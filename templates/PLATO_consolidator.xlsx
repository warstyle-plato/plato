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.sitnikov\Documents\Перспективные проекты\"/>
    </mc:Choice>
  </mc:AlternateContent>
  <bookViews>
    <workbookView xWindow="0" yWindow="0" windowWidth="23040" windowHeight="10536" activeTab="3"/>
  </bookViews>
  <sheets>
    <sheet name="ИНСТРУКЦИЯ" sheetId="1" r:id="rId1"/>
    <sheet name="НАСТРОЙКИ" sheetId="2" r:id="rId2"/>
    <sheet name="СВОД" sheetId="3" r:id="rId3"/>
    <sheet name="ПО МЕСЯЦАМ" sheetId="4" r:id="rId4"/>
    <sheet name="БРИДЖ" sheetId="5" r:id="rId5"/>
    <sheet name="ГАНТ" sheetId="6" r:id="rId6"/>
    <sheet name="СВОД ТЭП" sheetId="7" r:id="rId7"/>
    <sheet name="КЭШ_СВОД" sheetId="8" r:id="rId8"/>
  </sheets>
  <calcPr calcId="152511"/>
</workbook>
</file>

<file path=xl/calcChain.xml><?xml version="1.0" encoding="utf-8"?>
<calcChain xmlns="http://schemas.openxmlformats.org/spreadsheetml/2006/main">
  <c r="J23" i="7" l="1"/>
  <c r="I23" i="7"/>
  <c r="F23" i="7"/>
  <c r="J22" i="7"/>
  <c r="I22" i="7"/>
  <c r="F22" i="7"/>
  <c r="J21" i="7"/>
  <c r="I21" i="7"/>
  <c r="F21" i="7"/>
  <c r="J20" i="7"/>
  <c r="I20" i="7"/>
  <c r="F20" i="7"/>
  <c r="F19" i="7"/>
  <c r="F18" i="7"/>
  <c r="J17" i="7"/>
  <c r="I17" i="7"/>
  <c r="F17" i="7"/>
  <c r="J16" i="7"/>
  <c r="I16" i="7"/>
  <c r="F16" i="7"/>
  <c r="J15" i="7"/>
  <c r="I15" i="7"/>
  <c r="F15" i="7"/>
  <c r="J14" i="7"/>
  <c r="I14" i="7"/>
  <c r="F14" i="7"/>
  <c r="J13" i="7"/>
  <c r="I13" i="7"/>
  <c r="F13" i="7"/>
  <c r="J12" i="7"/>
  <c r="I12" i="7"/>
  <c r="F12" i="7"/>
  <c r="J11" i="7"/>
  <c r="I11" i="7"/>
  <c r="F11" i="7"/>
  <c r="J10" i="7"/>
  <c r="I10" i="7"/>
  <c r="F10" i="7"/>
  <c r="J9" i="7"/>
  <c r="I9" i="7"/>
  <c r="F9" i="7"/>
  <c r="J8" i="7"/>
  <c r="I8" i="7"/>
  <c r="F8" i="7"/>
  <c r="F7" i="7"/>
  <c r="J6" i="7"/>
  <c r="I6" i="7"/>
  <c r="F6" i="7"/>
  <c r="J5" i="7"/>
  <c r="I5" i="7"/>
  <c r="F5" i="7"/>
  <c r="J4" i="7"/>
  <c r="I4" i="7"/>
  <c r="F4" i="7"/>
  <c r="D24" i="6"/>
  <c r="P24" i="6" s="1"/>
  <c r="C24" i="6"/>
  <c r="AD24" i="6" s="1"/>
  <c r="A24" i="6"/>
  <c r="D23" i="6"/>
  <c r="C23" i="6"/>
  <c r="AC23" i="6" s="1"/>
  <c r="A23" i="6"/>
  <c r="W22" i="6"/>
  <c r="V22" i="6"/>
  <c r="D22" i="6"/>
  <c r="Y22" i="6" s="1"/>
  <c r="C22" i="6"/>
  <c r="A22" i="6"/>
  <c r="D21" i="6"/>
  <c r="C21" i="6"/>
  <c r="AL21" i="6" s="1"/>
  <c r="A21" i="6"/>
  <c r="D20" i="6"/>
  <c r="C20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E3" i="6"/>
  <c r="E2" i="6"/>
  <c r="F2" i="6" s="1"/>
  <c r="J19" i="5"/>
  <c r="C19" i="5"/>
  <c r="A19" i="5"/>
  <c r="J18" i="5"/>
  <c r="C18" i="5"/>
  <c r="A18" i="5"/>
  <c r="J17" i="5"/>
  <c r="C17" i="5"/>
  <c r="A17" i="5"/>
  <c r="J16" i="5"/>
  <c r="C16" i="5"/>
  <c r="A16" i="5"/>
  <c r="B12" i="5"/>
  <c r="B11" i="5"/>
  <c r="B10" i="5"/>
  <c r="B9" i="5"/>
  <c r="B8" i="5"/>
  <c r="DF104" i="4"/>
  <c r="DE104" i="4"/>
  <c r="DD104" i="4"/>
  <c r="DC104" i="4"/>
  <c r="DB104" i="4"/>
  <c r="DA104" i="4"/>
  <c r="CZ104" i="4"/>
  <c r="CY104" i="4"/>
  <c r="CX104" i="4"/>
  <c r="CW104" i="4"/>
  <c r="CV104" i="4"/>
  <c r="CU104" i="4"/>
  <c r="CT104" i="4"/>
  <c r="CS104" i="4"/>
  <c r="CR104" i="4"/>
  <c r="CR105" i="4" s="1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DF103" i="4"/>
  <c r="DE103" i="4"/>
  <c r="DE105" i="4" s="1"/>
  <c r="DD103" i="4"/>
  <c r="DC103" i="4"/>
  <c r="DB103" i="4"/>
  <c r="DB105" i="4" s="1"/>
  <c r="DA103" i="4"/>
  <c r="DA105" i="4" s="1"/>
  <c r="CZ103" i="4"/>
  <c r="CZ105" i="4" s="1"/>
  <c r="CY103" i="4"/>
  <c r="CY105" i="4" s="1"/>
  <c r="CX103" i="4"/>
  <c r="CX105" i="4" s="1"/>
  <c r="CW103" i="4"/>
  <c r="CW105" i="4" s="1"/>
  <c r="CV103" i="4"/>
  <c r="CV105" i="4" s="1"/>
  <c r="CU103" i="4"/>
  <c r="CU105" i="4" s="1"/>
  <c r="CT103" i="4"/>
  <c r="CS103" i="4"/>
  <c r="CR103" i="4"/>
  <c r="CQ103" i="4"/>
  <c r="CP103" i="4"/>
  <c r="CO103" i="4"/>
  <c r="CO105" i="4" s="1"/>
  <c r="CN103" i="4"/>
  <c r="CM103" i="4"/>
  <c r="CL103" i="4"/>
  <c r="CL105" i="4" s="1"/>
  <c r="CK103" i="4"/>
  <c r="CK105" i="4" s="1"/>
  <c r="CJ103" i="4"/>
  <c r="CJ105" i="4" s="1"/>
  <c r="CI103" i="4"/>
  <c r="CI105" i="4" s="1"/>
  <c r="CH103" i="4"/>
  <c r="CH105" i="4" s="1"/>
  <c r="CG103" i="4"/>
  <c r="CG105" i="4" s="1"/>
  <c r="CF103" i="4"/>
  <c r="CF105" i="4" s="1"/>
  <c r="CE103" i="4"/>
  <c r="CE105" i="4" s="1"/>
  <c r="CD103" i="4"/>
  <c r="CC103" i="4"/>
  <c r="CB103" i="4"/>
  <c r="CA103" i="4"/>
  <c r="BZ103" i="4"/>
  <c r="BY103" i="4"/>
  <c r="BY105" i="4" s="1"/>
  <c r="BX103" i="4"/>
  <c r="BW103" i="4"/>
  <c r="BV103" i="4"/>
  <c r="BV105" i="4" s="1"/>
  <c r="BU103" i="4"/>
  <c r="BU105" i="4" s="1"/>
  <c r="BT103" i="4"/>
  <c r="BT105" i="4" s="1"/>
  <c r="BS103" i="4"/>
  <c r="BS105" i="4" s="1"/>
  <c r="BR103" i="4"/>
  <c r="BR105" i="4" s="1"/>
  <c r="BQ103" i="4"/>
  <c r="BQ105" i="4" s="1"/>
  <c r="BP103" i="4"/>
  <c r="BP105" i="4" s="1"/>
  <c r="BO103" i="4"/>
  <c r="BO105" i="4" s="1"/>
  <c r="BN103" i="4"/>
  <c r="BN105" i="4" s="1"/>
  <c r="BM103" i="4"/>
  <c r="BL103" i="4"/>
  <c r="BK103" i="4"/>
  <c r="BJ103" i="4"/>
  <c r="BI103" i="4"/>
  <c r="BI105" i="4" s="1"/>
  <c r="BH103" i="4"/>
  <c r="BG103" i="4"/>
  <c r="BF103" i="4"/>
  <c r="BF105" i="4" s="1"/>
  <c r="BE103" i="4"/>
  <c r="BE105" i="4" s="1"/>
  <c r="BD103" i="4"/>
  <c r="BD105" i="4" s="1"/>
  <c r="BC103" i="4"/>
  <c r="BC105" i="4" s="1"/>
  <c r="BB103" i="4"/>
  <c r="BB105" i="4" s="1"/>
  <c r="BA103" i="4"/>
  <c r="BA105" i="4" s="1"/>
  <c r="AZ103" i="4"/>
  <c r="AZ105" i="4" s="1"/>
  <c r="AY103" i="4"/>
  <c r="AY105" i="4" s="1"/>
  <c r="AX103" i="4"/>
  <c r="AX105" i="4" s="1"/>
  <c r="AW103" i="4"/>
  <c r="AV103" i="4"/>
  <c r="AU103" i="4"/>
  <c r="AT103" i="4"/>
  <c r="AS103" i="4"/>
  <c r="AS105" i="4" s="1"/>
  <c r="AR103" i="4"/>
  <c r="AQ103" i="4"/>
  <c r="AP103" i="4"/>
  <c r="AP105" i="4" s="1"/>
  <c r="AO103" i="4"/>
  <c r="AO105" i="4" s="1"/>
  <c r="AN103" i="4"/>
  <c r="AN105" i="4" s="1"/>
  <c r="AM103" i="4"/>
  <c r="AM105" i="4" s="1"/>
  <c r="AL103" i="4"/>
  <c r="AL105" i="4" s="1"/>
  <c r="AK103" i="4"/>
  <c r="AK105" i="4" s="1"/>
  <c r="AJ103" i="4"/>
  <c r="AJ105" i="4" s="1"/>
  <c r="AI103" i="4"/>
  <c r="AI105" i="4" s="1"/>
  <c r="AH103" i="4"/>
  <c r="AH105" i="4" s="1"/>
  <c r="AG103" i="4"/>
  <c r="AF103" i="4"/>
  <c r="AE103" i="4"/>
  <c r="AD103" i="4"/>
  <c r="AC103" i="4"/>
  <c r="AC105" i="4" s="1"/>
  <c r="AB103" i="4"/>
  <c r="AA103" i="4"/>
  <c r="Z103" i="4"/>
  <c r="Z105" i="4" s="1"/>
  <c r="Y103" i="4"/>
  <c r="Y105" i="4" s="1"/>
  <c r="X103" i="4"/>
  <c r="X105" i="4" s="1"/>
  <c r="W103" i="4"/>
  <c r="W105" i="4" s="1"/>
  <c r="V103" i="4"/>
  <c r="V105" i="4" s="1"/>
  <c r="U103" i="4"/>
  <c r="U105" i="4" s="1"/>
  <c r="T103" i="4"/>
  <c r="T105" i="4" s="1"/>
  <c r="S103" i="4"/>
  <c r="S105" i="4" s="1"/>
  <c r="R103" i="4"/>
  <c r="R105" i="4" s="1"/>
  <c r="Q103" i="4"/>
  <c r="P103" i="4"/>
  <c r="P105" i="4" s="1"/>
  <c r="O103" i="4"/>
  <c r="O105" i="4" s="1"/>
  <c r="N103" i="4"/>
  <c r="M103" i="4"/>
  <c r="M105" i="4" s="1"/>
  <c r="L103" i="4"/>
  <c r="K103" i="4"/>
  <c r="J103" i="4"/>
  <c r="J105" i="4" s="1"/>
  <c r="I103" i="4"/>
  <c r="I105" i="4" s="1"/>
  <c r="H103" i="4"/>
  <c r="H105" i="4" s="1"/>
  <c r="G103" i="4"/>
  <c r="G105" i="4" s="1"/>
  <c r="F103" i="4"/>
  <c r="F105" i="4" s="1"/>
  <c r="E103" i="4"/>
  <c r="E105" i="4" s="1"/>
  <c r="D103" i="4"/>
  <c r="D105" i="4" s="1"/>
  <c r="C103" i="4"/>
  <c r="C105" i="4" s="1"/>
  <c r="DF102" i="4"/>
  <c r="DE102" i="4"/>
  <c r="DD102" i="4"/>
  <c r="DC102" i="4"/>
  <c r="DB102" i="4"/>
  <c r="DA102" i="4"/>
  <c r="CZ102" i="4"/>
  <c r="CY102" i="4"/>
  <c r="CX102" i="4"/>
  <c r="CW102" i="4"/>
  <c r="CV102" i="4"/>
  <c r="CU102" i="4"/>
  <c r="CT102" i="4"/>
  <c r="CS102" i="4"/>
  <c r="CR102" i="4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V102" i="4"/>
  <c r="BU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DF100" i="4"/>
  <c r="DE100" i="4"/>
  <c r="DD100" i="4"/>
  <c r="DC100" i="4"/>
  <c r="DB100" i="4"/>
  <c r="DA100" i="4"/>
  <c r="CZ100" i="4"/>
  <c r="CY100" i="4"/>
  <c r="CX100" i="4"/>
  <c r="CW100" i="4"/>
  <c r="CV100" i="4"/>
  <c r="CU100" i="4"/>
  <c r="CT100" i="4"/>
  <c r="CS100" i="4"/>
  <c r="CR100" i="4"/>
  <c r="CQ100" i="4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V100" i="4"/>
  <c r="BU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DF99" i="4"/>
  <c r="DE99" i="4"/>
  <c r="DD99" i="4"/>
  <c r="DC99" i="4"/>
  <c r="DB99" i="4"/>
  <c r="DA99" i="4"/>
  <c r="CZ99" i="4"/>
  <c r="CY99" i="4"/>
  <c r="CX99" i="4"/>
  <c r="CW99" i="4"/>
  <c r="CV99" i="4"/>
  <c r="CU99" i="4"/>
  <c r="CT99" i="4"/>
  <c r="CS99" i="4"/>
  <c r="CR99" i="4"/>
  <c r="CQ99" i="4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V99" i="4"/>
  <c r="BU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DF98" i="4"/>
  <c r="DE98" i="4"/>
  <c r="DD98" i="4"/>
  <c r="DC98" i="4"/>
  <c r="DB98" i="4"/>
  <c r="DA98" i="4"/>
  <c r="CZ98" i="4"/>
  <c r="CY98" i="4"/>
  <c r="CX98" i="4"/>
  <c r="CW98" i="4"/>
  <c r="CV98" i="4"/>
  <c r="CU98" i="4"/>
  <c r="CT98" i="4"/>
  <c r="CS98" i="4"/>
  <c r="CR98" i="4"/>
  <c r="CQ98" i="4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V98" i="4"/>
  <c r="BU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DF96" i="4"/>
  <c r="DE96" i="4"/>
  <c r="DD96" i="4"/>
  <c r="DC96" i="4"/>
  <c r="DB96" i="4"/>
  <c r="DA96" i="4"/>
  <c r="CZ96" i="4"/>
  <c r="CY96" i="4"/>
  <c r="CX96" i="4"/>
  <c r="CW96" i="4"/>
  <c r="CV96" i="4"/>
  <c r="CU96" i="4"/>
  <c r="CT96" i="4"/>
  <c r="CS96" i="4"/>
  <c r="CR96" i="4"/>
  <c r="CQ96" i="4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V96" i="4"/>
  <c r="BU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DF95" i="4"/>
  <c r="DE95" i="4"/>
  <c r="DD95" i="4"/>
  <c r="DC95" i="4"/>
  <c r="DB95" i="4"/>
  <c r="DA95" i="4"/>
  <c r="CZ95" i="4"/>
  <c r="CY95" i="4"/>
  <c r="CX95" i="4"/>
  <c r="CW95" i="4"/>
  <c r="CV95" i="4"/>
  <c r="CU95" i="4"/>
  <c r="CT95" i="4"/>
  <c r="CS95" i="4"/>
  <c r="CR95" i="4"/>
  <c r="CQ95" i="4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V95" i="4"/>
  <c r="BU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DF94" i="4"/>
  <c r="DE94" i="4"/>
  <c r="DD94" i="4"/>
  <c r="DC94" i="4"/>
  <c r="DB94" i="4"/>
  <c r="DA94" i="4"/>
  <c r="CZ94" i="4"/>
  <c r="CY94" i="4"/>
  <c r="CX94" i="4"/>
  <c r="CW94" i="4"/>
  <c r="CV94" i="4"/>
  <c r="CU94" i="4"/>
  <c r="CT94" i="4"/>
  <c r="CS94" i="4"/>
  <c r="CR94" i="4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V94" i="4"/>
  <c r="BU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DF93" i="4"/>
  <c r="DE93" i="4"/>
  <c r="DE97" i="4" s="1"/>
  <c r="DE101" i="4" s="1"/>
  <c r="DD93" i="4"/>
  <c r="DC93" i="4"/>
  <c r="DB93" i="4"/>
  <c r="DB97" i="4" s="1"/>
  <c r="DB101" i="4" s="1"/>
  <c r="DA93" i="4"/>
  <c r="CZ93" i="4"/>
  <c r="CY93" i="4"/>
  <c r="CY97" i="4" s="1"/>
  <c r="CY101" i="4" s="1"/>
  <c r="CX93" i="4"/>
  <c r="CW93" i="4"/>
  <c r="CV93" i="4"/>
  <c r="CU93" i="4"/>
  <c r="CT93" i="4"/>
  <c r="CS93" i="4"/>
  <c r="CR93" i="4"/>
  <c r="CQ93" i="4"/>
  <c r="CP93" i="4"/>
  <c r="CO93" i="4"/>
  <c r="CO97" i="4" s="1"/>
  <c r="CO101" i="4" s="1"/>
  <c r="CN93" i="4"/>
  <c r="CM93" i="4"/>
  <c r="CL93" i="4"/>
  <c r="CL97" i="4" s="1"/>
  <c r="CL101" i="4" s="1"/>
  <c r="CK93" i="4"/>
  <c r="CJ93" i="4"/>
  <c r="CI93" i="4"/>
  <c r="CI97" i="4" s="1"/>
  <c r="CI101" i="4" s="1"/>
  <c r="CH93" i="4"/>
  <c r="CG93" i="4"/>
  <c r="CF93" i="4"/>
  <c r="CE93" i="4"/>
  <c r="CD93" i="4"/>
  <c r="CC93" i="4"/>
  <c r="CB93" i="4"/>
  <c r="CA93" i="4"/>
  <c r="BZ93" i="4"/>
  <c r="BY93" i="4"/>
  <c r="BY97" i="4" s="1"/>
  <c r="BY101" i="4" s="1"/>
  <c r="BX93" i="4"/>
  <c r="BW93" i="4"/>
  <c r="BV93" i="4"/>
  <c r="BV97" i="4" s="1"/>
  <c r="BV101" i="4" s="1"/>
  <c r="BU93" i="4"/>
  <c r="BT93" i="4"/>
  <c r="BS93" i="4"/>
  <c r="BS97" i="4" s="1"/>
  <c r="BS101" i="4" s="1"/>
  <c r="BR93" i="4"/>
  <c r="BQ93" i="4"/>
  <c r="BP93" i="4"/>
  <c r="BO93" i="4"/>
  <c r="BN93" i="4"/>
  <c r="BM93" i="4"/>
  <c r="BL93" i="4"/>
  <c r="BK93" i="4"/>
  <c r="BJ93" i="4"/>
  <c r="BI93" i="4"/>
  <c r="BI97" i="4" s="1"/>
  <c r="BI101" i="4" s="1"/>
  <c r="BH93" i="4"/>
  <c r="BG93" i="4"/>
  <c r="BF93" i="4"/>
  <c r="BF97" i="4" s="1"/>
  <c r="BF101" i="4" s="1"/>
  <c r="BE93" i="4"/>
  <c r="BD93" i="4"/>
  <c r="BC93" i="4"/>
  <c r="BC97" i="4" s="1"/>
  <c r="BC101" i="4" s="1"/>
  <c r="BB93" i="4"/>
  <c r="BA93" i="4"/>
  <c r="AZ93" i="4"/>
  <c r="AY93" i="4"/>
  <c r="AX93" i="4"/>
  <c r="AW93" i="4"/>
  <c r="AV93" i="4"/>
  <c r="AU93" i="4"/>
  <c r="AT93" i="4"/>
  <c r="AS93" i="4"/>
  <c r="AS97" i="4" s="1"/>
  <c r="AS101" i="4" s="1"/>
  <c r="AR93" i="4"/>
  <c r="AQ93" i="4"/>
  <c r="AP93" i="4"/>
  <c r="AP97" i="4" s="1"/>
  <c r="AP101" i="4" s="1"/>
  <c r="AO93" i="4"/>
  <c r="AN93" i="4"/>
  <c r="AM93" i="4"/>
  <c r="AM97" i="4" s="1"/>
  <c r="AM101" i="4" s="1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Z97" i="4" s="1"/>
  <c r="Z101" i="4" s="1"/>
  <c r="Y93" i="4"/>
  <c r="X93" i="4"/>
  <c r="W93" i="4"/>
  <c r="W97" i="4" s="1"/>
  <c r="W101" i="4" s="1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J97" i="4" s="1"/>
  <c r="J101" i="4" s="1"/>
  <c r="I93" i="4"/>
  <c r="H93" i="4"/>
  <c r="G93" i="4"/>
  <c r="G97" i="4" s="1"/>
  <c r="G101" i="4" s="1"/>
  <c r="F93" i="4"/>
  <c r="E93" i="4"/>
  <c r="D93" i="4"/>
  <c r="C93" i="4"/>
  <c r="A91" i="4"/>
  <c r="A75" i="4"/>
  <c r="A59" i="4"/>
  <c r="A43" i="4"/>
  <c r="DF40" i="4"/>
  <c r="DE40" i="4"/>
  <c r="DD40" i="4"/>
  <c r="DC40" i="4"/>
  <c r="DB40" i="4"/>
  <c r="DA40" i="4"/>
  <c r="CZ40" i="4"/>
  <c r="CY40" i="4"/>
  <c r="CX40" i="4"/>
  <c r="CW40" i="4"/>
  <c r="CV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U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D22" i="4"/>
  <c r="E22" i="4" s="1"/>
  <c r="F22" i="4" s="1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C22" i="4"/>
  <c r="X21" i="3"/>
  <c r="V21" i="3"/>
  <c r="Y13" i="3"/>
  <c r="W13" i="3"/>
  <c r="V13" i="3"/>
  <c r="T13" i="3"/>
  <c r="S13" i="3"/>
  <c r="Y21" i="3" s="1"/>
  <c r="R13" i="3"/>
  <c r="I19" i="5" s="1"/>
  <c r="Q13" i="3"/>
  <c r="H19" i="5" s="1"/>
  <c r="P13" i="3"/>
  <c r="O13" i="3"/>
  <c r="N13" i="3"/>
  <c r="M13" i="3"/>
  <c r="K13" i="3"/>
  <c r="L13" i="3" s="1"/>
  <c r="J13" i="3"/>
  <c r="I13" i="3"/>
  <c r="H13" i="3"/>
  <c r="X13" i="3" s="1"/>
  <c r="G13" i="3"/>
  <c r="F13" i="3"/>
  <c r="E13" i="3"/>
  <c r="B19" i="5" s="1"/>
  <c r="D13" i="3"/>
  <c r="C13" i="3"/>
  <c r="B13" i="3"/>
  <c r="A13" i="3"/>
  <c r="V12" i="3"/>
  <c r="C12" i="3"/>
  <c r="B12" i="3"/>
  <c r="V20" i="3" s="1"/>
  <c r="A12" i="3"/>
  <c r="V11" i="3"/>
  <c r="C11" i="3"/>
  <c r="B11" i="3"/>
  <c r="V19" i="3" s="1"/>
  <c r="A11" i="3"/>
  <c r="V10" i="3"/>
  <c r="C10" i="3"/>
  <c r="B10" i="3"/>
  <c r="V18" i="3" s="1"/>
  <c r="A10" i="3"/>
  <c r="B27" i="2"/>
  <c r="E9" i="2"/>
  <c r="F8" i="2"/>
  <c r="D19" i="5" s="1"/>
  <c r="F7" i="2"/>
  <c r="D18" i="5" s="1"/>
  <c r="F6" i="2"/>
  <c r="D17" i="5" s="1"/>
  <c r="F5" i="2"/>
  <c r="D16" i="5" s="1"/>
  <c r="E17" i="7"/>
  <c r="C15" i="7"/>
  <c r="D8" i="7"/>
  <c r="C13" i="6"/>
  <c r="D6" i="6"/>
  <c r="D17" i="7"/>
  <c r="E10" i="7"/>
  <c r="C8" i="7"/>
  <c r="D15" i="6"/>
  <c r="C6" i="6"/>
  <c r="E19" i="7"/>
  <c r="C17" i="7"/>
  <c r="D10" i="7"/>
  <c r="C15" i="6"/>
  <c r="D8" i="6"/>
  <c r="D19" i="7"/>
  <c r="E12" i="7"/>
  <c r="C10" i="7"/>
  <c r="D17" i="6"/>
  <c r="C8" i="6"/>
  <c r="E21" i="7"/>
  <c r="C19" i="7"/>
  <c r="D12" i="7"/>
  <c r="E5" i="7"/>
  <c r="C17" i="6"/>
  <c r="D10" i="6"/>
  <c r="DB88" i="4"/>
  <c r="CL88" i="4"/>
  <c r="E23" i="7"/>
  <c r="C21" i="7"/>
  <c r="D14" i="7"/>
  <c r="E7" i="7"/>
  <c r="C5" i="7"/>
  <c r="C19" i="6"/>
  <c r="D12" i="6"/>
  <c r="D23" i="7"/>
  <c r="E16" i="7"/>
  <c r="C14" i="7"/>
  <c r="D7" i="7"/>
  <c r="C12" i="6"/>
  <c r="D5" i="6"/>
  <c r="E18" i="7"/>
  <c r="C16" i="7"/>
  <c r="D9" i="7"/>
  <c r="C14" i="6"/>
  <c r="D7" i="6"/>
  <c r="CW88" i="4"/>
  <c r="D18" i="7"/>
  <c r="E11" i="7"/>
  <c r="C9" i="7"/>
  <c r="D16" i="6"/>
  <c r="C7" i="6"/>
  <c r="E20" i="7"/>
  <c r="C18" i="7"/>
  <c r="D11" i="7"/>
  <c r="E4" i="7"/>
  <c r="C16" i="6"/>
  <c r="D9" i="6"/>
  <c r="D20" i="7"/>
  <c r="E13" i="7"/>
  <c r="C11" i="7"/>
  <c r="D4" i="7"/>
  <c r="D18" i="6"/>
  <c r="C9" i="6"/>
  <c r="E22" i="7"/>
  <c r="C20" i="7"/>
  <c r="D13" i="7"/>
  <c r="E6" i="7"/>
  <c r="C4" i="7"/>
  <c r="C18" i="6"/>
  <c r="D11" i="6"/>
  <c r="C22" i="7"/>
  <c r="D15" i="7"/>
  <c r="E8" i="7"/>
  <c r="C6" i="7"/>
  <c r="D13" i="6"/>
  <c r="CU88" i="4"/>
  <c r="CD88" i="4"/>
  <c r="BN88" i="4"/>
  <c r="AX88" i="4"/>
  <c r="AH88" i="4"/>
  <c r="R88" i="4"/>
  <c r="DF87" i="4"/>
  <c r="CP87" i="4"/>
  <c r="BZ87" i="4"/>
  <c r="BJ87" i="4"/>
  <c r="AT87" i="4"/>
  <c r="AD87" i="4"/>
  <c r="N87" i="4"/>
  <c r="DB86" i="4"/>
  <c r="CL86" i="4"/>
  <c r="BV86" i="4"/>
  <c r="BF86" i="4"/>
  <c r="AP86" i="4"/>
  <c r="Z86" i="4"/>
  <c r="J86" i="4"/>
  <c r="CT84" i="4"/>
  <c r="CD84" i="4"/>
  <c r="BN84" i="4"/>
  <c r="AX84" i="4"/>
  <c r="AH84" i="4"/>
  <c r="R84" i="4"/>
  <c r="DF83" i="4"/>
  <c r="CP83" i="4"/>
  <c r="BZ83" i="4"/>
  <c r="BJ83" i="4"/>
  <c r="AT83" i="4"/>
  <c r="AD83" i="4"/>
  <c r="N83" i="4"/>
  <c r="DB82" i="4"/>
  <c r="CL82" i="4"/>
  <c r="BV82" i="4"/>
  <c r="BF82" i="4"/>
  <c r="AP82" i="4"/>
  <c r="Z82" i="4"/>
  <c r="J82" i="4"/>
  <c r="CT80" i="4"/>
  <c r="CD80" i="4"/>
  <c r="BN80" i="4"/>
  <c r="AX80" i="4"/>
  <c r="CT88" i="4"/>
  <c r="CC88" i="4"/>
  <c r="BM88" i="4"/>
  <c r="AW88" i="4"/>
  <c r="AG88" i="4"/>
  <c r="Q88" i="4"/>
  <c r="DE87" i="4"/>
  <c r="CO87" i="4"/>
  <c r="BY87" i="4"/>
  <c r="BI87" i="4"/>
  <c r="AS87" i="4"/>
  <c r="AC87" i="4"/>
  <c r="M87" i="4"/>
  <c r="DA86" i="4"/>
  <c r="CK86" i="4"/>
  <c r="BU86" i="4"/>
  <c r="BE86" i="4"/>
  <c r="AO86" i="4"/>
  <c r="Y86" i="4"/>
  <c r="I86" i="4"/>
  <c r="CS84" i="4"/>
  <c r="CC84" i="4"/>
  <c r="BM84" i="4"/>
  <c r="AW84" i="4"/>
  <c r="AG84" i="4"/>
  <c r="Q84" i="4"/>
  <c r="DE83" i="4"/>
  <c r="CO83" i="4"/>
  <c r="BY83" i="4"/>
  <c r="BI83" i="4"/>
  <c r="AS83" i="4"/>
  <c r="AC83" i="4"/>
  <c r="M83" i="4"/>
  <c r="DA82" i="4"/>
  <c r="CK82" i="4"/>
  <c r="BU82" i="4"/>
  <c r="BE82" i="4"/>
  <c r="AO82" i="4"/>
  <c r="Y82" i="4"/>
  <c r="I82" i="4"/>
  <c r="CS80" i="4"/>
  <c r="CC80" i="4"/>
  <c r="BM80" i="4"/>
  <c r="AW80" i="4"/>
  <c r="AG80" i="4"/>
  <c r="Q80" i="4"/>
  <c r="DE79" i="4"/>
  <c r="CO79" i="4"/>
  <c r="BY79" i="4"/>
  <c r="BI79" i="4"/>
  <c r="AS79" i="4"/>
  <c r="AC79" i="4"/>
  <c r="M79" i="4"/>
  <c r="DA78" i="4"/>
  <c r="CK78" i="4"/>
  <c r="CS88" i="4"/>
  <c r="CB88" i="4"/>
  <c r="BL88" i="4"/>
  <c r="AV88" i="4"/>
  <c r="AF88" i="4"/>
  <c r="P88" i="4"/>
  <c r="DD87" i="4"/>
  <c r="CN87" i="4"/>
  <c r="BX87" i="4"/>
  <c r="BH87" i="4"/>
  <c r="AR87" i="4"/>
  <c r="AB87" i="4"/>
  <c r="L87" i="4"/>
  <c r="CZ86" i="4"/>
  <c r="CJ86" i="4"/>
  <c r="BT86" i="4"/>
  <c r="BD86" i="4"/>
  <c r="AN86" i="4"/>
  <c r="X86" i="4"/>
  <c r="H86" i="4"/>
  <c r="CR84" i="4"/>
  <c r="CB84" i="4"/>
  <c r="BL84" i="4"/>
  <c r="AV84" i="4"/>
  <c r="AF84" i="4"/>
  <c r="P84" i="4"/>
  <c r="DD83" i="4"/>
  <c r="CN83" i="4"/>
  <c r="BX83" i="4"/>
  <c r="BH83" i="4"/>
  <c r="AR83" i="4"/>
  <c r="AB83" i="4"/>
  <c r="L83" i="4"/>
  <c r="CZ82" i="4"/>
  <c r="CJ82" i="4"/>
  <c r="BT82" i="4"/>
  <c r="BD82" i="4"/>
  <c r="AN82" i="4"/>
  <c r="X82" i="4"/>
  <c r="H82" i="4"/>
  <c r="CR80" i="4"/>
  <c r="CB80" i="4"/>
  <c r="BL80" i="4"/>
  <c r="AV80" i="4"/>
  <c r="AF80" i="4"/>
  <c r="P80" i="4"/>
  <c r="DD79" i="4"/>
  <c r="CN79" i="4"/>
  <c r="BX79" i="4"/>
  <c r="BH79" i="4"/>
  <c r="C23" i="7"/>
  <c r="E14" i="7"/>
  <c r="D5" i="7"/>
  <c r="CR88" i="4"/>
  <c r="CA88" i="4"/>
  <c r="BK88" i="4"/>
  <c r="AU88" i="4"/>
  <c r="AE88" i="4"/>
  <c r="O88" i="4"/>
  <c r="DC87" i="4"/>
  <c r="CM87" i="4"/>
  <c r="BW87" i="4"/>
  <c r="BG87" i="4"/>
  <c r="AQ87" i="4"/>
  <c r="AA87" i="4"/>
  <c r="K87" i="4"/>
  <c r="CY86" i="4"/>
  <c r="CI86" i="4"/>
  <c r="BS86" i="4"/>
  <c r="BC86" i="4"/>
  <c r="AM86" i="4"/>
  <c r="W86" i="4"/>
  <c r="G86" i="4"/>
  <c r="CQ84" i="4"/>
  <c r="CA84" i="4"/>
  <c r="BK84" i="4"/>
  <c r="AU84" i="4"/>
  <c r="AE84" i="4"/>
  <c r="O84" i="4"/>
  <c r="DC83" i="4"/>
  <c r="CM83" i="4"/>
  <c r="BW83" i="4"/>
  <c r="BG83" i="4"/>
  <c r="AQ83" i="4"/>
  <c r="AA83" i="4"/>
  <c r="K83" i="4"/>
  <c r="CY82" i="4"/>
  <c r="CI82" i="4"/>
  <c r="BS82" i="4"/>
  <c r="BC82" i="4"/>
  <c r="AM82" i="4"/>
  <c r="W82" i="4"/>
  <c r="G82" i="4"/>
  <c r="CQ80" i="4"/>
  <c r="CA80" i="4"/>
  <c r="BK80" i="4"/>
  <c r="AU80" i="4"/>
  <c r="AE80" i="4"/>
  <c r="O80" i="4"/>
  <c r="DC79" i="4"/>
  <c r="CM79" i="4"/>
  <c r="BW79" i="4"/>
  <c r="BG79" i="4"/>
  <c r="AQ79" i="4"/>
  <c r="AA79" i="4"/>
  <c r="K79" i="4"/>
  <c r="CY78" i="4"/>
  <c r="CI78" i="4"/>
  <c r="BS78" i="4"/>
  <c r="BC78" i="4"/>
  <c r="CQ88" i="4"/>
  <c r="BZ88" i="4"/>
  <c r="BJ88" i="4"/>
  <c r="AT88" i="4"/>
  <c r="AD88" i="4"/>
  <c r="N88" i="4"/>
  <c r="DB87" i="4"/>
  <c r="CL87" i="4"/>
  <c r="BV87" i="4"/>
  <c r="BF87" i="4"/>
  <c r="AP87" i="4"/>
  <c r="Z87" i="4"/>
  <c r="J87" i="4"/>
  <c r="CX86" i="4"/>
  <c r="CH86" i="4"/>
  <c r="BR86" i="4"/>
  <c r="BB86" i="4"/>
  <c r="AL86" i="4"/>
  <c r="V86" i="4"/>
  <c r="F86" i="4"/>
  <c r="DF84" i="4"/>
  <c r="CP84" i="4"/>
  <c r="BZ84" i="4"/>
  <c r="BJ84" i="4"/>
  <c r="AT84" i="4"/>
  <c r="AD84" i="4"/>
  <c r="N84" i="4"/>
  <c r="DB83" i="4"/>
  <c r="CL83" i="4"/>
  <c r="BV83" i="4"/>
  <c r="BF83" i="4"/>
  <c r="AP83" i="4"/>
  <c r="Z83" i="4"/>
  <c r="J83" i="4"/>
  <c r="CX82" i="4"/>
  <c r="CH82" i="4"/>
  <c r="BR82" i="4"/>
  <c r="BB82" i="4"/>
  <c r="AL82" i="4"/>
  <c r="V82" i="4"/>
  <c r="F82" i="4"/>
  <c r="DF80" i="4"/>
  <c r="CP80" i="4"/>
  <c r="BZ80" i="4"/>
  <c r="BJ80" i="4"/>
  <c r="AT80" i="4"/>
  <c r="AD80" i="4"/>
  <c r="N80" i="4"/>
  <c r="DB79" i="4"/>
  <c r="CL79" i="4"/>
  <c r="BV79" i="4"/>
  <c r="BF79" i="4"/>
  <c r="AP79" i="4"/>
  <c r="Z79" i="4"/>
  <c r="J79" i="4"/>
  <c r="CX78" i="4"/>
  <c r="CH78" i="4"/>
  <c r="BR78" i="4"/>
  <c r="BB78" i="4"/>
  <c r="CP88" i="4"/>
  <c r="BY88" i="4"/>
  <c r="BI88" i="4"/>
  <c r="AS88" i="4"/>
  <c r="AC88" i="4"/>
  <c r="M88" i="4"/>
  <c r="DA87" i="4"/>
  <c r="CK87" i="4"/>
  <c r="BU87" i="4"/>
  <c r="BE87" i="4"/>
  <c r="AO87" i="4"/>
  <c r="Y87" i="4"/>
  <c r="I87" i="4"/>
  <c r="CW86" i="4"/>
  <c r="CG86" i="4"/>
  <c r="BQ86" i="4"/>
  <c r="BA86" i="4"/>
  <c r="AK86" i="4"/>
  <c r="U86" i="4"/>
  <c r="E86" i="4"/>
  <c r="DE84" i="4"/>
  <c r="CO84" i="4"/>
  <c r="BY84" i="4"/>
  <c r="BI84" i="4"/>
  <c r="AS84" i="4"/>
  <c r="AC84" i="4"/>
  <c r="M84" i="4"/>
  <c r="DA83" i="4"/>
  <c r="CK83" i="4"/>
  <c r="BU83" i="4"/>
  <c r="BE83" i="4"/>
  <c r="AO83" i="4"/>
  <c r="Y83" i="4"/>
  <c r="I83" i="4"/>
  <c r="CW82" i="4"/>
  <c r="CG82" i="4"/>
  <c r="BQ82" i="4"/>
  <c r="BA82" i="4"/>
  <c r="AK82" i="4"/>
  <c r="U82" i="4"/>
  <c r="E82" i="4"/>
  <c r="DE80" i="4"/>
  <c r="CO80" i="4"/>
  <c r="BY80" i="4"/>
  <c r="BI80" i="4"/>
  <c r="AS80" i="4"/>
  <c r="AC80" i="4"/>
  <c r="M80" i="4"/>
  <c r="DA79" i="4"/>
  <c r="CK79" i="4"/>
  <c r="BU79" i="4"/>
  <c r="E9" i="7"/>
  <c r="CO88" i="4"/>
  <c r="BX88" i="4"/>
  <c r="BH88" i="4"/>
  <c r="AR88" i="4"/>
  <c r="AB88" i="4"/>
  <c r="L88" i="4"/>
  <c r="CZ87" i="4"/>
  <c r="CJ87" i="4"/>
  <c r="BT87" i="4"/>
  <c r="BD87" i="4"/>
  <c r="AN87" i="4"/>
  <c r="X87" i="4"/>
  <c r="H87" i="4"/>
  <c r="CV86" i="4"/>
  <c r="CF86" i="4"/>
  <c r="BP86" i="4"/>
  <c r="AZ86" i="4"/>
  <c r="AJ86" i="4"/>
  <c r="T86" i="4"/>
  <c r="D86" i="4"/>
  <c r="DD84" i="4"/>
  <c r="CN84" i="4"/>
  <c r="BX84" i="4"/>
  <c r="BH84" i="4"/>
  <c r="AR84" i="4"/>
  <c r="AB84" i="4"/>
  <c r="L84" i="4"/>
  <c r="CZ83" i="4"/>
  <c r="CJ83" i="4"/>
  <c r="BT83" i="4"/>
  <c r="BD83" i="4"/>
  <c r="AN83" i="4"/>
  <c r="X83" i="4"/>
  <c r="H83" i="4"/>
  <c r="CV82" i="4"/>
  <c r="CF82" i="4"/>
  <c r="BP82" i="4"/>
  <c r="AZ82" i="4"/>
  <c r="AJ82" i="4"/>
  <c r="T82" i="4"/>
  <c r="D82" i="4"/>
  <c r="DD80" i="4"/>
  <c r="CN80" i="4"/>
  <c r="BX80" i="4"/>
  <c r="BH80" i="4"/>
  <c r="AR80" i="4"/>
  <c r="AB80" i="4"/>
  <c r="L80" i="4"/>
  <c r="CZ79" i="4"/>
  <c r="CJ79" i="4"/>
  <c r="BT79" i="4"/>
  <c r="BD79" i="4"/>
  <c r="AN79" i="4"/>
  <c r="X79" i="4"/>
  <c r="H79" i="4"/>
  <c r="CV78" i="4"/>
  <c r="CF78" i="4"/>
  <c r="D22" i="7"/>
  <c r="C13" i="7"/>
  <c r="D19" i="6"/>
  <c r="C11" i="6"/>
  <c r="DF88" i="4"/>
  <c r="CN88" i="4"/>
  <c r="BW88" i="4"/>
  <c r="BG88" i="4"/>
  <c r="AQ88" i="4"/>
  <c r="AA88" i="4"/>
  <c r="K88" i="4"/>
  <c r="CY87" i="4"/>
  <c r="CI87" i="4"/>
  <c r="BS87" i="4"/>
  <c r="DE88" i="4"/>
  <c r="CM88" i="4"/>
  <c r="BV88" i="4"/>
  <c r="BF88" i="4"/>
  <c r="AP88" i="4"/>
  <c r="Z88" i="4"/>
  <c r="J88" i="4"/>
  <c r="CX87" i="4"/>
  <c r="CH87" i="4"/>
  <c r="BR87" i="4"/>
  <c r="BB87" i="4"/>
  <c r="AL87" i="4"/>
  <c r="V87" i="4"/>
  <c r="F87" i="4"/>
  <c r="CT86" i="4"/>
  <c r="CD86" i="4"/>
  <c r="BN86" i="4"/>
  <c r="AX86" i="4"/>
  <c r="AH86" i="4"/>
  <c r="R86" i="4"/>
  <c r="DB84" i="4"/>
  <c r="CL84" i="4"/>
  <c r="BV84" i="4"/>
  <c r="BF84" i="4"/>
  <c r="AP84" i="4"/>
  <c r="Z84" i="4"/>
  <c r="J84" i="4"/>
  <c r="CX83" i="4"/>
  <c r="CH83" i="4"/>
  <c r="BR83" i="4"/>
  <c r="BB83" i="4"/>
  <c r="AL83" i="4"/>
  <c r="V83" i="4"/>
  <c r="F83" i="4"/>
  <c r="CT82" i="4"/>
  <c r="CD82" i="4"/>
  <c r="BN82" i="4"/>
  <c r="AX82" i="4"/>
  <c r="AH82" i="4"/>
  <c r="R82" i="4"/>
  <c r="DB80" i="4"/>
  <c r="CL80" i="4"/>
  <c r="BV80" i="4"/>
  <c r="BF80" i="4"/>
  <c r="AP80" i="4"/>
  <c r="Z80" i="4"/>
  <c r="J80" i="4"/>
  <c r="CX79" i="4"/>
  <c r="CH79" i="4"/>
  <c r="BR79" i="4"/>
  <c r="BB79" i="4"/>
  <c r="C5" i="6"/>
  <c r="DD88" i="4"/>
  <c r="CK88" i="4"/>
  <c r="BU88" i="4"/>
  <c r="BE88" i="4"/>
  <c r="AO88" i="4"/>
  <c r="Y88" i="4"/>
  <c r="I88" i="4"/>
  <c r="CW87" i="4"/>
  <c r="CG87" i="4"/>
  <c r="BQ87" i="4"/>
  <c r="BA87" i="4"/>
  <c r="AK87" i="4"/>
  <c r="U87" i="4"/>
  <c r="E87" i="4"/>
  <c r="CS86" i="4"/>
  <c r="CC86" i="4"/>
  <c r="BM86" i="4"/>
  <c r="AW86" i="4"/>
  <c r="AG86" i="4"/>
  <c r="Q86" i="4"/>
  <c r="DA84" i="4"/>
  <c r="CK84" i="4"/>
  <c r="BU84" i="4"/>
  <c r="BE84" i="4"/>
  <c r="AO84" i="4"/>
  <c r="Y84" i="4"/>
  <c r="I84" i="4"/>
  <c r="CW83" i="4"/>
  <c r="CG83" i="4"/>
  <c r="BQ83" i="4"/>
  <c r="BA83" i="4"/>
  <c r="AK83" i="4"/>
  <c r="U83" i="4"/>
  <c r="E83" i="4"/>
  <c r="CS82" i="4"/>
  <c r="CC82" i="4"/>
  <c r="BM82" i="4"/>
  <c r="AW82" i="4"/>
  <c r="AG82" i="4"/>
  <c r="Q82" i="4"/>
  <c r="DA80" i="4"/>
  <c r="CK80" i="4"/>
  <c r="BU80" i="4"/>
  <c r="BE80" i="4"/>
  <c r="AO80" i="4"/>
  <c r="Y80" i="4"/>
  <c r="I80" i="4"/>
  <c r="CW79" i="4"/>
  <c r="CG79" i="4"/>
  <c r="BQ79" i="4"/>
  <c r="BA79" i="4"/>
  <c r="DC88" i="4"/>
  <c r="CJ88" i="4"/>
  <c r="BT88" i="4"/>
  <c r="BD88" i="4"/>
  <c r="AN88" i="4"/>
  <c r="X88" i="4"/>
  <c r="H88" i="4"/>
  <c r="CV87" i="4"/>
  <c r="CF87" i="4"/>
  <c r="BP87" i="4"/>
  <c r="AZ87" i="4"/>
  <c r="AJ87" i="4"/>
  <c r="T87" i="4"/>
  <c r="D87" i="4"/>
  <c r="CR86" i="4"/>
  <c r="CB86" i="4"/>
  <c r="BL86" i="4"/>
  <c r="AV86" i="4"/>
  <c r="AF86" i="4"/>
  <c r="P86" i="4"/>
  <c r="CZ84" i="4"/>
  <c r="CJ84" i="4"/>
  <c r="BT84" i="4"/>
  <c r="BD84" i="4"/>
  <c r="AN84" i="4"/>
  <c r="X84" i="4"/>
  <c r="H84" i="4"/>
  <c r="CV83" i="4"/>
  <c r="CF83" i="4"/>
  <c r="BP83" i="4"/>
  <c r="AZ83" i="4"/>
  <c r="AJ83" i="4"/>
  <c r="T83" i="4"/>
  <c r="D83" i="4"/>
  <c r="CR82" i="4"/>
  <c r="CB82" i="4"/>
  <c r="BL82" i="4"/>
  <c r="D21" i="7"/>
  <c r="D16" i="7"/>
  <c r="C12" i="7"/>
  <c r="C7" i="7"/>
  <c r="DA88" i="4"/>
  <c r="CI88" i="4"/>
  <c r="BS88" i="4"/>
  <c r="BC88" i="4"/>
  <c r="AM88" i="4"/>
  <c r="W88" i="4"/>
  <c r="G88" i="4"/>
  <c r="CU87" i="4"/>
  <c r="CE87" i="4"/>
  <c r="BO87" i="4"/>
  <c r="AY87" i="4"/>
  <c r="AI87" i="4"/>
  <c r="S87" i="4"/>
  <c r="C87" i="4"/>
  <c r="CQ86" i="4"/>
  <c r="CA86" i="4"/>
  <c r="BK86" i="4"/>
  <c r="AU86" i="4"/>
  <c r="AE86" i="4"/>
  <c r="O86" i="4"/>
  <c r="CY84" i="4"/>
  <c r="CI84" i="4"/>
  <c r="BS84" i="4"/>
  <c r="BC84" i="4"/>
  <c r="AM84" i="4"/>
  <c r="W84" i="4"/>
  <c r="G84" i="4"/>
  <c r="CU83" i="4"/>
  <c r="CE83" i="4"/>
  <c r="BO83" i="4"/>
  <c r="AY83" i="4"/>
  <c r="AI83" i="4"/>
  <c r="S83" i="4"/>
  <c r="C83" i="4"/>
  <c r="CQ82" i="4"/>
  <c r="CA82" i="4"/>
  <c r="BK82" i="4"/>
  <c r="AU82" i="4"/>
  <c r="AE82" i="4"/>
  <c r="O82" i="4"/>
  <c r="CY80" i="4"/>
  <c r="CI80" i="4"/>
  <c r="BS80" i="4"/>
  <c r="BC80" i="4"/>
  <c r="AM80" i="4"/>
  <c r="W80" i="4"/>
  <c r="G80" i="4"/>
  <c r="CU79" i="4"/>
  <c r="CE79" i="4"/>
  <c r="BO79" i="4"/>
  <c r="AY79" i="4"/>
  <c r="AI79" i="4"/>
  <c r="S79" i="4"/>
  <c r="C79" i="4"/>
  <c r="CQ78" i="4"/>
  <c r="CA78" i="4"/>
  <c r="BK78" i="4"/>
  <c r="AU78" i="4"/>
  <c r="CZ88" i="4"/>
  <c r="CH88" i="4"/>
  <c r="BR88" i="4"/>
  <c r="BB88" i="4"/>
  <c r="AL88" i="4"/>
  <c r="V88" i="4"/>
  <c r="F88" i="4"/>
  <c r="CT87" i="4"/>
  <c r="CD87" i="4"/>
  <c r="BN87" i="4"/>
  <c r="AX87" i="4"/>
  <c r="AH87" i="4"/>
  <c r="R87" i="4"/>
  <c r="DF86" i="4"/>
  <c r="CP86" i="4"/>
  <c r="BZ86" i="4"/>
  <c r="BJ86" i="4"/>
  <c r="AT86" i="4"/>
  <c r="AD86" i="4"/>
  <c r="N86" i="4"/>
  <c r="CX84" i="4"/>
  <c r="CH84" i="4"/>
  <c r="BR84" i="4"/>
  <c r="BB84" i="4"/>
  <c r="AL84" i="4"/>
  <c r="V84" i="4"/>
  <c r="F84" i="4"/>
  <c r="CT83" i="4"/>
  <c r="CD83" i="4"/>
  <c r="BN83" i="4"/>
  <c r="AX83" i="4"/>
  <c r="AH83" i="4"/>
  <c r="R83" i="4"/>
  <c r="DF82" i="4"/>
  <c r="CP82" i="4"/>
  <c r="BZ82" i="4"/>
  <c r="BJ82" i="4"/>
  <c r="AT82" i="4"/>
  <c r="AD82" i="4"/>
  <c r="N82" i="4"/>
  <c r="CX80" i="4"/>
  <c r="CH80" i="4"/>
  <c r="BR80" i="4"/>
  <c r="BB80" i="4"/>
  <c r="AL80" i="4"/>
  <c r="V80" i="4"/>
  <c r="F80" i="4"/>
  <c r="CT79" i="4"/>
  <c r="CD79" i="4"/>
  <c r="BN79" i="4"/>
  <c r="AX79" i="4"/>
  <c r="AH79" i="4"/>
  <c r="R79" i="4"/>
  <c r="DF78" i="4"/>
  <c r="CP78" i="4"/>
  <c r="BZ78" i="4"/>
  <c r="BJ78" i="4"/>
  <c r="AT78" i="4"/>
  <c r="E15" i="7"/>
  <c r="D6" i="7"/>
  <c r="AK88" i="4"/>
  <c r="BL87" i="4"/>
  <c r="DD86" i="4"/>
  <c r="AR86" i="4"/>
  <c r="BP84" i="4"/>
  <c r="D84" i="4"/>
  <c r="AV83" i="4"/>
  <c r="CN82" i="4"/>
  <c r="AF82" i="4"/>
  <c r="CU80" i="4"/>
  <c r="AQ80" i="4"/>
  <c r="C80" i="4"/>
  <c r="BM79" i="4"/>
  <c r="AJ79" i="4"/>
  <c r="I79" i="4"/>
  <c r="CN78" i="4"/>
  <c r="BP78" i="4"/>
  <c r="AV78" i="4"/>
  <c r="AD78" i="4"/>
  <c r="N78" i="4"/>
  <c r="DB77" i="4"/>
  <c r="CL77" i="4"/>
  <c r="BV77" i="4"/>
  <c r="BF77" i="4"/>
  <c r="AP77" i="4"/>
  <c r="Z77" i="4"/>
  <c r="J77" i="4"/>
  <c r="CU72" i="4"/>
  <c r="CE72" i="4"/>
  <c r="BO72" i="4"/>
  <c r="AY72" i="4"/>
  <c r="AI72" i="4"/>
  <c r="S72" i="4"/>
  <c r="C72" i="4"/>
  <c r="CQ71" i="4"/>
  <c r="CA71" i="4"/>
  <c r="BK71" i="4"/>
  <c r="AU71" i="4"/>
  <c r="AE71" i="4"/>
  <c r="O71" i="4"/>
  <c r="DC70" i="4"/>
  <c r="CM70" i="4"/>
  <c r="BW70" i="4"/>
  <c r="BG70" i="4"/>
  <c r="AQ70" i="4"/>
  <c r="AA70" i="4"/>
  <c r="K70" i="4"/>
  <c r="CU68" i="4"/>
  <c r="CE68" i="4"/>
  <c r="BO68" i="4"/>
  <c r="AY68" i="4"/>
  <c r="AI68" i="4"/>
  <c r="S68" i="4"/>
  <c r="C68" i="4"/>
  <c r="CQ67" i="4"/>
  <c r="CA67" i="4"/>
  <c r="BK67" i="4"/>
  <c r="AU67" i="4"/>
  <c r="AE67" i="4"/>
  <c r="O67" i="4"/>
  <c r="DC66" i="4"/>
  <c r="AJ88" i="4"/>
  <c r="BK87" i="4"/>
  <c r="DC86" i="4"/>
  <c r="AQ86" i="4"/>
  <c r="BO84" i="4"/>
  <c r="C84" i="4"/>
  <c r="AU83" i="4"/>
  <c r="CM82" i="4"/>
  <c r="AC82" i="4"/>
  <c r="CM80" i="4"/>
  <c r="AN80" i="4"/>
  <c r="DF79" i="4"/>
  <c r="BL79" i="4"/>
  <c r="AG79" i="4"/>
  <c r="G79" i="4"/>
  <c r="CM78" i="4"/>
  <c r="BO78" i="4"/>
  <c r="AS78" i="4"/>
  <c r="AC78" i="4"/>
  <c r="M78" i="4"/>
  <c r="DA77" i="4"/>
  <c r="CK77" i="4"/>
  <c r="BU77" i="4"/>
  <c r="BE77" i="4"/>
  <c r="AO77" i="4"/>
  <c r="Y77" i="4"/>
  <c r="I77" i="4"/>
  <c r="CT72" i="4"/>
  <c r="CD72" i="4"/>
  <c r="BN72" i="4"/>
  <c r="AX72" i="4"/>
  <c r="AH72" i="4"/>
  <c r="R72" i="4"/>
  <c r="DF71" i="4"/>
  <c r="CP71" i="4"/>
  <c r="BZ71" i="4"/>
  <c r="BJ71" i="4"/>
  <c r="AT71" i="4"/>
  <c r="AD71" i="4"/>
  <c r="N71" i="4"/>
  <c r="DB70" i="4"/>
  <c r="CL70" i="4"/>
  <c r="BV70" i="4"/>
  <c r="BF70" i="4"/>
  <c r="AP70" i="4"/>
  <c r="Z70" i="4"/>
  <c r="J70" i="4"/>
  <c r="CT68" i="4"/>
  <c r="CD68" i="4"/>
  <c r="BN68" i="4"/>
  <c r="AX68" i="4"/>
  <c r="AH68" i="4"/>
  <c r="R68" i="4"/>
  <c r="DF67" i="4"/>
  <c r="CP67" i="4"/>
  <c r="BZ67" i="4"/>
  <c r="BJ67" i="4"/>
  <c r="AT67" i="4"/>
  <c r="AD67" i="4"/>
  <c r="N67" i="4"/>
  <c r="DB66" i="4"/>
  <c r="CL66" i="4"/>
  <c r="BV66" i="4"/>
  <c r="BF66" i="4"/>
  <c r="AP66" i="4"/>
  <c r="Z66" i="4"/>
  <c r="J66" i="4"/>
  <c r="CT64" i="4"/>
  <c r="CD64" i="4"/>
  <c r="BN64" i="4"/>
  <c r="AX64" i="4"/>
  <c r="AH64" i="4"/>
  <c r="R64" i="4"/>
  <c r="DF63" i="4"/>
  <c r="CP63" i="4"/>
  <c r="BZ63" i="4"/>
  <c r="BJ63" i="4"/>
  <c r="AT63" i="4"/>
  <c r="AD63" i="4"/>
  <c r="N63" i="4"/>
  <c r="DB62" i="4"/>
  <c r="CL62" i="4"/>
  <c r="BV62" i="4"/>
  <c r="AI88" i="4"/>
  <c r="BC87" i="4"/>
  <c r="CU86" i="4"/>
  <c r="AI86" i="4"/>
  <c r="BG84" i="4"/>
  <c r="CY83" i="4"/>
  <c r="AM83" i="4"/>
  <c r="CE82" i="4"/>
  <c r="AB82" i="4"/>
  <c r="CJ80" i="4"/>
  <c r="AK80" i="4"/>
  <c r="CY79" i="4"/>
  <c r="BK79" i="4"/>
  <c r="AF79" i="4"/>
  <c r="F79" i="4"/>
  <c r="CL78" i="4"/>
  <c r="BN78" i="4"/>
  <c r="AR78" i="4"/>
  <c r="AB78" i="4"/>
  <c r="L78" i="4"/>
  <c r="CZ77" i="4"/>
  <c r="CJ77" i="4"/>
  <c r="BT77" i="4"/>
  <c r="BD77" i="4"/>
  <c r="AN77" i="4"/>
  <c r="X77" i="4"/>
  <c r="H77" i="4"/>
  <c r="CS72" i="4"/>
  <c r="CC72" i="4"/>
  <c r="BM72" i="4"/>
  <c r="AW72" i="4"/>
  <c r="AG72" i="4"/>
  <c r="Q72" i="4"/>
  <c r="DE71" i="4"/>
  <c r="CO71" i="4"/>
  <c r="BY71" i="4"/>
  <c r="BI71" i="4"/>
  <c r="AS71" i="4"/>
  <c r="AC71" i="4"/>
  <c r="M71" i="4"/>
  <c r="DA70" i="4"/>
  <c r="CK70" i="4"/>
  <c r="BU70" i="4"/>
  <c r="BE70" i="4"/>
  <c r="AO70" i="4"/>
  <c r="Y70" i="4"/>
  <c r="I70" i="4"/>
  <c r="CS68" i="4"/>
  <c r="CC68" i="4"/>
  <c r="BM68" i="4"/>
  <c r="AW68" i="4"/>
  <c r="AG68" i="4"/>
  <c r="Q68" i="4"/>
  <c r="DE67" i="4"/>
  <c r="CO67" i="4"/>
  <c r="BY67" i="4"/>
  <c r="BI67" i="4"/>
  <c r="AS67" i="4"/>
  <c r="AC67" i="4"/>
  <c r="M67" i="4"/>
  <c r="DA66" i="4"/>
  <c r="CK66" i="4"/>
  <c r="BU66" i="4"/>
  <c r="BE66" i="4"/>
  <c r="AO66" i="4"/>
  <c r="Y66" i="4"/>
  <c r="I66" i="4"/>
  <c r="CS64" i="4"/>
  <c r="CC64" i="4"/>
  <c r="BM64" i="4"/>
  <c r="AW64" i="4"/>
  <c r="AG64" i="4"/>
  <c r="Q64" i="4"/>
  <c r="DE63" i="4"/>
  <c r="CO63" i="4"/>
  <c r="BY63" i="4"/>
  <c r="BI63" i="4"/>
  <c r="AS63" i="4"/>
  <c r="AC63" i="4"/>
  <c r="M63" i="4"/>
  <c r="DA62" i="4"/>
  <c r="CK62" i="4"/>
  <c r="BU62" i="4"/>
  <c r="U88" i="4"/>
  <c r="AW87" i="4"/>
  <c r="CO86" i="4"/>
  <c r="AC86" i="4"/>
  <c r="BA84" i="4"/>
  <c r="CS83" i="4"/>
  <c r="AG83" i="4"/>
  <c r="BY82" i="4"/>
  <c r="AA82" i="4"/>
  <c r="CG80" i="4"/>
  <c r="AJ80" i="4"/>
  <c r="CV79" i="4"/>
  <c r="BJ79" i="4"/>
  <c r="AE79" i="4"/>
  <c r="E79" i="4"/>
  <c r="CJ78" i="4"/>
  <c r="BM78" i="4"/>
  <c r="AQ78" i="4"/>
  <c r="AA78" i="4"/>
  <c r="K78" i="4"/>
  <c r="CY77" i="4"/>
  <c r="CI77" i="4"/>
  <c r="BS77" i="4"/>
  <c r="BC77" i="4"/>
  <c r="AM77" i="4"/>
  <c r="W77" i="4"/>
  <c r="G77" i="4"/>
  <c r="CR72" i="4"/>
  <c r="CB72" i="4"/>
  <c r="BL72" i="4"/>
  <c r="AV72" i="4"/>
  <c r="AF72" i="4"/>
  <c r="P72" i="4"/>
  <c r="DD71" i="4"/>
  <c r="CN71" i="4"/>
  <c r="BX71" i="4"/>
  <c r="BH71" i="4"/>
  <c r="AR71" i="4"/>
  <c r="AB71" i="4"/>
  <c r="L71" i="4"/>
  <c r="CZ70" i="4"/>
  <c r="CJ70" i="4"/>
  <c r="BT70" i="4"/>
  <c r="BD70" i="4"/>
  <c r="AN70" i="4"/>
  <c r="X70" i="4"/>
  <c r="H70" i="4"/>
  <c r="CR68" i="4"/>
  <c r="CB68" i="4"/>
  <c r="BL68" i="4"/>
  <c r="AV68" i="4"/>
  <c r="AF68" i="4"/>
  <c r="P68" i="4"/>
  <c r="DD67" i="4"/>
  <c r="CN67" i="4"/>
  <c r="BX67" i="4"/>
  <c r="BH67" i="4"/>
  <c r="AR67" i="4"/>
  <c r="AB67" i="4"/>
  <c r="L67" i="4"/>
  <c r="CZ66" i="4"/>
  <c r="CJ66" i="4"/>
  <c r="BT66" i="4"/>
  <c r="BD66" i="4"/>
  <c r="AN66" i="4"/>
  <c r="X66" i="4"/>
  <c r="H66" i="4"/>
  <c r="CR64" i="4"/>
  <c r="CB64" i="4"/>
  <c r="BL64" i="4"/>
  <c r="AV64" i="4"/>
  <c r="AF64" i="4"/>
  <c r="P64" i="4"/>
  <c r="DD63" i="4"/>
  <c r="CN63" i="4"/>
  <c r="BX63" i="4"/>
  <c r="BH63" i="4"/>
  <c r="AR63" i="4"/>
  <c r="AB63" i="4"/>
  <c r="L63" i="4"/>
  <c r="CZ62" i="4"/>
  <c r="CJ62" i="4"/>
  <c r="BT62" i="4"/>
  <c r="BD62" i="4"/>
  <c r="D14" i="6"/>
  <c r="CY88" i="4"/>
  <c r="T88" i="4"/>
  <c r="AV87" i="4"/>
  <c r="CN86" i="4"/>
  <c r="AB86" i="4"/>
  <c r="AZ84" i="4"/>
  <c r="CR83" i="4"/>
  <c r="AF83" i="4"/>
  <c r="BX82" i="4"/>
  <c r="S82" i="4"/>
  <c r="CF80" i="4"/>
  <c r="AI80" i="4"/>
  <c r="CS79" i="4"/>
  <c r="BE79" i="4"/>
  <c r="AD79" i="4"/>
  <c r="D79" i="4"/>
  <c r="CG78" i="4"/>
  <c r="BL78" i="4"/>
  <c r="AP78" i="4"/>
  <c r="Z78" i="4"/>
  <c r="J78" i="4"/>
  <c r="CX77" i="4"/>
  <c r="CH77" i="4"/>
  <c r="BR77" i="4"/>
  <c r="BB77" i="4"/>
  <c r="AL77" i="4"/>
  <c r="V77" i="4"/>
  <c r="F77" i="4"/>
  <c r="CQ72" i="4"/>
  <c r="CA72" i="4"/>
  <c r="BK72" i="4"/>
  <c r="AU72" i="4"/>
  <c r="AE72" i="4"/>
  <c r="O72" i="4"/>
  <c r="DC71" i="4"/>
  <c r="CM71" i="4"/>
  <c r="BW71" i="4"/>
  <c r="BG71" i="4"/>
  <c r="AQ71" i="4"/>
  <c r="AA71" i="4"/>
  <c r="K71" i="4"/>
  <c r="CY70" i="4"/>
  <c r="CI70" i="4"/>
  <c r="BS70" i="4"/>
  <c r="BC70" i="4"/>
  <c r="AM70" i="4"/>
  <c r="W70" i="4"/>
  <c r="G70" i="4"/>
  <c r="CQ68" i="4"/>
  <c r="CA68" i="4"/>
  <c r="BK68" i="4"/>
  <c r="AU68" i="4"/>
  <c r="AE68" i="4"/>
  <c r="O68" i="4"/>
  <c r="DC67" i="4"/>
  <c r="CM67" i="4"/>
  <c r="BW67" i="4"/>
  <c r="BG67" i="4"/>
  <c r="AQ67" i="4"/>
  <c r="AA67" i="4"/>
  <c r="K67" i="4"/>
  <c r="CY66" i="4"/>
  <c r="CI66" i="4"/>
  <c r="BS66" i="4"/>
  <c r="BC66" i="4"/>
  <c r="AM66" i="4"/>
  <c r="W66" i="4"/>
  <c r="G66" i="4"/>
  <c r="CQ64" i="4"/>
  <c r="CA64" i="4"/>
  <c r="BK64" i="4"/>
  <c r="AU64" i="4"/>
  <c r="AE64" i="4"/>
  <c r="O64" i="4"/>
  <c r="DC63" i="4"/>
  <c r="CM63" i="4"/>
  <c r="BW63" i="4"/>
  <c r="CX88" i="4"/>
  <c r="S88" i="4"/>
  <c r="AU87" i="4"/>
  <c r="CM86" i="4"/>
  <c r="AA86" i="4"/>
  <c r="AY84" i="4"/>
  <c r="CQ83" i="4"/>
  <c r="AE83" i="4"/>
  <c r="BW82" i="4"/>
  <c r="P82" i="4"/>
  <c r="CE80" i="4"/>
  <c r="AH80" i="4"/>
  <c r="CR79" i="4"/>
  <c r="BC79" i="4"/>
  <c r="AB79" i="4"/>
  <c r="DE78" i="4"/>
  <c r="CE78" i="4"/>
  <c r="BI78" i="4"/>
  <c r="AO78" i="4"/>
  <c r="Y78" i="4"/>
  <c r="I78" i="4"/>
  <c r="CW77" i="4"/>
  <c r="CG77" i="4"/>
  <c r="BQ77" i="4"/>
  <c r="BA77" i="4"/>
  <c r="AK77" i="4"/>
  <c r="U77" i="4"/>
  <c r="E77" i="4"/>
  <c r="DF72" i="4"/>
  <c r="CP72" i="4"/>
  <c r="BZ72" i="4"/>
  <c r="BJ72" i="4"/>
  <c r="AT72" i="4"/>
  <c r="AD72" i="4"/>
  <c r="N72" i="4"/>
  <c r="DB71" i="4"/>
  <c r="CL71" i="4"/>
  <c r="BV71" i="4"/>
  <c r="BF71" i="4"/>
  <c r="AP71" i="4"/>
  <c r="Z71" i="4"/>
  <c r="J71" i="4"/>
  <c r="CX70" i="4"/>
  <c r="CH70" i="4"/>
  <c r="BR70" i="4"/>
  <c r="BB70" i="4"/>
  <c r="AL70" i="4"/>
  <c r="V70" i="4"/>
  <c r="F70" i="4"/>
  <c r="DF68" i="4"/>
  <c r="CP68" i="4"/>
  <c r="BZ68" i="4"/>
  <c r="BJ68" i="4"/>
  <c r="AT68" i="4"/>
  <c r="AD68" i="4"/>
  <c r="N68" i="4"/>
  <c r="DB67" i="4"/>
  <c r="CL67" i="4"/>
  <c r="BV67" i="4"/>
  <c r="BF67" i="4"/>
  <c r="AP67" i="4"/>
  <c r="Z67" i="4"/>
  <c r="J67" i="4"/>
  <c r="CX66" i="4"/>
  <c r="CH66" i="4"/>
  <c r="BR66" i="4"/>
  <c r="BB66" i="4"/>
  <c r="AL66" i="4"/>
  <c r="V66" i="4"/>
  <c r="F66" i="4"/>
  <c r="DF64" i="4"/>
  <c r="CP64" i="4"/>
  <c r="BZ64" i="4"/>
  <c r="BJ64" i="4"/>
  <c r="AT64" i="4"/>
  <c r="AD64" i="4"/>
  <c r="N64" i="4"/>
  <c r="DB63" i="4"/>
  <c r="CL63" i="4"/>
  <c r="BV63" i="4"/>
  <c r="BF63" i="4"/>
  <c r="CV88" i="4"/>
  <c r="E88" i="4"/>
  <c r="AM87" i="4"/>
  <c r="CE86" i="4"/>
  <c r="S86" i="4"/>
  <c r="DC84" i="4"/>
  <c r="AQ84" i="4"/>
  <c r="CI83" i="4"/>
  <c r="W83" i="4"/>
  <c r="BO82" i="4"/>
  <c r="M82" i="4"/>
  <c r="BW80" i="4"/>
  <c r="AA80" i="4"/>
  <c r="CQ79" i="4"/>
  <c r="AZ79" i="4"/>
  <c r="Y79" i="4"/>
  <c r="DD78" i="4"/>
  <c r="CD78" i="4"/>
  <c r="BH78" i="4"/>
  <c r="AN78" i="4"/>
  <c r="X78" i="4"/>
  <c r="H78" i="4"/>
  <c r="CV77" i="4"/>
  <c r="CF77" i="4"/>
  <c r="BP77" i="4"/>
  <c r="AZ77" i="4"/>
  <c r="AJ77" i="4"/>
  <c r="T77" i="4"/>
  <c r="D77" i="4"/>
  <c r="DE72" i="4"/>
  <c r="CO72" i="4"/>
  <c r="BY72" i="4"/>
  <c r="BI72" i="4"/>
  <c r="AS72" i="4"/>
  <c r="AC72" i="4"/>
  <c r="M72" i="4"/>
  <c r="DA71" i="4"/>
  <c r="CK71" i="4"/>
  <c r="BU71" i="4"/>
  <c r="BE71" i="4"/>
  <c r="AO71" i="4"/>
  <c r="Y71" i="4"/>
  <c r="I71" i="4"/>
  <c r="CW70" i="4"/>
  <c r="CG70" i="4"/>
  <c r="BQ70" i="4"/>
  <c r="BA70" i="4"/>
  <c r="AK70" i="4"/>
  <c r="U70" i="4"/>
  <c r="E70" i="4"/>
  <c r="DE68" i="4"/>
  <c r="CO68" i="4"/>
  <c r="BY68" i="4"/>
  <c r="BI68" i="4"/>
  <c r="AS68" i="4"/>
  <c r="AC68" i="4"/>
  <c r="M68" i="4"/>
  <c r="DA67" i="4"/>
  <c r="CK67" i="4"/>
  <c r="BU67" i="4"/>
  <c r="BE67" i="4"/>
  <c r="AO67" i="4"/>
  <c r="Y67" i="4"/>
  <c r="I67" i="4"/>
  <c r="CW66" i="4"/>
  <c r="CG66" i="4"/>
  <c r="BQ66" i="4"/>
  <c r="BA66" i="4"/>
  <c r="AK66" i="4"/>
  <c r="U66" i="4"/>
  <c r="E66" i="4"/>
  <c r="DE64" i="4"/>
  <c r="CO64" i="4"/>
  <c r="BY64" i="4"/>
  <c r="BI64" i="4"/>
  <c r="AS64" i="4"/>
  <c r="AC64" i="4"/>
  <c r="M64" i="4"/>
  <c r="DA63" i="4"/>
  <c r="CK63" i="4"/>
  <c r="BU63" i="4"/>
  <c r="BE63" i="4"/>
  <c r="CG88" i="4"/>
  <c r="D88" i="4"/>
  <c r="AG87" i="4"/>
  <c r="BY86" i="4"/>
  <c r="M86" i="4"/>
  <c r="CW84" i="4"/>
  <c r="AK84" i="4"/>
  <c r="CC83" i="4"/>
  <c r="Q83" i="4"/>
  <c r="BI82" i="4"/>
  <c r="L82" i="4"/>
  <c r="BT80" i="4"/>
  <c r="X80" i="4"/>
  <c r="CP79" i="4"/>
  <c r="AW79" i="4"/>
  <c r="W79" i="4"/>
  <c r="DC78" i="4"/>
  <c r="CC78" i="4"/>
  <c r="BG78" i="4"/>
  <c r="AM78" i="4"/>
  <c r="W78" i="4"/>
  <c r="G78" i="4"/>
  <c r="CU77" i="4"/>
  <c r="CE77" i="4"/>
  <c r="BO77" i="4"/>
  <c r="AY77" i="4"/>
  <c r="AI77" i="4"/>
  <c r="S77" i="4"/>
  <c r="C77" i="4"/>
  <c r="DD72" i="4"/>
  <c r="CN72" i="4"/>
  <c r="BX72" i="4"/>
  <c r="BH72" i="4"/>
  <c r="AR72" i="4"/>
  <c r="AB72" i="4"/>
  <c r="L72" i="4"/>
  <c r="CZ71" i="4"/>
  <c r="CJ71" i="4"/>
  <c r="BT71" i="4"/>
  <c r="BD71" i="4"/>
  <c r="AN71" i="4"/>
  <c r="X71" i="4"/>
  <c r="H71" i="4"/>
  <c r="CV70" i="4"/>
  <c r="CF70" i="4"/>
  <c r="BP70" i="4"/>
  <c r="AZ70" i="4"/>
  <c r="AJ70" i="4"/>
  <c r="T70" i="4"/>
  <c r="D70" i="4"/>
  <c r="DD68" i="4"/>
  <c r="CN68" i="4"/>
  <c r="BX68" i="4"/>
  <c r="BH68" i="4"/>
  <c r="AR68" i="4"/>
  <c r="AB68" i="4"/>
  <c r="L68" i="4"/>
  <c r="CZ67" i="4"/>
  <c r="CJ67" i="4"/>
  <c r="BT67" i="4"/>
  <c r="BD67" i="4"/>
  <c r="AN67" i="4"/>
  <c r="X67" i="4"/>
  <c r="H67" i="4"/>
  <c r="CV66" i="4"/>
  <c r="CF66" i="4"/>
  <c r="BP66" i="4"/>
  <c r="AZ66" i="4"/>
  <c r="AJ66" i="4"/>
  <c r="T66" i="4"/>
  <c r="D66" i="4"/>
  <c r="DD64" i="4"/>
  <c r="CN64" i="4"/>
  <c r="BX64" i="4"/>
  <c r="BH64" i="4"/>
  <c r="AR64" i="4"/>
  <c r="AB64" i="4"/>
  <c r="L64" i="4"/>
  <c r="CZ63" i="4"/>
  <c r="CJ63" i="4"/>
  <c r="BT63" i="4"/>
  <c r="BD63" i="4"/>
  <c r="CF88" i="4"/>
  <c r="C88" i="4"/>
  <c r="AF87" i="4"/>
  <c r="BX86" i="4"/>
  <c r="L86" i="4"/>
  <c r="CV84" i="4"/>
  <c r="AJ84" i="4"/>
  <c r="CB83" i="4"/>
  <c r="P83" i="4"/>
  <c r="BH82" i="4"/>
  <c r="K82" i="4"/>
  <c r="BQ80" i="4"/>
  <c r="U80" i="4"/>
  <c r="CI79" i="4"/>
  <c r="AV79" i="4"/>
  <c r="V79" i="4"/>
  <c r="DB78" i="4"/>
  <c r="CB78" i="4"/>
  <c r="BF78" i="4"/>
  <c r="AL78" i="4"/>
  <c r="V78" i="4"/>
  <c r="F78" i="4"/>
  <c r="CT77" i="4"/>
  <c r="CD77" i="4"/>
  <c r="BN77" i="4"/>
  <c r="AX77" i="4"/>
  <c r="AH77" i="4"/>
  <c r="R77" i="4"/>
  <c r="DC72" i="4"/>
  <c r="CM72" i="4"/>
  <c r="BW72" i="4"/>
  <c r="BG72" i="4"/>
  <c r="AQ72" i="4"/>
  <c r="AA72" i="4"/>
  <c r="K72" i="4"/>
  <c r="CY71" i="4"/>
  <c r="CI71" i="4"/>
  <c r="BS71" i="4"/>
  <c r="BC71" i="4"/>
  <c r="AM71" i="4"/>
  <c r="W71" i="4"/>
  <c r="G71" i="4"/>
  <c r="CU70" i="4"/>
  <c r="CE70" i="4"/>
  <c r="BO70" i="4"/>
  <c r="AY70" i="4"/>
  <c r="AI70" i="4"/>
  <c r="S70" i="4"/>
  <c r="C70" i="4"/>
  <c r="DC68" i="4"/>
  <c r="CM68" i="4"/>
  <c r="BW68" i="4"/>
  <c r="BG68" i="4"/>
  <c r="AQ68" i="4"/>
  <c r="AA68" i="4"/>
  <c r="K68" i="4"/>
  <c r="CY67" i="4"/>
  <c r="CI67" i="4"/>
  <c r="BS67" i="4"/>
  <c r="BC67" i="4"/>
  <c r="AM67" i="4"/>
  <c r="W67" i="4"/>
  <c r="G67" i="4"/>
  <c r="CU66" i="4"/>
  <c r="CE88" i="4"/>
  <c r="CS87" i="4"/>
  <c r="AE87" i="4"/>
  <c r="BW86" i="4"/>
  <c r="K86" i="4"/>
  <c r="CU84" i="4"/>
  <c r="AI84" i="4"/>
  <c r="CA83" i="4"/>
  <c r="O83" i="4"/>
  <c r="BG82" i="4"/>
  <c r="C82" i="4"/>
  <c r="BP80" i="4"/>
  <c r="T80" i="4"/>
  <c r="CF79" i="4"/>
  <c r="AU79" i="4"/>
  <c r="U79" i="4"/>
  <c r="CZ78" i="4"/>
  <c r="BY78" i="4"/>
  <c r="BE78" i="4"/>
  <c r="AK78" i="4"/>
  <c r="U78" i="4"/>
  <c r="E78" i="4"/>
  <c r="CS77" i="4"/>
  <c r="CC77" i="4"/>
  <c r="BM77" i="4"/>
  <c r="AW77" i="4"/>
  <c r="AG77" i="4"/>
  <c r="Q77" i="4"/>
  <c r="DB72" i="4"/>
  <c r="CL72" i="4"/>
  <c r="BV72" i="4"/>
  <c r="BF72" i="4"/>
  <c r="AP72" i="4"/>
  <c r="Z72" i="4"/>
  <c r="J72" i="4"/>
  <c r="CX71" i="4"/>
  <c r="CH71" i="4"/>
  <c r="BR71" i="4"/>
  <c r="BB71" i="4"/>
  <c r="AL71" i="4"/>
  <c r="V71" i="4"/>
  <c r="F71" i="4"/>
  <c r="CT70" i="4"/>
  <c r="CD70" i="4"/>
  <c r="BN70" i="4"/>
  <c r="AX70" i="4"/>
  <c r="AH70" i="4"/>
  <c r="R70" i="4"/>
  <c r="DB68" i="4"/>
  <c r="CL68" i="4"/>
  <c r="BV68" i="4"/>
  <c r="BF68" i="4"/>
  <c r="AP68" i="4"/>
  <c r="Z68" i="4"/>
  <c r="J68" i="4"/>
  <c r="CX67" i="4"/>
  <c r="CH67" i="4"/>
  <c r="BR67" i="4"/>
  <c r="BB67" i="4"/>
  <c r="AL67" i="4"/>
  <c r="V67" i="4"/>
  <c r="F67" i="4"/>
  <c r="CT66" i="4"/>
  <c r="CD66" i="4"/>
  <c r="BN66" i="4"/>
  <c r="AX66" i="4"/>
  <c r="AH66" i="4"/>
  <c r="R66" i="4"/>
  <c r="DB64" i="4"/>
  <c r="CL64" i="4"/>
  <c r="BV64" i="4"/>
  <c r="BF64" i="4"/>
  <c r="AP64" i="4"/>
  <c r="Z64" i="4"/>
  <c r="J64" i="4"/>
  <c r="CX63" i="4"/>
  <c r="CH63" i="4"/>
  <c r="BR63" i="4"/>
  <c r="BB63" i="4"/>
  <c r="AL63" i="4"/>
  <c r="V63" i="4"/>
  <c r="F63" i="4"/>
  <c r="CT62" i="4"/>
  <c r="CD62" i="4"/>
  <c r="BQ88" i="4"/>
  <c r="CR87" i="4"/>
  <c r="W87" i="4"/>
  <c r="BO86" i="4"/>
  <c r="C86" i="4"/>
  <c r="CM84" i="4"/>
  <c r="AA84" i="4"/>
  <c r="BS83" i="4"/>
  <c r="G83" i="4"/>
  <c r="AY82" i="4"/>
  <c r="BO80" i="4"/>
  <c r="S80" i="4"/>
  <c r="CC79" i="4"/>
  <c r="AT79" i="4"/>
  <c r="T79" i="4"/>
  <c r="CW78" i="4"/>
  <c r="BX78" i="4"/>
  <c r="BD78" i="4"/>
  <c r="AJ78" i="4"/>
  <c r="T78" i="4"/>
  <c r="D78" i="4"/>
  <c r="CR77" i="4"/>
  <c r="CB77" i="4"/>
  <c r="BL77" i="4"/>
  <c r="AV77" i="4"/>
  <c r="AF77" i="4"/>
  <c r="P77" i="4"/>
  <c r="DA72" i="4"/>
  <c r="CK72" i="4"/>
  <c r="BU72" i="4"/>
  <c r="BE72" i="4"/>
  <c r="AO72" i="4"/>
  <c r="Y72" i="4"/>
  <c r="I72" i="4"/>
  <c r="CW71" i="4"/>
  <c r="CG71" i="4"/>
  <c r="BQ71" i="4"/>
  <c r="BA71" i="4"/>
  <c r="AK71" i="4"/>
  <c r="U71" i="4"/>
  <c r="E71" i="4"/>
  <c r="CS70" i="4"/>
  <c r="CC70" i="4"/>
  <c r="BM70" i="4"/>
  <c r="AW70" i="4"/>
  <c r="AG70" i="4"/>
  <c r="Q70" i="4"/>
  <c r="DA68" i="4"/>
  <c r="CK68" i="4"/>
  <c r="BU68" i="4"/>
  <c r="BE68" i="4"/>
  <c r="AO68" i="4"/>
  <c r="Y68" i="4"/>
  <c r="I68" i="4"/>
  <c r="CW67" i="4"/>
  <c r="CG67" i="4"/>
  <c r="BQ67" i="4"/>
  <c r="BA67" i="4"/>
  <c r="AK67" i="4"/>
  <c r="U67" i="4"/>
  <c r="E67" i="4"/>
  <c r="CS66" i="4"/>
  <c r="CC66" i="4"/>
  <c r="BM66" i="4"/>
  <c r="AW66" i="4"/>
  <c r="AG66" i="4"/>
  <c r="Q66" i="4"/>
  <c r="DA64" i="4"/>
  <c r="CK64" i="4"/>
  <c r="BU64" i="4"/>
  <c r="BE64" i="4"/>
  <c r="AO64" i="4"/>
  <c r="Y64" i="4"/>
  <c r="I64" i="4"/>
  <c r="CW63" i="4"/>
  <c r="CG63" i="4"/>
  <c r="BQ63" i="4"/>
  <c r="BA63" i="4"/>
  <c r="AK63" i="4"/>
  <c r="U63" i="4"/>
  <c r="E63" i="4"/>
  <c r="CS62" i="4"/>
  <c r="CC62" i="4"/>
  <c r="BM62" i="4"/>
  <c r="BP88" i="4"/>
  <c r="CQ87" i="4"/>
  <c r="Q87" i="4"/>
  <c r="BI86" i="4"/>
  <c r="CG84" i="4"/>
  <c r="U84" i="4"/>
  <c r="BM83" i="4"/>
  <c r="DE82" i="4"/>
  <c r="AV82" i="4"/>
  <c r="BG80" i="4"/>
  <c r="R80" i="4"/>
  <c r="CB79" i="4"/>
  <c r="AR79" i="4"/>
  <c r="Q79" i="4"/>
  <c r="CU78" i="4"/>
  <c r="BW78" i="4"/>
  <c r="BA78" i="4"/>
  <c r="AI78" i="4"/>
  <c r="S78" i="4"/>
  <c r="C78" i="4"/>
  <c r="CQ77" i="4"/>
  <c r="CA77" i="4"/>
  <c r="BK77" i="4"/>
  <c r="AU77" i="4"/>
  <c r="AE77" i="4"/>
  <c r="O77" i="4"/>
  <c r="CZ72" i="4"/>
  <c r="CJ72" i="4"/>
  <c r="BT72" i="4"/>
  <c r="BD72" i="4"/>
  <c r="AN72" i="4"/>
  <c r="X72" i="4"/>
  <c r="H72" i="4"/>
  <c r="CV71" i="4"/>
  <c r="CF71" i="4"/>
  <c r="BP71" i="4"/>
  <c r="AZ71" i="4"/>
  <c r="AJ71" i="4"/>
  <c r="T71" i="4"/>
  <c r="D71" i="4"/>
  <c r="CR70" i="4"/>
  <c r="CB70" i="4"/>
  <c r="BL70" i="4"/>
  <c r="AV70" i="4"/>
  <c r="AF70" i="4"/>
  <c r="P70" i="4"/>
  <c r="CZ68" i="4"/>
  <c r="CJ68" i="4"/>
  <c r="BT68" i="4"/>
  <c r="BD68" i="4"/>
  <c r="AN68" i="4"/>
  <c r="X68" i="4"/>
  <c r="H68" i="4"/>
  <c r="CV67" i="4"/>
  <c r="CF67" i="4"/>
  <c r="BP67" i="4"/>
  <c r="AZ67" i="4"/>
  <c r="AJ67" i="4"/>
  <c r="T67" i="4"/>
  <c r="D67" i="4"/>
  <c r="CR66" i="4"/>
  <c r="CB66" i="4"/>
  <c r="BL66" i="4"/>
  <c r="AV66" i="4"/>
  <c r="AF66" i="4"/>
  <c r="P66" i="4"/>
  <c r="CZ64" i="4"/>
  <c r="CJ64" i="4"/>
  <c r="BT64" i="4"/>
  <c r="BD64" i="4"/>
  <c r="AN64" i="4"/>
  <c r="X64" i="4"/>
  <c r="H64" i="4"/>
  <c r="CV63" i="4"/>
  <c r="CF63" i="4"/>
  <c r="BP63" i="4"/>
  <c r="AZ63" i="4"/>
  <c r="AJ63" i="4"/>
  <c r="T63" i="4"/>
  <c r="D63" i="4"/>
  <c r="CR62" i="4"/>
  <c r="CB62" i="4"/>
  <c r="BO88" i="4"/>
  <c r="CC87" i="4"/>
  <c r="P87" i="4"/>
  <c r="BH86" i="4"/>
  <c r="CF84" i="4"/>
  <c r="T84" i="4"/>
  <c r="BL83" i="4"/>
  <c r="DD82" i="4"/>
  <c r="AS82" i="4"/>
  <c r="DC80" i="4"/>
  <c r="BD80" i="4"/>
  <c r="K80" i="4"/>
  <c r="CA79" i="4"/>
  <c r="AO79" i="4"/>
  <c r="P79" i="4"/>
  <c r="CT78" i="4"/>
  <c r="BV78" i="4"/>
  <c r="AZ78" i="4"/>
  <c r="AH78" i="4"/>
  <c r="R78" i="4"/>
  <c r="DF77" i="4"/>
  <c r="CP77" i="4"/>
  <c r="BZ77" i="4"/>
  <c r="BJ77" i="4"/>
  <c r="AT77" i="4"/>
  <c r="AD77" i="4"/>
  <c r="N77" i="4"/>
  <c r="CY72" i="4"/>
  <c r="CI72" i="4"/>
  <c r="BS72" i="4"/>
  <c r="BC72" i="4"/>
  <c r="AM72" i="4"/>
  <c r="W72" i="4"/>
  <c r="G72" i="4"/>
  <c r="CU71" i="4"/>
  <c r="CE71" i="4"/>
  <c r="BO71" i="4"/>
  <c r="AY71" i="4"/>
  <c r="AI71" i="4"/>
  <c r="S71" i="4"/>
  <c r="C71" i="4"/>
  <c r="CQ70" i="4"/>
  <c r="CA70" i="4"/>
  <c r="BK70" i="4"/>
  <c r="AU70" i="4"/>
  <c r="AE70" i="4"/>
  <c r="O70" i="4"/>
  <c r="CY68" i="4"/>
  <c r="CI68" i="4"/>
  <c r="BS68" i="4"/>
  <c r="BC68" i="4"/>
  <c r="AM68" i="4"/>
  <c r="W68" i="4"/>
  <c r="G68" i="4"/>
  <c r="CU67" i="4"/>
  <c r="CE67" i="4"/>
  <c r="BO67" i="4"/>
  <c r="AY67" i="4"/>
  <c r="AI67" i="4"/>
  <c r="S67" i="4"/>
  <c r="C67" i="4"/>
  <c r="CQ66" i="4"/>
  <c r="CA66" i="4"/>
  <c r="BK66" i="4"/>
  <c r="AU66" i="4"/>
  <c r="AE66" i="4"/>
  <c r="O66" i="4"/>
  <c r="CY64" i="4"/>
  <c r="CI64" i="4"/>
  <c r="BS64" i="4"/>
  <c r="BC64" i="4"/>
  <c r="AM64" i="4"/>
  <c r="W64" i="4"/>
  <c r="G64" i="4"/>
  <c r="CU63" i="4"/>
  <c r="CE63" i="4"/>
  <c r="BO63" i="4"/>
  <c r="AY63" i="4"/>
  <c r="AI63" i="4"/>
  <c r="AZ88" i="4"/>
  <c r="BS79" i="4"/>
  <c r="AW78" i="4"/>
  <c r="BI77" i="4"/>
  <c r="AJ72" i="4"/>
  <c r="AX71" i="4"/>
  <c r="BY70" i="4"/>
  <c r="AK68" i="4"/>
  <c r="BL67" i="4"/>
  <c r="CM66" i="4"/>
  <c r="AI66" i="4"/>
  <c r="CV64" i="4"/>
  <c r="AY64" i="4"/>
  <c r="CY63" i="4"/>
  <c r="BC63" i="4"/>
  <c r="Y63" i="4"/>
  <c r="DD62" i="4"/>
  <c r="CE62" i="4"/>
  <c r="BH62" i="4"/>
  <c r="AQ62" i="4"/>
  <c r="AA62" i="4"/>
  <c r="K62" i="4"/>
  <c r="CY61" i="4"/>
  <c r="CI61" i="4"/>
  <c r="BS61" i="4"/>
  <c r="BC61" i="4"/>
  <c r="AM61" i="4"/>
  <c r="W61" i="4"/>
  <c r="G61" i="4"/>
  <c r="CR56" i="4"/>
  <c r="CB56" i="4"/>
  <c r="BL56" i="4"/>
  <c r="AV56" i="4"/>
  <c r="AF56" i="4"/>
  <c r="P56" i="4"/>
  <c r="DD55" i="4"/>
  <c r="CN55" i="4"/>
  <c r="BX55" i="4"/>
  <c r="BH55" i="4"/>
  <c r="AR55" i="4"/>
  <c r="AB55" i="4"/>
  <c r="L55" i="4"/>
  <c r="CZ54" i="4"/>
  <c r="CJ54" i="4"/>
  <c r="BT54" i="4"/>
  <c r="BD54" i="4"/>
  <c r="AN54" i="4"/>
  <c r="X54" i="4"/>
  <c r="H54" i="4"/>
  <c r="CR52" i="4"/>
  <c r="CB52" i="4"/>
  <c r="BL52" i="4"/>
  <c r="AV52" i="4"/>
  <c r="AF52" i="4"/>
  <c r="P52" i="4"/>
  <c r="DD51" i="4"/>
  <c r="CN51" i="4"/>
  <c r="BX51" i="4"/>
  <c r="BH51" i="4"/>
  <c r="AR51" i="4"/>
  <c r="AB51" i="4"/>
  <c r="L51" i="4"/>
  <c r="CZ50" i="4"/>
  <c r="CJ50" i="4"/>
  <c r="AY88" i="4"/>
  <c r="CE84" i="4"/>
  <c r="BP79" i="4"/>
  <c r="AG78" i="4"/>
  <c r="BH77" i="4"/>
  <c r="V72" i="4"/>
  <c r="AW71" i="4"/>
  <c r="BX70" i="4"/>
  <c r="AJ68" i="4"/>
  <c r="AX67" i="4"/>
  <c r="CE66" i="4"/>
  <c r="AD66" i="4"/>
  <c r="CU64" i="4"/>
  <c r="AQ64" i="4"/>
  <c r="CT63" i="4"/>
  <c r="AX63" i="4"/>
  <c r="X63" i="4"/>
  <c r="DC62" i="4"/>
  <c r="CA62" i="4"/>
  <c r="BG62" i="4"/>
  <c r="AP62" i="4"/>
  <c r="Z62" i="4"/>
  <c r="J62" i="4"/>
  <c r="CX61" i="4"/>
  <c r="CH61" i="4"/>
  <c r="BR61" i="4"/>
  <c r="BB61" i="4"/>
  <c r="AL61" i="4"/>
  <c r="V61" i="4"/>
  <c r="F61" i="4"/>
  <c r="CQ56" i="4"/>
  <c r="CA56" i="4"/>
  <c r="BK56" i="4"/>
  <c r="AU56" i="4"/>
  <c r="AE56" i="4"/>
  <c r="O56" i="4"/>
  <c r="DC55" i="4"/>
  <c r="CM55" i="4"/>
  <c r="BW55" i="4"/>
  <c r="BG55" i="4"/>
  <c r="AQ55" i="4"/>
  <c r="AA55" i="4"/>
  <c r="K55" i="4"/>
  <c r="CY54" i="4"/>
  <c r="CI54" i="4"/>
  <c r="BS54" i="4"/>
  <c r="BC54" i="4"/>
  <c r="AM54" i="4"/>
  <c r="W54" i="4"/>
  <c r="G54" i="4"/>
  <c r="CQ52" i="4"/>
  <c r="CA52" i="4"/>
  <c r="BK52" i="4"/>
  <c r="AU52" i="4"/>
  <c r="AE52" i="4"/>
  <c r="O52" i="4"/>
  <c r="DC51" i="4"/>
  <c r="CM51" i="4"/>
  <c r="BW51" i="4"/>
  <c r="BG51" i="4"/>
  <c r="AQ51" i="4"/>
  <c r="AA51" i="4"/>
  <c r="K51" i="4"/>
  <c r="CY50" i="4"/>
  <c r="CI50" i="4"/>
  <c r="BS50" i="4"/>
  <c r="BC50" i="4"/>
  <c r="AM50" i="4"/>
  <c r="W50" i="4"/>
  <c r="G50" i="4"/>
  <c r="CQ48" i="4"/>
  <c r="CA48" i="4"/>
  <c r="BK48" i="4"/>
  <c r="AU48" i="4"/>
  <c r="AE48" i="4"/>
  <c r="O48" i="4"/>
  <c r="DC47" i="4"/>
  <c r="CM47" i="4"/>
  <c r="BW47" i="4"/>
  <c r="BG47" i="4"/>
  <c r="AQ47" i="4"/>
  <c r="AA47" i="4"/>
  <c r="K47" i="4"/>
  <c r="CY46" i="4"/>
  <c r="C10" i="6"/>
  <c r="CB87" i="4"/>
  <c r="BW84" i="4"/>
  <c r="AM79" i="4"/>
  <c r="AF78" i="4"/>
  <c r="BG77" i="4"/>
  <c r="CX72" i="4"/>
  <c r="U72" i="4"/>
  <c r="AV71" i="4"/>
  <c r="BJ70" i="4"/>
  <c r="V68" i="4"/>
  <c r="AW67" i="4"/>
  <c r="BZ66" i="4"/>
  <c r="AC66" i="4"/>
  <c r="CM64" i="4"/>
  <c r="AL64" i="4"/>
  <c r="CS63" i="4"/>
  <c r="AW63" i="4"/>
  <c r="W63" i="4"/>
  <c r="CY62" i="4"/>
  <c r="BZ62" i="4"/>
  <c r="BF62" i="4"/>
  <c r="AO62" i="4"/>
  <c r="Y62" i="4"/>
  <c r="I62" i="4"/>
  <c r="CW61" i="4"/>
  <c r="CG61" i="4"/>
  <c r="BQ61" i="4"/>
  <c r="BA61" i="4"/>
  <c r="AK61" i="4"/>
  <c r="U61" i="4"/>
  <c r="E61" i="4"/>
  <c r="DF56" i="4"/>
  <c r="CP56" i="4"/>
  <c r="BZ56" i="4"/>
  <c r="BJ56" i="4"/>
  <c r="AT56" i="4"/>
  <c r="AD56" i="4"/>
  <c r="N56" i="4"/>
  <c r="DB55" i="4"/>
  <c r="CL55" i="4"/>
  <c r="BV55" i="4"/>
  <c r="BF55" i="4"/>
  <c r="AP55" i="4"/>
  <c r="Z55" i="4"/>
  <c r="J55" i="4"/>
  <c r="CX54" i="4"/>
  <c r="CH54" i="4"/>
  <c r="BR54" i="4"/>
  <c r="BB54" i="4"/>
  <c r="AL54" i="4"/>
  <c r="V54" i="4"/>
  <c r="F54" i="4"/>
  <c r="DF52" i="4"/>
  <c r="CP52" i="4"/>
  <c r="BZ52" i="4"/>
  <c r="BJ52" i="4"/>
  <c r="AT52" i="4"/>
  <c r="AD52" i="4"/>
  <c r="N52" i="4"/>
  <c r="DB51" i="4"/>
  <c r="CL51" i="4"/>
  <c r="BV51" i="4"/>
  <c r="BF51" i="4"/>
  <c r="AP51" i="4"/>
  <c r="Z51" i="4"/>
  <c r="J51" i="4"/>
  <c r="CX50" i="4"/>
  <c r="CH50" i="4"/>
  <c r="BR50" i="4"/>
  <c r="BB50" i="4"/>
  <c r="AL50" i="4"/>
  <c r="V50" i="4"/>
  <c r="F50" i="4"/>
  <c r="DF48" i="4"/>
  <c r="CP48" i="4"/>
  <c r="BZ48" i="4"/>
  <c r="BJ48" i="4"/>
  <c r="AT48" i="4"/>
  <c r="AD48" i="4"/>
  <c r="N48" i="4"/>
  <c r="DB47" i="4"/>
  <c r="CL47" i="4"/>
  <c r="BV47" i="4"/>
  <c r="BF47" i="4"/>
  <c r="AP47" i="4"/>
  <c r="Z47" i="4"/>
  <c r="J47" i="4"/>
  <c r="CX46" i="4"/>
  <c r="CH46" i="4"/>
  <c r="CA87" i="4"/>
  <c r="BQ84" i="4"/>
  <c r="AL79" i="4"/>
  <c r="AE78" i="4"/>
  <c r="AS77" i="4"/>
  <c r="CW72" i="4"/>
  <c r="T72" i="4"/>
  <c r="AH71" i="4"/>
  <c r="BI70" i="4"/>
  <c r="CX68" i="4"/>
  <c r="U68" i="4"/>
  <c r="AV67" i="4"/>
  <c r="BY66" i="4"/>
  <c r="AB66" i="4"/>
  <c r="CH64" i="4"/>
  <c r="AK64" i="4"/>
  <c r="CR63" i="4"/>
  <c r="AV63" i="4"/>
  <c r="S63" i="4"/>
  <c r="CX62" i="4"/>
  <c r="BY62" i="4"/>
  <c r="BE62" i="4"/>
  <c r="AN62" i="4"/>
  <c r="X62" i="4"/>
  <c r="H62" i="4"/>
  <c r="CV61" i="4"/>
  <c r="CF61" i="4"/>
  <c r="BP61" i="4"/>
  <c r="AZ61" i="4"/>
  <c r="AJ61" i="4"/>
  <c r="T61" i="4"/>
  <c r="D61" i="4"/>
  <c r="DE56" i="4"/>
  <c r="CO56" i="4"/>
  <c r="BY56" i="4"/>
  <c r="BI56" i="4"/>
  <c r="AS56" i="4"/>
  <c r="AC56" i="4"/>
  <c r="M56" i="4"/>
  <c r="DA55" i="4"/>
  <c r="CK55" i="4"/>
  <c r="BU55" i="4"/>
  <c r="BE55" i="4"/>
  <c r="AO55" i="4"/>
  <c r="Y55" i="4"/>
  <c r="I55" i="4"/>
  <c r="CW54" i="4"/>
  <c r="CG54" i="4"/>
  <c r="BQ54" i="4"/>
  <c r="BA54" i="4"/>
  <c r="AK54" i="4"/>
  <c r="U54" i="4"/>
  <c r="E54" i="4"/>
  <c r="DE52" i="4"/>
  <c r="CO52" i="4"/>
  <c r="BY52" i="4"/>
  <c r="BI52" i="4"/>
  <c r="AS52" i="4"/>
  <c r="AC52" i="4"/>
  <c r="M52" i="4"/>
  <c r="DA51" i="4"/>
  <c r="CK51" i="4"/>
  <c r="BU51" i="4"/>
  <c r="BE51" i="4"/>
  <c r="AO51" i="4"/>
  <c r="Y51" i="4"/>
  <c r="I51" i="4"/>
  <c r="CW50" i="4"/>
  <c r="CG50" i="4"/>
  <c r="BQ50" i="4"/>
  <c r="BA50" i="4"/>
  <c r="AK50" i="4"/>
  <c r="U50" i="4"/>
  <c r="E50" i="4"/>
  <c r="DE48" i="4"/>
  <c r="CO48" i="4"/>
  <c r="BY48" i="4"/>
  <c r="BI48" i="4"/>
  <c r="AS48" i="4"/>
  <c r="AC48" i="4"/>
  <c r="M48" i="4"/>
  <c r="DA47" i="4"/>
  <c r="CK47" i="4"/>
  <c r="BU47" i="4"/>
  <c r="BE47" i="4"/>
  <c r="AO47" i="4"/>
  <c r="Y47" i="4"/>
  <c r="I47" i="4"/>
  <c r="CW46" i="4"/>
  <c r="BM87" i="4"/>
  <c r="S84" i="4"/>
  <c r="AK79" i="4"/>
  <c r="Q78" i="4"/>
  <c r="AR77" i="4"/>
  <c r="CV72" i="4"/>
  <c r="F72" i="4"/>
  <c r="AG71" i="4"/>
  <c r="BH70" i="4"/>
  <c r="CW68" i="4"/>
  <c r="T68" i="4"/>
  <c r="AH67" i="4"/>
  <c r="BX66" i="4"/>
  <c r="AA66" i="4"/>
  <c r="CG64" i="4"/>
  <c r="AJ64" i="4"/>
  <c r="CQ63" i="4"/>
  <c r="AU63" i="4"/>
  <c r="R63" i="4"/>
  <c r="CW62" i="4"/>
  <c r="BX62" i="4"/>
  <c r="BC62" i="4"/>
  <c r="AM62" i="4"/>
  <c r="W62" i="4"/>
  <c r="G62" i="4"/>
  <c r="CU61" i="4"/>
  <c r="CE61" i="4"/>
  <c r="BO61" i="4"/>
  <c r="AY61" i="4"/>
  <c r="AI61" i="4"/>
  <c r="S61" i="4"/>
  <c r="C61" i="4"/>
  <c r="DD56" i="4"/>
  <c r="CN56" i="4"/>
  <c r="BX56" i="4"/>
  <c r="BH56" i="4"/>
  <c r="AR56" i="4"/>
  <c r="AB56" i="4"/>
  <c r="L56" i="4"/>
  <c r="CZ55" i="4"/>
  <c r="CJ55" i="4"/>
  <c r="BT55" i="4"/>
  <c r="BD55" i="4"/>
  <c r="AN55" i="4"/>
  <c r="X55" i="4"/>
  <c r="H55" i="4"/>
  <c r="CV54" i="4"/>
  <c r="CF54" i="4"/>
  <c r="BP54" i="4"/>
  <c r="AZ54" i="4"/>
  <c r="AJ54" i="4"/>
  <c r="T54" i="4"/>
  <c r="D54" i="4"/>
  <c r="DD52" i="4"/>
  <c r="CN52" i="4"/>
  <c r="BX52" i="4"/>
  <c r="BH52" i="4"/>
  <c r="AR52" i="4"/>
  <c r="AB52" i="4"/>
  <c r="L52" i="4"/>
  <c r="CZ51" i="4"/>
  <c r="CJ51" i="4"/>
  <c r="BT51" i="4"/>
  <c r="BD51" i="4"/>
  <c r="AN51" i="4"/>
  <c r="X51" i="4"/>
  <c r="H51" i="4"/>
  <c r="CV50" i="4"/>
  <c r="CF50" i="4"/>
  <c r="BP50" i="4"/>
  <c r="AZ50" i="4"/>
  <c r="AJ50" i="4"/>
  <c r="T50" i="4"/>
  <c r="D50" i="4"/>
  <c r="DD48" i="4"/>
  <c r="CN48" i="4"/>
  <c r="BX48" i="4"/>
  <c r="BH48" i="4"/>
  <c r="AR48" i="4"/>
  <c r="AB48" i="4"/>
  <c r="L48" i="4"/>
  <c r="CZ47" i="4"/>
  <c r="CJ47" i="4"/>
  <c r="BT47" i="4"/>
  <c r="BD47" i="4"/>
  <c r="AN47" i="4"/>
  <c r="O87" i="4"/>
  <c r="K84" i="4"/>
  <c r="O79" i="4"/>
  <c r="P78" i="4"/>
  <c r="AQ77" i="4"/>
  <c r="CH72" i="4"/>
  <c r="E72" i="4"/>
  <c r="AF71" i="4"/>
  <c r="AT70" i="4"/>
  <c r="CV68" i="4"/>
  <c r="F68" i="4"/>
  <c r="AG67" i="4"/>
  <c r="BW66" i="4"/>
  <c r="S66" i="4"/>
  <c r="CF64" i="4"/>
  <c r="AI64" i="4"/>
  <c r="CI63" i="4"/>
  <c r="AQ63" i="4"/>
  <c r="Q63" i="4"/>
  <c r="CV62" i="4"/>
  <c r="BW62" i="4"/>
  <c r="BB62" i="4"/>
  <c r="AL62" i="4"/>
  <c r="V62" i="4"/>
  <c r="F62" i="4"/>
  <c r="CT61" i="4"/>
  <c r="CD61" i="4"/>
  <c r="BN61" i="4"/>
  <c r="AX61" i="4"/>
  <c r="AH61" i="4"/>
  <c r="R61" i="4"/>
  <c r="DC56" i="4"/>
  <c r="CM56" i="4"/>
  <c r="BW56" i="4"/>
  <c r="BG56" i="4"/>
  <c r="AQ56" i="4"/>
  <c r="AA56" i="4"/>
  <c r="K56" i="4"/>
  <c r="CY55" i="4"/>
  <c r="CI55" i="4"/>
  <c r="BS55" i="4"/>
  <c r="BC55" i="4"/>
  <c r="AM55" i="4"/>
  <c r="W55" i="4"/>
  <c r="G55" i="4"/>
  <c r="CU54" i="4"/>
  <c r="CE54" i="4"/>
  <c r="BO54" i="4"/>
  <c r="AY54" i="4"/>
  <c r="AI54" i="4"/>
  <c r="S54" i="4"/>
  <c r="C54" i="4"/>
  <c r="DC52" i="4"/>
  <c r="CM52" i="4"/>
  <c r="BW52" i="4"/>
  <c r="BG52" i="4"/>
  <c r="AQ52" i="4"/>
  <c r="AA52" i="4"/>
  <c r="K52" i="4"/>
  <c r="CY51" i="4"/>
  <c r="CI51" i="4"/>
  <c r="BS51" i="4"/>
  <c r="BC51" i="4"/>
  <c r="AM51" i="4"/>
  <c r="W51" i="4"/>
  <c r="G51" i="4"/>
  <c r="CU50" i="4"/>
  <c r="CE50" i="4"/>
  <c r="G87" i="4"/>
  <c r="E84" i="4"/>
  <c r="CZ80" i="4"/>
  <c r="N79" i="4"/>
  <c r="O78" i="4"/>
  <c r="AC77" i="4"/>
  <c r="CG72" i="4"/>
  <c r="D72" i="4"/>
  <c r="R71" i="4"/>
  <c r="AS70" i="4"/>
  <c r="CH68" i="4"/>
  <c r="E68" i="4"/>
  <c r="AF67" i="4"/>
  <c r="BO66" i="4"/>
  <c r="N66" i="4"/>
  <c r="CE64" i="4"/>
  <c r="AA64" i="4"/>
  <c r="CD63" i="4"/>
  <c r="AP63" i="4"/>
  <c r="P63" i="4"/>
  <c r="CU62" i="4"/>
  <c r="BS62" i="4"/>
  <c r="BA62" i="4"/>
  <c r="AK62" i="4"/>
  <c r="U62" i="4"/>
  <c r="E62" i="4"/>
  <c r="CS61" i="4"/>
  <c r="CC61" i="4"/>
  <c r="BM61" i="4"/>
  <c r="AW61" i="4"/>
  <c r="AG61" i="4"/>
  <c r="Q61" i="4"/>
  <c r="DB56" i="4"/>
  <c r="CL56" i="4"/>
  <c r="BV56" i="4"/>
  <c r="BF56" i="4"/>
  <c r="AP56" i="4"/>
  <c r="Z56" i="4"/>
  <c r="J56" i="4"/>
  <c r="CX55" i="4"/>
  <c r="CH55" i="4"/>
  <c r="BR55" i="4"/>
  <c r="BB55" i="4"/>
  <c r="AL55" i="4"/>
  <c r="V55" i="4"/>
  <c r="F55" i="4"/>
  <c r="CT54" i="4"/>
  <c r="CD54" i="4"/>
  <c r="BN54" i="4"/>
  <c r="AX54" i="4"/>
  <c r="AH54" i="4"/>
  <c r="R54" i="4"/>
  <c r="DB52" i="4"/>
  <c r="CL52" i="4"/>
  <c r="BV52" i="4"/>
  <c r="BF52" i="4"/>
  <c r="AP52" i="4"/>
  <c r="Z52" i="4"/>
  <c r="J52" i="4"/>
  <c r="CX51" i="4"/>
  <c r="CH51" i="4"/>
  <c r="BR51" i="4"/>
  <c r="BB51" i="4"/>
  <c r="AL51" i="4"/>
  <c r="V51" i="4"/>
  <c r="F51" i="4"/>
  <c r="CT50" i="4"/>
  <c r="CD50" i="4"/>
  <c r="BN50" i="4"/>
  <c r="AX50" i="4"/>
  <c r="AH50" i="4"/>
  <c r="R50" i="4"/>
  <c r="DE86" i="4"/>
  <c r="BK83" i="4"/>
  <c r="CW80" i="4"/>
  <c r="L79" i="4"/>
  <c r="DE77" i="4"/>
  <c r="AB77" i="4"/>
  <c r="CF72" i="4"/>
  <c r="CT71" i="4"/>
  <c r="Q71" i="4"/>
  <c r="AR70" i="4"/>
  <c r="CG68" i="4"/>
  <c r="D68" i="4"/>
  <c r="R67" i="4"/>
  <c r="BJ66" i="4"/>
  <c r="M66" i="4"/>
  <c r="BW64" i="4"/>
  <c r="V64" i="4"/>
  <c r="CC63" i="4"/>
  <c r="AO63" i="4"/>
  <c r="O63" i="4"/>
  <c r="CQ62" i="4"/>
  <c r="BR62" i="4"/>
  <c r="AZ62" i="4"/>
  <c r="AJ62" i="4"/>
  <c r="T62" i="4"/>
  <c r="D62" i="4"/>
  <c r="CR61" i="4"/>
  <c r="CB61" i="4"/>
  <c r="BL61" i="4"/>
  <c r="AV61" i="4"/>
  <c r="AF61" i="4"/>
  <c r="P61" i="4"/>
  <c r="DA56" i="4"/>
  <c r="CK56" i="4"/>
  <c r="BU56" i="4"/>
  <c r="BE56" i="4"/>
  <c r="AO56" i="4"/>
  <c r="Y56" i="4"/>
  <c r="I56" i="4"/>
  <c r="CW55" i="4"/>
  <c r="CG55" i="4"/>
  <c r="BQ55" i="4"/>
  <c r="BA55" i="4"/>
  <c r="AK55" i="4"/>
  <c r="U55" i="4"/>
  <c r="E55" i="4"/>
  <c r="CS54" i="4"/>
  <c r="CC54" i="4"/>
  <c r="BM54" i="4"/>
  <c r="AW54" i="4"/>
  <c r="AG54" i="4"/>
  <c r="Q54" i="4"/>
  <c r="DA52" i="4"/>
  <c r="CK52" i="4"/>
  <c r="BU52" i="4"/>
  <c r="BE52" i="4"/>
  <c r="AO52" i="4"/>
  <c r="Y52" i="4"/>
  <c r="I52" i="4"/>
  <c r="CW51" i="4"/>
  <c r="CG51" i="4"/>
  <c r="BQ51" i="4"/>
  <c r="BA51" i="4"/>
  <c r="AK51" i="4"/>
  <c r="U51" i="4"/>
  <c r="E51" i="4"/>
  <c r="CS50" i="4"/>
  <c r="CC50" i="4"/>
  <c r="BM50" i="4"/>
  <c r="AW50" i="4"/>
  <c r="AG50" i="4"/>
  <c r="Q50" i="4"/>
  <c r="BG86" i="4"/>
  <c r="BC83" i="4"/>
  <c r="CV80" i="4"/>
  <c r="CS78" i="4"/>
  <c r="DD77" i="4"/>
  <c r="AA77" i="4"/>
  <c r="BR72" i="4"/>
  <c r="CS71" i="4"/>
  <c r="P71" i="4"/>
  <c r="AD70" i="4"/>
  <c r="CF68" i="4"/>
  <c r="CT67" i="4"/>
  <c r="Q67" i="4"/>
  <c r="BI66" i="4"/>
  <c r="L66" i="4"/>
  <c r="BR64" i="4"/>
  <c r="U64" i="4"/>
  <c r="CB63" i="4"/>
  <c r="AN63" i="4"/>
  <c r="K63" i="4"/>
  <c r="CP62" i="4"/>
  <c r="BQ62" i="4"/>
  <c r="AY62" i="4"/>
  <c r="AI62" i="4"/>
  <c r="S62" i="4"/>
  <c r="C62" i="4"/>
  <c r="CQ61" i="4"/>
  <c r="CA61" i="4"/>
  <c r="BK61" i="4"/>
  <c r="AU61" i="4"/>
  <c r="AE61" i="4"/>
  <c r="O61" i="4"/>
  <c r="CZ56" i="4"/>
  <c r="CJ56" i="4"/>
  <c r="BT56" i="4"/>
  <c r="BD56" i="4"/>
  <c r="AN56" i="4"/>
  <c r="X56" i="4"/>
  <c r="H56" i="4"/>
  <c r="CV55" i="4"/>
  <c r="CF55" i="4"/>
  <c r="BP55" i="4"/>
  <c r="AZ55" i="4"/>
  <c r="AJ55" i="4"/>
  <c r="T55" i="4"/>
  <c r="D55" i="4"/>
  <c r="CR54" i="4"/>
  <c r="CB54" i="4"/>
  <c r="BL54" i="4"/>
  <c r="AV54" i="4"/>
  <c r="AF54" i="4"/>
  <c r="P54" i="4"/>
  <c r="CZ52" i="4"/>
  <c r="CJ52" i="4"/>
  <c r="BT52" i="4"/>
  <c r="BD52" i="4"/>
  <c r="AN52" i="4"/>
  <c r="X52" i="4"/>
  <c r="H52" i="4"/>
  <c r="CV51" i="4"/>
  <c r="CF51" i="4"/>
  <c r="BP51" i="4"/>
  <c r="AZ51" i="4"/>
  <c r="AJ51" i="4"/>
  <c r="T51" i="4"/>
  <c r="D51" i="4"/>
  <c r="CR50" i="4"/>
  <c r="CB50" i="4"/>
  <c r="AY86" i="4"/>
  <c r="AW83" i="4"/>
  <c r="BA80" i="4"/>
  <c r="CR78" i="4"/>
  <c r="DC77" i="4"/>
  <c r="M77" i="4"/>
  <c r="BQ72" i="4"/>
  <c r="CR71" i="4"/>
  <c r="DF70" i="4"/>
  <c r="AC70" i="4"/>
  <c r="BR68" i="4"/>
  <c r="CS67" i="4"/>
  <c r="P67" i="4"/>
  <c r="BH66" i="4"/>
  <c r="K66" i="4"/>
  <c r="BQ64" i="4"/>
  <c r="T64" i="4"/>
  <c r="CA63" i="4"/>
  <c r="AM63" i="4"/>
  <c r="J63" i="4"/>
  <c r="CO62" i="4"/>
  <c r="BP62" i="4"/>
  <c r="AX62" i="4"/>
  <c r="AH62" i="4"/>
  <c r="R62" i="4"/>
  <c r="DF61" i="4"/>
  <c r="CP61" i="4"/>
  <c r="BZ61" i="4"/>
  <c r="BJ61" i="4"/>
  <c r="AT61" i="4"/>
  <c r="AD61" i="4"/>
  <c r="N61" i="4"/>
  <c r="CY56" i="4"/>
  <c r="CI56" i="4"/>
  <c r="BS56" i="4"/>
  <c r="BC56" i="4"/>
  <c r="AM56" i="4"/>
  <c r="W56" i="4"/>
  <c r="G56" i="4"/>
  <c r="CU55" i="4"/>
  <c r="CE55" i="4"/>
  <c r="BO55" i="4"/>
  <c r="AY55" i="4"/>
  <c r="AI55" i="4"/>
  <c r="S55" i="4"/>
  <c r="C55" i="4"/>
  <c r="CQ54" i="4"/>
  <c r="CA54" i="4"/>
  <c r="BK54" i="4"/>
  <c r="AU54" i="4"/>
  <c r="AE54" i="4"/>
  <c r="O54" i="4"/>
  <c r="CY52" i="4"/>
  <c r="CI52" i="4"/>
  <c r="BS52" i="4"/>
  <c r="BC52" i="4"/>
  <c r="AM52" i="4"/>
  <c r="W52" i="4"/>
  <c r="G52" i="4"/>
  <c r="CU51" i="4"/>
  <c r="CE51" i="4"/>
  <c r="BO51" i="4"/>
  <c r="AY51" i="4"/>
  <c r="AI51" i="4"/>
  <c r="S51" i="4"/>
  <c r="C51" i="4"/>
  <c r="CQ50" i="4"/>
  <c r="CA50" i="4"/>
  <c r="BK50" i="4"/>
  <c r="AU50" i="4"/>
  <c r="AE50" i="4"/>
  <c r="O50" i="4"/>
  <c r="CY48" i="4"/>
  <c r="CI48" i="4"/>
  <c r="BS48" i="4"/>
  <c r="BC48" i="4"/>
  <c r="AM48" i="4"/>
  <c r="W48" i="4"/>
  <c r="G48" i="4"/>
  <c r="CU47" i="4"/>
  <c r="CE47" i="4"/>
  <c r="BO47" i="4"/>
  <c r="AY47" i="4"/>
  <c r="AI47" i="4"/>
  <c r="S47" i="4"/>
  <c r="C47" i="4"/>
  <c r="CQ46" i="4"/>
  <c r="AS86" i="4"/>
  <c r="DC82" i="4"/>
  <c r="AZ80" i="4"/>
  <c r="CO78" i="4"/>
  <c r="CO77" i="4"/>
  <c r="L77" i="4"/>
  <c r="BP72" i="4"/>
  <c r="CD71" i="4"/>
  <c r="DE70" i="4"/>
  <c r="AB70" i="4"/>
  <c r="BQ68" i="4"/>
  <c r="CR67" i="4"/>
  <c r="DF66" i="4"/>
  <c r="BG66" i="4"/>
  <c r="C66" i="4"/>
  <c r="BP64" i="4"/>
  <c r="S64" i="4"/>
  <c r="BS63" i="4"/>
  <c r="AH63" i="4"/>
  <c r="I63" i="4"/>
  <c r="CN62" i="4"/>
  <c r="BO62" i="4"/>
  <c r="AW62" i="4"/>
  <c r="AG62" i="4"/>
  <c r="Q62" i="4"/>
  <c r="DE61" i="4"/>
  <c r="CO61" i="4"/>
  <c r="BY61" i="4"/>
  <c r="BI61" i="4"/>
  <c r="AS61" i="4"/>
  <c r="AC61" i="4"/>
  <c r="M61" i="4"/>
  <c r="CX56" i="4"/>
  <c r="CH56" i="4"/>
  <c r="BR56" i="4"/>
  <c r="BB56" i="4"/>
  <c r="AL56" i="4"/>
  <c r="V56" i="4"/>
  <c r="F56" i="4"/>
  <c r="CT55" i="4"/>
  <c r="CD55" i="4"/>
  <c r="BN55" i="4"/>
  <c r="AX55" i="4"/>
  <c r="AH55" i="4"/>
  <c r="R55" i="4"/>
  <c r="DF54" i="4"/>
  <c r="CP54" i="4"/>
  <c r="BZ54" i="4"/>
  <c r="BJ54" i="4"/>
  <c r="AT54" i="4"/>
  <c r="AD54" i="4"/>
  <c r="N54" i="4"/>
  <c r="CX52" i="4"/>
  <c r="CH52" i="4"/>
  <c r="BR52" i="4"/>
  <c r="BB52" i="4"/>
  <c r="AL52" i="4"/>
  <c r="V52" i="4"/>
  <c r="F52" i="4"/>
  <c r="CT51" i="4"/>
  <c r="CD51" i="4"/>
  <c r="BN51" i="4"/>
  <c r="AX51" i="4"/>
  <c r="AH51" i="4"/>
  <c r="R51" i="4"/>
  <c r="DF50" i="4"/>
  <c r="CP50" i="4"/>
  <c r="BZ50" i="4"/>
  <c r="BJ50" i="4"/>
  <c r="AT50" i="4"/>
  <c r="AD50" i="4"/>
  <c r="N50" i="4"/>
  <c r="CX48" i="4"/>
  <c r="CH48" i="4"/>
  <c r="BR48" i="4"/>
  <c r="BB48" i="4"/>
  <c r="AL48" i="4"/>
  <c r="V48" i="4"/>
  <c r="F48" i="4"/>
  <c r="CT47" i="4"/>
  <c r="CD47" i="4"/>
  <c r="BN47" i="4"/>
  <c r="AX47" i="4"/>
  <c r="AH47" i="4"/>
  <c r="R47" i="4"/>
  <c r="DF46" i="4"/>
  <c r="CP46" i="4"/>
  <c r="BZ46" i="4"/>
  <c r="CU82" i="4"/>
  <c r="AY80" i="4"/>
  <c r="BU78" i="4"/>
  <c r="CN77" i="4"/>
  <c r="K77" i="4"/>
  <c r="BB72" i="4"/>
  <c r="CC71" i="4"/>
  <c r="DD70" i="4"/>
  <c r="N70" i="4"/>
  <c r="BP68" i="4"/>
  <c r="CD67" i="4"/>
  <c r="DE66" i="4"/>
  <c r="AY66" i="4"/>
  <c r="BO64" i="4"/>
  <c r="K64" i="4"/>
  <c r="BN63" i="4"/>
  <c r="AG63" i="4"/>
  <c r="H63" i="4"/>
  <c r="CM62" i="4"/>
  <c r="BN62" i="4"/>
  <c r="AV62" i="4"/>
  <c r="AF62" i="4"/>
  <c r="P62" i="4"/>
  <c r="DD61" i="4"/>
  <c r="CN61" i="4"/>
  <c r="BX61" i="4"/>
  <c r="BH61" i="4"/>
  <c r="AR61" i="4"/>
  <c r="AB61" i="4"/>
  <c r="L61" i="4"/>
  <c r="CW56" i="4"/>
  <c r="CG56" i="4"/>
  <c r="BQ56" i="4"/>
  <c r="BA56" i="4"/>
  <c r="AK56" i="4"/>
  <c r="U56" i="4"/>
  <c r="E56" i="4"/>
  <c r="CS55" i="4"/>
  <c r="CC55" i="4"/>
  <c r="BM55" i="4"/>
  <c r="AW55" i="4"/>
  <c r="AG55" i="4"/>
  <c r="Q55" i="4"/>
  <c r="DE54" i="4"/>
  <c r="CO54" i="4"/>
  <c r="BY54" i="4"/>
  <c r="BI54" i="4"/>
  <c r="AS54" i="4"/>
  <c r="AC54" i="4"/>
  <c r="M54" i="4"/>
  <c r="CW52" i="4"/>
  <c r="CG52" i="4"/>
  <c r="BQ52" i="4"/>
  <c r="BA52" i="4"/>
  <c r="AK52" i="4"/>
  <c r="U52" i="4"/>
  <c r="E52" i="4"/>
  <c r="CS51" i="4"/>
  <c r="CC51" i="4"/>
  <c r="BM51" i="4"/>
  <c r="AW51" i="4"/>
  <c r="AG51" i="4"/>
  <c r="Q51" i="4"/>
  <c r="DE50" i="4"/>
  <c r="CO50" i="4"/>
  <c r="BY50" i="4"/>
  <c r="BI50" i="4"/>
  <c r="AS50" i="4"/>
  <c r="AC50" i="4"/>
  <c r="M50" i="4"/>
  <c r="CW48" i="4"/>
  <c r="CG48" i="4"/>
  <c r="BQ48" i="4"/>
  <c r="BA48" i="4"/>
  <c r="AK48" i="4"/>
  <c r="U48" i="4"/>
  <c r="E48" i="4"/>
  <c r="CS47" i="4"/>
  <c r="CC47" i="4"/>
  <c r="BM47" i="4"/>
  <c r="AW47" i="4"/>
  <c r="AG47" i="4"/>
  <c r="Q47" i="4"/>
  <c r="DE46" i="4"/>
  <c r="CO46" i="4"/>
  <c r="CO82" i="4"/>
  <c r="H80" i="4"/>
  <c r="BT78" i="4"/>
  <c r="CM77" i="4"/>
  <c r="BA72" i="4"/>
  <c r="CB71" i="4"/>
  <c r="CP70" i="4"/>
  <c r="M70" i="4"/>
  <c r="BB68" i="4"/>
  <c r="CC67" i="4"/>
  <c r="DD66" i="4"/>
  <c r="AT66" i="4"/>
  <c r="BG64" i="4"/>
  <c r="F64" i="4"/>
  <c r="BM63" i="4"/>
  <c r="AF63" i="4"/>
  <c r="G63" i="4"/>
  <c r="CI62" i="4"/>
  <c r="BL62" i="4"/>
  <c r="AU62" i="4"/>
  <c r="AE62" i="4"/>
  <c r="O62" i="4"/>
  <c r="DC61" i="4"/>
  <c r="CM61" i="4"/>
  <c r="BW61" i="4"/>
  <c r="BG61" i="4"/>
  <c r="AQ61" i="4"/>
  <c r="AA61" i="4"/>
  <c r="K61" i="4"/>
  <c r="CV56" i="4"/>
  <c r="CF56" i="4"/>
  <c r="BP56" i="4"/>
  <c r="AZ56" i="4"/>
  <c r="AJ56" i="4"/>
  <c r="T56" i="4"/>
  <c r="D56" i="4"/>
  <c r="CR55" i="4"/>
  <c r="CB55" i="4"/>
  <c r="BL55" i="4"/>
  <c r="AV55" i="4"/>
  <c r="AF55" i="4"/>
  <c r="P55" i="4"/>
  <c r="DD54" i="4"/>
  <c r="CN54" i="4"/>
  <c r="BX54" i="4"/>
  <c r="BH54" i="4"/>
  <c r="AR54" i="4"/>
  <c r="AB54" i="4"/>
  <c r="L54" i="4"/>
  <c r="CV52" i="4"/>
  <c r="CF52" i="4"/>
  <c r="BP52" i="4"/>
  <c r="AZ52" i="4"/>
  <c r="AJ52" i="4"/>
  <c r="T52" i="4"/>
  <c r="D52" i="4"/>
  <c r="CR51" i="4"/>
  <c r="CB51" i="4"/>
  <c r="BL51" i="4"/>
  <c r="AV51" i="4"/>
  <c r="AF51" i="4"/>
  <c r="P51" i="4"/>
  <c r="DD50" i="4"/>
  <c r="CN50" i="4"/>
  <c r="BX50" i="4"/>
  <c r="BH50" i="4"/>
  <c r="AR50" i="4"/>
  <c r="AB50" i="4"/>
  <c r="L50" i="4"/>
  <c r="CV48" i="4"/>
  <c r="CF48" i="4"/>
  <c r="BP48" i="4"/>
  <c r="AZ48" i="4"/>
  <c r="AJ48" i="4"/>
  <c r="T48" i="4"/>
  <c r="D48" i="4"/>
  <c r="CR47" i="4"/>
  <c r="CB47" i="4"/>
  <c r="BL47" i="4"/>
  <c r="E80" i="4"/>
  <c r="AZ72" i="4"/>
  <c r="AZ68" i="4"/>
  <c r="C63" i="4"/>
  <c r="M62" i="4"/>
  <c r="AN61" i="4"/>
  <c r="CE56" i="4"/>
  <c r="DF55" i="4"/>
  <c r="AC55" i="4"/>
  <c r="AQ54" i="4"/>
  <c r="CS52" i="4"/>
  <c r="C52" i="4"/>
  <c r="AD51" i="4"/>
  <c r="BL50" i="4"/>
  <c r="X50" i="4"/>
  <c r="DA48" i="4"/>
  <c r="BU48" i="4"/>
  <c r="AO48" i="4"/>
  <c r="I48" i="4"/>
  <c r="CG47" i="4"/>
  <c r="BA47" i="4"/>
  <c r="X47" i="4"/>
  <c r="DC46" i="4"/>
  <c r="CF46" i="4"/>
  <c r="BO46" i="4"/>
  <c r="AY46" i="4"/>
  <c r="AI46" i="4"/>
  <c r="S46" i="4"/>
  <c r="C46" i="4"/>
  <c r="CQ45" i="4"/>
  <c r="CA45" i="4"/>
  <c r="BK45" i="4"/>
  <c r="AU45" i="4"/>
  <c r="AE45" i="4"/>
  <c r="O45" i="4"/>
  <c r="D80" i="4"/>
  <c r="AL72" i="4"/>
  <c r="AL68" i="4"/>
  <c r="DC64" i="4"/>
  <c r="DF62" i="4"/>
  <c r="L62" i="4"/>
  <c r="Z61" i="4"/>
  <c r="CD56" i="4"/>
  <c r="DE55" i="4"/>
  <c r="O55" i="4"/>
  <c r="AP54" i="4"/>
  <c r="CE52" i="4"/>
  <c r="DF51" i="4"/>
  <c r="AC51" i="4"/>
  <c r="BG50" i="4"/>
  <c r="S50" i="4"/>
  <c r="CZ48" i="4"/>
  <c r="BT48" i="4"/>
  <c r="AN48" i="4"/>
  <c r="H48" i="4"/>
  <c r="CF47" i="4"/>
  <c r="AZ47" i="4"/>
  <c r="W47" i="4"/>
  <c r="DB46" i="4"/>
  <c r="CE46" i="4"/>
  <c r="BN46" i="4"/>
  <c r="AX46" i="4"/>
  <c r="AH46" i="4"/>
  <c r="R46" i="4"/>
  <c r="DF45" i="4"/>
  <c r="CP45" i="4"/>
  <c r="BZ45" i="4"/>
  <c r="BJ45" i="4"/>
  <c r="AT45" i="4"/>
  <c r="AD45" i="4"/>
  <c r="N45" i="4"/>
  <c r="BZ79" i="4"/>
  <c r="AK72" i="4"/>
  <c r="CB67" i="4"/>
  <c r="CX64" i="4"/>
  <c r="DE62" i="4"/>
  <c r="DB61" i="4"/>
  <c r="Y61" i="4"/>
  <c r="CC56" i="4"/>
  <c r="CQ55" i="4"/>
  <c r="N55" i="4"/>
  <c r="AO54" i="4"/>
  <c r="CD52" i="4"/>
  <c r="DE51" i="4"/>
  <c r="O51" i="4"/>
  <c r="BF50" i="4"/>
  <c r="P50" i="4"/>
  <c r="CU48" i="4"/>
  <c r="BO48" i="4"/>
  <c r="AI48" i="4"/>
  <c r="C48" i="4"/>
  <c r="CA47" i="4"/>
  <c r="AV47" i="4"/>
  <c r="V47" i="4"/>
  <c r="DA46" i="4"/>
  <c r="CD46" i="4"/>
  <c r="BM46" i="4"/>
  <c r="AW46" i="4"/>
  <c r="AG46" i="4"/>
  <c r="Q46" i="4"/>
  <c r="DE45" i="4"/>
  <c r="CO45" i="4"/>
  <c r="BY45" i="4"/>
  <c r="BI45" i="4"/>
  <c r="AS45" i="4"/>
  <c r="AC45" i="4"/>
  <c r="M45" i="4"/>
  <c r="BQ78" i="4"/>
  <c r="BN71" i="4"/>
  <c r="BN67" i="4"/>
  <c r="CW64" i="4"/>
  <c r="CH62" i="4"/>
  <c r="DA61" i="4"/>
  <c r="X61" i="4"/>
  <c r="BO56" i="4"/>
  <c r="CP55" i="4"/>
  <c r="M55" i="4"/>
  <c r="AA54" i="4"/>
  <c r="CC52" i="4"/>
  <c r="CQ51" i="4"/>
  <c r="N51" i="4"/>
  <c r="BE50" i="4"/>
  <c r="K50" i="4"/>
  <c r="CT48" i="4"/>
  <c r="BN48" i="4"/>
  <c r="AH48" i="4"/>
  <c r="DF47" i="4"/>
  <c r="BZ47" i="4"/>
  <c r="AU47" i="4"/>
  <c r="U47" i="4"/>
  <c r="CZ46" i="4"/>
  <c r="CC46" i="4"/>
  <c r="BL46" i="4"/>
  <c r="AV46" i="4"/>
  <c r="AF46" i="4"/>
  <c r="P46" i="4"/>
  <c r="DD45" i="4"/>
  <c r="CN45" i="4"/>
  <c r="BX45" i="4"/>
  <c r="BH45" i="4"/>
  <c r="AR45" i="4"/>
  <c r="AB45" i="4"/>
  <c r="L45" i="4"/>
  <c r="AY78" i="4"/>
  <c r="BM71" i="4"/>
  <c r="BM67" i="4"/>
  <c r="BB64" i="4"/>
  <c r="CG62" i="4"/>
  <c r="CZ61" i="4"/>
  <c r="J61" i="4"/>
  <c r="BN56" i="4"/>
  <c r="CO55" i="4"/>
  <c r="DC54" i="4"/>
  <c r="Z54" i="4"/>
  <c r="BO52" i="4"/>
  <c r="CP51" i="4"/>
  <c r="M51" i="4"/>
  <c r="BD50" i="4"/>
  <c r="J50" i="4"/>
  <c r="CS48" i="4"/>
  <c r="BM48" i="4"/>
  <c r="AG48" i="4"/>
  <c r="DE47" i="4"/>
  <c r="BY47" i="4"/>
  <c r="AT47" i="4"/>
  <c r="T47" i="4"/>
  <c r="CV46" i="4"/>
  <c r="CB46" i="4"/>
  <c r="BK46" i="4"/>
  <c r="AU46" i="4"/>
  <c r="AE46" i="4"/>
  <c r="O46" i="4"/>
  <c r="DC45" i="4"/>
  <c r="CM45" i="4"/>
  <c r="BW45" i="4"/>
  <c r="BG45" i="4"/>
  <c r="AQ45" i="4"/>
  <c r="AA45" i="4"/>
  <c r="K45" i="4"/>
  <c r="AX78" i="4"/>
  <c r="BL71" i="4"/>
  <c r="CP66" i="4"/>
  <c r="BA64" i="4"/>
  <c r="CF62" i="4"/>
  <c r="CL61" i="4"/>
  <c r="I61" i="4"/>
  <c r="BM56" i="4"/>
  <c r="CA55" i="4"/>
  <c r="DB54" i="4"/>
  <c r="Y54" i="4"/>
  <c r="BN52" i="4"/>
  <c r="CO51" i="4"/>
  <c r="DC50" i="4"/>
  <c r="AY50" i="4"/>
  <c r="I50" i="4"/>
  <c r="CR48" i="4"/>
  <c r="BL48" i="4"/>
  <c r="AF48" i="4"/>
  <c r="DD47" i="4"/>
  <c r="BX47" i="4"/>
  <c r="AS47" i="4"/>
  <c r="P47" i="4"/>
  <c r="CU46" i="4"/>
  <c r="CA46" i="4"/>
  <c r="BJ46" i="4"/>
  <c r="AT46" i="4"/>
  <c r="AD46" i="4"/>
  <c r="N46" i="4"/>
  <c r="DB45" i="4"/>
  <c r="CL45" i="4"/>
  <c r="BV45" i="4"/>
  <c r="BF45" i="4"/>
  <c r="AP45" i="4"/>
  <c r="Z45" i="4"/>
  <c r="J45" i="4"/>
  <c r="BY77" i="4"/>
  <c r="CO70" i="4"/>
  <c r="CO66" i="4"/>
  <c r="AZ64" i="4"/>
  <c r="BK62" i="4"/>
  <c r="CK61" i="4"/>
  <c r="H61" i="4"/>
  <c r="AY56" i="4"/>
  <c r="BZ55" i="4"/>
  <c r="DA54" i="4"/>
  <c r="K54" i="4"/>
  <c r="BM52" i="4"/>
  <c r="CA51" i="4"/>
  <c r="DB50" i="4"/>
  <c r="AV50" i="4"/>
  <c r="H50" i="4"/>
  <c r="CM48" i="4"/>
  <c r="BG48" i="4"/>
  <c r="AA48" i="4"/>
  <c r="CY47" i="4"/>
  <c r="BS47" i="4"/>
  <c r="AR47" i="4"/>
  <c r="O47" i="4"/>
  <c r="CT46" i="4"/>
  <c r="BY46" i="4"/>
  <c r="BI46" i="4"/>
  <c r="AS46" i="4"/>
  <c r="AC46" i="4"/>
  <c r="M46" i="4"/>
  <c r="DA45" i="4"/>
  <c r="CK45" i="4"/>
  <c r="BU45" i="4"/>
  <c r="BE45" i="4"/>
  <c r="AO45" i="4"/>
  <c r="Y45" i="4"/>
  <c r="I45" i="4"/>
  <c r="BX77" i="4"/>
  <c r="CN70" i="4"/>
  <c r="CN66" i="4"/>
  <c r="E64" i="4"/>
  <c r="BJ62" i="4"/>
  <c r="CJ61" i="4"/>
  <c r="AX56" i="4"/>
  <c r="BY55" i="4"/>
  <c r="CM54" i="4"/>
  <c r="J54" i="4"/>
  <c r="AY52" i="4"/>
  <c r="BZ51" i="4"/>
  <c r="DA50" i="4"/>
  <c r="AQ50" i="4"/>
  <c r="C50" i="4"/>
  <c r="CL48" i="4"/>
  <c r="BF48" i="4"/>
  <c r="Z48" i="4"/>
  <c r="CX47" i="4"/>
  <c r="BR47" i="4"/>
  <c r="AM47" i="4"/>
  <c r="N47" i="4"/>
  <c r="CS46" i="4"/>
  <c r="BX46" i="4"/>
  <c r="BH46" i="4"/>
  <c r="AR46" i="4"/>
  <c r="AB46" i="4"/>
  <c r="L46" i="4"/>
  <c r="CZ45" i="4"/>
  <c r="CJ45" i="4"/>
  <c r="BT45" i="4"/>
  <c r="BD45" i="4"/>
  <c r="AN45" i="4"/>
  <c r="X45" i="4"/>
  <c r="H45" i="4"/>
  <c r="BW77" i="4"/>
  <c r="BZ70" i="4"/>
  <c r="AS66" i="4"/>
  <c r="D64" i="4"/>
  <c r="BI62" i="4"/>
  <c r="BV61" i="4"/>
  <c r="AW56" i="4"/>
  <c r="BK55" i="4"/>
  <c r="CL54" i="4"/>
  <c r="I54" i="4"/>
  <c r="AX52" i="4"/>
  <c r="BY51" i="4"/>
  <c r="CM50" i="4"/>
  <c r="AP50" i="4"/>
  <c r="CK48" i="4"/>
  <c r="BE48" i="4"/>
  <c r="Y48" i="4"/>
  <c r="CW47" i="4"/>
  <c r="BQ47" i="4"/>
  <c r="AL47" i="4"/>
  <c r="M47" i="4"/>
  <c r="CR46" i="4"/>
  <c r="BW46" i="4"/>
  <c r="BG46" i="4"/>
  <c r="AQ46" i="4"/>
  <c r="AA46" i="4"/>
  <c r="K46" i="4"/>
  <c r="CY45" i="4"/>
  <c r="CI45" i="4"/>
  <c r="BS45" i="4"/>
  <c r="BC45" i="4"/>
  <c r="AM45" i="4"/>
  <c r="W45" i="4"/>
  <c r="G45" i="4"/>
  <c r="BA88" i="4"/>
  <c r="L70" i="4"/>
  <c r="AR66" i="4"/>
  <c r="C64" i="4"/>
  <c r="AT62" i="4"/>
  <c r="BU61" i="4"/>
  <c r="AI56" i="4"/>
  <c r="BJ55" i="4"/>
  <c r="CK54" i="4"/>
  <c r="AW52" i="4"/>
  <c r="BK51" i="4"/>
  <c r="CL50" i="4"/>
  <c r="AO50" i="4"/>
  <c r="CJ48" i="4"/>
  <c r="BD48" i="4"/>
  <c r="X48" i="4"/>
  <c r="CV47" i="4"/>
  <c r="BP47" i="4"/>
  <c r="AK47" i="4"/>
  <c r="L47" i="4"/>
  <c r="CN46" i="4"/>
  <c r="BV46" i="4"/>
  <c r="BF46" i="4"/>
  <c r="AP46" i="4"/>
  <c r="Z46" i="4"/>
  <c r="J46" i="4"/>
  <c r="CX45" i="4"/>
  <c r="CH45" i="4"/>
  <c r="BR45" i="4"/>
  <c r="BB45" i="4"/>
  <c r="AL45" i="4"/>
  <c r="V45" i="4"/>
  <c r="F45" i="4"/>
  <c r="AQ66" i="4"/>
  <c r="BL63" i="4"/>
  <c r="AS62" i="4"/>
  <c r="BT61" i="4"/>
  <c r="AH56" i="4"/>
  <c r="BI55" i="4"/>
  <c r="BW54" i="4"/>
  <c r="AI52" i="4"/>
  <c r="BJ51" i="4"/>
  <c r="CK50" i="4"/>
  <c r="AN50" i="4"/>
  <c r="CE48" i="4"/>
  <c r="AY48" i="4"/>
  <c r="S48" i="4"/>
  <c r="CQ47" i="4"/>
  <c r="BK47" i="4"/>
  <c r="AJ47" i="4"/>
  <c r="H47" i="4"/>
  <c r="CM46" i="4"/>
  <c r="BU46" i="4"/>
  <c r="BE46" i="4"/>
  <c r="AO46" i="4"/>
  <c r="Y46" i="4"/>
  <c r="I46" i="4"/>
  <c r="CW45" i="4"/>
  <c r="CG45" i="4"/>
  <c r="BQ45" i="4"/>
  <c r="BA45" i="4"/>
  <c r="AK45" i="4"/>
  <c r="U45" i="4"/>
  <c r="E45" i="4"/>
  <c r="BK63" i="4"/>
  <c r="AR62" i="4"/>
  <c r="BF61" i="4"/>
  <c r="AG56" i="4"/>
  <c r="AU55" i="4"/>
  <c r="BV54" i="4"/>
  <c r="AH52" i="4"/>
  <c r="BI51" i="4"/>
  <c r="BW50" i="4"/>
  <c r="AI50" i="4"/>
  <c r="CD48" i="4"/>
  <c r="AX48" i="4"/>
  <c r="R48" i="4"/>
  <c r="CP47" i="4"/>
  <c r="BJ47" i="4"/>
  <c r="AF47" i="4"/>
  <c r="G47" i="4"/>
  <c r="CL46" i="4"/>
  <c r="BT46" i="4"/>
  <c r="BD46" i="4"/>
  <c r="AN46" i="4"/>
  <c r="X46" i="4"/>
  <c r="H46" i="4"/>
  <c r="CV45" i="4"/>
  <c r="CF45" i="4"/>
  <c r="BP45" i="4"/>
  <c r="AZ45" i="4"/>
  <c r="AJ45" i="4"/>
  <c r="T45" i="4"/>
  <c r="D45" i="4"/>
  <c r="BG63" i="4"/>
  <c r="AD62" i="4"/>
  <c r="BE61" i="4"/>
  <c r="S56" i="4"/>
  <c r="AT55" i="4"/>
  <c r="BU54" i="4"/>
  <c r="AG52" i="4"/>
  <c r="AU51" i="4"/>
  <c r="BV50" i="4"/>
  <c r="AF50" i="4"/>
  <c r="CC48" i="4"/>
  <c r="AW48" i="4"/>
  <c r="Q48" i="4"/>
  <c r="CO47" i="4"/>
  <c r="BI47" i="4"/>
  <c r="AE47" i="4"/>
  <c r="F47" i="4"/>
  <c r="CK46" i="4"/>
  <c r="BS46" i="4"/>
  <c r="BC46" i="4"/>
  <c r="AM46" i="4"/>
  <c r="W46" i="4"/>
  <c r="G46" i="4"/>
  <c r="CU45" i="4"/>
  <c r="CE45" i="4"/>
  <c r="BO45" i="4"/>
  <c r="AY45" i="4"/>
  <c r="AI45" i="4"/>
  <c r="S45" i="4"/>
  <c r="C45" i="4"/>
  <c r="BA68" i="4"/>
  <c r="AP48" i="4"/>
  <c r="CJ46" i="4"/>
  <c r="E46" i="4"/>
  <c r="AF45" i="4"/>
  <c r="CU56" i="4"/>
  <c r="CU52" i="4"/>
  <c r="P48" i="4"/>
  <c r="CI46" i="4"/>
  <c r="D46" i="4"/>
  <c r="R45" i="4"/>
  <c r="CT56" i="4"/>
  <c r="CT52" i="4"/>
  <c r="K48" i="4"/>
  <c r="CG46" i="4"/>
  <c r="CT45" i="4"/>
  <c r="Q45" i="4"/>
  <c r="CS56" i="4"/>
  <c r="S52" i="4"/>
  <c r="J48" i="4"/>
  <c r="BR46" i="4"/>
  <c r="CS45" i="4"/>
  <c r="P45" i="4"/>
  <c r="AE63" i="4"/>
  <c r="R56" i="4"/>
  <c r="R52" i="4"/>
  <c r="CN47" i="4"/>
  <c r="BQ46" i="4"/>
  <c r="CR45" i="4"/>
  <c r="AA63" i="4"/>
  <c r="Q56" i="4"/>
  <c r="Q52" i="4"/>
  <c r="CI47" i="4"/>
  <c r="BP46" i="4"/>
  <c r="CD45" i="4"/>
  <c r="Z63" i="4"/>
  <c r="C56" i="4"/>
  <c r="AT51" i="4"/>
  <c r="CH47" i="4"/>
  <c r="BB46" i="4"/>
  <c r="CC45" i="4"/>
  <c r="AR82" i="4"/>
  <c r="AC62" i="4"/>
  <c r="AS55" i="4"/>
  <c r="AS51" i="4"/>
  <c r="BH47" i="4"/>
  <c r="BA46" i="4"/>
  <c r="CB45" i="4"/>
  <c r="AQ82" i="4"/>
  <c r="AB62" i="4"/>
  <c r="AE55" i="4"/>
  <c r="AE51" i="4"/>
  <c r="BC47" i="4"/>
  <c r="AZ46" i="4"/>
  <c r="BN45" i="4"/>
  <c r="AI82" i="4"/>
  <c r="N62" i="4"/>
  <c r="AD55" i="4"/>
  <c r="BU50" i="4"/>
  <c r="DC48" i="4"/>
  <c r="BB47" i="4"/>
  <c r="AL46" i="4"/>
  <c r="BM45" i="4"/>
  <c r="BD61" i="4"/>
  <c r="BG54" i="4"/>
  <c r="BT50" i="4"/>
  <c r="DB48" i="4"/>
  <c r="AD47" i="4"/>
  <c r="AK46" i="4"/>
  <c r="BL45" i="4"/>
  <c r="AP61" i="4"/>
  <c r="BF54" i="4"/>
  <c r="BO50" i="4"/>
  <c r="CB48" i="4"/>
  <c r="AC47" i="4"/>
  <c r="AJ46" i="4"/>
  <c r="AX45" i="4"/>
  <c r="AO61" i="4"/>
  <c r="BE54" i="4"/>
  <c r="AA50" i="4"/>
  <c r="BW48" i="4"/>
  <c r="AB47" i="4"/>
  <c r="V46" i="4"/>
  <c r="AW45" i="4"/>
  <c r="S12" i="3"/>
  <c r="K11" i="3"/>
  <c r="S10" i="3"/>
  <c r="E11" i="3"/>
  <c r="T11" i="3"/>
  <c r="Z50" i="4"/>
  <c r="J11" i="3"/>
  <c r="P11" i="3"/>
  <c r="Y50" i="4"/>
  <c r="Q12" i="3"/>
  <c r="I11" i="3"/>
  <c r="Q10" i="3"/>
  <c r="AV45" i="4"/>
  <c r="P12" i="3"/>
  <c r="H11" i="3"/>
  <c r="P10" i="3"/>
  <c r="M10" i="3"/>
  <c r="H10" i="3"/>
  <c r="BV48" i="4"/>
  <c r="O12" i="3"/>
  <c r="G11" i="3"/>
  <c r="O10" i="3"/>
  <c r="N12" i="3"/>
  <c r="N10" i="3"/>
  <c r="T10" i="3"/>
  <c r="AV48" i="4"/>
  <c r="F11" i="3"/>
  <c r="M12" i="3"/>
  <c r="D11" i="3"/>
  <c r="E12" i="3"/>
  <c r="AQ48" i="4"/>
  <c r="AH45" i="4"/>
  <c r="D10" i="3"/>
  <c r="E47" i="4"/>
  <c r="F10" i="3"/>
  <c r="E10" i="3"/>
  <c r="D47" i="4"/>
  <c r="K12" i="3"/>
  <c r="S11" i="3"/>
  <c r="K10" i="3"/>
  <c r="J10" i="3"/>
  <c r="Q11" i="3"/>
  <c r="G10" i="3"/>
  <c r="N11" i="3"/>
  <c r="DD46" i="4"/>
  <c r="J12" i="3"/>
  <c r="I12" i="3"/>
  <c r="I10" i="3"/>
  <c r="D12" i="3"/>
  <c r="U46" i="4"/>
  <c r="F12" i="3"/>
  <c r="M11" i="3"/>
  <c r="T46" i="4"/>
  <c r="H12" i="3"/>
  <c r="F46" i="4"/>
  <c r="G12" i="3"/>
  <c r="O11" i="3"/>
  <c r="AG45" i="4"/>
  <c r="B14" i="4"/>
  <c r="T12" i="3"/>
  <c r="K24" i="6" l="1"/>
  <c r="L24" i="6"/>
  <c r="N24" i="6"/>
  <c r="N105" i="4"/>
  <c r="AD105" i="4"/>
  <c r="AT105" i="4"/>
  <c r="BJ105" i="4"/>
  <c r="BZ105" i="4"/>
  <c r="CP105" i="4"/>
  <c r="DF105" i="4"/>
  <c r="Q24" i="6"/>
  <c r="AE105" i="4"/>
  <c r="AU105" i="4"/>
  <c r="BK105" i="4"/>
  <c r="CA105" i="4"/>
  <c r="CQ105" i="4"/>
  <c r="O23" i="6"/>
  <c r="X24" i="6"/>
  <c r="AV97" i="4"/>
  <c r="AV101" i="4" s="1"/>
  <c r="BL97" i="4"/>
  <c r="BL101" i="4" s="1"/>
  <c r="CB97" i="4"/>
  <c r="CR97" i="4"/>
  <c r="AF105" i="4"/>
  <c r="AV105" i="4"/>
  <c r="BL105" i="4"/>
  <c r="CB105" i="4"/>
  <c r="P23" i="6"/>
  <c r="Y24" i="6"/>
  <c r="Q105" i="4"/>
  <c r="AG105" i="4"/>
  <c r="AW105" i="4"/>
  <c r="BM105" i="4"/>
  <c r="CC105" i="4"/>
  <c r="CS105" i="4"/>
  <c r="R23" i="6"/>
  <c r="AA24" i="6"/>
  <c r="CD105" i="4"/>
  <c r="CT105" i="4"/>
  <c r="U23" i="6"/>
  <c r="X23" i="6"/>
  <c r="AN24" i="6"/>
  <c r="M21" i="6"/>
  <c r="AE23" i="6"/>
  <c r="AI21" i="6"/>
  <c r="AF23" i="6"/>
  <c r="AH23" i="6"/>
  <c r="AN23" i="6"/>
  <c r="I97" i="4"/>
  <c r="I101" i="4" s="1"/>
  <c r="Y97" i="4"/>
  <c r="Y101" i="4" s="1"/>
  <c r="AO97" i="4"/>
  <c r="AO101" i="4" s="1"/>
  <c r="BE97" i="4"/>
  <c r="BE101" i="4" s="1"/>
  <c r="BU97" i="4"/>
  <c r="BU101" i="4" s="1"/>
  <c r="CK97" i="4"/>
  <c r="CK101" i="4" s="1"/>
  <c r="DA97" i="4"/>
  <c r="DA101" i="4" s="1"/>
  <c r="AL24" i="6"/>
  <c r="X22" i="6"/>
  <c r="K105" i="4"/>
  <c r="AA105" i="4"/>
  <c r="AQ105" i="4"/>
  <c r="BG105" i="4"/>
  <c r="BW105" i="4"/>
  <c r="CM105" i="4"/>
  <c r="DC105" i="4"/>
  <c r="AJ22" i="6"/>
  <c r="Z22" i="6"/>
  <c r="N97" i="4"/>
  <c r="N101" i="4" s="1"/>
  <c r="AD97" i="4"/>
  <c r="AD101" i="4" s="1"/>
  <c r="AT97" i="4"/>
  <c r="AT101" i="4" s="1"/>
  <c r="BJ97" i="4"/>
  <c r="BJ101" i="4" s="1"/>
  <c r="BZ97" i="4"/>
  <c r="BZ101" i="4" s="1"/>
  <c r="CP97" i="4"/>
  <c r="CP101" i="4" s="1"/>
  <c r="DF97" i="4"/>
  <c r="DF101" i="4" s="1"/>
  <c r="AA22" i="6"/>
  <c r="E22" i="6"/>
  <c r="AB22" i="6"/>
  <c r="CB101" i="4"/>
  <c r="CR101" i="4"/>
  <c r="F22" i="6"/>
  <c r="AE22" i="6"/>
  <c r="G22" i="6"/>
  <c r="AL22" i="6"/>
  <c r="AK23" i="6"/>
  <c r="AG24" i="6"/>
  <c r="R97" i="4"/>
  <c r="R101" i="4" s="1"/>
  <c r="AH97" i="4"/>
  <c r="AH101" i="4" s="1"/>
  <c r="AX97" i="4"/>
  <c r="AX101" i="4" s="1"/>
  <c r="BN97" i="4"/>
  <c r="BN101" i="4" s="1"/>
  <c r="CD97" i="4"/>
  <c r="CD101" i="4" s="1"/>
  <c r="CT97" i="4"/>
  <c r="CT101" i="4" s="1"/>
  <c r="H22" i="6"/>
  <c r="AM22" i="6"/>
  <c r="I22" i="6"/>
  <c r="AN22" i="6"/>
  <c r="J22" i="6"/>
  <c r="K22" i="6"/>
  <c r="F97" i="4"/>
  <c r="F101" i="4" s="1"/>
  <c r="V97" i="4"/>
  <c r="V101" i="4" s="1"/>
  <c r="AL97" i="4"/>
  <c r="AL101" i="4" s="1"/>
  <c r="BB97" i="4"/>
  <c r="BB101" i="4" s="1"/>
  <c r="BR97" i="4"/>
  <c r="BR101" i="4" s="1"/>
  <c r="CH97" i="4"/>
  <c r="CH101" i="4" s="1"/>
  <c r="CX97" i="4"/>
  <c r="CX101" i="4" s="1"/>
  <c r="L22" i="6"/>
  <c r="H24" i="6"/>
  <c r="O22" i="6"/>
  <c r="E23" i="6"/>
  <c r="I24" i="6"/>
  <c r="H97" i="4"/>
  <c r="H101" i="4" s="1"/>
  <c r="X97" i="4"/>
  <c r="X101" i="4" s="1"/>
  <c r="AN97" i="4"/>
  <c r="AN101" i="4" s="1"/>
  <c r="BD97" i="4"/>
  <c r="BD101" i="4" s="1"/>
  <c r="BT97" i="4"/>
  <c r="BT101" i="4" s="1"/>
  <c r="CJ97" i="4"/>
  <c r="CJ101" i="4" s="1"/>
  <c r="CZ97" i="4"/>
  <c r="CZ101" i="4" s="1"/>
  <c r="AF97" i="4"/>
  <c r="AF101" i="4" s="1"/>
  <c r="R22" i="6"/>
  <c r="H23" i="6"/>
  <c r="J24" i="6"/>
  <c r="AG49" i="4"/>
  <c r="AG24" i="4"/>
  <c r="W12" i="3"/>
  <c r="F25" i="4"/>
  <c r="X12" i="3"/>
  <c r="T25" i="4"/>
  <c r="U25" i="4"/>
  <c r="I14" i="3"/>
  <c r="DD25" i="4"/>
  <c r="G14" i="3"/>
  <c r="A4" i="3" s="1"/>
  <c r="W10" i="3"/>
  <c r="H17" i="5"/>
  <c r="R11" i="3"/>
  <c r="W19" i="3"/>
  <c r="J14" i="3"/>
  <c r="Y10" i="3"/>
  <c r="L10" i="3"/>
  <c r="K14" i="3"/>
  <c r="Y19" i="3"/>
  <c r="L12" i="3"/>
  <c r="Y12" i="3"/>
  <c r="D26" i="4"/>
  <c r="B16" i="5"/>
  <c r="E26" i="4"/>
  <c r="AH49" i="4"/>
  <c r="AH24" i="4"/>
  <c r="AQ27" i="4"/>
  <c r="B18" i="5"/>
  <c r="AV27" i="4"/>
  <c r="O14" i="3"/>
  <c r="M4" i="3" s="1"/>
  <c r="W11" i="3"/>
  <c r="BV27" i="4"/>
  <c r="H14" i="3"/>
  <c r="C4" i="3" s="1"/>
  <c r="X10" i="3"/>
  <c r="M14" i="3"/>
  <c r="P14" i="3"/>
  <c r="X11" i="3"/>
  <c r="AV49" i="4"/>
  <c r="AV24" i="4"/>
  <c r="H16" i="5"/>
  <c r="Q14" i="3"/>
  <c r="R10" i="3"/>
  <c r="W18" i="3"/>
  <c r="H18" i="5"/>
  <c r="W20" i="3"/>
  <c r="R12" i="3"/>
  <c r="Y29" i="4"/>
  <c r="Z29" i="4"/>
  <c r="B17" i="5"/>
  <c r="Y18" i="3"/>
  <c r="Y11" i="3"/>
  <c r="L11" i="3"/>
  <c r="Y20" i="3"/>
  <c r="AW49" i="4"/>
  <c r="AW24" i="4"/>
  <c r="V25" i="4"/>
  <c r="AB26" i="4"/>
  <c r="BW27" i="4"/>
  <c r="AA29" i="4"/>
  <c r="BE34" i="4"/>
  <c r="AO65" i="4"/>
  <c r="AO69" i="4" s="1"/>
  <c r="AX49" i="4"/>
  <c r="AX24" i="4"/>
  <c r="AJ25" i="4"/>
  <c r="AC26" i="4"/>
  <c r="CB27" i="4"/>
  <c r="BO29" i="4"/>
  <c r="BF34" i="4"/>
  <c r="AP65" i="4"/>
  <c r="AP69" i="4" s="1"/>
  <c r="BL49" i="4"/>
  <c r="BL24" i="4"/>
  <c r="AK25" i="4"/>
  <c r="AD26" i="4"/>
  <c r="DB27" i="4"/>
  <c r="BT29" i="4"/>
  <c r="BG34" i="4"/>
  <c r="BD65" i="4"/>
  <c r="BD69" i="4" s="1"/>
  <c r="BM49" i="4"/>
  <c r="BM24" i="4"/>
  <c r="AL25" i="4"/>
  <c r="BB26" i="4"/>
  <c r="DC27" i="4"/>
  <c r="BU29" i="4"/>
  <c r="AD57" i="4"/>
  <c r="AD35" i="4"/>
  <c r="BN49" i="4"/>
  <c r="BN24" i="4"/>
  <c r="AZ25" i="4"/>
  <c r="BC26" i="4"/>
  <c r="AE30" i="4"/>
  <c r="AE57" i="4"/>
  <c r="AE35" i="4"/>
  <c r="CB49" i="4"/>
  <c r="CB24" i="4"/>
  <c r="BA25" i="4"/>
  <c r="BH26" i="4"/>
  <c r="AS30" i="4"/>
  <c r="AS57" i="4"/>
  <c r="AS35" i="4"/>
  <c r="CC49" i="4"/>
  <c r="CC24" i="4"/>
  <c r="BB25" i="4"/>
  <c r="CH26" i="4"/>
  <c r="AT30" i="4"/>
  <c r="C36" i="4"/>
  <c r="CD49" i="4"/>
  <c r="CD24" i="4"/>
  <c r="BP25" i="4"/>
  <c r="CI26" i="4"/>
  <c r="Q31" i="4"/>
  <c r="Q36" i="4"/>
  <c r="CR49" i="4"/>
  <c r="CR24" i="4"/>
  <c r="BQ25" i="4"/>
  <c r="CN26" i="4"/>
  <c r="R31" i="4"/>
  <c r="R36" i="4"/>
  <c r="P49" i="4"/>
  <c r="P24" i="4"/>
  <c r="CS49" i="4"/>
  <c r="CS24" i="4"/>
  <c r="BR25" i="4"/>
  <c r="J27" i="4"/>
  <c r="S31" i="4"/>
  <c r="CS36" i="4"/>
  <c r="Q49" i="4"/>
  <c r="Q24" i="4"/>
  <c r="CT49" i="4"/>
  <c r="CT24" i="4"/>
  <c r="CG25" i="4"/>
  <c r="K27" i="4"/>
  <c r="CT31" i="4"/>
  <c r="CT36" i="4"/>
  <c r="R49" i="4"/>
  <c r="R24" i="4"/>
  <c r="D25" i="4"/>
  <c r="CI25" i="4"/>
  <c r="P27" i="4"/>
  <c r="CU31" i="4"/>
  <c r="CU36" i="4"/>
  <c r="AF49" i="4"/>
  <c r="AF24" i="4"/>
  <c r="E25" i="4"/>
  <c r="CJ25" i="4"/>
  <c r="AP27" i="4"/>
  <c r="C49" i="4"/>
  <c r="C24" i="4"/>
  <c r="S49" i="4"/>
  <c r="S24" i="4"/>
  <c r="AI49" i="4"/>
  <c r="AI24" i="4"/>
  <c r="AY49" i="4"/>
  <c r="AY24" i="4"/>
  <c r="BO49" i="4"/>
  <c r="BO24" i="4"/>
  <c r="CE49" i="4"/>
  <c r="CE24" i="4"/>
  <c r="CU49" i="4"/>
  <c r="CU24" i="4"/>
  <c r="G25" i="4"/>
  <c r="W25" i="4"/>
  <c r="AM25" i="4"/>
  <c r="BC25" i="4"/>
  <c r="BS25" i="4"/>
  <c r="CK25" i="4"/>
  <c r="F26" i="4"/>
  <c r="AE26" i="4"/>
  <c r="BI26" i="4"/>
  <c r="CO26" i="4"/>
  <c r="Q27" i="4"/>
  <c r="AW27" i="4"/>
  <c r="CC27" i="4"/>
  <c r="AF29" i="4"/>
  <c r="BV29" i="4"/>
  <c r="AU30" i="4"/>
  <c r="AG31" i="4"/>
  <c r="BU34" i="4"/>
  <c r="AT57" i="4"/>
  <c r="AT35" i="4"/>
  <c r="S36" i="4"/>
  <c r="BE65" i="4"/>
  <c r="BE69" i="4" s="1"/>
  <c r="D49" i="4"/>
  <c r="D24" i="4"/>
  <c r="T49" i="4"/>
  <c r="T24" i="4"/>
  <c r="AJ49" i="4"/>
  <c r="AJ24" i="4"/>
  <c r="AZ49" i="4"/>
  <c r="AZ24" i="4"/>
  <c r="BP49" i="4"/>
  <c r="BP24" i="4"/>
  <c r="CF49" i="4"/>
  <c r="CF24" i="4"/>
  <c r="CV49" i="4"/>
  <c r="CV24" i="4"/>
  <c r="H25" i="4"/>
  <c r="X25" i="4"/>
  <c r="AN25" i="4"/>
  <c r="BD25" i="4"/>
  <c r="BT25" i="4"/>
  <c r="CL25" i="4"/>
  <c r="G26" i="4"/>
  <c r="AF26" i="4"/>
  <c r="BJ26" i="4"/>
  <c r="CP26" i="4"/>
  <c r="R27" i="4"/>
  <c r="AX27" i="4"/>
  <c r="CD27" i="4"/>
  <c r="AI29" i="4"/>
  <c r="BW29" i="4"/>
  <c r="BI30" i="4"/>
  <c r="AH31" i="4"/>
  <c r="BV34" i="4"/>
  <c r="AU57" i="4"/>
  <c r="AU35" i="4"/>
  <c r="AG36" i="4"/>
  <c r="BF65" i="4"/>
  <c r="BF69" i="4" s="1"/>
  <c r="E49" i="4"/>
  <c r="E24" i="4"/>
  <c r="U49" i="4"/>
  <c r="U24" i="4"/>
  <c r="AK49" i="4"/>
  <c r="AK24" i="4"/>
  <c r="BA49" i="4"/>
  <c r="BA24" i="4"/>
  <c r="BQ49" i="4"/>
  <c r="BQ24" i="4"/>
  <c r="CG49" i="4"/>
  <c r="CG24" i="4"/>
  <c r="CW49" i="4"/>
  <c r="CW24" i="4"/>
  <c r="I25" i="4"/>
  <c r="Y25" i="4"/>
  <c r="AO25" i="4"/>
  <c r="BE25" i="4"/>
  <c r="BU25" i="4"/>
  <c r="CM25" i="4"/>
  <c r="H26" i="4"/>
  <c r="AJ26" i="4"/>
  <c r="BK26" i="4"/>
  <c r="CQ26" i="4"/>
  <c r="S27" i="4"/>
  <c r="AY27" i="4"/>
  <c r="CE27" i="4"/>
  <c r="AN29" i="4"/>
  <c r="CK29" i="4"/>
  <c r="BJ30" i="4"/>
  <c r="AI31" i="4"/>
  <c r="BW34" i="4"/>
  <c r="BI57" i="4"/>
  <c r="BI35" i="4"/>
  <c r="AH36" i="4"/>
  <c r="BT65" i="4"/>
  <c r="BT69" i="4" s="1"/>
  <c r="F49" i="4"/>
  <c r="F24" i="4"/>
  <c r="V49" i="4"/>
  <c r="V24" i="4"/>
  <c r="AL49" i="4"/>
  <c r="AL24" i="4"/>
  <c r="BB49" i="4"/>
  <c r="BB24" i="4"/>
  <c r="BR49" i="4"/>
  <c r="BR24" i="4"/>
  <c r="CH49" i="4"/>
  <c r="CH24" i="4"/>
  <c r="CX49" i="4"/>
  <c r="CX24" i="4"/>
  <c r="J25" i="4"/>
  <c r="Z25" i="4"/>
  <c r="AP25" i="4"/>
  <c r="BF25" i="4"/>
  <c r="BV25" i="4"/>
  <c r="CN25" i="4"/>
  <c r="L26" i="4"/>
  <c r="AK26" i="4"/>
  <c r="BP26" i="4"/>
  <c r="CV26" i="4"/>
  <c r="X27" i="4"/>
  <c r="BD27" i="4"/>
  <c r="CJ27" i="4"/>
  <c r="AO29" i="4"/>
  <c r="CL29" i="4"/>
  <c r="BK30" i="4"/>
  <c r="AW31" i="4"/>
  <c r="CK34" i="4"/>
  <c r="BJ57" i="4"/>
  <c r="BJ35" i="4"/>
  <c r="AI36" i="4"/>
  <c r="BU65" i="4"/>
  <c r="BU69" i="4" s="1"/>
  <c r="G49" i="4"/>
  <c r="G24" i="4"/>
  <c r="W49" i="4"/>
  <c r="W24" i="4"/>
  <c r="AM49" i="4"/>
  <c r="AM24" i="4"/>
  <c r="BC49" i="4"/>
  <c r="BC24" i="4"/>
  <c r="BS49" i="4"/>
  <c r="BS24" i="4"/>
  <c r="CI49" i="4"/>
  <c r="CI24" i="4"/>
  <c r="CY49" i="4"/>
  <c r="CY24" i="4"/>
  <c r="K25" i="4"/>
  <c r="AA25" i="4"/>
  <c r="AQ25" i="4"/>
  <c r="BG25" i="4"/>
  <c r="BW25" i="4"/>
  <c r="CR25" i="4"/>
  <c r="M26" i="4"/>
  <c r="AL26" i="4"/>
  <c r="BQ26" i="4"/>
  <c r="CW26" i="4"/>
  <c r="Y27" i="4"/>
  <c r="BE27" i="4"/>
  <c r="CK27" i="4"/>
  <c r="AP29" i="4"/>
  <c r="CM29" i="4"/>
  <c r="BY30" i="4"/>
  <c r="AX31" i="4"/>
  <c r="I34" i="4"/>
  <c r="CL34" i="4"/>
  <c r="BK57" i="4"/>
  <c r="BK35" i="4"/>
  <c r="AW36" i="4"/>
  <c r="BV65" i="4"/>
  <c r="BV69" i="4" s="1"/>
  <c r="BW81" i="4"/>
  <c r="BW85" i="4" s="1"/>
  <c r="H49" i="4"/>
  <c r="H24" i="4"/>
  <c r="X49" i="4"/>
  <c r="X24" i="4"/>
  <c r="AN49" i="4"/>
  <c r="AN24" i="4"/>
  <c r="BD49" i="4"/>
  <c r="BD24" i="4"/>
  <c r="BT49" i="4"/>
  <c r="BT24" i="4"/>
  <c r="CJ49" i="4"/>
  <c r="CJ24" i="4"/>
  <c r="CZ49" i="4"/>
  <c r="CZ24" i="4"/>
  <c r="L25" i="4"/>
  <c r="AB25" i="4"/>
  <c r="AR25" i="4"/>
  <c r="BH25" i="4"/>
  <c r="BX25" i="4"/>
  <c r="CS25" i="4"/>
  <c r="N26" i="4"/>
  <c r="AM26" i="4"/>
  <c r="BR26" i="4"/>
  <c r="CX26" i="4"/>
  <c r="Z27" i="4"/>
  <c r="BF27" i="4"/>
  <c r="CL27" i="4"/>
  <c r="C29" i="4"/>
  <c r="AQ29" i="4"/>
  <c r="DA29" i="4"/>
  <c r="BZ30" i="4"/>
  <c r="AY31" i="4"/>
  <c r="J34" i="4"/>
  <c r="CM34" i="4"/>
  <c r="BY57" i="4"/>
  <c r="BY35" i="4"/>
  <c r="AX36" i="4"/>
  <c r="CJ65" i="4"/>
  <c r="CJ69" i="4" s="1"/>
  <c r="BX81" i="4"/>
  <c r="BX85" i="4" s="1"/>
  <c r="I49" i="4"/>
  <c r="I24" i="4"/>
  <c r="Y49" i="4"/>
  <c r="Y24" i="4"/>
  <c r="AO49" i="4"/>
  <c r="AO24" i="4"/>
  <c r="BE49" i="4"/>
  <c r="BE24" i="4"/>
  <c r="BU49" i="4"/>
  <c r="BU24" i="4"/>
  <c r="CK49" i="4"/>
  <c r="CK24" i="4"/>
  <c r="DA49" i="4"/>
  <c r="DA24" i="4"/>
  <c r="M25" i="4"/>
  <c r="AC25" i="4"/>
  <c r="AS25" i="4"/>
  <c r="BI25" i="4"/>
  <c r="BY25" i="4"/>
  <c r="CT25" i="4"/>
  <c r="O26" i="4"/>
  <c r="AR26" i="4"/>
  <c r="BS26" i="4"/>
  <c r="CY26" i="4"/>
  <c r="AA27" i="4"/>
  <c r="BG27" i="4"/>
  <c r="CM27" i="4"/>
  <c r="H29" i="4"/>
  <c r="AV29" i="4"/>
  <c r="DB29" i="4"/>
  <c r="CA30" i="4"/>
  <c r="BM31" i="4"/>
  <c r="K34" i="4"/>
  <c r="DA34" i="4"/>
  <c r="BZ57" i="4"/>
  <c r="BZ35" i="4"/>
  <c r="AY36" i="4"/>
  <c r="H65" i="4"/>
  <c r="H69" i="4" s="1"/>
  <c r="CK65" i="4"/>
  <c r="CK69" i="4" s="1"/>
  <c r="BY81" i="4"/>
  <c r="BY85" i="4" s="1"/>
  <c r="J49" i="4"/>
  <c r="J24" i="4"/>
  <c r="Z49" i="4"/>
  <c r="Z24" i="4"/>
  <c r="AP49" i="4"/>
  <c r="AP24" i="4"/>
  <c r="BF49" i="4"/>
  <c r="BF24" i="4"/>
  <c r="BV49" i="4"/>
  <c r="BV24" i="4"/>
  <c r="CL49" i="4"/>
  <c r="CL24" i="4"/>
  <c r="DB49" i="4"/>
  <c r="DB24" i="4"/>
  <c r="N25" i="4"/>
  <c r="AD25" i="4"/>
  <c r="AT25" i="4"/>
  <c r="BJ25" i="4"/>
  <c r="CA25" i="4"/>
  <c r="CU25" i="4"/>
  <c r="P26" i="4"/>
  <c r="AS26" i="4"/>
  <c r="BX26" i="4"/>
  <c r="DD26" i="4"/>
  <c r="AF27" i="4"/>
  <c r="BL27" i="4"/>
  <c r="CR27" i="4"/>
  <c r="I29" i="4"/>
  <c r="AY29" i="4"/>
  <c r="DC29" i="4"/>
  <c r="CO30" i="4"/>
  <c r="BN31" i="4"/>
  <c r="Y34" i="4"/>
  <c r="DB34" i="4"/>
  <c r="CA57" i="4"/>
  <c r="CA35" i="4"/>
  <c r="BM36" i="4"/>
  <c r="I65" i="4"/>
  <c r="I69" i="4" s="1"/>
  <c r="CL65" i="4"/>
  <c r="CL69" i="4" s="1"/>
  <c r="BL73" i="4"/>
  <c r="K49" i="4"/>
  <c r="K24" i="4"/>
  <c r="AA49" i="4"/>
  <c r="AA24" i="4"/>
  <c r="AQ49" i="4"/>
  <c r="AQ24" i="4"/>
  <c r="BG49" i="4"/>
  <c r="BG24" i="4"/>
  <c r="BW49" i="4"/>
  <c r="BW24" i="4"/>
  <c r="CM49" i="4"/>
  <c r="CM24" i="4"/>
  <c r="DC49" i="4"/>
  <c r="DC24" i="4"/>
  <c r="O25" i="4"/>
  <c r="AE25" i="4"/>
  <c r="AU25" i="4"/>
  <c r="BK25" i="4"/>
  <c r="CB25" i="4"/>
  <c r="CV25" i="4"/>
  <c r="T26" i="4"/>
  <c r="AT26" i="4"/>
  <c r="BY26" i="4"/>
  <c r="DE26" i="4"/>
  <c r="AG27" i="4"/>
  <c r="BM27" i="4"/>
  <c r="CS27" i="4"/>
  <c r="J29" i="4"/>
  <c r="BD29" i="4"/>
  <c r="M30" i="4"/>
  <c r="CP30" i="4"/>
  <c r="BO31" i="4"/>
  <c r="Z34" i="4"/>
  <c r="DC34" i="4"/>
  <c r="CO57" i="4"/>
  <c r="CO35" i="4"/>
  <c r="BN36" i="4"/>
  <c r="J65" i="4"/>
  <c r="J69" i="4" s="1"/>
  <c r="CZ65" i="4"/>
  <c r="CZ69" i="4" s="1"/>
  <c r="BM73" i="4"/>
  <c r="L49" i="4"/>
  <c r="L24" i="4"/>
  <c r="AB49" i="4"/>
  <c r="AB24" i="4"/>
  <c r="AR49" i="4"/>
  <c r="AR24" i="4"/>
  <c r="BH49" i="4"/>
  <c r="BH24" i="4"/>
  <c r="BX49" i="4"/>
  <c r="BX24" i="4"/>
  <c r="CN49" i="4"/>
  <c r="CN24" i="4"/>
  <c r="DD49" i="4"/>
  <c r="DD24" i="4"/>
  <c r="P25" i="4"/>
  <c r="AF25" i="4"/>
  <c r="AV25" i="4"/>
  <c r="BL25" i="4"/>
  <c r="CC25" i="4"/>
  <c r="CZ25" i="4"/>
  <c r="U26" i="4"/>
  <c r="AU26" i="4"/>
  <c r="BZ26" i="4"/>
  <c r="DF26" i="4"/>
  <c r="AH27" i="4"/>
  <c r="BN27" i="4"/>
  <c r="CT27" i="4"/>
  <c r="K29" i="4"/>
  <c r="BE29" i="4"/>
  <c r="N30" i="4"/>
  <c r="CQ30" i="4"/>
  <c r="CC31" i="4"/>
  <c r="AA34" i="4"/>
  <c r="M57" i="4"/>
  <c r="M35" i="4"/>
  <c r="CP57" i="4"/>
  <c r="CP35" i="4"/>
  <c r="BO36" i="4"/>
  <c r="X65" i="4"/>
  <c r="X69" i="4" s="1"/>
  <c r="DA65" i="4"/>
  <c r="DA69" i="4" s="1"/>
  <c r="BN73" i="4"/>
  <c r="M49" i="4"/>
  <c r="M24" i="4"/>
  <c r="AC49" i="4"/>
  <c r="AC24" i="4"/>
  <c r="AS49" i="4"/>
  <c r="AS24" i="4"/>
  <c r="BI49" i="4"/>
  <c r="BI24" i="4"/>
  <c r="BY49" i="4"/>
  <c r="BY24" i="4"/>
  <c r="CO49" i="4"/>
  <c r="CO24" i="4"/>
  <c r="DE49" i="4"/>
  <c r="DE24" i="4"/>
  <c r="Q25" i="4"/>
  <c r="AG25" i="4"/>
  <c r="AW25" i="4"/>
  <c r="BM25" i="4"/>
  <c r="CD25" i="4"/>
  <c r="DA25" i="4"/>
  <c r="V26" i="4"/>
  <c r="AV26" i="4"/>
  <c r="CA26" i="4"/>
  <c r="C27" i="4"/>
  <c r="AI27" i="4"/>
  <c r="BO27" i="4"/>
  <c r="CU27" i="4"/>
  <c r="P29" i="4"/>
  <c r="BF29" i="4"/>
  <c r="O30" i="4"/>
  <c r="DE30" i="4"/>
  <c r="CD31" i="4"/>
  <c r="AO34" i="4"/>
  <c r="N57" i="4"/>
  <c r="N35" i="4"/>
  <c r="CQ57" i="4"/>
  <c r="CQ35" i="4"/>
  <c r="CC36" i="4"/>
  <c r="Y65" i="4"/>
  <c r="Y69" i="4" s="1"/>
  <c r="DB65" i="4"/>
  <c r="DB69" i="4" s="1"/>
  <c r="N49" i="4"/>
  <c r="N24" i="4"/>
  <c r="AD49" i="4"/>
  <c r="AD24" i="4"/>
  <c r="AT49" i="4"/>
  <c r="AT24" i="4"/>
  <c r="BJ49" i="4"/>
  <c r="BJ24" i="4"/>
  <c r="BZ49" i="4"/>
  <c r="BZ24" i="4"/>
  <c r="CP49" i="4"/>
  <c r="CP24" i="4"/>
  <c r="DF49" i="4"/>
  <c r="DF24" i="4"/>
  <c r="R25" i="4"/>
  <c r="AH25" i="4"/>
  <c r="AX25" i="4"/>
  <c r="BN25" i="4"/>
  <c r="CE25" i="4"/>
  <c r="DB25" i="4"/>
  <c r="W26" i="4"/>
  <c r="AZ26" i="4"/>
  <c r="CF26" i="4"/>
  <c r="H27" i="4"/>
  <c r="AN27" i="4"/>
  <c r="BT27" i="4"/>
  <c r="CZ27" i="4"/>
  <c r="S29" i="4"/>
  <c r="BG29" i="4"/>
  <c r="AC30" i="4"/>
  <c r="DF30" i="4"/>
  <c r="CE31" i="4"/>
  <c r="AP34" i="4"/>
  <c r="O57" i="4"/>
  <c r="O35" i="4"/>
  <c r="DE57" i="4"/>
  <c r="DE35" i="4"/>
  <c r="CD36" i="4"/>
  <c r="Z65" i="4"/>
  <c r="Z69" i="4" s="1"/>
  <c r="O49" i="4"/>
  <c r="O24" i="4"/>
  <c r="AE49" i="4"/>
  <c r="AE24" i="4"/>
  <c r="AU49" i="4"/>
  <c r="AU24" i="4"/>
  <c r="BK49" i="4"/>
  <c r="BK24" i="4"/>
  <c r="CA49" i="4"/>
  <c r="CA24" i="4"/>
  <c r="CQ49" i="4"/>
  <c r="CQ24" i="4"/>
  <c r="C25" i="4"/>
  <c r="S25" i="4"/>
  <c r="AI25" i="4"/>
  <c r="AY25" i="4"/>
  <c r="BO25" i="4"/>
  <c r="CF25" i="4"/>
  <c r="DC25" i="4"/>
  <c r="X26" i="4"/>
  <c r="BA26" i="4"/>
  <c r="CG26" i="4"/>
  <c r="I27" i="4"/>
  <c r="AO27" i="4"/>
  <c r="BU27" i="4"/>
  <c r="DA27" i="4"/>
  <c r="X29" i="4"/>
  <c r="BL29" i="4"/>
  <c r="AD30" i="4"/>
  <c r="C31" i="4"/>
  <c r="CS31" i="4"/>
  <c r="AQ34" i="4"/>
  <c r="AC57" i="4"/>
  <c r="AC35" i="4"/>
  <c r="DF57" i="4"/>
  <c r="DF35" i="4"/>
  <c r="CE36" i="4"/>
  <c r="AN65" i="4"/>
  <c r="AN69" i="4" s="1"/>
  <c r="BL26" i="4"/>
  <c r="CB26" i="4"/>
  <c r="CR26" i="4"/>
  <c r="D27" i="4"/>
  <c r="T27" i="4"/>
  <c r="AJ27" i="4"/>
  <c r="AZ27" i="4"/>
  <c r="BP27" i="4"/>
  <c r="CF27" i="4"/>
  <c r="CV27" i="4"/>
  <c r="L29" i="4"/>
  <c r="AB29" i="4"/>
  <c r="AR29" i="4"/>
  <c r="BH29" i="4"/>
  <c r="BX29" i="4"/>
  <c r="CN29" i="4"/>
  <c r="DD29" i="4"/>
  <c r="P30" i="4"/>
  <c r="AF30" i="4"/>
  <c r="AV30" i="4"/>
  <c r="BL30" i="4"/>
  <c r="CB30" i="4"/>
  <c r="CR30" i="4"/>
  <c r="D31" i="4"/>
  <c r="T31" i="4"/>
  <c r="AJ31" i="4"/>
  <c r="AZ31" i="4"/>
  <c r="BP31" i="4"/>
  <c r="CF31" i="4"/>
  <c r="CV31" i="4"/>
  <c r="L34" i="4"/>
  <c r="AB34" i="4"/>
  <c r="AR34" i="4"/>
  <c r="BH34" i="4"/>
  <c r="BX34" i="4"/>
  <c r="CN34" i="4"/>
  <c r="DD34" i="4"/>
  <c r="P57" i="4"/>
  <c r="P35" i="4"/>
  <c r="AF57" i="4"/>
  <c r="AF35" i="4"/>
  <c r="AV57" i="4"/>
  <c r="AV35" i="4"/>
  <c r="BL57" i="4"/>
  <c r="BL35" i="4"/>
  <c r="CB57" i="4"/>
  <c r="CB35" i="4"/>
  <c r="CR57" i="4"/>
  <c r="CR35" i="4"/>
  <c r="D36" i="4"/>
  <c r="T36" i="4"/>
  <c r="AJ36" i="4"/>
  <c r="AZ36" i="4"/>
  <c r="BP36" i="4"/>
  <c r="CF36" i="4"/>
  <c r="CV36" i="4"/>
  <c r="K65" i="4"/>
  <c r="K69" i="4" s="1"/>
  <c r="AA65" i="4"/>
  <c r="AA69" i="4" s="1"/>
  <c r="AQ65" i="4"/>
  <c r="AQ69" i="4" s="1"/>
  <c r="BG65" i="4"/>
  <c r="BG69" i="4" s="1"/>
  <c r="BW65" i="4"/>
  <c r="BW69" i="4" s="1"/>
  <c r="CM65" i="4"/>
  <c r="CM69" i="4" s="1"/>
  <c r="DC65" i="4"/>
  <c r="DC69" i="4" s="1"/>
  <c r="CB73" i="4"/>
  <c r="CM81" i="4"/>
  <c r="CM85" i="4" s="1"/>
  <c r="CO25" i="4"/>
  <c r="DE25" i="4"/>
  <c r="Q26" i="4"/>
  <c r="AG26" i="4"/>
  <c r="AW26" i="4"/>
  <c r="BM26" i="4"/>
  <c r="CC26" i="4"/>
  <c r="CS26" i="4"/>
  <c r="E27" i="4"/>
  <c r="U27" i="4"/>
  <c r="AK27" i="4"/>
  <c r="BA27" i="4"/>
  <c r="BQ27" i="4"/>
  <c r="CG27" i="4"/>
  <c r="CW27" i="4"/>
  <c r="M29" i="4"/>
  <c r="AC29" i="4"/>
  <c r="AS29" i="4"/>
  <c r="BI29" i="4"/>
  <c r="BY29" i="4"/>
  <c r="CO29" i="4"/>
  <c r="DE29" i="4"/>
  <c r="Q30" i="4"/>
  <c r="AG30" i="4"/>
  <c r="AW30" i="4"/>
  <c r="BM30" i="4"/>
  <c r="CC30" i="4"/>
  <c r="CS30" i="4"/>
  <c r="E31" i="4"/>
  <c r="U31" i="4"/>
  <c r="AK31" i="4"/>
  <c r="BA31" i="4"/>
  <c r="BQ31" i="4"/>
  <c r="CG31" i="4"/>
  <c r="CW31" i="4"/>
  <c r="M34" i="4"/>
  <c r="AC34" i="4"/>
  <c r="AS34" i="4"/>
  <c r="BI34" i="4"/>
  <c r="BY34" i="4"/>
  <c r="CO34" i="4"/>
  <c r="DE34" i="4"/>
  <c r="Q57" i="4"/>
  <c r="Q35" i="4"/>
  <c r="AG57" i="4"/>
  <c r="AG35" i="4"/>
  <c r="AW57" i="4"/>
  <c r="AW35" i="4"/>
  <c r="BM57" i="4"/>
  <c r="BM35" i="4"/>
  <c r="CC57" i="4"/>
  <c r="CC35" i="4"/>
  <c r="CS57" i="4"/>
  <c r="CS35" i="4"/>
  <c r="E36" i="4"/>
  <c r="U36" i="4"/>
  <c r="AK36" i="4"/>
  <c r="BA36" i="4"/>
  <c r="BQ36" i="4"/>
  <c r="CG36" i="4"/>
  <c r="CW36" i="4"/>
  <c r="L65" i="4"/>
  <c r="L69" i="4" s="1"/>
  <c r="AB65" i="4"/>
  <c r="AB69" i="4" s="1"/>
  <c r="AR65" i="4"/>
  <c r="AR69" i="4" s="1"/>
  <c r="BH65" i="4"/>
  <c r="BH69" i="4" s="1"/>
  <c r="BX65" i="4"/>
  <c r="BX69" i="4" s="1"/>
  <c r="CN65" i="4"/>
  <c r="CN69" i="4" s="1"/>
  <c r="DD65" i="4"/>
  <c r="DD69" i="4" s="1"/>
  <c r="CC73" i="4"/>
  <c r="K81" i="4"/>
  <c r="K85" i="4" s="1"/>
  <c r="CN81" i="4"/>
  <c r="CN85" i="4" s="1"/>
  <c r="BZ25" i="4"/>
  <c r="CP25" i="4"/>
  <c r="DF25" i="4"/>
  <c r="R26" i="4"/>
  <c r="AH26" i="4"/>
  <c r="AX26" i="4"/>
  <c r="BN26" i="4"/>
  <c r="CD26" i="4"/>
  <c r="CT26" i="4"/>
  <c r="F27" i="4"/>
  <c r="V27" i="4"/>
  <c r="AL27" i="4"/>
  <c r="BB27" i="4"/>
  <c r="BR27" i="4"/>
  <c r="CH27" i="4"/>
  <c r="CX27" i="4"/>
  <c r="N29" i="4"/>
  <c r="AD29" i="4"/>
  <c r="AT29" i="4"/>
  <c r="BJ29" i="4"/>
  <c r="BZ29" i="4"/>
  <c r="CP29" i="4"/>
  <c r="DF29" i="4"/>
  <c r="R30" i="4"/>
  <c r="AH30" i="4"/>
  <c r="AX30" i="4"/>
  <c r="BN30" i="4"/>
  <c r="CD30" i="4"/>
  <c r="CT30" i="4"/>
  <c r="F31" i="4"/>
  <c r="V31" i="4"/>
  <c r="AL31" i="4"/>
  <c r="BB31" i="4"/>
  <c r="BR31" i="4"/>
  <c r="CH31" i="4"/>
  <c r="CX31" i="4"/>
  <c r="N34" i="4"/>
  <c r="AD34" i="4"/>
  <c r="AT34" i="4"/>
  <c r="BJ34" i="4"/>
  <c r="BZ34" i="4"/>
  <c r="CP34" i="4"/>
  <c r="DF34" i="4"/>
  <c r="R57" i="4"/>
  <c r="R35" i="4"/>
  <c r="AH57" i="4"/>
  <c r="AH35" i="4"/>
  <c r="AX57" i="4"/>
  <c r="AX35" i="4"/>
  <c r="BN57" i="4"/>
  <c r="BN35" i="4"/>
  <c r="CD57" i="4"/>
  <c r="CD35" i="4"/>
  <c r="CT57" i="4"/>
  <c r="CT35" i="4"/>
  <c r="F36" i="4"/>
  <c r="V36" i="4"/>
  <c r="AL36" i="4"/>
  <c r="BB36" i="4"/>
  <c r="BR36" i="4"/>
  <c r="CH36" i="4"/>
  <c r="CX36" i="4"/>
  <c r="M65" i="4"/>
  <c r="M69" i="4" s="1"/>
  <c r="AC65" i="4"/>
  <c r="AC69" i="4" s="1"/>
  <c r="AS65" i="4"/>
  <c r="AS69" i="4" s="1"/>
  <c r="BI65" i="4"/>
  <c r="BI69" i="4" s="1"/>
  <c r="BY65" i="4"/>
  <c r="BY69" i="4" s="1"/>
  <c r="CO65" i="4"/>
  <c r="CO69" i="4" s="1"/>
  <c r="DE65" i="4"/>
  <c r="DE69" i="4" s="1"/>
  <c r="CD73" i="4"/>
  <c r="L81" i="4"/>
  <c r="L85" i="4" s="1"/>
  <c r="CO81" i="4"/>
  <c r="CO85" i="4" s="1"/>
  <c r="CQ25" i="4"/>
  <c r="C26" i="4"/>
  <c r="S26" i="4"/>
  <c r="AI26" i="4"/>
  <c r="AY26" i="4"/>
  <c r="BO26" i="4"/>
  <c r="CE26" i="4"/>
  <c r="CU26" i="4"/>
  <c r="G27" i="4"/>
  <c r="W27" i="4"/>
  <c r="AM27" i="4"/>
  <c r="BC27" i="4"/>
  <c r="BS27" i="4"/>
  <c r="CI27" i="4"/>
  <c r="CY27" i="4"/>
  <c r="O29" i="4"/>
  <c r="AE29" i="4"/>
  <c r="AU29" i="4"/>
  <c r="BK29" i="4"/>
  <c r="CA29" i="4"/>
  <c r="CQ29" i="4"/>
  <c r="C30" i="4"/>
  <c r="S30" i="4"/>
  <c r="AI30" i="4"/>
  <c r="AY30" i="4"/>
  <c r="BO30" i="4"/>
  <c r="CE30" i="4"/>
  <c r="CU30" i="4"/>
  <c r="G31" i="4"/>
  <c r="W31" i="4"/>
  <c r="AM31" i="4"/>
  <c r="BC31" i="4"/>
  <c r="BS31" i="4"/>
  <c r="CI31" i="4"/>
  <c r="CY31" i="4"/>
  <c r="O34" i="4"/>
  <c r="AE34" i="4"/>
  <c r="AU34" i="4"/>
  <c r="BK34" i="4"/>
  <c r="CA34" i="4"/>
  <c r="CQ34" i="4"/>
  <c r="C57" i="4"/>
  <c r="C35" i="4"/>
  <c r="S57" i="4"/>
  <c r="S35" i="4"/>
  <c r="AI57" i="4"/>
  <c r="AI35" i="4"/>
  <c r="AY57" i="4"/>
  <c r="AY35" i="4"/>
  <c r="BO57" i="4"/>
  <c r="BO35" i="4"/>
  <c r="CE57" i="4"/>
  <c r="CE35" i="4"/>
  <c r="CU57" i="4"/>
  <c r="CU35" i="4"/>
  <c r="G36" i="4"/>
  <c r="W36" i="4"/>
  <c r="AM36" i="4"/>
  <c r="BC36" i="4"/>
  <c r="BS36" i="4"/>
  <c r="CI36" i="4"/>
  <c r="CY36" i="4"/>
  <c r="N65" i="4"/>
  <c r="N69" i="4" s="1"/>
  <c r="AD65" i="4"/>
  <c r="AD69" i="4" s="1"/>
  <c r="AT65" i="4"/>
  <c r="AT69" i="4" s="1"/>
  <c r="BJ65" i="4"/>
  <c r="BJ69" i="4" s="1"/>
  <c r="BZ65" i="4"/>
  <c r="BZ69" i="4" s="1"/>
  <c r="CP65" i="4"/>
  <c r="CP69" i="4" s="1"/>
  <c r="DF65" i="4"/>
  <c r="DF69" i="4" s="1"/>
  <c r="CR73" i="4"/>
  <c r="M81" i="4"/>
  <c r="M85" i="4" s="1"/>
  <c r="DC81" i="4"/>
  <c r="DC85" i="4" s="1"/>
  <c r="CB29" i="4"/>
  <c r="CR29" i="4"/>
  <c r="D30" i="4"/>
  <c r="T30" i="4"/>
  <c r="AJ30" i="4"/>
  <c r="AZ30" i="4"/>
  <c r="BP30" i="4"/>
  <c r="CF30" i="4"/>
  <c r="CV30" i="4"/>
  <c r="H31" i="4"/>
  <c r="X31" i="4"/>
  <c r="AN31" i="4"/>
  <c r="BD31" i="4"/>
  <c r="BT31" i="4"/>
  <c r="CJ31" i="4"/>
  <c r="CZ31" i="4"/>
  <c r="P34" i="4"/>
  <c r="AF34" i="4"/>
  <c r="AV34" i="4"/>
  <c r="BL34" i="4"/>
  <c r="CB34" i="4"/>
  <c r="CR34" i="4"/>
  <c r="D57" i="4"/>
  <c r="D35" i="4"/>
  <c r="T57" i="4"/>
  <c r="T35" i="4"/>
  <c r="AJ57" i="4"/>
  <c r="AJ35" i="4"/>
  <c r="AZ57" i="4"/>
  <c r="AZ35" i="4"/>
  <c r="BP57" i="4"/>
  <c r="BP35" i="4"/>
  <c r="CF57" i="4"/>
  <c r="CF35" i="4"/>
  <c r="CV57" i="4"/>
  <c r="CV35" i="4"/>
  <c r="H36" i="4"/>
  <c r="X36" i="4"/>
  <c r="AN36" i="4"/>
  <c r="BD36" i="4"/>
  <c r="BT36" i="4"/>
  <c r="CJ36" i="4"/>
  <c r="CZ36" i="4"/>
  <c r="O65" i="4"/>
  <c r="O69" i="4" s="1"/>
  <c r="AE65" i="4"/>
  <c r="AE69" i="4" s="1"/>
  <c r="AU65" i="4"/>
  <c r="AU69" i="4" s="1"/>
  <c r="BK65" i="4"/>
  <c r="BK69" i="4" s="1"/>
  <c r="CA65" i="4"/>
  <c r="CA69" i="4" s="1"/>
  <c r="CQ65" i="4"/>
  <c r="CQ69" i="4" s="1"/>
  <c r="P73" i="4"/>
  <c r="CS73" i="4"/>
  <c r="AA81" i="4"/>
  <c r="AA85" i="4" s="1"/>
  <c r="DD81" i="4"/>
  <c r="DD85" i="4" s="1"/>
  <c r="Q29" i="4"/>
  <c r="AG29" i="4"/>
  <c r="AW29" i="4"/>
  <c r="BM29" i="4"/>
  <c r="CC29" i="4"/>
  <c r="CS29" i="4"/>
  <c r="E30" i="4"/>
  <c r="U30" i="4"/>
  <c r="AK30" i="4"/>
  <c r="BA30" i="4"/>
  <c r="BQ30" i="4"/>
  <c r="CG30" i="4"/>
  <c r="CW30" i="4"/>
  <c r="I31" i="4"/>
  <c r="Y31" i="4"/>
  <c r="AO31" i="4"/>
  <c r="BE31" i="4"/>
  <c r="BU31" i="4"/>
  <c r="CK31" i="4"/>
  <c r="DA31" i="4"/>
  <c r="Q34" i="4"/>
  <c r="Q38" i="4" s="1"/>
  <c r="AG34" i="4"/>
  <c r="AG38" i="4" s="1"/>
  <c r="AW34" i="4"/>
  <c r="AW38" i="4" s="1"/>
  <c r="BM34" i="4"/>
  <c r="BM38" i="4" s="1"/>
  <c r="CC34" i="4"/>
  <c r="CC38" i="4" s="1"/>
  <c r="CS34" i="4"/>
  <c r="CS38" i="4" s="1"/>
  <c r="E57" i="4"/>
  <c r="E35" i="4"/>
  <c r="U57" i="4"/>
  <c r="U35" i="4"/>
  <c r="AK57" i="4"/>
  <c r="AK35" i="4"/>
  <c r="BA57" i="4"/>
  <c r="BA35" i="4"/>
  <c r="BQ57" i="4"/>
  <c r="BQ35" i="4"/>
  <c r="CG35" i="4"/>
  <c r="CG57" i="4"/>
  <c r="CW57" i="4"/>
  <c r="CW35" i="4"/>
  <c r="I36" i="4"/>
  <c r="Y36" i="4"/>
  <c r="AO36" i="4"/>
  <c r="BE36" i="4"/>
  <c r="BU36" i="4"/>
  <c r="CK36" i="4"/>
  <c r="DA36" i="4"/>
  <c r="P65" i="4"/>
  <c r="P69" i="4" s="1"/>
  <c r="AF65" i="4"/>
  <c r="AF69" i="4" s="1"/>
  <c r="AV65" i="4"/>
  <c r="AV69" i="4" s="1"/>
  <c r="BL65" i="4"/>
  <c r="BL69" i="4" s="1"/>
  <c r="CB65" i="4"/>
  <c r="CB69" i="4" s="1"/>
  <c r="CR65" i="4"/>
  <c r="CR69" i="4" s="1"/>
  <c r="Q73" i="4"/>
  <c r="CT73" i="4"/>
  <c r="AB81" i="4"/>
  <c r="AB85" i="4" s="1"/>
  <c r="DE81" i="4"/>
  <c r="DE85" i="4" s="1"/>
  <c r="R29" i="4"/>
  <c r="AH29" i="4"/>
  <c r="AX29" i="4"/>
  <c r="BN29" i="4"/>
  <c r="CD29" i="4"/>
  <c r="CT29" i="4"/>
  <c r="F30" i="4"/>
  <c r="V30" i="4"/>
  <c r="AL30" i="4"/>
  <c r="BB30" i="4"/>
  <c r="BR30" i="4"/>
  <c r="CH30" i="4"/>
  <c r="CX30" i="4"/>
  <c r="J31" i="4"/>
  <c r="Z31" i="4"/>
  <c r="AP31" i="4"/>
  <c r="BF31" i="4"/>
  <c r="BV31" i="4"/>
  <c r="CL31" i="4"/>
  <c r="DB31" i="4"/>
  <c r="R34" i="4"/>
  <c r="R38" i="4" s="1"/>
  <c r="AH34" i="4"/>
  <c r="AH38" i="4" s="1"/>
  <c r="AX34" i="4"/>
  <c r="AX38" i="4" s="1"/>
  <c r="BN34" i="4"/>
  <c r="BN38" i="4" s="1"/>
  <c r="CD34" i="4"/>
  <c r="CD38" i="4" s="1"/>
  <c r="CT34" i="4"/>
  <c r="CT38" i="4" s="1"/>
  <c r="F35" i="4"/>
  <c r="F57" i="4"/>
  <c r="V35" i="4"/>
  <c r="V57" i="4"/>
  <c r="AL57" i="4"/>
  <c r="AL35" i="4"/>
  <c r="BB57" i="4"/>
  <c r="BB35" i="4"/>
  <c r="BR35" i="4"/>
  <c r="BR57" i="4"/>
  <c r="CH35" i="4"/>
  <c r="CH57" i="4"/>
  <c r="CX35" i="4"/>
  <c r="CX57" i="4"/>
  <c r="J36" i="4"/>
  <c r="Z36" i="4"/>
  <c r="AP36" i="4"/>
  <c r="BF36" i="4"/>
  <c r="BV36" i="4"/>
  <c r="CL36" i="4"/>
  <c r="DB36" i="4"/>
  <c r="Q65" i="4"/>
  <c r="Q69" i="4" s="1"/>
  <c r="AG65" i="4"/>
  <c r="AG69" i="4" s="1"/>
  <c r="AW65" i="4"/>
  <c r="AW69" i="4" s="1"/>
  <c r="BM65" i="4"/>
  <c r="BM69" i="4" s="1"/>
  <c r="CC65" i="4"/>
  <c r="CC69" i="4" s="1"/>
  <c r="CS65" i="4"/>
  <c r="CS69" i="4" s="1"/>
  <c r="R73" i="4"/>
  <c r="AC81" i="4"/>
  <c r="AC85" i="4" s="1"/>
  <c r="G89" i="4"/>
  <c r="CE29" i="4"/>
  <c r="CU29" i="4"/>
  <c r="G30" i="4"/>
  <c r="W30" i="4"/>
  <c r="AM30" i="4"/>
  <c r="BC30" i="4"/>
  <c r="BS30" i="4"/>
  <c r="CI30" i="4"/>
  <c r="CY30" i="4"/>
  <c r="K31" i="4"/>
  <c r="AA31" i="4"/>
  <c r="AQ31" i="4"/>
  <c r="BG31" i="4"/>
  <c r="BW31" i="4"/>
  <c r="CM31" i="4"/>
  <c r="DC31" i="4"/>
  <c r="C34" i="4"/>
  <c r="S34" i="4"/>
  <c r="S38" i="4" s="1"/>
  <c r="AI34" i="4"/>
  <c r="AI38" i="4" s="1"/>
  <c r="AY34" i="4"/>
  <c r="AY38" i="4" s="1"/>
  <c r="BO34" i="4"/>
  <c r="BO38" i="4" s="1"/>
  <c r="CE34" i="4"/>
  <c r="CE38" i="4" s="1"/>
  <c r="CU34" i="4"/>
  <c r="CU38" i="4" s="1"/>
  <c r="G35" i="4"/>
  <c r="G57" i="4"/>
  <c r="W35" i="4"/>
  <c r="W57" i="4"/>
  <c r="AM57" i="4"/>
  <c r="AM35" i="4"/>
  <c r="BC57" i="4"/>
  <c r="BC35" i="4"/>
  <c r="BS35" i="4"/>
  <c r="BS57" i="4"/>
  <c r="CI35" i="4"/>
  <c r="CI57" i="4"/>
  <c r="CY35" i="4"/>
  <c r="CY57" i="4"/>
  <c r="K36" i="4"/>
  <c r="AA36" i="4"/>
  <c r="AQ36" i="4"/>
  <c r="BG36" i="4"/>
  <c r="BW36" i="4"/>
  <c r="CM36" i="4"/>
  <c r="DC36" i="4"/>
  <c r="R65" i="4"/>
  <c r="R69" i="4" s="1"/>
  <c r="AH65" i="4"/>
  <c r="AH69" i="4" s="1"/>
  <c r="AX65" i="4"/>
  <c r="AX69" i="4" s="1"/>
  <c r="BN65" i="4"/>
  <c r="BN69" i="4" s="1"/>
  <c r="CD65" i="4"/>
  <c r="CD69" i="4" s="1"/>
  <c r="CT65" i="4"/>
  <c r="CT69" i="4" s="1"/>
  <c r="AF73" i="4"/>
  <c r="AQ81" i="4"/>
  <c r="AQ85" i="4" s="1"/>
  <c r="O89" i="4"/>
  <c r="AN26" i="4"/>
  <c r="BD26" i="4"/>
  <c r="BT26" i="4"/>
  <c r="CJ26" i="4"/>
  <c r="CZ26" i="4"/>
  <c r="L27" i="4"/>
  <c r="AB27" i="4"/>
  <c r="AR27" i="4"/>
  <c r="BH27" i="4"/>
  <c r="BX27" i="4"/>
  <c r="CN27" i="4"/>
  <c r="DD27" i="4"/>
  <c r="D29" i="4"/>
  <c r="T29" i="4"/>
  <c r="AJ29" i="4"/>
  <c r="AZ29" i="4"/>
  <c r="BP29" i="4"/>
  <c r="CF29" i="4"/>
  <c r="CV29" i="4"/>
  <c r="H30" i="4"/>
  <c r="X30" i="4"/>
  <c r="AN30" i="4"/>
  <c r="BD30" i="4"/>
  <c r="BT30" i="4"/>
  <c r="CJ30" i="4"/>
  <c r="CZ30" i="4"/>
  <c r="L31" i="4"/>
  <c r="AB31" i="4"/>
  <c r="AR31" i="4"/>
  <c r="BH31" i="4"/>
  <c r="BX31" i="4"/>
  <c r="CN31" i="4"/>
  <c r="DD31" i="4"/>
  <c r="D34" i="4"/>
  <c r="D38" i="4" s="1"/>
  <c r="T34" i="4"/>
  <c r="T38" i="4" s="1"/>
  <c r="AJ34" i="4"/>
  <c r="AJ38" i="4" s="1"/>
  <c r="AZ34" i="4"/>
  <c r="AZ38" i="4" s="1"/>
  <c r="BP34" i="4"/>
  <c r="BP38" i="4" s="1"/>
  <c r="CF34" i="4"/>
  <c r="CF38" i="4" s="1"/>
  <c r="CV34" i="4"/>
  <c r="CV38" i="4" s="1"/>
  <c r="H57" i="4"/>
  <c r="H35" i="4"/>
  <c r="X57" i="4"/>
  <c r="X35" i="4"/>
  <c r="AN57" i="4"/>
  <c r="AN35" i="4"/>
  <c r="BD57" i="4"/>
  <c r="BD35" i="4"/>
  <c r="BT57" i="4"/>
  <c r="BT35" i="4"/>
  <c r="CJ57" i="4"/>
  <c r="CJ35" i="4"/>
  <c r="CZ57" i="4"/>
  <c r="CZ35" i="4"/>
  <c r="L36" i="4"/>
  <c r="AB36" i="4"/>
  <c r="AR36" i="4"/>
  <c r="BH36" i="4"/>
  <c r="BX36" i="4"/>
  <c r="CN36" i="4"/>
  <c r="DD36" i="4"/>
  <c r="C65" i="4"/>
  <c r="C69" i="4" s="1"/>
  <c r="S65" i="4"/>
  <c r="S69" i="4" s="1"/>
  <c r="AI65" i="4"/>
  <c r="AI69" i="4" s="1"/>
  <c r="AY65" i="4"/>
  <c r="AY69" i="4" s="1"/>
  <c r="BO65" i="4"/>
  <c r="BO69" i="4" s="1"/>
  <c r="CE65" i="4"/>
  <c r="CE69" i="4" s="1"/>
  <c r="CU65" i="4"/>
  <c r="CU69" i="4" s="1"/>
  <c r="AG73" i="4"/>
  <c r="AR81" i="4"/>
  <c r="AR85" i="4" s="1"/>
  <c r="BM89" i="4"/>
  <c r="CW25" i="4"/>
  <c r="I26" i="4"/>
  <c r="Y26" i="4"/>
  <c r="AO26" i="4"/>
  <c r="BE26" i="4"/>
  <c r="BU26" i="4"/>
  <c r="CK26" i="4"/>
  <c r="DA26" i="4"/>
  <c r="M27" i="4"/>
  <c r="AC27" i="4"/>
  <c r="AS27" i="4"/>
  <c r="BI27" i="4"/>
  <c r="BY27" i="4"/>
  <c r="CO27" i="4"/>
  <c r="DE27" i="4"/>
  <c r="E29" i="4"/>
  <c r="U29" i="4"/>
  <c r="AK29" i="4"/>
  <c r="BA29" i="4"/>
  <c r="BQ29" i="4"/>
  <c r="CG29" i="4"/>
  <c r="CW29" i="4"/>
  <c r="I30" i="4"/>
  <c r="Y30" i="4"/>
  <c r="AO30" i="4"/>
  <c r="BE30" i="4"/>
  <c r="BU30" i="4"/>
  <c r="CK30" i="4"/>
  <c r="DA30" i="4"/>
  <c r="M31" i="4"/>
  <c r="AC31" i="4"/>
  <c r="AS31" i="4"/>
  <c r="BI31" i="4"/>
  <c r="BY31" i="4"/>
  <c r="CO31" i="4"/>
  <c r="DE31" i="4"/>
  <c r="E34" i="4"/>
  <c r="E38" i="4" s="1"/>
  <c r="U34" i="4"/>
  <c r="U38" i="4" s="1"/>
  <c r="AK34" i="4"/>
  <c r="AK38" i="4" s="1"/>
  <c r="BA34" i="4"/>
  <c r="BA38" i="4" s="1"/>
  <c r="BQ34" i="4"/>
  <c r="BQ38" i="4" s="1"/>
  <c r="CG34" i="4"/>
  <c r="CG38" i="4" s="1"/>
  <c r="CW34" i="4"/>
  <c r="CW38" i="4" s="1"/>
  <c r="I57" i="4"/>
  <c r="I35" i="4"/>
  <c r="Y57" i="4"/>
  <c r="Y35" i="4"/>
  <c r="AO57" i="4"/>
  <c r="AO35" i="4"/>
  <c r="BE57" i="4"/>
  <c r="BE35" i="4"/>
  <c r="BU57" i="4"/>
  <c r="BU35" i="4"/>
  <c r="CK57" i="4"/>
  <c r="CK35" i="4"/>
  <c r="DA57" i="4"/>
  <c r="DA35" i="4"/>
  <c r="M36" i="4"/>
  <c r="AC36" i="4"/>
  <c r="AS36" i="4"/>
  <c r="BI36" i="4"/>
  <c r="BY36" i="4"/>
  <c r="CO36" i="4"/>
  <c r="DE36" i="4"/>
  <c r="D65" i="4"/>
  <c r="D69" i="4" s="1"/>
  <c r="T65" i="4"/>
  <c r="T69" i="4" s="1"/>
  <c r="AJ65" i="4"/>
  <c r="AJ69" i="4" s="1"/>
  <c r="AZ65" i="4"/>
  <c r="AZ69" i="4" s="1"/>
  <c r="BP65" i="4"/>
  <c r="BP69" i="4" s="1"/>
  <c r="CF65" i="4"/>
  <c r="CF69" i="4" s="1"/>
  <c r="CV65" i="4"/>
  <c r="CV69" i="4" s="1"/>
  <c r="AH73" i="4"/>
  <c r="AS81" i="4"/>
  <c r="AS85" i="4" s="1"/>
  <c r="CA89" i="4"/>
  <c r="CH25" i="4"/>
  <c r="CX25" i="4"/>
  <c r="J26" i="4"/>
  <c r="Z26" i="4"/>
  <c r="AP26" i="4"/>
  <c r="BF26" i="4"/>
  <c r="BV26" i="4"/>
  <c r="CL26" i="4"/>
  <c r="DB26" i="4"/>
  <c r="N27" i="4"/>
  <c r="AD27" i="4"/>
  <c r="AT27" i="4"/>
  <c r="BJ27" i="4"/>
  <c r="BZ27" i="4"/>
  <c r="CP27" i="4"/>
  <c r="DF27" i="4"/>
  <c r="F29" i="4"/>
  <c r="V29" i="4"/>
  <c r="AL29" i="4"/>
  <c r="BB29" i="4"/>
  <c r="BR29" i="4"/>
  <c r="CH29" i="4"/>
  <c r="CX29" i="4"/>
  <c r="J30" i="4"/>
  <c r="Z30" i="4"/>
  <c r="AP30" i="4"/>
  <c r="BF30" i="4"/>
  <c r="BV30" i="4"/>
  <c r="CL30" i="4"/>
  <c r="DB30" i="4"/>
  <c r="N31" i="4"/>
  <c r="AD31" i="4"/>
  <c r="AT31" i="4"/>
  <c r="BJ31" i="4"/>
  <c r="BZ31" i="4"/>
  <c r="CP31" i="4"/>
  <c r="DF31" i="4"/>
  <c r="F34" i="4"/>
  <c r="F38" i="4" s="1"/>
  <c r="V34" i="4"/>
  <c r="V38" i="4" s="1"/>
  <c r="AL34" i="4"/>
  <c r="AL38" i="4" s="1"/>
  <c r="BB34" i="4"/>
  <c r="BB38" i="4" s="1"/>
  <c r="BR34" i="4"/>
  <c r="BR38" i="4" s="1"/>
  <c r="CH34" i="4"/>
  <c r="CH38" i="4" s="1"/>
  <c r="CX34" i="4"/>
  <c r="CX38" i="4" s="1"/>
  <c r="J57" i="4"/>
  <c r="J35" i="4"/>
  <c r="Z57" i="4"/>
  <c r="Z35" i="4"/>
  <c r="AP57" i="4"/>
  <c r="AP35" i="4"/>
  <c r="BF57" i="4"/>
  <c r="BF35" i="4"/>
  <c r="BV57" i="4"/>
  <c r="BV35" i="4"/>
  <c r="CL57" i="4"/>
  <c r="CL35" i="4"/>
  <c r="DB57" i="4"/>
  <c r="DB35" i="4"/>
  <c r="N36" i="4"/>
  <c r="AD36" i="4"/>
  <c r="AT36" i="4"/>
  <c r="BJ36" i="4"/>
  <c r="BZ36" i="4"/>
  <c r="CP36" i="4"/>
  <c r="DF36" i="4"/>
  <c r="E65" i="4"/>
  <c r="E69" i="4" s="1"/>
  <c r="U65" i="4"/>
  <c r="U69" i="4" s="1"/>
  <c r="AK65" i="4"/>
  <c r="AK69" i="4" s="1"/>
  <c r="BA65" i="4"/>
  <c r="BA69" i="4" s="1"/>
  <c r="BQ65" i="4"/>
  <c r="BQ69" i="4" s="1"/>
  <c r="CG65" i="4"/>
  <c r="CG69" i="4" s="1"/>
  <c r="CW65" i="4"/>
  <c r="CW69" i="4" s="1"/>
  <c r="AV73" i="4"/>
  <c r="BG81" i="4"/>
  <c r="BG85" i="4" s="1"/>
  <c r="CB89" i="4"/>
  <c r="F10" i="6"/>
  <c r="E10" i="6"/>
  <c r="CY25" i="4"/>
  <c r="K26" i="4"/>
  <c r="AA26" i="4"/>
  <c r="AQ26" i="4"/>
  <c r="BG26" i="4"/>
  <c r="BW26" i="4"/>
  <c r="CM26" i="4"/>
  <c r="DC26" i="4"/>
  <c r="O27" i="4"/>
  <c r="AE27" i="4"/>
  <c r="AU27" i="4"/>
  <c r="BK27" i="4"/>
  <c r="CA27" i="4"/>
  <c r="CQ27" i="4"/>
  <c r="G29" i="4"/>
  <c r="W29" i="4"/>
  <c r="AM29" i="4"/>
  <c r="BC29" i="4"/>
  <c r="BS29" i="4"/>
  <c r="CI29" i="4"/>
  <c r="CY29" i="4"/>
  <c r="K30" i="4"/>
  <c r="AA30" i="4"/>
  <c r="AQ30" i="4"/>
  <c r="BG30" i="4"/>
  <c r="BW30" i="4"/>
  <c r="CM30" i="4"/>
  <c r="DC30" i="4"/>
  <c r="O31" i="4"/>
  <c r="AE31" i="4"/>
  <c r="AU31" i="4"/>
  <c r="BK31" i="4"/>
  <c r="CA31" i="4"/>
  <c r="CQ31" i="4"/>
  <c r="G34" i="4"/>
  <c r="G38" i="4" s="1"/>
  <c r="W34" i="4"/>
  <c r="W38" i="4" s="1"/>
  <c r="AM34" i="4"/>
  <c r="AM38" i="4" s="1"/>
  <c r="BC34" i="4"/>
  <c r="BC38" i="4" s="1"/>
  <c r="BS34" i="4"/>
  <c r="BS38" i="4" s="1"/>
  <c r="CI34" i="4"/>
  <c r="CI38" i="4" s="1"/>
  <c r="CY34" i="4"/>
  <c r="CY38" i="4" s="1"/>
  <c r="K57" i="4"/>
  <c r="K35" i="4"/>
  <c r="AA57" i="4"/>
  <c r="AA35" i="4"/>
  <c r="AQ57" i="4"/>
  <c r="AQ35" i="4"/>
  <c r="BG57" i="4"/>
  <c r="BG35" i="4"/>
  <c r="BW57" i="4"/>
  <c r="BW35" i="4"/>
  <c r="CM57" i="4"/>
  <c r="CM35" i="4"/>
  <c r="DC57" i="4"/>
  <c r="DC35" i="4"/>
  <c r="O36" i="4"/>
  <c r="AE36" i="4"/>
  <c r="AU36" i="4"/>
  <c r="BK36" i="4"/>
  <c r="CA36" i="4"/>
  <c r="CQ36" i="4"/>
  <c r="F65" i="4"/>
  <c r="F69" i="4" s="1"/>
  <c r="V65" i="4"/>
  <c r="V69" i="4" s="1"/>
  <c r="AL65" i="4"/>
  <c r="AL69" i="4" s="1"/>
  <c r="BB65" i="4"/>
  <c r="BB69" i="4" s="1"/>
  <c r="BR65" i="4"/>
  <c r="BR69" i="4" s="1"/>
  <c r="CH65" i="4"/>
  <c r="CH69" i="4" s="1"/>
  <c r="CX65" i="4"/>
  <c r="CX69" i="4" s="1"/>
  <c r="AW73" i="4"/>
  <c r="BH81" i="4"/>
  <c r="BH85" i="4" s="1"/>
  <c r="CJ29" i="4"/>
  <c r="CZ29" i="4"/>
  <c r="L30" i="4"/>
  <c r="AB30" i="4"/>
  <c r="AR30" i="4"/>
  <c r="BH30" i="4"/>
  <c r="BX30" i="4"/>
  <c r="CN30" i="4"/>
  <c r="DD30" i="4"/>
  <c r="P31" i="4"/>
  <c r="AF31" i="4"/>
  <c r="AV31" i="4"/>
  <c r="BL31" i="4"/>
  <c r="CB31" i="4"/>
  <c r="CR31" i="4"/>
  <c r="H34" i="4"/>
  <c r="H38" i="4" s="1"/>
  <c r="X34" i="4"/>
  <c r="X38" i="4" s="1"/>
  <c r="AN34" i="4"/>
  <c r="AN38" i="4" s="1"/>
  <c r="BD34" i="4"/>
  <c r="BD38" i="4" s="1"/>
  <c r="BT34" i="4"/>
  <c r="BT38" i="4" s="1"/>
  <c r="CJ34" i="4"/>
  <c r="CJ38" i="4" s="1"/>
  <c r="CZ34" i="4"/>
  <c r="CZ38" i="4" s="1"/>
  <c r="L57" i="4"/>
  <c r="L35" i="4"/>
  <c r="AB57" i="4"/>
  <c r="AB35" i="4"/>
  <c r="AR57" i="4"/>
  <c r="AR35" i="4"/>
  <c r="BH57" i="4"/>
  <c r="BH35" i="4"/>
  <c r="BX57" i="4"/>
  <c r="BX35" i="4"/>
  <c r="CN57" i="4"/>
  <c r="CN35" i="4"/>
  <c r="DD57" i="4"/>
  <c r="DD35" i="4"/>
  <c r="P36" i="4"/>
  <c r="AF36" i="4"/>
  <c r="AV36" i="4"/>
  <c r="BL36" i="4"/>
  <c r="CB36" i="4"/>
  <c r="CR36" i="4"/>
  <c r="G65" i="4"/>
  <c r="G69" i="4" s="1"/>
  <c r="W65" i="4"/>
  <c r="W69" i="4" s="1"/>
  <c r="AM65" i="4"/>
  <c r="AM69" i="4" s="1"/>
  <c r="BC65" i="4"/>
  <c r="BC69" i="4" s="1"/>
  <c r="BS65" i="4"/>
  <c r="BS69" i="4" s="1"/>
  <c r="CI65" i="4"/>
  <c r="CI69" i="4" s="1"/>
  <c r="CY65" i="4"/>
  <c r="CY69" i="4" s="1"/>
  <c r="AX73" i="4"/>
  <c r="BI81" i="4"/>
  <c r="BI85" i="4" s="1"/>
  <c r="C73" i="4"/>
  <c r="S73" i="4"/>
  <c r="AI73" i="4"/>
  <c r="AY73" i="4"/>
  <c r="BO73" i="4"/>
  <c r="CE73" i="4"/>
  <c r="CU73" i="4"/>
  <c r="N81" i="4"/>
  <c r="N85" i="4" s="1"/>
  <c r="AD81" i="4"/>
  <c r="AD85" i="4" s="1"/>
  <c r="AT81" i="4"/>
  <c r="AT85" i="4" s="1"/>
  <c r="BJ81" i="4"/>
  <c r="BJ85" i="4" s="1"/>
  <c r="BZ81" i="4"/>
  <c r="BZ85" i="4" s="1"/>
  <c r="CP81" i="4"/>
  <c r="CP85" i="4" s="1"/>
  <c r="DF81" i="4"/>
  <c r="DF85" i="4" s="1"/>
  <c r="P89" i="4"/>
  <c r="CC89" i="4"/>
  <c r="D73" i="4"/>
  <c r="T73" i="4"/>
  <c r="AJ73" i="4"/>
  <c r="AZ73" i="4"/>
  <c r="BP73" i="4"/>
  <c r="CF73" i="4"/>
  <c r="CV73" i="4"/>
  <c r="O81" i="4"/>
  <c r="O85" i="4" s="1"/>
  <c r="AE81" i="4"/>
  <c r="AE85" i="4" s="1"/>
  <c r="AU81" i="4"/>
  <c r="AU85" i="4" s="1"/>
  <c r="BK81" i="4"/>
  <c r="BK85" i="4" s="1"/>
  <c r="CA81" i="4"/>
  <c r="CA85" i="4" s="1"/>
  <c r="CQ81" i="4"/>
  <c r="CQ85" i="4" s="1"/>
  <c r="Q89" i="4"/>
  <c r="CQ89" i="4"/>
  <c r="E73" i="4"/>
  <c r="U73" i="4"/>
  <c r="AK73" i="4"/>
  <c r="BA73" i="4"/>
  <c r="BQ73" i="4"/>
  <c r="CG73" i="4"/>
  <c r="CW73" i="4"/>
  <c r="P81" i="4"/>
  <c r="P85" i="4" s="1"/>
  <c r="AF81" i="4"/>
  <c r="AF85" i="4" s="1"/>
  <c r="AV81" i="4"/>
  <c r="AV85" i="4" s="1"/>
  <c r="BL81" i="4"/>
  <c r="BL85" i="4" s="1"/>
  <c r="CB81" i="4"/>
  <c r="CB85" i="4" s="1"/>
  <c r="CR81" i="4"/>
  <c r="CR85" i="4" s="1"/>
  <c r="W89" i="4"/>
  <c r="CR89" i="4"/>
  <c r="F73" i="4"/>
  <c r="V73" i="4"/>
  <c r="AL73" i="4"/>
  <c r="BB73" i="4"/>
  <c r="BR73" i="4"/>
  <c r="CH73" i="4"/>
  <c r="CX73" i="4"/>
  <c r="Q81" i="4"/>
  <c r="Q85" i="4" s="1"/>
  <c r="AG81" i="4"/>
  <c r="AG85" i="4" s="1"/>
  <c r="AW81" i="4"/>
  <c r="AW85" i="4" s="1"/>
  <c r="BM81" i="4"/>
  <c r="BM85" i="4" s="1"/>
  <c r="CC81" i="4"/>
  <c r="CC85" i="4" s="1"/>
  <c r="CS81" i="4"/>
  <c r="CS85" i="4" s="1"/>
  <c r="AE89" i="4"/>
  <c r="CS89" i="4"/>
  <c r="G73" i="4"/>
  <c r="W73" i="4"/>
  <c r="AM73" i="4"/>
  <c r="BC73" i="4"/>
  <c r="BS73" i="4"/>
  <c r="CI73" i="4"/>
  <c r="CY73" i="4"/>
  <c r="R81" i="4"/>
  <c r="R85" i="4" s="1"/>
  <c r="AH81" i="4"/>
  <c r="AH85" i="4" s="1"/>
  <c r="AX81" i="4"/>
  <c r="AX85" i="4" s="1"/>
  <c r="BN81" i="4"/>
  <c r="BN85" i="4" s="1"/>
  <c r="CD81" i="4"/>
  <c r="CD85" i="4" s="1"/>
  <c r="CT81" i="4"/>
  <c r="CT85" i="4" s="1"/>
  <c r="AF89" i="4"/>
  <c r="H73" i="4"/>
  <c r="X73" i="4"/>
  <c r="AN73" i="4"/>
  <c r="BD73" i="4"/>
  <c r="BT73" i="4"/>
  <c r="CJ73" i="4"/>
  <c r="CZ73" i="4"/>
  <c r="C81" i="4"/>
  <c r="C85" i="4" s="1"/>
  <c r="S81" i="4"/>
  <c r="S85" i="4" s="1"/>
  <c r="AI81" i="4"/>
  <c r="AI85" i="4" s="1"/>
  <c r="AY81" i="4"/>
  <c r="AY85" i="4" s="1"/>
  <c r="BO81" i="4"/>
  <c r="BO85" i="4" s="1"/>
  <c r="CE81" i="4"/>
  <c r="CE85" i="4" s="1"/>
  <c r="CU81" i="4"/>
  <c r="CU85" i="4" s="1"/>
  <c r="AG89" i="4"/>
  <c r="I73" i="4"/>
  <c r="Y73" i="4"/>
  <c r="AO73" i="4"/>
  <c r="BE73" i="4"/>
  <c r="BU73" i="4"/>
  <c r="CK73" i="4"/>
  <c r="DA73" i="4"/>
  <c r="D81" i="4"/>
  <c r="D85" i="4" s="1"/>
  <c r="T81" i="4"/>
  <c r="T85" i="4" s="1"/>
  <c r="AJ81" i="4"/>
  <c r="AJ85" i="4" s="1"/>
  <c r="AZ81" i="4"/>
  <c r="AZ85" i="4" s="1"/>
  <c r="BP81" i="4"/>
  <c r="BP85" i="4" s="1"/>
  <c r="CF81" i="4"/>
  <c r="CF85" i="4" s="1"/>
  <c r="CV81" i="4"/>
  <c r="CV85" i="4" s="1"/>
  <c r="AM89" i="4"/>
  <c r="J73" i="4"/>
  <c r="Z73" i="4"/>
  <c r="AP73" i="4"/>
  <c r="BF73" i="4"/>
  <c r="BV73" i="4"/>
  <c r="CL73" i="4"/>
  <c r="DB73" i="4"/>
  <c r="E81" i="4"/>
  <c r="E85" i="4" s="1"/>
  <c r="U81" i="4"/>
  <c r="U85" i="4" s="1"/>
  <c r="AK81" i="4"/>
  <c r="AK85" i="4" s="1"/>
  <c r="BA81" i="4"/>
  <c r="BA85" i="4" s="1"/>
  <c r="BQ81" i="4"/>
  <c r="BQ85" i="4" s="1"/>
  <c r="CG81" i="4"/>
  <c r="CG85" i="4" s="1"/>
  <c r="CW81" i="4"/>
  <c r="CW85" i="4" s="1"/>
  <c r="AU89" i="4"/>
  <c r="K73" i="4"/>
  <c r="AA73" i="4"/>
  <c r="AQ73" i="4"/>
  <c r="BG73" i="4"/>
  <c r="BW73" i="4"/>
  <c r="CM73" i="4"/>
  <c r="DC73" i="4"/>
  <c r="F81" i="4"/>
  <c r="F85" i="4" s="1"/>
  <c r="V81" i="4"/>
  <c r="V85" i="4" s="1"/>
  <c r="AL81" i="4"/>
  <c r="AL85" i="4" s="1"/>
  <c r="BB81" i="4"/>
  <c r="BB85" i="4" s="1"/>
  <c r="BR81" i="4"/>
  <c r="BR85" i="4" s="1"/>
  <c r="CH81" i="4"/>
  <c r="CH85" i="4" s="1"/>
  <c r="CX81" i="4"/>
  <c r="CX85" i="4" s="1"/>
  <c r="AV89" i="4"/>
  <c r="L73" i="4"/>
  <c r="AB73" i="4"/>
  <c r="AR73" i="4"/>
  <c r="BH73" i="4"/>
  <c r="BX73" i="4"/>
  <c r="CN73" i="4"/>
  <c r="DD73" i="4"/>
  <c r="G81" i="4"/>
  <c r="G85" i="4" s="1"/>
  <c r="W81" i="4"/>
  <c r="W85" i="4" s="1"/>
  <c r="AM81" i="4"/>
  <c r="AM85" i="4" s="1"/>
  <c r="BC81" i="4"/>
  <c r="BC85" i="4" s="1"/>
  <c r="BS81" i="4"/>
  <c r="BS85" i="4" s="1"/>
  <c r="CI81" i="4"/>
  <c r="CI85" i="4" s="1"/>
  <c r="CY81" i="4"/>
  <c r="CY85" i="4" s="1"/>
  <c r="AW89" i="4"/>
  <c r="M73" i="4"/>
  <c r="AC73" i="4"/>
  <c r="AS73" i="4"/>
  <c r="BI73" i="4"/>
  <c r="BY73" i="4"/>
  <c r="CO73" i="4"/>
  <c r="DE73" i="4"/>
  <c r="H81" i="4"/>
  <c r="H85" i="4" s="1"/>
  <c r="X81" i="4"/>
  <c r="X85" i="4" s="1"/>
  <c r="AN81" i="4"/>
  <c r="AN85" i="4" s="1"/>
  <c r="BD81" i="4"/>
  <c r="BD85" i="4" s="1"/>
  <c r="BT81" i="4"/>
  <c r="BT85" i="4" s="1"/>
  <c r="CJ81" i="4"/>
  <c r="CJ85" i="4" s="1"/>
  <c r="CZ81" i="4"/>
  <c r="CZ85" i="4" s="1"/>
  <c r="BC89" i="4"/>
  <c r="N73" i="4"/>
  <c r="AD73" i="4"/>
  <c r="AT73" i="4"/>
  <c r="BJ73" i="4"/>
  <c r="BZ73" i="4"/>
  <c r="CP73" i="4"/>
  <c r="DF73" i="4"/>
  <c r="I81" i="4"/>
  <c r="I85" i="4" s="1"/>
  <c r="Y81" i="4"/>
  <c r="Y85" i="4" s="1"/>
  <c r="AO81" i="4"/>
  <c r="AO85" i="4" s="1"/>
  <c r="BE81" i="4"/>
  <c r="BE85" i="4" s="1"/>
  <c r="BU81" i="4"/>
  <c r="BU85" i="4" s="1"/>
  <c r="CK81" i="4"/>
  <c r="CK85" i="4" s="1"/>
  <c r="DA81" i="4"/>
  <c r="DA85" i="4" s="1"/>
  <c r="BK89" i="4"/>
  <c r="O73" i="4"/>
  <c r="AE73" i="4"/>
  <c r="AU73" i="4"/>
  <c r="BK73" i="4"/>
  <c r="CA73" i="4"/>
  <c r="CQ73" i="4"/>
  <c r="J81" i="4"/>
  <c r="J85" i="4" s="1"/>
  <c r="Z81" i="4"/>
  <c r="Z85" i="4" s="1"/>
  <c r="AP81" i="4"/>
  <c r="AP85" i="4" s="1"/>
  <c r="BF81" i="4"/>
  <c r="BF85" i="4" s="1"/>
  <c r="BV81" i="4"/>
  <c r="BV85" i="4" s="1"/>
  <c r="CL81" i="4"/>
  <c r="CL85" i="4" s="1"/>
  <c r="DB81" i="4"/>
  <c r="DB85" i="4" s="1"/>
  <c r="BL89" i="4"/>
  <c r="R89" i="4"/>
  <c r="AH89" i="4"/>
  <c r="AX89" i="4"/>
  <c r="BN89" i="4"/>
  <c r="CD89" i="4"/>
  <c r="CT89" i="4"/>
  <c r="C89" i="4"/>
  <c r="S89" i="4"/>
  <c r="AI89" i="4"/>
  <c r="AY89" i="4"/>
  <c r="BO89" i="4"/>
  <c r="CE89" i="4"/>
  <c r="CU89" i="4"/>
  <c r="G7" i="7"/>
  <c r="G12" i="7"/>
  <c r="D89" i="4"/>
  <c r="T89" i="4"/>
  <c r="AJ89" i="4"/>
  <c r="AZ89" i="4"/>
  <c r="BP89" i="4"/>
  <c r="CF89" i="4"/>
  <c r="CV89" i="4"/>
  <c r="E89" i="4"/>
  <c r="U89" i="4"/>
  <c r="AK89" i="4"/>
  <c r="BA89" i="4"/>
  <c r="BQ89" i="4"/>
  <c r="CG89" i="4"/>
  <c r="CW89" i="4"/>
  <c r="AA5" i="6"/>
  <c r="K5" i="6"/>
  <c r="Z5" i="6"/>
  <c r="J5" i="6"/>
  <c r="Y5" i="6"/>
  <c r="I5" i="6"/>
  <c r="AN5" i="6"/>
  <c r="X5" i="6"/>
  <c r="H5" i="6"/>
  <c r="AM5" i="6"/>
  <c r="W5" i="6"/>
  <c r="G5" i="6"/>
  <c r="AK5" i="6"/>
  <c r="U5" i="6"/>
  <c r="E5" i="6"/>
  <c r="AJ5" i="6"/>
  <c r="T5" i="6"/>
  <c r="AH5" i="6"/>
  <c r="R5" i="6"/>
  <c r="AG5" i="6"/>
  <c r="Q5" i="6"/>
  <c r="AF5" i="6"/>
  <c r="P5" i="6"/>
  <c r="AE5" i="6"/>
  <c r="O5" i="6"/>
  <c r="AD5" i="6"/>
  <c r="N5" i="6"/>
  <c r="AB5" i="6"/>
  <c r="L5" i="6"/>
  <c r="AL5" i="6"/>
  <c r="AI5" i="6"/>
  <c r="AC5" i="6"/>
  <c r="V5" i="6"/>
  <c r="S5" i="6"/>
  <c r="M5" i="6"/>
  <c r="F5" i="6"/>
  <c r="F89" i="4"/>
  <c r="V89" i="4"/>
  <c r="AL89" i="4"/>
  <c r="BB89" i="4"/>
  <c r="BR89" i="4"/>
  <c r="CH89" i="4"/>
  <c r="CX89" i="4"/>
  <c r="BS89" i="4"/>
  <c r="CI89" i="4"/>
  <c r="CY89" i="4"/>
  <c r="F11" i="6"/>
  <c r="E11" i="6"/>
  <c r="G13" i="7"/>
  <c r="H89" i="4"/>
  <c r="X89" i="4"/>
  <c r="AN89" i="4"/>
  <c r="BD89" i="4"/>
  <c r="BT89" i="4"/>
  <c r="CJ89" i="4"/>
  <c r="CZ89" i="4"/>
  <c r="I89" i="4"/>
  <c r="Y89" i="4"/>
  <c r="AO89" i="4"/>
  <c r="BE89" i="4"/>
  <c r="BU89" i="4"/>
  <c r="CK89" i="4"/>
  <c r="DA89" i="4"/>
  <c r="J89" i="4"/>
  <c r="Z89" i="4"/>
  <c r="AP89" i="4"/>
  <c r="BF89" i="4"/>
  <c r="BV89" i="4"/>
  <c r="CL89" i="4"/>
  <c r="DB89" i="4"/>
  <c r="K89" i="4"/>
  <c r="AA89" i="4"/>
  <c r="AQ89" i="4"/>
  <c r="BG89" i="4"/>
  <c r="BW89" i="4"/>
  <c r="CM89" i="4"/>
  <c r="DC89" i="4"/>
  <c r="G23" i="7"/>
  <c r="L89" i="4"/>
  <c r="AB89" i="4"/>
  <c r="AR89" i="4"/>
  <c r="BH89" i="4"/>
  <c r="BX89" i="4"/>
  <c r="CN89" i="4"/>
  <c r="DD89" i="4"/>
  <c r="M89" i="4"/>
  <c r="AC89" i="4"/>
  <c r="AS89" i="4"/>
  <c r="BI89" i="4"/>
  <c r="BY89" i="4"/>
  <c r="CO89" i="4"/>
  <c r="DE89" i="4"/>
  <c r="N89" i="4"/>
  <c r="AD89" i="4"/>
  <c r="AT89" i="4"/>
  <c r="BJ89" i="4"/>
  <c r="BZ89" i="4"/>
  <c r="CP89" i="4"/>
  <c r="DF89" i="4"/>
  <c r="G6" i="7"/>
  <c r="G22" i="7"/>
  <c r="F18" i="6"/>
  <c r="E18" i="6"/>
  <c r="G4" i="7"/>
  <c r="G20" i="7"/>
  <c r="AE9" i="6"/>
  <c r="O9" i="6"/>
  <c r="AD9" i="6"/>
  <c r="N9" i="6"/>
  <c r="AC9" i="6"/>
  <c r="M9" i="6"/>
  <c r="AB9" i="6"/>
  <c r="L9" i="6"/>
  <c r="AA9" i="6"/>
  <c r="K9" i="6"/>
  <c r="Y9" i="6"/>
  <c r="I9" i="6"/>
  <c r="AN9" i="6"/>
  <c r="X9" i="6"/>
  <c r="H9" i="6"/>
  <c r="AL9" i="6"/>
  <c r="V9" i="6"/>
  <c r="F9" i="6"/>
  <c r="AK9" i="6"/>
  <c r="U9" i="6"/>
  <c r="E9" i="6"/>
  <c r="AJ9" i="6"/>
  <c r="T9" i="6"/>
  <c r="AI9" i="6"/>
  <c r="S9" i="6"/>
  <c r="AH9" i="6"/>
  <c r="R9" i="6"/>
  <c r="AF9" i="6"/>
  <c r="P9" i="6"/>
  <c r="AM9" i="6"/>
  <c r="AG9" i="6"/>
  <c r="Z9" i="6"/>
  <c r="W9" i="6"/>
  <c r="Q9" i="6"/>
  <c r="J9" i="6"/>
  <c r="G9" i="6"/>
  <c r="G11" i="7"/>
  <c r="E16" i="6"/>
  <c r="F16" i="6"/>
  <c r="G18" i="7"/>
  <c r="I18" i="7" s="1"/>
  <c r="J18" i="7" s="1"/>
  <c r="AC7" i="6"/>
  <c r="M7" i="6"/>
  <c r="AB7" i="6"/>
  <c r="L7" i="6"/>
  <c r="AA7" i="6"/>
  <c r="K7" i="6"/>
  <c r="Z7" i="6"/>
  <c r="J7" i="6"/>
  <c r="Y7" i="6"/>
  <c r="I7" i="6"/>
  <c r="AM7" i="6"/>
  <c r="W7" i="6"/>
  <c r="G7" i="6"/>
  <c r="AL7" i="6"/>
  <c r="V7" i="6"/>
  <c r="F7" i="6"/>
  <c r="AJ7" i="6"/>
  <c r="T7" i="6"/>
  <c r="AI7" i="6"/>
  <c r="S7" i="6"/>
  <c r="AH7" i="6"/>
  <c r="R7" i="6"/>
  <c r="AG7" i="6"/>
  <c r="Q7" i="6"/>
  <c r="AF7" i="6"/>
  <c r="P7" i="6"/>
  <c r="AD7" i="6"/>
  <c r="N7" i="6"/>
  <c r="AN7" i="6"/>
  <c r="AK7" i="6"/>
  <c r="AE7" i="6"/>
  <c r="X7" i="6"/>
  <c r="U7" i="6"/>
  <c r="O7" i="6"/>
  <c r="H7" i="6"/>
  <c r="E7" i="6"/>
  <c r="G9" i="7"/>
  <c r="F14" i="6"/>
  <c r="E14" i="6"/>
  <c r="G16" i="7"/>
  <c r="F12" i="6"/>
  <c r="E12" i="6"/>
  <c r="G14" i="7"/>
  <c r="F19" i="6"/>
  <c r="E19" i="6"/>
  <c r="G5" i="7"/>
  <c r="G21" i="7"/>
  <c r="F17" i="6"/>
  <c r="E17" i="6"/>
  <c r="G19" i="7"/>
  <c r="I19" i="7" s="1"/>
  <c r="J19" i="7" s="1"/>
  <c r="AL8" i="6"/>
  <c r="V8" i="6"/>
  <c r="F8" i="6"/>
  <c r="AK8" i="6"/>
  <c r="U8" i="6"/>
  <c r="E8" i="6"/>
  <c r="AJ8" i="6"/>
  <c r="T8" i="6"/>
  <c r="AI8" i="6"/>
  <c r="S8" i="6"/>
  <c r="AH8" i="6"/>
  <c r="R8" i="6"/>
  <c r="AF8" i="6"/>
  <c r="P8" i="6"/>
  <c r="AE8" i="6"/>
  <c r="O8" i="6"/>
  <c r="AC8" i="6"/>
  <c r="M8" i="6"/>
  <c r="AB8" i="6"/>
  <c r="L8" i="6"/>
  <c r="AA8" i="6"/>
  <c r="K8" i="6"/>
  <c r="Z8" i="6"/>
  <c r="J8" i="6"/>
  <c r="Y8" i="6"/>
  <c r="I8" i="6"/>
  <c r="AM8" i="6"/>
  <c r="W8" i="6"/>
  <c r="G8" i="6"/>
  <c r="AN8" i="6"/>
  <c r="AG8" i="6"/>
  <c r="AD8" i="6"/>
  <c r="X8" i="6"/>
  <c r="Q8" i="6"/>
  <c r="N8" i="6"/>
  <c r="H8" i="6"/>
  <c r="G10" i="7"/>
  <c r="E15" i="6"/>
  <c r="F15" i="6"/>
  <c r="G17" i="7"/>
  <c r="AJ6" i="6"/>
  <c r="T6" i="6"/>
  <c r="AI6" i="6"/>
  <c r="S6" i="6"/>
  <c r="AH6" i="6"/>
  <c r="R6" i="6"/>
  <c r="AG6" i="6"/>
  <c r="Q6" i="6"/>
  <c r="AF6" i="6"/>
  <c r="P6" i="6"/>
  <c r="AD6" i="6"/>
  <c r="N6" i="6"/>
  <c r="AC6" i="6"/>
  <c r="M6" i="6"/>
  <c r="AA6" i="6"/>
  <c r="K6" i="6"/>
  <c r="Z6" i="6"/>
  <c r="J6" i="6"/>
  <c r="Y6" i="6"/>
  <c r="I6" i="6"/>
  <c r="AN6" i="6"/>
  <c r="X6" i="6"/>
  <c r="H6" i="6"/>
  <c r="AM6" i="6"/>
  <c r="W6" i="6"/>
  <c r="G6" i="6"/>
  <c r="AK6" i="6"/>
  <c r="U6" i="6"/>
  <c r="E6" i="6"/>
  <c r="F6" i="6"/>
  <c r="AL6" i="6"/>
  <c r="AE6" i="6"/>
  <c r="AB6" i="6"/>
  <c r="V6" i="6"/>
  <c r="O6" i="6"/>
  <c r="L6" i="6"/>
  <c r="G8" i="7"/>
  <c r="F13" i="6"/>
  <c r="E13" i="6"/>
  <c r="G15" i="7"/>
  <c r="B29" i="7" s="1"/>
  <c r="G6" i="2"/>
  <c r="E17" i="5" s="1"/>
  <c r="I6" i="2"/>
  <c r="G17" i="5" s="1"/>
  <c r="W21" i="3"/>
  <c r="H6" i="2"/>
  <c r="F17" i="5" s="1"/>
  <c r="H7" i="2"/>
  <c r="F18" i="5" s="1"/>
  <c r="G7" i="2"/>
  <c r="E18" i="5" s="1"/>
  <c r="I7" i="2"/>
  <c r="G18" i="5" s="1"/>
  <c r="G8" i="2"/>
  <c r="E19" i="5" s="1"/>
  <c r="H8" i="2"/>
  <c r="F19" i="5" s="1"/>
  <c r="I8" i="2"/>
  <c r="G19" i="5" s="1"/>
  <c r="D20" i="5"/>
  <c r="J20" i="5" s="1"/>
  <c r="F9" i="2"/>
  <c r="J9" i="2" s="1"/>
  <c r="G5" i="2"/>
  <c r="H5" i="2"/>
  <c r="I5" i="2"/>
  <c r="M97" i="4"/>
  <c r="M101" i="4" s="1"/>
  <c r="AC97" i="4"/>
  <c r="AC101" i="4" s="1"/>
  <c r="P97" i="4"/>
  <c r="P101" i="4" s="1"/>
  <c r="AH20" i="6"/>
  <c r="AF20" i="6"/>
  <c r="P20" i="6"/>
  <c r="Y20" i="6"/>
  <c r="I20" i="6"/>
  <c r="AN20" i="6"/>
  <c r="X20" i="6"/>
  <c r="H20" i="6"/>
  <c r="AM20" i="6"/>
  <c r="W20" i="6"/>
  <c r="G20" i="6"/>
  <c r="AL20" i="6"/>
  <c r="V20" i="6"/>
  <c r="F20" i="6"/>
  <c r="AK20" i="6"/>
  <c r="U20" i="6"/>
  <c r="E20" i="6"/>
  <c r="AJ20" i="6"/>
  <c r="AC20" i="6"/>
  <c r="Z20" i="6"/>
  <c r="T20" i="6"/>
  <c r="M20" i="6"/>
  <c r="J20" i="6"/>
  <c r="K97" i="4"/>
  <c r="K101" i="4" s="1"/>
  <c r="AA97" i="4"/>
  <c r="AA101" i="4" s="1"/>
  <c r="AQ97" i="4"/>
  <c r="AQ101" i="4" s="1"/>
  <c r="BG97" i="4"/>
  <c r="BG101" i="4" s="1"/>
  <c r="BW97" i="4"/>
  <c r="BW101" i="4" s="1"/>
  <c r="CM97" i="4"/>
  <c r="CM101" i="4" s="1"/>
  <c r="DC97" i="4"/>
  <c r="DC101" i="4" s="1"/>
  <c r="L97" i="4"/>
  <c r="L101" i="4" s="1"/>
  <c r="AB97" i="4"/>
  <c r="AB101" i="4" s="1"/>
  <c r="AR97" i="4"/>
  <c r="AR101" i="4" s="1"/>
  <c r="BH97" i="4"/>
  <c r="BH101" i="4" s="1"/>
  <c r="BX97" i="4"/>
  <c r="BX101" i="4" s="1"/>
  <c r="CN97" i="4"/>
  <c r="CN101" i="4" s="1"/>
  <c r="DD97" i="4"/>
  <c r="DD101" i="4" s="1"/>
  <c r="C20" i="5"/>
  <c r="F3" i="6"/>
  <c r="G2" i="6"/>
  <c r="G14" i="6" s="1"/>
  <c r="O97" i="4"/>
  <c r="O101" i="4" s="1"/>
  <c r="AE97" i="4"/>
  <c r="AE101" i="4" s="1"/>
  <c r="AU97" i="4"/>
  <c r="AU101" i="4" s="1"/>
  <c r="BK97" i="4"/>
  <c r="BK101" i="4" s="1"/>
  <c r="CA97" i="4"/>
  <c r="CA101" i="4" s="1"/>
  <c r="CQ97" i="4"/>
  <c r="CQ101" i="4" s="1"/>
  <c r="Q97" i="4"/>
  <c r="Q101" i="4" s="1"/>
  <c r="AG97" i="4"/>
  <c r="AG101" i="4" s="1"/>
  <c r="AW97" i="4"/>
  <c r="AW101" i="4" s="1"/>
  <c r="BM97" i="4"/>
  <c r="BM101" i="4" s="1"/>
  <c r="CC97" i="4"/>
  <c r="CC101" i="4" s="1"/>
  <c r="CS97" i="4"/>
  <c r="CS101" i="4" s="1"/>
  <c r="AA21" i="6"/>
  <c r="K21" i="6"/>
  <c r="Z21" i="6"/>
  <c r="J21" i="6"/>
  <c r="Y21" i="6"/>
  <c r="I21" i="6"/>
  <c r="AN21" i="6"/>
  <c r="X21" i="6"/>
  <c r="H21" i="6"/>
  <c r="AM21" i="6"/>
  <c r="W21" i="6"/>
  <c r="G21" i="6"/>
  <c r="AK21" i="6"/>
  <c r="U21" i="6"/>
  <c r="E21" i="6"/>
  <c r="AJ21" i="6"/>
  <c r="T21" i="6"/>
  <c r="AH21" i="6"/>
  <c r="R21" i="6"/>
  <c r="AG21" i="6"/>
  <c r="Q21" i="6"/>
  <c r="AF21" i="6"/>
  <c r="P21" i="6"/>
  <c r="AE21" i="6"/>
  <c r="O21" i="6"/>
  <c r="AD21" i="6"/>
  <c r="N21" i="6"/>
  <c r="AB21" i="6"/>
  <c r="L21" i="6"/>
  <c r="C97" i="4"/>
  <c r="C101" i="4" s="1"/>
  <c r="S97" i="4"/>
  <c r="S101" i="4" s="1"/>
  <c r="AI97" i="4"/>
  <c r="AI101" i="4" s="1"/>
  <c r="AY97" i="4"/>
  <c r="AY101" i="4" s="1"/>
  <c r="BO97" i="4"/>
  <c r="BO101" i="4" s="1"/>
  <c r="CE97" i="4"/>
  <c r="CE101" i="4" s="1"/>
  <c r="CU97" i="4"/>
  <c r="CU101" i="4" s="1"/>
  <c r="F21" i="6"/>
  <c r="D97" i="4"/>
  <c r="D101" i="4" s="1"/>
  <c r="T97" i="4"/>
  <c r="T101" i="4" s="1"/>
  <c r="AJ97" i="4"/>
  <c r="AJ101" i="4" s="1"/>
  <c r="AZ97" i="4"/>
  <c r="AZ101" i="4" s="1"/>
  <c r="BP97" i="4"/>
  <c r="BP101" i="4" s="1"/>
  <c r="CF97" i="4"/>
  <c r="CF101" i="4" s="1"/>
  <c r="CV97" i="4"/>
  <c r="CV101" i="4" s="1"/>
  <c r="L105" i="4"/>
  <c r="AB105" i="4"/>
  <c r="AR105" i="4"/>
  <c r="BH105" i="4"/>
  <c r="BX105" i="4"/>
  <c r="CN105" i="4"/>
  <c r="DD105" i="4"/>
  <c r="E97" i="4"/>
  <c r="E101" i="4" s="1"/>
  <c r="U97" i="4"/>
  <c r="U101" i="4" s="1"/>
  <c r="AK97" i="4"/>
  <c r="AK101" i="4" s="1"/>
  <c r="BA97" i="4"/>
  <c r="BA101" i="4" s="1"/>
  <c r="BQ97" i="4"/>
  <c r="BQ101" i="4" s="1"/>
  <c r="CG97" i="4"/>
  <c r="CG101" i="4" s="1"/>
  <c r="CW97" i="4"/>
  <c r="CW101" i="4" s="1"/>
  <c r="S21" i="6"/>
  <c r="V21" i="6"/>
  <c r="AC21" i="6"/>
  <c r="S20" i="6"/>
  <c r="AI20" i="6"/>
  <c r="U22" i="6"/>
  <c r="AK22" i="6"/>
  <c r="N23" i="6"/>
  <c r="AD23" i="6"/>
  <c r="G24" i="6"/>
  <c r="W24" i="6"/>
  <c r="AM24" i="6"/>
  <c r="Q23" i="6"/>
  <c r="AG23" i="6"/>
  <c r="Z24" i="6"/>
  <c r="S23" i="6"/>
  <c r="AI23" i="6"/>
  <c r="AB24" i="6"/>
  <c r="T23" i="6"/>
  <c r="AJ23" i="6"/>
  <c r="M24" i="6"/>
  <c r="AC24" i="6"/>
  <c r="K20" i="6"/>
  <c r="AA20" i="6"/>
  <c r="M22" i="6"/>
  <c r="AC22" i="6"/>
  <c r="F23" i="6"/>
  <c r="V23" i="6"/>
  <c r="AL23" i="6"/>
  <c r="O24" i="6"/>
  <c r="AE24" i="6"/>
  <c r="L20" i="6"/>
  <c r="AB20" i="6"/>
  <c r="N22" i="6"/>
  <c r="AD22" i="6"/>
  <c r="G23" i="6"/>
  <c r="W23" i="6"/>
  <c r="AM23" i="6"/>
  <c r="AF24" i="6"/>
  <c r="N20" i="6"/>
  <c r="AD20" i="6"/>
  <c r="P22" i="6"/>
  <c r="AF22" i="6"/>
  <c r="I23" i="6"/>
  <c r="Y23" i="6"/>
  <c r="R24" i="6"/>
  <c r="AH24" i="6"/>
  <c r="O20" i="6"/>
  <c r="AE20" i="6"/>
  <c r="Q22" i="6"/>
  <c r="AG22" i="6"/>
  <c r="J23" i="6"/>
  <c r="Z23" i="6"/>
  <c r="S24" i="6"/>
  <c r="AI24" i="6"/>
  <c r="AH22" i="6"/>
  <c r="K23" i="6"/>
  <c r="AA23" i="6"/>
  <c r="T24" i="6"/>
  <c r="AJ24" i="6"/>
  <c r="Q20" i="6"/>
  <c r="AG20" i="6"/>
  <c r="S22" i="6"/>
  <c r="AI22" i="6"/>
  <c r="L23" i="6"/>
  <c r="AB23" i="6"/>
  <c r="E24" i="6"/>
  <c r="U24" i="6"/>
  <c r="AK24" i="6"/>
  <c r="R20" i="6"/>
  <c r="T22" i="6"/>
  <c r="M23" i="6"/>
  <c r="F24" i="6"/>
  <c r="V24" i="6"/>
  <c r="BU37" i="4" l="1"/>
  <c r="X37" i="4"/>
  <c r="B28" i="7"/>
  <c r="I7" i="7"/>
  <c r="J7" i="7" s="1"/>
  <c r="DD37" i="4"/>
  <c r="BE37" i="4"/>
  <c r="H37" i="4"/>
  <c r="BC37" i="4"/>
  <c r="CH37" i="4"/>
  <c r="AK37" i="4"/>
  <c r="BL38" i="4"/>
  <c r="S37" i="4"/>
  <c r="CD37" i="4"/>
  <c r="Q37" i="4"/>
  <c r="BL37" i="4"/>
  <c r="BZ53" i="4"/>
  <c r="BZ32" i="4" s="1"/>
  <c r="BZ28" i="4"/>
  <c r="AO38" i="4"/>
  <c r="M53" i="4"/>
  <c r="M32" i="4" s="1"/>
  <c r="M28" i="4"/>
  <c r="DC38" i="4"/>
  <c r="DA38" i="4"/>
  <c r="BT53" i="4"/>
  <c r="BT32" i="4" s="1"/>
  <c r="BT28" i="4"/>
  <c r="V53" i="4"/>
  <c r="V32" i="4" s="1"/>
  <c r="V28" i="4"/>
  <c r="BA53" i="4"/>
  <c r="BA32" i="4" s="1"/>
  <c r="BA28" i="4"/>
  <c r="CF53" i="4"/>
  <c r="CF32" i="4" s="1"/>
  <c r="CF28" i="4"/>
  <c r="CT53" i="4"/>
  <c r="CT32" i="4" s="1"/>
  <c r="CT28" i="4"/>
  <c r="CR53" i="4"/>
  <c r="CR32" i="4" s="1"/>
  <c r="CR28" i="4"/>
  <c r="Y14" i="3"/>
  <c r="CL37" i="4"/>
  <c r="CV37" i="4"/>
  <c r="AV38" i="4"/>
  <c r="B12" i="4"/>
  <c r="DE38" i="4"/>
  <c r="AC37" i="4"/>
  <c r="O53" i="4"/>
  <c r="O32" i="4" s="1"/>
  <c r="O28" i="4"/>
  <c r="BX53" i="4"/>
  <c r="BX32" i="4" s="1"/>
  <c r="BX28" i="4"/>
  <c r="Z38" i="4"/>
  <c r="K53" i="4"/>
  <c r="K32" i="4" s="1"/>
  <c r="K28" i="4"/>
  <c r="BV53" i="4"/>
  <c r="BV32" i="4" s="1"/>
  <c r="BV28" i="4"/>
  <c r="K38" i="4"/>
  <c r="I53" i="4"/>
  <c r="I32" i="4" s="1"/>
  <c r="I28" i="4"/>
  <c r="G3" i="6"/>
  <c r="H2" i="6"/>
  <c r="G17" i="6"/>
  <c r="CN37" i="4"/>
  <c r="AO37" i="4"/>
  <c r="AM37" i="4"/>
  <c r="BR37" i="4"/>
  <c r="U37" i="4"/>
  <c r="AF38" i="4"/>
  <c r="C37" i="4"/>
  <c r="BN37" i="4"/>
  <c r="CO38" i="4"/>
  <c r="AV37" i="4"/>
  <c r="AQ38" i="4"/>
  <c r="BJ53" i="4"/>
  <c r="BJ32" i="4" s="1"/>
  <c r="BJ28" i="4"/>
  <c r="BD53" i="4"/>
  <c r="BD32" i="4" s="1"/>
  <c r="BD28" i="4"/>
  <c r="CY53" i="4"/>
  <c r="CY32" i="4" s="1"/>
  <c r="CY28" i="4"/>
  <c r="BJ37" i="4"/>
  <c r="F53" i="4"/>
  <c r="F32" i="4" s="1"/>
  <c r="F28" i="4"/>
  <c r="AK53" i="4"/>
  <c r="AK32" i="4" s="1"/>
  <c r="AK28" i="4"/>
  <c r="BP53" i="4"/>
  <c r="BP32" i="4" s="1"/>
  <c r="BP28" i="4"/>
  <c r="CU53" i="4"/>
  <c r="CU32" i="4" s="1"/>
  <c r="CU28" i="4"/>
  <c r="Q53" i="4"/>
  <c r="Q32" i="4" s="1"/>
  <c r="Q28" i="4"/>
  <c r="BM53" i="4"/>
  <c r="BM32" i="4" s="1"/>
  <c r="BM28" i="4"/>
  <c r="AX53" i="4"/>
  <c r="AX32" i="4" s="1"/>
  <c r="AX28" i="4"/>
  <c r="I18" i="5"/>
  <c r="X20" i="3"/>
  <c r="G19" i="6"/>
  <c r="DC37" i="4"/>
  <c r="BV37" i="4"/>
  <c r="W37" i="4"/>
  <c r="CF37" i="4"/>
  <c r="P38" i="4"/>
  <c r="CQ38" i="4"/>
  <c r="BY38" i="4"/>
  <c r="BH53" i="4"/>
  <c r="BH32" i="4" s="1"/>
  <c r="BH28" i="4"/>
  <c r="BF53" i="4"/>
  <c r="BF32" i="4" s="1"/>
  <c r="BF28" i="4"/>
  <c r="CK38" i="4"/>
  <c r="AF53" i="4"/>
  <c r="AF32" i="4" s="1"/>
  <c r="AF28" i="4"/>
  <c r="CB53" i="4"/>
  <c r="CB32" i="4" s="1"/>
  <c r="CB28" i="4"/>
  <c r="I17" i="5"/>
  <c r="X19" i="3"/>
  <c r="BX37" i="4"/>
  <c r="Y37" i="4"/>
  <c r="CZ37" i="4"/>
  <c r="E37" i="4"/>
  <c r="CA38" i="4"/>
  <c r="AX37" i="4"/>
  <c r="BI38" i="4"/>
  <c r="AF37" i="4"/>
  <c r="B10" i="4"/>
  <c r="AT53" i="4"/>
  <c r="AT32" i="4" s="1"/>
  <c r="AT28" i="4"/>
  <c r="DE53" i="4"/>
  <c r="DE32" i="4" s="1"/>
  <c r="DE28" i="4"/>
  <c r="AN53" i="4"/>
  <c r="AN32" i="4" s="1"/>
  <c r="AN28" i="4"/>
  <c r="CI53" i="4"/>
  <c r="CI32" i="4" s="1"/>
  <c r="CI28" i="4"/>
  <c r="U53" i="4"/>
  <c r="U32" i="4" s="1"/>
  <c r="U28" i="4"/>
  <c r="AZ53" i="4"/>
  <c r="AZ32" i="4" s="1"/>
  <c r="AZ28" i="4"/>
  <c r="CE53" i="4"/>
  <c r="CE32" i="4" s="1"/>
  <c r="CE28" i="4"/>
  <c r="BG38" i="4"/>
  <c r="BE38" i="4"/>
  <c r="F16" i="5"/>
  <c r="F20" i="5" s="1"/>
  <c r="H9" i="2"/>
  <c r="CM37" i="4"/>
  <c r="BF37" i="4"/>
  <c r="G37" i="4"/>
  <c r="BB37" i="4"/>
  <c r="BP37" i="4"/>
  <c r="BK38" i="4"/>
  <c r="AS38" i="4"/>
  <c r="B6" i="4"/>
  <c r="DE37" i="4"/>
  <c r="AR53" i="4"/>
  <c r="AR32" i="4" s="1"/>
  <c r="AR28" i="4"/>
  <c r="DC53" i="4"/>
  <c r="DC32" i="4" s="1"/>
  <c r="DC28" i="4"/>
  <c r="AP53" i="4"/>
  <c r="AP32" i="4" s="1"/>
  <c r="AP28" i="4"/>
  <c r="DA53" i="4"/>
  <c r="DA32" i="4" s="1"/>
  <c r="DA28" i="4"/>
  <c r="AE37" i="4"/>
  <c r="W22" i="3"/>
  <c r="W14" i="3"/>
  <c r="BH37" i="4"/>
  <c r="I37" i="4"/>
  <c r="CJ37" i="4"/>
  <c r="CU37" i="4"/>
  <c r="AU38" i="4"/>
  <c r="B9" i="4"/>
  <c r="AH37" i="4"/>
  <c r="CS37" i="4"/>
  <c r="AC38" i="4"/>
  <c r="P37" i="4"/>
  <c r="AD53" i="4"/>
  <c r="AD32" i="4" s="1"/>
  <c r="AD28" i="4"/>
  <c r="CO53" i="4"/>
  <c r="CO32" i="4" s="1"/>
  <c r="CO28" i="4"/>
  <c r="CP37" i="4"/>
  <c r="BY37" i="4"/>
  <c r="X53" i="4"/>
  <c r="X32" i="4" s="1"/>
  <c r="X28" i="4"/>
  <c r="BS28" i="4"/>
  <c r="BS53" i="4"/>
  <c r="BS32" i="4" s="1"/>
  <c r="CX53" i="4"/>
  <c r="CX32" i="4" s="1"/>
  <c r="CX28" i="4"/>
  <c r="BI37" i="4"/>
  <c r="E53" i="4"/>
  <c r="E32" i="4" s="1"/>
  <c r="E28" i="4"/>
  <c r="AJ53" i="4"/>
  <c r="AJ32" i="4" s="1"/>
  <c r="AJ28" i="4"/>
  <c r="BO53" i="4"/>
  <c r="BO32" i="4" s="1"/>
  <c r="BO28" i="4"/>
  <c r="CD53" i="4"/>
  <c r="CD32" i="4" s="1"/>
  <c r="CD28" i="4"/>
  <c r="I16" i="5"/>
  <c r="I20" i="5" s="1"/>
  <c r="X18" i="3"/>
  <c r="X22" i="3" s="1"/>
  <c r="R14" i="3"/>
  <c r="I4" i="3" s="1"/>
  <c r="G15" i="6"/>
  <c r="BW37" i="4"/>
  <c r="G10" i="6"/>
  <c r="AP37" i="4"/>
  <c r="AL37" i="4"/>
  <c r="AZ37" i="4"/>
  <c r="AE38" i="4"/>
  <c r="M38" i="4"/>
  <c r="DD38" i="4"/>
  <c r="CQ53" i="4"/>
  <c r="CQ32" i="4" s="1"/>
  <c r="CQ28" i="4"/>
  <c r="O37" i="4"/>
  <c r="AB53" i="4"/>
  <c r="AB32" i="4" s="1"/>
  <c r="AB28" i="4"/>
  <c r="CM53" i="4"/>
  <c r="CM32" i="4" s="1"/>
  <c r="CM28" i="4"/>
  <c r="CA37" i="4"/>
  <c r="Z53" i="4"/>
  <c r="Z32" i="4" s="1"/>
  <c r="Z28" i="4"/>
  <c r="CK53" i="4"/>
  <c r="CK32" i="4" s="1"/>
  <c r="CK28" i="4"/>
  <c r="CM38" i="4"/>
  <c r="BW38" i="4"/>
  <c r="B13" i="4"/>
  <c r="AH53" i="4"/>
  <c r="AH32" i="4" s="1"/>
  <c r="AH28" i="4"/>
  <c r="G12" i="6"/>
  <c r="AR37" i="4"/>
  <c r="BT37" i="4"/>
  <c r="V37" i="4"/>
  <c r="CW37" i="4"/>
  <c r="CE37" i="4"/>
  <c r="O38" i="4"/>
  <c r="R37" i="4"/>
  <c r="CC37" i="4"/>
  <c r="CN38" i="4"/>
  <c r="AP38" i="4"/>
  <c r="N53" i="4"/>
  <c r="N32" i="4" s="1"/>
  <c r="N28" i="4"/>
  <c r="BY53" i="4"/>
  <c r="BY32" i="4" s="1"/>
  <c r="BY28" i="4"/>
  <c r="M37" i="4"/>
  <c r="DB38" i="4"/>
  <c r="J38" i="4"/>
  <c r="H53" i="4"/>
  <c r="H32" i="4" s="1"/>
  <c r="H28" i="4"/>
  <c r="BC53" i="4"/>
  <c r="BC32" i="4" s="1"/>
  <c r="BC28" i="4"/>
  <c r="CH28" i="4"/>
  <c r="CH53" i="4"/>
  <c r="CH32" i="4" s="1"/>
  <c r="T53" i="4"/>
  <c r="T32" i="4" s="1"/>
  <c r="T28" i="4"/>
  <c r="AY53" i="4"/>
  <c r="AY32" i="4" s="1"/>
  <c r="AY28" i="4"/>
  <c r="CS53" i="4"/>
  <c r="CS32" i="4" s="1"/>
  <c r="CS28" i="4"/>
  <c r="H20" i="5"/>
  <c r="G13" i="6"/>
  <c r="G18" i="6"/>
  <c r="BG37" i="4"/>
  <c r="Z37" i="4"/>
  <c r="CY37" i="4"/>
  <c r="CG37" i="4"/>
  <c r="AJ37" i="4"/>
  <c r="DF38" i="4"/>
  <c r="BX38" i="4"/>
  <c r="CA53" i="4"/>
  <c r="CA32" i="4" s="1"/>
  <c r="CA28" i="4"/>
  <c r="AA38" i="4"/>
  <c r="L53" i="4"/>
  <c r="L32" i="4" s="1"/>
  <c r="L28" i="4"/>
  <c r="BW53" i="4"/>
  <c r="BW32" i="4" s="1"/>
  <c r="BW28" i="4"/>
  <c r="Y38" i="4"/>
  <c r="J53" i="4"/>
  <c r="J32" i="4" s="1"/>
  <c r="J28" i="4"/>
  <c r="BU53" i="4"/>
  <c r="BU32" i="4" s="1"/>
  <c r="BU28" i="4"/>
  <c r="AB37" i="4"/>
  <c r="DA37" i="4"/>
  <c r="BD37" i="4"/>
  <c r="F37" i="4"/>
  <c r="BO37" i="4"/>
  <c r="CP38" i="4"/>
  <c r="BM37" i="4"/>
  <c r="BH38" i="4"/>
  <c r="BI53" i="4"/>
  <c r="BI32" i="4" s="1"/>
  <c r="BI28" i="4"/>
  <c r="AM53" i="4"/>
  <c r="AM32" i="4" s="1"/>
  <c r="AM28" i="4"/>
  <c r="BR53" i="4"/>
  <c r="BR32" i="4" s="1"/>
  <c r="BR28" i="4"/>
  <c r="CW53" i="4"/>
  <c r="CW32" i="4" s="1"/>
  <c r="CW28" i="4"/>
  <c r="AU37" i="4"/>
  <c r="D53" i="4"/>
  <c r="D32" i="4" s="1"/>
  <c r="D28" i="4"/>
  <c r="AI53" i="4"/>
  <c r="AI32" i="4" s="1"/>
  <c r="AI28" i="4"/>
  <c r="R53" i="4"/>
  <c r="R32" i="4" s="1"/>
  <c r="R28" i="4"/>
  <c r="P53" i="4"/>
  <c r="P32" i="4" s="1"/>
  <c r="P28" i="4"/>
  <c r="BN53" i="4"/>
  <c r="BN32" i="4" s="1"/>
  <c r="BN28" i="4"/>
  <c r="BL53" i="4"/>
  <c r="BL32" i="4" s="1"/>
  <c r="BL28" i="4"/>
  <c r="AW53" i="4"/>
  <c r="AW32" i="4" s="1"/>
  <c r="AW28" i="4"/>
  <c r="AV53" i="4"/>
  <c r="AV32" i="4" s="1"/>
  <c r="AV28" i="4"/>
  <c r="AQ37" i="4"/>
  <c r="J37" i="4"/>
  <c r="CI37" i="4"/>
  <c r="T37" i="4"/>
  <c r="BZ38" i="4"/>
  <c r="AR38" i="4"/>
  <c r="BK53" i="4"/>
  <c r="BK32" i="4" s="1"/>
  <c r="BK28" i="4"/>
  <c r="BG53" i="4"/>
  <c r="BG32" i="4" s="1"/>
  <c r="BG28" i="4"/>
  <c r="BE53" i="4"/>
  <c r="BE32" i="4" s="1"/>
  <c r="BE28" i="4"/>
  <c r="BV38" i="4"/>
  <c r="L37" i="4"/>
  <c r="CK37" i="4"/>
  <c r="AN37" i="4"/>
  <c r="BQ37" i="4"/>
  <c r="AY37" i="4"/>
  <c r="BJ38" i="4"/>
  <c r="AW37" i="4"/>
  <c r="CR37" i="4"/>
  <c r="AB38" i="4"/>
  <c r="DF53" i="4"/>
  <c r="DF32" i="4" s="1"/>
  <c r="DF28" i="4"/>
  <c r="AS53" i="4"/>
  <c r="AS32" i="4" s="1"/>
  <c r="AS28" i="4"/>
  <c r="CZ53" i="4"/>
  <c r="CZ32" i="4" s="1"/>
  <c r="CZ28" i="4"/>
  <c r="W53" i="4"/>
  <c r="W32" i="4" s="1"/>
  <c r="W28" i="4"/>
  <c r="BB53" i="4"/>
  <c r="BB32" i="4" s="1"/>
  <c r="BB28" i="4"/>
  <c r="CG28" i="4"/>
  <c r="CG53" i="4"/>
  <c r="CG32" i="4" s="1"/>
  <c r="S53" i="4"/>
  <c r="S32" i="4" s="1"/>
  <c r="S28" i="4"/>
  <c r="CC53" i="4"/>
  <c r="CC32" i="4" s="1"/>
  <c r="CC28" i="4"/>
  <c r="AD37" i="4"/>
  <c r="BF38" i="4"/>
  <c r="G16" i="5"/>
  <c r="G20" i="5" s="1"/>
  <c r="I9" i="2"/>
  <c r="AA37" i="4"/>
  <c r="BS37" i="4"/>
  <c r="C38" i="4"/>
  <c r="B11" i="4"/>
  <c r="T14" i="3" s="1"/>
  <c r="D37" i="4"/>
  <c r="AT38" i="4"/>
  <c r="L38" i="4"/>
  <c r="AU53" i="4"/>
  <c r="AU32" i="4" s="1"/>
  <c r="AU28" i="4"/>
  <c r="CQ37" i="4"/>
  <c r="DD53" i="4"/>
  <c r="DD32" i="4" s="1"/>
  <c r="DD28" i="4"/>
  <c r="AQ53" i="4"/>
  <c r="AQ32" i="4" s="1"/>
  <c r="AQ28" i="4"/>
  <c r="DB53" i="4"/>
  <c r="DB32" i="4" s="1"/>
  <c r="DB28" i="4"/>
  <c r="AO53" i="4"/>
  <c r="AO32" i="4" s="1"/>
  <c r="AO28" i="4"/>
  <c r="B8" i="4"/>
  <c r="BK37" i="4"/>
  <c r="B5" i="4"/>
  <c r="CX37" i="4"/>
  <c r="BA37" i="4"/>
  <c r="CR38" i="4"/>
  <c r="AI37" i="4"/>
  <c r="CT37" i="4"/>
  <c r="AD38" i="4"/>
  <c r="AG37" i="4"/>
  <c r="CB37" i="4"/>
  <c r="CP53" i="4"/>
  <c r="CP32" i="4" s="1"/>
  <c r="CP28" i="4"/>
  <c r="AC53" i="4"/>
  <c r="AC32" i="4" s="1"/>
  <c r="AC28" i="4"/>
  <c r="CJ53" i="4"/>
  <c r="CJ32" i="4" s="1"/>
  <c r="CJ28" i="4"/>
  <c r="CL38" i="4"/>
  <c r="G53" i="4"/>
  <c r="G32" i="4" s="1"/>
  <c r="G28" i="4"/>
  <c r="AL53" i="4"/>
  <c r="AL32" i="4" s="1"/>
  <c r="AL28" i="4"/>
  <c r="BQ53" i="4"/>
  <c r="BQ32" i="4" s="1"/>
  <c r="BQ28" i="4"/>
  <c r="CV53" i="4"/>
  <c r="CV32" i="4" s="1"/>
  <c r="CV28" i="4"/>
  <c r="AT37" i="4"/>
  <c r="C53" i="4"/>
  <c r="C32" i="4" s="1"/>
  <c r="C33" i="4" s="1"/>
  <c r="D33" i="4" s="1"/>
  <c r="E33" i="4" s="1"/>
  <c r="F33" i="4" s="1"/>
  <c r="C28" i="4"/>
  <c r="AS37" i="4"/>
  <c r="Y22" i="3"/>
  <c r="X14" i="3"/>
  <c r="L14" i="3"/>
  <c r="G4" i="3" s="1"/>
  <c r="E4" i="3"/>
  <c r="E16" i="5"/>
  <c r="E20" i="5" s="1"/>
  <c r="G9" i="2"/>
  <c r="G16" i="6"/>
  <c r="G11" i="6"/>
  <c r="K37" i="4"/>
  <c r="DB37" i="4"/>
  <c r="CB38" i="4"/>
  <c r="N38" i="4"/>
  <c r="DF37" i="4"/>
  <c r="AE53" i="4"/>
  <c r="AE32" i="4" s="1"/>
  <c r="AE28" i="4"/>
  <c r="N37" i="4"/>
  <c r="CN53" i="4"/>
  <c r="CN32" i="4" s="1"/>
  <c r="CN28" i="4"/>
  <c r="CO37" i="4"/>
  <c r="AA53" i="4"/>
  <c r="AA32" i="4" s="1"/>
  <c r="AA28" i="4"/>
  <c r="CL53" i="4"/>
  <c r="CL32" i="4" s="1"/>
  <c r="CL28" i="4"/>
  <c r="BZ37" i="4"/>
  <c r="Y53" i="4"/>
  <c r="Y32" i="4" s="1"/>
  <c r="Y28" i="4"/>
  <c r="I38" i="4"/>
  <c r="BU38" i="4"/>
  <c r="AG53" i="4"/>
  <c r="AG32" i="4" s="1"/>
  <c r="AG28" i="4"/>
  <c r="B16" i="4" l="1"/>
  <c r="S4" i="3" s="1"/>
  <c r="H3" i="6"/>
  <c r="I2" i="6"/>
  <c r="H13" i="6"/>
  <c r="H10" i="6"/>
  <c r="H14" i="6"/>
  <c r="H12" i="6"/>
  <c r="H18" i="6"/>
  <c r="H19" i="6"/>
  <c r="H17" i="6"/>
  <c r="H11" i="6"/>
  <c r="H16" i="6"/>
  <c r="H15" i="6"/>
  <c r="K4" i="3"/>
  <c r="S14" i="3"/>
  <c r="B18" i="4"/>
  <c r="B17" i="4"/>
  <c r="O4" i="3" s="1"/>
  <c r="B7" i="4"/>
  <c r="G33" i="4"/>
  <c r="H33" i="4" s="1"/>
  <c r="I33" i="4" s="1"/>
  <c r="J33" i="4" s="1"/>
  <c r="K33" i="4" s="1"/>
  <c r="L33" i="4" s="1"/>
  <c r="M33" i="4" s="1"/>
  <c r="N33" i="4" s="1"/>
  <c r="O33" i="4" s="1"/>
  <c r="P33" i="4" s="1"/>
  <c r="Q33" i="4" s="1"/>
  <c r="R33" i="4" s="1"/>
  <c r="S33" i="4" s="1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AI33" i="4" s="1"/>
  <c r="AJ33" i="4" s="1"/>
  <c r="AK33" i="4" s="1"/>
  <c r="AL33" i="4" s="1"/>
  <c r="AM33" i="4" s="1"/>
  <c r="AN33" i="4" s="1"/>
  <c r="AO33" i="4" s="1"/>
  <c r="AP33" i="4" s="1"/>
  <c r="AQ33" i="4" s="1"/>
  <c r="AR33" i="4" s="1"/>
  <c r="AS33" i="4" s="1"/>
  <c r="AT33" i="4" s="1"/>
  <c r="AU33" i="4" s="1"/>
  <c r="AV33" i="4" s="1"/>
  <c r="AW33" i="4" s="1"/>
  <c r="AX33" i="4" s="1"/>
  <c r="AY33" i="4" s="1"/>
  <c r="AZ33" i="4" s="1"/>
  <c r="BA33" i="4" s="1"/>
  <c r="BB33" i="4" s="1"/>
  <c r="BC33" i="4" s="1"/>
  <c r="BD33" i="4" s="1"/>
  <c r="BE33" i="4" s="1"/>
  <c r="BF33" i="4" s="1"/>
  <c r="BG33" i="4" s="1"/>
  <c r="BH33" i="4" s="1"/>
  <c r="BI33" i="4" s="1"/>
  <c r="BJ33" i="4" s="1"/>
  <c r="BK33" i="4" s="1"/>
  <c r="BL33" i="4" s="1"/>
  <c r="BM33" i="4" s="1"/>
  <c r="BN33" i="4" s="1"/>
  <c r="BO33" i="4" s="1"/>
  <c r="BP33" i="4" s="1"/>
  <c r="BQ33" i="4" s="1"/>
  <c r="BR33" i="4" s="1"/>
  <c r="BS33" i="4" s="1"/>
  <c r="BT33" i="4" s="1"/>
  <c r="BU33" i="4" s="1"/>
  <c r="BV33" i="4" s="1"/>
  <c r="BW33" i="4" s="1"/>
  <c r="BX33" i="4" s="1"/>
  <c r="BY33" i="4" s="1"/>
  <c r="BZ33" i="4" s="1"/>
  <c r="CA33" i="4" s="1"/>
  <c r="CB33" i="4" s="1"/>
  <c r="CC33" i="4" s="1"/>
  <c r="CD33" i="4" s="1"/>
  <c r="CE33" i="4" s="1"/>
  <c r="CF33" i="4" s="1"/>
  <c r="CG33" i="4" s="1"/>
  <c r="CH33" i="4" s="1"/>
  <c r="CI33" i="4" s="1"/>
  <c r="CJ33" i="4" s="1"/>
  <c r="CK33" i="4" s="1"/>
  <c r="CL33" i="4" s="1"/>
  <c r="CM33" i="4" s="1"/>
  <c r="CN33" i="4" s="1"/>
  <c r="CO33" i="4" s="1"/>
  <c r="CP33" i="4" s="1"/>
  <c r="CQ33" i="4" s="1"/>
  <c r="CR33" i="4" s="1"/>
  <c r="CS33" i="4" s="1"/>
  <c r="CT33" i="4" s="1"/>
  <c r="CU33" i="4" s="1"/>
  <c r="CV33" i="4" s="1"/>
  <c r="CW33" i="4" s="1"/>
  <c r="CX33" i="4" s="1"/>
  <c r="CY33" i="4" s="1"/>
  <c r="CZ33" i="4" s="1"/>
  <c r="DA33" i="4" s="1"/>
  <c r="DB33" i="4" s="1"/>
  <c r="DC33" i="4" s="1"/>
  <c r="DD33" i="4" s="1"/>
  <c r="DE33" i="4" s="1"/>
  <c r="DF33" i="4" s="1"/>
  <c r="B15" i="4" s="1"/>
  <c r="Q4" i="3" l="1"/>
  <c r="N14" i="3"/>
  <c r="I3" i="6"/>
  <c r="J2" i="6"/>
  <c r="I10" i="6"/>
  <c r="I11" i="6"/>
  <c r="I13" i="6"/>
  <c r="I14" i="6"/>
  <c r="I18" i="6"/>
  <c r="I16" i="6"/>
  <c r="I12" i="6"/>
  <c r="I19" i="6"/>
  <c r="I15" i="6"/>
  <c r="I17" i="6"/>
  <c r="K2" i="6" l="1"/>
  <c r="J3" i="6"/>
  <c r="J14" i="6"/>
  <c r="J19" i="6"/>
  <c r="J17" i="6"/>
  <c r="J10" i="6"/>
  <c r="J15" i="6"/>
  <c r="J11" i="6"/>
  <c r="J16" i="6"/>
  <c r="J13" i="6"/>
  <c r="J18" i="6"/>
  <c r="J12" i="6"/>
  <c r="K3" i="6" l="1"/>
  <c r="L2" i="6"/>
  <c r="K17" i="6"/>
  <c r="K15" i="6"/>
  <c r="K11" i="6"/>
  <c r="K18" i="6"/>
  <c r="K16" i="6"/>
  <c r="K19" i="6"/>
  <c r="K13" i="6"/>
  <c r="K12" i="6"/>
  <c r="K10" i="6"/>
  <c r="K14" i="6"/>
  <c r="L3" i="6" l="1"/>
  <c r="M2" i="6"/>
  <c r="L19" i="6"/>
  <c r="L12" i="6"/>
  <c r="L15" i="6"/>
  <c r="L16" i="6"/>
  <c r="L10" i="6"/>
  <c r="L14" i="6"/>
  <c r="L13" i="6"/>
  <c r="L11" i="6"/>
  <c r="L18" i="6"/>
  <c r="L17" i="6"/>
  <c r="N2" i="6" l="1"/>
  <c r="M3" i="6"/>
  <c r="M16" i="6"/>
  <c r="M11" i="6"/>
  <c r="M14" i="6"/>
  <c r="M15" i="6"/>
  <c r="M10" i="6"/>
  <c r="M12" i="6"/>
  <c r="M13" i="6"/>
  <c r="M18" i="6"/>
  <c r="M19" i="6"/>
  <c r="M17" i="6"/>
  <c r="N3" i="6" l="1"/>
  <c r="O2" i="6"/>
  <c r="N13" i="6"/>
  <c r="N16" i="6"/>
  <c r="N15" i="6"/>
  <c r="N11" i="6"/>
  <c r="N10" i="6"/>
  <c r="N12" i="6"/>
  <c r="N18" i="6"/>
  <c r="N19" i="6"/>
  <c r="N14" i="6"/>
  <c r="N17" i="6"/>
  <c r="O3" i="6" l="1"/>
  <c r="P2" i="6"/>
  <c r="O11" i="6"/>
  <c r="O14" i="6"/>
  <c r="O10" i="6"/>
  <c r="O12" i="6"/>
  <c r="O13" i="6"/>
  <c r="O18" i="6"/>
  <c r="O19" i="6"/>
  <c r="O16" i="6"/>
  <c r="O17" i="6"/>
  <c r="O15" i="6"/>
  <c r="P3" i="6" l="1"/>
  <c r="Q2" i="6"/>
  <c r="P11" i="6"/>
  <c r="P16" i="6"/>
  <c r="P14" i="6"/>
  <c r="P12" i="6"/>
  <c r="P10" i="6"/>
  <c r="P15" i="6"/>
  <c r="P13" i="6"/>
  <c r="P18" i="6"/>
  <c r="P19" i="6"/>
  <c r="P17" i="6"/>
  <c r="Q3" i="6" l="1"/>
  <c r="R2" i="6"/>
  <c r="Q18" i="6"/>
  <c r="Q12" i="6"/>
  <c r="Q10" i="6"/>
  <c r="Q13" i="6"/>
  <c r="Q19" i="6"/>
  <c r="Q17" i="6"/>
  <c r="Q16" i="6"/>
  <c r="Q11" i="6"/>
  <c r="Q15" i="6"/>
  <c r="Q14" i="6"/>
  <c r="R3" i="6" l="1"/>
  <c r="S2" i="6"/>
  <c r="R10" i="6"/>
  <c r="R13" i="6"/>
  <c r="R19" i="6"/>
  <c r="R18" i="6"/>
  <c r="R16" i="6"/>
  <c r="R11" i="6"/>
  <c r="R17" i="6"/>
  <c r="R15" i="6"/>
  <c r="R12" i="6"/>
  <c r="R14" i="6"/>
  <c r="T2" i="6" l="1"/>
  <c r="S3" i="6"/>
  <c r="S18" i="6"/>
  <c r="S12" i="6"/>
  <c r="S10" i="6"/>
  <c r="S19" i="6"/>
  <c r="S16" i="6"/>
  <c r="S17" i="6"/>
  <c r="S15" i="6"/>
  <c r="S14" i="6"/>
  <c r="S11" i="6"/>
  <c r="S13" i="6"/>
  <c r="U2" i="6" l="1"/>
  <c r="T3" i="6"/>
  <c r="T10" i="6"/>
  <c r="T16" i="6"/>
  <c r="T17" i="6"/>
  <c r="T19" i="6"/>
  <c r="T11" i="6"/>
  <c r="T15" i="6"/>
  <c r="T13" i="6"/>
  <c r="T14" i="6"/>
  <c r="T18" i="6"/>
  <c r="T12" i="6"/>
  <c r="V2" i="6" l="1"/>
  <c r="U3" i="6"/>
  <c r="U12" i="6"/>
  <c r="U16" i="6"/>
  <c r="U17" i="6"/>
  <c r="U11" i="6"/>
  <c r="U15" i="6"/>
  <c r="U14" i="6"/>
  <c r="U18" i="6"/>
  <c r="U10" i="6"/>
  <c r="U13" i="6"/>
  <c r="U19" i="6"/>
  <c r="V3" i="6" l="1"/>
  <c r="W2" i="6"/>
  <c r="V15" i="6"/>
  <c r="V11" i="6"/>
  <c r="V14" i="6"/>
  <c r="V18" i="6"/>
  <c r="V13" i="6"/>
  <c r="V10" i="6"/>
  <c r="V12" i="6"/>
  <c r="V19" i="6"/>
  <c r="V17" i="6"/>
  <c r="V16" i="6"/>
  <c r="W3" i="6" l="1"/>
  <c r="X2" i="6"/>
  <c r="W18" i="6"/>
  <c r="W15" i="6"/>
  <c r="W13" i="6"/>
  <c r="W10" i="6"/>
  <c r="W12" i="6"/>
  <c r="W14" i="6"/>
  <c r="W19" i="6"/>
  <c r="W17" i="6"/>
  <c r="W11" i="6"/>
  <c r="W16" i="6"/>
  <c r="X3" i="6" l="1"/>
  <c r="Y2" i="6"/>
  <c r="X13" i="6"/>
  <c r="X10" i="6"/>
  <c r="X14" i="6"/>
  <c r="X12" i="6"/>
  <c r="X18" i="6"/>
  <c r="X17" i="6"/>
  <c r="X19" i="6"/>
  <c r="X11" i="6"/>
  <c r="X16" i="6"/>
  <c r="X15" i="6"/>
  <c r="Y3" i="6" l="1"/>
  <c r="Z2" i="6"/>
  <c r="Y16" i="6"/>
  <c r="Y18" i="6"/>
  <c r="Y12" i="6"/>
  <c r="Y19" i="6"/>
  <c r="Y15" i="6"/>
  <c r="Y17" i="6"/>
  <c r="Y11" i="6"/>
  <c r="Y10" i="6"/>
  <c r="Y13" i="6"/>
  <c r="Y14" i="6"/>
  <c r="AA2" i="6" l="1"/>
  <c r="Z3" i="6"/>
  <c r="Z18" i="6"/>
  <c r="Z12" i="6"/>
  <c r="Z19" i="6"/>
  <c r="Z10" i="6"/>
  <c r="Z17" i="6"/>
  <c r="Z16" i="6"/>
  <c r="Z15" i="6"/>
  <c r="Z11" i="6"/>
  <c r="Z13" i="6"/>
  <c r="Z14" i="6"/>
  <c r="AA3" i="6" l="1"/>
  <c r="AB2" i="6"/>
  <c r="AA17" i="6"/>
  <c r="AA18" i="6"/>
  <c r="AA19" i="6"/>
  <c r="AA15" i="6"/>
  <c r="AA11" i="6"/>
  <c r="AA16" i="6"/>
  <c r="AA12" i="6"/>
  <c r="AA10" i="6"/>
  <c r="AA14" i="6"/>
  <c r="AA13" i="6"/>
  <c r="AB3" i="6" l="1"/>
  <c r="AC2" i="6"/>
  <c r="AB17" i="6"/>
  <c r="AB15" i="6"/>
  <c r="AB16" i="6"/>
  <c r="AB10" i="6"/>
  <c r="AB14" i="6"/>
  <c r="AB13" i="6"/>
  <c r="AB11" i="6"/>
  <c r="AB18" i="6"/>
  <c r="AB12" i="6"/>
  <c r="AB19" i="6"/>
  <c r="AD2" i="6" l="1"/>
  <c r="AC3" i="6"/>
  <c r="AC16" i="6"/>
  <c r="AC15" i="6"/>
  <c r="AC11" i="6"/>
  <c r="AC14" i="6"/>
  <c r="AC12" i="6"/>
  <c r="AC10" i="6"/>
  <c r="AC13" i="6"/>
  <c r="AC18" i="6"/>
  <c r="AC19" i="6"/>
  <c r="AC17" i="6"/>
  <c r="AD3" i="6" l="1"/>
  <c r="AE2" i="6"/>
  <c r="AD15" i="6"/>
  <c r="AD11" i="6"/>
  <c r="AD10" i="6"/>
  <c r="AD12" i="6"/>
  <c r="AD18" i="6"/>
  <c r="AD14" i="6"/>
  <c r="AD19" i="6"/>
  <c r="AD17" i="6"/>
  <c r="AD13" i="6"/>
  <c r="AD16" i="6"/>
  <c r="AE3" i="6" l="1"/>
  <c r="AF2" i="6"/>
  <c r="AE15" i="6"/>
  <c r="AE11" i="6"/>
  <c r="AE14" i="6"/>
  <c r="AE10" i="6"/>
  <c r="AE12" i="6"/>
  <c r="AE13" i="6"/>
  <c r="AE18" i="6"/>
  <c r="AE19" i="6"/>
  <c r="AE17" i="6"/>
  <c r="AE16" i="6"/>
  <c r="AF3" i="6" l="1"/>
  <c r="AG2" i="6"/>
  <c r="AF10" i="6"/>
  <c r="AF14" i="6"/>
  <c r="AF12" i="6"/>
  <c r="AF15" i="6"/>
  <c r="AF13" i="6"/>
  <c r="AF18" i="6"/>
  <c r="AF19" i="6"/>
  <c r="AF17" i="6"/>
  <c r="AF11" i="6"/>
  <c r="AF16" i="6"/>
  <c r="AG3" i="6" l="1"/>
  <c r="AH2" i="6"/>
  <c r="AG14" i="6"/>
  <c r="AG10" i="6"/>
  <c r="AG13" i="6"/>
  <c r="AG19" i="6"/>
  <c r="AG17" i="6"/>
  <c r="AG16" i="6"/>
  <c r="AG11" i="6"/>
  <c r="AG15" i="6"/>
  <c r="AG18" i="6"/>
  <c r="AG12" i="6"/>
  <c r="AH3" i="6" l="1"/>
  <c r="AI2" i="6"/>
  <c r="AH18" i="6"/>
  <c r="AH19" i="6"/>
  <c r="AH17" i="6"/>
  <c r="AH16" i="6"/>
  <c r="AH11" i="6"/>
  <c r="AH13" i="6"/>
  <c r="AH15" i="6"/>
  <c r="AH14" i="6"/>
  <c r="AH12" i="6"/>
  <c r="AH10" i="6"/>
  <c r="AJ2" i="6" l="1"/>
  <c r="AI3" i="6"/>
  <c r="AI19" i="6"/>
  <c r="AI16" i="6"/>
  <c r="AI17" i="6"/>
  <c r="AI15" i="6"/>
  <c r="AI11" i="6"/>
  <c r="AI14" i="6"/>
  <c r="AI18" i="6"/>
  <c r="AI12" i="6"/>
  <c r="AI13" i="6"/>
  <c r="AI10" i="6"/>
  <c r="AK2" i="6" l="1"/>
  <c r="AJ3" i="6"/>
  <c r="AJ19" i="6"/>
  <c r="AJ16" i="6"/>
  <c r="AJ17" i="6"/>
  <c r="AJ11" i="6"/>
  <c r="AJ14" i="6"/>
  <c r="AJ15" i="6"/>
  <c r="AJ13" i="6"/>
  <c r="AJ18" i="6"/>
  <c r="AJ12" i="6"/>
  <c r="AJ10" i="6"/>
  <c r="AL2" i="6" l="1"/>
  <c r="AK3" i="6"/>
  <c r="AK19" i="6"/>
  <c r="AK11" i="6"/>
  <c r="AK15" i="6"/>
  <c r="AK14" i="6"/>
  <c r="AK18" i="6"/>
  <c r="AK10" i="6"/>
  <c r="AK13" i="6"/>
  <c r="AK12" i="6"/>
  <c r="AK16" i="6"/>
  <c r="AK17" i="6"/>
  <c r="AL3" i="6" l="1"/>
  <c r="AM2" i="6"/>
  <c r="AL11" i="6"/>
  <c r="AL14" i="6"/>
  <c r="AL18" i="6"/>
  <c r="AL13" i="6"/>
  <c r="AL10" i="6"/>
  <c r="AL12" i="6"/>
  <c r="AL19" i="6"/>
  <c r="AL16" i="6"/>
  <c r="AL17" i="6"/>
  <c r="AL15" i="6"/>
  <c r="AM3" i="6" l="1"/>
  <c r="AN2" i="6"/>
  <c r="AM15" i="6"/>
  <c r="AM18" i="6"/>
  <c r="AM13" i="6"/>
  <c r="AM10" i="6"/>
  <c r="AM12" i="6"/>
  <c r="AM14" i="6"/>
  <c r="AM19" i="6"/>
  <c r="AM17" i="6"/>
  <c r="AM11" i="6"/>
  <c r="AM16" i="6"/>
  <c r="AN3" i="6" l="1"/>
  <c r="AN10" i="6"/>
  <c r="AN18" i="6"/>
  <c r="AN14" i="6"/>
  <c r="AN12" i="6"/>
  <c r="AN17" i="6"/>
  <c r="AN19" i="6"/>
  <c r="AN11" i="6"/>
  <c r="AN16" i="6"/>
  <c r="AN15" i="6"/>
  <c r="AN13" i="6"/>
</calcChain>
</file>

<file path=xl/sharedStrings.xml><?xml version="1.0" encoding="utf-8"?>
<sst xmlns="http://schemas.openxmlformats.org/spreadsheetml/2006/main" count="448" uniqueCount="222">
  <si>
    <t>ПЛАТО — КОНСОЛИДАТОР 4 ОЧЕРЕДЕЙ</t>
  </si>
  <si>
    <t>Консолидатор берет ключевые показатели напрямую с листов «ОТЧЕТ» четырех моделей, а помесячные данные — с листов «CF» и «КРЕДИТЫ».</t>
  </si>
  <si>
    <t>Шаг</t>
  </si>
  <si>
    <t>Что сделать</t>
  </si>
  <si>
    <t>Важно</t>
  </si>
  <si>
    <t>Положить консолидатор и четыре модели очередей в одну папку</t>
  </si>
  <si>
    <t>Для динамических ссылок все четыре исходных файла должны быть открыты</t>
  </si>
  <si>
    <t>На листе «НАСТРОЙКИ» ввести фактические имена файлов в D5:D8</t>
  </si>
  <si>
    <t>Можно использовать любые имена, включая пробелы и русские буквы</t>
  </si>
  <si>
    <t>Открыть все указанные файлы моделей одновременно с консолидатором</t>
  </si>
  <si>
    <t>ДВССЫЛ / INDIRECT не считывает данные из закрытых внешних книг</t>
  </si>
  <si>
    <t>Использовать одну и ту же версию модели для всех очередей</t>
  </si>
  <si>
    <t>Структура ОТЧЕТ / CF / КРЕДИТЫ должна совпадать</t>
  </si>
  <si>
    <t>Выбрать режим БРИДЖ</t>
  </si>
  <si>
    <t>Режим в консолидаторе должен совпадать с формулами моделей очередей</t>
  </si>
  <si>
    <t>Проверить свод, помесячный поток и контроль БРИДЖ</t>
  </si>
  <si>
    <t>Если источник закрыт или имя введено неверно, показатели будут равны нулю</t>
  </si>
  <si>
    <t>ЦВЕТОВАЯ ЛОГИКА</t>
  </si>
  <si>
    <t>Синий текст</t>
  </si>
  <si>
    <t>Ручные вводные</t>
  </si>
  <si>
    <t>Зеленый текст</t>
  </si>
  <si>
    <t>Внутренние формулы</t>
  </si>
  <si>
    <t>Красный текст</t>
  </si>
  <si>
    <t>Внешние ссылки на модели очередей</t>
  </si>
  <si>
    <t>Желтая заливка</t>
  </si>
  <si>
    <t>Поля для проверки / заполнения</t>
  </si>
  <si>
    <t>НАСТРОЙКИ КОНСОЛИДАТОРА</t>
  </si>
  <si>
    <t>ФАЙЛЫ, ОЧЕРЕДИ И РАСПРЕДЕЛЕНИЕ ОБЩИХ ЗАТРАТ</t>
  </si>
  <si>
    <t>№</t>
  </si>
  <si>
    <t>Активна</t>
  </si>
  <si>
    <t>Очередь</t>
  </si>
  <si>
    <t>Имя файла</t>
  </si>
  <si>
    <t>Ручная доля БРИДЖ</t>
  </si>
  <si>
    <t>Эффективная доля</t>
  </si>
  <si>
    <t>Тело БРИДЖ</t>
  </si>
  <si>
    <t>Проценты БРИДЖ</t>
  </si>
  <si>
    <t>ВРИ</t>
  </si>
  <si>
    <t>Комментарий</t>
  </si>
  <si>
    <t>Да</t>
  </si>
  <si>
    <t>Очередь 1</t>
  </si>
  <si>
    <t>Очередь 2</t>
  </si>
  <si>
    <t>Plato_M-2.xlsx</t>
  </si>
  <si>
    <t>Введите фактическое имя файла. Для динамической связи файл должен быть открыт.</t>
  </si>
  <si>
    <t>Очередь 3</t>
  </si>
  <si>
    <t>Plato_M-3.xlsx</t>
  </si>
  <si>
    <t>Нет</t>
  </si>
  <si>
    <t>Очередь 4</t>
  </si>
  <si>
    <t>ИТОГО / КОНТРОЛЬ</t>
  </si>
  <si>
    <t>ОБЩЕПРОЕКТНЫЙ БРИДЖ И ВРИ</t>
  </si>
  <si>
    <t>Параметр</t>
  </si>
  <si>
    <t>Значение</t>
  </si>
  <si>
    <t>Ед. изм.</t>
  </si>
  <si>
    <t>Режим рефинансирования БРИДЖ</t>
  </si>
  <si>
    <t>Весь БРИДЖ в О1</t>
  </si>
  <si>
    <t>Либо 100% в О1, либо по ручным долям</t>
  </si>
  <si>
    <t>БРИДЖ уже включен в ПФ моделей</t>
  </si>
  <si>
    <t>«Да» исключает повторное добавление в скорректированный ПФ</t>
  </si>
  <si>
    <t>Общий основной долг БРИДЖ</t>
  </si>
  <si>
    <t>млн ₽</t>
  </si>
  <si>
    <t>Ручная общепроектная сумма</t>
  </si>
  <si>
    <t>Накопленные проценты БРИДЖ</t>
  </si>
  <si>
    <t>На дату перехода в ПФ</t>
  </si>
  <si>
    <t>Общий платеж за смену ВРИ</t>
  </si>
  <si>
    <t>Общепроектный платеж</t>
  </si>
  <si>
    <t>Дата начала БРИДЖ</t>
  </si>
  <si>
    <t>дата</t>
  </si>
  <si>
    <t>Контроль календаря</t>
  </si>
  <si>
    <t>Ставка дисконтирования свода</t>
  </si>
  <si>
    <t>% год</t>
  </si>
  <si>
    <t>Для NPV консолидированного потока</t>
  </si>
  <si>
    <t>ПОМЕСЯЧНЫЙ ГОРИЗОНТ</t>
  </si>
  <si>
    <t>Первый месяц свода</t>
  </si>
  <si>
    <t>Можно изменить</t>
  </si>
  <si>
    <t>Количество месяцев</t>
  </si>
  <si>
    <t>мес.</t>
  </si>
  <si>
    <t>9-летний горизонт</t>
  </si>
  <si>
    <t>Конец горизонта</t>
  </si>
  <si>
    <t>Считается автоматически</t>
  </si>
  <si>
    <t>ВАЖНО: достаточно изменить имя файла в D5:D8 — формулы на листах «СВОД» и «ПО МЕСЯЦАМ» перестроятся автоматически. Исходные книги должны быть открыты одновременно с консолидатором; это ограничение функции ДВССЫЛ / INDIRECT для внешних файлов.</t>
  </si>
  <si>
    <t>ПЛАТО — СВОД ПО ОЧЕРЕДЯМ</t>
  </si>
  <si>
    <t>Выручка, млн ₽</t>
  </si>
  <si>
    <t>Расходы, млн ₽</t>
  </si>
  <si>
    <t>Чистая прибыль, млн ₽</t>
  </si>
  <si>
    <t>Маржа</t>
  </si>
  <si>
    <t>ПФ скорр., млн ₽</t>
  </si>
  <si>
    <t>Пик ПФ, млн ₽</t>
  </si>
  <si>
    <t>Мин. LLCR</t>
  </si>
  <si>
    <t>NPV свода, млн ₽</t>
  </si>
  <si>
    <t>IRR свода</t>
  </si>
  <si>
    <t>Пик долга, млн ₽</t>
  </si>
  <si>
    <t>Файл</t>
  </si>
  <si>
    <t>Старт</t>
  </si>
  <si>
    <t>РнС</t>
  </si>
  <si>
    <t>РВЭ</t>
  </si>
  <si>
    <t>EBITDA, млн ₽</t>
  </si>
  <si>
    <t>Проценты, млн ₽</t>
  </si>
  <si>
    <t>NPV, млн ₽</t>
  </si>
  <si>
    <t>IRR</t>
  </si>
  <si>
    <t>LLCR</t>
  </si>
  <si>
    <t>БРИДЖ, млн ₽</t>
  </si>
  <si>
    <t>ПФ по модели, млн ₽</t>
  </si>
  <si>
    <t>Пик эскроу, млн ₽</t>
  </si>
  <si>
    <t>Выручка</t>
  </si>
  <si>
    <t>Расходы</t>
  </si>
  <si>
    <t>Чистая прибыль</t>
  </si>
  <si>
    <t>ИТОГО / ПРОЕКТ</t>
  </si>
  <si>
    <t>ИТОГО</t>
  </si>
  <si>
    <t>Имена файлов задаются на листе «НАСТРОЙКИ» в D5:D8. После изменения имени откройте соответствующий файл модели: динамические внешние ссылки через ДВССЫЛ / INDIRECT работают только с открытыми исходными книгами.</t>
  </si>
  <si>
    <t>ПФ по модели</t>
  </si>
  <si>
    <t>ПФ скорр.</t>
  </si>
  <si>
    <t>Пик ПФ</t>
  </si>
  <si>
    <t>ПЛАТО — КОНСОЛИДИРОВАННЫЙ ПОМЕСЯЧНЫЙ ДЕНЕЖНЫЙ ПОТОК</t>
  </si>
  <si>
    <t>Показатель</t>
  </si>
  <si>
    <t>Совокупная выручка, млн ₽</t>
  </si>
  <si>
    <t>Совокупные расходы проекта, млн ₽</t>
  </si>
  <si>
    <t>Чистый проектный CF до финансирования, млн ₽</t>
  </si>
  <si>
    <t>Получение БРИДЖ, млн ₽</t>
  </si>
  <si>
    <t>Получение ПФ, млн ₽</t>
  </si>
  <si>
    <t>Погашение долга, млн ₽</t>
  </si>
  <si>
    <t>Пик БРИДЖ, млн ₽</t>
  </si>
  <si>
    <t>Минимальное покрытие эскроу / ПФ</t>
  </si>
  <si>
    <t>Остаток денежных средств на конец, млн ₽</t>
  </si>
  <si>
    <t>Пик совокупного долга, млн ₽</t>
  </si>
  <si>
    <t>КОНСОЛИДИРОВАНО</t>
  </si>
  <si>
    <t>Операционные расходы</t>
  </si>
  <si>
    <t>Инвестиционные расходы</t>
  </si>
  <si>
    <t>Проценты и комиссии</t>
  </si>
  <si>
    <t>CF до финансирования</t>
  </si>
  <si>
    <t>Получение БРИДЖ</t>
  </si>
  <si>
    <t>Получение ПФ</t>
  </si>
  <si>
    <t>Погашение долга</t>
  </si>
  <si>
    <t>CF после финансирования</t>
  </si>
  <si>
    <t>Накопленный денежный поток</t>
  </si>
  <si>
    <t>Средства на эскроу</t>
  </si>
  <si>
    <t>Остаток БРИДЖ</t>
  </si>
  <si>
    <t>Остаток ПФ</t>
  </si>
  <si>
    <t>Совокупный долг</t>
  </si>
  <si>
    <t>Покрытие эскроу / ПФ</t>
  </si>
  <si>
    <t>x</t>
  </si>
  <si>
    <t>Коэффициент дисконтирования</t>
  </si>
  <si>
    <t>служебно</t>
  </si>
  <si>
    <t>ПЛАТО — РАСПРЕДЕЛЕНИЕ БРИДЖ И ВРИ МЕЖДУ ОЧЕРЕДЯМИ</t>
  </si>
  <si>
    <t>Консолидатор поддерживает два режима: (1) весь БРИДЖ, его накопленные проценты и ВРИ рефинансируются в ПФ первой очереди; (2) общие обязательства распределяются по заданным долям. Переключатель находится на листе «НАСТРОЙКИ».</t>
  </si>
  <si>
    <t>Режим БРИДЖ</t>
  </si>
  <si>
    <t>НАСТРОЙКИ!B14</t>
  </si>
  <si>
    <t>БРИДЖ уже включен в моделях</t>
  </si>
  <si>
    <t>НАСТРОЙКИ!B15</t>
  </si>
  <si>
    <t>НАСТРОЙКИ!B16</t>
  </si>
  <si>
    <t>НАСТРОЙКИ!B17</t>
  </si>
  <si>
    <t>Смена ВРИ</t>
  </si>
  <si>
    <t>НАСТРОЙКИ!B18</t>
  </si>
  <si>
    <t>Ручная доля</t>
  </si>
  <si>
    <t>ИНТЕРПРЕТАЦИЯ</t>
  </si>
  <si>
    <t>Режим</t>
  </si>
  <si>
    <t>Банковская логика</t>
  </si>
  <si>
    <t>Экономическая логика</t>
  </si>
  <si>
    <t>Что должно быть в моделях очередей</t>
  </si>
  <si>
    <t>100% тела, процентов и ВРИ входят в первую выборку ПФ-1</t>
  </si>
  <si>
    <t>Общие затраты можно распределять между очередями управленчески</t>
  </si>
  <si>
    <t>Только модель О1 содержит общий БРИДЖ; О2–О4 — без него</t>
  </si>
  <si>
    <t>По долям</t>
  </si>
  <si>
    <t>Каждая очередь рефинансирует свою долю общего БРИДЖ</t>
  </si>
  <si>
    <t>Доли задаются на листе «НАСТРОЙКИ»</t>
  </si>
  <si>
    <t>Каждая модель содержит только свою долю тела, процентов и ВРИ</t>
  </si>
  <si>
    <t>Контроль</t>
  </si>
  <si>
    <t>Нельзя одновременно включить общий БРИДЖ во все четыре модели</t>
  </si>
  <si>
    <t>Иначе долг, проценты и ПФ будут задвоены</t>
  </si>
  <si>
    <t>Сверять ПФ по модели и ПФ скорректированный</t>
  </si>
  <si>
    <t>Помесячный свод</t>
  </si>
  <si>
    <t>Суммирует фактические графики из четырех моделей</t>
  </si>
  <si>
    <t>Не заменяет формулы внутри моделей очередей</t>
  </si>
  <si>
    <t>Режим БРИДЖ в моделях должен соответствовать выбранному режиму</t>
  </si>
  <si>
    <t>Исправлена помесячная разбивка П, РД, подготовительных работ и наружных сетей без изменения общей суммы до РнС.</t>
  </si>
  <si>
    <t>ГРАФИК ОСНОВНЫХ ВЕХ СТРОИТЕЛЬСТВА ПО ОЧЕРЕДЯМ</t>
  </si>
  <si>
    <t>Этап</t>
  </si>
  <si>
    <t>Начало</t>
  </si>
  <si>
    <t>Окончание</t>
  </si>
  <si>
    <t>Строительство ЖК</t>
  </si>
  <si>
    <t>Наружные сети</t>
  </si>
  <si>
    <t>Благоустройство</t>
  </si>
  <si>
    <t>СВОД ТЭП ПО ОЧЕРЕДЯМ И КОНТРОЛЬ ОБЩЕПРОЕКТНЫХ ПАРАМЕТРОВ</t>
  </si>
  <si>
    <t>Сумма очередей</t>
  </si>
  <si>
    <t>Контроль проекта</t>
  </si>
  <si>
    <t>Отклонение</t>
  </si>
  <si>
    <t>Статус</t>
  </si>
  <si>
    <t>ГНС</t>
  </si>
  <si>
    <t>м²</t>
  </si>
  <si>
    <t>Общая площадь (GBA)</t>
  </si>
  <si>
    <t>Полезная площадь</t>
  </si>
  <si>
    <t>Продаваемая площадь</t>
  </si>
  <si>
    <t>Передаваемая площадь</t>
  </si>
  <si>
    <t>Квартиры — продаваемая площадь</t>
  </si>
  <si>
    <t>Встроенная коммерция — продаваемая площадь</t>
  </si>
  <si>
    <t>Коммерция ОСЗ — продаваемая площадь</t>
  </si>
  <si>
    <t>МФОЦ / офисы — продаваемая площадь</t>
  </si>
  <si>
    <t>Социальные объекты — общая площадь</t>
  </si>
  <si>
    <t>Квартиры</t>
  </si>
  <si>
    <t>шт.</t>
  </si>
  <si>
    <t>Наземные машино-места</t>
  </si>
  <si>
    <t>Подземные машино-места</t>
  </si>
  <si>
    <t>Кладовки</t>
  </si>
  <si>
    <t>ДОУ</t>
  </si>
  <si>
    <t>мест</t>
  </si>
  <si>
    <t>СОШ</t>
  </si>
  <si>
    <t>Поликлиника</t>
  </si>
  <si>
    <t>посещ./смену</t>
  </si>
  <si>
    <t>ДОУ — площадь</t>
  </si>
  <si>
    <t>СОШ — площадь</t>
  </si>
  <si>
    <t>Поликлиника — площадь</t>
  </si>
  <si>
    <t>Желтые ячейки — контрольные общепроектные ТЭП. Сейчас предзаполнены: продаваемая площадь 200 000 м², ДОУ 465 мест, СОШ 675 мест.</t>
  </si>
  <si>
    <t>Внутренний контроль</t>
  </si>
  <si>
    <t>Продаваемая площадь минус сумма площадных продуктов</t>
  </si>
  <si>
    <t>Всего машино-мест</t>
  </si>
  <si>
    <t>Кэш текущего свода</t>
  </si>
  <si>
    <t>Источник</t>
  </si>
  <si>
    <t>СВОД, сохраненное значение</t>
  </si>
  <si>
    <t>CF до финансирования, млн ₽</t>
  </si>
  <si>
    <t>Выручка - расходы - проценты</t>
  </si>
  <si>
    <t>СВОД, сумма очередей</t>
  </si>
  <si>
    <t>СВОД, ПФ по моделям</t>
  </si>
  <si>
    <t>Используется только пока помесячные внешние ссылки не пересчитались</t>
  </si>
  <si>
    <t>PLATO_M-1.xlsx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</si>
</sst>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%;[Red]\(0.0%\);\-"/>
    <numFmt numFmtId="165" formatCode="#,##0.0;[Red]\(#,##0.0\);\-"/>
    <numFmt numFmtId="166" formatCode="dd\.mm\.yyyy"/>
    <numFmt numFmtId="167" formatCode="0.00\x"/>
    <numFmt numFmtId="168" formatCode="mmm\-yy"/>
    <numFmt numFmtId="169" formatCode="0.0000"/>
    <numFmt numFmtId="170" formatCode=";;;"/>
    <numFmt numFmtId="171" formatCode="mmm\ yyyy"/>
  </numFmts>
  <fonts count="29">
    <font>
      <sz val="11"/>
      <name val="Carlito"/>
    </font>
    <font>
      <b/>
      <sz val="16"/>
      <color rgb="FFFFFFFF"/>
      <name val="Carlito"/>
    </font>
    <font>
      <sz val="11"/>
      <color rgb="FF18324A"/>
      <name val="Carlito"/>
    </font>
    <font>
      <b/>
      <sz val="11"/>
      <color rgb="FFFFFFFF"/>
      <name val="Carlito"/>
    </font>
    <font>
      <sz val="10"/>
      <color rgb="FF1F2933"/>
      <name val="Carlito"/>
    </font>
    <font>
      <b/>
      <sz val="10"/>
      <color rgb="FF1F2933"/>
      <name val="Carlito"/>
    </font>
    <font>
      <sz val="10"/>
      <color rgb="FF0000FF"/>
      <name val="Carlito"/>
    </font>
    <font>
      <b/>
      <sz val="10"/>
      <color rgb="FF0000FF"/>
      <name val="Carlito"/>
    </font>
    <font>
      <sz val="10"/>
      <color rgb="FF008000"/>
      <name val="Carlito"/>
    </font>
    <font>
      <b/>
      <sz val="11"/>
      <color rgb="FF1F2933"/>
      <name val="Carlito"/>
    </font>
    <font>
      <b/>
      <sz val="13"/>
      <color rgb="FF18324A"/>
      <name val="Carlito"/>
    </font>
    <font>
      <sz val="10"/>
      <color rgb="FFFF0000"/>
      <name val="Carlito"/>
    </font>
    <font>
      <b/>
      <sz val="10"/>
      <color rgb="FF008000"/>
      <name val="Carlito"/>
    </font>
    <font>
      <b/>
      <sz val="8"/>
      <color rgb="FF18324A"/>
      <name val="Carlito"/>
    </font>
    <font>
      <b/>
      <sz val="11"/>
      <color rgb="FF18324A"/>
      <name val="Carlito"/>
    </font>
    <font>
      <sz val="9"/>
      <color rgb="FF1F2933"/>
      <name val="Carlito"/>
    </font>
    <font>
      <sz val="11"/>
      <color rgb="FFFF0000"/>
      <name val="Carlito"/>
    </font>
    <font>
      <sz val="11"/>
      <color rgb="FF008000"/>
      <name val="Carlito"/>
    </font>
    <font>
      <b/>
      <sz val="11"/>
      <color rgb="FF008000"/>
      <name val="Carlito"/>
    </font>
    <font>
      <i/>
      <sz val="11"/>
      <color rgb="FF66727C"/>
      <name val="Carlito"/>
    </font>
    <font>
      <i/>
      <sz val="10"/>
      <color rgb="FF18324A"/>
      <name val="Carlito"/>
    </font>
    <font>
      <sz val="8"/>
      <color rgb="FF66727C"/>
      <name val="Carlito"/>
    </font>
    <font>
      <b/>
      <sz val="10"/>
      <color rgb="FF18324A"/>
      <name val="Carlito"/>
    </font>
    <font>
      <sz val="11"/>
      <name val="Carlito"/>
    </font>
    <font>
      <b/>
      <sz val="14"/>
      <color rgb="FFFFFFFF"/>
      <name val="Carlito"/>
    </font>
    <font>
      <b/>
      <sz val="11"/>
      <color rgb="FF1F1F1F"/>
      <name val="Carlito"/>
    </font>
    <font>
      <sz val="1"/>
      <color rgb="FFFFFFFF"/>
      <name val="Carlito"/>
    </font>
    <font>
      <b/>
      <sz val="11"/>
      <name val="Carlito"/>
    </font>
    <font>
      <i/>
      <sz val="1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8324A"/>
      </patternFill>
    </fill>
    <fill>
      <patternFill patternType="solid">
        <fgColor rgb="FFF4F6F8"/>
      </patternFill>
    </fill>
    <fill>
      <patternFill patternType="solid">
        <fgColor rgb="FF27476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9EEF2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3" fillId="0" borderId="0"/>
  </cellStyleXfs>
  <cellXfs count="92">
    <xf numFmtId="0" fontId="0" fillId="0" borderId="0" xfId="0"/>
    <xf numFmtId="0" fontId="1" fillId="2" borderId="0" xfId="1" applyNumberFormat="1" applyFont="1" applyFill="1" applyBorder="1" applyAlignment="1">
      <alignment vertical="center"/>
    </xf>
    <xf numFmtId="0" fontId="3" fillId="4" borderId="0" xfId="1" applyNumberFormat="1" applyFont="1" applyFill="1" applyBorder="1"/>
    <xf numFmtId="0" fontId="3" fillId="4" borderId="0" xfId="1" applyNumberFormat="1" applyFont="1" applyFill="1" applyBorder="1" applyAlignment="1">
      <alignment horizontal="center"/>
    </xf>
    <xf numFmtId="0" fontId="4" fillId="5" borderId="0" xfId="1" applyNumberFormat="1" applyFont="1" applyFill="1" applyBorder="1"/>
    <xf numFmtId="0" fontId="4" fillId="5" borderId="0" xfId="1" applyNumberFormat="1" applyFont="1" applyFill="1" applyBorder="1" applyAlignment="1">
      <alignment wrapText="1"/>
    </xf>
    <xf numFmtId="0" fontId="4" fillId="5" borderId="0" xfId="1" applyNumberFormat="1" applyFont="1" applyFill="1" applyBorder="1" applyAlignment="1">
      <alignment vertical="center" wrapText="1"/>
    </xf>
    <xf numFmtId="0" fontId="5" fillId="5" borderId="0" xfId="1" applyNumberFormat="1" applyFont="1" applyFill="1" applyBorder="1"/>
    <xf numFmtId="0" fontId="3" fillId="4" borderId="0" xfId="1" applyNumberFormat="1" applyFont="1" applyFill="1" applyBorder="1" applyAlignment="1">
      <alignment horizontal="center" wrapText="1"/>
    </xf>
    <xf numFmtId="0" fontId="3" fillId="4" borderId="0" xfId="1" applyNumberFormat="1" applyFont="1" applyFill="1" applyBorder="1" applyAlignment="1">
      <alignment horizontal="center" vertical="center" wrapText="1"/>
    </xf>
    <xf numFmtId="0" fontId="6" fillId="5" borderId="0" xfId="1" applyNumberFormat="1" applyFont="1" applyFill="1" applyBorder="1" applyAlignment="1">
      <alignment vertical="center" wrapText="1"/>
    </xf>
    <xf numFmtId="164" fontId="6" fillId="5" borderId="0" xfId="1" applyNumberFormat="1" applyFont="1" applyFill="1" applyBorder="1" applyAlignment="1">
      <alignment vertical="center" wrapText="1"/>
    </xf>
    <xf numFmtId="0" fontId="7" fillId="6" borderId="0" xfId="1" applyNumberFormat="1" applyFont="1" applyFill="1" applyBorder="1" applyAlignment="1">
      <alignment vertical="center" wrapText="1"/>
    </xf>
    <xf numFmtId="166" fontId="5" fillId="5" borderId="0" xfId="1" applyNumberFormat="1" applyFont="1" applyFill="1" applyBorder="1"/>
    <xf numFmtId="0" fontId="7" fillId="6" borderId="0" xfId="1" applyNumberFormat="1" applyFont="1" applyFill="1" applyBorder="1" applyAlignment="1">
      <alignment wrapText="1"/>
    </xf>
    <xf numFmtId="165" fontId="7" fillId="6" borderId="0" xfId="1" applyNumberFormat="1" applyFont="1" applyFill="1" applyBorder="1" applyAlignment="1">
      <alignment wrapText="1"/>
    </xf>
    <xf numFmtId="166" fontId="7" fillId="6" borderId="0" xfId="1" applyNumberFormat="1" applyFont="1" applyFill="1" applyBorder="1" applyAlignment="1">
      <alignment wrapText="1"/>
    </xf>
    <xf numFmtId="164" fontId="7" fillId="6" borderId="0" xfId="1" applyNumberFormat="1" applyFont="1" applyFill="1" applyBorder="1" applyAlignment="1">
      <alignment wrapText="1"/>
    </xf>
    <xf numFmtId="164" fontId="8" fillId="5" borderId="0" xfId="1" applyNumberFormat="1" applyFont="1" applyFill="1" applyBorder="1" applyAlignment="1">
      <alignment vertical="center" wrapText="1"/>
    </xf>
    <xf numFmtId="165" fontId="8" fillId="5" borderId="0" xfId="1" applyNumberFormat="1" applyFont="1" applyFill="1" applyBorder="1" applyAlignment="1">
      <alignment vertical="center" wrapText="1"/>
    </xf>
    <xf numFmtId="0" fontId="9" fillId="3" borderId="0" xfId="1" applyNumberFormat="1" applyFont="1" applyFill="1" applyBorder="1"/>
    <xf numFmtId="164" fontId="9" fillId="3" borderId="0" xfId="1" applyNumberFormat="1" applyFont="1" applyFill="1" applyBorder="1"/>
    <xf numFmtId="165" fontId="9" fillId="3" borderId="0" xfId="1" applyNumberFormat="1" applyFont="1" applyFill="1" applyBorder="1"/>
    <xf numFmtId="166" fontId="4" fillId="5" borderId="0" xfId="1" applyNumberFormat="1" applyFont="1" applyFill="1" applyBorder="1"/>
    <xf numFmtId="0" fontId="8" fillId="5" borderId="0" xfId="1" applyNumberFormat="1" applyFont="1" applyFill="1" applyBorder="1" applyAlignment="1">
      <alignment vertical="center" wrapText="1"/>
    </xf>
    <xf numFmtId="166" fontId="11" fillId="5" borderId="0" xfId="1" applyNumberFormat="1" applyFont="1" applyFill="1" applyBorder="1" applyAlignment="1">
      <alignment vertical="center" wrapText="1"/>
    </xf>
    <xf numFmtId="165" fontId="11" fillId="5" borderId="0" xfId="1" applyNumberFormat="1" applyFont="1" applyFill="1" applyBorder="1" applyAlignment="1">
      <alignment vertical="center" wrapText="1"/>
    </xf>
    <xf numFmtId="164" fontId="11" fillId="5" borderId="0" xfId="1" applyNumberFormat="1" applyFont="1" applyFill="1" applyBorder="1" applyAlignment="1">
      <alignment vertical="center" wrapText="1"/>
    </xf>
    <xf numFmtId="167" fontId="11" fillId="5" borderId="0" xfId="1" applyNumberFormat="1" applyFont="1" applyFill="1" applyBorder="1" applyAlignment="1">
      <alignment vertical="center" wrapText="1"/>
    </xf>
    <xf numFmtId="167" fontId="9" fillId="3" borderId="0" xfId="1" applyNumberFormat="1" applyFont="1" applyFill="1" applyBorder="1"/>
    <xf numFmtId="0" fontId="12" fillId="5" borderId="0" xfId="1" applyNumberFormat="1" applyFont="1" applyFill="1" applyBorder="1"/>
    <xf numFmtId="168" fontId="13" fillId="7" borderId="0" xfId="1" applyNumberFormat="1" applyFont="1" applyFill="1" applyBorder="1" applyAlignment="1">
      <alignment horizontal="right"/>
    </xf>
    <xf numFmtId="0" fontId="5" fillId="3" borderId="0" xfId="1" applyNumberFormat="1" applyFont="1" applyFill="1" applyBorder="1"/>
    <xf numFmtId="0" fontId="14" fillId="7" borderId="0" xfId="1" applyNumberFormat="1" applyFont="1" applyFill="1" applyBorder="1" applyAlignment="1">
      <alignment horizontal="center"/>
    </xf>
    <xf numFmtId="0" fontId="15" fillId="5" borderId="0" xfId="1" applyNumberFormat="1" applyFont="1" applyFill="1" applyBorder="1"/>
    <xf numFmtId="165" fontId="16" fillId="0" borderId="0" xfId="1" applyNumberFormat="1" applyFont="1" applyFill="1" applyBorder="1"/>
    <xf numFmtId="165" fontId="17" fillId="0" borderId="0" xfId="1" applyNumberFormat="1" applyFont="1" applyFill="1" applyBorder="1"/>
    <xf numFmtId="165" fontId="18" fillId="3" borderId="0" xfId="1" applyNumberFormat="1" applyFont="1" applyFill="1" applyBorder="1"/>
    <xf numFmtId="167" fontId="18" fillId="3" borderId="0" xfId="1" applyNumberFormat="1" applyFont="1" applyFill="1" applyBorder="1"/>
    <xf numFmtId="0" fontId="19" fillId="0" borderId="0" xfId="1" applyNumberFormat="1" applyFont="1" applyFill="1" applyBorder="1"/>
    <xf numFmtId="169" fontId="19" fillId="0" borderId="0" xfId="1" applyNumberFormat="1" applyFont="1" applyFill="1" applyBorder="1"/>
    <xf numFmtId="165" fontId="12" fillId="5" borderId="0" xfId="1" applyNumberFormat="1" applyFont="1" applyFill="1" applyBorder="1"/>
    <xf numFmtId="167" fontId="12" fillId="5" borderId="0" xfId="1" applyNumberFormat="1" applyFont="1" applyFill="1" applyBorder="1"/>
    <xf numFmtId="164" fontId="12" fillId="5" borderId="0" xfId="1" applyNumberFormat="1" applyFont="1" applyFill="1" applyBorder="1"/>
    <xf numFmtId="166" fontId="8" fillId="5" borderId="0" xfId="1" applyNumberFormat="1" applyFont="1" applyFill="1" applyBorder="1" applyAlignment="1">
      <alignment vertical="center" wrapText="1"/>
    </xf>
    <xf numFmtId="0" fontId="21" fillId="0" borderId="0" xfId="1" applyNumberFormat="1" applyFont="1" applyFill="1" applyBorder="1"/>
    <xf numFmtId="165" fontId="21" fillId="0" borderId="0" xfId="1" applyNumberFormat="1" applyFont="1" applyFill="1" applyBorder="1"/>
    <xf numFmtId="0" fontId="18" fillId="3" borderId="0" xfId="1" applyNumberFormat="1" applyFont="1" applyFill="1" applyBorder="1"/>
    <xf numFmtId="0" fontId="7" fillId="8" borderId="0" xfId="1" applyNumberFormat="1" applyFont="1" applyFill="1" applyBorder="1" applyAlignment="1">
      <alignment vertical="center" wrapText="1"/>
    </xf>
    <xf numFmtId="0" fontId="26" fillId="0" borderId="0" xfId="0" applyNumberFormat="1" applyFont="1" applyFill="1" applyBorder="1"/>
    <xf numFmtId="0" fontId="25" fillId="10" borderId="1" xfId="0" applyNumberFormat="1" applyFont="1" applyFill="1" applyBorder="1" applyAlignment="1">
      <alignment horizontal="center" vertical="center"/>
    </xf>
    <xf numFmtId="0" fontId="25" fillId="10" borderId="2" xfId="0" applyNumberFormat="1" applyFont="1" applyFill="1" applyBorder="1" applyAlignment="1">
      <alignment horizontal="center" vertical="center"/>
    </xf>
    <xf numFmtId="0" fontId="25" fillId="10" borderId="3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/>
    <xf numFmtId="0" fontId="0" fillId="0" borderId="0" xfId="0" applyNumberFormat="1" applyFont="1" applyFill="1"/>
    <xf numFmtId="0" fontId="0" fillId="0" borderId="5" xfId="0" applyNumberFormat="1" applyFont="1" applyFill="1" applyBorder="1"/>
    <xf numFmtId="171" fontId="0" fillId="0" borderId="0" xfId="0" applyNumberFormat="1" applyFont="1" applyFill="1"/>
    <xf numFmtId="170" fontId="0" fillId="0" borderId="0" xfId="0" applyNumberFormat="1" applyFont="1" applyFill="1"/>
    <xf numFmtId="17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171" fontId="0" fillId="0" borderId="7" xfId="0" applyNumberFormat="1" applyFont="1" applyFill="1" applyBorder="1"/>
    <xf numFmtId="170" fontId="0" fillId="0" borderId="7" xfId="0" applyNumberFormat="1" applyFont="1" applyFill="1" applyBorder="1"/>
    <xf numFmtId="170" fontId="0" fillId="0" borderId="8" xfId="0" applyNumberFormat="1" applyFont="1" applyFill="1" applyBorder="1"/>
    <xf numFmtId="0" fontId="27" fillId="10" borderId="9" xfId="0" applyNumberFormat="1" applyFont="1" applyFill="1" applyBorder="1" applyAlignment="1">
      <alignment horizontal="center" vertical="center"/>
    </xf>
    <xf numFmtId="0" fontId="27" fillId="10" borderId="10" xfId="0" applyNumberFormat="1" applyFont="1" applyFill="1" applyBorder="1" applyAlignment="1">
      <alignment horizontal="center" vertical="center"/>
    </xf>
    <xf numFmtId="0" fontId="27" fillId="10" borderId="11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/>
    <xf numFmtId="165" fontId="27" fillId="11" borderId="0" xfId="0" applyNumberFormat="1" applyFont="1" applyFill="1"/>
    <xf numFmtId="165" fontId="0" fillId="0" borderId="7" xfId="0" applyNumberFormat="1" applyFont="1" applyFill="1" applyBorder="1"/>
    <xf numFmtId="165" fontId="27" fillId="11" borderId="7" xfId="0" applyNumberFormat="1" applyFont="1" applyFill="1" applyBorder="1"/>
    <xf numFmtId="0" fontId="0" fillId="0" borderId="8" xfId="0" applyNumberFormat="1" applyFont="1" applyFill="1" applyBorder="1"/>
    <xf numFmtId="0" fontId="27" fillId="1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5" fontId="12" fillId="5" borderId="0" xfId="0" applyNumberFormat="1" applyFont="1" applyFill="1" applyBorder="1"/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/>
    <xf numFmtId="0" fontId="22" fillId="8" borderId="0" xfId="1" applyNumberFormat="1" applyFont="1" applyFill="1" applyBorder="1" applyAlignment="1">
      <alignment vertical="center" wrapText="1"/>
    </xf>
    <xf numFmtId="0" fontId="20" fillId="6" borderId="0" xfId="1" applyNumberFormat="1" applyFont="1" applyFill="1" applyBorder="1" applyAlignment="1">
      <alignment vertical="center" wrapText="1"/>
    </xf>
    <xf numFmtId="165" fontId="10" fillId="3" borderId="0" xfId="1" applyNumberFormat="1" applyFont="1" applyFill="1" applyBorder="1" applyAlignment="1">
      <alignment horizontal="center" vertical="center"/>
    </xf>
    <xf numFmtId="0" fontId="3" fillId="4" borderId="0" xfId="1" applyNumberFormat="1" applyFont="1" applyFill="1" applyBorder="1" applyAlignment="1">
      <alignment horizontal="center" vertical="center" wrapText="1"/>
    </xf>
    <xf numFmtId="164" fontId="10" fillId="3" borderId="0" xfId="1" applyNumberFormat="1" applyFont="1" applyFill="1" applyBorder="1" applyAlignment="1">
      <alignment horizontal="center" vertical="center"/>
    </xf>
    <xf numFmtId="167" fontId="10" fillId="3" borderId="0" xfId="1" applyNumberFormat="1" applyFont="1" applyFill="1" applyBorder="1" applyAlignment="1">
      <alignment horizontal="center" vertical="center"/>
    </xf>
    <xf numFmtId="0" fontId="1" fillId="2" borderId="0" xfId="1" applyNumberFormat="1" applyFont="1" applyFill="1" applyBorder="1" applyAlignment="1">
      <alignment horizontal="left" vertical="center"/>
    </xf>
    <xf numFmtId="0" fontId="3" fillId="4" borderId="0" xfId="1" applyNumberFormat="1" applyFont="1" applyFill="1" applyBorder="1" applyAlignment="1">
      <alignment horizontal="left"/>
    </xf>
    <xf numFmtId="0" fontId="4" fillId="5" borderId="0" xfId="1" applyNumberFormat="1" applyFont="1" applyFill="1" applyBorder="1" applyAlignment="1">
      <alignment vertical="center" wrapText="1"/>
    </xf>
    <xf numFmtId="0" fontId="20" fillId="3" borderId="0" xfId="1" applyNumberFormat="1" applyFont="1" applyFill="1" applyBorder="1" applyAlignment="1">
      <alignment vertical="center" wrapText="1"/>
    </xf>
    <xf numFmtId="0" fontId="0" fillId="0" borderId="0" xfId="0"/>
    <xf numFmtId="0" fontId="24" fillId="9" borderId="0" xfId="0" applyNumberFormat="1" applyFont="1" applyFill="1" applyBorder="1" applyAlignment="1">
      <alignment horizontal="center" vertical="center"/>
    </xf>
    <xf numFmtId="0" fontId="28" fillId="12" borderId="0" xfId="0" applyNumberFormat="1" applyFont="1" applyFill="1" applyBorder="1" applyAlignment="1">
      <alignment wrapText="1"/>
    </xf>
  </cellXfs>
  <cellStyles count="2">
    <cellStyle name="Normal" xfId="1"/>
    <cellStyle name="Обычный" xfId="0" builtinId="0"/>
  </cellStyles>
  <dxfs count="9">
    <dxf>
      <font>
        <color rgb="FF666666"/>
      </font>
      <fill>
        <patternFill>
          <bgColor rgb="FFE7E6E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C6E0B4"/>
        </patternFill>
      </fill>
    </dxf>
    <dxf>
      <fill>
        <patternFill>
          <bgColor rgb="FFA5A5A5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ill>
        <patternFill>
          <bgColor rgb="FF4472C4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Выручка, расходы и чистая прибыль по очередям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</c:v>
          </c:tx>
          <c:invertIfNegative val="1"/>
          <c:cat>
            <c:strRef>
              <c:f>СВОД!$V$10:$V$13</c:f>
              <c:strCache>
                <c:ptCount val="4"/>
                <c:pt idx="0">
                  <c:v>Очередь 1</c:v>
                </c:pt>
                <c:pt idx="1">
                  <c:v>Очередь 2</c:v>
                </c:pt>
                <c:pt idx="2">
                  <c:v>Очередь 3</c:v>
                </c:pt>
                <c:pt idx="3">
                  <c:v>Очередь 4</c:v>
                </c:pt>
              </c:strCache>
            </c:strRef>
          </c:cat>
          <c:val>
            <c:numRef>
              <c:f>СВОД!$W$10:$W$13</c:f>
              <c:numCache>
                <c:formatCode>#\ ##0.0;[Red]\(#\ ##0.0\);\-</c:formatCode>
                <c:ptCount val="4"/>
                <c:pt idx="0">
                  <c:v>42105.390480056129</c:v>
                </c:pt>
                <c:pt idx="1">
                  <c:v>38215.077635192501</c:v>
                </c:pt>
                <c:pt idx="2">
                  <c:v>33617.808930623258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Расходы</c:v>
          </c:tx>
          <c:invertIfNegative val="1"/>
          <c:cat>
            <c:strRef>
              <c:f>СВОД!$V$10:$V$13</c:f>
              <c:strCache>
                <c:ptCount val="4"/>
                <c:pt idx="0">
                  <c:v>Очередь 1</c:v>
                </c:pt>
                <c:pt idx="1">
                  <c:v>Очередь 2</c:v>
                </c:pt>
                <c:pt idx="2">
                  <c:v>Очередь 3</c:v>
                </c:pt>
                <c:pt idx="3">
                  <c:v>Очередь 4</c:v>
                </c:pt>
              </c:strCache>
            </c:strRef>
          </c:cat>
          <c:val>
            <c:numRef>
              <c:f>СВОД!$X$10:$X$13</c:f>
              <c:numCache>
                <c:formatCode>#\ ##0.0;[Red]\(#\ ##0.0\);\-</c:formatCode>
                <c:ptCount val="4"/>
                <c:pt idx="0">
                  <c:v>38826.961233911425</c:v>
                </c:pt>
                <c:pt idx="1">
                  <c:v>33373.826592338148</c:v>
                </c:pt>
                <c:pt idx="2">
                  <c:v>28505.401769444958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v>Чистая прибыль</c:v>
          </c:tx>
          <c:invertIfNegative val="1"/>
          <c:cat>
            <c:strRef>
              <c:f>СВОД!$V$10:$V$13</c:f>
              <c:strCache>
                <c:ptCount val="4"/>
                <c:pt idx="0">
                  <c:v>Очередь 1</c:v>
                </c:pt>
                <c:pt idx="1">
                  <c:v>Очередь 2</c:v>
                </c:pt>
                <c:pt idx="2">
                  <c:v>Очередь 3</c:v>
                </c:pt>
                <c:pt idx="3">
                  <c:v>Очередь 4</c:v>
                </c:pt>
              </c:strCache>
            </c:strRef>
          </c:cat>
          <c:val>
            <c:numRef>
              <c:f>СВОД!$Y$10:$Y$13</c:f>
              <c:numCache>
                <c:formatCode>#\ ##0.0;[Red]\(#\ ##0.0\);\-</c:formatCode>
                <c:ptCount val="4"/>
                <c:pt idx="0">
                  <c:v>3278.4292461447039</c:v>
                </c:pt>
                <c:pt idx="1">
                  <c:v>4841.2510428543537</c:v>
                </c:pt>
                <c:pt idx="2">
                  <c:v>5112.4071611783002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24080176"/>
        <c:axId val="-1324083440"/>
      </c:barChart>
      <c:catAx>
        <c:axId val="-132408017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324083440"/>
        <c:crosses val="autoZero"/>
        <c:auto val="1"/>
        <c:lblAlgn val="ctr"/>
        <c:lblOffset val="100"/>
        <c:noMultiLvlLbl val="0"/>
      </c:catAx>
      <c:valAx>
        <c:axId val="-1324083440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;[Red]\(#\ ##0.0\);\-" sourceLinked="1"/>
        <c:majorTickMark val="none"/>
        <c:minorTickMark val="none"/>
        <c:tickLblPos val="nextTo"/>
        <c:crossAx val="-1324080176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ПФ по очередям: модель и скорректированная сумма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ПФ по модели</c:v>
          </c:tx>
          <c:invertIfNegative val="1"/>
          <c:cat>
            <c:strRef>
              <c:f>СВОД!$V$18:$V$21</c:f>
              <c:strCache>
                <c:ptCount val="4"/>
                <c:pt idx="0">
                  <c:v>Очередь 1</c:v>
                </c:pt>
                <c:pt idx="1">
                  <c:v>Очередь 2</c:v>
                </c:pt>
                <c:pt idx="2">
                  <c:v>Очередь 3</c:v>
                </c:pt>
                <c:pt idx="3">
                  <c:v>Очередь 4</c:v>
                </c:pt>
              </c:strCache>
            </c:strRef>
          </c:cat>
          <c:val>
            <c:numRef>
              <c:f>СВОД!$W$18:$W$21</c:f>
              <c:numCache>
                <c:formatCode>#\ ##0.0;[Red]\(#\ ##0.0\);\-</c:formatCode>
                <c:ptCount val="4"/>
                <c:pt idx="0">
                  <c:v>30011.506226781967</c:v>
                </c:pt>
                <c:pt idx="1">
                  <c:v>27765.55495123427</c:v>
                </c:pt>
                <c:pt idx="2">
                  <c:v>23843.815861235693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ПФ скорр.</c:v>
          </c:tx>
          <c:invertIfNegative val="1"/>
          <c:cat>
            <c:strRef>
              <c:f>СВОД!$V$18:$V$21</c:f>
              <c:strCache>
                <c:ptCount val="4"/>
                <c:pt idx="0">
                  <c:v>Очередь 1</c:v>
                </c:pt>
                <c:pt idx="1">
                  <c:v>Очередь 2</c:v>
                </c:pt>
                <c:pt idx="2">
                  <c:v>Очередь 3</c:v>
                </c:pt>
                <c:pt idx="3">
                  <c:v>Очередь 4</c:v>
                </c:pt>
              </c:strCache>
            </c:strRef>
          </c:cat>
          <c:val>
            <c:numRef>
              <c:f>СВОД!$X$18:$X$21</c:f>
              <c:numCache>
                <c:formatCode>#\ ##0.0;[Red]\(#\ ##0.0\);\-</c:formatCode>
                <c:ptCount val="4"/>
                <c:pt idx="0">
                  <c:v>30011.506226781967</c:v>
                </c:pt>
                <c:pt idx="1">
                  <c:v>27765.55495123427</c:v>
                </c:pt>
                <c:pt idx="2">
                  <c:v>23843.815861235693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v>Пик ПФ</c:v>
          </c:tx>
          <c:invertIfNegative val="1"/>
          <c:cat>
            <c:strRef>
              <c:f>СВОД!$V$18:$V$21</c:f>
              <c:strCache>
                <c:ptCount val="4"/>
                <c:pt idx="0">
                  <c:v>Очередь 1</c:v>
                </c:pt>
                <c:pt idx="1">
                  <c:v>Очередь 2</c:v>
                </c:pt>
                <c:pt idx="2">
                  <c:v>Очередь 3</c:v>
                </c:pt>
                <c:pt idx="3">
                  <c:v>Очередь 4</c:v>
                </c:pt>
              </c:strCache>
            </c:strRef>
          </c:cat>
          <c:val>
            <c:numRef>
              <c:f>СВОД!$Y$18:$Y$21</c:f>
              <c:numCache>
                <c:formatCode>#\ ##0.0;[Red]\(#\ ##0.0\);\-</c:formatCode>
                <c:ptCount val="4"/>
                <c:pt idx="0">
                  <c:v>30011.506226781959</c:v>
                </c:pt>
                <c:pt idx="1">
                  <c:v>27765.554951234266</c:v>
                </c:pt>
                <c:pt idx="2">
                  <c:v>23843.8158612357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24082352"/>
        <c:axId val="-1324079632"/>
      </c:barChart>
      <c:catAx>
        <c:axId val="-132408235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-1324079632"/>
        <c:crosses val="autoZero"/>
        <c:auto val="1"/>
        <c:lblAlgn val="ctr"/>
        <c:lblOffset val="100"/>
        <c:noMultiLvlLbl val="0"/>
      </c:catAx>
      <c:valAx>
        <c:axId val="-132407963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\ ##0.0;[Red]\(#\ ##0.0\);\-" sourceLinked="1"/>
        <c:majorTickMark val="none"/>
        <c:minorTickMark val="none"/>
        <c:tickLblPos val="nextTo"/>
        <c:crossAx val="-132408235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workbookViewId="0">
      <selection sqref="A1:H1"/>
    </sheetView>
  </sheetViews>
  <sheetFormatPr defaultRowHeight="13.8"/>
  <cols>
    <col min="1" max="1" width="10" customWidth="1"/>
    <col min="2" max="2" width="46" customWidth="1"/>
    <col min="3" max="3" width="54" customWidth="1"/>
    <col min="4" max="8" width="15" customWidth="1"/>
  </cols>
  <sheetData>
    <row r="1" spans="1:8" ht="34.049999999999997" customHeight="1">
      <c r="A1" s="76" t="s">
        <v>0</v>
      </c>
      <c r="B1" s="76"/>
      <c r="C1" s="76"/>
      <c r="D1" s="76"/>
      <c r="E1" s="76"/>
      <c r="F1" s="76"/>
      <c r="G1" s="76"/>
      <c r="H1" s="76"/>
    </row>
    <row r="3" spans="1:8">
      <c r="A3" s="77" t="s">
        <v>1</v>
      </c>
      <c r="B3" s="77"/>
      <c r="C3" s="77"/>
      <c r="D3" s="77"/>
      <c r="E3" s="77"/>
      <c r="F3" s="77"/>
      <c r="G3" s="77"/>
      <c r="H3" s="77"/>
    </row>
    <row r="4" spans="1:8">
      <c r="A4" s="77"/>
      <c r="B4" s="77"/>
      <c r="C4" s="77"/>
      <c r="D4" s="77"/>
      <c r="E4" s="77"/>
      <c r="F4" s="77"/>
      <c r="G4" s="77"/>
      <c r="H4" s="77"/>
    </row>
    <row r="6" spans="1:8">
      <c r="A6" s="3" t="s">
        <v>2</v>
      </c>
      <c r="B6" s="3" t="s">
        <v>3</v>
      </c>
      <c r="C6" s="3" t="s">
        <v>4</v>
      </c>
    </row>
    <row r="7" spans="1:8" ht="26.4">
      <c r="A7" s="6">
        <v>1</v>
      </c>
      <c r="B7" s="6" t="s">
        <v>5</v>
      </c>
      <c r="C7" s="6" t="s">
        <v>6</v>
      </c>
    </row>
    <row r="8" spans="1:8" ht="26.4">
      <c r="A8" s="6">
        <v>2</v>
      </c>
      <c r="B8" s="6" t="s">
        <v>7</v>
      </c>
      <c r="C8" s="6" t="s">
        <v>8</v>
      </c>
    </row>
    <row r="9" spans="1:8" ht="26.4">
      <c r="A9" s="6">
        <v>3</v>
      </c>
      <c r="B9" s="6" t="s">
        <v>9</v>
      </c>
      <c r="C9" s="6" t="s">
        <v>10</v>
      </c>
    </row>
    <row r="10" spans="1:8" ht="26.4">
      <c r="A10" s="6">
        <v>4</v>
      </c>
      <c r="B10" s="6" t="s">
        <v>11</v>
      </c>
      <c r="C10" s="6" t="s">
        <v>12</v>
      </c>
    </row>
    <row r="11" spans="1:8" ht="26.4">
      <c r="A11" s="6">
        <v>5</v>
      </c>
      <c r="B11" s="6" t="s">
        <v>13</v>
      </c>
      <c r="C11" s="6" t="s">
        <v>14</v>
      </c>
    </row>
    <row r="12" spans="1:8" ht="26.4">
      <c r="A12" s="6">
        <v>6</v>
      </c>
      <c r="B12" s="6" t="s">
        <v>15</v>
      </c>
      <c r="C12" s="6" t="s">
        <v>16</v>
      </c>
    </row>
    <row r="15" spans="1:8">
      <c r="A15" s="78" t="s">
        <v>17</v>
      </c>
      <c r="B15" s="78"/>
      <c r="C15" s="78"/>
      <c r="D15" s="78"/>
      <c r="E15" s="78"/>
      <c r="F15" s="78"/>
      <c r="G15" s="78"/>
      <c r="H15" s="78"/>
    </row>
    <row r="16" spans="1:8">
      <c r="A16" s="7" t="s">
        <v>18</v>
      </c>
      <c r="B16" s="4" t="s">
        <v>19</v>
      </c>
    </row>
    <row r="17" spans="1:2">
      <c r="A17" s="7" t="s">
        <v>20</v>
      </c>
      <c r="B17" s="4" t="s">
        <v>21</v>
      </c>
    </row>
    <row r="18" spans="1:2">
      <c r="A18" s="7" t="s">
        <v>22</v>
      </c>
      <c r="B18" s="4" t="s">
        <v>23</v>
      </c>
    </row>
    <row r="19" spans="1:2">
      <c r="A19" s="7" t="s">
        <v>24</v>
      </c>
      <c r="B19" s="4" t="s">
        <v>25</v>
      </c>
    </row>
  </sheetData>
  <mergeCells count="3">
    <mergeCell ref="A1:H1"/>
    <mergeCell ref="A3:H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showGridLines="0" workbookViewId="0">
      <selection activeCell="D6" sqref="D6"/>
    </sheetView>
  </sheetViews>
  <sheetFormatPr defaultRowHeight="13.8"/>
  <cols>
    <col min="1" max="1" width="30" customWidth="1"/>
    <col min="2" max="2" width="22" customWidth="1"/>
    <col min="3" max="3" width="16" customWidth="1"/>
    <col min="4" max="4" width="38" customWidth="1"/>
    <col min="5" max="9" width="18" customWidth="1"/>
    <col min="10" max="10" width="36" customWidth="1"/>
  </cols>
  <sheetData>
    <row r="1" spans="1:10" ht="34.049999999999997" customHeight="1">
      <c r="A1" s="76" t="s">
        <v>26</v>
      </c>
      <c r="B1" s="76"/>
      <c r="C1" s="76"/>
      <c r="D1" s="76"/>
      <c r="E1" s="76"/>
      <c r="F1" s="76"/>
      <c r="G1" s="76"/>
      <c r="H1" s="76"/>
      <c r="I1" s="76"/>
      <c r="J1" s="76"/>
    </row>
    <row r="3" spans="1:10">
      <c r="A3" s="78" t="s">
        <v>27</v>
      </c>
      <c r="B3" s="78"/>
      <c r="C3" s="78"/>
      <c r="D3" s="78"/>
      <c r="E3" s="78"/>
      <c r="F3" s="78"/>
      <c r="G3" s="78"/>
      <c r="H3" s="78"/>
      <c r="I3" s="78"/>
      <c r="J3" s="78"/>
    </row>
    <row r="4" spans="1:10" ht="27.6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 t="s">
        <v>37</v>
      </c>
    </row>
    <row r="5" spans="1:10" ht="39.6">
      <c r="A5" s="6">
        <v>1</v>
      </c>
      <c r="B5" s="12" t="s">
        <v>38</v>
      </c>
      <c r="C5" s="10" t="s">
        <v>39</v>
      </c>
      <c r="D5" s="48" t="s">
        <v>221</v>
      </c>
      <c r="E5" s="11">
        <v>0.25</v>
      </c>
      <c r="F5" s="18">
        <f>IF($B$14="Весь БРИДЖ в О1",1,E5)</f>
        <v>1</v>
      </c>
      <c r="G5" s="19">
        <f>$B$16*F5</f>
        <v>0</v>
      </c>
      <c r="H5" s="19">
        <f>$B$17*F5</f>
        <v>0</v>
      </c>
      <c r="I5" s="19">
        <f>$B$18*F5</f>
        <v>0</v>
      </c>
      <c r="J5" s="6" t="s">
        <v>172</v>
      </c>
    </row>
    <row r="6" spans="1:10" ht="39.6">
      <c r="A6" s="6">
        <v>2</v>
      </c>
      <c r="B6" s="12" t="s">
        <v>38</v>
      </c>
      <c r="C6" s="10" t="s">
        <v>40</v>
      </c>
      <c r="D6" s="48" t="s">
        <v>41</v>
      </c>
      <c r="E6" s="11">
        <v>0.25</v>
      </c>
      <c r="F6" s="18">
        <f>IF($B$14="Весь БРИДЖ в О1",0,E6)</f>
        <v>0</v>
      </c>
      <c r="G6" s="19">
        <f>$B$16*F6</f>
        <v>0</v>
      </c>
      <c r="H6" s="19">
        <f>$B$17*F6</f>
        <v>0</v>
      </c>
      <c r="I6" s="19">
        <f>$B$18*F6</f>
        <v>0</v>
      </c>
      <c r="J6" s="6" t="s">
        <v>42</v>
      </c>
    </row>
    <row r="7" spans="1:10" ht="39.6">
      <c r="A7" s="6">
        <v>3</v>
      </c>
      <c r="B7" s="12" t="s">
        <v>38</v>
      </c>
      <c r="C7" s="10" t="s">
        <v>43</v>
      </c>
      <c r="D7" s="48" t="s">
        <v>44</v>
      </c>
      <c r="E7" s="11">
        <v>0.25</v>
      </c>
      <c r="F7" s="18">
        <f>IF($B$14="Весь БРИДЖ в О1",0,E7)</f>
        <v>0</v>
      </c>
      <c r="G7" s="19">
        <f>$B$16*F7</f>
        <v>0</v>
      </c>
      <c r="H7" s="19">
        <f>$B$17*F7</f>
        <v>0</v>
      </c>
      <c r="I7" s="19">
        <f>$B$18*F7</f>
        <v>0</v>
      </c>
      <c r="J7" s="6" t="s">
        <v>42</v>
      </c>
    </row>
    <row r="8" spans="1:10" ht="39.6">
      <c r="A8" s="6">
        <v>4</v>
      </c>
      <c r="B8" s="12" t="s">
        <v>45</v>
      </c>
      <c r="C8" s="10" t="s">
        <v>46</v>
      </c>
      <c r="D8" s="48"/>
      <c r="E8" s="11">
        <v>0.25</v>
      </c>
      <c r="F8" s="18">
        <f>IF($B$14="Весь БРИДЖ в О1",0,E8)</f>
        <v>0</v>
      </c>
      <c r="G8" s="19">
        <f>$B$16*F8</f>
        <v>0</v>
      </c>
      <c r="H8" s="19">
        <f>$B$17*F8</f>
        <v>0</v>
      </c>
      <c r="I8" s="19">
        <f>$B$18*F8</f>
        <v>0</v>
      </c>
      <c r="J8" s="6" t="s">
        <v>42</v>
      </c>
    </row>
    <row r="9" spans="1:10">
      <c r="A9" s="20"/>
      <c r="B9" s="20"/>
      <c r="C9" s="20" t="s">
        <v>47</v>
      </c>
      <c r="D9" s="20"/>
      <c r="E9" s="21">
        <f>SUM(E5:E8)</f>
        <v>1</v>
      </c>
      <c r="F9" s="21">
        <f>SUM(F5:F8)</f>
        <v>1</v>
      </c>
      <c r="G9" s="22">
        <f>SUM(G5:G8)</f>
        <v>0</v>
      </c>
      <c r="H9" s="22">
        <f>SUM(H5:H8)</f>
        <v>0</v>
      </c>
      <c r="I9" s="22">
        <f>SUM(I5:I8)</f>
        <v>0</v>
      </c>
      <c r="J9" s="47" t="str">
        <f>IF(ABS(F9-1)&lt;0.0001,"OK","ПРОВЕРИТЬ ДОЛИ")</f>
        <v>OK</v>
      </c>
    </row>
    <row r="12" spans="1:10">
      <c r="A12" s="78" t="s">
        <v>48</v>
      </c>
      <c r="B12" s="78"/>
      <c r="C12" s="78"/>
      <c r="D12" s="78"/>
    </row>
    <row r="13" spans="1:10">
      <c r="A13" s="3" t="s">
        <v>49</v>
      </c>
      <c r="B13" s="3" t="s">
        <v>50</v>
      </c>
      <c r="C13" s="3" t="s">
        <v>51</v>
      </c>
      <c r="D13" s="3" t="s">
        <v>37</v>
      </c>
    </row>
    <row r="14" spans="1:10">
      <c r="A14" s="5" t="s">
        <v>52</v>
      </c>
      <c r="B14" s="14" t="s">
        <v>53</v>
      </c>
      <c r="C14" s="5"/>
      <c r="D14" s="5" t="s">
        <v>54</v>
      </c>
    </row>
    <row r="15" spans="1:10" ht="26.4">
      <c r="A15" s="5" t="s">
        <v>55</v>
      </c>
      <c r="B15" s="14" t="s">
        <v>38</v>
      </c>
      <c r="C15" s="5"/>
      <c r="D15" s="5" t="s">
        <v>56</v>
      </c>
    </row>
    <row r="16" spans="1:10">
      <c r="A16" s="5" t="s">
        <v>57</v>
      </c>
      <c r="B16" s="15">
        <v>0</v>
      </c>
      <c r="C16" s="5" t="s">
        <v>58</v>
      </c>
      <c r="D16" s="5" t="s">
        <v>59</v>
      </c>
    </row>
    <row r="17" spans="1:10">
      <c r="A17" s="5" t="s">
        <v>60</v>
      </c>
      <c r="B17" s="15">
        <v>0</v>
      </c>
      <c r="C17" s="5" t="s">
        <v>58</v>
      </c>
      <c r="D17" s="5" t="s">
        <v>61</v>
      </c>
    </row>
    <row r="18" spans="1:10">
      <c r="A18" s="5" t="s">
        <v>62</v>
      </c>
      <c r="B18" s="15">
        <v>0</v>
      </c>
      <c r="C18" s="5" t="s">
        <v>58</v>
      </c>
      <c r="D18" s="5" t="s">
        <v>63</v>
      </c>
    </row>
    <row r="19" spans="1:10">
      <c r="A19" s="5" t="s">
        <v>64</v>
      </c>
      <c r="B19" s="16">
        <v>46388</v>
      </c>
      <c r="C19" s="5" t="s">
        <v>65</v>
      </c>
      <c r="D19" s="5" t="s">
        <v>66</v>
      </c>
    </row>
    <row r="20" spans="1:10">
      <c r="A20" s="5" t="s">
        <v>67</v>
      </c>
      <c r="B20" s="17">
        <v>0.2</v>
      </c>
      <c r="C20" s="5" t="s">
        <v>68</v>
      </c>
      <c r="D20" s="5" t="s">
        <v>69</v>
      </c>
    </row>
    <row r="23" spans="1:10">
      <c r="A23" s="78" t="s">
        <v>70</v>
      </c>
      <c r="B23" s="78"/>
      <c r="C23" s="78"/>
      <c r="D23" s="78"/>
    </row>
    <row r="24" spans="1:10">
      <c r="A24" s="3" t="s">
        <v>49</v>
      </c>
      <c r="B24" s="3" t="s">
        <v>50</v>
      </c>
      <c r="C24" s="3" t="s">
        <v>51</v>
      </c>
      <c r="D24" s="3" t="s">
        <v>37</v>
      </c>
    </row>
    <row r="25" spans="1:10">
      <c r="A25" s="4" t="s">
        <v>71</v>
      </c>
      <c r="B25" s="13">
        <v>46388</v>
      </c>
      <c r="C25" s="4" t="s">
        <v>65</v>
      </c>
      <c r="D25" s="4" t="s">
        <v>72</v>
      </c>
    </row>
    <row r="26" spans="1:10">
      <c r="A26" s="4" t="s">
        <v>73</v>
      </c>
      <c r="B26" s="7">
        <v>108</v>
      </c>
      <c r="C26" s="4" t="s">
        <v>74</v>
      </c>
      <c r="D26" s="4" t="s">
        <v>75</v>
      </c>
    </row>
    <row r="27" spans="1:10">
      <c r="A27" s="4" t="s">
        <v>76</v>
      </c>
      <c r="B27" s="23">
        <f>EDATE(B25,B26-1)</f>
        <v>49644</v>
      </c>
      <c r="C27" s="4" t="s">
        <v>65</v>
      </c>
      <c r="D27" s="4" t="s">
        <v>77</v>
      </c>
    </row>
    <row r="29" spans="1:10">
      <c r="A29" s="79" t="s">
        <v>78</v>
      </c>
      <c r="B29" s="79"/>
      <c r="C29" s="79"/>
      <c r="D29" s="79"/>
      <c r="E29" s="79"/>
      <c r="F29" s="79"/>
      <c r="G29" s="79"/>
      <c r="H29" s="79"/>
      <c r="I29" s="79"/>
      <c r="J29" s="79"/>
    </row>
    <row r="30" spans="1:10">
      <c r="A30" s="79"/>
      <c r="B30" s="79"/>
      <c r="C30" s="79"/>
      <c r="D30" s="79"/>
      <c r="E30" s="79"/>
      <c r="F30" s="79"/>
      <c r="G30" s="79"/>
      <c r="H30" s="79"/>
      <c r="I30" s="79"/>
      <c r="J30" s="79"/>
    </row>
    <row r="31" spans="1:10">
      <c r="A31" s="79"/>
      <c r="B31" s="79"/>
      <c r="C31" s="79"/>
      <c r="D31" s="79"/>
      <c r="E31" s="79"/>
      <c r="F31" s="79"/>
      <c r="G31" s="79"/>
      <c r="H31" s="79"/>
      <c r="I31" s="79"/>
      <c r="J31" s="79"/>
    </row>
  </sheetData>
  <mergeCells count="5">
    <mergeCell ref="A1:J1"/>
    <mergeCell ref="A3:J3"/>
    <mergeCell ref="A12:D12"/>
    <mergeCell ref="A23:D23"/>
    <mergeCell ref="A29:J31"/>
  </mergeCells>
  <conditionalFormatting sqref="J9">
    <cfRule type="expression" dxfId="8" priority="1">
      <formula>J9&lt;&gt;"OK"</formula>
    </cfRule>
  </conditionalFormatting>
  <dataValidations count="3">
    <dataValidation type="list" sqref="B5:B8">
      <formula1>"Да,Нет"</formula1>
    </dataValidation>
    <dataValidation type="list" sqref="B14">
      <formula1>"Весь БРИДЖ в О1,По долям"</formula1>
    </dataValidation>
    <dataValidation type="list" sqref="B15">
      <formula1>"Да,Нет"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showGridLines="0" workbookViewId="0">
      <selection sqref="A1:T1"/>
    </sheetView>
  </sheetViews>
  <sheetFormatPr defaultRowHeight="13.8"/>
  <cols>
    <col min="1" max="1" width="10" customWidth="1"/>
    <col min="2" max="2" width="16" customWidth="1"/>
    <col min="3" max="3" width="20" customWidth="1"/>
    <col min="4" max="6" width="13" customWidth="1"/>
    <col min="7" max="10" width="17" customWidth="1"/>
    <col min="11" max="11" width="18" customWidth="1"/>
    <col min="12" max="12" width="12" customWidth="1"/>
    <col min="13" max="13" width="16" customWidth="1"/>
    <col min="14" max="15" width="12" customWidth="1"/>
    <col min="16" max="16" width="16" customWidth="1"/>
    <col min="17" max="18" width="17" customWidth="1"/>
    <col min="19" max="19" width="16" customWidth="1"/>
    <col min="20" max="20" width="18" customWidth="1"/>
  </cols>
  <sheetData>
    <row r="1" spans="1:25" ht="34.049999999999997" customHeight="1">
      <c r="A1" s="76" t="s">
        <v>79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</row>
    <row r="3" spans="1:25">
      <c r="A3" s="82" t="s">
        <v>80</v>
      </c>
      <c r="B3" s="82"/>
      <c r="C3" s="82" t="s">
        <v>81</v>
      </c>
      <c r="D3" s="82"/>
      <c r="E3" s="82" t="s">
        <v>82</v>
      </c>
      <c r="F3" s="82"/>
      <c r="G3" s="82" t="s">
        <v>83</v>
      </c>
      <c r="H3" s="82"/>
      <c r="I3" s="82" t="s">
        <v>84</v>
      </c>
      <c r="J3" s="82"/>
      <c r="K3" s="82" t="s">
        <v>85</v>
      </c>
      <c r="L3" s="82"/>
      <c r="M3" s="82" t="s">
        <v>86</v>
      </c>
      <c r="N3" s="82"/>
      <c r="O3" s="82" t="s">
        <v>87</v>
      </c>
      <c r="P3" s="82"/>
      <c r="Q3" s="82" t="s">
        <v>88</v>
      </c>
      <c r="R3" s="82"/>
      <c r="S3" s="82" t="s">
        <v>89</v>
      </c>
      <c r="T3" s="82"/>
    </row>
    <row r="4" spans="1:25">
      <c r="A4" s="81">
        <f ca="1">G14</f>
        <v>113938.27704587189</v>
      </c>
      <c r="B4" s="81"/>
      <c r="C4" s="81">
        <f ca="1">H14</f>
        <v>100706.18959569454</v>
      </c>
      <c r="D4" s="81"/>
      <c r="E4" s="81">
        <f ca="1">K14</f>
        <v>13232.087450177358</v>
      </c>
      <c r="F4" s="81"/>
      <c r="G4" s="83">
        <f ca="1">L14</f>
        <v>0.11613382081291329</v>
      </c>
      <c r="H4" s="83"/>
      <c r="I4" s="81">
        <f ca="1">R14</f>
        <v>81620.877039251936</v>
      </c>
      <c r="J4" s="81"/>
      <c r="K4" s="81">
        <f ca="1">'ПО МЕСЯЦАМ'!B13</f>
        <v>43581.872425791065</v>
      </c>
      <c r="L4" s="81"/>
      <c r="M4" s="84">
        <f ca="1">O14</f>
        <v>0</v>
      </c>
      <c r="N4" s="84"/>
      <c r="O4" s="81">
        <f ca="1">'ПО МЕСЯЦАМ'!B17</f>
        <v>0</v>
      </c>
      <c r="P4" s="81"/>
      <c r="Q4" s="83">
        <f ca="1">'ПО МЕСЯЦАМ'!B18</f>
        <v>0</v>
      </c>
      <c r="R4" s="83"/>
      <c r="S4" s="81">
        <f ca="1">'ПО МЕСЯЦАМ'!B16</f>
        <v>43759.525734942043</v>
      </c>
      <c r="T4" s="81"/>
    </row>
    <row r="5" spans="1:25">
      <c r="A5" s="81"/>
      <c r="B5" s="81"/>
      <c r="C5" s="81"/>
      <c r="D5" s="81"/>
      <c r="E5" s="81"/>
      <c r="F5" s="81"/>
      <c r="G5" s="83"/>
      <c r="H5" s="83"/>
      <c r="I5" s="81"/>
      <c r="J5" s="81"/>
      <c r="K5" s="81"/>
      <c r="L5" s="81"/>
      <c r="M5" s="84"/>
      <c r="N5" s="84"/>
      <c r="O5" s="81"/>
      <c r="P5" s="81"/>
      <c r="Q5" s="83"/>
      <c r="R5" s="83"/>
      <c r="S5" s="81"/>
      <c r="T5" s="81"/>
    </row>
    <row r="9" spans="1:25" ht="27.6">
      <c r="A9" s="9" t="s">
        <v>29</v>
      </c>
      <c r="B9" s="9" t="s">
        <v>30</v>
      </c>
      <c r="C9" s="9" t="s">
        <v>90</v>
      </c>
      <c r="D9" s="9" t="s">
        <v>91</v>
      </c>
      <c r="E9" s="9" t="s">
        <v>92</v>
      </c>
      <c r="F9" s="9" t="s">
        <v>93</v>
      </c>
      <c r="G9" s="9" t="s">
        <v>80</v>
      </c>
      <c r="H9" s="9" t="s">
        <v>81</v>
      </c>
      <c r="I9" s="9" t="s">
        <v>94</v>
      </c>
      <c r="J9" s="9" t="s">
        <v>95</v>
      </c>
      <c r="K9" s="9" t="s">
        <v>82</v>
      </c>
      <c r="L9" s="9" t="s">
        <v>83</v>
      </c>
      <c r="M9" s="9" t="s">
        <v>96</v>
      </c>
      <c r="N9" s="9" t="s">
        <v>97</v>
      </c>
      <c r="O9" s="9" t="s">
        <v>98</v>
      </c>
      <c r="P9" s="9" t="s">
        <v>99</v>
      </c>
      <c r="Q9" s="9" t="s">
        <v>100</v>
      </c>
      <c r="R9" s="9" t="s">
        <v>84</v>
      </c>
      <c r="S9" s="9" t="s">
        <v>85</v>
      </c>
      <c r="T9" s="9" t="s">
        <v>101</v>
      </c>
      <c r="V9" s="45" t="s">
        <v>30</v>
      </c>
      <c r="W9" s="45" t="s">
        <v>102</v>
      </c>
      <c r="X9" s="45" t="s">
        <v>103</v>
      </c>
      <c r="Y9" s="45" t="s">
        <v>104</v>
      </c>
    </row>
    <row r="10" spans="1:25">
      <c r="A10" s="24" t="str">
        <f>НАСТРОЙКИ!B5</f>
        <v>Да</v>
      </c>
      <c r="B10" s="24" t="str">
        <f>НАСТРОЙКИ!C5</f>
        <v>Очередь 1</v>
      </c>
      <c r="C10" s="24" t="str">
        <f>НАСТРОЙКИ!D5</f>
        <v>PLATO_M-1.xlsx</v>
      </c>
      <c r="D10" s="25">
        <f ca="1">IF(НАСТРОЙКИ!$B$5&lt;&gt;"Да",0,IFERROR(INDIRECT("'["&amp;НАСТРОЙКИ!$D$5&amp;"]Вводные'!$G$7"),0))</f>
        <v>46388</v>
      </c>
      <c r="E10" s="25">
        <f ca="1">IF(НАСТРОЙКИ!$B$5&lt;&gt;"Да",0,IFERROR(INDIRECT("'["&amp;НАСТРОЙКИ!$D$5&amp;"]Вводные'!$G$8"),0))</f>
        <v>46935</v>
      </c>
      <c r="F10" s="25">
        <f ca="1">IF(НАСТРОЙКИ!$B$5&lt;&gt;"Да",0,IFERROR(EDATE(INDIRECT("'["&amp;НАСТРОЙКИ!$D$5&amp;"]Вводные'!$G$8"),INDIRECT("'["&amp;НАСТРОЙКИ!$D$5&amp;"]Вводные'!$G$9")),0))</f>
        <v>47665</v>
      </c>
      <c r="G10" s="26">
        <f ca="1">IF(НАСТРОЙКИ!$B$5&lt;&gt;"Да",0,IFERROR(INDIRECT("'["&amp;НАСТРОЙКИ!$D$5&amp;"]ОТЧЕТ'!$C$4"),0))</f>
        <v>42105.390480056129</v>
      </c>
      <c r="H10" s="26">
        <f ca="1">IF(НАСТРОЙКИ!$B$5&lt;&gt;"Да",0,-IFERROR(INDIRECT("'["&amp;НАСТРОЙКИ!$D$5&amp;"]ОТЧЕТ'!$C$13"),0))</f>
        <v>38826.961233911425</v>
      </c>
      <c r="I10" s="26">
        <f ca="1">IF(НАСТРОЙКИ!$B$5&lt;&gt;"Да",0,IFERROR(INDIRECT("'["&amp;НАСТРОЙКИ!$D$5&amp;"]ОТЧЕТ'!$C$21"),0))</f>
        <v>8222.4963588606624</v>
      </c>
      <c r="J10" s="26">
        <f ca="1">IF(НАСТРОЙКИ!$B$5&lt;&gt;"Да",0,-IFERROR(INDIRECT("'["&amp;НАСТРОЙКИ!$D$5&amp;"]ОТЧЕТ'!$C$22"),0))</f>
        <v>2173.086094018624</v>
      </c>
      <c r="K10" s="26">
        <f ca="1">IF(НАСТРОЙКИ!$B$5&lt;&gt;"Да",0,IFERROR(INDIRECT("'["&amp;НАСТРОЙКИ!$D$5&amp;"]ОТЧЕТ'!$C$24"),0))</f>
        <v>3278.4292461447039</v>
      </c>
      <c r="L10" s="27">
        <f ca="1">IFERROR(K10/G10,0)</f>
        <v>7.7862459147542709E-2</v>
      </c>
      <c r="M10" s="26">
        <f ca="1">IF(НАСТРОЙКИ!$B$5&lt;&gt;"Да",0,IFERROR(INDIRECT("'["&amp;НАСТРОЙКИ!$D$5&amp;"]ОТЧЕТ'!$C$28"),0))</f>
        <v>2503.3531469403074</v>
      </c>
      <c r="N10" s="27" t="str">
        <f ca="1">IF(НАСТРОЙКИ!$B$5&lt;&gt;"Да",0,IFERROR(INDIRECT("'["&amp;НАСТРОЙКИ!$D$5&amp;"]ОТЧЕТ'!$C$29"),0))</f>
        <v>N/A</v>
      </c>
      <c r="O10" s="28">
        <f ca="1">IF(НАСТРОЙКИ!$B$5&lt;&gt;"Да",0,IFERROR(INDIRECT("'["&amp;НАСТРОЙКИ!$D$5&amp;"]ОТЧЕТ'!$C$30"),0))</f>
        <v>1.1039561121484791</v>
      </c>
      <c r="P10" s="26">
        <f ca="1">IF(НАСТРОЙКИ!$B$5&lt;&gt;"Да",0,IFERROR(INDIRECT("'["&amp;НАСТРОЙКИ!$D$5&amp;"]ОТЧЕТ'!$C$25"),0))</f>
        <v>1345.8299811734773</v>
      </c>
      <c r="Q10" s="26">
        <f ca="1">IF(НАСТРОЙКИ!$B$5&lt;&gt;"Да",0,IFERROR(INDIRECT("'["&amp;НАСТРОЙКИ!$D$5&amp;"]ОТЧЕТ'!$C$26"),0))</f>
        <v>30011.506226781967</v>
      </c>
      <c r="R10" s="19">
        <f ca="1">IF(НАСТРОЙКИ!$B$5&lt;&gt;"Да",0,IF(НАСТРОЙКИ!$B$15="Да",Q10,Q10+НАСТРОЙКИ!G5+НАСТРОЙКИ!H5+НАСТРОЙКИ!I5))</f>
        <v>30011.506226781967</v>
      </c>
      <c r="S10" s="26">
        <f ca="1">IF(НАСТРОЙКИ!$B$5&lt;&gt;"Да",0,IFERROR(INDIRECT("'["&amp;НАСТРОЙКИ!$D$5&amp;"]Ставки'!$B$9"),0))</f>
        <v>30011.506226781959</v>
      </c>
      <c r="T10" s="26">
        <f ca="1">IF(НАСТРОЙКИ!$B$5&lt;&gt;"Да",0,IFERROR(INDIRECT("'["&amp;НАСТРОЙКИ!$D$5&amp;"]Ставки'!$B$10"),0))</f>
        <v>31556.602919490666</v>
      </c>
      <c r="V10" s="45" t="str">
        <f>B10</f>
        <v>Очередь 1</v>
      </c>
      <c r="W10" s="46">
        <f t="shared" ref="W10:X13" ca="1" si="0">G10</f>
        <v>42105.390480056129</v>
      </c>
      <c r="X10" s="46">
        <f t="shared" ca="1" si="0"/>
        <v>38826.961233911425</v>
      </c>
      <c r="Y10" s="46">
        <f ca="1">K10</f>
        <v>3278.4292461447039</v>
      </c>
    </row>
    <row r="11" spans="1:25">
      <c r="A11" s="24" t="str">
        <f>НАСТРОЙКИ!B6</f>
        <v>Да</v>
      </c>
      <c r="B11" s="24" t="str">
        <f>НАСТРОЙКИ!C6</f>
        <v>Очередь 2</v>
      </c>
      <c r="C11" s="24" t="str">
        <f>НАСТРОЙКИ!D6</f>
        <v>Plato_M-2.xlsx</v>
      </c>
      <c r="D11" s="25">
        <f ca="1">IF(НАСТРОЙКИ!$B$6&lt;&gt;"Да",0,IFERROR(INDIRECT("'["&amp;НАСТРОЙКИ!$D$6&amp;"]Вводные'!$G$7"),0))</f>
        <v>47119</v>
      </c>
      <c r="E11" s="25">
        <f ca="1">IF(НАСТРОЙКИ!$B$6&lt;&gt;"Да",0,IFERROR(INDIRECT("'["&amp;НАСТРОЙКИ!$D$6&amp;"]Вводные'!$G$8"),0))</f>
        <v>47300</v>
      </c>
      <c r="F11" s="25">
        <f ca="1">IF(НАСТРОЙКИ!$B$6&lt;&gt;"Да",0,IFERROR(EDATE(INDIRECT("'["&amp;НАСТРОЙКИ!$D$6&amp;"]Вводные'!$G$8"),INDIRECT("'["&amp;НАСТРОЙКИ!$D$6&amp;"]Вводные'!$G$9")),0))</f>
        <v>48030</v>
      </c>
      <c r="G11" s="26">
        <f ca="1">IF(НАСТРОЙКИ!$B$6&lt;&gt;"Да",0,IFERROR(INDIRECT("'["&amp;НАСТРОЙКИ!$D$6&amp;"]ОТЧЕТ'!$C$4"),0))</f>
        <v>38215.077635192501</v>
      </c>
      <c r="H11" s="26">
        <f ca="1">IF(НАСТРОЙКИ!$B$6&lt;&gt;"Да",0,-IFERROR(INDIRECT("'["&amp;НАСТРОЙКИ!$D$6&amp;"]ОТЧЕТ'!$C$13"),0))</f>
        <v>33373.826592338148</v>
      </c>
      <c r="I11" s="26">
        <f ca="1">IF(НАСТРОЙКИ!$B$6&lt;&gt;"Да",0,IFERROR(INDIRECT("'["&amp;НАСТРОЙКИ!$D$6&amp;"]ОТЧЕТ'!$C$21"),0))</f>
        <v>8894.8323327461439</v>
      </c>
      <c r="J11" s="26">
        <f ca="1">IF(НАСТРОЙКИ!$B$6&lt;&gt;"Да",0,-IFERROR(INDIRECT("'["&amp;НАСТРОЙКИ!$D$6&amp;"]ОТЧЕТ'!$C$22"),0))</f>
        <v>1829.8732067052511</v>
      </c>
      <c r="K11" s="26">
        <f ca="1">IF(НАСТРОЙКИ!$B$6&lt;&gt;"Да",0,IFERROR(INDIRECT("'["&amp;НАСТРОЙКИ!$D$6&amp;"]ОТЧЕТ'!$C$24"),0))</f>
        <v>4841.2510428543537</v>
      </c>
      <c r="L11" s="27">
        <f ca="1">IFERROR(K11/G11,0)</f>
        <v>0.12668431787761214</v>
      </c>
      <c r="M11" s="26">
        <f ca="1">IF(НАСТРОЙКИ!$B$6&lt;&gt;"Да",0,IFERROR(INDIRECT("'["&amp;НАСТРОЙКИ!$D$6&amp;"]ОТЧЕТ'!$C$28"),0))</f>
        <v>1635.7836632362655</v>
      </c>
      <c r="N11" s="27" t="str">
        <f ca="1">IF(НАСТРОЙКИ!$B$6&lt;&gt;"Да",0,IFERROR(INDIRECT("'["&amp;НАСТРОЙКИ!$D$6&amp;"]ОТЧЕТ'!$C$29"),0))</f>
        <v>N/A</v>
      </c>
      <c r="O11" s="28">
        <f ca="1">IF(НАСТРОЙКИ!$B$6&lt;&gt;"Да",0,IFERROR(INDIRECT("'["&amp;НАСТРОЙКИ!$D$6&amp;"]ОТЧЕТ'!$C$30"),0))</f>
        <v>1.1645185635148438</v>
      </c>
      <c r="P11" s="26">
        <f ca="1">IF(НАСТРОЙКИ!$B$6&lt;&gt;"Да",0,IFERROR(INDIRECT("'["&amp;НАСТРОЙКИ!$D$6&amp;"]ОТЧЕТ'!$C$25"),0))</f>
        <v>887.76041996527215</v>
      </c>
      <c r="Q11" s="26">
        <f ca="1">IF(НАСТРОЙКИ!$B$6&lt;&gt;"Да",0,IFERROR(INDIRECT("'["&amp;НАСТРОЙКИ!$D$6&amp;"]ОТЧЕТ'!$C$26"),0))</f>
        <v>27765.55495123427</v>
      </c>
      <c r="R11" s="19">
        <f ca="1">IF(НАСТРОЙКИ!$B$6&lt;&gt;"Да",0,IF(НАСТРОЙКИ!$B$15="Да",Q11,Q11+НАСТРОЙКИ!G6+НАСТРОЙКИ!H6+НАСТРОЙКИ!I6))</f>
        <v>27765.55495123427</v>
      </c>
      <c r="S11" s="26">
        <f ca="1">IF(НАСТРОЙКИ!$B$6&lt;&gt;"Да",0,IFERROR(INDIRECT("'["&amp;НАСТРОЙКИ!$D$6&amp;"]Ставки'!$B$9"),0))</f>
        <v>27765.554951234266</v>
      </c>
      <c r="T11" s="26">
        <f ca="1">IF(НАСТРОЙКИ!$B$6&lt;&gt;"Да",0,IFERROR(INDIRECT("'["&amp;НАСТРОЙКИ!$D$6&amp;"]Ставки'!$B$10"),0))</f>
        <v>28610.95663121279</v>
      </c>
      <c r="V11" s="45" t="str">
        <f>B11</f>
        <v>Очередь 2</v>
      </c>
      <c r="W11" s="46">
        <f t="shared" ca="1" si="0"/>
        <v>38215.077635192501</v>
      </c>
      <c r="X11" s="46">
        <f t="shared" ca="1" si="0"/>
        <v>33373.826592338148</v>
      </c>
      <c r="Y11" s="46">
        <f ca="1">K11</f>
        <v>4841.2510428543537</v>
      </c>
    </row>
    <row r="12" spans="1:25">
      <c r="A12" s="24" t="str">
        <f>НАСТРОЙКИ!B7</f>
        <v>Да</v>
      </c>
      <c r="B12" s="24" t="str">
        <f>НАСТРОЙКИ!C7</f>
        <v>Очередь 3</v>
      </c>
      <c r="C12" s="24" t="str">
        <f>НАСТРОЙКИ!D7</f>
        <v>Plato_M-3.xlsx</v>
      </c>
      <c r="D12" s="25">
        <f ca="1">IF(НАСТРОЙКИ!$B$7&lt;&gt;"Да",0,IFERROR(INDIRECT("'["&amp;НАСТРОЙКИ!$D$7&amp;"]Вводные'!$G$7"),0))</f>
        <v>47484</v>
      </c>
      <c r="E12" s="25">
        <f ca="1">IF(НАСТРОЙКИ!$B$7&lt;&gt;"Да",0,IFERROR(INDIRECT("'["&amp;НАСТРОЙКИ!$D$7&amp;"]Вводные'!$G$8"),0))</f>
        <v>47665</v>
      </c>
      <c r="F12" s="25">
        <f ca="1">IF(НАСТРОЙКИ!$B$7&lt;&gt;"Да",0,IFERROR(EDATE(INDIRECT("'["&amp;НАСТРОЙКИ!$D$7&amp;"]Вводные'!$G$8"),INDIRECT("'["&amp;НАСТРОЙКИ!$D$7&amp;"]Вводные'!$G$9")),0))</f>
        <v>48396</v>
      </c>
      <c r="G12" s="26">
        <f ca="1">IF(НАСТРОЙКИ!$B$7&lt;&gt;"Да",0,IFERROR(INDIRECT("'["&amp;НАСТРОЙКИ!$D$7&amp;"]ОТЧЕТ'!$C$4"),0))</f>
        <v>33617.808930623258</v>
      </c>
      <c r="H12" s="26">
        <f ca="1">IF(НАСТРОЙКИ!$B$7&lt;&gt;"Да",0,-IFERROR(INDIRECT("'["&amp;НАСТРОЙКИ!$D$7&amp;"]ОТЧЕТ'!$C$13"),0))</f>
        <v>28505.401769444958</v>
      </c>
      <c r="I12" s="26">
        <f ca="1">IF(НАСТРОЙКИ!$B$7&lt;&gt;"Да",0,IFERROR(INDIRECT("'["&amp;НАСТРОЙКИ!$D$7&amp;"]ОТЧЕТ'!$C$21"),0))</f>
        <v>8948.206088814215</v>
      </c>
      <c r="J12" s="26">
        <f ca="1">IF(НАСТРОЙКИ!$B$7&lt;&gt;"Да",0,-IFERROR(INDIRECT("'["&amp;НАСТРОЙКИ!$D$7&amp;"]ОТЧЕТ'!$C$22"),0))</f>
        <v>1598.74740543236</v>
      </c>
      <c r="K12" s="26">
        <f ca="1">IF(НАСТРОЙКИ!$B$7&lt;&gt;"Да",0,IFERROR(INDIRECT("'["&amp;НАСТРОЙКИ!$D$7&amp;"]ОТЧЕТ'!$C$24"),0))</f>
        <v>5112.4071611783002</v>
      </c>
      <c r="L12" s="27">
        <f ca="1">IFERROR(K12/G12,0)</f>
        <v>0.15207437140620095</v>
      </c>
      <c r="M12" s="26">
        <f ca="1">IF(НАСТРОЙКИ!$B$7&lt;&gt;"Да",0,IFERROR(INDIRECT("'["&amp;НАСТРОЙКИ!$D$7&amp;"]ОТЧЕТ'!$C$28"),0))</f>
        <v>1449.4477115962172</v>
      </c>
      <c r="N12" s="27" t="str">
        <f ca="1">IF(НАСТРОЙКИ!$B$7&lt;&gt;"Да",0,IFERROR(INDIRECT("'["&amp;НАСТРОЙКИ!$D$7&amp;"]ОТЧЕТ'!$C$29"),0))</f>
        <v>N/A</v>
      </c>
      <c r="O12" s="28">
        <f ca="1">IF(НАСТРОЙКИ!$B$7&lt;&gt;"Да",0,IFERROR(INDIRECT("'["&amp;НАСТРОЙКИ!$D$7&amp;"]ОТЧЕТ'!$C$30"),0))</f>
        <v>1.2019668882392736</v>
      </c>
      <c r="P12" s="26">
        <f ca="1">IF(НАСТРОЙКИ!$B$7&lt;&gt;"Да",0,IFERROR(INDIRECT("'["&amp;НАСТРОЙКИ!$D$7&amp;"]ОТЧЕТ'!$C$25"),0))</f>
        <v>846.52291598325246</v>
      </c>
      <c r="Q12" s="26">
        <f ca="1">IF(НАСТРОЙКИ!$B$7&lt;&gt;"Да",0,IFERROR(INDIRECT("'["&amp;НАСТРОЙКИ!$D$7&amp;"]ОТЧЕТ'!$C$26"),0))</f>
        <v>23843.815861235693</v>
      </c>
      <c r="R12" s="19">
        <f ca="1">IF(НАСТРОЙКИ!$B$7&lt;&gt;"Да",0,IF(НАСТРОЙКИ!$B$15="Да",Q12,Q12+НАСТРОЙКИ!G7+НАСТРОЙКИ!H7+НАСТРОЙКИ!I7))</f>
        <v>23843.815861235693</v>
      </c>
      <c r="S12" s="26">
        <f ca="1">IF(НАСТРОЙКИ!$B$7&lt;&gt;"Да",0,IFERROR(INDIRECT("'["&amp;НАСТРОЙКИ!$D$7&amp;"]Ставки'!$B$9"),0))</f>
        <v>23843.8158612357</v>
      </c>
      <c r="T12" s="26">
        <f ca="1">IF(НАСТРОЙКИ!$B$7&lt;&gt;"Да",0,IFERROR(INDIRECT("'["&amp;НАСТРОЙКИ!$D$7&amp;"]Ставки'!$B$10"),0))</f>
        <v>25190.38401670277</v>
      </c>
      <c r="V12" s="45" t="str">
        <f>B12</f>
        <v>Очередь 3</v>
      </c>
      <c r="W12" s="46">
        <f t="shared" ca="1" si="0"/>
        <v>33617.808930623258</v>
      </c>
      <c r="X12" s="46">
        <f t="shared" ca="1" si="0"/>
        <v>28505.401769444958</v>
      </c>
      <c r="Y12" s="46">
        <f ca="1">K12</f>
        <v>5112.4071611783002</v>
      </c>
    </row>
    <row r="13" spans="1:25">
      <c r="A13" s="24" t="str">
        <f>НАСТРОЙКИ!B8</f>
        <v>Нет</v>
      </c>
      <c r="B13" s="24" t="str">
        <f>НАСТРОЙКИ!C8</f>
        <v>Очередь 4</v>
      </c>
      <c r="C13" s="24">
        <f>НАСТРОЙКИ!D8</f>
        <v>0</v>
      </c>
      <c r="D13" s="25">
        <f ca="1">IF(НАСТРОЙКИ!$B$8&lt;&gt;"Да",0,IFERROR(INDIRECT("'["&amp;НАСТРОЙКИ!$D$8&amp;"]Вводные'!$G$7"),0))</f>
        <v>0</v>
      </c>
      <c r="E13" s="25">
        <f ca="1">IF(НАСТРОЙКИ!$B$8&lt;&gt;"Да",0,IFERROR(INDIRECT("'["&amp;НАСТРОЙКИ!$D$8&amp;"]Вводные'!$G$8"),0))</f>
        <v>0</v>
      </c>
      <c r="F13" s="25">
        <f ca="1">IF(НАСТРОЙКИ!$B$8&lt;&gt;"Да",0,IFERROR(EDATE(INDIRECT("'["&amp;НАСТРОЙКИ!$D$8&amp;"]Вводные'!$G$8"),INDIRECT("'["&amp;НАСТРОЙКИ!$D$8&amp;"]Вводные'!$G$9")),0))</f>
        <v>0</v>
      </c>
      <c r="G13" s="26">
        <f ca="1">IF(НАСТРОЙКИ!$B$8&lt;&gt;"Да",0,IFERROR(INDIRECT("'["&amp;НАСТРОЙКИ!$D$8&amp;"]ОТЧЕТ'!$C$4"),0))</f>
        <v>0</v>
      </c>
      <c r="H13" s="26">
        <f ca="1">IF(НАСТРОЙКИ!$B$8&lt;&gt;"Да",0,-IFERROR(INDIRECT("'["&amp;НАСТРОЙКИ!$D$8&amp;"]ОТЧЕТ'!$C$13"),0))</f>
        <v>0</v>
      </c>
      <c r="I13" s="26">
        <f ca="1">IF(НАСТРОЙКИ!$B$8&lt;&gt;"Да",0,IFERROR(INDIRECT("'["&amp;НАСТРОЙКИ!$D$8&amp;"]ОТЧЕТ'!$C$21"),0))</f>
        <v>0</v>
      </c>
      <c r="J13" s="26">
        <f ca="1">IF(НАСТРОЙКИ!$B$8&lt;&gt;"Да",0,-IFERROR(INDIRECT("'["&amp;НАСТРОЙКИ!$D$8&amp;"]ОТЧЕТ'!$C$22"),0))</f>
        <v>0</v>
      </c>
      <c r="K13" s="26">
        <f ca="1">IF(НАСТРОЙКИ!$B$8&lt;&gt;"Да",0,IFERROR(INDIRECT("'["&amp;НАСТРОЙКИ!$D$8&amp;"]ОТЧЕТ'!$C$24"),0))</f>
        <v>0</v>
      </c>
      <c r="L13" s="27">
        <f ca="1">IFERROR(K13/G13,0)</f>
        <v>0</v>
      </c>
      <c r="M13" s="26">
        <f ca="1">IF(НАСТРОЙКИ!$B$8&lt;&gt;"Да",0,IFERROR(INDIRECT("'["&amp;НАСТРОЙКИ!$D$8&amp;"]ОТЧЕТ'!$C$28"),0))</f>
        <v>0</v>
      </c>
      <c r="N13" s="27">
        <f ca="1">IF(НАСТРОЙКИ!$B$8&lt;&gt;"Да",0,IFERROR(INDIRECT("'["&amp;НАСТРОЙКИ!$D$8&amp;"]ОТЧЕТ'!$C$29"),0))</f>
        <v>0</v>
      </c>
      <c r="O13" s="28">
        <f ca="1">IF(НАСТРОЙКИ!$B$8&lt;&gt;"Да",0,IFERROR(INDIRECT("'["&amp;НАСТРОЙКИ!$D$8&amp;"]ОТЧЕТ'!$C$30"),0))</f>
        <v>0</v>
      </c>
      <c r="P13" s="26">
        <f ca="1">IF(НАСТРОЙКИ!$B$8&lt;&gt;"Да",0,IFERROR(INDIRECT("'["&amp;НАСТРОЙКИ!$D$8&amp;"]ОТЧЕТ'!$C$25"),0))</f>
        <v>0</v>
      </c>
      <c r="Q13" s="26">
        <f ca="1">IF(НАСТРОЙКИ!$B$8&lt;&gt;"Да",0,IFERROR(INDIRECT("'["&amp;НАСТРОЙКИ!$D$8&amp;"]ОТЧЕТ'!$C$26"),0))</f>
        <v>0</v>
      </c>
      <c r="R13" s="19">
        <f>IF(НАСТРОЙКИ!$B$8&lt;&gt;"Да",0,IF(НАСТРОЙКИ!$B$15="Да",Q13,Q13+НАСТРОЙКИ!G8+НАСТРОЙКИ!H8+НАСТРОЙКИ!I8))</f>
        <v>0</v>
      </c>
      <c r="S13" s="26">
        <f ca="1">IF(НАСТРОЙКИ!$B$8&lt;&gt;"Да",0,IFERROR(INDIRECT("'["&amp;НАСТРОЙКИ!$D$8&amp;"]Ставки'!$B$9"),0))</f>
        <v>0</v>
      </c>
      <c r="T13" s="26">
        <f ca="1">IF(НАСТРОЙКИ!$B$8&lt;&gt;"Да",0,IFERROR(INDIRECT("'["&amp;НАСТРОЙКИ!$D$8&amp;"]Ставки'!$B$10"),0))</f>
        <v>0</v>
      </c>
      <c r="V13" s="45" t="str">
        <f>B13</f>
        <v>Очередь 4</v>
      </c>
      <c r="W13" s="46">
        <f t="shared" ca="1" si="0"/>
        <v>0</v>
      </c>
      <c r="X13" s="46">
        <f t="shared" ca="1" si="0"/>
        <v>0</v>
      </c>
      <c r="Y13" s="46">
        <f ca="1">K13</f>
        <v>0</v>
      </c>
    </row>
    <row r="14" spans="1:25">
      <c r="A14" s="20"/>
      <c r="B14" s="20" t="s">
        <v>105</v>
      </c>
      <c r="C14" s="20"/>
      <c r="D14" s="20"/>
      <c r="E14" s="20"/>
      <c r="F14" s="20"/>
      <c r="G14" s="22">
        <f ca="1">SUM(G10:G13)</f>
        <v>113938.27704587189</v>
      </c>
      <c r="H14" s="22">
        <f ca="1">SUM(H10:H13)</f>
        <v>100706.18959569454</v>
      </c>
      <c r="I14" s="22">
        <f ca="1">SUM(I10:I13)</f>
        <v>26065.534780421021</v>
      </c>
      <c r="J14" s="22">
        <f ca="1">SUM(J10:J13)</f>
        <v>5601.7067061562348</v>
      </c>
      <c r="K14" s="22">
        <f ca="1">SUM(K10:K13)</f>
        <v>13232.087450177358</v>
      </c>
      <c r="L14" s="21">
        <f ca="1">IFERROR(K14/G14,0)</f>
        <v>0.11613382081291329</v>
      </c>
      <c r="M14" s="22">
        <f ca="1">SUM(M10:M13)</f>
        <v>5588.5845217727901</v>
      </c>
      <c r="N14" s="21">
        <f ca="1">'ПО МЕСЯЦАМ'!B18</f>
        <v>0</v>
      </c>
      <c r="O14" s="29">
        <f ca="1">MIN(O10:O13)</f>
        <v>0</v>
      </c>
      <c r="P14" s="22">
        <f ca="1">SUM(P10:P13)</f>
        <v>3080.1133171220017</v>
      </c>
      <c r="Q14" s="22">
        <f ca="1">SUM(Q10:Q13)</f>
        <v>81620.877039251936</v>
      </c>
      <c r="R14" s="22">
        <f ca="1">SUM(R10:R13)</f>
        <v>81620.877039251936</v>
      </c>
      <c r="S14" s="22">
        <f ca="1">'ПО МЕСЯЦАМ'!B13</f>
        <v>43581.872425791065</v>
      </c>
      <c r="T14" s="22">
        <f ca="1">'ПО МЕСЯЦАМ'!B11</f>
        <v>50989.543355250316</v>
      </c>
      <c r="V14" s="45" t="s">
        <v>106</v>
      </c>
      <c r="W14" s="46">
        <f ca="1">SUM(W10:W13)</f>
        <v>113938.27704587189</v>
      </c>
      <c r="X14" s="46">
        <f ca="1">SUM(X10:X13)</f>
        <v>100706.18959569454</v>
      </c>
      <c r="Y14" s="46">
        <f ca="1">SUM(Y10:Y13)</f>
        <v>13232.087450177358</v>
      </c>
    </row>
    <row r="15" spans="1:25">
      <c r="V15" s="45"/>
      <c r="W15" s="46"/>
      <c r="X15" s="46"/>
      <c r="Y15" s="46"/>
    </row>
    <row r="16" spans="1:25">
      <c r="A16" s="80" t="s">
        <v>107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V16" s="45"/>
      <c r="W16" s="46"/>
      <c r="X16" s="46"/>
      <c r="Y16" s="46"/>
    </row>
    <row r="17" spans="22:25">
      <c r="V17" s="45" t="s">
        <v>30</v>
      </c>
      <c r="W17" s="46" t="s">
        <v>108</v>
      </c>
      <c r="X17" s="46" t="s">
        <v>109</v>
      </c>
      <c r="Y17" s="46" t="s">
        <v>110</v>
      </c>
    </row>
    <row r="18" spans="22:25">
      <c r="V18" s="45" t="str">
        <f>B10</f>
        <v>Очередь 1</v>
      </c>
      <c r="W18" s="46">
        <f t="shared" ref="W18:Y21" ca="1" si="1">Q10</f>
        <v>30011.506226781967</v>
      </c>
      <c r="X18" s="46">
        <f t="shared" ca="1" si="1"/>
        <v>30011.506226781967</v>
      </c>
      <c r="Y18" s="46">
        <f t="shared" ca="1" si="1"/>
        <v>30011.506226781959</v>
      </c>
    </row>
    <row r="19" spans="22:25">
      <c r="V19" s="45" t="str">
        <f>B11</f>
        <v>Очередь 2</v>
      </c>
      <c r="W19" s="46">
        <f t="shared" ca="1" si="1"/>
        <v>27765.55495123427</v>
      </c>
      <c r="X19" s="46">
        <f t="shared" ca="1" si="1"/>
        <v>27765.55495123427</v>
      </c>
      <c r="Y19" s="46">
        <f t="shared" ca="1" si="1"/>
        <v>27765.554951234266</v>
      </c>
    </row>
    <row r="20" spans="22:25">
      <c r="V20" s="45" t="str">
        <f>B12</f>
        <v>Очередь 3</v>
      </c>
      <c r="W20" s="46">
        <f t="shared" ca="1" si="1"/>
        <v>23843.815861235693</v>
      </c>
      <c r="X20" s="46">
        <f t="shared" ca="1" si="1"/>
        <v>23843.815861235693</v>
      </c>
      <c r="Y20" s="46">
        <f t="shared" ca="1" si="1"/>
        <v>23843.8158612357</v>
      </c>
    </row>
    <row r="21" spans="22:25">
      <c r="V21" s="45" t="str">
        <f>B13</f>
        <v>Очередь 4</v>
      </c>
      <c r="W21" s="46">
        <f t="shared" ca="1" si="1"/>
        <v>0</v>
      </c>
      <c r="X21" s="46">
        <f t="shared" si="1"/>
        <v>0</v>
      </c>
      <c r="Y21" s="46">
        <f t="shared" ca="1" si="1"/>
        <v>0</v>
      </c>
    </row>
    <row r="22" spans="22:25">
      <c r="V22" s="45" t="s">
        <v>106</v>
      </c>
      <c r="W22" s="46">
        <f ca="1">SUM(W18:W21)</f>
        <v>81620.877039251936</v>
      </c>
      <c r="X22" s="46">
        <f ca="1">SUM(X18:X21)</f>
        <v>81620.877039251936</v>
      </c>
      <c r="Y22" s="46">
        <f ca="1">MAX(Y18:Y21)</f>
        <v>30011.506226781959</v>
      </c>
    </row>
  </sheetData>
  <mergeCells count="22">
    <mergeCell ref="A1:T1"/>
    <mergeCell ref="A3:B3"/>
    <mergeCell ref="A4:B5"/>
    <mergeCell ref="C3:D3"/>
    <mergeCell ref="C4:D5"/>
    <mergeCell ref="E3:F3"/>
    <mergeCell ref="E4:F5"/>
    <mergeCell ref="G3:H3"/>
    <mergeCell ref="G4:H5"/>
    <mergeCell ref="I3:J3"/>
    <mergeCell ref="I4:J5"/>
    <mergeCell ref="K3:L3"/>
    <mergeCell ref="K4:L5"/>
    <mergeCell ref="M3:N3"/>
    <mergeCell ref="M4:N5"/>
    <mergeCell ref="O3:P3"/>
    <mergeCell ref="A16:T16"/>
    <mergeCell ref="O4:P5"/>
    <mergeCell ref="Q3:R3"/>
    <mergeCell ref="Q4:R5"/>
    <mergeCell ref="S3:T3"/>
    <mergeCell ref="S4:T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05"/>
  <sheetViews>
    <sheetView showGridLines="0" tabSelected="1" topLeftCell="A61" workbookViewId="0">
      <selection sqref="A1:H1"/>
    </sheetView>
  </sheetViews>
  <sheetFormatPr defaultRowHeight="13.8"/>
  <cols>
    <col min="1" max="1" width="34" customWidth="1"/>
    <col min="2" max="2" width="13" customWidth="1"/>
    <col min="3" max="110" width="10" customWidth="1"/>
  </cols>
  <sheetData>
    <row r="1" spans="1:110" ht="34.049999999999997" customHeight="1">
      <c r="A1" s="85" t="s">
        <v>111</v>
      </c>
      <c r="B1" s="85"/>
      <c r="C1" s="85"/>
      <c r="D1" s="85"/>
      <c r="E1" s="85"/>
      <c r="F1" s="85"/>
      <c r="G1" s="85"/>
      <c r="H1" s="8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4" spans="1:110">
      <c r="A4" s="3" t="s">
        <v>112</v>
      </c>
      <c r="B4" s="3" t="s">
        <v>50</v>
      </c>
    </row>
    <row r="5" spans="1:110">
      <c r="A5" s="4" t="s">
        <v>113</v>
      </c>
      <c r="B5" s="75">
        <f ca="1">IF(SUM(C24:DF24)&lt;&gt;0,SUM(C24:DF24),КЭШ_СВОД!B2)</f>
        <v>113938.27704587189</v>
      </c>
    </row>
    <row r="6" spans="1:110">
      <c r="A6" s="4" t="s">
        <v>114</v>
      </c>
      <c r="B6" s="75">
        <f ca="1">IF(-SUM(C25:DF27)&lt;&gt;0,-SUM(C25:DF27),КЭШ_СВОД!B3)</f>
        <v>101111.00522516915</v>
      </c>
    </row>
    <row r="7" spans="1:110">
      <c r="A7" s="4" t="s">
        <v>115</v>
      </c>
      <c r="B7" s="75">
        <f ca="1">IF(SUM(C28:DF28)&lt;&gt;0,SUM(C28:DF28),КЭШ_СВОД!B4)</f>
        <v>7153.2849965058176</v>
      </c>
    </row>
    <row r="8" spans="1:110">
      <c r="A8" s="4" t="s">
        <v>116</v>
      </c>
      <c r="B8" s="75">
        <f ca="1">IF(SUM(C29:DF29)&lt;&gt;0,SUM(C29:DF29),КЭШ_СВОД!B5)</f>
        <v>3203.825829068061</v>
      </c>
    </row>
    <row r="9" spans="1:110">
      <c r="A9" s="4" t="s">
        <v>117</v>
      </c>
      <c r="B9" s="75">
        <f ca="1">IF(SUM(C30:DF30)&lt;&gt;0,SUM(C30:DF30),КЭШ_СВОД!B6)</f>
        <v>82066.814788633434</v>
      </c>
    </row>
    <row r="10" spans="1:110">
      <c r="A10" s="4" t="s">
        <v>118</v>
      </c>
      <c r="B10" s="41">
        <f ca="1">-SUM(C31:DF31)</f>
        <v>84700.990356373921</v>
      </c>
    </row>
    <row r="11" spans="1:110">
      <c r="A11" s="4" t="s">
        <v>101</v>
      </c>
      <c r="B11" s="41">
        <f ca="1">MAX(C34:DF34)</f>
        <v>50989.543355250316</v>
      </c>
    </row>
    <row r="12" spans="1:110">
      <c r="A12" s="4" t="s">
        <v>119</v>
      </c>
      <c r="B12" s="41">
        <f ca="1">MAX(C35:DF35)</f>
        <v>530.37640036560651</v>
      </c>
    </row>
    <row r="13" spans="1:110">
      <c r="A13" s="4" t="s">
        <v>85</v>
      </c>
      <c r="B13" s="41">
        <f ca="1">MAX(C36:DF36)</f>
        <v>43581.872425791065</v>
      </c>
    </row>
    <row r="14" spans="1:110">
      <c r="A14" s="4" t="s">
        <v>120</v>
      </c>
      <c r="B14" s="42">
        <f ca="1">IFERROR(MINIFS(C38:DF38,C36:DF36,"&gt;0"),0)</f>
        <v>0</v>
      </c>
    </row>
    <row r="15" spans="1:110">
      <c r="A15" s="4" t="s">
        <v>121</v>
      </c>
      <c r="B15" s="41">
        <f ca="1">DF33</f>
        <v>-84700.990356373921</v>
      </c>
    </row>
    <row r="16" spans="1:110">
      <c r="A16" s="4" t="s">
        <v>122</v>
      </c>
      <c r="B16" s="41">
        <f ca="1">MAX(C37:DF37)</f>
        <v>43759.525734942043</v>
      </c>
    </row>
    <row r="17" spans="1:110">
      <c r="A17" s="4" t="s">
        <v>87</v>
      </c>
      <c r="B17" s="41">
        <f ca="1">SUMPRODUCT(C28:DF28,C40:DF40)</f>
        <v>0</v>
      </c>
    </row>
    <row r="18" spans="1:110">
      <c r="A18" s="4" t="s">
        <v>88</v>
      </c>
      <c r="B18" s="43">
        <f ca="1">IFERROR((1+IRR(C28:DF28))^12-1,0)</f>
        <v>0</v>
      </c>
    </row>
    <row r="22" spans="1:110">
      <c r="C22" s="31">
        <f>НАСТРОЙКИ!B25</f>
        <v>46388</v>
      </c>
      <c r="D22" s="31">
        <f t="shared" ref="D22:AI22" si="0">EDATE(C22,1)</f>
        <v>46419</v>
      </c>
      <c r="E22" s="31">
        <f t="shared" si="0"/>
        <v>46447</v>
      </c>
      <c r="F22" s="31">
        <f t="shared" si="0"/>
        <v>46478</v>
      </c>
      <c r="G22" s="31">
        <f t="shared" si="0"/>
        <v>46508</v>
      </c>
      <c r="H22" s="31">
        <f t="shared" si="0"/>
        <v>46539</v>
      </c>
      <c r="I22" s="31">
        <f t="shared" si="0"/>
        <v>46569</v>
      </c>
      <c r="J22" s="31">
        <f t="shared" si="0"/>
        <v>46600</v>
      </c>
      <c r="K22" s="31">
        <f t="shared" si="0"/>
        <v>46631</v>
      </c>
      <c r="L22" s="31">
        <f t="shared" si="0"/>
        <v>46661</v>
      </c>
      <c r="M22" s="31">
        <f t="shared" si="0"/>
        <v>46692</v>
      </c>
      <c r="N22" s="31">
        <f t="shared" si="0"/>
        <v>46722</v>
      </c>
      <c r="O22" s="31">
        <f t="shared" si="0"/>
        <v>46753</v>
      </c>
      <c r="P22" s="31">
        <f t="shared" si="0"/>
        <v>46784</v>
      </c>
      <c r="Q22" s="31">
        <f t="shared" si="0"/>
        <v>46813</v>
      </c>
      <c r="R22" s="31">
        <f t="shared" si="0"/>
        <v>46844</v>
      </c>
      <c r="S22" s="31">
        <f t="shared" si="0"/>
        <v>46874</v>
      </c>
      <c r="T22" s="31">
        <f t="shared" si="0"/>
        <v>46905</v>
      </c>
      <c r="U22" s="31">
        <f t="shared" si="0"/>
        <v>46935</v>
      </c>
      <c r="V22" s="31">
        <f t="shared" si="0"/>
        <v>46966</v>
      </c>
      <c r="W22" s="31">
        <f t="shared" si="0"/>
        <v>46997</v>
      </c>
      <c r="X22" s="31">
        <f t="shared" si="0"/>
        <v>47027</v>
      </c>
      <c r="Y22" s="31">
        <f t="shared" si="0"/>
        <v>47058</v>
      </c>
      <c r="Z22" s="31">
        <f t="shared" si="0"/>
        <v>47088</v>
      </c>
      <c r="AA22" s="31">
        <f t="shared" si="0"/>
        <v>47119</v>
      </c>
      <c r="AB22" s="31">
        <f t="shared" si="0"/>
        <v>47150</v>
      </c>
      <c r="AC22" s="31">
        <f t="shared" si="0"/>
        <v>47178</v>
      </c>
      <c r="AD22" s="31">
        <f t="shared" si="0"/>
        <v>47209</v>
      </c>
      <c r="AE22" s="31">
        <f t="shared" si="0"/>
        <v>47239</v>
      </c>
      <c r="AF22" s="31">
        <f t="shared" si="0"/>
        <v>47270</v>
      </c>
      <c r="AG22" s="31">
        <f t="shared" si="0"/>
        <v>47300</v>
      </c>
      <c r="AH22" s="31">
        <f t="shared" si="0"/>
        <v>47331</v>
      </c>
      <c r="AI22" s="31">
        <f t="shared" si="0"/>
        <v>47362</v>
      </c>
      <c r="AJ22" s="31">
        <f t="shared" ref="AJ22:BO22" si="1">EDATE(AI22,1)</f>
        <v>47392</v>
      </c>
      <c r="AK22" s="31">
        <f t="shared" si="1"/>
        <v>47423</v>
      </c>
      <c r="AL22" s="31">
        <f t="shared" si="1"/>
        <v>47453</v>
      </c>
      <c r="AM22" s="31">
        <f t="shared" si="1"/>
        <v>47484</v>
      </c>
      <c r="AN22" s="31">
        <f t="shared" si="1"/>
        <v>47515</v>
      </c>
      <c r="AO22" s="31">
        <f t="shared" si="1"/>
        <v>47543</v>
      </c>
      <c r="AP22" s="31">
        <f t="shared" si="1"/>
        <v>47574</v>
      </c>
      <c r="AQ22" s="31">
        <f t="shared" si="1"/>
        <v>47604</v>
      </c>
      <c r="AR22" s="31">
        <f t="shared" si="1"/>
        <v>47635</v>
      </c>
      <c r="AS22" s="31">
        <f t="shared" si="1"/>
        <v>47665</v>
      </c>
      <c r="AT22" s="31">
        <f t="shared" si="1"/>
        <v>47696</v>
      </c>
      <c r="AU22" s="31">
        <f t="shared" si="1"/>
        <v>47727</v>
      </c>
      <c r="AV22" s="31">
        <f t="shared" si="1"/>
        <v>47757</v>
      </c>
      <c r="AW22" s="31">
        <f t="shared" si="1"/>
        <v>47788</v>
      </c>
      <c r="AX22" s="31">
        <f t="shared" si="1"/>
        <v>47818</v>
      </c>
      <c r="AY22" s="31">
        <f t="shared" si="1"/>
        <v>47849</v>
      </c>
      <c r="AZ22" s="31">
        <f t="shared" si="1"/>
        <v>47880</v>
      </c>
      <c r="BA22" s="31">
        <f t="shared" si="1"/>
        <v>47908</v>
      </c>
      <c r="BB22" s="31">
        <f t="shared" si="1"/>
        <v>47939</v>
      </c>
      <c r="BC22" s="31">
        <f t="shared" si="1"/>
        <v>47969</v>
      </c>
      <c r="BD22" s="31">
        <f t="shared" si="1"/>
        <v>48000</v>
      </c>
      <c r="BE22" s="31">
        <f t="shared" si="1"/>
        <v>48030</v>
      </c>
      <c r="BF22" s="31">
        <f t="shared" si="1"/>
        <v>48061</v>
      </c>
      <c r="BG22" s="31">
        <f t="shared" si="1"/>
        <v>48092</v>
      </c>
      <c r="BH22" s="31">
        <f t="shared" si="1"/>
        <v>48122</v>
      </c>
      <c r="BI22" s="31">
        <f t="shared" si="1"/>
        <v>48153</v>
      </c>
      <c r="BJ22" s="31">
        <f t="shared" si="1"/>
        <v>48183</v>
      </c>
      <c r="BK22" s="31">
        <f t="shared" si="1"/>
        <v>48214</v>
      </c>
      <c r="BL22" s="31">
        <f t="shared" si="1"/>
        <v>48245</v>
      </c>
      <c r="BM22" s="31">
        <f t="shared" si="1"/>
        <v>48274</v>
      </c>
      <c r="BN22" s="31">
        <f t="shared" si="1"/>
        <v>48305</v>
      </c>
      <c r="BO22" s="31">
        <f t="shared" si="1"/>
        <v>48335</v>
      </c>
      <c r="BP22" s="31">
        <f t="shared" ref="BP22:CU22" si="2">EDATE(BO22,1)</f>
        <v>48366</v>
      </c>
      <c r="BQ22" s="31">
        <f t="shared" si="2"/>
        <v>48396</v>
      </c>
      <c r="BR22" s="31">
        <f t="shared" si="2"/>
        <v>48427</v>
      </c>
      <c r="BS22" s="31">
        <f t="shared" si="2"/>
        <v>48458</v>
      </c>
      <c r="BT22" s="31">
        <f t="shared" si="2"/>
        <v>48488</v>
      </c>
      <c r="BU22" s="31">
        <f t="shared" si="2"/>
        <v>48519</v>
      </c>
      <c r="BV22" s="31">
        <f t="shared" si="2"/>
        <v>48549</v>
      </c>
      <c r="BW22" s="31">
        <f t="shared" si="2"/>
        <v>48580</v>
      </c>
      <c r="BX22" s="31">
        <f t="shared" si="2"/>
        <v>48611</v>
      </c>
      <c r="BY22" s="31">
        <f t="shared" si="2"/>
        <v>48639</v>
      </c>
      <c r="BZ22" s="31">
        <f t="shared" si="2"/>
        <v>48670</v>
      </c>
      <c r="CA22" s="31">
        <f t="shared" si="2"/>
        <v>48700</v>
      </c>
      <c r="CB22" s="31">
        <f t="shared" si="2"/>
        <v>48731</v>
      </c>
      <c r="CC22" s="31">
        <f t="shared" si="2"/>
        <v>48761</v>
      </c>
      <c r="CD22" s="31">
        <f t="shared" si="2"/>
        <v>48792</v>
      </c>
      <c r="CE22" s="31">
        <f t="shared" si="2"/>
        <v>48823</v>
      </c>
      <c r="CF22" s="31">
        <f t="shared" si="2"/>
        <v>48853</v>
      </c>
      <c r="CG22" s="31">
        <f t="shared" si="2"/>
        <v>48884</v>
      </c>
      <c r="CH22" s="31">
        <f t="shared" si="2"/>
        <v>48914</v>
      </c>
      <c r="CI22" s="31">
        <f t="shared" si="2"/>
        <v>48945</v>
      </c>
      <c r="CJ22" s="31">
        <f t="shared" si="2"/>
        <v>48976</v>
      </c>
      <c r="CK22" s="31">
        <f t="shared" si="2"/>
        <v>49004</v>
      </c>
      <c r="CL22" s="31">
        <f t="shared" si="2"/>
        <v>49035</v>
      </c>
      <c r="CM22" s="31">
        <f t="shared" si="2"/>
        <v>49065</v>
      </c>
      <c r="CN22" s="31">
        <f t="shared" si="2"/>
        <v>49096</v>
      </c>
      <c r="CO22" s="31">
        <f t="shared" si="2"/>
        <v>49126</v>
      </c>
      <c r="CP22" s="31">
        <f t="shared" si="2"/>
        <v>49157</v>
      </c>
      <c r="CQ22" s="31">
        <f t="shared" si="2"/>
        <v>49188</v>
      </c>
      <c r="CR22" s="31">
        <f t="shared" si="2"/>
        <v>49218</v>
      </c>
      <c r="CS22" s="31">
        <f t="shared" si="2"/>
        <v>49249</v>
      </c>
      <c r="CT22" s="31">
        <f t="shared" si="2"/>
        <v>49279</v>
      </c>
      <c r="CU22" s="31">
        <f t="shared" si="2"/>
        <v>49310</v>
      </c>
      <c r="CV22" s="31">
        <f t="shared" ref="CV22:DF22" si="3">EDATE(CU22,1)</f>
        <v>49341</v>
      </c>
      <c r="CW22" s="31">
        <f t="shared" si="3"/>
        <v>49369</v>
      </c>
      <c r="CX22" s="31">
        <f t="shared" si="3"/>
        <v>49400</v>
      </c>
      <c r="CY22" s="31">
        <f t="shared" si="3"/>
        <v>49430</v>
      </c>
      <c r="CZ22" s="31">
        <f t="shared" si="3"/>
        <v>49461</v>
      </c>
      <c r="DA22" s="31">
        <f t="shared" si="3"/>
        <v>49491</v>
      </c>
      <c r="DB22" s="31">
        <f t="shared" si="3"/>
        <v>49522</v>
      </c>
      <c r="DC22" s="31">
        <f t="shared" si="3"/>
        <v>49553</v>
      </c>
      <c r="DD22" s="31">
        <f t="shared" si="3"/>
        <v>49583</v>
      </c>
      <c r="DE22" s="31">
        <f t="shared" si="3"/>
        <v>49614</v>
      </c>
      <c r="DF22" s="31">
        <f t="shared" si="3"/>
        <v>49644</v>
      </c>
    </row>
    <row r="23" spans="1:110">
      <c r="A23" s="3" t="s">
        <v>123</v>
      </c>
      <c r="B23" s="3" t="s">
        <v>51</v>
      </c>
    </row>
    <row r="24" spans="1:110">
      <c r="A24" s="4" t="s">
        <v>102</v>
      </c>
      <c r="B24" s="4" t="s">
        <v>58</v>
      </c>
      <c r="C24" s="36">
        <f t="shared" ref="C24:AH24" ca="1" si="4">C45+C61+C77+C93</f>
        <v>0</v>
      </c>
      <c r="D24" s="36">
        <f t="shared" ca="1" si="4"/>
        <v>0</v>
      </c>
      <c r="E24" s="36">
        <f t="shared" ca="1" si="4"/>
        <v>0</v>
      </c>
      <c r="F24" s="36">
        <f t="shared" ca="1" si="4"/>
        <v>0</v>
      </c>
      <c r="G24" s="36">
        <f t="shared" ca="1" si="4"/>
        <v>0</v>
      </c>
      <c r="H24" s="36">
        <f t="shared" ca="1" si="4"/>
        <v>0</v>
      </c>
      <c r="I24" s="36">
        <f t="shared" ca="1" si="4"/>
        <v>0</v>
      </c>
      <c r="J24" s="36">
        <f t="shared" ca="1" si="4"/>
        <v>0</v>
      </c>
      <c r="K24" s="36">
        <f t="shared" ca="1" si="4"/>
        <v>0</v>
      </c>
      <c r="L24" s="36">
        <f t="shared" ca="1" si="4"/>
        <v>0</v>
      </c>
      <c r="M24" s="36">
        <f t="shared" ca="1" si="4"/>
        <v>0</v>
      </c>
      <c r="N24" s="36">
        <f t="shared" ca="1" si="4"/>
        <v>0</v>
      </c>
      <c r="O24" s="36">
        <f t="shared" ca="1" si="4"/>
        <v>0</v>
      </c>
      <c r="P24" s="36">
        <f t="shared" ca="1" si="4"/>
        <v>0</v>
      </c>
      <c r="Q24" s="36">
        <f t="shared" ca="1" si="4"/>
        <v>0</v>
      </c>
      <c r="R24" s="36">
        <f t="shared" ca="1" si="4"/>
        <v>0</v>
      </c>
      <c r="S24" s="36">
        <f t="shared" ca="1" si="4"/>
        <v>0</v>
      </c>
      <c r="T24" s="36">
        <f t="shared" ca="1" si="4"/>
        <v>0</v>
      </c>
      <c r="U24" s="36">
        <f t="shared" ca="1" si="4"/>
        <v>0</v>
      </c>
      <c r="V24" s="36">
        <f t="shared" ca="1" si="4"/>
        <v>0</v>
      </c>
      <c r="W24" s="36">
        <f t="shared" ca="1" si="4"/>
        <v>0</v>
      </c>
      <c r="X24" s="36">
        <f t="shared" ca="1" si="4"/>
        <v>0</v>
      </c>
      <c r="Y24" s="36">
        <f t="shared" ca="1" si="4"/>
        <v>0</v>
      </c>
      <c r="Z24" s="36">
        <f t="shared" ca="1" si="4"/>
        <v>0</v>
      </c>
      <c r="AA24" s="36">
        <f t="shared" ca="1" si="4"/>
        <v>0</v>
      </c>
      <c r="AB24" s="36">
        <f t="shared" ca="1" si="4"/>
        <v>0</v>
      </c>
      <c r="AC24" s="36">
        <f t="shared" ca="1" si="4"/>
        <v>0</v>
      </c>
      <c r="AD24" s="36">
        <f t="shared" ca="1" si="4"/>
        <v>0</v>
      </c>
      <c r="AE24" s="36">
        <f t="shared" ca="1" si="4"/>
        <v>0</v>
      </c>
      <c r="AF24" s="36">
        <f t="shared" ca="1" si="4"/>
        <v>0</v>
      </c>
      <c r="AG24" s="36">
        <f t="shared" ca="1" si="4"/>
        <v>0</v>
      </c>
      <c r="AH24" s="36">
        <f t="shared" ca="1" si="4"/>
        <v>0</v>
      </c>
      <c r="AI24" s="36">
        <f t="shared" ref="AI24:BN24" ca="1" si="5">AI45+AI61+AI77+AI93</f>
        <v>0</v>
      </c>
      <c r="AJ24" s="36">
        <f t="shared" ca="1" si="5"/>
        <v>0</v>
      </c>
      <c r="AK24" s="36">
        <f t="shared" ca="1" si="5"/>
        <v>0</v>
      </c>
      <c r="AL24" s="36">
        <f t="shared" ca="1" si="5"/>
        <v>0</v>
      </c>
      <c r="AM24" s="36">
        <f t="shared" ca="1" si="5"/>
        <v>0</v>
      </c>
      <c r="AN24" s="36">
        <f t="shared" ca="1" si="5"/>
        <v>0</v>
      </c>
      <c r="AO24" s="36">
        <f t="shared" ca="1" si="5"/>
        <v>0</v>
      </c>
      <c r="AP24" s="36">
        <f t="shared" ca="1" si="5"/>
        <v>0</v>
      </c>
      <c r="AQ24" s="36">
        <f t="shared" ca="1" si="5"/>
        <v>0</v>
      </c>
      <c r="AR24" s="36">
        <f t="shared" ca="1" si="5"/>
        <v>0</v>
      </c>
      <c r="AS24" s="36">
        <f t="shared" ca="1" si="5"/>
        <v>0</v>
      </c>
      <c r="AT24" s="36">
        <f t="shared" ca="1" si="5"/>
        <v>0</v>
      </c>
      <c r="AU24" s="36">
        <f t="shared" ca="1" si="5"/>
        <v>0</v>
      </c>
      <c r="AV24" s="36">
        <f t="shared" ca="1" si="5"/>
        <v>0</v>
      </c>
      <c r="AW24" s="36">
        <f t="shared" ca="1" si="5"/>
        <v>0</v>
      </c>
      <c r="AX24" s="36">
        <f t="shared" ca="1" si="5"/>
        <v>0</v>
      </c>
      <c r="AY24" s="36">
        <f t="shared" ca="1" si="5"/>
        <v>0</v>
      </c>
      <c r="AZ24" s="36">
        <f t="shared" ca="1" si="5"/>
        <v>0</v>
      </c>
      <c r="BA24" s="36">
        <f t="shared" ca="1" si="5"/>
        <v>0</v>
      </c>
      <c r="BB24" s="36">
        <f t="shared" ca="1" si="5"/>
        <v>0</v>
      </c>
      <c r="BC24" s="36">
        <f t="shared" ca="1" si="5"/>
        <v>0</v>
      </c>
      <c r="BD24" s="36">
        <f t="shared" ca="1" si="5"/>
        <v>0</v>
      </c>
      <c r="BE24" s="36">
        <f t="shared" ca="1" si="5"/>
        <v>0</v>
      </c>
      <c r="BF24" s="36">
        <f t="shared" ca="1" si="5"/>
        <v>0</v>
      </c>
      <c r="BG24" s="36">
        <f t="shared" ca="1" si="5"/>
        <v>0</v>
      </c>
      <c r="BH24" s="36">
        <f t="shared" ca="1" si="5"/>
        <v>0</v>
      </c>
      <c r="BI24" s="36">
        <f t="shared" ca="1" si="5"/>
        <v>0</v>
      </c>
      <c r="BJ24" s="36">
        <f t="shared" ca="1" si="5"/>
        <v>0</v>
      </c>
      <c r="BK24" s="36">
        <f t="shared" ca="1" si="5"/>
        <v>0</v>
      </c>
      <c r="BL24" s="36">
        <f t="shared" ca="1" si="5"/>
        <v>0</v>
      </c>
      <c r="BM24" s="36">
        <f t="shared" ca="1" si="5"/>
        <v>0</v>
      </c>
      <c r="BN24" s="36">
        <f t="shared" ca="1" si="5"/>
        <v>0</v>
      </c>
      <c r="BO24" s="36">
        <f t="shared" ref="BO24:CT24" ca="1" si="6">BO45+BO61+BO77+BO93</f>
        <v>0</v>
      </c>
      <c r="BP24" s="36">
        <f t="shared" ca="1" si="6"/>
        <v>0</v>
      </c>
      <c r="BQ24" s="36">
        <f t="shared" ca="1" si="6"/>
        <v>0</v>
      </c>
      <c r="BR24" s="36">
        <f t="shared" ca="1" si="6"/>
        <v>0</v>
      </c>
      <c r="BS24" s="36">
        <f t="shared" ca="1" si="6"/>
        <v>0</v>
      </c>
      <c r="BT24" s="36">
        <f t="shared" ca="1" si="6"/>
        <v>0</v>
      </c>
      <c r="BU24" s="36">
        <f t="shared" ca="1" si="6"/>
        <v>0</v>
      </c>
      <c r="BV24" s="36">
        <f t="shared" ca="1" si="6"/>
        <v>0</v>
      </c>
      <c r="BW24" s="36">
        <f t="shared" ca="1" si="6"/>
        <v>0</v>
      </c>
      <c r="BX24" s="36">
        <f t="shared" ca="1" si="6"/>
        <v>0</v>
      </c>
      <c r="BY24" s="36">
        <f t="shared" ca="1" si="6"/>
        <v>0</v>
      </c>
      <c r="BZ24" s="36">
        <f t="shared" ca="1" si="6"/>
        <v>0</v>
      </c>
      <c r="CA24" s="36">
        <f t="shared" ca="1" si="6"/>
        <v>0</v>
      </c>
      <c r="CB24" s="36">
        <f t="shared" ca="1" si="6"/>
        <v>0</v>
      </c>
      <c r="CC24" s="36">
        <f t="shared" ca="1" si="6"/>
        <v>0</v>
      </c>
      <c r="CD24" s="36">
        <f t="shared" ca="1" si="6"/>
        <v>0</v>
      </c>
      <c r="CE24" s="36">
        <f t="shared" ca="1" si="6"/>
        <v>0</v>
      </c>
      <c r="CF24" s="36">
        <f t="shared" ca="1" si="6"/>
        <v>0</v>
      </c>
      <c r="CG24" s="36">
        <f t="shared" ca="1" si="6"/>
        <v>0</v>
      </c>
      <c r="CH24" s="36">
        <f t="shared" ca="1" si="6"/>
        <v>0</v>
      </c>
      <c r="CI24" s="36">
        <f t="shared" ca="1" si="6"/>
        <v>0</v>
      </c>
      <c r="CJ24" s="36">
        <f t="shared" ca="1" si="6"/>
        <v>0</v>
      </c>
      <c r="CK24" s="36">
        <f t="shared" ca="1" si="6"/>
        <v>0</v>
      </c>
      <c r="CL24" s="36">
        <f t="shared" ca="1" si="6"/>
        <v>0</v>
      </c>
      <c r="CM24" s="36">
        <f t="shared" ca="1" si="6"/>
        <v>0</v>
      </c>
      <c r="CN24" s="36">
        <f t="shared" ca="1" si="6"/>
        <v>0</v>
      </c>
      <c r="CO24" s="36">
        <f t="shared" ca="1" si="6"/>
        <v>0</v>
      </c>
      <c r="CP24" s="36">
        <f t="shared" ca="1" si="6"/>
        <v>0</v>
      </c>
      <c r="CQ24" s="36">
        <f t="shared" ca="1" si="6"/>
        <v>0</v>
      </c>
      <c r="CR24" s="36">
        <f t="shared" ca="1" si="6"/>
        <v>0</v>
      </c>
      <c r="CS24" s="36">
        <f t="shared" ca="1" si="6"/>
        <v>0</v>
      </c>
      <c r="CT24" s="36">
        <f t="shared" ca="1" si="6"/>
        <v>0</v>
      </c>
      <c r="CU24" s="36">
        <f t="shared" ref="CU24:DF24" ca="1" si="7">CU45+CU61+CU77+CU93</f>
        <v>0</v>
      </c>
      <c r="CV24" s="36">
        <f t="shared" ca="1" si="7"/>
        <v>0</v>
      </c>
      <c r="CW24" s="36">
        <f t="shared" ca="1" si="7"/>
        <v>0</v>
      </c>
      <c r="CX24" s="36">
        <f t="shared" ca="1" si="7"/>
        <v>0</v>
      </c>
      <c r="CY24" s="36">
        <f t="shared" ca="1" si="7"/>
        <v>0</v>
      </c>
      <c r="CZ24" s="36">
        <f t="shared" ca="1" si="7"/>
        <v>0</v>
      </c>
      <c r="DA24" s="36">
        <f t="shared" ca="1" si="7"/>
        <v>0</v>
      </c>
      <c r="DB24" s="36">
        <f t="shared" ca="1" si="7"/>
        <v>0</v>
      </c>
      <c r="DC24" s="36">
        <f t="shared" ca="1" si="7"/>
        <v>0</v>
      </c>
      <c r="DD24" s="36">
        <f t="shared" ca="1" si="7"/>
        <v>0</v>
      </c>
      <c r="DE24" s="36">
        <f t="shared" ca="1" si="7"/>
        <v>0</v>
      </c>
      <c r="DF24" s="36">
        <f t="shared" ca="1" si="7"/>
        <v>0</v>
      </c>
    </row>
    <row r="25" spans="1:110">
      <c r="A25" s="4" t="s">
        <v>124</v>
      </c>
      <c r="B25" s="4" t="s">
        <v>58</v>
      </c>
      <c r="C25" s="36">
        <f t="shared" ref="C25:AH25" ca="1" si="8">C46+C62+C78+C94</f>
        <v>0</v>
      </c>
      <c r="D25" s="36">
        <f t="shared" ca="1" si="8"/>
        <v>0</v>
      </c>
      <c r="E25" s="36">
        <f t="shared" ca="1" si="8"/>
        <v>0</v>
      </c>
      <c r="F25" s="36">
        <f t="shared" ca="1" si="8"/>
        <v>0</v>
      </c>
      <c r="G25" s="36">
        <f t="shared" ca="1" si="8"/>
        <v>0</v>
      </c>
      <c r="H25" s="36">
        <f t="shared" ca="1" si="8"/>
        <v>0</v>
      </c>
      <c r="I25" s="36">
        <f t="shared" ca="1" si="8"/>
        <v>0</v>
      </c>
      <c r="J25" s="36">
        <f t="shared" ca="1" si="8"/>
        <v>0</v>
      </c>
      <c r="K25" s="36">
        <f t="shared" ca="1" si="8"/>
        <v>0</v>
      </c>
      <c r="L25" s="36">
        <f t="shared" ca="1" si="8"/>
        <v>0</v>
      </c>
      <c r="M25" s="36">
        <f t="shared" ca="1" si="8"/>
        <v>0</v>
      </c>
      <c r="N25" s="36">
        <f t="shared" ca="1" si="8"/>
        <v>0</v>
      </c>
      <c r="O25" s="36">
        <f t="shared" ca="1" si="8"/>
        <v>0</v>
      </c>
      <c r="P25" s="36">
        <f t="shared" ca="1" si="8"/>
        <v>0</v>
      </c>
      <c r="Q25" s="36">
        <f t="shared" ca="1" si="8"/>
        <v>0</v>
      </c>
      <c r="R25" s="36">
        <f t="shared" ca="1" si="8"/>
        <v>0</v>
      </c>
      <c r="S25" s="36">
        <f t="shared" ca="1" si="8"/>
        <v>0</v>
      </c>
      <c r="T25" s="36">
        <f t="shared" ca="1" si="8"/>
        <v>0</v>
      </c>
      <c r="U25" s="36">
        <f t="shared" ca="1" si="8"/>
        <v>0</v>
      </c>
      <c r="V25" s="36">
        <f t="shared" ca="1" si="8"/>
        <v>0</v>
      </c>
      <c r="W25" s="36">
        <f t="shared" ca="1" si="8"/>
        <v>0</v>
      </c>
      <c r="X25" s="36">
        <f t="shared" ca="1" si="8"/>
        <v>0</v>
      </c>
      <c r="Y25" s="36">
        <f t="shared" ca="1" si="8"/>
        <v>0</v>
      </c>
      <c r="Z25" s="36">
        <f t="shared" ca="1" si="8"/>
        <v>0</v>
      </c>
      <c r="AA25" s="36">
        <f t="shared" ca="1" si="8"/>
        <v>0</v>
      </c>
      <c r="AB25" s="36">
        <f t="shared" ca="1" si="8"/>
        <v>0</v>
      </c>
      <c r="AC25" s="36">
        <f t="shared" ca="1" si="8"/>
        <v>0</v>
      </c>
      <c r="AD25" s="36">
        <f t="shared" ca="1" si="8"/>
        <v>0</v>
      </c>
      <c r="AE25" s="36">
        <f t="shared" ca="1" si="8"/>
        <v>0</v>
      </c>
      <c r="AF25" s="36">
        <f t="shared" ca="1" si="8"/>
        <v>0</v>
      </c>
      <c r="AG25" s="36">
        <f t="shared" ca="1" si="8"/>
        <v>0</v>
      </c>
      <c r="AH25" s="36">
        <f t="shared" ca="1" si="8"/>
        <v>0</v>
      </c>
      <c r="AI25" s="36">
        <f t="shared" ref="AI25:BN25" ca="1" si="9">AI46+AI62+AI78+AI94</f>
        <v>0</v>
      </c>
      <c r="AJ25" s="36">
        <f t="shared" ca="1" si="9"/>
        <v>0</v>
      </c>
      <c r="AK25" s="36">
        <f t="shared" ca="1" si="9"/>
        <v>0</v>
      </c>
      <c r="AL25" s="36">
        <f t="shared" ca="1" si="9"/>
        <v>0</v>
      </c>
      <c r="AM25" s="36">
        <f t="shared" ca="1" si="9"/>
        <v>0</v>
      </c>
      <c r="AN25" s="36">
        <f t="shared" ca="1" si="9"/>
        <v>0</v>
      </c>
      <c r="AO25" s="36">
        <f t="shared" ca="1" si="9"/>
        <v>0</v>
      </c>
      <c r="AP25" s="36">
        <f t="shared" ca="1" si="9"/>
        <v>0</v>
      </c>
      <c r="AQ25" s="36">
        <f t="shared" ca="1" si="9"/>
        <v>0</v>
      </c>
      <c r="AR25" s="36">
        <f t="shared" ca="1" si="9"/>
        <v>0</v>
      </c>
      <c r="AS25" s="36">
        <f t="shared" ca="1" si="9"/>
        <v>0</v>
      </c>
      <c r="AT25" s="36">
        <f t="shared" ca="1" si="9"/>
        <v>0</v>
      </c>
      <c r="AU25" s="36">
        <f t="shared" ca="1" si="9"/>
        <v>0</v>
      </c>
      <c r="AV25" s="36">
        <f t="shared" ca="1" si="9"/>
        <v>0</v>
      </c>
      <c r="AW25" s="36">
        <f t="shared" ca="1" si="9"/>
        <v>0</v>
      </c>
      <c r="AX25" s="36">
        <f t="shared" ca="1" si="9"/>
        <v>0</v>
      </c>
      <c r="AY25" s="36">
        <f t="shared" ca="1" si="9"/>
        <v>0</v>
      </c>
      <c r="AZ25" s="36">
        <f t="shared" ca="1" si="9"/>
        <v>0</v>
      </c>
      <c r="BA25" s="36">
        <f t="shared" ca="1" si="9"/>
        <v>0</v>
      </c>
      <c r="BB25" s="36">
        <f t="shared" ca="1" si="9"/>
        <v>0</v>
      </c>
      <c r="BC25" s="36">
        <f t="shared" ca="1" si="9"/>
        <v>0</v>
      </c>
      <c r="BD25" s="36">
        <f t="shared" ca="1" si="9"/>
        <v>0</v>
      </c>
      <c r="BE25" s="36">
        <f t="shared" ca="1" si="9"/>
        <v>0</v>
      </c>
      <c r="BF25" s="36">
        <f t="shared" ca="1" si="9"/>
        <v>0</v>
      </c>
      <c r="BG25" s="36">
        <f t="shared" ca="1" si="9"/>
        <v>0</v>
      </c>
      <c r="BH25" s="36">
        <f t="shared" ca="1" si="9"/>
        <v>0</v>
      </c>
      <c r="BI25" s="36">
        <f t="shared" ca="1" si="9"/>
        <v>0</v>
      </c>
      <c r="BJ25" s="36">
        <f t="shared" ca="1" si="9"/>
        <v>0</v>
      </c>
      <c r="BK25" s="36">
        <f t="shared" ca="1" si="9"/>
        <v>0</v>
      </c>
      <c r="BL25" s="36">
        <f t="shared" ca="1" si="9"/>
        <v>0</v>
      </c>
      <c r="BM25" s="36">
        <f t="shared" ca="1" si="9"/>
        <v>0</v>
      </c>
      <c r="BN25" s="36">
        <f t="shared" ca="1" si="9"/>
        <v>0</v>
      </c>
      <c r="BO25" s="36">
        <f t="shared" ref="BO25:CT25" ca="1" si="10">BO46+BO62+BO78+BO94</f>
        <v>0</v>
      </c>
      <c r="BP25" s="36">
        <f t="shared" ca="1" si="10"/>
        <v>0</v>
      </c>
      <c r="BQ25" s="36">
        <f t="shared" ca="1" si="10"/>
        <v>0</v>
      </c>
      <c r="BR25" s="36">
        <f t="shared" ca="1" si="10"/>
        <v>0</v>
      </c>
      <c r="BS25" s="36">
        <f t="shared" ca="1" si="10"/>
        <v>0</v>
      </c>
      <c r="BT25" s="36">
        <f t="shared" ca="1" si="10"/>
        <v>0</v>
      </c>
      <c r="BU25" s="36">
        <f t="shared" ca="1" si="10"/>
        <v>0</v>
      </c>
      <c r="BV25" s="36">
        <f t="shared" ca="1" si="10"/>
        <v>0</v>
      </c>
      <c r="BW25" s="36">
        <f t="shared" ca="1" si="10"/>
        <v>0</v>
      </c>
      <c r="BX25" s="36">
        <f t="shared" ca="1" si="10"/>
        <v>0</v>
      </c>
      <c r="BY25" s="36">
        <f t="shared" ca="1" si="10"/>
        <v>0</v>
      </c>
      <c r="BZ25" s="36">
        <f t="shared" ca="1" si="10"/>
        <v>0</v>
      </c>
      <c r="CA25" s="36">
        <f t="shared" ca="1" si="10"/>
        <v>0</v>
      </c>
      <c r="CB25" s="36">
        <f t="shared" ca="1" si="10"/>
        <v>0</v>
      </c>
      <c r="CC25" s="36">
        <f t="shared" ca="1" si="10"/>
        <v>0</v>
      </c>
      <c r="CD25" s="36">
        <f t="shared" ca="1" si="10"/>
        <v>0</v>
      </c>
      <c r="CE25" s="36">
        <f t="shared" ca="1" si="10"/>
        <v>0</v>
      </c>
      <c r="CF25" s="36">
        <f t="shared" ca="1" si="10"/>
        <v>0</v>
      </c>
      <c r="CG25" s="36">
        <f t="shared" ca="1" si="10"/>
        <v>0</v>
      </c>
      <c r="CH25" s="36">
        <f t="shared" ca="1" si="10"/>
        <v>0</v>
      </c>
      <c r="CI25" s="36">
        <f t="shared" ca="1" si="10"/>
        <v>0</v>
      </c>
      <c r="CJ25" s="36">
        <f t="shared" ca="1" si="10"/>
        <v>0</v>
      </c>
      <c r="CK25" s="36">
        <f t="shared" ca="1" si="10"/>
        <v>0</v>
      </c>
      <c r="CL25" s="36">
        <f t="shared" ca="1" si="10"/>
        <v>0</v>
      </c>
      <c r="CM25" s="36">
        <f t="shared" ca="1" si="10"/>
        <v>0</v>
      </c>
      <c r="CN25" s="36">
        <f t="shared" ca="1" si="10"/>
        <v>0</v>
      </c>
      <c r="CO25" s="36">
        <f t="shared" ca="1" si="10"/>
        <v>0</v>
      </c>
      <c r="CP25" s="36">
        <f t="shared" ca="1" si="10"/>
        <v>0</v>
      </c>
      <c r="CQ25" s="36">
        <f t="shared" ca="1" si="10"/>
        <v>0</v>
      </c>
      <c r="CR25" s="36">
        <f t="shared" ca="1" si="10"/>
        <v>0</v>
      </c>
      <c r="CS25" s="36">
        <f t="shared" ca="1" si="10"/>
        <v>0</v>
      </c>
      <c r="CT25" s="36">
        <f t="shared" ca="1" si="10"/>
        <v>0</v>
      </c>
      <c r="CU25" s="36">
        <f t="shared" ref="CU25:DF25" ca="1" si="11">CU46+CU62+CU78+CU94</f>
        <v>0</v>
      </c>
      <c r="CV25" s="36">
        <f t="shared" ca="1" si="11"/>
        <v>0</v>
      </c>
      <c r="CW25" s="36">
        <f t="shared" ca="1" si="11"/>
        <v>0</v>
      </c>
      <c r="CX25" s="36">
        <f t="shared" ca="1" si="11"/>
        <v>0</v>
      </c>
      <c r="CY25" s="36">
        <f t="shared" ca="1" si="11"/>
        <v>0</v>
      </c>
      <c r="CZ25" s="36">
        <f t="shared" ca="1" si="11"/>
        <v>0</v>
      </c>
      <c r="DA25" s="36">
        <f t="shared" ca="1" si="11"/>
        <v>0</v>
      </c>
      <c r="DB25" s="36">
        <f t="shared" ca="1" si="11"/>
        <v>0</v>
      </c>
      <c r="DC25" s="36">
        <f t="shared" ca="1" si="11"/>
        <v>0</v>
      </c>
      <c r="DD25" s="36">
        <f t="shared" ca="1" si="11"/>
        <v>0</v>
      </c>
      <c r="DE25" s="36">
        <f t="shared" ca="1" si="11"/>
        <v>0</v>
      </c>
      <c r="DF25" s="36">
        <f t="shared" ca="1" si="11"/>
        <v>0</v>
      </c>
    </row>
    <row r="26" spans="1:110">
      <c r="A26" s="4" t="s">
        <v>125</v>
      </c>
      <c r="B26" s="4" t="s">
        <v>58</v>
      </c>
      <c r="C26" s="36">
        <f t="shared" ref="C26:AH26" ca="1" si="12">C47+C63+C79+C95</f>
        <v>0</v>
      </c>
      <c r="D26" s="36">
        <f t="shared" ca="1" si="12"/>
        <v>0</v>
      </c>
      <c r="E26" s="36">
        <f t="shared" ca="1" si="12"/>
        <v>0</v>
      </c>
      <c r="F26" s="36">
        <f t="shared" ca="1" si="12"/>
        <v>0</v>
      </c>
      <c r="G26" s="36">
        <f t="shared" ca="1" si="12"/>
        <v>0</v>
      </c>
      <c r="H26" s="36">
        <f t="shared" ca="1" si="12"/>
        <v>0</v>
      </c>
      <c r="I26" s="36">
        <f t="shared" ca="1" si="12"/>
        <v>0</v>
      </c>
      <c r="J26" s="36">
        <f t="shared" ca="1" si="12"/>
        <v>0</v>
      </c>
      <c r="K26" s="36">
        <f t="shared" ca="1" si="12"/>
        <v>0</v>
      </c>
      <c r="L26" s="36">
        <f t="shared" ca="1" si="12"/>
        <v>0</v>
      </c>
      <c r="M26" s="36">
        <f t="shared" ca="1" si="12"/>
        <v>0</v>
      </c>
      <c r="N26" s="36">
        <f t="shared" ca="1" si="12"/>
        <v>0</v>
      </c>
      <c r="O26" s="36">
        <f t="shared" ca="1" si="12"/>
        <v>0</v>
      </c>
      <c r="P26" s="36">
        <f t="shared" ca="1" si="12"/>
        <v>0</v>
      </c>
      <c r="Q26" s="36">
        <f t="shared" ca="1" si="12"/>
        <v>0</v>
      </c>
      <c r="R26" s="36">
        <f t="shared" ca="1" si="12"/>
        <v>0</v>
      </c>
      <c r="S26" s="36">
        <f t="shared" ca="1" si="12"/>
        <v>0</v>
      </c>
      <c r="T26" s="36">
        <f t="shared" ca="1" si="12"/>
        <v>0</v>
      </c>
      <c r="U26" s="36">
        <f t="shared" ca="1" si="12"/>
        <v>0</v>
      </c>
      <c r="V26" s="36">
        <f t="shared" ca="1" si="12"/>
        <v>0</v>
      </c>
      <c r="W26" s="36">
        <f t="shared" ca="1" si="12"/>
        <v>0</v>
      </c>
      <c r="X26" s="36">
        <f t="shared" ca="1" si="12"/>
        <v>0</v>
      </c>
      <c r="Y26" s="36">
        <f t="shared" ca="1" si="12"/>
        <v>0</v>
      </c>
      <c r="Z26" s="36">
        <f t="shared" ca="1" si="12"/>
        <v>0</v>
      </c>
      <c r="AA26" s="36">
        <f t="shared" ca="1" si="12"/>
        <v>0</v>
      </c>
      <c r="AB26" s="36">
        <f t="shared" ca="1" si="12"/>
        <v>0</v>
      </c>
      <c r="AC26" s="36">
        <f t="shared" ca="1" si="12"/>
        <v>0</v>
      </c>
      <c r="AD26" s="36">
        <f t="shared" ca="1" si="12"/>
        <v>0</v>
      </c>
      <c r="AE26" s="36">
        <f t="shared" ca="1" si="12"/>
        <v>0</v>
      </c>
      <c r="AF26" s="36">
        <f t="shared" ca="1" si="12"/>
        <v>0</v>
      </c>
      <c r="AG26" s="36">
        <f t="shared" ca="1" si="12"/>
        <v>0</v>
      </c>
      <c r="AH26" s="36">
        <f t="shared" ca="1" si="12"/>
        <v>0</v>
      </c>
      <c r="AI26" s="36">
        <f t="shared" ref="AI26:BN26" ca="1" si="13">AI47+AI63+AI79+AI95</f>
        <v>0</v>
      </c>
      <c r="AJ26" s="36">
        <f t="shared" ca="1" si="13"/>
        <v>0</v>
      </c>
      <c r="AK26" s="36">
        <f t="shared" ca="1" si="13"/>
        <v>0</v>
      </c>
      <c r="AL26" s="36">
        <f t="shared" ca="1" si="13"/>
        <v>0</v>
      </c>
      <c r="AM26" s="36">
        <f t="shared" ca="1" si="13"/>
        <v>0</v>
      </c>
      <c r="AN26" s="36">
        <f t="shared" ca="1" si="13"/>
        <v>0</v>
      </c>
      <c r="AO26" s="36">
        <f t="shared" ca="1" si="13"/>
        <v>0</v>
      </c>
      <c r="AP26" s="36">
        <f t="shared" ca="1" si="13"/>
        <v>0</v>
      </c>
      <c r="AQ26" s="36">
        <f t="shared" ca="1" si="13"/>
        <v>0</v>
      </c>
      <c r="AR26" s="36">
        <f t="shared" ca="1" si="13"/>
        <v>0</v>
      </c>
      <c r="AS26" s="36">
        <f t="shared" ca="1" si="13"/>
        <v>0</v>
      </c>
      <c r="AT26" s="36">
        <f t="shared" ca="1" si="13"/>
        <v>0</v>
      </c>
      <c r="AU26" s="36">
        <f t="shared" ca="1" si="13"/>
        <v>0</v>
      </c>
      <c r="AV26" s="36">
        <f t="shared" ca="1" si="13"/>
        <v>0</v>
      </c>
      <c r="AW26" s="36">
        <f t="shared" ca="1" si="13"/>
        <v>0</v>
      </c>
      <c r="AX26" s="36">
        <f t="shared" ca="1" si="13"/>
        <v>0</v>
      </c>
      <c r="AY26" s="36">
        <f t="shared" ca="1" si="13"/>
        <v>0</v>
      </c>
      <c r="AZ26" s="36">
        <f t="shared" ca="1" si="13"/>
        <v>0</v>
      </c>
      <c r="BA26" s="36">
        <f t="shared" ca="1" si="13"/>
        <v>0</v>
      </c>
      <c r="BB26" s="36">
        <f t="shared" ca="1" si="13"/>
        <v>0</v>
      </c>
      <c r="BC26" s="36">
        <f t="shared" ca="1" si="13"/>
        <v>0</v>
      </c>
      <c r="BD26" s="36">
        <f t="shared" ca="1" si="13"/>
        <v>0</v>
      </c>
      <c r="BE26" s="36">
        <f t="shared" ca="1" si="13"/>
        <v>0</v>
      </c>
      <c r="BF26" s="36">
        <f t="shared" ca="1" si="13"/>
        <v>0</v>
      </c>
      <c r="BG26" s="36">
        <f t="shared" ca="1" si="13"/>
        <v>0</v>
      </c>
      <c r="BH26" s="36">
        <f t="shared" ca="1" si="13"/>
        <v>0</v>
      </c>
      <c r="BI26" s="36">
        <f t="shared" ca="1" si="13"/>
        <v>0</v>
      </c>
      <c r="BJ26" s="36">
        <f t="shared" ca="1" si="13"/>
        <v>0</v>
      </c>
      <c r="BK26" s="36">
        <f t="shared" ca="1" si="13"/>
        <v>0</v>
      </c>
      <c r="BL26" s="36">
        <f t="shared" ca="1" si="13"/>
        <v>0</v>
      </c>
      <c r="BM26" s="36">
        <f t="shared" ca="1" si="13"/>
        <v>0</v>
      </c>
      <c r="BN26" s="36">
        <f t="shared" ca="1" si="13"/>
        <v>0</v>
      </c>
      <c r="BO26" s="36">
        <f t="shared" ref="BO26:CT26" ca="1" si="14">BO47+BO63+BO79+BO95</f>
        <v>0</v>
      </c>
      <c r="BP26" s="36">
        <f t="shared" ca="1" si="14"/>
        <v>0</v>
      </c>
      <c r="BQ26" s="36">
        <f t="shared" ca="1" si="14"/>
        <v>0</v>
      </c>
      <c r="BR26" s="36">
        <f t="shared" ca="1" si="14"/>
        <v>0</v>
      </c>
      <c r="BS26" s="36">
        <f t="shared" ca="1" si="14"/>
        <v>0</v>
      </c>
      <c r="BT26" s="36">
        <f t="shared" ca="1" si="14"/>
        <v>0</v>
      </c>
      <c r="BU26" s="36">
        <f t="shared" ca="1" si="14"/>
        <v>0</v>
      </c>
      <c r="BV26" s="36">
        <f t="shared" ca="1" si="14"/>
        <v>0</v>
      </c>
      <c r="BW26" s="36">
        <f t="shared" ca="1" si="14"/>
        <v>0</v>
      </c>
      <c r="BX26" s="36">
        <f t="shared" ca="1" si="14"/>
        <v>0</v>
      </c>
      <c r="BY26" s="36">
        <f t="shared" ca="1" si="14"/>
        <v>0</v>
      </c>
      <c r="BZ26" s="36">
        <f t="shared" ca="1" si="14"/>
        <v>0</v>
      </c>
      <c r="CA26" s="36">
        <f t="shared" ca="1" si="14"/>
        <v>0</v>
      </c>
      <c r="CB26" s="36">
        <f t="shared" ca="1" si="14"/>
        <v>0</v>
      </c>
      <c r="CC26" s="36">
        <f t="shared" ca="1" si="14"/>
        <v>0</v>
      </c>
      <c r="CD26" s="36">
        <f t="shared" ca="1" si="14"/>
        <v>0</v>
      </c>
      <c r="CE26" s="36">
        <f t="shared" ca="1" si="14"/>
        <v>0</v>
      </c>
      <c r="CF26" s="36">
        <f t="shared" ca="1" si="14"/>
        <v>0</v>
      </c>
      <c r="CG26" s="36">
        <f t="shared" ca="1" si="14"/>
        <v>0</v>
      </c>
      <c r="CH26" s="36">
        <f t="shared" ca="1" si="14"/>
        <v>0</v>
      </c>
      <c r="CI26" s="36">
        <f t="shared" ca="1" si="14"/>
        <v>0</v>
      </c>
      <c r="CJ26" s="36">
        <f t="shared" ca="1" si="14"/>
        <v>0</v>
      </c>
      <c r="CK26" s="36">
        <f t="shared" ca="1" si="14"/>
        <v>0</v>
      </c>
      <c r="CL26" s="36">
        <f t="shared" ca="1" si="14"/>
        <v>0</v>
      </c>
      <c r="CM26" s="36">
        <f t="shared" ca="1" si="14"/>
        <v>0</v>
      </c>
      <c r="CN26" s="36">
        <f t="shared" ca="1" si="14"/>
        <v>0</v>
      </c>
      <c r="CO26" s="36">
        <f t="shared" ca="1" si="14"/>
        <v>0</v>
      </c>
      <c r="CP26" s="36">
        <f t="shared" ca="1" si="14"/>
        <v>0</v>
      </c>
      <c r="CQ26" s="36">
        <f t="shared" ca="1" si="14"/>
        <v>0</v>
      </c>
      <c r="CR26" s="36">
        <f t="shared" ca="1" si="14"/>
        <v>0</v>
      </c>
      <c r="CS26" s="36">
        <f t="shared" ca="1" si="14"/>
        <v>0</v>
      </c>
      <c r="CT26" s="36">
        <f t="shared" ca="1" si="14"/>
        <v>0</v>
      </c>
      <c r="CU26" s="36">
        <f t="shared" ref="CU26:DF26" ca="1" si="15">CU47+CU63+CU79+CU95</f>
        <v>0</v>
      </c>
      <c r="CV26" s="36">
        <f t="shared" ca="1" si="15"/>
        <v>0</v>
      </c>
      <c r="CW26" s="36">
        <f t="shared" ca="1" si="15"/>
        <v>0</v>
      </c>
      <c r="CX26" s="36">
        <f t="shared" ca="1" si="15"/>
        <v>0</v>
      </c>
      <c r="CY26" s="36">
        <f t="shared" ca="1" si="15"/>
        <v>0</v>
      </c>
      <c r="CZ26" s="36">
        <f t="shared" ca="1" si="15"/>
        <v>0</v>
      </c>
      <c r="DA26" s="36">
        <f t="shared" ca="1" si="15"/>
        <v>0</v>
      </c>
      <c r="DB26" s="36">
        <f t="shared" ca="1" si="15"/>
        <v>0</v>
      </c>
      <c r="DC26" s="36">
        <f t="shared" ca="1" si="15"/>
        <v>0</v>
      </c>
      <c r="DD26" s="36">
        <f t="shared" ca="1" si="15"/>
        <v>0</v>
      </c>
      <c r="DE26" s="36">
        <f t="shared" ca="1" si="15"/>
        <v>0</v>
      </c>
      <c r="DF26" s="36">
        <f t="shared" ca="1" si="15"/>
        <v>0</v>
      </c>
    </row>
    <row r="27" spans="1:110">
      <c r="A27" s="4" t="s">
        <v>126</v>
      </c>
      <c r="B27" s="4" t="s">
        <v>58</v>
      </c>
      <c r="C27" s="36">
        <f t="shared" ref="C27:AH27" ca="1" si="16">C48+C64+C80+C96</f>
        <v>0</v>
      </c>
      <c r="D27" s="36">
        <f t="shared" ca="1" si="16"/>
        <v>0</v>
      </c>
      <c r="E27" s="36">
        <f t="shared" ca="1" si="16"/>
        <v>0</v>
      </c>
      <c r="F27" s="36">
        <f t="shared" ca="1" si="16"/>
        <v>0</v>
      </c>
      <c r="G27" s="36">
        <f t="shared" ca="1" si="16"/>
        <v>0</v>
      </c>
      <c r="H27" s="36">
        <f t="shared" ca="1" si="16"/>
        <v>0</v>
      </c>
      <c r="I27" s="36">
        <f t="shared" ca="1" si="16"/>
        <v>0</v>
      </c>
      <c r="J27" s="36">
        <f t="shared" ca="1" si="16"/>
        <v>0</v>
      </c>
      <c r="K27" s="36">
        <f t="shared" ca="1" si="16"/>
        <v>0</v>
      </c>
      <c r="L27" s="36">
        <f t="shared" ca="1" si="16"/>
        <v>0</v>
      </c>
      <c r="M27" s="36">
        <f t="shared" ca="1" si="16"/>
        <v>0</v>
      </c>
      <c r="N27" s="36">
        <f t="shared" ca="1" si="16"/>
        <v>0</v>
      </c>
      <c r="O27" s="36">
        <f t="shared" ca="1" si="16"/>
        <v>0</v>
      </c>
      <c r="P27" s="36">
        <f t="shared" ca="1" si="16"/>
        <v>0</v>
      </c>
      <c r="Q27" s="36">
        <f t="shared" ca="1" si="16"/>
        <v>0</v>
      </c>
      <c r="R27" s="36">
        <f t="shared" ca="1" si="16"/>
        <v>0</v>
      </c>
      <c r="S27" s="36">
        <f t="shared" ca="1" si="16"/>
        <v>0</v>
      </c>
      <c r="T27" s="36">
        <f t="shared" ca="1" si="16"/>
        <v>0</v>
      </c>
      <c r="U27" s="36">
        <f t="shared" ca="1" si="16"/>
        <v>0</v>
      </c>
      <c r="V27" s="36">
        <f t="shared" ca="1" si="16"/>
        <v>0</v>
      </c>
      <c r="W27" s="36">
        <f t="shared" ca="1" si="16"/>
        <v>0</v>
      </c>
      <c r="X27" s="36">
        <f t="shared" ca="1" si="16"/>
        <v>0</v>
      </c>
      <c r="Y27" s="36">
        <f t="shared" ca="1" si="16"/>
        <v>0</v>
      </c>
      <c r="Z27" s="36">
        <f t="shared" ca="1" si="16"/>
        <v>0</v>
      </c>
      <c r="AA27" s="36">
        <f t="shared" ca="1" si="16"/>
        <v>0</v>
      </c>
      <c r="AB27" s="36">
        <f t="shared" ca="1" si="16"/>
        <v>0</v>
      </c>
      <c r="AC27" s="36">
        <f t="shared" ca="1" si="16"/>
        <v>0</v>
      </c>
      <c r="AD27" s="36">
        <f t="shared" ca="1" si="16"/>
        <v>0</v>
      </c>
      <c r="AE27" s="36">
        <f t="shared" ca="1" si="16"/>
        <v>0</v>
      </c>
      <c r="AF27" s="36">
        <f t="shared" ca="1" si="16"/>
        <v>0</v>
      </c>
      <c r="AG27" s="36">
        <f t="shared" ca="1" si="16"/>
        <v>0</v>
      </c>
      <c r="AH27" s="36">
        <f t="shared" ca="1" si="16"/>
        <v>0</v>
      </c>
      <c r="AI27" s="36">
        <f t="shared" ref="AI27:BN27" ca="1" si="17">AI48+AI64+AI80+AI96</f>
        <v>0</v>
      </c>
      <c r="AJ27" s="36">
        <f t="shared" ca="1" si="17"/>
        <v>0</v>
      </c>
      <c r="AK27" s="36">
        <f t="shared" ca="1" si="17"/>
        <v>0</v>
      </c>
      <c r="AL27" s="36">
        <f t="shared" ca="1" si="17"/>
        <v>0</v>
      </c>
      <c r="AM27" s="36">
        <f t="shared" ca="1" si="17"/>
        <v>0</v>
      </c>
      <c r="AN27" s="36">
        <f t="shared" ca="1" si="17"/>
        <v>0</v>
      </c>
      <c r="AO27" s="36">
        <f t="shared" ca="1" si="17"/>
        <v>0</v>
      </c>
      <c r="AP27" s="36">
        <f t="shared" ca="1" si="17"/>
        <v>0</v>
      </c>
      <c r="AQ27" s="36">
        <f t="shared" ca="1" si="17"/>
        <v>0</v>
      </c>
      <c r="AR27" s="36">
        <f t="shared" ca="1" si="17"/>
        <v>0</v>
      </c>
      <c r="AS27" s="36">
        <f t="shared" ca="1" si="17"/>
        <v>0</v>
      </c>
      <c r="AT27" s="36">
        <f t="shared" ca="1" si="17"/>
        <v>0</v>
      </c>
      <c r="AU27" s="36">
        <f t="shared" ca="1" si="17"/>
        <v>0</v>
      </c>
      <c r="AV27" s="36">
        <f t="shared" ca="1" si="17"/>
        <v>0</v>
      </c>
      <c r="AW27" s="36">
        <f t="shared" ca="1" si="17"/>
        <v>0</v>
      </c>
      <c r="AX27" s="36">
        <f t="shared" ca="1" si="17"/>
        <v>0</v>
      </c>
      <c r="AY27" s="36">
        <f t="shared" ca="1" si="17"/>
        <v>0</v>
      </c>
      <c r="AZ27" s="36">
        <f t="shared" ca="1" si="17"/>
        <v>0</v>
      </c>
      <c r="BA27" s="36">
        <f t="shared" ca="1" si="17"/>
        <v>0</v>
      </c>
      <c r="BB27" s="36">
        <f t="shared" ca="1" si="17"/>
        <v>0</v>
      </c>
      <c r="BC27" s="36">
        <f t="shared" ca="1" si="17"/>
        <v>0</v>
      </c>
      <c r="BD27" s="36">
        <f t="shared" ca="1" si="17"/>
        <v>0</v>
      </c>
      <c r="BE27" s="36">
        <f t="shared" ca="1" si="17"/>
        <v>0</v>
      </c>
      <c r="BF27" s="36">
        <f t="shared" ca="1" si="17"/>
        <v>0</v>
      </c>
      <c r="BG27" s="36">
        <f t="shared" ca="1" si="17"/>
        <v>0</v>
      </c>
      <c r="BH27" s="36">
        <f t="shared" ca="1" si="17"/>
        <v>0</v>
      </c>
      <c r="BI27" s="36">
        <f t="shared" ca="1" si="17"/>
        <v>0</v>
      </c>
      <c r="BJ27" s="36">
        <f t="shared" ca="1" si="17"/>
        <v>0</v>
      </c>
      <c r="BK27" s="36">
        <f t="shared" ca="1" si="17"/>
        <v>0</v>
      </c>
      <c r="BL27" s="36">
        <f t="shared" ca="1" si="17"/>
        <v>0</v>
      </c>
      <c r="BM27" s="36">
        <f t="shared" ca="1" si="17"/>
        <v>0</v>
      </c>
      <c r="BN27" s="36">
        <f t="shared" ca="1" si="17"/>
        <v>0</v>
      </c>
      <c r="BO27" s="36">
        <f t="shared" ref="BO27:CT27" ca="1" si="18">BO48+BO64+BO80+BO96</f>
        <v>0</v>
      </c>
      <c r="BP27" s="36">
        <f t="shared" ca="1" si="18"/>
        <v>0</v>
      </c>
      <c r="BQ27" s="36">
        <f t="shared" ca="1" si="18"/>
        <v>0</v>
      </c>
      <c r="BR27" s="36">
        <f t="shared" ca="1" si="18"/>
        <v>0</v>
      </c>
      <c r="BS27" s="36">
        <f t="shared" ca="1" si="18"/>
        <v>0</v>
      </c>
      <c r="BT27" s="36">
        <f t="shared" ca="1" si="18"/>
        <v>0</v>
      </c>
      <c r="BU27" s="36">
        <f t="shared" ca="1" si="18"/>
        <v>0</v>
      </c>
      <c r="BV27" s="36">
        <f t="shared" ca="1" si="18"/>
        <v>0</v>
      </c>
      <c r="BW27" s="36">
        <f t="shared" ca="1" si="18"/>
        <v>0</v>
      </c>
      <c r="BX27" s="36">
        <f t="shared" ca="1" si="18"/>
        <v>0</v>
      </c>
      <c r="BY27" s="36">
        <f t="shared" ca="1" si="18"/>
        <v>0</v>
      </c>
      <c r="BZ27" s="36">
        <f t="shared" ca="1" si="18"/>
        <v>0</v>
      </c>
      <c r="CA27" s="36">
        <f t="shared" ca="1" si="18"/>
        <v>0</v>
      </c>
      <c r="CB27" s="36">
        <f t="shared" ca="1" si="18"/>
        <v>0</v>
      </c>
      <c r="CC27" s="36">
        <f t="shared" ca="1" si="18"/>
        <v>0</v>
      </c>
      <c r="CD27" s="36">
        <f t="shared" ca="1" si="18"/>
        <v>0</v>
      </c>
      <c r="CE27" s="36">
        <f t="shared" ca="1" si="18"/>
        <v>0</v>
      </c>
      <c r="CF27" s="36">
        <f t="shared" ca="1" si="18"/>
        <v>0</v>
      </c>
      <c r="CG27" s="36">
        <f t="shared" ca="1" si="18"/>
        <v>0</v>
      </c>
      <c r="CH27" s="36">
        <f t="shared" ca="1" si="18"/>
        <v>0</v>
      </c>
      <c r="CI27" s="36">
        <f t="shared" ca="1" si="18"/>
        <v>0</v>
      </c>
      <c r="CJ27" s="36">
        <f t="shared" ca="1" si="18"/>
        <v>0</v>
      </c>
      <c r="CK27" s="36">
        <f t="shared" ca="1" si="18"/>
        <v>0</v>
      </c>
      <c r="CL27" s="36">
        <f t="shared" ca="1" si="18"/>
        <v>0</v>
      </c>
      <c r="CM27" s="36">
        <f t="shared" ca="1" si="18"/>
        <v>0</v>
      </c>
      <c r="CN27" s="36">
        <f t="shared" ca="1" si="18"/>
        <v>0</v>
      </c>
      <c r="CO27" s="36">
        <f t="shared" ca="1" si="18"/>
        <v>0</v>
      </c>
      <c r="CP27" s="36">
        <f t="shared" ca="1" si="18"/>
        <v>0</v>
      </c>
      <c r="CQ27" s="36">
        <f t="shared" ca="1" si="18"/>
        <v>0</v>
      </c>
      <c r="CR27" s="36">
        <f t="shared" ca="1" si="18"/>
        <v>0</v>
      </c>
      <c r="CS27" s="36">
        <f t="shared" ca="1" si="18"/>
        <v>0</v>
      </c>
      <c r="CT27" s="36">
        <f t="shared" ca="1" si="18"/>
        <v>0</v>
      </c>
      <c r="CU27" s="36">
        <f t="shared" ref="CU27:DF27" ca="1" si="19">CU48+CU64+CU80+CU96</f>
        <v>0</v>
      </c>
      <c r="CV27" s="36">
        <f t="shared" ca="1" si="19"/>
        <v>0</v>
      </c>
      <c r="CW27" s="36">
        <f t="shared" ca="1" si="19"/>
        <v>0</v>
      </c>
      <c r="CX27" s="36">
        <f t="shared" ca="1" si="19"/>
        <v>0</v>
      </c>
      <c r="CY27" s="36">
        <f t="shared" ca="1" si="19"/>
        <v>0</v>
      </c>
      <c r="CZ27" s="36">
        <f t="shared" ca="1" si="19"/>
        <v>0</v>
      </c>
      <c r="DA27" s="36">
        <f t="shared" ca="1" si="19"/>
        <v>0</v>
      </c>
      <c r="DB27" s="36">
        <f t="shared" ca="1" si="19"/>
        <v>0</v>
      </c>
      <c r="DC27" s="36">
        <f t="shared" ca="1" si="19"/>
        <v>0</v>
      </c>
      <c r="DD27" s="36">
        <f t="shared" ca="1" si="19"/>
        <v>0</v>
      </c>
      <c r="DE27" s="36">
        <f t="shared" ca="1" si="19"/>
        <v>0</v>
      </c>
      <c r="DF27" s="36">
        <f t="shared" ca="1" si="19"/>
        <v>0</v>
      </c>
    </row>
    <row r="28" spans="1:110">
      <c r="A28" s="32" t="s">
        <v>127</v>
      </c>
      <c r="B28" s="32" t="s">
        <v>58</v>
      </c>
      <c r="C28" s="37">
        <f t="shared" ref="C28:AH28" ca="1" si="20">C49+C65+C81+C97</f>
        <v>0</v>
      </c>
      <c r="D28" s="37">
        <f t="shared" ca="1" si="20"/>
        <v>0</v>
      </c>
      <c r="E28" s="37">
        <f t="shared" ca="1" si="20"/>
        <v>0</v>
      </c>
      <c r="F28" s="37">
        <f t="shared" ca="1" si="20"/>
        <v>0</v>
      </c>
      <c r="G28" s="37">
        <f t="shared" ca="1" si="20"/>
        <v>0</v>
      </c>
      <c r="H28" s="37">
        <f t="shared" ca="1" si="20"/>
        <v>0</v>
      </c>
      <c r="I28" s="37">
        <f t="shared" ca="1" si="20"/>
        <v>0</v>
      </c>
      <c r="J28" s="37">
        <f t="shared" ca="1" si="20"/>
        <v>0</v>
      </c>
      <c r="K28" s="37">
        <f t="shared" ca="1" si="20"/>
        <v>0</v>
      </c>
      <c r="L28" s="37">
        <f t="shared" ca="1" si="20"/>
        <v>0</v>
      </c>
      <c r="M28" s="37">
        <f t="shared" ca="1" si="20"/>
        <v>0</v>
      </c>
      <c r="N28" s="37">
        <f t="shared" ca="1" si="20"/>
        <v>0</v>
      </c>
      <c r="O28" s="37">
        <f t="shared" ca="1" si="20"/>
        <v>0</v>
      </c>
      <c r="P28" s="37">
        <f t="shared" ca="1" si="20"/>
        <v>0</v>
      </c>
      <c r="Q28" s="37">
        <f t="shared" ca="1" si="20"/>
        <v>0</v>
      </c>
      <c r="R28" s="37">
        <f t="shared" ca="1" si="20"/>
        <v>0</v>
      </c>
      <c r="S28" s="37">
        <f t="shared" ca="1" si="20"/>
        <v>0</v>
      </c>
      <c r="T28" s="37">
        <f t="shared" ca="1" si="20"/>
        <v>0</v>
      </c>
      <c r="U28" s="37">
        <f t="shared" ca="1" si="20"/>
        <v>0</v>
      </c>
      <c r="V28" s="37">
        <f t="shared" ca="1" si="20"/>
        <v>0</v>
      </c>
      <c r="W28" s="37">
        <f t="shared" ca="1" si="20"/>
        <v>0</v>
      </c>
      <c r="X28" s="37">
        <f t="shared" ca="1" si="20"/>
        <v>0</v>
      </c>
      <c r="Y28" s="37">
        <f t="shared" ca="1" si="20"/>
        <v>0</v>
      </c>
      <c r="Z28" s="37">
        <f t="shared" ca="1" si="20"/>
        <v>0</v>
      </c>
      <c r="AA28" s="37">
        <f t="shared" ca="1" si="20"/>
        <v>0</v>
      </c>
      <c r="AB28" s="37">
        <f t="shared" ca="1" si="20"/>
        <v>0</v>
      </c>
      <c r="AC28" s="37">
        <f t="shared" ca="1" si="20"/>
        <v>0</v>
      </c>
      <c r="AD28" s="37">
        <f t="shared" ca="1" si="20"/>
        <v>0</v>
      </c>
      <c r="AE28" s="37">
        <f t="shared" ca="1" si="20"/>
        <v>0</v>
      </c>
      <c r="AF28" s="37">
        <f t="shared" ca="1" si="20"/>
        <v>0</v>
      </c>
      <c r="AG28" s="37">
        <f t="shared" ca="1" si="20"/>
        <v>0</v>
      </c>
      <c r="AH28" s="37">
        <f t="shared" ca="1" si="20"/>
        <v>0</v>
      </c>
      <c r="AI28" s="37">
        <f t="shared" ref="AI28:BN28" ca="1" si="21">AI49+AI65+AI81+AI97</f>
        <v>0</v>
      </c>
      <c r="AJ28" s="37">
        <f t="shared" ca="1" si="21"/>
        <v>0</v>
      </c>
      <c r="AK28" s="37">
        <f t="shared" ca="1" si="21"/>
        <v>0</v>
      </c>
      <c r="AL28" s="37">
        <f t="shared" ca="1" si="21"/>
        <v>0</v>
      </c>
      <c r="AM28" s="37">
        <f t="shared" ca="1" si="21"/>
        <v>0</v>
      </c>
      <c r="AN28" s="37">
        <f t="shared" ca="1" si="21"/>
        <v>0</v>
      </c>
      <c r="AO28" s="37">
        <f t="shared" ca="1" si="21"/>
        <v>0</v>
      </c>
      <c r="AP28" s="37">
        <f t="shared" ca="1" si="21"/>
        <v>0</v>
      </c>
      <c r="AQ28" s="37">
        <f t="shared" ca="1" si="21"/>
        <v>0</v>
      </c>
      <c r="AR28" s="37">
        <f t="shared" ca="1" si="21"/>
        <v>0</v>
      </c>
      <c r="AS28" s="37">
        <f t="shared" ca="1" si="21"/>
        <v>0</v>
      </c>
      <c r="AT28" s="37">
        <f t="shared" ca="1" si="21"/>
        <v>0</v>
      </c>
      <c r="AU28" s="37">
        <f t="shared" ca="1" si="21"/>
        <v>0</v>
      </c>
      <c r="AV28" s="37">
        <f t="shared" ca="1" si="21"/>
        <v>0</v>
      </c>
      <c r="AW28" s="37">
        <f t="shared" ca="1" si="21"/>
        <v>0</v>
      </c>
      <c r="AX28" s="37">
        <f t="shared" ca="1" si="21"/>
        <v>0</v>
      </c>
      <c r="AY28" s="37">
        <f t="shared" ca="1" si="21"/>
        <v>0</v>
      </c>
      <c r="AZ28" s="37">
        <f t="shared" ca="1" si="21"/>
        <v>0</v>
      </c>
      <c r="BA28" s="37">
        <f t="shared" ca="1" si="21"/>
        <v>0</v>
      </c>
      <c r="BB28" s="37">
        <f t="shared" ca="1" si="21"/>
        <v>0</v>
      </c>
      <c r="BC28" s="37">
        <f t="shared" ca="1" si="21"/>
        <v>0</v>
      </c>
      <c r="BD28" s="37">
        <f t="shared" ca="1" si="21"/>
        <v>0</v>
      </c>
      <c r="BE28" s="37">
        <f t="shared" ca="1" si="21"/>
        <v>0</v>
      </c>
      <c r="BF28" s="37">
        <f t="shared" ca="1" si="21"/>
        <v>0</v>
      </c>
      <c r="BG28" s="37">
        <f t="shared" ca="1" si="21"/>
        <v>0</v>
      </c>
      <c r="BH28" s="37">
        <f t="shared" ca="1" si="21"/>
        <v>0</v>
      </c>
      <c r="BI28" s="37">
        <f t="shared" ca="1" si="21"/>
        <v>0</v>
      </c>
      <c r="BJ28" s="37">
        <f t="shared" ca="1" si="21"/>
        <v>0</v>
      </c>
      <c r="BK28" s="37">
        <f t="shared" ca="1" si="21"/>
        <v>0</v>
      </c>
      <c r="BL28" s="37">
        <f t="shared" ca="1" si="21"/>
        <v>0</v>
      </c>
      <c r="BM28" s="37">
        <f t="shared" ca="1" si="21"/>
        <v>0</v>
      </c>
      <c r="BN28" s="37">
        <f t="shared" ca="1" si="21"/>
        <v>0</v>
      </c>
      <c r="BO28" s="37">
        <f t="shared" ref="BO28:CT28" ca="1" si="22">BO49+BO65+BO81+BO97</f>
        <v>0</v>
      </c>
      <c r="BP28" s="37">
        <f t="shared" ca="1" si="22"/>
        <v>0</v>
      </c>
      <c r="BQ28" s="37">
        <f t="shared" ca="1" si="22"/>
        <v>0</v>
      </c>
      <c r="BR28" s="37">
        <f t="shared" ca="1" si="22"/>
        <v>0</v>
      </c>
      <c r="BS28" s="37">
        <f t="shared" ca="1" si="22"/>
        <v>0</v>
      </c>
      <c r="BT28" s="37">
        <f t="shared" ca="1" si="22"/>
        <v>0</v>
      </c>
      <c r="BU28" s="37">
        <f t="shared" ca="1" si="22"/>
        <v>0</v>
      </c>
      <c r="BV28" s="37">
        <f t="shared" ca="1" si="22"/>
        <v>0</v>
      </c>
      <c r="BW28" s="37">
        <f t="shared" ca="1" si="22"/>
        <v>0</v>
      </c>
      <c r="BX28" s="37">
        <f t="shared" ca="1" si="22"/>
        <v>0</v>
      </c>
      <c r="BY28" s="37">
        <f t="shared" ca="1" si="22"/>
        <v>0</v>
      </c>
      <c r="BZ28" s="37">
        <f t="shared" ca="1" si="22"/>
        <v>0</v>
      </c>
      <c r="CA28" s="37">
        <f t="shared" ca="1" si="22"/>
        <v>0</v>
      </c>
      <c r="CB28" s="37">
        <f t="shared" ca="1" si="22"/>
        <v>0</v>
      </c>
      <c r="CC28" s="37">
        <f t="shared" ca="1" si="22"/>
        <v>0</v>
      </c>
      <c r="CD28" s="37">
        <f t="shared" ca="1" si="22"/>
        <v>0</v>
      </c>
      <c r="CE28" s="37">
        <f t="shared" ca="1" si="22"/>
        <v>0</v>
      </c>
      <c r="CF28" s="37">
        <f t="shared" ca="1" si="22"/>
        <v>0</v>
      </c>
      <c r="CG28" s="37">
        <f t="shared" ca="1" si="22"/>
        <v>0</v>
      </c>
      <c r="CH28" s="37">
        <f t="shared" ca="1" si="22"/>
        <v>0</v>
      </c>
      <c r="CI28" s="37">
        <f t="shared" ca="1" si="22"/>
        <v>0</v>
      </c>
      <c r="CJ28" s="37">
        <f t="shared" ca="1" si="22"/>
        <v>0</v>
      </c>
      <c r="CK28" s="37">
        <f t="shared" ca="1" si="22"/>
        <v>0</v>
      </c>
      <c r="CL28" s="37">
        <f t="shared" ca="1" si="22"/>
        <v>0</v>
      </c>
      <c r="CM28" s="37">
        <f t="shared" ca="1" si="22"/>
        <v>0</v>
      </c>
      <c r="CN28" s="37">
        <f t="shared" ca="1" si="22"/>
        <v>0</v>
      </c>
      <c r="CO28" s="37">
        <f t="shared" ca="1" si="22"/>
        <v>0</v>
      </c>
      <c r="CP28" s="37">
        <f t="shared" ca="1" si="22"/>
        <v>0</v>
      </c>
      <c r="CQ28" s="37">
        <f t="shared" ca="1" si="22"/>
        <v>0</v>
      </c>
      <c r="CR28" s="37">
        <f t="shared" ca="1" si="22"/>
        <v>0</v>
      </c>
      <c r="CS28" s="37">
        <f t="shared" ca="1" si="22"/>
        <v>0</v>
      </c>
      <c r="CT28" s="37">
        <f t="shared" ca="1" si="22"/>
        <v>0</v>
      </c>
      <c r="CU28" s="37">
        <f t="shared" ref="CU28:DF28" ca="1" si="23">CU49+CU65+CU81+CU97</f>
        <v>0</v>
      </c>
      <c r="CV28" s="37">
        <f t="shared" ca="1" si="23"/>
        <v>0</v>
      </c>
      <c r="CW28" s="37">
        <f t="shared" ca="1" si="23"/>
        <v>0</v>
      </c>
      <c r="CX28" s="37">
        <f t="shared" ca="1" si="23"/>
        <v>0</v>
      </c>
      <c r="CY28" s="37">
        <f t="shared" ca="1" si="23"/>
        <v>0</v>
      </c>
      <c r="CZ28" s="37">
        <f t="shared" ca="1" si="23"/>
        <v>0</v>
      </c>
      <c r="DA28" s="37">
        <f t="shared" ca="1" si="23"/>
        <v>0</v>
      </c>
      <c r="DB28" s="37">
        <f t="shared" ca="1" si="23"/>
        <v>0</v>
      </c>
      <c r="DC28" s="37">
        <f t="shared" ca="1" si="23"/>
        <v>0</v>
      </c>
      <c r="DD28" s="37">
        <f t="shared" ca="1" si="23"/>
        <v>0</v>
      </c>
      <c r="DE28" s="37">
        <f t="shared" ca="1" si="23"/>
        <v>0</v>
      </c>
      <c r="DF28" s="37">
        <f t="shared" ca="1" si="23"/>
        <v>0</v>
      </c>
    </row>
    <row r="29" spans="1:110">
      <c r="A29" s="4" t="s">
        <v>128</v>
      </c>
      <c r="B29" s="4" t="s">
        <v>58</v>
      </c>
      <c r="C29" s="36">
        <f t="shared" ref="C29:AH29" ca="1" si="24">C50+C66+C82+C98</f>
        <v>0</v>
      </c>
      <c r="D29" s="36">
        <f t="shared" ca="1" si="24"/>
        <v>0</v>
      </c>
      <c r="E29" s="36">
        <f t="shared" ca="1" si="24"/>
        <v>0</v>
      </c>
      <c r="F29" s="36">
        <f t="shared" ca="1" si="24"/>
        <v>0</v>
      </c>
      <c r="G29" s="36">
        <f t="shared" ca="1" si="24"/>
        <v>0</v>
      </c>
      <c r="H29" s="36">
        <f t="shared" ca="1" si="24"/>
        <v>0</v>
      </c>
      <c r="I29" s="36">
        <f t="shared" ca="1" si="24"/>
        <v>0</v>
      </c>
      <c r="J29" s="36">
        <f t="shared" ca="1" si="24"/>
        <v>0</v>
      </c>
      <c r="K29" s="36">
        <f t="shared" ca="1" si="24"/>
        <v>0</v>
      </c>
      <c r="L29" s="36">
        <f t="shared" ca="1" si="24"/>
        <v>0</v>
      </c>
      <c r="M29" s="36">
        <f t="shared" ca="1" si="24"/>
        <v>0</v>
      </c>
      <c r="N29" s="36">
        <f t="shared" ca="1" si="24"/>
        <v>0</v>
      </c>
      <c r="O29" s="36">
        <f t="shared" ca="1" si="24"/>
        <v>0</v>
      </c>
      <c r="P29" s="36">
        <f t="shared" ca="1" si="24"/>
        <v>0</v>
      </c>
      <c r="Q29" s="36">
        <f t="shared" ca="1" si="24"/>
        <v>0</v>
      </c>
      <c r="R29" s="36">
        <f t="shared" ca="1" si="24"/>
        <v>0</v>
      </c>
      <c r="S29" s="36">
        <f t="shared" ca="1" si="24"/>
        <v>0</v>
      </c>
      <c r="T29" s="36">
        <f t="shared" ca="1" si="24"/>
        <v>0</v>
      </c>
      <c r="U29" s="36">
        <f t="shared" ca="1" si="24"/>
        <v>0</v>
      </c>
      <c r="V29" s="36">
        <f t="shared" ca="1" si="24"/>
        <v>0</v>
      </c>
      <c r="W29" s="36">
        <f t="shared" ca="1" si="24"/>
        <v>0</v>
      </c>
      <c r="X29" s="36">
        <f t="shared" ca="1" si="24"/>
        <v>0</v>
      </c>
      <c r="Y29" s="36">
        <f t="shared" ca="1" si="24"/>
        <v>0</v>
      </c>
      <c r="Z29" s="36">
        <f t="shared" ca="1" si="24"/>
        <v>0</v>
      </c>
      <c r="AA29" s="36">
        <f t="shared" ca="1" si="24"/>
        <v>0</v>
      </c>
      <c r="AB29" s="36">
        <f t="shared" ca="1" si="24"/>
        <v>0</v>
      </c>
      <c r="AC29" s="36">
        <f t="shared" ca="1" si="24"/>
        <v>0</v>
      </c>
      <c r="AD29" s="36">
        <f t="shared" ca="1" si="24"/>
        <v>0</v>
      </c>
      <c r="AE29" s="36">
        <f t="shared" ca="1" si="24"/>
        <v>0</v>
      </c>
      <c r="AF29" s="36">
        <f t="shared" ca="1" si="24"/>
        <v>0</v>
      </c>
      <c r="AG29" s="36">
        <f t="shared" ca="1" si="24"/>
        <v>0</v>
      </c>
      <c r="AH29" s="36">
        <f t="shared" ca="1" si="24"/>
        <v>0</v>
      </c>
      <c r="AI29" s="36">
        <f t="shared" ref="AI29:BN29" ca="1" si="25">AI50+AI66+AI82+AI98</f>
        <v>0</v>
      </c>
      <c r="AJ29" s="36">
        <f t="shared" ca="1" si="25"/>
        <v>0</v>
      </c>
      <c r="AK29" s="36">
        <f t="shared" ca="1" si="25"/>
        <v>0</v>
      </c>
      <c r="AL29" s="36">
        <f t="shared" ca="1" si="25"/>
        <v>0</v>
      </c>
      <c r="AM29" s="36">
        <f t="shared" ca="1" si="25"/>
        <v>0</v>
      </c>
      <c r="AN29" s="36">
        <f t="shared" ca="1" si="25"/>
        <v>0</v>
      </c>
      <c r="AO29" s="36">
        <f t="shared" ca="1" si="25"/>
        <v>0</v>
      </c>
      <c r="AP29" s="36">
        <f t="shared" ca="1" si="25"/>
        <v>0</v>
      </c>
      <c r="AQ29" s="36">
        <f t="shared" ca="1" si="25"/>
        <v>0</v>
      </c>
      <c r="AR29" s="36">
        <f t="shared" ca="1" si="25"/>
        <v>0</v>
      </c>
      <c r="AS29" s="36">
        <f t="shared" ca="1" si="25"/>
        <v>0</v>
      </c>
      <c r="AT29" s="36">
        <f t="shared" ca="1" si="25"/>
        <v>0</v>
      </c>
      <c r="AU29" s="36">
        <f t="shared" ca="1" si="25"/>
        <v>0</v>
      </c>
      <c r="AV29" s="36">
        <f t="shared" ca="1" si="25"/>
        <v>0</v>
      </c>
      <c r="AW29" s="36">
        <f t="shared" ca="1" si="25"/>
        <v>0</v>
      </c>
      <c r="AX29" s="36">
        <f t="shared" ca="1" si="25"/>
        <v>0</v>
      </c>
      <c r="AY29" s="36">
        <f t="shared" ca="1" si="25"/>
        <v>0</v>
      </c>
      <c r="AZ29" s="36">
        <f t="shared" ca="1" si="25"/>
        <v>0</v>
      </c>
      <c r="BA29" s="36">
        <f t="shared" ca="1" si="25"/>
        <v>0</v>
      </c>
      <c r="BB29" s="36">
        <f t="shared" ca="1" si="25"/>
        <v>0</v>
      </c>
      <c r="BC29" s="36">
        <f t="shared" ca="1" si="25"/>
        <v>0</v>
      </c>
      <c r="BD29" s="36">
        <f t="shared" ca="1" si="25"/>
        <v>0</v>
      </c>
      <c r="BE29" s="36">
        <f t="shared" ca="1" si="25"/>
        <v>0</v>
      </c>
      <c r="BF29" s="36">
        <f t="shared" ca="1" si="25"/>
        <v>0</v>
      </c>
      <c r="BG29" s="36">
        <f t="shared" ca="1" si="25"/>
        <v>0</v>
      </c>
      <c r="BH29" s="36">
        <f t="shared" ca="1" si="25"/>
        <v>0</v>
      </c>
      <c r="BI29" s="36">
        <f t="shared" ca="1" si="25"/>
        <v>0</v>
      </c>
      <c r="BJ29" s="36">
        <f t="shared" ca="1" si="25"/>
        <v>0</v>
      </c>
      <c r="BK29" s="36">
        <f t="shared" ca="1" si="25"/>
        <v>0</v>
      </c>
      <c r="BL29" s="36">
        <f t="shared" ca="1" si="25"/>
        <v>0</v>
      </c>
      <c r="BM29" s="36">
        <f t="shared" ca="1" si="25"/>
        <v>0</v>
      </c>
      <c r="BN29" s="36">
        <f t="shared" ca="1" si="25"/>
        <v>0</v>
      </c>
      <c r="BO29" s="36">
        <f t="shared" ref="BO29:CT29" ca="1" si="26">BO50+BO66+BO82+BO98</f>
        <v>0</v>
      </c>
      <c r="BP29" s="36">
        <f t="shared" ca="1" si="26"/>
        <v>0</v>
      </c>
      <c r="BQ29" s="36">
        <f t="shared" ca="1" si="26"/>
        <v>0</v>
      </c>
      <c r="BR29" s="36">
        <f t="shared" ca="1" si="26"/>
        <v>0</v>
      </c>
      <c r="BS29" s="36">
        <f t="shared" ca="1" si="26"/>
        <v>0</v>
      </c>
      <c r="BT29" s="36">
        <f t="shared" ca="1" si="26"/>
        <v>0</v>
      </c>
      <c r="BU29" s="36">
        <f t="shared" ca="1" si="26"/>
        <v>0</v>
      </c>
      <c r="BV29" s="36">
        <f t="shared" ca="1" si="26"/>
        <v>0</v>
      </c>
      <c r="BW29" s="36">
        <f t="shared" ca="1" si="26"/>
        <v>0</v>
      </c>
      <c r="BX29" s="36">
        <f t="shared" ca="1" si="26"/>
        <v>0</v>
      </c>
      <c r="BY29" s="36">
        <f t="shared" ca="1" si="26"/>
        <v>0</v>
      </c>
      <c r="BZ29" s="36">
        <f t="shared" ca="1" si="26"/>
        <v>0</v>
      </c>
      <c r="CA29" s="36">
        <f t="shared" ca="1" si="26"/>
        <v>0</v>
      </c>
      <c r="CB29" s="36">
        <f t="shared" ca="1" si="26"/>
        <v>0</v>
      </c>
      <c r="CC29" s="36">
        <f t="shared" ca="1" si="26"/>
        <v>0</v>
      </c>
      <c r="CD29" s="36">
        <f t="shared" ca="1" si="26"/>
        <v>0</v>
      </c>
      <c r="CE29" s="36">
        <f t="shared" ca="1" si="26"/>
        <v>0</v>
      </c>
      <c r="CF29" s="36">
        <f t="shared" ca="1" si="26"/>
        <v>0</v>
      </c>
      <c r="CG29" s="36">
        <f t="shared" ca="1" si="26"/>
        <v>0</v>
      </c>
      <c r="CH29" s="36">
        <f t="shared" ca="1" si="26"/>
        <v>0</v>
      </c>
      <c r="CI29" s="36">
        <f t="shared" ca="1" si="26"/>
        <v>0</v>
      </c>
      <c r="CJ29" s="36">
        <f t="shared" ca="1" si="26"/>
        <v>0</v>
      </c>
      <c r="CK29" s="36">
        <f t="shared" ca="1" si="26"/>
        <v>0</v>
      </c>
      <c r="CL29" s="36">
        <f t="shared" ca="1" si="26"/>
        <v>0</v>
      </c>
      <c r="CM29" s="36">
        <f t="shared" ca="1" si="26"/>
        <v>0</v>
      </c>
      <c r="CN29" s="36">
        <f t="shared" ca="1" si="26"/>
        <v>0</v>
      </c>
      <c r="CO29" s="36">
        <f t="shared" ca="1" si="26"/>
        <v>0</v>
      </c>
      <c r="CP29" s="36">
        <f t="shared" ca="1" si="26"/>
        <v>0</v>
      </c>
      <c r="CQ29" s="36">
        <f t="shared" ca="1" si="26"/>
        <v>0</v>
      </c>
      <c r="CR29" s="36">
        <f t="shared" ca="1" si="26"/>
        <v>0</v>
      </c>
      <c r="CS29" s="36">
        <f t="shared" ca="1" si="26"/>
        <v>0</v>
      </c>
      <c r="CT29" s="36">
        <f t="shared" ca="1" si="26"/>
        <v>0</v>
      </c>
      <c r="CU29" s="36">
        <f t="shared" ref="CU29:DF29" ca="1" si="27">CU50+CU66+CU82+CU98</f>
        <v>0</v>
      </c>
      <c r="CV29" s="36">
        <f t="shared" ca="1" si="27"/>
        <v>0</v>
      </c>
      <c r="CW29" s="36">
        <f t="shared" ca="1" si="27"/>
        <v>0</v>
      </c>
      <c r="CX29" s="36">
        <f t="shared" ca="1" si="27"/>
        <v>0</v>
      </c>
      <c r="CY29" s="36">
        <f t="shared" ca="1" si="27"/>
        <v>0</v>
      </c>
      <c r="CZ29" s="36">
        <f t="shared" ca="1" si="27"/>
        <v>0</v>
      </c>
      <c r="DA29" s="36">
        <f t="shared" ca="1" si="27"/>
        <v>0</v>
      </c>
      <c r="DB29" s="36">
        <f t="shared" ca="1" si="27"/>
        <v>0</v>
      </c>
      <c r="DC29" s="36">
        <f t="shared" ca="1" si="27"/>
        <v>0</v>
      </c>
      <c r="DD29" s="36">
        <f t="shared" ca="1" si="27"/>
        <v>0</v>
      </c>
      <c r="DE29" s="36">
        <f t="shared" ca="1" si="27"/>
        <v>0</v>
      </c>
      <c r="DF29" s="36">
        <f t="shared" ca="1" si="27"/>
        <v>0</v>
      </c>
    </row>
    <row r="30" spans="1:110">
      <c r="A30" s="4" t="s">
        <v>129</v>
      </c>
      <c r="B30" s="4" t="s">
        <v>58</v>
      </c>
      <c r="C30" s="36">
        <f t="shared" ref="C30:AH30" ca="1" si="28">C51+C67+C83+C99</f>
        <v>0</v>
      </c>
      <c r="D30" s="36">
        <f t="shared" ca="1" si="28"/>
        <v>0</v>
      </c>
      <c r="E30" s="36">
        <f t="shared" ca="1" si="28"/>
        <v>0</v>
      </c>
      <c r="F30" s="36">
        <f t="shared" ca="1" si="28"/>
        <v>0</v>
      </c>
      <c r="G30" s="36">
        <f t="shared" ca="1" si="28"/>
        <v>0</v>
      </c>
      <c r="H30" s="36">
        <f t="shared" ca="1" si="28"/>
        <v>0</v>
      </c>
      <c r="I30" s="36">
        <f t="shared" ca="1" si="28"/>
        <v>0</v>
      </c>
      <c r="J30" s="36">
        <f t="shared" ca="1" si="28"/>
        <v>0</v>
      </c>
      <c r="K30" s="36">
        <f t="shared" ca="1" si="28"/>
        <v>0</v>
      </c>
      <c r="L30" s="36">
        <f t="shared" ca="1" si="28"/>
        <v>0</v>
      </c>
      <c r="M30" s="36">
        <f t="shared" ca="1" si="28"/>
        <v>0</v>
      </c>
      <c r="N30" s="36">
        <f t="shared" ca="1" si="28"/>
        <v>0</v>
      </c>
      <c r="O30" s="36">
        <f t="shared" ca="1" si="28"/>
        <v>0</v>
      </c>
      <c r="P30" s="36">
        <f t="shared" ca="1" si="28"/>
        <v>0</v>
      </c>
      <c r="Q30" s="36">
        <f t="shared" ca="1" si="28"/>
        <v>0</v>
      </c>
      <c r="R30" s="36">
        <f t="shared" ca="1" si="28"/>
        <v>0</v>
      </c>
      <c r="S30" s="36">
        <f t="shared" ca="1" si="28"/>
        <v>0</v>
      </c>
      <c r="T30" s="36">
        <f t="shared" ca="1" si="28"/>
        <v>0</v>
      </c>
      <c r="U30" s="36">
        <f t="shared" ca="1" si="28"/>
        <v>0</v>
      </c>
      <c r="V30" s="36">
        <f t="shared" ca="1" si="28"/>
        <v>0</v>
      </c>
      <c r="W30" s="36">
        <f t="shared" ca="1" si="28"/>
        <v>0</v>
      </c>
      <c r="X30" s="36">
        <f t="shared" ca="1" si="28"/>
        <v>0</v>
      </c>
      <c r="Y30" s="36">
        <f t="shared" ca="1" si="28"/>
        <v>0</v>
      </c>
      <c r="Z30" s="36">
        <f t="shared" ca="1" si="28"/>
        <v>0</v>
      </c>
      <c r="AA30" s="36">
        <f t="shared" ca="1" si="28"/>
        <v>0</v>
      </c>
      <c r="AB30" s="36">
        <f t="shared" ca="1" si="28"/>
        <v>0</v>
      </c>
      <c r="AC30" s="36">
        <f t="shared" ca="1" si="28"/>
        <v>0</v>
      </c>
      <c r="AD30" s="36">
        <f t="shared" ca="1" si="28"/>
        <v>0</v>
      </c>
      <c r="AE30" s="36">
        <f t="shared" ca="1" si="28"/>
        <v>0</v>
      </c>
      <c r="AF30" s="36">
        <f t="shared" ca="1" si="28"/>
        <v>0</v>
      </c>
      <c r="AG30" s="36">
        <f t="shared" ca="1" si="28"/>
        <v>0</v>
      </c>
      <c r="AH30" s="36">
        <f t="shared" ca="1" si="28"/>
        <v>0</v>
      </c>
      <c r="AI30" s="36">
        <f t="shared" ref="AI30:BN30" ca="1" si="29">AI51+AI67+AI83+AI99</f>
        <v>0</v>
      </c>
      <c r="AJ30" s="36">
        <f t="shared" ca="1" si="29"/>
        <v>0</v>
      </c>
      <c r="AK30" s="36">
        <f t="shared" ca="1" si="29"/>
        <v>0</v>
      </c>
      <c r="AL30" s="36">
        <f t="shared" ca="1" si="29"/>
        <v>0</v>
      </c>
      <c r="AM30" s="36">
        <f t="shared" ca="1" si="29"/>
        <v>0</v>
      </c>
      <c r="AN30" s="36">
        <f t="shared" ca="1" si="29"/>
        <v>0</v>
      </c>
      <c r="AO30" s="36">
        <f t="shared" ca="1" si="29"/>
        <v>0</v>
      </c>
      <c r="AP30" s="36">
        <f t="shared" ca="1" si="29"/>
        <v>0</v>
      </c>
      <c r="AQ30" s="36">
        <f t="shared" ca="1" si="29"/>
        <v>0</v>
      </c>
      <c r="AR30" s="36">
        <f t="shared" ca="1" si="29"/>
        <v>0</v>
      </c>
      <c r="AS30" s="36">
        <f t="shared" ca="1" si="29"/>
        <v>0</v>
      </c>
      <c r="AT30" s="36">
        <f t="shared" ca="1" si="29"/>
        <v>0</v>
      </c>
      <c r="AU30" s="36">
        <f t="shared" ca="1" si="29"/>
        <v>0</v>
      </c>
      <c r="AV30" s="36">
        <f t="shared" ca="1" si="29"/>
        <v>0</v>
      </c>
      <c r="AW30" s="36">
        <f t="shared" ca="1" si="29"/>
        <v>0</v>
      </c>
      <c r="AX30" s="36">
        <f t="shared" ca="1" si="29"/>
        <v>0</v>
      </c>
      <c r="AY30" s="36">
        <f t="shared" ca="1" si="29"/>
        <v>0</v>
      </c>
      <c r="AZ30" s="36">
        <f t="shared" ca="1" si="29"/>
        <v>0</v>
      </c>
      <c r="BA30" s="36">
        <f t="shared" ca="1" si="29"/>
        <v>0</v>
      </c>
      <c r="BB30" s="36">
        <f t="shared" ca="1" si="29"/>
        <v>0</v>
      </c>
      <c r="BC30" s="36">
        <f t="shared" ca="1" si="29"/>
        <v>0</v>
      </c>
      <c r="BD30" s="36">
        <f t="shared" ca="1" si="29"/>
        <v>0</v>
      </c>
      <c r="BE30" s="36">
        <f t="shared" ca="1" si="29"/>
        <v>0</v>
      </c>
      <c r="BF30" s="36">
        <f t="shared" ca="1" si="29"/>
        <v>0</v>
      </c>
      <c r="BG30" s="36">
        <f t="shared" ca="1" si="29"/>
        <v>0</v>
      </c>
      <c r="BH30" s="36">
        <f t="shared" ca="1" si="29"/>
        <v>0</v>
      </c>
      <c r="BI30" s="36">
        <f t="shared" ca="1" si="29"/>
        <v>0</v>
      </c>
      <c r="BJ30" s="36">
        <f t="shared" ca="1" si="29"/>
        <v>0</v>
      </c>
      <c r="BK30" s="36">
        <f t="shared" ca="1" si="29"/>
        <v>0</v>
      </c>
      <c r="BL30" s="36">
        <f t="shared" ca="1" si="29"/>
        <v>0</v>
      </c>
      <c r="BM30" s="36">
        <f t="shared" ca="1" si="29"/>
        <v>0</v>
      </c>
      <c r="BN30" s="36">
        <f t="shared" ca="1" si="29"/>
        <v>0</v>
      </c>
      <c r="BO30" s="36">
        <f t="shared" ref="BO30:CT30" ca="1" si="30">BO51+BO67+BO83+BO99</f>
        <v>0</v>
      </c>
      <c r="BP30" s="36">
        <f t="shared" ca="1" si="30"/>
        <v>0</v>
      </c>
      <c r="BQ30" s="36">
        <f t="shared" ca="1" si="30"/>
        <v>0</v>
      </c>
      <c r="BR30" s="36">
        <f t="shared" ca="1" si="30"/>
        <v>0</v>
      </c>
      <c r="BS30" s="36">
        <f t="shared" ca="1" si="30"/>
        <v>0</v>
      </c>
      <c r="BT30" s="36">
        <f t="shared" ca="1" si="30"/>
        <v>0</v>
      </c>
      <c r="BU30" s="36">
        <f t="shared" ca="1" si="30"/>
        <v>0</v>
      </c>
      <c r="BV30" s="36">
        <f t="shared" ca="1" si="30"/>
        <v>0</v>
      </c>
      <c r="BW30" s="36">
        <f t="shared" ca="1" si="30"/>
        <v>0</v>
      </c>
      <c r="BX30" s="36">
        <f t="shared" ca="1" si="30"/>
        <v>0</v>
      </c>
      <c r="BY30" s="36">
        <f t="shared" ca="1" si="30"/>
        <v>0</v>
      </c>
      <c r="BZ30" s="36">
        <f t="shared" ca="1" si="30"/>
        <v>0</v>
      </c>
      <c r="CA30" s="36">
        <f t="shared" ca="1" si="30"/>
        <v>0</v>
      </c>
      <c r="CB30" s="36">
        <f t="shared" ca="1" si="30"/>
        <v>0</v>
      </c>
      <c r="CC30" s="36">
        <f t="shared" ca="1" si="30"/>
        <v>0</v>
      </c>
      <c r="CD30" s="36">
        <f t="shared" ca="1" si="30"/>
        <v>0</v>
      </c>
      <c r="CE30" s="36">
        <f t="shared" ca="1" si="30"/>
        <v>0</v>
      </c>
      <c r="CF30" s="36">
        <f t="shared" ca="1" si="30"/>
        <v>0</v>
      </c>
      <c r="CG30" s="36">
        <f t="shared" ca="1" si="30"/>
        <v>0</v>
      </c>
      <c r="CH30" s="36">
        <f t="shared" ca="1" si="30"/>
        <v>0</v>
      </c>
      <c r="CI30" s="36">
        <f t="shared" ca="1" si="30"/>
        <v>0</v>
      </c>
      <c r="CJ30" s="36">
        <f t="shared" ca="1" si="30"/>
        <v>0</v>
      </c>
      <c r="CK30" s="36">
        <f t="shared" ca="1" si="30"/>
        <v>0</v>
      </c>
      <c r="CL30" s="36">
        <f t="shared" ca="1" si="30"/>
        <v>0</v>
      </c>
      <c r="CM30" s="36">
        <f t="shared" ca="1" si="30"/>
        <v>0</v>
      </c>
      <c r="CN30" s="36">
        <f t="shared" ca="1" si="30"/>
        <v>0</v>
      </c>
      <c r="CO30" s="36">
        <f t="shared" ca="1" si="30"/>
        <v>0</v>
      </c>
      <c r="CP30" s="36">
        <f t="shared" ca="1" si="30"/>
        <v>0</v>
      </c>
      <c r="CQ30" s="36">
        <f t="shared" ca="1" si="30"/>
        <v>0</v>
      </c>
      <c r="CR30" s="36">
        <f t="shared" ca="1" si="30"/>
        <v>0</v>
      </c>
      <c r="CS30" s="36">
        <f t="shared" ca="1" si="30"/>
        <v>0</v>
      </c>
      <c r="CT30" s="36">
        <f t="shared" ca="1" si="30"/>
        <v>0</v>
      </c>
      <c r="CU30" s="36">
        <f t="shared" ref="CU30:DF30" ca="1" si="31">CU51+CU67+CU83+CU99</f>
        <v>0</v>
      </c>
      <c r="CV30" s="36">
        <f t="shared" ca="1" si="31"/>
        <v>0</v>
      </c>
      <c r="CW30" s="36">
        <f t="shared" ca="1" si="31"/>
        <v>0</v>
      </c>
      <c r="CX30" s="36">
        <f t="shared" ca="1" si="31"/>
        <v>0</v>
      </c>
      <c r="CY30" s="36">
        <f t="shared" ca="1" si="31"/>
        <v>0</v>
      </c>
      <c r="CZ30" s="36">
        <f t="shared" ca="1" si="31"/>
        <v>0</v>
      </c>
      <c r="DA30" s="36">
        <f t="shared" ca="1" si="31"/>
        <v>0</v>
      </c>
      <c r="DB30" s="36">
        <f t="shared" ca="1" si="31"/>
        <v>0</v>
      </c>
      <c r="DC30" s="36">
        <f t="shared" ca="1" si="31"/>
        <v>0</v>
      </c>
      <c r="DD30" s="36">
        <f t="shared" ca="1" si="31"/>
        <v>0</v>
      </c>
      <c r="DE30" s="36">
        <f t="shared" ca="1" si="31"/>
        <v>0</v>
      </c>
      <c r="DF30" s="36">
        <f t="shared" ca="1" si="31"/>
        <v>0</v>
      </c>
    </row>
    <row r="31" spans="1:110">
      <c r="A31" s="4" t="s">
        <v>130</v>
      </c>
      <c r="B31" s="4" t="s">
        <v>58</v>
      </c>
      <c r="C31" s="36">
        <f t="shared" ref="C31:AH31" ca="1" si="32">C52+C68+C84+C100</f>
        <v>0</v>
      </c>
      <c r="D31" s="36">
        <f t="shared" ca="1" si="32"/>
        <v>0</v>
      </c>
      <c r="E31" s="36">
        <f t="shared" ca="1" si="32"/>
        <v>0</v>
      </c>
      <c r="F31" s="36">
        <f t="shared" ca="1" si="32"/>
        <v>0</v>
      </c>
      <c r="G31" s="36">
        <f t="shared" ca="1" si="32"/>
        <v>0</v>
      </c>
      <c r="H31" s="36">
        <f t="shared" ca="1" si="32"/>
        <v>0</v>
      </c>
      <c r="I31" s="36">
        <f t="shared" ca="1" si="32"/>
        <v>0</v>
      </c>
      <c r="J31" s="36">
        <f t="shared" ca="1" si="32"/>
        <v>0</v>
      </c>
      <c r="K31" s="36">
        <f t="shared" ca="1" si="32"/>
        <v>0</v>
      </c>
      <c r="L31" s="36">
        <f t="shared" ca="1" si="32"/>
        <v>0</v>
      </c>
      <c r="M31" s="36">
        <f t="shared" ca="1" si="32"/>
        <v>0</v>
      </c>
      <c r="N31" s="36">
        <f t="shared" ca="1" si="32"/>
        <v>0</v>
      </c>
      <c r="O31" s="36">
        <f t="shared" ca="1" si="32"/>
        <v>0</v>
      </c>
      <c r="P31" s="36">
        <f t="shared" ca="1" si="32"/>
        <v>0</v>
      </c>
      <c r="Q31" s="36">
        <f t="shared" ca="1" si="32"/>
        <v>0</v>
      </c>
      <c r="R31" s="36">
        <f t="shared" ca="1" si="32"/>
        <v>0</v>
      </c>
      <c r="S31" s="36">
        <f t="shared" ca="1" si="32"/>
        <v>0</v>
      </c>
      <c r="T31" s="36">
        <f t="shared" ca="1" si="32"/>
        <v>0</v>
      </c>
      <c r="U31" s="36">
        <f t="shared" ca="1" si="32"/>
        <v>-1345.8299811734776</v>
      </c>
      <c r="V31" s="36">
        <f t="shared" ca="1" si="32"/>
        <v>0</v>
      </c>
      <c r="W31" s="36">
        <f t="shared" ca="1" si="32"/>
        <v>0</v>
      </c>
      <c r="X31" s="36">
        <f t="shared" ca="1" si="32"/>
        <v>0</v>
      </c>
      <c r="Y31" s="36">
        <f t="shared" ca="1" si="32"/>
        <v>0</v>
      </c>
      <c r="Z31" s="36">
        <f t="shared" ca="1" si="32"/>
        <v>0</v>
      </c>
      <c r="AA31" s="36">
        <f t="shared" ca="1" si="32"/>
        <v>0</v>
      </c>
      <c r="AB31" s="36">
        <f t="shared" ca="1" si="32"/>
        <v>0</v>
      </c>
      <c r="AC31" s="36">
        <f t="shared" ca="1" si="32"/>
        <v>0</v>
      </c>
      <c r="AD31" s="36">
        <f t="shared" ca="1" si="32"/>
        <v>0</v>
      </c>
      <c r="AE31" s="36">
        <f t="shared" ca="1" si="32"/>
        <v>0</v>
      </c>
      <c r="AF31" s="36">
        <f t="shared" ca="1" si="32"/>
        <v>0</v>
      </c>
      <c r="AG31" s="36">
        <f t="shared" ca="1" si="32"/>
        <v>-887.76041996527204</v>
      </c>
      <c r="AH31" s="36">
        <f t="shared" ca="1" si="32"/>
        <v>0</v>
      </c>
      <c r="AI31" s="36">
        <f t="shared" ref="AI31:BN31" ca="1" si="33">AI52+AI68+AI84+AI100</f>
        <v>0</v>
      </c>
      <c r="AJ31" s="36">
        <f t="shared" ca="1" si="33"/>
        <v>0</v>
      </c>
      <c r="AK31" s="36">
        <f t="shared" ca="1" si="33"/>
        <v>0</v>
      </c>
      <c r="AL31" s="36">
        <f t="shared" ca="1" si="33"/>
        <v>0</v>
      </c>
      <c r="AM31" s="36">
        <f t="shared" ca="1" si="33"/>
        <v>0</v>
      </c>
      <c r="AN31" s="36">
        <f t="shared" ca="1" si="33"/>
        <v>0</v>
      </c>
      <c r="AO31" s="36">
        <f t="shared" ca="1" si="33"/>
        <v>0</v>
      </c>
      <c r="AP31" s="36">
        <f t="shared" ca="1" si="33"/>
        <v>0</v>
      </c>
      <c r="AQ31" s="36">
        <f t="shared" ca="1" si="33"/>
        <v>0</v>
      </c>
      <c r="AR31" s="36">
        <f t="shared" ca="1" si="33"/>
        <v>0</v>
      </c>
      <c r="AS31" s="36">
        <f t="shared" ca="1" si="33"/>
        <v>-30858.029142765212</v>
      </c>
      <c r="AT31" s="36">
        <f t="shared" ca="1" si="33"/>
        <v>0</v>
      </c>
      <c r="AU31" s="36">
        <f t="shared" ca="1" si="33"/>
        <v>0</v>
      </c>
      <c r="AV31" s="36">
        <f t="shared" ca="1" si="33"/>
        <v>0</v>
      </c>
      <c r="AW31" s="36">
        <f t="shared" ca="1" si="33"/>
        <v>0</v>
      </c>
      <c r="AX31" s="36">
        <f t="shared" ca="1" si="33"/>
        <v>0</v>
      </c>
      <c r="AY31" s="36">
        <f t="shared" ca="1" si="33"/>
        <v>0</v>
      </c>
      <c r="AZ31" s="36">
        <f t="shared" ca="1" si="33"/>
        <v>0</v>
      </c>
      <c r="BA31" s="36">
        <f t="shared" ca="1" si="33"/>
        <v>0</v>
      </c>
      <c r="BB31" s="36">
        <f t="shared" ca="1" si="33"/>
        <v>0</v>
      </c>
      <c r="BC31" s="36">
        <f t="shared" ca="1" si="33"/>
        <v>0</v>
      </c>
      <c r="BD31" s="36">
        <f t="shared" ca="1" si="33"/>
        <v>0</v>
      </c>
      <c r="BE31" s="36">
        <f t="shared" ca="1" si="33"/>
        <v>-27765.554951234266</v>
      </c>
      <c r="BF31" s="36">
        <f t="shared" ca="1" si="33"/>
        <v>0</v>
      </c>
      <c r="BG31" s="36">
        <f t="shared" ca="1" si="33"/>
        <v>0</v>
      </c>
      <c r="BH31" s="36">
        <f t="shared" ca="1" si="33"/>
        <v>0</v>
      </c>
      <c r="BI31" s="36">
        <f t="shared" ca="1" si="33"/>
        <v>0</v>
      </c>
      <c r="BJ31" s="36">
        <f t="shared" ca="1" si="33"/>
        <v>0</v>
      </c>
      <c r="BK31" s="36">
        <f t="shared" ca="1" si="33"/>
        <v>0</v>
      </c>
      <c r="BL31" s="36">
        <f t="shared" ca="1" si="33"/>
        <v>0</v>
      </c>
      <c r="BM31" s="36">
        <f t="shared" ca="1" si="33"/>
        <v>0</v>
      </c>
      <c r="BN31" s="36">
        <f t="shared" ca="1" si="33"/>
        <v>0</v>
      </c>
      <c r="BO31" s="36">
        <f t="shared" ref="BO31:CT31" ca="1" si="34">BO52+BO68+BO84+BO100</f>
        <v>0</v>
      </c>
      <c r="BP31" s="36">
        <f t="shared" ca="1" si="34"/>
        <v>0</v>
      </c>
      <c r="BQ31" s="36">
        <f t="shared" ca="1" si="34"/>
        <v>-23843.8158612357</v>
      </c>
      <c r="BR31" s="36">
        <f t="shared" ca="1" si="34"/>
        <v>0</v>
      </c>
      <c r="BS31" s="36">
        <f t="shared" ca="1" si="34"/>
        <v>0</v>
      </c>
      <c r="BT31" s="36">
        <f t="shared" ca="1" si="34"/>
        <v>0</v>
      </c>
      <c r="BU31" s="36">
        <f t="shared" ca="1" si="34"/>
        <v>0</v>
      </c>
      <c r="BV31" s="36">
        <f t="shared" ca="1" si="34"/>
        <v>0</v>
      </c>
      <c r="BW31" s="36">
        <f t="shared" ca="1" si="34"/>
        <v>0</v>
      </c>
      <c r="BX31" s="36">
        <f t="shared" ca="1" si="34"/>
        <v>0</v>
      </c>
      <c r="BY31" s="36">
        <f t="shared" ca="1" si="34"/>
        <v>0</v>
      </c>
      <c r="BZ31" s="36">
        <f t="shared" ca="1" si="34"/>
        <v>0</v>
      </c>
      <c r="CA31" s="36">
        <f t="shared" ca="1" si="34"/>
        <v>0</v>
      </c>
      <c r="CB31" s="36">
        <f t="shared" ca="1" si="34"/>
        <v>0</v>
      </c>
      <c r="CC31" s="36">
        <f t="shared" ca="1" si="34"/>
        <v>0</v>
      </c>
      <c r="CD31" s="36">
        <f t="shared" ca="1" si="34"/>
        <v>0</v>
      </c>
      <c r="CE31" s="36">
        <f t="shared" ca="1" si="34"/>
        <v>0</v>
      </c>
      <c r="CF31" s="36">
        <f t="shared" ca="1" si="34"/>
        <v>0</v>
      </c>
      <c r="CG31" s="36">
        <f t="shared" ca="1" si="34"/>
        <v>0</v>
      </c>
      <c r="CH31" s="36">
        <f t="shared" ca="1" si="34"/>
        <v>0</v>
      </c>
      <c r="CI31" s="36">
        <f t="shared" ca="1" si="34"/>
        <v>0</v>
      </c>
      <c r="CJ31" s="36">
        <f t="shared" ca="1" si="34"/>
        <v>0</v>
      </c>
      <c r="CK31" s="36">
        <f t="shared" ca="1" si="34"/>
        <v>0</v>
      </c>
      <c r="CL31" s="36">
        <f t="shared" ca="1" si="34"/>
        <v>0</v>
      </c>
      <c r="CM31" s="36">
        <f t="shared" ca="1" si="34"/>
        <v>0</v>
      </c>
      <c r="CN31" s="36">
        <f t="shared" ca="1" si="34"/>
        <v>0</v>
      </c>
      <c r="CO31" s="36">
        <f t="shared" ca="1" si="34"/>
        <v>0</v>
      </c>
      <c r="CP31" s="36">
        <f t="shared" ca="1" si="34"/>
        <v>0</v>
      </c>
      <c r="CQ31" s="36">
        <f t="shared" ca="1" si="34"/>
        <v>0</v>
      </c>
      <c r="CR31" s="36">
        <f t="shared" ca="1" si="34"/>
        <v>0</v>
      </c>
      <c r="CS31" s="36">
        <f t="shared" ca="1" si="34"/>
        <v>0</v>
      </c>
      <c r="CT31" s="36">
        <f t="shared" ca="1" si="34"/>
        <v>0</v>
      </c>
      <c r="CU31" s="36">
        <f t="shared" ref="CU31:DF31" ca="1" si="35">CU52+CU68+CU84+CU100</f>
        <v>0</v>
      </c>
      <c r="CV31" s="36">
        <f t="shared" ca="1" si="35"/>
        <v>0</v>
      </c>
      <c r="CW31" s="36">
        <f t="shared" ca="1" si="35"/>
        <v>0</v>
      </c>
      <c r="CX31" s="36">
        <f t="shared" ca="1" si="35"/>
        <v>0</v>
      </c>
      <c r="CY31" s="36">
        <f t="shared" ca="1" si="35"/>
        <v>0</v>
      </c>
      <c r="CZ31" s="36">
        <f t="shared" ca="1" si="35"/>
        <v>0</v>
      </c>
      <c r="DA31" s="36">
        <f t="shared" ca="1" si="35"/>
        <v>0</v>
      </c>
      <c r="DB31" s="36">
        <f t="shared" ca="1" si="35"/>
        <v>0</v>
      </c>
      <c r="DC31" s="36">
        <f t="shared" ca="1" si="35"/>
        <v>0</v>
      </c>
      <c r="DD31" s="36">
        <f t="shared" ca="1" si="35"/>
        <v>0</v>
      </c>
      <c r="DE31" s="36">
        <f t="shared" ca="1" si="35"/>
        <v>0</v>
      </c>
      <c r="DF31" s="36">
        <f t="shared" ca="1" si="35"/>
        <v>0</v>
      </c>
    </row>
    <row r="32" spans="1:110">
      <c r="A32" s="32" t="s">
        <v>131</v>
      </c>
      <c r="B32" s="32" t="s">
        <v>58</v>
      </c>
      <c r="C32" s="37">
        <f t="shared" ref="C32:AH32" ca="1" si="36">C53+C69+C85+C101</f>
        <v>0</v>
      </c>
      <c r="D32" s="37">
        <f t="shared" ca="1" si="36"/>
        <v>0</v>
      </c>
      <c r="E32" s="37">
        <f t="shared" ca="1" si="36"/>
        <v>0</v>
      </c>
      <c r="F32" s="37">
        <f t="shared" ca="1" si="36"/>
        <v>0</v>
      </c>
      <c r="G32" s="37">
        <f t="shared" ca="1" si="36"/>
        <v>0</v>
      </c>
      <c r="H32" s="37">
        <f t="shared" ca="1" si="36"/>
        <v>0</v>
      </c>
      <c r="I32" s="37">
        <f t="shared" ca="1" si="36"/>
        <v>0</v>
      </c>
      <c r="J32" s="37">
        <f t="shared" ca="1" si="36"/>
        <v>0</v>
      </c>
      <c r="K32" s="37">
        <f t="shared" ca="1" si="36"/>
        <v>0</v>
      </c>
      <c r="L32" s="37">
        <f t="shared" ca="1" si="36"/>
        <v>0</v>
      </c>
      <c r="M32" s="37">
        <f t="shared" ca="1" si="36"/>
        <v>0</v>
      </c>
      <c r="N32" s="37">
        <f t="shared" ca="1" si="36"/>
        <v>0</v>
      </c>
      <c r="O32" s="37">
        <f t="shared" ca="1" si="36"/>
        <v>0</v>
      </c>
      <c r="P32" s="37">
        <f t="shared" ca="1" si="36"/>
        <v>0</v>
      </c>
      <c r="Q32" s="37">
        <f t="shared" ca="1" si="36"/>
        <v>0</v>
      </c>
      <c r="R32" s="37">
        <f t="shared" ca="1" si="36"/>
        <v>0</v>
      </c>
      <c r="S32" s="37">
        <f t="shared" ca="1" si="36"/>
        <v>0</v>
      </c>
      <c r="T32" s="37">
        <f t="shared" ca="1" si="36"/>
        <v>0</v>
      </c>
      <c r="U32" s="37">
        <f t="shared" ca="1" si="36"/>
        <v>-1345.8299811734776</v>
      </c>
      <c r="V32" s="37">
        <f t="shared" ca="1" si="36"/>
        <v>0</v>
      </c>
      <c r="W32" s="37">
        <f t="shared" ca="1" si="36"/>
        <v>0</v>
      </c>
      <c r="X32" s="37">
        <f t="shared" ca="1" si="36"/>
        <v>0</v>
      </c>
      <c r="Y32" s="37">
        <f t="shared" ca="1" si="36"/>
        <v>0</v>
      </c>
      <c r="Z32" s="37">
        <f t="shared" ca="1" si="36"/>
        <v>0</v>
      </c>
      <c r="AA32" s="37">
        <f t="shared" ca="1" si="36"/>
        <v>0</v>
      </c>
      <c r="AB32" s="37">
        <f t="shared" ca="1" si="36"/>
        <v>0</v>
      </c>
      <c r="AC32" s="37">
        <f t="shared" ca="1" si="36"/>
        <v>0</v>
      </c>
      <c r="AD32" s="37">
        <f t="shared" ca="1" si="36"/>
        <v>0</v>
      </c>
      <c r="AE32" s="37">
        <f t="shared" ca="1" si="36"/>
        <v>0</v>
      </c>
      <c r="AF32" s="37">
        <f t="shared" ca="1" si="36"/>
        <v>0</v>
      </c>
      <c r="AG32" s="37">
        <f t="shared" ca="1" si="36"/>
        <v>-887.76041996527204</v>
      </c>
      <c r="AH32" s="37">
        <f t="shared" ca="1" si="36"/>
        <v>0</v>
      </c>
      <c r="AI32" s="37">
        <f t="shared" ref="AI32:BN32" ca="1" si="37">AI53+AI69+AI85+AI101</f>
        <v>0</v>
      </c>
      <c r="AJ32" s="37">
        <f t="shared" ca="1" si="37"/>
        <v>0</v>
      </c>
      <c r="AK32" s="37">
        <f t="shared" ca="1" si="37"/>
        <v>0</v>
      </c>
      <c r="AL32" s="37">
        <f t="shared" ca="1" si="37"/>
        <v>0</v>
      </c>
      <c r="AM32" s="37">
        <f t="shared" ca="1" si="37"/>
        <v>0</v>
      </c>
      <c r="AN32" s="37">
        <f t="shared" ca="1" si="37"/>
        <v>0</v>
      </c>
      <c r="AO32" s="37">
        <f t="shared" ca="1" si="37"/>
        <v>0</v>
      </c>
      <c r="AP32" s="37">
        <f t="shared" ca="1" si="37"/>
        <v>0</v>
      </c>
      <c r="AQ32" s="37">
        <f t="shared" ca="1" si="37"/>
        <v>0</v>
      </c>
      <c r="AR32" s="37">
        <f t="shared" ca="1" si="37"/>
        <v>0</v>
      </c>
      <c r="AS32" s="37">
        <f t="shared" ca="1" si="37"/>
        <v>-30858.029142765212</v>
      </c>
      <c r="AT32" s="37">
        <f t="shared" ca="1" si="37"/>
        <v>0</v>
      </c>
      <c r="AU32" s="37">
        <f t="shared" ca="1" si="37"/>
        <v>0</v>
      </c>
      <c r="AV32" s="37">
        <f t="shared" ca="1" si="37"/>
        <v>0</v>
      </c>
      <c r="AW32" s="37">
        <f t="shared" ca="1" si="37"/>
        <v>0</v>
      </c>
      <c r="AX32" s="37">
        <f t="shared" ca="1" si="37"/>
        <v>0</v>
      </c>
      <c r="AY32" s="37">
        <f t="shared" ca="1" si="37"/>
        <v>0</v>
      </c>
      <c r="AZ32" s="37">
        <f t="shared" ca="1" si="37"/>
        <v>0</v>
      </c>
      <c r="BA32" s="37">
        <f t="shared" ca="1" si="37"/>
        <v>0</v>
      </c>
      <c r="BB32" s="37">
        <f t="shared" ca="1" si="37"/>
        <v>0</v>
      </c>
      <c r="BC32" s="37">
        <f t="shared" ca="1" si="37"/>
        <v>0</v>
      </c>
      <c r="BD32" s="37">
        <f t="shared" ca="1" si="37"/>
        <v>0</v>
      </c>
      <c r="BE32" s="37">
        <f t="shared" ca="1" si="37"/>
        <v>-27765.554951234266</v>
      </c>
      <c r="BF32" s="37">
        <f t="shared" ca="1" si="37"/>
        <v>0</v>
      </c>
      <c r="BG32" s="37">
        <f t="shared" ca="1" si="37"/>
        <v>0</v>
      </c>
      <c r="BH32" s="37">
        <f t="shared" ca="1" si="37"/>
        <v>0</v>
      </c>
      <c r="BI32" s="37">
        <f t="shared" ca="1" si="37"/>
        <v>0</v>
      </c>
      <c r="BJ32" s="37">
        <f t="shared" ca="1" si="37"/>
        <v>0</v>
      </c>
      <c r="BK32" s="37">
        <f t="shared" ca="1" si="37"/>
        <v>0</v>
      </c>
      <c r="BL32" s="37">
        <f t="shared" ca="1" si="37"/>
        <v>0</v>
      </c>
      <c r="BM32" s="37">
        <f t="shared" ca="1" si="37"/>
        <v>0</v>
      </c>
      <c r="BN32" s="37">
        <f t="shared" ca="1" si="37"/>
        <v>0</v>
      </c>
      <c r="BO32" s="37">
        <f t="shared" ref="BO32:CT32" ca="1" si="38">BO53+BO69+BO85+BO101</f>
        <v>0</v>
      </c>
      <c r="BP32" s="37">
        <f t="shared" ca="1" si="38"/>
        <v>0</v>
      </c>
      <c r="BQ32" s="37">
        <f t="shared" ca="1" si="38"/>
        <v>-23843.8158612357</v>
      </c>
      <c r="BR32" s="37">
        <f t="shared" ca="1" si="38"/>
        <v>0</v>
      </c>
      <c r="BS32" s="37">
        <f t="shared" ca="1" si="38"/>
        <v>0</v>
      </c>
      <c r="BT32" s="37">
        <f t="shared" ca="1" si="38"/>
        <v>0</v>
      </c>
      <c r="BU32" s="37">
        <f t="shared" ca="1" si="38"/>
        <v>0</v>
      </c>
      <c r="BV32" s="37">
        <f t="shared" ca="1" si="38"/>
        <v>0</v>
      </c>
      <c r="BW32" s="37">
        <f t="shared" ca="1" si="38"/>
        <v>0</v>
      </c>
      <c r="BX32" s="37">
        <f t="shared" ca="1" si="38"/>
        <v>0</v>
      </c>
      <c r="BY32" s="37">
        <f t="shared" ca="1" si="38"/>
        <v>0</v>
      </c>
      <c r="BZ32" s="37">
        <f t="shared" ca="1" si="38"/>
        <v>0</v>
      </c>
      <c r="CA32" s="37">
        <f t="shared" ca="1" si="38"/>
        <v>0</v>
      </c>
      <c r="CB32" s="37">
        <f t="shared" ca="1" si="38"/>
        <v>0</v>
      </c>
      <c r="CC32" s="37">
        <f t="shared" ca="1" si="38"/>
        <v>0</v>
      </c>
      <c r="CD32" s="37">
        <f t="shared" ca="1" si="38"/>
        <v>0</v>
      </c>
      <c r="CE32" s="37">
        <f t="shared" ca="1" si="38"/>
        <v>0</v>
      </c>
      <c r="CF32" s="37">
        <f t="shared" ca="1" si="38"/>
        <v>0</v>
      </c>
      <c r="CG32" s="37">
        <f t="shared" ca="1" si="38"/>
        <v>0</v>
      </c>
      <c r="CH32" s="37">
        <f t="shared" ca="1" si="38"/>
        <v>0</v>
      </c>
      <c r="CI32" s="37">
        <f t="shared" ca="1" si="38"/>
        <v>0</v>
      </c>
      <c r="CJ32" s="37">
        <f t="shared" ca="1" si="38"/>
        <v>0</v>
      </c>
      <c r="CK32" s="37">
        <f t="shared" ca="1" si="38"/>
        <v>0</v>
      </c>
      <c r="CL32" s="37">
        <f t="shared" ca="1" si="38"/>
        <v>0</v>
      </c>
      <c r="CM32" s="37">
        <f t="shared" ca="1" si="38"/>
        <v>0</v>
      </c>
      <c r="CN32" s="37">
        <f t="shared" ca="1" si="38"/>
        <v>0</v>
      </c>
      <c r="CO32" s="37">
        <f t="shared" ca="1" si="38"/>
        <v>0</v>
      </c>
      <c r="CP32" s="37">
        <f t="shared" ca="1" si="38"/>
        <v>0</v>
      </c>
      <c r="CQ32" s="37">
        <f t="shared" ca="1" si="38"/>
        <v>0</v>
      </c>
      <c r="CR32" s="37">
        <f t="shared" ca="1" si="38"/>
        <v>0</v>
      </c>
      <c r="CS32" s="37">
        <f t="shared" ca="1" si="38"/>
        <v>0</v>
      </c>
      <c r="CT32" s="37">
        <f t="shared" ca="1" si="38"/>
        <v>0</v>
      </c>
      <c r="CU32" s="37">
        <f t="shared" ref="CU32:DF32" ca="1" si="39">CU53+CU69+CU85+CU101</f>
        <v>0</v>
      </c>
      <c r="CV32" s="37">
        <f t="shared" ca="1" si="39"/>
        <v>0</v>
      </c>
      <c r="CW32" s="37">
        <f t="shared" ca="1" si="39"/>
        <v>0</v>
      </c>
      <c r="CX32" s="37">
        <f t="shared" ca="1" si="39"/>
        <v>0</v>
      </c>
      <c r="CY32" s="37">
        <f t="shared" ca="1" si="39"/>
        <v>0</v>
      </c>
      <c r="CZ32" s="37">
        <f t="shared" ca="1" si="39"/>
        <v>0</v>
      </c>
      <c r="DA32" s="37">
        <f t="shared" ca="1" si="39"/>
        <v>0</v>
      </c>
      <c r="DB32" s="37">
        <f t="shared" ca="1" si="39"/>
        <v>0</v>
      </c>
      <c r="DC32" s="37">
        <f t="shared" ca="1" si="39"/>
        <v>0</v>
      </c>
      <c r="DD32" s="37">
        <f t="shared" ca="1" si="39"/>
        <v>0</v>
      </c>
      <c r="DE32" s="37">
        <f t="shared" ca="1" si="39"/>
        <v>0</v>
      </c>
      <c r="DF32" s="37">
        <f t="shared" ca="1" si="39"/>
        <v>0</v>
      </c>
    </row>
    <row r="33" spans="1:110">
      <c r="A33" s="32" t="s">
        <v>132</v>
      </c>
      <c r="B33" s="32" t="s">
        <v>58</v>
      </c>
      <c r="C33" s="37">
        <f ca="1">C32</f>
        <v>0</v>
      </c>
      <c r="D33" s="37">
        <f t="shared" ref="D33:AI33" ca="1" si="40">C33+D32</f>
        <v>0</v>
      </c>
      <c r="E33" s="37">
        <f t="shared" ca="1" si="40"/>
        <v>0</v>
      </c>
      <c r="F33" s="37">
        <f t="shared" ca="1" si="40"/>
        <v>0</v>
      </c>
      <c r="G33" s="37">
        <f t="shared" ca="1" si="40"/>
        <v>0</v>
      </c>
      <c r="H33" s="37">
        <f t="shared" ca="1" si="40"/>
        <v>0</v>
      </c>
      <c r="I33" s="37">
        <f t="shared" ca="1" si="40"/>
        <v>0</v>
      </c>
      <c r="J33" s="37">
        <f t="shared" ca="1" si="40"/>
        <v>0</v>
      </c>
      <c r="K33" s="37">
        <f t="shared" ca="1" si="40"/>
        <v>0</v>
      </c>
      <c r="L33" s="37">
        <f t="shared" ca="1" si="40"/>
        <v>0</v>
      </c>
      <c r="M33" s="37">
        <f t="shared" ca="1" si="40"/>
        <v>0</v>
      </c>
      <c r="N33" s="37">
        <f t="shared" ca="1" si="40"/>
        <v>0</v>
      </c>
      <c r="O33" s="37">
        <f t="shared" ca="1" si="40"/>
        <v>0</v>
      </c>
      <c r="P33" s="37">
        <f t="shared" ca="1" si="40"/>
        <v>0</v>
      </c>
      <c r="Q33" s="37">
        <f t="shared" ca="1" si="40"/>
        <v>0</v>
      </c>
      <c r="R33" s="37">
        <f t="shared" ca="1" si="40"/>
        <v>0</v>
      </c>
      <c r="S33" s="37">
        <f t="shared" ca="1" si="40"/>
        <v>0</v>
      </c>
      <c r="T33" s="37">
        <f t="shared" ca="1" si="40"/>
        <v>0</v>
      </c>
      <c r="U33" s="37">
        <f t="shared" ca="1" si="40"/>
        <v>-1345.8299811734776</v>
      </c>
      <c r="V33" s="37">
        <f t="shared" ca="1" si="40"/>
        <v>-1345.8299811734776</v>
      </c>
      <c r="W33" s="37">
        <f t="shared" ca="1" si="40"/>
        <v>-1345.8299811734776</v>
      </c>
      <c r="X33" s="37">
        <f t="shared" ca="1" si="40"/>
        <v>-1345.8299811734776</v>
      </c>
      <c r="Y33" s="37">
        <f t="shared" ca="1" si="40"/>
        <v>-1345.8299811734776</v>
      </c>
      <c r="Z33" s="37">
        <f t="shared" ca="1" si="40"/>
        <v>-1345.8299811734776</v>
      </c>
      <c r="AA33" s="37">
        <f t="shared" ca="1" si="40"/>
        <v>-1345.8299811734776</v>
      </c>
      <c r="AB33" s="37">
        <f t="shared" ca="1" si="40"/>
        <v>-1345.8299811734776</v>
      </c>
      <c r="AC33" s="37">
        <f t="shared" ca="1" si="40"/>
        <v>-1345.8299811734776</v>
      </c>
      <c r="AD33" s="37">
        <f t="shared" ca="1" si="40"/>
        <v>-1345.8299811734776</v>
      </c>
      <c r="AE33" s="37">
        <f t="shared" ca="1" si="40"/>
        <v>-1345.8299811734776</v>
      </c>
      <c r="AF33" s="37">
        <f t="shared" ca="1" si="40"/>
        <v>-1345.8299811734776</v>
      </c>
      <c r="AG33" s="37">
        <f t="shared" ca="1" si="40"/>
        <v>-2233.5904011387497</v>
      </c>
      <c r="AH33" s="37">
        <f t="shared" ca="1" si="40"/>
        <v>-2233.5904011387497</v>
      </c>
      <c r="AI33" s="37">
        <f t="shared" ca="1" si="40"/>
        <v>-2233.5904011387497</v>
      </c>
      <c r="AJ33" s="37">
        <f t="shared" ref="AJ33:BO33" ca="1" si="41">AI33+AJ32</f>
        <v>-2233.5904011387497</v>
      </c>
      <c r="AK33" s="37">
        <f t="shared" ca="1" si="41"/>
        <v>-2233.5904011387497</v>
      </c>
      <c r="AL33" s="37">
        <f t="shared" ca="1" si="41"/>
        <v>-2233.5904011387497</v>
      </c>
      <c r="AM33" s="37">
        <f t="shared" ca="1" si="41"/>
        <v>-2233.5904011387497</v>
      </c>
      <c r="AN33" s="37">
        <f t="shared" ca="1" si="41"/>
        <v>-2233.5904011387497</v>
      </c>
      <c r="AO33" s="37">
        <f t="shared" ca="1" si="41"/>
        <v>-2233.5904011387497</v>
      </c>
      <c r="AP33" s="37">
        <f t="shared" ca="1" si="41"/>
        <v>-2233.5904011387497</v>
      </c>
      <c r="AQ33" s="37">
        <f t="shared" ca="1" si="41"/>
        <v>-2233.5904011387497</v>
      </c>
      <c r="AR33" s="37">
        <f t="shared" ca="1" si="41"/>
        <v>-2233.5904011387497</v>
      </c>
      <c r="AS33" s="37">
        <f t="shared" ca="1" si="41"/>
        <v>-33091.619543903958</v>
      </c>
      <c r="AT33" s="37">
        <f t="shared" ca="1" si="41"/>
        <v>-33091.619543903958</v>
      </c>
      <c r="AU33" s="37">
        <f t="shared" ca="1" si="41"/>
        <v>-33091.619543903958</v>
      </c>
      <c r="AV33" s="37">
        <f t="shared" ca="1" si="41"/>
        <v>-33091.619543903958</v>
      </c>
      <c r="AW33" s="37">
        <f t="shared" ca="1" si="41"/>
        <v>-33091.619543903958</v>
      </c>
      <c r="AX33" s="37">
        <f t="shared" ca="1" si="41"/>
        <v>-33091.619543903958</v>
      </c>
      <c r="AY33" s="37">
        <f t="shared" ca="1" si="41"/>
        <v>-33091.619543903958</v>
      </c>
      <c r="AZ33" s="37">
        <f t="shared" ca="1" si="41"/>
        <v>-33091.619543903958</v>
      </c>
      <c r="BA33" s="37">
        <f t="shared" ca="1" si="41"/>
        <v>-33091.619543903958</v>
      </c>
      <c r="BB33" s="37">
        <f t="shared" ca="1" si="41"/>
        <v>-33091.619543903958</v>
      </c>
      <c r="BC33" s="37">
        <f t="shared" ca="1" si="41"/>
        <v>-33091.619543903958</v>
      </c>
      <c r="BD33" s="37">
        <f t="shared" ca="1" si="41"/>
        <v>-33091.619543903958</v>
      </c>
      <c r="BE33" s="37">
        <f t="shared" ca="1" si="41"/>
        <v>-60857.174495138228</v>
      </c>
      <c r="BF33" s="37">
        <f t="shared" ca="1" si="41"/>
        <v>-60857.174495138228</v>
      </c>
      <c r="BG33" s="37">
        <f t="shared" ca="1" si="41"/>
        <v>-60857.174495138228</v>
      </c>
      <c r="BH33" s="37">
        <f t="shared" ca="1" si="41"/>
        <v>-60857.174495138228</v>
      </c>
      <c r="BI33" s="37">
        <f t="shared" ca="1" si="41"/>
        <v>-60857.174495138228</v>
      </c>
      <c r="BJ33" s="37">
        <f t="shared" ca="1" si="41"/>
        <v>-60857.174495138228</v>
      </c>
      <c r="BK33" s="37">
        <f t="shared" ca="1" si="41"/>
        <v>-60857.174495138228</v>
      </c>
      <c r="BL33" s="37">
        <f t="shared" ca="1" si="41"/>
        <v>-60857.174495138228</v>
      </c>
      <c r="BM33" s="37">
        <f t="shared" ca="1" si="41"/>
        <v>-60857.174495138228</v>
      </c>
      <c r="BN33" s="37">
        <f t="shared" ca="1" si="41"/>
        <v>-60857.174495138228</v>
      </c>
      <c r="BO33" s="37">
        <f t="shared" ca="1" si="41"/>
        <v>-60857.174495138228</v>
      </c>
      <c r="BP33" s="37">
        <f t="shared" ref="BP33:CU33" ca="1" si="42">BO33+BP32</f>
        <v>-60857.174495138228</v>
      </c>
      <c r="BQ33" s="37">
        <f t="shared" ca="1" si="42"/>
        <v>-84700.990356373921</v>
      </c>
      <c r="BR33" s="37">
        <f t="shared" ca="1" si="42"/>
        <v>-84700.990356373921</v>
      </c>
      <c r="BS33" s="37">
        <f t="shared" ca="1" si="42"/>
        <v>-84700.990356373921</v>
      </c>
      <c r="BT33" s="37">
        <f t="shared" ca="1" si="42"/>
        <v>-84700.990356373921</v>
      </c>
      <c r="BU33" s="37">
        <f t="shared" ca="1" si="42"/>
        <v>-84700.990356373921</v>
      </c>
      <c r="BV33" s="37">
        <f t="shared" ca="1" si="42"/>
        <v>-84700.990356373921</v>
      </c>
      <c r="BW33" s="37">
        <f t="shared" ca="1" si="42"/>
        <v>-84700.990356373921</v>
      </c>
      <c r="BX33" s="37">
        <f t="shared" ca="1" si="42"/>
        <v>-84700.990356373921</v>
      </c>
      <c r="BY33" s="37">
        <f t="shared" ca="1" si="42"/>
        <v>-84700.990356373921</v>
      </c>
      <c r="BZ33" s="37">
        <f t="shared" ca="1" si="42"/>
        <v>-84700.990356373921</v>
      </c>
      <c r="CA33" s="37">
        <f t="shared" ca="1" si="42"/>
        <v>-84700.990356373921</v>
      </c>
      <c r="CB33" s="37">
        <f t="shared" ca="1" si="42"/>
        <v>-84700.990356373921</v>
      </c>
      <c r="CC33" s="37">
        <f t="shared" ca="1" si="42"/>
        <v>-84700.990356373921</v>
      </c>
      <c r="CD33" s="37">
        <f t="shared" ca="1" si="42"/>
        <v>-84700.990356373921</v>
      </c>
      <c r="CE33" s="37">
        <f t="shared" ca="1" si="42"/>
        <v>-84700.990356373921</v>
      </c>
      <c r="CF33" s="37">
        <f t="shared" ca="1" si="42"/>
        <v>-84700.990356373921</v>
      </c>
      <c r="CG33" s="37">
        <f t="shared" ca="1" si="42"/>
        <v>-84700.990356373921</v>
      </c>
      <c r="CH33" s="37">
        <f t="shared" ca="1" si="42"/>
        <v>-84700.990356373921</v>
      </c>
      <c r="CI33" s="37">
        <f t="shared" ca="1" si="42"/>
        <v>-84700.990356373921</v>
      </c>
      <c r="CJ33" s="37">
        <f t="shared" ca="1" si="42"/>
        <v>-84700.990356373921</v>
      </c>
      <c r="CK33" s="37">
        <f t="shared" ca="1" si="42"/>
        <v>-84700.990356373921</v>
      </c>
      <c r="CL33" s="37">
        <f t="shared" ca="1" si="42"/>
        <v>-84700.990356373921</v>
      </c>
      <c r="CM33" s="37">
        <f t="shared" ca="1" si="42"/>
        <v>-84700.990356373921</v>
      </c>
      <c r="CN33" s="37">
        <f t="shared" ca="1" si="42"/>
        <v>-84700.990356373921</v>
      </c>
      <c r="CO33" s="37">
        <f t="shared" ca="1" si="42"/>
        <v>-84700.990356373921</v>
      </c>
      <c r="CP33" s="37">
        <f t="shared" ca="1" si="42"/>
        <v>-84700.990356373921</v>
      </c>
      <c r="CQ33" s="37">
        <f t="shared" ca="1" si="42"/>
        <v>-84700.990356373921</v>
      </c>
      <c r="CR33" s="37">
        <f t="shared" ca="1" si="42"/>
        <v>-84700.990356373921</v>
      </c>
      <c r="CS33" s="37">
        <f t="shared" ca="1" si="42"/>
        <v>-84700.990356373921</v>
      </c>
      <c r="CT33" s="37">
        <f t="shared" ca="1" si="42"/>
        <v>-84700.990356373921</v>
      </c>
      <c r="CU33" s="37">
        <f t="shared" ca="1" si="42"/>
        <v>-84700.990356373921</v>
      </c>
      <c r="CV33" s="37">
        <f t="shared" ref="CV33:DF33" ca="1" si="43">CU33+CV32</f>
        <v>-84700.990356373921</v>
      </c>
      <c r="CW33" s="37">
        <f t="shared" ca="1" si="43"/>
        <v>-84700.990356373921</v>
      </c>
      <c r="CX33" s="37">
        <f t="shared" ca="1" si="43"/>
        <v>-84700.990356373921</v>
      </c>
      <c r="CY33" s="37">
        <f t="shared" ca="1" si="43"/>
        <v>-84700.990356373921</v>
      </c>
      <c r="CZ33" s="37">
        <f t="shared" ca="1" si="43"/>
        <v>-84700.990356373921</v>
      </c>
      <c r="DA33" s="37">
        <f t="shared" ca="1" si="43"/>
        <v>-84700.990356373921</v>
      </c>
      <c r="DB33" s="37">
        <f t="shared" ca="1" si="43"/>
        <v>-84700.990356373921</v>
      </c>
      <c r="DC33" s="37">
        <f t="shared" ca="1" si="43"/>
        <v>-84700.990356373921</v>
      </c>
      <c r="DD33" s="37">
        <f t="shared" ca="1" si="43"/>
        <v>-84700.990356373921</v>
      </c>
      <c r="DE33" s="37">
        <f t="shared" ca="1" si="43"/>
        <v>-84700.990356373921</v>
      </c>
      <c r="DF33" s="37">
        <f t="shared" ca="1" si="43"/>
        <v>-84700.990356373921</v>
      </c>
    </row>
    <row r="34" spans="1:110">
      <c r="A34" s="4" t="s">
        <v>133</v>
      </c>
      <c r="B34" s="4" t="s">
        <v>58</v>
      </c>
      <c r="C34" s="36">
        <f t="shared" ref="C34:AH34" ca="1" si="44">C54+C70+C86+C102</f>
        <v>0</v>
      </c>
      <c r="D34" s="36">
        <f t="shared" ca="1" si="44"/>
        <v>0</v>
      </c>
      <c r="E34" s="36">
        <f t="shared" ca="1" si="44"/>
        <v>0</v>
      </c>
      <c r="F34" s="36">
        <f t="shared" ca="1" si="44"/>
        <v>0</v>
      </c>
      <c r="G34" s="36">
        <f t="shared" ca="1" si="44"/>
        <v>0</v>
      </c>
      <c r="H34" s="36">
        <f t="shared" ca="1" si="44"/>
        <v>0</v>
      </c>
      <c r="I34" s="36">
        <f t="shared" ca="1" si="44"/>
        <v>0</v>
      </c>
      <c r="J34" s="36">
        <f t="shared" ca="1" si="44"/>
        <v>0</v>
      </c>
      <c r="K34" s="36">
        <f t="shared" ca="1" si="44"/>
        <v>0</v>
      </c>
      <c r="L34" s="36">
        <f t="shared" ca="1" si="44"/>
        <v>0</v>
      </c>
      <c r="M34" s="36">
        <f t="shared" ca="1" si="44"/>
        <v>0</v>
      </c>
      <c r="N34" s="36">
        <f t="shared" ca="1" si="44"/>
        <v>0</v>
      </c>
      <c r="O34" s="36">
        <f t="shared" ca="1" si="44"/>
        <v>0</v>
      </c>
      <c r="P34" s="36">
        <f t="shared" ca="1" si="44"/>
        <v>0</v>
      </c>
      <c r="Q34" s="36">
        <f t="shared" ca="1" si="44"/>
        <v>0</v>
      </c>
      <c r="R34" s="36">
        <f t="shared" ca="1" si="44"/>
        <v>0</v>
      </c>
      <c r="S34" s="36">
        <f t="shared" ca="1" si="44"/>
        <v>0</v>
      </c>
      <c r="T34" s="36">
        <f t="shared" ca="1" si="44"/>
        <v>0</v>
      </c>
      <c r="U34" s="36">
        <f t="shared" ca="1" si="44"/>
        <v>631.45495286383368</v>
      </c>
      <c r="V34" s="36">
        <f t="shared" ca="1" si="44"/>
        <v>1307.1524031339354</v>
      </c>
      <c r="W34" s="36">
        <f t="shared" ca="1" si="44"/>
        <v>2195.4842171311388</v>
      </c>
      <c r="X34" s="36">
        <f t="shared" ca="1" si="44"/>
        <v>3221.221224072935</v>
      </c>
      <c r="Y34" s="36">
        <f t="shared" ca="1" si="44"/>
        <v>4305.4685983017871</v>
      </c>
      <c r="Z34" s="36">
        <f t="shared" ca="1" si="44"/>
        <v>5449.7946708645059</v>
      </c>
      <c r="AA34" s="36">
        <f t="shared" ca="1" si="44"/>
        <v>6514.6715910501598</v>
      </c>
      <c r="AB34" s="36">
        <f t="shared" ca="1" si="44"/>
        <v>7827.1585807663141</v>
      </c>
      <c r="AC34" s="36">
        <f t="shared" ca="1" si="44"/>
        <v>9161.3123046937708</v>
      </c>
      <c r="AD34" s="36">
        <f t="shared" ca="1" si="44"/>
        <v>10517.457763845698</v>
      </c>
      <c r="AE34" s="36">
        <f t="shared" ca="1" si="44"/>
        <v>11691.730925034819</v>
      </c>
      <c r="AF34" s="36">
        <f t="shared" ca="1" si="44"/>
        <v>12885.262056332325</v>
      </c>
      <c r="AG34" s="36">
        <f t="shared" ca="1" si="44"/>
        <v>14602.342739274402</v>
      </c>
      <c r="AH34" s="36">
        <f t="shared" ca="1" si="44"/>
        <v>16374.578008428063</v>
      </c>
      <c r="AI34" s="36">
        <f t="shared" ref="AI34:BN34" ca="1" si="45">AI54+AI70+AI86+AI102</f>
        <v>18685.780886671793</v>
      </c>
      <c r="AJ34" s="36">
        <f t="shared" ca="1" si="45"/>
        <v>21132.690435480592</v>
      </c>
      <c r="AK34" s="36">
        <f t="shared" ca="1" si="45"/>
        <v>23652.726781251269</v>
      </c>
      <c r="AL34" s="36">
        <f t="shared" ca="1" si="45"/>
        <v>26247.538221623283</v>
      </c>
      <c r="AM34" s="36">
        <f t="shared" ca="1" si="45"/>
        <v>28576.138610423237</v>
      </c>
      <c r="AN34" s="36">
        <f t="shared" ca="1" si="45"/>
        <v>31615.431213272892</v>
      </c>
      <c r="AO34" s="36">
        <f t="shared" ca="1" si="45"/>
        <v>34701.344624748017</v>
      </c>
      <c r="AP34" s="36">
        <f t="shared" ca="1" si="45"/>
        <v>37818.383900390923</v>
      </c>
      <c r="AQ34" s="36">
        <f t="shared" ca="1" si="45"/>
        <v>40524.588023881923</v>
      </c>
      <c r="AR34" s="36">
        <f t="shared" ca="1" si="45"/>
        <v>43258.211955121813</v>
      </c>
      <c r="AS34" s="36">
        <f t="shared" ca="1" si="45"/>
        <v>19045.489175411614</v>
      </c>
      <c r="AT34" s="36">
        <f t="shared" ca="1" si="45"/>
        <v>21690.492713344316</v>
      </c>
      <c r="AU34" s="36">
        <f t="shared" ca="1" si="45"/>
        <v>24859.978585256489</v>
      </c>
      <c r="AV34" s="36">
        <f t="shared" ca="1" si="45"/>
        <v>28153.715772620832</v>
      </c>
      <c r="AW34" s="36">
        <f t="shared" ca="1" si="45"/>
        <v>31509.100825345151</v>
      </c>
      <c r="AX34" s="36">
        <f t="shared" ca="1" si="45"/>
        <v>34927.757192438177</v>
      </c>
      <c r="AY34" s="36">
        <f t="shared" ca="1" si="45"/>
        <v>37949.908337822199</v>
      </c>
      <c r="AZ34" s="36">
        <f t="shared" ca="1" si="45"/>
        <v>40644.421773401678</v>
      </c>
      <c r="BA34" s="36">
        <f t="shared" ca="1" si="45"/>
        <v>43380.494754879517</v>
      </c>
      <c r="BB34" s="36">
        <f t="shared" ca="1" si="45"/>
        <v>46145.820848229429</v>
      </c>
      <c r="BC34" s="36">
        <f t="shared" ca="1" si="45"/>
        <v>48554.741979279584</v>
      </c>
      <c r="BD34" s="36">
        <f t="shared" ca="1" si="45"/>
        <v>50989.543355250316</v>
      </c>
      <c r="BE34" s="36">
        <f t="shared" ca="1" si="45"/>
        <v>27712.71555555841</v>
      </c>
      <c r="BF34" s="36">
        <f t="shared" ca="1" si="45"/>
        <v>29654.256230814539</v>
      </c>
      <c r="BG34" s="36">
        <f t="shared" ca="1" si="45"/>
        <v>31862.425577819249</v>
      </c>
      <c r="BH34" s="36">
        <f t="shared" ca="1" si="45"/>
        <v>34084.541762198482</v>
      </c>
      <c r="BI34" s="36">
        <f t="shared" ca="1" si="45"/>
        <v>36320.928180828247</v>
      </c>
      <c r="BJ34" s="36">
        <f t="shared" ca="1" si="45"/>
        <v>38571.912337756366</v>
      </c>
      <c r="BK34" s="36">
        <f t="shared" ca="1" si="45"/>
        <v>40522.338013189918</v>
      </c>
      <c r="BL34" s="36">
        <f t="shared" ca="1" si="45"/>
        <v>42134.003381394512</v>
      </c>
      <c r="BM34" s="36">
        <f t="shared" ca="1" si="45"/>
        <v>43632.107806470987</v>
      </c>
      <c r="BN34" s="36">
        <f t="shared" ca="1" si="45"/>
        <v>45139.312271581046</v>
      </c>
      <c r="BO34" s="36">
        <f t="shared" ref="BO34:CT34" ca="1" si="46">BO54+BO70+BO86+BO102</f>
        <v>46432.636019745696</v>
      </c>
      <c r="BP34" s="36">
        <f t="shared" ca="1" si="46"/>
        <v>47733.790953935204</v>
      </c>
      <c r="BQ34" s="36">
        <f t="shared" ca="1" si="46"/>
        <v>27226.73600768148</v>
      </c>
      <c r="BR34" s="36">
        <f t="shared" ca="1" si="46"/>
        <v>27997.715854676375</v>
      </c>
      <c r="BS34" s="36">
        <f t="shared" ca="1" si="46"/>
        <v>28899.131507562844</v>
      </c>
      <c r="BT34" s="36">
        <f t="shared" ca="1" si="46"/>
        <v>29794.962514132592</v>
      </c>
      <c r="BU34" s="36">
        <f t="shared" ca="1" si="46"/>
        <v>30685.243473601175</v>
      </c>
      <c r="BV34" s="36">
        <f t="shared" ca="1" si="46"/>
        <v>31570.008770827568</v>
      </c>
      <c r="BW34" s="36">
        <f t="shared" ca="1" si="46"/>
        <v>32317.400006619995</v>
      </c>
      <c r="BX34" s="36">
        <f t="shared" ca="1" si="46"/>
        <v>32317.400006619995</v>
      </c>
      <c r="BY34" s="36">
        <f t="shared" ca="1" si="46"/>
        <v>32317.400006619995</v>
      </c>
      <c r="BZ34" s="36">
        <f t="shared" ca="1" si="46"/>
        <v>32317.400006619995</v>
      </c>
      <c r="CA34" s="36">
        <f t="shared" ca="1" si="46"/>
        <v>32317.400006619995</v>
      </c>
      <c r="CB34" s="36">
        <f t="shared" ca="1" si="46"/>
        <v>32317.400006619995</v>
      </c>
      <c r="CC34" s="36">
        <f t="shared" ca="1" si="46"/>
        <v>32317.400006619995</v>
      </c>
      <c r="CD34" s="36">
        <f t="shared" ca="1" si="46"/>
        <v>32317.400006619995</v>
      </c>
      <c r="CE34" s="36">
        <f t="shared" ca="1" si="46"/>
        <v>32317.400006619995</v>
      </c>
      <c r="CF34" s="36">
        <f t="shared" ca="1" si="46"/>
        <v>32317.400006619995</v>
      </c>
      <c r="CG34" s="36">
        <f t="shared" ca="1" si="46"/>
        <v>32317.400006619995</v>
      </c>
      <c r="CH34" s="36">
        <f t="shared" ca="1" si="46"/>
        <v>32317.400006619995</v>
      </c>
      <c r="CI34" s="36">
        <f t="shared" ca="1" si="46"/>
        <v>32317.400006619995</v>
      </c>
      <c r="CJ34" s="36">
        <f t="shared" ca="1" si="46"/>
        <v>32317.400006619995</v>
      </c>
      <c r="CK34" s="36">
        <f t="shared" ca="1" si="46"/>
        <v>32317.400006619995</v>
      </c>
      <c r="CL34" s="36">
        <f t="shared" ca="1" si="46"/>
        <v>32317.400006619995</v>
      </c>
      <c r="CM34" s="36">
        <f t="shared" ca="1" si="46"/>
        <v>32317.400006619995</v>
      </c>
      <c r="CN34" s="36">
        <f t="shared" ca="1" si="46"/>
        <v>32317.400006619995</v>
      </c>
      <c r="CO34" s="36">
        <f t="shared" ca="1" si="46"/>
        <v>32317.400006619995</v>
      </c>
      <c r="CP34" s="36">
        <f t="shared" ca="1" si="46"/>
        <v>32317.400006619995</v>
      </c>
      <c r="CQ34" s="36">
        <f t="shared" ca="1" si="46"/>
        <v>32317.400006619995</v>
      </c>
      <c r="CR34" s="36">
        <f t="shared" ca="1" si="46"/>
        <v>32317.400006619995</v>
      </c>
      <c r="CS34" s="36">
        <f t="shared" ca="1" si="46"/>
        <v>32317.400006619995</v>
      </c>
      <c r="CT34" s="36">
        <f t="shared" ca="1" si="46"/>
        <v>32317.400006619995</v>
      </c>
      <c r="CU34" s="36">
        <f t="shared" ref="CU34:DF34" ca="1" si="47">CU54+CU70+CU86+CU102</f>
        <v>32317.400006619995</v>
      </c>
      <c r="CV34" s="36">
        <f t="shared" ca="1" si="47"/>
        <v>32317.400006619995</v>
      </c>
      <c r="CW34" s="36">
        <f t="shared" ca="1" si="47"/>
        <v>32317.400006619995</v>
      </c>
      <c r="CX34" s="36">
        <f t="shared" ca="1" si="47"/>
        <v>32317.400006619995</v>
      </c>
      <c r="CY34" s="36">
        <f t="shared" ca="1" si="47"/>
        <v>32317.400006619995</v>
      </c>
      <c r="CZ34" s="36">
        <f t="shared" ca="1" si="47"/>
        <v>20223.515753345819</v>
      </c>
      <c r="DA34" s="36">
        <f t="shared" ca="1" si="47"/>
        <v>20223.515753345819</v>
      </c>
      <c r="DB34" s="36">
        <f t="shared" ca="1" si="47"/>
        <v>20223.515753345819</v>
      </c>
      <c r="DC34" s="36">
        <f t="shared" ca="1" si="47"/>
        <v>20223.515753345819</v>
      </c>
      <c r="DD34" s="36">
        <f t="shared" ca="1" si="47"/>
        <v>20223.515753345819</v>
      </c>
      <c r="DE34" s="36">
        <f t="shared" ca="1" si="47"/>
        <v>20223.515753345819</v>
      </c>
      <c r="DF34" s="36">
        <f t="shared" ca="1" si="47"/>
        <v>20223.515753345819</v>
      </c>
    </row>
    <row r="35" spans="1:110">
      <c r="A35" s="4" t="s">
        <v>134</v>
      </c>
      <c r="B35" s="4" t="s">
        <v>58</v>
      </c>
      <c r="C35" s="36">
        <f t="shared" ref="C35:AH35" ca="1" si="48">C55+C71+C87+C103</f>
        <v>0</v>
      </c>
      <c r="D35" s="36">
        <f t="shared" ca="1" si="48"/>
        <v>0</v>
      </c>
      <c r="E35" s="36">
        <f t="shared" ca="1" si="48"/>
        <v>0.84524999999999995</v>
      </c>
      <c r="F35" s="36">
        <f t="shared" ca="1" si="48"/>
        <v>0.84524999999999995</v>
      </c>
      <c r="G35" s="36">
        <f t="shared" ca="1" si="48"/>
        <v>0.84524999999999995</v>
      </c>
      <c r="H35" s="36">
        <f t="shared" ca="1" si="48"/>
        <v>0.84524999999999995</v>
      </c>
      <c r="I35" s="36">
        <f t="shared" ca="1" si="48"/>
        <v>0.84524999999999995</v>
      </c>
      <c r="J35" s="36">
        <f t="shared" ca="1" si="48"/>
        <v>0.84524999999999995</v>
      </c>
      <c r="K35" s="36">
        <f t="shared" ca="1" si="48"/>
        <v>0.84524999999999995</v>
      </c>
      <c r="L35" s="36">
        <f t="shared" ca="1" si="48"/>
        <v>0.84524999999999995</v>
      </c>
      <c r="M35" s="36">
        <f t="shared" ca="1" si="48"/>
        <v>0.84524999999999995</v>
      </c>
      <c r="N35" s="36">
        <f t="shared" ca="1" si="48"/>
        <v>0.84524999999999995</v>
      </c>
      <c r="O35" s="36">
        <f t="shared" ca="1" si="48"/>
        <v>216.37752592941595</v>
      </c>
      <c r="P35" s="36">
        <f t="shared" ca="1" si="48"/>
        <v>117.62455586721083</v>
      </c>
      <c r="Q35" s="36">
        <f t="shared" ca="1" si="48"/>
        <v>117.62455586721083</v>
      </c>
      <c r="R35" s="36">
        <f t="shared" ca="1" si="48"/>
        <v>530.37640036560651</v>
      </c>
      <c r="S35" s="36">
        <f t="shared" ca="1" si="48"/>
        <v>177.68722157201663</v>
      </c>
      <c r="T35" s="36">
        <f t="shared" ca="1" si="48"/>
        <v>177.68722157201663</v>
      </c>
      <c r="U35" s="36">
        <f t="shared" ca="1" si="48"/>
        <v>0</v>
      </c>
      <c r="V35" s="36">
        <f t="shared" ca="1" si="48"/>
        <v>0</v>
      </c>
      <c r="W35" s="36">
        <f t="shared" ca="1" si="48"/>
        <v>0</v>
      </c>
      <c r="X35" s="36">
        <f t="shared" ca="1" si="48"/>
        <v>0</v>
      </c>
      <c r="Y35" s="36">
        <f t="shared" ca="1" si="48"/>
        <v>0</v>
      </c>
      <c r="Z35" s="36">
        <f t="shared" ca="1" si="48"/>
        <v>0</v>
      </c>
      <c r="AA35" s="36">
        <f t="shared" ca="1" si="48"/>
        <v>0</v>
      </c>
      <c r="AB35" s="36">
        <f t="shared" ca="1" si="48"/>
        <v>0</v>
      </c>
      <c r="AC35" s="36">
        <f t="shared" ca="1" si="48"/>
        <v>147.79907449732906</v>
      </c>
      <c r="AD35" s="36">
        <f t="shared" ca="1" si="48"/>
        <v>375.97314738029723</v>
      </c>
      <c r="AE35" s="36">
        <f t="shared" ca="1" si="48"/>
        <v>181.99409904382293</v>
      </c>
      <c r="AF35" s="36">
        <f t="shared" ca="1" si="48"/>
        <v>181.99409904382293</v>
      </c>
      <c r="AG35" s="36">
        <f t="shared" ca="1" si="48"/>
        <v>0</v>
      </c>
      <c r="AH35" s="36">
        <f t="shared" ca="1" si="48"/>
        <v>0</v>
      </c>
      <c r="AI35" s="36">
        <f t="shared" ref="AI35:BN35" ca="1" si="49">AI55+AI71+AI87+AI103</f>
        <v>0</v>
      </c>
      <c r="AJ35" s="36">
        <f t="shared" ca="1" si="49"/>
        <v>0</v>
      </c>
      <c r="AK35" s="36">
        <f t="shared" ca="1" si="49"/>
        <v>0</v>
      </c>
      <c r="AL35" s="36">
        <f t="shared" ca="1" si="49"/>
        <v>0</v>
      </c>
      <c r="AM35" s="36">
        <f t="shared" ca="1" si="49"/>
        <v>0</v>
      </c>
      <c r="AN35" s="36">
        <f t="shared" ca="1" si="49"/>
        <v>0</v>
      </c>
      <c r="AO35" s="36">
        <f t="shared" ca="1" si="49"/>
        <v>147.79907449732906</v>
      </c>
      <c r="AP35" s="36">
        <f t="shared" ca="1" si="49"/>
        <v>343.41722318396586</v>
      </c>
      <c r="AQ35" s="36">
        <f t="shared" ca="1" si="49"/>
        <v>177.65330915097871</v>
      </c>
      <c r="AR35" s="36">
        <f t="shared" ca="1" si="49"/>
        <v>177.65330915097871</v>
      </c>
      <c r="AS35" s="36">
        <f t="shared" ca="1" si="49"/>
        <v>0</v>
      </c>
      <c r="AT35" s="36">
        <f t="shared" ca="1" si="49"/>
        <v>0</v>
      </c>
      <c r="AU35" s="36">
        <f t="shared" ca="1" si="49"/>
        <v>0</v>
      </c>
      <c r="AV35" s="36">
        <f t="shared" ca="1" si="49"/>
        <v>0</v>
      </c>
      <c r="AW35" s="36">
        <f t="shared" ca="1" si="49"/>
        <v>0</v>
      </c>
      <c r="AX35" s="36">
        <f t="shared" ca="1" si="49"/>
        <v>0</v>
      </c>
      <c r="AY35" s="36">
        <f t="shared" ca="1" si="49"/>
        <v>0</v>
      </c>
      <c r="AZ35" s="36">
        <f t="shared" ca="1" si="49"/>
        <v>0</v>
      </c>
      <c r="BA35" s="36">
        <f t="shared" ca="1" si="49"/>
        <v>0</v>
      </c>
      <c r="BB35" s="36">
        <f t="shared" ca="1" si="49"/>
        <v>0</v>
      </c>
      <c r="BC35" s="36">
        <f t="shared" ca="1" si="49"/>
        <v>0</v>
      </c>
      <c r="BD35" s="36">
        <f t="shared" ca="1" si="49"/>
        <v>0</v>
      </c>
      <c r="BE35" s="36">
        <f t="shared" ca="1" si="49"/>
        <v>0</v>
      </c>
      <c r="BF35" s="36">
        <f t="shared" ca="1" si="49"/>
        <v>0</v>
      </c>
      <c r="BG35" s="36">
        <f t="shared" ca="1" si="49"/>
        <v>0</v>
      </c>
      <c r="BH35" s="36">
        <f t="shared" ca="1" si="49"/>
        <v>0</v>
      </c>
      <c r="BI35" s="36">
        <f t="shared" ca="1" si="49"/>
        <v>0</v>
      </c>
      <c r="BJ35" s="36">
        <f t="shared" ca="1" si="49"/>
        <v>0</v>
      </c>
      <c r="BK35" s="36">
        <f t="shared" ca="1" si="49"/>
        <v>0</v>
      </c>
      <c r="BL35" s="36">
        <f t="shared" ca="1" si="49"/>
        <v>0</v>
      </c>
      <c r="BM35" s="36">
        <f t="shared" ca="1" si="49"/>
        <v>0</v>
      </c>
      <c r="BN35" s="36">
        <f t="shared" ca="1" si="49"/>
        <v>0</v>
      </c>
      <c r="BO35" s="36">
        <f t="shared" ref="BO35:CT35" ca="1" si="50">BO55+BO71+BO87+BO103</f>
        <v>0</v>
      </c>
      <c r="BP35" s="36">
        <f t="shared" ca="1" si="50"/>
        <v>0</v>
      </c>
      <c r="BQ35" s="36">
        <f t="shared" ca="1" si="50"/>
        <v>0</v>
      </c>
      <c r="BR35" s="36">
        <f t="shared" ca="1" si="50"/>
        <v>0</v>
      </c>
      <c r="BS35" s="36">
        <f t="shared" ca="1" si="50"/>
        <v>0</v>
      </c>
      <c r="BT35" s="36">
        <f t="shared" ca="1" si="50"/>
        <v>0</v>
      </c>
      <c r="BU35" s="36">
        <f t="shared" ca="1" si="50"/>
        <v>0</v>
      </c>
      <c r="BV35" s="36">
        <f t="shared" ca="1" si="50"/>
        <v>0</v>
      </c>
      <c r="BW35" s="36">
        <f t="shared" ca="1" si="50"/>
        <v>0</v>
      </c>
      <c r="BX35" s="36">
        <f t="shared" ca="1" si="50"/>
        <v>0</v>
      </c>
      <c r="BY35" s="36">
        <f t="shared" ca="1" si="50"/>
        <v>0</v>
      </c>
      <c r="BZ35" s="36">
        <f t="shared" ca="1" si="50"/>
        <v>0</v>
      </c>
      <c r="CA35" s="36">
        <f t="shared" ca="1" si="50"/>
        <v>0</v>
      </c>
      <c r="CB35" s="36">
        <f t="shared" ca="1" si="50"/>
        <v>0</v>
      </c>
      <c r="CC35" s="36">
        <f t="shared" ca="1" si="50"/>
        <v>0</v>
      </c>
      <c r="CD35" s="36">
        <f t="shared" ca="1" si="50"/>
        <v>0</v>
      </c>
      <c r="CE35" s="36">
        <f t="shared" ca="1" si="50"/>
        <v>0</v>
      </c>
      <c r="CF35" s="36">
        <f t="shared" ca="1" si="50"/>
        <v>0</v>
      </c>
      <c r="CG35" s="36">
        <f t="shared" ca="1" si="50"/>
        <v>0</v>
      </c>
      <c r="CH35" s="36">
        <f t="shared" ca="1" si="50"/>
        <v>0</v>
      </c>
      <c r="CI35" s="36">
        <f t="shared" ca="1" si="50"/>
        <v>0</v>
      </c>
      <c r="CJ35" s="36">
        <f t="shared" ca="1" si="50"/>
        <v>0</v>
      </c>
      <c r="CK35" s="36">
        <f t="shared" ca="1" si="50"/>
        <v>0</v>
      </c>
      <c r="CL35" s="36">
        <f t="shared" ca="1" si="50"/>
        <v>0</v>
      </c>
      <c r="CM35" s="36">
        <f t="shared" ca="1" si="50"/>
        <v>0</v>
      </c>
      <c r="CN35" s="36">
        <f t="shared" ca="1" si="50"/>
        <v>0</v>
      </c>
      <c r="CO35" s="36">
        <f t="shared" ca="1" si="50"/>
        <v>0</v>
      </c>
      <c r="CP35" s="36">
        <f t="shared" ca="1" si="50"/>
        <v>0</v>
      </c>
      <c r="CQ35" s="36">
        <f t="shared" ca="1" si="50"/>
        <v>0</v>
      </c>
      <c r="CR35" s="36">
        <f t="shared" ca="1" si="50"/>
        <v>0</v>
      </c>
      <c r="CS35" s="36">
        <f t="shared" ca="1" si="50"/>
        <v>0</v>
      </c>
      <c r="CT35" s="36">
        <f t="shared" ca="1" si="50"/>
        <v>0</v>
      </c>
      <c r="CU35" s="36">
        <f t="shared" ref="CU35:DF35" ca="1" si="51">CU55+CU71+CU87+CU103</f>
        <v>0</v>
      </c>
      <c r="CV35" s="36">
        <f t="shared" ca="1" si="51"/>
        <v>0</v>
      </c>
      <c r="CW35" s="36">
        <f t="shared" ca="1" si="51"/>
        <v>0</v>
      </c>
      <c r="CX35" s="36">
        <f t="shared" ca="1" si="51"/>
        <v>0</v>
      </c>
      <c r="CY35" s="36">
        <f t="shared" ca="1" si="51"/>
        <v>0</v>
      </c>
      <c r="CZ35" s="36">
        <f t="shared" ca="1" si="51"/>
        <v>0</v>
      </c>
      <c r="DA35" s="36">
        <f t="shared" ca="1" si="51"/>
        <v>0</v>
      </c>
      <c r="DB35" s="36">
        <f t="shared" ca="1" si="51"/>
        <v>0</v>
      </c>
      <c r="DC35" s="36">
        <f t="shared" ca="1" si="51"/>
        <v>0</v>
      </c>
      <c r="DD35" s="36">
        <f t="shared" ca="1" si="51"/>
        <v>0</v>
      </c>
      <c r="DE35" s="36">
        <f t="shared" ca="1" si="51"/>
        <v>0</v>
      </c>
      <c r="DF35" s="36">
        <f t="shared" ca="1" si="51"/>
        <v>0</v>
      </c>
    </row>
    <row r="36" spans="1:110">
      <c r="A36" s="4" t="s">
        <v>135</v>
      </c>
      <c r="B36" s="4" t="s">
        <v>58</v>
      </c>
      <c r="C36" s="36">
        <f t="shared" ref="C36:AH36" ca="1" si="52">C56+C72+C88+C104</f>
        <v>0</v>
      </c>
      <c r="D36" s="36">
        <f t="shared" ca="1" si="52"/>
        <v>0</v>
      </c>
      <c r="E36" s="36">
        <f t="shared" ca="1" si="52"/>
        <v>0</v>
      </c>
      <c r="F36" s="36">
        <f t="shared" ca="1" si="52"/>
        <v>0</v>
      </c>
      <c r="G36" s="36">
        <f t="shared" ca="1" si="52"/>
        <v>0</v>
      </c>
      <c r="H36" s="36">
        <f t="shared" ca="1" si="52"/>
        <v>0</v>
      </c>
      <c r="I36" s="36">
        <f t="shared" ca="1" si="52"/>
        <v>0</v>
      </c>
      <c r="J36" s="36">
        <f t="shared" ca="1" si="52"/>
        <v>0</v>
      </c>
      <c r="K36" s="36">
        <f t="shared" ca="1" si="52"/>
        <v>0</v>
      </c>
      <c r="L36" s="36">
        <f t="shared" ca="1" si="52"/>
        <v>0</v>
      </c>
      <c r="M36" s="36">
        <f t="shared" ca="1" si="52"/>
        <v>0</v>
      </c>
      <c r="N36" s="36">
        <f t="shared" ca="1" si="52"/>
        <v>0</v>
      </c>
      <c r="O36" s="36">
        <f t="shared" ca="1" si="52"/>
        <v>0</v>
      </c>
      <c r="P36" s="36">
        <f t="shared" ca="1" si="52"/>
        <v>0</v>
      </c>
      <c r="Q36" s="36">
        <f t="shared" ca="1" si="52"/>
        <v>0</v>
      </c>
      <c r="R36" s="36">
        <f t="shared" ca="1" si="52"/>
        <v>0</v>
      </c>
      <c r="S36" s="36">
        <f t="shared" ca="1" si="52"/>
        <v>0</v>
      </c>
      <c r="T36" s="36">
        <f t="shared" ca="1" si="52"/>
        <v>0</v>
      </c>
      <c r="U36" s="36">
        <f t="shared" ca="1" si="52"/>
        <v>4410.4738566968699</v>
      </c>
      <c r="V36" s="36">
        <f t="shared" ca="1" si="52"/>
        <v>5409.3325278247485</v>
      </c>
      <c r="W36" s="36">
        <f t="shared" ca="1" si="52"/>
        <v>6384.6785876231097</v>
      </c>
      <c r="X36" s="36">
        <f t="shared" ca="1" si="52"/>
        <v>7360.0246480115275</v>
      </c>
      <c r="Y36" s="36">
        <f t="shared" ca="1" si="52"/>
        <v>8335.3707089899999</v>
      </c>
      <c r="Z36" s="36">
        <f t="shared" ca="1" si="52"/>
        <v>9310.7167705585307</v>
      </c>
      <c r="AA36" s="36">
        <f t="shared" ca="1" si="52"/>
        <v>10305.312832717118</v>
      </c>
      <c r="AB36" s="36">
        <f t="shared" ca="1" si="52"/>
        <v>11299.90889546576</v>
      </c>
      <c r="AC36" s="36">
        <f t="shared" ca="1" si="52"/>
        <v>12294.504958804459</v>
      </c>
      <c r="AD36" s="36">
        <f t="shared" ca="1" si="52"/>
        <v>13289.101022733214</v>
      </c>
      <c r="AE36" s="36">
        <f t="shared" ca="1" si="52"/>
        <v>14283.697087252023</v>
      </c>
      <c r="AF36" s="36">
        <f t="shared" ca="1" si="52"/>
        <v>15278.293152360891</v>
      </c>
      <c r="AG36" s="36">
        <f t="shared" ca="1" si="52"/>
        <v>19639.3490095661</v>
      </c>
      <c r="AH36" s="36">
        <f t="shared" ca="1" si="52"/>
        <v>21480.709851009495</v>
      </c>
      <c r="AI36" s="36">
        <f t="shared" ref="AI36:BN36" ca="1" si="53">AI56+AI72+AI88+AI104</f>
        <v>23352.385280533312</v>
      </c>
      <c r="AJ36" s="36">
        <f t="shared" ca="1" si="53"/>
        <v>25224.060710057136</v>
      </c>
      <c r="AK36" s="36">
        <f t="shared" ca="1" si="53"/>
        <v>27095.736139580953</v>
      </c>
      <c r="AL36" s="36">
        <f t="shared" ca="1" si="53"/>
        <v>28967.411569104774</v>
      </c>
      <c r="AM36" s="36">
        <f t="shared" ca="1" si="53"/>
        <v>30839.086998628591</v>
      </c>
      <c r="AN36" s="36">
        <f t="shared" ca="1" si="53"/>
        <v>32828.032028152411</v>
      </c>
      <c r="AO36" s="36">
        <f t="shared" ca="1" si="53"/>
        <v>34816.977057676231</v>
      </c>
      <c r="AP36" s="36">
        <f t="shared" ca="1" si="53"/>
        <v>36854.373868875882</v>
      </c>
      <c r="AQ36" s="36">
        <f t="shared" ca="1" si="53"/>
        <v>39205.272172336496</v>
      </c>
      <c r="AR36" s="36">
        <f t="shared" ca="1" si="53"/>
        <v>43581.872425791065</v>
      </c>
      <c r="AS36" s="36">
        <f t="shared" ca="1" si="53"/>
        <v>17871.808539300771</v>
      </c>
      <c r="AT36" s="36">
        <f t="shared" ca="1" si="53"/>
        <v>19668.369746583849</v>
      </c>
      <c r="AU36" s="36">
        <f t="shared" ca="1" si="53"/>
        <v>21441.418341947359</v>
      </c>
      <c r="AV36" s="36">
        <f t="shared" ca="1" si="53"/>
        <v>23214.46693731087</v>
      </c>
      <c r="AW36" s="36">
        <f t="shared" ca="1" si="53"/>
        <v>24987.515532674381</v>
      </c>
      <c r="AX36" s="36">
        <f t="shared" ca="1" si="53"/>
        <v>26760.564128037888</v>
      </c>
      <c r="AY36" s="36">
        <f t="shared" ca="1" si="53"/>
        <v>28552.862723401395</v>
      </c>
      <c r="AZ36" s="36">
        <f t="shared" ca="1" si="53"/>
        <v>30345.161318764905</v>
      </c>
      <c r="BA36" s="36">
        <f t="shared" ca="1" si="53"/>
        <v>32137.459914128412</v>
      </c>
      <c r="BB36" s="36">
        <f t="shared" ca="1" si="53"/>
        <v>33964.2926582488</v>
      </c>
      <c r="BC36" s="36">
        <f t="shared" ca="1" si="53"/>
        <v>36035.222721564904</v>
      </c>
      <c r="BD36" s="36">
        <f t="shared" ca="1" si="53"/>
        <v>39777.356893626013</v>
      </c>
      <c r="BE36" s="36">
        <f t="shared" ca="1" si="53"/>
        <v>12809.75157452042</v>
      </c>
      <c r="BF36" s="36">
        <f t="shared" ca="1" si="53"/>
        <v>13607.70120664909</v>
      </c>
      <c r="BG36" s="36">
        <f t="shared" ca="1" si="53"/>
        <v>14405.650838777759</v>
      </c>
      <c r="BH36" s="36">
        <f t="shared" ca="1" si="53"/>
        <v>15203.600470906429</v>
      </c>
      <c r="BI36" s="36">
        <f t="shared" ca="1" si="53"/>
        <v>16001.550103035099</v>
      </c>
      <c r="BJ36" s="36">
        <f t="shared" ca="1" si="53"/>
        <v>16799.499735163768</v>
      </c>
      <c r="BK36" s="36">
        <f t="shared" ca="1" si="53"/>
        <v>17597.44936729244</v>
      </c>
      <c r="BL36" s="36">
        <f t="shared" ca="1" si="53"/>
        <v>18395.398999421108</v>
      </c>
      <c r="BM36" s="36">
        <f t="shared" ca="1" si="53"/>
        <v>19193.348631549779</v>
      </c>
      <c r="BN36" s="36">
        <f t="shared" ca="1" si="53"/>
        <v>20028.238662435317</v>
      </c>
      <c r="BO36" s="36">
        <f t="shared" ref="BO36:CT36" ca="1" si="54">BO56+BO72+BO88+BO104</f>
        <v>21098.254812516585</v>
      </c>
      <c r="BP36" s="36">
        <f t="shared" ca="1" si="54"/>
        <v>23843.8158612357</v>
      </c>
      <c r="BQ36" s="36">
        <f t="shared" ca="1" si="54"/>
        <v>0</v>
      </c>
      <c r="BR36" s="36">
        <f t="shared" ca="1" si="54"/>
        <v>0</v>
      </c>
      <c r="BS36" s="36">
        <f t="shared" ca="1" si="54"/>
        <v>0</v>
      </c>
      <c r="BT36" s="36">
        <f t="shared" ca="1" si="54"/>
        <v>0</v>
      </c>
      <c r="BU36" s="36">
        <f t="shared" ca="1" si="54"/>
        <v>0</v>
      </c>
      <c r="BV36" s="36">
        <f t="shared" ca="1" si="54"/>
        <v>0</v>
      </c>
      <c r="BW36" s="36">
        <f t="shared" ca="1" si="54"/>
        <v>0</v>
      </c>
      <c r="BX36" s="36">
        <f t="shared" ca="1" si="54"/>
        <v>0</v>
      </c>
      <c r="BY36" s="36">
        <f t="shared" ca="1" si="54"/>
        <v>0</v>
      </c>
      <c r="BZ36" s="36">
        <f t="shared" ca="1" si="54"/>
        <v>0</v>
      </c>
      <c r="CA36" s="36">
        <f t="shared" ca="1" si="54"/>
        <v>0</v>
      </c>
      <c r="CB36" s="36">
        <f t="shared" ca="1" si="54"/>
        <v>0</v>
      </c>
      <c r="CC36" s="36">
        <f t="shared" ca="1" si="54"/>
        <v>0</v>
      </c>
      <c r="CD36" s="36">
        <f t="shared" ca="1" si="54"/>
        <v>0</v>
      </c>
      <c r="CE36" s="36">
        <f t="shared" ca="1" si="54"/>
        <v>0</v>
      </c>
      <c r="CF36" s="36">
        <f t="shared" ca="1" si="54"/>
        <v>0</v>
      </c>
      <c r="CG36" s="36">
        <f t="shared" ca="1" si="54"/>
        <v>0</v>
      </c>
      <c r="CH36" s="36">
        <f t="shared" ca="1" si="54"/>
        <v>0</v>
      </c>
      <c r="CI36" s="36">
        <f t="shared" ca="1" si="54"/>
        <v>0</v>
      </c>
      <c r="CJ36" s="36">
        <f t="shared" ca="1" si="54"/>
        <v>0</v>
      </c>
      <c r="CK36" s="36">
        <f t="shared" ca="1" si="54"/>
        <v>0</v>
      </c>
      <c r="CL36" s="36">
        <f t="shared" ca="1" si="54"/>
        <v>0</v>
      </c>
      <c r="CM36" s="36">
        <f t="shared" ca="1" si="54"/>
        <v>0</v>
      </c>
      <c r="CN36" s="36">
        <f t="shared" ca="1" si="54"/>
        <v>0</v>
      </c>
      <c r="CO36" s="36">
        <f t="shared" ca="1" si="54"/>
        <v>0</v>
      </c>
      <c r="CP36" s="36">
        <f t="shared" ca="1" si="54"/>
        <v>0</v>
      </c>
      <c r="CQ36" s="36">
        <f t="shared" ca="1" si="54"/>
        <v>0</v>
      </c>
      <c r="CR36" s="36">
        <f t="shared" ca="1" si="54"/>
        <v>0</v>
      </c>
      <c r="CS36" s="36">
        <f t="shared" ca="1" si="54"/>
        <v>0</v>
      </c>
      <c r="CT36" s="36">
        <f t="shared" ca="1" si="54"/>
        <v>0</v>
      </c>
      <c r="CU36" s="36">
        <f t="shared" ref="CU36:DF36" ca="1" si="55">CU56+CU72+CU88+CU104</f>
        <v>0</v>
      </c>
      <c r="CV36" s="36">
        <f t="shared" ca="1" si="55"/>
        <v>0</v>
      </c>
      <c r="CW36" s="36">
        <f t="shared" ca="1" si="55"/>
        <v>0</v>
      </c>
      <c r="CX36" s="36">
        <f t="shared" ca="1" si="55"/>
        <v>0</v>
      </c>
      <c r="CY36" s="36">
        <f t="shared" ca="1" si="55"/>
        <v>0</v>
      </c>
      <c r="CZ36" s="36">
        <f t="shared" ca="1" si="55"/>
        <v>0</v>
      </c>
      <c r="DA36" s="36">
        <f t="shared" ca="1" si="55"/>
        <v>0</v>
      </c>
      <c r="DB36" s="36">
        <f t="shared" ca="1" si="55"/>
        <v>0</v>
      </c>
      <c r="DC36" s="36">
        <f t="shared" ca="1" si="55"/>
        <v>0</v>
      </c>
      <c r="DD36" s="36">
        <f t="shared" ca="1" si="55"/>
        <v>0</v>
      </c>
      <c r="DE36" s="36">
        <f t="shared" ca="1" si="55"/>
        <v>0</v>
      </c>
      <c r="DF36" s="36">
        <f t="shared" ca="1" si="55"/>
        <v>0</v>
      </c>
    </row>
    <row r="37" spans="1:110">
      <c r="A37" s="32" t="s">
        <v>136</v>
      </c>
      <c r="B37" s="32" t="s">
        <v>58</v>
      </c>
      <c r="C37" s="37">
        <f t="shared" ref="C37:AH37" ca="1" si="56">C57+C73+C89+C105</f>
        <v>0</v>
      </c>
      <c r="D37" s="37">
        <f t="shared" ca="1" si="56"/>
        <v>0</v>
      </c>
      <c r="E37" s="37">
        <f t="shared" ca="1" si="56"/>
        <v>0.84524999999999995</v>
      </c>
      <c r="F37" s="37">
        <f t="shared" ca="1" si="56"/>
        <v>0.84524999999999995</v>
      </c>
      <c r="G37" s="37">
        <f t="shared" ca="1" si="56"/>
        <v>0.84524999999999995</v>
      </c>
      <c r="H37" s="37">
        <f t="shared" ca="1" si="56"/>
        <v>0.84524999999999995</v>
      </c>
      <c r="I37" s="37">
        <f t="shared" ca="1" si="56"/>
        <v>0.84524999999999995</v>
      </c>
      <c r="J37" s="37">
        <f t="shared" ca="1" si="56"/>
        <v>0.84524999999999995</v>
      </c>
      <c r="K37" s="37">
        <f t="shared" ca="1" si="56"/>
        <v>0.84524999999999995</v>
      </c>
      <c r="L37" s="37">
        <f t="shared" ca="1" si="56"/>
        <v>0.84524999999999995</v>
      </c>
      <c r="M37" s="37">
        <f t="shared" ca="1" si="56"/>
        <v>0.84524999999999995</v>
      </c>
      <c r="N37" s="37">
        <f t="shared" ca="1" si="56"/>
        <v>0.84524999999999995</v>
      </c>
      <c r="O37" s="37">
        <f t="shared" ca="1" si="56"/>
        <v>216.37752592941595</v>
      </c>
      <c r="P37" s="37">
        <f t="shared" ca="1" si="56"/>
        <v>117.62455586721083</v>
      </c>
      <c r="Q37" s="37">
        <f t="shared" ca="1" si="56"/>
        <v>117.62455586721083</v>
      </c>
      <c r="R37" s="37">
        <f t="shared" ca="1" si="56"/>
        <v>530.37640036560651</v>
      </c>
      <c r="S37" s="37">
        <f t="shared" ca="1" si="56"/>
        <v>177.68722157201663</v>
      </c>
      <c r="T37" s="37">
        <f t="shared" ca="1" si="56"/>
        <v>177.68722157201663</v>
      </c>
      <c r="U37" s="37">
        <f t="shared" ca="1" si="56"/>
        <v>4410.4738566968699</v>
      </c>
      <c r="V37" s="37">
        <f t="shared" ca="1" si="56"/>
        <v>5409.3325278247485</v>
      </c>
      <c r="W37" s="37">
        <f t="shared" ca="1" si="56"/>
        <v>6384.6785876231097</v>
      </c>
      <c r="X37" s="37">
        <f t="shared" ca="1" si="56"/>
        <v>7360.0246480115275</v>
      </c>
      <c r="Y37" s="37">
        <f t="shared" ca="1" si="56"/>
        <v>8335.3707089899999</v>
      </c>
      <c r="Z37" s="37">
        <f t="shared" ca="1" si="56"/>
        <v>9310.7167705585307</v>
      </c>
      <c r="AA37" s="37">
        <f t="shared" ca="1" si="56"/>
        <v>10305.312832717118</v>
      </c>
      <c r="AB37" s="37">
        <f t="shared" ca="1" si="56"/>
        <v>11299.90889546576</v>
      </c>
      <c r="AC37" s="37">
        <f t="shared" ca="1" si="56"/>
        <v>12442.304033301787</v>
      </c>
      <c r="AD37" s="37">
        <f t="shared" ca="1" si="56"/>
        <v>13665.07417011351</v>
      </c>
      <c r="AE37" s="37">
        <f t="shared" ca="1" si="56"/>
        <v>14465.691186295846</v>
      </c>
      <c r="AF37" s="37">
        <f t="shared" ca="1" si="56"/>
        <v>15460.287251404714</v>
      </c>
      <c r="AG37" s="37">
        <f t="shared" ca="1" si="56"/>
        <v>19639.3490095661</v>
      </c>
      <c r="AH37" s="37">
        <f t="shared" ca="1" si="56"/>
        <v>21480.709851009495</v>
      </c>
      <c r="AI37" s="37">
        <f t="shared" ref="AI37:BN37" ca="1" si="57">AI57+AI73+AI89+AI105</f>
        <v>23352.385280533312</v>
      </c>
      <c r="AJ37" s="37">
        <f t="shared" ca="1" si="57"/>
        <v>25224.060710057136</v>
      </c>
      <c r="AK37" s="37">
        <f t="shared" ca="1" si="57"/>
        <v>27095.736139580953</v>
      </c>
      <c r="AL37" s="37">
        <f t="shared" ca="1" si="57"/>
        <v>28967.411569104774</v>
      </c>
      <c r="AM37" s="37">
        <f t="shared" ca="1" si="57"/>
        <v>30839.086998628591</v>
      </c>
      <c r="AN37" s="37">
        <f t="shared" ca="1" si="57"/>
        <v>32828.032028152411</v>
      </c>
      <c r="AO37" s="37">
        <f t="shared" ca="1" si="57"/>
        <v>34964.77613217356</v>
      </c>
      <c r="AP37" s="37">
        <f t="shared" ca="1" si="57"/>
        <v>37197.791092059852</v>
      </c>
      <c r="AQ37" s="37">
        <f t="shared" ca="1" si="57"/>
        <v>39382.925481487473</v>
      </c>
      <c r="AR37" s="37">
        <f t="shared" ca="1" si="57"/>
        <v>43759.525734942043</v>
      </c>
      <c r="AS37" s="37">
        <f t="shared" ca="1" si="57"/>
        <v>17871.808539300771</v>
      </c>
      <c r="AT37" s="37">
        <f t="shared" ca="1" si="57"/>
        <v>19668.369746583849</v>
      </c>
      <c r="AU37" s="37">
        <f t="shared" ca="1" si="57"/>
        <v>21441.418341947359</v>
      </c>
      <c r="AV37" s="37">
        <f t="shared" ca="1" si="57"/>
        <v>23214.46693731087</v>
      </c>
      <c r="AW37" s="37">
        <f t="shared" ca="1" si="57"/>
        <v>24987.515532674381</v>
      </c>
      <c r="AX37" s="37">
        <f t="shared" ca="1" si="57"/>
        <v>26760.564128037888</v>
      </c>
      <c r="AY37" s="37">
        <f t="shared" ca="1" si="57"/>
        <v>28552.862723401395</v>
      </c>
      <c r="AZ37" s="37">
        <f t="shared" ca="1" si="57"/>
        <v>30345.161318764905</v>
      </c>
      <c r="BA37" s="37">
        <f t="shared" ca="1" si="57"/>
        <v>32137.459914128412</v>
      </c>
      <c r="BB37" s="37">
        <f t="shared" ca="1" si="57"/>
        <v>33964.2926582488</v>
      </c>
      <c r="BC37" s="37">
        <f t="shared" ca="1" si="57"/>
        <v>36035.222721564904</v>
      </c>
      <c r="BD37" s="37">
        <f t="shared" ca="1" si="57"/>
        <v>39777.356893626013</v>
      </c>
      <c r="BE37" s="37">
        <f t="shared" ca="1" si="57"/>
        <v>12809.75157452042</v>
      </c>
      <c r="BF37" s="37">
        <f t="shared" ca="1" si="57"/>
        <v>13607.70120664909</v>
      </c>
      <c r="BG37" s="37">
        <f t="shared" ca="1" si="57"/>
        <v>14405.650838777759</v>
      </c>
      <c r="BH37" s="37">
        <f t="shared" ca="1" si="57"/>
        <v>15203.600470906429</v>
      </c>
      <c r="BI37" s="37">
        <f t="shared" ca="1" si="57"/>
        <v>16001.550103035099</v>
      </c>
      <c r="BJ37" s="37">
        <f t="shared" ca="1" si="57"/>
        <v>16799.499735163768</v>
      </c>
      <c r="BK37" s="37">
        <f t="shared" ca="1" si="57"/>
        <v>17597.44936729244</v>
      </c>
      <c r="BL37" s="37">
        <f t="shared" ca="1" si="57"/>
        <v>18395.398999421108</v>
      </c>
      <c r="BM37" s="37">
        <f t="shared" ca="1" si="57"/>
        <v>19193.348631549779</v>
      </c>
      <c r="BN37" s="37">
        <f t="shared" ca="1" si="57"/>
        <v>20028.238662435317</v>
      </c>
      <c r="BO37" s="37">
        <f t="shared" ref="BO37:CT37" ca="1" si="58">BO57+BO73+BO89+BO105</f>
        <v>21098.254812516585</v>
      </c>
      <c r="BP37" s="37">
        <f t="shared" ca="1" si="58"/>
        <v>23843.8158612357</v>
      </c>
      <c r="BQ37" s="37">
        <f t="shared" ca="1" si="58"/>
        <v>0</v>
      </c>
      <c r="BR37" s="37">
        <f t="shared" ca="1" si="58"/>
        <v>0</v>
      </c>
      <c r="BS37" s="37">
        <f t="shared" ca="1" si="58"/>
        <v>0</v>
      </c>
      <c r="BT37" s="37">
        <f t="shared" ca="1" si="58"/>
        <v>0</v>
      </c>
      <c r="BU37" s="37">
        <f t="shared" ca="1" si="58"/>
        <v>0</v>
      </c>
      <c r="BV37" s="37">
        <f t="shared" ca="1" si="58"/>
        <v>0</v>
      </c>
      <c r="BW37" s="37">
        <f t="shared" ca="1" si="58"/>
        <v>0</v>
      </c>
      <c r="BX37" s="37">
        <f t="shared" ca="1" si="58"/>
        <v>0</v>
      </c>
      <c r="BY37" s="37">
        <f t="shared" ca="1" si="58"/>
        <v>0</v>
      </c>
      <c r="BZ37" s="37">
        <f t="shared" ca="1" si="58"/>
        <v>0</v>
      </c>
      <c r="CA37" s="37">
        <f t="shared" ca="1" si="58"/>
        <v>0</v>
      </c>
      <c r="CB37" s="37">
        <f t="shared" ca="1" si="58"/>
        <v>0</v>
      </c>
      <c r="CC37" s="37">
        <f t="shared" ca="1" si="58"/>
        <v>0</v>
      </c>
      <c r="CD37" s="37">
        <f t="shared" ca="1" si="58"/>
        <v>0</v>
      </c>
      <c r="CE37" s="37">
        <f t="shared" ca="1" si="58"/>
        <v>0</v>
      </c>
      <c r="CF37" s="37">
        <f t="shared" ca="1" si="58"/>
        <v>0</v>
      </c>
      <c r="CG37" s="37">
        <f t="shared" ca="1" si="58"/>
        <v>0</v>
      </c>
      <c r="CH37" s="37">
        <f t="shared" ca="1" si="58"/>
        <v>0</v>
      </c>
      <c r="CI37" s="37">
        <f t="shared" ca="1" si="58"/>
        <v>0</v>
      </c>
      <c r="CJ37" s="37">
        <f t="shared" ca="1" si="58"/>
        <v>0</v>
      </c>
      <c r="CK37" s="37">
        <f t="shared" ca="1" si="58"/>
        <v>0</v>
      </c>
      <c r="CL37" s="37">
        <f t="shared" ca="1" si="58"/>
        <v>0</v>
      </c>
      <c r="CM37" s="37">
        <f t="shared" ca="1" si="58"/>
        <v>0</v>
      </c>
      <c r="CN37" s="37">
        <f t="shared" ca="1" si="58"/>
        <v>0</v>
      </c>
      <c r="CO37" s="37">
        <f t="shared" ca="1" si="58"/>
        <v>0</v>
      </c>
      <c r="CP37" s="37">
        <f t="shared" ca="1" si="58"/>
        <v>0</v>
      </c>
      <c r="CQ37" s="37">
        <f t="shared" ca="1" si="58"/>
        <v>0</v>
      </c>
      <c r="CR37" s="37">
        <f t="shared" ca="1" si="58"/>
        <v>0</v>
      </c>
      <c r="CS37" s="37">
        <f t="shared" ca="1" si="58"/>
        <v>0</v>
      </c>
      <c r="CT37" s="37">
        <f t="shared" ca="1" si="58"/>
        <v>0</v>
      </c>
      <c r="CU37" s="37">
        <f t="shared" ref="CU37:DF37" ca="1" si="59">CU57+CU73+CU89+CU105</f>
        <v>0</v>
      </c>
      <c r="CV37" s="37">
        <f t="shared" ca="1" si="59"/>
        <v>0</v>
      </c>
      <c r="CW37" s="37">
        <f t="shared" ca="1" si="59"/>
        <v>0</v>
      </c>
      <c r="CX37" s="37">
        <f t="shared" ca="1" si="59"/>
        <v>0</v>
      </c>
      <c r="CY37" s="37">
        <f t="shared" ca="1" si="59"/>
        <v>0</v>
      </c>
      <c r="CZ37" s="37">
        <f t="shared" ca="1" si="59"/>
        <v>0</v>
      </c>
      <c r="DA37" s="37">
        <f t="shared" ca="1" si="59"/>
        <v>0</v>
      </c>
      <c r="DB37" s="37">
        <f t="shared" ca="1" si="59"/>
        <v>0</v>
      </c>
      <c r="DC37" s="37">
        <f t="shared" ca="1" si="59"/>
        <v>0</v>
      </c>
      <c r="DD37" s="37">
        <f t="shared" ca="1" si="59"/>
        <v>0</v>
      </c>
      <c r="DE37" s="37">
        <f t="shared" ca="1" si="59"/>
        <v>0</v>
      </c>
      <c r="DF37" s="37">
        <f t="shared" ca="1" si="59"/>
        <v>0</v>
      </c>
    </row>
    <row r="38" spans="1:110">
      <c r="A38" s="32" t="s">
        <v>137</v>
      </c>
      <c r="B38" s="32" t="s">
        <v>138</v>
      </c>
      <c r="C38" s="38">
        <f t="shared" ref="C38:AH38" ca="1" si="60">IFERROR(C34/C36,0)</f>
        <v>0</v>
      </c>
      <c r="D38" s="38">
        <f t="shared" ca="1" si="60"/>
        <v>0</v>
      </c>
      <c r="E38" s="38">
        <f t="shared" ca="1" si="60"/>
        <v>0</v>
      </c>
      <c r="F38" s="38">
        <f t="shared" ca="1" si="60"/>
        <v>0</v>
      </c>
      <c r="G38" s="38">
        <f t="shared" ca="1" si="60"/>
        <v>0</v>
      </c>
      <c r="H38" s="38">
        <f t="shared" ca="1" si="60"/>
        <v>0</v>
      </c>
      <c r="I38" s="38">
        <f t="shared" ca="1" si="60"/>
        <v>0</v>
      </c>
      <c r="J38" s="38">
        <f t="shared" ca="1" si="60"/>
        <v>0</v>
      </c>
      <c r="K38" s="38">
        <f t="shared" ca="1" si="60"/>
        <v>0</v>
      </c>
      <c r="L38" s="38">
        <f t="shared" ca="1" si="60"/>
        <v>0</v>
      </c>
      <c r="M38" s="38">
        <f t="shared" ca="1" si="60"/>
        <v>0</v>
      </c>
      <c r="N38" s="38">
        <f t="shared" ca="1" si="60"/>
        <v>0</v>
      </c>
      <c r="O38" s="38">
        <f t="shared" ca="1" si="60"/>
        <v>0</v>
      </c>
      <c r="P38" s="38">
        <f t="shared" ca="1" si="60"/>
        <v>0</v>
      </c>
      <c r="Q38" s="38">
        <f t="shared" ca="1" si="60"/>
        <v>0</v>
      </c>
      <c r="R38" s="38">
        <f t="shared" ca="1" si="60"/>
        <v>0</v>
      </c>
      <c r="S38" s="38">
        <f t="shared" ca="1" si="60"/>
        <v>0</v>
      </c>
      <c r="T38" s="38">
        <f t="shared" ca="1" si="60"/>
        <v>0</v>
      </c>
      <c r="U38" s="38">
        <f t="shared" ca="1" si="60"/>
        <v>0.14317168027309166</v>
      </c>
      <c r="V38" s="38">
        <f t="shared" ca="1" si="60"/>
        <v>0.241647633309683</v>
      </c>
      <c r="W38" s="38">
        <f t="shared" ca="1" si="60"/>
        <v>0.34386761792318732</v>
      </c>
      <c r="X38" s="38">
        <f t="shared" ca="1" si="60"/>
        <v>0.43766446148291349</v>
      </c>
      <c r="Y38" s="38">
        <f t="shared" ca="1" si="60"/>
        <v>0.51652994793119189</v>
      </c>
      <c r="Z38" s="38">
        <f t="shared" ca="1" si="60"/>
        <v>0.58532493310260836</v>
      </c>
      <c r="AA38" s="38">
        <f t="shared" ca="1" si="60"/>
        <v>0.63216631040714266</v>
      </c>
      <c r="AB38" s="38">
        <f t="shared" ca="1" si="60"/>
        <v>0.69267448553563704</v>
      </c>
      <c r="AC38" s="38">
        <f t="shared" ca="1" si="60"/>
        <v>0.74515503758718515</v>
      </c>
      <c r="AD38" s="38">
        <f t="shared" ca="1" si="60"/>
        <v>0.79143485671858771</v>
      </c>
      <c r="AE38" s="38">
        <f t="shared" ca="1" si="60"/>
        <v>0.81853674532691589</v>
      </c>
      <c r="AF38" s="38">
        <f t="shared" ca="1" si="60"/>
        <v>0.84337052102847099</v>
      </c>
      <c r="AG38" s="38">
        <f t="shared" ca="1" si="60"/>
        <v>0.7435247844601045</v>
      </c>
      <c r="AH38" s="38">
        <f t="shared" ca="1" si="60"/>
        <v>0.76229222041554334</v>
      </c>
      <c r="AI38" s="38">
        <f t="shared" ref="AI38:BN38" ca="1" si="61">IFERROR(AI34/AI36,0)</f>
        <v>0.80016583583212686</v>
      </c>
      <c r="AJ38" s="38">
        <f t="shared" ca="1" si="61"/>
        <v>0.83779890472015617</v>
      </c>
      <c r="AK38" s="38">
        <f t="shared" ca="1" si="61"/>
        <v>0.87293169151805405</v>
      </c>
      <c r="AL38" s="38">
        <f t="shared" ca="1" si="61"/>
        <v>0.90610575125109294</v>
      </c>
      <c r="AM38" s="38">
        <f t="shared" ca="1" si="61"/>
        <v>0.92662077225872519</v>
      </c>
      <c r="AN38" s="38">
        <f t="shared" ca="1" si="61"/>
        <v>0.9630620314419206</v>
      </c>
      <c r="AO38" s="38">
        <f t="shared" ca="1" si="61"/>
        <v>0.99667884915061222</v>
      </c>
      <c r="AP38" s="38">
        <f t="shared" ca="1" si="61"/>
        <v>1.0261572760656548</v>
      </c>
      <c r="AQ38" s="38">
        <f t="shared" ca="1" si="61"/>
        <v>1.0336514906909982</v>
      </c>
      <c r="AR38" s="38">
        <f t="shared" ca="1" si="61"/>
        <v>0.99257350699604829</v>
      </c>
      <c r="AS38" s="38">
        <f t="shared" ca="1" si="61"/>
        <v>1.0656721804919673</v>
      </c>
      <c r="AT38" s="38">
        <f t="shared" ca="1" si="61"/>
        <v>1.102810908723723</v>
      </c>
      <c r="AU38" s="38">
        <f t="shared" ca="1" si="61"/>
        <v>1.1594372251308189</v>
      </c>
      <c r="AV38" s="38">
        <f t="shared" ca="1" si="61"/>
        <v>1.2127659811723472</v>
      </c>
      <c r="AW38" s="38">
        <f t="shared" ca="1" si="61"/>
        <v>1.2609937464228071</v>
      </c>
      <c r="AX38" s="38">
        <f t="shared" ca="1" si="61"/>
        <v>1.3051951007207379</v>
      </c>
      <c r="AY38" s="38">
        <f t="shared" ca="1" si="61"/>
        <v>1.3291104540182992</v>
      </c>
      <c r="AZ38" s="38">
        <f t="shared" ca="1" si="61"/>
        <v>1.33940371403687</v>
      </c>
      <c r="BA38" s="38">
        <f t="shared" ca="1" si="61"/>
        <v>1.3498420494585632</v>
      </c>
      <c r="BB38" s="38">
        <f t="shared" ca="1" si="61"/>
        <v>1.3586569080814388</v>
      </c>
      <c r="BC38" s="38">
        <f t="shared" ca="1" si="61"/>
        <v>1.3474245005907097</v>
      </c>
      <c r="BD38" s="38">
        <f t="shared" ca="1" si="61"/>
        <v>1.2818735918429252</v>
      </c>
      <c r="BE38" s="38">
        <f t="shared" ca="1" si="61"/>
        <v>2.1634077284278588</v>
      </c>
      <c r="BF38" s="38">
        <f t="shared" ca="1" si="61"/>
        <v>2.1792259971379053</v>
      </c>
      <c r="BG38" s="38">
        <f t="shared" ca="1" si="61"/>
        <v>2.2118004895725072</v>
      </c>
      <c r="BH38" s="38">
        <f t="shared" ca="1" si="61"/>
        <v>2.2418730239210491</v>
      </c>
      <c r="BI38" s="38">
        <f t="shared" ca="1" si="61"/>
        <v>2.2698381061181729</v>
      </c>
      <c r="BJ38" s="38">
        <f t="shared" ca="1" si="61"/>
        <v>2.2960155329518419</v>
      </c>
      <c r="BK38" s="38">
        <f t="shared" ca="1" si="61"/>
        <v>2.3027392872348251</v>
      </c>
      <c r="BL38" s="38">
        <f t="shared" ca="1" si="61"/>
        <v>2.2904642287302628</v>
      </c>
      <c r="BM38" s="38">
        <f t="shared" ca="1" si="61"/>
        <v>2.2732931414974189</v>
      </c>
      <c r="BN38" s="38">
        <f t="shared" ca="1" si="61"/>
        <v>2.2537834221160797</v>
      </c>
      <c r="BO38" s="38">
        <f t="shared" ref="BO38:CT38" ca="1" si="62">IFERROR(BO34/BO36,0)</f>
        <v>2.2007808907587671</v>
      </c>
      <c r="BP38" s="38">
        <f t="shared" ca="1" si="62"/>
        <v>2.0019358995109022</v>
      </c>
      <c r="BQ38" s="38">
        <f t="shared" ca="1" si="62"/>
        <v>0</v>
      </c>
      <c r="BR38" s="38">
        <f t="shared" ca="1" si="62"/>
        <v>0</v>
      </c>
      <c r="BS38" s="38">
        <f t="shared" ca="1" si="62"/>
        <v>0</v>
      </c>
      <c r="BT38" s="38">
        <f t="shared" ca="1" si="62"/>
        <v>0</v>
      </c>
      <c r="BU38" s="38">
        <f t="shared" ca="1" si="62"/>
        <v>0</v>
      </c>
      <c r="BV38" s="38">
        <f t="shared" ca="1" si="62"/>
        <v>0</v>
      </c>
      <c r="BW38" s="38">
        <f t="shared" ca="1" si="62"/>
        <v>0</v>
      </c>
      <c r="BX38" s="38">
        <f t="shared" ca="1" si="62"/>
        <v>0</v>
      </c>
      <c r="BY38" s="38">
        <f t="shared" ca="1" si="62"/>
        <v>0</v>
      </c>
      <c r="BZ38" s="38">
        <f t="shared" ca="1" si="62"/>
        <v>0</v>
      </c>
      <c r="CA38" s="38">
        <f t="shared" ca="1" si="62"/>
        <v>0</v>
      </c>
      <c r="CB38" s="38">
        <f t="shared" ca="1" si="62"/>
        <v>0</v>
      </c>
      <c r="CC38" s="38">
        <f t="shared" ca="1" si="62"/>
        <v>0</v>
      </c>
      <c r="CD38" s="38">
        <f t="shared" ca="1" si="62"/>
        <v>0</v>
      </c>
      <c r="CE38" s="38">
        <f t="shared" ca="1" si="62"/>
        <v>0</v>
      </c>
      <c r="CF38" s="38">
        <f t="shared" ca="1" si="62"/>
        <v>0</v>
      </c>
      <c r="CG38" s="38">
        <f t="shared" ca="1" si="62"/>
        <v>0</v>
      </c>
      <c r="CH38" s="38">
        <f t="shared" ca="1" si="62"/>
        <v>0</v>
      </c>
      <c r="CI38" s="38">
        <f t="shared" ca="1" si="62"/>
        <v>0</v>
      </c>
      <c r="CJ38" s="38">
        <f t="shared" ca="1" si="62"/>
        <v>0</v>
      </c>
      <c r="CK38" s="38">
        <f t="shared" ca="1" si="62"/>
        <v>0</v>
      </c>
      <c r="CL38" s="38">
        <f t="shared" ca="1" si="62"/>
        <v>0</v>
      </c>
      <c r="CM38" s="38">
        <f t="shared" ca="1" si="62"/>
        <v>0</v>
      </c>
      <c r="CN38" s="38">
        <f t="shared" ca="1" si="62"/>
        <v>0</v>
      </c>
      <c r="CO38" s="38">
        <f t="shared" ca="1" si="62"/>
        <v>0</v>
      </c>
      <c r="CP38" s="38">
        <f t="shared" ca="1" si="62"/>
        <v>0</v>
      </c>
      <c r="CQ38" s="38">
        <f t="shared" ca="1" si="62"/>
        <v>0</v>
      </c>
      <c r="CR38" s="38">
        <f t="shared" ca="1" si="62"/>
        <v>0</v>
      </c>
      <c r="CS38" s="38">
        <f t="shared" ca="1" si="62"/>
        <v>0</v>
      </c>
      <c r="CT38" s="38">
        <f t="shared" ca="1" si="62"/>
        <v>0</v>
      </c>
      <c r="CU38" s="38">
        <f t="shared" ref="CU38:DF38" ca="1" si="63">IFERROR(CU34/CU36,0)</f>
        <v>0</v>
      </c>
      <c r="CV38" s="38">
        <f t="shared" ca="1" si="63"/>
        <v>0</v>
      </c>
      <c r="CW38" s="38">
        <f t="shared" ca="1" si="63"/>
        <v>0</v>
      </c>
      <c r="CX38" s="38">
        <f t="shared" ca="1" si="63"/>
        <v>0</v>
      </c>
      <c r="CY38" s="38">
        <f t="shared" ca="1" si="63"/>
        <v>0</v>
      </c>
      <c r="CZ38" s="38">
        <f t="shared" ca="1" si="63"/>
        <v>0</v>
      </c>
      <c r="DA38" s="38">
        <f t="shared" ca="1" si="63"/>
        <v>0</v>
      </c>
      <c r="DB38" s="38">
        <f t="shared" ca="1" si="63"/>
        <v>0</v>
      </c>
      <c r="DC38" s="38">
        <f t="shared" ca="1" si="63"/>
        <v>0</v>
      </c>
      <c r="DD38" s="38">
        <f t="shared" ca="1" si="63"/>
        <v>0</v>
      </c>
      <c r="DE38" s="38">
        <f t="shared" ca="1" si="63"/>
        <v>0</v>
      </c>
      <c r="DF38" s="38">
        <f t="shared" ca="1" si="63"/>
        <v>0</v>
      </c>
    </row>
    <row r="40" spans="1:110" ht="14.4">
      <c r="A40" s="39" t="s">
        <v>139</v>
      </c>
      <c r="B40" s="39" t="s">
        <v>140</v>
      </c>
      <c r="C40" s="40">
        <f>1/(1+НАСТРОЙКИ!$B$20)^(0/12)</f>
        <v>1</v>
      </c>
      <c r="D40" s="40">
        <f>1/(1+НАСТРОЙКИ!$B$20)^(1/12)</f>
        <v>0.98492137526088874</v>
      </c>
      <c r="E40" s="40">
        <f>1/(1+НАСТРОЙКИ!$B$20)^(2/12)</f>
        <v>0.97007011544580046</v>
      </c>
      <c r="F40" s="40">
        <f>1/(1+НАСТРОЙКИ!$B$20)^(3/12)</f>
        <v>0.95544279220436679</v>
      </c>
      <c r="G40" s="40">
        <f>1/(1+НАСТРОЙКИ!$B$20)^(4/12)</f>
        <v>0.94103602888102844</v>
      </c>
      <c r="H40" s="40">
        <f>1/(1+НАСТРОЙКИ!$B$20)^(5/12)</f>
        <v>0.926846499735548</v>
      </c>
      <c r="I40" s="40">
        <f>1/(1+НАСТРОЙКИ!$B$20)^(6/12)</f>
        <v>0.9128709291752769</v>
      </c>
      <c r="J40" s="40">
        <f>1/(1+НАСТРОЙКИ!$B$20)^(7/12)</f>
        <v>0.89910609099899896</v>
      </c>
      <c r="K40" s="40">
        <f>1/(1+НАСТРОЙКИ!$B$20)^(8/12)</f>
        <v>0.88554880765217592</v>
      </c>
      <c r="L40" s="40">
        <f>1/(1+НАСТРОЙКИ!$B$20)^(9/12)</f>
        <v>0.87219594949342127</v>
      </c>
      <c r="M40" s="40">
        <f>1/(1+НАСТРОЙКИ!$B$20)^(10/12)</f>
        <v>0.85904443407203712</v>
      </c>
      <c r="N40" s="40">
        <f>1/(1+НАСТРОЙКИ!$B$20)^(11/12)</f>
        <v>0.84609122541644266</v>
      </c>
      <c r="O40" s="40">
        <f>1/(1+НАСТРОЙКИ!$B$20)^(12/12)</f>
        <v>0.83333333333333337</v>
      </c>
      <c r="P40" s="40">
        <f>1/(1+НАСТРОЙКИ!$B$20)^(13/12)</f>
        <v>0.82076781271740729</v>
      </c>
      <c r="Q40" s="40">
        <f>1/(1+НАСТРОЙКИ!$B$20)^(14/12)</f>
        <v>0.80839176287150039</v>
      </c>
      <c r="R40" s="40">
        <f>1/(1+НАСТРОЙКИ!$B$20)^(15/12)</f>
        <v>0.79620232683697245</v>
      </c>
      <c r="S40" s="40">
        <f>1/(1+НАСТРОЙКИ!$B$20)^(16/12)</f>
        <v>0.7841966907341904</v>
      </c>
      <c r="T40" s="40">
        <f>1/(1+НАСТРОЙКИ!$B$20)^(17/12)</f>
        <v>0.77237208311295658</v>
      </c>
      <c r="U40" s="40">
        <f>1/(1+НАСТРОЙКИ!$B$20)^(18/12)</f>
        <v>0.7607257743127307</v>
      </c>
      <c r="V40" s="40">
        <f>1/(1+НАСТРОЙКИ!$B$20)^(19/12)</f>
        <v>0.74925507583249917</v>
      </c>
      <c r="W40" s="40">
        <f>1/(1+НАСТРОЙКИ!$B$20)^(20/12)</f>
        <v>0.73795733971014654</v>
      </c>
      <c r="X40" s="40">
        <f>1/(1+НАСТРОЙКИ!$B$20)^(21/12)</f>
        <v>0.72682995791118443</v>
      </c>
      <c r="Y40" s="40">
        <f>1/(1+НАСТРОЙКИ!$B$20)^(22/12)</f>
        <v>0.71587036172669771</v>
      </c>
      <c r="Z40" s="40">
        <f>1/(1+НАСТРОЙКИ!$B$20)^(23/12)</f>
        <v>0.70507602118036894</v>
      </c>
      <c r="AA40" s="40">
        <f>1/(1+НАСТРОЙКИ!$B$20)^(24/12)</f>
        <v>0.69444444444444442</v>
      </c>
      <c r="AB40" s="40">
        <f>1/(1+НАСТРОЙКИ!$B$20)^(25/12)</f>
        <v>0.68397317726450613</v>
      </c>
      <c r="AC40" s="40">
        <f>1/(1+НАСТРОЙКИ!$B$20)^(26/12)</f>
        <v>0.67365980239291701</v>
      </c>
      <c r="AD40" s="40">
        <f>1/(1+НАСТРОЙКИ!$B$20)^(27/12)</f>
        <v>0.66350193903081034</v>
      </c>
      <c r="AE40" s="40">
        <f>1/(1+НАСТРОЙКИ!$B$20)^(28/12)</f>
        <v>0.65349724227849204</v>
      </c>
      <c r="AF40" s="40">
        <f>1/(1+НАСТРОЙКИ!$B$20)^(29/12)</f>
        <v>0.64364340259413066</v>
      </c>
      <c r="AG40" s="40">
        <f>1/(1+НАСТРОЙКИ!$B$20)^(30/12)</f>
        <v>0.63393814526060899</v>
      </c>
      <c r="AH40" s="40">
        <f>1/(1+НАСТРОЙКИ!$B$20)^(31/12)</f>
        <v>0.62437922986041605</v>
      </c>
      <c r="AI40" s="40">
        <f>1/(1+НАСТРОЙКИ!$B$20)^(32/12)</f>
        <v>0.61496444975845554</v>
      </c>
      <c r="AJ40" s="40">
        <f>1/(1+НАСТРОЙКИ!$B$20)^(33/12)</f>
        <v>0.60569163159265371</v>
      </c>
      <c r="AK40" s="40">
        <f>1/(1+НАСТРОЙКИ!$B$20)^(34/12)</f>
        <v>0.59655863477224802</v>
      </c>
      <c r="AL40" s="40">
        <f>1/(1+НАСТРОЙКИ!$B$20)^(35/12)</f>
        <v>0.58756335098364088</v>
      </c>
      <c r="AM40" s="40">
        <f>1/(1+НАСТРОЙКИ!$B$20)^(36/12)</f>
        <v>0.57870370370370372</v>
      </c>
      <c r="AN40" s="40">
        <f>1/(1+НАСТРОЙКИ!$B$20)^(37/12)</f>
        <v>0.56997764772042181</v>
      </c>
      <c r="AO40" s="40">
        <f>1/(1+НАСТРОЙКИ!$B$20)^(38/12)</f>
        <v>0.5613831686607641</v>
      </c>
      <c r="AP40" s="40">
        <f>1/(1+НАСТРОЙКИ!$B$20)^(39/12)</f>
        <v>0.55291828252567532</v>
      </c>
      <c r="AQ40" s="40">
        <f>1/(1+НАСТРОЙКИ!$B$20)^(40/12)</f>
        <v>0.54458103523207679</v>
      </c>
      <c r="AR40" s="40">
        <f>1/(1+НАСТРОЙКИ!$B$20)^(41/12)</f>
        <v>0.53636950216177548</v>
      </c>
      <c r="AS40" s="40">
        <f>1/(1+НАСТРОЙКИ!$B$20)^(42/12)</f>
        <v>0.52828178771717416</v>
      </c>
      <c r="AT40" s="40">
        <f>1/(1+НАСТРОЙКИ!$B$20)^(43/12)</f>
        <v>0.52031602488368001</v>
      </c>
      <c r="AU40" s="40">
        <f>1/(1+НАСТРОЙКИ!$B$20)^(44/12)</f>
        <v>0.51247037479871305</v>
      </c>
      <c r="AV40" s="40">
        <f>1/(1+НАСТРОЙКИ!$B$20)^(45/12)</f>
        <v>0.50474302632721146</v>
      </c>
      <c r="AW40" s="40">
        <f>1/(1+НАСТРОЙКИ!$B$20)^(46/12)</f>
        <v>0.49713219564354005</v>
      </c>
      <c r="AX40" s="40">
        <f>1/(1+НАСТРОЙКИ!$B$20)^(47/12)</f>
        <v>0.48963612581970067</v>
      </c>
      <c r="AY40" s="40">
        <f>1/(1+НАСТРОЙКИ!$B$20)^(48/12)</f>
        <v>0.48225308641975312</v>
      </c>
      <c r="AZ40" s="40">
        <f>1/(1+НАСТРОЙКИ!$B$20)^(49/12)</f>
        <v>0.47498137310035149</v>
      </c>
      <c r="BA40" s="40">
        <f>1/(1+НАСТРОЙКИ!$B$20)^(50/12)</f>
        <v>0.46781930721730347</v>
      </c>
      <c r="BB40" s="40">
        <f>1/(1+НАСТРОЙКИ!$B$20)^(51/12)</f>
        <v>0.46076523543806275</v>
      </c>
      <c r="BC40" s="40">
        <f>1/(1+НАСТРОЙКИ!$B$20)^(52/12)</f>
        <v>0.45381752936006403</v>
      </c>
      <c r="BD40" s="40">
        <f>1/(1+НАСТРОЙКИ!$B$20)^(53/12)</f>
        <v>0.44697458513481292</v>
      </c>
      <c r="BE40" s="40">
        <f>1/(1+НАСТРОЙКИ!$B$20)^(54/12)</f>
        <v>0.44023482309764517</v>
      </c>
      <c r="BF40" s="40">
        <f>1/(1+НАСТРОЙКИ!$B$20)^(55/12)</f>
        <v>0.43359668740306678</v>
      </c>
      <c r="BG40" s="40">
        <f>1/(1+НАСТРОЙКИ!$B$20)^(56/12)</f>
        <v>0.42705864566559415</v>
      </c>
      <c r="BH40" s="40">
        <f>1/(1+НАСТРОЙКИ!$B$20)^(57/12)</f>
        <v>0.42061918860600955</v>
      </c>
      <c r="BI40" s="40">
        <f>1/(1+НАСТРОЙКИ!$B$20)^(58/12)</f>
        <v>0.4142768297029501</v>
      </c>
      <c r="BJ40" s="40">
        <f>1/(1+НАСТРОЙКИ!$B$20)^(59/12)</f>
        <v>0.40803010484975061</v>
      </c>
      <c r="BK40" s="40">
        <f>1/(1+НАСТРОЙКИ!$B$20)^(60/12)</f>
        <v>0.4018775720164609</v>
      </c>
      <c r="BL40" s="40">
        <f>1/(1+НАСТРОЙКИ!$B$20)^(61/12)</f>
        <v>0.39581781091695956</v>
      </c>
      <c r="BM40" s="40">
        <f>1/(1+НАСТРОЙКИ!$B$20)^(62/12)</f>
        <v>0.38984942268108624</v>
      </c>
      <c r="BN40" s="40">
        <f>1/(1+НАСТРОЙКИ!$B$20)^(63/12)</f>
        <v>0.38397102953171897</v>
      </c>
      <c r="BO40" s="40">
        <f>1/(1+НАСТРОЙКИ!$B$20)^(64/12)</f>
        <v>0.37818127446672001</v>
      </c>
      <c r="BP40" s="40">
        <f>1/(1+НАСТРОЙКИ!$B$20)^(65/12)</f>
        <v>0.37247882094567747</v>
      </c>
      <c r="BQ40" s="40">
        <f>1/(1+НАСТРОЙКИ!$B$20)^(66/12)</f>
        <v>0.36686235258137107</v>
      </c>
      <c r="BR40" s="40">
        <f>1/(1+НАСТРОЙКИ!$B$20)^(67/12)</f>
        <v>0.36133057283588899</v>
      </c>
      <c r="BS40" s="40">
        <f>1/(1+НАСТРОЙКИ!$B$20)^(68/12)</f>
        <v>0.35588220472132848</v>
      </c>
      <c r="BT40" s="40">
        <f>1/(1+НАСТРОЙКИ!$B$20)^(69/12)</f>
        <v>0.35051599050500798</v>
      </c>
      <c r="BU40" s="40">
        <f>1/(1+НАСТРОЙКИ!$B$20)^(70/12)</f>
        <v>0.34523069141912516</v>
      </c>
      <c r="BV40" s="40">
        <f>1/(1+НАСТРОЙКИ!$B$20)^(71/12)</f>
        <v>0.34002508737479215</v>
      </c>
      <c r="BW40" s="40">
        <f>1/(1+НАСТРОЙКИ!$B$20)^(72/12)</f>
        <v>0.33489797668038412</v>
      </c>
      <c r="BX40" s="40">
        <f>1/(1+НАСТРОЙКИ!$B$20)^(73/12)</f>
        <v>0.32984817576413306</v>
      </c>
      <c r="BY40" s="40">
        <f>1/(1+НАСТРОЙКИ!$B$20)^(74/12)</f>
        <v>0.32487451890090518</v>
      </c>
      <c r="BZ40" s="40">
        <f>1/(1+НАСТРОЙКИ!$B$20)^(75/12)</f>
        <v>0.31997585794309918</v>
      </c>
      <c r="CA40" s="40">
        <f>1/(1+НАСТРОЙКИ!$B$20)^(76/12)</f>
        <v>0.31515106205560001</v>
      </c>
      <c r="CB40" s="40">
        <f>1/(1+НАСТРОЙКИ!$B$20)^(77/12)</f>
        <v>0.3103990174547312</v>
      </c>
      <c r="CC40" s="40">
        <f>1/(1+НАСТРОЙКИ!$B$20)^(78/12)</f>
        <v>0.30571862715114251</v>
      </c>
      <c r="CD40" s="40">
        <f>1/(1+НАСТРОЙКИ!$B$20)^(79/12)</f>
        <v>0.30110881069657419</v>
      </c>
      <c r="CE40" s="40">
        <f>1/(1+НАСТРОЙКИ!$B$20)^(80/12)</f>
        <v>0.2965685039344404</v>
      </c>
      <c r="CF40" s="40">
        <f>1/(1+НАСТРОЙКИ!$B$20)^(81/12)</f>
        <v>0.29209665875417329</v>
      </c>
      <c r="CG40" s="40">
        <f>1/(1+НАСТРОЙКИ!$B$20)^(82/12)</f>
        <v>0.28769224284927092</v>
      </c>
      <c r="CH40" s="40">
        <f>1/(1+НАСТРОЙКИ!$B$20)^(83/12)</f>
        <v>0.28335423947899346</v>
      </c>
      <c r="CI40" s="40">
        <f>1/(1+НАСТРОЙКИ!$B$20)^(84/12)</f>
        <v>0.27908164723365342</v>
      </c>
      <c r="CJ40" s="40">
        <f>1/(1+НАСТРОЙКИ!$B$20)^(85/12)</f>
        <v>0.27487347980344418</v>
      </c>
      <c r="CK40" s="40">
        <f>1/(1+НАСТРОЙКИ!$B$20)^(86/12)</f>
        <v>0.27072876575075433</v>
      </c>
      <c r="CL40" s="40">
        <f>1/(1+НАСТРОЙКИ!$B$20)^(87/12)</f>
        <v>0.26664654828591594</v>
      </c>
      <c r="CM40" s="40">
        <f>1/(1+НАСТРОЙКИ!$B$20)^(88/12)</f>
        <v>0.26262588504633338</v>
      </c>
      <c r="CN40" s="40">
        <f>1/(1+НАСТРОЙКИ!$B$20)^(89/12)</f>
        <v>0.2586658478789427</v>
      </c>
      <c r="CO40" s="40">
        <f>1/(1+НАСТРОЙКИ!$B$20)^(90/12)</f>
        <v>0.25476552262595203</v>
      </c>
      <c r="CP40" s="40">
        <f>1/(1+НАСТРОЙКИ!$B$20)^(91/12)</f>
        <v>0.25092400891381178</v>
      </c>
      <c r="CQ40" s="40">
        <f>1/(1+НАСТРОЙКИ!$B$20)^(92/12)</f>
        <v>0.24714041994536698</v>
      </c>
      <c r="CR40" s="40">
        <f>1/(1+НАСТРОЙКИ!$B$20)^(93/12)</f>
        <v>0.24341388229514449</v>
      </c>
      <c r="CS40" s="40">
        <f>1/(1+НАСТРОЙКИ!$B$20)^(94/12)</f>
        <v>0.23974353570772575</v>
      </c>
      <c r="CT40" s="40">
        <f>1/(1+НАСТРОЙКИ!$B$20)^(95/12)</f>
        <v>0.23612853289916122</v>
      </c>
      <c r="CU40" s="40">
        <f>1/(1+НАСТРОЙКИ!$B$20)^(96/12)</f>
        <v>0.23256803936137788</v>
      </c>
      <c r="CV40" s="40">
        <f>1/(1+НАСТРОЙКИ!$B$20)^(97/12)</f>
        <v>0.2290612331695368</v>
      </c>
      <c r="CW40" s="40">
        <f>1/(1+НАСТРОЙКИ!$B$20)^(98/12)</f>
        <v>0.22560730479229532</v>
      </c>
      <c r="CX40" s="40">
        <f>1/(1+НАСТРОЙКИ!$B$20)^(99/12)</f>
        <v>0.22220545690492996</v>
      </c>
      <c r="CY40" s="40">
        <f>1/(1+НАСТРОЙКИ!$B$20)^(100/12)</f>
        <v>0.21885490420527776</v>
      </c>
      <c r="CZ40" s="40">
        <f>1/(1+НАСТРОЙКИ!$B$20)^(101/12)</f>
        <v>0.21555487323245229</v>
      </c>
      <c r="DA40" s="40">
        <f>1/(1+НАСТРОЙКИ!$B$20)^(102/12)</f>
        <v>0.21230460218829345</v>
      </c>
      <c r="DB40" s="40">
        <f>1/(1+НАСТРОЙКИ!$B$20)^(103/12)</f>
        <v>0.20910334076150985</v>
      </c>
      <c r="DC40" s="40">
        <f>1/(1+НАСТРОЙКИ!$B$20)^(104/12)</f>
        <v>0.20595034995447251</v>
      </c>
      <c r="DD40" s="40">
        <f>1/(1+НАСТРОЙКИ!$B$20)^(105/12)</f>
        <v>0.20284490191262039</v>
      </c>
      <c r="DE40" s="40">
        <f>1/(1+НАСТРОЙКИ!$B$20)^(106/12)</f>
        <v>0.19978627975643812</v>
      </c>
      <c r="DF40" s="40">
        <f>1/(1+НАСТРОЙКИ!$B$20)^(107/12)</f>
        <v>0.19677377741596772</v>
      </c>
    </row>
    <row r="43" spans="1:110">
      <c r="A43" s="86" t="str">
        <f>"ОЧЕРЕДЬ 1 — "&amp;НАСТРОЙКИ!D5</f>
        <v>ОЧЕРЕДЬ 1 — PLATO_M-1.xlsx</v>
      </c>
      <c r="B43" s="8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spans="1:110">
      <c r="A44" s="33" t="s">
        <v>112</v>
      </c>
      <c r="B44" s="33" t="s">
        <v>51</v>
      </c>
    </row>
    <row r="45" spans="1:110">
      <c r="A45" s="34" t="s">
        <v>102</v>
      </c>
      <c r="B45" s="34" t="s">
        <v>58</v>
      </c>
      <c r="C45" s="35">
        <f ca="1">IF(НАСТРОЙКИ!$B$5&lt;&gt;"Да",0,IFERROR(SUMIF(INDIRECT("'["&amp;НАСТРОЙКИ!$D$5&amp;"]CF'!$L$3:$EO$3"),C$22,INDIRECT("'["&amp;НАСТРОЙКИ!$D$5&amp;"]CF'!$L$18:$EO$18")),0))</f>
        <v>0</v>
      </c>
      <c r="D45" s="35">
        <f ca="1">IF(НАСТРОЙКИ!$B$5&lt;&gt;"Да",0,IFERROR(SUMIF(INDIRECT("'["&amp;НАСТРОЙКИ!$D$5&amp;"]CF'!$L$3:$EO$3"),D$22,INDIRECT("'["&amp;НАСТРОЙКИ!$D$5&amp;"]CF'!$L$18:$EO$18")),0))</f>
        <v>0</v>
      </c>
      <c r="E45" s="35">
        <f ca="1">IF(НАСТРОЙКИ!$B$5&lt;&gt;"Да",0,IFERROR(SUMIF(INDIRECT("'["&amp;НАСТРОЙКИ!$D$5&amp;"]CF'!$L$3:$EO$3"),E$22,INDIRECT("'["&amp;НАСТРОЙКИ!$D$5&amp;"]CF'!$L$18:$EO$18")),0))</f>
        <v>0</v>
      </c>
      <c r="F45" s="35">
        <f ca="1">IF(НАСТРОЙКИ!$B$5&lt;&gt;"Да",0,IFERROR(SUMIF(INDIRECT("'["&amp;НАСТРОЙКИ!$D$5&amp;"]CF'!$L$3:$EO$3"),F$22,INDIRECT("'["&amp;НАСТРОЙКИ!$D$5&amp;"]CF'!$L$18:$EO$18")),0))</f>
        <v>0</v>
      </c>
      <c r="G45" s="35">
        <f ca="1">IF(НАСТРОЙКИ!$B$5&lt;&gt;"Да",0,IFERROR(SUMIF(INDIRECT("'["&amp;НАСТРОЙКИ!$D$5&amp;"]CF'!$L$3:$EO$3"),G$22,INDIRECT("'["&amp;НАСТРОЙКИ!$D$5&amp;"]CF'!$L$18:$EO$18")),0))</f>
        <v>0</v>
      </c>
      <c r="H45" s="35">
        <f ca="1">IF(НАСТРОЙКИ!$B$5&lt;&gt;"Да",0,IFERROR(SUMIF(INDIRECT("'["&amp;НАСТРОЙКИ!$D$5&amp;"]CF'!$L$3:$EO$3"),H$22,INDIRECT("'["&amp;НАСТРОЙКИ!$D$5&amp;"]CF'!$L$18:$EO$18")),0))</f>
        <v>0</v>
      </c>
      <c r="I45" s="35">
        <f ca="1">IF(НАСТРОЙКИ!$B$5&lt;&gt;"Да",0,IFERROR(SUMIF(INDIRECT("'["&amp;НАСТРОЙКИ!$D$5&amp;"]CF'!$L$3:$EO$3"),I$22,INDIRECT("'["&amp;НАСТРОЙКИ!$D$5&amp;"]CF'!$L$18:$EO$18")),0))</f>
        <v>0</v>
      </c>
      <c r="J45" s="35">
        <f ca="1">IF(НАСТРОЙКИ!$B$5&lt;&gt;"Да",0,IFERROR(SUMIF(INDIRECT("'["&amp;НАСТРОЙКИ!$D$5&amp;"]CF'!$L$3:$EO$3"),J$22,INDIRECT("'["&amp;НАСТРОЙКИ!$D$5&amp;"]CF'!$L$18:$EO$18")),0))</f>
        <v>0</v>
      </c>
      <c r="K45" s="35">
        <f ca="1">IF(НАСТРОЙКИ!$B$5&lt;&gt;"Да",0,IFERROR(SUMIF(INDIRECT("'["&amp;НАСТРОЙКИ!$D$5&amp;"]CF'!$L$3:$EO$3"),K$22,INDIRECT("'["&amp;НАСТРОЙКИ!$D$5&amp;"]CF'!$L$18:$EO$18")),0))</f>
        <v>0</v>
      </c>
      <c r="L45" s="35">
        <f ca="1">IF(НАСТРОЙКИ!$B$5&lt;&gt;"Да",0,IFERROR(SUMIF(INDIRECT("'["&amp;НАСТРОЙКИ!$D$5&amp;"]CF'!$L$3:$EO$3"),L$22,INDIRECT("'["&amp;НАСТРОЙКИ!$D$5&amp;"]CF'!$L$18:$EO$18")),0))</f>
        <v>0</v>
      </c>
      <c r="M45" s="35">
        <f ca="1">IF(НАСТРОЙКИ!$B$5&lt;&gt;"Да",0,IFERROR(SUMIF(INDIRECT("'["&amp;НАСТРОЙКИ!$D$5&amp;"]CF'!$L$3:$EO$3"),M$22,INDIRECT("'["&amp;НАСТРОЙКИ!$D$5&amp;"]CF'!$L$18:$EO$18")),0))</f>
        <v>0</v>
      </c>
      <c r="N45" s="35">
        <f ca="1">IF(НАСТРОЙКИ!$B$5&lt;&gt;"Да",0,IFERROR(SUMIF(INDIRECT("'["&amp;НАСТРОЙКИ!$D$5&amp;"]CF'!$L$3:$EO$3"),N$22,INDIRECT("'["&amp;НАСТРОЙКИ!$D$5&amp;"]CF'!$L$18:$EO$18")),0))</f>
        <v>0</v>
      </c>
      <c r="O45" s="35">
        <f ca="1">IF(НАСТРОЙКИ!$B$5&lt;&gt;"Да",0,IFERROR(SUMIF(INDIRECT("'["&amp;НАСТРОЙКИ!$D$5&amp;"]CF'!$L$3:$EO$3"),O$22,INDIRECT("'["&amp;НАСТРОЙКИ!$D$5&amp;"]CF'!$L$18:$EO$18")),0))</f>
        <v>0</v>
      </c>
      <c r="P45" s="35">
        <f ca="1">IF(НАСТРОЙКИ!$B$5&lt;&gt;"Да",0,IFERROR(SUMIF(INDIRECT("'["&amp;НАСТРОЙКИ!$D$5&amp;"]CF'!$L$3:$EO$3"),P$22,INDIRECT("'["&amp;НАСТРОЙКИ!$D$5&amp;"]CF'!$L$18:$EO$18")),0))</f>
        <v>0</v>
      </c>
      <c r="Q45" s="35">
        <f ca="1">IF(НАСТРОЙКИ!$B$5&lt;&gt;"Да",0,IFERROR(SUMIF(INDIRECT("'["&amp;НАСТРОЙКИ!$D$5&amp;"]CF'!$L$3:$EO$3"),Q$22,INDIRECT("'["&amp;НАСТРОЙКИ!$D$5&amp;"]CF'!$L$18:$EO$18")),0))</f>
        <v>0</v>
      </c>
      <c r="R45" s="35">
        <f ca="1">IF(НАСТРОЙКИ!$B$5&lt;&gt;"Да",0,IFERROR(SUMIF(INDIRECT("'["&amp;НАСТРОЙКИ!$D$5&amp;"]CF'!$L$3:$EO$3"),R$22,INDIRECT("'["&amp;НАСТРОЙКИ!$D$5&amp;"]CF'!$L$18:$EO$18")),0))</f>
        <v>0</v>
      </c>
      <c r="S45" s="35">
        <f ca="1">IF(НАСТРОЙКИ!$B$5&lt;&gt;"Да",0,IFERROR(SUMIF(INDIRECT("'["&amp;НАСТРОЙКИ!$D$5&amp;"]CF'!$L$3:$EO$3"),S$22,INDIRECT("'["&amp;НАСТРОЙКИ!$D$5&amp;"]CF'!$L$18:$EO$18")),0))</f>
        <v>0</v>
      </c>
      <c r="T45" s="35">
        <f ca="1">IF(НАСТРОЙКИ!$B$5&lt;&gt;"Да",0,IFERROR(SUMIF(INDIRECT("'["&amp;НАСТРОЙКИ!$D$5&amp;"]CF'!$L$3:$EO$3"),T$22,INDIRECT("'["&amp;НАСТРОЙКИ!$D$5&amp;"]CF'!$L$18:$EO$18")),0))</f>
        <v>0</v>
      </c>
      <c r="U45" s="35">
        <f ca="1">IF(НАСТРОЙКИ!$B$5&lt;&gt;"Да",0,IFERROR(SUMIF(INDIRECT("'["&amp;НАСТРОЙКИ!$D$5&amp;"]CF'!$L$3:$EO$3"),U$22,INDIRECT("'["&amp;НАСТРОЙКИ!$D$5&amp;"]CF'!$L$18:$EO$18")),0))</f>
        <v>0</v>
      </c>
      <c r="V45" s="35">
        <f ca="1">IF(НАСТРОЙКИ!$B$5&lt;&gt;"Да",0,IFERROR(SUMIF(INDIRECT("'["&amp;НАСТРОЙКИ!$D$5&amp;"]CF'!$L$3:$EO$3"),V$22,INDIRECT("'["&amp;НАСТРОЙКИ!$D$5&amp;"]CF'!$L$18:$EO$18")),0))</f>
        <v>0</v>
      </c>
      <c r="W45" s="35">
        <f ca="1">IF(НАСТРОЙКИ!$B$5&lt;&gt;"Да",0,IFERROR(SUMIF(INDIRECT("'["&amp;НАСТРОЙКИ!$D$5&amp;"]CF'!$L$3:$EO$3"),W$22,INDIRECT("'["&amp;НАСТРОЙКИ!$D$5&amp;"]CF'!$L$18:$EO$18")),0))</f>
        <v>0</v>
      </c>
      <c r="X45" s="35">
        <f ca="1">IF(НАСТРОЙКИ!$B$5&lt;&gt;"Да",0,IFERROR(SUMIF(INDIRECT("'["&amp;НАСТРОЙКИ!$D$5&amp;"]CF'!$L$3:$EO$3"),X$22,INDIRECT("'["&amp;НАСТРОЙКИ!$D$5&amp;"]CF'!$L$18:$EO$18")),0))</f>
        <v>0</v>
      </c>
      <c r="Y45" s="35">
        <f ca="1">IF(НАСТРОЙКИ!$B$5&lt;&gt;"Да",0,IFERROR(SUMIF(INDIRECT("'["&amp;НАСТРОЙКИ!$D$5&amp;"]CF'!$L$3:$EO$3"),Y$22,INDIRECT("'["&amp;НАСТРОЙКИ!$D$5&amp;"]CF'!$L$18:$EO$18")),0))</f>
        <v>0</v>
      </c>
      <c r="Z45" s="35">
        <f ca="1">IF(НАСТРОЙКИ!$B$5&lt;&gt;"Да",0,IFERROR(SUMIF(INDIRECT("'["&amp;НАСТРОЙКИ!$D$5&amp;"]CF'!$L$3:$EO$3"),Z$22,INDIRECT("'["&amp;НАСТРОЙКИ!$D$5&amp;"]CF'!$L$18:$EO$18")),0))</f>
        <v>0</v>
      </c>
      <c r="AA45" s="35">
        <f ca="1">IF(НАСТРОЙКИ!$B$5&lt;&gt;"Да",0,IFERROR(SUMIF(INDIRECT("'["&amp;НАСТРОЙКИ!$D$5&amp;"]CF'!$L$3:$EO$3"),AA$22,INDIRECT("'["&amp;НАСТРОЙКИ!$D$5&amp;"]CF'!$L$18:$EO$18")),0))</f>
        <v>0</v>
      </c>
      <c r="AB45" s="35">
        <f ca="1">IF(НАСТРОЙКИ!$B$5&lt;&gt;"Да",0,IFERROR(SUMIF(INDIRECT("'["&amp;НАСТРОЙКИ!$D$5&amp;"]CF'!$L$3:$EO$3"),AB$22,INDIRECT("'["&amp;НАСТРОЙКИ!$D$5&amp;"]CF'!$L$18:$EO$18")),0))</f>
        <v>0</v>
      </c>
      <c r="AC45" s="35">
        <f ca="1">IF(НАСТРОЙКИ!$B$5&lt;&gt;"Да",0,IFERROR(SUMIF(INDIRECT("'["&amp;НАСТРОЙКИ!$D$5&amp;"]CF'!$L$3:$EO$3"),AC$22,INDIRECT("'["&amp;НАСТРОЙКИ!$D$5&amp;"]CF'!$L$18:$EO$18")),0))</f>
        <v>0</v>
      </c>
      <c r="AD45" s="35">
        <f ca="1">IF(НАСТРОЙКИ!$B$5&lt;&gt;"Да",0,IFERROR(SUMIF(INDIRECT("'["&amp;НАСТРОЙКИ!$D$5&amp;"]CF'!$L$3:$EO$3"),AD$22,INDIRECT("'["&amp;НАСТРОЙКИ!$D$5&amp;"]CF'!$L$18:$EO$18")),0))</f>
        <v>0</v>
      </c>
      <c r="AE45" s="35">
        <f ca="1">IF(НАСТРОЙКИ!$B$5&lt;&gt;"Да",0,IFERROR(SUMIF(INDIRECT("'["&amp;НАСТРОЙКИ!$D$5&amp;"]CF'!$L$3:$EO$3"),AE$22,INDIRECT("'["&amp;НАСТРОЙКИ!$D$5&amp;"]CF'!$L$18:$EO$18")),0))</f>
        <v>0</v>
      </c>
      <c r="AF45" s="35">
        <f ca="1">IF(НАСТРОЙКИ!$B$5&lt;&gt;"Да",0,IFERROR(SUMIF(INDIRECT("'["&amp;НАСТРОЙКИ!$D$5&amp;"]CF'!$L$3:$EO$3"),AF$22,INDIRECT("'["&amp;НАСТРОЙКИ!$D$5&amp;"]CF'!$L$18:$EO$18")),0))</f>
        <v>0</v>
      </c>
      <c r="AG45" s="35">
        <f ca="1">IF(НАСТРОЙКИ!$B$5&lt;&gt;"Да",0,IFERROR(SUMIF(INDIRECT("'["&amp;НАСТРОЙКИ!$D$5&amp;"]CF'!$L$3:$EO$3"),AG$22,INDIRECT("'["&amp;НАСТРОЙКИ!$D$5&amp;"]CF'!$L$18:$EO$18")),0))</f>
        <v>0</v>
      </c>
      <c r="AH45" s="35">
        <f ca="1">IF(НАСТРОЙКИ!$B$5&lt;&gt;"Да",0,IFERROR(SUMIF(INDIRECT("'["&amp;НАСТРОЙКИ!$D$5&amp;"]CF'!$L$3:$EO$3"),AH$22,INDIRECT("'["&amp;НАСТРОЙКИ!$D$5&amp;"]CF'!$L$18:$EO$18")),0))</f>
        <v>0</v>
      </c>
      <c r="AI45" s="35">
        <f ca="1">IF(НАСТРОЙКИ!$B$5&lt;&gt;"Да",0,IFERROR(SUMIF(INDIRECT("'["&amp;НАСТРОЙКИ!$D$5&amp;"]CF'!$L$3:$EO$3"),AI$22,INDIRECT("'["&amp;НАСТРОЙКИ!$D$5&amp;"]CF'!$L$18:$EO$18")),0))</f>
        <v>0</v>
      </c>
      <c r="AJ45" s="35">
        <f ca="1">IF(НАСТРОЙКИ!$B$5&lt;&gt;"Да",0,IFERROR(SUMIF(INDIRECT("'["&amp;НАСТРОЙКИ!$D$5&amp;"]CF'!$L$3:$EO$3"),AJ$22,INDIRECT("'["&amp;НАСТРОЙКИ!$D$5&amp;"]CF'!$L$18:$EO$18")),0))</f>
        <v>0</v>
      </c>
      <c r="AK45" s="35">
        <f ca="1">IF(НАСТРОЙКИ!$B$5&lt;&gt;"Да",0,IFERROR(SUMIF(INDIRECT("'["&amp;НАСТРОЙКИ!$D$5&amp;"]CF'!$L$3:$EO$3"),AK$22,INDIRECT("'["&amp;НАСТРОЙКИ!$D$5&amp;"]CF'!$L$18:$EO$18")),0))</f>
        <v>0</v>
      </c>
      <c r="AL45" s="35">
        <f ca="1">IF(НАСТРОЙКИ!$B$5&lt;&gt;"Да",0,IFERROR(SUMIF(INDIRECT("'["&amp;НАСТРОЙКИ!$D$5&amp;"]CF'!$L$3:$EO$3"),AL$22,INDIRECT("'["&amp;НАСТРОЙКИ!$D$5&amp;"]CF'!$L$18:$EO$18")),0))</f>
        <v>0</v>
      </c>
      <c r="AM45" s="35">
        <f ca="1">IF(НАСТРОЙКИ!$B$5&lt;&gt;"Да",0,IFERROR(SUMIF(INDIRECT("'["&amp;НАСТРОЙКИ!$D$5&amp;"]CF'!$L$3:$EO$3"),AM$22,INDIRECT("'["&amp;НАСТРОЙКИ!$D$5&amp;"]CF'!$L$18:$EO$18")),0))</f>
        <v>0</v>
      </c>
      <c r="AN45" s="35">
        <f ca="1">IF(НАСТРОЙКИ!$B$5&lt;&gt;"Да",0,IFERROR(SUMIF(INDIRECT("'["&amp;НАСТРОЙКИ!$D$5&amp;"]CF'!$L$3:$EO$3"),AN$22,INDIRECT("'["&amp;НАСТРОЙКИ!$D$5&amp;"]CF'!$L$18:$EO$18")),0))</f>
        <v>0</v>
      </c>
      <c r="AO45" s="35">
        <f ca="1">IF(НАСТРОЙКИ!$B$5&lt;&gt;"Да",0,IFERROR(SUMIF(INDIRECT("'["&amp;НАСТРОЙКИ!$D$5&amp;"]CF'!$L$3:$EO$3"),AO$22,INDIRECT("'["&amp;НАСТРОЙКИ!$D$5&amp;"]CF'!$L$18:$EO$18")),0))</f>
        <v>0</v>
      </c>
      <c r="AP45" s="35">
        <f ca="1">IF(НАСТРОЙКИ!$B$5&lt;&gt;"Да",0,IFERROR(SUMIF(INDIRECT("'["&amp;НАСТРОЙКИ!$D$5&amp;"]CF'!$L$3:$EO$3"),AP$22,INDIRECT("'["&amp;НАСТРОЙКИ!$D$5&amp;"]CF'!$L$18:$EO$18")),0))</f>
        <v>0</v>
      </c>
      <c r="AQ45" s="35">
        <f ca="1">IF(НАСТРОЙКИ!$B$5&lt;&gt;"Да",0,IFERROR(SUMIF(INDIRECT("'["&amp;НАСТРОЙКИ!$D$5&amp;"]CF'!$L$3:$EO$3"),AQ$22,INDIRECT("'["&amp;НАСТРОЙКИ!$D$5&amp;"]CF'!$L$18:$EO$18")),0))</f>
        <v>0</v>
      </c>
      <c r="AR45" s="35">
        <f ca="1">IF(НАСТРОЙКИ!$B$5&lt;&gt;"Да",0,IFERROR(SUMIF(INDIRECT("'["&amp;НАСТРОЙКИ!$D$5&amp;"]CF'!$L$3:$EO$3"),AR$22,INDIRECT("'["&amp;НАСТРОЙКИ!$D$5&amp;"]CF'!$L$18:$EO$18")),0))</f>
        <v>0</v>
      </c>
      <c r="AS45" s="35">
        <f ca="1">IF(НАСТРОЙКИ!$B$5&lt;&gt;"Да",0,IFERROR(SUMIF(INDIRECT("'["&amp;НАСТРОЙКИ!$D$5&amp;"]CF'!$L$3:$EO$3"),AS$22,INDIRECT("'["&amp;НАСТРОЙКИ!$D$5&amp;"]CF'!$L$18:$EO$18")),0))</f>
        <v>0</v>
      </c>
      <c r="AT45" s="35">
        <f ca="1">IF(НАСТРОЙКИ!$B$5&lt;&gt;"Да",0,IFERROR(SUMIF(INDIRECT("'["&amp;НАСТРОЙКИ!$D$5&amp;"]CF'!$L$3:$EO$3"),AT$22,INDIRECT("'["&amp;НАСТРОЙКИ!$D$5&amp;"]CF'!$L$18:$EO$18")),0))</f>
        <v>0</v>
      </c>
      <c r="AU45" s="35">
        <f ca="1">IF(НАСТРОЙКИ!$B$5&lt;&gt;"Да",0,IFERROR(SUMIF(INDIRECT("'["&amp;НАСТРОЙКИ!$D$5&amp;"]CF'!$L$3:$EO$3"),AU$22,INDIRECT("'["&amp;НАСТРОЙКИ!$D$5&amp;"]CF'!$L$18:$EO$18")),0))</f>
        <v>0</v>
      </c>
      <c r="AV45" s="35">
        <f ca="1">IF(НАСТРОЙКИ!$B$5&lt;&gt;"Да",0,IFERROR(SUMIF(INDIRECT("'["&amp;НАСТРОЙКИ!$D$5&amp;"]CF'!$L$3:$EO$3"),AV$22,INDIRECT("'["&amp;НАСТРОЙКИ!$D$5&amp;"]CF'!$L$18:$EO$18")),0))</f>
        <v>0</v>
      </c>
      <c r="AW45" s="35">
        <f ca="1">IF(НАСТРОЙКИ!$B$5&lt;&gt;"Да",0,IFERROR(SUMIF(INDIRECT("'["&amp;НАСТРОЙКИ!$D$5&amp;"]CF'!$L$3:$EO$3"),AW$22,INDIRECT("'["&amp;НАСТРОЙКИ!$D$5&amp;"]CF'!$L$18:$EO$18")),0))</f>
        <v>0</v>
      </c>
      <c r="AX45" s="35">
        <f ca="1">IF(НАСТРОЙКИ!$B$5&lt;&gt;"Да",0,IFERROR(SUMIF(INDIRECT("'["&amp;НАСТРОЙКИ!$D$5&amp;"]CF'!$L$3:$EO$3"),AX$22,INDIRECT("'["&amp;НАСТРОЙКИ!$D$5&amp;"]CF'!$L$18:$EO$18")),0))</f>
        <v>0</v>
      </c>
      <c r="AY45" s="35">
        <f ca="1">IF(НАСТРОЙКИ!$B$5&lt;&gt;"Да",0,IFERROR(SUMIF(INDIRECT("'["&amp;НАСТРОЙКИ!$D$5&amp;"]CF'!$L$3:$EO$3"),AY$22,INDIRECT("'["&amp;НАСТРОЙКИ!$D$5&amp;"]CF'!$L$18:$EO$18")),0))</f>
        <v>0</v>
      </c>
      <c r="AZ45" s="35">
        <f ca="1">IF(НАСТРОЙКИ!$B$5&lt;&gt;"Да",0,IFERROR(SUMIF(INDIRECT("'["&amp;НАСТРОЙКИ!$D$5&amp;"]CF'!$L$3:$EO$3"),AZ$22,INDIRECT("'["&amp;НАСТРОЙКИ!$D$5&amp;"]CF'!$L$18:$EO$18")),0))</f>
        <v>0</v>
      </c>
      <c r="BA45" s="35">
        <f ca="1">IF(НАСТРОЙКИ!$B$5&lt;&gt;"Да",0,IFERROR(SUMIF(INDIRECT("'["&amp;НАСТРОЙКИ!$D$5&amp;"]CF'!$L$3:$EO$3"),BA$22,INDIRECT("'["&amp;НАСТРОЙКИ!$D$5&amp;"]CF'!$L$18:$EO$18")),0))</f>
        <v>0</v>
      </c>
      <c r="BB45" s="35">
        <f ca="1">IF(НАСТРОЙКИ!$B$5&lt;&gt;"Да",0,IFERROR(SUMIF(INDIRECT("'["&amp;НАСТРОЙКИ!$D$5&amp;"]CF'!$L$3:$EO$3"),BB$22,INDIRECT("'["&amp;НАСТРОЙКИ!$D$5&amp;"]CF'!$L$18:$EO$18")),0))</f>
        <v>0</v>
      </c>
      <c r="BC45" s="35">
        <f ca="1">IF(НАСТРОЙКИ!$B$5&lt;&gt;"Да",0,IFERROR(SUMIF(INDIRECT("'["&amp;НАСТРОЙКИ!$D$5&amp;"]CF'!$L$3:$EO$3"),BC$22,INDIRECT("'["&amp;НАСТРОЙКИ!$D$5&amp;"]CF'!$L$18:$EO$18")),0))</f>
        <v>0</v>
      </c>
      <c r="BD45" s="35">
        <f ca="1">IF(НАСТРОЙКИ!$B$5&lt;&gt;"Да",0,IFERROR(SUMIF(INDIRECT("'["&amp;НАСТРОЙКИ!$D$5&amp;"]CF'!$L$3:$EO$3"),BD$22,INDIRECT("'["&amp;НАСТРОЙКИ!$D$5&amp;"]CF'!$L$18:$EO$18")),0))</f>
        <v>0</v>
      </c>
      <c r="BE45" s="35">
        <f ca="1">IF(НАСТРОЙКИ!$B$5&lt;&gt;"Да",0,IFERROR(SUMIF(INDIRECT("'["&amp;НАСТРОЙКИ!$D$5&amp;"]CF'!$L$3:$EO$3"),BE$22,INDIRECT("'["&amp;НАСТРОЙКИ!$D$5&amp;"]CF'!$L$18:$EO$18")),0))</f>
        <v>0</v>
      </c>
      <c r="BF45" s="35">
        <f ca="1">IF(НАСТРОЙКИ!$B$5&lt;&gt;"Да",0,IFERROR(SUMIF(INDIRECT("'["&amp;НАСТРОЙКИ!$D$5&amp;"]CF'!$L$3:$EO$3"),BF$22,INDIRECT("'["&amp;НАСТРОЙКИ!$D$5&amp;"]CF'!$L$18:$EO$18")),0))</f>
        <v>0</v>
      </c>
      <c r="BG45" s="35">
        <f ca="1">IF(НАСТРОЙКИ!$B$5&lt;&gt;"Да",0,IFERROR(SUMIF(INDIRECT("'["&amp;НАСТРОЙКИ!$D$5&amp;"]CF'!$L$3:$EO$3"),BG$22,INDIRECT("'["&amp;НАСТРОЙКИ!$D$5&amp;"]CF'!$L$18:$EO$18")),0))</f>
        <v>0</v>
      </c>
      <c r="BH45" s="35">
        <f ca="1">IF(НАСТРОЙКИ!$B$5&lt;&gt;"Да",0,IFERROR(SUMIF(INDIRECT("'["&amp;НАСТРОЙКИ!$D$5&amp;"]CF'!$L$3:$EO$3"),BH$22,INDIRECT("'["&amp;НАСТРОЙКИ!$D$5&amp;"]CF'!$L$18:$EO$18")),0))</f>
        <v>0</v>
      </c>
      <c r="BI45" s="35">
        <f ca="1">IF(НАСТРОЙКИ!$B$5&lt;&gt;"Да",0,IFERROR(SUMIF(INDIRECT("'["&amp;НАСТРОЙКИ!$D$5&amp;"]CF'!$L$3:$EO$3"),BI$22,INDIRECT("'["&amp;НАСТРОЙКИ!$D$5&amp;"]CF'!$L$18:$EO$18")),0))</f>
        <v>0</v>
      </c>
      <c r="BJ45" s="35">
        <f ca="1">IF(НАСТРОЙКИ!$B$5&lt;&gt;"Да",0,IFERROR(SUMIF(INDIRECT("'["&amp;НАСТРОЙКИ!$D$5&amp;"]CF'!$L$3:$EO$3"),BJ$22,INDIRECT("'["&amp;НАСТРОЙКИ!$D$5&amp;"]CF'!$L$18:$EO$18")),0))</f>
        <v>0</v>
      </c>
      <c r="BK45" s="35">
        <f ca="1">IF(НАСТРОЙКИ!$B$5&lt;&gt;"Да",0,IFERROR(SUMIF(INDIRECT("'["&amp;НАСТРОЙКИ!$D$5&amp;"]CF'!$L$3:$EO$3"),BK$22,INDIRECT("'["&amp;НАСТРОЙКИ!$D$5&amp;"]CF'!$L$18:$EO$18")),0))</f>
        <v>0</v>
      </c>
      <c r="BL45" s="35">
        <f ca="1">IF(НАСТРОЙКИ!$B$5&lt;&gt;"Да",0,IFERROR(SUMIF(INDIRECT("'["&amp;НАСТРОЙКИ!$D$5&amp;"]CF'!$L$3:$EO$3"),BL$22,INDIRECT("'["&amp;НАСТРОЙКИ!$D$5&amp;"]CF'!$L$18:$EO$18")),0))</f>
        <v>0</v>
      </c>
      <c r="BM45" s="35">
        <f ca="1">IF(НАСТРОЙКИ!$B$5&lt;&gt;"Да",0,IFERROR(SUMIF(INDIRECT("'["&amp;НАСТРОЙКИ!$D$5&amp;"]CF'!$L$3:$EO$3"),BM$22,INDIRECT("'["&amp;НАСТРОЙКИ!$D$5&amp;"]CF'!$L$18:$EO$18")),0))</f>
        <v>0</v>
      </c>
      <c r="BN45" s="35">
        <f ca="1">IF(НАСТРОЙКИ!$B$5&lt;&gt;"Да",0,IFERROR(SUMIF(INDIRECT("'["&amp;НАСТРОЙКИ!$D$5&amp;"]CF'!$L$3:$EO$3"),BN$22,INDIRECT("'["&amp;НАСТРОЙКИ!$D$5&amp;"]CF'!$L$18:$EO$18")),0))</f>
        <v>0</v>
      </c>
      <c r="BO45" s="35">
        <f ca="1">IF(НАСТРОЙКИ!$B$5&lt;&gt;"Да",0,IFERROR(SUMIF(INDIRECT("'["&amp;НАСТРОЙКИ!$D$5&amp;"]CF'!$L$3:$EO$3"),BO$22,INDIRECT("'["&amp;НАСТРОЙКИ!$D$5&amp;"]CF'!$L$18:$EO$18")),0))</f>
        <v>0</v>
      </c>
      <c r="BP45" s="35">
        <f ca="1">IF(НАСТРОЙКИ!$B$5&lt;&gt;"Да",0,IFERROR(SUMIF(INDIRECT("'["&amp;НАСТРОЙКИ!$D$5&amp;"]CF'!$L$3:$EO$3"),BP$22,INDIRECT("'["&amp;НАСТРОЙКИ!$D$5&amp;"]CF'!$L$18:$EO$18")),0))</f>
        <v>0</v>
      </c>
      <c r="BQ45" s="35">
        <f ca="1">IF(НАСТРОЙКИ!$B$5&lt;&gt;"Да",0,IFERROR(SUMIF(INDIRECT("'["&amp;НАСТРОЙКИ!$D$5&amp;"]CF'!$L$3:$EO$3"),BQ$22,INDIRECT("'["&amp;НАСТРОЙКИ!$D$5&amp;"]CF'!$L$18:$EO$18")),0))</f>
        <v>0</v>
      </c>
      <c r="BR45" s="35">
        <f ca="1">IF(НАСТРОЙКИ!$B$5&lt;&gt;"Да",0,IFERROR(SUMIF(INDIRECT("'["&amp;НАСТРОЙКИ!$D$5&amp;"]CF'!$L$3:$EO$3"),BR$22,INDIRECT("'["&amp;НАСТРОЙКИ!$D$5&amp;"]CF'!$L$18:$EO$18")),0))</f>
        <v>0</v>
      </c>
      <c r="BS45" s="35">
        <f ca="1">IF(НАСТРОЙКИ!$B$5&lt;&gt;"Да",0,IFERROR(SUMIF(INDIRECT("'["&amp;НАСТРОЙКИ!$D$5&amp;"]CF'!$L$3:$EO$3"),BS$22,INDIRECT("'["&amp;НАСТРОЙКИ!$D$5&amp;"]CF'!$L$18:$EO$18")),0))</f>
        <v>0</v>
      </c>
      <c r="BT45" s="35">
        <f ca="1">IF(НАСТРОЙКИ!$B$5&lt;&gt;"Да",0,IFERROR(SUMIF(INDIRECT("'["&amp;НАСТРОЙКИ!$D$5&amp;"]CF'!$L$3:$EO$3"),BT$22,INDIRECT("'["&amp;НАСТРОЙКИ!$D$5&amp;"]CF'!$L$18:$EO$18")),0))</f>
        <v>0</v>
      </c>
      <c r="BU45" s="35">
        <f ca="1">IF(НАСТРОЙКИ!$B$5&lt;&gt;"Да",0,IFERROR(SUMIF(INDIRECT("'["&amp;НАСТРОЙКИ!$D$5&amp;"]CF'!$L$3:$EO$3"),BU$22,INDIRECT("'["&amp;НАСТРОЙКИ!$D$5&amp;"]CF'!$L$18:$EO$18")),0))</f>
        <v>0</v>
      </c>
      <c r="BV45" s="35">
        <f ca="1">IF(НАСТРОЙКИ!$B$5&lt;&gt;"Да",0,IFERROR(SUMIF(INDIRECT("'["&amp;НАСТРОЙКИ!$D$5&amp;"]CF'!$L$3:$EO$3"),BV$22,INDIRECT("'["&amp;НАСТРОЙКИ!$D$5&amp;"]CF'!$L$18:$EO$18")),0))</f>
        <v>0</v>
      </c>
      <c r="BW45" s="35">
        <f ca="1">IF(НАСТРОЙКИ!$B$5&lt;&gt;"Да",0,IFERROR(SUMIF(INDIRECT("'["&amp;НАСТРОЙКИ!$D$5&amp;"]CF'!$L$3:$EO$3"),BW$22,INDIRECT("'["&amp;НАСТРОЙКИ!$D$5&amp;"]CF'!$L$18:$EO$18")),0))</f>
        <v>0</v>
      </c>
      <c r="BX45" s="35">
        <f ca="1">IF(НАСТРОЙКИ!$B$5&lt;&gt;"Да",0,IFERROR(SUMIF(INDIRECT("'["&amp;НАСТРОЙКИ!$D$5&amp;"]CF'!$L$3:$EO$3"),BX$22,INDIRECT("'["&amp;НАСТРОЙКИ!$D$5&amp;"]CF'!$L$18:$EO$18")),0))</f>
        <v>0</v>
      </c>
      <c r="BY45" s="35">
        <f ca="1">IF(НАСТРОЙКИ!$B$5&lt;&gt;"Да",0,IFERROR(SUMIF(INDIRECT("'["&amp;НАСТРОЙКИ!$D$5&amp;"]CF'!$L$3:$EO$3"),BY$22,INDIRECT("'["&amp;НАСТРОЙКИ!$D$5&amp;"]CF'!$L$18:$EO$18")),0))</f>
        <v>0</v>
      </c>
      <c r="BZ45" s="35">
        <f ca="1">IF(НАСТРОЙКИ!$B$5&lt;&gt;"Да",0,IFERROR(SUMIF(INDIRECT("'["&amp;НАСТРОЙКИ!$D$5&amp;"]CF'!$L$3:$EO$3"),BZ$22,INDIRECT("'["&amp;НАСТРОЙКИ!$D$5&amp;"]CF'!$L$18:$EO$18")),0))</f>
        <v>0</v>
      </c>
      <c r="CA45" s="35">
        <f ca="1">IF(НАСТРОЙКИ!$B$5&lt;&gt;"Да",0,IFERROR(SUMIF(INDIRECT("'["&amp;НАСТРОЙКИ!$D$5&amp;"]CF'!$L$3:$EO$3"),CA$22,INDIRECT("'["&amp;НАСТРОЙКИ!$D$5&amp;"]CF'!$L$18:$EO$18")),0))</f>
        <v>0</v>
      </c>
      <c r="CB45" s="35">
        <f ca="1">IF(НАСТРОЙКИ!$B$5&lt;&gt;"Да",0,IFERROR(SUMIF(INDIRECT("'["&amp;НАСТРОЙКИ!$D$5&amp;"]CF'!$L$3:$EO$3"),CB$22,INDIRECT("'["&amp;НАСТРОЙКИ!$D$5&amp;"]CF'!$L$18:$EO$18")),0))</f>
        <v>0</v>
      </c>
      <c r="CC45" s="35">
        <f ca="1">IF(НАСТРОЙКИ!$B$5&lt;&gt;"Да",0,IFERROR(SUMIF(INDIRECT("'["&amp;НАСТРОЙКИ!$D$5&amp;"]CF'!$L$3:$EO$3"),CC$22,INDIRECT("'["&amp;НАСТРОЙКИ!$D$5&amp;"]CF'!$L$18:$EO$18")),0))</f>
        <v>0</v>
      </c>
      <c r="CD45" s="35">
        <f ca="1">IF(НАСТРОЙКИ!$B$5&lt;&gt;"Да",0,IFERROR(SUMIF(INDIRECT("'["&amp;НАСТРОЙКИ!$D$5&amp;"]CF'!$L$3:$EO$3"),CD$22,INDIRECT("'["&amp;НАСТРОЙКИ!$D$5&amp;"]CF'!$L$18:$EO$18")),0))</f>
        <v>0</v>
      </c>
      <c r="CE45" s="35">
        <f ca="1">IF(НАСТРОЙКИ!$B$5&lt;&gt;"Да",0,IFERROR(SUMIF(INDIRECT("'["&amp;НАСТРОЙКИ!$D$5&amp;"]CF'!$L$3:$EO$3"),CE$22,INDIRECT("'["&amp;НАСТРОЙКИ!$D$5&amp;"]CF'!$L$18:$EO$18")),0))</f>
        <v>0</v>
      </c>
      <c r="CF45" s="35">
        <f ca="1">IF(НАСТРОЙКИ!$B$5&lt;&gt;"Да",0,IFERROR(SUMIF(INDIRECT("'["&amp;НАСТРОЙКИ!$D$5&amp;"]CF'!$L$3:$EO$3"),CF$22,INDIRECT("'["&amp;НАСТРОЙКИ!$D$5&amp;"]CF'!$L$18:$EO$18")),0))</f>
        <v>0</v>
      </c>
      <c r="CG45" s="35">
        <f ca="1">IF(НАСТРОЙКИ!$B$5&lt;&gt;"Да",0,IFERROR(SUMIF(INDIRECT("'["&amp;НАСТРОЙКИ!$D$5&amp;"]CF'!$L$3:$EO$3"),CG$22,INDIRECT("'["&amp;НАСТРОЙКИ!$D$5&amp;"]CF'!$L$18:$EO$18")),0))</f>
        <v>0</v>
      </c>
      <c r="CH45" s="35">
        <f ca="1">IF(НАСТРОЙКИ!$B$5&lt;&gt;"Да",0,IFERROR(SUMIF(INDIRECT("'["&amp;НАСТРОЙКИ!$D$5&amp;"]CF'!$L$3:$EO$3"),CH$22,INDIRECT("'["&amp;НАСТРОЙКИ!$D$5&amp;"]CF'!$L$18:$EO$18")),0))</f>
        <v>0</v>
      </c>
      <c r="CI45" s="35">
        <f ca="1">IF(НАСТРОЙКИ!$B$5&lt;&gt;"Да",0,IFERROR(SUMIF(INDIRECT("'["&amp;НАСТРОЙКИ!$D$5&amp;"]CF'!$L$3:$EO$3"),CI$22,INDIRECT("'["&amp;НАСТРОЙКИ!$D$5&amp;"]CF'!$L$18:$EO$18")),0))</f>
        <v>0</v>
      </c>
      <c r="CJ45" s="35">
        <f ca="1">IF(НАСТРОЙКИ!$B$5&lt;&gt;"Да",0,IFERROR(SUMIF(INDIRECT("'["&amp;НАСТРОЙКИ!$D$5&amp;"]CF'!$L$3:$EO$3"),CJ$22,INDIRECT("'["&amp;НАСТРОЙКИ!$D$5&amp;"]CF'!$L$18:$EO$18")),0))</f>
        <v>0</v>
      </c>
      <c r="CK45" s="35">
        <f ca="1">IF(НАСТРОЙКИ!$B$5&lt;&gt;"Да",0,IFERROR(SUMIF(INDIRECT("'["&amp;НАСТРОЙКИ!$D$5&amp;"]CF'!$L$3:$EO$3"),CK$22,INDIRECT("'["&amp;НАСТРОЙКИ!$D$5&amp;"]CF'!$L$18:$EO$18")),0))</f>
        <v>0</v>
      </c>
      <c r="CL45" s="35">
        <f ca="1">IF(НАСТРОЙКИ!$B$5&lt;&gt;"Да",0,IFERROR(SUMIF(INDIRECT("'["&amp;НАСТРОЙКИ!$D$5&amp;"]CF'!$L$3:$EO$3"),CL$22,INDIRECT("'["&amp;НАСТРОЙКИ!$D$5&amp;"]CF'!$L$18:$EO$18")),0))</f>
        <v>0</v>
      </c>
      <c r="CM45" s="35">
        <f ca="1">IF(НАСТРОЙКИ!$B$5&lt;&gt;"Да",0,IFERROR(SUMIF(INDIRECT("'["&amp;НАСТРОЙКИ!$D$5&amp;"]CF'!$L$3:$EO$3"),CM$22,INDIRECT("'["&amp;НАСТРОЙКИ!$D$5&amp;"]CF'!$L$18:$EO$18")),0))</f>
        <v>0</v>
      </c>
      <c r="CN45" s="35">
        <f ca="1">IF(НАСТРОЙКИ!$B$5&lt;&gt;"Да",0,IFERROR(SUMIF(INDIRECT("'["&amp;НАСТРОЙКИ!$D$5&amp;"]CF'!$L$3:$EO$3"),CN$22,INDIRECT("'["&amp;НАСТРОЙКИ!$D$5&amp;"]CF'!$L$18:$EO$18")),0))</f>
        <v>0</v>
      </c>
      <c r="CO45" s="35">
        <f ca="1">IF(НАСТРОЙКИ!$B$5&lt;&gt;"Да",0,IFERROR(SUMIF(INDIRECT("'["&amp;НАСТРОЙКИ!$D$5&amp;"]CF'!$L$3:$EO$3"),CO$22,INDIRECT("'["&amp;НАСТРОЙКИ!$D$5&amp;"]CF'!$L$18:$EO$18")),0))</f>
        <v>0</v>
      </c>
      <c r="CP45" s="35">
        <f ca="1">IF(НАСТРОЙКИ!$B$5&lt;&gt;"Да",0,IFERROR(SUMIF(INDIRECT("'["&amp;НАСТРОЙКИ!$D$5&amp;"]CF'!$L$3:$EO$3"),CP$22,INDIRECT("'["&amp;НАСТРОЙКИ!$D$5&amp;"]CF'!$L$18:$EO$18")),0))</f>
        <v>0</v>
      </c>
      <c r="CQ45" s="35">
        <f ca="1">IF(НАСТРОЙКИ!$B$5&lt;&gt;"Да",0,IFERROR(SUMIF(INDIRECT("'["&amp;НАСТРОЙКИ!$D$5&amp;"]CF'!$L$3:$EO$3"),CQ$22,INDIRECT("'["&amp;НАСТРОЙКИ!$D$5&amp;"]CF'!$L$18:$EO$18")),0))</f>
        <v>0</v>
      </c>
      <c r="CR45" s="35">
        <f ca="1">IF(НАСТРОЙКИ!$B$5&lt;&gt;"Да",0,IFERROR(SUMIF(INDIRECT("'["&amp;НАСТРОЙКИ!$D$5&amp;"]CF'!$L$3:$EO$3"),CR$22,INDIRECT("'["&amp;НАСТРОЙКИ!$D$5&amp;"]CF'!$L$18:$EO$18")),0))</f>
        <v>0</v>
      </c>
      <c r="CS45" s="35">
        <f ca="1">IF(НАСТРОЙКИ!$B$5&lt;&gt;"Да",0,IFERROR(SUMIF(INDIRECT("'["&amp;НАСТРОЙКИ!$D$5&amp;"]CF'!$L$3:$EO$3"),CS$22,INDIRECT("'["&amp;НАСТРОЙКИ!$D$5&amp;"]CF'!$L$18:$EO$18")),0))</f>
        <v>0</v>
      </c>
      <c r="CT45" s="35">
        <f ca="1">IF(НАСТРОЙКИ!$B$5&lt;&gt;"Да",0,IFERROR(SUMIF(INDIRECT("'["&amp;НАСТРОЙКИ!$D$5&amp;"]CF'!$L$3:$EO$3"),CT$22,INDIRECT("'["&amp;НАСТРОЙКИ!$D$5&amp;"]CF'!$L$18:$EO$18")),0))</f>
        <v>0</v>
      </c>
      <c r="CU45" s="35">
        <f ca="1">IF(НАСТРОЙКИ!$B$5&lt;&gt;"Да",0,IFERROR(SUMIF(INDIRECT("'["&amp;НАСТРОЙКИ!$D$5&amp;"]CF'!$L$3:$EO$3"),CU$22,INDIRECT("'["&amp;НАСТРОЙКИ!$D$5&amp;"]CF'!$L$18:$EO$18")),0))</f>
        <v>0</v>
      </c>
      <c r="CV45" s="35">
        <f ca="1">IF(НАСТРОЙКИ!$B$5&lt;&gt;"Да",0,IFERROR(SUMIF(INDIRECT("'["&amp;НАСТРОЙКИ!$D$5&amp;"]CF'!$L$3:$EO$3"),CV$22,INDIRECT("'["&amp;НАСТРОЙКИ!$D$5&amp;"]CF'!$L$18:$EO$18")),0))</f>
        <v>0</v>
      </c>
      <c r="CW45" s="35">
        <f ca="1">IF(НАСТРОЙКИ!$B$5&lt;&gt;"Да",0,IFERROR(SUMIF(INDIRECT("'["&amp;НАСТРОЙКИ!$D$5&amp;"]CF'!$L$3:$EO$3"),CW$22,INDIRECT("'["&amp;НАСТРОЙКИ!$D$5&amp;"]CF'!$L$18:$EO$18")),0))</f>
        <v>0</v>
      </c>
      <c r="CX45" s="35">
        <f ca="1">IF(НАСТРОЙКИ!$B$5&lt;&gt;"Да",0,IFERROR(SUMIF(INDIRECT("'["&amp;НАСТРОЙКИ!$D$5&amp;"]CF'!$L$3:$EO$3"),CX$22,INDIRECT("'["&amp;НАСТРОЙКИ!$D$5&amp;"]CF'!$L$18:$EO$18")),0))</f>
        <v>0</v>
      </c>
      <c r="CY45" s="35">
        <f ca="1">IF(НАСТРОЙКИ!$B$5&lt;&gt;"Да",0,IFERROR(SUMIF(INDIRECT("'["&amp;НАСТРОЙКИ!$D$5&amp;"]CF'!$L$3:$EO$3"),CY$22,INDIRECT("'["&amp;НАСТРОЙКИ!$D$5&amp;"]CF'!$L$18:$EO$18")),0))</f>
        <v>0</v>
      </c>
      <c r="CZ45" s="35">
        <f ca="1">IF(НАСТРОЙКИ!$B$5&lt;&gt;"Да",0,IFERROR(SUMIF(INDIRECT("'["&amp;НАСТРОЙКИ!$D$5&amp;"]CF'!$L$3:$EO$3"),CZ$22,INDIRECT("'["&amp;НАСТРОЙКИ!$D$5&amp;"]CF'!$L$18:$EO$18")),0))</f>
        <v>0</v>
      </c>
      <c r="DA45" s="35">
        <f ca="1">IF(НАСТРОЙКИ!$B$5&lt;&gt;"Да",0,IFERROR(SUMIF(INDIRECT("'["&amp;НАСТРОЙКИ!$D$5&amp;"]CF'!$L$3:$EO$3"),DA$22,INDIRECT("'["&amp;НАСТРОЙКИ!$D$5&amp;"]CF'!$L$18:$EO$18")),0))</f>
        <v>0</v>
      </c>
      <c r="DB45" s="35">
        <f ca="1">IF(НАСТРОЙКИ!$B$5&lt;&gt;"Да",0,IFERROR(SUMIF(INDIRECT("'["&amp;НАСТРОЙКИ!$D$5&amp;"]CF'!$L$3:$EO$3"),DB$22,INDIRECT("'["&amp;НАСТРОЙКИ!$D$5&amp;"]CF'!$L$18:$EO$18")),0))</f>
        <v>0</v>
      </c>
      <c r="DC45" s="35">
        <f ca="1">IF(НАСТРОЙКИ!$B$5&lt;&gt;"Да",0,IFERROR(SUMIF(INDIRECT("'["&amp;НАСТРОЙКИ!$D$5&amp;"]CF'!$L$3:$EO$3"),DC$22,INDIRECT("'["&amp;НАСТРОЙКИ!$D$5&amp;"]CF'!$L$18:$EO$18")),0))</f>
        <v>0</v>
      </c>
      <c r="DD45" s="35">
        <f ca="1">IF(НАСТРОЙКИ!$B$5&lt;&gt;"Да",0,IFERROR(SUMIF(INDIRECT("'["&amp;НАСТРОЙКИ!$D$5&amp;"]CF'!$L$3:$EO$3"),DD$22,INDIRECT("'["&amp;НАСТРОЙКИ!$D$5&amp;"]CF'!$L$18:$EO$18")),0))</f>
        <v>0</v>
      </c>
      <c r="DE45" s="35">
        <f ca="1">IF(НАСТРОЙКИ!$B$5&lt;&gt;"Да",0,IFERROR(SUMIF(INDIRECT("'["&amp;НАСТРОЙКИ!$D$5&amp;"]CF'!$L$3:$EO$3"),DE$22,INDIRECT("'["&amp;НАСТРОЙКИ!$D$5&amp;"]CF'!$L$18:$EO$18")),0))</f>
        <v>0</v>
      </c>
      <c r="DF45" s="35">
        <f ca="1">IF(НАСТРОЙКИ!$B$5&lt;&gt;"Да",0,IFERROR(SUMIF(INDIRECT("'["&amp;НАСТРОЙКИ!$D$5&amp;"]CF'!$L$3:$EO$3"),DF$22,INDIRECT("'["&amp;НАСТРОЙКИ!$D$5&amp;"]CF'!$L$18:$EO$18")),0))</f>
        <v>0</v>
      </c>
    </row>
    <row r="46" spans="1:110">
      <c r="A46" s="34" t="s">
        <v>124</v>
      </c>
      <c r="B46" s="34" t="s">
        <v>58</v>
      </c>
      <c r="C46" s="35">
        <f ca="1">IF(НАСТРОЙКИ!$B$5&lt;&gt;"Да",0,IFERROR(SUMIF(INDIRECT("'["&amp;НАСТРОЙКИ!$D$5&amp;"]CF'!$L$3:$EO$3"),C$22,INDIRECT("'["&amp;НАСТРОЙКИ!$D$5&amp;"]CF'!$L$20:$EO$20")),0))</f>
        <v>0</v>
      </c>
      <c r="D46" s="35">
        <f ca="1">IF(НАСТРОЙКИ!$B$5&lt;&gt;"Да",0,IFERROR(SUMIF(INDIRECT("'["&amp;НАСТРОЙКИ!$D$5&amp;"]CF'!$L$3:$EO$3"),D$22,INDIRECT("'["&amp;НАСТРОЙКИ!$D$5&amp;"]CF'!$L$20:$EO$20")),0))</f>
        <v>0</v>
      </c>
      <c r="E46" s="35">
        <f ca="1">IF(НАСТРОЙКИ!$B$5&lt;&gt;"Да",0,IFERROR(SUMIF(INDIRECT("'["&amp;НАСТРОЙКИ!$D$5&amp;"]CF'!$L$3:$EO$3"),E$22,INDIRECT("'["&amp;НАСТРОЙКИ!$D$5&amp;"]CF'!$L$20:$EO$20")),0))</f>
        <v>0</v>
      </c>
      <c r="F46" s="35">
        <f ca="1">IF(НАСТРОЙКИ!$B$5&lt;&gt;"Да",0,IFERROR(SUMIF(INDIRECT("'["&amp;НАСТРОЙКИ!$D$5&amp;"]CF'!$L$3:$EO$3"),F$22,INDIRECT("'["&amp;НАСТРОЙКИ!$D$5&amp;"]CF'!$L$20:$EO$20")),0))</f>
        <v>0</v>
      </c>
      <c r="G46" s="35">
        <f ca="1">IF(НАСТРОЙКИ!$B$5&lt;&gt;"Да",0,IFERROR(SUMIF(INDIRECT("'["&amp;НАСТРОЙКИ!$D$5&amp;"]CF'!$L$3:$EO$3"),G$22,INDIRECT("'["&amp;НАСТРОЙКИ!$D$5&amp;"]CF'!$L$20:$EO$20")),0))</f>
        <v>0</v>
      </c>
      <c r="H46" s="35">
        <f ca="1">IF(НАСТРОЙКИ!$B$5&lt;&gt;"Да",0,IFERROR(SUMIF(INDIRECT("'["&amp;НАСТРОЙКИ!$D$5&amp;"]CF'!$L$3:$EO$3"),H$22,INDIRECT("'["&amp;НАСТРОЙКИ!$D$5&amp;"]CF'!$L$20:$EO$20")),0))</f>
        <v>0</v>
      </c>
      <c r="I46" s="35">
        <f ca="1">IF(НАСТРОЙКИ!$B$5&lt;&gt;"Да",0,IFERROR(SUMIF(INDIRECT("'["&amp;НАСТРОЙКИ!$D$5&amp;"]CF'!$L$3:$EO$3"),I$22,INDIRECT("'["&amp;НАСТРОЙКИ!$D$5&amp;"]CF'!$L$20:$EO$20")),0))</f>
        <v>0</v>
      </c>
      <c r="J46" s="35">
        <f ca="1">IF(НАСТРОЙКИ!$B$5&lt;&gt;"Да",0,IFERROR(SUMIF(INDIRECT("'["&amp;НАСТРОЙКИ!$D$5&amp;"]CF'!$L$3:$EO$3"),J$22,INDIRECT("'["&amp;НАСТРОЙКИ!$D$5&amp;"]CF'!$L$20:$EO$20")),0))</f>
        <v>0</v>
      </c>
      <c r="K46" s="35">
        <f ca="1">IF(НАСТРОЙКИ!$B$5&lt;&gt;"Да",0,IFERROR(SUMIF(INDIRECT("'["&amp;НАСТРОЙКИ!$D$5&amp;"]CF'!$L$3:$EO$3"),K$22,INDIRECT("'["&amp;НАСТРОЙКИ!$D$5&amp;"]CF'!$L$20:$EO$20")),0))</f>
        <v>0</v>
      </c>
      <c r="L46" s="35">
        <f ca="1">IF(НАСТРОЙКИ!$B$5&lt;&gt;"Да",0,IFERROR(SUMIF(INDIRECT("'["&amp;НАСТРОЙКИ!$D$5&amp;"]CF'!$L$3:$EO$3"),L$22,INDIRECT("'["&amp;НАСТРОЙКИ!$D$5&amp;"]CF'!$L$20:$EO$20")),0))</f>
        <v>0</v>
      </c>
      <c r="M46" s="35">
        <f ca="1">IF(НАСТРОЙКИ!$B$5&lt;&gt;"Да",0,IFERROR(SUMIF(INDIRECT("'["&amp;НАСТРОЙКИ!$D$5&amp;"]CF'!$L$3:$EO$3"),M$22,INDIRECT("'["&amp;НАСТРОЙКИ!$D$5&amp;"]CF'!$L$20:$EO$20")),0))</f>
        <v>0</v>
      </c>
      <c r="N46" s="35">
        <f ca="1">IF(НАСТРОЙКИ!$B$5&lt;&gt;"Да",0,IFERROR(SUMIF(INDIRECT("'["&amp;НАСТРОЙКИ!$D$5&amp;"]CF'!$L$3:$EO$3"),N$22,INDIRECT("'["&amp;НАСТРОЙКИ!$D$5&amp;"]CF'!$L$20:$EO$20")),0))</f>
        <v>0</v>
      </c>
      <c r="O46" s="35">
        <f ca="1">IF(НАСТРОЙКИ!$B$5&lt;&gt;"Да",0,IFERROR(SUMIF(INDIRECT("'["&amp;НАСТРОЙКИ!$D$5&amp;"]CF'!$L$3:$EO$3"),O$22,INDIRECT("'["&amp;НАСТРОЙКИ!$D$5&amp;"]CF'!$L$20:$EO$20")),0))</f>
        <v>0</v>
      </c>
      <c r="P46" s="35">
        <f ca="1">IF(НАСТРОЙКИ!$B$5&lt;&gt;"Да",0,IFERROR(SUMIF(INDIRECT("'["&amp;НАСТРОЙКИ!$D$5&amp;"]CF'!$L$3:$EO$3"),P$22,INDIRECT("'["&amp;НАСТРОЙКИ!$D$5&amp;"]CF'!$L$20:$EO$20")),0))</f>
        <v>0</v>
      </c>
      <c r="Q46" s="35">
        <f ca="1">IF(НАСТРОЙКИ!$B$5&lt;&gt;"Да",0,IFERROR(SUMIF(INDIRECT("'["&amp;НАСТРОЙКИ!$D$5&amp;"]CF'!$L$3:$EO$3"),Q$22,INDIRECT("'["&amp;НАСТРОЙКИ!$D$5&amp;"]CF'!$L$20:$EO$20")),0))</f>
        <v>0</v>
      </c>
      <c r="R46" s="35">
        <f ca="1">IF(НАСТРОЙКИ!$B$5&lt;&gt;"Да",0,IFERROR(SUMIF(INDIRECT("'["&amp;НАСТРОЙКИ!$D$5&amp;"]CF'!$L$3:$EO$3"),R$22,INDIRECT("'["&amp;НАСТРОЙКИ!$D$5&amp;"]CF'!$L$20:$EO$20")),0))</f>
        <v>0</v>
      </c>
      <c r="S46" s="35">
        <f ca="1">IF(НАСТРОЙКИ!$B$5&lt;&gt;"Да",0,IFERROR(SUMIF(INDIRECT("'["&amp;НАСТРОЙКИ!$D$5&amp;"]CF'!$L$3:$EO$3"),S$22,INDIRECT("'["&amp;НАСТРОЙКИ!$D$5&amp;"]CF'!$L$20:$EO$20")),0))</f>
        <v>0</v>
      </c>
      <c r="T46" s="35">
        <f ca="1">IF(НАСТРОЙКИ!$B$5&lt;&gt;"Да",0,IFERROR(SUMIF(INDIRECT("'["&amp;НАСТРОЙКИ!$D$5&amp;"]CF'!$L$3:$EO$3"),T$22,INDIRECT("'["&amp;НАСТРОЙКИ!$D$5&amp;"]CF'!$L$20:$EO$20")),0))</f>
        <v>0</v>
      </c>
      <c r="U46" s="35">
        <f ca="1">IF(НАСТРОЙКИ!$B$5&lt;&gt;"Да",0,IFERROR(SUMIF(INDIRECT("'["&amp;НАСТРОЙКИ!$D$5&amp;"]CF'!$L$3:$EO$3"),U$22,INDIRECT("'["&amp;НАСТРОЙКИ!$D$5&amp;"]CF'!$L$20:$EO$20")),0))</f>
        <v>0</v>
      </c>
      <c r="V46" s="35">
        <f ca="1">IF(НАСТРОЙКИ!$B$5&lt;&gt;"Да",0,IFERROR(SUMIF(INDIRECT("'["&amp;НАСТРОЙКИ!$D$5&amp;"]CF'!$L$3:$EO$3"),V$22,INDIRECT("'["&amp;НАСТРОЙКИ!$D$5&amp;"]CF'!$L$20:$EO$20")),0))</f>
        <v>0</v>
      </c>
      <c r="W46" s="35">
        <f ca="1">IF(НАСТРОЙКИ!$B$5&lt;&gt;"Да",0,IFERROR(SUMIF(INDIRECT("'["&amp;НАСТРОЙКИ!$D$5&amp;"]CF'!$L$3:$EO$3"),W$22,INDIRECT("'["&amp;НАСТРОЙКИ!$D$5&amp;"]CF'!$L$20:$EO$20")),0))</f>
        <v>0</v>
      </c>
      <c r="X46" s="35">
        <f ca="1">IF(НАСТРОЙКИ!$B$5&lt;&gt;"Да",0,IFERROR(SUMIF(INDIRECT("'["&amp;НАСТРОЙКИ!$D$5&amp;"]CF'!$L$3:$EO$3"),X$22,INDIRECT("'["&amp;НАСТРОЙКИ!$D$5&amp;"]CF'!$L$20:$EO$20")),0))</f>
        <v>0</v>
      </c>
      <c r="Y46" s="35">
        <f ca="1">IF(НАСТРОЙКИ!$B$5&lt;&gt;"Да",0,IFERROR(SUMIF(INDIRECT("'["&amp;НАСТРОЙКИ!$D$5&amp;"]CF'!$L$3:$EO$3"),Y$22,INDIRECT("'["&amp;НАСТРОЙКИ!$D$5&amp;"]CF'!$L$20:$EO$20")),0))</f>
        <v>0</v>
      </c>
      <c r="Z46" s="35">
        <f ca="1">IF(НАСТРОЙКИ!$B$5&lt;&gt;"Да",0,IFERROR(SUMIF(INDIRECT("'["&amp;НАСТРОЙКИ!$D$5&amp;"]CF'!$L$3:$EO$3"),Z$22,INDIRECT("'["&amp;НАСТРОЙКИ!$D$5&amp;"]CF'!$L$20:$EO$20")),0))</f>
        <v>0</v>
      </c>
      <c r="AA46" s="35">
        <f ca="1">IF(НАСТРОЙКИ!$B$5&lt;&gt;"Да",0,IFERROR(SUMIF(INDIRECT("'["&amp;НАСТРОЙКИ!$D$5&amp;"]CF'!$L$3:$EO$3"),AA$22,INDIRECT("'["&amp;НАСТРОЙКИ!$D$5&amp;"]CF'!$L$20:$EO$20")),0))</f>
        <v>0</v>
      </c>
      <c r="AB46" s="35">
        <f ca="1">IF(НАСТРОЙКИ!$B$5&lt;&gt;"Да",0,IFERROR(SUMIF(INDIRECT("'["&amp;НАСТРОЙКИ!$D$5&amp;"]CF'!$L$3:$EO$3"),AB$22,INDIRECT("'["&amp;НАСТРОЙКИ!$D$5&amp;"]CF'!$L$20:$EO$20")),0))</f>
        <v>0</v>
      </c>
      <c r="AC46" s="35">
        <f ca="1">IF(НАСТРОЙКИ!$B$5&lt;&gt;"Да",0,IFERROR(SUMIF(INDIRECT("'["&amp;НАСТРОЙКИ!$D$5&amp;"]CF'!$L$3:$EO$3"),AC$22,INDIRECT("'["&amp;НАСТРОЙКИ!$D$5&amp;"]CF'!$L$20:$EO$20")),0))</f>
        <v>0</v>
      </c>
      <c r="AD46" s="35">
        <f ca="1">IF(НАСТРОЙКИ!$B$5&lt;&gt;"Да",0,IFERROR(SUMIF(INDIRECT("'["&amp;НАСТРОЙКИ!$D$5&amp;"]CF'!$L$3:$EO$3"),AD$22,INDIRECT("'["&amp;НАСТРОЙКИ!$D$5&amp;"]CF'!$L$20:$EO$20")),0))</f>
        <v>0</v>
      </c>
      <c r="AE46" s="35">
        <f ca="1">IF(НАСТРОЙКИ!$B$5&lt;&gt;"Да",0,IFERROR(SUMIF(INDIRECT("'["&amp;НАСТРОЙКИ!$D$5&amp;"]CF'!$L$3:$EO$3"),AE$22,INDIRECT("'["&amp;НАСТРОЙКИ!$D$5&amp;"]CF'!$L$20:$EO$20")),0))</f>
        <v>0</v>
      </c>
      <c r="AF46" s="35">
        <f ca="1">IF(НАСТРОЙКИ!$B$5&lt;&gt;"Да",0,IFERROR(SUMIF(INDIRECT("'["&amp;НАСТРОЙКИ!$D$5&amp;"]CF'!$L$3:$EO$3"),AF$22,INDIRECT("'["&amp;НАСТРОЙКИ!$D$5&amp;"]CF'!$L$20:$EO$20")),0))</f>
        <v>0</v>
      </c>
      <c r="AG46" s="35">
        <f ca="1">IF(НАСТРОЙКИ!$B$5&lt;&gt;"Да",0,IFERROR(SUMIF(INDIRECT("'["&amp;НАСТРОЙКИ!$D$5&amp;"]CF'!$L$3:$EO$3"),AG$22,INDIRECT("'["&amp;НАСТРОЙКИ!$D$5&amp;"]CF'!$L$20:$EO$20")),0))</f>
        <v>0</v>
      </c>
      <c r="AH46" s="35">
        <f ca="1">IF(НАСТРОЙКИ!$B$5&lt;&gt;"Да",0,IFERROR(SUMIF(INDIRECT("'["&amp;НАСТРОЙКИ!$D$5&amp;"]CF'!$L$3:$EO$3"),AH$22,INDIRECT("'["&amp;НАСТРОЙКИ!$D$5&amp;"]CF'!$L$20:$EO$20")),0))</f>
        <v>0</v>
      </c>
      <c r="AI46" s="35">
        <f ca="1">IF(НАСТРОЙКИ!$B$5&lt;&gt;"Да",0,IFERROR(SUMIF(INDIRECT("'["&amp;НАСТРОЙКИ!$D$5&amp;"]CF'!$L$3:$EO$3"),AI$22,INDIRECT("'["&amp;НАСТРОЙКИ!$D$5&amp;"]CF'!$L$20:$EO$20")),0))</f>
        <v>0</v>
      </c>
      <c r="AJ46" s="35">
        <f ca="1">IF(НАСТРОЙКИ!$B$5&lt;&gt;"Да",0,IFERROR(SUMIF(INDIRECT("'["&amp;НАСТРОЙКИ!$D$5&amp;"]CF'!$L$3:$EO$3"),AJ$22,INDIRECT("'["&amp;НАСТРОЙКИ!$D$5&amp;"]CF'!$L$20:$EO$20")),0))</f>
        <v>0</v>
      </c>
      <c r="AK46" s="35">
        <f ca="1">IF(НАСТРОЙКИ!$B$5&lt;&gt;"Да",0,IFERROR(SUMIF(INDIRECT("'["&amp;НАСТРОЙКИ!$D$5&amp;"]CF'!$L$3:$EO$3"),AK$22,INDIRECT("'["&amp;НАСТРОЙКИ!$D$5&amp;"]CF'!$L$20:$EO$20")),0))</f>
        <v>0</v>
      </c>
      <c r="AL46" s="35">
        <f ca="1">IF(НАСТРОЙКИ!$B$5&lt;&gt;"Да",0,IFERROR(SUMIF(INDIRECT("'["&amp;НАСТРОЙКИ!$D$5&amp;"]CF'!$L$3:$EO$3"),AL$22,INDIRECT("'["&amp;НАСТРОЙКИ!$D$5&amp;"]CF'!$L$20:$EO$20")),0))</f>
        <v>0</v>
      </c>
      <c r="AM46" s="35">
        <f ca="1">IF(НАСТРОЙКИ!$B$5&lt;&gt;"Да",0,IFERROR(SUMIF(INDIRECT("'["&amp;НАСТРОЙКИ!$D$5&amp;"]CF'!$L$3:$EO$3"),AM$22,INDIRECT("'["&amp;НАСТРОЙКИ!$D$5&amp;"]CF'!$L$20:$EO$20")),0))</f>
        <v>0</v>
      </c>
      <c r="AN46" s="35">
        <f ca="1">IF(НАСТРОЙКИ!$B$5&lt;&gt;"Да",0,IFERROR(SUMIF(INDIRECT("'["&amp;НАСТРОЙКИ!$D$5&amp;"]CF'!$L$3:$EO$3"),AN$22,INDIRECT("'["&amp;НАСТРОЙКИ!$D$5&amp;"]CF'!$L$20:$EO$20")),0))</f>
        <v>0</v>
      </c>
      <c r="AO46" s="35">
        <f ca="1">IF(НАСТРОЙКИ!$B$5&lt;&gt;"Да",0,IFERROR(SUMIF(INDIRECT("'["&amp;НАСТРОЙКИ!$D$5&amp;"]CF'!$L$3:$EO$3"),AO$22,INDIRECT("'["&amp;НАСТРОЙКИ!$D$5&amp;"]CF'!$L$20:$EO$20")),0))</f>
        <v>0</v>
      </c>
      <c r="AP46" s="35">
        <f ca="1">IF(НАСТРОЙКИ!$B$5&lt;&gt;"Да",0,IFERROR(SUMIF(INDIRECT("'["&amp;НАСТРОЙКИ!$D$5&amp;"]CF'!$L$3:$EO$3"),AP$22,INDIRECT("'["&amp;НАСТРОЙКИ!$D$5&amp;"]CF'!$L$20:$EO$20")),0))</f>
        <v>0</v>
      </c>
      <c r="AQ46" s="35">
        <f ca="1">IF(НАСТРОЙКИ!$B$5&lt;&gt;"Да",0,IFERROR(SUMIF(INDIRECT("'["&amp;НАСТРОЙКИ!$D$5&amp;"]CF'!$L$3:$EO$3"),AQ$22,INDIRECT("'["&amp;НАСТРОЙКИ!$D$5&amp;"]CF'!$L$20:$EO$20")),0))</f>
        <v>0</v>
      </c>
      <c r="AR46" s="35">
        <f ca="1">IF(НАСТРОЙКИ!$B$5&lt;&gt;"Да",0,IFERROR(SUMIF(INDIRECT("'["&amp;НАСТРОЙКИ!$D$5&amp;"]CF'!$L$3:$EO$3"),AR$22,INDIRECT("'["&amp;НАСТРОЙКИ!$D$5&amp;"]CF'!$L$20:$EO$20")),0))</f>
        <v>0</v>
      </c>
      <c r="AS46" s="35">
        <f ca="1">IF(НАСТРОЙКИ!$B$5&lt;&gt;"Да",0,IFERROR(SUMIF(INDIRECT("'["&amp;НАСТРОЙКИ!$D$5&amp;"]CF'!$L$3:$EO$3"),AS$22,INDIRECT("'["&amp;НАСТРОЙКИ!$D$5&amp;"]CF'!$L$20:$EO$20")),0))</f>
        <v>0</v>
      </c>
      <c r="AT46" s="35">
        <f ca="1">IF(НАСТРОЙКИ!$B$5&lt;&gt;"Да",0,IFERROR(SUMIF(INDIRECT("'["&amp;НАСТРОЙКИ!$D$5&amp;"]CF'!$L$3:$EO$3"),AT$22,INDIRECT("'["&amp;НАСТРОЙКИ!$D$5&amp;"]CF'!$L$20:$EO$20")),0))</f>
        <v>0</v>
      </c>
      <c r="AU46" s="35">
        <f ca="1">IF(НАСТРОЙКИ!$B$5&lt;&gt;"Да",0,IFERROR(SUMIF(INDIRECT("'["&amp;НАСТРОЙКИ!$D$5&amp;"]CF'!$L$3:$EO$3"),AU$22,INDIRECT("'["&amp;НАСТРОЙКИ!$D$5&amp;"]CF'!$L$20:$EO$20")),0))</f>
        <v>0</v>
      </c>
      <c r="AV46" s="35">
        <f ca="1">IF(НАСТРОЙКИ!$B$5&lt;&gt;"Да",0,IFERROR(SUMIF(INDIRECT("'["&amp;НАСТРОЙКИ!$D$5&amp;"]CF'!$L$3:$EO$3"),AV$22,INDIRECT("'["&amp;НАСТРОЙКИ!$D$5&amp;"]CF'!$L$20:$EO$20")),0))</f>
        <v>0</v>
      </c>
      <c r="AW46" s="35">
        <f ca="1">IF(НАСТРОЙКИ!$B$5&lt;&gt;"Да",0,IFERROR(SUMIF(INDIRECT("'["&amp;НАСТРОЙКИ!$D$5&amp;"]CF'!$L$3:$EO$3"),AW$22,INDIRECT("'["&amp;НАСТРОЙКИ!$D$5&amp;"]CF'!$L$20:$EO$20")),0))</f>
        <v>0</v>
      </c>
      <c r="AX46" s="35">
        <f ca="1">IF(НАСТРОЙКИ!$B$5&lt;&gt;"Да",0,IFERROR(SUMIF(INDIRECT("'["&amp;НАСТРОЙКИ!$D$5&amp;"]CF'!$L$3:$EO$3"),AX$22,INDIRECT("'["&amp;НАСТРОЙКИ!$D$5&amp;"]CF'!$L$20:$EO$20")),0))</f>
        <v>0</v>
      </c>
      <c r="AY46" s="35">
        <f ca="1">IF(НАСТРОЙКИ!$B$5&lt;&gt;"Да",0,IFERROR(SUMIF(INDIRECT("'["&amp;НАСТРОЙКИ!$D$5&amp;"]CF'!$L$3:$EO$3"),AY$22,INDIRECT("'["&amp;НАСТРОЙКИ!$D$5&amp;"]CF'!$L$20:$EO$20")),0))</f>
        <v>0</v>
      </c>
      <c r="AZ46" s="35">
        <f ca="1">IF(НАСТРОЙКИ!$B$5&lt;&gt;"Да",0,IFERROR(SUMIF(INDIRECT("'["&amp;НАСТРОЙКИ!$D$5&amp;"]CF'!$L$3:$EO$3"),AZ$22,INDIRECT("'["&amp;НАСТРОЙКИ!$D$5&amp;"]CF'!$L$20:$EO$20")),0))</f>
        <v>0</v>
      </c>
      <c r="BA46" s="35">
        <f ca="1">IF(НАСТРОЙКИ!$B$5&lt;&gt;"Да",0,IFERROR(SUMIF(INDIRECT("'["&amp;НАСТРОЙКИ!$D$5&amp;"]CF'!$L$3:$EO$3"),BA$22,INDIRECT("'["&amp;НАСТРОЙКИ!$D$5&amp;"]CF'!$L$20:$EO$20")),0))</f>
        <v>0</v>
      </c>
      <c r="BB46" s="35">
        <f ca="1">IF(НАСТРОЙКИ!$B$5&lt;&gt;"Да",0,IFERROR(SUMIF(INDIRECT("'["&amp;НАСТРОЙКИ!$D$5&amp;"]CF'!$L$3:$EO$3"),BB$22,INDIRECT("'["&amp;НАСТРОЙКИ!$D$5&amp;"]CF'!$L$20:$EO$20")),0))</f>
        <v>0</v>
      </c>
      <c r="BC46" s="35">
        <f ca="1">IF(НАСТРОЙКИ!$B$5&lt;&gt;"Да",0,IFERROR(SUMIF(INDIRECT("'["&amp;НАСТРОЙКИ!$D$5&amp;"]CF'!$L$3:$EO$3"),BC$22,INDIRECT("'["&amp;НАСТРОЙКИ!$D$5&amp;"]CF'!$L$20:$EO$20")),0))</f>
        <v>0</v>
      </c>
      <c r="BD46" s="35">
        <f ca="1">IF(НАСТРОЙКИ!$B$5&lt;&gt;"Да",0,IFERROR(SUMIF(INDIRECT("'["&amp;НАСТРОЙКИ!$D$5&amp;"]CF'!$L$3:$EO$3"),BD$22,INDIRECT("'["&amp;НАСТРОЙКИ!$D$5&amp;"]CF'!$L$20:$EO$20")),0))</f>
        <v>0</v>
      </c>
      <c r="BE46" s="35">
        <f ca="1">IF(НАСТРОЙКИ!$B$5&lt;&gt;"Да",0,IFERROR(SUMIF(INDIRECT("'["&amp;НАСТРОЙКИ!$D$5&amp;"]CF'!$L$3:$EO$3"),BE$22,INDIRECT("'["&amp;НАСТРОЙКИ!$D$5&amp;"]CF'!$L$20:$EO$20")),0))</f>
        <v>0</v>
      </c>
      <c r="BF46" s="35">
        <f ca="1">IF(НАСТРОЙКИ!$B$5&lt;&gt;"Да",0,IFERROR(SUMIF(INDIRECT("'["&amp;НАСТРОЙКИ!$D$5&amp;"]CF'!$L$3:$EO$3"),BF$22,INDIRECT("'["&amp;НАСТРОЙКИ!$D$5&amp;"]CF'!$L$20:$EO$20")),0))</f>
        <v>0</v>
      </c>
      <c r="BG46" s="35">
        <f ca="1">IF(НАСТРОЙКИ!$B$5&lt;&gt;"Да",0,IFERROR(SUMIF(INDIRECT("'["&amp;НАСТРОЙКИ!$D$5&amp;"]CF'!$L$3:$EO$3"),BG$22,INDIRECT("'["&amp;НАСТРОЙКИ!$D$5&amp;"]CF'!$L$20:$EO$20")),0))</f>
        <v>0</v>
      </c>
      <c r="BH46" s="35">
        <f ca="1">IF(НАСТРОЙКИ!$B$5&lt;&gt;"Да",0,IFERROR(SUMIF(INDIRECT("'["&amp;НАСТРОЙКИ!$D$5&amp;"]CF'!$L$3:$EO$3"),BH$22,INDIRECT("'["&amp;НАСТРОЙКИ!$D$5&amp;"]CF'!$L$20:$EO$20")),0))</f>
        <v>0</v>
      </c>
      <c r="BI46" s="35">
        <f ca="1">IF(НАСТРОЙКИ!$B$5&lt;&gt;"Да",0,IFERROR(SUMIF(INDIRECT("'["&amp;НАСТРОЙКИ!$D$5&amp;"]CF'!$L$3:$EO$3"),BI$22,INDIRECT("'["&amp;НАСТРОЙКИ!$D$5&amp;"]CF'!$L$20:$EO$20")),0))</f>
        <v>0</v>
      </c>
      <c r="BJ46" s="35">
        <f ca="1">IF(НАСТРОЙКИ!$B$5&lt;&gt;"Да",0,IFERROR(SUMIF(INDIRECT("'["&amp;НАСТРОЙКИ!$D$5&amp;"]CF'!$L$3:$EO$3"),BJ$22,INDIRECT("'["&amp;НАСТРОЙКИ!$D$5&amp;"]CF'!$L$20:$EO$20")),0))</f>
        <v>0</v>
      </c>
      <c r="BK46" s="35">
        <f ca="1">IF(НАСТРОЙКИ!$B$5&lt;&gt;"Да",0,IFERROR(SUMIF(INDIRECT("'["&amp;НАСТРОЙКИ!$D$5&amp;"]CF'!$L$3:$EO$3"),BK$22,INDIRECT("'["&amp;НАСТРОЙКИ!$D$5&amp;"]CF'!$L$20:$EO$20")),0))</f>
        <v>0</v>
      </c>
      <c r="BL46" s="35">
        <f ca="1">IF(НАСТРОЙКИ!$B$5&lt;&gt;"Да",0,IFERROR(SUMIF(INDIRECT("'["&amp;НАСТРОЙКИ!$D$5&amp;"]CF'!$L$3:$EO$3"),BL$22,INDIRECT("'["&amp;НАСТРОЙКИ!$D$5&amp;"]CF'!$L$20:$EO$20")),0))</f>
        <v>0</v>
      </c>
      <c r="BM46" s="35">
        <f ca="1">IF(НАСТРОЙКИ!$B$5&lt;&gt;"Да",0,IFERROR(SUMIF(INDIRECT("'["&amp;НАСТРОЙКИ!$D$5&amp;"]CF'!$L$3:$EO$3"),BM$22,INDIRECT("'["&amp;НАСТРОЙКИ!$D$5&amp;"]CF'!$L$20:$EO$20")),0))</f>
        <v>0</v>
      </c>
      <c r="BN46" s="35">
        <f ca="1">IF(НАСТРОЙКИ!$B$5&lt;&gt;"Да",0,IFERROR(SUMIF(INDIRECT("'["&amp;НАСТРОЙКИ!$D$5&amp;"]CF'!$L$3:$EO$3"),BN$22,INDIRECT("'["&amp;НАСТРОЙКИ!$D$5&amp;"]CF'!$L$20:$EO$20")),0))</f>
        <v>0</v>
      </c>
      <c r="BO46" s="35">
        <f ca="1">IF(НАСТРОЙКИ!$B$5&lt;&gt;"Да",0,IFERROR(SUMIF(INDIRECT("'["&amp;НАСТРОЙКИ!$D$5&amp;"]CF'!$L$3:$EO$3"),BO$22,INDIRECT("'["&amp;НАСТРОЙКИ!$D$5&amp;"]CF'!$L$20:$EO$20")),0))</f>
        <v>0</v>
      </c>
      <c r="BP46" s="35">
        <f ca="1">IF(НАСТРОЙКИ!$B$5&lt;&gt;"Да",0,IFERROR(SUMIF(INDIRECT("'["&amp;НАСТРОЙКИ!$D$5&amp;"]CF'!$L$3:$EO$3"),BP$22,INDIRECT("'["&amp;НАСТРОЙКИ!$D$5&amp;"]CF'!$L$20:$EO$20")),0))</f>
        <v>0</v>
      </c>
      <c r="BQ46" s="35">
        <f ca="1">IF(НАСТРОЙКИ!$B$5&lt;&gt;"Да",0,IFERROR(SUMIF(INDIRECT("'["&amp;НАСТРОЙКИ!$D$5&amp;"]CF'!$L$3:$EO$3"),BQ$22,INDIRECT("'["&amp;НАСТРОЙКИ!$D$5&amp;"]CF'!$L$20:$EO$20")),0))</f>
        <v>0</v>
      </c>
      <c r="BR46" s="35">
        <f ca="1">IF(НАСТРОЙКИ!$B$5&lt;&gt;"Да",0,IFERROR(SUMIF(INDIRECT("'["&amp;НАСТРОЙКИ!$D$5&amp;"]CF'!$L$3:$EO$3"),BR$22,INDIRECT("'["&amp;НАСТРОЙКИ!$D$5&amp;"]CF'!$L$20:$EO$20")),0))</f>
        <v>0</v>
      </c>
      <c r="BS46" s="35">
        <f ca="1">IF(НАСТРОЙКИ!$B$5&lt;&gt;"Да",0,IFERROR(SUMIF(INDIRECT("'["&amp;НАСТРОЙКИ!$D$5&amp;"]CF'!$L$3:$EO$3"),BS$22,INDIRECT("'["&amp;НАСТРОЙКИ!$D$5&amp;"]CF'!$L$20:$EO$20")),0))</f>
        <v>0</v>
      </c>
      <c r="BT46" s="35">
        <f ca="1">IF(НАСТРОЙКИ!$B$5&lt;&gt;"Да",0,IFERROR(SUMIF(INDIRECT("'["&amp;НАСТРОЙКИ!$D$5&amp;"]CF'!$L$3:$EO$3"),BT$22,INDIRECT("'["&amp;НАСТРОЙКИ!$D$5&amp;"]CF'!$L$20:$EO$20")),0))</f>
        <v>0</v>
      </c>
      <c r="BU46" s="35">
        <f ca="1">IF(НАСТРОЙКИ!$B$5&lt;&gt;"Да",0,IFERROR(SUMIF(INDIRECT("'["&amp;НАСТРОЙКИ!$D$5&amp;"]CF'!$L$3:$EO$3"),BU$22,INDIRECT("'["&amp;НАСТРОЙКИ!$D$5&amp;"]CF'!$L$20:$EO$20")),0))</f>
        <v>0</v>
      </c>
      <c r="BV46" s="35">
        <f ca="1">IF(НАСТРОЙКИ!$B$5&lt;&gt;"Да",0,IFERROR(SUMIF(INDIRECT("'["&amp;НАСТРОЙКИ!$D$5&amp;"]CF'!$L$3:$EO$3"),BV$22,INDIRECT("'["&amp;НАСТРОЙКИ!$D$5&amp;"]CF'!$L$20:$EO$20")),0))</f>
        <v>0</v>
      </c>
      <c r="BW46" s="35">
        <f ca="1">IF(НАСТРОЙКИ!$B$5&lt;&gt;"Да",0,IFERROR(SUMIF(INDIRECT("'["&amp;НАСТРОЙКИ!$D$5&amp;"]CF'!$L$3:$EO$3"),BW$22,INDIRECT("'["&amp;НАСТРОЙКИ!$D$5&amp;"]CF'!$L$20:$EO$20")),0))</f>
        <v>0</v>
      </c>
      <c r="BX46" s="35">
        <f ca="1">IF(НАСТРОЙКИ!$B$5&lt;&gt;"Да",0,IFERROR(SUMIF(INDIRECT("'["&amp;НАСТРОЙКИ!$D$5&amp;"]CF'!$L$3:$EO$3"),BX$22,INDIRECT("'["&amp;НАСТРОЙКИ!$D$5&amp;"]CF'!$L$20:$EO$20")),0))</f>
        <v>0</v>
      </c>
      <c r="BY46" s="35">
        <f ca="1">IF(НАСТРОЙКИ!$B$5&lt;&gt;"Да",0,IFERROR(SUMIF(INDIRECT("'["&amp;НАСТРОЙКИ!$D$5&amp;"]CF'!$L$3:$EO$3"),BY$22,INDIRECT("'["&amp;НАСТРОЙКИ!$D$5&amp;"]CF'!$L$20:$EO$20")),0))</f>
        <v>0</v>
      </c>
      <c r="BZ46" s="35">
        <f ca="1">IF(НАСТРОЙКИ!$B$5&lt;&gt;"Да",0,IFERROR(SUMIF(INDIRECT("'["&amp;НАСТРОЙКИ!$D$5&amp;"]CF'!$L$3:$EO$3"),BZ$22,INDIRECT("'["&amp;НАСТРОЙКИ!$D$5&amp;"]CF'!$L$20:$EO$20")),0))</f>
        <v>0</v>
      </c>
      <c r="CA46" s="35">
        <f ca="1">IF(НАСТРОЙКИ!$B$5&lt;&gt;"Да",0,IFERROR(SUMIF(INDIRECT("'["&amp;НАСТРОЙКИ!$D$5&amp;"]CF'!$L$3:$EO$3"),CA$22,INDIRECT("'["&amp;НАСТРОЙКИ!$D$5&amp;"]CF'!$L$20:$EO$20")),0))</f>
        <v>0</v>
      </c>
      <c r="CB46" s="35">
        <f ca="1">IF(НАСТРОЙКИ!$B$5&lt;&gt;"Да",0,IFERROR(SUMIF(INDIRECT("'["&amp;НАСТРОЙКИ!$D$5&amp;"]CF'!$L$3:$EO$3"),CB$22,INDIRECT("'["&amp;НАСТРОЙКИ!$D$5&amp;"]CF'!$L$20:$EO$20")),0))</f>
        <v>0</v>
      </c>
      <c r="CC46" s="35">
        <f ca="1">IF(НАСТРОЙКИ!$B$5&lt;&gt;"Да",0,IFERROR(SUMIF(INDIRECT("'["&amp;НАСТРОЙКИ!$D$5&amp;"]CF'!$L$3:$EO$3"),CC$22,INDIRECT("'["&amp;НАСТРОЙКИ!$D$5&amp;"]CF'!$L$20:$EO$20")),0))</f>
        <v>0</v>
      </c>
      <c r="CD46" s="35">
        <f ca="1">IF(НАСТРОЙКИ!$B$5&lt;&gt;"Да",0,IFERROR(SUMIF(INDIRECT("'["&amp;НАСТРОЙКИ!$D$5&amp;"]CF'!$L$3:$EO$3"),CD$22,INDIRECT("'["&amp;НАСТРОЙКИ!$D$5&amp;"]CF'!$L$20:$EO$20")),0))</f>
        <v>0</v>
      </c>
      <c r="CE46" s="35">
        <f ca="1">IF(НАСТРОЙКИ!$B$5&lt;&gt;"Да",0,IFERROR(SUMIF(INDIRECT("'["&amp;НАСТРОЙКИ!$D$5&amp;"]CF'!$L$3:$EO$3"),CE$22,INDIRECT("'["&amp;НАСТРОЙКИ!$D$5&amp;"]CF'!$L$20:$EO$20")),0))</f>
        <v>0</v>
      </c>
      <c r="CF46" s="35">
        <f ca="1">IF(НАСТРОЙКИ!$B$5&lt;&gt;"Да",0,IFERROR(SUMIF(INDIRECT("'["&amp;НАСТРОЙКИ!$D$5&amp;"]CF'!$L$3:$EO$3"),CF$22,INDIRECT("'["&amp;НАСТРОЙКИ!$D$5&amp;"]CF'!$L$20:$EO$20")),0))</f>
        <v>0</v>
      </c>
      <c r="CG46" s="35">
        <f ca="1">IF(НАСТРОЙКИ!$B$5&lt;&gt;"Да",0,IFERROR(SUMIF(INDIRECT("'["&amp;НАСТРОЙКИ!$D$5&amp;"]CF'!$L$3:$EO$3"),CG$22,INDIRECT("'["&amp;НАСТРОЙКИ!$D$5&amp;"]CF'!$L$20:$EO$20")),0))</f>
        <v>0</v>
      </c>
      <c r="CH46" s="35">
        <f ca="1">IF(НАСТРОЙКИ!$B$5&lt;&gt;"Да",0,IFERROR(SUMIF(INDIRECT("'["&amp;НАСТРОЙКИ!$D$5&amp;"]CF'!$L$3:$EO$3"),CH$22,INDIRECT("'["&amp;НАСТРОЙКИ!$D$5&amp;"]CF'!$L$20:$EO$20")),0))</f>
        <v>0</v>
      </c>
      <c r="CI46" s="35">
        <f ca="1">IF(НАСТРОЙКИ!$B$5&lt;&gt;"Да",0,IFERROR(SUMIF(INDIRECT("'["&amp;НАСТРОЙКИ!$D$5&amp;"]CF'!$L$3:$EO$3"),CI$22,INDIRECT("'["&amp;НАСТРОЙКИ!$D$5&amp;"]CF'!$L$20:$EO$20")),0))</f>
        <v>0</v>
      </c>
      <c r="CJ46" s="35">
        <f ca="1">IF(НАСТРОЙКИ!$B$5&lt;&gt;"Да",0,IFERROR(SUMIF(INDIRECT("'["&amp;НАСТРОЙКИ!$D$5&amp;"]CF'!$L$3:$EO$3"),CJ$22,INDIRECT("'["&amp;НАСТРОЙКИ!$D$5&amp;"]CF'!$L$20:$EO$20")),0))</f>
        <v>0</v>
      </c>
      <c r="CK46" s="35">
        <f ca="1">IF(НАСТРОЙКИ!$B$5&lt;&gt;"Да",0,IFERROR(SUMIF(INDIRECT("'["&amp;НАСТРОЙКИ!$D$5&amp;"]CF'!$L$3:$EO$3"),CK$22,INDIRECT("'["&amp;НАСТРОЙКИ!$D$5&amp;"]CF'!$L$20:$EO$20")),0))</f>
        <v>0</v>
      </c>
      <c r="CL46" s="35">
        <f ca="1">IF(НАСТРОЙКИ!$B$5&lt;&gt;"Да",0,IFERROR(SUMIF(INDIRECT("'["&amp;НАСТРОЙКИ!$D$5&amp;"]CF'!$L$3:$EO$3"),CL$22,INDIRECT("'["&amp;НАСТРОЙКИ!$D$5&amp;"]CF'!$L$20:$EO$20")),0))</f>
        <v>0</v>
      </c>
      <c r="CM46" s="35">
        <f ca="1">IF(НАСТРОЙКИ!$B$5&lt;&gt;"Да",0,IFERROR(SUMIF(INDIRECT("'["&amp;НАСТРОЙКИ!$D$5&amp;"]CF'!$L$3:$EO$3"),CM$22,INDIRECT("'["&amp;НАСТРОЙКИ!$D$5&amp;"]CF'!$L$20:$EO$20")),0))</f>
        <v>0</v>
      </c>
      <c r="CN46" s="35">
        <f ca="1">IF(НАСТРОЙКИ!$B$5&lt;&gt;"Да",0,IFERROR(SUMIF(INDIRECT("'["&amp;НАСТРОЙКИ!$D$5&amp;"]CF'!$L$3:$EO$3"),CN$22,INDIRECT("'["&amp;НАСТРОЙКИ!$D$5&amp;"]CF'!$L$20:$EO$20")),0))</f>
        <v>0</v>
      </c>
      <c r="CO46" s="35">
        <f ca="1">IF(НАСТРОЙКИ!$B$5&lt;&gt;"Да",0,IFERROR(SUMIF(INDIRECT("'["&amp;НАСТРОЙКИ!$D$5&amp;"]CF'!$L$3:$EO$3"),CO$22,INDIRECT("'["&amp;НАСТРОЙКИ!$D$5&amp;"]CF'!$L$20:$EO$20")),0))</f>
        <v>0</v>
      </c>
      <c r="CP46" s="35">
        <f ca="1">IF(НАСТРОЙКИ!$B$5&lt;&gt;"Да",0,IFERROR(SUMIF(INDIRECT("'["&amp;НАСТРОЙКИ!$D$5&amp;"]CF'!$L$3:$EO$3"),CP$22,INDIRECT("'["&amp;НАСТРОЙКИ!$D$5&amp;"]CF'!$L$20:$EO$20")),0))</f>
        <v>0</v>
      </c>
      <c r="CQ46" s="35">
        <f ca="1">IF(НАСТРОЙКИ!$B$5&lt;&gt;"Да",0,IFERROR(SUMIF(INDIRECT("'["&amp;НАСТРОЙКИ!$D$5&amp;"]CF'!$L$3:$EO$3"),CQ$22,INDIRECT("'["&amp;НАСТРОЙКИ!$D$5&amp;"]CF'!$L$20:$EO$20")),0))</f>
        <v>0</v>
      </c>
      <c r="CR46" s="35">
        <f ca="1">IF(НАСТРОЙКИ!$B$5&lt;&gt;"Да",0,IFERROR(SUMIF(INDIRECT("'["&amp;НАСТРОЙКИ!$D$5&amp;"]CF'!$L$3:$EO$3"),CR$22,INDIRECT("'["&amp;НАСТРОЙКИ!$D$5&amp;"]CF'!$L$20:$EO$20")),0))</f>
        <v>0</v>
      </c>
      <c r="CS46" s="35">
        <f ca="1">IF(НАСТРОЙКИ!$B$5&lt;&gt;"Да",0,IFERROR(SUMIF(INDIRECT("'["&amp;НАСТРОЙКИ!$D$5&amp;"]CF'!$L$3:$EO$3"),CS$22,INDIRECT("'["&amp;НАСТРОЙКИ!$D$5&amp;"]CF'!$L$20:$EO$20")),0))</f>
        <v>0</v>
      </c>
      <c r="CT46" s="35">
        <f ca="1">IF(НАСТРОЙКИ!$B$5&lt;&gt;"Да",0,IFERROR(SUMIF(INDIRECT("'["&amp;НАСТРОЙКИ!$D$5&amp;"]CF'!$L$3:$EO$3"),CT$22,INDIRECT("'["&amp;НАСТРОЙКИ!$D$5&amp;"]CF'!$L$20:$EO$20")),0))</f>
        <v>0</v>
      </c>
      <c r="CU46" s="35">
        <f ca="1">IF(НАСТРОЙКИ!$B$5&lt;&gt;"Да",0,IFERROR(SUMIF(INDIRECT("'["&amp;НАСТРОЙКИ!$D$5&amp;"]CF'!$L$3:$EO$3"),CU$22,INDIRECT("'["&amp;НАСТРОЙКИ!$D$5&amp;"]CF'!$L$20:$EO$20")),0))</f>
        <v>0</v>
      </c>
      <c r="CV46" s="35">
        <f ca="1">IF(НАСТРОЙКИ!$B$5&lt;&gt;"Да",0,IFERROR(SUMIF(INDIRECT("'["&amp;НАСТРОЙКИ!$D$5&amp;"]CF'!$L$3:$EO$3"),CV$22,INDIRECT("'["&amp;НАСТРОЙКИ!$D$5&amp;"]CF'!$L$20:$EO$20")),0))</f>
        <v>0</v>
      </c>
      <c r="CW46" s="35">
        <f ca="1">IF(НАСТРОЙКИ!$B$5&lt;&gt;"Да",0,IFERROR(SUMIF(INDIRECT("'["&amp;НАСТРОЙКИ!$D$5&amp;"]CF'!$L$3:$EO$3"),CW$22,INDIRECT("'["&amp;НАСТРОЙКИ!$D$5&amp;"]CF'!$L$20:$EO$20")),0))</f>
        <v>0</v>
      </c>
      <c r="CX46" s="35">
        <f ca="1">IF(НАСТРОЙКИ!$B$5&lt;&gt;"Да",0,IFERROR(SUMIF(INDIRECT("'["&amp;НАСТРОЙКИ!$D$5&amp;"]CF'!$L$3:$EO$3"),CX$22,INDIRECT("'["&amp;НАСТРОЙКИ!$D$5&amp;"]CF'!$L$20:$EO$20")),0))</f>
        <v>0</v>
      </c>
      <c r="CY46" s="35">
        <f ca="1">IF(НАСТРОЙКИ!$B$5&lt;&gt;"Да",0,IFERROR(SUMIF(INDIRECT("'["&amp;НАСТРОЙКИ!$D$5&amp;"]CF'!$L$3:$EO$3"),CY$22,INDIRECT("'["&amp;НАСТРОЙКИ!$D$5&amp;"]CF'!$L$20:$EO$20")),0))</f>
        <v>0</v>
      </c>
      <c r="CZ46" s="35">
        <f ca="1">IF(НАСТРОЙКИ!$B$5&lt;&gt;"Да",0,IFERROR(SUMIF(INDIRECT("'["&amp;НАСТРОЙКИ!$D$5&amp;"]CF'!$L$3:$EO$3"),CZ$22,INDIRECT("'["&amp;НАСТРОЙКИ!$D$5&amp;"]CF'!$L$20:$EO$20")),0))</f>
        <v>0</v>
      </c>
      <c r="DA46" s="35">
        <f ca="1">IF(НАСТРОЙКИ!$B$5&lt;&gt;"Да",0,IFERROR(SUMIF(INDIRECT("'["&amp;НАСТРОЙКИ!$D$5&amp;"]CF'!$L$3:$EO$3"),DA$22,INDIRECT("'["&amp;НАСТРОЙКИ!$D$5&amp;"]CF'!$L$20:$EO$20")),0))</f>
        <v>0</v>
      </c>
      <c r="DB46" s="35">
        <f ca="1">IF(НАСТРОЙКИ!$B$5&lt;&gt;"Да",0,IFERROR(SUMIF(INDIRECT("'["&amp;НАСТРОЙКИ!$D$5&amp;"]CF'!$L$3:$EO$3"),DB$22,INDIRECT("'["&amp;НАСТРОЙКИ!$D$5&amp;"]CF'!$L$20:$EO$20")),0))</f>
        <v>0</v>
      </c>
      <c r="DC46" s="35">
        <f ca="1">IF(НАСТРОЙКИ!$B$5&lt;&gt;"Да",0,IFERROR(SUMIF(INDIRECT("'["&amp;НАСТРОЙКИ!$D$5&amp;"]CF'!$L$3:$EO$3"),DC$22,INDIRECT("'["&amp;НАСТРОЙКИ!$D$5&amp;"]CF'!$L$20:$EO$20")),0))</f>
        <v>0</v>
      </c>
      <c r="DD46" s="35">
        <f ca="1">IF(НАСТРОЙКИ!$B$5&lt;&gt;"Да",0,IFERROR(SUMIF(INDIRECT("'["&amp;НАСТРОЙКИ!$D$5&amp;"]CF'!$L$3:$EO$3"),DD$22,INDIRECT("'["&amp;НАСТРОЙКИ!$D$5&amp;"]CF'!$L$20:$EO$20")),0))</f>
        <v>0</v>
      </c>
      <c r="DE46" s="35">
        <f ca="1">IF(НАСТРОЙКИ!$B$5&lt;&gt;"Да",0,IFERROR(SUMIF(INDIRECT("'["&amp;НАСТРОЙКИ!$D$5&amp;"]CF'!$L$3:$EO$3"),DE$22,INDIRECT("'["&amp;НАСТРОЙКИ!$D$5&amp;"]CF'!$L$20:$EO$20")),0))</f>
        <v>0</v>
      </c>
      <c r="DF46" s="35">
        <f ca="1">IF(НАСТРОЙКИ!$B$5&lt;&gt;"Да",0,IFERROR(SUMIF(INDIRECT("'["&amp;НАСТРОЙКИ!$D$5&amp;"]CF'!$L$3:$EO$3"),DF$22,INDIRECT("'["&amp;НАСТРОЙКИ!$D$5&amp;"]CF'!$L$20:$EO$20")),0))</f>
        <v>0</v>
      </c>
    </row>
    <row r="47" spans="1:110">
      <c r="A47" s="34" t="s">
        <v>125</v>
      </c>
      <c r="B47" s="34" t="s">
        <v>58</v>
      </c>
      <c r="C47" s="35">
        <f ca="1">IF(НАСТРОЙКИ!$B$5&lt;&gt;"Да",0,IFERROR(SUMIF(INDIRECT("'["&amp;НАСТРОЙКИ!$D$5&amp;"]CF'!$L$3:$EO$3"),C$22,INDIRECT("'["&amp;НАСТРОЙКИ!$D$5&amp;"]CF'!$L$25:$EO$25")),0))</f>
        <v>0</v>
      </c>
      <c r="D47" s="35">
        <f ca="1">IF(НАСТРОЙКИ!$B$5&lt;&gt;"Да",0,IFERROR(SUMIF(INDIRECT("'["&amp;НАСТРОЙКИ!$D$5&amp;"]CF'!$L$3:$EO$3"),D$22,INDIRECT("'["&amp;НАСТРОЙКИ!$D$5&amp;"]CF'!$L$25:$EO$25")),0))</f>
        <v>0</v>
      </c>
      <c r="E47" s="35">
        <f ca="1">IF(НАСТРОЙКИ!$B$5&lt;&gt;"Да",0,IFERROR(SUMIF(INDIRECT("'["&amp;НАСТРОЙКИ!$D$5&amp;"]CF'!$L$3:$EO$3"),E$22,INDIRECT("'["&amp;НАСТРОЙКИ!$D$5&amp;"]CF'!$L$25:$EO$25")),0))</f>
        <v>0</v>
      </c>
      <c r="F47" s="35">
        <f ca="1">IF(НАСТРОЙКИ!$B$5&lt;&gt;"Да",0,IFERROR(SUMIF(INDIRECT("'["&amp;НАСТРОЙКИ!$D$5&amp;"]CF'!$L$3:$EO$3"),F$22,INDIRECT("'["&amp;НАСТРОЙКИ!$D$5&amp;"]CF'!$L$25:$EO$25")),0))</f>
        <v>0</v>
      </c>
      <c r="G47" s="35">
        <f ca="1">IF(НАСТРОЙКИ!$B$5&lt;&gt;"Да",0,IFERROR(SUMIF(INDIRECT("'["&amp;НАСТРОЙКИ!$D$5&amp;"]CF'!$L$3:$EO$3"),G$22,INDIRECT("'["&amp;НАСТРОЙКИ!$D$5&amp;"]CF'!$L$25:$EO$25")),0))</f>
        <v>0</v>
      </c>
      <c r="H47" s="35">
        <f ca="1">IF(НАСТРОЙКИ!$B$5&lt;&gt;"Да",0,IFERROR(SUMIF(INDIRECT("'["&amp;НАСТРОЙКИ!$D$5&amp;"]CF'!$L$3:$EO$3"),H$22,INDIRECT("'["&amp;НАСТРОЙКИ!$D$5&amp;"]CF'!$L$25:$EO$25")),0))</f>
        <v>0</v>
      </c>
      <c r="I47" s="35">
        <f ca="1">IF(НАСТРОЙКИ!$B$5&lt;&gt;"Да",0,IFERROR(SUMIF(INDIRECT("'["&amp;НАСТРОЙКИ!$D$5&amp;"]CF'!$L$3:$EO$3"),I$22,INDIRECT("'["&amp;НАСТРОЙКИ!$D$5&amp;"]CF'!$L$25:$EO$25")),0))</f>
        <v>0</v>
      </c>
      <c r="J47" s="35">
        <f ca="1">IF(НАСТРОЙКИ!$B$5&lt;&gt;"Да",0,IFERROR(SUMIF(INDIRECT("'["&amp;НАСТРОЙКИ!$D$5&amp;"]CF'!$L$3:$EO$3"),J$22,INDIRECT("'["&amp;НАСТРОЙКИ!$D$5&amp;"]CF'!$L$25:$EO$25")),0))</f>
        <v>0</v>
      </c>
      <c r="K47" s="35">
        <f ca="1">IF(НАСТРОЙКИ!$B$5&lt;&gt;"Да",0,IFERROR(SUMIF(INDIRECT("'["&amp;НАСТРОЙКИ!$D$5&amp;"]CF'!$L$3:$EO$3"),K$22,INDIRECT("'["&amp;НАСТРОЙКИ!$D$5&amp;"]CF'!$L$25:$EO$25")),0))</f>
        <v>0</v>
      </c>
      <c r="L47" s="35">
        <f ca="1">IF(НАСТРОЙКИ!$B$5&lt;&gt;"Да",0,IFERROR(SUMIF(INDIRECT("'["&amp;НАСТРОЙКИ!$D$5&amp;"]CF'!$L$3:$EO$3"),L$22,INDIRECT("'["&amp;НАСТРОЙКИ!$D$5&amp;"]CF'!$L$25:$EO$25")),0))</f>
        <v>0</v>
      </c>
      <c r="M47" s="35">
        <f ca="1">IF(НАСТРОЙКИ!$B$5&lt;&gt;"Да",0,IFERROR(SUMIF(INDIRECT("'["&amp;НАСТРОЙКИ!$D$5&amp;"]CF'!$L$3:$EO$3"),M$22,INDIRECT("'["&amp;НАСТРОЙКИ!$D$5&amp;"]CF'!$L$25:$EO$25")),0))</f>
        <v>0</v>
      </c>
      <c r="N47" s="35">
        <f ca="1">IF(НАСТРОЙКИ!$B$5&lt;&gt;"Да",0,IFERROR(SUMIF(INDIRECT("'["&amp;НАСТРОЙКИ!$D$5&amp;"]CF'!$L$3:$EO$3"),N$22,INDIRECT("'["&amp;НАСТРОЙКИ!$D$5&amp;"]CF'!$L$25:$EO$25")),0))</f>
        <v>0</v>
      </c>
      <c r="O47" s="35">
        <f ca="1">IF(НАСТРОЙКИ!$B$5&lt;&gt;"Да",0,IFERROR(SUMIF(INDIRECT("'["&amp;НАСТРОЙКИ!$D$5&amp;"]CF'!$L$3:$EO$3"),O$22,INDIRECT("'["&amp;НАСТРОЙКИ!$D$5&amp;"]CF'!$L$25:$EO$25")),0))</f>
        <v>0</v>
      </c>
      <c r="P47" s="35">
        <f ca="1">IF(НАСТРОЙКИ!$B$5&lt;&gt;"Да",0,IFERROR(SUMIF(INDIRECT("'["&amp;НАСТРОЙКИ!$D$5&amp;"]CF'!$L$3:$EO$3"),P$22,INDIRECT("'["&amp;НАСТРОЙКИ!$D$5&amp;"]CF'!$L$25:$EO$25")),0))</f>
        <v>0</v>
      </c>
      <c r="Q47" s="35">
        <f ca="1">IF(НАСТРОЙКИ!$B$5&lt;&gt;"Да",0,IFERROR(SUMIF(INDIRECT("'["&amp;НАСТРОЙКИ!$D$5&amp;"]CF'!$L$3:$EO$3"),Q$22,INDIRECT("'["&amp;НАСТРОЙКИ!$D$5&amp;"]CF'!$L$25:$EO$25")),0))</f>
        <v>0</v>
      </c>
      <c r="R47" s="35">
        <f ca="1">IF(НАСТРОЙКИ!$B$5&lt;&gt;"Да",0,IFERROR(SUMIF(INDIRECT("'["&amp;НАСТРОЙКИ!$D$5&amp;"]CF'!$L$3:$EO$3"),R$22,INDIRECT("'["&amp;НАСТРОЙКИ!$D$5&amp;"]CF'!$L$25:$EO$25")),0))</f>
        <v>0</v>
      </c>
      <c r="S47" s="35">
        <f ca="1">IF(НАСТРОЙКИ!$B$5&lt;&gt;"Да",0,IFERROR(SUMIF(INDIRECT("'["&amp;НАСТРОЙКИ!$D$5&amp;"]CF'!$L$3:$EO$3"),S$22,INDIRECT("'["&amp;НАСТРОЙКИ!$D$5&amp;"]CF'!$L$25:$EO$25")),0))</f>
        <v>0</v>
      </c>
      <c r="T47" s="35">
        <f ca="1">IF(НАСТРОЙКИ!$B$5&lt;&gt;"Да",0,IFERROR(SUMIF(INDIRECT("'["&amp;НАСТРОЙКИ!$D$5&amp;"]CF'!$L$3:$EO$3"),T$22,INDIRECT("'["&amp;НАСТРОЙКИ!$D$5&amp;"]CF'!$L$25:$EO$25")),0))</f>
        <v>0</v>
      </c>
      <c r="U47" s="35">
        <f ca="1">IF(НАСТРОЙКИ!$B$5&lt;&gt;"Да",0,IFERROR(SUMIF(INDIRECT("'["&amp;НАСТРОЙКИ!$D$5&amp;"]CF'!$L$3:$EO$3"),U$22,INDIRECT("'["&amp;НАСТРОЙКИ!$D$5&amp;"]CF'!$L$25:$EO$25")),0))</f>
        <v>0</v>
      </c>
      <c r="V47" s="35">
        <f ca="1">IF(НАСТРОЙКИ!$B$5&lt;&gt;"Да",0,IFERROR(SUMIF(INDIRECT("'["&amp;НАСТРОЙКИ!$D$5&amp;"]CF'!$L$3:$EO$3"),V$22,INDIRECT("'["&amp;НАСТРОЙКИ!$D$5&amp;"]CF'!$L$25:$EO$25")),0))</f>
        <v>0</v>
      </c>
      <c r="W47" s="35">
        <f ca="1">IF(НАСТРОЙКИ!$B$5&lt;&gt;"Да",0,IFERROR(SUMIF(INDIRECT("'["&amp;НАСТРОЙКИ!$D$5&amp;"]CF'!$L$3:$EO$3"),W$22,INDIRECT("'["&amp;НАСТРОЙКИ!$D$5&amp;"]CF'!$L$25:$EO$25")),0))</f>
        <v>0</v>
      </c>
      <c r="X47" s="35">
        <f ca="1">IF(НАСТРОЙКИ!$B$5&lt;&gt;"Да",0,IFERROR(SUMIF(INDIRECT("'["&amp;НАСТРОЙКИ!$D$5&amp;"]CF'!$L$3:$EO$3"),X$22,INDIRECT("'["&amp;НАСТРОЙКИ!$D$5&amp;"]CF'!$L$25:$EO$25")),0))</f>
        <v>0</v>
      </c>
      <c r="Y47" s="35">
        <f ca="1">IF(НАСТРОЙКИ!$B$5&lt;&gt;"Да",0,IFERROR(SUMIF(INDIRECT("'["&amp;НАСТРОЙКИ!$D$5&amp;"]CF'!$L$3:$EO$3"),Y$22,INDIRECT("'["&amp;НАСТРОЙКИ!$D$5&amp;"]CF'!$L$25:$EO$25")),0))</f>
        <v>0</v>
      </c>
      <c r="Z47" s="35">
        <f ca="1">IF(НАСТРОЙКИ!$B$5&lt;&gt;"Да",0,IFERROR(SUMIF(INDIRECT("'["&amp;НАСТРОЙКИ!$D$5&amp;"]CF'!$L$3:$EO$3"),Z$22,INDIRECT("'["&amp;НАСТРОЙКИ!$D$5&amp;"]CF'!$L$25:$EO$25")),0))</f>
        <v>0</v>
      </c>
      <c r="AA47" s="35">
        <f ca="1">IF(НАСТРОЙКИ!$B$5&lt;&gt;"Да",0,IFERROR(SUMIF(INDIRECT("'["&amp;НАСТРОЙКИ!$D$5&amp;"]CF'!$L$3:$EO$3"),AA$22,INDIRECT("'["&amp;НАСТРОЙКИ!$D$5&amp;"]CF'!$L$25:$EO$25")),0))</f>
        <v>0</v>
      </c>
      <c r="AB47" s="35">
        <f ca="1">IF(НАСТРОЙКИ!$B$5&lt;&gt;"Да",0,IFERROR(SUMIF(INDIRECT("'["&amp;НАСТРОЙКИ!$D$5&amp;"]CF'!$L$3:$EO$3"),AB$22,INDIRECT("'["&amp;НАСТРОЙКИ!$D$5&amp;"]CF'!$L$25:$EO$25")),0))</f>
        <v>0</v>
      </c>
      <c r="AC47" s="35">
        <f ca="1">IF(НАСТРОЙКИ!$B$5&lt;&gt;"Да",0,IFERROR(SUMIF(INDIRECT("'["&amp;НАСТРОЙКИ!$D$5&amp;"]CF'!$L$3:$EO$3"),AC$22,INDIRECT("'["&amp;НАСТРОЙКИ!$D$5&amp;"]CF'!$L$25:$EO$25")),0))</f>
        <v>0</v>
      </c>
      <c r="AD47" s="35">
        <f ca="1">IF(НАСТРОЙКИ!$B$5&lt;&gt;"Да",0,IFERROR(SUMIF(INDIRECT("'["&amp;НАСТРОЙКИ!$D$5&amp;"]CF'!$L$3:$EO$3"),AD$22,INDIRECT("'["&amp;НАСТРОЙКИ!$D$5&amp;"]CF'!$L$25:$EO$25")),0))</f>
        <v>0</v>
      </c>
      <c r="AE47" s="35">
        <f ca="1">IF(НАСТРОЙКИ!$B$5&lt;&gt;"Да",0,IFERROR(SUMIF(INDIRECT("'["&amp;НАСТРОЙКИ!$D$5&amp;"]CF'!$L$3:$EO$3"),AE$22,INDIRECT("'["&amp;НАСТРОЙКИ!$D$5&amp;"]CF'!$L$25:$EO$25")),0))</f>
        <v>0</v>
      </c>
      <c r="AF47" s="35">
        <f ca="1">IF(НАСТРОЙКИ!$B$5&lt;&gt;"Да",0,IFERROR(SUMIF(INDIRECT("'["&amp;НАСТРОЙКИ!$D$5&amp;"]CF'!$L$3:$EO$3"),AF$22,INDIRECT("'["&amp;НАСТРОЙКИ!$D$5&amp;"]CF'!$L$25:$EO$25")),0))</f>
        <v>0</v>
      </c>
      <c r="AG47" s="35">
        <f ca="1">IF(НАСТРОЙКИ!$B$5&lt;&gt;"Да",0,IFERROR(SUMIF(INDIRECT("'["&amp;НАСТРОЙКИ!$D$5&amp;"]CF'!$L$3:$EO$3"),AG$22,INDIRECT("'["&amp;НАСТРОЙКИ!$D$5&amp;"]CF'!$L$25:$EO$25")),0))</f>
        <v>0</v>
      </c>
      <c r="AH47" s="35">
        <f ca="1">IF(НАСТРОЙКИ!$B$5&lt;&gt;"Да",0,IFERROR(SUMIF(INDIRECT("'["&amp;НАСТРОЙКИ!$D$5&amp;"]CF'!$L$3:$EO$3"),AH$22,INDIRECT("'["&amp;НАСТРОЙКИ!$D$5&amp;"]CF'!$L$25:$EO$25")),0))</f>
        <v>0</v>
      </c>
      <c r="AI47" s="35">
        <f ca="1">IF(НАСТРОЙКИ!$B$5&lt;&gt;"Да",0,IFERROR(SUMIF(INDIRECT("'["&amp;НАСТРОЙКИ!$D$5&amp;"]CF'!$L$3:$EO$3"),AI$22,INDIRECT("'["&amp;НАСТРОЙКИ!$D$5&amp;"]CF'!$L$25:$EO$25")),0))</f>
        <v>0</v>
      </c>
      <c r="AJ47" s="35">
        <f ca="1">IF(НАСТРОЙКИ!$B$5&lt;&gt;"Да",0,IFERROR(SUMIF(INDIRECT("'["&amp;НАСТРОЙКИ!$D$5&amp;"]CF'!$L$3:$EO$3"),AJ$22,INDIRECT("'["&amp;НАСТРОЙКИ!$D$5&amp;"]CF'!$L$25:$EO$25")),0))</f>
        <v>0</v>
      </c>
      <c r="AK47" s="35">
        <f ca="1">IF(НАСТРОЙКИ!$B$5&lt;&gt;"Да",0,IFERROR(SUMIF(INDIRECT("'["&amp;НАСТРОЙКИ!$D$5&amp;"]CF'!$L$3:$EO$3"),AK$22,INDIRECT("'["&amp;НАСТРОЙКИ!$D$5&amp;"]CF'!$L$25:$EO$25")),0))</f>
        <v>0</v>
      </c>
      <c r="AL47" s="35">
        <f ca="1">IF(НАСТРОЙКИ!$B$5&lt;&gt;"Да",0,IFERROR(SUMIF(INDIRECT("'["&amp;НАСТРОЙКИ!$D$5&amp;"]CF'!$L$3:$EO$3"),AL$22,INDIRECT("'["&amp;НАСТРОЙКИ!$D$5&amp;"]CF'!$L$25:$EO$25")),0))</f>
        <v>0</v>
      </c>
      <c r="AM47" s="35">
        <f ca="1">IF(НАСТРОЙКИ!$B$5&lt;&gt;"Да",0,IFERROR(SUMIF(INDIRECT("'["&amp;НАСТРОЙКИ!$D$5&amp;"]CF'!$L$3:$EO$3"),AM$22,INDIRECT("'["&amp;НАСТРОЙКИ!$D$5&amp;"]CF'!$L$25:$EO$25")),0))</f>
        <v>0</v>
      </c>
      <c r="AN47" s="35">
        <f ca="1">IF(НАСТРОЙКИ!$B$5&lt;&gt;"Да",0,IFERROR(SUMIF(INDIRECT("'["&amp;НАСТРОЙКИ!$D$5&amp;"]CF'!$L$3:$EO$3"),AN$22,INDIRECT("'["&amp;НАСТРОЙКИ!$D$5&amp;"]CF'!$L$25:$EO$25")),0))</f>
        <v>0</v>
      </c>
      <c r="AO47" s="35">
        <f ca="1">IF(НАСТРОЙКИ!$B$5&lt;&gt;"Да",0,IFERROR(SUMIF(INDIRECT("'["&amp;НАСТРОЙКИ!$D$5&amp;"]CF'!$L$3:$EO$3"),AO$22,INDIRECT("'["&amp;НАСТРОЙКИ!$D$5&amp;"]CF'!$L$25:$EO$25")),0))</f>
        <v>0</v>
      </c>
      <c r="AP47" s="35">
        <f ca="1">IF(НАСТРОЙКИ!$B$5&lt;&gt;"Да",0,IFERROR(SUMIF(INDIRECT("'["&amp;НАСТРОЙКИ!$D$5&amp;"]CF'!$L$3:$EO$3"),AP$22,INDIRECT("'["&amp;НАСТРОЙКИ!$D$5&amp;"]CF'!$L$25:$EO$25")),0))</f>
        <v>0</v>
      </c>
      <c r="AQ47" s="35">
        <f ca="1">IF(НАСТРОЙКИ!$B$5&lt;&gt;"Да",0,IFERROR(SUMIF(INDIRECT("'["&amp;НАСТРОЙКИ!$D$5&amp;"]CF'!$L$3:$EO$3"),AQ$22,INDIRECT("'["&amp;НАСТРОЙКИ!$D$5&amp;"]CF'!$L$25:$EO$25")),0))</f>
        <v>0</v>
      </c>
      <c r="AR47" s="35">
        <f ca="1">IF(НАСТРОЙКИ!$B$5&lt;&gt;"Да",0,IFERROR(SUMIF(INDIRECT("'["&amp;НАСТРОЙКИ!$D$5&amp;"]CF'!$L$3:$EO$3"),AR$22,INDIRECT("'["&amp;НАСТРОЙКИ!$D$5&amp;"]CF'!$L$25:$EO$25")),0))</f>
        <v>0</v>
      </c>
      <c r="AS47" s="35">
        <f ca="1">IF(НАСТРОЙКИ!$B$5&lt;&gt;"Да",0,IFERROR(SUMIF(INDIRECT("'["&amp;НАСТРОЙКИ!$D$5&amp;"]CF'!$L$3:$EO$3"),AS$22,INDIRECT("'["&amp;НАСТРОЙКИ!$D$5&amp;"]CF'!$L$25:$EO$25")),0))</f>
        <v>0</v>
      </c>
      <c r="AT47" s="35">
        <f ca="1">IF(НАСТРОЙКИ!$B$5&lt;&gt;"Да",0,IFERROR(SUMIF(INDIRECT("'["&amp;НАСТРОЙКИ!$D$5&amp;"]CF'!$L$3:$EO$3"),AT$22,INDIRECT("'["&amp;НАСТРОЙКИ!$D$5&amp;"]CF'!$L$25:$EO$25")),0))</f>
        <v>0</v>
      </c>
      <c r="AU47" s="35">
        <f ca="1">IF(НАСТРОЙКИ!$B$5&lt;&gt;"Да",0,IFERROR(SUMIF(INDIRECT("'["&amp;НАСТРОЙКИ!$D$5&amp;"]CF'!$L$3:$EO$3"),AU$22,INDIRECT("'["&amp;НАСТРОЙКИ!$D$5&amp;"]CF'!$L$25:$EO$25")),0))</f>
        <v>0</v>
      </c>
      <c r="AV47" s="35">
        <f ca="1">IF(НАСТРОЙКИ!$B$5&lt;&gt;"Да",0,IFERROR(SUMIF(INDIRECT("'["&amp;НАСТРОЙКИ!$D$5&amp;"]CF'!$L$3:$EO$3"),AV$22,INDIRECT("'["&amp;НАСТРОЙКИ!$D$5&amp;"]CF'!$L$25:$EO$25")),0))</f>
        <v>0</v>
      </c>
      <c r="AW47" s="35">
        <f ca="1">IF(НАСТРОЙКИ!$B$5&lt;&gt;"Да",0,IFERROR(SUMIF(INDIRECT("'["&amp;НАСТРОЙКИ!$D$5&amp;"]CF'!$L$3:$EO$3"),AW$22,INDIRECT("'["&amp;НАСТРОЙКИ!$D$5&amp;"]CF'!$L$25:$EO$25")),0))</f>
        <v>0</v>
      </c>
      <c r="AX47" s="35">
        <f ca="1">IF(НАСТРОЙКИ!$B$5&lt;&gt;"Да",0,IFERROR(SUMIF(INDIRECT("'["&amp;НАСТРОЙКИ!$D$5&amp;"]CF'!$L$3:$EO$3"),AX$22,INDIRECT("'["&amp;НАСТРОЙКИ!$D$5&amp;"]CF'!$L$25:$EO$25")),0))</f>
        <v>0</v>
      </c>
      <c r="AY47" s="35">
        <f ca="1">IF(НАСТРОЙКИ!$B$5&lt;&gt;"Да",0,IFERROR(SUMIF(INDIRECT("'["&amp;НАСТРОЙКИ!$D$5&amp;"]CF'!$L$3:$EO$3"),AY$22,INDIRECT("'["&amp;НАСТРОЙКИ!$D$5&amp;"]CF'!$L$25:$EO$25")),0))</f>
        <v>0</v>
      </c>
      <c r="AZ47" s="35">
        <f ca="1">IF(НАСТРОЙКИ!$B$5&lt;&gt;"Да",0,IFERROR(SUMIF(INDIRECT("'["&amp;НАСТРОЙКИ!$D$5&amp;"]CF'!$L$3:$EO$3"),AZ$22,INDIRECT("'["&amp;НАСТРОЙКИ!$D$5&amp;"]CF'!$L$25:$EO$25")),0))</f>
        <v>0</v>
      </c>
      <c r="BA47" s="35">
        <f ca="1">IF(НАСТРОЙКИ!$B$5&lt;&gt;"Да",0,IFERROR(SUMIF(INDIRECT("'["&amp;НАСТРОЙКИ!$D$5&amp;"]CF'!$L$3:$EO$3"),BA$22,INDIRECT("'["&amp;НАСТРОЙКИ!$D$5&amp;"]CF'!$L$25:$EO$25")),0))</f>
        <v>0</v>
      </c>
      <c r="BB47" s="35">
        <f ca="1">IF(НАСТРОЙКИ!$B$5&lt;&gt;"Да",0,IFERROR(SUMIF(INDIRECT("'["&amp;НАСТРОЙКИ!$D$5&amp;"]CF'!$L$3:$EO$3"),BB$22,INDIRECT("'["&amp;НАСТРОЙКИ!$D$5&amp;"]CF'!$L$25:$EO$25")),0))</f>
        <v>0</v>
      </c>
      <c r="BC47" s="35">
        <f ca="1">IF(НАСТРОЙКИ!$B$5&lt;&gt;"Да",0,IFERROR(SUMIF(INDIRECT("'["&amp;НАСТРОЙКИ!$D$5&amp;"]CF'!$L$3:$EO$3"),BC$22,INDIRECT("'["&amp;НАСТРОЙКИ!$D$5&amp;"]CF'!$L$25:$EO$25")),0))</f>
        <v>0</v>
      </c>
      <c r="BD47" s="35">
        <f ca="1">IF(НАСТРОЙКИ!$B$5&lt;&gt;"Да",0,IFERROR(SUMIF(INDIRECT("'["&amp;НАСТРОЙКИ!$D$5&amp;"]CF'!$L$3:$EO$3"),BD$22,INDIRECT("'["&amp;НАСТРОЙКИ!$D$5&amp;"]CF'!$L$25:$EO$25")),0))</f>
        <v>0</v>
      </c>
      <c r="BE47" s="35">
        <f ca="1">IF(НАСТРОЙКИ!$B$5&lt;&gt;"Да",0,IFERROR(SUMIF(INDIRECT("'["&amp;НАСТРОЙКИ!$D$5&amp;"]CF'!$L$3:$EO$3"),BE$22,INDIRECT("'["&amp;НАСТРОЙКИ!$D$5&amp;"]CF'!$L$25:$EO$25")),0))</f>
        <v>0</v>
      </c>
      <c r="BF47" s="35">
        <f ca="1">IF(НАСТРОЙКИ!$B$5&lt;&gt;"Да",0,IFERROR(SUMIF(INDIRECT("'["&amp;НАСТРОЙКИ!$D$5&amp;"]CF'!$L$3:$EO$3"),BF$22,INDIRECT("'["&amp;НАСТРОЙКИ!$D$5&amp;"]CF'!$L$25:$EO$25")),0))</f>
        <v>0</v>
      </c>
      <c r="BG47" s="35">
        <f ca="1">IF(НАСТРОЙКИ!$B$5&lt;&gt;"Да",0,IFERROR(SUMIF(INDIRECT("'["&amp;НАСТРОЙКИ!$D$5&amp;"]CF'!$L$3:$EO$3"),BG$22,INDIRECT("'["&amp;НАСТРОЙКИ!$D$5&amp;"]CF'!$L$25:$EO$25")),0))</f>
        <v>0</v>
      </c>
      <c r="BH47" s="35">
        <f ca="1">IF(НАСТРОЙКИ!$B$5&lt;&gt;"Да",0,IFERROR(SUMIF(INDIRECT("'["&amp;НАСТРОЙКИ!$D$5&amp;"]CF'!$L$3:$EO$3"),BH$22,INDIRECT("'["&amp;НАСТРОЙКИ!$D$5&amp;"]CF'!$L$25:$EO$25")),0))</f>
        <v>0</v>
      </c>
      <c r="BI47" s="35">
        <f ca="1">IF(НАСТРОЙКИ!$B$5&lt;&gt;"Да",0,IFERROR(SUMIF(INDIRECT("'["&amp;НАСТРОЙКИ!$D$5&amp;"]CF'!$L$3:$EO$3"),BI$22,INDIRECT("'["&amp;НАСТРОЙКИ!$D$5&amp;"]CF'!$L$25:$EO$25")),0))</f>
        <v>0</v>
      </c>
      <c r="BJ47" s="35">
        <f ca="1">IF(НАСТРОЙКИ!$B$5&lt;&gt;"Да",0,IFERROR(SUMIF(INDIRECT("'["&amp;НАСТРОЙКИ!$D$5&amp;"]CF'!$L$3:$EO$3"),BJ$22,INDIRECT("'["&amp;НАСТРОЙКИ!$D$5&amp;"]CF'!$L$25:$EO$25")),0))</f>
        <v>0</v>
      </c>
      <c r="BK47" s="35">
        <f ca="1">IF(НАСТРОЙКИ!$B$5&lt;&gt;"Да",0,IFERROR(SUMIF(INDIRECT("'["&amp;НАСТРОЙКИ!$D$5&amp;"]CF'!$L$3:$EO$3"),BK$22,INDIRECT("'["&amp;НАСТРОЙКИ!$D$5&amp;"]CF'!$L$25:$EO$25")),0))</f>
        <v>0</v>
      </c>
      <c r="BL47" s="35">
        <f ca="1">IF(НАСТРОЙКИ!$B$5&lt;&gt;"Да",0,IFERROR(SUMIF(INDIRECT("'["&amp;НАСТРОЙКИ!$D$5&amp;"]CF'!$L$3:$EO$3"),BL$22,INDIRECT("'["&amp;НАСТРОЙКИ!$D$5&amp;"]CF'!$L$25:$EO$25")),0))</f>
        <v>0</v>
      </c>
      <c r="BM47" s="35">
        <f ca="1">IF(НАСТРОЙКИ!$B$5&lt;&gt;"Да",0,IFERROR(SUMIF(INDIRECT("'["&amp;НАСТРОЙКИ!$D$5&amp;"]CF'!$L$3:$EO$3"),BM$22,INDIRECT("'["&amp;НАСТРОЙКИ!$D$5&amp;"]CF'!$L$25:$EO$25")),0))</f>
        <v>0</v>
      </c>
      <c r="BN47" s="35">
        <f ca="1">IF(НАСТРОЙКИ!$B$5&lt;&gt;"Да",0,IFERROR(SUMIF(INDIRECT("'["&amp;НАСТРОЙКИ!$D$5&amp;"]CF'!$L$3:$EO$3"),BN$22,INDIRECT("'["&amp;НАСТРОЙКИ!$D$5&amp;"]CF'!$L$25:$EO$25")),0))</f>
        <v>0</v>
      </c>
      <c r="BO47" s="35">
        <f ca="1">IF(НАСТРОЙКИ!$B$5&lt;&gt;"Да",0,IFERROR(SUMIF(INDIRECT("'["&amp;НАСТРОЙКИ!$D$5&amp;"]CF'!$L$3:$EO$3"),BO$22,INDIRECT("'["&amp;НАСТРОЙКИ!$D$5&amp;"]CF'!$L$25:$EO$25")),0))</f>
        <v>0</v>
      </c>
      <c r="BP47" s="35">
        <f ca="1">IF(НАСТРОЙКИ!$B$5&lt;&gt;"Да",0,IFERROR(SUMIF(INDIRECT("'["&amp;НАСТРОЙКИ!$D$5&amp;"]CF'!$L$3:$EO$3"),BP$22,INDIRECT("'["&amp;НАСТРОЙКИ!$D$5&amp;"]CF'!$L$25:$EO$25")),0))</f>
        <v>0</v>
      </c>
      <c r="BQ47" s="35">
        <f ca="1">IF(НАСТРОЙКИ!$B$5&lt;&gt;"Да",0,IFERROR(SUMIF(INDIRECT("'["&amp;НАСТРОЙКИ!$D$5&amp;"]CF'!$L$3:$EO$3"),BQ$22,INDIRECT("'["&amp;НАСТРОЙКИ!$D$5&amp;"]CF'!$L$25:$EO$25")),0))</f>
        <v>0</v>
      </c>
      <c r="BR47" s="35">
        <f ca="1">IF(НАСТРОЙКИ!$B$5&lt;&gt;"Да",0,IFERROR(SUMIF(INDIRECT("'["&amp;НАСТРОЙКИ!$D$5&amp;"]CF'!$L$3:$EO$3"),BR$22,INDIRECT("'["&amp;НАСТРОЙКИ!$D$5&amp;"]CF'!$L$25:$EO$25")),0))</f>
        <v>0</v>
      </c>
      <c r="BS47" s="35">
        <f ca="1">IF(НАСТРОЙКИ!$B$5&lt;&gt;"Да",0,IFERROR(SUMIF(INDIRECT("'["&amp;НАСТРОЙКИ!$D$5&amp;"]CF'!$L$3:$EO$3"),BS$22,INDIRECT("'["&amp;НАСТРОЙКИ!$D$5&amp;"]CF'!$L$25:$EO$25")),0))</f>
        <v>0</v>
      </c>
      <c r="BT47" s="35">
        <f ca="1">IF(НАСТРОЙКИ!$B$5&lt;&gt;"Да",0,IFERROR(SUMIF(INDIRECT("'["&amp;НАСТРОЙКИ!$D$5&amp;"]CF'!$L$3:$EO$3"),BT$22,INDIRECT("'["&amp;НАСТРОЙКИ!$D$5&amp;"]CF'!$L$25:$EO$25")),0))</f>
        <v>0</v>
      </c>
      <c r="BU47" s="35">
        <f ca="1">IF(НАСТРОЙКИ!$B$5&lt;&gt;"Да",0,IFERROR(SUMIF(INDIRECT("'["&amp;НАСТРОЙКИ!$D$5&amp;"]CF'!$L$3:$EO$3"),BU$22,INDIRECT("'["&amp;НАСТРОЙКИ!$D$5&amp;"]CF'!$L$25:$EO$25")),0))</f>
        <v>0</v>
      </c>
      <c r="BV47" s="35">
        <f ca="1">IF(НАСТРОЙКИ!$B$5&lt;&gt;"Да",0,IFERROR(SUMIF(INDIRECT("'["&amp;НАСТРОЙКИ!$D$5&amp;"]CF'!$L$3:$EO$3"),BV$22,INDIRECT("'["&amp;НАСТРОЙКИ!$D$5&amp;"]CF'!$L$25:$EO$25")),0))</f>
        <v>0</v>
      </c>
      <c r="BW47" s="35">
        <f ca="1">IF(НАСТРОЙКИ!$B$5&lt;&gt;"Да",0,IFERROR(SUMIF(INDIRECT("'["&amp;НАСТРОЙКИ!$D$5&amp;"]CF'!$L$3:$EO$3"),BW$22,INDIRECT("'["&amp;НАСТРОЙКИ!$D$5&amp;"]CF'!$L$25:$EO$25")),0))</f>
        <v>0</v>
      </c>
      <c r="BX47" s="35">
        <f ca="1">IF(НАСТРОЙКИ!$B$5&lt;&gt;"Да",0,IFERROR(SUMIF(INDIRECT("'["&amp;НАСТРОЙКИ!$D$5&amp;"]CF'!$L$3:$EO$3"),BX$22,INDIRECT("'["&amp;НАСТРОЙКИ!$D$5&amp;"]CF'!$L$25:$EO$25")),0))</f>
        <v>0</v>
      </c>
      <c r="BY47" s="35">
        <f ca="1">IF(НАСТРОЙКИ!$B$5&lt;&gt;"Да",0,IFERROR(SUMIF(INDIRECT("'["&amp;НАСТРОЙКИ!$D$5&amp;"]CF'!$L$3:$EO$3"),BY$22,INDIRECT("'["&amp;НАСТРОЙКИ!$D$5&amp;"]CF'!$L$25:$EO$25")),0))</f>
        <v>0</v>
      </c>
      <c r="BZ47" s="35">
        <f ca="1">IF(НАСТРОЙКИ!$B$5&lt;&gt;"Да",0,IFERROR(SUMIF(INDIRECT("'["&amp;НАСТРОЙКИ!$D$5&amp;"]CF'!$L$3:$EO$3"),BZ$22,INDIRECT("'["&amp;НАСТРОЙКИ!$D$5&amp;"]CF'!$L$25:$EO$25")),0))</f>
        <v>0</v>
      </c>
      <c r="CA47" s="35">
        <f ca="1">IF(НАСТРОЙКИ!$B$5&lt;&gt;"Да",0,IFERROR(SUMIF(INDIRECT("'["&amp;НАСТРОЙКИ!$D$5&amp;"]CF'!$L$3:$EO$3"),CA$22,INDIRECT("'["&amp;НАСТРОЙКИ!$D$5&amp;"]CF'!$L$25:$EO$25")),0))</f>
        <v>0</v>
      </c>
      <c r="CB47" s="35">
        <f ca="1">IF(НАСТРОЙКИ!$B$5&lt;&gt;"Да",0,IFERROR(SUMIF(INDIRECT("'["&amp;НАСТРОЙКИ!$D$5&amp;"]CF'!$L$3:$EO$3"),CB$22,INDIRECT("'["&amp;НАСТРОЙКИ!$D$5&amp;"]CF'!$L$25:$EO$25")),0))</f>
        <v>0</v>
      </c>
      <c r="CC47" s="35">
        <f ca="1">IF(НАСТРОЙКИ!$B$5&lt;&gt;"Да",0,IFERROR(SUMIF(INDIRECT("'["&amp;НАСТРОЙКИ!$D$5&amp;"]CF'!$L$3:$EO$3"),CC$22,INDIRECT("'["&amp;НАСТРОЙКИ!$D$5&amp;"]CF'!$L$25:$EO$25")),0))</f>
        <v>0</v>
      </c>
      <c r="CD47" s="35">
        <f ca="1">IF(НАСТРОЙКИ!$B$5&lt;&gt;"Да",0,IFERROR(SUMIF(INDIRECT("'["&amp;НАСТРОЙКИ!$D$5&amp;"]CF'!$L$3:$EO$3"),CD$22,INDIRECT("'["&amp;НАСТРОЙКИ!$D$5&amp;"]CF'!$L$25:$EO$25")),0))</f>
        <v>0</v>
      </c>
      <c r="CE47" s="35">
        <f ca="1">IF(НАСТРОЙКИ!$B$5&lt;&gt;"Да",0,IFERROR(SUMIF(INDIRECT("'["&amp;НАСТРОЙКИ!$D$5&amp;"]CF'!$L$3:$EO$3"),CE$22,INDIRECT("'["&amp;НАСТРОЙКИ!$D$5&amp;"]CF'!$L$25:$EO$25")),0))</f>
        <v>0</v>
      </c>
      <c r="CF47" s="35">
        <f ca="1">IF(НАСТРОЙКИ!$B$5&lt;&gt;"Да",0,IFERROR(SUMIF(INDIRECT("'["&amp;НАСТРОЙКИ!$D$5&amp;"]CF'!$L$3:$EO$3"),CF$22,INDIRECT("'["&amp;НАСТРОЙКИ!$D$5&amp;"]CF'!$L$25:$EO$25")),0))</f>
        <v>0</v>
      </c>
      <c r="CG47" s="35">
        <f ca="1">IF(НАСТРОЙКИ!$B$5&lt;&gt;"Да",0,IFERROR(SUMIF(INDIRECT("'["&amp;НАСТРОЙКИ!$D$5&amp;"]CF'!$L$3:$EO$3"),CG$22,INDIRECT("'["&amp;НАСТРОЙКИ!$D$5&amp;"]CF'!$L$25:$EO$25")),0))</f>
        <v>0</v>
      </c>
      <c r="CH47" s="35">
        <f ca="1">IF(НАСТРОЙКИ!$B$5&lt;&gt;"Да",0,IFERROR(SUMIF(INDIRECT("'["&amp;НАСТРОЙКИ!$D$5&amp;"]CF'!$L$3:$EO$3"),CH$22,INDIRECT("'["&amp;НАСТРОЙКИ!$D$5&amp;"]CF'!$L$25:$EO$25")),0))</f>
        <v>0</v>
      </c>
      <c r="CI47" s="35">
        <f ca="1">IF(НАСТРОЙКИ!$B$5&lt;&gt;"Да",0,IFERROR(SUMIF(INDIRECT("'["&amp;НАСТРОЙКИ!$D$5&amp;"]CF'!$L$3:$EO$3"),CI$22,INDIRECT("'["&amp;НАСТРОЙКИ!$D$5&amp;"]CF'!$L$25:$EO$25")),0))</f>
        <v>0</v>
      </c>
      <c r="CJ47" s="35">
        <f ca="1">IF(НАСТРОЙКИ!$B$5&lt;&gt;"Да",0,IFERROR(SUMIF(INDIRECT("'["&amp;НАСТРОЙКИ!$D$5&amp;"]CF'!$L$3:$EO$3"),CJ$22,INDIRECT("'["&amp;НАСТРОЙКИ!$D$5&amp;"]CF'!$L$25:$EO$25")),0))</f>
        <v>0</v>
      </c>
      <c r="CK47" s="35">
        <f ca="1">IF(НАСТРОЙКИ!$B$5&lt;&gt;"Да",0,IFERROR(SUMIF(INDIRECT("'["&amp;НАСТРОЙКИ!$D$5&amp;"]CF'!$L$3:$EO$3"),CK$22,INDIRECT("'["&amp;НАСТРОЙКИ!$D$5&amp;"]CF'!$L$25:$EO$25")),0))</f>
        <v>0</v>
      </c>
      <c r="CL47" s="35">
        <f ca="1">IF(НАСТРОЙКИ!$B$5&lt;&gt;"Да",0,IFERROR(SUMIF(INDIRECT("'["&amp;НАСТРОЙКИ!$D$5&amp;"]CF'!$L$3:$EO$3"),CL$22,INDIRECT("'["&amp;НАСТРОЙКИ!$D$5&amp;"]CF'!$L$25:$EO$25")),0))</f>
        <v>0</v>
      </c>
      <c r="CM47" s="35">
        <f ca="1">IF(НАСТРОЙКИ!$B$5&lt;&gt;"Да",0,IFERROR(SUMIF(INDIRECT("'["&amp;НАСТРОЙКИ!$D$5&amp;"]CF'!$L$3:$EO$3"),CM$22,INDIRECT("'["&amp;НАСТРОЙКИ!$D$5&amp;"]CF'!$L$25:$EO$25")),0))</f>
        <v>0</v>
      </c>
      <c r="CN47" s="35">
        <f ca="1">IF(НАСТРОЙКИ!$B$5&lt;&gt;"Да",0,IFERROR(SUMIF(INDIRECT("'["&amp;НАСТРОЙКИ!$D$5&amp;"]CF'!$L$3:$EO$3"),CN$22,INDIRECT("'["&amp;НАСТРОЙКИ!$D$5&amp;"]CF'!$L$25:$EO$25")),0))</f>
        <v>0</v>
      </c>
      <c r="CO47" s="35">
        <f ca="1">IF(НАСТРОЙКИ!$B$5&lt;&gt;"Да",0,IFERROR(SUMIF(INDIRECT("'["&amp;НАСТРОЙКИ!$D$5&amp;"]CF'!$L$3:$EO$3"),CO$22,INDIRECT("'["&amp;НАСТРОЙКИ!$D$5&amp;"]CF'!$L$25:$EO$25")),0))</f>
        <v>0</v>
      </c>
      <c r="CP47" s="35">
        <f ca="1">IF(НАСТРОЙКИ!$B$5&lt;&gt;"Да",0,IFERROR(SUMIF(INDIRECT("'["&amp;НАСТРОЙКИ!$D$5&amp;"]CF'!$L$3:$EO$3"),CP$22,INDIRECT("'["&amp;НАСТРОЙКИ!$D$5&amp;"]CF'!$L$25:$EO$25")),0))</f>
        <v>0</v>
      </c>
      <c r="CQ47" s="35">
        <f ca="1">IF(НАСТРОЙКИ!$B$5&lt;&gt;"Да",0,IFERROR(SUMIF(INDIRECT("'["&amp;НАСТРОЙКИ!$D$5&amp;"]CF'!$L$3:$EO$3"),CQ$22,INDIRECT("'["&amp;НАСТРОЙКИ!$D$5&amp;"]CF'!$L$25:$EO$25")),0))</f>
        <v>0</v>
      </c>
      <c r="CR47" s="35">
        <f ca="1">IF(НАСТРОЙКИ!$B$5&lt;&gt;"Да",0,IFERROR(SUMIF(INDIRECT("'["&amp;НАСТРОЙКИ!$D$5&amp;"]CF'!$L$3:$EO$3"),CR$22,INDIRECT("'["&amp;НАСТРОЙКИ!$D$5&amp;"]CF'!$L$25:$EO$25")),0))</f>
        <v>0</v>
      </c>
      <c r="CS47" s="35">
        <f ca="1">IF(НАСТРОЙКИ!$B$5&lt;&gt;"Да",0,IFERROR(SUMIF(INDIRECT("'["&amp;НАСТРОЙКИ!$D$5&amp;"]CF'!$L$3:$EO$3"),CS$22,INDIRECT("'["&amp;НАСТРОЙКИ!$D$5&amp;"]CF'!$L$25:$EO$25")),0))</f>
        <v>0</v>
      </c>
      <c r="CT47" s="35">
        <f ca="1">IF(НАСТРОЙКИ!$B$5&lt;&gt;"Да",0,IFERROR(SUMIF(INDIRECT("'["&amp;НАСТРОЙКИ!$D$5&amp;"]CF'!$L$3:$EO$3"),CT$22,INDIRECT("'["&amp;НАСТРОЙКИ!$D$5&amp;"]CF'!$L$25:$EO$25")),0))</f>
        <v>0</v>
      </c>
      <c r="CU47" s="35">
        <f ca="1">IF(НАСТРОЙКИ!$B$5&lt;&gt;"Да",0,IFERROR(SUMIF(INDIRECT("'["&amp;НАСТРОЙКИ!$D$5&amp;"]CF'!$L$3:$EO$3"),CU$22,INDIRECT("'["&amp;НАСТРОЙКИ!$D$5&amp;"]CF'!$L$25:$EO$25")),0))</f>
        <v>0</v>
      </c>
      <c r="CV47" s="35">
        <f ca="1">IF(НАСТРОЙКИ!$B$5&lt;&gt;"Да",0,IFERROR(SUMIF(INDIRECT("'["&amp;НАСТРОЙКИ!$D$5&amp;"]CF'!$L$3:$EO$3"),CV$22,INDIRECT("'["&amp;НАСТРОЙКИ!$D$5&amp;"]CF'!$L$25:$EO$25")),0))</f>
        <v>0</v>
      </c>
      <c r="CW47" s="35">
        <f ca="1">IF(НАСТРОЙКИ!$B$5&lt;&gt;"Да",0,IFERROR(SUMIF(INDIRECT("'["&amp;НАСТРОЙКИ!$D$5&amp;"]CF'!$L$3:$EO$3"),CW$22,INDIRECT("'["&amp;НАСТРОЙКИ!$D$5&amp;"]CF'!$L$25:$EO$25")),0))</f>
        <v>0</v>
      </c>
      <c r="CX47" s="35">
        <f ca="1">IF(НАСТРОЙКИ!$B$5&lt;&gt;"Да",0,IFERROR(SUMIF(INDIRECT("'["&amp;НАСТРОЙКИ!$D$5&amp;"]CF'!$L$3:$EO$3"),CX$22,INDIRECT("'["&amp;НАСТРОЙКИ!$D$5&amp;"]CF'!$L$25:$EO$25")),0))</f>
        <v>0</v>
      </c>
      <c r="CY47" s="35">
        <f ca="1">IF(НАСТРОЙКИ!$B$5&lt;&gt;"Да",0,IFERROR(SUMIF(INDIRECT("'["&amp;НАСТРОЙКИ!$D$5&amp;"]CF'!$L$3:$EO$3"),CY$22,INDIRECT("'["&amp;НАСТРОЙКИ!$D$5&amp;"]CF'!$L$25:$EO$25")),0))</f>
        <v>0</v>
      </c>
      <c r="CZ47" s="35">
        <f ca="1">IF(НАСТРОЙКИ!$B$5&lt;&gt;"Да",0,IFERROR(SUMIF(INDIRECT("'["&amp;НАСТРОЙКИ!$D$5&amp;"]CF'!$L$3:$EO$3"),CZ$22,INDIRECT("'["&amp;НАСТРОЙКИ!$D$5&amp;"]CF'!$L$25:$EO$25")),0))</f>
        <v>0</v>
      </c>
      <c r="DA47" s="35">
        <f ca="1">IF(НАСТРОЙКИ!$B$5&lt;&gt;"Да",0,IFERROR(SUMIF(INDIRECT("'["&amp;НАСТРОЙКИ!$D$5&amp;"]CF'!$L$3:$EO$3"),DA$22,INDIRECT("'["&amp;НАСТРОЙКИ!$D$5&amp;"]CF'!$L$25:$EO$25")),0))</f>
        <v>0</v>
      </c>
      <c r="DB47" s="35">
        <f ca="1">IF(НАСТРОЙКИ!$B$5&lt;&gt;"Да",0,IFERROR(SUMIF(INDIRECT("'["&amp;НАСТРОЙКИ!$D$5&amp;"]CF'!$L$3:$EO$3"),DB$22,INDIRECT("'["&amp;НАСТРОЙКИ!$D$5&amp;"]CF'!$L$25:$EO$25")),0))</f>
        <v>0</v>
      </c>
      <c r="DC47" s="35">
        <f ca="1">IF(НАСТРОЙКИ!$B$5&lt;&gt;"Да",0,IFERROR(SUMIF(INDIRECT("'["&amp;НАСТРОЙКИ!$D$5&amp;"]CF'!$L$3:$EO$3"),DC$22,INDIRECT("'["&amp;НАСТРОЙКИ!$D$5&amp;"]CF'!$L$25:$EO$25")),0))</f>
        <v>0</v>
      </c>
      <c r="DD47" s="35">
        <f ca="1">IF(НАСТРОЙКИ!$B$5&lt;&gt;"Да",0,IFERROR(SUMIF(INDIRECT("'["&amp;НАСТРОЙКИ!$D$5&amp;"]CF'!$L$3:$EO$3"),DD$22,INDIRECT("'["&amp;НАСТРОЙКИ!$D$5&amp;"]CF'!$L$25:$EO$25")),0))</f>
        <v>0</v>
      </c>
      <c r="DE47" s="35">
        <f ca="1">IF(НАСТРОЙКИ!$B$5&lt;&gt;"Да",0,IFERROR(SUMIF(INDIRECT("'["&amp;НАСТРОЙКИ!$D$5&amp;"]CF'!$L$3:$EO$3"),DE$22,INDIRECT("'["&amp;НАСТРОЙКИ!$D$5&amp;"]CF'!$L$25:$EO$25")),0))</f>
        <v>0</v>
      </c>
      <c r="DF47" s="35">
        <f ca="1">IF(НАСТРОЙКИ!$B$5&lt;&gt;"Да",0,IFERROR(SUMIF(INDIRECT("'["&amp;НАСТРОЙКИ!$D$5&amp;"]CF'!$L$3:$EO$3"),DF$22,INDIRECT("'["&amp;НАСТРОЙКИ!$D$5&amp;"]CF'!$L$25:$EO$25")),0))</f>
        <v>0</v>
      </c>
    </row>
    <row r="48" spans="1:110">
      <c r="A48" s="34" t="s">
        <v>126</v>
      </c>
      <c r="B48" s="34" t="s">
        <v>58</v>
      </c>
      <c r="C48" s="35">
        <f ca="1">IF(НАСТРОЙКИ!$B$5&lt;&gt;"Да",0,IFERROR(SUMIF(INDIRECT("'["&amp;НАСТРОЙКИ!$D$5&amp;"]CF'!$L$3:$EO$3"),C$22,INDIRECT("'["&amp;НАСТРОЙКИ!$D$5&amp;"]CF'!$L$51:$EO$51")),0))</f>
        <v>0</v>
      </c>
      <c r="D48" s="35">
        <f ca="1">IF(НАСТРОЙКИ!$B$5&lt;&gt;"Да",0,IFERROR(SUMIF(INDIRECT("'["&amp;НАСТРОЙКИ!$D$5&amp;"]CF'!$L$3:$EO$3"),D$22,INDIRECT("'["&amp;НАСТРОЙКИ!$D$5&amp;"]CF'!$L$51:$EO$51")),0))</f>
        <v>0</v>
      </c>
      <c r="E48" s="35">
        <f ca="1">IF(НАСТРОЙКИ!$B$5&lt;&gt;"Да",0,IFERROR(SUMIF(INDIRECT("'["&amp;НАСТРОЙКИ!$D$5&amp;"]CF'!$L$3:$EO$3"),E$22,INDIRECT("'["&amp;НАСТРОЙКИ!$D$5&amp;"]CF'!$L$51:$EO$51")),0))</f>
        <v>0</v>
      </c>
      <c r="F48" s="35">
        <f ca="1">IF(НАСТРОЙКИ!$B$5&lt;&gt;"Да",0,IFERROR(SUMIF(INDIRECT("'["&amp;НАСТРОЙКИ!$D$5&amp;"]CF'!$L$3:$EO$3"),F$22,INDIRECT("'["&amp;НАСТРОЙКИ!$D$5&amp;"]CF'!$L$51:$EO$51")),0))</f>
        <v>0</v>
      </c>
      <c r="G48" s="35">
        <f ca="1">IF(НАСТРОЙКИ!$B$5&lt;&gt;"Да",0,IFERROR(SUMIF(INDIRECT("'["&amp;НАСТРОЙКИ!$D$5&amp;"]CF'!$L$3:$EO$3"),G$22,INDIRECT("'["&amp;НАСТРОЙКИ!$D$5&amp;"]CF'!$L$51:$EO$51")),0))</f>
        <v>0</v>
      </c>
      <c r="H48" s="35">
        <f ca="1">IF(НАСТРОЙКИ!$B$5&lt;&gt;"Да",0,IFERROR(SUMIF(INDIRECT("'["&amp;НАСТРОЙКИ!$D$5&amp;"]CF'!$L$3:$EO$3"),H$22,INDIRECT("'["&amp;НАСТРОЙКИ!$D$5&amp;"]CF'!$L$51:$EO$51")),0))</f>
        <v>0</v>
      </c>
      <c r="I48" s="35">
        <f ca="1">IF(НАСТРОЙКИ!$B$5&lt;&gt;"Да",0,IFERROR(SUMIF(INDIRECT("'["&amp;НАСТРОЙКИ!$D$5&amp;"]CF'!$L$3:$EO$3"),I$22,INDIRECT("'["&amp;НАСТРОЙКИ!$D$5&amp;"]CF'!$L$51:$EO$51")),0))</f>
        <v>0</v>
      </c>
      <c r="J48" s="35">
        <f ca="1">IF(НАСТРОЙКИ!$B$5&lt;&gt;"Да",0,IFERROR(SUMIF(INDIRECT("'["&amp;НАСТРОЙКИ!$D$5&amp;"]CF'!$L$3:$EO$3"),J$22,INDIRECT("'["&amp;НАСТРОЙКИ!$D$5&amp;"]CF'!$L$51:$EO$51")),0))</f>
        <v>0</v>
      </c>
      <c r="K48" s="35">
        <f ca="1">IF(НАСТРОЙКИ!$B$5&lt;&gt;"Да",0,IFERROR(SUMIF(INDIRECT("'["&amp;НАСТРОЙКИ!$D$5&amp;"]CF'!$L$3:$EO$3"),K$22,INDIRECT("'["&amp;НАСТРОЙКИ!$D$5&amp;"]CF'!$L$51:$EO$51")),0))</f>
        <v>0</v>
      </c>
      <c r="L48" s="35">
        <f ca="1">IF(НАСТРОЙКИ!$B$5&lt;&gt;"Да",0,IFERROR(SUMIF(INDIRECT("'["&amp;НАСТРОЙКИ!$D$5&amp;"]CF'!$L$3:$EO$3"),L$22,INDIRECT("'["&amp;НАСТРОЙКИ!$D$5&amp;"]CF'!$L$51:$EO$51")),0))</f>
        <v>0</v>
      </c>
      <c r="M48" s="35">
        <f ca="1">IF(НАСТРОЙКИ!$B$5&lt;&gt;"Да",0,IFERROR(SUMIF(INDIRECT("'["&amp;НАСТРОЙКИ!$D$5&amp;"]CF'!$L$3:$EO$3"),M$22,INDIRECT("'["&amp;НАСТРОЙКИ!$D$5&amp;"]CF'!$L$51:$EO$51")),0))</f>
        <v>0</v>
      </c>
      <c r="N48" s="35">
        <f ca="1">IF(НАСТРОЙКИ!$B$5&lt;&gt;"Да",0,IFERROR(SUMIF(INDIRECT("'["&amp;НАСТРОЙКИ!$D$5&amp;"]CF'!$L$3:$EO$3"),N$22,INDIRECT("'["&amp;НАСТРОЙКИ!$D$5&amp;"]CF'!$L$51:$EO$51")),0))</f>
        <v>0</v>
      </c>
      <c r="O48" s="35">
        <f ca="1">IF(НАСТРОЙКИ!$B$5&lt;&gt;"Да",0,IFERROR(SUMIF(INDIRECT("'["&amp;НАСТРОЙКИ!$D$5&amp;"]CF'!$L$3:$EO$3"),O$22,INDIRECT("'["&amp;НАСТРОЙКИ!$D$5&amp;"]CF'!$L$51:$EO$51")),0))</f>
        <v>0</v>
      </c>
      <c r="P48" s="35">
        <f ca="1">IF(НАСТРОЙКИ!$B$5&lt;&gt;"Да",0,IFERROR(SUMIF(INDIRECT("'["&amp;НАСТРОЙКИ!$D$5&amp;"]CF'!$L$3:$EO$3"),P$22,INDIRECT("'["&amp;НАСТРОЙКИ!$D$5&amp;"]CF'!$L$51:$EO$51")),0))</f>
        <v>0</v>
      </c>
      <c r="Q48" s="35">
        <f ca="1">IF(НАСТРОЙКИ!$B$5&lt;&gt;"Да",0,IFERROR(SUMIF(INDIRECT("'["&amp;НАСТРОЙКИ!$D$5&amp;"]CF'!$L$3:$EO$3"),Q$22,INDIRECT("'["&amp;НАСТРОЙКИ!$D$5&amp;"]CF'!$L$51:$EO$51")),0))</f>
        <v>0</v>
      </c>
      <c r="R48" s="35">
        <f ca="1">IF(НАСТРОЙКИ!$B$5&lt;&gt;"Да",0,IFERROR(SUMIF(INDIRECT("'["&amp;НАСТРОЙКИ!$D$5&amp;"]CF'!$L$3:$EO$3"),R$22,INDIRECT("'["&amp;НАСТРОЙКИ!$D$5&amp;"]CF'!$L$51:$EO$51")),0))</f>
        <v>0</v>
      </c>
      <c r="S48" s="35">
        <f ca="1">IF(НАСТРОЙКИ!$B$5&lt;&gt;"Да",0,IFERROR(SUMIF(INDIRECT("'["&amp;НАСТРОЙКИ!$D$5&amp;"]CF'!$L$3:$EO$3"),S$22,INDIRECT("'["&amp;НАСТРОЙКИ!$D$5&amp;"]CF'!$L$51:$EO$51")),0))</f>
        <v>0</v>
      </c>
      <c r="T48" s="35">
        <f ca="1">IF(НАСТРОЙКИ!$B$5&lt;&gt;"Да",0,IFERROR(SUMIF(INDIRECT("'["&amp;НАСТРОЙКИ!$D$5&amp;"]CF'!$L$3:$EO$3"),T$22,INDIRECT("'["&amp;НАСТРОЙКИ!$D$5&amp;"]CF'!$L$51:$EO$51")),0))</f>
        <v>0</v>
      </c>
      <c r="U48" s="35">
        <f ca="1">IF(НАСТРОЙКИ!$B$5&lt;&gt;"Да",0,IFERROR(SUMIF(INDIRECT("'["&amp;НАСТРОЙКИ!$D$5&amp;"]CF'!$L$3:$EO$3"),U$22,INDIRECT("'["&amp;НАСТРОЙКИ!$D$5&amp;"]CF'!$L$51:$EO$51")),0))</f>
        <v>0</v>
      </c>
      <c r="V48" s="35">
        <f ca="1">IF(НАСТРОЙКИ!$B$5&lt;&gt;"Да",0,IFERROR(SUMIF(INDIRECT("'["&amp;НАСТРОЙКИ!$D$5&amp;"]CF'!$L$3:$EO$3"),V$22,INDIRECT("'["&amp;НАСТРОЙКИ!$D$5&amp;"]CF'!$L$51:$EO$51")),0))</f>
        <v>0</v>
      </c>
      <c r="W48" s="35">
        <f ca="1">IF(НАСТРОЙКИ!$B$5&lt;&gt;"Да",0,IFERROR(SUMIF(INDIRECT("'["&amp;НАСТРОЙКИ!$D$5&amp;"]CF'!$L$3:$EO$3"),W$22,INDIRECT("'["&amp;НАСТРОЙКИ!$D$5&amp;"]CF'!$L$51:$EO$51")),0))</f>
        <v>0</v>
      </c>
      <c r="X48" s="35">
        <f ca="1">IF(НАСТРОЙКИ!$B$5&lt;&gt;"Да",0,IFERROR(SUMIF(INDIRECT("'["&amp;НАСТРОЙКИ!$D$5&amp;"]CF'!$L$3:$EO$3"),X$22,INDIRECT("'["&amp;НАСТРОЙКИ!$D$5&amp;"]CF'!$L$51:$EO$51")),0))</f>
        <v>0</v>
      </c>
      <c r="Y48" s="35">
        <f ca="1">IF(НАСТРОЙКИ!$B$5&lt;&gt;"Да",0,IFERROR(SUMIF(INDIRECT("'["&amp;НАСТРОЙКИ!$D$5&amp;"]CF'!$L$3:$EO$3"),Y$22,INDIRECT("'["&amp;НАСТРОЙКИ!$D$5&amp;"]CF'!$L$51:$EO$51")),0))</f>
        <v>0</v>
      </c>
      <c r="Z48" s="35">
        <f ca="1">IF(НАСТРОЙКИ!$B$5&lt;&gt;"Да",0,IFERROR(SUMIF(INDIRECT("'["&amp;НАСТРОЙКИ!$D$5&amp;"]CF'!$L$3:$EO$3"),Z$22,INDIRECT("'["&amp;НАСТРОЙКИ!$D$5&amp;"]CF'!$L$51:$EO$51")),0))</f>
        <v>0</v>
      </c>
      <c r="AA48" s="35">
        <f ca="1">IF(НАСТРОЙКИ!$B$5&lt;&gt;"Да",0,IFERROR(SUMIF(INDIRECT("'["&amp;НАСТРОЙКИ!$D$5&amp;"]CF'!$L$3:$EO$3"),AA$22,INDIRECT("'["&amp;НАСТРОЙКИ!$D$5&amp;"]CF'!$L$51:$EO$51")),0))</f>
        <v>0</v>
      </c>
      <c r="AB48" s="35">
        <f ca="1">IF(НАСТРОЙКИ!$B$5&lt;&gt;"Да",0,IFERROR(SUMIF(INDIRECT("'["&amp;НАСТРОЙКИ!$D$5&amp;"]CF'!$L$3:$EO$3"),AB$22,INDIRECT("'["&amp;НАСТРОЙКИ!$D$5&amp;"]CF'!$L$51:$EO$51")),0))</f>
        <v>0</v>
      </c>
      <c r="AC48" s="35">
        <f ca="1">IF(НАСТРОЙКИ!$B$5&lt;&gt;"Да",0,IFERROR(SUMIF(INDIRECT("'["&amp;НАСТРОЙКИ!$D$5&amp;"]CF'!$L$3:$EO$3"),AC$22,INDIRECT("'["&amp;НАСТРОЙКИ!$D$5&amp;"]CF'!$L$51:$EO$51")),0))</f>
        <v>0</v>
      </c>
      <c r="AD48" s="35">
        <f ca="1">IF(НАСТРОЙКИ!$B$5&lt;&gt;"Да",0,IFERROR(SUMIF(INDIRECT("'["&amp;НАСТРОЙКИ!$D$5&amp;"]CF'!$L$3:$EO$3"),AD$22,INDIRECT("'["&amp;НАСТРОЙКИ!$D$5&amp;"]CF'!$L$51:$EO$51")),0))</f>
        <v>0</v>
      </c>
      <c r="AE48" s="35">
        <f ca="1">IF(НАСТРОЙКИ!$B$5&lt;&gt;"Да",0,IFERROR(SUMIF(INDIRECT("'["&amp;НАСТРОЙКИ!$D$5&amp;"]CF'!$L$3:$EO$3"),AE$22,INDIRECT("'["&amp;НАСТРОЙКИ!$D$5&amp;"]CF'!$L$51:$EO$51")),0))</f>
        <v>0</v>
      </c>
      <c r="AF48" s="35">
        <f ca="1">IF(НАСТРОЙКИ!$B$5&lt;&gt;"Да",0,IFERROR(SUMIF(INDIRECT("'["&amp;НАСТРОЙКИ!$D$5&amp;"]CF'!$L$3:$EO$3"),AF$22,INDIRECT("'["&amp;НАСТРОЙКИ!$D$5&amp;"]CF'!$L$51:$EO$51")),0))</f>
        <v>0</v>
      </c>
      <c r="AG48" s="35">
        <f ca="1">IF(НАСТРОЙКИ!$B$5&lt;&gt;"Да",0,IFERROR(SUMIF(INDIRECT("'["&amp;НАСТРОЙКИ!$D$5&amp;"]CF'!$L$3:$EO$3"),AG$22,INDIRECT("'["&amp;НАСТРОЙКИ!$D$5&amp;"]CF'!$L$51:$EO$51")),0))</f>
        <v>0</v>
      </c>
      <c r="AH48" s="35">
        <f ca="1">IF(НАСТРОЙКИ!$B$5&lt;&gt;"Да",0,IFERROR(SUMIF(INDIRECT("'["&amp;НАСТРОЙКИ!$D$5&amp;"]CF'!$L$3:$EO$3"),AH$22,INDIRECT("'["&amp;НАСТРОЙКИ!$D$5&amp;"]CF'!$L$51:$EO$51")),0))</f>
        <v>0</v>
      </c>
      <c r="AI48" s="35">
        <f ca="1">IF(НАСТРОЙКИ!$B$5&lt;&gt;"Да",0,IFERROR(SUMIF(INDIRECT("'["&amp;НАСТРОЙКИ!$D$5&amp;"]CF'!$L$3:$EO$3"),AI$22,INDIRECT("'["&amp;НАСТРОЙКИ!$D$5&amp;"]CF'!$L$51:$EO$51")),0))</f>
        <v>0</v>
      </c>
      <c r="AJ48" s="35">
        <f ca="1">IF(НАСТРОЙКИ!$B$5&lt;&gt;"Да",0,IFERROR(SUMIF(INDIRECT("'["&amp;НАСТРОЙКИ!$D$5&amp;"]CF'!$L$3:$EO$3"),AJ$22,INDIRECT("'["&amp;НАСТРОЙКИ!$D$5&amp;"]CF'!$L$51:$EO$51")),0))</f>
        <v>0</v>
      </c>
      <c r="AK48" s="35">
        <f ca="1">IF(НАСТРОЙКИ!$B$5&lt;&gt;"Да",0,IFERROR(SUMIF(INDIRECT("'["&amp;НАСТРОЙКИ!$D$5&amp;"]CF'!$L$3:$EO$3"),AK$22,INDIRECT("'["&amp;НАСТРОЙКИ!$D$5&amp;"]CF'!$L$51:$EO$51")),0))</f>
        <v>0</v>
      </c>
      <c r="AL48" s="35">
        <f ca="1">IF(НАСТРОЙКИ!$B$5&lt;&gt;"Да",0,IFERROR(SUMIF(INDIRECT("'["&amp;НАСТРОЙКИ!$D$5&amp;"]CF'!$L$3:$EO$3"),AL$22,INDIRECT("'["&amp;НАСТРОЙКИ!$D$5&amp;"]CF'!$L$51:$EO$51")),0))</f>
        <v>0</v>
      </c>
      <c r="AM48" s="35">
        <f ca="1">IF(НАСТРОЙКИ!$B$5&lt;&gt;"Да",0,IFERROR(SUMIF(INDIRECT("'["&amp;НАСТРОЙКИ!$D$5&amp;"]CF'!$L$3:$EO$3"),AM$22,INDIRECT("'["&amp;НАСТРОЙКИ!$D$5&amp;"]CF'!$L$51:$EO$51")),0))</f>
        <v>0</v>
      </c>
      <c r="AN48" s="35">
        <f ca="1">IF(НАСТРОЙКИ!$B$5&lt;&gt;"Да",0,IFERROR(SUMIF(INDIRECT("'["&amp;НАСТРОЙКИ!$D$5&amp;"]CF'!$L$3:$EO$3"),AN$22,INDIRECT("'["&amp;НАСТРОЙКИ!$D$5&amp;"]CF'!$L$51:$EO$51")),0))</f>
        <v>0</v>
      </c>
      <c r="AO48" s="35">
        <f ca="1">IF(НАСТРОЙКИ!$B$5&lt;&gt;"Да",0,IFERROR(SUMIF(INDIRECT("'["&amp;НАСТРОЙКИ!$D$5&amp;"]CF'!$L$3:$EO$3"),AO$22,INDIRECT("'["&amp;НАСТРОЙКИ!$D$5&amp;"]CF'!$L$51:$EO$51")),0))</f>
        <v>0</v>
      </c>
      <c r="AP48" s="35">
        <f ca="1">IF(НАСТРОЙКИ!$B$5&lt;&gt;"Да",0,IFERROR(SUMIF(INDIRECT("'["&amp;НАСТРОЙКИ!$D$5&amp;"]CF'!$L$3:$EO$3"),AP$22,INDIRECT("'["&amp;НАСТРОЙКИ!$D$5&amp;"]CF'!$L$51:$EO$51")),0))</f>
        <v>0</v>
      </c>
      <c r="AQ48" s="35">
        <f ca="1">IF(НАСТРОЙКИ!$B$5&lt;&gt;"Да",0,IFERROR(SUMIF(INDIRECT("'["&amp;НАСТРОЙКИ!$D$5&amp;"]CF'!$L$3:$EO$3"),AQ$22,INDIRECT("'["&amp;НАСТРОЙКИ!$D$5&amp;"]CF'!$L$51:$EO$51")),0))</f>
        <v>0</v>
      </c>
      <c r="AR48" s="35">
        <f ca="1">IF(НАСТРОЙКИ!$B$5&lt;&gt;"Да",0,IFERROR(SUMIF(INDIRECT("'["&amp;НАСТРОЙКИ!$D$5&amp;"]CF'!$L$3:$EO$3"),AR$22,INDIRECT("'["&amp;НАСТРОЙКИ!$D$5&amp;"]CF'!$L$51:$EO$51")),0))</f>
        <v>0</v>
      </c>
      <c r="AS48" s="35">
        <f ca="1">IF(НАСТРОЙКИ!$B$5&lt;&gt;"Да",0,IFERROR(SUMIF(INDIRECT("'["&amp;НАСТРОЙКИ!$D$5&amp;"]CF'!$L$3:$EO$3"),AS$22,INDIRECT("'["&amp;НАСТРОЙКИ!$D$5&amp;"]CF'!$L$51:$EO$51")),0))</f>
        <v>0</v>
      </c>
      <c r="AT48" s="35">
        <f ca="1">IF(НАСТРОЙКИ!$B$5&lt;&gt;"Да",0,IFERROR(SUMIF(INDIRECT("'["&amp;НАСТРОЙКИ!$D$5&amp;"]CF'!$L$3:$EO$3"),AT$22,INDIRECT("'["&amp;НАСТРОЙКИ!$D$5&amp;"]CF'!$L$51:$EO$51")),0))</f>
        <v>0</v>
      </c>
      <c r="AU48" s="35">
        <f ca="1">IF(НАСТРОЙКИ!$B$5&lt;&gt;"Да",0,IFERROR(SUMIF(INDIRECT("'["&amp;НАСТРОЙКИ!$D$5&amp;"]CF'!$L$3:$EO$3"),AU$22,INDIRECT("'["&amp;НАСТРОЙКИ!$D$5&amp;"]CF'!$L$51:$EO$51")),0))</f>
        <v>0</v>
      </c>
      <c r="AV48" s="35">
        <f ca="1">IF(НАСТРОЙКИ!$B$5&lt;&gt;"Да",0,IFERROR(SUMIF(INDIRECT("'["&amp;НАСТРОЙКИ!$D$5&amp;"]CF'!$L$3:$EO$3"),AV$22,INDIRECT("'["&amp;НАСТРОЙКИ!$D$5&amp;"]CF'!$L$51:$EO$51")),0))</f>
        <v>0</v>
      </c>
      <c r="AW48" s="35">
        <f ca="1">IF(НАСТРОЙКИ!$B$5&lt;&gt;"Да",0,IFERROR(SUMIF(INDIRECT("'["&amp;НАСТРОЙКИ!$D$5&amp;"]CF'!$L$3:$EO$3"),AW$22,INDIRECT("'["&amp;НАСТРОЙКИ!$D$5&amp;"]CF'!$L$51:$EO$51")),0))</f>
        <v>0</v>
      </c>
      <c r="AX48" s="35">
        <f ca="1">IF(НАСТРОЙКИ!$B$5&lt;&gt;"Да",0,IFERROR(SUMIF(INDIRECT("'["&amp;НАСТРОЙКИ!$D$5&amp;"]CF'!$L$3:$EO$3"),AX$22,INDIRECT("'["&amp;НАСТРОЙКИ!$D$5&amp;"]CF'!$L$51:$EO$51")),0))</f>
        <v>0</v>
      </c>
      <c r="AY48" s="35">
        <f ca="1">IF(НАСТРОЙКИ!$B$5&lt;&gt;"Да",0,IFERROR(SUMIF(INDIRECT("'["&amp;НАСТРОЙКИ!$D$5&amp;"]CF'!$L$3:$EO$3"),AY$22,INDIRECT("'["&amp;НАСТРОЙКИ!$D$5&amp;"]CF'!$L$51:$EO$51")),0))</f>
        <v>0</v>
      </c>
      <c r="AZ48" s="35">
        <f ca="1">IF(НАСТРОЙКИ!$B$5&lt;&gt;"Да",0,IFERROR(SUMIF(INDIRECT("'["&amp;НАСТРОЙКИ!$D$5&amp;"]CF'!$L$3:$EO$3"),AZ$22,INDIRECT("'["&amp;НАСТРОЙКИ!$D$5&amp;"]CF'!$L$51:$EO$51")),0))</f>
        <v>0</v>
      </c>
      <c r="BA48" s="35">
        <f ca="1">IF(НАСТРОЙКИ!$B$5&lt;&gt;"Да",0,IFERROR(SUMIF(INDIRECT("'["&amp;НАСТРОЙКИ!$D$5&amp;"]CF'!$L$3:$EO$3"),BA$22,INDIRECT("'["&amp;НАСТРОЙКИ!$D$5&amp;"]CF'!$L$51:$EO$51")),0))</f>
        <v>0</v>
      </c>
      <c r="BB48" s="35">
        <f ca="1">IF(НАСТРОЙКИ!$B$5&lt;&gt;"Да",0,IFERROR(SUMIF(INDIRECT("'["&amp;НАСТРОЙКИ!$D$5&amp;"]CF'!$L$3:$EO$3"),BB$22,INDIRECT("'["&amp;НАСТРОЙКИ!$D$5&amp;"]CF'!$L$51:$EO$51")),0))</f>
        <v>0</v>
      </c>
      <c r="BC48" s="35">
        <f ca="1">IF(НАСТРОЙКИ!$B$5&lt;&gt;"Да",0,IFERROR(SUMIF(INDIRECT("'["&amp;НАСТРОЙКИ!$D$5&amp;"]CF'!$L$3:$EO$3"),BC$22,INDIRECT("'["&amp;НАСТРОЙКИ!$D$5&amp;"]CF'!$L$51:$EO$51")),0))</f>
        <v>0</v>
      </c>
      <c r="BD48" s="35">
        <f ca="1">IF(НАСТРОЙКИ!$B$5&lt;&gt;"Да",0,IFERROR(SUMIF(INDIRECT("'["&amp;НАСТРОЙКИ!$D$5&amp;"]CF'!$L$3:$EO$3"),BD$22,INDIRECT("'["&amp;НАСТРОЙКИ!$D$5&amp;"]CF'!$L$51:$EO$51")),0))</f>
        <v>0</v>
      </c>
      <c r="BE48" s="35">
        <f ca="1">IF(НАСТРОЙКИ!$B$5&lt;&gt;"Да",0,IFERROR(SUMIF(INDIRECT("'["&amp;НАСТРОЙКИ!$D$5&amp;"]CF'!$L$3:$EO$3"),BE$22,INDIRECT("'["&amp;НАСТРОЙКИ!$D$5&amp;"]CF'!$L$51:$EO$51")),0))</f>
        <v>0</v>
      </c>
      <c r="BF48" s="35">
        <f ca="1">IF(НАСТРОЙКИ!$B$5&lt;&gt;"Да",0,IFERROR(SUMIF(INDIRECT("'["&amp;НАСТРОЙКИ!$D$5&amp;"]CF'!$L$3:$EO$3"),BF$22,INDIRECT("'["&amp;НАСТРОЙКИ!$D$5&amp;"]CF'!$L$51:$EO$51")),0))</f>
        <v>0</v>
      </c>
      <c r="BG48" s="35">
        <f ca="1">IF(НАСТРОЙКИ!$B$5&lt;&gt;"Да",0,IFERROR(SUMIF(INDIRECT("'["&amp;НАСТРОЙКИ!$D$5&amp;"]CF'!$L$3:$EO$3"),BG$22,INDIRECT("'["&amp;НАСТРОЙКИ!$D$5&amp;"]CF'!$L$51:$EO$51")),0))</f>
        <v>0</v>
      </c>
      <c r="BH48" s="35">
        <f ca="1">IF(НАСТРОЙКИ!$B$5&lt;&gt;"Да",0,IFERROR(SUMIF(INDIRECT("'["&amp;НАСТРОЙКИ!$D$5&amp;"]CF'!$L$3:$EO$3"),BH$22,INDIRECT("'["&amp;НАСТРОЙКИ!$D$5&amp;"]CF'!$L$51:$EO$51")),0))</f>
        <v>0</v>
      </c>
      <c r="BI48" s="35">
        <f ca="1">IF(НАСТРОЙКИ!$B$5&lt;&gt;"Да",0,IFERROR(SUMIF(INDIRECT("'["&amp;НАСТРОЙКИ!$D$5&amp;"]CF'!$L$3:$EO$3"),BI$22,INDIRECT("'["&amp;НАСТРОЙКИ!$D$5&amp;"]CF'!$L$51:$EO$51")),0))</f>
        <v>0</v>
      </c>
      <c r="BJ48" s="35">
        <f ca="1">IF(НАСТРОЙКИ!$B$5&lt;&gt;"Да",0,IFERROR(SUMIF(INDIRECT("'["&amp;НАСТРОЙКИ!$D$5&amp;"]CF'!$L$3:$EO$3"),BJ$22,INDIRECT("'["&amp;НАСТРОЙКИ!$D$5&amp;"]CF'!$L$51:$EO$51")),0))</f>
        <v>0</v>
      </c>
      <c r="BK48" s="35">
        <f ca="1">IF(НАСТРОЙКИ!$B$5&lt;&gt;"Да",0,IFERROR(SUMIF(INDIRECT("'["&amp;НАСТРОЙКИ!$D$5&amp;"]CF'!$L$3:$EO$3"),BK$22,INDIRECT("'["&amp;НАСТРОЙКИ!$D$5&amp;"]CF'!$L$51:$EO$51")),0))</f>
        <v>0</v>
      </c>
      <c r="BL48" s="35">
        <f ca="1">IF(НАСТРОЙКИ!$B$5&lt;&gt;"Да",0,IFERROR(SUMIF(INDIRECT("'["&amp;НАСТРОЙКИ!$D$5&amp;"]CF'!$L$3:$EO$3"),BL$22,INDIRECT("'["&amp;НАСТРОЙКИ!$D$5&amp;"]CF'!$L$51:$EO$51")),0))</f>
        <v>0</v>
      </c>
      <c r="BM48" s="35">
        <f ca="1">IF(НАСТРОЙКИ!$B$5&lt;&gt;"Да",0,IFERROR(SUMIF(INDIRECT("'["&amp;НАСТРОЙКИ!$D$5&amp;"]CF'!$L$3:$EO$3"),BM$22,INDIRECT("'["&amp;НАСТРОЙКИ!$D$5&amp;"]CF'!$L$51:$EO$51")),0))</f>
        <v>0</v>
      </c>
      <c r="BN48" s="35">
        <f ca="1">IF(НАСТРОЙКИ!$B$5&lt;&gt;"Да",0,IFERROR(SUMIF(INDIRECT("'["&amp;НАСТРОЙКИ!$D$5&amp;"]CF'!$L$3:$EO$3"),BN$22,INDIRECT("'["&amp;НАСТРОЙКИ!$D$5&amp;"]CF'!$L$51:$EO$51")),0))</f>
        <v>0</v>
      </c>
      <c r="BO48" s="35">
        <f ca="1">IF(НАСТРОЙКИ!$B$5&lt;&gt;"Да",0,IFERROR(SUMIF(INDIRECT("'["&amp;НАСТРОЙКИ!$D$5&amp;"]CF'!$L$3:$EO$3"),BO$22,INDIRECT("'["&amp;НАСТРОЙКИ!$D$5&amp;"]CF'!$L$51:$EO$51")),0))</f>
        <v>0</v>
      </c>
      <c r="BP48" s="35">
        <f ca="1">IF(НАСТРОЙКИ!$B$5&lt;&gt;"Да",0,IFERROR(SUMIF(INDIRECT("'["&amp;НАСТРОЙКИ!$D$5&amp;"]CF'!$L$3:$EO$3"),BP$22,INDIRECT("'["&amp;НАСТРОЙКИ!$D$5&amp;"]CF'!$L$51:$EO$51")),0))</f>
        <v>0</v>
      </c>
      <c r="BQ48" s="35">
        <f ca="1">IF(НАСТРОЙКИ!$B$5&lt;&gt;"Да",0,IFERROR(SUMIF(INDIRECT("'["&amp;НАСТРОЙКИ!$D$5&amp;"]CF'!$L$3:$EO$3"),BQ$22,INDIRECT("'["&amp;НАСТРОЙКИ!$D$5&amp;"]CF'!$L$51:$EO$51")),0))</f>
        <v>0</v>
      </c>
      <c r="BR48" s="35">
        <f ca="1">IF(НАСТРОЙКИ!$B$5&lt;&gt;"Да",0,IFERROR(SUMIF(INDIRECT("'["&amp;НАСТРОЙКИ!$D$5&amp;"]CF'!$L$3:$EO$3"),BR$22,INDIRECT("'["&amp;НАСТРОЙКИ!$D$5&amp;"]CF'!$L$51:$EO$51")),0))</f>
        <v>0</v>
      </c>
      <c r="BS48" s="35">
        <f ca="1">IF(НАСТРОЙКИ!$B$5&lt;&gt;"Да",0,IFERROR(SUMIF(INDIRECT("'["&amp;НАСТРОЙКИ!$D$5&amp;"]CF'!$L$3:$EO$3"),BS$22,INDIRECT("'["&amp;НАСТРОЙКИ!$D$5&amp;"]CF'!$L$51:$EO$51")),0))</f>
        <v>0</v>
      </c>
      <c r="BT48" s="35">
        <f ca="1">IF(НАСТРОЙКИ!$B$5&lt;&gt;"Да",0,IFERROR(SUMIF(INDIRECT("'["&amp;НАСТРОЙКИ!$D$5&amp;"]CF'!$L$3:$EO$3"),BT$22,INDIRECT("'["&amp;НАСТРОЙКИ!$D$5&amp;"]CF'!$L$51:$EO$51")),0))</f>
        <v>0</v>
      </c>
      <c r="BU48" s="35">
        <f ca="1">IF(НАСТРОЙКИ!$B$5&lt;&gt;"Да",0,IFERROR(SUMIF(INDIRECT("'["&amp;НАСТРОЙКИ!$D$5&amp;"]CF'!$L$3:$EO$3"),BU$22,INDIRECT("'["&amp;НАСТРОЙКИ!$D$5&amp;"]CF'!$L$51:$EO$51")),0))</f>
        <v>0</v>
      </c>
      <c r="BV48" s="35">
        <f ca="1">IF(НАСТРОЙКИ!$B$5&lt;&gt;"Да",0,IFERROR(SUMIF(INDIRECT("'["&amp;НАСТРОЙКИ!$D$5&amp;"]CF'!$L$3:$EO$3"),BV$22,INDIRECT("'["&amp;НАСТРОЙКИ!$D$5&amp;"]CF'!$L$51:$EO$51")),0))</f>
        <v>0</v>
      </c>
      <c r="BW48" s="35">
        <f ca="1">IF(НАСТРОЙКИ!$B$5&lt;&gt;"Да",0,IFERROR(SUMIF(INDIRECT("'["&amp;НАСТРОЙКИ!$D$5&amp;"]CF'!$L$3:$EO$3"),BW$22,INDIRECT("'["&amp;НАСТРОЙКИ!$D$5&amp;"]CF'!$L$51:$EO$51")),0))</f>
        <v>0</v>
      </c>
      <c r="BX48" s="35">
        <f ca="1">IF(НАСТРОЙКИ!$B$5&lt;&gt;"Да",0,IFERROR(SUMIF(INDIRECT("'["&amp;НАСТРОЙКИ!$D$5&amp;"]CF'!$L$3:$EO$3"),BX$22,INDIRECT("'["&amp;НАСТРОЙКИ!$D$5&amp;"]CF'!$L$51:$EO$51")),0))</f>
        <v>0</v>
      </c>
      <c r="BY48" s="35">
        <f ca="1">IF(НАСТРОЙКИ!$B$5&lt;&gt;"Да",0,IFERROR(SUMIF(INDIRECT("'["&amp;НАСТРОЙКИ!$D$5&amp;"]CF'!$L$3:$EO$3"),BY$22,INDIRECT("'["&amp;НАСТРОЙКИ!$D$5&amp;"]CF'!$L$51:$EO$51")),0))</f>
        <v>0</v>
      </c>
      <c r="BZ48" s="35">
        <f ca="1">IF(НАСТРОЙКИ!$B$5&lt;&gt;"Да",0,IFERROR(SUMIF(INDIRECT("'["&amp;НАСТРОЙКИ!$D$5&amp;"]CF'!$L$3:$EO$3"),BZ$22,INDIRECT("'["&amp;НАСТРОЙКИ!$D$5&amp;"]CF'!$L$51:$EO$51")),0))</f>
        <v>0</v>
      </c>
      <c r="CA48" s="35">
        <f ca="1">IF(НАСТРОЙКИ!$B$5&lt;&gt;"Да",0,IFERROR(SUMIF(INDIRECT("'["&amp;НАСТРОЙКИ!$D$5&amp;"]CF'!$L$3:$EO$3"),CA$22,INDIRECT("'["&amp;НАСТРОЙКИ!$D$5&amp;"]CF'!$L$51:$EO$51")),0))</f>
        <v>0</v>
      </c>
      <c r="CB48" s="35">
        <f ca="1">IF(НАСТРОЙКИ!$B$5&lt;&gt;"Да",0,IFERROR(SUMIF(INDIRECT("'["&amp;НАСТРОЙКИ!$D$5&amp;"]CF'!$L$3:$EO$3"),CB$22,INDIRECT("'["&amp;НАСТРОЙКИ!$D$5&amp;"]CF'!$L$51:$EO$51")),0))</f>
        <v>0</v>
      </c>
      <c r="CC48" s="35">
        <f ca="1">IF(НАСТРОЙКИ!$B$5&lt;&gt;"Да",0,IFERROR(SUMIF(INDIRECT("'["&amp;НАСТРОЙКИ!$D$5&amp;"]CF'!$L$3:$EO$3"),CC$22,INDIRECT("'["&amp;НАСТРОЙКИ!$D$5&amp;"]CF'!$L$51:$EO$51")),0))</f>
        <v>0</v>
      </c>
      <c r="CD48" s="35">
        <f ca="1">IF(НАСТРОЙКИ!$B$5&lt;&gt;"Да",0,IFERROR(SUMIF(INDIRECT("'["&amp;НАСТРОЙКИ!$D$5&amp;"]CF'!$L$3:$EO$3"),CD$22,INDIRECT("'["&amp;НАСТРОЙКИ!$D$5&amp;"]CF'!$L$51:$EO$51")),0))</f>
        <v>0</v>
      </c>
      <c r="CE48" s="35">
        <f ca="1">IF(НАСТРОЙКИ!$B$5&lt;&gt;"Да",0,IFERROR(SUMIF(INDIRECT("'["&amp;НАСТРОЙКИ!$D$5&amp;"]CF'!$L$3:$EO$3"),CE$22,INDIRECT("'["&amp;НАСТРОЙКИ!$D$5&amp;"]CF'!$L$51:$EO$51")),0))</f>
        <v>0</v>
      </c>
      <c r="CF48" s="35">
        <f ca="1">IF(НАСТРОЙКИ!$B$5&lt;&gt;"Да",0,IFERROR(SUMIF(INDIRECT("'["&amp;НАСТРОЙКИ!$D$5&amp;"]CF'!$L$3:$EO$3"),CF$22,INDIRECT("'["&amp;НАСТРОЙКИ!$D$5&amp;"]CF'!$L$51:$EO$51")),0))</f>
        <v>0</v>
      </c>
      <c r="CG48" s="35">
        <f ca="1">IF(НАСТРОЙКИ!$B$5&lt;&gt;"Да",0,IFERROR(SUMIF(INDIRECT("'["&amp;НАСТРОЙКИ!$D$5&amp;"]CF'!$L$3:$EO$3"),CG$22,INDIRECT("'["&amp;НАСТРОЙКИ!$D$5&amp;"]CF'!$L$51:$EO$51")),0))</f>
        <v>0</v>
      </c>
      <c r="CH48" s="35">
        <f ca="1">IF(НАСТРОЙКИ!$B$5&lt;&gt;"Да",0,IFERROR(SUMIF(INDIRECT("'["&amp;НАСТРОЙКИ!$D$5&amp;"]CF'!$L$3:$EO$3"),CH$22,INDIRECT("'["&amp;НАСТРОЙКИ!$D$5&amp;"]CF'!$L$51:$EO$51")),0))</f>
        <v>0</v>
      </c>
      <c r="CI48" s="35">
        <f ca="1">IF(НАСТРОЙКИ!$B$5&lt;&gt;"Да",0,IFERROR(SUMIF(INDIRECT("'["&amp;НАСТРОЙКИ!$D$5&amp;"]CF'!$L$3:$EO$3"),CI$22,INDIRECT("'["&amp;НАСТРОЙКИ!$D$5&amp;"]CF'!$L$51:$EO$51")),0))</f>
        <v>0</v>
      </c>
      <c r="CJ48" s="35">
        <f ca="1">IF(НАСТРОЙКИ!$B$5&lt;&gt;"Да",0,IFERROR(SUMIF(INDIRECT("'["&amp;НАСТРОЙКИ!$D$5&amp;"]CF'!$L$3:$EO$3"),CJ$22,INDIRECT("'["&amp;НАСТРОЙКИ!$D$5&amp;"]CF'!$L$51:$EO$51")),0))</f>
        <v>0</v>
      </c>
      <c r="CK48" s="35">
        <f ca="1">IF(НАСТРОЙКИ!$B$5&lt;&gt;"Да",0,IFERROR(SUMIF(INDIRECT("'["&amp;НАСТРОЙКИ!$D$5&amp;"]CF'!$L$3:$EO$3"),CK$22,INDIRECT("'["&amp;НАСТРОЙКИ!$D$5&amp;"]CF'!$L$51:$EO$51")),0))</f>
        <v>0</v>
      </c>
      <c r="CL48" s="35">
        <f ca="1">IF(НАСТРОЙКИ!$B$5&lt;&gt;"Да",0,IFERROR(SUMIF(INDIRECT("'["&amp;НАСТРОЙКИ!$D$5&amp;"]CF'!$L$3:$EO$3"),CL$22,INDIRECT("'["&amp;НАСТРОЙКИ!$D$5&amp;"]CF'!$L$51:$EO$51")),0))</f>
        <v>0</v>
      </c>
      <c r="CM48" s="35">
        <f ca="1">IF(НАСТРОЙКИ!$B$5&lt;&gt;"Да",0,IFERROR(SUMIF(INDIRECT("'["&amp;НАСТРОЙКИ!$D$5&amp;"]CF'!$L$3:$EO$3"),CM$22,INDIRECT("'["&amp;НАСТРОЙКИ!$D$5&amp;"]CF'!$L$51:$EO$51")),0))</f>
        <v>0</v>
      </c>
      <c r="CN48" s="35">
        <f ca="1">IF(НАСТРОЙКИ!$B$5&lt;&gt;"Да",0,IFERROR(SUMIF(INDIRECT("'["&amp;НАСТРОЙКИ!$D$5&amp;"]CF'!$L$3:$EO$3"),CN$22,INDIRECT("'["&amp;НАСТРОЙКИ!$D$5&amp;"]CF'!$L$51:$EO$51")),0))</f>
        <v>0</v>
      </c>
      <c r="CO48" s="35">
        <f ca="1">IF(НАСТРОЙКИ!$B$5&lt;&gt;"Да",0,IFERROR(SUMIF(INDIRECT("'["&amp;НАСТРОЙКИ!$D$5&amp;"]CF'!$L$3:$EO$3"),CO$22,INDIRECT("'["&amp;НАСТРОЙКИ!$D$5&amp;"]CF'!$L$51:$EO$51")),0))</f>
        <v>0</v>
      </c>
      <c r="CP48" s="35">
        <f ca="1">IF(НАСТРОЙКИ!$B$5&lt;&gt;"Да",0,IFERROR(SUMIF(INDIRECT("'["&amp;НАСТРОЙКИ!$D$5&amp;"]CF'!$L$3:$EO$3"),CP$22,INDIRECT("'["&amp;НАСТРОЙКИ!$D$5&amp;"]CF'!$L$51:$EO$51")),0))</f>
        <v>0</v>
      </c>
      <c r="CQ48" s="35">
        <f ca="1">IF(НАСТРОЙКИ!$B$5&lt;&gt;"Да",0,IFERROR(SUMIF(INDIRECT("'["&amp;НАСТРОЙКИ!$D$5&amp;"]CF'!$L$3:$EO$3"),CQ$22,INDIRECT("'["&amp;НАСТРОЙКИ!$D$5&amp;"]CF'!$L$51:$EO$51")),0))</f>
        <v>0</v>
      </c>
      <c r="CR48" s="35">
        <f ca="1">IF(НАСТРОЙКИ!$B$5&lt;&gt;"Да",0,IFERROR(SUMIF(INDIRECT("'["&amp;НАСТРОЙКИ!$D$5&amp;"]CF'!$L$3:$EO$3"),CR$22,INDIRECT("'["&amp;НАСТРОЙКИ!$D$5&amp;"]CF'!$L$51:$EO$51")),0))</f>
        <v>0</v>
      </c>
      <c r="CS48" s="35">
        <f ca="1">IF(НАСТРОЙКИ!$B$5&lt;&gt;"Да",0,IFERROR(SUMIF(INDIRECT("'["&amp;НАСТРОЙКИ!$D$5&amp;"]CF'!$L$3:$EO$3"),CS$22,INDIRECT("'["&amp;НАСТРОЙКИ!$D$5&amp;"]CF'!$L$51:$EO$51")),0))</f>
        <v>0</v>
      </c>
      <c r="CT48" s="35">
        <f ca="1">IF(НАСТРОЙКИ!$B$5&lt;&gt;"Да",0,IFERROR(SUMIF(INDIRECT("'["&amp;НАСТРОЙКИ!$D$5&amp;"]CF'!$L$3:$EO$3"),CT$22,INDIRECT("'["&amp;НАСТРОЙКИ!$D$5&amp;"]CF'!$L$51:$EO$51")),0))</f>
        <v>0</v>
      </c>
      <c r="CU48" s="35">
        <f ca="1">IF(НАСТРОЙКИ!$B$5&lt;&gt;"Да",0,IFERROR(SUMIF(INDIRECT("'["&amp;НАСТРОЙКИ!$D$5&amp;"]CF'!$L$3:$EO$3"),CU$22,INDIRECT("'["&amp;НАСТРОЙКИ!$D$5&amp;"]CF'!$L$51:$EO$51")),0))</f>
        <v>0</v>
      </c>
      <c r="CV48" s="35">
        <f ca="1">IF(НАСТРОЙКИ!$B$5&lt;&gt;"Да",0,IFERROR(SUMIF(INDIRECT("'["&amp;НАСТРОЙКИ!$D$5&amp;"]CF'!$L$3:$EO$3"),CV$22,INDIRECT("'["&amp;НАСТРОЙКИ!$D$5&amp;"]CF'!$L$51:$EO$51")),0))</f>
        <v>0</v>
      </c>
      <c r="CW48" s="35">
        <f ca="1">IF(НАСТРОЙКИ!$B$5&lt;&gt;"Да",0,IFERROR(SUMIF(INDIRECT("'["&amp;НАСТРОЙКИ!$D$5&amp;"]CF'!$L$3:$EO$3"),CW$22,INDIRECT("'["&amp;НАСТРОЙКИ!$D$5&amp;"]CF'!$L$51:$EO$51")),0))</f>
        <v>0</v>
      </c>
      <c r="CX48" s="35">
        <f ca="1">IF(НАСТРОЙКИ!$B$5&lt;&gt;"Да",0,IFERROR(SUMIF(INDIRECT("'["&amp;НАСТРОЙКИ!$D$5&amp;"]CF'!$L$3:$EO$3"),CX$22,INDIRECT("'["&amp;НАСТРОЙКИ!$D$5&amp;"]CF'!$L$51:$EO$51")),0))</f>
        <v>0</v>
      </c>
      <c r="CY48" s="35">
        <f ca="1">IF(НАСТРОЙКИ!$B$5&lt;&gt;"Да",0,IFERROR(SUMIF(INDIRECT("'["&amp;НАСТРОЙКИ!$D$5&amp;"]CF'!$L$3:$EO$3"),CY$22,INDIRECT("'["&amp;НАСТРОЙКИ!$D$5&amp;"]CF'!$L$51:$EO$51")),0))</f>
        <v>0</v>
      </c>
      <c r="CZ48" s="35">
        <f ca="1">IF(НАСТРОЙКИ!$B$5&lt;&gt;"Да",0,IFERROR(SUMIF(INDIRECT("'["&amp;НАСТРОЙКИ!$D$5&amp;"]CF'!$L$3:$EO$3"),CZ$22,INDIRECT("'["&amp;НАСТРОЙКИ!$D$5&amp;"]CF'!$L$51:$EO$51")),0))</f>
        <v>0</v>
      </c>
      <c r="DA48" s="35">
        <f ca="1">IF(НАСТРОЙКИ!$B$5&lt;&gt;"Да",0,IFERROR(SUMIF(INDIRECT("'["&amp;НАСТРОЙКИ!$D$5&amp;"]CF'!$L$3:$EO$3"),DA$22,INDIRECT("'["&amp;НАСТРОЙКИ!$D$5&amp;"]CF'!$L$51:$EO$51")),0))</f>
        <v>0</v>
      </c>
      <c r="DB48" s="35">
        <f ca="1">IF(НАСТРОЙКИ!$B$5&lt;&gt;"Да",0,IFERROR(SUMIF(INDIRECT("'["&amp;НАСТРОЙКИ!$D$5&amp;"]CF'!$L$3:$EO$3"),DB$22,INDIRECT("'["&amp;НАСТРОЙКИ!$D$5&amp;"]CF'!$L$51:$EO$51")),0))</f>
        <v>0</v>
      </c>
      <c r="DC48" s="35">
        <f ca="1">IF(НАСТРОЙКИ!$B$5&lt;&gt;"Да",0,IFERROR(SUMIF(INDIRECT("'["&amp;НАСТРОЙКИ!$D$5&amp;"]CF'!$L$3:$EO$3"),DC$22,INDIRECT("'["&amp;НАСТРОЙКИ!$D$5&amp;"]CF'!$L$51:$EO$51")),0))</f>
        <v>0</v>
      </c>
      <c r="DD48" s="35">
        <f ca="1">IF(НАСТРОЙКИ!$B$5&lt;&gt;"Да",0,IFERROR(SUMIF(INDIRECT("'["&amp;НАСТРОЙКИ!$D$5&amp;"]CF'!$L$3:$EO$3"),DD$22,INDIRECT("'["&amp;НАСТРОЙКИ!$D$5&amp;"]CF'!$L$51:$EO$51")),0))</f>
        <v>0</v>
      </c>
      <c r="DE48" s="35">
        <f ca="1">IF(НАСТРОЙКИ!$B$5&lt;&gt;"Да",0,IFERROR(SUMIF(INDIRECT("'["&amp;НАСТРОЙКИ!$D$5&amp;"]CF'!$L$3:$EO$3"),DE$22,INDIRECT("'["&amp;НАСТРОЙКИ!$D$5&amp;"]CF'!$L$51:$EO$51")),0))</f>
        <v>0</v>
      </c>
      <c r="DF48" s="35">
        <f ca="1">IF(НАСТРОЙКИ!$B$5&lt;&gt;"Да",0,IFERROR(SUMIF(INDIRECT("'["&amp;НАСТРОЙКИ!$D$5&amp;"]CF'!$L$3:$EO$3"),DF$22,INDIRECT("'["&amp;НАСТРОЙКИ!$D$5&amp;"]CF'!$L$51:$EO$51")),0))</f>
        <v>0</v>
      </c>
    </row>
    <row r="49" spans="1:110">
      <c r="A49" s="34" t="s">
        <v>127</v>
      </c>
      <c r="B49" s="34" t="s">
        <v>58</v>
      </c>
      <c r="C49" s="36">
        <f t="shared" ref="C49:AH49" ca="1" si="64">C45+C46+C47+C48</f>
        <v>0</v>
      </c>
      <c r="D49" s="36">
        <f t="shared" ca="1" si="64"/>
        <v>0</v>
      </c>
      <c r="E49" s="36">
        <f t="shared" ca="1" si="64"/>
        <v>0</v>
      </c>
      <c r="F49" s="36">
        <f t="shared" ca="1" si="64"/>
        <v>0</v>
      </c>
      <c r="G49" s="36">
        <f t="shared" ca="1" si="64"/>
        <v>0</v>
      </c>
      <c r="H49" s="36">
        <f t="shared" ca="1" si="64"/>
        <v>0</v>
      </c>
      <c r="I49" s="36">
        <f t="shared" ca="1" si="64"/>
        <v>0</v>
      </c>
      <c r="J49" s="36">
        <f t="shared" ca="1" si="64"/>
        <v>0</v>
      </c>
      <c r="K49" s="36">
        <f t="shared" ca="1" si="64"/>
        <v>0</v>
      </c>
      <c r="L49" s="36">
        <f t="shared" ca="1" si="64"/>
        <v>0</v>
      </c>
      <c r="M49" s="36">
        <f t="shared" ca="1" si="64"/>
        <v>0</v>
      </c>
      <c r="N49" s="36">
        <f t="shared" ca="1" si="64"/>
        <v>0</v>
      </c>
      <c r="O49" s="36">
        <f t="shared" ca="1" si="64"/>
        <v>0</v>
      </c>
      <c r="P49" s="36">
        <f t="shared" ca="1" si="64"/>
        <v>0</v>
      </c>
      <c r="Q49" s="36">
        <f t="shared" ca="1" si="64"/>
        <v>0</v>
      </c>
      <c r="R49" s="36">
        <f t="shared" ca="1" si="64"/>
        <v>0</v>
      </c>
      <c r="S49" s="36">
        <f t="shared" ca="1" si="64"/>
        <v>0</v>
      </c>
      <c r="T49" s="36">
        <f t="shared" ca="1" si="64"/>
        <v>0</v>
      </c>
      <c r="U49" s="36">
        <f t="shared" ca="1" si="64"/>
        <v>0</v>
      </c>
      <c r="V49" s="36">
        <f t="shared" ca="1" si="64"/>
        <v>0</v>
      </c>
      <c r="W49" s="36">
        <f t="shared" ca="1" si="64"/>
        <v>0</v>
      </c>
      <c r="X49" s="36">
        <f t="shared" ca="1" si="64"/>
        <v>0</v>
      </c>
      <c r="Y49" s="36">
        <f t="shared" ca="1" si="64"/>
        <v>0</v>
      </c>
      <c r="Z49" s="36">
        <f t="shared" ca="1" si="64"/>
        <v>0</v>
      </c>
      <c r="AA49" s="36">
        <f t="shared" ca="1" si="64"/>
        <v>0</v>
      </c>
      <c r="AB49" s="36">
        <f t="shared" ca="1" si="64"/>
        <v>0</v>
      </c>
      <c r="AC49" s="36">
        <f t="shared" ca="1" si="64"/>
        <v>0</v>
      </c>
      <c r="AD49" s="36">
        <f t="shared" ca="1" si="64"/>
        <v>0</v>
      </c>
      <c r="AE49" s="36">
        <f t="shared" ca="1" si="64"/>
        <v>0</v>
      </c>
      <c r="AF49" s="36">
        <f t="shared" ca="1" si="64"/>
        <v>0</v>
      </c>
      <c r="AG49" s="36">
        <f t="shared" ca="1" si="64"/>
        <v>0</v>
      </c>
      <c r="AH49" s="36">
        <f t="shared" ca="1" si="64"/>
        <v>0</v>
      </c>
      <c r="AI49" s="36">
        <f t="shared" ref="AI49:BN49" ca="1" si="65">AI45+AI46+AI47+AI48</f>
        <v>0</v>
      </c>
      <c r="AJ49" s="36">
        <f t="shared" ca="1" si="65"/>
        <v>0</v>
      </c>
      <c r="AK49" s="36">
        <f t="shared" ca="1" si="65"/>
        <v>0</v>
      </c>
      <c r="AL49" s="36">
        <f t="shared" ca="1" si="65"/>
        <v>0</v>
      </c>
      <c r="AM49" s="36">
        <f t="shared" ca="1" si="65"/>
        <v>0</v>
      </c>
      <c r="AN49" s="36">
        <f t="shared" ca="1" si="65"/>
        <v>0</v>
      </c>
      <c r="AO49" s="36">
        <f t="shared" ca="1" si="65"/>
        <v>0</v>
      </c>
      <c r="AP49" s="36">
        <f t="shared" ca="1" si="65"/>
        <v>0</v>
      </c>
      <c r="AQ49" s="36">
        <f t="shared" ca="1" si="65"/>
        <v>0</v>
      </c>
      <c r="AR49" s="36">
        <f t="shared" ca="1" si="65"/>
        <v>0</v>
      </c>
      <c r="AS49" s="36">
        <f t="shared" ca="1" si="65"/>
        <v>0</v>
      </c>
      <c r="AT49" s="36">
        <f t="shared" ca="1" si="65"/>
        <v>0</v>
      </c>
      <c r="AU49" s="36">
        <f t="shared" ca="1" si="65"/>
        <v>0</v>
      </c>
      <c r="AV49" s="36">
        <f t="shared" ca="1" si="65"/>
        <v>0</v>
      </c>
      <c r="AW49" s="36">
        <f t="shared" ca="1" si="65"/>
        <v>0</v>
      </c>
      <c r="AX49" s="36">
        <f t="shared" ca="1" si="65"/>
        <v>0</v>
      </c>
      <c r="AY49" s="36">
        <f t="shared" ca="1" si="65"/>
        <v>0</v>
      </c>
      <c r="AZ49" s="36">
        <f t="shared" ca="1" si="65"/>
        <v>0</v>
      </c>
      <c r="BA49" s="36">
        <f t="shared" ca="1" si="65"/>
        <v>0</v>
      </c>
      <c r="BB49" s="36">
        <f t="shared" ca="1" si="65"/>
        <v>0</v>
      </c>
      <c r="BC49" s="36">
        <f t="shared" ca="1" si="65"/>
        <v>0</v>
      </c>
      <c r="BD49" s="36">
        <f t="shared" ca="1" si="65"/>
        <v>0</v>
      </c>
      <c r="BE49" s="36">
        <f t="shared" ca="1" si="65"/>
        <v>0</v>
      </c>
      <c r="BF49" s="36">
        <f t="shared" ca="1" si="65"/>
        <v>0</v>
      </c>
      <c r="BG49" s="36">
        <f t="shared" ca="1" si="65"/>
        <v>0</v>
      </c>
      <c r="BH49" s="36">
        <f t="shared" ca="1" si="65"/>
        <v>0</v>
      </c>
      <c r="BI49" s="36">
        <f t="shared" ca="1" si="65"/>
        <v>0</v>
      </c>
      <c r="BJ49" s="36">
        <f t="shared" ca="1" si="65"/>
        <v>0</v>
      </c>
      <c r="BK49" s="36">
        <f t="shared" ca="1" si="65"/>
        <v>0</v>
      </c>
      <c r="BL49" s="36">
        <f t="shared" ca="1" si="65"/>
        <v>0</v>
      </c>
      <c r="BM49" s="36">
        <f t="shared" ca="1" si="65"/>
        <v>0</v>
      </c>
      <c r="BN49" s="36">
        <f t="shared" ca="1" si="65"/>
        <v>0</v>
      </c>
      <c r="BO49" s="36">
        <f t="shared" ref="BO49:CT49" ca="1" si="66">BO45+BO46+BO47+BO48</f>
        <v>0</v>
      </c>
      <c r="BP49" s="36">
        <f t="shared" ca="1" si="66"/>
        <v>0</v>
      </c>
      <c r="BQ49" s="36">
        <f t="shared" ca="1" si="66"/>
        <v>0</v>
      </c>
      <c r="BR49" s="36">
        <f t="shared" ca="1" si="66"/>
        <v>0</v>
      </c>
      <c r="BS49" s="36">
        <f t="shared" ca="1" si="66"/>
        <v>0</v>
      </c>
      <c r="BT49" s="36">
        <f t="shared" ca="1" si="66"/>
        <v>0</v>
      </c>
      <c r="BU49" s="36">
        <f t="shared" ca="1" si="66"/>
        <v>0</v>
      </c>
      <c r="BV49" s="36">
        <f t="shared" ca="1" si="66"/>
        <v>0</v>
      </c>
      <c r="BW49" s="36">
        <f t="shared" ca="1" si="66"/>
        <v>0</v>
      </c>
      <c r="BX49" s="36">
        <f t="shared" ca="1" si="66"/>
        <v>0</v>
      </c>
      <c r="BY49" s="36">
        <f t="shared" ca="1" si="66"/>
        <v>0</v>
      </c>
      <c r="BZ49" s="36">
        <f t="shared" ca="1" si="66"/>
        <v>0</v>
      </c>
      <c r="CA49" s="36">
        <f t="shared" ca="1" si="66"/>
        <v>0</v>
      </c>
      <c r="CB49" s="36">
        <f t="shared" ca="1" si="66"/>
        <v>0</v>
      </c>
      <c r="CC49" s="36">
        <f t="shared" ca="1" si="66"/>
        <v>0</v>
      </c>
      <c r="CD49" s="36">
        <f t="shared" ca="1" si="66"/>
        <v>0</v>
      </c>
      <c r="CE49" s="36">
        <f t="shared" ca="1" si="66"/>
        <v>0</v>
      </c>
      <c r="CF49" s="36">
        <f t="shared" ca="1" si="66"/>
        <v>0</v>
      </c>
      <c r="CG49" s="36">
        <f t="shared" ca="1" si="66"/>
        <v>0</v>
      </c>
      <c r="CH49" s="36">
        <f t="shared" ca="1" si="66"/>
        <v>0</v>
      </c>
      <c r="CI49" s="36">
        <f t="shared" ca="1" si="66"/>
        <v>0</v>
      </c>
      <c r="CJ49" s="36">
        <f t="shared" ca="1" si="66"/>
        <v>0</v>
      </c>
      <c r="CK49" s="36">
        <f t="shared" ca="1" si="66"/>
        <v>0</v>
      </c>
      <c r="CL49" s="36">
        <f t="shared" ca="1" si="66"/>
        <v>0</v>
      </c>
      <c r="CM49" s="36">
        <f t="shared" ca="1" si="66"/>
        <v>0</v>
      </c>
      <c r="CN49" s="36">
        <f t="shared" ca="1" si="66"/>
        <v>0</v>
      </c>
      <c r="CO49" s="36">
        <f t="shared" ca="1" si="66"/>
        <v>0</v>
      </c>
      <c r="CP49" s="36">
        <f t="shared" ca="1" si="66"/>
        <v>0</v>
      </c>
      <c r="CQ49" s="36">
        <f t="shared" ca="1" si="66"/>
        <v>0</v>
      </c>
      <c r="CR49" s="36">
        <f t="shared" ca="1" si="66"/>
        <v>0</v>
      </c>
      <c r="CS49" s="36">
        <f t="shared" ca="1" si="66"/>
        <v>0</v>
      </c>
      <c r="CT49" s="36">
        <f t="shared" ca="1" si="66"/>
        <v>0</v>
      </c>
      <c r="CU49" s="36">
        <f t="shared" ref="CU49:DF49" ca="1" si="67">CU45+CU46+CU47+CU48</f>
        <v>0</v>
      </c>
      <c r="CV49" s="36">
        <f t="shared" ca="1" si="67"/>
        <v>0</v>
      </c>
      <c r="CW49" s="36">
        <f t="shared" ca="1" si="67"/>
        <v>0</v>
      </c>
      <c r="CX49" s="36">
        <f t="shared" ca="1" si="67"/>
        <v>0</v>
      </c>
      <c r="CY49" s="36">
        <f t="shared" ca="1" si="67"/>
        <v>0</v>
      </c>
      <c r="CZ49" s="36">
        <f t="shared" ca="1" si="67"/>
        <v>0</v>
      </c>
      <c r="DA49" s="36">
        <f t="shared" ca="1" si="67"/>
        <v>0</v>
      </c>
      <c r="DB49" s="36">
        <f t="shared" ca="1" si="67"/>
        <v>0</v>
      </c>
      <c r="DC49" s="36">
        <f t="shared" ca="1" si="67"/>
        <v>0</v>
      </c>
      <c r="DD49" s="36">
        <f t="shared" ca="1" si="67"/>
        <v>0</v>
      </c>
      <c r="DE49" s="36">
        <f t="shared" ca="1" si="67"/>
        <v>0</v>
      </c>
      <c r="DF49" s="36">
        <f t="shared" ca="1" si="67"/>
        <v>0</v>
      </c>
    </row>
    <row r="50" spans="1:110">
      <c r="A50" s="34" t="s">
        <v>128</v>
      </c>
      <c r="B50" s="34" t="s">
        <v>58</v>
      </c>
      <c r="C50" s="35">
        <f ca="1">IF(НАСТРОЙКИ!$B$5&lt;&gt;"Да",0,IFERROR(SUMIF(INDIRECT("'["&amp;НАСТРОЙКИ!$D$5&amp;"]CF'!$L$3:$EO$3"),C$22,INDIRECT("'["&amp;НАСТРОЙКИ!$D$5&amp;"]CF'!$L$65:$EO$65")),0))</f>
        <v>0</v>
      </c>
      <c r="D50" s="35">
        <f ca="1">IF(НАСТРОЙКИ!$B$5&lt;&gt;"Да",0,IFERROR(SUMIF(INDIRECT("'["&amp;НАСТРОЙКИ!$D$5&amp;"]CF'!$L$3:$EO$3"),D$22,INDIRECT("'["&amp;НАСТРОЙКИ!$D$5&amp;"]CF'!$L$65:$EO$65")),0))</f>
        <v>0</v>
      </c>
      <c r="E50" s="35">
        <f ca="1">IF(НАСТРОЙКИ!$B$5&lt;&gt;"Да",0,IFERROR(SUMIF(INDIRECT("'["&amp;НАСТРОЙКИ!$D$5&amp;"]CF'!$L$3:$EO$3"),E$22,INDIRECT("'["&amp;НАСТРОЙКИ!$D$5&amp;"]CF'!$L$65:$EO$65")),0))</f>
        <v>0</v>
      </c>
      <c r="F50" s="35">
        <f ca="1">IF(НАСТРОЙКИ!$B$5&lt;&gt;"Да",0,IFERROR(SUMIF(INDIRECT("'["&amp;НАСТРОЙКИ!$D$5&amp;"]CF'!$L$3:$EO$3"),F$22,INDIRECT("'["&amp;НАСТРОЙКИ!$D$5&amp;"]CF'!$L$65:$EO$65")),0))</f>
        <v>0</v>
      </c>
      <c r="G50" s="35">
        <f ca="1">IF(НАСТРОЙКИ!$B$5&lt;&gt;"Да",0,IFERROR(SUMIF(INDIRECT("'["&amp;НАСТРОЙКИ!$D$5&amp;"]CF'!$L$3:$EO$3"),G$22,INDIRECT("'["&amp;НАСТРОЙКИ!$D$5&amp;"]CF'!$L$65:$EO$65")),0))</f>
        <v>0</v>
      </c>
      <c r="H50" s="35">
        <f ca="1">IF(НАСТРОЙКИ!$B$5&lt;&gt;"Да",0,IFERROR(SUMIF(INDIRECT("'["&amp;НАСТРОЙКИ!$D$5&amp;"]CF'!$L$3:$EO$3"),H$22,INDIRECT("'["&amp;НАСТРОЙКИ!$D$5&amp;"]CF'!$L$65:$EO$65")),0))</f>
        <v>0</v>
      </c>
      <c r="I50" s="35">
        <f ca="1">IF(НАСТРОЙКИ!$B$5&lt;&gt;"Да",0,IFERROR(SUMIF(INDIRECT("'["&amp;НАСТРОЙКИ!$D$5&amp;"]CF'!$L$3:$EO$3"),I$22,INDIRECT("'["&amp;НАСТРОЙКИ!$D$5&amp;"]CF'!$L$65:$EO$65")),0))</f>
        <v>0</v>
      </c>
      <c r="J50" s="35">
        <f ca="1">IF(НАСТРОЙКИ!$B$5&lt;&gt;"Да",0,IFERROR(SUMIF(INDIRECT("'["&amp;НАСТРОЙКИ!$D$5&amp;"]CF'!$L$3:$EO$3"),J$22,INDIRECT("'["&amp;НАСТРОЙКИ!$D$5&amp;"]CF'!$L$65:$EO$65")),0))</f>
        <v>0</v>
      </c>
      <c r="K50" s="35">
        <f ca="1">IF(НАСТРОЙКИ!$B$5&lt;&gt;"Да",0,IFERROR(SUMIF(INDIRECT("'["&amp;НАСТРОЙКИ!$D$5&amp;"]CF'!$L$3:$EO$3"),K$22,INDIRECT("'["&amp;НАСТРОЙКИ!$D$5&amp;"]CF'!$L$65:$EO$65")),0))</f>
        <v>0</v>
      </c>
      <c r="L50" s="35">
        <f ca="1">IF(НАСТРОЙКИ!$B$5&lt;&gt;"Да",0,IFERROR(SUMIF(INDIRECT("'["&amp;НАСТРОЙКИ!$D$5&amp;"]CF'!$L$3:$EO$3"),L$22,INDIRECT("'["&amp;НАСТРОЙКИ!$D$5&amp;"]CF'!$L$65:$EO$65")),0))</f>
        <v>0</v>
      </c>
      <c r="M50" s="35">
        <f ca="1">IF(НАСТРОЙКИ!$B$5&lt;&gt;"Да",0,IFERROR(SUMIF(INDIRECT("'["&amp;НАСТРОЙКИ!$D$5&amp;"]CF'!$L$3:$EO$3"),M$22,INDIRECT("'["&amp;НАСТРОЙКИ!$D$5&amp;"]CF'!$L$65:$EO$65")),0))</f>
        <v>0</v>
      </c>
      <c r="N50" s="35">
        <f ca="1">IF(НАСТРОЙКИ!$B$5&lt;&gt;"Да",0,IFERROR(SUMIF(INDIRECT("'["&amp;НАСТРОЙКИ!$D$5&amp;"]CF'!$L$3:$EO$3"),N$22,INDIRECT("'["&amp;НАСТРОЙКИ!$D$5&amp;"]CF'!$L$65:$EO$65")),0))</f>
        <v>0</v>
      </c>
      <c r="O50" s="35">
        <f ca="1">IF(НАСТРОЙКИ!$B$5&lt;&gt;"Да",0,IFERROR(SUMIF(INDIRECT("'["&amp;НАСТРОЙКИ!$D$5&amp;"]CF'!$L$3:$EO$3"),O$22,INDIRECT("'["&amp;НАСТРОЙКИ!$D$5&amp;"]CF'!$L$65:$EO$65")),0))</f>
        <v>0</v>
      </c>
      <c r="P50" s="35">
        <f ca="1">IF(НАСТРОЙКИ!$B$5&lt;&gt;"Да",0,IFERROR(SUMIF(INDIRECT("'["&amp;НАСТРОЙКИ!$D$5&amp;"]CF'!$L$3:$EO$3"),P$22,INDIRECT("'["&amp;НАСТРОЙКИ!$D$5&amp;"]CF'!$L$65:$EO$65")),0))</f>
        <v>0</v>
      </c>
      <c r="Q50" s="35">
        <f ca="1">IF(НАСТРОЙКИ!$B$5&lt;&gt;"Да",0,IFERROR(SUMIF(INDIRECT("'["&amp;НАСТРОЙКИ!$D$5&amp;"]CF'!$L$3:$EO$3"),Q$22,INDIRECT("'["&amp;НАСТРОЙКИ!$D$5&amp;"]CF'!$L$65:$EO$65")),0))</f>
        <v>0</v>
      </c>
      <c r="R50" s="35">
        <f ca="1">IF(НАСТРОЙКИ!$B$5&lt;&gt;"Да",0,IFERROR(SUMIF(INDIRECT("'["&amp;НАСТРОЙКИ!$D$5&amp;"]CF'!$L$3:$EO$3"),R$22,INDIRECT("'["&amp;НАСТРОЙКИ!$D$5&amp;"]CF'!$L$65:$EO$65")),0))</f>
        <v>0</v>
      </c>
      <c r="S50" s="35">
        <f ca="1">IF(НАСТРОЙКИ!$B$5&lt;&gt;"Да",0,IFERROR(SUMIF(INDIRECT("'["&amp;НАСТРОЙКИ!$D$5&amp;"]CF'!$L$3:$EO$3"),S$22,INDIRECT("'["&amp;НАСТРОЙКИ!$D$5&amp;"]CF'!$L$65:$EO$65")),0))</f>
        <v>0</v>
      </c>
      <c r="T50" s="35">
        <f ca="1">IF(НАСТРОЙКИ!$B$5&lt;&gt;"Да",0,IFERROR(SUMIF(INDIRECT("'["&amp;НАСТРОЙКИ!$D$5&amp;"]CF'!$L$3:$EO$3"),T$22,INDIRECT("'["&amp;НАСТРОЙКИ!$D$5&amp;"]CF'!$L$65:$EO$65")),0))</f>
        <v>0</v>
      </c>
      <c r="U50" s="35">
        <f ca="1">IF(НАСТРОЙКИ!$B$5&lt;&gt;"Да",0,IFERROR(SUMIF(INDIRECT("'["&amp;НАСТРОЙКИ!$D$5&amp;"]CF'!$L$3:$EO$3"),U$22,INDIRECT("'["&amp;НАСТРОЙКИ!$D$5&amp;"]CF'!$L$65:$EO$65")),0))</f>
        <v>0</v>
      </c>
      <c r="V50" s="35">
        <f ca="1">IF(НАСТРОЙКИ!$B$5&lt;&gt;"Да",0,IFERROR(SUMIF(INDIRECT("'["&amp;НАСТРОЙКИ!$D$5&amp;"]CF'!$L$3:$EO$3"),V$22,INDIRECT("'["&amp;НАСТРОЙКИ!$D$5&amp;"]CF'!$L$65:$EO$65")),0))</f>
        <v>0</v>
      </c>
      <c r="W50" s="35">
        <f ca="1">IF(НАСТРОЙКИ!$B$5&lt;&gt;"Да",0,IFERROR(SUMIF(INDIRECT("'["&amp;НАСТРОЙКИ!$D$5&amp;"]CF'!$L$3:$EO$3"),W$22,INDIRECT("'["&amp;НАСТРОЙКИ!$D$5&amp;"]CF'!$L$65:$EO$65")),0))</f>
        <v>0</v>
      </c>
      <c r="X50" s="35">
        <f ca="1">IF(НАСТРОЙКИ!$B$5&lt;&gt;"Да",0,IFERROR(SUMIF(INDIRECT("'["&amp;НАСТРОЙКИ!$D$5&amp;"]CF'!$L$3:$EO$3"),X$22,INDIRECT("'["&amp;НАСТРОЙКИ!$D$5&amp;"]CF'!$L$65:$EO$65")),0))</f>
        <v>0</v>
      </c>
      <c r="Y50" s="35">
        <f ca="1">IF(НАСТРОЙКИ!$B$5&lt;&gt;"Да",0,IFERROR(SUMIF(INDIRECT("'["&amp;НАСТРОЙКИ!$D$5&amp;"]CF'!$L$3:$EO$3"),Y$22,INDIRECT("'["&amp;НАСТРОЙКИ!$D$5&amp;"]CF'!$L$65:$EO$65")),0))</f>
        <v>0</v>
      </c>
      <c r="Z50" s="35">
        <f ca="1">IF(НАСТРОЙКИ!$B$5&lt;&gt;"Да",0,IFERROR(SUMIF(INDIRECT("'["&amp;НАСТРОЙКИ!$D$5&amp;"]CF'!$L$3:$EO$3"),Z$22,INDIRECT("'["&amp;НАСТРОЙКИ!$D$5&amp;"]CF'!$L$65:$EO$65")),0))</f>
        <v>0</v>
      </c>
      <c r="AA50" s="35">
        <f ca="1">IF(НАСТРОЙКИ!$B$5&lt;&gt;"Да",0,IFERROR(SUMIF(INDIRECT("'["&amp;НАСТРОЙКИ!$D$5&amp;"]CF'!$L$3:$EO$3"),AA$22,INDIRECT("'["&amp;НАСТРОЙКИ!$D$5&amp;"]CF'!$L$65:$EO$65")),0))</f>
        <v>0</v>
      </c>
      <c r="AB50" s="35">
        <f ca="1">IF(НАСТРОЙКИ!$B$5&lt;&gt;"Да",0,IFERROR(SUMIF(INDIRECT("'["&amp;НАСТРОЙКИ!$D$5&amp;"]CF'!$L$3:$EO$3"),AB$22,INDIRECT("'["&amp;НАСТРОЙКИ!$D$5&amp;"]CF'!$L$65:$EO$65")),0))</f>
        <v>0</v>
      </c>
      <c r="AC50" s="35">
        <f ca="1">IF(НАСТРОЙКИ!$B$5&lt;&gt;"Да",0,IFERROR(SUMIF(INDIRECT("'["&amp;НАСТРОЙКИ!$D$5&amp;"]CF'!$L$3:$EO$3"),AC$22,INDIRECT("'["&amp;НАСТРОЙКИ!$D$5&amp;"]CF'!$L$65:$EO$65")),0))</f>
        <v>0</v>
      </c>
      <c r="AD50" s="35">
        <f ca="1">IF(НАСТРОЙКИ!$B$5&lt;&gt;"Да",0,IFERROR(SUMIF(INDIRECT("'["&amp;НАСТРОЙКИ!$D$5&amp;"]CF'!$L$3:$EO$3"),AD$22,INDIRECT("'["&amp;НАСТРОЙКИ!$D$5&amp;"]CF'!$L$65:$EO$65")),0))</f>
        <v>0</v>
      </c>
      <c r="AE50" s="35">
        <f ca="1">IF(НАСТРОЙКИ!$B$5&lt;&gt;"Да",0,IFERROR(SUMIF(INDIRECT("'["&amp;НАСТРОЙКИ!$D$5&amp;"]CF'!$L$3:$EO$3"),AE$22,INDIRECT("'["&amp;НАСТРОЙКИ!$D$5&amp;"]CF'!$L$65:$EO$65")),0))</f>
        <v>0</v>
      </c>
      <c r="AF50" s="35">
        <f ca="1">IF(НАСТРОЙКИ!$B$5&lt;&gt;"Да",0,IFERROR(SUMIF(INDIRECT("'["&amp;НАСТРОЙКИ!$D$5&amp;"]CF'!$L$3:$EO$3"),AF$22,INDIRECT("'["&amp;НАСТРОЙКИ!$D$5&amp;"]CF'!$L$65:$EO$65")),0))</f>
        <v>0</v>
      </c>
      <c r="AG50" s="35">
        <f ca="1">IF(НАСТРОЙКИ!$B$5&lt;&gt;"Да",0,IFERROR(SUMIF(INDIRECT("'["&amp;НАСТРОЙКИ!$D$5&amp;"]CF'!$L$3:$EO$3"),AG$22,INDIRECT("'["&amp;НАСТРОЙКИ!$D$5&amp;"]CF'!$L$65:$EO$65")),0))</f>
        <v>0</v>
      </c>
      <c r="AH50" s="35">
        <f ca="1">IF(НАСТРОЙКИ!$B$5&lt;&gt;"Да",0,IFERROR(SUMIF(INDIRECT("'["&amp;НАСТРОЙКИ!$D$5&amp;"]CF'!$L$3:$EO$3"),AH$22,INDIRECT("'["&amp;НАСТРОЙКИ!$D$5&amp;"]CF'!$L$65:$EO$65")),0))</f>
        <v>0</v>
      </c>
      <c r="AI50" s="35">
        <f ca="1">IF(НАСТРОЙКИ!$B$5&lt;&gt;"Да",0,IFERROR(SUMIF(INDIRECT("'["&amp;НАСТРОЙКИ!$D$5&amp;"]CF'!$L$3:$EO$3"),AI$22,INDIRECT("'["&amp;НАСТРОЙКИ!$D$5&amp;"]CF'!$L$65:$EO$65")),0))</f>
        <v>0</v>
      </c>
      <c r="AJ50" s="35">
        <f ca="1">IF(НАСТРОЙКИ!$B$5&lt;&gt;"Да",0,IFERROR(SUMIF(INDIRECT("'["&amp;НАСТРОЙКИ!$D$5&amp;"]CF'!$L$3:$EO$3"),AJ$22,INDIRECT("'["&amp;НАСТРОЙКИ!$D$5&amp;"]CF'!$L$65:$EO$65")),0))</f>
        <v>0</v>
      </c>
      <c r="AK50" s="35">
        <f ca="1">IF(НАСТРОЙКИ!$B$5&lt;&gt;"Да",0,IFERROR(SUMIF(INDIRECT("'["&amp;НАСТРОЙКИ!$D$5&amp;"]CF'!$L$3:$EO$3"),AK$22,INDIRECT("'["&amp;НАСТРОЙКИ!$D$5&amp;"]CF'!$L$65:$EO$65")),0))</f>
        <v>0</v>
      </c>
      <c r="AL50" s="35">
        <f ca="1">IF(НАСТРОЙКИ!$B$5&lt;&gt;"Да",0,IFERROR(SUMIF(INDIRECT("'["&amp;НАСТРОЙКИ!$D$5&amp;"]CF'!$L$3:$EO$3"),AL$22,INDIRECT("'["&amp;НАСТРОЙКИ!$D$5&amp;"]CF'!$L$65:$EO$65")),0))</f>
        <v>0</v>
      </c>
      <c r="AM50" s="35">
        <f ca="1">IF(НАСТРОЙКИ!$B$5&lt;&gt;"Да",0,IFERROR(SUMIF(INDIRECT("'["&amp;НАСТРОЙКИ!$D$5&amp;"]CF'!$L$3:$EO$3"),AM$22,INDIRECT("'["&amp;НАСТРОЙКИ!$D$5&amp;"]CF'!$L$65:$EO$65")),0))</f>
        <v>0</v>
      </c>
      <c r="AN50" s="35">
        <f ca="1">IF(НАСТРОЙКИ!$B$5&lt;&gt;"Да",0,IFERROR(SUMIF(INDIRECT("'["&amp;НАСТРОЙКИ!$D$5&amp;"]CF'!$L$3:$EO$3"),AN$22,INDIRECT("'["&amp;НАСТРОЙКИ!$D$5&amp;"]CF'!$L$65:$EO$65")),0))</f>
        <v>0</v>
      </c>
      <c r="AO50" s="35">
        <f ca="1">IF(НАСТРОЙКИ!$B$5&lt;&gt;"Да",0,IFERROR(SUMIF(INDIRECT("'["&amp;НАСТРОЙКИ!$D$5&amp;"]CF'!$L$3:$EO$3"),AO$22,INDIRECT("'["&amp;НАСТРОЙКИ!$D$5&amp;"]CF'!$L$65:$EO$65")),0))</f>
        <v>0</v>
      </c>
      <c r="AP50" s="35">
        <f ca="1">IF(НАСТРОЙКИ!$B$5&lt;&gt;"Да",0,IFERROR(SUMIF(INDIRECT("'["&amp;НАСТРОЙКИ!$D$5&amp;"]CF'!$L$3:$EO$3"),AP$22,INDIRECT("'["&amp;НАСТРОЙКИ!$D$5&amp;"]CF'!$L$65:$EO$65")),0))</f>
        <v>0</v>
      </c>
      <c r="AQ50" s="35">
        <f ca="1">IF(НАСТРОЙКИ!$B$5&lt;&gt;"Да",0,IFERROR(SUMIF(INDIRECT("'["&amp;НАСТРОЙКИ!$D$5&amp;"]CF'!$L$3:$EO$3"),AQ$22,INDIRECT("'["&amp;НАСТРОЙКИ!$D$5&amp;"]CF'!$L$65:$EO$65")),0))</f>
        <v>0</v>
      </c>
      <c r="AR50" s="35">
        <f ca="1">IF(НАСТРОЙКИ!$B$5&lt;&gt;"Да",0,IFERROR(SUMIF(INDIRECT("'["&amp;НАСТРОЙКИ!$D$5&amp;"]CF'!$L$3:$EO$3"),AR$22,INDIRECT("'["&amp;НАСТРОЙКИ!$D$5&amp;"]CF'!$L$65:$EO$65")),0))</f>
        <v>0</v>
      </c>
      <c r="AS50" s="35">
        <f ca="1">IF(НАСТРОЙКИ!$B$5&lt;&gt;"Да",0,IFERROR(SUMIF(INDIRECT("'["&amp;НАСТРОЙКИ!$D$5&amp;"]CF'!$L$3:$EO$3"),AS$22,INDIRECT("'["&amp;НАСТРОЙКИ!$D$5&amp;"]CF'!$L$65:$EO$65")),0))</f>
        <v>0</v>
      </c>
      <c r="AT50" s="35">
        <f ca="1">IF(НАСТРОЙКИ!$B$5&lt;&gt;"Да",0,IFERROR(SUMIF(INDIRECT("'["&amp;НАСТРОЙКИ!$D$5&amp;"]CF'!$L$3:$EO$3"),AT$22,INDIRECT("'["&amp;НАСТРОЙКИ!$D$5&amp;"]CF'!$L$65:$EO$65")),0))</f>
        <v>0</v>
      </c>
      <c r="AU50" s="35">
        <f ca="1">IF(НАСТРОЙКИ!$B$5&lt;&gt;"Да",0,IFERROR(SUMIF(INDIRECT("'["&amp;НАСТРОЙКИ!$D$5&amp;"]CF'!$L$3:$EO$3"),AU$22,INDIRECT("'["&amp;НАСТРОЙКИ!$D$5&amp;"]CF'!$L$65:$EO$65")),0))</f>
        <v>0</v>
      </c>
      <c r="AV50" s="35">
        <f ca="1">IF(НАСТРОЙКИ!$B$5&lt;&gt;"Да",0,IFERROR(SUMIF(INDIRECT("'["&amp;НАСТРОЙКИ!$D$5&amp;"]CF'!$L$3:$EO$3"),AV$22,INDIRECT("'["&amp;НАСТРОЙКИ!$D$5&amp;"]CF'!$L$65:$EO$65")),0))</f>
        <v>0</v>
      </c>
      <c r="AW50" s="35">
        <f ca="1">IF(НАСТРОЙКИ!$B$5&lt;&gt;"Да",0,IFERROR(SUMIF(INDIRECT("'["&amp;НАСТРОЙКИ!$D$5&amp;"]CF'!$L$3:$EO$3"),AW$22,INDIRECT("'["&amp;НАСТРОЙКИ!$D$5&amp;"]CF'!$L$65:$EO$65")),0))</f>
        <v>0</v>
      </c>
      <c r="AX50" s="35">
        <f ca="1">IF(НАСТРОЙКИ!$B$5&lt;&gt;"Да",0,IFERROR(SUMIF(INDIRECT("'["&amp;НАСТРОЙКИ!$D$5&amp;"]CF'!$L$3:$EO$3"),AX$22,INDIRECT("'["&amp;НАСТРОЙКИ!$D$5&amp;"]CF'!$L$65:$EO$65")),0))</f>
        <v>0</v>
      </c>
      <c r="AY50" s="35">
        <f ca="1">IF(НАСТРОЙКИ!$B$5&lt;&gt;"Да",0,IFERROR(SUMIF(INDIRECT("'["&amp;НАСТРОЙКИ!$D$5&amp;"]CF'!$L$3:$EO$3"),AY$22,INDIRECT("'["&amp;НАСТРОЙКИ!$D$5&amp;"]CF'!$L$65:$EO$65")),0))</f>
        <v>0</v>
      </c>
      <c r="AZ50" s="35">
        <f ca="1">IF(НАСТРОЙКИ!$B$5&lt;&gt;"Да",0,IFERROR(SUMIF(INDIRECT("'["&amp;НАСТРОЙКИ!$D$5&amp;"]CF'!$L$3:$EO$3"),AZ$22,INDIRECT("'["&amp;НАСТРОЙКИ!$D$5&amp;"]CF'!$L$65:$EO$65")),0))</f>
        <v>0</v>
      </c>
      <c r="BA50" s="35">
        <f ca="1">IF(НАСТРОЙКИ!$B$5&lt;&gt;"Да",0,IFERROR(SUMIF(INDIRECT("'["&amp;НАСТРОЙКИ!$D$5&amp;"]CF'!$L$3:$EO$3"),BA$22,INDIRECT("'["&amp;НАСТРОЙКИ!$D$5&amp;"]CF'!$L$65:$EO$65")),0))</f>
        <v>0</v>
      </c>
      <c r="BB50" s="35">
        <f ca="1">IF(НАСТРОЙКИ!$B$5&lt;&gt;"Да",0,IFERROR(SUMIF(INDIRECT("'["&amp;НАСТРОЙКИ!$D$5&amp;"]CF'!$L$3:$EO$3"),BB$22,INDIRECT("'["&amp;НАСТРОЙКИ!$D$5&amp;"]CF'!$L$65:$EO$65")),0))</f>
        <v>0</v>
      </c>
      <c r="BC50" s="35">
        <f ca="1">IF(НАСТРОЙКИ!$B$5&lt;&gt;"Да",0,IFERROR(SUMIF(INDIRECT("'["&amp;НАСТРОЙКИ!$D$5&amp;"]CF'!$L$3:$EO$3"),BC$22,INDIRECT("'["&amp;НАСТРОЙКИ!$D$5&amp;"]CF'!$L$65:$EO$65")),0))</f>
        <v>0</v>
      </c>
      <c r="BD50" s="35">
        <f ca="1">IF(НАСТРОЙКИ!$B$5&lt;&gt;"Да",0,IFERROR(SUMIF(INDIRECT("'["&amp;НАСТРОЙКИ!$D$5&amp;"]CF'!$L$3:$EO$3"),BD$22,INDIRECT("'["&amp;НАСТРОЙКИ!$D$5&amp;"]CF'!$L$65:$EO$65")),0))</f>
        <v>0</v>
      </c>
      <c r="BE50" s="35">
        <f ca="1">IF(НАСТРОЙКИ!$B$5&lt;&gt;"Да",0,IFERROR(SUMIF(INDIRECT("'["&amp;НАСТРОЙКИ!$D$5&amp;"]CF'!$L$3:$EO$3"),BE$22,INDIRECT("'["&amp;НАСТРОЙКИ!$D$5&amp;"]CF'!$L$65:$EO$65")),0))</f>
        <v>0</v>
      </c>
      <c r="BF50" s="35">
        <f ca="1">IF(НАСТРОЙКИ!$B$5&lt;&gt;"Да",0,IFERROR(SUMIF(INDIRECT("'["&amp;НАСТРОЙКИ!$D$5&amp;"]CF'!$L$3:$EO$3"),BF$22,INDIRECT("'["&amp;НАСТРОЙКИ!$D$5&amp;"]CF'!$L$65:$EO$65")),0))</f>
        <v>0</v>
      </c>
      <c r="BG50" s="35">
        <f ca="1">IF(НАСТРОЙКИ!$B$5&lt;&gt;"Да",0,IFERROR(SUMIF(INDIRECT("'["&amp;НАСТРОЙКИ!$D$5&amp;"]CF'!$L$3:$EO$3"),BG$22,INDIRECT("'["&amp;НАСТРОЙКИ!$D$5&amp;"]CF'!$L$65:$EO$65")),0))</f>
        <v>0</v>
      </c>
      <c r="BH50" s="35">
        <f ca="1">IF(НАСТРОЙКИ!$B$5&lt;&gt;"Да",0,IFERROR(SUMIF(INDIRECT("'["&amp;НАСТРОЙКИ!$D$5&amp;"]CF'!$L$3:$EO$3"),BH$22,INDIRECT("'["&amp;НАСТРОЙКИ!$D$5&amp;"]CF'!$L$65:$EO$65")),0))</f>
        <v>0</v>
      </c>
      <c r="BI50" s="35">
        <f ca="1">IF(НАСТРОЙКИ!$B$5&lt;&gt;"Да",0,IFERROR(SUMIF(INDIRECT("'["&amp;НАСТРОЙКИ!$D$5&amp;"]CF'!$L$3:$EO$3"),BI$22,INDIRECT("'["&amp;НАСТРОЙКИ!$D$5&amp;"]CF'!$L$65:$EO$65")),0))</f>
        <v>0</v>
      </c>
      <c r="BJ50" s="35">
        <f ca="1">IF(НАСТРОЙКИ!$B$5&lt;&gt;"Да",0,IFERROR(SUMIF(INDIRECT("'["&amp;НАСТРОЙКИ!$D$5&amp;"]CF'!$L$3:$EO$3"),BJ$22,INDIRECT("'["&amp;НАСТРОЙКИ!$D$5&amp;"]CF'!$L$65:$EO$65")),0))</f>
        <v>0</v>
      </c>
      <c r="BK50" s="35">
        <f ca="1">IF(НАСТРОЙКИ!$B$5&lt;&gt;"Да",0,IFERROR(SUMIF(INDIRECT("'["&amp;НАСТРОЙКИ!$D$5&amp;"]CF'!$L$3:$EO$3"),BK$22,INDIRECT("'["&amp;НАСТРОЙКИ!$D$5&amp;"]CF'!$L$65:$EO$65")),0))</f>
        <v>0</v>
      </c>
      <c r="BL50" s="35">
        <f ca="1">IF(НАСТРОЙКИ!$B$5&lt;&gt;"Да",0,IFERROR(SUMIF(INDIRECT("'["&amp;НАСТРОЙКИ!$D$5&amp;"]CF'!$L$3:$EO$3"),BL$22,INDIRECT("'["&amp;НАСТРОЙКИ!$D$5&amp;"]CF'!$L$65:$EO$65")),0))</f>
        <v>0</v>
      </c>
      <c r="BM50" s="35">
        <f ca="1">IF(НАСТРОЙКИ!$B$5&lt;&gt;"Да",0,IFERROR(SUMIF(INDIRECT("'["&amp;НАСТРОЙКИ!$D$5&amp;"]CF'!$L$3:$EO$3"),BM$22,INDIRECT("'["&amp;НАСТРОЙКИ!$D$5&amp;"]CF'!$L$65:$EO$65")),0))</f>
        <v>0</v>
      </c>
      <c r="BN50" s="35">
        <f ca="1">IF(НАСТРОЙКИ!$B$5&lt;&gt;"Да",0,IFERROR(SUMIF(INDIRECT("'["&amp;НАСТРОЙКИ!$D$5&amp;"]CF'!$L$3:$EO$3"),BN$22,INDIRECT("'["&amp;НАСТРОЙКИ!$D$5&amp;"]CF'!$L$65:$EO$65")),0))</f>
        <v>0</v>
      </c>
      <c r="BO50" s="35">
        <f ca="1">IF(НАСТРОЙКИ!$B$5&lt;&gt;"Да",0,IFERROR(SUMIF(INDIRECT("'["&amp;НАСТРОЙКИ!$D$5&amp;"]CF'!$L$3:$EO$3"),BO$22,INDIRECT("'["&amp;НАСТРОЙКИ!$D$5&amp;"]CF'!$L$65:$EO$65")),0))</f>
        <v>0</v>
      </c>
      <c r="BP50" s="35">
        <f ca="1">IF(НАСТРОЙКИ!$B$5&lt;&gt;"Да",0,IFERROR(SUMIF(INDIRECT("'["&amp;НАСТРОЙКИ!$D$5&amp;"]CF'!$L$3:$EO$3"),BP$22,INDIRECT("'["&amp;НАСТРОЙКИ!$D$5&amp;"]CF'!$L$65:$EO$65")),0))</f>
        <v>0</v>
      </c>
      <c r="BQ50" s="35">
        <f ca="1">IF(НАСТРОЙКИ!$B$5&lt;&gt;"Да",0,IFERROR(SUMIF(INDIRECT("'["&amp;НАСТРОЙКИ!$D$5&amp;"]CF'!$L$3:$EO$3"),BQ$22,INDIRECT("'["&amp;НАСТРОЙКИ!$D$5&amp;"]CF'!$L$65:$EO$65")),0))</f>
        <v>0</v>
      </c>
      <c r="BR50" s="35">
        <f ca="1">IF(НАСТРОЙКИ!$B$5&lt;&gt;"Да",0,IFERROR(SUMIF(INDIRECT("'["&amp;НАСТРОЙКИ!$D$5&amp;"]CF'!$L$3:$EO$3"),BR$22,INDIRECT("'["&amp;НАСТРОЙКИ!$D$5&amp;"]CF'!$L$65:$EO$65")),0))</f>
        <v>0</v>
      </c>
      <c r="BS50" s="35">
        <f ca="1">IF(НАСТРОЙКИ!$B$5&lt;&gt;"Да",0,IFERROR(SUMIF(INDIRECT("'["&amp;НАСТРОЙКИ!$D$5&amp;"]CF'!$L$3:$EO$3"),BS$22,INDIRECT("'["&amp;НАСТРОЙКИ!$D$5&amp;"]CF'!$L$65:$EO$65")),0))</f>
        <v>0</v>
      </c>
      <c r="BT50" s="35">
        <f ca="1">IF(НАСТРОЙКИ!$B$5&lt;&gt;"Да",0,IFERROR(SUMIF(INDIRECT("'["&amp;НАСТРОЙКИ!$D$5&amp;"]CF'!$L$3:$EO$3"),BT$22,INDIRECT("'["&amp;НАСТРОЙКИ!$D$5&amp;"]CF'!$L$65:$EO$65")),0))</f>
        <v>0</v>
      </c>
      <c r="BU50" s="35">
        <f ca="1">IF(НАСТРОЙКИ!$B$5&lt;&gt;"Да",0,IFERROR(SUMIF(INDIRECT("'["&amp;НАСТРОЙКИ!$D$5&amp;"]CF'!$L$3:$EO$3"),BU$22,INDIRECT("'["&amp;НАСТРОЙКИ!$D$5&amp;"]CF'!$L$65:$EO$65")),0))</f>
        <v>0</v>
      </c>
      <c r="BV50" s="35">
        <f ca="1">IF(НАСТРОЙКИ!$B$5&lt;&gt;"Да",0,IFERROR(SUMIF(INDIRECT("'["&amp;НАСТРОЙКИ!$D$5&amp;"]CF'!$L$3:$EO$3"),BV$22,INDIRECT("'["&amp;НАСТРОЙКИ!$D$5&amp;"]CF'!$L$65:$EO$65")),0))</f>
        <v>0</v>
      </c>
      <c r="BW50" s="35">
        <f ca="1">IF(НАСТРОЙКИ!$B$5&lt;&gt;"Да",0,IFERROR(SUMIF(INDIRECT("'["&amp;НАСТРОЙКИ!$D$5&amp;"]CF'!$L$3:$EO$3"),BW$22,INDIRECT("'["&amp;НАСТРОЙКИ!$D$5&amp;"]CF'!$L$65:$EO$65")),0))</f>
        <v>0</v>
      </c>
      <c r="BX50" s="35">
        <f ca="1">IF(НАСТРОЙКИ!$B$5&lt;&gt;"Да",0,IFERROR(SUMIF(INDIRECT("'["&amp;НАСТРОЙКИ!$D$5&amp;"]CF'!$L$3:$EO$3"),BX$22,INDIRECT("'["&amp;НАСТРОЙКИ!$D$5&amp;"]CF'!$L$65:$EO$65")),0))</f>
        <v>0</v>
      </c>
      <c r="BY50" s="35">
        <f ca="1">IF(НАСТРОЙКИ!$B$5&lt;&gt;"Да",0,IFERROR(SUMIF(INDIRECT("'["&amp;НАСТРОЙКИ!$D$5&amp;"]CF'!$L$3:$EO$3"),BY$22,INDIRECT("'["&amp;НАСТРОЙКИ!$D$5&amp;"]CF'!$L$65:$EO$65")),0))</f>
        <v>0</v>
      </c>
      <c r="BZ50" s="35">
        <f ca="1">IF(НАСТРОЙКИ!$B$5&lt;&gt;"Да",0,IFERROR(SUMIF(INDIRECT("'["&amp;НАСТРОЙКИ!$D$5&amp;"]CF'!$L$3:$EO$3"),BZ$22,INDIRECT("'["&amp;НАСТРОЙКИ!$D$5&amp;"]CF'!$L$65:$EO$65")),0))</f>
        <v>0</v>
      </c>
      <c r="CA50" s="35">
        <f ca="1">IF(НАСТРОЙКИ!$B$5&lt;&gt;"Да",0,IFERROR(SUMIF(INDIRECT("'["&amp;НАСТРОЙКИ!$D$5&amp;"]CF'!$L$3:$EO$3"),CA$22,INDIRECT("'["&amp;НАСТРОЙКИ!$D$5&amp;"]CF'!$L$65:$EO$65")),0))</f>
        <v>0</v>
      </c>
      <c r="CB50" s="35">
        <f ca="1">IF(НАСТРОЙКИ!$B$5&lt;&gt;"Да",0,IFERROR(SUMIF(INDIRECT("'["&amp;НАСТРОЙКИ!$D$5&amp;"]CF'!$L$3:$EO$3"),CB$22,INDIRECT("'["&amp;НАСТРОЙКИ!$D$5&amp;"]CF'!$L$65:$EO$65")),0))</f>
        <v>0</v>
      </c>
      <c r="CC50" s="35">
        <f ca="1">IF(НАСТРОЙКИ!$B$5&lt;&gt;"Да",0,IFERROR(SUMIF(INDIRECT("'["&amp;НАСТРОЙКИ!$D$5&amp;"]CF'!$L$3:$EO$3"),CC$22,INDIRECT("'["&amp;НАСТРОЙКИ!$D$5&amp;"]CF'!$L$65:$EO$65")),0))</f>
        <v>0</v>
      </c>
      <c r="CD50" s="35">
        <f ca="1">IF(НАСТРОЙКИ!$B$5&lt;&gt;"Да",0,IFERROR(SUMIF(INDIRECT("'["&amp;НАСТРОЙКИ!$D$5&amp;"]CF'!$L$3:$EO$3"),CD$22,INDIRECT("'["&amp;НАСТРОЙКИ!$D$5&amp;"]CF'!$L$65:$EO$65")),0))</f>
        <v>0</v>
      </c>
      <c r="CE50" s="35">
        <f ca="1">IF(НАСТРОЙКИ!$B$5&lt;&gt;"Да",0,IFERROR(SUMIF(INDIRECT("'["&amp;НАСТРОЙКИ!$D$5&amp;"]CF'!$L$3:$EO$3"),CE$22,INDIRECT("'["&amp;НАСТРОЙКИ!$D$5&amp;"]CF'!$L$65:$EO$65")),0))</f>
        <v>0</v>
      </c>
      <c r="CF50" s="35">
        <f ca="1">IF(НАСТРОЙКИ!$B$5&lt;&gt;"Да",0,IFERROR(SUMIF(INDIRECT("'["&amp;НАСТРОЙКИ!$D$5&amp;"]CF'!$L$3:$EO$3"),CF$22,INDIRECT("'["&amp;НАСТРОЙКИ!$D$5&amp;"]CF'!$L$65:$EO$65")),0))</f>
        <v>0</v>
      </c>
      <c r="CG50" s="35">
        <f ca="1">IF(НАСТРОЙКИ!$B$5&lt;&gt;"Да",0,IFERROR(SUMIF(INDIRECT("'["&amp;НАСТРОЙКИ!$D$5&amp;"]CF'!$L$3:$EO$3"),CG$22,INDIRECT("'["&amp;НАСТРОЙКИ!$D$5&amp;"]CF'!$L$65:$EO$65")),0))</f>
        <v>0</v>
      </c>
      <c r="CH50" s="35">
        <f ca="1">IF(НАСТРОЙКИ!$B$5&lt;&gt;"Да",0,IFERROR(SUMIF(INDIRECT("'["&amp;НАСТРОЙКИ!$D$5&amp;"]CF'!$L$3:$EO$3"),CH$22,INDIRECT("'["&amp;НАСТРОЙКИ!$D$5&amp;"]CF'!$L$65:$EO$65")),0))</f>
        <v>0</v>
      </c>
      <c r="CI50" s="35">
        <f ca="1">IF(НАСТРОЙКИ!$B$5&lt;&gt;"Да",0,IFERROR(SUMIF(INDIRECT("'["&amp;НАСТРОЙКИ!$D$5&amp;"]CF'!$L$3:$EO$3"),CI$22,INDIRECT("'["&amp;НАСТРОЙКИ!$D$5&amp;"]CF'!$L$65:$EO$65")),0))</f>
        <v>0</v>
      </c>
      <c r="CJ50" s="35">
        <f ca="1">IF(НАСТРОЙКИ!$B$5&lt;&gt;"Да",0,IFERROR(SUMIF(INDIRECT("'["&amp;НАСТРОЙКИ!$D$5&amp;"]CF'!$L$3:$EO$3"),CJ$22,INDIRECT("'["&amp;НАСТРОЙКИ!$D$5&amp;"]CF'!$L$65:$EO$65")),0))</f>
        <v>0</v>
      </c>
      <c r="CK50" s="35">
        <f ca="1">IF(НАСТРОЙКИ!$B$5&lt;&gt;"Да",0,IFERROR(SUMIF(INDIRECT("'["&amp;НАСТРОЙКИ!$D$5&amp;"]CF'!$L$3:$EO$3"),CK$22,INDIRECT("'["&amp;НАСТРОЙКИ!$D$5&amp;"]CF'!$L$65:$EO$65")),0))</f>
        <v>0</v>
      </c>
      <c r="CL50" s="35">
        <f ca="1">IF(НАСТРОЙКИ!$B$5&lt;&gt;"Да",0,IFERROR(SUMIF(INDIRECT("'["&amp;НАСТРОЙКИ!$D$5&amp;"]CF'!$L$3:$EO$3"),CL$22,INDIRECT("'["&amp;НАСТРОЙКИ!$D$5&amp;"]CF'!$L$65:$EO$65")),0))</f>
        <v>0</v>
      </c>
      <c r="CM50" s="35">
        <f ca="1">IF(НАСТРОЙКИ!$B$5&lt;&gt;"Да",0,IFERROR(SUMIF(INDIRECT("'["&amp;НАСТРОЙКИ!$D$5&amp;"]CF'!$L$3:$EO$3"),CM$22,INDIRECT("'["&amp;НАСТРОЙКИ!$D$5&amp;"]CF'!$L$65:$EO$65")),0))</f>
        <v>0</v>
      </c>
      <c r="CN50" s="35">
        <f ca="1">IF(НАСТРОЙКИ!$B$5&lt;&gt;"Да",0,IFERROR(SUMIF(INDIRECT("'["&amp;НАСТРОЙКИ!$D$5&amp;"]CF'!$L$3:$EO$3"),CN$22,INDIRECT("'["&amp;НАСТРОЙКИ!$D$5&amp;"]CF'!$L$65:$EO$65")),0))</f>
        <v>0</v>
      </c>
      <c r="CO50" s="35">
        <f ca="1">IF(НАСТРОЙКИ!$B$5&lt;&gt;"Да",0,IFERROR(SUMIF(INDIRECT("'["&amp;НАСТРОЙКИ!$D$5&amp;"]CF'!$L$3:$EO$3"),CO$22,INDIRECT("'["&amp;НАСТРОЙКИ!$D$5&amp;"]CF'!$L$65:$EO$65")),0))</f>
        <v>0</v>
      </c>
      <c r="CP50" s="35">
        <f ca="1">IF(НАСТРОЙКИ!$B$5&lt;&gt;"Да",0,IFERROR(SUMIF(INDIRECT("'["&amp;НАСТРОЙКИ!$D$5&amp;"]CF'!$L$3:$EO$3"),CP$22,INDIRECT("'["&amp;НАСТРОЙКИ!$D$5&amp;"]CF'!$L$65:$EO$65")),0))</f>
        <v>0</v>
      </c>
      <c r="CQ50" s="35">
        <f ca="1">IF(НАСТРОЙКИ!$B$5&lt;&gt;"Да",0,IFERROR(SUMIF(INDIRECT("'["&amp;НАСТРОЙКИ!$D$5&amp;"]CF'!$L$3:$EO$3"),CQ$22,INDIRECT("'["&amp;НАСТРОЙКИ!$D$5&amp;"]CF'!$L$65:$EO$65")),0))</f>
        <v>0</v>
      </c>
      <c r="CR50" s="35">
        <f ca="1">IF(НАСТРОЙКИ!$B$5&lt;&gt;"Да",0,IFERROR(SUMIF(INDIRECT("'["&amp;НАСТРОЙКИ!$D$5&amp;"]CF'!$L$3:$EO$3"),CR$22,INDIRECT("'["&amp;НАСТРОЙКИ!$D$5&amp;"]CF'!$L$65:$EO$65")),0))</f>
        <v>0</v>
      </c>
      <c r="CS50" s="35">
        <f ca="1">IF(НАСТРОЙКИ!$B$5&lt;&gt;"Да",0,IFERROR(SUMIF(INDIRECT("'["&amp;НАСТРОЙКИ!$D$5&amp;"]CF'!$L$3:$EO$3"),CS$22,INDIRECT("'["&amp;НАСТРОЙКИ!$D$5&amp;"]CF'!$L$65:$EO$65")),0))</f>
        <v>0</v>
      </c>
      <c r="CT50" s="35">
        <f ca="1">IF(НАСТРОЙКИ!$B$5&lt;&gt;"Да",0,IFERROR(SUMIF(INDIRECT("'["&amp;НАСТРОЙКИ!$D$5&amp;"]CF'!$L$3:$EO$3"),CT$22,INDIRECT("'["&amp;НАСТРОЙКИ!$D$5&amp;"]CF'!$L$65:$EO$65")),0))</f>
        <v>0</v>
      </c>
      <c r="CU50" s="35">
        <f ca="1">IF(НАСТРОЙКИ!$B$5&lt;&gt;"Да",0,IFERROR(SUMIF(INDIRECT("'["&amp;НАСТРОЙКИ!$D$5&amp;"]CF'!$L$3:$EO$3"),CU$22,INDIRECT("'["&amp;НАСТРОЙКИ!$D$5&amp;"]CF'!$L$65:$EO$65")),0))</f>
        <v>0</v>
      </c>
      <c r="CV50" s="35">
        <f ca="1">IF(НАСТРОЙКИ!$B$5&lt;&gt;"Да",0,IFERROR(SUMIF(INDIRECT("'["&amp;НАСТРОЙКИ!$D$5&amp;"]CF'!$L$3:$EO$3"),CV$22,INDIRECT("'["&amp;НАСТРОЙКИ!$D$5&amp;"]CF'!$L$65:$EO$65")),0))</f>
        <v>0</v>
      </c>
      <c r="CW50" s="35">
        <f ca="1">IF(НАСТРОЙКИ!$B$5&lt;&gt;"Да",0,IFERROR(SUMIF(INDIRECT("'["&amp;НАСТРОЙКИ!$D$5&amp;"]CF'!$L$3:$EO$3"),CW$22,INDIRECT("'["&amp;НАСТРОЙКИ!$D$5&amp;"]CF'!$L$65:$EO$65")),0))</f>
        <v>0</v>
      </c>
      <c r="CX50" s="35">
        <f ca="1">IF(НАСТРОЙКИ!$B$5&lt;&gt;"Да",0,IFERROR(SUMIF(INDIRECT("'["&amp;НАСТРОЙКИ!$D$5&amp;"]CF'!$L$3:$EO$3"),CX$22,INDIRECT("'["&amp;НАСТРОЙКИ!$D$5&amp;"]CF'!$L$65:$EO$65")),0))</f>
        <v>0</v>
      </c>
      <c r="CY50" s="35">
        <f ca="1">IF(НАСТРОЙКИ!$B$5&lt;&gt;"Да",0,IFERROR(SUMIF(INDIRECT("'["&amp;НАСТРОЙКИ!$D$5&amp;"]CF'!$L$3:$EO$3"),CY$22,INDIRECT("'["&amp;НАСТРОЙКИ!$D$5&amp;"]CF'!$L$65:$EO$65")),0))</f>
        <v>0</v>
      </c>
      <c r="CZ50" s="35">
        <f ca="1">IF(НАСТРОЙКИ!$B$5&lt;&gt;"Да",0,IFERROR(SUMIF(INDIRECT("'["&amp;НАСТРОЙКИ!$D$5&amp;"]CF'!$L$3:$EO$3"),CZ$22,INDIRECT("'["&amp;НАСТРОЙКИ!$D$5&amp;"]CF'!$L$65:$EO$65")),0))</f>
        <v>0</v>
      </c>
      <c r="DA50" s="35">
        <f ca="1">IF(НАСТРОЙКИ!$B$5&lt;&gt;"Да",0,IFERROR(SUMIF(INDIRECT("'["&amp;НАСТРОЙКИ!$D$5&amp;"]CF'!$L$3:$EO$3"),DA$22,INDIRECT("'["&amp;НАСТРОЙКИ!$D$5&amp;"]CF'!$L$65:$EO$65")),0))</f>
        <v>0</v>
      </c>
      <c r="DB50" s="35">
        <f ca="1">IF(НАСТРОЙКИ!$B$5&lt;&gt;"Да",0,IFERROR(SUMIF(INDIRECT("'["&amp;НАСТРОЙКИ!$D$5&amp;"]CF'!$L$3:$EO$3"),DB$22,INDIRECT("'["&amp;НАСТРОЙКИ!$D$5&amp;"]CF'!$L$65:$EO$65")),0))</f>
        <v>0</v>
      </c>
      <c r="DC50" s="35">
        <f ca="1">IF(НАСТРОЙКИ!$B$5&lt;&gt;"Да",0,IFERROR(SUMIF(INDIRECT("'["&amp;НАСТРОЙКИ!$D$5&amp;"]CF'!$L$3:$EO$3"),DC$22,INDIRECT("'["&amp;НАСТРОЙКИ!$D$5&amp;"]CF'!$L$65:$EO$65")),0))</f>
        <v>0</v>
      </c>
      <c r="DD50" s="35">
        <f ca="1">IF(НАСТРОЙКИ!$B$5&lt;&gt;"Да",0,IFERROR(SUMIF(INDIRECT("'["&amp;НАСТРОЙКИ!$D$5&amp;"]CF'!$L$3:$EO$3"),DD$22,INDIRECT("'["&amp;НАСТРОЙКИ!$D$5&amp;"]CF'!$L$65:$EO$65")),0))</f>
        <v>0</v>
      </c>
      <c r="DE50" s="35">
        <f ca="1">IF(НАСТРОЙКИ!$B$5&lt;&gt;"Да",0,IFERROR(SUMIF(INDIRECT("'["&amp;НАСТРОЙКИ!$D$5&amp;"]CF'!$L$3:$EO$3"),DE$22,INDIRECT("'["&amp;НАСТРОЙКИ!$D$5&amp;"]CF'!$L$65:$EO$65")),0))</f>
        <v>0</v>
      </c>
      <c r="DF50" s="35">
        <f ca="1">IF(НАСТРОЙКИ!$B$5&lt;&gt;"Да",0,IFERROR(SUMIF(INDIRECT("'["&amp;НАСТРОЙКИ!$D$5&amp;"]CF'!$L$3:$EO$3"),DF$22,INDIRECT("'["&amp;НАСТРОЙКИ!$D$5&amp;"]CF'!$L$65:$EO$65")),0))</f>
        <v>0</v>
      </c>
    </row>
    <row r="51" spans="1:110">
      <c r="A51" s="34" t="s">
        <v>129</v>
      </c>
      <c r="B51" s="34" t="s">
        <v>58</v>
      </c>
      <c r="C51" s="35">
        <f ca="1">IF(НАСТРОЙКИ!$B$5&lt;&gt;"Да",0,IFERROR(SUMIF(INDIRECT("'["&amp;НАСТРОЙКИ!$D$5&amp;"]CF'!$L$3:$EO$3"),C$22,INDIRECT("'["&amp;НАСТРОЙКИ!$D$5&amp;"]CF'!$L$66:$EO$66")),0))</f>
        <v>0</v>
      </c>
      <c r="D51" s="35">
        <f ca="1">IF(НАСТРОЙКИ!$B$5&lt;&gt;"Да",0,IFERROR(SUMIF(INDIRECT("'["&amp;НАСТРОЙКИ!$D$5&amp;"]CF'!$L$3:$EO$3"),D$22,INDIRECT("'["&amp;НАСТРОЙКИ!$D$5&amp;"]CF'!$L$66:$EO$66")),0))</f>
        <v>0</v>
      </c>
      <c r="E51" s="35">
        <f ca="1">IF(НАСТРОЙКИ!$B$5&lt;&gt;"Да",0,IFERROR(SUMIF(INDIRECT("'["&amp;НАСТРОЙКИ!$D$5&amp;"]CF'!$L$3:$EO$3"),E$22,INDIRECT("'["&amp;НАСТРОЙКИ!$D$5&amp;"]CF'!$L$66:$EO$66")),0))</f>
        <v>0</v>
      </c>
      <c r="F51" s="35">
        <f ca="1">IF(НАСТРОЙКИ!$B$5&lt;&gt;"Да",0,IFERROR(SUMIF(INDIRECT("'["&amp;НАСТРОЙКИ!$D$5&amp;"]CF'!$L$3:$EO$3"),F$22,INDIRECT("'["&amp;НАСТРОЙКИ!$D$5&amp;"]CF'!$L$66:$EO$66")),0))</f>
        <v>0</v>
      </c>
      <c r="G51" s="35">
        <f ca="1">IF(НАСТРОЙКИ!$B$5&lt;&gt;"Да",0,IFERROR(SUMIF(INDIRECT("'["&amp;НАСТРОЙКИ!$D$5&amp;"]CF'!$L$3:$EO$3"),G$22,INDIRECT("'["&amp;НАСТРОЙКИ!$D$5&amp;"]CF'!$L$66:$EO$66")),0))</f>
        <v>0</v>
      </c>
      <c r="H51" s="35">
        <f ca="1">IF(НАСТРОЙКИ!$B$5&lt;&gt;"Да",0,IFERROR(SUMIF(INDIRECT("'["&amp;НАСТРОЙКИ!$D$5&amp;"]CF'!$L$3:$EO$3"),H$22,INDIRECT("'["&amp;НАСТРОЙКИ!$D$5&amp;"]CF'!$L$66:$EO$66")),0))</f>
        <v>0</v>
      </c>
      <c r="I51" s="35">
        <f ca="1">IF(НАСТРОЙКИ!$B$5&lt;&gt;"Да",0,IFERROR(SUMIF(INDIRECT("'["&amp;НАСТРОЙКИ!$D$5&amp;"]CF'!$L$3:$EO$3"),I$22,INDIRECT("'["&amp;НАСТРОЙКИ!$D$5&amp;"]CF'!$L$66:$EO$66")),0))</f>
        <v>0</v>
      </c>
      <c r="J51" s="35">
        <f ca="1">IF(НАСТРОЙКИ!$B$5&lt;&gt;"Да",0,IFERROR(SUMIF(INDIRECT("'["&amp;НАСТРОЙКИ!$D$5&amp;"]CF'!$L$3:$EO$3"),J$22,INDIRECT("'["&amp;НАСТРОЙКИ!$D$5&amp;"]CF'!$L$66:$EO$66")),0))</f>
        <v>0</v>
      </c>
      <c r="K51" s="35">
        <f ca="1">IF(НАСТРОЙКИ!$B$5&lt;&gt;"Да",0,IFERROR(SUMIF(INDIRECT("'["&amp;НАСТРОЙКИ!$D$5&amp;"]CF'!$L$3:$EO$3"),K$22,INDIRECT("'["&amp;НАСТРОЙКИ!$D$5&amp;"]CF'!$L$66:$EO$66")),0))</f>
        <v>0</v>
      </c>
      <c r="L51" s="35">
        <f ca="1">IF(НАСТРОЙКИ!$B$5&lt;&gt;"Да",0,IFERROR(SUMIF(INDIRECT("'["&amp;НАСТРОЙКИ!$D$5&amp;"]CF'!$L$3:$EO$3"),L$22,INDIRECT("'["&amp;НАСТРОЙКИ!$D$5&amp;"]CF'!$L$66:$EO$66")),0))</f>
        <v>0</v>
      </c>
      <c r="M51" s="35">
        <f ca="1">IF(НАСТРОЙКИ!$B$5&lt;&gt;"Да",0,IFERROR(SUMIF(INDIRECT("'["&amp;НАСТРОЙКИ!$D$5&amp;"]CF'!$L$3:$EO$3"),M$22,INDIRECT("'["&amp;НАСТРОЙКИ!$D$5&amp;"]CF'!$L$66:$EO$66")),0))</f>
        <v>0</v>
      </c>
      <c r="N51" s="35">
        <f ca="1">IF(НАСТРОЙКИ!$B$5&lt;&gt;"Да",0,IFERROR(SUMIF(INDIRECT("'["&amp;НАСТРОЙКИ!$D$5&amp;"]CF'!$L$3:$EO$3"),N$22,INDIRECT("'["&amp;НАСТРОЙКИ!$D$5&amp;"]CF'!$L$66:$EO$66")),0))</f>
        <v>0</v>
      </c>
      <c r="O51" s="35">
        <f ca="1">IF(НАСТРОЙКИ!$B$5&lt;&gt;"Да",0,IFERROR(SUMIF(INDIRECT("'["&amp;НАСТРОЙКИ!$D$5&amp;"]CF'!$L$3:$EO$3"),O$22,INDIRECT("'["&amp;НАСТРОЙКИ!$D$5&amp;"]CF'!$L$66:$EO$66")),0))</f>
        <v>0</v>
      </c>
      <c r="P51" s="35">
        <f ca="1">IF(НАСТРОЙКИ!$B$5&lt;&gt;"Да",0,IFERROR(SUMIF(INDIRECT("'["&amp;НАСТРОЙКИ!$D$5&amp;"]CF'!$L$3:$EO$3"),P$22,INDIRECT("'["&amp;НАСТРОЙКИ!$D$5&amp;"]CF'!$L$66:$EO$66")),0))</f>
        <v>0</v>
      </c>
      <c r="Q51" s="35">
        <f ca="1">IF(НАСТРОЙКИ!$B$5&lt;&gt;"Да",0,IFERROR(SUMIF(INDIRECT("'["&amp;НАСТРОЙКИ!$D$5&amp;"]CF'!$L$3:$EO$3"),Q$22,INDIRECT("'["&amp;НАСТРОЙКИ!$D$5&amp;"]CF'!$L$66:$EO$66")),0))</f>
        <v>0</v>
      </c>
      <c r="R51" s="35">
        <f ca="1">IF(НАСТРОЙКИ!$B$5&lt;&gt;"Да",0,IFERROR(SUMIF(INDIRECT("'["&amp;НАСТРОЙКИ!$D$5&amp;"]CF'!$L$3:$EO$3"),R$22,INDIRECT("'["&amp;НАСТРОЙКИ!$D$5&amp;"]CF'!$L$66:$EO$66")),0))</f>
        <v>0</v>
      </c>
      <c r="S51" s="35">
        <f ca="1">IF(НАСТРОЙКИ!$B$5&lt;&gt;"Да",0,IFERROR(SUMIF(INDIRECT("'["&amp;НАСТРОЙКИ!$D$5&amp;"]CF'!$L$3:$EO$3"),S$22,INDIRECT("'["&amp;НАСТРОЙКИ!$D$5&amp;"]CF'!$L$66:$EO$66")),0))</f>
        <v>0</v>
      </c>
      <c r="T51" s="35">
        <f ca="1">IF(НАСТРОЙКИ!$B$5&lt;&gt;"Да",0,IFERROR(SUMIF(INDIRECT("'["&amp;НАСТРОЙКИ!$D$5&amp;"]CF'!$L$3:$EO$3"),T$22,INDIRECT("'["&amp;НАСТРОЙКИ!$D$5&amp;"]CF'!$L$66:$EO$66")),0))</f>
        <v>0</v>
      </c>
      <c r="U51" s="35">
        <f ca="1">IF(НАСТРОЙКИ!$B$5&lt;&gt;"Да",0,IFERROR(SUMIF(INDIRECT("'["&amp;НАСТРОЙКИ!$D$5&amp;"]CF'!$L$3:$EO$3"),U$22,INDIRECT("'["&amp;НАСТРОЙКИ!$D$5&amp;"]CF'!$L$66:$EO$66")),0))</f>
        <v>0</v>
      </c>
      <c r="V51" s="35">
        <f ca="1">IF(НАСТРОЙКИ!$B$5&lt;&gt;"Да",0,IFERROR(SUMIF(INDIRECT("'["&amp;НАСТРОЙКИ!$D$5&amp;"]CF'!$L$3:$EO$3"),V$22,INDIRECT("'["&amp;НАСТРОЙКИ!$D$5&amp;"]CF'!$L$66:$EO$66")),0))</f>
        <v>0</v>
      </c>
      <c r="W51" s="35">
        <f ca="1">IF(НАСТРОЙКИ!$B$5&lt;&gt;"Да",0,IFERROR(SUMIF(INDIRECT("'["&amp;НАСТРОЙКИ!$D$5&amp;"]CF'!$L$3:$EO$3"),W$22,INDIRECT("'["&amp;НАСТРОЙКИ!$D$5&amp;"]CF'!$L$66:$EO$66")),0))</f>
        <v>0</v>
      </c>
      <c r="X51" s="35">
        <f ca="1">IF(НАСТРОЙКИ!$B$5&lt;&gt;"Да",0,IFERROR(SUMIF(INDIRECT("'["&amp;НАСТРОЙКИ!$D$5&amp;"]CF'!$L$3:$EO$3"),X$22,INDIRECT("'["&amp;НАСТРОЙКИ!$D$5&amp;"]CF'!$L$66:$EO$66")),0))</f>
        <v>0</v>
      </c>
      <c r="Y51" s="35">
        <f ca="1">IF(НАСТРОЙКИ!$B$5&lt;&gt;"Да",0,IFERROR(SUMIF(INDIRECT("'["&amp;НАСТРОЙКИ!$D$5&amp;"]CF'!$L$3:$EO$3"),Y$22,INDIRECT("'["&amp;НАСТРОЙКИ!$D$5&amp;"]CF'!$L$66:$EO$66")),0))</f>
        <v>0</v>
      </c>
      <c r="Z51" s="35">
        <f ca="1">IF(НАСТРОЙКИ!$B$5&lt;&gt;"Да",0,IFERROR(SUMIF(INDIRECT("'["&amp;НАСТРОЙКИ!$D$5&amp;"]CF'!$L$3:$EO$3"),Z$22,INDIRECT("'["&amp;НАСТРОЙКИ!$D$5&amp;"]CF'!$L$66:$EO$66")),0))</f>
        <v>0</v>
      </c>
      <c r="AA51" s="35">
        <f ca="1">IF(НАСТРОЙКИ!$B$5&lt;&gt;"Да",0,IFERROR(SUMIF(INDIRECT("'["&amp;НАСТРОЙКИ!$D$5&amp;"]CF'!$L$3:$EO$3"),AA$22,INDIRECT("'["&amp;НАСТРОЙКИ!$D$5&amp;"]CF'!$L$66:$EO$66")),0))</f>
        <v>0</v>
      </c>
      <c r="AB51" s="35">
        <f ca="1">IF(НАСТРОЙКИ!$B$5&lt;&gt;"Да",0,IFERROR(SUMIF(INDIRECT("'["&amp;НАСТРОЙКИ!$D$5&amp;"]CF'!$L$3:$EO$3"),AB$22,INDIRECT("'["&amp;НАСТРОЙКИ!$D$5&amp;"]CF'!$L$66:$EO$66")),0))</f>
        <v>0</v>
      </c>
      <c r="AC51" s="35">
        <f ca="1">IF(НАСТРОЙКИ!$B$5&lt;&gt;"Да",0,IFERROR(SUMIF(INDIRECT("'["&amp;НАСТРОЙКИ!$D$5&amp;"]CF'!$L$3:$EO$3"),AC$22,INDIRECT("'["&amp;НАСТРОЙКИ!$D$5&amp;"]CF'!$L$66:$EO$66")),0))</f>
        <v>0</v>
      </c>
      <c r="AD51" s="35">
        <f ca="1">IF(НАСТРОЙКИ!$B$5&lt;&gt;"Да",0,IFERROR(SUMIF(INDIRECT("'["&amp;НАСТРОЙКИ!$D$5&amp;"]CF'!$L$3:$EO$3"),AD$22,INDIRECT("'["&amp;НАСТРОЙКИ!$D$5&amp;"]CF'!$L$66:$EO$66")),0))</f>
        <v>0</v>
      </c>
      <c r="AE51" s="35">
        <f ca="1">IF(НАСТРОЙКИ!$B$5&lt;&gt;"Да",0,IFERROR(SUMIF(INDIRECT("'["&amp;НАСТРОЙКИ!$D$5&amp;"]CF'!$L$3:$EO$3"),AE$22,INDIRECT("'["&amp;НАСТРОЙКИ!$D$5&amp;"]CF'!$L$66:$EO$66")),0))</f>
        <v>0</v>
      </c>
      <c r="AF51" s="35">
        <f ca="1">IF(НАСТРОЙКИ!$B$5&lt;&gt;"Да",0,IFERROR(SUMIF(INDIRECT("'["&amp;НАСТРОЙКИ!$D$5&amp;"]CF'!$L$3:$EO$3"),AF$22,INDIRECT("'["&amp;НАСТРОЙКИ!$D$5&amp;"]CF'!$L$66:$EO$66")),0))</f>
        <v>0</v>
      </c>
      <c r="AG51" s="35">
        <f ca="1">IF(НАСТРОЙКИ!$B$5&lt;&gt;"Да",0,IFERROR(SUMIF(INDIRECT("'["&amp;НАСТРОЙКИ!$D$5&amp;"]CF'!$L$3:$EO$3"),AG$22,INDIRECT("'["&amp;НАСТРОЙКИ!$D$5&amp;"]CF'!$L$66:$EO$66")),0))</f>
        <v>0</v>
      </c>
      <c r="AH51" s="35">
        <f ca="1">IF(НАСТРОЙКИ!$B$5&lt;&gt;"Да",0,IFERROR(SUMIF(INDIRECT("'["&amp;НАСТРОЙКИ!$D$5&amp;"]CF'!$L$3:$EO$3"),AH$22,INDIRECT("'["&amp;НАСТРОЙКИ!$D$5&amp;"]CF'!$L$66:$EO$66")),0))</f>
        <v>0</v>
      </c>
      <c r="AI51" s="35">
        <f ca="1">IF(НАСТРОЙКИ!$B$5&lt;&gt;"Да",0,IFERROR(SUMIF(INDIRECT("'["&amp;НАСТРОЙКИ!$D$5&amp;"]CF'!$L$3:$EO$3"),AI$22,INDIRECT("'["&amp;НАСТРОЙКИ!$D$5&amp;"]CF'!$L$66:$EO$66")),0))</f>
        <v>0</v>
      </c>
      <c r="AJ51" s="35">
        <f ca="1">IF(НАСТРОЙКИ!$B$5&lt;&gt;"Да",0,IFERROR(SUMIF(INDIRECT("'["&amp;НАСТРОЙКИ!$D$5&amp;"]CF'!$L$3:$EO$3"),AJ$22,INDIRECT("'["&amp;НАСТРОЙКИ!$D$5&amp;"]CF'!$L$66:$EO$66")),0))</f>
        <v>0</v>
      </c>
      <c r="AK51" s="35">
        <f ca="1">IF(НАСТРОЙКИ!$B$5&lt;&gt;"Да",0,IFERROR(SUMIF(INDIRECT("'["&amp;НАСТРОЙКИ!$D$5&amp;"]CF'!$L$3:$EO$3"),AK$22,INDIRECT("'["&amp;НАСТРОЙКИ!$D$5&amp;"]CF'!$L$66:$EO$66")),0))</f>
        <v>0</v>
      </c>
      <c r="AL51" s="35">
        <f ca="1">IF(НАСТРОЙКИ!$B$5&lt;&gt;"Да",0,IFERROR(SUMIF(INDIRECT("'["&amp;НАСТРОЙКИ!$D$5&amp;"]CF'!$L$3:$EO$3"),AL$22,INDIRECT("'["&amp;НАСТРОЙКИ!$D$5&amp;"]CF'!$L$66:$EO$66")),0))</f>
        <v>0</v>
      </c>
      <c r="AM51" s="35">
        <f ca="1">IF(НАСТРОЙКИ!$B$5&lt;&gt;"Да",0,IFERROR(SUMIF(INDIRECT("'["&amp;НАСТРОЙКИ!$D$5&amp;"]CF'!$L$3:$EO$3"),AM$22,INDIRECT("'["&amp;НАСТРОЙКИ!$D$5&amp;"]CF'!$L$66:$EO$66")),0))</f>
        <v>0</v>
      </c>
      <c r="AN51" s="35">
        <f ca="1">IF(НАСТРОЙКИ!$B$5&lt;&gt;"Да",0,IFERROR(SUMIF(INDIRECT("'["&amp;НАСТРОЙКИ!$D$5&amp;"]CF'!$L$3:$EO$3"),AN$22,INDIRECT("'["&amp;НАСТРОЙКИ!$D$5&amp;"]CF'!$L$66:$EO$66")),0))</f>
        <v>0</v>
      </c>
      <c r="AO51" s="35">
        <f ca="1">IF(НАСТРОЙКИ!$B$5&lt;&gt;"Да",0,IFERROR(SUMIF(INDIRECT("'["&amp;НАСТРОЙКИ!$D$5&amp;"]CF'!$L$3:$EO$3"),AO$22,INDIRECT("'["&amp;НАСТРОЙКИ!$D$5&amp;"]CF'!$L$66:$EO$66")),0))</f>
        <v>0</v>
      </c>
      <c r="AP51" s="35">
        <f ca="1">IF(НАСТРОЙКИ!$B$5&lt;&gt;"Да",0,IFERROR(SUMIF(INDIRECT("'["&amp;НАСТРОЙКИ!$D$5&amp;"]CF'!$L$3:$EO$3"),AP$22,INDIRECT("'["&amp;НАСТРОЙКИ!$D$5&amp;"]CF'!$L$66:$EO$66")),0))</f>
        <v>0</v>
      </c>
      <c r="AQ51" s="35">
        <f ca="1">IF(НАСТРОЙКИ!$B$5&lt;&gt;"Да",0,IFERROR(SUMIF(INDIRECT("'["&amp;НАСТРОЙКИ!$D$5&amp;"]CF'!$L$3:$EO$3"),AQ$22,INDIRECT("'["&amp;НАСТРОЙКИ!$D$5&amp;"]CF'!$L$66:$EO$66")),0))</f>
        <v>0</v>
      </c>
      <c r="AR51" s="35">
        <f ca="1">IF(НАСТРОЙКИ!$B$5&lt;&gt;"Да",0,IFERROR(SUMIF(INDIRECT("'["&amp;НАСТРОЙКИ!$D$5&amp;"]CF'!$L$3:$EO$3"),AR$22,INDIRECT("'["&amp;НАСТРОЙКИ!$D$5&amp;"]CF'!$L$66:$EO$66")),0))</f>
        <v>0</v>
      </c>
      <c r="AS51" s="35">
        <f ca="1">IF(НАСТРОЙКИ!$B$5&lt;&gt;"Да",0,IFERROR(SUMIF(INDIRECT("'["&amp;НАСТРОЙКИ!$D$5&amp;"]CF'!$L$3:$EO$3"),AS$22,INDIRECT("'["&amp;НАСТРОЙКИ!$D$5&amp;"]CF'!$L$66:$EO$66")),0))</f>
        <v>0</v>
      </c>
      <c r="AT51" s="35">
        <f ca="1">IF(НАСТРОЙКИ!$B$5&lt;&gt;"Да",0,IFERROR(SUMIF(INDIRECT("'["&amp;НАСТРОЙКИ!$D$5&amp;"]CF'!$L$3:$EO$3"),AT$22,INDIRECT("'["&amp;НАСТРОЙКИ!$D$5&amp;"]CF'!$L$66:$EO$66")),0))</f>
        <v>0</v>
      </c>
      <c r="AU51" s="35">
        <f ca="1">IF(НАСТРОЙКИ!$B$5&lt;&gt;"Да",0,IFERROR(SUMIF(INDIRECT("'["&amp;НАСТРОЙКИ!$D$5&amp;"]CF'!$L$3:$EO$3"),AU$22,INDIRECT("'["&amp;НАСТРОЙКИ!$D$5&amp;"]CF'!$L$66:$EO$66")),0))</f>
        <v>0</v>
      </c>
      <c r="AV51" s="35">
        <f ca="1">IF(НАСТРОЙКИ!$B$5&lt;&gt;"Да",0,IFERROR(SUMIF(INDIRECT("'["&amp;НАСТРОЙКИ!$D$5&amp;"]CF'!$L$3:$EO$3"),AV$22,INDIRECT("'["&amp;НАСТРОЙКИ!$D$5&amp;"]CF'!$L$66:$EO$66")),0))</f>
        <v>0</v>
      </c>
      <c r="AW51" s="35">
        <f ca="1">IF(НАСТРОЙКИ!$B$5&lt;&gt;"Да",0,IFERROR(SUMIF(INDIRECT("'["&amp;НАСТРОЙКИ!$D$5&amp;"]CF'!$L$3:$EO$3"),AW$22,INDIRECT("'["&amp;НАСТРОЙКИ!$D$5&amp;"]CF'!$L$66:$EO$66")),0))</f>
        <v>0</v>
      </c>
      <c r="AX51" s="35">
        <f ca="1">IF(НАСТРОЙКИ!$B$5&lt;&gt;"Да",0,IFERROR(SUMIF(INDIRECT("'["&amp;НАСТРОЙКИ!$D$5&amp;"]CF'!$L$3:$EO$3"),AX$22,INDIRECT("'["&amp;НАСТРОЙКИ!$D$5&amp;"]CF'!$L$66:$EO$66")),0))</f>
        <v>0</v>
      </c>
      <c r="AY51" s="35">
        <f ca="1">IF(НАСТРОЙКИ!$B$5&lt;&gt;"Да",0,IFERROR(SUMIF(INDIRECT("'["&amp;НАСТРОЙКИ!$D$5&amp;"]CF'!$L$3:$EO$3"),AY$22,INDIRECT("'["&amp;НАСТРОЙКИ!$D$5&amp;"]CF'!$L$66:$EO$66")),0))</f>
        <v>0</v>
      </c>
      <c r="AZ51" s="35">
        <f ca="1">IF(НАСТРОЙКИ!$B$5&lt;&gt;"Да",0,IFERROR(SUMIF(INDIRECT("'["&amp;НАСТРОЙКИ!$D$5&amp;"]CF'!$L$3:$EO$3"),AZ$22,INDIRECT("'["&amp;НАСТРОЙКИ!$D$5&amp;"]CF'!$L$66:$EO$66")),0))</f>
        <v>0</v>
      </c>
      <c r="BA51" s="35">
        <f ca="1">IF(НАСТРОЙКИ!$B$5&lt;&gt;"Да",0,IFERROR(SUMIF(INDIRECT("'["&amp;НАСТРОЙКИ!$D$5&amp;"]CF'!$L$3:$EO$3"),BA$22,INDIRECT("'["&amp;НАСТРОЙКИ!$D$5&amp;"]CF'!$L$66:$EO$66")),0))</f>
        <v>0</v>
      </c>
      <c r="BB51" s="35">
        <f ca="1">IF(НАСТРОЙКИ!$B$5&lt;&gt;"Да",0,IFERROR(SUMIF(INDIRECT("'["&amp;НАСТРОЙКИ!$D$5&amp;"]CF'!$L$3:$EO$3"),BB$22,INDIRECT("'["&amp;НАСТРОЙКИ!$D$5&amp;"]CF'!$L$66:$EO$66")),0))</f>
        <v>0</v>
      </c>
      <c r="BC51" s="35">
        <f ca="1">IF(НАСТРОЙКИ!$B$5&lt;&gt;"Да",0,IFERROR(SUMIF(INDIRECT("'["&amp;НАСТРОЙКИ!$D$5&amp;"]CF'!$L$3:$EO$3"),BC$22,INDIRECT("'["&amp;НАСТРОЙКИ!$D$5&amp;"]CF'!$L$66:$EO$66")),0))</f>
        <v>0</v>
      </c>
      <c r="BD51" s="35">
        <f ca="1">IF(НАСТРОЙКИ!$B$5&lt;&gt;"Да",0,IFERROR(SUMIF(INDIRECT("'["&amp;НАСТРОЙКИ!$D$5&amp;"]CF'!$L$3:$EO$3"),BD$22,INDIRECT("'["&amp;НАСТРОЙКИ!$D$5&amp;"]CF'!$L$66:$EO$66")),0))</f>
        <v>0</v>
      </c>
      <c r="BE51" s="35">
        <f ca="1">IF(НАСТРОЙКИ!$B$5&lt;&gt;"Да",0,IFERROR(SUMIF(INDIRECT("'["&amp;НАСТРОЙКИ!$D$5&amp;"]CF'!$L$3:$EO$3"),BE$22,INDIRECT("'["&amp;НАСТРОЙКИ!$D$5&amp;"]CF'!$L$66:$EO$66")),0))</f>
        <v>0</v>
      </c>
      <c r="BF51" s="35">
        <f ca="1">IF(НАСТРОЙКИ!$B$5&lt;&gt;"Да",0,IFERROR(SUMIF(INDIRECT("'["&amp;НАСТРОЙКИ!$D$5&amp;"]CF'!$L$3:$EO$3"),BF$22,INDIRECT("'["&amp;НАСТРОЙКИ!$D$5&amp;"]CF'!$L$66:$EO$66")),0))</f>
        <v>0</v>
      </c>
      <c r="BG51" s="35">
        <f ca="1">IF(НАСТРОЙКИ!$B$5&lt;&gt;"Да",0,IFERROR(SUMIF(INDIRECT("'["&amp;НАСТРОЙКИ!$D$5&amp;"]CF'!$L$3:$EO$3"),BG$22,INDIRECT("'["&amp;НАСТРОЙКИ!$D$5&amp;"]CF'!$L$66:$EO$66")),0))</f>
        <v>0</v>
      </c>
      <c r="BH51" s="35">
        <f ca="1">IF(НАСТРОЙКИ!$B$5&lt;&gt;"Да",0,IFERROR(SUMIF(INDIRECT("'["&amp;НАСТРОЙКИ!$D$5&amp;"]CF'!$L$3:$EO$3"),BH$22,INDIRECT("'["&amp;НАСТРОЙКИ!$D$5&amp;"]CF'!$L$66:$EO$66")),0))</f>
        <v>0</v>
      </c>
      <c r="BI51" s="35">
        <f ca="1">IF(НАСТРОЙКИ!$B$5&lt;&gt;"Да",0,IFERROR(SUMIF(INDIRECT("'["&amp;НАСТРОЙКИ!$D$5&amp;"]CF'!$L$3:$EO$3"),BI$22,INDIRECT("'["&amp;НАСТРОЙКИ!$D$5&amp;"]CF'!$L$66:$EO$66")),0))</f>
        <v>0</v>
      </c>
      <c r="BJ51" s="35">
        <f ca="1">IF(НАСТРОЙКИ!$B$5&lt;&gt;"Да",0,IFERROR(SUMIF(INDIRECT("'["&amp;НАСТРОЙКИ!$D$5&amp;"]CF'!$L$3:$EO$3"),BJ$22,INDIRECT("'["&amp;НАСТРОЙКИ!$D$5&amp;"]CF'!$L$66:$EO$66")),0))</f>
        <v>0</v>
      </c>
      <c r="BK51" s="35">
        <f ca="1">IF(НАСТРОЙКИ!$B$5&lt;&gt;"Да",0,IFERROR(SUMIF(INDIRECT("'["&amp;НАСТРОЙКИ!$D$5&amp;"]CF'!$L$3:$EO$3"),BK$22,INDIRECT("'["&amp;НАСТРОЙКИ!$D$5&amp;"]CF'!$L$66:$EO$66")),0))</f>
        <v>0</v>
      </c>
      <c r="BL51" s="35">
        <f ca="1">IF(НАСТРОЙКИ!$B$5&lt;&gt;"Да",0,IFERROR(SUMIF(INDIRECT("'["&amp;НАСТРОЙКИ!$D$5&amp;"]CF'!$L$3:$EO$3"),BL$22,INDIRECT("'["&amp;НАСТРОЙКИ!$D$5&amp;"]CF'!$L$66:$EO$66")),0))</f>
        <v>0</v>
      </c>
      <c r="BM51" s="35">
        <f ca="1">IF(НАСТРОЙКИ!$B$5&lt;&gt;"Да",0,IFERROR(SUMIF(INDIRECT("'["&amp;НАСТРОЙКИ!$D$5&amp;"]CF'!$L$3:$EO$3"),BM$22,INDIRECT("'["&amp;НАСТРОЙКИ!$D$5&amp;"]CF'!$L$66:$EO$66")),0))</f>
        <v>0</v>
      </c>
      <c r="BN51" s="35">
        <f ca="1">IF(НАСТРОЙКИ!$B$5&lt;&gt;"Да",0,IFERROR(SUMIF(INDIRECT("'["&amp;НАСТРОЙКИ!$D$5&amp;"]CF'!$L$3:$EO$3"),BN$22,INDIRECT("'["&amp;НАСТРОЙКИ!$D$5&amp;"]CF'!$L$66:$EO$66")),0))</f>
        <v>0</v>
      </c>
      <c r="BO51" s="35">
        <f ca="1">IF(НАСТРОЙКИ!$B$5&lt;&gt;"Да",0,IFERROR(SUMIF(INDIRECT("'["&amp;НАСТРОЙКИ!$D$5&amp;"]CF'!$L$3:$EO$3"),BO$22,INDIRECT("'["&amp;НАСТРОЙКИ!$D$5&amp;"]CF'!$L$66:$EO$66")),0))</f>
        <v>0</v>
      </c>
      <c r="BP51" s="35">
        <f ca="1">IF(НАСТРОЙКИ!$B$5&lt;&gt;"Да",0,IFERROR(SUMIF(INDIRECT("'["&amp;НАСТРОЙКИ!$D$5&amp;"]CF'!$L$3:$EO$3"),BP$22,INDIRECT("'["&amp;НАСТРОЙКИ!$D$5&amp;"]CF'!$L$66:$EO$66")),0))</f>
        <v>0</v>
      </c>
      <c r="BQ51" s="35">
        <f ca="1">IF(НАСТРОЙКИ!$B$5&lt;&gt;"Да",0,IFERROR(SUMIF(INDIRECT("'["&amp;НАСТРОЙКИ!$D$5&amp;"]CF'!$L$3:$EO$3"),BQ$22,INDIRECT("'["&amp;НАСТРОЙКИ!$D$5&amp;"]CF'!$L$66:$EO$66")),0))</f>
        <v>0</v>
      </c>
      <c r="BR51" s="35">
        <f ca="1">IF(НАСТРОЙКИ!$B$5&lt;&gt;"Да",0,IFERROR(SUMIF(INDIRECT("'["&amp;НАСТРОЙКИ!$D$5&amp;"]CF'!$L$3:$EO$3"),BR$22,INDIRECT("'["&amp;НАСТРОЙКИ!$D$5&amp;"]CF'!$L$66:$EO$66")),0))</f>
        <v>0</v>
      </c>
      <c r="BS51" s="35">
        <f ca="1">IF(НАСТРОЙКИ!$B$5&lt;&gt;"Да",0,IFERROR(SUMIF(INDIRECT("'["&amp;НАСТРОЙКИ!$D$5&amp;"]CF'!$L$3:$EO$3"),BS$22,INDIRECT("'["&amp;НАСТРОЙКИ!$D$5&amp;"]CF'!$L$66:$EO$66")),0))</f>
        <v>0</v>
      </c>
      <c r="BT51" s="35">
        <f ca="1">IF(НАСТРОЙКИ!$B$5&lt;&gt;"Да",0,IFERROR(SUMIF(INDIRECT("'["&amp;НАСТРОЙКИ!$D$5&amp;"]CF'!$L$3:$EO$3"),BT$22,INDIRECT("'["&amp;НАСТРОЙКИ!$D$5&amp;"]CF'!$L$66:$EO$66")),0))</f>
        <v>0</v>
      </c>
      <c r="BU51" s="35">
        <f ca="1">IF(НАСТРОЙКИ!$B$5&lt;&gt;"Да",0,IFERROR(SUMIF(INDIRECT("'["&amp;НАСТРОЙКИ!$D$5&amp;"]CF'!$L$3:$EO$3"),BU$22,INDIRECT("'["&amp;НАСТРОЙКИ!$D$5&amp;"]CF'!$L$66:$EO$66")),0))</f>
        <v>0</v>
      </c>
      <c r="BV51" s="35">
        <f ca="1">IF(НАСТРОЙКИ!$B$5&lt;&gt;"Да",0,IFERROR(SUMIF(INDIRECT("'["&amp;НАСТРОЙКИ!$D$5&amp;"]CF'!$L$3:$EO$3"),BV$22,INDIRECT("'["&amp;НАСТРОЙКИ!$D$5&amp;"]CF'!$L$66:$EO$66")),0))</f>
        <v>0</v>
      </c>
      <c r="BW51" s="35">
        <f ca="1">IF(НАСТРОЙКИ!$B$5&lt;&gt;"Да",0,IFERROR(SUMIF(INDIRECT("'["&amp;НАСТРОЙКИ!$D$5&amp;"]CF'!$L$3:$EO$3"),BW$22,INDIRECT("'["&amp;НАСТРОЙКИ!$D$5&amp;"]CF'!$L$66:$EO$66")),0))</f>
        <v>0</v>
      </c>
      <c r="BX51" s="35">
        <f ca="1">IF(НАСТРОЙКИ!$B$5&lt;&gt;"Да",0,IFERROR(SUMIF(INDIRECT("'["&amp;НАСТРОЙКИ!$D$5&amp;"]CF'!$L$3:$EO$3"),BX$22,INDIRECT("'["&amp;НАСТРОЙКИ!$D$5&amp;"]CF'!$L$66:$EO$66")),0))</f>
        <v>0</v>
      </c>
      <c r="BY51" s="35">
        <f ca="1">IF(НАСТРОЙКИ!$B$5&lt;&gt;"Да",0,IFERROR(SUMIF(INDIRECT("'["&amp;НАСТРОЙКИ!$D$5&amp;"]CF'!$L$3:$EO$3"),BY$22,INDIRECT("'["&amp;НАСТРОЙКИ!$D$5&amp;"]CF'!$L$66:$EO$66")),0))</f>
        <v>0</v>
      </c>
      <c r="BZ51" s="35">
        <f ca="1">IF(НАСТРОЙКИ!$B$5&lt;&gt;"Да",0,IFERROR(SUMIF(INDIRECT("'["&amp;НАСТРОЙКИ!$D$5&amp;"]CF'!$L$3:$EO$3"),BZ$22,INDIRECT("'["&amp;НАСТРОЙКИ!$D$5&amp;"]CF'!$L$66:$EO$66")),0))</f>
        <v>0</v>
      </c>
      <c r="CA51" s="35">
        <f ca="1">IF(НАСТРОЙКИ!$B$5&lt;&gt;"Да",0,IFERROR(SUMIF(INDIRECT("'["&amp;НАСТРОЙКИ!$D$5&amp;"]CF'!$L$3:$EO$3"),CA$22,INDIRECT("'["&amp;НАСТРОЙКИ!$D$5&amp;"]CF'!$L$66:$EO$66")),0))</f>
        <v>0</v>
      </c>
      <c r="CB51" s="35">
        <f ca="1">IF(НАСТРОЙКИ!$B$5&lt;&gt;"Да",0,IFERROR(SUMIF(INDIRECT("'["&amp;НАСТРОЙКИ!$D$5&amp;"]CF'!$L$3:$EO$3"),CB$22,INDIRECT("'["&amp;НАСТРОЙКИ!$D$5&amp;"]CF'!$L$66:$EO$66")),0))</f>
        <v>0</v>
      </c>
      <c r="CC51" s="35">
        <f ca="1">IF(НАСТРОЙКИ!$B$5&lt;&gt;"Да",0,IFERROR(SUMIF(INDIRECT("'["&amp;НАСТРОЙКИ!$D$5&amp;"]CF'!$L$3:$EO$3"),CC$22,INDIRECT("'["&amp;НАСТРОЙКИ!$D$5&amp;"]CF'!$L$66:$EO$66")),0))</f>
        <v>0</v>
      </c>
      <c r="CD51" s="35">
        <f ca="1">IF(НАСТРОЙКИ!$B$5&lt;&gt;"Да",0,IFERROR(SUMIF(INDIRECT("'["&amp;НАСТРОЙКИ!$D$5&amp;"]CF'!$L$3:$EO$3"),CD$22,INDIRECT("'["&amp;НАСТРОЙКИ!$D$5&amp;"]CF'!$L$66:$EO$66")),0))</f>
        <v>0</v>
      </c>
      <c r="CE51" s="35">
        <f ca="1">IF(НАСТРОЙКИ!$B$5&lt;&gt;"Да",0,IFERROR(SUMIF(INDIRECT("'["&amp;НАСТРОЙКИ!$D$5&amp;"]CF'!$L$3:$EO$3"),CE$22,INDIRECT("'["&amp;НАСТРОЙКИ!$D$5&amp;"]CF'!$L$66:$EO$66")),0))</f>
        <v>0</v>
      </c>
      <c r="CF51" s="35">
        <f ca="1">IF(НАСТРОЙКИ!$B$5&lt;&gt;"Да",0,IFERROR(SUMIF(INDIRECT("'["&amp;НАСТРОЙКИ!$D$5&amp;"]CF'!$L$3:$EO$3"),CF$22,INDIRECT("'["&amp;НАСТРОЙКИ!$D$5&amp;"]CF'!$L$66:$EO$66")),0))</f>
        <v>0</v>
      </c>
      <c r="CG51" s="35">
        <f ca="1">IF(НАСТРОЙКИ!$B$5&lt;&gt;"Да",0,IFERROR(SUMIF(INDIRECT("'["&amp;НАСТРОЙКИ!$D$5&amp;"]CF'!$L$3:$EO$3"),CG$22,INDIRECT("'["&amp;НАСТРОЙКИ!$D$5&amp;"]CF'!$L$66:$EO$66")),0))</f>
        <v>0</v>
      </c>
      <c r="CH51" s="35">
        <f ca="1">IF(НАСТРОЙКИ!$B$5&lt;&gt;"Да",0,IFERROR(SUMIF(INDIRECT("'["&amp;НАСТРОЙКИ!$D$5&amp;"]CF'!$L$3:$EO$3"),CH$22,INDIRECT("'["&amp;НАСТРОЙКИ!$D$5&amp;"]CF'!$L$66:$EO$66")),0))</f>
        <v>0</v>
      </c>
      <c r="CI51" s="35">
        <f ca="1">IF(НАСТРОЙКИ!$B$5&lt;&gt;"Да",0,IFERROR(SUMIF(INDIRECT("'["&amp;НАСТРОЙКИ!$D$5&amp;"]CF'!$L$3:$EO$3"),CI$22,INDIRECT("'["&amp;НАСТРОЙКИ!$D$5&amp;"]CF'!$L$66:$EO$66")),0))</f>
        <v>0</v>
      </c>
      <c r="CJ51" s="35">
        <f ca="1">IF(НАСТРОЙКИ!$B$5&lt;&gt;"Да",0,IFERROR(SUMIF(INDIRECT("'["&amp;НАСТРОЙКИ!$D$5&amp;"]CF'!$L$3:$EO$3"),CJ$22,INDIRECT("'["&amp;НАСТРОЙКИ!$D$5&amp;"]CF'!$L$66:$EO$66")),0))</f>
        <v>0</v>
      </c>
      <c r="CK51" s="35">
        <f ca="1">IF(НАСТРОЙКИ!$B$5&lt;&gt;"Да",0,IFERROR(SUMIF(INDIRECT("'["&amp;НАСТРОЙКИ!$D$5&amp;"]CF'!$L$3:$EO$3"),CK$22,INDIRECT("'["&amp;НАСТРОЙКИ!$D$5&amp;"]CF'!$L$66:$EO$66")),0))</f>
        <v>0</v>
      </c>
      <c r="CL51" s="35">
        <f ca="1">IF(НАСТРОЙКИ!$B$5&lt;&gt;"Да",0,IFERROR(SUMIF(INDIRECT("'["&amp;НАСТРОЙКИ!$D$5&amp;"]CF'!$L$3:$EO$3"),CL$22,INDIRECT("'["&amp;НАСТРОЙКИ!$D$5&amp;"]CF'!$L$66:$EO$66")),0))</f>
        <v>0</v>
      </c>
      <c r="CM51" s="35">
        <f ca="1">IF(НАСТРОЙКИ!$B$5&lt;&gt;"Да",0,IFERROR(SUMIF(INDIRECT("'["&amp;НАСТРОЙКИ!$D$5&amp;"]CF'!$L$3:$EO$3"),CM$22,INDIRECT("'["&amp;НАСТРОЙКИ!$D$5&amp;"]CF'!$L$66:$EO$66")),0))</f>
        <v>0</v>
      </c>
      <c r="CN51" s="35">
        <f ca="1">IF(НАСТРОЙКИ!$B$5&lt;&gt;"Да",0,IFERROR(SUMIF(INDIRECT("'["&amp;НАСТРОЙКИ!$D$5&amp;"]CF'!$L$3:$EO$3"),CN$22,INDIRECT("'["&amp;НАСТРОЙКИ!$D$5&amp;"]CF'!$L$66:$EO$66")),0))</f>
        <v>0</v>
      </c>
      <c r="CO51" s="35">
        <f ca="1">IF(НАСТРОЙКИ!$B$5&lt;&gt;"Да",0,IFERROR(SUMIF(INDIRECT("'["&amp;НАСТРОЙКИ!$D$5&amp;"]CF'!$L$3:$EO$3"),CO$22,INDIRECT("'["&amp;НАСТРОЙКИ!$D$5&amp;"]CF'!$L$66:$EO$66")),0))</f>
        <v>0</v>
      </c>
      <c r="CP51" s="35">
        <f ca="1">IF(НАСТРОЙКИ!$B$5&lt;&gt;"Да",0,IFERROR(SUMIF(INDIRECT("'["&amp;НАСТРОЙКИ!$D$5&amp;"]CF'!$L$3:$EO$3"),CP$22,INDIRECT("'["&amp;НАСТРОЙКИ!$D$5&amp;"]CF'!$L$66:$EO$66")),0))</f>
        <v>0</v>
      </c>
      <c r="CQ51" s="35">
        <f ca="1">IF(НАСТРОЙКИ!$B$5&lt;&gt;"Да",0,IFERROR(SUMIF(INDIRECT("'["&amp;НАСТРОЙКИ!$D$5&amp;"]CF'!$L$3:$EO$3"),CQ$22,INDIRECT("'["&amp;НАСТРОЙКИ!$D$5&amp;"]CF'!$L$66:$EO$66")),0))</f>
        <v>0</v>
      </c>
      <c r="CR51" s="35">
        <f ca="1">IF(НАСТРОЙКИ!$B$5&lt;&gt;"Да",0,IFERROR(SUMIF(INDIRECT("'["&amp;НАСТРОЙКИ!$D$5&amp;"]CF'!$L$3:$EO$3"),CR$22,INDIRECT("'["&amp;НАСТРОЙКИ!$D$5&amp;"]CF'!$L$66:$EO$66")),0))</f>
        <v>0</v>
      </c>
      <c r="CS51" s="35">
        <f ca="1">IF(НАСТРОЙКИ!$B$5&lt;&gt;"Да",0,IFERROR(SUMIF(INDIRECT("'["&amp;НАСТРОЙКИ!$D$5&amp;"]CF'!$L$3:$EO$3"),CS$22,INDIRECT("'["&amp;НАСТРОЙКИ!$D$5&amp;"]CF'!$L$66:$EO$66")),0))</f>
        <v>0</v>
      </c>
      <c r="CT51" s="35">
        <f ca="1">IF(НАСТРОЙКИ!$B$5&lt;&gt;"Да",0,IFERROR(SUMIF(INDIRECT("'["&amp;НАСТРОЙКИ!$D$5&amp;"]CF'!$L$3:$EO$3"),CT$22,INDIRECT("'["&amp;НАСТРОЙКИ!$D$5&amp;"]CF'!$L$66:$EO$66")),0))</f>
        <v>0</v>
      </c>
      <c r="CU51" s="35">
        <f ca="1">IF(НАСТРОЙКИ!$B$5&lt;&gt;"Да",0,IFERROR(SUMIF(INDIRECT("'["&amp;НАСТРОЙКИ!$D$5&amp;"]CF'!$L$3:$EO$3"),CU$22,INDIRECT("'["&amp;НАСТРОЙКИ!$D$5&amp;"]CF'!$L$66:$EO$66")),0))</f>
        <v>0</v>
      </c>
      <c r="CV51" s="35">
        <f ca="1">IF(НАСТРОЙКИ!$B$5&lt;&gt;"Да",0,IFERROR(SUMIF(INDIRECT("'["&amp;НАСТРОЙКИ!$D$5&amp;"]CF'!$L$3:$EO$3"),CV$22,INDIRECT("'["&amp;НАСТРОЙКИ!$D$5&amp;"]CF'!$L$66:$EO$66")),0))</f>
        <v>0</v>
      </c>
      <c r="CW51" s="35">
        <f ca="1">IF(НАСТРОЙКИ!$B$5&lt;&gt;"Да",0,IFERROR(SUMIF(INDIRECT("'["&amp;НАСТРОЙКИ!$D$5&amp;"]CF'!$L$3:$EO$3"),CW$22,INDIRECT("'["&amp;НАСТРОЙКИ!$D$5&amp;"]CF'!$L$66:$EO$66")),0))</f>
        <v>0</v>
      </c>
      <c r="CX51" s="35">
        <f ca="1">IF(НАСТРОЙКИ!$B$5&lt;&gt;"Да",0,IFERROR(SUMIF(INDIRECT("'["&amp;НАСТРОЙКИ!$D$5&amp;"]CF'!$L$3:$EO$3"),CX$22,INDIRECT("'["&amp;НАСТРОЙКИ!$D$5&amp;"]CF'!$L$66:$EO$66")),0))</f>
        <v>0</v>
      </c>
      <c r="CY51" s="35">
        <f ca="1">IF(НАСТРОЙКИ!$B$5&lt;&gt;"Да",0,IFERROR(SUMIF(INDIRECT("'["&amp;НАСТРОЙКИ!$D$5&amp;"]CF'!$L$3:$EO$3"),CY$22,INDIRECT("'["&amp;НАСТРОЙКИ!$D$5&amp;"]CF'!$L$66:$EO$66")),0))</f>
        <v>0</v>
      </c>
      <c r="CZ51" s="35">
        <f ca="1">IF(НАСТРОЙКИ!$B$5&lt;&gt;"Да",0,IFERROR(SUMIF(INDIRECT("'["&amp;НАСТРОЙКИ!$D$5&amp;"]CF'!$L$3:$EO$3"),CZ$22,INDIRECT("'["&amp;НАСТРОЙКИ!$D$5&amp;"]CF'!$L$66:$EO$66")),0))</f>
        <v>0</v>
      </c>
      <c r="DA51" s="35">
        <f ca="1">IF(НАСТРОЙКИ!$B$5&lt;&gt;"Да",0,IFERROR(SUMIF(INDIRECT("'["&amp;НАСТРОЙКИ!$D$5&amp;"]CF'!$L$3:$EO$3"),DA$22,INDIRECT("'["&amp;НАСТРОЙКИ!$D$5&amp;"]CF'!$L$66:$EO$66")),0))</f>
        <v>0</v>
      </c>
      <c r="DB51" s="35">
        <f ca="1">IF(НАСТРОЙКИ!$B$5&lt;&gt;"Да",0,IFERROR(SUMIF(INDIRECT("'["&amp;НАСТРОЙКИ!$D$5&amp;"]CF'!$L$3:$EO$3"),DB$22,INDIRECT("'["&amp;НАСТРОЙКИ!$D$5&amp;"]CF'!$L$66:$EO$66")),0))</f>
        <v>0</v>
      </c>
      <c r="DC51" s="35">
        <f ca="1">IF(НАСТРОЙКИ!$B$5&lt;&gt;"Да",0,IFERROR(SUMIF(INDIRECT("'["&amp;НАСТРОЙКИ!$D$5&amp;"]CF'!$L$3:$EO$3"),DC$22,INDIRECT("'["&amp;НАСТРОЙКИ!$D$5&amp;"]CF'!$L$66:$EO$66")),0))</f>
        <v>0</v>
      </c>
      <c r="DD51" s="35">
        <f ca="1">IF(НАСТРОЙКИ!$B$5&lt;&gt;"Да",0,IFERROR(SUMIF(INDIRECT("'["&amp;НАСТРОЙКИ!$D$5&amp;"]CF'!$L$3:$EO$3"),DD$22,INDIRECT("'["&amp;НАСТРОЙКИ!$D$5&amp;"]CF'!$L$66:$EO$66")),0))</f>
        <v>0</v>
      </c>
      <c r="DE51" s="35">
        <f ca="1">IF(НАСТРОЙКИ!$B$5&lt;&gt;"Да",0,IFERROR(SUMIF(INDIRECT("'["&amp;НАСТРОЙКИ!$D$5&amp;"]CF'!$L$3:$EO$3"),DE$22,INDIRECT("'["&amp;НАСТРОЙКИ!$D$5&amp;"]CF'!$L$66:$EO$66")),0))</f>
        <v>0</v>
      </c>
      <c r="DF51" s="35">
        <f ca="1">IF(НАСТРОЙКИ!$B$5&lt;&gt;"Да",0,IFERROR(SUMIF(INDIRECT("'["&amp;НАСТРОЙКИ!$D$5&amp;"]CF'!$L$3:$EO$3"),DF$22,INDIRECT("'["&amp;НАСТРОЙКИ!$D$5&amp;"]CF'!$L$66:$EO$66")),0))</f>
        <v>0</v>
      </c>
    </row>
    <row r="52" spans="1:110">
      <c r="A52" s="34" t="s">
        <v>130</v>
      </c>
      <c r="B52" s="34" t="s">
        <v>58</v>
      </c>
      <c r="C52" s="35">
        <f ca="1">IF(НАСТРОЙКИ!$B$5&lt;&gt;"Да",0,IFERROR((SUMIF(INDIRECT("'["&amp;НАСТРОЙКИ!$D$5&amp;"]КРЕДИТЫ'!$S$3:$EO$3"),C$22,INDIRECT("'["&amp;НАСТРОЙКИ!$D$5&amp;"]КРЕДИТЫ'!$S$40:$EO$40"))+SUMIF(INDIRECT("'["&amp;НАСТРОЙКИ!$D$5&amp;"]КРЕДИТЫ'!$S$3:$EO$3"),C$22,INDIRECT("'["&amp;НАСТРОЙКИ!$D$5&amp;"]КРЕДИТЫ'!$S$61:$EO$61")))/1000000,0))</f>
        <v>0</v>
      </c>
      <c r="D52" s="35">
        <f ca="1">IF(НАСТРОЙКИ!$B$5&lt;&gt;"Да",0,IFERROR((SUMIF(INDIRECT("'["&amp;НАСТРОЙКИ!$D$5&amp;"]КРЕДИТЫ'!$S$3:$EO$3"),D$22,INDIRECT("'["&amp;НАСТРОЙКИ!$D$5&amp;"]КРЕДИТЫ'!$S$40:$EO$40"))+SUMIF(INDIRECT("'["&amp;НАСТРОЙКИ!$D$5&amp;"]КРЕДИТЫ'!$S$3:$EO$3"),D$22,INDIRECT("'["&amp;НАСТРОЙКИ!$D$5&amp;"]КРЕДИТЫ'!$S$61:$EO$61")))/1000000,0))</f>
        <v>0</v>
      </c>
      <c r="E52" s="35">
        <f ca="1">IF(НАСТРОЙКИ!$B$5&lt;&gt;"Да",0,IFERROR((SUMIF(INDIRECT("'["&amp;НАСТРОЙКИ!$D$5&amp;"]КРЕДИТЫ'!$S$3:$EO$3"),E$22,INDIRECT("'["&amp;НАСТРОЙКИ!$D$5&amp;"]КРЕДИТЫ'!$S$40:$EO$40"))+SUMIF(INDIRECT("'["&amp;НАСТРОЙКИ!$D$5&amp;"]КРЕДИТЫ'!$S$3:$EO$3"),E$22,INDIRECT("'["&amp;НАСТРОЙКИ!$D$5&amp;"]КРЕДИТЫ'!$S$61:$EO$61")))/1000000,0))</f>
        <v>0</v>
      </c>
      <c r="F52" s="35">
        <f ca="1">IF(НАСТРОЙКИ!$B$5&lt;&gt;"Да",0,IFERROR((SUMIF(INDIRECT("'["&amp;НАСТРОЙКИ!$D$5&amp;"]КРЕДИТЫ'!$S$3:$EO$3"),F$22,INDIRECT("'["&amp;НАСТРОЙКИ!$D$5&amp;"]КРЕДИТЫ'!$S$40:$EO$40"))+SUMIF(INDIRECT("'["&amp;НАСТРОЙКИ!$D$5&amp;"]КРЕДИТЫ'!$S$3:$EO$3"),F$22,INDIRECT("'["&amp;НАСТРОЙКИ!$D$5&amp;"]КРЕДИТЫ'!$S$61:$EO$61")))/1000000,0))</f>
        <v>0</v>
      </c>
      <c r="G52" s="35">
        <f ca="1">IF(НАСТРОЙКИ!$B$5&lt;&gt;"Да",0,IFERROR((SUMIF(INDIRECT("'["&amp;НАСТРОЙКИ!$D$5&amp;"]КРЕДИТЫ'!$S$3:$EO$3"),G$22,INDIRECT("'["&amp;НАСТРОЙКИ!$D$5&amp;"]КРЕДИТЫ'!$S$40:$EO$40"))+SUMIF(INDIRECT("'["&amp;НАСТРОЙКИ!$D$5&amp;"]КРЕДИТЫ'!$S$3:$EO$3"),G$22,INDIRECT("'["&amp;НАСТРОЙКИ!$D$5&amp;"]КРЕДИТЫ'!$S$61:$EO$61")))/1000000,0))</f>
        <v>0</v>
      </c>
      <c r="H52" s="35">
        <f ca="1">IF(НАСТРОЙКИ!$B$5&lt;&gt;"Да",0,IFERROR((SUMIF(INDIRECT("'["&amp;НАСТРОЙКИ!$D$5&amp;"]КРЕДИТЫ'!$S$3:$EO$3"),H$22,INDIRECT("'["&amp;НАСТРОЙКИ!$D$5&amp;"]КРЕДИТЫ'!$S$40:$EO$40"))+SUMIF(INDIRECT("'["&amp;НАСТРОЙКИ!$D$5&amp;"]КРЕДИТЫ'!$S$3:$EO$3"),H$22,INDIRECT("'["&amp;НАСТРОЙКИ!$D$5&amp;"]КРЕДИТЫ'!$S$61:$EO$61")))/1000000,0))</f>
        <v>0</v>
      </c>
      <c r="I52" s="35">
        <f ca="1">IF(НАСТРОЙКИ!$B$5&lt;&gt;"Да",0,IFERROR((SUMIF(INDIRECT("'["&amp;НАСТРОЙКИ!$D$5&amp;"]КРЕДИТЫ'!$S$3:$EO$3"),I$22,INDIRECT("'["&amp;НАСТРОЙКИ!$D$5&amp;"]КРЕДИТЫ'!$S$40:$EO$40"))+SUMIF(INDIRECT("'["&amp;НАСТРОЙКИ!$D$5&amp;"]КРЕДИТЫ'!$S$3:$EO$3"),I$22,INDIRECT("'["&amp;НАСТРОЙКИ!$D$5&amp;"]КРЕДИТЫ'!$S$61:$EO$61")))/1000000,0))</f>
        <v>0</v>
      </c>
      <c r="J52" s="35">
        <f ca="1">IF(НАСТРОЙКИ!$B$5&lt;&gt;"Да",0,IFERROR((SUMIF(INDIRECT("'["&amp;НАСТРОЙКИ!$D$5&amp;"]КРЕДИТЫ'!$S$3:$EO$3"),J$22,INDIRECT("'["&amp;НАСТРОЙКИ!$D$5&amp;"]КРЕДИТЫ'!$S$40:$EO$40"))+SUMIF(INDIRECT("'["&amp;НАСТРОЙКИ!$D$5&amp;"]КРЕДИТЫ'!$S$3:$EO$3"),J$22,INDIRECT("'["&amp;НАСТРОЙКИ!$D$5&amp;"]КРЕДИТЫ'!$S$61:$EO$61")))/1000000,0))</f>
        <v>0</v>
      </c>
      <c r="K52" s="35">
        <f ca="1">IF(НАСТРОЙКИ!$B$5&lt;&gt;"Да",0,IFERROR((SUMIF(INDIRECT("'["&amp;НАСТРОЙКИ!$D$5&amp;"]КРЕДИТЫ'!$S$3:$EO$3"),K$22,INDIRECT("'["&amp;НАСТРОЙКИ!$D$5&amp;"]КРЕДИТЫ'!$S$40:$EO$40"))+SUMIF(INDIRECT("'["&amp;НАСТРОЙКИ!$D$5&amp;"]КРЕДИТЫ'!$S$3:$EO$3"),K$22,INDIRECT("'["&amp;НАСТРОЙКИ!$D$5&amp;"]КРЕДИТЫ'!$S$61:$EO$61")))/1000000,0))</f>
        <v>0</v>
      </c>
      <c r="L52" s="35">
        <f ca="1">IF(НАСТРОЙКИ!$B$5&lt;&gt;"Да",0,IFERROR((SUMIF(INDIRECT("'["&amp;НАСТРОЙКИ!$D$5&amp;"]КРЕДИТЫ'!$S$3:$EO$3"),L$22,INDIRECT("'["&amp;НАСТРОЙКИ!$D$5&amp;"]КРЕДИТЫ'!$S$40:$EO$40"))+SUMIF(INDIRECT("'["&amp;НАСТРОЙКИ!$D$5&amp;"]КРЕДИТЫ'!$S$3:$EO$3"),L$22,INDIRECT("'["&amp;НАСТРОЙКИ!$D$5&amp;"]КРЕДИТЫ'!$S$61:$EO$61")))/1000000,0))</f>
        <v>0</v>
      </c>
      <c r="M52" s="35">
        <f ca="1">IF(НАСТРОЙКИ!$B$5&lt;&gt;"Да",0,IFERROR((SUMIF(INDIRECT("'["&amp;НАСТРОЙКИ!$D$5&amp;"]КРЕДИТЫ'!$S$3:$EO$3"),M$22,INDIRECT("'["&amp;НАСТРОЙКИ!$D$5&amp;"]КРЕДИТЫ'!$S$40:$EO$40"))+SUMIF(INDIRECT("'["&amp;НАСТРОЙКИ!$D$5&amp;"]КРЕДИТЫ'!$S$3:$EO$3"),M$22,INDIRECT("'["&amp;НАСТРОЙКИ!$D$5&amp;"]КРЕДИТЫ'!$S$61:$EO$61")))/1000000,0))</f>
        <v>0</v>
      </c>
      <c r="N52" s="35">
        <f ca="1">IF(НАСТРОЙКИ!$B$5&lt;&gt;"Да",0,IFERROR((SUMIF(INDIRECT("'["&amp;НАСТРОЙКИ!$D$5&amp;"]КРЕДИТЫ'!$S$3:$EO$3"),N$22,INDIRECT("'["&amp;НАСТРОЙКИ!$D$5&amp;"]КРЕДИТЫ'!$S$40:$EO$40"))+SUMIF(INDIRECT("'["&amp;НАСТРОЙКИ!$D$5&amp;"]КРЕДИТЫ'!$S$3:$EO$3"),N$22,INDIRECT("'["&amp;НАСТРОЙКИ!$D$5&amp;"]КРЕДИТЫ'!$S$61:$EO$61")))/1000000,0))</f>
        <v>0</v>
      </c>
      <c r="O52" s="35">
        <f ca="1">IF(НАСТРОЙКИ!$B$5&lt;&gt;"Да",0,IFERROR((SUMIF(INDIRECT("'["&amp;НАСТРОЙКИ!$D$5&amp;"]КРЕДИТЫ'!$S$3:$EO$3"),O$22,INDIRECT("'["&amp;НАСТРОЙКИ!$D$5&amp;"]КРЕДИТЫ'!$S$40:$EO$40"))+SUMIF(INDIRECT("'["&amp;НАСТРОЙКИ!$D$5&amp;"]КРЕДИТЫ'!$S$3:$EO$3"),O$22,INDIRECT("'["&amp;НАСТРОЙКИ!$D$5&amp;"]КРЕДИТЫ'!$S$61:$EO$61")))/1000000,0))</f>
        <v>0</v>
      </c>
      <c r="P52" s="35">
        <f ca="1">IF(НАСТРОЙКИ!$B$5&lt;&gt;"Да",0,IFERROR((SUMIF(INDIRECT("'["&amp;НАСТРОЙКИ!$D$5&amp;"]КРЕДИТЫ'!$S$3:$EO$3"),P$22,INDIRECT("'["&amp;НАСТРОЙКИ!$D$5&amp;"]КРЕДИТЫ'!$S$40:$EO$40"))+SUMIF(INDIRECT("'["&amp;НАСТРОЙКИ!$D$5&amp;"]КРЕДИТЫ'!$S$3:$EO$3"),P$22,INDIRECT("'["&amp;НАСТРОЙКИ!$D$5&amp;"]КРЕДИТЫ'!$S$61:$EO$61")))/1000000,0))</f>
        <v>0</v>
      </c>
      <c r="Q52" s="35">
        <f ca="1">IF(НАСТРОЙКИ!$B$5&lt;&gt;"Да",0,IFERROR((SUMIF(INDIRECT("'["&amp;НАСТРОЙКИ!$D$5&amp;"]КРЕДИТЫ'!$S$3:$EO$3"),Q$22,INDIRECT("'["&amp;НАСТРОЙКИ!$D$5&amp;"]КРЕДИТЫ'!$S$40:$EO$40"))+SUMIF(INDIRECT("'["&amp;НАСТРОЙКИ!$D$5&amp;"]КРЕДИТЫ'!$S$3:$EO$3"),Q$22,INDIRECT("'["&amp;НАСТРОЙКИ!$D$5&amp;"]КРЕДИТЫ'!$S$61:$EO$61")))/1000000,0))</f>
        <v>0</v>
      </c>
      <c r="R52" s="35">
        <f ca="1">IF(НАСТРОЙКИ!$B$5&lt;&gt;"Да",0,IFERROR((SUMIF(INDIRECT("'["&amp;НАСТРОЙКИ!$D$5&amp;"]КРЕДИТЫ'!$S$3:$EO$3"),R$22,INDIRECT("'["&amp;НАСТРОЙКИ!$D$5&amp;"]КРЕДИТЫ'!$S$40:$EO$40"))+SUMIF(INDIRECT("'["&amp;НАСТРОЙКИ!$D$5&amp;"]КРЕДИТЫ'!$S$3:$EO$3"),R$22,INDIRECT("'["&amp;НАСТРОЙКИ!$D$5&amp;"]КРЕДИТЫ'!$S$61:$EO$61")))/1000000,0))</f>
        <v>0</v>
      </c>
      <c r="S52" s="35">
        <f ca="1">IF(НАСТРОЙКИ!$B$5&lt;&gt;"Да",0,IFERROR((SUMIF(INDIRECT("'["&amp;НАСТРОЙКИ!$D$5&amp;"]КРЕДИТЫ'!$S$3:$EO$3"),S$22,INDIRECT("'["&amp;НАСТРОЙКИ!$D$5&amp;"]КРЕДИТЫ'!$S$40:$EO$40"))+SUMIF(INDIRECT("'["&amp;НАСТРОЙКИ!$D$5&amp;"]КРЕДИТЫ'!$S$3:$EO$3"),S$22,INDIRECT("'["&amp;НАСТРОЙКИ!$D$5&amp;"]КРЕДИТЫ'!$S$61:$EO$61")))/1000000,0))</f>
        <v>0</v>
      </c>
      <c r="T52" s="35">
        <f ca="1">IF(НАСТРОЙКИ!$B$5&lt;&gt;"Да",0,IFERROR((SUMIF(INDIRECT("'["&amp;НАСТРОЙКИ!$D$5&amp;"]КРЕДИТЫ'!$S$3:$EO$3"),T$22,INDIRECT("'["&amp;НАСТРОЙКИ!$D$5&amp;"]КРЕДИТЫ'!$S$40:$EO$40"))+SUMIF(INDIRECT("'["&amp;НАСТРОЙКИ!$D$5&amp;"]КРЕДИТЫ'!$S$3:$EO$3"),T$22,INDIRECT("'["&amp;НАСТРОЙКИ!$D$5&amp;"]КРЕДИТЫ'!$S$61:$EO$61")))/1000000,0))</f>
        <v>0</v>
      </c>
      <c r="U52" s="35">
        <f ca="1">IF(НАСТРОЙКИ!$B$5&lt;&gt;"Да",0,IFERROR((SUMIF(INDIRECT("'["&amp;НАСТРОЙКИ!$D$5&amp;"]КРЕДИТЫ'!$S$3:$EO$3"),U$22,INDIRECT("'["&amp;НАСТРОЙКИ!$D$5&amp;"]КРЕДИТЫ'!$S$40:$EO$40"))+SUMIF(INDIRECT("'["&amp;НАСТРОЙКИ!$D$5&amp;"]КРЕДИТЫ'!$S$3:$EO$3"),U$22,INDIRECT("'["&amp;НАСТРОЙКИ!$D$5&amp;"]КРЕДИТЫ'!$S$61:$EO$61")))/1000000,0))</f>
        <v>-1345.8299811734776</v>
      </c>
      <c r="V52" s="35">
        <f ca="1">IF(НАСТРОЙКИ!$B$5&lt;&gt;"Да",0,IFERROR((SUMIF(INDIRECT("'["&amp;НАСТРОЙКИ!$D$5&amp;"]КРЕДИТЫ'!$S$3:$EO$3"),V$22,INDIRECT("'["&amp;НАСТРОЙКИ!$D$5&amp;"]КРЕДИТЫ'!$S$40:$EO$40"))+SUMIF(INDIRECT("'["&amp;НАСТРОЙКИ!$D$5&amp;"]КРЕДИТЫ'!$S$3:$EO$3"),V$22,INDIRECT("'["&amp;НАСТРОЙКИ!$D$5&amp;"]КРЕДИТЫ'!$S$61:$EO$61")))/1000000,0))</f>
        <v>0</v>
      </c>
      <c r="W52" s="35">
        <f ca="1">IF(НАСТРОЙКИ!$B$5&lt;&gt;"Да",0,IFERROR((SUMIF(INDIRECT("'["&amp;НАСТРОЙКИ!$D$5&amp;"]КРЕДИТЫ'!$S$3:$EO$3"),W$22,INDIRECT("'["&amp;НАСТРОЙКИ!$D$5&amp;"]КРЕДИТЫ'!$S$40:$EO$40"))+SUMIF(INDIRECT("'["&amp;НАСТРОЙКИ!$D$5&amp;"]КРЕДИТЫ'!$S$3:$EO$3"),W$22,INDIRECT("'["&amp;НАСТРОЙКИ!$D$5&amp;"]КРЕДИТЫ'!$S$61:$EO$61")))/1000000,0))</f>
        <v>0</v>
      </c>
      <c r="X52" s="35">
        <f ca="1">IF(НАСТРОЙКИ!$B$5&lt;&gt;"Да",0,IFERROR((SUMIF(INDIRECT("'["&amp;НАСТРОЙКИ!$D$5&amp;"]КРЕДИТЫ'!$S$3:$EO$3"),X$22,INDIRECT("'["&amp;НАСТРОЙКИ!$D$5&amp;"]КРЕДИТЫ'!$S$40:$EO$40"))+SUMIF(INDIRECT("'["&amp;НАСТРОЙКИ!$D$5&amp;"]КРЕДИТЫ'!$S$3:$EO$3"),X$22,INDIRECT("'["&amp;НАСТРОЙКИ!$D$5&amp;"]КРЕДИТЫ'!$S$61:$EO$61")))/1000000,0))</f>
        <v>0</v>
      </c>
      <c r="Y52" s="35">
        <f ca="1">IF(НАСТРОЙКИ!$B$5&lt;&gt;"Да",0,IFERROR((SUMIF(INDIRECT("'["&amp;НАСТРОЙКИ!$D$5&amp;"]КРЕДИТЫ'!$S$3:$EO$3"),Y$22,INDIRECT("'["&amp;НАСТРОЙКИ!$D$5&amp;"]КРЕДИТЫ'!$S$40:$EO$40"))+SUMIF(INDIRECT("'["&amp;НАСТРОЙКИ!$D$5&amp;"]КРЕДИТЫ'!$S$3:$EO$3"),Y$22,INDIRECT("'["&amp;НАСТРОЙКИ!$D$5&amp;"]КРЕДИТЫ'!$S$61:$EO$61")))/1000000,0))</f>
        <v>0</v>
      </c>
      <c r="Z52" s="35">
        <f ca="1">IF(НАСТРОЙКИ!$B$5&lt;&gt;"Да",0,IFERROR((SUMIF(INDIRECT("'["&amp;НАСТРОЙКИ!$D$5&amp;"]КРЕДИТЫ'!$S$3:$EO$3"),Z$22,INDIRECT("'["&amp;НАСТРОЙКИ!$D$5&amp;"]КРЕДИТЫ'!$S$40:$EO$40"))+SUMIF(INDIRECT("'["&amp;НАСТРОЙКИ!$D$5&amp;"]КРЕДИТЫ'!$S$3:$EO$3"),Z$22,INDIRECT("'["&amp;НАСТРОЙКИ!$D$5&amp;"]КРЕДИТЫ'!$S$61:$EO$61")))/1000000,0))</f>
        <v>0</v>
      </c>
      <c r="AA52" s="35">
        <f ca="1">IF(НАСТРОЙКИ!$B$5&lt;&gt;"Да",0,IFERROR((SUMIF(INDIRECT("'["&amp;НАСТРОЙКИ!$D$5&amp;"]КРЕДИТЫ'!$S$3:$EO$3"),AA$22,INDIRECT("'["&amp;НАСТРОЙКИ!$D$5&amp;"]КРЕДИТЫ'!$S$40:$EO$40"))+SUMIF(INDIRECT("'["&amp;НАСТРОЙКИ!$D$5&amp;"]КРЕДИТЫ'!$S$3:$EO$3"),AA$22,INDIRECT("'["&amp;НАСТРОЙКИ!$D$5&amp;"]КРЕДИТЫ'!$S$61:$EO$61")))/1000000,0))</f>
        <v>0</v>
      </c>
      <c r="AB52" s="35">
        <f ca="1">IF(НАСТРОЙКИ!$B$5&lt;&gt;"Да",0,IFERROR((SUMIF(INDIRECT("'["&amp;НАСТРОЙКИ!$D$5&amp;"]КРЕДИТЫ'!$S$3:$EO$3"),AB$22,INDIRECT("'["&amp;НАСТРОЙКИ!$D$5&amp;"]КРЕДИТЫ'!$S$40:$EO$40"))+SUMIF(INDIRECT("'["&amp;НАСТРОЙКИ!$D$5&amp;"]КРЕДИТЫ'!$S$3:$EO$3"),AB$22,INDIRECT("'["&amp;НАСТРОЙКИ!$D$5&amp;"]КРЕДИТЫ'!$S$61:$EO$61")))/1000000,0))</f>
        <v>0</v>
      </c>
      <c r="AC52" s="35">
        <f ca="1">IF(НАСТРОЙКИ!$B$5&lt;&gt;"Да",0,IFERROR((SUMIF(INDIRECT("'["&amp;НАСТРОЙКИ!$D$5&amp;"]КРЕДИТЫ'!$S$3:$EO$3"),AC$22,INDIRECT("'["&amp;НАСТРОЙКИ!$D$5&amp;"]КРЕДИТЫ'!$S$40:$EO$40"))+SUMIF(INDIRECT("'["&amp;НАСТРОЙКИ!$D$5&amp;"]КРЕДИТЫ'!$S$3:$EO$3"),AC$22,INDIRECT("'["&amp;НАСТРОЙКИ!$D$5&amp;"]КРЕДИТЫ'!$S$61:$EO$61")))/1000000,0))</f>
        <v>0</v>
      </c>
      <c r="AD52" s="35">
        <f ca="1">IF(НАСТРОЙКИ!$B$5&lt;&gt;"Да",0,IFERROR((SUMIF(INDIRECT("'["&amp;НАСТРОЙКИ!$D$5&amp;"]КРЕДИТЫ'!$S$3:$EO$3"),AD$22,INDIRECT("'["&amp;НАСТРОЙКИ!$D$5&amp;"]КРЕДИТЫ'!$S$40:$EO$40"))+SUMIF(INDIRECT("'["&amp;НАСТРОЙКИ!$D$5&amp;"]КРЕДИТЫ'!$S$3:$EO$3"),AD$22,INDIRECT("'["&amp;НАСТРОЙКИ!$D$5&amp;"]КРЕДИТЫ'!$S$61:$EO$61")))/1000000,0))</f>
        <v>0</v>
      </c>
      <c r="AE52" s="35">
        <f ca="1">IF(НАСТРОЙКИ!$B$5&lt;&gt;"Да",0,IFERROR((SUMIF(INDIRECT("'["&amp;НАСТРОЙКИ!$D$5&amp;"]КРЕДИТЫ'!$S$3:$EO$3"),AE$22,INDIRECT("'["&amp;НАСТРОЙКИ!$D$5&amp;"]КРЕДИТЫ'!$S$40:$EO$40"))+SUMIF(INDIRECT("'["&amp;НАСТРОЙКИ!$D$5&amp;"]КРЕДИТЫ'!$S$3:$EO$3"),AE$22,INDIRECT("'["&amp;НАСТРОЙКИ!$D$5&amp;"]КРЕДИТЫ'!$S$61:$EO$61")))/1000000,0))</f>
        <v>0</v>
      </c>
      <c r="AF52" s="35">
        <f ca="1">IF(НАСТРОЙКИ!$B$5&lt;&gt;"Да",0,IFERROR((SUMIF(INDIRECT("'["&amp;НАСТРОЙКИ!$D$5&amp;"]КРЕДИТЫ'!$S$3:$EO$3"),AF$22,INDIRECT("'["&amp;НАСТРОЙКИ!$D$5&amp;"]КРЕДИТЫ'!$S$40:$EO$40"))+SUMIF(INDIRECT("'["&amp;НАСТРОЙКИ!$D$5&amp;"]КРЕДИТЫ'!$S$3:$EO$3"),AF$22,INDIRECT("'["&amp;НАСТРОЙКИ!$D$5&amp;"]КРЕДИТЫ'!$S$61:$EO$61")))/1000000,0))</f>
        <v>0</v>
      </c>
      <c r="AG52" s="35">
        <f ca="1">IF(НАСТРОЙКИ!$B$5&lt;&gt;"Да",0,IFERROR((SUMIF(INDIRECT("'["&amp;НАСТРОЙКИ!$D$5&amp;"]КРЕДИТЫ'!$S$3:$EO$3"),AG$22,INDIRECT("'["&amp;НАСТРОЙКИ!$D$5&amp;"]КРЕДИТЫ'!$S$40:$EO$40"))+SUMIF(INDIRECT("'["&amp;НАСТРОЙКИ!$D$5&amp;"]КРЕДИТЫ'!$S$3:$EO$3"),AG$22,INDIRECT("'["&amp;НАСТРОЙКИ!$D$5&amp;"]КРЕДИТЫ'!$S$61:$EO$61")))/1000000,0))</f>
        <v>0</v>
      </c>
      <c r="AH52" s="35">
        <f ca="1">IF(НАСТРОЙКИ!$B$5&lt;&gt;"Да",0,IFERROR((SUMIF(INDIRECT("'["&amp;НАСТРОЙКИ!$D$5&amp;"]КРЕДИТЫ'!$S$3:$EO$3"),AH$22,INDIRECT("'["&amp;НАСТРОЙКИ!$D$5&amp;"]КРЕДИТЫ'!$S$40:$EO$40"))+SUMIF(INDIRECT("'["&amp;НАСТРОЙКИ!$D$5&amp;"]КРЕДИТЫ'!$S$3:$EO$3"),AH$22,INDIRECT("'["&amp;НАСТРОЙКИ!$D$5&amp;"]КРЕДИТЫ'!$S$61:$EO$61")))/1000000,0))</f>
        <v>0</v>
      </c>
      <c r="AI52" s="35">
        <f ca="1">IF(НАСТРОЙКИ!$B$5&lt;&gt;"Да",0,IFERROR((SUMIF(INDIRECT("'["&amp;НАСТРОЙКИ!$D$5&amp;"]КРЕДИТЫ'!$S$3:$EO$3"),AI$22,INDIRECT("'["&amp;НАСТРОЙКИ!$D$5&amp;"]КРЕДИТЫ'!$S$40:$EO$40"))+SUMIF(INDIRECT("'["&amp;НАСТРОЙКИ!$D$5&amp;"]КРЕДИТЫ'!$S$3:$EO$3"),AI$22,INDIRECT("'["&amp;НАСТРОЙКИ!$D$5&amp;"]КРЕДИТЫ'!$S$61:$EO$61")))/1000000,0))</f>
        <v>0</v>
      </c>
      <c r="AJ52" s="35">
        <f ca="1">IF(НАСТРОЙКИ!$B$5&lt;&gt;"Да",0,IFERROR((SUMIF(INDIRECT("'["&amp;НАСТРОЙКИ!$D$5&amp;"]КРЕДИТЫ'!$S$3:$EO$3"),AJ$22,INDIRECT("'["&amp;НАСТРОЙКИ!$D$5&amp;"]КРЕДИТЫ'!$S$40:$EO$40"))+SUMIF(INDIRECT("'["&amp;НАСТРОЙКИ!$D$5&amp;"]КРЕДИТЫ'!$S$3:$EO$3"),AJ$22,INDIRECT("'["&amp;НАСТРОЙКИ!$D$5&amp;"]КРЕДИТЫ'!$S$61:$EO$61")))/1000000,0))</f>
        <v>0</v>
      </c>
      <c r="AK52" s="35">
        <f ca="1">IF(НАСТРОЙКИ!$B$5&lt;&gt;"Да",0,IFERROR((SUMIF(INDIRECT("'["&amp;НАСТРОЙКИ!$D$5&amp;"]КРЕДИТЫ'!$S$3:$EO$3"),AK$22,INDIRECT("'["&amp;НАСТРОЙКИ!$D$5&amp;"]КРЕДИТЫ'!$S$40:$EO$40"))+SUMIF(INDIRECT("'["&amp;НАСТРОЙКИ!$D$5&amp;"]КРЕДИТЫ'!$S$3:$EO$3"),AK$22,INDIRECT("'["&amp;НАСТРОЙКИ!$D$5&amp;"]КРЕДИТЫ'!$S$61:$EO$61")))/1000000,0))</f>
        <v>0</v>
      </c>
      <c r="AL52" s="35">
        <f ca="1">IF(НАСТРОЙКИ!$B$5&lt;&gt;"Да",0,IFERROR((SUMIF(INDIRECT("'["&amp;НАСТРОЙКИ!$D$5&amp;"]КРЕДИТЫ'!$S$3:$EO$3"),AL$22,INDIRECT("'["&amp;НАСТРОЙКИ!$D$5&amp;"]КРЕДИТЫ'!$S$40:$EO$40"))+SUMIF(INDIRECT("'["&amp;НАСТРОЙКИ!$D$5&amp;"]КРЕДИТЫ'!$S$3:$EO$3"),AL$22,INDIRECT("'["&amp;НАСТРОЙКИ!$D$5&amp;"]КРЕДИТЫ'!$S$61:$EO$61")))/1000000,0))</f>
        <v>0</v>
      </c>
      <c r="AM52" s="35">
        <f ca="1">IF(НАСТРОЙКИ!$B$5&lt;&gt;"Да",0,IFERROR((SUMIF(INDIRECT("'["&amp;НАСТРОЙКИ!$D$5&amp;"]КРЕДИТЫ'!$S$3:$EO$3"),AM$22,INDIRECT("'["&amp;НАСТРОЙКИ!$D$5&amp;"]КРЕДИТЫ'!$S$40:$EO$40"))+SUMIF(INDIRECT("'["&amp;НАСТРОЙКИ!$D$5&amp;"]КРЕДИТЫ'!$S$3:$EO$3"),AM$22,INDIRECT("'["&amp;НАСТРОЙКИ!$D$5&amp;"]КРЕДИТЫ'!$S$61:$EO$61")))/1000000,0))</f>
        <v>0</v>
      </c>
      <c r="AN52" s="35">
        <f ca="1">IF(НАСТРОЙКИ!$B$5&lt;&gt;"Да",0,IFERROR((SUMIF(INDIRECT("'["&amp;НАСТРОЙКИ!$D$5&amp;"]КРЕДИТЫ'!$S$3:$EO$3"),AN$22,INDIRECT("'["&amp;НАСТРОЙКИ!$D$5&amp;"]КРЕДИТЫ'!$S$40:$EO$40"))+SUMIF(INDIRECT("'["&amp;НАСТРОЙКИ!$D$5&amp;"]КРЕДИТЫ'!$S$3:$EO$3"),AN$22,INDIRECT("'["&amp;НАСТРОЙКИ!$D$5&amp;"]КРЕДИТЫ'!$S$61:$EO$61")))/1000000,0))</f>
        <v>0</v>
      </c>
      <c r="AO52" s="35">
        <f ca="1">IF(НАСТРОЙКИ!$B$5&lt;&gt;"Да",0,IFERROR((SUMIF(INDIRECT("'["&amp;НАСТРОЙКИ!$D$5&amp;"]КРЕДИТЫ'!$S$3:$EO$3"),AO$22,INDIRECT("'["&amp;НАСТРОЙКИ!$D$5&amp;"]КРЕДИТЫ'!$S$40:$EO$40"))+SUMIF(INDIRECT("'["&amp;НАСТРОЙКИ!$D$5&amp;"]КРЕДИТЫ'!$S$3:$EO$3"),AO$22,INDIRECT("'["&amp;НАСТРОЙКИ!$D$5&amp;"]КРЕДИТЫ'!$S$61:$EO$61")))/1000000,0))</f>
        <v>0</v>
      </c>
      <c r="AP52" s="35">
        <f ca="1">IF(НАСТРОЙКИ!$B$5&lt;&gt;"Да",0,IFERROR((SUMIF(INDIRECT("'["&amp;НАСТРОЙКИ!$D$5&amp;"]КРЕДИТЫ'!$S$3:$EO$3"),AP$22,INDIRECT("'["&amp;НАСТРОЙКИ!$D$5&amp;"]КРЕДИТЫ'!$S$40:$EO$40"))+SUMIF(INDIRECT("'["&amp;НАСТРОЙКИ!$D$5&amp;"]КРЕДИТЫ'!$S$3:$EO$3"),AP$22,INDIRECT("'["&amp;НАСТРОЙКИ!$D$5&amp;"]КРЕДИТЫ'!$S$61:$EO$61")))/1000000,0))</f>
        <v>0</v>
      </c>
      <c r="AQ52" s="35">
        <f ca="1">IF(НАСТРОЙКИ!$B$5&lt;&gt;"Да",0,IFERROR((SUMIF(INDIRECT("'["&amp;НАСТРОЙКИ!$D$5&amp;"]КРЕДИТЫ'!$S$3:$EO$3"),AQ$22,INDIRECT("'["&amp;НАСТРОЙКИ!$D$5&amp;"]КРЕДИТЫ'!$S$40:$EO$40"))+SUMIF(INDIRECT("'["&amp;НАСТРОЙКИ!$D$5&amp;"]КРЕДИТЫ'!$S$3:$EO$3"),AQ$22,INDIRECT("'["&amp;НАСТРОЙКИ!$D$5&amp;"]КРЕДИТЫ'!$S$61:$EO$61")))/1000000,0))</f>
        <v>0</v>
      </c>
      <c r="AR52" s="35">
        <f ca="1">IF(НАСТРОЙКИ!$B$5&lt;&gt;"Да",0,IFERROR((SUMIF(INDIRECT("'["&amp;НАСТРОЙКИ!$D$5&amp;"]КРЕДИТЫ'!$S$3:$EO$3"),AR$22,INDIRECT("'["&amp;НАСТРОЙКИ!$D$5&amp;"]КРЕДИТЫ'!$S$40:$EO$40"))+SUMIF(INDIRECT("'["&amp;НАСТРОЙКИ!$D$5&amp;"]КРЕДИТЫ'!$S$3:$EO$3"),AR$22,INDIRECT("'["&amp;НАСТРОЙКИ!$D$5&amp;"]КРЕДИТЫ'!$S$61:$EO$61")))/1000000,0))</f>
        <v>0</v>
      </c>
      <c r="AS52" s="35">
        <f ca="1">IF(НАСТРОЙКИ!$B$5&lt;&gt;"Да",0,IFERROR((SUMIF(INDIRECT("'["&amp;НАСТРОЙКИ!$D$5&amp;"]КРЕДИТЫ'!$S$3:$EO$3"),AS$22,INDIRECT("'["&amp;НАСТРОЙКИ!$D$5&amp;"]КРЕДИТЫ'!$S$40:$EO$40"))+SUMIF(INDIRECT("'["&amp;НАСТРОЙКИ!$D$5&amp;"]КРЕДИТЫ'!$S$3:$EO$3"),AS$22,INDIRECT("'["&amp;НАСТРОЙКИ!$D$5&amp;"]КРЕДИТЫ'!$S$61:$EO$61")))/1000000,0))</f>
        <v>-30011.506226781959</v>
      </c>
      <c r="AT52" s="35">
        <f ca="1">IF(НАСТРОЙКИ!$B$5&lt;&gt;"Да",0,IFERROR((SUMIF(INDIRECT("'["&amp;НАСТРОЙКИ!$D$5&amp;"]КРЕДИТЫ'!$S$3:$EO$3"),AT$22,INDIRECT("'["&amp;НАСТРОЙКИ!$D$5&amp;"]КРЕДИТЫ'!$S$40:$EO$40"))+SUMIF(INDIRECT("'["&amp;НАСТРОЙКИ!$D$5&amp;"]КРЕДИТЫ'!$S$3:$EO$3"),AT$22,INDIRECT("'["&amp;НАСТРОЙКИ!$D$5&amp;"]КРЕДИТЫ'!$S$61:$EO$61")))/1000000,0))</f>
        <v>0</v>
      </c>
      <c r="AU52" s="35">
        <f ca="1">IF(НАСТРОЙКИ!$B$5&lt;&gt;"Да",0,IFERROR((SUMIF(INDIRECT("'["&amp;НАСТРОЙКИ!$D$5&amp;"]КРЕДИТЫ'!$S$3:$EO$3"),AU$22,INDIRECT("'["&amp;НАСТРОЙКИ!$D$5&amp;"]КРЕДИТЫ'!$S$40:$EO$40"))+SUMIF(INDIRECT("'["&amp;НАСТРОЙКИ!$D$5&amp;"]КРЕДИТЫ'!$S$3:$EO$3"),AU$22,INDIRECT("'["&amp;НАСТРОЙКИ!$D$5&amp;"]КРЕДИТЫ'!$S$61:$EO$61")))/1000000,0))</f>
        <v>0</v>
      </c>
      <c r="AV52" s="35">
        <f ca="1">IF(НАСТРОЙКИ!$B$5&lt;&gt;"Да",0,IFERROR((SUMIF(INDIRECT("'["&amp;НАСТРОЙКИ!$D$5&amp;"]КРЕДИТЫ'!$S$3:$EO$3"),AV$22,INDIRECT("'["&amp;НАСТРОЙКИ!$D$5&amp;"]КРЕДИТЫ'!$S$40:$EO$40"))+SUMIF(INDIRECT("'["&amp;НАСТРОЙКИ!$D$5&amp;"]КРЕДИТЫ'!$S$3:$EO$3"),AV$22,INDIRECT("'["&amp;НАСТРОЙКИ!$D$5&amp;"]КРЕДИТЫ'!$S$61:$EO$61")))/1000000,0))</f>
        <v>0</v>
      </c>
      <c r="AW52" s="35">
        <f ca="1">IF(НАСТРОЙКИ!$B$5&lt;&gt;"Да",0,IFERROR((SUMIF(INDIRECT("'["&amp;НАСТРОЙКИ!$D$5&amp;"]КРЕДИТЫ'!$S$3:$EO$3"),AW$22,INDIRECT("'["&amp;НАСТРОЙКИ!$D$5&amp;"]КРЕДИТЫ'!$S$40:$EO$40"))+SUMIF(INDIRECT("'["&amp;НАСТРОЙКИ!$D$5&amp;"]КРЕДИТЫ'!$S$3:$EO$3"),AW$22,INDIRECT("'["&amp;НАСТРОЙКИ!$D$5&amp;"]КРЕДИТЫ'!$S$61:$EO$61")))/1000000,0))</f>
        <v>0</v>
      </c>
      <c r="AX52" s="35">
        <f ca="1">IF(НАСТРОЙКИ!$B$5&lt;&gt;"Да",0,IFERROR((SUMIF(INDIRECT("'["&amp;НАСТРОЙКИ!$D$5&amp;"]КРЕДИТЫ'!$S$3:$EO$3"),AX$22,INDIRECT("'["&amp;НАСТРОЙКИ!$D$5&amp;"]КРЕДИТЫ'!$S$40:$EO$40"))+SUMIF(INDIRECT("'["&amp;НАСТРОЙКИ!$D$5&amp;"]КРЕДИТЫ'!$S$3:$EO$3"),AX$22,INDIRECT("'["&amp;НАСТРОЙКИ!$D$5&amp;"]КРЕДИТЫ'!$S$61:$EO$61")))/1000000,0))</f>
        <v>0</v>
      </c>
      <c r="AY52" s="35">
        <f ca="1">IF(НАСТРОЙКИ!$B$5&lt;&gt;"Да",0,IFERROR((SUMIF(INDIRECT("'["&amp;НАСТРОЙКИ!$D$5&amp;"]КРЕДИТЫ'!$S$3:$EO$3"),AY$22,INDIRECT("'["&amp;НАСТРОЙКИ!$D$5&amp;"]КРЕДИТЫ'!$S$40:$EO$40"))+SUMIF(INDIRECT("'["&amp;НАСТРОЙКИ!$D$5&amp;"]КРЕДИТЫ'!$S$3:$EO$3"),AY$22,INDIRECT("'["&amp;НАСТРОЙКИ!$D$5&amp;"]КРЕДИТЫ'!$S$61:$EO$61")))/1000000,0))</f>
        <v>0</v>
      </c>
      <c r="AZ52" s="35">
        <f ca="1">IF(НАСТРОЙКИ!$B$5&lt;&gt;"Да",0,IFERROR((SUMIF(INDIRECT("'["&amp;НАСТРОЙКИ!$D$5&amp;"]КРЕДИТЫ'!$S$3:$EO$3"),AZ$22,INDIRECT("'["&amp;НАСТРОЙКИ!$D$5&amp;"]КРЕДИТЫ'!$S$40:$EO$40"))+SUMIF(INDIRECT("'["&amp;НАСТРОЙКИ!$D$5&amp;"]КРЕДИТЫ'!$S$3:$EO$3"),AZ$22,INDIRECT("'["&amp;НАСТРОЙКИ!$D$5&amp;"]КРЕДИТЫ'!$S$61:$EO$61")))/1000000,0))</f>
        <v>0</v>
      </c>
      <c r="BA52" s="35">
        <f ca="1">IF(НАСТРОЙКИ!$B$5&lt;&gt;"Да",0,IFERROR((SUMIF(INDIRECT("'["&amp;НАСТРОЙКИ!$D$5&amp;"]КРЕДИТЫ'!$S$3:$EO$3"),BA$22,INDIRECT("'["&amp;НАСТРОЙКИ!$D$5&amp;"]КРЕДИТЫ'!$S$40:$EO$40"))+SUMIF(INDIRECT("'["&amp;НАСТРОЙКИ!$D$5&amp;"]КРЕДИТЫ'!$S$3:$EO$3"),BA$22,INDIRECT("'["&amp;НАСТРОЙКИ!$D$5&amp;"]КРЕДИТЫ'!$S$61:$EO$61")))/1000000,0))</f>
        <v>0</v>
      </c>
      <c r="BB52" s="35">
        <f ca="1">IF(НАСТРОЙКИ!$B$5&lt;&gt;"Да",0,IFERROR((SUMIF(INDIRECT("'["&amp;НАСТРОЙКИ!$D$5&amp;"]КРЕДИТЫ'!$S$3:$EO$3"),BB$22,INDIRECT("'["&amp;НАСТРОЙКИ!$D$5&amp;"]КРЕДИТЫ'!$S$40:$EO$40"))+SUMIF(INDIRECT("'["&amp;НАСТРОЙКИ!$D$5&amp;"]КРЕДИТЫ'!$S$3:$EO$3"),BB$22,INDIRECT("'["&amp;НАСТРОЙКИ!$D$5&amp;"]КРЕДИТЫ'!$S$61:$EO$61")))/1000000,0))</f>
        <v>0</v>
      </c>
      <c r="BC52" s="35">
        <f ca="1">IF(НАСТРОЙКИ!$B$5&lt;&gt;"Да",0,IFERROR((SUMIF(INDIRECT("'["&amp;НАСТРОЙКИ!$D$5&amp;"]КРЕДИТЫ'!$S$3:$EO$3"),BC$22,INDIRECT("'["&amp;НАСТРОЙКИ!$D$5&amp;"]КРЕДИТЫ'!$S$40:$EO$40"))+SUMIF(INDIRECT("'["&amp;НАСТРОЙКИ!$D$5&amp;"]КРЕДИТЫ'!$S$3:$EO$3"),BC$22,INDIRECT("'["&amp;НАСТРОЙКИ!$D$5&amp;"]КРЕДИТЫ'!$S$61:$EO$61")))/1000000,0))</f>
        <v>0</v>
      </c>
      <c r="BD52" s="35">
        <f ca="1">IF(НАСТРОЙКИ!$B$5&lt;&gt;"Да",0,IFERROR((SUMIF(INDIRECT("'["&amp;НАСТРОЙКИ!$D$5&amp;"]КРЕДИТЫ'!$S$3:$EO$3"),BD$22,INDIRECT("'["&amp;НАСТРОЙКИ!$D$5&amp;"]КРЕДИТЫ'!$S$40:$EO$40"))+SUMIF(INDIRECT("'["&amp;НАСТРОЙКИ!$D$5&amp;"]КРЕДИТЫ'!$S$3:$EO$3"),BD$22,INDIRECT("'["&amp;НАСТРОЙКИ!$D$5&amp;"]КРЕДИТЫ'!$S$61:$EO$61")))/1000000,0))</f>
        <v>0</v>
      </c>
      <c r="BE52" s="35">
        <f ca="1">IF(НАСТРОЙКИ!$B$5&lt;&gt;"Да",0,IFERROR((SUMIF(INDIRECT("'["&amp;НАСТРОЙКИ!$D$5&amp;"]КРЕДИТЫ'!$S$3:$EO$3"),BE$22,INDIRECT("'["&amp;НАСТРОЙКИ!$D$5&amp;"]КРЕДИТЫ'!$S$40:$EO$40"))+SUMIF(INDIRECT("'["&amp;НАСТРОЙКИ!$D$5&amp;"]КРЕДИТЫ'!$S$3:$EO$3"),BE$22,INDIRECT("'["&amp;НАСТРОЙКИ!$D$5&amp;"]КРЕДИТЫ'!$S$61:$EO$61")))/1000000,0))</f>
        <v>0</v>
      </c>
      <c r="BF52" s="35">
        <f ca="1">IF(НАСТРОЙКИ!$B$5&lt;&gt;"Да",0,IFERROR((SUMIF(INDIRECT("'["&amp;НАСТРОЙКИ!$D$5&amp;"]КРЕДИТЫ'!$S$3:$EO$3"),BF$22,INDIRECT("'["&amp;НАСТРОЙКИ!$D$5&amp;"]КРЕДИТЫ'!$S$40:$EO$40"))+SUMIF(INDIRECT("'["&amp;НАСТРОЙКИ!$D$5&amp;"]КРЕДИТЫ'!$S$3:$EO$3"),BF$22,INDIRECT("'["&amp;НАСТРОЙКИ!$D$5&amp;"]КРЕДИТЫ'!$S$61:$EO$61")))/1000000,0))</f>
        <v>0</v>
      </c>
      <c r="BG52" s="35">
        <f ca="1">IF(НАСТРОЙКИ!$B$5&lt;&gt;"Да",0,IFERROR((SUMIF(INDIRECT("'["&amp;НАСТРОЙКИ!$D$5&amp;"]КРЕДИТЫ'!$S$3:$EO$3"),BG$22,INDIRECT("'["&amp;НАСТРОЙКИ!$D$5&amp;"]КРЕДИТЫ'!$S$40:$EO$40"))+SUMIF(INDIRECT("'["&amp;НАСТРОЙКИ!$D$5&amp;"]КРЕДИТЫ'!$S$3:$EO$3"),BG$22,INDIRECT("'["&amp;НАСТРОЙКИ!$D$5&amp;"]КРЕДИТЫ'!$S$61:$EO$61")))/1000000,0))</f>
        <v>0</v>
      </c>
      <c r="BH52" s="35">
        <f ca="1">IF(НАСТРОЙКИ!$B$5&lt;&gt;"Да",0,IFERROR((SUMIF(INDIRECT("'["&amp;НАСТРОЙКИ!$D$5&amp;"]КРЕДИТЫ'!$S$3:$EO$3"),BH$22,INDIRECT("'["&amp;НАСТРОЙКИ!$D$5&amp;"]КРЕДИТЫ'!$S$40:$EO$40"))+SUMIF(INDIRECT("'["&amp;НАСТРОЙКИ!$D$5&amp;"]КРЕДИТЫ'!$S$3:$EO$3"),BH$22,INDIRECT("'["&amp;НАСТРОЙКИ!$D$5&amp;"]КРЕДИТЫ'!$S$61:$EO$61")))/1000000,0))</f>
        <v>0</v>
      </c>
      <c r="BI52" s="35">
        <f ca="1">IF(НАСТРОЙКИ!$B$5&lt;&gt;"Да",0,IFERROR((SUMIF(INDIRECT("'["&amp;НАСТРОЙКИ!$D$5&amp;"]КРЕДИТЫ'!$S$3:$EO$3"),BI$22,INDIRECT("'["&amp;НАСТРОЙКИ!$D$5&amp;"]КРЕДИТЫ'!$S$40:$EO$40"))+SUMIF(INDIRECT("'["&amp;НАСТРОЙКИ!$D$5&amp;"]КРЕДИТЫ'!$S$3:$EO$3"),BI$22,INDIRECT("'["&amp;НАСТРОЙКИ!$D$5&amp;"]КРЕДИТЫ'!$S$61:$EO$61")))/1000000,0))</f>
        <v>0</v>
      </c>
      <c r="BJ52" s="35">
        <f ca="1">IF(НАСТРОЙКИ!$B$5&lt;&gt;"Да",0,IFERROR((SUMIF(INDIRECT("'["&amp;НАСТРОЙКИ!$D$5&amp;"]КРЕДИТЫ'!$S$3:$EO$3"),BJ$22,INDIRECT("'["&amp;НАСТРОЙКИ!$D$5&amp;"]КРЕДИТЫ'!$S$40:$EO$40"))+SUMIF(INDIRECT("'["&amp;НАСТРОЙКИ!$D$5&amp;"]КРЕДИТЫ'!$S$3:$EO$3"),BJ$22,INDIRECT("'["&amp;НАСТРОЙКИ!$D$5&amp;"]КРЕДИТЫ'!$S$61:$EO$61")))/1000000,0))</f>
        <v>0</v>
      </c>
      <c r="BK52" s="35">
        <f ca="1">IF(НАСТРОЙКИ!$B$5&lt;&gt;"Да",0,IFERROR((SUMIF(INDIRECT("'["&amp;НАСТРОЙКИ!$D$5&amp;"]КРЕДИТЫ'!$S$3:$EO$3"),BK$22,INDIRECT("'["&amp;НАСТРОЙКИ!$D$5&amp;"]КРЕДИТЫ'!$S$40:$EO$40"))+SUMIF(INDIRECT("'["&amp;НАСТРОЙКИ!$D$5&amp;"]КРЕДИТЫ'!$S$3:$EO$3"),BK$22,INDIRECT("'["&amp;НАСТРОЙКИ!$D$5&amp;"]КРЕДИТЫ'!$S$61:$EO$61")))/1000000,0))</f>
        <v>0</v>
      </c>
      <c r="BL52" s="35">
        <f ca="1">IF(НАСТРОЙКИ!$B$5&lt;&gt;"Да",0,IFERROR((SUMIF(INDIRECT("'["&amp;НАСТРОЙКИ!$D$5&amp;"]КРЕДИТЫ'!$S$3:$EO$3"),BL$22,INDIRECT("'["&amp;НАСТРОЙКИ!$D$5&amp;"]КРЕДИТЫ'!$S$40:$EO$40"))+SUMIF(INDIRECT("'["&amp;НАСТРОЙКИ!$D$5&amp;"]КРЕДИТЫ'!$S$3:$EO$3"),BL$22,INDIRECT("'["&amp;НАСТРОЙКИ!$D$5&amp;"]КРЕДИТЫ'!$S$61:$EO$61")))/1000000,0))</f>
        <v>0</v>
      </c>
      <c r="BM52" s="35">
        <f ca="1">IF(НАСТРОЙКИ!$B$5&lt;&gt;"Да",0,IFERROR((SUMIF(INDIRECT("'["&amp;НАСТРОЙКИ!$D$5&amp;"]КРЕДИТЫ'!$S$3:$EO$3"),BM$22,INDIRECT("'["&amp;НАСТРОЙКИ!$D$5&amp;"]КРЕДИТЫ'!$S$40:$EO$40"))+SUMIF(INDIRECT("'["&amp;НАСТРОЙКИ!$D$5&amp;"]КРЕДИТЫ'!$S$3:$EO$3"),BM$22,INDIRECT("'["&amp;НАСТРОЙКИ!$D$5&amp;"]КРЕДИТЫ'!$S$61:$EO$61")))/1000000,0))</f>
        <v>0</v>
      </c>
      <c r="BN52" s="35">
        <f ca="1">IF(НАСТРОЙКИ!$B$5&lt;&gt;"Да",0,IFERROR((SUMIF(INDIRECT("'["&amp;НАСТРОЙКИ!$D$5&amp;"]КРЕДИТЫ'!$S$3:$EO$3"),BN$22,INDIRECT("'["&amp;НАСТРОЙКИ!$D$5&amp;"]КРЕДИТЫ'!$S$40:$EO$40"))+SUMIF(INDIRECT("'["&amp;НАСТРОЙКИ!$D$5&amp;"]КРЕДИТЫ'!$S$3:$EO$3"),BN$22,INDIRECT("'["&amp;НАСТРОЙКИ!$D$5&amp;"]КРЕДИТЫ'!$S$61:$EO$61")))/1000000,0))</f>
        <v>0</v>
      </c>
      <c r="BO52" s="35">
        <f ca="1">IF(НАСТРОЙКИ!$B$5&lt;&gt;"Да",0,IFERROR((SUMIF(INDIRECT("'["&amp;НАСТРОЙКИ!$D$5&amp;"]КРЕДИТЫ'!$S$3:$EO$3"),BO$22,INDIRECT("'["&amp;НАСТРОЙКИ!$D$5&amp;"]КРЕДИТЫ'!$S$40:$EO$40"))+SUMIF(INDIRECT("'["&amp;НАСТРОЙКИ!$D$5&amp;"]КРЕДИТЫ'!$S$3:$EO$3"),BO$22,INDIRECT("'["&amp;НАСТРОЙКИ!$D$5&amp;"]КРЕДИТЫ'!$S$61:$EO$61")))/1000000,0))</f>
        <v>0</v>
      </c>
      <c r="BP52" s="35">
        <f ca="1">IF(НАСТРОЙКИ!$B$5&lt;&gt;"Да",0,IFERROR((SUMIF(INDIRECT("'["&amp;НАСТРОЙКИ!$D$5&amp;"]КРЕДИТЫ'!$S$3:$EO$3"),BP$22,INDIRECT("'["&amp;НАСТРОЙКИ!$D$5&amp;"]КРЕДИТЫ'!$S$40:$EO$40"))+SUMIF(INDIRECT("'["&amp;НАСТРОЙКИ!$D$5&amp;"]КРЕДИТЫ'!$S$3:$EO$3"),BP$22,INDIRECT("'["&amp;НАСТРОЙКИ!$D$5&amp;"]КРЕДИТЫ'!$S$61:$EO$61")))/1000000,0))</f>
        <v>0</v>
      </c>
      <c r="BQ52" s="35">
        <f ca="1">IF(НАСТРОЙКИ!$B$5&lt;&gt;"Да",0,IFERROR((SUMIF(INDIRECT("'["&amp;НАСТРОЙКИ!$D$5&amp;"]КРЕДИТЫ'!$S$3:$EO$3"),BQ$22,INDIRECT("'["&amp;НАСТРОЙКИ!$D$5&amp;"]КРЕДИТЫ'!$S$40:$EO$40"))+SUMIF(INDIRECT("'["&amp;НАСТРОЙКИ!$D$5&amp;"]КРЕДИТЫ'!$S$3:$EO$3"),BQ$22,INDIRECT("'["&amp;НАСТРОЙКИ!$D$5&amp;"]КРЕДИТЫ'!$S$61:$EO$61")))/1000000,0))</f>
        <v>0</v>
      </c>
      <c r="BR52" s="35">
        <f ca="1">IF(НАСТРОЙКИ!$B$5&lt;&gt;"Да",0,IFERROR((SUMIF(INDIRECT("'["&amp;НАСТРОЙКИ!$D$5&amp;"]КРЕДИТЫ'!$S$3:$EO$3"),BR$22,INDIRECT("'["&amp;НАСТРОЙКИ!$D$5&amp;"]КРЕДИТЫ'!$S$40:$EO$40"))+SUMIF(INDIRECT("'["&amp;НАСТРОЙКИ!$D$5&amp;"]КРЕДИТЫ'!$S$3:$EO$3"),BR$22,INDIRECT("'["&amp;НАСТРОЙКИ!$D$5&amp;"]КРЕДИТЫ'!$S$61:$EO$61")))/1000000,0))</f>
        <v>0</v>
      </c>
      <c r="BS52" s="35">
        <f ca="1">IF(НАСТРОЙКИ!$B$5&lt;&gt;"Да",0,IFERROR((SUMIF(INDIRECT("'["&amp;НАСТРОЙКИ!$D$5&amp;"]КРЕДИТЫ'!$S$3:$EO$3"),BS$22,INDIRECT("'["&amp;НАСТРОЙКИ!$D$5&amp;"]КРЕДИТЫ'!$S$40:$EO$40"))+SUMIF(INDIRECT("'["&amp;НАСТРОЙКИ!$D$5&amp;"]КРЕДИТЫ'!$S$3:$EO$3"),BS$22,INDIRECT("'["&amp;НАСТРОЙКИ!$D$5&amp;"]КРЕДИТЫ'!$S$61:$EO$61")))/1000000,0))</f>
        <v>0</v>
      </c>
      <c r="BT52" s="35">
        <f ca="1">IF(НАСТРОЙКИ!$B$5&lt;&gt;"Да",0,IFERROR((SUMIF(INDIRECT("'["&amp;НАСТРОЙКИ!$D$5&amp;"]КРЕДИТЫ'!$S$3:$EO$3"),BT$22,INDIRECT("'["&amp;НАСТРОЙКИ!$D$5&amp;"]КРЕДИТЫ'!$S$40:$EO$40"))+SUMIF(INDIRECT("'["&amp;НАСТРОЙКИ!$D$5&amp;"]КРЕДИТЫ'!$S$3:$EO$3"),BT$22,INDIRECT("'["&amp;НАСТРОЙКИ!$D$5&amp;"]КРЕДИТЫ'!$S$61:$EO$61")))/1000000,0))</f>
        <v>0</v>
      </c>
      <c r="BU52" s="35">
        <f ca="1">IF(НАСТРОЙКИ!$B$5&lt;&gt;"Да",0,IFERROR((SUMIF(INDIRECT("'["&amp;НАСТРОЙКИ!$D$5&amp;"]КРЕДИТЫ'!$S$3:$EO$3"),BU$22,INDIRECT("'["&amp;НАСТРОЙКИ!$D$5&amp;"]КРЕДИТЫ'!$S$40:$EO$40"))+SUMIF(INDIRECT("'["&amp;НАСТРОЙКИ!$D$5&amp;"]КРЕДИТЫ'!$S$3:$EO$3"),BU$22,INDIRECT("'["&amp;НАСТРОЙКИ!$D$5&amp;"]КРЕДИТЫ'!$S$61:$EO$61")))/1000000,0))</f>
        <v>0</v>
      </c>
      <c r="BV52" s="35">
        <f ca="1">IF(НАСТРОЙКИ!$B$5&lt;&gt;"Да",0,IFERROR((SUMIF(INDIRECT("'["&amp;НАСТРОЙКИ!$D$5&amp;"]КРЕДИТЫ'!$S$3:$EO$3"),BV$22,INDIRECT("'["&amp;НАСТРОЙКИ!$D$5&amp;"]КРЕДИТЫ'!$S$40:$EO$40"))+SUMIF(INDIRECT("'["&amp;НАСТРОЙКИ!$D$5&amp;"]КРЕДИТЫ'!$S$3:$EO$3"),BV$22,INDIRECT("'["&amp;НАСТРОЙКИ!$D$5&amp;"]КРЕДИТЫ'!$S$61:$EO$61")))/1000000,0))</f>
        <v>0</v>
      </c>
      <c r="BW52" s="35">
        <f ca="1">IF(НАСТРОЙКИ!$B$5&lt;&gt;"Да",0,IFERROR((SUMIF(INDIRECT("'["&amp;НАСТРОЙКИ!$D$5&amp;"]КРЕДИТЫ'!$S$3:$EO$3"),BW$22,INDIRECT("'["&amp;НАСТРОЙКИ!$D$5&amp;"]КРЕДИТЫ'!$S$40:$EO$40"))+SUMIF(INDIRECT("'["&amp;НАСТРОЙКИ!$D$5&amp;"]КРЕДИТЫ'!$S$3:$EO$3"),BW$22,INDIRECT("'["&amp;НАСТРОЙКИ!$D$5&amp;"]КРЕДИТЫ'!$S$61:$EO$61")))/1000000,0))</f>
        <v>0</v>
      </c>
      <c r="BX52" s="35">
        <f ca="1">IF(НАСТРОЙКИ!$B$5&lt;&gt;"Да",0,IFERROR((SUMIF(INDIRECT("'["&amp;НАСТРОЙКИ!$D$5&amp;"]КРЕДИТЫ'!$S$3:$EO$3"),BX$22,INDIRECT("'["&amp;НАСТРОЙКИ!$D$5&amp;"]КРЕДИТЫ'!$S$40:$EO$40"))+SUMIF(INDIRECT("'["&amp;НАСТРОЙКИ!$D$5&amp;"]КРЕДИТЫ'!$S$3:$EO$3"),BX$22,INDIRECT("'["&amp;НАСТРОЙКИ!$D$5&amp;"]КРЕДИТЫ'!$S$61:$EO$61")))/1000000,0))</f>
        <v>0</v>
      </c>
      <c r="BY52" s="35">
        <f ca="1">IF(НАСТРОЙКИ!$B$5&lt;&gt;"Да",0,IFERROR((SUMIF(INDIRECT("'["&amp;НАСТРОЙКИ!$D$5&amp;"]КРЕДИТЫ'!$S$3:$EO$3"),BY$22,INDIRECT("'["&amp;НАСТРОЙКИ!$D$5&amp;"]КРЕДИТЫ'!$S$40:$EO$40"))+SUMIF(INDIRECT("'["&amp;НАСТРОЙКИ!$D$5&amp;"]КРЕДИТЫ'!$S$3:$EO$3"),BY$22,INDIRECT("'["&amp;НАСТРОЙКИ!$D$5&amp;"]КРЕДИТЫ'!$S$61:$EO$61")))/1000000,0))</f>
        <v>0</v>
      </c>
      <c r="BZ52" s="35">
        <f ca="1">IF(НАСТРОЙКИ!$B$5&lt;&gt;"Да",0,IFERROR((SUMIF(INDIRECT("'["&amp;НАСТРОЙКИ!$D$5&amp;"]КРЕДИТЫ'!$S$3:$EO$3"),BZ$22,INDIRECT("'["&amp;НАСТРОЙКИ!$D$5&amp;"]КРЕДИТЫ'!$S$40:$EO$40"))+SUMIF(INDIRECT("'["&amp;НАСТРОЙКИ!$D$5&amp;"]КРЕДИТЫ'!$S$3:$EO$3"),BZ$22,INDIRECT("'["&amp;НАСТРОЙКИ!$D$5&amp;"]КРЕДИТЫ'!$S$61:$EO$61")))/1000000,0))</f>
        <v>0</v>
      </c>
      <c r="CA52" s="35">
        <f ca="1">IF(НАСТРОЙКИ!$B$5&lt;&gt;"Да",0,IFERROR((SUMIF(INDIRECT("'["&amp;НАСТРОЙКИ!$D$5&amp;"]КРЕДИТЫ'!$S$3:$EO$3"),CA$22,INDIRECT("'["&amp;НАСТРОЙКИ!$D$5&amp;"]КРЕДИТЫ'!$S$40:$EO$40"))+SUMIF(INDIRECT("'["&amp;НАСТРОЙКИ!$D$5&amp;"]КРЕДИТЫ'!$S$3:$EO$3"),CA$22,INDIRECT("'["&amp;НАСТРОЙКИ!$D$5&amp;"]КРЕДИТЫ'!$S$61:$EO$61")))/1000000,0))</f>
        <v>0</v>
      </c>
      <c r="CB52" s="35">
        <f ca="1">IF(НАСТРОЙКИ!$B$5&lt;&gt;"Да",0,IFERROR((SUMIF(INDIRECT("'["&amp;НАСТРОЙКИ!$D$5&amp;"]КРЕДИТЫ'!$S$3:$EO$3"),CB$22,INDIRECT("'["&amp;НАСТРОЙКИ!$D$5&amp;"]КРЕДИТЫ'!$S$40:$EO$40"))+SUMIF(INDIRECT("'["&amp;НАСТРОЙКИ!$D$5&amp;"]КРЕДИТЫ'!$S$3:$EO$3"),CB$22,INDIRECT("'["&amp;НАСТРОЙКИ!$D$5&amp;"]КРЕДИТЫ'!$S$61:$EO$61")))/1000000,0))</f>
        <v>0</v>
      </c>
      <c r="CC52" s="35">
        <f ca="1">IF(НАСТРОЙКИ!$B$5&lt;&gt;"Да",0,IFERROR((SUMIF(INDIRECT("'["&amp;НАСТРОЙКИ!$D$5&amp;"]КРЕДИТЫ'!$S$3:$EO$3"),CC$22,INDIRECT("'["&amp;НАСТРОЙКИ!$D$5&amp;"]КРЕДИТЫ'!$S$40:$EO$40"))+SUMIF(INDIRECT("'["&amp;НАСТРОЙКИ!$D$5&amp;"]КРЕДИТЫ'!$S$3:$EO$3"),CC$22,INDIRECT("'["&amp;НАСТРОЙКИ!$D$5&amp;"]КРЕДИТЫ'!$S$61:$EO$61")))/1000000,0))</f>
        <v>0</v>
      </c>
      <c r="CD52" s="35">
        <f ca="1">IF(НАСТРОЙКИ!$B$5&lt;&gt;"Да",0,IFERROR((SUMIF(INDIRECT("'["&amp;НАСТРОЙКИ!$D$5&amp;"]КРЕДИТЫ'!$S$3:$EO$3"),CD$22,INDIRECT("'["&amp;НАСТРОЙКИ!$D$5&amp;"]КРЕДИТЫ'!$S$40:$EO$40"))+SUMIF(INDIRECT("'["&amp;НАСТРОЙКИ!$D$5&amp;"]КРЕДИТЫ'!$S$3:$EO$3"),CD$22,INDIRECT("'["&amp;НАСТРОЙКИ!$D$5&amp;"]КРЕДИТЫ'!$S$61:$EO$61")))/1000000,0))</f>
        <v>0</v>
      </c>
      <c r="CE52" s="35">
        <f ca="1">IF(НАСТРОЙКИ!$B$5&lt;&gt;"Да",0,IFERROR((SUMIF(INDIRECT("'["&amp;НАСТРОЙКИ!$D$5&amp;"]КРЕДИТЫ'!$S$3:$EO$3"),CE$22,INDIRECT("'["&amp;НАСТРОЙКИ!$D$5&amp;"]КРЕДИТЫ'!$S$40:$EO$40"))+SUMIF(INDIRECT("'["&amp;НАСТРОЙКИ!$D$5&amp;"]КРЕДИТЫ'!$S$3:$EO$3"),CE$22,INDIRECT("'["&amp;НАСТРОЙКИ!$D$5&amp;"]КРЕДИТЫ'!$S$61:$EO$61")))/1000000,0))</f>
        <v>0</v>
      </c>
      <c r="CF52" s="35">
        <f ca="1">IF(НАСТРОЙКИ!$B$5&lt;&gt;"Да",0,IFERROR((SUMIF(INDIRECT("'["&amp;НАСТРОЙКИ!$D$5&amp;"]КРЕДИТЫ'!$S$3:$EO$3"),CF$22,INDIRECT("'["&amp;НАСТРОЙКИ!$D$5&amp;"]КРЕДИТЫ'!$S$40:$EO$40"))+SUMIF(INDIRECT("'["&amp;НАСТРОЙКИ!$D$5&amp;"]КРЕДИТЫ'!$S$3:$EO$3"),CF$22,INDIRECT("'["&amp;НАСТРОЙКИ!$D$5&amp;"]КРЕДИТЫ'!$S$61:$EO$61")))/1000000,0))</f>
        <v>0</v>
      </c>
      <c r="CG52" s="35">
        <f ca="1">IF(НАСТРОЙКИ!$B$5&lt;&gt;"Да",0,IFERROR((SUMIF(INDIRECT("'["&amp;НАСТРОЙКИ!$D$5&amp;"]КРЕДИТЫ'!$S$3:$EO$3"),CG$22,INDIRECT("'["&amp;НАСТРОЙКИ!$D$5&amp;"]КРЕДИТЫ'!$S$40:$EO$40"))+SUMIF(INDIRECT("'["&amp;НАСТРОЙКИ!$D$5&amp;"]КРЕДИТЫ'!$S$3:$EO$3"),CG$22,INDIRECT("'["&amp;НАСТРОЙКИ!$D$5&amp;"]КРЕДИТЫ'!$S$61:$EO$61")))/1000000,0))</f>
        <v>0</v>
      </c>
      <c r="CH52" s="35">
        <f ca="1">IF(НАСТРОЙКИ!$B$5&lt;&gt;"Да",0,IFERROR((SUMIF(INDIRECT("'["&amp;НАСТРОЙКИ!$D$5&amp;"]КРЕДИТЫ'!$S$3:$EO$3"),CH$22,INDIRECT("'["&amp;НАСТРОЙКИ!$D$5&amp;"]КРЕДИТЫ'!$S$40:$EO$40"))+SUMIF(INDIRECT("'["&amp;НАСТРОЙКИ!$D$5&amp;"]КРЕДИТЫ'!$S$3:$EO$3"),CH$22,INDIRECT("'["&amp;НАСТРОЙКИ!$D$5&amp;"]КРЕДИТЫ'!$S$61:$EO$61")))/1000000,0))</f>
        <v>0</v>
      </c>
      <c r="CI52" s="35">
        <f ca="1">IF(НАСТРОЙКИ!$B$5&lt;&gt;"Да",0,IFERROR((SUMIF(INDIRECT("'["&amp;НАСТРОЙКИ!$D$5&amp;"]КРЕДИТЫ'!$S$3:$EO$3"),CI$22,INDIRECT("'["&amp;НАСТРОЙКИ!$D$5&amp;"]КРЕДИТЫ'!$S$40:$EO$40"))+SUMIF(INDIRECT("'["&amp;НАСТРОЙКИ!$D$5&amp;"]КРЕДИТЫ'!$S$3:$EO$3"),CI$22,INDIRECT("'["&amp;НАСТРОЙКИ!$D$5&amp;"]КРЕДИТЫ'!$S$61:$EO$61")))/1000000,0))</f>
        <v>0</v>
      </c>
      <c r="CJ52" s="35">
        <f ca="1">IF(НАСТРОЙКИ!$B$5&lt;&gt;"Да",0,IFERROR((SUMIF(INDIRECT("'["&amp;НАСТРОЙКИ!$D$5&amp;"]КРЕДИТЫ'!$S$3:$EO$3"),CJ$22,INDIRECT("'["&amp;НАСТРОЙКИ!$D$5&amp;"]КРЕДИТЫ'!$S$40:$EO$40"))+SUMIF(INDIRECT("'["&amp;НАСТРОЙКИ!$D$5&amp;"]КРЕДИТЫ'!$S$3:$EO$3"),CJ$22,INDIRECT("'["&amp;НАСТРОЙКИ!$D$5&amp;"]КРЕДИТЫ'!$S$61:$EO$61")))/1000000,0))</f>
        <v>0</v>
      </c>
      <c r="CK52" s="35">
        <f ca="1">IF(НАСТРОЙКИ!$B$5&lt;&gt;"Да",0,IFERROR((SUMIF(INDIRECT("'["&amp;НАСТРОЙКИ!$D$5&amp;"]КРЕДИТЫ'!$S$3:$EO$3"),CK$22,INDIRECT("'["&amp;НАСТРОЙКИ!$D$5&amp;"]КРЕДИТЫ'!$S$40:$EO$40"))+SUMIF(INDIRECT("'["&amp;НАСТРОЙКИ!$D$5&amp;"]КРЕДИТЫ'!$S$3:$EO$3"),CK$22,INDIRECT("'["&amp;НАСТРОЙКИ!$D$5&amp;"]КРЕДИТЫ'!$S$61:$EO$61")))/1000000,0))</f>
        <v>0</v>
      </c>
      <c r="CL52" s="35">
        <f ca="1">IF(НАСТРОЙКИ!$B$5&lt;&gt;"Да",0,IFERROR((SUMIF(INDIRECT("'["&amp;НАСТРОЙКИ!$D$5&amp;"]КРЕДИТЫ'!$S$3:$EO$3"),CL$22,INDIRECT("'["&amp;НАСТРОЙКИ!$D$5&amp;"]КРЕДИТЫ'!$S$40:$EO$40"))+SUMIF(INDIRECT("'["&amp;НАСТРОЙКИ!$D$5&amp;"]КРЕДИТЫ'!$S$3:$EO$3"),CL$22,INDIRECT("'["&amp;НАСТРОЙКИ!$D$5&amp;"]КРЕДИТЫ'!$S$61:$EO$61")))/1000000,0))</f>
        <v>0</v>
      </c>
      <c r="CM52" s="35">
        <f ca="1">IF(НАСТРОЙКИ!$B$5&lt;&gt;"Да",0,IFERROR((SUMIF(INDIRECT("'["&amp;НАСТРОЙКИ!$D$5&amp;"]КРЕДИТЫ'!$S$3:$EO$3"),CM$22,INDIRECT("'["&amp;НАСТРОЙКИ!$D$5&amp;"]КРЕДИТЫ'!$S$40:$EO$40"))+SUMIF(INDIRECT("'["&amp;НАСТРОЙКИ!$D$5&amp;"]КРЕДИТЫ'!$S$3:$EO$3"),CM$22,INDIRECT("'["&amp;НАСТРОЙКИ!$D$5&amp;"]КРЕДИТЫ'!$S$61:$EO$61")))/1000000,0))</f>
        <v>0</v>
      </c>
      <c r="CN52" s="35">
        <f ca="1">IF(НАСТРОЙКИ!$B$5&lt;&gt;"Да",0,IFERROR((SUMIF(INDIRECT("'["&amp;НАСТРОЙКИ!$D$5&amp;"]КРЕДИТЫ'!$S$3:$EO$3"),CN$22,INDIRECT("'["&amp;НАСТРОЙКИ!$D$5&amp;"]КРЕДИТЫ'!$S$40:$EO$40"))+SUMIF(INDIRECT("'["&amp;НАСТРОЙКИ!$D$5&amp;"]КРЕДИТЫ'!$S$3:$EO$3"),CN$22,INDIRECT("'["&amp;НАСТРОЙКИ!$D$5&amp;"]КРЕДИТЫ'!$S$61:$EO$61")))/1000000,0))</f>
        <v>0</v>
      </c>
      <c r="CO52" s="35">
        <f ca="1">IF(НАСТРОЙКИ!$B$5&lt;&gt;"Да",0,IFERROR((SUMIF(INDIRECT("'["&amp;НАСТРОЙКИ!$D$5&amp;"]КРЕДИТЫ'!$S$3:$EO$3"),CO$22,INDIRECT("'["&amp;НАСТРОЙКИ!$D$5&amp;"]КРЕДИТЫ'!$S$40:$EO$40"))+SUMIF(INDIRECT("'["&amp;НАСТРОЙКИ!$D$5&amp;"]КРЕДИТЫ'!$S$3:$EO$3"),CO$22,INDIRECT("'["&amp;НАСТРОЙКИ!$D$5&amp;"]КРЕДИТЫ'!$S$61:$EO$61")))/1000000,0))</f>
        <v>0</v>
      </c>
      <c r="CP52" s="35">
        <f ca="1">IF(НАСТРОЙКИ!$B$5&lt;&gt;"Да",0,IFERROR((SUMIF(INDIRECT("'["&amp;НАСТРОЙКИ!$D$5&amp;"]КРЕДИТЫ'!$S$3:$EO$3"),CP$22,INDIRECT("'["&amp;НАСТРОЙКИ!$D$5&amp;"]КРЕДИТЫ'!$S$40:$EO$40"))+SUMIF(INDIRECT("'["&amp;НАСТРОЙКИ!$D$5&amp;"]КРЕДИТЫ'!$S$3:$EO$3"),CP$22,INDIRECT("'["&amp;НАСТРОЙКИ!$D$5&amp;"]КРЕДИТЫ'!$S$61:$EO$61")))/1000000,0))</f>
        <v>0</v>
      </c>
      <c r="CQ52" s="35">
        <f ca="1">IF(НАСТРОЙКИ!$B$5&lt;&gt;"Да",0,IFERROR((SUMIF(INDIRECT("'["&amp;НАСТРОЙКИ!$D$5&amp;"]КРЕДИТЫ'!$S$3:$EO$3"),CQ$22,INDIRECT("'["&amp;НАСТРОЙКИ!$D$5&amp;"]КРЕДИТЫ'!$S$40:$EO$40"))+SUMIF(INDIRECT("'["&amp;НАСТРОЙКИ!$D$5&amp;"]КРЕДИТЫ'!$S$3:$EO$3"),CQ$22,INDIRECT("'["&amp;НАСТРОЙКИ!$D$5&amp;"]КРЕДИТЫ'!$S$61:$EO$61")))/1000000,0))</f>
        <v>0</v>
      </c>
      <c r="CR52" s="35">
        <f ca="1">IF(НАСТРОЙКИ!$B$5&lt;&gt;"Да",0,IFERROR((SUMIF(INDIRECT("'["&amp;НАСТРОЙКИ!$D$5&amp;"]КРЕДИТЫ'!$S$3:$EO$3"),CR$22,INDIRECT("'["&amp;НАСТРОЙКИ!$D$5&amp;"]КРЕДИТЫ'!$S$40:$EO$40"))+SUMIF(INDIRECT("'["&amp;НАСТРОЙКИ!$D$5&amp;"]КРЕДИТЫ'!$S$3:$EO$3"),CR$22,INDIRECT("'["&amp;НАСТРОЙКИ!$D$5&amp;"]КРЕДИТЫ'!$S$61:$EO$61")))/1000000,0))</f>
        <v>0</v>
      </c>
      <c r="CS52" s="35">
        <f ca="1">IF(НАСТРОЙКИ!$B$5&lt;&gt;"Да",0,IFERROR((SUMIF(INDIRECT("'["&amp;НАСТРОЙКИ!$D$5&amp;"]КРЕДИТЫ'!$S$3:$EO$3"),CS$22,INDIRECT("'["&amp;НАСТРОЙКИ!$D$5&amp;"]КРЕДИТЫ'!$S$40:$EO$40"))+SUMIF(INDIRECT("'["&amp;НАСТРОЙКИ!$D$5&amp;"]КРЕДИТЫ'!$S$3:$EO$3"),CS$22,INDIRECT("'["&amp;НАСТРОЙКИ!$D$5&amp;"]КРЕДИТЫ'!$S$61:$EO$61")))/1000000,0))</f>
        <v>0</v>
      </c>
      <c r="CT52" s="35">
        <f ca="1">IF(НАСТРОЙКИ!$B$5&lt;&gt;"Да",0,IFERROR((SUMIF(INDIRECT("'["&amp;НАСТРОЙКИ!$D$5&amp;"]КРЕДИТЫ'!$S$3:$EO$3"),CT$22,INDIRECT("'["&amp;НАСТРОЙКИ!$D$5&amp;"]КРЕДИТЫ'!$S$40:$EO$40"))+SUMIF(INDIRECT("'["&amp;НАСТРОЙКИ!$D$5&amp;"]КРЕДИТЫ'!$S$3:$EO$3"),CT$22,INDIRECT("'["&amp;НАСТРОЙКИ!$D$5&amp;"]КРЕДИТЫ'!$S$61:$EO$61")))/1000000,0))</f>
        <v>0</v>
      </c>
      <c r="CU52" s="35">
        <f ca="1">IF(НАСТРОЙКИ!$B$5&lt;&gt;"Да",0,IFERROR((SUMIF(INDIRECT("'["&amp;НАСТРОЙКИ!$D$5&amp;"]КРЕДИТЫ'!$S$3:$EO$3"),CU$22,INDIRECT("'["&amp;НАСТРОЙКИ!$D$5&amp;"]КРЕДИТЫ'!$S$40:$EO$40"))+SUMIF(INDIRECT("'["&amp;НАСТРОЙКИ!$D$5&amp;"]КРЕДИТЫ'!$S$3:$EO$3"),CU$22,INDIRECT("'["&amp;НАСТРОЙКИ!$D$5&amp;"]КРЕДИТЫ'!$S$61:$EO$61")))/1000000,0))</f>
        <v>0</v>
      </c>
      <c r="CV52" s="35">
        <f ca="1">IF(НАСТРОЙКИ!$B$5&lt;&gt;"Да",0,IFERROR((SUMIF(INDIRECT("'["&amp;НАСТРОЙКИ!$D$5&amp;"]КРЕДИТЫ'!$S$3:$EO$3"),CV$22,INDIRECT("'["&amp;НАСТРОЙКИ!$D$5&amp;"]КРЕДИТЫ'!$S$40:$EO$40"))+SUMIF(INDIRECT("'["&amp;НАСТРОЙКИ!$D$5&amp;"]КРЕДИТЫ'!$S$3:$EO$3"),CV$22,INDIRECT("'["&amp;НАСТРОЙКИ!$D$5&amp;"]КРЕДИТЫ'!$S$61:$EO$61")))/1000000,0))</f>
        <v>0</v>
      </c>
      <c r="CW52" s="35">
        <f ca="1">IF(НАСТРОЙКИ!$B$5&lt;&gt;"Да",0,IFERROR((SUMIF(INDIRECT("'["&amp;НАСТРОЙКИ!$D$5&amp;"]КРЕДИТЫ'!$S$3:$EO$3"),CW$22,INDIRECT("'["&amp;НАСТРОЙКИ!$D$5&amp;"]КРЕДИТЫ'!$S$40:$EO$40"))+SUMIF(INDIRECT("'["&amp;НАСТРОЙКИ!$D$5&amp;"]КРЕДИТЫ'!$S$3:$EO$3"),CW$22,INDIRECT("'["&amp;НАСТРОЙКИ!$D$5&amp;"]КРЕДИТЫ'!$S$61:$EO$61")))/1000000,0))</f>
        <v>0</v>
      </c>
      <c r="CX52" s="35">
        <f ca="1">IF(НАСТРОЙКИ!$B$5&lt;&gt;"Да",0,IFERROR((SUMIF(INDIRECT("'["&amp;НАСТРОЙКИ!$D$5&amp;"]КРЕДИТЫ'!$S$3:$EO$3"),CX$22,INDIRECT("'["&amp;НАСТРОЙКИ!$D$5&amp;"]КРЕДИТЫ'!$S$40:$EO$40"))+SUMIF(INDIRECT("'["&amp;НАСТРОЙКИ!$D$5&amp;"]КРЕДИТЫ'!$S$3:$EO$3"),CX$22,INDIRECT("'["&amp;НАСТРОЙКИ!$D$5&amp;"]КРЕДИТЫ'!$S$61:$EO$61")))/1000000,0))</f>
        <v>0</v>
      </c>
      <c r="CY52" s="35">
        <f ca="1">IF(НАСТРОЙКИ!$B$5&lt;&gt;"Да",0,IFERROR((SUMIF(INDIRECT("'["&amp;НАСТРОЙКИ!$D$5&amp;"]КРЕДИТЫ'!$S$3:$EO$3"),CY$22,INDIRECT("'["&amp;НАСТРОЙКИ!$D$5&amp;"]КРЕДИТЫ'!$S$40:$EO$40"))+SUMIF(INDIRECT("'["&amp;НАСТРОЙКИ!$D$5&amp;"]КРЕДИТЫ'!$S$3:$EO$3"),CY$22,INDIRECT("'["&amp;НАСТРОЙКИ!$D$5&amp;"]КРЕДИТЫ'!$S$61:$EO$61")))/1000000,0))</f>
        <v>0</v>
      </c>
      <c r="CZ52" s="35">
        <f ca="1">IF(НАСТРОЙКИ!$B$5&lt;&gt;"Да",0,IFERROR((SUMIF(INDIRECT("'["&amp;НАСТРОЙКИ!$D$5&amp;"]КРЕДИТЫ'!$S$3:$EO$3"),CZ$22,INDIRECT("'["&amp;НАСТРОЙКИ!$D$5&amp;"]КРЕДИТЫ'!$S$40:$EO$40"))+SUMIF(INDIRECT("'["&amp;НАСТРОЙКИ!$D$5&amp;"]КРЕДИТЫ'!$S$3:$EO$3"),CZ$22,INDIRECT("'["&amp;НАСТРОЙКИ!$D$5&amp;"]КРЕДИТЫ'!$S$61:$EO$61")))/1000000,0))</f>
        <v>0</v>
      </c>
      <c r="DA52" s="35">
        <f ca="1">IF(НАСТРОЙКИ!$B$5&lt;&gt;"Да",0,IFERROR((SUMIF(INDIRECT("'["&amp;НАСТРОЙКИ!$D$5&amp;"]КРЕДИТЫ'!$S$3:$EO$3"),DA$22,INDIRECT("'["&amp;НАСТРОЙКИ!$D$5&amp;"]КРЕДИТЫ'!$S$40:$EO$40"))+SUMIF(INDIRECT("'["&amp;НАСТРОЙКИ!$D$5&amp;"]КРЕДИТЫ'!$S$3:$EO$3"),DA$22,INDIRECT("'["&amp;НАСТРОЙКИ!$D$5&amp;"]КРЕДИТЫ'!$S$61:$EO$61")))/1000000,0))</f>
        <v>0</v>
      </c>
      <c r="DB52" s="35">
        <f ca="1">IF(НАСТРОЙКИ!$B$5&lt;&gt;"Да",0,IFERROR((SUMIF(INDIRECT("'["&amp;НАСТРОЙКИ!$D$5&amp;"]КРЕДИТЫ'!$S$3:$EO$3"),DB$22,INDIRECT("'["&amp;НАСТРОЙКИ!$D$5&amp;"]КРЕДИТЫ'!$S$40:$EO$40"))+SUMIF(INDIRECT("'["&amp;НАСТРОЙКИ!$D$5&amp;"]КРЕДИТЫ'!$S$3:$EO$3"),DB$22,INDIRECT("'["&amp;НАСТРОЙКИ!$D$5&amp;"]КРЕДИТЫ'!$S$61:$EO$61")))/1000000,0))</f>
        <v>0</v>
      </c>
      <c r="DC52" s="35">
        <f ca="1">IF(НАСТРОЙКИ!$B$5&lt;&gt;"Да",0,IFERROR((SUMIF(INDIRECT("'["&amp;НАСТРОЙКИ!$D$5&amp;"]КРЕДИТЫ'!$S$3:$EO$3"),DC$22,INDIRECT("'["&amp;НАСТРОЙКИ!$D$5&amp;"]КРЕДИТЫ'!$S$40:$EO$40"))+SUMIF(INDIRECT("'["&amp;НАСТРОЙКИ!$D$5&amp;"]КРЕДИТЫ'!$S$3:$EO$3"),DC$22,INDIRECT("'["&amp;НАСТРОЙКИ!$D$5&amp;"]КРЕДИТЫ'!$S$61:$EO$61")))/1000000,0))</f>
        <v>0</v>
      </c>
      <c r="DD52" s="35">
        <f ca="1">IF(НАСТРОЙКИ!$B$5&lt;&gt;"Да",0,IFERROR((SUMIF(INDIRECT("'["&amp;НАСТРОЙКИ!$D$5&amp;"]КРЕДИТЫ'!$S$3:$EO$3"),DD$22,INDIRECT("'["&amp;НАСТРОЙКИ!$D$5&amp;"]КРЕДИТЫ'!$S$40:$EO$40"))+SUMIF(INDIRECT("'["&amp;НАСТРОЙКИ!$D$5&amp;"]КРЕДИТЫ'!$S$3:$EO$3"),DD$22,INDIRECT("'["&amp;НАСТРОЙКИ!$D$5&amp;"]КРЕДИТЫ'!$S$61:$EO$61")))/1000000,0))</f>
        <v>0</v>
      </c>
      <c r="DE52" s="35">
        <f ca="1">IF(НАСТРОЙКИ!$B$5&lt;&gt;"Да",0,IFERROR((SUMIF(INDIRECT("'["&amp;НАСТРОЙКИ!$D$5&amp;"]КРЕДИТЫ'!$S$3:$EO$3"),DE$22,INDIRECT("'["&amp;НАСТРОЙКИ!$D$5&amp;"]КРЕДИТЫ'!$S$40:$EO$40"))+SUMIF(INDIRECT("'["&amp;НАСТРОЙКИ!$D$5&amp;"]КРЕДИТЫ'!$S$3:$EO$3"),DE$22,INDIRECT("'["&amp;НАСТРОЙКИ!$D$5&amp;"]КРЕДИТЫ'!$S$61:$EO$61")))/1000000,0))</f>
        <v>0</v>
      </c>
      <c r="DF52" s="35">
        <f ca="1">IF(НАСТРОЙКИ!$B$5&lt;&gt;"Да",0,IFERROR((SUMIF(INDIRECT("'["&amp;НАСТРОЙКИ!$D$5&amp;"]КРЕДИТЫ'!$S$3:$EO$3"),DF$22,INDIRECT("'["&amp;НАСТРОЙКИ!$D$5&amp;"]КРЕДИТЫ'!$S$40:$EO$40"))+SUMIF(INDIRECT("'["&amp;НАСТРОЙКИ!$D$5&amp;"]КРЕДИТЫ'!$S$3:$EO$3"),DF$22,INDIRECT("'["&amp;НАСТРОЙКИ!$D$5&amp;"]КРЕДИТЫ'!$S$61:$EO$61")))/1000000,0))</f>
        <v>0</v>
      </c>
    </row>
    <row r="53" spans="1:110">
      <c r="A53" s="34" t="s">
        <v>131</v>
      </c>
      <c r="B53" s="34" t="s">
        <v>58</v>
      </c>
      <c r="C53" s="36">
        <f t="shared" ref="C53:AH53" ca="1" si="68">C49+C50+C51+C52</f>
        <v>0</v>
      </c>
      <c r="D53" s="36">
        <f t="shared" ca="1" si="68"/>
        <v>0</v>
      </c>
      <c r="E53" s="36">
        <f t="shared" ca="1" si="68"/>
        <v>0</v>
      </c>
      <c r="F53" s="36">
        <f t="shared" ca="1" si="68"/>
        <v>0</v>
      </c>
      <c r="G53" s="36">
        <f t="shared" ca="1" si="68"/>
        <v>0</v>
      </c>
      <c r="H53" s="36">
        <f t="shared" ca="1" si="68"/>
        <v>0</v>
      </c>
      <c r="I53" s="36">
        <f t="shared" ca="1" si="68"/>
        <v>0</v>
      </c>
      <c r="J53" s="36">
        <f t="shared" ca="1" si="68"/>
        <v>0</v>
      </c>
      <c r="K53" s="36">
        <f t="shared" ca="1" si="68"/>
        <v>0</v>
      </c>
      <c r="L53" s="36">
        <f t="shared" ca="1" si="68"/>
        <v>0</v>
      </c>
      <c r="M53" s="36">
        <f t="shared" ca="1" si="68"/>
        <v>0</v>
      </c>
      <c r="N53" s="36">
        <f t="shared" ca="1" si="68"/>
        <v>0</v>
      </c>
      <c r="O53" s="36">
        <f t="shared" ca="1" si="68"/>
        <v>0</v>
      </c>
      <c r="P53" s="36">
        <f t="shared" ca="1" si="68"/>
        <v>0</v>
      </c>
      <c r="Q53" s="36">
        <f t="shared" ca="1" si="68"/>
        <v>0</v>
      </c>
      <c r="R53" s="36">
        <f t="shared" ca="1" si="68"/>
        <v>0</v>
      </c>
      <c r="S53" s="36">
        <f t="shared" ca="1" si="68"/>
        <v>0</v>
      </c>
      <c r="T53" s="36">
        <f t="shared" ca="1" si="68"/>
        <v>0</v>
      </c>
      <c r="U53" s="36">
        <f t="shared" ca="1" si="68"/>
        <v>-1345.8299811734776</v>
      </c>
      <c r="V53" s="36">
        <f t="shared" ca="1" si="68"/>
        <v>0</v>
      </c>
      <c r="W53" s="36">
        <f t="shared" ca="1" si="68"/>
        <v>0</v>
      </c>
      <c r="X53" s="36">
        <f t="shared" ca="1" si="68"/>
        <v>0</v>
      </c>
      <c r="Y53" s="36">
        <f t="shared" ca="1" si="68"/>
        <v>0</v>
      </c>
      <c r="Z53" s="36">
        <f t="shared" ca="1" si="68"/>
        <v>0</v>
      </c>
      <c r="AA53" s="36">
        <f t="shared" ca="1" si="68"/>
        <v>0</v>
      </c>
      <c r="AB53" s="36">
        <f t="shared" ca="1" si="68"/>
        <v>0</v>
      </c>
      <c r="AC53" s="36">
        <f t="shared" ca="1" si="68"/>
        <v>0</v>
      </c>
      <c r="AD53" s="36">
        <f t="shared" ca="1" si="68"/>
        <v>0</v>
      </c>
      <c r="AE53" s="36">
        <f t="shared" ca="1" si="68"/>
        <v>0</v>
      </c>
      <c r="AF53" s="36">
        <f t="shared" ca="1" si="68"/>
        <v>0</v>
      </c>
      <c r="AG53" s="36">
        <f t="shared" ca="1" si="68"/>
        <v>0</v>
      </c>
      <c r="AH53" s="36">
        <f t="shared" ca="1" si="68"/>
        <v>0</v>
      </c>
      <c r="AI53" s="36">
        <f t="shared" ref="AI53:BN53" ca="1" si="69">AI49+AI50+AI51+AI52</f>
        <v>0</v>
      </c>
      <c r="AJ53" s="36">
        <f t="shared" ca="1" si="69"/>
        <v>0</v>
      </c>
      <c r="AK53" s="36">
        <f t="shared" ca="1" si="69"/>
        <v>0</v>
      </c>
      <c r="AL53" s="36">
        <f t="shared" ca="1" si="69"/>
        <v>0</v>
      </c>
      <c r="AM53" s="36">
        <f t="shared" ca="1" si="69"/>
        <v>0</v>
      </c>
      <c r="AN53" s="36">
        <f t="shared" ca="1" si="69"/>
        <v>0</v>
      </c>
      <c r="AO53" s="36">
        <f t="shared" ca="1" si="69"/>
        <v>0</v>
      </c>
      <c r="AP53" s="36">
        <f t="shared" ca="1" si="69"/>
        <v>0</v>
      </c>
      <c r="AQ53" s="36">
        <f t="shared" ca="1" si="69"/>
        <v>0</v>
      </c>
      <c r="AR53" s="36">
        <f t="shared" ca="1" si="69"/>
        <v>0</v>
      </c>
      <c r="AS53" s="36">
        <f t="shared" ca="1" si="69"/>
        <v>-30011.506226781959</v>
      </c>
      <c r="AT53" s="36">
        <f t="shared" ca="1" si="69"/>
        <v>0</v>
      </c>
      <c r="AU53" s="36">
        <f t="shared" ca="1" si="69"/>
        <v>0</v>
      </c>
      <c r="AV53" s="36">
        <f t="shared" ca="1" si="69"/>
        <v>0</v>
      </c>
      <c r="AW53" s="36">
        <f t="shared" ca="1" si="69"/>
        <v>0</v>
      </c>
      <c r="AX53" s="36">
        <f t="shared" ca="1" si="69"/>
        <v>0</v>
      </c>
      <c r="AY53" s="36">
        <f t="shared" ca="1" si="69"/>
        <v>0</v>
      </c>
      <c r="AZ53" s="36">
        <f t="shared" ca="1" si="69"/>
        <v>0</v>
      </c>
      <c r="BA53" s="36">
        <f t="shared" ca="1" si="69"/>
        <v>0</v>
      </c>
      <c r="BB53" s="36">
        <f t="shared" ca="1" si="69"/>
        <v>0</v>
      </c>
      <c r="BC53" s="36">
        <f t="shared" ca="1" si="69"/>
        <v>0</v>
      </c>
      <c r="BD53" s="36">
        <f t="shared" ca="1" si="69"/>
        <v>0</v>
      </c>
      <c r="BE53" s="36">
        <f t="shared" ca="1" si="69"/>
        <v>0</v>
      </c>
      <c r="BF53" s="36">
        <f t="shared" ca="1" si="69"/>
        <v>0</v>
      </c>
      <c r="BG53" s="36">
        <f t="shared" ca="1" si="69"/>
        <v>0</v>
      </c>
      <c r="BH53" s="36">
        <f t="shared" ca="1" si="69"/>
        <v>0</v>
      </c>
      <c r="BI53" s="36">
        <f t="shared" ca="1" si="69"/>
        <v>0</v>
      </c>
      <c r="BJ53" s="36">
        <f t="shared" ca="1" si="69"/>
        <v>0</v>
      </c>
      <c r="BK53" s="36">
        <f t="shared" ca="1" si="69"/>
        <v>0</v>
      </c>
      <c r="BL53" s="36">
        <f t="shared" ca="1" si="69"/>
        <v>0</v>
      </c>
      <c r="BM53" s="36">
        <f t="shared" ca="1" si="69"/>
        <v>0</v>
      </c>
      <c r="BN53" s="36">
        <f t="shared" ca="1" si="69"/>
        <v>0</v>
      </c>
      <c r="BO53" s="36">
        <f t="shared" ref="BO53:CT53" ca="1" si="70">BO49+BO50+BO51+BO52</f>
        <v>0</v>
      </c>
      <c r="BP53" s="36">
        <f t="shared" ca="1" si="70"/>
        <v>0</v>
      </c>
      <c r="BQ53" s="36">
        <f t="shared" ca="1" si="70"/>
        <v>0</v>
      </c>
      <c r="BR53" s="36">
        <f t="shared" ca="1" si="70"/>
        <v>0</v>
      </c>
      <c r="BS53" s="36">
        <f t="shared" ca="1" si="70"/>
        <v>0</v>
      </c>
      <c r="BT53" s="36">
        <f t="shared" ca="1" si="70"/>
        <v>0</v>
      </c>
      <c r="BU53" s="36">
        <f t="shared" ca="1" si="70"/>
        <v>0</v>
      </c>
      <c r="BV53" s="36">
        <f t="shared" ca="1" si="70"/>
        <v>0</v>
      </c>
      <c r="BW53" s="36">
        <f t="shared" ca="1" si="70"/>
        <v>0</v>
      </c>
      <c r="BX53" s="36">
        <f t="shared" ca="1" si="70"/>
        <v>0</v>
      </c>
      <c r="BY53" s="36">
        <f t="shared" ca="1" si="70"/>
        <v>0</v>
      </c>
      <c r="BZ53" s="36">
        <f t="shared" ca="1" si="70"/>
        <v>0</v>
      </c>
      <c r="CA53" s="36">
        <f t="shared" ca="1" si="70"/>
        <v>0</v>
      </c>
      <c r="CB53" s="36">
        <f t="shared" ca="1" si="70"/>
        <v>0</v>
      </c>
      <c r="CC53" s="36">
        <f t="shared" ca="1" si="70"/>
        <v>0</v>
      </c>
      <c r="CD53" s="36">
        <f t="shared" ca="1" si="70"/>
        <v>0</v>
      </c>
      <c r="CE53" s="36">
        <f t="shared" ca="1" si="70"/>
        <v>0</v>
      </c>
      <c r="CF53" s="36">
        <f t="shared" ca="1" si="70"/>
        <v>0</v>
      </c>
      <c r="CG53" s="36">
        <f t="shared" ca="1" si="70"/>
        <v>0</v>
      </c>
      <c r="CH53" s="36">
        <f t="shared" ca="1" si="70"/>
        <v>0</v>
      </c>
      <c r="CI53" s="36">
        <f t="shared" ca="1" si="70"/>
        <v>0</v>
      </c>
      <c r="CJ53" s="36">
        <f t="shared" ca="1" si="70"/>
        <v>0</v>
      </c>
      <c r="CK53" s="36">
        <f t="shared" ca="1" si="70"/>
        <v>0</v>
      </c>
      <c r="CL53" s="36">
        <f t="shared" ca="1" si="70"/>
        <v>0</v>
      </c>
      <c r="CM53" s="36">
        <f t="shared" ca="1" si="70"/>
        <v>0</v>
      </c>
      <c r="CN53" s="36">
        <f t="shared" ca="1" si="70"/>
        <v>0</v>
      </c>
      <c r="CO53" s="36">
        <f t="shared" ca="1" si="70"/>
        <v>0</v>
      </c>
      <c r="CP53" s="36">
        <f t="shared" ca="1" si="70"/>
        <v>0</v>
      </c>
      <c r="CQ53" s="36">
        <f t="shared" ca="1" si="70"/>
        <v>0</v>
      </c>
      <c r="CR53" s="36">
        <f t="shared" ca="1" si="70"/>
        <v>0</v>
      </c>
      <c r="CS53" s="36">
        <f t="shared" ca="1" si="70"/>
        <v>0</v>
      </c>
      <c r="CT53" s="36">
        <f t="shared" ca="1" si="70"/>
        <v>0</v>
      </c>
      <c r="CU53" s="36">
        <f t="shared" ref="CU53:DF53" ca="1" si="71">CU49+CU50+CU51+CU52</f>
        <v>0</v>
      </c>
      <c r="CV53" s="36">
        <f t="shared" ca="1" si="71"/>
        <v>0</v>
      </c>
      <c r="CW53" s="36">
        <f t="shared" ca="1" si="71"/>
        <v>0</v>
      </c>
      <c r="CX53" s="36">
        <f t="shared" ca="1" si="71"/>
        <v>0</v>
      </c>
      <c r="CY53" s="36">
        <f t="shared" ca="1" si="71"/>
        <v>0</v>
      </c>
      <c r="CZ53" s="36">
        <f t="shared" ca="1" si="71"/>
        <v>0</v>
      </c>
      <c r="DA53" s="36">
        <f t="shared" ca="1" si="71"/>
        <v>0</v>
      </c>
      <c r="DB53" s="36">
        <f t="shared" ca="1" si="71"/>
        <v>0</v>
      </c>
      <c r="DC53" s="36">
        <f t="shared" ca="1" si="71"/>
        <v>0</v>
      </c>
      <c r="DD53" s="36">
        <f t="shared" ca="1" si="71"/>
        <v>0</v>
      </c>
      <c r="DE53" s="36">
        <f t="shared" ca="1" si="71"/>
        <v>0</v>
      </c>
      <c r="DF53" s="36">
        <f t="shared" ca="1" si="71"/>
        <v>0</v>
      </c>
    </row>
    <row r="54" spans="1:110">
      <c r="A54" s="34" t="s">
        <v>133</v>
      </c>
      <c r="B54" s="34" t="s">
        <v>58</v>
      </c>
      <c r="C54" s="35">
        <f ca="1">IF(НАСТРОЙКИ!$B$5&lt;&gt;"Да",0,IFERROR(SUMIF(INDIRECT("'["&amp;НАСТРОЙКИ!$D$5&amp;"]КРЕДИТЫ'!$S$3:$EO$3"),C$22,INDIRECT("'["&amp;НАСТРОЙКИ!$D$5&amp;"]КРЕДИТЫ'!$S$51:$EO$51"))/1000000,0))</f>
        <v>0</v>
      </c>
      <c r="D54" s="35">
        <f ca="1">IF(НАСТРОЙКИ!$B$5&lt;&gt;"Да",0,IFERROR(SUMIF(INDIRECT("'["&amp;НАСТРОЙКИ!$D$5&amp;"]КРЕДИТЫ'!$S$3:$EO$3"),D$22,INDIRECT("'["&amp;НАСТРОЙКИ!$D$5&amp;"]КРЕДИТЫ'!$S$51:$EO$51"))/1000000,0))</f>
        <v>0</v>
      </c>
      <c r="E54" s="35">
        <f ca="1">IF(НАСТРОЙКИ!$B$5&lt;&gt;"Да",0,IFERROR(SUMIF(INDIRECT("'["&amp;НАСТРОЙКИ!$D$5&amp;"]КРЕДИТЫ'!$S$3:$EO$3"),E$22,INDIRECT("'["&amp;НАСТРОЙКИ!$D$5&amp;"]КРЕДИТЫ'!$S$51:$EO$51"))/1000000,0))</f>
        <v>0</v>
      </c>
      <c r="F54" s="35">
        <f ca="1">IF(НАСТРОЙКИ!$B$5&lt;&gt;"Да",0,IFERROR(SUMIF(INDIRECT("'["&amp;НАСТРОЙКИ!$D$5&amp;"]КРЕДИТЫ'!$S$3:$EO$3"),F$22,INDIRECT("'["&amp;НАСТРОЙКИ!$D$5&amp;"]КРЕДИТЫ'!$S$51:$EO$51"))/1000000,0))</f>
        <v>0</v>
      </c>
      <c r="G54" s="35">
        <f ca="1">IF(НАСТРОЙКИ!$B$5&lt;&gt;"Да",0,IFERROR(SUMIF(INDIRECT("'["&amp;НАСТРОЙКИ!$D$5&amp;"]КРЕДИТЫ'!$S$3:$EO$3"),G$22,INDIRECT("'["&amp;НАСТРОЙКИ!$D$5&amp;"]КРЕДИТЫ'!$S$51:$EO$51"))/1000000,0))</f>
        <v>0</v>
      </c>
      <c r="H54" s="35">
        <f ca="1">IF(НАСТРОЙКИ!$B$5&lt;&gt;"Да",0,IFERROR(SUMIF(INDIRECT("'["&amp;НАСТРОЙКИ!$D$5&amp;"]КРЕДИТЫ'!$S$3:$EO$3"),H$22,INDIRECT("'["&amp;НАСТРОЙКИ!$D$5&amp;"]КРЕДИТЫ'!$S$51:$EO$51"))/1000000,0))</f>
        <v>0</v>
      </c>
      <c r="I54" s="35">
        <f ca="1">IF(НАСТРОЙКИ!$B$5&lt;&gt;"Да",0,IFERROR(SUMIF(INDIRECT("'["&amp;НАСТРОЙКИ!$D$5&amp;"]КРЕДИТЫ'!$S$3:$EO$3"),I$22,INDIRECT("'["&amp;НАСТРОЙКИ!$D$5&amp;"]КРЕДИТЫ'!$S$51:$EO$51"))/1000000,0))</f>
        <v>0</v>
      </c>
      <c r="J54" s="35">
        <f ca="1">IF(НАСТРОЙКИ!$B$5&lt;&gt;"Да",0,IFERROR(SUMIF(INDIRECT("'["&amp;НАСТРОЙКИ!$D$5&amp;"]КРЕДИТЫ'!$S$3:$EO$3"),J$22,INDIRECT("'["&amp;НАСТРОЙКИ!$D$5&amp;"]КРЕДИТЫ'!$S$51:$EO$51"))/1000000,0))</f>
        <v>0</v>
      </c>
      <c r="K54" s="35">
        <f ca="1">IF(НАСТРОЙКИ!$B$5&lt;&gt;"Да",0,IFERROR(SUMIF(INDIRECT("'["&amp;НАСТРОЙКИ!$D$5&amp;"]КРЕДИТЫ'!$S$3:$EO$3"),K$22,INDIRECT("'["&amp;НАСТРОЙКИ!$D$5&amp;"]КРЕДИТЫ'!$S$51:$EO$51"))/1000000,0))</f>
        <v>0</v>
      </c>
      <c r="L54" s="35">
        <f ca="1">IF(НАСТРОЙКИ!$B$5&lt;&gt;"Да",0,IFERROR(SUMIF(INDIRECT("'["&amp;НАСТРОЙКИ!$D$5&amp;"]КРЕДИТЫ'!$S$3:$EO$3"),L$22,INDIRECT("'["&amp;НАСТРОЙКИ!$D$5&amp;"]КРЕДИТЫ'!$S$51:$EO$51"))/1000000,0))</f>
        <v>0</v>
      </c>
      <c r="M54" s="35">
        <f ca="1">IF(НАСТРОЙКИ!$B$5&lt;&gt;"Да",0,IFERROR(SUMIF(INDIRECT("'["&amp;НАСТРОЙКИ!$D$5&amp;"]КРЕДИТЫ'!$S$3:$EO$3"),M$22,INDIRECT("'["&amp;НАСТРОЙКИ!$D$5&amp;"]КРЕДИТЫ'!$S$51:$EO$51"))/1000000,0))</f>
        <v>0</v>
      </c>
      <c r="N54" s="35">
        <f ca="1">IF(НАСТРОЙКИ!$B$5&lt;&gt;"Да",0,IFERROR(SUMIF(INDIRECT("'["&amp;НАСТРОЙКИ!$D$5&amp;"]КРЕДИТЫ'!$S$3:$EO$3"),N$22,INDIRECT("'["&amp;НАСТРОЙКИ!$D$5&amp;"]КРЕДИТЫ'!$S$51:$EO$51"))/1000000,0))</f>
        <v>0</v>
      </c>
      <c r="O54" s="35">
        <f ca="1">IF(НАСТРОЙКИ!$B$5&lt;&gt;"Да",0,IFERROR(SUMIF(INDIRECT("'["&amp;НАСТРОЙКИ!$D$5&amp;"]КРЕДИТЫ'!$S$3:$EO$3"),O$22,INDIRECT("'["&amp;НАСТРОЙКИ!$D$5&amp;"]КРЕДИТЫ'!$S$51:$EO$51"))/1000000,0))</f>
        <v>0</v>
      </c>
      <c r="P54" s="35">
        <f ca="1">IF(НАСТРОЙКИ!$B$5&lt;&gt;"Да",0,IFERROR(SUMIF(INDIRECT("'["&amp;НАСТРОЙКИ!$D$5&amp;"]КРЕДИТЫ'!$S$3:$EO$3"),P$22,INDIRECT("'["&amp;НАСТРОЙКИ!$D$5&amp;"]КРЕДИТЫ'!$S$51:$EO$51"))/1000000,0))</f>
        <v>0</v>
      </c>
      <c r="Q54" s="35">
        <f ca="1">IF(НАСТРОЙКИ!$B$5&lt;&gt;"Да",0,IFERROR(SUMIF(INDIRECT("'["&amp;НАСТРОЙКИ!$D$5&amp;"]КРЕДИТЫ'!$S$3:$EO$3"),Q$22,INDIRECT("'["&amp;НАСТРОЙКИ!$D$5&amp;"]КРЕДИТЫ'!$S$51:$EO$51"))/1000000,0))</f>
        <v>0</v>
      </c>
      <c r="R54" s="35">
        <f ca="1">IF(НАСТРОЙКИ!$B$5&lt;&gt;"Да",0,IFERROR(SUMIF(INDIRECT("'["&amp;НАСТРОЙКИ!$D$5&amp;"]КРЕДИТЫ'!$S$3:$EO$3"),R$22,INDIRECT("'["&amp;НАСТРОЙКИ!$D$5&amp;"]КРЕДИТЫ'!$S$51:$EO$51"))/1000000,0))</f>
        <v>0</v>
      </c>
      <c r="S54" s="35">
        <f ca="1">IF(НАСТРОЙКИ!$B$5&lt;&gt;"Да",0,IFERROR(SUMIF(INDIRECT("'["&amp;НАСТРОЙКИ!$D$5&amp;"]КРЕДИТЫ'!$S$3:$EO$3"),S$22,INDIRECT("'["&amp;НАСТРОЙКИ!$D$5&amp;"]КРЕДИТЫ'!$S$51:$EO$51"))/1000000,0))</f>
        <v>0</v>
      </c>
      <c r="T54" s="35">
        <f ca="1">IF(НАСТРОЙКИ!$B$5&lt;&gt;"Да",0,IFERROR(SUMIF(INDIRECT("'["&amp;НАСТРОЙКИ!$D$5&amp;"]КРЕДИТЫ'!$S$3:$EO$3"),T$22,INDIRECT("'["&amp;НАСТРОЙКИ!$D$5&amp;"]КРЕДИТЫ'!$S$51:$EO$51"))/1000000,0))</f>
        <v>0</v>
      </c>
      <c r="U54" s="35">
        <f ca="1">IF(НАСТРОЙКИ!$B$5&lt;&gt;"Да",0,IFERROR(SUMIF(INDIRECT("'["&amp;НАСТРОЙКИ!$D$5&amp;"]КРЕДИТЫ'!$S$3:$EO$3"),U$22,INDIRECT("'["&amp;НАСТРОЙКИ!$D$5&amp;"]КРЕДИТЫ'!$S$51:$EO$51"))/1000000,0))</f>
        <v>631.45495286383368</v>
      </c>
      <c r="V54" s="35">
        <f ca="1">IF(НАСТРОЙКИ!$B$5&lt;&gt;"Да",0,IFERROR(SUMIF(INDIRECT("'["&amp;НАСТРОЙКИ!$D$5&amp;"]КРЕДИТЫ'!$S$3:$EO$3"),V$22,INDIRECT("'["&amp;НАСТРОЙКИ!$D$5&amp;"]КРЕДИТЫ'!$S$51:$EO$51"))/1000000,0))</f>
        <v>1307.1524031339354</v>
      </c>
      <c r="W54" s="35">
        <f ca="1">IF(НАСТРОЙКИ!$B$5&lt;&gt;"Да",0,IFERROR(SUMIF(INDIRECT("'["&amp;НАСТРОЙКИ!$D$5&amp;"]КРЕДИТЫ'!$S$3:$EO$3"),W$22,INDIRECT("'["&amp;НАСТРОЙКИ!$D$5&amp;"]КРЕДИТЫ'!$S$51:$EO$51"))/1000000,0))</f>
        <v>2195.4842171311388</v>
      </c>
      <c r="X54" s="35">
        <f ca="1">IF(НАСТРОЙКИ!$B$5&lt;&gt;"Да",0,IFERROR(SUMIF(INDIRECT("'["&amp;НАСТРОЙКИ!$D$5&amp;"]КРЕДИТЫ'!$S$3:$EO$3"),X$22,INDIRECT("'["&amp;НАСТРОЙКИ!$D$5&amp;"]КРЕДИТЫ'!$S$51:$EO$51"))/1000000,0))</f>
        <v>3221.221224072935</v>
      </c>
      <c r="Y54" s="35">
        <f ca="1">IF(НАСТРОЙКИ!$B$5&lt;&gt;"Да",0,IFERROR(SUMIF(INDIRECT("'["&amp;НАСТРОЙКИ!$D$5&amp;"]КРЕДИТЫ'!$S$3:$EO$3"),Y$22,INDIRECT("'["&amp;НАСТРОЙКИ!$D$5&amp;"]КРЕДИТЫ'!$S$51:$EO$51"))/1000000,0))</f>
        <v>4305.4685983017871</v>
      </c>
      <c r="Z54" s="35">
        <f ca="1">IF(НАСТРОЙКИ!$B$5&lt;&gt;"Да",0,IFERROR(SUMIF(INDIRECT("'["&amp;НАСТРОЙКИ!$D$5&amp;"]КРЕДИТЫ'!$S$3:$EO$3"),Z$22,INDIRECT("'["&amp;НАСТРОЙКИ!$D$5&amp;"]КРЕДИТЫ'!$S$51:$EO$51"))/1000000,0))</f>
        <v>5449.7946708645059</v>
      </c>
      <c r="AA54" s="35">
        <f ca="1">IF(НАСТРОЙКИ!$B$5&lt;&gt;"Да",0,IFERROR(SUMIF(INDIRECT("'["&amp;НАСТРОЙКИ!$D$5&amp;"]КРЕДИТЫ'!$S$3:$EO$3"),AA$22,INDIRECT("'["&amp;НАСТРОЙКИ!$D$5&amp;"]КРЕДИТЫ'!$S$51:$EO$51"))/1000000,0))</f>
        <v>6514.6715910501598</v>
      </c>
      <c r="AB54" s="35">
        <f ca="1">IF(НАСТРОЙКИ!$B$5&lt;&gt;"Да",0,IFERROR(SUMIF(INDIRECT("'["&amp;НАСТРОЙКИ!$D$5&amp;"]КРЕДИТЫ'!$S$3:$EO$3"),AB$22,INDIRECT("'["&amp;НАСТРОЙКИ!$D$5&amp;"]КРЕДИТЫ'!$S$51:$EO$51"))/1000000,0))</f>
        <v>7827.1585807663141</v>
      </c>
      <c r="AC54" s="35">
        <f ca="1">IF(НАСТРОЙКИ!$B$5&lt;&gt;"Да",0,IFERROR(SUMIF(INDIRECT("'["&amp;НАСТРОЙКИ!$D$5&amp;"]КРЕДИТЫ'!$S$3:$EO$3"),AC$22,INDIRECT("'["&amp;НАСТРОЙКИ!$D$5&amp;"]КРЕДИТЫ'!$S$51:$EO$51"))/1000000,0))</f>
        <v>9161.3123046937708</v>
      </c>
      <c r="AD54" s="35">
        <f ca="1">IF(НАСТРОЙКИ!$B$5&lt;&gt;"Да",0,IFERROR(SUMIF(INDIRECT("'["&amp;НАСТРОЙКИ!$D$5&amp;"]КРЕДИТЫ'!$S$3:$EO$3"),AD$22,INDIRECT("'["&amp;НАСТРОЙКИ!$D$5&amp;"]КРЕДИТЫ'!$S$51:$EO$51"))/1000000,0))</f>
        <v>10517.457763845698</v>
      </c>
      <c r="AE54" s="35">
        <f ca="1">IF(НАСТРОЙКИ!$B$5&lt;&gt;"Да",0,IFERROR(SUMIF(INDIRECT("'["&amp;НАСТРОЙКИ!$D$5&amp;"]КРЕДИТЫ'!$S$3:$EO$3"),AE$22,INDIRECT("'["&amp;НАСТРОЙКИ!$D$5&amp;"]КРЕДИТЫ'!$S$51:$EO$51"))/1000000,0))</f>
        <v>11691.730925034819</v>
      </c>
      <c r="AF54" s="35">
        <f ca="1">IF(НАСТРОЙКИ!$B$5&lt;&gt;"Да",0,IFERROR(SUMIF(INDIRECT("'["&amp;НАСТРОЙКИ!$D$5&amp;"]КРЕДИТЫ'!$S$3:$EO$3"),AF$22,INDIRECT("'["&amp;НАСТРОЙКИ!$D$5&amp;"]КРЕДИТЫ'!$S$51:$EO$51"))/1000000,0))</f>
        <v>12885.262056332325</v>
      </c>
      <c r="AG54" s="35">
        <f ca="1">IF(НАСТРОЙКИ!$B$5&lt;&gt;"Да",0,IFERROR(SUMIF(INDIRECT("'["&amp;НАСТРОЙКИ!$D$5&amp;"]КРЕДИТЫ'!$S$3:$EO$3"),AG$22,INDIRECT("'["&amp;НАСТРОЙКИ!$D$5&amp;"]КРЕДИТЫ'!$S$51:$EO$51"))/1000000,0))</f>
        <v>14098.340027289843</v>
      </c>
      <c r="AH54" s="35">
        <f ca="1">IF(НАСТРОЙКИ!$B$5&lt;&gt;"Да",0,IFERROR(SUMIF(INDIRECT("'["&amp;НАСТРОЙКИ!$D$5&amp;"]КРЕДИТЫ'!$S$3:$EO$3"),AH$22,INDIRECT("'["&amp;НАСТРОЙКИ!$D$5&amp;"]КРЕДИТЫ'!$S$51:$EO$51"))/1000000,0))</f>
        <v>15331.258040502271</v>
      </c>
      <c r="AI54" s="35">
        <f ca="1">IF(НАСТРОЙКИ!$B$5&lt;&gt;"Да",0,IFERROR(SUMIF(INDIRECT("'["&amp;НАСТРОЙКИ!$D$5&amp;"]КРЕДИТЫ'!$S$3:$EO$3"),AI$22,INDIRECT("'["&amp;НАСТРОЙКИ!$D$5&amp;"]КРЕДИТЫ'!$S$51:$EO$51"))/1000000,0))</f>
        <v>16801.037669104553</v>
      </c>
      <c r="AJ54" s="35">
        <f ca="1">IF(НАСТРОЙКИ!$B$5&lt;&gt;"Да",0,IFERROR(SUMIF(INDIRECT("'["&amp;НАСТРОЙКИ!$D$5&amp;"]КРЕДИТЫ'!$S$3:$EO$3"),AJ$22,INDIRECT("'["&amp;НАСТРОЙКИ!$D$5&amp;"]КРЕДИТЫ'!$S$51:$EO$51"))/1000000,0))</f>
        <v>18294.864012450438</v>
      </c>
      <c r="AK54" s="35">
        <f ca="1">IF(НАСТРОЙКИ!$B$5&lt;&gt;"Да",0,IFERROR(SUMIF(INDIRECT("'["&amp;НАСТРОЙКИ!$D$5&amp;"]КРЕДИТЫ'!$S$3:$EO$3"),AK$22,INDIRECT("'["&amp;НАСТРОЙКИ!$D$5&amp;"]КРЕДИТЫ'!$S$51:$EO$51"))/1000000,0))</f>
        <v>19813.097771261091</v>
      </c>
      <c r="AL54" s="35">
        <f ca="1">IF(НАСТРОЙКИ!$B$5&lt;&gt;"Да",0,IFERROR(SUMIF(INDIRECT("'["&amp;НАСТРОЙКИ!$D$5&amp;"]КРЕДИТЫ'!$S$3:$EO$3"),AL$22,INDIRECT("'["&amp;НАСТРОЙКИ!$D$5&amp;"]КРЕДИТЫ'!$S$51:$EO$51"))/1000000,0))</f>
        <v>21356.105056768472</v>
      </c>
      <c r="AM54" s="35">
        <f ca="1">IF(НАСТРОЙКИ!$B$5&lt;&gt;"Да",0,IFERROR(SUMIF(INDIRECT("'["&amp;НАСТРОЙКИ!$D$5&amp;"]КРЕДИТЫ'!$S$3:$EO$3"),AM$22,INDIRECT("'["&amp;НАСТРОЙКИ!$D$5&amp;"]КРЕДИТЫ'!$S$51:$EO$51"))/1000000,0))</f>
        <v>22694.2345469137</v>
      </c>
      <c r="AN54" s="35">
        <f ca="1">IF(НАСТРОЙКИ!$B$5&lt;&gt;"Да",0,IFERROR(SUMIF(INDIRECT("'["&amp;НАСТРОЙКИ!$D$5&amp;"]КРЕДИТЫ'!$S$3:$EO$3"),AN$22,INDIRECT("'["&amp;НАСТРОЙКИ!$D$5&amp;"]КРЕДИТЫ'!$S$51:$EO$51"))/1000000,0))</f>
        <v>24543.312692041265</v>
      </c>
      <c r="AO54" s="35">
        <f ca="1">IF(НАСТРОЙКИ!$B$5&lt;&gt;"Да",0,IFERROR(SUMIF(INDIRECT("'["&amp;НАСТРОЙКИ!$D$5&amp;"]КРЕДИТЫ'!$S$3:$EO$3"),AO$22,INDIRECT("'["&amp;НАСТРОЙКИ!$D$5&amp;"]КРЕДИТЫ'!$S$51:$EO$51"))/1000000,0))</f>
        <v>26419.574885436028</v>
      </c>
      <c r="AP54" s="35">
        <f ca="1">IF(НАСТРОЙКИ!$B$5&lt;&gt;"Да",0,IFERROR(SUMIF(INDIRECT("'["&amp;НАСТРОЙКИ!$D$5&amp;"]КРЕДИТЫ'!$S$3:$EO$3"),AP$22,INDIRECT("'["&amp;НАСТРОЙКИ!$D$5&amp;"]КРЕДИТЫ'!$S$51:$EO$51"))/1000000,0))</f>
        <v>28307.234631234915</v>
      </c>
      <c r="AQ54" s="35">
        <f ca="1">IF(НАСТРОЙКИ!$B$5&lt;&gt;"Да",0,IFERROR(SUMIF(INDIRECT("'["&amp;НАСТРОЙКИ!$D$5&amp;"]КРЕДИТЫ'!$S$3:$EO$3"),AQ$22,INDIRECT("'["&amp;НАСТРОЙКИ!$D$5&amp;"]КРЕДИТЫ'!$S$51:$EO$51"))/1000000,0))</f>
        <v>29927.014601712166</v>
      </c>
      <c r="AR54" s="35">
        <f ca="1">IF(НАСТРОЙКИ!$B$5&lt;&gt;"Да",0,IFERROR(SUMIF(INDIRECT("'["&amp;НАСТРОЙКИ!$D$5&amp;"]КРЕДИТЫ'!$S$3:$EO$3"),AR$22,INDIRECT("'["&amp;НАСТРОЙКИ!$D$5&amp;"]КРЕДИТЫ'!$S$51:$EO$51"))/1000000,0))</f>
        <v>31556.602919490666</v>
      </c>
      <c r="AS54" s="35">
        <f ca="1">IF(НАСТРОЙКИ!$B$5&lt;&gt;"Да",0,IFERROR(SUMIF(INDIRECT("'["&amp;НАСТРОЙКИ!$D$5&amp;"]КРЕДИТЫ'!$S$3:$EO$3"),AS$22,INDIRECT("'["&amp;НАСТРОЙКИ!$D$5&amp;"]КРЕДИТЫ'!$S$51:$EO$51"))/1000000,0))</f>
        <v>5717.9661819801559</v>
      </c>
      <c r="AT54" s="35">
        <f ca="1">IF(НАСТРОЙКИ!$B$5&lt;&gt;"Да",0,IFERROR(SUMIF(INDIRECT("'["&amp;НАСТРОЙКИ!$D$5&amp;"]КРЕДИТЫ'!$S$3:$EO$3"),AT$22,INDIRECT("'["&amp;НАСТРОЙКИ!$D$5&amp;"]КРЕДИТЫ'!$S$51:$EO$51"))/1000000,0))</f>
        <v>6683.5974513161927</v>
      </c>
      <c r="AU54" s="35">
        <f ca="1">IF(НАСТРОЙКИ!$B$5&lt;&gt;"Да",0,IFERROR(SUMIF(INDIRECT("'["&amp;НАСТРОЙКИ!$D$5&amp;"]КРЕДИТЫ'!$S$3:$EO$3"),AU$22,INDIRECT("'["&amp;НАСТРОЙКИ!$D$5&amp;"]КРЕДИТЫ'!$S$51:$EO$51"))/1000000,0))</f>
        <v>7812.596016569084</v>
      </c>
      <c r="AV54" s="35">
        <f ca="1">IF(НАСТРОЙКИ!$B$5&lt;&gt;"Да",0,IFERROR(SUMIF(INDIRECT("'["&amp;НАСТРОЙКИ!$D$5&amp;"]КРЕДИТЫ'!$S$3:$EO$3"),AV$22,INDIRECT("'["&amp;НАСТРОЙКИ!$D$5&amp;"]КРЕДИТЫ'!$S$51:$EO$51"))/1000000,0))</f>
        <v>8934.599964345749</v>
      </c>
      <c r="AW54" s="35">
        <f ca="1">IF(НАСТРОЙКИ!$B$5&lt;&gt;"Да",0,IFERROR(SUMIF(INDIRECT("'["&amp;НАСТРОЙКИ!$D$5&amp;"]КРЕДИТЫ'!$S$3:$EO$3"),AW$22,INDIRECT("'["&amp;НАСТРОЙКИ!$D$5&amp;"]КРЕДИТЫ'!$S$51:$EO$51"))/1000000,0))</f>
        <v>10049.652629221748</v>
      </c>
      <c r="AX54" s="35">
        <f ca="1">IF(НАСТРОЙКИ!$B$5&lt;&gt;"Да",0,IFERROR(SUMIF(INDIRECT("'["&amp;НАСТРОЙКИ!$D$5&amp;"]КРЕДИТЫ'!$S$3:$EO$3"),AX$22,INDIRECT("'["&amp;НАСТРОЙКИ!$D$5&amp;"]КРЕДИТЫ'!$S$51:$EO$51"))/1000000,0))</f>
        <v>11157.797077296867</v>
      </c>
      <c r="AY54" s="35">
        <f ca="1">IF(НАСТРОЙКИ!$B$5&lt;&gt;"Да",0,IFERROR(SUMIF(INDIRECT("'["&amp;НАСТРОЙКИ!$D$5&amp;"]КРЕДИТЫ'!$S$3:$EO$3"),AY$22,INDIRECT("'["&amp;НАСТРОЙКИ!$D$5&amp;"]КРЕДИТЫ'!$S$51:$EO$51"))/1000000,0))</f>
        <v>12093.884253274178</v>
      </c>
      <c r="AZ54" s="35">
        <f ca="1">IF(НАСТРОЙКИ!$B$5&lt;&gt;"Да",0,IFERROR(SUMIF(INDIRECT("'["&amp;НАСТРОЙКИ!$D$5&amp;"]КРЕДИТЫ'!$S$3:$EO$3"),AZ$22,INDIRECT("'["&amp;НАСТРОЙКИ!$D$5&amp;"]КРЕДИТЫ'!$S$51:$EO$51"))/1000000,0))</f>
        <v>12093.884253274178</v>
      </c>
      <c r="BA54" s="35">
        <f ca="1">IF(НАСТРОЙКИ!$B$5&lt;&gt;"Да",0,IFERROR(SUMIF(INDIRECT("'["&amp;НАСТРОЙКИ!$D$5&amp;"]КРЕДИТЫ'!$S$3:$EO$3"),BA$22,INDIRECT("'["&amp;НАСТРОЙКИ!$D$5&amp;"]КРЕДИТЫ'!$S$51:$EO$51"))/1000000,0))</f>
        <v>12093.884253274178</v>
      </c>
      <c r="BB54" s="35">
        <f ca="1">IF(НАСТРОЙКИ!$B$5&lt;&gt;"Да",0,IFERROR(SUMIF(INDIRECT("'["&amp;НАСТРОЙКИ!$D$5&amp;"]КРЕДИТЫ'!$S$3:$EO$3"),BB$22,INDIRECT("'["&amp;НАСТРОЙКИ!$D$5&amp;"]КРЕДИТЫ'!$S$51:$EO$51"))/1000000,0))</f>
        <v>12093.884253274178</v>
      </c>
      <c r="BC54" s="35">
        <f ca="1">IF(НАСТРОЙКИ!$B$5&lt;&gt;"Да",0,IFERROR(SUMIF(INDIRECT("'["&amp;НАСТРОЙКИ!$D$5&amp;"]КРЕДИТЫ'!$S$3:$EO$3"),BC$22,INDIRECT("'["&amp;НАСТРОЙКИ!$D$5&amp;"]КРЕДИТЫ'!$S$51:$EO$51"))/1000000,0))</f>
        <v>12093.884253274178</v>
      </c>
      <c r="BD54" s="35">
        <f ca="1">IF(НАСТРОЙКИ!$B$5&lt;&gt;"Да",0,IFERROR(SUMIF(INDIRECT("'["&amp;НАСТРОЙКИ!$D$5&amp;"]КРЕДИТЫ'!$S$3:$EO$3"),BD$22,INDIRECT("'["&amp;НАСТРОЙКИ!$D$5&amp;"]КРЕДИТЫ'!$S$51:$EO$51"))/1000000,0))</f>
        <v>12093.884253274178</v>
      </c>
      <c r="BE54" s="35">
        <f ca="1">IF(НАСТРОЙКИ!$B$5&lt;&gt;"Да",0,IFERROR(SUMIF(INDIRECT("'["&amp;НАСТРОЙКИ!$D$5&amp;"]КРЕДИТЫ'!$S$3:$EO$3"),BE$22,INDIRECT("'["&amp;НАСТРОЙКИ!$D$5&amp;"]КРЕДИТЫ'!$S$51:$EO$51"))/1000000,0))</f>
        <v>12093.884253274178</v>
      </c>
      <c r="BF54" s="35">
        <f ca="1">IF(НАСТРОЙКИ!$B$5&lt;&gt;"Да",0,IFERROR(SUMIF(INDIRECT("'["&amp;НАСТРОЙКИ!$D$5&amp;"]КРЕДИТЫ'!$S$3:$EO$3"),BF$22,INDIRECT("'["&amp;НАСТРОЙКИ!$D$5&amp;"]КРЕДИТЫ'!$S$51:$EO$51"))/1000000,0))</f>
        <v>12093.884253274178</v>
      </c>
      <c r="BG54" s="35">
        <f ca="1">IF(НАСТРОЙКИ!$B$5&lt;&gt;"Да",0,IFERROR(SUMIF(INDIRECT("'["&amp;НАСТРОЙКИ!$D$5&amp;"]КРЕДИТЫ'!$S$3:$EO$3"),BG$22,INDIRECT("'["&amp;НАСТРОЙКИ!$D$5&amp;"]КРЕДИТЫ'!$S$51:$EO$51"))/1000000,0))</f>
        <v>12093.884253274178</v>
      </c>
      <c r="BH54" s="35">
        <f ca="1">IF(НАСТРОЙКИ!$B$5&lt;&gt;"Да",0,IFERROR(SUMIF(INDIRECT("'["&amp;НАСТРОЙКИ!$D$5&amp;"]КРЕДИТЫ'!$S$3:$EO$3"),BH$22,INDIRECT("'["&amp;НАСТРОЙКИ!$D$5&amp;"]КРЕДИТЫ'!$S$51:$EO$51"))/1000000,0))</f>
        <v>12093.884253274178</v>
      </c>
      <c r="BI54" s="35">
        <f ca="1">IF(НАСТРОЙКИ!$B$5&lt;&gt;"Да",0,IFERROR(SUMIF(INDIRECT("'["&amp;НАСТРОЙКИ!$D$5&amp;"]КРЕДИТЫ'!$S$3:$EO$3"),BI$22,INDIRECT("'["&amp;НАСТРОЙКИ!$D$5&amp;"]КРЕДИТЫ'!$S$51:$EO$51"))/1000000,0))</f>
        <v>12093.884253274178</v>
      </c>
      <c r="BJ54" s="35">
        <f ca="1">IF(НАСТРОЙКИ!$B$5&lt;&gt;"Да",0,IFERROR(SUMIF(INDIRECT("'["&amp;НАСТРОЙКИ!$D$5&amp;"]КРЕДИТЫ'!$S$3:$EO$3"),BJ$22,INDIRECT("'["&amp;НАСТРОЙКИ!$D$5&amp;"]КРЕДИТЫ'!$S$51:$EO$51"))/1000000,0))</f>
        <v>12093.884253274178</v>
      </c>
      <c r="BK54" s="35">
        <f ca="1">IF(НАСТРОЙКИ!$B$5&lt;&gt;"Да",0,IFERROR(SUMIF(INDIRECT("'["&amp;НАСТРОЙКИ!$D$5&amp;"]КРЕДИТЫ'!$S$3:$EO$3"),BK$22,INDIRECT("'["&amp;НАСТРОЙКИ!$D$5&amp;"]КРЕДИТЫ'!$S$51:$EO$51"))/1000000,0))</f>
        <v>12093.884253274178</v>
      </c>
      <c r="BL54" s="35">
        <f ca="1">IF(НАСТРОЙКИ!$B$5&lt;&gt;"Да",0,IFERROR(SUMIF(INDIRECT("'["&amp;НАСТРОЙКИ!$D$5&amp;"]КРЕДИТЫ'!$S$3:$EO$3"),BL$22,INDIRECT("'["&amp;НАСТРОЙКИ!$D$5&amp;"]КРЕДИТЫ'!$S$51:$EO$51"))/1000000,0))</f>
        <v>12093.884253274178</v>
      </c>
      <c r="BM54" s="35">
        <f ca="1">IF(НАСТРОЙКИ!$B$5&lt;&gt;"Да",0,IFERROR(SUMIF(INDIRECT("'["&amp;НАСТРОЙКИ!$D$5&amp;"]КРЕДИТЫ'!$S$3:$EO$3"),BM$22,INDIRECT("'["&amp;НАСТРОЙКИ!$D$5&amp;"]КРЕДИТЫ'!$S$51:$EO$51"))/1000000,0))</f>
        <v>12093.884253274178</v>
      </c>
      <c r="BN54" s="35">
        <f ca="1">IF(НАСТРОЙКИ!$B$5&lt;&gt;"Да",0,IFERROR(SUMIF(INDIRECT("'["&amp;НАСТРОЙКИ!$D$5&amp;"]КРЕДИТЫ'!$S$3:$EO$3"),BN$22,INDIRECT("'["&amp;НАСТРОЙКИ!$D$5&amp;"]КРЕДИТЫ'!$S$51:$EO$51"))/1000000,0))</f>
        <v>12093.884253274178</v>
      </c>
      <c r="BO54" s="35">
        <f ca="1">IF(НАСТРОЙКИ!$B$5&lt;&gt;"Да",0,IFERROR(SUMIF(INDIRECT("'["&amp;НАСТРОЙКИ!$D$5&amp;"]КРЕДИТЫ'!$S$3:$EO$3"),BO$22,INDIRECT("'["&amp;НАСТРОЙКИ!$D$5&amp;"]КРЕДИТЫ'!$S$51:$EO$51"))/1000000,0))</f>
        <v>12093.884253274178</v>
      </c>
      <c r="BP54" s="35">
        <f ca="1">IF(НАСТРОЙКИ!$B$5&lt;&gt;"Да",0,IFERROR(SUMIF(INDIRECT("'["&amp;НАСТРОЙКИ!$D$5&amp;"]КРЕДИТЫ'!$S$3:$EO$3"),BP$22,INDIRECT("'["&amp;НАСТРОЙКИ!$D$5&amp;"]КРЕДИТЫ'!$S$51:$EO$51"))/1000000,0))</f>
        <v>12093.884253274178</v>
      </c>
      <c r="BQ54" s="35">
        <f ca="1">IF(НАСТРОЙКИ!$B$5&lt;&gt;"Да",0,IFERROR(SUMIF(INDIRECT("'["&amp;НАСТРОЙКИ!$D$5&amp;"]КРЕДИТЫ'!$S$3:$EO$3"),BQ$22,INDIRECT("'["&amp;НАСТРОЙКИ!$D$5&amp;"]КРЕДИТЫ'!$S$51:$EO$51"))/1000000,0))</f>
        <v>12093.884253274178</v>
      </c>
      <c r="BR54" s="35">
        <f ca="1">IF(НАСТРОЙКИ!$B$5&lt;&gt;"Да",0,IFERROR(SUMIF(INDIRECT("'["&amp;НАСТРОЙКИ!$D$5&amp;"]КРЕДИТЫ'!$S$3:$EO$3"),BR$22,INDIRECT("'["&amp;НАСТРОЙКИ!$D$5&amp;"]КРЕДИТЫ'!$S$51:$EO$51"))/1000000,0))</f>
        <v>12093.884253274178</v>
      </c>
      <c r="BS54" s="35">
        <f ca="1">IF(НАСТРОЙКИ!$B$5&lt;&gt;"Да",0,IFERROR(SUMIF(INDIRECT("'["&amp;НАСТРОЙКИ!$D$5&amp;"]КРЕДИТЫ'!$S$3:$EO$3"),BS$22,INDIRECT("'["&amp;НАСТРОЙКИ!$D$5&amp;"]КРЕДИТЫ'!$S$51:$EO$51"))/1000000,0))</f>
        <v>12093.884253274178</v>
      </c>
      <c r="BT54" s="35">
        <f ca="1">IF(НАСТРОЙКИ!$B$5&lt;&gt;"Да",0,IFERROR(SUMIF(INDIRECT("'["&amp;НАСТРОЙКИ!$D$5&amp;"]КРЕДИТЫ'!$S$3:$EO$3"),BT$22,INDIRECT("'["&amp;НАСТРОЙКИ!$D$5&amp;"]КРЕДИТЫ'!$S$51:$EO$51"))/1000000,0))</f>
        <v>12093.884253274178</v>
      </c>
      <c r="BU54" s="35">
        <f ca="1">IF(НАСТРОЙКИ!$B$5&lt;&gt;"Да",0,IFERROR(SUMIF(INDIRECT("'["&amp;НАСТРОЙКИ!$D$5&amp;"]КРЕДИТЫ'!$S$3:$EO$3"),BU$22,INDIRECT("'["&amp;НАСТРОЙКИ!$D$5&amp;"]КРЕДИТЫ'!$S$51:$EO$51"))/1000000,0))</f>
        <v>12093.884253274178</v>
      </c>
      <c r="BV54" s="35">
        <f ca="1">IF(НАСТРОЙКИ!$B$5&lt;&gt;"Да",0,IFERROR(SUMIF(INDIRECT("'["&amp;НАСТРОЙКИ!$D$5&amp;"]КРЕДИТЫ'!$S$3:$EO$3"),BV$22,INDIRECT("'["&amp;НАСТРОЙКИ!$D$5&amp;"]КРЕДИТЫ'!$S$51:$EO$51"))/1000000,0))</f>
        <v>12093.884253274178</v>
      </c>
      <c r="BW54" s="35">
        <f ca="1">IF(НАСТРОЙКИ!$B$5&lt;&gt;"Да",0,IFERROR(SUMIF(INDIRECT("'["&amp;НАСТРОЙКИ!$D$5&amp;"]КРЕДИТЫ'!$S$3:$EO$3"),BW$22,INDIRECT("'["&amp;НАСТРОЙКИ!$D$5&amp;"]КРЕДИТЫ'!$S$51:$EO$51"))/1000000,0))</f>
        <v>12093.884253274178</v>
      </c>
      <c r="BX54" s="35">
        <f ca="1">IF(НАСТРОЙКИ!$B$5&lt;&gt;"Да",0,IFERROR(SUMIF(INDIRECT("'["&amp;НАСТРОЙКИ!$D$5&amp;"]КРЕДИТЫ'!$S$3:$EO$3"),BX$22,INDIRECT("'["&amp;НАСТРОЙКИ!$D$5&amp;"]КРЕДИТЫ'!$S$51:$EO$51"))/1000000,0))</f>
        <v>12093.884253274178</v>
      </c>
      <c r="BY54" s="35">
        <f ca="1">IF(НАСТРОЙКИ!$B$5&lt;&gt;"Да",0,IFERROR(SUMIF(INDIRECT("'["&amp;НАСТРОЙКИ!$D$5&amp;"]КРЕДИТЫ'!$S$3:$EO$3"),BY$22,INDIRECT("'["&amp;НАСТРОЙКИ!$D$5&amp;"]КРЕДИТЫ'!$S$51:$EO$51"))/1000000,0))</f>
        <v>12093.884253274178</v>
      </c>
      <c r="BZ54" s="35">
        <f ca="1">IF(НАСТРОЙКИ!$B$5&lt;&gt;"Да",0,IFERROR(SUMIF(INDIRECT("'["&amp;НАСТРОЙКИ!$D$5&amp;"]КРЕДИТЫ'!$S$3:$EO$3"),BZ$22,INDIRECT("'["&amp;НАСТРОЙКИ!$D$5&amp;"]КРЕДИТЫ'!$S$51:$EO$51"))/1000000,0))</f>
        <v>12093.884253274178</v>
      </c>
      <c r="CA54" s="35">
        <f ca="1">IF(НАСТРОЙКИ!$B$5&lt;&gt;"Да",0,IFERROR(SUMIF(INDIRECT("'["&amp;НАСТРОЙКИ!$D$5&amp;"]КРЕДИТЫ'!$S$3:$EO$3"),CA$22,INDIRECT("'["&amp;НАСТРОЙКИ!$D$5&amp;"]КРЕДИТЫ'!$S$51:$EO$51"))/1000000,0))</f>
        <v>12093.884253274178</v>
      </c>
      <c r="CB54" s="35">
        <f ca="1">IF(НАСТРОЙКИ!$B$5&lt;&gt;"Да",0,IFERROR(SUMIF(INDIRECT("'["&amp;НАСТРОЙКИ!$D$5&amp;"]КРЕДИТЫ'!$S$3:$EO$3"),CB$22,INDIRECT("'["&amp;НАСТРОЙКИ!$D$5&amp;"]КРЕДИТЫ'!$S$51:$EO$51"))/1000000,0))</f>
        <v>12093.884253274178</v>
      </c>
      <c r="CC54" s="35">
        <f ca="1">IF(НАСТРОЙКИ!$B$5&lt;&gt;"Да",0,IFERROR(SUMIF(INDIRECT("'["&amp;НАСТРОЙКИ!$D$5&amp;"]КРЕДИТЫ'!$S$3:$EO$3"),CC$22,INDIRECT("'["&amp;НАСТРОЙКИ!$D$5&amp;"]КРЕДИТЫ'!$S$51:$EO$51"))/1000000,0))</f>
        <v>12093.884253274178</v>
      </c>
      <c r="CD54" s="35">
        <f ca="1">IF(НАСТРОЙКИ!$B$5&lt;&gt;"Да",0,IFERROR(SUMIF(INDIRECT("'["&amp;НАСТРОЙКИ!$D$5&amp;"]КРЕДИТЫ'!$S$3:$EO$3"),CD$22,INDIRECT("'["&amp;НАСТРОЙКИ!$D$5&amp;"]КРЕДИТЫ'!$S$51:$EO$51"))/1000000,0))</f>
        <v>12093.884253274178</v>
      </c>
      <c r="CE54" s="35">
        <f ca="1">IF(НАСТРОЙКИ!$B$5&lt;&gt;"Да",0,IFERROR(SUMIF(INDIRECT("'["&amp;НАСТРОЙКИ!$D$5&amp;"]КРЕДИТЫ'!$S$3:$EO$3"),CE$22,INDIRECT("'["&amp;НАСТРОЙКИ!$D$5&amp;"]КРЕДИТЫ'!$S$51:$EO$51"))/1000000,0))</f>
        <v>12093.884253274178</v>
      </c>
      <c r="CF54" s="35">
        <f ca="1">IF(НАСТРОЙКИ!$B$5&lt;&gt;"Да",0,IFERROR(SUMIF(INDIRECT("'["&amp;НАСТРОЙКИ!$D$5&amp;"]КРЕДИТЫ'!$S$3:$EO$3"),CF$22,INDIRECT("'["&amp;НАСТРОЙКИ!$D$5&amp;"]КРЕДИТЫ'!$S$51:$EO$51"))/1000000,0))</f>
        <v>12093.884253274178</v>
      </c>
      <c r="CG54" s="35">
        <f ca="1">IF(НАСТРОЙКИ!$B$5&lt;&gt;"Да",0,IFERROR(SUMIF(INDIRECT("'["&amp;НАСТРОЙКИ!$D$5&amp;"]КРЕДИТЫ'!$S$3:$EO$3"),CG$22,INDIRECT("'["&amp;НАСТРОЙКИ!$D$5&amp;"]КРЕДИТЫ'!$S$51:$EO$51"))/1000000,0))</f>
        <v>12093.884253274178</v>
      </c>
      <c r="CH54" s="35">
        <f ca="1">IF(НАСТРОЙКИ!$B$5&lt;&gt;"Да",0,IFERROR(SUMIF(INDIRECT("'["&amp;НАСТРОЙКИ!$D$5&amp;"]КРЕДИТЫ'!$S$3:$EO$3"),CH$22,INDIRECT("'["&amp;НАСТРОЙКИ!$D$5&amp;"]КРЕДИТЫ'!$S$51:$EO$51"))/1000000,0))</f>
        <v>12093.884253274178</v>
      </c>
      <c r="CI54" s="35">
        <f ca="1">IF(НАСТРОЙКИ!$B$5&lt;&gt;"Да",0,IFERROR(SUMIF(INDIRECT("'["&amp;НАСТРОЙКИ!$D$5&amp;"]КРЕДИТЫ'!$S$3:$EO$3"),CI$22,INDIRECT("'["&amp;НАСТРОЙКИ!$D$5&amp;"]КРЕДИТЫ'!$S$51:$EO$51"))/1000000,0))</f>
        <v>12093.884253274178</v>
      </c>
      <c r="CJ54" s="35">
        <f ca="1">IF(НАСТРОЙКИ!$B$5&lt;&gt;"Да",0,IFERROR(SUMIF(INDIRECT("'["&amp;НАСТРОЙКИ!$D$5&amp;"]КРЕДИТЫ'!$S$3:$EO$3"),CJ$22,INDIRECT("'["&amp;НАСТРОЙКИ!$D$5&amp;"]КРЕДИТЫ'!$S$51:$EO$51"))/1000000,0))</f>
        <v>12093.884253274178</v>
      </c>
      <c r="CK54" s="35">
        <f ca="1">IF(НАСТРОЙКИ!$B$5&lt;&gt;"Да",0,IFERROR(SUMIF(INDIRECT("'["&amp;НАСТРОЙКИ!$D$5&amp;"]КРЕДИТЫ'!$S$3:$EO$3"),CK$22,INDIRECT("'["&amp;НАСТРОЙКИ!$D$5&amp;"]КРЕДИТЫ'!$S$51:$EO$51"))/1000000,0))</f>
        <v>12093.884253274178</v>
      </c>
      <c r="CL54" s="35">
        <f ca="1">IF(НАСТРОЙКИ!$B$5&lt;&gt;"Да",0,IFERROR(SUMIF(INDIRECT("'["&amp;НАСТРОЙКИ!$D$5&amp;"]КРЕДИТЫ'!$S$3:$EO$3"),CL$22,INDIRECT("'["&amp;НАСТРОЙКИ!$D$5&amp;"]КРЕДИТЫ'!$S$51:$EO$51"))/1000000,0))</f>
        <v>12093.884253274178</v>
      </c>
      <c r="CM54" s="35">
        <f ca="1">IF(НАСТРОЙКИ!$B$5&lt;&gt;"Да",0,IFERROR(SUMIF(INDIRECT("'["&amp;НАСТРОЙКИ!$D$5&amp;"]КРЕДИТЫ'!$S$3:$EO$3"),CM$22,INDIRECT("'["&amp;НАСТРОЙКИ!$D$5&amp;"]КРЕДИТЫ'!$S$51:$EO$51"))/1000000,0))</f>
        <v>12093.884253274178</v>
      </c>
      <c r="CN54" s="35">
        <f ca="1">IF(НАСТРОЙКИ!$B$5&lt;&gt;"Да",0,IFERROR(SUMIF(INDIRECT("'["&amp;НАСТРОЙКИ!$D$5&amp;"]КРЕДИТЫ'!$S$3:$EO$3"),CN$22,INDIRECT("'["&amp;НАСТРОЙКИ!$D$5&amp;"]КРЕДИТЫ'!$S$51:$EO$51"))/1000000,0))</f>
        <v>12093.884253274178</v>
      </c>
      <c r="CO54" s="35">
        <f ca="1">IF(НАСТРОЙКИ!$B$5&lt;&gt;"Да",0,IFERROR(SUMIF(INDIRECT("'["&amp;НАСТРОЙКИ!$D$5&amp;"]КРЕДИТЫ'!$S$3:$EO$3"),CO$22,INDIRECT("'["&amp;НАСТРОЙКИ!$D$5&amp;"]КРЕДИТЫ'!$S$51:$EO$51"))/1000000,0))</f>
        <v>12093.884253274178</v>
      </c>
      <c r="CP54" s="35">
        <f ca="1">IF(НАСТРОЙКИ!$B$5&lt;&gt;"Да",0,IFERROR(SUMIF(INDIRECT("'["&amp;НАСТРОЙКИ!$D$5&amp;"]КРЕДИТЫ'!$S$3:$EO$3"),CP$22,INDIRECT("'["&amp;НАСТРОЙКИ!$D$5&amp;"]КРЕДИТЫ'!$S$51:$EO$51"))/1000000,0))</f>
        <v>12093.884253274178</v>
      </c>
      <c r="CQ54" s="35">
        <f ca="1">IF(НАСТРОЙКИ!$B$5&lt;&gt;"Да",0,IFERROR(SUMIF(INDIRECT("'["&amp;НАСТРОЙКИ!$D$5&amp;"]КРЕДИТЫ'!$S$3:$EO$3"),CQ$22,INDIRECT("'["&amp;НАСТРОЙКИ!$D$5&amp;"]КРЕДИТЫ'!$S$51:$EO$51"))/1000000,0))</f>
        <v>12093.884253274178</v>
      </c>
      <c r="CR54" s="35">
        <f ca="1">IF(НАСТРОЙКИ!$B$5&lt;&gt;"Да",0,IFERROR(SUMIF(INDIRECT("'["&amp;НАСТРОЙКИ!$D$5&amp;"]КРЕДИТЫ'!$S$3:$EO$3"),CR$22,INDIRECT("'["&amp;НАСТРОЙКИ!$D$5&amp;"]КРЕДИТЫ'!$S$51:$EO$51"))/1000000,0))</f>
        <v>12093.884253274178</v>
      </c>
      <c r="CS54" s="35">
        <f ca="1">IF(НАСТРОЙКИ!$B$5&lt;&gt;"Да",0,IFERROR(SUMIF(INDIRECT("'["&amp;НАСТРОЙКИ!$D$5&amp;"]КРЕДИТЫ'!$S$3:$EO$3"),CS$22,INDIRECT("'["&amp;НАСТРОЙКИ!$D$5&amp;"]КРЕДИТЫ'!$S$51:$EO$51"))/1000000,0))</f>
        <v>12093.884253274178</v>
      </c>
      <c r="CT54" s="35">
        <f ca="1">IF(НАСТРОЙКИ!$B$5&lt;&gt;"Да",0,IFERROR(SUMIF(INDIRECT("'["&amp;НАСТРОЙКИ!$D$5&amp;"]КРЕДИТЫ'!$S$3:$EO$3"),CT$22,INDIRECT("'["&amp;НАСТРОЙКИ!$D$5&amp;"]КРЕДИТЫ'!$S$51:$EO$51"))/1000000,0))</f>
        <v>12093.884253274178</v>
      </c>
      <c r="CU54" s="35">
        <f ca="1">IF(НАСТРОЙКИ!$B$5&lt;&gt;"Да",0,IFERROR(SUMIF(INDIRECT("'["&amp;НАСТРОЙКИ!$D$5&amp;"]КРЕДИТЫ'!$S$3:$EO$3"),CU$22,INDIRECT("'["&amp;НАСТРОЙКИ!$D$5&amp;"]КРЕДИТЫ'!$S$51:$EO$51"))/1000000,0))</f>
        <v>12093.884253274178</v>
      </c>
      <c r="CV54" s="35">
        <f ca="1">IF(НАСТРОЙКИ!$B$5&lt;&gt;"Да",0,IFERROR(SUMIF(INDIRECT("'["&amp;НАСТРОЙКИ!$D$5&amp;"]КРЕДИТЫ'!$S$3:$EO$3"),CV$22,INDIRECT("'["&amp;НАСТРОЙКИ!$D$5&amp;"]КРЕДИТЫ'!$S$51:$EO$51"))/1000000,0))</f>
        <v>12093.884253274178</v>
      </c>
      <c r="CW54" s="35">
        <f ca="1">IF(НАСТРОЙКИ!$B$5&lt;&gt;"Да",0,IFERROR(SUMIF(INDIRECT("'["&amp;НАСТРОЙКИ!$D$5&amp;"]КРЕДИТЫ'!$S$3:$EO$3"),CW$22,INDIRECT("'["&amp;НАСТРОЙКИ!$D$5&amp;"]КРЕДИТЫ'!$S$51:$EO$51"))/1000000,0))</f>
        <v>12093.884253274178</v>
      </c>
      <c r="CX54" s="35">
        <f ca="1">IF(НАСТРОЙКИ!$B$5&lt;&gt;"Да",0,IFERROR(SUMIF(INDIRECT("'["&amp;НАСТРОЙКИ!$D$5&amp;"]КРЕДИТЫ'!$S$3:$EO$3"),CX$22,INDIRECT("'["&amp;НАСТРОЙКИ!$D$5&amp;"]КРЕДИТЫ'!$S$51:$EO$51"))/1000000,0))</f>
        <v>12093.884253274178</v>
      </c>
      <c r="CY54" s="35">
        <f ca="1">IF(НАСТРОЙКИ!$B$5&lt;&gt;"Да",0,IFERROR(SUMIF(INDIRECT("'["&amp;НАСТРОЙКИ!$D$5&amp;"]КРЕДИТЫ'!$S$3:$EO$3"),CY$22,INDIRECT("'["&amp;НАСТРОЙКИ!$D$5&amp;"]КРЕДИТЫ'!$S$51:$EO$51"))/1000000,0))</f>
        <v>12093.884253274178</v>
      </c>
      <c r="CZ54" s="35">
        <f ca="1">IF(НАСТРОЙКИ!$B$5&lt;&gt;"Да",0,IFERROR(SUMIF(INDIRECT("'["&amp;НАСТРОЙКИ!$D$5&amp;"]КРЕДИТЫ'!$S$3:$EO$3"),CZ$22,INDIRECT("'["&amp;НАСТРОЙКИ!$D$5&amp;"]КРЕДИТЫ'!$S$51:$EO$51"))/1000000,0))</f>
        <v>0</v>
      </c>
      <c r="DA54" s="35">
        <f ca="1">IF(НАСТРОЙКИ!$B$5&lt;&gt;"Да",0,IFERROR(SUMIF(INDIRECT("'["&amp;НАСТРОЙКИ!$D$5&amp;"]КРЕДИТЫ'!$S$3:$EO$3"),DA$22,INDIRECT("'["&amp;НАСТРОЙКИ!$D$5&amp;"]КРЕДИТЫ'!$S$51:$EO$51"))/1000000,0))</f>
        <v>0</v>
      </c>
      <c r="DB54" s="35">
        <f ca="1">IF(НАСТРОЙКИ!$B$5&lt;&gt;"Да",0,IFERROR(SUMIF(INDIRECT("'["&amp;НАСТРОЙКИ!$D$5&amp;"]КРЕДИТЫ'!$S$3:$EO$3"),DB$22,INDIRECT("'["&amp;НАСТРОЙКИ!$D$5&amp;"]КРЕДИТЫ'!$S$51:$EO$51"))/1000000,0))</f>
        <v>0</v>
      </c>
      <c r="DC54" s="35">
        <f ca="1">IF(НАСТРОЙКИ!$B$5&lt;&gt;"Да",0,IFERROR(SUMIF(INDIRECT("'["&amp;НАСТРОЙКИ!$D$5&amp;"]КРЕДИТЫ'!$S$3:$EO$3"),DC$22,INDIRECT("'["&amp;НАСТРОЙКИ!$D$5&amp;"]КРЕДИТЫ'!$S$51:$EO$51"))/1000000,0))</f>
        <v>0</v>
      </c>
      <c r="DD54" s="35">
        <f ca="1">IF(НАСТРОЙКИ!$B$5&lt;&gt;"Да",0,IFERROR(SUMIF(INDIRECT("'["&amp;НАСТРОЙКИ!$D$5&amp;"]КРЕДИТЫ'!$S$3:$EO$3"),DD$22,INDIRECT("'["&amp;НАСТРОЙКИ!$D$5&amp;"]КРЕДИТЫ'!$S$51:$EO$51"))/1000000,0))</f>
        <v>0</v>
      </c>
      <c r="DE54" s="35">
        <f ca="1">IF(НАСТРОЙКИ!$B$5&lt;&gt;"Да",0,IFERROR(SUMIF(INDIRECT("'["&amp;НАСТРОЙКИ!$D$5&amp;"]КРЕДИТЫ'!$S$3:$EO$3"),DE$22,INDIRECT("'["&amp;НАСТРОЙКИ!$D$5&amp;"]КРЕДИТЫ'!$S$51:$EO$51"))/1000000,0))</f>
        <v>0</v>
      </c>
      <c r="DF54" s="35">
        <f ca="1">IF(НАСТРОЙКИ!$B$5&lt;&gt;"Да",0,IFERROR(SUMIF(INDIRECT("'["&amp;НАСТРОЙКИ!$D$5&amp;"]КРЕДИТЫ'!$S$3:$EO$3"),DF$22,INDIRECT("'["&amp;НАСТРОЙКИ!$D$5&amp;"]КРЕДИТЫ'!$S$51:$EO$51"))/1000000,0))</f>
        <v>0</v>
      </c>
    </row>
    <row r="55" spans="1:110">
      <c r="A55" s="34" t="s">
        <v>134</v>
      </c>
      <c r="B55" s="34" t="s">
        <v>58</v>
      </c>
      <c r="C55" s="35">
        <f ca="1">IF(НАСТРОЙКИ!$B$5&lt;&gt;"Да",0,MAX(0,IFERROR(SUMIF(INDIRECT("'["&amp;НАСТРОЙКИ!$D$5&amp;"]КРЕДИТЫ'!$S$3:$EO$3"),C$22,INDIRECT("'["&amp;НАСТРОЙКИ!$D$5&amp;"]КРЕДИТЫ'!$S$38:$EO$38"))/1000000,0)))</f>
        <v>0</v>
      </c>
      <c r="D55" s="35">
        <f ca="1">IF(НАСТРОЙКИ!$B$5&lt;&gt;"Да",0,MAX(0,IFERROR(SUMIF(INDIRECT("'["&amp;НАСТРОЙКИ!$D$5&amp;"]КРЕДИТЫ'!$S$3:$EO$3"),D$22,INDIRECT("'["&amp;НАСТРОЙКИ!$D$5&amp;"]КРЕДИТЫ'!$S$38:$EO$38"))/1000000,0)))</f>
        <v>0</v>
      </c>
      <c r="E55" s="35">
        <f ca="1">IF(НАСТРОЙКИ!$B$5&lt;&gt;"Да",0,MAX(0,IFERROR(SUMIF(INDIRECT("'["&amp;НАСТРОЙКИ!$D$5&amp;"]КРЕДИТЫ'!$S$3:$EO$3"),E$22,INDIRECT("'["&amp;НАСТРОЙКИ!$D$5&amp;"]КРЕДИТЫ'!$S$38:$EO$38"))/1000000,0)))</f>
        <v>0.84524999999999995</v>
      </c>
      <c r="F55" s="35">
        <f ca="1">IF(НАСТРОЙКИ!$B$5&lt;&gt;"Да",0,MAX(0,IFERROR(SUMIF(INDIRECT("'["&amp;НАСТРОЙКИ!$D$5&amp;"]КРЕДИТЫ'!$S$3:$EO$3"),F$22,INDIRECT("'["&amp;НАСТРОЙКИ!$D$5&amp;"]КРЕДИТЫ'!$S$38:$EO$38"))/1000000,0)))</f>
        <v>0.84524999999999995</v>
      </c>
      <c r="G55" s="35">
        <f ca="1">IF(НАСТРОЙКИ!$B$5&lt;&gt;"Да",0,MAX(0,IFERROR(SUMIF(INDIRECT("'["&amp;НАСТРОЙКИ!$D$5&amp;"]КРЕДИТЫ'!$S$3:$EO$3"),G$22,INDIRECT("'["&amp;НАСТРОЙКИ!$D$5&amp;"]КРЕДИТЫ'!$S$38:$EO$38"))/1000000,0)))</f>
        <v>0.84524999999999995</v>
      </c>
      <c r="H55" s="35">
        <f ca="1">IF(НАСТРОЙКИ!$B$5&lt;&gt;"Да",0,MAX(0,IFERROR(SUMIF(INDIRECT("'["&amp;НАСТРОЙКИ!$D$5&amp;"]КРЕДИТЫ'!$S$3:$EO$3"),H$22,INDIRECT("'["&amp;НАСТРОЙКИ!$D$5&amp;"]КРЕДИТЫ'!$S$38:$EO$38"))/1000000,0)))</f>
        <v>0.84524999999999995</v>
      </c>
      <c r="I55" s="35">
        <f ca="1">IF(НАСТРОЙКИ!$B$5&lt;&gt;"Да",0,MAX(0,IFERROR(SUMIF(INDIRECT("'["&amp;НАСТРОЙКИ!$D$5&amp;"]КРЕДИТЫ'!$S$3:$EO$3"),I$22,INDIRECT("'["&amp;НАСТРОЙКИ!$D$5&amp;"]КРЕДИТЫ'!$S$38:$EO$38"))/1000000,0)))</f>
        <v>0.84524999999999995</v>
      </c>
      <c r="J55" s="35">
        <f ca="1">IF(НАСТРОЙКИ!$B$5&lt;&gt;"Да",0,MAX(0,IFERROR(SUMIF(INDIRECT("'["&amp;НАСТРОЙКИ!$D$5&amp;"]КРЕДИТЫ'!$S$3:$EO$3"),J$22,INDIRECT("'["&amp;НАСТРОЙКИ!$D$5&amp;"]КРЕДИТЫ'!$S$38:$EO$38"))/1000000,0)))</f>
        <v>0.84524999999999995</v>
      </c>
      <c r="K55" s="35">
        <f ca="1">IF(НАСТРОЙКИ!$B$5&lt;&gt;"Да",0,MAX(0,IFERROR(SUMIF(INDIRECT("'["&amp;НАСТРОЙКИ!$D$5&amp;"]КРЕДИТЫ'!$S$3:$EO$3"),K$22,INDIRECT("'["&amp;НАСТРОЙКИ!$D$5&amp;"]КРЕДИТЫ'!$S$38:$EO$38"))/1000000,0)))</f>
        <v>0.84524999999999995</v>
      </c>
      <c r="L55" s="35">
        <f ca="1">IF(НАСТРОЙКИ!$B$5&lt;&gt;"Да",0,MAX(0,IFERROR(SUMIF(INDIRECT("'["&amp;НАСТРОЙКИ!$D$5&amp;"]КРЕДИТЫ'!$S$3:$EO$3"),L$22,INDIRECT("'["&amp;НАСТРОЙКИ!$D$5&amp;"]КРЕДИТЫ'!$S$38:$EO$38"))/1000000,0)))</f>
        <v>0.84524999999999995</v>
      </c>
      <c r="M55" s="35">
        <f ca="1">IF(НАСТРОЙКИ!$B$5&lt;&gt;"Да",0,MAX(0,IFERROR(SUMIF(INDIRECT("'["&amp;НАСТРОЙКИ!$D$5&amp;"]КРЕДИТЫ'!$S$3:$EO$3"),M$22,INDIRECT("'["&amp;НАСТРОЙКИ!$D$5&amp;"]КРЕДИТЫ'!$S$38:$EO$38"))/1000000,0)))</f>
        <v>0.84524999999999995</v>
      </c>
      <c r="N55" s="35">
        <f ca="1">IF(НАСТРОЙКИ!$B$5&lt;&gt;"Да",0,MAX(0,IFERROR(SUMIF(INDIRECT("'["&amp;НАСТРОЙКИ!$D$5&amp;"]КРЕДИТЫ'!$S$3:$EO$3"),N$22,INDIRECT("'["&amp;НАСТРОЙКИ!$D$5&amp;"]КРЕДИТЫ'!$S$38:$EO$38"))/1000000,0)))</f>
        <v>0.84524999999999995</v>
      </c>
      <c r="O55" s="35">
        <f ca="1">IF(НАСТРОЙКИ!$B$5&lt;&gt;"Да",0,MAX(0,IFERROR(SUMIF(INDIRECT("'["&amp;НАСТРОЙКИ!$D$5&amp;"]КРЕДИТЫ'!$S$3:$EO$3"),O$22,INDIRECT("'["&amp;НАСТРОЙКИ!$D$5&amp;"]КРЕДИТЫ'!$S$38:$EO$38"))/1000000,0)))</f>
        <v>216.37752592941595</v>
      </c>
      <c r="P55" s="35">
        <f ca="1">IF(НАСТРОЙКИ!$B$5&lt;&gt;"Да",0,MAX(0,IFERROR(SUMIF(INDIRECT("'["&amp;НАСТРОЙКИ!$D$5&amp;"]КРЕДИТЫ'!$S$3:$EO$3"),P$22,INDIRECT("'["&amp;НАСТРОЙКИ!$D$5&amp;"]КРЕДИТЫ'!$S$38:$EO$38"))/1000000,0)))</f>
        <v>117.62455586721083</v>
      </c>
      <c r="Q55" s="35">
        <f ca="1">IF(НАСТРОЙКИ!$B$5&lt;&gt;"Да",0,MAX(0,IFERROR(SUMIF(INDIRECT("'["&amp;НАСТРОЙКИ!$D$5&amp;"]КРЕДИТЫ'!$S$3:$EO$3"),Q$22,INDIRECT("'["&amp;НАСТРОЙКИ!$D$5&amp;"]КРЕДИТЫ'!$S$38:$EO$38"))/1000000,0)))</f>
        <v>117.62455586721083</v>
      </c>
      <c r="R55" s="35">
        <f ca="1">IF(НАСТРОЙКИ!$B$5&lt;&gt;"Да",0,MAX(0,IFERROR(SUMIF(INDIRECT("'["&amp;НАСТРОЙКИ!$D$5&amp;"]КРЕДИТЫ'!$S$3:$EO$3"),R$22,INDIRECT("'["&amp;НАСТРОЙКИ!$D$5&amp;"]КРЕДИТЫ'!$S$38:$EO$38"))/1000000,0)))</f>
        <v>530.37640036560651</v>
      </c>
      <c r="S55" s="35">
        <f ca="1">IF(НАСТРОЙКИ!$B$5&lt;&gt;"Да",0,MAX(0,IFERROR(SUMIF(INDIRECT("'["&amp;НАСТРОЙКИ!$D$5&amp;"]КРЕДИТЫ'!$S$3:$EO$3"),S$22,INDIRECT("'["&amp;НАСТРОЙКИ!$D$5&amp;"]КРЕДИТЫ'!$S$38:$EO$38"))/1000000,0)))</f>
        <v>177.68722157201663</v>
      </c>
      <c r="T55" s="35">
        <f ca="1">IF(НАСТРОЙКИ!$B$5&lt;&gt;"Да",0,MAX(0,IFERROR(SUMIF(INDIRECT("'["&amp;НАСТРОЙКИ!$D$5&amp;"]КРЕДИТЫ'!$S$3:$EO$3"),T$22,INDIRECT("'["&amp;НАСТРОЙКИ!$D$5&amp;"]КРЕДИТЫ'!$S$38:$EO$38"))/1000000,0)))</f>
        <v>177.68722157201663</v>
      </c>
      <c r="U55" s="35">
        <f ca="1">IF(НАСТРОЙКИ!$B$5&lt;&gt;"Да",0,MAX(0,IFERROR(SUMIF(INDIRECT("'["&amp;НАСТРОЙКИ!$D$5&amp;"]КРЕДИТЫ'!$S$3:$EO$3"),U$22,INDIRECT("'["&amp;НАСТРОЙКИ!$D$5&amp;"]КРЕДИТЫ'!$S$38:$EO$38"))/1000000,0)))</f>
        <v>0</v>
      </c>
      <c r="V55" s="35">
        <f ca="1">IF(НАСТРОЙКИ!$B$5&lt;&gt;"Да",0,MAX(0,IFERROR(SUMIF(INDIRECT("'["&amp;НАСТРОЙКИ!$D$5&amp;"]КРЕДИТЫ'!$S$3:$EO$3"),V$22,INDIRECT("'["&amp;НАСТРОЙКИ!$D$5&amp;"]КРЕДИТЫ'!$S$38:$EO$38"))/1000000,0)))</f>
        <v>0</v>
      </c>
      <c r="W55" s="35">
        <f ca="1">IF(НАСТРОЙКИ!$B$5&lt;&gt;"Да",0,MAX(0,IFERROR(SUMIF(INDIRECT("'["&amp;НАСТРОЙКИ!$D$5&amp;"]КРЕДИТЫ'!$S$3:$EO$3"),W$22,INDIRECT("'["&amp;НАСТРОЙКИ!$D$5&amp;"]КРЕДИТЫ'!$S$38:$EO$38"))/1000000,0)))</f>
        <v>0</v>
      </c>
      <c r="X55" s="35">
        <f ca="1">IF(НАСТРОЙКИ!$B$5&lt;&gt;"Да",0,MAX(0,IFERROR(SUMIF(INDIRECT("'["&amp;НАСТРОЙКИ!$D$5&amp;"]КРЕДИТЫ'!$S$3:$EO$3"),X$22,INDIRECT("'["&amp;НАСТРОЙКИ!$D$5&amp;"]КРЕДИТЫ'!$S$38:$EO$38"))/1000000,0)))</f>
        <v>0</v>
      </c>
      <c r="Y55" s="35">
        <f ca="1">IF(НАСТРОЙКИ!$B$5&lt;&gt;"Да",0,MAX(0,IFERROR(SUMIF(INDIRECT("'["&amp;НАСТРОЙКИ!$D$5&amp;"]КРЕДИТЫ'!$S$3:$EO$3"),Y$22,INDIRECT("'["&amp;НАСТРОЙКИ!$D$5&amp;"]КРЕДИТЫ'!$S$38:$EO$38"))/1000000,0)))</f>
        <v>0</v>
      </c>
      <c r="Z55" s="35">
        <f ca="1">IF(НАСТРОЙКИ!$B$5&lt;&gt;"Да",0,MAX(0,IFERROR(SUMIF(INDIRECT("'["&amp;НАСТРОЙКИ!$D$5&amp;"]КРЕДИТЫ'!$S$3:$EO$3"),Z$22,INDIRECT("'["&amp;НАСТРОЙКИ!$D$5&amp;"]КРЕДИТЫ'!$S$38:$EO$38"))/1000000,0)))</f>
        <v>0</v>
      </c>
      <c r="AA55" s="35">
        <f ca="1">IF(НАСТРОЙКИ!$B$5&lt;&gt;"Да",0,MAX(0,IFERROR(SUMIF(INDIRECT("'["&amp;НАСТРОЙКИ!$D$5&amp;"]КРЕДИТЫ'!$S$3:$EO$3"),AA$22,INDIRECT("'["&amp;НАСТРОЙКИ!$D$5&amp;"]КРЕДИТЫ'!$S$38:$EO$38"))/1000000,0)))</f>
        <v>0</v>
      </c>
      <c r="AB55" s="35">
        <f ca="1">IF(НАСТРОЙКИ!$B$5&lt;&gt;"Да",0,MAX(0,IFERROR(SUMIF(INDIRECT("'["&amp;НАСТРОЙКИ!$D$5&amp;"]КРЕДИТЫ'!$S$3:$EO$3"),AB$22,INDIRECT("'["&amp;НАСТРОЙКИ!$D$5&amp;"]КРЕДИТЫ'!$S$38:$EO$38"))/1000000,0)))</f>
        <v>0</v>
      </c>
      <c r="AC55" s="35">
        <f ca="1">IF(НАСТРОЙКИ!$B$5&lt;&gt;"Да",0,MAX(0,IFERROR(SUMIF(INDIRECT("'["&amp;НАСТРОЙКИ!$D$5&amp;"]КРЕДИТЫ'!$S$3:$EO$3"),AC$22,INDIRECT("'["&amp;НАСТРОЙКИ!$D$5&amp;"]КРЕДИТЫ'!$S$38:$EO$38"))/1000000,0)))</f>
        <v>0</v>
      </c>
      <c r="AD55" s="35">
        <f ca="1">IF(НАСТРОЙКИ!$B$5&lt;&gt;"Да",0,MAX(0,IFERROR(SUMIF(INDIRECT("'["&amp;НАСТРОЙКИ!$D$5&amp;"]КРЕДИТЫ'!$S$3:$EO$3"),AD$22,INDIRECT("'["&amp;НАСТРОЙКИ!$D$5&amp;"]КРЕДИТЫ'!$S$38:$EO$38"))/1000000,0)))</f>
        <v>0</v>
      </c>
      <c r="AE55" s="35">
        <f ca="1">IF(НАСТРОЙКИ!$B$5&lt;&gt;"Да",0,MAX(0,IFERROR(SUMIF(INDIRECT("'["&amp;НАСТРОЙКИ!$D$5&amp;"]КРЕДИТЫ'!$S$3:$EO$3"),AE$22,INDIRECT("'["&amp;НАСТРОЙКИ!$D$5&amp;"]КРЕДИТЫ'!$S$38:$EO$38"))/1000000,0)))</f>
        <v>0</v>
      </c>
      <c r="AF55" s="35">
        <f ca="1">IF(НАСТРОЙКИ!$B$5&lt;&gt;"Да",0,MAX(0,IFERROR(SUMIF(INDIRECT("'["&amp;НАСТРОЙКИ!$D$5&amp;"]КРЕДИТЫ'!$S$3:$EO$3"),AF$22,INDIRECT("'["&amp;НАСТРОЙКИ!$D$5&amp;"]КРЕДИТЫ'!$S$38:$EO$38"))/1000000,0)))</f>
        <v>0</v>
      </c>
      <c r="AG55" s="35">
        <f ca="1">IF(НАСТРОЙКИ!$B$5&lt;&gt;"Да",0,MAX(0,IFERROR(SUMIF(INDIRECT("'["&amp;НАСТРОЙКИ!$D$5&amp;"]КРЕДИТЫ'!$S$3:$EO$3"),AG$22,INDIRECT("'["&amp;НАСТРОЙКИ!$D$5&amp;"]КРЕДИТЫ'!$S$38:$EO$38"))/1000000,0)))</f>
        <v>0</v>
      </c>
      <c r="AH55" s="35">
        <f ca="1">IF(НАСТРОЙКИ!$B$5&lt;&gt;"Да",0,MAX(0,IFERROR(SUMIF(INDIRECT("'["&amp;НАСТРОЙКИ!$D$5&amp;"]КРЕДИТЫ'!$S$3:$EO$3"),AH$22,INDIRECT("'["&amp;НАСТРОЙКИ!$D$5&amp;"]КРЕДИТЫ'!$S$38:$EO$38"))/1000000,0)))</f>
        <v>0</v>
      </c>
      <c r="AI55" s="35">
        <f ca="1">IF(НАСТРОЙКИ!$B$5&lt;&gt;"Да",0,MAX(0,IFERROR(SUMIF(INDIRECT("'["&amp;НАСТРОЙКИ!$D$5&amp;"]КРЕДИТЫ'!$S$3:$EO$3"),AI$22,INDIRECT("'["&amp;НАСТРОЙКИ!$D$5&amp;"]КРЕДИТЫ'!$S$38:$EO$38"))/1000000,0)))</f>
        <v>0</v>
      </c>
      <c r="AJ55" s="35">
        <f ca="1">IF(НАСТРОЙКИ!$B$5&lt;&gt;"Да",0,MAX(0,IFERROR(SUMIF(INDIRECT("'["&amp;НАСТРОЙКИ!$D$5&amp;"]КРЕДИТЫ'!$S$3:$EO$3"),AJ$22,INDIRECT("'["&amp;НАСТРОЙКИ!$D$5&amp;"]КРЕДИТЫ'!$S$38:$EO$38"))/1000000,0)))</f>
        <v>0</v>
      </c>
      <c r="AK55" s="35">
        <f ca="1">IF(НАСТРОЙКИ!$B$5&lt;&gt;"Да",0,MAX(0,IFERROR(SUMIF(INDIRECT("'["&amp;НАСТРОЙКИ!$D$5&amp;"]КРЕДИТЫ'!$S$3:$EO$3"),AK$22,INDIRECT("'["&amp;НАСТРОЙКИ!$D$5&amp;"]КРЕДИТЫ'!$S$38:$EO$38"))/1000000,0)))</f>
        <v>0</v>
      </c>
      <c r="AL55" s="35">
        <f ca="1">IF(НАСТРОЙКИ!$B$5&lt;&gt;"Да",0,MAX(0,IFERROR(SUMIF(INDIRECT("'["&amp;НАСТРОЙКИ!$D$5&amp;"]КРЕДИТЫ'!$S$3:$EO$3"),AL$22,INDIRECT("'["&amp;НАСТРОЙКИ!$D$5&amp;"]КРЕДИТЫ'!$S$38:$EO$38"))/1000000,0)))</f>
        <v>0</v>
      </c>
      <c r="AM55" s="35">
        <f ca="1">IF(НАСТРОЙКИ!$B$5&lt;&gt;"Да",0,MAX(0,IFERROR(SUMIF(INDIRECT("'["&amp;НАСТРОЙКИ!$D$5&amp;"]КРЕДИТЫ'!$S$3:$EO$3"),AM$22,INDIRECT("'["&amp;НАСТРОЙКИ!$D$5&amp;"]КРЕДИТЫ'!$S$38:$EO$38"))/1000000,0)))</f>
        <v>0</v>
      </c>
      <c r="AN55" s="35">
        <f ca="1">IF(НАСТРОЙКИ!$B$5&lt;&gt;"Да",0,MAX(0,IFERROR(SUMIF(INDIRECT("'["&amp;НАСТРОЙКИ!$D$5&amp;"]КРЕДИТЫ'!$S$3:$EO$3"),AN$22,INDIRECT("'["&amp;НАСТРОЙКИ!$D$5&amp;"]КРЕДИТЫ'!$S$38:$EO$38"))/1000000,0)))</f>
        <v>0</v>
      </c>
      <c r="AO55" s="35">
        <f ca="1">IF(НАСТРОЙКИ!$B$5&lt;&gt;"Да",0,MAX(0,IFERROR(SUMIF(INDIRECT("'["&amp;НАСТРОЙКИ!$D$5&amp;"]КРЕДИТЫ'!$S$3:$EO$3"),AO$22,INDIRECT("'["&amp;НАСТРОЙКИ!$D$5&amp;"]КРЕДИТЫ'!$S$38:$EO$38"))/1000000,0)))</f>
        <v>0</v>
      </c>
      <c r="AP55" s="35">
        <f ca="1">IF(НАСТРОЙКИ!$B$5&lt;&gt;"Да",0,MAX(0,IFERROR(SUMIF(INDIRECT("'["&amp;НАСТРОЙКИ!$D$5&amp;"]КРЕДИТЫ'!$S$3:$EO$3"),AP$22,INDIRECT("'["&amp;НАСТРОЙКИ!$D$5&amp;"]КРЕДИТЫ'!$S$38:$EO$38"))/1000000,0)))</f>
        <v>0</v>
      </c>
      <c r="AQ55" s="35">
        <f ca="1">IF(НАСТРОЙКИ!$B$5&lt;&gt;"Да",0,MAX(0,IFERROR(SUMIF(INDIRECT("'["&amp;НАСТРОЙКИ!$D$5&amp;"]КРЕДИТЫ'!$S$3:$EO$3"),AQ$22,INDIRECT("'["&amp;НАСТРОЙКИ!$D$5&amp;"]КРЕДИТЫ'!$S$38:$EO$38"))/1000000,0)))</f>
        <v>0</v>
      </c>
      <c r="AR55" s="35">
        <f ca="1">IF(НАСТРОЙКИ!$B$5&lt;&gt;"Да",0,MAX(0,IFERROR(SUMIF(INDIRECT("'["&amp;НАСТРОЙКИ!$D$5&amp;"]КРЕДИТЫ'!$S$3:$EO$3"),AR$22,INDIRECT("'["&amp;НАСТРОЙКИ!$D$5&amp;"]КРЕДИТЫ'!$S$38:$EO$38"))/1000000,0)))</f>
        <v>0</v>
      </c>
      <c r="AS55" s="35">
        <f ca="1">IF(НАСТРОЙКИ!$B$5&lt;&gt;"Да",0,MAX(0,IFERROR(SUMIF(INDIRECT("'["&amp;НАСТРОЙКИ!$D$5&amp;"]КРЕДИТЫ'!$S$3:$EO$3"),AS$22,INDIRECT("'["&amp;НАСТРОЙКИ!$D$5&amp;"]КРЕДИТЫ'!$S$38:$EO$38"))/1000000,0)))</f>
        <v>0</v>
      </c>
      <c r="AT55" s="35">
        <f ca="1">IF(НАСТРОЙКИ!$B$5&lt;&gt;"Да",0,MAX(0,IFERROR(SUMIF(INDIRECT("'["&amp;НАСТРОЙКИ!$D$5&amp;"]КРЕДИТЫ'!$S$3:$EO$3"),AT$22,INDIRECT("'["&amp;НАСТРОЙКИ!$D$5&amp;"]КРЕДИТЫ'!$S$38:$EO$38"))/1000000,0)))</f>
        <v>0</v>
      </c>
      <c r="AU55" s="35">
        <f ca="1">IF(НАСТРОЙКИ!$B$5&lt;&gt;"Да",0,MAX(0,IFERROR(SUMIF(INDIRECT("'["&amp;НАСТРОЙКИ!$D$5&amp;"]КРЕДИТЫ'!$S$3:$EO$3"),AU$22,INDIRECT("'["&amp;НАСТРОЙКИ!$D$5&amp;"]КРЕДИТЫ'!$S$38:$EO$38"))/1000000,0)))</f>
        <v>0</v>
      </c>
      <c r="AV55" s="35">
        <f ca="1">IF(НАСТРОЙКИ!$B$5&lt;&gt;"Да",0,MAX(0,IFERROR(SUMIF(INDIRECT("'["&amp;НАСТРОЙКИ!$D$5&amp;"]КРЕДИТЫ'!$S$3:$EO$3"),AV$22,INDIRECT("'["&amp;НАСТРОЙКИ!$D$5&amp;"]КРЕДИТЫ'!$S$38:$EO$38"))/1000000,0)))</f>
        <v>0</v>
      </c>
      <c r="AW55" s="35">
        <f ca="1">IF(НАСТРОЙКИ!$B$5&lt;&gt;"Да",0,MAX(0,IFERROR(SUMIF(INDIRECT("'["&amp;НАСТРОЙКИ!$D$5&amp;"]КРЕДИТЫ'!$S$3:$EO$3"),AW$22,INDIRECT("'["&amp;НАСТРОЙКИ!$D$5&amp;"]КРЕДИТЫ'!$S$38:$EO$38"))/1000000,0)))</f>
        <v>0</v>
      </c>
      <c r="AX55" s="35">
        <f ca="1">IF(НАСТРОЙКИ!$B$5&lt;&gt;"Да",0,MAX(0,IFERROR(SUMIF(INDIRECT("'["&amp;НАСТРОЙКИ!$D$5&amp;"]КРЕДИТЫ'!$S$3:$EO$3"),AX$22,INDIRECT("'["&amp;НАСТРОЙКИ!$D$5&amp;"]КРЕДИТЫ'!$S$38:$EO$38"))/1000000,0)))</f>
        <v>0</v>
      </c>
      <c r="AY55" s="35">
        <f ca="1">IF(НАСТРОЙКИ!$B$5&lt;&gt;"Да",0,MAX(0,IFERROR(SUMIF(INDIRECT("'["&amp;НАСТРОЙКИ!$D$5&amp;"]КРЕДИТЫ'!$S$3:$EO$3"),AY$22,INDIRECT("'["&amp;НАСТРОЙКИ!$D$5&amp;"]КРЕДИТЫ'!$S$38:$EO$38"))/1000000,0)))</f>
        <v>0</v>
      </c>
      <c r="AZ55" s="35">
        <f ca="1">IF(НАСТРОЙКИ!$B$5&lt;&gt;"Да",0,MAX(0,IFERROR(SUMIF(INDIRECT("'["&amp;НАСТРОЙКИ!$D$5&amp;"]КРЕДИТЫ'!$S$3:$EO$3"),AZ$22,INDIRECT("'["&amp;НАСТРОЙКИ!$D$5&amp;"]КРЕДИТЫ'!$S$38:$EO$38"))/1000000,0)))</f>
        <v>0</v>
      </c>
      <c r="BA55" s="35">
        <f ca="1">IF(НАСТРОЙКИ!$B$5&lt;&gt;"Да",0,MAX(0,IFERROR(SUMIF(INDIRECT("'["&amp;НАСТРОЙКИ!$D$5&amp;"]КРЕДИТЫ'!$S$3:$EO$3"),BA$22,INDIRECT("'["&amp;НАСТРОЙКИ!$D$5&amp;"]КРЕДИТЫ'!$S$38:$EO$38"))/1000000,0)))</f>
        <v>0</v>
      </c>
      <c r="BB55" s="35">
        <f ca="1">IF(НАСТРОЙКИ!$B$5&lt;&gt;"Да",0,MAX(0,IFERROR(SUMIF(INDIRECT("'["&amp;НАСТРОЙКИ!$D$5&amp;"]КРЕДИТЫ'!$S$3:$EO$3"),BB$22,INDIRECT("'["&amp;НАСТРОЙКИ!$D$5&amp;"]КРЕДИТЫ'!$S$38:$EO$38"))/1000000,0)))</f>
        <v>0</v>
      </c>
      <c r="BC55" s="35">
        <f ca="1">IF(НАСТРОЙКИ!$B$5&lt;&gt;"Да",0,MAX(0,IFERROR(SUMIF(INDIRECT("'["&amp;НАСТРОЙКИ!$D$5&amp;"]КРЕДИТЫ'!$S$3:$EO$3"),BC$22,INDIRECT("'["&amp;НАСТРОЙКИ!$D$5&amp;"]КРЕДИТЫ'!$S$38:$EO$38"))/1000000,0)))</f>
        <v>0</v>
      </c>
      <c r="BD55" s="35">
        <f ca="1">IF(НАСТРОЙКИ!$B$5&lt;&gt;"Да",0,MAX(0,IFERROR(SUMIF(INDIRECT("'["&amp;НАСТРОЙКИ!$D$5&amp;"]КРЕДИТЫ'!$S$3:$EO$3"),BD$22,INDIRECT("'["&amp;НАСТРОЙКИ!$D$5&amp;"]КРЕДИТЫ'!$S$38:$EO$38"))/1000000,0)))</f>
        <v>0</v>
      </c>
      <c r="BE55" s="35">
        <f ca="1">IF(НАСТРОЙКИ!$B$5&lt;&gt;"Да",0,MAX(0,IFERROR(SUMIF(INDIRECT("'["&amp;НАСТРОЙКИ!$D$5&amp;"]КРЕДИТЫ'!$S$3:$EO$3"),BE$22,INDIRECT("'["&amp;НАСТРОЙКИ!$D$5&amp;"]КРЕДИТЫ'!$S$38:$EO$38"))/1000000,0)))</f>
        <v>0</v>
      </c>
      <c r="BF55" s="35">
        <f ca="1">IF(НАСТРОЙКИ!$B$5&lt;&gt;"Да",0,MAX(0,IFERROR(SUMIF(INDIRECT("'["&amp;НАСТРОЙКИ!$D$5&amp;"]КРЕДИТЫ'!$S$3:$EO$3"),BF$22,INDIRECT("'["&amp;НАСТРОЙКИ!$D$5&amp;"]КРЕДИТЫ'!$S$38:$EO$38"))/1000000,0)))</f>
        <v>0</v>
      </c>
      <c r="BG55" s="35">
        <f ca="1">IF(НАСТРОЙКИ!$B$5&lt;&gt;"Да",0,MAX(0,IFERROR(SUMIF(INDIRECT("'["&amp;НАСТРОЙКИ!$D$5&amp;"]КРЕДИТЫ'!$S$3:$EO$3"),BG$22,INDIRECT("'["&amp;НАСТРОЙКИ!$D$5&amp;"]КРЕДИТЫ'!$S$38:$EO$38"))/1000000,0)))</f>
        <v>0</v>
      </c>
      <c r="BH55" s="35">
        <f ca="1">IF(НАСТРОЙКИ!$B$5&lt;&gt;"Да",0,MAX(0,IFERROR(SUMIF(INDIRECT("'["&amp;НАСТРОЙКИ!$D$5&amp;"]КРЕДИТЫ'!$S$3:$EO$3"),BH$22,INDIRECT("'["&amp;НАСТРОЙКИ!$D$5&amp;"]КРЕДИТЫ'!$S$38:$EO$38"))/1000000,0)))</f>
        <v>0</v>
      </c>
      <c r="BI55" s="35">
        <f ca="1">IF(НАСТРОЙКИ!$B$5&lt;&gt;"Да",0,MAX(0,IFERROR(SUMIF(INDIRECT("'["&amp;НАСТРОЙКИ!$D$5&amp;"]КРЕДИТЫ'!$S$3:$EO$3"),BI$22,INDIRECT("'["&amp;НАСТРОЙКИ!$D$5&amp;"]КРЕДИТЫ'!$S$38:$EO$38"))/1000000,0)))</f>
        <v>0</v>
      </c>
      <c r="BJ55" s="35">
        <f ca="1">IF(НАСТРОЙКИ!$B$5&lt;&gt;"Да",0,MAX(0,IFERROR(SUMIF(INDIRECT("'["&amp;НАСТРОЙКИ!$D$5&amp;"]КРЕДИТЫ'!$S$3:$EO$3"),BJ$22,INDIRECT("'["&amp;НАСТРОЙКИ!$D$5&amp;"]КРЕДИТЫ'!$S$38:$EO$38"))/1000000,0)))</f>
        <v>0</v>
      </c>
      <c r="BK55" s="35">
        <f ca="1">IF(НАСТРОЙКИ!$B$5&lt;&gt;"Да",0,MAX(0,IFERROR(SUMIF(INDIRECT("'["&amp;НАСТРОЙКИ!$D$5&amp;"]КРЕДИТЫ'!$S$3:$EO$3"),BK$22,INDIRECT("'["&amp;НАСТРОЙКИ!$D$5&amp;"]КРЕДИТЫ'!$S$38:$EO$38"))/1000000,0)))</f>
        <v>0</v>
      </c>
      <c r="BL55" s="35">
        <f ca="1">IF(НАСТРОЙКИ!$B$5&lt;&gt;"Да",0,MAX(0,IFERROR(SUMIF(INDIRECT("'["&amp;НАСТРОЙКИ!$D$5&amp;"]КРЕДИТЫ'!$S$3:$EO$3"),BL$22,INDIRECT("'["&amp;НАСТРОЙКИ!$D$5&amp;"]КРЕДИТЫ'!$S$38:$EO$38"))/1000000,0)))</f>
        <v>0</v>
      </c>
      <c r="BM55" s="35">
        <f ca="1">IF(НАСТРОЙКИ!$B$5&lt;&gt;"Да",0,MAX(0,IFERROR(SUMIF(INDIRECT("'["&amp;НАСТРОЙКИ!$D$5&amp;"]КРЕДИТЫ'!$S$3:$EO$3"),BM$22,INDIRECT("'["&amp;НАСТРОЙКИ!$D$5&amp;"]КРЕДИТЫ'!$S$38:$EO$38"))/1000000,0)))</f>
        <v>0</v>
      </c>
      <c r="BN55" s="35">
        <f ca="1">IF(НАСТРОЙКИ!$B$5&lt;&gt;"Да",0,MAX(0,IFERROR(SUMIF(INDIRECT("'["&amp;НАСТРОЙКИ!$D$5&amp;"]КРЕДИТЫ'!$S$3:$EO$3"),BN$22,INDIRECT("'["&amp;НАСТРОЙКИ!$D$5&amp;"]КРЕДИТЫ'!$S$38:$EO$38"))/1000000,0)))</f>
        <v>0</v>
      </c>
      <c r="BO55" s="35">
        <f ca="1">IF(НАСТРОЙКИ!$B$5&lt;&gt;"Да",0,MAX(0,IFERROR(SUMIF(INDIRECT("'["&amp;НАСТРОЙКИ!$D$5&amp;"]КРЕДИТЫ'!$S$3:$EO$3"),BO$22,INDIRECT("'["&amp;НАСТРОЙКИ!$D$5&amp;"]КРЕДИТЫ'!$S$38:$EO$38"))/1000000,0)))</f>
        <v>0</v>
      </c>
      <c r="BP55" s="35">
        <f ca="1">IF(НАСТРОЙКИ!$B$5&lt;&gt;"Да",0,MAX(0,IFERROR(SUMIF(INDIRECT("'["&amp;НАСТРОЙКИ!$D$5&amp;"]КРЕДИТЫ'!$S$3:$EO$3"),BP$22,INDIRECT("'["&amp;НАСТРОЙКИ!$D$5&amp;"]КРЕДИТЫ'!$S$38:$EO$38"))/1000000,0)))</f>
        <v>0</v>
      </c>
      <c r="BQ55" s="35">
        <f ca="1">IF(НАСТРОЙКИ!$B$5&lt;&gt;"Да",0,MAX(0,IFERROR(SUMIF(INDIRECT("'["&amp;НАСТРОЙКИ!$D$5&amp;"]КРЕДИТЫ'!$S$3:$EO$3"),BQ$22,INDIRECT("'["&amp;НАСТРОЙКИ!$D$5&amp;"]КРЕДИТЫ'!$S$38:$EO$38"))/1000000,0)))</f>
        <v>0</v>
      </c>
      <c r="BR55" s="35">
        <f ca="1">IF(НАСТРОЙКИ!$B$5&lt;&gt;"Да",0,MAX(0,IFERROR(SUMIF(INDIRECT("'["&amp;НАСТРОЙКИ!$D$5&amp;"]КРЕДИТЫ'!$S$3:$EO$3"),BR$22,INDIRECT("'["&amp;НАСТРОЙКИ!$D$5&amp;"]КРЕДИТЫ'!$S$38:$EO$38"))/1000000,0)))</f>
        <v>0</v>
      </c>
      <c r="BS55" s="35">
        <f ca="1">IF(НАСТРОЙКИ!$B$5&lt;&gt;"Да",0,MAX(0,IFERROR(SUMIF(INDIRECT("'["&amp;НАСТРОЙКИ!$D$5&amp;"]КРЕДИТЫ'!$S$3:$EO$3"),BS$22,INDIRECT("'["&amp;НАСТРОЙКИ!$D$5&amp;"]КРЕДИТЫ'!$S$38:$EO$38"))/1000000,0)))</f>
        <v>0</v>
      </c>
      <c r="BT55" s="35">
        <f ca="1">IF(НАСТРОЙКИ!$B$5&lt;&gt;"Да",0,MAX(0,IFERROR(SUMIF(INDIRECT("'["&amp;НАСТРОЙКИ!$D$5&amp;"]КРЕДИТЫ'!$S$3:$EO$3"),BT$22,INDIRECT("'["&amp;НАСТРОЙКИ!$D$5&amp;"]КРЕДИТЫ'!$S$38:$EO$38"))/1000000,0)))</f>
        <v>0</v>
      </c>
      <c r="BU55" s="35">
        <f ca="1">IF(НАСТРОЙКИ!$B$5&lt;&gt;"Да",0,MAX(0,IFERROR(SUMIF(INDIRECT("'["&amp;НАСТРОЙКИ!$D$5&amp;"]КРЕДИТЫ'!$S$3:$EO$3"),BU$22,INDIRECT("'["&amp;НАСТРОЙКИ!$D$5&amp;"]КРЕДИТЫ'!$S$38:$EO$38"))/1000000,0)))</f>
        <v>0</v>
      </c>
      <c r="BV55" s="35">
        <f ca="1">IF(НАСТРОЙКИ!$B$5&lt;&gt;"Да",0,MAX(0,IFERROR(SUMIF(INDIRECT("'["&amp;НАСТРОЙКИ!$D$5&amp;"]КРЕДИТЫ'!$S$3:$EO$3"),BV$22,INDIRECT("'["&amp;НАСТРОЙКИ!$D$5&amp;"]КРЕДИТЫ'!$S$38:$EO$38"))/1000000,0)))</f>
        <v>0</v>
      </c>
      <c r="BW55" s="35">
        <f ca="1">IF(НАСТРОЙКИ!$B$5&lt;&gt;"Да",0,MAX(0,IFERROR(SUMIF(INDIRECT("'["&amp;НАСТРОЙКИ!$D$5&amp;"]КРЕДИТЫ'!$S$3:$EO$3"),BW$22,INDIRECT("'["&amp;НАСТРОЙКИ!$D$5&amp;"]КРЕДИТЫ'!$S$38:$EO$38"))/1000000,0)))</f>
        <v>0</v>
      </c>
      <c r="BX55" s="35">
        <f ca="1">IF(НАСТРОЙКИ!$B$5&lt;&gt;"Да",0,MAX(0,IFERROR(SUMIF(INDIRECT("'["&amp;НАСТРОЙКИ!$D$5&amp;"]КРЕДИТЫ'!$S$3:$EO$3"),BX$22,INDIRECT("'["&amp;НАСТРОЙКИ!$D$5&amp;"]КРЕДИТЫ'!$S$38:$EO$38"))/1000000,0)))</f>
        <v>0</v>
      </c>
      <c r="BY55" s="35">
        <f ca="1">IF(НАСТРОЙКИ!$B$5&lt;&gt;"Да",0,MAX(0,IFERROR(SUMIF(INDIRECT("'["&amp;НАСТРОЙКИ!$D$5&amp;"]КРЕДИТЫ'!$S$3:$EO$3"),BY$22,INDIRECT("'["&amp;НАСТРОЙКИ!$D$5&amp;"]КРЕДИТЫ'!$S$38:$EO$38"))/1000000,0)))</f>
        <v>0</v>
      </c>
      <c r="BZ55" s="35">
        <f ca="1">IF(НАСТРОЙКИ!$B$5&lt;&gt;"Да",0,MAX(0,IFERROR(SUMIF(INDIRECT("'["&amp;НАСТРОЙКИ!$D$5&amp;"]КРЕДИТЫ'!$S$3:$EO$3"),BZ$22,INDIRECT("'["&amp;НАСТРОЙКИ!$D$5&amp;"]КРЕДИТЫ'!$S$38:$EO$38"))/1000000,0)))</f>
        <v>0</v>
      </c>
      <c r="CA55" s="35">
        <f ca="1">IF(НАСТРОЙКИ!$B$5&lt;&gt;"Да",0,MAX(0,IFERROR(SUMIF(INDIRECT("'["&amp;НАСТРОЙКИ!$D$5&amp;"]КРЕДИТЫ'!$S$3:$EO$3"),CA$22,INDIRECT("'["&amp;НАСТРОЙКИ!$D$5&amp;"]КРЕДИТЫ'!$S$38:$EO$38"))/1000000,0)))</f>
        <v>0</v>
      </c>
      <c r="CB55" s="35">
        <f ca="1">IF(НАСТРОЙКИ!$B$5&lt;&gt;"Да",0,MAX(0,IFERROR(SUMIF(INDIRECT("'["&amp;НАСТРОЙКИ!$D$5&amp;"]КРЕДИТЫ'!$S$3:$EO$3"),CB$22,INDIRECT("'["&amp;НАСТРОЙКИ!$D$5&amp;"]КРЕДИТЫ'!$S$38:$EO$38"))/1000000,0)))</f>
        <v>0</v>
      </c>
      <c r="CC55" s="35">
        <f ca="1">IF(НАСТРОЙКИ!$B$5&lt;&gt;"Да",0,MAX(0,IFERROR(SUMIF(INDIRECT("'["&amp;НАСТРОЙКИ!$D$5&amp;"]КРЕДИТЫ'!$S$3:$EO$3"),CC$22,INDIRECT("'["&amp;НАСТРОЙКИ!$D$5&amp;"]КРЕДИТЫ'!$S$38:$EO$38"))/1000000,0)))</f>
        <v>0</v>
      </c>
      <c r="CD55" s="35">
        <f ca="1">IF(НАСТРОЙКИ!$B$5&lt;&gt;"Да",0,MAX(0,IFERROR(SUMIF(INDIRECT("'["&amp;НАСТРОЙКИ!$D$5&amp;"]КРЕДИТЫ'!$S$3:$EO$3"),CD$22,INDIRECT("'["&amp;НАСТРОЙКИ!$D$5&amp;"]КРЕДИТЫ'!$S$38:$EO$38"))/1000000,0)))</f>
        <v>0</v>
      </c>
      <c r="CE55" s="35">
        <f ca="1">IF(НАСТРОЙКИ!$B$5&lt;&gt;"Да",0,MAX(0,IFERROR(SUMIF(INDIRECT("'["&amp;НАСТРОЙКИ!$D$5&amp;"]КРЕДИТЫ'!$S$3:$EO$3"),CE$22,INDIRECT("'["&amp;НАСТРОЙКИ!$D$5&amp;"]КРЕДИТЫ'!$S$38:$EO$38"))/1000000,0)))</f>
        <v>0</v>
      </c>
      <c r="CF55" s="35">
        <f ca="1">IF(НАСТРОЙКИ!$B$5&lt;&gt;"Да",0,MAX(0,IFERROR(SUMIF(INDIRECT("'["&amp;НАСТРОЙКИ!$D$5&amp;"]КРЕДИТЫ'!$S$3:$EO$3"),CF$22,INDIRECT("'["&amp;НАСТРОЙКИ!$D$5&amp;"]КРЕДИТЫ'!$S$38:$EO$38"))/1000000,0)))</f>
        <v>0</v>
      </c>
      <c r="CG55" s="35">
        <f ca="1">IF(НАСТРОЙКИ!$B$5&lt;&gt;"Да",0,MAX(0,IFERROR(SUMIF(INDIRECT("'["&amp;НАСТРОЙКИ!$D$5&amp;"]КРЕДИТЫ'!$S$3:$EO$3"),CG$22,INDIRECT("'["&amp;НАСТРОЙКИ!$D$5&amp;"]КРЕДИТЫ'!$S$38:$EO$38"))/1000000,0)))</f>
        <v>0</v>
      </c>
      <c r="CH55" s="35">
        <f ca="1">IF(НАСТРОЙКИ!$B$5&lt;&gt;"Да",0,MAX(0,IFERROR(SUMIF(INDIRECT("'["&amp;НАСТРОЙКИ!$D$5&amp;"]КРЕДИТЫ'!$S$3:$EO$3"),CH$22,INDIRECT("'["&amp;НАСТРОЙКИ!$D$5&amp;"]КРЕДИТЫ'!$S$38:$EO$38"))/1000000,0)))</f>
        <v>0</v>
      </c>
      <c r="CI55" s="35">
        <f ca="1">IF(НАСТРОЙКИ!$B$5&lt;&gt;"Да",0,MAX(0,IFERROR(SUMIF(INDIRECT("'["&amp;НАСТРОЙКИ!$D$5&amp;"]КРЕДИТЫ'!$S$3:$EO$3"),CI$22,INDIRECT("'["&amp;НАСТРОЙКИ!$D$5&amp;"]КРЕДИТЫ'!$S$38:$EO$38"))/1000000,0)))</f>
        <v>0</v>
      </c>
      <c r="CJ55" s="35">
        <f ca="1">IF(НАСТРОЙКИ!$B$5&lt;&gt;"Да",0,MAX(0,IFERROR(SUMIF(INDIRECT("'["&amp;НАСТРОЙКИ!$D$5&amp;"]КРЕДИТЫ'!$S$3:$EO$3"),CJ$22,INDIRECT("'["&amp;НАСТРОЙКИ!$D$5&amp;"]КРЕДИТЫ'!$S$38:$EO$38"))/1000000,0)))</f>
        <v>0</v>
      </c>
      <c r="CK55" s="35">
        <f ca="1">IF(НАСТРОЙКИ!$B$5&lt;&gt;"Да",0,MAX(0,IFERROR(SUMIF(INDIRECT("'["&amp;НАСТРОЙКИ!$D$5&amp;"]КРЕДИТЫ'!$S$3:$EO$3"),CK$22,INDIRECT("'["&amp;НАСТРОЙКИ!$D$5&amp;"]КРЕДИТЫ'!$S$38:$EO$38"))/1000000,0)))</f>
        <v>0</v>
      </c>
      <c r="CL55" s="35">
        <f ca="1">IF(НАСТРОЙКИ!$B$5&lt;&gt;"Да",0,MAX(0,IFERROR(SUMIF(INDIRECT("'["&amp;НАСТРОЙКИ!$D$5&amp;"]КРЕДИТЫ'!$S$3:$EO$3"),CL$22,INDIRECT("'["&amp;НАСТРОЙКИ!$D$5&amp;"]КРЕДИТЫ'!$S$38:$EO$38"))/1000000,0)))</f>
        <v>0</v>
      </c>
      <c r="CM55" s="35">
        <f ca="1">IF(НАСТРОЙКИ!$B$5&lt;&gt;"Да",0,MAX(0,IFERROR(SUMIF(INDIRECT("'["&amp;НАСТРОЙКИ!$D$5&amp;"]КРЕДИТЫ'!$S$3:$EO$3"),CM$22,INDIRECT("'["&amp;НАСТРОЙКИ!$D$5&amp;"]КРЕДИТЫ'!$S$38:$EO$38"))/1000000,0)))</f>
        <v>0</v>
      </c>
      <c r="CN55" s="35">
        <f ca="1">IF(НАСТРОЙКИ!$B$5&lt;&gt;"Да",0,MAX(0,IFERROR(SUMIF(INDIRECT("'["&amp;НАСТРОЙКИ!$D$5&amp;"]КРЕДИТЫ'!$S$3:$EO$3"),CN$22,INDIRECT("'["&amp;НАСТРОЙКИ!$D$5&amp;"]КРЕДИТЫ'!$S$38:$EO$38"))/1000000,0)))</f>
        <v>0</v>
      </c>
      <c r="CO55" s="35">
        <f ca="1">IF(НАСТРОЙКИ!$B$5&lt;&gt;"Да",0,MAX(0,IFERROR(SUMIF(INDIRECT("'["&amp;НАСТРОЙКИ!$D$5&amp;"]КРЕДИТЫ'!$S$3:$EO$3"),CO$22,INDIRECT("'["&amp;НАСТРОЙКИ!$D$5&amp;"]КРЕДИТЫ'!$S$38:$EO$38"))/1000000,0)))</f>
        <v>0</v>
      </c>
      <c r="CP55" s="35">
        <f ca="1">IF(НАСТРОЙКИ!$B$5&lt;&gt;"Да",0,MAX(0,IFERROR(SUMIF(INDIRECT("'["&amp;НАСТРОЙКИ!$D$5&amp;"]КРЕДИТЫ'!$S$3:$EO$3"),CP$22,INDIRECT("'["&amp;НАСТРОЙКИ!$D$5&amp;"]КРЕДИТЫ'!$S$38:$EO$38"))/1000000,0)))</f>
        <v>0</v>
      </c>
      <c r="CQ55" s="35">
        <f ca="1">IF(НАСТРОЙКИ!$B$5&lt;&gt;"Да",0,MAX(0,IFERROR(SUMIF(INDIRECT("'["&amp;НАСТРОЙКИ!$D$5&amp;"]КРЕДИТЫ'!$S$3:$EO$3"),CQ$22,INDIRECT("'["&amp;НАСТРОЙКИ!$D$5&amp;"]КРЕДИТЫ'!$S$38:$EO$38"))/1000000,0)))</f>
        <v>0</v>
      </c>
      <c r="CR55" s="35">
        <f ca="1">IF(НАСТРОЙКИ!$B$5&lt;&gt;"Да",0,MAX(0,IFERROR(SUMIF(INDIRECT("'["&amp;НАСТРОЙКИ!$D$5&amp;"]КРЕДИТЫ'!$S$3:$EO$3"),CR$22,INDIRECT("'["&amp;НАСТРОЙКИ!$D$5&amp;"]КРЕДИТЫ'!$S$38:$EO$38"))/1000000,0)))</f>
        <v>0</v>
      </c>
      <c r="CS55" s="35">
        <f ca="1">IF(НАСТРОЙКИ!$B$5&lt;&gt;"Да",0,MAX(0,IFERROR(SUMIF(INDIRECT("'["&amp;НАСТРОЙКИ!$D$5&amp;"]КРЕДИТЫ'!$S$3:$EO$3"),CS$22,INDIRECT("'["&amp;НАСТРОЙКИ!$D$5&amp;"]КРЕДИТЫ'!$S$38:$EO$38"))/1000000,0)))</f>
        <v>0</v>
      </c>
      <c r="CT55" s="35">
        <f ca="1">IF(НАСТРОЙКИ!$B$5&lt;&gt;"Да",0,MAX(0,IFERROR(SUMIF(INDIRECT("'["&amp;НАСТРОЙКИ!$D$5&amp;"]КРЕДИТЫ'!$S$3:$EO$3"),CT$22,INDIRECT("'["&amp;НАСТРОЙКИ!$D$5&amp;"]КРЕДИТЫ'!$S$38:$EO$38"))/1000000,0)))</f>
        <v>0</v>
      </c>
      <c r="CU55" s="35">
        <f ca="1">IF(НАСТРОЙКИ!$B$5&lt;&gt;"Да",0,MAX(0,IFERROR(SUMIF(INDIRECT("'["&amp;НАСТРОЙКИ!$D$5&amp;"]КРЕДИТЫ'!$S$3:$EO$3"),CU$22,INDIRECT("'["&amp;НАСТРОЙКИ!$D$5&amp;"]КРЕДИТЫ'!$S$38:$EO$38"))/1000000,0)))</f>
        <v>0</v>
      </c>
      <c r="CV55" s="35">
        <f ca="1">IF(НАСТРОЙКИ!$B$5&lt;&gt;"Да",0,MAX(0,IFERROR(SUMIF(INDIRECT("'["&amp;НАСТРОЙКИ!$D$5&amp;"]КРЕДИТЫ'!$S$3:$EO$3"),CV$22,INDIRECT("'["&amp;НАСТРОЙКИ!$D$5&amp;"]КРЕДИТЫ'!$S$38:$EO$38"))/1000000,0)))</f>
        <v>0</v>
      </c>
      <c r="CW55" s="35">
        <f ca="1">IF(НАСТРОЙКИ!$B$5&lt;&gt;"Да",0,MAX(0,IFERROR(SUMIF(INDIRECT("'["&amp;НАСТРОЙКИ!$D$5&amp;"]КРЕДИТЫ'!$S$3:$EO$3"),CW$22,INDIRECT("'["&amp;НАСТРОЙКИ!$D$5&amp;"]КРЕДИТЫ'!$S$38:$EO$38"))/1000000,0)))</f>
        <v>0</v>
      </c>
      <c r="CX55" s="35">
        <f ca="1">IF(НАСТРОЙКИ!$B$5&lt;&gt;"Да",0,MAX(0,IFERROR(SUMIF(INDIRECT("'["&amp;НАСТРОЙКИ!$D$5&amp;"]КРЕДИТЫ'!$S$3:$EO$3"),CX$22,INDIRECT("'["&amp;НАСТРОЙКИ!$D$5&amp;"]КРЕДИТЫ'!$S$38:$EO$38"))/1000000,0)))</f>
        <v>0</v>
      </c>
      <c r="CY55" s="35">
        <f ca="1">IF(НАСТРОЙКИ!$B$5&lt;&gt;"Да",0,MAX(0,IFERROR(SUMIF(INDIRECT("'["&amp;НАСТРОЙКИ!$D$5&amp;"]КРЕДИТЫ'!$S$3:$EO$3"),CY$22,INDIRECT("'["&amp;НАСТРОЙКИ!$D$5&amp;"]КРЕДИТЫ'!$S$38:$EO$38"))/1000000,0)))</f>
        <v>0</v>
      </c>
      <c r="CZ55" s="35">
        <f ca="1">IF(НАСТРОЙКИ!$B$5&lt;&gt;"Да",0,MAX(0,IFERROR(SUMIF(INDIRECT("'["&amp;НАСТРОЙКИ!$D$5&amp;"]КРЕДИТЫ'!$S$3:$EO$3"),CZ$22,INDIRECT("'["&amp;НАСТРОЙКИ!$D$5&amp;"]КРЕДИТЫ'!$S$38:$EO$38"))/1000000,0)))</f>
        <v>0</v>
      </c>
      <c r="DA55" s="35">
        <f ca="1">IF(НАСТРОЙКИ!$B$5&lt;&gt;"Да",0,MAX(0,IFERROR(SUMIF(INDIRECT("'["&amp;НАСТРОЙКИ!$D$5&amp;"]КРЕДИТЫ'!$S$3:$EO$3"),DA$22,INDIRECT("'["&amp;НАСТРОЙКИ!$D$5&amp;"]КРЕДИТЫ'!$S$38:$EO$38"))/1000000,0)))</f>
        <v>0</v>
      </c>
      <c r="DB55" s="35">
        <f ca="1">IF(НАСТРОЙКИ!$B$5&lt;&gt;"Да",0,MAX(0,IFERROR(SUMIF(INDIRECT("'["&amp;НАСТРОЙКИ!$D$5&amp;"]КРЕДИТЫ'!$S$3:$EO$3"),DB$22,INDIRECT("'["&amp;НАСТРОЙКИ!$D$5&amp;"]КРЕДИТЫ'!$S$38:$EO$38"))/1000000,0)))</f>
        <v>0</v>
      </c>
      <c r="DC55" s="35">
        <f ca="1">IF(НАСТРОЙКИ!$B$5&lt;&gt;"Да",0,MAX(0,IFERROR(SUMIF(INDIRECT("'["&amp;НАСТРОЙКИ!$D$5&amp;"]КРЕДИТЫ'!$S$3:$EO$3"),DC$22,INDIRECT("'["&amp;НАСТРОЙКИ!$D$5&amp;"]КРЕДИТЫ'!$S$38:$EO$38"))/1000000,0)))</f>
        <v>0</v>
      </c>
      <c r="DD55" s="35">
        <f ca="1">IF(НАСТРОЙКИ!$B$5&lt;&gt;"Да",0,MAX(0,IFERROR(SUMIF(INDIRECT("'["&amp;НАСТРОЙКИ!$D$5&amp;"]КРЕДИТЫ'!$S$3:$EO$3"),DD$22,INDIRECT("'["&amp;НАСТРОЙКИ!$D$5&amp;"]КРЕДИТЫ'!$S$38:$EO$38"))/1000000,0)))</f>
        <v>0</v>
      </c>
      <c r="DE55" s="35">
        <f ca="1">IF(НАСТРОЙКИ!$B$5&lt;&gt;"Да",0,MAX(0,IFERROR(SUMIF(INDIRECT("'["&amp;НАСТРОЙКИ!$D$5&amp;"]КРЕДИТЫ'!$S$3:$EO$3"),DE$22,INDIRECT("'["&amp;НАСТРОЙКИ!$D$5&amp;"]КРЕДИТЫ'!$S$38:$EO$38"))/1000000,0)))</f>
        <v>0</v>
      </c>
      <c r="DF55" s="35">
        <f ca="1">IF(НАСТРОЙКИ!$B$5&lt;&gt;"Да",0,MAX(0,IFERROR(SUMIF(INDIRECT("'["&amp;НАСТРОЙКИ!$D$5&amp;"]КРЕДИТЫ'!$S$3:$EO$3"),DF$22,INDIRECT("'["&amp;НАСТРОЙКИ!$D$5&amp;"]КРЕДИТЫ'!$S$38:$EO$38"))/1000000,0)))</f>
        <v>0</v>
      </c>
    </row>
    <row r="56" spans="1:110">
      <c r="A56" s="34" t="s">
        <v>135</v>
      </c>
      <c r="B56" s="34" t="s">
        <v>58</v>
      </c>
      <c r="C56" s="35">
        <f ca="1">IF(НАСТРОЙКИ!$B$5&lt;&gt;"Да",0,MAX(0,IFERROR(SUMIF(INDIRECT("'["&amp;НАСТРОЙКИ!$D$5&amp;"]КРЕДИТЫ'!$S$3:$EO$3"),C$22,INDIRECT("'["&amp;НАСТРОЙКИ!$D$5&amp;"]КРЕДИТЫ'!$S$52:$EO$52"))/1000000,0)))</f>
        <v>0</v>
      </c>
      <c r="D56" s="35">
        <f ca="1">IF(НАСТРОЙКИ!$B$5&lt;&gt;"Да",0,MAX(0,IFERROR(SUMIF(INDIRECT("'["&amp;НАСТРОЙКИ!$D$5&amp;"]КРЕДИТЫ'!$S$3:$EO$3"),D$22,INDIRECT("'["&amp;НАСТРОЙКИ!$D$5&amp;"]КРЕДИТЫ'!$S$52:$EO$52"))/1000000,0)))</f>
        <v>0</v>
      </c>
      <c r="E56" s="35">
        <f ca="1">IF(НАСТРОЙКИ!$B$5&lt;&gt;"Да",0,MAX(0,IFERROR(SUMIF(INDIRECT("'["&amp;НАСТРОЙКИ!$D$5&amp;"]КРЕДИТЫ'!$S$3:$EO$3"),E$22,INDIRECT("'["&amp;НАСТРОЙКИ!$D$5&amp;"]КРЕДИТЫ'!$S$52:$EO$52"))/1000000,0)))</f>
        <v>0</v>
      </c>
      <c r="F56" s="35">
        <f ca="1">IF(НАСТРОЙКИ!$B$5&lt;&gt;"Да",0,MAX(0,IFERROR(SUMIF(INDIRECT("'["&amp;НАСТРОЙКИ!$D$5&amp;"]КРЕДИТЫ'!$S$3:$EO$3"),F$22,INDIRECT("'["&amp;НАСТРОЙКИ!$D$5&amp;"]КРЕДИТЫ'!$S$52:$EO$52"))/1000000,0)))</f>
        <v>0</v>
      </c>
      <c r="G56" s="35">
        <f ca="1">IF(НАСТРОЙКИ!$B$5&lt;&gt;"Да",0,MAX(0,IFERROR(SUMIF(INDIRECT("'["&amp;НАСТРОЙКИ!$D$5&amp;"]КРЕДИТЫ'!$S$3:$EO$3"),G$22,INDIRECT("'["&amp;НАСТРОЙКИ!$D$5&amp;"]КРЕДИТЫ'!$S$52:$EO$52"))/1000000,0)))</f>
        <v>0</v>
      </c>
      <c r="H56" s="35">
        <f ca="1">IF(НАСТРОЙКИ!$B$5&lt;&gt;"Да",0,MAX(0,IFERROR(SUMIF(INDIRECT("'["&amp;НАСТРОЙКИ!$D$5&amp;"]КРЕДИТЫ'!$S$3:$EO$3"),H$22,INDIRECT("'["&amp;НАСТРОЙКИ!$D$5&amp;"]КРЕДИТЫ'!$S$52:$EO$52"))/1000000,0)))</f>
        <v>0</v>
      </c>
      <c r="I56" s="35">
        <f ca="1">IF(НАСТРОЙКИ!$B$5&lt;&gt;"Да",0,MAX(0,IFERROR(SUMIF(INDIRECT("'["&amp;НАСТРОЙКИ!$D$5&amp;"]КРЕДИТЫ'!$S$3:$EO$3"),I$22,INDIRECT("'["&amp;НАСТРОЙКИ!$D$5&amp;"]КРЕДИТЫ'!$S$52:$EO$52"))/1000000,0)))</f>
        <v>0</v>
      </c>
      <c r="J56" s="35">
        <f ca="1">IF(НАСТРОЙКИ!$B$5&lt;&gt;"Да",0,MAX(0,IFERROR(SUMIF(INDIRECT("'["&amp;НАСТРОЙКИ!$D$5&amp;"]КРЕДИТЫ'!$S$3:$EO$3"),J$22,INDIRECT("'["&amp;НАСТРОЙКИ!$D$5&amp;"]КРЕДИТЫ'!$S$52:$EO$52"))/1000000,0)))</f>
        <v>0</v>
      </c>
      <c r="K56" s="35">
        <f ca="1">IF(НАСТРОЙКИ!$B$5&lt;&gt;"Да",0,MAX(0,IFERROR(SUMIF(INDIRECT("'["&amp;НАСТРОЙКИ!$D$5&amp;"]КРЕДИТЫ'!$S$3:$EO$3"),K$22,INDIRECT("'["&amp;НАСТРОЙКИ!$D$5&amp;"]КРЕДИТЫ'!$S$52:$EO$52"))/1000000,0)))</f>
        <v>0</v>
      </c>
      <c r="L56" s="35">
        <f ca="1">IF(НАСТРОЙКИ!$B$5&lt;&gt;"Да",0,MAX(0,IFERROR(SUMIF(INDIRECT("'["&amp;НАСТРОЙКИ!$D$5&amp;"]КРЕДИТЫ'!$S$3:$EO$3"),L$22,INDIRECT("'["&amp;НАСТРОЙКИ!$D$5&amp;"]КРЕДИТЫ'!$S$52:$EO$52"))/1000000,0)))</f>
        <v>0</v>
      </c>
      <c r="M56" s="35">
        <f ca="1">IF(НАСТРОЙКИ!$B$5&lt;&gt;"Да",0,MAX(0,IFERROR(SUMIF(INDIRECT("'["&amp;НАСТРОЙКИ!$D$5&amp;"]КРЕДИТЫ'!$S$3:$EO$3"),M$22,INDIRECT("'["&amp;НАСТРОЙКИ!$D$5&amp;"]КРЕДИТЫ'!$S$52:$EO$52"))/1000000,0)))</f>
        <v>0</v>
      </c>
      <c r="N56" s="35">
        <f ca="1">IF(НАСТРОЙКИ!$B$5&lt;&gt;"Да",0,MAX(0,IFERROR(SUMIF(INDIRECT("'["&amp;НАСТРОЙКИ!$D$5&amp;"]КРЕДИТЫ'!$S$3:$EO$3"),N$22,INDIRECT("'["&amp;НАСТРОЙКИ!$D$5&amp;"]КРЕДИТЫ'!$S$52:$EO$52"))/1000000,0)))</f>
        <v>0</v>
      </c>
      <c r="O56" s="35">
        <f ca="1">IF(НАСТРОЙКИ!$B$5&lt;&gt;"Да",0,MAX(0,IFERROR(SUMIF(INDIRECT("'["&amp;НАСТРОЙКИ!$D$5&amp;"]КРЕДИТЫ'!$S$3:$EO$3"),O$22,INDIRECT("'["&amp;НАСТРОЙКИ!$D$5&amp;"]КРЕДИТЫ'!$S$52:$EO$52"))/1000000,0)))</f>
        <v>0</v>
      </c>
      <c r="P56" s="35">
        <f ca="1">IF(НАСТРОЙКИ!$B$5&lt;&gt;"Да",0,MAX(0,IFERROR(SUMIF(INDIRECT("'["&amp;НАСТРОЙКИ!$D$5&amp;"]КРЕДИТЫ'!$S$3:$EO$3"),P$22,INDIRECT("'["&amp;НАСТРОЙКИ!$D$5&amp;"]КРЕДИТЫ'!$S$52:$EO$52"))/1000000,0)))</f>
        <v>0</v>
      </c>
      <c r="Q56" s="35">
        <f ca="1">IF(НАСТРОЙКИ!$B$5&lt;&gt;"Да",0,MAX(0,IFERROR(SUMIF(INDIRECT("'["&amp;НАСТРОЙКИ!$D$5&amp;"]КРЕДИТЫ'!$S$3:$EO$3"),Q$22,INDIRECT("'["&amp;НАСТРОЙКИ!$D$5&amp;"]КРЕДИТЫ'!$S$52:$EO$52"))/1000000,0)))</f>
        <v>0</v>
      </c>
      <c r="R56" s="35">
        <f ca="1">IF(НАСТРОЙКИ!$B$5&lt;&gt;"Да",0,MAX(0,IFERROR(SUMIF(INDIRECT("'["&amp;НАСТРОЙКИ!$D$5&amp;"]КРЕДИТЫ'!$S$3:$EO$3"),R$22,INDIRECT("'["&amp;НАСТРОЙКИ!$D$5&amp;"]КРЕДИТЫ'!$S$52:$EO$52"))/1000000,0)))</f>
        <v>0</v>
      </c>
      <c r="S56" s="35">
        <f ca="1">IF(НАСТРОЙКИ!$B$5&lt;&gt;"Да",0,MAX(0,IFERROR(SUMIF(INDIRECT("'["&amp;НАСТРОЙКИ!$D$5&amp;"]КРЕДИТЫ'!$S$3:$EO$3"),S$22,INDIRECT("'["&amp;НАСТРОЙКИ!$D$5&amp;"]КРЕДИТЫ'!$S$52:$EO$52"))/1000000,0)))</f>
        <v>0</v>
      </c>
      <c r="T56" s="35">
        <f ca="1">IF(НАСТРОЙКИ!$B$5&lt;&gt;"Да",0,MAX(0,IFERROR(SUMIF(INDIRECT("'["&amp;НАСТРОЙКИ!$D$5&amp;"]КРЕДИТЫ'!$S$3:$EO$3"),T$22,INDIRECT("'["&amp;НАСТРОЙКИ!$D$5&amp;"]КРЕДИТЫ'!$S$52:$EO$52"))/1000000,0)))</f>
        <v>0</v>
      </c>
      <c r="U56" s="35">
        <f ca="1">IF(НАСТРОЙКИ!$B$5&lt;&gt;"Да",0,MAX(0,IFERROR(SUMIF(INDIRECT("'["&amp;НАСТРОЙКИ!$D$5&amp;"]КРЕДИТЫ'!$S$3:$EO$3"),U$22,INDIRECT("'["&amp;НАСТРОЙКИ!$D$5&amp;"]КРЕДИТЫ'!$S$52:$EO$52"))/1000000,0)))</f>
        <v>4410.4738566968699</v>
      </c>
      <c r="V56" s="35">
        <f ca="1">IF(НАСТРОЙКИ!$B$5&lt;&gt;"Да",0,MAX(0,IFERROR(SUMIF(INDIRECT("'["&amp;НАСТРОЙКИ!$D$5&amp;"]КРЕДИТЫ'!$S$3:$EO$3"),V$22,INDIRECT("'["&amp;НАСТРОЙКИ!$D$5&amp;"]КРЕДИТЫ'!$S$52:$EO$52"))/1000000,0)))</f>
        <v>5409.3325278247485</v>
      </c>
      <c r="W56" s="35">
        <f ca="1">IF(НАСТРОЙКИ!$B$5&lt;&gt;"Да",0,MAX(0,IFERROR(SUMIF(INDIRECT("'["&amp;НАСТРОЙКИ!$D$5&amp;"]КРЕДИТЫ'!$S$3:$EO$3"),W$22,INDIRECT("'["&amp;НАСТРОЙКИ!$D$5&amp;"]КРЕДИТЫ'!$S$52:$EO$52"))/1000000,0)))</f>
        <v>6384.6785876231097</v>
      </c>
      <c r="X56" s="35">
        <f ca="1">IF(НАСТРОЙКИ!$B$5&lt;&gt;"Да",0,MAX(0,IFERROR(SUMIF(INDIRECT("'["&amp;НАСТРОЙКИ!$D$5&amp;"]КРЕДИТЫ'!$S$3:$EO$3"),X$22,INDIRECT("'["&amp;НАСТРОЙКИ!$D$5&amp;"]КРЕДИТЫ'!$S$52:$EO$52"))/1000000,0)))</f>
        <v>7360.0246480115275</v>
      </c>
      <c r="Y56" s="35">
        <f ca="1">IF(НАСТРОЙКИ!$B$5&lt;&gt;"Да",0,MAX(0,IFERROR(SUMIF(INDIRECT("'["&amp;НАСТРОЙКИ!$D$5&amp;"]КРЕДИТЫ'!$S$3:$EO$3"),Y$22,INDIRECT("'["&amp;НАСТРОЙКИ!$D$5&amp;"]КРЕДИТЫ'!$S$52:$EO$52"))/1000000,0)))</f>
        <v>8335.3707089899999</v>
      </c>
      <c r="Z56" s="35">
        <f ca="1">IF(НАСТРОЙКИ!$B$5&lt;&gt;"Да",0,MAX(0,IFERROR(SUMIF(INDIRECT("'["&amp;НАСТРОЙКИ!$D$5&amp;"]КРЕДИТЫ'!$S$3:$EO$3"),Z$22,INDIRECT("'["&amp;НАСТРОЙКИ!$D$5&amp;"]КРЕДИТЫ'!$S$52:$EO$52"))/1000000,0)))</f>
        <v>9310.7167705585307</v>
      </c>
      <c r="AA56" s="35">
        <f ca="1">IF(НАСТРОЙКИ!$B$5&lt;&gt;"Да",0,MAX(0,IFERROR(SUMIF(INDIRECT("'["&amp;НАСТРОЙКИ!$D$5&amp;"]КРЕДИТЫ'!$S$3:$EO$3"),AA$22,INDIRECT("'["&amp;НАСТРОЙКИ!$D$5&amp;"]КРЕДИТЫ'!$S$52:$EO$52"))/1000000,0)))</f>
        <v>10305.312832717118</v>
      </c>
      <c r="AB56" s="35">
        <f ca="1">IF(НАСТРОЙКИ!$B$5&lt;&gt;"Да",0,MAX(0,IFERROR(SUMIF(INDIRECT("'["&amp;НАСТРОЙКИ!$D$5&amp;"]КРЕДИТЫ'!$S$3:$EO$3"),AB$22,INDIRECT("'["&amp;НАСТРОЙКИ!$D$5&amp;"]КРЕДИТЫ'!$S$52:$EO$52"))/1000000,0)))</f>
        <v>11299.90889546576</v>
      </c>
      <c r="AC56" s="35">
        <f ca="1">IF(НАСТРОЙКИ!$B$5&lt;&gt;"Да",0,MAX(0,IFERROR(SUMIF(INDIRECT("'["&amp;НАСТРОЙКИ!$D$5&amp;"]КРЕДИТЫ'!$S$3:$EO$3"),AC$22,INDIRECT("'["&amp;НАСТРОЙКИ!$D$5&amp;"]КРЕДИТЫ'!$S$52:$EO$52"))/1000000,0)))</f>
        <v>12294.504958804459</v>
      </c>
      <c r="AD56" s="35">
        <f ca="1">IF(НАСТРОЙКИ!$B$5&lt;&gt;"Да",0,MAX(0,IFERROR(SUMIF(INDIRECT("'["&amp;НАСТРОЙКИ!$D$5&amp;"]КРЕДИТЫ'!$S$3:$EO$3"),AD$22,INDIRECT("'["&amp;НАСТРОЙКИ!$D$5&amp;"]КРЕДИТЫ'!$S$52:$EO$52"))/1000000,0)))</f>
        <v>13289.101022733214</v>
      </c>
      <c r="AE56" s="35">
        <f ca="1">IF(НАСТРОЙКИ!$B$5&lt;&gt;"Да",0,MAX(0,IFERROR(SUMIF(INDIRECT("'["&amp;НАСТРОЙКИ!$D$5&amp;"]КРЕДИТЫ'!$S$3:$EO$3"),AE$22,INDIRECT("'["&amp;НАСТРОЙКИ!$D$5&amp;"]КРЕДИТЫ'!$S$52:$EO$52"))/1000000,0)))</f>
        <v>14283.697087252023</v>
      </c>
      <c r="AF56" s="35">
        <f ca="1">IF(НАСТРОЙКИ!$B$5&lt;&gt;"Да",0,MAX(0,IFERROR(SUMIF(INDIRECT("'["&amp;НАСТРОЙКИ!$D$5&amp;"]КРЕДИТЫ'!$S$3:$EO$3"),AF$22,INDIRECT("'["&amp;НАСТРОЙКИ!$D$5&amp;"]КРЕДИТЫ'!$S$52:$EO$52"))/1000000,0)))</f>
        <v>15278.293152360891</v>
      </c>
      <c r="AG56" s="35">
        <f ca="1">IF(НАСТРОЙКИ!$B$5&lt;&gt;"Да",0,MAX(0,IFERROR(SUMIF(INDIRECT("'["&amp;НАСТРОЙКИ!$D$5&amp;"]КРЕДИТЫ'!$S$3:$EO$3"),AG$22,INDIRECT("'["&amp;НАСТРОЙКИ!$D$5&amp;"]КРЕДИТЫ'!$S$52:$EO$52"))/1000000,0)))</f>
        <v>16272.889218059814</v>
      </c>
      <c r="AH56" s="35">
        <f ca="1">IF(НАСТРОЙКИ!$B$5&lt;&gt;"Да",0,MAX(0,IFERROR(SUMIF(INDIRECT("'["&amp;НАСТРОЙКИ!$D$5&amp;"]КРЕДИТЫ'!$S$3:$EO$3"),AH$22,INDIRECT("'["&amp;НАСТРОЙКИ!$D$5&amp;"]КРЕДИТЫ'!$S$52:$EO$52"))/1000000,0)))</f>
        <v>17267.485284348793</v>
      </c>
      <c r="AI56" s="35">
        <f ca="1">IF(НАСТРОЙКИ!$B$5&lt;&gt;"Да",0,MAX(0,IFERROR(SUMIF(INDIRECT("'["&amp;НАСТРОЙКИ!$D$5&amp;"]КРЕДИТЫ'!$S$3:$EO$3"),AI$22,INDIRECT("'["&amp;НАСТРОЙКИ!$D$5&amp;"]КРЕДИТЫ'!$S$52:$EO$52"))/1000000,0)))</f>
        <v>18262.081350637771</v>
      </c>
      <c r="AJ56" s="35">
        <f ca="1">IF(НАСТРОЙКИ!$B$5&lt;&gt;"Да",0,MAX(0,IFERROR(SUMIF(INDIRECT("'["&amp;НАСТРОЙКИ!$D$5&amp;"]КРЕДИТЫ'!$S$3:$EO$3"),AJ$22,INDIRECT("'["&amp;НАСТРОЙКИ!$D$5&amp;"]КРЕДИТЫ'!$S$52:$EO$52"))/1000000,0)))</f>
        <v>19256.677416926752</v>
      </c>
      <c r="AK56" s="35">
        <f ca="1">IF(НАСТРОЙКИ!$B$5&lt;&gt;"Да",0,MAX(0,IFERROR(SUMIF(INDIRECT("'["&amp;НАСТРОЙКИ!$D$5&amp;"]КРЕДИТЫ'!$S$3:$EO$3"),AK$22,INDIRECT("'["&amp;НАСТРОЙКИ!$D$5&amp;"]КРЕДИТЫ'!$S$52:$EO$52"))/1000000,0)))</f>
        <v>20251.273483215729</v>
      </c>
      <c r="AL56" s="35">
        <f ca="1">IF(НАСТРОЙКИ!$B$5&lt;&gt;"Да",0,MAX(0,IFERROR(SUMIF(INDIRECT("'["&amp;НАСТРОЙКИ!$D$5&amp;"]КРЕДИТЫ'!$S$3:$EO$3"),AL$22,INDIRECT("'["&amp;НАСТРОЙКИ!$D$5&amp;"]КРЕДИТЫ'!$S$52:$EO$52"))/1000000,0)))</f>
        <v>21245.869549504707</v>
      </c>
      <c r="AM56" s="35">
        <f ca="1">IF(НАСТРОЙКИ!$B$5&lt;&gt;"Да",0,MAX(0,IFERROR(SUMIF(INDIRECT("'["&amp;НАСТРОЙКИ!$D$5&amp;"]КРЕДИТЫ'!$S$3:$EO$3"),AM$22,INDIRECT("'["&amp;НАСТРОЙКИ!$D$5&amp;"]КРЕДИТЫ'!$S$52:$EO$52"))/1000000,0)))</f>
        <v>22240.465615793684</v>
      </c>
      <c r="AN56" s="35">
        <f ca="1">IF(НАСТРОЙКИ!$B$5&lt;&gt;"Да",0,MAX(0,IFERROR(SUMIF(INDIRECT("'["&amp;НАСТРОЙКИ!$D$5&amp;"]КРЕДИТЫ'!$S$3:$EO$3"),AN$22,INDIRECT("'["&amp;НАСТРОЙКИ!$D$5&amp;"]КРЕДИТЫ'!$S$52:$EO$52"))/1000000,0)))</f>
        <v>23235.061682082665</v>
      </c>
      <c r="AO56" s="35">
        <f ca="1">IF(НАСТРОЙКИ!$B$5&lt;&gt;"Да",0,MAX(0,IFERROR(SUMIF(INDIRECT("'["&amp;НАСТРОЙКИ!$D$5&amp;"]КРЕДИТЫ'!$S$3:$EO$3"),AO$22,INDIRECT("'["&amp;НАСТРОЙКИ!$D$5&amp;"]КРЕДИТЫ'!$S$52:$EO$52"))/1000000,0)))</f>
        <v>24229.657748371643</v>
      </c>
      <c r="AP56" s="35">
        <f ca="1">IF(НАСТРОЙКИ!$B$5&lt;&gt;"Да",0,MAX(0,IFERROR(SUMIF(INDIRECT("'["&amp;НАСТРОЙКИ!$D$5&amp;"]КРЕДИТЫ'!$S$3:$EO$3"),AP$22,INDIRECT("'["&amp;НАСТРОЙКИ!$D$5&amp;"]КРЕДИТЫ'!$S$52:$EO$52"))/1000000,0)))</f>
        <v>25272.705596336451</v>
      </c>
      <c r="AQ56" s="35">
        <f ca="1">IF(НАСТРОЙКИ!$B$5&lt;&gt;"Да",0,MAX(0,IFERROR(SUMIF(INDIRECT("'["&amp;НАСТРОЙКИ!$D$5&amp;"]КРЕДИТЫ'!$S$3:$EO$3"),AQ$22,INDIRECT("'["&amp;НАСТРОЙКИ!$D$5&amp;"]КРЕДИТЫ'!$S$52:$EO$52"))/1000000,0)))</f>
        <v>26629.254936562229</v>
      </c>
      <c r="AR56" s="35">
        <f ca="1">IF(НАСТРОЙКИ!$B$5&lt;&gt;"Да",0,MAX(0,IFERROR(SUMIF(INDIRECT("'["&amp;НАСТРОЙКИ!$D$5&amp;"]КРЕДИТЫ'!$S$3:$EO$3"),AR$22,INDIRECT("'["&amp;НАСТРОЙКИ!$D$5&amp;"]КРЕДИТЫ'!$S$52:$EO$52"))/1000000,0)))</f>
        <v>30011.506226781959</v>
      </c>
      <c r="AS56" s="35">
        <f ca="1">IF(НАСТРОЙКИ!$B$5&lt;&gt;"Да",0,MAX(0,IFERROR(SUMIF(INDIRECT("'["&amp;НАСТРОЙКИ!$D$5&amp;"]КРЕДИТЫ'!$S$3:$EO$3"),AS$22,INDIRECT("'["&amp;НАСТРОЙКИ!$D$5&amp;"]КРЕДИТЫ'!$S$52:$EO$52"))/1000000,0)))</f>
        <v>0</v>
      </c>
      <c r="AT56" s="35">
        <f ca="1">IF(НАСТРОЙКИ!$B$5&lt;&gt;"Да",0,MAX(0,IFERROR(SUMIF(INDIRECT("'["&amp;НАСТРОЙКИ!$D$5&amp;"]КРЕДИТЫ'!$S$3:$EO$3"),AT$22,INDIRECT("'["&amp;НАСТРОЙКИ!$D$5&amp;"]КРЕДИТЫ'!$S$52:$EO$52"))/1000000,0)))</f>
        <v>0</v>
      </c>
      <c r="AU56" s="35">
        <f ca="1">IF(НАСТРОЙКИ!$B$5&lt;&gt;"Да",0,MAX(0,IFERROR(SUMIF(INDIRECT("'["&amp;НАСТРОЙКИ!$D$5&amp;"]КРЕДИТЫ'!$S$3:$EO$3"),AU$22,INDIRECT("'["&amp;НАСТРОЙКИ!$D$5&amp;"]КРЕДИТЫ'!$S$52:$EO$52"))/1000000,0)))</f>
        <v>0</v>
      </c>
      <c r="AV56" s="35">
        <f ca="1">IF(НАСТРОЙКИ!$B$5&lt;&gt;"Да",0,MAX(0,IFERROR(SUMIF(INDIRECT("'["&amp;НАСТРОЙКИ!$D$5&amp;"]КРЕДИТЫ'!$S$3:$EO$3"),AV$22,INDIRECT("'["&amp;НАСТРОЙКИ!$D$5&amp;"]КРЕДИТЫ'!$S$52:$EO$52"))/1000000,0)))</f>
        <v>0</v>
      </c>
      <c r="AW56" s="35">
        <f ca="1">IF(НАСТРОЙКИ!$B$5&lt;&gt;"Да",0,MAX(0,IFERROR(SUMIF(INDIRECT("'["&amp;НАСТРОЙКИ!$D$5&amp;"]КРЕДИТЫ'!$S$3:$EO$3"),AW$22,INDIRECT("'["&amp;НАСТРОЙКИ!$D$5&amp;"]КРЕДИТЫ'!$S$52:$EO$52"))/1000000,0)))</f>
        <v>0</v>
      </c>
      <c r="AX56" s="35">
        <f ca="1">IF(НАСТРОЙКИ!$B$5&lt;&gt;"Да",0,MAX(0,IFERROR(SUMIF(INDIRECT("'["&amp;НАСТРОЙКИ!$D$5&amp;"]КРЕДИТЫ'!$S$3:$EO$3"),AX$22,INDIRECT("'["&amp;НАСТРОЙКИ!$D$5&amp;"]КРЕДИТЫ'!$S$52:$EO$52"))/1000000,0)))</f>
        <v>0</v>
      </c>
      <c r="AY56" s="35">
        <f ca="1">IF(НАСТРОЙКИ!$B$5&lt;&gt;"Да",0,MAX(0,IFERROR(SUMIF(INDIRECT("'["&amp;НАСТРОЙКИ!$D$5&amp;"]КРЕДИТЫ'!$S$3:$EO$3"),AY$22,INDIRECT("'["&amp;НАСТРОЙКИ!$D$5&amp;"]КРЕДИТЫ'!$S$52:$EO$52"))/1000000,0)))</f>
        <v>0</v>
      </c>
      <c r="AZ56" s="35">
        <f ca="1">IF(НАСТРОЙКИ!$B$5&lt;&gt;"Да",0,MAX(0,IFERROR(SUMIF(INDIRECT("'["&amp;НАСТРОЙКИ!$D$5&amp;"]КРЕДИТЫ'!$S$3:$EO$3"),AZ$22,INDIRECT("'["&amp;НАСТРОЙКИ!$D$5&amp;"]КРЕДИТЫ'!$S$52:$EO$52"))/1000000,0)))</f>
        <v>0</v>
      </c>
      <c r="BA56" s="35">
        <f ca="1">IF(НАСТРОЙКИ!$B$5&lt;&gt;"Да",0,MAX(0,IFERROR(SUMIF(INDIRECT("'["&amp;НАСТРОЙКИ!$D$5&amp;"]КРЕДИТЫ'!$S$3:$EO$3"),BA$22,INDIRECT("'["&amp;НАСТРОЙКИ!$D$5&amp;"]КРЕДИТЫ'!$S$52:$EO$52"))/1000000,0)))</f>
        <v>0</v>
      </c>
      <c r="BB56" s="35">
        <f ca="1">IF(НАСТРОЙКИ!$B$5&lt;&gt;"Да",0,MAX(0,IFERROR(SUMIF(INDIRECT("'["&amp;НАСТРОЙКИ!$D$5&amp;"]КРЕДИТЫ'!$S$3:$EO$3"),BB$22,INDIRECT("'["&amp;НАСТРОЙКИ!$D$5&amp;"]КРЕДИТЫ'!$S$52:$EO$52"))/1000000,0)))</f>
        <v>0</v>
      </c>
      <c r="BC56" s="35">
        <f ca="1">IF(НАСТРОЙКИ!$B$5&lt;&gt;"Да",0,MAX(0,IFERROR(SUMIF(INDIRECT("'["&amp;НАСТРОЙКИ!$D$5&amp;"]КРЕДИТЫ'!$S$3:$EO$3"),BC$22,INDIRECT("'["&amp;НАСТРОЙКИ!$D$5&amp;"]КРЕДИТЫ'!$S$52:$EO$52"))/1000000,0)))</f>
        <v>0</v>
      </c>
      <c r="BD56" s="35">
        <f ca="1">IF(НАСТРОЙКИ!$B$5&lt;&gt;"Да",0,MAX(0,IFERROR(SUMIF(INDIRECT("'["&amp;НАСТРОЙКИ!$D$5&amp;"]КРЕДИТЫ'!$S$3:$EO$3"),BD$22,INDIRECT("'["&amp;НАСТРОЙКИ!$D$5&amp;"]КРЕДИТЫ'!$S$52:$EO$52"))/1000000,0)))</f>
        <v>0</v>
      </c>
      <c r="BE56" s="35">
        <f ca="1">IF(НАСТРОЙКИ!$B$5&lt;&gt;"Да",0,MAX(0,IFERROR(SUMIF(INDIRECT("'["&amp;НАСТРОЙКИ!$D$5&amp;"]КРЕДИТЫ'!$S$3:$EO$3"),BE$22,INDIRECT("'["&amp;НАСТРОЙКИ!$D$5&amp;"]КРЕДИТЫ'!$S$52:$EO$52"))/1000000,0)))</f>
        <v>0</v>
      </c>
      <c r="BF56" s="35">
        <f ca="1">IF(НАСТРОЙКИ!$B$5&lt;&gt;"Да",0,MAX(0,IFERROR(SUMIF(INDIRECT("'["&amp;НАСТРОЙКИ!$D$5&amp;"]КРЕДИТЫ'!$S$3:$EO$3"),BF$22,INDIRECT("'["&amp;НАСТРОЙКИ!$D$5&amp;"]КРЕДИТЫ'!$S$52:$EO$52"))/1000000,0)))</f>
        <v>0</v>
      </c>
      <c r="BG56" s="35">
        <f ca="1">IF(НАСТРОЙКИ!$B$5&lt;&gt;"Да",0,MAX(0,IFERROR(SUMIF(INDIRECT("'["&amp;НАСТРОЙКИ!$D$5&amp;"]КРЕДИТЫ'!$S$3:$EO$3"),BG$22,INDIRECT("'["&amp;НАСТРОЙКИ!$D$5&amp;"]КРЕДИТЫ'!$S$52:$EO$52"))/1000000,0)))</f>
        <v>0</v>
      </c>
      <c r="BH56" s="35">
        <f ca="1">IF(НАСТРОЙКИ!$B$5&lt;&gt;"Да",0,MAX(0,IFERROR(SUMIF(INDIRECT("'["&amp;НАСТРОЙКИ!$D$5&amp;"]КРЕДИТЫ'!$S$3:$EO$3"),BH$22,INDIRECT("'["&amp;НАСТРОЙКИ!$D$5&amp;"]КРЕДИТЫ'!$S$52:$EO$52"))/1000000,0)))</f>
        <v>0</v>
      </c>
      <c r="BI56" s="35">
        <f ca="1">IF(НАСТРОЙКИ!$B$5&lt;&gt;"Да",0,MAX(0,IFERROR(SUMIF(INDIRECT("'["&amp;НАСТРОЙКИ!$D$5&amp;"]КРЕДИТЫ'!$S$3:$EO$3"),BI$22,INDIRECT("'["&amp;НАСТРОЙКИ!$D$5&amp;"]КРЕДИТЫ'!$S$52:$EO$52"))/1000000,0)))</f>
        <v>0</v>
      </c>
      <c r="BJ56" s="35">
        <f ca="1">IF(НАСТРОЙКИ!$B$5&lt;&gt;"Да",0,MAX(0,IFERROR(SUMIF(INDIRECT("'["&amp;НАСТРОЙКИ!$D$5&amp;"]КРЕДИТЫ'!$S$3:$EO$3"),BJ$22,INDIRECT("'["&amp;НАСТРОЙКИ!$D$5&amp;"]КРЕДИТЫ'!$S$52:$EO$52"))/1000000,0)))</f>
        <v>0</v>
      </c>
      <c r="BK56" s="35">
        <f ca="1">IF(НАСТРОЙКИ!$B$5&lt;&gt;"Да",0,MAX(0,IFERROR(SUMIF(INDIRECT("'["&amp;НАСТРОЙКИ!$D$5&amp;"]КРЕДИТЫ'!$S$3:$EO$3"),BK$22,INDIRECT("'["&amp;НАСТРОЙКИ!$D$5&amp;"]КРЕДИТЫ'!$S$52:$EO$52"))/1000000,0)))</f>
        <v>0</v>
      </c>
      <c r="BL56" s="35">
        <f ca="1">IF(НАСТРОЙКИ!$B$5&lt;&gt;"Да",0,MAX(0,IFERROR(SUMIF(INDIRECT("'["&amp;НАСТРОЙКИ!$D$5&amp;"]КРЕДИТЫ'!$S$3:$EO$3"),BL$22,INDIRECT("'["&amp;НАСТРОЙКИ!$D$5&amp;"]КРЕДИТЫ'!$S$52:$EO$52"))/1000000,0)))</f>
        <v>0</v>
      </c>
      <c r="BM56" s="35">
        <f ca="1">IF(НАСТРОЙКИ!$B$5&lt;&gt;"Да",0,MAX(0,IFERROR(SUMIF(INDIRECT("'["&amp;НАСТРОЙКИ!$D$5&amp;"]КРЕДИТЫ'!$S$3:$EO$3"),BM$22,INDIRECT("'["&amp;НАСТРОЙКИ!$D$5&amp;"]КРЕДИТЫ'!$S$52:$EO$52"))/1000000,0)))</f>
        <v>0</v>
      </c>
      <c r="BN56" s="35">
        <f ca="1">IF(НАСТРОЙКИ!$B$5&lt;&gt;"Да",0,MAX(0,IFERROR(SUMIF(INDIRECT("'["&amp;НАСТРОЙКИ!$D$5&amp;"]КРЕДИТЫ'!$S$3:$EO$3"),BN$22,INDIRECT("'["&amp;НАСТРОЙКИ!$D$5&amp;"]КРЕДИТЫ'!$S$52:$EO$52"))/1000000,0)))</f>
        <v>0</v>
      </c>
      <c r="BO56" s="35">
        <f ca="1">IF(НАСТРОЙКИ!$B$5&lt;&gt;"Да",0,MAX(0,IFERROR(SUMIF(INDIRECT("'["&amp;НАСТРОЙКИ!$D$5&amp;"]КРЕДИТЫ'!$S$3:$EO$3"),BO$22,INDIRECT("'["&amp;НАСТРОЙКИ!$D$5&amp;"]КРЕДИТЫ'!$S$52:$EO$52"))/1000000,0)))</f>
        <v>0</v>
      </c>
      <c r="BP56" s="35">
        <f ca="1">IF(НАСТРОЙКИ!$B$5&lt;&gt;"Да",0,MAX(0,IFERROR(SUMIF(INDIRECT("'["&amp;НАСТРОЙКИ!$D$5&amp;"]КРЕДИТЫ'!$S$3:$EO$3"),BP$22,INDIRECT("'["&amp;НАСТРОЙКИ!$D$5&amp;"]КРЕДИТЫ'!$S$52:$EO$52"))/1000000,0)))</f>
        <v>0</v>
      </c>
      <c r="BQ56" s="35">
        <f ca="1">IF(НАСТРОЙКИ!$B$5&lt;&gt;"Да",0,MAX(0,IFERROR(SUMIF(INDIRECT("'["&amp;НАСТРОЙКИ!$D$5&amp;"]КРЕДИТЫ'!$S$3:$EO$3"),BQ$22,INDIRECT("'["&amp;НАСТРОЙКИ!$D$5&amp;"]КРЕДИТЫ'!$S$52:$EO$52"))/1000000,0)))</f>
        <v>0</v>
      </c>
      <c r="BR56" s="35">
        <f ca="1">IF(НАСТРОЙКИ!$B$5&lt;&gt;"Да",0,MAX(0,IFERROR(SUMIF(INDIRECT("'["&amp;НАСТРОЙКИ!$D$5&amp;"]КРЕДИТЫ'!$S$3:$EO$3"),BR$22,INDIRECT("'["&amp;НАСТРОЙКИ!$D$5&amp;"]КРЕДИТЫ'!$S$52:$EO$52"))/1000000,0)))</f>
        <v>0</v>
      </c>
      <c r="BS56" s="35">
        <f ca="1">IF(НАСТРОЙКИ!$B$5&lt;&gt;"Да",0,MAX(0,IFERROR(SUMIF(INDIRECT("'["&amp;НАСТРОЙКИ!$D$5&amp;"]КРЕДИТЫ'!$S$3:$EO$3"),BS$22,INDIRECT("'["&amp;НАСТРОЙКИ!$D$5&amp;"]КРЕДИТЫ'!$S$52:$EO$52"))/1000000,0)))</f>
        <v>0</v>
      </c>
      <c r="BT56" s="35">
        <f ca="1">IF(НАСТРОЙКИ!$B$5&lt;&gt;"Да",0,MAX(0,IFERROR(SUMIF(INDIRECT("'["&amp;НАСТРОЙКИ!$D$5&amp;"]КРЕДИТЫ'!$S$3:$EO$3"),BT$22,INDIRECT("'["&amp;НАСТРОЙКИ!$D$5&amp;"]КРЕДИТЫ'!$S$52:$EO$52"))/1000000,0)))</f>
        <v>0</v>
      </c>
      <c r="BU56" s="35">
        <f ca="1">IF(НАСТРОЙКИ!$B$5&lt;&gt;"Да",0,MAX(0,IFERROR(SUMIF(INDIRECT("'["&amp;НАСТРОЙКИ!$D$5&amp;"]КРЕДИТЫ'!$S$3:$EO$3"),BU$22,INDIRECT("'["&amp;НАСТРОЙКИ!$D$5&amp;"]КРЕДИТЫ'!$S$52:$EO$52"))/1000000,0)))</f>
        <v>0</v>
      </c>
      <c r="BV56" s="35">
        <f ca="1">IF(НАСТРОЙКИ!$B$5&lt;&gt;"Да",0,MAX(0,IFERROR(SUMIF(INDIRECT("'["&amp;НАСТРОЙКИ!$D$5&amp;"]КРЕДИТЫ'!$S$3:$EO$3"),BV$22,INDIRECT("'["&amp;НАСТРОЙКИ!$D$5&amp;"]КРЕДИТЫ'!$S$52:$EO$52"))/1000000,0)))</f>
        <v>0</v>
      </c>
      <c r="BW56" s="35">
        <f ca="1">IF(НАСТРОЙКИ!$B$5&lt;&gt;"Да",0,MAX(0,IFERROR(SUMIF(INDIRECT("'["&amp;НАСТРОЙКИ!$D$5&amp;"]КРЕДИТЫ'!$S$3:$EO$3"),BW$22,INDIRECT("'["&amp;НАСТРОЙКИ!$D$5&amp;"]КРЕДИТЫ'!$S$52:$EO$52"))/1000000,0)))</f>
        <v>0</v>
      </c>
      <c r="BX56" s="35">
        <f ca="1">IF(НАСТРОЙКИ!$B$5&lt;&gt;"Да",0,MAX(0,IFERROR(SUMIF(INDIRECT("'["&amp;НАСТРОЙКИ!$D$5&amp;"]КРЕДИТЫ'!$S$3:$EO$3"),BX$22,INDIRECT("'["&amp;НАСТРОЙКИ!$D$5&amp;"]КРЕДИТЫ'!$S$52:$EO$52"))/1000000,0)))</f>
        <v>0</v>
      </c>
      <c r="BY56" s="35">
        <f ca="1">IF(НАСТРОЙКИ!$B$5&lt;&gt;"Да",0,MAX(0,IFERROR(SUMIF(INDIRECT("'["&amp;НАСТРОЙКИ!$D$5&amp;"]КРЕДИТЫ'!$S$3:$EO$3"),BY$22,INDIRECT("'["&amp;НАСТРОЙКИ!$D$5&amp;"]КРЕДИТЫ'!$S$52:$EO$52"))/1000000,0)))</f>
        <v>0</v>
      </c>
      <c r="BZ56" s="35">
        <f ca="1">IF(НАСТРОЙКИ!$B$5&lt;&gt;"Да",0,MAX(0,IFERROR(SUMIF(INDIRECT("'["&amp;НАСТРОЙКИ!$D$5&amp;"]КРЕДИТЫ'!$S$3:$EO$3"),BZ$22,INDIRECT("'["&amp;НАСТРОЙКИ!$D$5&amp;"]КРЕДИТЫ'!$S$52:$EO$52"))/1000000,0)))</f>
        <v>0</v>
      </c>
      <c r="CA56" s="35">
        <f ca="1">IF(НАСТРОЙКИ!$B$5&lt;&gt;"Да",0,MAX(0,IFERROR(SUMIF(INDIRECT("'["&amp;НАСТРОЙКИ!$D$5&amp;"]КРЕДИТЫ'!$S$3:$EO$3"),CA$22,INDIRECT("'["&amp;НАСТРОЙКИ!$D$5&amp;"]КРЕДИТЫ'!$S$52:$EO$52"))/1000000,0)))</f>
        <v>0</v>
      </c>
      <c r="CB56" s="35">
        <f ca="1">IF(НАСТРОЙКИ!$B$5&lt;&gt;"Да",0,MAX(0,IFERROR(SUMIF(INDIRECT("'["&amp;НАСТРОЙКИ!$D$5&amp;"]КРЕДИТЫ'!$S$3:$EO$3"),CB$22,INDIRECT("'["&amp;НАСТРОЙКИ!$D$5&amp;"]КРЕДИТЫ'!$S$52:$EO$52"))/1000000,0)))</f>
        <v>0</v>
      </c>
      <c r="CC56" s="35">
        <f ca="1">IF(НАСТРОЙКИ!$B$5&lt;&gt;"Да",0,MAX(0,IFERROR(SUMIF(INDIRECT("'["&amp;НАСТРОЙКИ!$D$5&amp;"]КРЕДИТЫ'!$S$3:$EO$3"),CC$22,INDIRECT("'["&amp;НАСТРОЙКИ!$D$5&amp;"]КРЕДИТЫ'!$S$52:$EO$52"))/1000000,0)))</f>
        <v>0</v>
      </c>
      <c r="CD56" s="35">
        <f ca="1">IF(НАСТРОЙКИ!$B$5&lt;&gt;"Да",0,MAX(0,IFERROR(SUMIF(INDIRECT("'["&amp;НАСТРОЙКИ!$D$5&amp;"]КРЕДИТЫ'!$S$3:$EO$3"),CD$22,INDIRECT("'["&amp;НАСТРОЙКИ!$D$5&amp;"]КРЕДИТЫ'!$S$52:$EO$52"))/1000000,0)))</f>
        <v>0</v>
      </c>
      <c r="CE56" s="35">
        <f ca="1">IF(НАСТРОЙКИ!$B$5&lt;&gt;"Да",0,MAX(0,IFERROR(SUMIF(INDIRECT("'["&amp;НАСТРОЙКИ!$D$5&amp;"]КРЕДИТЫ'!$S$3:$EO$3"),CE$22,INDIRECT("'["&amp;НАСТРОЙКИ!$D$5&amp;"]КРЕДИТЫ'!$S$52:$EO$52"))/1000000,0)))</f>
        <v>0</v>
      </c>
      <c r="CF56" s="35">
        <f ca="1">IF(НАСТРОЙКИ!$B$5&lt;&gt;"Да",0,MAX(0,IFERROR(SUMIF(INDIRECT("'["&amp;НАСТРОЙКИ!$D$5&amp;"]КРЕДИТЫ'!$S$3:$EO$3"),CF$22,INDIRECT("'["&amp;НАСТРОЙКИ!$D$5&amp;"]КРЕДИТЫ'!$S$52:$EO$52"))/1000000,0)))</f>
        <v>0</v>
      </c>
      <c r="CG56" s="35">
        <f ca="1">IF(НАСТРОЙКИ!$B$5&lt;&gt;"Да",0,MAX(0,IFERROR(SUMIF(INDIRECT("'["&amp;НАСТРОЙКИ!$D$5&amp;"]КРЕДИТЫ'!$S$3:$EO$3"),CG$22,INDIRECT("'["&amp;НАСТРОЙКИ!$D$5&amp;"]КРЕДИТЫ'!$S$52:$EO$52"))/1000000,0)))</f>
        <v>0</v>
      </c>
      <c r="CH56" s="35">
        <f ca="1">IF(НАСТРОЙКИ!$B$5&lt;&gt;"Да",0,MAX(0,IFERROR(SUMIF(INDIRECT("'["&amp;НАСТРОЙКИ!$D$5&amp;"]КРЕДИТЫ'!$S$3:$EO$3"),CH$22,INDIRECT("'["&amp;НАСТРОЙКИ!$D$5&amp;"]КРЕДИТЫ'!$S$52:$EO$52"))/1000000,0)))</f>
        <v>0</v>
      </c>
      <c r="CI56" s="35">
        <f ca="1">IF(НАСТРОЙКИ!$B$5&lt;&gt;"Да",0,MAX(0,IFERROR(SUMIF(INDIRECT("'["&amp;НАСТРОЙКИ!$D$5&amp;"]КРЕДИТЫ'!$S$3:$EO$3"),CI$22,INDIRECT("'["&amp;НАСТРОЙКИ!$D$5&amp;"]КРЕДИТЫ'!$S$52:$EO$52"))/1000000,0)))</f>
        <v>0</v>
      </c>
      <c r="CJ56" s="35">
        <f ca="1">IF(НАСТРОЙКИ!$B$5&lt;&gt;"Да",0,MAX(0,IFERROR(SUMIF(INDIRECT("'["&amp;НАСТРОЙКИ!$D$5&amp;"]КРЕДИТЫ'!$S$3:$EO$3"),CJ$22,INDIRECT("'["&amp;НАСТРОЙКИ!$D$5&amp;"]КРЕДИТЫ'!$S$52:$EO$52"))/1000000,0)))</f>
        <v>0</v>
      </c>
      <c r="CK56" s="35">
        <f ca="1">IF(НАСТРОЙКИ!$B$5&lt;&gt;"Да",0,MAX(0,IFERROR(SUMIF(INDIRECT("'["&amp;НАСТРОЙКИ!$D$5&amp;"]КРЕДИТЫ'!$S$3:$EO$3"),CK$22,INDIRECT("'["&amp;НАСТРОЙКИ!$D$5&amp;"]КРЕДИТЫ'!$S$52:$EO$52"))/1000000,0)))</f>
        <v>0</v>
      </c>
      <c r="CL56" s="35">
        <f ca="1">IF(НАСТРОЙКИ!$B$5&lt;&gt;"Да",0,MAX(0,IFERROR(SUMIF(INDIRECT("'["&amp;НАСТРОЙКИ!$D$5&amp;"]КРЕДИТЫ'!$S$3:$EO$3"),CL$22,INDIRECT("'["&amp;НАСТРОЙКИ!$D$5&amp;"]КРЕДИТЫ'!$S$52:$EO$52"))/1000000,0)))</f>
        <v>0</v>
      </c>
      <c r="CM56" s="35">
        <f ca="1">IF(НАСТРОЙКИ!$B$5&lt;&gt;"Да",0,MAX(0,IFERROR(SUMIF(INDIRECT("'["&amp;НАСТРОЙКИ!$D$5&amp;"]КРЕДИТЫ'!$S$3:$EO$3"),CM$22,INDIRECT("'["&amp;НАСТРОЙКИ!$D$5&amp;"]КРЕДИТЫ'!$S$52:$EO$52"))/1000000,0)))</f>
        <v>0</v>
      </c>
      <c r="CN56" s="35">
        <f ca="1">IF(НАСТРОЙКИ!$B$5&lt;&gt;"Да",0,MAX(0,IFERROR(SUMIF(INDIRECT("'["&amp;НАСТРОЙКИ!$D$5&amp;"]КРЕДИТЫ'!$S$3:$EO$3"),CN$22,INDIRECT("'["&amp;НАСТРОЙКИ!$D$5&amp;"]КРЕДИТЫ'!$S$52:$EO$52"))/1000000,0)))</f>
        <v>0</v>
      </c>
      <c r="CO56" s="35">
        <f ca="1">IF(НАСТРОЙКИ!$B$5&lt;&gt;"Да",0,MAX(0,IFERROR(SUMIF(INDIRECT("'["&amp;НАСТРОЙКИ!$D$5&amp;"]КРЕДИТЫ'!$S$3:$EO$3"),CO$22,INDIRECT("'["&amp;НАСТРОЙКИ!$D$5&amp;"]КРЕДИТЫ'!$S$52:$EO$52"))/1000000,0)))</f>
        <v>0</v>
      </c>
      <c r="CP56" s="35">
        <f ca="1">IF(НАСТРОЙКИ!$B$5&lt;&gt;"Да",0,MAX(0,IFERROR(SUMIF(INDIRECT("'["&amp;НАСТРОЙКИ!$D$5&amp;"]КРЕДИТЫ'!$S$3:$EO$3"),CP$22,INDIRECT("'["&amp;НАСТРОЙКИ!$D$5&amp;"]КРЕДИТЫ'!$S$52:$EO$52"))/1000000,0)))</f>
        <v>0</v>
      </c>
      <c r="CQ56" s="35">
        <f ca="1">IF(НАСТРОЙКИ!$B$5&lt;&gt;"Да",0,MAX(0,IFERROR(SUMIF(INDIRECT("'["&amp;НАСТРОЙКИ!$D$5&amp;"]КРЕДИТЫ'!$S$3:$EO$3"),CQ$22,INDIRECT("'["&amp;НАСТРОЙКИ!$D$5&amp;"]КРЕДИТЫ'!$S$52:$EO$52"))/1000000,0)))</f>
        <v>0</v>
      </c>
      <c r="CR56" s="35">
        <f ca="1">IF(НАСТРОЙКИ!$B$5&lt;&gt;"Да",0,MAX(0,IFERROR(SUMIF(INDIRECT("'["&amp;НАСТРОЙКИ!$D$5&amp;"]КРЕДИТЫ'!$S$3:$EO$3"),CR$22,INDIRECT("'["&amp;НАСТРОЙКИ!$D$5&amp;"]КРЕДИТЫ'!$S$52:$EO$52"))/1000000,0)))</f>
        <v>0</v>
      </c>
      <c r="CS56" s="35">
        <f ca="1">IF(НАСТРОЙКИ!$B$5&lt;&gt;"Да",0,MAX(0,IFERROR(SUMIF(INDIRECT("'["&amp;НАСТРОЙКИ!$D$5&amp;"]КРЕДИТЫ'!$S$3:$EO$3"),CS$22,INDIRECT("'["&amp;НАСТРОЙКИ!$D$5&amp;"]КРЕДИТЫ'!$S$52:$EO$52"))/1000000,0)))</f>
        <v>0</v>
      </c>
      <c r="CT56" s="35">
        <f ca="1">IF(НАСТРОЙКИ!$B$5&lt;&gt;"Да",0,MAX(0,IFERROR(SUMIF(INDIRECT("'["&amp;НАСТРОЙКИ!$D$5&amp;"]КРЕДИТЫ'!$S$3:$EO$3"),CT$22,INDIRECT("'["&amp;НАСТРОЙКИ!$D$5&amp;"]КРЕДИТЫ'!$S$52:$EO$52"))/1000000,0)))</f>
        <v>0</v>
      </c>
      <c r="CU56" s="35">
        <f ca="1">IF(НАСТРОЙКИ!$B$5&lt;&gt;"Да",0,MAX(0,IFERROR(SUMIF(INDIRECT("'["&amp;НАСТРОЙКИ!$D$5&amp;"]КРЕДИТЫ'!$S$3:$EO$3"),CU$22,INDIRECT("'["&amp;НАСТРОЙКИ!$D$5&amp;"]КРЕДИТЫ'!$S$52:$EO$52"))/1000000,0)))</f>
        <v>0</v>
      </c>
      <c r="CV56" s="35">
        <f ca="1">IF(НАСТРОЙКИ!$B$5&lt;&gt;"Да",0,MAX(0,IFERROR(SUMIF(INDIRECT("'["&amp;НАСТРОЙКИ!$D$5&amp;"]КРЕДИТЫ'!$S$3:$EO$3"),CV$22,INDIRECT("'["&amp;НАСТРОЙКИ!$D$5&amp;"]КРЕДИТЫ'!$S$52:$EO$52"))/1000000,0)))</f>
        <v>0</v>
      </c>
      <c r="CW56" s="35">
        <f ca="1">IF(НАСТРОЙКИ!$B$5&lt;&gt;"Да",0,MAX(0,IFERROR(SUMIF(INDIRECT("'["&amp;НАСТРОЙКИ!$D$5&amp;"]КРЕДИТЫ'!$S$3:$EO$3"),CW$22,INDIRECT("'["&amp;НАСТРОЙКИ!$D$5&amp;"]КРЕДИТЫ'!$S$52:$EO$52"))/1000000,0)))</f>
        <v>0</v>
      </c>
      <c r="CX56" s="35">
        <f ca="1">IF(НАСТРОЙКИ!$B$5&lt;&gt;"Да",0,MAX(0,IFERROR(SUMIF(INDIRECT("'["&amp;НАСТРОЙКИ!$D$5&amp;"]КРЕДИТЫ'!$S$3:$EO$3"),CX$22,INDIRECT("'["&amp;НАСТРОЙКИ!$D$5&amp;"]КРЕДИТЫ'!$S$52:$EO$52"))/1000000,0)))</f>
        <v>0</v>
      </c>
      <c r="CY56" s="35">
        <f ca="1">IF(НАСТРОЙКИ!$B$5&lt;&gt;"Да",0,MAX(0,IFERROR(SUMIF(INDIRECT("'["&amp;НАСТРОЙКИ!$D$5&amp;"]КРЕДИТЫ'!$S$3:$EO$3"),CY$22,INDIRECT("'["&amp;НАСТРОЙКИ!$D$5&amp;"]КРЕДИТЫ'!$S$52:$EO$52"))/1000000,0)))</f>
        <v>0</v>
      </c>
      <c r="CZ56" s="35">
        <f ca="1">IF(НАСТРОЙКИ!$B$5&lt;&gt;"Да",0,MAX(0,IFERROR(SUMIF(INDIRECT("'["&amp;НАСТРОЙКИ!$D$5&amp;"]КРЕДИТЫ'!$S$3:$EO$3"),CZ$22,INDIRECT("'["&amp;НАСТРОЙКИ!$D$5&amp;"]КРЕДИТЫ'!$S$52:$EO$52"))/1000000,0)))</f>
        <v>0</v>
      </c>
      <c r="DA56" s="35">
        <f ca="1">IF(НАСТРОЙКИ!$B$5&lt;&gt;"Да",0,MAX(0,IFERROR(SUMIF(INDIRECT("'["&amp;НАСТРОЙКИ!$D$5&amp;"]КРЕДИТЫ'!$S$3:$EO$3"),DA$22,INDIRECT("'["&amp;НАСТРОЙКИ!$D$5&amp;"]КРЕДИТЫ'!$S$52:$EO$52"))/1000000,0)))</f>
        <v>0</v>
      </c>
      <c r="DB56" s="35">
        <f ca="1">IF(НАСТРОЙКИ!$B$5&lt;&gt;"Да",0,MAX(0,IFERROR(SUMIF(INDIRECT("'["&amp;НАСТРОЙКИ!$D$5&amp;"]КРЕДИТЫ'!$S$3:$EO$3"),DB$22,INDIRECT("'["&amp;НАСТРОЙКИ!$D$5&amp;"]КРЕДИТЫ'!$S$52:$EO$52"))/1000000,0)))</f>
        <v>0</v>
      </c>
      <c r="DC56" s="35">
        <f ca="1">IF(НАСТРОЙКИ!$B$5&lt;&gt;"Да",0,MAX(0,IFERROR(SUMIF(INDIRECT("'["&amp;НАСТРОЙКИ!$D$5&amp;"]КРЕДИТЫ'!$S$3:$EO$3"),DC$22,INDIRECT("'["&amp;НАСТРОЙКИ!$D$5&amp;"]КРЕДИТЫ'!$S$52:$EO$52"))/1000000,0)))</f>
        <v>0</v>
      </c>
      <c r="DD56" s="35">
        <f ca="1">IF(НАСТРОЙКИ!$B$5&lt;&gt;"Да",0,MAX(0,IFERROR(SUMIF(INDIRECT("'["&amp;НАСТРОЙКИ!$D$5&amp;"]КРЕДИТЫ'!$S$3:$EO$3"),DD$22,INDIRECT("'["&amp;НАСТРОЙКИ!$D$5&amp;"]КРЕДИТЫ'!$S$52:$EO$52"))/1000000,0)))</f>
        <v>0</v>
      </c>
      <c r="DE56" s="35">
        <f ca="1">IF(НАСТРОЙКИ!$B$5&lt;&gt;"Да",0,MAX(0,IFERROR(SUMIF(INDIRECT("'["&amp;НАСТРОЙКИ!$D$5&amp;"]КРЕДИТЫ'!$S$3:$EO$3"),DE$22,INDIRECT("'["&amp;НАСТРОЙКИ!$D$5&amp;"]КРЕДИТЫ'!$S$52:$EO$52"))/1000000,0)))</f>
        <v>0</v>
      </c>
      <c r="DF56" s="35">
        <f ca="1">IF(НАСТРОЙКИ!$B$5&lt;&gt;"Да",0,MAX(0,IFERROR(SUMIF(INDIRECT("'["&amp;НАСТРОЙКИ!$D$5&amp;"]КРЕДИТЫ'!$S$3:$EO$3"),DF$22,INDIRECT("'["&amp;НАСТРОЙКИ!$D$5&amp;"]КРЕДИТЫ'!$S$52:$EO$52"))/1000000,0)))</f>
        <v>0</v>
      </c>
    </row>
    <row r="57" spans="1:110">
      <c r="A57" s="34" t="s">
        <v>136</v>
      </c>
      <c r="B57" s="34" t="s">
        <v>58</v>
      </c>
      <c r="C57" s="36">
        <f t="shared" ref="C57:AH57" ca="1" si="72">C55+C56</f>
        <v>0</v>
      </c>
      <c r="D57" s="36">
        <f t="shared" ca="1" si="72"/>
        <v>0</v>
      </c>
      <c r="E57" s="36">
        <f t="shared" ca="1" si="72"/>
        <v>0.84524999999999995</v>
      </c>
      <c r="F57" s="36">
        <f t="shared" ca="1" si="72"/>
        <v>0.84524999999999995</v>
      </c>
      <c r="G57" s="36">
        <f t="shared" ca="1" si="72"/>
        <v>0.84524999999999995</v>
      </c>
      <c r="H57" s="36">
        <f t="shared" ca="1" si="72"/>
        <v>0.84524999999999995</v>
      </c>
      <c r="I57" s="36">
        <f t="shared" ca="1" si="72"/>
        <v>0.84524999999999995</v>
      </c>
      <c r="J57" s="36">
        <f t="shared" ca="1" si="72"/>
        <v>0.84524999999999995</v>
      </c>
      <c r="K57" s="36">
        <f t="shared" ca="1" si="72"/>
        <v>0.84524999999999995</v>
      </c>
      <c r="L57" s="36">
        <f t="shared" ca="1" si="72"/>
        <v>0.84524999999999995</v>
      </c>
      <c r="M57" s="36">
        <f t="shared" ca="1" si="72"/>
        <v>0.84524999999999995</v>
      </c>
      <c r="N57" s="36">
        <f t="shared" ca="1" si="72"/>
        <v>0.84524999999999995</v>
      </c>
      <c r="O57" s="36">
        <f t="shared" ca="1" si="72"/>
        <v>216.37752592941595</v>
      </c>
      <c r="P57" s="36">
        <f t="shared" ca="1" si="72"/>
        <v>117.62455586721083</v>
      </c>
      <c r="Q57" s="36">
        <f t="shared" ca="1" si="72"/>
        <v>117.62455586721083</v>
      </c>
      <c r="R57" s="36">
        <f t="shared" ca="1" si="72"/>
        <v>530.37640036560651</v>
      </c>
      <c r="S57" s="36">
        <f t="shared" ca="1" si="72"/>
        <v>177.68722157201663</v>
      </c>
      <c r="T57" s="36">
        <f t="shared" ca="1" si="72"/>
        <v>177.68722157201663</v>
      </c>
      <c r="U57" s="36">
        <f t="shared" ca="1" si="72"/>
        <v>4410.4738566968699</v>
      </c>
      <c r="V57" s="36">
        <f t="shared" ca="1" si="72"/>
        <v>5409.3325278247485</v>
      </c>
      <c r="W57" s="36">
        <f t="shared" ca="1" si="72"/>
        <v>6384.6785876231097</v>
      </c>
      <c r="X57" s="36">
        <f t="shared" ca="1" si="72"/>
        <v>7360.0246480115275</v>
      </c>
      <c r="Y57" s="36">
        <f t="shared" ca="1" si="72"/>
        <v>8335.3707089899999</v>
      </c>
      <c r="Z57" s="36">
        <f t="shared" ca="1" si="72"/>
        <v>9310.7167705585307</v>
      </c>
      <c r="AA57" s="36">
        <f t="shared" ca="1" si="72"/>
        <v>10305.312832717118</v>
      </c>
      <c r="AB57" s="36">
        <f t="shared" ca="1" si="72"/>
        <v>11299.90889546576</v>
      </c>
      <c r="AC57" s="36">
        <f t="shared" ca="1" si="72"/>
        <v>12294.504958804459</v>
      </c>
      <c r="AD57" s="36">
        <f t="shared" ca="1" si="72"/>
        <v>13289.101022733214</v>
      </c>
      <c r="AE57" s="36">
        <f t="shared" ca="1" si="72"/>
        <v>14283.697087252023</v>
      </c>
      <c r="AF57" s="36">
        <f t="shared" ca="1" si="72"/>
        <v>15278.293152360891</v>
      </c>
      <c r="AG57" s="36">
        <f t="shared" ca="1" si="72"/>
        <v>16272.889218059814</v>
      </c>
      <c r="AH57" s="36">
        <f t="shared" ca="1" si="72"/>
        <v>17267.485284348793</v>
      </c>
      <c r="AI57" s="36">
        <f t="shared" ref="AI57:BN57" ca="1" si="73">AI55+AI56</f>
        <v>18262.081350637771</v>
      </c>
      <c r="AJ57" s="36">
        <f t="shared" ca="1" si="73"/>
        <v>19256.677416926752</v>
      </c>
      <c r="AK57" s="36">
        <f t="shared" ca="1" si="73"/>
        <v>20251.273483215729</v>
      </c>
      <c r="AL57" s="36">
        <f t="shared" ca="1" si="73"/>
        <v>21245.869549504707</v>
      </c>
      <c r="AM57" s="36">
        <f t="shared" ca="1" si="73"/>
        <v>22240.465615793684</v>
      </c>
      <c r="AN57" s="36">
        <f t="shared" ca="1" si="73"/>
        <v>23235.061682082665</v>
      </c>
      <c r="AO57" s="36">
        <f t="shared" ca="1" si="73"/>
        <v>24229.657748371643</v>
      </c>
      <c r="AP57" s="36">
        <f t="shared" ca="1" si="73"/>
        <v>25272.705596336451</v>
      </c>
      <c r="AQ57" s="36">
        <f t="shared" ca="1" si="73"/>
        <v>26629.254936562229</v>
      </c>
      <c r="AR57" s="36">
        <f t="shared" ca="1" si="73"/>
        <v>30011.506226781959</v>
      </c>
      <c r="AS57" s="36">
        <f t="shared" ca="1" si="73"/>
        <v>0</v>
      </c>
      <c r="AT57" s="36">
        <f t="shared" ca="1" si="73"/>
        <v>0</v>
      </c>
      <c r="AU57" s="36">
        <f t="shared" ca="1" si="73"/>
        <v>0</v>
      </c>
      <c r="AV57" s="36">
        <f t="shared" ca="1" si="73"/>
        <v>0</v>
      </c>
      <c r="AW57" s="36">
        <f t="shared" ca="1" si="73"/>
        <v>0</v>
      </c>
      <c r="AX57" s="36">
        <f t="shared" ca="1" si="73"/>
        <v>0</v>
      </c>
      <c r="AY57" s="36">
        <f t="shared" ca="1" si="73"/>
        <v>0</v>
      </c>
      <c r="AZ57" s="36">
        <f t="shared" ca="1" si="73"/>
        <v>0</v>
      </c>
      <c r="BA57" s="36">
        <f t="shared" ca="1" si="73"/>
        <v>0</v>
      </c>
      <c r="BB57" s="36">
        <f t="shared" ca="1" si="73"/>
        <v>0</v>
      </c>
      <c r="BC57" s="36">
        <f t="shared" ca="1" si="73"/>
        <v>0</v>
      </c>
      <c r="BD57" s="36">
        <f t="shared" ca="1" si="73"/>
        <v>0</v>
      </c>
      <c r="BE57" s="36">
        <f t="shared" ca="1" si="73"/>
        <v>0</v>
      </c>
      <c r="BF57" s="36">
        <f t="shared" ca="1" si="73"/>
        <v>0</v>
      </c>
      <c r="BG57" s="36">
        <f t="shared" ca="1" si="73"/>
        <v>0</v>
      </c>
      <c r="BH57" s="36">
        <f t="shared" ca="1" si="73"/>
        <v>0</v>
      </c>
      <c r="BI57" s="36">
        <f t="shared" ca="1" si="73"/>
        <v>0</v>
      </c>
      <c r="BJ57" s="36">
        <f t="shared" ca="1" si="73"/>
        <v>0</v>
      </c>
      <c r="BK57" s="36">
        <f t="shared" ca="1" si="73"/>
        <v>0</v>
      </c>
      <c r="BL57" s="36">
        <f t="shared" ca="1" si="73"/>
        <v>0</v>
      </c>
      <c r="BM57" s="36">
        <f t="shared" ca="1" si="73"/>
        <v>0</v>
      </c>
      <c r="BN57" s="36">
        <f t="shared" ca="1" si="73"/>
        <v>0</v>
      </c>
      <c r="BO57" s="36">
        <f t="shared" ref="BO57:CT57" ca="1" si="74">BO55+BO56</f>
        <v>0</v>
      </c>
      <c r="BP57" s="36">
        <f t="shared" ca="1" si="74"/>
        <v>0</v>
      </c>
      <c r="BQ57" s="36">
        <f t="shared" ca="1" si="74"/>
        <v>0</v>
      </c>
      <c r="BR57" s="36">
        <f t="shared" ca="1" si="74"/>
        <v>0</v>
      </c>
      <c r="BS57" s="36">
        <f t="shared" ca="1" si="74"/>
        <v>0</v>
      </c>
      <c r="BT57" s="36">
        <f t="shared" ca="1" si="74"/>
        <v>0</v>
      </c>
      <c r="BU57" s="36">
        <f t="shared" ca="1" si="74"/>
        <v>0</v>
      </c>
      <c r="BV57" s="36">
        <f t="shared" ca="1" si="74"/>
        <v>0</v>
      </c>
      <c r="BW57" s="36">
        <f t="shared" ca="1" si="74"/>
        <v>0</v>
      </c>
      <c r="BX57" s="36">
        <f t="shared" ca="1" si="74"/>
        <v>0</v>
      </c>
      <c r="BY57" s="36">
        <f t="shared" ca="1" si="74"/>
        <v>0</v>
      </c>
      <c r="BZ57" s="36">
        <f t="shared" ca="1" si="74"/>
        <v>0</v>
      </c>
      <c r="CA57" s="36">
        <f t="shared" ca="1" si="74"/>
        <v>0</v>
      </c>
      <c r="CB57" s="36">
        <f t="shared" ca="1" si="74"/>
        <v>0</v>
      </c>
      <c r="CC57" s="36">
        <f t="shared" ca="1" si="74"/>
        <v>0</v>
      </c>
      <c r="CD57" s="36">
        <f t="shared" ca="1" si="74"/>
        <v>0</v>
      </c>
      <c r="CE57" s="36">
        <f t="shared" ca="1" si="74"/>
        <v>0</v>
      </c>
      <c r="CF57" s="36">
        <f t="shared" ca="1" si="74"/>
        <v>0</v>
      </c>
      <c r="CG57" s="36">
        <f t="shared" ca="1" si="74"/>
        <v>0</v>
      </c>
      <c r="CH57" s="36">
        <f t="shared" ca="1" si="74"/>
        <v>0</v>
      </c>
      <c r="CI57" s="36">
        <f t="shared" ca="1" si="74"/>
        <v>0</v>
      </c>
      <c r="CJ57" s="36">
        <f t="shared" ca="1" si="74"/>
        <v>0</v>
      </c>
      <c r="CK57" s="36">
        <f t="shared" ca="1" si="74"/>
        <v>0</v>
      </c>
      <c r="CL57" s="36">
        <f t="shared" ca="1" si="74"/>
        <v>0</v>
      </c>
      <c r="CM57" s="36">
        <f t="shared" ca="1" si="74"/>
        <v>0</v>
      </c>
      <c r="CN57" s="36">
        <f t="shared" ca="1" si="74"/>
        <v>0</v>
      </c>
      <c r="CO57" s="36">
        <f t="shared" ca="1" si="74"/>
        <v>0</v>
      </c>
      <c r="CP57" s="36">
        <f t="shared" ca="1" si="74"/>
        <v>0</v>
      </c>
      <c r="CQ57" s="36">
        <f t="shared" ca="1" si="74"/>
        <v>0</v>
      </c>
      <c r="CR57" s="36">
        <f t="shared" ca="1" si="74"/>
        <v>0</v>
      </c>
      <c r="CS57" s="36">
        <f t="shared" ca="1" si="74"/>
        <v>0</v>
      </c>
      <c r="CT57" s="36">
        <f t="shared" ca="1" si="74"/>
        <v>0</v>
      </c>
      <c r="CU57" s="36">
        <f t="shared" ref="CU57:DF57" ca="1" si="75">CU55+CU56</f>
        <v>0</v>
      </c>
      <c r="CV57" s="36">
        <f t="shared" ca="1" si="75"/>
        <v>0</v>
      </c>
      <c r="CW57" s="36">
        <f t="shared" ca="1" si="75"/>
        <v>0</v>
      </c>
      <c r="CX57" s="36">
        <f t="shared" ca="1" si="75"/>
        <v>0</v>
      </c>
      <c r="CY57" s="36">
        <f t="shared" ca="1" si="75"/>
        <v>0</v>
      </c>
      <c r="CZ57" s="36">
        <f t="shared" ca="1" si="75"/>
        <v>0</v>
      </c>
      <c r="DA57" s="36">
        <f t="shared" ca="1" si="75"/>
        <v>0</v>
      </c>
      <c r="DB57" s="36">
        <f t="shared" ca="1" si="75"/>
        <v>0</v>
      </c>
      <c r="DC57" s="36">
        <f t="shared" ca="1" si="75"/>
        <v>0</v>
      </c>
      <c r="DD57" s="36">
        <f t="shared" ca="1" si="75"/>
        <v>0</v>
      </c>
      <c r="DE57" s="36">
        <f t="shared" ca="1" si="75"/>
        <v>0</v>
      </c>
      <c r="DF57" s="36">
        <f t="shared" ca="1" si="75"/>
        <v>0</v>
      </c>
    </row>
    <row r="59" spans="1:110">
      <c r="A59" s="86" t="str">
        <f>"ОЧЕРЕДЬ 2 — "&amp;НАСТРОЙКИ!D6</f>
        <v>ОЧЕРЕДЬ 2 — Plato_M-2.xlsx</v>
      </c>
      <c r="B59" s="8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</row>
    <row r="60" spans="1:110">
      <c r="A60" s="33" t="s">
        <v>112</v>
      </c>
      <c r="B60" s="33" t="s">
        <v>51</v>
      </c>
    </row>
    <row r="61" spans="1:110">
      <c r="A61" s="34" t="s">
        <v>102</v>
      </c>
      <c r="B61" s="34" t="s">
        <v>58</v>
      </c>
      <c r="C61" s="35">
        <f ca="1">IF(НАСТРОЙКИ!$B$6&lt;&gt;"Да",0,IFERROR(SUMIF(INDIRECT("'["&amp;НАСТРОЙКИ!$D$6&amp;"]CF'!$L$3:$EO$3"),C$22,INDIRECT("'["&amp;НАСТРОЙКИ!$D$6&amp;"]CF'!$L$18:$EO$18")),0))</f>
        <v>0</v>
      </c>
      <c r="D61" s="35">
        <f ca="1">IF(НАСТРОЙКИ!$B$6&lt;&gt;"Да",0,IFERROR(SUMIF(INDIRECT("'["&amp;НАСТРОЙКИ!$D$6&amp;"]CF'!$L$3:$EO$3"),D$22,INDIRECT("'["&amp;НАСТРОЙКИ!$D$6&amp;"]CF'!$L$18:$EO$18")),0))</f>
        <v>0</v>
      </c>
      <c r="E61" s="35">
        <f ca="1">IF(НАСТРОЙКИ!$B$6&lt;&gt;"Да",0,IFERROR(SUMIF(INDIRECT("'["&amp;НАСТРОЙКИ!$D$6&amp;"]CF'!$L$3:$EO$3"),E$22,INDIRECT("'["&amp;НАСТРОЙКИ!$D$6&amp;"]CF'!$L$18:$EO$18")),0))</f>
        <v>0</v>
      </c>
      <c r="F61" s="35">
        <f ca="1">IF(НАСТРОЙКИ!$B$6&lt;&gt;"Да",0,IFERROR(SUMIF(INDIRECT("'["&amp;НАСТРОЙКИ!$D$6&amp;"]CF'!$L$3:$EO$3"),F$22,INDIRECT("'["&amp;НАСТРОЙКИ!$D$6&amp;"]CF'!$L$18:$EO$18")),0))</f>
        <v>0</v>
      </c>
      <c r="G61" s="35">
        <f ca="1">IF(НАСТРОЙКИ!$B$6&lt;&gt;"Да",0,IFERROR(SUMIF(INDIRECT("'["&amp;НАСТРОЙКИ!$D$6&amp;"]CF'!$L$3:$EO$3"),G$22,INDIRECT("'["&amp;НАСТРОЙКИ!$D$6&amp;"]CF'!$L$18:$EO$18")),0))</f>
        <v>0</v>
      </c>
      <c r="H61" s="35">
        <f ca="1">IF(НАСТРОЙКИ!$B$6&lt;&gt;"Да",0,IFERROR(SUMIF(INDIRECT("'["&amp;НАСТРОЙКИ!$D$6&amp;"]CF'!$L$3:$EO$3"),H$22,INDIRECT("'["&amp;НАСТРОЙКИ!$D$6&amp;"]CF'!$L$18:$EO$18")),0))</f>
        <v>0</v>
      </c>
      <c r="I61" s="35">
        <f ca="1">IF(НАСТРОЙКИ!$B$6&lt;&gt;"Да",0,IFERROR(SUMIF(INDIRECT("'["&amp;НАСТРОЙКИ!$D$6&amp;"]CF'!$L$3:$EO$3"),I$22,INDIRECT("'["&amp;НАСТРОЙКИ!$D$6&amp;"]CF'!$L$18:$EO$18")),0))</f>
        <v>0</v>
      </c>
      <c r="J61" s="35">
        <f ca="1">IF(НАСТРОЙКИ!$B$6&lt;&gt;"Да",0,IFERROR(SUMIF(INDIRECT("'["&amp;НАСТРОЙКИ!$D$6&amp;"]CF'!$L$3:$EO$3"),J$22,INDIRECT("'["&amp;НАСТРОЙКИ!$D$6&amp;"]CF'!$L$18:$EO$18")),0))</f>
        <v>0</v>
      </c>
      <c r="K61" s="35">
        <f ca="1">IF(НАСТРОЙКИ!$B$6&lt;&gt;"Да",0,IFERROR(SUMIF(INDIRECT("'["&amp;НАСТРОЙКИ!$D$6&amp;"]CF'!$L$3:$EO$3"),K$22,INDIRECT("'["&amp;НАСТРОЙКИ!$D$6&amp;"]CF'!$L$18:$EO$18")),0))</f>
        <v>0</v>
      </c>
      <c r="L61" s="35">
        <f ca="1">IF(НАСТРОЙКИ!$B$6&lt;&gt;"Да",0,IFERROR(SUMIF(INDIRECT("'["&amp;НАСТРОЙКИ!$D$6&amp;"]CF'!$L$3:$EO$3"),L$22,INDIRECT("'["&amp;НАСТРОЙКИ!$D$6&amp;"]CF'!$L$18:$EO$18")),0))</f>
        <v>0</v>
      </c>
      <c r="M61" s="35">
        <f ca="1">IF(НАСТРОЙКИ!$B$6&lt;&gt;"Да",0,IFERROR(SUMIF(INDIRECT("'["&amp;НАСТРОЙКИ!$D$6&amp;"]CF'!$L$3:$EO$3"),M$22,INDIRECT("'["&amp;НАСТРОЙКИ!$D$6&amp;"]CF'!$L$18:$EO$18")),0))</f>
        <v>0</v>
      </c>
      <c r="N61" s="35">
        <f ca="1">IF(НАСТРОЙКИ!$B$6&lt;&gt;"Да",0,IFERROR(SUMIF(INDIRECT("'["&amp;НАСТРОЙКИ!$D$6&amp;"]CF'!$L$3:$EO$3"),N$22,INDIRECT("'["&amp;НАСТРОЙКИ!$D$6&amp;"]CF'!$L$18:$EO$18")),0))</f>
        <v>0</v>
      </c>
      <c r="O61" s="35">
        <f ca="1">IF(НАСТРОЙКИ!$B$6&lt;&gt;"Да",0,IFERROR(SUMIF(INDIRECT("'["&amp;НАСТРОЙКИ!$D$6&amp;"]CF'!$L$3:$EO$3"),O$22,INDIRECT("'["&amp;НАСТРОЙКИ!$D$6&amp;"]CF'!$L$18:$EO$18")),0))</f>
        <v>0</v>
      </c>
      <c r="P61" s="35">
        <f ca="1">IF(НАСТРОЙКИ!$B$6&lt;&gt;"Да",0,IFERROR(SUMIF(INDIRECT("'["&amp;НАСТРОЙКИ!$D$6&amp;"]CF'!$L$3:$EO$3"),P$22,INDIRECT("'["&amp;НАСТРОЙКИ!$D$6&amp;"]CF'!$L$18:$EO$18")),0))</f>
        <v>0</v>
      </c>
      <c r="Q61" s="35">
        <f ca="1">IF(НАСТРОЙКИ!$B$6&lt;&gt;"Да",0,IFERROR(SUMIF(INDIRECT("'["&amp;НАСТРОЙКИ!$D$6&amp;"]CF'!$L$3:$EO$3"),Q$22,INDIRECT("'["&amp;НАСТРОЙКИ!$D$6&amp;"]CF'!$L$18:$EO$18")),0))</f>
        <v>0</v>
      </c>
      <c r="R61" s="35">
        <f ca="1">IF(НАСТРОЙКИ!$B$6&lt;&gt;"Да",0,IFERROR(SUMIF(INDIRECT("'["&amp;НАСТРОЙКИ!$D$6&amp;"]CF'!$L$3:$EO$3"),R$22,INDIRECT("'["&amp;НАСТРОЙКИ!$D$6&amp;"]CF'!$L$18:$EO$18")),0))</f>
        <v>0</v>
      </c>
      <c r="S61" s="35">
        <f ca="1">IF(НАСТРОЙКИ!$B$6&lt;&gt;"Да",0,IFERROR(SUMIF(INDIRECT("'["&amp;НАСТРОЙКИ!$D$6&amp;"]CF'!$L$3:$EO$3"),S$22,INDIRECT("'["&amp;НАСТРОЙКИ!$D$6&amp;"]CF'!$L$18:$EO$18")),0))</f>
        <v>0</v>
      </c>
      <c r="T61" s="35">
        <f ca="1">IF(НАСТРОЙКИ!$B$6&lt;&gt;"Да",0,IFERROR(SUMIF(INDIRECT("'["&amp;НАСТРОЙКИ!$D$6&amp;"]CF'!$L$3:$EO$3"),T$22,INDIRECT("'["&amp;НАСТРОЙКИ!$D$6&amp;"]CF'!$L$18:$EO$18")),0))</f>
        <v>0</v>
      </c>
      <c r="U61" s="35">
        <f ca="1">IF(НАСТРОЙКИ!$B$6&lt;&gt;"Да",0,IFERROR(SUMIF(INDIRECT("'["&amp;НАСТРОЙКИ!$D$6&amp;"]CF'!$L$3:$EO$3"),U$22,INDIRECT("'["&amp;НАСТРОЙКИ!$D$6&amp;"]CF'!$L$18:$EO$18")),0))</f>
        <v>0</v>
      </c>
      <c r="V61" s="35">
        <f ca="1">IF(НАСТРОЙКИ!$B$6&lt;&gt;"Да",0,IFERROR(SUMIF(INDIRECT("'["&amp;НАСТРОЙКИ!$D$6&amp;"]CF'!$L$3:$EO$3"),V$22,INDIRECT("'["&amp;НАСТРОЙКИ!$D$6&amp;"]CF'!$L$18:$EO$18")),0))</f>
        <v>0</v>
      </c>
      <c r="W61" s="35">
        <f ca="1">IF(НАСТРОЙКИ!$B$6&lt;&gt;"Да",0,IFERROR(SUMIF(INDIRECT("'["&amp;НАСТРОЙКИ!$D$6&amp;"]CF'!$L$3:$EO$3"),W$22,INDIRECT("'["&amp;НАСТРОЙКИ!$D$6&amp;"]CF'!$L$18:$EO$18")),0))</f>
        <v>0</v>
      </c>
      <c r="X61" s="35">
        <f ca="1">IF(НАСТРОЙКИ!$B$6&lt;&gt;"Да",0,IFERROR(SUMIF(INDIRECT("'["&amp;НАСТРОЙКИ!$D$6&amp;"]CF'!$L$3:$EO$3"),X$22,INDIRECT("'["&amp;НАСТРОЙКИ!$D$6&amp;"]CF'!$L$18:$EO$18")),0))</f>
        <v>0</v>
      </c>
      <c r="Y61" s="35">
        <f ca="1">IF(НАСТРОЙКИ!$B$6&lt;&gt;"Да",0,IFERROR(SUMIF(INDIRECT("'["&amp;НАСТРОЙКИ!$D$6&amp;"]CF'!$L$3:$EO$3"),Y$22,INDIRECT("'["&amp;НАСТРОЙКИ!$D$6&amp;"]CF'!$L$18:$EO$18")),0))</f>
        <v>0</v>
      </c>
      <c r="Z61" s="35">
        <f ca="1">IF(НАСТРОЙКИ!$B$6&lt;&gt;"Да",0,IFERROR(SUMIF(INDIRECT("'["&amp;НАСТРОЙКИ!$D$6&amp;"]CF'!$L$3:$EO$3"),Z$22,INDIRECT("'["&amp;НАСТРОЙКИ!$D$6&amp;"]CF'!$L$18:$EO$18")),0))</f>
        <v>0</v>
      </c>
      <c r="AA61" s="35">
        <f ca="1">IF(НАСТРОЙКИ!$B$6&lt;&gt;"Да",0,IFERROR(SUMIF(INDIRECT("'["&amp;НАСТРОЙКИ!$D$6&amp;"]CF'!$L$3:$EO$3"),AA$22,INDIRECT("'["&amp;НАСТРОЙКИ!$D$6&amp;"]CF'!$L$18:$EO$18")),0))</f>
        <v>0</v>
      </c>
      <c r="AB61" s="35">
        <f ca="1">IF(НАСТРОЙКИ!$B$6&lt;&gt;"Да",0,IFERROR(SUMIF(INDIRECT("'["&amp;НАСТРОЙКИ!$D$6&amp;"]CF'!$L$3:$EO$3"),AB$22,INDIRECT("'["&amp;НАСТРОЙКИ!$D$6&amp;"]CF'!$L$18:$EO$18")),0))</f>
        <v>0</v>
      </c>
      <c r="AC61" s="35">
        <f ca="1">IF(НАСТРОЙКИ!$B$6&lt;&gt;"Да",0,IFERROR(SUMIF(INDIRECT("'["&amp;НАСТРОЙКИ!$D$6&amp;"]CF'!$L$3:$EO$3"),AC$22,INDIRECT("'["&amp;НАСТРОЙКИ!$D$6&amp;"]CF'!$L$18:$EO$18")),0))</f>
        <v>0</v>
      </c>
      <c r="AD61" s="35">
        <f ca="1">IF(НАСТРОЙКИ!$B$6&lt;&gt;"Да",0,IFERROR(SUMIF(INDIRECT("'["&amp;НАСТРОЙКИ!$D$6&amp;"]CF'!$L$3:$EO$3"),AD$22,INDIRECT("'["&amp;НАСТРОЙКИ!$D$6&amp;"]CF'!$L$18:$EO$18")),0))</f>
        <v>0</v>
      </c>
      <c r="AE61" s="35">
        <f ca="1">IF(НАСТРОЙКИ!$B$6&lt;&gt;"Да",0,IFERROR(SUMIF(INDIRECT("'["&amp;НАСТРОЙКИ!$D$6&amp;"]CF'!$L$3:$EO$3"),AE$22,INDIRECT("'["&amp;НАСТРОЙКИ!$D$6&amp;"]CF'!$L$18:$EO$18")),0))</f>
        <v>0</v>
      </c>
      <c r="AF61" s="35">
        <f ca="1">IF(НАСТРОЙКИ!$B$6&lt;&gt;"Да",0,IFERROR(SUMIF(INDIRECT("'["&amp;НАСТРОЙКИ!$D$6&amp;"]CF'!$L$3:$EO$3"),AF$22,INDIRECT("'["&amp;НАСТРОЙКИ!$D$6&amp;"]CF'!$L$18:$EO$18")),0))</f>
        <v>0</v>
      </c>
      <c r="AG61" s="35">
        <f ca="1">IF(НАСТРОЙКИ!$B$6&lt;&gt;"Да",0,IFERROR(SUMIF(INDIRECT("'["&amp;НАСТРОЙКИ!$D$6&amp;"]CF'!$L$3:$EO$3"),AG$22,INDIRECT("'["&amp;НАСТРОЙКИ!$D$6&amp;"]CF'!$L$18:$EO$18")),0))</f>
        <v>0</v>
      </c>
      <c r="AH61" s="35">
        <f ca="1">IF(НАСТРОЙКИ!$B$6&lt;&gt;"Да",0,IFERROR(SUMIF(INDIRECT("'["&amp;НАСТРОЙКИ!$D$6&amp;"]CF'!$L$3:$EO$3"),AH$22,INDIRECT("'["&amp;НАСТРОЙКИ!$D$6&amp;"]CF'!$L$18:$EO$18")),0))</f>
        <v>0</v>
      </c>
      <c r="AI61" s="35">
        <f ca="1">IF(НАСТРОЙКИ!$B$6&lt;&gt;"Да",0,IFERROR(SUMIF(INDIRECT("'["&amp;НАСТРОЙКИ!$D$6&amp;"]CF'!$L$3:$EO$3"),AI$22,INDIRECT("'["&amp;НАСТРОЙКИ!$D$6&amp;"]CF'!$L$18:$EO$18")),0))</f>
        <v>0</v>
      </c>
      <c r="AJ61" s="35">
        <f ca="1">IF(НАСТРОЙКИ!$B$6&lt;&gt;"Да",0,IFERROR(SUMIF(INDIRECT("'["&amp;НАСТРОЙКИ!$D$6&amp;"]CF'!$L$3:$EO$3"),AJ$22,INDIRECT("'["&amp;НАСТРОЙКИ!$D$6&amp;"]CF'!$L$18:$EO$18")),0))</f>
        <v>0</v>
      </c>
      <c r="AK61" s="35">
        <f ca="1">IF(НАСТРОЙКИ!$B$6&lt;&gt;"Да",0,IFERROR(SUMIF(INDIRECT("'["&amp;НАСТРОЙКИ!$D$6&amp;"]CF'!$L$3:$EO$3"),AK$22,INDIRECT("'["&amp;НАСТРОЙКИ!$D$6&amp;"]CF'!$L$18:$EO$18")),0))</f>
        <v>0</v>
      </c>
      <c r="AL61" s="35">
        <f ca="1">IF(НАСТРОЙКИ!$B$6&lt;&gt;"Да",0,IFERROR(SUMIF(INDIRECT("'["&amp;НАСТРОЙКИ!$D$6&amp;"]CF'!$L$3:$EO$3"),AL$22,INDIRECT("'["&amp;НАСТРОЙКИ!$D$6&amp;"]CF'!$L$18:$EO$18")),0))</f>
        <v>0</v>
      </c>
      <c r="AM61" s="35">
        <f ca="1">IF(НАСТРОЙКИ!$B$6&lt;&gt;"Да",0,IFERROR(SUMIF(INDIRECT("'["&amp;НАСТРОЙКИ!$D$6&amp;"]CF'!$L$3:$EO$3"),AM$22,INDIRECT("'["&amp;НАСТРОЙКИ!$D$6&amp;"]CF'!$L$18:$EO$18")),0))</f>
        <v>0</v>
      </c>
      <c r="AN61" s="35">
        <f ca="1">IF(НАСТРОЙКИ!$B$6&lt;&gt;"Да",0,IFERROR(SUMIF(INDIRECT("'["&amp;НАСТРОЙКИ!$D$6&amp;"]CF'!$L$3:$EO$3"),AN$22,INDIRECT("'["&amp;НАСТРОЙКИ!$D$6&amp;"]CF'!$L$18:$EO$18")),0))</f>
        <v>0</v>
      </c>
      <c r="AO61" s="35">
        <f ca="1">IF(НАСТРОЙКИ!$B$6&lt;&gt;"Да",0,IFERROR(SUMIF(INDIRECT("'["&amp;НАСТРОЙКИ!$D$6&amp;"]CF'!$L$3:$EO$3"),AO$22,INDIRECT("'["&amp;НАСТРОЙКИ!$D$6&amp;"]CF'!$L$18:$EO$18")),0))</f>
        <v>0</v>
      </c>
      <c r="AP61" s="35">
        <f ca="1">IF(НАСТРОЙКИ!$B$6&lt;&gt;"Да",0,IFERROR(SUMIF(INDIRECT("'["&amp;НАСТРОЙКИ!$D$6&amp;"]CF'!$L$3:$EO$3"),AP$22,INDIRECT("'["&amp;НАСТРОЙКИ!$D$6&amp;"]CF'!$L$18:$EO$18")),0))</f>
        <v>0</v>
      </c>
      <c r="AQ61" s="35">
        <f ca="1">IF(НАСТРОЙКИ!$B$6&lt;&gt;"Да",0,IFERROR(SUMIF(INDIRECT("'["&amp;НАСТРОЙКИ!$D$6&amp;"]CF'!$L$3:$EO$3"),AQ$22,INDIRECT("'["&amp;НАСТРОЙКИ!$D$6&amp;"]CF'!$L$18:$EO$18")),0))</f>
        <v>0</v>
      </c>
      <c r="AR61" s="35">
        <f ca="1">IF(НАСТРОЙКИ!$B$6&lt;&gt;"Да",0,IFERROR(SUMIF(INDIRECT("'["&amp;НАСТРОЙКИ!$D$6&amp;"]CF'!$L$3:$EO$3"),AR$22,INDIRECT("'["&amp;НАСТРОЙКИ!$D$6&amp;"]CF'!$L$18:$EO$18")),0))</f>
        <v>0</v>
      </c>
      <c r="AS61" s="35">
        <f ca="1">IF(НАСТРОЙКИ!$B$6&lt;&gt;"Да",0,IFERROR(SUMIF(INDIRECT("'["&amp;НАСТРОЙКИ!$D$6&amp;"]CF'!$L$3:$EO$3"),AS$22,INDIRECT("'["&amp;НАСТРОЙКИ!$D$6&amp;"]CF'!$L$18:$EO$18")),0))</f>
        <v>0</v>
      </c>
      <c r="AT61" s="35">
        <f ca="1">IF(НАСТРОЙКИ!$B$6&lt;&gt;"Да",0,IFERROR(SUMIF(INDIRECT("'["&amp;НАСТРОЙКИ!$D$6&amp;"]CF'!$L$3:$EO$3"),AT$22,INDIRECT("'["&amp;НАСТРОЙКИ!$D$6&amp;"]CF'!$L$18:$EO$18")),0))</f>
        <v>0</v>
      </c>
      <c r="AU61" s="35">
        <f ca="1">IF(НАСТРОЙКИ!$B$6&lt;&gt;"Да",0,IFERROR(SUMIF(INDIRECT("'["&amp;НАСТРОЙКИ!$D$6&amp;"]CF'!$L$3:$EO$3"),AU$22,INDIRECT("'["&amp;НАСТРОЙКИ!$D$6&amp;"]CF'!$L$18:$EO$18")),0))</f>
        <v>0</v>
      </c>
      <c r="AV61" s="35">
        <f ca="1">IF(НАСТРОЙКИ!$B$6&lt;&gt;"Да",0,IFERROR(SUMIF(INDIRECT("'["&amp;НАСТРОЙКИ!$D$6&amp;"]CF'!$L$3:$EO$3"),AV$22,INDIRECT("'["&amp;НАСТРОЙКИ!$D$6&amp;"]CF'!$L$18:$EO$18")),0))</f>
        <v>0</v>
      </c>
      <c r="AW61" s="35">
        <f ca="1">IF(НАСТРОЙКИ!$B$6&lt;&gt;"Да",0,IFERROR(SUMIF(INDIRECT("'["&amp;НАСТРОЙКИ!$D$6&amp;"]CF'!$L$3:$EO$3"),AW$22,INDIRECT("'["&amp;НАСТРОЙКИ!$D$6&amp;"]CF'!$L$18:$EO$18")),0))</f>
        <v>0</v>
      </c>
      <c r="AX61" s="35">
        <f ca="1">IF(НАСТРОЙКИ!$B$6&lt;&gt;"Да",0,IFERROR(SUMIF(INDIRECT("'["&amp;НАСТРОЙКИ!$D$6&amp;"]CF'!$L$3:$EO$3"),AX$22,INDIRECT("'["&amp;НАСТРОЙКИ!$D$6&amp;"]CF'!$L$18:$EO$18")),0))</f>
        <v>0</v>
      </c>
      <c r="AY61" s="35">
        <f ca="1">IF(НАСТРОЙКИ!$B$6&lt;&gt;"Да",0,IFERROR(SUMIF(INDIRECT("'["&amp;НАСТРОЙКИ!$D$6&amp;"]CF'!$L$3:$EO$3"),AY$22,INDIRECT("'["&amp;НАСТРОЙКИ!$D$6&amp;"]CF'!$L$18:$EO$18")),0))</f>
        <v>0</v>
      </c>
      <c r="AZ61" s="35">
        <f ca="1">IF(НАСТРОЙКИ!$B$6&lt;&gt;"Да",0,IFERROR(SUMIF(INDIRECT("'["&amp;НАСТРОЙКИ!$D$6&amp;"]CF'!$L$3:$EO$3"),AZ$22,INDIRECT("'["&amp;НАСТРОЙКИ!$D$6&amp;"]CF'!$L$18:$EO$18")),0))</f>
        <v>0</v>
      </c>
      <c r="BA61" s="35">
        <f ca="1">IF(НАСТРОЙКИ!$B$6&lt;&gt;"Да",0,IFERROR(SUMIF(INDIRECT("'["&amp;НАСТРОЙКИ!$D$6&amp;"]CF'!$L$3:$EO$3"),BA$22,INDIRECT("'["&amp;НАСТРОЙКИ!$D$6&amp;"]CF'!$L$18:$EO$18")),0))</f>
        <v>0</v>
      </c>
      <c r="BB61" s="35">
        <f ca="1">IF(НАСТРОЙКИ!$B$6&lt;&gt;"Да",0,IFERROR(SUMIF(INDIRECT("'["&amp;НАСТРОЙКИ!$D$6&amp;"]CF'!$L$3:$EO$3"),BB$22,INDIRECT("'["&amp;НАСТРОЙКИ!$D$6&amp;"]CF'!$L$18:$EO$18")),0))</f>
        <v>0</v>
      </c>
      <c r="BC61" s="35">
        <f ca="1">IF(НАСТРОЙКИ!$B$6&lt;&gt;"Да",0,IFERROR(SUMIF(INDIRECT("'["&amp;НАСТРОЙКИ!$D$6&amp;"]CF'!$L$3:$EO$3"),BC$22,INDIRECT("'["&amp;НАСТРОЙКИ!$D$6&amp;"]CF'!$L$18:$EO$18")),0))</f>
        <v>0</v>
      </c>
      <c r="BD61" s="35">
        <f ca="1">IF(НАСТРОЙКИ!$B$6&lt;&gt;"Да",0,IFERROR(SUMIF(INDIRECT("'["&amp;НАСТРОЙКИ!$D$6&amp;"]CF'!$L$3:$EO$3"),BD$22,INDIRECT("'["&amp;НАСТРОЙКИ!$D$6&amp;"]CF'!$L$18:$EO$18")),0))</f>
        <v>0</v>
      </c>
      <c r="BE61" s="35">
        <f ca="1">IF(НАСТРОЙКИ!$B$6&lt;&gt;"Да",0,IFERROR(SUMIF(INDIRECT("'["&amp;НАСТРОЙКИ!$D$6&amp;"]CF'!$L$3:$EO$3"),BE$22,INDIRECT("'["&amp;НАСТРОЙКИ!$D$6&amp;"]CF'!$L$18:$EO$18")),0))</f>
        <v>0</v>
      </c>
      <c r="BF61" s="35">
        <f ca="1">IF(НАСТРОЙКИ!$B$6&lt;&gt;"Да",0,IFERROR(SUMIF(INDIRECT("'["&amp;НАСТРОЙКИ!$D$6&amp;"]CF'!$L$3:$EO$3"),BF$22,INDIRECT("'["&amp;НАСТРОЙКИ!$D$6&amp;"]CF'!$L$18:$EO$18")),0))</f>
        <v>0</v>
      </c>
      <c r="BG61" s="35">
        <f ca="1">IF(НАСТРОЙКИ!$B$6&lt;&gt;"Да",0,IFERROR(SUMIF(INDIRECT("'["&amp;НАСТРОЙКИ!$D$6&amp;"]CF'!$L$3:$EO$3"),BG$22,INDIRECT("'["&amp;НАСТРОЙКИ!$D$6&amp;"]CF'!$L$18:$EO$18")),0))</f>
        <v>0</v>
      </c>
      <c r="BH61" s="35">
        <f ca="1">IF(НАСТРОЙКИ!$B$6&lt;&gt;"Да",0,IFERROR(SUMIF(INDIRECT("'["&amp;НАСТРОЙКИ!$D$6&amp;"]CF'!$L$3:$EO$3"),BH$22,INDIRECT("'["&amp;НАСТРОЙКИ!$D$6&amp;"]CF'!$L$18:$EO$18")),0))</f>
        <v>0</v>
      </c>
      <c r="BI61" s="35">
        <f ca="1">IF(НАСТРОЙКИ!$B$6&lt;&gt;"Да",0,IFERROR(SUMIF(INDIRECT("'["&amp;НАСТРОЙКИ!$D$6&amp;"]CF'!$L$3:$EO$3"),BI$22,INDIRECT("'["&amp;НАСТРОЙКИ!$D$6&amp;"]CF'!$L$18:$EO$18")),0))</f>
        <v>0</v>
      </c>
      <c r="BJ61" s="35">
        <f ca="1">IF(НАСТРОЙКИ!$B$6&lt;&gt;"Да",0,IFERROR(SUMIF(INDIRECT("'["&amp;НАСТРОЙКИ!$D$6&amp;"]CF'!$L$3:$EO$3"),BJ$22,INDIRECT("'["&amp;НАСТРОЙКИ!$D$6&amp;"]CF'!$L$18:$EO$18")),0))</f>
        <v>0</v>
      </c>
      <c r="BK61" s="35">
        <f ca="1">IF(НАСТРОЙКИ!$B$6&lt;&gt;"Да",0,IFERROR(SUMIF(INDIRECT("'["&amp;НАСТРОЙКИ!$D$6&amp;"]CF'!$L$3:$EO$3"),BK$22,INDIRECT("'["&amp;НАСТРОЙКИ!$D$6&amp;"]CF'!$L$18:$EO$18")),0))</f>
        <v>0</v>
      </c>
      <c r="BL61" s="35">
        <f ca="1">IF(НАСТРОЙКИ!$B$6&lt;&gt;"Да",0,IFERROR(SUMIF(INDIRECT("'["&amp;НАСТРОЙКИ!$D$6&amp;"]CF'!$L$3:$EO$3"),BL$22,INDIRECT("'["&amp;НАСТРОЙКИ!$D$6&amp;"]CF'!$L$18:$EO$18")),0))</f>
        <v>0</v>
      </c>
      <c r="BM61" s="35">
        <f ca="1">IF(НАСТРОЙКИ!$B$6&lt;&gt;"Да",0,IFERROR(SUMIF(INDIRECT("'["&amp;НАСТРОЙКИ!$D$6&amp;"]CF'!$L$3:$EO$3"),BM$22,INDIRECT("'["&amp;НАСТРОЙКИ!$D$6&amp;"]CF'!$L$18:$EO$18")),0))</f>
        <v>0</v>
      </c>
      <c r="BN61" s="35">
        <f ca="1">IF(НАСТРОЙКИ!$B$6&lt;&gt;"Да",0,IFERROR(SUMIF(INDIRECT("'["&amp;НАСТРОЙКИ!$D$6&amp;"]CF'!$L$3:$EO$3"),BN$22,INDIRECT("'["&amp;НАСТРОЙКИ!$D$6&amp;"]CF'!$L$18:$EO$18")),0))</f>
        <v>0</v>
      </c>
      <c r="BO61" s="35">
        <f ca="1">IF(НАСТРОЙКИ!$B$6&lt;&gt;"Да",0,IFERROR(SUMIF(INDIRECT("'["&amp;НАСТРОЙКИ!$D$6&amp;"]CF'!$L$3:$EO$3"),BO$22,INDIRECT("'["&amp;НАСТРОЙКИ!$D$6&amp;"]CF'!$L$18:$EO$18")),0))</f>
        <v>0</v>
      </c>
      <c r="BP61" s="35">
        <f ca="1">IF(НАСТРОЙКИ!$B$6&lt;&gt;"Да",0,IFERROR(SUMIF(INDIRECT("'["&amp;НАСТРОЙКИ!$D$6&amp;"]CF'!$L$3:$EO$3"),BP$22,INDIRECT("'["&amp;НАСТРОЙКИ!$D$6&amp;"]CF'!$L$18:$EO$18")),0))</f>
        <v>0</v>
      </c>
      <c r="BQ61" s="35">
        <f ca="1">IF(НАСТРОЙКИ!$B$6&lt;&gt;"Да",0,IFERROR(SUMIF(INDIRECT("'["&amp;НАСТРОЙКИ!$D$6&amp;"]CF'!$L$3:$EO$3"),BQ$22,INDIRECT("'["&amp;НАСТРОЙКИ!$D$6&amp;"]CF'!$L$18:$EO$18")),0))</f>
        <v>0</v>
      </c>
      <c r="BR61" s="35">
        <f ca="1">IF(НАСТРОЙКИ!$B$6&lt;&gt;"Да",0,IFERROR(SUMIF(INDIRECT("'["&amp;НАСТРОЙКИ!$D$6&amp;"]CF'!$L$3:$EO$3"),BR$22,INDIRECT("'["&amp;НАСТРОЙКИ!$D$6&amp;"]CF'!$L$18:$EO$18")),0))</f>
        <v>0</v>
      </c>
      <c r="BS61" s="35">
        <f ca="1">IF(НАСТРОЙКИ!$B$6&lt;&gt;"Да",0,IFERROR(SUMIF(INDIRECT("'["&amp;НАСТРОЙКИ!$D$6&amp;"]CF'!$L$3:$EO$3"),BS$22,INDIRECT("'["&amp;НАСТРОЙКИ!$D$6&amp;"]CF'!$L$18:$EO$18")),0))</f>
        <v>0</v>
      </c>
      <c r="BT61" s="35">
        <f ca="1">IF(НАСТРОЙКИ!$B$6&lt;&gt;"Да",0,IFERROR(SUMIF(INDIRECT("'["&amp;НАСТРОЙКИ!$D$6&amp;"]CF'!$L$3:$EO$3"),BT$22,INDIRECT("'["&amp;НАСТРОЙКИ!$D$6&amp;"]CF'!$L$18:$EO$18")),0))</f>
        <v>0</v>
      </c>
      <c r="BU61" s="35">
        <f ca="1">IF(НАСТРОЙКИ!$B$6&lt;&gt;"Да",0,IFERROR(SUMIF(INDIRECT("'["&amp;НАСТРОЙКИ!$D$6&amp;"]CF'!$L$3:$EO$3"),BU$22,INDIRECT("'["&amp;НАСТРОЙКИ!$D$6&amp;"]CF'!$L$18:$EO$18")),0))</f>
        <v>0</v>
      </c>
      <c r="BV61" s="35">
        <f ca="1">IF(НАСТРОЙКИ!$B$6&lt;&gt;"Да",0,IFERROR(SUMIF(INDIRECT("'["&amp;НАСТРОЙКИ!$D$6&amp;"]CF'!$L$3:$EO$3"),BV$22,INDIRECT("'["&amp;НАСТРОЙКИ!$D$6&amp;"]CF'!$L$18:$EO$18")),0))</f>
        <v>0</v>
      </c>
      <c r="BW61" s="35">
        <f ca="1">IF(НАСТРОЙКИ!$B$6&lt;&gt;"Да",0,IFERROR(SUMIF(INDIRECT("'["&amp;НАСТРОЙКИ!$D$6&amp;"]CF'!$L$3:$EO$3"),BW$22,INDIRECT("'["&amp;НАСТРОЙКИ!$D$6&amp;"]CF'!$L$18:$EO$18")),0))</f>
        <v>0</v>
      </c>
      <c r="BX61" s="35">
        <f ca="1">IF(НАСТРОЙКИ!$B$6&lt;&gt;"Да",0,IFERROR(SUMIF(INDIRECT("'["&amp;НАСТРОЙКИ!$D$6&amp;"]CF'!$L$3:$EO$3"),BX$22,INDIRECT("'["&amp;НАСТРОЙКИ!$D$6&amp;"]CF'!$L$18:$EO$18")),0))</f>
        <v>0</v>
      </c>
      <c r="BY61" s="35">
        <f ca="1">IF(НАСТРОЙКИ!$B$6&lt;&gt;"Да",0,IFERROR(SUMIF(INDIRECT("'["&amp;НАСТРОЙКИ!$D$6&amp;"]CF'!$L$3:$EO$3"),BY$22,INDIRECT("'["&amp;НАСТРОЙКИ!$D$6&amp;"]CF'!$L$18:$EO$18")),0))</f>
        <v>0</v>
      </c>
      <c r="BZ61" s="35">
        <f ca="1">IF(НАСТРОЙКИ!$B$6&lt;&gt;"Да",0,IFERROR(SUMIF(INDIRECT("'["&amp;НАСТРОЙКИ!$D$6&amp;"]CF'!$L$3:$EO$3"),BZ$22,INDIRECT("'["&amp;НАСТРОЙКИ!$D$6&amp;"]CF'!$L$18:$EO$18")),0))</f>
        <v>0</v>
      </c>
      <c r="CA61" s="35">
        <f ca="1">IF(НАСТРОЙКИ!$B$6&lt;&gt;"Да",0,IFERROR(SUMIF(INDIRECT("'["&amp;НАСТРОЙКИ!$D$6&amp;"]CF'!$L$3:$EO$3"),CA$22,INDIRECT("'["&amp;НАСТРОЙКИ!$D$6&amp;"]CF'!$L$18:$EO$18")),0))</f>
        <v>0</v>
      </c>
      <c r="CB61" s="35">
        <f ca="1">IF(НАСТРОЙКИ!$B$6&lt;&gt;"Да",0,IFERROR(SUMIF(INDIRECT("'["&amp;НАСТРОЙКИ!$D$6&amp;"]CF'!$L$3:$EO$3"),CB$22,INDIRECT("'["&amp;НАСТРОЙКИ!$D$6&amp;"]CF'!$L$18:$EO$18")),0))</f>
        <v>0</v>
      </c>
      <c r="CC61" s="35">
        <f ca="1">IF(НАСТРОЙКИ!$B$6&lt;&gt;"Да",0,IFERROR(SUMIF(INDIRECT("'["&amp;НАСТРОЙКИ!$D$6&amp;"]CF'!$L$3:$EO$3"),CC$22,INDIRECT("'["&amp;НАСТРОЙКИ!$D$6&amp;"]CF'!$L$18:$EO$18")),0))</f>
        <v>0</v>
      </c>
      <c r="CD61" s="35">
        <f ca="1">IF(НАСТРОЙКИ!$B$6&lt;&gt;"Да",0,IFERROR(SUMIF(INDIRECT("'["&amp;НАСТРОЙКИ!$D$6&amp;"]CF'!$L$3:$EO$3"),CD$22,INDIRECT("'["&amp;НАСТРОЙКИ!$D$6&amp;"]CF'!$L$18:$EO$18")),0))</f>
        <v>0</v>
      </c>
      <c r="CE61" s="35">
        <f ca="1">IF(НАСТРОЙКИ!$B$6&lt;&gt;"Да",0,IFERROR(SUMIF(INDIRECT("'["&amp;НАСТРОЙКИ!$D$6&amp;"]CF'!$L$3:$EO$3"),CE$22,INDIRECT("'["&amp;НАСТРОЙКИ!$D$6&amp;"]CF'!$L$18:$EO$18")),0))</f>
        <v>0</v>
      </c>
      <c r="CF61" s="35">
        <f ca="1">IF(НАСТРОЙКИ!$B$6&lt;&gt;"Да",0,IFERROR(SUMIF(INDIRECT("'["&amp;НАСТРОЙКИ!$D$6&amp;"]CF'!$L$3:$EO$3"),CF$22,INDIRECT("'["&amp;НАСТРОЙКИ!$D$6&amp;"]CF'!$L$18:$EO$18")),0))</f>
        <v>0</v>
      </c>
      <c r="CG61" s="35">
        <f ca="1">IF(НАСТРОЙКИ!$B$6&lt;&gt;"Да",0,IFERROR(SUMIF(INDIRECT("'["&amp;НАСТРОЙКИ!$D$6&amp;"]CF'!$L$3:$EO$3"),CG$22,INDIRECT("'["&amp;НАСТРОЙКИ!$D$6&amp;"]CF'!$L$18:$EO$18")),0))</f>
        <v>0</v>
      </c>
      <c r="CH61" s="35">
        <f ca="1">IF(НАСТРОЙКИ!$B$6&lt;&gt;"Да",0,IFERROR(SUMIF(INDIRECT("'["&amp;НАСТРОЙКИ!$D$6&amp;"]CF'!$L$3:$EO$3"),CH$22,INDIRECT("'["&amp;НАСТРОЙКИ!$D$6&amp;"]CF'!$L$18:$EO$18")),0))</f>
        <v>0</v>
      </c>
      <c r="CI61" s="35">
        <f ca="1">IF(НАСТРОЙКИ!$B$6&lt;&gt;"Да",0,IFERROR(SUMIF(INDIRECT("'["&amp;НАСТРОЙКИ!$D$6&amp;"]CF'!$L$3:$EO$3"),CI$22,INDIRECT("'["&amp;НАСТРОЙКИ!$D$6&amp;"]CF'!$L$18:$EO$18")),0))</f>
        <v>0</v>
      </c>
      <c r="CJ61" s="35">
        <f ca="1">IF(НАСТРОЙКИ!$B$6&lt;&gt;"Да",0,IFERROR(SUMIF(INDIRECT("'["&amp;НАСТРОЙКИ!$D$6&amp;"]CF'!$L$3:$EO$3"),CJ$22,INDIRECT("'["&amp;НАСТРОЙКИ!$D$6&amp;"]CF'!$L$18:$EO$18")),0))</f>
        <v>0</v>
      </c>
      <c r="CK61" s="35">
        <f ca="1">IF(НАСТРОЙКИ!$B$6&lt;&gt;"Да",0,IFERROR(SUMIF(INDIRECT("'["&amp;НАСТРОЙКИ!$D$6&amp;"]CF'!$L$3:$EO$3"),CK$22,INDIRECT("'["&amp;НАСТРОЙКИ!$D$6&amp;"]CF'!$L$18:$EO$18")),0))</f>
        <v>0</v>
      </c>
      <c r="CL61" s="35">
        <f ca="1">IF(НАСТРОЙКИ!$B$6&lt;&gt;"Да",0,IFERROR(SUMIF(INDIRECT("'["&amp;НАСТРОЙКИ!$D$6&amp;"]CF'!$L$3:$EO$3"),CL$22,INDIRECT("'["&amp;НАСТРОЙКИ!$D$6&amp;"]CF'!$L$18:$EO$18")),0))</f>
        <v>0</v>
      </c>
      <c r="CM61" s="35">
        <f ca="1">IF(НАСТРОЙКИ!$B$6&lt;&gt;"Да",0,IFERROR(SUMIF(INDIRECT("'["&amp;НАСТРОЙКИ!$D$6&amp;"]CF'!$L$3:$EO$3"),CM$22,INDIRECT("'["&amp;НАСТРОЙКИ!$D$6&amp;"]CF'!$L$18:$EO$18")),0))</f>
        <v>0</v>
      </c>
      <c r="CN61" s="35">
        <f ca="1">IF(НАСТРОЙКИ!$B$6&lt;&gt;"Да",0,IFERROR(SUMIF(INDIRECT("'["&amp;НАСТРОЙКИ!$D$6&amp;"]CF'!$L$3:$EO$3"),CN$22,INDIRECT("'["&amp;НАСТРОЙКИ!$D$6&amp;"]CF'!$L$18:$EO$18")),0))</f>
        <v>0</v>
      </c>
      <c r="CO61" s="35">
        <f ca="1">IF(НАСТРОЙКИ!$B$6&lt;&gt;"Да",0,IFERROR(SUMIF(INDIRECT("'["&amp;НАСТРОЙКИ!$D$6&amp;"]CF'!$L$3:$EO$3"),CO$22,INDIRECT("'["&amp;НАСТРОЙКИ!$D$6&amp;"]CF'!$L$18:$EO$18")),0))</f>
        <v>0</v>
      </c>
      <c r="CP61" s="35">
        <f ca="1">IF(НАСТРОЙКИ!$B$6&lt;&gt;"Да",0,IFERROR(SUMIF(INDIRECT("'["&amp;НАСТРОЙКИ!$D$6&amp;"]CF'!$L$3:$EO$3"),CP$22,INDIRECT("'["&amp;НАСТРОЙКИ!$D$6&amp;"]CF'!$L$18:$EO$18")),0))</f>
        <v>0</v>
      </c>
      <c r="CQ61" s="35">
        <f ca="1">IF(НАСТРОЙКИ!$B$6&lt;&gt;"Да",0,IFERROR(SUMIF(INDIRECT("'["&amp;НАСТРОЙКИ!$D$6&amp;"]CF'!$L$3:$EO$3"),CQ$22,INDIRECT("'["&amp;НАСТРОЙКИ!$D$6&amp;"]CF'!$L$18:$EO$18")),0))</f>
        <v>0</v>
      </c>
      <c r="CR61" s="35">
        <f ca="1">IF(НАСТРОЙКИ!$B$6&lt;&gt;"Да",0,IFERROR(SUMIF(INDIRECT("'["&amp;НАСТРОЙКИ!$D$6&amp;"]CF'!$L$3:$EO$3"),CR$22,INDIRECT("'["&amp;НАСТРОЙКИ!$D$6&amp;"]CF'!$L$18:$EO$18")),0))</f>
        <v>0</v>
      </c>
      <c r="CS61" s="35">
        <f ca="1">IF(НАСТРОЙКИ!$B$6&lt;&gt;"Да",0,IFERROR(SUMIF(INDIRECT("'["&amp;НАСТРОЙКИ!$D$6&amp;"]CF'!$L$3:$EO$3"),CS$22,INDIRECT("'["&amp;НАСТРОЙКИ!$D$6&amp;"]CF'!$L$18:$EO$18")),0))</f>
        <v>0</v>
      </c>
      <c r="CT61" s="35">
        <f ca="1">IF(НАСТРОЙКИ!$B$6&lt;&gt;"Да",0,IFERROR(SUMIF(INDIRECT("'["&amp;НАСТРОЙКИ!$D$6&amp;"]CF'!$L$3:$EO$3"),CT$22,INDIRECT("'["&amp;НАСТРОЙКИ!$D$6&amp;"]CF'!$L$18:$EO$18")),0))</f>
        <v>0</v>
      </c>
      <c r="CU61" s="35">
        <f ca="1">IF(НАСТРОЙКИ!$B$6&lt;&gt;"Да",0,IFERROR(SUMIF(INDIRECT("'["&amp;НАСТРОЙКИ!$D$6&amp;"]CF'!$L$3:$EO$3"),CU$22,INDIRECT("'["&amp;НАСТРОЙКИ!$D$6&amp;"]CF'!$L$18:$EO$18")),0))</f>
        <v>0</v>
      </c>
      <c r="CV61" s="35">
        <f ca="1">IF(НАСТРОЙКИ!$B$6&lt;&gt;"Да",0,IFERROR(SUMIF(INDIRECT("'["&amp;НАСТРОЙКИ!$D$6&amp;"]CF'!$L$3:$EO$3"),CV$22,INDIRECT("'["&amp;НАСТРОЙКИ!$D$6&amp;"]CF'!$L$18:$EO$18")),0))</f>
        <v>0</v>
      </c>
      <c r="CW61" s="35">
        <f ca="1">IF(НАСТРОЙКИ!$B$6&lt;&gt;"Да",0,IFERROR(SUMIF(INDIRECT("'["&amp;НАСТРОЙКИ!$D$6&amp;"]CF'!$L$3:$EO$3"),CW$22,INDIRECT("'["&amp;НАСТРОЙКИ!$D$6&amp;"]CF'!$L$18:$EO$18")),0))</f>
        <v>0</v>
      </c>
      <c r="CX61" s="35">
        <f ca="1">IF(НАСТРОЙКИ!$B$6&lt;&gt;"Да",0,IFERROR(SUMIF(INDIRECT("'["&amp;НАСТРОЙКИ!$D$6&amp;"]CF'!$L$3:$EO$3"),CX$22,INDIRECT("'["&amp;НАСТРОЙКИ!$D$6&amp;"]CF'!$L$18:$EO$18")),0))</f>
        <v>0</v>
      </c>
      <c r="CY61" s="35">
        <f ca="1">IF(НАСТРОЙКИ!$B$6&lt;&gt;"Да",0,IFERROR(SUMIF(INDIRECT("'["&amp;НАСТРОЙКИ!$D$6&amp;"]CF'!$L$3:$EO$3"),CY$22,INDIRECT("'["&amp;НАСТРОЙКИ!$D$6&amp;"]CF'!$L$18:$EO$18")),0))</f>
        <v>0</v>
      </c>
      <c r="CZ61" s="35">
        <f ca="1">IF(НАСТРОЙКИ!$B$6&lt;&gt;"Да",0,IFERROR(SUMIF(INDIRECT("'["&amp;НАСТРОЙКИ!$D$6&amp;"]CF'!$L$3:$EO$3"),CZ$22,INDIRECT("'["&amp;НАСТРОЙКИ!$D$6&amp;"]CF'!$L$18:$EO$18")),0))</f>
        <v>0</v>
      </c>
      <c r="DA61" s="35">
        <f ca="1">IF(НАСТРОЙКИ!$B$6&lt;&gt;"Да",0,IFERROR(SUMIF(INDIRECT("'["&amp;НАСТРОЙКИ!$D$6&amp;"]CF'!$L$3:$EO$3"),DA$22,INDIRECT("'["&amp;НАСТРОЙКИ!$D$6&amp;"]CF'!$L$18:$EO$18")),0))</f>
        <v>0</v>
      </c>
      <c r="DB61" s="35">
        <f ca="1">IF(НАСТРОЙКИ!$B$6&lt;&gt;"Да",0,IFERROR(SUMIF(INDIRECT("'["&amp;НАСТРОЙКИ!$D$6&amp;"]CF'!$L$3:$EO$3"),DB$22,INDIRECT("'["&amp;НАСТРОЙКИ!$D$6&amp;"]CF'!$L$18:$EO$18")),0))</f>
        <v>0</v>
      </c>
      <c r="DC61" s="35">
        <f ca="1">IF(НАСТРОЙКИ!$B$6&lt;&gt;"Да",0,IFERROR(SUMIF(INDIRECT("'["&amp;НАСТРОЙКИ!$D$6&amp;"]CF'!$L$3:$EO$3"),DC$22,INDIRECT("'["&amp;НАСТРОЙКИ!$D$6&amp;"]CF'!$L$18:$EO$18")),0))</f>
        <v>0</v>
      </c>
      <c r="DD61" s="35">
        <f ca="1">IF(НАСТРОЙКИ!$B$6&lt;&gt;"Да",0,IFERROR(SUMIF(INDIRECT("'["&amp;НАСТРОЙКИ!$D$6&amp;"]CF'!$L$3:$EO$3"),DD$22,INDIRECT("'["&amp;НАСТРОЙКИ!$D$6&amp;"]CF'!$L$18:$EO$18")),0))</f>
        <v>0</v>
      </c>
      <c r="DE61" s="35">
        <f ca="1">IF(НАСТРОЙКИ!$B$6&lt;&gt;"Да",0,IFERROR(SUMIF(INDIRECT("'["&amp;НАСТРОЙКИ!$D$6&amp;"]CF'!$L$3:$EO$3"),DE$22,INDIRECT("'["&amp;НАСТРОЙКИ!$D$6&amp;"]CF'!$L$18:$EO$18")),0))</f>
        <v>0</v>
      </c>
      <c r="DF61" s="35">
        <f ca="1">IF(НАСТРОЙКИ!$B$6&lt;&gt;"Да",0,IFERROR(SUMIF(INDIRECT("'["&amp;НАСТРОЙКИ!$D$6&amp;"]CF'!$L$3:$EO$3"),DF$22,INDIRECT("'["&amp;НАСТРОЙКИ!$D$6&amp;"]CF'!$L$18:$EO$18")),0))</f>
        <v>0</v>
      </c>
    </row>
    <row r="62" spans="1:110">
      <c r="A62" s="34" t="s">
        <v>124</v>
      </c>
      <c r="B62" s="34" t="s">
        <v>58</v>
      </c>
      <c r="C62" s="35">
        <f ca="1">IF(НАСТРОЙКИ!$B$6&lt;&gt;"Да",0,IFERROR(SUMIF(INDIRECT("'["&amp;НАСТРОЙКИ!$D$6&amp;"]CF'!$L$3:$EO$3"),C$22,INDIRECT("'["&amp;НАСТРОЙКИ!$D$6&amp;"]CF'!$L$20:$EO$20")),0))</f>
        <v>0</v>
      </c>
      <c r="D62" s="35">
        <f ca="1">IF(НАСТРОЙКИ!$B$6&lt;&gt;"Да",0,IFERROR(SUMIF(INDIRECT("'["&amp;НАСТРОЙКИ!$D$6&amp;"]CF'!$L$3:$EO$3"),D$22,INDIRECT("'["&amp;НАСТРОЙКИ!$D$6&amp;"]CF'!$L$20:$EO$20")),0))</f>
        <v>0</v>
      </c>
      <c r="E62" s="35">
        <f ca="1">IF(НАСТРОЙКИ!$B$6&lt;&gt;"Да",0,IFERROR(SUMIF(INDIRECT("'["&amp;НАСТРОЙКИ!$D$6&amp;"]CF'!$L$3:$EO$3"),E$22,INDIRECT("'["&amp;НАСТРОЙКИ!$D$6&amp;"]CF'!$L$20:$EO$20")),0))</f>
        <v>0</v>
      </c>
      <c r="F62" s="35">
        <f ca="1">IF(НАСТРОЙКИ!$B$6&lt;&gt;"Да",0,IFERROR(SUMIF(INDIRECT("'["&amp;НАСТРОЙКИ!$D$6&amp;"]CF'!$L$3:$EO$3"),F$22,INDIRECT("'["&amp;НАСТРОЙКИ!$D$6&amp;"]CF'!$L$20:$EO$20")),0))</f>
        <v>0</v>
      </c>
      <c r="G62" s="35">
        <f ca="1">IF(НАСТРОЙКИ!$B$6&lt;&gt;"Да",0,IFERROR(SUMIF(INDIRECT("'["&amp;НАСТРОЙКИ!$D$6&amp;"]CF'!$L$3:$EO$3"),G$22,INDIRECT("'["&amp;НАСТРОЙКИ!$D$6&amp;"]CF'!$L$20:$EO$20")),0))</f>
        <v>0</v>
      </c>
      <c r="H62" s="35">
        <f ca="1">IF(НАСТРОЙКИ!$B$6&lt;&gt;"Да",0,IFERROR(SUMIF(INDIRECT("'["&amp;НАСТРОЙКИ!$D$6&amp;"]CF'!$L$3:$EO$3"),H$22,INDIRECT("'["&amp;НАСТРОЙКИ!$D$6&amp;"]CF'!$L$20:$EO$20")),0))</f>
        <v>0</v>
      </c>
      <c r="I62" s="35">
        <f ca="1">IF(НАСТРОЙКИ!$B$6&lt;&gt;"Да",0,IFERROR(SUMIF(INDIRECT("'["&amp;НАСТРОЙКИ!$D$6&amp;"]CF'!$L$3:$EO$3"),I$22,INDIRECT("'["&amp;НАСТРОЙКИ!$D$6&amp;"]CF'!$L$20:$EO$20")),0))</f>
        <v>0</v>
      </c>
      <c r="J62" s="35">
        <f ca="1">IF(НАСТРОЙКИ!$B$6&lt;&gt;"Да",0,IFERROR(SUMIF(INDIRECT("'["&amp;НАСТРОЙКИ!$D$6&amp;"]CF'!$L$3:$EO$3"),J$22,INDIRECT("'["&amp;НАСТРОЙКИ!$D$6&amp;"]CF'!$L$20:$EO$20")),0))</f>
        <v>0</v>
      </c>
      <c r="K62" s="35">
        <f ca="1">IF(НАСТРОЙКИ!$B$6&lt;&gt;"Да",0,IFERROR(SUMIF(INDIRECT("'["&amp;НАСТРОЙКИ!$D$6&amp;"]CF'!$L$3:$EO$3"),K$22,INDIRECT("'["&amp;НАСТРОЙКИ!$D$6&amp;"]CF'!$L$20:$EO$20")),0))</f>
        <v>0</v>
      </c>
      <c r="L62" s="35">
        <f ca="1">IF(НАСТРОЙКИ!$B$6&lt;&gt;"Да",0,IFERROR(SUMIF(INDIRECT("'["&amp;НАСТРОЙКИ!$D$6&amp;"]CF'!$L$3:$EO$3"),L$22,INDIRECT("'["&amp;НАСТРОЙКИ!$D$6&amp;"]CF'!$L$20:$EO$20")),0))</f>
        <v>0</v>
      </c>
      <c r="M62" s="35">
        <f ca="1">IF(НАСТРОЙКИ!$B$6&lt;&gt;"Да",0,IFERROR(SUMIF(INDIRECT("'["&amp;НАСТРОЙКИ!$D$6&amp;"]CF'!$L$3:$EO$3"),M$22,INDIRECT("'["&amp;НАСТРОЙКИ!$D$6&amp;"]CF'!$L$20:$EO$20")),0))</f>
        <v>0</v>
      </c>
      <c r="N62" s="35">
        <f ca="1">IF(НАСТРОЙКИ!$B$6&lt;&gt;"Да",0,IFERROR(SUMIF(INDIRECT("'["&amp;НАСТРОЙКИ!$D$6&amp;"]CF'!$L$3:$EO$3"),N$22,INDIRECT("'["&amp;НАСТРОЙКИ!$D$6&amp;"]CF'!$L$20:$EO$20")),0))</f>
        <v>0</v>
      </c>
      <c r="O62" s="35">
        <f ca="1">IF(НАСТРОЙКИ!$B$6&lt;&gt;"Да",0,IFERROR(SUMIF(INDIRECT("'["&amp;НАСТРОЙКИ!$D$6&amp;"]CF'!$L$3:$EO$3"),O$22,INDIRECT("'["&amp;НАСТРОЙКИ!$D$6&amp;"]CF'!$L$20:$EO$20")),0))</f>
        <v>0</v>
      </c>
      <c r="P62" s="35">
        <f ca="1">IF(НАСТРОЙКИ!$B$6&lt;&gt;"Да",0,IFERROR(SUMIF(INDIRECT("'["&amp;НАСТРОЙКИ!$D$6&amp;"]CF'!$L$3:$EO$3"),P$22,INDIRECT("'["&amp;НАСТРОЙКИ!$D$6&amp;"]CF'!$L$20:$EO$20")),0))</f>
        <v>0</v>
      </c>
      <c r="Q62" s="35">
        <f ca="1">IF(НАСТРОЙКИ!$B$6&lt;&gt;"Да",0,IFERROR(SUMIF(INDIRECT("'["&amp;НАСТРОЙКИ!$D$6&amp;"]CF'!$L$3:$EO$3"),Q$22,INDIRECT("'["&amp;НАСТРОЙКИ!$D$6&amp;"]CF'!$L$20:$EO$20")),0))</f>
        <v>0</v>
      </c>
      <c r="R62" s="35">
        <f ca="1">IF(НАСТРОЙКИ!$B$6&lt;&gt;"Да",0,IFERROR(SUMIF(INDIRECT("'["&amp;НАСТРОЙКИ!$D$6&amp;"]CF'!$L$3:$EO$3"),R$22,INDIRECT("'["&amp;НАСТРОЙКИ!$D$6&amp;"]CF'!$L$20:$EO$20")),0))</f>
        <v>0</v>
      </c>
      <c r="S62" s="35">
        <f ca="1">IF(НАСТРОЙКИ!$B$6&lt;&gt;"Да",0,IFERROR(SUMIF(INDIRECT("'["&amp;НАСТРОЙКИ!$D$6&amp;"]CF'!$L$3:$EO$3"),S$22,INDIRECT("'["&amp;НАСТРОЙКИ!$D$6&amp;"]CF'!$L$20:$EO$20")),0))</f>
        <v>0</v>
      </c>
      <c r="T62" s="35">
        <f ca="1">IF(НАСТРОЙКИ!$B$6&lt;&gt;"Да",0,IFERROR(SUMIF(INDIRECT("'["&amp;НАСТРОЙКИ!$D$6&amp;"]CF'!$L$3:$EO$3"),T$22,INDIRECT("'["&amp;НАСТРОЙКИ!$D$6&amp;"]CF'!$L$20:$EO$20")),0))</f>
        <v>0</v>
      </c>
      <c r="U62" s="35">
        <f ca="1">IF(НАСТРОЙКИ!$B$6&lt;&gt;"Да",0,IFERROR(SUMIF(INDIRECT("'["&amp;НАСТРОЙКИ!$D$6&amp;"]CF'!$L$3:$EO$3"),U$22,INDIRECT("'["&amp;НАСТРОЙКИ!$D$6&amp;"]CF'!$L$20:$EO$20")),0))</f>
        <v>0</v>
      </c>
      <c r="V62" s="35">
        <f ca="1">IF(НАСТРОЙКИ!$B$6&lt;&gt;"Да",0,IFERROR(SUMIF(INDIRECT("'["&amp;НАСТРОЙКИ!$D$6&amp;"]CF'!$L$3:$EO$3"),V$22,INDIRECT("'["&amp;НАСТРОЙКИ!$D$6&amp;"]CF'!$L$20:$EO$20")),0))</f>
        <v>0</v>
      </c>
      <c r="W62" s="35">
        <f ca="1">IF(НАСТРОЙКИ!$B$6&lt;&gt;"Да",0,IFERROR(SUMIF(INDIRECT("'["&amp;НАСТРОЙКИ!$D$6&amp;"]CF'!$L$3:$EO$3"),W$22,INDIRECT("'["&amp;НАСТРОЙКИ!$D$6&amp;"]CF'!$L$20:$EO$20")),0))</f>
        <v>0</v>
      </c>
      <c r="X62" s="35">
        <f ca="1">IF(НАСТРОЙКИ!$B$6&lt;&gt;"Да",0,IFERROR(SUMIF(INDIRECT("'["&amp;НАСТРОЙКИ!$D$6&amp;"]CF'!$L$3:$EO$3"),X$22,INDIRECT("'["&amp;НАСТРОЙКИ!$D$6&amp;"]CF'!$L$20:$EO$20")),0))</f>
        <v>0</v>
      </c>
      <c r="Y62" s="35">
        <f ca="1">IF(НАСТРОЙКИ!$B$6&lt;&gt;"Да",0,IFERROR(SUMIF(INDIRECT("'["&amp;НАСТРОЙКИ!$D$6&amp;"]CF'!$L$3:$EO$3"),Y$22,INDIRECT("'["&amp;НАСТРОЙКИ!$D$6&amp;"]CF'!$L$20:$EO$20")),0))</f>
        <v>0</v>
      </c>
      <c r="Z62" s="35">
        <f ca="1">IF(НАСТРОЙКИ!$B$6&lt;&gt;"Да",0,IFERROR(SUMIF(INDIRECT("'["&amp;НАСТРОЙКИ!$D$6&amp;"]CF'!$L$3:$EO$3"),Z$22,INDIRECT("'["&amp;НАСТРОЙКИ!$D$6&amp;"]CF'!$L$20:$EO$20")),0))</f>
        <v>0</v>
      </c>
      <c r="AA62" s="35">
        <f ca="1">IF(НАСТРОЙКИ!$B$6&lt;&gt;"Да",0,IFERROR(SUMIF(INDIRECT("'["&amp;НАСТРОЙКИ!$D$6&amp;"]CF'!$L$3:$EO$3"),AA$22,INDIRECT("'["&amp;НАСТРОЙКИ!$D$6&amp;"]CF'!$L$20:$EO$20")),0))</f>
        <v>0</v>
      </c>
      <c r="AB62" s="35">
        <f ca="1">IF(НАСТРОЙКИ!$B$6&lt;&gt;"Да",0,IFERROR(SUMIF(INDIRECT("'["&amp;НАСТРОЙКИ!$D$6&amp;"]CF'!$L$3:$EO$3"),AB$22,INDIRECT("'["&amp;НАСТРОЙКИ!$D$6&amp;"]CF'!$L$20:$EO$20")),0))</f>
        <v>0</v>
      </c>
      <c r="AC62" s="35">
        <f ca="1">IF(НАСТРОЙКИ!$B$6&lt;&gt;"Да",0,IFERROR(SUMIF(INDIRECT("'["&amp;НАСТРОЙКИ!$D$6&amp;"]CF'!$L$3:$EO$3"),AC$22,INDIRECT("'["&amp;НАСТРОЙКИ!$D$6&amp;"]CF'!$L$20:$EO$20")),0))</f>
        <v>0</v>
      </c>
      <c r="AD62" s="35">
        <f ca="1">IF(НАСТРОЙКИ!$B$6&lt;&gt;"Да",0,IFERROR(SUMIF(INDIRECT("'["&amp;НАСТРОЙКИ!$D$6&amp;"]CF'!$L$3:$EO$3"),AD$22,INDIRECT("'["&amp;НАСТРОЙКИ!$D$6&amp;"]CF'!$L$20:$EO$20")),0))</f>
        <v>0</v>
      </c>
      <c r="AE62" s="35">
        <f ca="1">IF(НАСТРОЙКИ!$B$6&lt;&gt;"Да",0,IFERROR(SUMIF(INDIRECT("'["&amp;НАСТРОЙКИ!$D$6&amp;"]CF'!$L$3:$EO$3"),AE$22,INDIRECT("'["&amp;НАСТРОЙКИ!$D$6&amp;"]CF'!$L$20:$EO$20")),0))</f>
        <v>0</v>
      </c>
      <c r="AF62" s="35">
        <f ca="1">IF(НАСТРОЙКИ!$B$6&lt;&gt;"Да",0,IFERROR(SUMIF(INDIRECT("'["&amp;НАСТРОЙКИ!$D$6&amp;"]CF'!$L$3:$EO$3"),AF$22,INDIRECT("'["&amp;НАСТРОЙКИ!$D$6&amp;"]CF'!$L$20:$EO$20")),0))</f>
        <v>0</v>
      </c>
      <c r="AG62" s="35">
        <f ca="1">IF(НАСТРОЙКИ!$B$6&lt;&gt;"Да",0,IFERROR(SUMIF(INDIRECT("'["&amp;НАСТРОЙКИ!$D$6&amp;"]CF'!$L$3:$EO$3"),AG$22,INDIRECT("'["&amp;НАСТРОЙКИ!$D$6&amp;"]CF'!$L$20:$EO$20")),0))</f>
        <v>0</v>
      </c>
      <c r="AH62" s="35">
        <f ca="1">IF(НАСТРОЙКИ!$B$6&lt;&gt;"Да",0,IFERROR(SUMIF(INDIRECT("'["&amp;НАСТРОЙКИ!$D$6&amp;"]CF'!$L$3:$EO$3"),AH$22,INDIRECT("'["&amp;НАСТРОЙКИ!$D$6&amp;"]CF'!$L$20:$EO$20")),0))</f>
        <v>0</v>
      </c>
      <c r="AI62" s="35">
        <f ca="1">IF(НАСТРОЙКИ!$B$6&lt;&gt;"Да",0,IFERROR(SUMIF(INDIRECT("'["&amp;НАСТРОЙКИ!$D$6&amp;"]CF'!$L$3:$EO$3"),AI$22,INDIRECT("'["&amp;НАСТРОЙКИ!$D$6&amp;"]CF'!$L$20:$EO$20")),0))</f>
        <v>0</v>
      </c>
      <c r="AJ62" s="35">
        <f ca="1">IF(НАСТРОЙКИ!$B$6&lt;&gt;"Да",0,IFERROR(SUMIF(INDIRECT("'["&amp;НАСТРОЙКИ!$D$6&amp;"]CF'!$L$3:$EO$3"),AJ$22,INDIRECT("'["&amp;НАСТРОЙКИ!$D$6&amp;"]CF'!$L$20:$EO$20")),0))</f>
        <v>0</v>
      </c>
      <c r="AK62" s="35">
        <f ca="1">IF(НАСТРОЙКИ!$B$6&lt;&gt;"Да",0,IFERROR(SUMIF(INDIRECT("'["&amp;НАСТРОЙКИ!$D$6&amp;"]CF'!$L$3:$EO$3"),AK$22,INDIRECT("'["&amp;НАСТРОЙКИ!$D$6&amp;"]CF'!$L$20:$EO$20")),0))</f>
        <v>0</v>
      </c>
      <c r="AL62" s="35">
        <f ca="1">IF(НАСТРОЙКИ!$B$6&lt;&gt;"Да",0,IFERROR(SUMIF(INDIRECT("'["&amp;НАСТРОЙКИ!$D$6&amp;"]CF'!$L$3:$EO$3"),AL$22,INDIRECT("'["&amp;НАСТРОЙКИ!$D$6&amp;"]CF'!$L$20:$EO$20")),0))</f>
        <v>0</v>
      </c>
      <c r="AM62" s="35">
        <f ca="1">IF(НАСТРОЙКИ!$B$6&lt;&gt;"Да",0,IFERROR(SUMIF(INDIRECT("'["&amp;НАСТРОЙКИ!$D$6&amp;"]CF'!$L$3:$EO$3"),AM$22,INDIRECT("'["&amp;НАСТРОЙКИ!$D$6&amp;"]CF'!$L$20:$EO$20")),0))</f>
        <v>0</v>
      </c>
      <c r="AN62" s="35">
        <f ca="1">IF(НАСТРОЙКИ!$B$6&lt;&gt;"Да",0,IFERROR(SUMIF(INDIRECT("'["&amp;НАСТРОЙКИ!$D$6&amp;"]CF'!$L$3:$EO$3"),AN$22,INDIRECT("'["&amp;НАСТРОЙКИ!$D$6&amp;"]CF'!$L$20:$EO$20")),0))</f>
        <v>0</v>
      </c>
      <c r="AO62" s="35">
        <f ca="1">IF(НАСТРОЙКИ!$B$6&lt;&gt;"Да",0,IFERROR(SUMIF(INDIRECT("'["&amp;НАСТРОЙКИ!$D$6&amp;"]CF'!$L$3:$EO$3"),AO$22,INDIRECT("'["&amp;НАСТРОЙКИ!$D$6&amp;"]CF'!$L$20:$EO$20")),0))</f>
        <v>0</v>
      </c>
      <c r="AP62" s="35">
        <f ca="1">IF(НАСТРОЙКИ!$B$6&lt;&gt;"Да",0,IFERROR(SUMIF(INDIRECT("'["&amp;НАСТРОЙКИ!$D$6&amp;"]CF'!$L$3:$EO$3"),AP$22,INDIRECT("'["&amp;НАСТРОЙКИ!$D$6&amp;"]CF'!$L$20:$EO$20")),0))</f>
        <v>0</v>
      </c>
      <c r="AQ62" s="35">
        <f ca="1">IF(НАСТРОЙКИ!$B$6&lt;&gt;"Да",0,IFERROR(SUMIF(INDIRECT("'["&amp;НАСТРОЙКИ!$D$6&amp;"]CF'!$L$3:$EO$3"),AQ$22,INDIRECT("'["&amp;НАСТРОЙКИ!$D$6&amp;"]CF'!$L$20:$EO$20")),0))</f>
        <v>0</v>
      </c>
      <c r="AR62" s="35">
        <f ca="1">IF(НАСТРОЙКИ!$B$6&lt;&gt;"Да",0,IFERROR(SUMIF(INDIRECT("'["&amp;НАСТРОЙКИ!$D$6&amp;"]CF'!$L$3:$EO$3"),AR$22,INDIRECT("'["&amp;НАСТРОЙКИ!$D$6&amp;"]CF'!$L$20:$EO$20")),0))</f>
        <v>0</v>
      </c>
      <c r="AS62" s="35">
        <f ca="1">IF(НАСТРОЙКИ!$B$6&lt;&gt;"Да",0,IFERROR(SUMIF(INDIRECT("'["&amp;НАСТРОЙКИ!$D$6&amp;"]CF'!$L$3:$EO$3"),AS$22,INDIRECT("'["&amp;НАСТРОЙКИ!$D$6&amp;"]CF'!$L$20:$EO$20")),0))</f>
        <v>0</v>
      </c>
      <c r="AT62" s="35">
        <f ca="1">IF(НАСТРОЙКИ!$B$6&lt;&gt;"Да",0,IFERROR(SUMIF(INDIRECT("'["&amp;НАСТРОЙКИ!$D$6&amp;"]CF'!$L$3:$EO$3"),AT$22,INDIRECT("'["&amp;НАСТРОЙКИ!$D$6&amp;"]CF'!$L$20:$EO$20")),0))</f>
        <v>0</v>
      </c>
      <c r="AU62" s="35">
        <f ca="1">IF(НАСТРОЙКИ!$B$6&lt;&gt;"Да",0,IFERROR(SUMIF(INDIRECT("'["&amp;НАСТРОЙКИ!$D$6&amp;"]CF'!$L$3:$EO$3"),AU$22,INDIRECT("'["&amp;НАСТРОЙКИ!$D$6&amp;"]CF'!$L$20:$EO$20")),0))</f>
        <v>0</v>
      </c>
      <c r="AV62" s="35">
        <f ca="1">IF(НАСТРОЙКИ!$B$6&lt;&gt;"Да",0,IFERROR(SUMIF(INDIRECT("'["&amp;НАСТРОЙКИ!$D$6&amp;"]CF'!$L$3:$EO$3"),AV$22,INDIRECT("'["&amp;НАСТРОЙКИ!$D$6&amp;"]CF'!$L$20:$EO$20")),0))</f>
        <v>0</v>
      </c>
      <c r="AW62" s="35">
        <f ca="1">IF(НАСТРОЙКИ!$B$6&lt;&gt;"Да",0,IFERROR(SUMIF(INDIRECT("'["&amp;НАСТРОЙКИ!$D$6&amp;"]CF'!$L$3:$EO$3"),AW$22,INDIRECT("'["&amp;НАСТРОЙКИ!$D$6&amp;"]CF'!$L$20:$EO$20")),0))</f>
        <v>0</v>
      </c>
      <c r="AX62" s="35">
        <f ca="1">IF(НАСТРОЙКИ!$B$6&lt;&gt;"Да",0,IFERROR(SUMIF(INDIRECT("'["&amp;НАСТРОЙКИ!$D$6&amp;"]CF'!$L$3:$EO$3"),AX$22,INDIRECT("'["&amp;НАСТРОЙКИ!$D$6&amp;"]CF'!$L$20:$EO$20")),0))</f>
        <v>0</v>
      </c>
      <c r="AY62" s="35">
        <f ca="1">IF(НАСТРОЙКИ!$B$6&lt;&gt;"Да",0,IFERROR(SUMIF(INDIRECT("'["&amp;НАСТРОЙКИ!$D$6&amp;"]CF'!$L$3:$EO$3"),AY$22,INDIRECT("'["&amp;НАСТРОЙКИ!$D$6&amp;"]CF'!$L$20:$EO$20")),0))</f>
        <v>0</v>
      </c>
      <c r="AZ62" s="35">
        <f ca="1">IF(НАСТРОЙКИ!$B$6&lt;&gt;"Да",0,IFERROR(SUMIF(INDIRECT("'["&amp;НАСТРОЙКИ!$D$6&amp;"]CF'!$L$3:$EO$3"),AZ$22,INDIRECT("'["&amp;НАСТРОЙКИ!$D$6&amp;"]CF'!$L$20:$EO$20")),0))</f>
        <v>0</v>
      </c>
      <c r="BA62" s="35">
        <f ca="1">IF(НАСТРОЙКИ!$B$6&lt;&gt;"Да",0,IFERROR(SUMIF(INDIRECT("'["&amp;НАСТРОЙКИ!$D$6&amp;"]CF'!$L$3:$EO$3"),BA$22,INDIRECT("'["&amp;НАСТРОЙКИ!$D$6&amp;"]CF'!$L$20:$EO$20")),0))</f>
        <v>0</v>
      </c>
      <c r="BB62" s="35">
        <f ca="1">IF(НАСТРОЙКИ!$B$6&lt;&gt;"Да",0,IFERROR(SUMIF(INDIRECT("'["&amp;НАСТРОЙКИ!$D$6&amp;"]CF'!$L$3:$EO$3"),BB$22,INDIRECT("'["&amp;НАСТРОЙКИ!$D$6&amp;"]CF'!$L$20:$EO$20")),0))</f>
        <v>0</v>
      </c>
      <c r="BC62" s="35">
        <f ca="1">IF(НАСТРОЙКИ!$B$6&lt;&gt;"Да",0,IFERROR(SUMIF(INDIRECT("'["&amp;НАСТРОЙКИ!$D$6&amp;"]CF'!$L$3:$EO$3"),BC$22,INDIRECT("'["&amp;НАСТРОЙКИ!$D$6&amp;"]CF'!$L$20:$EO$20")),0))</f>
        <v>0</v>
      </c>
      <c r="BD62" s="35">
        <f ca="1">IF(НАСТРОЙКИ!$B$6&lt;&gt;"Да",0,IFERROR(SUMIF(INDIRECT("'["&amp;НАСТРОЙКИ!$D$6&amp;"]CF'!$L$3:$EO$3"),BD$22,INDIRECT("'["&amp;НАСТРОЙКИ!$D$6&amp;"]CF'!$L$20:$EO$20")),0))</f>
        <v>0</v>
      </c>
      <c r="BE62" s="35">
        <f ca="1">IF(НАСТРОЙКИ!$B$6&lt;&gt;"Да",0,IFERROR(SUMIF(INDIRECT("'["&amp;НАСТРОЙКИ!$D$6&amp;"]CF'!$L$3:$EO$3"),BE$22,INDIRECT("'["&amp;НАСТРОЙКИ!$D$6&amp;"]CF'!$L$20:$EO$20")),0))</f>
        <v>0</v>
      </c>
      <c r="BF62" s="35">
        <f ca="1">IF(НАСТРОЙКИ!$B$6&lt;&gt;"Да",0,IFERROR(SUMIF(INDIRECT("'["&amp;НАСТРОЙКИ!$D$6&amp;"]CF'!$L$3:$EO$3"),BF$22,INDIRECT("'["&amp;НАСТРОЙКИ!$D$6&amp;"]CF'!$L$20:$EO$20")),0))</f>
        <v>0</v>
      </c>
      <c r="BG62" s="35">
        <f ca="1">IF(НАСТРОЙКИ!$B$6&lt;&gt;"Да",0,IFERROR(SUMIF(INDIRECT("'["&amp;НАСТРОЙКИ!$D$6&amp;"]CF'!$L$3:$EO$3"),BG$22,INDIRECT("'["&amp;НАСТРОЙКИ!$D$6&amp;"]CF'!$L$20:$EO$20")),0))</f>
        <v>0</v>
      </c>
      <c r="BH62" s="35">
        <f ca="1">IF(НАСТРОЙКИ!$B$6&lt;&gt;"Да",0,IFERROR(SUMIF(INDIRECT("'["&amp;НАСТРОЙКИ!$D$6&amp;"]CF'!$L$3:$EO$3"),BH$22,INDIRECT("'["&amp;НАСТРОЙКИ!$D$6&amp;"]CF'!$L$20:$EO$20")),0))</f>
        <v>0</v>
      </c>
      <c r="BI62" s="35">
        <f ca="1">IF(НАСТРОЙКИ!$B$6&lt;&gt;"Да",0,IFERROR(SUMIF(INDIRECT("'["&amp;НАСТРОЙКИ!$D$6&amp;"]CF'!$L$3:$EO$3"),BI$22,INDIRECT("'["&amp;НАСТРОЙКИ!$D$6&amp;"]CF'!$L$20:$EO$20")),0))</f>
        <v>0</v>
      </c>
      <c r="BJ62" s="35">
        <f ca="1">IF(НАСТРОЙКИ!$B$6&lt;&gt;"Да",0,IFERROR(SUMIF(INDIRECT("'["&amp;НАСТРОЙКИ!$D$6&amp;"]CF'!$L$3:$EO$3"),BJ$22,INDIRECT("'["&amp;НАСТРОЙКИ!$D$6&amp;"]CF'!$L$20:$EO$20")),0))</f>
        <v>0</v>
      </c>
      <c r="BK62" s="35">
        <f ca="1">IF(НАСТРОЙКИ!$B$6&lt;&gt;"Да",0,IFERROR(SUMIF(INDIRECT("'["&amp;НАСТРОЙКИ!$D$6&amp;"]CF'!$L$3:$EO$3"),BK$22,INDIRECT("'["&amp;НАСТРОЙКИ!$D$6&amp;"]CF'!$L$20:$EO$20")),0))</f>
        <v>0</v>
      </c>
      <c r="BL62" s="35">
        <f ca="1">IF(НАСТРОЙКИ!$B$6&lt;&gt;"Да",0,IFERROR(SUMIF(INDIRECT("'["&amp;НАСТРОЙКИ!$D$6&amp;"]CF'!$L$3:$EO$3"),BL$22,INDIRECT("'["&amp;НАСТРОЙКИ!$D$6&amp;"]CF'!$L$20:$EO$20")),0))</f>
        <v>0</v>
      </c>
      <c r="BM62" s="35">
        <f ca="1">IF(НАСТРОЙКИ!$B$6&lt;&gt;"Да",0,IFERROR(SUMIF(INDIRECT("'["&amp;НАСТРОЙКИ!$D$6&amp;"]CF'!$L$3:$EO$3"),BM$22,INDIRECT("'["&amp;НАСТРОЙКИ!$D$6&amp;"]CF'!$L$20:$EO$20")),0))</f>
        <v>0</v>
      </c>
      <c r="BN62" s="35">
        <f ca="1">IF(НАСТРОЙКИ!$B$6&lt;&gt;"Да",0,IFERROR(SUMIF(INDIRECT("'["&amp;НАСТРОЙКИ!$D$6&amp;"]CF'!$L$3:$EO$3"),BN$22,INDIRECT("'["&amp;НАСТРОЙКИ!$D$6&amp;"]CF'!$L$20:$EO$20")),0))</f>
        <v>0</v>
      </c>
      <c r="BO62" s="35">
        <f ca="1">IF(НАСТРОЙКИ!$B$6&lt;&gt;"Да",0,IFERROR(SUMIF(INDIRECT("'["&amp;НАСТРОЙКИ!$D$6&amp;"]CF'!$L$3:$EO$3"),BO$22,INDIRECT("'["&amp;НАСТРОЙКИ!$D$6&amp;"]CF'!$L$20:$EO$20")),0))</f>
        <v>0</v>
      </c>
      <c r="BP62" s="35">
        <f ca="1">IF(НАСТРОЙКИ!$B$6&lt;&gt;"Да",0,IFERROR(SUMIF(INDIRECT("'["&amp;НАСТРОЙКИ!$D$6&amp;"]CF'!$L$3:$EO$3"),BP$22,INDIRECT("'["&amp;НАСТРОЙКИ!$D$6&amp;"]CF'!$L$20:$EO$20")),0))</f>
        <v>0</v>
      </c>
      <c r="BQ62" s="35">
        <f ca="1">IF(НАСТРОЙКИ!$B$6&lt;&gt;"Да",0,IFERROR(SUMIF(INDIRECT("'["&amp;НАСТРОЙКИ!$D$6&amp;"]CF'!$L$3:$EO$3"),BQ$22,INDIRECT("'["&amp;НАСТРОЙКИ!$D$6&amp;"]CF'!$L$20:$EO$20")),0))</f>
        <v>0</v>
      </c>
      <c r="BR62" s="35">
        <f ca="1">IF(НАСТРОЙКИ!$B$6&lt;&gt;"Да",0,IFERROR(SUMIF(INDIRECT("'["&amp;НАСТРОЙКИ!$D$6&amp;"]CF'!$L$3:$EO$3"),BR$22,INDIRECT("'["&amp;НАСТРОЙКИ!$D$6&amp;"]CF'!$L$20:$EO$20")),0))</f>
        <v>0</v>
      </c>
      <c r="BS62" s="35">
        <f ca="1">IF(НАСТРОЙКИ!$B$6&lt;&gt;"Да",0,IFERROR(SUMIF(INDIRECT("'["&amp;НАСТРОЙКИ!$D$6&amp;"]CF'!$L$3:$EO$3"),BS$22,INDIRECT("'["&amp;НАСТРОЙКИ!$D$6&amp;"]CF'!$L$20:$EO$20")),0))</f>
        <v>0</v>
      </c>
      <c r="BT62" s="35">
        <f ca="1">IF(НАСТРОЙКИ!$B$6&lt;&gt;"Да",0,IFERROR(SUMIF(INDIRECT("'["&amp;НАСТРОЙКИ!$D$6&amp;"]CF'!$L$3:$EO$3"),BT$22,INDIRECT("'["&amp;НАСТРОЙКИ!$D$6&amp;"]CF'!$L$20:$EO$20")),0))</f>
        <v>0</v>
      </c>
      <c r="BU62" s="35">
        <f ca="1">IF(НАСТРОЙКИ!$B$6&lt;&gt;"Да",0,IFERROR(SUMIF(INDIRECT("'["&amp;НАСТРОЙКИ!$D$6&amp;"]CF'!$L$3:$EO$3"),BU$22,INDIRECT("'["&amp;НАСТРОЙКИ!$D$6&amp;"]CF'!$L$20:$EO$20")),0))</f>
        <v>0</v>
      </c>
      <c r="BV62" s="35">
        <f ca="1">IF(НАСТРОЙКИ!$B$6&lt;&gt;"Да",0,IFERROR(SUMIF(INDIRECT("'["&amp;НАСТРОЙКИ!$D$6&amp;"]CF'!$L$3:$EO$3"),BV$22,INDIRECT("'["&amp;НАСТРОЙКИ!$D$6&amp;"]CF'!$L$20:$EO$20")),0))</f>
        <v>0</v>
      </c>
      <c r="BW62" s="35">
        <f ca="1">IF(НАСТРОЙКИ!$B$6&lt;&gt;"Да",0,IFERROR(SUMIF(INDIRECT("'["&amp;НАСТРОЙКИ!$D$6&amp;"]CF'!$L$3:$EO$3"),BW$22,INDIRECT("'["&amp;НАСТРОЙКИ!$D$6&amp;"]CF'!$L$20:$EO$20")),0))</f>
        <v>0</v>
      </c>
      <c r="BX62" s="35">
        <f ca="1">IF(НАСТРОЙКИ!$B$6&lt;&gt;"Да",0,IFERROR(SUMIF(INDIRECT("'["&amp;НАСТРОЙКИ!$D$6&amp;"]CF'!$L$3:$EO$3"),BX$22,INDIRECT("'["&amp;НАСТРОЙКИ!$D$6&amp;"]CF'!$L$20:$EO$20")),0))</f>
        <v>0</v>
      </c>
      <c r="BY62" s="35">
        <f ca="1">IF(НАСТРОЙКИ!$B$6&lt;&gt;"Да",0,IFERROR(SUMIF(INDIRECT("'["&amp;НАСТРОЙКИ!$D$6&amp;"]CF'!$L$3:$EO$3"),BY$22,INDIRECT("'["&amp;НАСТРОЙКИ!$D$6&amp;"]CF'!$L$20:$EO$20")),0))</f>
        <v>0</v>
      </c>
      <c r="BZ62" s="35">
        <f ca="1">IF(НАСТРОЙКИ!$B$6&lt;&gt;"Да",0,IFERROR(SUMIF(INDIRECT("'["&amp;НАСТРОЙКИ!$D$6&amp;"]CF'!$L$3:$EO$3"),BZ$22,INDIRECT("'["&amp;НАСТРОЙКИ!$D$6&amp;"]CF'!$L$20:$EO$20")),0))</f>
        <v>0</v>
      </c>
      <c r="CA62" s="35">
        <f ca="1">IF(НАСТРОЙКИ!$B$6&lt;&gt;"Да",0,IFERROR(SUMIF(INDIRECT("'["&amp;НАСТРОЙКИ!$D$6&amp;"]CF'!$L$3:$EO$3"),CA$22,INDIRECT("'["&amp;НАСТРОЙКИ!$D$6&amp;"]CF'!$L$20:$EO$20")),0))</f>
        <v>0</v>
      </c>
      <c r="CB62" s="35">
        <f ca="1">IF(НАСТРОЙКИ!$B$6&lt;&gt;"Да",0,IFERROR(SUMIF(INDIRECT("'["&amp;НАСТРОЙКИ!$D$6&amp;"]CF'!$L$3:$EO$3"),CB$22,INDIRECT("'["&amp;НАСТРОЙКИ!$D$6&amp;"]CF'!$L$20:$EO$20")),0))</f>
        <v>0</v>
      </c>
      <c r="CC62" s="35">
        <f ca="1">IF(НАСТРОЙКИ!$B$6&lt;&gt;"Да",0,IFERROR(SUMIF(INDIRECT("'["&amp;НАСТРОЙКИ!$D$6&amp;"]CF'!$L$3:$EO$3"),CC$22,INDIRECT("'["&amp;НАСТРОЙКИ!$D$6&amp;"]CF'!$L$20:$EO$20")),0))</f>
        <v>0</v>
      </c>
      <c r="CD62" s="35">
        <f ca="1">IF(НАСТРОЙКИ!$B$6&lt;&gt;"Да",0,IFERROR(SUMIF(INDIRECT("'["&amp;НАСТРОЙКИ!$D$6&amp;"]CF'!$L$3:$EO$3"),CD$22,INDIRECT("'["&amp;НАСТРОЙКИ!$D$6&amp;"]CF'!$L$20:$EO$20")),0))</f>
        <v>0</v>
      </c>
      <c r="CE62" s="35">
        <f ca="1">IF(НАСТРОЙКИ!$B$6&lt;&gt;"Да",0,IFERROR(SUMIF(INDIRECT("'["&amp;НАСТРОЙКИ!$D$6&amp;"]CF'!$L$3:$EO$3"),CE$22,INDIRECT("'["&amp;НАСТРОЙКИ!$D$6&amp;"]CF'!$L$20:$EO$20")),0))</f>
        <v>0</v>
      </c>
      <c r="CF62" s="35">
        <f ca="1">IF(НАСТРОЙКИ!$B$6&lt;&gt;"Да",0,IFERROR(SUMIF(INDIRECT("'["&amp;НАСТРОЙКИ!$D$6&amp;"]CF'!$L$3:$EO$3"),CF$22,INDIRECT("'["&amp;НАСТРОЙКИ!$D$6&amp;"]CF'!$L$20:$EO$20")),0))</f>
        <v>0</v>
      </c>
      <c r="CG62" s="35">
        <f ca="1">IF(НАСТРОЙКИ!$B$6&lt;&gt;"Да",0,IFERROR(SUMIF(INDIRECT("'["&amp;НАСТРОЙКИ!$D$6&amp;"]CF'!$L$3:$EO$3"),CG$22,INDIRECT("'["&amp;НАСТРОЙКИ!$D$6&amp;"]CF'!$L$20:$EO$20")),0))</f>
        <v>0</v>
      </c>
      <c r="CH62" s="35">
        <f ca="1">IF(НАСТРОЙКИ!$B$6&lt;&gt;"Да",0,IFERROR(SUMIF(INDIRECT("'["&amp;НАСТРОЙКИ!$D$6&amp;"]CF'!$L$3:$EO$3"),CH$22,INDIRECT("'["&amp;НАСТРОЙКИ!$D$6&amp;"]CF'!$L$20:$EO$20")),0))</f>
        <v>0</v>
      </c>
      <c r="CI62" s="35">
        <f ca="1">IF(НАСТРОЙКИ!$B$6&lt;&gt;"Да",0,IFERROR(SUMIF(INDIRECT("'["&amp;НАСТРОЙКИ!$D$6&amp;"]CF'!$L$3:$EO$3"),CI$22,INDIRECT("'["&amp;НАСТРОЙКИ!$D$6&amp;"]CF'!$L$20:$EO$20")),0))</f>
        <v>0</v>
      </c>
      <c r="CJ62" s="35">
        <f ca="1">IF(НАСТРОЙКИ!$B$6&lt;&gt;"Да",0,IFERROR(SUMIF(INDIRECT("'["&amp;НАСТРОЙКИ!$D$6&amp;"]CF'!$L$3:$EO$3"),CJ$22,INDIRECT("'["&amp;НАСТРОЙКИ!$D$6&amp;"]CF'!$L$20:$EO$20")),0))</f>
        <v>0</v>
      </c>
      <c r="CK62" s="35">
        <f ca="1">IF(НАСТРОЙКИ!$B$6&lt;&gt;"Да",0,IFERROR(SUMIF(INDIRECT("'["&amp;НАСТРОЙКИ!$D$6&amp;"]CF'!$L$3:$EO$3"),CK$22,INDIRECT("'["&amp;НАСТРОЙКИ!$D$6&amp;"]CF'!$L$20:$EO$20")),0))</f>
        <v>0</v>
      </c>
      <c r="CL62" s="35">
        <f ca="1">IF(НАСТРОЙКИ!$B$6&lt;&gt;"Да",0,IFERROR(SUMIF(INDIRECT("'["&amp;НАСТРОЙКИ!$D$6&amp;"]CF'!$L$3:$EO$3"),CL$22,INDIRECT("'["&amp;НАСТРОЙКИ!$D$6&amp;"]CF'!$L$20:$EO$20")),0))</f>
        <v>0</v>
      </c>
      <c r="CM62" s="35">
        <f ca="1">IF(НАСТРОЙКИ!$B$6&lt;&gt;"Да",0,IFERROR(SUMIF(INDIRECT("'["&amp;НАСТРОЙКИ!$D$6&amp;"]CF'!$L$3:$EO$3"),CM$22,INDIRECT("'["&amp;НАСТРОЙКИ!$D$6&amp;"]CF'!$L$20:$EO$20")),0))</f>
        <v>0</v>
      </c>
      <c r="CN62" s="35">
        <f ca="1">IF(НАСТРОЙКИ!$B$6&lt;&gt;"Да",0,IFERROR(SUMIF(INDIRECT("'["&amp;НАСТРОЙКИ!$D$6&amp;"]CF'!$L$3:$EO$3"),CN$22,INDIRECT("'["&amp;НАСТРОЙКИ!$D$6&amp;"]CF'!$L$20:$EO$20")),0))</f>
        <v>0</v>
      </c>
      <c r="CO62" s="35">
        <f ca="1">IF(НАСТРОЙКИ!$B$6&lt;&gt;"Да",0,IFERROR(SUMIF(INDIRECT("'["&amp;НАСТРОЙКИ!$D$6&amp;"]CF'!$L$3:$EO$3"),CO$22,INDIRECT("'["&amp;НАСТРОЙКИ!$D$6&amp;"]CF'!$L$20:$EO$20")),0))</f>
        <v>0</v>
      </c>
      <c r="CP62" s="35">
        <f ca="1">IF(НАСТРОЙКИ!$B$6&lt;&gt;"Да",0,IFERROR(SUMIF(INDIRECT("'["&amp;НАСТРОЙКИ!$D$6&amp;"]CF'!$L$3:$EO$3"),CP$22,INDIRECT("'["&amp;НАСТРОЙКИ!$D$6&amp;"]CF'!$L$20:$EO$20")),0))</f>
        <v>0</v>
      </c>
      <c r="CQ62" s="35">
        <f ca="1">IF(НАСТРОЙКИ!$B$6&lt;&gt;"Да",0,IFERROR(SUMIF(INDIRECT("'["&amp;НАСТРОЙКИ!$D$6&amp;"]CF'!$L$3:$EO$3"),CQ$22,INDIRECT("'["&amp;НАСТРОЙКИ!$D$6&amp;"]CF'!$L$20:$EO$20")),0))</f>
        <v>0</v>
      </c>
      <c r="CR62" s="35">
        <f ca="1">IF(НАСТРОЙКИ!$B$6&lt;&gt;"Да",0,IFERROR(SUMIF(INDIRECT("'["&amp;НАСТРОЙКИ!$D$6&amp;"]CF'!$L$3:$EO$3"),CR$22,INDIRECT("'["&amp;НАСТРОЙКИ!$D$6&amp;"]CF'!$L$20:$EO$20")),0))</f>
        <v>0</v>
      </c>
      <c r="CS62" s="35">
        <f ca="1">IF(НАСТРОЙКИ!$B$6&lt;&gt;"Да",0,IFERROR(SUMIF(INDIRECT("'["&amp;НАСТРОЙКИ!$D$6&amp;"]CF'!$L$3:$EO$3"),CS$22,INDIRECT("'["&amp;НАСТРОЙКИ!$D$6&amp;"]CF'!$L$20:$EO$20")),0))</f>
        <v>0</v>
      </c>
      <c r="CT62" s="35">
        <f ca="1">IF(НАСТРОЙКИ!$B$6&lt;&gt;"Да",0,IFERROR(SUMIF(INDIRECT("'["&amp;НАСТРОЙКИ!$D$6&amp;"]CF'!$L$3:$EO$3"),CT$22,INDIRECT("'["&amp;НАСТРОЙКИ!$D$6&amp;"]CF'!$L$20:$EO$20")),0))</f>
        <v>0</v>
      </c>
      <c r="CU62" s="35">
        <f ca="1">IF(НАСТРОЙКИ!$B$6&lt;&gt;"Да",0,IFERROR(SUMIF(INDIRECT("'["&amp;НАСТРОЙКИ!$D$6&amp;"]CF'!$L$3:$EO$3"),CU$22,INDIRECT("'["&amp;НАСТРОЙКИ!$D$6&amp;"]CF'!$L$20:$EO$20")),0))</f>
        <v>0</v>
      </c>
      <c r="CV62" s="35">
        <f ca="1">IF(НАСТРОЙКИ!$B$6&lt;&gt;"Да",0,IFERROR(SUMIF(INDIRECT("'["&amp;НАСТРОЙКИ!$D$6&amp;"]CF'!$L$3:$EO$3"),CV$22,INDIRECT("'["&amp;НАСТРОЙКИ!$D$6&amp;"]CF'!$L$20:$EO$20")),0))</f>
        <v>0</v>
      </c>
      <c r="CW62" s="35">
        <f ca="1">IF(НАСТРОЙКИ!$B$6&lt;&gt;"Да",0,IFERROR(SUMIF(INDIRECT("'["&amp;НАСТРОЙКИ!$D$6&amp;"]CF'!$L$3:$EO$3"),CW$22,INDIRECT("'["&amp;НАСТРОЙКИ!$D$6&amp;"]CF'!$L$20:$EO$20")),0))</f>
        <v>0</v>
      </c>
      <c r="CX62" s="35">
        <f ca="1">IF(НАСТРОЙКИ!$B$6&lt;&gt;"Да",0,IFERROR(SUMIF(INDIRECT("'["&amp;НАСТРОЙКИ!$D$6&amp;"]CF'!$L$3:$EO$3"),CX$22,INDIRECT("'["&amp;НАСТРОЙКИ!$D$6&amp;"]CF'!$L$20:$EO$20")),0))</f>
        <v>0</v>
      </c>
      <c r="CY62" s="35">
        <f ca="1">IF(НАСТРОЙКИ!$B$6&lt;&gt;"Да",0,IFERROR(SUMIF(INDIRECT("'["&amp;НАСТРОЙКИ!$D$6&amp;"]CF'!$L$3:$EO$3"),CY$22,INDIRECT("'["&amp;НАСТРОЙКИ!$D$6&amp;"]CF'!$L$20:$EO$20")),0))</f>
        <v>0</v>
      </c>
      <c r="CZ62" s="35">
        <f ca="1">IF(НАСТРОЙКИ!$B$6&lt;&gt;"Да",0,IFERROR(SUMIF(INDIRECT("'["&amp;НАСТРОЙКИ!$D$6&amp;"]CF'!$L$3:$EO$3"),CZ$22,INDIRECT("'["&amp;НАСТРОЙКИ!$D$6&amp;"]CF'!$L$20:$EO$20")),0))</f>
        <v>0</v>
      </c>
      <c r="DA62" s="35">
        <f ca="1">IF(НАСТРОЙКИ!$B$6&lt;&gt;"Да",0,IFERROR(SUMIF(INDIRECT("'["&amp;НАСТРОЙКИ!$D$6&amp;"]CF'!$L$3:$EO$3"),DA$22,INDIRECT("'["&amp;НАСТРОЙКИ!$D$6&amp;"]CF'!$L$20:$EO$20")),0))</f>
        <v>0</v>
      </c>
      <c r="DB62" s="35">
        <f ca="1">IF(НАСТРОЙКИ!$B$6&lt;&gt;"Да",0,IFERROR(SUMIF(INDIRECT("'["&amp;НАСТРОЙКИ!$D$6&amp;"]CF'!$L$3:$EO$3"),DB$22,INDIRECT("'["&amp;НАСТРОЙКИ!$D$6&amp;"]CF'!$L$20:$EO$20")),0))</f>
        <v>0</v>
      </c>
      <c r="DC62" s="35">
        <f ca="1">IF(НАСТРОЙКИ!$B$6&lt;&gt;"Да",0,IFERROR(SUMIF(INDIRECT("'["&amp;НАСТРОЙКИ!$D$6&amp;"]CF'!$L$3:$EO$3"),DC$22,INDIRECT("'["&amp;НАСТРОЙКИ!$D$6&amp;"]CF'!$L$20:$EO$20")),0))</f>
        <v>0</v>
      </c>
      <c r="DD62" s="35">
        <f ca="1">IF(НАСТРОЙКИ!$B$6&lt;&gt;"Да",0,IFERROR(SUMIF(INDIRECT("'["&amp;НАСТРОЙКИ!$D$6&amp;"]CF'!$L$3:$EO$3"),DD$22,INDIRECT("'["&amp;НАСТРОЙКИ!$D$6&amp;"]CF'!$L$20:$EO$20")),0))</f>
        <v>0</v>
      </c>
      <c r="DE62" s="35">
        <f ca="1">IF(НАСТРОЙКИ!$B$6&lt;&gt;"Да",0,IFERROR(SUMIF(INDIRECT("'["&amp;НАСТРОЙКИ!$D$6&amp;"]CF'!$L$3:$EO$3"),DE$22,INDIRECT("'["&amp;НАСТРОЙКИ!$D$6&amp;"]CF'!$L$20:$EO$20")),0))</f>
        <v>0</v>
      </c>
      <c r="DF62" s="35">
        <f ca="1">IF(НАСТРОЙКИ!$B$6&lt;&gt;"Да",0,IFERROR(SUMIF(INDIRECT("'["&amp;НАСТРОЙКИ!$D$6&amp;"]CF'!$L$3:$EO$3"),DF$22,INDIRECT("'["&amp;НАСТРОЙКИ!$D$6&amp;"]CF'!$L$20:$EO$20")),0))</f>
        <v>0</v>
      </c>
    </row>
    <row r="63" spans="1:110">
      <c r="A63" s="34" t="s">
        <v>125</v>
      </c>
      <c r="B63" s="34" t="s">
        <v>58</v>
      </c>
      <c r="C63" s="35">
        <f ca="1">IF(НАСТРОЙКИ!$B$6&lt;&gt;"Да",0,IFERROR(SUMIF(INDIRECT("'["&amp;НАСТРОЙКИ!$D$6&amp;"]CF'!$L$3:$EO$3"),C$22,INDIRECT("'["&amp;НАСТРОЙКИ!$D$6&amp;"]CF'!$L$25:$EO$25")),0))</f>
        <v>0</v>
      </c>
      <c r="D63" s="35">
        <f ca="1">IF(НАСТРОЙКИ!$B$6&lt;&gt;"Да",0,IFERROR(SUMIF(INDIRECT("'["&amp;НАСТРОЙКИ!$D$6&amp;"]CF'!$L$3:$EO$3"),D$22,INDIRECT("'["&amp;НАСТРОЙКИ!$D$6&amp;"]CF'!$L$25:$EO$25")),0))</f>
        <v>0</v>
      </c>
      <c r="E63" s="35">
        <f ca="1">IF(НАСТРОЙКИ!$B$6&lt;&gt;"Да",0,IFERROR(SUMIF(INDIRECT("'["&amp;НАСТРОЙКИ!$D$6&amp;"]CF'!$L$3:$EO$3"),E$22,INDIRECT("'["&amp;НАСТРОЙКИ!$D$6&amp;"]CF'!$L$25:$EO$25")),0))</f>
        <v>0</v>
      </c>
      <c r="F63" s="35">
        <f ca="1">IF(НАСТРОЙКИ!$B$6&lt;&gt;"Да",0,IFERROR(SUMIF(INDIRECT("'["&amp;НАСТРОЙКИ!$D$6&amp;"]CF'!$L$3:$EO$3"),F$22,INDIRECT("'["&amp;НАСТРОЙКИ!$D$6&amp;"]CF'!$L$25:$EO$25")),0))</f>
        <v>0</v>
      </c>
      <c r="G63" s="35">
        <f ca="1">IF(НАСТРОЙКИ!$B$6&lt;&gt;"Да",0,IFERROR(SUMIF(INDIRECT("'["&amp;НАСТРОЙКИ!$D$6&amp;"]CF'!$L$3:$EO$3"),G$22,INDIRECT("'["&amp;НАСТРОЙКИ!$D$6&amp;"]CF'!$L$25:$EO$25")),0))</f>
        <v>0</v>
      </c>
      <c r="H63" s="35">
        <f ca="1">IF(НАСТРОЙКИ!$B$6&lt;&gt;"Да",0,IFERROR(SUMIF(INDIRECT("'["&amp;НАСТРОЙКИ!$D$6&amp;"]CF'!$L$3:$EO$3"),H$22,INDIRECT("'["&amp;НАСТРОЙКИ!$D$6&amp;"]CF'!$L$25:$EO$25")),0))</f>
        <v>0</v>
      </c>
      <c r="I63" s="35">
        <f ca="1">IF(НАСТРОЙКИ!$B$6&lt;&gt;"Да",0,IFERROR(SUMIF(INDIRECT("'["&amp;НАСТРОЙКИ!$D$6&amp;"]CF'!$L$3:$EO$3"),I$22,INDIRECT("'["&amp;НАСТРОЙКИ!$D$6&amp;"]CF'!$L$25:$EO$25")),0))</f>
        <v>0</v>
      </c>
      <c r="J63" s="35">
        <f ca="1">IF(НАСТРОЙКИ!$B$6&lt;&gt;"Да",0,IFERROR(SUMIF(INDIRECT("'["&amp;НАСТРОЙКИ!$D$6&amp;"]CF'!$L$3:$EO$3"),J$22,INDIRECT("'["&amp;НАСТРОЙКИ!$D$6&amp;"]CF'!$L$25:$EO$25")),0))</f>
        <v>0</v>
      </c>
      <c r="K63" s="35">
        <f ca="1">IF(НАСТРОЙКИ!$B$6&lt;&gt;"Да",0,IFERROR(SUMIF(INDIRECT("'["&amp;НАСТРОЙКИ!$D$6&amp;"]CF'!$L$3:$EO$3"),K$22,INDIRECT("'["&amp;НАСТРОЙКИ!$D$6&amp;"]CF'!$L$25:$EO$25")),0))</f>
        <v>0</v>
      </c>
      <c r="L63" s="35">
        <f ca="1">IF(НАСТРОЙКИ!$B$6&lt;&gt;"Да",0,IFERROR(SUMIF(INDIRECT("'["&amp;НАСТРОЙКИ!$D$6&amp;"]CF'!$L$3:$EO$3"),L$22,INDIRECT("'["&amp;НАСТРОЙКИ!$D$6&amp;"]CF'!$L$25:$EO$25")),0))</f>
        <v>0</v>
      </c>
      <c r="M63" s="35">
        <f ca="1">IF(НАСТРОЙКИ!$B$6&lt;&gt;"Да",0,IFERROR(SUMIF(INDIRECT("'["&amp;НАСТРОЙКИ!$D$6&amp;"]CF'!$L$3:$EO$3"),M$22,INDIRECT("'["&amp;НАСТРОЙКИ!$D$6&amp;"]CF'!$L$25:$EO$25")),0))</f>
        <v>0</v>
      </c>
      <c r="N63" s="35">
        <f ca="1">IF(НАСТРОЙКИ!$B$6&lt;&gt;"Да",0,IFERROR(SUMIF(INDIRECT("'["&amp;НАСТРОЙКИ!$D$6&amp;"]CF'!$L$3:$EO$3"),N$22,INDIRECT("'["&amp;НАСТРОЙКИ!$D$6&amp;"]CF'!$L$25:$EO$25")),0))</f>
        <v>0</v>
      </c>
      <c r="O63" s="35">
        <f ca="1">IF(НАСТРОЙКИ!$B$6&lt;&gt;"Да",0,IFERROR(SUMIF(INDIRECT("'["&amp;НАСТРОЙКИ!$D$6&amp;"]CF'!$L$3:$EO$3"),O$22,INDIRECT("'["&amp;НАСТРОЙКИ!$D$6&amp;"]CF'!$L$25:$EO$25")),0))</f>
        <v>0</v>
      </c>
      <c r="P63" s="35">
        <f ca="1">IF(НАСТРОЙКИ!$B$6&lt;&gt;"Да",0,IFERROR(SUMIF(INDIRECT("'["&amp;НАСТРОЙКИ!$D$6&amp;"]CF'!$L$3:$EO$3"),P$22,INDIRECT("'["&amp;НАСТРОЙКИ!$D$6&amp;"]CF'!$L$25:$EO$25")),0))</f>
        <v>0</v>
      </c>
      <c r="Q63" s="35">
        <f ca="1">IF(НАСТРОЙКИ!$B$6&lt;&gt;"Да",0,IFERROR(SUMIF(INDIRECT("'["&amp;НАСТРОЙКИ!$D$6&amp;"]CF'!$L$3:$EO$3"),Q$22,INDIRECT("'["&amp;НАСТРОЙКИ!$D$6&amp;"]CF'!$L$25:$EO$25")),0))</f>
        <v>0</v>
      </c>
      <c r="R63" s="35">
        <f ca="1">IF(НАСТРОЙКИ!$B$6&lt;&gt;"Да",0,IFERROR(SUMIF(INDIRECT("'["&amp;НАСТРОЙКИ!$D$6&amp;"]CF'!$L$3:$EO$3"),R$22,INDIRECT("'["&amp;НАСТРОЙКИ!$D$6&amp;"]CF'!$L$25:$EO$25")),0))</f>
        <v>0</v>
      </c>
      <c r="S63" s="35">
        <f ca="1">IF(НАСТРОЙКИ!$B$6&lt;&gt;"Да",0,IFERROR(SUMIF(INDIRECT("'["&amp;НАСТРОЙКИ!$D$6&amp;"]CF'!$L$3:$EO$3"),S$22,INDIRECT("'["&amp;НАСТРОЙКИ!$D$6&amp;"]CF'!$L$25:$EO$25")),0))</f>
        <v>0</v>
      </c>
      <c r="T63" s="35">
        <f ca="1">IF(НАСТРОЙКИ!$B$6&lt;&gt;"Да",0,IFERROR(SUMIF(INDIRECT("'["&amp;НАСТРОЙКИ!$D$6&amp;"]CF'!$L$3:$EO$3"),T$22,INDIRECT("'["&amp;НАСТРОЙКИ!$D$6&amp;"]CF'!$L$25:$EO$25")),0))</f>
        <v>0</v>
      </c>
      <c r="U63" s="35">
        <f ca="1">IF(НАСТРОЙКИ!$B$6&lt;&gt;"Да",0,IFERROR(SUMIF(INDIRECT("'["&amp;НАСТРОЙКИ!$D$6&amp;"]CF'!$L$3:$EO$3"),U$22,INDIRECT("'["&amp;НАСТРОЙКИ!$D$6&amp;"]CF'!$L$25:$EO$25")),0))</f>
        <v>0</v>
      </c>
      <c r="V63" s="35">
        <f ca="1">IF(НАСТРОЙКИ!$B$6&lt;&gt;"Да",0,IFERROR(SUMIF(INDIRECT("'["&amp;НАСТРОЙКИ!$D$6&amp;"]CF'!$L$3:$EO$3"),V$22,INDIRECT("'["&amp;НАСТРОЙКИ!$D$6&amp;"]CF'!$L$25:$EO$25")),0))</f>
        <v>0</v>
      </c>
      <c r="W63" s="35">
        <f ca="1">IF(НАСТРОЙКИ!$B$6&lt;&gt;"Да",0,IFERROR(SUMIF(INDIRECT("'["&amp;НАСТРОЙКИ!$D$6&amp;"]CF'!$L$3:$EO$3"),W$22,INDIRECT("'["&amp;НАСТРОЙКИ!$D$6&amp;"]CF'!$L$25:$EO$25")),0))</f>
        <v>0</v>
      </c>
      <c r="X63" s="35">
        <f ca="1">IF(НАСТРОЙКИ!$B$6&lt;&gt;"Да",0,IFERROR(SUMIF(INDIRECT("'["&amp;НАСТРОЙКИ!$D$6&amp;"]CF'!$L$3:$EO$3"),X$22,INDIRECT("'["&amp;НАСТРОЙКИ!$D$6&amp;"]CF'!$L$25:$EO$25")),0))</f>
        <v>0</v>
      </c>
      <c r="Y63" s="35">
        <f ca="1">IF(НАСТРОЙКИ!$B$6&lt;&gt;"Да",0,IFERROR(SUMIF(INDIRECT("'["&amp;НАСТРОЙКИ!$D$6&amp;"]CF'!$L$3:$EO$3"),Y$22,INDIRECT("'["&amp;НАСТРОЙКИ!$D$6&amp;"]CF'!$L$25:$EO$25")),0))</f>
        <v>0</v>
      </c>
      <c r="Z63" s="35">
        <f ca="1">IF(НАСТРОЙКИ!$B$6&lt;&gt;"Да",0,IFERROR(SUMIF(INDIRECT("'["&amp;НАСТРОЙКИ!$D$6&amp;"]CF'!$L$3:$EO$3"),Z$22,INDIRECT("'["&amp;НАСТРОЙКИ!$D$6&amp;"]CF'!$L$25:$EO$25")),0))</f>
        <v>0</v>
      </c>
      <c r="AA63" s="35">
        <f ca="1">IF(НАСТРОЙКИ!$B$6&lt;&gt;"Да",0,IFERROR(SUMIF(INDIRECT("'["&amp;НАСТРОЙКИ!$D$6&amp;"]CF'!$L$3:$EO$3"),AA$22,INDIRECT("'["&amp;НАСТРОЙКИ!$D$6&amp;"]CF'!$L$25:$EO$25")),0))</f>
        <v>0</v>
      </c>
      <c r="AB63" s="35">
        <f ca="1">IF(НАСТРОЙКИ!$B$6&lt;&gt;"Да",0,IFERROR(SUMIF(INDIRECT("'["&amp;НАСТРОЙКИ!$D$6&amp;"]CF'!$L$3:$EO$3"),AB$22,INDIRECT("'["&amp;НАСТРОЙКИ!$D$6&amp;"]CF'!$L$25:$EO$25")),0))</f>
        <v>0</v>
      </c>
      <c r="AC63" s="35">
        <f ca="1">IF(НАСТРОЙКИ!$B$6&lt;&gt;"Да",0,IFERROR(SUMIF(INDIRECT("'["&amp;НАСТРОЙКИ!$D$6&amp;"]CF'!$L$3:$EO$3"),AC$22,INDIRECT("'["&amp;НАСТРОЙКИ!$D$6&amp;"]CF'!$L$25:$EO$25")),0))</f>
        <v>0</v>
      </c>
      <c r="AD63" s="35">
        <f ca="1">IF(НАСТРОЙКИ!$B$6&lt;&gt;"Да",0,IFERROR(SUMIF(INDIRECT("'["&amp;НАСТРОЙКИ!$D$6&amp;"]CF'!$L$3:$EO$3"),AD$22,INDIRECT("'["&amp;НАСТРОЙКИ!$D$6&amp;"]CF'!$L$25:$EO$25")),0))</f>
        <v>0</v>
      </c>
      <c r="AE63" s="35">
        <f ca="1">IF(НАСТРОЙКИ!$B$6&lt;&gt;"Да",0,IFERROR(SUMIF(INDIRECT("'["&amp;НАСТРОЙКИ!$D$6&amp;"]CF'!$L$3:$EO$3"),AE$22,INDIRECT("'["&amp;НАСТРОЙКИ!$D$6&amp;"]CF'!$L$25:$EO$25")),0))</f>
        <v>0</v>
      </c>
      <c r="AF63" s="35">
        <f ca="1">IF(НАСТРОЙКИ!$B$6&lt;&gt;"Да",0,IFERROR(SUMIF(INDIRECT("'["&amp;НАСТРОЙКИ!$D$6&amp;"]CF'!$L$3:$EO$3"),AF$22,INDIRECT("'["&amp;НАСТРОЙКИ!$D$6&amp;"]CF'!$L$25:$EO$25")),0))</f>
        <v>0</v>
      </c>
      <c r="AG63" s="35">
        <f ca="1">IF(НАСТРОЙКИ!$B$6&lt;&gt;"Да",0,IFERROR(SUMIF(INDIRECT("'["&amp;НАСТРОЙКИ!$D$6&amp;"]CF'!$L$3:$EO$3"),AG$22,INDIRECT("'["&amp;НАСТРОЙКИ!$D$6&amp;"]CF'!$L$25:$EO$25")),0))</f>
        <v>0</v>
      </c>
      <c r="AH63" s="35">
        <f ca="1">IF(НАСТРОЙКИ!$B$6&lt;&gt;"Да",0,IFERROR(SUMIF(INDIRECT("'["&amp;НАСТРОЙКИ!$D$6&amp;"]CF'!$L$3:$EO$3"),AH$22,INDIRECT("'["&amp;НАСТРОЙКИ!$D$6&amp;"]CF'!$L$25:$EO$25")),0))</f>
        <v>0</v>
      </c>
      <c r="AI63" s="35">
        <f ca="1">IF(НАСТРОЙКИ!$B$6&lt;&gt;"Да",0,IFERROR(SUMIF(INDIRECT("'["&amp;НАСТРОЙКИ!$D$6&amp;"]CF'!$L$3:$EO$3"),AI$22,INDIRECT("'["&amp;НАСТРОЙКИ!$D$6&amp;"]CF'!$L$25:$EO$25")),0))</f>
        <v>0</v>
      </c>
      <c r="AJ63" s="35">
        <f ca="1">IF(НАСТРОЙКИ!$B$6&lt;&gt;"Да",0,IFERROR(SUMIF(INDIRECT("'["&amp;НАСТРОЙКИ!$D$6&amp;"]CF'!$L$3:$EO$3"),AJ$22,INDIRECT("'["&amp;НАСТРОЙКИ!$D$6&amp;"]CF'!$L$25:$EO$25")),0))</f>
        <v>0</v>
      </c>
      <c r="AK63" s="35">
        <f ca="1">IF(НАСТРОЙКИ!$B$6&lt;&gt;"Да",0,IFERROR(SUMIF(INDIRECT("'["&amp;НАСТРОЙКИ!$D$6&amp;"]CF'!$L$3:$EO$3"),AK$22,INDIRECT("'["&amp;НАСТРОЙКИ!$D$6&amp;"]CF'!$L$25:$EO$25")),0))</f>
        <v>0</v>
      </c>
      <c r="AL63" s="35">
        <f ca="1">IF(НАСТРОЙКИ!$B$6&lt;&gt;"Да",0,IFERROR(SUMIF(INDIRECT("'["&amp;НАСТРОЙКИ!$D$6&amp;"]CF'!$L$3:$EO$3"),AL$22,INDIRECT("'["&amp;НАСТРОЙКИ!$D$6&amp;"]CF'!$L$25:$EO$25")),0))</f>
        <v>0</v>
      </c>
      <c r="AM63" s="35">
        <f ca="1">IF(НАСТРОЙКИ!$B$6&lt;&gt;"Да",0,IFERROR(SUMIF(INDIRECT("'["&amp;НАСТРОЙКИ!$D$6&amp;"]CF'!$L$3:$EO$3"),AM$22,INDIRECT("'["&amp;НАСТРОЙКИ!$D$6&amp;"]CF'!$L$25:$EO$25")),0))</f>
        <v>0</v>
      </c>
      <c r="AN63" s="35">
        <f ca="1">IF(НАСТРОЙКИ!$B$6&lt;&gt;"Да",0,IFERROR(SUMIF(INDIRECT("'["&amp;НАСТРОЙКИ!$D$6&amp;"]CF'!$L$3:$EO$3"),AN$22,INDIRECT("'["&amp;НАСТРОЙКИ!$D$6&amp;"]CF'!$L$25:$EO$25")),0))</f>
        <v>0</v>
      </c>
      <c r="AO63" s="35">
        <f ca="1">IF(НАСТРОЙКИ!$B$6&lt;&gt;"Да",0,IFERROR(SUMIF(INDIRECT("'["&amp;НАСТРОЙКИ!$D$6&amp;"]CF'!$L$3:$EO$3"),AO$22,INDIRECT("'["&amp;НАСТРОЙКИ!$D$6&amp;"]CF'!$L$25:$EO$25")),0))</f>
        <v>0</v>
      </c>
      <c r="AP63" s="35">
        <f ca="1">IF(НАСТРОЙКИ!$B$6&lt;&gt;"Да",0,IFERROR(SUMIF(INDIRECT("'["&amp;НАСТРОЙКИ!$D$6&amp;"]CF'!$L$3:$EO$3"),AP$22,INDIRECT("'["&amp;НАСТРОЙКИ!$D$6&amp;"]CF'!$L$25:$EO$25")),0))</f>
        <v>0</v>
      </c>
      <c r="AQ63" s="35">
        <f ca="1">IF(НАСТРОЙКИ!$B$6&lt;&gt;"Да",0,IFERROR(SUMIF(INDIRECT("'["&amp;НАСТРОЙКИ!$D$6&amp;"]CF'!$L$3:$EO$3"),AQ$22,INDIRECT("'["&amp;НАСТРОЙКИ!$D$6&amp;"]CF'!$L$25:$EO$25")),0))</f>
        <v>0</v>
      </c>
      <c r="AR63" s="35">
        <f ca="1">IF(НАСТРОЙКИ!$B$6&lt;&gt;"Да",0,IFERROR(SUMIF(INDIRECT("'["&amp;НАСТРОЙКИ!$D$6&amp;"]CF'!$L$3:$EO$3"),AR$22,INDIRECT("'["&amp;НАСТРОЙКИ!$D$6&amp;"]CF'!$L$25:$EO$25")),0))</f>
        <v>0</v>
      </c>
      <c r="AS63" s="35">
        <f ca="1">IF(НАСТРОЙКИ!$B$6&lt;&gt;"Да",0,IFERROR(SUMIF(INDIRECT("'["&amp;НАСТРОЙКИ!$D$6&amp;"]CF'!$L$3:$EO$3"),AS$22,INDIRECT("'["&amp;НАСТРОЙКИ!$D$6&amp;"]CF'!$L$25:$EO$25")),0))</f>
        <v>0</v>
      </c>
      <c r="AT63" s="35">
        <f ca="1">IF(НАСТРОЙКИ!$B$6&lt;&gt;"Да",0,IFERROR(SUMIF(INDIRECT("'["&amp;НАСТРОЙКИ!$D$6&amp;"]CF'!$L$3:$EO$3"),AT$22,INDIRECT("'["&amp;НАСТРОЙКИ!$D$6&amp;"]CF'!$L$25:$EO$25")),0))</f>
        <v>0</v>
      </c>
      <c r="AU63" s="35">
        <f ca="1">IF(НАСТРОЙКИ!$B$6&lt;&gt;"Да",0,IFERROR(SUMIF(INDIRECT("'["&amp;НАСТРОЙКИ!$D$6&amp;"]CF'!$L$3:$EO$3"),AU$22,INDIRECT("'["&amp;НАСТРОЙКИ!$D$6&amp;"]CF'!$L$25:$EO$25")),0))</f>
        <v>0</v>
      </c>
      <c r="AV63" s="35">
        <f ca="1">IF(НАСТРОЙКИ!$B$6&lt;&gt;"Да",0,IFERROR(SUMIF(INDIRECT("'["&amp;НАСТРОЙКИ!$D$6&amp;"]CF'!$L$3:$EO$3"),AV$22,INDIRECT("'["&amp;НАСТРОЙКИ!$D$6&amp;"]CF'!$L$25:$EO$25")),0))</f>
        <v>0</v>
      </c>
      <c r="AW63" s="35">
        <f ca="1">IF(НАСТРОЙКИ!$B$6&lt;&gt;"Да",0,IFERROR(SUMIF(INDIRECT("'["&amp;НАСТРОЙКИ!$D$6&amp;"]CF'!$L$3:$EO$3"),AW$22,INDIRECT("'["&amp;НАСТРОЙКИ!$D$6&amp;"]CF'!$L$25:$EO$25")),0))</f>
        <v>0</v>
      </c>
      <c r="AX63" s="35">
        <f ca="1">IF(НАСТРОЙКИ!$B$6&lt;&gt;"Да",0,IFERROR(SUMIF(INDIRECT("'["&amp;НАСТРОЙКИ!$D$6&amp;"]CF'!$L$3:$EO$3"),AX$22,INDIRECT("'["&amp;НАСТРОЙКИ!$D$6&amp;"]CF'!$L$25:$EO$25")),0))</f>
        <v>0</v>
      </c>
      <c r="AY63" s="35">
        <f ca="1">IF(НАСТРОЙКИ!$B$6&lt;&gt;"Да",0,IFERROR(SUMIF(INDIRECT("'["&amp;НАСТРОЙКИ!$D$6&amp;"]CF'!$L$3:$EO$3"),AY$22,INDIRECT("'["&amp;НАСТРОЙКИ!$D$6&amp;"]CF'!$L$25:$EO$25")),0))</f>
        <v>0</v>
      </c>
      <c r="AZ63" s="35">
        <f ca="1">IF(НАСТРОЙКИ!$B$6&lt;&gt;"Да",0,IFERROR(SUMIF(INDIRECT("'["&amp;НАСТРОЙКИ!$D$6&amp;"]CF'!$L$3:$EO$3"),AZ$22,INDIRECT("'["&amp;НАСТРОЙКИ!$D$6&amp;"]CF'!$L$25:$EO$25")),0))</f>
        <v>0</v>
      </c>
      <c r="BA63" s="35">
        <f ca="1">IF(НАСТРОЙКИ!$B$6&lt;&gt;"Да",0,IFERROR(SUMIF(INDIRECT("'["&amp;НАСТРОЙКИ!$D$6&amp;"]CF'!$L$3:$EO$3"),BA$22,INDIRECT("'["&amp;НАСТРОЙКИ!$D$6&amp;"]CF'!$L$25:$EO$25")),0))</f>
        <v>0</v>
      </c>
      <c r="BB63" s="35">
        <f ca="1">IF(НАСТРОЙКИ!$B$6&lt;&gt;"Да",0,IFERROR(SUMIF(INDIRECT("'["&amp;НАСТРОЙКИ!$D$6&amp;"]CF'!$L$3:$EO$3"),BB$22,INDIRECT("'["&amp;НАСТРОЙКИ!$D$6&amp;"]CF'!$L$25:$EO$25")),0))</f>
        <v>0</v>
      </c>
      <c r="BC63" s="35">
        <f ca="1">IF(НАСТРОЙКИ!$B$6&lt;&gt;"Да",0,IFERROR(SUMIF(INDIRECT("'["&amp;НАСТРОЙКИ!$D$6&amp;"]CF'!$L$3:$EO$3"),BC$22,INDIRECT("'["&amp;НАСТРОЙКИ!$D$6&amp;"]CF'!$L$25:$EO$25")),0))</f>
        <v>0</v>
      </c>
      <c r="BD63" s="35">
        <f ca="1">IF(НАСТРОЙКИ!$B$6&lt;&gt;"Да",0,IFERROR(SUMIF(INDIRECT("'["&amp;НАСТРОЙКИ!$D$6&amp;"]CF'!$L$3:$EO$3"),BD$22,INDIRECT("'["&amp;НАСТРОЙКИ!$D$6&amp;"]CF'!$L$25:$EO$25")),0))</f>
        <v>0</v>
      </c>
      <c r="BE63" s="35">
        <f ca="1">IF(НАСТРОЙКИ!$B$6&lt;&gt;"Да",0,IFERROR(SUMIF(INDIRECT("'["&amp;НАСТРОЙКИ!$D$6&amp;"]CF'!$L$3:$EO$3"),BE$22,INDIRECT("'["&amp;НАСТРОЙКИ!$D$6&amp;"]CF'!$L$25:$EO$25")),0))</f>
        <v>0</v>
      </c>
      <c r="BF63" s="35">
        <f ca="1">IF(НАСТРОЙКИ!$B$6&lt;&gt;"Да",0,IFERROR(SUMIF(INDIRECT("'["&amp;НАСТРОЙКИ!$D$6&amp;"]CF'!$L$3:$EO$3"),BF$22,INDIRECT("'["&amp;НАСТРОЙКИ!$D$6&amp;"]CF'!$L$25:$EO$25")),0))</f>
        <v>0</v>
      </c>
      <c r="BG63" s="35">
        <f ca="1">IF(НАСТРОЙКИ!$B$6&lt;&gt;"Да",0,IFERROR(SUMIF(INDIRECT("'["&amp;НАСТРОЙКИ!$D$6&amp;"]CF'!$L$3:$EO$3"),BG$22,INDIRECT("'["&amp;НАСТРОЙКИ!$D$6&amp;"]CF'!$L$25:$EO$25")),0))</f>
        <v>0</v>
      </c>
      <c r="BH63" s="35">
        <f ca="1">IF(НАСТРОЙКИ!$B$6&lt;&gt;"Да",0,IFERROR(SUMIF(INDIRECT("'["&amp;НАСТРОЙКИ!$D$6&amp;"]CF'!$L$3:$EO$3"),BH$22,INDIRECT("'["&amp;НАСТРОЙКИ!$D$6&amp;"]CF'!$L$25:$EO$25")),0))</f>
        <v>0</v>
      </c>
      <c r="BI63" s="35">
        <f ca="1">IF(НАСТРОЙКИ!$B$6&lt;&gt;"Да",0,IFERROR(SUMIF(INDIRECT("'["&amp;НАСТРОЙКИ!$D$6&amp;"]CF'!$L$3:$EO$3"),BI$22,INDIRECT("'["&amp;НАСТРОЙКИ!$D$6&amp;"]CF'!$L$25:$EO$25")),0))</f>
        <v>0</v>
      </c>
      <c r="BJ63" s="35">
        <f ca="1">IF(НАСТРОЙКИ!$B$6&lt;&gt;"Да",0,IFERROR(SUMIF(INDIRECT("'["&amp;НАСТРОЙКИ!$D$6&amp;"]CF'!$L$3:$EO$3"),BJ$22,INDIRECT("'["&amp;НАСТРОЙКИ!$D$6&amp;"]CF'!$L$25:$EO$25")),0))</f>
        <v>0</v>
      </c>
      <c r="BK63" s="35">
        <f ca="1">IF(НАСТРОЙКИ!$B$6&lt;&gt;"Да",0,IFERROR(SUMIF(INDIRECT("'["&amp;НАСТРОЙКИ!$D$6&amp;"]CF'!$L$3:$EO$3"),BK$22,INDIRECT("'["&amp;НАСТРОЙКИ!$D$6&amp;"]CF'!$L$25:$EO$25")),0))</f>
        <v>0</v>
      </c>
      <c r="BL63" s="35">
        <f ca="1">IF(НАСТРОЙКИ!$B$6&lt;&gt;"Да",0,IFERROR(SUMIF(INDIRECT("'["&amp;НАСТРОЙКИ!$D$6&amp;"]CF'!$L$3:$EO$3"),BL$22,INDIRECT("'["&amp;НАСТРОЙКИ!$D$6&amp;"]CF'!$L$25:$EO$25")),0))</f>
        <v>0</v>
      </c>
      <c r="BM63" s="35">
        <f ca="1">IF(НАСТРОЙКИ!$B$6&lt;&gt;"Да",0,IFERROR(SUMIF(INDIRECT("'["&amp;НАСТРОЙКИ!$D$6&amp;"]CF'!$L$3:$EO$3"),BM$22,INDIRECT("'["&amp;НАСТРОЙКИ!$D$6&amp;"]CF'!$L$25:$EO$25")),0))</f>
        <v>0</v>
      </c>
      <c r="BN63" s="35">
        <f ca="1">IF(НАСТРОЙКИ!$B$6&lt;&gt;"Да",0,IFERROR(SUMIF(INDIRECT("'["&amp;НАСТРОЙКИ!$D$6&amp;"]CF'!$L$3:$EO$3"),BN$22,INDIRECT("'["&amp;НАСТРОЙКИ!$D$6&amp;"]CF'!$L$25:$EO$25")),0))</f>
        <v>0</v>
      </c>
      <c r="BO63" s="35">
        <f ca="1">IF(НАСТРОЙКИ!$B$6&lt;&gt;"Да",0,IFERROR(SUMIF(INDIRECT("'["&amp;НАСТРОЙКИ!$D$6&amp;"]CF'!$L$3:$EO$3"),BO$22,INDIRECT("'["&amp;НАСТРОЙКИ!$D$6&amp;"]CF'!$L$25:$EO$25")),0))</f>
        <v>0</v>
      </c>
      <c r="BP63" s="35">
        <f ca="1">IF(НАСТРОЙКИ!$B$6&lt;&gt;"Да",0,IFERROR(SUMIF(INDIRECT("'["&amp;НАСТРОЙКИ!$D$6&amp;"]CF'!$L$3:$EO$3"),BP$22,INDIRECT("'["&amp;НАСТРОЙКИ!$D$6&amp;"]CF'!$L$25:$EO$25")),0))</f>
        <v>0</v>
      </c>
      <c r="BQ63" s="35">
        <f ca="1">IF(НАСТРОЙКИ!$B$6&lt;&gt;"Да",0,IFERROR(SUMIF(INDIRECT("'["&amp;НАСТРОЙКИ!$D$6&amp;"]CF'!$L$3:$EO$3"),BQ$22,INDIRECT("'["&amp;НАСТРОЙКИ!$D$6&amp;"]CF'!$L$25:$EO$25")),0))</f>
        <v>0</v>
      </c>
      <c r="BR63" s="35">
        <f ca="1">IF(НАСТРОЙКИ!$B$6&lt;&gt;"Да",0,IFERROR(SUMIF(INDIRECT("'["&amp;НАСТРОЙКИ!$D$6&amp;"]CF'!$L$3:$EO$3"),BR$22,INDIRECT("'["&amp;НАСТРОЙКИ!$D$6&amp;"]CF'!$L$25:$EO$25")),0))</f>
        <v>0</v>
      </c>
      <c r="BS63" s="35">
        <f ca="1">IF(НАСТРОЙКИ!$B$6&lt;&gt;"Да",0,IFERROR(SUMIF(INDIRECT("'["&amp;НАСТРОЙКИ!$D$6&amp;"]CF'!$L$3:$EO$3"),BS$22,INDIRECT("'["&amp;НАСТРОЙКИ!$D$6&amp;"]CF'!$L$25:$EO$25")),0))</f>
        <v>0</v>
      </c>
      <c r="BT63" s="35">
        <f ca="1">IF(НАСТРОЙКИ!$B$6&lt;&gt;"Да",0,IFERROR(SUMIF(INDIRECT("'["&amp;НАСТРОЙКИ!$D$6&amp;"]CF'!$L$3:$EO$3"),BT$22,INDIRECT("'["&amp;НАСТРОЙКИ!$D$6&amp;"]CF'!$L$25:$EO$25")),0))</f>
        <v>0</v>
      </c>
      <c r="BU63" s="35">
        <f ca="1">IF(НАСТРОЙКИ!$B$6&lt;&gt;"Да",0,IFERROR(SUMIF(INDIRECT("'["&amp;НАСТРОЙКИ!$D$6&amp;"]CF'!$L$3:$EO$3"),BU$22,INDIRECT("'["&amp;НАСТРОЙКИ!$D$6&amp;"]CF'!$L$25:$EO$25")),0))</f>
        <v>0</v>
      </c>
      <c r="BV63" s="35">
        <f ca="1">IF(НАСТРОЙКИ!$B$6&lt;&gt;"Да",0,IFERROR(SUMIF(INDIRECT("'["&amp;НАСТРОЙКИ!$D$6&amp;"]CF'!$L$3:$EO$3"),BV$22,INDIRECT("'["&amp;НАСТРОЙКИ!$D$6&amp;"]CF'!$L$25:$EO$25")),0))</f>
        <v>0</v>
      </c>
      <c r="BW63" s="35">
        <f ca="1">IF(НАСТРОЙКИ!$B$6&lt;&gt;"Да",0,IFERROR(SUMIF(INDIRECT("'["&amp;НАСТРОЙКИ!$D$6&amp;"]CF'!$L$3:$EO$3"),BW$22,INDIRECT("'["&amp;НАСТРОЙКИ!$D$6&amp;"]CF'!$L$25:$EO$25")),0))</f>
        <v>0</v>
      </c>
      <c r="BX63" s="35">
        <f ca="1">IF(НАСТРОЙКИ!$B$6&lt;&gt;"Да",0,IFERROR(SUMIF(INDIRECT("'["&amp;НАСТРОЙКИ!$D$6&amp;"]CF'!$L$3:$EO$3"),BX$22,INDIRECT("'["&amp;НАСТРОЙКИ!$D$6&amp;"]CF'!$L$25:$EO$25")),0))</f>
        <v>0</v>
      </c>
      <c r="BY63" s="35">
        <f ca="1">IF(НАСТРОЙКИ!$B$6&lt;&gt;"Да",0,IFERROR(SUMIF(INDIRECT("'["&amp;НАСТРОЙКИ!$D$6&amp;"]CF'!$L$3:$EO$3"),BY$22,INDIRECT("'["&amp;НАСТРОЙКИ!$D$6&amp;"]CF'!$L$25:$EO$25")),0))</f>
        <v>0</v>
      </c>
      <c r="BZ63" s="35">
        <f ca="1">IF(НАСТРОЙКИ!$B$6&lt;&gt;"Да",0,IFERROR(SUMIF(INDIRECT("'["&amp;НАСТРОЙКИ!$D$6&amp;"]CF'!$L$3:$EO$3"),BZ$22,INDIRECT("'["&amp;НАСТРОЙКИ!$D$6&amp;"]CF'!$L$25:$EO$25")),0))</f>
        <v>0</v>
      </c>
      <c r="CA63" s="35">
        <f ca="1">IF(НАСТРОЙКИ!$B$6&lt;&gt;"Да",0,IFERROR(SUMIF(INDIRECT("'["&amp;НАСТРОЙКИ!$D$6&amp;"]CF'!$L$3:$EO$3"),CA$22,INDIRECT("'["&amp;НАСТРОЙКИ!$D$6&amp;"]CF'!$L$25:$EO$25")),0))</f>
        <v>0</v>
      </c>
      <c r="CB63" s="35">
        <f ca="1">IF(НАСТРОЙКИ!$B$6&lt;&gt;"Да",0,IFERROR(SUMIF(INDIRECT("'["&amp;НАСТРОЙКИ!$D$6&amp;"]CF'!$L$3:$EO$3"),CB$22,INDIRECT("'["&amp;НАСТРОЙКИ!$D$6&amp;"]CF'!$L$25:$EO$25")),0))</f>
        <v>0</v>
      </c>
      <c r="CC63" s="35">
        <f ca="1">IF(НАСТРОЙКИ!$B$6&lt;&gt;"Да",0,IFERROR(SUMIF(INDIRECT("'["&amp;НАСТРОЙКИ!$D$6&amp;"]CF'!$L$3:$EO$3"),CC$22,INDIRECT("'["&amp;НАСТРОЙКИ!$D$6&amp;"]CF'!$L$25:$EO$25")),0))</f>
        <v>0</v>
      </c>
      <c r="CD63" s="35">
        <f ca="1">IF(НАСТРОЙКИ!$B$6&lt;&gt;"Да",0,IFERROR(SUMIF(INDIRECT("'["&amp;НАСТРОЙКИ!$D$6&amp;"]CF'!$L$3:$EO$3"),CD$22,INDIRECT("'["&amp;НАСТРОЙКИ!$D$6&amp;"]CF'!$L$25:$EO$25")),0))</f>
        <v>0</v>
      </c>
      <c r="CE63" s="35">
        <f ca="1">IF(НАСТРОЙКИ!$B$6&lt;&gt;"Да",0,IFERROR(SUMIF(INDIRECT("'["&amp;НАСТРОЙКИ!$D$6&amp;"]CF'!$L$3:$EO$3"),CE$22,INDIRECT("'["&amp;НАСТРОЙКИ!$D$6&amp;"]CF'!$L$25:$EO$25")),0))</f>
        <v>0</v>
      </c>
      <c r="CF63" s="35">
        <f ca="1">IF(НАСТРОЙКИ!$B$6&lt;&gt;"Да",0,IFERROR(SUMIF(INDIRECT("'["&amp;НАСТРОЙКИ!$D$6&amp;"]CF'!$L$3:$EO$3"),CF$22,INDIRECT("'["&amp;НАСТРОЙКИ!$D$6&amp;"]CF'!$L$25:$EO$25")),0))</f>
        <v>0</v>
      </c>
      <c r="CG63" s="35">
        <f ca="1">IF(НАСТРОЙКИ!$B$6&lt;&gt;"Да",0,IFERROR(SUMIF(INDIRECT("'["&amp;НАСТРОЙКИ!$D$6&amp;"]CF'!$L$3:$EO$3"),CG$22,INDIRECT("'["&amp;НАСТРОЙКИ!$D$6&amp;"]CF'!$L$25:$EO$25")),0))</f>
        <v>0</v>
      </c>
      <c r="CH63" s="35">
        <f ca="1">IF(НАСТРОЙКИ!$B$6&lt;&gt;"Да",0,IFERROR(SUMIF(INDIRECT("'["&amp;НАСТРОЙКИ!$D$6&amp;"]CF'!$L$3:$EO$3"),CH$22,INDIRECT("'["&amp;НАСТРОЙКИ!$D$6&amp;"]CF'!$L$25:$EO$25")),0))</f>
        <v>0</v>
      </c>
      <c r="CI63" s="35">
        <f ca="1">IF(НАСТРОЙКИ!$B$6&lt;&gt;"Да",0,IFERROR(SUMIF(INDIRECT("'["&amp;НАСТРОЙКИ!$D$6&amp;"]CF'!$L$3:$EO$3"),CI$22,INDIRECT("'["&amp;НАСТРОЙКИ!$D$6&amp;"]CF'!$L$25:$EO$25")),0))</f>
        <v>0</v>
      </c>
      <c r="CJ63" s="35">
        <f ca="1">IF(НАСТРОЙКИ!$B$6&lt;&gt;"Да",0,IFERROR(SUMIF(INDIRECT("'["&amp;НАСТРОЙКИ!$D$6&amp;"]CF'!$L$3:$EO$3"),CJ$22,INDIRECT("'["&amp;НАСТРОЙКИ!$D$6&amp;"]CF'!$L$25:$EO$25")),0))</f>
        <v>0</v>
      </c>
      <c r="CK63" s="35">
        <f ca="1">IF(НАСТРОЙКИ!$B$6&lt;&gt;"Да",0,IFERROR(SUMIF(INDIRECT("'["&amp;НАСТРОЙКИ!$D$6&amp;"]CF'!$L$3:$EO$3"),CK$22,INDIRECT("'["&amp;НАСТРОЙКИ!$D$6&amp;"]CF'!$L$25:$EO$25")),0))</f>
        <v>0</v>
      </c>
      <c r="CL63" s="35">
        <f ca="1">IF(НАСТРОЙКИ!$B$6&lt;&gt;"Да",0,IFERROR(SUMIF(INDIRECT("'["&amp;НАСТРОЙКИ!$D$6&amp;"]CF'!$L$3:$EO$3"),CL$22,INDIRECT("'["&amp;НАСТРОЙКИ!$D$6&amp;"]CF'!$L$25:$EO$25")),0))</f>
        <v>0</v>
      </c>
      <c r="CM63" s="35">
        <f ca="1">IF(НАСТРОЙКИ!$B$6&lt;&gt;"Да",0,IFERROR(SUMIF(INDIRECT("'["&amp;НАСТРОЙКИ!$D$6&amp;"]CF'!$L$3:$EO$3"),CM$22,INDIRECT("'["&amp;НАСТРОЙКИ!$D$6&amp;"]CF'!$L$25:$EO$25")),0))</f>
        <v>0</v>
      </c>
      <c r="CN63" s="35">
        <f ca="1">IF(НАСТРОЙКИ!$B$6&lt;&gt;"Да",0,IFERROR(SUMIF(INDIRECT("'["&amp;НАСТРОЙКИ!$D$6&amp;"]CF'!$L$3:$EO$3"),CN$22,INDIRECT("'["&amp;НАСТРОЙКИ!$D$6&amp;"]CF'!$L$25:$EO$25")),0))</f>
        <v>0</v>
      </c>
      <c r="CO63" s="35">
        <f ca="1">IF(НАСТРОЙКИ!$B$6&lt;&gt;"Да",0,IFERROR(SUMIF(INDIRECT("'["&amp;НАСТРОЙКИ!$D$6&amp;"]CF'!$L$3:$EO$3"),CO$22,INDIRECT("'["&amp;НАСТРОЙКИ!$D$6&amp;"]CF'!$L$25:$EO$25")),0))</f>
        <v>0</v>
      </c>
      <c r="CP63" s="35">
        <f ca="1">IF(НАСТРОЙКИ!$B$6&lt;&gt;"Да",0,IFERROR(SUMIF(INDIRECT("'["&amp;НАСТРОЙКИ!$D$6&amp;"]CF'!$L$3:$EO$3"),CP$22,INDIRECT("'["&amp;НАСТРОЙКИ!$D$6&amp;"]CF'!$L$25:$EO$25")),0))</f>
        <v>0</v>
      </c>
      <c r="CQ63" s="35">
        <f ca="1">IF(НАСТРОЙКИ!$B$6&lt;&gt;"Да",0,IFERROR(SUMIF(INDIRECT("'["&amp;НАСТРОЙКИ!$D$6&amp;"]CF'!$L$3:$EO$3"),CQ$22,INDIRECT("'["&amp;НАСТРОЙКИ!$D$6&amp;"]CF'!$L$25:$EO$25")),0))</f>
        <v>0</v>
      </c>
      <c r="CR63" s="35">
        <f ca="1">IF(НАСТРОЙКИ!$B$6&lt;&gt;"Да",0,IFERROR(SUMIF(INDIRECT("'["&amp;НАСТРОЙКИ!$D$6&amp;"]CF'!$L$3:$EO$3"),CR$22,INDIRECT("'["&amp;НАСТРОЙКИ!$D$6&amp;"]CF'!$L$25:$EO$25")),0))</f>
        <v>0</v>
      </c>
      <c r="CS63" s="35">
        <f ca="1">IF(НАСТРОЙКИ!$B$6&lt;&gt;"Да",0,IFERROR(SUMIF(INDIRECT("'["&amp;НАСТРОЙКИ!$D$6&amp;"]CF'!$L$3:$EO$3"),CS$22,INDIRECT("'["&amp;НАСТРОЙКИ!$D$6&amp;"]CF'!$L$25:$EO$25")),0))</f>
        <v>0</v>
      </c>
      <c r="CT63" s="35">
        <f ca="1">IF(НАСТРОЙКИ!$B$6&lt;&gt;"Да",0,IFERROR(SUMIF(INDIRECT("'["&amp;НАСТРОЙКИ!$D$6&amp;"]CF'!$L$3:$EO$3"),CT$22,INDIRECT("'["&amp;НАСТРОЙКИ!$D$6&amp;"]CF'!$L$25:$EO$25")),0))</f>
        <v>0</v>
      </c>
      <c r="CU63" s="35">
        <f ca="1">IF(НАСТРОЙКИ!$B$6&lt;&gt;"Да",0,IFERROR(SUMIF(INDIRECT("'["&amp;НАСТРОЙКИ!$D$6&amp;"]CF'!$L$3:$EO$3"),CU$22,INDIRECT("'["&amp;НАСТРОЙКИ!$D$6&amp;"]CF'!$L$25:$EO$25")),0))</f>
        <v>0</v>
      </c>
      <c r="CV63" s="35">
        <f ca="1">IF(НАСТРОЙКИ!$B$6&lt;&gt;"Да",0,IFERROR(SUMIF(INDIRECT("'["&amp;НАСТРОЙКИ!$D$6&amp;"]CF'!$L$3:$EO$3"),CV$22,INDIRECT("'["&amp;НАСТРОЙКИ!$D$6&amp;"]CF'!$L$25:$EO$25")),0))</f>
        <v>0</v>
      </c>
      <c r="CW63" s="35">
        <f ca="1">IF(НАСТРОЙКИ!$B$6&lt;&gt;"Да",0,IFERROR(SUMIF(INDIRECT("'["&amp;НАСТРОЙКИ!$D$6&amp;"]CF'!$L$3:$EO$3"),CW$22,INDIRECT("'["&amp;НАСТРОЙКИ!$D$6&amp;"]CF'!$L$25:$EO$25")),0))</f>
        <v>0</v>
      </c>
      <c r="CX63" s="35">
        <f ca="1">IF(НАСТРОЙКИ!$B$6&lt;&gt;"Да",0,IFERROR(SUMIF(INDIRECT("'["&amp;НАСТРОЙКИ!$D$6&amp;"]CF'!$L$3:$EO$3"),CX$22,INDIRECT("'["&amp;НАСТРОЙКИ!$D$6&amp;"]CF'!$L$25:$EO$25")),0))</f>
        <v>0</v>
      </c>
      <c r="CY63" s="35">
        <f ca="1">IF(НАСТРОЙКИ!$B$6&lt;&gt;"Да",0,IFERROR(SUMIF(INDIRECT("'["&amp;НАСТРОЙКИ!$D$6&amp;"]CF'!$L$3:$EO$3"),CY$22,INDIRECT("'["&amp;НАСТРОЙКИ!$D$6&amp;"]CF'!$L$25:$EO$25")),0))</f>
        <v>0</v>
      </c>
      <c r="CZ63" s="35">
        <f ca="1">IF(НАСТРОЙКИ!$B$6&lt;&gt;"Да",0,IFERROR(SUMIF(INDIRECT("'["&amp;НАСТРОЙКИ!$D$6&amp;"]CF'!$L$3:$EO$3"),CZ$22,INDIRECT("'["&amp;НАСТРОЙКИ!$D$6&amp;"]CF'!$L$25:$EO$25")),0))</f>
        <v>0</v>
      </c>
      <c r="DA63" s="35">
        <f ca="1">IF(НАСТРОЙКИ!$B$6&lt;&gt;"Да",0,IFERROR(SUMIF(INDIRECT("'["&amp;НАСТРОЙКИ!$D$6&amp;"]CF'!$L$3:$EO$3"),DA$22,INDIRECT("'["&amp;НАСТРОЙКИ!$D$6&amp;"]CF'!$L$25:$EO$25")),0))</f>
        <v>0</v>
      </c>
      <c r="DB63" s="35">
        <f ca="1">IF(НАСТРОЙКИ!$B$6&lt;&gt;"Да",0,IFERROR(SUMIF(INDIRECT("'["&amp;НАСТРОЙКИ!$D$6&amp;"]CF'!$L$3:$EO$3"),DB$22,INDIRECT("'["&amp;НАСТРОЙКИ!$D$6&amp;"]CF'!$L$25:$EO$25")),0))</f>
        <v>0</v>
      </c>
      <c r="DC63" s="35">
        <f ca="1">IF(НАСТРОЙКИ!$B$6&lt;&gt;"Да",0,IFERROR(SUMIF(INDIRECT("'["&amp;НАСТРОЙКИ!$D$6&amp;"]CF'!$L$3:$EO$3"),DC$22,INDIRECT("'["&amp;НАСТРОЙКИ!$D$6&amp;"]CF'!$L$25:$EO$25")),0))</f>
        <v>0</v>
      </c>
      <c r="DD63" s="35">
        <f ca="1">IF(НАСТРОЙКИ!$B$6&lt;&gt;"Да",0,IFERROR(SUMIF(INDIRECT("'["&amp;НАСТРОЙКИ!$D$6&amp;"]CF'!$L$3:$EO$3"),DD$22,INDIRECT("'["&amp;НАСТРОЙКИ!$D$6&amp;"]CF'!$L$25:$EO$25")),0))</f>
        <v>0</v>
      </c>
      <c r="DE63" s="35">
        <f ca="1">IF(НАСТРОЙКИ!$B$6&lt;&gt;"Да",0,IFERROR(SUMIF(INDIRECT("'["&amp;НАСТРОЙКИ!$D$6&amp;"]CF'!$L$3:$EO$3"),DE$22,INDIRECT("'["&amp;НАСТРОЙКИ!$D$6&amp;"]CF'!$L$25:$EO$25")),0))</f>
        <v>0</v>
      </c>
      <c r="DF63" s="35">
        <f ca="1">IF(НАСТРОЙКИ!$B$6&lt;&gt;"Да",0,IFERROR(SUMIF(INDIRECT("'["&amp;НАСТРОЙКИ!$D$6&amp;"]CF'!$L$3:$EO$3"),DF$22,INDIRECT("'["&amp;НАСТРОЙКИ!$D$6&amp;"]CF'!$L$25:$EO$25")),0))</f>
        <v>0</v>
      </c>
    </row>
    <row r="64" spans="1:110">
      <c r="A64" s="34" t="s">
        <v>126</v>
      </c>
      <c r="B64" s="34" t="s">
        <v>58</v>
      </c>
      <c r="C64" s="35">
        <f ca="1">IF(НАСТРОЙКИ!$B$6&lt;&gt;"Да",0,IFERROR(SUMIF(INDIRECT("'["&amp;НАСТРОЙКИ!$D$6&amp;"]CF'!$L$3:$EO$3"),C$22,INDIRECT("'["&amp;НАСТРОЙКИ!$D$6&amp;"]CF'!$L$51:$EO$51")),0))</f>
        <v>0</v>
      </c>
      <c r="D64" s="35">
        <f ca="1">IF(НАСТРОЙКИ!$B$6&lt;&gt;"Да",0,IFERROR(SUMIF(INDIRECT("'["&amp;НАСТРОЙКИ!$D$6&amp;"]CF'!$L$3:$EO$3"),D$22,INDIRECT("'["&amp;НАСТРОЙКИ!$D$6&amp;"]CF'!$L$51:$EO$51")),0))</f>
        <v>0</v>
      </c>
      <c r="E64" s="35">
        <f ca="1">IF(НАСТРОЙКИ!$B$6&lt;&gt;"Да",0,IFERROR(SUMIF(INDIRECT("'["&amp;НАСТРОЙКИ!$D$6&amp;"]CF'!$L$3:$EO$3"),E$22,INDIRECT("'["&amp;НАСТРОЙКИ!$D$6&amp;"]CF'!$L$51:$EO$51")),0))</f>
        <v>0</v>
      </c>
      <c r="F64" s="35">
        <f ca="1">IF(НАСТРОЙКИ!$B$6&lt;&gt;"Да",0,IFERROR(SUMIF(INDIRECT("'["&amp;НАСТРОЙКИ!$D$6&amp;"]CF'!$L$3:$EO$3"),F$22,INDIRECT("'["&amp;НАСТРОЙКИ!$D$6&amp;"]CF'!$L$51:$EO$51")),0))</f>
        <v>0</v>
      </c>
      <c r="G64" s="35">
        <f ca="1">IF(НАСТРОЙКИ!$B$6&lt;&gt;"Да",0,IFERROR(SUMIF(INDIRECT("'["&amp;НАСТРОЙКИ!$D$6&amp;"]CF'!$L$3:$EO$3"),G$22,INDIRECT("'["&amp;НАСТРОЙКИ!$D$6&amp;"]CF'!$L$51:$EO$51")),0))</f>
        <v>0</v>
      </c>
      <c r="H64" s="35">
        <f ca="1">IF(НАСТРОЙКИ!$B$6&lt;&gt;"Да",0,IFERROR(SUMIF(INDIRECT("'["&amp;НАСТРОЙКИ!$D$6&amp;"]CF'!$L$3:$EO$3"),H$22,INDIRECT("'["&amp;НАСТРОЙКИ!$D$6&amp;"]CF'!$L$51:$EO$51")),0))</f>
        <v>0</v>
      </c>
      <c r="I64" s="35">
        <f ca="1">IF(НАСТРОЙКИ!$B$6&lt;&gt;"Да",0,IFERROR(SUMIF(INDIRECT("'["&amp;НАСТРОЙКИ!$D$6&amp;"]CF'!$L$3:$EO$3"),I$22,INDIRECT("'["&amp;НАСТРОЙКИ!$D$6&amp;"]CF'!$L$51:$EO$51")),0))</f>
        <v>0</v>
      </c>
      <c r="J64" s="35">
        <f ca="1">IF(НАСТРОЙКИ!$B$6&lt;&gt;"Да",0,IFERROR(SUMIF(INDIRECT("'["&amp;НАСТРОЙКИ!$D$6&amp;"]CF'!$L$3:$EO$3"),J$22,INDIRECT("'["&amp;НАСТРОЙКИ!$D$6&amp;"]CF'!$L$51:$EO$51")),0))</f>
        <v>0</v>
      </c>
      <c r="K64" s="35">
        <f ca="1">IF(НАСТРОЙКИ!$B$6&lt;&gt;"Да",0,IFERROR(SUMIF(INDIRECT("'["&amp;НАСТРОЙКИ!$D$6&amp;"]CF'!$L$3:$EO$3"),K$22,INDIRECT("'["&amp;НАСТРОЙКИ!$D$6&amp;"]CF'!$L$51:$EO$51")),0))</f>
        <v>0</v>
      </c>
      <c r="L64" s="35">
        <f ca="1">IF(НАСТРОЙКИ!$B$6&lt;&gt;"Да",0,IFERROR(SUMIF(INDIRECT("'["&amp;НАСТРОЙКИ!$D$6&amp;"]CF'!$L$3:$EO$3"),L$22,INDIRECT("'["&amp;НАСТРОЙКИ!$D$6&amp;"]CF'!$L$51:$EO$51")),0))</f>
        <v>0</v>
      </c>
      <c r="M64" s="35">
        <f ca="1">IF(НАСТРОЙКИ!$B$6&lt;&gt;"Да",0,IFERROR(SUMIF(INDIRECT("'["&amp;НАСТРОЙКИ!$D$6&amp;"]CF'!$L$3:$EO$3"),M$22,INDIRECT("'["&amp;НАСТРОЙКИ!$D$6&amp;"]CF'!$L$51:$EO$51")),0))</f>
        <v>0</v>
      </c>
      <c r="N64" s="35">
        <f ca="1">IF(НАСТРОЙКИ!$B$6&lt;&gt;"Да",0,IFERROR(SUMIF(INDIRECT("'["&amp;НАСТРОЙКИ!$D$6&amp;"]CF'!$L$3:$EO$3"),N$22,INDIRECT("'["&amp;НАСТРОЙКИ!$D$6&amp;"]CF'!$L$51:$EO$51")),0))</f>
        <v>0</v>
      </c>
      <c r="O64" s="35">
        <f ca="1">IF(НАСТРОЙКИ!$B$6&lt;&gt;"Да",0,IFERROR(SUMIF(INDIRECT("'["&amp;НАСТРОЙКИ!$D$6&amp;"]CF'!$L$3:$EO$3"),O$22,INDIRECT("'["&amp;НАСТРОЙКИ!$D$6&amp;"]CF'!$L$51:$EO$51")),0))</f>
        <v>0</v>
      </c>
      <c r="P64" s="35">
        <f ca="1">IF(НАСТРОЙКИ!$B$6&lt;&gt;"Да",0,IFERROR(SUMIF(INDIRECT("'["&amp;НАСТРОЙКИ!$D$6&amp;"]CF'!$L$3:$EO$3"),P$22,INDIRECT("'["&amp;НАСТРОЙКИ!$D$6&amp;"]CF'!$L$51:$EO$51")),0))</f>
        <v>0</v>
      </c>
      <c r="Q64" s="35">
        <f ca="1">IF(НАСТРОЙКИ!$B$6&lt;&gt;"Да",0,IFERROR(SUMIF(INDIRECT("'["&amp;НАСТРОЙКИ!$D$6&amp;"]CF'!$L$3:$EO$3"),Q$22,INDIRECT("'["&amp;НАСТРОЙКИ!$D$6&amp;"]CF'!$L$51:$EO$51")),0))</f>
        <v>0</v>
      </c>
      <c r="R64" s="35">
        <f ca="1">IF(НАСТРОЙКИ!$B$6&lt;&gt;"Да",0,IFERROR(SUMIF(INDIRECT("'["&amp;НАСТРОЙКИ!$D$6&amp;"]CF'!$L$3:$EO$3"),R$22,INDIRECT("'["&amp;НАСТРОЙКИ!$D$6&amp;"]CF'!$L$51:$EO$51")),0))</f>
        <v>0</v>
      </c>
      <c r="S64" s="35">
        <f ca="1">IF(НАСТРОЙКИ!$B$6&lt;&gt;"Да",0,IFERROR(SUMIF(INDIRECT("'["&amp;НАСТРОЙКИ!$D$6&amp;"]CF'!$L$3:$EO$3"),S$22,INDIRECT("'["&amp;НАСТРОЙКИ!$D$6&amp;"]CF'!$L$51:$EO$51")),0))</f>
        <v>0</v>
      </c>
      <c r="T64" s="35">
        <f ca="1">IF(НАСТРОЙКИ!$B$6&lt;&gt;"Да",0,IFERROR(SUMIF(INDIRECT("'["&amp;НАСТРОЙКИ!$D$6&amp;"]CF'!$L$3:$EO$3"),T$22,INDIRECT("'["&amp;НАСТРОЙКИ!$D$6&amp;"]CF'!$L$51:$EO$51")),0))</f>
        <v>0</v>
      </c>
      <c r="U64" s="35">
        <f ca="1">IF(НАСТРОЙКИ!$B$6&lt;&gt;"Да",0,IFERROR(SUMIF(INDIRECT("'["&amp;НАСТРОЙКИ!$D$6&amp;"]CF'!$L$3:$EO$3"),U$22,INDIRECT("'["&amp;НАСТРОЙКИ!$D$6&amp;"]CF'!$L$51:$EO$51")),0))</f>
        <v>0</v>
      </c>
      <c r="V64" s="35">
        <f ca="1">IF(НАСТРОЙКИ!$B$6&lt;&gt;"Да",0,IFERROR(SUMIF(INDIRECT("'["&amp;НАСТРОЙКИ!$D$6&amp;"]CF'!$L$3:$EO$3"),V$22,INDIRECT("'["&amp;НАСТРОЙКИ!$D$6&amp;"]CF'!$L$51:$EO$51")),0))</f>
        <v>0</v>
      </c>
      <c r="W64" s="35">
        <f ca="1">IF(НАСТРОЙКИ!$B$6&lt;&gt;"Да",0,IFERROR(SUMIF(INDIRECT("'["&amp;НАСТРОЙКИ!$D$6&amp;"]CF'!$L$3:$EO$3"),W$22,INDIRECT("'["&amp;НАСТРОЙКИ!$D$6&amp;"]CF'!$L$51:$EO$51")),0))</f>
        <v>0</v>
      </c>
      <c r="X64" s="35">
        <f ca="1">IF(НАСТРОЙКИ!$B$6&lt;&gt;"Да",0,IFERROR(SUMIF(INDIRECT("'["&amp;НАСТРОЙКИ!$D$6&amp;"]CF'!$L$3:$EO$3"),X$22,INDIRECT("'["&amp;НАСТРОЙКИ!$D$6&amp;"]CF'!$L$51:$EO$51")),0))</f>
        <v>0</v>
      </c>
      <c r="Y64" s="35">
        <f ca="1">IF(НАСТРОЙКИ!$B$6&lt;&gt;"Да",0,IFERROR(SUMIF(INDIRECT("'["&amp;НАСТРОЙКИ!$D$6&amp;"]CF'!$L$3:$EO$3"),Y$22,INDIRECT("'["&amp;НАСТРОЙКИ!$D$6&amp;"]CF'!$L$51:$EO$51")),0))</f>
        <v>0</v>
      </c>
      <c r="Z64" s="35">
        <f ca="1">IF(НАСТРОЙКИ!$B$6&lt;&gt;"Да",0,IFERROR(SUMIF(INDIRECT("'["&amp;НАСТРОЙКИ!$D$6&amp;"]CF'!$L$3:$EO$3"),Z$22,INDIRECT("'["&amp;НАСТРОЙКИ!$D$6&amp;"]CF'!$L$51:$EO$51")),0))</f>
        <v>0</v>
      </c>
      <c r="AA64" s="35">
        <f ca="1">IF(НАСТРОЙКИ!$B$6&lt;&gt;"Да",0,IFERROR(SUMIF(INDIRECT("'["&amp;НАСТРОЙКИ!$D$6&amp;"]CF'!$L$3:$EO$3"),AA$22,INDIRECT("'["&amp;НАСТРОЙКИ!$D$6&amp;"]CF'!$L$51:$EO$51")),0))</f>
        <v>0</v>
      </c>
      <c r="AB64" s="35">
        <f ca="1">IF(НАСТРОЙКИ!$B$6&lt;&gt;"Да",0,IFERROR(SUMIF(INDIRECT("'["&amp;НАСТРОЙКИ!$D$6&amp;"]CF'!$L$3:$EO$3"),AB$22,INDIRECT("'["&amp;НАСТРОЙКИ!$D$6&amp;"]CF'!$L$51:$EO$51")),0))</f>
        <v>0</v>
      </c>
      <c r="AC64" s="35">
        <f ca="1">IF(НАСТРОЙКИ!$B$6&lt;&gt;"Да",0,IFERROR(SUMIF(INDIRECT("'["&amp;НАСТРОЙКИ!$D$6&amp;"]CF'!$L$3:$EO$3"),AC$22,INDIRECT("'["&amp;НАСТРОЙКИ!$D$6&amp;"]CF'!$L$51:$EO$51")),0))</f>
        <v>0</v>
      </c>
      <c r="AD64" s="35">
        <f ca="1">IF(НАСТРОЙКИ!$B$6&lt;&gt;"Да",0,IFERROR(SUMIF(INDIRECT("'["&amp;НАСТРОЙКИ!$D$6&amp;"]CF'!$L$3:$EO$3"),AD$22,INDIRECT("'["&amp;НАСТРОЙКИ!$D$6&amp;"]CF'!$L$51:$EO$51")),0))</f>
        <v>0</v>
      </c>
      <c r="AE64" s="35">
        <f ca="1">IF(НАСТРОЙКИ!$B$6&lt;&gt;"Да",0,IFERROR(SUMIF(INDIRECT("'["&amp;НАСТРОЙКИ!$D$6&amp;"]CF'!$L$3:$EO$3"),AE$22,INDIRECT("'["&amp;НАСТРОЙКИ!$D$6&amp;"]CF'!$L$51:$EO$51")),0))</f>
        <v>0</v>
      </c>
      <c r="AF64" s="35">
        <f ca="1">IF(НАСТРОЙКИ!$B$6&lt;&gt;"Да",0,IFERROR(SUMIF(INDIRECT("'["&amp;НАСТРОЙКИ!$D$6&amp;"]CF'!$L$3:$EO$3"),AF$22,INDIRECT("'["&amp;НАСТРОЙКИ!$D$6&amp;"]CF'!$L$51:$EO$51")),0))</f>
        <v>0</v>
      </c>
      <c r="AG64" s="35">
        <f ca="1">IF(НАСТРОЙКИ!$B$6&lt;&gt;"Да",0,IFERROR(SUMIF(INDIRECT("'["&amp;НАСТРОЙКИ!$D$6&amp;"]CF'!$L$3:$EO$3"),AG$22,INDIRECT("'["&amp;НАСТРОЙКИ!$D$6&amp;"]CF'!$L$51:$EO$51")),0))</f>
        <v>0</v>
      </c>
      <c r="AH64" s="35">
        <f ca="1">IF(НАСТРОЙКИ!$B$6&lt;&gt;"Да",0,IFERROR(SUMIF(INDIRECT("'["&amp;НАСТРОЙКИ!$D$6&amp;"]CF'!$L$3:$EO$3"),AH$22,INDIRECT("'["&amp;НАСТРОЙКИ!$D$6&amp;"]CF'!$L$51:$EO$51")),0))</f>
        <v>0</v>
      </c>
      <c r="AI64" s="35">
        <f ca="1">IF(НАСТРОЙКИ!$B$6&lt;&gt;"Да",0,IFERROR(SUMIF(INDIRECT("'["&amp;НАСТРОЙКИ!$D$6&amp;"]CF'!$L$3:$EO$3"),AI$22,INDIRECT("'["&amp;НАСТРОЙКИ!$D$6&amp;"]CF'!$L$51:$EO$51")),0))</f>
        <v>0</v>
      </c>
      <c r="AJ64" s="35">
        <f ca="1">IF(НАСТРОЙКИ!$B$6&lt;&gt;"Да",0,IFERROR(SUMIF(INDIRECT("'["&amp;НАСТРОЙКИ!$D$6&amp;"]CF'!$L$3:$EO$3"),AJ$22,INDIRECT("'["&amp;НАСТРОЙКИ!$D$6&amp;"]CF'!$L$51:$EO$51")),0))</f>
        <v>0</v>
      </c>
      <c r="AK64" s="35">
        <f ca="1">IF(НАСТРОЙКИ!$B$6&lt;&gt;"Да",0,IFERROR(SUMIF(INDIRECT("'["&amp;НАСТРОЙКИ!$D$6&amp;"]CF'!$L$3:$EO$3"),AK$22,INDIRECT("'["&amp;НАСТРОЙКИ!$D$6&amp;"]CF'!$L$51:$EO$51")),0))</f>
        <v>0</v>
      </c>
      <c r="AL64" s="35">
        <f ca="1">IF(НАСТРОЙКИ!$B$6&lt;&gt;"Да",0,IFERROR(SUMIF(INDIRECT("'["&amp;НАСТРОЙКИ!$D$6&amp;"]CF'!$L$3:$EO$3"),AL$22,INDIRECT("'["&amp;НАСТРОЙКИ!$D$6&amp;"]CF'!$L$51:$EO$51")),0))</f>
        <v>0</v>
      </c>
      <c r="AM64" s="35">
        <f ca="1">IF(НАСТРОЙКИ!$B$6&lt;&gt;"Да",0,IFERROR(SUMIF(INDIRECT("'["&amp;НАСТРОЙКИ!$D$6&amp;"]CF'!$L$3:$EO$3"),AM$22,INDIRECT("'["&amp;НАСТРОЙКИ!$D$6&amp;"]CF'!$L$51:$EO$51")),0))</f>
        <v>0</v>
      </c>
      <c r="AN64" s="35">
        <f ca="1">IF(НАСТРОЙКИ!$B$6&lt;&gt;"Да",0,IFERROR(SUMIF(INDIRECT("'["&amp;НАСТРОЙКИ!$D$6&amp;"]CF'!$L$3:$EO$3"),AN$22,INDIRECT("'["&amp;НАСТРОЙКИ!$D$6&amp;"]CF'!$L$51:$EO$51")),0))</f>
        <v>0</v>
      </c>
      <c r="AO64" s="35">
        <f ca="1">IF(НАСТРОЙКИ!$B$6&lt;&gt;"Да",0,IFERROR(SUMIF(INDIRECT("'["&amp;НАСТРОЙКИ!$D$6&amp;"]CF'!$L$3:$EO$3"),AO$22,INDIRECT("'["&amp;НАСТРОЙКИ!$D$6&amp;"]CF'!$L$51:$EO$51")),0))</f>
        <v>0</v>
      </c>
      <c r="AP64" s="35">
        <f ca="1">IF(НАСТРОЙКИ!$B$6&lt;&gt;"Да",0,IFERROR(SUMIF(INDIRECT("'["&amp;НАСТРОЙКИ!$D$6&amp;"]CF'!$L$3:$EO$3"),AP$22,INDIRECT("'["&amp;НАСТРОЙКИ!$D$6&amp;"]CF'!$L$51:$EO$51")),0))</f>
        <v>0</v>
      </c>
      <c r="AQ64" s="35">
        <f ca="1">IF(НАСТРОЙКИ!$B$6&lt;&gt;"Да",0,IFERROR(SUMIF(INDIRECT("'["&amp;НАСТРОЙКИ!$D$6&amp;"]CF'!$L$3:$EO$3"),AQ$22,INDIRECT("'["&amp;НАСТРОЙКИ!$D$6&amp;"]CF'!$L$51:$EO$51")),0))</f>
        <v>0</v>
      </c>
      <c r="AR64" s="35">
        <f ca="1">IF(НАСТРОЙКИ!$B$6&lt;&gt;"Да",0,IFERROR(SUMIF(INDIRECT("'["&amp;НАСТРОЙКИ!$D$6&amp;"]CF'!$L$3:$EO$3"),AR$22,INDIRECT("'["&amp;НАСТРОЙКИ!$D$6&amp;"]CF'!$L$51:$EO$51")),0))</f>
        <v>0</v>
      </c>
      <c r="AS64" s="35">
        <f ca="1">IF(НАСТРОЙКИ!$B$6&lt;&gt;"Да",0,IFERROR(SUMIF(INDIRECT("'["&amp;НАСТРОЙКИ!$D$6&amp;"]CF'!$L$3:$EO$3"),AS$22,INDIRECT("'["&amp;НАСТРОЙКИ!$D$6&amp;"]CF'!$L$51:$EO$51")),0))</f>
        <v>0</v>
      </c>
      <c r="AT64" s="35">
        <f ca="1">IF(НАСТРОЙКИ!$B$6&lt;&gt;"Да",0,IFERROR(SUMIF(INDIRECT("'["&amp;НАСТРОЙКИ!$D$6&amp;"]CF'!$L$3:$EO$3"),AT$22,INDIRECT("'["&amp;НАСТРОЙКИ!$D$6&amp;"]CF'!$L$51:$EO$51")),0))</f>
        <v>0</v>
      </c>
      <c r="AU64" s="35">
        <f ca="1">IF(НАСТРОЙКИ!$B$6&lt;&gt;"Да",0,IFERROR(SUMIF(INDIRECT("'["&amp;НАСТРОЙКИ!$D$6&amp;"]CF'!$L$3:$EO$3"),AU$22,INDIRECT("'["&amp;НАСТРОЙКИ!$D$6&amp;"]CF'!$L$51:$EO$51")),0))</f>
        <v>0</v>
      </c>
      <c r="AV64" s="35">
        <f ca="1">IF(НАСТРОЙКИ!$B$6&lt;&gt;"Да",0,IFERROR(SUMIF(INDIRECT("'["&amp;НАСТРОЙКИ!$D$6&amp;"]CF'!$L$3:$EO$3"),AV$22,INDIRECT("'["&amp;НАСТРОЙКИ!$D$6&amp;"]CF'!$L$51:$EO$51")),0))</f>
        <v>0</v>
      </c>
      <c r="AW64" s="35">
        <f ca="1">IF(НАСТРОЙКИ!$B$6&lt;&gt;"Да",0,IFERROR(SUMIF(INDIRECT("'["&amp;НАСТРОЙКИ!$D$6&amp;"]CF'!$L$3:$EO$3"),AW$22,INDIRECT("'["&amp;НАСТРОЙКИ!$D$6&amp;"]CF'!$L$51:$EO$51")),0))</f>
        <v>0</v>
      </c>
      <c r="AX64" s="35">
        <f ca="1">IF(НАСТРОЙКИ!$B$6&lt;&gt;"Да",0,IFERROR(SUMIF(INDIRECT("'["&amp;НАСТРОЙКИ!$D$6&amp;"]CF'!$L$3:$EO$3"),AX$22,INDIRECT("'["&amp;НАСТРОЙКИ!$D$6&amp;"]CF'!$L$51:$EO$51")),0))</f>
        <v>0</v>
      </c>
      <c r="AY64" s="35">
        <f ca="1">IF(НАСТРОЙКИ!$B$6&lt;&gt;"Да",0,IFERROR(SUMIF(INDIRECT("'["&amp;НАСТРОЙКИ!$D$6&amp;"]CF'!$L$3:$EO$3"),AY$22,INDIRECT("'["&amp;НАСТРОЙКИ!$D$6&amp;"]CF'!$L$51:$EO$51")),0))</f>
        <v>0</v>
      </c>
      <c r="AZ64" s="35">
        <f ca="1">IF(НАСТРОЙКИ!$B$6&lt;&gt;"Да",0,IFERROR(SUMIF(INDIRECT("'["&amp;НАСТРОЙКИ!$D$6&amp;"]CF'!$L$3:$EO$3"),AZ$22,INDIRECT("'["&amp;НАСТРОЙКИ!$D$6&amp;"]CF'!$L$51:$EO$51")),0))</f>
        <v>0</v>
      </c>
      <c r="BA64" s="35">
        <f ca="1">IF(НАСТРОЙКИ!$B$6&lt;&gt;"Да",0,IFERROR(SUMIF(INDIRECT("'["&amp;НАСТРОЙКИ!$D$6&amp;"]CF'!$L$3:$EO$3"),BA$22,INDIRECT("'["&amp;НАСТРОЙКИ!$D$6&amp;"]CF'!$L$51:$EO$51")),0))</f>
        <v>0</v>
      </c>
      <c r="BB64" s="35">
        <f ca="1">IF(НАСТРОЙКИ!$B$6&lt;&gt;"Да",0,IFERROR(SUMIF(INDIRECT("'["&amp;НАСТРОЙКИ!$D$6&amp;"]CF'!$L$3:$EO$3"),BB$22,INDIRECT("'["&amp;НАСТРОЙКИ!$D$6&amp;"]CF'!$L$51:$EO$51")),0))</f>
        <v>0</v>
      </c>
      <c r="BC64" s="35">
        <f ca="1">IF(НАСТРОЙКИ!$B$6&lt;&gt;"Да",0,IFERROR(SUMIF(INDIRECT("'["&amp;НАСТРОЙКИ!$D$6&amp;"]CF'!$L$3:$EO$3"),BC$22,INDIRECT("'["&amp;НАСТРОЙКИ!$D$6&amp;"]CF'!$L$51:$EO$51")),0))</f>
        <v>0</v>
      </c>
      <c r="BD64" s="35">
        <f ca="1">IF(НАСТРОЙКИ!$B$6&lt;&gt;"Да",0,IFERROR(SUMIF(INDIRECT("'["&amp;НАСТРОЙКИ!$D$6&amp;"]CF'!$L$3:$EO$3"),BD$22,INDIRECT("'["&amp;НАСТРОЙКИ!$D$6&amp;"]CF'!$L$51:$EO$51")),0))</f>
        <v>0</v>
      </c>
      <c r="BE64" s="35">
        <f ca="1">IF(НАСТРОЙКИ!$B$6&lt;&gt;"Да",0,IFERROR(SUMIF(INDIRECT("'["&amp;НАСТРОЙКИ!$D$6&amp;"]CF'!$L$3:$EO$3"),BE$22,INDIRECT("'["&amp;НАСТРОЙКИ!$D$6&amp;"]CF'!$L$51:$EO$51")),0))</f>
        <v>0</v>
      </c>
      <c r="BF64" s="35">
        <f ca="1">IF(НАСТРОЙКИ!$B$6&lt;&gt;"Да",0,IFERROR(SUMIF(INDIRECT("'["&amp;НАСТРОЙКИ!$D$6&amp;"]CF'!$L$3:$EO$3"),BF$22,INDIRECT("'["&amp;НАСТРОЙКИ!$D$6&amp;"]CF'!$L$51:$EO$51")),0))</f>
        <v>0</v>
      </c>
      <c r="BG64" s="35">
        <f ca="1">IF(НАСТРОЙКИ!$B$6&lt;&gt;"Да",0,IFERROR(SUMIF(INDIRECT("'["&amp;НАСТРОЙКИ!$D$6&amp;"]CF'!$L$3:$EO$3"),BG$22,INDIRECT("'["&amp;НАСТРОЙКИ!$D$6&amp;"]CF'!$L$51:$EO$51")),0))</f>
        <v>0</v>
      </c>
      <c r="BH64" s="35">
        <f ca="1">IF(НАСТРОЙКИ!$B$6&lt;&gt;"Да",0,IFERROR(SUMIF(INDIRECT("'["&amp;НАСТРОЙКИ!$D$6&amp;"]CF'!$L$3:$EO$3"),BH$22,INDIRECT("'["&amp;НАСТРОЙКИ!$D$6&amp;"]CF'!$L$51:$EO$51")),0))</f>
        <v>0</v>
      </c>
      <c r="BI64" s="35">
        <f ca="1">IF(НАСТРОЙКИ!$B$6&lt;&gt;"Да",0,IFERROR(SUMIF(INDIRECT("'["&amp;НАСТРОЙКИ!$D$6&amp;"]CF'!$L$3:$EO$3"),BI$22,INDIRECT("'["&amp;НАСТРОЙКИ!$D$6&amp;"]CF'!$L$51:$EO$51")),0))</f>
        <v>0</v>
      </c>
      <c r="BJ64" s="35">
        <f ca="1">IF(НАСТРОЙКИ!$B$6&lt;&gt;"Да",0,IFERROR(SUMIF(INDIRECT("'["&amp;НАСТРОЙКИ!$D$6&amp;"]CF'!$L$3:$EO$3"),BJ$22,INDIRECT("'["&amp;НАСТРОЙКИ!$D$6&amp;"]CF'!$L$51:$EO$51")),0))</f>
        <v>0</v>
      </c>
      <c r="BK64" s="35">
        <f ca="1">IF(НАСТРОЙКИ!$B$6&lt;&gt;"Да",0,IFERROR(SUMIF(INDIRECT("'["&amp;НАСТРОЙКИ!$D$6&amp;"]CF'!$L$3:$EO$3"),BK$22,INDIRECT("'["&amp;НАСТРОЙКИ!$D$6&amp;"]CF'!$L$51:$EO$51")),0))</f>
        <v>0</v>
      </c>
      <c r="BL64" s="35">
        <f ca="1">IF(НАСТРОЙКИ!$B$6&lt;&gt;"Да",0,IFERROR(SUMIF(INDIRECT("'["&amp;НАСТРОЙКИ!$D$6&amp;"]CF'!$L$3:$EO$3"),BL$22,INDIRECT("'["&amp;НАСТРОЙКИ!$D$6&amp;"]CF'!$L$51:$EO$51")),0))</f>
        <v>0</v>
      </c>
      <c r="BM64" s="35">
        <f ca="1">IF(НАСТРОЙКИ!$B$6&lt;&gt;"Да",0,IFERROR(SUMIF(INDIRECT("'["&amp;НАСТРОЙКИ!$D$6&amp;"]CF'!$L$3:$EO$3"),BM$22,INDIRECT("'["&amp;НАСТРОЙКИ!$D$6&amp;"]CF'!$L$51:$EO$51")),0))</f>
        <v>0</v>
      </c>
      <c r="BN64" s="35">
        <f ca="1">IF(НАСТРОЙКИ!$B$6&lt;&gt;"Да",0,IFERROR(SUMIF(INDIRECT("'["&amp;НАСТРОЙКИ!$D$6&amp;"]CF'!$L$3:$EO$3"),BN$22,INDIRECT("'["&amp;НАСТРОЙКИ!$D$6&amp;"]CF'!$L$51:$EO$51")),0))</f>
        <v>0</v>
      </c>
      <c r="BO64" s="35">
        <f ca="1">IF(НАСТРОЙКИ!$B$6&lt;&gt;"Да",0,IFERROR(SUMIF(INDIRECT("'["&amp;НАСТРОЙКИ!$D$6&amp;"]CF'!$L$3:$EO$3"),BO$22,INDIRECT("'["&amp;НАСТРОЙКИ!$D$6&amp;"]CF'!$L$51:$EO$51")),0))</f>
        <v>0</v>
      </c>
      <c r="BP64" s="35">
        <f ca="1">IF(НАСТРОЙКИ!$B$6&lt;&gt;"Да",0,IFERROR(SUMIF(INDIRECT("'["&amp;НАСТРОЙКИ!$D$6&amp;"]CF'!$L$3:$EO$3"),BP$22,INDIRECT("'["&amp;НАСТРОЙКИ!$D$6&amp;"]CF'!$L$51:$EO$51")),0))</f>
        <v>0</v>
      </c>
      <c r="BQ64" s="35">
        <f ca="1">IF(НАСТРОЙКИ!$B$6&lt;&gt;"Да",0,IFERROR(SUMIF(INDIRECT("'["&amp;НАСТРОЙКИ!$D$6&amp;"]CF'!$L$3:$EO$3"),BQ$22,INDIRECT("'["&amp;НАСТРОЙКИ!$D$6&amp;"]CF'!$L$51:$EO$51")),0))</f>
        <v>0</v>
      </c>
      <c r="BR64" s="35">
        <f ca="1">IF(НАСТРОЙКИ!$B$6&lt;&gt;"Да",0,IFERROR(SUMIF(INDIRECT("'["&amp;НАСТРОЙКИ!$D$6&amp;"]CF'!$L$3:$EO$3"),BR$22,INDIRECT("'["&amp;НАСТРОЙКИ!$D$6&amp;"]CF'!$L$51:$EO$51")),0))</f>
        <v>0</v>
      </c>
      <c r="BS64" s="35">
        <f ca="1">IF(НАСТРОЙКИ!$B$6&lt;&gt;"Да",0,IFERROR(SUMIF(INDIRECT("'["&amp;НАСТРОЙКИ!$D$6&amp;"]CF'!$L$3:$EO$3"),BS$22,INDIRECT("'["&amp;НАСТРОЙКИ!$D$6&amp;"]CF'!$L$51:$EO$51")),0))</f>
        <v>0</v>
      </c>
      <c r="BT64" s="35">
        <f ca="1">IF(НАСТРОЙКИ!$B$6&lt;&gt;"Да",0,IFERROR(SUMIF(INDIRECT("'["&amp;НАСТРОЙКИ!$D$6&amp;"]CF'!$L$3:$EO$3"),BT$22,INDIRECT("'["&amp;НАСТРОЙКИ!$D$6&amp;"]CF'!$L$51:$EO$51")),0))</f>
        <v>0</v>
      </c>
      <c r="BU64" s="35">
        <f ca="1">IF(НАСТРОЙКИ!$B$6&lt;&gt;"Да",0,IFERROR(SUMIF(INDIRECT("'["&amp;НАСТРОЙКИ!$D$6&amp;"]CF'!$L$3:$EO$3"),BU$22,INDIRECT("'["&amp;НАСТРОЙКИ!$D$6&amp;"]CF'!$L$51:$EO$51")),0))</f>
        <v>0</v>
      </c>
      <c r="BV64" s="35">
        <f ca="1">IF(НАСТРОЙКИ!$B$6&lt;&gt;"Да",0,IFERROR(SUMIF(INDIRECT("'["&amp;НАСТРОЙКИ!$D$6&amp;"]CF'!$L$3:$EO$3"),BV$22,INDIRECT("'["&amp;НАСТРОЙКИ!$D$6&amp;"]CF'!$L$51:$EO$51")),0))</f>
        <v>0</v>
      </c>
      <c r="BW64" s="35">
        <f ca="1">IF(НАСТРОЙКИ!$B$6&lt;&gt;"Да",0,IFERROR(SUMIF(INDIRECT("'["&amp;НАСТРОЙКИ!$D$6&amp;"]CF'!$L$3:$EO$3"),BW$22,INDIRECT("'["&amp;НАСТРОЙКИ!$D$6&amp;"]CF'!$L$51:$EO$51")),0))</f>
        <v>0</v>
      </c>
      <c r="BX64" s="35">
        <f ca="1">IF(НАСТРОЙКИ!$B$6&lt;&gt;"Да",0,IFERROR(SUMIF(INDIRECT("'["&amp;НАСТРОЙКИ!$D$6&amp;"]CF'!$L$3:$EO$3"),BX$22,INDIRECT("'["&amp;НАСТРОЙКИ!$D$6&amp;"]CF'!$L$51:$EO$51")),0))</f>
        <v>0</v>
      </c>
      <c r="BY64" s="35">
        <f ca="1">IF(НАСТРОЙКИ!$B$6&lt;&gt;"Да",0,IFERROR(SUMIF(INDIRECT("'["&amp;НАСТРОЙКИ!$D$6&amp;"]CF'!$L$3:$EO$3"),BY$22,INDIRECT("'["&amp;НАСТРОЙКИ!$D$6&amp;"]CF'!$L$51:$EO$51")),0))</f>
        <v>0</v>
      </c>
      <c r="BZ64" s="35">
        <f ca="1">IF(НАСТРОЙКИ!$B$6&lt;&gt;"Да",0,IFERROR(SUMIF(INDIRECT("'["&amp;НАСТРОЙКИ!$D$6&amp;"]CF'!$L$3:$EO$3"),BZ$22,INDIRECT("'["&amp;НАСТРОЙКИ!$D$6&amp;"]CF'!$L$51:$EO$51")),0))</f>
        <v>0</v>
      </c>
      <c r="CA64" s="35">
        <f ca="1">IF(НАСТРОЙКИ!$B$6&lt;&gt;"Да",0,IFERROR(SUMIF(INDIRECT("'["&amp;НАСТРОЙКИ!$D$6&amp;"]CF'!$L$3:$EO$3"),CA$22,INDIRECT("'["&amp;НАСТРОЙКИ!$D$6&amp;"]CF'!$L$51:$EO$51")),0))</f>
        <v>0</v>
      </c>
      <c r="CB64" s="35">
        <f ca="1">IF(НАСТРОЙКИ!$B$6&lt;&gt;"Да",0,IFERROR(SUMIF(INDIRECT("'["&amp;НАСТРОЙКИ!$D$6&amp;"]CF'!$L$3:$EO$3"),CB$22,INDIRECT("'["&amp;НАСТРОЙКИ!$D$6&amp;"]CF'!$L$51:$EO$51")),0))</f>
        <v>0</v>
      </c>
      <c r="CC64" s="35">
        <f ca="1">IF(НАСТРОЙКИ!$B$6&lt;&gt;"Да",0,IFERROR(SUMIF(INDIRECT("'["&amp;НАСТРОЙКИ!$D$6&amp;"]CF'!$L$3:$EO$3"),CC$22,INDIRECT("'["&amp;НАСТРОЙКИ!$D$6&amp;"]CF'!$L$51:$EO$51")),0))</f>
        <v>0</v>
      </c>
      <c r="CD64" s="35">
        <f ca="1">IF(НАСТРОЙКИ!$B$6&lt;&gt;"Да",0,IFERROR(SUMIF(INDIRECT("'["&amp;НАСТРОЙКИ!$D$6&amp;"]CF'!$L$3:$EO$3"),CD$22,INDIRECT("'["&amp;НАСТРОЙКИ!$D$6&amp;"]CF'!$L$51:$EO$51")),0))</f>
        <v>0</v>
      </c>
      <c r="CE64" s="35">
        <f ca="1">IF(НАСТРОЙКИ!$B$6&lt;&gt;"Да",0,IFERROR(SUMIF(INDIRECT("'["&amp;НАСТРОЙКИ!$D$6&amp;"]CF'!$L$3:$EO$3"),CE$22,INDIRECT("'["&amp;НАСТРОЙКИ!$D$6&amp;"]CF'!$L$51:$EO$51")),0))</f>
        <v>0</v>
      </c>
      <c r="CF64" s="35">
        <f ca="1">IF(НАСТРОЙКИ!$B$6&lt;&gt;"Да",0,IFERROR(SUMIF(INDIRECT("'["&amp;НАСТРОЙКИ!$D$6&amp;"]CF'!$L$3:$EO$3"),CF$22,INDIRECT("'["&amp;НАСТРОЙКИ!$D$6&amp;"]CF'!$L$51:$EO$51")),0))</f>
        <v>0</v>
      </c>
      <c r="CG64" s="35">
        <f ca="1">IF(НАСТРОЙКИ!$B$6&lt;&gt;"Да",0,IFERROR(SUMIF(INDIRECT("'["&amp;НАСТРОЙКИ!$D$6&amp;"]CF'!$L$3:$EO$3"),CG$22,INDIRECT("'["&amp;НАСТРОЙКИ!$D$6&amp;"]CF'!$L$51:$EO$51")),0))</f>
        <v>0</v>
      </c>
      <c r="CH64" s="35">
        <f ca="1">IF(НАСТРОЙКИ!$B$6&lt;&gt;"Да",0,IFERROR(SUMIF(INDIRECT("'["&amp;НАСТРОЙКИ!$D$6&amp;"]CF'!$L$3:$EO$3"),CH$22,INDIRECT("'["&amp;НАСТРОЙКИ!$D$6&amp;"]CF'!$L$51:$EO$51")),0))</f>
        <v>0</v>
      </c>
      <c r="CI64" s="35">
        <f ca="1">IF(НАСТРОЙКИ!$B$6&lt;&gt;"Да",0,IFERROR(SUMIF(INDIRECT("'["&amp;НАСТРОЙКИ!$D$6&amp;"]CF'!$L$3:$EO$3"),CI$22,INDIRECT("'["&amp;НАСТРОЙКИ!$D$6&amp;"]CF'!$L$51:$EO$51")),0))</f>
        <v>0</v>
      </c>
      <c r="CJ64" s="35">
        <f ca="1">IF(НАСТРОЙКИ!$B$6&lt;&gt;"Да",0,IFERROR(SUMIF(INDIRECT("'["&amp;НАСТРОЙКИ!$D$6&amp;"]CF'!$L$3:$EO$3"),CJ$22,INDIRECT("'["&amp;НАСТРОЙКИ!$D$6&amp;"]CF'!$L$51:$EO$51")),0))</f>
        <v>0</v>
      </c>
      <c r="CK64" s="35">
        <f ca="1">IF(НАСТРОЙКИ!$B$6&lt;&gt;"Да",0,IFERROR(SUMIF(INDIRECT("'["&amp;НАСТРОЙКИ!$D$6&amp;"]CF'!$L$3:$EO$3"),CK$22,INDIRECT("'["&amp;НАСТРОЙКИ!$D$6&amp;"]CF'!$L$51:$EO$51")),0))</f>
        <v>0</v>
      </c>
      <c r="CL64" s="35">
        <f ca="1">IF(НАСТРОЙКИ!$B$6&lt;&gt;"Да",0,IFERROR(SUMIF(INDIRECT("'["&amp;НАСТРОЙКИ!$D$6&amp;"]CF'!$L$3:$EO$3"),CL$22,INDIRECT("'["&amp;НАСТРОЙКИ!$D$6&amp;"]CF'!$L$51:$EO$51")),0))</f>
        <v>0</v>
      </c>
      <c r="CM64" s="35">
        <f ca="1">IF(НАСТРОЙКИ!$B$6&lt;&gt;"Да",0,IFERROR(SUMIF(INDIRECT("'["&amp;НАСТРОЙКИ!$D$6&amp;"]CF'!$L$3:$EO$3"),CM$22,INDIRECT("'["&amp;НАСТРОЙКИ!$D$6&amp;"]CF'!$L$51:$EO$51")),0))</f>
        <v>0</v>
      </c>
      <c r="CN64" s="35">
        <f ca="1">IF(НАСТРОЙКИ!$B$6&lt;&gt;"Да",0,IFERROR(SUMIF(INDIRECT("'["&amp;НАСТРОЙКИ!$D$6&amp;"]CF'!$L$3:$EO$3"),CN$22,INDIRECT("'["&amp;НАСТРОЙКИ!$D$6&amp;"]CF'!$L$51:$EO$51")),0))</f>
        <v>0</v>
      </c>
      <c r="CO64" s="35">
        <f ca="1">IF(НАСТРОЙКИ!$B$6&lt;&gt;"Да",0,IFERROR(SUMIF(INDIRECT("'["&amp;НАСТРОЙКИ!$D$6&amp;"]CF'!$L$3:$EO$3"),CO$22,INDIRECT("'["&amp;НАСТРОЙКИ!$D$6&amp;"]CF'!$L$51:$EO$51")),0))</f>
        <v>0</v>
      </c>
      <c r="CP64" s="35">
        <f ca="1">IF(НАСТРОЙКИ!$B$6&lt;&gt;"Да",0,IFERROR(SUMIF(INDIRECT("'["&amp;НАСТРОЙКИ!$D$6&amp;"]CF'!$L$3:$EO$3"),CP$22,INDIRECT("'["&amp;НАСТРОЙКИ!$D$6&amp;"]CF'!$L$51:$EO$51")),0))</f>
        <v>0</v>
      </c>
      <c r="CQ64" s="35">
        <f ca="1">IF(НАСТРОЙКИ!$B$6&lt;&gt;"Да",0,IFERROR(SUMIF(INDIRECT("'["&amp;НАСТРОЙКИ!$D$6&amp;"]CF'!$L$3:$EO$3"),CQ$22,INDIRECT("'["&amp;НАСТРОЙКИ!$D$6&amp;"]CF'!$L$51:$EO$51")),0))</f>
        <v>0</v>
      </c>
      <c r="CR64" s="35">
        <f ca="1">IF(НАСТРОЙКИ!$B$6&lt;&gt;"Да",0,IFERROR(SUMIF(INDIRECT("'["&amp;НАСТРОЙКИ!$D$6&amp;"]CF'!$L$3:$EO$3"),CR$22,INDIRECT("'["&amp;НАСТРОЙКИ!$D$6&amp;"]CF'!$L$51:$EO$51")),0))</f>
        <v>0</v>
      </c>
      <c r="CS64" s="35">
        <f ca="1">IF(НАСТРОЙКИ!$B$6&lt;&gt;"Да",0,IFERROR(SUMIF(INDIRECT("'["&amp;НАСТРОЙКИ!$D$6&amp;"]CF'!$L$3:$EO$3"),CS$22,INDIRECT("'["&amp;НАСТРОЙКИ!$D$6&amp;"]CF'!$L$51:$EO$51")),0))</f>
        <v>0</v>
      </c>
      <c r="CT64" s="35">
        <f ca="1">IF(НАСТРОЙКИ!$B$6&lt;&gt;"Да",0,IFERROR(SUMIF(INDIRECT("'["&amp;НАСТРОЙКИ!$D$6&amp;"]CF'!$L$3:$EO$3"),CT$22,INDIRECT("'["&amp;НАСТРОЙКИ!$D$6&amp;"]CF'!$L$51:$EO$51")),0))</f>
        <v>0</v>
      </c>
      <c r="CU64" s="35">
        <f ca="1">IF(НАСТРОЙКИ!$B$6&lt;&gt;"Да",0,IFERROR(SUMIF(INDIRECT("'["&amp;НАСТРОЙКИ!$D$6&amp;"]CF'!$L$3:$EO$3"),CU$22,INDIRECT("'["&amp;НАСТРОЙКИ!$D$6&amp;"]CF'!$L$51:$EO$51")),0))</f>
        <v>0</v>
      </c>
      <c r="CV64" s="35">
        <f ca="1">IF(НАСТРОЙКИ!$B$6&lt;&gt;"Да",0,IFERROR(SUMIF(INDIRECT("'["&amp;НАСТРОЙКИ!$D$6&amp;"]CF'!$L$3:$EO$3"),CV$22,INDIRECT("'["&amp;НАСТРОЙКИ!$D$6&amp;"]CF'!$L$51:$EO$51")),0))</f>
        <v>0</v>
      </c>
      <c r="CW64" s="35">
        <f ca="1">IF(НАСТРОЙКИ!$B$6&lt;&gt;"Да",0,IFERROR(SUMIF(INDIRECT("'["&amp;НАСТРОЙКИ!$D$6&amp;"]CF'!$L$3:$EO$3"),CW$22,INDIRECT("'["&amp;НАСТРОЙКИ!$D$6&amp;"]CF'!$L$51:$EO$51")),0))</f>
        <v>0</v>
      </c>
      <c r="CX64" s="35">
        <f ca="1">IF(НАСТРОЙКИ!$B$6&lt;&gt;"Да",0,IFERROR(SUMIF(INDIRECT("'["&amp;НАСТРОЙКИ!$D$6&amp;"]CF'!$L$3:$EO$3"),CX$22,INDIRECT("'["&amp;НАСТРОЙКИ!$D$6&amp;"]CF'!$L$51:$EO$51")),0))</f>
        <v>0</v>
      </c>
      <c r="CY64" s="35">
        <f ca="1">IF(НАСТРОЙКИ!$B$6&lt;&gt;"Да",0,IFERROR(SUMIF(INDIRECT("'["&amp;НАСТРОЙКИ!$D$6&amp;"]CF'!$L$3:$EO$3"),CY$22,INDIRECT("'["&amp;НАСТРОЙКИ!$D$6&amp;"]CF'!$L$51:$EO$51")),0))</f>
        <v>0</v>
      </c>
      <c r="CZ64" s="35">
        <f ca="1">IF(НАСТРОЙКИ!$B$6&lt;&gt;"Да",0,IFERROR(SUMIF(INDIRECT("'["&amp;НАСТРОЙКИ!$D$6&amp;"]CF'!$L$3:$EO$3"),CZ$22,INDIRECT("'["&amp;НАСТРОЙКИ!$D$6&amp;"]CF'!$L$51:$EO$51")),0))</f>
        <v>0</v>
      </c>
      <c r="DA64" s="35">
        <f ca="1">IF(НАСТРОЙКИ!$B$6&lt;&gt;"Да",0,IFERROR(SUMIF(INDIRECT("'["&amp;НАСТРОЙКИ!$D$6&amp;"]CF'!$L$3:$EO$3"),DA$22,INDIRECT("'["&amp;НАСТРОЙКИ!$D$6&amp;"]CF'!$L$51:$EO$51")),0))</f>
        <v>0</v>
      </c>
      <c r="DB64" s="35">
        <f ca="1">IF(НАСТРОЙКИ!$B$6&lt;&gt;"Да",0,IFERROR(SUMIF(INDIRECT("'["&amp;НАСТРОЙКИ!$D$6&amp;"]CF'!$L$3:$EO$3"),DB$22,INDIRECT("'["&amp;НАСТРОЙКИ!$D$6&amp;"]CF'!$L$51:$EO$51")),0))</f>
        <v>0</v>
      </c>
      <c r="DC64" s="35">
        <f ca="1">IF(НАСТРОЙКИ!$B$6&lt;&gt;"Да",0,IFERROR(SUMIF(INDIRECT("'["&amp;НАСТРОЙКИ!$D$6&amp;"]CF'!$L$3:$EO$3"),DC$22,INDIRECT("'["&amp;НАСТРОЙКИ!$D$6&amp;"]CF'!$L$51:$EO$51")),0))</f>
        <v>0</v>
      </c>
      <c r="DD64" s="35">
        <f ca="1">IF(НАСТРОЙКИ!$B$6&lt;&gt;"Да",0,IFERROR(SUMIF(INDIRECT("'["&amp;НАСТРОЙКИ!$D$6&amp;"]CF'!$L$3:$EO$3"),DD$22,INDIRECT("'["&amp;НАСТРОЙКИ!$D$6&amp;"]CF'!$L$51:$EO$51")),0))</f>
        <v>0</v>
      </c>
      <c r="DE64" s="35">
        <f ca="1">IF(НАСТРОЙКИ!$B$6&lt;&gt;"Да",0,IFERROR(SUMIF(INDIRECT("'["&amp;НАСТРОЙКИ!$D$6&amp;"]CF'!$L$3:$EO$3"),DE$22,INDIRECT("'["&amp;НАСТРОЙКИ!$D$6&amp;"]CF'!$L$51:$EO$51")),0))</f>
        <v>0</v>
      </c>
      <c r="DF64" s="35">
        <f ca="1">IF(НАСТРОЙКИ!$B$6&lt;&gt;"Да",0,IFERROR(SUMIF(INDIRECT("'["&amp;НАСТРОЙКИ!$D$6&amp;"]CF'!$L$3:$EO$3"),DF$22,INDIRECT("'["&amp;НАСТРОЙКИ!$D$6&amp;"]CF'!$L$51:$EO$51")),0))</f>
        <v>0</v>
      </c>
    </row>
    <row r="65" spans="1:110">
      <c r="A65" s="34" t="s">
        <v>127</v>
      </c>
      <c r="B65" s="34" t="s">
        <v>58</v>
      </c>
      <c r="C65" s="36">
        <f t="shared" ref="C65:AH65" ca="1" si="76">C61+C62+C63+C64</f>
        <v>0</v>
      </c>
      <c r="D65" s="36">
        <f t="shared" ca="1" si="76"/>
        <v>0</v>
      </c>
      <c r="E65" s="36">
        <f t="shared" ca="1" si="76"/>
        <v>0</v>
      </c>
      <c r="F65" s="36">
        <f t="shared" ca="1" si="76"/>
        <v>0</v>
      </c>
      <c r="G65" s="36">
        <f t="shared" ca="1" si="76"/>
        <v>0</v>
      </c>
      <c r="H65" s="36">
        <f t="shared" ca="1" si="76"/>
        <v>0</v>
      </c>
      <c r="I65" s="36">
        <f t="shared" ca="1" si="76"/>
        <v>0</v>
      </c>
      <c r="J65" s="36">
        <f t="shared" ca="1" si="76"/>
        <v>0</v>
      </c>
      <c r="K65" s="36">
        <f t="shared" ca="1" si="76"/>
        <v>0</v>
      </c>
      <c r="L65" s="36">
        <f t="shared" ca="1" si="76"/>
        <v>0</v>
      </c>
      <c r="M65" s="36">
        <f t="shared" ca="1" si="76"/>
        <v>0</v>
      </c>
      <c r="N65" s="36">
        <f t="shared" ca="1" si="76"/>
        <v>0</v>
      </c>
      <c r="O65" s="36">
        <f t="shared" ca="1" si="76"/>
        <v>0</v>
      </c>
      <c r="P65" s="36">
        <f t="shared" ca="1" si="76"/>
        <v>0</v>
      </c>
      <c r="Q65" s="36">
        <f t="shared" ca="1" si="76"/>
        <v>0</v>
      </c>
      <c r="R65" s="36">
        <f t="shared" ca="1" si="76"/>
        <v>0</v>
      </c>
      <c r="S65" s="36">
        <f t="shared" ca="1" si="76"/>
        <v>0</v>
      </c>
      <c r="T65" s="36">
        <f t="shared" ca="1" si="76"/>
        <v>0</v>
      </c>
      <c r="U65" s="36">
        <f t="shared" ca="1" si="76"/>
        <v>0</v>
      </c>
      <c r="V65" s="36">
        <f t="shared" ca="1" si="76"/>
        <v>0</v>
      </c>
      <c r="W65" s="36">
        <f t="shared" ca="1" si="76"/>
        <v>0</v>
      </c>
      <c r="X65" s="36">
        <f t="shared" ca="1" si="76"/>
        <v>0</v>
      </c>
      <c r="Y65" s="36">
        <f t="shared" ca="1" si="76"/>
        <v>0</v>
      </c>
      <c r="Z65" s="36">
        <f t="shared" ca="1" si="76"/>
        <v>0</v>
      </c>
      <c r="AA65" s="36">
        <f t="shared" ca="1" si="76"/>
        <v>0</v>
      </c>
      <c r="AB65" s="36">
        <f t="shared" ca="1" si="76"/>
        <v>0</v>
      </c>
      <c r="AC65" s="36">
        <f t="shared" ca="1" si="76"/>
        <v>0</v>
      </c>
      <c r="AD65" s="36">
        <f t="shared" ca="1" si="76"/>
        <v>0</v>
      </c>
      <c r="AE65" s="36">
        <f t="shared" ca="1" si="76"/>
        <v>0</v>
      </c>
      <c r="AF65" s="36">
        <f t="shared" ca="1" si="76"/>
        <v>0</v>
      </c>
      <c r="AG65" s="36">
        <f t="shared" ca="1" si="76"/>
        <v>0</v>
      </c>
      <c r="AH65" s="36">
        <f t="shared" ca="1" si="76"/>
        <v>0</v>
      </c>
      <c r="AI65" s="36">
        <f t="shared" ref="AI65:BN65" ca="1" si="77">AI61+AI62+AI63+AI64</f>
        <v>0</v>
      </c>
      <c r="AJ65" s="36">
        <f t="shared" ca="1" si="77"/>
        <v>0</v>
      </c>
      <c r="AK65" s="36">
        <f t="shared" ca="1" si="77"/>
        <v>0</v>
      </c>
      <c r="AL65" s="36">
        <f t="shared" ca="1" si="77"/>
        <v>0</v>
      </c>
      <c r="AM65" s="36">
        <f t="shared" ca="1" si="77"/>
        <v>0</v>
      </c>
      <c r="AN65" s="36">
        <f t="shared" ca="1" si="77"/>
        <v>0</v>
      </c>
      <c r="AO65" s="36">
        <f t="shared" ca="1" si="77"/>
        <v>0</v>
      </c>
      <c r="AP65" s="36">
        <f t="shared" ca="1" si="77"/>
        <v>0</v>
      </c>
      <c r="AQ65" s="36">
        <f t="shared" ca="1" si="77"/>
        <v>0</v>
      </c>
      <c r="AR65" s="36">
        <f t="shared" ca="1" si="77"/>
        <v>0</v>
      </c>
      <c r="AS65" s="36">
        <f t="shared" ca="1" si="77"/>
        <v>0</v>
      </c>
      <c r="AT65" s="36">
        <f t="shared" ca="1" si="77"/>
        <v>0</v>
      </c>
      <c r="AU65" s="36">
        <f t="shared" ca="1" si="77"/>
        <v>0</v>
      </c>
      <c r="AV65" s="36">
        <f t="shared" ca="1" si="77"/>
        <v>0</v>
      </c>
      <c r="AW65" s="36">
        <f t="shared" ca="1" si="77"/>
        <v>0</v>
      </c>
      <c r="AX65" s="36">
        <f t="shared" ca="1" si="77"/>
        <v>0</v>
      </c>
      <c r="AY65" s="36">
        <f t="shared" ca="1" si="77"/>
        <v>0</v>
      </c>
      <c r="AZ65" s="36">
        <f t="shared" ca="1" si="77"/>
        <v>0</v>
      </c>
      <c r="BA65" s="36">
        <f t="shared" ca="1" si="77"/>
        <v>0</v>
      </c>
      <c r="BB65" s="36">
        <f t="shared" ca="1" si="77"/>
        <v>0</v>
      </c>
      <c r="BC65" s="36">
        <f t="shared" ca="1" si="77"/>
        <v>0</v>
      </c>
      <c r="BD65" s="36">
        <f t="shared" ca="1" si="77"/>
        <v>0</v>
      </c>
      <c r="BE65" s="36">
        <f t="shared" ca="1" si="77"/>
        <v>0</v>
      </c>
      <c r="BF65" s="36">
        <f t="shared" ca="1" si="77"/>
        <v>0</v>
      </c>
      <c r="BG65" s="36">
        <f t="shared" ca="1" si="77"/>
        <v>0</v>
      </c>
      <c r="BH65" s="36">
        <f t="shared" ca="1" si="77"/>
        <v>0</v>
      </c>
      <c r="BI65" s="36">
        <f t="shared" ca="1" si="77"/>
        <v>0</v>
      </c>
      <c r="BJ65" s="36">
        <f t="shared" ca="1" si="77"/>
        <v>0</v>
      </c>
      <c r="BK65" s="36">
        <f t="shared" ca="1" si="77"/>
        <v>0</v>
      </c>
      <c r="BL65" s="36">
        <f t="shared" ca="1" si="77"/>
        <v>0</v>
      </c>
      <c r="BM65" s="36">
        <f t="shared" ca="1" si="77"/>
        <v>0</v>
      </c>
      <c r="BN65" s="36">
        <f t="shared" ca="1" si="77"/>
        <v>0</v>
      </c>
      <c r="BO65" s="36">
        <f t="shared" ref="BO65:CT65" ca="1" si="78">BO61+BO62+BO63+BO64</f>
        <v>0</v>
      </c>
      <c r="BP65" s="36">
        <f t="shared" ca="1" si="78"/>
        <v>0</v>
      </c>
      <c r="BQ65" s="36">
        <f t="shared" ca="1" si="78"/>
        <v>0</v>
      </c>
      <c r="BR65" s="36">
        <f t="shared" ca="1" si="78"/>
        <v>0</v>
      </c>
      <c r="BS65" s="36">
        <f t="shared" ca="1" si="78"/>
        <v>0</v>
      </c>
      <c r="BT65" s="36">
        <f t="shared" ca="1" si="78"/>
        <v>0</v>
      </c>
      <c r="BU65" s="36">
        <f t="shared" ca="1" si="78"/>
        <v>0</v>
      </c>
      <c r="BV65" s="36">
        <f t="shared" ca="1" si="78"/>
        <v>0</v>
      </c>
      <c r="BW65" s="36">
        <f t="shared" ca="1" si="78"/>
        <v>0</v>
      </c>
      <c r="BX65" s="36">
        <f t="shared" ca="1" si="78"/>
        <v>0</v>
      </c>
      <c r="BY65" s="36">
        <f t="shared" ca="1" si="78"/>
        <v>0</v>
      </c>
      <c r="BZ65" s="36">
        <f t="shared" ca="1" si="78"/>
        <v>0</v>
      </c>
      <c r="CA65" s="36">
        <f t="shared" ca="1" si="78"/>
        <v>0</v>
      </c>
      <c r="CB65" s="36">
        <f t="shared" ca="1" si="78"/>
        <v>0</v>
      </c>
      <c r="CC65" s="36">
        <f t="shared" ca="1" si="78"/>
        <v>0</v>
      </c>
      <c r="CD65" s="36">
        <f t="shared" ca="1" si="78"/>
        <v>0</v>
      </c>
      <c r="CE65" s="36">
        <f t="shared" ca="1" si="78"/>
        <v>0</v>
      </c>
      <c r="CF65" s="36">
        <f t="shared" ca="1" si="78"/>
        <v>0</v>
      </c>
      <c r="CG65" s="36">
        <f t="shared" ca="1" si="78"/>
        <v>0</v>
      </c>
      <c r="CH65" s="36">
        <f t="shared" ca="1" si="78"/>
        <v>0</v>
      </c>
      <c r="CI65" s="36">
        <f t="shared" ca="1" si="78"/>
        <v>0</v>
      </c>
      <c r="CJ65" s="36">
        <f t="shared" ca="1" si="78"/>
        <v>0</v>
      </c>
      <c r="CK65" s="36">
        <f t="shared" ca="1" si="78"/>
        <v>0</v>
      </c>
      <c r="CL65" s="36">
        <f t="shared" ca="1" si="78"/>
        <v>0</v>
      </c>
      <c r="CM65" s="36">
        <f t="shared" ca="1" si="78"/>
        <v>0</v>
      </c>
      <c r="CN65" s="36">
        <f t="shared" ca="1" si="78"/>
        <v>0</v>
      </c>
      <c r="CO65" s="36">
        <f t="shared" ca="1" si="78"/>
        <v>0</v>
      </c>
      <c r="CP65" s="36">
        <f t="shared" ca="1" si="78"/>
        <v>0</v>
      </c>
      <c r="CQ65" s="36">
        <f t="shared" ca="1" si="78"/>
        <v>0</v>
      </c>
      <c r="CR65" s="36">
        <f t="shared" ca="1" si="78"/>
        <v>0</v>
      </c>
      <c r="CS65" s="36">
        <f t="shared" ca="1" si="78"/>
        <v>0</v>
      </c>
      <c r="CT65" s="36">
        <f t="shared" ca="1" si="78"/>
        <v>0</v>
      </c>
      <c r="CU65" s="36">
        <f t="shared" ref="CU65:DF65" ca="1" si="79">CU61+CU62+CU63+CU64</f>
        <v>0</v>
      </c>
      <c r="CV65" s="36">
        <f t="shared" ca="1" si="79"/>
        <v>0</v>
      </c>
      <c r="CW65" s="36">
        <f t="shared" ca="1" si="79"/>
        <v>0</v>
      </c>
      <c r="CX65" s="36">
        <f t="shared" ca="1" si="79"/>
        <v>0</v>
      </c>
      <c r="CY65" s="36">
        <f t="shared" ca="1" si="79"/>
        <v>0</v>
      </c>
      <c r="CZ65" s="36">
        <f t="shared" ca="1" si="79"/>
        <v>0</v>
      </c>
      <c r="DA65" s="36">
        <f t="shared" ca="1" si="79"/>
        <v>0</v>
      </c>
      <c r="DB65" s="36">
        <f t="shared" ca="1" si="79"/>
        <v>0</v>
      </c>
      <c r="DC65" s="36">
        <f t="shared" ca="1" si="79"/>
        <v>0</v>
      </c>
      <c r="DD65" s="36">
        <f t="shared" ca="1" si="79"/>
        <v>0</v>
      </c>
      <c r="DE65" s="36">
        <f t="shared" ca="1" si="79"/>
        <v>0</v>
      </c>
      <c r="DF65" s="36">
        <f t="shared" ca="1" si="79"/>
        <v>0</v>
      </c>
    </row>
    <row r="66" spans="1:110">
      <c r="A66" s="34" t="s">
        <v>128</v>
      </c>
      <c r="B66" s="34" t="s">
        <v>58</v>
      </c>
      <c r="C66" s="35">
        <f ca="1">IF(НАСТРОЙКИ!$B$6&lt;&gt;"Да",0,IFERROR(SUMIF(INDIRECT("'["&amp;НАСТРОЙКИ!$D$6&amp;"]CF'!$L$3:$EO$3"),C$22,INDIRECT("'["&amp;НАСТРОЙКИ!$D$6&amp;"]CF'!$L$65:$EO$65")),0))</f>
        <v>0</v>
      </c>
      <c r="D66" s="35">
        <f ca="1">IF(НАСТРОЙКИ!$B$6&lt;&gt;"Да",0,IFERROR(SUMIF(INDIRECT("'["&amp;НАСТРОЙКИ!$D$6&amp;"]CF'!$L$3:$EO$3"),D$22,INDIRECT("'["&amp;НАСТРОЙКИ!$D$6&amp;"]CF'!$L$65:$EO$65")),0))</f>
        <v>0</v>
      </c>
      <c r="E66" s="35">
        <f ca="1">IF(НАСТРОЙКИ!$B$6&lt;&gt;"Да",0,IFERROR(SUMIF(INDIRECT("'["&amp;НАСТРОЙКИ!$D$6&amp;"]CF'!$L$3:$EO$3"),E$22,INDIRECT("'["&amp;НАСТРОЙКИ!$D$6&amp;"]CF'!$L$65:$EO$65")),0))</f>
        <v>0</v>
      </c>
      <c r="F66" s="35">
        <f ca="1">IF(НАСТРОЙКИ!$B$6&lt;&gt;"Да",0,IFERROR(SUMIF(INDIRECT("'["&amp;НАСТРОЙКИ!$D$6&amp;"]CF'!$L$3:$EO$3"),F$22,INDIRECT("'["&amp;НАСТРОЙКИ!$D$6&amp;"]CF'!$L$65:$EO$65")),0))</f>
        <v>0</v>
      </c>
      <c r="G66" s="35">
        <f ca="1">IF(НАСТРОЙКИ!$B$6&lt;&gt;"Да",0,IFERROR(SUMIF(INDIRECT("'["&amp;НАСТРОЙКИ!$D$6&amp;"]CF'!$L$3:$EO$3"),G$22,INDIRECT("'["&amp;НАСТРОЙКИ!$D$6&amp;"]CF'!$L$65:$EO$65")),0))</f>
        <v>0</v>
      </c>
      <c r="H66" s="35">
        <f ca="1">IF(НАСТРОЙКИ!$B$6&lt;&gt;"Да",0,IFERROR(SUMIF(INDIRECT("'["&amp;НАСТРОЙКИ!$D$6&amp;"]CF'!$L$3:$EO$3"),H$22,INDIRECT("'["&amp;НАСТРОЙКИ!$D$6&amp;"]CF'!$L$65:$EO$65")),0))</f>
        <v>0</v>
      </c>
      <c r="I66" s="35">
        <f ca="1">IF(НАСТРОЙКИ!$B$6&lt;&gt;"Да",0,IFERROR(SUMIF(INDIRECT("'["&amp;НАСТРОЙКИ!$D$6&amp;"]CF'!$L$3:$EO$3"),I$22,INDIRECT("'["&amp;НАСТРОЙКИ!$D$6&amp;"]CF'!$L$65:$EO$65")),0))</f>
        <v>0</v>
      </c>
      <c r="J66" s="35">
        <f ca="1">IF(НАСТРОЙКИ!$B$6&lt;&gt;"Да",0,IFERROR(SUMIF(INDIRECT("'["&amp;НАСТРОЙКИ!$D$6&amp;"]CF'!$L$3:$EO$3"),J$22,INDIRECT("'["&amp;НАСТРОЙКИ!$D$6&amp;"]CF'!$L$65:$EO$65")),0))</f>
        <v>0</v>
      </c>
      <c r="K66" s="35">
        <f ca="1">IF(НАСТРОЙКИ!$B$6&lt;&gt;"Да",0,IFERROR(SUMIF(INDIRECT("'["&amp;НАСТРОЙКИ!$D$6&amp;"]CF'!$L$3:$EO$3"),K$22,INDIRECT("'["&amp;НАСТРОЙКИ!$D$6&amp;"]CF'!$L$65:$EO$65")),0))</f>
        <v>0</v>
      </c>
      <c r="L66" s="35">
        <f ca="1">IF(НАСТРОЙКИ!$B$6&lt;&gt;"Да",0,IFERROR(SUMIF(INDIRECT("'["&amp;НАСТРОЙКИ!$D$6&amp;"]CF'!$L$3:$EO$3"),L$22,INDIRECT("'["&amp;НАСТРОЙКИ!$D$6&amp;"]CF'!$L$65:$EO$65")),0))</f>
        <v>0</v>
      </c>
      <c r="M66" s="35">
        <f ca="1">IF(НАСТРОЙКИ!$B$6&lt;&gt;"Да",0,IFERROR(SUMIF(INDIRECT("'["&amp;НАСТРОЙКИ!$D$6&amp;"]CF'!$L$3:$EO$3"),M$22,INDIRECT("'["&amp;НАСТРОЙКИ!$D$6&amp;"]CF'!$L$65:$EO$65")),0))</f>
        <v>0</v>
      </c>
      <c r="N66" s="35">
        <f ca="1">IF(НАСТРОЙКИ!$B$6&lt;&gt;"Да",0,IFERROR(SUMIF(INDIRECT("'["&amp;НАСТРОЙКИ!$D$6&amp;"]CF'!$L$3:$EO$3"),N$22,INDIRECT("'["&amp;НАСТРОЙКИ!$D$6&amp;"]CF'!$L$65:$EO$65")),0))</f>
        <v>0</v>
      </c>
      <c r="O66" s="35">
        <f ca="1">IF(НАСТРОЙКИ!$B$6&lt;&gt;"Да",0,IFERROR(SUMIF(INDIRECT("'["&amp;НАСТРОЙКИ!$D$6&amp;"]CF'!$L$3:$EO$3"),O$22,INDIRECT("'["&amp;НАСТРОЙКИ!$D$6&amp;"]CF'!$L$65:$EO$65")),0))</f>
        <v>0</v>
      </c>
      <c r="P66" s="35">
        <f ca="1">IF(НАСТРОЙКИ!$B$6&lt;&gt;"Да",0,IFERROR(SUMIF(INDIRECT("'["&amp;НАСТРОЙКИ!$D$6&amp;"]CF'!$L$3:$EO$3"),P$22,INDIRECT("'["&amp;НАСТРОЙКИ!$D$6&amp;"]CF'!$L$65:$EO$65")),0))</f>
        <v>0</v>
      </c>
      <c r="Q66" s="35">
        <f ca="1">IF(НАСТРОЙКИ!$B$6&lt;&gt;"Да",0,IFERROR(SUMIF(INDIRECT("'["&amp;НАСТРОЙКИ!$D$6&amp;"]CF'!$L$3:$EO$3"),Q$22,INDIRECT("'["&amp;НАСТРОЙКИ!$D$6&amp;"]CF'!$L$65:$EO$65")),0))</f>
        <v>0</v>
      </c>
      <c r="R66" s="35">
        <f ca="1">IF(НАСТРОЙКИ!$B$6&lt;&gt;"Да",0,IFERROR(SUMIF(INDIRECT("'["&amp;НАСТРОЙКИ!$D$6&amp;"]CF'!$L$3:$EO$3"),R$22,INDIRECT("'["&amp;НАСТРОЙКИ!$D$6&amp;"]CF'!$L$65:$EO$65")),0))</f>
        <v>0</v>
      </c>
      <c r="S66" s="35">
        <f ca="1">IF(НАСТРОЙКИ!$B$6&lt;&gt;"Да",0,IFERROR(SUMIF(INDIRECT("'["&amp;НАСТРОЙКИ!$D$6&amp;"]CF'!$L$3:$EO$3"),S$22,INDIRECT("'["&amp;НАСТРОЙКИ!$D$6&amp;"]CF'!$L$65:$EO$65")),0))</f>
        <v>0</v>
      </c>
      <c r="T66" s="35">
        <f ca="1">IF(НАСТРОЙКИ!$B$6&lt;&gt;"Да",0,IFERROR(SUMIF(INDIRECT("'["&amp;НАСТРОЙКИ!$D$6&amp;"]CF'!$L$3:$EO$3"),T$22,INDIRECT("'["&amp;НАСТРОЙКИ!$D$6&amp;"]CF'!$L$65:$EO$65")),0))</f>
        <v>0</v>
      </c>
      <c r="U66" s="35">
        <f ca="1">IF(НАСТРОЙКИ!$B$6&lt;&gt;"Да",0,IFERROR(SUMIF(INDIRECT("'["&amp;НАСТРОЙКИ!$D$6&amp;"]CF'!$L$3:$EO$3"),U$22,INDIRECT("'["&amp;НАСТРОЙКИ!$D$6&amp;"]CF'!$L$65:$EO$65")),0))</f>
        <v>0</v>
      </c>
      <c r="V66" s="35">
        <f ca="1">IF(НАСТРОЙКИ!$B$6&lt;&gt;"Да",0,IFERROR(SUMIF(INDIRECT("'["&amp;НАСТРОЙКИ!$D$6&amp;"]CF'!$L$3:$EO$3"),V$22,INDIRECT("'["&amp;НАСТРОЙКИ!$D$6&amp;"]CF'!$L$65:$EO$65")),0))</f>
        <v>0</v>
      </c>
      <c r="W66" s="35">
        <f ca="1">IF(НАСТРОЙКИ!$B$6&lt;&gt;"Да",0,IFERROR(SUMIF(INDIRECT("'["&amp;НАСТРОЙКИ!$D$6&amp;"]CF'!$L$3:$EO$3"),W$22,INDIRECT("'["&amp;НАСТРОЙКИ!$D$6&amp;"]CF'!$L$65:$EO$65")),0))</f>
        <v>0</v>
      </c>
      <c r="X66" s="35">
        <f ca="1">IF(НАСТРОЙКИ!$B$6&lt;&gt;"Да",0,IFERROR(SUMIF(INDIRECT("'["&amp;НАСТРОЙКИ!$D$6&amp;"]CF'!$L$3:$EO$3"),X$22,INDIRECT("'["&amp;НАСТРОЙКИ!$D$6&amp;"]CF'!$L$65:$EO$65")),0))</f>
        <v>0</v>
      </c>
      <c r="Y66" s="35">
        <f ca="1">IF(НАСТРОЙКИ!$B$6&lt;&gt;"Да",0,IFERROR(SUMIF(INDIRECT("'["&amp;НАСТРОЙКИ!$D$6&amp;"]CF'!$L$3:$EO$3"),Y$22,INDIRECT("'["&amp;НАСТРОЙКИ!$D$6&amp;"]CF'!$L$65:$EO$65")),0))</f>
        <v>0</v>
      </c>
      <c r="Z66" s="35">
        <f ca="1">IF(НАСТРОЙКИ!$B$6&lt;&gt;"Да",0,IFERROR(SUMIF(INDIRECT("'["&amp;НАСТРОЙКИ!$D$6&amp;"]CF'!$L$3:$EO$3"),Z$22,INDIRECT("'["&amp;НАСТРОЙКИ!$D$6&amp;"]CF'!$L$65:$EO$65")),0))</f>
        <v>0</v>
      </c>
      <c r="AA66" s="35">
        <f ca="1">IF(НАСТРОЙКИ!$B$6&lt;&gt;"Да",0,IFERROR(SUMIF(INDIRECT("'["&amp;НАСТРОЙКИ!$D$6&amp;"]CF'!$L$3:$EO$3"),AA$22,INDIRECT("'["&amp;НАСТРОЙКИ!$D$6&amp;"]CF'!$L$65:$EO$65")),0))</f>
        <v>0</v>
      </c>
      <c r="AB66" s="35">
        <f ca="1">IF(НАСТРОЙКИ!$B$6&lt;&gt;"Да",0,IFERROR(SUMIF(INDIRECT("'["&amp;НАСТРОЙКИ!$D$6&amp;"]CF'!$L$3:$EO$3"),AB$22,INDIRECT("'["&amp;НАСТРОЙКИ!$D$6&amp;"]CF'!$L$65:$EO$65")),0))</f>
        <v>0</v>
      </c>
      <c r="AC66" s="35">
        <f ca="1">IF(НАСТРОЙКИ!$B$6&lt;&gt;"Да",0,IFERROR(SUMIF(INDIRECT("'["&amp;НАСТРОЙКИ!$D$6&amp;"]CF'!$L$3:$EO$3"),AC$22,INDIRECT("'["&amp;НАСТРОЙКИ!$D$6&amp;"]CF'!$L$65:$EO$65")),0))</f>
        <v>0</v>
      </c>
      <c r="AD66" s="35">
        <f ca="1">IF(НАСТРОЙКИ!$B$6&lt;&gt;"Да",0,IFERROR(SUMIF(INDIRECT("'["&amp;НАСТРОЙКИ!$D$6&amp;"]CF'!$L$3:$EO$3"),AD$22,INDIRECT("'["&amp;НАСТРОЙКИ!$D$6&amp;"]CF'!$L$65:$EO$65")),0))</f>
        <v>0</v>
      </c>
      <c r="AE66" s="35">
        <f ca="1">IF(НАСТРОЙКИ!$B$6&lt;&gt;"Да",0,IFERROR(SUMIF(INDIRECT("'["&amp;НАСТРОЙКИ!$D$6&amp;"]CF'!$L$3:$EO$3"),AE$22,INDIRECT("'["&amp;НАСТРОЙКИ!$D$6&amp;"]CF'!$L$65:$EO$65")),0))</f>
        <v>0</v>
      </c>
      <c r="AF66" s="35">
        <f ca="1">IF(НАСТРОЙКИ!$B$6&lt;&gt;"Да",0,IFERROR(SUMIF(INDIRECT("'["&amp;НАСТРОЙКИ!$D$6&amp;"]CF'!$L$3:$EO$3"),AF$22,INDIRECT("'["&amp;НАСТРОЙКИ!$D$6&amp;"]CF'!$L$65:$EO$65")),0))</f>
        <v>0</v>
      </c>
      <c r="AG66" s="35">
        <f ca="1">IF(НАСТРОЙКИ!$B$6&lt;&gt;"Да",0,IFERROR(SUMIF(INDIRECT("'["&amp;НАСТРОЙКИ!$D$6&amp;"]CF'!$L$3:$EO$3"),AG$22,INDIRECT("'["&amp;НАСТРОЙКИ!$D$6&amp;"]CF'!$L$65:$EO$65")),0))</f>
        <v>0</v>
      </c>
      <c r="AH66" s="35">
        <f ca="1">IF(НАСТРОЙКИ!$B$6&lt;&gt;"Да",0,IFERROR(SUMIF(INDIRECT("'["&amp;НАСТРОЙКИ!$D$6&amp;"]CF'!$L$3:$EO$3"),AH$22,INDIRECT("'["&amp;НАСТРОЙКИ!$D$6&amp;"]CF'!$L$65:$EO$65")),0))</f>
        <v>0</v>
      </c>
      <c r="AI66" s="35">
        <f ca="1">IF(НАСТРОЙКИ!$B$6&lt;&gt;"Да",0,IFERROR(SUMIF(INDIRECT("'["&amp;НАСТРОЙКИ!$D$6&amp;"]CF'!$L$3:$EO$3"),AI$22,INDIRECT("'["&amp;НАСТРОЙКИ!$D$6&amp;"]CF'!$L$65:$EO$65")),0))</f>
        <v>0</v>
      </c>
      <c r="AJ66" s="35">
        <f ca="1">IF(НАСТРОЙКИ!$B$6&lt;&gt;"Да",0,IFERROR(SUMIF(INDIRECT("'["&amp;НАСТРОЙКИ!$D$6&amp;"]CF'!$L$3:$EO$3"),AJ$22,INDIRECT("'["&amp;НАСТРОЙКИ!$D$6&amp;"]CF'!$L$65:$EO$65")),0))</f>
        <v>0</v>
      </c>
      <c r="AK66" s="35">
        <f ca="1">IF(НАСТРОЙКИ!$B$6&lt;&gt;"Да",0,IFERROR(SUMIF(INDIRECT("'["&amp;НАСТРОЙКИ!$D$6&amp;"]CF'!$L$3:$EO$3"),AK$22,INDIRECT("'["&amp;НАСТРОЙКИ!$D$6&amp;"]CF'!$L$65:$EO$65")),0))</f>
        <v>0</v>
      </c>
      <c r="AL66" s="35">
        <f ca="1">IF(НАСТРОЙКИ!$B$6&lt;&gt;"Да",0,IFERROR(SUMIF(INDIRECT("'["&amp;НАСТРОЙКИ!$D$6&amp;"]CF'!$L$3:$EO$3"),AL$22,INDIRECT("'["&amp;НАСТРОЙКИ!$D$6&amp;"]CF'!$L$65:$EO$65")),0))</f>
        <v>0</v>
      </c>
      <c r="AM66" s="35">
        <f ca="1">IF(НАСТРОЙКИ!$B$6&lt;&gt;"Да",0,IFERROR(SUMIF(INDIRECT("'["&amp;НАСТРОЙКИ!$D$6&amp;"]CF'!$L$3:$EO$3"),AM$22,INDIRECT("'["&amp;НАСТРОЙКИ!$D$6&amp;"]CF'!$L$65:$EO$65")),0))</f>
        <v>0</v>
      </c>
      <c r="AN66" s="35">
        <f ca="1">IF(НАСТРОЙКИ!$B$6&lt;&gt;"Да",0,IFERROR(SUMIF(INDIRECT("'["&amp;НАСТРОЙКИ!$D$6&amp;"]CF'!$L$3:$EO$3"),AN$22,INDIRECT("'["&amp;НАСТРОЙКИ!$D$6&amp;"]CF'!$L$65:$EO$65")),0))</f>
        <v>0</v>
      </c>
      <c r="AO66" s="35">
        <f ca="1">IF(НАСТРОЙКИ!$B$6&lt;&gt;"Да",0,IFERROR(SUMIF(INDIRECT("'["&amp;НАСТРОЙКИ!$D$6&amp;"]CF'!$L$3:$EO$3"),AO$22,INDIRECT("'["&amp;НАСТРОЙКИ!$D$6&amp;"]CF'!$L$65:$EO$65")),0))</f>
        <v>0</v>
      </c>
      <c r="AP66" s="35">
        <f ca="1">IF(НАСТРОЙКИ!$B$6&lt;&gt;"Да",0,IFERROR(SUMIF(INDIRECT("'["&amp;НАСТРОЙКИ!$D$6&amp;"]CF'!$L$3:$EO$3"),AP$22,INDIRECT("'["&amp;НАСТРОЙКИ!$D$6&amp;"]CF'!$L$65:$EO$65")),0))</f>
        <v>0</v>
      </c>
      <c r="AQ66" s="35">
        <f ca="1">IF(НАСТРОЙКИ!$B$6&lt;&gt;"Да",0,IFERROR(SUMIF(INDIRECT("'["&amp;НАСТРОЙКИ!$D$6&amp;"]CF'!$L$3:$EO$3"),AQ$22,INDIRECT("'["&amp;НАСТРОЙКИ!$D$6&amp;"]CF'!$L$65:$EO$65")),0))</f>
        <v>0</v>
      </c>
      <c r="AR66" s="35">
        <f ca="1">IF(НАСТРОЙКИ!$B$6&lt;&gt;"Да",0,IFERROR(SUMIF(INDIRECT("'["&amp;НАСТРОЙКИ!$D$6&amp;"]CF'!$L$3:$EO$3"),AR$22,INDIRECT("'["&amp;НАСТРОЙКИ!$D$6&amp;"]CF'!$L$65:$EO$65")),0))</f>
        <v>0</v>
      </c>
      <c r="AS66" s="35">
        <f ca="1">IF(НАСТРОЙКИ!$B$6&lt;&gt;"Да",0,IFERROR(SUMIF(INDIRECT("'["&amp;НАСТРОЙКИ!$D$6&amp;"]CF'!$L$3:$EO$3"),AS$22,INDIRECT("'["&amp;НАСТРОЙКИ!$D$6&amp;"]CF'!$L$65:$EO$65")),0))</f>
        <v>0</v>
      </c>
      <c r="AT66" s="35">
        <f ca="1">IF(НАСТРОЙКИ!$B$6&lt;&gt;"Да",0,IFERROR(SUMIF(INDIRECT("'["&amp;НАСТРОЙКИ!$D$6&amp;"]CF'!$L$3:$EO$3"),AT$22,INDIRECT("'["&amp;НАСТРОЙКИ!$D$6&amp;"]CF'!$L$65:$EO$65")),0))</f>
        <v>0</v>
      </c>
      <c r="AU66" s="35">
        <f ca="1">IF(НАСТРОЙКИ!$B$6&lt;&gt;"Да",0,IFERROR(SUMIF(INDIRECT("'["&amp;НАСТРОЙКИ!$D$6&amp;"]CF'!$L$3:$EO$3"),AU$22,INDIRECT("'["&amp;НАСТРОЙКИ!$D$6&amp;"]CF'!$L$65:$EO$65")),0))</f>
        <v>0</v>
      </c>
      <c r="AV66" s="35">
        <f ca="1">IF(НАСТРОЙКИ!$B$6&lt;&gt;"Да",0,IFERROR(SUMIF(INDIRECT("'["&amp;НАСТРОЙКИ!$D$6&amp;"]CF'!$L$3:$EO$3"),AV$22,INDIRECT("'["&amp;НАСТРОЙКИ!$D$6&amp;"]CF'!$L$65:$EO$65")),0))</f>
        <v>0</v>
      </c>
      <c r="AW66" s="35">
        <f ca="1">IF(НАСТРОЙКИ!$B$6&lt;&gt;"Да",0,IFERROR(SUMIF(INDIRECT("'["&amp;НАСТРОЙКИ!$D$6&amp;"]CF'!$L$3:$EO$3"),AW$22,INDIRECT("'["&amp;НАСТРОЙКИ!$D$6&amp;"]CF'!$L$65:$EO$65")),0))</f>
        <v>0</v>
      </c>
      <c r="AX66" s="35">
        <f ca="1">IF(НАСТРОЙКИ!$B$6&lt;&gt;"Да",0,IFERROR(SUMIF(INDIRECT("'["&amp;НАСТРОЙКИ!$D$6&amp;"]CF'!$L$3:$EO$3"),AX$22,INDIRECT("'["&amp;НАСТРОЙКИ!$D$6&amp;"]CF'!$L$65:$EO$65")),0))</f>
        <v>0</v>
      </c>
      <c r="AY66" s="35">
        <f ca="1">IF(НАСТРОЙКИ!$B$6&lt;&gt;"Да",0,IFERROR(SUMIF(INDIRECT("'["&amp;НАСТРОЙКИ!$D$6&amp;"]CF'!$L$3:$EO$3"),AY$22,INDIRECT("'["&amp;НАСТРОЙКИ!$D$6&amp;"]CF'!$L$65:$EO$65")),0))</f>
        <v>0</v>
      </c>
      <c r="AZ66" s="35">
        <f ca="1">IF(НАСТРОЙКИ!$B$6&lt;&gt;"Да",0,IFERROR(SUMIF(INDIRECT("'["&amp;НАСТРОЙКИ!$D$6&amp;"]CF'!$L$3:$EO$3"),AZ$22,INDIRECT("'["&amp;НАСТРОЙКИ!$D$6&amp;"]CF'!$L$65:$EO$65")),0))</f>
        <v>0</v>
      </c>
      <c r="BA66" s="35">
        <f ca="1">IF(НАСТРОЙКИ!$B$6&lt;&gt;"Да",0,IFERROR(SUMIF(INDIRECT("'["&amp;НАСТРОЙКИ!$D$6&amp;"]CF'!$L$3:$EO$3"),BA$22,INDIRECT("'["&amp;НАСТРОЙКИ!$D$6&amp;"]CF'!$L$65:$EO$65")),0))</f>
        <v>0</v>
      </c>
      <c r="BB66" s="35">
        <f ca="1">IF(НАСТРОЙКИ!$B$6&lt;&gt;"Да",0,IFERROR(SUMIF(INDIRECT("'["&amp;НАСТРОЙКИ!$D$6&amp;"]CF'!$L$3:$EO$3"),BB$22,INDIRECT("'["&amp;НАСТРОЙКИ!$D$6&amp;"]CF'!$L$65:$EO$65")),0))</f>
        <v>0</v>
      </c>
      <c r="BC66" s="35">
        <f ca="1">IF(НАСТРОЙКИ!$B$6&lt;&gt;"Да",0,IFERROR(SUMIF(INDIRECT("'["&amp;НАСТРОЙКИ!$D$6&amp;"]CF'!$L$3:$EO$3"),BC$22,INDIRECT("'["&amp;НАСТРОЙКИ!$D$6&amp;"]CF'!$L$65:$EO$65")),0))</f>
        <v>0</v>
      </c>
      <c r="BD66" s="35">
        <f ca="1">IF(НАСТРОЙКИ!$B$6&lt;&gt;"Да",0,IFERROR(SUMIF(INDIRECT("'["&amp;НАСТРОЙКИ!$D$6&amp;"]CF'!$L$3:$EO$3"),BD$22,INDIRECT("'["&amp;НАСТРОЙКИ!$D$6&amp;"]CF'!$L$65:$EO$65")),0))</f>
        <v>0</v>
      </c>
      <c r="BE66" s="35">
        <f ca="1">IF(НАСТРОЙКИ!$B$6&lt;&gt;"Да",0,IFERROR(SUMIF(INDIRECT("'["&amp;НАСТРОЙКИ!$D$6&amp;"]CF'!$L$3:$EO$3"),BE$22,INDIRECT("'["&amp;НАСТРОЙКИ!$D$6&amp;"]CF'!$L$65:$EO$65")),0))</f>
        <v>0</v>
      </c>
      <c r="BF66" s="35">
        <f ca="1">IF(НАСТРОЙКИ!$B$6&lt;&gt;"Да",0,IFERROR(SUMIF(INDIRECT("'["&amp;НАСТРОЙКИ!$D$6&amp;"]CF'!$L$3:$EO$3"),BF$22,INDIRECT("'["&amp;НАСТРОЙКИ!$D$6&amp;"]CF'!$L$65:$EO$65")),0))</f>
        <v>0</v>
      </c>
      <c r="BG66" s="35">
        <f ca="1">IF(НАСТРОЙКИ!$B$6&lt;&gt;"Да",0,IFERROR(SUMIF(INDIRECT("'["&amp;НАСТРОЙКИ!$D$6&amp;"]CF'!$L$3:$EO$3"),BG$22,INDIRECT("'["&amp;НАСТРОЙКИ!$D$6&amp;"]CF'!$L$65:$EO$65")),0))</f>
        <v>0</v>
      </c>
      <c r="BH66" s="35">
        <f ca="1">IF(НАСТРОЙКИ!$B$6&lt;&gt;"Да",0,IFERROR(SUMIF(INDIRECT("'["&amp;НАСТРОЙКИ!$D$6&amp;"]CF'!$L$3:$EO$3"),BH$22,INDIRECT("'["&amp;НАСТРОЙКИ!$D$6&amp;"]CF'!$L$65:$EO$65")),0))</f>
        <v>0</v>
      </c>
      <c r="BI66" s="35">
        <f ca="1">IF(НАСТРОЙКИ!$B$6&lt;&gt;"Да",0,IFERROR(SUMIF(INDIRECT("'["&amp;НАСТРОЙКИ!$D$6&amp;"]CF'!$L$3:$EO$3"),BI$22,INDIRECT("'["&amp;НАСТРОЙКИ!$D$6&amp;"]CF'!$L$65:$EO$65")),0))</f>
        <v>0</v>
      </c>
      <c r="BJ66" s="35">
        <f ca="1">IF(НАСТРОЙКИ!$B$6&lt;&gt;"Да",0,IFERROR(SUMIF(INDIRECT("'["&amp;НАСТРОЙКИ!$D$6&amp;"]CF'!$L$3:$EO$3"),BJ$22,INDIRECT("'["&amp;НАСТРОЙКИ!$D$6&amp;"]CF'!$L$65:$EO$65")),0))</f>
        <v>0</v>
      </c>
      <c r="BK66" s="35">
        <f ca="1">IF(НАСТРОЙКИ!$B$6&lt;&gt;"Да",0,IFERROR(SUMIF(INDIRECT("'["&amp;НАСТРОЙКИ!$D$6&amp;"]CF'!$L$3:$EO$3"),BK$22,INDIRECT("'["&amp;НАСТРОЙКИ!$D$6&amp;"]CF'!$L$65:$EO$65")),0))</f>
        <v>0</v>
      </c>
      <c r="BL66" s="35">
        <f ca="1">IF(НАСТРОЙКИ!$B$6&lt;&gt;"Да",0,IFERROR(SUMIF(INDIRECT("'["&amp;НАСТРОЙКИ!$D$6&amp;"]CF'!$L$3:$EO$3"),BL$22,INDIRECT("'["&amp;НАСТРОЙКИ!$D$6&amp;"]CF'!$L$65:$EO$65")),0))</f>
        <v>0</v>
      </c>
      <c r="BM66" s="35">
        <f ca="1">IF(НАСТРОЙКИ!$B$6&lt;&gt;"Да",0,IFERROR(SUMIF(INDIRECT("'["&amp;НАСТРОЙКИ!$D$6&amp;"]CF'!$L$3:$EO$3"),BM$22,INDIRECT("'["&amp;НАСТРОЙКИ!$D$6&amp;"]CF'!$L$65:$EO$65")),0))</f>
        <v>0</v>
      </c>
      <c r="BN66" s="35">
        <f ca="1">IF(НАСТРОЙКИ!$B$6&lt;&gt;"Да",0,IFERROR(SUMIF(INDIRECT("'["&amp;НАСТРОЙКИ!$D$6&amp;"]CF'!$L$3:$EO$3"),BN$22,INDIRECT("'["&amp;НАСТРОЙКИ!$D$6&amp;"]CF'!$L$65:$EO$65")),0))</f>
        <v>0</v>
      </c>
      <c r="BO66" s="35">
        <f ca="1">IF(НАСТРОЙКИ!$B$6&lt;&gt;"Да",0,IFERROR(SUMIF(INDIRECT("'["&amp;НАСТРОЙКИ!$D$6&amp;"]CF'!$L$3:$EO$3"),BO$22,INDIRECT("'["&amp;НАСТРОЙКИ!$D$6&amp;"]CF'!$L$65:$EO$65")),0))</f>
        <v>0</v>
      </c>
      <c r="BP66" s="35">
        <f ca="1">IF(НАСТРОЙКИ!$B$6&lt;&gt;"Да",0,IFERROR(SUMIF(INDIRECT("'["&amp;НАСТРОЙКИ!$D$6&amp;"]CF'!$L$3:$EO$3"),BP$22,INDIRECT("'["&amp;НАСТРОЙКИ!$D$6&amp;"]CF'!$L$65:$EO$65")),0))</f>
        <v>0</v>
      </c>
      <c r="BQ66" s="35">
        <f ca="1">IF(НАСТРОЙКИ!$B$6&lt;&gt;"Да",0,IFERROR(SUMIF(INDIRECT("'["&amp;НАСТРОЙКИ!$D$6&amp;"]CF'!$L$3:$EO$3"),BQ$22,INDIRECT("'["&amp;НАСТРОЙКИ!$D$6&amp;"]CF'!$L$65:$EO$65")),0))</f>
        <v>0</v>
      </c>
      <c r="BR66" s="35">
        <f ca="1">IF(НАСТРОЙКИ!$B$6&lt;&gt;"Да",0,IFERROR(SUMIF(INDIRECT("'["&amp;НАСТРОЙКИ!$D$6&amp;"]CF'!$L$3:$EO$3"),BR$22,INDIRECT("'["&amp;НАСТРОЙКИ!$D$6&amp;"]CF'!$L$65:$EO$65")),0))</f>
        <v>0</v>
      </c>
      <c r="BS66" s="35">
        <f ca="1">IF(НАСТРОЙКИ!$B$6&lt;&gt;"Да",0,IFERROR(SUMIF(INDIRECT("'["&amp;НАСТРОЙКИ!$D$6&amp;"]CF'!$L$3:$EO$3"),BS$22,INDIRECT("'["&amp;НАСТРОЙКИ!$D$6&amp;"]CF'!$L$65:$EO$65")),0))</f>
        <v>0</v>
      </c>
      <c r="BT66" s="35">
        <f ca="1">IF(НАСТРОЙКИ!$B$6&lt;&gt;"Да",0,IFERROR(SUMIF(INDIRECT("'["&amp;НАСТРОЙКИ!$D$6&amp;"]CF'!$L$3:$EO$3"),BT$22,INDIRECT("'["&amp;НАСТРОЙКИ!$D$6&amp;"]CF'!$L$65:$EO$65")),0))</f>
        <v>0</v>
      </c>
      <c r="BU66" s="35">
        <f ca="1">IF(НАСТРОЙКИ!$B$6&lt;&gt;"Да",0,IFERROR(SUMIF(INDIRECT("'["&amp;НАСТРОЙКИ!$D$6&amp;"]CF'!$L$3:$EO$3"),BU$22,INDIRECT("'["&amp;НАСТРОЙКИ!$D$6&amp;"]CF'!$L$65:$EO$65")),0))</f>
        <v>0</v>
      </c>
      <c r="BV66" s="35">
        <f ca="1">IF(НАСТРОЙКИ!$B$6&lt;&gt;"Да",0,IFERROR(SUMIF(INDIRECT("'["&amp;НАСТРОЙКИ!$D$6&amp;"]CF'!$L$3:$EO$3"),BV$22,INDIRECT("'["&amp;НАСТРОЙКИ!$D$6&amp;"]CF'!$L$65:$EO$65")),0))</f>
        <v>0</v>
      </c>
      <c r="BW66" s="35">
        <f ca="1">IF(НАСТРОЙКИ!$B$6&lt;&gt;"Да",0,IFERROR(SUMIF(INDIRECT("'["&amp;НАСТРОЙКИ!$D$6&amp;"]CF'!$L$3:$EO$3"),BW$22,INDIRECT("'["&amp;НАСТРОЙКИ!$D$6&amp;"]CF'!$L$65:$EO$65")),0))</f>
        <v>0</v>
      </c>
      <c r="BX66" s="35">
        <f ca="1">IF(НАСТРОЙКИ!$B$6&lt;&gt;"Да",0,IFERROR(SUMIF(INDIRECT("'["&amp;НАСТРОЙКИ!$D$6&amp;"]CF'!$L$3:$EO$3"),BX$22,INDIRECT("'["&amp;НАСТРОЙКИ!$D$6&amp;"]CF'!$L$65:$EO$65")),0))</f>
        <v>0</v>
      </c>
      <c r="BY66" s="35">
        <f ca="1">IF(НАСТРОЙКИ!$B$6&lt;&gt;"Да",0,IFERROR(SUMIF(INDIRECT("'["&amp;НАСТРОЙКИ!$D$6&amp;"]CF'!$L$3:$EO$3"),BY$22,INDIRECT("'["&amp;НАСТРОЙКИ!$D$6&amp;"]CF'!$L$65:$EO$65")),0))</f>
        <v>0</v>
      </c>
      <c r="BZ66" s="35">
        <f ca="1">IF(НАСТРОЙКИ!$B$6&lt;&gt;"Да",0,IFERROR(SUMIF(INDIRECT("'["&amp;НАСТРОЙКИ!$D$6&amp;"]CF'!$L$3:$EO$3"),BZ$22,INDIRECT("'["&amp;НАСТРОЙКИ!$D$6&amp;"]CF'!$L$65:$EO$65")),0))</f>
        <v>0</v>
      </c>
      <c r="CA66" s="35">
        <f ca="1">IF(НАСТРОЙКИ!$B$6&lt;&gt;"Да",0,IFERROR(SUMIF(INDIRECT("'["&amp;НАСТРОЙКИ!$D$6&amp;"]CF'!$L$3:$EO$3"),CA$22,INDIRECT("'["&amp;НАСТРОЙКИ!$D$6&amp;"]CF'!$L$65:$EO$65")),0))</f>
        <v>0</v>
      </c>
      <c r="CB66" s="35">
        <f ca="1">IF(НАСТРОЙКИ!$B$6&lt;&gt;"Да",0,IFERROR(SUMIF(INDIRECT("'["&amp;НАСТРОЙКИ!$D$6&amp;"]CF'!$L$3:$EO$3"),CB$22,INDIRECT("'["&amp;НАСТРОЙКИ!$D$6&amp;"]CF'!$L$65:$EO$65")),0))</f>
        <v>0</v>
      </c>
      <c r="CC66" s="35">
        <f ca="1">IF(НАСТРОЙКИ!$B$6&lt;&gt;"Да",0,IFERROR(SUMIF(INDIRECT("'["&amp;НАСТРОЙКИ!$D$6&amp;"]CF'!$L$3:$EO$3"),CC$22,INDIRECT("'["&amp;НАСТРОЙКИ!$D$6&amp;"]CF'!$L$65:$EO$65")),0))</f>
        <v>0</v>
      </c>
      <c r="CD66" s="35">
        <f ca="1">IF(НАСТРОЙКИ!$B$6&lt;&gt;"Да",0,IFERROR(SUMIF(INDIRECT("'["&amp;НАСТРОЙКИ!$D$6&amp;"]CF'!$L$3:$EO$3"),CD$22,INDIRECT("'["&amp;НАСТРОЙКИ!$D$6&amp;"]CF'!$L$65:$EO$65")),0))</f>
        <v>0</v>
      </c>
      <c r="CE66" s="35">
        <f ca="1">IF(НАСТРОЙКИ!$B$6&lt;&gt;"Да",0,IFERROR(SUMIF(INDIRECT("'["&amp;НАСТРОЙКИ!$D$6&amp;"]CF'!$L$3:$EO$3"),CE$22,INDIRECT("'["&amp;НАСТРОЙКИ!$D$6&amp;"]CF'!$L$65:$EO$65")),0))</f>
        <v>0</v>
      </c>
      <c r="CF66" s="35">
        <f ca="1">IF(НАСТРОЙКИ!$B$6&lt;&gt;"Да",0,IFERROR(SUMIF(INDIRECT("'["&amp;НАСТРОЙКИ!$D$6&amp;"]CF'!$L$3:$EO$3"),CF$22,INDIRECT("'["&amp;НАСТРОЙКИ!$D$6&amp;"]CF'!$L$65:$EO$65")),0))</f>
        <v>0</v>
      </c>
      <c r="CG66" s="35">
        <f ca="1">IF(НАСТРОЙКИ!$B$6&lt;&gt;"Да",0,IFERROR(SUMIF(INDIRECT("'["&amp;НАСТРОЙКИ!$D$6&amp;"]CF'!$L$3:$EO$3"),CG$22,INDIRECT("'["&amp;НАСТРОЙКИ!$D$6&amp;"]CF'!$L$65:$EO$65")),0))</f>
        <v>0</v>
      </c>
      <c r="CH66" s="35">
        <f ca="1">IF(НАСТРОЙКИ!$B$6&lt;&gt;"Да",0,IFERROR(SUMIF(INDIRECT("'["&amp;НАСТРОЙКИ!$D$6&amp;"]CF'!$L$3:$EO$3"),CH$22,INDIRECT("'["&amp;НАСТРОЙКИ!$D$6&amp;"]CF'!$L$65:$EO$65")),0))</f>
        <v>0</v>
      </c>
      <c r="CI66" s="35">
        <f ca="1">IF(НАСТРОЙКИ!$B$6&lt;&gt;"Да",0,IFERROR(SUMIF(INDIRECT("'["&amp;НАСТРОЙКИ!$D$6&amp;"]CF'!$L$3:$EO$3"),CI$22,INDIRECT("'["&amp;НАСТРОЙКИ!$D$6&amp;"]CF'!$L$65:$EO$65")),0))</f>
        <v>0</v>
      </c>
      <c r="CJ66" s="35">
        <f ca="1">IF(НАСТРОЙКИ!$B$6&lt;&gt;"Да",0,IFERROR(SUMIF(INDIRECT("'["&amp;НАСТРОЙКИ!$D$6&amp;"]CF'!$L$3:$EO$3"),CJ$22,INDIRECT("'["&amp;НАСТРОЙКИ!$D$6&amp;"]CF'!$L$65:$EO$65")),0))</f>
        <v>0</v>
      </c>
      <c r="CK66" s="35">
        <f ca="1">IF(НАСТРОЙКИ!$B$6&lt;&gt;"Да",0,IFERROR(SUMIF(INDIRECT("'["&amp;НАСТРОЙКИ!$D$6&amp;"]CF'!$L$3:$EO$3"),CK$22,INDIRECT("'["&amp;НАСТРОЙКИ!$D$6&amp;"]CF'!$L$65:$EO$65")),0))</f>
        <v>0</v>
      </c>
      <c r="CL66" s="35">
        <f ca="1">IF(НАСТРОЙКИ!$B$6&lt;&gt;"Да",0,IFERROR(SUMIF(INDIRECT("'["&amp;НАСТРОЙКИ!$D$6&amp;"]CF'!$L$3:$EO$3"),CL$22,INDIRECT("'["&amp;НАСТРОЙКИ!$D$6&amp;"]CF'!$L$65:$EO$65")),0))</f>
        <v>0</v>
      </c>
      <c r="CM66" s="35">
        <f ca="1">IF(НАСТРОЙКИ!$B$6&lt;&gt;"Да",0,IFERROR(SUMIF(INDIRECT("'["&amp;НАСТРОЙКИ!$D$6&amp;"]CF'!$L$3:$EO$3"),CM$22,INDIRECT("'["&amp;НАСТРОЙКИ!$D$6&amp;"]CF'!$L$65:$EO$65")),0))</f>
        <v>0</v>
      </c>
      <c r="CN66" s="35">
        <f ca="1">IF(НАСТРОЙКИ!$B$6&lt;&gt;"Да",0,IFERROR(SUMIF(INDIRECT("'["&amp;НАСТРОЙКИ!$D$6&amp;"]CF'!$L$3:$EO$3"),CN$22,INDIRECT("'["&amp;НАСТРОЙКИ!$D$6&amp;"]CF'!$L$65:$EO$65")),0))</f>
        <v>0</v>
      </c>
      <c r="CO66" s="35">
        <f ca="1">IF(НАСТРОЙКИ!$B$6&lt;&gt;"Да",0,IFERROR(SUMIF(INDIRECT("'["&amp;НАСТРОЙКИ!$D$6&amp;"]CF'!$L$3:$EO$3"),CO$22,INDIRECT("'["&amp;НАСТРОЙКИ!$D$6&amp;"]CF'!$L$65:$EO$65")),0))</f>
        <v>0</v>
      </c>
      <c r="CP66" s="35">
        <f ca="1">IF(НАСТРОЙКИ!$B$6&lt;&gt;"Да",0,IFERROR(SUMIF(INDIRECT("'["&amp;НАСТРОЙКИ!$D$6&amp;"]CF'!$L$3:$EO$3"),CP$22,INDIRECT("'["&amp;НАСТРОЙКИ!$D$6&amp;"]CF'!$L$65:$EO$65")),0))</f>
        <v>0</v>
      </c>
      <c r="CQ66" s="35">
        <f ca="1">IF(НАСТРОЙКИ!$B$6&lt;&gt;"Да",0,IFERROR(SUMIF(INDIRECT("'["&amp;НАСТРОЙКИ!$D$6&amp;"]CF'!$L$3:$EO$3"),CQ$22,INDIRECT("'["&amp;НАСТРОЙКИ!$D$6&amp;"]CF'!$L$65:$EO$65")),0))</f>
        <v>0</v>
      </c>
      <c r="CR66" s="35">
        <f ca="1">IF(НАСТРОЙКИ!$B$6&lt;&gt;"Да",0,IFERROR(SUMIF(INDIRECT("'["&amp;НАСТРОЙКИ!$D$6&amp;"]CF'!$L$3:$EO$3"),CR$22,INDIRECT("'["&amp;НАСТРОЙКИ!$D$6&amp;"]CF'!$L$65:$EO$65")),0))</f>
        <v>0</v>
      </c>
      <c r="CS66" s="35">
        <f ca="1">IF(НАСТРОЙКИ!$B$6&lt;&gt;"Да",0,IFERROR(SUMIF(INDIRECT("'["&amp;НАСТРОЙКИ!$D$6&amp;"]CF'!$L$3:$EO$3"),CS$22,INDIRECT("'["&amp;НАСТРОЙКИ!$D$6&amp;"]CF'!$L$65:$EO$65")),0))</f>
        <v>0</v>
      </c>
      <c r="CT66" s="35">
        <f ca="1">IF(НАСТРОЙКИ!$B$6&lt;&gt;"Да",0,IFERROR(SUMIF(INDIRECT("'["&amp;НАСТРОЙКИ!$D$6&amp;"]CF'!$L$3:$EO$3"),CT$22,INDIRECT("'["&amp;НАСТРОЙКИ!$D$6&amp;"]CF'!$L$65:$EO$65")),0))</f>
        <v>0</v>
      </c>
      <c r="CU66" s="35">
        <f ca="1">IF(НАСТРОЙКИ!$B$6&lt;&gt;"Да",0,IFERROR(SUMIF(INDIRECT("'["&amp;НАСТРОЙКИ!$D$6&amp;"]CF'!$L$3:$EO$3"),CU$22,INDIRECT("'["&amp;НАСТРОЙКИ!$D$6&amp;"]CF'!$L$65:$EO$65")),0))</f>
        <v>0</v>
      </c>
      <c r="CV66" s="35">
        <f ca="1">IF(НАСТРОЙКИ!$B$6&lt;&gt;"Да",0,IFERROR(SUMIF(INDIRECT("'["&amp;НАСТРОЙКИ!$D$6&amp;"]CF'!$L$3:$EO$3"),CV$22,INDIRECT("'["&amp;НАСТРОЙКИ!$D$6&amp;"]CF'!$L$65:$EO$65")),0))</f>
        <v>0</v>
      </c>
      <c r="CW66" s="35">
        <f ca="1">IF(НАСТРОЙКИ!$B$6&lt;&gt;"Да",0,IFERROR(SUMIF(INDIRECT("'["&amp;НАСТРОЙКИ!$D$6&amp;"]CF'!$L$3:$EO$3"),CW$22,INDIRECT("'["&amp;НАСТРОЙКИ!$D$6&amp;"]CF'!$L$65:$EO$65")),0))</f>
        <v>0</v>
      </c>
      <c r="CX66" s="35">
        <f ca="1">IF(НАСТРОЙКИ!$B$6&lt;&gt;"Да",0,IFERROR(SUMIF(INDIRECT("'["&amp;НАСТРОЙКИ!$D$6&amp;"]CF'!$L$3:$EO$3"),CX$22,INDIRECT("'["&amp;НАСТРОЙКИ!$D$6&amp;"]CF'!$L$65:$EO$65")),0))</f>
        <v>0</v>
      </c>
      <c r="CY66" s="35">
        <f ca="1">IF(НАСТРОЙКИ!$B$6&lt;&gt;"Да",0,IFERROR(SUMIF(INDIRECT("'["&amp;НАСТРОЙКИ!$D$6&amp;"]CF'!$L$3:$EO$3"),CY$22,INDIRECT("'["&amp;НАСТРОЙКИ!$D$6&amp;"]CF'!$L$65:$EO$65")),0))</f>
        <v>0</v>
      </c>
      <c r="CZ66" s="35">
        <f ca="1">IF(НАСТРОЙКИ!$B$6&lt;&gt;"Да",0,IFERROR(SUMIF(INDIRECT("'["&amp;НАСТРОЙКИ!$D$6&amp;"]CF'!$L$3:$EO$3"),CZ$22,INDIRECT("'["&amp;НАСТРОЙКИ!$D$6&amp;"]CF'!$L$65:$EO$65")),0))</f>
        <v>0</v>
      </c>
      <c r="DA66" s="35">
        <f ca="1">IF(НАСТРОЙКИ!$B$6&lt;&gt;"Да",0,IFERROR(SUMIF(INDIRECT("'["&amp;НАСТРОЙКИ!$D$6&amp;"]CF'!$L$3:$EO$3"),DA$22,INDIRECT("'["&amp;НАСТРОЙКИ!$D$6&amp;"]CF'!$L$65:$EO$65")),0))</f>
        <v>0</v>
      </c>
      <c r="DB66" s="35">
        <f ca="1">IF(НАСТРОЙКИ!$B$6&lt;&gt;"Да",0,IFERROR(SUMIF(INDIRECT("'["&amp;НАСТРОЙКИ!$D$6&amp;"]CF'!$L$3:$EO$3"),DB$22,INDIRECT("'["&amp;НАСТРОЙКИ!$D$6&amp;"]CF'!$L$65:$EO$65")),0))</f>
        <v>0</v>
      </c>
      <c r="DC66" s="35">
        <f ca="1">IF(НАСТРОЙКИ!$B$6&lt;&gt;"Да",0,IFERROR(SUMIF(INDIRECT("'["&amp;НАСТРОЙКИ!$D$6&amp;"]CF'!$L$3:$EO$3"),DC$22,INDIRECT("'["&amp;НАСТРОЙКИ!$D$6&amp;"]CF'!$L$65:$EO$65")),0))</f>
        <v>0</v>
      </c>
      <c r="DD66" s="35">
        <f ca="1">IF(НАСТРОЙКИ!$B$6&lt;&gt;"Да",0,IFERROR(SUMIF(INDIRECT("'["&amp;НАСТРОЙКИ!$D$6&amp;"]CF'!$L$3:$EO$3"),DD$22,INDIRECT("'["&amp;НАСТРОЙКИ!$D$6&amp;"]CF'!$L$65:$EO$65")),0))</f>
        <v>0</v>
      </c>
      <c r="DE66" s="35">
        <f ca="1">IF(НАСТРОЙКИ!$B$6&lt;&gt;"Да",0,IFERROR(SUMIF(INDIRECT("'["&amp;НАСТРОЙКИ!$D$6&amp;"]CF'!$L$3:$EO$3"),DE$22,INDIRECT("'["&amp;НАСТРОЙКИ!$D$6&amp;"]CF'!$L$65:$EO$65")),0))</f>
        <v>0</v>
      </c>
      <c r="DF66" s="35">
        <f ca="1">IF(НАСТРОЙКИ!$B$6&lt;&gt;"Да",0,IFERROR(SUMIF(INDIRECT("'["&amp;НАСТРОЙКИ!$D$6&amp;"]CF'!$L$3:$EO$3"),DF$22,INDIRECT("'["&amp;НАСТРОЙКИ!$D$6&amp;"]CF'!$L$65:$EO$65")),0))</f>
        <v>0</v>
      </c>
    </row>
    <row r="67" spans="1:110">
      <c r="A67" s="34" t="s">
        <v>129</v>
      </c>
      <c r="B67" s="34" t="s">
        <v>58</v>
      </c>
      <c r="C67" s="35">
        <f ca="1">IF(НАСТРОЙКИ!$B$6&lt;&gt;"Да",0,IFERROR(SUMIF(INDIRECT("'["&amp;НАСТРОЙКИ!$D$6&amp;"]CF'!$L$3:$EO$3"),C$22,INDIRECT("'["&amp;НАСТРОЙКИ!$D$6&amp;"]CF'!$L$66:$EO$66")),0))</f>
        <v>0</v>
      </c>
      <c r="D67" s="35">
        <f ca="1">IF(НАСТРОЙКИ!$B$6&lt;&gt;"Да",0,IFERROR(SUMIF(INDIRECT("'["&amp;НАСТРОЙКИ!$D$6&amp;"]CF'!$L$3:$EO$3"),D$22,INDIRECT("'["&amp;НАСТРОЙКИ!$D$6&amp;"]CF'!$L$66:$EO$66")),0))</f>
        <v>0</v>
      </c>
      <c r="E67" s="35">
        <f ca="1">IF(НАСТРОЙКИ!$B$6&lt;&gt;"Да",0,IFERROR(SUMIF(INDIRECT("'["&amp;НАСТРОЙКИ!$D$6&amp;"]CF'!$L$3:$EO$3"),E$22,INDIRECT("'["&amp;НАСТРОЙКИ!$D$6&amp;"]CF'!$L$66:$EO$66")),0))</f>
        <v>0</v>
      </c>
      <c r="F67" s="35">
        <f ca="1">IF(НАСТРОЙКИ!$B$6&lt;&gt;"Да",0,IFERROR(SUMIF(INDIRECT("'["&amp;НАСТРОЙКИ!$D$6&amp;"]CF'!$L$3:$EO$3"),F$22,INDIRECT("'["&amp;НАСТРОЙКИ!$D$6&amp;"]CF'!$L$66:$EO$66")),0))</f>
        <v>0</v>
      </c>
      <c r="G67" s="35">
        <f ca="1">IF(НАСТРОЙКИ!$B$6&lt;&gt;"Да",0,IFERROR(SUMIF(INDIRECT("'["&amp;НАСТРОЙКИ!$D$6&amp;"]CF'!$L$3:$EO$3"),G$22,INDIRECT("'["&amp;НАСТРОЙКИ!$D$6&amp;"]CF'!$L$66:$EO$66")),0))</f>
        <v>0</v>
      </c>
      <c r="H67" s="35">
        <f ca="1">IF(НАСТРОЙКИ!$B$6&lt;&gt;"Да",0,IFERROR(SUMIF(INDIRECT("'["&amp;НАСТРОЙКИ!$D$6&amp;"]CF'!$L$3:$EO$3"),H$22,INDIRECT("'["&amp;НАСТРОЙКИ!$D$6&amp;"]CF'!$L$66:$EO$66")),0))</f>
        <v>0</v>
      </c>
      <c r="I67" s="35">
        <f ca="1">IF(НАСТРОЙКИ!$B$6&lt;&gt;"Да",0,IFERROR(SUMIF(INDIRECT("'["&amp;НАСТРОЙКИ!$D$6&amp;"]CF'!$L$3:$EO$3"),I$22,INDIRECT("'["&amp;НАСТРОЙКИ!$D$6&amp;"]CF'!$L$66:$EO$66")),0))</f>
        <v>0</v>
      </c>
      <c r="J67" s="35">
        <f ca="1">IF(НАСТРОЙКИ!$B$6&lt;&gt;"Да",0,IFERROR(SUMIF(INDIRECT("'["&amp;НАСТРОЙКИ!$D$6&amp;"]CF'!$L$3:$EO$3"),J$22,INDIRECT("'["&amp;НАСТРОЙКИ!$D$6&amp;"]CF'!$L$66:$EO$66")),0))</f>
        <v>0</v>
      </c>
      <c r="K67" s="35">
        <f ca="1">IF(НАСТРОЙКИ!$B$6&lt;&gt;"Да",0,IFERROR(SUMIF(INDIRECT("'["&amp;НАСТРОЙКИ!$D$6&amp;"]CF'!$L$3:$EO$3"),K$22,INDIRECT("'["&amp;НАСТРОЙКИ!$D$6&amp;"]CF'!$L$66:$EO$66")),0))</f>
        <v>0</v>
      </c>
      <c r="L67" s="35">
        <f ca="1">IF(НАСТРОЙКИ!$B$6&lt;&gt;"Да",0,IFERROR(SUMIF(INDIRECT("'["&amp;НАСТРОЙКИ!$D$6&amp;"]CF'!$L$3:$EO$3"),L$22,INDIRECT("'["&amp;НАСТРОЙКИ!$D$6&amp;"]CF'!$L$66:$EO$66")),0))</f>
        <v>0</v>
      </c>
      <c r="M67" s="35">
        <f ca="1">IF(НАСТРОЙКИ!$B$6&lt;&gt;"Да",0,IFERROR(SUMIF(INDIRECT("'["&amp;НАСТРОЙКИ!$D$6&amp;"]CF'!$L$3:$EO$3"),M$22,INDIRECT("'["&amp;НАСТРОЙКИ!$D$6&amp;"]CF'!$L$66:$EO$66")),0))</f>
        <v>0</v>
      </c>
      <c r="N67" s="35">
        <f ca="1">IF(НАСТРОЙКИ!$B$6&lt;&gt;"Да",0,IFERROR(SUMIF(INDIRECT("'["&amp;НАСТРОЙКИ!$D$6&amp;"]CF'!$L$3:$EO$3"),N$22,INDIRECT("'["&amp;НАСТРОЙКИ!$D$6&amp;"]CF'!$L$66:$EO$66")),0))</f>
        <v>0</v>
      </c>
      <c r="O67" s="35">
        <f ca="1">IF(НАСТРОЙКИ!$B$6&lt;&gt;"Да",0,IFERROR(SUMIF(INDIRECT("'["&amp;НАСТРОЙКИ!$D$6&amp;"]CF'!$L$3:$EO$3"),O$22,INDIRECT("'["&amp;НАСТРОЙКИ!$D$6&amp;"]CF'!$L$66:$EO$66")),0))</f>
        <v>0</v>
      </c>
      <c r="P67" s="35">
        <f ca="1">IF(НАСТРОЙКИ!$B$6&lt;&gt;"Да",0,IFERROR(SUMIF(INDIRECT("'["&amp;НАСТРОЙКИ!$D$6&amp;"]CF'!$L$3:$EO$3"),P$22,INDIRECT("'["&amp;НАСТРОЙКИ!$D$6&amp;"]CF'!$L$66:$EO$66")),0))</f>
        <v>0</v>
      </c>
      <c r="Q67" s="35">
        <f ca="1">IF(НАСТРОЙКИ!$B$6&lt;&gt;"Да",0,IFERROR(SUMIF(INDIRECT("'["&amp;НАСТРОЙКИ!$D$6&amp;"]CF'!$L$3:$EO$3"),Q$22,INDIRECT("'["&amp;НАСТРОЙКИ!$D$6&amp;"]CF'!$L$66:$EO$66")),0))</f>
        <v>0</v>
      </c>
      <c r="R67" s="35">
        <f ca="1">IF(НАСТРОЙКИ!$B$6&lt;&gt;"Да",0,IFERROR(SUMIF(INDIRECT("'["&amp;НАСТРОЙКИ!$D$6&amp;"]CF'!$L$3:$EO$3"),R$22,INDIRECT("'["&amp;НАСТРОЙКИ!$D$6&amp;"]CF'!$L$66:$EO$66")),0))</f>
        <v>0</v>
      </c>
      <c r="S67" s="35">
        <f ca="1">IF(НАСТРОЙКИ!$B$6&lt;&gt;"Да",0,IFERROR(SUMIF(INDIRECT("'["&amp;НАСТРОЙКИ!$D$6&amp;"]CF'!$L$3:$EO$3"),S$22,INDIRECT("'["&amp;НАСТРОЙКИ!$D$6&amp;"]CF'!$L$66:$EO$66")),0))</f>
        <v>0</v>
      </c>
      <c r="T67" s="35">
        <f ca="1">IF(НАСТРОЙКИ!$B$6&lt;&gt;"Да",0,IFERROR(SUMIF(INDIRECT("'["&amp;НАСТРОЙКИ!$D$6&amp;"]CF'!$L$3:$EO$3"),T$22,INDIRECT("'["&amp;НАСТРОЙКИ!$D$6&amp;"]CF'!$L$66:$EO$66")),0))</f>
        <v>0</v>
      </c>
      <c r="U67" s="35">
        <f ca="1">IF(НАСТРОЙКИ!$B$6&lt;&gt;"Да",0,IFERROR(SUMIF(INDIRECT("'["&amp;НАСТРОЙКИ!$D$6&amp;"]CF'!$L$3:$EO$3"),U$22,INDIRECT("'["&amp;НАСТРОЙКИ!$D$6&amp;"]CF'!$L$66:$EO$66")),0))</f>
        <v>0</v>
      </c>
      <c r="V67" s="35">
        <f ca="1">IF(НАСТРОЙКИ!$B$6&lt;&gt;"Да",0,IFERROR(SUMIF(INDIRECT("'["&amp;НАСТРОЙКИ!$D$6&amp;"]CF'!$L$3:$EO$3"),V$22,INDIRECT("'["&amp;НАСТРОЙКИ!$D$6&amp;"]CF'!$L$66:$EO$66")),0))</f>
        <v>0</v>
      </c>
      <c r="W67" s="35">
        <f ca="1">IF(НАСТРОЙКИ!$B$6&lt;&gt;"Да",0,IFERROR(SUMIF(INDIRECT("'["&amp;НАСТРОЙКИ!$D$6&amp;"]CF'!$L$3:$EO$3"),W$22,INDIRECT("'["&amp;НАСТРОЙКИ!$D$6&amp;"]CF'!$L$66:$EO$66")),0))</f>
        <v>0</v>
      </c>
      <c r="X67" s="35">
        <f ca="1">IF(НАСТРОЙКИ!$B$6&lt;&gt;"Да",0,IFERROR(SUMIF(INDIRECT("'["&amp;НАСТРОЙКИ!$D$6&amp;"]CF'!$L$3:$EO$3"),X$22,INDIRECT("'["&amp;НАСТРОЙКИ!$D$6&amp;"]CF'!$L$66:$EO$66")),0))</f>
        <v>0</v>
      </c>
      <c r="Y67" s="35">
        <f ca="1">IF(НАСТРОЙКИ!$B$6&lt;&gt;"Да",0,IFERROR(SUMIF(INDIRECT("'["&amp;НАСТРОЙКИ!$D$6&amp;"]CF'!$L$3:$EO$3"),Y$22,INDIRECT("'["&amp;НАСТРОЙКИ!$D$6&amp;"]CF'!$L$66:$EO$66")),0))</f>
        <v>0</v>
      </c>
      <c r="Z67" s="35">
        <f ca="1">IF(НАСТРОЙКИ!$B$6&lt;&gt;"Да",0,IFERROR(SUMIF(INDIRECT("'["&amp;НАСТРОЙКИ!$D$6&amp;"]CF'!$L$3:$EO$3"),Z$22,INDIRECT("'["&amp;НАСТРОЙКИ!$D$6&amp;"]CF'!$L$66:$EO$66")),0))</f>
        <v>0</v>
      </c>
      <c r="AA67" s="35">
        <f ca="1">IF(НАСТРОЙКИ!$B$6&lt;&gt;"Да",0,IFERROR(SUMIF(INDIRECT("'["&amp;НАСТРОЙКИ!$D$6&amp;"]CF'!$L$3:$EO$3"),AA$22,INDIRECT("'["&amp;НАСТРОЙКИ!$D$6&amp;"]CF'!$L$66:$EO$66")),0))</f>
        <v>0</v>
      </c>
      <c r="AB67" s="35">
        <f ca="1">IF(НАСТРОЙКИ!$B$6&lt;&gt;"Да",0,IFERROR(SUMIF(INDIRECT("'["&amp;НАСТРОЙКИ!$D$6&amp;"]CF'!$L$3:$EO$3"),AB$22,INDIRECT("'["&amp;НАСТРОЙКИ!$D$6&amp;"]CF'!$L$66:$EO$66")),0))</f>
        <v>0</v>
      </c>
      <c r="AC67" s="35">
        <f ca="1">IF(НАСТРОЙКИ!$B$6&lt;&gt;"Да",0,IFERROR(SUMIF(INDIRECT("'["&amp;НАСТРОЙКИ!$D$6&amp;"]CF'!$L$3:$EO$3"),AC$22,INDIRECT("'["&amp;НАСТРОЙКИ!$D$6&amp;"]CF'!$L$66:$EO$66")),0))</f>
        <v>0</v>
      </c>
      <c r="AD67" s="35">
        <f ca="1">IF(НАСТРОЙКИ!$B$6&lt;&gt;"Да",0,IFERROR(SUMIF(INDIRECT("'["&amp;НАСТРОЙКИ!$D$6&amp;"]CF'!$L$3:$EO$3"),AD$22,INDIRECT("'["&amp;НАСТРОЙКИ!$D$6&amp;"]CF'!$L$66:$EO$66")),0))</f>
        <v>0</v>
      </c>
      <c r="AE67" s="35">
        <f ca="1">IF(НАСТРОЙКИ!$B$6&lt;&gt;"Да",0,IFERROR(SUMIF(INDIRECT("'["&amp;НАСТРОЙКИ!$D$6&amp;"]CF'!$L$3:$EO$3"),AE$22,INDIRECT("'["&amp;НАСТРОЙКИ!$D$6&amp;"]CF'!$L$66:$EO$66")),0))</f>
        <v>0</v>
      </c>
      <c r="AF67" s="35">
        <f ca="1">IF(НАСТРОЙКИ!$B$6&lt;&gt;"Да",0,IFERROR(SUMIF(INDIRECT("'["&amp;НАСТРОЙКИ!$D$6&amp;"]CF'!$L$3:$EO$3"),AF$22,INDIRECT("'["&amp;НАСТРОЙКИ!$D$6&amp;"]CF'!$L$66:$EO$66")),0))</f>
        <v>0</v>
      </c>
      <c r="AG67" s="35">
        <f ca="1">IF(НАСТРОЙКИ!$B$6&lt;&gt;"Да",0,IFERROR(SUMIF(INDIRECT("'["&amp;НАСТРОЙКИ!$D$6&amp;"]CF'!$L$3:$EO$3"),AG$22,INDIRECT("'["&amp;НАСТРОЙКИ!$D$6&amp;"]CF'!$L$66:$EO$66")),0))</f>
        <v>0</v>
      </c>
      <c r="AH67" s="35">
        <f ca="1">IF(НАСТРОЙКИ!$B$6&lt;&gt;"Да",0,IFERROR(SUMIF(INDIRECT("'["&amp;НАСТРОЙКИ!$D$6&amp;"]CF'!$L$3:$EO$3"),AH$22,INDIRECT("'["&amp;НАСТРОЙКИ!$D$6&amp;"]CF'!$L$66:$EO$66")),0))</f>
        <v>0</v>
      </c>
      <c r="AI67" s="35">
        <f ca="1">IF(НАСТРОЙКИ!$B$6&lt;&gt;"Да",0,IFERROR(SUMIF(INDIRECT("'["&amp;НАСТРОЙКИ!$D$6&amp;"]CF'!$L$3:$EO$3"),AI$22,INDIRECT("'["&amp;НАСТРОЙКИ!$D$6&amp;"]CF'!$L$66:$EO$66")),0))</f>
        <v>0</v>
      </c>
      <c r="AJ67" s="35">
        <f ca="1">IF(НАСТРОЙКИ!$B$6&lt;&gt;"Да",0,IFERROR(SUMIF(INDIRECT("'["&amp;НАСТРОЙКИ!$D$6&amp;"]CF'!$L$3:$EO$3"),AJ$22,INDIRECT("'["&amp;НАСТРОЙКИ!$D$6&amp;"]CF'!$L$66:$EO$66")),0))</f>
        <v>0</v>
      </c>
      <c r="AK67" s="35">
        <f ca="1">IF(НАСТРОЙКИ!$B$6&lt;&gt;"Да",0,IFERROR(SUMIF(INDIRECT("'["&amp;НАСТРОЙКИ!$D$6&amp;"]CF'!$L$3:$EO$3"),AK$22,INDIRECT("'["&amp;НАСТРОЙКИ!$D$6&amp;"]CF'!$L$66:$EO$66")),0))</f>
        <v>0</v>
      </c>
      <c r="AL67" s="35">
        <f ca="1">IF(НАСТРОЙКИ!$B$6&lt;&gt;"Да",0,IFERROR(SUMIF(INDIRECT("'["&amp;НАСТРОЙКИ!$D$6&amp;"]CF'!$L$3:$EO$3"),AL$22,INDIRECT("'["&amp;НАСТРОЙКИ!$D$6&amp;"]CF'!$L$66:$EO$66")),0))</f>
        <v>0</v>
      </c>
      <c r="AM67" s="35">
        <f ca="1">IF(НАСТРОЙКИ!$B$6&lt;&gt;"Да",0,IFERROR(SUMIF(INDIRECT("'["&amp;НАСТРОЙКИ!$D$6&amp;"]CF'!$L$3:$EO$3"),AM$22,INDIRECT("'["&amp;НАСТРОЙКИ!$D$6&amp;"]CF'!$L$66:$EO$66")),0))</f>
        <v>0</v>
      </c>
      <c r="AN67" s="35">
        <f ca="1">IF(НАСТРОЙКИ!$B$6&lt;&gt;"Да",0,IFERROR(SUMIF(INDIRECT("'["&amp;НАСТРОЙКИ!$D$6&amp;"]CF'!$L$3:$EO$3"),AN$22,INDIRECT("'["&amp;НАСТРОЙКИ!$D$6&amp;"]CF'!$L$66:$EO$66")),0))</f>
        <v>0</v>
      </c>
      <c r="AO67" s="35">
        <f ca="1">IF(НАСТРОЙКИ!$B$6&lt;&gt;"Да",0,IFERROR(SUMIF(INDIRECT("'["&amp;НАСТРОЙКИ!$D$6&amp;"]CF'!$L$3:$EO$3"),AO$22,INDIRECT("'["&amp;НАСТРОЙКИ!$D$6&amp;"]CF'!$L$66:$EO$66")),0))</f>
        <v>0</v>
      </c>
      <c r="AP67" s="35">
        <f ca="1">IF(НАСТРОЙКИ!$B$6&lt;&gt;"Да",0,IFERROR(SUMIF(INDIRECT("'["&amp;НАСТРОЙКИ!$D$6&amp;"]CF'!$L$3:$EO$3"),AP$22,INDIRECT("'["&amp;НАСТРОЙКИ!$D$6&amp;"]CF'!$L$66:$EO$66")),0))</f>
        <v>0</v>
      </c>
      <c r="AQ67" s="35">
        <f ca="1">IF(НАСТРОЙКИ!$B$6&lt;&gt;"Да",0,IFERROR(SUMIF(INDIRECT("'["&amp;НАСТРОЙКИ!$D$6&amp;"]CF'!$L$3:$EO$3"),AQ$22,INDIRECT("'["&amp;НАСТРОЙКИ!$D$6&amp;"]CF'!$L$66:$EO$66")),0))</f>
        <v>0</v>
      </c>
      <c r="AR67" s="35">
        <f ca="1">IF(НАСТРОЙКИ!$B$6&lt;&gt;"Да",0,IFERROR(SUMIF(INDIRECT("'["&amp;НАСТРОЙКИ!$D$6&amp;"]CF'!$L$3:$EO$3"),AR$22,INDIRECT("'["&amp;НАСТРОЙКИ!$D$6&amp;"]CF'!$L$66:$EO$66")),0))</f>
        <v>0</v>
      </c>
      <c r="AS67" s="35">
        <f ca="1">IF(НАСТРОЙКИ!$B$6&lt;&gt;"Да",0,IFERROR(SUMIF(INDIRECT("'["&amp;НАСТРОЙКИ!$D$6&amp;"]CF'!$L$3:$EO$3"),AS$22,INDIRECT("'["&amp;НАСТРОЙКИ!$D$6&amp;"]CF'!$L$66:$EO$66")),0))</f>
        <v>0</v>
      </c>
      <c r="AT67" s="35">
        <f ca="1">IF(НАСТРОЙКИ!$B$6&lt;&gt;"Да",0,IFERROR(SUMIF(INDIRECT("'["&amp;НАСТРОЙКИ!$D$6&amp;"]CF'!$L$3:$EO$3"),AT$22,INDIRECT("'["&amp;НАСТРОЙКИ!$D$6&amp;"]CF'!$L$66:$EO$66")),0))</f>
        <v>0</v>
      </c>
      <c r="AU67" s="35">
        <f ca="1">IF(НАСТРОЙКИ!$B$6&lt;&gt;"Да",0,IFERROR(SUMIF(INDIRECT("'["&amp;НАСТРОЙКИ!$D$6&amp;"]CF'!$L$3:$EO$3"),AU$22,INDIRECT("'["&amp;НАСТРОЙКИ!$D$6&amp;"]CF'!$L$66:$EO$66")),0))</f>
        <v>0</v>
      </c>
      <c r="AV67" s="35">
        <f ca="1">IF(НАСТРОЙКИ!$B$6&lt;&gt;"Да",0,IFERROR(SUMIF(INDIRECT("'["&amp;НАСТРОЙКИ!$D$6&amp;"]CF'!$L$3:$EO$3"),AV$22,INDIRECT("'["&amp;НАСТРОЙКИ!$D$6&amp;"]CF'!$L$66:$EO$66")),0))</f>
        <v>0</v>
      </c>
      <c r="AW67" s="35">
        <f ca="1">IF(НАСТРОЙКИ!$B$6&lt;&gt;"Да",0,IFERROR(SUMIF(INDIRECT("'["&amp;НАСТРОЙКИ!$D$6&amp;"]CF'!$L$3:$EO$3"),AW$22,INDIRECT("'["&amp;НАСТРОЙКИ!$D$6&amp;"]CF'!$L$66:$EO$66")),0))</f>
        <v>0</v>
      </c>
      <c r="AX67" s="35">
        <f ca="1">IF(НАСТРОЙКИ!$B$6&lt;&gt;"Да",0,IFERROR(SUMIF(INDIRECT("'["&amp;НАСТРОЙКИ!$D$6&amp;"]CF'!$L$3:$EO$3"),AX$22,INDIRECT("'["&amp;НАСТРОЙКИ!$D$6&amp;"]CF'!$L$66:$EO$66")),0))</f>
        <v>0</v>
      </c>
      <c r="AY67" s="35">
        <f ca="1">IF(НАСТРОЙКИ!$B$6&lt;&gt;"Да",0,IFERROR(SUMIF(INDIRECT("'["&amp;НАСТРОЙКИ!$D$6&amp;"]CF'!$L$3:$EO$3"),AY$22,INDIRECT("'["&amp;НАСТРОЙКИ!$D$6&amp;"]CF'!$L$66:$EO$66")),0))</f>
        <v>0</v>
      </c>
      <c r="AZ67" s="35">
        <f ca="1">IF(НАСТРОЙКИ!$B$6&lt;&gt;"Да",0,IFERROR(SUMIF(INDIRECT("'["&amp;НАСТРОЙКИ!$D$6&amp;"]CF'!$L$3:$EO$3"),AZ$22,INDIRECT("'["&amp;НАСТРОЙКИ!$D$6&amp;"]CF'!$L$66:$EO$66")),0))</f>
        <v>0</v>
      </c>
      <c r="BA67" s="35">
        <f ca="1">IF(НАСТРОЙКИ!$B$6&lt;&gt;"Да",0,IFERROR(SUMIF(INDIRECT("'["&amp;НАСТРОЙКИ!$D$6&amp;"]CF'!$L$3:$EO$3"),BA$22,INDIRECT("'["&amp;НАСТРОЙКИ!$D$6&amp;"]CF'!$L$66:$EO$66")),0))</f>
        <v>0</v>
      </c>
      <c r="BB67" s="35">
        <f ca="1">IF(НАСТРОЙКИ!$B$6&lt;&gt;"Да",0,IFERROR(SUMIF(INDIRECT("'["&amp;НАСТРОЙКИ!$D$6&amp;"]CF'!$L$3:$EO$3"),BB$22,INDIRECT("'["&amp;НАСТРОЙКИ!$D$6&amp;"]CF'!$L$66:$EO$66")),0))</f>
        <v>0</v>
      </c>
      <c r="BC67" s="35">
        <f ca="1">IF(НАСТРОЙКИ!$B$6&lt;&gt;"Да",0,IFERROR(SUMIF(INDIRECT("'["&amp;НАСТРОЙКИ!$D$6&amp;"]CF'!$L$3:$EO$3"),BC$22,INDIRECT("'["&amp;НАСТРОЙКИ!$D$6&amp;"]CF'!$L$66:$EO$66")),0))</f>
        <v>0</v>
      </c>
      <c r="BD67" s="35">
        <f ca="1">IF(НАСТРОЙКИ!$B$6&lt;&gt;"Да",0,IFERROR(SUMIF(INDIRECT("'["&amp;НАСТРОЙКИ!$D$6&amp;"]CF'!$L$3:$EO$3"),BD$22,INDIRECT("'["&amp;НАСТРОЙКИ!$D$6&amp;"]CF'!$L$66:$EO$66")),0))</f>
        <v>0</v>
      </c>
      <c r="BE67" s="35">
        <f ca="1">IF(НАСТРОЙКИ!$B$6&lt;&gt;"Да",0,IFERROR(SUMIF(INDIRECT("'["&amp;НАСТРОЙКИ!$D$6&amp;"]CF'!$L$3:$EO$3"),BE$22,INDIRECT("'["&amp;НАСТРОЙКИ!$D$6&amp;"]CF'!$L$66:$EO$66")),0))</f>
        <v>0</v>
      </c>
      <c r="BF67" s="35">
        <f ca="1">IF(НАСТРОЙКИ!$B$6&lt;&gt;"Да",0,IFERROR(SUMIF(INDIRECT("'["&amp;НАСТРОЙКИ!$D$6&amp;"]CF'!$L$3:$EO$3"),BF$22,INDIRECT("'["&amp;НАСТРОЙКИ!$D$6&amp;"]CF'!$L$66:$EO$66")),0))</f>
        <v>0</v>
      </c>
      <c r="BG67" s="35">
        <f ca="1">IF(НАСТРОЙКИ!$B$6&lt;&gt;"Да",0,IFERROR(SUMIF(INDIRECT("'["&amp;НАСТРОЙКИ!$D$6&amp;"]CF'!$L$3:$EO$3"),BG$22,INDIRECT("'["&amp;НАСТРОЙКИ!$D$6&amp;"]CF'!$L$66:$EO$66")),0))</f>
        <v>0</v>
      </c>
      <c r="BH67" s="35">
        <f ca="1">IF(НАСТРОЙКИ!$B$6&lt;&gt;"Да",0,IFERROR(SUMIF(INDIRECT("'["&amp;НАСТРОЙКИ!$D$6&amp;"]CF'!$L$3:$EO$3"),BH$22,INDIRECT("'["&amp;НАСТРОЙКИ!$D$6&amp;"]CF'!$L$66:$EO$66")),0))</f>
        <v>0</v>
      </c>
      <c r="BI67" s="35">
        <f ca="1">IF(НАСТРОЙКИ!$B$6&lt;&gt;"Да",0,IFERROR(SUMIF(INDIRECT("'["&amp;НАСТРОЙКИ!$D$6&amp;"]CF'!$L$3:$EO$3"),BI$22,INDIRECT("'["&amp;НАСТРОЙКИ!$D$6&amp;"]CF'!$L$66:$EO$66")),0))</f>
        <v>0</v>
      </c>
      <c r="BJ67" s="35">
        <f ca="1">IF(НАСТРОЙКИ!$B$6&lt;&gt;"Да",0,IFERROR(SUMIF(INDIRECT("'["&amp;НАСТРОЙКИ!$D$6&amp;"]CF'!$L$3:$EO$3"),BJ$22,INDIRECT("'["&amp;НАСТРОЙКИ!$D$6&amp;"]CF'!$L$66:$EO$66")),0))</f>
        <v>0</v>
      </c>
      <c r="BK67" s="35">
        <f ca="1">IF(НАСТРОЙКИ!$B$6&lt;&gt;"Да",0,IFERROR(SUMIF(INDIRECT("'["&amp;НАСТРОЙКИ!$D$6&amp;"]CF'!$L$3:$EO$3"),BK$22,INDIRECT("'["&amp;НАСТРОЙКИ!$D$6&amp;"]CF'!$L$66:$EO$66")),0))</f>
        <v>0</v>
      </c>
      <c r="BL67" s="35">
        <f ca="1">IF(НАСТРОЙКИ!$B$6&lt;&gt;"Да",0,IFERROR(SUMIF(INDIRECT("'["&amp;НАСТРОЙКИ!$D$6&amp;"]CF'!$L$3:$EO$3"),BL$22,INDIRECT("'["&amp;НАСТРОЙКИ!$D$6&amp;"]CF'!$L$66:$EO$66")),0))</f>
        <v>0</v>
      </c>
      <c r="BM67" s="35">
        <f ca="1">IF(НАСТРОЙКИ!$B$6&lt;&gt;"Да",0,IFERROR(SUMIF(INDIRECT("'["&amp;НАСТРОЙКИ!$D$6&amp;"]CF'!$L$3:$EO$3"),BM$22,INDIRECT("'["&amp;НАСТРОЙКИ!$D$6&amp;"]CF'!$L$66:$EO$66")),0))</f>
        <v>0</v>
      </c>
      <c r="BN67" s="35">
        <f ca="1">IF(НАСТРОЙКИ!$B$6&lt;&gt;"Да",0,IFERROR(SUMIF(INDIRECT("'["&amp;НАСТРОЙКИ!$D$6&amp;"]CF'!$L$3:$EO$3"),BN$22,INDIRECT("'["&amp;НАСТРОЙКИ!$D$6&amp;"]CF'!$L$66:$EO$66")),0))</f>
        <v>0</v>
      </c>
      <c r="BO67" s="35">
        <f ca="1">IF(НАСТРОЙКИ!$B$6&lt;&gt;"Да",0,IFERROR(SUMIF(INDIRECT("'["&amp;НАСТРОЙКИ!$D$6&amp;"]CF'!$L$3:$EO$3"),BO$22,INDIRECT("'["&amp;НАСТРОЙКИ!$D$6&amp;"]CF'!$L$66:$EO$66")),0))</f>
        <v>0</v>
      </c>
      <c r="BP67" s="35">
        <f ca="1">IF(НАСТРОЙКИ!$B$6&lt;&gt;"Да",0,IFERROR(SUMIF(INDIRECT("'["&amp;НАСТРОЙКИ!$D$6&amp;"]CF'!$L$3:$EO$3"),BP$22,INDIRECT("'["&amp;НАСТРОЙКИ!$D$6&amp;"]CF'!$L$66:$EO$66")),0))</f>
        <v>0</v>
      </c>
      <c r="BQ67" s="35">
        <f ca="1">IF(НАСТРОЙКИ!$B$6&lt;&gt;"Да",0,IFERROR(SUMIF(INDIRECT("'["&amp;НАСТРОЙКИ!$D$6&amp;"]CF'!$L$3:$EO$3"),BQ$22,INDIRECT("'["&amp;НАСТРОЙКИ!$D$6&amp;"]CF'!$L$66:$EO$66")),0))</f>
        <v>0</v>
      </c>
      <c r="BR67" s="35">
        <f ca="1">IF(НАСТРОЙКИ!$B$6&lt;&gt;"Да",0,IFERROR(SUMIF(INDIRECT("'["&amp;НАСТРОЙКИ!$D$6&amp;"]CF'!$L$3:$EO$3"),BR$22,INDIRECT("'["&amp;НАСТРОЙКИ!$D$6&amp;"]CF'!$L$66:$EO$66")),0))</f>
        <v>0</v>
      </c>
      <c r="BS67" s="35">
        <f ca="1">IF(НАСТРОЙКИ!$B$6&lt;&gt;"Да",0,IFERROR(SUMIF(INDIRECT("'["&amp;НАСТРОЙКИ!$D$6&amp;"]CF'!$L$3:$EO$3"),BS$22,INDIRECT("'["&amp;НАСТРОЙКИ!$D$6&amp;"]CF'!$L$66:$EO$66")),0))</f>
        <v>0</v>
      </c>
      <c r="BT67" s="35">
        <f ca="1">IF(НАСТРОЙКИ!$B$6&lt;&gt;"Да",0,IFERROR(SUMIF(INDIRECT("'["&amp;НАСТРОЙКИ!$D$6&amp;"]CF'!$L$3:$EO$3"),BT$22,INDIRECT("'["&amp;НАСТРОЙКИ!$D$6&amp;"]CF'!$L$66:$EO$66")),0))</f>
        <v>0</v>
      </c>
      <c r="BU67" s="35">
        <f ca="1">IF(НАСТРОЙКИ!$B$6&lt;&gt;"Да",0,IFERROR(SUMIF(INDIRECT("'["&amp;НАСТРОЙКИ!$D$6&amp;"]CF'!$L$3:$EO$3"),BU$22,INDIRECT("'["&amp;НАСТРОЙКИ!$D$6&amp;"]CF'!$L$66:$EO$66")),0))</f>
        <v>0</v>
      </c>
      <c r="BV67" s="35">
        <f ca="1">IF(НАСТРОЙКИ!$B$6&lt;&gt;"Да",0,IFERROR(SUMIF(INDIRECT("'["&amp;НАСТРОЙКИ!$D$6&amp;"]CF'!$L$3:$EO$3"),BV$22,INDIRECT("'["&amp;НАСТРОЙКИ!$D$6&amp;"]CF'!$L$66:$EO$66")),0))</f>
        <v>0</v>
      </c>
      <c r="BW67" s="35">
        <f ca="1">IF(НАСТРОЙКИ!$B$6&lt;&gt;"Да",0,IFERROR(SUMIF(INDIRECT("'["&amp;НАСТРОЙКИ!$D$6&amp;"]CF'!$L$3:$EO$3"),BW$22,INDIRECT("'["&amp;НАСТРОЙКИ!$D$6&amp;"]CF'!$L$66:$EO$66")),0))</f>
        <v>0</v>
      </c>
      <c r="BX67" s="35">
        <f ca="1">IF(НАСТРОЙКИ!$B$6&lt;&gt;"Да",0,IFERROR(SUMIF(INDIRECT("'["&amp;НАСТРОЙКИ!$D$6&amp;"]CF'!$L$3:$EO$3"),BX$22,INDIRECT("'["&amp;НАСТРОЙКИ!$D$6&amp;"]CF'!$L$66:$EO$66")),0))</f>
        <v>0</v>
      </c>
      <c r="BY67" s="35">
        <f ca="1">IF(НАСТРОЙКИ!$B$6&lt;&gt;"Да",0,IFERROR(SUMIF(INDIRECT("'["&amp;НАСТРОЙКИ!$D$6&amp;"]CF'!$L$3:$EO$3"),BY$22,INDIRECT("'["&amp;НАСТРОЙКИ!$D$6&amp;"]CF'!$L$66:$EO$66")),0))</f>
        <v>0</v>
      </c>
      <c r="BZ67" s="35">
        <f ca="1">IF(НАСТРОЙКИ!$B$6&lt;&gt;"Да",0,IFERROR(SUMIF(INDIRECT("'["&amp;НАСТРОЙКИ!$D$6&amp;"]CF'!$L$3:$EO$3"),BZ$22,INDIRECT("'["&amp;НАСТРОЙКИ!$D$6&amp;"]CF'!$L$66:$EO$66")),0))</f>
        <v>0</v>
      </c>
      <c r="CA67" s="35">
        <f ca="1">IF(НАСТРОЙКИ!$B$6&lt;&gt;"Да",0,IFERROR(SUMIF(INDIRECT("'["&amp;НАСТРОЙКИ!$D$6&amp;"]CF'!$L$3:$EO$3"),CA$22,INDIRECT("'["&amp;НАСТРОЙКИ!$D$6&amp;"]CF'!$L$66:$EO$66")),0))</f>
        <v>0</v>
      </c>
      <c r="CB67" s="35">
        <f ca="1">IF(НАСТРОЙКИ!$B$6&lt;&gt;"Да",0,IFERROR(SUMIF(INDIRECT("'["&amp;НАСТРОЙКИ!$D$6&amp;"]CF'!$L$3:$EO$3"),CB$22,INDIRECT("'["&amp;НАСТРОЙКИ!$D$6&amp;"]CF'!$L$66:$EO$66")),0))</f>
        <v>0</v>
      </c>
      <c r="CC67" s="35">
        <f ca="1">IF(НАСТРОЙКИ!$B$6&lt;&gt;"Да",0,IFERROR(SUMIF(INDIRECT("'["&amp;НАСТРОЙКИ!$D$6&amp;"]CF'!$L$3:$EO$3"),CC$22,INDIRECT("'["&amp;НАСТРОЙКИ!$D$6&amp;"]CF'!$L$66:$EO$66")),0))</f>
        <v>0</v>
      </c>
      <c r="CD67" s="35">
        <f ca="1">IF(НАСТРОЙКИ!$B$6&lt;&gt;"Да",0,IFERROR(SUMIF(INDIRECT("'["&amp;НАСТРОЙКИ!$D$6&amp;"]CF'!$L$3:$EO$3"),CD$22,INDIRECT("'["&amp;НАСТРОЙКИ!$D$6&amp;"]CF'!$L$66:$EO$66")),0))</f>
        <v>0</v>
      </c>
      <c r="CE67" s="35">
        <f ca="1">IF(НАСТРОЙКИ!$B$6&lt;&gt;"Да",0,IFERROR(SUMIF(INDIRECT("'["&amp;НАСТРОЙКИ!$D$6&amp;"]CF'!$L$3:$EO$3"),CE$22,INDIRECT("'["&amp;НАСТРОЙКИ!$D$6&amp;"]CF'!$L$66:$EO$66")),0))</f>
        <v>0</v>
      </c>
      <c r="CF67" s="35">
        <f ca="1">IF(НАСТРОЙКИ!$B$6&lt;&gt;"Да",0,IFERROR(SUMIF(INDIRECT("'["&amp;НАСТРОЙКИ!$D$6&amp;"]CF'!$L$3:$EO$3"),CF$22,INDIRECT("'["&amp;НАСТРОЙКИ!$D$6&amp;"]CF'!$L$66:$EO$66")),0))</f>
        <v>0</v>
      </c>
      <c r="CG67" s="35">
        <f ca="1">IF(НАСТРОЙКИ!$B$6&lt;&gt;"Да",0,IFERROR(SUMIF(INDIRECT("'["&amp;НАСТРОЙКИ!$D$6&amp;"]CF'!$L$3:$EO$3"),CG$22,INDIRECT("'["&amp;НАСТРОЙКИ!$D$6&amp;"]CF'!$L$66:$EO$66")),0))</f>
        <v>0</v>
      </c>
      <c r="CH67" s="35">
        <f ca="1">IF(НАСТРОЙКИ!$B$6&lt;&gt;"Да",0,IFERROR(SUMIF(INDIRECT("'["&amp;НАСТРОЙКИ!$D$6&amp;"]CF'!$L$3:$EO$3"),CH$22,INDIRECT("'["&amp;НАСТРОЙКИ!$D$6&amp;"]CF'!$L$66:$EO$66")),0))</f>
        <v>0</v>
      </c>
      <c r="CI67" s="35">
        <f ca="1">IF(НАСТРОЙКИ!$B$6&lt;&gt;"Да",0,IFERROR(SUMIF(INDIRECT("'["&amp;НАСТРОЙКИ!$D$6&amp;"]CF'!$L$3:$EO$3"),CI$22,INDIRECT("'["&amp;НАСТРОЙКИ!$D$6&amp;"]CF'!$L$66:$EO$66")),0))</f>
        <v>0</v>
      </c>
      <c r="CJ67" s="35">
        <f ca="1">IF(НАСТРОЙКИ!$B$6&lt;&gt;"Да",0,IFERROR(SUMIF(INDIRECT("'["&amp;НАСТРОЙКИ!$D$6&amp;"]CF'!$L$3:$EO$3"),CJ$22,INDIRECT("'["&amp;НАСТРОЙКИ!$D$6&amp;"]CF'!$L$66:$EO$66")),0))</f>
        <v>0</v>
      </c>
      <c r="CK67" s="35">
        <f ca="1">IF(НАСТРОЙКИ!$B$6&lt;&gt;"Да",0,IFERROR(SUMIF(INDIRECT("'["&amp;НАСТРОЙКИ!$D$6&amp;"]CF'!$L$3:$EO$3"),CK$22,INDIRECT("'["&amp;НАСТРОЙКИ!$D$6&amp;"]CF'!$L$66:$EO$66")),0))</f>
        <v>0</v>
      </c>
      <c r="CL67" s="35">
        <f ca="1">IF(НАСТРОЙКИ!$B$6&lt;&gt;"Да",0,IFERROR(SUMIF(INDIRECT("'["&amp;НАСТРОЙКИ!$D$6&amp;"]CF'!$L$3:$EO$3"),CL$22,INDIRECT("'["&amp;НАСТРОЙКИ!$D$6&amp;"]CF'!$L$66:$EO$66")),0))</f>
        <v>0</v>
      </c>
      <c r="CM67" s="35">
        <f ca="1">IF(НАСТРОЙКИ!$B$6&lt;&gt;"Да",0,IFERROR(SUMIF(INDIRECT("'["&amp;НАСТРОЙКИ!$D$6&amp;"]CF'!$L$3:$EO$3"),CM$22,INDIRECT("'["&amp;НАСТРОЙКИ!$D$6&amp;"]CF'!$L$66:$EO$66")),0))</f>
        <v>0</v>
      </c>
      <c r="CN67" s="35">
        <f ca="1">IF(НАСТРОЙКИ!$B$6&lt;&gt;"Да",0,IFERROR(SUMIF(INDIRECT("'["&amp;НАСТРОЙКИ!$D$6&amp;"]CF'!$L$3:$EO$3"),CN$22,INDIRECT("'["&amp;НАСТРОЙКИ!$D$6&amp;"]CF'!$L$66:$EO$66")),0))</f>
        <v>0</v>
      </c>
      <c r="CO67" s="35">
        <f ca="1">IF(НАСТРОЙКИ!$B$6&lt;&gt;"Да",0,IFERROR(SUMIF(INDIRECT("'["&amp;НАСТРОЙКИ!$D$6&amp;"]CF'!$L$3:$EO$3"),CO$22,INDIRECT("'["&amp;НАСТРОЙКИ!$D$6&amp;"]CF'!$L$66:$EO$66")),0))</f>
        <v>0</v>
      </c>
      <c r="CP67" s="35">
        <f ca="1">IF(НАСТРОЙКИ!$B$6&lt;&gt;"Да",0,IFERROR(SUMIF(INDIRECT("'["&amp;НАСТРОЙКИ!$D$6&amp;"]CF'!$L$3:$EO$3"),CP$22,INDIRECT("'["&amp;НАСТРОЙКИ!$D$6&amp;"]CF'!$L$66:$EO$66")),0))</f>
        <v>0</v>
      </c>
      <c r="CQ67" s="35">
        <f ca="1">IF(НАСТРОЙКИ!$B$6&lt;&gt;"Да",0,IFERROR(SUMIF(INDIRECT("'["&amp;НАСТРОЙКИ!$D$6&amp;"]CF'!$L$3:$EO$3"),CQ$22,INDIRECT("'["&amp;НАСТРОЙКИ!$D$6&amp;"]CF'!$L$66:$EO$66")),0))</f>
        <v>0</v>
      </c>
      <c r="CR67" s="35">
        <f ca="1">IF(НАСТРОЙКИ!$B$6&lt;&gt;"Да",0,IFERROR(SUMIF(INDIRECT("'["&amp;НАСТРОЙКИ!$D$6&amp;"]CF'!$L$3:$EO$3"),CR$22,INDIRECT("'["&amp;НАСТРОЙКИ!$D$6&amp;"]CF'!$L$66:$EO$66")),0))</f>
        <v>0</v>
      </c>
      <c r="CS67" s="35">
        <f ca="1">IF(НАСТРОЙКИ!$B$6&lt;&gt;"Да",0,IFERROR(SUMIF(INDIRECT("'["&amp;НАСТРОЙКИ!$D$6&amp;"]CF'!$L$3:$EO$3"),CS$22,INDIRECT("'["&amp;НАСТРОЙКИ!$D$6&amp;"]CF'!$L$66:$EO$66")),0))</f>
        <v>0</v>
      </c>
      <c r="CT67" s="35">
        <f ca="1">IF(НАСТРОЙКИ!$B$6&lt;&gt;"Да",0,IFERROR(SUMIF(INDIRECT("'["&amp;НАСТРОЙКИ!$D$6&amp;"]CF'!$L$3:$EO$3"),CT$22,INDIRECT("'["&amp;НАСТРОЙКИ!$D$6&amp;"]CF'!$L$66:$EO$66")),0))</f>
        <v>0</v>
      </c>
      <c r="CU67" s="35">
        <f ca="1">IF(НАСТРОЙКИ!$B$6&lt;&gt;"Да",0,IFERROR(SUMIF(INDIRECT("'["&amp;НАСТРОЙКИ!$D$6&amp;"]CF'!$L$3:$EO$3"),CU$22,INDIRECT("'["&amp;НАСТРОЙКИ!$D$6&amp;"]CF'!$L$66:$EO$66")),0))</f>
        <v>0</v>
      </c>
      <c r="CV67" s="35">
        <f ca="1">IF(НАСТРОЙКИ!$B$6&lt;&gt;"Да",0,IFERROR(SUMIF(INDIRECT("'["&amp;НАСТРОЙКИ!$D$6&amp;"]CF'!$L$3:$EO$3"),CV$22,INDIRECT("'["&amp;НАСТРОЙКИ!$D$6&amp;"]CF'!$L$66:$EO$66")),0))</f>
        <v>0</v>
      </c>
      <c r="CW67" s="35">
        <f ca="1">IF(НАСТРОЙКИ!$B$6&lt;&gt;"Да",0,IFERROR(SUMIF(INDIRECT("'["&amp;НАСТРОЙКИ!$D$6&amp;"]CF'!$L$3:$EO$3"),CW$22,INDIRECT("'["&amp;НАСТРОЙКИ!$D$6&amp;"]CF'!$L$66:$EO$66")),0))</f>
        <v>0</v>
      </c>
      <c r="CX67" s="35">
        <f ca="1">IF(НАСТРОЙКИ!$B$6&lt;&gt;"Да",0,IFERROR(SUMIF(INDIRECT("'["&amp;НАСТРОЙКИ!$D$6&amp;"]CF'!$L$3:$EO$3"),CX$22,INDIRECT("'["&amp;НАСТРОЙКИ!$D$6&amp;"]CF'!$L$66:$EO$66")),0))</f>
        <v>0</v>
      </c>
      <c r="CY67" s="35">
        <f ca="1">IF(НАСТРОЙКИ!$B$6&lt;&gt;"Да",0,IFERROR(SUMIF(INDIRECT("'["&amp;НАСТРОЙКИ!$D$6&amp;"]CF'!$L$3:$EO$3"),CY$22,INDIRECT("'["&amp;НАСТРОЙКИ!$D$6&amp;"]CF'!$L$66:$EO$66")),0))</f>
        <v>0</v>
      </c>
      <c r="CZ67" s="35">
        <f ca="1">IF(НАСТРОЙКИ!$B$6&lt;&gt;"Да",0,IFERROR(SUMIF(INDIRECT("'["&amp;НАСТРОЙКИ!$D$6&amp;"]CF'!$L$3:$EO$3"),CZ$22,INDIRECT("'["&amp;НАСТРОЙКИ!$D$6&amp;"]CF'!$L$66:$EO$66")),0))</f>
        <v>0</v>
      </c>
      <c r="DA67" s="35">
        <f ca="1">IF(НАСТРОЙКИ!$B$6&lt;&gt;"Да",0,IFERROR(SUMIF(INDIRECT("'["&amp;НАСТРОЙКИ!$D$6&amp;"]CF'!$L$3:$EO$3"),DA$22,INDIRECT("'["&amp;НАСТРОЙКИ!$D$6&amp;"]CF'!$L$66:$EO$66")),0))</f>
        <v>0</v>
      </c>
      <c r="DB67" s="35">
        <f ca="1">IF(НАСТРОЙКИ!$B$6&lt;&gt;"Да",0,IFERROR(SUMIF(INDIRECT("'["&amp;НАСТРОЙКИ!$D$6&amp;"]CF'!$L$3:$EO$3"),DB$22,INDIRECT("'["&amp;НАСТРОЙКИ!$D$6&amp;"]CF'!$L$66:$EO$66")),0))</f>
        <v>0</v>
      </c>
      <c r="DC67" s="35">
        <f ca="1">IF(НАСТРОЙКИ!$B$6&lt;&gt;"Да",0,IFERROR(SUMIF(INDIRECT("'["&amp;НАСТРОЙКИ!$D$6&amp;"]CF'!$L$3:$EO$3"),DC$22,INDIRECT("'["&amp;НАСТРОЙКИ!$D$6&amp;"]CF'!$L$66:$EO$66")),0))</f>
        <v>0</v>
      </c>
      <c r="DD67" s="35">
        <f ca="1">IF(НАСТРОЙКИ!$B$6&lt;&gt;"Да",0,IFERROR(SUMIF(INDIRECT("'["&amp;НАСТРОЙКИ!$D$6&amp;"]CF'!$L$3:$EO$3"),DD$22,INDIRECT("'["&amp;НАСТРОЙКИ!$D$6&amp;"]CF'!$L$66:$EO$66")),0))</f>
        <v>0</v>
      </c>
      <c r="DE67" s="35">
        <f ca="1">IF(НАСТРОЙКИ!$B$6&lt;&gt;"Да",0,IFERROR(SUMIF(INDIRECT("'["&amp;НАСТРОЙКИ!$D$6&amp;"]CF'!$L$3:$EO$3"),DE$22,INDIRECT("'["&amp;НАСТРОЙКИ!$D$6&amp;"]CF'!$L$66:$EO$66")),0))</f>
        <v>0</v>
      </c>
      <c r="DF67" s="35">
        <f ca="1">IF(НАСТРОЙКИ!$B$6&lt;&gt;"Да",0,IFERROR(SUMIF(INDIRECT("'["&amp;НАСТРОЙКИ!$D$6&amp;"]CF'!$L$3:$EO$3"),DF$22,INDIRECT("'["&amp;НАСТРОЙКИ!$D$6&amp;"]CF'!$L$66:$EO$66")),0))</f>
        <v>0</v>
      </c>
    </row>
    <row r="68" spans="1:110">
      <c r="A68" s="34" t="s">
        <v>130</v>
      </c>
      <c r="B68" s="34" t="s">
        <v>58</v>
      </c>
      <c r="C68" s="35">
        <f ca="1">IF(НАСТРОЙКИ!$B$6&lt;&gt;"Да",0,IFERROR((SUMIF(INDIRECT("'["&amp;НАСТРОЙКИ!$D$6&amp;"]КРЕДИТЫ'!$S$3:$EO$3"),C$22,INDIRECT("'["&amp;НАСТРОЙКИ!$D$6&amp;"]КРЕДИТЫ'!$S$40:$EO$40"))+SUMIF(INDIRECT("'["&amp;НАСТРОЙКИ!$D$6&amp;"]КРЕДИТЫ'!$S$3:$EO$3"),C$22,INDIRECT("'["&amp;НАСТРОЙКИ!$D$6&amp;"]КРЕДИТЫ'!$S$61:$EO$61")))/1000000,0))</f>
        <v>0</v>
      </c>
      <c r="D68" s="35">
        <f ca="1">IF(НАСТРОЙКИ!$B$6&lt;&gt;"Да",0,IFERROR((SUMIF(INDIRECT("'["&amp;НАСТРОЙКИ!$D$6&amp;"]КРЕДИТЫ'!$S$3:$EO$3"),D$22,INDIRECT("'["&amp;НАСТРОЙКИ!$D$6&amp;"]КРЕДИТЫ'!$S$40:$EO$40"))+SUMIF(INDIRECT("'["&amp;НАСТРОЙКИ!$D$6&amp;"]КРЕДИТЫ'!$S$3:$EO$3"),D$22,INDIRECT("'["&amp;НАСТРОЙКИ!$D$6&amp;"]КРЕДИТЫ'!$S$61:$EO$61")))/1000000,0))</f>
        <v>0</v>
      </c>
      <c r="E68" s="35">
        <f ca="1">IF(НАСТРОЙКИ!$B$6&lt;&gt;"Да",0,IFERROR((SUMIF(INDIRECT("'["&amp;НАСТРОЙКИ!$D$6&amp;"]КРЕДИТЫ'!$S$3:$EO$3"),E$22,INDIRECT("'["&amp;НАСТРОЙКИ!$D$6&amp;"]КРЕДИТЫ'!$S$40:$EO$40"))+SUMIF(INDIRECT("'["&amp;НАСТРОЙКИ!$D$6&amp;"]КРЕДИТЫ'!$S$3:$EO$3"),E$22,INDIRECT("'["&amp;НАСТРОЙКИ!$D$6&amp;"]КРЕДИТЫ'!$S$61:$EO$61")))/1000000,0))</f>
        <v>0</v>
      </c>
      <c r="F68" s="35">
        <f ca="1">IF(НАСТРОЙКИ!$B$6&lt;&gt;"Да",0,IFERROR((SUMIF(INDIRECT("'["&amp;НАСТРОЙКИ!$D$6&amp;"]КРЕДИТЫ'!$S$3:$EO$3"),F$22,INDIRECT("'["&amp;НАСТРОЙКИ!$D$6&amp;"]КРЕДИТЫ'!$S$40:$EO$40"))+SUMIF(INDIRECT("'["&amp;НАСТРОЙКИ!$D$6&amp;"]КРЕДИТЫ'!$S$3:$EO$3"),F$22,INDIRECT("'["&amp;НАСТРОЙКИ!$D$6&amp;"]КРЕДИТЫ'!$S$61:$EO$61")))/1000000,0))</f>
        <v>0</v>
      </c>
      <c r="G68" s="35">
        <f ca="1">IF(НАСТРОЙКИ!$B$6&lt;&gt;"Да",0,IFERROR((SUMIF(INDIRECT("'["&amp;НАСТРОЙКИ!$D$6&amp;"]КРЕДИТЫ'!$S$3:$EO$3"),G$22,INDIRECT("'["&amp;НАСТРОЙКИ!$D$6&amp;"]КРЕДИТЫ'!$S$40:$EO$40"))+SUMIF(INDIRECT("'["&amp;НАСТРОЙКИ!$D$6&amp;"]КРЕДИТЫ'!$S$3:$EO$3"),G$22,INDIRECT("'["&amp;НАСТРОЙКИ!$D$6&amp;"]КРЕДИТЫ'!$S$61:$EO$61")))/1000000,0))</f>
        <v>0</v>
      </c>
      <c r="H68" s="35">
        <f ca="1">IF(НАСТРОЙКИ!$B$6&lt;&gt;"Да",0,IFERROR((SUMIF(INDIRECT("'["&amp;НАСТРОЙКИ!$D$6&amp;"]КРЕДИТЫ'!$S$3:$EO$3"),H$22,INDIRECT("'["&amp;НАСТРОЙКИ!$D$6&amp;"]КРЕДИТЫ'!$S$40:$EO$40"))+SUMIF(INDIRECT("'["&amp;НАСТРОЙКИ!$D$6&amp;"]КРЕДИТЫ'!$S$3:$EO$3"),H$22,INDIRECT("'["&amp;НАСТРОЙКИ!$D$6&amp;"]КРЕДИТЫ'!$S$61:$EO$61")))/1000000,0))</f>
        <v>0</v>
      </c>
      <c r="I68" s="35">
        <f ca="1">IF(НАСТРОЙКИ!$B$6&lt;&gt;"Да",0,IFERROR((SUMIF(INDIRECT("'["&amp;НАСТРОЙКИ!$D$6&amp;"]КРЕДИТЫ'!$S$3:$EO$3"),I$22,INDIRECT("'["&amp;НАСТРОЙКИ!$D$6&amp;"]КРЕДИТЫ'!$S$40:$EO$40"))+SUMIF(INDIRECT("'["&amp;НАСТРОЙКИ!$D$6&amp;"]КРЕДИТЫ'!$S$3:$EO$3"),I$22,INDIRECT("'["&amp;НАСТРОЙКИ!$D$6&amp;"]КРЕДИТЫ'!$S$61:$EO$61")))/1000000,0))</f>
        <v>0</v>
      </c>
      <c r="J68" s="35">
        <f ca="1">IF(НАСТРОЙКИ!$B$6&lt;&gt;"Да",0,IFERROR((SUMIF(INDIRECT("'["&amp;НАСТРОЙКИ!$D$6&amp;"]КРЕДИТЫ'!$S$3:$EO$3"),J$22,INDIRECT("'["&amp;НАСТРОЙКИ!$D$6&amp;"]КРЕДИТЫ'!$S$40:$EO$40"))+SUMIF(INDIRECT("'["&amp;НАСТРОЙКИ!$D$6&amp;"]КРЕДИТЫ'!$S$3:$EO$3"),J$22,INDIRECT("'["&amp;НАСТРОЙКИ!$D$6&amp;"]КРЕДИТЫ'!$S$61:$EO$61")))/1000000,0))</f>
        <v>0</v>
      </c>
      <c r="K68" s="35">
        <f ca="1">IF(НАСТРОЙКИ!$B$6&lt;&gt;"Да",0,IFERROR((SUMIF(INDIRECT("'["&amp;НАСТРОЙКИ!$D$6&amp;"]КРЕДИТЫ'!$S$3:$EO$3"),K$22,INDIRECT("'["&amp;НАСТРОЙКИ!$D$6&amp;"]КРЕДИТЫ'!$S$40:$EO$40"))+SUMIF(INDIRECT("'["&amp;НАСТРОЙКИ!$D$6&amp;"]КРЕДИТЫ'!$S$3:$EO$3"),K$22,INDIRECT("'["&amp;НАСТРОЙКИ!$D$6&amp;"]КРЕДИТЫ'!$S$61:$EO$61")))/1000000,0))</f>
        <v>0</v>
      </c>
      <c r="L68" s="35">
        <f ca="1">IF(НАСТРОЙКИ!$B$6&lt;&gt;"Да",0,IFERROR((SUMIF(INDIRECT("'["&amp;НАСТРОЙКИ!$D$6&amp;"]КРЕДИТЫ'!$S$3:$EO$3"),L$22,INDIRECT("'["&amp;НАСТРОЙКИ!$D$6&amp;"]КРЕДИТЫ'!$S$40:$EO$40"))+SUMIF(INDIRECT("'["&amp;НАСТРОЙКИ!$D$6&amp;"]КРЕДИТЫ'!$S$3:$EO$3"),L$22,INDIRECT("'["&amp;НАСТРОЙКИ!$D$6&amp;"]КРЕДИТЫ'!$S$61:$EO$61")))/1000000,0))</f>
        <v>0</v>
      </c>
      <c r="M68" s="35">
        <f ca="1">IF(НАСТРОЙКИ!$B$6&lt;&gt;"Да",0,IFERROR((SUMIF(INDIRECT("'["&amp;НАСТРОЙКИ!$D$6&amp;"]КРЕДИТЫ'!$S$3:$EO$3"),M$22,INDIRECT("'["&amp;НАСТРОЙКИ!$D$6&amp;"]КРЕДИТЫ'!$S$40:$EO$40"))+SUMIF(INDIRECT("'["&amp;НАСТРОЙКИ!$D$6&amp;"]КРЕДИТЫ'!$S$3:$EO$3"),M$22,INDIRECT("'["&amp;НАСТРОЙКИ!$D$6&amp;"]КРЕДИТЫ'!$S$61:$EO$61")))/1000000,0))</f>
        <v>0</v>
      </c>
      <c r="N68" s="35">
        <f ca="1">IF(НАСТРОЙКИ!$B$6&lt;&gt;"Да",0,IFERROR((SUMIF(INDIRECT("'["&amp;НАСТРОЙКИ!$D$6&amp;"]КРЕДИТЫ'!$S$3:$EO$3"),N$22,INDIRECT("'["&amp;НАСТРОЙКИ!$D$6&amp;"]КРЕДИТЫ'!$S$40:$EO$40"))+SUMIF(INDIRECT("'["&amp;НАСТРОЙКИ!$D$6&amp;"]КРЕДИТЫ'!$S$3:$EO$3"),N$22,INDIRECT("'["&amp;НАСТРОЙКИ!$D$6&amp;"]КРЕДИТЫ'!$S$61:$EO$61")))/1000000,0))</f>
        <v>0</v>
      </c>
      <c r="O68" s="35">
        <f ca="1">IF(НАСТРОЙКИ!$B$6&lt;&gt;"Да",0,IFERROR((SUMIF(INDIRECT("'["&amp;НАСТРОЙКИ!$D$6&amp;"]КРЕДИТЫ'!$S$3:$EO$3"),O$22,INDIRECT("'["&amp;НАСТРОЙКИ!$D$6&amp;"]КРЕДИТЫ'!$S$40:$EO$40"))+SUMIF(INDIRECT("'["&amp;НАСТРОЙКИ!$D$6&amp;"]КРЕДИТЫ'!$S$3:$EO$3"),O$22,INDIRECT("'["&amp;НАСТРОЙКИ!$D$6&amp;"]КРЕДИТЫ'!$S$61:$EO$61")))/1000000,0))</f>
        <v>0</v>
      </c>
      <c r="P68" s="35">
        <f ca="1">IF(НАСТРОЙКИ!$B$6&lt;&gt;"Да",0,IFERROR((SUMIF(INDIRECT("'["&amp;НАСТРОЙКИ!$D$6&amp;"]КРЕДИТЫ'!$S$3:$EO$3"),P$22,INDIRECT("'["&amp;НАСТРОЙКИ!$D$6&amp;"]КРЕДИТЫ'!$S$40:$EO$40"))+SUMIF(INDIRECT("'["&amp;НАСТРОЙКИ!$D$6&amp;"]КРЕДИТЫ'!$S$3:$EO$3"),P$22,INDIRECT("'["&amp;НАСТРОЙКИ!$D$6&amp;"]КРЕДИТЫ'!$S$61:$EO$61")))/1000000,0))</f>
        <v>0</v>
      </c>
      <c r="Q68" s="35">
        <f ca="1">IF(НАСТРОЙКИ!$B$6&lt;&gt;"Да",0,IFERROR((SUMIF(INDIRECT("'["&amp;НАСТРОЙКИ!$D$6&amp;"]КРЕДИТЫ'!$S$3:$EO$3"),Q$22,INDIRECT("'["&amp;НАСТРОЙКИ!$D$6&amp;"]КРЕДИТЫ'!$S$40:$EO$40"))+SUMIF(INDIRECT("'["&amp;НАСТРОЙКИ!$D$6&amp;"]КРЕДИТЫ'!$S$3:$EO$3"),Q$22,INDIRECT("'["&amp;НАСТРОЙКИ!$D$6&amp;"]КРЕДИТЫ'!$S$61:$EO$61")))/1000000,0))</f>
        <v>0</v>
      </c>
      <c r="R68" s="35">
        <f ca="1">IF(НАСТРОЙКИ!$B$6&lt;&gt;"Да",0,IFERROR((SUMIF(INDIRECT("'["&amp;НАСТРОЙКИ!$D$6&amp;"]КРЕДИТЫ'!$S$3:$EO$3"),R$22,INDIRECT("'["&amp;НАСТРОЙКИ!$D$6&amp;"]КРЕДИТЫ'!$S$40:$EO$40"))+SUMIF(INDIRECT("'["&amp;НАСТРОЙКИ!$D$6&amp;"]КРЕДИТЫ'!$S$3:$EO$3"),R$22,INDIRECT("'["&amp;НАСТРОЙКИ!$D$6&amp;"]КРЕДИТЫ'!$S$61:$EO$61")))/1000000,0))</f>
        <v>0</v>
      </c>
      <c r="S68" s="35">
        <f ca="1">IF(НАСТРОЙКИ!$B$6&lt;&gt;"Да",0,IFERROR((SUMIF(INDIRECT("'["&amp;НАСТРОЙКИ!$D$6&amp;"]КРЕДИТЫ'!$S$3:$EO$3"),S$22,INDIRECT("'["&amp;НАСТРОЙКИ!$D$6&amp;"]КРЕДИТЫ'!$S$40:$EO$40"))+SUMIF(INDIRECT("'["&amp;НАСТРОЙКИ!$D$6&amp;"]КРЕДИТЫ'!$S$3:$EO$3"),S$22,INDIRECT("'["&amp;НАСТРОЙКИ!$D$6&amp;"]КРЕДИТЫ'!$S$61:$EO$61")))/1000000,0))</f>
        <v>0</v>
      </c>
      <c r="T68" s="35">
        <f ca="1">IF(НАСТРОЙКИ!$B$6&lt;&gt;"Да",0,IFERROR((SUMIF(INDIRECT("'["&amp;НАСТРОЙКИ!$D$6&amp;"]КРЕДИТЫ'!$S$3:$EO$3"),T$22,INDIRECT("'["&amp;НАСТРОЙКИ!$D$6&amp;"]КРЕДИТЫ'!$S$40:$EO$40"))+SUMIF(INDIRECT("'["&amp;НАСТРОЙКИ!$D$6&amp;"]КРЕДИТЫ'!$S$3:$EO$3"),T$22,INDIRECT("'["&amp;НАСТРОЙКИ!$D$6&amp;"]КРЕДИТЫ'!$S$61:$EO$61")))/1000000,0))</f>
        <v>0</v>
      </c>
      <c r="U68" s="35">
        <f ca="1">IF(НАСТРОЙКИ!$B$6&lt;&gt;"Да",0,IFERROR((SUMIF(INDIRECT("'["&amp;НАСТРОЙКИ!$D$6&amp;"]КРЕДИТЫ'!$S$3:$EO$3"),U$22,INDIRECT("'["&amp;НАСТРОЙКИ!$D$6&amp;"]КРЕДИТЫ'!$S$40:$EO$40"))+SUMIF(INDIRECT("'["&amp;НАСТРОЙКИ!$D$6&amp;"]КРЕДИТЫ'!$S$3:$EO$3"),U$22,INDIRECT("'["&amp;НАСТРОЙКИ!$D$6&amp;"]КРЕДИТЫ'!$S$61:$EO$61")))/1000000,0))</f>
        <v>0</v>
      </c>
      <c r="V68" s="35">
        <f ca="1">IF(НАСТРОЙКИ!$B$6&lt;&gt;"Да",0,IFERROR((SUMIF(INDIRECT("'["&amp;НАСТРОЙКИ!$D$6&amp;"]КРЕДИТЫ'!$S$3:$EO$3"),V$22,INDIRECT("'["&amp;НАСТРОЙКИ!$D$6&amp;"]КРЕДИТЫ'!$S$40:$EO$40"))+SUMIF(INDIRECT("'["&amp;НАСТРОЙКИ!$D$6&amp;"]КРЕДИТЫ'!$S$3:$EO$3"),V$22,INDIRECT("'["&amp;НАСТРОЙКИ!$D$6&amp;"]КРЕДИТЫ'!$S$61:$EO$61")))/1000000,0))</f>
        <v>0</v>
      </c>
      <c r="W68" s="35">
        <f ca="1">IF(НАСТРОЙКИ!$B$6&lt;&gt;"Да",0,IFERROR((SUMIF(INDIRECT("'["&amp;НАСТРОЙКИ!$D$6&amp;"]КРЕДИТЫ'!$S$3:$EO$3"),W$22,INDIRECT("'["&amp;НАСТРОЙКИ!$D$6&amp;"]КРЕДИТЫ'!$S$40:$EO$40"))+SUMIF(INDIRECT("'["&amp;НАСТРОЙКИ!$D$6&amp;"]КРЕДИТЫ'!$S$3:$EO$3"),W$22,INDIRECT("'["&amp;НАСТРОЙКИ!$D$6&amp;"]КРЕДИТЫ'!$S$61:$EO$61")))/1000000,0))</f>
        <v>0</v>
      </c>
      <c r="X68" s="35">
        <f ca="1">IF(НАСТРОЙКИ!$B$6&lt;&gt;"Да",0,IFERROR((SUMIF(INDIRECT("'["&amp;НАСТРОЙКИ!$D$6&amp;"]КРЕДИТЫ'!$S$3:$EO$3"),X$22,INDIRECT("'["&amp;НАСТРОЙКИ!$D$6&amp;"]КРЕДИТЫ'!$S$40:$EO$40"))+SUMIF(INDIRECT("'["&amp;НАСТРОЙКИ!$D$6&amp;"]КРЕДИТЫ'!$S$3:$EO$3"),X$22,INDIRECT("'["&amp;НАСТРОЙКИ!$D$6&amp;"]КРЕДИТЫ'!$S$61:$EO$61")))/1000000,0))</f>
        <v>0</v>
      </c>
      <c r="Y68" s="35">
        <f ca="1">IF(НАСТРОЙКИ!$B$6&lt;&gt;"Да",0,IFERROR((SUMIF(INDIRECT("'["&amp;НАСТРОЙКИ!$D$6&amp;"]КРЕДИТЫ'!$S$3:$EO$3"),Y$22,INDIRECT("'["&amp;НАСТРОЙКИ!$D$6&amp;"]КРЕДИТЫ'!$S$40:$EO$40"))+SUMIF(INDIRECT("'["&amp;НАСТРОЙКИ!$D$6&amp;"]КРЕДИТЫ'!$S$3:$EO$3"),Y$22,INDIRECT("'["&amp;НАСТРОЙКИ!$D$6&amp;"]КРЕДИТЫ'!$S$61:$EO$61")))/1000000,0))</f>
        <v>0</v>
      </c>
      <c r="Z68" s="35">
        <f ca="1">IF(НАСТРОЙКИ!$B$6&lt;&gt;"Да",0,IFERROR((SUMIF(INDIRECT("'["&amp;НАСТРОЙКИ!$D$6&amp;"]КРЕДИТЫ'!$S$3:$EO$3"),Z$22,INDIRECT("'["&amp;НАСТРОЙКИ!$D$6&amp;"]КРЕДИТЫ'!$S$40:$EO$40"))+SUMIF(INDIRECT("'["&amp;НАСТРОЙКИ!$D$6&amp;"]КРЕДИТЫ'!$S$3:$EO$3"),Z$22,INDIRECT("'["&amp;НАСТРОЙКИ!$D$6&amp;"]КРЕДИТЫ'!$S$61:$EO$61")))/1000000,0))</f>
        <v>0</v>
      </c>
      <c r="AA68" s="35">
        <f ca="1">IF(НАСТРОЙКИ!$B$6&lt;&gt;"Да",0,IFERROR((SUMIF(INDIRECT("'["&amp;НАСТРОЙКИ!$D$6&amp;"]КРЕДИТЫ'!$S$3:$EO$3"),AA$22,INDIRECT("'["&amp;НАСТРОЙКИ!$D$6&amp;"]КРЕДИТЫ'!$S$40:$EO$40"))+SUMIF(INDIRECT("'["&amp;НАСТРОЙКИ!$D$6&amp;"]КРЕДИТЫ'!$S$3:$EO$3"),AA$22,INDIRECT("'["&amp;НАСТРОЙКИ!$D$6&amp;"]КРЕДИТЫ'!$S$61:$EO$61")))/1000000,0))</f>
        <v>0</v>
      </c>
      <c r="AB68" s="35">
        <f ca="1">IF(НАСТРОЙКИ!$B$6&lt;&gt;"Да",0,IFERROR((SUMIF(INDIRECT("'["&amp;НАСТРОЙКИ!$D$6&amp;"]КРЕДИТЫ'!$S$3:$EO$3"),AB$22,INDIRECT("'["&amp;НАСТРОЙКИ!$D$6&amp;"]КРЕДИТЫ'!$S$40:$EO$40"))+SUMIF(INDIRECT("'["&amp;НАСТРОЙКИ!$D$6&amp;"]КРЕДИТЫ'!$S$3:$EO$3"),AB$22,INDIRECT("'["&amp;НАСТРОЙКИ!$D$6&amp;"]КРЕДИТЫ'!$S$61:$EO$61")))/1000000,0))</f>
        <v>0</v>
      </c>
      <c r="AC68" s="35">
        <f ca="1">IF(НАСТРОЙКИ!$B$6&lt;&gt;"Да",0,IFERROR((SUMIF(INDIRECT("'["&amp;НАСТРОЙКИ!$D$6&amp;"]КРЕДИТЫ'!$S$3:$EO$3"),AC$22,INDIRECT("'["&amp;НАСТРОЙКИ!$D$6&amp;"]КРЕДИТЫ'!$S$40:$EO$40"))+SUMIF(INDIRECT("'["&amp;НАСТРОЙКИ!$D$6&amp;"]КРЕДИТЫ'!$S$3:$EO$3"),AC$22,INDIRECT("'["&amp;НАСТРОЙКИ!$D$6&amp;"]КРЕДИТЫ'!$S$61:$EO$61")))/1000000,0))</f>
        <v>0</v>
      </c>
      <c r="AD68" s="35">
        <f ca="1">IF(НАСТРОЙКИ!$B$6&lt;&gt;"Да",0,IFERROR((SUMIF(INDIRECT("'["&amp;НАСТРОЙКИ!$D$6&amp;"]КРЕДИТЫ'!$S$3:$EO$3"),AD$22,INDIRECT("'["&amp;НАСТРОЙКИ!$D$6&amp;"]КРЕДИТЫ'!$S$40:$EO$40"))+SUMIF(INDIRECT("'["&amp;НАСТРОЙКИ!$D$6&amp;"]КРЕДИТЫ'!$S$3:$EO$3"),AD$22,INDIRECT("'["&amp;НАСТРОЙКИ!$D$6&amp;"]КРЕДИТЫ'!$S$61:$EO$61")))/1000000,0))</f>
        <v>0</v>
      </c>
      <c r="AE68" s="35">
        <f ca="1">IF(НАСТРОЙКИ!$B$6&lt;&gt;"Да",0,IFERROR((SUMIF(INDIRECT("'["&amp;НАСТРОЙКИ!$D$6&amp;"]КРЕДИТЫ'!$S$3:$EO$3"),AE$22,INDIRECT("'["&amp;НАСТРОЙКИ!$D$6&amp;"]КРЕДИТЫ'!$S$40:$EO$40"))+SUMIF(INDIRECT("'["&amp;НАСТРОЙКИ!$D$6&amp;"]КРЕДИТЫ'!$S$3:$EO$3"),AE$22,INDIRECT("'["&amp;НАСТРОЙКИ!$D$6&amp;"]КРЕДИТЫ'!$S$61:$EO$61")))/1000000,0))</f>
        <v>0</v>
      </c>
      <c r="AF68" s="35">
        <f ca="1">IF(НАСТРОЙКИ!$B$6&lt;&gt;"Да",0,IFERROR((SUMIF(INDIRECT("'["&amp;НАСТРОЙКИ!$D$6&amp;"]КРЕДИТЫ'!$S$3:$EO$3"),AF$22,INDIRECT("'["&amp;НАСТРОЙКИ!$D$6&amp;"]КРЕДИТЫ'!$S$40:$EO$40"))+SUMIF(INDIRECT("'["&amp;НАСТРОЙКИ!$D$6&amp;"]КРЕДИТЫ'!$S$3:$EO$3"),AF$22,INDIRECT("'["&amp;НАСТРОЙКИ!$D$6&amp;"]КРЕДИТЫ'!$S$61:$EO$61")))/1000000,0))</f>
        <v>0</v>
      </c>
      <c r="AG68" s="35">
        <f ca="1">IF(НАСТРОЙКИ!$B$6&lt;&gt;"Да",0,IFERROR((SUMIF(INDIRECT("'["&amp;НАСТРОЙКИ!$D$6&amp;"]КРЕДИТЫ'!$S$3:$EO$3"),AG$22,INDIRECT("'["&amp;НАСТРОЙКИ!$D$6&amp;"]КРЕДИТЫ'!$S$40:$EO$40"))+SUMIF(INDIRECT("'["&amp;НАСТРОЙКИ!$D$6&amp;"]КРЕДИТЫ'!$S$3:$EO$3"),AG$22,INDIRECT("'["&amp;НАСТРОЙКИ!$D$6&amp;"]КРЕДИТЫ'!$S$61:$EO$61")))/1000000,0))</f>
        <v>-887.76041996527204</v>
      </c>
      <c r="AH68" s="35">
        <f ca="1">IF(НАСТРОЙКИ!$B$6&lt;&gt;"Да",0,IFERROR((SUMIF(INDIRECT("'["&amp;НАСТРОЙКИ!$D$6&amp;"]КРЕДИТЫ'!$S$3:$EO$3"),AH$22,INDIRECT("'["&amp;НАСТРОЙКИ!$D$6&amp;"]КРЕДИТЫ'!$S$40:$EO$40"))+SUMIF(INDIRECT("'["&amp;НАСТРОЙКИ!$D$6&amp;"]КРЕДИТЫ'!$S$3:$EO$3"),AH$22,INDIRECT("'["&amp;НАСТРОЙКИ!$D$6&amp;"]КРЕДИТЫ'!$S$61:$EO$61")))/1000000,0))</f>
        <v>0</v>
      </c>
      <c r="AI68" s="35">
        <f ca="1">IF(НАСТРОЙКИ!$B$6&lt;&gt;"Да",0,IFERROR((SUMIF(INDIRECT("'["&amp;НАСТРОЙКИ!$D$6&amp;"]КРЕДИТЫ'!$S$3:$EO$3"),AI$22,INDIRECT("'["&amp;НАСТРОЙКИ!$D$6&amp;"]КРЕДИТЫ'!$S$40:$EO$40"))+SUMIF(INDIRECT("'["&amp;НАСТРОЙКИ!$D$6&amp;"]КРЕДИТЫ'!$S$3:$EO$3"),AI$22,INDIRECT("'["&amp;НАСТРОЙКИ!$D$6&amp;"]КРЕДИТЫ'!$S$61:$EO$61")))/1000000,0))</f>
        <v>0</v>
      </c>
      <c r="AJ68" s="35">
        <f ca="1">IF(НАСТРОЙКИ!$B$6&lt;&gt;"Да",0,IFERROR((SUMIF(INDIRECT("'["&amp;НАСТРОЙКИ!$D$6&amp;"]КРЕДИТЫ'!$S$3:$EO$3"),AJ$22,INDIRECT("'["&amp;НАСТРОЙКИ!$D$6&amp;"]КРЕДИТЫ'!$S$40:$EO$40"))+SUMIF(INDIRECT("'["&amp;НАСТРОЙКИ!$D$6&amp;"]КРЕДИТЫ'!$S$3:$EO$3"),AJ$22,INDIRECT("'["&amp;НАСТРОЙКИ!$D$6&amp;"]КРЕДИТЫ'!$S$61:$EO$61")))/1000000,0))</f>
        <v>0</v>
      </c>
      <c r="AK68" s="35">
        <f ca="1">IF(НАСТРОЙКИ!$B$6&lt;&gt;"Да",0,IFERROR((SUMIF(INDIRECT("'["&amp;НАСТРОЙКИ!$D$6&amp;"]КРЕДИТЫ'!$S$3:$EO$3"),AK$22,INDIRECT("'["&amp;НАСТРОЙКИ!$D$6&amp;"]КРЕДИТЫ'!$S$40:$EO$40"))+SUMIF(INDIRECT("'["&amp;НАСТРОЙКИ!$D$6&amp;"]КРЕДИТЫ'!$S$3:$EO$3"),AK$22,INDIRECT("'["&amp;НАСТРОЙКИ!$D$6&amp;"]КРЕДИТЫ'!$S$61:$EO$61")))/1000000,0))</f>
        <v>0</v>
      </c>
      <c r="AL68" s="35">
        <f ca="1">IF(НАСТРОЙКИ!$B$6&lt;&gt;"Да",0,IFERROR((SUMIF(INDIRECT("'["&amp;НАСТРОЙКИ!$D$6&amp;"]КРЕДИТЫ'!$S$3:$EO$3"),AL$22,INDIRECT("'["&amp;НАСТРОЙКИ!$D$6&amp;"]КРЕДИТЫ'!$S$40:$EO$40"))+SUMIF(INDIRECT("'["&amp;НАСТРОЙКИ!$D$6&amp;"]КРЕДИТЫ'!$S$3:$EO$3"),AL$22,INDIRECT("'["&amp;НАСТРОЙКИ!$D$6&amp;"]КРЕДИТЫ'!$S$61:$EO$61")))/1000000,0))</f>
        <v>0</v>
      </c>
      <c r="AM68" s="35">
        <f ca="1">IF(НАСТРОЙКИ!$B$6&lt;&gt;"Да",0,IFERROR((SUMIF(INDIRECT("'["&amp;НАСТРОЙКИ!$D$6&amp;"]КРЕДИТЫ'!$S$3:$EO$3"),AM$22,INDIRECT("'["&amp;НАСТРОЙКИ!$D$6&amp;"]КРЕДИТЫ'!$S$40:$EO$40"))+SUMIF(INDIRECT("'["&amp;НАСТРОЙКИ!$D$6&amp;"]КРЕДИТЫ'!$S$3:$EO$3"),AM$22,INDIRECT("'["&amp;НАСТРОЙКИ!$D$6&amp;"]КРЕДИТЫ'!$S$61:$EO$61")))/1000000,0))</f>
        <v>0</v>
      </c>
      <c r="AN68" s="35">
        <f ca="1">IF(НАСТРОЙКИ!$B$6&lt;&gt;"Да",0,IFERROR((SUMIF(INDIRECT("'["&amp;НАСТРОЙКИ!$D$6&amp;"]КРЕДИТЫ'!$S$3:$EO$3"),AN$22,INDIRECT("'["&amp;НАСТРОЙКИ!$D$6&amp;"]КРЕДИТЫ'!$S$40:$EO$40"))+SUMIF(INDIRECT("'["&amp;НАСТРОЙКИ!$D$6&amp;"]КРЕДИТЫ'!$S$3:$EO$3"),AN$22,INDIRECT("'["&amp;НАСТРОЙКИ!$D$6&amp;"]КРЕДИТЫ'!$S$61:$EO$61")))/1000000,0))</f>
        <v>0</v>
      </c>
      <c r="AO68" s="35">
        <f ca="1">IF(НАСТРОЙКИ!$B$6&lt;&gt;"Да",0,IFERROR((SUMIF(INDIRECT("'["&amp;НАСТРОЙКИ!$D$6&amp;"]КРЕДИТЫ'!$S$3:$EO$3"),AO$22,INDIRECT("'["&amp;НАСТРОЙКИ!$D$6&amp;"]КРЕДИТЫ'!$S$40:$EO$40"))+SUMIF(INDIRECT("'["&amp;НАСТРОЙКИ!$D$6&amp;"]КРЕДИТЫ'!$S$3:$EO$3"),AO$22,INDIRECT("'["&amp;НАСТРОЙКИ!$D$6&amp;"]КРЕДИТЫ'!$S$61:$EO$61")))/1000000,0))</f>
        <v>0</v>
      </c>
      <c r="AP68" s="35">
        <f ca="1">IF(НАСТРОЙКИ!$B$6&lt;&gt;"Да",0,IFERROR((SUMIF(INDIRECT("'["&amp;НАСТРОЙКИ!$D$6&amp;"]КРЕДИТЫ'!$S$3:$EO$3"),AP$22,INDIRECT("'["&amp;НАСТРОЙКИ!$D$6&amp;"]КРЕДИТЫ'!$S$40:$EO$40"))+SUMIF(INDIRECT("'["&amp;НАСТРОЙКИ!$D$6&amp;"]КРЕДИТЫ'!$S$3:$EO$3"),AP$22,INDIRECT("'["&amp;НАСТРОЙКИ!$D$6&amp;"]КРЕДИТЫ'!$S$61:$EO$61")))/1000000,0))</f>
        <v>0</v>
      </c>
      <c r="AQ68" s="35">
        <f ca="1">IF(НАСТРОЙКИ!$B$6&lt;&gt;"Да",0,IFERROR((SUMIF(INDIRECT("'["&amp;НАСТРОЙКИ!$D$6&amp;"]КРЕДИТЫ'!$S$3:$EO$3"),AQ$22,INDIRECT("'["&amp;НАСТРОЙКИ!$D$6&amp;"]КРЕДИТЫ'!$S$40:$EO$40"))+SUMIF(INDIRECT("'["&amp;НАСТРОЙКИ!$D$6&amp;"]КРЕДИТЫ'!$S$3:$EO$3"),AQ$22,INDIRECT("'["&amp;НАСТРОЙКИ!$D$6&amp;"]КРЕДИТЫ'!$S$61:$EO$61")))/1000000,0))</f>
        <v>0</v>
      </c>
      <c r="AR68" s="35">
        <f ca="1">IF(НАСТРОЙКИ!$B$6&lt;&gt;"Да",0,IFERROR((SUMIF(INDIRECT("'["&amp;НАСТРОЙКИ!$D$6&amp;"]КРЕДИТЫ'!$S$3:$EO$3"),AR$22,INDIRECT("'["&amp;НАСТРОЙКИ!$D$6&amp;"]КРЕДИТЫ'!$S$40:$EO$40"))+SUMIF(INDIRECT("'["&amp;НАСТРОЙКИ!$D$6&amp;"]КРЕДИТЫ'!$S$3:$EO$3"),AR$22,INDIRECT("'["&amp;НАСТРОЙКИ!$D$6&amp;"]КРЕДИТЫ'!$S$61:$EO$61")))/1000000,0))</f>
        <v>0</v>
      </c>
      <c r="AS68" s="35">
        <f ca="1">IF(НАСТРОЙКИ!$B$6&lt;&gt;"Да",0,IFERROR((SUMIF(INDIRECT("'["&amp;НАСТРОЙКИ!$D$6&amp;"]КРЕДИТЫ'!$S$3:$EO$3"),AS$22,INDIRECT("'["&amp;НАСТРОЙКИ!$D$6&amp;"]КРЕДИТЫ'!$S$40:$EO$40"))+SUMIF(INDIRECT("'["&amp;НАСТРОЙКИ!$D$6&amp;"]КРЕДИТЫ'!$S$3:$EO$3"),AS$22,INDIRECT("'["&amp;НАСТРОЙКИ!$D$6&amp;"]КРЕДИТЫ'!$S$61:$EO$61")))/1000000,0))</f>
        <v>0</v>
      </c>
      <c r="AT68" s="35">
        <f ca="1">IF(НАСТРОЙКИ!$B$6&lt;&gt;"Да",0,IFERROR((SUMIF(INDIRECT("'["&amp;НАСТРОЙКИ!$D$6&amp;"]КРЕДИТЫ'!$S$3:$EO$3"),AT$22,INDIRECT("'["&amp;НАСТРОЙКИ!$D$6&amp;"]КРЕДИТЫ'!$S$40:$EO$40"))+SUMIF(INDIRECT("'["&amp;НАСТРОЙКИ!$D$6&amp;"]КРЕДИТЫ'!$S$3:$EO$3"),AT$22,INDIRECT("'["&amp;НАСТРОЙКИ!$D$6&amp;"]КРЕДИТЫ'!$S$61:$EO$61")))/1000000,0))</f>
        <v>0</v>
      </c>
      <c r="AU68" s="35">
        <f ca="1">IF(НАСТРОЙКИ!$B$6&lt;&gt;"Да",0,IFERROR((SUMIF(INDIRECT("'["&amp;НАСТРОЙКИ!$D$6&amp;"]КРЕДИТЫ'!$S$3:$EO$3"),AU$22,INDIRECT("'["&amp;НАСТРОЙКИ!$D$6&amp;"]КРЕДИТЫ'!$S$40:$EO$40"))+SUMIF(INDIRECT("'["&amp;НАСТРОЙКИ!$D$6&amp;"]КРЕДИТЫ'!$S$3:$EO$3"),AU$22,INDIRECT("'["&amp;НАСТРОЙКИ!$D$6&amp;"]КРЕДИТЫ'!$S$61:$EO$61")))/1000000,0))</f>
        <v>0</v>
      </c>
      <c r="AV68" s="35">
        <f ca="1">IF(НАСТРОЙКИ!$B$6&lt;&gt;"Да",0,IFERROR((SUMIF(INDIRECT("'["&amp;НАСТРОЙКИ!$D$6&amp;"]КРЕДИТЫ'!$S$3:$EO$3"),AV$22,INDIRECT("'["&amp;НАСТРОЙКИ!$D$6&amp;"]КРЕДИТЫ'!$S$40:$EO$40"))+SUMIF(INDIRECT("'["&amp;НАСТРОЙКИ!$D$6&amp;"]КРЕДИТЫ'!$S$3:$EO$3"),AV$22,INDIRECT("'["&amp;НАСТРОЙКИ!$D$6&amp;"]КРЕДИТЫ'!$S$61:$EO$61")))/1000000,0))</f>
        <v>0</v>
      </c>
      <c r="AW68" s="35">
        <f ca="1">IF(НАСТРОЙКИ!$B$6&lt;&gt;"Да",0,IFERROR((SUMIF(INDIRECT("'["&amp;НАСТРОЙКИ!$D$6&amp;"]КРЕДИТЫ'!$S$3:$EO$3"),AW$22,INDIRECT("'["&amp;НАСТРОЙКИ!$D$6&amp;"]КРЕДИТЫ'!$S$40:$EO$40"))+SUMIF(INDIRECT("'["&amp;НАСТРОЙКИ!$D$6&amp;"]КРЕДИТЫ'!$S$3:$EO$3"),AW$22,INDIRECT("'["&amp;НАСТРОЙКИ!$D$6&amp;"]КРЕДИТЫ'!$S$61:$EO$61")))/1000000,0))</f>
        <v>0</v>
      </c>
      <c r="AX68" s="35">
        <f ca="1">IF(НАСТРОЙКИ!$B$6&lt;&gt;"Да",0,IFERROR((SUMIF(INDIRECT("'["&amp;НАСТРОЙКИ!$D$6&amp;"]КРЕДИТЫ'!$S$3:$EO$3"),AX$22,INDIRECT("'["&amp;НАСТРОЙКИ!$D$6&amp;"]КРЕДИТЫ'!$S$40:$EO$40"))+SUMIF(INDIRECT("'["&amp;НАСТРОЙКИ!$D$6&amp;"]КРЕДИТЫ'!$S$3:$EO$3"),AX$22,INDIRECT("'["&amp;НАСТРОЙКИ!$D$6&amp;"]КРЕДИТЫ'!$S$61:$EO$61")))/1000000,0))</f>
        <v>0</v>
      </c>
      <c r="AY68" s="35">
        <f ca="1">IF(НАСТРОЙКИ!$B$6&lt;&gt;"Да",0,IFERROR((SUMIF(INDIRECT("'["&amp;НАСТРОЙКИ!$D$6&amp;"]КРЕДИТЫ'!$S$3:$EO$3"),AY$22,INDIRECT("'["&amp;НАСТРОЙКИ!$D$6&amp;"]КРЕДИТЫ'!$S$40:$EO$40"))+SUMIF(INDIRECT("'["&amp;НАСТРОЙКИ!$D$6&amp;"]КРЕДИТЫ'!$S$3:$EO$3"),AY$22,INDIRECT("'["&amp;НАСТРОЙКИ!$D$6&amp;"]КРЕДИТЫ'!$S$61:$EO$61")))/1000000,0))</f>
        <v>0</v>
      </c>
      <c r="AZ68" s="35">
        <f ca="1">IF(НАСТРОЙКИ!$B$6&lt;&gt;"Да",0,IFERROR((SUMIF(INDIRECT("'["&amp;НАСТРОЙКИ!$D$6&amp;"]КРЕДИТЫ'!$S$3:$EO$3"),AZ$22,INDIRECT("'["&amp;НАСТРОЙКИ!$D$6&amp;"]КРЕДИТЫ'!$S$40:$EO$40"))+SUMIF(INDIRECT("'["&amp;НАСТРОЙКИ!$D$6&amp;"]КРЕДИТЫ'!$S$3:$EO$3"),AZ$22,INDIRECT("'["&amp;НАСТРОЙКИ!$D$6&amp;"]КРЕДИТЫ'!$S$61:$EO$61")))/1000000,0))</f>
        <v>0</v>
      </c>
      <c r="BA68" s="35">
        <f ca="1">IF(НАСТРОЙКИ!$B$6&lt;&gt;"Да",0,IFERROR((SUMIF(INDIRECT("'["&amp;НАСТРОЙКИ!$D$6&amp;"]КРЕДИТЫ'!$S$3:$EO$3"),BA$22,INDIRECT("'["&amp;НАСТРОЙКИ!$D$6&amp;"]КРЕДИТЫ'!$S$40:$EO$40"))+SUMIF(INDIRECT("'["&amp;НАСТРОЙКИ!$D$6&amp;"]КРЕДИТЫ'!$S$3:$EO$3"),BA$22,INDIRECT("'["&amp;НАСТРОЙКИ!$D$6&amp;"]КРЕДИТЫ'!$S$61:$EO$61")))/1000000,0))</f>
        <v>0</v>
      </c>
      <c r="BB68" s="35">
        <f ca="1">IF(НАСТРОЙКИ!$B$6&lt;&gt;"Да",0,IFERROR((SUMIF(INDIRECT("'["&amp;НАСТРОЙКИ!$D$6&amp;"]КРЕДИТЫ'!$S$3:$EO$3"),BB$22,INDIRECT("'["&amp;НАСТРОЙКИ!$D$6&amp;"]КРЕДИТЫ'!$S$40:$EO$40"))+SUMIF(INDIRECT("'["&amp;НАСТРОЙКИ!$D$6&amp;"]КРЕДИТЫ'!$S$3:$EO$3"),BB$22,INDIRECT("'["&amp;НАСТРОЙКИ!$D$6&amp;"]КРЕДИТЫ'!$S$61:$EO$61")))/1000000,0))</f>
        <v>0</v>
      </c>
      <c r="BC68" s="35">
        <f ca="1">IF(НАСТРОЙКИ!$B$6&lt;&gt;"Да",0,IFERROR((SUMIF(INDIRECT("'["&amp;НАСТРОЙКИ!$D$6&amp;"]КРЕДИТЫ'!$S$3:$EO$3"),BC$22,INDIRECT("'["&amp;НАСТРОЙКИ!$D$6&amp;"]КРЕДИТЫ'!$S$40:$EO$40"))+SUMIF(INDIRECT("'["&amp;НАСТРОЙКИ!$D$6&amp;"]КРЕДИТЫ'!$S$3:$EO$3"),BC$22,INDIRECT("'["&amp;НАСТРОЙКИ!$D$6&amp;"]КРЕДИТЫ'!$S$61:$EO$61")))/1000000,0))</f>
        <v>0</v>
      </c>
      <c r="BD68" s="35">
        <f ca="1">IF(НАСТРОЙКИ!$B$6&lt;&gt;"Да",0,IFERROR((SUMIF(INDIRECT("'["&amp;НАСТРОЙКИ!$D$6&amp;"]КРЕДИТЫ'!$S$3:$EO$3"),BD$22,INDIRECT("'["&amp;НАСТРОЙКИ!$D$6&amp;"]КРЕДИТЫ'!$S$40:$EO$40"))+SUMIF(INDIRECT("'["&amp;НАСТРОЙКИ!$D$6&amp;"]КРЕДИТЫ'!$S$3:$EO$3"),BD$22,INDIRECT("'["&amp;НАСТРОЙКИ!$D$6&amp;"]КРЕДИТЫ'!$S$61:$EO$61")))/1000000,0))</f>
        <v>0</v>
      </c>
      <c r="BE68" s="35">
        <f ca="1">IF(НАСТРОЙКИ!$B$6&lt;&gt;"Да",0,IFERROR((SUMIF(INDIRECT("'["&amp;НАСТРОЙКИ!$D$6&amp;"]КРЕДИТЫ'!$S$3:$EO$3"),BE$22,INDIRECT("'["&amp;НАСТРОЙКИ!$D$6&amp;"]КРЕДИТЫ'!$S$40:$EO$40"))+SUMIF(INDIRECT("'["&amp;НАСТРОЙКИ!$D$6&amp;"]КРЕДИТЫ'!$S$3:$EO$3"),BE$22,INDIRECT("'["&amp;НАСТРОЙКИ!$D$6&amp;"]КРЕДИТЫ'!$S$61:$EO$61")))/1000000,0))</f>
        <v>-27765.554951234266</v>
      </c>
      <c r="BF68" s="35">
        <f ca="1">IF(НАСТРОЙКИ!$B$6&lt;&gt;"Да",0,IFERROR((SUMIF(INDIRECT("'["&amp;НАСТРОЙКИ!$D$6&amp;"]КРЕДИТЫ'!$S$3:$EO$3"),BF$22,INDIRECT("'["&amp;НАСТРОЙКИ!$D$6&amp;"]КРЕДИТЫ'!$S$40:$EO$40"))+SUMIF(INDIRECT("'["&amp;НАСТРОЙКИ!$D$6&amp;"]КРЕДИТЫ'!$S$3:$EO$3"),BF$22,INDIRECT("'["&amp;НАСТРОЙКИ!$D$6&amp;"]КРЕДИТЫ'!$S$61:$EO$61")))/1000000,0))</f>
        <v>0</v>
      </c>
      <c r="BG68" s="35">
        <f ca="1">IF(НАСТРОЙКИ!$B$6&lt;&gt;"Да",0,IFERROR((SUMIF(INDIRECT("'["&amp;НАСТРОЙКИ!$D$6&amp;"]КРЕДИТЫ'!$S$3:$EO$3"),BG$22,INDIRECT("'["&amp;НАСТРОЙКИ!$D$6&amp;"]КРЕДИТЫ'!$S$40:$EO$40"))+SUMIF(INDIRECT("'["&amp;НАСТРОЙКИ!$D$6&amp;"]КРЕДИТЫ'!$S$3:$EO$3"),BG$22,INDIRECT("'["&amp;НАСТРОЙКИ!$D$6&amp;"]КРЕДИТЫ'!$S$61:$EO$61")))/1000000,0))</f>
        <v>0</v>
      </c>
      <c r="BH68" s="35">
        <f ca="1">IF(НАСТРОЙКИ!$B$6&lt;&gt;"Да",0,IFERROR((SUMIF(INDIRECT("'["&amp;НАСТРОЙКИ!$D$6&amp;"]КРЕДИТЫ'!$S$3:$EO$3"),BH$22,INDIRECT("'["&amp;НАСТРОЙКИ!$D$6&amp;"]КРЕДИТЫ'!$S$40:$EO$40"))+SUMIF(INDIRECT("'["&amp;НАСТРОЙКИ!$D$6&amp;"]КРЕДИТЫ'!$S$3:$EO$3"),BH$22,INDIRECT("'["&amp;НАСТРОЙКИ!$D$6&amp;"]КРЕДИТЫ'!$S$61:$EO$61")))/1000000,0))</f>
        <v>0</v>
      </c>
      <c r="BI68" s="35">
        <f ca="1">IF(НАСТРОЙКИ!$B$6&lt;&gt;"Да",0,IFERROR((SUMIF(INDIRECT("'["&amp;НАСТРОЙКИ!$D$6&amp;"]КРЕДИТЫ'!$S$3:$EO$3"),BI$22,INDIRECT("'["&amp;НАСТРОЙКИ!$D$6&amp;"]КРЕДИТЫ'!$S$40:$EO$40"))+SUMIF(INDIRECT("'["&amp;НАСТРОЙКИ!$D$6&amp;"]КРЕДИТЫ'!$S$3:$EO$3"),BI$22,INDIRECT("'["&amp;НАСТРОЙКИ!$D$6&amp;"]КРЕДИТЫ'!$S$61:$EO$61")))/1000000,0))</f>
        <v>0</v>
      </c>
      <c r="BJ68" s="35">
        <f ca="1">IF(НАСТРОЙКИ!$B$6&lt;&gt;"Да",0,IFERROR((SUMIF(INDIRECT("'["&amp;НАСТРОЙКИ!$D$6&amp;"]КРЕДИТЫ'!$S$3:$EO$3"),BJ$22,INDIRECT("'["&amp;НАСТРОЙКИ!$D$6&amp;"]КРЕДИТЫ'!$S$40:$EO$40"))+SUMIF(INDIRECT("'["&amp;НАСТРОЙКИ!$D$6&amp;"]КРЕДИТЫ'!$S$3:$EO$3"),BJ$22,INDIRECT("'["&amp;НАСТРОЙКИ!$D$6&amp;"]КРЕДИТЫ'!$S$61:$EO$61")))/1000000,0))</f>
        <v>0</v>
      </c>
      <c r="BK68" s="35">
        <f ca="1">IF(НАСТРОЙКИ!$B$6&lt;&gt;"Да",0,IFERROR((SUMIF(INDIRECT("'["&amp;НАСТРОЙКИ!$D$6&amp;"]КРЕДИТЫ'!$S$3:$EO$3"),BK$22,INDIRECT("'["&amp;НАСТРОЙКИ!$D$6&amp;"]КРЕДИТЫ'!$S$40:$EO$40"))+SUMIF(INDIRECT("'["&amp;НАСТРОЙКИ!$D$6&amp;"]КРЕДИТЫ'!$S$3:$EO$3"),BK$22,INDIRECT("'["&amp;НАСТРОЙКИ!$D$6&amp;"]КРЕДИТЫ'!$S$61:$EO$61")))/1000000,0))</f>
        <v>0</v>
      </c>
      <c r="BL68" s="35">
        <f ca="1">IF(НАСТРОЙКИ!$B$6&lt;&gt;"Да",0,IFERROR((SUMIF(INDIRECT("'["&amp;НАСТРОЙКИ!$D$6&amp;"]КРЕДИТЫ'!$S$3:$EO$3"),BL$22,INDIRECT("'["&amp;НАСТРОЙКИ!$D$6&amp;"]КРЕДИТЫ'!$S$40:$EO$40"))+SUMIF(INDIRECT("'["&amp;НАСТРОЙКИ!$D$6&amp;"]КРЕДИТЫ'!$S$3:$EO$3"),BL$22,INDIRECT("'["&amp;НАСТРОЙКИ!$D$6&amp;"]КРЕДИТЫ'!$S$61:$EO$61")))/1000000,0))</f>
        <v>0</v>
      </c>
      <c r="BM68" s="35">
        <f ca="1">IF(НАСТРОЙКИ!$B$6&lt;&gt;"Да",0,IFERROR((SUMIF(INDIRECT("'["&amp;НАСТРОЙКИ!$D$6&amp;"]КРЕДИТЫ'!$S$3:$EO$3"),BM$22,INDIRECT("'["&amp;НАСТРОЙКИ!$D$6&amp;"]КРЕДИТЫ'!$S$40:$EO$40"))+SUMIF(INDIRECT("'["&amp;НАСТРОЙКИ!$D$6&amp;"]КРЕДИТЫ'!$S$3:$EO$3"),BM$22,INDIRECT("'["&amp;НАСТРОЙКИ!$D$6&amp;"]КРЕДИТЫ'!$S$61:$EO$61")))/1000000,0))</f>
        <v>0</v>
      </c>
      <c r="BN68" s="35">
        <f ca="1">IF(НАСТРОЙКИ!$B$6&lt;&gt;"Да",0,IFERROR((SUMIF(INDIRECT("'["&amp;НАСТРОЙКИ!$D$6&amp;"]КРЕДИТЫ'!$S$3:$EO$3"),BN$22,INDIRECT("'["&amp;НАСТРОЙКИ!$D$6&amp;"]КРЕДИТЫ'!$S$40:$EO$40"))+SUMIF(INDIRECT("'["&amp;НАСТРОЙКИ!$D$6&amp;"]КРЕДИТЫ'!$S$3:$EO$3"),BN$22,INDIRECT("'["&amp;НАСТРОЙКИ!$D$6&amp;"]КРЕДИТЫ'!$S$61:$EO$61")))/1000000,0))</f>
        <v>0</v>
      </c>
      <c r="BO68" s="35">
        <f ca="1">IF(НАСТРОЙКИ!$B$6&lt;&gt;"Да",0,IFERROR((SUMIF(INDIRECT("'["&amp;НАСТРОЙКИ!$D$6&amp;"]КРЕДИТЫ'!$S$3:$EO$3"),BO$22,INDIRECT("'["&amp;НАСТРОЙКИ!$D$6&amp;"]КРЕДИТЫ'!$S$40:$EO$40"))+SUMIF(INDIRECT("'["&amp;НАСТРОЙКИ!$D$6&amp;"]КРЕДИТЫ'!$S$3:$EO$3"),BO$22,INDIRECT("'["&amp;НАСТРОЙКИ!$D$6&amp;"]КРЕДИТЫ'!$S$61:$EO$61")))/1000000,0))</f>
        <v>0</v>
      </c>
      <c r="BP68" s="35">
        <f ca="1">IF(НАСТРОЙКИ!$B$6&lt;&gt;"Да",0,IFERROR((SUMIF(INDIRECT("'["&amp;НАСТРОЙКИ!$D$6&amp;"]КРЕДИТЫ'!$S$3:$EO$3"),BP$22,INDIRECT("'["&amp;НАСТРОЙКИ!$D$6&amp;"]КРЕДИТЫ'!$S$40:$EO$40"))+SUMIF(INDIRECT("'["&amp;НАСТРОЙКИ!$D$6&amp;"]КРЕДИТЫ'!$S$3:$EO$3"),BP$22,INDIRECT("'["&amp;НАСТРОЙКИ!$D$6&amp;"]КРЕДИТЫ'!$S$61:$EO$61")))/1000000,0))</f>
        <v>0</v>
      </c>
      <c r="BQ68" s="35">
        <f ca="1">IF(НАСТРОЙКИ!$B$6&lt;&gt;"Да",0,IFERROR((SUMIF(INDIRECT("'["&amp;НАСТРОЙКИ!$D$6&amp;"]КРЕДИТЫ'!$S$3:$EO$3"),BQ$22,INDIRECT("'["&amp;НАСТРОЙКИ!$D$6&amp;"]КРЕДИТЫ'!$S$40:$EO$40"))+SUMIF(INDIRECT("'["&amp;НАСТРОЙКИ!$D$6&amp;"]КРЕДИТЫ'!$S$3:$EO$3"),BQ$22,INDIRECT("'["&amp;НАСТРОЙКИ!$D$6&amp;"]КРЕДИТЫ'!$S$61:$EO$61")))/1000000,0))</f>
        <v>0</v>
      </c>
      <c r="BR68" s="35">
        <f ca="1">IF(НАСТРОЙКИ!$B$6&lt;&gt;"Да",0,IFERROR((SUMIF(INDIRECT("'["&amp;НАСТРОЙКИ!$D$6&amp;"]КРЕДИТЫ'!$S$3:$EO$3"),BR$22,INDIRECT("'["&amp;НАСТРОЙКИ!$D$6&amp;"]КРЕДИТЫ'!$S$40:$EO$40"))+SUMIF(INDIRECT("'["&amp;НАСТРОЙКИ!$D$6&amp;"]КРЕДИТЫ'!$S$3:$EO$3"),BR$22,INDIRECT("'["&amp;НАСТРОЙКИ!$D$6&amp;"]КРЕДИТЫ'!$S$61:$EO$61")))/1000000,0))</f>
        <v>0</v>
      </c>
      <c r="BS68" s="35">
        <f ca="1">IF(НАСТРОЙКИ!$B$6&lt;&gt;"Да",0,IFERROR((SUMIF(INDIRECT("'["&amp;НАСТРОЙКИ!$D$6&amp;"]КРЕДИТЫ'!$S$3:$EO$3"),BS$22,INDIRECT("'["&amp;НАСТРОЙКИ!$D$6&amp;"]КРЕДИТЫ'!$S$40:$EO$40"))+SUMIF(INDIRECT("'["&amp;НАСТРОЙКИ!$D$6&amp;"]КРЕДИТЫ'!$S$3:$EO$3"),BS$22,INDIRECT("'["&amp;НАСТРОЙКИ!$D$6&amp;"]КРЕДИТЫ'!$S$61:$EO$61")))/1000000,0))</f>
        <v>0</v>
      </c>
      <c r="BT68" s="35">
        <f ca="1">IF(НАСТРОЙКИ!$B$6&lt;&gt;"Да",0,IFERROR((SUMIF(INDIRECT("'["&amp;НАСТРОЙКИ!$D$6&amp;"]КРЕДИТЫ'!$S$3:$EO$3"),BT$22,INDIRECT("'["&amp;НАСТРОЙКИ!$D$6&amp;"]КРЕДИТЫ'!$S$40:$EO$40"))+SUMIF(INDIRECT("'["&amp;НАСТРОЙКИ!$D$6&amp;"]КРЕДИТЫ'!$S$3:$EO$3"),BT$22,INDIRECT("'["&amp;НАСТРОЙКИ!$D$6&amp;"]КРЕДИТЫ'!$S$61:$EO$61")))/1000000,0))</f>
        <v>0</v>
      </c>
      <c r="BU68" s="35">
        <f ca="1">IF(НАСТРОЙКИ!$B$6&lt;&gt;"Да",0,IFERROR((SUMIF(INDIRECT("'["&amp;НАСТРОЙКИ!$D$6&amp;"]КРЕДИТЫ'!$S$3:$EO$3"),BU$22,INDIRECT("'["&amp;НАСТРОЙКИ!$D$6&amp;"]КРЕДИТЫ'!$S$40:$EO$40"))+SUMIF(INDIRECT("'["&amp;НАСТРОЙКИ!$D$6&amp;"]КРЕДИТЫ'!$S$3:$EO$3"),BU$22,INDIRECT("'["&amp;НАСТРОЙКИ!$D$6&amp;"]КРЕДИТЫ'!$S$61:$EO$61")))/1000000,0))</f>
        <v>0</v>
      </c>
      <c r="BV68" s="35">
        <f ca="1">IF(НАСТРОЙКИ!$B$6&lt;&gt;"Да",0,IFERROR((SUMIF(INDIRECT("'["&amp;НАСТРОЙКИ!$D$6&amp;"]КРЕДИТЫ'!$S$3:$EO$3"),BV$22,INDIRECT("'["&amp;НАСТРОЙКИ!$D$6&amp;"]КРЕДИТЫ'!$S$40:$EO$40"))+SUMIF(INDIRECT("'["&amp;НАСТРОЙКИ!$D$6&amp;"]КРЕДИТЫ'!$S$3:$EO$3"),BV$22,INDIRECT("'["&amp;НАСТРОЙКИ!$D$6&amp;"]КРЕДИТЫ'!$S$61:$EO$61")))/1000000,0))</f>
        <v>0</v>
      </c>
      <c r="BW68" s="35">
        <f ca="1">IF(НАСТРОЙКИ!$B$6&lt;&gt;"Да",0,IFERROR((SUMIF(INDIRECT("'["&amp;НАСТРОЙКИ!$D$6&amp;"]КРЕДИТЫ'!$S$3:$EO$3"),BW$22,INDIRECT("'["&amp;НАСТРОЙКИ!$D$6&amp;"]КРЕДИТЫ'!$S$40:$EO$40"))+SUMIF(INDIRECT("'["&amp;НАСТРОЙКИ!$D$6&amp;"]КРЕДИТЫ'!$S$3:$EO$3"),BW$22,INDIRECT("'["&amp;НАСТРОЙКИ!$D$6&amp;"]КРЕДИТЫ'!$S$61:$EO$61")))/1000000,0))</f>
        <v>0</v>
      </c>
      <c r="BX68" s="35">
        <f ca="1">IF(НАСТРОЙКИ!$B$6&lt;&gt;"Да",0,IFERROR((SUMIF(INDIRECT("'["&amp;НАСТРОЙКИ!$D$6&amp;"]КРЕДИТЫ'!$S$3:$EO$3"),BX$22,INDIRECT("'["&amp;НАСТРОЙКИ!$D$6&amp;"]КРЕДИТЫ'!$S$40:$EO$40"))+SUMIF(INDIRECT("'["&amp;НАСТРОЙКИ!$D$6&amp;"]КРЕДИТЫ'!$S$3:$EO$3"),BX$22,INDIRECT("'["&amp;НАСТРОЙКИ!$D$6&amp;"]КРЕДИТЫ'!$S$61:$EO$61")))/1000000,0))</f>
        <v>0</v>
      </c>
      <c r="BY68" s="35">
        <f ca="1">IF(НАСТРОЙКИ!$B$6&lt;&gt;"Да",0,IFERROR((SUMIF(INDIRECT("'["&amp;НАСТРОЙКИ!$D$6&amp;"]КРЕДИТЫ'!$S$3:$EO$3"),BY$22,INDIRECT("'["&amp;НАСТРОЙКИ!$D$6&amp;"]КРЕДИТЫ'!$S$40:$EO$40"))+SUMIF(INDIRECT("'["&amp;НАСТРОЙКИ!$D$6&amp;"]КРЕДИТЫ'!$S$3:$EO$3"),BY$22,INDIRECT("'["&amp;НАСТРОЙКИ!$D$6&amp;"]КРЕДИТЫ'!$S$61:$EO$61")))/1000000,0))</f>
        <v>0</v>
      </c>
      <c r="BZ68" s="35">
        <f ca="1">IF(НАСТРОЙКИ!$B$6&lt;&gt;"Да",0,IFERROR((SUMIF(INDIRECT("'["&amp;НАСТРОЙКИ!$D$6&amp;"]КРЕДИТЫ'!$S$3:$EO$3"),BZ$22,INDIRECT("'["&amp;НАСТРОЙКИ!$D$6&amp;"]КРЕДИТЫ'!$S$40:$EO$40"))+SUMIF(INDIRECT("'["&amp;НАСТРОЙКИ!$D$6&amp;"]КРЕДИТЫ'!$S$3:$EO$3"),BZ$22,INDIRECT("'["&amp;НАСТРОЙКИ!$D$6&amp;"]КРЕДИТЫ'!$S$61:$EO$61")))/1000000,0))</f>
        <v>0</v>
      </c>
      <c r="CA68" s="35">
        <f ca="1">IF(НАСТРОЙКИ!$B$6&lt;&gt;"Да",0,IFERROR((SUMIF(INDIRECT("'["&amp;НАСТРОЙКИ!$D$6&amp;"]КРЕДИТЫ'!$S$3:$EO$3"),CA$22,INDIRECT("'["&amp;НАСТРОЙКИ!$D$6&amp;"]КРЕДИТЫ'!$S$40:$EO$40"))+SUMIF(INDIRECT("'["&amp;НАСТРОЙКИ!$D$6&amp;"]КРЕДИТЫ'!$S$3:$EO$3"),CA$22,INDIRECT("'["&amp;НАСТРОЙКИ!$D$6&amp;"]КРЕДИТЫ'!$S$61:$EO$61")))/1000000,0))</f>
        <v>0</v>
      </c>
      <c r="CB68" s="35">
        <f ca="1">IF(НАСТРОЙКИ!$B$6&lt;&gt;"Да",0,IFERROR((SUMIF(INDIRECT("'["&amp;НАСТРОЙКИ!$D$6&amp;"]КРЕДИТЫ'!$S$3:$EO$3"),CB$22,INDIRECT("'["&amp;НАСТРОЙКИ!$D$6&amp;"]КРЕДИТЫ'!$S$40:$EO$40"))+SUMIF(INDIRECT("'["&amp;НАСТРОЙКИ!$D$6&amp;"]КРЕДИТЫ'!$S$3:$EO$3"),CB$22,INDIRECT("'["&amp;НАСТРОЙКИ!$D$6&amp;"]КРЕДИТЫ'!$S$61:$EO$61")))/1000000,0))</f>
        <v>0</v>
      </c>
      <c r="CC68" s="35">
        <f ca="1">IF(НАСТРОЙКИ!$B$6&lt;&gt;"Да",0,IFERROR((SUMIF(INDIRECT("'["&amp;НАСТРОЙКИ!$D$6&amp;"]КРЕДИТЫ'!$S$3:$EO$3"),CC$22,INDIRECT("'["&amp;НАСТРОЙКИ!$D$6&amp;"]КРЕДИТЫ'!$S$40:$EO$40"))+SUMIF(INDIRECT("'["&amp;НАСТРОЙКИ!$D$6&amp;"]КРЕДИТЫ'!$S$3:$EO$3"),CC$22,INDIRECT("'["&amp;НАСТРОЙКИ!$D$6&amp;"]КРЕДИТЫ'!$S$61:$EO$61")))/1000000,0))</f>
        <v>0</v>
      </c>
      <c r="CD68" s="35">
        <f ca="1">IF(НАСТРОЙКИ!$B$6&lt;&gt;"Да",0,IFERROR((SUMIF(INDIRECT("'["&amp;НАСТРОЙКИ!$D$6&amp;"]КРЕДИТЫ'!$S$3:$EO$3"),CD$22,INDIRECT("'["&amp;НАСТРОЙКИ!$D$6&amp;"]КРЕДИТЫ'!$S$40:$EO$40"))+SUMIF(INDIRECT("'["&amp;НАСТРОЙКИ!$D$6&amp;"]КРЕДИТЫ'!$S$3:$EO$3"),CD$22,INDIRECT("'["&amp;НАСТРОЙКИ!$D$6&amp;"]КРЕДИТЫ'!$S$61:$EO$61")))/1000000,0))</f>
        <v>0</v>
      </c>
      <c r="CE68" s="35">
        <f ca="1">IF(НАСТРОЙКИ!$B$6&lt;&gt;"Да",0,IFERROR((SUMIF(INDIRECT("'["&amp;НАСТРОЙКИ!$D$6&amp;"]КРЕДИТЫ'!$S$3:$EO$3"),CE$22,INDIRECT("'["&amp;НАСТРОЙКИ!$D$6&amp;"]КРЕДИТЫ'!$S$40:$EO$40"))+SUMIF(INDIRECT("'["&amp;НАСТРОЙКИ!$D$6&amp;"]КРЕДИТЫ'!$S$3:$EO$3"),CE$22,INDIRECT("'["&amp;НАСТРОЙКИ!$D$6&amp;"]КРЕДИТЫ'!$S$61:$EO$61")))/1000000,0))</f>
        <v>0</v>
      </c>
      <c r="CF68" s="35">
        <f ca="1">IF(НАСТРОЙКИ!$B$6&lt;&gt;"Да",0,IFERROR((SUMIF(INDIRECT("'["&amp;НАСТРОЙКИ!$D$6&amp;"]КРЕДИТЫ'!$S$3:$EO$3"),CF$22,INDIRECT("'["&amp;НАСТРОЙКИ!$D$6&amp;"]КРЕДИТЫ'!$S$40:$EO$40"))+SUMIF(INDIRECT("'["&amp;НАСТРОЙКИ!$D$6&amp;"]КРЕДИТЫ'!$S$3:$EO$3"),CF$22,INDIRECT("'["&amp;НАСТРОЙКИ!$D$6&amp;"]КРЕДИТЫ'!$S$61:$EO$61")))/1000000,0))</f>
        <v>0</v>
      </c>
      <c r="CG68" s="35">
        <f ca="1">IF(НАСТРОЙКИ!$B$6&lt;&gt;"Да",0,IFERROR((SUMIF(INDIRECT("'["&amp;НАСТРОЙКИ!$D$6&amp;"]КРЕДИТЫ'!$S$3:$EO$3"),CG$22,INDIRECT("'["&amp;НАСТРОЙКИ!$D$6&amp;"]КРЕДИТЫ'!$S$40:$EO$40"))+SUMIF(INDIRECT("'["&amp;НАСТРОЙКИ!$D$6&amp;"]КРЕДИТЫ'!$S$3:$EO$3"),CG$22,INDIRECT("'["&amp;НАСТРОЙКИ!$D$6&amp;"]КРЕДИТЫ'!$S$61:$EO$61")))/1000000,0))</f>
        <v>0</v>
      </c>
      <c r="CH68" s="35">
        <f ca="1">IF(НАСТРОЙКИ!$B$6&lt;&gt;"Да",0,IFERROR((SUMIF(INDIRECT("'["&amp;НАСТРОЙКИ!$D$6&amp;"]КРЕДИТЫ'!$S$3:$EO$3"),CH$22,INDIRECT("'["&amp;НАСТРОЙКИ!$D$6&amp;"]КРЕДИТЫ'!$S$40:$EO$40"))+SUMIF(INDIRECT("'["&amp;НАСТРОЙКИ!$D$6&amp;"]КРЕДИТЫ'!$S$3:$EO$3"),CH$22,INDIRECT("'["&amp;НАСТРОЙКИ!$D$6&amp;"]КРЕДИТЫ'!$S$61:$EO$61")))/1000000,0))</f>
        <v>0</v>
      </c>
      <c r="CI68" s="35">
        <f ca="1">IF(НАСТРОЙКИ!$B$6&lt;&gt;"Да",0,IFERROR((SUMIF(INDIRECT("'["&amp;НАСТРОЙКИ!$D$6&amp;"]КРЕДИТЫ'!$S$3:$EO$3"),CI$22,INDIRECT("'["&amp;НАСТРОЙКИ!$D$6&amp;"]КРЕДИТЫ'!$S$40:$EO$40"))+SUMIF(INDIRECT("'["&amp;НАСТРОЙКИ!$D$6&amp;"]КРЕДИТЫ'!$S$3:$EO$3"),CI$22,INDIRECT("'["&amp;НАСТРОЙКИ!$D$6&amp;"]КРЕДИТЫ'!$S$61:$EO$61")))/1000000,0))</f>
        <v>0</v>
      </c>
      <c r="CJ68" s="35">
        <f ca="1">IF(НАСТРОЙКИ!$B$6&lt;&gt;"Да",0,IFERROR((SUMIF(INDIRECT("'["&amp;НАСТРОЙКИ!$D$6&amp;"]КРЕДИТЫ'!$S$3:$EO$3"),CJ$22,INDIRECT("'["&amp;НАСТРОЙКИ!$D$6&amp;"]КРЕДИТЫ'!$S$40:$EO$40"))+SUMIF(INDIRECT("'["&amp;НАСТРОЙКИ!$D$6&amp;"]КРЕДИТЫ'!$S$3:$EO$3"),CJ$22,INDIRECT("'["&amp;НАСТРОЙКИ!$D$6&amp;"]КРЕДИТЫ'!$S$61:$EO$61")))/1000000,0))</f>
        <v>0</v>
      </c>
      <c r="CK68" s="35">
        <f ca="1">IF(НАСТРОЙКИ!$B$6&lt;&gt;"Да",0,IFERROR((SUMIF(INDIRECT("'["&amp;НАСТРОЙКИ!$D$6&amp;"]КРЕДИТЫ'!$S$3:$EO$3"),CK$22,INDIRECT("'["&amp;НАСТРОЙКИ!$D$6&amp;"]КРЕДИТЫ'!$S$40:$EO$40"))+SUMIF(INDIRECT("'["&amp;НАСТРОЙКИ!$D$6&amp;"]КРЕДИТЫ'!$S$3:$EO$3"),CK$22,INDIRECT("'["&amp;НАСТРОЙКИ!$D$6&amp;"]КРЕДИТЫ'!$S$61:$EO$61")))/1000000,0))</f>
        <v>0</v>
      </c>
      <c r="CL68" s="35">
        <f ca="1">IF(НАСТРОЙКИ!$B$6&lt;&gt;"Да",0,IFERROR((SUMIF(INDIRECT("'["&amp;НАСТРОЙКИ!$D$6&amp;"]КРЕДИТЫ'!$S$3:$EO$3"),CL$22,INDIRECT("'["&amp;НАСТРОЙКИ!$D$6&amp;"]КРЕДИТЫ'!$S$40:$EO$40"))+SUMIF(INDIRECT("'["&amp;НАСТРОЙКИ!$D$6&amp;"]КРЕДИТЫ'!$S$3:$EO$3"),CL$22,INDIRECT("'["&amp;НАСТРОЙКИ!$D$6&amp;"]КРЕДИТЫ'!$S$61:$EO$61")))/1000000,0))</f>
        <v>0</v>
      </c>
      <c r="CM68" s="35">
        <f ca="1">IF(НАСТРОЙКИ!$B$6&lt;&gt;"Да",0,IFERROR((SUMIF(INDIRECT("'["&amp;НАСТРОЙКИ!$D$6&amp;"]КРЕДИТЫ'!$S$3:$EO$3"),CM$22,INDIRECT("'["&amp;НАСТРОЙКИ!$D$6&amp;"]КРЕДИТЫ'!$S$40:$EO$40"))+SUMIF(INDIRECT("'["&amp;НАСТРОЙКИ!$D$6&amp;"]КРЕДИТЫ'!$S$3:$EO$3"),CM$22,INDIRECT("'["&amp;НАСТРОЙКИ!$D$6&amp;"]КРЕДИТЫ'!$S$61:$EO$61")))/1000000,0))</f>
        <v>0</v>
      </c>
      <c r="CN68" s="35">
        <f ca="1">IF(НАСТРОЙКИ!$B$6&lt;&gt;"Да",0,IFERROR((SUMIF(INDIRECT("'["&amp;НАСТРОЙКИ!$D$6&amp;"]КРЕДИТЫ'!$S$3:$EO$3"),CN$22,INDIRECT("'["&amp;НАСТРОЙКИ!$D$6&amp;"]КРЕДИТЫ'!$S$40:$EO$40"))+SUMIF(INDIRECT("'["&amp;НАСТРОЙКИ!$D$6&amp;"]КРЕДИТЫ'!$S$3:$EO$3"),CN$22,INDIRECT("'["&amp;НАСТРОЙКИ!$D$6&amp;"]КРЕДИТЫ'!$S$61:$EO$61")))/1000000,0))</f>
        <v>0</v>
      </c>
      <c r="CO68" s="35">
        <f ca="1">IF(НАСТРОЙКИ!$B$6&lt;&gt;"Да",0,IFERROR((SUMIF(INDIRECT("'["&amp;НАСТРОЙКИ!$D$6&amp;"]КРЕДИТЫ'!$S$3:$EO$3"),CO$22,INDIRECT("'["&amp;НАСТРОЙКИ!$D$6&amp;"]КРЕДИТЫ'!$S$40:$EO$40"))+SUMIF(INDIRECT("'["&amp;НАСТРОЙКИ!$D$6&amp;"]КРЕДИТЫ'!$S$3:$EO$3"),CO$22,INDIRECT("'["&amp;НАСТРОЙКИ!$D$6&amp;"]КРЕДИТЫ'!$S$61:$EO$61")))/1000000,0))</f>
        <v>0</v>
      </c>
      <c r="CP68" s="35">
        <f ca="1">IF(НАСТРОЙКИ!$B$6&lt;&gt;"Да",0,IFERROR((SUMIF(INDIRECT("'["&amp;НАСТРОЙКИ!$D$6&amp;"]КРЕДИТЫ'!$S$3:$EO$3"),CP$22,INDIRECT("'["&amp;НАСТРОЙКИ!$D$6&amp;"]КРЕДИТЫ'!$S$40:$EO$40"))+SUMIF(INDIRECT("'["&amp;НАСТРОЙКИ!$D$6&amp;"]КРЕДИТЫ'!$S$3:$EO$3"),CP$22,INDIRECT("'["&amp;НАСТРОЙКИ!$D$6&amp;"]КРЕДИТЫ'!$S$61:$EO$61")))/1000000,0))</f>
        <v>0</v>
      </c>
      <c r="CQ68" s="35">
        <f ca="1">IF(НАСТРОЙКИ!$B$6&lt;&gt;"Да",0,IFERROR((SUMIF(INDIRECT("'["&amp;НАСТРОЙКИ!$D$6&amp;"]КРЕДИТЫ'!$S$3:$EO$3"),CQ$22,INDIRECT("'["&amp;НАСТРОЙКИ!$D$6&amp;"]КРЕДИТЫ'!$S$40:$EO$40"))+SUMIF(INDIRECT("'["&amp;НАСТРОЙКИ!$D$6&amp;"]КРЕДИТЫ'!$S$3:$EO$3"),CQ$22,INDIRECT("'["&amp;НАСТРОЙКИ!$D$6&amp;"]КРЕДИТЫ'!$S$61:$EO$61")))/1000000,0))</f>
        <v>0</v>
      </c>
      <c r="CR68" s="35">
        <f ca="1">IF(НАСТРОЙКИ!$B$6&lt;&gt;"Да",0,IFERROR((SUMIF(INDIRECT("'["&amp;НАСТРОЙКИ!$D$6&amp;"]КРЕДИТЫ'!$S$3:$EO$3"),CR$22,INDIRECT("'["&amp;НАСТРОЙКИ!$D$6&amp;"]КРЕДИТЫ'!$S$40:$EO$40"))+SUMIF(INDIRECT("'["&amp;НАСТРОЙКИ!$D$6&amp;"]КРЕДИТЫ'!$S$3:$EO$3"),CR$22,INDIRECT("'["&amp;НАСТРОЙКИ!$D$6&amp;"]КРЕДИТЫ'!$S$61:$EO$61")))/1000000,0))</f>
        <v>0</v>
      </c>
      <c r="CS68" s="35">
        <f ca="1">IF(НАСТРОЙКИ!$B$6&lt;&gt;"Да",0,IFERROR((SUMIF(INDIRECT("'["&amp;НАСТРОЙКИ!$D$6&amp;"]КРЕДИТЫ'!$S$3:$EO$3"),CS$22,INDIRECT("'["&amp;НАСТРОЙКИ!$D$6&amp;"]КРЕДИТЫ'!$S$40:$EO$40"))+SUMIF(INDIRECT("'["&amp;НАСТРОЙКИ!$D$6&amp;"]КРЕДИТЫ'!$S$3:$EO$3"),CS$22,INDIRECT("'["&amp;НАСТРОЙКИ!$D$6&amp;"]КРЕДИТЫ'!$S$61:$EO$61")))/1000000,0))</f>
        <v>0</v>
      </c>
      <c r="CT68" s="35">
        <f ca="1">IF(НАСТРОЙКИ!$B$6&lt;&gt;"Да",0,IFERROR((SUMIF(INDIRECT("'["&amp;НАСТРОЙКИ!$D$6&amp;"]КРЕДИТЫ'!$S$3:$EO$3"),CT$22,INDIRECT("'["&amp;НАСТРОЙКИ!$D$6&amp;"]КРЕДИТЫ'!$S$40:$EO$40"))+SUMIF(INDIRECT("'["&amp;НАСТРОЙКИ!$D$6&amp;"]КРЕДИТЫ'!$S$3:$EO$3"),CT$22,INDIRECT("'["&amp;НАСТРОЙКИ!$D$6&amp;"]КРЕДИТЫ'!$S$61:$EO$61")))/1000000,0))</f>
        <v>0</v>
      </c>
      <c r="CU68" s="35">
        <f ca="1">IF(НАСТРОЙКИ!$B$6&lt;&gt;"Да",0,IFERROR((SUMIF(INDIRECT("'["&amp;НАСТРОЙКИ!$D$6&amp;"]КРЕДИТЫ'!$S$3:$EO$3"),CU$22,INDIRECT("'["&amp;НАСТРОЙКИ!$D$6&amp;"]КРЕДИТЫ'!$S$40:$EO$40"))+SUMIF(INDIRECT("'["&amp;НАСТРОЙКИ!$D$6&amp;"]КРЕДИТЫ'!$S$3:$EO$3"),CU$22,INDIRECT("'["&amp;НАСТРОЙКИ!$D$6&amp;"]КРЕДИТЫ'!$S$61:$EO$61")))/1000000,0))</f>
        <v>0</v>
      </c>
      <c r="CV68" s="35">
        <f ca="1">IF(НАСТРОЙКИ!$B$6&lt;&gt;"Да",0,IFERROR((SUMIF(INDIRECT("'["&amp;НАСТРОЙКИ!$D$6&amp;"]КРЕДИТЫ'!$S$3:$EO$3"),CV$22,INDIRECT("'["&amp;НАСТРОЙКИ!$D$6&amp;"]КРЕДИТЫ'!$S$40:$EO$40"))+SUMIF(INDIRECT("'["&amp;НАСТРОЙКИ!$D$6&amp;"]КРЕДИТЫ'!$S$3:$EO$3"),CV$22,INDIRECT("'["&amp;НАСТРОЙКИ!$D$6&amp;"]КРЕДИТЫ'!$S$61:$EO$61")))/1000000,0))</f>
        <v>0</v>
      </c>
      <c r="CW68" s="35">
        <f ca="1">IF(НАСТРОЙКИ!$B$6&lt;&gt;"Да",0,IFERROR((SUMIF(INDIRECT("'["&amp;НАСТРОЙКИ!$D$6&amp;"]КРЕДИТЫ'!$S$3:$EO$3"),CW$22,INDIRECT("'["&amp;НАСТРОЙКИ!$D$6&amp;"]КРЕДИТЫ'!$S$40:$EO$40"))+SUMIF(INDIRECT("'["&amp;НАСТРОЙКИ!$D$6&amp;"]КРЕДИТЫ'!$S$3:$EO$3"),CW$22,INDIRECT("'["&amp;НАСТРОЙКИ!$D$6&amp;"]КРЕДИТЫ'!$S$61:$EO$61")))/1000000,0))</f>
        <v>0</v>
      </c>
      <c r="CX68" s="35">
        <f ca="1">IF(НАСТРОЙКИ!$B$6&lt;&gt;"Да",0,IFERROR((SUMIF(INDIRECT("'["&amp;НАСТРОЙКИ!$D$6&amp;"]КРЕДИТЫ'!$S$3:$EO$3"),CX$22,INDIRECT("'["&amp;НАСТРОЙКИ!$D$6&amp;"]КРЕДИТЫ'!$S$40:$EO$40"))+SUMIF(INDIRECT("'["&amp;НАСТРОЙКИ!$D$6&amp;"]КРЕДИТЫ'!$S$3:$EO$3"),CX$22,INDIRECT("'["&amp;НАСТРОЙКИ!$D$6&amp;"]КРЕДИТЫ'!$S$61:$EO$61")))/1000000,0))</f>
        <v>0</v>
      </c>
      <c r="CY68" s="35">
        <f ca="1">IF(НАСТРОЙКИ!$B$6&lt;&gt;"Да",0,IFERROR((SUMIF(INDIRECT("'["&amp;НАСТРОЙКИ!$D$6&amp;"]КРЕДИТЫ'!$S$3:$EO$3"),CY$22,INDIRECT("'["&amp;НАСТРОЙКИ!$D$6&amp;"]КРЕДИТЫ'!$S$40:$EO$40"))+SUMIF(INDIRECT("'["&amp;НАСТРОЙКИ!$D$6&amp;"]КРЕДИТЫ'!$S$3:$EO$3"),CY$22,INDIRECT("'["&amp;НАСТРОЙКИ!$D$6&amp;"]КРЕДИТЫ'!$S$61:$EO$61")))/1000000,0))</f>
        <v>0</v>
      </c>
      <c r="CZ68" s="35">
        <f ca="1">IF(НАСТРОЙКИ!$B$6&lt;&gt;"Да",0,IFERROR((SUMIF(INDIRECT("'["&amp;НАСТРОЙКИ!$D$6&amp;"]КРЕДИТЫ'!$S$3:$EO$3"),CZ$22,INDIRECT("'["&amp;НАСТРОЙКИ!$D$6&amp;"]КРЕДИТЫ'!$S$40:$EO$40"))+SUMIF(INDIRECT("'["&amp;НАСТРОЙКИ!$D$6&amp;"]КРЕДИТЫ'!$S$3:$EO$3"),CZ$22,INDIRECT("'["&amp;НАСТРОЙКИ!$D$6&amp;"]КРЕДИТЫ'!$S$61:$EO$61")))/1000000,0))</f>
        <v>0</v>
      </c>
      <c r="DA68" s="35">
        <f ca="1">IF(НАСТРОЙКИ!$B$6&lt;&gt;"Да",0,IFERROR((SUMIF(INDIRECT("'["&amp;НАСТРОЙКИ!$D$6&amp;"]КРЕДИТЫ'!$S$3:$EO$3"),DA$22,INDIRECT("'["&amp;НАСТРОЙКИ!$D$6&amp;"]КРЕДИТЫ'!$S$40:$EO$40"))+SUMIF(INDIRECT("'["&amp;НАСТРОЙКИ!$D$6&amp;"]КРЕДИТЫ'!$S$3:$EO$3"),DA$22,INDIRECT("'["&amp;НАСТРОЙКИ!$D$6&amp;"]КРЕДИТЫ'!$S$61:$EO$61")))/1000000,0))</f>
        <v>0</v>
      </c>
      <c r="DB68" s="35">
        <f ca="1">IF(НАСТРОЙКИ!$B$6&lt;&gt;"Да",0,IFERROR((SUMIF(INDIRECT("'["&amp;НАСТРОЙКИ!$D$6&amp;"]КРЕДИТЫ'!$S$3:$EO$3"),DB$22,INDIRECT("'["&amp;НАСТРОЙКИ!$D$6&amp;"]КРЕДИТЫ'!$S$40:$EO$40"))+SUMIF(INDIRECT("'["&amp;НАСТРОЙКИ!$D$6&amp;"]КРЕДИТЫ'!$S$3:$EO$3"),DB$22,INDIRECT("'["&amp;НАСТРОЙКИ!$D$6&amp;"]КРЕДИТЫ'!$S$61:$EO$61")))/1000000,0))</f>
        <v>0</v>
      </c>
      <c r="DC68" s="35">
        <f ca="1">IF(НАСТРОЙКИ!$B$6&lt;&gt;"Да",0,IFERROR((SUMIF(INDIRECT("'["&amp;НАСТРОЙКИ!$D$6&amp;"]КРЕДИТЫ'!$S$3:$EO$3"),DC$22,INDIRECT("'["&amp;НАСТРОЙКИ!$D$6&amp;"]КРЕДИТЫ'!$S$40:$EO$40"))+SUMIF(INDIRECT("'["&amp;НАСТРОЙКИ!$D$6&amp;"]КРЕДИТЫ'!$S$3:$EO$3"),DC$22,INDIRECT("'["&amp;НАСТРОЙКИ!$D$6&amp;"]КРЕДИТЫ'!$S$61:$EO$61")))/1000000,0))</f>
        <v>0</v>
      </c>
      <c r="DD68" s="35">
        <f ca="1">IF(НАСТРОЙКИ!$B$6&lt;&gt;"Да",0,IFERROR((SUMIF(INDIRECT("'["&amp;НАСТРОЙКИ!$D$6&amp;"]КРЕДИТЫ'!$S$3:$EO$3"),DD$22,INDIRECT("'["&amp;НАСТРОЙКИ!$D$6&amp;"]КРЕДИТЫ'!$S$40:$EO$40"))+SUMIF(INDIRECT("'["&amp;НАСТРОЙКИ!$D$6&amp;"]КРЕДИТЫ'!$S$3:$EO$3"),DD$22,INDIRECT("'["&amp;НАСТРОЙКИ!$D$6&amp;"]КРЕДИТЫ'!$S$61:$EO$61")))/1000000,0))</f>
        <v>0</v>
      </c>
      <c r="DE68" s="35">
        <f ca="1">IF(НАСТРОЙКИ!$B$6&lt;&gt;"Да",0,IFERROR((SUMIF(INDIRECT("'["&amp;НАСТРОЙКИ!$D$6&amp;"]КРЕДИТЫ'!$S$3:$EO$3"),DE$22,INDIRECT("'["&amp;НАСТРОЙКИ!$D$6&amp;"]КРЕДИТЫ'!$S$40:$EO$40"))+SUMIF(INDIRECT("'["&amp;НАСТРОЙКИ!$D$6&amp;"]КРЕДИТЫ'!$S$3:$EO$3"),DE$22,INDIRECT("'["&amp;НАСТРОЙКИ!$D$6&amp;"]КРЕДИТЫ'!$S$61:$EO$61")))/1000000,0))</f>
        <v>0</v>
      </c>
      <c r="DF68" s="35">
        <f ca="1">IF(НАСТРОЙКИ!$B$6&lt;&gt;"Да",0,IFERROR((SUMIF(INDIRECT("'["&amp;НАСТРОЙКИ!$D$6&amp;"]КРЕДИТЫ'!$S$3:$EO$3"),DF$22,INDIRECT("'["&amp;НАСТРОЙКИ!$D$6&amp;"]КРЕДИТЫ'!$S$40:$EO$40"))+SUMIF(INDIRECT("'["&amp;НАСТРОЙКИ!$D$6&amp;"]КРЕДИТЫ'!$S$3:$EO$3"),DF$22,INDIRECT("'["&amp;НАСТРОЙКИ!$D$6&amp;"]КРЕДИТЫ'!$S$61:$EO$61")))/1000000,0))</f>
        <v>0</v>
      </c>
    </row>
    <row r="69" spans="1:110">
      <c r="A69" s="34" t="s">
        <v>131</v>
      </c>
      <c r="B69" s="34" t="s">
        <v>58</v>
      </c>
      <c r="C69" s="36">
        <f t="shared" ref="C69:AH69" ca="1" si="80">C65+C66+C67+C68</f>
        <v>0</v>
      </c>
      <c r="D69" s="36">
        <f t="shared" ca="1" si="80"/>
        <v>0</v>
      </c>
      <c r="E69" s="36">
        <f t="shared" ca="1" si="80"/>
        <v>0</v>
      </c>
      <c r="F69" s="36">
        <f t="shared" ca="1" si="80"/>
        <v>0</v>
      </c>
      <c r="G69" s="36">
        <f t="shared" ca="1" si="80"/>
        <v>0</v>
      </c>
      <c r="H69" s="36">
        <f t="shared" ca="1" si="80"/>
        <v>0</v>
      </c>
      <c r="I69" s="36">
        <f t="shared" ca="1" si="80"/>
        <v>0</v>
      </c>
      <c r="J69" s="36">
        <f t="shared" ca="1" si="80"/>
        <v>0</v>
      </c>
      <c r="K69" s="36">
        <f t="shared" ca="1" si="80"/>
        <v>0</v>
      </c>
      <c r="L69" s="36">
        <f t="shared" ca="1" si="80"/>
        <v>0</v>
      </c>
      <c r="M69" s="36">
        <f t="shared" ca="1" si="80"/>
        <v>0</v>
      </c>
      <c r="N69" s="36">
        <f t="shared" ca="1" si="80"/>
        <v>0</v>
      </c>
      <c r="O69" s="36">
        <f t="shared" ca="1" si="80"/>
        <v>0</v>
      </c>
      <c r="P69" s="36">
        <f t="shared" ca="1" si="80"/>
        <v>0</v>
      </c>
      <c r="Q69" s="36">
        <f t="shared" ca="1" si="80"/>
        <v>0</v>
      </c>
      <c r="R69" s="36">
        <f t="shared" ca="1" si="80"/>
        <v>0</v>
      </c>
      <c r="S69" s="36">
        <f t="shared" ca="1" si="80"/>
        <v>0</v>
      </c>
      <c r="T69" s="36">
        <f t="shared" ca="1" si="80"/>
        <v>0</v>
      </c>
      <c r="U69" s="36">
        <f t="shared" ca="1" si="80"/>
        <v>0</v>
      </c>
      <c r="V69" s="36">
        <f t="shared" ca="1" si="80"/>
        <v>0</v>
      </c>
      <c r="W69" s="36">
        <f t="shared" ca="1" si="80"/>
        <v>0</v>
      </c>
      <c r="X69" s="36">
        <f t="shared" ca="1" si="80"/>
        <v>0</v>
      </c>
      <c r="Y69" s="36">
        <f t="shared" ca="1" si="80"/>
        <v>0</v>
      </c>
      <c r="Z69" s="36">
        <f t="shared" ca="1" si="80"/>
        <v>0</v>
      </c>
      <c r="AA69" s="36">
        <f t="shared" ca="1" si="80"/>
        <v>0</v>
      </c>
      <c r="AB69" s="36">
        <f t="shared" ca="1" si="80"/>
        <v>0</v>
      </c>
      <c r="AC69" s="36">
        <f t="shared" ca="1" si="80"/>
        <v>0</v>
      </c>
      <c r="AD69" s="36">
        <f t="shared" ca="1" si="80"/>
        <v>0</v>
      </c>
      <c r="AE69" s="36">
        <f t="shared" ca="1" si="80"/>
        <v>0</v>
      </c>
      <c r="AF69" s="36">
        <f t="shared" ca="1" si="80"/>
        <v>0</v>
      </c>
      <c r="AG69" s="36">
        <f t="shared" ca="1" si="80"/>
        <v>-887.76041996527204</v>
      </c>
      <c r="AH69" s="36">
        <f t="shared" ca="1" si="80"/>
        <v>0</v>
      </c>
      <c r="AI69" s="36">
        <f t="shared" ref="AI69:BN69" ca="1" si="81">AI65+AI66+AI67+AI68</f>
        <v>0</v>
      </c>
      <c r="AJ69" s="36">
        <f t="shared" ca="1" si="81"/>
        <v>0</v>
      </c>
      <c r="AK69" s="36">
        <f t="shared" ca="1" si="81"/>
        <v>0</v>
      </c>
      <c r="AL69" s="36">
        <f t="shared" ca="1" si="81"/>
        <v>0</v>
      </c>
      <c r="AM69" s="36">
        <f t="shared" ca="1" si="81"/>
        <v>0</v>
      </c>
      <c r="AN69" s="36">
        <f t="shared" ca="1" si="81"/>
        <v>0</v>
      </c>
      <c r="AO69" s="36">
        <f t="shared" ca="1" si="81"/>
        <v>0</v>
      </c>
      <c r="AP69" s="36">
        <f t="shared" ca="1" si="81"/>
        <v>0</v>
      </c>
      <c r="AQ69" s="36">
        <f t="shared" ca="1" si="81"/>
        <v>0</v>
      </c>
      <c r="AR69" s="36">
        <f t="shared" ca="1" si="81"/>
        <v>0</v>
      </c>
      <c r="AS69" s="36">
        <f t="shared" ca="1" si="81"/>
        <v>0</v>
      </c>
      <c r="AT69" s="36">
        <f t="shared" ca="1" si="81"/>
        <v>0</v>
      </c>
      <c r="AU69" s="36">
        <f t="shared" ca="1" si="81"/>
        <v>0</v>
      </c>
      <c r="AV69" s="36">
        <f t="shared" ca="1" si="81"/>
        <v>0</v>
      </c>
      <c r="AW69" s="36">
        <f t="shared" ca="1" si="81"/>
        <v>0</v>
      </c>
      <c r="AX69" s="36">
        <f t="shared" ca="1" si="81"/>
        <v>0</v>
      </c>
      <c r="AY69" s="36">
        <f t="shared" ca="1" si="81"/>
        <v>0</v>
      </c>
      <c r="AZ69" s="36">
        <f t="shared" ca="1" si="81"/>
        <v>0</v>
      </c>
      <c r="BA69" s="36">
        <f t="shared" ca="1" si="81"/>
        <v>0</v>
      </c>
      <c r="BB69" s="36">
        <f t="shared" ca="1" si="81"/>
        <v>0</v>
      </c>
      <c r="BC69" s="36">
        <f t="shared" ca="1" si="81"/>
        <v>0</v>
      </c>
      <c r="BD69" s="36">
        <f t="shared" ca="1" si="81"/>
        <v>0</v>
      </c>
      <c r="BE69" s="36">
        <f t="shared" ca="1" si="81"/>
        <v>-27765.554951234266</v>
      </c>
      <c r="BF69" s="36">
        <f t="shared" ca="1" si="81"/>
        <v>0</v>
      </c>
      <c r="BG69" s="36">
        <f t="shared" ca="1" si="81"/>
        <v>0</v>
      </c>
      <c r="BH69" s="36">
        <f t="shared" ca="1" si="81"/>
        <v>0</v>
      </c>
      <c r="BI69" s="36">
        <f t="shared" ca="1" si="81"/>
        <v>0</v>
      </c>
      <c r="BJ69" s="36">
        <f t="shared" ca="1" si="81"/>
        <v>0</v>
      </c>
      <c r="BK69" s="36">
        <f t="shared" ca="1" si="81"/>
        <v>0</v>
      </c>
      <c r="BL69" s="36">
        <f t="shared" ca="1" si="81"/>
        <v>0</v>
      </c>
      <c r="BM69" s="36">
        <f t="shared" ca="1" si="81"/>
        <v>0</v>
      </c>
      <c r="BN69" s="36">
        <f t="shared" ca="1" si="81"/>
        <v>0</v>
      </c>
      <c r="BO69" s="36">
        <f t="shared" ref="BO69:CT69" ca="1" si="82">BO65+BO66+BO67+BO68</f>
        <v>0</v>
      </c>
      <c r="BP69" s="36">
        <f t="shared" ca="1" si="82"/>
        <v>0</v>
      </c>
      <c r="BQ69" s="36">
        <f t="shared" ca="1" si="82"/>
        <v>0</v>
      </c>
      <c r="BR69" s="36">
        <f t="shared" ca="1" si="82"/>
        <v>0</v>
      </c>
      <c r="BS69" s="36">
        <f t="shared" ca="1" si="82"/>
        <v>0</v>
      </c>
      <c r="BT69" s="36">
        <f t="shared" ca="1" si="82"/>
        <v>0</v>
      </c>
      <c r="BU69" s="36">
        <f t="shared" ca="1" si="82"/>
        <v>0</v>
      </c>
      <c r="BV69" s="36">
        <f t="shared" ca="1" si="82"/>
        <v>0</v>
      </c>
      <c r="BW69" s="36">
        <f t="shared" ca="1" si="82"/>
        <v>0</v>
      </c>
      <c r="BX69" s="36">
        <f t="shared" ca="1" si="82"/>
        <v>0</v>
      </c>
      <c r="BY69" s="36">
        <f t="shared" ca="1" si="82"/>
        <v>0</v>
      </c>
      <c r="BZ69" s="36">
        <f t="shared" ca="1" si="82"/>
        <v>0</v>
      </c>
      <c r="CA69" s="36">
        <f t="shared" ca="1" si="82"/>
        <v>0</v>
      </c>
      <c r="CB69" s="36">
        <f t="shared" ca="1" si="82"/>
        <v>0</v>
      </c>
      <c r="CC69" s="36">
        <f t="shared" ca="1" si="82"/>
        <v>0</v>
      </c>
      <c r="CD69" s="36">
        <f t="shared" ca="1" si="82"/>
        <v>0</v>
      </c>
      <c r="CE69" s="36">
        <f t="shared" ca="1" si="82"/>
        <v>0</v>
      </c>
      <c r="CF69" s="36">
        <f t="shared" ca="1" si="82"/>
        <v>0</v>
      </c>
      <c r="CG69" s="36">
        <f t="shared" ca="1" si="82"/>
        <v>0</v>
      </c>
      <c r="CH69" s="36">
        <f t="shared" ca="1" si="82"/>
        <v>0</v>
      </c>
      <c r="CI69" s="36">
        <f t="shared" ca="1" si="82"/>
        <v>0</v>
      </c>
      <c r="CJ69" s="36">
        <f t="shared" ca="1" si="82"/>
        <v>0</v>
      </c>
      <c r="CK69" s="36">
        <f t="shared" ca="1" si="82"/>
        <v>0</v>
      </c>
      <c r="CL69" s="36">
        <f t="shared" ca="1" si="82"/>
        <v>0</v>
      </c>
      <c r="CM69" s="36">
        <f t="shared" ca="1" si="82"/>
        <v>0</v>
      </c>
      <c r="CN69" s="36">
        <f t="shared" ca="1" si="82"/>
        <v>0</v>
      </c>
      <c r="CO69" s="36">
        <f t="shared" ca="1" si="82"/>
        <v>0</v>
      </c>
      <c r="CP69" s="36">
        <f t="shared" ca="1" si="82"/>
        <v>0</v>
      </c>
      <c r="CQ69" s="36">
        <f t="shared" ca="1" si="82"/>
        <v>0</v>
      </c>
      <c r="CR69" s="36">
        <f t="shared" ca="1" si="82"/>
        <v>0</v>
      </c>
      <c r="CS69" s="36">
        <f t="shared" ca="1" si="82"/>
        <v>0</v>
      </c>
      <c r="CT69" s="36">
        <f t="shared" ca="1" si="82"/>
        <v>0</v>
      </c>
      <c r="CU69" s="36">
        <f t="shared" ref="CU69:DF69" ca="1" si="83">CU65+CU66+CU67+CU68</f>
        <v>0</v>
      </c>
      <c r="CV69" s="36">
        <f t="shared" ca="1" si="83"/>
        <v>0</v>
      </c>
      <c r="CW69" s="36">
        <f t="shared" ca="1" si="83"/>
        <v>0</v>
      </c>
      <c r="CX69" s="36">
        <f t="shared" ca="1" si="83"/>
        <v>0</v>
      </c>
      <c r="CY69" s="36">
        <f t="shared" ca="1" si="83"/>
        <v>0</v>
      </c>
      <c r="CZ69" s="36">
        <f t="shared" ca="1" si="83"/>
        <v>0</v>
      </c>
      <c r="DA69" s="36">
        <f t="shared" ca="1" si="83"/>
        <v>0</v>
      </c>
      <c r="DB69" s="36">
        <f t="shared" ca="1" si="83"/>
        <v>0</v>
      </c>
      <c r="DC69" s="36">
        <f t="shared" ca="1" si="83"/>
        <v>0</v>
      </c>
      <c r="DD69" s="36">
        <f t="shared" ca="1" si="83"/>
        <v>0</v>
      </c>
      <c r="DE69" s="36">
        <f t="shared" ca="1" si="83"/>
        <v>0</v>
      </c>
      <c r="DF69" s="36">
        <f t="shared" ca="1" si="83"/>
        <v>0</v>
      </c>
    </row>
    <row r="70" spans="1:110">
      <c r="A70" s="34" t="s">
        <v>133</v>
      </c>
      <c r="B70" s="34" t="s">
        <v>58</v>
      </c>
      <c r="C70" s="35">
        <f ca="1">IF(НАСТРОЙКИ!$B$6&lt;&gt;"Да",0,IFERROR(SUMIF(INDIRECT("'["&amp;НАСТРОЙКИ!$D$6&amp;"]КРЕДИТЫ'!$S$3:$EO$3"),C$22,INDIRECT("'["&amp;НАСТРОЙКИ!$D$6&amp;"]КРЕДИТЫ'!$S$51:$EO$51"))/1000000,0))</f>
        <v>0</v>
      </c>
      <c r="D70" s="35">
        <f ca="1">IF(НАСТРОЙКИ!$B$6&lt;&gt;"Да",0,IFERROR(SUMIF(INDIRECT("'["&amp;НАСТРОЙКИ!$D$6&amp;"]КРЕДИТЫ'!$S$3:$EO$3"),D$22,INDIRECT("'["&amp;НАСТРОЙКИ!$D$6&amp;"]КРЕДИТЫ'!$S$51:$EO$51"))/1000000,0))</f>
        <v>0</v>
      </c>
      <c r="E70" s="35">
        <f ca="1">IF(НАСТРОЙКИ!$B$6&lt;&gt;"Да",0,IFERROR(SUMIF(INDIRECT("'["&amp;НАСТРОЙКИ!$D$6&amp;"]КРЕДИТЫ'!$S$3:$EO$3"),E$22,INDIRECT("'["&amp;НАСТРОЙКИ!$D$6&amp;"]КРЕДИТЫ'!$S$51:$EO$51"))/1000000,0))</f>
        <v>0</v>
      </c>
      <c r="F70" s="35">
        <f ca="1">IF(НАСТРОЙКИ!$B$6&lt;&gt;"Да",0,IFERROR(SUMIF(INDIRECT("'["&amp;НАСТРОЙКИ!$D$6&amp;"]КРЕДИТЫ'!$S$3:$EO$3"),F$22,INDIRECT("'["&amp;НАСТРОЙКИ!$D$6&amp;"]КРЕДИТЫ'!$S$51:$EO$51"))/1000000,0))</f>
        <v>0</v>
      </c>
      <c r="G70" s="35">
        <f ca="1">IF(НАСТРОЙКИ!$B$6&lt;&gt;"Да",0,IFERROR(SUMIF(INDIRECT("'["&amp;НАСТРОЙКИ!$D$6&amp;"]КРЕДИТЫ'!$S$3:$EO$3"),G$22,INDIRECT("'["&amp;НАСТРОЙКИ!$D$6&amp;"]КРЕДИТЫ'!$S$51:$EO$51"))/1000000,0))</f>
        <v>0</v>
      </c>
      <c r="H70" s="35">
        <f ca="1">IF(НАСТРОЙКИ!$B$6&lt;&gt;"Да",0,IFERROR(SUMIF(INDIRECT("'["&amp;НАСТРОЙКИ!$D$6&amp;"]КРЕДИТЫ'!$S$3:$EO$3"),H$22,INDIRECT("'["&amp;НАСТРОЙКИ!$D$6&amp;"]КРЕДИТЫ'!$S$51:$EO$51"))/1000000,0))</f>
        <v>0</v>
      </c>
      <c r="I70" s="35">
        <f ca="1">IF(НАСТРОЙКИ!$B$6&lt;&gt;"Да",0,IFERROR(SUMIF(INDIRECT("'["&amp;НАСТРОЙКИ!$D$6&amp;"]КРЕДИТЫ'!$S$3:$EO$3"),I$22,INDIRECT("'["&amp;НАСТРОЙКИ!$D$6&amp;"]КРЕДИТЫ'!$S$51:$EO$51"))/1000000,0))</f>
        <v>0</v>
      </c>
      <c r="J70" s="35">
        <f ca="1">IF(НАСТРОЙКИ!$B$6&lt;&gt;"Да",0,IFERROR(SUMIF(INDIRECT("'["&amp;НАСТРОЙКИ!$D$6&amp;"]КРЕДИТЫ'!$S$3:$EO$3"),J$22,INDIRECT("'["&amp;НАСТРОЙКИ!$D$6&amp;"]КРЕДИТЫ'!$S$51:$EO$51"))/1000000,0))</f>
        <v>0</v>
      </c>
      <c r="K70" s="35">
        <f ca="1">IF(НАСТРОЙКИ!$B$6&lt;&gt;"Да",0,IFERROR(SUMIF(INDIRECT("'["&amp;НАСТРОЙКИ!$D$6&amp;"]КРЕДИТЫ'!$S$3:$EO$3"),K$22,INDIRECT("'["&amp;НАСТРОЙКИ!$D$6&amp;"]КРЕДИТЫ'!$S$51:$EO$51"))/1000000,0))</f>
        <v>0</v>
      </c>
      <c r="L70" s="35">
        <f ca="1">IF(НАСТРОЙКИ!$B$6&lt;&gt;"Да",0,IFERROR(SUMIF(INDIRECT("'["&amp;НАСТРОЙКИ!$D$6&amp;"]КРЕДИТЫ'!$S$3:$EO$3"),L$22,INDIRECT("'["&amp;НАСТРОЙКИ!$D$6&amp;"]КРЕДИТЫ'!$S$51:$EO$51"))/1000000,0))</f>
        <v>0</v>
      </c>
      <c r="M70" s="35">
        <f ca="1">IF(НАСТРОЙКИ!$B$6&lt;&gt;"Да",0,IFERROR(SUMIF(INDIRECT("'["&amp;НАСТРОЙКИ!$D$6&amp;"]КРЕДИТЫ'!$S$3:$EO$3"),M$22,INDIRECT("'["&amp;НАСТРОЙКИ!$D$6&amp;"]КРЕДИТЫ'!$S$51:$EO$51"))/1000000,0))</f>
        <v>0</v>
      </c>
      <c r="N70" s="35">
        <f ca="1">IF(НАСТРОЙКИ!$B$6&lt;&gt;"Да",0,IFERROR(SUMIF(INDIRECT("'["&amp;НАСТРОЙКИ!$D$6&amp;"]КРЕДИТЫ'!$S$3:$EO$3"),N$22,INDIRECT("'["&amp;НАСТРОЙКИ!$D$6&amp;"]КРЕДИТЫ'!$S$51:$EO$51"))/1000000,0))</f>
        <v>0</v>
      </c>
      <c r="O70" s="35">
        <f ca="1">IF(НАСТРОЙКИ!$B$6&lt;&gt;"Да",0,IFERROR(SUMIF(INDIRECT("'["&amp;НАСТРОЙКИ!$D$6&amp;"]КРЕДИТЫ'!$S$3:$EO$3"),O$22,INDIRECT("'["&amp;НАСТРОЙКИ!$D$6&amp;"]КРЕДИТЫ'!$S$51:$EO$51"))/1000000,0))</f>
        <v>0</v>
      </c>
      <c r="P70" s="35">
        <f ca="1">IF(НАСТРОЙКИ!$B$6&lt;&gt;"Да",0,IFERROR(SUMIF(INDIRECT("'["&amp;НАСТРОЙКИ!$D$6&amp;"]КРЕДИТЫ'!$S$3:$EO$3"),P$22,INDIRECT("'["&amp;НАСТРОЙКИ!$D$6&amp;"]КРЕДИТЫ'!$S$51:$EO$51"))/1000000,0))</f>
        <v>0</v>
      </c>
      <c r="Q70" s="35">
        <f ca="1">IF(НАСТРОЙКИ!$B$6&lt;&gt;"Да",0,IFERROR(SUMIF(INDIRECT("'["&amp;НАСТРОЙКИ!$D$6&amp;"]КРЕДИТЫ'!$S$3:$EO$3"),Q$22,INDIRECT("'["&amp;НАСТРОЙКИ!$D$6&amp;"]КРЕДИТЫ'!$S$51:$EO$51"))/1000000,0))</f>
        <v>0</v>
      </c>
      <c r="R70" s="35">
        <f ca="1">IF(НАСТРОЙКИ!$B$6&lt;&gt;"Да",0,IFERROR(SUMIF(INDIRECT("'["&amp;НАСТРОЙКИ!$D$6&amp;"]КРЕДИТЫ'!$S$3:$EO$3"),R$22,INDIRECT("'["&amp;НАСТРОЙКИ!$D$6&amp;"]КРЕДИТЫ'!$S$51:$EO$51"))/1000000,0))</f>
        <v>0</v>
      </c>
      <c r="S70" s="35">
        <f ca="1">IF(НАСТРОЙКИ!$B$6&lt;&gt;"Да",0,IFERROR(SUMIF(INDIRECT("'["&amp;НАСТРОЙКИ!$D$6&amp;"]КРЕДИТЫ'!$S$3:$EO$3"),S$22,INDIRECT("'["&amp;НАСТРОЙКИ!$D$6&amp;"]КРЕДИТЫ'!$S$51:$EO$51"))/1000000,0))</f>
        <v>0</v>
      </c>
      <c r="T70" s="35">
        <f ca="1">IF(НАСТРОЙКИ!$B$6&lt;&gt;"Да",0,IFERROR(SUMIF(INDIRECT("'["&amp;НАСТРОЙКИ!$D$6&amp;"]КРЕДИТЫ'!$S$3:$EO$3"),T$22,INDIRECT("'["&amp;НАСТРОЙКИ!$D$6&amp;"]КРЕДИТЫ'!$S$51:$EO$51"))/1000000,0))</f>
        <v>0</v>
      </c>
      <c r="U70" s="35">
        <f ca="1">IF(НАСТРОЙКИ!$B$6&lt;&gt;"Да",0,IFERROR(SUMIF(INDIRECT("'["&amp;НАСТРОЙКИ!$D$6&amp;"]КРЕДИТЫ'!$S$3:$EO$3"),U$22,INDIRECT("'["&amp;НАСТРОЙКИ!$D$6&amp;"]КРЕДИТЫ'!$S$51:$EO$51"))/1000000,0))</f>
        <v>0</v>
      </c>
      <c r="V70" s="35">
        <f ca="1">IF(НАСТРОЙКИ!$B$6&lt;&gt;"Да",0,IFERROR(SUMIF(INDIRECT("'["&amp;НАСТРОЙКИ!$D$6&amp;"]КРЕДИТЫ'!$S$3:$EO$3"),V$22,INDIRECT("'["&amp;НАСТРОЙКИ!$D$6&amp;"]КРЕДИТЫ'!$S$51:$EO$51"))/1000000,0))</f>
        <v>0</v>
      </c>
      <c r="W70" s="35">
        <f ca="1">IF(НАСТРОЙКИ!$B$6&lt;&gt;"Да",0,IFERROR(SUMIF(INDIRECT("'["&amp;НАСТРОЙКИ!$D$6&amp;"]КРЕДИТЫ'!$S$3:$EO$3"),W$22,INDIRECT("'["&amp;НАСТРОЙКИ!$D$6&amp;"]КРЕДИТЫ'!$S$51:$EO$51"))/1000000,0))</f>
        <v>0</v>
      </c>
      <c r="X70" s="35">
        <f ca="1">IF(НАСТРОЙКИ!$B$6&lt;&gt;"Да",0,IFERROR(SUMIF(INDIRECT("'["&amp;НАСТРОЙКИ!$D$6&amp;"]КРЕДИТЫ'!$S$3:$EO$3"),X$22,INDIRECT("'["&amp;НАСТРОЙКИ!$D$6&amp;"]КРЕДИТЫ'!$S$51:$EO$51"))/1000000,0))</f>
        <v>0</v>
      </c>
      <c r="Y70" s="35">
        <f ca="1">IF(НАСТРОЙКИ!$B$6&lt;&gt;"Да",0,IFERROR(SUMIF(INDIRECT("'["&amp;НАСТРОЙКИ!$D$6&amp;"]КРЕДИТЫ'!$S$3:$EO$3"),Y$22,INDIRECT("'["&amp;НАСТРОЙКИ!$D$6&amp;"]КРЕДИТЫ'!$S$51:$EO$51"))/1000000,0))</f>
        <v>0</v>
      </c>
      <c r="Z70" s="35">
        <f ca="1">IF(НАСТРОЙКИ!$B$6&lt;&gt;"Да",0,IFERROR(SUMIF(INDIRECT("'["&amp;НАСТРОЙКИ!$D$6&amp;"]КРЕДИТЫ'!$S$3:$EO$3"),Z$22,INDIRECT("'["&amp;НАСТРОЙКИ!$D$6&amp;"]КРЕДИТЫ'!$S$51:$EO$51"))/1000000,0))</f>
        <v>0</v>
      </c>
      <c r="AA70" s="35">
        <f ca="1">IF(НАСТРОЙКИ!$B$6&lt;&gt;"Да",0,IFERROR(SUMIF(INDIRECT("'["&amp;НАСТРОЙКИ!$D$6&amp;"]КРЕДИТЫ'!$S$3:$EO$3"),AA$22,INDIRECT("'["&amp;НАСТРОЙКИ!$D$6&amp;"]КРЕДИТЫ'!$S$51:$EO$51"))/1000000,0))</f>
        <v>0</v>
      </c>
      <c r="AB70" s="35">
        <f ca="1">IF(НАСТРОЙКИ!$B$6&lt;&gt;"Да",0,IFERROR(SUMIF(INDIRECT("'["&amp;НАСТРОЙКИ!$D$6&amp;"]КРЕДИТЫ'!$S$3:$EO$3"),AB$22,INDIRECT("'["&amp;НАСТРОЙКИ!$D$6&amp;"]КРЕДИТЫ'!$S$51:$EO$51"))/1000000,0))</f>
        <v>0</v>
      </c>
      <c r="AC70" s="35">
        <f ca="1">IF(НАСТРОЙКИ!$B$6&lt;&gt;"Да",0,IFERROR(SUMIF(INDIRECT("'["&amp;НАСТРОЙКИ!$D$6&amp;"]КРЕДИТЫ'!$S$3:$EO$3"),AC$22,INDIRECT("'["&amp;НАСТРОЙКИ!$D$6&amp;"]КРЕДИТЫ'!$S$51:$EO$51"))/1000000,0))</f>
        <v>0</v>
      </c>
      <c r="AD70" s="35">
        <f ca="1">IF(НАСТРОЙКИ!$B$6&lt;&gt;"Да",0,IFERROR(SUMIF(INDIRECT("'["&amp;НАСТРОЙКИ!$D$6&amp;"]КРЕДИТЫ'!$S$3:$EO$3"),AD$22,INDIRECT("'["&amp;НАСТРОЙКИ!$D$6&amp;"]КРЕДИТЫ'!$S$51:$EO$51"))/1000000,0))</f>
        <v>0</v>
      </c>
      <c r="AE70" s="35">
        <f ca="1">IF(НАСТРОЙКИ!$B$6&lt;&gt;"Да",0,IFERROR(SUMIF(INDIRECT("'["&amp;НАСТРОЙКИ!$D$6&amp;"]КРЕДИТЫ'!$S$3:$EO$3"),AE$22,INDIRECT("'["&amp;НАСТРОЙКИ!$D$6&amp;"]КРЕДИТЫ'!$S$51:$EO$51"))/1000000,0))</f>
        <v>0</v>
      </c>
      <c r="AF70" s="35">
        <f ca="1">IF(НАСТРОЙКИ!$B$6&lt;&gt;"Да",0,IFERROR(SUMIF(INDIRECT("'["&amp;НАСТРОЙКИ!$D$6&amp;"]КРЕДИТЫ'!$S$3:$EO$3"),AF$22,INDIRECT("'["&amp;НАСТРОЙКИ!$D$6&amp;"]КРЕДИТЫ'!$S$51:$EO$51"))/1000000,0))</f>
        <v>0</v>
      </c>
      <c r="AG70" s="35">
        <f ca="1">IF(НАСТРОЙКИ!$B$6&lt;&gt;"Да",0,IFERROR(SUMIF(INDIRECT("'["&amp;НАСТРОЙКИ!$D$6&amp;"]КРЕДИТЫ'!$S$3:$EO$3"),AG$22,INDIRECT("'["&amp;НАСТРОЙКИ!$D$6&amp;"]КРЕДИТЫ'!$S$51:$EO$51"))/1000000,0))</f>
        <v>504.00271198455863</v>
      </c>
      <c r="AH70" s="35">
        <f ca="1">IF(НАСТРОЙКИ!$B$6&lt;&gt;"Да",0,IFERROR(SUMIF(INDIRECT("'["&amp;НАСТРОЙКИ!$D$6&amp;"]КРЕДИТЫ'!$S$3:$EO$3"),AH$22,INDIRECT("'["&amp;НАСТРОЙКИ!$D$6&amp;"]КРЕДИТЫ'!$S$51:$EO$51"))/1000000,0))</f>
        <v>1043.3199679257921</v>
      </c>
      <c r="AI70" s="35">
        <f ca="1">IF(НАСТРОЙКИ!$B$6&lt;&gt;"Да",0,IFERROR(SUMIF(INDIRECT("'["&amp;НАСТРОЙКИ!$D$6&amp;"]КРЕДИТЫ'!$S$3:$EO$3"),AI$22,INDIRECT("'["&amp;НАСТРОЙКИ!$D$6&amp;"]КРЕДИТЫ'!$S$51:$EO$51"))/1000000,0))</f>
        <v>1884.7432175672393</v>
      </c>
      <c r="AJ70" s="35">
        <f ca="1">IF(НАСТРОЙКИ!$B$6&lt;&gt;"Да",0,IFERROR(SUMIF(INDIRECT("'["&amp;НАСТРОЙКИ!$D$6&amp;"]КРЕДИТЫ'!$S$3:$EO$3"),AJ$22,INDIRECT("'["&amp;НАСТРОЙКИ!$D$6&amp;"]КРЕДИТЫ'!$S$51:$EO$51"))/1000000,0))</f>
        <v>2837.8264230301534</v>
      </c>
      <c r="AK70" s="35">
        <f ca="1">IF(НАСТРОЙКИ!$B$6&lt;&gt;"Да",0,IFERROR(SUMIF(INDIRECT("'["&amp;НАСТРОЙКИ!$D$6&amp;"]КРЕДИТЫ'!$S$3:$EO$3"),AK$22,INDIRECT("'["&amp;НАСТРОЙКИ!$D$6&amp;"]КРЕДИТЫ'!$S$51:$EO$51"))/1000000,0))</f>
        <v>3839.6290099901789</v>
      </c>
      <c r="AL70" s="35">
        <f ca="1">IF(НАСТРОЙКИ!$B$6&lt;&gt;"Да",0,IFERROR(SUMIF(INDIRECT("'["&amp;НАСТРОЙКИ!$D$6&amp;"]КРЕДИТЫ'!$S$3:$EO$3"),AL$22,INDIRECT("'["&amp;НАСТРОЙКИ!$D$6&amp;"]КРЕДИТЫ'!$S$51:$EO$51"))/1000000,0))</f>
        <v>4891.4331648548086</v>
      </c>
      <c r="AM70" s="35">
        <f ca="1">IF(НАСТРОЙКИ!$B$6&lt;&gt;"Да",0,IFERROR(SUMIF(INDIRECT("'["&amp;НАСТРОЙКИ!$D$6&amp;"]КРЕДИТЫ'!$S$3:$EO$3"),AM$22,INDIRECT("'["&amp;НАСТРОЙКИ!$D$6&amp;"]КРЕДИТЫ'!$S$51:$EO$51"))/1000000,0))</f>
        <v>5881.904063509538</v>
      </c>
      <c r="AN70" s="35">
        <f ca="1">IF(НАСТРОЙКИ!$B$6&lt;&gt;"Да",0,IFERROR(SUMIF(INDIRECT("'["&amp;НАСТРОЙКИ!$D$6&amp;"]КРЕДИТЫ'!$S$3:$EO$3"),AN$22,INDIRECT("'["&amp;НАСТРОЙКИ!$D$6&amp;"]КРЕДИТЫ'!$S$51:$EO$51"))/1000000,0))</f>
        <v>7072.1185212316259</v>
      </c>
      <c r="AO70" s="35">
        <f ca="1">IF(НАСТРОЙКИ!$B$6&lt;&gt;"Да",0,IFERROR(SUMIF(INDIRECT("'["&amp;НАСТРОЙКИ!$D$6&amp;"]КРЕДИТЫ'!$S$3:$EO$3"),AO$22,INDIRECT("'["&amp;НАСТРОЙКИ!$D$6&amp;"]КРЕДИТЫ'!$S$51:$EO$51"))/1000000,0))</f>
        <v>8281.7697393119925</v>
      </c>
      <c r="AP70" s="35">
        <f ca="1">IF(НАСТРОЙКИ!$B$6&lt;&gt;"Да",0,IFERROR(SUMIF(INDIRECT("'["&amp;НАСТРОЙКИ!$D$6&amp;"]КРЕДИТЫ'!$S$3:$EO$3"),AP$22,INDIRECT("'["&amp;НАСТРОЙКИ!$D$6&amp;"]КРЕДИТЫ'!$S$51:$EO$51"))/1000000,0))</f>
        <v>9511.1492691560125</v>
      </c>
      <c r="AQ70" s="35">
        <f ca="1">IF(НАСТРОЙКИ!$B$6&lt;&gt;"Да",0,IFERROR(SUMIF(INDIRECT("'["&amp;НАСТРОЙКИ!$D$6&amp;"]КРЕДИТЫ'!$S$3:$EO$3"),AQ$22,INDIRECT("'["&amp;НАСТРОЙКИ!$D$6&amp;"]КРЕДИТЫ'!$S$51:$EO$51"))/1000000,0))</f>
        <v>10597.573422169758</v>
      </c>
      <c r="AR70" s="35">
        <f ca="1">IF(НАСТРОЙКИ!$B$6&lt;&gt;"Да",0,IFERROR(SUMIF(INDIRECT("'["&amp;НАСТРОЙКИ!$D$6&amp;"]КРЕДИТЫ'!$S$3:$EO$3"),AR$22,INDIRECT("'["&amp;НАСТРОЙКИ!$D$6&amp;"]КРЕДИТЫ'!$S$51:$EO$51"))/1000000,0))</f>
        <v>11701.609035631149</v>
      </c>
      <c r="AS70" s="35">
        <f ca="1">IF(НАСТРОЙКИ!$B$6&lt;&gt;"Да",0,IFERROR(SUMIF(INDIRECT("'["&amp;НАСТРОЙКИ!$D$6&amp;"]КРЕДИТЫ'!$S$3:$EO$3"),AS$22,INDIRECT("'["&amp;НАСТРОЙКИ!$D$6&amp;"]КРЕДИТЫ'!$S$51:$EO$51"))/1000000,0))</f>
        <v>12823.520281446901</v>
      </c>
      <c r="AT70" s="35">
        <f ca="1">IF(НАСТРОЙКИ!$B$6&lt;&gt;"Да",0,IFERROR(SUMIF(INDIRECT("'["&amp;НАСТРОЙКИ!$D$6&amp;"]КРЕДИТЫ'!$S$3:$EO$3"),AT$22,INDIRECT("'["&amp;НАСТРОЙКИ!$D$6&amp;"]КРЕДИТЫ'!$S$51:$EO$51"))/1000000,0))</f>
        <v>13963.575294102329</v>
      </c>
      <c r="AU70" s="35">
        <f ca="1">IF(НАСТРОЙКИ!$B$6&lt;&gt;"Да",0,IFERROR(SUMIF(INDIRECT("'["&amp;НАСТРОЙКИ!$D$6&amp;"]КРЕДИТЫ'!$S$3:$EO$3"),AU$22,INDIRECT("'["&amp;НАСТРОЙКИ!$D$6&amp;"]КРЕДИТЫ'!$S$51:$EO$51"))/1000000,0))</f>
        <v>15295.026851120167</v>
      </c>
      <c r="AV70" s="35">
        <f ca="1">IF(НАСТРОЙКИ!$B$6&lt;&gt;"Да",0,IFERROR(SUMIF(INDIRECT("'["&amp;НАСТРОЙКИ!$D$6&amp;"]КРЕДИТЫ'!$S$3:$EO$3"),AV$22,INDIRECT("'["&amp;НАСТРОЙКИ!$D$6&amp;"]КРЕДИТЫ'!$S$51:$EO$51"))/1000000,0))</f>
        <v>16648.050197744931</v>
      </c>
      <c r="AW70" s="35">
        <f ca="1">IF(НАСТРОЙКИ!$B$6&lt;&gt;"Да",0,IFERROR(SUMIF(INDIRECT("'["&amp;НАСТРОЙКИ!$D$6&amp;"]КРЕДИТЫ'!$S$3:$EO$3"),AW$22,INDIRECT("'["&amp;НАСТРОЙКИ!$D$6&amp;"]КРЕДИТЫ'!$S$51:$EO$51"))/1000000,0))</f>
        <v>18022.968910820724</v>
      </c>
      <c r="AX70" s="35">
        <f ca="1">IF(НАСТРОЙКИ!$B$6&lt;&gt;"Да",0,IFERROR(SUMIF(INDIRECT("'["&amp;НАСТРОЙКИ!$D$6&amp;"]КРЕДИТЫ'!$S$3:$EO$3"),AX$22,INDIRECT("'["&amp;НАСТРОЙКИ!$D$6&amp;"]КРЕДИТЫ'!$S$51:$EO$51"))/1000000,0))</f>
        <v>19420.111420844314</v>
      </c>
      <c r="AY70" s="35">
        <f ca="1">IF(НАСТРОЙКИ!$B$6&lt;&gt;"Да",0,IFERROR(SUMIF(INDIRECT("'["&amp;НАСТРОЙКИ!$D$6&amp;"]КРЕДИТЫ'!$S$3:$EO$3"),AY$22,INDIRECT("'["&amp;НАСТРОЙКИ!$D$6&amp;"]КРЕДИТЫ'!$S$51:$EO$51"))/1000000,0))</f>
        <v>20656.215758654664</v>
      </c>
      <c r="AZ70" s="35">
        <f ca="1">IF(НАСТРОЙКИ!$B$6&lt;&gt;"Да",0,IFERROR(SUMIF(INDIRECT("'["&amp;НАСТРОЙКИ!$D$6&amp;"]КРЕДИТЫ'!$S$3:$EO$3"),AZ$22,INDIRECT("'["&amp;НАСТРОЙКИ!$D$6&amp;"]КРЕДИТЫ'!$S$51:$EO$51"))/1000000,0))</f>
        <v>22303.133672576292</v>
      </c>
      <c r="BA70" s="35">
        <f ca="1">IF(НАСТРОЙКИ!$B$6&lt;&gt;"Да",0,IFERROR(SUMIF(INDIRECT("'["&amp;НАСТРОЙКИ!$D$6&amp;"]КРЕДИТЫ'!$S$3:$EO$3"),BA$22,INDIRECT("'["&amp;НАСТРОЙКИ!$D$6&amp;"]КРЕДИТЫ'!$S$51:$EO$51"))/1000000,0))</f>
        <v>23974.313656078979</v>
      </c>
      <c r="BB70" s="35">
        <f ca="1">IF(НАСТРОЙКИ!$B$6&lt;&gt;"Да",0,IFERROR(SUMIF(INDIRECT("'["&amp;НАСТРОЙКИ!$D$6&amp;"]КРЕДИТЫ'!$S$3:$EO$3"),BB$22,INDIRECT("'["&amp;НАСТРОЙКИ!$D$6&amp;"]КРЕДИТЫ'!$S$51:$EO$51"))/1000000,0))</f>
        <v>25657.189812991648</v>
      </c>
      <c r="BC70" s="35">
        <f ca="1">IF(НАСТРОЙКИ!$B$6&lt;&gt;"Да",0,IFERROR(SUMIF(INDIRECT("'["&amp;НАСТРОЙКИ!$D$6&amp;"]КРЕДИТЫ'!$S$3:$EO$3"),BC$22,INDIRECT("'["&amp;НАСТРОЙКИ!$D$6&amp;"]КРЕДИТЫ'!$S$51:$EO$51"))/1000000,0))</f>
        <v>27128.820328335943</v>
      </c>
      <c r="BD70" s="35">
        <f ca="1">IF(НАСТРОЙКИ!$B$6&lt;&gt;"Да",0,IFERROR(SUMIF(INDIRECT("'["&amp;НАСТРОЙКИ!$D$6&amp;"]КРЕДИТЫ'!$S$3:$EO$3"),BD$22,INDIRECT("'["&amp;НАСТРОЙКИ!$D$6&amp;"]КРЕДИТЫ'!$S$51:$EO$51"))/1000000,0))</f>
        <v>28610.95663121279</v>
      </c>
      <c r="BE70" s="35">
        <f ca="1">IF(НАСТРОЙКИ!$B$6&lt;&gt;"Да",0,IFERROR(SUMIF(INDIRECT("'["&amp;НАСТРОЙКИ!$D$6&amp;"]КРЕДИТЫ'!$S$3:$EO$3"),BE$22,INDIRECT("'["&amp;НАСТРОЙКИ!$D$6&amp;"]КРЕДИТЫ'!$S$51:$EO$51"))/1000000,0))</f>
        <v>4365.8586841781498</v>
      </c>
      <c r="BF70" s="35">
        <f ca="1">IF(НАСТРОЙКИ!$B$6&lt;&gt;"Да",0,IFERROR(SUMIF(INDIRECT("'["&amp;НАСТРОЙКИ!$D$6&amp;"]КРЕДИТЫ'!$S$3:$EO$3"),BF$22,INDIRECT("'["&amp;НАСТРОЙКИ!$D$6&amp;"]КРЕДИТЫ'!$S$51:$EO$51"))/1000000,0))</f>
        <v>5323.2900617289615</v>
      </c>
      <c r="BG70" s="35">
        <f ca="1">IF(НАСТРОЙКИ!$B$6&lt;&gt;"Да",0,IFERROR(SUMIF(INDIRECT("'["&amp;НАСТРОЙКИ!$D$6&amp;"]КРЕДИТЫ'!$S$3:$EO$3"),BG$22,INDIRECT("'["&amp;НАСТРОЙКИ!$D$6&amp;"]КРЕДИТЫ'!$S$51:$EO$51"))/1000000,0))</f>
        <v>6358.2927523901981</v>
      </c>
      <c r="BH70" s="35">
        <f ca="1">IF(НАСТРОЙКИ!$B$6&lt;&gt;"Да",0,IFERROR(SUMIF(INDIRECT("'["&amp;НАСТРОЙКИ!$D$6&amp;"]КРЕДИТЫ'!$S$3:$EO$3"),BH$22,INDIRECT("'["&amp;НАСТРОЙКИ!$D$6&amp;"]КРЕДИТЫ'!$S$51:$EO$51"))/1000000,0))</f>
        <v>7388.0447643291509</v>
      </c>
      <c r="BI70" s="35">
        <f ca="1">IF(НАСТРОЙКИ!$B$6&lt;&gt;"Да",0,IFERROR(SUMIF(INDIRECT("'["&amp;НАСТРОЙКИ!$D$6&amp;"]КРЕДИТЫ'!$S$3:$EO$3"),BI$22,INDIRECT("'["&amp;НАСТРОЙКИ!$D$6&amp;"]КРЕДИТЫ'!$S$51:$EO$51"))/1000000,0))</f>
        <v>8412.5815316803619</v>
      </c>
      <c r="BJ70" s="35">
        <f ca="1">IF(НАСТРОЙКИ!$B$6&lt;&gt;"Да",0,IFERROR(SUMIF(INDIRECT("'["&amp;НАСТРОЙКИ!$D$6&amp;"]КРЕДИТЫ'!$S$3:$EO$3"),BJ$22,INDIRECT("'["&amp;НАСТРОЙКИ!$D$6&amp;"]КРЕДИТЫ'!$S$51:$EO$51"))/1000000,0))</f>
        <v>9431.9382763090944</v>
      </c>
      <c r="BK70" s="35">
        <f ca="1">IF(НАСТРОЙКИ!$B$6&lt;&gt;"Да",0,IFERROR(SUMIF(INDIRECT("'["&amp;НАСТРОЙКИ!$D$6&amp;"]КРЕДИТЫ'!$S$3:$EO$3"),BK$22,INDIRECT("'["&amp;НАСТРОЙКИ!$D$6&amp;"]КРЕДИТЫ'!$S$51:$EO$51"))/1000000,0))</f>
        <v>10314.257438122364</v>
      </c>
      <c r="BL70" s="35">
        <f ca="1">IF(НАСТРОЙКИ!$B$6&lt;&gt;"Да",0,IFERROR(SUMIF(INDIRECT("'["&amp;НАСТРОЙКИ!$D$6&amp;"]КРЕДИТЫ'!$S$3:$EO$3"),BL$22,INDIRECT("'["&amp;НАСТРОЙКИ!$D$6&amp;"]КРЕДИТЫ'!$S$51:$EO$51"))/1000000,0))</f>
        <v>10449.522683958256</v>
      </c>
      <c r="BM70" s="35">
        <f ca="1">IF(НАСТРОЙКИ!$B$6&lt;&gt;"Да",0,IFERROR(SUMIF(INDIRECT("'["&amp;НАСТРОЙКИ!$D$6&amp;"]КРЕДИТЫ'!$S$3:$EO$3"),BM$22,INDIRECT("'["&amp;НАСТРОЙКИ!$D$6&amp;"]КРЕДИТЫ'!$S$51:$EO$51"))/1000000,0))</f>
        <v>10449.522683958256</v>
      </c>
      <c r="BN70" s="35">
        <f ca="1">IF(НАСТРОЙКИ!$B$6&lt;&gt;"Да",0,IFERROR(SUMIF(INDIRECT("'["&amp;НАСТРОЙКИ!$D$6&amp;"]КРЕДИТЫ'!$S$3:$EO$3"),BN$22,INDIRECT("'["&amp;НАСТРОЙКИ!$D$6&amp;"]КРЕДИТЫ'!$S$51:$EO$51"))/1000000,0))</f>
        <v>10449.522683958256</v>
      </c>
      <c r="BO70" s="35">
        <f ca="1">IF(НАСТРОЙКИ!$B$6&lt;&gt;"Да",0,IFERROR(SUMIF(INDIRECT("'["&amp;НАСТРОЙКИ!$D$6&amp;"]КРЕДИТЫ'!$S$3:$EO$3"),BO$22,INDIRECT("'["&amp;НАСТРОЙКИ!$D$6&amp;"]КРЕДИТЫ'!$S$51:$EO$51"))/1000000,0))</f>
        <v>10449.522683958256</v>
      </c>
      <c r="BP70" s="35">
        <f ca="1">IF(НАСТРОЙКИ!$B$6&lt;&gt;"Да",0,IFERROR(SUMIF(INDIRECT("'["&amp;НАСТРОЙКИ!$D$6&amp;"]КРЕДИТЫ'!$S$3:$EO$3"),BP$22,INDIRECT("'["&amp;НАСТРОЙКИ!$D$6&amp;"]КРЕДИТЫ'!$S$51:$EO$51"))/1000000,0))</f>
        <v>10449.522683958256</v>
      </c>
      <c r="BQ70" s="35">
        <f ca="1">IF(НАСТРОЙКИ!$B$6&lt;&gt;"Да",0,IFERROR(SUMIF(INDIRECT("'["&amp;НАСТРОЙКИ!$D$6&amp;"]КРЕДИТЫ'!$S$3:$EO$3"),BQ$22,INDIRECT("'["&amp;НАСТРОЙКИ!$D$6&amp;"]КРЕДИТЫ'!$S$51:$EO$51"))/1000000,0))</f>
        <v>10449.522683958256</v>
      </c>
      <c r="BR70" s="35">
        <f ca="1">IF(НАСТРОЙКИ!$B$6&lt;&gt;"Да",0,IFERROR(SUMIF(INDIRECT("'["&amp;НАСТРОЙКИ!$D$6&amp;"]КРЕДИТЫ'!$S$3:$EO$3"),BR$22,INDIRECT("'["&amp;НАСТРОЙКИ!$D$6&amp;"]КРЕДИТЫ'!$S$51:$EO$51"))/1000000,0))</f>
        <v>10449.522683958256</v>
      </c>
      <c r="BS70" s="35">
        <f ca="1">IF(НАСТРОЙКИ!$B$6&lt;&gt;"Да",0,IFERROR(SUMIF(INDIRECT("'["&amp;НАСТРОЙКИ!$D$6&amp;"]КРЕДИТЫ'!$S$3:$EO$3"),BS$22,INDIRECT("'["&amp;НАСТРОЙКИ!$D$6&amp;"]КРЕДИТЫ'!$S$51:$EO$51"))/1000000,0))</f>
        <v>10449.522683958256</v>
      </c>
      <c r="BT70" s="35">
        <f ca="1">IF(НАСТРОЙКИ!$B$6&lt;&gt;"Да",0,IFERROR(SUMIF(INDIRECT("'["&amp;НАСТРОЙКИ!$D$6&amp;"]КРЕДИТЫ'!$S$3:$EO$3"),BT$22,INDIRECT("'["&amp;НАСТРОЙКИ!$D$6&amp;"]КРЕДИТЫ'!$S$51:$EO$51"))/1000000,0))</f>
        <v>10449.522683958256</v>
      </c>
      <c r="BU70" s="35">
        <f ca="1">IF(НАСТРОЙКИ!$B$6&lt;&gt;"Да",0,IFERROR(SUMIF(INDIRECT("'["&amp;НАСТРОЙКИ!$D$6&amp;"]КРЕДИТЫ'!$S$3:$EO$3"),BU$22,INDIRECT("'["&amp;НАСТРОЙКИ!$D$6&amp;"]КРЕДИТЫ'!$S$51:$EO$51"))/1000000,0))</f>
        <v>10449.522683958256</v>
      </c>
      <c r="BV70" s="35">
        <f ca="1">IF(НАСТРОЙКИ!$B$6&lt;&gt;"Да",0,IFERROR(SUMIF(INDIRECT("'["&amp;НАСТРОЙКИ!$D$6&amp;"]КРЕДИТЫ'!$S$3:$EO$3"),BV$22,INDIRECT("'["&amp;НАСТРОЙКИ!$D$6&amp;"]КРЕДИТЫ'!$S$51:$EO$51"))/1000000,0))</f>
        <v>10449.522683958256</v>
      </c>
      <c r="BW70" s="35">
        <f ca="1">IF(НАСТРОЙКИ!$B$6&lt;&gt;"Да",0,IFERROR(SUMIF(INDIRECT("'["&amp;НАСТРОЙКИ!$D$6&amp;"]КРЕДИТЫ'!$S$3:$EO$3"),BW$22,INDIRECT("'["&amp;НАСТРОЙКИ!$D$6&amp;"]КРЕДИТЫ'!$S$51:$EO$51"))/1000000,0))</f>
        <v>10449.522683958256</v>
      </c>
      <c r="BX70" s="35">
        <f ca="1">IF(НАСТРОЙКИ!$B$6&lt;&gt;"Да",0,IFERROR(SUMIF(INDIRECT("'["&amp;НАСТРОЙКИ!$D$6&amp;"]КРЕДИТЫ'!$S$3:$EO$3"),BX$22,INDIRECT("'["&amp;НАСТРОЙКИ!$D$6&amp;"]КРЕДИТЫ'!$S$51:$EO$51"))/1000000,0))</f>
        <v>10449.522683958256</v>
      </c>
      <c r="BY70" s="35">
        <f ca="1">IF(НАСТРОЙКИ!$B$6&lt;&gt;"Да",0,IFERROR(SUMIF(INDIRECT("'["&amp;НАСТРОЙКИ!$D$6&amp;"]КРЕДИТЫ'!$S$3:$EO$3"),BY$22,INDIRECT("'["&amp;НАСТРОЙКИ!$D$6&amp;"]КРЕДИТЫ'!$S$51:$EO$51"))/1000000,0))</f>
        <v>10449.522683958256</v>
      </c>
      <c r="BZ70" s="35">
        <f ca="1">IF(НАСТРОЙКИ!$B$6&lt;&gt;"Да",0,IFERROR(SUMIF(INDIRECT("'["&amp;НАСТРОЙКИ!$D$6&amp;"]КРЕДИТЫ'!$S$3:$EO$3"),BZ$22,INDIRECT("'["&amp;НАСТРОЙКИ!$D$6&amp;"]КРЕДИТЫ'!$S$51:$EO$51"))/1000000,0))</f>
        <v>10449.522683958256</v>
      </c>
      <c r="CA70" s="35">
        <f ca="1">IF(НАСТРОЙКИ!$B$6&lt;&gt;"Да",0,IFERROR(SUMIF(INDIRECT("'["&amp;НАСТРОЙКИ!$D$6&amp;"]КРЕДИТЫ'!$S$3:$EO$3"),CA$22,INDIRECT("'["&amp;НАСТРОЙКИ!$D$6&amp;"]КРЕДИТЫ'!$S$51:$EO$51"))/1000000,0))</f>
        <v>10449.522683958256</v>
      </c>
      <c r="CB70" s="35">
        <f ca="1">IF(НАСТРОЙКИ!$B$6&lt;&gt;"Да",0,IFERROR(SUMIF(INDIRECT("'["&amp;НАСТРОЙКИ!$D$6&amp;"]КРЕДИТЫ'!$S$3:$EO$3"),CB$22,INDIRECT("'["&amp;НАСТРОЙКИ!$D$6&amp;"]КРЕДИТЫ'!$S$51:$EO$51"))/1000000,0))</f>
        <v>10449.522683958256</v>
      </c>
      <c r="CC70" s="35">
        <f ca="1">IF(НАСТРОЙКИ!$B$6&lt;&gt;"Да",0,IFERROR(SUMIF(INDIRECT("'["&amp;НАСТРОЙКИ!$D$6&amp;"]КРЕДИТЫ'!$S$3:$EO$3"),CC$22,INDIRECT("'["&amp;НАСТРОЙКИ!$D$6&amp;"]КРЕДИТЫ'!$S$51:$EO$51"))/1000000,0))</f>
        <v>10449.522683958256</v>
      </c>
      <c r="CD70" s="35">
        <f ca="1">IF(НАСТРОЙКИ!$B$6&lt;&gt;"Да",0,IFERROR(SUMIF(INDIRECT("'["&amp;НАСТРОЙКИ!$D$6&amp;"]КРЕДИТЫ'!$S$3:$EO$3"),CD$22,INDIRECT("'["&amp;НАСТРОЙКИ!$D$6&amp;"]КРЕДИТЫ'!$S$51:$EO$51"))/1000000,0))</f>
        <v>10449.522683958256</v>
      </c>
      <c r="CE70" s="35">
        <f ca="1">IF(НАСТРОЙКИ!$B$6&lt;&gt;"Да",0,IFERROR(SUMIF(INDIRECT("'["&amp;НАСТРОЙКИ!$D$6&amp;"]КРЕДИТЫ'!$S$3:$EO$3"),CE$22,INDIRECT("'["&amp;НАСТРОЙКИ!$D$6&amp;"]КРЕДИТЫ'!$S$51:$EO$51"))/1000000,0))</f>
        <v>10449.522683958256</v>
      </c>
      <c r="CF70" s="35">
        <f ca="1">IF(НАСТРОЙКИ!$B$6&lt;&gt;"Да",0,IFERROR(SUMIF(INDIRECT("'["&amp;НАСТРОЙКИ!$D$6&amp;"]КРЕДИТЫ'!$S$3:$EO$3"),CF$22,INDIRECT("'["&amp;НАСТРОЙКИ!$D$6&amp;"]КРЕДИТЫ'!$S$51:$EO$51"))/1000000,0))</f>
        <v>10449.522683958256</v>
      </c>
      <c r="CG70" s="35">
        <f ca="1">IF(НАСТРОЙКИ!$B$6&lt;&gt;"Да",0,IFERROR(SUMIF(INDIRECT("'["&amp;НАСТРОЙКИ!$D$6&amp;"]КРЕДИТЫ'!$S$3:$EO$3"),CG$22,INDIRECT("'["&amp;НАСТРОЙКИ!$D$6&amp;"]КРЕДИТЫ'!$S$51:$EO$51"))/1000000,0))</f>
        <v>10449.522683958256</v>
      </c>
      <c r="CH70" s="35">
        <f ca="1">IF(НАСТРОЙКИ!$B$6&lt;&gt;"Да",0,IFERROR(SUMIF(INDIRECT("'["&amp;НАСТРОЙКИ!$D$6&amp;"]КРЕДИТЫ'!$S$3:$EO$3"),CH$22,INDIRECT("'["&amp;НАСТРОЙКИ!$D$6&amp;"]КРЕДИТЫ'!$S$51:$EO$51"))/1000000,0))</f>
        <v>10449.522683958256</v>
      </c>
      <c r="CI70" s="35">
        <f ca="1">IF(НАСТРОЙКИ!$B$6&lt;&gt;"Да",0,IFERROR(SUMIF(INDIRECT("'["&amp;НАСТРОЙКИ!$D$6&amp;"]КРЕДИТЫ'!$S$3:$EO$3"),CI$22,INDIRECT("'["&amp;НАСТРОЙКИ!$D$6&amp;"]КРЕДИТЫ'!$S$51:$EO$51"))/1000000,0))</f>
        <v>10449.522683958256</v>
      </c>
      <c r="CJ70" s="35">
        <f ca="1">IF(НАСТРОЙКИ!$B$6&lt;&gt;"Да",0,IFERROR(SUMIF(INDIRECT("'["&amp;НАСТРОЙКИ!$D$6&amp;"]КРЕДИТЫ'!$S$3:$EO$3"),CJ$22,INDIRECT("'["&amp;НАСТРОЙКИ!$D$6&amp;"]КРЕДИТЫ'!$S$51:$EO$51"))/1000000,0))</f>
        <v>10449.522683958256</v>
      </c>
      <c r="CK70" s="35">
        <f ca="1">IF(НАСТРОЙКИ!$B$6&lt;&gt;"Да",0,IFERROR(SUMIF(INDIRECT("'["&amp;НАСТРОЙКИ!$D$6&amp;"]КРЕДИТЫ'!$S$3:$EO$3"),CK$22,INDIRECT("'["&amp;НАСТРОЙКИ!$D$6&amp;"]КРЕДИТЫ'!$S$51:$EO$51"))/1000000,0))</f>
        <v>10449.522683958256</v>
      </c>
      <c r="CL70" s="35">
        <f ca="1">IF(НАСТРОЙКИ!$B$6&lt;&gt;"Да",0,IFERROR(SUMIF(INDIRECT("'["&amp;НАСТРОЙКИ!$D$6&amp;"]КРЕДИТЫ'!$S$3:$EO$3"),CL$22,INDIRECT("'["&amp;НАСТРОЙКИ!$D$6&amp;"]КРЕДИТЫ'!$S$51:$EO$51"))/1000000,0))</f>
        <v>10449.522683958256</v>
      </c>
      <c r="CM70" s="35">
        <f ca="1">IF(НАСТРОЙКИ!$B$6&lt;&gt;"Да",0,IFERROR(SUMIF(INDIRECT("'["&amp;НАСТРОЙКИ!$D$6&amp;"]КРЕДИТЫ'!$S$3:$EO$3"),CM$22,INDIRECT("'["&amp;НАСТРОЙКИ!$D$6&amp;"]КРЕДИТЫ'!$S$51:$EO$51"))/1000000,0))</f>
        <v>10449.522683958256</v>
      </c>
      <c r="CN70" s="35">
        <f ca="1">IF(НАСТРОЙКИ!$B$6&lt;&gt;"Да",0,IFERROR(SUMIF(INDIRECT("'["&amp;НАСТРОЙКИ!$D$6&amp;"]КРЕДИТЫ'!$S$3:$EO$3"),CN$22,INDIRECT("'["&amp;НАСТРОЙКИ!$D$6&amp;"]КРЕДИТЫ'!$S$51:$EO$51"))/1000000,0))</f>
        <v>10449.522683958256</v>
      </c>
      <c r="CO70" s="35">
        <f ca="1">IF(НАСТРОЙКИ!$B$6&lt;&gt;"Да",0,IFERROR(SUMIF(INDIRECT("'["&amp;НАСТРОЙКИ!$D$6&amp;"]КРЕДИТЫ'!$S$3:$EO$3"),CO$22,INDIRECT("'["&amp;НАСТРОЙКИ!$D$6&amp;"]КРЕДИТЫ'!$S$51:$EO$51"))/1000000,0))</f>
        <v>10449.522683958256</v>
      </c>
      <c r="CP70" s="35">
        <f ca="1">IF(НАСТРОЙКИ!$B$6&lt;&gt;"Да",0,IFERROR(SUMIF(INDIRECT("'["&amp;НАСТРОЙКИ!$D$6&amp;"]КРЕДИТЫ'!$S$3:$EO$3"),CP$22,INDIRECT("'["&amp;НАСТРОЙКИ!$D$6&amp;"]КРЕДИТЫ'!$S$51:$EO$51"))/1000000,0))</f>
        <v>10449.522683958256</v>
      </c>
      <c r="CQ70" s="35">
        <f ca="1">IF(НАСТРОЙКИ!$B$6&lt;&gt;"Да",0,IFERROR(SUMIF(INDIRECT("'["&amp;НАСТРОЙКИ!$D$6&amp;"]КРЕДИТЫ'!$S$3:$EO$3"),CQ$22,INDIRECT("'["&amp;НАСТРОЙКИ!$D$6&amp;"]КРЕДИТЫ'!$S$51:$EO$51"))/1000000,0))</f>
        <v>10449.522683958256</v>
      </c>
      <c r="CR70" s="35">
        <f ca="1">IF(НАСТРОЙКИ!$B$6&lt;&gt;"Да",0,IFERROR(SUMIF(INDIRECT("'["&amp;НАСТРОЙКИ!$D$6&amp;"]КРЕДИТЫ'!$S$3:$EO$3"),CR$22,INDIRECT("'["&amp;НАСТРОЙКИ!$D$6&amp;"]КРЕДИТЫ'!$S$51:$EO$51"))/1000000,0))</f>
        <v>10449.522683958256</v>
      </c>
      <c r="CS70" s="35">
        <f ca="1">IF(НАСТРОЙКИ!$B$6&lt;&gt;"Да",0,IFERROR(SUMIF(INDIRECT("'["&amp;НАСТРОЙКИ!$D$6&amp;"]КРЕДИТЫ'!$S$3:$EO$3"),CS$22,INDIRECT("'["&amp;НАСТРОЙКИ!$D$6&amp;"]КРЕДИТЫ'!$S$51:$EO$51"))/1000000,0))</f>
        <v>10449.522683958256</v>
      </c>
      <c r="CT70" s="35">
        <f ca="1">IF(НАСТРОЙКИ!$B$6&lt;&gt;"Да",0,IFERROR(SUMIF(INDIRECT("'["&amp;НАСТРОЙКИ!$D$6&amp;"]КРЕДИТЫ'!$S$3:$EO$3"),CT$22,INDIRECT("'["&amp;НАСТРОЙКИ!$D$6&amp;"]КРЕДИТЫ'!$S$51:$EO$51"))/1000000,0))</f>
        <v>10449.522683958256</v>
      </c>
      <c r="CU70" s="35">
        <f ca="1">IF(НАСТРОЙКИ!$B$6&lt;&gt;"Да",0,IFERROR(SUMIF(INDIRECT("'["&amp;НАСТРОЙКИ!$D$6&amp;"]КРЕДИТЫ'!$S$3:$EO$3"),CU$22,INDIRECT("'["&amp;НАСТРОЙКИ!$D$6&amp;"]КРЕДИТЫ'!$S$51:$EO$51"))/1000000,0))</f>
        <v>10449.522683958256</v>
      </c>
      <c r="CV70" s="35">
        <f ca="1">IF(НАСТРОЙКИ!$B$6&lt;&gt;"Да",0,IFERROR(SUMIF(INDIRECT("'["&amp;НАСТРОЙКИ!$D$6&amp;"]КРЕДИТЫ'!$S$3:$EO$3"),CV$22,INDIRECT("'["&amp;НАСТРОЙКИ!$D$6&amp;"]КРЕДИТЫ'!$S$51:$EO$51"))/1000000,0))</f>
        <v>10449.522683958256</v>
      </c>
      <c r="CW70" s="35">
        <f ca="1">IF(НАСТРОЙКИ!$B$6&lt;&gt;"Да",0,IFERROR(SUMIF(INDIRECT("'["&amp;НАСТРОЙКИ!$D$6&amp;"]КРЕДИТЫ'!$S$3:$EO$3"),CW$22,INDIRECT("'["&amp;НАСТРОЙКИ!$D$6&amp;"]КРЕДИТЫ'!$S$51:$EO$51"))/1000000,0))</f>
        <v>10449.522683958256</v>
      </c>
      <c r="CX70" s="35">
        <f ca="1">IF(НАСТРОЙКИ!$B$6&lt;&gt;"Да",0,IFERROR(SUMIF(INDIRECT("'["&amp;НАСТРОЙКИ!$D$6&amp;"]КРЕДИТЫ'!$S$3:$EO$3"),CX$22,INDIRECT("'["&amp;НАСТРОЙКИ!$D$6&amp;"]КРЕДИТЫ'!$S$51:$EO$51"))/1000000,0))</f>
        <v>10449.522683958256</v>
      </c>
      <c r="CY70" s="35">
        <f ca="1">IF(НАСТРОЙКИ!$B$6&lt;&gt;"Да",0,IFERROR(SUMIF(INDIRECT("'["&amp;НАСТРОЙКИ!$D$6&amp;"]КРЕДИТЫ'!$S$3:$EO$3"),CY$22,INDIRECT("'["&amp;НАСТРОЙКИ!$D$6&amp;"]КРЕДИТЫ'!$S$51:$EO$51"))/1000000,0))</f>
        <v>10449.522683958256</v>
      </c>
      <c r="CZ70" s="35">
        <f ca="1">IF(НАСТРОЙКИ!$B$6&lt;&gt;"Да",0,IFERROR(SUMIF(INDIRECT("'["&amp;НАСТРОЙКИ!$D$6&amp;"]КРЕДИТЫ'!$S$3:$EO$3"),CZ$22,INDIRECT("'["&amp;НАСТРОЙКИ!$D$6&amp;"]КРЕДИТЫ'!$S$51:$EO$51"))/1000000,0))</f>
        <v>10449.522683958256</v>
      </c>
      <c r="DA70" s="35">
        <f ca="1">IF(НАСТРОЙКИ!$B$6&lt;&gt;"Да",0,IFERROR(SUMIF(INDIRECT("'["&amp;НАСТРОЙКИ!$D$6&amp;"]КРЕДИТЫ'!$S$3:$EO$3"),DA$22,INDIRECT("'["&amp;НАСТРОЙКИ!$D$6&amp;"]КРЕДИТЫ'!$S$51:$EO$51"))/1000000,0))</f>
        <v>10449.522683958256</v>
      </c>
      <c r="DB70" s="35">
        <f ca="1">IF(НАСТРОЙКИ!$B$6&lt;&gt;"Да",0,IFERROR(SUMIF(INDIRECT("'["&amp;НАСТРОЙКИ!$D$6&amp;"]КРЕДИТЫ'!$S$3:$EO$3"),DB$22,INDIRECT("'["&amp;НАСТРОЙКИ!$D$6&amp;"]КРЕДИТЫ'!$S$51:$EO$51"))/1000000,0))</f>
        <v>10449.522683958256</v>
      </c>
      <c r="DC70" s="35">
        <f ca="1">IF(НАСТРОЙКИ!$B$6&lt;&gt;"Да",0,IFERROR(SUMIF(INDIRECT("'["&amp;НАСТРОЙКИ!$D$6&amp;"]КРЕДИТЫ'!$S$3:$EO$3"),DC$22,INDIRECT("'["&amp;НАСТРОЙКИ!$D$6&amp;"]КРЕДИТЫ'!$S$51:$EO$51"))/1000000,0))</f>
        <v>10449.522683958256</v>
      </c>
      <c r="DD70" s="35">
        <f ca="1">IF(НАСТРОЙКИ!$B$6&lt;&gt;"Да",0,IFERROR(SUMIF(INDIRECT("'["&amp;НАСТРОЙКИ!$D$6&amp;"]КРЕДИТЫ'!$S$3:$EO$3"),DD$22,INDIRECT("'["&amp;НАСТРОЙКИ!$D$6&amp;"]КРЕДИТЫ'!$S$51:$EO$51"))/1000000,0))</f>
        <v>10449.522683958256</v>
      </c>
      <c r="DE70" s="35">
        <f ca="1">IF(НАСТРОЙКИ!$B$6&lt;&gt;"Да",0,IFERROR(SUMIF(INDIRECT("'["&amp;НАСТРОЙКИ!$D$6&amp;"]КРЕДИТЫ'!$S$3:$EO$3"),DE$22,INDIRECT("'["&amp;НАСТРОЙКИ!$D$6&amp;"]КРЕДИТЫ'!$S$51:$EO$51"))/1000000,0))</f>
        <v>10449.522683958256</v>
      </c>
      <c r="DF70" s="35">
        <f ca="1">IF(НАСТРОЙКИ!$B$6&lt;&gt;"Да",0,IFERROR(SUMIF(INDIRECT("'["&amp;НАСТРОЙКИ!$D$6&amp;"]КРЕДИТЫ'!$S$3:$EO$3"),DF$22,INDIRECT("'["&amp;НАСТРОЙКИ!$D$6&amp;"]КРЕДИТЫ'!$S$51:$EO$51"))/1000000,0))</f>
        <v>10449.522683958256</v>
      </c>
    </row>
    <row r="71" spans="1:110">
      <c r="A71" s="34" t="s">
        <v>134</v>
      </c>
      <c r="B71" s="34" t="s">
        <v>58</v>
      </c>
      <c r="C71" s="35">
        <f ca="1">IF(НАСТРОЙКИ!$B$6&lt;&gt;"Да",0,MAX(0,IFERROR(SUMIF(INDIRECT("'["&amp;НАСТРОЙКИ!$D$6&amp;"]КРЕДИТЫ'!$S$3:$EO$3"),C$22,INDIRECT("'["&amp;НАСТРОЙКИ!$D$6&amp;"]КРЕДИТЫ'!$S$38:$EO$38"))/1000000,0)))</f>
        <v>0</v>
      </c>
      <c r="D71" s="35">
        <f ca="1">IF(НАСТРОЙКИ!$B$6&lt;&gt;"Да",0,MAX(0,IFERROR(SUMIF(INDIRECT("'["&amp;НАСТРОЙКИ!$D$6&amp;"]КРЕДИТЫ'!$S$3:$EO$3"),D$22,INDIRECT("'["&amp;НАСТРОЙКИ!$D$6&amp;"]КРЕДИТЫ'!$S$38:$EO$38"))/1000000,0)))</f>
        <v>0</v>
      </c>
      <c r="E71" s="35">
        <f ca="1">IF(НАСТРОЙКИ!$B$6&lt;&gt;"Да",0,MAX(0,IFERROR(SUMIF(INDIRECT("'["&amp;НАСТРОЙКИ!$D$6&amp;"]КРЕДИТЫ'!$S$3:$EO$3"),E$22,INDIRECT("'["&amp;НАСТРОЙКИ!$D$6&amp;"]КРЕДИТЫ'!$S$38:$EO$38"))/1000000,0)))</f>
        <v>0</v>
      </c>
      <c r="F71" s="35">
        <f ca="1">IF(НАСТРОЙКИ!$B$6&lt;&gt;"Да",0,MAX(0,IFERROR(SUMIF(INDIRECT("'["&amp;НАСТРОЙКИ!$D$6&amp;"]КРЕДИТЫ'!$S$3:$EO$3"),F$22,INDIRECT("'["&amp;НАСТРОЙКИ!$D$6&amp;"]КРЕДИТЫ'!$S$38:$EO$38"))/1000000,0)))</f>
        <v>0</v>
      </c>
      <c r="G71" s="35">
        <f ca="1">IF(НАСТРОЙКИ!$B$6&lt;&gt;"Да",0,MAX(0,IFERROR(SUMIF(INDIRECT("'["&amp;НАСТРОЙКИ!$D$6&amp;"]КРЕДИТЫ'!$S$3:$EO$3"),G$22,INDIRECT("'["&amp;НАСТРОЙКИ!$D$6&amp;"]КРЕДИТЫ'!$S$38:$EO$38"))/1000000,0)))</f>
        <v>0</v>
      </c>
      <c r="H71" s="35">
        <f ca="1">IF(НАСТРОЙКИ!$B$6&lt;&gt;"Да",0,MAX(0,IFERROR(SUMIF(INDIRECT("'["&amp;НАСТРОЙКИ!$D$6&amp;"]КРЕДИТЫ'!$S$3:$EO$3"),H$22,INDIRECT("'["&amp;НАСТРОЙКИ!$D$6&amp;"]КРЕДИТЫ'!$S$38:$EO$38"))/1000000,0)))</f>
        <v>0</v>
      </c>
      <c r="I71" s="35">
        <f ca="1">IF(НАСТРОЙКИ!$B$6&lt;&gt;"Да",0,MAX(0,IFERROR(SUMIF(INDIRECT("'["&amp;НАСТРОЙКИ!$D$6&amp;"]КРЕДИТЫ'!$S$3:$EO$3"),I$22,INDIRECT("'["&amp;НАСТРОЙКИ!$D$6&amp;"]КРЕДИТЫ'!$S$38:$EO$38"))/1000000,0)))</f>
        <v>0</v>
      </c>
      <c r="J71" s="35">
        <f ca="1">IF(НАСТРОЙКИ!$B$6&lt;&gt;"Да",0,MAX(0,IFERROR(SUMIF(INDIRECT("'["&amp;НАСТРОЙКИ!$D$6&amp;"]КРЕДИТЫ'!$S$3:$EO$3"),J$22,INDIRECT("'["&amp;НАСТРОЙКИ!$D$6&amp;"]КРЕДИТЫ'!$S$38:$EO$38"))/1000000,0)))</f>
        <v>0</v>
      </c>
      <c r="K71" s="35">
        <f ca="1">IF(НАСТРОЙКИ!$B$6&lt;&gt;"Да",0,MAX(0,IFERROR(SUMIF(INDIRECT("'["&amp;НАСТРОЙКИ!$D$6&amp;"]КРЕДИТЫ'!$S$3:$EO$3"),K$22,INDIRECT("'["&amp;НАСТРОЙКИ!$D$6&amp;"]КРЕДИТЫ'!$S$38:$EO$38"))/1000000,0)))</f>
        <v>0</v>
      </c>
      <c r="L71" s="35">
        <f ca="1">IF(НАСТРОЙКИ!$B$6&lt;&gt;"Да",0,MAX(0,IFERROR(SUMIF(INDIRECT("'["&amp;НАСТРОЙКИ!$D$6&amp;"]КРЕДИТЫ'!$S$3:$EO$3"),L$22,INDIRECT("'["&amp;НАСТРОЙКИ!$D$6&amp;"]КРЕДИТЫ'!$S$38:$EO$38"))/1000000,0)))</f>
        <v>0</v>
      </c>
      <c r="M71" s="35">
        <f ca="1">IF(НАСТРОЙКИ!$B$6&lt;&gt;"Да",0,MAX(0,IFERROR(SUMIF(INDIRECT("'["&amp;НАСТРОЙКИ!$D$6&amp;"]КРЕДИТЫ'!$S$3:$EO$3"),M$22,INDIRECT("'["&amp;НАСТРОЙКИ!$D$6&amp;"]КРЕДИТЫ'!$S$38:$EO$38"))/1000000,0)))</f>
        <v>0</v>
      </c>
      <c r="N71" s="35">
        <f ca="1">IF(НАСТРОЙКИ!$B$6&lt;&gt;"Да",0,MAX(0,IFERROR(SUMIF(INDIRECT("'["&amp;НАСТРОЙКИ!$D$6&amp;"]КРЕДИТЫ'!$S$3:$EO$3"),N$22,INDIRECT("'["&amp;НАСТРОЙКИ!$D$6&amp;"]КРЕДИТЫ'!$S$38:$EO$38"))/1000000,0)))</f>
        <v>0</v>
      </c>
      <c r="O71" s="35">
        <f ca="1">IF(НАСТРОЙКИ!$B$6&lt;&gt;"Да",0,MAX(0,IFERROR(SUMIF(INDIRECT("'["&amp;НАСТРОЙКИ!$D$6&amp;"]КРЕДИТЫ'!$S$3:$EO$3"),O$22,INDIRECT("'["&amp;НАСТРОЙКИ!$D$6&amp;"]КРЕДИТЫ'!$S$38:$EO$38"))/1000000,0)))</f>
        <v>0</v>
      </c>
      <c r="P71" s="35">
        <f ca="1">IF(НАСТРОЙКИ!$B$6&lt;&gt;"Да",0,MAX(0,IFERROR(SUMIF(INDIRECT("'["&amp;НАСТРОЙКИ!$D$6&amp;"]КРЕДИТЫ'!$S$3:$EO$3"),P$22,INDIRECT("'["&amp;НАСТРОЙКИ!$D$6&amp;"]КРЕДИТЫ'!$S$38:$EO$38"))/1000000,0)))</f>
        <v>0</v>
      </c>
      <c r="Q71" s="35">
        <f ca="1">IF(НАСТРОЙКИ!$B$6&lt;&gt;"Да",0,MAX(0,IFERROR(SUMIF(INDIRECT("'["&amp;НАСТРОЙКИ!$D$6&amp;"]КРЕДИТЫ'!$S$3:$EO$3"),Q$22,INDIRECT("'["&amp;НАСТРОЙКИ!$D$6&amp;"]КРЕДИТЫ'!$S$38:$EO$38"))/1000000,0)))</f>
        <v>0</v>
      </c>
      <c r="R71" s="35">
        <f ca="1">IF(НАСТРОЙКИ!$B$6&lt;&gt;"Да",0,MAX(0,IFERROR(SUMIF(INDIRECT("'["&amp;НАСТРОЙКИ!$D$6&amp;"]КРЕДИТЫ'!$S$3:$EO$3"),R$22,INDIRECT("'["&amp;НАСТРОЙКИ!$D$6&amp;"]КРЕДИТЫ'!$S$38:$EO$38"))/1000000,0)))</f>
        <v>0</v>
      </c>
      <c r="S71" s="35">
        <f ca="1">IF(НАСТРОЙКИ!$B$6&lt;&gt;"Да",0,MAX(0,IFERROR(SUMIF(INDIRECT("'["&amp;НАСТРОЙКИ!$D$6&amp;"]КРЕДИТЫ'!$S$3:$EO$3"),S$22,INDIRECT("'["&amp;НАСТРОЙКИ!$D$6&amp;"]КРЕДИТЫ'!$S$38:$EO$38"))/1000000,0)))</f>
        <v>0</v>
      </c>
      <c r="T71" s="35">
        <f ca="1">IF(НАСТРОЙКИ!$B$6&lt;&gt;"Да",0,MAX(0,IFERROR(SUMIF(INDIRECT("'["&amp;НАСТРОЙКИ!$D$6&amp;"]КРЕДИТЫ'!$S$3:$EO$3"),T$22,INDIRECT("'["&amp;НАСТРОЙКИ!$D$6&amp;"]КРЕДИТЫ'!$S$38:$EO$38"))/1000000,0)))</f>
        <v>0</v>
      </c>
      <c r="U71" s="35">
        <f ca="1">IF(НАСТРОЙКИ!$B$6&lt;&gt;"Да",0,MAX(0,IFERROR(SUMIF(INDIRECT("'["&amp;НАСТРОЙКИ!$D$6&amp;"]КРЕДИТЫ'!$S$3:$EO$3"),U$22,INDIRECT("'["&amp;НАСТРОЙКИ!$D$6&amp;"]КРЕДИТЫ'!$S$38:$EO$38"))/1000000,0)))</f>
        <v>0</v>
      </c>
      <c r="V71" s="35">
        <f ca="1">IF(НАСТРОЙКИ!$B$6&lt;&gt;"Да",0,MAX(0,IFERROR(SUMIF(INDIRECT("'["&amp;НАСТРОЙКИ!$D$6&amp;"]КРЕДИТЫ'!$S$3:$EO$3"),V$22,INDIRECT("'["&amp;НАСТРОЙКИ!$D$6&amp;"]КРЕДИТЫ'!$S$38:$EO$38"))/1000000,0)))</f>
        <v>0</v>
      </c>
      <c r="W71" s="35">
        <f ca="1">IF(НАСТРОЙКИ!$B$6&lt;&gt;"Да",0,MAX(0,IFERROR(SUMIF(INDIRECT("'["&amp;НАСТРОЙКИ!$D$6&amp;"]КРЕДИТЫ'!$S$3:$EO$3"),W$22,INDIRECT("'["&amp;НАСТРОЙКИ!$D$6&amp;"]КРЕДИТЫ'!$S$38:$EO$38"))/1000000,0)))</f>
        <v>0</v>
      </c>
      <c r="X71" s="35">
        <f ca="1">IF(НАСТРОЙКИ!$B$6&lt;&gt;"Да",0,MAX(0,IFERROR(SUMIF(INDIRECT("'["&amp;НАСТРОЙКИ!$D$6&amp;"]КРЕДИТЫ'!$S$3:$EO$3"),X$22,INDIRECT("'["&amp;НАСТРОЙКИ!$D$6&amp;"]КРЕДИТЫ'!$S$38:$EO$38"))/1000000,0)))</f>
        <v>0</v>
      </c>
      <c r="Y71" s="35">
        <f ca="1">IF(НАСТРОЙКИ!$B$6&lt;&gt;"Да",0,MAX(0,IFERROR(SUMIF(INDIRECT("'["&amp;НАСТРОЙКИ!$D$6&amp;"]КРЕДИТЫ'!$S$3:$EO$3"),Y$22,INDIRECT("'["&amp;НАСТРОЙКИ!$D$6&amp;"]КРЕДИТЫ'!$S$38:$EO$38"))/1000000,0)))</f>
        <v>0</v>
      </c>
      <c r="Z71" s="35">
        <f ca="1">IF(НАСТРОЙКИ!$B$6&lt;&gt;"Да",0,MAX(0,IFERROR(SUMIF(INDIRECT("'["&amp;НАСТРОЙКИ!$D$6&amp;"]КРЕДИТЫ'!$S$3:$EO$3"),Z$22,INDIRECT("'["&amp;НАСТРОЙКИ!$D$6&amp;"]КРЕДИТЫ'!$S$38:$EO$38"))/1000000,0)))</f>
        <v>0</v>
      </c>
      <c r="AA71" s="35">
        <f ca="1">IF(НАСТРОЙКИ!$B$6&lt;&gt;"Да",0,MAX(0,IFERROR(SUMIF(INDIRECT("'["&amp;НАСТРОЙКИ!$D$6&amp;"]КРЕДИТЫ'!$S$3:$EO$3"),AA$22,INDIRECT("'["&amp;НАСТРОЙКИ!$D$6&amp;"]КРЕДИТЫ'!$S$38:$EO$38"))/1000000,0)))</f>
        <v>0</v>
      </c>
      <c r="AB71" s="35">
        <f ca="1">IF(НАСТРОЙКИ!$B$6&lt;&gt;"Да",0,MAX(0,IFERROR(SUMIF(INDIRECT("'["&amp;НАСТРОЙКИ!$D$6&amp;"]КРЕДИТЫ'!$S$3:$EO$3"),AB$22,INDIRECT("'["&amp;НАСТРОЙКИ!$D$6&amp;"]КРЕДИТЫ'!$S$38:$EO$38"))/1000000,0)))</f>
        <v>0</v>
      </c>
      <c r="AC71" s="35">
        <f ca="1">IF(НАСТРОЙКИ!$B$6&lt;&gt;"Да",0,MAX(0,IFERROR(SUMIF(INDIRECT("'["&amp;НАСТРОЙКИ!$D$6&amp;"]КРЕДИТЫ'!$S$3:$EO$3"),AC$22,INDIRECT("'["&amp;НАСТРОЙКИ!$D$6&amp;"]КРЕДИТЫ'!$S$38:$EO$38"))/1000000,0)))</f>
        <v>147.79907449732906</v>
      </c>
      <c r="AD71" s="35">
        <f ca="1">IF(НАСТРОЙКИ!$B$6&lt;&gt;"Да",0,MAX(0,IFERROR(SUMIF(INDIRECT("'["&amp;НАСТРОЙКИ!$D$6&amp;"]КРЕДИТЫ'!$S$3:$EO$3"),AD$22,INDIRECT("'["&amp;НАСТРОЙКИ!$D$6&amp;"]КРЕДИТЫ'!$S$38:$EO$38"))/1000000,0)))</f>
        <v>375.97314738029723</v>
      </c>
      <c r="AE71" s="35">
        <f ca="1">IF(НАСТРОЙКИ!$B$6&lt;&gt;"Да",0,MAX(0,IFERROR(SUMIF(INDIRECT("'["&amp;НАСТРОЙКИ!$D$6&amp;"]КРЕДИТЫ'!$S$3:$EO$3"),AE$22,INDIRECT("'["&amp;НАСТРОЙКИ!$D$6&amp;"]КРЕДИТЫ'!$S$38:$EO$38"))/1000000,0)))</f>
        <v>181.99409904382293</v>
      </c>
      <c r="AF71" s="35">
        <f ca="1">IF(НАСТРОЙКИ!$B$6&lt;&gt;"Да",0,MAX(0,IFERROR(SUMIF(INDIRECT("'["&amp;НАСТРОЙКИ!$D$6&amp;"]КРЕДИТЫ'!$S$3:$EO$3"),AF$22,INDIRECT("'["&amp;НАСТРОЙКИ!$D$6&amp;"]КРЕДИТЫ'!$S$38:$EO$38"))/1000000,0)))</f>
        <v>181.99409904382293</v>
      </c>
      <c r="AG71" s="35">
        <f ca="1">IF(НАСТРОЙКИ!$B$6&lt;&gt;"Да",0,MAX(0,IFERROR(SUMIF(INDIRECT("'["&amp;НАСТРОЙКИ!$D$6&amp;"]КРЕДИТЫ'!$S$3:$EO$3"),AG$22,INDIRECT("'["&amp;НАСТРОЙКИ!$D$6&amp;"]КРЕДИТЫ'!$S$38:$EO$38"))/1000000,0)))</f>
        <v>0</v>
      </c>
      <c r="AH71" s="35">
        <f ca="1">IF(НАСТРОЙКИ!$B$6&lt;&gt;"Да",0,MAX(0,IFERROR(SUMIF(INDIRECT("'["&amp;НАСТРОЙКИ!$D$6&amp;"]КРЕДИТЫ'!$S$3:$EO$3"),AH$22,INDIRECT("'["&amp;НАСТРОЙКИ!$D$6&amp;"]КРЕДИТЫ'!$S$38:$EO$38"))/1000000,0)))</f>
        <v>0</v>
      </c>
      <c r="AI71" s="35">
        <f ca="1">IF(НАСТРОЙКИ!$B$6&lt;&gt;"Да",0,MAX(0,IFERROR(SUMIF(INDIRECT("'["&amp;НАСТРОЙКИ!$D$6&amp;"]КРЕДИТЫ'!$S$3:$EO$3"),AI$22,INDIRECT("'["&amp;НАСТРОЙКИ!$D$6&amp;"]КРЕДИТЫ'!$S$38:$EO$38"))/1000000,0)))</f>
        <v>0</v>
      </c>
      <c r="AJ71" s="35">
        <f ca="1">IF(НАСТРОЙКИ!$B$6&lt;&gt;"Да",0,MAX(0,IFERROR(SUMIF(INDIRECT("'["&amp;НАСТРОЙКИ!$D$6&amp;"]КРЕДИТЫ'!$S$3:$EO$3"),AJ$22,INDIRECT("'["&amp;НАСТРОЙКИ!$D$6&amp;"]КРЕДИТЫ'!$S$38:$EO$38"))/1000000,0)))</f>
        <v>0</v>
      </c>
      <c r="AK71" s="35">
        <f ca="1">IF(НАСТРОЙКИ!$B$6&lt;&gt;"Да",0,MAX(0,IFERROR(SUMIF(INDIRECT("'["&amp;НАСТРОЙКИ!$D$6&amp;"]КРЕДИТЫ'!$S$3:$EO$3"),AK$22,INDIRECT("'["&amp;НАСТРОЙКИ!$D$6&amp;"]КРЕДИТЫ'!$S$38:$EO$38"))/1000000,0)))</f>
        <v>0</v>
      </c>
      <c r="AL71" s="35">
        <f ca="1">IF(НАСТРОЙКИ!$B$6&lt;&gt;"Да",0,MAX(0,IFERROR(SUMIF(INDIRECT("'["&amp;НАСТРОЙКИ!$D$6&amp;"]КРЕДИТЫ'!$S$3:$EO$3"),AL$22,INDIRECT("'["&amp;НАСТРОЙКИ!$D$6&amp;"]КРЕДИТЫ'!$S$38:$EO$38"))/1000000,0)))</f>
        <v>0</v>
      </c>
      <c r="AM71" s="35">
        <f ca="1">IF(НАСТРОЙКИ!$B$6&lt;&gt;"Да",0,MAX(0,IFERROR(SUMIF(INDIRECT("'["&amp;НАСТРОЙКИ!$D$6&amp;"]КРЕДИТЫ'!$S$3:$EO$3"),AM$22,INDIRECT("'["&amp;НАСТРОЙКИ!$D$6&amp;"]КРЕДИТЫ'!$S$38:$EO$38"))/1000000,0)))</f>
        <v>0</v>
      </c>
      <c r="AN71" s="35">
        <f ca="1">IF(НАСТРОЙКИ!$B$6&lt;&gt;"Да",0,MAX(0,IFERROR(SUMIF(INDIRECT("'["&amp;НАСТРОЙКИ!$D$6&amp;"]КРЕДИТЫ'!$S$3:$EO$3"),AN$22,INDIRECT("'["&amp;НАСТРОЙКИ!$D$6&amp;"]КРЕДИТЫ'!$S$38:$EO$38"))/1000000,0)))</f>
        <v>0</v>
      </c>
      <c r="AO71" s="35">
        <f ca="1">IF(НАСТРОЙКИ!$B$6&lt;&gt;"Да",0,MAX(0,IFERROR(SUMIF(INDIRECT("'["&amp;НАСТРОЙКИ!$D$6&amp;"]КРЕДИТЫ'!$S$3:$EO$3"),AO$22,INDIRECT("'["&amp;НАСТРОЙКИ!$D$6&amp;"]КРЕДИТЫ'!$S$38:$EO$38"))/1000000,0)))</f>
        <v>0</v>
      </c>
      <c r="AP71" s="35">
        <f ca="1">IF(НАСТРОЙКИ!$B$6&lt;&gt;"Да",0,MAX(0,IFERROR(SUMIF(INDIRECT("'["&amp;НАСТРОЙКИ!$D$6&amp;"]КРЕДИТЫ'!$S$3:$EO$3"),AP$22,INDIRECT("'["&amp;НАСТРОЙКИ!$D$6&amp;"]КРЕДИТЫ'!$S$38:$EO$38"))/1000000,0)))</f>
        <v>0</v>
      </c>
      <c r="AQ71" s="35">
        <f ca="1">IF(НАСТРОЙКИ!$B$6&lt;&gt;"Да",0,MAX(0,IFERROR(SUMIF(INDIRECT("'["&amp;НАСТРОЙКИ!$D$6&amp;"]КРЕДИТЫ'!$S$3:$EO$3"),AQ$22,INDIRECT("'["&amp;НАСТРОЙКИ!$D$6&amp;"]КРЕДИТЫ'!$S$38:$EO$38"))/1000000,0)))</f>
        <v>0</v>
      </c>
      <c r="AR71" s="35">
        <f ca="1">IF(НАСТРОЙКИ!$B$6&lt;&gt;"Да",0,MAX(0,IFERROR(SUMIF(INDIRECT("'["&amp;НАСТРОЙКИ!$D$6&amp;"]КРЕДИТЫ'!$S$3:$EO$3"),AR$22,INDIRECT("'["&amp;НАСТРОЙКИ!$D$6&amp;"]КРЕДИТЫ'!$S$38:$EO$38"))/1000000,0)))</f>
        <v>0</v>
      </c>
      <c r="AS71" s="35">
        <f ca="1">IF(НАСТРОЙКИ!$B$6&lt;&gt;"Да",0,MAX(0,IFERROR(SUMIF(INDIRECT("'["&amp;НАСТРОЙКИ!$D$6&amp;"]КРЕДИТЫ'!$S$3:$EO$3"),AS$22,INDIRECT("'["&amp;НАСТРОЙКИ!$D$6&amp;"]КРЕДИТЫ'!$S$38:$EO$38"))/1000000,0)))</f>
        <v>0</v>
      </c>
      <c r="AT71" s="35">
        <f ca="1">IF(НАСТРОЙКИ!$B$6&lt;&gt;"Да",0,MAX(0,IFERROR(SUMIF(INDIRECT("'["&amp;НАСТРОЙКИ!$D$6&amp;"]КРЕДИТЫ'!$S$3:$EO$3"),AT$22,INDIRECT("'["&amp;НАСТРОЙКИ!$D$6&amp;"]КРЕДИТЫ'!$S$38:$EO$38"))/1000000,0)))</f>
        <v>0</v>
      </c>
      <c r="AU71" s="35">
        <f ca="1">IF(НАСТРОЙКИ!$B$6&lt;&gt;"Да",0,MAX(0,IFERROR(SUMIF(INDIRECT("'["&amp;НАСТРОЙКИ!$D$6&amp;"]КРЕДИТЫ'!$S$3:$EO$3"),AU$22,INDIRECT("'["&amp;НАСТРОЙКИ!$D$6&amp;"]КРЕДИТЫ'!$S$38:$EO$38"))/1000000,0)))</f>
        <v>0</v>
      </c>
      <c r="AV71" s="35">
        <f ca="1">IF(НАСТРОЙКИ!$B$6&lt;&gt;"Да",0,MAX(0,IFERROR(SUMIF(INDIRECT("'["&amp;НАСТРОЙКИ!$D$6&amp;"]КРЕДИТЫ'!$S$3:$EO$3"),AV$22,INDIRECT("'["&amp;НАСТРОЙКИ!$D$6&amp;"]КРЕДИТЫ'!$S$38:$EO$38"))/1000000,0)))</f>
        <v>0</v>
      </c>
      <c r="AW71" s="35">
        <f ca="1">IF(НАСТРОЙКИ!$B$6&lt;&gt;"Да",0,MAX(0,IFERROR(SUMIF(INDIRECT("'["&amp;НАСТРОЙКИ!$D$6&amp;"]КРЕДИТЫ'!$S$3:$EO$3"),AW$22,INDIRECT("'["&amp;НАСТРОЙКИ!$D$6&amp;"]КРЕДИТЫ'!$S$38:$EO$38"))/1000000,0)))</f>
        <v>0</v>
      </c>
      <c r="AX71" s="35">
        <f ca="1">IF(НАСТРОЙКИ!$B$6&lt;&gt;"Да",0,MAX(0,IFERROR(SUMIF(INDIRECT("'["&amp;НАСТРОЙКИ!$D$6&amp;"]КРЕДИТЫ'!$S$3:$EO$3"),AX$22,INDIRECT("'["&amp;НАСТРОЙКИ!$D$6&amp;"]КРЕДИТЫ'!$S$38:$EO$38"))/1000000,0)))</f>
        <v>0</v>
      </c>
      <c r="AY71" s="35">
        <f ca="1">IF(НАСТРОЙКИ!$B$6&lt;&gt;"Да",0,MAX(0,IFERROR(SUMIF(INDIRECT("'["&amp;НАСТРОЙКИ!$D$6&amp;"]КРЕДИТЫ'!$S$3:$EO$3"),AY$22,INDIRECT("'["&amp;НАСТРОЙКИ!$D$6&amp;"]КРЕДИТЫ'!$S$38:$EO$38"))/1000000,0)))</f>
        <v>0</v>
      </c>
      <c r="AZ71" s="35">
        <f ca="1">IF(НАСТРОЙКИ!$B$6&lt;&gt;"Да",0,MAX(0,IFERROR(SUMIF(INDIRECT("'["&amp;НАСТРОЙКИ!$D$6&amp;"]КРЕДИТЫ'!$S$3:$EO$3"),AZ$22,INDIRECT("'["&amp;НАСТРОЙКИ!$D$6&amp;"]КРЕДИТЫ'!$S$38:$EO$38"))/1000000,0)))</f>
        <v>0</v>
      </c>
      <c r="BA71" s="35">
        <f ca="1">IF(НАСТРОЙКИ!$B$6&lt;&gt;"Да",0,MAX(0,IFERROR(SUMIF(INDIRECT("'["&amp;НАСТРОЙКИ!$D$6&amp;"]КРЕДИТЫ'!$S$3:$EO$3"),BA$22,INDIRECT("'["&amp;НАСТРОЙКИ!$D$6&amp;"]КРЕДИТЫ'!$S$38:$EO$38"))/1000000,0)))</f>
        <v>0</v>
      </c>
      <c r="BB71" s="35">
        <f ca="1">IF(НАСТРОЙКИ!$B$6&lt;&gt;"Да",0,MAX(0,IFERROR(SUMIF(INDIRECT("'["&amp;НАСТРОЙКИ!$D$6&amp;"]КРЕДИТЫ'!$S$3:$EO$3"),BB$22,INDIRECT("'["&amp;НАСТРОЙКИ!$D$6&amp;"]КРЕДИТЫ'!$S$38:$EO$38"))/1000000,0)))</f>
        <v>0</v>
      </c>
      <c r="BC71" s="35">
        <f ca="1">IF(НАСТРОЙКИ!$B$6&lt;&gt;"Да",0,MAX(0,IFERROR(SUMIF(INDIRECT("'["&amp;НАСТРОЙКИ!$D$6&amp;"]КРЕДИТЫ'!$S$3:$EO$3"),BC$22,INDIRECT("'["&amp;НАСТРОЙКИ!$D$6&amp;"]КРЕДИТЫ'!$S$38:$EO$38"))/1000000,0)))</f>
        <v>0</v>
      </c>
      <c r="BD71" s="35">
        <f ca="1">IF(НАСТРОЙКИ!$B$6&lt;&gt;"Да",0,MAX(0,IFERROR(SUMIF(INDIRECT("'["&amp;НАСТРОЙКИ!$D$6&amp;"]КРЕДИТЫ'!$S$3:$EO$3"),BD$22,INDIRECT("'["&amp;НАСТРОЙКИ!$D$6&amp;"]КРЕДИТЫ'!$S$38:$EO$38"))/1000000,0)))</f>
        <v>0</v>
      </c>
      <c r="BE71" s="35">
        <f ca="1">IF(НАСТРОЙКИ!$B$6&lt;&gt;"Да",0,MAX(0,IFERROR(SUMIF(INDIRECT("'["&amp;НАСТРОЙКИ!$D$6&amp;"]КРЕДИТЫ'!$S$3:$EO$3"),BE$22,INDIRECT("'["&amp;НАСТРОЙКИ!$D$6&amp;"]КРЕДИТЫ'!$S$38:$EO$38"))/1000000,0)))</f>
        <v>0</v>
      </c>
      <c r="BF71" s="35">
        <f ca="1">IF(НАСТРОЙКИ!$B$6&lt;&gt;"Да",0,MAX(0,IFERROR(SUMIF(INDIRECT("'["&amp;НАСТРОЙКИ!$D$6&amp;"]КРЕДИТЫ'!$S$3:$EO$3"),BF$22,INDIRECT("'["&amp;НАСТРОЙКИ!$D$6&amp;"]КРЕДИТЫ'!$S$38:$EO$38"))/1000000,0)))</f>
        <v>0</v>
      </c>
      <c r="BG71" s="35">
        <f ca="1">IF(НАСТРОЙКИ!$B$6&lt;&gt;"Да",0,MAX(0,IFERROR(SUMIF(INDIRECT("'["&amp;НАСТРОЙКИ!$D$6&amp;"]КРЕДИТЫ'!$S$3:$EO$3"),BG$22,INDIRECT("'["&amp;НАСТРОЙКИ!$D$6&amp;"]КРЕДИТЫ'!$S$38:$EO$38"))/1000000,0)))</f>
        <v>0</v>
      </c>
      <c r="BH71" s="35">
        <f ca="1">IF(НАСТРОЙКИ!$B$6&lt;&gt;"Да",0,MAX(0,IFERROR(SUMIF(INDIRECT("'["&amp;НАСТРОЙКИ!$D$6&amp;"]КРЕДИТЫ'!$S$3:$EO$3"),BH$22,INDIRECT("'["&amp;НАСТРОЙКИ!$D$6&amp;"]КРЕДИТЫ'!$S$38:$EO$38"))/1000000,0)))</f>
        <v>0</v>
      </c>
      <c r="BI71" s="35">
        <f ca="1">IF(НАСТРОЙКИ!$B$6&lt;&gt;"Да",0,MAX(0,IFERROR(SUMIF(INDIRECT("'["&amp;НАСТРОЙКИ!$D$6&amp;"]КРЕДИТЫ'!$S$3:$EO$3"),BI$22,INDIRECT("'["&amp;НАСТРОЙКИ!$D$6&amp;"]КРЕДИТЫ'!$S$38:$EO$38"))/1000000,0)))</f>
        <v>0</v>
      </c>
      <c r="BJ71" s="35">
        <f ca="1">IF(НАСТРОЙКИ!$B$6&lt;&gt;"Да",0,MAX(0,IFERROR(SUMIF(INDIRECT("'["&amp;НАСТРОЙКИ!$D$6&amp;"]КРЕДИТЫ'!$S$3:$EO$3"),BJ$22,INDIRECT("'["&amp;НАСТРОЙКИ!$D$6&amp;"]КРЕДИТЫ'!$S$38:$EO$38"))/1000000,0)))</f>
        <v>0</v>
      </c>
      <c r="BK71" s="35">
        <f ca="1">IF(НАСТРОЙКИ!$B$6&lt;&gt;"Да",0,MAX(0,IFERROR(SUMIF(INDIRECT("'["&amp;НАСТРОЙКИ!$D$6&amp;"]КРЕДИТЫ'!$S$3:$EO$3"),BK$22,INDIRECT("'["&amp;НАСТРОЙКИ!$D$6&amp;"]КРЕДИТЫ'!$S$38:$EO$38"))/1000000,0)))</f>
        <v>0</v>
      </c>
      <c r="BL71" s="35">
        <f ca="1">IF(НАСТРОЙКИ!$B$6&lt;&gt;"Да",0,MAX(0,IFERROR(SUMIF(INDIRECT("'["&amp;НАСТРОЙКИ!$D$6&amp;"]КРЕДИТЫ'!$S$3:$EO$3"),BL$22,INDIRECT("'["&amp;НАСТРОЙКИ!$D$6&amp;"]КРЕДИТЫ'!$S$38:$EO$38"))/1000000,0)))</f>
        <v>0</v>
      </c>
      <c r="BM71" s="35">
        <f ca="1">IF(НАСТРОЙКИ!$B$6&lt;&gt;"Да",0,MAX(0,IFERROR(SUMIF(INDIRECT("'["&amp;НАСТРОЙКИ!$D$6&amp;"]КРЕДИТЫ'!$S$3:$EO$3"),BM$22,INDIRECT("'["&amp;НАСТРОЙКИ!$D$6&amp;"]КРЕДИТЫ'!$S$38:$EO$38"))/1000000,0)))</f>
        <v>0</v>
      </c>
      <c r="BN71" s="35">
        <f ca="1">IF(НАСТРОЙКИ!$B$6&lt;&gt;"Да",0,MAX(0,IFERROR(SUMIF(INDIRECT("'["&amp;НАСТРОЙКИ!$D$6&amp;"]КРЕДИТЫ'!$S$3:$EO$3"),BN$22,INDIRECT("'["&amp;НАСТРОЙКИ!$D$6&amp;"]КРЕДИТЫ'!$S$38:$EO$38"))/1000000,0)))</f>
        <v>0</v>
      </c>
      <c r="BO71" s="35">
        <f ca="1">IF(НАСТРОЙКИ!$B$6&lt;&gt;"Да",0,MAX(0,IFERROR(SUMIF(INDIRECT("'["&amp;НАСТРОЙКИ!$D$6&amp;"]КРЕДИТЫ'!$S$3:$EO$3"),BO$22,INDIRECT("'["&amp;НАСТРОЙКИ!$D$6&amp;"]КРЕДИТЫ'!$S$38:$EO$38"))/1000000,0)))</f>
        <v>0</v>
      </c>
      <c r="BP71" s="35">
        <f ca="1">IF(НАСТРОЙКИ!$B$6&lt;&gt;"Да",0,MAX(0,IFERROR(SUMIF(INDIRECT("'["&amp;НАСТРОЙКИ!$D$6&amp;"]КРЕДИТЫ'!$S$3:$EO$3"),BP$22,INDIRECT("'["&amp;НАСТРОЙКИ!$D$6&amp;"]КРЕДИТЫ'!$S$38:$EO$38"))/1000000,0)))</f>
        <v>0</v>
      </c>
      <c r="BQ71" s="35">
        <f ca="1">IF(НАСТРОЙКИ!$B$6&lt;&gt;"Да",0,MAX(0,IFERROR(SUMIF(INDIRECT("'["&amp;НАСТРОЙКИ!$D$6&amp;"]КРЕДИТЫ'!$S$3:$EO$3"),BQ$22,INDIRECT("'["&amp;НАСТРОЙКИ!$D$6&amp;"]КРЕДИТЫ'!$S$38:$EO$38"))/1000000,0)))</f>
        <v>0</v>
      </c>
      <c r="BR71" s="35">
        <f ca="1">IF(НАСТРОЙКИ!$B$6&lt;&gt;"Да",0,MAX(0,IFERROR(SUMIF(INDIRECT("'["&amp;НАСТРОЙКИ!$D$6&amp;"]КРЕДИТЫ'!$S$3:$EO$3"),BR$22,INDIRECT("'["&amp;НАСТРОЙКИ!$D$6&amp;"]КРЕДИТЫ'!$S$38:$EO$38"))/1000000,0)))</f>
        <v>0</v>
      </c>
      <c r="BS71" s="35">
        <f ca="1">IF(НАСТРОЙКИ!$B$6&lt;&gt;"Да",0,MAX(0,IFERROR(SUMIF(INDIRECT("'["&amp;НАСТРОЙКИ!$D$6&amp;"]КРЕДИТЫ'!$S$3:$EO$3"),BS$22,INDIRECT("'["&amp;НАСТРОЙКИ!$D$6&amp;"]КРЕДИТЫ'!$S$38:$EO$38"))/1000000,0)))</f>
        <v>0</v>
      </c>
      <c r="BT71" s="35">
        <f ca="1">IF(НАСТРОЙКИ!$B$6&lt;&gt;"Да",0,MAX(0,IFERROR(SUMIF(INDIRECT("'["&amp;НАСТРОЙКИ!$D$6&amp;"]КРЕДИТЫ'!$S$3:$EO$3"),BT$22,INDIRECT("'["&amp;НАСТРОЙКИ!$D$6&amp;"]КРЕДИТЫ'!$S$38:$EO$38"))/1000000,0)))</f>
        <v>0</v>
      </c>
      <c r="BU71" s="35">
        <f ca="1">IF(НАСТРОЙКИ!$B$6&lt;&gt;"Да",0,MAX(0,IFERROR(SUMIF(INDIRECT("'["&amp;НАСТРОЙКИ!$D$6&amp;"]КРЕДИТЫ'!$S$3:$EO$3"),BU$22,INDIRECT("'["&amp;НАСТРОЙКИ!$D$6&amp;"]КРЕДИТЫ'!$S$38:$EO$38"))/1000000,0)))</f>
        <v>0</v>
      </c>
      <c r="BV71" s="35">
        <f ca="1">IF(НАСТРОЙКИ!$B$6&lt;&gt;"Да",0,MAX(0,IFERROR(SUMIF(INDIRECT("'["&amp;НАСТРОЙКИ!$D$6&amp;"]КРЕДИТЫ'!$S$3:$EO$3"),BV$22,INDIRECT("'["&amp;НАСТРОЙКИ!$D$6&amp;"]КРЕДИТЫ'!$S$38:$EO$38"))/1000000,0)))</f>
        <v>0</v>
      </c>
      <c r="BW71" s="35">
        <f ca="1">IF(НАСТРОЙКИ!$B$6&lt;&gt;"Да",0,MAX(0,IFERROR(SUMIF(INDIRECT("'["&amp;НАСТРОЙКИ!$D$6&amp;"]КРЕДИТЫ'!$S$3:$EO$3"),BW$22,INDIRECT("'["&amp;НАСТРОЙКИ!$D$6&amp;"]КРЕДИТЫ'!$S$38:$EO$38"))/1000000,0)))</f>
        <v>0</v>
      </c>
      <c r="BX71" s="35">
        <f ca="1">IF(НАСТРОЙКИ!$B$6&lt;&gt;"Да",0,MAX(0,IFERROR(SUMIF(INDIRECT("'["&amp;НАСТРОЙКИ!$D$6&amp;"]КРЕДИТЫ'!$S$3:$EO$3"),BX$22,INDIRECT("'["&amp;НАСТРОЙКИ!$D$6&amp;"]КРЕДИТЫ'!$S$38:$EO$38"))/1000000,0)))</f>
        <v>0</v>
      </c>
      <c r="BY71" s="35">
        <f ca="1">IF(НАСТРОЙКИ!$B$6&lt;&gt;"Да",0,MAX(0,IFERROR(SUMIF(INDIRECT("'["&amp;НАСТРОЙКИ!$D$6&amp;"]КРЕДИТЫ'!$S$3:$EO$3"),BY$22,INDIRECT("'["&amp;НАСТРОЙКИ!$D$6&amp;"]КРЕДИТЫ'!$S$38:$EO$38"))/1000000,0)))</f>
        <v>0</v>
      </c>
      <c r="BZ71" s="35">
        <f ca="1">IF(НАСТРОЙКИ!$B$6&lt;&gt;"Да",0,MAX(0,IFERROR(SUMIF(INDIRECT("'["&amp;НАСТРОЙКИ!$D$6&amp;"]КРЕДИТЫ'!$S$3:$EO$3"),BZ$22,INDIRECT("'["&amp;НАСТРОЙКИ!$D$6&amp;"]КРЕДИТЫ'!$S$38:$EO$38"))/1000000,0)))</f>
        <v>0</v>
      </c>
      <c r="CA71" s="35">
        <f ca="1">IF(НАСТРОЙКИ!$B$6&lt;&gt;"Да",0,MAX(0,IFERROR(SUMIF(INDIRECT("'["&amp;НАСТРОЙКИ!$D$6&amp;"]КРЕДИТЫ'!$S$3:$EO$3"),CA$22,INDIRECT("'["&amp;НАСТРОЙКИ!$D$6&amp;"]КРЕДИТЫ'!$S$38:$EO$38"))/1000000,0)))</f>
        <v>0</v>
      </c>
      <c r="CB71" s="35">
        <f ca="1">IF(НАСТРОЙКИ!$B$6&lt;&gt;"Да",0,MAX(0,IFERROR(SUMIF(INDIRECT("'["&amp;НАСТРОЙКИ!$D$6&amp;"]КРЕДИТЫ'!$S$3:$EO$3"),CB$22,INDIRECT("'["&amp;НАСТРОЙКИ!$D$6&amp;"]КРЕДИТЫ'!$S$38:$EO$38"))/1000000,0)))</f>
        <v>0</v>
      </c>
      <c r="CC71" s="35">
        <f ca="1">IF(НАСТРОЙКИ!$B$6&lt;&gt;"Да",0,MAX(0,IFERROR(SUMIF(INDIRECT("'["&amp;НАСТРОЙКИ!$D$6&amp;"]КРЕДИТЫ'!$S$3:$EO$3"),CC$22,INDIRECT("'["&amp;НАСТРОЙКИ!$D$6&amp;"]КРЕДИТЫ'!$S$38:$EO$38"))/1000000,0)))</f>
        <v>0</v>
      </c>
      <c r="CD71" s="35">
        <f ca="1">IF(НАСТРОЙКИ!$B$6&lt;&gt;"Да",0,MAX(0,IFERROR(SUMIF(INDIRECT("'["&amp;НАСТРОЙКИ!$D$6&amp;"]КРЕДИТЫ'!$S$3:$EO$3"),CD$22,INDIRECT("'["&amp;НАСТРОЙКИ!$D$6&amp;"]КРЕДИТЫ'!$S$38:$EO$38"))/1000000,0)))</f>
        <v>0</v>
      </c>
      <c r="CE71" s="35">
        <f ca="1">IF(НАСТРОЙКИ!$B$6&lt;&gt;"Да",0,MAX(0,IFERROR(SUMIF(INDIRECT("'["&amp;НАСТРОЙКИ!$D$6&amp;"]КРЕДИТЫ'!$S$3:$EO$3"),CE$22,INDIRECT("'["&amp;НАСТРОЙКИ!$D$6&amp;"]КРЕДИТЫ'!$S$38:$EO$38"))/1000000,0)))</f>
        <v>0</v>
      </c>
      <c r="CF71" s="35">
        <f ca="1">IF(НАСТРОЙКИ!$B$6&lt;&gt;"Да",0,MAX(0,IFERROR(SUMIF(INDIRECT("'["&amp;НАСТРОЙКИ!$D$6&amp;"]КРЕДИТЫ'!$S$3:$EO$3"),CF$22,INDIRECT("'["&amp;НАСТРОЙКИ!$D$6&amp;"]КРЕДИТЫ'!$S$38:$EO$38"))/1000000,0)))</f>
        <v>0</v>
      </c>
      <c r="CG71" s="35">
        <f ca="1">IF(НАСТРОЙКИ!$B$6&lt;&gt;"Да",0,MAX(0,IFERROR(SUMIF(INDIRECT("'["&amp;НАСТРОЙКИ!$D$6&amp;"]КРЕДИТЫ'!$S$3:$EO$3"),CG$22,INDIRECT("'["&amp;НАСТРОЙКИ!$D$6&amp;"]КРЕДИТЫ'!$S$38:$EO$38"))/1000000,0)))</f>
        <v>0</v>
      </c>
      <c r="CH71" s="35">
        <f ca="1">IF(НАСТРОЙКИ!$B$6&lt;&gt;"Да",0,MAX(0,IFERROR(SUMIF(INDIRECT("'["&amp;НАСТРОЙКИ!$D$6&amp;"]КРЕДИТЫ'!$S$3:$EO$3"),CH$22,INDIRECT("'["&amp;НАСТРОЙКИ!$D$6&amp;"]КРЕДИТЫ'!$S$38:$EO$38"))/1000000,0)))</f>
        <v>0</v>
      </c>
      <c r="CI71" s="35">
        <f ca="1">IF(НАСТРОЙКИ!$B$6&lt;&gt;"Да",0,MAX(0,IFERROR(SUMIF(INDIRECT("'["&amp;НАСТРОЙКИ!$D$6&amp;"]КРЕДИТЫ'!$S$3:$EO$3"),CI$22,INDIRECT("'["&amp;НАСТРОЙКИ!$D$6&amp;"]КРЕДИТЫ'!$S$38:$EO$38"))/1000000,0)))</f>
        <v>0</v>
      </c>
      <c r="CJ71" s="35">
        <f ca="1">IF(НАСТРОЙКИ!$B$6&lt;&gt;"Да",0,MAX(0,IFERROR(SUMIF(INDIRECT("'["&amp;НАСТРОЙКИ!$D$6&amp;"]КРЕДИТЫ'!$S$3:$EO$3"),CJ$22,INDIRECT("'["&amp;НАСТРОЙКИ!$D$6&amp;"]КРЕДИТЫ'!$S$38:$EO$38"))/1000000,0)))</f>
        <v>0</v>
      </c>
      <c r="CK71" s="35">
        <f ca="1">IF(НАСТРОЙКИ!$B$6&lt;&gt;"Да",0,MAX(0,IFERROR(SUMIF(INDIRECT("'["&amp;НАСТРОЙКИ!$D$6&amp;"]КРЕДИТЫ'!$S$3:$EO$3"),CK$22,INDIRECT("'["&amp;НАСТРОЙКИ!$D$6&amp;"]КРЕДИТЫ'!$S$38:$EO$38"))/1000000,0)))</f>
        <v>0</v>
      </c>
      <c r="CL71" s="35">
        <f ca="1">IF(НАСТРОЙКИ!$B$6&lt;&gt;"Да",0,MAX(0,IFERROR(SUMIF(INDIRECT("'["&amp;НАСТРОЙКИ!$D$6&amp;"]КРЕДИТЫ'!$S$3:$EO$3"),CL$22,INDIRECT("'["&amp;НАСТРОЙКИ!$D$6&amp;"]КРЕДИТЫ'!$S$38:$EO$38"))/1000000,0)))</f>
        <v>0</v>
      </c>
      <c r="CM71" s="35">
        <f ca="1">IF(НАСТРОЙКИ!$B$6&lt;&gt;"Да",0,MAX(0,IFERROR(SUMIF(INDIRECT("'["&amp;НАСТРОЙКИ!$D$6&amp;"]КРЕДИТЫ'!$S$3:$EO$3"),CM$22,INDIRECT("'["&amp;НАСТРОЙКИ!$D$6&amp;"]КРЕДИТЫ'!$S$38:$EO$38"))/1000000,0)))</f>
        <v>0</v>
      </c>
      <c r="CN71" s="35">
        <f ca="1">IF(НАСТРОЙКИ!$B$6&lt;&gt;"Да",0,MAX(0,IFERROR(SUMIF(INDIRECT("'["&amp;НАСТРОЙКИ!$D$6&amp;"]КРЕДИТЫ'!$S$3:$EO$3"),CN$22,INDIRECT("'["&amp;НАСТРОЙКИ!$D$6&amp;"]КРЕДИТЫ'!$S$38:$EO$38"))/1000000,0)))</f>
        <v>0</v>
      </c>
      <c r="CO71" s="35">
        <f ca="1">IF(НАСТРОЙКИ!$B$6&lt;&gt;"Да",0,MAX(0,IFERROR(SUMIF(INDIRECT("'["&amp;НАСТРОЙКИ!$D$6&amp;"]КРЕДИТЫ'!$S$3:$EO$3"),CO$22,INDIRECT("'["&amp;НАСТРОЙКИ!$D$6&amp;"]КРЕДИТЫ'!$S$38:$EO$38"))/1000000,0)))</f>
        <v>0</v>
      </c>
      <c r="CP71" s="35">
        <f ca="1">IF(НАСТРОЙКИ!$B$6&lt;&gt;"Да",0,MAX(0,IFERROR(SUMIF(INDIRECT("'["&amp;НАСТРОЙКИ!$D$6&amp;"]КРЕДИТЫ'!$S$3:$EO$3"),CP$22,INDIRECT("'["&amp;НАСТРОЙКИ!$D$6&amp;"]КРЕДИТЫ'!$S$38:$EO$38"))/1000000,0)))</f>
        <v>0</v>
      </c>
      <c r="CQ71" s="35">
        <f ca="1">IF(НАСТРОЙКИ!$B$6&lt;&gt;"Да",0,MAX(0,IFERROR(SUMIF(INDIRECT("'["&amp;НАСТРОЙКИ!$D$6&amp;"]КРЕДИТЫ'!$S$3:$EO$3"),CQ$22,INDIRECT("'["&amp;НАСТРОЙКИ!$D$6&amp;"]КРЕДИТЫ'!$S$38:$EO$38"))/1000000,0)))</f>
        <v>0</v>
      </c>
      <c r="CR71" s="35">
        <f ca="1">IF(НАСТРОЙКИ!$B$6&lt;&gt;"Да",0,MAX(0,IFERROR(SUMIF(INDIRECT("'["&amp;НАСТРОЙКИ!$D$6&amp;"]КРЕДИТЫ'!$S$3:$EO$3"),CR$22,INDIRECT("'["&amp;НАСТРОЙКИ!$D$6&amp;"]КРЕДИТЫ'!$S$38:$EO$38"))/1000000,0)))</f>
        <v>0</v>
      </c>
      <c r="CS71" s="35">
        <f ca="1">IF(НАСТРОЙКИ!$B$6&lt;&gt;"Да",0,MAX(0,IFERROR(SUMIF(INDIRECT("'["&amp;НАСТРОЙКИ!$D$6&amp;"]КРЕДИТЫ'!$S$3:$EO$3"),CS$22,INDIRECT("'["&amp;НАСТРОЙКИ!$D$6&amp;"]КРЕДИТЫ'!$S$38:$EO$38"))/1000000,0)))</f>
        <v>0</v>
      </c>
      <c r="CT71" s="35">
        <f ca="1">IF(НАСТРОЙКИ!$B$6&lt;&gt;"Да",0,MAX(0,IFERROR(SUMIF(INDIRECT("'["&amp;НАСТРОЙКИ!$D$6&amp;"]КРЕДИТЫ'!$S$3:$EO$3"),CT$22,INDIRECT("'["&amp;НАСТРОЙКИ!$D$6&amp;"]КРЕДИТЫ'!$S$38:$EO$38"))/1000000,0)))</f>
        <v>0</v>
      </c>
      <c r="CU71" s="35">
        <f ca="1">IF(НАСТРОЙКИ!$B$6&lt;&gt;"Да",0,MAX(0,IFERROR(SUMIF(INDIRECT("'["&amp;НАСТРОЙКИ!$D$6&amp;"]КРЕДИТЫ'!$S$3:$EO$3"),CU$22,INDIRECT("'["&amp;НАСТРОЙКИ!$D$6&amp;"]КРЕДИТЫ'!$S$38:$EO$38"))/1000000,0)))</f>
        <v>0</v>
      </c>
      <c r="CV71" s="35">
        <f ca="1">IF(НАСТРОЙКИ!$B$6&lt;&gt;"Да",0,MAX(0,IFERROR(SUMIF(INDIRECT("'["&amp;НАСТРОЙКИ!$D$6&amp;"]КРЕДИТЫ'!$S$3:$EO$3"),CV$22,INDIRECT("'["&amp;НАСТРОЙКИ!$D$6&amp;"]КРЕДИТЫ'!$S$38:$EO$38"))/1000000,0)))</f>
        <v>0</v>
      </c>
      <c r="CW71" s="35">
        <f ca="1">IF(НАСТРОЙКИ!$B$6&lt;&gt;"Да",0,MAX(0,IFERROR(SUMIF(INDIRECT("'["&amp;НАСТРОЙКИ!$D$6&amp;"]КРЕДИТЫ'!$S$3:$EO$3"),CW$22,INDIRECT("'["&amp;НАСТРОЙКИ!$D$6&amp;"]КРЕДИТЫ'!$S$38:$EO$38"))/1000000,0)))</f>
        <v>0</v>
      </c>
      <c r="CX71" s="35">
        <f ca="1">IF(НАСТРОЙКИ!$B$6&lt;&gt;"Да",0,MAX(0,IFERROR(SUMIF(INDIRECT("'["&amp;НАСТРОЙКИ!$D$6&amp;"]КРЕДИТЫ'!$S$3:$EO$3"),CX$22,INDIRECT("'["&amp;НАСТРОЙКИ!$D$6&amp;"]КРЕДИТЫ'!$S$38:$EO$38"))/1000000,0)))</f>
        <v>0</v>
      </c>
      <c r="CY71" s="35">
        <f ca="1">IF(НАСТРОЙКИ!$B$6&lt;&gt;"Да",0,MAX(0,IFERROR(SUMIF(INDIRECT("'["&amp;НАСТРОЙКИ!$D$6&amp;"]КРЕДИТЫ'!$S$3:$EO$3"),CY$22,INDIRECT("'["&amp;НАСТРОЙКИ!$D$6&amp;"]КРЕДИТЫ'!$S$38:$EO$38"))/1000000,0)))</f>
        <v>0</v>
      </c>
      <c r="CZ71" s="35">
        <f ca="1">IF(НАСТРОЙКИ!$B$6&lt;&gt;"Да",0,MAX(0,IFERROR(SUMIF(INDIRECT("'["&amp;НАСТРОЙКИ!$D$6&amp;"]КРЕДИТЫ'!$S$3:$EO$3"),CZ$22,INDIRECT("'["&amp;НАСТРОЙКИ!$D$6&amp;"]КРЕДИТЫ'!$S$38:$EO$38"))/1000000,0)))</f>
        <v>0</v>
      </c>
      <c r="DA71" s="35">
        <f ca="1">IF(НАСТРОЙКИ!$B$6&lt;&gt;"Да",0,MAX(0,IFERROR(SUMIF(INDIRECT("'["&amp;НАСТРОЙКИ!$D$6&amp;"]КРЕДИТЫ'!$S$3:$EO$3"),DA$22,INDIRECT("'["&amp;НАСТРОЙКИ!$D$6&amp;"]КРЕДИТЫ'!$S$38:$EO$38"))/1000000,0)))</f>
        <v>0</v>
      </c>
      <c r="DB71" s="35">
        <f ca="1">IF(НАСТРОЙКИ!$B$6&lt;&gt;"Да",0,MAX(0,IFERROR(SUMIF(INDIRECT("'["&amp;НАСТРОЙКИ!$D$6&amp;"]КРЕДИТЫ'!$S$3:$EO$3"),DB$22,INDIRECT("'["&amp;НАСТРОЙКИ!$D$6&amp;"]КРЕДИТЫ'!$S$38:$EO$38"))/1000000,0)))</f>
        <v>0</v>
      </c>
      <c r="DC71" s="35">
        <f ca="1">IF(НАСТРОЙКИ!$B$6&lt;&gt;"Да",0,MAX(0,IFERROR(SUMIF(INDIRECT("'["&amp;НАСТРОЙКИ!$D$6&amp;"]КРЕДИТЫ'!$S$3:$EO$3"),DC$22,INDIRECT("'["&amp;НАСТРОЙКИ!$D$6&amp;"]КРЕДИТЫ'!$S$38:$EO$38"))/1000000,0)))</f>
        <v>0</v>
      </c>
      <c r="DD71" s="35">
        <f ca="1">IF(НАСТРОЙКИ!$B$6&lt;&gt;"Да",0,MAX(0,IFERROR(SUMIF(INDIRECT("'["&amp;НАСТРОЙКИ!$D$6&amp;"]КРЕДИТЫ'!$S$3:$EO$3"),DD$22,INDIRECT("'["&amp;НАСТРОЙКИ!$D$6&amp;"]КРЕДИТЫ'!$S$38:$EO$38"))/1000000,0)))</f>
        <v>0</v>
      </c>
      <c r="DE71" s="35">
        <f ca="1">IF(НАСТРОЙКИ!$B$6&lt;&gt;"Да",0,MAX(0,IFERROR(SUMIF(INDIRECT("'["&amp;НАСТРОЙКИ!$D$6&amp;"]КРЕДИТЫ'!$S$3:$EO$3"),DE$22,INDIRECT("'["&amp;НАСТРОЙКИ!$D$6&amp;"]КРЕДИТЫ'!$S$38:$EO$38"))/1000000,0)))</f>
        <v>0</v>
      </c>
      <c r="DF71" s="35">
        <f ca="1">IF(НАСТРОЙКИ!$B$6&lt;&gt;"Да",0,MAX(0,IFERROR(SUMIF(INDIRECT("'["&amp;НАСТРОЙКИ!$D$6&amp;"]КРЕДИТЫ'!$S$3:$EO$3"),DF$22,INDIRECT("'["&amp;НАСТРОЙКИ!$D$6&amp;"]КРЕДИТЫ'!$S$38:$EO$38"))/1000000,0)))</f>
        <v>0</v>
      </c>
    </row>
    <row r="72" spans="1:110">
      <c r="A72" s="34" t="s">
        <v>135</v>
      </c>
      <c r="B72" s="34" t="s">
        <v>58</v>
      </c>
      <c r="C72" s="35">
        <f ca="1">IF(НАСТРОЙКИ!$B$6&lt;&gt;"Да",0,MAX(0,IFERROR(SUMIF(INDIRECT("'["&amp;НАСТРОЙКИ!$D$6&amp;"]КРЕДИТЫ'!$S$3:$EO$3"),C$22,INDIRECT("'["&amp;НАСТРОЙКИ!$D$6&amp;"]КРЕДИТЫ'!$S$52:$EO$52"))/1000000,0)))</f>
        <v>0</v>
      </c>
      <c r="D72" s="35">
        <f ca="1">IF(НАСТРОЙКИ!$B$6&lt;&gt;"Да",0,MAX(0,IFERROR(SUMIF(INDIRECT("'["&amp;НАСТРОЙКИ!$D$6&amp;"]КРЕДИТЫ'!$S$3:$EO$3"),D$22,INDIRECT("'["&amp;НАСТРОЙКИ!$D$6&amp;"]КРЕДИТЫ'!$S$52:$EO$52"))/1000000,0)))</f>
        <v>0</v>
      </c>
      <c r="E72" s="35">
        <f ca="1">IF(НАСТРОЙКИ!$B$6&lt;&gt;"Да",0,MAX(0,IFERROR(SUMIF(INDIRECT("'["&amp;НАСТРОЙКИ!$D$6&amp;"]КРЕДИТЫ'!$S$3:$EO$3"),E$22,INDIRECT("'["&amp;НАСТРОЙКИ!$D$6&amp;"]КРЕДИТЫ'!$S$52:$EO$52"))/1000000,0)))</f>
        <v>0</v>
      </c>
      <c r="F72" s="35">
        <f ca="1">IF(НАСТРОЙКИ!$B$6&lt;&gt;"Да",0,MAX(0,IFERROR(SUMIF(INDIRECT("'["&amp;НАСТРОЙКИ!$D$6&amp;"]КРЕДИТЫ'!$S$3:$EO$3"),F$22,INDIRECT("'["&amp;НАСТРОЙКИ!$D$6&amp;"]КРЕДИТЫ'!$S$52:$EO$52"))/1000000,0)))</f>
        <v>0</v>
      </c>
      <c r="G72" s="35">
        <f ca="1">IF(НАСТРОЙКИ!$B$6&lt;&gt;"Да",0,MAX(0,IFERROR(SUMIF(INDIRECT("'["&amp;НАСТРОЙКИ!$D$6&amp;"]КРЕДИТЫ'!$S$3:$EO$3"),G$22,INDIRECT("'["&amp;НАСТРОЙКИ!$D$6&amp;"]КРЕДИТЫ'!$S$52:$EO$52"))/1000000,0)))</f>
        <v>0</v>
      </c>
      <c r="H72" s="35">
        <f ca="1">IF(НАСТРОЙКИ!$B$6&lt;&gt;"Да",0,MAX(0,IFERROR(SUMIF(INDIRECT("'["&amp;НАСТРОЙКИ!$D$6&amp;"]КРЕДИТЫ'!$S$3:$EO$3"),H$22,INDIRECT("'["&amp;НАСТРОЙКИ!$D$6&amp;"]КРЕДИТЫ'!$S$52:$EO$52"))/1000000,0)))</f>
        <v>0</v>
      </c>
      <c r="I72" s="35">
        <f ca="1">IF(НАСТРОЙКИ!$B$6&lt;&gt;"Да",0,MAX(0,IFERROR(SUMIF(INDIRECT("'["&amp;НАСТРОЙКИ!$D$6&amp;"]КРЕДИТЫ'!$S$3:$EO$3"),I$22,INDIRECT("'["&amp;НАСТРОЙКИ!$D$6&amp;"]КРЕДИТЫ'!$S$52:$EO$52"))/1000000,0)))</f>
        <v>0</v>
      </c>
      <c r="J72" s="35">
        <f ca="1">IF(НАСТРОЙКИ!$B$6&lt;&gt;"Да",0,MAX(0,IFERROR(SUMIF(INDIRECT("'["&amp;НАСТРОЙКИ!$D$6&amp;"]КРЕДИТЫ'!$S$3:$EO$3"),J$22,INDIRECT("'["&amp;НАСТРОЙКИ!$D$6&amp;"]КРЕДИТЫ'!$S$52:$EO$52"))/1000000,0)))</f>
        <v>0</v>
      </c>
      <c r="K72" s="35">
        <f ca="1">IF(НАСТРОЙКИ!$B$6&lt;&gt;"Да",0,MAX(0,IFERROR(SUMIF(INDIRECT("'["&amp;НАСТРОЙКИ!$D$6&amp;"]КРЕДИТЫ'!$S$3:$EO$3"),K$22,INDIRECT("'["&amp;НАСТРОЙКИ!$D$6&amp;"]КРЕДИТЫ'!$S$52:$EO$52"))/1000000,0)))</f>
        <v>0</v>
      </c>
      <c r="L72" s="35">
        <f ca="1">IF(НАСТРОЙКИ!$B$6&lt;&gt;"Да",0,MAX(0,IFERROR(SUMIF(INDIRECT("'["&amp;НАСТРОЙКИ!$D$6&amp;"]КРЕДИТЫ'!$S$3:$EO$3"),L$22,INDIRECT("'["&amp;НАСТРОЙКИ!$D$6&amp;"]КРЕДИТЫ'!$S$52:$EO$52"))/1000000,0)))</f>
        <v>0</v>
      </c>
      <c r="M72" s="35">
        <f ca="1">IF(НАСТРОЙКИ!$B$6&lt;&gt;"Да",0,MAX(0,IFERROR(SUMIF(INDIRECT("'["&amp;НАСТРОЙКИ!$D$6&amp;"]КРЕДИТЫ'!$S$3:$EO$3"),M$22,INDIRECT("'["&amp;НАСТРОЙКИ!$D$6&amp;"]КРЕДИТЫ'!$S$52:$EO$52"))/1000000,0)))</f>
        <v>0</v>
      </c>
      <c r="N72" s="35">
        <f ca="1">IF(НАСТРОЙКИ!$B$6&lt;&gt;"Да",0,MAX(0,IFERROR(SUMIF(INDIRECT("'["&amp;НАСТРОЙКИ!$D$6&amp;"]КРЕДИТЫ'!$S$3:$EO$3"),N$22,INDIRECT("'["&amp;НАСТРОЙКИ!$D$6&amp;"]КРЕДИТЫ'!$S$52:$EO$52"))/1000000,0)))</f>
        <v>0</v>
      </c>
      <c r="O72" s="35">
        <f ca="1">IF(НАСТРОЙКИ!$B$6&lt;&gt;"Да",0,MAX(0,IFERROR(SUMIF(INDIRECT("'["&amp;НАСТРОЙКИ!$D$6&amp;"]КРЕДИТЫ'!$S$3:$EO$3"),O$22,INDIRECT("'["&amp;НАСТРОЙКИ!$D$6&amp;"]КРЕДИТЫ'!$S$52:$EO$52"))/1000000,0)))</f>
        <v>0</v>
      </c>
      <c r="P72" s="35">
        <f ca="1">IF(НАСТРОЙКИ!$B$6&lt;&gt;"Да",0,MAX(0,IFERROR(SUMIF(INDIRECT("'["&amp;НАСТРОЙКИ!$D$6&amp;"]КРЕДИТЫ'!$S$3:$EO$3"),P$22,INDIRECT("'["&amp;НАСТРОЙКИ!$D$6&amp;"]КРЕДИТЫ'!$S$52:$EO$52"))/1000000,0)))</f>
        <v>0</v>
      </c>
      <c r="Q72" s="35">
        <f ca="1">IF(НАСТРОЙКИ!$B$6&lt;&gt;"Да",0,MAX(0,IFERROR(SUMIF(INDIRECT("'["&amp;НАСТРОЙКИ!$D$6&amp;"]КРЕДИТЫ'!$S$3:$EO$3"),Q$22,INDIRECT("'["&amp;НАСТРОЙКИ!$D$6&amp;"]КРЕДИТЫ'!$S$52:$EO$52"))/1000000,0)))</f>
        <v>0</v>
      </c>
      <c r="R72" s="35">
        <f ca="1">IF(НАСТРОЙКИ!$B$6&lt;&gt;"Да",0,MAX(0,IFERROR(SUMIF(INDIRECT("'["&amp;НАСТРОЙКИ!$D$6&amp;"]КРЕДИТЫ'!$S$3:$EO$3"),R$22,INDIRECT("'["&amp;НАСТРОЙКИ!$D$6&amp;"]КРЕДИТЫ'!$S$52:$EO$52"))/1000000,0)))</f>
        <v>0</v>
      </c>
      <c r="S72" s="35">
        <f ca="1">IF(НАСТРОЙКИ!$B$6&lt;&gt;"Да",0,MAX(0,IFERROR(SUMIF(INDIRECT("'["&amp;НАСТРОЙКИ!$D$6&amp;"]КРЕДИТЫ'!$S$3:$EO$3"),S$22,INDIRECT("'["&amp;НАСТРОЙКИ!$D$6&amp;"]КРЕДИТЫ'!$S$52:$EO$52"))/1000000,0)))</f>
        <v>0</v>
      </c>
      <c r="T72" s="35">
        <f ca="1">IF(НАСТРОЙКИ!$B$6&lt;&gt;"Да",0,MAX(0,IFERROR(SUMIF(INDIRECT("'["&amp;НАСТРОЙКИ!$D$6&amp;"]КРЕДИТЫ'!$S$3:$EO$3"),T$22,INDIRECT("'["&amp;НАСТРОЙКИ!$D$6&amp;"]КРЕДИТЫ'!$S$52:$EO$52"))/1000000,0)))</f>
        <v>0</v>
      </c>
      <c r="U72" s="35">
        <f ca="1">IF(НАСТРОЙКИ!$B$6&lt;&gt;"Да",0,MAX(0,IFERROR(SUMIF(INDIRECT("'["&amp;НАСТРОЙКИ!$D$6&amp;"]КРЕДИТЫ'!$S$3:$EO$3"),U$22,INDIRECT("'["&amp;НАСТРОЙКИ!$D$6&amp;"]КРЕДИТЫ'!$S$52:$EO$52"))/1000000,0)))</f>
        <v>0</v>
      </c>
      <c r="V72" s="35">
        <f ca="1">IF(НАСТРОЙКИ!$B$6&lt;&gt;"Да",0,MAX(0,IFERROR(SUMIF(INDIRECT("'["&amp;НАСТРОЙКИ!$D$6&amp;"]КРЕДИТЫ'!$S$3:$EO$3"),V$22,INDIRECT("'["&amp;НАСТРОЙКИ!$D$6&amp;"]КРЕДИТЫ'!$S$52:$EO$52"))/1000000,0)))</f>
        <v>0</v>
      </c>
      <c r="W72" s="35">
        <f ca="1">IF(НАСТРОЙКИ!$B$6&lt;&gt;"Да",0,MAX(0,IFERROR(SUMIF(INDIRECT("'["&amp;НАСТРОЙКИ!$D$6&amp;"]КРЕДИТЫ'!$S$3:$EO$3"),W$22,INDIRECT("'["&amp;НАСТРОЙКИ!$D$6&amp;"]КРЕДИТЫ'!$S$52:$EO$52"))/1000000,0)))</f>
        <v>0</v>
      </c>
      <c r="X72" s="35">
        <f ca="1">IF(НАСТРОЙКИ!$B$6&lt;&gt;"Да",0,MAX(0,IFERROR(SUMIF(INDIRECT("'["&amp;НАСТРОЙКИ!$D$6&amp;"]КРЕДИТЫ'!$S$3:$EO$3"),X$22,INDIRECT("'["&amp;НАСТРОЙКИ!$D$6&amp;"]КРЕДИТЫ'!$S$52:$EO$52"))/1000000,0)))</f>
        <v>0</v>
      </c>
      <c r="Y72" s="35">
        <f ca="1">IF(НАСТРОЙКИ!$B$6&lt;&gt;"Да",0,MAX(0,IFERROR(SUMIF(INDIRECT("'["&amp;НАСТРОЙКИ!$D$6&amp;"]КРЕДИТЫ'!$S$3:$EO$3"),Y$22,INDIRECT("'["&amp;НАСТРОЙКИ!$D$6&amp;"]КРЕДИТЫ'!$S$52:$EO$52"))/1000000,0)))</f>
        <v>0</v>
      </c>
      <c r="Z72" s="35">
        <f ca="1">IF(НАСТРОЙКИ!$B$6&lt;&gt;"Да",0,MAX(0,IFERROR(SUMIF(INDIRECT("'["&amp;НАСТРОЙКИ!$D$6&amp;"]КРЕДИТЫ'!$S$3:$EO$3"),Z$22,INDIRECT("'["&amp;НАСТРОЙКИ!$D$6&amp;"]КРЕДИТЫ'!$S$52:$EO$52"))/1000000,0)))</f>
        <v>0</v>
      </c>
      <c r="AA72" s="35">
        <f ca="1">IF(НАСТРОЙКИ!$B$6&lt;&gt;"Да",0,MAX(0,IFERROR(SUMIF(INDIRECT("'["&amp;НАСТРОЙКИ!$D$6&amp;"]КРЕДИТЫ'!$S$3:$EO$3"),AA$22,INDIRECT("'["&amp;НАСТРОЙКИ!$D$6&amp;"]КРЕДИТЫ'!$S$52:$EO$52"))/1000000,0)))</f>
        <v>0</v>
      </c>
      <c r="AB72" s="35">
        <f ca="1">IF(НАСТРОЙКИ!$B$6&lt;&gt;"Да",0,MAX(0,IFERROR(SUMIF(INDIRECT("'["&amp;НАСТРОЙКИ!$D$6&amp;"]КРЕДИТЫ'!$S$3:$EO$3"),AB$22,INDIRECT("'["&amp;НАСТРОЙКИ!$D$6&amp;"]КРЕДИТЫ'!$S$52:$EO$52"))/1000000,0)))</f>
        <v>0</v>
      </c>
      <c r="AC72" s="35">
        <f ca="1">IF(НАСТРОЙКИ!$B$6&lt;&gt;"Да",0,MAX(0,IFERROR(SUMIF(INDIRECT("'["&amp;НАСТРОЙКИ!$D$6&amp;"]КРЕДИТЫ'!$S$3:$EO$3"),AC$22,INDIRECT("'["&amp;НАСТРОЙКИ!$D$6&amp;"]КРЕДИТЫ'!$S$52:$EO$52"))/1000000,0)))</f>
        <v>0</v>
      </c>
      <c r="AD72" s="35">
        <f ca="1">IF(НАСТРОЙКИ!$B$6&lt;&gt;"Да",0,MAX(0,IFERROR(SUMIF(INDIRECT("'["&amp;НАСТРОЙКИ!$D$6&amp;"]КРЕДИТЫ'!$S$3:$EO$3"),AD$22,INDIRECT("'["&amp;НАСТРОЙКИ!$D$6&amp;"]КРЕДИТЫ'!$S$52:$EO$52"))/1000000,0)))</f>
        <v>0</v>
      </c>
      <c r="AE72" s="35">
        <f ca="1">IF(НАСТРОЙКИ!$B$6&lt;&gt;"Да",0,MAX(0,IFERROR(SUMIF(INDIRECT("'["&amp;НАСТРОЙКИ!$D$6&amp;"]КРЕДИТЫ'!$S$3:$EO$3"),AE$22,INDIRECT("'["&amp;НАСТРОЙКИ!$D$6&amp;"]КРЕДИТЫ'!$S$52:$EO$52"))/1000000,0)))</f>
        <v>0</v>
      </c>
      <c r="AF72" s="35">
        <f ca="1">IF(НАСТРОЙКИ!$B$6&lt;&gt;"Да",0,MAX(0,IFERROR(SUMIF(INDIRECT("'["&amp;НАСТРОЙКИ!$D$6&amp;"]КРЕДИТЫ'!$S$3:$EO$3"),AF$22,INDIRECT("'["&amp;НАСТРОЙКИ!$D$6&amp;"]КРЕДИТЫ'!$S$52:$EO$52"))/1000000,0)))</f>
        <v>0</v>
      </c>
      <c r="AG72" s="35">
        <f ca="1">IF(НАСТРОЙКИ!$B$6&lt;&gt;"Да",0,MAX(0,IFERROR(SUMIF(INDIRECT("'["&amp;НАСТРОЙКИ!$D$6&amp;"]КРЕДИТЫ'!$S$3:$EO$3"),AG$22,INDIRECT("'["&amp;НАСТРОЙКИ!$D$6&amp;"]КРЕДИТЫ'!$S$52:$EO$52"))/1000000,0)))</f>
        <v>3366.4597915062873</v>
      </c>
      <c r="AH72" s="35">
        <f ca="1">IF(НАСТРОЙКИ!$B$6&lt;&gt;"Да",0,MAX(0,IFERROR(SUMIF(INDIRECT("'["&amp;НАСТРОЙКИ!$D$6&amp;"]КРЕДИТЫ'!$S$3:$EO$3"),AH$22,INDIRECT("'["&amp;НАСТРОЙКИ!$D$6&amp;"]КРЕДИТЫ'!$S$52:$EO$52"))/1000000,0)))</f>
        <v>4213.2245666607005</v>
      </c>
      <c r="AI72" s="35">
        <f ca="1">IF(НАСТРОЙКИ!$B$6&lt;&gt;"Да",0,MAX(0,IFERROR(SUMIF(INDIRECT("'["&amp;НАСТРОЙКИ!$D$6&amp;"]КРЕДИТЫ'!$S$3:$EO$3"),AI$22,INDIRECT("'["&amp;НАСТРОЙКИ!$D$6&amp;"]КРЕДИТЫ'!$S$52:$EO$52"))/1000000,0)))</f>
        <v>5090.3039298955418</v>
      </c>
      <c r="AJ72" s="35">
        <f ca="1">IF(НАСТРОЙКИ!$B$6&lt;&gt;"Да",0,MAX(0,IFERROR(SUMIF(INDIRECT("'["&amp;НАСТРОЙКИ!$D$6&amp;"]КРЕДИТЫ'!$S$3:$EO$3"),AJ$22,INDIRECT("'["&amp;НАСТРОЙКИ!$D$6&amp;"]КРЕДИТЫ'!$S$52:$EO$52"))/1000000,0)))</f>
        <v>5967.3832931303832</v>
      </c>
      <c r="AK72" s="35">
        <f ca="1">IF(НАСТРОЙКИ!$B$6&lt;&gt;"Да",0,MAX(0,IFERROR(SUMIF(INDIRECT("'["&amp;НАСТРОЙКИ!$D$6&amp;"]КРЕДИТЫ'!$S$3:$EO$3"),AK$22,INDIRECT("'["&amp;НАСТРОЙКИ!$D$6&amp;"]КРЕДИТЫ'!$S$52:$EO$52"))/1000000,0)))</f>
        <v>6844.4626563652246</v>
      </c>
      <c r="AL72" s="35">
        <f ca="1">IF(НАСТРОЙКИ!$B$6&lt;&gt;"Да",0,MAX(0,IFERROR(SUMIF(INDIRECT("'["&amp;НАСТРОЙКИ!$D$6&amp;"]КРЕДИТЫ'!$S$3:$EO$3"),AL$22,INDIRECT("'["&amp;НАСТРОЙКИ!$D$6&amp;"]КРЕДИТЫ'!$S$52:$EO$52"))/1000000,0)))</f>
        <v>7721.5420196000659</v>
      </c>
      <c r="AM72" s="35">
        <f ca="1">IF(НАСТРОЙКИ!$B$6&lt;&gt;"Да",0,MAX(0,IFERROR(SUMIF(INDIRECT("'["&amp;НАСТРОЙКИ!$D$6&amp;"]КРЕДИТЫ'!$S$3:$EO$3"),AM$22,INDIRECT("'["&amp;НАСТРОЙКИ!$D$6&amp;"]КРЕДИТЫ'!$S$52:$EO$52"))/1000000,0)))</f>
        <v>8598.6213828349082</v>
      </c>
      <c r="AN72" s="35">
        <f ca="1">IF(НАСТРОЙКИ!$B$6&lt;&gt;"Да",0,MAX(0,IFERROR(SUMIF(INDIRECT("'["&amp;НАСТРОЙКИ!$D$6&amp;"]КРЕДИТЫ'!$S$3:$EO$3"),AN$22,INDIRECT("'["&amp;НАСТРОЙКИ!$D$6&amp;"]КРЕДИТЫ'!$S$52:$EO$52"))/1000000,0)))</f>
        <v>9592.9703460697474</v>
      </c>
      <c r="AO72" s="35">
        <f ca="1">IF(НАСТРОЙКИ!$B$6&lt;&gt;"Да",0,MAX(0,IFERROR(SUMIF(INDIRECT("'["&amp;НАСТРОЙКИ!$D$6&amp;"]КРЕДИТЫ'!$S$3:$EO$3"),AO$22,INDIRECT("'["&amp;НАСТРОЙКИ!$D$6&amp;"]КРЕДИТЫ'!$S$52:$EO$52"))/1000000,0)))</f>
        <v>10587.319309304588</v>
      </c>
      <c r="AP72" s="35">
        <f ca="1">IF(НАСТРОЙКИ!$B$6&lt;&gt;"Да",0,MAX(0,IFERROR(SUMIF(INDIRECT("'["&amp;НАСТРОЙКИ!$D$6&amp;"]КРЕДИТЫ'!$S$3:$EO$3"),AP$22,INDIRECT("'["&amp;НАСТРОЙКИ!$D$6&amp;"]КРЕДИТЫ'!$S$52:$EO$52"))/1000000,0)))</f>
        <v>11581.668272539429</v>
      </c>
      <c r="AQ72" s="35">
        <f ca="1">IF(НАСТРОЙКИ!$B$6&lt;&gt;"Да",0,MAX(0,IFERROR(SUMIF(INDIRECT("'["&amp;НАСТРОЙКИ!$D$6&amp;"]КРЕДИТЫ'!$S$3:$EO$3"),AQ$22,INDIRECT("'["&amp;НАСТРОЙКИ!$D$6&amp;"]КРЕДИТЫ'!$S$52:$EO$52"))/1000000,0)))</f>
        <v>12576.017235774269</v>
      </c>
      <c r="AR72" s="35">
        <f ca="1">IF(НАСТРОЙКИ!$B$6&lt;&gt;"Да",0,MAX(0,IFERROR(SUMIF(INDIRECT("'["&amp;НАСТРОЙКИ!$D$6&amp;"]КРЕДИТЫ'!$S$3:$EO$3"),AR$22,INDIRECT("'["&amp;НАСТРОЙКИ!$D$6&amp;"]КРЕДИТЫ'!$S$52:$EO$52"))/1000000,0)))</f>
        <v>13570.36619900911</v>
      </c>
      <c r="AS72" s="35">
        <f ca="1">IF(НАСТРОЙКИ!$B$6&lt;&gt;"Да",0,MAX(0,IFERROR(SUMIF(INDIRECT("'["&amp;НАСТРОЙКИ!$D$6&amp;"]КРЕДИТЫ'!$S$3:$EO$3"),AS$22,INDIRECT("'["&amp;НАСТРОЙКИ!$D$6&amp;"]КРЕДИТЫ'!$S$52:$EO$52"))/1000000,0)))</f>
        <v>14564.715162243951</v>
      </c>
      <c r="AT72" s="35">
        <f ca="1">IF(НАСТРОЙКИ!$B$6&lt;&gt;"Да",0,MAX(0,IFERROR(SUMIF(INDIRECT("'["&amp;НАСТРОЙКИ!$D$6&amp;"]КРЕДИТЫ'!$S$3:$EO$3"),AT$22,INDIRECT("'["&amp;НАСТРОЙКИ!$D$6&amp;"]КРЕДИТЫ'!$S$52:$EO$52"))/1000000,0)))</f>
        <v>15559.06412547879</v>
      </c>
      <c r="AU72" s="35">
        <f ca="1">IF(НАСТРОЙКИ!$B$6&lt;&gt;"Да",0,MAX(0,IFERROR(SUMIF(INDIRECT("'["&amp;НАСТРОЙКИ!$D$6&amp;"]КРЕДИТЫ'!$S$3:$EO$3"),AU$22,INDIRECT("'["&amp;НАСТРОЙКИ!$D$6&amp;"]КРЕДИТЫ'!$S$52:$EO$52"))/1000000,0)))</f>
        <v>16553.413088713631</v>
      </c>
      <c r="AV72" s="35">
        <f ca="1">IF(НАСТРОЙКИ!$B$6&lt;&gt;"Да",0,MAX(0,IFERROR(SUMIF(INDIRECT("'["&amp;НАСТРОЙКИ!$D$6&amp;"]КРЕДИТЫ'!$S$3:$EO$3"),AV$22,INDIRECT("'["&amp;НАСТРОЙКИ!$D$6&amp;"]КРЕДИТЫ'!$S$52:$EO$52"))/1000000,0)))</f>
        <v>17547.76205194847</v>
      </c>
      <c r="AW72" s="35">
        <f ca="1">IF(НАСТРОЙКИ!$B$6&lt;&gt;"Да",0,MAX(0,IFERROR(SUMIF(INDIRECT("'["&amp;НАСТРОЙКИ!$D$6&amp;"]КРЕДИТЫ'!$S$3:$EO$3"),AW$22,INDIRECT("'["&amp;НАСТРОЙКИ!$D$6&amp;"]КРЕДИТЫ'!$S$52:$EO$52"))/1000000,0)))</f>
        <v>18542.111015183313</v>
      </c>
      <c r="AX72" s="35">
        <f ca="1">IF(НАСТРОЙКИ!$B$6&lt;&gt;"Да",0,MAX(0,IFERROR(SUMIF(INDIRECT("'["&amp;НАСТРОЙКИ!$D$6&amp;"]КРЕДИТЫ'!$S$3:$EO$3"),AX$22,INDIRECT("'["&amp;НАСТРОЙКИ!$D$6&amp;"]КРЕДИТЫ'!$S$52:$EO$52"))/1000000,0)))</f>
        <v>19536.459978418152</v>
      </c>
      <c r="AY72" s="35">
        <f ca="1">IF(НАСТРОЙКИ!$B$6&lt;&gt;"Да",0,MAX(0,IFERROR(SUMIF(INDIRECT("'["&amp;НАСТРОЙКИ!$D$6&amp;"]КРЕДИТЫ'!$S$3:$EO$3"),AY$22,INDIRECT("'["&amp;НАСТРОЙКИ!$D$6&amp;"]КРЕДИТЫ'!$S$52:$EO$52"))/1000000,0)))</f>
        <v>20530.808941652991</v>
      </c>
      <c r="AZ72" s="35">
        <f ca="1">IF(НАСТРОЙКИ!$B$6&lt;&gt;"Да",0,MAX(0,IFERROR(SUMIF(INDIRECT("'["&amp;НАСТРОЙКИ!$D$6&amp;"]КРЕДИТЫ'!$S$3:$EO$3"),AZ$22,INDIRECT("'["&amp;НАСТРОЙКИ!$D$6&amp;"]КРЕДИТЫ'!$S$52:$EO$52"))/1000000,0)))</f>
        <v>21525.157904887834</v>
      </c>
      <c r="BA72" s="35">
        <f ca="1">IF(НАСТРОЙКИ!$B$6&lt;&gt;"Да",0,MAX(0,IFERROR(SUMIF(INDIRECT("'["&amp;НАСТРОЙКИ!$D$6&amp;"]КРЕДИТЫ'!$S$3:$EO$3"),BA$22,INDIRECT("'["&amp;НАСТРОЙКИ!$D$6&amp;"]КРЕДИТЫ'!$S$52:$EO$52"))/1000000,0)))</f>
        <v>22519.506868122673</v>
      </c>
      <c r="BB72" s="35">
        <f ca="1">IF(НАСТРОЙКИ!$B$6&lt;&gt;"Да",0,MAX(0,IFERROR(SUMIF(INDIRECT("'["&amp;НАСТРОЙКИ!$D$6&amp;"]КРЕДИТЫ'!$S$3:$EO$3"),BB$22,INDIRECT("'["&amp;НАСТРОЙКИ!$D$6&amp;"]КРЕДИТЫ'!$S$52:$EO$52"))/1000000,0)))</f>
        <v>23548.389980114389</v>
      </c>
      <c r="BC72" s="35">
        <f ca="1">IF(НАСТРОЙКИ!$B$6&lt;&gt;"Да",0,MAX(0,IFERROR(SUMIF(INDIRECT("'["&amp;НАСТРОЙКИ!$D$6&amp;"]КРЕДИТЫ'!$S$3:$EO$3"),BC$22,INDIRECT("'["&amp;НАСТРОЙКИ!$D$6&amp;"]КРЕДИТЫ'!$S$52:$EO$52"))/1000000,0)))</f>
        <v>24821.370411301825</v>
      </c>
      <c r="BD72" s="35">
        <f ca="1">IF(НАСТРОЙКИ!$B$6&lt;&gt;"Да",0,MAX(0,IFERROR(SUMIF(INDIRECT("'["&amp;НАСТРОЙКИ!$D$6&amp;"]КРЕДИТЫ'!$S$3:$EO$3"),BD$22,INDIRECT("'["&amp;НАСТРОЙКИ!$D$6&amp;"]КРЕДИТЫ'!$S$52:$EO$52"))/1000000,0)))</f>
        <v>27765.554951234266</v>
      </c>
      <c r="BE72" s="35">
        <f ca="1">IF(НАСТРОЙКИ!$B$6&lt;&gt;"Да",0,MAX(0,IFERROR(SUMIF(INDIRECT("'["&amp;НАСТРОЙКИ!$D$6&amp;"]КРЕДИТЫ'!$S$3:$EO$3"),BE$22,INDIRECT("'["&amp;НАСТРОЙКИ!$D$6&amp;"]КРЕДИТЫ'!$S$52:$EO$52"))/1000000,0)))</f>
        <v>0</v>
      </c>
      <c r="BF72" s="35">
        <f ca="1">IF(НАСТРОЙКИ!$B$6&lt;&gt;"Да",0,MAX(0,IFERROR(SUMIF(INDIRECT("'["&amp;НАСТРОЙКИ!$D$6&amp;"]КРЕДИТЫ'!$S$3:$EO$3"),BF$22,INDIRECT("'["&amp;НАСТРОЙКИ!$D$6&amp;"]КРЕДИТЫ'!$S$52:$EO$52"))/1000000,0)))</f>
        <v>0</v>
      </c>
      <c r="BG72" s="35">
        <f ca="1">IF(НАСТРОЙКИ!$B$6&lt;&gt;"Да",0,MAX(0,IFERROR(SUMIF(INDIRECT("'["&amp;НАСТРОЙКИ!$D$6&amp;"]КРЕДИТЫ'!$S$3:$EO$3"),BG$22,INDIRECT("'["&amp;НАСТРОЙКИ!$D$6&amp;"]КРЕДИТЫ'!$S$52:$EO$52"))/1000000,0)))</f>
        <v>0</v>
      </c>
      <c r="BH72" s="35">
        <f ca="1">IF(НАСТРОЙКИ!$B$6&lt;&gt;"Да",0,MAX(0,IFERROR(SUMIF(INDIRECT("'["&amp;НАСТРОЙКИ!$D$6&amp;"]КРЕДИТЫ'!$S$3:$EO$3"),BH$22,INDIRECT("'["&amp;НАСТРОЙКИ!$D$6&amp;"]КРЕДИТЫ'!$S$52:$EO$52"))/1000000,0)))</f>
        <v>0</v>
      </c>
      <c r="BI72" s="35">
        <f ca="1">IF(НАСТРОЙКИ!$B$6&lt;&gt;"Да",0,MAX(0,IFERROR(SUMIF(INDIRECT("'["&amp;НАСТРОЙКИ!$D$6&amp;"]КРЕДИТЫ'!$S$3:$EO$3"),BI$22,INDIRECT("'["&amp;НАСТРОЙКИ!$D$6&amp;"]КРЕДИТЫ'!$S$52:$EO$52"))/1000000,0)))</f>
        <v>0</v>
      </c>
      <c r="BJ72" s="35">
        <f ca="1">IF(НАСТРОЙКИ!$B$6&lt;&gt;"Да",0,MAX(0,IFERROR(SUMIF(INDIRECT("'["&amp;НАСТРОЙКИ!$D$6&amp;"]КРЕДИТЫ'!$S$3:$EO$3"),BJ$22,INDIRECT("'["&amp;НАСТРОЙКИ!$D$6&amp;"]КРЕДИТЫ'!$S$52:$EO$52"))/1000000,0)))</f>
        <v>0</v>
      </c>
      <c r="BK72" s="35">
        <f ca="1">IF(НАСТРОЙКИ!$B$6&lt;&gt;"Да",0,MAX(0,IFERROR(SUMIF(INDIRECT("'["&amp;НАСТРОЙКИ!$D$6&amp;"]КРЕДИТЫ'!$S$3:$EO$3"),BK$22,INDIRECT("'["&amp;НАСТРОЙКИ!$D$6&amp;"]КРЕДИТЫ'!$S$52:$EO$52"))/1000000,0)))</f>
        <v>0</v>
      </c>
      <c r="BL72" s="35">
        <f ca="1">IF(НАСТРОЙКИ!$B$6&lt;&gt;"Да",0,MAX(0,IFERROR(SUMIF(INDIRECT("'["&amp;НАСТРОЙКИ!$D$6&amp;"]КРЕДИТЫ'!$S$3:$EO$3"),BL$22,INDIRECT("'["&amp;НАСТРОЙКИ!$D$6&amp;"]КРЕДИТЫ'!$S$52:$EO$52"))/1000000,0)))</f>
        <v>0</v>
      </c>
      <c r="BM72" s="35">
        <f ca="1">IF(НАСТРОЙКИ!$B$6&lt;&gt;"Да",0,MAX(0,IFERROR(SUMIF(INDIRECT("'["&amp;НАСТРОЙКИ!$D$6&amp;"]КРЕДИТЫ'!$S$3:$EO$3"),BM$22,INDIRECT("'["&amp;НАСТРОЙКИ!$D$6&amp;"]КРЕДИТЫ'!$S$52:$EO$52"))/1000000,0)))</f>
        <v>0</v>
      </c>
      <c r="BN72" s="35">
        <f ca="1">IF(НАСТРОЙКИ!$B$6&lt;&gt;"Да",0,MAX(0,IFERROR(SUMIF(INDIRECT("'["&amp;НАСТРОЙКИ!$D$6&amp;"]КРЕДИТЫ'!$S$3:$EO$3"),BN$22,INDIRECT("'["&amp;НАСТРОЙКИ!$D$6&amp;"]КРЕДИТЫ'!$S$52:$EO$52"))/1000000,0)))</f>
        <v>0</v>
      </c>
      <c r="BO72" s="35">
        <f ca="1">IF(НАСТРОЙКИ!$B$6&lt;&gt;"Да",0,MAX(0,IFERROR(SUMIF(INDIRECT("'["&amp;НАСТРОЙКИ!$D$6&amp;"]КРЕДИТЫ'!$S$3:$EO$3"),BO$22,INDIRECT("'["&amp;НАСТРОЙКИ!$D$6&amp;"]КРЕДИТЫ'!$S$52:$EO$52"))/1000000,0)))</f>
        <v>0</v>
      </c>
      <c r="BP72" s="35">
        <f ca="1">IF(НАСТРОЙКИ!$B$6&lt;&gt;"Да",0,MAX(0,IFERROR(SUMIF(INDIRECT("'["&amp;НАСТРОЙКИ!$D$6&amp;"]КРЕДИТЫ'!$S$3:$EO$3"),BP$22,INDIRECT("'["&amp;НАСТРОЙКИ!$D$6&amp;"]КРЕДИТЫ'!$S$52:$EO$52"))/1000000,0)))</f>
        <v>0</v>
      </c>
      <c r="BQ72" s="35">
        <f ca="1">IF(НАСТРОЙКИ!$B$6&lt;&gt;"Да",0,MAX(0,IFERROR(SUMIF(INDIRECT("'["&amp;НАСТРОЙКИ!$D$6&amp;"]КРЕДИТЫ'!$S$3:$EO$3"),BQ$22,INDIRECT("'["&amp;НАСТРОЙКИ!$D$6&amp;"]КРЕДИТЫ'!$S$52:$EO$52"))/1000000,0)))</f>
        <v>0</v>
      </c>
      <c r="BR72" s="35">
        <f ca="1">IF(НАСТРОЙКИ!$B$6&lt;&gt;"Да",0,MAX(0,IFERROR(SUMIF(INDIRECT("'["&amp;НАСТРОЙКИ!$D$6&amp;"]КРЕДИТЫ'!$S$3:$EO$3"),BR$22,INDIRECT("'["&amp;НАСТРОЙКИ!$D$6&amp;"]КРЕДИТЫ'!$S$52:$EO$52"))/1000000,0)))</f>
        <v>0</v>
      </c>
      <c r="BS72" s="35">
        <f ca="1">IF(НАСТРОЙКИ!$B$6&lt;&gt;"Да",0,MAX(0,IFERROR(SUMIF(INDIRECT("'["&amp;НАСТРОЙКИ!$D$6&amp;"]КРЕДИТЫ'!$S$3:$EO$3"),BS$22,INDIRECT("'["&amp;НАСТРОЙКИ!$D$6&amp;"]КРЕДИТЫ'!$S$52:$EO$52"))/1000000,0)))</f>
        <v>0</v>
      </c>
      <c r="BT72" s="35">
        <f ca="1">IF(НАСТРОЙКИ!$B$6&lt;&gt;"Да",0,MAX(0,IFERROR(SUMIF(INDIRECT("'["&amp;НАСТРОЙКИ!$D$6&amp;"]КРЕДИТЫ'!$S$3:$EO$3"),BT$22,INDIRECT("'["&amp;НАСТРОЙКИ!$D$6&amp;"]КРЕДИТЫ'!$S$52:$EO$52"))/1000000,0)))</f>
        <v>0</v>
      </c>
      <c r="BU72" s="35">
        <f ca="1">IF(НАСТРОЙКИ!$B$6&lt;&gt;"Да",0,MAX(0,IFERROR(SUMIF(INDIRECT("'["&amp;НАСТРОЙКИ!$D$6&amp;"]КРЕДИТЫ'!$S$3:$EO$3"),BU$22,INDIRECT("'["&amp;НАСТРОЙКИ!$D$6&amp;"]КРЕДИТЫ'!$S$52:$EO$52"))/1000000,0)))</f>
        <v>0</v>
      </c>
      <c r="BV72" s="35">
        <f ca="1">IF(НАСТРОЙКИ!$B$6&lt;&gt;"Да",0,MAX(0,IFERROR(SUMIF(INDIRECT("'["&amp;НАСТРОЙКИ!$D$6&amp;"]КРЕДИТЫ'!$S$3:$EO$3"),BV$22,INDIRECT("'["&amp;НАСТРОЙКИ!$D$6&amp;"]КРЕДИТЫ'!$S$52:$EO$52"))/1000000,0)))</f>
        <v>0</v>
      </c>
      <c r="BW72" s="35">
        <f ca="1">IF(НАСТРОЙКИ!$B$6&lt;&gt;"Да",0,MAX(0,IFERROR(SUMIF(INDIRECT("'["&amp;НАСТРОЙКИ!$D$6&amp;"]КРЕДИТЫ'!$S$3:$EO$3"),BW$22,INDIRECT("'["&amp;НАСТРОЙКИ!$D$6&amp;"]КРЕДИТЫ'!$S$52:$EO$52"))/1000000,0)))</f>
        <v>0</v>
      </c>
      <c r="BX72" s="35">
        <f ca="1">IF(НАСТРОЙКИ!$B$6&lt;&gt;"Да",0,MAX(0,IFERROR(SUMIF(INDIRECT("'["&amp;НАСТРОЙКИ!$D$6&amp;"]КРЕДИТЫ'!$S$3:$EO$3"),BX$22,INDIRECT("'["&amp;НАСТРОЙКИ!$D$6&amp;"]КРЕДИТЫ'!$S$52:$EO$52"))/1000000,0)))</f>
        <v>0</v>
      </c>
      <c r="BY72" s="35">
        <f ca="1">IF(НАСТРОЙКИ!$B$6&lt;&gt;"Да",0,MAX(0,IFERROR(SUMIF(INDIRECT("'["&amp;НАСТРОЙКИ!$D$6&amp;"]КРЕДИТЫ'!$S$3:$EO$3"),BY$22,INDIRECT("'["&amp;НАСТРОЙКИ!$D$6&amp;"]КРЕДИТЫ'!$S$52:$EO$52"))/1000000,0)))</f>
        <v>0</v>
      </c>
      <c r="BZ72" s="35">
        <f ca="1">IF(НАСТРОЙКИ!$B$6&lt;&gt;"Да",0,MAX(0,IFERROR(SUMIF(INDIRECT("'["&amp;НАСТРОЙКИ!$D$6&amp;"]КРЕДИТЫ'!$S$3:$EO$3"),BZ$22,INDIRECT("'["&amp;НАСТРОЙКИ!$D$6&amp;"]КРЕДИТЫ'!$S$52:$EO$52"))/1000000,0)))</f>
        <v>0</v>
      </c>
      <c r="CA72" s="35">
        <f ca="1">IF(НАСТРОЙКИ!$B$6&lt;&gt;"Да",0,MAX(0,IFERROR(SUMIF(INDIRECT("'["&amp;НАСТРОЙКИ!$D$6&amp;"]КРЕДИТЫ'!$S$3:$EO$3"),CA$22,INDIRECT("'["&amp;НАСТРОЙКИ!$D$6&amp;"]КРЕДИТЫ'!$S$52:$EO$52"))/1000000,0)))</f>
        <v>0</v>
      </c>
      <c r="CB72" s="35">
        <f ca="1">IF(НАСТРОЙКИ!$B$6&lt;&gt;"Да",0,MAX(0,IFERROR(SUMIF(INDIRECT("'["&amp;НАСТРОЙКИ!$D$6&amp;"]КРЕДИТЫ'!$S$3:$EO$3"),CB$22,INDIRECT("'["&amp;НАСТРОЙКИ!$D$6&amp;"]КРЕДИТЫ'!$S$52:$EO$52"))/1000000,0)))</f>
        <v>0</v>
      </c>
      <c r="CC72" s="35">
        <f ca="1">IF(НАСТРОЙКИ!$B$6&lt;&gt;"Да",0,MAX(0,IFERROR(SUMIF(INDIRECT("'["&amp;НАСТРОЙКИ!$D$6&amp;"]КРЕДИТЫ'!$S$3:$EO$3"),CC$22,INDIRECT("'["&amp;НАСТРОЙКИ!$D$6&amp;"]КРЕДИТЫ'!$S$52:$EO$52"))/1000000,0)))</f>
        <v>0</v>
      </c>
      <c r="CD72" s="35">
        <f ca="1">IF(НАСТРОЙКИ!$B$6&lt;&gt;"Да",0,MAX(0,IFERROR(SUMIF(INDIRECT("'["&amp;НАСТРОЙКИ!$D$6&amp;"]КРЕДИТЫ'!$S$3:$EO$3"),CD$22,INDIRECT("'["&amp;НАСТРОЙКИ!$D$6&amp;"]КРЕДИТЫ'!$S$52:$EO$52"))/1000000,0)))</f>
        <v>0</v>
      </c>
      <c r="CE72" s="35">
        <f ca="1">IF(НАСТРОЙКИ!$B$6&lt;&gt;"Да",0,MAX(0,IFERROR(SUMIF(INDIRECT("'["&amp;НАСТРОЙКИ!$D$6&amp;"]КРЕДИТЫ'!$S$3:$EO$3"),CE$22,INDIRECT("'["&amp;НАСТРОЙКИ!$D$6&amp;"]КРЕДИТЫ'!$S$52:$EO$52"))/1000000,0)))</f>
        <v>0</v>
      </c>
      <c r="CF72" s="35">
        <f ca="1">IF(НАСТРОЙКИ!$B$6&lt;&gt;"Да",0,MAX(0,IFERROR(SUMIF(INDIRECT("'["&amp;НАСТРОЙКИ!$D$6&amp;"]КРЕДИТЫ'!$S$3:$EO$3"),CF$22,INDIRECT("'["&amp;НАСТРОЙКИ!$D$6&amp;"]КРЕДИТЫ'!$S$52:$EO$52"))/1000000,0)))</f>
        <v>0</v>
      </c>
      <c r="CG72" s="35">
        <f ca="1">IF(НАСТРОЙКИ!$B$6&lt;&gt;"Да",0,MAX(0,IFERROR(SUMIF(INDIRECT("'["&amp;НАСТРОЙКИ!$D$6&amp;"]КРЕДИТЫ'!$S$3:$EO$3"),CG$22,INDIRECT("'["&amp;НАСТРОЙКИ!$D$6&amp;"]КРЕДИТЫ'!$S$52:$EO$52"))/1000000,0)))</f>
        <v>0</v>
      </c>
      <c r="CH72" s="35">
        <f ca="1">IF(НАСТРОЙКИ!$B$6&lt;&gt;"Да",0,MAX(0,IFERROR(SUMIF(INDIRECT("'["&amp;НАСТРОЙКИ!$D$6&amp;"]КРЕДИТЫ'!$S$3:$EO$3"),CH$22,INDIRECT("'["&amp;НАСТРОЙКИ!$D$6&amp;"]КРЕДИТЫ'!$S$52:$EO$52"))/1000000,0)))</f>
        <v>0</v>
      </c>
      <c r="CI72" s="35">
        <f ca="1">IF(НАСТРОЙКИ!$B$6&lt;&gt;"Да",0,MAX(0,IFERROR(SUMIF(INDIRECT("'["&amp;НАСТРОЙКИ!$D$6&amp;"]КРЕДИТЫ'!$S$3:$EO$3"),CI$22,INDIRECT("'["&amp;НАСТРОЙКИ!$D$6&amp;"]КРЕДИТЫ'!$S$52:$EO$52"))/1000000,0)))</f>
        <v>0</v>
      </c>
      <c r="CJ72" s="35">
        <f ca="1">IF(НАСТРОЙКИ!$B$6&lt;&gt;"Да",0,MAX(0,IFERROR(SUMIF(INDIRECT("'["&amp;НАСТРОЙКИ!$D$6&amp;"]КРЕДИТЫ'!$S$3:$EO$3"),CJ$22,INDIRECT("'["&amp;НАСТРОЙКИ!$D$6&amp;"]КРЕДИТЫ'!$S$52:$EO$52"))/1000000,0)))</f>
        <v>0</v>
      </c>
      <c r="CK72" s="35">
        <f ca="1">IF(НАСТРОЙКИ!$B$6&lt;&gt;"Да",0,MAX(0,IFERROR(SUMIF(INDIRECT("'["&amp;НАСТРОЙКИ!$D$6&amp;"]КРЕДИТЫ'!$S$3:$EO$3"),CK$22,INDIRECT("'["&amp;НАСТРОЙКИ!$D$6&amp;"]КРЕДИТЫ'!$S$52:$EO$52"))/1000000,0)))</f>
        <v>0</v>
      </c>
      <c r="CL72" s="35">
        <f ca="1">IF(НАСТРОЙКИ!$B$6&lt;&gt;"Да",0,MAX(0,IFERROR(SUMIF(INDIRECT("'["&amp;НАСТРОЙКИ!$D$6&amp;"]КРЕДИТЫ'!$S$3:$EO$3"),CL$22,INDIRECT("'["&amp;НАСТРОЙКИ!$D$6&amp;"]КРЕДИТЫ'!$S$52:$EO$52"))/1000000,0)))</f>
        <v>0</v>
      </c>
      <c r="CM72" s="35">
        <f ca="1">IF(НАСТРОЙКИ!$B$6&lt;&gt;"Да",0,MAX(0,IFERROR(SUMIF(INDIRECT("'["&amp;НАСТРОЙКИ!$D$6&amp;"]КРЕДИТЫ'!$S$3:$EO$3"),CM$22,INDIRECT("'["&amp;НАСТРОЙКИ!$D$6&amp;"]КРЕДИТЫ'!$S$52:$EO$52"))/1000000,0)))</f>
        <v>0</v>
      </c>
      <c r="CN72" s="35">
        <f ca="1">IF(НАСТРОЙКИ!$B$6&lt;&gt;"Да",0,MAX(0,IFERROR(SUMIF(INDIRECT("'["&amp;НАСТРОЙКИ!$D$6&amp;"]КРЕДИТЫ'!$S$3:$EO$3"),CN$22,INDIRECT("'["&amp;НАСТРОЙКИ!$D$6&amp;"]КРЕДИТЫ'!$S$52:$EO$52"))/1000000,0)))</f>
        <v>0</v>
      </c>
      <c r="CO72" s="35">
        <f ca="1">IF(НАСТРОЙКИ!$B$6&lt;&gt;"Да",0,MAX(0,IFERROR(SUMIF(INDIRECT("'["&amp;НАСТРОЙКИ!$D$6&amp;"]КРЕДИТЫ'!$S$3:$EO$3"),CO$22,INDIRECT("'["&amp;НАСТРОЙКИ!$D$6&amp;"]КРЕДИТЫ'!$S$52:$EO$52"))/1000000,0)))</f>
        <v>0</v>
      </c>
      <c r="CP72" s="35">
        <f ca="1">IF(НАСТРОЙКИ!$B$6&lt;&gt;"Да",0,MAX(0,IFERROR(SUMIF(INDIRECT("'["&amp;НАСТРОЙКИ!$D$6&amp;"]КРЕДИТЫ'!$S$3:$EO$3"),CP$22,INDIRECT("'["&amp;НАСТРОЙКИ!$D$6&amp;"]КРЕДИТЫ'!$S$52:$EO$52"))/1000000,0)))</f>
        <v>0</v>
      </c>
      <c r="CQ72" s="35">
        <f ca="1">IF(НАСТРОЙКИ!$B$6&lt;&gt;"Да",0,MAX(0,IFERROR(SUMIF(INDIRECT("'["&amp;НАСТРОЙКИ!$D$6&amp;"]КРЕДИТЫ'!$S$3:$EO$3"),CQ$22,INDIRECT("'["&amp;НАСТРОЙКИ!$D$6&amp;"]КРЕДИТЫ'!$S$52:$EO$52"))/1000000,0)))</f>
        <v>0</v>
      </c>
      <c r="CR72" s="35">
        <f ca="1">IF(НАСТРОЙКИ!$B$6&lt;&gt;"Да",0,MAX(0,IFERROR(SUMIF(INDIRECT("'["&amp;НАСТРОЙКИ!$D$6&amp;"]КРЕДИТЫ'!$S$3:$EO$3"),CR$22,INDIRECT("'["&amp;НАСТРОЙКИ!$D$6&amp;"]КРЕДИТЫ'!$S$52:$EO$52"))/1000000,0)))</f>
        <v>0</v>
      </c>
      <c r="CS72" s="35">
        <f ca="1">IF(НАСТРОЙКИ!$B$6&lt;&gt;"Да",0,MAX(0,IFERROR(SUMIF(INDIRECT("'["&amp;НАСТРОЙКИ!$D$6&amp;"]КРЕДИТЫ'!$S$3:$EO$3"),CS$22,INDIRECT("'["&amp;НАСТРОЙКИ!$D$6&amp;"]КРЕДИТЫ'!$S$52:$EO$52"))/1000000,0)))</f>
        <v>0</v>
      </c>
      <c r="CT72" s="35">
        <f ca="1">IF(НАСТРОЙКИ!$B$6&lt;&gt;"Да",0,MAX(0,IFERROR(SUMIF(INDIRECT("'["&amp;НАСТРОЙКИ!$D$6&amp;"]КРЕДИТЫ'!$S$3:$EO$3"),CT$22,INDIRECT("'["&amp;НАСТРОЙКИ!$D$6&amp;"]КРЕДИТЫ'!$S$52:$EO$52"))/1000000,0)))</f>
        <v>0</v>
      </c>
      <c r="CU72" s="35">
        <f ca="1">IF(НАСТРОЙКИ!$B$6&lt;&gt;"Да",0,MAX(0,IFERROR(SUMIF(INDIRECT("'["&amp;НАСТРОЙКИ!$D$6&amp;"]КРЕДИТЫ'!$S$3:$EO$3"),CU$22,INDIRECT("'["&amp;НАСТРОЙКИ!$D$6&amp;"]КРЕДИТЫ'!$S$52:$EO$52"))/1000000,0)))</f>
        <v>0</v>
      </c>
      <c r="CV72" s="35">
        <f ca="1">IF(НАСТРОЙКИ!$B$6&lt;&gt;"Да",0,MAX(0,IFERROR(SUMIF(INDIRECT("'["&amp;НАСТРОЙКИ!$D$6&amp;"]КРЕДИТЫ'!$S$3:$EO$3"),CV$22,INDIRECT("'["&amp;НАСТРОЙКИ!$D$6&amp;"]КРЕДИТЫ'!$S$52:$EO$52"))/1000000,0)))</f>
        <v>0</v>
      </c>
      <c r="CW72" s="35">
        <f ca="1">IF(НАСТРОЙКИ!$B$6&lt;&gt;"Да",0,MAX(0,IFERROR(SUMIF(INDIRECT("'["&amp;НАСТРОЙКИ!$D$6&amp;"]КРЕДИТЫ'!$S$3:$EO$3"),CW$22,INDIRECT("'["&amp;НАСТРОЙКИ!$D$6&amp;"]КРЕДИТЫ'!$S$52:$EO$52"))/1000000,0)))</f>
        <v>0</v>
      </c>
      <c r="CX72" s="35">
        <f ca="1">IF(НАСТРОЙКИ!$B$6&lt;&gt;"Да",0,MAX(0,IFERROR(SUMIF(INDIRECT("'["&amp;НАСТРОЙКИ!$D$6&amp;"]КРЕДИТЫ'!$S$3:$EO$3"),CX$22,INDIRECT("'["&amp;НАСТРОЙКИ!$D$6&amp;"]КРЕДИТЫ'!$S$52:$EO$52"))/1000000,0)))</f>
        <v>0</v>
      </c>
      <c r="CY72" s="35">
        <f ca="1">IF(НАСТРОЙКИ!$B$6&lt;&gt;"Да",0,MAX(0,IFERROR(SUMIF(INDIRECT("'["&amp;НАСТРОЙКИ!$D$6&amp;"]КРЕДИТЫ'!$S$3:$EO$3"),CY$22,INDIRECT("'["&amp;НАСТРОЙКИ!$D$6&amp;"]КРЕДИТЫ'!$S$52:$EO$52"))/1000000,0)))</f>
        <v>0</v>
      </c>
      <c r="CZ72" s="35">
        <f ca="1">IF(НАСТРОЙКИ!$B$6&lt;&gt;"Да",0,MAX(0,IFERROR(SUMIF(INDIRECT("'["&amp;НАСТРОЙКИ!$D$6&amp;"]КРЕДИТЫ'!$S$3:$EO$3"),CZ$22,INDIRECT("'["&amp;НАСТРОЙКИ!$D$6&amp;"]КРЕДИТЫ'!$S$52:$EO$52"))/1000000,0)))</f>
        <v>0</v>
      </c>
      <c r="DA72" s="35">
        <f ca="1">IF(НАСТРОЙКИ!$B$6&lt;&gt;"Да",0,MAX(0,IFERROR(SUMIF(INDIRECT("'["&amp;НАСТРОЙКИ!$D$6&amp;"]КРЕДИТЫ'!$S$3:$EO$3"),DA$22,INDIRECT("'["&amp;НАСТРОЙКИ!$D$6&amp;"]КРЕДИТЫ'!$S$52:$EO$52"))/1000000,0)))</f>
        <v>0</v>
      </c>
      <c r="DB72" s="35">
        <f ca="1">IF(НАСТРОЙКИ!$B$6&lt;&gt;"Да",0,MAX(0,IFERROR(SUMIF(INDIRECT("'["&amp;НАСТРОЙКИ!$D$6&amp;"]КРЕДИТЫ'!$S$3:$EO$3"),DB$22,INDIRECT("'["&amp;НАСТРОЙКИ!$D$6&amp;"]КРЕДИТЫ'!$S$52:$EO$52"))/1000000,0)))</f>
        <v>0</v>
      </c>
      <c r="DC72" s="35">
        <f ca="1">IF(НАСТРОЙКИ!$B$6&lt;&gt;"Да",0,MAX(0,IFERROR(SUMIF(INDIRECT("'["&amp;НАСТРОЙКИ!$D$6&amp;"]КРЕДИТЫ'!$S$3:$EO$3"),DC$22,INDIRECT("'["&amp;НАСТРОЙКИ!$D$6&amp;"]КРЕДИТЫ'!$S$52:$EO$52"))/1000000,0)))</f>
        <v>0</v>
      </c>
      <c r="DD72" s="35">
        <f ca="1">IF(НАСТРОЙКИ!$B$6&lt;&gt;"Да",0,MAX(0,IFERROR(SUMIF(INDIRECT("'["&amp;НАСТРОЙКИ!$D$6&amp;"]КРЕДИТЫ'!$S$3:$EO$3"),DD$22,INDIRECT("'["&amp;НАСТРОЙКИ!$D$6&amp;"]КРЕДИТЫ'!$S$52:$EO$52"))/1000000,0)))</f>
        <v>0</v>
      </c>
      <c r="DE72" s="35">
        <f ca="1">IF(НАСТРОЙКИ!$B$6&lt;&gt;"Да",0,MAX(0,IFERROR(SUMIF(INDIRECT("'["&amp;НАСТРОЙКИ!$D$6&amp;"]КРЕДИТЫ'!$S$3:$EO$3"),DE$22,INDIRECT("'["&amp;НАСТРОЙКИ!$D$6&amp;"]КРЕДИТЫ'!$S$52:$EO$52"))/1000000,0)))</f>
        <v>0</v>
      </c>
      <c r="DF72" s="35">
        <f ca="1">IF(НАСТРОЙКИ!$B$6&lt;&gt;"Да",0,MAX(0,IFERROR(SUMIF(INDIRECT("'["&amp;НАСТРОЙКИ!$D$6&amp;"]КРЕДИТЫ'!$S$3:$EO$3"),DF$22,INDIRECT("'["&amp;НАСТРОЙКИ!$D$6&amp;"]КРЕДИТЫ'!$S$52:$EO$52"))/1000000,0)))</f>
        <v>0</v>
      </c>
    </row>
    <row r="73" spans="1:110">
      <c r="A73" s="34" t="s">
        <v>136</v>
      </c>
      <c r="B73" s="34" t="s">
        <v>58</v>
      </c>
      <c r="C73" s="36">
        <f t="shared" ref="C73:AH73" ca="1" si="84">C71+C72</f>
        <v>0</v>
      </c>
      <c r="D73" s="36">
        <f t="shared" ca="1" si="84"/>
        <v>0</v>
      </c>
      <c r="E73" s="36">
        <f t="shared" ca="1" si="84"/>
        <v>0</v>
      </c>
      <c r="F73" s="36">
        <f t="shared" ca="1" si="84"/>
        <v>0</v>
      </c>
      <c r="G73" s="36">
        <f t="shared" ca="1" si="84"/>
        <v>0</v>
      </c>
      <c r="H73" s="36">
        <f t="shared" ca="1" si="84"/>
        <v>0</v>
      </c>
      <c r="I73" s="36">
        <f t="shared" ca="1" si="84"/>
        <v>0</v>
      </c>
      <c r="J73" s="36">
        <f t="shared" ca="1" si="84"/>
        <v>0</v>
      </c>
      <c r="K73" s="36">
        <f t="shared" ca="1" si="84"/>
        <v>0</v>
      </c>
      <c r="L73" s="36">
        <f t="shared" ca="1" si="84"/>
        <v>0</v>
      </c>
      <c r="M73" s="36">
        <f t="shared" ca="1" si="84"/>
        <v>0</v>
      </c>
      <c r="N73" s="36">
        <f t="shared" ca="1" si="84"/>
        <v>0</v>
      </c>
      <c r="O73" s="36">
        <f t="shared" ca="1" si="84"/>
        <v>0</v>
      </c>
      <c r="P73" s="36">
        <f t="shared" ca="1" si="84"/>
        <v>0</v>
      </c>
      <c r="Q73" s="36">
        <f t="shared" ca="1" si="84"/>
        <v>0</v>
      </c>
      <c r="R73" s="36">
        <f t="shared" ca="1" si="84"/>
        <v>0</v>
      </c>
      <c r="S73" s="36">
        <f t="shared" ca="1" si="84"/>
        <v>0</v>
      </c>
      <c r="T73" s="36">
        <f t="shared" ca="1" si="84"/>
        <v>0</v>
      </c>
      <c r="U73" s="36">
        <f t="shared" ca="1" si="84"/>
        <v>0</v>
      </c>
      <c r="V73" s="36">
        <f t="shared" ca="1" si="84"/>
        <v>0</v>
      </c>
      <c r="W73" s="36">
        <f t="shared" ca="1" si="84"/>
        <v>0</v>
      </c>
      <c r="X73" s="36">
        <f t="shared" ca="1" si="84"/>
        <v>0</v>
      </c>
      <c r="Y73" s="36">
        <f t="shared" ca="1" si="84"/>
        <v>0</v>
      </c>
      <c r="Z73" s="36">
        <f t="shared" ca="1" si="84"/>
        <v>0</v>
      </c>
      <c r="AA73" s="36">
        <f t="shared" ca="1" si="84"/>
        <v>0</v>
      </c>
      <c r="AB73" s="36">
        <f t="shared" ca="1" si="84"/>
        <v>0</v>
      </c>
      <c r="AC73" s="36">
        <f t="shared" ca="1" si="84"/>
        <v>147.79907449732906</v>
      </c>
      <c r="AD73" s="36">
        <f t="shared" ca="1" si="84"/>
        <v>375.97314738029723</v>
      </c>
      <c r="AE73" s="36">
        <f t="shared" ca="1" si="84"/>
        <v>181.99409904382293</v>
      </c>
      <c r="AF73" s="36">
        <f t="shared" ca="1" si="84"/>
        <v>181.99409904382293</v>
      </c>
      <c r="AG73" s="36">
        <f t="shared" ca="1" si="84"/>
        <v>3366.4597915062873</v>
      </c>
      <c r="AH73" s="36">
        <f t="shared" ca="1" si="84"/>
        <v>4213.2245666607005</v>
      </c>
      <c r="AI73" s="36">
        <f t="shared" ref="AI73:BN73" ca="1" si="85">AI71+AI72</f>
        <v>5090.3039298955418</v>
      </c>
      <c r="AJ73" s="36">
        <f t="shared" ca="1" si="85"/>
        <v>5967.3832931303832</v>
      </c>
      <c r="AK73" s="36">
        <f t="shared" ca="1" si="85"/>
        <v>6844.4626563652246</v>
      </c>
      <c r="AL73" s="36">
        <f t="shared" ca="1" si="85"/>
        <v>7721.5420196000659</v>
      </c>
      <c r="AM73" s="36">
        <f t="shared" ca="1" si="85"/>
        <v>8598.6213828349082</v>
      </c>
      <c r="AN73" s="36">
        <f t="shared" ca="1" si="85"/>
        <v>9592.9703460697474</v>
      </c>
      <c r="AO73" s="36">
        <f t="shared" ca="1" si="85"/>
        <v>10587.319309304588</v>
      </c>
      <c r="AP73" s="36">
        <f t="shared" ca="1" si="85"/>
        <v>11581.668272539429</v>
      </c>
      <c r="AQ73" s="36">
        <f t="shared" ca="1" si="85"/>
        <v>12576.017235774269</v>
      </c>
      <c r="AR73" s="36">
        <f t="shared" ca="1" si="85"/>
        <v>13570.36619900911</v>
      </c>
      <c r="AS73" s="36">
        <f t="shared" ca="1" si="85"/>
        <v>14564.715162243951</v>
      </c>
      <c r="AT73" s="36">
        <f t="shared" ca="1" si="85"/>
        <v>15559.06412547879</v>
      </c>
      <c r="AU73" s="36">
        <f t="shared" ca="1" si="85"/>
        <v>16553.413088713631</v>
      </c>
      <c r="AV73" s="36">
        <f t="shared" ca="1" si="85"/>
        <v>17547.76205194847</v>
      </c>
      <c r="AW73" s="36">
        <f t="shared" ca="1" si="85"/>
        <v>18542.111015183313</v>
      </c>
      <c r="AX73" s="36">
        <f t="shared" ca="1" si="85"/>
        <v>19536.459978418152</v>
      </c>
      <c r="AY73" s="36">
        <f t="shared" ca="1" si="85"/>
        <v>20530.808941652991</v>
      </c>
      <c r="AZ73" s="36">
        <f t="shared" ca="1" si="85"/>
        <v>21525.157904887834</v>
      </c>
      <c r="BA73" s="36">
        <f t="shared" ca="1" si="85"/>
        <v>22519.506868122673</v>
      </c>
      <c r="BB73" s="36">
        <f t="shared" ca="1" si="85"/>
        <v>23548.389980114389</v>
      </c>
      <c r="BC73" s="36">
        <f t="shared" ca="1" si="85"/>
        <v>24821.370411301825</v>
      </c>
      <c r="BD73" s="36">
        <f t="shared" ca="1" si="85"/>
        <v>27765.554951234266</v>
      </c>
      <c r="BE73" s="36">
        <f t="shared" ca="1" si="85"/>
        <v>0</v>
      </c>
      <c r="BF73" s="36">
        <f t="shared" ca="1" si="85"/>
        <v>0</v>
      </c>
      <c r="BG73" s="36">
        <f t="shared" ca="1" si="85"/>
        <v>0</v>
      </c>
      <c r="BH73" s="36">
        <f t="shared" ca="1" si="85"/>
        <v>0</v>
      </c>
      <c r="BI73" s="36">
        <f t="shared" ca="1" si="85"/>
        <v>0</v>
      </c>
      <c r="BJ73" s="36">
        <f t="shared" ca="1" si="85"/>
        <v>0</v>
      </c>
      <c r="BK73" s="36">
        <f t="shared" ca="1" si="85"/>
        <v>0</v>
      </c>
      <c r="BL73" s="36">
        <f t="shared" ca="1" si="85"/>
        <v>0</v>
      </c>
      <c r="BM73" s="36">
        <f t="shared" ca="1" si="85"/>
        <v>0</v>
      </c>
      <c r="BN73" s="36">
        <f t="shared" ca="1" si="85"/>
        <v>0</v>
      </c>
      <c r="BO73" s="36">
        <f t="shared" ref="BO73:CT73" ca="1" si="86">BO71+BO72</f>
        <v>0</v>
      </c>
      <c r="BP73" s="36">
        <f t="shared" ca="1" si="86"/>
        <v>0</v>
      </c>
      <c r="BQ73" s="36">
        <f t="shared" ca="1" si="86"/>
        <v>0</v>
      </c>
      <c r="BR73" s="36">
        <f t="shared" ca="1" si="86"/>
        <v>0</v>
      </c>
      <c r="BS73" s="36">
        <f t="shared" ca="1" si="86"/>
        <v>0</v>
      </c>
      <c r="BT73" s="36">
        <f t="shared" ca="1" si="86"/>
        <v>0</v>
      </c>
      <c r="BU73" s="36">
        <f t="shared" ca="1" si="86"/>
        <v>0</v>
      </c>
      <c r="BV73" s="36">
        <f t="shared" ca="1" si="86"/>
        <v>0</v>
      </c>
      <c r="BW73" s="36">
        <f t="shared" ca="1" si="86"/>
        <v>0</v>
      </c>
      <c r="BX73" s="36">
        <f t="shared" ca="1" si="86"/>
        <v>0</v>
      </c>
      <c r="BY73" s="36">
        <f t="shared" ca="1" si="86"/>
        <v>0</v>
      </c>
      <c r="BZ73" s="36">
        <f t="shared" ca="1" si="86"/>
        <v>0</v>
      </c>
      <c r="CA73" s="36">
        <f t="shared" ca="1" si="86"/>
        <v>0</v>
      </c>
      <c r="CB73" s="36">
        <f t="shared" ca="1" si="86"/>
        <v>0</v>
      </c>
      <c r="CC73" s="36">
        <f t="shared" ca="1" si="86"/>
        <v>0</v>
      </c>
      <c r="CD73" s="36">
        <f t="shared" ca="1" si="86"/>
        <v>0</v>
      </c>
      <c r="CE73" s="36">
        <f t="shared" ca="1" si="86"/>
        <v>0</v>
      </c>
      <c r="CF73" s="36">
        <f t="shared" ca="1" si="86"/>
        <v>0</v>
      </c>
      <c r="CG73" s="36">
        <f t="shared" ca="1" si="86"/>
        <v>0</v>
      </c>
      <c r="CH73" s="36">
        <f t="shared" ca="1" si="86"/>
        <v>0</v>
      </c>
      <c r="CI73" s="36">
        <f t="shared" ca="1" si="86"/>
        <v>0</v>
      </c>
      <c r="CJ73" s="36">
        <f t="shared" ca="1" si="86"/>
        <v>0</v>
      </c>
      <c r="CK73" s="36">
        <f t="shared" ca="1" si="86"/>
        <v>0</v>
      </c>
      <c r="CL73" s="36">
        <f t="shared" ca="1" si="86"/>
        <v>0</v>
      </c>
      <c r="CM73" s="36">
        <f t="shared" ca="1" si="86"/>
        <v>0</v>
      </c>
      <c r="CN73" s="36">
        <f t="shared" ca="1" si="86"/>
        <v>0</v>
      </c>
      <c r="CO73" s="36">
        <f t="shared" ca="1" si="86"/>
        <v>0</v>
      </c>
      <c r="CP73" s="36">
        <f t="shared" ca="1" si="86"/>
        <v>0</v>
      </c>
      <c r="CQ73" s="36">
        <f t="shared" ca="1" si="86"/>
        <v>0</v>
      </c>
      <c r="CR73" s="36">
        <f t="shared" ca="1" si="86"/>
        <v>0</v>
      </c>
      <c r="CS73" s="36">
        <f t="shared" ca="1" si="86"/>
        <v>0</v>
      </c>
      <c r="CT73" s="36">
        <f t="shared" ca="1" si="86"/>
        <v>0</v>
      </c>
      <c r="CU73" s="36">
        <f t="shared" ref="CU73:DF73" ca="1" si="87">CU71+CU72</f>
        <v>0</v>
      </c>
      <c r="CV73" s="36">
        <f t="shared" ca="1" si="87"/>
        <v>0</v>
      </c>
      <c r="CW73" s="36">
        <f t="shared" ca="1" si="87"/>
        <v>0</v>
      </c>
      <c r="CX73" s="36">
        <f t="shared" ca="1" si="87"/>
        <v>0</v>
      </c>
      <c r="CY73" s="36">
        <f t="shared" ca="1" si="87"/>
        <v>0</v>
      </c>
      <c r="CZ73" s="36">
        <f t="shared" ca="1" si="87"/>
        <v>0</v>
      </c>
      <c r="DA73" s="36">
        <f t="shared" ca="1" si="87"/>
        <v>0</v>
      </c>
      <c r="DB73" s="36">
        <f t="shared" ca="1" si="87"/>
        <v>0</v>
      </c>
      <c r="DC73" s="36">
        <f t="shared" ca="1" si="87"/>
        <v>0</v>
      </c>
      <c r="DD73" s="36">
        <f t="shared" ca="1" si="87"/>
        <v>0</v>
      </c>
      <c r="DE73" s="36">
        <f t="shared" ca="1" si="87"/>
        <v>0</v>
      </c>
      <c r="DF73" s="36">
        <f t="shared" ca="1" si="87"/>
        <v>0</v>
      </c>
    </row>
    <row r="75" spans="1:110">
      <c r="A75" s="86" t="str">
        <f>"ОЧЕРЕДЬ 3 — "&amp;НАСТРОЙКИ!D7</f>
        <v>ОЧЕРЕДЬ 3 — Plato_M-3.xlsx</v>
      </c>
      <c r="B75" s="8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</row>
    <row r="76" spans="1:110">
      <c r="A76" s="33" t="s">
        <v>112</v>
      </c>
      <c r="B76" s="33" t="s">
        <v>51</v>
      </c>
    </row>
    <row r="77" spans="1:110">
      <c r="A77" s="34" t="s">
        <v>102</v>
      </c>
      <c r="B77" s="34" t="s">
        <v>58</v>
      </c>
      <c r="C77" s="35">
        <f ca="1">IF(НАСТРОЙКИ!$B$7&lt;&gt;"Да",0,IFERROR(SUMIF(INDIRECT("'["&amp;НАСТРОЙКИ!$D$7&amp;"]CF'!$L$3:$EO$3"),C$22,INDIRECT("'["&amp;НАСТРОЙКИ!$D$7&amp;"]CF'!$L$18:$EO$18")),0))</f>
        <v>0</v>
      </c>
      <c r="D77" s="35">
        <f ca="1">IF(НАСТРОЙКИ!$B$7&lt;&gt;"Да",0,IFERROR(SUMIF(INDIRECT("'["&amp;НАСТРОЙКИ!$D$7&amp;"]CF'!$L$3:$EO$3"),D$22,INDIRECT("'["&amp;НАСТРОЙКИ!$D$7&amp;"]CF'!$L$18:$EO$18")),0))</f>
        <v>0</v>
      </c>
      <c r="E77" s="35">
        <f ca="1">IF(НАСТРОЙКИ!$B$7&lt;&gt;"Да",0,IFERROR(SUMIF(INDIRECT("'["&amp;НАСТРОЙКИ!$D$7&amp;"]CF'!$L$3:$EO$3"),E$22,INDIRECT("'["&amp;НАСТРОЙКИ!$D$7&amp;"]CF'!$L$18:$EO$18")),0))</f>
        <v>0</v>
      </c>
      <c r="F77" s="35">
        <f ca="1">IF(НАСТРОЙКИ!$B$7&lt;&gt;"Да",0,IFERROR(SUMIF(INDIRECT("'["&amp;НАСТРОЙКИ!$D$7&amp;"]CF'!$L$3:$EO$3"),F$22,INDIRECT("'["&amp;НАСТРОЙКИ!$D$7&amp;"]CF'!$L$18:$EO$18")),0))</f>
        <v>0</v>
      </c>
      <c r="G77" s="35">
        <f ca="1">IF(НАСТРОЙКИ!$B$7&lt;&gt;"Да",0,IFERROR(SUMIF(INDIRECT("'["&amp;НАСТРОЙКИ!$D$7&amp;"]CF'!$L$3:$EO$3"),G$22,INDIRECT("'["&amp;НАСТРОЙКИ!$D$7&amp;"]CF'!$L$18:$EO$18")),0))</f>
        <v>0</v>
      </c>
      <c r="H77" s="35">
        <f ca="1">IF(НАСТРОЙКИ!$B$7&lt;&gt;"Да",0,IFERROR(SUMIF(INDIRECT("'["&amp;НАСТРОЙКИ!$D$7&amp;"]CF'!$L$3:$EO$3"),H$22,INDIRECT("'["&amp;НАСТРОЙКИ!$D$7&amp;"]CF'!$L$18:$EO$18")),0))</f>
        <v>0</v>
      </c>
      <c r="I77" s="35">
        <f ca="1">IF(НАСТРОЙКИ!$B$7&lt;&gt;"Да",0,IFERROR(SUMIF(INDIRECT("'["&amp;НАСТРОЙКИ!$D$7&amp;"]CF'!$L$3:$EO$3"),I$22,INDIRECT("'["&amp;НАСТРОЙКИ!$D$7&amp;"]CF'!$L$18:$EO$18")),0))</f>
        <v>0</v>
      </c>
      <c r="J77" s="35">
        <f ca="1">IF(НАСТРОЙКИ!$B$7&lt;&gt;"Да",0,IFERROR(SUMIF(INDIRECT("'["&amp;НАСТРОЙКИ!$D$7&amp;"]CF'!$L$3:$EO$3"),J$22,INDIRECT("'["&amp;НАСТРОЙКИ!$D$7&amp;"]CF'!$L$18:$EO$18")),0))</f>
        <v>0</v>
      </c>
      <c r="K77" s="35">
        <f ca="1">IF(НАСТРОЙКИ!$B$7&lt;&gt;"Да",0,IFERROR(SUMIF(INDIRECT("'["&amp;НАСТРОЙКИ!$D$7&amp;"]CF'!$L$3:$EO$3"),K$22,INDIRECT("'["&amp;НАСТРОЙКИ!$D$7&amp;"]CF'!$L$18:$EO$18")),0))</f>
        <v>0</v>
      </c>
      <c r="L77" s="35">
        <f ca="1">IF(НАСТРОЙКИ!$B$7&lt;&gt;"Да",0,IFERROR(SUMIF(INDIRECT("'["&amp;НАСТРОЙКИ!$D$7&amp;"]CF'!$L$3:$EO$3"),L$22,INDIRECT("'["&amp;НАСТРОЙКИ!$D$7&amp;"]CF'!$L$18:$EO$18")),0))</f>
        <v>0</v>
      </c>
      <c r="M77" s="35">
        <f ca="1">IF(НАСТРОЙКИ!$B$7&lt;&gt;"Да",0,IFERROR(SUMIF(INDIRECT("'["&amp;НАСТРОЙКИ!$D$7&amp;"]CF'!$L$3:$EO$3"),M$22,INDIRECT("'["&amp;НАСТРОЙКИ!$D$7&amp;"]CF'!$L$18:$EO$18")),0))</f>
        <v>0</v>
      </c>
      <c r="N77" s="35">
        <f ca="1">IF(НАСТРОЙКИ!$B$7&lt;&gt;"Да",0,IFERROR(SUMIF(INDIRECT("'["&amp;НАСТРОЙКИ!$D$7&amp;"]CF'!$L$3:$EO$3"),N$22,INDIRECT("'["&amp;НАСТРОЙКИ!$D$7&amp;"]CF'!$L$18:$EO$18")),0))</f>
        <v>0</v>
      </c>
      <c r="O77" s="35">
        <f ca="1">IF(НАСТРОЙКИ!$B$7&lt;&gt;"Да",0,IFERROR(SUMIF(INDIRECT("'["&amp;НАСТРОЙКИ!$D$7&amp;"]CF'!$L$3:$EO$3"),O$22,INDIRECT("'["&amp;НАСТРОЙКИ!$D$7&amp;"]CF'!$L$18:$EO$18")),0))</f>
        <v>0</v>
      </c>
      <c r="P77" s="35">
        <f ca="1">IF(НАСТРОЙКИ!$B$7&lt;&gt;"Да",0,IFERROR(SUMIF(INDIRECT("'["&amp;НАСТРОЙКИ!$D$7&amp;"]CF'!$L$3:$EO$3"),P$22,INDIRECT("'["&amp;НАСТРОЙКИ!$D$7&amp;"]CF'!$L$18:$EO$18")),0))</f>
        <v>0</v>
      </c>
      <c r="Q77" s="35">
        <f ca="1">IF(НАСТРОЙКИ!$B$7&lt;&gt;"Да",0,IFERROR(SUMIF(INDIRECT("'["&amp;НАСТРОЙКИ!$D$7&amp;"]CF'!$L$3:$EO$3"),Q$22,INDIRECT("'["&amp;НАСТРОЙКИ!$D$7&amp;"]CF'!$L$18:$EO$18")),0))</f>
        <v>0</v>
      </c>
      <c r="R77" s="35">
        <f ca="1">IF(НАСТРОЙКИ!$B$7&lt;&gt;"Да",0,IFERROR(SUMIF(INDIRECT("'["&amp;НАСТРОЙКИ!$D$7&amp;"]CF'!$L$3:$EO$3"),R$22,INDIRECT("'["&amp;НАСТРОЙКИ!$D$7&amp;"]CF'!$L$18:$EO$18")),0))</f>
        <v>0</v>
      </c>
      <c r="S77" s="35">
        <f ca="1">IF(НАСТРОЙКИ!$B$7&lt;&gt;"Да",0,IFERROR(SUMIF(INDIRECT("'["&amp;НАСТРОЙКИ!$D$7&amp;"]CF'!$L$3:$EO$3"),S$22,INDIRECT("'["&amp;НАСТРОЙКИ!$D$7&amp;"]CF'!$L$18:$EO$18")),0))</f>
        <v>0</v>
      </c>
      <c r="T77" s="35">
        <f ca="1">IF(НАСТРОЙКИ!$B$7&lt;&gt;"Да",0,IFERROR(SUMIF(INDIRECT("'["&amp;НАСТРОЙКИ!$D$7&amp;"]CF'!$L$3:$EO$3"),T$22,INDIRECT("'["&amp;НАСТРОЙКИ!$D$7&amp;"]CF'!$L$18:$EO$18")),0))</f>
        <v>0</v>
      </c>
      <c r="U77" s="35">
        <f ca="1">IF(НАСТРОЙКИ!$B$7&lt;&gt;"Да",0,IFERROR(SUMIF(INDIRECT("'["&amp;НАСТРОЙКИ!$D$7&amp;"]CF'!$L$3:$EO$3"),U$22,INDIRECT("'["&amp;НАСТРОЙКИ!$D$7&amp;"]CF'!$L$18:$EO$18")),0))</f>
        <v>0</v>
      </c>
      <c r="V77" s="35">
        <f ca="1">IF(НАСТРОЙКИ!$B$7&lt;&gt;"Да",0,IFERROR(SUMIF(INDIRECT("'["&amp;НАСТРОЙКИ!$D$7&amp;"]CF'!$L$3:$EO$3"),V$22,INDIRECT("'["&amp;НАСТРОЙКИ!$D$7&amp;"]CF'!$L$18:$EO$18")),0))</f>
        <v>0</v>
      </c>
      <c r="W77" s="35">
        <f ca="1">IF(НАСТРОЙКИ!$B$7&lt;&gt;"Да",0,IFERROR(SUMIF(INDIRECT("'["&amp;НАСТРОЙКИ!$D$7&amp;"]CF'!$L$3:$EO$3"),W$22,INDIRECT("'["&amp;НАСТРОЙКИ!$D$7&amp;"]CF'!$L$18:$EO$18")),0))</f>
        <v>0</v>
      </c>
      <c r="X77" s="35">
        <f ca="1">IF(НАСТРОЙКИ!$B$7&lt;&gt;"Да",0,IFERROR(SUMIF(INDIRECT("'["&amp;НАСТРОЙКИ!$D$7&amp;"]CF'!$L$3:$EO$3"),X$22,INDIRECT("'["&amp;НАСТРОЙКИ!$D$7&amp;"]CF'!$L$18:$EO$18")),0))</f>
        <v>0</v>
      </c>
      <c r="Y77" s="35">
        <f ca="1">IF(НАСТРОЙКИ!$B$7&lt;&gt;"Да",0,IFERROR(SUMIF(INDIRECT("'["&amp;НАСТРОЙКИ!$D$7&amp;"]CF'!$L$3:$EO$3"),Y$22,INDIRECT("'["&amp;НАСТРОЙКИ!$D$7&amp;"]CF'!$L$18:$EO$18")),0))</f>
        <v>0</v>
      </c>
      <c r="Z77" s="35">
        <f ca="1">IF(НАСТРОЙКИ!$B$7&lt;&gt;"Да",0,IFERROR(SUMIF(INDIRECT("'["&amp;НАСТРОЙКИ!$D$7&amp;"]CF'!$L$3:$EO$3"),Z$22,INDIRECT("'["&amp;НАСТРОЙКИ!$D$7&amp;"]CF'!$L$18:$EO$18")),0))</f>
        <v>0</v>
      </c>
      <c r="AA77" s="35">
        <f ca="1">IF(НАСТРОЙКИ!$B$7&lt;&gt;"Да",0,IFERROR(SUMIF(INDIRECT("'["&amp;НАСТРОЙКИ!$D$7&amp;"]CF'!$L$3:$EO$3"),AA$22,INDIRECT("'["&amp;НАСТРОЙКИ!$D$7&amp;"]CF'!$L$18:$EO$18")),0))</f>
        <v>0</v>
      </c>
      <c r="AB77" s="35">
        <f ca="1">IF(НАСТРОЙКИ!$B$7&lt;&gt;"Да",0,IFERROR(SUMIF(INDIRECT("'["&amp;НАСТРОЙКИ!$D$7&amp;"]CF'!$L$3:$EO$3"),AB$22,INDIRECT("'["&amp;НАСТРОЙКИ!$D$7&amp;"]CF'!$L$18:$EO$18")),0))</f>
        <v>0</v>
      </c>
      <c r="AC77" s="35">
        <f ca="1">IF(НАСТРОЙКИ!$B$7&lt;&gt;"Да",0,IFERROR(SUMIF(INDIRECT("'["&amp;НАСТРОЙКИ!$D$7&amp;"]CF'!$L$3:$EO$3"),AC$22,INDIRECT("'["&amp;НАСТРОЙКИ!$D$7&amp;"]CF'!$L$18:$EO$18")),0))</f>
        <v>0</v>
      </c>
      <c r="AD77" s="35">
        <f ca="1">IF(НАСТРОЙКИ!$B$7&lt;&gt;"Да",0,IFERROR(SUMIF(INDIRECT("'["&amp;НАСТРОЙКИ!$D$7&amp;"]CF'!$L$3:$EO$3"),AD$22,INDIRECT("'["&amp;НАСТРОЙКИ!$D$7&amp;"]CF'!$L$18:$EO$18")),0))</f>
        <v>0</v>
      </c>
      <c r="AE77" s="35">
        <f ca="1">IF(НАСТРОЙКИ!$B$7&lt;&gt;"Да",0,IFERROR(SUMIF(INDIRECT("'["&amp;НАСТРОЙКИ!$D$7&amp;"]CF'!$L$3:$EO$3"),AE$22,INDIRECT("'["&amp;НАСТРОЙКИ!$D$7&amp;"]CF'!$L$18:$EO$18")),0))</f>
        <v>0</v>
      </c>
      <c r="AF77" s="35">
        <f ca="1">IF(НАСТРОЙКИ!$B$7&lt;&gt;"Да",0,IFERROR(SUMIF(INDIRECT("'["&amp;НАСТРОЙКИ!$D$7&amp;"]CF'!$L$3:$EO$3"),AF$22,INDIRECT("'["&amp;НАСТРОЙКИ!$D$7&amp;"]CF'!$L$18:$EO$18")),0))</f>
        <v>0</v>
      </c>
      <c r="AG77" s="35">
        <f ca="1">IF(НАСТРОЙКИ!$B$7&lt;&gt;"Да",0,IFERROR(SUMIF(INDIRECT("'["&amp;НАСТРОЙКИ!$D$7&amp;"]CF'!$L$3:$EO$3"),AG$22,INDIRECT("'["&amp;НАСТРОЙКИ!$D$7&amp;"]CF'!$L$18:$EO$18")),0))</f>
        <v>0</v>
      </c>
      <c r="AH77" s="35">
        <f ca="1">IF(НАСТРОЙКИ!$B$7&lt;&gt;"Да",0,IFERROR(SUMIF(INDIRECT("'["&amp;НАСТРОЙКИ!$D$7&amp;"]CF'!$L$3:$EO$3"),AH$22,INDIRECT("'["&amp;НАСТРОЙКИ!$D$7&amp;"]CF'!$L$18:$EO$18")),0))</f>
        <v>0</v>
      </c>
      <c r="AI77" s="35">
        <f ca="1">IF(НАСТРОЙКИ!$B$7&lt;&gt;"Да",0,IFERROR(SUMIF(INDIRECT("'["&amp;НАСТРОЙКИ!$D$7&amp;"]CF'!$L$3:$EO$3"),AI$22,INDIRECT("'["&amp;НАСТРОЙКИ!$D$7&amp;"]CF'!$L$18:$EO$18")),0))</f>
        <v>0</v>
      </c>
      <c r="AJ77" s="35">
        <f ca="1">IF(НАСТРОЙКИ!$B$7&lt;&gt;"Да",0,IFERROR(SUMIF(INDIRECT("'["&amp;НАСТРОЙКИ!$D$7&amp;"]CF'!$L$3:$EO$3"),AJ$22,INDIRECT("'["&amp;НАСТРОЙКИ!$D$7&amp;"]CF'!$L$18:$EO$18")),0))</f>
        <v>0</v>
      </c>
      <c r="AK77" s="35">
        <f ca="1">IF(НАСТРОЙКИ!$B$7&lt;&gt;"Да",0,IFERROR(SUMIF(INDIRECT("'["&amp;НАСТРОЙКИ!$D$7&amp;"]CF'!$L$3:$EO$3"),AK$22,INDIRECT("'["&amp;НАСТРОЙКИ!$D$7&amp;"]CF'!$L$18:$EO$18")),0))</f>
        <v>0</v>
      </c>
      <c r="AL77" s="35">
        <f ca="1">IF(НАСТРОЙКИ!$B$7&lt;&gt;"Да",0,IFERROR(SUMIF(INDIRECT("'["&amp;НАСТРОЙКИ!$D$7&amp;"]CF'!$L$3:$EO$3"),AL$22,INDIRECT("'["&amp;НАСТРОЙКИ!$D$7&amp;"]CF'!$L$18:$EO$18")),0))</f>
        <v>0</v>
      </c>
      <c r="AM77" s="35">
        <f ca="1">IF(НАСТРОЙКИ!$B$7&lt;&gt;"Да",0,IFERROR(SUMIF(INDIRECT("'["&amp;НАСТРОЙКИ!$D$7&amp;"]CF'!$L$3:$EO$3"),AM$22,INDIRECT("'["&amp;НАСТРОЙКИ!$D$7&amp;"]CF'!$L$18:$EO$18")),0))</f>
        <v>0</v>
      </c>
      <c r="AN77" s="35">
        <f ca="1">IF(НАСТРОЙКИ!$B$7&lt;&gt;"Да",0,IFERROR(SUMIF(INDIRECT("'["&amp;НАСТРОЙКИ!$D$7&amp;"]CF'!$L$3:$EO$3"),AN$22,INDIRECT("'["&amp;НАСТРОЙКИ!$D$7&amp;"]CF'!$L$18:$EO$18")),0))</f>
        <v>0</v>
      </c>
      <c r="AO77" s="35">
        <f ca="1">IF(НАСТРОЙКИ!$B$7&lt;&gt;"Да",0,IFERROR(SUMIF(INDIRECT("'["&amp;НАСТРОЙКИ!$D$7&amp;"]CF'!$L$3:$EO$3"),AO$22,INDIRECT("'["&amp;НАСТРОЙКИ!$D$7&amp;"]CF'!$L$18:$EO$18")),0))</f>
        <v>0</v>
      </c>
      <c r="AP77" s="35">
        <f ca="1">IF(НАСТРОЙКИ!$B$7&lt;&gt;"Да",0,IFERROR(SUMIF(INDIRECT("'["&amp;НАСТРОЙКИ!$D$7&amp;"]CF'!$L$3:$EO$3"),AP$22,INDIRECT("'["&amp;НАСТРОЙКИ!$D$7&amp;"]CF'!$L$18:$EO$18")),0))</f>
        <v>0</v>
      </c>
      <c r="AQ77" s="35">
        <f ca="1">IF(НАСТРОЙКИ!$B$7&lt;&gt;"Да",0,IFERROR(SUMIF(INDIRECT("'["&amp;НАСТРОЙКИ!$D$7&amp;"]CF'!$L$3:$EO$3"),AQ$22,INDIRECT("'["&amp;НАСТРОЙКИ!$D$7&amp;"]CF'!$L$18:$EO$18")),0))</f>
        <v>0</v>
      </c>
      <c r="AR77" s="35">
        <f ca="1">IF(НАСТРОЙКИ!$B$7&lt;&gt;"Да",0,IFERROR(SUMIF(INDIRECT("'["&amp;НАСТРОЙКИ!$D$7&amp;"]CF'!$L$3:$EO$3"),AR$22,INDIRECT("'["&amp;НАСТРОЙКИ!$D$7&amp;"]CF'!$L$18:$EO$18")),0))</f>
        <v>0</v>
      </c>
      <c r="AS77" s="35">
        <f ca="1">IF(НАСТРОЙКИ!$B$7&lt;&gt;"Да",0,IFERROR(SUMIF(INDIRECT("'["&amp;НАСТРОЙКИ!$D$7&amp;"]CF'!$L$3:$EO$3"),AS$22,INDIRECT("'["&amp;НАСТРОЙКИ!$D$7&amp;"]CF'!$L$18:$EO$18")),0))</f>
        <v>0</v>
      </c>
      <c r="AT77" s="35">
        <f ca="1">IF(НАСТРОЙКИ!$B$7&lt;&gt;"Да",0,IFERROR(SUMIF(INDIRECT("'["&amp;НАСТРОЙКИ!$D$7&amp;"]CF'!$L$3:$EO$3"),AT$22,INDIRECT("'["&amp;НАСТРОЙКИ!$D$7&amp;"]CF'!$L$18:$EO$18")),0))</f>
        <v>0</v>
      </c>
      <c r="AU77" s="35">
        <f ca="1">IF(НАСТРОЙКИ!$B$7&lt;&gt;"Да",0,IFERROR(SUMIF(INDIRECT("'["&amp;НАСТРОЙКИ!$D$7&amp;"]CF'!$L$3:$EO$3"),AU$22,INDIRECT("'["&amp;НАСТРОЙКИ!$D$7&amp;"]CF'!$L$18:$EO$18")),0))</f>
        <v>0</v>
      </c>
      <c r="AV77" s="35">
        <f ca="1">IF(НАСТРОЙКИ!$B$7&lt;&gt;"Да",0,IFERROR(SUMIF(INDIRECT("'["&amp;НАСТРОЙКИ!$D$7&amp;"]CF'!$L$3:$EO$3"),AV$22,INDIRECT("'["&amp;НАСТРОЙКИ!$D$7&amp;"]CF'!$L$18:$EO$18")),0))</f>
        <v>0</v>
      </c>
      <c r="AW77" s="35">
        <f ca="1">IF(НАСТРОЙКИ!$B$7&lt;&gt;"Да",0,IFERROR(SUMIF(INDIRECT("'["&amp;НАСТРОЙКИ!$D$7&amp;"]CF'!$L$3:$EO$3"),AW$22,INDIRECT("'["&amp;НАСТРОЙКИ!$D$7&amp;"]CF'!$L$18:$EO$18")),0))</f>
        <v>0</v>
      </c>
      <c r="AX77" s="35">
        <f ca="1">IF(НАСТРОЙКИ!$B$7&lt;&gt;"Да",0,IFERROR(SUMIF(INDIRECT("'["&amp;НАСТРОЙКИ!$D$7&amp;"]CF'!$L$3:$EO$3"),AX$22,INDIRECT("'["&amp;НАСТРОЙКИ!$D$7&amp;"]CF'!$L$18:$EO$18")),0))</f>
        <v>0</v>
      </c>
      <c r="AY77" s="35">
        <f ca="1">IF(НАСТРОЙКИ!$B$7&lt;&gt;"Да",0,IFERROR(SUMIF(INDIRECT("'["&amp;НАСТРОЙКИ!$D$7&amp;"]CF'!$L$3:$EO$3"),AY$22,INDIRECT("'["&amp;НАСТРОЙКИ!$D$7&amp;"]CF'!$L$18:$EO$18")),0))</f>
        <v>0</v>
      </c>
      <c r="AZ77" s="35">
        <f ca="1">IF(НАСТРОЙКИ!$B$7&lt;&gt;"Да",0,IFERROR(SUMIF(INDIRECT("'["&amp;НАСТРОЙКИ!$D$7&amp;"]CF'!$L$3:$EO$3"),AZ$22,INDIRECT("'["&amp;НАСТРОЙКИ!$D$7&amp;"]CF'!$L$18:$EO$18")),0))</f>
        <v>0</v>
      </c>
      <c r="BA77" s="35">
        <f ca="1">IF(НАСТРОЙКИ!$B$7&lt;&gt;"Да",0,IFERROR(SUMIF(INDIRECT("'["&amp;НАСТРОЙКИ!$D$7&amp;"]CF'!$L$3:$EO$3"),BA$22,INDIRECT("'["&amp;НАСТРОЙКИ!$D$7&amp;"]CF'!$L$18:$EO$18")),0))</f>
        <v>0</v>
      </c>
      <c r="BB77" s="35">
        <f ca="1">IF(НАСТРОЙКИ!$B$7&lt;&gt;"Да",0,IFERROR(SUMIF(INDIRECT("'["&amp;НАСТРОЙКИ!$D$7&amp;"]CF'!$L$3:$EO$3"),BB$22,INDIRECT("'["&amp;НАСТРОЙКИ!$D$7&amp;"]CF'!$L$18:$EO$18")),0))</f>
        <v>0</v>
      </c>
      <c r="BC77" s="35">
        <f ca="1">IF(НАСТРОЙКИ!$B$7&lt;&gt;"Да",0,IFERROR(SUMIF(INDIRECT("'["&amp;НАСТРОЙКИ!$D$7&amp;"]CF'!$L$3:$EO$3"),BC$22,INDIRECT("'["&amp;НАСТРОЙКИ!$D$7&amp;"]CF'!$L$18:$EO$18")),0))</f>
        <v>0</v>
      </c>
      <c r="BD77" s="35">
        <f ca="1">IF(НАСТРОЙКИ!$B$7&lt;&gt;"Да",0,IFERROR(SUMIF(INDIRECT("'["&amp;НАСТРОЙКИ!$D$7&amp;"]CF'!$L$3:$EO$3"),BD$22,INDIRECT("'["&amp;НАСТРОЙКИ!$D$7&amp;"]CF'!$L$18:$EO$18")),0))</f>
        <v>0</v>
      </c>
      <c r="BE77" s="35">
        <f ca="1">IF(НАСТРОЙКИ!$B$7&lt;&gt;"Да",0,IFERROR(SUMIF(INDIRECT("'["&amp;НАСТРОЙКИ!$D$7&amp;"]CF'!$L$3:$EO$3"),BE$22,INDIRECT("'["&amp;НАСТРОЙКИ!$D$7&amp;"]CF'!$L$18:$EO$18")),0))</f>
        <v>0</v>
      </c>
      <c r="BF77" s="35">
        <f ca="1">IF(НАСТРОЙКИ!$B$7&lt;&gt;"Да",0,IFERROR(SUMIF(INDIRECT("'["&amp;НАСТРОЙКИ!$D$7&amp;"]CF'!$L$3:$EO$3"),BF$22,INDIRECT("'["&amp;НАСТРОЙКИ!$D$7&amp;"]CF'!$L$18:$EO$18")),0))</f>
        <v>0</v>
      </c>
      <c r="BG77" s="35">
        <f ca="1">IF(НАСТРОЙКИ!$B$7&lt;&gt;"Да",0,IFERROR(SUMIF(INDIRECT("'["&amp;НАСТРОЙКИ!$D$7&amp;"]CF'!$L$3:$EO$3"),BG$22,INDIRECT("'["&amp;НАСТРОЙКИ!$D$7&amp;"]CF'!$L$18:$EO$18")),0))</f>
        <v>0</v>
      </c>
      <c r="BH77" s="35">
        <f ca="1">IF(НАСТРОЙКИ!$B$7&lt;&gt;"Да",0,IFERROR(SUMIF(INDIRECT("'["&amp;НАСТРОЙКИ!$D$7&amp;"]CF'!$L$3:$EO$3"),BH$22,INDIRECT("'["&amp;НАСТРОЙКИ!$D$7&amp;"]CF'!$L$18:$EO$18")),0))</f>
        <v>0</v>
      </c>
      <c r="BI77" s="35">
        <f ca="1">IF(НАСТРОЙКИ!$B$7&lt;&gt;"Да",0,IFERROR(SUMIF(INDIRECT("'["&amp;НАСТРОЙКИ!$D$7&amp;"]CF'!$L$3:$EO$3"),BI$22,INDIRECT("'["&amp;НАСТРОЙКИ!$D$7&amp;"]CF'!$L$18:$EO$18")),0))</f>
        <v>0</v>
      </c>
      <c r="BJ77" s="35">
        <f ca="1">IF(НАСТРОЙКИ!$B$7&lt;&gt;"Да",0,IFERROR(SUMIF(INDIRECT("'["&amp;НАСТРОЙКИ!$D$7&amp;"]CF'!$L$3:$EO$3"),BJ$22,INDIRECT("'["&amp;НАСТРОЙКИ!$D$7&amp;"]CF'!$L$18:$EO$18")),0))</f>
        <v>0</v>
      </c>
      <c r="BK77" s="35">
        <f ca="1">IF(НАСТРОЙКИ!$B$7&lt;&gt;"Да",0,IFERROR(SUMIF(INDIRECT("'["&amp;НАСТРОЙКИ!$D$7&amp;"]CF'!$L$3:$EO$3"),BK$22,INDIRECT("'["&amp;НАСТРОЙКИ!$D$7&amp;"]CF'!$L$18:$EO$18")),0))</f>
        <v>0</v>
      </c>
      <c r="BL77" s="35">
        <f ca="1">IF(НАСТРОЙКИ!$B$7&lt;&gt;"Да",0,IFERROR(SUMIF(INDIRECT("'["&amp;НАСТРОЙКИ!$D$7&amp;"]CF'!$L$3:$EO$3"),BL$22,INDIRECT("'["&amp;НАСТРОЙКИ!$D$7&amp;"]CF'!$L$18:$EO$18")),0))</f>
        <v>0</v>
      </c>
      <c r="BM77" s="35">
        <f ca="1">IF(НАСТРОЙКИ!$B$7&lt;&gt;"Да",0,IFERROR(SUMIF(INDIRECT("'["&amp;НАСТРОЙКИ!$D$7&amp;"]CF'!$L$3:$EO$3"),BM$22,INDIRECT("'["&amp;НАСТРОЙКИ!$D$7&amp;"]CF'!$L$18:$EO$18")),0))</f>
        <v>0</v>
      </c>
      <c r="BN77" s="35">
        <f ca="1">IF(НАСТРОЙКИ!$B$7&lt;&gt;"Да",0,IFERROR(SUMIF(INDIRECT("'["&amp;НАСТРОЙКИ!$D$7&amp;"]CF'!$L$3:$EO$3"),BN$22,INDIRECT("'["&amp;НАСТРОЙКИ!$D$7&amp;"]CF'!$L$18:$EO$18")),0))</f>
        <v>0</v>
      </c>
      <c r="BO77" s="35">
        <f ca="1">IF(НАСТРОЙКИ!$B$7&lt;&gt;"Да",0,IFERROR(SUMIF(INDIRECT("'["&amp;НАСТРОЙКИ!$D$7&amp;"]CF'!$L$3:$EO$3"),BO$22,INDIRECT("'["&amp;НАСТРОЙКИ!$D$7&amp;"]CF'!$L$18:$EO$18")),0))</f>
        <v>0</v>
      </c>
      <c r="BP77" s="35">
        <f ca="1">IF(НАСТРОЙКИ!$B$7&lt;&gt;"Да",0,IFERROR(SUMIF(INDIRECT("'["&amp;НАСТРОЙКИ!$D$7&amp;"]CF'!$L$3:$EO$3"),BP$22,INDIRECT("'["&amp;НАСТРОЙКИ!$D$7&amp;"]CF'!$L$18:$EO$18")),0))</f>
        <v>0</v>
      </c>
      <c r="BQ77" s="35">
        <f ca="1">IF(НАСТРОЙКИ!$B$7&lt;&gt;"Да",0,IFERROR(SUMIF(INDIRECT("'["&amp;НАСТРОЙКИ!$D$7&amp;"]CF'!$L$3:$EO$3"),BQ$22,INDIRECT("'["&amp;НАСТРОЙКИ!$D$7&amp;"]CF'!$L$18:$EO$18")),0))</f>
        <v>0</v>
      </c>
      <c r="BR77" s="35">
        <f ca="1">IF(НАСТРОЙКИ!$B$7&lt;&gt;"Да",0,IFERROR(SUMIF(INDIRECT("'["&amp;НАСТРОЙКИ!$D$7&amp;"]CF'!$L$3:$EO$3"),BR$22,INDIRECT("'["&amp;НАСТРОЙКИ!$D$7&amp;"]CF'!$L$18:$EO$18")),0))</f>
        <v>0</v>
      </c>
      <c r="BS77" s="35">
        <f ca="1">IF(НАСТРОЙКИ!$B$7&lt;&gt;"Да",0,IFERROR(SUMIF(INDIRECT("'["&amp;НАСТРОЙКИ!$D$7&amp;"]CF'!$L$3:$EO$3"),BS$22,INDIRECT("'["&amp;НАСТРОЙКИ!$D$7&amp;"]CF'!$L$18:$EO$18")),0))</f>
        <v>0</v>
      </c>
      <c r="BT77" s="35">
        <f ca="1">IF(НАСТРОЙКИ!$B$7&lt;&gt;"Да",0,IFERROR(SUMIF(INDIRECT("'["&amp;НАСТРОЙКИ!$D$7&amp;"]CF'!$L$3:$EO$3"),BT$22,INDIRECT("'["&amp;НАСТРОЙКИ!$D$7&amp;"]CF'!$L$18:$EO$18")),0))</f>
        <v>0</v>
      </c>
      <c r="BU77" s="35">
        <f ca="1">IF(НАСТРОЙКИ!$B$7&lt;&gt;"Да",0,IFERROR(SUMIF(INDIRECT("'["&amp;НАСТРОЙКИ!$D$7&amp;"]CF'!$L$3:$EO$3"),BU$22,INDIRECT("'["&amp;НАСТРОЙКИ!$D$7&amp;"]CF'!$L$18:$EO$18")),0))</f>
        <v>0</v>
      </c>
      <c r="BV77" s="35">
        <f ca="1">IF(НАСТРОЙКИ!$B$7&lt;&gt;"Да",0,IFERROR(SUMIF(INDIRECT("'["&amp;НАСТРОЙКИ!$D$7&amp;"]CF'!$L$3:$EO$3"),BV$22,INDIRECT("'["&amp;НАСТРОЙКИ!$D$7&amp;"]CF'!$L$18:$EO$18")),0))</f>
        <v>0</v>
      </c>
      <c r="BW77" s="35">
        <f ca="1">IF(НАСТРОЙКИ!$B$7&lt;&gt;"Да",0,IFERROR(SUMIF(INDIRECT("'["&amp;НАСТРОЙКИ!$D$7&amp;"]CF'!$L$3:$EO$3"),BW$22,INDIRECT("'["&amp;НАСТРОЙКИ!$D$7&amp;"]CF'!$L$18:$EO$18")),0))</f>
        <v>0</v>
      </c>
      <c r="BX77" s="35">
        <f ca="1">IF(НАСТРОЙКИ!$B$7&lt;&gt;"Да",0,IFERROR(SUMIF(INDIRECT("'["&amp;НАСТРОЙКИ!$D$7&amp;"]CF'!$L$3:$EO$3"),BX$22,INDIRECT("'["&amp;НАСТРОЙКИ!$D$7&amp;"]CF'!$L$18:$EO$18")),0))</f>
        <v>0</v>
      </c>
      <c r="BY77" s="35">
        <f ca="1">IF(НАСТРОЙКИ!$B$7&lt;&gt;"Да",0,IFERROR(SUMIF(INDIRECT("'["&amp;НАСТРОЙКИ!$D$7&amp;"]CF'!$L$3:$EO$3"),BY$22,INDIRECT("'["&amp;НАСТРОЙКИ!$D$7&amp;"]CF'!$L$18:$EO$18")),0))</f>
        <v>0</v>
      </c>
      <c r="BZ77" s="35">
        <f ca="1">IF(НАСТРОЙКИ!$B$7&lt;&gt;"Да",0,IFERROR(SUMIF(INDIRECT("'["&amp;НАСТРОЙКИ!$D$7&amp;"]CF'!$L$3:$EO$3"),BZ$22,INDIRECT("'["&amp;НАСТРОЙКИ!$D$7&amp;"]CF'!$L$18:$EO$18")),0))</f>
        <v>0</v>
      </c>
      <c r="CA77" s="35">
        <f ca="1">IF(НАСТРОЙКИ!$B$7&lt;&gt;"Да",0,IFERROR(SUMIF(INDIRECT("'["&amp;НАСТРОЙКИ!$D$7&amp;"]CF'!$L$3:$EO$3"),CA$22,INDIRECT("'["&amp;НАСТРОЙКИ!$D$7&amp;"]CF'!$L$18:$EO$18")),0))</f>
        <v>0</v>
      </c>
      <c r="CB77" s="35">
        <f ca="1">IF(НАСТРОЙКИ!$B$7&lt;&gt;"Да",0,IFERROR(SUMIF(INDIRECT("'["&amp;НАСТРОЙКИ!$D$7&amp;"]CF'!$L$3:$EO$3"),CB$22,INDIRECT("'["&amp;НАСТРОЙКИ!$D$7&amp;"]CF'!$L$18:$EO$18")),0))</f>
        <v>0</v>
      </c>
      <c r="CC77" s="35">
        <f ca="1">IF(НАСТРОЙКИ!$B$7&lt;&gt;"Да",0,IFERROR(SUMIF(INDIRECT("'["&amp;НАСТРОЙКИ!$D$7&amp;"]CF'!$L$3:$EO$3"),CC$22,INDIRECT("'["&amp;НАСТРОЙКИ!$D$7&amp;"]CF'!$L$18:$EO$18")),0))</f>
        <v>0</v>
      </c>
      <c r="CD77" s="35">
        <f ca="1">IF(НАСТРОЙКИ!$B$7&lt;&gt;"Да",0,IFERROR(SUMIF(INDIRECT("'["&amp;НАСТРОЙКИ!$D$7&amp;"]CF'!$L$3:$EO$3"),CD$22,INDIRECT("'["&amp;НАСТРОЙКИ!$D$7&amp;"]CF'!$L$18:$EO$18")),0))</f>
        <v>0</v>
      </c>
      <c r="CE77" s="35">
        <f ca="1">IF(НАСТРОЙКИ!$B$7&lt;&gt;"Да",0,IFERROR(SUMIF(INDIRECT("'["&amp;НАСТРОЙКИ!$D$7&amp;"]CF'!$L$3:$EO$3"),CE$22,INDIRECT("'["&amp;НАСТРОЙКИ!$D$7&amp;"]CF'!$L$18:$EO$18")),0))</f>
        <v>0</v>
      </c>
      <c r="CF77" s="35">
        <f ca="1">IF(НАСТРОЙКИ!$B$7&lt;&gt;"Да",0,IFERROR(SUMIF(INDIRECT("'["&amp;НАСТРОЙКИ!$D$7&amp;"]CF'!$L$3:$EO$3"),CF$22,INDIRECT("'["&amp;НАСТРОЙКИ!$D$7&amp;"]CF'!$L$18:$EO$18")),0))</f>
        <v>0</v>
      </c>
      <c r="CG77" s="35">
        <f ca="1">IF(НАСТРОЙКИ!$B$7&lt;&gt;"Да",0,IFERROR(SUMIF(INDIRECT("'["&amp;НАСТРОЙКИ!$D$7&amp;"]CF'!$L$3:$EO$3"),CG$22,INDIRECT("'["&amp;НАСТРОЙКИ!$D$7&amp;"]CF'!$L$18:$EO$18")),0))</f>
        <v>0</v>
      </c>
      <c r="CH77" s="35">
        <f ca="1">IF(НАСТРОЙКИ!$B$7&lt;&gt;"Да",0,IFERROR(SUMIF(INDIRECT("'["&amp;НАСТРОЙКИ!$D$7&amp;"]CF'!$L$3:$EO$3"),CH$22,INDIRECT("'["&amp;НАСТРОЙКИ!$D$7&amp;"]CF'!$L$18:$EO$18")),0))</f>
        <v>0</v>
      </c>
      <c r="CI77" s="35">
        <f ca="1">IF(НАСТРОЙКИ!$B$7&lt;&gt;"Да",0,IFERROR(SUMIF(INDIRECT("'["&amp;НАСТРОЙКИ!$D$7&amp;"]CF'!$L$3:$EO$3"),CI$22,INDIRECT("'["&amp;НАСТРОЙКИ!$D$7&amp;"]CF'!$L$18:$EO$18")),0))</f>
        <v>0</v>
      </c>
      <c r="CJ77" s="35">
        <f ca="1">IF(НАСТРОЙКИ!$B$7&lt;&gt;"Да",0,IFERROR(SUMIF(INDIRECT("'["&amp;НАСТРОЙКИ!$D$7&amp;"]CF'!$L$3:$EO$3"),CJ$22,INDIRECT("'["&amp;НАСТРОЙКИ!$D$7&amp;"]CF'!$L$18:$EO$18")),0))</f>
        <v>0</v>
      </c>
      <c r="CK77" s="35">
        <f ca="1">IF(НАСТРОЙКИ!$B$7&lt;&gt;"Да",0,IFERROR(SUMIF(INDIRECT("'["&amp;НАСТРОЙКИ!$D$7&amp;"]CF'!$L$3:$EO$3"),CK$22,INDIRECT("'["&amp;НАСТРОЙКИ!$D$7&amp;"]CF'!$L$18:$EO$18")),0))</f>
        <v>0</v>
      </c>
      <c r="CL77" s="35">
        <f ca="1">IF(НАСТРОЙКИ!$B$7&lt;&gt;"Да",0,IFERROR(SUMIF(INDIRECT("'["&amp;НАСТРОЙКИ!$D$7&amp;"]CF'!$L$3:$EO$3"),CL$22,INDIRECT("'["&amp;НАСТРОЙКИ!$D$7&amp;"]CF'!$L$18:$EO$18")),0))</f>
        <v>0</v>
      </c>
      <c r="CM77" s="35">
        <f ca="1">IF(НАСТРОЙКИ!$B$7&lt;&gt;"Да",0,IFERROR(SUMIF(INDIRECT("'["&amp;НАСТРОЙКИ!$D$7&amp;"]CF'!$L$3:$EO$3"),CM$22,INDIRECT("'["&amp;НАСТРОЙКИ!$D$7&amp;"]CF'!$L$18:$EO$18")),0))</f>
        <v>0</v>
      </c>
      <c r="CN77" s="35">
        <f ca="1">IF(НАСТРОЙКИ!$B$7&lt;&gt;"Да",0,IFERROR(SUMIF(INDIRECT("'["&amp;НАСТРОЙКИ!$D$7&amp;"]CF'!$L$3:$EO$3"),CN$22,INDIRECT("'["&amp;НАСТРОЙКИ!$D$7&amp;"]CF'!$L$18:$EO$18")),0))</f>
        <v>0</v>
      </c>
      <c r="CO77" s="35">
        <f ca="1">IF(НАСТРОЙКИ!$B$7&lt;&gt;"Да",0,IFERROR(SUMIF(INDIRECT("'["&amp;НАСТРОЙКИ!$D$7&amp;"]CF'!$L$3:$EO$3"),CO$22,INDIRECT("'["&amp;НАСТРОЙКИ!$D$7&amp;"]CF'!$L$18:$EO$18")),0))</f>
        <v>0</v>
      </c>
      <c r="CP77" s="35">
        <f ca="1">IF(НАСТРОЙКИ!$B$7&lt;&gt;"Да",0,IFERROR(SUMIF(INDIRECT("'["&amp;НАСТРОЙКИ!$D$7&amp;"]CF'!$L$3:$EO$3"),CP$22,INDIRECT("'["&amp;НАСТРОЙКИ!$D$7&amp;"]CF'!$L$18:$EO$18")),0))</f>
        <v>0</v>
      </c>
      <c r="CQ77" s="35">
        <f ca="1">IF(НАСТРОЙКИ!$B$7&lt;&gt;"Да",0,IFERROR(SUMIF(INDIRECT("'["&amp;НАСТРОЙКИ!$D$7&amp;"]CF'!$L$3:$EO$3"),CQ$22,INDIRECT("'["&amp;НАСТРОЙКИ!$D$7&amp;"]CF'!$L$18:$EO$18")),0))</f>
        <v>0</v>
      </c>
      <c r="CR77" s="35">
        <f ca="1">IF(НАСТРОЙКИ!$B$7&lt;&gt;"Да",0,IFERROR(SUMIF(INDIRECT("'["&amp;НАСТРОЙКИ!$D$7&amp;"]CF'!$L$3:$EO$3"),CR$22,INDIRECT("'["&amp;НАСТРОЙКИ!$D$7&amp;"]CF'!$L$18:$EO$18")),0))</f>
        <v>0</v>
      </c>
      <c r="CS77" s="35">
        <f ca="1">IF(НАСТРОЙКИ!$B$7&lt;&gt;"Да",0,IFERROR(SUMIF(INDIRECT("'["&amp;НАСТРОЙКИ!$D$7&amp;"]CF'!$L$3:$EO$3"),CS$22,INDIRECT("'["&amp;НАСТРОЙКИ!$D$7&amp;"]CF'!$L$18:$EO$18")),0))</f>
        <v>0</v>
      </c>
      <c r="CT77" s="35">
        <f ca="1">IF(НАСТРОЙКИ!$B$7&lt;&gt;"Да",0,IFERROR(SUMIF(INDIRECT("'["&amp;НАСТРОЙКИ!$D$7&amp;"]CF'!$L$3:$EO$3"),CT$22,INDIRECT("'["&amp;НАСТРОЙКИ!$D$7&amp;"]CF'!$L$18:$EO$18")),0))</f>
        <v>0</v>
      </c>
      <c r="CU77" s="35">
        <f ca="1">IF(НАСТРОЙКИ!$B$7&lt;&gt;"Да",0,IFERROR(SUMIF(INDIRECT("'["&amp;НАСТРОЙКИ!$D$7&amp;"]CF'!$L$3:$EO$3"),CU$22,INDIRECT("'["&amp;НАСТРОЙКИ!$D$7&amp;"]CF'!$L$18:$EO$18")),0))</f>
        <v>0</v>
      </c>
      <c r="CV77" s="35">
        <f ca="1">IF(НАСТРОЙКИ!$B$7&lt;&gt;"Да",0,IFERROR(SUMIF(INDIRECT("'["&amp;НАСТРОЙКИ!$D$7&amp;"]CF'!$L$3:$EO$3"),CV$22,INDIRECT("'["&amp;НАСТРОЙКИ!$D$7&amp;"]CF'!$L$18:$EO$18")),0))</f>
        <v>0</v>
      </c>
      <c r="CW77" s="35">
        <f ca="1">IF(НАСТРОЙКИ!$B$7&lt;&gt;"Да",0,IFERROR(SUMIF(INDIRECT("'["&amp;НАСТРОЙКИ!$D$7&amp;"]CF'!$L$3:$EO$3"),CW$22,INDIRECT("'["&amp;НАСТРОЙКИ!$D$7&amp;"]CF'!$L$18:$EO$18")),0))</f>
        <v>0</v>
      </c>
      <c r="CX77" s="35">
        <f ca="1">IF(НАСТРОЙКИ!$B$7&lt;&gt;"Да",0,IFERROR(SUMIF(INDIRECT("'["&amp;НАСТРОЙКИ!$D$7&amp;"]CF'!$L$3:$EO$3"),CX$22,INDIRECT("'["&amp;НАСТРОЙКИ!$D$7&amp;"]CF'!$L$18:$EO$18")),0))</f>
        <v>0</v>
      </c>
      <c r="CY77" s="35">
        <f ca="1">IF(НАСТРОЙКИ!$B$7&lt;&gt;"Да",0,IFERROR(SUMIF(INDIRECT("'["&amp;НАСТРОЙКИ!$D$7&amp;"]CF'!$L$3:$EO$3"),CY$22,INDIRECT("'["&amp;НАСТРОЙКИ!$D$7&amp;"]CF'!$L$18:$EO$18")),0))</f>
        <v>0</v>
      </c>
      <c r="CZ77" s="35">
        <f ca="1">IF(НАСТРОЙКИ!$B$7&lt;&gt;"Да",0,IFERROR(SUMIF(INDIRECT("'["&amp;НАСТРОЙКИ!$D$7&amp;"]CF'!$L$3:$EO$3"),CZ$22,INDIRECT("'["&amp;НАСТРОЙКИ!$D$7&amp;"]CF'!$L$18:$EO$18")),0))</f>
        <v>0</v>
      </c>
      <c r="DA77" s="35">
        <f ca="1">IF(НАСТРОЙКИ!$B$7&lt;&gt;"Да",0,IFERROR(SUMIF(INDIRECT("'["&amp;НАСТРОЙКИ!$D$7&amp;"]CF'!$L$3:$EO$3"),DA$22,INDIRECT("'["&amp;НАСТРОЙКИ!$D$7&amp;"]CF'!$L$18:$EO$18")),0))</f>
        <v>0</v>
      </c>
      <c r="DB77" s="35">
        <f ca="1">IF(НАСТРОЙКИ!$B$7&lt;&gt;"Да",0,IFERROR(SUMIF(INDIRECT("'["&amp;НАСТРОЙКИ!$D$7&amp;"]CF'!$L$3:$EO$3"),DB$22,INDIRECT("'["&amp;НАСТРОЙКИ!$D$7&amp;"]CF'!$L$18:$EO$18")),0))</f>
        <v>0</v>
      </c>
      <c r="DC77" s="35">
        <f ca="1">IF(НАСТРОЙКИ!$B$7&lt;&gt;"Да",0,IFERROR(SUMIF(INDIRECT("'["&amp;НАСТРОЙКИ!$D$7&amp;"]CF'!$L$3:$EO$3"),DC$22,INDIRECT("'["&amp;НАСТРОЙКИ!$D$7&amp;"]CF'!$L$18:$EO$18")),0))</f>
        <v>0</v>
      </c>
      <c r="DD77" s="35">
        <f ca="1">IF(НАСТРОЙКИ!$B$7&lt;&gt;"Да",0,IFERROR(SUMIF(INDIRECT("'["&amp;НАСТРОЙКИ!$D$7&amp;"]CF'!$L$3:$EO$3"),DD$22,INDIRECT("'["&amp;НАСТРОЙКИ!$D$7&amp;"]CF'!$L$18:$EO$18")),0))</f>
        <v>0</v>
      </c>
      <c r="DE77" s="35">
        <f ca="1">IF(НАСТРОЙКИ!$B$7&lt;&gt;"Да",0,IFERROR(SUMIF(INDIRECT("'["&amp;НАСТРОЙКИ!$D$7&amp;"]CF'!$L$3:$EO$3"),DE$22,INDIRECT("'["&amp;НАСТРОЙКИ!$D$7&amp;"]CF'!$L$18:$EO$18")),0))</f>
        <v>0</v>
      </c>
      <c r="DF77" s="35">
        <f ca="1">IF(НАСТРОЙКИ!$B$7&lt;&gt;"Да",0,IFERROR(SUMIF(INDIRECT("'["&amp;НАСТРОЙКИ!$D$7&amp;"]CF'!$L$3:$EO$3"),DF$22,INDIRECT("'["&amp;НАСТРОЙКИ!$D$7&amp;"]CF'!$L$18:$EO$18")),0))</f>
        <v>0</v>
      </c>
    </row>
    <row r="78" spans="1:110">
      <c r="A78" s="34" t="s">
        <v>124</v>
      </c>
      <c r="B78" s="34" t="s">
        <v>58</v>
      </c>
      <c r="C78" s="35">
        <f ca="1">IF(НАСТРОЙКИ!$B$7&lt;&gt;"Да",0,IFERROR(SUMIF(INDIRECT("'["&amp;НАСТРОЙКИ!$D$7&amp;"]CF'!$L$3:$EO$3"),C$22,INDIRECT("'["&amp;НАСТРОЙКИ!$D$7&amp;"]CF'!$L$20:$EO$20")),0))</f>
        <v>0</v>
      </c>
      <c r="D78" s="35">
        <f ca="1">IF(НАСТРОЙКИ!$B$7&lt;&gt;"Да",0,IFERROR(SUMIF(INDIRECT("'["&amp;НАСТРОЙКИ!$D$7&amp;"]CF'!$L$3:$EO$3"),D$22,INDIRECT("'["&amp;НАСТРОЙКИ!$D$7&amp;"]CF'!$L$20:$EO$20")),0))</f>
        <v>0</v>
      </c>
      <c r="E78" s="35">
        <f ca="1">IF(НАСТРОЙКИ!$B$7&lt;&gt;"Да",0,IFERROR(SUMIF(INDIRECT("'["&amp;НАСТРОЙКИ!$D$7&amp;"]CF'!$L$3:$EO$3"),E$22,INDIRECT("'["&amp;НАСТРОЙКИ!$D$7&amp;"]CF'!$L$20:$EO$20")),0))</f>
        <v>0</v>
      </c>
      <c r="F78" s="35">
        <f ca="1">IF(НАСТРОЙКИ!$B$7&lt;&gt;"Да",0,IFERROR(SUMIF(INDIRECT("'["&amp;НАСТРОЙКИ!$D$7&amp;"]CF'!$L$3:$EO$3"),F$22,INDIRECT("'["&amp;НАСТРОЙКИ!$D$7&amp;"]CF'!$L$20:$EO$20")),0))</f>
        <v>0</v>
      </c>
      <c r="G78" s="35">
        <f ca="1">IF(НАСТРОЙКИ!$B$7&lt;&gt;"Да",0,IFERROR(SUMIF(INDIRECT("'["&amp;НАСТРОЙКИ!$D$7&amp;"]CF'!$L$3:$EO$3"),G$22,INDIRECT("'["&amp;НАСТРОЙКИ!$D$7&amp;"]CF'!$L$20:$EO$20")),0))</f>
        <v>0</v>
      </c>
      <c r="H78" s="35">
        <f ca="1">IF(НАСТРОЙКИ!$B$7&lt;&gt;"Да",0,IFERROR(SUMIF(INDIRECT("'["&amp;НАСТРОЙКИ!$D$7&amp;"]CF'!$L$3:$EO$3"),H$22,INDIRECT("'["&amp;НАСТРОЙКИ!$D$7&amp;"]CF'!$L$20:$EO$20")),0))</f>
        <v>0</v>
      </c>
      <c r="I78" s="35">
        <f ca="1">IF(НАСТРОЙКИ!$B$7&lt;&gt;"Да",0,IFERROR(SUMIF(INDIRECT("'["&amp;НАСТРОЙКИ!$D$7&amp;"]CF'!$L$3:$EO$3"),I$22,INDIRECT("'["&amp;НАСТРОЙКИ!$D$7&amp;"]CF'!$L$20:$EO$20")),0))</f>
        <v>0</v>
      </c>
      <c r="J78" s="35">
        <f ca="1">IF(НАСТРОЙКИ!$B$7&lt;&gt;"Да",0,IFERROR(SUMIF(INDIRECT("'["&amp;НАСТРОЙКИ!$D$7&amp;"]CF'!$L$3:$EO$3"),J$22,INDIRECT("'["&amp;НАСТРОЙКИ!$D$7&amp;"]CF'!$L$20:$EO$20")),0))</f>
        <v>0</v>
      </c>
      <c r="K78" s="35">
        <f ca="1">IF(НАСТРОЙКИ!$B$7&lt;&gt;"Да",0,IFERROR(SUMIF(INDIRECT("'["&amp;НАСТРОЙКИ!$D$7&amp;"]CF'!$L$3:$EO$3"),K$22,INDIRECT("'["&amp;НАСТРОЙКИ!$D$7&amp;"]CF'!$L$20:$EO$20")),0))</f>
        <v>0</v>
      </c>
      <c r="L78" s="35">
        <f ca="1">IF(НАСТРОЙКИ!$B$7&lt;&gt;"Да",0,IFERROR(SUMIF(INDIRECT("'["&amp;НАСТРОЙКИ!$D$7&amp;"]CF'!$L$3:$EO$3"),L$22,INDIRECT("'["&amp;НАСТРОЙКИ!$D$7&amp;"]CF'!$L$20:$EO$20")),0))</f>
        <v>0</v>
      </c>
      <c r="M78" s="35">
        <f ca="1">IF(НАСТРОЙКИ!$B$7&lt;&gt;"Да",0,IFERROR(SUMIF(INDIRECT("'["&amp;НАСТРОЙКИ!$D$7&amp;"]CF'!$L$3:$EO$3"),M$22,INDIRECT("'["&amp;НАСТРОЙКИ!$D$7&amp;"]CF'!$L$20:$EO$20")),0))</f>
        <v>0</v>
      </c>
      <c r="N78" s="35">
        <f ca="1">IF(НАСТРОЙКИ!$B$7&lt;&gt;"Да",0,IFERROR(SUMIF(INDIRECT("'["&amp;НАСТРОЙКИ!$D$7&amp;"]CF'!$L$3:$EO$3"),N$22,INDIRECT("'["&amp;НАСТРОЙКИ!$D$7&amp;"]CF'!$L$20:$EO$20")),0))</f>
        <v>0</v>
      </c>
      <c r="O78" s="35">
        <f ca="1">IF(НАСТРОЙКИ!$B$7&lt;&gt;"Да",0,IFERROR(SUMIF(INDIRECT("'["&amp;НАСТРОЙКИ!$D$7&amp;"]CF'!$L$3:$EO$3"),O$22,INDIRECT("'["&amp;НАСТРОЙКИ!$D$7&amp;"]CF'!$L$20:$EO$20")),0))</f>
        <v>0</v>
      </c>
      <c r="P78" s="35">
        <f ca="1">IF(НАСТРОЙКИ!$B$7&lt;&gt;"Да",0,IFERROR(SUMIF(INDIRECT("'["&amp;НАСТРОЙКИ!$D$7&amp;"]CF'!$L$3:$EO$3"),P$22,INDIRECT("'["&amp;НАСТРОЙКИ!$D$7&amp;"]CF'!$L$20:$EO$20")),0))</f>
        <v>0</v>
      </c>
      <c r="Q78" s="35">
        <f ca="1">IF(НАСТРОЙКИ!$B$7&lt;&gt;"Да",0,IFERROR(SUMIF(INDIRECT("'["&amp;НАСТРОЙКИ!$D$7&amp;"]CF'!$L$3:$EO$3"),Q$22,INDIRECT("'["&amp;НАСТРОЙКИ!$D$7&amp;"]CF'!$L$20:$EO$20")),0))</f>
        <v>0</v>
      </c>
      <c r="R78" s="35">
        <f ca="1">IF(НАСТРОЙКИ!$B$7&lt;&gt;"Да",0,IFERROR(SUMIF(INDIRECT("'["&amp;НАСТРОЙКИ!$D$7&amp;"]CF'!$L$3:$EO$3"),R$22,INDIRECT("'["&amp;НАСТРОЙКИ!$D$7&amp;"]CF'!$L$20:$EO$20")),0))</f>
        <v>0</v>
      </c>
      <c r="S78" s="35">
        <f ca="1">IF(НАСТРОЙКИ!$B$7&lt;&gt;"Да",0,IFERROR(SUMIF(INDIRECT("'["&amp;НАСТРОЙКИ!$D$7&amp;"]CF'!$L$3:$EO$3"),S$22,INDIRECT("'["&amp;НАСТРОЙКИ!$D$7&amp;"]CF'!$L$20:$EO$20")),0))</f>
        <v>0</v>
      </c>
      <c r="T78" s="35">
        <f ca="1">IF(НАСТРОЙКИ!$B$7&lt;&gt;"Да",0,IFERROR(SUMIF(INDIRECT("'["&amp;НАСТРОЙКИ!$D$7&amp;"]CF'!$L$3:$EO$3"),T$22,INDIRECT("'["&amp;НАСТРОЙКИ!$D$7&amp;"]CF'!$L$20:$EO$20")),0))</f>
        <v>0</v>
      </c>
      <c r="U78" s="35">
        <f ca="1">IF(НАСТРОЙКИ!$B$7&lt;&gt;"Да",0,IFERROR(SUMIF(INDIRECT("'["&amp;НАСТРОЙКИ!$D$7&amp;"]CF'!$L$3:$EO$3"),U$22,INDIRECT("'["&amp;НАСТРОЙКИ!$D$7&amp;"]CF'!$L$20:$EO$20")),0))</f>
        <v>0</v>
      </c>
      <c r="V78" s="35">
        <f ca="1">IF(НАСТРОЙКИ!$B$7&lt;&gt;"Да",0,IFERROR(SUMIF(INDIRECT("'["&amp;НАСТРОЙКИ!$D$7&amp;"]CF'!$L$3:$EO$3"),V$22,INDIRECT("'["&amp;НАСТРОЙКИ!$D$7&amp;"]CF'!$L$20:$EO$20")),0))</f>
        <v>0</v>
      </c>
      <c r="W78" s="35">
        <f ca="1">IF(НАСТРОЙКИ!$B$7&lt;&gt;"Да",0,IFERROR(SUMIF(INDIRECT("'["&amp;НАСТРОЙКИ!$D$7&amp;"]CF'!$L$3:$EO$3"),W$22,INDIRECT("'["&amp;НАСТРОЙКИ!$D$7&amp;"]CF'!$L$20:$EO$20")),0))</f>
        <v>0</v>
      </c>
      <c r="X78" s="35">
        <f ca="1">IF(НАСТРОЙКИ!$B$7&lt;&gt;"Да",0,IFERROR(SUMIF(INDIRECT("'["&amp;НАСТРОЙКИ!$D$7&amp;"]CF'!$L$3:$EO$3"),X$22,INDIRECT("'["&amp;НАСТРОЙКИ!$D$7&amp;"]CF'!$L$20:$EO$20")),0))</f>
        <v>0</v>
      </c>
      <c r="Y78" s="35">
        <f ca="1">IF(НАСТРОЙКИ!$B$7&lt;&gt;"Да",0,IFERROR(SUMIF(INDIRECT("'["&amp;НАСТРОЙКИ!$D$7&amp;"]CF'!$L$3:$EO$3"),Y$22,INDIRECT("'["&amp;НАСТРОЙКИ!$D$7&amp;"]CF'!$L$20:$EO$20")),0))</f>
        <v>0</v>
      </c>
      <c r="Z78" s="35">
        <f ca="1">IF(НАСТРОЙКИ!$B$7&lt;&gt;"Да",0,IFERROR(SUMIF(INDIRECT("'["&amp;НАСТРОЙКИ!$D$7&amp;"]CF'!$L$3:$EO$3"),Z$22,INDIRECT("'["&amp;НАСТРОЙКИ!$D$7&amp;"]CF'!$L$20:$EO$20")),0))</f>
        <v>0</v>
      </c>
      <c r="AA78" s="35">
        <f ca="1">IF(НАСТРОЙКИ!$B$7&lt;&gt;"Да",0,IFERROR(SUMIF(INDIRECT("'["&amp;НАСТРОЙКИ!$D$7&amp;"]CF'!$L$3:$EO$3"),AA$22,INDIRECT("'["&amp;НАСТРОЙКИ!$D$7&amp;"]CF'!$L$20:$EO$20")),0))</f>
        <v>0</v>
      </c>
      <c r="AB78" s="35">
        <f ca="1">IF(НАСТРОЙКИ!$B$7&lt;&gt;"Да",0,IFERROR(SUMIF(INDIRECT("'["&amp;НАСТРОЙКИ!$D$7&amp;"]CF'!$L$3:$EO$3"),AB$22,INDIRECT("'["&amp;НАСТРОЙКИ!$D$7&amp;"]CF'!$L$20:$EO$20")),0))</f>
        <v>0</v>
      </c>
      <c r="AC78" s="35">
        <f ca="1">IF(НАСТРОЙКИ!$B$7&lt;&gt;"Да",0,IFERROR(SUMIF(INDIRECT("'["&amp;НАСТРОЙКИ!$D$7&amp;"]CF'!$L$3:$EO$3"),AC$22,INDIRECT("'["&amp;НАСТРОЙКИ!$D$7&amp;"]CF'!$L$20:$EO$20")),0))</f>
        <v>0</v>
      </c>
      <c r="AD78" s="35">
        <f ca="1">IF(НАСТРОЙКИ!$B$7&lt;&gt;"Да",0,IFERROR(SUMIF(INDIRECT("'["&amp;НАСТРОЙКИ!$D$7&amp;"]CF'!$L$3:$EO$3"),AD$22,INDIRECT("'["&amp;НАСТРОЙКИ!$D$7&amp;"]CF'!$L$20:$EO$20")),0))</f>
        <v>0</v>
      </c>
      <c r="AE78" s="35">
        <f ca="1">IF(НАСТРОЙКИ!$B$7&lt;&gt;"Да",0,IFERROR(SUMIF(INDIRECT("'["&amp;НАСТРОЙКИ!$D$7&amp;"]CF'!$L$3:$EO$3"),AE$22,INDIRECT("'["&amp;НАСТРОЙКИ!$D$7&amp;"]CF'!$L$20:$EO$20")),0))</f>
        <v>0</v>
      </c>
      <c r="AF78" s="35">
        <f ca="1">IF(НАСТРОЙКИ!$B$7&lt;&gt;"Да",0,IFERROR(SUMIF(INDIRECT("'["&amp;НАСТРОЙКИ!$D$7&amp;"]CF'!$L$3:$EO$3"),AF$22,INDIRECT("'["&amp;НАСТРОЙКИ!$D$7&amp;"]CF'!$L$20:$EO$20")),0))</f>
        <v>0</v>
      </c>
      <c r="AG78" s="35">
        <f ca="1">IF(НАСТРОЙКИ!$B$7&lt;&gt;"Да",0,IFERROR(SUMIF(INDIRECT("'["&amp;НАСТРОЙКИ!$D$7&amp;"]CF'!$L$3:$EO$3"),AG$22,INDIRECT("'["&amp;НАСТРОЙКИ!$D$7&amp;"]CF'!$L$20:$EO$20")),0))</f>
        <v>0</v>
      </c>
      <c r="AH78" s="35">
        <f ca="1">IF(НАСТРОЙКИ!$B$7&lt;&gt;"Да",0,IFERROR(SUMIF(INDIRECT("'["&amp;НАСТРОЙКИ!$D$7&amp;"]CF'!$L$3:$EO$3"),AH$22,INDIRECT("'["&amp;НАСТРОЙКИ!$D$7&amp;"]CF'!$L$20:$EO$20")),0))</f>
        <v>0</v>
      </c>
      <c r="AI78" s="35">
        <f ca="1">IF(НАСТРОЙКИ!$B$7&lt;&gt;"Да",0,IFERROR(SUMIF(INDIRECT("'["&amp;НАСТРОЙКИ!$D$7&amp;"]CF'!$L$3:$EO$3"),AI$22,INDIRECT("'["&amp;НАСТРОЙКИ!$D$7&amp;"]CF'!$L$20:$EO$20")),0))</f>
        <v>0</v>
      </c>
      <c r="AJ78" s="35">
        <f ca="1">IF(НАСТРОЙКИ!$B$7&lt;&gt;"Да",0,IFERROR(SUMIF(INDIRECT("'["&amp;НАСТРОЙКИ!$D$7&amp;"]CF'!$L$3:$EO$3"),AJ$22,INDIRECT("'["&amp;НАСТРОЙКИ!$D$7&amp;"]CF'!$L$20:$EO$20")),0))</f>
        <v>0</v>
      </c>
      <c r="AK78" s="35">
        <f ca="1">IF(НАСТРОЙКИ!$B$7&lt;&gt;"Да",0,IFERROR(SUMIF(INDIRECT("'["&amp;НАСТРОЙКИ!$D$7&amp;"]CF'!$L$3:$EO$3"),AK$22,INDIRECT("'["&amp;НАСТРОЙКИ!$D$7&amp;"]CF'!$L$20:$EO$20")),0))</f>
        <v>0</v>
      </c>
      <c r="AL78" s="35">
        <f ca="1">IF(НАСТРОЙКИ!$B$7&lt;&gt;"Да",0,IFERROR(SUMIF(INDIRECT("'["&amp;НАСТРОЙКИ!$D$7&amp;"]CF'!$L$3:$EO$3"),AL$22,INDIRECT("'["&amp;НАСТРОЙКИ!$D$7&amp;"]CF'!$L$20:$EO$20")),0))</f>
        <v>0</v>
      </c>
      <c r="AM78" s="35">
        <f ca="1">IF(НАСТРОЙКИ!$B$7&lt;&gt;"Да",0,IFERROR(SUMIF(INDIRECT("'["&amp;НАСТРОЙКИ!$D$7&amp;"]CF'!$L$3:$EO$3"),AM$22,INDIRECT("'["&amp;НАСТРОЙКИ!$D$7&amp;"]CF'!$L$20:$EO$20")),0))</f>
        <v>0</v>
      </c>
      <c r="AN78" s="35">
        <f ca="1">IF(НАСТРОЙКИ!$B$7&lt;&gt;"Да",0,IFERROR(SUMIF(INDIRECT("'["&amp;НАСТРОЙКИ!$D$7&amp;"]CF'!$L$3:$EO$3"),AN$22,INDIRECT("'["&amp;НАСТРОЙКИ!$D$7&amp;"]CF'!$L$20:$EO$20")),0))</f>
        <v>0</v>
      </c>
      <c r="AO78" s="35">
        <f ca="1">IF(НАСТРОЙКИ!$B$7&lt;&gt;"Да",0,IFERROR(SUMIF(INDIRECT("'["&amp;НАСТРОЙКИ!$D$7&amp;"]CF'!$L$3:$EO$3"),AO$22,INDIRECT("'["&amp;НАСТРОЙКИ!$D$7&amp;"]CF'!$L$20:$EO$20")),0))</f>
        <v>0</v>
      </c>
      <c r="AP78" s="35">
        <f ca="1">IF(НАСТРОЙКИ!$B$7&lt;&gt;"Да",0,IFERROR(SUMIF(INDIRECT("'["&amp;НАСТРОЙКИ!$D$7&amp;"]CF'!$L$3:$EO$3"),AP$22,INDIRECT("'["&amp;НАСТРОЙКИ!$D$7&amp;"]CF'!$L$20:$EO$20")),0))</f>
        <v>0</v>
      </c>
      <c r="AQ78" s="35">
        <f ca="1">IF(НАСТРОЙКИ!$B$7&lt;&gt;"Да",0,IFERROR(SUMIF(INDIRECT("'["&amp;НАСТРОЙКИ!$D$7&amp;"]CF'!$L$3:$EO$3"),AQ$22,INDIRECT("'["&amp;НАСТРОЙКИ!$D$7&amp;"]CF'!$L$20:$EO$20")),0))</f>
        <v>0</v>
      </c>
      <c r="AR78" s="35">
        <f ca="1">IF(НАСТРОЙКИ!$B$7&lt;&gt;"Да",0,IFERROR(SUMIF(INDIRECT("'["&amp;НАСТРОЙКИ!$D$7&amp;"]CF'!$L$3:$EO$3"),AR$22,INDIRECT("'["&amp;НАСТРОЙКИ!$D$7&amp;"]CF'!$L$20:$EO$20")),0))</f>
        <v>0</v>
      </c>
      <c r="AS78" s="35">
        <f ca="1">IF(НАСТРОЙКИ!$B$7&lt;&gt;"Да",0,IFERROR(SUMIF(INDIRECT("'["&amp;НАСТРОЙКИ!$D$7&amp;"]CF'!$L$3:$EO$3"),AS$22,INDIRECT("'["&amp;НАСТРОЙКИ!$D$7&amp;"]CF'!$L$20:$EO$20")),0))</f>
        <v>0</v>
      </c>
      <c r="AT78" s="35">
        <f ca="1">IF(НАСТРОЙКИ!$B$7&lt;&gt;"Да",0,IFERROR(SUMIF(INDIRECT("'["&amp;НАСТРОЙКИ!$D$7&amp;"]CF'!$L$3:$EO$3"),AT$22,INDIRECT("'["&amp;НАСТРОЙКИ!$D$7&amp;"]CF'!$L$20:$EO$20")),0))</f>
        <v>0</v>
      </c>
      <c r="AU78" s="35">
        <f ca="1">IF(НАСТРОЙКИ!$B$7&lt;&gt;"Да",0,IFERROR(SUMIF(INDIRECT("'["&amp;НАСТРОЙКИ!$D$7&amp;"]CF'!$L$3:$EO$3"),AU$22,INDIRECT("'["&amp;НАСТРОЙКИ!$D$7&amp;"]CF'!$L$20:$EO$20")),0))</f>
        <v>0</v>
      </c>
      <c r="AV78" s="35">
        <f ca="1">IF(НАСТРОЙКИ!$B$7&lt;&gt;"Да",0,IFERROR(SUMIF(INDIRECT("'["&amp;НАСТРОЙКИ!$D$7&amp;"]CF'!$L$3:$EO$3"),AV$22,INDIRECT("'["&amp;НАСТРОЙКИ!$D$7&amp;"]CF'!$L$20:$EO$20")),0))</f>
        <v>0</v>
      </c>
      <c r="AW78" s="35">
        <f ca="1">IF(НАСТРОЙКИ!$B$7&lt;&gt;"Да",0,IFERROR(SUMIF(INDIRECT("'["&amp;НАСТРОЙКИ!$D$7&amp;"]CF'!$L$3:$EO$3"),AW$22,INDIRECT("'["&amp;НАСТРОЙКИ!$D$7&amp;"]CF'!$L$20:$EO$20")),0))</f>
        <v>0</v>
      </c>
      <c r="AX78" s="35">
        <f ca="1">IF(НАСТРОЙКИ!$B$7&lt;&gt;"Да",0,IFERROR(SUMIF(INDIRECT("'["&amp;НАСТРОЙКИ!$D$7&amp;"]CF'!$L$3:$EO$3"),AX$22,INDIRECT("'["&amp;НАСТРОЙКИ!$D$7&amp;"]CF'!$L$20:$EO$20")),0))</f>
        <v>0</v>
      </c>
      <c r="AY78" s="35">
        <f ca="1">IF(НАСТРОЙКИ!$B$7&lt;&gt;"Да",0,IFERROR(SUMIF(INDIRECT("'["&amp;НАСТРОЙКИ!$D$7&amp;"]CF'!$L$3:$EO$3"),AY$22,INDIRECT("'["&amp;НАСТРОЙКИ!$D$7&amp;"]CF'!$L$20:$EO$20")),0))</f>
        <v>0</v>
      </c>
      <c r="AZ78" s="35">
        <f ca="1">IF(НАСТРОЙКИ!$B$7&lt;&gt;"Да",0,IFERROR(SUMIF(INDIRECT("'["&amp;НАСТРОЙКИ!$D$7&amp;"]CF'!$L$3:$EO$3"),AZ$22,INDIRECT("'["&amp;НАСТРОЙКИ!$D$7&amp;"]CF'!$L$20:$EO$20")),0))</f>
        <v>0</v>
      </c>
      <c r="BA78" s="35">
        <f ca="1">IF(НАСТРОЙКИ!$B$7&lt;&gt;"Да",0,IFERROR(SUMIF(INDIRECT("'["&amp;НАСТРОЙКИ!$D$7&amp;"]CF'!$L$3:$EO$3"),BA$22,INDIRECT("'["&amp;НАСТРОЙКИ!$D$7&amp;"]CF'!$L$20:$EO$20")),0))</f>
        <v>0</v>
      </c>
      <c r="BB78" s="35">
        <f ca="1">IF(НАСТРОЙКИ!$B$7&lt;&gt;"Да",0,IFERROR(SUMIF(INDIRECT("'["&amp;НАСТРОЙКИ!$D$7&amp;"]CF'!$L$3:$EO$3"),BB$22,INDIRECT("'["&amp;НАСТРОЙКИ!$D$7&amp;"]CF'!$L$20:$EO$20")),0))</f>
        <v>0</v>
      </c>
      <c r="BC78" s="35">
        <f ca="1">IF(НАСТРОЙКИ!$B$7&lt;&gt;"Да",0,IFERROR(SUMIF(INDIRECT("'["&amp;НАСТРОЙКИ!$D$7&amp;"]CF'!$L$3:$EO$3"),BC$22,INDIRECT("'["&amp;НАСТРОЙКИ!$D$7&amp;"]CF'!$L$20:$EO$20")),0))</f>
        <v>0</v>
      </c>
      <c r="BD78" s="35">
        <f ca="1">IF(НАСТРОЙКИ!$B$7&lt;&gt;"Да",0,IFERROR(SUMIF(INDIRECT("'["&amp;НАСТРОЙКИ!$D$7&amp;"]CF'!$L$3:$EO$3"),BD$22,INDIRECT("'["&amp;НАСТРОЙКИ!$D$7&amp;"]CF'!$L$20:$EO$20")),0))</f>
        <v>0</v>
      </c>
      <c r="BE78" s="35">
        <f ca="1">IF(НАСТРОЙКИ!$B$7&lt;&gt;"Да",0,IFERROR(SUMIF(INDIRECT("'["&amp;НАСТРОЙКИ!$D$7&amp;"]CF'!$L$3:$EO$3"),BE$22,INDIRECT("'["&amp;НАСТРОЙКИ!$D$7&amp;"]CF'!$L$20:$EO$20")),0))</f>
        <v>0</v>
      </c>
      <c r="BF78" s="35">
        <f ca="1">IF(НАСТРОЙКИ!$B$7&lt;&gt;"Да",0,IFERROR(SUMIF(INDIRECT("'["&amp;НАСТРОЙКИ!$D$7&amp;"]CF'!$L$3:$EO$3"),BF$22,INDIRECT("'["&amp;НАСТРОЙКИ!$D$7&amp;"]CF'!$L$20:$EO$20")),0))</f>
        <v>0</v>
      </c>
      <c r="BG78" s="35">
        <f ca="1">IF(НАСТРОЙКИ!$B$7&lt;&gt;"Да",0,IFERROR(SUMIF(INDIRECT("'["&amp;НАСТРОЙКИ!$D$7&amp;"]CF'!$L$3:$EO$3"),BG$22,INDIRECT("'["&amp;НАСТРОЙКИ!$D$7&amp;"]CF'!$L$20:$EO$20")),0))</f>
        <v>0</v>
      </c>
      <c r="BH78" s="35">
        <f ca="1">IF(НАСТРОЙКИ!$B$7&lt;&gt;"Да",0,IFERROR(SUMIF(INDIRECT("'["&amp;НАСТРОЙКИ!$D$7&amp;"]CF'!$L$3:$EO$3"),BH$22,INDIRECT("'["&amp;НАСТРОЙКИ!$D$7&amp;"]CF'!$L$20:$EO$20")),0))</f>
        <v>0</v>
      </c>
      <c r="BI78" s="35">
        <f ca="1">IF(НАСТРОЙКИ!$B$7&lt;&gt;"Да",0,IFERROR(SUMIF(INDIRECT("'["&amp;НАСТРОЙКИ!$D$7&amp;"]CF'!$L$3:$EO$3"),BI$22,INDIRECT("'["&amp;НАСТРОЙКИ!$D$7&amp;"]CF'!$L$20:$EO$20")),0))</f>
        <v>0</v>
      </c>
      <c r="BJ78" s="35">
        <f ca="1">IF(НАСТРОЙКИ!$B$7&lt;&gt;"Да",0,IFERROR(SUMIF(INDIRECT("'["&amp;НАСТРОЙКИ!$D$7&amp;"]CF'!$L$3:$EO$3"),BJ$22,INDIRECT("'["&amp;НАСТРОЙКИ!$D$7&amp;"]CF'!$L$20:$EO$20")),0))</f>
        <v>0</v>
      </c>
      <c r="BK78" s="35">
        <f ca="1">IF(НАСТРОЙКИ!$B$7&lt;&gt;"Да",0,IFERROR(SUMIF(INDIRECT("'["&amp;НАСТРОЙКИ!$D$7&amp;"]CF'!$L$3:$EO$3"),BK$22,INDIRECT("'["&amp;НАСТРОЙКИ!$D$7&amp;"]CF'!$L$20:$EO$20")),0))</f>
        <v>0</v>
      </c>
      <c r="BL78" s="35">
        <f ca="1">IF(НАСТРОЙКИ!$B$7&lt;&gt;"Да",0,IFERROR(SUMIF(INDIRECT("'["&amp;НАСТРОЙКИ!$D$7&amp;"]CF'!$L$3:$EO$3"),BL$22,INDIRECT("'["&amp;НАСТРОЙКИ!$D$7&amp;"]CF'!$L$20:$EO$20")),0))</f>
        <v>0</v>
      </c>
      <c r="BM78" s="35">
        <f ca="1">IF(НАСТРОЙКИ!$B$7&lt;&gt;"Да",0,IFERROR(SUMIF(INDIRECT("'["&amp;НАСТРОЙКИ!$D$7&amp;"]CF'!$L$3:$EO$3"),BM$22,INDIRECT("'["&amp;НАСТРОЙКИ!$D$7&amp;"]CF'!$L$20:$EO$20")),0))</f>
        <v>0</v>
      </c>
      <c r="BN78" s="35">
        <f ca="1">IF(НАСТРОЙКИ!$B$7&lt;&gt;"Да",0,IFERROR(SUMIF(INDIRECT("'["&amp;НАСТРОЙКИ!$D$7&amp;"]CF'!$L$3:$EO$3"),BN$22,INDIRECT("'["&amp;НАСТРОЙКИ!$D$7&amp;"]CF'!$L$20:$EO$20")),0))</f>
        <v>0</v>
      </c>
      <c r="BO78" s="35">
        <f ca="1">IF(НАСТРОЙКИ!$B$7&lt;&gt;"Да",0,IFERROR(SUMIF(INDIRECT("'["&amp;НАСТРОЙКИ!$D$7&amp;"]CF'!$L$3:$EO$3"),BO$22,INDIRECT("'["&amp;НАСТРОЙКИ!$D$7&amp;"]CF'!$L$20:$EO$20")),0))</f>
        <v>0</v>
      </c>
      <c r="BP78" s="35">
        <f ca="1">IF(НАСТРОЙКИ!$B$7&lt;&gt;"Да",0,IFERROR(SUMIF(INDIRECT("'["&amp;НАСТРОЙКИ!$D$7&amp;"]CF'!$L$3:$EO$3"),BP$22,INDIRECT("'["&amp;НАСТРОЙКИ!$D$7&amp;"]CF'!$L$20:$EO$20")),0))</f>
        <v>0</v>
      </c>
      <c r="BQ78" s="35">
        <f ca="1">IF(НАСТРОЙКИ!$B$7&lt;&gt;"Да",0,IFERROR(SUMIF(INDIRECT("'["&amp;НАСТРОЙКИ!$D$7&amp;"]CF'!$L$3:$EO$3"),BQ$22,INDIRECT("'["&amp;НАСТРОЙКИ!$D$7&amp;"]CF'!$L$20:$EO$20")),0))</f>
        <v>0</v>
      </c>
      <c r="BR78" s="35">
        <f ca="1">IF(НАСТРОЙКИ!$B$7&lt;&gt;"Да",0,IFERROR(SUMIF(INDIRECT("'["&amp;НАСТРОЙКИ!$D$7&amp;"]CF'!$L$3:$EO$3"),BR$22,INDIRECT("'["&amp;НАСТРОЙКИ!$D$7&amp;"]CF'!$L$20:$EO$20")),0))</f>
        <v>0</v>
      </c>
      <c r="BS78" s="35">
        <f ca="1">IF(НАСТРОЙКИ!$B$7&lt;&gt;"Да",0,IFERROR(SUMIF(INDIRECT("'["&amp;НАСТРОЙКИ!$D$7&amp;"]CF'!$L$3:$EO$3"),BS$22,INDIRECT("'["&amp;НАСТРОЙКИ!$D$7&amp;"]CF'!$L$20:$EO$20")),0))</f>
        <v>0</v>
      </c>
      <c r="BT78" s="35">
        <f ca="1">IF(НАСТРОЙКИ!$B$7&lt;&gt;"Да",0,IFERROR(SUMIF(INDIRECT("'["&amp;НАСТРОЙКИ!$D$7&amp;"]CF'!$L$3:$EO$3"),BT$22,INDIRECT("'["&amp;НАСТРОЙКИ!$D$7&amp;"]CF'!$L$20:$EO$20")),0))</f>
        <v>0</v>
      </c>
      <c r="BU78" s="35">
        <f ca="1">IF(НАСТРОЙКИ!$B$7&lt;&gt;"Да",0,IFERROR(SUMIF(INDIRECT("'["&amp;НАСТРОЙКИ!$D$7&amp;"]CF'!$L$3:$EO$3"),BU$22,INDIRECT("'["&amp;НАСТРОЙКИ!$D$7&amp;"]CF'!$L$20:$EO$20")),0))</f>
        <v>0</v>
      </c>
      <c r="BV78" s="35">
        <f ca="1">IF(НАСТРОЙКИ!$B$7&lt;&gt;"Да",0,IFERROR(SUMIF(INDIRECT("'["&amp;НАСТРОЙКИ!$D$7&amp;"]CF'!$L$3:$EO$3"),BV$22,INDIRECT("'["&amp;НАСТРОЙКИ!$D$7&amp;"]CF'!$L$20:$EO$20")),0))</f>
        <v>0</v>
      </c>
      <c r="BW78" s="35">
        <f ca="1">IF(НАСТРОЙКИ!$B$7&lt;&gt;"Да",0,IFERROR(SUMIF(INDIRECT("'["&amp;НАСТРОЙКИ!$D$7&amp;"]CF'!$L$3:$EO$3"),BW$22,INDIRECT("'["&amp;НАСТРОЙКИ!$D$7&amp;"]CF'!$L$20:$EO$20")),0))</f>
        <v>0</v>
      </c>
      <c r="BX78" s="35">
        <f ca="1">IF(НАСТРОЙКИ!$B$7&lt;&gt;"Да",0,IFERROR(SUMIF(INDIRECT("'["&amp;НАСТРОЙКИ!$D$7&amp;"]CF'!$L$3:$EO$3"),BX$22,INDIRECT("'["&amp;НАСТРОЙКИ!$D$7&amp;"]CF'!$L$20:$EO$20")),0))</f>
        <v>0</v>
      </c>
      <c r="BY78" s="35">
        <f ca="1">IF(НАСТРОЙКИ!$B$7&lt;&gt;"Да",0,IFERROR(SUMIF(INDIRECT("'["&amp;НАСТРОЙКИ!$D$7&amp;"]CF'!$L$3:$EO$3"),BY$22,INDIRECT("'["&amp;НАСТРОЙКИ!$D$7&amp;"]CF'!$L$20:$EO$20")),0))</f>
        <v>0</v>
      </c>
      <c r="BZ78" s="35">
        <f ca="1">IF(НАСТРОЙКИ!$B$7&lt;&gt;"Да",0,IFERROR(SUMIF(INDIRECT("'["&amp;НАСТРОЙКИ!$D$7&amp;"]CF'!$L$3:$EO$3"),BZ$22,INDIRECT("'["&amp;НАСТРОЙКИ!$D$7&amp;"]CF'!$L$20:$EO$20")),0))</f>
        <v>0</v>
      </c>
      <c r="CA78" s="35">
        <f ca="1">IF(НАСТРОЙКИ!$B$7&lt;&gt;"Да",0,IFERROR(SUMIF(INDIRECT("'["&amp;НАСТРОЙКИ!$D$7&amp;"]CF'!$L$3:$EO$3"),CA$22,INDIRECT("'["&amp;НАСТРОЙКИ!$D$7&amp;"]CF'!$L$20:$EO$20")),0))</f>
        <v>0</v>
      </c>
      <c r="CB78" s="35">
        <f ca="1">IF(НАСТРОЙКИ!$B$7&lt;&gt;"Да",0,IFERROR(SUMIF(INDIRECT("'["&amp;НАСТРОЙКИ!$D$7&amp;"]CF'!$L$3:$EO$3"),CB$22,INDIRECT("'["&amp;НАСТРОЙКИ!$D$7&amp;"]CF'!$L$20:$EO$20")),0))</f>
        <v>0</v>
      </c>
      <c r="CC78" s="35">
        <f ca="1">IF(НАСТРОЙКИ!$B$7&lt;&gt;"Да",0,IFERROR(SUMIF(INDIRECT("'["&amp;НАСТРОЙКИ!$D$7&amp;"]CF'!$L$3:$EO$3"),CC$22,INDIRECT("'["&amp;НАСТРОЙКИ!$D$7&amp;"]CF'!$L$20:$EO$20")),0))</f>
        <v>0</v>
      </c>
      <c r="CD78" s="35">
        <f ca="1">IF(НАСТРОЙКИ!$B$7&lt;&gt;"Да",0,IFERROR(SUMIF(INDIRECT("'["&amp;НАСТРОЙКИ!$D$7&amp;"]CF'!$L$3:$EO$3"),CD$22,INDIRECT("'["&amp;НАСТРОЙКИ!$D$7&amp;"]CF'!$L$20:$EO$20")),0))</f>
        <v>0</v>
      </c>
      <c r="CE78" s="35">
        <f ca="1">IF(НАСТРОЙКИ!$B$7&lt;&gt;"Да",0,IFERROR(SUMIF(INDIRECT("'["&amp;НАСТРОЙКИ!$D$7&amp;"]CF'!$L$3:$EO$3"),CE$22,INDIRECT("'["&amp;НАСТРОЙКИ!$D$7&amp;"]CF'!$L$20:$EO$20")),0))</f>
        <v>0</v>
      </c>
      <c r="CF78" s="35">
        <f ca="1">IF(НАСТРОЙКИ!$B$7&lt;&gt;"Да",0,IFERROR(SUMIF(INDIRECT("'["&amp;НАСТРОЙКИ!$D$7&amp;"]CF'!$L$3:$EO$3"),CF$22,INDIRECT("'["&amp;НАСТРОЙКИ!$D$7&amp;"]CF'!$L$20:$EO$20")),0))</f>
        <v>0</v>
      </c>
      <c r="CG78" s="35">
        <f ca="1">IF(НАСТРОЙКИ!$B$7&lt;&gt;"Да",0,IFERROR(SUMIF(INDIRECT("'["&amp;НАСТРОЙКИ!$D$7&amp;"]CF'!$L$3:$EO$3"),CG$22,INDIRECT("'["&amp;НАСТРОЙКИ!$D$7&amp;"]CF'!$L$20:$EO$20")),0))</f>
        <v>0</v>
      </c>
      <c r="CH78" s="35">
        <f ca="1">IF(НАСТРОЙКИ!$B$7&lt;&gt;"Да",0,IFERROR(SUMIF(INDIRECT("'["&amp;НАСТРОЙКИ!$D$7&amp;"]CF'!$L$3:$EO$3"),CH$22,INDIRECT("'["&amp;НАСТРОЙКИ!$D$7&amp;"]CF'!$L$20:$EO$20")),0))</f>
        <v>0</v>
      </c>
      <c r="CI78" s="35">
        <f ca="1">IF(НАСТРОЙКИ!$B$7&lt;&gt;"Да",0,IFERROR(SUMIF(INDIRECT("'["&amp;НАСТРОЙКИ!$D$7&amp;"]CF'!$L$3:$EO$3"),CI$22,INDIRECT("'["&amp;НАСТРОЙКИ!$D$7&amp;"]CF'!$L$20:$EO$20")),0))</f>
        <v>0</v>
      </c>
      <c r="CJ78" s="35">
        <f ca="1">IF(НАСТРОЙКИ!$B$7&lt;&gt;"Да",0,IFERROR(SUMIF(INDIRECT("'["&amp;НАСТРОЙКИ!$D$7&amp;"]CF'!$L$3:$EO$3"),CJ$22,INDIRECT("'["&amp;НАСТРОЙКИ!$D$7&amp;"]CF'!$L$20:$EO$20")),0))</f>
        <v>0</v>
      </c>
      <c r="CK78" s="35">
        <f ca="1">IF(НАСТРОЙКИ!$B$7&lt;&gt;"Да",0,IFERROR(SUMIF(INDIRECT("'["&amp;НАСТРОЙКИ!$D$7&amp;"]CF'!$L$3:$EO$3"),CK$22,INDIRECT("'["&amp;НАСТРОЙКИ!$D$7&amp;"]CF'!$L$20:$EO$20")),0))</f>
        <v>0</v>
      </c>
      <c r="CL78" s="35">
        <f ca="1">IF(НАСТРОЙКИ!$B$7&lt;&gt;"Да",0,IFERROR(SUMIF(INDIRECT("'["&amp;НАСТРОЙКИ!$D$7&amp;"]CF'!$L$3:$EO$3"),CL$22,INDIRECT("'["&amp;НАСТРОЙКИ!$D$7&amp;"]CF'!$L$20:$EO$20")),0))</f>
        <v>0</v>
      </c>
      <c r="CM78" s="35">
        <f ca="1">IF(НАСТРОЙКИ!$B$7&lt;&gt;"Да",0,IFERROR(SUMIF(INDIRECT("'["&amp;НАСТРОЙКИ!$D$7&amp;"]CF'!$L$3:$EO$3"),CM$22,INDIRECT("'["&amp;НАСТРОЙКИ!$D$7&amp;"]CF'!$L$20:$EO$20")),0))</f>
        <v>0</v>
      </c>
      <c r="CN78" s="35">
        <f ca="1">IF(НАСТРОЙКИ!$B$7&lt;&gt;"Да",0,IFERROR(SUMIF(INDIRECT("'["&amp;НАСТРОЙКИ!$D$7&amp;"]CF'!$L$3:$EO$3"),CN$22,INDIRECT("'["&amp;НАСТРОЙКИ!$D$7&amp;"]CF'!$L$20:$EO$20")),0))</f>
        <v>0</v>
      </c>
      <c r="CO78" s="35">
        <f ca="1">IF(НАСТРОЙКИ!$B$7&lt;&gt;"Да",0,IFERROR(SUMIF(INDIRECT("'["&amp;НАСТРОЙКИ!$D$7&amp;"]CF'!$L$3:$EO$3"),CO$22,INDIRECT("'["&amp;НАСТРОЙКИ!$D$7&amp;"]CF'!$L$20:$EO$20")),0))</f>
        <v>0</v>
      </c>
      <c r="CP78" s="35">
        <f ca="1">IF(НАСТРОЙКИ!$B$7&lt;&gt;"Да",0,IFERROR(SUMIF(INDIRECT("'["&amp;НАСТРОЙКИ!$D$7&amp;"]CF'!$L$3:$EO$3"),CP$22,INDIRECT("'["&amp;НАСТРОЙКИ!$D$7&amp;"]CF'!$L$20:$EO$20")),0))</f>
        <v>0</v>
      </c>
      <c r="CQ78" s="35">
        <f ca="1">IF(НАСТРОЙКИ!$B$7&lt;&gt;"Да",0,IFERROR(SUMIF(INDIRECT("'["&amp;НАСТРОЙКИ!$D$7&amp;"]CF'!$L$3:$EO$3"),CQ$22,INDIRECT("'["&amp;НАСТРОЙКИ!$D$7&amp;"]CF'!$L$20:$EO$20")),0))</f>
        <v>0</v>
      </c>
      <c r="CR78" s="35">
        <f ca="1">IF(НАСТРОЙКИ!$B$7&lt;&gt;"Да",0,IFERROR(SUMIF(INDIRECT("'["&amp;НАСТРОЙКИ!$D$7&amp;"]CF'!$L$3:$EO$3"),CR$22,INDIRECT("'["&amp;НАСТРОЙКИ!$D$7&amp;"]CF'!$L$20:$EO$20")),0))</f>
        <v>0</v>
      </c>
      <c r="CS78" s="35">
        <f ca="1">IF(НАСТРОЙКИ!$B$7&lt;&gt;"Да",0,IFERROR(SUMIF(INDIRECT("'["&amp;НАСТРОЙКИ!$D$7&amp;"]CF'!$L$3:$EO$3"),CS$22,INDIRECT("'["&amp;НАСТРОЙКИ!$D$7&amp;"]CF'!$L$20:$EO$20")),0))</f>
        <v>0</v>
      </c>
      <c r="CT78" s="35">
        <f ca="1">IF(НАСТРОЙКИ!$B$7&lt;&gt;"Да",0,IFERROR(SUMIF(INDIRECT("'["&amp;НАСТРОЙКИ!$D$7&amp;"]CF'!$L$3:$EO$3"),CT$22,INDIRECT("'["&amp;НАСТРОЙКИ!$D$7&amp;"]CF'!$L$20:$EO$20")),0))</f>
        <v>0</v>
      </c>
      <c r="CU78" s="35">
        <f ca="1">IF(НАСТРОЙКИ!$B$7&lt;&gt;"Да",0,IFERROR(SUMIF(INDIRECT("'["&amp;НАСТРОЙКИ!$D$7&amp;"]CF'!$L$3:$EO$3"),CU$22,INDIRECT("'["&amp;НАСТРОЙКИ!$D$7&amp;"]CF'!$L$20:$EO$20")),0))</f>
        <v>0</v>
      </c>
      <c r="CV78" s="35">
        <f ca="1">IF(НАСТРОЙКИ!$B$7&lt;&gt;"Да",0,IFERROR(SUMIF(INDIRECT("'["&amp;НАСТРОЙКИ!$D$7&amp;"]CF'!$L$3:$EO$3"),CV$22,INDIRECT("'["&amp;НАСТРОЙКИ!$D$7&amp;"]CF'!$L$20:$EO$20")),0))</f>
        <v>0</v>
      </c>
      <c r="CW78" s="35">
        <f ca="1">IF(НАСТРОЙКИ!$B$7&lt;&gt;"Да",0,IFERROR(SUMIF(INDIRECT("'["&amp;НАСТРОЙКИ!$D$7&amp;"]CF'!$L$3:$EO$3"),CW$22,INDIRECT("'["&amp;НАСТРОЙКИ!$D$7&amp;"]CF'!$L$20:$EO$20")),0))</f>
        <v>0</v>
      </c>
      <c r="CX78" s="35">
        <f ca="1">IF(НАСТРОЙКИ!$B$7&lt;&gt;"Да",0,IFERROR(SUMIF(INDIRECT("'["&amp;НАСТРОЙКИ!$D$7&amp;"]CF'!$L$3:$EO$3"),CX$22,INDIRECT("'["&amp;НАСТРОЙКИ!$D$7&amp;"]CF'!$L$20:$EO$20")),0))</f>
        <v>0</v>
      </c>
      <c r="CY78" s="35">
        <f ca="1">IF(НАСТРОЙКИ!$B$7&lt;&gt;"Да",0,IFERROR(SUMIF(INDIRECT("'["&amp;НАСТРОЙКИ!$D$7&amp;"]CF'!$L$3:$EO$3"),CY$22,INDIRECT("'["&amp;НАСТРОЙКИ!$D$7&amp;"]CF'!$L$20:$EO$20")),0))</f>
        <v>0</v>
      </c>
      <c r="CZ78" s="35">
        <f ca="1">IF(НАСТРОЙКИ!$B$7&lt;&gt;"Да",0,IFERROR(SUMIF(INDIRECT("'["&amp;НАСТРОЙКИ!$D$7&amp;"]CF'!$L$3:$EO$3"),CZ$22,INDIRECT("'["&amp;НАСТРОЙКИ!$D$7&amp;"]CF'!$L$20:$EO$20")),0))</f>
        <v>0</v>
      </c>
      <c r="DA78" s="35">
        <f ca="1">IF(НАСТРОЙКИ!$B$7&lt;&gt;"Да",0,IFERROR(SUMIF(INDIRECT("'["&amp;НАСТРОЙКИ!$D$7&amp;"]CF'!$L$3:$EO$3"),DA$22,INDIRECT("'["&amp;НАСТРОЙКИ!$D$7&amp;"]CF'!$L$20:$EO$20")),0))</f>
        <v>0</v>
      </c>
      <c r="DB78" s="35">
        <f ca="1">IF(НАСТРОЙКИ!$B$7&lt;&gt;"Да",0,IFERROR(SUMIF(INDIRECT("'["&amp;НАСТРОЙКИ!$D$7&amp;"]CF'!$L$3:$EO$3"),DB$22,INDIRECT("'["&amp;НАСТРОЙКИ!$D$7&amp;"]CF'!$L$20:$EO$20")),0))</f>
        <v>0</v>
      </c>
      <c r="DC78" s="35">
        <f ca="1">IF(НАСТРОЙКИ!$B$7&lt;&gt;"Да",0,IFERROR(SUMIF(INDIRECT("'["&amp;НАСТРОЙКИ!$D$7&amp;"]CF'!$L$3:$EO$3"),DC$22,INDIRECT("'["&amp;НАСТРОЙКИ!$D$7&amp;"]CF'!$L$20:$EO$20")),0))</f>
        <v>0</v>
      </c>
      <c r="DD78" s="35">
        <f ca="1">IF(НАСТРОЙКИ!$B$7&lt;&gt;"Да",0,IFERROR(SUMIF(INDIRECT("'["&amp;НАСТРОЙКИ!$D$7&amp;"]CF'!$L$3:$EO$3"),DD$22,INDIRECT("'["&amp;НАСТРОЙКИ!$D$7&amp;"]CF'!$L$20:$EO$20")),0))</f>
        <v>0</v>
      </c>
      <c r="DE78" s="35">
        <f ca="1">IF(НАСТРОЙКИ!$B$7&lt;&gt;"Да",0,IFERROR(SUMIF(INDIRECT("'["&amp;НАСТРОЙКИ!$D$7&amp;"]CF'!$L$3:$EO$3"),DE$22,INDIRECT("'["&amp;НАСТРОЙКИ!$D$7&amp;"]CF'!$L$20:$EO$20")),0))</f>
        <v>0</v>
      </c>
      <c r="DF78" s="35">
        <f ca="1">IF(НАСТРОЙКИ!$B$7&lt;&gt;"Да",0,IFERROR(SUMIF(INDIRECT("'["&amp;НАСТРОЙКИ!$D$7&amp;"]CF'!$L$3:$EO$3"),DF$22,INDIRECT("'["&amp;НАСТРОЙКИ!$D$7&amp;"]CF'!$L$20:$EO$20")),0))</f>
        <v>0</v>
      </c>
    </row>
    <row r="79" spans="1:110">
      <c r="A79" s="34" t="s">
        <v>125</v>
      </c>
      <c r="B79" s="34" t="s">
        <v>58</v>
      </c>
      <c r="C79" s="35">
        <f ca="1">IF(НАСТРОЙКИ!$B$7&lt;&gt;"Да",0,IFERROR(SUMIF(INDIRECT("'["&amp;НАСТРОЙКИ!$D$7&amp;"]CF'!$L$3:$EO$3"),C$22,INDIRECT("'["&amp;НАСТРОЙКИ!$D$7&amp;"]CF'!$L$25:$EO$25")),0))</f>
        <v>0</v>
      </c>
      <c r="D79" s="35">
        <f ca="1">IF(НАСТРОЙКИ!$B$7&lt;&gt;"Да",0,IFERROR(SUMIF(INDIRECT("'["&amp;НАСТРОЙКИ!$D$7&amp;"]CF'!$L$3:$EO$3"),D$22,INDIRECT("'["&amp;НАСТРОЙКИ!$D$7&amp;"]CF'!$L$25:$EO$25")),0))</f>
        <v>0</v>
      </c>
      <c r="E79" s="35">
        <f ca="1">IF(НАСТРОЙКИ!$B$7&lt;&gt;"Да",0,IFERROR(SUMIF(INDIRECT("'["&amp;НАСТРОЙКИ!$D$7&amp;"]CF'!$L$3:$EO$3"),E$22,INDIRECT("'["&amp;НАСТРОЙКИ!$D$7&amp;"]CF'!$L$25:$EO$25")),0))</f>
        <v>0</v>
      </c>
      <c r="F79" s="35">
        <f ca="1">IF(НАСТРОЙКИ!$B$7&lt;&gt;"Да",0,IFERROR(SUMIF(INDIRECT("'["&amp;НАСТРОЙКИ!$D$7&amp;"]CF'!$L$3:$EO$3"),F$22,INDIRECT("'["&amp;НАСТРОЙКИ!$D$7&amp;"]CF'!$L$25:$EO$25")),0))</f>
        <v>0</v>
      </c>
      <c r="G79" s="35">
        <f ca="1">IF(НАСТРОЙКИ!$B$7&lt;&gt;"Да",0,IFERROR(SUMIF(INDIRECT("'["&amp;НАСТРОЙКИ!$D$7&amp;"]CF'!$L$3:$EO$3"),G$22,INDIRECT("'["&amp;НАСТРОЙКИ!$D$7&amp;"]CF'!$L$25:$EO$25")),0))</f>
        <v>0</v>
      </c>
      <c r="H79" s="35">
        <f ca="1">IF(НАСТРОЙКИ!$B$7&lt;&gt;"Да",0,IFERROR(SUMIF(INDIRECT("'["&amp;НАСТРОЙКИ!$D$7&amp;"]CF'!$L$3:$EO$3"),H$22,INDIRECT("'["&amp;НАСТРОЙКИ!$D$7&amp;"]CF'!$L$25:$EO$25")),0))</f>
        <v>0</v>
      </c>
      <c r="I79" s="35">
        <f ca="1">IF(НАСТРОЙКИ!$B$7&lt;&gt;"Да",0,IFERROR(SUMIF(INDIRECT("'["&amp;НАСТРОЙКИ!$D$7&amp;"]CF'!$L$3:$EO$3"),I$22,INDIRECT("'["&amp;НАСТРОЙКИ!$D$7&amp;"]CF'!$L$25:$EO$25")),0))</f>
        <v>0</v>
      </c>
      <c r="J79" s="35">
        <f ca="1">IF(НАСТРОЙКИ!$B$7&lt;&gt;"Да",0,IFERROR(SUMIF(INDIRECT("'["&amp;НАСТРОЙКИ!$D$7&amp;"]CF'!$L$3:$EO$3"),J$22,INDIRECT("'["&amp;НАСТРОЙКИ!$D$7&amp;"]CF'!$L$25:$EO$25")),0))</f>
        <v>0</v>
      </c>
      <c r="K79" s="35">
        <f ca="1">IF(НАСТРОЙКИ!$B$7&lt;&gt;"Да",0,IFERROR(SUMIF(INDIRECT("'["&amp;НАСТРОЙКИ!$D$7&amp;"]CF'!$L$3:$EO$3"),K$22,INDIRECT("'["&amp;НАСТРОЙКИ!$D$7&amp;"]CF'!$L$25:$EO$25")),0))</f>
        <v>0</v>
      </c>
      <c r="L79" s="35">
        <f ca="1">IF(НАСТРОЙКИ!$B$7&lt;&gt;"Да",0,IFERROR(SUMIF(INDIRECT("'["&amp;НАСТРОЙКИ!$D$7&amp;"]CF'!$L$3:$EO$3"),L$22,INDIRECT("'["&amp;НАСТРОЙКИ!$D$7&amp;"]CF'!$L$25:$EO$25")),0))</f>
        <v>0</v>
      </c>
      <c r="M79" s="35">
        <f ca="1">IF(НАСТРОЙКИ!$B$7&lt;&gt;"Да",0,IFERROR(SUMIF(INDIRECT("'["&amp;НАСТРОЙКИ!$D$7&amp;"]CF'!$L$3:$EO$3"),M$22,INDIRECT("'["&amp;НАСТРОЙКИ!$D$7&amp;"]CF'!$L$25:$EO$25")),0))</f>
        <v>0</v>
      </c>
      <c r="N79" s="35">
        <f ca="1">IF(НАСТРОЙКИ!$B$7&lt;&gt;"Да",0,IFERROR(SUMIF(INDIRECT("'["&amp;НАСТРОЙКИ!$D$7&amp;"]CF'!$L$3:$EO$3"),N$22,INDIRECT("'["&amp;НАСТРОЙКИ!$D$7&amp;"]CF'!$L$25:$EO$25")),0))</f>
        <v>0</v>
      </c>
      <c r="O79" s="35">
        <f ca="1">IF(НАСТРОЙКИ!$B$7&lt;&gt;"Да",0,IFERROR(SUMIF(INDIRECT("'["&amp;НАСТРОЙКИ!$D$7&amp;"]CF'!$L$3:$EO$3"),O$22,INDIRECT("'["&amp;НАСТРОЙКИ!$D$7&amp;"]CF'!$L$25:$EO$25")),0))</f>
        <v>0</v>
      </c>
      <c r="P79" s="35">
        <f ca="1">IF(НАСТРОЙКИ!$B$7&lt;&gt;"Да",0,IFERROR(SUMIF(INDIRECT("'["&amp;НАСТРОЙКИ!$D$7&amp;"]CF'!$L$3:$EO$3"),P$22,INDIRECT("'["&amp;НАСТРОЙКИ!$D$7&amp;"]CF'!$L$25:$EO$25")),0))</f>
        <v>0</v>
      </c>
      <c r="Q79" s="35">
        <f ca="1">IF(НАСТРОЙКИ!$B$7&lt;&gt;"Да",0,IFERROR(SUMIF(INDIRECT("'["&amp;НАСТРОЙКИ!$D$7&amp;"]CF'!$L$3:$EO$3"),Q$22,INDIRECT("'["&amp;НАСТРОЙКИ!$D$7&amp;"]CF'!$L$25:$EO$25")),0))</f>
        <v>0</v>
      </c>
      <c r="R79" s="35">
        <f ca="1">IF(НАСТРОЙКИ!$B$7&lt;&gt;"Да",0,IFERROR(SUMIF(INDIRECT("'["&amp;НАСТРОЙКИ!$D$7&amp;"]CF'!$L$3:$EO$3"),R$22,INDIRECT("'["&amp;НАСТРОЙКИ!$D$7&amp;"]CF'!$L$25:$EO$25")),0))</f>
        <v>0</v>
      </c>
      <c r="S79" s="35">
        <f ca="1">IF(НАСТРОЙКИ!$B$7&lt;&gt;"Да",0,IFERROR(SUMIF(INDIRECT("'["&amp;НАСТРОЙКИ!$D$7&amp;"]CF'!$L$3:$EO$3"),S$22,INDIRECT("'["&amp;НАСТРОЙКИ!$D$7&amp;"]CF'!$L$25:$EO$25")),0))</f>
        <v>0</v>
      </c>
      <c r="T79" s="35">
        <f ca="1">IF(НАСТРОЙКИ!$B$7&lt;&gt;"Да",0,IFERROR(SUMIF(INDIRECT("'["&amp;НАСТРОЙКИ!$D$7&amp;"]CF'!$L$3:$EO$3"),T$22,INDIRECT("'["&amp;НАСТРОЙКИ!$D$7&amp;"]CF'!$L$25:$EO$25")),0))</f>
        <v>0</v>
      </c>
      <c r="U79" s="35">
        <f ca="1">IF(НАСТРОЙКИ!$B$7&lt;&gt;"Да",0,IFERROR(SUMIF(INDIRECT("'["&amp;НАСТРОЙКИ!$D$7&amp;"]CF'!$L$3:$EO$3"),U$22,INDIRECT("'["&amp;НАСТРОЙКИ!$D$7&amp;"]CF'!$L$25:$EO$25")),0))</f>
        <v>0</v>
      </c>
      <c r="V79" s="35">
        <f ca="1">IF(НАСТРОЙКИ!$B$7&lt;&gt;"Да",0,IFERROR(SUMIF(INDIRECT("'["&amp;НАСТРОЙКИ!$D$7&amp;"]CF'!$L$3:$EO$3"),V$22,INDIRECT("'["&amp;НАСТРОЙКИ!$D$7&amp;"]CF'!$L$25:$EO$25")),0))</f>
        <v>0</v>
      </c>
      <c r="W79" s="35">
        <f ca="1">IF(НАСТРОЙКИ!$B$7&lt;&gt;"Да",0,IFERROR(SUMIF(INDIRECT("'["&amp;НАСТРОЙКИ!$D$7&amp;"]CF'!$L$3:$EO$3"),W$22,INDIRECT("'["&amp;НАСТРОЙКИ!$D$7&amp;"]CF'!$L$25:$EO$25")),0))</f>
        <v>0</v>
      </c>
      <c r="X79" s="35">
        <f ca="1">IF(НАСТРОЙКИ!$B$7&lt;&gt;"Да",0,IFERROR(SUMIF(INDIRECT("'["&amp;НАСТРОЙКИ!$D$7&amp;"]CF'!$L$3:$EO$3"),X$22,INDIRECT("'["&amp;НАСТРОЙКИ!$D$7&amp;"]CF'!$L$25:$EO$25")),0))</f>
        <v>0</v>
      </c>
      <c r="Y79" s="35">
        <f ca="1">IF(НАСТРОЙКИ!$B$7&lt;&gt;"Да",0,IFERROR(SUMIF(INDIRECT("'["&amp;НАСТРОЙКИ!$D$7&amp;"]CF'!$L$3:$EO$3"),Y$22,INDIRECT("'["&amp;НАСТРОЙКИ!$D$7&amp;"]CF'!$L$25:$EO$25")),0))</f>
        <v>0</v>
      </c>
      <c r="Z79" s="35">
        <f ca="1">IF(НАСТРОЙКИ!$B$7&lt;&gt;"Да",0,IFERROR(SUMIF(INDIRECT("'["&amp;НАСТРОЙКИ!$D$7&amp;"]CF'!$L$3:$EO$3"),Z$22,INDIRECT("'["&amp;НАСТРОЙКИ!$D$7&amp;"]CF'!$L$25:$EO$25")),0))</f>
        <v>0</v>
      </c>
      <c r="AA79" s="35">
        <f ca="1">IF(НАСТРОЙКИ!$B$7&lt;&gt;"Да",0,IFERROR(SUMIF(INDIRECT("'["&amp;НАСТРОЙКИ!$D$7&amp;"]CF'!$L$3:$EO$3"),AA$22,INDIRECT("'["&amp;НАСТРОЙКИ!$D$7&amp;"]CF'!$L$25:$EO$25")),0))</f>
        <v>0</v>
      </c>
      <c r="AB79" s="35">
        <f ca="1">IF(НАСТРОЙКИ!$B$7&lt;&gt;"Да",0,IFERROR(SUMIF(INDIRECT("'["&amp;НАСТРОЙКИ!$D$7&amp;"]CF'!$L$3:$EO$3"),AB$22,INDIRECT("'["&amp;НАСТРОЙКИ!$D$7&amp;"]CF'!$L$25:$EO$25")),0))</f>
        <v>0</v>
      </c>
      <c r="AC79" s="35">
        <f ca="1">IF(НАСТРОЙКИ!$B$7&lt;&gt;"Да",0,IFERROR(SUMIF(INDIRECT("'["&amp;НАСТРОЙКИ!$D$7&amp;"]CF'!$L$3:$EO$3"),AC$22,INDIRECT("'["&amp;НАСТРОЙКИ!$D$7&amp;"]CF'!$L$25:$EO$25")),0))</f>
        <v>0</v>
      </c>
      <c r="AD79" s="35">
        <f ca="1">IF(НАСТРОЙКИ!$B$7&lt;&gt;"Да",0,IFERROR(SUMIF(INDIRECT("'["&amp;НАСТРОЙКИ!$D$7&amp;"]CF'!$L$3:$EO$3"),AD$22,INDIRECT("'["&amp;НАСТРОЙКИ!$D$7&amp;"]CF'!$L$25:$EO$25")),0))</f>
        <v>0</v>
      </c>
      <c r="AE79" s="35">
        <f ca="1">IF(НАСТРОЙКИ!$B$7&lt;&gt;"Да",0,IFERROR(SUMIF(INDIRECT("'["&amp;НАСТРОЙКИ!$D$7&amp;"]CF'!$L$3:$EO$3"),AE$22,INDIRECT("'["&amp;НАСТРОЙКИ!$D$7&amp;"]CF'!$L$25:$EO$25")),0))</f>
        <v>0</v>
      </c>
      <c r="AF79" s="35">
        <f ca="1">IF(НАСТРОЙКИ!$B$7&lt;&gt;"Да",0,IFERROR(SUMIF(INDIRECT("'["&amp;НАСТРОЙКИ!$D$7&amp;"]CF'!$L$3:$EO$3"),AF$22,INDIRECT("'["&amp;НАСТРОЙКИ!$D$7&amp;"]CF'!$L$25:$EO$25")),0))</f>
        <v>0</v>
      </c>
      <c r="AG79" s="35">
        <f ca="1">IF(НАСТРОЙКИ!$B$7&lt;&gt;"Да",0,IFERROR(SUMIF(INDIRECT("'["&amp;НАСТРОЙКИ!$D$7&amp;"]CF'!$L$3:$EO$3"),AG$22,INDIRECT("'["&amp;НАСТРОЙКИ!$D$7&amp;"]CF'!$L$25:$EO$25")),0))</f>
        <v>0</v>
      </c>
      <c r="AH79" s="35">
        <f ca="1">IF(НАСТРОЙКИ!$B$7&lt;&gt;"Да",0,IFERROR(SUMIF(INDIRECT("'["&amp;НАСТРОЙКИ!$D$7&amp;"]CF'!$L$3:$EO$3"),AH$22,INDIRECT("'["&amp;НАСТРОЙКИ!$D$7&amp;"]CF'!$L$25:$EO$25")),0))</f>
        <v>0</v>
      </c>
      <c r="AI79" s="35">
        <f ca="1">IF(НАСТРОЙКИ!$B$7&lt;&gt;"Да",0,IFERROR(SUMIF(INDIRECT("'["&amp;НАСТРОЙКИ!$D$7&amp;"]CF'!$L$3:$EO$3"),AI$22,INDIRECT("'["&amp;НАСТРОЙКИ!$D$7&amp;"]CF'!$L$25:$EO$25")),0))</f>
        <v>0</v>
      </c>
      <c r="AJ79" s="35">
        <f ca="1">IF(НАСТРОЙКИ!$B$7&lt;&gt;"Да",0,IFERROR(SUMIF(INDIRECT("'["&amp;НАСТРОЙКИ!$D$7&amp;"]CF'!$L$3:$EO$3"),AJ$22,INDIRECT("'["&amp;НАСТРОЙКИ!$D$7&amp;"]CF'!$L$25:$EO$25")),0))</f>
        <v>0</v>
      </c>
      <c r="AK79" s="35">
        <f ca="1">IF(НАСТРОЙКИ!$B$7&lt;&gt;"Да",0,IFERROR(SUMIF(INDIRECT("'["&amp;НАСТРОЙКИ!$D$7&amp;"]CF'!$L$3:$EO$3"),AK$22,INDIRECT("'["&amp;НАСТРОЙКИ!$D$7&amp;"]CF'!$L$25:$EO$25")),0))</f>
        <v>0</v>
      </c>
      <c r="AL79" s="35">
        <f ca="1">IF(НАСТРОЙКИ!$B$7&lt;&gt;"Да",0,IFERROR(SUMIF(INDIRECT("'["&amp;НАСТРОЙКИ!$D$7&amp;"]CF'!$L$3:$EO$3"),AL$22,INDIRECT("'["&amp;НАСТРОЙКИ!$D$7&amp;"]CF'!$L$25:$EO$25")),0))</f>
        <v>0</v>
      </c>
      <c r="AM79" s="35">
        <f ca="1">IF(НАСТРОЙКИ!$B$7&lt;&gt;"Да",0,IFERROR(SUMIF(INDIRECT("'["&amp;НАСТРОЙКИ!$D$7&amp;"]CF'!$L$3:$EO$3"),AM$22,INDIRECT("'["&amp;НАСТРОЙКИ!$D$7&amp;"]CF'!$L$25:$EO$25")),0))</f>
        <v>0</v>
      </c>
      <c r="AN79" s="35">
        <f ca="1">IF(НАСТРОЙКИ!$B$7&lt;&gt;"Да",0,IFERROR(SUMIF(INDIRECT("'["&amp;НАСТРОЙКИ!$D$7&amp;"]CF'!$L$3:$EO$3"),AN$22,INDIRECT("'["&amp;НАСТРОЙКИ!$D$7&amp;"]CF'!$L$25:$EO$25")),0))</f>
        <v>0</v>
      </c>
      <c r="AO79" s="35">
        <f ca="1">IF(НАСТРОЙКИ!$B$7&lt;&gt;"Да",0,IFERROR(SUMIF(INDIRECT("'["&amp;НАСТРОЙКИ!$D$7&amp;"]CF'!$L$3:$EO$3"),AO$22,INDIRECT("'["&amp;НАСТРОЙКИ!$D$7&amp;"]CF'!$L$25:$EO$25")),0))</f>
        <v>0</v>
      </c>
      <c r="AP79" s="35">
        <f ca="1">IF(НАСТРОЙКИ!$B$7&lt;&gt;"Да",0,IFERROR(SUMIF(INDIRECT("'["&amp;НАСТРОЙКИ!$D$7&amp;"]CF'!$L$3:$EO$3"),AP$22,INDIRECT("'["&amp;НАСТРОЙКИ!$D$7&amp;"]CF'!$L$25:$EO$25")),0))</f>
        <v>0</v>
      </c>
      <c r="AQ79" s="35">
        <f ca="1">IF(НАСТРОЙКИ!$B$7&lt;&gt;"Да",0,IFERROR(SUMIF(INDIRECT("'["&amp;НАСТРОЙКИ!$D$7&amp;"]CF'!$L$3:$EO$3"),AQ$22,INDIRECT("'["&amp;НАСТРОЙКИ!$D$7&amp;"]CF'!$L$25:$EO$25")),0))</f>
        <v>0</v>
      </c>
      <c r="AR79" s="35">
        <f ca="1">IF(НАСТРОЙКИ!$B$7&lt;&gt;"Да",0,IFERROR(SUMIF(INDIRECT("'["&amp;НАСТРОЙКИ!$D$7&amp;"]CF'!$L$3:$EO$3"),AR$22,INDIRECT("'["&amp;НАСТРОЙКИ!$D$7&amp;"]CF'!$L$25:$EO$25")),0))</f>
        <v>0</v>
      </c>
      <c r="AS79" s="35">
        <f ca="1">IF(НАСТРОЙКИ!$B$7&lt;&gt;"Да",0,IFERROR(SUMIF(INDIRECT("'["&amp;НАСТРОЙКИ!$D$7&amp;"]CF'!$L$3:$EO$3"),AS$22,INDIRECT("'["&amp;НАСТРОЙКИ!$D$7&amp;"]CF'!$L$25:$EO$25")),0))</f>
        <v>0</v>
      </c>
      <c r="AT79" s="35">
        <f ca="1">IF(НАСТРОЙКИ!$B$7&lt;&gt;"Да",0,IFERROR(SUMIF(INDIRECT("'["&amp;НАСТРОЙКИ!$D$7&amp;"]CF'!$L$3:$EO$3"),AT$22,INDIRECT("'["&amp;НАСТРОЙКИ!$D$7&amp;"]CF'!$L$25:$EO$25")),0))</f>
        <v>0</v>
      </c>
      <c r="AU79" s="35">
        <f ca="1">IF(НАСТРОЙКИ!$B$7&lt;&gt;"Да",0,IFERROR(SUMIF(INDIRECT("'["&amp;НАСТРОЙКИ!$D$7&amp;"]CF'!$L$3:$EO$3"),AU$22,INDIRECT("'["&amp;НАСТРОЙКИ!$D$7&amp;"]CF'!$L$25:$EO$25")),0))</f>
        <v>0</v>
      </c>
      <c r="AV79" s="35">
        <f ca="1">IF(НАСТРОЙКИ!$B$7&lt;&gt;"Да",0,IFERROR(SUMIF(INDIRECT("'["&amp;НАСТРОЙКИ!$D$7&amp;"]CF'!$L$3:$EO$3"),AV$22,INDIRECT("'["&amp;НАСТРОЙКИ!$D$7&amp;"]CF'!$L$25:$EO$25")),0))</f>
        <v>0</v>
      </c>
      <c r="AW79" s="35">
        <f ca="1">IF(НАСТРОЙКИ!$B$7&lt;&gt;"Да",0,IFERROR(SUMIF(INDIRECT("'["&amp;НАСТРОЙКИ!$D$7&amp;"]CF'!$L$3:$EO$3"),AW$22,INDIRECT("'["&amp;НАСТРОЙКИ!$D$7&amp;"]CF'!$L$25:$EO$25")),0))</f>
        <v>0</v>
      </c>
      <c r="AX79" s="35">
        <f ca="1">IF(НАСТРОЙКИ!$B$7&lt;&gt;"Да",0,IFERROR(SUMIF(INDIRECT("'["&amp;НАСТРОЙКИ!$D$7&amp;"]CF'!$L$3:$EO$3"),AX$22,INDIRECT("'["&amp;НАСТРОЙКИ!$D$7&amp;"]CF'!$L$25:$EO$25")),0))</f>
        <v>0</v>
      </c>
      <c r="AY79" s="35">
        <f ca="1">IF(НАСТРОЙКИ!$B$7&lt;&gt;"Да",0,IFERROR(SUMIF(INDIRECT("'["&amp;НАСТРОЙКИ!$D$7&amp;"]CF'!$L$3:$EO$3"),AY$22,INDIRECT("'["&amp;НАСТРОЙКИ!$D$7&amp;"]CF'!$L$25:$EO$25")),0))</f>
        <v>0</v>
      </c>
      <c r="AZ79" s="35">
        <f ca="1">IF(НАСТРОЙКИ!$B$7&lt;&gt;"Да",0,IFERROR(SUMIF(INDIRECT("'["&amp;НАСТРОЙКИ!$D$7&amp;"]CF'!$L$3:$EO$3"),AZ$22,INDIRECT("'["&amp;НАСТРОЙКИ!$D$7&amp;"]CF'!$L$25:$EO$25")),0))</f>
        <v>0</v>
      </c>
      <c r="BA79" s="35">
        <f ca="1">IF(НАСТРОЙКИ!$B$7&lt;&gt;"Да",0,IFERROR(SUMIF(INDIRECT("'["&amp;НАСТРОЙКИ!$D$7&amp;"]CF'!$L$3:$EO$3"),BA$22,INDIRECT("'["&amp;НАСТРОЙКИ!$D$7&amp;"]CF'!$L$25:$EO$25")),0))</f>
        <v>0</v>
      </c>
      <c r="BB79" s="35">
        <f ca="1">IF(НАСТРОЙКИ!$B$7&lt;&gt;"Да",0,IFERROR(SUMIF(INDIRECT("'["&amp;НАСТРОЙКИ!$D$7&amp;"]CF'!$L$3:$EO$3"),BB$22,INDIRECT("'["&amp;НАСТРОЙКИ!$D$7&amp;"]CF'!$L$25:$EO$25")),0))</f>
        <v>0</v>
      </c>
      <c r="BC79" s="35">
        <f ca="1">IF(НАСТРОЙКИ!$B$7&lt;&gt;"Да",0,IFERROR(SUMIF(INDIRECT("'["&amp;НАСТРОЙКИ!$D$7&amp;"]CF'!$L$3:$EO$3"),BC$22,INDIRECT("'["&amp;НАСТРОЙКИ!$D$7&amp;"]CF'!$L$25:$EO$25")),0))</f>
        <v>0</v>
      </c>
      <c r="BD79" s="35">
        <f ca="1">IF(НАСТРОЙКИ!$B$7&lt;&gt;"Да",0,IFERROR(SUMIF(INDIRECT("'["&amp;НАСТРОЙКИ!$D$7&amp;"]CF'!$L$3:$EO$3"),BD$22,INDIRECT("'["&amp;НАСТРОЙКИ!$D$7&amp;"]CF'!$L$25:$EO$25")),0))</f>
        <v>0</v>
      </c>
      <c r="BE79" s="35">
        <f ca="1">IF(НАСТРОЙКИ!$B$7&lt;&gt;"Да",0,IFERROR(SUMIF(INDIRECT("'["&amp;НАСТРОЙКИ!$D$7&amp;"]CF'!$L$3:$EO$3"),BE$22,INDIRECT("'["&amp;НАСТРОЙКИ!$D$7&amp;"]CF'!$L$25:$EO$25")),0))</f>
        <v>0</v>
      </c>
      <c r="BF79" s="35">
        <f ca="1">IF(НАСТРОЙКИ!$B$7&lt;&gt;"Да",0,IFERROR(SUMIF(INDIRECT("'["&amp;НАСТРОЙКИ!$D$7&amp;"]CF'!$L$3:$EO$3"),BF$22,INDIRECT("'["&amp;НАСТРОЙКИ!$D$7&amp;"]CF'!$L$25:$EO$25")),0))</f>
        <v>0</v>
      </c>
      <c r="BG79" s="35">
        <f ca="1">IF(НАСТРОЙКИ!$B$7&lt;&gt;"Да",0,IFERROR(SUMIF(INDIRECT("'["&amp;НАСТРОЙКИ!$D$7&amp;"]CF'!$L$3:$EO$3"),BG$22,INDIRECT("'["&amp;НАСТРОЙКИ!$D$7&amp;"]CF'!$L$25:$EO$25")),0))</f>
        <v>0</v>
      </c>
      <c r="BH79" s="35">
        <f ca="1">IF(НАСТРОЙКИ!$B$7&lt;&gt;"Да",0,IFERROR(SUMIF(INDIRECT("'["&amp;НАСТРОЙКИ!$D$7&amp;"]CF'!$L$3:$EO$3"),BH$22,INDIRECT("'["&amp;НАСТРОЙКИ!$D$7&amp;"]CF'!$L$25:$EO$25")),0))</f>
        <v>0</v>
      </c>
      <c r="BI79" s="35">
        <f ca="1">IF(НАСТРОЙКИ!$B$7&lt;&gt;"Да",0,IFERROR(SUMIF(INDIRECT("'["&amp;НАСТРОЙКИ!$D$7&amp;"]CF'!$L$3:$EO$3"),BI$22,INDIRECT("'["&amp;НАСТРОЙКИ!$D$7&amp;"]CF'!$L$25:$EO$25")),0))</f>
        <v>0</v>
      </c>
      <c r="BJ79" s="35">
        <f ca="1">IF(НАСТРОЙКИ!$B$7&lt;&gt;"Да",0,IFERROR(SUMIF(INDIRECT("'["&amp;НАСТРОЙКИ!$D$7&amp;"]CF'!$L$3:$EO$3"),BJ$22,INDIRECT("'["&amp;НАСТРОЙКИ!$D$7&amp;"]CF'!$L$25:$EO$25")),0))</f>
        <v>0</v>
      </c>
      <c r="BK79" s="35">
        <f ca="1">IF(НАСТРОЙКИ!$B$7&lt;&gt;"Да",0,IFERROR(SUMIF(INDIRECT("'["&amp;НАСТРОЙКИ!$D$7&amp;"]CF'!$L$3:$EO$3"),BK$22,INDIRECT("'["&amp;НАСТРОЙКИ!$D$7&amp;"]CF'!$L$25:$EO$25")),0))</f>
        <v>0</v>
      </c>
      <c r="BL79" s="35">
        <f ca="1">IF(НАСТРОЙКИ!$B$7&lt;&gt;"Да",0,IFERROR(SUMIF(INDIRECT("'["&amp;НАСТРОЙКИ!$D$7&amp;"]CF'!$L$3:$EO$3"),BL$22,INDIRECT("'["&amp;НАСТРОЙКИ!$D$7&amp;"]CF'!$L$25:$EO$25")),0))</f>
        <v>0</v>
      </c>
      <c r="BM79" s="35">
        <f ca="1">IF(НАСТРОЙКИ!$B$7&lt;&gt;"Да",0,IFERROR(SUMIF(INDIRECT("'["&amp;НАСТРОЙКИ!$D$7&amp;"]CF'!$L$3:$EO$3"),BM$22,INDIRECT("'["&amp;НАСТРОЙКИ!$D$7&amp;"]CF'!$L$25:$EO$25")),0))</f>
        <v>0</v>
      </c>
      <c r="BN79" s="35">
        <f ca="1">IF(НАСТРОЙКИ!$B$7&lt;&gt;"Да",0,IFERROR(SUMIF(INDIRECT("'["&amp;НАСТРОЙКИ!$D$7&amp;"]CF'!$L$3:$EO$3"),BN$22,INDIRECT("'["&amp;НАСТРОЙКИ!$D$7&amp;"]CF'!$L$25:$EO$25")),0))</f>
        <v>0</v>
      </c>
      <c r="BO79" s="35">
        <f ca="1">IF(НАСТРОЙКИ!$B$7&lt;&gt;"Да",0,IFERROR(SUMIF(INDIRECT("'["&amp;НАСТРОЙКИ!$D$7&amp;"]CF'!$L$3:$EO$3"),BO$22,INDIRECT("'["&amp;НАСТРОЙКИ!$D$7&amp;"]CF'!$L$25:$EO$25")),0))</f>
        <v>0</v>
      </c>
      <c r="BP79" s="35">
        <f ca="1">IF(НАСТРОЙКИ!$B$7&lt;&gt;"Да",0,IFERROR(SUMIF(INDIRECT("'["&amp;НАСТРОЙКИ!$D$7&amp;"]CF'!$L$3:$EO$3"),BP$22,INDIRECT("'["&amp;НАСТРОЙКИ!$D$7&amp;"]CF'!$L$25:$EO$25")),0))</f>
        <v>0</v>
      </c>
      <c r="BQ79" s="35">
        <f ca="1">IF(НАСТРОЙКИ!$B$7&lt;&gt;"Да",0,IFERROR(SUMIF(INDIRECT("'["&amp;НАСТРОЙКИ!$D$7&amp;"]CF'!$L$3:$EO$3"),BQ$22,INDIRECT("'["&amp;НАСТРОЙКИ!$D$7&amp;"]CF'!$L$25:$EO$25")),0))</f>
        <v>0</v>
      </c>
      <c r="BR79" s="35">
        <f ca="1">IF(НАСТРОЙКИ!$B$7&lt;&gt;"Да",0,IFERROR(SUMIF(INDIRECT("'["&amp;НАСТРОЙКИ!$D$7&amp;"]CF'!$L$3:$EO$3"),BR$22,INDIRECT("'["&amp;НАСТРОЙКИ!$D$7&amp;"]CF'!$L$25:$EO$25")),0))</f>
        <v>0</v>
      </c>
      <c r="BS79" s="35">
        <f ca="1">IF(НАСТРОЙКИ!$B$7&lt;&gt;"Да",0,IFERROR(SUMIF(INDIRECT("'["&amp;НАСТРОЙКИ!$D$7&amp;"]CF'!$L$3:$EO$3"),BS$22,INDIRECT("'["&amp;НАСТРОЙКИ!$D$7&amp;"]CF'!$L$25:$EO$25")),0))</f>
        <v>0</v>
      </c>
      <c r="BT79" s="35">
        <f ca="1">IF(НАСТРОЙКИ!$B$7&lt;&gt;"Да",0,IFERROR(SUMIF(INDIRECT("'["&amp;НАСТРОЙКИ!$D$7&amp;"]CF'!$L$3:$EO$3"),BT$22,INDIRECT("'["&amp;НАСТРОЙКИ!$D$7&amp;"]CF'!$L$25:$EO$25")),0))</f>
        <v>0</v>
      </c>
      <c r="BU79" s="35">
        <f ca="1">IF(НАСТРОЙКИ!$B$7&lt;&gt;"Да",0,IFERROR(SUMIF(INDIRECT("'["&amp;НАСТРОЙКИ!$D$7&amp;"]CF'!$L$3:$EO$3"),BU$22,INDIRECT("'["&amp;НАСТРОЙКИ!$D$7&amp;"]CF'!$L$25:$EO$25")),0))</f>
        <v>0</v>
      </c>
      <c r="BV79" s="35">
        <f ca="1">IF(НАСТРОЙКИ!$B$7&lt;&gt;"Да",0,IFERROR(SUMIF(INDIRECT("'["&amp;НАСТРОЙКИ!$D$7&amp;"]CF'!$L$3:$EO$3"),BV$22,INDIRECT("'["&amp;НАСТРОЙКИ!$D$7&amp;"]CF'!$L$25:$EO$25")),0))</f>
        <v>0</v>
      </c>
      <c r="BW79" s="35">
        <f ca="1">IF(НАСТРОЙКИ!$B$7&lt;&gt;"Да",0,IFERROR(SUMIF(INDIRECT("'["&amp;НАСТРОЙКИ!$D$7&amp;"]CF'!$L$3:$EO$3"),BW$22,INDIRECT("'["&amp;НАСТРОЙКИ!$D$7&amp;"]CF'!$L$25:$EO$25")),0))</f>
        <v>0</v>
      </c>
      <c r="BX79" s="35">
        <f ca="1">IF(НАСТРОЙКИ!$B$7&lt;&gt;"Да",0,IFERROR(SUMIF(INDIRECT("'["&amp;НАСТРОЙКИ!$D$7&amp;"]CF'!$L$3:$EO$3"),BX$22,INDIRECT("'["&amp;НАСТРОЙКИ!$D$7&amp;"]CF'!$L$25:$EO$25")),0))</f>
        <v>0</v>
      </c>
      <c r="BY79" s="35">
        <f ca="1">IF(НАСТРОЙКИ!$B$7&lt;&gt;"Да",0,IFERROR(SUMIF(INDIRECT("'["&amp;НАСТРОЙКИ!$D$7&amp;"]CF'!$L$3:$EO$3"),BY$22,INDIRECT("'["&amp;НАСТРОЙКИ!$D$7&amp;"]CF'!$L$25:$EO$25")),0))</f>
        <v>0</v>
      </c>
      <c r="BZ79" s="35">
        <f ca="1">IF(НАСТРОЙКИ!$B$7&lt;&gt;"Да",0,IFERROR(SUMIF(INDIRECT("'["&amp;НАСТРОЙКИ!$D$7&amp;"]CF'!$L$3:$EO$3"),BZ$22,INDIRECT("'["&amp;НАСТРОЙКИ!$D$7&amp;"]CF'!$L$25:$EO$25")),0))</f>
        <v>0</v>
      </c>
      <c r="CA79" s="35">
        <f ca="1">IF(НАСТРОЙКИ!$B$7&lt;&gt;"Да",0,IFERROR(SUMIF(INDIRECT("'["&amp;НАСТРОЙКИ!$D$7&amp;"]CF'!$L$3:$EO$3"),CA$22,INDIRECT("'["&amp;НАСТРОЙКИ!$D$7&amp;"]CF'!$L$25:$EO$25")),0))</f>
        <v>0</v>
      </c>
      <c r="CB79" s="35">
        <f ca="1">IF(НАСТРОЙКИ!$B$7&lt;&gt;"Да",0,IFERROR(SUMIF(INDIRECT("'["&amp;НАСТРОЙКИ!$D$7&amp;"]CF'!$L$3:$EO$3"),CB$22,INDIRECT("'["&amp;НАСТРОЙКИ!$D$7&amp;"]CF'!$L$25:$EO$25")),0))</f>
        <v>0</v>
      </c>
      <c r="CC79" s="35">
        <f ca="1">IF(НАСТРОЙКИ!$B$7&lt;&gt;"Да",0,IFERROR(SUMIF(INDIRECT("'["&amp;НАСТРОЙКИ!$D$7&amp;"]CF'!$L$3:$EO$3"),CC$22,INDIRECT("'["&amp;НАСТРОЙКИ!$D$7&amp;"]CF'!$L$25:$EO$25")),0))</f>
        <v>0</v>
      </c>
      <c r="CD79" s="35">
        <f ca="1">IF(НАСТРОЙКИ!$B$7&lt;&gt;"Да",0,IFERROR(SUMIF(INDIRECT("'["&amp;НАСТРОЙКИ!$D$7&amp;"]CF'!$L$3:$EO$3"),CD$22,INDIRECT("'["&amp;НАСТРОЙКИ!$D$7&amp;"]CF'!$L$25:$EO$25")),0))</f>
        <v>0</v>
      </c>
      <c r="CE79" s="35">
        <f ca="1">IF(НАСТРОЙКИ!$B$7&lt;&gt;"Да",0,IFERROR(SUMIF(INDIRECT("'["&amp;НАСТРОЙКИ!$D$7&amp;"]CF'!$L$3:$EO$3"),CE$22,INDIRECT("'["&amp;НАСТРОЙКИ!$D$7&amp;"]CF'!$L$25:$EO$25")),0))</f>
        <v>0</v>
      </c>
      <c r="CF79" s="35">
        <f ca="1">IF(НАСТРОЙКИ!$B$7&lt;&gt;"Да",0,IFERROR(SUMIF(INDIRECT("'["&amp;НАСТРОЙКИ!$D$7&amp;"]CF'!$L$3:$EO$3"),CF$22,INDIRECT("'["&amp;НАСТРОЙКИ!$D$7&amp;"]CF'!$L$25:$EO$25")),0))</f>
        <v>0</v>
      </c>
      <c r="CG79" s="35">
        <f ca="1">IF(НАСТРОЙКИ!$B$7&lt;&gt;"Да",0,IFERROR(SUMIF(INDIRECT("'["&amp;НАСТРОЙКИ!$D$7&amp;"]CF'!$L$3:$EO$3"),CG$22,INDIRECT("'["&amp;НАСТРОЙКИ!$D$7&amp;"]CF'!$L$25:$EO$25")),0))</f>
        <v>0</v>
      </c>
      <c r="CH79" s="35">
        <f ca="1">IF(НАСТРОЙКИ!$B$7&lt;&gt;"Да",0,IFERROR(SUMIF(INDIRECT("'["&amp;НАСТРОЙКИ!$D$7&amp;"]CF'!$L$3:$EO$3"),CH$22,INDIRECT("'["&amp;НАСТРОЙКИ!$D$7&amp;"]CF'!$L$25:$EO$25")),0))</f>
        <v>0</v>
      </c>
      <c r="CI79" s="35">
        <f ca="1">IF(НАСТРОЙКИ!$B$7&lt;&gt;"Да",0,IFERROR(SUMIF(INDIRECT("'["&amp;НАСТРОЙКИ!$D$7&amp;"]CF'!$L$3:$EO$3"),CI$22,INDIRECT("'["&amp;НАСТРОЙКИ!$D$7&amp;"]CF'!$L$25:$EO$25")),0))</f>
        <v>0</v>
      </c>
      <c r="CJ79" s="35">
        <f ca="1">IF(НАСТРОЙКИ!$B$7&lt;&gt;"Да",0,IFERROR(SUMIF(INDIRECT("'["&amp;НАСТРОЙКИ!$D$7&amp;"]CF'!$L$3:$EO$3"),CJ$22,INDIRECT("'["&amp;НАСТРОЙКИ!$D$7&amp;"]CF'!$L$25:$EO$25")),0))</f>
        <v>0</v>
      </c>
      <c r="CK79" s="35">
        <f ca="1">IF(НАСТРОЙКИ!$B$7&lt;&gt;"Да",0,IFERROR(SUMIF(INDIRECT("'["&amp;НАСТРОЙКИ!$D$7&amp;"]CF'!$L$3:$EO$3"),CK$22,INDIRECT("'["&amp;НАСТРОЙКИ!$D$7&amp;"]CF'!$L$25:$EO$25")),0))</f>
        <v>0</v>
      </c>
      <c r="CL79" s="35">
        <f ca="1">IF(НАСТРОЙКИ!$B$7&lt;&gt;"Да",0,IFERROR(SUMIF(INDIRECT("'["&amp;НАСТРОЙКИ!$D$7&amp;"]CF'!$L$3:$EO$3"),CL$22,INDIRECT("'["&amp;НАСТРОЙКИ!$D$7&amp;"]CF'!$L$25:$EO$25")),0))</f>
        <v>0</v>
      </c>
      <c r="CM79" s="35">
        <f ca="1">IF(НАСТРОЙКИ!$B$7&lt;&gt;"Да",0,IFERROR(SUMIF(INDIRECT("'["&amp;НАСТРОЙКИ!$D$7&amp;"]CF'!$L$3:$EO$3"),CM$22,INDIRECT("'["&amp;НАСТРОЙКИ!$D$7&amp;"]CF'!$L$25:$EO$25")),0))</f>
        <v>0</v>
      </c>
      <c r="CN79" s="35">
        <f ca="1">IF(НАСТРОЙКИ!$B$7&lt;&gt;"Да",0,IFERROR(SUMIF(INDIRECT("'["&amp;НАСТРОЙКИ!$D$7&amp;"]CF'!$L$3:$EO$3"),CN$22,INDIRECT("'["&amp;НАСТРОЙКИ!$D$7&amp;"]CF'!$L$25:$EO$25")),0))</f>
        <v>0</v>
      </c>
      <c r="CO79" s="35">
        <f ca="1">IF(НАСТРОЙКИ!$B$7&lt;&gt;"Да",0,IFERROR(SUMIF(INDIRECT("'["&amp;НАСТРОЙКИ!$D$7&amp;"]CF'!$L$3:$EO$3"),CO$22,INDIRECT("'["&amp;НАСТРОЙКИ!$D$7&amp;"]CF'!$L$25:$EO$25")),0))</f>
        <v>0</v>
      </c>
      <c r="CP79" s="35">
        <f ca="1">IF(НАСТРОЙКИ!$B$7&lt;&gt;"Да",0,IFERROR(SUMIF(INDIRECT("'["&amp;НАСТРОЙКИ!$D$7&amp;"]CF'!$L$3:$EO$3"),CP$22,INDIRECT("'["&amp;НАСТРОЙКИ!$D$7&amp;"]CF'!$L$25:$EO$25")),0))</f>
        <v>0</v>
      </c>
      <c r="CQ79" s="35">
        <f ca="1">IF(НАСТРОЙКИ!$B$7&lt;&gt;"Да",0,IFERROR(SUMIF(INDIRECT("'["&amp;НАСТРОЙКИ!$D$7&amp;"]CF'!$L$3:$EO$3"),CQ$22,INDIRECT("'["&amp;НАСТРОЙКИ!$D$7&amp;"]CF'!$L$25:$EO$25")),0))</f>
        <v>0</v>
      </c>
      <c r="CR79" s="35">
        <f ca="1">IF(НАСТРОЙКИ!$B$7&lt;&gt;"Да",0,IFERROR(SUMIF(INDIRECT("'["&amp;НАСТРОЙКИ!$D$7&amp;"]CF'!$L$3:$EO$3"),CR$22,INDIRECT("'["&amp;НАСТРОЙКИ!$D$7&amp;"]CF'!$L$25:$EO$25")),0))</f>
        <v>0</v>
      </c>
      <c r="CS79" s="35">
        <f ca="1">IF(НАСТРОЙКИ!$B$7&lt;&gt;"Да",0,IFERROR(SUMIF(INDIRECT("'["&amp;НАСТРОЙКИ!$D$7&amp;"]CF'!$L$3:$EO$3"),CS$22,INDIRECT("'["&amp;НАСТРОЙКИ!$D$7&amp;"]CF'!$L$25:$EO$25")),0))</f>
        <v>0</v>
      </c>
      <c r="CT79" s="35">
        <f ca="1">IF(НАСТРОЙКИ!$B$7&lt;&gt;"Да",0,IFERROR(SUMIF(INDIRECT("'["&amp;НАСТРОЙКИ!$D$7&amp;"]CF'!$L$3:$EO$3"),CT$22,INDIRECT("'["&amp;НАСТРОЙКИ!$D$7&amp;"]CF'!$L$25:$EO$25")),0))</f>
        <v>0</v>
      </c>
      <c r="CU79" s="35">
        <f ca="1">IF(НАСТРОЙКИ!$B$7&lt;&gt;"Да",0,IFERROR(SUMIF(INDIRECT("'["&amp;НАСТРОЙКИ!$D$7&amp;"]CF'!$L$3:$EO$3"),CU$22,INDIRECT("'["&amp;НАСТРОЙКИ!$D$7&amp;"]CF'!$L$25:$EO$25")),0))</f>
        <v>0</v>
      </c>
      <c r="CV79" s="35">
        <f ca="1">IF(НАСТРОЙКИ!$B$7&lt;&gt;"Да",0,IFERROR(SUMIF(INDIRECT("'["&amp;НАСТРОЙКИ!$D$7&amp;"]CF'!$L$3:$EO$3"),CV$22,INDIRECT("'["&amp;НАСТРОЙКИ!$D$7&amp;"]CF'!$L$25:$EO$25")),0))</f>
        <v>0</v>
      </c>
      <c r="CW79" s="35">
        <f ca="1">IF(НАСТРОЙКИ!$B$7&lt;&gt;"Да",0,IFERROR(SUMIF(INDIRECT("'["&amp;НАСТРОЙКИ!$D$7&amp;"]CF'!$L$3:$EO$3"),CW$22,INDIRECT("'["&amp;НАСТРОЙКИ!$D$7&amp;"]CF'!$L$25:$EO$25")),0))</f>
        <v>0</v>
      </c>
      <c r="CX79" s="35">
        <f ca="1">IF(НАСТРОЙКИ!$B$7&lt;&gt;"Да",0,IFERROR(SUMIF(INDIRECT("'["&amp;НАСТРОЙКИ!$D$7&amp;"]CF'!$L$3:$EO$3"),CX$22,INDIRECT("'["&amp;НАСТРОЙКИ!$D$7&amp;"]CF'!$L$25:$EO$25")),0))</f>
        <v>0</v>
      </c>
      <c r="CY79" s="35">
        <f ca="1">IF(НАСТРОЙКИ!$B$7&lt;&gt;"Да",0,IFERROR(SUMIF(INDIRECT("'["&amp;НАСТРОЙКИ!$D$7&amp;"]CF'!$L$3:$EO$3"),CY$22,INDIRECT("'["&amp;НАСТРОЙКИ!$D$7&amp;"]CF'!$L$25:$EO$25")),0))</f>
        <v>0</v>
      </c>
      <c r="CZ79" s="35">
        <f ca="1">IF(НАСТРОЙКИ!$B$7&lt;&gt;"Да",0,IFERROR(SUMIF(INDIRECT("'["&amp;НАСТРОЙКИ!$D$7&amp;"]CF'!$L$3:$EO$3"),CZ$22,INDIRECT("'["&amp;НАСТРОЙКИ!$D$7&amp;"]CF'!$L$25:$EO$25")),0))</f>
        <v>0</v>
      </c>
      <c r="DA79" s="35">
        <f ca="1">IF(НАСТРОЙКИ!$B$7&lt;&gt;"Да",0,IFERROR(SUMIF(INDIRECT("'["&amp;НАСТРОЙКИ!$D$7&amp;"]CF'!$L$3:$EO$3"),DA$22,INDIRECT("'["&amp;НАСТРОЙКИ!$D$7&amp;"]CF'!$L$25:$EO$25")),0))</f>
        <v>0</v>
      </c>
      <c r="DB79" s="35">
        <f ca="1">IF(НАСТРОЙКИ!$B$7&lt;&gt;"Да",0,IFERROR(SUMIF(INDIRECT("'["&amp;НАСТРОЙКИ!$D$7&amp;"]CF'!$L$3:$EO$3"),DB$22,INDIRECT("'["&amp;НАСТРОЙКИ!$D$7&amp;"]CF'!$L$25:$EO$25")),0))</f>
        <v>0</v>
      </c>
      <c r="DC79" s="35">
        <f ca="1">IF(НАСТРОЙКИ!$B$7&lt;&gt;"Да",0,IFERROR(SUMIF(INDIRECT("'["&amp;НАСТРОЙКИ!$D$7&amp;"]CF'!$L$3:$EO$3"),DC$22,INDIRECT("'["&amp;НАСТРОЙКИ!$D$7&amp;"]CF'!$L$25:$EO$25")),0))</f>
        <v>0</v>
      </c>
      <c r="DD79" s="35">
        <f ca="1">IF(НАСТРОЙКИ!$B$7&lt;&gt;"Да",0,IFERROR(SUMIF(INDIRECT("'["&amp;НАСТРОЙКИ!$D$7&amp;"]CF'!$L$3:$EO$3"),DD$22,INDIRECT("'["&amp;НАСТРОЙКИ!$D$7&amp;"]CF'!$L$25:$EO$25")),0))</f>
        <v>0</v>
      </c>
      <c r="DE79" s="35">
        <f ca="1">IF(НАСТРОЙКИ!$B$7&lt;&gt;"Да",0,IFERROR(SUMIF(INDIRECT("'["&amp;НАСТРОЙКИ!$D$7&amp;"]CF'!$L$3:$EO$3"),DE$22,INDIRECT("'["&amp;НАСТРОЙКИ!$D$7&amp;"]CF'!$L$25:$EO$25")),0))</f>
        <v>0</v>
      </c>
      <c r="DF79" s="35">
        <f ca="1">IF(НАСТРОЙКИ!$B$7&lt;&gt;"Да",0,IFERROR(SUMIF(INDIRECT("'["&amp;НАСТРОЙКИ!$D$7&amp;"]CF'!$L$3:$EO$3"),DF$22,INDIRECT("'["&amp;НАСТРОЙКИ!$D$7&amp;"]CF'!$L$25:$EO$25")),0))</f>
        <v>0</v>
      </c>
    </row>
    <row r="80" spans="1:110">
      <c r="A80" s="34" t="s">
        <v>126</v>
      </c>
      <c r="B80" s="34" t="s">
        <v>58</v>
      </c>
      <c r="C80" s="35">
        <f ca="1">IF(НАСТРОЙКИ!$B$7&lt;&gt;"Да",0,IFERROR(SUMIF(INDIRECT("'["&amp;НАСТРОЙКИ!$D$7&amp;"]CF'!$L$3:$EO$3"),C$22,INDIRECT("'["&amp;НАСТРОЙКИ!$D$7&amp;"]CF'!$L$51:$EO$51")),0))</f>
        <v>0</v>
      </c>
      <c r="D80" s="35">
        <f ca="1">IF(НАСТРОЙКИ!$B$7&lt;&gt;"Да",0,IFERROR(SUMIF(INDIRECT("'["&amp;НАСТРОЙКИ!$D$7&amp;"]CF'!$L$3:$EO$3"),D$22,INDIRECT("'["&amp;НАСТРОЙКИ!$D$7&amp;"]CF'!$L$51:$EO$51")),0))</f>
        <v>0</v>
      </c>
      <c r="E80" s="35">
        <f ca="1">IF(НАСТРОЙКИ!$B$7&lt;&gt;"Да",0,IFERROR(SUMIF(INDIRECT("'["&amp;НАСТРОЙКИ!$D$7&amp;"]CF'!$L$3:$EO$3"),E$22,INDIRECT("'["&amp;НАСТРОЙКИ!$D$7&amp;"]CF'!$L$51:$EO$51")),0))</f>
        <v>0</v>
      </c>
      <c r="F80" s="35">
        <f ca="1">IF(НАСТРОЙКИ!$B$7&lt;&gt;"Да",0,IFERROR(SUMIF(INDIRECT("'["&amp;НАСТРОЙКИ!$D$7&amp;"]CF'!$L$3:$EO$3"),F$22,INDIRECT("'["&amp;НАСТРОЙКИ!$D$7&amp;"]CF'!$L$51:$EO$51")),0))</f>
        <v>0</v>
      </c>
      <c r="G80" s="35">
        <f ca="1">IF(НАСТРОЙКИ!$B$7&lt;&gt;"Да",0,IFERROR(SUMIF(INDIRECT("'["&amp;НАСТРОЙКИ!$D$7&amp;"]CF'!$L$3:$EO$3"),G$22,INDIRECT("'["&amp;НАСТРОЙКИ!$D$7&amp;"]CF'!$L$51:$EO$51")),0))</f>
        <v>0</v>
      </c>
      <c r="H80" s="35">
        <f ca="1">IF(НАСТРОЙКИ!$B$7&lt;&gt;"Да",0,IFERROR(SUMIF(INDIRECT("'["&amp;НАСТРОЙКИ!$D$7&amp;"]CF'!$L$3:$EO$3"),H$22,INDIRECT("'["&amp;НАСТРОЙКИ!$D$7&amp;"]CF'!$L$51:$EO$51")),0))</f>
        <v>0</v>
      </c>
      <c r="I80" s="35">
        <f ca="1">IF(НАСТРОЙКИ!$B$7&lt;&gt;"Да",0,IFERROR(SUMIF(INDIRECT("'["&amp;НАСТРОЙКИ!$D$7&amp;"]CF'!$L$3:$EO$3"),I$22,INDIRECT("'["&amp;НАСТРОЙКИ!$D$7&amp;"]CF'!$L$51:$EO$51")),0))</f>
        <v>0</v>
      </c>
      <c r="J80" s="35">
        <f ca="1">IF(НАСТРОЙКИ!$B$7&lt;&gt;"Да",0,IFERROR(SUMIF(INDIRECT("'["&amp;НАСТРОЙКИ!$D$7&amp;"]CF'!$L$3:$EO$3"),J$22,INDIRECT("'["&amp;НАСТРОЙКИ!$D$7&amp;"]CF'!$L$51:$EO$51")),0))</f>
        <v>0</v>
      </c>
      <c r="K80" s="35">
        <f ca="1">IF(НАСТРОЙКИ!$B$7&lt;&gt;"Да",0,IFERROR(SUMIF(INDIRECT("'["&amp;НАСТРОЙКИ!$D$7&amp;"]CF'!$L$3:$EO$3"),K$22,INDIRECT("'["&amp;НАСТРОЙКИ!$D$7&amp;"]CF'!$L$51:$EO$51")),0))</f>
        <v>0</v>
      </c>
      <c r="L80" s="35">
        <f ca="1">IF(НАСТРОЙКИ!$B$7&lt;&gt;"Да",0,IFERROR(SUMIF(INDIRECT("'["&amp;НАСТРОЙКИ!$D$7&amp;"]CF'!$L$3:$EO$3"),L$22,INDIRECT("'["&amp;НАСТРОЙКИ!$D$7&amp;"]CF'!$L$51:$EO$51")),0))</f>
        <v>0</v>
      </c>
      <c r="M80" s="35">
        <f ca="1">IF(НАСТРОЙКИ!$B$7&lt;&gt;"Да",0,IFERROR(SUMIF(INDIRECT("'["&amp;НАСТРОЙКИ!$D$7&amp;"]CF'!$L$3:$EO$3"),M$22,INDIRECT("'["&amp;НАСТРОЙКИ!$D$7&amp;"]CF'!$L$51:$EO$51")),0))</f>
        <v>0</v>
      </c>
      <c r="N80" s="35">
        <f ca="1">IF(НАСТРОЙКИ!$B$7&lt;&gt;"Да",0,IFERROR(SUMIF(INDIRECT("'["&amp;НАСТРОЙКИ!$D$7&amp;"]CF'!$L$3:$EO$3"),N$22,INDIRECT("'["&amp;НАСТРОЙКИ!$D$7&amp;"]CF'!$L$51:$EO$51")),0))</f>
        <v>0</v>
      </c>
      <c r="O80" s="35">
        <f ca="1">IF(НАСТРОЙКИ!$B$7&lt;&gt;"Да",0,IFERROR(SUMIF(INDIRECT("'["&amp;НАСТРОЙКИ!$D$7&amp;"]CF'!$L$3:$EO$3"),O$22,INDIRECT("'["&amp;НАСТРОЙКИ!$D$7&amp;"]CF'!$L$51:$EO$51")),0))</f>
        <v>0</v>
      </c>
      <c r="P80" s="35">
        <f ca="1">IF(НАСТРОЙКИ!$B$7&lt;&gt;"Да",0,IFERROR(SUMIF(INDIRECT("'["&amp;НАСТРОЙКИ!$D$7&amp;"]CF'!$L$3:$EO$3"),P$22,INDIRECT("'["&amp;НАСТРОЙКИ!$D$7&amp;"]CF'!$L$51:$EO$51")),0))</f>
        <v>0</v>
      </c>
      <c r="Q80" s="35">
        <f ca="1">IF(НАСТРОЙКИ!$B$7&lt;&gt;"Да",0,IFERROR(SUMIF(INDIRECT("'["&amp;НАСТРОЙКИ!$D$7&amp;"]CF'!$L$3:$EO$3"),Q$22,INDIRECT("'["&amp;НАСТРОЙКИ!$D$7&amp;"]CF'!$L$51:$EO$51")),0))</f>
        <v>0</v>
      </c>
      <c r="R80" s="35">
        <f ca="1">IF(НАСТРОЙКИ!$B$7&lt;&gt;"Да",0,IFERROR(SUMIF(INDIRECT("'["&amp;НАСТРОЙКИ!$D$7&amp;"]CF'!$L$3:$EO$3"),R$22,INDIRECT("'["&amp;НАСТРОЙКИ!$D$7&amp;"]CF'!$L$51:$EO$51")),0))</f>
        <v>0</v>
      </c>
      <c r="S80" s="35">
        <f ca="1">IF(НАСТРОЙКИ!$B$7&lt;&gt;"Да",0,IFERROR(SUMIF(INDIRECT("'["&amp;НАСТРОЙКИ!$D$7&amp;"]CF'!$L$3:$EO$3"),S$22,INDIRECT("'["&amp;НАСТРОЙКИ!$D$7&amp;"]CF'!$L$51:$EO$51")),0))</f>
        <v>0</v>
      </c>
      <c r="T80" s="35">
        <f ca="1">IF(НАСТРОЙКИ!$B$7&lt;&gt;"Да",0,IFERROR(SUMIF(INDIRECT("'["&amp;НАСТРОЙКИ!$D$7&amp;"]CF'!$L$3:$EO$3"),T$22,INDIRECT("'["&amp;НАСТРОЙКИ!$D$7&amp;"]CF'!$L$51:$EO$51")),0))</f>
        <v>0</v>
      </c>
      <c r="U80" s="35">
        <f ca="1">IF(НАСТРОЙКИ!$B$7&lt;&gt;"Да",0,IFERROR(SUMIF(INDIRECT("'["&amp;НАСТРОЙКИ!$D$7&amp;"]CF'!$L$3:$EO$3"),U$22,INDIRECT("'["&amp;НАСТРОЙКИ!$D$7&amp;"]CF'!$L$51:$EO$51")),0))</f>
        <v>0</v>
      </c>
      <c r="V80" s="35">
        <f ca="1">IF(НАСТРОЙКИ!$B$7&lt;&gt;"Да",0,IFERROR(SUMIF(INDIRECT("'["&amp;НАСТРОЙКИ!$D$7&amp;"]CF'!$L$3:$EO$3"),V$22,INDIRECT("'["&amp;НАСТРОЙКИ!$D$7&amp;"]CF'!$L$51:$EO$51")),0))</f>
        <v>0</v>
      </c>
      <c r="W80" s="35">
        <f ca="1">IF(НАСТРОЙКИ!$B$7&lt;&gt;"Да",0,IFERROR(SUMIF(INDIRECT("'["&amp;НАСТРОЙКИ!$D$7&amp;"]CF'!$L$3:$EO$3"),W$22,INDIRECT("'["&amp;НАСТРОЙКИ!$D$7&amp;"]CF'!$L$51:$EO$51")),0))</f>
        <v>0</v>
      </c>
      <c r="X80" s="35">
        <f ca="1">IF(НАСТРОЙКИ!$B$7&lt;&gt;"Да",0,IFERROR(SUMIF(INDIRECT("'["&amp;НАСТРОЙКИ!$D$7&amp;"]CF'!$L$3:$EO$3"),X$22,INDIRECT("'["&amp;НАСТРОЙКИ!$D$7&amp;"]CF'!$L$51:$EO$51")),0))</f>
        <v>0</v>
      </c>
      <c r="Y80" s="35">
        <f ca="1">IF(НАСТРОЙКИ!$B$7&lt;&gt;"Да",0,IFERROR(SUMIF(INDIRECT("'["&amp;НАСТРОЙКИ!$D$7&amp;"]CF'!$L$3:$EO$3"),Y$22,INDIRECT("'["&amp;НАСТРОЙКИ!$D$7&amp;"]CF'!$L$51:$EO$51")),0))</f>
        <v>0</v>
      </c>
      <c r="Z80" s="35">
        <f ca="1">IF(НАСТРОЙКИ!$B$7&lt;&gt;"Да",0,IFERROR(SUMIF(INDIRECT("'["&amp;НАСТРОЙКИ!$D$7&amp;"]CF'!$L$3:$EO$3"),Z$22,INDIRECT("'["&amp;НАСТРОЙКИ!$D$7&amp;"]CF'!$L$51:$EO$51")),0))</f>
        <v>0</v>
      </c>
      <c r="AA80" s="35">
        <f ca="1">IF(НАСТРОЙКИ!$B$7&lt;&gt;"Да",0,IFERROR(SUMIF(INDIRECT("'["&amp;НАСТРОЙКИ!$D$7&amp;"]CF'!$L$3:$EO$3"),AA$22,INDIRECT("'["&amp;НАСТРОЙКИ!$D$7&amp;"]CF'!$L$51:$EO$51")),0))</f>
        <v>0</v>
      </c>
      <c r="AB80" s="35">
        <f ca="1">IF(НАСТРОЙКИ!$B$7&lt;&gt;"Да",0,IFERROR(SUMIF(INDIRECT("'["&amp;НАСТРОЙКИ!$D$7&amp;"]CF'!$L$3:$EO$3"),AB$22,INDIRECT("'["&amp;НАСТРОЙКИ!$D$7&amp;"]CF'!$L$51:$EO$51")),0))</f>
        <v>0</v>
      </c>
      <c r="AC80" s="35">
        <f ca="1">IF(НАСТРОЙКИ!$B$7&lt;&gt;"Да",0,IFERROR(SUMIF(INDIRECT("'["&amp;НАСТРОЙКИ!$D$7&amp;"]CF'!$L$3:$EO$3"),AC$22,INDIRECT("'["&amp;НАСТРОЙКИ!$D$7&amp;"]CF'!$L$51:$EO$51")),0))</f>
        <v>0</v>
      </c>
      <c r="AD80" s="35">
        <f ca="1">IF(НАСТРОЙКИ!$B$7&lt;&gt;"Да",0,IFERROR(SUMIF(INDIRECT("'["&amp;НАСТРОЙКИ!$D$7&amp;"]CF'!$L$3:$EO$3"),AD$22,INDIRECT("'["&amp;НАСТРОЙКИ!$D$7&amp;"]CF'!$L$51:$EO$51")),0))</f>
        <v>0</v>
      </c>
      <c r="AE80" s="35">
        <f ca="1">IF(НАСТРОЙКИ!$B$7&lt;&gt;"Да",0,IFERROR(SUMIF(INDIRECT("'["&amp;НАСТРОЙКИ!$D$7&amp;"]CF'!$L$3:$EO$3"),AE$22,INDIRECT("'["&amp;НАСТРОЙКИ!$D$7&amp;"]CF'!$L$51:$EO$51")),0))</f>
        <v>0</v>
      </c>
      <c r="AF80" s="35">
        <f ca="1">IF(НАСТРОЙКИ!$B$7&lt;&gt;"Да",0,IFERROR(SUMIF(INDIRECT("'["&amp;НАСТРОЙКИ!$D$7&amp;"]CF'!$L$3:$EO$3"),AF$22,INDIRECT("'["&amp;НАСТРОЙКИ!$D$7&amp;"]CF'!$L$51:$EO$51")),0))</f>
        <v>0</v>
      </c>
      <c r="AG80" s="35">
        <f ca="1">IF(НАСТРОЙКИ!$B$7&lt;&gt;"Да",0,IFERROR(SUMIF(INDIRECT("'["&amp;НАСТРОЙКИ!$D$7&amp;"]CF'!$L$3:$EO$3"),AG$22,INDIRECT("'["&amp;НАСТРОЙКИ!$D$7&amp;"]CF'!$L$51:$EO$51")),0))</f>
        <v>0</v>
      </c>
      <c r="AH80" s="35">
        <f ca="1">IF(НАСТРОЙКИ!$B$7&lt;&gt;"Да",0,IFERROR(SUMIF(INDIRECT("'["&amp;НАСТРОЙКИ!$D$7&amp;"]CF'!$L$3:$EO$3"),AH$22,INDIRECT("'["&amp;НАСТРОЙКИ!$D$7&amp;"]CF'!$L$51:$EO$51")),0))</f>
        <v>0</v>
      </c>
      <c r="AI80" s="35">
        <f ca="1">IF(НАСТРОЙКИ!$B$7&lt;&gt;"Да",0,IFERROR(SUMIF(INDIRECT("'["&amp;НАСТРОЙКИ!$D$7&amp;"]CF'!$L$3:$EO$3"),AI$22,INDIRECT("'["&amp;НАСТРОЙКИ!$D$7&amp;"]CF'!$L$51:$EO$51")),0))</f>
        <v>0</v>
      </c>
      <c r="AJ80" s="35">
        <f ca="1">IF(НАСТРОЙКИ!$B$7&lt;&gt;"Да",0,IFERROR(SUMIF(INDIRECT("'["&amp;НАСТРОЙКИ!$D$7&amp;"]CF'!$L$3:$EO$3"),AJ$22,INDIRECT("'["&amp;НАСТРОЙКИ!$D$7&amp;"]CF'!$L$51:$EO$51")),0))</f>
        <v>0</v>
      </c>
      <c r="AK80" s="35">
        <f ca="1">IF(НАСТРОЙКИ!$B$7&lt;&gt;"Да",0,IFERROR(SUMIF(INDIRECT("'["&amp;НАСТРОЙКИ!$D$7&amp;"]CF'!$L$3:$EO$3"),AK$22,INDIRECT("'["&amp;НАСТРОЙКИ!$D$7&amp;"]CF'!$L$51:$EO$51")),0))</f>
        <v>0</v>
      </c>
      <c r="AL80" s="35">
        <f ca="1">IF(НАСТРОЙКИ!$B$7&lt;&gt;"Да",0,IFERROR(SUMIF(INDIRECT("'["&amp;НАСТРОЙКИ!$D$7&amp;"]CF'!$L$3:$EO$3"),AL$22,INDIRECT("'["&amp;НАСТРОЙКИ!$D$7&amp;"]CF'!$L$51:$EO$51")),0))</f>
        <v>0</v>
      </c>
      <c r="AM80" s="35">
        <f ca="1">IF(НАСТРОЙКИ!$B$7&lt;&gt;"Да",0,IFERROR(SUMIF(INDIRECT("'["&amp;НАСТРОЙКИ!$D$7&amp;"]CF'!$L$3:$EO$3"),AM$22,INDIRECT("'["&amp;НАСТРОЙКИ!$D$7&amp;"]CF'!$L$51:$EO$51")),0))</f>
        <v>0</v>
      </c>
      <c r="AN80" s="35">
        <f ca="1">IF(НАСТРОЙКИ!$B$7&lt;&gt;"Да",0,IFERROR(SUMIF(INDIRECT("'["&amp;НАСТРОЙКИ!$D$7&amp;"]CF'!$L$3:$EO$3"),AN$22,INDIRECT("'["&amp;НАСТРОЙКИ!$D$7&amp;"]CF'!$L$51:$EO$51")),0))</f>
        <v>0</v>
      </c>
      <c r="AO80" s="35">
        <f ca="1">IF(НАСТРОЙКИ!$B$7&lt;&gt;"Да",0,IFERROR(SUMIF(INDIRECT("'["&amp;НАСТРОЙКИ!$D$7&amp;"]CF'!$L$3:$EO$3"),AO$22,INDIRECT("'["&amp;НАСТРОЙКИ!$D$7&amp;"]CF'!$L$51:$EO$51")),0))</f>
        <v>0</v>
      </c>
      <c r="AP80" s="35">
        <f ca="1">IF(НАСТРОЙКИ!$B$7&lt;&gt;"Да",0,IFERROR(SUMIF(INDIRECT("'["&amp;НАСТРОЙКИ!$D$7&amp;"]CF'!$L$3:$EO$3"),AP$22,INDIRECT("'["&amp;НАСТРОЙКИ!$D$7&amp;"]CF'!$L$51:$EO$51")),0))</f>
        <v>0</v>
      </c>
      <c r="AQ80" s="35">
        <f ca="1">IF(НАСТРОЙКИ!$B$7&lt;&gt;"Да",0,IFERROR(SUMIF(INDIRECT("'["&amp;НАСТРОЙКИ!$D$7&amp;"]CF'!$L$3:$EO$3"),AQ$22,INDIRECT("'["&amp;НАСТРОЙКИ!$D$7&amp;"]CF'!$L$51:$EO$51")),0))</f>
        <v>0</v>
      </c>
      <c r="AR80" s="35">
        <f ca="1">IF(НАСТРОЙКИ!$B$7&lt;&gt;"Да",0,IFERROR(SUMIF(INDIRECT("'["&amp;НАСТРОЙКИ!$D$7&amp;"]CF'!$L$3:$EO$3"),AR$22,INDIRECT("'["&amp;НАСТРОЙКИ!$D$7&amp;"]CF'!$L$51:$EO$51")),0))</f>
        <v>0</v>
      </c>
      <c r="AS80" s="35">
        <f ca="1">IF(НАСТРОЙКИ!$B$7&lt;&gt;"Да",0,IFERROR(SUMIF(INDIRECT("'["&amp;НАСТРОЙКИ!$D$7&amp;"]CF'!$L$3:$EO$3"),AS$22,INDIRECT("'["&amp;НАСТРОЙКИ!$D$7&amp;"]CF'!$L$51:$EO$51")),0))</f>
        <v>0</v>
      </c>
      <c r="AT80" s="35">
        <f ca="1">IF(НАСТРОЙКИ!$B$7&lt;&gt;"Да",0,IFERROR(SUMIF(INDIRECT("'["&amp;НАСТРОЙКИ!$D$7&amp;"]CF'!$L$3:$EO$3"),AT$22,INDIRECT("'["&amp;НАСТРОЙКИ!$D$7&amp;"]CF'!$L$51:$EO$51")),0))</f>
        <v>0</v>
      </c>
      <c r="AU80" s="35">
        <f ca="1">IF(НАСТРОЙКИ!$B$7&lt;&gt;"Да",0,IFERROR(SUMIF(INDIRECT("'["&amp;НАСТРОЙКИ!$D$7&amp;"]CF'!$L$3:$EO$3"),AU$22,INDIRECT("'["&amp;НАСТРОЙКИ!$D$7&amp;"]CF'!$L$51:$EO$51")),0))</f>
        <v>0</v>
      </c>
      <c r="AV80" s="35">
        <f ca="1">IF(НАСТРОЙКИ!$B$7&lt;&gt;"Да",0,IFERROR(SUMIF(INDIRECT("'["&amp;НАСТРОЙКИ!$D$7&amp;"]CF'!$L$3:$EO$3"),AV$22,INDIRECT("'["&amp;НАСТРОЙКИ!$D$7&amp;"]CF'!$L$51:$EO$51")),0))</f>
        <v>0</v>
      </c>
      <c r="AW80" s="35">
        <f ca="1">IF(НАСТРОЙКИ!$B$7&lt;&gt;"Да",0,IFERROR(SUMIF(INDIRECT("'["&amp;НАСТРОЙКИ!$D$7&amp;"]CF'!$L$3:$EO$3"),AW$22,INDIRECT("'["&amp;НАСТРОЙКИ!$D$7&amp;"]CF'!$L$51:$EO$51")),0))</f>
        <v>0</v>
      </c>
      <c r="AX80" s="35">
        <f ca="1">IF(НАСТРОЙКИ!$B$7&lt;&gt;"Да",0,IFERROR(SUMIF(INDIRECT("'["&amp;НАСТРОЙКИ!$D$7&amp;"]CF'!$L$3:$EO$3"),AX$22,INDIRECT("'["&amp;НАСТРОЙКИ!$D$7&amp;"]CF'!$L$51:$EO$51")),0))</f>
        <v>0</v>
      </c>
      <c r="AY80" s="35">
        <f ca="1">IF(НАСТРОЙКИ!$B$7&lt;&gt;"Да",0,IFERROR(SUMIF(INDIRECT("'["&amp;НАСТРОЙКИ!$D$7&amp;"]CF'!$L$3:$EO$3"),AY$22,INDIRECT("'["&amp;НАСТРОЙКИ!$D$7&amp;"]CF'!$L$51:$EO$51")),0))</f>
        <v>0</v>
      </c>
      <c r="AZ80" s="35">
        <f ca="1">IF(НАСТРОЙКИ!$B$7&lt;&gt;"Да",0,IFERROR(SUMIF(INDIRECT("'["&amp;НАСТРОЙКИ!$D$7&amp;"]CF'!$L$3:$EO$3"),AZ$22,INDIRECT("'["&amp;НАСТРОЙКИ!$D$7&amp;"]CF'!$L$51:$EO$51")),0))</f>
        <v>0</v>
      </c>
      <c r="BA80" s="35">
        <f ca="1">IF(НАСТРОЙКИ!$B$7&lt;&gt;"Да",0,IFERROR(SUMIF(INDIRECT("'["&amp;НАСТРОЙКИ!$D$7&amp;"]CF'!$L$3:$EO$3"),BA$22,INDIRECT("'["&amp;НАСТРОЙКИ!$D$7&amp;"]CF'!$L$51:$EO$51")),0))</f>
        <v>0</v>
      </c>
      <c r="BB80" s="35">
        <f ca="1">IF(НАСТРОЙКИ!$B$7&lt;&gt;"Да",0,IFERROR(SUMIF(INDIRECT("'["&amp;НАСТРОЙКИ!$D$7&amp;"]CF'!$L$3:$EO$3"),BB$22,INDIRECT("'["&amp;НАСТРОЙКИ!$D$7&amp;"]CF'!$L$51:$EO$51")),0))</f>
        <v>0</v>
      </c>
      <c r="BC80" s="35">
        <f ca="1">IF(НАСТРОЙКИ!$B$7&lt;&gt;"Да",0,IFERROR(SUMIF(INDIRECT("'["&amp;НАСТРОЙКИ!$D$7&amp;"]CF'!$L$3:$EO$3"),BC$22,INDIRECT("'["&amp;НАСТРОЙКИ!$D$7&amp;"]CF'!$L$51:$EO$51")),0))</f>
        <v>0</v>
      </c>
      <c r="BD80" s="35">
        <f ca="1">IF(НАСТРОЙКИ!$B$7&lt;&gt;"Да",0,IFERROR(SUMIF(INDIRECT("'["&amp;НАСТРОЙКИ!$D$7&amp;"]CF'!$L$3:$EO$3"),BD$22,INDIRECT("'["&amp;НАСТРОЙКИ!$D$7&amp;"]CF'!$L$51:$EO$51")),0))</f>
        <v>0</v>
      </c>
      <c r="BE80" s="35">
        <f ca="1">IF(НАСТРОЙКИ!$B$7&lt;&gt;"Да",0,IFERROR(SUMIF(INDIRECT("'["&amp;НАСТРОЙКИ!$D$7&amp;"]CF'!$L$3:$EO$3"),BE$22,INDIRECT("'["&amp;НАСТРОЙКИ!$D$7&amp;"]CF'!$L$51:$EO$51")),0))</f>
        <v>0</v>
      </c>
      <c r="BF80" s="35">
        <f ca="1">IF(НАСТРОЙКИ!$B$7&lt;&gt;"Да",0,IFERROR(SUMIF(INDIRECT("'["&amp;НАСТРОЙКИ!$D$7&amp;"]CF'!$L$3:$EO$3"),BF$22,INDIRECT("'["&amp;НАСТРОЙКИ!$D$7&amp;"]CF'!$L$51:$EO$51")),0))</f>
        <v>0</v>
      </c>
      <c r="BG80" s="35">
        <f ca="1">IF(НАСТРОЙКИ!$B$7&lt;&gt;"Да",0,IFERROR(SUMIF(INDIRECT("'["&amp;НАСТРОЙКИ!$D$7&amp;"]CF'!$L$3:$EO$3"),BG$22,INDIRECT("'["&amp;НАСТРОЙКИ!$D$7&amp;"]CF'!$L$51:$EO$51")),0))</f>
        <v>0</v>
      </c>
      <c r="BH80" s="35">
        <f ca="1">IF(НАСТРОЙКИ!$B$7&lt;&gt;"Да",0,IFERROR(SUMIF(INDIRECT("'["&amp;НАСТРОЙКИ!$D$7&amp;"]CF'!$L$3:$EO$3"),BH$22,INDIRECT("'["&amp;НАСТРОЙКИ!$D$7&amp;"]CF'!$L$51:$EO$51")),0))</f>
        <v>0</v>
      </c>
      <c r="BI80" s="35">
        <f ca="1">IF(НАСТРОЙКИ!$B$7&lt;&gt;"Да",0,IFERROR(SUMIF(INDIRECT("'["&amp;НАСТРОЙКИ!$D$7&amp;"]CF'!$L$3:$EO$3"),BI$22,INDIRECT("'["&amp;НАСТРОЙКИ!$D$7&amp;"]CF'!$L$51:$EO$51")),0))</f>
        <v>0</v>
      </c>
      <c r="BJ80" s="35">
        <f ca="1">IF(НАСТРОЙКИ!$B$7&lt;&gt;"Да",0,IFERROR(SUMIF(INDIRECT("'["&amp;НАСТРОЙКИ!$D$7&amp;"]CF'!$L$3:$EO$3"),BJ$22,INDIRECT("'["&amp;НАСТРОЙКИ!$D$7&amp;"]CF'!$L$51:$EO$51")),0))</f>
        <v>0</v>
      </c>
      <c r="BK80" s="35">
        <f ca="1">IF(НАСТРОЙКИ!$B$7&lt;&gt;"Да",0,IFERROR(SUMIF(INDIRECT("'["&amp;НАСТРОЙКИ!$D$7&amp;"]CF'!$L$3:$EO$3"),BK$22,INDIRECT("'["&amp;НАСТРОЙКИ!$D$7&amp;"]CF'!$L$51:$EO$51")),0))</f>
        <v>0</v>
      </c>
      <c r="BL80" s="35">
        <f ca="1">IF(НАСТРОЙКИ!$B$7&lt;&gt;"Да",0,IFERROR(SUMIF(INDIRECT("'["&amp;НАСТРОЙКИ!$D$7&amp;"]CF'!$L$3:$EO$3"),BL$22,INDIRECT("'["&amp;НАСТРОЙКИ!$D$7&amp;"]CF'!$L$51:$EO$51")),0))</f>
        <v>0</v>
      </c>
      <c r="BM80" s="35">
        <f ca="1">IF(НАСТРОЙКИ!$B$7&lt;&gt;"Да",0,IFERROR(SUMIF(INDIRECT("'["&amp;НАСТРОЙКИ!$D$7&amp;"]CF'!$L$3:$EO$3"),BM$22,INDIRECT("'["&amp;НАСТРОЙКИ!$D$7&amp;"]CF'!$L$51:$EO$51")),0))</f>
        <v>0</v>
      </c>
      <c r="BN80" s="35">
        <f ca="1">IF(НАСТРОЙКИ!$B$7&lt;&gt;"Да",0,IFERROR(SUMIF(INDIRECT("'["&amp;НАСТРОЙКИ!$D$7&amp;"]CF'!$L$3:$EO$3"),BN$22,INDIRECT("'["&amp;НАСТРОЙКИ!$D$7&amp;"]CF'!$L$51:$EO$51")),0))</f>
        <v>0</v>
      </c>
      <c r="BO80" s="35">
        <f ca="1">IF(НАСТРОЙКИ!$B$7&lt;&gt;"Да",0,IFERROR(SUMIF(INDIRECT("'["&amp;НАСТРОЙКИ!$D$7&amp;"]CF'!$L$3:$EO$3"),BO$22,INDIRECT("'["&amp;НАСТРОЙКИ!$D$7&amp;"]CF'!$L$51:$EO$51")),0))</f>
        <v>0</v>
      </c>
      <c r="BP80" s="35">
        <f ca="1">IF(НАСТРОЙКИ!$B$7&lt;&gt;"Да",0,IFERROR(SUMIF(INDIRECT("'["&amp;НАСТРОЙКИ!$D$7&amp;"]CF'!$L$3:$EO$3"),BP$22,INDIRECT("'["&amp;НАСТРОЙКИ!$D$7&amp;"]CF'!$L$51:$EO$51")),0))</f>
        <v>0</v>
      </c>
      <c r="BQ80" s="35">
        <f ca="1">IF(НАСТРОЙКИ!$B$7&lt;&gt;"Да",0,IFERROR(SUMIF(INDIRECT("'["&amp;НАСТРОЙКИ!$D$7&amp;"]CF'!$L$3:$EO$3"),BQ$22,INDIRECT("'["&amp;НАСТРОЙКИ!$D$7&amp;"]CF'!$L$51:$EO$51")),0))</f>
        <v>0</v>
      </c>
      <c r="BR80" s="35">
        <f ca="1">IF(НАСТРОЙКИ!$B$7&lt;&gt;"Да",0,IFERROR(SUMIF(INDIRECT("'["&amp;НАСТРОЙКИ!$D$7&amp;"]CF'!$L$3:$EO$3"),BR$22,INDIRECT("'["&amp;НАСТРОЙКИ!$D$7&amp;"]CF'!$L$51:$EO$51")),0))</f>
        <v>0</v>
      </c>
      <c r="BS80" s="35">
        <f ca="1">IF(НАСТРОЙКИ!$B$7&lt;&gt;"Да",0,IFERROR(SUMIF(INDIRECT("'["&amp;НАСТРОЙКИ!$D$7&amp;"]CF'!$L$3:$EO$3"),BS$22,INDIRECT("'["&amp;НАСТРОЙКИ!$D$7&amp;"]CF'!$L$51:$EO$51")),0))</f>
        <v>0</v>
      </c>
      <c r="BT80" s="35">
        <f ca="1">IF(НАСТРОЙКИ!$B$7&lt;&gt;"Да",0,IFERROR(SUMIF(INDIRECT("'["&amp;НАСТРОЙКИ!$D$7&amp;"]CF'!$L$3:$EO$3"),BT$22,INDIRECT("'["&amp;НАСТРОЙКИ!$D$7&amp;"]CF'!$L$51:$EO$51")),0))</f>
        <v>0</v>
      </c>
      <c r="BU80" s="35">
        <f ca="1">IF(НАСТРОЙКИ!$B$7&lt;&gt;"Да",0,IFERROR(SUMIF(INDIRECT("'["&amp;НАСТРОЙКИ!$D$7&amp;"]CF'!$L$3:$EO$3"),BU$22,INDIRECT("'["&amp;НАСТРОЙКИ!$D$7&amp;"]CF'!$L$51:$EO$51")),0))</f>
        <v>0</v>
      </c>
      <c r="BV80" s="35">
        <f ca="1">IF(НАСТРОЙКИ!$B$7&lt;&gt;"Да",0,IFERROR(SUMIF(INDIRECT("'["&amp;НАСТРОЙКИ!$D$7&amp;"]CF'!$L$3:$EO$3"),BV$22,INDIRECT("'["&amp;НАСТРОЙКИ!$D$7&amp;"]CF'!$L$51:$EO$51")),0))</f>
        <v>0</v>
      </c>
      <c r="BW80" s="35">
        <f ca="1">IF(НАСТРОЙКИ!$B$7&lt;&gt;"Да",0,IFERROR(SUMIF(INDIRECT("'["&amp;НАСТРОЙКИ!$D$7&amp;"]CF'!$L$3:$EO$3"),BW$22,INDIRECT("'["&amp;НАСТРОЙКИ!$D$7&amp;"]CF'!$L$51:$EO$51")),0))</f>
        <v>0</v>
      </c>
      <c r="BX80" s="35">
        <f ca="1">IF(НАСТРОЙКИ!$B$7&lt;&gt;"Да",0,IFERROR(SUMIF(INDIRECT("'["&amp;НАСТРОЙКИ!$D$7&amp;"]CF'!$L$3:$EO$3"),BX$22,INDIRECT("'["&amp;НАСТРОЙКИ!$D$7&amp;"]CF'!$L$51:$EO$51")),0))</f>
        <v>0</v>
      </c>
      <c r="BY80" s="35">
        <f ca="1">IF(НАСТРОЙКИ!$B$7&lt;&gt;"Да",0,IFERROR(SUMIF(INDIRECT("'["&amp;НАСТРОЙКИ!$D$7&amp;"]CF'!$L$3:$EO$3"),BY$22,INDIRECT("'["&amp;НАСТРОЙКИ!$D$7&amp;"]CF'!$L$51:$EO$51")),0))</f>
        <v>0</v>
      </c>
      <c r="BZ80" s="35">
        <f ca="1">IF(НАСТРОЙКИ!$B$7&lt;&gt;"Да",0,IFERROR(SUMIF(INDIRECT("'["&amp;НАСТРОЙКИ!$D$7&amp;"]CF'!$L$3:$EO$3"),BZ$22,INDIRECT("'["&amp;НАСТРОЙКИ!$D$7&amp;"]CF'!$L$51:$EO$51")),0))</f>
        <v>0</v>
      </c>
      <c r="CA80" s="35">
        <f ca="1">IF(НАСТРОЙКИ!$B$7&lt;&gt;"Да",0,IFERROR(SUMIF(INDIRECT("'["&amp;НАСТРОЙКИ!$D$7&amp;"]CF'!$L$3:$EO$3"),CA$22,INDIRECT("'["&amp;НАСТРОЙКИ!$D$7&amp;"]CF'!$L$51:$EO$51")),0))</f>
        <v>0</v>
      </c>
      <c r="CB80" s="35">
        <f ca="1">IF(НАСТРОЙКИ!$B$7&lt;&gt;"Да",0,IFERROR(SUMIF(INDIRECT("'["&amp;НАСТРОЙКИ!$D$7&amp;"]CF'!$L$3:$EO$3"),CB$22,INDIRECT("'["&amp;НАСТРОЙКИ!$D$7&amp;"]CF'!$L$51:$EO$51")),0))</f>
        <v>0</v>
      </c>
      <c r="CC80" s="35">
        <f ca="1">IF(НАСТРОЙКИ!$B$7&lt;&gt;"Да",0,IFERROR(SUMIF(INDIRECT("'["&amp;НАСТРОЙКИ!$D$7&amp;"]CF'!$L$3:$EO$3"),CC$22,INDIRECT("'["&amp;НАСТРОЙКИ!$D$7&amp;"]CF'!$L$51:$EO$51")),0))</f>
        <v>0</v>
      </c>
      <c r="CD80" s="35">
        <f ca="1">IF(НАСТРОЙКИ!$B$7&lt;&gt;"Да",0,IFERROR(SUMIF(INDIRECT("'["&amp;НАСТРОЙКИ!$D$7&amp;"]CF'!$L$3:$EO$3"),CD$22,INDIRECT("'["&amp;НАСТРОЙКИ!$D$7&amp;"]CF'!$L$51:$EO$51")),0))</f>
        <v>0</v>
      </c>
      <c r="CE80" s="35">
        <f ca="1">IF(НАСТРОЙКИ!$B$7&lt;&gt;"Да",0,IFERROR(SUMIF(INDIRECT("'["&amp;НАСТРОЙКИ!$D$7&amp;"]CF'!$L$3:$EO$3"),CE$22,INDIRECT("'["&amp;НАСТРОЙКИ!$D$7&amp;"]CF'!$L$51:$EO$51")),0))</f>
        <v>0</v>
      </c>
      <c r="CF80" s="35">
        <f ca="1">IF(НАСТРОЙКИ!$B$7&lt;&gt;"Да",0,IFERROR(SUMIF(INDIRECT("'["&amp;НАСТРОЙКИ!$D$7&amp;"]CF'!$L$3:$EO$3"),CF$22,INDIRECT("'["&amp;НАСТРОЙКИ!$D$7&amp;"]CF'!$L$51:$EO$51")),0))</f>
        <v>0</v>
      </c>
      <c r="CG80" s="35">
        <f ca="1">IF(НАСТРОЙКИ!$B$7&lt;&gt;"Да",0,IFERROR(SUMIF(INDIRECT("'["&amp;НАСТРОЙКИ!$D$7&amp;"]CF'!$L$3:$EO$3"),CG$22,INDIRECT("'["&amp;НАСТРОЙКИ!$D$7&amp;"]CF'!$L$51:$EO$51")),0))</f>
        <v>0</v>
      </c>
      <c r="CH80" s="35">
        <f ca="1">IF(НАСТРОЙКИ!$B$7&lt;&gt;"Да",0,IFERROR(SUMIF(INDIRECT("'["&amp;НАСТРОЙКИ!$D$7&amp;"]CF'!$L$3:$EO$3"),CH$22,INDIRECT("'["&amp;НАСТРОЙКИ!$D$7&amp;"]CF'!$L$51:$EO$51")),0))</f>
        <v>0</v>
      </c>
      <c r="CI80" s="35">
        <f ca="1">IF(НАСТРОЙКИ!$B$7&lt;&gt;"Да",0,IFERROR(SUMIF(INDIRECT("'["&amp;НАСТРОЙКИ!$D$7&amp;"]CF'!$L$3:$EO$3"),CI$22,INDIRECT("'["&amp;НАСТРОЙКИ!$D$7&amp;"]CF'!$L$51:$EO$51")),0))</f>
        <v>0</v>
      </c>
      <c r="CJ80" s="35">
        <f ca="1">IF(НАСТРОЙКИ!$B$7&lt;&gt;"Да",0,IFERROR(SUMIF(INDIRECT("'["&amp;НАСТРОЙКИ!$D$7&amp;"]CF'!$L$3:$EO$3"),CJ$22,INDIRECT("'["&amp;НАСТРОЙКИ!$D$7&amp;"]CF'!$L$51:$EO$51")),0))</f>
        <v>0</v>
      </c>
      <c r="CK80" s="35">
        <f ca="1">IF(НАСТРОЙКИ!$B$7&lt;&gt;"Да",0,IFERROR(SUMIF(INDIRECT("'["&amp;НАСТРОЙКИ!$D$7&amp;"]CF'!$L$3:$EO$3"),CK$22,INDIRECT("'["&amp;НАСТРОЙКИ!$D$7&amp;"]CF'!$L$51:$EO$51")),0))</f>
        <v>0</v>
      </c>
      <c r="CL80" s="35">
        <f ca="1">IF(НАСТРОЙКИ!$B$7&lt;&gt;"Да",0,IFERROR(SUMIF(INDIRECT("'["&amp;НАСТРОЙКИ!$D$7&amp;"]CF'!$L$3:$EO$3"),CL$22,INDIRECT("'["&amp;НАСТРОЙКИ!$D$7&amp;"]CF'!$L$51:$EO$51")),0))</f>
        <v>0</v>
      </c>
      <c r="CM80" s="35">
        <f ca="1">IF(НАСТРОЙКИ!$B$7&lt;&gt;"Да",0,IFERROR(SUMIF(INDIRECT("'["&amp;НАСТРОЙКИ!$D$7&amp;"]CF'!$L$3:$EO$3"),CM$22,INDIRECT("'["&amp;НАСТРОЙКИ!$D$7&amp;"]CF'!$L$51:$EO$51")),0))</f>
        <v>0</v>
      </c>
      <c r="CN80" s="35">
        <f ca="1">IF(НАСТРОЙКИ!$B$7&lt;&gt;"Да",0,IFERROR(SUMIF(INDIRECT("'["&amp;НАСТРОЙКИ!$D$7&amp;"]CF'!$L$3:$EO$3"),CN$22,INDIRECT("'["&amp;НАСТРОЙКИ!$D$7&amp;"]CF'!$L$51:$EO$51")),0))</f>
        <v>0</v>
      </c>
      <c r="CO80" s="35">
        <f ca="1">IF(НАСТРОЙКИ!$B$7&lt;&gt;"Да",0,IFERROR(SUMIF(INDIRECT("'["&amp;НАСТРОЙКИ!$D$7&amp;"]CF'!$L$3:$EO$3"),CO$22,INDIRECT("'["&amp;НАСТРОЙКИ!$D$7&amp;"]CF'!$L$51:$EO$51")),0))</f>
        <v>0</v>
      </c>
      <c r="CP80" s="35">
        <f ca="1">IF(НАСТРОЙКИ!$B$7&lt;&gt;"Да",0,IFERROR(SUMIF(INDIRECT("'["&amp;НАСТРОЙКИ!$D$7&amp;"]CF'!$L$3:$EO$3"),CP$22,INDIRECT("'["&amp;НАСТРОЙКИ!$D$7&amp;"]CF'!$L$51:$EO$51")),0))</f>
        <v>0</v>
      </c>
      <c r="CQ80" s="35">
        <f ca="1">IF(НАСТРОЙКИ!$B$7&lt;&gt;"Да",0,IFERROR(SUMIF(INDIRECT("'["&amp;НАСТРОЙКИ!$D$7&amp;"]CF'!$L$3:$EO$3"),CQ$22,INDIRECT("'["&amp;НАСТРОЙКИ!$D$7&amp;"]CF'!$L$51:$EO$51")),0))</f>
        <v>0</v>
      </c>
      <c r="CR80" s="35">
        <f ca="1">IF(НАСТРОЙКИ!$B$7&lt;&gt;"Да",0,IFERROR(SUMIF(INDIRECT("'["&amp;НАСТРОЙКИ!$D$7&amp;"]CF'!$L$3:$EO$3"),CR$22,INDIRECT("'["&amp;НАСТРОЙКИ!$D$7&amp;"]CF'!$L$51:$EO$51")),0))</f>
        <v>0</v>
      </c>
      <c r="CS80" s="35">
        <f ca="1">IF(НАСТРОЙКИ!$B$7&lt;&gt;"Да",0,IFERROR(SUMIF(INDIRECT("'["&amp;НАСТРОЙКИ!$D$7&amp;"]CF'!$L$3:$EO$3"),CS$22,INDIRECT("'["&amp;НАСТРОЙКИ!$D$7&amp;"]CF'!$L$51:$EO$51")),0))</f>
        <v>0</v>
      </c>
      <c r="CT80" s="35">
        <f ca="1">IF(НАСТРОЙКИ!$B$7&lt;&gt;"Да",0,IFERROR(SUMIF(INDIRECT("'["&amp;НАСТРОЙКИ!$D$7&amp;"]CF'!$L$3:$EO$3"),CT$22,INDIRECT("'["&amp;НАСТРОЙКИ!$D$7&amp;"]CF'!$L$51:$EO$51")),0))</f>
        <v>0</v>
      </c>
      <c r="CU80" s="35">
        <f ca="1">IF(НАСТРОЙКИ!$B$7&lt;&gt;"Да",0,IFERROR(SUMIF(INDIRECT("'["&amp;НАСТРОЙКИ!$D$7&amp;"]CF'!$L$3:$EO$3"),CU$22,INDIRECT("'["&amp;НАСТРОЙКИ!$D$7&amp;"]CF'!$L$51:$EO$51")),0))</f>
        <v>0</v>
      </c>
      <c r="CV80" s="35">
        <f ca="1">IF(НАСТРОЙКИ!$B$7&lt;&gt;"Да",0,IFERROR(SUMIF(INDIRECT("'["&amp;НАСТРОЙКИ!$D$7&amp;"]CF'!$L$3:$EO$3"),CV$22,INDIRECT("'["&amp;НАСТРОЙКИ!$D$7&amp;"]CF'!$L$51:$EO$51")),0))</f>
        <v>0</v>
      </c>
      <c r="CW80" s="35">
        <f ca="1">IF(НАСТРОЙКИ!$B$7&lt;&gt;"Да",0,IFERROR(SUMIF(INDIRECT("'["&amp;НАСТРОЙКИ!$D$7&amp;"]CF'!$L$3:$EO$3"),CW$22,INDIRECT("'["&amp;НАСТРОЙКИ!$D$7&amp;"]CF'!$L$51:$EO$51")),0))</f>
        <v>0</v>
      </c>
      <c r="CX80" s="35">
        <f ca="1">IF(НАСТРОЙКИ!$B$7&lt;&gt;"Да",0,IFERROR(SUMIF(INDIRECT("'["&amp;НАСТРОЙКИ!$D$7&amp;"]CF'!$L$3:$EO$3"),CX$22,INDIRECT("'["&amp;НАСТРОЙКИ!$D$7&amp;"]CF'!$L$51:$EO$51")),0))</f>
        <v>0</v>
      </c>
      <c r="CY80" s="35">
        <f ca="1">IF(НАСТРОЙКИ!$B$7&lt;&gt;"Да",0,IFERROR(SUMIF(INDIRECT("'["&amp;НАСТРОЙКИ!$D$7&amp;"]CF'!$L$3:$EO$3"),CY$22,INDIRECT("'["&amp;НАСТРОЙКИ!$D$7&amp;"]CF'!$L$51:$EO$51")),0))</f>
        <v>0</v>
      </c>
      <c r="CZ80" s="35">
        <f ca="1">IF(НАСТРОЙКИ!$B$7&lt;&gt;"Да",0,IFERROR(SUMIF(INDIRECT("'["&amp;НАСТРОЙКИ!$D$7&amp;"]CF'!$L$3:$EO$3"),CZ$22,INDIRECT("'["&amp;НАСТРОЙКИ!$D$7&amp;"]CF'!$L$51:$EO$51")),0))</f>
        <v>0</v>
      </c>
      <c r="DA80" s="35">
        <f ca="1">IF(НАСТРОЙКИ!$B$7&lt;&gt;"Да",0,IFERROR(SUMIF(INDIRECT("'["&amp;НАСТРОЙКИ!$D$7&amp;"]CF'!$L$3:$EO$3"),DA$22,INDIRECT("'["&amp;НАСТРОЙКИ!$D$7&amp;"]CF'!$L$51:$EO$51")),0))</f>
        <v>0</v>
      </c>
      <c r="DB80" s="35">
        <f ca="1">IF(НАСТРОЙКИ!$B$7&lt;&gt;"Да",0,IFERROR(SUMIF(INDIRECT("'["&amp;НАСТРОЙКИ!$D$7&amp;"]CF'!$L$3:$EO$3"),DB$22,INDIRECT("'["&amp;НАСТРОЙКИ!$D$7&amp;"]CF'!$L$51:$EO$51")),0))</f>
        <v>0</v>
      </c>
      <c r="DC80" s="35">
        <f ca="1">IF(НАСТРОЙКИ!$B$7&lt;&gt;"Да",0,IFERROR(SUMIF(INDIRECT("'["&amp;НАСТРОЙКИ!$D$7&amp;"]CF'!$L$3:$EO$3"),DC$22,INDIRECT("'["&amp;НАСТРОЙКИ!$D$7&amp;"]CF'!$L$51:$EO$51")),0))</f>
        <v>0</v>
      </c>
      <c r="DD80" s="35">
        <f ca="1">IF(НАСТРОЙКИ!$B$7&lt;&gt;"Да",0,IFERROR(SUMIF(INDIRECT("'["&amp;НАСТРОЙКИ!$D$7&amp;"]CF'!$L$3:$EO$3"),DD$22,INDIRECT("'["&amp;НАСТРОЙКИ!$D$7&amp;"]CF'!$L$51:$EO$51")),0))</f>
        <v>0</v>
      </c>
      <c r="DE80" s="35">
        <f ca="1">IF(НАСТРОЙКИ!$B$7&lt;&gt;"Да",0,IFERROR(SUMIF(INDIRECT("'["&amp;НАСТРОЙКИ!$D$7&amp;"]CF'!$L$3:$EO$3"),DE$22,INDIRECT("'["&amp;НАСТРОЙКИ!$D$7&amp;"]CF'!$L$51:$EO$51")),0))</f>
        <v>0</v>
      </c>
      <c r="DF80" s="35">
        <f ca="1">IF(НАСТРОЙКИ!$B$7&lt;&gt;"Да",0,IFERROR(SUMIF(INDIRECT("'["&amp;НАСТРОЙКИ!$D$7&amp;"]CF'!$L$3:$EO$3"),DF$22,INDIRECT("'["&amp;НАСТРОЙКИ!$D$7&amp;"]CF'!$L$51:$EO$51")),0))</f>
        <v>0</v>
      </c>
    </row>
    <row r="81" spans="1:110">
      <c r="A81" s="34" t="s">
        <v>127</v>
      </c>
      <c r="B81" s="34" t="s">
        <v>58</v>
      </c>
      <c r="C81" s="36">
        <f t="shared" ref="C81:AH81" ca="1" si="88">C77+C78+C79+C80</f>
        <v>0</v>
      </c>
      <c r="D81" s="36">
        <f t="shared" ca="1" si="88"/>
        <v>0</v>
      </c>
      <c r="E81" s="36">
        <f t="shared" ca="1" si="88"/>
        <v>0</v>
      </c>
      <c r="F81" s="36">
        <f t="shared" ca="1" si="88"/>
        <v>0</v>
      </c>
      <c r="G81" s="36">
        <f t="shared" ca="1" si="88"/>
        <v>0</v>
      </c>
      <c r="H81" s="36">
        <f t="shared" ca="1" si="88"/>
        <v>0</v>
      </c>
      <c r="I81" s="36">
        <f t="shared" ca="1" si="88"/>
        <v>0</v>
      </c>
      <c r="J81" s="36">
        <f t="shared" ca="1" si="88"/>
        <v>0</v>
      </c>
      <c r="K81" s="36">
        <f t="shared" ca="1" si="88"/>
        <v>0</v>
      </c>
      <c r="L81" s="36">
        <f t="shared" ca="1" si="88"/>
        <v>0</v>
      </c>
      <c r="M81" s="36">
        <f t="shared" ca="1" si="88"/>
        <v>0</v>
      </c>
      <c r="N81" s="36">
        <f t="shared" ca="1" si="88"/>
        <v>0</v>
      </c>
      <c r="O81" s="36">
        <f t="shared" ca="1" si="88"/>
        <v>0</v>
      </c>
      <c r="P81" s="36">
        <f t="shared" ca="1" si="88"/>
        <v>0</v>
      </c>
      <c r="Q81" s="36">
        <f t="shared" ca="1" si="88"/>
        <v>0</v>
      </c>
      <c r="R81" s="36">
        <f t="shared" ca="1" si="88"/>
        <v>0</v>
      </c>
      <c r="S81" s="36">
        <f t="shared" ca="1" si="88"/>
        <v>0</v>
      </c>
      <c r="T81" s="36">
        <f t="shared" ca="1" si="88"/>
        <v>0</v>
      </c>
      <c r="U81" s="36">
        <f t="shared" ca="1" si="88"/>
        <v>0</v>
      </c>
      <c r="V81" s="36">
        <f t="shared" ca="1" si="88"/>
        <v>0</v>
      </c>
      <c r="W81" s="36">
        <f t="shared" ca="1" si="88"/>
        <v>0</v>
      </c>
      <c r="X81" s="36">
        <f t="shared" ca="1" si="88"/>
        <v>0</v>
      </c>
      <c r="Y81" s="36">
        <f t="shared" ca="1" si="88"/>
        <v>0</v>
      </c>
      <c r="Z81" s="36">
        <f t="shared" ca="1" si="88"/>
        <v>0</v>
      </c>
      <c r="AA81" s="36">
        <f t="shared" ca="1" si="88"/>
        <v>0</v>
      </c>
      <c r="AB81" s="36">
        <f t="shared" ca="1" si="88"/>
        <v>0</v>
      </c>
      <c r="AC81" s="36">
        <f t="shared" ca="1" si="88"/>
        <v>0</v>
      </c>
      <c r="AD81" s="36">
        <f t="shared" ca="1" si="88"/>
        <v>0</v>
      </c>
      <c r="AE81" s="36">
        <f t="shared" ca="1" si="88"/>
        <v>0</v>
      </c>
      <c r="AF81" s="36">
        <f t="shared" ca="1" si="88"/>
        <v>0</v>
      </c>
      <c r="AG81" s="36">
        <f t="shared" ca="1" si="88"/>
        <v>0</v>
      </c>
      <c r="AH81" s="36">
        <f t="shared" ca="1" si="88"/>
        <v>0</v>
      </c>
      <c r="AI81" s="36">
        <f t="shared" ref="AI81:BN81" ca="1" si="89">AI77+AI78+AI79+AI80</f>
        <v>0</v>
      </c>
      <c r="AJ81" s="36">
        <f t="shared" ca="1" si="89"/>
        <v>0</v>
      </c>
      <c r="AK81" s="36">
        <f t="shared" ca="1" si="89"/>
        <v>0</v>
      </c>
      <c r="AL81" s="36">
        <f t="shared" ca="1" si="89"/>
        <v>0</v>
      </c>
      <c r="AM81" s="36">
        <f t="shared" ca="1" si="89"/>
        <v>0</v>
      </c>
      <c r="AN81" s="36">
        <f t="shared" ca="1" si="89"/>
        <v>0</v>
      </c>
      <c r="AO81" s="36">
        <f t="shared" ca="1" si="89"/>
        <v>0</v>
      </c>
      <c r="AP81" s="36">
        <f t="shared" ca="1" si="89"/>
        <v>0</v>
      </c>
      <c r="AQ81" s="36">
        <f t="shared" ca="1" si="89"/>
        <v>0</v>
      </c>
      <c r="AR81" s="36">
        <f t="shared" ca="1" si="89"/>
        <v>0</v>
      </c>
      <c r="AS81" s="36">
        <f t="shared" ca="1" si="89"/>
        <v>0</v>
      </c>
      <c r="AT81" s="36">
        <f t="shared" ca="1" si="89"/>
        <v>0</v>
      </c>
      <c r="AU81" s="36">
        <f t="shared" ca="1" si="89"/>
        <v>0</v>
      </c>
      <c r="AV81" s="36">
        <f t="shared" ca="1" si="89"/>
        <v>0</v>
      </c>
      <c r="AW81" s="36">
        <f t="shared" ca="1" si="89"/>
        <v>0</v>
      </c>
      <c r="AX81" s="36">
        <f t="shared" ca="1" si="89"/>
        <v>0</v>
      </c>
      <c r="AY81" s="36">
        <f t="shared" ca="1" si="89"/>
        <v>0</v>
      </c>
      <c r="AZ81" s="36">
        <f t="shared" ca="1" si="89"/>
        <v>0</v>
      </c>
      <c r="BA81" s="36">
        <f t="shared" ca="1" si="89"/>
        <v>0</v>
      </c>
      <c r="BB81" s="36">
        <f t="shared" ca="1" si="89"/>
        <v>0</v>
      </c>
      <c r="BC81" s="36">
        <f t="shared" ca="1" si="89"/>
        <v>0</v>
      </c>
      <c r="BD81" s="36">
        <f t="shared" ca="1" si="89"/>
        <v>0</v>
      </c>
      <c r="BE81" s="36">
        <f t="shared" ca="1" si="89"/>
        <v>0</v>
      </c>
      <c r="BF81" s="36">
        <f t="shared" ca="1" si="89"/>
        <v>0</v>
      </c>
      <c r="BG81" s="36">
        <f t="shared" ca="1" si="89"/>
        <v>0</v>
      </c>
      <c r="BH81" s="36">
        <f t="shared" ca="1" si="89"/>
        <v>0</v>
      </c>
      <c r="BI81" s="36">
        <f t="shared" ca="1" si="89"/>
        <v>0</v>
      </c>
      <c r="BJ81" s="36">
        <f t="shared" ca="1" si="89"/>
        <v>0</v>
      </c>
      <c r="BK81" s="36">
        <f t="shared" ca="1" si="89"/>
        <v>0</v>
      </c>
      <c r="BL81" s="36">
        <f t="shared" ca="1" si="89"/>
        <v>0</v>
      </c>
      <c r="BM81" s="36">
        <f t="shared" ca="1" si="89"/>
        <v>0</v>
      </c>
      <c r="BN81" s="36">
        <f t="shared" ca="1" si="89"/>
        <v>0</v>
      </c>
      <c r="BO81" s="36">
        <f t="shared" ref="BO81:CT81" ca="1" si="90">BO77+BO78+BO79+BO80</f>
        <v>0</v>
      </c>
      <c r="BP81" s="36">
        <f t="shared" ca="1" si="90"/>
        <v>0</v>
      </c>
      <c r="BQ81" s="36">
        <f t="shared" ca="1" si="90"/>
        <v>0</v>
      </c>
      <c r="BR81" s="36">
        <f t="shared" ca="1" si="90"/>
        <v>0</v>
      </c>
      <c r="BS81" s="36">
        <f t="shared" ca="1" si="90"/>
        <v>0</v>
      </c>
      <c r="BT81" s="36">
        <f t="shared" ca="1" si="90"/>
        <v>0</v>
      </c>
      <c r="BU81" s="36">
        <f t="shared" ca="1" si="90"/>
        <v>0</v>
      </c>
      <c r="BV81" s="36">
        <f t="shared" ca="1" si="90"/>
        <v>0</v>
      </c>
      <c r="BW81" s="36">
        <f t="shared" ca="1" si="90"/>
        <v>0</v>
      </c>
      <c r="BX81" s="36">
        <f t="shared" ca="1" si="90"/>
        <v>0</v>
      </c>
      <c r="BY81" s="36">
        <f t="shared" ca="1" si="90"/>
        <v>0</v>
      </c>
      <c r="BZ81" s="36">
        <f t="shared" ca="1" si="90"/>
        <v>0</v>
      </c>
      <c r="CA81" s="36">
        <f t="shared" ca="1" si="90"/>
        <v>0</v>
      </c>
      <c r="CB81" s="36">
        <f t="shared" ca="1" si="90"/>
        <v>0</v>
      </c>
      <c r="CC81" s="36">
        <f t="shared" ca="1" si="90"/>
        <v>0</v>
      </c>
      <c r="CD81" s="36">
        <f t="shared" ca="1" si="90"/>
        <v>0</v>
      </c>
      <c r="CE81" s="36">
        <f t="shared" ca="1" si="90"/>
        <v>0</v>
      </c>
      <c r="CF81" s="36">
        <f t="shared" ca="1" si="90"/>
        <v>0</v>
      </c>
      <c r="CG81" s="36">
        <f t="shared" ca="1" si="90"/>
        <v>0</v>
      </c>
      <c r="CH81" s="36">
        <f t="shared" ca="1" si="90"/>
        <v>0</v>
      </c>
      <c r="CI81" s="36">
        <f t="shared" ca="1" si="90"/>
        <v>0</v>
      </c>
      <c r="CJ81" s="36">
        <f t="shared" ca="1" si="90"/>
        <v>0</v>
      </c>
      <c r="CK81" s="36">
        <f t="shared" ca="1" si="90"/>
        <v>0</v>
      </c>
      <c r="CL81" s="36">
        <f t="shared" ca="1" si="90"/>
        <v>0</v>
      </c>
      <c r="CM81" s="36">
        <f t="shared" ca="1" si="90"/>
        <v>0</v>
      </c>
      <c r="CN81" s="36">
        <f t="shared" ca="1" si="90"/>
        <v>0</v>
      </c>
      <c r="CO81" s="36">
        <f t="shared" ca="1" si="90"/>
        <v>0</v>
      </c>
      <c r="CP81" s="36">
        <f t="shared" ca="1" si="90"/>
        <v>0</v>
      </c>
      <c r="CQ81" s="36">
        <f t="shared" ca="1" si="90"/>
        <v>0</v>
      </c>
      <c r="CR81" s="36">
        <f t="shared" ca="1" si="90"/>
        <v>0</v>
      </c>
      <c r="CS81" s="36">
        <f t="shared" ca="1" si="90"/>
        <v>0</v>
      </c>
      <c r="CT81" s="36">
        <f t="shared" ca="1" si="90"/>
        <v>0</v>
      </c>
      <c r="CU81" s="36">
        <f t="shared" ref="CU81:DF81" ca="1" si="91">CU77+CU78+CU79+CU80</f>
        <v>0</v>
      </c>
      <c r="CV81" s="36">
        <f t="shared" ca="1" si="91"/>
        <v>0</v>
      </c>
      <c r="CW81" s="36">
        <f t="shared" ca="1" si="91"/>
        <v>0</v>
      </c>
      <c r="CX81" s="36">
        <f t="shared" ca="1" si="91"/>
        <v>0</v>
      </c>
      <c r="CY81" s="36">
        <f t="shared" ca="1" si="91"/>
        <v>0</v>
      </c>
      <c r="CZ81" s="36">
        <f t="shared" ca="1" si="91"/>
        <v>0</v>
      </c>
      <c r="DA81" s="36">
        <f t="shared" ca="1" si="91"/>
        <v>0</v>
      </c>
      <c r="DB81" s="36">
        <f t="shared" ca="1" si="91"/>
        <v>0</v>
      </c>
      <c r="DC81" s="36">
        <f t="shared" ca="1" si="91"/>
        <v>0</v>
      </c>
      <c r="DD81" s="36">
        <f t="shared" ca="1" si="91"/>
        <v>0</v>
      </c>
      <c r="DE81" s="36">
        <f t="shared" ca="1" si="91"/>
        <v>0</v>
      </c>
      <c r="DF81" s="36">
        <f t="shared" ca="1" si="91"/>
        <v>0</v>
      </c>
    </row>
    <row r="82" spans="1:110">
      <c r="A82" s="34" t="s">
        <v>128</v>
      </c>
      <c r="B82" s="34" t="s">
        <v>58</v>
      </c>
      <c r="C82" s="35">
        <f ca="1">IF(НАСТРОЙКИ!$B$7&lt;&gt;"Да",0,IFERROR(SUMIF(INDIRECT("'["&amp;НАСТРОЙКИ!$D$7&amp;"]CF'!$L$3:$EO$3"),C$22,INDIRECT("'["&amp;НАСТРОЙКИ!$D$7&amp;"]CF'!$L$65:$EO$65")),0))</f>
        <v>0</v>
      </c>
      <c r="D82" s="35">
        <f ca="1">IF(НАСТРОЙКИ!$B$7&lt;&gt;"Да",0,IFERROR(SUMIF(INDIRECT("'["&amp;НАСТРОЙКИ!$D$7&amp;"]CF'!$L$3:$EO$3"),D$22,INDIRECT("'["&amp;НАСТРОЙКИ!$D$7&amp;"]CF'!$L$65:$EO$65")),0))</f>
        <v>0</v>
      </c>
      <c r="E82" s="35">
        <f ca="1">IF(НАСТРОЙКИ!$B$7&lt;&gt;"Да",0,IFERROR(SUMIF(INDIRECT("'["&amp;НАСТРОЙКИ!$D$7&amp;"]CF'!$L$3:$EO$3"),E$22,INDIRECT("'["&amp;НАСТРОЙКИ!$D$7&amp;"]CF'!$L$65:$EO$65")),0))</f>
        <v>0</v>
      </c>
      <c r="F82" s="35">
        <f ca="1">IF(НАСТРОЙКИ!$B$7&lt;&gt;"Да",0,IFERROR(SUMIF(INDIRECT("'["&amp;НАСТРОЙКИ!$D$7&amp;"]CF'!$L$3:$EO$3"),F$22,INDIRECT("'["&amp;НАСТРОЙКИ!$D$7&amp;"]CF'!$L$65:$EO$65")),0))</f>
        <v>0</v>
      </c>
      <c r="G82" s="35">
        <f ca="1">IF(НАСТРОЙКИ!$B$7&lt;&gt;"Да",0,IFERROR(SUMIF(INDIRECT("'["&amp;НАСТРОЙКИ!$D$7&amp;"]CF'!$L$3:$EO$3"),G$22,INDIRECT("'["&amp;НАСТРОЙКИ!$D$7&amp;"]CF'!$L$65:$EO$65")),0))</f>
        <v>0</v>
      </c>
      <c r="H82" s="35">
        <f ca="1">IF(НАСТРОЙКИ!$B$7&lt;&gt;"Да",0,IFERROR(SUMIF(INDIRECT("'["&amp;НАСТРОЙКИ!$D$7&amp;"]CF'!$L$3:$EO$3"),H$22,INDIRECT("'["&amp;НАСТРОЙКИ!$D$7&amp;"]CF'!$L$65:$EO$65")),0))</f>
        <v>0</v>
      </c>
      <c r="I82" s="35">
        <f ca="1">IF(НАСТРОЙКИ!$B$7&lt;&gt;"Да",0,IFERROR(SUMIF(INDIRECT("'["&amp;НАСТРОЙКИ!$D$7&amp;"]CF'!$L$3:$EO$3"),I$22,INDIRECT("'["&amp;НАСТРОЙКИ!$D$7&amp;"]CF'!$L$65:$EO$65")),0))</f>
        <v>0</v>
      </c>
      <c r="J82" s="35">
        <f ca="1">IF(НАСТРОЙКИ!$B$7&lt;&gt;"Да",0,IFERROR(SUMIF(INDIRECT("'["&amp;НАСТРОЙКИ!$D$7&amp;"]CF'!$L$3:$EO$3"),J$22,INDIRECT("'["&amp;НАСТРОЙКИ!$D$7&amp;"]CF'!$L$65:$EO$65")),0))</f>
        <v>0</v>
      </c>
      <c r="K82" s="35">
        <f ca="1">IF(НАСТРОЙКИ!$B$7&lt;&gt;"Да",0,IFERROR(SUMIF(INDIRECT("'["&amp;НАСТРОЙКИ!$D$7&amp;"]CF'!$L$3:$EO$3"),K$22,INDIRECT("'["&amp;НАСТРОЙКИ!$D$7&amp;"]CF'!$L$65:$EO$65")),0))</f>
        <v>0</v>
      </c>
      <c r="L82" s="35">
        <f ca="1">IF(НАСТРОЙКИ!$B$7&lt;&gt;"Да",0,IFERROR(SUMIF(INDIRECT("'["&amp;НАСТРОЙКИ!$D$7&amp;"]CF'!$L$3:$EO$3"),L$22,INDIRECT("'["&amp;НАСТРОЙКИ!$D$7&amp;"]CF'!$L$65:$EO$65")),0))</f>
        <v>0</v>
      </c>
      <c r="M82" s="35">
        <f ca="1">IF(НАСТРОЙКИ!$B$7&lt;&gt;"Да",0,IFERROR(SUMIF(INDIRECT("'["&amp;НАСТРОЙКИ!$D$7&amp;"]CF'!$L$3:$EO$3"),M$22,INDIRECT("'["&amp;НАСТРОЙКИ!$D$7&amp;"]CF'!$L$65:$EO$65")),0))</f>
        <v>0</v>
      </c>
      <c r="N82" s="35">
        <f ca="1">IF(НАСТРОЙКИ!$B$7&lt;&gt;"Да",0,IFERROR(SUMIF(INDIRECT("'["&amp;НАСТРОЙКИ!$D$7&amp;"]CF'!$L$3:$EO$3"),N$22,INDIRECT("'["&amp;НАСТРОЙКИ!$D$7&amp;"]CF'!$L$65:$EO$65")),0))</f>
        <v>0</v>
      </c>
      <c r="O82" s="35">
        <f ca="1">IF(НАСТРОЙКИ!$B$7&lt;&gt;"Да",0,IFERROR(SUMIF(INDIRECT("'["&amp;НАСТРОЙКИ!$D$7&amp;"]CF'!$L$3:$EO$3"),O$22,INDIRECT("'["&amp;НАСТРОЙКИ!$D$7&amp;"]CF'!$L$65:$EO$65")),0))</f>
        <v>0</v>
      </c>
      <c r="P82" s="35">
        <f ca="1">IF(НАСТРОЙКИ!$B$7&lt;&gt;"Да",0,IFERROR(SUMIF(INDIRECT("'["&amp;НАСТРОЙКИ!$D$7&amp;"]CF'!$L$3:$EO$3"),P$22,INDIRECT("'["&amp;НАСТРОЙКИ!$D$7&amp;"]CF'!$L$65:$EO$65")),0))</f>
        <v>0</v>
      </c>
      <c r="Q82" s="35">
        <f ca="1">IF(НАСТРОЙКИ!$B$7&lt;&gt;"Да",0,IFERROR(SUMIF(INDIRECT("'["&amp;НАСТРОЙКИ!$D$7&amp;"]CF'!$L$3:$EO$3"),Q$22,INDIRECT("'["&amp;НАСТРОЙКИ!$D$7&amp;"]CF'!$L$65:$EO$65")),0))</f>
        <v>0</v>
      </c>
      <c r="R82" s="35">
        <f ca="1">IF(НАСТРОЙКИ!$B$7&lt;&gt;"Да",0,IFERROR(SUMIF(INDIRECT("'["&amp;НАСТРОЙКИ!$D$7&amp;"]CF'!$L$3:$EO$3"),R$22,INDIRECT("'["&amp;НАСТРОЙКИ!$D$7&amp;"]CF'!$L$65:$EO$65")),0))</f>
        <v>0</v>
      </c>
      <c r="S82" s="35">
        <f ca="1">IF(НАСТРОЙКИ!$B$7&lt;&gt;"Да",0,IFERROR(SUMIF(INDIRECT("'["&amp;НАСТРОЙКИ!$D$7&amp;"]CF'!$L$3:$EO$3"),S$22,INDIRECT("'["&amp;НАСТРОЙКИ!$D$7&amp;"]CF'!$L$65:$EO$65")),0))</f>
        <v>0</v>
      </c>
      <c r="T82" s="35">
        <f ca="1">IF(НАСТРОЙКИ!$B$7&lt;&gt;"Да",0,IFERROR(SUMIF(INDIRECT("'["&amp;НАСТРОЙКИ!$D$7&amp;"]CF'!$L$3:$EO$3"),T$22,INDIRECT("'["&amp;НАСТРОЙКИ!$D$7&amp;"]CF'!$L$65:$EO$65")),0))</f>
        <v>0</v>
      </c>
      <c r="U82" s="35">
        <f ca="1">IF(НАСТРОЙКИ!$B$7&lt;&gt;"Да",0,IFERROR(SUMIF(INDIRECT("'["&amp;НАСТРОЙКИ!$D$7&amp;"]CF'!$L$3:$EO$3"),U$22,INDIRECT("'["&amp;НАСТРОЙКИ!$D$7&amp;"]CF'!$L$65:$EO$65")),0))</f>
        <v>0</v>
      </c>
      <c r="V82" s="35">
        <f ca="1">IF(НАСТРОЙКИ!$B$7&lt;&gt;"Да",0,IFERROR(SUMIF(INDIRECT("'["&amp;НАСТРОЙКИ!$D$7&amp;"]CF'!$L$3:$EO$3"),V$22,INDIRECT("'["&amp;НАСТРОЙКИ!$D$7&amp;"]CF'!$L$65:$EO$65")),0))</f>
        <v>0</v>
      </c>
      <c r="W82" s="35">
        <f ca="1">IF(НАСТРОЙКИ!$B$7&lt;&gt;"Да",0,IFERROR(SUMIF(INDIRECT("'["&amp;НАСТРОЙКИ!$D$7&amp;"]CF'!$L$3:$EO$3"),W$22,INDIRECT("'["&amp;НАСТРОЙКИ!$D$7&amp;"]CF'!$L$65:$EO$65")),0))</f>
        <v>0</v>
      </c>
      <c r="X82" s="35">
        <f ca="1">IF(НАСТРОЙКИ!$B$7&lt;&gt;"Да",0,IFERROR(SUMIF(INDIRECT("'["&amp;НАСТРОЙКИ!$D$7&amp;"]CF'!$L$3:$EO$3"),X$22,INDIRECT("'["&amp;НАСТРОЙКИ!$D$7&amp;"]CF'!$L$65:$EO$65")),0))</f>
        <v>0</v>
      </c>
      <c r="Y82" s="35">
        <f ca="1">IF(НАСТРОЙКИ!$B$7&lt;&gt;"Да",0,IFERROR(SUMIF(INDIRECT("'["&amp;НАСТРОЙКИ!$D$7&amp;"]CF'!$L$3:$EO$3"),Y$22,INDIRECT("'["&amp;НАСТРОЙКИ!$D$7&amp;"]CF'!$L$65:$EO$65")),0))</f>
        <v>0</v>
      </c>
      <c r="Z82" s="35">
        <f ca="1">IF(НАСТРОЙКИ!$B$7&lt;&gt;"Да",0,IFERROR(SUMIF(INDIRECT("'["&amp;НАСТРОЙКИ!$D$7&amp;"]CF'!$L$3:$EO$3"),Z$22,INDIRECT("'["&amp;НАСТРОЙКИ!$D$7&amp;"]CF'!$L$65:$EO$65")),0))</f>
        <v>0</v>
      </c>
      <c r="AA82" s="35">
        <f ca="1">IF(НАСТРОЙКИ!$B$7&lt;&gt;"Да",0,IFERROR(SUMIF(INDIRECT("'["&amp;НАСТРОЙКИ!$D$7&amp;"]CF'!$L$3:$EO$3"),AA$22,INDIRECT("'["&amp;НАСТРОЙКИ!$D$7&amp;"]CF'!$L$65:$EO$65")),0))</f>
        <v>0</v>
      </c>
      <c r="AB82" s="35">
        <f ca="1">IF(НАСТРОЙКИ!$B$7&lt;&gt;"Да",0,IFERROR(SUMIF(INDIRECT("'["&amp;НАСТРОЙКИ!$D$7&amp;"]CF'!$L$3:$EO$3"),AB$22,INDIRECT("'["&amp;НАСТРОЙКИ!$D$7&amp;"]CF'!$L$65:$EO$65")),0))</f>
        <v>0</v>
      </c>
      <c r="AC82" s="35">
        <f ca="1">IF(НАСТРОЙКИ!$B$7&lt;&gt;"Да",0,IFERROR(SUMIF(INDIRECT("'["&amp;НАСТРОЙКИ!$D$7&amp;"]CF'!$L$3:$EO$3"),AC$22,INDIRECT("'["&amp;НАСТРОЙКИ!$D$7&amp;"]CF'!$L$65:$EO$65")),0))</f>
        <v>0</v>
      </c>
      <c r="AD82" s="35">
        <f ca="1">IF(НАСТРОЙКИ!$B$7&lt;&gt;"Да",0,IFERROR(SUMIF(INDIRECT("'["&amp;НАСТРОЙКИ!$D$7&amp;"]CF'!$L$3:$EO$3"),AD$22,INDIRECT("'["&amp;НАСТРОЙКИ!$D$7&amp;"]CF'!$L$65:$EO$65")),0))</f>
        <v>0</v>
      </c>
      <c r="AE82" s="35">
        <f ca="1">IF(НАСТРОЙКИ!$B$7&lt;&gt;"Да",0,IFERROR(SUMIF(INDIRECT("'["&amp;НАСТРОЙКИ!$D$7&amp;"]CF'!$L$3:$EO$3"),AE$22,INDIRECT("'["&amp;НАСТРОЙКИ!$D$7&amp;"]CF'!$L$65:$EO$65")),0))</f>
        <v>0</v>
      </c>
      <c r="AF82" s="35">
        <f ca="1">IF(НАСТРОЙКИ!$B$7&lt;&gt;"Да",0,IFERROR(SUMIF(INDIRECT("'["&amp;НАСТРОЙКИ!$D$7&amp;"]CF'!$L$3:$EO$3"),AF$22,INDIRECT("'["&amp;НАСТРОЙКИ!$D$7&amp;"]CF'!$L$65:$EO$65")),0))</f>
        <v>0</v>
      </c>
      <c r="AG82" s="35">
        <f ca="1">IF(НАСТРОЙКИ!$B$7&lt;&gt;"Да",0,IFERROR(SUMIF(INDIRECT("'["&amp;НАСТРОЙКИ!$D$7&amp;"]CF'!$L$3:$EO$3"),AG$22,INDIRECT("'["&amp;НАСТРОЙКИ!$D$7&amp;"]CF'!$L$65:$EO$65")),0))</f>
        <v>0</v>
      </c>
      <c r="AH82" s="35">
        <f ca="1">IF(НАСТРОЙКИ!$B$7&lt;&gt;"Да",0,IFERROR(SUMIF(INDIRECT("'["&amp;НАСТРОЙКИ!$D$7&amp;"]CF'!$L$3:$EO$3"),AH$22,INDIRECT("'["&amp;НАСТРОЙКИ!$D$7&amp;"]CF'!$L$65:$EO$65")),0))</f>
        <v>0</v>
      </c>
      <c r="AI82" s="35">
        <f ca="1">IF(НАСТРОЙКИ!$B$7&lt;&gt;"Да",0,IFERROR(SUMIF(INDIRECT("'["&amp;НАСТРОЙКИ!$D$7&amp;"]CF'!$L$3:$EO$3"),AI$22,INDIRECT("'["&amp;НАСТРОЙКИ!$D$7&amp;"]CF'!$L$65:$EO$65")),0))</f>
        <v>0</v>
      </c>
      <c r="AJ82" s="35">
        <f ca="1">IF(НАСТРОЙКИ!$B$7&lt;&gt;"Да",0,IFERROR(SUMIF(INDIRECT("'["&amp;НАСТРОЙКИ!$D$7&amp;"]CF'!$L$3:$EO$3"),AJ$22,INDIRECT("'["&amp;НАСТРОЙКИ!$D$7&amp;"]CF'!$L$65:$EO$65")),0))</f>
        <v>0</v>
      </c>
      <c r="AK82" s="35">
        <f ca="1">IF(НАСТРОЙКИ!$B$7&lt;&gt;"Да",0,IFERROR(SUMIF(INDIRECT("'["&amp;НАСТРОЙКИ!$D$7&amp;"]CF'!$L$3:$EO$3"),AK$22,INDIRECT("'["&amp;НАСТРОЙКИ!$D$7&amp;"]CF'!$L$65:$EO$65")),0))</f>
        <v>0</v>
      </c>
      <c r="AL82" s="35">
        <f ca="1">IF(НАСТРОЙКИ!$B$7&lt;&gt;"Да",0,IFERROR(SUMIF(INDIRECT("'["&amp;НАСТРОЙКИ!$D$7&amp;"]CF'!$L$3:$EO$3"),AL$22,INDIRECT("'["&amp;НАСТРОЙКИ!$D$7&amp;"]CF'!$L$65:$EO$65")),0))</f>
        <v>0</v>
      </c>
      <c r="AM82" s="35">
        <f ca="1">IF(НАСТРОЙКИ!$B$7&lt;&gt;"Да",0,IFERROR(SUMIF(INDIRECT("'["&amp;НАСТРОЙКИ!$D$7&amp;"]CF'!$L$3:$EO$3"),AM$22,INDIRECT("'["&amp;НАСТРОЙКИ!$D$7&amp;"]CF'!$L$65:$EO$65")),0))</f>
        <v>0</v>
      </c>
      <c r="AN82" s="35">
        <f ca="1">IF(НАСТРОЙКИ!$B$7&lt;&gt;"Да",0,IFERROR(SUMIF(INDIRECT("'["&amp;НАСТРОЙКИ!$D$7&amp;"]CF'!$L$3:$EO$3"),AN$22,INDIRECT("'["&amp;НАСТРОЙКИ!$D$7&amp;"]CF'!$L$65:$EO$65")),0))</f>
        <v>0</v>
      </c>
      <c r="AO82" s="35">
        <f ca="1">IF(НАСТРОЙКИ!$B$7&lt;&gt;"Да",0,IFERROR(SUMIF(INDIRECT("'["&amp;НАСТРОЙКИ!$D$7&amp;"]CF'!$L$3:$EO$3"),AO$22,INDIRECT("'["&amp;НАСТРОЙКИ!$D$7&amp;"]CF'!$L$65:$EO$65")),0))</f>
        <v>0</v>
      </c>
      <c r="AP82" s="35">
        <f ca="1">IF(НАСТРОЙКИ!$B$7&lt;&gt;"Да",0,IFERROR(SUMIF(INDIRECT("'["&amp;НАСТРОЙКИ!$D$7&amp;"]CF'!$L$3:$EO$3"),AP$22,INDIRECT("'["&amp;НАСТРОЙКИ!$D$7&amp;"]CF'!$L$65:$EO$65")),0))</f>
        <v>0</v>
      </c>
      <c r="AQ82" s="35">
        <f ca="1">IF(НАСТРОЙКИ!$B$7&lt;&gt;"Да",0,IFERROR(SUMIF(INDIRECT("'["&amp;НАСТРОЙКИ!$D$7&amp;"]CF'!$L$3:$EO$3"),AQ$22,INDIRECT("'["&amp;НАСТРОЙКИ!$D$7&amp;"]CF'!$L$65:$EO$65")),0))</f>
        <v>0</v>
      </c>
      <c r="AR82" s="35">
        <f ca="1">IF(НАСТРОЙКИ!$B$7&lt;&gt;"Да",0,IFERROR(SUMIF(INDIRECT("'["&amp;НАСТРОЙКИ!$D$7&amp;"]CF'!$L$3:$EO$3"),AR$22,INDIRECT("'["&amp;НАСТРОЙКИ!$D$7&amp;"]CF'!$L$65:$EO$65")),0))</f>
        <v>0</v>
      </c>
      <c r="AS82" s="35">
        <f ca="1">IF(НАСТРОЙКИ!$B$7&lt;&gt;"Да",0,IFERROR(SUMIF(INDIRECT("'["&amp;НАСТРОЙКИ!$D$7&amp;"]CF'!$L$3:$EO$3"),AS$22,INDIRECT("'["&amp;НАСТРОЙКИ!$D$7&amp;"]CF'!$L$65:$EO$65")),0))</f>
        <v>0</v>
      </c>
      <c r="AT82" s="35">
        <f ca="1">IF(НАСТРОЙКИ!$B$7&lt;&gt;"Да",0,IFERROR(SUMIF(INDIRECT("'["&amp;НАСТРОЙКИ!$D$7&amp;"]CF'!$L$3:$EO$3"),AT$22,INDIRECT("'["&amp;НАСТРОЙКИ!$D$7&amp;"]CF'!$L$65:$EO$65")),0))</f>
        <v>0</v>
      </c>
      <c r="AU82" s="35">
        <f ca="1">IF(НАСТРОЙКИ!$B$7&lt;&gt;"Да",0,IFERROR(SUMIF(INDIRECT("'["&amp;НАСТРОЙКИ!$D$7&amp;"]CF'!$L$3:$EO$3"),AU$22,INDIRECT("'["&amp;НАСТРОЙКИ!$D$7&amp;"]CF'!$L$65:$EO$65")),0))</f>
        <v>0</v>
      </c>
      <c r="AV82" s="35">
        <f ca="1">IF(НАСТРОЙКИ!$B$7&lt;&gt;"Да",0,IFERROR(SUMIF(INDIRECT("'["&amp;НАСТРОЙКИ!$D$7&amp;"]CF'!$L$3:$EO$3"),AV$22,INDIRECT("'["&amp;НАСТРОЙКИ!$D$7&amp;"]CF'!$L$65:$EO$65")),0))</f>
        <v>0</v>
      </c>
      <c r="AW82" s="35">
        <f ca="1">IF(НАСТРОЙКИ!$B$7&lt;&gt;"Да",0,IFERROR(SUMIF(INDIRECT("'["&amp;НАСТРОЙКИ!$D$7&amp;"]CF'!$L$3:$EO$3"),AW$22,INDIRECT("'["&amp;НАСТРОЙКИ!$D$7&amp;"]CF'!$L$65:$EO$65")),0))</f>
        <v>0</v>
      </c>
      <c r="AX82" s="35">
        <f ca="1">IF(НАСТРОЙКИ!$B$7&lt;&gt;"Да",0,IFERROR(SUMIF(INDIRECT("'["&amp;НАСТРОЙКИ!$D$7&amp;"]CF'!$L$3:$EO$3"),AX$22,INDIRECT("'["&amp;НАСТРОЙКИ!$D$7&amp;"]CF'!$L$65:$EO$65")),0))</f>
        <v>0</v>
      </c>
      <c r="AY82" s="35">
        <f ca="1">IF(НАСТРОЙКИ!$B$7&lt;&gt;"Да",0,IFERROR(SUMIF(INDIRECT("'["&amp;НАСТРОЙКИ!$D$7&amp;"]CF'!$L$3:$EO$3"),AY$22,INDIRECT("'["&amp;НАСТРОЙКИ!$D$7&amp;"]CF'!$L$65:$EO$65")),0))</f>
        <v>0</v>
      </c>
      <c r="AZ82" s="35">
        <f ca="1">IF(НАСТРОЙКИ!$B$7&lt;&gt;"Да",0,IFERROR(SUMIF(INDIRECT("'["&amp;НАСТРОЙКИ!$D$7&amp;"]CF'!$L$3:$EO$3"),AZ$22,INDIRECT("'["&amp;НАСТРОЙКИ!$D$7&amp;"]CF'!$L$65:$EO$65")),0))</f>
        <v>0</v>
      </c>
      <c r="BA82" s="35">
        <f ca="1">IF(НАСТРОЙКИ!$B$7&lt;&gt;"Да",0,IFERROR(SUMIF(INDIRECT("'["&amp;НАСТРОЙКИ!$D$7&amp;"]CF'!$L$3:$EO$3"),BA$22,INDIRECT("'["&amp;НАСТРОЙКИ!$D$7&amp;"]CF'!$L$65:$EO$65")),0))</f>
        <v>0</v>
      </c>
      <c r="BB82" s="35">
        <f ca="1">IF(НАСТРОЙКИ!$B$7&lt;&gt;"Да",0,IFERROR(SUMIF(INDIRECT("'["&amp;НАСТРОЙКИ!$D$7&amp;"]CF'!$L$3:$EO$3"),BB$22,INDIRECT("'["&amp;НАСТРОЙКИ!$D$7&amp;"]CF'!$L$65:$EO$65")),0))</f>
        <v>0</v>
      </c>
      <c r="BC82" s="35">
        <f ca="1">IF(НАСТРОЙКИ!$B$7&lt;&gt;"Да",0,IFERROR(SUMIF(INDIRECT("'["&amp;НАСТРОЙКИ!$D$7&amp;"]CF'!$L$3:$EO$3"),BC$22,INDIRECT("'["&amp;НАСТРОЙКИ!$D$7&amp;"]CF'!$L$65:$EO$65")),0))</f>
        <v>0</v>
      </c>
      <c r="BD82" s="35">
        <f ca="1">IF(НАСТРОЙКИ!$B$7&lt;&gt;"Да",0,IFERROR(SUMIF(INDIRECT("'["&amp;НАСТРОЙКИ!$D$7&amp;"]CF'!$L$3:$EO$3"),BD$22,INDIRECT("'["&amp;НАСТРОЙКИ!$D$7&amp;"]CF'!$L$65:$EO$65")),0))</f>
        <v>0</v>
      </c>
      <c r="BE82" s="35">
        <f ca="1">IF(НАСТРОЙКИ!$B$7&lt;&gt;"Да",0,IFERROR(SUMIF(INDIRECT("'["&amp;НАСТРОЙКИ!$D$7&amp;"]CF'!$L$3:$EO$3"),BE$22,INDIRECT("'["&amp;НАСТРОЙКИ!$D$7&amp;"]CF'!$L$65:$EO$65")),0))</f>
        <v>0</v>
      </c>
      <c r="BF82" s="35">
        <f ca="1">IF(НАСТРОЙКИ!$B$7&lt;&gt;"Да",0,IFERROR(SUMIF(INDIRECT("'["&amp;НАСТРОЙКИ!$D$7&amp;"]CF'!$L$3:$EO$3"),BF$22,INDIRECT("'["&amp;НАСТРОЙКИ!$D$7&amp;"]CF'!$L$65:$EO$65")),0))</f>
        <v>0</v>
      </c>
      <c r="BG82" s="35">
        <f ca="1">IF(НАСТРОЙКИ!$B$7&lt;&gt;"Да",0,IFERROR(SUMIF(INDIRECT("'["&amp;НАСТРОЙКИ!$D$7&amp;"]CF'!$L$3:$EO$3"),BG$22,INDIRECT("'["&amp;НАСТРОЙКИ!$D$7&amp;"]CF'!$L$65:$EO$65")),0))</f>
        <v>0</v>
      </c>
      <c r="BH82" s="35">
        <f ca="1">IF(НАСТРОЙКИ!$B$7&lt;&gt;"Да",0,IFERROR(SUMIF(INDIRECT("'["&amp;НАСТРОЙКИ!$D$7&amp;"]CF'!$L$3:$EO$3"),BH$22,INDIRECT("'["&amp;НАСТРОЙКИ!$D$7&amp;"]CF'!$L$65:$EO$65")),0))</f>
        <v>0</v>
      </c>
      <c r="BI82" s="35">
        <f ca="1">IF(НАСТРОЙКИ!$B$7&lt;&gt;"Да",0,IFERROR(SUMIF(INDIRECT("'["&amp;НАСТРОЙКИ!$D$7&amp;"]CF'!$L$3:$EO$3"),BI$22,INDIRECT("'["&amp;НАСТРОЙКИ!$D$7&amp;"]CF'!$L$65:$EO$65")),0))</f>
        <v>0</v>
      </c>
      <c r="BJ82" s="35">
        <f ca="1">IF(НАСТРОЙКИ!$B$7&lt;&gt;"Да",0,IFERROR(SUMIF(INDIRECT("'["&amp;НАСТРОЙКИ!$D$7&amp;"]CF'!$L$3:$EO$3"),BJ$22,INDIRECT("'["&amp;НАСТРОЙКИ!$D$7&amp;"]CF'!$L$65:$EO$65")),0))</f>
        <v>0</v>
      </c>
      <c r="BK82" s="35">
        <f ca="1">IF(НАСТРОЙКИ!$B$7&lt;&gt;"Да",0,IFERROR(SUMIF(INDIRECT("'["&amp;НАСТРОЙКИ!$D$7&amp;"]CF'!$L$3:$EO$3"),BK$22,INDIRECT("'["&amp;НАСТРОЙКИ!$D$7&amp;"]CF'!$L$65:$EO$65")),0))</f>
        <v>0</v>
      </c>
      <c r="BL82" s="35">
        <f ca="1">IF(НАСТРОЙКИ!$B$7&lt;&gt;"Да",0,IFERROR(SUMIF(INDIRECT("'["&amp;НАСТРОЙКИ!$D$7&amp;"]CF'!$L$3:$EO$3"),BL$22,INDIRECT("'["&amp;НАСТРОЙКИ!$D$7&amp;"]CF'!$L$65:$EO$65")),0))</f>
        <v>0</v>
      </c>
      <c r="BM82" s="35">
        <f ca="1">IF(НАСТРОЙКИ!$B$7&lt;&gt;"Да",0,IFERROR(SUMIF(INDIRECT("'["&amp;НАСТРОЙКИ!$D$7&amp;"]CF'!$L$3:$EO$3"),BM$22,INDIRECT("'["&amp;НАСТРОЙКИ!$D$7&amp;"]CF'!$L$65:$EO$65")),0))</f>
        <v>0</v>
      </c>
      <c r="BN82" s="35">
        <f ca="1">IF(НАСТРОЙКИ!$B$7&lt;&gt;"Да",0,IFERROR(SUMIF(INDIRECT("'["&amp;НАСТРОЙКИ!$D$7&amp;"]CF'!$L$3:$EO$3"),BN$22,INDIRECT("'["&amp;НАСТРОЙКИ!$D$7&amp;"]CF'!$L$65:$EO$65")),0))</f>
        <v>0</v>
      </c>
      <c r="BO82" s="35">
        <f ca="1">IF(НАСТРОЙКИ!$B$7&lt;&gt;"Да",0,IFERROR(SUMIF(INDIRECT("'["&amp;НАСТРОЙКИ!$D$7&amp;"]CF'!$L$3:$EO$3"),BO$22,INDIRECT("'["&amp;НАСТРОЙКИ!$D$7&amp;"]CF'!$L$65:$EO$65")),0))</f>
        <v>0</v>
      </c>
      <c r="BP82" s="35">
        <f ca="1">IF(НАСТРОЙКИ!$B$7&lt;&gt;"Да",0,IFERROR(SUMIF(INDIRECT("'["&amp;НАСТРОЙКИ!$D$7&amp;"]CF'!$L$3:$EO$3"),BP$22,INDIRECT("'["&amp;НАСТРОЙКИ!$D$7&amp;"]CF'!$L$65:$EO$65")),0))</f>
        <v>0</v>
      </c>
      <c r="BQ82" s="35">
        <f ca="1">IF(НАСТРОЙКИ!$B$7&lt;&gt;"Да",0,IFERROR(SUMIF(INDIRECT("'["&amp;НАСТРОЙКИ!$D$7&amp;"]CF'!$L$3:$EO$3"),BQ$22,INDIRECT("'["&amp;НАСТРОЙКИ!$D$7&amp;"]CF'!$L$65:$EO$65")),0))</f>
        <v>0</v>
      </c>
      <c r="BR82" s="35">
        <f ca="1">IF(НАСТРОЙКИ!$B$7&lt;&gt;"Да",0,IFERROR(SUMIF(INDIRECT("'["&amp;НАСТРОЙКИ!$D$7&amp;"]CF'!$L$3:$EO$3"),BR$22,INDIRECT("'["&amp;НАСТРОЙКИ!$D$7&amp;"]CF'!$L$65:$EO$65")),0))</f>
        <v>0</v>
      </c>
      <c r="BS82" s="35">
        <f ca="1">IF(НАСТРОЙКИ!$B$7&lt;&gt;"Да",0,IFERROR(SUMIF(INDIRECT("'["&amp;НАСТРОЙКИ!$D$7&amp;"]CF'!$L$3:$EO$3"),BS$22,INDIRECT("'["&amp;НАСТРОЙКИ!$D$7&amp;"]CF'!$L$65:$EO$65")),0))</f>
        <v>0</v>
      </c>
      <c r="BT82" s="35">
        <f ca="1">IF(НАСТРОЙКИ!$B$7&lt;&gt;"Да",0,IFERROR(SUMIF(INDIRECT("'["&amp;НАСТРОЙКИ!$D$7&amp;"]CF'!$L$3:$EO$3"),BT$22,INDIRECT("'["&amp;НАСТРОЙКИ!$D$7&amp;"]CF'!$L$65:$EO$65")),0))</f>
        <v>0</v>
      </c>
      <c r="BU82" s="35">
        <f ca="1">IF(НАСТРОЙКИ!$B$7&lt;&gt;"Да",0,IFERROR(SUMIF(INDIRECT("'["&amp;НАСТРОЙКИ!$D$7&amp;"]CF'!$L$3:$EO$3"),BU$22,INDIRECT("'["&amp;НАСТРОЙКИ!$D$7&amp;"]CF'!$L$65:$EO$65")),0))</f>
        <v>0</v>
      </c>
      <c r="BV82" s="35">
        <f ca="1">IF(НАСТРОЙКИ!$B$7&lt;&gt;"Да",0,IFERROR(SUMIF(INDIRECT("'["&amp;НАСТРОЙКИ!$D$7&amp;"]CF'!$L$3:$EO$3"),BV$22,INDIRECT("'["&amp;НАСТРОЙКИ!$D$7&amp;"]CF'!$L$65:$EO$65")),0))</f>
        <v>0</v>
      </c>
      <c r="BW82" s="35">
        <f ca="1">IF(НАСТРОЙКИ!$B$7&lt;&gt;"Да",0,IFERROR(SUMIF(INDIRECT("'["&amp;НАСТРОЙКИ!$D$7&amp;"]CF'!$L$3:$EO$3"),BW$22,INDIRECT("'["&amp;НАСТРОЙКИ!$D$7&amp;"]CF'!$L$65:$EO$65")),0))</f>
        <v>0</v>
      </c>
      <c r="BX82" s="35">
        <f ca="1">IF(НАСТРОЙКИ!$B$7&lt;&gt;"Да",0,IFERROR(SUMIF(INDIRECT("'["&amp;НАСТРОЙКИ!$D$7&amp;"]CF'!$L$3:$EO$3"),BX$22,INDIRECT("'["&amp;НАСТРОЙКИ!$D$7&amp;"]CF'!$L$65:$EO$65")),0))</f>
        <v>0</v>
      </c>
      <c r="BY82" s="35">
        <f ca="1">IF(НАСТРОЙКИ!$B$7&lt;&gt;"Да",0,IFERROR(SUMIF(INDIRECT("'["&amp;НАСТРОЙКИ!$D$7&amp;"]CF'!$L$3:$EO$3"),BY$22,INDIRECT("'["&amp;НАСТРОЙКИ!$D$7&amp;"]CF'!$L$65:$EO$65")),0))</f>
        <v>0</v>
      </c>
      <c r="BZ82" s="35">
        <f ca="1">IF(НАСТРОЙКИ!$B$7&lt;&gt;"Да",0,IFERROR(SUMIF(INDIRECT("'["&amp;НАСТРОЙКИ!$D$7&amp;"]CF'!$L$3:$EO$3"),BZ$22,INDIRECT("'["&amp;НАСТРОЙКИ!$D$7&amp;"]CF'!$L$65:$EO$65")),0))</f>
        <v>0</v>
      </c>
      <c r="CA82" s="35">
        <f ca="1">IF(НАСТРОЙКИ!$B$7&lt;&gt;"Да",0,IFERROR(SUMIF(INDIRECT("'["&amp;НАСТРОЙКИ!$D$7&amp;"]CF'!$L$3:$EO$3"),CA$22,INDIRECT("'["&amp;НАСТРОЙКИ!$D$7&amp;"]CF'!$L$65:$EO$65")),0))</f>
        <v>0</v>
      </c>
      <c r="CB82" s="35">
        <f ca="1">IF(НАСТРОЙКИ!$B$7&lt;&gt;"Да",0,IFERROR(SUMIF(INDIRECT("'["&amp;НАСТРОЙКИ!$D$7&amp;"]CF'!$L$3:$EO$3"),CB$22,INDIRECT("'["&amp;НАСТРОЙКИ!$D$7&amp;"]CF'!$L$65:$EO$65")),0))</f>
        <v>0</v>
      </c>
      <c r="CC82" s="35">
        <f ca="1">IF(НАСТРОЙКИ!$B$7&lt;&gt;"Да",0,IFERROR(SUMIF(INDIRECT("'["&amp;НАСТРОЙКИ!$D$7&amp;"]CF'!$L$3:$EO$3"),CC$22,INDIRECT("'["&amp;НАСТРОЙКИ!$D$7&amp;"]CF'!$L$65:$EO$65")),0))</f>
        <v>0</v>
      </c>
      <c r="CD82" s="35">
        <f ca="1">IF(НАСТРОЙКИ!$B$7&lt;&gt;"Да",0,IFERROR(SUMIF(INDIRECT("'["&amp;НАСТРОЙКИ!$D$7&amp;"]CF'!$L$3:$EO$3"),CD$22,INDIRECT("'["&amp;НАСТРОЙКИ!$D$7&amp;"]CF'!$L$65:$EO$65")),0))</f>
        <v>0</v>
      </c>
      <c r="CE82" s="35">
        <f ca="1">IF(НАСТРОЙКИ!$B$7&lt;&gt;"Да",0,IFERROR(SUMIF(INDIRECT("'["&amp;НАСТРОЙКИ!$D$7&amp;"]CF'!$L$3:$EO$3"),CE$22,INDIRECT("'["&amp;НАСТРОЙКИ!$D$7&amp;"]CF'!$L$65:$EO$65")),0))</f>
        <v>0</v>
      </c>
      <c r="CF82" s="35">
        <f ca="1">IF(НАСТРОЙКИ!$B$7&lt;&gt;"Да",0,IFERROR(SUMIF(INDIRECT("'["&amp;НАСТРОЙКИ!$D$7&amp;"]CF'!$L$3:$EO$3"),CF$22,INDIRECT("'["&amp;НАСТРОЙКИ!$D$7&amp;"]CF'!$L$65:$EO$65")),0))</f>
        <v>0</v>
      </c>
      <c r="CG82" s="35">
        <f ca="1">IF(НАСТРОЙКИ!$B$7&lt;&gt;"Да",0,IFERROR(SUMIF(INDIRECT("'["&amp;НАСТРОЙКИ!$D$7&amp;"]CF'!$L$3:$EO$3"),CG$22,INDIRECT("'["&amp;НАСТРОЙКИ!$D$7&amp;"]CF'!$L$65:$EO$65")),0))</f>
        <v>0</v>
      </c>
      <c r="CH82" s="35">
        <f ca="1">IF(НАСТРОЙКИ!$B$7&lt;&gt;"Да",0,IFERROR(SUMIF(INDIRECT("'["&amp;НАСТРОЙКИ!$D$7&amp;"]CF'!$L$3:$EO$3"),CH$22,INDIRECT("'["&amp;НАСТРОЙКИ!$D$7&amp;"]CF'!$L$65:$EO$65")),0))</f>
        <v>0</v>
      </c>
      <c r="CI82" s="35">
        <f ca="1">IF(НАСТРОЙКИ!$B$7&lt;&gt;"Да",0,IFERROR(SUMIF(INDIRECT("'["&amp;НАСТРОЙКИ!$D$7&amp;"]CF'!$L$3:$EO$3"),CI$22,INDIRECT("'["&amp;НАСТРОЙКИ!$D$7&amp;"]CF'!$L$65:$EO$65")),0))</f>
        <v>0</v>
      </c>
      <c r="CJ82" s="35">
        <f ca="1">IF(НАСТРОЙКИ!$B$7&lt;&gt;"Да",0,IFERROR(SUMIF(INDIRECT("'["&amp;НАСТРОЙКИ!$D$7&amp;"]CF'!$L$3:$EO$3"),CJ$22,INDIRECT("'["&amp;НАСТРОЙКИ!$D$7&amp;"]CF'!$L$65:$EO$65")),0))</f>
        <v>0</v>
      </c>
      <c r="CK82" s="35">
        <f ca="1">IF(НАСТРОЙКИ!$B$7&lt;&gt;"Да",0,IFERROR(SUMIF(INDIRECT("'["&amp;НАСТРОЙКИ!$D$7&amp;"]CF'!$L$3:$EO$3"),CK$22,INDIRECT("'["&amp;НАСТРОЙКИ!$D$7&amp;"]CF'!$L$65:$EO$65")),0))</f>
        <v>0</v>
      </c>
      <c r="CL82" s="35">
        <f ca="1">IF(НАСТРОЙКИ!$B$7&lt;&gt;"Да",0,IFERROR(SUMIF(INDIRECT("'["&amp;НАСТРОЙКИ!$D$7&amp;"]CF'!$L$3:$EO$3"),CL$22,INDIRECT("'["&amp;НАСТРОЙКИ!$D$7&amp;"]CF'!$L$65:$EO$65")),0))</f>
        <v>0</v>
      </c>
      <c r="CM82" s="35">
        <f ca="1">IF(НАСТРОЙКИ!$B$7&lt;&gt;"Да",0,IFERROR(SUMIF(INDIRECT("'["&amp;НАСТРОЙКИ!$D$7&amp;"]CF'!$L$3:$EO$3"),CM$22,INDIRECT("'["&amp;НАСТРОЙКИ!$D$7&amp;"]CF'!$L$65:$EO$65")),0))</f>
        <v>0</v>
      </c>
      <c r="CN82" s="35">
        <f ca="1">IF(НАСТРОЙКИ!$B$7&lt;&gt;"Да",0,IFERROR(SUMIF(INDIRECT("'["&amp;НАСТРОЙКИ!$D$7&amp;"]CF'!$L$3:$EO$3"),CN$22,INDIRECT("'["&amp;НАСТРОЙКИ!$D$7&amp;"]CF'!$L$65:$EO$65")),0))</f>
        <v>0</v>
      </c>
      <c r="CO82" s="35">
        <f ca="1">IF(НАСТРОЙКИ!$B$7&lt;&gt;"Да",0,IFERROR(SUMIF(INDIRECT("'["&amp;НАСТРОЙКИ!$D$7&amp;"]CF'!$L$3:$EO$3"),CO$22,INDIRECT("'["&amp;НАСТРОЙКИ!$D$7&amp;"]CF'!$L$65:$EO$65")),0))</f>
        <v>0</v>
      </c>
      <c r="CP82" s="35">
        <f ca="1">IF(НАСТРОЙКИ!$B$7&lt;&gt;"Да",0,IFERROR(SUMIF(INDIRECT("'["&amp;НАСТРОЙКИ!$D$7&amp;"]CF'!$L$3:$EO$3"),CP$22,INDIRECT("'["&amp;НАСТРОЙКИ!$D$7&amp;"]CF'!$L$65:$EO$65")),0))</f>
        <v>0</v>
      </c>
      <c r="CQ82" s="35">
        <f ca="1">IF(НАСТРОЙКИ!$B$7&lt;&gt;"Да",0,IFERROR(SUMIF(INDIRECT("'["&amp;НАСТРОЙКИ!$D$7&amp;"]CF'!$L$3:$EO$3"),CQ$22,INDIRECT("'["&amp;НАСТРОЙКИ!$D$7&amp;"]CF'!$L$65:$EO$65")),0))</f>
        <v>0</v>
      </c>
      <c r="CR82" s="35">
        <f ca="1">IF(НАСТРОЙКИ!$B$7&lt;&gt;"Да",0,IFERROR(SUMIF(INDIRECT("'["&amp;НАСТРОЙКИ!$D$7&amp;"]CF'!$L$3:$EO$3"),CR$22,INDIRECT("'["&amp;НАСТРОЙКИ!$D$7&amp;"]CF'!$L$65:$EO$65")),0))</f>
        <v>0</v>
      </c>
      <c r="CS82" s="35">
        <f ca="1">IF(НАСТРОЙКИ!$B$7&lt;&gt;"Да",0,IFERROR(SUMIF(INDIRECT("'["&amp;НАСТРОЙКИ!$D$7&amp;"]CF'!$L$3:$EO$3"),CS$22,INDIRECT("'["&amp;НАСТРОЙКИ!$D$7&amp;"]CF'!$L$65:$EO$65")),0))</f>
        <v>0</v>
      </c>
      <c r="CT82" s="35">
        <f ca="1">IF(НАСТРОЙКИ!$B$7&lt;&gt;"Да",0,IFERROR(SUMIF(INDIRECT("'["&amp;НАСТРОЙКИ!$D$7&amp;"]CF'!$L$3:$EO$3"),CT$22,INDIRECT("'["&amp;НАСТРОЙКИ!$D$7&amp;"]CF'!$L$65:$EO$65")),0))</f>
        <v>0</v>
      </c>
      <c r="CU82" s="35">
        <f ca="1">IF(НАСТРОЙКИ!$B$7&lt;&gt;"Да",0,IFERROR(SUMIF(INDIRECT("'["&amp;НАСТРОЙКИ!$D$7&amp;"]CF'!$L$3:$EO$3"),CU$22,INDIRECT("'["&amp;НАСТРОЙКИ!$D$7&amp;"]CF'!$L$65:$EO$65")),0))</f>
        <v>0</v>
      </c>
      <c r="CV82" s="35">
        <f ca="1">IF(НАСТРОЙКИ!$B$7&lt;&gt;"Да",0,IFERROR(SUMIF(INDIRECT("'["&amp;НАСТРОЙКИ!$D$7&amp;"]CF'!$L$3:$EO$3"),CV$22,INDIRECT("'["&amp;НАСТРОЙКИ!$D$7&amp;"]CF'!$L$65:$EO$65")),0))</f>
        <v>0</v>
      </c>
      <c r="CW82" s="35">
        <f ca="1">IF(НАСТРОЙКИ!$B$7&lt;&gt;"Да",0,IFERROR(SUMIF(INDIRECT("'["&amp;НАСТРОЙКИ!$D$7&amp;"]CF'!$L$3:$EO$3"),CW$22,INDIRECT("'["&amp;НАСТРОЙКИ!$D$7&amp;"]CF'!$L$65:$EO$65")),0))</f>
        <v>0</v>
      </c>
      <c r="CX82" s="35">
        <f ca="1">IF(НАСТРОЙКИ!$B$7&lt;&gt;"Да",0,IFERROR(SUMIF(INDIRECT("'["&amp;НАСТРОЙКИ!$D$7&amp;"]CF'!$L$3:$EO$3"),CX$22,INDIRECT("'["&amp;НАСТРОЙКИ!$D$7&amp;"]CF'!$L$65:$EO$65")),0))</f>
        <v>0</v>
      </c>
      <c r="CY82" s="35">
        <f ca="1">IF(НАСТРОЙКИ!$B$7&lt;&gt;"Да",0,IFERROR(SUMIF(INDIRECT("'["&amp;НАСТРОЙКИ!$D$7&amp;"]CF'!$L$3:$EO$3"),CY$22,INDIRECT("'["&amp;НАСТРОЙКИ!$D$7&amp;"]CF'!$L$65:$EO$65")),0))</f>
        <v>0</v>
      </c>
      <c r="CZ82" s="35">
        <f ca="1">IF(НАСТРОЙКИ!$B$7&lt;&gt;"Да",0,IFERROR(SUMIF(INDIRECT("'["&amp;НАСТРОЙКИ!$D$7&amp;"]CF'!$L$3:$EO$3"),CZ$22,INDIRECT("'["&amp;НАСТРОЙКИ!$D$7&amp;"]CF'!$L$65:$EO$65")),0))</f>
        <v>0</v>
      </c>
      <c r="DA82" s="35">
        <f ca="1">IF(НАСТРОЙКИ!$B$7&lt;&gt;"Да",0,IFERROR(SUMIF(INDIRECT("'["&amp;НАСТРОЙКИ!$D$7&amp;"]CF'!$L$3:$EO$3"),DA$22,INDIRECT("'["&amp;НАСТРОЙКИ!$D$7&amp;"]CF'!$L$65:$EO$65")),0))</f>
        <v>0</v>
      </c>
      <c r="DB82" s="35">
        <f ca="1">IF(НАСТРОЙКИ!$B$7&lt;&gt;"Да",0,IFERROR(SUMIF(INDIRECT("'["&amp;НАСТРОЙКИ!$D$7&amp;"]CF'!$L$3:$EO$3"),DB$22,INDIRECT("'["&amp;НАСТРОЙКИ!$D$7&amp;"]CF'!$L$65:$EO$65")),0))</f>
        <v>0</v>
      </c>
      <c r="DC82" s="35">
        <f ca="1">IF(НАСТРОЙКИ!$B$7&lt;&gt;"Да",0,IFERROR(SUMIF(INDIRECT("'["&amp;НАСТРОЙКИ!$D$7&amp;"]CF'!$L$3:$EO$3"),DC$22,INDIRECT("'["&amp;НАСТРОЙКИ!$D$7&amp;"]CF'!$L$65:$EO$65")),0))</f>
        <v>0</v>
      </c>
      <c r="DD82" s="35">
        <f ca="1">IF(НАСТРОЙКИ!$B$7&lt;&gt;"Да",0,IFERROR(SUMIF(INDIRECT("'["&amp;НАСТРОЙКИ!$D$7&amp;"]CF'!$L$3:$EO$3"),DD$22,INDIRECT("'["&amp;НАСТРОЙКИ!$D$7&amp;"]CF'!$L$65:$EO$65")),0))</f>
        <v>0</v>
      </c>
      <c r="DE82" s="35">
        <f ca="1">IF(НАСТРОЙКИ!$B$7&lt;&gt;"Да",0,IFERROR(SUMIF(INDIRECT("'["&amp;НАСТРОЙКИ!$D$7&amp;"]CF'!$L$3:$EO$3"),DE$22,INDIRECT("'["&amp;НАСТРОЙКИ!$D$7&amp;"]CF'!$L$65:$EO$65")),0))</f>
        <v>0</v>
      </c>
      <c r="DF82" s="35">
        <f ca="1">IF(НАСТРОЙКИ!$B$7&lt;&gt;"Да",0,IFERROR(SUMIF(INDIRECT("'["&amp;НАСТРОЙКИ!$D$7&amp;"]CF'!$L$3:$EO$3"),DF$22,INDIRECT("'["&amp;НАСТРОЙКИ!$D$7&amp;"]CF'!$L$65:$EO$65")),0))</f>
        <v>0</v>
      </c>
    </row>
    <row r="83" spans="1:110">
      <c r="A83" s="34" t="s">
        <v>129</v>
      </c>
      <c r="B83" s="34" t="s">
        <v>58</v>
      </c>
      <c r="C83" s="35">
        <f ca="1">IF(НАСТРОЙКИ!$B$7&lt;&gt;"Да",0,IFERROR(SUMIF(INDIRECT("'["&amp;НАСТРОЙКИ!$D$7&amp;"]CF'!$L$3:$EO$3"),C$22,INDIRECT("'["&amp;НАСТРОЙКИ!$D$7&amp;"]CF'!$L$66:$EO$66")),0))</f>
        <v>0</v>
      </c>
      <c r="D83" s="35">
        <f ca="1">IF(НАСТРОЙКИ!$B$7&lt;&gt;"Да",0,IFERROR(SUMIF(INDIRECT("'["&amp;НАСТРОЙКИ!$D$7&amp;"]CF'!$L$3:$EO$3"),D$22,INDIRECT("'["&amp;НАСТРОЙКИ!$D$7&amp;"]CF'!$L$66:$EO$66")),0))</f>
        <v>0</v>
      </c>
      <c r="E83" s="35">
        <f ca="1">IF(НАСТРОЙКИ!$B$7&lt;&gt;"Да",0,IFERROR(SUMIF(INDIRECT("'["&amp;НАСТРОЙКИ!$D$7&amp;"]CF'!$L$3:$EO$3"),E$22,INDIRECT("'["&amp;НАСТРОЙКИ!$D$7&amp;"]CF'!$L$66:$EO$66")),0))</f>
        <v>0</v>
      </c>
      <c r="F83" s="35">
        <f ca="1">IF(НАСТРОЙКИ!$B$7&lt;&gt;"Да",0,IFERROR(SUMIF(INDIRECT("'["&amp;НАСТРОЙКИ!$D$7&amp;"]CF'!$L$3:$EO$3"),F$22,INDIRECT("'["&amp;НАСТРОЙКИ!$D$7&amp;"]CF'!$L$66:$EO$66")),0))</f>
        <v>0</v>
      </c>
      <c r="G83" s="35">
        <f ca="1">IF(НАСТРОЙКИ!$B$7&lt;&gt;"Да",0,IFERROR(SUMIF(INDIRECT("'["&amp;НАСТРОЙКИ!$D$7&amp;"]CF'!$L$3:$EO$3"),G$22,INDIRECT("'["&amp;НАСТРОЙКИ!$D$7&amp;"]CF'!$L$66:$EO$66")),0))</f>
        <v>0</v>
      </c>
      <c r="H83" s="35">
        <f ca="1">IF(НАСТРОЙКИ!$B$7&lt;&gt;"Да",0,IFERROR(SUMIF(INDIRECT("'["&amp;НАСТРОЙКИ!$D$7&amp;"]CF'!$L$3:$EO$3"),H$22,INDIRECT("'["&amp;НАСТРОЙКИ!$D$7&amp;"]CF'!$L$66:$EO$66")),0))</f>
        <v>0</v>
      </c>
      <c r="I83" s="35">
        <f ca="1">IF(НАСТРОЙКИ!$B$7&lt;&gt;"Да",0,IFERROR(SUMIF(INDIRECT("'["&amp;НАСТРОЙКИ!$D$7&amp;"]CF'!$L$3:$EO$3"),I$22,INDIRECT("'["&amp;НАСТРОЙКИ!$D$7&amp;"]CF'!$L$66:$EO$66")),0))</f>
        <v>0</v>
      </c>
      <c r="J83" s="35">
        <f ca="1">IF(НАСТРОЙКИ!$B$7&lt;&gt;"Да",0,IFERROR(SUMIF(INDIRECT("'["&amp;НАСТРОЙКИ!$D$7&amp;"]CF'!$L$3:$EO$3"),J$22,INDIRECT("'["&amp;НАСТРОЙКИ!$D$7&amp;"]CF'!$L$66:$EO$66")),0))</f>
        <v>0</v>
      </c>
      <c r="K83" s="35">
        <f ca="1">IF(НАСТРОЙКИ!$B$7&lt;&gt;"Да",0,IFERROR(SUMIF(INDIRECT("'["&amp;НАСТРОЙКИ!$D$7&amp;"]CF'!$L$3:$EO$3"),K$22,INDIRECT("'["&amp;НАСТРОЙКИ!$D$7&amp;"]CF'!$L$66:$EO$66")),0))</f>
        <v>0</v>
      </c>
      <c r="L83" s="35">
        <f ca="1">IF(НАСТРОЙКИ!$B$7&lt;&gt;"Да",0,IFERROR(SUMIF(INDIRECT("'["&amp;НАСТРОЙКИ!$D$7&amp;"]CF'!$L$3:$EO$3"),L$22,INDIRECT("'["&amp;НАСТРОЙКИ!$D$7&amp;"]CF'!$L$66:$EO$66")),0))</f>
        <v>0</v>
      </c>
      <c r="M83" s="35">
        <f ca="1">IF(НАСТРОЙКИ!$B$7&lt;&gt;"Да",0,IFERROR(SUMIF(INDIRECT("'["&amp;НАСТРОЙКИ!$D$7&amp;"]CF'!$L$3:$EO$3"),M$22,INDIRECT("'["&amp;НАСТРОЙКИ!$D$7&amp;"]CF'!$L$66:$EO$66")),0))</f>
        <v>0</v>
      </c>
      <c r="N83" s="35">
        <f ca="1">IF(НАСТРОЙКИ!$B$7&lt;&gt;"Да",0,IFERROR(SUMIF(INDIRECT("'["&amp;НАСТРОЙКИ!$D$7&amp;"]CF'!$L$3:$EO$3"),N$22,INDIRECT("'["&amp;НАСТРОЙКИ!$D$7&amp;"]CF'!$L$66:$EO$66")),0))</f>
        <v>0</v>
      </c>
      <c r="O83" s="35">
        <f ca="1">IF(НАСТРОЙКИ!$B$7&lt;&gt;"Да",0,IFERROR(SUMIF(INDIRECT("'["&amp;НАСТРОЙКИ!$D$7&amp;"]CF'!$L$3:$EO$3"),O$22,INDIRECT("'["&amp;НАСТРОЙКИ!$D$7&amp;"]CF'!$L$66:$EO$66")),0))</f>
        <v>0</v>
      </c>
      <c r="P83" s="35">
        <f ca="1">IF(НАСТРОЙКИ!$B$7&lt;&gt;"Да",0,IFERROR(SUMIF(INDIRECT("'["&amp;НАСТРОЙКИ!$D$7&amp;"]CF'!$L$3:$EO$3"),P$22,INDIRECT("'["&amp;НАСТРОЙКИ!$D$7&amp;"]CF'!$L$66:$EO$66")),0))</f>
        <v>0</v>
      </c>
      <c r="Q83" s="35">
        <f ca="1">IF(НАСТРОЙКИ!$B$7&lt;&gt;"Да",0,IFERROR(SUMIF(INDIRECT("'["&amp;НАСТРОЙКИ!$D$7&amp;"]CF'!$L$3:$EO$3"),Q$22,INDIRECT("'["&amp;НАСТРОЙКИ!$D$7&amp;"]CF'!$L$66:$EO$66")),0))</f>
        <v>0</v>
      </c>
      <c r="R83" s="35">
        <f ca="1">IF(НАСТРОЙКИ!$B$7&lt;&gt;"Да",0,IFERROR(SUMIF(INDIRECT("'["&amp;НАСТРОЙКИ!$D$7&amp;"]CF'!$L$3:$EO$3"),R$22,INDIRECT("'["&amp;НАСТРОЙКИ!$D$7&amp;"]CF'!$L$66:$EO$66")),0))</f>
        <v>0</v>
      </c>
      <c r="S83" s="35">
        <f ca="1">IF(НАСТРОЙКИ!$B$7&lt;&gt;"Да",0,IFERROR(SUMIF(INDIRECT("'["&amp;НАСТРОЙКИ!$D$7&amp;"]CF'!$L$3:$EO$3"),S$22,INDIRECT("'["&amp;НАСТРОЙКИ!$D$7&amp;"]CF'!$L$66:$EO$66")),0))</f>
        <v>0</v>
      </c>
      <c r="T83" s="35">
        <f ca="1">IF(НАСТРОЙКИ!$B$7&lt;&gt;"Да",0,IFERROR(SUMIF(INDIRECT("'["&amp;НАСТРОЙКИ!$D$7&amp;"]CF'!$L$3:$EO$3"),T$22,INDIRECT("'["&amp;НАСТРОЙКИ!$D$7&amp;"]CF'!$L$66:$EO$66")),0))</f>
        <v>0</v>
      </c>
      <c r="U83" s="35">
        <f ca="1">IF(НАСТРОЙКИ!$B$7&lt;&gt;"Да",0,IFERROR(SUMIF(INDIRECT("'["&amp;НАСТРОЙКИ!$D$7&amp;"]CF'!$L$3:$EO$3"),U$22,INDIRECT("'["&amp;НАСТРОЙКИ!$D$7&amp;"]CF'!$L$66:$EO$66")),0))</f>
        <v>0</v>
      </c>
      <c r="V83" s="35">
        <f ca="1">IF(НАСТРОЙКИ!$B$7&lt;&gt;"Да",0,IFERROR(SUMIF(INDIRECT("'["&amp;НАСТРОЙКИ!$D$7&amp;"]CF'!$L$3:$EO$3"),V$22,INDIRECT("'["&amp;НАСТРОЙКИ!$D$7&amp;"]CF'!$L$66:$EO$66")),0))</f>
        <v>0</v>
      </c>
      <c r="W83" s="35">
        <f ca="1">IF(НАСТРОЙКИ!$B$7&lt;&gt;"Да",0,IFERROR(SUMIF(INDIRECT("'["&amp;НАСТРОЙКИ!$D$7&amp;"]CF'!$L$3:$EO$3"),W$22,INDIRECT("'["&amp;НАСТРОЙКИ!$D$7&amp;"]CF'!$L$66:$EO$66")),0))</f>
        <v>0</v>
      </c>
      <c r="X83" s="35">
        <f ca="1">IF(НАСТРОЙКИ!$B$7&lt;&gt;"Да",0,IFERROR(SUMIF(INDIRECT("'["&amp;НАСТРОЙКИ!$D$7&amp;"]CF'!$L$3:$EO$3"),X$22,INDIRECT("'["&amp;НАСТРОЙКИ!$D$7&amp;"]CF'!$L$66:$EO$66")),0))</f>
        <v>0</v>
      </c>
      <c r="Y83" s="35">
        <f ca="1">IF(НАСТРОЙКИ!$B$7&lt;&gt;"Да",0,IFERROR(SUMIF(INDIRECT("'["&amp;НАСТРОЙКИ!$D$7&amp;"]CF'!$L$3:$EO$3"),Y$22,INDIRECT("'["&amp;НАСТРОЙКИ!$D$7&amp;"]CF'!$L$66:$EO$66")),0))</f>
        <v>0</v>
      </c>
      <c r="Z83" s="35">
        <f ca="1">IF(НАСТРОЙКИ!$B$7&lt;&gt;"Да",0,IFERROR(SUMIF(INDIRECT("'["&amp;НАСТРОЙКИ!$D$7&amp;"]CF'!$L$3:$EO$3"),Z$22,INDIRECT("'["&amp;НАСТРОЙКИ!$D$7&amp;"]CF'!$L$66:$EO$66")),0))</f>
        <v>0</v>
      </c>
      <c r="AA83" s="35">
        <f ca="1">IF(НАСТРОЙКИ!$B$7&lt;&gt;"Да",0,IFERROR(SUMIF(INDIRECT("'["&amp;НАСТРОЙКИ!$D$7&amp;"]CF'!$L$3:$EO$3"),AA$22,INDIRECT("'["&amp;НАСТРОЙКИ!$D$7&amp;"]CF'!$L$66:$EO$66")),0))</f>
        <v>0</v>
      </c>
      <c r="AB83" s="35">
        <f ca="1">IF(НАСТРОЙКИ!$B$7&lt;&gt;"Да",0,IFERROR(SUMIF(INDIRECT("'["&amp;НАСТРОЙКИ!$D$7&amp;"]CF'!$L$3:$EO$3"),AB$22,INDIRECT("'["&amp;НАСТРОЙКИ!$D$7&amp;"]CF'!$L$66:$EO$66")),0))</f>
        <v>0</v>
      </c>
      <c r="AC83" s="35">
        <f ca="1">IF(НАСТРОЙКИ!$B$7&lt;&gt;"Да",0,IFERROR(SUMIF(INDIRECT("'["&amp;НАСТРОЙКИ!$D$7&amp;"]CF'!$L$3:$EO$3"),AC$22,INDIRECT("'["&amp;НАСТРОЙКИ!$D$7&amp;"]CF'!$L$66:$EO$66")),0))</f>
        <v>0</v>
      </c>
      <c r="AD83" s="35">
        <f ca="1">IF(НАСТРОЙКИ!$B$7&lt;&gt;"Да",0,IFERROR(SUMIF(INDIRECT("'["&amp;НАСТРОЙКИ!$D$7&amp;"]CF'!$L$3:$EO$3"),AD$22,INDIRECT("'["&amp;НАСТРОЙКИ!$D$7&amp;"]CF'!$L$66:$EO$66")),0))</f>
        <v>0</v>
      </c>
      <c r="AE83" s="35">
        <f ca="1">IF(НАСТРОЙКИ!$B$7&lt;&gt;"Да",0,IFERROR(SUMIF(INDIRECT("'["&amp;НАСТРОЙКИ!$D$7&amp;"]CF'!$L$3:$EO$3"),AE$22,INDIRECT("'["&amp;НАСТРОЙКИ!$D$7&amp;"]CF'!$L$66:$EO$66")),0))</f>
        <v>0</v>
      </c>
      <c r="AF83" s="35">
        <f ca="1">IF(НАСТРОЙКИ!$B$7&lt;&gt;"Да",0,IFERROR(SUMIF(INDIRECT("'["&amp;НАСТРОЙКИ!$D$7&amp;"]CF'!$L$3:$EO$3"),AF$22,INDIRECT("'["&amp;НАСТРОЙКИ!$D$7&amp;"]CF'!$L$66:$EO$66")),0))</f>
        <v>0</v>
      </c>
      <c r="AG83" s="35">
        <f ca="1">IF(НАСТРОЙКИ!$B$7&lt;&gt;"Да",0,IFERROR(SUMIF(INDIRECT("'["&amp;НАСТРОЙКИ!$D$7&amp;"]CF'!$L$3:$EO$3"),AG$22,INDIRECT("'["&amp;НАСТРОЙКИ!$D$7&amp;"]CF'!$L$66:$EO$66")),0))</f>
        <v>0</v>
      </c>
      <c r="AH83" s="35">
        <f ca="1">IF(НАСТРОЙКИ!$B$7&lt;&gt;"Да",0,IFERROR(SUMIF(INDIRECT("'["&amp;НАСТРОЙКИ!$D$7&amp;"]CF'!$L$3:$EO$3"),AH$22,INDIRECT("'["&amp;НАСТРОЙКИ!$D$7&amp;"]CF'!$L$66:$EO$66")),0))</f>
        <v>0</v>
      </c>
      <c r="AI83" s="35">
        <f ca="1">IF(НАСТРОЙКИ!$B$7&lt;&gt;"Да",0,IFERROR(SUMIF(INDIRECT("'["&amp;НАСТРОЙКИ!$D$7&amp;"]CF'!$L$3:$EO$3"),AI$22,INDIRECT("'["&amp;НАСТРОЙКИ!$D$7&amp;"]CF'!$L$66:$EO$66")),0))</f>
        <v>0</v>
      </c>
      <c r="AJ83" s="35">
        <f ca="1">IF(НАСТРОЙКИ!$B$7&lt;&gt;"Да",0,IFERROR(SUMIF(INDIRECT("'["&amp;НАСТРОЙКИ!$D$7&amp;"]CF'!$L$3:$EO$3"),AJ$22,INDIRECT("'["&amp;НАСТРОЙКИ!$D$7&amp;"]CF'!$L$66:$EO$66")),0))</f>
        <v>0</v>
      </c>
      <c r="AK83" s="35">
        <f ca="1">IF(НАСТРОЙКИ!$B$7&lt;&gt;"Да",0,IFERROR(SUMIF(INDIRECT("'["&amp;НАСТРОЙКИ!$D$7&amp;"]CF'!$L$3:$EO$3"),AK$22,INDIRECT("'["&amp;НАСТРОЙКИ!$D$7&amp;"]CF'!$L$66:$EO$66")),0))</f>
        <v>0</v>
      </c>
      <c r="AL83" s="35">
        <f ca="1">IF(НАСТРОЙКИ!$B$7&lt;&gt;"Да",0,IFERROR(SUMIF(INDIRECT("'["&amp;НАСТРОЙКИ!$D$7&amp;"]CF'!$L$3:$EO$3"),AL$22,INDIRECT("'["&amp;НАСТРОЙКИ!$D$7&amp;"]CF'!$L$66:$EO$66")),0))</f>
        <v>0</v>
      </c>
      <c r="AM83" s="35">
        <f ca="1">IF(НАСТРОЙКИ!$B$7&lt;&gt;"Да",0,IFERROR(SUMIF(INDIRECT("'["&amp;НАСТРОЙКИ!$D$7&amp;"]CF'!$L$3:$EO$3"),AM$22,INDIRECT("'["&amp;НАСТРОЙКИ!$D$7&amp;"]CF'!$L$66:$EO$66")),0))</f>
        <v>0</v>
      </c>
      <c r="AN83" s="35">
        <f ca="1">IF(НАСТРОЙКИ!$B$7&lt;&gt;"Да",0,IFERROR(SUMIF(INDIRECT("'["&amp;НАСТРОЙКИ!$D$7&amp;"]CF'!$L$3:$EO$3"),AN$22,INDIRECT("'["&amp;НАСТРОЙКИ!$D$7&amp;"]CF'!$L$66:$EO$66")),0))</f>
        <v>0</v>
      </c>
      <c r="AO83" s="35">
        <f ca="1">IF(НАСТРОЙКИ!$B$7&lt;&gt;"Да",0,IFERROR(SUMIF(INDIRECT("'["&amp;НАСТРОЙКИ!$D$7&amp;"]CF'!$L$3:$EO$3"),AO$22,INDIRECT("'["&amp;НАСТРОЙКИ!$D$7&amp;"]CF'!$L$66:$EO$66")),0))</f>
        <v>0</v>
      </c>
      <c r="AP83" s="35">
        <f ca="1">IF(НАСТРОЙКИ!$B$7&lt;&gt;"Да",0,IFERROR(SUMIF(INDIRECT("'["&amp;НАСТРОЙКИ!$D$7&amp;"]CF'!$L$3:$EO$3"),AP$22,INDIRECT("'["&amp;НАСТРОЙКИ!$D$7&amp;"]CF'!$L$66:$EO$66")),0))</f>
        <v>0</v>
      </c>
      <c r="AQ83" s="35">
        <f ca="1">IF(НАСТРОЙКИ!$B$7&lt;&gt;"Да",0,IFERROR(SUMIF(INDIRECT("'["&amp;НАСТРОЙКИ!$D$7&amp;"]CF'!$L$3:$EO$3"),AQ$22,INDIRECT("'["&amp;НАСТРОЙКИ!$D$7&amp;"]CF'!$L$66:$EO$66")),0))</f>
        <v>0</v>
      </c>
      <c r="AR83" s="35">
        <f ca="1">IF(НАСТРОЙКИ!$B$7&lt;&gt;"Да",0,IFERROR(SUMIF(INDIRECT("'["&amp;НАСТРОЙКИ!$D$7&amp;"]CF'!$L$3:$EO$3"),AR$22,INDIRECT("'["&amp;НАСТРОЙКИ!$D$7&amp;"]CF'!$L$66:$EO$66")),0))</f>
        <v>0</v>
      </c>
      <c r="AS83" s="35">
        <f ca="1">IF(НАСТРОЙКИ!$B$7&lt;&gt;"Да",0,IFERROR(SUMIF(INDIRECT("'["&amp;НАСТРОЙКИ!$D$7&amp;"]CF'!$L$3:$EO$3"),AS$22,INDIRECT("'["&amp;НАСТРОЙКИ!$D$7&amp;"]CF'!$L$66:$EO$66")),0))</f>
        <v>0</v>
      </c>
      <c r="AT83" s="35">
        <f ca="1">IF(НАСТРОЙКИ!$B$7&lt;&gt;"Да",0,IFERROR(SUMIF(INDIRECT("'["&amp;НАСТРОЙКИ!$D$7&amp;"]CF'!$L$3:$EO$3"),AT$22,INDIRECT("'["&amp;НАСТРОЙКИ!$D$7&amp;"]CF'!$L$66:$EO$66")),0))</f>
        <v>0</v>
      </c>
      <c r="AU83" s="35">
        <f ca="1">IF(НАСТРОЙКИ!$B$7&lt;&gt;"Да",0,IFERROR(SUMIF(INDIRECT("'["&amp;НАСТРОЙКИ!$D$7&amp;"]CF'!$L$3:$EO$3"),AU$22,INDIRECT("'["&amp;НАСТРОЙКИ!$D$7&amp;"]CF'!$L$66:$EO$66")),0))</f>
        <v>0</v>
      </c>
      <c r="AV83" s="35">
        <f ca="1">IF(НАСТРОЙКИ!$B$7&lt;&gt;"Да",0,IFERROR(SUMIF(INDIRECT("'["&amp;НАСТРОЙКИ!$D$7&amp;"]CF'!$L$3:$EO$3"),AV$22,INDIRECT("'["&amp;НАСТРОЙКИ!$D$7&amp;"]CF'!$L$66:$EO$66")),0))</f>
        <v>0</v>
      </c>
      <c r="AW83" s="35">
        <f ca="1">IF(НАСТРОЙКИ!$B$7&lt;&gt;"Да",0,IFERROR(SUMIF(INDIRECT("'["&amp;НАСТРОЙКИ!$D$7&amp;"]CF'!$L$3:$EO$3"),AW$22,INDIRECT("'["&amp;НАСТРОЙКИ!$D$7&amp;"]CF'!$L$66:$EO$66")),0))</f>
        <v>0</v>
      </c>
      <c r="AX83" s="35">
        <f ca="1">IF(НАСТРОЙКИ!$B$7&lt;&gt;"Да",0,IFERROR(SUMIF(INDIRECT("'["&amp;НАСТРОЙКИ!$D$7&amp;"]CF'!$L$3:$EO$3"),AX$22,INDIRECT("'["&amp;НАСТРОЙКИ!$D$7&amp;"]CF'!$L$66:$EO$66")),0))</f>
        <v>0</v>
      </c>
      <c r="AY83" s="35">
        <f ca="1">IF(НАСТРОЙКИ!$B$7&lt;&gt;"Да",0,IFERROR(SUMIF(INDIRECT("'["&amp;НАСТРОЙКИ!$D$7&amp;"]CF'!$L$3:$EO$3"),AY$22,INDIRECT("'["&amp;НАСТРОЙКИ!$D$7&amp;"]CF'!$L$66:$EO$66")),0))</f>
        <v>0</v>
      </c>
      <c r="AZ83" s="35">
        <f ca="1">IF(НАСТРОЙКИ!$B$7&lt;&gt;"Да",0,IFERROR(SUMIF(INDIRECT("'["&amp;НАСТРОЙКИ!$D$7&amp;"]CF'!$L$3:$EO$3"),AZ$22,INDIRECT("'["&amp;НАСТРОЙКИ!$D$7&amp;"]CF'!$L$66:$EO$66")),0))</f>
        <v>0</v>
      </c>
      <c r="BA83" s="35">
        <f ca="1">IF(НАСТРОЙКИ!$B$7&lt;&gt;"Да",0,IFERROR(SUMIF(INDIRECT("'["&amp;НАСТРОЙКИ!$D$7&amp;"]CF'!$L$3:$EO$3"),BA$22,INDIRECT("'["&amp;НАСТРОЙКИ!$D$7&amp;"]CF'!$L$66:$EO$66")),0))</f>
        <v>0</v>
      </c>
      <c r="BB83" s="35">
        <f ca="1">IF(НАСТРОЙКИ!$B$7&lt;&gt;"Да",0,IFERROR(SUMIF(INDIRECT("'["&amp;НАСТРОЙКИ!$D$7&amp;"]CF'!$L$3:$EO$3"),BB$22,INDIRECT("'["&amp;НАСТРОЙКИ!$D$7&amp;"]CF'!$L$66:$EO$66")),0))</f>
        <v>0</v>
      </c>
      <c r="BC83" s="35">
        <f ca="1">IF(НАСТРОЙКИ!$B$7&lt;&gt;"Да",0,IFERROR(SUMIF(INDIRECT("'["&amp;НАСТРОЙКИ!$D$7&amp;"]CF'!$L$3:$EO$3"),BC$22,INDIRECT("'["&amp;НАСТРОЙКИ!$D$7&amp;"]CF'!$L$66:$EO$66")),0))</f>
        <v>0</v>
      </c>
      <c r="BD83" s="35">
        <f ca="1">IF(НАСТРОЙКИ!$B$7&lt;&gt;"Да",0,IFERROR(SUMIF(INDIRECT("'["&amp;НАСТРОЙКИ!$D$7&amp;"]CF'!$L$3:$EO$3"),BD$22,INDIRECT("'["&amp;НАСТРОЙКИ!$D$7&amp;"]CF'!$L$66:$EO$66")),0))</f>
        <v>0</v>
      </c>
      <c r="BE83" s="35">
        <f ca="1">IF(НАСТРОЙКИ!$B$7&lt;&gt;"Да",0,IFERROR(SUMIF(INDIRECT("'["&amp;НАСТРОЙКИ!$D$7&amp;"]CF'!$L$3:$EO$3"),BE$22,INDIRECT("'["&amp;НАСТРОЙКИ!$D$7&amp;"]CF'!$L$66:$EO$66")),0))</f>
        <v>0</v>
      </c>
      <c r="BF83" s="35">
        <f ca="1">IF(НАСТРОЙКИ!$B$7&lt;&gt;"Да",0,IFERROR(SUMIF(INDIRECT("'["&amp;НАСТРОЙКИ!$D$7&amp;"]CF'!$L$3:$EO$3"),BF$22,INDIRECT("'["&amp;НАСТРОЙКИ!$D$7&amp;"]CF'!$L$66:$EO$66")),0))</f>
        <v>0</v>
      </c>
      <c r="BG83" s="35">
        <f ca="1">IF(НАСТРОЙКИ!$B$7&lt;&gt;"Да",0,IFERROR(SUMIF(INDIRECT("'["&amp;НАСТРОЙКИ!$D$7&amp;"]CF'!$L$3:$EO$3"),BG$22,INDIRECT("'["&amp;НАСТРОЙКИ!$D$7&amp;"]CF'!$L$66:$EO$66")),0))</f>
        <v>0</v>
      </c>
      <c r="BH83" s="35">
        <f ca="1">IF(НАСТРОЙКИ!$B$7&lt;&gt;"Да",0,IFERROR(SUMIF(INDIRECT("'["&amp;НАСТРОЙКИ!$D$7&amp;"]CF'!$L$3:$EO$3"),BH$22,INDIRECT("'["&amp;НАСТРОЙКИ!$D$7&amp;"]CF'!$L$66:$EO$66")),0))</f>
        <v>0</v>
      </c>
      <c r="BI83" s="35">
        <f ca="1">IF(НАСТРОЙКИ!$B$7&lt;&gt;"Да",0,IFERROR(SUMIF(INDIRECT("'["&amp;НАСТРОЙКИ!$D$7&amp;"]CF'!$L$3:$EO$3"),BI$22,INDIRECT("'["&amp;НАСТРОЙКИ!$D$7&amp;"]CF'!$L$66:$EO$66")),0))</f>
        <v>0</v>
      </c>
      <c r="BJ83" s="35">
        <f ca="1">IF(НАСТРОЙКИ!$B$7&lt;&gt;"Да",0,IFERROR(SUMIF(INDIRECT("'["&amp;НАСТРОЙКИ!$D$7&amp;"]CF'!$L$3:$EO$3"),BJ$22,INDIRECT("'["&amp;НАСТРОЙКИ!$D$7&amp;"]CF'!$L$66:$EO$66")),0))</f>
        <v>0</v>
      </c>
      <c r="BK83" s="35">
        <f ca="1">IF(НАСТРОЙКИ!$B$7&lt;&gt;"Да",0,IFERROR(SUMIF(INDIRECT("'["&amp;НАСТРОЙКИ!$D$7&amp;"]CF'!$L$3:$EO$3"),BK$22,INDIRECT("'["&amp;НАСТРОЙКИ!$D$7&amp;"]CF'!$L$66:$EO$66")),0))</f>
        <v>0</v>
      </c>
      <c r="BL83" s="35">
        <f ca="1">IF(НАСТРОЙКИ!$B$7&lt;&gt;"Да",0,IFERROR(SUMIF(INDIRECT("'["&amp;НАСТРОЙКИ!$D$7&amp;"]CF'!$L$3:$EO$3"),BL$22,INDIRECT("'["&amp;НАСТРОЙКИ!$D$7&amp;"]CF'!$L$66:$EO$66")),0))</f>
        <v>0</v>
      </c>
      <c r="BM83" s="35">
        <f ca="1">IF(НАСТРОЙКИ!$B$7&lt;&gt;"Да",0,IFERROR(SUMIF(INDIRECT("'["&amp;НАСТРОЙКИ!$D$7&amp;"]CF'!$L$3:$EO$3"),BM$22,INDIRECT("'["&amp;НАСТРОЙКИ!$D$7&amp;"]CF'!$L$66:$EO$66")),0))</f>
        <v>0</v>
      </c>
      <c r="BN83" s="35">
        <f ca="1">IF(НАСТРОЙКИ!$B$7&lt;&gt;"Да",0,IFERROR(SUMIF(INDIRECT("'["&amp;НАСТРОЙКИ!$D$7&amp;"]CF'!$L$3:$EO$3"),BN$22,INDIRECT("'["&amp;НАСТРОЙКИ!$D$7&amp;"]CF'!$L$66:$EO$66")),0))</f>
        <v>0</v>
      </c>
      <c r="BO83" s="35">
        <f ca="1">IF(НАСТРОЙКИ!$B$7&lt;&gt;"Да",0,IFERROR(SUMIF(INDIRECT("'["&amp;НАСТРОЙКИ!$D$7&amp;"]CF'!$L$3:$EO$3"),BO$22,INDIRECT("'["&amp;НАСТРОЙКИ!$D$7&amp;"]CF'!$L$66:$EO$66")),0))</f>
        <v>0</v>
      </c>
      <c r="BP83" s="35">
        <f ca="1">IF(НАСТРОЙКИ!$B$7&lt;&gt;"Да",0,IFERROR(SUMIF(INDIRECT("'["&amp;НАСТРОЙКИ!$D$7&amp;"]CF'!$L$3:$EO$3"),BP$22,INDIRECT("'["&amp;НАСТРОЙКИ!$D$7&amp;"]CF'!$L$66:$EO$66")),0))</f>
        <v>0</v>
      </c>
      <c r="BQ83" s="35">
        <f ca="1">IF(НАСТРОЙКИ!$B$7&lt;&gt;"Да",0,IFERROR(SUMIF(INDIRECT("'["&amp;НАСТРОЙКИ!$D$7&amp;"]CF'!$L$3:$EO$3"),BQ$22,INDIRECT("'["&amp;НАСТРОЙКИ!$D$7&amp;"]CF'!$L$66:$EO$66")),0))</f>
        <v>0</v>
      </c>
      <c r="BR83" s="35">
        <f ca="1">IF(НАСТРОЙКИ!$B$7&lt;&gt;"Да",0,IFERROR(SUMIF(INDIRECT("'["&amp;НАСТРОЙКИ!$D$7&amp;"]CF'!$L$3:$EO$3"),BR$22,INDIRECT("'["&amp;НАСТРОЙКИ!$D$7&amp;"]CF'!$L$66:$EO$66")),0))</f>
        <v>0</v>
      </c>
      <c r="BS83" s="35">
        <f ca="1">IF(НАСТРОЙКИ!$B$7&lt;&gt;"Да",0,IFERROR(SUMIF(INDIRECT("'["&amp;НАСТРОЙКИ!$D$7&amp;"]CF'!$L$3:$EO$3"),BS$22,INDIRECT("'["&amp;НАСТРОЙКИ!$D$7&amp;"]CF'!$L$66:$EO$66")),0))</f>
        <v>0</v>
      </c>
      <c r="BT83" s="35">
        <f ca="1">IF(НАСТРОЙКИ!$B$7&lt;&gt;"Да",0,IFERROR(SUMIF(INDIRECT("'["&amp;НАСТРОЙКИ!$D$7&amp;"]CF'!$L$3:$EO$3"),BT$22,INDIRECT("'["&amp;НАСТРОЙКИ!$D$7&amp;"]CF'!$L$66:$EO$66")),0))</f>
        <v>0</v>
      </c>
      <c r="BU83" s="35">
        <f ca="1">IF(НАСТРОЙКИ!$B$7&lt;&gt;"Да",0,IFERROR(SUMIF(INDIRECT("'["&amp;НАСТРОЙКИ!$D$7&amp;"]CF'!$L$3:$EO$3"),BU$22,INDIRECT("'["&amp;НАСТРОЙКИ!$D$7&amp;"]CF'!$L$66:$EO$66")),0))</f>
        <v>0</v>
      </c>
      <c r="BV83" s="35">
        <f ca="1">IF(НАСТРОЙКИ!$B$7&lt;&gt;"Да",0,IFERROR(SUMIF(INDIRECT("'["&amp;НАСТРОЙКИ!$D$7&amp;"]CF'!$L$3:$EO$3"),BV$22,INDIRECT("'["&amp;НАСТРОЙКИ!$D$7&amp;"]CF'!$L$66:$EO$66")),0))</f>
        <v>0</v>
      </c>
      <c r="BW83" s="35">
        <f ca="1">IF(НАСТРОЙКИ!$B$7&lt;&gt;"Да",0,IFERROR(SUMIF(INDIRECT("'["&amp;НАСТРОЙКИ!$D$7&amp;"]CF'!$L$3:$EO$3"),BW$22,INDIRECT("'["&amp;НАСТРОЙКИ!$D$7&amp;"]CF'!$L$66:$EO$66")),0))</f>
        <v>0</v>
      </c>
      <c r="BX83" s="35">
        <f ca="1">IF(НАСТРОЙКИ!$B$7&lt;&gt;"Да",0,IFERROR(SUMIF(INDIRECT("'["&amp;НАСТРОЙКИ!$D$7&amp;"]CF'!$L$3:$EO$3"),BX$22,INDIRECT("'["&amp;НАСТРОЙКИ!$D$7&amp;"]CF'!$L$66:$EO$66")),0))</f>
        <v>0</v>
      </c>
      <c r="BY83" s="35">
        <f ca="1">IF(НАСТРОЙКИ!$B$7&lt;&gt;"Да",0,IFERROR(SUMIF(INDIRECT("'["&amp;НАСТРОЙКИ!$D$7&amp;"]CF'!$L$3:$EO$3"),BY$22,INDIRECT("'["&amp;НАСТРОЙКИ!$D$7&amp;"]CF'!$L$66:$EO$66")),0))</f>
        <v>0</v>
      </c>
      <c r="BZ83" s="35">
        <f ca="1">IF(НАСТРОЙКИ!$B$7&lt;&gt;"Да",0,IFERROR(SUMIF(INDIRECT("'["&amp;НАСТРОЙКИ!$D$7&amp;"]CF'!$L$3:$EO$3"),BZ$22,INDIRECT("'["&amp;НАСТРОЙКИ!$D$7&amp;"]CF'!$L$66:$EO$66")),0))</f>
        <v>0</v>
      </c>
      <c r="CA83" s="35">
        <f ca="1">IF(НАСТРОЙКИ!$B$7&lt;&gt;"Да",0,IFERROR(SUMIF(INDIRECT("'["&amp;НАСТРОЙКИ!$D$7&amp;"]CF'!$L$3:$EO$3"),CA$22,INDIRECT("'["&amp;НАСТРОЙКИ!$D$7&amp;"]CF'!$L$66:$EO$66")),0))</f>
        <v>0</v>
      </c>
      <c r="CB83" s="35">
        <f ca="1">IF(НАСТРОЙКИ!$B$7&lt;&gt;"Да",0,IFERROR(SUMIF(INDIRECT("'["&amp;НАСТРОЙКИ!$D$7&amp;"]CF'!$L$3:$EO$3"),CB$22,INDIRECT("'["&amp;НАСТРОЙКИ!$D$7&amp;"]CF'!$L$66:$EO$66")),0))</f>
        <v>0</v>
      </c>
      <c r="CC83" s="35">
        <f ca="1">IF(НАСТРОЙКИ!$B$7&lt;&gt;"Да",0,IFERROR(SUMIF(INDIRECT("'["&amp;НАСТРОЙКИ!$D$7&amp;"]CF'!$L$3:$EO$3"),CC$22,INDIRECT("'["&amp;НАСТРОЙКИ!$D$7&amp;"]CF'!$L$66:$EO$66")),0))</f>
        <v>0</v>
      </c>
      <c r="CD83" s="35">
        <f ca="1">IF(НАСТРОЙКИ!$B$7&lt;&gt;"Да",0,IFERROR(SUMIF(INDIRECT("'["&amp;НАСТРОЙКИ!$D$7&amp;"]CF'!$L$3:$EO$3"),CD$22,INDIRECT("'["&amp;НАСТРОЙКИ!$D$7&amp;"]CF'!$L$66:$EO$66")),0))</f>
        <v>0</v>
      </c>
      <c r="CE83" s="35">
        <f ca="1">IF(НАСТРОЙКИ!$B$7&lt;&gt;"Да",0,IFERROR(SUMIF(INDIRECT("'["&amp;НАСТРОЙКИ!$D$7&amp;"]CF'!$L$3:$EO$3"),CE$22,INDIRECT("'["&amp;НАСТРОЙКИ!$D$7&amp;"]CF'!$L$66:$EO$66")),0))</f>
        <v>0</v>
      </c>
      <c r="CF83" s="35">
        <f ca="1">IF(НАСТРОЙКИ!$B$7&lt;&gt;"Да",0,IFERROR(SUMIF(INDIRECT("'["&amp;НАСТРОЙКИ!$D$7&amp;"]CF'!$L$3:$EO$3"),CF$22,INDIRECT("'["&amp;НАСТРОЙКИ!$D$7&amp;"]CF'!$L$66:$EO$66")),0))</f>
        <v>0</v>
      </c>
      <c r="CG83" s="35">
        <f ca="1">IF(НАСТРОЙКИ!$B$7&lt;&gt;"Да",0,IFERROR(SUMIF(INDIRECT("'["&amp;НАСТРОЙКИ!$D$7&amp;"]CF'!$L$3:$EO$3"),CG$22,INDIRECT("'["&amp;НАСТРОЙКИ!$D$7&amp;"]CF'!$L$66:$EO$66")),0))</f>
        <v>0</v>
      </c>
      <c r="CH83" s="35">
        <f ca="1">IF(НАСТРОЙКИ!$B$7&lt;&gt;"Да",0,IFERROR(SUMIF(INDIRECT("'["&amp;НАСТРОЙКИ!$D$7&amp;"]CF'!$L$3:$EO$3"),CH$22,INDIRECT("'["&amp;НАСТРОЙКИ!$D$7&amp;"]CF'!$L$66:$EO$66")),0))</f>
        <v>0</v>
      </c>
      <c r="CI83" s="35">
        <f ca="1">IF(НАСТРОЙКИ!$B$7&lt;&gt;"Да",0,IFERROR(SUMIF(INDIRECT("'["&amp;НАСТРОЙКИ!$D$7&amp;"]CF'!$L$3:$EO$3"),CI$22,INDIRECT("'["&amp;НАСТРОЙКИ!$D$7&amp;"]CF'!$L$66:$EO$66")),0))</f>
        <v>0</v>
      </c>
      <c r="CJ83" s="35">
        <f ca="1">IF(НАСТРОЙКИ!$B$7&lt;&gt;"Да",0,IFERROR(SUMIF(INDIRECT("'["&amp;НАСТРОЙКИ!$D$7&amp;"]CF'!$L$3:$EO$3"),CJ$22,INDIRECT("'["&amp;НАСТРОЙКИ!$D$7&amp;"]CF'!$L$66:$EO$66")),0))</f>
        <v>0</v>
      </c>
      <c r="CK83" s="35">
        <f ca="1">IF(НАСТРОЙКИ!$B$7&lt;&gt;"Да",0,IFERROR(SUMIF(INDIRECT("'["&amp;НАСТРОЙКИ!$D$7&amp;"]CF'!$L$3:$EO$3"),CK$22,INDIRECT("'["&amp;НАСТРОЙКИ!$D$7&amp;"]CF'!$L$66:$EO$66")),0))</f>
        <v>0</v>
      </c>
      <c r="CL83" s="35">
        <f ca="1">IF(НАСТРОЙКИ!$B$7&lt;&gt;"Да",0,IFERROR(SUMIF(INDIRECT("'["&amp;НАСТРОЙКИ!$D$7&amp;"]CF'!$L$3:$EO$3"),CL$22,INDIRECT("'["&amp;НАСТРОЙКИ!$D$7&amp;"]CF'!$L$66:$EO$66")),0))</f>
        <v>0</v>
      </c>
      <c r="CM83" s="35">
        <f ca="1">IF(НАСТРОЙКИ!$B$7&lt;&gt;"Да",0,IFERROR(SUMIF(INDIRECT("'["&amp;НАСТРОЙКИ!$D$7&amp;"]CF'!$L$3:$EO$3"),CM$22,INDIRECT("'["&amp;НАСТРОЙКИ!$D$7&amp;"]CF'!$L$66:$EO$66")),0))</f>
        <v>0</v>
      </c>
      <c r="CN83" s="35">
        <f ca="1">IF(НАСТРОЙКИ!$B$7&lt;&gt;"Да",0,IFERROR(SUMIF(INDIRECT("'["&amp;НАСТРОЙКИ!$D$7&amp;"]CF'!$L$3:$EO$3"),CN$22,INDIRECT("'["&amp;НАСТРОЙКИ!$D$7&amp;"]CF'!$L$66:$EO$66")),0))</f>
        <v>0</v>
      </c>
      <c r="CO83" s="35">
        <f ca="1">IF(НАСТРОЙКИ!$B$7&lt;&gt;"Да",0,IFERROR(SUMIF(INDIRECT("'["&amp;НАСТРОЙКИ!$D$7&amp;"]CF'!$L$3:$EO$3"),CO$22,INDIRECT("'["&amp;НАСТРОЙКИ!$D$7&amp;"]CF'!$L$66:$EO$66")),0))</f>
        <v>0</v>
      </c>
      <c r="CP83" s="35">
        <f ca="1">IF(НАСТРОЙКИ!$B$7&lt;&gt;"Да",0,IFERROR(SUMIF(INDIRECT("'["&amp;НАСТРОЙКИ!$D$7&amp;"]CF'!$L$3:$EO$3"),CP$22,INDIRECT("'["&amp;НАСТРОЙКИ!$D$7&amp;"]CF'!$L$66:$EO$66")),0))</f>
        <v>0</v>
      </c>
      <c r="CQ83" s="35">
        <f ca="1">IF(НАСТРОЙКИ!$B$7&lt;&gt;"Да",0,IFERROR(SUMIF(INDIRECT("'["&amp;НАСТРОЙКИ!$D$7&amp;"]CF'!$L$3:$EO$3"),CQ$22,INDIRECT("'["&amp;НАСТРОЙКИ!$D$7&amp;"]CF'!$L$66:$EO$66")),0))</f>
        <v>0</v>
      </c>
      <c r="CR83" s="35">
        <f ca="1">IF(НАСТРОЙКИ!$B$7&lt;&gt;"Да",0,IFERROR(SUMIF(INDIRECT("'["&amp;НАСТРОЙКИ!$D$7&amp;"]CF'!$L$3:$EO$3"),CR$22,INDIRECT("'["&amp;НАСТРОЙКИ!$D$7&amp;"]CF'!$L$66:$EO$66")),0))</f>
        <v>0</v>
      </c>
      <c r="CS83" s="35">
        <f ca="1">IF(НАСТРОЙКИ!$B$7&lt;&gt;"Да",0,IFERROR(SUMIF(INDIRECT("'["&amp;НАСТРОЙКИ!$D$7&amp;"]CF'!$L$3:$EO$3"),CS$22,INDIRECT("'["&amp;НАСТРОЙКИ!$D$7&amp;"]CF'!$L$66:$EO$66")),0))</f>
        <v>0</v>
      </c>
      <c r="CT83" s="35">
        <f ca="1">IF(НАСТРОЙКИ!$B$7&lt;&gt;"Да",0,IFERROR(SUMIF(INDIRECT("'["&amp;НАСТРОЙКИ!$D$7&amp;"]CF'!$L$3:$EO$3"),CT$22,INDIRECT("'["&amp;НАСТРОЙКИ!$D$7&amp;"]CF'!$L$66:$EO$66")),0))</f>
        <v>0</v>
      </c>
      <c r="CU83" s="35">
        <f ca="1">IF(НАСТРОЙКИ!$B$7&lt;&gt;"Да",0,IFERROR(SUMIF(INDIRECT("'["&amp;НАСТРОЙКИ!$D$7&amp;"]CF'!$L$3:$EO$3"),CU$22,INDIRECT("'["&amp;НАСТРОЙКИ!$D$7&amp;"]CF'!$L$66:$EO$66")),0))</f>
        <v>0</v>
      </c>
      <c r="CV83" s="35">
        <f ca="1">IF(НАСТРОЙКИ!$B$7&lt;&gt;"Да",0,IFERROR(SUMIF(INDIRECT("'["&amp;НАСТРОЙКИ!$D$7&amp;"]CF'!$L$3:$EO$3"),CV$22,INDIRECT("'["&amp;НАСТРОЙКИ!$D$7&amp;"]CF'!$L$66:$EO$66")),0))</f>
        <v>0</v>
      </c>
      <c r="CW83" s="35">
        <f ca="1">IF(НАСТРОЙКИ!$B$7&lt;&gt;"Да",0,IFERROR(SUMIF(INDIRECT("'["&amp;НАСТРОЙКИ!$D$7&amp;"]CF'!$L$3:$EO$3"),CW$22,INDIRECT("'["&amp;НАСТРОЙКИ!$D$7&amp;"]CF'!$L$66:$EO$66")),0))</f>
        <v>0</v>
      </c>
      <c r="CX83" s="35">
        <f ca="1">IF(НАСТРОЙКИ!$B$7&lt;&gt;"Да",0,IFERROR(SUMIF(INDIRECT("'["&amp;НАСТРОЙКИ!$D$7&amp;"]CF'!$L$3:$EO$3"),CX$22,INDIRECT("'["&amp;НАСТРОЙКИ!$D$7&amp;"]CF'!$L$66:$EO$66")),0))</f>
        <v>0</v>
      </c>
      <c r="CY83" s="35">
        <f ca="1">IF(НАСТРОЙКИ!$B$7&lt;&gt;"Да",0,IFERROR(SUMIF(INDIRECT("'["&amp;НАСТРОЙКИ!$D$7&amp;"]CF'!$L$3:$EO$3"),CY$22,INDIRECT("'["&amp;НАСТРОЙКИ!$D$7&amp;"]CF'!$L$66:$EO$66")),0))</f>
        <v>0</v>
      </c>
      <c r="CZ83" s="35">
        <f ca="1">IF(НАСТРОЙКИ!$B$7&lt;&gt;"Да",0,IFERROR(SUMIF(INDIRECT("'["&amp;НАСТРОЙКИ!$D$7&amp;"]CF'!$L$3:$EO$3"),CZ$22,INDIRECT("'["&amp;НАСТРОЙКИ!$D$7&amp;"]CF'!$L$66:$EO$66")),0))</f>
        <v>0</v>
      </c>
      <c r="DA83" s="35">
        <f ca="1">IF(НАСТРОЙКИ!$B$7&lt;&gt;"Да",0,IFERROR(SUMIF(INDIRECT("'["&amp;НАСТРОЙКИ!$D$7&amp;"]CF'!$L$3:$EO$3"),DA$22,INDIRECT("'["&amp;НАСТРОЙКИ!$D$7&amp;"]CF'!$L$66:$EO$66")),0))</f>
        <v>0</v>
      </c>
      <c r="DB83" s="35">
        <f ca="1">IF(НАСТРОЙКИ!$B$7&lt;&gt;"Да",0,IFERROR(SUMIF(INDIRECT("'["&amp;НАСТРОЙКИ!$D$7&amp;"]CF'!$L$3:$EO$3"),DB$22,INDIRECT("'["&amp;НАСТРОЙКИ!$D$7&amp;"]CF'!$L$66:$EO$66")),0))</f>
        <v>0</v>
      </c>
      <c r="DC83" s="35">
        <f ca="1">IF(НАСТРОЙКИ!$B$7&lt;&gt;"Да",0,IFERROR(SUMIF(INDIRECT("'["&amp;НАСТРОЙКИ!$D$7&amp;"]CF'!$L$3:$EO$3"),DC$22,INDIRECT("'["&amp;НАСТРОЙКИ!$D$7&amp;"]CF'!$L$66:$EO$66")),0))</f>
        <v>0</v>
      </c>
      <c r="DD83" s="35">
        <f ca="1">IF(НАСТРОЙКИ!$B$7&lt;&gt;"Да",0,IFERROR(SUMIF(INDIRECT("'["&amp;НАСТРОЙКИ!$D$7&amp;"]CF'!$L$3:$EO$3"),DD$22,INDIRECT("'["&amp;НАСТРОЙКИ!$D$7&amp;"]CF'!$L$66:$EO$66")),0))</f>
        <v>0</v>
      </c>
      <c r="DE83" s="35">
        <f ca="1">IF(НАСТРОЙКИ!$B$7&lt;&gt;"Да",0,IFERROR(SUMIF(INDIRECT("'["&amp;НАСТРОЙКИ!$D$7&amp;"]CF'!$L$3:$EO$3"),DE$22,INDIRECT("'["&amp;НАСТРОЙКИ!$D$7&amp;"]CF'!$L$66:$EO$66")),0))</f>
        <v>0</v>
      </c>
      <c r="DF83" s="35">
        <f ca="1">IF(НАСТРОЙКИ!$B$7&lt;&gt;"Да",0,IFERROR(SUMIF(INDIRECT("'["&amp;НАСТРОЙКИ!$D$7&amp;"]CF'!$L$3:$EO$3"),DF$22,INDIRECT("'["&amp;НАСТРОЙКИ!$D$7&amp;"]CF'!$L$66:$EO$66")),0))</f>
        <v>0</v>
      </c>
    </row>
    <row r="84" spans="1:110">
      <c r="A84" s="34" t="s">
        <v>130</v>
      </c>
      <c r="B84" s="34" t="s">
        <v>58</v>
      </c>
      <c r="C84" s="35">
        <f ca="1">IF(НАСТРОЙКИ!$B$7&lt;&gt;"Да",0,IFERROR((SUMIF(INDIRECT("'["&amp;НАСТРОЙКИ!$D$7&amp;"]КРЕДИТЫ'!$S$3:$EO$3"),C$22,INDIRECT("'["&amp;НАСТРОЙКИ!$D$7&amp;"]КРЕДИТЫ'!$S$40:$EO$40"))+SUMIF(INDIRECT("'["&amp;НАСТРОЙКИ!$D$7&amp;"]КРЕДИТЫ'!$S$3:$EO$3"),C$22,INDIRECT("'["&amp;НАСТРОЙКИ!$D$7&amp;"]КРЕДИТЫ'!$S$61:$EO$61")))/1000000,0))</f>
        <v>0</v>
      </c>
      <c r="D84" s="35">
        <f ca="1">IF(НАСТРОЙКИ!$B$7&lt;&gt;"Да",0,IFERROR((SUMIF(INDIRECT("'["&amp;НАСТРОЙКИ!$D$7&amp;"]КРЕДИТЫ'!$S$3:$EO$3"),D$22,INDIRECT("'["&amp;НАСТРОЙКИ!$D$7&amp;"]КРЕДИТЫ'!$S$40:$EO$40"))+SUMIF(INDIRECT("'["&amp;НАСТРОЙКИ!$D$7&amp;"]КРЕДИТЫ'!$S$3:$EO$3"),D$22,INDIRECT("'["&amp;НАСТРОЙКИ!$D$7&amp;"]КРЕДИТЫ'!$S$61:$EO$61")))/1000000,0))</f>
        <v>0</v>
      </c>
      <c r="E84" s="35">
        <f ca="1">IF(НАСТРОЙКИ!$B$7&lt;&gt;"Да",0,IFERROR((SUMIF(INDIRECT("'["&amp;НАСТРОЙКИ!$D$7&amp;"]КРЕДИТЫ'!$S$3:$EO$3"),E$22,INDIRECT("'["&amp;НАСТРОЙКИ!$D$7&amp;"]КРЕДИТЫ'!$S$40:$EO$40"))+SUMIF(INDIRECT("'["&amp;НАСТРОЙКИ!$D$7&amp;"]КРЕДИТЫ'!$S$3:$EO$3"),E$22,INDIRECT("'["&amp;НАСТРОЙКИ!$D$7&amp;"]КРЕДИТЫ'!$S$61:$EO$61")))/1000000,0))</f>
        <v>0</v>
      </c>
      <c r="F84" s="35">
        <f ca="1">IF(НАСТРОЙКИ!$B$7&lt;&gt;"Да",0,IFERROR((SUMIF(INDIRECT("'["&amp;НАСТРОЙКИ!$D$7&amp;"]КРЕДИТЫ'!$S$3:$EO$3"),F$22,INDIRECT("'["&amp;НАСТРОЙКИ!$D$7&amp;"]КРЕДИТЫ'!$S$40:$EO$40"))+SUMIF(INDIRECT("'["&amp;НАСТРОЙКИ!$D$7&amp;"]КРЕДИТЫ'!$S$3:$EO$3"),F$22,INDIRECT("'["&amp;НАСТРОЙКИ!$D$7&amp;"]КРЕДИТЫ'!$S$61:$EO$61")))/1000000,0))</f>
        <v>0</v>
      </c>
      <c r="G84" s="35">
        <f ca="1">IF(НАСТРОЙКИ!$B$7&lt;&gt;"Да",0,IFERROR((SUMIF(INDIRECT("'["&amp;НАСТРОЙКИ!$D$7&amp;"]КРЕДИТЫ'!$S$3:$EO$3"),G$22,INDIRECT("'["&amp;НАСТРОЙКИ!$D$7&amp;"]КРЕДИТЫ'!$S$40:$EO$40"))+SUMIF(INDIRECT("'["&amp;НАСТРОЙКИ!$D$7&amp;"]КРЕДИТЫ'!$S$3:$EO$3"),G$22,INDIRECT("'["&amp;НАСТРОЙКИ!$D$7&amp;"]КРЕДИТЫ'!$S$61:$EO$61")))/1000000,0))</f>
        <v>0</v>
      </c>
      <c r="H84" s="35">
        <f ca="1">IF(НАСТРОЙКИ!$B$7&lt;&gt;"Да",0,IFERROR((SUMIF(INDIRECT("'["&amp;НАСТРОЙКИ!$D$7&amp;"]КРЕДИТЫ'!$S$3:$EO$3"),H$22,INDIRECT("'["&amp;НАСТРОЙКИ!$D$7&amp;"]КРЕДИТЫ'!$S$40:$EO$40"))+SUMIF(INDIRECT("'["&amp;НАСТРОЙКИ!$D$7&amp;"]КРЕДИТЫ'!$S$3:$EO$3"),H$22,INDIRECT("'["&amp;НАСТРОЙКИ!$D$7&amp;"]КРЕДИТЫ'!$S$61:$EO$61")))/1000000,0))</f>
        <v>0</v>
      </c>
      <c r="I84" s="35">
        <f ca="1">IF(НАСТРОЙКИ!$B$7&lt;&gt;"Да",0,IFERROR((SUMIF(INDIRECT("'["&amp;НАСТРОЙКИ!$D$7&amp;"]КРЕДИТЫ'!$S$3:$EO$3"),I$22,INDIRECT("'["&amp;НАСТРОЙКИ!$D$7&amp;"]КРЕДИТЫ'!$S$40:$EO$40"))+SUMIF(INDIRECT("'["&amp;НАСТРОЙКИ!$D$7&amp;"]КРЕДИТЫ'!$S$3:$EO$3"),I$22,INDIRECT("'["&amp;НАСТРОЙКИ!$D$7&amp;"]КРЕДИТЫ'!$S$61:$EO$61")))/1000000,0))</f>
        <v>0</v>
      </c>
      <c r="J84" s="35">
        <f ca="1">IF(НАСТРОЙКИ!$B$7&lt;&gt;"Да",0,IFERROR((SUMIF(INDIRECT("'["&amp;НАСТРОЙКИ!$D$7&amp;"]КРЕДИТЫ'!$S$3:$EO$3"),J$22,INDIRECT("'["&amp;НАСТРОЙКИ!$D$7&amp;"]КРЕДИТЫ'!$S$40:$EO$40"))+SUMIF(INDIRECT("'["&amp;НАСТРОЙКИ!$D$7&amp;"]КРЕДИТЫ'!$S$3:$EO$3"),J$22,INDIRECT("'["&amp;НАСТРОЙКИ!$D$7&amp;"]КРЕДИТЫ'!$S$61:$EO$61")))/1000000,0))</f>
        <v>0</v>
      </c>
      <c r="K84" s="35">
        <f ca="1">IF(НАСТРОЙКИ!$B$7&lt;&gt;"Да",0,IFERROR((SUMIF(INDIRECT("'["&amp;НАСТРОЙКИ!$D$7&amp;"]КРЕДИТЫ'!$S$3:$EO$3"),K$22,INDIRECT("'["&amp;НАСТРОЙКИ!$D$7&amp;"]КРЕДИТЫ'!$S$40:$EO$40"))+SUMIF(INDIRECT("'["&amp;НАСТРОЙКИ!$D$7&amp;"]КРЕДИТЫ'!$S$3:$EO$3"),K$22,INDIRECT("'["&amp;НАСТРОЙКИ!$D$7&amp;"]КРЕДИТЫ'!$S$61:$EO$61")))/1000000,0))</f>
        <v>0</v>
      </c>
      <c r="L84" s="35">
        <f ca="1">IF(НАСТРОЙКИ!$B$7&lt;&gt;"Да",0,IFERROR((SUMIF(INDIRECT("'["&amp;НАСТРОЙКИ!$D$7&amp;"]КРЕДИТЫ'!$S$3:$EO$3"),L$22,INDIRECT("'["&amp;НАСТРОЙКИ!$D$7&amp;"]КРЕДИТЫ'!$S$40:$EO$40"))+SUMIF(INDIRECT("'["&amp;НАСТРОЙКИ!$D$7&amp;"]КРЕДИТЫ'!$S$3:$EO$3"),L$22,INDIRECT("'["&amp;НАСТРОЙКИ!$D$7&amp;"]КРЕДИТЫ'!$S$61:$EO$61")))/1000000,0))</f>
        <v>0</v>
      </c>
      <c r="M84" s="35">
        <f ca="1">IF(НАСТРОЙКИ!$B$7&lt;&gt;"Да",0,IFERROR((SUMIF(INDIRECT("'["&amp;НАСТРОЙКИ!$D$7&amp;"]КРЕДИТЫ'!$S$3:$EO$3"),M$22,INDIRECT("'["&amp;НАСТРОЙКИ!$D$7&amp;"]КРЕДИТЫ'!$S$40:$EO$40"))+SUMIF(INDIRECT("'["&amp;НАСТРОЙКИ!$D$7&amp;"]КРЕДИТЫ'!$S$3:$EO$3"),M$22,INDIRECT("'["&amp;НАСТРОЙКИ!$D$7&amp;"]КРЕДИТЫ'!$S$61:$EO$61")))/1000000,0))</f>
        <v>0</v>
      </c>
      <c r="N84" s="35">
        <f ca="1">IF(НАСТРОЙКИ!$B$7&lt;&gt;"Да",0,IFERROR((SUMIF(INDIRECT("'["&amp;НАСТРОЙКИ!$D$7&amp;"]КРЕДИТЫ'!$S$3:$EO$3"),N$22,INDIRECT("'["&amp;НАСТРОЙКИ!$D$7&amp;"]КРЕДИТЫ'!$S$40:$EO$40"))+SUMIF(INDIRECT("'["&amp;НАСТРОЙКИ!$D$7&amp;"]КРЕДИТЫ'!$S$3:$EO$3"),N$22,INDIRECT("'["&amp;НАСТРОЙКИ!$D$7&amp;"]КРЕДИТЫ'!$S$61:$EO$61")))/1000000,0))</f>
        <v>0</v>
      </c>
      <c r="O84" s="35">
        <f ca="1">IF(НАСТРОЙКИ!$B$7&lt;&gt;"Да",0,IFERROR((SUMIF(INDIRECT("'["&amp;НАСТРОЙКИ!$D$7&amp;"]КРЕДИТЫ'!$S$3:$EO$3"),O$22,INDIRECT("'["&amp;НАСТРОЙКИ!$D$7&amp;"]КРЕДИТЫ'!$S$40:$EO$40"))+SUMIF(INDIRECT("'["&amp;НАСТРОЙКИ!$D$7&amp;"]КРЕДИТЫ'!$S$3:$EO$3"),O$22,INDIRECT("'["&amp;НАСТРОЙКИ!$D$7&amp;"]КРЕДИТЫ'!$S$61:$EO$61")))/1000000,0))</f>
        <v>0</v>
      </c>
      <c r="P84" s="35">
        <f ca="1">IF(НАСТРОЙКИ!$B$7&lt;&gt;"Да",0,IFERROR((SUMIF(INDIRECT("'["&amp;НАСТРОЙКИ!$D$7&amp;"]КРЕДИТЫ'!$S$3:$EO$3"),P$22,INDIRECT("'["&amp;НАСТРОЙКИ!$D$7&amp;"]КРЕДИТЫ'!$S$40:$EO$40"))+SUMIF(INDIRECT("'["&amp;НАСТРОЙКИ!$D$7&amp;"]КРЕДИТЫ'!$S$3:$EO$3"),P$22,INDIRECT("'["&amp;НАСТРОЙКИ!$D$7&amp;"]КРЕДИТЫ'!$S$61:$EO$61")))/1000000,0))</f>
        <v>0</v>
      </c>
      <c r="Q84" s="35">
        <f ca="1">IF(НАСТРОЙКИ!$B$7&lt;&gt;"Да",0,IFERROR((SUMIF(INDIRECT("'["&amp;НАСТРОЙКИ!$D$7&amp;"]КРЕДИТЫ'!$S$3:$EO$3"),Q$22,INDIRECT("'["&amp;НАСТРОЙКИ!$D$7&amp;"]КРЕДИТЫ'!$S$40:$EO$40"))+SUMIF(INDIRECT("'["&amp;НАСТРОЙКИ!$D$7&amp;"]КРЕДИТЫ'!$S$3:$EO$3"),Q$22,INDIRECT("'["&amp;НАСТРОЙКИ!$D$7&amp;"]КРЕДИТЫ'!$S$61:$EO$61")))/1000000,0))</f>
        <v>0</v>
      </c>
      <c r="R84" s="35">
        <f ca="1">IF(НАСТРОЙКИ!$B$7&lt;&gt;"Да",0,IFERROR((SUMIF(INDIRECT("'["&amp;НАСТРОЙКИ!$D$7&amp;"]КРЕДИТЫ'!$S$3:$EO$3"),R$22,INDIRECT("'["&amp;НАСТРОЙКИ!$D$7&amp;"]КРЕДИТЫ'!$S$40:$EO$40"))+SUMIF(INDIRECT("'["&amp;НАСТРОЙКИ!$D$7&amp;"]КРЕДИТЫ'!$S$3:$EO$3"),R$22,INDIRECT("'["&amp;НАСТРОЙКИ!$D$7&amp;"]КРЕДИТЫ'!$S$61:$EO$61")))/1000000,0))</f>
        <v>0</v>
      </c>
      <c r="S84" s="35">
        <f ca="1">IF(НАСТРОЙКИ!$B$7&lt;&gt;"Да",0,IFERROR((SUMIF(INDIRECT("'["&amp;НАСТРОЙКИ!$D$7&amp;"]КРЕДИТЫ'!$S$3:$EO$3"),S$22,INDIRECT("'["&amp;НАСТРОЙКИ!$D$7&amp;"]КРЕДИТЫ'!$S$40:$EO$40"))+SUMIF(INDIRECT("'["&amp;НАСТРОЙКИ!$D$7&amp;"]КРЕДИТЫ'!$S$3:$EO$3"),S$22,INDIRECT("'["&amp;НАСТРОЙКИ!$D$7&amp;"]КРЕДИТЫ'!$S$61:$EO$61")))/1000000,0))</f>
        <v>0</v>
      </c>
      <c r="T84" s="35">
        <f ca="1">IF(НАСТРОЙКИ!$B$7&lt;&gt;"Да",0,IFERROR((SUMIF(INDIRECT("'["&amp;НАСТРОЙКИ!$D$7&amp;"]КРЕДИТЫ'!$S$3:$EO$3"),T$22,INDIRECT("'["&amp;НАСТРОЙКИ!$D$7&amp;"]КРЕДИТЫ'!$S$40:$EO$40"))+SUMIF(INDIRECT("'["&amp;НАСТРОЙКИ!$D$7&amp;"]КРЕДИТЫ'!$S$3:$EO$3"),T$22,INDIRECT("'["&amp;НАСТРОЙКИ!$D$7&amp;"]КРЕДИТЫ'!$S$61:$EO$61")))/1000000,0))</f>
        <v>0</v>
      </c>
      <c r="U84" s="35">
        <f ca="1">IF(НАСТРОЙКИ!$B$7&lt;&gt;"Да",0,IFERROR((SUMIF(INDIRECT("'["&amp;НАСТРОЙКИ!$D$7&amp;"]КРЕДИТЫ'!$S$3:$EO$3"),U$22,INDIRECT("'["&amp;НАСТРОЙКИ!$D$7&amp;"]КРЕДИТЫ'!$S$40:$EO$40"))+SUMIF(INDIRECT("'["&amp;НАСТРОЙКИ!$D$7&amp;"]КРЕДИТЫ'!$S$3:$EO$3"),U$22,INDIRECT("'["&amp;НАСТРОЙКИ!$D$7&amp;"]КРЕДИТЫ'!$S$61:$EO$61")))/1000000,0))</f>
        <v>0</v>
      </c>
      <c r="V84" s="35">
        <f ca="1">IF(НАСТРОЙКИ!$B$7&lt;&gt;"Да",0,IFERROR((SUMIF(INDIRECT("'["&amp;НАСТРОЙКИ!$D$7&amp;"]КРЕДИТЫ'!$S$3:$EO$3"),V$22,INDIRECT("'["&amp;НАСТРОЙКИ!$D$7&amp;"]КРЕДИТЫ'!$S$40:$EO$40"))+SUMIF(INDIRECT("'["&amp;НАСТРОЙКИ!$D$7&amp;"]КРЕДИТЫ'!$S$3:$EO$3"),V$22,INDIRECT("'["&amp;НАСТРОЙКИ!$D$7&amp;"]КРЕДИТЫ'!$S$61:$EO$61")))/1000000,0))</f>
        <v>0</v>
      </c>
      <c r="W84" s="35">
        <f ca="1">IF(НАСТРОЙКИ!$B$7&lt;&gt;"Да",0,IFERROR((SUMIF(INDIRECT("'["&amp;НАСТРОЙКИ!$D$7&amp;"]КРЕДИТЫ'!$S$3:$EO$3"),W$22,INDIRECT("'["&amp;НАСТРОЙКИ!$D$7&amp;"]КРЕДИТЫ'!$S$40:$EO$40"))+SUMIF(INDIRECT("'["&amp;НАСТРОЙКИ!$D$7&amp;"]КРЕДИТЫ'!$S$3:$EO$3"),W$22,INDIRECT("'["&amp;НАСТРОЙКИ!$D$7&amp;"]КРЕДИТЫ'!$S$61:$EO$61")))/1000000,0))</f>
        <v>0</v>
      </c>
      <c r="X84" s="35">
        <f ca="1">IF(НАСТРОЙКИ!$B$7&lt;&gt;"Да",0,IFERROR((SUMIF(INDIRECT("'["&amp;НАСТРОЙКИ!$D$7&amp;"]КРЕДИТЫ'!$S$3:$EO$3"),X$22,INDIRECT("'["&amp;НАСТРОЙКИ!$D$7&amp;"]КРЕДИТЫ'!$S$40:$EO$40"))+SUMIF(INDIRECT("'["&amp;НАСТРОЙКИ!$D$7&amp;"]КРЕДИТЫ'!$S$3:$EO$3"),X$22,INDIRECT("'["&amp;НАСТРОЙКИ!$D$7&amp;"]КРЕДИТЫ'!$S$61:$EO$61")))/1000000,0))</f>
        <v>0</v>
      </c>
      <c r="Y84" s="35">
        <f ca="1">IF(НАСТРОЙКИ!$B$7&lt;&gt;"Да",0,IFERROR((SUMIF(INDIRECT("'["&amp;НАСТРОЙКИ!$D$7&amp;"]КРЕДИТЫ'!$S$3:$EO$3"),Y$22,INDIRECT("'["&amp;НАСТРОЙКИ!$D$7&amp;"]КРЕДИТЫ'!$S$40:$EO$40"))+SUMIF(INDIRECT("'["&amp;НАСТРОЙКИ!$D$7&amp;"]КРЕДИТЫ'!$S$3:$EO$3"),Y$22,INDIRECT("'["&amp;НАСТРОЙКИ!$D$7&amp;"]КРЕДИТЫ'!$S$61:$EO$61")))/1000000,0))</f>
        <v>0</v>
      </c>
      <c r="Z84" s="35">
        <f ca="1">IF(НАСТРОЙКИ!$B$7&lt;&gt;"Да",0,IFERROR((SUMIF(INDIRECT("'["&amp;НАСТРОЙКИ!$D$7&amp;"]КРЕДИТЫ'!$S$3:$EO$3"),Z$22,INDIRECT("'["&amp;НАСТРОЙКИ!$D$7&amp;"]КРЕДИТЫ'!$S$40:$EO$40"))+SUMIF(INDIRECT("'["&amp;НАСТРОЙКИ!$D$7&amp;"]КРЕДИТЫ'!$S$3:$EO$3"),Z$22,INDIRECT("'["&amp;НАСТРОЙКИ!$D$7&amp;"]КРЕДИТЫ'!$S$61:$EO$61")))/1000000,0))</f>
        <v>0</v>
      </c>
      <c r="AA84" s="35">
        <f ca="1">IF(НАСТРОЙКИ!$B$7&lt;&gt;"Да",0,IFERROR((SUMIF(INDIRECT("'["&amp;НАСТРОЙКИ!$D$7&amp;"]КРЕДИТЫ'!$S$3:$EO$3"),AA$22,INDIRECT("'["&amp;НАСТРОЙКИ!$D$7&amp;"]КРЕДИТЫ'!$S$40:$EO$40"))+SUMIF(INDIRECT("'["&amp;НАСТРОЙКИ!$D$7&amp;"]КРЕДИТЫ'!$S$3:$EO$3"),AA$22,INDIRECT("'["&amp;НАСТРОЙКИ!$D$7&amp;"]КРЕДИТЫ'!$S$61:$EO$61")))/1000000,0))</f>
        <v>0</v>
      </c>
      <c r="AB84" s="35">
        <f ca="1">IF(НАСТРОЙКИ!$B$7&lt;&gt;"Да",0,IFERROR((SUMIF(INDIRECT("'["&amp;НАСТРОЙКИ!$D$7&amp;"]КРЕДИТЫ'!$S$3:$EO$3"),AB$22,INDIRECT("'["&amp;НАСТРОЙКИ!$D$7&amp;"]КРЕДИТЫ'!$S$40:$EO$40"))+SUMIF(INDIRECT("'["&amp;НАСТРОЙКИ!$D$7&amp;"]КРЕДИТЫ'!$S$3:$EO$3"),AB$22,INDIRECT("'["&amp;НАСТРОЙКИ!$D$7&amp;"]КРЕДИТЫ'!$S$61:$EO$61")))/1000000,0))</f>
        <v>0</v>
      </c>
      <c r="AC84" s="35">
        <f ca="1">IF(НАСТРОЙКИ!$B$7&lt;&gt;"Да",0,IFERROR((SUMIF(INDIRECT("'["&amp;НАСТРОЙКИ!$D$7&amp;"]КРЕДИТЫ'!$S$3:$EO$3"),AC$22,INDIRECT("'["&amp;НАСТРОЙКИ!$D$7&amp;"]КРЕДИТЫ'!$S$40:$EO$40"))+SUMIF(INDIRECT("'["&amp;НАСТРОЙКИ!$D$7&amp;"]КРЕДИТЫ'!$S$3:$EO$3"),AC$22,INDIRECT("'["&amp;НАСТРОЙКИ!$D$7&amp;"]КРЕДИТЫ'!$S$61:$EO$61")))/1000000,0))</f>
        <v>0</v>
      </c>
      <c r="AD84" s="35">
        <f ca="1">IF(НАСТРОЙКИ!$B$7&lt;&gt;"Да",0,IFERROR((SUMIF(INDIRECT("'["&amp;НАСТРОЙКИ!$D$7&amp;"]КРЕДИТЫ'!$S$3:$EO$3"),AD$22,INDIRECT("'["&amp;НАСТРОЙКИ!$D$7&amp;"]КРЕДИТЫ'!$S$40:$EO$40"))+SUMIF(INDIRECT("'["&amp;НАСТРОЙКИ!$D$7&amp;"]КРЕДИТЫ'!$S$3:$EO$3"),AD$22,INDIRECT("'["&amp;НАСТРОЙКИ!$D$7&amp;"]КРЕДИТЫ'!$S$61:$EO$61")))/1000000,0))</f>
        <v>0</v>
      </c>
      <c r="AE84" s="35">
        <f ca="1">IF(НАСТРОЙКИ!$B$7&lt;&gt;"Да",0,IFERROR((SUMIF(INDIRECT("'["&amp;НАСТРОЙКИ!$D$7&amp;"]КРЕДИТЫ'!$S$3:$EO$3"),AE$22,INDIRECT("'["&amp;НАСТРОЙКИ!$D$7&amp;"]КРЕДИТЫ'!$S$40:$EO$40"))+SUMIF(INDIRECT("'["&amp;НАСТРОЙКИ!$D$7&amp;"]КРЕДИТЫ'!$S$3:$EO$3"),AE$22,INDIRECT("'["&amp;НАСТРОЙКИ!$D$7&amp;"]КРЕДИТЫ'!$S$61:$EO$61")))/1000000,0))</f>
        <v>0</v>
      </c>
      <c r="AF84" s="35">
        <f ca="1">IF(НАСТРОЙКИ!$B$7&lt;&gt;"Да",0,IFERROR((SUMIF(INDIRECT("'["&amp;НАСТРОЙКИ!$D$7&amp;"]КРЕДИТЫ'!$S$3:$EO$3"),AF$22,INDIRECT("'["&amp;НАСТРОЙКИ!$D$7&amp;"]КРЕДИТЫ'!$S$40:$EO$40"))+SUMIF(INDIRECT("'["&amp;НАСТРОЙКИ!$D$7&amp;"]КРЕДИТЫ'!$S$3:$EO$3"),AF$22,INDIRECT("'["&amp;НАСТРОЙКИ!$D$7&amp;"]КРЕДИТЫ'!$S$61:$EO$61")))/1000000,0))</f>
        <v>0</v>
      </c>
      <c r="AG84" s="35">
        <f ca="1">IF(НАСТРОЙКИ!$B$7&lt;&gt;"Да",0,IFERROR((SUMIF(INDIRECT("'["&amp;НАСТРОЙКИ!$D$7&amp;"]КРЕДИТЫ'!$S$3:$EO$3"),AG$22,INDIRECT("'["&amp;НАСТРОЙКИ!$D$7&amp;"]КРЕДИТЫ'!$S$40:$EO$40"))+SUMIF(INDIRECT("'["&amp;НАСТРОЙКИ!$D$7&amp;"]КРЕДИТЫ'!$S$3:$EO$3"),AG$22,INDIRECT("'["&amp;НАСТРОЙКИ!$D$7&amp;"]КРЕДИТЫ'!$S$61:$EO$61")))/1000000,0))</f>
        <v>0</v>
      </c>
      <c r="AH84" s="35">
        <f ca="1">IF(НАСТРОЙКИ!$B$7&lt;&gt;"Да",0,IFERROR((SUMIF(INDIRECT("'["&amp;НАСТРОЙКИ!$D$7&amp;"]КРЕДИТЫ'!$S$3:$EO$3"),AH$22,INDIRECT("'["&amp;НАСТРОЙКИ!$D$7&amp;"]КРЕДИТЫ'!$S$40:$EO$40"))+SUMIF(INDIRECT("'["&amp;НАСТРОЙКИ!$D$7&amp;"]КРЕДИТЫ'!$S$3:$EO$3"),AH$22,INDIRECT("'["&amp;НАСТРОЙКИ!$D$7&amp;"]КРЕДИТЫ'!$S$61:$EO$61")))/1000000,0))</f>
        <v>0</v>
      </c>
      <c r="AI84" s="35">
        <f ca="1">IF(НАСТРОЙКИ!$B$7&lt;&gt;"Да",0,IFERROR((SUMIF(INDIRECT("'["&amp;НАСТРОЙКИ!$D$7&amp;"]КРЕДИТЫ'!$S$3:$EO$3"),AI$22,INDIRECT("'["&amp;НАСТРОЙКИ!$D$7&amp;"]КРЕДИТЫ'!$S$40:$EO$40"))+SUMIF(INDIRECT("'["&amp;НАСТРОЙКИ!$D$7&amp;"]КРЕДИТЫ'!$S$3:$EO$3"),AI$22,INDIRECT("'["&amp;НАСТРОЙКИ!$D$7&amp;"]КРЕДИТЫ'!$S$61:$EO$61")))/1000000,0))</f>
        <v>0</v>
      </c>
      <c r="AJ84" s="35">
        <f ca="1">IF(НАСТРОЙКИ!$B$7&lt;&gt;"Да",0,IFERROR((SUMIF(INDIRECT("'["&amp;НАСТРОЙКИ!$D$7&amp;"]КРЕДИТЫ'!$S$3:$EO$3"),AJ$22,INDIRECT("'["&amp;НАСТРОЙКИ!$D$7&amp;"]КРЕДИТЫ'!$S$40:$EO$40"))+SUMIF(INDIRECT("'["&amp;НАСТРОЙКИ!$D$7&amp;"]КРЕДИТЫ'!$S$3:$EO$3"),AJ$22,INDIRECT("'["&amp;НАСТРОЙКИ!$D$7&amp;"]КРЕДИТЫ'!$S$61:$EO$61")))/1000000,0))</f>
        <v>0</v>
      </c>
      <c r="AK84" s="35">
        <f ca="1">IF(НАСТРОЙКИ!$B$7&lt;&gt;"Да",0,IFERROR((SUMIF(INDIRECT("'["&amp;НАСТРОЙКИ!$D$7&amp;"]КРЕДИТЫ'!$S$3:$EO$3"),AK$22,INDIRECT("'["&amp;НАСТРОЙКИ!$D$7&amp;"]КРЕДИТЫ'!$S$40:$EO$40"))+SUMIF(INDIRECT("'["&amp;НАСТРОЙКИ!$D$7&amp;"]КРЕДИТЫ'!$S$3:$EO$3"),AK$22,INDIRECT("'["&amp;НАСТРОЙКИ!$D$7&amp;"]КРЕДИТЫ'!$S$61:$EO$61")))/1000000,0))</f>
        <v>0</v>
      </c>
      <c r="AL84" s="35">
        <f ca="1">IF(НАСТРОЙКИ!$B$7&lt;&gt;"Да",0,IFERROR((SUMIF(INDIRECT("'["&amp;НАСТРОЙКИ!$D$7&amp;"]КРЕДИТЫ'!$S$3:$EO$3"),AL$22,INDIRECT("'["&amp;НАСТРОЙКИ!$D$7&amp;"]КРЕДИТЫ'!$S$40:$EO$40"))+SUMIF(INDIRECT("'["&amp;НАСТРОЙКИ!$D$7&amp;"]КРЕДИТЫ'!$S$3:$EO$3"),AL$22,INDIRECT("'["&amp;НАСТРОЙКИ!$D$7&amp;"]КРЕДИТЫ'!$S$61:$EO$61")))/1000000,0))</f>
        <v>0</v>
      </c>
      <c r="AM84" s="35">
        <f ca="1">IF(НАСТРОЙКИ!$B$7&lt;&gt;"Да",0,IFERROR((SUMIF(INDIRECT("'["&amp;НАСТРОЙКИ!$D$7&amp;"]КРЕДИТЫ'!$S$3:$EO$3"),AM$22,INDIRECT("'["&amp;НАСТРОЙКИ!$D$7&amp;"]КРЕДИТЫ'!$S$40:$EO$40"))+SUMIF(INDIRECT("'["&amp;НАСТРОЙКИ!$D$7&amp;"]КРЕДИТЫ'!$S$3:$EO$3"),AM$22,INDIRECT("'["&amp;НАСТРОЙКИ!$D$7&amp;"]КРЕДИТЫ'!$S$61:$EO$61")))/1000000,0))</f>
        <v>0</v>
      </c>
      <c r="AN84" s="35">
        <f ca="1">IF(НАСТРОЙКИ!$B$7&lt;&gt;"Да",0,IFERROR((SUMIF(INDIRECT("'["&amp;НАСТРОЙКИ!$D$7&amp;"]КРЕДИТЫ'!$S$3:$EO$3"),AN$22,INDIRECT("'["&amp;НАСТРОЙКИ!$D$7&amp;"]КРЕДИТЫ'!$S$40:$EO$40"))+SUMIF(INDIRECT("'["&amp;НАСТРОЙКИ!$D$7&amp;"]КРЕДИТЫ'!$S$3:$EO$3"),AN$22,INDIRECT("'["&amp;НАСТРОЙКИ!$D$7&amp;"]КРЕДИТЫ'!$S$61:$EO$61")))/1000000,0))</f>
        <v>0</v>
      </c>
      <c r="AO84" s="35">
        <f ca="1">IF(НАСТРОЙКИ!$B$7&lt;&gt;"Да",0,IFERROR((SUMIF(INDIRECT("'["&amp;НАСТРОЙКИ!$D$7&amp;"]КРЕДИТЫ'!$S$3:$EO$3"),AO$22,INDIRECT("'["&amp;НАСТРОЙКИ!$D$7&amp;"]КРЕДИТЫ'!$S$40:$EO$40"))+SUMIF(INDIRECT("'["&amp;НАСТРОЙКИ!$D$7&amp;"]КРЕДИТЫ'!$S$3:$EO$3"),AO$22,INDIRECT("'["&amp;НАСТРОЙКИ!$D$7&amp;"]КРЕДИТЫ'!$S$61:$EO$61")))/1000000,0))</f>
        <v>0</v>
      </c>
      <c r="AP84" s="35">
        <f ca="1">IF(НАСТРОЙКИ!$B$7&lt;&gt;"Да",0,IFERROR((SUMIF(INDIRECT("'["&amp;НАСТРОЙКИ!$D$7&amp;"]КРЕДИТЫ'!$S$3:$EO$3"),AP$22,INDIRECT("'["&amp;НАСТРОЙКИ!$D$7&amp;"]КРЕДИТЫ'!$S$40:$EO$40"))+SUMIF(INDIRECT("'["&amp;НАСТРОЙКИ!$D$7&amp;"]КРЕДИТЫ'!$S$3:$EO$3"),AP$22,INDIRECT("'["&amp;НАСТРОЙКИ!$D$7&amp;"]КРЕДИТЫ'!$S$61:$EO$61")))/1000000,0))</f>
        <v>0</v>
      </c>
      <c r="AQ84" s="35">
        <f ca="1">IF(НАСТРОЙКИ!$B$7&lt;&gt;"Да",0,IFERROR((SUMIF(INDIRECT("'["&amp;НАСТРОЙКИ!$D$7&amp;"]КРЕДИТЫ'!$S$3:$EO$3"),AQ$22,INDIRECT("'["&amp;НАСТРОЙКИ!$D$7&amp;"]КРЕДИТЫ'!$S$40:$EO$40"))+SUMIF(INDIRECT("'["&amp;НАСТРОЙКИ!$D$7&amp;"]КРЕДИТЫ'!$S$3:$EO$3"),AQ$22,INDIRECT("'["&amp;НАСТРОЙКИ!$D$7&amp;"]КРЕДИТЫ'!$S$61:$EO$61")))/1000000,0))</f>
        <v>0</v>
      </c>
      <c r="AR84" s="35">
        <f ca="1">IF(НАСТРОЙКИ!$B$7&lt;&gt;"Да",0,IFERROR((SUMIF(INDIRECT("'["&amp;НАСТРОЙКИ!$D$7&amp;"]КРЕДИТЫ'!$S$3:$EO$3"),AR$22,INDIRECT("'["&amp;НАСТРОЙКИ!$D$7&amp;"]КРЕДИТЫ'!$S$40:$EO$40"))+SUMIF(INDIRECT("'["&amp;НАСТРОЙКИ!$D$7&amp;"]КРЕДИТЫ'!$S$3:$EO$3"),AR$22,INDIRECT("'["&amp;НАСТРОЙКИ!$D$7&amp;"]КРЕДИТЫ'!$S$61:$EO$61")))/1000000,0))</f>
        <v>0</v>
      </c>
      <c r="AS84" s="35">
        <f ca="1">IF(НАСТРОЙКИ!$B$7&lt;&gt;"Да",0,IFERROR((SUMIF(INDIRECT("'["&amp;НАСТРОЙКИ!$D$7&amp;"]КРЕДИТЫ'!$S$3:$EO$3"),AS$22,INDIRECT("'["&amp;НАСТРОЙКИ!$D$7&amp;"]КРЕДИТЫ'!$S$40:$EO$40"))+SUMIF(INDIRECT("'["&amp;НАСТРОЙКИ!$D$7&amp;"]КРЕДИТЫ'!$S$3:$EO$3"),AS$22,INDIRECT("'["&amp;НАСТРОЙКИ!$D$7&amp;"]КРЕДИТЫ'!$S$61:$EO$61")))/1000000,0))</f>
        <v>-846.52291598325223</v>
      </c>
      <c r="AT84" s="35">
        <f ca="1">IF(НАСТРОЙКИ!$B$7&lt;&gt;"Да",0,IFERROR((SUMIF(INDIRECT("'["&amp;НАСТРОЙКИ!$D$7&amp;"]КРЕДИТЫ'!$S$3:$EO$3"),AT$22,INDIRECT("'["&amp;НАСТРОЙКИ!$D$7&amp;"]КРЕДИТЫ'!$S$40:$EO$40"))+SUMIF(INDIRECT("'["&amp;НАСТРОЙКИ!$D$7&amp;"]КРЕДИТЫ'!$S$3:$EO$3"),AT$22,INDIRECT("'["&amp;НАСТРОЙКИ!$D$7&amp;"]КРЕДИТЫ'!$S$61:$EO$61")))/1000000,0))</f>
        <v>0</v>
      </c>
      <c r="AU84" s="35">
        <f ca="1">IF(НАСТРОЙКИ!$B$7&lt;&gt;"Да",0,IFERROR((SUMIF(INDIRECT("'["&amp;НАСТРОЙКИ!$D$7&amp;"]КРЕДИТЫ'!$S$3:$EO$3"),AU$22,INDIRECT("'["&amp;НАСТРОЙКИ!$D$7&amp;"]КРЕДИТЫ'!$S$40:$EO$40"))+SUMIF(INDIRECT("'["&amp;НАСТРОЙКИ!$D$7&amp;"]КРЕДИТЫ'!$S$3:$EO$3"),AU$22,INDIRECT("'["&amp;НАСТРОЙКИ!$D$7&amp;"]КРЕДИТЫ'!$S$61:$EO$61")))/1000000,0))</f>
        <v>0</v>
      </c>
      <c r="AV84" s="35">
        <f ca="1">IF(НАСТРОЙКИ!$B$7&lt;&gt;"Да",0,IFERROR((SUMIF(INDIRECT("'["&amp;НАСТРОЙКИ!$D$7&amp;"]КРЕДИТЫ'!$S$3:$EO$3"),AV$22,INDIRECT("'["&amp;НАСТРОЙКИ!$D$7&amp;"]КРЕДИТЫ'!$S$40:$EO$40"))+SUMIF(INDIRECT("'["&amp;НАСТРОЙКИ!$D$7&amp;"]КРЕДИТЫ'!$S$3:$EO$3"),AV$22,INDIRECT("'["&amp;НАСТРОЙКИ!$D$7&amp;"]КРЕДИТЫ'!$S$61:$EO$61")))/1000000,0))</f>
        <v>0</v>
      </c>
      <c r="AW84" s="35">
        <f ca="1">IF(НАСТРОЙКИ!$B$7&lt;&gt;"Да",0,IFERROR((SUMIF(INDIRECT("'["&amp;НАСТРОЙКИ!$D$7&amp;"]КРЕДИТЫ'!$S$3:$EO$3"),AW$22,INDIRECT("'["&amp;НАСТРОЙКИ!$D$7&amp;"]КРЕДИТЫ'!$S$40:$EO$40"))+SUMIF(INDIRECT("'["&amp;НАСТРОЙКИ!$D$7&amp;"]КРЕДИТЫ'!$S$3:$EO$3"),AW$22,INDIRECT("'["&amp;НАСТРОЙКИ!$D$7&amp;"]КРЕДИТЫ'!$S$61:$EO$61")))/1000000,0))</f>
        <v>0</v>
      </c>
      <c r="AX84" s="35">
        <f ca="1">IF(НАСТРОЙКИ!$B$7&lt;&gt;"Да",0,IFERROR((SUMIF(INDIRECT("'["&amp;НАСТРОЙКИ!$D$7&amp;"]КРЕДИТЫ'!$S$3:$EO$3"),AX$22,INDIRECT("'["&amp;НАСТРОЙКИ!$D$7&amp;"]КРЕДИТЫ'!$S$40:$EO$40"))+SUMIF(INDIRECT("'["&amp;НАСТРОЙКИ!$D$7&amp;"]КРЕДИТЫ'!$S$3:$EO$3"),AX$22,INDIRECT("'["&amp;НАСТРОЙКИ!$D$7&amp;"]КРЕДИТЫ'!$S$61:$EO$61")))/1000000,0))</f>
        <v>0</v>
      </c>
      <c r="AY84" s="35">
        <f ca="1">IF(НАСТРОЙКИ!$B$7&lt;&gt;"Да",0,IFERROR((SUMIF(INDIRECT("'["&amp;НАСТРОЙКИ!$D$7&amp;"]КРЕДИТЫ'!$S$3:$EO$3"),AY$22,INDIRECT("'["&amp;НАСТРОЙКИ!$D$7&amp;"]КРЕДИТЫ'!$S$40:$EO$40"))+SUMIF(INDIRECT("'["&amp;НАСТРОЙКИ!$D$7&amp;"]КРЕДИТЫ'!$S$3:$EO$3"),AY$22,INDIRECT("'["&amp;НАСТРОЙКИ!$D$7&amp;"]КРЕДИТЫ'!$S$61:$EO$61")))/1000000,0))</f>
        <v>0</v>
      </c>
      <c r="AZ84" s="35">
        <f ca="1">IF(НАСТРОЙКИ!$B$7&lt;&gt;"Да",0,IFERROR((SUMIF(INDIRECT("'["&amp;НАСТРОЙКИ!$D$7&amp;"]КРЕДИТЫ'!$S$3:$EO$3"),AZ$22,INDIRECT("'["&amp;НАСТРОЙКИ!$D$7&amp;"]КРЕДИТЫ'!$S$40:$EO$40"))+SUMIF(INDIRECT("'["&amp;НАСТРОЙКИ!$D$7&amp;"]КРЕДИТЫ'!$S$3:$EO$3"),AZ$22,INDIRECT("'["&amp;НАСТРОЙКИ!$D$7&amp;"]КРЕДИТЫ'!$S$61:$EO$61")))/1000000,0))</f>
        <v>0</v>
      </c>
      <c r="BA84" s="35">
        <f ca="1">IF(НАСТРОЙКИ!$B$7&lt;&gt;"Да",0,IFERROR((SUMIF(INDIRECT("'["&amp;НАСТРОЙКИ!$D$7&amp;"]КРЕДИТЫ'!$S$3:$EO$3"),BA$22,INDIRECT("'["&amp;НАСТРОЙКИ!$D$7&amp;"]КРЕДИТЫ'!$S$40:$EO$40"))+SUMIF(INDIRECT("'["&amp;НАСТРОЙКИ!$D$7&amp;"]КРЕДИТЫ'!$S$3:$EO$3"),BA$22,INDIRECT("'["&amp;НАСТРОЙКИ!$D$7&amp;"]КРЕДИТЫ'!$S$61:$EO$61")))/1000000,0))</f>
        <v>0</v>
      </c>
      <c r="BB84" s="35">
        <f ca="1">IF(НАСТРОЙКИ!$B$7&lt;&gt;"Да",0,IFERROR((SUMIF(INDIRECT("'["&amp;НАСТРОЙКИ!$D$7&amp;"]КРЕДИТЫ'!$S$3:$EO$3"),BB$22,INDIRECT("'["&amp;НАСТРОЙКИ!$D$7&amp;"]КРЕДИТЫ'!$S$40:$EO$40"))+SUMIF(INDIRECT("'["&amp;НАСТРОЙКИ!$D$7&amp;"]КРЕДИТЫ'!$S$3:$EO$3"),BB$22,INDIRECT("'["&amp;НАСТРОЙКИ!$D$7&amp;"]КРЕДИТЫ'!$S$61:$EO$61")))/1000000,0))</f>
        <v>0</v>
      </c>
      <c r="BC84" s="35">
        <f ca="1">IF(НАСТРОЙКИ!$B$7&lt;&gt;"Да",0,IFERROR((SUMIF(INDIRECT("'["&amp;НАСТРОЙКИ!$D$7&amp;"]КРЕДИТЫ'!$S$3:$EO$3"),BC$22,INDIRECT("'["&amp;НАСТРОЙКИ!$D$7&amp;"]КРЕДИТЫ'!$S$40:$EO$40"))+SUMIF(INDIRECT("'["&amp;НАСТРОЙКИ!$D$7&amp;"]КРЕДИТЫ'!$S$3:$EO$3"),BC$22,INDIRECT("'["&amp;НАСТРОЙКИ!$D$7&amp;"]КРЕДИТЫ'!$S$61:$EO$61")))/1000000,0))</f>
        <v>0</v>
      </c>
      <c r="BD84" s="35">
        <f ca="1">IF(НАСТРОЙКИ!$B$7&lt;&gt;"Да",0,IFERROR((SUMIF(INDIRECT("'["&amp;НАСТРОЙКИ!$D$7&amp;"]КРЕДИТЫ'!$S$3:$EO$3"),BD$22,INDIRECT("'["&amp;НАСТРОЙКИ!$D$7&amp;"]КРЕДИТЫ'!$S$40:$EO$40"))+SUMIF(INDIRECT("'["&amp;НАСТРОЙКИ!$D$7&amp;"]КРЕДИТЫ'!$S$3:$EO$3"),BD$22,INDIRECT("'["&amp;НАСТРОЙКИ!$D$7&amp;"]КРЕДИТЫ'!$S$61:$EO$61")))/1000000,0))</f>
        <v>0</v>
      </c>
      <c r="BE84" s="35">
        <f ca="1">IF(НАСТРОЙКИ!$B$7&lt;&gt;"Да",0,IFERROR((SUMIF(INDIRECT("'["&amp;НАСТРОЙКИ!$D$7&amp;"]КРЕДИТЫ'!$S$3:$EO$3"),BE$22,INDIRECT("'["&amp;НАСТРОЙКИ!$D$7&amp;"]КРЕДИТЫ'!$S$40:$EO$40"))+SUMIF(INDIRECT("'["&amp;НАСТРОЙКИ!$D$7&amp;"]КРЕДИТЫ'!$S$3:$EO$3"),BE$22,INDIRECT("'["&amp;НАСТРОЙКИ!$D$7&amp;"]КРЕДИТЫ'!$S$61:$EO$61")))/1000000,0))</f>
        <v>0</v>
      </c>
      <c r="BF84" s="35">
        <f ca="1">IF(НАСТРОЙКИ!$B$7&lt;&gt;"Да",0,IFERROR((SUMIF(INDIRECT("'["&amp;НАСТРОЙКИ!$D$7&amp;"]КРЕДИТЫ'!$S$3:$EO$3"),BF$22,INDIRECT("'["&amp;НАСТРОЙКИ!$D$7&amp;"]КРЕДИТЫ'!$S$40:$EO$40"))+SUMIF(INDIRECT("'["&amp;НАСТРОЙКИ!$D$7&amp;"]КРЕДИТЫ'!$S$3:$EO$3"),BF$22,INDIRECT("'["&amp;НАСТРОЙКИ!$D$7&amp;"]КРЕДИТЫ'!$S$61:$EO$61")))/1000000,0))</f>
        <v>0</v>
      </c>
      <c r="BG84" s="35">
        <f ca="1">IF(НАСТРОЙКИ!$B$7&lt;&gt;"Да",0,IFERROR((SUMIF(INDIRECT("'["&amp;НАСТРОЙКИ!$D$7&amp;"]КРЕДИТЫ'!$S$3:$EO$3"),BG$22,INDIRECT("'["&amp;НАСТРОЙКИ!$D$7&amp;"]КРЕДИТЫ'!$S$40:$EO$40"))+SUMIF(INDIRECT("'["&amp;НАСТРОЙКИ!$D$7&amp;"]КРЕДИТЫ'!$S$3:$EO$3"),BG$22,INDIRECT("'["&amp;НАСТРОЙКИ!$D$7&amp;"]КРЕДИТЫ'!$S$61:$EO$61")))/1000000,0))</f>
        <v>0</v>
      </c>
      <c r="BH84" s="35">
        <f ca="1">IF(НАСТРОЙКИ!$B$7&lt;&gt;"Да",0,IFERROR((SUMIF(INDIRECT("'["&amp;НАСТРОЙКИ!$D$7&amp;"]КРЕДИТЫ'!$S$3:$EO$3"),BH$22,INDIRECT("'["&amp;НАСТРОЙКИ!$D$7&amp;"]КРЕДИТЫ'!$S$40:$EO$40"))+SUMIF(INDIRECT("'["&amp;НАСТРОЙКИ!$D$7&amp;"]КРЕДИТЫ'!$S$3:$EO$3"),BH$22,INDIRECT("'["&amp;НАСТРОЙКИ!$D$7&amp;"]КРЕДИТЫ'!$S$61:$EO$61")))/1000000,0))</f>
        <v>0</v>
      </c>
      <c r="BI84" s="35">
        <f ca="1">IF(НАСТРОЙКИ!$B$7&lt;&gt;"Да",0,IFERROR((SUMIF(INDIRECT("'["&amp;НАСТРОЙКИ!$D$7&amp;"]КРЕДИТЫ'!$S$3:$EO$3"),BI$22,INDIRECT("'["&amp;НАСТРОЙКИ!$D$7&amp;"]КРЕДИТЫ'!$S$40:$EO$40"))+SUMIF(INDIRECT("'["&amp;НАСТРОЙКИ!$D$7&amp;"]КРЕДИТЫ'!$S$3:$EO$3"),BI$22,INDIRECT("'["&amp;НАСТРОЙКИ!$D$7&amp;"]КРЕДИТЫ'!$S$61:$EO$61")))/1000000,0))</f>
        <v>0</v>
      </c>
      <c r="BJ84" s="35">
        <f ca="1">IF(НАСТРОЙКИ!$B$7&lt;&gt;"Да",0,IFERROR((SUMIF(INDIRECT("'["&amp;НАСТРОЙКИ!$D$7&amp;"]КРЕДИТЫ'!$S$3:$EO$3"),BJ$22,INDIRECT("'["&amp;НАСТРОЙКИ!$D$7&amp;"]КРЕДИТЫ'!$S$40:$EO$40"))+SUMIF(INDIRECT("'["&amp;НАСТРОЙКИ!$D$7&amp;"]КРЕДИТЫ'!$S$3:$EO$3"),BJ$22,INDIRECT("'["&amp;НАСТРОЙКИ!$D$7&amp;"]КРЕДИТЫ'!$S$61:$EO$61")))/1000000,0))</f>
        <v>0</v>
      </c>
      <c r="BK84" s="35">
        <f ca="1">IF(НАСТРОЙКИ!$B$7&lt;&gt;"Да",0,IFERROR((SUMIF(INDIRECT("'["&amp;НАСТРОЙКИ!$D$7&amp;"]КРЕДИТЫ'!$S$3:$EO$3"),BK$22,INDIRECT("'["&amp;НАСТРОЙКИ!$D$7&amp;"]КРЕДИТЫ'!$S$40:$EO$40"))+SUMIF(INDIRECT("'["&amp;НАСТРОЙКИ!$D$7&amp;"]КРЕДИТЫ'!$S$3:$EO$3"),BK$22,INDIRECT("'["&amp;НАСТРОЙКИ!$D$7&amp;"]КРЕДИТЫ'!$S$61:$EO$61")))/1000000,0))</f>
        <v>0</v>
      </c>
      <c r="BL84" s="35">
        <f ca="1">IF(НАСТРОЙКИ!$B$7&lt;&gt;"Да",0,IFERROR((SUMIF(INDIRECT("'["&amp;НАСТРОЙКИ!$D$7&amp;"]КРЕДИТЫ'!$S$3:$EO$3"),BL$22,INDIRECT("'["&amp;НАСТРОЙКИ!$D$7&amp;"]КРЕДИТЫ'!$S$40:$EO$40"))+SUMIF(INDIRECT("'["&amp;НАСТРОЙКИ!$D$7&amp;"]КРЕДИТЫ'!$S$3:$EO$3"),BL$22,INDIRECT("'["&amp;НАСТРОЙКИ!$D$7&amp;"]КРЕДИТЫ'!$S$61:$EO$61")))/1000000,0))</f>
        <v>0</v>
      </c>
      <c r="BM84" s="35">
        <f ca="1">IF(НАСТРОЙКИ!$B$7&lt;&gt;"Да",0,IFERROR((SUMIF(INDIRECT("'["&amp;НАСТРОЙКИ!$D$7&amp;"]КРЕДИТЫ'!$S$3:$EO$3"),BM$22,INDIRECT("'["&amp;НАСТРОЙКИ!$D$7&amp;"]КРЕДИТЫ'!$S$40:$EO$40"))+SUMIF(INDIRECT("'["&amp;НАСТРОЙКИ!$D$7&amp;"]КРЕДИТЫ'!$S$3:$EO$3"),BM$22,INDIRECT("'["&amp;НАСТРОЙКИ!$D$7&amp;"]КРЕДИТЫ'!$S$61:$EO$61")))/1000000,0))</f>
        <v>0</v>
      </c>
      <c r="BN84" s="35">
        <f ca="1">IF(НАСТРОЙКИ!$B$7&lt;&gt;"Да",0,IFERROR((SUMIF(INDIRECT("'["&amp;НАСТРОЙКИ!$D$7&amp;"]КРЕДИТЫ'!$S$3:$EO$3"),BN$22,INDIRECT("'["&amp;НАСТРОЙКИ!$D$7&amp;"]КРЕДИТЫ'!$S$40:$EO$40"))+SUMIF(INDIRECT("'["&amp;НАСТРОЙКИ!$D$7&amp;"]КРЕДИТЫ'!$S$3:$EO$3"),BN$22,INDIRECT("'["&amp;НАСТРОЙКИ!$D$7&amp;"]КРЕДИТЫ'!$S$61:$EO$61")))/1000000,0))</f>
        <v>0</v>
      </c>
      <c r="BO84" s="35">
        <f ca="1">IF(НАСТРОЙКИ!$B$7&lt;&gt;"Да",0,IFERROR((SUMIF(INDIRECT("'["&amp;НАСТРОЙКИ!$D$7&amp;"]КРЕДИТЫ'!$S$3:$EO$3"),BO$22,INDIRECT("'["&amp;НАСТРОЙКИ!$D$7&amp;"]КРЕДИТЫ'!$S$40:$EO$40"))+SUMIF(INDIRECT("'["&amp;НАСТРОЙКИ!$D$7&amp;"]КРЕДИТЫ'!$S$3:$EO$3"),BO$22,INDIRECT("'["&amp;НАСТРОЙКИ!$D$7&amp;"]КРЕДИТЫ'!$S$61:$EO$61")))/1000000,0))</f>
        <v>0</v>
      </c>
      <c r="BP84" s="35">
        <f ca="1">IF(НАСТРОЙКИ!$B$7&lt;&gt;"Да",0,IFERROR((SUMIF(INDIRECT("'["&amp;НАСТРОЙКИ!$D$7&amp;"]КРЕДИТЫ'!$S$3:$EO$3"),BP$22,INDIRECT("'["&amp;НАСТРОЙКИ!$D$7&amp;"]КРЕДИТЫ'!$S$40:$EO$40"))+SUMIF(INDIRECT("'["&amp;НАСТРОЙКИ!$D$7&amp;"]КРЕДИТЫ'!$S$3:$EO$3"),BP$22,INDIRECT("'["&amp;НАСТРОЙКИ!$D$7&amp;"]КРЕДИТЫ'!$S$61:$EO$61")))/1000000,0))</f>
        <v>0</v>
      </c>
      <c r="BQ84" s="35">
        <f ca="1">IF(НАСТРОЙКИ!$B$7&lt;&gt;"Да",0,IFERROR((SUMIF(INDIRECT("'["&amp;НАСТРОЙКИ!$D$7&amp;"]КРЕДИТЫ'!$S$3:$EO$3"),BQ$22,INDIRECT("'["&amp;НАСТРОЙКИ!$D$7&amp;"]КРЕДИТЫ'!$S$40:$EO$40"))+SUMIF(INDIRECT("'["&amp;НАСТРОЙКИ!$D$7&amp;"]КРЕДИТЫ'!$S$3:$EO$3"),BQ$22,INDIRECT("'["&amp;НАСТРОЙКИ!$D$7&amp;"]КРЕДИТЫ'!$S$61:$EO$61")))/1000000,0))</f>
        <v>-23843.8158612357</v>
      </c>
      <c r="BR84" s="35">
        <f ca="1">IF(НАСТРОЙКИ!$B$7&lt;&gt;"Да",0,IFERROR((SUMIF(INDIRECT("'["&amp;НАСТРОЙКИ!$D$7&amp;"]КРЕДИТЫ'!$S$3:$EO$3"),BR$22,INDIRECT("'["&amp;НАСТРОЙКИ!$D$7&amp;"]КРЕДИТЫ'!$S$40:$EO$40"))+SUMIF(INDIRECT("'["&amp;НАСТРОЙКИ!$D$7&amp;"]КРЕДИТЫ'!$S$3:$EO$3"),BR$22,INDIRECT("'["&amp;НАСТРОЙКИ!$D$7&amp;"]КРЕДИТЫ'!$S$61:$EO$61")))/1000000,0))</f>
        <v>0</v>
      </c>
      <c r="BS84" s="35">
        <f ca="1">IF(НАСТРОЙКИ!$B$7&lt;&gt;"Да",0,IFERROR((SUMIF(INDIRECT("'["&amp;НАСТРОЙКИ!$D$7&amp;"]КРЕДИТЫ'!$S$3:$EO$3"),BS$22,INDIRECT("'["&amp;НАСТРОЙКИ!$D$7&amp;"]КРЕДИТЫ'!$S$40:$EO$40"))+SUMIF(INDIRECT("'["&amp;НАСТРОЙКИ!$D$7&amp;"]КРЕДИТЫ'!$S$3:$EO$3"),BS$22,INDIRECT("'["&amp;НАСТРОЙКИ!$D$7&amp;"]КРЕДИТЫ'!$S$61:$EO$61")))/1000000,0))</f>
        <v>0</v>
      </c>
      <c r="BT84" s="35">
        <f ca="1">IF(НАСТРОЙКИ!$B$7&lt;&gt;"Да",0,IFERROR((SUMIF(INDIRECT("'["&amp;НАСТРОЙКИ!$D$7&amp;"]КРЕДИТЫ'!$S$3:$EO$3"),BT$22,INDIRECT("'["&amp;НАСТРОЙКИ!$D$7&amp;"]КРЕДИТЫ'!$S$40:$EO$40"))+SUMIF(INDIRECT("'["&amp;НАСТРОЙКИ!$D$7&amp;"]КРЕДИТЫ'!$S$3:$EO$3"),BT$22,INDIRECT("'["&amp;НАСТРОЙКИ!$D$7&amp;"]КРЕДИТЫ'!$S$61:$EO$61")))/1000000,0))</f>
        <v>0</v>
      </c>
      <c r="BU84" s="35">
        <f ca="1">IF(НАСТРОЙКИ!$B$7&lt;&gt;"Да",0,IFERROR((SUMIF(INDIRECT("'["&amp;НАСТРОЙКИ!$D$7&amp;"]КРЕДИТЫ'!$S$3:$EO$3"),BU$22,INDIRECT("'["&amp;НАСТРОЙКИ!$D$7&amp;"]КРЕДИТЫ'!$S$40:$EO$40"))+SUMIF(INDIRECT("'["&amp;НАСТРОЙКИ!$D$7&amp;"]КРЕДИТЫ'!$S$3:$EO$3"),BU$22,INDIRECT("'["&amp;НАСТРОЙКИ!$D$7&amp;"]КРЕДИТЫ'!$S$61:$EO$61")))/1000000,0))</f>
        <v>0</v>
      </c>
      <c r="BV84" s="35">
        <f ca="1">IF(НАСТРОЙКИ!$B$7&lt;&gt;"Да",0,IFERROR((SUMIF(INDIRECT("'["&amp;НАСТРОЙКИ!$D$7&amp;"]КРЕДИТЫ'!$S$3:$EO$3"),BV$22,INDIRECT("'["&amp;НАСТРОЙКИ!$D$7&amp;"]КРЕДИТЫ'!$S$40:$EO$40"))+SUMIF(INDIRECT("'["&amp;НАСТРОЙКИ!$D$7&amp;"]КРЕДИТЫ'!$S$3:$EO$3"),BV$22,INDIRECT("'["&amp;НАСТРОЙКИ!$D$7&amp;"]КРЕДИТЫ'!$S$61:$EO$61")))/1000000,0))</f>
        <v>0</v>
      </c>
      <c r="BW84" s="35">
        <f ca="1">IF(НАСТРОЙКИ!$B$7&lt;&gt;"Да",0,IFERROR((SUMIF(INDIRECT("'["&amp;НАСТРОЙКИ!$D$7&amp;"]КРЕДИТЫ'!$S$3:$EO$3"),BW$22,INDIRECT("'["&amp;НАСТРОЙКИ!$D$7&amp;"]КРЕДИТЫ'!$S$40:$EO$40"))+SUMIF(INDIRECT("'["&amp;НАСТРОЙКИ!$D$7&amp;"]КРЕДИТЫ'!$S$3:$EO$3"),BW$22,INDIRECT("'["&amp;НАСТРОЙКИ!$D$7&amp;"]КРЕДИТЫ'!$S$61:$EO$61")))/1000000,0))</f>
        <v>0</v>
      </c>
      <c r="BX84" s="35">
        <f ca="1">IF(НАСТРОЙКИ!$B$7&lt;&gt;"Да",0,IFERROR((SUMIF(INDIRECT("'["&amp;НАСТРОЙКИ!$D$7&amp;"]КРЕДИТЫ'!$S$3:$EO$3"),BX$22,INDIRECT("'["&amp;НАСТРОЙКИ!$D$7&amp;"]КРЕДИТЫ'!$S$40:$EO$40"))+SUMIF(INDIRECT("'["&amp;НАСТРОЙКИ!$D$7&amp;"]КРЕДИТЫ'!$S$3:$EO$3"),BX$22,INDIRECT("'["&amp;НАСТРОЙКИ!$D$7&amp;"]КРЕДИТЫ'!$S$61:$EO$61")))/1000000,0))</f>
        <v>0</v>
      </c>
      <c r="BY84" s="35">
        <f ca="1">IF(НАСТРОЙКИ!$B$7&lt;&gt;"Да",0,IFERROR((SUMIF(INDIRECT("'["&amp;НАСТРОЙКИ!$D$7&amp;"]КРЕДИТЫ'!$S$3:$EO$3"),BY$22,INDIRECT("'["&amp;НАСТРОЙКИ!$D$7&amp;"]КРЕДИТЫ'!$S$40:$EO$40"))+SUMIF(INDIRECT("'["&amp;НАСТРОЙКИ!$D$7&amp;"]КРЕДИТЫ'!$S$3:$EO$3"),BY$22,INDIRECT("'["&amp;НАСТРОЙКИ!$D$7&amp;"]КРЕДИТЫ'!$S$61:$EO$61")))/1000000,0))</f>
        <v>0</v>
      </c>
      <c r="BZ84" s="35">
        <f ca="1">IF(НАСТРОЙКИ!$B$7&lt;&gt;"Да",0,IFERROR((SUMIF(INDIRECT("'["&amp;НАСТРОЙКИ!$D$7&amp;"]КРЕДИТЫ'!$S$3:$EO$3"),BZ$22,INDIRECT("'["&amp;НАСТРОЙКИ!$D$7&amp;"]КРЕДИТЫ'!$S$40:$EO$40"))+SUMIF(INDIRECT("'["&amp;НАСТРОЙКИ!$D$7&amp;"]КРЕДИТЫ'!$S$3:$EO$3"),BZ$22,INDIRECT("'["&amp;НАСТРОЙКИ!$D$7&amp;"]КРЕДИТЫ'!$S$61:$EO$61")))/1000000,0))</f>
        <v>0</v>
      </c>
      <c r="CA84" s="35">
        <f ca="1">IF(НАСТРОЙКИ!$B$7&lt;&gt;"Да",0,IFERROR((SUMIF(INDIRECT("'["&amp;НАСТРОЙКИ!$D$7&amp;"]КРЕДИТЫ'!$S$3:$EO$3"),CA$22,INDIRECT("'["&amp;НАСТРОЙКИ!$D$7&amp;"]КРЕДИТЫ'!$S$40:$EO$40"))+SUMIF(INDIRECT("'["&amp;НАСТРОЙКИ!$D$7&amp;"]КРЕДИТЫ'!$S$3:$EO$3"),CA$22,INDIRECT("'["&amp;НАСТРОЙКИ!$D$7&amp;"]КРЕДИТЫ'!$S$61:$EO$61")))/1000000,0))</f>
        <v>0</v>
      </c>
      <c r="CB84" s="35">
        <f ca="1">IF(НАСТРОЙКИ!$B$7&lt;&gt;"Да",0,IFERROR((SUMIF(INDIRECT("'["&amp;НАСТРОЙКИ!$D$7&amp;"]КРЕДИТЫ'!$S$3:$EO$3"),CB$22,INDIRECT("'["&amp;НАСТРОЙКИ!$D$7&amp;"]КРЕДИТЫ'!$S$40:$EO$40"))+SUMIF(INDIRECT("'["&amp;НАСТРОЙКИ!$D$7&amp;"]КРЕДИТЫ'!$S$3:$EO$3"),CB$22,INDIRECT("'["&amp;НАСТРОЙКИ!$D$7&amp;"]КРЕДИТЫ'!$S$61:$EO$61")))/1000000,0))</f>
        <v>0</v>
      </c>
      <c r="CC84" s="35">
        <f ca="1">IF(НАСТРОЙКИ!$B$7&lt;&gt;"Да",0,IFERROR((SUMIF(INDIRECT("'["&amp;НАСТРОЙКИ!$D$7&amp;"]КРЕДИТЫ'!$S$3:$EO$3"),CC$22,INDIRECT("'["&amp;НАСТРОЙКИ!$D$7&amp;"]КРЕДИТЫ'!$S$40:$EO$40"))+SUMIF(INDIRECT("'["&amp;НАСТРОЙКИ!$D$7&amp;"]КРЕДИТЫ'!$S$3:$EO$3"),CC$22,INDIRECT("'["&amp;НАСТРОЙКИ!$D$7&amp;"]КРЕДИТЫ'!$S$61:$EO$61")))/1000000,0))</f>
        <v>0</v>
      </c>
      <c r="CD84" s="35">
        <f ca="1">IF(НАСТРОЙКИ!$B$7&lt;&gt;"Да",0,IFERROR((SUMIF(INDIRECT("'["&amp;НАСТРОЙКИ!$D$7&amp;"]КРЕДИТЫ'!$S$3:$EO$3"),CD$22,INDIRECT("'["&amp;НАСТРОЙКИ!$D$7&amp;"]КРЕДИТЫ'!$S$40:$EO$40"))+SUMIF(INDIRECT("'["&amp;НАСТРОЙКИ!$D$7&amp;"]КРЕДИТЫ'!$S$3:$EO$3"),CD$22,INDIRECT("'["&amp;НАСТРОЙКИ!$D$7&amp;"]КРЕДИТЫ'!$S$61:$EO$61")))/1000000,0))</f>
        <v>0</v>
      </c>
      <c r="CE84" s="35">
        <f ca="1">IF(НАСТРОЙКИ!$B$7&lt;&gt;"Да",0,IFERROR((SUMIF(INDIRECT("'["&amp;НАСТРОЙКИ!$D$7&amp;"]КРЕДИТЫ'!$S$3:$EO$3"),CE$22,INDIRECT("'["&amp;НАСТРОЙКИ!$D$7&amp;"]КРЕДИТЫ'!$S$40:$EO$40"))+SUMIF(INDIRECT("'["&amp;НАСТРОЙКИ!$D$7&amp;"]КРЕДИТЫ'!$S$3:$EO$3"),CE$22,INDIRECT("'["&amp;НАСТРОЙКИ!$D$7&amp;"]КРЕДИТЫ'!$S$61:$EO$61")))/1000000,0))</f>
        <v>0</v>
      </c>
      <c r="CF84" s="35">
        <f ca="1">IF(НАСТРОЙКИ!$B$7&lt;&gt;"Да",0,IFERROR((SUMIF(INDIRECT("'["&amp;НАСТРОЙКИ!$D$7&amp;"]КРЕДИТЫ'!$S$3:$EO$3"),CF$22,INDIRECT("'["&amp;НАСТРОЙКИ!$D$7&amp;"]КРЕДИТЫ'!$S$40:$EO$40"))+SUMIF(INDIRECT("'["&amp;НАСТРОЙКИ!$D$7&amp;"]КРЕДИТЫ'!$S$3:$EO$3"),CF$22,INDIRECT("'["&amp;НАСТРОЙКИ!$D$7&amp;"]КРЕДИТЫ'!$S$61:$EO$61")))/1000000,0))</f>
        <v>0</v>
      </c>
      <c r="CG84" s="35">
        <f ca="1">IF(НАСТРОЙКИ!$B$7&lt;&gt;"Да",0,IFERROR((SUMIF(INDIRECT("'["&amp;НАСТРОЙКИ!$D$7&amp;"]КРЕДИТЫ'!$S$3:$EO$3"),CG$22,INDIRECT("'["&amp;НАСТРОЙКИ!$D$7&amp;"]КРЕДИТЫ'!$S$40:$EO$40"))+SUMIF(INDIRECT("'["&amp;НАСТРОЙКИ!$D$7&amp;"]КРЕДИТЫ'!$S$3:$EO$3"),CG$22,INDIRECT("'["&amp;НАСТРОЙКИ!$D$7&amp;"]КРЕДИТЫ'!$S$61:$EO$61")))/1000000,0))</f>
        <v>0</v>
      </c>
      <c r="CH84" s="35">
        <f ca="1">IF(НАСТРОЙКИ!$B$7&lt;&gt;"Да",0,IFERROR((SUMIF(INDIRECT("'["&amp;НАСТРОЙКИ!$D$7&amp;"]КРЕДИТЫ'!$S$3:$EO$3"),CH$22,INDIRECT("'["&amp;НАСТРОЙКИ!$D$7&amp;"]КРЕДИТЫ'!$S$40:$EO$40"))+SUMIF(INDIRECT("'["&amp;НАСТРОЙКИ!$D$7&amp;"]КРЕДИТЫ'!$S$3:$EO$3"),CH$22,INDIRECT("'["&amp;НАСТРОЙКИ!$D$7&amp;"]КРЕДИТЫ'!$S$61:$EO$61")))/1000000,0))</f>
        <v>0</v>
      </c>
      <c r="CI84" s="35">
        <f ca="1">IF(НАСТРОЙКИ!$B$7&lt;&gt;"Да",0,IFERROR((SUMIF(INDIRECT("'["&amp;НАСТРОЙКИ!$D$7&amp;"]КРЕДИТЫ'!$S$3:$EO$3"),CI$22,INDIRECT("'["&amp;НАСТРОЙКИ!$D$7&amp;"]КРЕДИТЫ'!$S$40:$EO$40"))+SUMIF(INDIRECT("'["&amp;НАСТРОЙКИ!$D$7&amp;"]КРЕДИТЫ'!$S$3:$EO$3"),CI$22,INDIRECT("'["&amp;НАСТРОЙКИ!$D$7&amp;"]КРЕДИТЫ'!$S$61:$EO$61")))/1000000,0))</f>
        <v>0</v>
      </c>
      <c r="CJ84" s="35">
        <f ca="1">IF(НАСТРОЙКИ!$B$7&lt;&gt;"Да",0,IFERROR((SUMIF(INDIRECT("'["&amp;НАСТРОЙКИ!$D$7&amp;"]КРЕДИТЫ'!$S$3:$EO$3"),CJ$22,INDIRECT("'["&amp;НАСТРОЙКИ!$D$7&amp;"]КРЕДИТЫ'!$S$40:$EO$40"))+SUMIF(INDIRECT("'["&amp;НАСТРОЙКИ!$D$7&amp;"]КРЕДИТЫ'!$S$3:$EO$3"),CJ$22,INDIRECT("'["&amp;НАСТРОЙКИ!$D$7&amp;"]КРЕДИТЫ'!$S$61:$EO$61")))/1000000,0))</f>
        <v>0</v>
      </c>
      <c r="CK84" s="35">
        <f ca="1">IF(НАСТРОЙКИ!$B$7&lt;&gt;"Да",0,IFERROR((SUMIF(INDIRECT("'["&amp;НАСТРОЙКИ!$D$7&amp;"]КРЕДИТЫ'!$S$3:$EO$3"),CK$22,INDIRECT("'["&amp;НАСТРОЙКИ!$D$7&amp;"]КРЕДИТЫ'!$S$40:$EO$40"))+SUMIF(INDIRECT("'["&amp;НАСТРОЙКИ!$D$7&amp;"]КРЕДИТЫ'!$S$3:$EO$3"),CK$22,INDIRECT("'["&amp;НАСТРОЙКИ!$D$7&amp;"]КРЕДИТЫ'!$S$61:$EO$61")))/1000000,0))</f>
        <v>0</v>
      </c>
      <c r="CL84" s="35">
        <f ca="1">IF(НАСТРОЙКИ!$B$7&lt;&gt;"Да",0,IFERROR((SUMIF(INDIRECT("'["&amp;НАСТРОЙКИ!$D$7&amp;"]КРЕДИТЫ'!$S$3:$EO$3"),CL$22,INDIRECT("'["&amp;НАСТРОЙКИ!$D$7&amp;"]КРЕДИТЫ'!$S$40:$EO$40"))+SUMIF(INDIRECT("'["&amp;НАСТРОЙКИ!$D$7&amp;"]КРЕДИТЫ'!$S$3:$EO$3"),CL$22,INDIRECT("'["&amp;НАСТРОЙКИ!$D$7&amp;"]КРЕДИТЫ'!$S$61:$EO$61")))/1000000,0))</f>
        <v>0</v>
      </c>
      <c r="CM84" s="35">
        <f ca="1">IF(НАСТРОЙКИ!$B$7&lt;&gt;"Да",0,IFERROR((SUMIF(INDIRECT("'["&amp;НАСТРОЙКИ!$D$7&amp;"]КРЕДИТЫ'!$S$3:$EO$3"),CM$22,INDIRECT("'["&amp;НАСТРОЙКИ!$D$7&amp;"]КРЕДИТЫ'!$S$40:$EO$40"))+SUMIF(INDIRECT("'["&amp;НАСТРОЙКИ!$D$7&amp;"]КРЕДИТЫ'!$S$3:$EO$3"),CM$22,INDIRECT("'["&amp;НАСТРОЙКИ!$D$7&amp;"]КРЕДИТЫ'!$S$61:$EO$61")))/1000000,0))</f>
        <v>0</v>
      </c>
      <c r="CN84" s="35">
        <f ca="1">IF(НАСТРОЙКИ!$B$7&lt;&gt;"Да",0,IFERROR((SUMIF(INDIRECT("'["&amp;НАСТРОЙКИ!$D$7&amp;"]КРЕДИТЫ'!$S$3:$EO$3"),CN$22,INDIRECT("'["&amp;НАСТРОЙКИ!$D$7&amp;"]КРЕДИТЫ'!$S$40:$EO$40"))+SUMIF(INDIRECT("'["&amp;НАСТРОЙКИ!$D$7&amp;"]КРЕДИТЫ'!$S$3:$EO$3"),CN$22,INDIRECT("'["&amp;НАСТРОЙКИ!$D$7&amp;"]КРЕДИТЫ'!$S$61:$EO$61")))/1000000,0))</f>
        <v>0</v>
      </c>
      <c r="CO84" s="35">
        <f ca="1">IF(НАСТРОЙКИ!$B$7&lt;&gt;"Да",0,IFERROR((SUMIF(INDIRECT("'["&amp;НАСТРОЙКИ!$D$7&amp;"]КРЕДИТЫ'!$S$3:$EO$3"),CO$22,INDIRECT("'["&amp;НАСТРОЙКИ!$D$7&amp;"]КРЕДИТЫ'!$S$40:$EO$40"))+SUMIF(INDIRECT("'["&amp;НАСТРОЙКИ!$D$7&amp;"]КРЕДИТЫ'!$S$3:$EO$3"),CO$22,INDIRECT("'["&amp;НАСТРОЙКИ!$D$7&amp;"]КРЕДИТЫ'!$S$61:$EO$61")))/1000000,0))</f>
        <v>0</v>
      </c>
      <c r="CP84" s="35">
        <f ca="1">IF(НАСТРОЙКИ!$B$7&lt;&gt;"Да",0,IFERROR((SUMIF(INDIRECT("'["&amp;НАСТРОЙКИ!$D$7&amp;"]КРЕДИТЫ'!$S$3:$EO$3"),CP$22,INDIRECT("'["&amp;НАСТРОЙКИ!$D$7&amp;"]КРЕДИТЫ'!$S$40:$EO$40"))+SUMIF(INDIRECT("'["&amp;НАСТРОЙКИ!$D$7&amp;"]КРЕДИТЫ'!$S$3:$EO$3"),CP$22,INDIRECT("'["&amp;НАСТРОЙКИ!$D$7&amp;"]КРЕДИТЫ'!$S$61:$EO$61")))/1000000,0))</f>
        <v>0</v>
      </c>
      <c r="CQ84" s="35">
        <f ca="1">IF(НАСТРОЙКИ!$B$7&lt;&gt;"Да",0,IFERROR((SUMIF(INDIRECT("'["&amp;НАСТРОЙКИ!$D$7&amp;"]КРЕДИТЫ'!$S$3:$EO$3"),CQ$22,INDIRECT("'["&amp;НАСТРОЙКИ!$D$7&amp;"]КРЕДИТЫ'!$S$40:$EO$40"))+SUMIF(INDIRECT("'["&amp;НАСТРОЙКИ!$D$7&amp;"]КРЕДИТЫ'!$S$3:$EO$3"),CQ$22,INDIRECT("'["&amp;НАСТРОЙКИ!$D$7&amp;"]КРЕДИТЫ'!$S$61:$EO$61")))/1000000,0))</f>
        <v>0</v>
      </c>
      <c r="CR84" s="35">
        <f ca="1">IF(НАСТРОЙКИ!$B$7&lt;&gt;"Да",0,IFERROR((SUMIF(INDIRECT("'["&amp;НАСТРОЙКИ!$D$7&amp;"]КРЕДИТЫ'!$S$3:$EO$3"),CR$22,INDIRECT("'["&amp;НАСТРОЙКИ!$D$7&amp;"]КРЕДИТЫ'!$S$40:$EO$40"))+SUMIF(INDIRECT("'["&amp;НАСТРОЙКИ!$D$7&amp;"]КРЕДИТЫ'!$S$3:$EO$3"),CR$22,INDIRECT("'["&amp;НАСТРОЙКИ!$D$7&amp;"]КРЕДИТЫ'!$S$61:$EO$61")))/1000000,0))</f>
        <v>0</v>
      </c>
      <c r="CS84" s="35">
        <f ca="1">IF(НАСТРОЙКИ!$B$7&lt;&gt;"Да",0,IFERROR((SUMIF(INDIRECT("'["&amp;НАСТРОЙКИ!$D$7&amp;"]КРЕДИТЫ'!$S$3:$EO$3"),CS$22,INDIRECT("'["&amp;НАСТРОЙКИ!$D$7&amp;"]КРЕДИТЫ'!$S$40:$EO$40"))+SUMIF(INDIRECT("'["&amp;НАСТРОЙКИ!$D$7&amp;"]КРЕДИТЫ'!$S$3:$EO$3"),CS$22,INDIRECT("'["&amp;НАСТРОЙКИ!$D$7&amp;"]КРЕДИТЫ'!$S$61:$EO$61")))/1000000,0))</f>
        <v>0</v>
      </c>
      <c r="CT84" s="35">
        <f ca="1">IF(НАСТРОЙКИ!$B$7&lt;&gt;"Да",0,IFERROR((SUMIF(INDIRECT("'["&amp;НАСТРОЙКИ!$D$7&amp;"]КРЕДИТЫ'!$S$3:$EO$3"),CT$22,INDIRECT("'["&amp;НАСТРОЙКИ!$D$7&amp;"]КРЕДИТЫ'!$S$40:$EO$40"))+SUMIF(INDIRECT("'["&amp;НАСТРОЙКИ!$D$7&amp;"]КРЕДИТЫ'!$S$3:$EO$3"),CT$22,INDIRECT("'["&amp;НАСТРОЙКИ!$D$7&amp;"]КРЕДИТЫ'!$S$61:$EO$61")))/1000000,0))</f>
        <v>0</v>
      </c>
      <c r="CU84" s="35">
        <f ca="1">IF(НАСТРОЙКИ!$B$7&lt;&gt;"Да",0,IFERROR((SUMIF(INDIRECT("'["&amp;НАСТРОЙКИ!$D$7&amp;"]КРЕДИТЫ'!$S$3:$EO$3"),CU$22,INDIRECT("'["&amp;НАСТРОЙКИ!$D$7&amp;"]КРЕДИТЫ'!$S$40:$EO$40"))+SUMIF(INDIRECT("'["&amp;НАСТРОЙКИ!$D$7&amp;"]КРЕДИТЫ'!$S$3:$EO$3"),CU$22,INDIRECT("'["&amp;НАСТРОЙКИ!$D$7&amp;"]КРЕДИТЫ'!$S$61:$EO$61")))/1000000,0))</f>
        <v>0</v>
      </c>
      <c r="CV84" s="35">
        <f ca="1">IF(НАСТРОЙКИ!$B$7&lt;&gt;"Да",0,IFERROR((SUMIF(INDIRECT("'["&amp;НАСТРОЙКИ!$D$7&amp;"]КРЕДИТЫ'!$S$3:$EO$3"),CV$22,INDIRECT("'["&amp;НАСТРОЙКИ!$D$7&amp;"]КРЕДИТЫ'!$S$40:$EO$40"))+SUMIF(INDIRECT("'["&amp;НАСТРОЙКИ!$D$7&amp;"]КРЕДИТЫ'!$S$3:$EO$3"),CV$22,INDIRECT("'["&amp;НАСТРОЙКИ!$D$7&amp;"]КРЕДИТЫ'!$S$61:$EO$61")))/1000000,0))</f>
        <v>0</v>
      </c>
      <c r="CW84" s="35">
        <f ca="1">IF(НАСТРОЙКИ!$B$7&lt;&gt;"Да",0,IFERROR((SUMIF(INDIRECT("'["&amp;НАСТРОЙКИ!$D$7&amp;"]КРЕДИТЫ'!$S$3:$EO$3"),CW$22,INDIRECT("'["&amp;НАСТРОЙКИ!$D$7&amp;"]КРЕДИТЫ'!$S$40:$EO$40"))+SUMIF(INDIRECT("'["&amp;НАСТРОЙКИ!$D$7&amp;"]КРЕДИТЫ'!$S$3:$EO$3"),CW$22,INDIRECT("'["&amp;НАСТРОЙКИ!$D$7&amp;"]КРЕДИТЫ'!$S$61:$EO$61")))/1000000,0))</f>
        <v>0</v>
      </c>
      <c r="CX84" s="35">
        <f ca="1">IF(НАСТРОЙКИ!$B$7&lt;&gt;"Да",0,IFERROR((SUMIF(INDIRECT("'["&amp;НАСТРОЙКИ!$D$7&amp;"]КРЕДИТЫ'!$S$3:$EO$3"),CX$22,INDIRECT("'["&amp;НАСТРОЙКИ!$D$7&amp;"]КРЕДИТЫ'!$S$40:$EO$40"))+SUMIF(INDIRECT("'["&amp;НАСТРОЙКИ!$D$7&amp;"]КРЕДИТЫ'!$S$3:$EO$3"),CX$22,INDIRECT("'["&amp;НАСТРОЙКИ!$D$7&amp;"]КРЕДИТЫ'!$S$61:$EO$61")))/1000000,0))</f>
        <v>0</v>
      </c>
      <c r="CY84" s="35">
        <f ca="1">IF(НАСТРОЙКИ!$B$7&lt;&gt;"Да",0,IFERROR((SUMIF(INDIRECT("'["&amp;НАСТРОЙКИ!$D$7&amp;"]КРЕДИТЫ'!$S$3:$EO$3"),CY$22,INDIRECT("'["&amp;НАСТРОЙКИ!$D$7&amp;"]КРЕДИТЫ'!$S$40:$EO$40"))+SUMIF(INDIRECT("'["&amp;НАСТРОЙКИ!$D$7&amp;"]КРЕДИТЫ'!$S$3:$EO$3"),CY$22,INDIRECT("'["&amp;НАСТРОЙКИ!$D$7&amp;"]КРЕДИТЫ'!$S$61:$EO$61")))/1000000,0))</f>
        <v>0</v>
      </c>
      <c r="CZ84" s="35">
        <f ca="1">IF(НАСТРОЙКИ!$B$7&lt;&gt;"Да",0,IFERROR((SUMIF(INDIRECT("'["&amp;НАСТРОЙКИ!$D$7&amp;"]КРЕДИТЫ'!$S$3:$EO$3"),CZ$22,INDIRECT("'["&amp;НАСТРОЙКИ!$D$7&amp;"]КРЕДИТЫ'!$S$40:$EO$40"))+SUMIF(INDIRECT("'["&amp;НАСТРОЙКИ!$D$7&amp;"]КРЕДИТЫ'!$S$3:$EO$3"),CZ$22,INDIRECT("'["&amp;НАСТРОЙКИ!$D$7&amp;"]КРЕДИТЫ'!$S$61:$EO$61")))/1000000,0))</f>
        <v>0</v>
      </c>
      <c r="DA84" s="35">
        <f ca="1">IF(НАСТРОЙКИ!$B$7&lt;&gt;"Да",0,IFERROR((SUMIF(INDIRECT("'["&amp;НАСТРОЙКИ!$D$7&amp;"]КРЕДИТЫ'!$S$3:$EO$3"),DA$22,INDIRECT("'["&amp;НАСТРОЙКИ!$D$7&amp;"]КРЕДИТЫ'!$S$40:$EO$40"))+SUMIF(INDIRECT("'["&amp;НАСТРОЙКИ!$D$7&amp;"]КРЕДИТЫ'!$S$3:$EO$3"),DA$22,INDIRECT("'["&amp;НАСТРОЙКИ!$D$7&amp;"]КРЕДИТЫ'!$S$61:$EO$61")))/1000000,0))</f>
        <v>0</v>
      </c>
      <c r="DB84" s="35">
        <f ca="1">IF(НАСТРОЙКИ!$B$7&lt;&gt;"Да",0,IFERROR((SUMIF(INDIRECT("'["&amp;НАСТРОЙКИ!$D$7&amp;"]КРЕДИТЫ'!$S$3:$EO$3"),DB$22,INDIRECT("'["&amp;НАСТРОЙКИ!$D$7&amp;"]КРЕДИТЫ'!$S$40:$EO$40"))+SUMIF(INDIRECT("'["&amp;НАСТРОЙКИ!$D$7&amp;"]КРЕДИТЫ'!$S$3:$EO$3"),DB$22,INDIRECT("'["&amp;НАСТРОЙКИ!$D$7&amp;"]КРЕДИТЫ'!$S$61:$EO$61")))/1000000,0))</f>
        <v>0</v>
      </c>
      <c r="DC84" s="35">
        <f ca="1">IF(НАСТРОЙКИ!$B$7&lt;&gt;"Да",0,IFERROR((SUMIF(INDIRECT("'["&amp;НАСТРОЙКИ!$D$7&amp;"]КРЕДИТЫ'!$S$3:$EO$3"),DC$22,INDIRECT("'["&amp;НАСТРОЙКИ!$D$7&amp;"]КРЕДИТЫ'!$S$40:$EO$40"))+SUMIF(INDIRECT("'["&amp;НАСТРОЙКИ!$D$7&amp;"]КРЕДИТЫ'!$S$3:$EO$3"),DC$22,INDIRECT("'["&amp;НАСТРОЙКИ!$D$7&amp;"]КРЕДИТЫ'!$S$61:$EO$61")))/1000000,0))</f>
        <v>0</v>
      </c>
      <c r="DD84" s="35">
        <f ca="1">IF(НАСТРОЙКИ!$B$7&lt;&gt;"Да",0,IFERROR((SUMIF(INDIRECT("'["&amp;НАСТРОЙКИ!$D$7&amp;"]КРЕДИТЫ'!$S$3:$EO$3"),DD$22,INDIRECT("'["&amp;НАСТРОЙКИ!$D$7&amp;"]КРЕДИТЫ'!$S$40:$EO$40"))+SUMIF(INDIRECT("'["&amp;НАСТРОЙКИ!$D$7&amp;"]КРЕДИТЫ'!$S$3:$EO$3"),DD$22,INDIRECT("'["&amp;НАСТРОЙКИ!$D$7&amp;"]КРЕДИТЫ'!$S$61:$EO$61")))/1000000,0))</f>
        <v>0</v>
      </c>
      <c r="DE84" s="35">
        <f ca="1">IF(НАСТРОЙКИ!$B$7&lt;&gt;"Да",0,IFERROR((SUMIF(INDIRECT("'["&amp;НАСТРОЙКИ!$D$7&amp;"]КРЕДИТЫ'!$S$3:$EO$3"),DE$22,INDIRECT("'["&amp;НАСТРОЙКИ!$D$7&amp;"]КРЕДИТЫ'!$S$40:$EO$40"))+SUMIF(INDIRECT("'["&amp;НАСТРОЙКИ!$D$7&amp;"]КРЕДИТЫ'!$S$3:$EO$3"),DE$22,INDIRECT("'["&amp;НАСТРОЙКИ!$D$7&amp;"]КРЕДИТЫ'!$S$61:$EO$61")))/1000000,0))</f>
        <v>0</v>
      </c>
      <c r="DF84" s="35">
        <f ca="1">IF(НАСТРОЙКИ!$B$7&lt;&gt;"Да",0,IFERROR((SUMIF(INDIRECT("'["&amp;НАСТРОЙКИ!$D$7&amp;"]КРЕДИТЫ'!$S$3:$EO$3"),DF$22,INDIRECT("'["&amp;НАСТРОЙКИ!$D$7&amp;"]КРЕДИТЫ'!$S$40:$EO$40"))+SUMIF(INDIRECT("'["&amp;НАСТРОЙКИ!$D$7&amp;"]КРЕДИТЫ'!$S$3:$EO$3"),DF$22,INDIRECT("'["&amp;НАСТРОЙКИ!$D$7&amp;"]КРЕДИТЫ'!$S$61:$EO$61")))/1000000,0))</f>
        <v>0</v>
      </c>
    </row>
    <row r="85" spans="1:110">
      <c r="A85" s="34" t="s">
        <v>131</v>
      </c>
      <c r="B85" s="34" t="s">
        <v>58</v>
      </c>
      <c r="C85" s="36">
        <f t="shared" ref="C85:AH85" ca="1" si="92">C81+C82+C83+C84</f>
        <v>0</v>
      </c>
      <c r="D85" s="36">
        <f t="shared" ca="1" si="92"/>
        <v>0</v>
      </c>
      <c r="E85" s="36">
        <f t="shared" ca="1" si="92"/>
        <v>0</v>
      </c>
      <c r="F85" s="36">
        <f t="shared" ca="1" si="92"/>
        <v>0</v>
      </c>
      <c r="G85" s="36">
        <f t="shared" ca="1" si="92"/>
        <v>0</v>
      </c>
      <c r="H85" s="36">
        <f t="shared" ca="1" si="92"/>
        <v>0</v>
      </c>
      <c r="I85" s="36">
        <f t="shared" ca="1" si="92"/>
        <v>0</v>
      </c>
      <c r="J85" s="36">
        <f t="shared" ca="1" si="92"/>
        <v>0</v>
      </c>
      <c r="K85" s="36">
        <f t="shared" ca="1" si="92"/>
        <v>0</v>
      </c>
      <c r="L85" s="36">
        <f t="shared" ca="1" si="92"/>
        <v>0</v>
      </c>
      <c r="M85" s="36">
        <f t="shared" ca="1" si="92"/>
        <v>0</v>
      </c>
      <c r="N85" s="36">
        <f t="shared" ca="1" si="92"/>
        <v>0</v>
      </c>
      <c r="O85" s="36">
        <f t="shared" ca="1" si="92"/>
        <v>0</v>
      </c>
      <c r="P85" s="36">
        <f t="shared" ca="1" si="92"/>
        <v>0</v>
      </c>
      <c r="Q85" s="36">
        <f t="shared" ca="1" si="92"/>
        <v>0</v>
      </c>
      <c r="R85" s="36">
        <f t="shared" ca="1" si="92"/>
        <v>0</v>
      </c>
      <c r="S85" s="36">
        <f t="shared" ca="1" si="92"/>
        <v>0</v>
      </c>
      <c r="T85" s="36">
        <f t="shared" ca="1" si="92"/>
        <v>0</v>
      </c>
      <c r="U85" s="36">
        <f t="shared" ca="1" si="92"/>
        <v>0</v>
      </c>
      <c r="V85" s="36">
        <f t="shared" ca="1" si="92"/>
        <v>0</v>
      </c>
      <c r="W85" s="36">
        <f t="shared" ca="1" si="92"/>
        <v>0</v>
      </c>
      <c r="X85" s="36">
        <f t="shared" ca="1" si="92"/>
        <v>0</v>
      </c>
      <c r="Y85" s="36">
        <f t="shared" ca="1" si="92"/>
        <v>0</v>
      </c>
      <c r="Z85" s="36">
        <f t="shared" ca="1" si="92"/>
        <v>0</v>
      </c>
      <c r="AA85" s="36">
        <f t="shared" ca="1" si="92"/>
        <v>0</v>
      </c>
      <c r="AB85" s="36">
        <f t="shared" ca="1" si="92"/>
        <v>0</v>
      </c>
      <c r="AC85" s="36">
        <f t="shared" ca="1" si="92"/>
        <v>0</v>
      </c>
      <c r="AD85" s="36">
        <f t="shared" ca="1" si="92"/>
        <v>0</v>
      </c>
      <c r="AE85" s="36">
        <f t="shared" ca="1" si="92"/>
        <v>0</v>
      </c>
      <c r="AF85" s="36">
        <f t="shared" ca="1" si="92"/>
        <v>0</v>
      </c>
      <c r="AG85" s="36">
        <f t="shared" ca="1" si="92"/>
        <v>0</v>
      </c>
      <c r="AH85" s="36">
        <f t="shared" ca="1" si="92"/>
        <v>0</v>
      </c>
      <c r="AI85" s="36">
        <f t="shared" ref="AI85:BN85" ca="1" si="93">AI81+AI82+AI83+AI84</f>
        <v>0</v>
      </c>
      <c r="AJ85" s="36">
        <f t="shared" ca="1" si="93"/>
        <v>0</v>
      </c>
      <c r="AK85" s="36">
        <f t="shared" ca="1" si="93"/>
        <v>0</v>
      </c>
      <c r="AL85" s="36">
        <f t="shared" ca="1" si="93"/>
        <v>0</v>
      </c>
      <c r="AM85" s="36">
        <f t="shared" ca="1" si="93"/>
        <v>0</v>
      </c>
      <c r="AN85" s="36">
        <f t="shared" ca="1" si="93"/>
        <v>0</v>
      </c>
      <c r="AO85" s="36">
        <f t="shared" ca="1" si="93"/>
        <v>0</v>
      </c>
      <c r="AP85" s="36">
        <f t="shared" ca="1" si="93"/>
        <v>0</v>
      </c>
      <c r="AQ85" s="36">
        <f t="shared" ca="1" si="93"/>
        <v>0</v>
      </c>
      <c r="AR85" s="36">
        <f t="shared" ca="1" si="93"/>
        <v>0</v>
      </c>
      <c r="AS85" s="36">
        <f t="shared" ca="1" si="93"/>
        <v>-846.52291598325223</v>
      </c>
      <c r="AT85" s="36">
        <f t="shared" ca="1" si="93"/>
        <v>0</v>
      </c>
      <c r="AU85" s="36">
        <f t="shared" ca="1" si="93"/>
        <v>0</v>
      </c>
      <c r="AV85" s="36">
        <f t="shared" ca="1" si="93"/>
        <v>0</v>
      </c>
      <c r="AW85" s="36">
        <f t="shared" ca="1" si="93"/>
        <v>0</v>
      </c>
      <c r="AX85" s="36">
        <f t="shared" ca="1" si="93"/>
        <v>0</v>
      </c>
      <c r="AY85" s="36">
        <f t="shared" ca="1" si="93"/>
        <v>0</v>
      </c>
      <c r="AZ85" s="36">
        <f t="shared" ca="1" si="93"/>
        <v>0</v>
      </c>
      <c r="BA85" s="36">
        <f t="shared" ca="1" si="93"/>
        <v>0</v>
      </c>
      <c r="BB85" s="36">
        <f t="shared" ca="1" si="93"/>
        <v>0</v>
      </c>
      <c r="BC85" s="36">
        <f t="shared" ca="1" si="93"/>
        <v>0</v>
      </c>
      <c r="BD85" s="36">
        <f t="shared" ca="1" si="93"/>
        <v>0</v>
      </c>
      <c r="BE85" s="36">
        <f t="shared" ca="1" si="93"/>
        <v>0</v>
      </c>
      <c r="BF85" s="36">
        <f t="shared" ca="1" si="93"/>
        <v>0</v>
      </c>
      <c r="BG85" s="36">
        <f t="shared" ca="1" si="93"/>
        <v>0</v>
      </c>
      <c r="BH85" s="36">
        <f t="shared" ca="1" si="93"/>
        <v>0</v>
      </c>
      <c r="BI85" s="36">
        <f t="shared" ca="1" si="93"/>
        <v>0</v>
      </c>
      <c r="BJ85" s="36">
        <f t="shared" ca="1" si="93"/>
        <v>0</v>
      </c>
      <c r="BK85" s="36">
        <f t="shared" ca="1" si="93"/>
        <v>0</v>
      </c>
      <c r="BL85" s="36">
        <f t="shared" ca="1" si="93"/>
        <v>0</v>
      </c>
      <c r="BM85" s="36">
        <f t="shared" ca="1" si="93"/>
        <v>0</v>
      </c>
      <c r="BN85" s="36">
        <f t="shared" ca="1" si="93"/>
        <v>0</v>
      </c>
      <c r="BO85" s="36">
        <f t="shared" ref="BO85:CT85" ca="1" si="94">BO81+BO82+BO83+BO84</f>
        <v>0</v>
      </c>
      <c r="BP85" s="36">
        <f t="shared" ca="1" si="94"/>
        <v>0</v>
      </c>
      <c r="BQ85" s="36">
        <f t="shared" ca="1" si="94"/>
        <v>-23843.8158612357</v>
      </c>
      <c r="BR85" s="36">
        <f t="shared" ca="1" si="94"/>
        <v>0</v>
      </c>
      <c r="BS85" s="36">
        <f t="shared" ca="1" si="94"/>
        <v>0</v>
      </c>
      <c r="BT85" s="36">
        <f t="shared" ca="1" si="94"/>
        <v>0</v>
      </c>
      <c r="BU85" s="36">
        <f t="shared" ca="1" si="94"/>
        <v>0</v>
      </c>
      <c r="BV85" s="36">
        <f t="shared" ca="1" si="94"/>
        <v>0</v>
      </c>
      <c r="BW85" s="36">
        <f t="shared" ca="1" si="94"/>
        <v>0</v>
      </c>
      <c r="BX85" s="36">
        <f t="shared" ca="1" si="94"/>
        <v>0</v>
      </c>
      <c r="BY85" s="36">
        <f t="shared" ca="1" si="94"/>
        <v>0</v>
      </c>
      <c r="BZ85" s="36">
        <f t="shared" ca="1" si="94"/>
        <v>0</v>
      </c>
      <c r="CA85" s="36">
        <f t="shared" ca="1" si="94"/>
        <v>0</v>
      </c>
      <c r="CB85" s="36">
        <f t="shared" ca="1" si="94"/>
        <v>0</v>
      </c>
      <c r="CC85" s="36">
        <f t="shared" ca="1" si="94"/>
        <v>0</v>
      </c>
      <c r="CD85" s="36">
        <f t="shared" ca="1" si="94"/>
        <v>0</v>
      </c>
      <c r="CE85" s="36">
        <f t="shared" ca="1" si="94"/>
        <v>0</v>
      </c>
      <c r="CF85" s="36">
        <f t="shared" ca="1" si="94"/>
        <v>0</v>
      </c>
      <c r="CG85" s="36">
        <f t="shared" ca="1" si="94"/>
        <v>0</v>
      </c>
      <c r="CH85" s="36">
        <f t="shared" ca="1" si="94"/>
        <v>0</v>
      </c>
      <c r="CI85" s="36">
        <f t="shared" ca="1" si="94"/>
        <v>0</v>
      </c>
      <c r="CJ85" s="36">
        <f t="shared" ca="1" si="94"/>
        <v>0</v>
      </c>
      <c r="CK85" s="36">
        <f t="shared" ca="1" si="94"/>
        <v>0</v>
      </c>
      <c r="CL85" s="36">
        <f t="shared" ca="1" si="94"/>
        <v>0</v>
      </c>
      <c r="CM85" s="36">
        <f t="shared" ca="1" si="94"/>
        <v>0</v>
      </c>
      <c r="CN85" s="36">
        <f t="shared" ca="1" si="94"/>
        <v>0</v>
      </c>
      <c r="CO85" s="36">
        <f t="shared" ca="1" si="94"/>
        <v>0</v>
      </c>
      <c r="CP85" s="36">
        <f t="shared" ca="1" si="94"/>
        <v>0</v>
      </c>
      <c r="CQ85" s="36">
        <f t="shared" ca="1" si="94"/>
        <v>0</v>
      </c>
      <c r="CR85" s="36">
        <f t="shared" ca="1" si="94"/>
        <v>0</v>
      </c>
      <c r="CS85" s="36">
        <f t="shared" ca="1" si="94"/>
        <v>0</v>
      </c>
      <c r="CT85" s="36">
        <f t="shared" ca="1" si="94"/>
        <v>0</v>
      </c>
      <c r="CU85" s="36">
        <f t="shared" ref="CU85:DF85" ca="1" si="95">CU81+CU82+CU83+CU84</f>
        <v>0</v>
      </c>
      <c r="CV85" s="36">
        <f t="shared" ca="1" si="95"/>
        <v>0</v>
      </c>
      <c r="CW85" s="36">
        <f t="shared" ca="1" si="95"/>
        <v>0</v>
      </c>
      <c r="CX85" s="36">
        <f t="shared" ca="1" si="95"/>
        <v>0</v>
      </c>
      <c r="CY85" s="36">
        <f t="shared" ca="1" si="95"/>
        <v>0</v>
      </c>
      <c r="CZ85" s="36">
        <f t="shared" ca="1" si="95"/>
        <v>0</v>
      </c>
      <c r="DA85" s="36">
        <f t="shared" ca="1" si="95"/>
        <v>0</v>
      </c>
      <c r="DB85" s="36">
        <f t="shared" ca="1" si="95"/>
        <v>0</v>
      </c>
      <c r="DC85" s="36">
        <f t="shared" ca="1" si="95"/>
        <v>0</v>
      </c>
      <c r="DD85" s="36">
        <f t="shared" ca="1" si="95"/>
        <v>0</v>
      </c>
      <c r="DE85" s="36">
        <f t="shared" ca="1" si="95"/>
        <v>0</v>
      </c>
      <c r="DF85" s="36">
        <f t="shared" ca="1" si="95"/>
        <v>0</v>
      </c>
    </row>
    <row r="86" spans="1:110">
      <c r="A86" s="34" t="s">
        <v>133</v>
      </c>
      <c r="B86" s="34" t="s">
        <v>58</v>
      </c>
      <c r="C86" s="35">
        <f ca="1">IF(НАСТРОЙКИ!$B$7&lt;&gt;"Да",0,IFERROR(SUMIF(INDIRECT("'["&amp;НАСТРОЙКИ!$D$7&amp;"]КРЕДИТЫ'!$S$3:$EO$3"),C$22,INDIRECT("'["&amp;НАСТРОЙКИ!$D$7&amp;"]КРЕДИТЫ'!$S$51:$EO$51"))/1000000,0))</f>
        <v>0</v>
      </c>
      <c r="D86" s="35">
        <f ca="1">IF(НАСТРОЙКИ!$B$7&lt;&gt;"Да",0,IFERROR(SUMIF(INDIRECT("'["&amp;НАСТРОЙКИ!$D$7&amp;"]КРЕДИТЫ'!$S$3:$EO$3"),D$22,INDIRECT("'["&amp;НАСТРОЙКИ!$D$7&amp;"]КРЕДИТЫ'!$S$51:$EO$51"))/1000000,0))</f>
        <v>0</v>
      </c>
      <c r="E86" s="35">
        <f ca="1">IF(НАСТРОЙКИ!$B$7&lt;&gt;"Да",0,IFERROR(SUMIF(INDIRECT("'["&amp;НАСТРОЙКИ!$D$7&amp;"]КРЕДИТЫ'!$S$3:$EO$3"),E$22,INDIRECT("'["&amp;НАСТРОЙКИ!$D$7&amp;"]КРЕДИТЫ'!$S$51:$EO$51"))/1000000,0))</f>
        <v>0</v>
      </c>
      <c r="F86" s="35">
        <f ca="1">IF(НАСТРОЙКИ!$B$7&lt;&gt;"Да",0,IFERROR(SUMIF(INDIRECT("'["&amp;НАСТРОЙКИ!$D$7&amp;"]КРЕДИТЫ'!$S$3:$EO$3"),F$22,INDIRECT("'["&amp;НАСТРОЙКИ!$D$7&amp;"]КРЕДИТЫ'!$S$51:$EO$51"))/1000000,0))</f>
        <v>0</v>
      </c>
      <c r="G86" s="35">
        <f ca="1">IF(НАСТРОЙКИ!$B$7&lt;&gt;"Да",0,IFERROR(SUMIF(INDIRECT("'["&amp;НАСТРОЙКИ!$D$7&amp;"]КРЕДИТЫ'!$S$3:$EO$3"),G$22,INDIRECT("'["&amp;НАСТРОЙКИ!$D$7&amp;"]КРЕДИТЫ'!$S$51:$EO$51"))/1000000,0))</f>
        <v>0</v>
      </c>
      <c r="H86" s="35">
        <f ca="1">IF(НАСТРОЙКИ!$B$7&lt;&gt;"Да",0,IFERROR(SUMIF(INDIRECT("'["&amp;НАСТРОЙКИ!$D$7&amp;"]КРЕДИТЫ'!$S$3:$EO$3"),H$22,INDIRECT("'["&amp;НАСТРОЙКИ!$D$7&amp;"]КРЕДИТЫ'!$S$51:$EO$51"))/1000000,0))</f>
        <v>0</v>
      </c>
      <c r="I86" s="35">
        <f ca="1">IF(НАСТРОЙКИ!$B$7&lt;&gt;"Да",0,IFERROR(SUMIF(INDIRECT("'["&amp;НАСТРОЙКИ!$D$7&amp;"]КРЕДИТЫ'!$S$3:$EO$3"),I$22,INDIRECT("'["&amp;НАСТРОЙКИ!$D$7&amp;"]КРЕДИТЫ'!$S$51:$EO$51"))/1000000,0))</f>
        <v>0</v>
      </c>
      <c r="J86" s="35">
        <f ca="1">IF(НАСТРОЙКИ!$B$7&lt;&gt;"Да",0,IFERROR(SUMIF(INDIRECT("'["&amp;НАСТРОЙКИ!$D$7&amp;"]КРЕДИТЫ'!$S$3:$EO$3"),J$22,INDIRECT("'["&amp;НАСТРОЙКИ!$D$7&amp;"]КРЕДИТЫ'!$S$51:$EO$51"))/1000000,0))</f>
        <v>0</v>
      </c>
      <c r="K86" s="35">
        <f ca="1">IF(НАСТРОЙКИ!$B$7&lt;&gt;"Да",0,IFERROR(SUMIF(INDIRECT("'["&amp;НАСТРОЙКИ!$D$7&amp;"]КРЕДИТЫ'!$S$3:$EO$3"),K$22,INDIRECT("'["&amp;НАСТРОЙКИ!$D$7&amp;"]КРЕДИТЫ'!$S$51:$EO$51"))/1000000,0))</f>
        <v>0</v>
      </c>
      <c r="L86" s="35">
        <f ca="1">IF(НАСТРОЙКИ!$B$7&lt;&gt;"Да",0,IFERROR(SUMIF(INDIRECT("'["&amp;НАСТРОЙКИ!$D$7&amp;"]КРЕДИТЫ'!$S$3:$EO$3"),L$22,INDIRECT("'["&amp;НАСТРОЙКИ!$D$7&amp;"]КРЕДИТЫ'!$S$51:$EO$51"))/1000000,0))</f>
        <v>0</v>
      </c>
      <c r="M86" s="35">
        <f ca="1">IF(НАСТРОЙКИ!$B$7&lt;&gt;"Да",0,IFERROR(SUMIF(INDIRECT("'["&amp;НАСТРОЙКИ!$D$7&amp;"]КРЕДИТЫ'!$S$3:$EO$3"),M$22,INDIRECT("'["&amp;НАСТРОЙКИ!$D$7&amp;"]КРЕДИТЫ'!$S$51:$EO$51"))/1000000,0))</f>
        <v>0</v>
      </c>
      <c r="N86" s="35">
        <f ca="1">IF(НАСТРОЙКИ!$B$7&lt;&gt;"Да",0,IFERROR(SUMIF(INDIRECT("'["&amp;НАСТРОЙКИ!$D$7&amp;"]КРЕДИТЫ'!$S$3:$EO$3"),N$22,INDIRECT("'["&amp;НАСТРОЙКИ!$D$7&amp;"]КРЕДИТЫ'!$S$51:$EO$51"))/1000000,0))</f>
        <v>0</v>
      </c>
      <c r="O86" s="35">
        <f ca="1">IF(НАСТРОЙКИ!$B$7&lt;&gt;"Да",0,IFERROR(SUMIF(INDIRECT("'["&amp;НАСТРОЙКИ!$D$7&amp;"]КРЕДИТЫ'!$S$3:$EO$3"),O$22,INDIRECT("'["&amp;НАСТРОЙКИ!$D$7&amp;"]КРЕДИТЫ'!$S$51:$EO$51"))/1000000,0))</f>
        <v>0</v>
      </c>
      <c r="P86" s="35">
        <f ca="1">IF(НАСТРОЙКИ!$B$7&lt;&gt;"Да",0,IFERROR(SUMIF(INDIRECT("'["&amp;НАСТРОЙКИ!$D$7&amp;"]КРЕДИТЫ'!$S$3:$EO$3"),P$22,INDIRECT("'["&amp;НАСТРОЙКИ!$D$7&amp;"]КРЕДИТЫ'!$S$51:$EO$51"))/1000000,0))</f>
        <v>0</v>
      </c>
      <c r="Q86" s="35">
        <f ca="1">IF(НАСТРОЙКИ!$B$7&lt;&gt;"Да",0,IFERROR(SUMIF(INDIRECT("'["&amp;НАСТРОЙКИ!$D$7&amp;"]КРЕДИТЫ'!$S$3:$EO$3"),Q$22,INDIRECT("'["&amp;НАСТРОЙКИ!$D$7&amp;"]КРЕДИТЫ'!$S$51:$EO$51"))/1000000,0))</f>
        <v>0</v>
      </c>
      <c r="R86" s="35">
        <f ca="1">IF(НАСТРОЙКИ!$B$7&lt;&gt;"Да",0,IFERROR(SUMIF(INDIRECT("'["&amp;НАСТРОЙКИ!$D$7&amp;"]КРЕДИТЫ'!$S$3:$EO$3"),R$22,INDIRECT("'["&amp;НАСТРОЙКИ!$D$7&amp;"]КРЕДИТЫ'!$S$51:$EO$51"))/1000000,0))</f>
        <v>0</v>
      </c>
      <c r="S86" s="35">
        <f ca="1">IF(НАСТРОЙКИ!$B$7&lt;&gt;"Да",0,IFERROR(SUMIF(INDIRECT("'["&amp;НАСТРОЙКИ!$D$7&amp;"]КРЕДИТЫ'!$S$3:$EO$3"),S$22,INDIRECT("'["&amp;НАСТРОЙКИ!$D$7&amp;"]КРЕДИТЫ'!$S$51:$EO$51"))/1000000,0))</f>
        <v>0</v>
      </c>
      <c r="T86" s="35">
        <f ca="1">IF(НАСТРОЙКИ!$B$7&lt;&gt;"Да",0,IFERROR(SUMIF(INDIRECT("'["&amp;НАСТРОЙКИ!$D$7&amp;"]КРЕДИТЫ'!$S$3:$EO$3"),T$22,INDIRECT("'["&amp;НАСТРОЙКИ!$D$7&amp;"]КРЕДИТЫ'!$S$51:$EO$51"))/1000000,0))</f>
        <v>0</v>
      </c>
      <c r="U86" s="35">
        <f ca="1">IF(НАСТРОЙКИ!$B$7&lt;&gt;"Да",0,IFERROR(SUMIF(INDIRECT("'["&amp;НАСТРОЙКИ!$D$7&amp;"]КРЕДИТЫ'!$S$3:$EO$3"),U$22,INDIRECT("'["&amp;НАСТРОЙКИ!$D$7&amp;"]КРЕДИТЫ'!$S$51:$EO$51"))/1000000,0))</f>
        <v>0</v>
      </c>
      <c r="V86" s="35">
        <f ca="1">IF(НАСТРОЙКИ!$B$7&lt;&gt;"Да",0,IFERROR(SUMIF(INDIRECT("'["&amp;НАСТРОЙКИ!$D$7&amp;"]КРЕДИТЫ'!$S$3:$EO$3"),V$22,INDIRECT("'["&amp;НАСТРОЙКИ!$D$7&amp;"]КРЕДИТЫ'!$S$51:$EO$51"))/1000000,0))</f>
        <v>0</v>
      </c>
      <c r="W86" s="35">
        <f ca="1">IF(НАСТРОЙКИ!$B$7&lt;&gt;"Да",0,IFERROR(SUMIF(INDIRECT("'["&amp;НАСТРОЙКИ!$D$7&amp;"]КРЕДИТЫ'!$S$3:$EO$3"),W$22,INDIRECT("'["&amp;НАСТРОЙКИ!$D$7&amp;"]КРЕДИТЫ'!$S$51:$EO$51"))/1000000,0))</f>
        <v>0</v>
      </c>
      <c r="X86" s="35">
        <f ca="1">IF(НАСТРОЙКИ!$B$7&lt;&gt;"Да",0,IFERROR(SUMIF(INDIRECT("'["&amp;НАСТРОЙКИ!$D$7&amp;"]КРЕДИТЫ'!$S$3:$EO$3"),X$22,INDIRECT("'["&amp;НАСТРОЙКИ!$D$7&amp;"]КРЕДИТЫ'!$S$51:$EO$51"))/1000000,0))</f>
        <v>0</v>
      </c>
      <c r="Y86" s="35">
        <f ca="1">IF(НАСТРОЙКИ!$B$7&lt;&gt;"Да",0,IFERROR(SUMIF(INDIRECT("'["&amp;НАСТРОЙКИ!$D$7&amp;"]КРЕДИТЫ'!$S$3:$EO$3"),Y$22,INDIRECT("'["&amp;НАСТРОЙКИ!$D$7&amp;"]КРЕДИТЫ'!$S$51:$EO$51"))/1000000,0))</f>
        <v>0</v>
      </c>
      <c r="Z86" s="35">
        <f ca="1">IF(НАСТРОЙКИ!$B$7&lt;&gt;"Да",0,IFERROR(SUMIF(INDIRECT("'["&amp;НАСТРОЙКИ!$D$7&amp;"]КРЕДИТЫ'!$S$3:$EO$3"),Z$22,INDIRECT("'["&amp;НАСТРОЙКИ!$D$7&amp;"]КРЕДИТЫ'!$S$51:$EO$51"))/1000000,0))</f>
        <v>0</v>
      </c>
      <c r="AA86" s="35">
        <f ca="1">IF(НАСТРОЙКИ!$B$7&lt;&gt;"Да",0,IFERROR(SUMIF(INDIRECT("'["&amp;НАСТРОЙКИ!$D$7&amp;"]КРЕДИТЫ'!$S$3:$EO$3"),AA$22,INDIRECT("'["&amp;НАСТРОЙКИ!$D$7&amp;"]КРЕДИТЫ'!$S$51:$EO$51"))/1000000,0))</f>
        <v>0</v>
      </c>
      <c r="AB86" s="35">
        <f ca="1">IF(НАСТРОЙКИ!$B$7&lt;&gt;"Да",0,IFERROR(SUMIF(INDIRECT("'["&amp;НАСТРОЙКИ!$D$7&amp;"]КРЕДИТЫ'!$S$3:$EO$3"),AB$22,INDIRECT("'["&amp;НАСТРОЙКИ!$D$7&amp;"]КРЕДИТЫ'!$S$51:$EO$51"))/1000000,0))</f>
        <v>0</v>
      </c>
      <c r="AC86" s="35">
        <f ca="1">IF(НАСТРОЙКИ!$B$7&lt;&gt;"Да",0,IFERROR(SUMIF(INDIRECT("'["&amp;НАСТРОЙКИ!$D$7&amp;"]КРЕДИТЫ'!$S$3:$EO$3"),AC$22,INDIRECT("'["&amp;НАСТРОЙКИ!$D$7&amp;"]КРЕДИТЫ'!$S$51:$EO$51"))/1000000,0))</f>
        <v>0</v>
      </c>
      <c r="AD86" s="35">
        <f ca="1">IF(НАСТРОЙКИ!$B$7&lt;&gt;"Да",0,IFERROR(SUMIF(INDIRECT("'["&amp;НАСТРОЙКИ!$D$7&amp;"]КРЕДИТЫ'!$S$3:$EO$3"),AD$22,INDIRECT("'["&amp;НАСТРОЙКИ!$D$7&amp;"]КРЕДИТЫ'!$S$51:$EO$51"))/1000000,0))</f>
        <v>0</v>
      </c>
      <c r="AE86" s="35">
        <f ca="1">IF(НАСТРОЙКИ!$B$7&lt;&gt;"Да",0,IFERROR(SUMIF(INDIRECT("'["&amp;НАСТРОЙКИ!$D$7&amp;"]КРЕДИТЫ'!$S$3:$EO$3"),AE$22,INDIRECT("'["&amp;НАСТРОЙКИ!$D$7&amp;"]КРЕДИТЫ'!$S$51:$EO$51"))/1000000,0))</f>
        <v>0</v>
      </c>
      <c r="AF86" s="35">
        <f ca="1">IF(НАСТРОЙКИ!$B$7&lt;&gt;"Да",0,IFERROR(SUMIF(INDIRECT("'["&amp;НАСТРОЙКИ!$D$7&amp;"]КРЕДИТЫ'!$S$3:$EO$3"),AF$22,INDIRECT("'["&amp;НАСТРОЙКИ!$D$7&amp;"]КРЕДИТЫ'!$S$51:$EO$51"))/1000000,0))</f>
        <v>0</v>
      </c>
      <c r="AG86" s="35">
        <f ca="1">IF(НАСТРОЙКИ!$B$7&lt;&gt;"Да",0,IFERROR(SUMIF(INDIRECT("'["&amp;НАСТРОЙКИ!$D$7&amp;"]КРЕДИТЫ'!$S$3:$EO$3"),AG$22,INDIRECT("'["&amp;НАСТРОЙКИ!$D$7&amp;"]КРЕДИТЫ'!$S$51:$EO$51"))/1000000,0))</f>
        <v>0</v>
      </c>
      <c r="AH86" s="35">
        <f ca="1">IF(НАСТРОЙКИ!$B$7&lt;&gt;"Да",0,IFERROR(SUMIF(INDIRECT("'["&amp;НАСТРОЙКИ!$D$7&amp;"]КРЕДИТЫ'!$S$3:$EO$3"),AH$22,INDIRECT("'["&amp;НАСТРОЙКИ!$D$7&amp;"]КРЕДИТЫ'!$S$51:$EO$51"))/1000000,0))</f>
        <v>0</v>
      </c>
      <c r="AI86" s="35">
        <f ca="1">IF(НАСТРОЙКИ!$B$7&lt;&gt;"Да",0,IFERROR(SUMIF(INDIRECT("'["&amp;НАСТРОЙКИ!$D$7&amp;"]КРЕДИТЫ'!$S$3:$EO$3"),AI$22,INDIRECT("'["&amp;НАСТРОЙКИ!$D$7&amp;"]КРЕДИТЫ'!$S$51:$EO$51"))/1000000,0))</f>
        <v>0</v>
      </c>
      <c r="AJ86" s="35">
        <f ca="1">IF(НАСТРОЙКИ!$B$7&lt;&gt;"Да",0,IFERROR(SUMIF(INDIRECT("'["&amp;НАСТРОЙКИ!$D$7&amp;"]КРЕДИТЫ'!$S$3:$EO$3"),AJ$22,INDIRECT("'["&amp;НАСТРОЙКИ!$D$7&amp;"]КРЕДИТЫ'!$S$51:$EO$51"))/1000000,0))</f>
        <v>0</v>
      </c>
      <c r="AK86" s="35">
        <f ca="1">IF(НАСТРОЙКИ!$B$7&lt;&gt;"Да",0,IFERROR(SUMIF(INDIRECT("'["&amp;НАСТРОЙКИ!$D$7&amp;"]КРЕДИТЫ'!$S$3:$EO$3"),AK$22,INDIRECT("'["&amp;НАСТРОЙКИ!$D$7&amp;"]КРЕДИТЫ'!$S$51:$EO$51"))/1000000,0))</f>
        <v>0</v>
      </c>
      <c r="AL86" s="35">
        <f ca="1">IF(НАСТРОЙКИ!$B$7&lt;&gt;"Да",0,IFERROR(SUMIF(INDIRECT("'["&amp;НАСТРОЙКИ!$D$7&amp;"]КРЕДИТЫ'!$S$3:$EO$3"),AL$22,INDIRECT("'["&amp;НАСТРОЙКИ!$D$7&amp;"]КРЕДИТЫ'!$S$51:$EO$51"))/1000000,0))</f>
        <v>0</v>
      </c>
      <c r="AM86" s="35">
        <f ca="1">IF(НАСТРОЙКИ!$B$7&lt;&gt;"Да",0,IFERROR(SUMIF(INDIRECT("'["&amp;НАСТРОЙКИ!$D$7&amp;"]КРЕДИТЫ'!$S$3:$EO$3"),AM$22,INDIRECT("'["&amp;НАСТРОЙКИ!$D$7&amp;"]КРЕДИТЫ'!$S$51:$EO$51"))/1000000,0))</f>
        <v>0</v>
      </c>
      <c r="AN86" s="35">
        <f ca="1">IF(НАСТРОЙКИ!$B$7&lt;&gt;"Да",0,IFERROR(SUMIF(INDIRECT("'["&amp;НАСТРОЙКИ!$D$7&amp;"]КРЕДИТЫ'!$S$3:$EO$3"),AN$22,INDIRECT("'["&amp;НАСТРОЙКИ!$D$7&amp;"]КРЕДИТЫ'!$S$51:$EO$51"))/1000000,0))</f>
        <v>0</v>
      </c>
      <c r="AO86" s="35">
        <f ca="1">IF(НАСТРОЙКИ!$B$7&lt;&gt;"Да",0,IFERROR(SUMIF(INDIRECT("'["&amp;НАСТРОЙКИ!$D$7&amp;"]КРЕДИТЫ'!$S$3:$EO$3"),AO$22,INDIRECT("'["&amp;НАСТРОЙКИ!$D$7&amp;"]КРЕДИТЫ'!$S$51:$EO$51"))/1000000,0))</f>
        <v>0</v>
      </c>
      <c r="AP86" s="35">
        <f ca="1">IF(НАСТРОЙКИ!$B$7&lt;&gt;"Да",0,IFERROR(SUMIF(INDIRECT("'["&amp;НАСТРОЙКИ!$D$7&amp;"]КРЕДИТЫ'!$S$3:$EO$3"),AP$22,INDIRECT("'["&amp;НАСТРОЙКИ!$D$7&amp;"]КРЕДИТЫ'!$S$51:$EO$51"))/1000000,0))</f>
        <v>0</v>
      </c>
      <c r="AQ86" s="35">
        <f ca="1">IF(НАСТРОЙКИ!$B$7&lt;&gt;"Да",0,IFERROR(SUMIF(INDIRECT("'["&amp;НАСТРОЙКИ!$D$7&amp;"]КРЕДИТЫ'!$S$3:$EO$3"),AQ$22,INDIRECT("'["&amp;НАСТРОЙКИ!$D$7&amp;"]КРЕДИТЫ'!$S$51:$EO$51"))/1000000,0))</f>
        <v>0</v>
      </c>
      <c r="AR86" s="35">
        <f ca="1">IF(НАСТРОЙКИ!$B$7&lt;&gt;"Да",0,IFERROR(SUMIF(INDIRECT("'["&amp;НАСТРОЙКИ!$D$7&amp;"]КРЕДИТЫ'!$S$3:$EO$3"),AR$22,INDIRECT("'["&amp;НАСТРОЙКИ!$D$7&amp;"]КРЕДИТЫ'!$S$51:$EO$51"))/1000000,0))</f>
        <v>0</v>
      </c>
      <c r="AS86" s="35">
        <f ca="1">IF(НАСТРОЙКИ!$B$7&lt;&gt;"Да",0,IFERROR(SUMIF(INDIRECT("'["&amp;НАСТРОЙКИ!$D$7&amp;"]КРЕДИТЫ'!$S$3:$EO$3"),AS$22,INDIRECT("'["&amp;НАСТРОЙКИ!$D$7&amp;"]КРЕДИТЫ'!$S$51:$EO$51"))/1000000,0))</f>
        <v>504.00271198455863</v>
      </c>
      <c r="AT86" s="35">
        <f ca="1">IF(НАСТРОЙКИ!$B$7&lt;&gt;"Да",0,IFERROR(SUMIF(INDIRECT("'["&amp;НАСТРОЙКИ!$D$7&amp;"]КРЕДИТЫ'!$S$3:$EO$3"),AT$22,INDIRECT("'["&amp;НАСТРОЙКИ!$D$7&amp;"]КРЕДИТЫ'!$S$51:$EO$51"))/1000000,0))</f>
        <v>1043.3199679257921</v>
      </c>
      <c r="AU86" s="35">
        <f ca="1">IF(НАСТРОЙКИ!$B$7&lt;&gt;"Да",0,IFERROR(SUMIF(INDIRECT("'["&amp;НАСТРОЙКИ!$D$7&amp;"]КРЕДИТЫ'!$S$3:$EO$3"),AU$22,INDIRECT("'["&amp;НАСТРОЙКИ!$D$7&amp;"]КРЕДИТЫ'!$S$51:$EO$51"))/1000000,0))</f>
        <v>1752.3557175672393</v>
      </c>
      <c r="AV86" s="35">
        <f ca="1">IF(НАСТРОЙКИ!$B$7&lt;&gt;"Да",0,IFERROR(SUMIF(INDIRECT("'["&amp;НАСТРОЙКИ!$D$7&amp;"]КРЕДИТЫ'!$S$3:$EO$3"),AV$22,INDIRECT("'["&amp;НАСТРОЙКИ!$D$7&amp;"]КРЕДИТЫ'!$S$51:$EO$51"))/1000000,0))</f>
        <v>2571.0656105301532</v>
      </c>
      <c r="AW86" s="35">
        <f ca="1">IF(НАСТРОЙКИ!$B$7&lt;&gt;"Да",0,IFERROR(SUMIF(INDIRECT("'["&amp;НАСТРОЙКИ!$D$7&amp;"]КРЕДИТЫ'!$S$3:$EO$3"),AW$22,INDIRECT("'["&amp;НАСТРОЙКИ!$D$7&amp;"]КРЕДИТЫ'!$S$51:$EO$51"))/1000000,0))</f>
        <v>3436.4792853026793</v>
      </c>
      <c r="AX86" s="35">
        <f ca="1">IF(НАСТРОЙКИ!$B$7&lt;&gt;"Да",0,IFERROR(SUMIF(INDIRECT("'["&amp;НАСТРОЙКИ!$D$7&amp;"]КРЕДИТЫ'!$S$3:$EO$3"),AX$22,INDIRECT("'["&amp;НАСТРОЙКИ!$D$7&amp;"]КРЕДИТЫ'!$S$51:$EO$51"))/1000000,0))</f>
        <v>4349.8486942969957</v>
      </c>
      <c r="AY86" s="35">
        <f ca="1">IF(НАСТРОЙКИ!$B$7&lt;&gt;"Да",0,IFERROR(SUMIF(INDIRECT("'["&amp;НАСТРОЙКИ!$D$7&amp;"]КРЕДИТЫ'!$S$3:$EO$3"),AY$22,INDIRECT("'["&amp;НАСТРОЙКИ!$D$7&amp;"]КРЕДИТЫ'!$S$51:$EO$51"))/1000000,0))</f>
        <v>5199.8083258933584</v>
      </c>
      <c r="AZ86" s="35">
        <f ca="1">IF(НАСТРОЙКИ!$B$7&lt;&gt;"Да",0,IFERROR(SUMIF(INDIRECT("'["&amp;НАСТРОЙКИ!$D$7&amp;"]КРЕДИТЫ'!$S$3:$EO$3"),AZ$22,INDIRECT("'["&amp;НАСТРОЙКИ!$D$7&amp;"]КРЕДИТЫ'!$S$51:$EO$51"))/1000000,0))</f>
        <v>6247.4038475512034</v>
      </c>
      <c r="BA86" s="35">
        <f ca="1">IF(НАСТРОЙКИ!$B$7&lt;&gt;"Да",0,IFERROR(SUMIF(INDIRECT("'["&amp;НАСТРОЙКИ!$D$7&amp;"]КРЕДИТЫ'!$S$3:$EO$3"),BA$22,INDIRECT("'["&amp;НАСТРОЙКИ!$D$7&amp;"]КРЕДИТЫ'!$S$51:$EO$51"))/1000000,0))</f>
        <v>7312.2968455263645</v>
      </c>
      <c r="BB86" s="35">
        <f ca="1">IF(НАСТРОЙКИ!$B$7&lt;&gt;"Да",0,IFERROR(SUMIF(INDIRECT("'["&amp;НАСТРОЙКИ!$D$7&amp;"]КРЕДИТЫ'!$S$3:$EO$3"),BB$22,INDIRECT("'["&amp;НАСТРОЙКИ!$D$7&amp;"]КРЕДИТЫ'!$S$51:$EO$51"))/1000000,0))</f>
        <v>8394.7467819635986</v>
      </c>
      <c r="BC86" s="35">
        <f ca="1">IF(НАСТРОЙКИ!$B$7&lt;&gt;"Да",0,IFERROR(SUMIF(INDIRECT("'["&amp;НАСТРОЙКИ!$D$7&amp;"]КРЕДИТЫ'!$S$3:$EO$3"),BC$22,INDIRECT("'["&amp;НАСТРОЙКИ!$D$7&amp;"]КРЕДИТЫ'!$S$51:$EO$51"))/1000000,0))</f>
        <v>9332.0373976694609</v>
      </c>
      <c r="BD86" s="35">
        <f ca="1">IF(НАСТРОЙКИ!$B$7&lt;&gt;"Да",0,IFERROR(SUMIF(INDIRECT("'["&amp;НАСТРОЙКИ!$D$7&amp;"]КРЕДИТЫ'!$S$3:$EO$3"),BD$22,INDIRECT("'["&amp;НАСТРОЙКИ!$D$7&amp;"]КРЕДИТЫ'!$S$51:$EO$51"))/1000000,0))</f>
        <v>10284.702470763348</v>
      </c>
      <c r="BE86" s="35">
        <f ca="1">IF(НАСТРОЙКИ!$B$7&lt;&gt;"Да",0,IFERROR(SUMIF(INDIRECT("'["&amp;НАСТРОЙКИ!$D$7&amp;"]КРЕДИТЫ'!$S$3:$EO$3"),BE$22,INDIRECT("'["&amp;НАСТРОЙКИ!$D$7&amp;"]КРЕДИТЫ'!$S$51:$EO$51"))/1000000,0))</f>
        <v>11252.972618106083</v>
      </c>
      <c r="BF86" s="35">
        <f ca="1">IF(НАСТРОЙКИ!$B$7&lt;&gt;"Да",0,IFERROR(SUMIF(INDIRECT("'["&amp;НАСТРОЙКИ!$D$7&amp;"]КРЕДИТЫ'!$S$3:$EO$3"),BF$22,INDIRECT("'["&amp;НАСТРОЙКИ!$D$7&amp;"]КРЕДИТЫ'!$S$51:$EO$51"))/1000000,0))</f>
        <v>12237.081915811399</v>
      </c>
      <c r="BG86" s="35">
        <f ca="1">IF(НАСТРОЙКИ!$B$7&lt;&gt;"Да",0,IFERROR(SUMIF(INDIRECT("'["&amp;НАСТРОЙКИ!$D$7&amp;"]КРЕДИТЫ'!$S$3:$EO$3"),BG$22,INDIRECT("'["&amp;НАСТРОЙКИ!$D$7&amp;"]КРЕДИТЫ'!$S$51:$EO$51"))/1000000,0))</f>
        <v>13410.248572154873</v>
      </c>
      <c r="BH86" s="35">
        <f ca="1">IF(НАСТРОЙКИ!$B$7&lt;&gt;"Да",0,IFERROR(SUMIF(INDIRECT("'["&amp;НАСТРОЙКИ!$D$7&amp;"]КРЕДИТЫ'!$S$3:$EO$3"),BH$22,INDIRECT("'["&amp;НАСТРОЙКИ!$D$7&amp;"]КРЕДИТЫ'!$S$51:$EO$51"))/1000000,0))</f>
        <v>14602.612744595157</v>
      </c>
      <c r="BI86" s="35">
        <f ca="1">IF(НАСТРОЙКИ!$B$7&lt;&gt;"Да",0,IFERROR(SUMIF(INDIRECT("'["&amp;НАСТРОЙКИ!$D$7&amp;"]КРЕДИТЫ'!$S$3:$EO$3"),BI$22,INDIRECT("'["&amp;НАСТРОЙКИ!$D$7&amp;"]КРЕДИТЫ'!$S$51:$EO$51"))/1000000,0))</f>
        <v>15814.462395873705</v>
      </c>
      <c r="BJ86" s="35">
        <f ca="1">IF(НАСТРОЙКИ!$B$7&lt;&gt;"Да",0,IFERROR(SUMIF(INDIRECT("'["&amp;НАСТРОЙКИ!$D$7&amp;"]КРЕДИТЫ'!$S$3:$EO$3"),BJ$22,INDIRECT("'["&amp;НАСТРОЙКИ!$D$7&amp;"]КРЕДИТЫ'!$S$51:$EO$51"))/1000000,0))</f>
        <v>17046.089808173088</v>
      </c>
      <c r="BK86" s="35">
        <f ca="1">IF(НАСТРОЙКИ!$B$7&lt;&gt;"Да",0,IFERROR(SUMIF(INDIRECT("'["&amp;НАСТРОЙКИ!$D$7&amp;"]КРЕДИТЫ'!$S$3:$EO$3"),BK$22,INDIRECT("'["&amp;НАСТРОЙКИ!$D$7&amp;"]КРЕДИТЫ'!$S$51:$EO$51"))/1000000,0))</f>
        <v>18114.19632179337</v>
      </c>
      <c r="BL86" s="35">
        <f ca="1">IF(НАСТРОЙКИ!$B$7&lt;&gt;"Да",0,IFERROR(SUMIF(INDIRECT("'["&amp;НАСТРОЙКИ!$D$7&amp;"]КРЕДИТЫ'!$S$3:$EO$3"),BL$22,INDIRECT("'["&amp;НАСТРОЙКИ!$D$7&amp;"]КРЕДИТЫ'!$S$51:$EO$51"))/1000000,0))</f>
        <v>19590.596444162078</v>
      </c>
      <c r="BM86" s="35">
        <f ca="1">IF(НАСТРОЙКИ!$B$7&lt;&gt;"Да",0,IFERROR(SUMIF(INDIRECT("'["&amp;НАСТРОЙКИ!$D$7&amp;"]КРЕДИТЫ'!$S$3:$EO$3"),BM$22,INDIRECT("'["&amp;НАСТРОЙКИ!$D$7&amp;"]КРЕДИТЫ'!$S$51:$EO$51"))/1000000,0))</f>
        <v>21088.700869238553</v>
      </c>
      <c r="BN86" s="35">
        <f ca="1">IF(НАСТРОЙКИ!$B$7&lt;&gt;"Да",0,IFERROR(SUMIF(INDIRECT("'["&amp;НАСТРОЙКИ!$D$7&amp;"]КРЕДИТЫ'!$S$3:$EO$3"),BN$22,INDIRECT("'["&amp;НАСТРОЙКИ!$D$7&amp;"]КРЕДИТЫ'!$S$51:$EO$51"))/1000000,0))</f>
        <v>22595.905334348612</v>
      </c>
      <c r="BO86" s="35">
        <f ca="1">IF(НАСТРОЙКИ!$B$7&lt;&gt;"Да",0,IFERROR(SUMIF(INDIRECT("'["&amp;НАСТРОЙКИ!$D$7&amp;"]КРЕДИТЫ'!$S$3:$EO$3"),BO$22,INDIRECT("'["&amp;НАСТРОЙКИ!$D$7&amp;"]КРЕДИТЫ'!$S$51:$EO$51"))/1000000,0))</f>
        <v>23889.229082513262</v>
      </c>
      <c r="BP86" s="35">
        <f ca="1">IF(НАСТРОЙКИ!$B$7&lt;&gt;"Да",0,IFERROR(SUMIF(INDIRECT("'["&amp;НАСТРОЙКИ!$D$7&amp;"]КРЕДИТЫ'!$S$3:$EO$3"),BP$22,INDIRECT("'["&amp;НАСТРОЙКИ!$D$7&amp;"]КРЕДИТЫ'!$S$51:$EO$51"))/1000000,0))</f>
        <v>25190.38401670277</v>
      </c>
      <c r="BQ86" s="35">
        <f ca="1">IF(НАСТРОЙКИ!$B$7&lt;&gt;"Да",0,IFERROR(SUMIF(INDIRECT("'["&amp;НАСТРОЙКИ!$D$7&amp;"]КРЕДИТЫ'!$S$3:$EO$3"),BQ$22,INDIRECT("'["&amp;НАСТРОЙКИ!$D$7&amp;"]КРЕДИТЫ'!$S$51:$EO$51"))/1000000,0))</f>
        <v>4683.3290704490473</v>
      </c>
      <c r="BR86" s="35">
        <f ca="1">IF(НАСТРОЙКИ!$B$7&lt;&gt;"Да",0,IFERROR(SUMIF(INDIRECT("'["&amp;НАСТРОЙКИ!$D$7&amp;"]КРЕДИТЫ'!$S$3:$EO$3"),BR$22,INDIRECT("'["&amp;НАСТРОЙКИ!$D$7&amp;"]КРЕДИТЫ'!$S$51:$EO$51"))/1000000,0))</f>
        <v>5454.3089174439428</v>
      </c>
      <c r="BS86" s="35">
        <f ca="1">IF(НАСТРОЙКИ!$B$7&lt;&gt;"Да",0,IFERROR(SUMIF(INDIRECT("'["&amp;НАСТРОЙКИ!$D$7&amp;"]КРЕДИТЫ'!$S$3:$EO$3"),BS$22,INDIRECT("'["&amp;НАСТРОЙКИ!$D$7&amp;"]КРЕДИТЫ'!$S$51:$EO$51"))/1000000,0))</f>
        <v>6355.7245703304097</v>
      </c>
      <c r="BT86" s="35">
        <f ca="1">IF(НАСТРОЙКИ!$B$7&lt;&gt;"Да",0,IFERROR(SUMIF(INDIRECT("'["&amp;НАСТРОЙКИ!$D$7&amp;"]КРЕДИТЫ'!$S$3:$EO$3"),BT$22,INDIRECT("'["&amp;НАСТРОЙКИ!$D$7&amp;"]КРЕДИТЫ'!$S$51:$EO$51"))/1000000,0))</f>
        <v>7251.5555769001576</v>
      </c>
      <c r="BU86" s="35">
        <f ca="1">IF(НАСТРОЙКИ!$B$7&lt;&gt;"Да",0,IFERROR(SUMIF(INDIRECT("'["&amp;НАСТРОЙКИ!$D$7&amp;"]КРЕДИТЫ'!$S$3:$EO$3"),BU$22,INDIRECT("'["&amp;НАСТРОЙКИ!$D$7&amp;"]КРЕДИТЫ'!$S$51:$EO$51"))/1000000,0))</f>
        <v>8141.8365363687399</v>
      </c>
      <c r="BV86" s="35">
        <f ca="1">IF(НАСТРОЙКИ!$B$7&lt;&gt;"Да",0,IFERROR(SUMIF(INDIRECT("'["&amp;НАСТРОЙКИ!$D$7&amp;"]КРЕДИТЫ'!$S$3:$EO$3"),BV$22,INDIRECT("'["&amp;НАСТРОЙКИ!$D$7&amp;"]КРЕДИТЫ'!$S$51:$EO$51"))/1000000,0))</f>
        <v>9026.6018335951339</v>
      </c>
      <c r="BW86" s="35">
        <f ca="1">IF(НАСТРОЙКИ!$B$7&lt;&gt;"Да",0,IFERROR(SUMIF(INDIRECT("'["&amp;НАСТРОЙКИ!$D$7&amp;"]КРЕДИТЫ'!$S$3:$EO$3"),BW$22,INDIRECT("'["&amp;НАСТРОЙКИ!$D$7&amp;"]КРЕДИТЫ'!$S$51:$EO$51"))/1000000,0))</f>
        <v>9773.9930693875613</v>
      </c>
      <c r="BX86" s="35">
        <f ca="1">IF(НАСТРОЙКИ!$B$7&lt;&gt;"Да",0,IFERROR(SUMIF(INDIRECT("'["&amp;НАСТРОЙКИ!$D$7&amp;"]КРЕДИТЫ'!$S$3:$EO$3"),BX$22,INDIRECT("'["&amp;НАСТРОЙКИ!$D$7&amp;"]КРЕДИТЫ'!$S$51:$EO$51"))/1000000,0))</f>
        <v>9773.9930693875613</v>
      </c>
      <c r="BY86" s="35">
        <f ca="1">IF(НАСТРОЙКИ!$B$7&lt;&gt;"Да",0,IFERROR(SUMIF(INDIRECT("'["&amp;НАСТРОЙКИ!$D$7&amp;"]КРЕДИТЫ'!$S$3:$EO$3"),BY$22,INDIRECT("'["&amp;НАСТРОЙКИ!$D$7&amp;"]КРЕДИТЫ'!$S$51:$EO$51"))/1000000,0))</f>
        <v>9773.9930693875613</v>
      </c>
      <c r="BZ86" s="35">
        <f ca="1">IF(НАСТРОЙКИ!$B$7&lt;&gt;"Да",0,IFERROR(SUMIF(INDIRECT("'["&amp;НАСТРОЙКИ!$D$7&amp;"]КРЕДИТЫ'!$S$3:$EO$3"),BZ$22,INDIRECT("'["&amp;НАСТРОЙКИ!$D$7&amp;"]КРЕДИТЫ'!$S$51:$EO$51"))/1000000,0))</f>
        <v>9773.9930693875613</v>
      </c>
      <c r="CA86" s="35">
        <f ca="1">IF(НАСТРОЙКИ!$B$7&lt;&gt;"Да",0,IFERROR(SUMIF(INDIRECT("'["&amp;НАСТРОЙКИ!$D$7&amp;"]КРЕДИТЫ'!$S$3:$EO$3"),CA$22,INDIRECT("'["&amp;НАСТРОЙКИ!$D$7&amp;"]КРЕДИТЫ'!$S$51:$EO$51"))/1000000,0))</f>
        <v>9773.9930693875613</v>
      </c>
      <c r="CB86" s="35">
        <f ca="1">IF(НАСТРОЙКИ!$B$7&lt;&gt;"Да",0,IFERROR(SUMIF(INDIRECT("'["&amp;НАСТРОЙКИ!$D$7&amp;"]КРЕДИТЫ'!$S$3:$EO$3"),CB$22,INDIRECT("'["&amp;НАСТРОЙКИ!$D$7&amp;"]КРЕДИТЫ'!$S$51:$EO$51"))/1000000,0))</f>
        <v>9773.9930693875613</v>
      </c>
      <c r="CC86" s="35">
        <f ca="1">IF(НАСТРОЙКИ!$B$7&lt;&gt;"Да",0,IFERROR(SUMIF(INDIRECT("'["&amp;НАСТРОЙКИ!$D$7&amp;"]КРЕДИТЫ'!$S$3:$EO$3"),CC$22,INDIRECT("'["&amp;НАСТРОЙКИ!$D$7&amp;"]КРЕДИТЫ'!$S$51:$EO$51"))/1000000,0))</f>
        <v>9773.9930693875613</v>
      </c>
      <c r="CD86" s="35">
        <f ca="1">IF(НАСТРОЙКИ!$B$7&lt;&gt;"Да",0,IFERROR(SUMIF(INDIRECT("'["&amp;НАСТРОЙКИ!$D$7&amp;"]КРЕДИТЫ'!$S$3:$EO$3"),CD$22,INDIRECT("'["&amp;НАСТРОЙКИ!$D$7&amp;"]КРЕДИТЫ'!$S$51:$EO$51"))/1000000,0))</f>
        <v>9773.9930693875613</v>
      </c>
      <c r="CE86" s="35">
        <f ca="1">IF(НАСТРОЙКИ!$B$7&lt;&gt;"Да",0,IFERROR(SUMIF(INDIRECT("'["&amp;НАСТРОЙКИ!$D$7&amp;"]КРЕДИТЫ'!$S$3:$EO$3"),CE$22,INDIRECT("'["&amp;НАСТРОЙКИ!$D$7&amp;"]КРЕДИТЫ'!$S$51:$EO$51"))/1000000,0))</f>
        <v>9773.9930693875613</v>
      </c>
      <c r="CF86" s="35">
        <f ca="1">IF(НАСТРОЙКИ!$B$7&lt;&gt;"Да",0,IFERROR(SUMIF(INDIRECT("'["&amp;НАСТРОЙКИ!$D$7&amp;"]КРЕДИТЫ'!$S$3:$EO$3"),CF$22,INDIRECT("'["&amp;НАСТРОЙКИ!$D$7&amp;"]КРЕДИТЫ'!$S$51:$EO$51"))/1000000,0))</f>
        <v>9773.9930693875613</v>
      </c>
      <c r="CG86" s="35">
        <f ca="1">IF(НАСТРОЙКИ!$B$7&lt;&gt;"Да",0,IFERROR(SUMIF(INDIRECT("'["&amp;НАСТРОЙКИ!$D$7&amp;"]КРЕДИТЫ'!$S$3:$EO$3"),CG$22,INDIRECT("'["&amp;НАСТРОЙКИ!$D$7&amp;"]КРЕДИТЫ'!$S$51:$EO$51"))/1000000,0))</f>
        <v>9773.9930693875613</v>
      </c>
      <c r="CH86" s="35">
        <f ca="1">IF(НАСТРОЙКИ!$B$7&lt;&gt;"Да",0,IFERROR(SUMIF(INDIRECT("'["&amp;НАСТРОЙКИ!$D$7&amp;"]КРЕДИТЫ'!$S$3:$EO$3"),CH$22,INDIRECT("'["&amp;НАСТРОЙКИ!$D$7&amp;"]КРЕДИТЫ'!$S$51:$EO$51"))/1000000,0))</f>
        <v>9773.9930693875613</v>
      </c>
      <c r="CI86" s="35">
        <f ca="1">IF(НАСТРОЙКИ!$B$7&lt;&gt;"Да",0,IFERROR(SUMIF(INDIRECT("'["&amp;НАСТРОЙКИ!$D$7&amp;"]КРЕДИТЫ'!$S$3:$EO$3"),CI$22,INDIRECT("'["&amp;НАСТРОЙКИ!$D$7&amp;"]КРЕДИТЫ'!$S$51:$EO$51"))/1000000,0))</f>
        <v>9773.9930693875613</v>
      </c>
      <c r="CJ86" s="35">
        <f ca="1">IF(НАСТРОЙКИ!$B$7&lt;&gt;"Да",0,IFERROR(SUMIF(INDIRECT("'["&amp;НАСТРОЙКИ!$D$7&amp;"]КРЕДИТЫ'!$S$3:$EO$3"),CJ$22,INDIRECT("'["&amp;НАСТРОЙКИ!$D$7&amp;"]КРЕДИТЫ'!$S$51:$EO$51"))/1000000,0))</f>
        <v>9773.9930693875613</v>
      </c>
      <c r="CK86" s="35">
        <f ca="1">IF(НАСТРОЙКИ!$B$7&lt;&gt;"Да",0,IFERROR(SUMIF(INDIRECT("'["&amp;НАСТРОЙКИ!$D$7&amp;"]КРЕДИТЫ'!$S$3:$EO$3"),CK$22,INDIRECT("'["&amp;НАСТРОЙКИ!$D$7&amp;"]КРЕДИТЫ'!$S$51:$EO$51"))/1000000,0))</f>
        <v>9773.9930693875613</v>
      </c>
      <c r="CL86" s="35">
        <f ca="1">IF(НАСТРОЙКИ!$B$7&lt;&gt;"Да",0,IFERROR(SUMIF(INDIRECT("'["&amp;НАСТРОЙКИ!$D$7&amp;"]КРЕДИТЫ'!$S$3:$EO$3"),CL$22,INDIRECT("'["&amp;НАСТРОЙКИ!$D$7&amp;"]КРЕДИТЫ'!$S$51:$EO$51"))/1000000,0))</f>
        <v>9773.9930693875613</v>
      </c>
      <c r="CM86" s="35">
        <f ca="1">IF(НАСТРОЙКИ!$B$7&lt;&gt;"Да",0,IFERROR(SUMIF(INDIRECT("'["&amp;НАСТРОЙКИ!$D$7&amp;"]КРЕДИТЫ'!$S$3:$EO$3"),CM$22,INDIRECT("'["&amp;НАСТРОЙКИ!$D$7&amp;"]КРЕДИТЫ'!$S$51:$EO$51"))/1000000,0))</f>
        <v>9773.9930693875613</v>
      </c>
      <c r="CN86" s="35">
        <f ca="1">IF(НАСТРОЙКИ!$B$7&lt;&gt;"Да",0,IFERROR(SUMIF(INDIRECT("'["&amp;НАСТРОЙКИ!$D$7&amp;"]КРЕДИТЫ'!$S$3:$EO$3"),CN$22,INDIRECT("'["&amp;НАСТРОЙКИ!$D$7&amp;"]КРЕДИТЫ'!$S$51:$EO$51"))/1000000,0))</f>
        <v>9773.9930693875613</v>
      </c>
      <c r="CO86" s="35">
        <f ca="1">IF(НАСТРОЙКИ!$B$7&lt;&gt;"Да",0,IFERROR(SUMIF(INDIRECT("'["&amp;НАСТРОЙКИ!$D$7&amp;"]КРЕДИТЫ'!$S$3:$EO$3"),CO$22,INDIRECT("'["&amp;НАСТРОЙКИ!$D$7&amp;"]КРЕДИТЫ'!$S$51:$EO$51"))/1000000,0))</f>
        <v>9773.9930693875613</v>
      </c>
      <c r="CP86" s="35">
        <f ca="1">IF(НАСТРОЙКИ!$B$7&lt;&gt;"Да",0,IFERROR(SUMIF(INDIRECT("'["&amp;НАСТРОЙКИ!$D$7&amp;"]КРЕДИТЫ'!$S$3:$EO$3"),CP$22,INDIRECT("'["&amp;НАСТРОЙКИ!$D$7&amp;"]КРЕДИТЫ'!$S$51:$EO$51"))/1000000,0))</f>
        <v>9773.9930693875613</v>
      </c>
      <c r="CQ86" s="35">
        <f ca="1">IF(НАСТРОЙКИ!$B$7&lt;&gt;"Да",0,IFERROR(SUMIF(INDIRECT("'["&amp;НАСТРОЙКИ!$D$7&amp;"]КРЕДИТЫ'!$S$3:$EO$3"),CQ$22,INDIRECT("'["&amp;НАСТРОЙКИ!$D$7&amp;"]КРЕДИТЫ'!$S$51:$EO$51"))/1000000,0))</f>
        <v>9773.9930693875613</v>
      </c>
      <c r="CR86" s="35">
        <f ca="1">IF(НАСТРОЙКИ!$B$7&lt;&gt;"Да",0,IFERROR(SUMIF(INDIRECT("'["&amp;НАСТРОЙКИ!$D$7&amp;"]КРЕДИТЫ'!$S$3:$EO$3"),CR$22,INDIRECT("'["&amp;НАСТРОЙКИ!$D$7&amp;"]КРЕДИТЫ'!$S$51:$EO$51"))/1000000,0))</f>
        <v>9773.9930693875613</v>
      </c>
      <c r="CS86" s="35">
        <f ca="1">IF(НАСТРОЙКИ!$B$7&lt;&gt;"Да",0,IFERROR(SUMIF(INDIRECT("'["&amp;НАСТРОЙКИ!$D$7&amp;"]КРЕДИТЫ'!$S$3:$EO$3"),CS$22,INDIRECT("'["&amp;НАСТРОЙКИ!$D$7&amp;"]КРЕДИТЫ'!$S$51:$EO$51"))/1000000,0))</f>
        <v>9773.9930693875613</v>
      </c>
      <c r="CT86" s="35">
        <f ca="1">IF(НАСТРОЙКИ!$B$7&lt;&gt;"Да",0,IFERROR(SUMIF(INDIRECT("'["&amp;НАСТРОЙКИ!$D$7&amp;"]КРЕДИТЫ'!$S$3:$EO$3"),CT$22,INDIRECT("'["&amp;НАСТРОЙКИ!$D$7&amp;"]КРЕДИТЫ'!$S$51:$EO$51"))/1000000,0))</f>
        <v>9773.9930693875613</v>
      </c>
      <c r="CU86" s="35">
        <f ca="1">IF(НАСТРОЙКИ!$B$7&lt;&gt;"Да",0,IFERROR(SUMIF(INDIRECT("'["&amp;НАСТРОЙКИ!$D$7&amp;"]КРЕДИТЫ'!$S$3:$EO$3"),CU$22,INDIRECT("'["&amp;НАСТРОЙКИ!$D$7&amp;"]КРЕДИТЫ'!$S$51:$EO$51"))/1000000,0))</f>
        <v>9773.9930693875613</v>
      </c>
      <c r="CV86" s="35">
        <f ca="1">IF(НАСТРОЙКИ!$B$7&lt;&gt;"Да",0,IFERROR(SUMIF(INDIRECT("'["&amp;НАСТРОЙКИ!$D$7&amp;"]КРЕДИТЫ'!$S$3:$EO$3"),CV$22,INDIRECT("'["&amp;НАСТРОЙКИ!$D$7&amp;"]КРЕДИТЫ'!$S$51:$EO$51"))/1000000,0))</f>
        <v>9773.9930693875613</v>
      </c>
      <c r="CW86" s="35">
        <f ca="1">IF(НАСТРОЙКИ!$B$7&lt;&gt;"Да",0,IFERROR(SUMIF(INDIRECT("'["&amp;НАСТРОЙКИ!$D$7&amp;"]КРЕДИТЫ'!$S$3:$EO$3"),CW$22,INDIRECT("'["&amp;НАСТРОЙКИ!$D$7&amp;"]КРЕДИТЫ'!$S$51:$EO$51"))/1000000,0))</f>
        <v>9773.9930693875613</v>
      </c>
      <c r="CX86" s="35">
        <f ca="1">IF(НАСТРОЙКИ!$B$7&lt;&gt;"Да",0,IFERROR(SUMIF(INDIRECT("'["&amp;НАСТРОЙКИ!$D$7&amp;"]КРЕДИТЫ'!$S$3:$EO$3"),CX$22,INDIRECT("'["&amp;НАСТРОЙКИ!$D$7&amp;"]КРЕДИТЫ'!$S$51:$EO$51"))/1000000,0))</f>
        <v>9773.9930693875613</v>
      </c>
      <c r="CY86" s="35">
        <f ca="1">IF(НАСТРОЙКИ!$B$7&lt;&gt;"Да",0,IFERROR(SUMIF(INDIRECT("'["&amp;НАСТРОЙКИ!$D$7&amp;"]КРЕДИТЫ'!$S$3:$EO$3"),CY$22,INDIRECT("'["&amp;НАСТРОЙКИ!$D$7&amp;"]КРЕДИТЫ'!$S$51:$EO$51"))/1000000,0))</f>
        <v>9773.9930693875613</v>
      </c>
      <c r="CZ86" s="35">
        <f ca="1">IF(НАСТРОЙКИ!$B$7&lt;&gt;"Да",0,IFERROR(SUMIF(INDIRECT("'["&amp;НАСТРОЙКИ!$D$7&amp;"]КРЕДИТЫ'!$S$3:$EO$3"),CZ$22,INDIRECT("'["&amp;НАСТРОЙКИ!$D$7&amp;"]КРЕДИТЫ'!$S$51:$EO$51"))/1000000,0))</f>
        <v>9773.9930693875613</v>
      </c>
      <c r="DA86" s="35">
        <f ca="1">IF(НАСТРОЙКИ!$B$7&lt;&gt;"Да",0,IFERROR(SUMIF(INDIRECT("'["&amp;НАСТРОЙКИ!$D$7&amp;"]КРЕДИТЫ'!$S$3:$EO$3"),DA$22,INDIRECT("'["&amp;НАСТРОЙКИ!$D$7&amp;"]КРЕДИТЫ'!$S$51:$EO$51"))/1000000,0))</f>
        <v>9773.9930693875613</v>
      </c>
      <c r="DB86" s="35">
        <f ca="1">IF(НАСТРОЙКИ!$B$7&lt;&gt;"Да",0,IFERROR(SUMIF(INDIRECT("'["&amp;НАСТРОЙКИ!$D$7&amp;"]КРЕДИТЫ'!$S$3:$EO$3"),DB$22,INDIRECT("'["&amp;НАСТРОЙКИ!$D$7&amp;"]КРЕДИТЫ'!$S$51:$EO$51"))/1000000,0))</f>
        <v>9773.9930693875613</v>
      </c>
      <c r="DC86" s="35">
        <f ca="1">IF(НАСТРОЙКИ!$B$7&lt;&gt;"Да",0,IFERROR(SUMIF(INDIRECT("'["&amp;НАСТРОЙКИ!$D$7&amp;"]КРЕДИТЫ'!$S$3:$EO$3"),DC$22,INDIRECT("'["&amp;НАСТРОЙКИ!$D$7&amp;"]КРЕДИТЫ'!$S$51:$EO$51"))/1000000,0))</f>
        <v>9773.9930693875613</v>
      </c>
      <c r="DD86" s="35">
        <f ca="1">IF(НАСТРОЙКИ!$B$7&lt;&gt;"Да",0,IFERROR(SUMIF(INDIRECT("'["&amp;НАСТРОЙКИ!$D$7&amp;"]КРЕДИТЫ'!$S$3:$EO$3"),DD$22,INDIRECT("'["&amp;НАСТРОЙКИ!$D$7&amp;"]КРЕДИТЫ'!$S$51:$EO$51"))/1000000,0))</f>
        <v>9773.9930693875613</v>
      </c>
      <c r="DE86" s="35">
        <f ca="1">IF(НАСТРОЙКИ!$B$7&lt;&gt;"Да",0,IFERROR(SUMIF(INDIRECT("'["&amp;НАСТРОЙКИ!$D$7&amp;"]КРЕДИТЫ'!$S$3:$EO$3"),DE$22,INDIRECT("'["&amp;НАСТРОЙКИ!$D$7&amp;"]КРЕДИТЫ'!$S$51:$EO$51"))/1000000,0))</f>
        <v>9773.9930693875613</v>
      </c>
      <c r="DF86" s="35">
        <f ca="1">IF(НАСТРОЙКИ!$B$7&lt;&gt;"Да",0,IFERROR(SUMIF(INDIRECT("'["&amp;НАСТРОЙКИ!$D$7&amp;"]КРЕДИТЫ'!$S$3:$EO$3"),DF$22,INDIRECT("'["&amp;НАСТРОЙКИ!$D$7&amp;"]КРЕДИТЫ'!$S$51:$EO$51"))/1000000,0))</f>
        <v>9773.9930693875613</v>
      </c>
    </row>
    <row r="87" spans="1:110">
      <c r="A87" s="34" t="s">
        <v>134</v>
      </c>
      <c r="B87" s="34" t="s">
        <v>58</v>
      </c>
      <c r="C87" s="35">
        <f ca="1">IF(НАСТРОЙКИ!$B$7&lt;&gt;"Да",0,MAX(0,IFERROR(SUMIF(INDIRECT("'["&amp;НАСТРОЙКИ!$D$7&amp;"]КРЕДИТЫ'!$S$3:$EO$3"),C$22,INDIRECT("'["&amp;НАСТРОЙКИ!$D$7&amp;"]КРЕДИТЫ'!$S$38:$EO$38"))/1000000,0)))</f>
        <v>0</v>
      </c>
      <c r="D87" s="35">
        <f ca="1">IF(НАСТРОЙКИ!$B$7&lt;&gt;"Да",0,MAX(0,IFERROR(SUMIF(INDIRECT("'["&amp;НАСТРОЙКИ!$D$7&amp;"]КРЕДИТЫ'!$S$3:$EO$3"),D$22,INDIRECT("'["&amp;НАСТРОЙКИ!$D$7&amp;"]КРЕДИТЫ'!$S$38:$EO$38"))/1000000,0)))</f>
        <v>0</v>
      </c>
      <c r="E87" s="35">
        <f ca="1">IF(НАСТРОЙКИ!$B$7&lt;&gt;"Да",0,MAX(0,IFERROR(SUMIF(INDIRECT("'["&amp;НАСТРОЙКИ!$D$7&amp;"]КРЕДИТЫ'!$S$3:$EO$3"),E$22,INDIRECT("'["&amp;НАСТРОЙКИ!$D$7&amp;"]КРЕДИТЫ'!$S$38:$EO$38"))/1000000,0)))</f>
        <v>0</v>
      </c>
      <c r="F87" s="35">
        <f ca="1">IF(НАСТРОЙКИ!$B$7&lt;&gt;"Да",0,MAX(0,IFERROR(SUMIF(INDIRECT("'["&amp;НАСТРОЙКИ!$D$7&amp;"]КРЕДИТЫ'!$S$3:$EO$3"),F$22,INDIRECT("'["&amp;НАСТРОЙКИ!$D$7&amp;"]КРЕДИТЫ'!$S$38:$EO$38"))/1000000,0)))</f>
        <v>0</v>
      </c>
      <c r="G87" s="35">
        <f ca="1">IF(НАСТРОЙКИ!$B$7&lt;&gt;"Да",0,MAX(0,IFERROR(SUMIF(INDIRECT("'["&amp;НАСТРОЙКИ!$D$7&amp;"]КРЕДИТЫ'!$S$3:$EO$3"),G$22,INDIRECT("'["&amp;НАСТРОЙКИ!$D$7&amp;"]КРЕДИТЫ'!$S$38:$EO$38"))/1000000,0)))</f>
        <v>0</v>
      </c>
      <c r="H87" s="35">
        <f ca="1">IF(НАСТРОЙКИ!$B$7&lt;&gt;"Да",0,MAX(0,IFERROR(SUMIF(INDIRECT("'["&amp;НАСТРОЙКИ!$D$7&amp;"]КРЕДИТЫ'!$S$3:$EO$3"),H$22,INDIRECT("'["&amp;НАСТРОЙКИ!$D$7&amp;"]КРЕДИТЫ'!$S$38:$EO$38"))/1000000,0)))</f>
        <v>0</v>
      </c>
      <c r="I87" s="35">
        <f ca="1">IF(НАСТРОЙКИ!$B$7&lt;&gt;"Да",0,MAX(0,IFERROR(SUMIF(INDIRECT("'["&amp;НАСТРОЙКИ!$D$7&amp;"]КРЕДИТЫ'!$S$3:$EO$3"),I$22,INDIRECT("'["&amp;НАСТРОЙКИ!$D$7&amp;"]КРЕДИТЫ'!$S$38:$EO$38"))/1000000,0)))</f>
        <v>0</v>
      </c>
      <c r="J87" s="35">
        <f ca="1">IF(НАСТРОЙКИ!$B$7&lt;&gt;"Да",0,MAX(0,IFERROR(SUMIF(INDIRECT("'["&amp;НАСТРОЙКИ!$D$7&amp;"]КРЕДИТЫ'!$S$3:$EO$3"),J$22,INDIRECT("'["&amp;НАСТРОЙКИ!$D$7&amp;"]КРЕДИТЫ'!$S$38:$EO$38"))/1000000,0)))</f>
        <v>0</v>
      </c>
      <c r="K87" s="35">
        <f ca="1">IF(НАСТРОЙКИ!$B$7&lt;&gt;"Да",0,MAX(0,IFERROR(SUMIF(INDIRECT("'["&amp;НАСТРОЙКИ!$D$7&amp;"]КРЕДИТЫ'!$S$3:$EO$3"),K$22,INDIRECT("'["&amp;НАСТРОЙКИ!$D$7&amp;"]КРЕДИТЫ'!$S$38:$EO$38"))/1000000,0)))</f>
        <v>0</v>
      </c>
      <c r="L87" s="35">
        <f ca="1">IF(НАСТРОЙКИ!$B$7&lt;&gt;"Да",0,MAX(0,IFERROR(SUMIF(INDIRECT("'["&amp;НАСТРОЙКИ!$D$7&amp;"]КРЕДИТЫ'!$S$3:$EO$3"),L$22,INDIRECT("'["&amp;НАСТРОЙКИ!$D$7&amp;"]КРЕДИТЫ'!$S$38:$EO$38"))/1000000,0)))</f>
        <v>0</v>
      </c>
      <c r="M87" s="35">
        <f ca="1">IF(НАСТРОЙКИ!$B$7&lt;&gt;"Да",0,MAX(0,IFERROR(SUMIF(INDIRECT("'["&amp;НАСТРОЙКИ!$D$7&amp;"]КРЕДИТЫ'!$S$3:$EO$3"),M$22,INDIRECT("'["&amp;НАСТРОЙКИ!$D$7&amp;"]КРЕДИТЫ'!$S$38:$EO$38"))/1000000,0)))</f>
        <v>0</v>
      </c>
      <c r="N87" s="35">
        <f ca="1">IF(НАСТРОЙКИ!$B$7&lt;&gt;"Да",0,MAX(0,IFERROR(SUMIF(INDIRECT("'["&amp;НАСТРОЙКИ!$D$7&amp;"]КРЕДИТЫ'!$S$3:$EO$3"),N$22,INDIRECT("'["&amp;НАСТРОЙКИ!$D$7&amp;"]КРЕДИТЫ'!$S$38:$EO$38"))/1000000,0)))</f>
        <v>0</v>
      </c>
      <c r="O87" s="35">
        <f ca="1">IF(НАСТРОЙКИ!$B$7&lt;&gt;"Да",0,MAX(0,IFERROR(SUMIF(INDIRECT("'["&amp;НАСТРОЙКИ!$D$7&amp;"]КРЕДИТЫ'!$S$3:$EO$3"),O$22,INDIRECT("'["&amp;НАСТРОЙКИ!$D$7&amp;"]КРЕДИТЫ'!$S$38:$EO$38"))/1000000,0)))</f>
        <v>0</v>
      </c>
      <c r="P87" s="35">
        <f ca="1">IF(НАСТРОЙКИ!$B$7&lt;&gt;"Да",0,MAX(0,IFERROR(SUMIF(INDIRECT("'["&amp;НАСТРОЙКИ!$D$7&amp;"]КРЕДИТЫ'!$S$3:$EO$3"),P$22,INDIRECT("'["&amp;НАСТРОЙКИ!$D$7&amp;"]КРЕДИТЫ'!$S$38:$EO$38"))/1000000,0)))</f>
        <v>0</v>
      </c>
      <c r="Q87" s="35">
        <f ca="1">IF(НАСТРОЙКИ!$B$7&lt;&gt;"Да",0,MAX(0,IFERROR(SUMIF(INDIRECT("'["&amp;НАСТРОЙКИ!$D$7&amp;"]КРЕДИТЫ'!$S$3:$EO$3"),Q$22,INDIRECT("'["&amp;НАСТРОЙКИ!$D$7&amp;"]КРЕДИТЫ'!$S$38:$EO$38"))/1000000,0)))</f>
        <v>0</v>
      </c>
      <c r="R87" s="35">
        <f ca="1">IF(НАСТРОЙКИ!$B$7&lt;&gt;"Да",0,MAX(0,IFERROR(SUMIF(INDIRECT("'["&amp;НАСТРОЙКИ!$D$7&amp;"]КРЕДИТЫ'!$S$3:$EO$3"),R$22,INDIRECT("'["&amp;НАСТРОЙКИ!$D$7&amp;"]КРЕДИТЫ'!$S$38:$EO$38"))/1000000,0)))</f>
        <v>0</v>
      </c>
      <c r="S87" s="35">
        <f ca="1">IF(НАСТРОЙКИ!$B$7&lt;&gt;"Да",0,MAX(0,IFERROR(SUMIF(INDIRECT("'["&amp;НАСТРОЙКИ!$D$7&amp;"]КРЕДИТЫ'!$S$3:$EO$3"),S$22,INDIRECT("'["&amp;НАСТРОЙКИ!$D$7&amp;"]КРЕДИТЫ'!$S$38:$EO$38"))/1000000,0)))</f>
        <v>0</v>
      </c>
      <c r="T87" s="35">
        <f ca="1">IF(НАСТРОЙКИ!$B$7&lt;&gt;"Да",0,MAX(0,IFERROR(SUMIF(INDIRECT("'["&amp;НАСТРОЙКИ!$D$7&amp;"]КРЕДИТЫ'!$S$3:$EO$3"),T$22,INDIRECT("'["&amp;НАСТРОЙКИ!$D$7&amp;"]КРЕДИТЫ'!$S$38:$EO$38"))/1000000,0)))</f>
        <v>0</v>
      </c>
      <c r="U87" s="35">
        <f ca="1">IF(НАСТРОЙКИ!$B$7&lt;&gt;"Да",0,MAX(0,IFERROR(SUMIF(INDIRECT("'["&amp;НАСТРОЙКИ!$D$7&amp;"]КРЕДИТЫ'!$S$3:$EO$3"),U$22,INDIRECT("'["&amp;НАСТРОЙКИ!$D$7&amp;"]КРЕДИТЫ'!$S$38:$EO$38"))/1000000,0)))</f>
        <v>0</v>
      </c>
      <c r="V87" s="35">
        <f ca="1">IF(НАСТРОЙКИ!$B$7&lt;&gt;"Да",0,MAX(0,IFERROR(SUMIF(INDIRECT("'["&amp;НАСТРОЙКИ!$D$7&amp;"]КРЕДИТЫ'!$S$3:$EO$3"),V$22,INDIRECT("'["&amp;НАСТРОЙКИ!$D$7&amp;"]КРЕДИТЫ'!$S$38:$EO$38"))/1000000,0)))</f>
        <v>0</v>
      </c>
      <c r="W87" s="35">
        <f ca="1">IF(НАСТРОЙКИ!$B$7&lt;&gt;"Да",0,MAX(0,IFERROR(SUMIF(INDIRECT("'["&amp;НАСТРОЙКИ!$D$7&amp;"]КРЕДИТЫ'!$S$3:$EO$3"),W$22,INDIRECT("'["&amp;НАСТРОЙКИ!$D$7&amp;"]КРЕДИТЫ'!$S$38:$EO$38"))/1000000,0)))</f>
        <v>0</v>
      </c>
      <c r="X87" s="35">
        <f ca="1">IF(НАСТРОЙКИ!$B$7&lt;&gt;"Да",0,MAX(0,IFERROR(SUMIF(INDIRECT("'["&amp;НАСТРОЙКИ!$D$7&amp;"]КРЕДИТЫ'!$S$3:$EO$3"),X$22,INDIRECT("'["&amp;НАСТРОЙКИ!$D$7&amp;"]КРЕДИТЫ'!$S$38:$EO$38"))/1000000,0)))</f>
        <v>0</v>
      </c>
      <c r="Y87" s="35">
        <f ca="1">IF(НАСТРОЙКИ!$B$7&lt;&gt;"Да",0,MAX(0,IFERROR(SUMIF(INDIRECT("'["&amp;НАСТРОЙКИ!$D$7&amp;"]КРЕДИТЫ'!$S$3:$EO$3"),Y$22,INDIRECT("'["&amp;НАСТРОЙКИ!$D$7&amp;"]КРЕДИТЫ'!$S$38:$EO$38"))/1000000,0)))</f>
        <v>0</v>
      </c>
      <c r="Z87" s="35">
        <f ca="1">IF(НАСТРОЙКИ!$B$7&lt;&gt;"Да",0,MAX(0,IFERROR(SUMIF(INDIRECT("'["&amp;НАСТРОЙКИ!$D$7&amp;"]КРЕДИТЫ'!$S$3:$EO$3"),Z$22,INDIRECT("'["&amp;НАСТРОЙКИ!$D$7&amp;"]КРЕДИТЫ'!$S$38:$EO$38"))/1000000,0)))</f>
        <v>0</v>
      </c>
      <c r="AA87" s="35">
        <f ca="1">IF(НАСТРОЙКИ!$B$7&lt;&gt;"Да",0,MAX(0,IFERROR(SUMIF(INDIRECT("'["&amp;НАСТРОЙКИ!$D$7&amp;"]КРЕДИТЫ'!$S$3:$EO$3"),AA$22,INDIRECT("'["&amp;НАСТРОЙКИ!$D$7&amp;"]КРЕДИТЫ'!$S$38:$EO$38"))/1000000,0)))</f>
        <v>0</v>
      </c>
      <c r="AB87" s="35">
        <f ca="1">IF(НАСТРОЙКИ!$B$7&lt;&gt;"Да",0,MAX(0,IFERROR(SUMIF(INDIRECT("'["&amp;НАСТРОЙКИ!$D$7&amp;"]КРЕДИТЫ'!$S$3:$EO$3"),AB$22,INDIRECT("'["&amp;НАСТРОЙКИ!$D$7&amp;"]КРЕДИТЫ'!$S$38:$EO$38"))/1000000,0)))</f>
        <v>0</v>
      </c>
      <c r="AC87" s="35">
        <f ca="1">IF(НАСТРОЙКИ!$B$7&lt;&gt;"Да",0,MAX(0,IFERROR(SUMIF(INDIRECT("'["&amp;НАСТРОЙКИ!$D$7&amp;"]КРЕДИТЫ'!$S$3:$EO$3"),AC$22,INDIRECT("'["&amp;НАСТРОЙКИ!$D$7&amp;"]КРЕДИТЫ'!$S$38:$EO$38"))/1000000,0)))</f>
        <v>0</v>
      </c>
      <c r="AD87" s="35">
        <f ca="1">IF(НАСТРОЙКИ!$B$7&lt;&gt;"Да",0,MAX(0,IFERROR(SUMIF(INDIRECT("'["&amp;НАСТРОЙКИ!$D$7&amp;"]КРЕДИТЫ'!$S$3:$EO$3"),AD$22,INDIRECT("'["&amp;НАСТРОЙКИ!$D$7&amp;"]КРЕДИТЫ'!$S$38:$EO$38"))/1000000,0)))</f>
        <v>0</v>
      </c>
      <c r="AE87" s="35">
        <f ca="1">IF(НАСТРОЙКИ!$B$7&lt;&gt;"Да",0,MAX(0,IFERROR(SUMIF(INDIRECT("'["&amp;НАСТРОЙКИ!$D$7&amp;"]КРЕДИТЫ'!$S$3:$EO$3"),AE$22,INDIRECT("'["&amp;НАСТРОЙКИ!$D$7&amp;"]КРЕДИТЫ'!$S$38:$EO$38"))/1000000,0)))</f>
        <v>0</v>
      </c>
      <c r="AF87" s="35">
        <f ca="1">IF(НАСТРОЙКИ!$B$7&lt;&gt;"Да",0,MAX(0,IFERROR(SUMIF(INDIRECT("'["&amp;НАСТРОЙКИ!$D$7&amp;"]КРЕДИТЫ'!$S$3:$EO$3"),AF$22,INDIRECT("'["&amp;НАСТРОЙКИ!$D$7&amp;"]КРЕДИТЫ'!$S$38:$EO$38"))/1000000,0)))</f>
        <v>0</v>
      </c>
      <c r="AG87" s="35">
        <f ca="1">IF(НАСТРОЙКИ!$B$7&lt;&gt;"Да",0,MAX(0,IFERROR(SUMIF(INDIRECT("'["&amp;НАСТРОЙКИ!$D$7&amp;"]КРЕДИТЫ'!$S$3:$EO$3"),AG$22,INDIRECT("'["&amp;НАСТРОЙКИ!$D$7&amp;"]КРЕДИТЫ'!$S$38:$EO$38"))/1000000,0)))</f>
        <v>0</v>
      </c>
      <c r="AH87" s="35">
        <f ca="1">IF(НАСТРОЙКИ!$B$7&lt;&gt;"Да",0,MAX(0,IFERROR(SUMIF(INDIRECT("'["&amp;НАСТРОЙКИ!$D$7&amp;"]КРЕДИТЫ'!$S$3:$EO$3"),AH$22,INDIRECT("'["&amp;НАСТРОЙКИ!$D$7&amp;"]КРЕДИТЫ'!$S$38:$EO$38"))/1000000,0)))</f>
        <v>0</v>
      </c>
      <c r="AI87" s="35">
        <f ca="1">IF(НАСТРОЙКИ!$B$7&lt;&gt;"Да",0,MAX(0,IFERROR(SUMIF(INDIRECT("'["&amp;НАСТРОЙКИ!$D$7&amp;"]КРЕДИТЫ'!$S$3:$EO$3"),AI$22,INDIRECT("'["&amp;НАСТРОЙКИ!$D$7&amp;"]КРЕДИТЫ'!$S$38:$EO$38"))/1000000,0)))</f>
        <v>0</v>
      </c>
      <c r="AJ87" s="35">
        <f ca="1">IF(НАСТРОЙКИ!$B$7&lt;&gt;"Да",0,MAX(0,IFERROR(SUMIF(INDIRECT("'["&amp;НАСТРОЙКИ!$D$7&amp;"]КРЕДИТЫ'!$S$3:$EO$3"),AJ$22,INDIRECT("'["&amp;НАСТРОЙКИ!$D$7&amp;"]КРЕДИТЫ'!$S$38:$EO$38"))/1000000,0)))</f>
        <v>0</v>
      </c>
      <c r="AK87" s="35">
        <f ca="1">IF(НАСТРОЙКИ!$B$7&lt;&gt;"Да",0,MAX(0,IFERROR(SUMIF(INDIRECT("'["&amp;НАСТРОЙКИ!$D$7&amp;"]КРЕДИТЫ'!$S$3:$EO$3"),AK$22,INDIRECT("'["&amp;НАСТРОЙКИ!$D$7&amp;"]КРЕДИТЫ'!$S$38:$EO$38"))/1000000,0)))</f>
        <v>0</v>
      </c>
      <c r="AL87" s="35">
        <f ca="1">IF(НАСТРОЙКИ!$B$7&lt;&gt;"Да",0,MAX(0,IFERROR(SUMIF(INDIRECT("'["&amp;НАСТРОЙКИ!$D$7&amp;"]КРЕДИТЫ'!$S$3:$EO$3"),AL$22,INDIRECT("'["&amp;НАСТРОЙКИ!$D$7&amp;"]КРЕДИТЫ'!$S$38:$EO$38"))/1000000,0)))</f>
        <v>0</v>
      </c>
      <c r="AM87" s="35">
        <f ca="1">IF(НАСТРОЙКИ!$B$7&lt;&gt;"Да",0,MAX(0,IFERROR(SUMIF(INDIRECT("'["&amp;НАСТРОЙКИ!$D$7&amp;"]КРЕДИТЫ'!$S$3:$EO$3"),AM$22,INDIRECT("'["&amp;НАСТРОЙКИ!$D$7&amp;"]КРЕДИТЫ'!$S$38:$EO$38"))/1000000,0)))</f>
        <v>0</v>
      </c>
      <c r="AN87" s="35">
        <f ca="1">IF(НАСТРОЙКИ!$B$7&lt;&gt;"Да",0,MAX(0,IFERROR(SUMIF(INDIRECT("'["&amp;НАСТРОЙКИ!$D$7&amp;"]КРЕДИТЫ'!$S$3:$EO$3"),AN$22,INDIRECT("'["&amp;НАСТРОЙКИ!$D$7&amp;"]КРЕДИТЫ'!$S$38:$EO$38"))/1000000,0)))</f>
        <v>0</v>
      </c>
      <c r="AO87" s="35">
        <f ca="1">IF(НАСТРОЙКИ!$B$7&lt;&gt;"Да",0,MAX(0,IFERROR(SUMIF(INDIRECT("'["&amp;НАСТРОЙКИ!$D$7&amp;"]КРЕДИТЫ'!$S$3:$EO$3"),AO$22,INDIRECT("'["&amp;НАСТРОЙКИ!$D$7&amp;"]КРЕДИТЫ'!$S$38:$EO$38"))/1000000,0)))</f>
        <v>147.79907449732906</v>
      </c>
      <c r="AP87" s="35">
        <f ca="1">IF(НАСТРОЙКИ!$B$7&lt;&gt;"Да",0,MAX(0,IFERROR(SUMIF(INDIRECT("'["&amp;НАСТРОЙКИ!$D$7&amp;"]КРЕДИТЫ'!$S$3:$EO$3"),AP$22,INDIRECT("'["&amp;НАСТРОЙКИ!$D$7&amp;"]КРЕДИТЫ'!$S$38:$EO$38"))/1000000,0)))</f>
        <v>343.41722318396586</v>
      </c>
      <c r="AQ87" s="35">
        <f ca="1">IF(НАСТРОЙКИ!$B$7&lt;&gt;"Да",0,MAX(0,IFERROR(SUMIF(INDIRECT("'["&amp;НАСТРОЙКИ!$D$7&amp;"]КРЕДИТЫ'!$S$3:$EO$3"),AQ$22,INDIRECT("'["&amp;НАСТРОЙКИ!$D$7&amp;"]КРЕДИТЫ'!$S$38:$EO$38"))/1000000,0)))</f>
        <v>177.65330915097871</v>
      </c>
      <c r="AR87" s="35">
        <f ca="1">IF(НАСТРОЙКИ!$B$7&lt;&gt;"Да",0,MAX(0,IFERROR(SUMIF(INDIRECT("'["&amp;НАСТРОЙКИ!$D$7&amp;"]КРЕДИТЫ'!$S$3:$EO$3"),AR$22,INDIRECT("'["&amp;НАСТРОЙКИ!$D$7&amp;"]КРЕДИТЫ'!$S$38:$EO$38"))/1000000,0)))</f>
        <v>177.65330915097871</v>
      </c>
      <c r="AS87" s="35">
        <f ca="1">IF(НАСТРОЙКИ!$B$7&lt;&gt;"Да",0,MAX(0,IFERROR(SUMIF(INDIRECT("'["&amp;НАСТРОЙКИ!$D$7&amp;"]КРЕДИТЫ'!$S$3:$EO$3"),AS$22,INDIRECT("'["&amp;НАСТРОЙКИ!$D$7&amp;"]КРЕДИТЫ'!$S$38:$EO$38"))/1000000,0)))</f>
        <v>0</v>
      </c>
      <c r="AT87" s="35">
        <f ca="1">IF(НАСТРОЙКИ!$B$7&lt;&gt;"Да",0,MAX(0,IFERROR(SUMIF(INDIRECT("'["&amp;НАСТРОЙКИ!$D$7&amp;"]КРЕДИТЫ'!$S$3:$EO$3"),AT$22,INDIRECT("'["&amp;НАСТРОЙКИ!$D$7&amp;"]КРЕДИТЫ'!$S$38:$EO$38"))/1000000,0)))</f>
        <v>0</v>
      </c>
      <c r="AU87" s="35">
        <f ca="1">IF(НАСТРОЙКИ!$B$7&lt;&gt;"Да",0,MAX(0,IFERROR(SUMIF(INDIRECT("'["&amp;НАСТРОЙКИ!$D$7&amp;"]КРЕДИТЫ'!$S$3:$EO$3"),AU$22,INDIRECT("'["&amp;НАСТРОЙКИ!$D$7&amp;"]КРЕДИТЫ'!$S$38:$EO$38"))/1000000,0)))</f>
        <v>0</v>
      </c>
      <c r="AV87" s="35">
        <f ca="1">IF(НАСТРОЙКИ!$B$7&lt;&gt;"Да",0,MAX(0,IFERROR(SUMIF(INDIRECT("'["&amp;НАСТРОЙКИ!$D$7&amp;"]КРЕДИТЫ'!$S$3:$EO$3"),AV$22,INDIRECT("'["&amp;НАСТРОЙКИ!$D$7&amp;"]КРЕДИТЫ'!$S$38:$EO$38"))/1000000,0)))</f>
        <v>0</v>
      </c>
      <c r="AW87" s="35">
        <f ca="1">IF(НАСТРОЙКИ!$B$7&lt;&gt;"Да",0,MAX(0,IFERROR(SUMIF(INDIRECT("'["&amp;НАСТРОЙКИ!$D$7&amp;"]КРЕДИТЫ'!$S$3:$EO$3"),AW$22,INDIRECT("'["&amp;НАСТРОЙКИ!$D$7&amp;"]КРЕДИТЫ'!$S$38:$EO$38"))/1000000,0)))</f>
        <v>0</v>
      </c>
      <c r="AX87" s="35">
        <f ca="1">IF(НАСТРОЙКИ!$B$7&lt;&gt;"Да",0,MAX(0,IFERROR(SUMIF(INDIRECT("'["&amp;НАСТРОЙКИ!$D$7&amp;"]КРЕДИТЫ'!$S$3:$EO$3"),AX$22,INDIRECT("'["&amp;НАСТРОЙКИ!$D$7&amp;"]КРЕДИТЫ'!$S$38:$EO$38"))/1000000,0)))</f>
        <v>0</v>
      </c>
      <c r="AY87" s="35">
        <f ca="1">IF(НАСТРОЙКИ!$B$7&lt;&gt;"Да",0,MAX(0,IFERROR(SUMIF(INDIRECT("'["&amp;НАСТРОЙКИ!$D$7&amp;"]КРЕДИТЫ'!$S$3:$EO$3"),AY$22,INDIRECT("'["&amp;НАСТРОЙКИ!$D$7&amp;"]КРЕДИТЫ'!$S$38:$EO$38"))/1000000,0)))</f>
        <v>0</v>
      </c>
      <c r="AZ87" s="35">
        <f ca="1">IF(НАСТРОЙКИ!$B$7&lt;&gt;"Да",0,MAX(0,IFERROR(SUMIF(INDIRECT("'["&amp;НАСТРОЙКИ!$D$7&amp;"]КРЕДИТЫ'!$S$3:$EO$3"),AZ$22,INDIRECT("'["&amp;НАСТРОЙКИ!$D$7&amp;"]КРЕДИТЫ'!$S$38:$EO$38"))/1000000,0)))</f>
        <v>0</v>
      </c>
      <c r="BA87" s="35">
        <f ca="1">IF(НАСТРОЙКИ!$B$7&lt;&gt;"Да",0,MAX(0,IFERROR(SUMIF(INDIRECT("'["&amp;НАСТРОЙКИ!$D$7&amp;"]КРЕДИТЫ'!$S$3:$EO$3"),BA$22,INDIRECT("'["&amp;НАСТРОЙКИ!$D$7&amp;"]КРЕДИТЫ'!$S$38:$EO$38"))/1000000,0)))</f>
        <v>0</v>
      </c>
      <c r="BB87" s="35">
        <f ca="1">IF(НАСТРОЙКИ!$B$7&lt;&gt;"Да",0,MAX(0,IFERROR(SUMIF(INDIRECT("'["&amp;НАСТРОЙКИ!$D$7&amp;"]КРЕДИТЫ'!$S$3:$EO$3"),BB$22,INDIRECT("'["&amp;НАСТРОЙКИ!$D$7&amp;"]КРЕДИТЫ'!$S$38:$EO$38"))/1000000,0)))</f>
        <v>0</v>
      </c>
      <c r="BC87" s="35">
        <f ca="1">IF(НАСТРОЙКИ!$B$7&lt;&gt;"Да",0,MAX(0,IFERROR(SUMIF(INDIRECT("'["&amp;НАСТРОЙКИ!$D$7&amp;"]КРЕДИТЫ'!$S$3:$EO$3"),BC$22,INDIRECT("'["&amp;НАСТРОЙКИ!$D$7&amp;"]КРЕДИТЫ'!$S$38:$EO$38"))/1000000,0)))</f>
        <v>0</v>
      </c>
      <c r="BD87" s="35">
        <f ca="1">IF(НАСТРОЙКИ!$B$7&lt;&gt;"Да",0,MAX(0,IFERROR(SUMIF(INDIRECT("'["&amp;НАСТРОЙКИ!$D$7&amp;"]КРЕДИТЫ'!$S$3:$EO$3"),BD$22,INDIRECT("'["&amp;НАСТРОЙКИ!$D$7&amp;"]КРЕДИТЫ'!$S$38:$EO$38"))/1000000,0)))</f>
        <v>0</v>
      </c>
      <c r="BE87" s="35">
        <f ca="1">IF(НАСТРОЙКИ!$B$7&lt;&gt;"Да",0,MAX(0,IFERROR(SUMIF(INDIRECT("'["&amp;НАСТРОЙКИ!$D$7&amp;"]КРЕДИТЫ'!$S$3:$EO$3"),BE$22,INDIRECT("'["&amp;НАСТРОЙКИ!$D$7&amp;"]КРЕДИТЫ'!$S$38:$EO$38"))/1000000,0)))</f>
        <v>0</v>
      </c>
      <c r="BF87" s="35">
        <f ca="1">IF(НАСТРОЙКИ!$B$7&lt;&gt;"Да",0,MAX(0,IFERROR(SUMIF(INDIRECT("'["&amp;НАСТРОЙКИ!$D$7&amp;"]КРЕДИТЫ'!$S$3:$EO$3"),BF$22,INDIRECT("'["&amp;НАСТРОЙКИ!$D$7&amp;"]КРЕДИТЫ'!$S$38:$EO$38"))/1000000,0)))</f>
        <v>0</v>
      </c>
      <c r="BG87" s="35">
        <f ca="1">IF(НАСТРОЙКИ!$B$7&lt;&gt;"Да",0,MAX(0,IFERROR(SUMIF(INDIRECT("'["&amp;НАСТРОЙКИ!$D$7&amp;"]КРЕДИТЫ'!$S$3:$EO$3"),BG$22,INDIRECT("'["&amp;НАСТРОЙКИ!$D$7&amp;"]КРЕДИТЫ'!$S$38:$EO$38"))/1000000,0)))</f>
        <v>0</v>
      </c>
      <c r="BH87" s="35">
        <f ca="1">IF(НАСТРОЙКИ!$B$7&lt;&gt;"Да",0,MAX(0,IFERROR(SUMIF(INDIRECT("'["&amp;НАСТРОЙКИ!$D$7&amp;"]КРЕДИТЫ'!$S$3:$EO$3"),BH$22,INDIRECT("'["&amp;НАСТРОЙКИ!$D$7&amp;"]КРЕДИТЫ'!$S$38:$EO$38"))/1000000,0)))</f>
        <v>0</v>
      </c>
      <c r="BI87" s="35">
        <f ca="1">IF(НАСТРОЙКИ!$B$7&lt;&gt;"Да",0,MAX(0,IFERROR(SUMIF(INDIRECT("'["&amp;НАСТРОЙКИ!$D$7&amp;"]КРЕДИТЫ'!$S$3:$EO$3"),BI$22,INDIRECT("'["&amp;НАСТРОЙКИ!$D$7&amp;"]КРЕДИТЫ'!$S$38:$EO$38"))/1000000,0)))</f>
        <v>0</v>
      </c>
      <c r="BJ87" s="35">
        <f ca="1">IF(НАСТРОЙКИ!$B$7&lt;&gt;"Да",0,MAX(0,IFERROR(SUMIF(INDIRECT("'["&amp;НАСТРОЙКИ!$D$7&amp;"]КРЕДИТЫ'!$S$3:$EO$3"),BJ$22,INDIRECT("'["&amp;НАСТРОЙКИ!$D$7&amp;"]КРЕДИТЫ'!$S$38:$EO$38"))/1000000,0)))</f>
        <v>0</v>
      </c>
      <c r="BK87" s="35">
        <f ca="1">IF(НАСТРОЙКИ!$B$7&lt;&gt;"Да",0,MAX(0,IFERROR(SUMIF(INDIRECT("'["&amp;НАСТРОЙКИ!$D$7&amp;"]КРЕДИТЫ'!$S$3:$EO$3"),BK$22,INDIRECT("'["&amp;НАСТРОЙКИ!$D$7&amp;"]КРЕДИТЫ'!$S$38:$EO$38"))/1000000,0)))</f>
        <v>0</v>
      </c>
      <c r="BL87" s="35">
        <f ca="1">IF(НАСТРОЙКИ!$B$7&lt;&gt;"Да",0,MAX(0,IFERROR(SUMIF(INDIRECT("'["&amp;НАСТРОЙКИ!$D$7&amp;"]КРЕДИТЫ'!$S$3:$EO$3"),BL$22,INDIRECT("'["&amp;НАСТРОЙКИ!$D$7&amp;"]КРЕДИТЫ'!$S$38:$EO$38"))/1000000,0)))</f>
        <v>0</v>
      </c>
      <c r="BM87" s="35">
        <f ca="1">IF(НАСТРОЙКИ!$B$7&lt;&gt;"Да",0,MAX(0,IFERROR(SUMIF(INDIRECT("'["&amp;НАСТРОЙКИ!$D$7&amp;"]КРЕДИТЫ'!$S$3:$EO$3"),BM$22,INDIRECT("'["&amp;НАСТРОЙКИ!$D$7&amp;"]КРЕДИТЫ'!$S$38:$EO$38"))/1000000,0)))</f>
        <v>0</v>
      </c>
      <c r="BN87" s="35">
        <f ca="1">IF(НАСТРОЙКИ!$B$7&lt;&gt;"Да",0,MAX(0,IFERROR(SUMIF(INDIRECT("'["&amp;НАСТРОЙКИ!$D$7&amp;"]КРЕДИТЫ'!$S$3:$EO$3"),BN$22,INDIRECT("'["&amp;НАСТРОЙКИ!$D$7&amp;"]КРЕДИТЫ'!$S$38:$EO$38"))/1000000,0)))</f>
        <v>0</v>
      </c>
      <c r="BO87" s="35">
        <f ca="1">IF(НАСТРОЙКИ!$B$7&lt;&gt;"Да",0,MAX(0,IFERROR(SUMIF(INDIRECT("'["&amp;НАСТРОЙКИ!$D$7&amp;"]КРЕДИТЫ'!$S$3:$EO$3"),BO$22,INDIRECT("'["&amp;НАСТРОЙКИ!$D$7&amp;"]КРЕДИТЫ'!$S$38:$EO$38"))/1000000,0)))</f>
        <v>0</v>
      </c>
      <c r="BP87" s="35">
        <f ca="1">IF(НАСТРОЙКИ!$B$7&lt;&gt;"Да",0,MAX(0,IFERROR(SUMIF(INDIRECT("'["&amp;НАСТРОЙКИ!$D$7&amp;"]КРЕДИТЫ'!$S$3:$EO$3"),BP$22,INDIRECT("'["&amp;НАСТРОЙКИ!$D$7&amp;"]КРЕДИТЫ'!$S$38:$EO$38"))/1000000,0)))</f>
        <v>0</v>
      </c>
      <c r="BQ87" s="35">
        <f ca="1">IF(НАСТРОЙКИ!$B$7&lt;&gt;"Да",0,MAX(0,IFERROR(SUMIF(INDIRECT("'["&amp;НАСТРОЙКИ!$D$7&amp;"]КРЕДИТЫ'!$S$3:$EO$3"),BQ$22,INDIRECT("'["&amp;НАСТРОЙКИ!$D$7&amp;"]КРЕДИТЫ'!$S$38:$EO$38"))/1000000,0)))</f>
        <v>0</v>
      </c>
      <c r="BR87" s="35">
        <f ca="1">IF(НАСТРОЙКИ!$B$7&lt;&gt;"Да",0,MAX(0,IFERROR(SUMIF(INDIRECT("'["&amp;НАСТРОЙКИ!$D$7&amp;"]КРЕДИТЫ'!$S$3:$EO$3"),BR$22,INDIRECT("'["&amp;НАСТРОЙКИ!$D$7&amp;"]КРЕДИТЫ'!$S$38:$EO$38"))/1000000,0)))</f>
        <v>0</v>
      </c>
      <c r="BS87" s="35">
        <f ca="1">IF(НАСТРОЙКИ!$B$7&lt;&gt;"Да",0,MAX(0,IFERROR(SUMIF(INDIRECT("'["&amp;НАСТРОЙКИ!$D$7&amp;"]КРЕДИТЫ'!$S$3:$EO$3"),BS$22,INDIRECT("'["&amp;НАСТРОЙКИ!$D$7&amp;"]КРЕДИТЫ'!$S$38:$EO$38"))/1000000,0)))</f>
        <v>0</v>
      </c>
      <c r="BT87" s="35">
        <f ca="1">IF(НАСТРОЙКИ!$B$7&lt;&gt;"Да",0,MAX(0,IFERROR(SUMIF(INDIRECT("'["&amp;НАСТРОЙКИ!$D$7&amp;"]КРЕДИТЫ'!$S$3:$EO$3"),BT$22,INDIRECT("'["&amp;НАСТРОЙКИ!$D$7&amp;"]КРЕДИТЫ'!$S$38:$EO$38"))/1000000,0)))</f>
        <v>0</v>
      </c>
      <c r="BU87" s="35">
        <f ca="1">IF(НАСТРОЙКИ!$B$7&lt;&gt;"Да",0,MAX(0,IFERROR(SUMIF(INDIRECT("'["&amp;НАСТРОЙКИ!$D$7&amp;"]КРЕДИТЫ'!$S$3:$EO$3"),BU$22,INDIRECT("'["&amp;НАСТРОЙКИ!$D$7&amp;"]КРЕДИТЫ'!$S$38:$EO$38"))/1000000,0)))</f>
        <v>0</v>
      </c>
      <c r="BV87" s="35">
        <f ca="1">IF(НАСТРОЙКИ!$B$7&lt;&gt;"Да",0,MAX(0,IFERROR(SUMIF(INDIRECT("'["&amp;НАСТРОЙКИ!$D$7&amp;"]КРЕДИТЫ'!$S$3:$EO$3"),BV$22,INDIRECT("'["&amp;НАСТРОЙКИ!$D$7&amp;"]КРЕДИТЫ'!$S$38:$EO$38"))/1000000,0)))</f>
        <v>0</v>
      </c>
      <c r="BW87" s="35">
        <f ca="1">IF(НАСТРОЙКИ!$B$7&lt;&gt;"Да",0,MAX(0,IFERROR(SUMIF(INDIRECT("'["&amp;НАСТРОЙКИ!$D$7&amp;"]КРЕДИТЫ'!$S$3:$EO$3"),BW$22,INDIRECT("'["&amp;НАСТРОЙКИ!$D$7&amp;"]КРЕДИТЫ'!$S$38:$EO$38"))/1000000,0)))</f>
        <v>0</v>
      </c>
      <c r="BX87" s="35">
        <f ca="1">IF(НАСТРОЙКИ!$B$7&lt;&gt;"Да",0,MAX(0,IFERROR(SUMIF(INDIRECT("'["&amp;НАСТРОЙКИ!$D$7&amp;"]КРЕДИТЫ'!$S$3:$EO$3"),BX$22,INDIRECT("'["&amp;НАСТРОЙКИ!$D$7&amp;"]КРЕДИТЫ'!$S$38:$EO$38"))/1000000,0)))</f>
        <v>0</v>
      </c>
      <c r="BY87" s="35">
        <f ca="1">IF(НАСТРОЙКИ!$B$7&lt;&gt;"Да",0,MAX(0,IFERROR(SUMIF(INDIRECT("'["&amp;НАСТРОЙКИ!$D$7&amp;"]КРЕДИТЫ'!$S$3:$EO$3"),BY$22,INDIRECT("'["&amp;НАСТРОЙКИ!$D$7&amp;"]КРЕДИТЫ'!$S$38:$EO$38"))/1000000,0)))</f>
        <v>0</v>
      </c>
      <c r="BZ87" s="35">
        <f ca="1">IF(НАСТРОЙКИ!$B$7&lt;&gt;"Да",0,MAX(0,IFERROR(SUMIF(INDIRECT("'["&amp;НАСТРОЙКИ!$D$7&amp;"]КРЕДИТЫ'!$S$3:$EO$3"),BZ$22,INDIRECT("'["&amp;НАСТРОЙКИ!$D$7&amp;"]КРЕДИТЫ'!$S$38:$EO$38"))/1000000,0)))</f>
        <v>0</v>
      </c>
      <c r="CA87" s="35">
        <f ca="1">IF(НАСТРОЙКИ!$B$7&lt;&gt;"Да",0,MAX(0,IFERROR(SUMIF(INDIRECT("'["&amp;НАСТРОЙКИ!$D$7&amp;"]КРЕДИТЫ'!$S$3:$EO$3"),CA$22,INDIRECT("'["&amp;НАСТРОЙКИ!$D$7&amp;"]КРЕДИТЫ'!$S$38:$EO$38"))/1000000,0)))</f>
        <v>0</v>
      </c>
      <c r="CB87" s="35">
        <f ca="1">IF(НАСТРОЙКИ!$B$7&lt;&gt;"Да",0,MAX(0,IFERROR(SUMIF(INDIRECT("'["&amp;НАСТРОЙКИ!$D$7&amp;"]КРЕДИТЫ'!$S$3:$EO$3"),CB$22,INDIRECT("'["&amp;НАСТРОЙКИ!$D$7&amp;"]КРЕДИТЫ'!$S$38:$EO$38"))/1000000,0)))</f>
        <v>0</v>
      </c>
      <c r="CC87" s="35">
        <f ca="1">IF(НАСТРОЙКИ!$B$7&lt;&gt;"Да",0,MAX(0,IFERROR(SUMIF(INDIRECT("'["&amp;НАСТРОЙКИ!$D$7&amp;"]КРЕДИТЫ'!$S$3:$EO$3"),CC$22,INDIRECT("'["&amp;НАСТРОЙКИ!$D$7&amp;"]КРЕДИТЫ'!$S$38:$EO$38"))/1000000,0)))</f>
        <v>0</v>
      </c>
      <c r="CD87" s="35">
        <f ca="1">IF(НАСТРОЙКИ!$B$7&lt;&gt;"Да",0,MAX(0,IFERROR(SUMIF(INDIRECT("'["&amp;НАСТРОЙКИ!$D$7&amp;"]КРЕДИТЫ'!$S$3:$EO$3"),CD$22,INDIRECT("'["&amp;НАСТРОЙКИ!$D$7&amp;"]КРЕДИТЫ'!$S$38:$EO$38"))/1000000,0)))</f>
        <v>0</v>
      </c>
      <c r="CE87" s="35">
        <f ca="1">IF(НАСТРОЙКИ!$B$7&lt;&gt;"Да",0,MAX(0,IFERROR(SUMIF(INDIRECT("'["&amp;НАСТРОЙКИ!$D$7&amp;"]КРЕДИТЫ'!$S$3:$EO$3"),CE$22,INDIRECT("'["&amp;НАСТРОЙКИ!$D$7&amp;"]КРЕДИТЫ'!$S$38:$EO$38"))/1000000,0)))</f>
        <v>0</v>
      </c>
      <c r="CF87" s="35">
        <f ca="1">IF(НАСТРОЙКИ!$B$7&lt;&gt;"Да",0,MAX(0,IFERROR(SUMIF(INDIRECT("'["&amp;НАСТРОЙКИ!$D$7&amp;"]КРЕДИТЫ'!$S$3:$EO$3"),CF$22,INDIRECT("'["&amp;НАСТРОЙКИ!$D$7&amp;"]КРЕДИТЫ'!$S$38:$EO$38"))/1000000,0)))</f>
        <v>0</v>
      </c>
      <c r="CG87" s="35">
        <f ca="1">IF(НАСТРОЙКИ!$B$7&lt;&gt;"Да",0,MAX(0,IFERROR(SUMIF(INDIRECT("'["&amp;НАСТРОЙКИ!$D$7&amp;"]КРЕДИТЫ'!$S$3:$EO$3"),CG$22,INDIRECT("'["&amp;НАСТРОЙКИ!$D$7&amp;"]КРЕДИТЫ'!$S$38:$EO$38"))/1000000,0)))</f>
        <v>0</v>
      </c>
      <c r="CH87" s="35">
        <f ca="1">IF(НАСТРОЙКИ!$B$7&lt;&gt;"Да",0,MAX(0,IFERROR(SUMIF(INDIRECT("'["&amp;НАСТРОЙКИ!$D$7&amp;"]КРЕДИТЫ'!$S$3:$EO$3"),CH$22,INDIRECT("'["&amp;НАСТРОЙКИ!$D$7&amp;"]КРЕДИТЫ'!$S$38:$EO$38"))/1000000,0)))</f>
        <v>0</v>
      </c>
      <c r="CI87" s="35">
        <f ca="1">IF(НАСТРОЙКИ!$B$7&lt;&gt;"Да",0,MAX(0,IFERROR(SUMIF(INDIRECT("'["&amp;НАСТРОЙКИ!$D$7&amp;"]КРЕДИТЫ'!$S$3:$EO$3"),CI$22,INDIRECT("'["&amp;НАСТРОЙКИ!$D$7&amp;"]КРЕДИТЫ'!$S$38:$EO$38"))/1000000,0)))</f>
        <v>0</v>
      </c>
      <c r="CJ87" s="35">
        <f ca="1">IF(НАСТРОЙКИ!$B$7&lt;&gt;"Да",0,MAX(0,IFERROR(SUMIF(INDIRECT("'["&amp;НАСТРОЙКИ!$D$7&amp;"]КРЕДИТЫ'!$S$3:$EO$3"),CJ$22,INDIRECT("'["&amp;НАСТРОЙКИ!$D$7&amp;"]КРЕДИТЫ'!$S$38:$EO$38"))/1000000,0)))</f>
        <v>0</v>
      </c>
      <c r="CK87" s="35">
        <f ca="1">IF(НАСТРОЙКИ!$B$7&lt;&gt;"Да",0,MAX(0,IFERROR(SUMIF(INDIRECT("'["&amp;НАСТРОЙКИ!$D$7&amp;"]КРЕДИТЫ'!$S$3:$EO$3"),CK$22,INDIRECT("'["&amp;НАСТРОЙКИ!$D$7&amp;"]КРЕДИТЫ'!$S$38:$EO$38"))/1000000,0)))</f>
        <v>0</v>
      </c>
      <c r="CL87" s="35">
        <f ca="1">IF(НАСТРОЙКИ!$B$7&lt;&gt;"Да",0,MAX(0,IFERROR(SUMIF(INDIRECT("'["&amp;НАСТРОЙКИ!$D$7&amp;"]КРЕДИТЫ'!$S$3:$EO$3"),CL$22,INDIRECT("'["&amp;НАСТРОЙКИ!$D$7&amp;"]КРЕДИТЫ'!$S$38:$EO$38"))/1000000,0)))</f>
        <v>0</v>
      </c>
      <c r="CM87" s="35">
        <f ca="1">IF(НАСТРОЙКИ!$B$7&lt;&gt;"Да",0,MAX(0,IFERROR(SUMIF(INDIRECT("'["&amp;НАСТРОЙКИ!$D$7&amp;"]КРЕДИТЫ'!$S$3:$EO$3"),CM$22,INDIRECT("'["&amp;НАСТРОЙКИ!$D$7&amp;"]КРЕДИТЫ'!$S$38:$EO$38"))/1000000,0)))</f>
        <v>0</v>
      </c>
      <c r="CN87" s="35">
        <f ca="1">IF(НАСТРОЙКИ!$B$7&lt;&gt;"Да",0,MAX(0,IFERROR(SUMIF(INDIRECT("'["&amp;НАСТРОЙКИ!$D$7&amp;"]КРЕДИТЫ'!$S$3:$EO$3"),CN$22,INDIRECT("'["&amp;НАСТРОЙКИ!$D$7&amp;"]КРЕДИТЫ'!$S$38:$EO$38"))/1000000,0)))</f>
        <v>0</v>
      </c>
      <c r="CO87" s="35">
        <f ca="1">IF(НАСТРОЙКИ!$B$7&lt;&gt;"Да",0,MAX(0,IFERROR(SUMIF(INDIRECT("'["&amp;НАСТРОЙКИ!$D$7&amp;"]КРЕДИТЫ'!$S$3:$EO$3"),CO$22,INDIRECT("'["&amp;НАСТРОЙКИ!$D$7&amp;"]КРЕДИТЫ'!$S$38:$EO$38"))/1000000,0)))</f>
        <v>0</v>
      </c>
      <c r="CP87" s="35">
        <f ca="1">IF(НАСТРОЙКИ!$B$7&lt;&gt;"Да",0,MAX(0,IFERROR(SUMIF(INDIRECT("'["&amp;НАСТРОЙКИ!$D$7&amp;"]КРЕДИТЫ'!$S$3:$EO$3"),CP$22,INDIRECT("'["&amp;НАСТРОЙКИ!$D$7&amp;"]КРЕДИТЫ'!$S$38:$EO$38"))/1000000,0)))</f>
        <v>0</v>
      </c>
      <c r="CQ87" s="35">
        <f ca="1">IF(НАСТРОЙКИ!$B$7&lt;&gt;"Да",0,MAX(0,IFERROR(SUMIF(INDIRECT("'["&amp;НАСТРОЙКИ!$D$7&amp;"]КРЕДИТЫ'!$S$3:$EO$3"),CQ$22,INDIRECT("'["&amp;НАСТРОЙКИ!$D$7&amp;"]КРЕДИТЫ'!$S$38:$EO$38"))/1000000,0)))</f>
        <v>0</v>
      </c>
      <c r="CR87" s="35">
        <f ca="1">IF(НАСТРОЙКИ!$B$7&lt;&gt;"Да",0,MAX(0,IFERROR(SUMIF(INDIRECT("'["&amp;НАСТРОЙКИ!$D$7&amp;"]КРЕДИТЫ'!$S$3:$EO$3"),CR$22,INDIRECT("'["&amp;НАСТРОЙКИ!$D$7&amp;"]КРЕДИТЫ'!$S$38:$EO$38"))/1000000,0)))</f>
        <v>0</v>
      </c>
      <c r="CS87" s="35">
        <f ca="1">IF(НАСТРОЙКИ!$B$7&lt;&gt;"Да",0,MAX(0,IFERROR(SUMIF(INDIRECT("'["&amp;НАСТРОЙКИ!$D$7&amp;"]КРЕДИТЫ'!$S$3:$EO$3"),CS$22,INDIRECT("'["&amp;НАСТРОЙКИ!$D$7&amp;"]КРЕДИТЫ'!$S$38:$EO$38"))/1000000,0)))</f>
        <v>0</v>
      </c>
      <c r="CT87" s="35">
        <f ca="1">IF(НАСТРОЙКИ!$B$7&lt;&gt;"Да",0,MAX(0,IFERROR(SUMIF(INDIRECT("'["&amp;НАСТРОЙКИ!$D$7&amp;"]КРЕДИТЫ'!$S$3:$EO$3"),CT$22,INDIRECT("'["&amp;НАСТРОЙКИ!$D$7&amp;"]КРЕДИТЫ'!$S$38:$EO$38"))/1000000,0)))</f>
        <v>0</v>
      </c>
      <c r="CU87" s="35">
        <f ca="1">IF(НАСТРОЙКИ!$B$7&lt;&gt;"Да",0,MAX(0,IFERROR(SUMIF(INDIRECT("'["&amp;НАСТРОЙКИ!$D$7&amp;"]КРЕДИТЫ'!$S$3:$EO$3"),CU$22,INDIRECT("'["&amp;НАСТРОЙКИ!$D$7&amp;"]КРЕДИТЫ'!$S$38:$EO$38"))/1000000,0)))</f>
        <v>0</v>
      </c>
      <c r="CV87" s="35">
        <f ca="1">IF(НАСТРОЙКИ!$B$7&lt;&gt;"Да",0,MAX(0,IFERROR(SUMIF(INDIRECT("'["&amp;НАСТРОЙКИ!$D$7&amp;"]КРЕДИТЫ'!$S$3:$EO$3"),CV$22,INDIRECT("'["&amp;НАСТРОЙКИ!$D$7&amp;"]КРЕДИТЫ'!$S$38:$EO$38"))/1000000,0)))</f>
        <v>0</v>
      </c>
      <c r="CW87" s="35">
        <f ca="1">IF(НАСТРОЙКИ!$B$7&lt;&gt;"Да",0,MAX(0,IFERROR(SUMIF(INDIRECT("'["&amp;НАСТРОЙКИ!$D$7&amp;"]КРЕДИТЫ'!$S$3:$EO$3"),CW$22,INDIRECT("'["&amp;НАСТРОЙКИ!$D$7&amp;"]КРЕДИТЫ'!$S$38:$EO$38"))/1000000,0)))</f>
        <v>0</v>
      </c>
      <c r="CX87" s="35">
        <f ca="1">IF(НАСТРОЙКИ!$B$7&lt;&gt;"Да",0,MAX(0,IFERROR(SUMIF(INDIRECT("'["&amp;НАСТРОЙКИ!$D$7&amp;"]КРЕДИТЫ'!$S$3:$EO$3"),CX$22,INDIRECT("'["&amp;НАСТРОЙКИ!$D$7&amp;"]КРЕДИТЫ'!$S$38:$EO$38"))/1000000,0)))</f>
        <v>0</v>
      </c>
      <c r="CY87" s="35">
        <f ca="1">IF(НАСТРОЙКИ!$B$7&lt;&gt;"Да",0,MAX(0,IFERROR(SUMIF(INDIRECT("'["&amp;НАСТРОЙКИ!$D$7&amp;"]КРЕДИТЫ'!$S$3:$EO$3"),CY$22,INDIRECT("'["&amp;НАСТРОЙКИ!$D$7&amp;"]КРЕДИТЫ'!$S$38:$EO$38"))/1000000,0)))</f>
        <v>0</v>
      </c>
      <c r="CZ87" s="35">
        <f ca="1">IF(НАСТРОЙКИ!$B$7&lt;&gt;"Да",0,MAX(0,IFERROR(SUMIF(INDIRECT("'["&amp;НАСТРОЙКИ!$D$7&amp;"]КРЕДИТЫ'!$S$3:$EO$3"),CZ$22,INDIRECT("'["&amp;НАСТРОЙКИ!$D$7&amp;"]КРЕДИТЫ'!$S$38:$EO$38"))/1000000,0)))</f>
        <v>0</v>
      </c>
      <c r="DA87" s="35">
        <f ca="1">IF(НАСТРОЙКИ!$B$7&lt;&gt;"Да",0,MAX(0,IFERROR(SUMIF(INDIRECT("'["&amp;НАСТРОЙКИ!$D$7&amp;"]КРЕДИТЫ'!$S$3:$EO$3"),DA$22,INDIRECT("'["&amp;НАСТРОЙКИ!$D$7&amp;"]КРЕДИТЫ'!$S$38:$EO$38"))/1000000,0)))</f>
        <v>0</v>
      </c>
      <c r="DB87" s="35">
        <f ca="1">IF(НАСТРОЙКИ!$B$7&lt;&gt;"Да",0,MAX(0,IFERROR(SUMIF(INDIRECT("'["&amp;НАСТРОЙКИ!$D$7&amp;"]КРЕДИТЫ'!$S$3:$EO$3"),DB$22,INDIRECT("'["&amp;НАСТРОЙКИ!$D$7&amp;"]КРЕДИТЫ'!$S$38:$EO$38"))/1000000,0)))</f>
        <v>0</v>
      </c>
      <c r="DC87" s="35">
        <f ca="1">IF(НАСТРОЙКИ!$B$7&lt;&gt;"Да",0,MAX(0,IFERROR(SUMIF(INDIRECT("'["&amp;НАСТРОЙКИ!$D$7&amp;"]КРЕДИТЫ'!$S$3:$EO$3"),DC$22,INDIRECT("'["&amp;НАСТРОЙКИ!$D$7&amp;"]КРЕДИТЫ'!$S$38:$EO$38"))/1000000,0)))</f>
        <v>0</v>
      </c>
      <c r="DD87" s="35">
        <f ca="1">IF(НАСТРОЙКИ!$B$7&lt;&gt;"Да",0,MAX(0,IFERROR(SUMIF(INDIRECT("'["&amp;НАСТРОЙКИ!$D$7&amp;"]КРЕДИТЫ'!$S$3:$EO$3"),DD$22,INDIRECT("'["&amp;НАСТРОЙКИ!$D$7&amp;"]КРЕДИТЫ'!$S$38:$EO$38"))/1000000,0)))</f>
        <v>0</v>
      </c>
      <c r="DE87" s="35">
        <f ca="1">IF(НАСТРОЙКИ!$B$7&lt;&gt;"Да",0,MAX(0,IFERROR(SUMIF(INDIRECT("'["&amp;НАСТРОЙКИ!$D$7&amp;"]КРЕДИТЫ'!$S$3:$EO$3"),DE$22,INDIRECT("'["&amp;НАСТРОЙКИ!$D$7&amp;"]КРЕДИТЫ'!$S$38:$EO$38"))/1000000,0)))</f>
        <v>0</v>
      </c>
      <c r="DF87" s="35">
        <f ca="1">IF(НАСТРОЙКИ!$B$7&lt;&gt;"Да",0,MAX(0,IFERROR(SUMIF(INDIRECT("'["&amp;НАСТРОЙКИ!$D$7&amp;"]КРЕДИТЫ'!$S$3:$EO$3"),DF$22,INDIRECT("'["&amp;НАСТРОЙКИ!$D$7&amp;"]КРЕДИТЫ'!$S$38:$EO$38"))/1000000,0)))</f>
        <v>0</v>
      </c>
    </row>
    <row r="88" spans="1:110">
      <c r="A88" s="34" t="s">
        <v>135</v>
      </c>
      <c r="B88" s="34" t="s">
        <v>58</v>
      </c>
      <c r="C88" s="35">
        <f ca="1">IF(НАСТРОЙКИ!$B$7&lt;&gt;"Да",0,MAX(0,IFERROR(SUMIF(INDIRECT("'["&amp;НАСТРОЙКИ!$D$7&amp;"]КРЕДИТЫ'!$S$3:$EO$3"),C$22,INDIRECT("'["&amp;НАСТРОЙКИ!$D$7&amp;"]КРЕДИТЫ'!$S$52:$EO$52"))/1000000,0)))</f>
        <v>0</v>
      </c>
      <c r="D88" s="35">
        <f ca="1">IF(НАСТРОЙКИ!$B$7&lt;&gt;"Да",0,MAX(0,IFERROR(SUMIF(INDIRECT("'["&amp;НАСТРОЙКИ!$D$7&amp;"]КРЕДИТЫ'!$S$3:$EO$3"),D$22,INDIRECT("'["&amp;НАСТРОЙКИ!$D$7&amp;"]КРЕДИТЫ'!$S$52:$EO$52"))/1000000,0)))</f>
        <v>0</v>
      </c>
      <c r="E88" s="35">
        <f ca="1">IF(НАСТРОЙКИ!$B$7&lt;&gt;"Да",0,MAX(0,IFERROR(SUMIF(INDIRECT("'["&amp;НАСТРОЙКИ!$D$7&amp;"]КРЕДИТЫ'!$S$3:$EO$3"),E$22,INDIRECT("'["&amp;НАСТРОЙКИ!$D$7&amp;"]КРЕДИТЫ'!$S$52:$EO$52"))/1000000,0)))</f>
        <v>0</v>
      </c>
      <c r="F88" s="35">
        <f ca="1">IF(НАСТРОЙКИ!$B$7&lt;&gt;"Да",0,MAX(0,IFERROR(SUMIF(INDIRECT("'["&amp;НАСТРОЙКИ!$D$7&amp;"]КРЕДИТЫ'!$S$3:$EO$3"),F$22,INDIRECT("'["&amp;НАСТРОЙКИ!$D$7&amp;"]КРЕДИТЫ'!$S$52:$EO$52"))/1000000,0)))</f>
        <v>0</v>
      </c>
      <c r="G88" s="35">
        <f ca="1">IF(НАСТРОЙКИ!$B$7&lt;&gt;"Да",0,MAX(0,IFERROR(SUMIF(INDIRECT("'["&amp;НАСТРОЙКИ!$D$7&amp;"]КРЕДИТЫ'!$S$3:$EO$3"),G$22,INDIRECT("'["&amp;НАСТРОЙКИ!$D$7&amp;"]КРЕДИТЫ'!$S$52:$EO$52"))/1000000,0)))</f>
        <v>0</v>
      </c>
      <c r="H88" s="35">
        <f ca="1">IF(НАСТРОЙКИ!$B$7&lt;&gt;"Да",0,MAX(0,IFERROR(SUMIF(INDIRECT("'["&amp;НАСТРОЙКИ!$D$7&amp;"]КРЕДИТЫ'!$S$3:$EO$3"),H$22,INDIRECT("'["&amp;НАСТРОЙКИ!$D$7&amp;"]КРЕДИТЫ'!$S$52:$EO$52"))/1000000,0)))</f>
        <v>0</v>
      </c>
      <c r="I88" s="35">
        <f ca="1">IF(НАСТРОЙКИ!$B$7&lt;&gt;"Да",0,MAX(0,IFERROR(SUMIF(INDIRECT("'["&amp;НАСТРОЙКИ!$D$7&amp;"]КРЕДИТЫ'!$S$3:$EO$3"),I$22,INDIRECT("'["&amp;НАСТРОЙКИ!$D$7&amp;"]КРЕДИТЫ'!$S$52:$EO$52"))/1000000,0)))</f>
        <v>0</v>
      </c>
      <c r="J88" s="35">
        <f ca="1">IF(НАСТРОЙКИ!$B$7&lt;&gt;"Да",0,MAX(0,IFERROR(SUMIF(INDIRECT("'["&amp;НАСТРОЙКИ!$D$7&amp;"]КРЕДИТЫ'!$S$3:$EO$3"),J$22,INDIRECT("'["&amp;НАСТРОЙКИ!$D$7&amp;"]КРЕДИТЫ'!$S$52:$EO$52"))/1000000,0)))</f>
        <v>0</v>
      </c>
      <c r="K88" s="35">
        <f ca="1">IF(НАСТРОЙКИ!$B$7&lt;&gt;"Да",0,MAX(0,IFERROR(SUMIF(INDIRECT("'["&amp;НАСТРОЙКИ!$D$7&amp;"]КРЕДИТЫ'!$S$3:$EO$3"),K$22,INDIRECT("'["&amp;НАСТРОЙКИ!$D$7&amp;"]КРЕДИТЫ'!$S$52:$EO$52"))/1000000,0)))</f>
        <v>0</v>
      </c>
      <c r="L88" s="35">
        <f ca="1">IF(НАСТРОЙКИ!$B$7&lt;&gt;"Да",0,MAX(0,IFERROR(SUMIF(INDIRECT("'["&amp;НАСТРОЙКИ!$D$7&amp;"]КРЕДИТЫ'!$S$3:$EO$3"),L$22,INDIRECT("'["&amp;НАСТРОЙКИ!$D$7&amp;"]КРЕДИТЫ'!$S$52:$EO$52"))/1000000,0)))</f>
        <v>0</v>
      </c>
      <c r="M88" s="35">
        <f ca="1">IF(НАСТРОЙКИ!$B$7&lt;&gt;"Да",0,MAX(0,IFERROR(SUMIF(INDIRECT("'["&amp;НАСТРОЙКИ!$D$7&amp;"]КРЕДИТЫ'!$S$3:$EO$3"),M$22,INDIRECT("'["&amp;НАСТРОЙКИ!$D$7&amp;"]КРЕДИТЫ'!$S$52:$EO$52"))/1000000,0)))</f>
        <v>0</v>
      </c>
      <c r="N88" s="35">
        <f ca="1">IF(НАСТРОЙКИ!$B$7&lt;&gt;"Да",0,MAX(0,IFERROR(SUMIF(INDIRECT("'["&amp;НАСТРОЙКИ!$D$7&amp;"]КРЕДИТЫ'!$S$3:$EO$3"),N$22,INDIRECT("'["&amp;НАСТРОЙКИ!$D$7&amp;"]КРЕДИТЫ'!$S$52:$EO$52"))/1000000,0)))</f>
        <v>0</v>
      </c>
      <c r="O88" s="35">
        <f ca="1">IF(НАСТРОЙКИ!$B$7&lt;&gt;"Да",0,MAX(0,IFERROR(SUMIF(INDIRECT("'["&amp;НАСТРОЙКИ!$D$7&amp;"]КРЕДИТЫ'!$S$3:$EO$3"),O$22,INDIRECT("'["&amp;НАСТРОЙКИ!$D$7&amp;"]КРЕДИТЫ'!$S$52:$EO$52"))/1000000,0)))</f>
        <v>0</v>
      </c>
      <c r="P88" s="35">
        <f ca="1">IF(НАСТРОЙКИ!$B$7&lt;&gt;"Да",0,MAX(0,IFERROR(SUMIF(INDIRECT("'["&amp;НАСТРОЙКИ!$D$7&amp;"]КРЕДИТЫ'!$S$3:$EO$3"),P$22,INDIRECT("'["&amp;НАСТРОЙКИ!$D$7&amp;"]КРЕДИТЫ'!$S$52:$EO$52"))/1000000,0)))</f>
        <v>0</v>
      </c>
      <c r="Q88" s="35">
        <f ca="1">IF(НАСТРОЙКИ!$B$7&lt;&gt;"Да",0,MAX(0,IFERROR(SUMIF(INDIRECT("'["&amp;НАСТРОЙКИ!$D$7&amp;"]КРЕДИТЫ'!$S$3:$EO$3"),Q$22,INDIRECT("'["&amp;НАСТРОЙКИ!$D$7&amp;"]КРЕДИТЫ'!$S$52:$EO$52"))/1000000,0)))</f>
        <v>0</v>
      </c>
      <c r="R88" s="35">
        <f ca="1">IF(НАСТРОЙКИ!$B$7&lt;&gt;"Да",0,MAX(0,IFERROR(SUMIF(INDIRECT("'["&amp;НАСТРОЙКИ!$D$7&amp;"]КРЕДИТЫ'!$S$3:$EO$3"),R$22,INDIRECT("'["&amp;НАСТРОЙКИ!$D$7&amp;"]КРЕДИТЫ'!$S$52:$EO$52"))/1000000,0)))</f>
        <v>0</v>
      </c>
      <c r="S88" s="35">
        <f ca="1">IF(НАСТРОЙКИ!$B$7&lt;&gt;"Да",0,MAX(0,IFERROR(SUMIF(INDIRECT("'["&amp;НАСТРОЙКИ!$D$7&amp;"]КРЕДИТЫ'!$S$3:$EO$3"),S$22,INDIRECT("'["&amp;НАСТРОЙКИ!$D$7&amp;"]КРЕДИТЫ'!$S$52:$EO$52"))/1000000,0)))</f>
        <v>0</v>
      </c>
      <c r="T88" s="35">
        <f ca="1">IF(НАСТРОЙКИ!$B$7&lt;&gt;"Да",0,MAX(0,IFERROR(SUMIF(INDIRECT("'["&amp;НАСТРОЙКИ!$D$7&amp;"]КРЕДИТЫ'!$S$3:$EO$3"),T$22,INDIRECT("'["&amp;НАСТРОЙКИ!$D$7&amp;"]КРЕДИТЫ'!$S$52:$EO$52"))/1000000,0)))</f>
        <v>0</v>
      </c>
      <c r="U88" s="35">
        <f ca="1">IF(НАСТРОЙКИ!$B$7&lt;&gt;"Да",0,MAX(0,IFERROR(SUMIF(INDIRECT("'["&amp;НАСТРОЙКИ!$D$7&amp;"]КРЕДИТЫ'!$S$3:$EO$3"),U$22,INDIRECT("'["&amp;НАСТРОЙКИ!$D$7&amp;"]КРЕДИТЫ'!$S$52:$EO$52"))/1000000,0)))</f>
        <v>0</v>
      </c>
      <c r="V88" s="35">
        <f ca="1">IF(НАСТРОЙКИ!$B$7&lt;&gt;"Да",0,MAX(0,IFERROR(SUMIF(INDIRECT("'["&amp;НАСТРОЙКИ!$D$7&amp;"]КРЕДИТЫ'!$S$3:$EO$3"),V$22,INDIRECT("'["&amp;НАСТРОЙКИ!$D$7&amp;"]КРЕДИТЫ'!$S$52:$EO$52"))/1000000,0)))</f>
        <v>0</v>
      </c>
      <c r="W88" s="35">
        <f ca="1">IF(НАСТРОЙКИ!$B$7&lt;&gt;"Да",0,MAX(0,IFERROR(SUMIF(INDIRECT("'["&amp;НАСТРОЙКИ!$D$7&amp;"]КРЕДИТЫ'!$S$3:$EO$3"),W$22,INDIRECT("'["&amp;НАСТРОЙКИ!$D$7&amp;"]КРЕДИТЫ'!$S$52:$EO$52"))/1000000,0)))</f>
        <v>0</v>
      </c>
      <c r="X88" s="35">
        <f ca="1">IF(НАСТРОЙКИ!$B$7&lt;&gt;"Да",0,MAX(0,IFERROR(SUMIF(INDIRECT("'["&amp;НАСТРОЙКИ!$D$7&amp;"]КРЕДИТЫ'!$S$3:$EO$3"),X$22,INDIRECT("'["&amp;НАСТРОЙКИ!$D$7&amp;"]КРЕДИТЫ'!$S$52:$EO$52"))/1000000,0)))</f>
        <v>0</v>
      </c>
      <c r="Y88" s="35">
        <f ca="1">IF(НАСТРОЙКИ!$B$7&lt;&gt;"Да",0,MAX(0,IFERROR(SUMIF(INDIRECT("'["&amp;НАСТРОЙКИ!$D$7&amp;"]КРЕДИТЫ'!$S$3:$EO$3"),Y$22,INDIRECT("'["&amp;НАСТРОЙКИ!$D$7&amp;"]КРЕДИТЫ'!$S$52:$EO$52"))/1000000,0)))</f>
        <v>0</v>
      </c>
      <c r="Z88" s="35">
        <f ca="1">IF(НАСТРОЙКИ!$B$7&lt;&gt;"Да",0,MAX(0,IFERROR(SUMIF(INDIRECT("'["&amp;НАСТРОЙКИ!$D$7&amp;"]КРЕДИТЫ'!$S$3:$EO$3"),Z$22,INDIRECT("'["&amp;НАСТРОЙКИ!$D$7&amp;"]КРЕДИТЫ'!$S$52:$EO$52"))/1000000,0)))</f>
        <v>0</v>
      </c>
      <c r="AA88" s="35">
        <f ca="1">IF(НАСТРОЙКИ!$B$7&lt;&gt;"Да",0,MAX(0,IFERROR(SUMIF(INDIRECT("'["&amp;НАСТРОЙКИ!$D$7&amp;"]КРЕДИТЫ'!$S$3:$EO$3"),AA$22,INDIRECT("'["&amp;НАСТРОЙКИ!$D$7&amp;"]КРЕДИТЫ'!$S$52:$EO$52"))/1000000,0)))</f>
        <v>0</v>
      </c>
      <c r="AB88" s="35">
        <f ca="1">IF(НАСТРОЙКИ!$B$7&lt;&gt;"Да",0,MAX(0,IFERROR(SUMIF(INDIRECT("'["&amp;НАСТРОЙКИ!$D$7&amp;"]КРЕДИТЫ'!$S$3:$EO$3"),AB$22,INDIRECT("'["&amp;НАСТРОЙКИ!$D$7&amp;"]КРЕДИТЫ'!$S$52:$EO$52"))/1000000,0)))</f>
        <v>0</v>
      </c>
      <c r="AC88" s="35">
        <f ca="1">IF(НАСТРОЙКИ!$B$7&lt;&gt;"Да",0,MAX(0,IFERROR(SUMIF(INDIRECT("'["&amp;НАСТРОЙКИ!$D$7&amp;"]КРЕДИТЫ'!$S$3:$EO$3"),AC$22,INDIRECT("'["&amp;НАСТРОЙКИ!$D$7&amp;"]КРЕДИТЫ'!$S$52:$EO$52"))/1000000,0)))</f>
        <v>0</v>
      </c>
      <c r="AD88" s="35">
        <f ca="1">IF(НАСТРОЙКИ!$B$7&lt;&gt;"Да",0,MAX(0,IFERROR(SUMIF(INDIRECT("'["&amp;НАСТРОЙКИ!$D$7&amp;"]КРЕДИТЫ'!$S$3:$EO$3"),AD$22,INDIRECT("'["&amp;НАСТРОЙКИ!$D$7&amp;"]КРЕДИТЫ'!$S$52:$EO$52"))/1000000,0)))</f>
        <v>0</v>
      </c>
      <c r="AE88" s="35">
        <f ca="1">IF(НАСТРОЙКИ!$B$7&lt;&gt;"Да",0,MAX(0,IFERROR(SUMIF(INDIRECT("'["&amp;НАСТРОЙКИ!$D$7&amp;"]КРЕДИТЫ'!$S$3:$EO$3"),AE$22,INDIRECT("'["&amp;НАСТРОЙКИ!$D$7&amp;"]КРЕДИТЫ'!$S$52:$EO$52"))/1000000,0)))</f>
        <v>0</v>
      </c>
      <c r="AF88" s="35">
        <f ca="1">IF(НАСТРОЙКИ!$B$7&lt;&gt;"Да",0,MAX(0,IFERROR(SUMIF(INDIRECT("'["&amp;НАСТРОЙКИ!$D$7&amp;"]КРЕДИТЫ'!$S$3:$EO$3"),AF$22,INDIRECT("'["&amp;НАСТРОЙКИ!$D$7&amp;"]КРЕДИТЫ'!$S$52:$EO$52"))/1000000,0)))</f>
        <v>0</v>
      </c>
      <c r="AG88" s="35">
        <f ca="1">IF(НАСТРОЙКИ!$B$7&lt;&gt;"Да",0,MAX(0,IFERROR(SUMIF(INDIRECT("'["&amp;НАСТРОЙКИ!$D$7&amp;"]КРЕДИТЫ'!$S$3:$EO$3"),AG$22,INDIRECT("'["&amp;НАСТРОЙКИ!$D$7&amp;"]КРЕДИТЫ'!$S$52:$EO$52"))/1000000,0)))</f>
        <v>0</v>
      </c>
      <c r="AH88" s="35">
        <f ca="1">IF(НАСТРОЙКИ!$B$7&lt;&gt;"Да",0,MAX(0,IFERROR(SUMIF(INDIRECT("'["&amp;НАСТРОЙКИ!$D$7&amp;"]КРЕДИТЫ'!$S$3:$EO$3"),AH$22,INDIRECT("'["&amp;НАСТРОЙКИ!$D$7&amp;"]КРЕДИТЫ'!$S$52:$EO$52"))/1000000,0)))</f>
        <v>0</v>
      </c>
      <c r="AI88" s="35">
        <f ca="1">IF(НАСТРОЙКИ!$B$7&lt;&gt;"Да",0,MAX(0,IFERROR(SUMIF(INDIRECT("'["&amp;НАСТРОЙКИ!$D$7&amp;"]КРЕДИТЫ'!$S$3:$EO$3"),AI$22,INDIRECT("'["&amp;НАСТРОЙКИ!$D$7&amp;"]КРЕДИТЫ'!$S$52:$EO$52"))/1000000,0)))</f>
        <v>0</v>
      </c>
      <c r="AJ88" s="35">
        <f ca="1">IF(НАСТРОЙКИ!$B$7&lt;&gt;"Да",0,MAX(0,IFERROR(SUMIF(INDIRECT("'["&amp;НАСТРОЙКИ!$D$7&amp;"]КРЕДИТЫ'!$S$3:$EO$3"),AJ$22,INDIRECT("'["&amp;НАСТРОЙКИ!$D$7&amp;"]КРЕДИТЫ'!$S$52:$EO$52"))/1000000,0)))</f>
        <v>0</v>
      </c>
      <c r="AK88" s="35">
        <f ca="1">IF(НАСТРОЙКИ!$B$7&lt;&gt;"Да",0,MAX(0,IFERROR(SUMIF(INDIRECT("'["&amp;НАСТРОЙКИ!$D$7&amp;"]КРЕДИТЫ'!$S$3:$EO$3"),AK$22,INDIRECT("'["&amp;НАСТРОЙКИ!$D$7&amp;"]КРЕДИТЫ'!$S$52:$EO$52"))/1000000,0)))</f>
        <v>0</v>
      </c>
      <c r="AL88" s="35">
        <f ca="1">IF(НАСТРОЙКИ!$B$7&lt;&gt;"Да",0,MAX(0,IFERROR(SUMIF(INDIRECT("'["&amp;НАСТРОЙКИ!$D$7&amp;"]КРЕДИТЫ'!$S$3:$EO$3"),AL$22,INDIRECT("'["&amp;НАСТРОЙКИ!$D$7&amp;"]КРЕДИТЫ'!$S$52:$EO$52"))/1000000,0)))</f>
        <v>0</v>
      </c>
      <c r="AM88" s="35">
        <f ca="1">IF(НАСТРОЙКИ!$B$7&lt;&gt;"Да",0,MAX(0,IFERROR(SUMIF(INDIRECT("'["&amp;НАСТРОЙКИ!$D$7&amp;"]КРЕДИТЫ'!$S$3:$EO$3"),AM$22,INDIRECT("'["&amp;НАСТРОЙКИ!$D$7&amp;"]КРЕДИТЫ'!$S$52:$EO$52"))/1000000,0)))</f>
        <v>0</v>
      </c>
      <c r="AN88" s="35">
        <f ca="1">IF(НАСТРОЙКИ!$B$7&lt;&gt;"Да",0,MAX(0,IFERROR(SUMIF(INDIRECT("'["&amp;НАСТРОЙКИ!$D$7&amp;"]КРЕДИТЫ'!$S$3:$EO$3"),AN$22,INDIRECT("'["&amp;НАСТРОЙКИ!$D$7&amp;"]КРЕДИТЫ'!$S$52:$EO$52"))/1000000,0)))</f>
        <v>0</v>
      </c>
      <c r="AO88" s="35">
        <f ca="1">IF(НАСТРОЙКИ!$B$7&lt;&gt;"Да",0,MAX(0,IFERROR(SUMIF(INDIRECT("'["&amp;НАСТРОЙКИ!$D$7&amp;"]КРЕДИТЫ'!$S$3:$EO$3"),AO$22,INDIRECT("'["&amp;НАСТРОЙКИ!$D$7&amp;"]КРЕДИТЫ'!$S$52:$EO$52"))/1000000,0)))</f>
        <v>0</v>
      </c>
      <c r="AP88" s="35">
        <f ca="1">IF(НАСТРОЙКИ!$B$7&lt;&gt;"Да",0,MAX(0,IFERROR(SUMIF(INDIRECT("'["&amp;НАСТРОЙКИ!$D$7&amp;"]КРЕДИТЫ'!$S$3:$EO$3"),AP$22,INDIRECT("'["&amp;НАСТРОЙКИ!$D$7&amp;"]КРЕДИТЫ'!$S$52:$EO$52"))/1000000,0)))</f>
        <v>0</v>
      </c>
      <c r="AQ88" s="35">
        <f ca="1">IF(НАСТРОЙКИ!$B$7&lt;&gt;"Да",0,MAX(0,IFERROR(SUMIF(INDIRECT("'["&amp;НАСТРОЙКИ!$D$7&amp;"]КРЕДИТЫ'!$S$3:$EO$3"),AQ$22,INDIRECT("'["&amp;НАСТРОЙКИ!$D$7&amp;"]КРЕДИТЫ'!$S$52:$EO$52"))/1000000,0)))</f>
        <v>0</v>
      </c>
      <c r="AR88" s="35">
        <f ca="1">IF(НАСТРОЙКИ!$B$7&lt;&gt;"Да",0,MAX(0,IFERROR(SUMIF(INDIRECT("'["&amp;НАСТРОЙКИ!$D$7&amp;"]КРЕДИТЫ'!$S$3:$EO$3"),AR$22,INDIRECT("'["&amp;НАСТРОЙКИ!$D$7&amp;"]КРЕДИТЫ'!$S$52:$EO$52"))/1000000,0)))</f>
        <v>0</v>
      </c>
      <c r="AS88" s="35">
        <f ca="1">IF(НАСТРОЙКИ!$B$7&lt;&gt;"Да",0,MAX(0,IFERROR(SUMIF(INDIRECT("'["&amp;НАСТРОЙКИ!$D$7&amp;"]КРЕДИТЫ'!$S$3:$EO$3"),AS$22,INDIRECT("'["&amp;НАСТРОЙКИ!$D$7&amp;"]КРЕДИТЫ'!$S$52:$EO$52"))/1000000,0)))</f>
        <v>3307.093377056819</v>
      </c>
      <c r="AT88" s="35">
        <f ca="1">IF(НАСТРОЙКИ!$B$7&lt;&gt;"Да",0,MAX(0,IFERROR(SUMIF(INDIRECT("'["&amp;НАСТРОЙКИ!$D$7&amp;"]КРЕДИТЫ'!$S$3:$EO$3"),AT$22,INDIRECT("'["&amp;НАСТРОЙКИ!$D$7&amp;"]КРЕДИТЫ'!$S$52:$EO$52"))/1000000,0)))</f>
        <v>4109.3056211050607</v>
      </c>
      <c r="AU88" s="35">
        <f ca="1">IF(НАСТРОЙКИ!$B$7&lt;&gt;"Да",0,MAX(0,IFERROR(SUMIF(INDIRECT("'["&amp;НАСТРОЙКИ!$D$7&amp;"]КРЕДИТЫ'!$S$3:$EO$3"),AU$22,INDIRECT("'["&amp;НАСТРОЙКИ!$D$7&amp;"]КРЕДИТЫ'!$S$52:$EO$52"))/1000000,0)))</f>
        <v>4888.0052532337295</v>
      </c>
      <c r="AV88" s="35">
        <f ca="1">IF(НАСТРОЙКИ!$B$7&lt;&gt;"Да",0,MAX(0,IFERROR(SUMIF(INDIRECT("'["&amp;НАСТРОЙКИ!$D$7&amp;"]КРЕДИТЫ'!$S$3:$EO$3"),AV$22,INDIRECT("'["&amp;НАСТРОЙКИ!$D$7&amp;"]КРЕДИТЫ'!$S$52:$EO$52"))/1000000,0)))</f>
        <v>5666.7048853623983</v>
      </c>
      <c r="AW88" s="35">
        <f ca="1">IF(НАСТРОЙКИ!$B$7&lt;&gt;"Да",0,MAX(0,IFERROR(SUMIF(INDIRECT("'["&amp;НАСТРОЙКИ!$D$7&amp;"]КРЕДИТЫ'!$S$3:$EO$3"),AW$22,INDIRECT("'["&amp;НАСТРОЙКИ!$D$7&amp;"]КРЕДИТЫ'!$S$52:$EO$52"))/1000000,0)))</f>
        <v>6445.4045174910671</v>
      </c>
      <c r="AX88" s="35">
        <f ca="1">IF(НАСТРОЙКИ!$B$7&lt;&gt;"Да",0,MAX(0,IFERROR(SUMIF(INDIRECT("'["&amp;НАСТРОЙКИ!$D$7&amp;"]КРЕДИТЫ'!$S$3:$EO$3"),AX$22,INDIRECT("'["&amp;НАСТРОЙКИ!$D$7&amp;"]КРЕДИТЫ'!$S$52:$EO$52"))/1000000,0)))</f>
        <v>7224.1041496197358</v>
      </c>
      <c r="AY88" s="35">
        <f ca="1">IF(НАСТРОЙКИ!$B$7&lt;&gt;"Да",0,MAX(0,IFERROR(SUMIF(INDIRECT("'["&amp;НАСТРОЙКИ!$D$7&amp;"]КРЕДИТЫ'!$S$3:$EO$3"),AY$22,INDIRECT("'["&amp;НАСТРОЙКИ!$D$7&amp;"]КРЕДИТЫ'!$S$52:$EO$52"))/1000000,0)))</f>
        <v>8022.0537817484046</v>
      </c>
      <c r="AZ88" s="35">
        <f ca="1">IF(НАСТРОЙКИ!$B$7&lt;&gt;"Да",0,MAX(0,IFERROR(SUMIF(INDIRECT("'["&amp;НАСТРОЙКИ!$D$7&amp;"]КРЕДИТЫ'!$S$3:$EO$3"),AZ$22,INDIRECT("'["&amp;НАСТРОЙКИ!$D$7&amp;"]КРЕДИТЫ'!$S$52:$EO$52"))/1000000,0)))</f>
        <v>8820.0034138770734</v>
      </c>
      <c r="BA88" s="35">
        <f ca="1">IF(НАСТРОЙКИ!$B$7&lt;&gt;"Да",0,MAX(0,IFERROR(SUMIF(INDIRECT("'["&amp;НАСТРОЙКИ!$D$7&amp;"]КРЕДИТЫ'!$S$3:$EO$3"),BA$22,INDIRECT("'["&amp;НАСТРОЙКИ!$D$7&amp;"]КРЕДИТЫ'!$S$52:$EO$52"))/1000000,0)))</f>
        <v>9617.9530460057413</v>
      </c>
      <c r="BB88" s="35">
        <f ca="1">IF(НАСТРОЙКИ!$B$7&lt;&gt;"Да",0,MAX(0,IFERROR(SUMIF(INDIRECT("'["&amp;НАСТРОЙКИ!$D$7&amp;"]КРЕДИТЫ'!$S$3:$EO$3"),BB$22,INDIRECT("'["&amp;НАСТРОЙКИ!$D$7&amp;"]КРЕДИТЫ'!$S$52:$EO$52"))/1000000,0)))</f>
        <v>10415.902678134411</v>
      </c>
      <c r="BC88" s="35">
        <f ca="1">IF(НАСТРОЙКИ!$B$7&lt;&gt;"Да",0,MAX(0,IFERROR(SUMIF(INDIRECT("'["&amp;НАСТРОЙКИ!$D$7&amp;"]КРЕДИТЫ'!$S$3:$EO$3"),BC$22,INDIRECT("'["&amp;НАСТРОЙКИ!$D$7&amp;"]КРЕДИТЫ'!$S$52:$EO$52"))/1000000,0)))</f>
        <v>11213.852310263081</v>
      </c>
      <c r="BD88" s="35">
        <f ca="1">IF(НАСТРОЙКИ!$B$7&lt;&gt;"Да",0,MAX(0,IFERROR(SUMIF(INDIRECT("'["&amp;НАСТРОЙКИ!$D$7&amp;"]КРЕДИТЫ'!$S$3:$EO$3"),BD$22,INDIRECT("'["&amp;НАСТРОЙКИ!$D$7&amp;"]КРЕДИТЫ'!$S$52:$EO$52"))/1000000,0)))</f>
        <v>12011.80194239175</v>
      </c>
      <c r="BE88" s="35">
        <f ca="1">IF(НАСТРОЙКИ!$B$7&lt;&gt;"Да",0,MAX(0,IFERROR(SUMIF(INDIRECT("'["&amp;НАСТРОЙКИ!$D$7&amp;"]КРЕДИТЫ'!$S$3:$EO$3"),BE$22,INDIRECT("'["&amp;НАСТРОЙКИ!$D$7&amp;"]КРЕДИТЫ'!$S$52:$EO$52"))/1000000,0)))</f>
        <v>12809.75157452042</v>
      </c>
      <c r="BF88" s="35">
        <f ca="1">IF(НАСТРОЙКИ!$B$7&lt;&gt;"Да",0,MAX(0,IFERROR(SUMIF(INDIRECT("'["&amp;НАСТРОЙКИ!$D$7&amp;"]КРЕДИТЫ'!$S$3:$EO$3"),BF$22,INDIRECT("'["&amp;НАСТРОЙКИ!$D$7&amp;"]КРЕДИТЫ'!$S$52:$EO$52"))/1000000,0)))</f>
        <v>13607.70120664909</v>
      </c>
      <c r="BG88" s="35">
        <f ca="1">IF(НАСТРОЙКИ!$B$7&lt;&gt;"Да",0,MAX(0,IFERROR(SUMIF(INDIRECT("'["&amp;НАСТРОЙКИ!$D$7&amp;"]КРЕДИТЫ'!$S$3:$EO$3"),BG$22,INDIRECT("'["&amp;НАСТРОЙКИ!$D$7&amp;"]КРЕДИТЫ'!$S$52:$EO$52"))/1000000,0)))</f>
        <v>14405.650838777759</v>
      </c>
      <c r="BH88" s="35">
        <f ca="1">IF(НАСТРОЙКИ!$B$7&lt;&gt;"Да",0,MAX(0,IFERROR(SUMIF(INDIRECT("'["&amp;НАСТРОЙКИ!$D$7&amp;"]КРЕДИТЫ'!$S$3:$EO$3"),BH$22,INDIRECT("'["&amp;НАСТРОЙКИ!$D$7&amp;"]КРЕДИТЫ'!$S$52:$EO$52"))/1000000,0)))</f>
        <v>15203.600470906429</v>
      </c>
      <c r="BI88" s="35">
        <f ca="1">IF(НАСТРОЙКИ!$B$7&lt;&gt;"Да",0,MAX(0,IFERROR(SUMIF(INDIRECT("'["&amp;НАСТРОЙКИ!$D$7&amp;"]КРЕДИТЫ'!$S$3:$EO$3"),BI$22,INDIRECT("'["&amp;НАСТРОЙКИ!$D$7&amp;"]КРЕДИТЫ'!$S$52:$EO$52"))/1000000,0)))</f>
        <v>16001.550103035099</v>
      </c>
      <c r="BJ88" s="35">
        <f ca="1">IF(НАСТРОЙКИ!$B$7&lt;&gt;"Да",0,MAX(0,IFERROR(SUMIF(INDIRECT("'["&amp;НАСТРОЙКИ!$D$7&amp;"]КРЕДИТЫ'!$S$3:$EO$3"),BJ$22,INDIRECT("'["&amp;НАСТРОЙКИ!$D$7&amp;"]КРЕДИТЫ'!$S$52:$EO$52"))/1000000,0)))</f>
        <v>16799.499735163768</v>
      </c>
      <c r="BK88" s="35">
        <f ca="1">IF(НАСТРОЙКИ!$B$7&lt;&gt;"Да",0,MAX(0,IFERROR(SUMIF(INDIRECT("'["&amp;НАСТРОЙКИ!$D$7&amp;"]КРЕДИТЫ'!$S$3:$EO$3"),BK$22,INDIRECT("'["&amp;НАСТРОЙКИ!$D$7&amp;"]КРЕДИТЫ'!$S$52:$EO$52"))/1000000,0)))</f>
        <v>17597.44936729244</v>
      </c>
      <c r="BL88" s="35">
        <f ca="1">IF(НАСТРОЙКИ!$B$7&lt;&gt;"Да",0,MAX(0,IFERROR(SUMIF(INDIRECT("'["&amp;НАСТРОЙКИ!$D$7&amp;"]КРЕДИТЫ'!$S$3:$EO$3"),BL$22,INDIRECT("'["&amp;НАСТРОЙКИ!$D$7&amp;"]КРЕДИТЫ'!$S$52:$EO$52"))/1000000,0)))</f>
        <v>18395.398999421108</v>
      </c>
      <c r="BM88" s="35">
        <f ca="1">IF(НАСТРОЙКИ!$B$7&lt;&gt;"Да",0,MAX(0,IFERROR(SUMIF(INDIRECT("'["&amp;НАСТРОЙКИ!$D$7&amp;"]КРЕДИТЫ'!$S$3:$EO$3"),BM$22,INDIRECT("'["&amp;НАСТРОЙКИ!$D$7&amp;"]КРЕДИТЫ'!$S$52:$EO$52"))/1000000,0)))</f>
        <v>19193.348631549779</v>
      </c>
      <c r="BN88" s="35">
        <f ca="1">IF(НАСТРОЙКИ!$B$7&lt;&gt;"Да",0,MAX(0,IFERROR(SUMIF(INDIRECT("'["&amp;НАСТРОЙКИ!$D$7&amp;"]КРЕДИТЫ'!$S$3:$EO$3"),BN$22,INDIRECT("'["&amp;НАСТРОЙКИ!$D$7&amp;"]КРЕДИТЫ'!$S$52:$EO$52"))/1000000,0)))</f>
        <v>20028.238662435317</v>
      </c>
      <c r="BO88" s="35">
        <f ca="1">IF(НАСТРОЙКИ!$B$7&lt;&gt;"Да",0,MAX(0,IFERROR(SUMIF(INDIRECT("'["&amp;НАСТРОЙКИ!$D$7&amp;"]КРЕДИТЫ'!$S$3:$EO$3"),BO$22,INDIRECT("'["&amp;НАСТРОЙКИ!$D$7&amp;"]КРЕДИТЫ'!$S$52:$EO$52"))/1000000,0)))</f>
        <v>21098.254812516585</v>
      </c>
      <c r="BP88" s="35">
        <f ca="1">IF(НАСТРОЙКИ!$B$7&lt;&gt;"Да",0,MAX(0,IFERROR(SUMIF(INDIRECT("'["&amp;НАСТРОЙКИ!$D$7&amp;"]КРЕДИТЫ'!$S$3:$EO$3"),BP$22,INDIRECT("'["&amp;НАСТРОЙКИ!$D$7&amp;"]КРЕДИТЫ'!$S$52:$EO$52"))/1000000,0)))</f>
        <v>23843.8158612357</v>
      </c>
      <c r="BQ88" s="35">
        <f ca="1">IF(НАСТРОЙКИ!$B$7&lt;&gt;"Да",0,MAX(0,IFERROR(SUMIF(INDIRECT("'["&amp;НАСТРОЙКИ!$D$7&amp;"]КРЕДИТЫ'!$S$3:$EO$3"),BQ$22,INDIRECT("'["&amp;НАСТРОЙКИ!$D$7&amp;"]КРЕДИТЫ'!$S$52:$EO$52"))/1000000,0)))</f>
        <v>0</v>
      </c>
      <c r="BR88" s="35">
        <f ca="1">IF(НАСТРОЙКИ!$B$7&lt;&gt;"Да",0,MAX(0,IFERROR(SUMIF(INDIRECT("'["&amp;НАСТРОЙКИ!$D$7&amp;"]КРЕДИТЫ'!$S$3:$EO$3"),BR$22,INDIRECT("'["&amp;НАСТРОЙКИ!$D$7&amp;"]КРЕДИТЫ'!$S$52:$EO$52"))/1000000,0)))</f>
        <v>0</v>
      </c>
      <c r="BS88" s="35">
        <f ca="1">IF(НАСТРОЙКИ!$B$7&lt;&gt;"Да",0,MAX(0,IFERROR(SUMIF(INDIRECT("'["&amp;НАСТРОЙКИ!$D$7&amp;"]КРЕДИТЫ'!$S$3:$EO$3"),BS$22,INDIRECT("'["&amp;НАСТРОЙКИ!$D$7&amp;"]КРЕДИТЫ'!$S$52:$EO$52"))/1000000,0)))</f>
        <v>0</v>
      </c>
      <c r="BT88" s="35">
        <f ca="1">IF(НАСТРОЙКИ!$B$7&lt;&gt;"Да",0,MAX(0,IFERROR(SUMIF(INDIRECT("'["&amp;НАСТРОЙКИ!$D$7&amp;"]КРЕДИТЫ'!$S$3:$EO$3"),BT$22,INDIRECT("'["&amp;НАСТРОЙКИ!$D$7&amp;"]КРЕДИТЫ'!$S$52:$EO$52"))/1000000,0)))</f>
        <v>0</v>
      </c>
      <c r="BU88" s="35">
        <f ca="1">IF(НАСТРОЙКИ!$B$7&lt;&gt;"Да",0,MAX(0,IFERROR(SUMIF(INDIRECT("'["&amp;НАСТРОЙКИ!$D$7&amp;"]КРЕДИТЫ'!$S$3:$EO$3"),BU$22,INDIRECT("'["&amp;НАСТРОЙКИ!$D$7&amp;"]КРЕДИТЫ'!$S$52:$EO$52"))/1000000,0)))</f>
        <v>0</v>
      </c>
      <c r="BV88" s="35">
        <f ca="1">IF(НАСТРОЙКИ!$B$7&lt;&gt;"Да",0,MAX(0,IFERROR(SUMIF(INDIRECT("'["&amp;НАСТРОЙКИ!$D$7&amp;"]КРЕДИТЫ'!$S$3:$EO$3"),BV$22,INDIRECT("'["&amp;НАСТРОЙКИ!$D$7&amp;"]КРЕДИТЫ'!$S$52:$EO$52"))/1000000,0)))</f>
        <v>0</v>
      </c>
      <c r="BW88" s="35">
        <f ca="1">IF(НАСТРОЙКИ!$B$7&lt;&gt;"Да",0,MAX(0,IFERROR(SUMIF(INDIRECT("'["&amp;НАСТРОЙКИ!$D$7&amp;"]КРЕДИТЫ'!$S$3:$EO$3"),BW$22,INDIRECT("'["&amp;НАСТРОЙКИ!$D$7&amp;"]КРЕДИТЫ'!$S$52:$EO$52"))/1000000,0)))</f>
        <v>0</v>
      </c>
      <c r="BX88" s="35">
        <f ca="1">IF(НАСТРОЙКИ!$B$7&lt;&gt;"Да",0,MAX(0,IFERROR(SUMIF(INDIRECT("'["&amp;НАСТРОЙКИ!$D$7&amp;"]КРЕДИТЫ'!$S$3:$EO$3"),BX$22,INDIRECT("'["&amp;НАСТРОЙКИ!$D$7&amp;"]КРЕДИТЫ'!$S$52:$EO$52"))/1000000,0)))</f>
        <v>0</v>
      </c>
      <c r="BY88" s="35">
        <f ca="1">IF(НАСТРОЙКИ!$B$7&lt;&gt;"Да",0,MAX(0,IFERROR(SUMIF(INDIRECT("'["&amp;НАСТРОЙКИ!$D$7&amp;"]КРЕДИТЫ'!$S$3:$EO$3"),BY$22,INDIRECT("'["&amp;НАСТРОЙКИ!$D$7&amp;"]КРЕДИТЫ'!$S$52:$EO$52"))/1000000,0)))</f>
        <v>0</v>
      </c>
      <c r="BZ88" s="35">
        <f ca="1">IF(НАСТРОЙКИ!$B$7&lt;&gt;"Да",0,MAX(0,IFERROR(SUMIF(INDIRECT("'["&amp;НАСТРОЙКИ!$D$7&amp;"]КРЕДИТЫ'!$S$3:$EO$3"),BZ$22,INDIRECT("'["&amp;НАСТРОЙКИ!$D$7&amp;"]КРЕДИТЫ'!$S$52:$EO$52"))/1000000,0)))</f>
        <v>0</v>
      </c>
      <c r="CA88" s="35">
        <f ca="1">IF(НАСТРОЙКИ!$B$7&lt;&gt;"Да",0,MAX(0,IFERROR(SUMIF(INDIRECT("'["&amp;НАСТРОЙКИ!$D$7&amp;"]КРЕДИТЫ'!$S$3:$EO$3"),CA$22,INDIRECT("'["&amp;НАСТРОЙКИ!$D$7&amp;"]КРЕДИТЫ'!$S$52:$EO$52"))/1000000,0)))</f>
        <v>0</v>
      </c>
      <c r="CB88" s="35">
        <f ca="1">IF(НАСТРОЙКИ!$B$7&lt;&gt;"Да",0,MAX(0,IFERROR(SUMIF(INDIRECT("'["&amp;НАСТРОЙКИ!$D$7&amp;"]КРЕДИТЫ'!$S$3:$EO$3"),CB$22,INDIRECT("'["&amp;НАСТРОЙКИ!$D$7&amp;"]КРЕДИТЫ'!$S$52:$EO$52"))/1000000,0)))</f>
        <v>0</v>
      </c>
      <c r="CC88" s="35">
        <f ca="1">IF(НАСТРОЙКИ!$B$7&lt;&gt;"Да",0,MAX(0,IFERROR(SUMIF(INDIRECT("'["&amp;НАСТРОЙКИ!$D$7&amp;"]КРЕДИТЫ'!$S$3:$EO$3"),CC$22,INDIRECT("'["&amp;НАСТРОЙКИ!$D$7&amp;"]КРЕДИТЫ'!$S$52:$EO$52"))/1000000,0)))</f>
        <v>0</v>
      </c>
      <c r="CD88" s="35">
        <f ca="1">IF(НАСТРОЙКИ!$B$7&lt;&gt;"Да",0,MAX(0,IFERROR(SUMIF(INDIRECT("'["&amp;НАСТРОЙКИ!$D$7&amp;"]КРЕДИТЫ'!$S$3:$EO$3"),CD$22,INDIRECT("'["&amp;НАСТРОЙКИ!$D$7&amp;"]КРЕДИТЫ'!$S$52:$EO$52"))/1000000,0)))</f>
        <v>0</v>
      </c>
      <c r="CE88" s="35">
        <f ca="1">IF(НАСТРОЙКИ!$B$7&lt;&gt;"Да",0,MAX(0,IFERROR(SUMIF(INDIRECT("'["&amp;НАСТРОЙКИ!$D$7&amp;"]КРЕДИТЫ'!$S$3:$EO$3"),CE$22,INDIRECT("'["&amp;НАСТРОЙКИ!$D$7&amp;"]КРЕДИТЫ'!$S$52:$EO$52"))/1000000,0)))</f>
        <v>0</v>
      </c>
      <c r="CF88" s="35">
        <f ca="1">IF(НАСТРОЙКИ!$B$7&lt;&gt;"Да",0,MAX(0,IFERROR(SUMIF(INDIRECT("'["&amp;НАСТРОЙКИ!$D$7&amp;"]КРЕДИТЫ'!$S$3:$EO$3"),CF$22,INDIRECT("'["&amp;НАСТРОЙКИ!$D$7&amp;"]КРЕДИТЫ'!$S$52:$EO$52"))/1000000,0)))</f>
        <v>0</v>
      </c>
      <c r="CG88" s="35">
        <f ca="1">IF(НАСТРОЙКИ!$B$7&lt;&gt;"Да",0,MAX(0,IFERROR(SUMIF(INDIRECT("'["&amp;НАСТРОЙКИ!$D$7&amp;"]КРЕДИТЫ'!$S$3:$EO$3"),CG$22,INDIRECT("'["&amp;НАСТРОЙКИ!$D$7&amp;"]КРЕДИТЫ'!$S$52:$EO$52"))/1000000,0)))</f>
        <v>0</v>
      </c>
      <c r="CH88" s="35">
        <f ca="1">IF(НАСТРОЙКИ!$B$7&lt;&gt;"Да",0,MAX(0,IFERROR(SUMIF(INDIRECT("'["&amp;НАСТРОЙКИ!$D$7&amp;"]КРЕДИТЫ'!$S$3:$EO$3"),CH$22,INDIRECT("'["&amp;НАСТРОЙКИ!$D$7&amp;"]КРЕДИТЫ'!$S$52:$EO$52"))/1000000,0)))</f>
        <v>0</v>
      </c>
      <c r="CI88" s="35">
        <f ca="1">IF(НАСТРОЙКИ!$B$7&lt;&gt;"Да",0,MAX(0,IFERROR(SUMIF(INDIRECT("'["&amp;НАСТРОЙКИ!$D$7&amp;"]КРЕДИТЫ'!$S$3:$EO$3"),CI$22,INDIRECT("'["&amp;НАСТРОЙКИ!$D$7&amp;"]КРЕДИТЫ'!$S$52:$EO$52"))/1000000,0)))</f>
        <v>0</v>
      </c>
      <c r="CJ88" s="35">
        <f ca="1">IF(НАСТРОЙКИ!$B$7&lt;&gt;"Да",0,MAX(0,IFERROR(SUMIF(INDIRECT("'["&amp;НАСТРОЙКИ!$D$7&amp;"]КРЕДИТЫ'!$S$3:$EO$3"),CJ$22,INDIRECT("'["&amp;НАСТРОЙКИ!$D$7&amp;"]КРЕДИТЫ'!$S$52:$EO$52"))/1000000,0)))</f>
        <v>0</v>
      </c>
      <c r="CK88" s="35">
        <f ca="1">IF(НАСТРОЙКИ!$B$7&lt;&gt;"Да",0,MAX(0,IFERROR(SUMIF(INDIRECT("'["&amp;НАСТРОЙКИ!$D$7&amp;"]КРЕДИТЫ'!$S$3:$EO$3"),CK$22,INDIRECT("'["&amp;НАСТРОЙКИ!$D$7&amp;"]КРЕДИТЫ'!$S$52:$EO$52"))/1000000,0)))</f>
        <v>0</v>
      </c>
      <c r="CL88" s="35">
        <f ca="1">IF(НАСТРОЙКИ!$B$7&lt;&gt;"Да",0,MAX(0,IFERROR(SUMIF(INDIRECT("'["&amp;НАСТРОЙКИ!$D$7&amp;"]КРЕДИТЫ'!$S$3:$EO$3"),CL$22,INDIRECT("'["&amp;НАСТРОЙКИ!$D$7&amp;"]КРЕДИТЫ'!$S$52:$EO$52"))/1000000,0)))</f>
        <v>0</v>
      </c>
      <c r="CM88" s="35">
        <f ca="1">IF(НАСТРОЙКИ!$B$7&lt;&gt;"Да",0,MAX(0,IFERROR(SUMIF(INDIRECT("'["&amp;НАСТРОЙКИ!$D$7&amp;"]КРЕДИТЫ'!$S$3:$EO$3"),CM$22,INDIRECT("'["&amp;НАСТРОЙКИ!$D$7&amp;"]КРЕДИТЫ'!$S$52:$EO$52"))/1000000,0)))</f>
        <v>0</v>
      </c>
      <c r="CN88" s="35">
        <f ca="1">IF(НАСТРОЙКИ!$B$7&lt;&gt;"Да",0,MAX(0,IFERROR(SUMIF(INDIRECT("'["&amp;НАСТРОЙКИ!$D$7&amp;"]КРЕДИТЫ'!$S$3:$EO$3"),CN$22,INDIRECT("'["&amp;НАСТРОЙКИ!$D$7&amp;"]КРЕДИТЫ'!$S$52:$EO$52"))/1000000,0)))</f>
        <v>0</v>
      </c>
      <c r="CO88" s="35">
        <f ca="1">IF(НАСТРОЙКИ!$B$7&lt;&gt;"Да",0,MAX(0,IFERROR(SUMIF(INDIRECT("'["&amp;НАСТРОЙКИ!$D$7&amp;"]КРЕДИТЫ'!$S$3:$EO$3"),CO$22,INDIRECT("'["&amp;НАСТРОЙКИ!$D$7&amp;"]КРЕДИТЫ'!$S$52:$EO$52"))/1000000,0)))</f>
        <v>0</v>
      </c>
      <c r="CP88" s="35">
        <f ca="1">IF(НАСТРОЙКИ!$B$7&lt;&gt;"Да",0,MAX(0,IFERROR(SUMIF(INDIRECT("'["&amp;НАСТРОЙКИ!$D$7&amp;"]КРЕДИТЫ'!$S$3:$EO$3"),CP$22,INDIRECT("'["&amp;НАСТРОЙКИ!$D$7&amp;"]КРЕДИТЫ'!$S$52:$EO$52"))/1000000,0)))</f>
        <v>0</v>
      </c>
      <c r="CQ88" s="35">
        <f ca="1">IF(НАСТРОЙКИ!$B$7&lt;&gt;"Да",0,MAX(0,IFERROR(SUMIF(INDIRECT("'["&amp;НАСТРОЙКИ!$D$7&amp;"]КРЕДИТЫ'!$S$3:$EO$3"),CQ$22,INDIRECT("'["&amp;НАСТРОЙКИ!$D$7&amp;"]КРЕДИТЫ'!$S$52:$EO$52"))/1000000,0)))</f>
        <v>0</v>
      </c>
      <c r="CR88" s="35">
        <f ca="1">IF(НАСТРОЙКИ!$B$7&lt;&gt;"Да",0,MAX(0,IFERROR(SUMIF(INDIRECT("'["&amp;НАСТРОЙКИ!$D$7&amp;"]КРЕДИТЫ'!$S$3:$EO$3"),CR$22,INDIRECT("'["&amp;НАСТРОЙКИ!$D$7&amp;"]КРЕДИТЫ'!$S$52:$EO$52"))/1000000,0)))</f>
        <v>0</v>
      </c>
      <c r="CS88" s="35">
        <f ca="1">IF(НАСТРОЙКИ!$B$7&lt;&gt;"Да",0,MAX(0,IFERROR(SUMIF(INDIRECT("'["&amp;НАСТРОЙКИ!$D$7&amp;"]КРЕДИТЫ'!$S$3:$EO$3"),CS$22,INDIRECT("'["&amp;НАСТРОЙКИ!$D$7&amp;"]КРЕДИТЫ'!$S$52:$EO$52"))/1000000,0)))</f>
        <v>0</v>
      </c>
      <c r="CT88" s="35">
        <f ca="1">IF(НАСТРОЙКИ!$B$7&lt;&gt;"Да",0,MAX(0,IFERROR(SUMIF(INDIRECT("'["&amp;НАСТРОЙКИ!$D$7&amp;"]КРЕДИТЫ'!$S$3:$EO$3"),CT$22,INDIRECT("'["&amp;НАСТРОЙКИ!$D$7&amp;"]КРЕДИТЫ'!$S$52:$EO$52"))/1000000,0)))</f>
        <v>0</v>
      </c>
      <c r="CU88" s="35">
        <f ca="1">IF(НАСТРОЙКИ!$B$7&lt;&gt;"Да",0,MAX(0,IFERROR(SUMIF(INDIRECT("'["&amp;НАСТРОЙКИ!$D$7&amp;"]КРЕДИТЫ'!$S$3:$EO$3"),CU$22,INDIRECT("'["&amp;НАСТРОЙКИ!$D$7&amp;"]КРЕДИТЫ'!$S$52:$EO$52"))/1000000,0)))</f>
        <v>0</v>
      </c>
      <c r="CV88" s="35">
        <f ca="1">IF(НАСТРОЙКИ!$B$7&lt;&gt;"Да",0,MAX(0,IFERROR(SUMIF(INDIRECT("'["&amp;НАСТРОЙКИ!$D$7&amp;"]КРЕДИТЫ'!$S$3:$EO$3"),CV$22,INDIRECT("'["&amp;НАСТРОЙКИ!$D$7&amp;"]КРЕДИТЫ'!$S$52:$EO$52"))/1000000,0)))</f>
        <v>0</v>
      </c>
      <c r="CW88" s="35">
        <f ca="1">IF(НАСТРОЙКИ!$B$7&lt;&gt;"Да",0,MAX(0,IFERROR(SUMIF(INDIRECT("'["&amp;НАСТРОЙКИ!$D$7&amp;"]КРЕДИТЫ'!$S$3:$EO$3"),CW$22,INDIRECT("'["&amp;НАСТРОЙКИ!$D$7&amp;"]КРЕДИТЫ'!$S$52:$EO$52"))/1000000,0)))</f>
        <v>0</v>
      </c>
      <c r="CX88" s="35">
        <f ca="1">IF(НАСТРОЙКИ!$B$7&lt;&gt;"Да",0,MAX(0,IFERROR(SUMIF(INDIRECT("'["&amp;НАСТРОЙКИ!$D$7&amp;"]КРЕДИТЫ'!$S$3:$EO$3"),CX$22,INDIRECT("'["&amp;НАСТРОЙКИ!$D$7&amp;"]КРЕДИТЫ'!$S$52:$EO$52"))/1000000,0)))</f>
        <v>0</v>
      </c>
      <c r="CY88" s="35">
        <f ca="1">IF(НАСТРОЙКИ!$B$7&lt;&gt;"Да",0,MAX(0,IFERROR(SUMIF(INDIRECT("'["&amp;НАСТРОЙКИ!$D$7&amp;"]КРЕДИТЫ'!$S$3:$EO$3"),CY$22,INDIRECT("'["&amp;НАСТРОЙКИ!$D$7&amp;"]КРЕДИТЫ'!$S$52:$EO$52"))/1000000,0)))</f>
        <v>0</v>
      </c>
      <c r="CZ88" s="35">
        <f ca="1">IF(НАСТРОЙКИ!$B$7&lt;&gt;"Да",0,MAX(0,IFERROR(SUMIF(INDIRECT("'["&amp;НАСТРОЙКИ!$D$7&amp;"]КРЕДИТЫ'!$S$3:$EO$3"),CZ$22,INDIRECT("'["&amp;НАСТРОЙКИ!$D$7&amp;"]КРЕДИТЫ'!$S$52:$EO$52"))/1000000,0)))</f>
        <v>0</v>
      </c>
      <c r="DA88" s="35">
        <f ca="1">IF(НАСТРОЙКИ!$B$7&lt;&gt;"Да",0,MAX(0,IFERROR(SUMIF(INDIRECT("'["&amp;НАСТРОЙКИ!$D$7&amp;"]КРЕДИТЫ'!$S$3:$EO$3"),DA$22,INDIRECT("'["&amp;НАСТРОЙКИ!$D$7&amp;"]КРЕДИТЫ'!$S$52:$EO$52"))/1000000,0)))</f>
        <v>0</v>
      </c>
      <c r="DB88" s="35">
        <f ca="1">IF(НАСТРОЙКИ!$B$7&lt;&gt;"Да",0,MAX(0,IFERROR(SUMIF(INDIRECT("'["&amp;НАСТРОЙКИ!$D$7&amp;"]КРЕДИТЫ'!$S$3:$EO$3"),DB$22,INDIRECT("'["&amp;НАСТРОЙКИ!$D$7&amp;"]КРЕДИТЫ'!$S$52:$EO$52"))/1000000,0)))</f>
        <v>0</v>
      </c>
      <c r="DC88" s="35">
        <f ca="1">IF(НАСТРОЙКИ!$B$7&lt;&gt;"Да",0,MAX(0,IFERROR(SUMIF(INDIRECT("'["&amp;НАСТРОЙКИ!$D$7&amp;"]КРЕДИТЫ'!$S$3:$EO$3"),DC$22,INDIRECT("'["&amp;НАСТРОЙКИ!$D$7&amp;"]КРЕДИТЫ'!$S$52:$EO$52"))/1000000,0)))</f>
        <v>0</v>
      </c>
      <c r="DD88" s="35">
        <f ca="1">IF(НАСТРОЙКИ!$B$7&lt;&gt;"Да",0,MAX(0,IFERROR(SUMIF(INDIRECT("'["&amp;НАСТРОЙКИ!$D$7&amp;"]КРЕДИТЫ'!$S$3:$EO$3"),DD$22,INDIRECT("'["&amp;НАСТРОЙКИ!$D$7&amp;"]КРЕДИТЫ'!$S$52:$EO$52"))/1000000,0)))</f>
        <v>0</v>
      </c>
      <c r="DE88" s="35">
        <f ca="1">IF(НАСТРОЙКИ!$B$7&lt;&gt;"Да",0,MAX(0,IFERROR(SUMIF(INDIRECT("'["&amp;НАСТРОЙКИ!$D$7&amp;"]КРЕДИТЫ'!$S$3:$EO$3"),DE$22,INDIRECT("'["&amp;НАСТРОЙКИ!$D$7&amp;"]КРЕДИТЫ'!$S$52:$EO$52"))/1000000,0)))</f>
        <v>0</v>
      </c>
      <c r="DF88" s="35">
        <f ca="1">IF(НАСТРОЙКИ!$B$7&lt;&gt;"Да",0,MAX(0,IFERROR(SUMIF(INDIRECT("'["&amp;НАСТРОЙКИ!$D$7&amp;"]КРЕДИТЫ'!$S$3:$EO$3"),DF$22,INDIRECT("'["&amp;НАСТРОЙКИ!$D$7&amp;"]КРЕДИТЫ'!$S$52:$EO$52"))/1000000,0)))</f>
        <v>0</v>
      </c>
    </row>
    <row r="89" spans="1:110">
      <c r="A89" s="34" t="s">
        <v>136</v>
      </c>
      <c r="B89" s="34" t="s">
        <v>58</v>
      </c>
      <c r="C89" s="36">
        <f t="shared" ref="C89:AH89" ca="1" si="96">C87+C88</f>
        <v>0</v>
      </c>
      <c r="D89" s="36">
        <f t="shared" ca="1" si="96"/>
        <v>0</v>
      </c>
      <c r="E89" s="36">
        <f t="shared" ca="1" si="96"/>
        <v>0</v>
      </c>
      <c r="F89" s="36">
        <f t="shared" ca="1" si="96"/>
        <v>0</v>
      </c>
      <c r="G89" s="36">
        <f t="shared" ca="1" si="96"/>
        <v>0</v>
      </c>
      <c r="H89" s="36">
        <f t="shared" ca="1" si="96"/>
        <v>0</v>
      </c>
      <c r="I89" s="36">
        <f t="shared" ca="1" si="96"/>
        <v>0</v>
      </c>
      <c r="J89" s="36">
        <f t="shared" ca="1" si="96"/>
        <v>0</v>
      </c>
      <c r="K89" s="36">
        <f t="shared" ca="1" si="96"/>
        <v>0</v>
      </c>
      <c r="L89" s="36">
        <f t="shared" ca="1" si="96"/>
        <v>0</v>
      </c>
      <c r="M89" s="36">
        <f t="shared" ca="1" si="96"/>
        <v>0</v>
      </c>
      <c r="N89" s="36">
        <f t="shared" ca="1" si="96"/>
        <v>0</v>
      </c>
      <c r="O89" s="36">
        <f t="shared" ca="1" si="96"/>
        <v>0</v>
      </c>
      <c r="P89" s="36">
        <f t="shared" ca="1" si="96"/>
        <v>0</v>
      </c>
      <c r="Q89" s="36">
        <f t="shared" ca="1" si="96"/>
        <v>0</v>
      </c>
      <c r="R89" s="36">
        <f t="shared" ca="1" si="96"/>
        <v>0</v>
      </c>
      <c r="S89" s="36">
        <f t="shared" ca="1" si="96"/>
        <v>0</v>
      </c>
      <c r="T89" s="36">
        <f t="shared" ca="1" si="96"/>
        <v>0</v>
      </c>
      <c r="U89" s="36">
        <f t="shared" ca="1" si="96"/>
        <v>0</v>
      </c>
      <c r="V89" s="36">
        <f t="shared" ca="1" si="96"/>
        <v>0</v>
      </c>
      <c r="W89" s="36">
        <f t="shared" ca="1" si="96"/>
        <v>0</v>
      </c>
      <c r="X89" s="36">
        <f t="shared" ca="1" si="96"/>
        <v>0</v>
      </c>
      <c r="Y89" s="36">
        <f t="shared" ca="1" si="96"/>
        <v>0</v>
      </c>
      <c r="Z89" s="36">
        <f t="shared" ca="1" si="96"/>
        <v>0</v>
      </c>
      <c r="AA89" s="36">
        <f t="shared" ca="1" si="96"/>
        <v>0</v>
      </c>
      <c r="AB89" s="36">
        <f t="shared" ca="1" si="96"/>
        <v>0</v>
      </c>
      <c r="AC89" s="36">
        <f t="shared" ca="1" si="96"/>
        <v>0</v>
      </c>
      <c r="AD89" s="36">
        <f t="shared" ca="1" si="96"/>
        <v>0</v>
      </c>
      <c r="AE89" s="36">
        <f t="shared" ca="1" si="96"/>
        <v>0</v>
      </c>
      <c r="AF89" s="36">
        <f t="shared" ca="1" si="96"/>
        <v>0</v>
      </c>
      <c r="AG89" s="36">
        <f t="shared" ca="1" si="96"/>
        <v>0</v>
      </c>
      <c r="AH89" s="36">
        <f t="shared" ca="1" si="96"/>
        <v>0</v>
      </c>
      <c r="AI89" s="36">
        <f t="shared" ref="AI89:BN89" ca="1" si="97">AI87+AI88</f>
        <v>0</v>
      </c>
      <c r="AJ89" s="36">
        <f t="shared" ca="1" si="97"/>
        <v>0</v>
      </c>
      <c r="AK89" s="36">
        <f t="shared" ca="1" si="97"/>
        <v>0</v>
      </c>
      <c r="AL89" s="36">
        <f t="shared" ca="1" si="97"/>
        <v>0</v>
      </c>
      <c r="AM89" s="36">
        <f t="shared" ca="1" si="97"/>
        <v>0</v>
      </c>
      <c r="AN89" s="36">
        <f t="shared" ca="1" si="97"/>
        <v>0</v>
      </c>
      <c r="AO89" s="36">
        <f t="shared" ca="1" si="97"/>
        <v>147.79907449732906</v>
      </c>
      <c r="AP89" s="36">
        <f t="shared" ca="1" si="97"/>
        <v>343.41722318396586</v>
      </c>
      <c r="AQ89" s="36">
        <f t="shared" ca="1" si="97"/>
        <v>177.65330915097871</v>
      </c>
      <c r="AR89" s="36">
        <f t="shared" ca="1" si="97"/>
        <v>177.65330915097871</v>
      </c>
      <c r="AS89" s="36">
        <f t="shared" ca="1" si="97"/>
        <v>3307.093377056819</v>
      </c>
      <c r="AT89" s="36">
        <f t="shared" ca="1" si="97"/>
        <v>4109.3056211050607</v>
      </c>
      <c r="AU89" s="36">
        <f t="shared" ca="1" si="97"/>
        <v>4888.0052532337295</v>
      </c>
      <c r="AV89" s="36">
        <f t="shared" ca="1" si="97"/>
        <v>5666.7048853623983</v>
      </c>
      <c r="AW89" s="36">
        <f t="shared" ca="1" si="97"/>
        <v>6445.4045174910671</v>
      </c>
      <c r="AX89" s="36">
        <f t="shared" ca="1" si="97"/>
        <v>7224.1041496197358</v>
      </c>
      <c r="AY89" s="36">
        <f t="shared" ca="1" si="97"/>
        <v>8022.0537817484046</v>
      </c>
      <c r="AZ89" s="36">
        <f t="shared" ca="1" si="97"/>
        <v>8820.0034138770734</v>
      </c>
      <c r="BA89" s="36">
        <f t="shared" ca="1" si="97"/>
        <v>9617.9530460057413</v>
      </c>
      <c r="BB89" s="36">
        <f t="shared" ca="1" si="97"/>
        <v>10415.902678134411</v>
      </c>
      <c r="BC89" s="36">
        <f t="shared" ca="1" si="97"/>
        <v>11213.852310263081</v>
      </c>
      <c r="BD89" s="36">
        <f t="shared" ca="1" si="97"/>
        <v>12011.80194239175</v>
      </c>
      <c r="BE89" s="36">
        <f t="shared" ca="1" si="97"/>
        <v>12809.75157452042</v>
      </c>
      <c r="BF89" s="36">
        <f t="shared" ca="1" si="97"/>
        <v>13607.70120664909</v>
      </c>
      <c r="BG89" s="36">
        <f t="shared" ca="1" si="97"/>
        <v>14405.650838777759</v>
      </c>
      <c r="BH89" s="36">
        <f t="shared" ca="1" si="97"/>
        <v>15203.600470906429</v>
      </c>
      <c r="BI89" s="36">
        <f t="shared" ca="1" si="97"/>
        <v>16001.550103035099</v>
      </c>
      <c r="BJ89" s="36">
        <f t="shared" ca="1" si="97"/>
        <v>16799.499735163768</v>
      </c>
      <c r="BK89" s="36">
        <f t="shared" ca="1" si="97"/>
        <v>17597.44936729244</v>
      </c>
      <c r="BL89" s="36">
        <f t="shared" ca="1" si="97"/>
        <v>18395.398999421108</v>
      </c>
      <c r="BM89" s="36">
        <f t="shared" ca="1" si="97"/>
        <v>19193.348631549779</v>
      </c>
      <c r="BN89" s="36">
        <f t="shared" ca="1" si="97"/>
        <v>20028.238662435317</v>
      </c>
      <c r="BO89" s="36">
        <f t="shared" ref="BO89:CT89" ca="1" si="98">BO87+BO88</f>
        <v>21098.254812516585</v>
      </c>
      <c r="BP89" s="36">
        <f t="shared" ca="1" si="98"/>
        <v>23843.8158612357</v>
      </c>
      <c r="BQ89" s="36">
        <f t="shared" ca="1" si="98"/>
        <v>0</v>
      </c>
      <c r="BR89" s="36">
        <f t="shared" ca="1" si="98"/>
        <v>0</v>
      </c>
      <c r="BS89" s="36">
        <f t="shared" ca="1" si="98"/>
        <v>0</v>
      </c>
      <c r="BT89" s="36">
        <f t="shared" ca="1" si="98"/>
        <v>0</v>
      </c>
      <c r="BU89" s="36">
        <f t="shared" ca="1" si="98"/>
        <v>0</v>
      </c>
      <c r="BV89" s="36">
        <f t="shared" ca="1" si="98"/>
        <v>0</v>
      </c>
      <c r="BW89" s="36">
        <f t="shared" ca="1" si="98"/>
        <v>0</v>
      </c>
      <c r="BX89" s="36">
        <f t="shared" ca="1" si="98"/>
        <v>0</v>
      </c>
      <c r="BY89" s="36">
        <f t="shared" ca="1" si="98"/>
        <v>0</v>
      </c>
      <c r="BZ89" s="36">
        <f t="shared" ca="1" si="98"/>
        <v>0</v>
      </c>
      <c r="CA89" s="36">
        <f t="shared" ca="1" si="98"/>
        <v>0</v>
      </c>
      <c r="CB89" s="36">
        <f t="shared" ca="1" si="98"/>
        <v>0</v>
      </c>
      <c r="CC89" s="36">
        <f t="shared" ca="1" si="98"/>
        <v>0</v>
      </c>
      <c r="CD89" s="36">
        <f t="shared" ca="1" si="98"/>
        <v>0</v>
      </c>
      <c r="CE89" s="36">
        <f t="shared" ca="1" si="98"/>
        <v>0</v>
      </c>
      <c r="CF89" s="36">
        <f t="shared" ca="1" si="98"/>
        <v>0</v>
      </c>
      <c r="CG89" s="36">
        <f t="shared" ca="1" si="98"/>
        <v>0</v>
      </c>
      <c r="CH89" s="36">
        <f t="shared" ca="1" si="98"/>
        <v>0</v>
      </c>
      <c r="CI89" s="36">
        <f t="shared" ca="1" si="98"/>
        <v>0</v>
      </c>
      <c r="CJ89" s="36">
        <f t="shared" ca="1" si="98"/>
        <v>0</v>
      </c>
      <c r="CK89" s="36">
        <f t="shared" ca="1" si="98"/>
        <v>0</v>
      </c>
      <c r="CL89" s="36">
        <f t="shared" ca="1" si="98"/>
        <v>0</v>
      </c>
      <c r="CM89" s="36">
        <f t="shared" ca="1" si="98"/>
        <v>0</v>
      </c>
      <c r="CN89" s="36">
        <f t="shared" ca="1" si="98"/>
        <v>0</v>
      </c>
      <c r="CO89" s="36">
        <f t="shared" ca="1" si="98"/>
        <v>0</v>
      </c>
      <c r="CP89" s="36">
        <f t="shared" ca="1" si="98"/>
        <v>0</v>
      </c>
      <c r="CQ89" s="36">
        <f t="shared" ca="1" si="98"/>
        <v>0</v>
      </c>
      <c r="CR89" s="36">
        <f t="shared" ca="1" si="98"/>
        <v>0</v>
      </c>
      <c r="CS89" s="36">
        <f t="shared" ca="1" si="98"/>
        <v>0</v>
      </c>
      <c r="CT89" s="36">
        <f t="shared" ca="1" si="98"/>
        <v>0</v>
      </c>
      <c r="CU89" s="36">
        <f t="shared" ref="CU89:DF89" ca="1" si="99">CU87+CU88</f>
        <v>0</v>
      </c>
      <c r="CV89" s="36">
        <f t="shared" ca="1" si="99"/>
        <v>0</v>
      </c>
      <c r="CW89" s="36">
        <f t="shared" ca="1" si="99"/>
        <v>0</v>
      </c>
      <c r="CX89" s="36">
        <f t="shared" ca="1" si="99"/>
        <v>0</v>
      </c>
      <c r="CY89" s="36">
        <f t="shared" ca="1" si="99"/>
        <v>0</v>
      </c>
      <c r="CZ89" s="36">
        <f t="shared" ca="1" si="99"/>
        <v>0</v>
      </c>
      <c r="DA89" s="36">
        <f t="shared" ca="1" si="99"/>
        <v>0</v>
      </c>
      <c r="DB89" s="36">
        <f t="shared" ca="1" si="99"/>
        <v>0</v>
      </c>
      <c r="DC89" s="36">
        <f t="shared" ca="1" si="99"/>
        <v>0</v>
      </c>
      <c r="DD89" s="36">
        <f t="shared" ca="1" si="99"/>
        <v>0</v>
      </c>
      <c r="DE89" s="36">
        <f t="shared" ca="1" si="99"/>
        <v>0</v>
      </c>
      <c r="DF89" s="36">
        <f t="shared" ca="1" si="99"/>
        <v>0</v>
      </c>
    </row>
    <row r="91" spans="1:110">
      <c r="A91" s="86" t="str">
        <f>"ОЧЕРЕДЬ 4 — "&amp;НАСТРОЙКИ!D8</f>
        <v xml:space="preserve">ОЧЕРЕДЬ 4 — </v>
      </c>
      <c r="B91" s="8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</row>
    <row r="92" spans="1:110">
      <c r="A92" s="33" t="s">
        <v>112</v>
      </c>
      <c r="B92" s="33" t="s">
        <v>51</v>
      </c>
    </row>
    <row r="93" spans="1:110">
      <c r="A93" s="34" t="s">
        <v>102</v>
      </c>
      <c r="B93" s="34" t="s">
        <v>58</v>
      </c>
      <c r="C93" s="35">
        <f ca="1">IF(НАСТРОЙКИ!$B$8&lt;&gt;"Да",0,IFERROR(SUMIF(INDIRECT("'["&amp;НАСТРОЙКИ!$D$8&amp;"]CF'!$L$3:$EO$3"),C$22,INDIRECT("'["&amp;НАСТРОЙКИ!$D$8&amp;"]CF'!$L$18:$EO$18")),0))</f>
        <v>0</v>
      </c>
      <c r="D93" s="35">
        <f ca="1">IF(НАСТРОЙКИ!$B$8&lt;&gt;"Да",0,IFERROR(SUMIF(INDIRECT("'["&amp;НАСТРОЙКИ!$D$8&amp;"]CF'!$L$3:$EO$3"),D$22,INDIRECT("'["&amp;НАСТРОЙКИ!$D$8&amp;"]CF'!$L$18:$EO$18")),0))</f>
        <v>0</v>
      </c>
      <c r="E93" s="35">
        <f ca="1">IF(НАСТРОЙКИ!$B$8&lt;&gt;"Да",0,IFERROR(SUMIF(INDIRECT("'["&amp;НАСТРОЙКИ!$D$8&amp;"]CF'!$L$3:$EO$3"),E$22,INDIRECT("'["&amp;НАСТРОЙКИ!$D$8&amp;"]CF'!$L$18:$EO$18")),0))</f>
        <v>0</v>
      </c>
      <c r="F93" s="35">
        <f ca="1">IF(НАСТРОЙКИ!$B$8&lt;&gt;"Да",0,IFERROR(SUMIF(INDIRECT("'["&amp;НАСТРОЙКИ!$D$8&amp;"]CF'!$L$3:$EO$3"),F$22,INDIRECT("'["&amp;НАСТРОЙКИ!$D$8&amp;"]CF'!$L$18:$EO$18")),0))</f>
        <v>0</v>
      </c>
      <c r="G93" s="35">
        <f ca="1">IF(НАСТРОЙКИ!$B$8&lt;&gt;"Да",0,IFERROR(SUMIF(INDIRECT("'["&amp;НАСТРОЙКИ!$D$8&amp;"]CF'!$L$3:$EO$3"),G$22,INDIRECT("'["&amp;НАСТРОЙКИ!$D$8&amp;"]CF'!$L$18:$EO$18")),0))</f>
        <v>0</v>
      </c>
      <c r="H93" s="35">
        <f ca="1">IF(НАСТРОЙКИ!$B$8&lt;&gt;"Да",0,IFERROR(SUMIF(INDIRECT("'["&amp;НАСТРОЙКИ!$D$8&amp;"]CF'!$L$3:$EO$3"),H$22,INDIRECT("'["&amp;НАСТРОЙКИ!$D$8&amp;"]CF'!$L$18:$EO$18")),0))</f>
        <v>0</v>
      </c>
      <c r="I93" s="35">
        <f ca="1">IF(НАСТРОЙКИ!$B$8&lt;&gt;"Да",0,IFERROR(SUMIF(INDIRECT("'["&amp;НАСТРОЙКИ!$D$8&amp;"]CF'!$L$3:$EO$3"),I$22,INDIRECT("'["&amp;НАСТРОЙКИ!$D$8&amp;"]CF'!$L$18:$EO$18")),0))</f>
        <v>0</v>
      </c>
      <c r="J93" s="35">
        <f ca="1">IF(НАСТРОЙКИ!$B$8&lt;&gt;"Да",0,IFERROR(SUMIF(INDIRECT("'["&amp;НАСТРОЙКИ!$D$8&amp;"]CF'!$L$3:$EO$3"),J$22,INDIRECT("'["&amp;НАСТРОЙКИ!$D$8&amp;"]CF'!$L$18:$EO$18")),0))</f>
        <v>0</v>
      </c>
      <c r="K93" s="35">
        <f ca="1">IF(НАСТРОЙКИ!$B$8&lt;&gt;"Да",0,IFERROR(SUMIF(INDIRECT("'["&amp;НАСТРОЙКИ!$D$8&amp;"]CF'!$L$3:$EO$3"),K$22,INDIRECT("'["&amp;НАСТРОЙКИ!$D$8&amp;"]CF'!$L$18:$EO$18")),0))</f>
        <v>0</v>
      </c>
      <c r="L93" s="35">
        <f ca="1">IF(НАСТРОЙКИ!$B$8&lt;&gt;"Да",0,IFERROR(SUMIF(INDIRECT("'["&amp;НАСТРОЙКИ!$D$8&amp;"]CF'!$L$3:$EO$3"),L$22,INDIRECT("'["&amp;НАСТРОЙКИ!$D$8&amp;"]CF'!$L$18:$EO$18")),0))</f>
        <v>0</v>
      </c>
      <c r="M93" s="35">
        <f ca="1">IF(НАСТРОЙКИ!$B$8&lt;&gt;"Да",0,IFERROR(SUMIF(INDIRECT("'["&amp;НАСТРОЙКИ!$D$8&amp;"]CF'!$L$3:$EO$3"),M$22,INDIRECT("'["&amp;НАСТРОЙКИ!$D$8&amp;"]CF'!$L$18:$EO$18")),0))</f>
        <v>0</v>
      </c>
      <c r="N93" s="35">
        <f ca="1">IF(НАСТРОЙКИ!$B$8&lt;&gt;"Да",0,IFERROR(SUMIF(INDIRECT("'["&amp;НАСТРОЙКИ!$D$8&amp;"]CF'!$L$3:$EO$3"),N$22,INDIRECT("'["&amp;НАСТРОЙКИ!$D$8&amp;"]CF'!$L$18:$EO$18")),0))</f>
        <v>0</v>
      </c>
      <c r="O93" s="35">
        <f ca="1">IF(НАСТРОЙКИ!$B$8&lt;&gt;"Да",0,IFERROR(SUMIF(INDIRECT("'["&amp;НАСТРОЙКИ!$D$8&amp;"]CF'!$L$3:$EO$3"),O$22,INDIRECT("'["&amp;НАСТРОЙКИ!$D$8&amp;"]CF'!$L$18:$EO$18")),0))</f>
        <v>0</v>
      </c>
      <c r="P93" s="35">
        <f ca="1">IF(НАСТРОЙКИ!$B$8&lt;&gt;"Да",0,IFERROR(SUMIF(INDIRECT("'["&amp;НАСТРОЙКИ!$D$8&amp;"]CF'!$L$3:$EO$3"),P$22,INDIRECT("'["&amp;НАСТРОЙКИ!$D$8&amp;"]CF'!$L$18:$EO$18")),0))</f>
        <v>0</v>
      </c>
      <c r="Q93" s="35">
        <f ca="1">IF(НАСТРОЙКИ!$B$8&lt;&gt;"Да",0,IFERROR(SUMIF(INDIRECT("'["&amp;НАСТРОЙКИ!$D$8&amp;"]CF'!$L$3:$EO$3"),Q$22,INDIRECT("'["&amp;НАСТРОЙКИ!$D$8&amp;"]CF'!$L$18:$EO$18")),0))</f>
        <v>0</v>
      </c>
      <c r="R93" s="35">
        <f ca="1">IF(НАСТРОЙКИ!$B$8&lt;&gt;"Да",0,IFERROR(SUMIF(INDIRECT("'["&amp;НАСТРОЙКИ!$D$8&amp;"]CF'!$L$3:$EO$3"),R$22,INDIRECT("'["&amp;НАСТРОЙКИ!$D$8&amp;"]CF'!$L$18:$EO$18")),0))</f>
        <v>0</v>
      </c>
      <c r="S93" s="35">
        <f ca="1">IF(НАСТРОЙКИ!$B$8&lt;&gt;"Да",0,IFERROR(SUMIF(INDIRECT("'["&amp;НАСТРОЙКИ!$D$8&amp;"]CF'!$L$3:$EO$3"),S$22,INDIRECT("'["&amp;НАСТРОЙКИ!$D$8&amp;"]CF'!$L$18:$EO$18")),0))</f>
        <v>0</v>
      </c>
      <c r="T93" s="35">
        <f ca="1">IF(НАСТРОЙКИ!$B$8&lt;&gt;"Да",0,IFERROR(SUMIF(INDIRECT("'["&amp;НАСТРОЙКИ!$D$8&amp;"]CF'!$L$3:$EO$3"),T$22,INDIRECT("'["&amp;НАСТРОЙКИ!$D$8&amp;"]CF'!$L$18:$EO$18")),0))</f>
        <v>0</v>
      </c>
      <c r="U93" s="35">
        <f ca="1">IF(НАСТРОЙКИ!$B$8&lt;&gt;"Да",0,IFERROR(SUMIF(INDIRECT("'["&amp;НАСТРОЙКИ!$D$8&amp;"]CF'!$L$3:$EO$3"),U$22,INDIRECT("'["&amp;НАСТРОЙКИ!$D$8&amp;"]CF'!$L$18:$EO$18")),0))</f>
        <v>0</v>
      </c>
      <c r="V93" s="35">
        <f ca="1">IF(НАСТРОЙКИ!$B$8&lt;&gt;"Да",0,IFERROR(SUMIF(INDIRECT("'["&amp;НАСТРОЙКИ!$D$8&amp;"]CF'!$L$3:$EO$3"),V$22,INDIRECT("'["&amp;НАСТРОЙКИ!$D$8&amp;"]CF'!$L$18:$EO$18")),0))</f>
        <v>0</v>
      </c>
      <c r="W93" s="35">
        <f ca="1">IF(НАСТРОЙКИ!$B$8&lt;&gt;"Да",0,IFERROR(SUMIF(INDIRECT("'["&amp;НАСТРОЙКИ!$D$8&amp;"]CF'!$L$3:$EO$3"),W$22,INDIRECT("'["&amp;НАСТРОЙКИ!$D$8&amp;"]CF'!$L$18:$EO$18")),0))</f>
        <v>0</v>
      </c>
      <c r="X93" s="35">
        <f ca="1">IF(НАСТРОЙКИ!$B$8&lt;&gt;"Да",0,IFERROR(SUMIF(INDIRECT("'["&amp;НАСТРОЙКИ!$D$8&amp;"]CF'!$L$3:$EO$3"),X$22,INDIRECT("'["&amp;НАСТРОЙКИ!$D$8&amp;"]CF'!$L$18:$EO$18")),0))</f>
        <v>0</v>
      </c>
      <c r="Y93" s="35">
        <f ca="1">IF(НАСТРОЙКИ!$B$8&lt;&gt;"Да",0,IFERROR(SUMIF(INDIRECT("'["&amp;НАСТРОЙКИ!$D$8&amp;"]CF'!$L$3:$EO$3"),Y$22,INDIRECT("'["&amp;НАСТРОЙКИ!$D$8&amp;"]CF'!$L$18:$EO$18")),0))</f>
        <v>0</v>
      </c>
      <c r="Z93" s="35">
        <f ca="1">IF(НАСТРОЙКИ!$B$8&lt;&gt;"Да",0,IFERROR(SUMIF(INDIRECT("'["&amp;НАСТРОЙКИ!$D$8&amp;"]CF'!$L$3:$EO$3"),Z$22,INDIRECT("'["&amp;НАСТРОЙКИ!$D$8&amp;"]CF'!$L$18:$EO$18")),0))</f>
        <v>0</v>
      </c>
      <c r="AA93" s="35">
        <f ca="1">IF(НАСТРОЙКИ!$B$8&lt;&gt;"Да",0,IFERROR(SUMIF(INDIRECT("'["&amp;НАСТРОЙКИ!$D$8&amp;"]CF'!$L$3:$EO$3"),AA$22,INDIRECT("'["&amp;НАСТРОЙКИ!$D$8&amp;"]CF'!$L$18:$EO$18")),0))</f>
        <v>0</v>
      </c>
      <c r="AB93" s="35">
        <f ca="1">IF(НАСТРОЙКИ!$B$8&lt;&gt;"Да",0,IFERROR(SUMIF(INDIRECT("'["&amp;НАСТРОЙКИ!$D$8&amp;"]CF'!$L$3:$EO$3"),AB$22,INDIRECT("'["&amp;НАСТРОЙКИ!$D$8&amp;"]CF'!$L$18:$EO$18")),0))</f>
        <v>0</v>
      </c>
      <c r="AC93" s="35">
        <f ca="1">IF(НАСТРОЙКИ!$B$8&lt;&gt;"Да",0,IFERROR(SUMIF(INDIRECT("'["&amp;НАСТРОЙКИ!$D$8&amp;"]CF'!$L$3:$EO$3"),AC$22,INDIRECT("'["&amp;НАСТРОЙКИ!$D$8&amp;"]CF'!$L$18:$EO$18")),0))</f>
        <v>0</v>
      </c>
      <c r="AD93" s="35">
        <f ca="1">IF(НАСТРОЙКИ!$B$8&lt;&gt;"Да",0,IFERROR(SUMIF(INDIRECT("'["&amp;НАСТРОЙКИ!$D$8&amp;"]CF'!$L$3:$EO$3"),AD$22,INDIRECT("'["&amp;НАСТРОЙКИ!$D$8&amp;"]CF'!$L$18:$EO$18")),0))</f>
        <v>0</v>
      </c>
      <c r="AE93" s="35">
        <f ca="1">IF(НАСТРОЙКИ!$B$8&lt;&gt;"Да",0,IFERROR(SUMIF(INDIRECT("'["&amp;НАСТРОЙКИ!$D$8&amp;"]CF'!$L$3:$EO$3"),AE$22,INDIRECT("'["&amp;НАСТРОЙКИ!$D$8&amp;"]CF'!$L$18:$EO$18")),0))</f>
        <v>0</v>
      </c>
      <c r="AF93" s="35">
        <f ca="1">IF(НАСТРОЙКИ!$B$8&lt;&gt;"Да",0,IFERROR(SUMIF(INDIRECT("'["&amp;НАСТРОЙКИ!$D$8&amp;"]CF'!$L$3:$EO$3"),AF$22,INDIRECT("'["&amp;НАСТРОЙКИ!$D$8&amp;"]CF'!$L$18:$EO$18")),0))</f>
        <v>0</v>
      </c>
      <c r="AG93" s="35">
        <f ca="1">IF(НАСТРОЙКИ!$B$8&lt;&gt;"Да",0,IFERROR(SUMIF(INDIRECT("'["&amp;НАСТРОЙКИ!$D$8&amp;"]CF'!$L$3:$EO$3"),AG$22,INDIRECT("'["&amp;НАСТРОЙКИ!$D$8&amp;"]CF'!$L$18:$EO$18")),0))</f>
        <v>0</v>
      </c>
      <c r="AH93" s="35">
        <f ca="1">IF(НАСТРОЙКИ!$B$8&lt;&gt;"Да",0,IFERROR(SUMIF(INDIRECT("'["&amp;НАСТРОЙКИ!$D$8&amp;"]CF'!$L$3:$EO$3"),AH$22,INDIRECT("'["&amp;НАСТРОЙКИ!$D$8&amp;"]CF'!$L$18:$EO$18")),0))</f>
        <v>0</v>
      </c>
      <c r="AI93" s="35">
        <f ca="1">IF(НАСТРОЙКИ!$B$8&lt;&gt;"Да",0,IFERROR(SUMIF(INDIRECT("'["&amp;НАСТРОЙКИ!$D$8&amp;"]CF'!$L$3:$EO$3"),AI$22,INDIRECT("'["&amp;НАСТРОЙКИ!$D$8&amp;"]CF'!$L$18:$EO$18")),0))</f>
        <v>0</v>
      </c>
      <c r="AJ93" s="35">
        <f ca="1">IF(НАСТРОЙКИ!$B$8&lt;&gt;"Да",0,IFERROR(SUMIF(INDIRECT("'["&amp;НАСТРОЙКИ!$D$8&amp;"]CF'!$L$3:$EO$3"),AJ$22,INDIRECT("'["&amp;НАСТРОЙКИ!$D$8&amp;"]CF'!$L$18:$EO$18")),0))</f>
        <v>0</v>
      </c>
      <c r="AK93" s="35">
        <f ca="1">IF(НАСТРОЙКИ!$B$8&lt;&gt;"Да",0,IFERROR(SUMIF(INDIRECT("'["&amp;НАСТРОЙКИ!$D$8&amp;"]CF'!$L$3:$EO$3"),AK$22,INDIRECT("'["&amp;НАСТРОЙКИ!$D$8&amp;"]CF'!$L$18:$EO$18")),0))</f>
        <v>0</v>
      </c>
      <c r="AL93" s="35">
        <f ca="1">IF(НАСТРОЙКИ!$B$8&lt;&gt;"Да",0,IFERROR(SUMIF(INDIRECT("'["&amp;НАСТРОЙКИ!$D$8&amp;"]CF'!$L$3:$EO$3"),AL$22,INDIRECT("'["&amp;НАСТРОЙКИ!$D$8&amp;"]CF'!$L$18:$EO$18")),0))</f>
        <v>0</v>
      </c>
      <c r="AM93" s="35">
        <f ca="1">IF(НАСТРОЙКИ!$B$8&lt;&gt;"Да",0,IFERROR(SUMIF(INDIRECT("'["&amp;НАСТРОЙКИ!$D$8&amp;"]CF'!$L$3:$EO$3"),AM$22,INDIRECT("'["&amp;НАСТРОЙКИ!$D$8&amp;"]CF'!$L$18:$EO$18")),0))</f>
        <v>0</v>
      </c>
      <c r="AN93" s="35">
        <f ca="1">IF(НАСТРОЙКИ!$B$8&lt;&gt;"Да",0,IFERROR(SUMIF(INDIRECT("'["&amp;НАСТРОЙКИ!$D$8&amp;"]CF'!$L$3:$EO$3"),AN$22,INDIRECT("'["&amp;НАСТРОЙКИ!$D$8&amp;"]CF'!$L$18:$EO$18")),0))</f>
        <v>0</v>
      </c>
      <c r="AO93" s="35">
        <f ca="1">IF(НАСТРОЙКИ!$B$8&lt;&gt;"Да",0,IFERROR(SUMIF(INDIRECT("'["&amp;НАСТРОЙКИ!$D$8&amp;"]CF'!$L$3:$EO$3"),AO$22,INDIRECT("'["&amp;НАСТРОЙКИ!$D$8&amp;"]CF'!$L$18:$EO$18")),0))</f>
        <v>0</v>
      </c>
      <c r="AP93" s="35">
        <f ca="1">IF(НАСТРОЙКИ!$B$8&lt;&gt;"Да",0,IFERROR(SUMIF(INDIRECT("'["&amp;НАСТРОЙКИ!$D$8&amp;"]CF'!$L$3:$EO$3"),AP$22,INDIRECT("'["&amp;НАСТРОЙКИ!$D$8&amp;"]CF'!$L$18:$EO$18")),0))</f>
        <v>0</v>
      </c>
      <c r="AQ93" s="35">
        <f ca="1">IF(НАСТРОЙКИ!$B$8&lt;&gt;"Да",0,IFERROR(SUMIF(INDIRECT("'["&amp;НАСТРОЙКИ!$D$8&amp;"]CF'!$L$3:$EO$3"),AQ$22,INDIRECT("'["&amp;НАСТРОЙКИ!$D$8&amp;"]CF'!$L$18:$EO$18")),0))</f>
        <v>0</v>
      </c>
      <c r="AR93" s="35">
        <f ca="1">IF(НАСТРОЙКИ!$B$8&lt;&gt;"Да",0,IFERROR(SUMIF(INDIRECT("'["&amp;НАСТРОЙКИ!$D$8&amp;"]CF'!$L$3:$EO$3"),AR$22,INDIRECT("'["&amp;НАСТРОЙКИ!$D$8&amp;"]CF'!$L$18:$EO$18")),0))</f>
        <v>0</v>
      </c>
      <c r="AS93" s="35">
        <f ca="1">IF(НАСТРОЙКИ!$B$8&lt;&gt;"Да",0,IFERROR(SUMIF(INDIRECT("'["&amp;НАСТРОЙКИ!$D$8&amp;"]CF'!$L$3:$EO$3"),AS$22,INDIRECT("'["&amp;НАСТРОЙКИ!$D$8&amp;"]CF'!$L$18:$EO$18")),0))</f>
        <v>0</v>
      </c>
      <c r="AT93" s="35">
        <f ca="1">IF(НАСТРОЙКИ!$B$8&lt;&gt;"Да",0,IFERROR(SUMIF(INDIRECT("'["&amp;НАСТРОЙКИ!$D$8&amp;"]CF'!$L$3:$EO$3"),AT$22,INDIRECT("'["&amp;НАСТРОЙКИ!$D$8&amp;"]CF'!$L$18:$EO$18")),0))</f>
        <v>0</v>
      </c>
      <c r="AU93" s="35">
        <f ca="1">IF(НАСТРОЙКИ!$B$8&lt;&gt;"Да",0,IFERROR(SUMIF(INDIRECT("'["&amp;НАСТРОЙКИ!$D$8&amp;"]CF'!$L$3:$EO$3"),AU$22,INDIRECT("'["&amp;НАСТРОЙКИ!$D$8&amp;"]CF'!$L$18:$EO$18")),0))</f>
        <v>0</v>
      </c>
      <c r="AV93" s="35">
        <f ca="1">IF(НАСТРОЙКИ!$B$8&lt;&gt;"Да",0,IFERROR(SUMIF(INDIRECT("'["&amp;НАСТРОЙКИ!$D$8&amp;"]CF'!$L$3:$EO$3"),AV$22,INDIRECT("'["&amp;НАСТРОЙКИ!$D$8&amp;"]CF'!$L$18:$EO$18")),0))</f>
        <v>0</v>
      </c>
      <c r="AW93" s="35">
        <f ca="1">IF(НАСТРОЙКИ!$B$8&lt;&gt;"Да",0,IFERROR(SUMIF(INDIRECT("'["&amp;НАСТРОЙКИ!$D$8&amp;"]CF'!$L$3:$EO$3"),AW$22,INDIRECT("'["&amp;НАСТРОЙКИ!$D$8&amp;"]CF'!$L$18:$EO$18")),0))</f>
        <v>0</v>
      </c>
      <c r="AX93" s="35">
        <f ca="1">IF(НАСТРОЙКИ!$B$8&lt;&gt;"Да",0,IFERROR(SUMIF(INDIRECT("'["&amp;НАСТРОЙКИ!$D$8&amp;"]CF'!$L$3:$EO$3"),AX$22,INDIRECT("'["&amp;НАСТРОЙКИ!$D$8&amp;"]CF'!$L$18:$EO$18")),0))</f>
        <v>0</v>
      </c>
      <c r="AY93" s="35">
        <f ca="1">IF(НАСТРОЙКИ!$B$8&lt;&gt;"Да",0,IFERROR(SUMIF(INDIRECT("'["&amp;НАСТРОЙКИ!$D$8&amp;"]CF'!$L$3:$EO$3"),AY$22,INDIRECT("'["&amp;НАСТРОЙКИ!$D$8&amp;"]CF'!$L$18:$EO$18")),0))</f>
        <v>0</v>
      </c>
      <c r="AZ93" s="35">
        <f ca="1">IF(НАСТРОЙКИ!$B$8&lt;&gt;"Да",0,IFERROR(SUMIF(INDIRECT("'["&amp;НАСТРОЙКИ!$D$8&amp;"]CF'!$L$3:$EO$3"),AZ$22,INDIRECT("'["&amp;НАСТРОЙКИ!$D$8&amp;"]CF'!$L$18:$EO$18")),0))</f>
        <v>0</v>
      </c>
      <c r="BA93" s="35">
        <f ca="1">IF(НАСТРОЙКИ!$B$8&lt;&gt;"Да",0,IFERROR(SUMIF(INDIRECT("'["&amp;НАСТРОЙКИ!$D$8&amp;"]CF'!$L$3:$EO$3"),BA$22,INDIRECT("'["&amp;НАСТРОЙКИ!$D$8&amp;"]CF'!$L$18:$EO$18")),0))</f>
        <v>0</v>
      </c>
      <c r="BB93" s="35">
        <f ca="1">IF(НАСТРОЙКИ!$B$8&lt;&gt;"Да",0,IFERROR(SUMIF(INDIRECT("'["&amp;НАСТРОЙКИ!$D$8&amp;"]CF'!$L$3:$EO$3"),BB$22,INDIRECT("'["&amp;НАСТРОЙКИ!$D$8&amp;"]CF'!$L$18:$EO$18")),0))</f>
        <v>0</v>
      </c>
      <c r="BC93" s="35">
        <f ca="1">IF(НАСТРОЙКИ!$B$8&lt;&gt;"Да",0,IFERROR(SUMIF(INDIRECT("'["&amp;НАСТРОЙКИ!$D$8&amp;"]CF'!$L$3:$EO$3"),BC$22,INDIRECT("'["&amp;НАСТРОЙКИ!$D$8&amp;"]CF'!$L$18:$EO$18")),0))</f>
        <v>0</v>
      </c>
      <c r="BD93" s="35">
        <f ca="1">IF(НАСТРОЙКИ!$B$8&lt;&gt;"Да",0,IFERROR(SUMIF(INDIRECT("'["&amp;НАСТРОЙКИ!$D$8&amp;"]CF'!$L$3:$EO$3"),BD$22,INDIRECT("'["&amp;НАСТРОЙКИ!$D$8&amp;"]CF'!$L$18:$EO$18")),0))</f>
        <v>0</v>
      </c>
      <c r="BE93" s="35">
        <f ca="1">IF(НАСТРОЙКИ!$B$8&lt;&gt;"Да",0,IFERROR(SUMIF(INDIRECT("'["&amp;НАСТРОЙКИ!$D$8&amp;"]CF'!$L$3:$EO$3"),BE$22,INDIRECT("'["&amp;НАСТРОЙКИ!$D$8&amp;"]CF'!$L$18:$EO$18")),0))</f>
        <v>0</v>
      </c>
      <c r="BF93" s="35">
        <f ca="1">IF(НАСТРОЙКИ!$B$8&lt;&gt;"Да",0,IFERROR(SUMIF(INDIRECT("'["&amp;НАСТРОЙКИ!$D$8&amp;"]CF'!$L$3:$EO$3"),BF$22,INDIRECT("'["&amp;НАСТРОЙКИ!$D$8&amp;"]CF'!$L$18:$EO$18")),0))</f>
        <v>0</v>
      </c>
      <c r="BG93" s="35">
        <f ca="1">IF(НАСТРОЙКИ!$B$8&lt;&gt;"Да",0,IFERROR(SUMIF(INDIRECT("'["&amp;НАСТРОЙКИ!$D$8&amp;"]CF'!$L$3:$EO$3"),BG$22,INDIRECT("'["&amp;НАСТРОЙКИ!$D$8&amp;"]CF'!$L$18:$EO$18")),0))</f>
        <v>0</v>
      </c>
      <c r="BH93" s="35">
        <f ca="1">IF(НАСТРОЙКИ!$B$8&lt;&gt;"Да",0,IFERROR(SUMIF(INDIRECT("'["&amp;НАСТРОЙКИ!$D$8&amp;"]CF'!$L$3:$EO$3"),BH$22,INDIRECT("'["&amp;НАСТРОЙКИ!$D$8&amp;"]CF'!$L$18:$EO$18")),0))</f>
        <v>0</v>
      </c>
      <c r="BI93" s="35">
        <f ca="1">IF(НАСТРОЙКИ!$B$8&lt;&gt;"Да",0,IFERROR(SUMIF(INDIRECT("'["&amp;НАСТРОЙКИ!$D$8&amp;"]CF'!$L$3:$EO$3"),BI$22,INDIRECT("'["&amp;НАСТРОЙКИ!$D$8&amp;"]CF'!$L$18:$EO$18")),0))</f>
        <v>0</v>
      </c>
      <c r="BJ93" s="35">
        <f ca="1">IF(НАСТРОЙКИ!$B$8&lt;&gt;"Да",0,IFERROR(SUMIF(INDIRECT("'["&amp;НАСТРОЙКИ!$D$8&amp;"]CF'!$L$3:$EO$3"),BJ$22,INDIRECT("'["&amp;НАСТРОЙКИ!$D$8&amp;"]CF'!$L$18:$EO$18")),0))</f>
        <v>0</v>
      </c>
      <c r="BK93" s="35">
        <f ca="1">IF(НАСТРОЙКИ!$B$8&lt;&gt;"Да",0,IFERROR(SUMIF(INDIRECT("'["&amp;НАСТРОЙКИ!$D$8&amp;"]CF'!$L$3:$EO$3"),BK$22,INDIRECT("'["&amp;НАСТРОЙКИ!$D$8&amp;"]CF'!$L$18:$EO$18")),0))</f>
        <v>0</v>
      </c>
      <c r="BL93" s="35">
        <f ca="1">IF(НАСТРОЙКИ!$B$8&lt;&gt;"Да",0,IFERROR(SUMIF(INDIRECT("'["&amp;НАСТРОЙКИ!$D$8&amp;"]CF'!$L$3:$EO$3"),BL$22,INDIRECT("'["&amp;НАСТРОЙКИ!$D$8&amp;"]CF'!$L$18:$EO$18")),0))</f>
        <v>0</v>
      </c>
      <c r="BM93" s="35">
        <f ca="1">IF(НАСТРОЙКИ!$B$8&lt;&gt;"Да",0,IFERROR(SUMIF(INDIRECT("'["&amp;НАСТРОЙКИ!$D$8&amp;"]CF'!$L$3:$EO$3"),BM$22,INDIRECT("'["&amp;НАСТРОЙКИ!$D$8&amp;"]CF'!$L$18:$EO$18")),0))</f>
        <v>0</v>
      </c>
      <c r="BN93" s="35">
        <f ca="1">IF(НАСТРОЙКИ!$B$8&lt;&gt;"Да",0,IFERROR(SUMIF(INDIRECT("'["&amp;НАСТРОЙКИ!$D$8&amp;"]CF'!$L$3:$EO$3"),BN$22,INDIRECT("'["&amp;НАСТРОЙКИ!$D$8&amp;"]CF'!$L$18:$EO$18")),0))</f>
        <v>0</v>
      </c>
      <c r="BO93" s="35">
        <f ca="1">IF(НАСТРОЙКИ!$B$8&lt;&gt;"Да",0,IFERROR(SUMIF(INDIRECT("'["&amp;НАСТРОЙКИ!$D$8&amp;"]CF'!$L$3:$EO$3"),BO$22,INDIRECT("'["&amp;НАСТРОЙКИ!$D$8&amp;"]CF'!$L$18:$EO$18")),0))</f>
        <v>0</v>
      </c>
      <c r="BP93" s="35">
        <f ca="1">IF(НАСТРОЙКИ!$B$8&lt;&gt;"Да",0,IFERROR(SUMIF(INDIRECT("'["&amp;НАСТРОЙКИ!$D$8&amp;"]CF'!$L$3:$EO$3"),BP$22,INDIRECT("'["&amp;НАСТРОЙКИ!$D$8&amp;"]CF'!$L$18:$EO$18")),0))</f>
        <v>0</v>
      </c>
      <c r="BQ93" s="35">
        <f ca="1">IF(НАСТРОЙКИ!$B$8&lt;&gt;"Да",0,IFERROR(SUMIF(INDIRECT("'["&amp;НАСТРОЙКИ!$D$8&amp;"]CF'!$L$3:$EO$3"),BQ$22,INDIRECT("'["&amp;НАСТРОЙКИ!$D$8&amp;"]CF'!$L$18:$EO$18")),0))</f>
        <v>0</v>
      </c>
      <c r="BR93" s="35">
        <f ca="1">IF(НАСТРОЙКИ!$B$8&lt;&gt;"Да",0,IFERROR(SUMIF(INDIRECT("'["&amp;НАСТРОЙКИ!$D$8&amp;"]CF'!$L$3:$EO$3"),BR$22,INDIRECT("'["&amp;НАСТРОЙКИ!$D$8&amp;"]CF'!$L$18:$EO$18")),0))</f>
        <v>0</v>
      </c>
      <c r="BS93" s="35">
        <f ca="1">IF(НАСТРОЙКИ!$B$8&lt;&gt;"Да",0,IFERROR(SUMIF(INDIRECT("'["&amp;НАСТРОЙКИ!$D$8&amp;"]CF'!$L$3:$EO$3"),BS$22,INDIRECT("'["&amp;НАСТРОЙКИ!$D$8&amp;"]CF'!$L$18:$EO$18")),0))</f>
        <v>0</v>
      </c>
      <c r="BT93" s="35">
        <f ca="1">IF(НАСТРОЙКИ!$B$8&lt;&gt;"Да",0,IFERROR(SUMIF(INDIRECT("'["&amp;НАСТРОЙКИ!$D$8&amp;"]CF'!$L$3:$EO$3"),BT$22,INDIRECT("'["&amp;НАСТРОЙКИ!$D$8&amp;"]CF'!$L$18:$EO$18")),0))</f>
        <v>0</v>
      </c>
      <c r="BU93" s="35">
        <f ca="1">IF(НАСТРОЙКИ!$B$8&lt;&gt;"Да",0,IFERROR(SUMIF(INDIRECT("'["&amp;НАСТРОЙКИ!$D$8&amp;"]CF'!$L$3:$EO$3"),BU$22,INDIRECT("'["&amp;НАСТРОЙКИ!$D$8&amp;"]CF'!$L$18:$EO$18")),0))</f>
        <v>0</v>
      </c>
      <c r="BV93" s="35">
        <f ca="1">IF(НАСТРОЙКИ!$B$8&lt;&gt;"Да",0,IFERROR(SUMIF(INDIRECT("'["&amp;НАСТРОЙКИ!$D$8&amp;"]CF'!$L$3:$EO$3"),BV$22,INDIRECT("'["&amp;НАСТРОЙКИ!$D$8&amp;"]CF'!$L$18:$EO$18")),0))</f>
        <v>0</v>
      </c>
      <c r="BW93" s="35">
        <f ca="1">IF(НАСТРОЙКИ!$B$8&lt;&gt;"Да",0,IFERROR(SUMIF(INDIRECT("'["&amp;НАСТРОЙКИ!$D$8&amp;"]CF'!$L$3:$EO$3"),BW$22,INDIRECT("'["&amp;НАСТРОЙКИ!$D$8&amp;"]CF'!$L$18:$EO$18")),0))</f>
        <v>0</v>
      </c>
      <c r="BX93" s="35">
        <f ca="1">IF(НАСТРОЙКИ!$B$8&lt;&gt;"Да",0,IFERROR(SUMIF(INDIRECT("'["&amp;НАСТРОЙКИ!$D$8&amp;"]CF'!$L$3:$EO$3"),BX$22,INDIRECT("'["&amp;НАСТРОЙКИ!$D$8&amp;"]CF'!$L$18:$EO$18")),0))</f>
        <v>0</v>
      </c>
      <c r="BY93" s="35">
        <f ca="1">IF(НАСТРОЙКИ!$B$8&lt;&gt;"Да",0,IFERROR(SUMIF(INDIRECT("'["&amp;НАСТРОЙКИ!$D$8&amp;"]CF'!$L$3:$EO$3"),BY$22,INDIRECT("'["&amp;НАСТРОЙКИ!$D$8&amp;"]CF'!$L$18:$EO$18")),0))</f>
        <v>0</v>
      </c>
      <c r="BZ93" s="35">
        <f ca="1">IF(НАСТРОЙКИ!$B$8&lt;&gt;"Да",0,IFERROR(SUMIF(INDIRECT("'["&amp;НАСТРОЙКИ!$D$8&amp;"]CF'!$L$3:$EO$3"),BZ$22,INDIRECT("'["&amp;НАСТРОЙКИ!$D$8&amp;"]CF'!$L$18:$EO$18")),0))</f>
        <v>0</v>
      </c>
      <c r="CA93" s="35">
        <f ca="1">IF(НАСТРОЙКИ!$B$8&lt;&gt;"Да",0,IFERROR(SUMIF(INDIRECT("'["&amp;НАСТРОЙКИ!$D$8&amp;"]CF'!$L$3:$EO$3"),CA$22,INDIRECT("'["&amp;НАСТРОЙКИ!$D$8&amp;"]CF'!$L$18:$EO$18")),0))</f>
        <v>0</v>
      </c>
      <c r="CB93" s="35">
        <f ca="1">IF(НАСТРОЙКИ!$B$8&lt;&gt;"Да",0,IFERROR(SUMIF(INDIRECT("'["&amp;НАСТРОЙКИ!$D$8&amp;"]CF'!$L$3:$EO$3"),CB$22,INDIRECT("'["&amp;НАСТРОЙКИ!$D$8&amp;"]CF'!$L$18:$EO$18")),0))</f>
        <v>0</v>
      </c>
      <c r="CC93" s="35">
        <f ca="1">IF(НАСТРОЙКИ!$B$8&lt;&gt;"Да",0,IFERROR(SUMIF(INDIRECT("'["&amp;НАСТРОЙКИ!$D$8&amp;"]CF'!$L$3:$EO$3"),CC$22,INDIRECT("'["&amp;НАСТРОЙКИ!$D$8&amp;"]CF'!$L$18:$EO$18")),0))</f>
        <v>0</v>
      </c>
      <c r="CD93" s="35">
        <f ca="1">IF(НАСТРОЙКИ!$B$8&lt;&gt;"Да",0,IFERROR(SUMIF(INDIRECT("'["&amp;НАСТРОЙКИ!$D$8&amp;"]CF'!$L$3:$EO$3"),CD$22,INDIRECT("'["&amp;НАСТРОЙКИ!$D$8&amp;"]CF'!$L$18:$EO$18")),0))</f>
        <v>0</v>
      </c>
      <c r="CE93" s="35">
        <f ca="1">IF(НАСТРОЙКИ!$B$8&lt;&gt;"Да",0,IFERROR(SUMIF(INDIRECT("'["&amp;НАСТРОЙКИ!$D$8&amp;"]CF'!$L$3:$EO$3"),CE$22,INDIRECT("'["&amp;НАСТРОЙКИ!$D$8&amp;"]CF'!$L$18:$EO$18")),0))</f>
        <v>0</v>
      </c>
      <c r="CF93" s="35">
        <f ca="1">IF(НАСТРОЙКИ!$B$8&lt;&gt;"Да",0,IFERROR(SUMIF(INDIRECT("'["&amp;НАСТРОЙКИ!$D$8&amp;"]CF'!$L$3:$EO$3"),CF$22,INDIRECT("'["&amp;НАСТРОЙКИ!$D$8&amp;"]CF'!$L$18:$EO$18")),0))</f>
        <v>0</v>
      </c>
      <c r="CG93" s="35">
        <f ca="1">IF(НАСТРОЙКИ!$B$8&lt;&gt;"Да",0,IFERROR(SUMIF(INDIRECT("'["&amp;НАСТРОЙКИ!$D$8&amp;"]CF'!$L$3:$EO$3"),CG$22,INDIRECT("'["&amp;НАСТРОЙКИ!$D$8&amp;"]CF'!$L$18:$EO$18")),0))</f>
        <v>0</v>
      </c>
      <c r="CH93" s="35">
        <f ca="1">IF(НАСТРОЙКИ!$B$8&lt;&gt;"Да",0,IFERROR(SUMIF(INDIRECT("'["&amp;НАСТРОЙКИ!$D$8&amp;"]CF'!$L$3:$EO$3"),CH$22,INDIRECT("'["&amp;НАСТРОЙКИ!$D$8&amp;"]CF'!$L$18:$EO$18")),0))</f>
        <v>0</v>
      </c>
      <c r="CI93" s="35">
        <f ca="1">IF(НАСТРОЙКИ!$B$8&lt;&gt;"Да",0,IFERROR(SUMIF(INDIRECT("'["&amp;НАСТРОЙКИ!$D$8&amp;"]CF'!$L$3:$EO$3"),CI$22,INDIRECT("'["&amp;НАСТРОЙКИ!$D$8&amp;"]CF'!$L$18:$EO$18")),0))</f>
        <v>0</v>
      </c>
      <c r="CJ93" s="35">
        <f ca="1">IF(НАСТРОЙКИ!$B$8&lt;&gt;"Да",0,IFERROR(SUMIF(INDIRECT("'["&amp;НАСТРОЙКИ!$D$8&amp;"]CF'!$L$3:$EO$3"),CJ$22,INDIRECT("'["&amp;НАСТРОЙКИ!$D$8&amp;"]CF'!$L$18:$EO$18")),0))</f>
        <v>0</v>
      </c>
      <c r="CK93" s="35">
        <f ca="1">IF(НАСТРОЙКИ!$B$8&lt;&gt;"Да",0,IFERROR(SUMIF(INDIRECT("'["&amp;НАСТРОЙКИ!$D$8&amp;"]CF'!$L$3:$EO$3"),CK$22,INDIRECT("'["&amp;НАСТРОЙКИ!$D$8&amp;"]CF'!$L$18:$EO$18")),0))</f>
        <v>0</v>
      </c>
      <c r="CL93" s="35">
        <f ca="1">IF(НАСТРОЙКИ!$B$8&lt;&gt;"Да",0,IFERROR(SUMIF(INDIRECT("'["&amp;НАСТРОЙКИ!$D$8&amp;"]CF'!$L$3:$EO$3"),CL$22,INDIRECT("'["&amp;НАСТРОЙКИ!$D$8&amp;"]CF'!$L$18:$EO$18")),0))</f>
        <v>0</v>
      </c>
      <c r="CM93" s="35">
        <f ca="1">IF(НАСТРОЙКИ!$B$8&lt;&gt;"Да",0,IFERROR(SUMIF(INDIRECT("'["&amp;НАСТРОЙКИ!$D$8&amp;"]CF'!$L$3:$EO$3"),CM$22,INDIRECT("'["&amp;НАСТРОЙКИ!$D$8&amp;"]CF'!$L$18:$EO$18")),0))</f>
        <v>0</v>
      </c>
      <c r="CN93" s="35">
        <f ca="1">IF(НАСТРОЙКИ!$B$8&lt;&gt;"Да",0,IFERROR(SUMIF(INDIRECT("'["&amp;НАСТРОЙКИ!$D$8&amp;"]CF'!$L$3:$EO$3"),CN$22,INDIRECT("'["&amp;НАСТРОЙКИ!$D$8&amp;"]CF'!$L$18:$EO$18")),0))</f>
        <v>0</v>
      </c>
      <c r="CO93" s="35">
        <f ca="1">IF(НАСТРОЙКИ!$B$8&lt;&gt;"Да",0,IFERROR(SUMIF(INDIRECT("'["&amp;НАСТРОЙКИ!$D$8&amp;"]CF'!$L$3:$EO$3"),CO$22,INDIRECT("'["&amp;НАСТРОЙКИ!$D$8&amp;"]CF'!$L$18:$EO$18")),0))</f>
        <v>0</v>
      </c>
      <c r="CP93" s="35">
        <f ca="1">IF(НАСТРОЙКИ!$B$8&lt;&gt;"Да",0,IFERROR(SUMIF(INDIRECT("'["&amp;НАСТРОЙКИ!$D$8&amp;"]CF'!$L$3:$EO$3"),CP$22,INDIRECT("'["&amp;НАСТРОЙКИ!$D$8&amp;"]CF'!$L$18:$EO$18")),0))</f>
        <v>0</v>
      </c>
      <c r="CQ93" s="35">
        <f ca="1">IF(НАСТРОЙКИ!$B$8&lt;&gt;"Да",0,IFERROR(SUMIF(INDIRECT("'["&amp;НАСТРОЙКИ!$D$8&amp;"]CF'!$L$3:$EO$3"),CQ$22,INDIRECT("'["&amp;НАСТРОЙКИ!$D$8&amp;"]CF'!$L$18:$EO$18")),0))</f>
        <v>0</v>
      </c>
      <c r="CR93" s="35">
        <f ca="1">IF(НАСТРОЙКИ!$B$8&lt;&gt;"Да",0,IFERROR(SUMIF(INDIRECT("'["&amp;НАСТРОЙКИ!$D$8&amp;"]CF'!$L$3:$EO$3"),CR$22,INDIRECT("'["&amp;НАСТРОЙКИ!$D$8&amp;"]CF'!$L$18:$EO$18")),0))</f>
        <v>0</v>
      </c>
      <c r="CS93" s="35">
        <f ca="1">IF(НАСТРОЙКИ!$B$8&lt;&gt;"Да",0,IFERROR(SUMIF(INDIRECT("'["&amp;НАСТРОЙКИ!$D$8&amp;"]CF'!$L$3:$EO$3"),CS$22,INDIRECT("'["&amp;НАСТРОЙКИ!$D$8&amp;"]CF'!$L$18:$EO$18")),0))</f>
        <v>0</v>
      </c>
      <c r="CT93" s="35">
        <f ca="1">IF(НАСТРОЙКИ!$B$8&lt;&gt;"Да",0,IFERROR(SUMIF(INDIRECT("'["&amp;НАСТРОЙКИ!$D$8&amp;"]CF'!$L$3:$EO$3"),CT$22,INDIRECT("'["&amp;НАСТРОЙКИ!$D$8&amp;"]CF'!$L$18:$EO$18")),0))</f>
        <v>0</v>
      </c>
      <c r="CU93" s="35">
        <f ca="1">IF(НАСТРОЙКИ!$B$8&lt;&gt;"Да",0,IFERROR(SUMIF(INDIRECT("'["&amp;НАСТРОЙКИ!$D$8&amp;"]CF'!$L$3:$EO$3"),CU$22,INDIRECT("'["&amp;НАСТРОЙКИ!$D$8&amp;"]CF'!$L$18:$EO$18")),0))</f>
        <v>0</v>
      </c>
      <c r="CV93" s="35">
        <f ca="1">IF(НАСТРОЙКИ!$B$8&lt;&gt;"Да",0,IFERROR(SUMIF(INDIRECT("'["&amp;НАСТРОЙКИ!$D$8&amp;"]CF'!$L$3:$EO$3"),CV$22,INDIRECT("'["&amp;НАСТРОЙКИ!$D$8&amp;"]CF'!$L$18:$EO$18")),0))</f>
        <v>0</v>
      </c>
      <c r="CW93" s="35">
        <f ca="1">IF(НАСТРОЙКИ!$B$8&lt;&gt;"Да",0,IFERROR(SUMIF(INDIRECT("'["&amp;НАСТРОЙКИ!$D$8&amp;"]CF'!$L$3:$EO$3"),CW$22,INDIRECT("'["&amp;НАСТРОЙКИ!$D$8&amp;"]CF'!$L$18:$EO$18")),0))</f>
        <v>0</v>
      </c>
      <c r="CX93" s="35">
        <f ca="1">IF(НАСТРОЙКИ!$B$8&lt;&gt;"Да",0,IFERROR(SUMIF(INDIRECT("'["&amp;НАСТРОЙКИ!$D$8&amp;"]CF'!$L$3:$EO$3"),CX$22,INDIRECT("'["&amp;НАСТРОЙКИ!$D$8&amp;"]CF'!$L$18:$EO$18")),0))</f>
        <v>0</v>
      </c>
      <c r="CY93" s="35">
        <f ca="1">IF(НАСТРОЙКИ!$B$8&lt;&gt;"Да",0,IFERROR(SUMIF(INDIRECT("'["&amp;НАСТРОЙКИ!$D$8&amp;"]CF'!$L$3:$EO$3"),CY$22,INDIRECT("'["&amp;НАСТРОЙКИ!$D$8&amp;"]CF'!$L$18:$EO$18")),0))</f>
        <v>0</v>
      </c>
      <c r="CZ93" s="35">
        <f ca="1">IF(НАСТРОЙКИ!$B$8&lt;&gt;"Да",0,IFERROR(SUMIF(INDIRECT("'["&amp;НАСТРОЙКИ!$D$8&amp;"]CF'!$L$3:$EO$3"),CZ$22,INDIRECT("'["&amp;НАСТРОЙКИ!$D$8&amp;"]CF'!$L$18:$EO$18")),0))</f>
        <v>0</v>
      </c>
      <c r="DA93" s="35">
        <f ca="1">IF(НАСТРОЙКИ!$B$8&lt;&gt;"Да",0,IFERROR(SUMIF(INDIRECT("'["&amp;НАСТРОЙКИ!$D$8&amp;"]CF'!$L$3:$EO$3"),DA$22,INDIRECT("'["&amp;НАСТРОЙКИ!$D$8&amp;"]CF'!$L$18:$EO$18")),0))</f>
        <v>0</v>
      </c>
      <c r="DB93" s="35">
        <f ca="1">IF(НАСТРОЙКИ!$B$8&lt;&gt;"Да",0,IFERROR(SUMIF(INDIRECT("'["&amp;НАСТРОЙКИ!$D$8&amp;"]CF'!$L$3:$EO$3"),DB$22,INDIRECT("'["&amp;НАСТРОЙКИ!$D$8&amp;"]CF'!$L$18:$EO$18")),0))</f>
        <v>0</v>
      </c>
      <c r="DC93" s="35">
        <f ca="1">IF(НАСТРОЙКИ!$B$8&lt;&gt;"Да",0,IFERROR(SUMIF(INDIRECT("'["&amp;НАСТРОЙКИ!$D$8&amp;"]CF'!$L$3:$EO$3"),DC$22,INDIRECT("'["&amp;НАСТРОЙКИ!$D$8&amp;"]CF'!$L$18:$EO$18")),0))</f>
        <v>0</v>
      </c>
      <c r="DD93" s="35">
        <f ca="1">IF(НАСТРОЙКИ!$B$8&lt;&gt;"Да",0,IFERROR(SUMIF(INDIRECT("'["&amp;НАСТРОЙКИ!$D$8&amp;"]CF'!$L$3:$EO$3"),DD$22,INDIRECT("'["&amp;НАСТРОЙКИ!$D$8&amp;"]CF'!$L$18:$EO$18")),0))</f>
        <v>0</v>
      </c>
      <c r="DE93" s="35">
        <f ca="1">IF(НАСТРОЙКИ!$B$8&lt;&gt;"Да",0,IFERROR(SUMIF(INDIRECT("'["&amp;НАСТРОЙКИ!$D$8&amp;"]CF'!$L$3:$EO$3"),DE$22,INDIRECT("'["&amp;НАСТРОЙКИ!$D$8&amp;"]CF'!$L$18:$EO$18")),0))</f>
        <v>0</v>
      </c>
      <c r="DF93" s="35">
        <f ca="1">IF(НАСТРОЙКИ!$B$8&lt;&gt;"Да",0,IFERROR(SUMIF(INDIRECT("'["&amp;НАСТРОЙКИ!$D$8&amp;"]CF'!$L$3:$EO$3"),DF$22,INDIRECT("'["&amp;НАСТРОЙКИ!$D$8&amp;"]CF'!$L$18:$EO$18")),0))</f>
        <v>0</v>
      </c>
    </row>
    <row r="94" spans="1:110">
      <c r="A94" s="34" t="s">
        <v>124</v>
      </c>
      <c r="B94" s="34" t="s">
        <v>58</v>
      </c>
      <c r="C94" s="35">
        <f ca="1">IF(НАСТРОЙКИ!$B$8&lt;&gt;"Да",0,IFERROR(SUMIF(INDIRECT("'["&amp;НАСТРОЙКИ!$D$8&amp;"]CF'!$L$3:$EO$3"),C$22,INDIRECT("'["&amp;НАСТРОЙКИ!$D$8&amp;"]CF'!$L$20:$EO$20")),0))</f>
        <v>0</v>
      </c>
      <c r="D94" s="35">
        <f ca="1">IF(НАСТРОЙКИ!$B$8&lt;&gt;"Да",0,IFERROR(SUMIF(INDIRECT("'["&amp;НАСТРОЙКИ!$D$8&amp;"]CF'!$L$3:$EO$3"),D$22,INDIRECT("'["&amp;НАСТРОЙКИ!$D$8&amp;"]CF'!$L$20:$EO$20")),0))</f>
        <v>0</v>
      </c>
      <c r="E94" s="35">
        <f ca="1">IF(НАСТРОЙКИ!$B$8&lt;&gt;"Да",0,IFERROR(SUMIF(INDIRECT("'["&amp;НАСТРОЙКИ!$D$8&amp;"]CF'!$L$3:$EO$3"),E$22,INDIRECT("'["&amp;НАСТРОЙКИ!$D$8&amp;"]CF'!$L$20:$EO$20")),0))</f>
        <v>0</v>
      </c>
      <c r="F94" s="35">
        <f ca="1">IF(НАСТРОЙКИ!$B$8&lt;&gt;"Да",0,IFERROR(SUMIF(INDIRECT("'["&amp;НАСТРОЙКИ!$D$8&amp;"]CF'!$L$3:$EO$3"),F$22,INDIRECT("'["&amp;НАСТРОЙКИ!$D$8&amp;"]CF'!$L$20:$EO$20")),0))</f>
        <v>0</v>
      </c>
      <c r="G94" s="35">
        <f ca="1">IF(НАСТРОЙКИ!$B$8&lt;&gt;"Да",0,IFERROR(SUMIF(INDIRECT("'["&amp;НАСТРОЙКИ!$D$8&amp;"]CF'!$L$3:$EO$3"),G$22,INDIRECT("'["&amp;НАСТРОЙКИ!$D$8&amp;"]CF'!$L$20:$EO$20")),0))</f>
        <v>0</v>
      </c>
      <c r="H94" s="35">
        <f ca="1">IF(НАСТРОЙКИ!$B$8&lt;&gt;"Да",0,IFERROR(SUMIF(INDIRECT("'["&amp;НАСТРОЙКИ!$D$8&amp;"]CF'!$L$3:$EO$3"),H$22,INDIRECT("'["&amp;НАСТРОЙКИ!$D$8&amp;"]CF'!$L$20:$EO$20")),0))</f>
        <v>0</v>
      </c>
      <c r="I94" s="35">
        <f ca="1">IF(НАСТРОЙКИ!$B$8&lt;&gt;"Да",0,IFERROR(SUMIF(INDIRECT("'["&amp;НАСТРОЙКИ!$D$8&amp;"]CF'!$L$3:$EO$3"),I$22,INDIRECT("'["&amp;НАСТРОЙКИ!$D$8&amp;"]CF'!$L$20:$EO$20")),0))</f>
        <v>0</v>
      </c>
      <c r="J94" s="35">
        <f ca="1">IF(НАСТРОЙКИ!$B$8&lt;&gt;"Да",0,IFERROR(SUMIF(INDIRECT("'["&amp;НАСТРОЙКИ!$D$8&amp;"]CF'!$L$3:$EO$3"),J$22,INDIRECT("'["&amp;НАСТРОЙКИ!$D$8&amp;"]CF'!$L$20:$EO$20")),0))</f>
        <v>0</v>
      </c>
      <c r="K94" s="35">
        <f ca="1">IF(НАСТРОЙКИ!$B$8&lt;&gt;"Да",0,IFERROR(SUMIF(INDIRECT("'["&amp;НАСТРОЙКИ!$D$8&amp;"]CF'!$L$3:$EO$3"),K$22,INDIRECT("'["&amp;НАСТРОЙКИ!$D$8&amp;"]CF'!$L$20:$EO$20")),0))</f>
        <v>0</v>
      </c>
      <c r="L94" s="35">
        <f ca="1">IF(НАСТРОЙКИ!$B$8&lt;&gt;"Да",0,IFERROR(SUMIF(INDIRECT("'["&amp;НАСТРОЙКИ!$D$8&amp;"]CF'!$L$3:$EO$3"),L$22,INDIRECT("'["&amp;НАСТРОЙКИ!$D$8&amp;"]CF'!$L$20:$EO$20")),0))</f>
        <v>0</v>
      </c>
      <c r="M94" s="35">
        <f ca="1">IF(НАСТРОЙКИ!$B$8&lt;&gt;"Да",0,IFERROR(SUMIF(INDIRECT("'["&amp;НАСТРОЙКИ!$D$8&amp;"]CF'!$L$3:$EO$3"),M$22,INDIRECT("'["&amp;НАСТРОЙКИ!$D$8&amp;"]CF'!$L$20:$EO$20")),0))</f>
        <v>0</v>
      </c>
      <c r="N94" s="35">
        <f ca="1">IF(НАСТРОЙКИ!$B$8&lt;&gt;"Да",0,IFERROR(SUMIF(INDIRECT("'["&amp;НАСТРОЙКИ!$D$8&amp;"]CF'!$L$3:$EO$3"),N$22,INDIRECT("'["&amp;НАСТРОЙКИ!$D$8&amp;"]CF'!$L$20:$EO$20")),0))</f>
        <v>0</v>
      </c>
      <c r="O94" s="35">
        <f ca="1">IF(НАСТРОЙКИ!$B$8&lt;&gt;"Да",0,IFERROR(SUMIF(INDIRECT("'["&amp;НАСТРОЙКИ!$D$8&amp;"]CF'!$L$3:$EO$3"),O$22,INDIRECT("'["&amp;НАСТРОЙКИ!$D$8&amp;"]CF'!$L$20:$EO$20")),0))</f>
        <v>0</v>
      </c>
      <c r="P94" s="35">
        <f ca="1">IF(НАСТРОЙКИ!$B$8&lt;&gt;"Да",0,IFERROR(SUMIF(INDIRECT("'["&amp;НАСТРОЙКИ!$D$8&amp;"]CF'!$L$3:$EO$3"),P$22,INDIRECT("'["&amp;НАСТРОЙКИ!$D$8&amp;"]CF'!$L$20:$EO$20")),0))</f>
        <v>0</v>
      </c>
      <c r="Q94" s="35">
        <f ca="1">IF(НАСТРОЙКИ!$B$8&lt;&gt;"Да",0,IFERROR(SUMIF(INDIRECT("'["&amp;НАСТРОЙКИ!$D$8&amp;"]CF'!$L$3:$EO$3"),Q$22,INDIRECT("'["&amp;НАСТРОЙКИ!$D$8&amp;"]CF'!$L$20:$EO$20")),0))</f>
        <v>0</v>
      </c>
      <c r="R94" s="35">
        <f ca="1">IF(НАСТРОЙКИ!$B$8&lt;&gt;"Да",0,IFERROR(SUMIF(INDIRECT("'["&amp;НАСТРОЙКИ!$D$8&amp;"]CF'!$L$3:$EO$3"),R$22,INDIRECT("'["&amp;НАСТРОЙКИ!$D$8&amp;"]CF'!$L$20:$EO$20")),0))</f>
        <v>0</v>
      </c>
      <c r="S94" s="35">
        <f ca="1">IF(НАСТРОЙКИ!$B$8&lt;&gt;"Да",0,IFERROR(SUMIF(INDIRECT("'["&amp;НАСТРОЙКИ!$D$8&amp;"]CF'!$L$3:$EO$3"),S$22,INDIRECT("'["&amp;НАСТРОЙКИ!$D$8&amp;"]CF'!$L$20:$EO$20")),0))</f>
        <v>0</v>
      </c>
      <c r="T94" s="35">
        <f ca="1">IF(НАСТРОЙКИ!$B$8&lt;&gt;"Да",0,IFERROR(SUMIF(INDIRECT("'["&amp;НАСТРОЙКИ!$D$8&amp;"]CF'!$L$3:$EO$3"),T$22,INDIRECT("'["&amp;НАСТРОЙКИ!$D$8&amp;"]CF'!$L$20:$EO$20")),0))</f>
        <v>0</v>
      </c>
      <c r="U94" s="35">
        <f ca="1">IF(НАСТРОЙКИ!$B$8&lt;&gt;"Да",0,IFERROR(SUMIF(INDIRECT("'["&amp;НАСТРОЙКИ!$D$8&amp;"]CF'!$L$3:$EO$3"),U$22,INDIRECT("'["&amp;НАСТРОЙКИ!$D$8&amp;"]CF'!$L$20:$EO$20")),0))</f>
        <v>0</v>
      </c>
      <c r="V94" s="35">
        <f ca="1">IF(НАСТРОЙКИ!$B$8&lt;&gt;"Да",0,IFERROR(SUMIF(INDIRECT("'["&amp;НАСТРОЙКИ!$D$8&amp;"]CF'!$L$3:$EO$3"),V$22,INDIRECT("'["&amp;НАСТРОЙКИ!$D$8&amp;"]CF'!$L$20:$EO$20")),0))</f>
        <v>0</v>
      </c>
      <c r="W94" s="35">
        <f ca="1">IF(НАСТРОЙКИ!$B$8&lt;&gt;"Да",0,IFERROR(SUMIF(INDIRECT("'["&amp;НАСТРОЙКИ!$D$8&amp;"]CF'!$L$3:$EO$3"),W$22,INDIRECT("'["&amp;НАСТРОЙКИ!$D$8&amp;"]CF'!$L$20:$EO$20")),0))</f>
        <v>0</v>
      </c>
      <c r="X94" s="35">
        <f ca="1">IF(НАСТРОЙКИ!$B$8&lt;&gt;"Да",0,IFERROR(SUMIF(INDIRECT("'["&amp;НАСТРОЙКИ!$D$8&amp;"]CF'!$L$3:$EO$3"),X$22,INDIRECT("'["&amp;НАСТРОЙКИ!$D$8&amp;"]CF'!$L$20:$EO$20")),0))</f>
        <v>0</v>
      </c>
      <c r="Y94" s="35">
        <f ca="1">IF(НАСТРОЙКИ!$B$8&lt;&gt;"Да",0,IFERROR(SUMIF(INDIRECT("'["&amp;НАСТРОЙКИ!$D$8&amp;"]CF'!$L$3:$EO$3"),Y$22,INDIRECT("'["&amp;НАСТРОЙКИ!$D$8&amp;"]CF'!$L$20:$EO$20")),0))</f>
        <v>0</v>
      </c>
      <c r="Z94" s="35">
        <f ca="1">IF(НАСТРОЙКИ!$B$8&lt;&gt;"Да",0,IFERROR(SUMIF(INDIRECT("'["&amp;НАСТРОЙКИ!$D$8&amp;"]CF'!$L$3:$EO$3"),Z$22,INDIRECT("'["&amp;НАСТРОЙКИ!$D$8&amp;"]CF'!$L$20:$EO$20")),0))</f>
        <v>0</v>
      </c>
      <c r="AA94" s="35">
        <f ca="1">IF(НАСТРОЙКИ!$B$8&lt;&gt;"Да",0,IFERROR(SUMIF(INDIRECT("'["&amp;НАСТРОЙКИ!$D$8&amp;"]CF'!$L$3:$EO$3"),AA$22,INDIRECT("'["&amp;НАСТРОЙКИ!$D$8&amp;"]CF'!$L$20:$EO$20")),0))</f>
        <v>0</v>
      </c>
      <c r="AB94" s="35">
        <f ca="1">IF(НАСТРОЙКИ!$B$8&lt;&gt;"Да",0,IFERROR(SUMIF(INDIRECT("'["&amp;НАСТРОЙКИ!$D$8&amp;"]CF'!$L$3:$EO$3"),AB$22,INDIRECT("'["&amp;НАСТРОЙКИ!$D$8&amp;"]CF'!$L$20:$EO$20")),0))</f>
        <v>0</v>
      </c>
      <c r="AC94" s="35">
        <f ca="1">IF(НАСТРОЙКИ!$B$8&lt;&gt;"Да",0,IFERROR(SUMIF(INDIRECT("'["&amp;НАСТРОЙКИ!$D$8&amp;"]CF'!$L$3:$EO$3"),AC$22,INDIRECT("'["&amp;НАСТРОЙКИ!$D$8&amp;"]CF'!$L$20:$EO$20")),0))</f>
        <v>0</v>
      </c>
      <c r="AD94" s="35">
        <f ca="1">IF(НАСТРОЙКИ!$B$8&lt;&gt;"Да",0,IFERROR(SUMIF(INDIRECT("'["&amp;НАСТРОЙКИ!$D$8&amp;"]CF'!$L$3:$EO$3"),AD$22,INDIRECT("'["&amp;НАСТРОЙКИ!$D$8&amp;"]CF'!$L$20:$EO$20")),0))</f>
        <v>0</v>
      </c>
      <c r="AE94" s="35">
        <f ca="1">IF(НАСТРОЙКИ!$B$8&lt;&gt;"Да",0,IFERROR(SUMIF(INDIRECT("'["&amp;НАСТРОЙКИ!$D$8&amp;"]CF'!$L$3:$EO$3"),AE$22,INDIRECT("'["&amp;НАСТРОЙКИ!$D$8&amp;"]CF'!$L$20:$EO$20")),0))</f>
        <v>0</v>
      </c>
      <c r="AF94" s="35">
        <f ca="1">IF(НАСТРОЙКИ!$B$8&lt;&gt;"Да",0,IFERROR(SUMIF(INDIRECT("'["&amp;НАСТРОЙКИ!$D$8&amp;"]CF'!$L$3:$EO$3"),AF$22,INDIRECT("'["&amp;НАСТРОЙКИ!$D$8&amp;"]CF'!$L$20:$EO$20")),0))</f>
        <v>0</v>
      </c>
      <c r="AG94" s="35">
        <f ca="1">IF(НАСТРОЙКИ!$B$8&lt;&gt;"Да",0,IFERROR(SUMIF(INDIRECT("'["&amp;НАСТРОЙКИ!$D$8&amp;"]CF'!$L$3:$EO$3"),AG$22,INDIRECT("'["&amp;НАСТРОЙКИ!$D$8&amp;"]CF'!$L$20:$EO$20")),0))</f>
        <v>0</v>
      </c>
      <c r="AH94" s="35">
        <f ca="1">IF(НАСТРОЙКИ!$B$8&lt;&gt;"Да",0,IFERROR(SUMIF(INDIRECT("'["&amp;НАСТРОЙКИ!$D$8&amp;"]CF'!$L$3:$EO$3"),AH$22,INDIRECT("'["&amp;НАСТРОЙКИ!$D$8&amp;"]CF'!$L$20:$EO$20")),0))</f>
        <v>0</v>
      </c>
      <c r="AI94" s="35">
        <f ca="1">IF(НАСТРОЙКИ!$B$8&lt;&gt;"Да",0,IFERROR(SUMIF(INDIRECT("'["&amp;НАСТРОЙКИ!$D$8&amp;"]CF'!$L$3:$EO$3"),AI$22,INDIRECT("'["&amp;НАСТРОЙКИ!$D$8&amp;"]CF'!$L$20:$EO$20")),0))</f>
        <v>0</v>
      </c>
      <c r="AJ94" s="35">
        <f ca="1">IF(НАСТРОЙКИ!$B$8&lt;&gt;"Да",0,IFERROR(SUMIF(INDIRECT("'["&amp;НАСТРОЙКИ!$D$8&amp;"]CF'!$L$3:$EO$3"),AJ$22,INDIRECT("'["&amp;НАСТРОЙКИ!$D$8&amp;"]CF'!$L$20:$EO$20")),0))</f>
        <v>0</v>
      </c>
      <c r="AK94" s="35">
        <f ca="1">IF(НАСТРОЙКИ!$B$8&lt;&gt;"Да",0,IFERROR(SUMIF(INDIRECT("'["&amp;НАСТРОЙКИ!$D$8&amp;"]CF'!$L$3:$EO$3"),AK$22,INDIRECT("'["&amp;НАСТРОЙКИ!$D$8&amp;"]CF'!$L$20:$EO$20")),0))</f>
        <v>0</v>
      </c>
      <c r="AL94" s="35">
        <f ca="1">IF(НАСТРОЙКИ!$B$8&lt;&gt;"Да",0,IFERROR(SUMIF(INDIRECT("'["&amp;НАСТРОЙКИ!$D$8&amp;"]CF'!$L$3:$EO$3"),AL$22,INDIRECT("'["&amp;НАСТРОЙКИ!$D$8&amp;"]CF'!$L$20:$EO$20")),0))</f>
        <v>0</v>
      </c>
      <c r="AM94" s="35">
        <f ca="1">IF(НАСТРОЙКИ!$B$8&lt;&gt;"Да",0,IFERROR(SUMIF(INDIRECT("'["&amp;НАСТРОЙКИ!$D$8&amp;"]CF'!$L$3:$EO$3"),AM$22,INDIRECT("'["&amp;НАСТРОЙКИ!$D$8&amp;"]CF'!$L$20:$EO$20")),0))</f>
        <v>0</v>
      </c>
      <c r="AN94" s="35">
        <f ca="1">IF(НАСТРОЙКИ!$B$8&lt;&gt;"Да",0,IFERROR(SUMIF(INDIRECT("'["&amp;НАСТРОЙКИ!$D$8&amp;"]CF'!$L$3:$EO$3"),AN$22,INDIRECT("'["&amp;НАСТРОЙКИ!$D$8&amp;"]CF'!$L$20:$EO$20")),0))</f>
        <v>0</v>
      </c>
      <c r="AO94" s="35">
        <f ca="1">IF(НАСТРОЙКИ!$B$8&lt;&gt;"Да",0,IFERROR(SUMIF(INDIRECT("'["&amp;НАСТРОЙКИ!$D$8&amp;"]CF'!$L$3:$EO$3"),AO$22,INDIRECT("'["&amp;НАСТРОЙКИ!$D$8&amp;"]CF'!$L$20:$EO$20")),0))</f>
        <v>0</v>
      </c>
      <c r="AP94" s="35">
        <f ca="1">IF(НАСТРОЙКИ!$B$8&lt;&gt;"Да",0,IFERROR(SUMIF(INDIRECT("'["&amp;НАСТРОЙКИ!$D$8&amp;"]CF'!$L$3:$EO$3"),AP$22,INDIRECT("'["&amp;НАСТРОЙКИ!$D$8&amp;"]CF'!$L$20:$EO$20")),0))</f>
        <v>0</v>
      </c>
      <c r="AQ94" s="35">
        <f ca="1">IF(НАСТРОЙКИ!$B$8&lt;&gt;"Да",0,IFERROR(SUMIF(INDIRECT("'["&amp;НАСТРОЙКИ!$D$8&amp;"]CF'!$L$3:$EO$3"),AQ$22,INDIRECT("'["&amp;НАСТРОЙКИ!$D$8&amp;"]CF'!$L$20:$EO$20")),0))</f>
        <v>0</v>
      </c>
      <c r="AR94" s="35">
        <f ca="1">IF(НАСТРОЙКИ!$B$8&lt;&gt;"Да",0,IFERROR(SUMIF(INDIRECT("'["&amp;НАСТРОЙКИ!$D$8&amp;"]CF'!$L$3:$EO$3"),AR$22,INDIRECT("'["&amp;НАСТРОЙКИ!$D$8&amp;"]CF'!$L$20:$EO$20")),0))</f>
        <v>0</v>
      </c>
      <c r="AS94" s="35">
        <f ca="1">IF(НАСТРОЙКИ!$B$8&lt;&gt;"Да",0,IFERROR(SUMIF(INDIRECT("'["&amp;НАСТРОЙКИ!$D$8&amp;"]CF'!$L$3:$EO$3"),AS$22,INDIRECT("'["&amp;НАСТРОЙКИ!$D$8&amp;"]CF'!$L$20:$EO$20")),0))</f>
        <v>0</v>
      </c>
      <c r="AT94" s="35">
        <f ca="1">IF(НАСТРОЙКИ!$B$8&lt;&gt;"Да",0,IFERROR(SUMIF(INDIRECT("'["&amp;НАСТРОЙКИ!$D$8&amp;"]CF'!$L$3:$EO$3"),AT$22,INDIRECT("'["&amp;НАСТРОЙКИ!$D$8&amp;"]CF'!$L$20:$EO$20")),0))</f>
        <v>0</v>
      </c>
      <c r="AU94" s="35">
        <f ca="1">IF(НАСТРОЙКИ!$B$8&lt;&gt;"Да",0,IFERROR(SUMIF(INDIRECT("'["&amp;НАСТРОЙКИ!$D$8&amp;"]CF'!$L$3:$EO$3"),AU$22,INDIRECT("'["&amp;НАСТРОЙКИ!$D$8&amp;"]CF'!$L$20:$EO$20")),0))</f>
        <v>0</v>
      </c>
      <c r="AV94" s="35">
        <f ca="1">IF(НАСТРОЙКИ!$B$8&lt;&gt;"Да",0,IFERROR(SUMIF(INDIRECT("'["&amp;НАСТРОЙКИ!$D$8&amp;"]CF'!$L$3:$EO$3"),AV$22,INDIRECT("'["&amp;НАСТРОЙКИ!$D$8&amp;"]CF'!$L$20:$EO$20")),0))</f>
        <v>0</v>
      </c>
      <c r="AW94" s="35">
        <f ca="1">IF(НАСТРОЙКИ!$B$8&lt;&gt;"Да",0,IFERROR(SUMIF(INDIRECT("'["&amp;НАСТРОЙКИ!$D$8&amp;"]CF'!$L$3:$EO$3"),AW$22,INDIRECT("'["&amp;НАСТРОЙКИ!$D$8&amp;"]CF'!$L$20:$EO$20")),0))</f>
        <v>0</v>
      </c>
      <c r="AX94" s="35">
        <f ca="1">IF(НАСТРОЙКИ!$B$8&lt;&gt;"Да",0,IFERROR(SUMIF(INDIRECT("'["&amp;НАСТРОЙКИ!$D$8&amp;"]CF'!$L$3:$EO$3"),AX$22,INDIRECT("'["&amp;НАСТРОЙКИ!$D$8&amp;"]CF'!$L$20:$EO$20")),0))</f>
        <v>0</v>
      </c>
      <c r="AY94" s="35">
        <f ca="1">IF(НАСТРОЙКИ!$B$8&lt;&gt;"Да",0,IFERROR(SUMIF(INDIRECT("'["&amp;НАСТРОЙКИ!$D$8&amp;"]CF'!$L$3:$EO$3"),AY$22,INDIRECT("'["&amp;НАСТРОЙКИ!$D$8&amp;"]CF'!$L$20:$EO$20")),0))</f>
        <v>0</v>
      </c>
      <c r="AZ94" s="35">
        <f ca="1">IF(НАСТРОЙКИ!$B$8&lt;&gt;"Да",0,IFERROR(SUMIF(INDIRECT("'["&amp;НАСТРОЙКИ!$D$8&amp;"]CF'!$L$3:$EO$3"),AZ$22,INDIRECT("'["&amp;НАСТРОЙКИ!$D$8&amp;"]CF'!$L$20:$EO$20")),0))</f>
        <v>0</v>
      </c>
      <c r="BA94" s="35">
        <f ca="1">IF(НАСТРОЙКИ!$B$8&lt;&gt;"Да",0,IFERROR(SUMIF(INDIRECT("'["&amp;НАСТРОЙКИ!$D$8&amp;"]CF'!$L$3:$EO$3"),BA$22,INDIRECT("'["&amp;НАСТРОЙКИ!$D$8&amp;"]CF'!$L$20:$EO$20")),0))</f>
        <v>0</v>
      </c>
      <c r="BB94" s="35">
        <f ca="1">IF(НАСТРОЙКИ!$B$8&lt;&gt;"Да",0,IFERROR(SUMIF(INDIRECT("'["&amp;НАСТРОЙКИ!$D$8&amp;"]CF'!$L$3:$EO$3"),BB$22,INDIRECT("'["&amp;НАСТРОЙКИ!$D$8&amp;"]CF'!$L$20:$EO$20")),0))</f>
        <v>0</v>
      </c>
      <c r="BC94" s="35">
        <f ca="1">IF(НАСТРОЙКИ!$B$8&lt;&gt;"Да",0,IFERROR(SUMIF(INDIRECT("'["&amp;НАСТРОЙКИ!$D$8&amp;"]CF'!$L$3:$EO$3"),BC$22,INDIRECT("'["&amp;НАСТРОЙКИ!$D$8&amp;"]CF'!$L$20:$EO$20")),0))</f>
        <v>0</v>
      </c>
      <c r="BD94" s="35">
        <f ca="1">IF(НАСТРОЙКИ!$B$8&lt;&gt;"Да",0,IFERROR(SUMIF(INDIRECT("'["&amp;НАСТРОЙКИ!$D$8&amp;"]CF'!$L$3:$EO$3"),BD$22,INDIRECT("'["&amp;НАСТРОЙКИ!$D$8&amp;"]CF'!$L$20:$EO$20")),0))</f>
        <v>0</v>
      </c>
      <c r="BE94" s="35">
        <f ca="1">IF(НАСТРОЙКИ!$B$8&lt;&gt;"Да",0,IFERROR(SUMIF(INDIRECT("'["&amp;НАСТРОЙКИ!$D$8&amp;"]CF'!$L$3:$EO$3"),BE$22,INDIRECT("'["&amp;НАСТРОЙКИ!$D$8&amp;"]CF'!$L$20:$EO$20")),0))</f>
        <v>0</v>
      </c>
      <c r="BF94" s="35">
        <f ca="1">IF(НАСТРОЙКИ!$B$8&lt;&gt;"Да",0,IFERROR(SUMIF(INDIRECT("'["&amp;НАСТРОЙКИ!$D$8&amp;"]CF'!$L$3:$EO$3"),BF$22,INDIRECT("'["&amp;НАСТРОЙКИ!$D$8&amp;"]CF'!$L$20:$EO$20")),0))</f>
        <v>0</v>
      </c>
      <c r="BG94" s="35">
        <f ca="1">IF(НАСТРОЙКИ!$B$8&lt;&gt;"Да",0,IFERROR(SUMIF(INDIRECT("'["&amp;НАСТРОЙКИ!$D$8&amp;"]CF'!$L$3:$EO$3"),BG$22,INDIRECT("'["&amp;НАСТРОЙКИ!$D$8&amp;"]CF'!$L$20:$EO$20")),0))</f>
        <v>0</v>
      </c>
      <c r="BH94" s="35">
        <f ca="1">IF(НАСТРОЙКИ!$B$8&lt;&gt;"Да",0,IFERROR(SUMIF(INDIRECT("'["&amp;НАСТРОЙКИ!$D$8&amp;"]CF'!$L$3:$EO$3"),BH$22,INDIRECT("'["&amp;НАСТРОЙКИ!$D$8&amp;"]CF'!$L$20:$EO$20")),0))</f>
        <v>0</v>
      </c>
      <c r="BI94" s="35">
        <f ca="1">IF(НАСТРОЙКИ!$B$8&lt;&gt;"Да",0,IFERROR(SUMIF(INDIRECT("'["&amp;НАСТРОЙКИ!$D$8&amp;"]CF'!$L$3:$EO$3"),BI$22,INDIRECT("'["&amp;НАСТРОЙКИ!$D$8&amp;"]CF'!$L$20:$EO$20")),0))</f>
        <v>0</v>
      </c>
      <c r="BJ94" s="35">
        <f ca="1">IF(НАСТРОЙКИ!$B$8&lt;&gt;"Да",0,IFERROR(SUMIF(INDIRECT("'["&amp;НАСТРОЙКИ!$D$8&amp;"]CF'!$L$3:$EO$3"),BJ$22,INDIRECT("'["&amp;НАСТРОЙКИ!$D$8&amp;"]CF'!$L$20:$EO$20")),0))</f>
        <v>0</v>
      </c>
      <c r="BK94" s="35">
        <f ca="1">IF(НАСТРОЙКИ!$B$8&lt;&gt;"Да",0,IFERROR(SUMIF(INDIRECT("'["&amp;НАСТРОЙКИ!$D$8&amp;"]CF'!$L$3:$EO$3"),BK$22,INDIRECT("'["&amp;НАСТРОЙКИ!$D$8&amp;"]CF'!$L$20:$EO$20")),0))</f>
        <v>0</v>
      </c>
      <c r="BL94" s="35">
        <f ca="1">IF(НАСТРОЙКИ!$B$8&lt;&gt;"Да",0,IFERROR(SUMIF(INDIRECT("'["&amp;НАСТРОЙКИ!$D$8&amp;"]CF'!$L$3:$EO$3"),BL$22,INDIRECT("'["&amp;НАСТРОЙКИ!$D$8&amp;"]CF'!$L$20:$EO$20")),0))</f>
        <v>0</v>
      </c>
      <c r="BM94" s="35">
        <f ca="1">IF(НАСТРОЙКИ!$B$8&lt;&gt;"Да",0,IFERROR(SUMIF(INDIRECT("'["&amp;НАСТРОЙКИ!$D$8&amp;"]CF'!$L$3:$EO$3"),BM$22,INDIRECT("'["&amp;НАСТРОЙКИ!$D$8&amp;"]CF'!$L$20:$EO$20")),0))</f>
        <v>0</v>
      </c>
      <c r="BN94" s="35">
        <f ca="1">IF(НАСТРОЙКИ!$B$8&lt;&gt;"Да",0,IFERROR(SUMIF(INDIRECT("'["&amp;НАСТРОЙКИ!$D$8&amp;"]CF'!$L$3:$EO$3"),BN$22,INDIRECT("'["&amp;НАСТРОЙКИ!$D$8&amp;"]CF'!$L$20:$EO$20")),0))</f>
        <v>0</v>
      </c>
      <c r="BO94" s="35">
        <f ca="1">IF(НАСТРОЙКИ!$B$8&lt;&gt;"Да",0,IFERROR(SUMIF(INDIRECT("'["&amp;НАСТРОЙКИ!$D$8&amp;"]CF'!$L$3:$EO$3"),BO$22,INDIRECT("'["&amp;НАСТРОЙКИ!$D$8&amp;"]CF'!$L$20:$EO$20")),0))</f>
        <v>0</v>
      </c>
      <c r="BP94" s="35">
        <f ca="1">IF(НАСТРОЙКИ!$B$8&lt;&gt;"Да",0,IFERROR(SUMIF(INDIRECT("'["&amp;НАСТРОЙКИ!$D$8&amp;"]CF'!$L$3:$EO$3"),BP$22,INDIRECT("'["&amp;НАСТРОЙКИ!$D$8&amp;"]CF'!$L$20:$EO$20")),0))</f>
        <v>0</v>
      </c>
      <c r="BQ94" s="35">
        <f ca="1">IF(НАСТРОЙКИ!$B$8&lt;&gt;"Да",0,IFERROR(SUMIF(INDIRECT("'["&amp;НАСТРОЙКИ!$D$8&amp;"]CF'!$L$3:$EO$3"),BQ$22,INDIRECT("'["&amp;НАСТРОЙКИ!$D$8&amp;"]CF'!$L$20:$EO$20")),0))</f>
        <v>0</v>
      </c>
      <c r="BR94" s="35">
        <f ca="1">IF(НАСТРОЙКИ!$B$8&lt;&gt;"Да",0,IFERROR(SUMIF(INDIRECT("'["&amp;НАСТРОЙКИ!$D$8&amp;"]CF'!$L$3:$EO$3"),BR$22,INDIRECT("'["&amp;НАСТРОЙКИ!$D$8&amp;"]CF'!$L$20:$EO$20")),0))</f>
        <v>0</v>
      </c>
      <c r="BS94" s="35">
        <f ca="1">IF(НАСТРОЙКИ!$B$8&lt;&gt;"Да",0,IFERROR(SUMIF(INDIRECT("'["&amp;НАСТРОЙКИ!$D$8&amp;"]CF'!$L$3:$EO$3"),BS$22,INDIRECT("'["&amp;НАСТРОЙКИ!$D$8&amp;"]CF'!$L$20:$EO$20")),0))</f>
        <v>0</v>
      </c>
      <c r="BT94" s="35">
        <f ca="1">IF(НАСТРОЙКИ!$B$8&lt;&gt;"Да",0,IFERROR(SUMIF(INDIRECT("'["&amp;НАСТРОЙКИ!$D$8&amp;"]CF'!$L$3:$EO$3"),BT$22,INDIRECT("'["&amp;НАСТРОЙКИ!$D$8&amp;"]CF'!$L$20:$EO$20")),0))</f>
        <v>0</v>
      </c>
      <c r="BU94" s="35">
        <f ca="1">IF(НАСТРОЙКИ!$B$8&lt;&gt;"Да",0,IFERROR(SUMIF(INDIRECT("'["&amp;НАСТРОЙКИ!$D$8&amp;"]CF'!$L$3:$EO$3"),BU$22,INDIRECT("'["&amp;НАСТРОЙКИ!$D$8&amp;"]CF'!$L$20:$EO$20")),0))</f>
        <v>0</v>
      </c>
      <c r="BV94" s="35">
        <f ca="1">IF(НАСТРОЙКИ!$B$8&lt;&gt;"Да",0,IFERROR(SUMIF(INDIRECT("'["&amp;НАСТРОЙКИ!$D$8&amp;"]CF'!$L$3:$EO$3"),BV$22,INDIRECT("'["&amp;НАСТРОЙКИ!$D$8&amp;"]CF'!$L$20:$EO$20")),0))</f>
        <v>0</v>
      </c>
      <c r="BW94" s="35">
        <f ca="1">IF(НАСТРОЙКИ!$B$8&lt;&gt;"Да",0,IFERROR(SUMIF(INDIRECT("'["&amp;НАСТРОЙКИ!$D$8&amp;"]CF'!$L$3:$EO$3"),BW$22,INDIRECT("'["&amp;НАСТРОЙКИ!$D$8&amp;"]CF'!$L$20:$EO$20")),0))</f>
        <v>0</v>
      </c>
      <c r="BX94" s="35">
        <f ca="1">IF(НАСТРОЙКИ!$B$8&lt;&gt;"Да",0,IFERROR(SUMIF(INDIRECT("'["&amp;НАСТРОЙКИ!$D$8&amp;"]CF'!$L$3:$EO$3"),BX$22,INDIRECT("'["&amp;НАСТРОЙКИ!$D$8&amp;"]CF'!$L$20:$EO$20")),0))</f>
        <v>0</v>
      </c>
      <c r="BY94" s="35">
        <f ca="1">IF(НАСТРОЙКИ!$B$8&lt;&gt;"Да",0,IFERROR(SUMIF(INDIRECT("'["&amp;НАСТРОЙКИ!$D$8&amp;"]CF'!$L$3:$EO$3"),BY$22,INDIRECT("'["&amp;НАСТРОЙКИ!$D$8&amp;"]CF'!$L$20:$EO$20")),0))</f>
        <v>0</v>
      </c>
      <c r="BZ94" s="35">
        <f ca="1">IF(НАСТРОЙКИ!$B$8&lt;&gt;"Да",0,IFERROR(SUMIF(INDIRECT("'["&amp;НАСТРОЙКИ!$D$8&amp;"]CF'!$L$3:$EO$3"),BZ$22,INDIRECT("'["&amp;НАСТРОЙКИ!$D$8&amp;"]CF'!$L$20:$EO$20")),0))</f>
        <v>0</v>
      </c>
      <c r="CA94" s="35">
        <f ca="1">IF(НАСТРОЙКИ!$B$8&lt;&gt;"Да",0,IFERROR(SUMIF(INDIRECT("'["&amp;НАСТРОЙКИ!$D$8&amp;"]CF'!$L$3:$EO$3"),CA$22,INDIRECT("'["&amp;НАСТРОЙКИ!$D$8&amp;"]CF'!$L$20:$EO$20")),0))</f>
        <v>0</v>
      </c>
      <c r="CB94" s="35">
        <f ca="1">IF(НАСТРОЙКИ!$B$8&lt;&gt;"Да",0,IFERROR(SUMIF(INDIRECT("'["&amp;НАСТРОЙКИ!$D$8&amp;"]CF'!$L$3:$EO$3"),CB$22,INDIRECT("'["&amp;НАСТРОЙКИ!$D$8&amp;"]CF'!$L$20:$EO$20")),0))</f>
        <v>0</v>
      </c>
      <c r="CC94" s="35">
        <f ca="1">IF(НАСТРОЙКИ!$B$8&lt;&gt;"Да",0,IFERROR(SUMIF(INDIRECT("'["&amp;НАСТРОЙКИ!$D$8&amp;"]CF'!$L$3:$EO$3"),CC$22,INDIRECT("'["&amp;НАСТРОЙКИ!$D$8&amp;"]CF'!$L$20:$EO$20")),0))</f>
        <v>0</v>
      </c>
      <c r="CD94" s="35">
        <f ca="1">IF(НАСТРОЙКИ!$B$8&lt;&gt;"Да",0,IFERROR(SUMIF(INDIRECT("'["&amp;НАСТРОЙКИ!$D$8&amp;"]CF'!$L$3:$EO$3"),CD$22,INDIRECT("'["&amp;НАСТРОЙКИ!$D$8&amp;"]CF'!$L$20:$EO$20")),0))</f>
        <v>0</v>
      </c>
      <c r="CE94" s="35">
        <f ca="1">IF(НАСТРОЙКИ!$B$8&lt;&gt;"Да",0,IFERROR(SUMIF(INDIRECT("'["&amp;НАСТРОЙКИ!$D$8&amp;"]CF'!$L$3:$EO$3"),CE$22,INDIRECT("'["&amp;НАСТРОЙКИ!$D$8&amp;"]CF'!$L$20:$EO$20")),0))</f>
        <v>0</v>
      </c>
      <c r="CF94" s="35">
        <f ca="1">IF(НАСТРОЙКИ!$B$8&lt;&gt;"Да",0,IFERROR(SUMIF(INDIRECT("'["&amp;НАСТРОЙКИ!$D$8&amp;"]CF'!$L$3:$EO$3"),CF$22,INDIRECT("'["&amp;НАСТРОЙКИ!$D$8&amp;"]CF'!$L$20:$EO$20")),0))</f>
        <v>0</v>
      </c>
      <c r="CG94" s="35">
        <f ca="1">IF(НАСТРОЙКИ!$B$8&lt;&gt;"Да",0,IFERROR(SUMIF(INDIRECT("'["&amp;НАСТРОЙКИ!$D$8&amp;"]CF'!$L$3:$EO$3"),CG$22,INDIRECT("'["&amp;НАСТРОЙКИ!$D$8&amp;"]CF'!$L$20:$EO$20")),0))</f>
        <v>0</v>
      </c>
      <c r="CH94" s="35">
        <f ca="1">IF(НАСТРОЙКИ!$B$8&lt;&gt;"Да",0,IFERROR(SUMIF(INDIRECT("'["&amp;НАСТРОЙКИ!$D$8&amp;"]CF'!$L$3:$EO$3"),CH$22,INDIRECT("'["&amp;НАСТРОЙКИ!$D$8&amp;"]CF'!$L$20:$EO$20")),0))</f>
        <v>0</v>
      </c>
      <c r="CI94" s="35">
        <f ca="1">IF(НАСТРОЙКИ!$B$8&lt;&gt;"Да",0,IFERROR(SUMIF(INDIRECT("'["&amp;НАСТРОЙКИ!$D$8&amp;"]CF'!$L$3:$EO$3"),CI$22,INDIRECT("'["&amp;НАСТРОЙКИ!$D$8&amp;"]CF'!$L$20:$EO$20")),0))</f>
        <v>0</v>
      </c>
      <c r="CJ94" s="35">
        <f ca="1">IF(НАСТРОЙКИ!$B$8&lt;&gt;"Да",0,IFERROR(SUMIF(INDIRECT("'["&amp;НАСТРОЙКИ!$D$8&amp;"]CF'!$L$3:$EO$3"),CJ$22,INDIRECT("'["&amp;НАСТРОЙКИ!$D$8&amp;"]CF'!$L$20:$EO$20")),0))</f>
        <v>0</v>
      </c>
      <c r="CK94" s="35">
        <f ca="1">IF(НАСТРОЙКИ!$B$8&lt;&gt;"Да",0,IFERROR(SUMIF(INDIRECT("'["&amp;НАСТРОЙКИ!$D$8&amp;"]CF'!$L$3:$EO$3"),CK$22,INDIRECT("'["&amp;НАСТРОЙКИ!$D$8&amp;"]CF'!$L$20:$EO$20")),0))</f>
        <v>0</v>
      </c>
      <c r="CL94" s="35">
        <f ca="1">IF(НАСТРОЙКИ!$B$8&lt;&gt;"Да",0,IFERROR(SUMIF(INDIRECT("'["&amp;НАСТРОЙКИ!$D$8&amp;"]CF'!$L$3:$EO$3"),CL$22,INDIRECT("'["&amp;НАСТРОЙКИ!$D$8&amp;"]CF'!$L$20:$EO$20")),0))</f>
        <v>0</v>
      </c>
      <c r="CM94" s="35">
        <f ca="1">IF(НАСТРОЙКИ!$B$8&lt;&gt;"Да",0,IFERROR(SUMIF(INDIRECT("'["&amp;НАСТРОЙКИ!$D$8&amp;"]CF'!$L$3:$EO$3"),CM$22,INDIRECT("'["&amp;НАСТРОЙКИ!$D$8&amp;"]CF'!$L$20:$EO$20")),0))</f>
        <v>0</v>
      </c>
      <c r="CN94" s="35">
        <f ca="1">IF(НАСТРОЙКИ!$B$8&lt;&gt;"Да",0,IFERROR(SUMIF(INDIRECT("'["&amp;НАСТРОЙКИ!$D$8&amp;"]CF'!$L$3:$EO$3"),CN$22,INDIRECT("'["&amp;НАСТРОЙКИ!$D$8&amp;"]CF'!$L$20:$EO$20")),0))</f>
        <v>0</v>
      </c>
      <c r="CO94" s="35">
        <f ca="1">IF(НАСТРОЙКИ!$B$8&lt;&gt;"Да",0,IFERROR(SUMIF(INDIRECT("'["&amp;НАСТРОЙКИ!$D$8&amp;"]CF'!$L$3:$EO$3"),CO$22,INDIRECT("'["&amp;НАСТРОЙКИ!$D$8&amp;"]CF'!$L$20:$EO$20")),0))</f>
        <v>0</v>
      </c>
      <c r="CP94" s="35">
        <f ca="1">IF(НАСТРОЙКИ!$B$8&lt;&gt;"Да",0,IFERROR(SUMIF(INDIRECT("'["&amp;НАСТРОЙКИ!$D$8&amp;"]CF'!$L$3:$EO$3"),CP$22,INDIRECT("'["&amp;НАСТРОЙКИ!$D$8&amp;"]CF'!$L$20:$EO$20")),0))</f>
        <v>0</v>
      </c>
      <c r="CQ94" s="35">
        <f ca="1">IF(НАСТРОЙКИ!$B$8&lt;&gt;"Да",0,IFERROR(SUMIF(INDIRECT("'["&amp;НАСТРОЙКИ!$D$8&amp;"]CF'!$L$3:$EO$3"),CQ$22,INDIRECT("'["&amp;НАСТРОЙКИ!$D$8&amp;"]CF'!$L$20:$EO$20")),0))</f>
        <v>0</v>
      </c>
      <c r="CR94" s="35">
        <f ca="1">IF(НАСТРОЙКИ!$B$8&lt;&gt;"Да",0,IFERROR(SUMIF(INDIRECT("'["&amp;НАСТРОЙКИ!$D$8&amp;"]CF'!$L$3:$EO$3"),CR$22,INDIRECT("'["&amp;НАСТРОЙКИ!$D$8&amp;"]CF'!$L$20:$EO$20")),0))</f>
        <v>0</v>
      </c>
      <c r="CS94" s="35">
        <f ca="1">IF(НАСТРОЙКИ!$B$8&lt;&gt;"Да",0,IFERROR(SUMIF(INDIRECT("'["&amp;НАСТРОЙКИ!$D$8&amp;"]CF'!$L$3:$EO$3"),CS$22,INDIRECT("'["&amp;НАСТРОЙКИ!$D$8&amp;"]CF'!$L$20:$EO$20")),0))</f>
        <v>0</v>
      </c>
      <c r="CT94" s="35">
        <f ca="1">IF(НАСТРОЙКИ!$B$8&lt;&gt;"Да",0,IFERROR(SUMIF(INDIRECT("'["&amp;НАСТРОЙКИ!$D$8&amp;"]CF'!$L$3:$EO$3"),CT$22,INDIRECT("'["&amp;НАСТРОЙКИ!$D$8&amp;"]CF'!$L$20:$EO$20")),0))</f>
        <v>0</v>
      </c>
      <c r="CU94" s="35">
        <f ca="1">IF(НАСТРОЙКИ!$B$8&lt;&gt;"Да",0,IFERROR(SUMIF(INDIRECT("'["&amp;НАСТРОЙКИ!$D$8&amp;"]CF'!$L$3:$EO$3"),CU$22,INDIRECT("'["&amp;НАСТРОЙКИ!$D$8&amp;"]CF'!$L$20:$EO$20")),0))</f>
        <v>0</v>
      </c>
      <c r="CV94" s="35">
        <f ca="1">IF(НАСТРОЙКИ!$B$8&lt;&gt;"Да",0,IFERROR(SUMIF(INDIRECT("'["&amp;НАСТРОЙКИ!$D$8&amp;"]CF'!$L$3:$EO$3"),CV$22,INDIRECT("'["&amp;НАСТРОЙКИ!$D$8&amp;"]CF'!$L$20:$EO$20")),0))</f>
        <v>0</v>
      </c>
      <c r="CW94" s="35">
        <f ca="1">IF(НАСТРОЙКИ!$B$8&lt;&gt;"Да",0,IFERROR(SUMIF(INDIRECT("'["&amp;НАСТРОЙКИ!$D$8&amp;"]CF'!$L$3:$EO$3"),CW$22,INDIRECT("'["&amp;НАСТРОЙКИ!$D$8&amp;"]CF'!$L$20:$EO$20")),0))</f>
        <v>0</v>
      </c>
      <c r="CX94" s="35">
        <f ca="1">IF(НАСТРОЙКИ!$B$8&lt;&gt;"Да",0,IFERROR(SUMIF(INDIRECT("'["&amp;НАСТРОЙКИ!$D$8&amp;"]CF'!$L$3:$EO$3"),CX$22,INDIRECT("'["&amp;НАСТРОЙКИ!$D$8&amp;"]CF'!$L$20:$EO$20")),0))</f>
        <v>0</v>
      </c>
      <c r="CY94" s="35">
        <f ca="1">IF(НАСТРОЙКИ!$B$8&lt;&gt;"Да",0,IFERROR(SUMIF(INDIRECT("'["&amp;НАСТРОЙКИ!$D$8&amp;"]CF'!$L$3:$EO$3"),CY$22,INDIRECT("'["&amp;НАСТРОЙКИ!$D$8&amp;"]CF'!$L$20:$EO$20")),0))</f>
        <v>0</v>
      </c>
      <c r="CZ94" s="35">
        <f ca="1">IF(НАСТРОЙКИ!$B$8&lt;&gt;"Да",0,IFERROR(SUMIF(INDIRECT("'["&amp;НАСТРОЙКИ!$D$8&amp;"]CF'!$L$3:$EO$3"),CZ$22,INDIRECT("'["&amp;НАСТРОЙКИ!$D$8&amp;"]CF'!$L$20:$EO$20")),0))</f>
        <v>0</v>
      </c>
      <c r="DA94" s="35">
        <f ca="1">IF(НАСТРОЙКИ!$B$8&lt;&gt;"Да",0,IFERROR(SUMIF(INDIRECT("'["&amp;НАСТРОЙКИ!$D$8&amp;"]CF'!$L$3:$EO$3"),DA$22,INDIRECT("'["&amp;НАСТРОЙКИ!$D$8&amp;"]CF'!$L$20:$EO$20")),0))</f>
        <v>0</v>
      </c>
      <c r="DB94" s="35">
        <f ca="1">IF(НАСТРОЙКИ!$B$8&lt;&gt;"Да",0,IFERROR(SUMIF(INDIRECT("'["&amp;НАСТРОЙКИ!$D$8&amp;"]CF'!$L$3:$EO$3"),DB$22,INDIRECT("'["&amp;НАСТРОЙКИ!$D$8&amp;"]CF'!$L$20:$EO$20")),0))</f>
        <v>0</v>
      </c>
      <c r="DC94" s="35">
        <f ca="1">IF(НАСТРОЙКИ!$B$8&lt;&gt;"Да",0,IFERROR(SUMIF(INDIRECT("'["&amp;НАСТРОЙКИ!$D$8&amp;"]CF'!$L$3:$EO$3"),DC$22,INDIRECT("'["&amp;НАСТРОЙКИ!$D$8&amp;"]CF'!$L$20:$EO$20")),0))</f>
        <v>0</v>
      </c>
      <c r="DD94" s="35">
        <f ca="1">IF(НАСТРОЙКИ!$B$8&lt;&gt;"Да",0,IFERROR(SUMIF(INDIRECT("'["&amp;НАСТРОЙКИ!$D$8&amp;"]CF'!$L$3:$EO$3"),DD$22,INDIRECT("'["&amp;НАСТРОЙКИ!$D$8&amp;"]CF'!$L$20:$EO$20")),0))</f>
        <v>0</v>
      </c>
      <c r="DE94" s="35">
        <f ca="1">IF(НАСТРОЙКИ!$B$8&lt;&gt;"Да",0,IFERROR(SUMIF(INDIRECT("'["&amp;НАСТРОЙКИ!$D$8&amp;"]CF'!$L$3:$EO$3"),DE$22,INDIRECT("'["&amp;НАСТРОЙКИ!$D$8&amp;"]CF'!$L$20:$EO$20")),0))</f>
        <v>0</v>
      </c>
      <c r="DF94" s="35">
        <f ca="1">IF(НАСТРОЙКИ!$B$8&lt;&gt;"Да",0,IFERROR(SUMIF(INDIRECT("'["&amp;НАСТРОЙКИ!$D$8&amp;"]CF'!$L$3:$EO$3"),DF$22,INDIRECT("'["&amp;НАСТРОЙКИ!$D$8&amp;"]CF'!$L$20:$EO$20")),0))</f>
        <v>0</v>
      </c>
    </row>
    <row r="95" spans="1:110">
      <c r="A95" s="34" t="s">
        <v>125</v>
      </c>
      <c r="B95" s="34" t="s">
        <v>58</v>
      </c>
      <c r="C95" s="35">
        <f ca="1">IF(НАСТРОЙКИ!$B$8&lt;&gt;"Да",0,IFERROR(SUMIF(INDIRECT("'["&amp;НАСТРОЙКИ!$D$8&amp;"]CF'!$L$3:$EO$3"),C$22,INDIRECT("'["&amp;НАСТРОЙКИ!$D$8&amp;"]CF'!$L$25:$EO$25")),0))</f>
        <v>0</v>
      </c>
      <c r="D95" s="35">
        <f ca="1">IF(НАСТРОЙКИ!$B$8&lt;&gt;"Да",0,IFERROR(SUMIF(INDIRECT("'["&amp;НАСТРОЙКИ!$D$8&amp;"]CF'!$L$3:$EO$3"),D$22,INDIRECT("'["&amp;НАСТРОЙКИ!$D$8&amp;"]CF'!$L$25:$EO$25")),0))</f>
        <v>0</v>
      </c>
      <c r="E95" s="35">
        <f ca="1">IF(НАСТРОЙКИ!$B$8&lt;&gt;"Да",0,IFERROR(SUMIF(INDIRECT("'["&amp;НАСТРОЙКИ!$D$8&amp;"]CF'!$L$3:$EO$3"),E$22,INDIRECT("'["&amp;НАСТРОЙКИ!$D$8&amp;"]CF'!$L$25:$EO$25")),0))</f>
        <v>0</v>
      </c>
      <c r="F95" s="35">
        <f ca="1">IF(НАСТРОЙКИ!$B$8&lt;&gt;"Да",0,IFERROR(SUMIF(INDIRECT("'["&amp;НАСТРОЙКИ!$D$8&amp;"]CF'!$L$3:$EO$3"),F$22,INDIRECT("'["&amp;НАСТРОЙКИ!$D$8&amp;"]CF'!$L$25:$EO$25")),0))</f>
        <v>0</v>
      </c>
      <c r="G95" s="35">
        <f ca="1">IF(НАСТРОЙКИ!$B$8&lt;&gt;"Да",0,IFERROR(SUMIF(INDIRECT("'["&amp;НАСТРОЙКИ!$D$8&amp;"]CF'!$L$3:$EO$3"),G$22,INDIRECT("'["&amp;НАСТРОЙКИ!$D$8&amp;"]CF'!$L$25:$EO$25")),0))</f>
        <v>0</v>
      </c>
      <c r="H95" s="35">
        <f ca="1">IF(НАСТРОЙКИ!$B$8&lt;&gt;"Да",0,IFERROR(SUMIF(INDIRECT("'["&amp;НАСТРОЙКИ!$D$8&amp;"]CF'!$L$3:$EO$3"),H$22,INDIRECT("'["&amp;НАСТРОЙКИ!$D$8&amp;"]CF'!$L$25:$EO$25")),0))</f>
        <v>0</v>
      </c>
      <c r="I95" s="35">
        <f ca="1">IF(НАСТРОЙКИ!$B$8&lt;&gt;"Да",0,IFERROR(SUMIF(INDIRECT("'["&amp;НАСТРОЙКИ!$D$8&amp;"]CF'!$L$3:$EO$3"),I$22,INDIRECT("'["&amp;НАСТРОЙКИ!$D$8&amp;"]CF'!$L$25:$EO$25")),0))</f>
        <v>0</v>
      </c>
      <c r="J95" s="35">
        <f ca="1">IF(НАСТРОЙКИ!$B$8&lt;&gt;"Да",0,IFERROR(SUMIF(INDIRECT("'["&amp;НАСТРОЙКИ!$D$8&amp;"]CF'!$L$3:$EO$3"),J$22,INDIRECT("'["&amp;НАСТРОЙКИ!$D$8&amp;"]CF'!$L$25:$EO$25")),0))</f>
        <v>0</v>
      </c>
      <c r="K95" s="35">
        <f ca="1">IF(НАСТРОЙКИ!$B$8&lt;&gt;"Да",0,IFERROR(SUMIF(INDIRECT("'["&amp;НАСТРОЙКИ!$D$8&amp;"]CF'!$L$3:$EO$3"),K$22,INDIRECT("'["&amp;НАСТРОЙКИ!$D$8&amp;"]CF'!$L$25:$EO$25")),0))</f>
        <v>0</v>
      </c>
      <c r="L95" s="35">
        <f ca="1">IF(НАСТРОЙКИ!$B$8&lt;&gt;"Да",0,IFERROR(SUMIF(INDIRECT("'["&amp;НАСТРОЙКИ!$D$8&amp;"]CF'!$L$3:$EO$3"),L$22,INDIRECT("'["&amp;НАСТРОЙКИ!$D$8&amp;"]CF'!$L$25:$EO$25")),0))</f>
        <v>0</v>
      </c>
      <c r="M95" s="35">
        <f ca="1">IF(НАСТРОЙКИ!$B$8&lt;&gt;"Да",0,IFERROR(SUMIF(INDIRECT("'["&amp;НАСТРОЙКИ!$D$8&amp;"]CF'!$L$3:$EO$3"),M$22,INDIRECT("'["&amp;НАСТРОЙКИ!$D$8&amp;"]CF'!$L$25:$EO$25")),0))</f>
        <v>0</v>
      </c>
      <c r="N95" s="35">
        <f ca="1">IF(НАСТРОЙКИ!$B$8&lt;&gt;"Да",0,IFERROR(SUMIF(INDIRECT("'["&amp;НАСТРОЙКИ!$D$8&amp;"]CF'!$L$3:$EO$3"),N$22,INDIRECT("'["&amp;НАСТРОЙКИ!$D$8&amp;"]CF'!$L$25:$EO$25")),0))</f>
        <v>0</v>
      </c>
      <c r="O95" s="35">
        <f ca="1">IF(НАСТРОЙКИ!$B$8&lt;&gt;"Да",0,IFERROR(SUMIF(INDIRECT("'["&amp;НАСТРОЙКИ!$D$8&amp;"]CF'!$L$3:$EO$3"),O$22,INDIRECT("'["&amp;НАСТРОЙКИ!$D$8&amp;"]CF'!$L$25:$EO$25")),0))</f>
        <v>0</v>
      </c>
      <c r="P95" s="35">
        <f ca="1">IF(НАСТРОЙКИ!$B$8&lt;&gt;"Да",0,IFERROR(SUMIF(INDIRECT("'["&amp;НАСТРОЙКИ!$D$8&amp;"]CF'!$L$3:$EO$3"),P$22,INDIRECT("'["&amp;НАСТРОЙКИ!$D$8&amp;"]CF'!$L$25:$EO$25")),0))</f>
        <v>0</v>
      </c>
      <c r="Q95" s="35">
        <f ca="1">IF(НАСТРОЙКИ!$B$8&lt;&gt;"Да",0,IFERROR(SUMIF(INDIRECT("'["&amp;НАСТРОЙКИ!$D$8&amp;"]CF'!$L$3:$EO$3"),Q$22,INDIRECT("'["&amp;НАСТРОЙКИ!$D$8&amp;"]CF'!$L$25:$EO$25")),0))</f>
        <v>0</v>
      </c>
      <c r="R95" s="35">
        <f ca="1">IF(НАСТРОЙКИ!$B$8&lt;&gt;"Да",0,IFERROR(SUMIF(INDIRECT("'["&amp;НАСТРОЙКИ!$D$8&amp;"]CF'!$L$3:$EO$3"),R$22,INDIRECT("'["&amp;НАСТРОЙКИ!$D$8&amp;"]CF'!$L$25:$EO$25")),0))</f>
        <v>0</v>
      </c>
      <c r="S95" s="35">
        <f ca="1">IF(НАСТРОЙКИ!$B$8&lt;&gt;"Да",0,IFERROR(SUMIF(INDIRECT("'["&amp;НАСТРОЙКИ!$D$8&amp;"]CF'!$L$3:$EO$3"),S$22,INDIRECT("'["&amp;НАСТРОЙКИ!$D$8&amp;"]CF'!$L$25:$EO$25")),0))</f>
        <v>0</v>
      </c>
      <c r="T95" s="35">
        <f ca="1">IF(НАСТРОЙКИ!$B$8&lt;&gt;"Да",0,IFERROR(SUMIF(INDIRECT("'["&amp;НАСТРОЙКИ!$D$8&amp;"]CF'!$L$3:$EO$3"),T$22,INDIRECT("'["&amp;НАСТРОЙКИ!$D$8&amp;"]CF'!$L$25:$EO$25")),0))</f>
        <v>0</v>
      </c>
      <c r="U95" s="35">
        <f ca="1">IF(НАСТРОЙКИ!$B$8&lt;&gt;"Да",0,IFERROR(SUMIF(INDIRECT("'["&amp;НАСТРОЙКИ!$D$8&amp;"]CF'!$L$3:$EO$3"),U$22,INDIRECT("'["&amp;НАСТРОЙКИ!$D$8&amp;"]CF'!$L$25:$EO$25")),0))</f>
        <v>0</v>
      </c>
      <c r="V95" s="35">
        <f ca="1">IF(НАСТРОЙКИ!$B$8&lt;&gt;"Да",0,IFERROR(SUMIF(INDIRECT("'["&amp;НАСТРОЙКИ!$D$8&amp;"]CF'!$L$3:$EO$3"),V$22,INDIRECT("'["&amp;НАСТРОЙКИ!$D$8&amp;"]CF'!$L$25:$EO$25")),0))</f>
        <v>0</v>
      </c>
      <c r="W95" s="35">
        <f ca="1">IF(НАСТРОЙКИ!$B$8&lt;&gt;"Да",0,IFERROR(SUMIF(INDIRECT("'["&amp;НАСТРОЙКИ!$D$8&amp;"]CF'!$L$3:$EO$3"),W$22,INDIRECT("'["&amp;НАСТРОЙКИ!$D$8&amp;"]CF'!$L$25:$EO$25")),0))</f>
        <v>0</v>
      </c>
      <c r="X95" s="35">
        <f ca="1">IF(НАСТРОЙКИ!$B$8&lt;&gt;"Да",0,IFERROR(SUMIF(INDIRECT("'["&amp;НАСТРОЙКИ!$D$8&amp;"]CF'!$L$3:$EO$3"),X$22,INDIRECT("'["&amp;НАСТРОЙКИ!$D$8&amp;"]CF'!$L$25:$EO$25")),0))</f>
        <v>0</v>
      </c>
      <c r="Y95" s="35">
        <f ca="1">IF(НАСТРОЙКИ!$B$8&lt;&gt;"Да",0,IFERROR(SUMIF(INDIRECT("'["&amp;НАСТРОЙКИ!$D$8&amp;"]CF'!$L$3:$EO$3"),Y$22,INDIRECT("'["&amp;НАСТРОЙКИ!$D$8&amp;"]CF'!$L$25:$EO$25")),0))</f>
        <v>0</v>
      </c>
      <c r="Z95" s="35">
        <f ca="1">IF(НАСТРОЙКИ!$B$8&lt;&gt;"Да",0,IFERROR(SUMIF(INDIRECT("'["&amp;НАСТРОЙКИ!$D$8&amp;"]CF'!$L$3:$EO$3"),Z$22,INDIRECT("'["&amp;НАСТРОЙКИ!$D$8&amp;"]CF'!$L$25:$EO$25")),0))</f>
        <v>0</v>
      </c>
      <c r="AA95" s="35">
        <f ca="1">IF(НАСТРОЙКИ!$B$8&lt;&gt;"Да",0,IFERROR(SUMIF(INDIRECT("'["&amp;НАСТРОЙКИ!$D$8&amp;"]CF'!$L$3:$EO$3"),AA$22,INDIRECT("'["&amp;НАСТРОЙКИ!$D$8&amp;"]CF'!$L$25:$EO$25")),0))</f>
        <v>0</v>
      </c>
      <c r="AB95" s="35">
        <f ca="1">IF(НАСТРОЙКИ!$B$8&lt;&gt;"Да",0,IFERROR(SUMIF(INDIRECT("'["&amp;НАСТРОЙКИ!$D$8&amp;"]CF'!$L$3:$EO$3"),AB$22,INDIRECT("'["&amp;НАСТРОЙКИ!$D$8&amp;"]CF'!$L$25:$EO$25")),0))</f>
        <v>0</v>
      </c>
      <c r="AC95" s="35">
        <f ca="1">IF(НАСТРОЙКИ!$B$8&lt;&gt;"Да",0,IFERROR(SUMIF(INDIRECT("'["&amp;НАСТРОЙКИ!$D$8&amp;"]CF'!$L$3:$EO$3"),AC$22,INDIRECT("'["&amp;НАСТРОЙКИ!$D$8&amp;"]CF'!$L$25:$EO$25")),0))</f>
        <v>0</v>
      </c>
      <c r="AD95" s="35">
        <f ca="1">IF(НАСТРОЙКИ!$B$8&lt;&gt;"Да",0,IFERROR(SUMIF(INDIRECT("'["&amp;НАСТРОЙКИ!$D$8&amp;"]CF'!$L$3:$EO$3"),AD$22,INDIRECT("'["&amp;НАСТРОЙКИ!$D$8&amp;"]CF'!$L$25:$EO$25")),0))</f>
        <v>0</v>
      </c>
      <c r="AE95" s="35">
        <f ca="1">IF(НАСТРОЙКИ!$B$8&lt;&gt;"Да",0,IFERROR(SUMIF(INDIRECT("'["&amp;НАСТРОЙКИ!$D$8&amp;"]CF'!$L$3:$EO$3"),AE$22,INDIRECT("'["&amp;НАСТРОЙКИ!$D$8&amp;"]CF'!$L$25:$EO$25")),0))</f>
        <v>0</v>
      </c>
      <c r="AF95" s="35">
        <f ca="1">IF(НАСТРОЙКИ!$B$8&lt;&gt;"Да",0,IFERROR(SUMIF(INDIRECT("'["&amp;НАСТРОЙКИ!$D$8&amp;"]CF'!$L$3:$EO$3"),AF$22,INDIRECT("'["&amp;НАСТРОЙКИ!$D$8&amp;"]CF'!$L$25:$EO$25")),0))</f>
        <v>0</v>
      </c>
      <c r="AG95" s="35">
        <f ca="1">IF(НАСТРОЙКИ!$B$8&lt;&gt;"Да",0,IFERROR(SUMIF(INDIRECT("'["&amp;НАСТРОЙКИ!$D$8&amp;"]CF'!$L$3:$EO$3"),AG$22,INDIRECT("'["&amp;НАСТРОЙКИ!$D$8&amp;"]CF'!$L$25:$EO$25")),0))</f>
        <v>0</v>
      </c>
      <c r="AH95" s="35">
        <f ca="1">IF(НАСТРОЙКИ!$B$8&lt;&gt;"Да",0,IFERROR(SUMIF(INDIRECT("'["&amp;НАСТРОЙКИ!$D$8&amp;"]CF'!$L$3:$EO$3"),AH$22,INDIRECT("'["&amp;НАСТРОЙКИ!$D$8&amp;"]CF'!$L$25:$EO$25")),0))</f>
        <v>0</v>
      </c>
      <c r="AI95" s="35">
        <f ca="1">IF(НАСТРОЙКИ!$B$8&lt;&gt;"Да",0,IFERROR(SUMIF(INDIRECT("'["&amp;НАСТРОЙКИ!$D$8&amp;"]CF'!$L$3:$EO$3"),AI$22,INDIRECT("'["&amp;НАСТРОЙКИ!$D$8&amp;"]CF'!$L$25:$EO$25")),0))</f>
        <v>0</v>
      </c>
      <c r="AJ95" s="35">
        <f ca="1">IF(НАСТРОЙКИ!$B$8&lt;&gt;"Да",0,IFERROR(SUMIF(INDIRECT("'["&amp;НАСТРОЙКИ!$D$8&amp;"]CF'!$L$3:$EO$3"),AJ$22,INDIRECT("'["&amp;НАСТРОЙКИ!$D$8&amp;"]CF'!$L$25:$EO$25")),0))</f>
        <v>0</v>
      </c>
      <c r="AK95" s="35">
        <f ca="1">IF(НАСТРОЙКИ!$B$8&lt;&gt;"Да",0,IFERROR(SUMIF(INDIRECT("'["&amp;НАСТРОЙКИ!$D$8&amp;"]CF'!$L$3:$EO$3"),AK$22,INDIRECT("'["&amp;НАСТРОЙКИ!$D$8&amp;"]CF'!$L$25:$EO$25")),0))</f>
        <v>0</v>
      </c>
      <c r="AL95" s="35">
        <f ca="1">IF(НАСТРОЙКИ!$B$8&lt;&gt;"Да",0,IFERROR(SUMIF(INDIRECT("'["&amp;НАСТРОЙКИ!$D$8&amp;"]CF'!$L$3:$EO$3"),AL$22,INDIRECT("'["&amp;НАСТРОЙКИ!$D$8&amp;"]CF'!$L$25:$EO$25")),0))</f>
        <v>0</v>
      </c>
      <c r="AM95" s="35">
        <f ca="1">IF(НАСТРОЙКИ!$B$8&lt;&gt;"Да",0,IFERROR(SUMIF(INDIRECT("'["&amp;НАСТРОЙКИ!$D$8&amp;"]CF'!$L$3:$EO$3"),AM$22,INDIRECT("'["&amp;НАСТРОЙКИ!$D$8&amp;"]CF'!$L$25:$EO$25")),0))</f>
        <v>0</v>
      </c>
      <c r="AN95" s="35">
        <f ca="1">IF(НАСТРОЙКИ!$B$8&lt;&gt;"Да",0,IFERROR(SUMIF(INDIRECT("'["&amp;НАСТРОЙКИ!$D$8&amp;"]CF'!$L$3:$EO$3"),AN$22,INDIRECT("'["&amp;НАСТРОЙКИ!$D$8&amp;"]CF'!$L$25:$EO$25")),0))</f>
        <v>0</v>
      </c>
      <c r="AO95" s="35">
        <f ca="1">IF(НАСТРОЙКИ!$B$8&lt;&gt;"Да",0,IFERROR(SUMIF(INDIRECT("'["&amp;НАСТРОЙКИ!$D$8&amp;"]CF'!$L$3:$EO$3"),AO$22,INDIRECT("'["&amp;НАСТРОЙКИ!$D$8&amp;"]CF'!$L$25:$EO$25")),0))</f>
        <v>0</v>
      </c>
      <c r="AP95" s="35">
        <f ca="1">IF(НАСТРОЙКИ!$B$8&lt;&gt;"Да",0,IFERROR(SUMIF(INDIRECT("'["&amp;НАСТРОЙКИ!$D$8&amp;"]CF'!$L$3:$EO$3"),AP$22,INDIRECT("'["&amp;НАСТРОЙКИ!$D$8&amp;"]CF'!$L$25:$EO$25")),0))</f>
        <v>0</v>
      </c>
      <c r="AQ95" s="35">
        <f ca="1">IF(НАСТРОЙКИ!$B$8&lt;&gt;"Да",0,IFERROR(SUMIF(INDIRECT("'["&amp;НАСТРОЙКИ!$D$8&amp;"]CF'!$L$3:$EO$3"),AQ$22,INDIRECT("'["&amp;НАСТРОЙКИ!$D$8&amp;"]CF'!$L$25:$EO$25")),0))</f>
        <v>0</v>
      </c>
      <c r="AR95" s="35">
        <f ca="1">IF(НАСТРОЙКИ!$B$8&lt;&gt;"Да",0,IFERROR(SUMIF(INDIRECT("'["&amp;НАСТРОЙКИ!$D$8&amp;"]CF'!$L$3:$EO$3"),AR$22,INDIRECT("'["&amp;НАСТРОЙКИ!$D$8&amp;"]CF'!$L$25:$EO$25")),0))</f>
        <v>0</v>
      </c>
      <c r="AS95" s="35">
        <f ca="1">IF(НАСТРОЙКИ!$B$8&lt;&gt;"Да",0,IFERROR(SUMIF(INDIRECT("'["&amp;НАСТРОЙКИ!$D$8&amp;"]CF'!$L$3:$EO$3"),AS$22,INDIRECT("'["&amp;НАСТРОЙКИ!$D$8&amp;"]CF'!$L$25:$EO$25")),0))</f>
        <v>0</v>
      </c>
      <c r="AT95" s="35">
        <f ca="1">IF(НАСТРОЙКИ!$B$8&lt;&gt;"Да",0,IFERROR(SUMIF(INDIRECT("'["&amp;НАСТРОЙКИ!$D$8&amp;"]CF'!$L$3:$EO$3"),AT$22,INDIRECT("'["&amp;НАСТРОЙКИ!$D$8&amp;"]CF'!$L$25:$EO$25")),0))</f>
        <v>0</v>
      </c>
      <c r="AU95" s="35">
        <f ca="1">IF(НАСТРОЙКИ!$B$8&lt;&gt;"Да",0,IFERROR(SUMIF(INDIRECT("'["&amp;НАСТРОЙКИ!$D$8&amp;"]CF'!$L$3:$EO$3"),AU$22,INDIRECT("'["&amp;НАСТРОЙКИ!$D$8&amp;"]CF'!$L$25:$EO$25")),0))</f>
        <v>0</v>
      </c>
      <c r="AV95" s="35">
        <f ca="1">IF(НАСТРОЙКИ!$B$8&lt;&gt;"Да",0,IFERROR(SUMIF(INDIRECT("'["&amp;НАСТРОЙКИ!$D$8&amp;"]CF'!$L$3:$EO$3"),AV$22,INDIRECT("'["&amp;НАСТРОЙКИ!$D$8&amp;"]CF'!$L$25:$EO$25")),0))</f>
        <v>0</v>
      </c>
      <c r="AW95" s="35">
        <f ca="1">IF(НАСТРОЙКИ!$B$8&lt;&gt;"Да",0,IFERROR(SUMIF(INDIRECT("'["&amp;НАСТРОЙКИ!$D$8&amp;"]CF'!$L$3:$EO$3"),AW$22,INDIRECT("'["&amp;НАСТРОЙКИ!$D$8&amp;"]CF'!$L$25:$EO$25")),0))</f>
        <v>0</v>
      </c>
      <c r="AX95" s="35">
        <f ca="1">IF(НАСТРОЙКИ!$B$8&lt;&gt;"Да",0,IFERROR(SUMIF(INDIRECT("'["&amp;НАСТРОЙКИ!$D$8&amp;"]CF'!$L$3:$EO$3"),AX$22,INDIRECT("'["&amp;НАСТРОЙКИ!$D$8&amp;"]CF'!$L$25:$EO$25")),0))</f>
        <v>0</v>
      </c>
      <c r="AY95" s="35">
        <f ca="1">IF(НАСТРОЙКИ!$B$8&lt;&gt;"Да",0,IFERROR(SUMIF(INDIRECT("'["&amp;НАСТРОЙКИ!$D$8&amp;"]CF'!$L$3:$EO$3"),AY$22,INDIRECT("'["&amp;НАСТРОЙКИ!$D$8&amp;"]CF'!$L$25:$EO$25")),0))</f>
        <v>0</v>
      </c>
      <c r="AZ95" s="35">
        <f ca="1">IF(НАСТРОЙКИ!$B$8&lt;&gt;"Да",0,IFERROR(SUMIF(INDIRECT("'["&amp;НАСТРОЙКИ!$D$8&amp;"]CF'!$L$3:$EO$3"),AZ$22,INDIRECT("'["&amp;НАСТРОЙКИ!$D$8&amp;"]CF'!$L$25:$EO$25")),0))</f>
        <v>0</v>
      </c>
      <c r="BA95" s="35">
        <f ca="1">IF(НАСТРОЙКИ!$B$8&lt;&gt;"Да",0,IFERROR(SUMIF(INDIRECT("'["&amp;НАСТРОЙКИ!$D$8&amp;"]CF'!$L$3:$EO$3"),BA$22,INDIRECT("'["&amp;НАСТРОЙКИ!$D$8&amp;"]CF'!$L$25:$EO$25")),0))</f>
        <v>0</v>
      </c>
      <c r="BB95" s="35">
        <f ca="1">IF(НАСТРОЙКИ!$B$8&lt;&gt;"Да",0,IFERROR(SUMIF(INDIRECT("'["&amp;НАСТРОЙКИ!$D$8&amp;"]CF'!$L$3:$EO$3"),BB$22,INDIRECT("'["&amp;НАСТРОЙКИ!$D$8&amp;"]CF'!$L$25:$EO$25")),0))</f>
        <v>0</v>
      </c>
      <c r="BC95" s="35">
        <f ca="1">IF(НАСТРОЙКИ!$B$8&lt;&gt;"Да",0,IFERROR(SUMIF(INDIRECT("'["&amp;НАСТРОЙКИ!$D$8&amp;"]CF'!$L$3:$EO$3"),BC$22,INDIRECT("'["&amp;НАСТРОЙКИ!$D$8&amp;"]CF'!$L$25:$EO$25")),0))</f>
        <v>0</v>
      </c>
      <c r="BD95" s="35">
        <f ca="1">IF(НАСТРОЙКИ!$B$8&lt;&gt;"Да",0,IFERROR(SUMIF(INDIRECT("'["&amp;НАСТРОЙКИ!$D$8&amp;"]CF'!$L$3:$EO$3"),BD$22,INDIRECT("'["&amp;НАСТРОЙКИ!$D$8&amp;"]CF'!$L$25:$EO$25")),0))</f>
        <v>0</v>
      </c>
      <c r="BE95" s="35">
        <f ca="1">IF(НАСТРОЙКИ!$B$8&lt;&gt;"Да",0,IFERROR(SUMIF(INDIRECT("'["&amp;НАСТРОЙКИ!$D$8&amp;"]CF'!$L$3:$EO$3"),BE$22,INDIRECT("'["&amp;НАСТРОЙКИ!$D$8&amp;"]CF'!$L$25:$EO$25")),0))</f>
        <v>0</v>
      </c>
      <c r="BF95" s="35">
        <f ca="1">IF(НАСТРОЙКИ!$B$8&lt;&gt;"Да",0,IFERROR(SUMIF(INDIRECT("'["&amp;НАСТРОЙКИ!$D$8&amp;"]CF'!$L$3:$EO$3"),BF$22,INDIRECT("'["&amp;НАСТРОЙКИ!$D$8&amp;"]CF'!$L$25:$EO$25")),0))</f>
        <v>0</v>
      </c>
      <c r="BG95" s="35">
        <f ca="1">IF(НАСТРОЙКИ!$B$8&lt;&gt;"Да",0,IFERROR(SUMIF(INDIRECT("'["&amp;НАСТРОЙКИ!$D$8&amp;"]CF'!$L$3:$EO$3"),BG$22,INDIRECT("'["&amp;НАСТРОЙКИ!$D$8&amp;"]CF'!$L$25:$EO$25")),0))</f>
        <v>0</v>
      </c>
      <c r="BH95" s="35">
        <f ca="1">IF(НАСТРОЙКИ!$B$8&lt;&gt;"Да",0,IFERROR(SUMIF(INDIRECT("'["&amp;НАСТРОЙКИ!$D$8&amp;"]CF'!$L$3:$EO$3"),BH$22,INDIRECT("'["&amp;НАСТРОЙКИ!$D$8&amp;"]CF'!$L$25:$EO$25")),0))</f>
        <v>0</v>
      </c>
      <c r="BI95" s="35">
        <f ca="1">IF(НАСТРОЙКИ!$B$8&lt;&gt;"Да",0,IFERROR(SUMIF(INDIRECT("'["&amp;НАСТРОЙКИ!$D$8&amp;"]CF'!$L$3:$EO$3"),BI$22,INDIRECT("'["&amp;НАСТРОЙКИ!$D$8&amp;"]CF'!$L$25:$EO$25")),0))</f>
        <v>0</v>
      </c>
      <c r="BJ95" s="35">
        <f ca="1">IF(НАСТРОЙКИ!$B$8&lt;&gt;"Да",0,IFERROR(SUMIF(INDIRECT("'["&amp;НАСТРОЙКИ!$D$8&amp;"]CF'!$L$3:$EO$3"),BJ$22,INDIRECT("'["&amp;НАСТРОЙКИ!$D$8&amp;"]CF'!$L$25:$EO$25")),0))</f>
        <v>0</v>
      </c>
      <c r="BK95" s="35">
        <f ca="1">IF(НАСТРОЙКИ!$B$8&lt;&gt;"Да",0,IFERROR(SUMIF(INDIRECT("'["&amp;НАСТРОЙКИ!$D$8&amp;"]CF'!$L$3:$EO$3"),BK$22,INDIRECT("'["&amp;НАСТРОЙКИ!$D$8&amp;"]CF'!$L$25:$EO$25")),0))</f>
        <v>0</v>
      </c>
      <c r="BL95" s="35">
        <f ca="1">IF(НАСТРОЙКИ!$B$8&lt;&gt;"Да",0,IFERROR(SUMIF(INDIRECT("'["&amp;НАСТРОЙКИ!$D$8&amp;"]CF'!$L$3:$EO$3"),BL$22,INDIRECT("'["&amp;НАСТРОЙКИ!$D$8&amp;"]CF'!$L$25:$EO$25")),0))</f>
        <v>0</v>
      </c>
      <c r="BM95" s="35">
        <f ca="1">IF(НАСТРОЙКИ!$B$8&lt;&gt;"Да",0,IFERROR(SUMIF(INDIRECT("'["&amp;НАСТРОЙКИ!$D$8&amp;"]CF'!$L$3:$EO$3"),BM$22,INDIRECT("'["&amp;НАСТРОЙКИ!$D$8&amp;"]CF'!$L$25:$EO$25")),0))</f>
        <v>0</v>
      </c>
      <c r="BN95" s="35">
        <f ca="1">IF(НАСТРОЙКИ!$B$8&lt;&gt;"Да",0,IFERROR(SUMIF(INDIRECT("'["&amp;НАСТРОЙКИ!$D$8&amp;"]CF'!$L$3:$EO$3"),BN$22,INDIRECT("'["&amp;НАСТРОЙКИ!$D$8&amp;"]CF'!$L$25:$EO$25")),0))</f>
        <v>0</v>
      </c>
      <c r="BO95" s="35">
        <f ca="1">IF(НАСТРОЙКИ!$B$8&lt;&gt;"Да",0,IFERROR(SUMIF(INDIRECT("'["&amp;НАСТРОЙКИ!$D$8&amp;"]CF'!$L$3:$EO$3"),BO$22,INDIRECT("'["&amp;НАСТРОЙКИ!$D$8&amp;"]CF'!$L$25:$EO$25")),0))</f>
        <v>0</v>
      </c>
      <c r="BP95" s="35">
        <f ca="1">IF(НАСТРОЙКИ!$B$8&lt;&gt;"Да",0,IFERROR(SUMIF(INDIRECT("'["&amp;НАСТРОЙКИ!$D$8&amp;"]CF'!$L$3:$EO$3"),BP$22,INDIRECT("'["&amp;НАСТРОЙКИ!$D$8&amp;"]CF'!$L$25:$EO$25")),0))</f>
        <v>0</v>
      </c>
      <c r="BQ95" s="35">
        <f ca="1">IF(НАСТРОЙКИ!$B$8&lt;&gt;"Да",0,IFERROR(SUMIF(INDIRECT("'["&amp;НАСТРОЙКИ!$D$8&amp;"]CF'!$L$3:$EO$3"),BQ$22,INDIRECT("'["&amp;НАСТРОЙКИ!$D$8&amp;"]CF'!$L$25:$EO$25")),0))</f>
        <v>0</v>
      </c>
      <c r="BR95" s="35">
        <f ca="1">IF(НАСТРОЙКИ!$B$8&lt;&gt;"Да",0,IFERROR(SUMIF(INDIRECT("'["&amp;НАСТРОЙКИ!$D$8&amp;"]CF'!$L$3:$EO$3"),BR$22,INDIRECT("'["&amp;НАСТРОЙКИ!$D$8&amp;"]CF'!$L$25:$EO$25")),0))</f>
        <v>0</v>
      </c>
      <c r="BS95" s="35">
        <f ca="1">IF(НАСТРОЙКИ!$B$8&lt;&gt;"Да",0,IFERROR(SUMIF(INDIRECT("'["&amp;НАСТРОЙКИ!$D$8&amp;"]CF'!$L$3:$EO$3"),BS$22,INDIRECT("'["&amp;НАСТРОЙКИ!$D$8&amp;"]CF'!$L$25:$EO$25")),0))</f>
        <v>0</v>
      </c>
      <c r="BT95" s="35">
        <f ca="1">IF(НАСТРОЙКИ!$B$8&lt;&gt;"Да",0,IFERROR(SUMIF(INDIRECT("'["&amp;НАСТРОЙКИ!$D$8&amp;"]CF'!$L$3:$EO$3"),BT$22,INDIRECT("'["&amp;НАСТРОЙКИ!$D$8&amp;"]CF'!$L$25:$EO$25")),0))</f>
        <v>0</v>
      </c>
      <c r="BU95" s="35">
        <f ca="1">IF(НАСТРОЙКИ!$B$8&lt;&gt;"Да",0,IFERROR(SUMIF(INDIRECT("'["&amp;НАСТРОЙКИ!$D$8&amp;"]CF'!$L$3:$EO$3"),BU$22,INDIRECT("'["&amp;НАСТРОЙКИ!$D$8&amp;"]CF'!$L$25:$EO$25")),0))</f>
        <v>0</v>
      </c>
      <c r="BV95" s="35">
        <f ca="1">IF(НАСТРОЙКИ!$B$8&lt;&gt;"Да",0,IFERROR(SUMIF(INDIRECT("'["&amp;НАСТРОЙКИ!$D$8&amp;"]CF'!$L$3:$EO$3"),BV$22,INDIRECT("'["&amp;НАСТРОЙКИ!$D$8&amp;"]CF'!$L$25:$EO$25")),0))</f>
        <v>0</v>
      </c>
      <c r="BW95" s="35">
        <f ca="1">IF(НАСТРОЙКИ!$B$8&lt;&gt;"Да",0,IFERROR(SUMIF(INDIRECT("'["&amp;НАСТРОЙКИ!$D$8&amp;"]CF'!$L$3:$EO$3"),BW$22,INDIRECT("'["&amp;НАСТРОЙКИ!$D$8&amp;"]CF'!$L$25:$EO$25")),0))</f>
        <v>0</v>
      </c>
      <c r="BX95" s="35">
        <f ca="1">IF(НАСТРОЙКИ!$B$8&lt;&gt;"Да",0,IFERROR(SUMIF(INDIRECT("'["&amp;НАСТРОЙКИ!$D$8&amp;"]CF'!$L$3:$EO$3"),BX$22,INDIRECT("'["&amp;НАСТРОЙКИ!$D$8&amp;"]CF'!$L$25:$EO$25")),0))</f>
        <v>0</v>
      </c>
      <c r="BY95" s="35">
        <f ca="1">IF(НАСТРОЙКИ!$B$8&lt;&gt;"Да",0,IFERROR(SUMIF(INDIRECT("'["&amp;НАСТРОЙКИ!$D$8&amp;"]CF'!$L$3:$EO$3"),BY$22,INDIRECT("'["&amp;НАСТРОЙКИ!$D$8&amp;"]CF'!$L$25:$EO$25")),0))</f>
        <v>0</v>
      </c>
      <c r="BZ95" s="35">
        <f ca="1">IF(НАСТРОЙКИ!$B$8&lt;&gt;"Да",0,IFERROR(SUMIF(INDIRECT("'["&amp;НАСТРОЙКИ!$D$8&amp;"]CF'!$L$3:$EO$3"),BZ$22,INDIRECT("'["&amp;НАСТРОЙКИ!$D$8&amp;"]CF'!$L$25:$EO$25")),0))</f>
        <v>0</v>
      </c>
      <c r="CA95" s="35">
        <f ca="1">IF(НАСТРОЙКИ!$B$8&lt;&gt;"Да",0,IFERROR(SUMIF(INDIRECT("'["&amp;НАСТРОЙКИ!$D$8&amp;"]CF'!$L$3:$EO$3"),CA$22,INDIRECT("'["&amp;НАСТРОЙКИ!$D$8&amp;"]CF'!$L$25:$EO$25")),0))</f>
        <v>0</v>
      </c>
      <c r="CB95" s="35">
        <f ca="1">IF(НАСТРОЙКИ!$B$8&lt;&gt;"Да",0,IFERROR(SUMIF(INDIRECT("'["&amp;НАСТРОЙКИ!$D$8&amp;"]CF'!$L$3:$EO$3"),CB$22,INDIRECT("'["&amp;НАСТРОЙКИ!$D$8&amp;"]CF'!$L$25:$EO$25")),0))</f>
        <v>0</v>
      </c>
      <c r="CC95" s="35">
        <f ca="1">IF(НАСТРОЙКИ!$B$8&lt;&gt;"Да",0,IFERROR(SUMIF(INDIRECT("'["&amp;НАСТРОЙКИ!$D$8&amp;"]CF'!$L$3:$EO$3"),CC$22,INDIRECT("'["&amp;НАСТРОЙКИ!$D$8&amp;"]CF'!$L$25:$EO$25")),0))</f>
        <v>0</v>
      </c>
      <c r="CD95" s="35">
        <f ca="1">IF(НАСТРОЙКИ!$B$8&lt;&gt;"Да",0,IFERROR(SUMIF(INDIRECT("'["&amp;НАСТРОЙКИ!$D$8&amp;"]CF'!$L$3:$EO$3"),CD$22,INDIRECT("'["&amp;НАСТРОЙКИ!$D$8&amp;"]CF'!$L$25:$EO$25")),0))</f>
        <v>0</v>
      </c>
      <c r="CE95" s="35">
        <f ca="1">IF(НАСТРОЙКИ!$B$8&lt;&gt;"Да",0,IFERROR(SUMIF(INDIRECT("'["&amp;НАСТРОЙКИ!$D$8&amp;"]CF'!$L$3:$EO$3"),CE$22,INDIRECT("'["&amp;НАСТРОЙКИ!$D$8&amp;"]CF'!$L$25:$EO$25")),0))</f>
        <v>0</v>
      </c>
      <c r="CF95" s="35">
        <f ca="1">IF(НАСТРОЙКИ!$B$8&lt;&gt;"Да",0,IFERROR(SUMIF(INDIRECT("'["&amp;НАСТРОЙКИ!$D$8&amp;"]CF'!$L$3:$EO$3"),CF$22,INDIRECT("'["&amp;НАСТРОЙКИ!$D$8&amp;"]CF'!$L$25:$EO$25")),0))</f>
        <v>0</v>
      </c>
      <c r="CG95" s="35">
        <f ca="1">IF(НАСТРОЙКИ!$B$8&lt;&gt;"Да",0,IFERROR(SUMIF(INDIRECT("'["&amp;НАСТРОЙКИ!$D$8&amp;"]CF'!$L$3:$EO$3"),CG$22,INDIRECT("'["&amp;НАСТРОЙКИ!$D$8&amp;"]CF'!$L$25:$EO$25")),0))</f>
        <v>0</v>
      </c>
      <c r="CH95" s="35">
        <f ca="1">IF(НАСТРОЙКИ!$B$8&lt;&gt;"Да",0,IFERROR(SUMIF(INDIRECT("'["&amp;НАСТРОЙКИ!$D$8&amp;"]CF'!$L$3:$EO$3"),CH$22,INDIRECT("'["&amp;НАСТРОЙКИ!$D$8&amp;"]CF'!$L$25:$EO$25")),0))</f>
        <v>0</v>
      </c>
      <c r="CI95" s="35">
        <f ca="1">IF(НАСТРОЙКИ!$B$8&lt;&gt;"Да",0,IFERROR(SUMIF(INDIRECT("'["&amp;НАСТРОЙКИ!$D$8&amp;"]CF'!$L$3:$EO$3"),CI$22,INDIRECT("'["&amp;НАСТРОЙКИ!$D$8&amp;"]CF'!$L$25:$EO$25")),0))</f>
        <v>0</v>
      </c>
      <c r="CJ95" s="35">
        <f ca="1">IF(НАСТРОЙКИ!$B$8&lt;&gt;"Да",0,IFERROR(SUMIF(INDIRECT("'["&amp;НАСТРОЙКИ!$D$8&amp;"]CF'!$L$3:$EO$3"),CJ$22,INDIRECT("'["&amp;НАСТРОЙКИ!$D$8&amp;"]CF'!$L$25:$EO$25")),0))</f>
        <v>0</v>
      </c>
      <c r="CK95" s="35">
        <f ca="1">IF(НАСТРОЙКИ!$B$8&lt;&gt;"Да",0,IFERROR(SUMIF(INDIRECT("'["&amp;НАСТРОЙКИ!$D$8&amp;"]CF'!$L$3:$EO$3"),CK$22,INDIRECT("'["&amp;НАСТРОЙКИ!$D$8&amp;"]CF'!$L$25:$EO$25")),0))</f>
        <v>0</v>
      </c>
      <c r="CL95" s="35">
        <f ca="1">IF(НАСТРОЙКИ!$B$8&lt;&gt;"Да",0,IFERROR(SUMIF(INDIRECT("'["&amp;НАСТРОЙКИ!$D$8&amp;"]CF'!$L$3:$EO$3"),CL$22,INDIRECT("'["&amp;НАСТРОЙКИ!$D$8&amp;"]CF'!$L$25:$EO$25")),0))</f>
        <v>0</v>
      </c>
      <c r="CM95" s="35">
        <f ca="1">IF(НАСТРОЙКИ!$B$8&lt;&gt;"Да",0,IFERROR(SUMIF(INDIRECT("'["&amp;НАСТРОЙКИ!$D$8&amp;"]CF'!$L$3:$EO$3"),CM$22,INDIRECT("'["&amp;НАСТРОЙКИ!$D$8&amp;"]CF'!$L$25:$EO$25")),0))</f>
        <v>0</v>
      </c>
      <c r="CN95" s="35">
        <f ca="1">IF(НАСТРОЙКИ!$B$8&lt;&gt;"Да",0,IFERROR(SUMIF(INDIRECT("'["&amp;НАСТРОЙКИ!$D$8&amp;"]CF'!$L$3:$EO$3"),CN$22,INDIRECT("'["&amp;НАСТРОЙКИ!$D$8&amp;"]CF'!$L$25:$EO$25")),0))</f>
        <v>0</v>
      </c>
      <c r="CO95" s="35">
        <f ca="1">IF(НАСТРОЙКИ!$B$8&lt;&gt;"Да",0,IFERROR(SUMIF(INDIRECT("'["&amp;НАСТРОЙКИ!$D$8&amp;"]CF'!$L$3:$EO$3"),CO$22,INDIRECT("'["&amp;НАСТРОЙКИ!$D$8&amp;"]CF'!$L$25:$EO$25")),0))</f>
        <v>0</v>
      </c>
      <c r="CP95" s="35">
        <f ca="1">IF(НАСТРОЙКИ!$B$8&lt;&gt;"Да",0,IFERROR(SUMIF(INDIRECT("'["&amp;НАСТРОЙКИ!$D$8&amp;"]CF'!$L$3:$EO$3"),CP$22,INDIRECT("'["&amp;НАСТРОЙКИ!$D$8&amp;"]CF'!$L$25:$EO$25")),0))</f>
        <v>0</v>
      </c>
      <c r="CQ95" s="35">
        <f ca="1">IF(НАСТРОЙКИ!$B$8&lt;&gt;"Да",0,IFERROR(SUMIF(INDIRECT("'["&amp;НАСТРОЙКИ!$D$8&amp;"]CF'!$L$3:$EO$3"),CQ$22,INDIRECT("'["&amp;НАСТРОЙКИ!$D$8&amp;"]CF'!$L$25:$EO$25")),0))</f>
        <v>0</v>
      </c>
      <c r="CR95" s="35">
        <f ca="1">IF(НАСТРОЙКИ!$B$8&lt;&gt;"Да",0,IFERROR(SUMIF(INDIRECT("'["&amp;НАСТРОЙКИ!$D$8&amp;"]CF'!$L$3:$EO$3"),CR$22,INDIRECT("'["&amp;НАСТРОЙКИ!$D$8&amp;"]CF'!$L$25:$EO$25")),0))</f>
        <v>0</v>
      </c>
      <c r="CS95" s="35">
        <f ca="1">IF(НАСТРОЙКИ!$B$8&lt;&gt;"Да",0,IFERROR(SUMIF(INDIRECT("'["&amp;НАСТРОЙКИ!$D$8&amp;"]CF'!$L$3:$EO$3"),CS$22,INDIRECT("'["&amp;НАСТРОЙКИ!$D$8&amp;"]CF'!$L$25:$EO$25")),0))</f>
        <v>0</v>
      </c>
      <c r="CT95" s="35">
        <f ca="1">IF(НАСТРОЙКИ!$B$8&lt;&gt;"Да",0,IFERROR(SUMIF(INDIRECT("'["&amp;НАСТРОЙКИ!$D$8&amp;"]CF'!$L$3:$EO$3"),CT$22,INDIRECT("'["&amp;НАСТРОЙКИ!$D$8&amp;"]CF'!$L$25:$EO$25")),0))</f>
        <v>0</v>
      </c>
      <c r="CU95" s="35">
        <f ca="1">IF(НАСТРОЙКИ!$B$8&lt;&gt;"Да",0,IFERROR(SUMIF(INDIRECT("'["&amp;НАСТРОЙКИ!$D$8&amp;"]CF'!$L$3:$EO$3"),CU$22,INDIRECT("'["&amp;НАСТРОЙКИ!$D$8&amp;"]CF'!$L$25:$EO$25")),0))</f>
        <v>0</v>
      </c>
      <c r="CV95" s="35">
        <f ca="1">IF(НАСТРОЙКИ!$B$8&lt;&gt;"Да",0,IFERROR(SUMIF(INDIRECT("'["&amp;НАСТРОЙКИ!$D$8&amp;"]CF'!$L$3:$EO$3"),CV$22,INDIRECT("'["&amp;НАСТРОЙКИ!$D$8&amp;"]CF'!$L$25:$EO$25")),0))</f>
        <v>0</v>
      </c>
      <c r="CW95" s="35">
        <f ca="1">IF(НАСТРОЙКИ!$B$8&lt;&gt;"Да",0,IFERROR(SUMIF(INDIRECT("'["&amp;НАСТРОЙКИ!$D$8&amp;"]CF'!$L$3:$EO$3"),CW$22,INDIRECT("'["&amp;НАСТРОЙКИ!$D$8&amp;"]CF'!$L$25:$EO$25")),0))</f>
        <v>0</v>
      </c>
      <c r="CX95" s="35">
        <f ca="1">IF(НАСТРОЙКИ!$B$8&lt;&gt;"Да",0,IFERROR(SUMIF(INDIRECT("'["&amp;НАСТРОЙКИ!$D$8&amp;"]CF'!$L$3:$EO$3"),CX$22,INDIRECT("'["&amp;НАСТРОЙКИ!$D$8&amp;"]CF'!$L$25:$EO$25")),0))</f>
        <v>0</v>
      </c>
      <c r="CY95" s="35">
        <f ca="1">IF(НАСТРОЙКИ!$B$8&lt;&gt;"Да",0,IFERROR(SUMIF(INDIRECT("'["&amp;НАСТРОЙКИ!$D$8&amp;"]CF'!$L$3:$EO$3"),CY$22,INDIRECT("'["&amp;НАСТРОЙКИ!$D$8&amp;"]CF'!$L$25:$EO$25")),0))</f>
        <v>0</v>
      </c>
      <c r="CZ95" s="35">
        <f ca="1">IF(НАСТРОЙКИ!$B$8&lt;&gt;"Да",0,IFERROR(SUMIF(INDIRECT("'["&amp;НАСТРОЙКИ!$D$8&amp;"]CF'!$L$3:$EO$3"),CZ$22,INDIRECT("'["&amp;НАСТРОЙКИ!$D$8&amp;"]CF'!$L$25:$EO$25")),0))</f>
        <v>0</v>
      </c>
      <c r="DA95" s="35">
        <f ca="1">IF(НАСТРОЙКИ!$B$8&lt;&gt;"Да",0,IFERROR(SUMIF(INDIRECT("'["&amp;НАСТРОЙКИ!$D$8&amp;"]CF'!$L$3:$EO$3"),DA$22,INDIRECT("'["&amp;НАСТРОЙКИ!$D$8&amp;"]CF'!$L$25:$EO$25")),0))</f>
        <v>0</v>
      </c>
      <c r="DB95" s="35">
        <f ca="1">IF(НАСТРОЙКИ!$B$8&lt;&gt;"Да",0,IFERROR(SUMIF(INDIRECT("'["&amp;НАСТРОЙКИ!$D$8&amp;"]CF'!$L$3:$EO$3"),DB$22,INDIRECT("'["&amp;НАСТРОЙКИ!$D$8&amp;"]CF'!$L$25:$EO$25")),0))</f>
        <v>0</v>
      </c>
      <c r="DC95" s="35">
        <f ca="1">IF(НАСТРОЙКИ!$B$8&lt;&gt;"Да",0,IFERROR(SUMIF(INDIRECT("'["&amp;НАСТРОЙКИ!$D$8&amp;"]CF'!$L$3:$EO$3"),DC$22,INDIRECT("'["&amp;НАСТРОЙКИ!$D$8&amp;"]CF'!$L$25:$EO$25")),0))</f>
        <v>0</v>
      </c>
      <c r="DD95" s="35">
        <f ca="1">IF(НАСТРОЙКИ!$B$8&lt;&gt;"Да",0,IFERROR(SUMIF(INDIRECT("'["&amp;НАСТРОЙКИ!$D$8&amp;"]CF'!$L$3:$EO$3"),DD$22,INDIRECT("'["&amp;НАСТРОЙКИ!$D$8&amp;"]CF'!$L$25:$EO$25")),0))</f>
        <v>0</v>
      </c>
      <c r="DE95" s="35">
        <f ca="1">IF(НАСТРОЙКИ!$B$8&lt;&gt;"Да",0,IFERROR(SUMIF(INDIRECT("'["&amp;НАСТРОЙКИ!$D$8&amp;"]CF'!$L$3:$EO$3"),DE$22,INDIRECT("'["&amp;НАСТРОЙКИ!$D$8&amp;"]CF'!$L$25:$EO$25")),0))</f>
        <v>0</v>
      </c>
      <c r="DF95" s="35">
        <f ca="1">IF(НАСТРОЙКИ!$B$8&lt;&gt;"Да",0,IFERROR(SUMIF(INDIRECT("'["&amp;НАСТРОЙКИ!$D$8&amp;"]CF'!$L$3:$EO$3"),DF$22,INDIRECT("'["&amp;НАСТРОЙКИ!$D$8&amp;"]CF'!$L$25:$EO$25")),0))</f>
        <v>0</v>
      </c>
    </row>
    <row r="96" spans="1:110">
      <c r="A96" s="34" t="s">
        <v>126</v>
      </c>
      <c r="B96" s="34" t="s">
        <v>58</v>
      </c>
      <c r="C96" s="35">
        <f ca="1">IF(НАСТРОЙКИ!$B$8&lt;&gt;"Да",0,IFERROR(SUMIF(INDIRECT("'["&amp;НАСТРОЙКИ!$D$8&amp;"]CF'!$L$3:$EO$3"),C$22,INDIRECT("'["&amp;НАСТРОЙКИ!$D$8&amp;"]CF'!$L$51:$EO$51")),0))</f>
        <v>0</v>
      </c>
      <c r="D96" s="35">
        <f ca="1">IF(НАСТРОЙКИ!$B$8&lt;&gt;"Да",0,IFERROR(SUMIF(INDIRECT("'["&amp;НАСТРОЙКИ!$D$8&amp;"]CF'!$L$3:$EO$3"),D$22,INDIRECT("'["&amp;НАСТРОЙКИ!$D$8&amp;"]CF'!$L$51:$EO$51")),0))</f>
        <v>0</v>
      </c>
      <c r="E96" s="35">
        <f ca="1">IF(НАСТРОЙКИ!$B$8&lt;&gt;"Да",0,IFERROR(SUMIF(INDIRECT("'["&amp;НАСТРОЙКИ!$D$8&amp;"]CF'!$L$3:$EO$3"),E$22,INDIRECT("'["&amp;НАСТРОЙКИ!$D$8&amp;"]CF'!$L$51:$EO$51")),0))</f>
        <v>0</v>
      </c>
      <c r="F96" s="35">
        <f ca="1">IF(НАСТРОЙКИ!$B$8&lt;&gt;"Да",0,IFERROR(SUMIF(INDIRECT("'["&amp;НАСТРОЙКИ!$D$8&amp;"]CF'!$L$3:$EO$3"),F$22,INDIRECT("'["&amp;НАСТРОЙКИ!$D$8&amp;"]CF'!$L$51:$EO$51")),0))</f>
        <v>0</v>
      </c>
      <c r="G96" s="35">
        <f ca="1">IF(НАСТРОЙКИ!$B$8&lt;&gt;"Да",0,IFERROR(SUMIF(INDIRECT("'["&amp;НАСТРОЙКИ!$D$8&amp;"]CF'!$L$3:$EO$3"),G$22,INDIRECT("'["&amp;НАСТРОЙКИ!$D$8&amp;"]CF'!$L$51:$EO$51")),0))</f>
        <v>0</v>
      </c>
      <c r="H96" s="35">
        <f ca="1">IF(НАСТРОЙКИ!$B$8&lt;&gt;"Да",0,IFERROR(SUMIF(INDIRECT("'["&amp;НАСТРОЙКИ!$D$8&amp;"]CF'!$L$3:$EO$3"),H$22,INDIRECT("'["&amp;НАСТРОЙКИ!$D$8&amp;"]CF'!$L$51:$EO$51")),0))</f>
        <v>0</v>
      </c>
      <c r="I96" s="35">
        <f ca="1">IF(НАСТРОЙКИ!$B$8&lt;&gt;"Да",0,IFERROR(SUMIF(INDIRECT("'["&amp;НАСТРОЙКИ!$D$8&amp;"]CF'!$L$3:$EO$3"),I$22,INDIRECT("'["&amp;НАСТРОЙКИ!$D$8&amp;"]CF'!$L$51:$EO$51")),0))</f>
        <v>0</v>
      </c>
      <c r="J96" s="35">
        <f ca="1">IF(НАСТРОЙКИ!$B$8&lt;&gt;"Да",0,IFERROR(SUMIF(INDIRECT("'["&amp;НАСТРОЙКИ!$D$8&amp;"]CF'!$L$3:$EO$3"),J$22,INDIRECT("'["&amp;НАСТРОЙКИ!$D$8&amp;"]CF'!$L$51:$EO$51")),0))</f>
        <v>0</v>
      </c>
      <c r="K96" s="35">
        <f ca="1">IF(НАСТРОЙКИ!$B$8&lt;&gt;"Да",0,IFERROR(SUMIF(INDIRECT("'["&amp;НАСТРОЙКИ!$D$8&amp;"]CF'!$L$3:$EO$3"),K$22,INDIRECT("'["&amp;НАСТРОЙКИ!$D$8&amp;"]CF'!$L$51:$EO$51")),0))</f>
        <v>0</v>
      </c>
      <c r="L96" s="35">
        <f ca="1">IF(НАСТРОЙКИ!$B$8&lt;&gt;"Да",0,IFERROR(SUMIF(INDIRECT("'["&amp;НАСТРОЙКИ!$D$8&amp;"]CF'!$L$3:$EO$3"),L$22,INDIRECT("'["&amp;НАСТРОЙКИ!$D$8&amp;"]CF'!$L$51:$EO$51")),0))</f>
        <v>0</v>
      </c>
      <c r="M96" s="35">
        <f ca="1">IF(НАСТРОЙКИ!$B$8&lt;&gt;"Да",0,IFERROR(SUMIF(INDIRECT("'["&amp;НАСТРОЙКИ!$D$8&amp;"]CF'!$L$3:$EO$3"),M$22,INDIRECT("'["&amp;НАСТРОЙКИ!$D$8&amp;"]CF'!$L$51:$EO$51")),0))</f>
        <v>0</v>
      </c>
      <c r="N96" s="35">
        <f ca="1">IF(НАСТРОЙКИ!$B$8&lt;&gt;"Да",0,IFERROR(SUMIF(INDIRECT("'["&amp;НАСТРОЙКИ!$D$8&amp;"]CF'!$L$3:$EO$3"),N$22,INDIRECT("'["&amp;НАСТРОЙКИ!$D$8&amp;"]CF'!$L$51:$EO$51")),0))</f>
        <v>0</v>
      </c>
      <c r="O96" s="35">
        <f ca="1">IF(НАСТРОЙКИ!$B$8&lt;&gt;"Да",0,IFERROR(SUMIF(INDIRECT("'["&amp;НАСТРОЙКИ!$D$8&amp;"]CF'!$L$3:$EO$3"),O$22,INDIRECT("'["&amp;НАСТРОЙКИ!$D$8&amp;"]CF'!$L$51:$EO$51")),0))</f>
        <v>0</v>
      </c>
      <c r="P96" s="35">
        <f ca="1">IF(НАСТРОЙКИ!$B$8&lt;&gt;"Да",0,IFERROR(SUMIF(INDIRECT("'["&amp;НАСТРОЙКИ!$D$8&amp;"]CF'!$L$3:$EO$3"),P$22,INDIRECT("'["&amp;НАСТРОЙКИ!$D$8&amp;"]CF'!$L$51:$EO$51")),0))</f>
        <v>0</v>
      </c>
      <c r="Q96" s="35">
        <f ca="1">IF(НАСТРОЙКИ!$B$8&lt;&gt;"Да",0,IFERROR(SUMIF(INDIRECT("'["&amp;НАСТРОЙКИ!$D$8&amp;"]CF'!$L$3:$EO$3"),Q$22,INDIRECT("'["&amp;НАСТРОЙКИ!$D$8&amp;"]CF'!$L$51:$EO$51")),0))</f>
        <v>0</v>
      </c>
      <c r="R96" s="35">
        <f ca="1">IF(НАСТРОЙКИ!$B$8&lt;&gt;"Да",0,IFERROR(SUMIF(INDIRECT("'["&amp;НАСТРОЙКИ!$D$8&amp;"]CF'!$L$3:$EO$3"),R$22,INDIRECT("'["&amp;НАСТРОЙКИ!$D$8&amp;"]CF'!$L$51:$EO$51")),0))</f>
        <v>0</v>
      </c>
      <c r="S96" s="35">
        <f ca="1">IF(НАСТРОЙКИ!$B$8&lt;&gt;"Да",0,IFERROR(SUMIF(INDIRECT("'["&amp;НАСТРОЙКИ!$D$8&amp;"]CF'!$L$3:$EO$3"),S$22,INDIRECT("'["&amp;НАСТРОЙКИ!$D$8&amp;"]CF'!$L$51:$EO$51")),0))</f>
        <v>0</v>
      </c>
      <c r="T96" s="35">
        <f ca="1">IF(НАСТРОЙКИ!$B$8&lt;&gt;"Да",0,IFERROR(SUMIF(INDIRECT("'["&amp;НАСТРОЙКИ!$D$8&amp;"]CF'!$L$3:$EO$3"),T$22,INDIRECT("'["&amp;НАСТРОЙКИ!$D$8&amp;"]CF'!$L$51:$EO$51")),0))</f>
        <v>0</v>
      </c>
      <c r="U96" s="35">
        <f ca="1">IF(НАСТРОЙКИ!$B$8&lt;&gt;"Да",0,IFERROR(SUMIF(INDIRECT("'["&amp;НАСТРОЙКИ!$D$8&amp;"]CF'!$L$3:$EO$3"),U$22,INDIRECT("'["&amp;НАСТРОЙКИ!$D$8&amp;"]CF'!$L$51:$EO$51")),0))</f>
        <v>0</v>
      </c>
      <c r="V96" s="35">
        <f ca="1">IF(НАСТРОЙКИ!$B$8&lt;&gt;"Да",0,IFERROR(SUMIF(INDIRECT("'["&amp;НАСТРОЙКИ!$D$8&amp;"]CF'!$L$3:$EO$3"),V$22,INDIRECT("'["&amp;НАСТРОЙКИ!$D$8&amp;"]CF'!$L$51:$EO$51")),0))</f>
        <v>0</v>
      </c>
      <c r="W96" s="35">
        <f ca="1">IF(НАСТРОЙКИ!$B$8&lt;&gt;"Да",0,IFERROR(SUMIF(INDIRECT("'["&amp;НАСТРОЙКИ!$D$8&amp;"]CF'!$L$3:$EO$3"),W$22,INDIRECT("'["&amp;НАСТРОЙКИ!$D$8&amp;"]CF'!$L$51:$EO$51")),0))</f>
        <v>0</v>
      </c>
      <c r="X96" s="35">
        <f ca="1">IF(НАСТРОЙКИ!$B$8&lt;&gt;"Да",0,IFERROR(SUMIF(INDIRECT("'["&amp;НАСТРОЙКИ!$D$8&amp;"]CF'!$L$3:$EO$3"),X$22,INDIRECT("'["&amp;НАСТРОЙКИ!$D$8&amp;"]CF'!$L$51:$EO$51")),0))</f>
        <v>0</v>
      </c>
      <c r="Y96" s="35">
        <f ca="1">IF(НАСТРОЙКИ!$B$8&lt;&gt;"Да",0,IFERROR(SUMIF(INDIRECT("'["&amp;НАСТРОЙКИ!$D$8&amp;"]CF'!$L$3:$EO$3"),Y$22,INDIRECT("'["&amp;НАСТРОЙКИ!$D$8&amp;"]CF'!$L$51:$EO$51")),0))</f>
        <v>0</v>
      </c>
      <c r="Z96" s="35">
        <f ca="1">IF(НАСТРОЙКИ!$B$8&lt;&gt;"Да",0,IFERROR(SUMIF(INDIRECT("'["&amp;НАСТРОЙКИ!$D$8&amp;"]CF'!$L$3:$EO$3"),Z$22,INDIRECT("'["&amp;НАСТРОЙКИ!$D$8&amp;"]CF'!$L$51:$EO$51")),0))</f>
        <v>0</v>
      </c>
      <c r="AA96" s="35">
        <f ca="1">IF(НАСТРОЙКИ!$B$8&lt;&gt;"Да",0,IFERROR(SUMIF(INDIRECT("'["&amp;НАСТРОЙКИ!$D$8&amp;"]CF'!$L$3:$EO$3"),AA$22,INDIRECT("'["&amp;НАСТРОЙКИ!$D$8&amp;"]CF'!$L$51:$EO$51")),0))</f>
        <v>0</v>
      </c>
      <c r="AB96" s="35">
        <f ca="1">IF(НАСТРОЙКИ!$B$8&lt;&gt;"Да",0,IFERROR(SUMIF(INDIRECT("'["&amp;НАСТРОЙКИ!$D$8&amp;"]CF'!$L$3:$EO$3"),AB$22,INDIRECT("'["&amp;НАСТРОЙКИ!$D$8&amp;"]CF'!$L$51:$EO$51")),0))</f>
        <v>0</v>
      </c>
      <c r="AC96" s="35">
        <f ca="1">IF(НАСТРОЙКИ!$B$8&lt;&gt;"Да",0,IFERROR(SUMIF(INDIRECT("'["&amp;НАСТРОЙКИ!$D$8&amp;"]CF'!$L$3:$EO$3"),AC$22,INDIRECT("'["&amp;НАСТРОЙКИ!$D$8&amp;"]CF'!$L$51:$EO$51")),0))</f>
        <v>0</v>
      </c>
      <c r="AD96" s="35">
        <f ca="1">IF(НАСТРОЙКИ!$B$8&lt;&gt;"Да",0,IFERROR(SUMIF(INDIRECT("'["&amp;НАСТРОЙКИ!$D$8&amp;"]CF'!$L$3:$EO$3"),AD$22,INDIRECT("'["&amp;НАСТРОЙКИ!$D$8&amp;"]CF'!$L$51:$EO$51")),0))</f>
        <v>0</v>
      </c>
      <c r="AE96" s="35">
        <f ca="1">IF(НАСТРОЙКИ!$B$8&lt;&gt;"Да",0,IFERROR(SUMIF(INDIRECT("'["&amp;НАСТРОЙКИ!$D$8&amp;"]CF'!$L$3:$EO$3"),AE$22,INDIRECT("'["&amp;НАСТРОЙКИ!$D$8&amp;"]CF'!$L$51:$EO$51")),0))</f>
        <v>0</v>
      </c>
      <c r="AF96" s="35">
        <f ca="1">IF(НАСТРОЙКИ!$B$8&lt;&gt;"Да",0,IFERROR(SUMIF(INDIRECT("'["&amp;НАСТРОЙКИ!$D$8&amp;"]CF'!$L$3:$EO$3"),AF$22,INDIRECT("'["&amp;НАСТРОЙКИ!$D$8&amp;"]CF'!$L$51:$EO$51")),0))</f>
        <v>0</v>
      </c>
      <c r="AG96" s="35">
        <f ca="1">IF(НАСТРОЙКИ!$B$8&lt;&gt;"Да",0,IFERROR(SUMIF(INDIRECT("'["&amp;НАСТРОЙКИ!$D$8&amp;"]CF'!$L$3:$EO$3"),AG$22,INDIRECT("'["&amp;НАСТРОЙКИ!$D$8&amp;"]CF'!$L$51:$EO$51")),0))</f>
        <v>0</v>
      </c>
      <c r="AH96" s="35">
        <f ca="1">IF(НАСТРОЙКИ!$B$8&lt;&gt;"Да",0,IFERROR(SUMIF(INDIRECT("'["&amp;НАСТРОЙКИ!$D$8&amp;"]CF'!$L$3:$EO$3"),AH$22,INDIRECT("'["&amp;НАСТРОЙКИ!$D$8&amp;"]CF'!$L$51:$EO$51")),0))</f>
        <v>0</v>
      </c>
      <c r="AI96" s="35">
        <f ca="1">IF(НАСТРОЙКИ!$B$8&lt;&gt;"Да",0,IFERROR(SUMIF(INDIRECT("'["&amp;НАСТРОЙКИ!$D$8&amp;"]CF'!$L$3:$EO$3"),AI$22,INDIRECT("'["&amp;НАСТРОЙКИ!$D$8&amp;"]CF'!$L$51:$EO$51")),0))</f>
        <v>0</v>
      </c>
      <c r="AJ96" s="35">
        <f ca="1">IF(НАСТРОЙКИ!$B$8&lt;&gt;"Да",0,IFERROR(SUMIF(INDIRECT("'["&amp;НАСТРОЙКИ!$D$8&amp;"]CF'!$L$3:$EO$3"),AJ$22,INDIRECT("'["&amp;НАСТРОЙКИ!$D$8&amp;"]CF'!$L$51:$EO$51")),0))</f>
        <v>0</v>
      </c>
      <c r="AK96" s="35">
        <f ca="1">IF(НАСТРОЙКИ!$B$8&lt;&gt;"Да",0,IFERROR(SUMIF(INDIRECT("'["&amp;НАСТРОЙКИ!$D$8&amp;"]CF'!$L$3:$EO$3"),AK$22,INDIRECT("'["&amp;НАСТРОЙКИ!$D$8&amp;"]CF'!$L$51:$EO$51")),0))</f>
        <v>0</v>
      </c>
      <c r="AL96" s="35">
        <f ca="1">IF(НАСТРОЙКИ!$B$8&lt;&gt;"Да",0,IFERROR(SUMIF(INDIRECT("'["&amp;НАСТРОЙКИ!$D$8&amp;"]CF'!$L$3:$EO$3"),AL$22,INDIRECT("'["&amp;НАСТРОЙКИ!$D$8&amp;"]CF'!$L$51:$EO$51")),0))</f>
        <v>0</v>
      </c>
      <c r="AM96" s="35">
        <f ca="1">IF(НАСТРОЙКИ!$B$8&lt;&gt;"Да",0,IFERROR(SUMIF(INDIRECT("'["&amp;НАСТРОЙКИ!$D$8&amp;"]CF'!$L$3:$EO$3"),AM$22,INDIRECT("'["&amp;НАСТРОЙКИ!$D$8&amp;"]CF'!$L$51:$EO$51")),0))</f>
        <v>0</v>
      </c>
      <c r="AN96" s="35">
        <f ca="1">IF(НАСТРОЙКИ!$B$8&lt;&gt;"Да",0,IFERROR(SUMIF(INDIRECT("'["&amp;НАСТРОЙКИ!$D$8&amp;"]CF'!$L$3:$EO$3"),AN$22,INDIRECT("'["&amp;НАСТРОЙКИ!$D$8&amp;"]CF'!$L$51:$EO$51")),0))</f>
        <v>0</v>
      </c>
      <c r="AO96" s="35">
        <f ca="1">IF(НАСТРОЙКИ!$B$8&lt;&gt;"Да",0,IFERROR(SUMIF(INDIRECT("'["&amp;НАСТРОЙКИ!$D$8&amp;"]CF'!$L$3:$EO$3"),AO$22,INDIRECT("'["&amp;НАСТРОЙКИ!$D$8&amp;"]CF'!$L$51:$EO$51")),0))</f>
        <v>0</v>
      </c>
      <c r="AP96" s="35">
        <f ca="1">IF(НАСТРОЙКИ!$B$8&lt;&gt;"Да",0,IFERROR(SUMIF(INDIRECT("'["&amp;НАСТРОЙКИ!$D$8&amp;"]CF'!$L$3:$EO$3"),AP$22,INDIRECT("'["&amp;НАСТРОЙКИ!$D$8&amp;"]CF'!$L$51:$EO$51")),0))</f>
        <v>0</v>
      </c>
      <c r="AQ96" s="35">
        <f ca="1">IF(НАСТРОЙКИ!$B$8&lt;&gt;"Да",0,IFERROR(SUMIF(INDIRECT("'["&amp;НАСТРОЙКИ!$D$8&amp;"]CF'!$L$3:$EO$3"),AQ$22,INDIRECT("'["&amp;НАСТРОЙКИ!$D$8&amp;"]CF'!$L$51:$EO$51")),0))</f>
        <v>0</v>
      </c>
      <c r="AR96" s="35">
        <f ca="1">IF(НАСТРОЙКИ!$B$8&lt;&gt;"Да",0,IFERROR(SUMIF(INDIRECT("'["&amp;НАСТРОЙКИ!$D$8&amp;"]CF'!$L$3:$EO$3"),AR$22,INDIRECT("'["&amp;НАСТРОЙКИ!$D$8&amp;"]CF'!$L$51:$EO$51")),0))</f>
        <v>0</v>
      </c>
      <c r="AS96" s="35">
        <f ca="1">IF(НАСТРОЙКИ!$B$8&lt;&gt;"Да",0,IFERROR(SUMIF(INDIRECT("'["&amp;НАСТРОЙКИ!$D$8&amp;"]CF'!$L$3:$EO$3"),AS$22,INDIRECT("'["&amp;НАСТРОЙКИ!$D$8&amp;"]CF'!$L$51:$EO$51")),0))</f>
        <v>0</v>
      </c>
      <c r="AT96" s="35">
        <f ca="1">IF(НАСТРОЙКИ!$B$8&lt;&gt;"Да",0,IFERROR(SUMIF(INDIRECT("'["&amp;НАСТРОЙКИ!$D$8&amp;"]CF'!$L$3:$EO$3"),AT$22,INDIRECT("'["&amp;НАСТРОЙКИ!$D$8&amp;"]CF'!$L$51:$EO$51")),0))</f>
        <v>0</v>
      </c>
      <c r="AU96" s="35">
        <f ca="1">IF(НАСТРОЙКИ!$B$8&lt;&gt;"Да",0,IFERROR(SUMIF(INDIRECT("'["&amp;НАСТРОЙКИ!$D$8&amp;"]CF'!$L$3:$EO$3"),AU$22,INDIRECT("'["&amp;НАСТРОЙКИ!$D$8&amp;"]CF'!$L$51:$EO$51")),0))</f>
        <v>0</v>
      </c>
      <c r="AV96" s="35">
        <f ca="1">IF(НАСТРОЙКИ!$B$8&lt;&gt;"Да",0,IFERROR(SUMIF(INDIRECT("'["&amp;НАСТРОЙКИ!$D$8&amp;"]CF'!$L$3:$EO$3"),AV$22,INDIRECT("'["&amp;НАСТРОЙКИ!$D$8&amp;"]CF'!$L$51:$EO$51")),0))</f>
        <v>0</v>
      </c>
      <c r="AW96" s="35">
        <f ca="1">IF(НАСТРОЙКИ!$B$8&lt;&gt;"Да",0,IFERROR(SUMIF(INDIRECT("'["&amp;НАСТРОЙКИ!$D$8&amp;"]CF'!$L$3:$EO$3"),AW$22,INDIRECT("'["&amp;НАСТРОЙКИ!$D$8&amp;"]CF'!$L$51:$EO$51")),0))</f>
        <v>0</v>
      </c>
      <c r="AX96" s="35">
        <f ca="1">IF(НАСТРОЙКИ!$B$8&lt;&gt;"Да",0,IFERROR(SUMIF(INDIRECT("'["&amp;НАСТРОЙКИ!$D$8&amp;"]CF'!$L$3:$EO$3"),AX$22,INDIRECT("'["&amp;НАСТРОЙКИ!$D$8&amp;"]CF'!$L$51:$EO$51")),0))</f>
        <v>0</v>
      </c>
      <c r="AY96" s="35">
        <f ca="1">IF(НАСТРОЙКИ!$B$8&lt;&gt;"Да",0,IFERROR(SUMIF(INDIRECT("'["&amp;НАСТРОЙКИ!$D$8&amp;"]CF'!$L$3:$EO$3"),AY$22,INDIRECT("'["&amp;НАСТРОЙКИ!$D$8&amp;"]CF'!$L$51:$EO$51")),0))</f>
        <v>0</v>
      </c>
      <c r="AZ96" s="35">
        <f ca="1">IF(НАСТРОЙКИ!$B$8&lt;&gt;"Да",0,IFERROR(SUMIF(INDIRECT("'["&amp;НАСТРОЙКИ!$D$8&amp;"]CF'!$L$3:$EO$3"),AZ$22,INDIRECT("'["&amp;НАСТРОЙКИ!$D$8&amp;"]CF'!$L$51:$EO$51")),0))</f>
        <v>0</v>
      </c>
      <c r="BA96" s="35">
        <f ca="1">IF(НАСТРОЙКИ!$B$8&lt;&gt;"Да",0,IFERROR(SUMIF(INDIRECT("'["&amp;НАСТРОЙКИ!$D$8&amp;"]CF'!$L$3:$EO$3"),BA$22,INDIRECT("'["&amp;НАСТРОЙКИ!$D$8&amp;"]CF'!$L$51:$EO$51")),0))</f>
        <v>0</v>
      </c>
      <c r="BB96" s="35">
        <f ca="1">IF(НАСТРОЙКИ!$B$8&lt;&gt;"Да",0,IFERROR(SUMIF(INDIRECT("'["&amp;НАСТРОЙКИ!$D$8&amp;"]CF'!$L$3:$EO$3"),BB$22,INDIRECT("'["&amp;НАСТРОЙКИ!$D$8&amp;"]CF'!$L$51:$EO$51")),0))</f>
        <v>0</v>
      </c>
      <c r="BC96" s="35">
        <f ca="1">IF(НАСТРОЙКИ!$B$8&lt;&gt;"Да",0,IFERROR(SUMIF(INDIRECT("'["&amp;НАСТРОЙКИ!$D$8&amp;"]CF'!$L$3:$EO$3"),BC$22,INDIRECT("'["&amp;НАСТРОЙКИ!$D$8&amp;"]CF'!$L$51:$EO$51")),0))</f>
        <v>0</v>
      </c>
      <c r="BD96" s="35">
        <f ca="1">IF(НАСТРОЙКИ!$B$8&lt;&gt;"Да",0,IFERROR(SUMIF(INDIRECT("'["&amp;НАСТРОЙКИ!$D$8&amp;"]CF'!$L$3:$EO$3"),BD$22,INDIRECT("'["&amp;НАСТРОЙКИ!$D$8&amp;"]CF'!$L$51:$EO$51")),0))</f>
        <v>0</v>
      </c>
      <c r="BE96" s="35">
        <f ca="1">IF(НАСТРОЙКИ!$B$8&lt;&gt;"Да",0,IFERROR(SUMIF(INDIRECT("'["&amp;НАСТРОЙКИ!$D$8&amp;"]CF'!$L$3:$EO$3"),BE$22,INDIRECT("'["&amp;НАСТРОЙКИ!$D$8&amp;"]CF'!$L$51:$EO$51")),0))</f>
        <v>0</v>
      </c>
      <c r="BF96" s="35">
        <f ca="1">IF(НАСТРОЙКИ!$B$8&lt;&gt;"Да",0,IFERROR(SUMIF(INDIRECT("'["&amp;НАСТРОЙКИ!$D$8&amp;"]CF'!$L$3:$EO$3"),BF$22,INDIRECT("'["&amp;НАСТРОЙКИ!$D$8&amp;"]CF'!$L$51:$EO$51")),0))</f>
        <v>0</v>
      </c>
      <c r="BG96" s="35">
        <f ca="1">IF(НАСТРОЙКИ!$B$8&lt;&gt;"Да",0,IFERROR(SUMIF(INDIRECT("'["&amp;НАСТРОЙКИ!$D$8&amp;"]CF'!$L$3:$EO$3"),BG$22,INDIRECT("'["&amp;НАСТРОЙКИ!$D$8&amp;"]CF'!$L$51:$EO$51")),0))</f>
        <v>0</v>
      </c>
      <c r="BH96" s="35">
        <f ca="1">IF(НАСТРОЙКИ!$B$8&lt;&gt;"Да",0,IFERROR(SUMIF(INDIRECT("'["&amp;НАСТРОЙКИ!$D$8&amp;"]CF'!$L$3:$EO$3"),BH$22,INDIRECT("'["&amp;НАСТРОЙКИ!$D$8&amp;"]CF'!$L$51:$EO$51")),0))</f>
        <v>0</v>
      </c>
      <c r="BI96" s="35">
        <f ca="1">IF(НАСТРОЙКИ!$B$8&lt;&gt;"Да",0,IFERROR(SUMIF(INDIRECT("'["&amp;НАСТРОЙКИ!$D$8&amp;"]CF'!$L$3:$EO$3"),BI$22,INDIRECT("'["&amp;НАСТРОЙКИ!$D$8&amp;"]CF'!$L$51:$EO$51")),0))</f>
        <v>0</v>
      </c>
      <c r="BJ96" s="35">
        <f ca="1">IF(НАСТРОЙКИ!$B$8&lt;&gt;"Да",0,IFERROR(SUMIF(INDIRECT("'["&amp;НАСТРОЙКИ!$D$8&amp;"]CF'!$L$3:$EO$3"),BJ$22,INDIRECT("'["&amp;НАСТРОЙКИ!$D$8&amp;"]CF'!$L$51:$EO$51")),0))</f>
        <v>0</v>
      </c>
      <c r="BK96" s="35">
        <f ca="1">IF(НАСТРОЙКИ!$B$8&lt;&gt;"Да",0,IFERROR(SUMIF(INDIRECT("'["&amp;НАСТРОЙКИ!$D$8&amp;"]CF'!$L$3:$EO$3"),BK$22,INDIRECT("'["&amp;НАСТРОЙКИ!$D$8&amp;"]CF'!$L$51:$EO$51")),0))</f>
        <v>0</v>
      </c>
      <c r="BL96" s="35">
        <f ca="1">IF(НАСТРОЙКИ!$B$8&lt;&gt;"Да",0,IFERROR(SUMIF(INDIRECT("'["&amp;НАСТРОЙКИ!$D$8&amp;"]CF'!$L$3:$EO$3"),BL$22,INDIRECT("'["&amp;НАСТРОЙКИ!$D$8&amp;"]CF'!$L$51:$EO$51")),0))</f>
        <v>0</v>
      </c>
      <c r="BM96" s="35">
        <f ca="1">IF(НАСТРОЙКИ!$B$8&lt;&gt;"Да",0,IFERROR(SUMIF(INDIRECT("'["&amp;НАСТРОЙКИ!$D$8&amp;"]CF'!$L$3:$EO$3"),BM$22,INDIRECT("'["&amp;НАСТРОЙКИ!$D$8&amp;"]CF'!$L$51:$EO$51")),0))</f>
        <v>0</v>
      </c>
      <c r="BN96" s="35">
        <f ca="1">IF(НАСТРОЙКИ!$B$8&lt;&gt;"Да",0,IFERROR(SUMIF(INDIRECT("'["&amp;НАСТРОЙКИ!$D$8&amp;"]CF'!$L$3:$EO$3"),BN$22,INDIRECT("'["&amp;НАСТРОЙКИ!$D$8&amp;"]CF'!$L$51:$EO$51")),0))</f>
        <v>0</v>
      </c>
      <c r="BO96" s="35">
        <f ca="1">IF(НАСТРОЙКИ!$B$8&lt;&gt;"Да",0,IFERROR(SUMIF(INDIRECT("'["&amp;НАСТРОЙКИ!$D$8&amp;"]CF'!$L$3:$EO$3"),BO$22,INDIRECT("'["&amp;НАСТРОЙКИ!$D$8&amp;"]CF'!$L$51:$EO$51")),0))</f>
        <v>0</v>
      </c>
      <c r="BP96" s="35">
        <f ca="1">IF(НАСТРОЙКИ!$B$8&lt;&gt;"Да",0,IFERROR(SUMIF(INDIRECT("'["&amp;НАСТРОЙКИ!$D$8&amp;"]CF'!$L$3:$EO$3"),BP$22,INDIRECT("'["&amp;НАСТРОЙКИ!$D$8&amp;"]CF'!$L$51:$EO$51")),0))</f>
        <v>0</v>
      </c>
      <c r="BQ96" s="35">
        <f ca="1">IF(НАСТРОЙКИ!$B$8&lt;&gt;"Да",0,IFERROR(SUMIF(INDIRECT("'["&amp;НАСТРОЙКИ!$D$8&amp;"]CF'!$L$3:$EO$3"),BQ$22,INDIRECT("'["&amp;НАСТРОЙКИ!$D$8&amp;"]CF'!$L$51:$EO$51")),0))</f>
        <v>0</v>
      </c>
      <c r="BR96" s="35">
        <f ca="1">IF(НАСТРОЙКИ!$B$8&lt;&gt;"Да",0,IFERROR(SUMIF(INDIRECT("'["&amp;НАСТРОЙКИ!$D$8&amp;"]CF'!$L$3:$EO$3"),BR$22,INDIRECT("'["&amp;НАСТРОЙКИ!$D$8&amp;"]CF'!$L$51:$EO$51")),0))</f>
        <v>0</v>
      </c>
      <c r="BS96" s="35">
        <f ca="1">IF(НАСТРОЙКИ!$B$8&lt;&gt;"Да",0,IFERROR(SUMIF(INDIRECT("'["&amp;НАСТРОЙКИ!$D$8&amp;"]CF'!$L$3:$EO$3"),BS$22,INDIRECT("'["&amp;НАСТРОЙКИ!$D$8&amp;"]CF'!$L$51:$EO$51")),0))</f>
        <v>0</v>
      </c>
      <c r="BT96" s="35">
        <f ca="1">IF(НАСТРОЙКИ!$B$8&lt;&gt;"Да",0,IFERROR(SUMIF(INDIRECT("'["&amp;НАСТРОЙКИ!$D$8&amp;"]CF'!$L$3:$EO$3"),BT$22,INDIRECT("'["&amp;НАСТРОЙКИ!$D$8&amp;"]CF'!$L$51:$EO$51")),0))</f>
        <v>0</v>
      </c>
      <c r="BU96" s="35">
        <f ca="1">IF(НАСТРОЙКИ!$B$8&lt;&gt;"Да",0,IFERROR(SUMIF(INDIRECT("'["&amp;НАСТРОЙКИ!$D$8&amp;"]CF'!$L$3:$EO$3"),BU$22,INDIRECT("'["&amp;НАСТРОЙКИ!$D$8&amp;"]CF'!$L$51:$EO$51")),0))</f>
        <v>0</v>
      </c>
      <c r="BV96" s="35">
        <f ca="1">IF(НАСТРОЙКИ!$B$8&lt;&gt;"Да",0,IFERROR(SUMIF(INDIRECT("'["&amp;НАСТРОЙКИ!$D$8&amp;"]CF'!$L$3:$EO$3"),BV$22,INDIRECT("'["&amp;НАСТРОЙКИ!$D$8&amp;"]CF'!$L$51:$EO$51")),0))</f>
        <v>0</v>
      </c>
      <c r="BW96" s="35">
        <f ca="1">IF(НАСТРОЙКИ!$B$8&lt;&gt;"Да",0,IFERROR(SUMIF(INDIRECT("'["&amp;НАСТРОЙКИ!$D$8&amp;"]CF'!$L$3:$EO$3"),BW$22,INDIRECT("'["&amp;НАСТРОЙКИ!$D$8&amp;"]CF'!$L$51:$EO$51")),0))</f>
        <v>0</v>
      </c>
      <c r="BX96" s="35">
        <f ca="1">IF(НАСТРОЙКИ!$B$8&lt;&gt;"Да",0,IFERROR(SUMIF(INDIRECT("'["&amp;НАСТРОЙКИ!$D$8&amp;"]CF'!$L$3:$EO$3"),BX$22,INDIRECT("'["&amp;НАСТРОЙКИ!$D$8&amp;"]CF'!$L$51:$EO$51")),0))</f>
        <v>0</v>
      </c>
      <c r="BY96" s="35">
        <f ca="1">IF(НАСТРОЙКИ!$B$8&lt;&gt;"Да",0,IFERROR(SUMIF(INDIRECT("'["&amp;НАСТРОЙКИ!$D$8&amp;"]CF'!$L$3:$EO$3"),BY$22,INDIRECT("'["&amp;НАСТРОЙКИ!$D$8&amp;"]CF'!$L$51:$EO$51")),0))</f>
        <v>0</v>
      </c>
      <c r="BZ96" s="35">
        <f ca="1">IF(НАСТРОЙКИ!$B$8&lt;&gt;"Да",0,IFERROR(SUMIF(INDIRECT("'["&amp;НАСТРОЙКИ!$D$8&amp;"]CF'!$L$3:$EO$3"),BZ$22,INDIRECT("'["&amp;НАСТРОЙКИ!$D$8&amp;"]CF'!$L$51:$EO$51")),0))</f>
        <v>0</v>
      </c>
      <c r="CA96" s="35">
        <f ca="1">IF(НАСТРОЙКИ!$B$8&lt;&gt;"Да",0,IFERROR(SUMIF(INDIRECT("'["&amp;НАСТРОЙКИ!$D$8&amp;"]CF'!$L$3:$EO$3"),CA$22,INDIRECT("'["&amp;НАСТРОЙКИ!$D$8&amp;"]CF'!$L$51:$EO$51")),0))</f>
        <v>0</v>
      </c>
      <c r="CB96" s="35">
        <f ca="1">IF(НАСТРОЙКИ!$B$8&lt;&gt;"Да",0,IFERROR(SUMIF(INDIRECT("'["&amp;НАСТРОЙКИ!$D$8&amp;"]CF'!$L$3:$EO$3"),CB$22,INDIRECT("'["&amp;НАСТРОЙКИ!$D$8&amp;"]CF'!$L$51:$EO$51")),0))</f>
        <v>0</v>
      </c>
      <c r="CC96" s="35">
        <f ca="1">IF(НАСТРОЙКИ!$B$8&lt;&gt;"Да",0,IFERROR(SUMIF(INDIRECT("'["&amp;НАСТРОЙКИ!$D$8&amp;"]CF'!$L$3:$EO$3"),CC$22,INDIRECT("'["&amp;НАСТРОЙКИ!$D$8&amp;"]CF'!$L$51:$EO$51")),0))</f>
        <v>0</v>
      </c>
      <c r="CD96" s="35">
        <f ca="1">IF(НАСТРОЙКИ!$B$8&lt;&gt;"Да",0,IFERROR(SUMIF(INDIRECT("'["&amp;НАСТРОЙКИ!$D$8&amp;"]CF'!$L$3:$EO$3"),CD$22,INDIRECT("'["&amp;НАСТРОЙКИ!$D$8&amp;"]CF'!$L$51:$EO$51")),0))</f>
        <v>0</v>
      </c>
      <c r="CE96" s="35">
        <f ca="1">IF(НАСТРОЙКИ!$B$8&lt;&gt;"Да",0,IFERROR(SUMIF(INDIRECT("'["&amp;НАСТРОЙКИ!$D$8&amp;"]CF'!$L$3:$EO$3"),CE$22,INDIRECT("'["&amp;НАСТРОЙКИ!$D$8&amp;"]CF'!$L$51:$EO$51")),0))</f>
        <v>0</v>
      </c>
      <c r="CF96" s="35">
        <f ca="1">IF(НАСТРОЙКИ!$B$8&lt;&gt;"Да",0,IFERROR(SUMIF(INDIRECT("'["&amp;НАСТРОЙКИ!$D$8&amp;"]CF'!$L$3:$EO$3"),CF$22,INDIRECT("'["&amp;НАСТРОЙКИ!$D$8&amp;"]CF'!$L$51:$EO$51")),0))</f>
        <v>0</v>
      </c>
      <c r="CG96" s="35">
        <f ca="1">IF(НАСТРОЙКИ!$B$8&lt;&gt;"Да",0,IFERROR(SUMIF(INDIRECT("'["&amp;НАСТРОЙКИ!$D$8&amp;"]CF'!$L$3:$EO$3"),CG$22,INDIRECT("'["&amp;НАСТРОЙКИ!$D$8&amp;"]CF'!$L$51:$EO$51")),0))</f>
        <v>0</v>
      </c>
      <c r="CH96" s="35">
        <f ca="1">IF(НАСТРОЙКИ!$B$8&lt;&gt;"Да",0,IFERROR(SUMIF(INDIRECT("'["&amp;НАСТРОЙКИ!$D$8&amp;"]CF'!$L$3:$EO$3"),CH$22,INDIRECT("'["&amp;НАСТРОЙКИ!$D$8&amp;"]CF'!$L$51:$EO$51")),0))</f>
        <v>0</v>
      </c>
      <c r="CI96" s="35">
        <f ca="1">IF(НАСТРОЙКИ!$B$8&lt;&gt;"Да",0,IFERROR(SUMIF(INDIRECT("'["&amp;НАСТРОЙКИ!$D$8&amp;"]CF'!$L$3:$EO$3"),CI$22,INDIRECT("'["&amp;НАСТРОЙКИ!$D$8&amp;"]CF'!$L$51:$EO$51")),0))</f>
        <v>0</v>
      </c>
      <c r="CJ96" s="35">
        <f ca="1">IF(НАСТРОЙКИ!$B$8&lt;&gt;"Да",0,IFERROR(SUMIF(INDIRECT("'["&amp;НАСТРОЙКИ!$D$8&amp;"]CF'!$L$3:$EO$3"),CJ$22,INDIRECT("'["&amp;НАСТРОЙКИ!$D$8&amp;"]CF'!$L$51:$EO$51")),0))</f>
        <v>0</v>
      </c>
      <c r="CK96" s="35">
        <f ca="1">IF(НАСТРОЙКИ!$B$8&lt;&gt;"Да",0,IFERROR(SUMIF(INDIRECT("'["&amp;НАСТРОЙКИ!$D$8&amp;"]CF'!$L$3:$EO$3"),CK$22,INDIRECT("'["&amp;НАСТРОЙКИ!$D$8&amp;"]CF'!$L$51:$EO$51")),0))</f>
        <v>0</v>
      </c>
      <c r="CL96" s="35">
        <f ca="1">IF(НАСТРОЙКИ!$B$8&lt;&gt;"Да",0,IFERROR(SUMIF(INDIRECT("'["&amp;НАСТРОЙКИ!$D$8&amp;"]CF'!$L$3:$EO$3"),CL$22,INDIRECT("'["&amp;НАСТРОЙКИ!$D$8&amp;"]CF'!$L$51:$EO$51")),0))</f>
        <v>0</v>
      </c>
      <c r="CM96" s="35">
        <f ca="1">IF(НАСТРОЙКИ!$B$8&lt;&gt;"Да",0,IFERROR(SUMIF(INDIRECT("'["&amp;НАСТРОЙКИ!$D$8&amp;"]CF'!$L$3:$EO$3"),CM$22,INDIRECT("'["&amp;НАСТРОЙКИ!$D$8&amp;"]CF'!$L$51:$EO$51")),0))</f>
        <v>0</v>
      </c>
      <c r="CN96" s="35">
        <f ca="1">IF(НАСТРОЙКИ!$B$8&lt;&gt;"Да",0,IFERROR(SUMIF(INDIRECT("'["&amp;НАСТРОЙКИ!$D$8&amp;"]CF'!$L$3:$EO$3"),CN$22,INDIRECT("'["&amp;НАСТРОЙКИ!$D$8&amp;"]CF'!$L$51:$EO$51")),0))</f>
        <v>0</v>
      </c>
      <c r="CO96" s="35">
        <f ca="1">IF(НАСТРОЙКИ!$B$8&lt;&gt;"Да",0,IFERROR(SUMIF(INDIRECT("'["&amp;НАСТРОЙКИ!$D$8&amp;"]CF'!$L$3:$EO$3"),CO$22,INDIRECT("'["&amp;НАСТРОЙКИ!$D$8&amp;"]CF'!$L$51:$EO$51")),0))</f>
        <v>0</v>
      </c>
      <c r="CP96" s="35">
        <f ca="1">IF(НАСТРОЙКИ!$B$8&lt;&gt;"Да",0,IFERROR(SUMIF(INDIRECT("'["&amp;НАСТРОЙКИ!$D$8&amp;"]CF'!$L$3:$EO$3"),CP$22,INDIRECT("'["&amp;НАСТРОЙКИ!$D$8&amp;"]CF'!$L$51:$EO$51")),0))</f>
        <v>0</v>
      </c>
      <c r="CQ96" s="35">
        <f ca="1">IF(НАСТРОЙКИ!$B$8&lt;&gt;"Да",0,IFERROR(SUMIF(INDIRECT("'["&amp;НАСТРОЙКИ!$D$8&amp;"]CF'!$L$3:$EO$3"),CQ$22,INDIRECT("'["&amp;НАСТРОЙКИ!$D$8&amp;"]CF'!$L$51:$EO$51")),0))</f>
        <v>0</v>
      </c>
      <c r="CR96" s="35">
        <f ca="1">IF(НАСТРОЙКИ!$B$8&lt;&gt;"Да",0,IFERROR(SUMIF(INDIRECT("'["&amp;НАСТРОЙКИ!$D$8&amp;"]CF'!$L$3:$EO$3"),CR$22,INDIRECT("'["&amp;НАСТРОЙКИ!$D$8&amp;"]CF'!$L$51:$EO$51")),0))</f>
        <v>0</v>
      </c>
      <c r="CS96" s="35">
        <f ca="1">IF(НАСТРОЙКИ!$B$8&lt;&gt;"Да",0,IFERROR(SUMIF(INDIRECT("'["&amp;НАСТРОЙКИ!$D$8&amp;"]CF'!$L$3:$EO$3"),CS$22,INDIRECT("'["&amp;НАСТРОЙКИ!$D$8&amp;"]CF'!$L$51:$EO$51")),0))</f>
        <v>0</v>
      </c>
      <c r="CT96" s="35">
        <f ca="1">IF(НАСТРОЙКИ!$B$8&lt;&gt;"Да",0,IFERROR(SUMIF(INDIRECT("'["&amp;НАСТРОЙКИ!$D$8&amp;"]CF'!$L$3:$EO$3"),CT$22,INDIRECT("'["&amp;НАСТРОЙКИ!$D$8&amp;"]CF'!$L$51:$EO$51")),0))</f>
        <v>0</v>
      </c>
      <c r="CU96" s="35">
        <f ca="1">IF(НАСТРОЙКИ!$B$8&lt;&gt;"Да",0,IFERROR(SUMIF(INDIRECT("'["&amp;НАСТРОЙКИ!$D$8&amp;"]CF'!$L$3:$EO$3"),CU$22,INDIRECT("'["&amp;НАСТРОЙКИ!$D$8&amp;"]CF'!$L$51:$EO$51")),0))</f>
        <v>0</v>
      </c>
      <c r="CV96" s="35">
        <f ca="1">IF(НАСТРОЙКИ!$B$8&lt;&gt;"Да",0,IFERROR(SUMIF(INDIRECT("'["&amp;НАСТРОЙКИ!$D$8&amp;"]CF'!$L$3:$EO$3"),CV$22,INDIRECT("'["&amp;НАСТРОЙКИ!$D$8&amp;"]CF'!$L$51:$EO$51")),0))</f>
        <v>0</v>
      </c>
      <c r="CW96" s="35">
        <f ca="1">IF(НАСТРОЙКИ!$B$8&lt;&gt;"Да",0,IFERROR(SUMIF(INDIRECT("'["&amp;НАСТРОЙКИ!$D$8&amp;"]CF'!$L$3:$EO$3"),CW$22,INDIRECT("'["&amp;НАСТРОЙКИ!$D$8&amp;"]CF'!$L$51:$EO$51")),0))</f>
        <v>0</v>
      </c>
      <c r="CX96" s="35">
        <f ca="1">IF(НАСТРОЙКИ!$B$8&lt;&gt;"Да",0,IFERROR(SUMIF(INDIRECT("'["&amp;НАСТРОЙКИ!$D$8&amp;"]CF'!$L$3:$EO$3"),CX$22,INDIRECT("'["&amp;НАСТРОЙКИ!$D$8&amp;"]CF'!$L$51:$EO$51")),0))</f>
        <v>0</v>
      </c>
      <c r="CY96" s="35">
        <f ca="1">IF(НАСТРОЙКИ!$B$8&lt;&gt;"Да",0,IFERROR(SUMIF(INDIRECT("'["&amp;НАСТРОЙКИ!$D$8&amp;"]CF'!$L$3:$EO$3"),CY$22,INDIRECT("'["&amp;НАСТРОЙКИ!$D$8&amp;"]CF'!$L$51:$EO$51")),0))</f>
        <v>0</v>
      </c>
      <c r="CZ96" s="35">
        <f ca="1">IF(НАСТРОЙКИ!$B$8&lt;&gt;"Да",0,IFERROR(SUMIF(INDIRECT("'["&amp;НАСТРОЙКИ!$D$8&amp;"]CF'!$L$3:$EO$3"),CZ$22,INDIRECT("'["&amp;НАСТРОЙКИ!$D$8&amp;"]CF'!$L$51:$EO$51")),0))</f>
        <v>0</v>
      </c>
      <c r="DA96" s="35">
        <f ca="1">IF(НАСТРОЙКИ!$B$8&lt;&gt;"Да",0,IFERROR(SUMIF(INDIRECT("'["&amp;НАСТРОЙКИ!$D$8&amp;"]CF'!$L$3:$EO$3"),DA$22,INDIRECT("'["&amp;НАСТРОЙКИ!$D$8&amp;"]CF'!$L$51:$EO$51")),0))</f>
        <v>0</v>
      </c>
      <c r="DB96" s="35">
        <f ca="1">IF(НАСТРОЙКИ!$B$8&lt;&gt;"Да",0,IFERROR(SUMIF(INDIRECT("'["&amp;НАСТРОЙКИ!$D$8&amp;"]CF'!$L$3:$EO$3"),DB$22,INDIRECT("'["&amp;НАСТРОЙКИ!$D$8&amp;"]CF'!$L$51:$EO$51")),0))</f>
        <v>0</v>
      </c>
      <c r="DC96" s="35">
        <f ca="1">IF(НАСТРОЙКИ!$B$8&lt;&gt;"Да",0,IFERROR(SUMIF(INDIRECT("'["&amp;НАСТРОЙКИ!$D$8&amp;"]CF'!$L$3:$EO$3"),DC$22,INDIRECT("'["&amp;НАСТРОЙКИ!$D$8&amp;"]CF'!$L$51:$EO$51")),0))</f>
        <v>0</v>
      </c>
      <c r="DD96" s="35">
        <f ca="1">IF(НАСТРОЙКИ!$B$8&lt;&gt;"Да",0,IFERROR(SUMIF(INDIRECT("'["&amp;НАСТРОЙКИ!$D$8&amp;"]CF'!$L$3:$EO$3"),DD$22,INDIRECT("'["&amp;НАСТРОЙКИ!$D$8&amp;"]CF'!$L$51:$EO$51")),0))</f>
        <v>0</v>
      </c>
      <c r="DE96" s="35">
        <f ca="1">IF(НАСТРОЙКИ!$B$8&lt;&gt;"Да",0,IFERROR(SUMIF(INDIRECT("'["&amp;НАСТРОЙКИ!$D$8&amp;"]CF'!$L$3:$EO$3"),DE$22,INDIRECT("'["&amp;НАСТРОЙКИ!$D$8&amp;"]CF'!$L$51:$EO$51")),0))</f>
        <v>0</v>
      </c>
      <c r="DF96" s="35">
        <f ca="1">IF(НАСТРОЙКИ!$B$8&lt;&gt;"Да",0,IFERROR(SUMIF(INDIRECT("'["&amp;НАСТРОЙКИ!$D$8&amp;"]CF'!$L$3:$EO$3"),DF$22,INDIRECT("'["&amp;НАСТРОЙКИ!$D$8&amp;"]CF'!$L$51:$EO$51")),0))</f>
        <v>0</v>
      </c>
    </row>
    <row r="97" spans="1:110">
      <c r="A97" s="34" t="s">
        <v>127</v>
      </c>
      <c r="B97" s="34" t="s">
        <v>58</v>
      </c>
      <c r="C97" s="36">
        <f t="shared" ref="C97:AH97" ca="1" si="100">C93+C94+C95+C96</f>
        <v>0</v>
      </c>
      <c r="D97" s="36">
        <f t="shared" ca="1" si="100"/>
        <v>0</v>
      </c>
      <c r="E97" s="36">
        <f t="shared" ca="1" si="100"/>
        <v>0</v>
      </c>
      <c r="F97" s="36">
        <f t="shared" ca="1" si="100"/>
        <v>0</v>
      </c>
      <c r="G97" s="36">
        <f t="shared" ca="1" si="100"/>
        <v>0</v>
      </c>
      <c r="H97" s="36">
        <f t="shared" ca="1" si="100"/>
        <v>0</v>
      </c>
      <c r="I97" s="36">
        <f t="shared" ca="1" si="100"/>
        <v>0</v>
      </c>
      <c r="J97" s="36">
        <f t="shared" ca="1" si="100"/>
        <v>0</v>
      </c>
      <c r="K97" s="36">
        <f t="shared" ca="1" si="100"/>
        <v>0</v>
      </c>
      <c r="L97" s="36">
        <f t="shared" ca="1" si="100"/>
        <v>0</v>
      </c>
      <c r="M97" s="36">
        <f t="shared" ca="1" si="100"/>
        <v>0</v>
      </c>
      <c r="N97" s="36">
        <f t="shared" ca="1" si="100"/>
        <v>0</v>
      </c>
      <c r="O97" s="36">
        <f t="shared" ca="1" si="100"/>
        <v>0</v>
      </c>
      <c r="P97" s="36">
        <f t="shared" ca="1" si="100"/>
        <v>0</v>
      </c>
      <c r="Q97" s="36">
        <f t="shared" ca="1" si="100"/>
        <v>0</v>
      </c>
      <c r="R97" s="36">
        <f t="shared" ca="1" si="100"/>
        <v>0</v>
      </c>
      <c r="S97" s="36">
        <f t="shared" ca="1" si="100"/>
        <v>0</v>
      </c>
      <c r="T97" s="36">
        <f t="shared" ca="1" si="100"/>
        <v>0</v>
      </c>
      <c r="U97" s="36">
        <f t="shared" ca="1" si="100"/>
        <v>0</v>
      </c>
      <c r="V97" s="36">
        <f t="shared" ca="1" si="100"/>
        <v>0</v>
      </c>
      <c r="W97" s="36">
        <f t="shared" ca="1" si="100"/>
        <v>0</v>
      </c>
      <c r="X97" s="36">
        <f t="shared" ca="1" si="100"/>
        <v>0</v>
      </c>
      <c r="Y97" s="36">
        <f t="shared" ca="1" si="100"/>
        <v>0</v>
      </c>
      <c r="Z97" s="36">
        <f t="shared" ca="1" si="100"/>
        <v>0</v>
      </c>
      <c r="AA97" s="36">
        <f t="shared" ca="1" si="100"/>
        <v>0</v>
      </c>
      <c r="AB97" s="36">
        <f t="shared" ca="1" si="100"/>
        <v>0</v>
      </c>
      <c r="AC97" s="36">
        <f t="shared" ca="1" si="100"/>
        <v>0</v>
      </c>
      <c r="AD97" s="36">
        <f t="shared" ca="1" si="100"/>
        <v>0</v>
      </c>
      <c r="AE97" s="36">
        <f t="shared" ca="1" si="100"/>
        <v>0</v>
      </c>
      <c r="AF97" s="36">
        <f t="shared" ca="1" si="100"/>
        <v>0</v>
      </c>
      <c r="AG97" s="36">
        <f t="shared" ca="1" si="100"/>
        <v>0</v>
      </c>
      <c r="AH97" s="36">
        <f t="shared" ca="1" si="100"/>
        <v>0</v>
      </c>
      <c r="AI97" s="36">
        <f t="shared" ref="AI97:BN97" ca="1" si="101">AI93+AI94+AI95+AI96</f>
        <v>0</v>
      </c>
      <c r="AJ97" s="36">
        <f t="shared" ca="1" si="101"/>
        <v>0</v>
      </c>
      <c r="AK97" s="36">
        <f t="shared" ca="1" si="101"/>
        <v>0</v>
      </c>
      <c r="AL97" s="36">
        <f t="shared" ca="1" si="101"/>
        <v>0</v>
      </c>
      <c r="AM97" s="36">
        <f t="shared" ca="1" si="101"/>
        <v>0</v>
      </c>
      <c r="AN97" s="36">
        <f t="shared" ca="1" si="101"/>
        <v>0</v>
      </c>
      <c r="AO97" s="36">
        <f t="shared" ca="1" si="101"/>
        <v>0</v>
      </c>
      <c r="AP97" s="36">
        <f t="shared" ca="1" si="101"/>
        <v>0</v>
      </c>
      <c r="AQ97" s="36">
        <f t="shared" ca="1" si="101"/>
        <v>0</v>
      </c>
      <c r="AR97" s="36">
        <f t="shared" ca="1" si="101"/>
        <v>0</v>
      </c>
      <c r="AS97" s="36">
        <f t="shared" ca="1" si="101"/>
        <v>0</v>
      </c>
      <c r="AT97" s="36">
        <f t="shared" ca="1" si="101"/>
        <v>0</v>
      </c>
      <c r="AU97" s="36">
        <f t="shared" ca="1" si="101"/>
        <v>0</v>
      </c>
      <c r="AV97" s="36">
        <f t="shared" ca="1" si="101"/>
        <v>0</v>
      </c>
      <c r="AW97" s="36">
        <f t="shared" ca="1" si="101"/>
        <v>0</v>
      </c>
      <c r="AX97" s="36">
        <f t="shared" ca="1" si="101"/>
        <v>0</v>
      </c>
      <c r="AY97" s="36">
        <f t="shared" ca="1" si="101"/>
        <v>0</v>
      </c>
      <c r="AZ97" s="36">
        <f t="shared" ca="1" si="101"/>
        <v>0</v>
      </c>
      <c r="BA97" s="36">
        <f t="shared" ca="1" si="101"/>
        <v>0</v>
      </c>
      <c r="BB97" s="36">
        <f t="shared" ca="1" si="101"/>
        <v>0</v>
      </c>
      <c r="BC97" s="36">
        <f t="shared" ca="1" si="101"/>
        <v>0</v>
      </c>
      <c r="BD97" s="36">
        <f t="shared" ca="1" si="101"/>
        <v>0</v>
      </c>
      <c r="BE97" s="36">
        <f t="shared" ca="1" si="101"/>
        <v>0</v>
      </c>
      <c r="BF97" s="36">
        <f t="shared" ca="1" si="101"/>
        <v>0</v>
      </c>
      <c r="BG97" s="36">
        <f t="shared" ca="1" si="101"/>
        <v>0</v>
      </c>
      <c r="BH97" s="36">
        <f t="shared" ca="1" si="101"/>
        <v>0</v>
      </c>
      <c r="BI97" s="36">
        <f t="shared" ca="1" si="101"/>
        <v>0</v>
      </c>
      <c r="BJ97" s="36">
        <f t="shared" ca="1" si="101"/>
        <v>0</v>
      </c>
      <c r="BK97" s="36">
        <f t="shared" ca="1" si="101"/>
        <v>0</v>
      </c>
      <c r="BL97" s="36">
        <f t="shared" ca="1" si="101"/>
        <v>0</v>
      </c>
      <c r="BM97" s="36">
        <f t="shared" ca="1" si="101"/>
        <v>0</v>
      </c>
      <c r="BN97" s="36">
        <f t="shared" ca="1" si="101"/>
        <v>0</v>
      </c>
      <c r="BO97" s="36">
        <f t="shared" ref="BO97:CT97" ca="1" si="102">BO93+BO94+BO95+BO96</f>
        <v>0</v>
      </c>
      <c r="BP97" s="36">
        <f t="shared" ca="1" si="102"/>
        <v>0</v>
      </c>
      <c r="BQ97" s="36">
        <f t="shared" ca="1" si="102"/>
        <v>0</v>
      </c>
      <c r="BR97" s="36">
        <f t="shared" ca="1" si="102"/>
        <v>0</v>
      </c>
      <c r="BS97" s="36">
        <f t="shared" ca="1" si="102"/>
        <v>0</v>
      </c>
      <c r="BT97" s="36">
        <f t="shared" ca="1" si="102"/>
        <v>0</v>
      </c>
      <c r="BU97" s="36">
        <f t="shared" ca="1" si="102"/>
        <v>0</v>
      </c>
      <c r="BV97" s="36">
        <f t="shared" ca="1" si="102"/>
        <v>0</v>
      </c>
      <c r="BW97" s="36">
        <f t="shared" ca="1" si="102"/>
        <v>0</v>
      </c>
      <c r="BX97" s="36">
        <f t="shared" ca="1" si="102"/>
        <v>0</v>
      </c>
      <c r="BY97" s="36">
        <f t="shared" ca="1" si="102"/>
        <v>0</v>
      </c>
      <c r="BZ97" s="36">
        <f t="shared" ca="1" si="102"/>
        <v>0</v>
      </c>
      <c r="CA97" s="36">
        <f t="shared" ca="1" si="102"/>
        <v>0</v>
      </c>
      <c r="CB97" s="36">
        <f t="shared" ca="1" si="102"/>
        <v>0</v>
      </c>
      <c r="CC97" s="36">
        <f t="shared" ca="1" si="102"/>
        <v>0</v>
      </c>
      <c r="CD97" s="36">
        <f t="shared" ca="1" si="102"/>
        <v>0</v>
      </c>
      <c r="CE97" s="36">
        <f t="shared" ca="1" si="102"/>
        <v>0</v>
      </c>
      <c r="CF97" s="36">
        <f t="shared" ca="1" si="102"/>
        <v>0</v>
      </c>
      <c r="CG97" s="36">
        <f t="shared" ca="1" si="102"/>
        <v>0</v>
      </c>
      <c r="CH97" s="36">
        <f t="shared" ca="1" si="102"/>
        <v>0</v>
      </c>
      <c r="CI97" s="36">
        <f t="shared" ca="1" si="102"/>
        <v>0</v>
      </c>
      <c r="CJ97" s="36">
        <f t="shared" ca="1" si="102"/>
        <v>0</v>
      </c>
      <c r="CK97" s="36">
        <f t="shared" ca="1" si="102"/>
        <v>0</v>
      </c>
      <c r="CL97" s="36">
        <f t="shared" ca="1" si="102"/>
        <v>0</v>
      </c>
      <c r="CM97" s="36">
        <f t="shared" ca="1" si="102"/>
        <v>0</v>
      </c>
      <c r="CN97" s="36">
        <f t="shared" ca="1" si="102"/>
        <v>0</v>
      </c>
      <c r="CO97" s="36">
        <f t="shared" ca="1" si="102"/>
        <v>0</v>
      </c>
      <c r="CP97" s="36">
        <f t="shared" ca="1" si="102"/>
        <v>0</v>
      </c>
      <c r="CQ97" s="36">
        <f t="shared" ca="1" si="102"/>
        <v>0</v>
      </c>
      <c r="CR97" s="36">
        <f t="shared" ca="1" si="102"/>
        <v>0</v>
      </c>
      <c r="CS97" s="36">
        <f t="shared" ca="1" si="102"/>
        <v>0</v>
      </c>
      <c r="CT97" s="36">
        <f t="shared" ca="1" si="102"/>
        <v>0</v>
      </c>
      <c r="CU97" s="36">
        <f t="shared" ref="CU97:DF97" ca="1" si="103">CU93+CU94+CU95+CU96</f>
        <v>0</v>
      </c>
      <c r="CV97" s="36">
        <f t="shared" ca="1" si="103"/>
        <v>0</v>
      </c>
      <c r="CW97" s="36">
        <f t="shared" ca="1" si="103"/>
        <v>0</v>
      </c>
      <c r="CX97" s="36">
        <f t="shared" ca="1" si="103"/>
        <v>0</v>
      </c>
      <c r="CY97" s="36">
        <f t="shared" ca="1" si="103"/>
        <v>0</v>
      </c>
      <c r="CZ97" s="36">
        <f t="shared" ca="1" si="103"/>
        <v>0</v>
      </c>
      <c r="DA97" s="36">
        <f t="shared" ca="1" si="103"/>
        <v>0</v>
      </c>
      <c r="DB97" s="36">
        <f t="shared" ca="1" si="103"/>
        <v>0</v>
      </c>
      <c r="DC97" s="36">
        <f t="shared" ca="1" si="103"/>
        <v>0</v>
      </c>
      <c r="DD97" s="36">
        <f t="shared" ca="1" si="103"/>
        <v>0</v>
      </c>
      <c r="DE97" s="36">
        <f t="shared" ca="1" si="103"/>
        <v>0</v>
      </c>
      <c r="DF97" s="36">
        <f t="shared" ca="1" si="103"/>
        <v>0</v>
      </c>
    </row>
    <row r="98" spans="1:110">
      <c r="A98" s="34" t="s">
        <v>128</v>
      </c>
      <c r="B98" s="34" t="s">
        <v>58</v>
      </c>
      <c r="C98" s="35">
        <f ca="1">IF(НАСТРОЙКИ!$B$8&lt;&gt;"Да",0,IFERROR(SUMIF(INDIRECT("'["&amp;НАСТРОЙКИ!$D$8&amp;"]CF'!$L$3:$EO$3"),C$22,INDIRECT("'["&amp;НАСТРОЙКИ!$D$8&amp;"]CF'!$L$65:$EO$65")),0))</f>
        <v>0</v>
      </c>
      <c r="D98" s="35">
        <f ca="1">IF(НАСТРОЙКИ!$B$8&lt;&gt;"Да",0,IFERROR(SUMIF(INDIRECT("'["&amp;НАСТРОЙКИ!$D$8&amp;"]CF'!$L$3:$EO$3"),D$22,INDIRECT("'["&amp;НАСТРОЙКИ!$D$8&amp;"]CF'!$L$65:$EO$65")),0))</f>
        <v>0</v>
      </c>
      <c r="E98" s="35">
        <f ca="1">IF(НАСТРОЙКИ!$B$8&lt;&gt;"Да",0,IFERROR(SUMIF(INDIRECT("'["&amp;НАСТРОЙКИ!$D$8&amp;"]CF'!$L$3:$EO$3"),E$22,INDIRECT("'["&amp;НАСТРОЙКИ!$D$8&amp;"]CF'!$L$65:$EO$65")),0))</f>
        <v>0</v>
      </c>
      <c r="F98" s="35">
        <f ca="1">IF(НАСТРОЙКИ!$B$8&lt;&gt;"Да",0,IFERROR(SUMIF(INDIRECT("'["&amp;НАСТРОЙКИ!$D$8&amp;"]CF'!$L$3:$EO$3"),F$22,INDIRECT("'["&amp;НАСТРОЙКИ!$D$8&amp;"]CF'!$L$65:$EO$65")),0))</f>
        <v>0</v>
      </c>
      <c r="G98" s="35">
        <f ca="1">IF(НАСТРОЙКИ!$B$8&lt;&gt;"Да",0,IFERROR(SUMIF(INDIRECT("'["&amp;НАСТРОЙКИ!$D$8&amp;"]CF'!$L$3:$EO$3"),G$22,INDIRECT("'["&amp;НАСТРОЙКИ!$D$8&amp;"]CF'!$L$65:$EO$65")),0))</f>
        <v>0</v>
      </c>
      <c r="H98" s="35">
        <f ca="1">IF(НАСТРОЙКИ!$B$8&lt;&gt;"Да",0,IFERROR(SUMIF(INDIRECT("'["&amp;НАСТРОЙКИ!$D$8&amp;"]CF'!$L$3:$EO$3"),H$22,INDIRECT("'["&amp;НАСТРОЙКИ!$D$8&amp;"]CF'!$L$65:$EO$65")),0))</f>
        <v>0</v>
      </c>
      <c r="I98" s="35">
        <f ca="1">IF(НАСТРОЙКИ!$B$8&lt;&gt;"Да",0,IFERROR(SUMIF(INDIRECT("'["&amp;НАСТРОЙКИ!$D$8&amp;"]CF'!$L$3:$EO$3"),I$22,INDIRECT("'["&amp;НАСТРОЙКИ!$D$8&amp;"]CF'!$L$65:$EO$65")),0))</f>
        <v>0</v>
      </c>
      <c r="J98" s="35">
        <f ca="1">IF(НАСТРОЙКИ!$B$8&lt;&gt;"Да",0,IFERROR(SUMIF(INDIRECT("'["&amp;НАСТРОЙКИ!$D$8&amp;"]CF'!$L$3:$EO$3"),J$22,INDIRECT("'["&amp;НАСТРОЙКИ!$D$8&amp;"]CF'!$L$65:$EO$65")),0))</f>
        <v>0</v>
      </c>
      <c r="K98" s="35">
        <f ca="1">IF(НАСТРОЙКИ!$B$8&lt;&gt;"Да",0,IFERROR(SUMIF(INDIRECT("'["&amp;НАСТРОЙКИ!$D$8&amp;"]CF'!$L$3:$EO$3"),K$22,INDIRECT("'["&amp;НАСТРОЙКИ!$D$8&amp;"]CF'!$L$65:$EO$65")),0))</f>
        <v>0</v>
      </c>
      <c r="L98" s="35">
        <f ca="1">IF(НАСТРОЙКИ!$B$8&lt;&gt;"Да",0,IFERROR(SUMIF(INDIRECT("'["&amp;НАСТРОЙКИ!$D$8&amp;"]CF'!$L$3:$EO$3"),L$22,INDIRECT("'["&amp;НАСТРОЙКИ!$D$8&amp;"]CF'!$L$65:$EO$65")),0))</f>
        <v>0</v>
      </c>
      <c r="M98" s="35">
        <f ca="1">IF(НАСТРОЙКИ!$B$8&lt;&gt;"Да",0,IFERROR(SUMIF(INDIRECT("'["&amp;НАСТРОЙКИ!$D$8&amp;"]CF'!$L$3:$EO$3"),M$22,INDIRECT("'["&amp;НАСТРОЙКИ!$D$8&amp;"]CF'!$L$65:$EO$65")),0))</f>
        <v>0</v>
      </c>
      <c r="N98" s="35">
        <f ca="1">IF(НАСТРОЙКИ!$B$8&lt;&gt;"Да",0,IFERROR(SUMIF(INDIRECT("'["&amp;НАСТРОЙКИ!$D$8&amp;"]CF'!$L$3:$EO$3"),N$22,INDIRECT("'["&amp;НАСТРОЙКИ!$D$8&amp;"]CF'!$L$65:$EO$65")),0))</f>
        <v>0</v>
      </c>
      <c r="O98" s="35">
        <f ca="1">IF(НАСТРОЙКИ!$B$8&lt;&gt;"Да",0,IFERROR(SUMIF(INDIRECT("'["&amp;НАСТРОЙКИ!$D$8&amp;"]CF'!$L$3:$EO$3"),O$22,INDIRECT("'["&amp;НАСТРОЙКИ!$D$8&amp;"]CF'!$L$65:$EO$65")),0))</f>
        <v>0</v>
      </c>
      <c r="P98" s="35">
        <f ca="1">IF(НАСТРОЙКИ!$B$8&lt;&gt;"Да",0,IFERROR(SUMIF(INDIRECT("'["&amp;НАСТРОЙКИ!$D$8&amp;"]CF'!$L$3:$EO$3"),P$22,INDIRECT("'["&amp;НАСТРОЙКИ!$D$8&amp;"]CF'!$L$65:$EO$65")),0))</f>
        <v>0</v>
      </c>
      <c r="Q98" s="35">
        <f ca="1">IF(НАСТРОЙКИ!$B$8&lt;&gt;"Да",0,IFERROR(SUMIF(INDIRECT("'["&amp;НАСТРОЙКИ!$D$8&amp;"]CF'!$L$3:$EO$3"),Q$22,INDIRECT("'["&amp;НАСТРОЙКИ!$D$8&amp;"]CF'!$L$65:$EO$65")),0))</f>
        <v>0</v>
      </c>
      <c r="R98" s="35">
        <f ca="1">IF(НАСТРОЙКИ!$B$8&lt;&gt;"Да",0,IFERROR(SUMIF(INDIRECT("'["&amp;НАСТРОЙКИ!$D$8&amp;"]CF'!$L$3:$EO$3"),R$22,INDIRECT("'["&amp;НАСТРОЙКИ!$D$8&amp;"]CF'!$L$65:$EO$65")),0))</f>
        <v>0</v>
      </c>
      <c r="S98" s="35">
        <f ca="1">IF(НАСТРОЙКИ!$B$8&lt;&gt;"Да",0,IFERROR(SUMIF(INDIRECT("'["&amp;НАСТРОЙКИ!$D$8&amp;"]CF'!$L$3:$EO$3"),S$22,INDIRECT("'["&amp;НАСТРОЙКИ!$D$8&amp;"]CF'!$L$65:$EO$65")),0))</f>
        <v>0</v>
      </c>
      <c r="T98" s="35">
        <f ca="1">IF(НАСТРОЙКИ!$B$8&lt;&gt;"Да",0,IFERROR(SUMIF(INDIRECT("'["&amp;НАСТРОЙКИ!$D$8&amp;"]CF'!$L$3:$EO$3"),T$22,INDIRECT("'["&amp;НАСТРОЙКИ!$D$8&amp;"]CF'!$L$65:$EO$65")),0))</f>
        <v>0</v>
      </c>
      <c r="U98" s="35">
        <f ca="1">IF(НАСТРОЙКИ!$B$8&lt;&gt;"Да",0,IFERROR(SUMIF(INDIRECT("'["&amp;НАСТРОЙКИ!$D$8&amp;"]CF'!$L$3:$EO$3"),U$22,INDIRECT("'["&amp;НАСТРОЙКИ!$D$8&amp;"]CF'!$L$65:$EO$65")),0))</f>
        <v>0</v>
      </c>
      <c r="V98" s="35">
        <f ca="1">IF(НАСТРОЙКИ!$B$8&lt;&gt;"Да",0,IFERROR(SUMIF(INDIRECT("'["&amp;НАСТРОЙКИ!$D$8&amp;"]CF'!$L$3:$EO$3"),V$22,INDIRECT("'["&amp;НАСТРОЙКИ!$D$8&amp;"]CF'!$L$65:$EO$65")),0))</f>
        <v>0</v>
      </c>
      <c r="W98" s="35">
        <f ca="1">IF(НАСТРОЙКИ!$B$8&lt;&gt;"Да",0,IFERROR(SUMIF(INDIRECT("'["&amp;НАСТРОЙКИ!$D$8&amp;"]CF'!$L$3:$EO$3"),W$22,INDIRECT("'["&amp;НАСТРОЙКИ!$D$8&amp;"]CF'!$L$65:$EO$65")),0))</f>
        <v>0</v>
      </c>
      <c r="X98" s="35">
        <f ca="1">IF(НАСТРОЙКИ!$B$8&lt;&gt;"Да",0,IFERROR(SUMIF(INDIRECT("'["&amp;НАСТРОЙКИ!$D$8&amp;"]CF'!$L$3:$EO$3"),X$22,INDIRECT("'["&amp;НАСТРОЙКИ!$D$8&amp;"]CF'!$L$65:$EO$65")),0))</f>
        <v>0</v>
      </c>
      <c r="Y98" s="35">
        <f ca="1">IF(НАСТРОЙКИ!$B$8&lt;&gt;"Да",0,IFERROR(SUMIF(INDIRECT("'["&amp;НАСТРОЙКИ!$D$8&amp;"]CF'!$L$3:$EO$3"),Y$22,INDIRECT("'["&amp;НАСТРОЙКИ!$D$8&amp;"]CF'!$L$65:$EO$65")),0))</f>
        <v>0</v>
      </c>
      <c r="Z98" s="35">
        <f ca="1">IF(НАСТРОЙКИ!$B$8&lt;&gt;"Да",0,IFERROR(SUMIF(INDIRECT("'["&amp;НАСТРОЙКИ!$D$8&amp;"]CF'!$L$3:$EO$3"),Z$22,INDIRECT("'["&amp;НАСТРОЙКИ!$D$8&amp;"]CF'!$L$65:$EO$65")),0))</f>
        <v>0</v>
      </c>
      <c r="AA98" s="35">
        <f ca="1">IF(НАСТРОЙКИ!$B$8&lt;&gt;"Да",0,IFERROR(SUMIF(INDIRECT("'["&amp;НАСТРОЙКИ!$D$8&amp;"]CF'!$L$3:$EO$3"),AA$22,INDIRECT("'["&amp;НАСТРОЙКИ!$D$8&amp;"]CF'!$L$65:$EO$65")),0))</f>
        <v>0</v>
      </c>
      <c r="AB98" s="35">
        <f ca="1">IF(НАСТРОЙКИ!$B$8&lt;&gt;"Да",0,IFERROR(SUMIF(INDIRECT("'["&amp;НАСТРОЙКИ!$D$8&amp;"]CF'!$L$3:$EO$3"),AB$22,INDIRECT("'["&amp;НАСТРОЙКИ!$D$8&amp;"]CF'!$L$65:$EO$65")),0))</f>
        <v>0</v>
      </c>
      <c r="AC98" s="35">
        <f ca="1">IF(НАСТРОЙКИ!$B$8&lt;&gt;"Да",0,IFERROR(SUMIF(INDIRECT("'["&amp;НАСТРОЙКИ!$D$8&amp;"]CF'!$L$3:$EO$3"),AC$22,INDIRECT("'["&amp;НАСТРОЙКИ!$D$8&amp;"]CF'!$L$65:$EO$65")),0))</f>
        <v>0</v>
      </c>
      <c r="AD98" s="35">
        <f ca="1">IF(НАСТРОЙКИ!$B$8&lt;&gt;"Да",0,IFERROR(SUMIF(INDIRECT("'["&amp;НАСТРОЙКИ!$D$8&amp;"]CF'!$L$3:$EO$3"),AD$22,INDIRECT("'["&amp;НАСТРОЙКИ!$D$8&amp;"]CF'!$L$65:$EO$65")),0))</f>
        <v>0</v>
      </c>
      <c r="AE98" s="35">
        <f ca="1">IF(НАСТРОЙКИ!$B$8&lt;&gt;"Да",0,IFERROR(SUMIF(INDIRECT("'["&amp;НАСТРОЙКИ!$D$8&amp;"]CF'!$L$3:$EO$3"),AE$22,INDIRECT("'["&amp;НАСТРОЙКИ!$D$8&amp;"]CF'!$L$65:$EO$65")),0))</f>
        <v>0</v>
      </c>
      <c r="AF98" s="35">
        <f ca="1">IF(НАСТРОЙКИ!$B$8&lt;&gt;"Да",0,IFERROR(SUMIF(INDIRECT("'["&amp;НАСТРОЙКИ!$D$8&amp;"]CF'!$L$3:$EO$3"),AF$22,INDIRECT("'["&amp;НАСТРОЙКИ!$D$8&amp;"]CF'!$L$65:$EO$65")),0))</f>
        <v>0</v>
      </c>
      <c r="AG98" s="35">
        <f ca="1">IF(НАСТРОЙКИ!$B$8&lt;&gt;"Да",0,IFERROR(SUMIF(INDIRECT("'["&amp;НАСТРОЙКИ!$D$8&amp;"]CF'!$L$3:$EO$3"),AG$22,INDIRECT("'["&amp;НАСТРОЙКИ!$D$8&amp;"]CF'!$L$65:$EO$65")),0))</f>
        <v>0</v>
      </c>
      <c r="AH98" s="35">
        <f ca="1">IF(НАСТРОЙКИ!$B$8&lt;&gt;"Да",0,IFERROR(SUMIF(INDIRECT("'["&amp;НАСТРОЙКИ!$D$8&amp;"]CF'!$L$3:$EO$3"),AH$22,INDIRECT("'["&amp;НАСТРОЙКИ!$D$8&amp;"]CF'!$L$65:$EO$65")),0))</f>
        <v>0</v>
      </c>
      <c r="AI98" s="35">
        <f ca="1">IF(НАСТРОЙКИ!$B$8&lt;&gt;"Да",0,IFERROR(SUMIF(INDIRECT("'["&amp;НАСТРОЙКИ!$D$8&amp;"]CF'!$L$3:$EO$3"),AI$22,INDIRECT("'["&amp;НАСТРОЙКИ!$D$8&amp;"]CF'!$L$65:$EO$65")),0))</f>
        <v>0</v>
      </c>
      <c r="AJ98" s="35">
        <f ca="1">IF(НАСТРОЙКИ!$B$8&lt;&gt;"Да",0,IFERROR(SUMIF(INDIRECT("'["&amp;НАСТРОЙКИ!$D$8&amp;"]CF'!$L$3:$EO$3"),AJ$22,INDIRECT("'["&amp;НАСТРОЙКИ!$D$8&amp;"]CF'!$L$65:$EO$65")),0))</f>
        <v>0</v>
      </c>
      <c r="AK98" s="35">
        <f ca="1">IF(НАСТРОЙКИ!$B$8&lt;&gt;"Да",0,IFERROR(SUMIF(INDIRECT("'["&amp;НАСТРОЙКИ!$D$8&amp;"]CF'!$L$3:$EO$3"),AK$22,INDIRECT("'["&amp;НАСТРОЙКИ!$D$8&amp;"]CF'!$L$65:$EO$65")),0))</f>
        <v>0</v>
      </c>
      <c r="AL98" s="35">
        <f ca="1">IF(НАСТРОЙКИ!$B$8&lt;&gt;"Да",0,IFERROR(SUMIF(INDIRECT("'["&amp;НАСТРОЙКИ!$D$8&amp;"]CF'!$L$3:$EO$3"),AL$22,INDIRECT("'["&amp;НАСТРОЙКИ!$D$8&amp;"]CF'!$L$65:$EO$65")),0))</f>
        <v>0</v>
      </c>
      <c r="AM98" s="35">
        <f ca="1">IF(НАСТРОЙКИ!$B$8&lt;&gt;"Да",0,IFERROR(SUMIF(INDIRECT("'["&amp;НАСТРОЙКИ!$D$8&amp;"]CF'!$L$3:$EO$3"),AM$22,INDIRECT("'["&amp;НАСТРОЙКИ!$D$8&amp;"]CF'!$L$65:$EO$65")),0))</f>
        <v>0</v>
      </c>
      <c r="AN98" s="35">
        <f ca="1">IF(НАСТРОЙКИ!$B$8&lt;&gt;"Да",0,IFERROR(SUMIF(INDIRECT("'["&amp;НАСТРОЙКИ!$D$8&amp;"]CF'!$L$3:$EO$3"),AN$22,INDIRECT("'["&amp;НАСТРОЙКИ!$D$8&amp;"]CF'!$L$65:$EO$65")),0))</f>
        <v>0</v>
      </c>
      <c r="AO98" s="35">
        <f ca="1">IF(НАСТРОЙКИ!$B$8&lt;&gt;"Да",0,IFERROR(SUMIF(INDIRECT("'["&amp;НАСТРОЙКИ!$D$8&amp;"]CF'!$L$3:$EO$3"),AO$22,INDIRECT("'["&amp;НАСТРОЙКИ!$D$8&amp;"]CF'!$L$65:$EO$65")),0))</f>
        <v>0</v>
      </c>
      <c r="AP98" s="35">
        <f ca="1">IF(НАСТРОЙКИ!$B$8&lt;&gt;"Да",0,IFERROR(SUMIF(INDIRECT("'["&amp;НАСТРОЙКИ!$D$8&amp;"]CF'!$L$3:$EO$3"),AP$22,INDIRECT("'["&amp;НАСТРОЙКИ!$D$8&amp;"]CF'!$L$65:$EO$65")),0))</f>
        <v>0</v>
      </c>
      <c r="AQ98" s="35">
        <f ca="1">IF(НАСТРОЙКИ!$B$8&lt;&gt;"Да",0,IFERROR(SUMIF(INDIRECT("'["&amp;НАСТРОЙКИ!$D$8&amp;"]CF'!$L$3:$EO$3"),AQ$22,INDIRECT("'["&amp;НАСТРОЙКИ!$D$8&amp;"]CF'!$L$65:$EO$65")),0))</f>
        <v>0</v>
      </c>
      <c r="AR98" s="35">
        <f ca="1">IF(НАСТРОЙКИ!$B$8&lt;&gt;"Да",0,IFERROR(SUMIF(INDIRECT("'["&amp;НАСТРОЙКИ!$D$8&amp;"]CF'!$L$3:$EO$3"),AR$22,INDIRECT("'["&amp;НАСТРОЙКИ!$D$8&amp;"]CF'!$L$65:$EO$65")),0))</f>
        <v>0</v>
      </c>
      <c r="AS98" s="35">
        <f ca="1">IF(НАСТРОЙКИ!$B$8&lt;&gt;"Да",0,IFERROR(SUMIF(INDIRECT("'["&amp;НАСТРОЙКИ!$D$8&amp;"]CF'!$L$3:$EO$3"),AS$22,INDIRECT("'["&amp;НАСТРОЙКИ!$D$8&amp;"]CF'!$L$65:$EO$65")),0))</f>
        <v>0</v>
      </c>
      <c r="AT98" s="35">
        <f ca="1">IF(НАСТРОЙКИ!$B$8&lt;&gt;"Да",0,IFERROR(SUMIF(INDIRECT("'["&amp;НАСТРОЙКИ!$D$8&amp;"]CF'!$L$3:$EO$3"),AT$22,INDIRECT("'["&amp;НАСТРОЙКИ!$D$8&amp;"]CF'!$L$65:$EO$65")),0))</f>
        <v>0</v>
      </c>
      <c r="AU98" s="35">
        <f ca="1">IF(НАСТРОЙКИ!$B$8&lt;&gt;"Да",0,IFERROR(SUMIF(INDIRECT("'["&amp;НАСТРОЙКИ!$D$8&amp;"]CF'!$L$3:$EO$3"),AU$22,INDIRECT("'["&amp;НАСТРОЙКИ!$D$8&amp;"]CF'!$L$65:$EO$65")),0))</f>
        <v>0</v>
      </c>
      <c r="AV98" s="35">
        <f ca="1">IF(НАСТРОЙКИ!$B$8&lt;&gt;"Да",0,IFERROR(SUMIF(INDIRECT("'["&amp;НАСТРОЙКИ!$D$8&amp;"]CF'!$L$3:$EO$3"),AV$22,INDIRECT("'["&amp;НАСТРОЙКИ!$D$8&amp;"]CF'!$L$65:$EO$65")),0))</f>
        <v>0</v>
      </c>
      <c r="AW98" s="35">
        <f ca="1">IF(НАСТРОЙКИ!$B$8&lt;&gt;"Да",0,IFERROR(SUMIF(INDIRECT("'["&amp;НАСТРОЙКИ!$D$8&amp;"]CF'!$L$3:$EO$3"),AW$22,INDIRECT("'["&amp;НАСТРОЙКИ!$D$8&amp;"]CF'!$L$65:$EO$65")),0))</f>
        <v>0</v>
      </c>
      <c r="AX98" s="35">
        <f ca="1">IF(НАСТРОЙКИ!$B$8&lt;&gt;"Да",0,IFERROR(SUMIF(INDIRECT("'["&amp;НАСТРОЙКИ!$D$8&amp;"]CF'!$L$3:$EO$3"),AX$22,INDIRECT("'["&amp;НАСТРОЙКИ!$D$8&amp;"]CF'!$L$65:$EO$65")),0))</f>
        <v>0</v>
      </c>
      <c r="AY98" s="35">
        <f ca="1">IF(НАСТРОЙКИ!$B$8&lt;&gt;"Да",0,IFERROR(SUMIF(INDIRECT("'["&amp;НАСТРОЙКИ!$D$8&amp;"]CF'!$L$3:$EO$3"),AY$22,INDIRECT("'["&amp;НАСТРОЙКИ!$D$8&amp;"]CF'!$L$65:$EO$65")),0))</f>
        <v>0</v>
      </c>
      <c r="AZ98" s="35">
        <f ca="1">IF(НАСТРОЙКИ!$B$8&lt;&gt;"Да",0,IFERROR(SUMIF(INDIRECT("'["&amp;НАСТРОЙКИ!$D$8&amp;"]CF'!$L$3:$EO$3"),AZ$22,INDIRECT("'["&amp;НАСТРОЙКИ!$D$8&amp;"]CF'!$L$65:$EO$65")),0))</f>
        <v>0</v>
      </c>
      <c r="BA98" s="35">
        <f ca="1">IF(НАСТРОЙКИ!$B$8&lt;&gt;"Да",0,IFERROR(SUMIF(INDIRECT("'["&amp;НАСТРОЙКИ!$D$8&amp;"]CF'!$L$3:$EO$3"),BA$22,INDIRECT("'["&amp;НАСТРОЙКИ!$D$8&amp;"]CF'!$L$65:$EO$65")),0))</f>
        <v>0</v>
      </c>
      <c r="BB98" s="35">
        <f ca="1">IF(НАСТРОЙКИ!$B$8&lt;&gt;"Да",0,IFERROR(SUMIF(INDIRECT("'["&amp;НАСТРОЙКИ!$D$8&amp;"]CF'!$L$3:$EO$3"),BB$22,INDIRECT("'["&amp;НАСТРОЙКИ!$D$8&amp;"]CF'!$L$65:$EO$65")),0))</f>
        <v>0</v>
      </c>
      <c r="BC98" s="35">
        <f ca="1">IF(НАСТРОЙКИ!$B$8&lt;&gt;"Да",0,IFERROR(SUMIF(INDIRECT("'["&amp;НАСТРОЙКИ!$D$8&amp;"]CF'!$L$3:$EO$3"),BC$22,INDIRECT("'["&amp;НАСТРОЙКИ!$D$8&amp;"]CF'!$L$65:$EO$65")),0))</f>
        <v>0</v>
      </c>
      <c r="BD98" s="35">
        <f ca="1">IF(НАСТРОЙКИ!$B$8&lt;&gt;"Да",0,IFERROR(SUMIF(INDIRECT("'["&amp;НАСТРОЙКИ!$D$8&amp;"]CF'!$L$3:$EO$3"),BD$22,INDIRECT("'["&amp;НАСТРОЙКИ!$D$8&amp;"]CF'!$L$65:$EO$65")),0))</f>
        <v>0</v>
      </c>
      <c r="BE98" s="35">
        <f ca="1">IF(НАСТРОЙКИ!$B$8&lt;&gt;"Да",0,IFERROR(SUMIF(INDIRECT("'["&amp;НАСТРОЙКИ!$D$8&amp;"]CF'!$L$3:$EO$3"),BE$22,INDIRECT("'["&amp;НАСТРОЙКИ!$D$8&amp;"]CF'!$L$65:$EO$65")),0))</f>
        <v>0</v>
      </c>
      <c r="BF98" s="35">
        <f ca="1">IF(НАСТРОЙКИ!$B$8&lt;&gt;"Да",0,IFERROR(SUMIF(INDIRECT("'["&amp;НАСТРОЙКИ!$D$8&amp;"]CF'!$L$3:$EO$3"),BF$22,INDIRECT("'["&amp;НАСТРОЙКИ!$D$8&amp;"]CF'!$L$65:$EO$65")),0))</f>
        <v>0</v>
      </c>
      <c r="BG98" s="35">
        <f ca="1">IF(НАСТРОЙКИ!$B$8&lt;&gt;"Да",0,IFERROR(SUMIF(INDIRECT("'["&amp;НАСТРОЙКИ!$D$8&amp;"]CF'!$L$3:$EO$3"),BG$22,INDIRECT("'["&amp;НАСТРОЙКИ!$D$8&amp;"]CF'!$L$65:$EO$65")),0))</f>
        <v>0</v>
      </c>
      <c r="BH98" s="35">
        <f ca="1">IF(НАСТРОЙКИ!$B$8&lt;&gt;"Да",0,IFERROR(SUMIF(INDIRECT("'["&amp;НАСТРОЙКИ!$D$8&amp;"]CF'!$L$3:$EO$3"),BH$22,INDIRECT("'["&amp;НАСТРОЙКИ!$D$8&amp;"]CF'!$L$65:$EO$65")),0))</f>
        <v>0</v>
      </c>
      <c r="BI98" s="35">
        <f ca="1">IF(НАСТРОЙКИ!$B$8&lt;&gt;"Да",0,IFERROR(SUMIF(INDIRECT("'["&amp;НАСТРОЙКИ!$D$8&amp;"]CF'!$L$3:$EO$3"),BI$22,INDIRECT("'["&amp;НАСТРОЙКИ!$D$8&amp;"]CF'!$L$65:$EO$65")),0))</f>
        <v>0</v>
      </c>
      <c r="BJ98" s="35">
        <f ca="1">IF(НАСТРОЙКИ!$B$8&lt;&gt;"Да",0,IFERROR(SUMIF(INDIRECT("'["&amp;НАСТРОЙКИ!$D$8&amp;"]CF'!$L$3:$EO$3"),BJ$22,INDIRECT("'["&amp;НАСТРОЙКИ!$D$8&amp;"]CF'!$L$65:$EO$65")),0))</f>
        <v>0</v>
      </c>
      <c r="BK98" s="35">
        <f ca="1">IF(НАСТРОЙКИ!$B$8&lt;&gt;"Да",0,IFERROR(SUMIF(INDIRECT("'["&amp;НАСТРОЙКИ!$D$8&amp;"]CF'!$L$3:$EO$3"),BK$22,INDIRECT("'["&amp;НАСТРОЙКИ!$D$8&amp;"]CF'!$L$65:$EO$65")),0))</f>
        <v>0</v>
      </c>
      <c r="BL98" s="35">
        <f ca="1">IF(НАСТРОЙКИ!$B$8&lt;&gt;"Да",0,IFERROR(SUMIF(INDIRECT("'["&amp;НАСТРОЙКИ!$D$8&amp;"]CF'!$L$3:$EO$3"),BL$22,INDIRECT("'["&amp;НАСТРОЙКИ!$D$8&amp;"]CF'!$L$65:$EO$65")),0))</f>
        <v>0</v>
      </c>
      <c r="BM98" s="35">
        <f ca="1">IF(НАСТРОЙКИ!$B$8&lt;&gt;"Да",0,IFERROR(SUMIF(INDIRECT("'["&amp;НАСТРОЙКИ!$D$8&amp;"]CF'!$L$3:$EO$3"),BM$22,INDIRECT("'["&amp;НАСТРОЙКИ!$D$8&amp;"]CF'!$L$65:$EO$65")),0))</f>
        <v>0</v>
      </c>
      <c r="BN98" s="35">
        <f ca="1">IF(НАСТРОЙКИ!$B$8&lt;&gt;"Да",0,IFERROR(SUMIF(INDIRECT("'["&amp;НАСТРОЙКИ!$D$8&amp;"]CF'!$L$3:$EO$3"),BN$22,INDIRECT("'["&amp;НАСТРОЙКИ!$D$8&amp;"]CF'!$L$65:$EO$65")),0))</f>
        <v>0</v>
      </c>
      <c r="BO98" s="35">
        <f ca="1">IF(НАСТРОЙКИ!$B$8&lt;&gt;"Да",0,IFERROR(SUMIF(INDIRECT("'["&amp;НАСТРОЙКИ!$D$8&amp;"]CF'!$L$3:$EO$3"),BO$22,INDIRECT("'["&amp;НАСТРОЙКИ!$D$8&amp;"]CF'!$L$65:$EO$65")),0))</f>
        <v>0</v>
      </c>
      <c r="BP98" s="35">
        <f ca="1">IF(НАСТРОЙКИ!$B$8&lt;&gt;"Да",0,IFERROR(SUMIF(INDIRECT("'["&amp;НАСТРОЙКИ!$D$8&amp;"]CF'!$L$3:$EO$3"),BP$22,INDIRECT("'["&amp;НАСТРОЙКИ!$D$8&amp;"]CF'!$L$65:$EO$65")),0))</f>
        <v>0</v>
      </c>
      <c r="BQ98" s="35">
        <f ca="1">IF(НАСТРОЙКИ!$B$8&lt;&gt;"Да",0,IFERROR(SUMIF(INDIRECT("'["&amp;НАСТРОЙКИ!$D$8&amp;"]CF'!$L$3:$EO$3"),BQ$22,INDIRECT("'["&amp;НАСТРОЙКИ!$D$8&amp;"]CF'!$L$65:$EO$65")),0))</f>
        <v>0</v>
      </c>
      <c r="BR98" s="35">
        <f ca="1">IF(НАСТРОЙКИ!$B$8&lt;&gt;"Да",0,IFERROR(SUMIF(INDIRECT("'["&amp;НАСТРОЙКИ!$D$8&amp;"]CF'!$L$3:$EO$3"),BR$22,INDIRECT("'["&amp;НАСТРОЙКИ!$D$8&amp;"]CF'!$L$65:$EO$65")),0))</f>
        <v>0</v>
      </c>
      <c r="BS98" s="35">
        <f ca="1">IF(НАСТРОЙКИ!$B$8&lt;&gt;"Да",0,IFERROR(SUMIF(INDIRECT("'["&amp;НАСТРОЙКИ!$D$8&amp;"]CF'!$L$3:$EO$3"),BS$22,INDIRECT("'["&amp;НАСТРОЙКИ!$D$8&amp;"]CF'!$L$65:$EO$65")),0))</f>
        <v>0</v>
      </c>
      <c r="BT98" s="35">
        <f ca="1">IF(НАСТРОЙКИ!$B$8&lt;&gt;"Да",0,IFERROR(SUMIF(INDIRECT("'["&amp;НАСТРОЙКИ!$D$8&amp;"]CF'!$L$3:$EO$3"),BT$22,INDIRECT("'["&amp;НАСТРОЙКИ!$D$8&amp;"]CF'!$L$65:$EO$65")),0))</f>
        <v>0</v>
      </c>
      <c r="BU98" s="35">
        <f ca="1">IF(НАСТРОЙКИ!$B$8&lt;&gt;"Да",0,IFERROR(SUMIF(INDIRECT("'["&amp;НАСТРОЙКИ!$D$8&amp;"]CF'!$L$3:$EO$3"),BU$22,INDIRECT("'["&amp;НАСТРОЙКИ!$D$8&amp;"]CF'!$L$65:$EO$65")),0))</f>
        <v>0</v>
      </c>
      <c r="BV98" s="35">
        <f ca="1">IF(НАСТРОЙКИ!$B$8&lt;&gt;"Да",0,IFERROR(SUMIF(INDIRECT("'["&amp;НАСТРОЙКИ!$D$8&amp;"]CF'!$L$3:$EO$3"),BV$22,INDIRECT("'["&amp;НАСТРОЙКИ!$D$8&amp;"]CF'!$L$65:$EO$65")),0))</f>
        <v>0</v>
      </c>
      <c r="BW98" s="35">
        <f ca="1">IF(НАСТРОЙКИ!$B$8&lt;&gt;"Да",0,IFERROR(SUMIF(INDIRECT("'["&amp;НАСТРОЙКИ!$D$8&amp;"]CF'!$L$3:$EO$3"),BW$22,INDIRECT("'["&amp;НАСТРОЙКИ!$D$8&amp;"]CF'!$L$65:$EO$65")),0))</f>
        <v>0</v>
      </c>
      <c r="BX98" s="35">
        <f ca="1">IF(НАСТРОЙКИ!$B$8&lt;&gt;"Да",0,IFERROR(SUMIF(INDIRECT("'["&amp;НАСТРОЙКИ!$D$8&amp;"]CF'!$L$3:$EO$3"),BX$22,INDIRECT("'["&amp;НАСТРОЙКИ!$D$8&amp;"]CF'!$L$65:$EO$65")),0))</f>
        <v>0</v>
      </c>
      <c r="BY98" s="35">
        <f ca="1">IF(НАСТРОЙКИ!$B$8&lt;&gt;"Да",0,IFERROR(SUMIF(INDIRECT("'["&amp;НАСТРОЙКИ!$D$8&amp;"]CF'!$L$3:$EO$3"),BY$22,INDIRECT("'["&amp;НАСТРОЙКИ!$D$8&amp;"]CF'!$L$65:$EO$65")),0))</f>
        <v>0</v>
      </c>
      <c r="BZ98" s="35">
        <f ca="1">IF(НАСТРОЙКИ!$B$8&lt;&gt;"Да",0,IFERROR(SUMIF(INDIRECT("'["&amp;НАСТРОЙКИ!$D$8&amp;"]CF'!$L$3:$EO$3"),BZ$22,INDIRECT("'["&amp;НАСТРОЙКИ!$D$8&amp;"]CF'!$L$65:$EO$65")),0))</f>
        <v>0</v>
      </c>
      <c r="CA98" s="35">
        <f ca="1">IF(НАСТРОЙКИ!$B$8&lt;&gt;"Да",0,IFERROR(SUMIF(INDIRECT("'["&amp;НАСТРОЙКИ!$D$8&amp;"]CF'!$L$3:$EO$3"),CA$22,INDIRECT("'["&amp;НАСТРОЙКИ!$D$8&amp;"]CF'!$L$65:$EO$65")),0))</f>
        <v>0</v>
      </c>
      <c r="CB98" s="35">
        <f ca="1">IF(НАСТРОЙКИ!$B$8&lt;&gt;"Да",0,IFERROR(SUMIF(INDIRECT("'["&amp;НАСТРОЙКИ!$D$8&amp;"]CF'!$L$3:$EO$3"),CB$22,INDIRECT("'["&amp;НАСТРОЙКИ!$D$8&amp;"]CF'!$L$65:$EO$65")),0))</f>
        <v>0</v>
      </c>
      <c r="CC98" s="35">
        <f ca="1">IF(НАСТРОЙКИ!$B$8&lt;&gt;"Да",0,IFERROR(SUMIF(INDIRECT("'["&amp;НАСТРОЙКИ!$D$8&amp;"]CF'!$L$3:$EO$3"),CC$22,INDIRECT("'["&amp;НАСТРОЙКИ!$D$8&amp;"]CF'!$L$65:$EO$65")),0))</f>
        <v>0</v>
      </c>
      <c r="CD98" s="35">
        <f ca="1">IF(НАСТРОЙКИ!$B$8&lt;&gt;"Да",0,IFERROR(SUMIF(INDIRECT("'["&amp;НАСТРОЙКИ!$D$8&amp;"]CF'!$L$3:$EO$3"),CD$22,INDIRECT("'["&amp;НАСТРОЙКИ!$D$8&amp;"]CF'!$L$65:$EO$65")),0))</f>
        <v>0</v>
      </c>
      <c r="CE98" s="35">
        <f ca="1">IF(НАСТРОЙКИ!$B$8&lt;&gt;"Да",0,IFERROR(SUMIF(INDIRECT("'["&amp;НАСТРОЙКИ!$D$8&amp;"]CF'!$L$3:$EO$3"),CE$22,INDIRECT("'["&amp;НАСТРОЙКИ!$D$8&amp;"]CF'!$L$65:$EO$65")),0))</f>
        <v>0</v>
      </c>
      <c r="CF98" s="35">
        <f ca="1">IF(НАСТРОЙКИ!$B$8&lt;&gt;"Да",0,IFERROR(SUMIF(INDIRECT("'["&amp;НАСТРОЙКИ!$D$8&amp;"]CF'!$L$3:$EO$3"),CF$22,INDIRECT("'["&amp;НАСТРОЙКИ!$D$8&amp;"]CF'!$L$65:$EO$65")),0))</f>
        <v>0</v>
      </c>
      <c r="CG98" s="35">
        <f ca="1">IF(НАСТРОЙКИ!$B$8&lt;&gt;"Да",0,IFERROR(SUMIF(INDIRECT("'["&amp;НАСТРОЙКИ!$D$8&amp;"]CF'!$L$3:$EO$3"),CG$22,INDIRECT("'["&amp;НАСТРОЙКИ!$D$8&amp;"]CF'!$L$65:$EO$65")),0))</f>
        <v>0</v>
      </c>
      <c r="CH98" s="35">
        <f ca="1">IF(НАСТРОЙКИ!$B$8&lt;&gt;"Да",0,IFERROR(SUMIF(INDIRECT("'["&amp;НАСТРОЙКИ!$D$8&amp;"]CF'!$L$3:$EO$3"),CH$22,INDIRECT("'["&amp;НАСТРОЙКИ!$D$8&amp;"]CF'!$L$65:$EO$65")),0))</f>
        <v>0</v>
      </c>
      <c r="CI98" s="35">
        <f ca="1">IF(НАСТРОЙКИ!$B$8&lt;&gt;"Да",0,IFERROR(SUMIF(INDIRECT("'["&amp;НАСТРОЙКИ!$D$8&amp;"]CF'!$L$3:$EO$3"),CI$22,INDIRECT("'["&amp;НАСТРОЙКИ!$D$8&amp;"]CF'!$L$65:$EO$65")),0))</f>
        <v>0</v>
      </c>
      <c r="CJ98" s="35">
        <f ca="1">IF(НАСТРОЙКИ!$B$8&lt;&gt;"Да",0,IFERROR(SUMIF(INDIRECT("'["&amp;НАСТРОЙКИ!$D$8&amp;"]CF'!$L$3:$EO$3"),CJ$22,INDIRECT("'["&amp;НАСТРОЙКИ!$D$8&amp;"]CF'!$L$65:$EO$65")),0))</f>
        <v>0</v>
      </c>
      <c r="CK98" s="35">
        <f ca="1">IF(НАСТРОЙКИ!$B$8&lt;&gt;"Да",0,IFERROR(SUMIF(INDIRECT("'["&amp;НАСТРОЙКИ!$D$8&amp;"]CF'!$L$3:$EO$3"),CK$22,INDIRECT("'["&amp;НАСТРОЙКИ!$D$8&amp;"]CF'!$L$65:$EO$65")),0))</f>
        <v>0</v>
      </c>
      <c r="CL98" s="35">
        <f ca="1">IF(НАСТРОЙКИ!$B$8&lt;&gt;"Да",0,IFERROR(SUMIF(INDIRECT("'["&amp;НАСТРОЙКИ!$D$8&amp;"]CF'!$L$3:$EO$3"),CL$22,INDIRECT("'["&amp;НАСТРОЙКИ!$D$8&amp;"]CF'!$L$65:$EO$65")),0))</f>
        <v>0</v>
      </c>
      <c r="CM98" s="35">
        <f ca="1">IF(НАСТРОЙКИ!$B$8&lt;&gt;"Да",0,IFERROR(SUMIF(INDIRECT("'["&amp;НАСТРОЙКИ!$D$8&amp;"]CF'!$L$3:$EO$3"),CM$22,INDIRECT("'["&amp;НАСТРОЙКИ!$D$8&amp;"]CF'!$L$65:$EO$65")),0))</f>
        <v>0</v>
      </c>
      <c r="CN98" s="35">
        <f ca="1">IF(НАСТРОЙКИ!$B$8&lt;&gt;"Да",0,IFERROR(SUMIF(INDIRECT("'["&amp;НАСТРОЙКИ!$D$8&amp;"]CF'!$L$3:$EO$3"),CN$22,INDIRECT("'["&amp;НАСТРОЙКИ!$D$8&amp;"]CF'!$L$65:$EO$65")),0))</f>
        <v>0</v>
      </c>
      <c r="CO98" s="35">
        <f ca="1">IF(НАСТРОЙКИ!$B$8&lt;&gt;"Да",0,IFERROR(SUMIF(INDIRECT("'["&amp;НАСТРОЙКИ!$D$8&amp;"]CF'!$L$3:$EO$3"),CO$22,INDIRECT("'["&amp;НАСТРОЙКИ!$D$8&amp;"]CF'!$L$65:$EO$65")),0))</f>
        <v>0</v>
      </c>
      <c r="CP98" s="35">
        <f ca="1">IF(НАСТРОЙКИ!$B$8&lt;&gt;"Да",0,IFERROR(SUMIF(INDIRECT("'["&amp;НАСТРОЙКИ!$D$8&amp;"]CF'!$L$3:$EO$3"),CP$22,INDIRECT("'["&amp;НАСТРОЙКИ!$D$8&amp;"]CF'!$L$65:$EO$65")),0))</f>
        <v>0</v>
      </c>
      <c r="CQ98" s="35">
        <f ca="1">IF(НАСТРОЙКИ!$B$8&lt;&gt;"Да",0,IFERROR(SUMIF(INDIRECT("'["&amp;НАСТРОЙКИ!$D$8&amp;"]CF'!$L$3:$EO$3"),CQ$22,INDIRECT("'["&amp;НАСТРОЙКИ!$D$8&amp;"]CF'!$L$65:$EO$65")),0))</f>
        <v>0</v>
      </c>
      <c r="CR98" s="35">
        <f ca="1">IF(НАСТРОЙКИ!$B$8&lt;&gt;"Да",0,IFERROR(SUMIF(INDIRECT("'["&amp;НАСТРОЙКИ!$D$8&amp;"]CF'!$L$3:$EO$3"),CR$22,INDIRECT("'["&amp;НАСТРОЙКИ!$D$8&amp;"]CF'!$L$65:$EO$65")),0))</f>
        <v>0</v>
      </c>
      <c r="CS98" s="35">
        <f ca="1">IF(НАСТРОЙКИ!$B$8&lt;&gt;"Да",0,IFERROR(SUMIF(INDIRECT("'["&amp;НАСТРОЙКИ!$D$8&amp;"]CF'!$L$3:$EO$3"),CS$22,INDIRECT("'["&amp;НАСТРОЙКИ!$D$8&amp;"]CF'!$L$65:$EO$65")),0))</f>
        <v>0</v>
      </c>
      <c r="CT98" s="35">
        <f ca="1">IF(НАСТРОЙКИ!$B$8&lt;&gt;"Да",0,IFERROR(SUMIF(INDIRECT("'["&amp;НАСТРОЙКИ!$D$8&amp;"]CF'!$L$3:$EO$3"),CT$22,INDIRECT("'["&amp;НАСТРОЙКИ!$D$8&amp;"]CF'!$L$65:$EO$65")),0))</f>
        <v>0</v>
      </c>
      <c r="CU98" s="35">
        <f ca="1">IF(НАСТРОЙКИ!$B$8&lt;&gt;"Да",0,IFERROR(SUMIF(INDIRECT("'["&amp;НАСТРОЙКИ!$D$8&amp;"]CF'!$L$3:$EO$3"),CU$22,INDIRECT("'["&amp;НАСТРОЙКИ!$D$8&amp;"]CF'!$L$65:$EO$65")),0))</f>
        <v>0</v>
      </c>
      <c r="CV98" s="35">
        <f ca="1">IF(НАСТРОЙКИ!$B$8&lt;&gt;"Да",0,IFERROR(SUMIF(INDIRECT("'["&amp;НАСТРОЙКИ!$D$8&amp;"]CF'!$L$3:$EO$3"),CV$22,INDIRECT("'["&amp;НАСТРОЙКИ!$D$8&amp;"]CF'!$L$65:$EO$65")),0))</f>
        <v>0</v>
      </c>
      <c r="CW98" s="35">
        <f ca="1">IF(НАСТРОЙКИ!$B$8&lt;&gt;"Да",0,IFERROR(SUMIF(INDIRECT("'["&amp;НАСТРОЙКИ!$D$8&amp;"]CF'!$L$3:$EO$3"),CW$22,INDIRECT("'["&amp;НАСТРОЙКИ!$D$8&amp;"]CF'!$L$65:$EO$65")),0))</f>
        <v>0</v>
      </c>
      <c r="CX98" s="35">
        <f ca="1">IF(НАСТРОЙКИ!$B$8&lt;&gt;"Да",0,IFERROR(SUMIF(INDIRECT("'["&amp;НАСТРОЙКИ!$D$8&amp;"]CF'!$L$3:$EO$3"),CX$22,INDIRECT("'["&amp;НАСТРОЙКИ!$D$8&amp;"]CF'!$L$65:$EO$65")),0))</f>
        <v>0</v>
      </c>
      <c r="CY98" s="35">
        <f ca="1">IF(НАСТРОЙКИ!$B$8&lt;&gt;"Да",0,IFERROR(SUMIF(INDIRECT("'["&amp;НАСТРОЙКИ!$D$8&amp;"]CF'!$L$3:$EO$3"),CY$22,INDIRECT("'["&amp;НАСТРОЙКИ!$D$8&amp;"]CF'!$L$65:$EO$65")),0))</f>
        <v>0</v>
      </c>
      <c r="CZ98" s="35">
        <f ca="1">IF(НАСТРОЙКИ!$B$8&lt;&gt;"Да",0,IFERROR(SUMIF(INDIRECT("'["&amp;НАСТРОЙКИ!$D$8&amp;"]CF'!$L$3:$EO$3"),CZ$22,INDIRECT("'["&amp;НАСТРОЙКИ!$D$8&amp;"]CF'!$L$65:$EO$65")),0))</f>
        <v>0</v>
      </c>
      <c r="DA98" s="35">
        <f ca="1">IF(НАСТРОЙКИ!$B$8&lt;&gt;"Да",0,IFERROR(SUMIF(INDIRECT("'["&amp;НАСТРОЙКИ!$D$8&amp;"]CF'!$L$3:$EO$3"),DA$22,INDIRECT("'["&amp;НАСТРОЙКИ!$D$8&amp;"]CF'!$L$65:$EO$65")),0))</f>
        <v>0</v>
      </c>
      <c r="DB98" s="35">
        <f ca="1">IF(НАСТРОЙКИ!$B$8&lt;&gt;"Да",0,IFERROR(SUMIF(INDIRECT("'["&amp;НАСТРОЙКИ!$D$8&amp;"]CF'!$L$3:$EO$3"),DB$22,INDIRECT("'["&amp;НАСТРОЙКИ!$D$8&amp;"]CF'!$L$65:$EO$65")),0))</f>
        <v>0</v>
      </c>
      <c r="DC98" s="35">
        <f ca="1">IF(НАСТРОЙКИ!$B$8&lt;&gt;"Да",0,IFERROR(SUMIF(INDIRECT("'["&amp;НАСТРОЙКИ!$D$8&amp;"]CF'!$L$3:$EO$3"),DC$22,INDIRECT("'["&amp;НАСТРОЙКИ!$D$8&amp;"]CF'!$L$65:$EO$65")),0))</f>
        <v>0</v>
      </c>
      <c r="DD98" s="35">
        <f ca="1">IF(НАСТРОЙКИ!$B$8&lt;&gt;"Да",0,IFERROR(SUMIF(INDIRECT("'["&amp;НАСТРОЙКИ!$D$8&amp;"]CF'!$L$3:$EO$3"),DD$22,INDIRECT("'["&amp;НАСТРОЙКИ!$D$8&amp;"]CF'!$L$65:$EO$65")),0))</f>
        <v>0</v>
      </c>
      <c r="DE98" s="35">
        <f ca="1">IF(НАСТРОЙКИ!$B$8&lt;&gt;"Да",0,IFERROR(SUMIF(INDIRECT("'["&amp;НАСТРОЙКИ!$D$8&amp;"]CF'!$L$3:$EO$3"),DE$22,INDIRECT("'["&amp;НАСТРОЙКИ!$D$8&amp;"]CF'!$L$65:$EO$65")),0))</f>
        <v>0</v>
      </c>
      <c r="DF98" s="35">
        <f ca="1">IF(НАСТРОЙКИ!$B$8&lt;&gt;"Да",0,IFERROR(SUMIF(INDIRECT("'["&amp;НАСТРОЙКИ!$D$8&amp;"]CF'!$L$3:$EO$3"),DF$22,INDIRECT("'["&amp;НАСТРОЙКИ!$D$8&amp;"]CF'!$L$65:$EO$65")),0))</f>
        <v>0</v>
      </c>
    </row>
    <row r="99" spans="1:110">
      <c r="A99" s="34" t="s">
        <v>129</v>
      </c>
      <c r="B99" s="34" t="s">
        <v>58</v>
      </c>
      <c r="C99" s="35">
        <f ca="1">IF(НАСТРОЙКИ!$B$8&lt;&gt;"Да",0,IFERROR(SUMIF(INDIRECT("'["&amp;НАСТРОЙКИ!$D$8&amp;"]CF'!$L$3:$EO$3"),C$22,INDIRECT("'["&amp;НАСТРОЙКИ!$D$8&amp;"]CF'!$L$66:$EO$66")),0))</f>
        <v>0</v>
      </c>
      <c r="D99" s="35">
        <f ca="1">IF(НАСТРОЙКИ!$B$8&lt;&gt;"Да",0,IFERROR(SUMIF(INDIRECT("'["&amp;НАСТРОЙКИ!$D$8&amp;"]CF'!$L$3:$EO$3"),D$22,INDIRECT("'["&amp;НАСТРОЙКИ!$D$8&amp;"]CF'!$L$66:$EO$66")),0))</f>
        <v>0</v>
      </c>
      <c r="E99" s="35">
        <f ca="1">IF(НАСТРОЙКИ!$B$8&lt;&gt;"Да",0,IFERROR(SUMIF(INDIRECT("'["&amp;НАСТРОЙКИ!$D$8&amp;"]CF'!$L$3:$EO$3"),E$22,INDIRECT("'["&amp;НАСТРОЙКИ!$D$8&amp;"]CF'!$L$66:$EO$66")),0))</f>
        <v>0</v>
      </c>
      <c r="F99" s="35">
        <f ca="1">IF(НАСТРОЙКИ!$B$8&lt;&gt;"Да",0,IFERROR(SUMIF(INDIRECT("'["&amp;НАСТРОЙКИ!$D$8&amp;"]CF'!$L$3:$EO$3"),F$22,INDIRECT("'["&amp;НАСТРОЙКИ!$D$8&amp;"]CF'!$L$66:$EO$66")),0))</f>
        <v>0</v>
      </c>
      <c r="G99" s="35">
        <f ca="1">IF(НАСТРОЙКИ!$B$8&lt;&gt;"Да",0,IFERROR(SUMIF(INDIRECT("'["&amp;НАСТРОЙКИ!$D$8&amp;"]CF'!$L$3:$EO$3"),G$22,INDIRECT("'["&amp;НАСТРОЙКИ!$D$8&amp;"]CF'!$L$66:$EO$66")),0))</f>
        <v>0</v>
      </c>
      <c r="H99" s="35">
        <f ca="1">IF(НАСТРОЙКИ!$B$8&lt;&gt;"Да",0,IFERROR(SUMIF(INDIRECT("'["&amp;НАСТРОЙКИ!$D$8&amp;"]CF'!$L$3:$EO$3"),H$22,INDIRECT("'["&amp;НАСТРОЙКИ!$D$8&amp;"]CF'!$L$66:$EO$66")),0))</f>
        <v>0</v>
      </c>
      <c r="I99" s="35">
        <f ca="1">IF(НАСТРОЙКИ!$B$8&lt;&gt;"Да",0,IFERROR(SUMIF(INDIRECT("'["&amp;НАСТРОЙКИ!$D$8&amp;"]CF'!$L$3:$EO$3"),I$22,INDIRECT("'["&amp;НАСТРОЙКИ!$D$8&amp;"]CF'!$L$66:$EO$66")),0))</f>
        <v>0</v>
      </c>
      <c r="J99" s="35">
        <f ca="1">IF(НАСТРОЙКИ!$B$8&lt;&gt;"Да",0,IFERROR(SUMIF(INDIRECT("'["&amp;НАСТРОЙКИ!$D$8&amp;"]CF'!$L$3:$EO$3"),J$22,INDIRECT("'["&amp;НАСТРОЙКИ!$D$8&amp;"]CF'!$L$66:$EO$66")),0))</f>
        <v>0</v>
      </c>
      <c r="K99" s="35">
        <f ca="1">IF(НАСТРОЙКИ!$B$8&lt;&gt;"Да",0,IFERROR(SUMIF(INDIRECT("'["&amp;НАСТРОЙКИ!$D$8&amp;"]CF'!$L$3:$EO$3"),K$22,INDIRECT("'["&amp;НАСТРОЙКИ!$D$8&amp;"]CF'!$L$66:$EO$66")),0))</f>
        <v>0</v>
      </c>
      <c r="L99" s="35">
        <f ca="1">IF(НАСТРОЙКИ!$B$8&lt;&gt;"Да",0,IFERROR(SUMIF(INDIRECT("'["&amp;НАСТРОЙКИ!$D$8&amp;"]CF'!$L$3:$EO$3"),L$22,INDIRECT("'["&amp;НАСТРОЙКИ!$D$8&amp;"]CF'!$L$66:$EO$66")),0))</f>
        <v>0</v>
      </c>
      <c r="M99" s="35">
        <f ca="1">IF(НАСТРОЙКИ!$B$8&lt;&gt;"Да",0,IFERROR(SUMIF(INDIRECT("'["&amp;НАСТРОЙКИ!$D$8&amp;"]CF'!$L$3:$EO$3"),M$22,INDIRECT("'["&amp;НАСТРОЙКИ!$D$8&amp;"]CF'!$L$66:$EO$66")),0))</f>
        <v>0</v>
      </c>
      <c r="N99" s="35">
        <f ca="1">IF(НАСТРОЙКИ!$B$8&lt;&gt;"Да",0,IFERROR(SUMIF(INDIRECT("'["&amp;НАСТРОЙКИ!$D$8&amp;"]CF'!$L$3:$EO$3"),N$22,INDIRECT("'["&amp;НАСТРОЙКИ!$D$8&amp;"]CF'!$L$66:$EO$66")),0))</f>
        <v>0</v>
      </c>
      <c r="O99" s="35">
        <f ca="1">IF(НАСТРОЙКИ!$B$8&lt;&gt;"Да",0,IFERROR(SUMIF(INDIRECT("'["&amp;НАСТРОЙКИ!$D$8&amp;"]CF'!$L$3:$EO$3"),O$22,INDIRECT("'["&amp;НАСТРОЙКИ!$D$8&amp;"]CF'!$L$66:$EO$66")),0))</f>
        <v>0</v>
      </c>
      <c r="P99" s="35">
        <f ca="1">IF(НАСТРОЙКИ!$B$8&lt;&gt;"Да",0,IFERROR(SUMIF(INDIRECT("'["&amp;НАСТРОЙКИ!$D$8&amp;"]CF'!$L$3:$EO$3"),P$22,INDIRECT("'["&amp;НАСТРОЙКИ!$D$8&amp;"]CF'!$L$66:$EO$66")),0))</f>
        <v>0</v>
      </c>
      <c r="Q99" s="35">
        <f ca="1">IF(НАСТРОЙКИ!$B$8&lt;&gt;"Да",0,IFERROR(SUMIF(INDIRECT("'["&amp;НАСТРОЙКИ!$D$8&amp;"]CF'!$L$3:$EO$3"),Q$22,INDIRECT("'["&amp;НАСТРОЙКИ!$D$8&amp;"]CF'!$L$66:$EO$66")),0))</f>
        <v>0</v>
      </c>
      <c r="R99" s="35">
        <f ca="1">IF(НАСТРОЙКИ!$B$8&lt;&gt;"Да",0,IFERROR(SUMIF(INDIRECT("'["&amp;НАСТРОЙКИ!$D$8&amp;"]CF'!$L$3:$EO$3"),R$22,INDIRECT("'["&amp;НАСТРОЙКИ!$D$8&amp;"]CF'!$L$66:$EO$66")),0))</f>
        <v>0</v>
      </c>
      <c r="S99" s="35">
        <f ca="1">IF(НАСТРОЙКИ!$B$8&lt;&gt;"Да",0,IFERROR(SUMIF(INDIRECT("'["&amp;НАСТРОЙКИ!$D$8&amp;"]CF'!$L$3:$EO$3"),S$22,INDIRECT("'["&amp;НАСТРОЙКИ!$D$8&amp;"]CF'!$L$66:$EO$66")),0))</f>
        <v>0</v>
      </c>
      <c r="T99" s="35">
        <f ca="1">IF(НАСТРОЙКИ!$B$8&lt;&gt;"Да",0,IFERROR(SUMIF(INDIRECT("'["&amp;НАСТРОЙКИ!$D$8&amp;"]CF'!$L$3:$EO$3"),T$22,INDIRECT("'["&amp;НАСТРОЙКИ!$D$8&amp;"]CF'!$L$66:$EO$66")),0))</f>
        <v>0</v>
      </c>
      <c r="U99" s="35">
        <f ca="1">IF(НАСТРОЙКИ!$B$8&lt;&gt;"Да",0,IFERROR(SUMIF(INDIRECT("'["&amp;НАСТРОЙКИ!$D$8&amp;"]CF'!$L$3:$EO$3"),U$22,INDIRECT("'["&amp;НАСТРОЙКИ!$D$8&amp;"]CF'!$L$66:$EO$66")),0))</f>
        <v>0</v>
      </c>
      <c r="V99" s="35">
        <f ca="1">IF(НАСТРОЙКИ!$B$8&lt;&gt;"Да",0,IFERROR(SUMIF(INDIRECT("'["&amp;НАСТРОЙКИ!$D$8&amp;"]CF'!$L$3:$EO$3"),V$22,INDIRECT("'["&amp;НАСТРОЙКИ!$D$8&amp;"]CF'!$L$66:$EO$66")),0))</f>
        <v>0</v>
      </c>
      <c r="W99" s="35">
        <f ca="1">IF(НАСТРОЙКИ!$B$8&lt;&gt;"Да",0,IFERROR(SUMIF(INDIRECT("'["&amp;НАСТРОЙКИ!$D$8&amp;"]CF'!$L$3:$EO$3"),W$22,INDIRECT("'["&amp;НАСТРОЙКИ!$D$8&amp;"]CF'!$L$66:$EO$66")),0))</f>
        <v>0</v>
      </c>
      <c r="X99" s="35">
        <f ca="1">IF(НАСТРОЙКИ!$B$8&lt;&gt;"Да",0,IFERROR(SUMIF(INDIRECT("'["&amp;НАСТРОЙКИ!$D$8&amp;"]CF'!$L$3:$EO$3"),X$22,INDIRECT("'["&amp;НАСТРОЙКИ!$D$8&amp;"]CF'!$L$66:$EO$66")),0))</f>
        <v>0</v>
      </c>
      <c r="Y99" s="35">
        <f ca="1">IF(НАСТРОЙКИ!$B$8&lt;&gt;"Да",0,IFERROR(SUMIF(INDIRECT("'["&amp;НАСТРОЙКИ!$D$8&amp;"]CF'!$L$3:$EO$3"),Y$22,INDIRECT("'["&amp;НАСТРОЙКИ!$D$8&amp;"]CF'!$L$66:$EO$66")),0))</f>
        <v>0</v>
      </c>
      <c r="Z99" s="35">
        <f ca="1">IF(НАСТРОЙКИ!$B$8&lt;&gt;"Да",0,IFERROR(SUMIF(INDIRECT("'["&amp;НАСТРОЙКИ!$D$8&amp;"]CF'!$L$3:$EO$3"),Z$22,INDIRECT("'["&amp;НАСТРОЙКИ!$D$8&amp;"]CF'!$L$66:$EO$66")),0))</f>
        <v>0</v>
      </c>
      <c r="AA99" s="35">
        <f ca="1">IF(НАСТРОЙКИ!$B$8&lt;&gt;"Да",0,IFERROR(SUMIF(INDIRECT("'["&amp;НАСТРОЙКИ!$D$8&amp;"]CF'!$L$3:$EO$3"),AA$22,INDIRECT("'["&amp;НАСТРОЙКИ!$D$8&amp;"]CF'!$L$66:$EO$66")),0))</f>
        <v>0</v>
      </c>
      <c r="AB99" s="35">
        <f ca="1">IF(НАСТРОЙКИ!$B$8&lt;&gt;"Да",0,IFERROR(SUMIF(INDIRECT("'["&amp;НАСТРОЙКИ!$D$8&amp;"]CF'!$L$3:$EO$3"),AB$22,INDIRECT("'["&amp;НАСТРОЙКИ!$D$8&amp;"]CF'!$L$66:$EO$66")),0))</f>
        <v>0</v>
      </c>
      <c r="AC99" s="35">
        <f ca="1">IF(НАСТРОЙКИ!$B$8&lt;&gt;"Да",0,IFERROR(SUMIF(INDIRECT("'["&amp;НАСТРОЙКИ!$D$8&amp;"]CF'!$L$3:$EO$3"),AC$22,INDIRECT("'["&amp;НАСТРОЙКИ!$D$8&amp;"]CF'!$L$66:$EO$66")),0))</f>
        <v>0</v>
      </c>
      <c r="AD99" s="35">
        <f ca="1">IF(НАСТРОЙКИ!$B$8&lt;&gt;"Да",0,IFERROR(SUMIF(INDIRECT("'["&amp;НАСТРОЙКИ!$D$8&amp;"]CF'!$L$3:$EO$3"),AD$22,INDIRECT("'["&amp;НАСТРОЙКИ!$D$8&amp;"]CF'!$L$66:$EO$66")),0))</f>
        <v>0</v>
      </c>
      <c r="AE99" s="35">
        <f ca="1">IF(НАСТРОЙКИ!$B$8&lt;&gt;"Да",0,IFERROR(SUMIF(INDIRECT("'["&amp;НАСТРОЙКИ!$D$8&amp;"]CF'!$L$3:$EO$3"),AE$22,INDIRECT("'["&amp;НАСТРОЙКИ!$D$8&amp;"]CF'!$L$66:$EO$66")),0))</f>
        <v>0</v>
      </c>
      <c r="AF99" s="35">
        <f ca="1">IF(НАСТРОЙКИ!$B$8&lt;&gt;"Да",0,IFERROR(SUMIF(INDIRECT("'["&amp;НАСТРОЙКИ!$D$8&amp;"]CF'!$L$3:$EO$3"),AF$22,INDIRECT("'["&amp;НАСТРОЙКИ!$D$8&amp;"]CF'!$L$66:$EO$66")),0))</f>
        <v>0</v>
      </c>
      <c r="AG99" s="35">
        <f ca="1">IF(НАСТРОЙКИ!$B$8&lt;&gt;"Да",0,IFERROR(SUMIF(INDIRECT("'["&amp;НАСТРОЙКИ!$D$8&amp;"]CF'!$L$3:$EO$3"),AG$22,INDIRECT("'["&amp;НАСТРОЙКИ!$D$8&amp;"]CF'!$L$66:$EO$66")),0))</f>
        <v>0</v>
      </c>
      <c r="AH99" s="35">
        <f ca="1">IF(НАСТРОЙКИ!$B$8&lt;&gt;"Да",0,IFERROR(SUMIF(INDIRECT("'["&amp;НАСТРОЙКИ!$D$8&amp;"]CF'!$L$3:$EO$3"),AH$22,INDIRECT("'["&amp;НАСТРОЙКИ!$D$8&amp;"]CF'!$L$66:$EO$66")),0))</f>
        <v>0</v>
      </c>
      <c r="AI99" s="35">
        <f ca="1">IF(НАСТРОЙКИ!$B$8&lt;&gt;"Да",0,IFERROR(SUMIF(INDIRECT("'["&amp;НАСТРОЙКИ!$D$8&amp;"]CF'!$L$3:$EO$3"),AI$22,INDIRECT("'["&amp;НАСТРОЙКИ!$D$8&amp;"]CF'!$L$66:$EO$66")),0))</f>
        <v>0</v>
      </c>
      <c r="AJ99" s="35">
        <f ca="1">IF(НАСТРОЙКИ!$B$8&lt;&gt;"Да",0,IFERROR(SUMIF(INDIRECT("'["&amp;НАСТРОЙКИ!$D$8&amp;"]CF'!$L$3:$EO$3"),AJ$22,INDIRECT("'["&amp;НАСТРОЙКИ!$D$8&amp;"]CF'!$L$66:$EO$66")),0))</f>
        <v>0</v>
      </c>
      <c r="AK99" s="35">
        <f ca="1">IF(НАСТРОЙКИ!$B$8&lt;&gt;"Да",0,IFERROR(SUMIF(INDIRECT("'["&amp;НАСТРОЙКИ!$D$8&amp;"]CF'!$L$3:$EO$3"),AK$22,INDIRECT("'["&amp;НАСТРОЙКИ!$D$8&amp;"]CF'!$L$66:$EO$66")),0))</f>
        <v>0</v>
      </c>
      <c r="AL99" s="35">
        <f ca="1">IF(НАСТРОЙКИ!$B$8&lt;&gt;"Да",0,IFERROR(SUMIF(INDIRECT("'["&amp;НАСТРОЙКИ!$D$8&amp;"]CF'!$L$3:$EO$3"),AL$22,INDIRECT("'["&amp;НАСТРОЙКИ!$D$8&amp;"]CF'!$L$66:$EO$66")),0))</f>
        <v>0</v>
      </c>
      <c r="AM99" s="35">
        <f ca="1">IF(НАСТРОЙКИ!$B$8&lt;&gt;"Да",0,IFERROR(SUMIF(INDIRECT("'["&amp;НАСТРОЙКИ!$D$8&amp;"]CF'!$L$3:$EO$3"),AM$22,INDIRECT("'["&amp;НАСТРОЙКИ!$D$8&amp;"]CF'!$L$66:$EO$66")),0))</f>
        <v>0</v>
      </c>
      <c r="AN99" s="35">
        <f ca="1">IF(НАСТРОЙКИ!$B$8&lt;&gt;"Да",0,IFERROR(SUMIF(INDIRECT("'["&amp;НАСТРОЙКИ!$D$8&amp;"]CF'!$L$3:$EO$3"),AN$22,INDIRECT("'["&amp;НАСТРОЙКИ!$D$8&amp;"]CF'!$L$66:$EO$66")),0))</f>
        <v>0</v>
      </c>
      <c r="AO99" s="35">
        <f ca="1">IF(НАСТРОЙКИ!$B$8&lt;&gt;"Да",0,IFERROR(SUMIF(INDIRECT("'["&amp;НАСТРОЙКИ!$D$8&amp;"]CF'!$L$3:$EO$3"),AO$22,INDIRECT("'["&amp;НАСТРОЙКИ!$D$8&amp;"]CF'!$L$66:$EO$66")),0))</f>
        <v>0</v>
      </c>
      <c r="AP99" s="35">
        <f ca="1">IF(НАСТРОЙКИ!$B$8&lt;&gt;"Да",0,IFERROR(SUMIF(INDIRECT("'["&amp;НАСТРОЙКИ!$D$8&amp;"]CF'!$L$3:$EO$3"),AP$22,INDIRECT("'["&amp;НАСТРОЙКИ!$D$8&amp;"]CF'!$L$66:$EO$66")),0))</f>
        <v>0</v>
      </c>
      <c r="AQ99" s="35">
        <f ca="1">IF(НАСТРОЙКИ!$B$8&lt;&gt;"Да",0,IFERROR(SUMIF(INDIRECT("'["&amp;НАСТРОЙКИ!$D$8&amp;"]CF'!$L$3:$EO$3"),AQ$22,INDIRECT("'["&amp;НАСТРОЙКИ!$D$8&amp;"]CF'!$L$66:$EO$66")),0))</f>
        <v>0</v>
      </c>
      <c r="AR99" s="35">
        <f ca="1">IF(НАСТРОЙКИ!$B$8&lt;&gt;"Да",0,IFERROR(SUMIF(INDIRECT("'["&amp;НАСТРОЙКИ!$D$8&amp;"]CF'!$L$3:$EO$3"),AR$22,INDIRECT("'["&amp;НАСТРОЙКИ!$D$8&amp;"]CF'!$L$66:$EO$66")),0))</f>
        <v>0</v>
      </c>
      <c r="AS99" s="35">
        <f ca="1">IF(НАСТРОЙКИ!$B$8&lt;&gt;"Да",0,IFERROR(SUMIF(INDIRECT("'["&amp;НАСТРОЙКИ!$D$8&amp;"]CF'!$L$3:$EO$3"),AS$22,INDIRECT("'["&amp;НАСТРОЙКИ!$D$8&amp;"]CF'!$L$66:$EO$66")),0))</f>
        <v>0</v>
      </c>
      <c r="AT99" s="35">
        <f ca="1">IF(НАСТРОЙКИ!$B$8&lt;&gt;"Да",0,IFERROR(SUMIF(INDIRECT("'["&amp;НАСТРОЙКИ!$D$8&amp;"]CF'!$L$3:$EO$3"),AT$22,INDIRECT("'["&amp;НАСТРОЙКИ!$D$8&amp;"]CF'!$L$66:$EO$66")),0))</f>
        <v>0</v>
      </c>
      <c r="AU99" s="35">
        <f ca="1">IF(НАСТРОЙКИ!$B$8&lt;&gt;"Да",0,IFERROR(SUMIF(INDIRECT("'["&amp;НАСТРОЙКИ!$D$8&amp;"]CF'!$L$3:$EO$3"),AU$22,INDIRECT("'["&amp;НАСТРОЙКИ!$D$8&amp;"]CF'!$L$66:$EO$66")),0))</f>
        <v>0</v>
      </c>
      <c r="AV99" s="35">
        <f ca="1">IF(НАСТРОЙКИ!$B$8&lt;&gt;"Да",0,IFERROR(SUMIF(INDIRECT("'["&amp;НАСТРОЙКИ!$D$8&amp;"]CF'!$L$3:$EO$3"),AV$22,INDIRECT("'["&amp;НАСТРОЙКИ!$D$8&amp;"]CF'!$L$66:$EO$66")),0))</f>
        <v>0</v>
      </c>
      <c r="AW99" s="35">
        <f ca="1">IF(НАСТРОЙКИ!$B$8&lt;&gt;"Да",0,IFERROR(SUMIF(INDIRECT("'["&amp;НАСТРОЙКИ!$D$8&amp;"]CF'!$L$3:$EO$3"),AW$22,INDIRECT("'["&amp;НАСТРОЙКИ!$D$8&amp;"]CF'!$L$66:$EO$66")),0))</f>
        <v>0</v>
      </c>
      <c r="AX99" s="35">
        <f ca="1">IF(НАСТРОЙКИ!$B$8&lt;&gt;"Да",0,IFERROR(SUMIF(INDIRECT("'["&amp;НАСТРОЙКИ!$D$8&amp;"]CF'!$L$3:$EO$3"),AX$22,INDIRECT("'["&amp;НАСТРОЙКИ!$D$8&amp;"]CF'!$L$66:$EO$66")),0))</f>
        <v>0</v>
      </c>
      <c r="AY99" s="35">
        <f ca="1">IF(НАСТРОЙКИ!$B$8&lt;&gt;"Да",0,IFERROR(SUMIF(INDIRECT("'["&amp;НАСТРОЙКИ!$D$8&amp;"]CF'!$L$3:$EO$3"),AY$22,INDIRECT("'["&amp;НАСТРОЙКИ!$D$8&amp;"]CF'!$L$66:$EO$66")),0))</f>
        <v>0</v>
      </c>
      <c r="AZ99" s="35">
        <f ca="1">IF(НАСТРОЙКИ!$B$8&lt;&gt;"Да",0,IFERROR(SUMIF(INDIRECT("'["&amp;НАСТРОЙКИ!$D$8&amp;"]CF'!$L$3:$EO$3"),AZ$22,INDIRECT("'["&amp;НАСТРОЙКИ!$D$8&amp;"]CF'!$L$66:$EO$66")),0))</f>
        <v>0</v>
      </c>
      <c r="BA99" s="35">
        <f ca="1">IF(НАСТРОЙКИ!$B$8&lt;&gt;"Да",0,IFERROR(SUMIF(INDIRECT("'["&amp;НАСТРОЙКИ!$D$8&amp;"]CF'!$L$3:$EO$3"),BA$22,INDIRECT("'["&amp;НАСТРОЙКИ!$D$8&amp;"]CF'!$L$66:$EO$66")),0))</f>
        <v>0</v>
      </c>
      <c r="BB99" s="35">
        <f ca="1">IF(НАСТРОЙКИ!$B$8&lt;&gt;"Да",0,IFERROR(SUMIF(INDIRECT("'["&amp;НАСТРОЙКИ!$D$8&amp;"]CF'!$L$3:$EO$3"),BB$22,INDIRECT("'["&amp;НАСТРОЙКИ!$D$8&amp;"]CF'!$L$66:$EO$66")),0))</f>
        <v>0</v>
      </c>
      <c r="BC99" s="35">
        <f ca="1">IF(НАСТРОЙКИ!$B$8&lt;&gt;"Да",0,IFERROR(SUMIF(INDIRECT("'["&amp;НАСТРОЙКИ!$D$8&amp;"]CF'!$L$3:$EO$3"),BC$22,INDIRECT("'["&amp;НАСТРОЙКИ!$D$8&amp;"]CF'!$L$66:$EO$66")),0))</f>
        <v>0</v>
      </c>
      <c r="BD99" s="35">
        <f ca="1">IF(НАСТРОЙКИ!$B$8&lt;&gt;"Да",0,IFERROR(SUMIF(INDIRECT("'["&amp;НАСТРОЙКИ!$D$8&amp;"]CF'!$L$3:$EO$3"),BD$22,INDIRECT("'["&amp;НАСТРОЙКИ!$D$8&amp;"]CF'!$L$66:$EO$66")),0))</f>
        <v>0</v>
      </c>
      <c r="BE99" s="35">
        <f ca="1">IF(НАСТРОЙКИ!$B$8&lt;&gt;"Да",0,IFERROR(SUMIF(INDIRECT("'["&amp;НАСТРОЙКИ!$D$8&amp;"]CF'!$L$3:$EO$3"),BE$22,INDIRECT("'["&amp;НАСТРОЙКИ!$D$8&amp;"]CF'!$L$66:$EO$66")),0))</f>
        <v>0</v>
      </c>
      <c r="BF99" s="35">
        <f ca="1">IF(НАСТРОЙКИ!$B$8&lt;&gt;"Да",0,IFERROR(SUMIF(INDIRECT("'["&amp;НАСТРОЙКИ!$D$8&amp;"]CF'!$L$3:$EO$3"),BF$22,INDIRECT("'["&amp;НАСТРОЙКИ!$D$8&amp;"]CF'!$L$66:$EO$66")),0))</f>
        <v>0</v>
      </c>
      <c r="BG99" s="35">
        <f ca="1">IF(НАСТРОЙКИ!$B$8&lt;&gt;"Да",0,IFERROR(SUMIF(INDIRECT("'["&amp;НАСТРОЙКИ!$D$8&amp;"]CF'!$L$3:$EO$3"),BG$22,INDIRECT("'["&amp;НАСТРОЙКИ!$D$8&amp;"]CF'!$L$66:$EO$66")),0))</f>
        <v>0</v>
      </c>
      <c r="BH99" s="35">
        <f ca="1">IF(НАСТРОЙКИ!$B$8&lt;&gt;"Да",0,IFERROR(SUMIF(INDIRECT("'["&amp;НАСТРОЙКИ!$D$8&amp;"]CF'!$L$3:$EO$3"),BH$22,INDIRECT("'["&amp;НАСТРОЙКИ!$D$8&amp;"]CF'!$L$66:$EO$66")),0))</f>
        <v>0</v>
      </c>
      <c r="BI99" s="35">
        <f ca="1">IF(НАСТРОЙКИ!$B$8&lt;&gt;"Да",0,IFERROR(SUMIF(INDIRECT("'["&amp;НАСТРОЙКИ!$D$8&amp;"]CF'!$L$3:$EO$3"),BI$22,INDIRECT("'["&amp;НАСТРОЙКИ!$D$8&amp;"]CF'!$L$66:$EO$66")),0))</f>
        <v>0</v>
      </c>
      <c r="BJ99" s="35">
        <f ca="1">IF(НАСТРОЙКИ!$B$8&lt;&gt;"Да",0,IFERROR(SUMIF(INDIRECT("'["&amp;НАСТРОЙКИ!$D$8&amp;"]CF'!$L$3:$EO$3"),BJ$22,INDIRECT("'["&amp;НАСТРОЙКИ!$D$8&amp;"]CF'!$L$66:$EO$66")),0))</f>
        <v>0</v>
      </c>
      <c r="BK99" s="35">
        <f ca="1">IF(НАСТРОЙКИ!$B$8&lt;&gt;"Да",0,IFERROR(SUMIF(INDIRECT("'["&amp;НАСТРОЙКИ!$D$8&amp;"]CF'!$L$3:$EO$3"),BK$22,INDIRECT("'["&amp;НАСТРОЙКИ!$D$8&amp;"]CF'!$L$66:$EO$66")),0))</f>
        <v>0</v>
      </c>
      <c r="BL99" s="35">
        <f ca="1">IF(НАСТРОЙКИ!$B$8&lt;&gt;"Да",0,IFERROR(SUMIF(INDIRECT("'["&amp;НАСТРОЙКИ!$D$8&amp;"]CF'!$L$3:$EO$3"),BL$22,INDIRECT("'["&amp;НАСТРОЙКИ!$D$8&amp;"]CF'!$L$66:$EO$66")),0))</f>
        <v>0</v>
      </c>
      <c r="BM99" s="35">
        <f ca="1">IF(НАСТРОЙКИ!$B$8&lt;&gt;"Да",0,IFERROR(SUMIF(INDIRECT("'["&amp;НАСТРОЙКИ!$D$8&amp;"]CF'!$L$3:$EO$3"),BM$22,INDIRECT("'["&amp;НАСТРОЙКИ!$D$8&amp;"]CF'!$L$66:$EO$66")),0))</f>
        <v>0</v>
      </c>
      <c r="BN99" s="35">
        <f ca="1">IF(НАСТРОЙКИ!$B$8&lt;&gt;"Да",0,IFERROR(SUMIF(INDIRECT("'["&amp;НАСТРОЙКИ!$D$8&amp;"]CF'!$L$3:$EO$3"),BN$22,INDIRECT("'["&amp;НАСТРОЙКИ!$D$8&amp;"]CF'!$L$66:$EO$66")),0))</f>
        <v>0</v>
      </c>
      <c r="BO99" s="35">
        <f ca="1">IF(НАСТРОЙКИ!$B$8&lt;&gt;"Да",0,IFERROR(SUMIF(INDIRECT("'["&amp;НАСТРОЙКИ!$D$8&amp;"]CF'!$L$3:$EO$3"),BO$22,INDIRECT("'["&amp;НАСТРОЙКИ!$D$8&amp;"]CF'!$L$66:$EO$66")),0))</f>
        <v>0</v>
      </c>
      <c r="BP99" s="35">
        <f ca="1">IF(НАСТРОЙКИ!$B$8&lt;&gt;"Да",0,IFERROR(SUMIF(INDIRECT("'["&amp;НАСТРОЙКИ!$D$8&amp;"]CF'!$L$3:$EO$3"),BP$22,INDIRECT("'["&amp;НАСТРОЙКИ!$D$8&amp;"]CF'!$L$66:$EO$66")),0))</f>
        <v>0</v>
      </c>
      <c r="BQ99" s="35">
        <f ca="1">IF(НАСТРОЙКИ!$B$8&lt;&gt;"Да",0,IFERROR(SUMIF(INDIRECT("'["&amp;НАСТРОЙКИ!$D$8&amp;"]CF'!$L$3:$EO$3"),BQ$22,INDIRECT("'["&amp;НАСТРОЙКИ!$D$8&amp;"]CF'!$L$66:$EO$66")),0))</f>
        <v>0</v>
      </c>
      <c r="BR99" s="35">
        <f ca="1">IF(НАСТРОЙКИ!$B$8&lt;&gt;"Да",0,IFERROR(SUMIF(INDIRECT("'["&amp;НАСТРОЙКИ!$D$8&amp;"]CF'!$L$3:$EO$3"),BR$22,INDIRECT("'["&amp;НАСТРОЙКИ!$D$8&amp;"]CF'!$L$66:$EO$66")),0))</f>
        <v>0</v>
      </c>
      <c r="BS99" s="35">
        <f ca="1">IF(НАСТРОЙКИ!$B$8&lt;&gt;"Да",0,IFERROR(SUMIF(INDIRECT("'["&amp;НАСТРОЙКИ!$D$8&amp;"]CF'!$L$3:$EO$3"),BS$22,INDIRECT("'["&amp;НАСТРОЙКИ!$D$8&amp;"]CF'!$L$66:$EO$66")),0))</f>
        <v>0</v>
      </c>
      <c r="BT99" s="35">
        <f ca="1">IF(НАСТРОЙКИ!$B$8&lt;&gt;"Да",0,IFERROR(SUMIF(INDIRECT("'["&amp;НАСТРОЙКИ!$D$8&amp;"]CF'!$L$3:$EO$3"),BT$22,INDIRECT("'["&amp;НАСТРОЙКИ!$D$8&amp;"]CF'!$L$66:$EO$66")),0))</f>
        <v>0</v>
      </c>
      <c r="BU99" s="35">
        <f ca="1">IF(НАСТРОЙКИ!$B$8&lt;&gt;"Да",0,IFERROR(SUMIF(INDIRECT("'["&amp;НАСТРОЙКИ!$D$8&amp;"]CF'!$L$3:$EO$3"),BU$22,INDIRECT("'["&amp;НАСТРОЙКИ!$D$8&amp;"]CF'!$L$66:$EO$66")),0))</f>
        <v>0</v>
      </c>
      <c r="BV99" s="35">
        <f ca="1">IF(НАСТРОЙКИ!$B$8&lt;&gt;"Да",0,IFERROR(SUMIF(INDIRECT("'["&amp;НАСТРОЙКИ!$D$8&amp;"]CF'!$L$3:$EO$3"),BV$22,INDIRECT("'["&amp;НАСТРОЙКИ!$D$8&amp;"]CF'!$L$66:$EO$66")),0))</f>
        <v>0</v>
      </c>
      <c r="BW99" s="35">
        <f ca="1">IF(НАСТРОЙКИ!$B$8&lt;&gt;"Да",0,IFERROR(SUMIF(INDIRECT("'["&amp;НАСТРОЙКИ!$D$8&amp;"]CF'!$L$3:$EO$3"),BW$22,INDIRECT("'["&amp;НАСТРОЙКИ!$D$8&amp;"]CF'!$L$66:$EO$66")),0))</f>
        <v>0</v>
      </c>
      <c r="BX99" s="35">
        <f ca="1">IF(НАСТРОЙКИ!$B$8&lt;&gt;"Да",0,IFERROR(SUMIF(INDIRECT("'["&amp;НАСТРОЙКИ!$D$8&amp;"]CF'!$L$3:$EO$3"),BX$22,INDIRECT("'["&amp;НАСТРОЙКИ!$D$8&amp;"]CF'!$L$66:$EO$66")),0))</f>
        <v>0</v>
      </c>
      <c r="BY99" s="35">
        <f ca="1">IF(НАСТРОЙКИ!$B$8&lt;&gt;"Да",0,IFERROR(SUMIF(INDIRECT("'["&amp;НАСТРОЙКИ!$D$8&amp;"]CF'!$L$3:$EO$3"),BY$22,INDIRECT("'["&amp;НАСТРОЙКИ!$D$8&amp;"]CF'!$L$66:$EO$66")),0))</f>
        <v>0</v>
      </c>
      <c r="BZ99" s="35">
        <f ca="1">IF(НАСТРОЙКИ!$B$8&lt;&gt;"Да",0,IFERROR(SUMIF(INDIRECT("'["&amp;НАСТРОЙКИ!$D$8&amp;"]CF'!$L$3:$EO$3"),BZ$22,INDIRECT("'["&amp;НАСТРОЙКИ!$D$8&amp;"]CF'!$L$66:$EO$66")),0))</f>
        <v>0</v>
      </c>
      <c r="CA99" s="35">
        <f ca="1">IF(НАСТРОЙКИ!$B$8&lt;&gt;"Да",0,IFERROR(SUMIF(INDIRECT("'["&amp;НАСТРОЙКИ!$D$8&amp;"]CF'!$L$3:$EO$3"),CA$22,INDIRECT("'["&amp;НАСТРОЙКИ!$D$8&amp;"]CF'!$L$66:$EO$66")),0))</f>
        <v>0</v>
      </c>
      <c r="CB99" s="35">
        <f ca="1">IF(НАСТРОЙКИ!$B$8&lt;&gt;"Да",0,IFERROR(SUMIF(INDIRECT("'["&amp;НАСТРОЙКИ!$D$8&amp;"]CF'!$L$3:$EO$3"),CB$22,INDIRECT("'["&amp;НАСТРОЙКИ!$D$8&amp;"]CF'!$L$66:$EO$66")),0))</f>
        <v>0</v>
      </c>
      <c r="CC99" s="35">
        <f ca="1">IF(НАСТРОЙКИ!$B$8&lt;&gt;"Да",0,IFERROR(SUMIF(INDIRECT("'["&amp;НАСТРОЙКИ!$D$8&amp;"]CF'!$L$3:$EO$3"),CC$22,INDIRECT("'["&amp;НАСТРОЙКИ!$D$8&amp;"]CF'!$L$66:$EO$66")),0))</f>
        <v>0</v>
      </c>
      <c r="CD99" s="35">
        <f ca="1">IF(НАСТРОЙКИ!$B$8&lt;&gt;"Да",0,IFERROR(SUMIF(INDIRECT("'["&amp;НАСТРОЙКИ!$D$8&amp;"]CF'!$L$3:$EO$3"),CD$22,INDIRECT("'["&amp;НАСТРОЙКИ!$D$8&amp;"]CF'!$L$66:$EO$66")),0))</f>
        <v>0</v>
      </c>
      <c r="CE99" s="35">
        <f ca="1">IF(НАСТРОЙКИ!$B$8&lt;&gt;"Да",0,IFERROR(SUMIF(INDIRECT("'["&amp;НАСТРОЙКИ!$D$8&amp;"]CF'!$L$3:$EO$3"),CE$22,INDIRECT("'["&amp;НАСТРОЙКИ!$D$8&amp;"]CF'!$L$66:$EO$66")),0))</f>
        <v>0</v>
      </c>
      <c r="CF99" s="35">
        <f ca="1">IF(НАСТРОЙКИ!$B$8&lt;&gt;"Да",0,IFERROR(SUMIF(INDIRECT("'["&amp;НАСТРОЙКИ!$D$8&amp;"]CF'!$L$3:$EO$3"),CF$22,INDIRECT("'["&amp;НАСТРОЙКИ!$D$8&amp;"]CF'!$L$66:$EO$66")),0))</f>
        <v>0</v>
      </c>
      <c r="CG99" s="35">
        <f ca="1">IF(НАСТРОЙКИ!$B$8&lt;&gt;"Да",0,IFERROR(SUMIF(INDIRECT("'["&amp;НАСТРОЙКИ!$D$8&amp;"]CF'!$L$3:$EO$3"),CG$22,INDIRECT("'["&amp;НАСТРОЙКИ!$D$8&amp;"]CF'!$L$66:$EO$66")),0))</f>
        <v>0</v>
      </c>
      <c r="CH99" s="35">
        <f ca="1">IF(НАСТРОЙКИ!$B$8&lt;&gt;"Да",0,IFERROR(SUMIF(INDIRECT("'["&amp;НАСТРОЙКИ!$D$8&amp;"]CF'!$L$3:$EO$3"),CH$22,INDIRECT("'["&amp;НАСТРОЙКИ!$D$8&amp;"]CF'!$L$66:$EO$66")),0))</f>
        <v>0</v>
      </c>
      <c r="CI99" s="35">
        <f ca="1">IF(НАСТРОЙКИ!$B$8&lt;&gt;"Да",0,IFERROR(SUMIF(INDIRECT("'["&amp;НАСТРОЙКИ!$D$8&amp;"]CF'!$L$3:$EO$3"),CI$22,INDIRECT("'["&amp;НАСТРОЙКИ!$D$8&amp;"]CF'!$L$66:$EO$66")),0))</f>
        <v>0</v>
      </c>
      <c r="CJ99" s="35">
        <f ca="1">IF(НАСТРОЙКИ!$B$8&lt;&gt;"Да",0,IFERROR(SUMIF(INDIRECT("'["&amp;НАСТРОЙКИ!$D$8&amp;"]CF'!$L$3:$EO$3"),CJ$22,INDIRECT("'["&amp;НАСТРОЙКИ!$D$8&amp;"]CF'!$L$66:$EO$66")),0))</f>
        <v>0</v>
      </c>
      <c r="CK99" s="35">
        <f ca="1">IF(НАСТРОЙКИ!$B$8&lt;&gt;"Да",0,IFERROR(SUMIF(INDIRECT("'["&amp;НАСТРОЙКИ!$D$8&amp;"]CF'!$L$3:$EO$3"),CK$22,INDIRECT("'["&amp;НАСТРОЙКИ!$D$8&amp;"]CF'!$L$66:$EO$66")),0))</f>
        <v>0</v>
      </c>
      <c r="CL99" s="35">
        <f ca="1">IF(НАСТРОЙКИ!$B$8&lt;&gt;"Да",0,IFERROR(SUMIF(INDIRECT("'["&amp;НАСТРОЙКИ!$D$8&amp;"]CF'!$L$3:$EO$3"),CL$22,INDIRECT("'["&amp;НАСТРОЙКИ!$D$8&amp;"]CF'!$L$66:$EO$66")),0))</f>
        <v>0</v>
      </c>
      <c r="CM99" s="35">
        <f ca="1">IF(НАСТРОЙКИ!$B$8&lt;&gt;"Да",0,IFERROR(SUMIF(INDIRECT("'["&amp;НАСТРОЙКИ!$D$8&amp;"]CF'!$L$3:$EO$3"),CM$22,INDIRECT("'["&amp;НАСТРОЙКИ!$D$8&amp;"]CF'!$L$66:$EO$66")),0))</f>
        <v>0</v>
      </c>
      <c r="CN99" s="35">
        <f ca="1">IF(НАСТРОЙКИ!$B$8&lt;&gt;"Да",0,IFERROR(SUMIF(INDIRECT("'["&amp;НАСТРОЙКИ!$D$8&amp;"]CF'!$L$3:$EO$3"),CN$22,INDIRECT("'["&amp;НАСТРОЙКИ!$D$8&amp;"]CF'!$L$66:$EO$66")),0))</f>
        <v>0</v>
      </c>
      <c r="CO99" s="35">
        <f ca="1">IF(НАСТРОЙКИ!$B$8&lt;&gt;"Да",0,IFERROR(SUMIF(INDIRECT("'["&amp;НАСТРОЙКИ!$D$8&amp;"]CF'!$L$3:$EO$3"),CO$22,INDIRECT("'["&amp;НАСТРОЙКИ!$D$8&amp;"]CF'!$L$66:$EO$66")),0))</f>
        <v>0</v>
      </c>
      <c r="CP99" s="35">
        <f ca="1">IF(НАСТРОЙКИ!$B$8&lt;&gt;"Да",0,IFERROR(SUMIF(INDIRECT("'["&amp;НАСТРОЙКИ!$D$8&amp;"]CF'!$L$3:$EO$3"),CP$22,INDIRECT("'["&amp;НАСТРОЙКИ!$D$8&amp;"]CF'!$L$66:$EO$66")),0))</f>
        <v>0</v>
      </c>
      <c r="CQ99" s="35">
        <f ca="1">IF(НАСТРОЙКИ!$B$8&lt;&gt;"Да",0,IFERROR(SUMIF(INDIRECT("'["&amp;НАСТРОЙКИ!$D$8&amp;"]CF'!$L$3:$EO$3"),CQ$22,INDIRECT("'["&amp;НАСТРОЙКИ!$D$8&amp;"]CF'!$L$66:$EO$66")),0))</f>
        <v>0</v>
      </c>
      <c r="CR99" s="35">
        <f ca="1">IF(НАСТРОЙКИ!$B$8&lt;&gt;"Да",0,IFERROR(SUMIF(INDIRECT("'["&amp;НАСТРОЙКИ!$D$8&amp;"]CF'!$L$3:$EO$3"),CR$22,INDIRECT("'["&amp;НАСТРОЙКИ!$D$8&amp;"]CF'!$L$66:$EO$66")),0))</f>
        <v>0</v>
      </c>
      <c r="CS99" s="35">
        <f ca="1">IF(НАСТРОЙКИ!$B$8&lt;&gt;"Да",0,IFERROR(SUMIF(INDIRECT("'["&amp;НАСТРОЙКИ!$D$8&amp;"]CF'!$L$3:$EO$3"),CS$22,INDIRECT("'["&amp;НАСТРОЙКИ!$D$8&amp;"]CF'!$L$66:$EO$66")),0))</f>
        <v>0</v>
      </c>
      <c r="CT99" s="35">
        <f ca="1">IF(НАСТРОЙКИ!$B$8&lt;&gt;"Да",0,IFERROR(SUMIF(INDIRECT("'["&amp;НАСТРОЙКИ!$D$8&amp;"]CF'!$L$3:$EO$3"),CT$22,INDIRECT("'["&amp;НАСТРОЙКИ!$D$8&amp;"]CF'!$L$66:$EO$66")),0))</f>
        <v>0</v>
      </c>
      <c r="CU99" s="35">
        <f ca="1">IF(НАСТРОЙКИ!$B$8&lt;&gt;"Да",0,IFERROR(SUMIF(INDIRECT("'["&amp;НАСТРОЙКИ!$D$8&amp;"]CF'!$L$3:$EO$3"),CU$22,INDIRECT("'["&amp;НАСТРОЙКИ!$D$8&amp;"]CF'!$L$66:$EO$66")),0))</f>
        <v>0</v>
      </c>
      <c r="CV99" s="35">
        <f ca="1">IF(НАСТРОЙКИ!$B$8&lt;&gt;"Да",0,IFERROR(SUMIF(INDIRECT("'["&amp;НАСТРОЙКИ!$D$8&amp;"]CF'!$L$3:$EO$3"),CV$22,INDIRECT("'["&amp;НАСТРОЙКИ!$D$8&amp;"]CF'!$L$66:$EO$66")),0))</f>
        <v>0</v>
      </c>
      <c r="CW99" s="35">
        <f ca="1">IF(НАСТРОЙКИ!$B$8&lt;&gt;"Да",0,IFERROR(SUMIF(INDIRECT("'["&amp;НАСТРОЙКИ!$D$8&amp;"]CF'!$L$3:$EO$3"),CW$22,INDIRECT("'["&amp;НАСТРОЙКИ!$D$8&amp;"]CF'!$L$66:$EO$66")),0))</f>
        <v>0</v>
      </c>
      <c r="CX99" s="35">
        <f ca="1">IF(НАСТРОЙКИ!$B$8&lt;&gt;"Да",0,IFERROR(SUMIF(INDIRECT("'["&amp;НАСТРОЙКИ!$D$8&amp;"]CF'!$L$3:$EO$3"),CX$22,INDIRECT("'["&amp;НАСТРОЙКИ!$D$8&amp;"]CF'!$L$66:$EO$66")),0))</f>
        <v>0</v>
      </c>
      <c r="CY99" s="35">
        <f ca="1">IF(НАСТРОЙКИ!$B$8&lt;&gt;"Да",0,IFERROR(SUMIF(INDIRECT("'["&amp;НАСТРОЙКИ!$D$8&amp;"]CF'!$L$3:$EO$3"),CY$22,INDIRECT("'["&amp;НАСТРОЙКИ!$D$8&amp;"]CF'!$L$66:$EO$66")),0))</f>
        <v>0</v>
      </c>
      <c r="CZ99" s="35">
        <f ca="1">IF(НАСТРОЙКИ!$B$8&lt;&gt;"Да",0,IFERROR(SUMIF(INDIRECT("'["&amp;НАСТРОЙКИ!$D$8&amp;"]CF'!$L$3:$EO$3"),CZ$22,INDIRECT("'["&amp;НАСТРОЙКИ!$D$8&amp;"]CF'!$L$66:$EO$66")),0))</f>
        <v>0</v>
      </c>
      <c r="DA99" s="35">
        <f ca="1">IF(НАСТРОЙКИ!$B$8&lt;&gt;"Да",0,IFERROR(SUMIF(INDIRECT("'["&amp;НАСТРОЙКИ!$D$8&amp;"]CF'!$L$3:$EO$3"),DA$22,INDIRECT("'["&amp;НАСТРОЙКИ!$D$8&amp;"]CF'!$L$66:$EO$66")),0))</f>
        <v>0</v>
      </c>
      <c r="DB99" s="35">
        <f ca="1">IF(НАСТРОЙКИ!$B$8&lt;&gt;"Да",0,IFERROR(SUMIF(INDIRECT("'["&amp;НАСТРОЙКИ!$D$8&amp;"]CF'!$L$3:$EO$3"),DB$22,INDIRECT("'["&amp;НАСТРОЙКИ!$D$8&amp;"]CF'!$L$66:$EO$66")),0))</f>
        <v>0</v>
      </c>
      <c r="DC99" s="35">
        <f ca="1">IF(НАСТРОЙКИ!$B$8&lt;&gt;"Да",0,IFERROR(SUMIF(INDIRECT("'["&amp;НАСТРОЙКИ!$D$8&amp;"]CF'!$L$3:$EO$3"),DC$22,INDIRECT("'["&amp;НАСТРОЙКИ!$D$8&amp;"]CF'!$L$66:$EO$66")),0))</f>
        <v>0</v>
      </c>
      <c r="DD99" s="35">
        <f ca="1">IF(НАСТРОЙКИ!$B$8&lt;&gt;"Да",0,IFERROR(SUMIF(INDIRECT("'["&amp;НАСТРОЙКИ!$D$8&amp;"]CF'!$L$3:$EO$3"),DD$22,INDIRECT("'["&amp;НАСТРОЙКИ!$D$8&amp;"]CF'!$L$66:$EO$66")),0))</f>
        <v>0</v>
      </c>
      <c r="DE99" s="35">
        <f ca="1">IF(НАСТРОЙКИ!$B$8&lt;&gt;"Да",0,IFERROR(SUMIF(INDIRECT("'["&amp;НАСТРОЙКИ!$D$8&amp;"]CF'!$L$3:$EO$3"),DE$22,INDIRECT("'["&amp;НАСТРОЙКИ!$D$8&amp;"]CF'!$L$66:$EO$66")),0))</f>
        <v>0</v>
      </c>
      <c r="DF99" s="35">
        <f ca="1">IF(НАСТРОЙКИ!$B$8&lt;&gt;"Да",0,IFERROR(SUMIF(INDIRECT("'["&amp;НАСТРОЙКИ!$D$8&amp;"]CF'!$L$3:$EO$3"),DF$22,INDIRECT("'["&amp;НАСТРОЙКИ!$D$8&amp;"]CF'!$L$66:$EO$66")),0))</f>
        <v>0</v>
      </c>
    </row>
    <row r="100" spans="1:110">
      <c r="A100" s="34" t="s">
        <v>130</v>
      </c>
      <c r="B100" s="34" t="s">
        <v>58</v>
      </c>
      <c r="C100" s="35">
        <f ca="1">IF(НАСТРОЙКИ!$B$8&lt;&gt;"Да",0,IFERROR((SUMIF(INDIRECT("'["&amp;НАСТРОЙКИ!$D$8&amp;"]КРЕДИТЫ'!$S$3:$EO$3"),C$22,INDIRECT("'["&amp;НАСТРОЙКИ!$D$8&amp;"]КРЕДИТЫ'!$S$40:$EO$40"))+SUMIF(INDIRECT("'["&amp;НАСТРОЙКИ!$D$8&amp;"]КРЕДИТЫ'!$S$3:$EO$3"),C$22,INDIRECT("'["&amp;НАСТРОЙКИ!$D$8&amp;"]КРЕДИТЫ'!$S$61:$EO$61")))/1000000,0))</f>
        <v>0</v>
      </c>
      <c r="D100" s="35">
        <f ca="1">IF(НАСТРОЙКИ!$B$8&lt;&gt;"Да",0,IFERROR((SUMIF(INDIRECT("'["&amp;НАСТРОЙКИ!$D$8&amp;"]КРЕДИТЫ'!$S$3:$EO$3"),D$22,INDIRECT("'["&amp;НАСТРОЙКИ!$D$8&amp;"]КРЕДИТЫ'!$S$40:$EO$40"))+SUMIF(INDIRECT("'["&amp;НАСТРОЙКИ!$D$8&amp;"]КРЕДИТЫ'!$S$3:$EO$3"),D$22,INDIRECT("'["&amp;НАСТРОЙКИ!$D$8&amp;"]КРЕДИТЫ'!$S$61:$EO$61")))/1000000,0))</f>
        <v>0</v>
      </c>
      <c r="E100" s="35">
        <f ca="1">IF(НАСТРОЙКИ!$B$8&lt;&gt;"Да",0,IFERROR((SUMIF(INDIRECT("'["&amp;НАСТРОЙКИ!$D$8&amp;"]КРЕДИТЫ'!$S$3:$EO$3"),E$22,INDIRECT("'["&amp;НАСТРОЙКИ!$D$8&amp;"]КРЕДИТЫ'!$S$40:$EO$40"))+SUMIF(INDIRECT("'["&amp;НАСТРОЙКИ!$D$8&amp;"]КРЕДИТЫ'!$S$3:$EO$3"),E$22,INDIRECT("'["&amp;НАСТРОЙКИ!$D$8&amp;"]КРЕДИТЫ'!$S$61:$EO$61")))/1000000,0))</f>
        <v>0</v>
      </c>
      <c r="F100" s="35">
        <f ca="1">IF(НАСТРОЙКИ!$B$8&lt;&gt;"Да",0,IFERROR((SUMIF(INDIRECT("'["&amp;НАСТРОЙКИ!$D$8&amp;"]КРЕДИТЫ'!$S$3:$EO$3"),F$22,INDIRECT("'["&amp;НАСТРОЙКИ!$D$8&amp;"]КРЕДИТЫ'!$S$40:$EO$40"))+SUMIF(INDIRECT("'["&amp;НАСТРОЙКИ!$D$8&amp;"]КРЕДИТЫ'!$S$3:$EO$3"),F$22,INDIRECT("'["&amp;НАСТРОЙКИ!$D$8&amp;"]КРЕДИТЫ'!$S$61:$EO$61")))/1000000,0))</f>
        <v>0</v>
      </c>
      <c r="G100" s="35">
        <f ca="1">IF(НАСТРОЙКИ!$B$8&lt;&gt;"Да",0,IFERROR((SUMIF(INDIRECT("'["&amp;НАСТРОЙКИ!$D$8&amp;"]КРЕДИТЫ'!$S$3:$EO$3"),G$22,INDIRECT("'["&amp;НАСТРОЙКИ!$D$8&amp;"]КРЕДИТЫ'!$S$40:$EO$40"))+SUMIF(INDIRECT("'["&amp;НАСТРОЙКИ!$D$8&amp;"]КРЕДИТЫ'!$S$3:$EO$3"),G$22,INDIRECT("'["&amp;НАСТРОЙКИ!$D$8&amp;"]КРЕДИТЫ'!$S$61:$EO$61")))/1000000,0))</f>
        <v>0</v>
      </c>
      <c r="H100" s="35">
        <f ca="1">IF(НАСТРОЙКИ!$B$8&lt;&gt;"Да",0,IFERROR((SUMIF(INDIRECT("'["&amp;НАСТРОЙКИ!$D$8&amp;"]КРЕДИТЫ'!$S$3:$EO$3"),H$22,INDIRECT("'["&amp;НАСТРОЙКИ!$D$8&amp;"]КРЕДИТЫ'!$S$40:$EO$40"))+SUMIF(INDIRECT("'["&amp;НАСТРОЙКИ!$D$8&amp;"]КРЕДИТЫ'!$S$3:$EO$3"),H$22,INDIRECT("'["&amp;НАСТРОЙКИ!$D$8&amp;"]КРЕДИТЫ'!$S$61:$EO$61")))/1000000,0))</f>
        <v>0</v>
      </c>
      <c r="I100" s="35">
        <f ca="1">IF(НАСТРОЙКИ!$B$8&lt;&gt;"Да",0,IFERROR((SUMIF(INDIRECT("'["&amp;НАСТРОЙКИ!$D$8&amp;"]КРЕДИТЫ'!$S$3:$EO$3"),I$22,INDIRECT("'["&amp;НАСТРОЙКИ!$D$8&amp;"]КРЕДИТЫ'!$S$40:$EO$40"))+SUMIF(INDIRECT("'["&amp;НАСТРОЙКИ!$D$8&amp;"]КРЕДИТЫ'!$S$3:$EO$3"),I$22,INDIRECT("'["&amp;НАСТРОЙКИ!$D$8&amp;"]КРЕДИТЫ'!$S$61:$EO$61")))/1000000,0))</f>
        <v>0</v>
      </c>
      <c r="J100" s="35">
        <f ca="1">IF(НАСТРОЙКИ!$B$8&lt;&gt;"Да",0,IFERROR((SUMIF(INDIRECT("'["&amp;НАСТРОЙКИ!$D$8&amp;"]КРЕДИТЫ'!$S$3:$EO$3"),J$22,INDIRECT("'["&amp;НАСТРОЙКИ!$D$8&amp;"]КРЕДИТЫ'!$S$40:$EO$40"))+SUMIF(INDIRECT("'["&amp;НАСТРОЙКИ!$D$8&amp;"]КРЕДИТЫ'!$S$3:$EO$3"),J$22,INDIRECT("'["&amp;НАСТРОЙКИ!$D$8&amp;"]КРЕДИТЫ'!$S$61:$EO$61")))/1000000,0))</f>
        <v>0</v>
      </c>
      <c r="K100" s="35">
        <f ca="1">IF(НАСТРОЙКИ!$B$8&lt;&gt;"Да",0,IFERROR((SUMIF(INDIRECT("'["&amp;НАСТРОЙКИ!$D$8&amp;"]КРЕДИТЫ'!$S$3:$EO$3"),K$22,INDIRECT("'["&amp;НАСТРОЙКИ!$D$8&amp;"]КРЕДИТЫ'!$S$40:$EO$40"))+SUMIF(INDIRECT("'["&amp;НАСТРОЙКИ!$D$8&amp;"]КРЕДИТЫ'!$S$3:$EO$3"),K$22,INDIRECT("'["&amp;НАСТРОЙКИ!$D$8&amp;"]КРЕДИТЫ'!$S$61:$EO$61")))/1000000,0))</f>
        <v>0</v>
      </c>
      <c r="L100" s="35">
        <f ca="1">IF(НАСТРОЙКИ!$B$8&lt;&gt;"Да",0,IFERROR((SUMIF(INDIRECT("'["&amp;НАСТРОЙКИ!$D$8&amp;"]КРЕДИТЫ'!$S$3:$EO$3"),L$22,INDIRECT("'["&amp;НАСТРОЙКИ!$D$8&amp;"]КРЕДИТЫ'!$S$40:$EO$40"))+SUMIF(INDIRECT("'["&amp;НАСТРОЙКИ!$D$8&amp;"]КРЕДИТЫ'!$S$3:$EO$3"),L$22,INDIRECT("'["&amp;НАСТРОЙКИ!$D$8&amp;"]КРЕДИТЫ'!$S$61:$EO$61")))/1000000,0))</f>
        <v>0</v>
      </c>
      <c r="M100" s="35">
        <f ca="1">IF(НАСТРОЙКИ!$B$8&lt;&gt;"Да",0,IFERROR((SUMIF(INDIRECT("'["&amp;НАСТРОЙКИ!$D$8&amp;"]КРЕДИТЫ'!$S$3:$EO$3"),M$22,INDIRECT("'["&amp;НАСТРОЙКИ!$D$8&amp;"]КРЕДИТЫ'!$S$40:$EO$40"))+SUMIF(INDIRECT("'["&amp;НАСТРОЙКИ!$D$8&amp;"]КРЕДИТЫ'!$S$3:$EO$3"),M$22,INDIRECT("'["&amp;НАСТРОЙКИ!$D$8&amp;"]КРЕДИТЫ'!$S$61:$EO$61")))/1000000,0))</f>
        <v>0</v>
      </c>
      <c r="N100" s="35">
        <f ca="1">IF(НАСТРОЙКИ!$B$8&lt;&gt;"Да",0,IFERROR((SUMIF(INDIRECT("'["&amp;НАСТРОЙКИ!$D$8&amp;"]КРЕДИТЫ'!$S$3:$EO$3"),N$22,INDIRECT("'["&amp;НАСТРОЙКИ!$D$8&amp;"]КРЕДИТЫ'!$S$40:$EO$40"))+SUMIF(INDIRECT("'["&amp;НАСТРОЙКИ!$D$8&amp;"]КРЕДИТЫ'!$S$3:$EO$3"),N$22,INDIRECT("'["&amp;НАСТРОЙКИ!$D$8&amp;"]КРЕДИТЫ'!$S$61:$EO$61")))/1000000,0))</f>
        <v>0</v>
      </c>
      <c r="O100" s="35">
        <f ca="1">IF(НАСТРОЙКИ!$B$8&lt;&gt;"Да",0,IFERROR((SUMIF(INDIRECT("'["&amp;НАСТРОЙКИ!$D$8&amp;"]КРЕДИТЫ'!$S$3:$EO$3"),O$22,INDIRECT("'["&amp;НАСТРОЙКИ!$D$8&amp;"]КРЕДИТЫ'!$S$40:$EO$40"))+SUMIF(INDIRECT("'["&amp;НАСТРОЙКИ!$D$8&amp;"]КРЕДИТЫ'!$S$3:$EO$3"),O$22,INDIRECT("'["&amp;НАСТРОЙКИ!$D$8&amp;"]КРЕДИТЫ'!$S$61:$EO$61")))/1000000,0))</f>
        <v>0</v>
      </c>
      <c r="P100" s="35">
        <f ca="1">IF(НАСТРОЙКИ!$B$8&lt;&gt;"Да",0,IFERROR((SUMIF(INDIRECT("'["&amp;НАСТРОЙКИ!$D$8&amp;"]КРЕДИТЫ'!$S$3:$EO$3"),P$22,INDIRECT("'["&amp;НАСТРОЙКИ!$D$8&amp;"]КРЕДИТЫ'!$S$40:$EO$40"))+SUMIF(INDIRECT("'["&amp;НАСТРОЙКИ!$D$8&amp;"]КРЕДИТЫ'!$S$3:$EO$3"),P$22,INDIRECT("'["&amp;НАСТРОЙКИ!$D$8&amp;"]КРЕДИТЫ'!$S$61:$EO$61")))/1000000,0))</f>
        <v>0</v>
      </c>
      <c r="Q100" s="35">
        <f ca="1">IF(НАСТРОЙКИ!$B$8&lt;&gt;"Да",0,IFERROR((SUMIF(INDIRECT("'["&amp;НАСТРОЙКИ!$D$8&amp;"]КРЕДИТЫ'!$S$3:$EO$3"),Q$22,INDIRECT("'["&amp;НАСТРОЙКИ!$D$8&amp;"]КРЕДИТЫ'!$S$40:$EO$40"))+SUMIF(INDIRECT("'["&amp;НАСТРОЙКИ!$D$8&amp;"]КРЕДИТЫ'!$S$3:$EO$3"),Q$22,INDIRECT("'["&amp;НАСТРОЙКИ!$D$8&amp;"]КРЕДИТЫ'!$S$61:$EO$61")))/1000000,0))</f>
        <v>0</v>
      </c>
      <c r="R100" s="35">
        <f ca="1">IF(НАСТРОЙКИ!$B$8&lt;&gt;"Да",0,IFERROR((SUMIF(INDIRECT("'["&amp;НАСТРОЙКИ!$D$8&amp;"]КРЕДИТЫ'!$S$3:$EO$3"),R$22,INDIRECT("'["&amp;НАСТРОЙКИ!$D$8&amp;"]КРЕДИТЫ'!$S$40:$EO$40"))+SUMIF(INDIRECT("'["&amp;НАСТРОЙКИ!$D$8&amp;"]КРЕДИТЫ'!$S$3:$EO$3"),R$22,INDIRECT("'["&amp;НАСТРОЙКИ!$D$8&amp;"]КРЕДИТЫ'!$S$61:$EO$61")))/1000000,0))</f>
        <v>0</v>
      </c>
      <c r="S100" s="35">
        <f ca="1">IF(НАСТРОЙКИ!$B$8&lt;&gt;"Да",0,IFERROR((SUMIF(INDIRECT("'["&amp;НАСТРОЙКИ!$D$8&amp;"]КРЕДИТЫ'!$S$3:$EO$3"),S$22,INDIRECT("'["&amp;НАСТРОЙКИ!$D$8&amp;"]КРЕДИТЫ'!$S$40:$EO$40"))+SUMIF(INDIRECT("'["&amp;НАСТРОЙКИ!$D$8&amp;"]КРЕДИТЫ'!$S$3:$EO$3"),S$22,INDIRECT("'["&amp;НАСТРОЙКИ!$D$8&amp;"]КРЕДИТЫ'!$S$61:$EO$61")))/1000000,0))</f>
        <v>0</v>
      </c>
      <c r="T100" s="35">
        <f ca="1">IF(НАСТРОЙКИ!$B$8&lt;&gt;"Да",0,IFERROR((SUMIF(INDIRECT("'["&amp;НАСТРОЙКИ!$D$8&amp;"]КРЕДИТЫ'!$S$3:$EO$3"),T$22,INDIRECT("'["&amp;НАСТРОЙКИ!$D$8&amp;"]КРЕДИТЫ'!$S$40:$EO$40"))+SUMIF(INDIRECT("'["&amp;НАСТРОЙКИ!$D$8&amp;"]КРЕДИТЫ'!$S$3:$EO$3"),T$22,INDIRECT("'["&amp;НАСТРОЙКИ!$D$8&amp;"]КРЕДИТЫ'!$S$61:$EO$61")))/1000000,0))</f>
        <v>0</v>
      </c>
      <c r="U100" s="35">
        <f ca="1">IF(НАСТРОЙКИ!$B$8&lt;&gt;"Да",0,IFERROR((SUMIF(INDIRECT("'["&amp;НАСТРОЙКИ!$D$8&amp;"]КРЕДИТЫ'!$S$3:$EO$3"),U$22,INDIRECT("'["&amp;НАСТРОЙКИ!$D$8&amp;"]КРЕДИТЫ'!$S$40:$EO$40"))+SUMIF(INDIRECT("'["&amp;НАСТРОЙКИ!$D$8&amp;"]КРЕДИТЫ'!$S$3:$EO$3"),U$22,INDIRECT("'["&amp;НАСТРОЙКИ!$D$8&amp;"]КРЕДИТЫ'!$S$61:$EO$61")))/1000000,0))</f>
        <v>0</v>
      </c>
      <c r="V100" s="35">
        <f ca="1">IF(НАСТРОЙКИ!$B$8&lt;&gt;"Да",0,IFERROR((SUMIF(INDIRECT("'["&amp;НАСТРОЙКИ!$D$8&amp;"]КРЕДИТЫ'!$S$3:$EO$3"),V$22,INDIRECT("'["&amp;НАСТРОЙКИ!$D$8&amp;"]КРЕДИТЫ'!$S$40:$EO$40"))+SUMIF(INDIRECT("'["&amp;НАСТРОЙКИ!$D$8&amp;"]КРЕДИТЫ'!$S$3:$EO$3"),V$22,INDIRECT("'["&amp;НАСТРОЙКИ!$D$8&amp;"]КРЕДИТЫ'!$S$61:$EO$61")))/1000000,0))</f>
        <v>0</v>
      </c>
      <c r="W100" s="35">
        <f ca="1">IF(НАСТРОЙКИ!$B$8&lt;&gt;"Да",0,IFERROR((SUMIF(INDIRECT("'["&amp;НАСТРОЙКИ!$D$8&amp;"]КРЕДИТЫ'!$S$3:$EO$3"),W$22,INDIRECT("'["&amp;НАСТРОЙКИ!$D$8&amp;"]КРЕДИТЫ'!$S$40:$EO$40"))+SUMIF(INDIRECT("'["&amp;НАСТРОЙКИ!$D$8&amp;"]КРЕДИТЫ'!$S$3:$EO$3"),W$22,INDIRECT("'["&amp;НАСТРОЙКИ!$D$8&amp;"]КРЕДИТЫ'!$S$61:$EO$61")))/1000000,0))</f>
        <v>0</v>
      </c>
      <c r="X100" s="35">
        <f ca="1">IF(НАСТРОЙКИ!$B$8&lt;&gt;"Да",0,IFERROR((SUMIF(INDIRECT("'["&amp;НАСТРОЙКИ!$D$8&amp;"]КРЕДИТЫ'!$S$3:$EO$3"),X$22,INDIRECT("'["&amp;НАСТРОЙКИ!$D$8&amp;"]КРЕДИТЫ'!$S$40:$EO$40"))+SUMIF(INDIRECT("'["&amp;НАСТРОЙКИ!$D$8&amp;"]КРЕДИТЫ'!$S$3:$EO$3"),X$22,INDIRECT("'["&amp;НАСТРОЙКИ!$D$8&amp;"]КРЕДИТЫ'!$S$61:$EO$61")))/1000000,0))</f>
        <v>0</v>
      </c>
      <c r="Y100" s="35">
        <f ca="1">IF(НАСТРОЙКИ!$B$8&lt;&gt;"Да",0,IFERROR((SUMIF(INDIRECT("'["&amp;НАСТРОЙКИ!$D$8&amp;"]КРЕДИТЫ'!$S$3:$EO$3"),Y$22,INDIRECT("'["&amp;НАСТРОЙКИ!$D$8&amp;"]КРЕДИТЫ'!$S$40:$EO$40"))+SUMIF(INDIRECT("'["&amp;НАСТРОЙКИ!$D$8&amp;"]КРЕДИТЫ'!$S$3:$EO$3"),Y$22,INDIRECT("'["&amp;НАСТРОЙКИ!$D$8&amp;"]КРЕДИТЫ'!$S$61:$EO$61")))/1000000,0))</f>
        <v>0</v>
      </c>
      <c r="Z100" s="35">
        <f ca="1">IF(НАСТРОЙКИ!$B$8&lt;&gt;"Да",0,IFERROR((SUMIF(INDIRECT("'["&amp;НАСТРОЙКИ!$D$8&amp;"]КРЕДИТЫ'!$S$3:$EO$3"),Z$22,INDIRECT("'["&amp;НАСТРОЙКИ!$D$8&amp;"]КРЕДИТЫ'!$S$40:$EO$40"))+SUMIF(INDIRECT("'["&amp;НАСТРОЙКИ!$D$8&amp;"]КРЕДИТЫ'!$S$3:$EO$3"),Z$22,INDIRECT("'["&amp;НАСТРОЙКИ!$D$8&amp;"]КРЕДИТЫ'!$S$61:$EO$61")))/1000000,0))</f>
        <v>0</v>
      </c>
      <c r="AA100" s="35">
        <f ca="1">IF(НАСТРОЙКИ!$B$8&lt;&gt;"Да",0,IFERROR((SUMIF(INDIRECT("'["&amp;НАСТРОЙКИ!$D$8&amp;"]КРЕДИТЫ'!$S$3:$EO$3"),AA$22,INDIRECT("'["&amp;НАСТРОЙКИ!$D$8&amp;"]КРЕДИТЫ'!$S$40:$EO$40"))+SUMIF(INDIRECT("'["&amp;НАСТРОЙКИ!$D$8&amp;"]КРЕДИТЫ'!$S$3:$EO$3"),AA$22,INDIRECT("'["&amp;НАСТРОЙКИ!$D$8&amp;"]КРЕДИТЫ'!$S$61:$EO$61")))/1000000,0))</f>
        <v>0</v>
      </c>
      <c r="AB100" s="35">
        <f ca="1">IF(НАСТРОЙКИ!$B$8&lt;&gt;"Да",0,IFERROR((SUMIF(INDIRECT("'["&amp;НАСТРОЙКИ!$D$8&amp;"]КРЕДИТЫ'!$S$3:$EO$3"),AB$22,INDIRECT("'["&amp;НАСТРОЙКИ!$D$8&amp;"]КРЕДИТЫ'!$S$40:$EO$40"))+SUMIF(INDIRECT("'["&amp;НАСТРОЙКИ!$D$8&amp;"]КРЕДИТЫ'!$S$3:$EO$3"),AB$22,INDIRECT("'["&amp;НАСТРОЙКИ!$D$8&amp;"]КРЕДИТЫ'!$S$61:$EO$61")))/1000000,0))</f>
        <v>0</v>
      </c>
      <c r="AC100" s="35">
        <f ca="1">IF(НАСТРОЙКИ!$B$8&lt;&gt;"Да",0,IFERROR((SUMIF(INDIRECT("'["&amp;НАСТРОЙКИ!$D$8&amp;"]КРЕДИТЫ'!$S$3:$EO$3"),AC$22,INDIRECT("'["&amp;НАСТРОЙКИ!$D$8&amp;"]КРЕДИТЫ'!$S$40:$EO$40"))+SUMIF(INDIRECT("'["&amp;НАСТРОЙКИ!$D$8&amp;"]КРЕДИТЫ'!$S$3:$EO$3"),AC$22,INDIRECT("'["&amp;НАСТРОЙКИ!$D$8&amp;"]КРЕДИТЫ'!$S$61:$EO$61")))/1000000,0))</f>
        <v>0</v>
      </c>
      <c r="AD100" s="35">
        <f ca="1">IF(НАСТРОЙКИ!$B$8&lt;&gt;"Да",0,IFERROR((SUMIF(INDIRECT("'["&amp;НАСТРОЙКИ!$D$8&amp;"]КРЕДИТЫ'!$S$3:$EO$3"),AD$22,INDIRECT("'["&amp;НАСТРОЙКИ!$D$8&amp;"]КРЕДИТЫ'!$S$40:$EO$40"))+SUMIF(INDIRECT("'["&amp;НАСТРОЙКИ!$D$8&amp;"]КРЕДИТЫ'!$S$3:$EO$3"),AD$22,INDIRECT("'["&amp;НАСТРОЙКИ!$D$8&amp;"]КРЕДИТЫ'!$S$61:$EO$61")))/1000000,0))</f>
        <v>0</v>
      </c>
      <c r="AE100" s="35">
        <f ca="1">IF(НАСТРОЙКИ!$B$8&lt;&gt;"Да",0,IFERROR((SUMIF(INDIRECT("'["&amp;НАСТРОЙКИ!$D$8&amp;"]КРЕДИТЫ'!$S$3:$EO$3"),AE$22,INDIRECT("'["&amp;НАСТРОЙКИ!$D$8&amp;"]КРЕДИТЫ'!$S$40:$EO$40"))+SUMIF(INDIRECT("'["&amp;НАСТРОЙКИ!$D$8&amp;"]КРЕДИТЫ'!$S$3:$EO$3"),AE$22,INDIRECT("'["&amp;НАСТРОЙКИ!$D$8&amp;"]КРЕДИТЫ'!$S$61:$EO$61")))/1000000,0))</f>
        <v>0</v>
      </c>
      <c r="AF100" s="35">
        <f ca="1">IF(НАСТРОЙКИ!$B$8&lt;&gt;"Да",0,IFERROR((SUMIF(INDIRECT("'["&amp;НАСТРОЙКИ!$D$8&amp;"]КРЕДИТЫ'!$S$3:$EO$3"),AF$22,INDIRECT("'["&amp;НАСТРОЙКИ!$D$8&amp;"]КРЕДИТЫ'!$S$40:$EO$40"))+SUMIF(INDIRECT("'["&amp;НАСТРОЙКИ!$D$8&amp;"]КРЕДИТЫ'!$S$3:$EO$3"),AF$22,INDIRECT("'["&amp;НАСТРОЙКИ!$D$8&amp;"]КРЕДИТЫ'!$S$61:$EO$61")))/1000000,0))</f>
        <v>0</v>
      </c>
      <c r="AG100" s="35">
        <f ca="1">IF(НАСТРОЙКИ!$B$8&lt;&gt;"Да",0,IFERROR((SUMIF(INDIRECT("'["&amp;НАСТРОЙКИ!$D$8&amp;"]КРЕДИТЫ'!$S$3:$EO$3"),AG$22,INDIRECT("'["&amp;НАСТРОЙКИ!$D$8&amp;"]КРЕДИТЫ'!$S$40:$EO$40"))+SUMIF(INDIRECT("'["&amp;НАСТРОЙКИ!$D$8&amp;"]КРЕДИТЫ'!$S$3:$EO$3"),AG$22,INDIRECT("'["&amp;НАСТРОЙКИ!$D$8&amp;"]КРЕДИТЫ'!$S$61:$EO$61")))/1000000,0))</f>
        <v>0</v>
      </c>
      <c r="AH100" s="35">
        <f ca="1">IF(НАСТРОЙКИ!$B$8&lt;&gt;"Да",0,IFERROR((SUMIF(INDIRECT("'["&amp;НАСТРОЙКИ!$D$8&amp;"]КРЕДИТЫ'!$S$3:$EO$3"),AH$22,INDIRECT("'["&amp;НАСТРОЙКИ!$D$8&amp;"]КРЕДИТЫ'!$S$40:$EO$40"))+SUMIF(INDIRECT("'["&amp;НАСТРОЙКИ!$D$8&amp;"]КРЕДИТЫ'!$S$3:$EO$3"),AH$22,INDIRECT("'["&amp;НАСТРОЙКИ!$D$8&amp;"]КРЕДИТЫ'!$S$61:$EO$61")))/1000000,0))</f>
        <v>0</v>
      </c>
      <c r="AI100" s="35">
        <f ca="1">IF(НАСТРОЙКИ!$B$8&lt;&gt;"Да",0,IFERROR((SUMIF(INDIRECT("'["&amp;НАСТРОЙКИ!$D$8&amp;"]КРЕДИТЫ'!$S$3:$EO$3"),AI$22,INDIRECT("'["&amp;НАСТРОЙКИ!$D$8&amp;"]КРЕДИТЫ'!$S$40:$EO$40"))+SUMIF(INDIRECT("'["&amp;НАСТРОЙКИ!$D$8&amp;"]КРЕДИТЫ'!$S$3:$EO$3"),AI$22,INDIRECT("'["&amp;НАСТРОЙКИ!$D$8&amp;"]КРЕДИТЫ'!$S$61:$EO$61")))/1000000,0))</f>
        <v>0</v>
      </c>
      <c r="AJ100" s="35">
        <f ca="1">IF(НАСТРОЙКИ!$B$8&lt;&gt;"Да",0,IFERROR((SUMIF(INDIRECT("'["&amp;НАСТРОЙКИ!$D$8&amp;"]КРЕДИТЫ'!$S$3:$EO$3"),AJ$22,INDIRECT("'["&amp;НАСТРОЙКИ!$D$8&amp;"]КРЕДИТЫ'!$S$40:$EO$40"))+SUMIF(INDIRECT("'["&amp;НАСТРОЙКИ!$D$8&amp;"]КРЕДИТЫ'!$S$3:$EO$3"),AJ$22,INDIRECT("'["&amp;НАСТРОЙКИ!$D$8&amp;"]КРЕДИТЫ'!$S$61:$EO$61")))/1000000,0))</f>
        <v>0</v>
      </c>
      <c r="AK100" s="35">
        <f ca="1">IF(НАСТРОЙКИ!$B$8&lt;&gt;"Да",0,IFERROR((SUMIF(INDIRECT("'["&amp;НАСТРОЙКИ!$D$8&amp;"]КРЕДИТЫ'!$S$3:$EO$3"),AK$22,INDIRECT("'["&amp;НАСТРОЙКИ!$D$8&amp;"]КРЕДИТЫ'!$S$40:$EO$40"))+SUMIF(INDIRECT("'["&amp;НАСТРОЙКИ!$D$8&amp;"]КРЕДИТЫ'!$S$3:$EO$3"),AK$22,INDIRECT("'["&amp;НАСТРОЙКИ!$D$8&amp;"]КРЕДИТЫ'!$S$61:$EO$61")))/1000000,0))</f>
        <v>0</v>
      </c>
      <c r="AL100" s="35">
        <f ca="1">IF(НАСТРОЙКИ!$B$8&lt;&gt;"Да",0,IFERROR((SUMIF(INDIRECT("'["&amp;НАСТРОЙКИ!$D$8&amp;"]КРЕДИТЫ'!$S$3:$EO$3"),AL$22,INDIRECT("'["&amp;НАСТРОЙКИ!$D$8&amp;"]КРЕДИТЫ'!$S$40:$EO$40"))+SUMIF(INDIRECT("'["&amp;НАСТРОЙКИ!$D$8&amp;"]КРЕДИТЫ'!$S$3:$EO$3"),AL$22,INDIRECT("'["&amp;НАСТРОЙКИ!$D$8&amp;"]КРЕДИТЫ'!$S$61:$EO$61")))/1000000,0))</f>
        <v>0</v>
      </c>
      <c r="AM100" s="35">
        <f ca="1">IF(НАСТРОЙКИ!$B$8&lt;&gt;"Да",0,IFERROR((SUMIF(INDIRECT("'["&amp;НАСТРОЙКИ!$D$8&amp;"]КРЕДИТЫ'!$S$3:$EO$3"),AM$22,INDIRECT("'["&amp;НАСТРОЙКИ!$D$8&amp;"]КРЕДИТЫ'!$S$40:$EO$40"))+SUMIF(INDIRECT("'["&amp;НАСТРОЙКИ!$D$8&amp;"]КРЕДИТЫ'!$S$3:$EO$3"),AM$22,INDIRECT("'["&amp;НАСТРОЙКИ!$D$8&amp;"]КРЕДИТЫ'!$S$61:$EO$61")))/1000000,0))</f>
        <v>0</v>
      </c>
      <c r="AN100" s="35">
        <f ca="1">IF(НАСТРОЙКИ!$B$8&lt;&gt;"Да",0,IFERROR((SUMIF(INDIRECT("'["&amp;НАСТРОЙКИ!$D$8&amp;"]КРЕДИТЫ'!$S$3:$EO$3"),AN$22,INDIRECT("'["&amp;НАСТРОЙКИ!$D$8&amp;"]КРЕДИТЫ'!$S$40:$EO$40"))+SUMIF(INDIRECT("'["&amp;НАСТРОЙКИ!$D$8&amp;"]КРЕДИТЫ'!$S$3:$EO$3"),AN$22,INDIRECT("'["&amp;НАСТРОЙКИ!$D$8&amp;"]КРЕДИТЫ'!$S$61:$EO$61")))/1000000,0))</f>
        <v>0</v>
      </c>
      <c r="AO100" s="35">
        <f ca="1">IF(НАСТРОЙКИ!$B$8&lt;&gt;"Да",0,IFERROR((SUMIF(INDIRECT("'["&amp;НАСТРОЙКИ!$D$8&amp;"]КРЕДИТЫ'!$S$3:$EO$3"),AO$22,INDIRECT("'["&amp;НАСТРОЙКИ!$D$8&amp;"]КРЕДИТЫ'!$S$40:$EO$40"))+SUMIF(INDIRECT("'["&amp;НАСТРОЙКИ!$D$8&amp;"]КРЕДИТЫ'!$S$3:$EO$3"),AO$22,INDIRECT("'["&amp;НАСТРОЙКИ!$D$8&amp;"]КРЕДИТЫ'!$S$61:$EO$61")))/1000000,0))</f>
        <v>0</v>
      </c>
      <c r="AP100" s="35">
        <f ca="1">IF(НАСТРОЙКИ!$B$8&lt;&gt;"Да",0,IFERROR((SUMIF(INDIRECT("'["&amp;НАСТРОЙКИ!$D$8&amp;"]КРЕДИТЫ'!$S$3:$EO$3"),AP$22,INDIRECT("'["&amp;НАСТРОЙКИ!$D$8&amp;"]КРЕДИТЫ'!$S$40:$EO$40"))+SUMIF(INDIRECT("'["&amp;НАСТРОЙКИ!$D$8&amp;"]КРЕДИТЫ'!$S$3:$EO$3"),AP$22,INDIRECT("'["&amp;НАСТРОЙКИ!$D$8&amp;"]КРЕДИТЫ'!$S$61:$EO$61")))/1000000,0))</f>
        <v>0</v>
      </c>
      <c r="AQ100" s="35">
        <f ca="1">IF(НАСТРОЙКИ!$B$8&lt;&gt;"Да",0,IFERROR((SUMIF(INDIRECT("'["&amp;НАСТРОЙКИ!$D$8&amp;"]КРЕДИТЫ'!$S$3:$EO$3"),AQ$22,INDIRECT("'["&amp;НАСТРОЙКИ!$D$8&amp;"]КРЕДИТЫ'!$S$40:$EO$40"))+SUMIF(INDIRECT("'["&amp;НАСТРОЙКИ!$D$8&amp;"]КРЕДИТЫ'!$S$3:$EO$3"),AQ$22,INDIRECT("'["&amp;НАСТРОЙКИ!$D$8&amp;"]КРЕДИТЫ'!$S$61:$EO$61")))/1000000,0))</f>
        <v>0</v>
      </c>
      <c r="AR100" s="35">
        <f ca="1">IF(НАСТРОЙКИ!$B$8&lt;&gt;"Да",0,IFERROR((SUMIF(INDIRECT("'["&amp;НАСТРОЙКИ!$D$8&amp;"]КРЕДИТЫ'!$S$3:$EO$3"),AR$22,INDIRECT("'["&amp;НАСТРОЙКИ!$D$8&amp;"]КРЕДИТЫ'!$S$40:$EO$40"))+SUMIF(INDIRECT("'["&amp;НАСТРОЙКИ!$D$8&amp;"]КРЕДИТЫ'!$S$3:$EO$3"),AR$22,INDIRECT("'["&amp;НАСТРОЙКИ!$D$8&amp;"]КРЕДИТЫ'!$S$61:$EO$61")))/1000000,0))</f>
        <v>0</v>
      </c>
      <c r="AS100" s="35">
        <f ca="1">IF(НАСТРОЙКИ!$B$8&lt;&gt;"Да",0,IFERROR((SUMIF(INDIRECT("'["&amp;НАСТРОЙКИ!$D$8&amp;"]КРЕДИТЫ'!$S$3:$EO$3"),AS$22,INDIRECT("'["&amp;НАСТРОЙКИ!$D$8&amp;"]КРЕДИТЫ'!$S$40:$EO$40"))+SUMIF(INDIRECT("'["&amp;НАСТРОЙКИ!$D$8&amp;"]КРЕДИТЫ'!$S$3:$EO$3"),AS$22,INDIRECT("'["&amp;НАСТРОЙКИ!$D$8&amp;"]КРЕДИТЫ'!$S$61:$EO$61")))/1000000,0))</f>
        <v>0</v>
      </c>
      <c r="AT100" s="35">
        <f ca="1">IF(НАСТРОЙКИ!$B$8&lt;&gt;"Да",0,IFERROR((SUMIF(INDIRECT("'["&amp;НАСТРОЙКИ!$D$8&amp;"]КРЕДИТЫ'!$S$3:$EO$3"),AT$22,INDIRECT("'["&amp;НАСТРОЙКИ!$D$8&amp;"]КРЕДИТЫ'!$S$40:$EO$40"))+SUMIF(INDIRECT("'["&amp;НАСТРОЙКИ!$D$8&amp;"]КРЕДИТЫ'!$S$3:$EO$3"),AT$22,INDIRECT("'["&amp;НАСТРОЙКИ!$D$8&amp;"]КРЕДИТЫ'!$S$61:$EO$61")))/1000000,0))</f>
        <v>0</v>
      </c>
      <c r="AU100" s="35">
        <f ca="1">IF(НАСТРОЙКИ!$B$8&lt;&gt;"Да",0,IFERROR((SUMIF(INDIRECT("'["&amp;НАСТРОЙКИ!$D$8&amp;"]КРЕДИТЫ'!$S$3:$EO$3"),AU$22,INDIRECT("'["&amp;НАСТРОЙКИ!$D$8&amp;"]КРЕДИТЫ'!$S$40:$EO$40"))+SUMIF(INDIRECT("'["&amp;НАСТРОЙКИ!$D$8&amp;"]КРЕДИТЫ'!$S$3:$EO$3"),AU$22,INDIRECT("'["&amp;НАСТРОЙКИ!$D$8&amp;"]КРЕДИТЫ'!$S$61:$EO$61")))/1000000,0))</f>
        <v>0</v>
      </c>
      <c r="AV100" s="35">
        <f ca="1">IF(НАСТРОЙКИ!$B$8&lt;&gt;"Да",0,IFERROR((SUMIF(INDIRECT("'["&amp;НАСТРОЙКИ!$D$8&amp;"]КРЕДИТЫ'!$S$3:$EO$3"),AV$22,INDIRECT("'["&amp;НАСТРОЙКИ!$D$8&amp;"]КРЕДИТЫ'!$S$40:$EO$40"))+SUMIF(INDIRECT("'["&amp;НАСТРОЙКИ!$D$8&amp;"]КРЕДИТЫ'!$S$3:$EO$3"),AV$22,INDIRECT("'["&amp;НАСТРОЙКИ!$D$8&amp;"]КРЕДИТЫ'!$S$61:$EO$61")))/1000000,0))</f>
        <v>0</v>
      </c>
      <c r="AW100" s="35">
        <f ca="1">IF(НАСТРОЙКИ!$B$8&lt;&gt;"Да",0,IFERROR((SUMIF(INDIRECT("'["&amp;НАСТРОЙКИ!$D$8&amp;"]КРЕДИТЫ'!$S$3:$EO$3"),AW$22,INDIRECT("'["&amp;НАСТРОЙКИ!$D$8&amp;"]КРЕДИТЫ'!$S$40:$EO$40"))+SUMIF(INDIRECT("'["&amp;НАСТРОЙКИ!$D$8&amp;"]КРЕДИТЫ'!$S$3:$EO$3"),AW$22,INDIRECT("'["&amp;НАСТРОЙКИ!$D$8&amp;"]КРЕДИТЫ'!$S$61:$EO$61")))/1000000,0))</f>
        <v>0</v>
      </c>
      <c r="AX100" s="35">
        <f ca="1">IF(НАСТРОЙКИ!$B$8&lt;&gt;"Да",0,IFERROR((SUMIF(INDIRECT("'["&amp;НАСТРОЙКИ!$D$8&amp;"]КРЕДИТЫ'!$S$3:$EO$3"),AX$22,INDIRECT("'["&amp;НАСТРОЙКИ!$D$8&amp;"]КРЕДИТЫ'!$S$40:$EO$40"))+SUMIF(INDIRECT("'["&amp;НАСТРОЙКИ!$D$8&amp;"]КРЕДИТЫ'!$S$3:$EO$3"),AX$22,INDIRECT("'["&amp;НАСТРОЙКИ!$D$8&amp;"]КРЕДИТЫ'!$S$61:$EO$61")))/1000000,0))</f>
        <v>0</v>
      </c>
      <c r="AY100" s="35">
        <f ca="1">IF(НАСТРОЙКИ!$B$8&lt;&gt;"Да",0,IFERROR((SUMIF(INDIRECT("'["&amp;НАСТРОЙКИ!$D$8&amp;"]КРЕДИТЫ'!$S$3:$EO$3"),AY$22,INDIRECT("'["&amp;НАСТРОЙКИ!$D$8&amp;"]КРЕДИТЫ'!$S$40:$EO$40"))+SUMIF(INDIRECT("'["&amp;НАСТРОЙКИ!$D$8&amp;"]КРЕДИТЫ'!$S$3:$EO$3"),AY$22,INDIRECT("'["&amp;НАСТРОЙКИ!$D$8&amp;"]КРЕДИТЫ'!$S$61:$EO$61")))/1000000,0))</f>
        <v>0</v>
      </c>
      <c r="AZ100" s="35">
        <f ca="1">IF(НАСТРОЙКИ!$B$8&lt;&gt;"Да",0,IFERROR((SUMIF(INDIRECT("'["&amp;НАСТРОЙКИ!$D$8&amp;"]КРЕДИТЫ'!$S$3:$EO$3"),AZ$22,INDIRECT("'["&amp;НАСТРОЙКИ!$D$8&amp;"]КРЕДИТЫ'!$S$40:$EO$40"))+SUMIF(INDIRECT("'["&amp;НАСТРОЙКИ!$D$8&amp;"]КРЕДИТЫ'!$S$3:$EO$3"),AZ$22,INDIRECT("'["&amp;НАСТРОЙКИ!$D$8&amp;"]КРЕДИТЫ'!$S$61:$EO$61")))/1000000,0))</f>
        <v>0</v>
      </c>
      <c r="BA100" s="35">
        <f ca="1">IF(НАСТРОЙКИ!$B$8&lt;&gt;"Да",0,IFERROR((SUMIF(INDIRECT("'["&amp;НАСТРОЙКИ!$D$8&amp;"]КРЕДИТЫ'!$S$3:$EO$3"),BA$22,INDIRECT("'["&amp;НАСТРОЙКИ!$D$8&amp;"]КРЕДИТЫ'!$S$40:$EO$40"))+SUMIF(INDIRECT("'["&amp;НАСТРОЙКИ!$D$8&amp;"]КРЕДИТЫ'!$S$3:$EO$3"),BA$22,INDIRECT("'["&amp;НАСТРОЙКИ!$D$8&amp;"]КРЕДИТЫ'!$S$61:$EO$61")))/1000000,0))</f>
        <v>0</v>
      </c>
      <c r="BB100" s="35">
        <f ca="1">IF(НАСТРОЙКИ!$B$8&lt;&gt;"Да",0,IFERROR((SUMIF(INDIRECT("'["&amp;НАСТРОЙКИ!$D$8&amp;"]КРЕДИТЫ'!$S$3:$EO$3"),BB$22,INDIRECT("'["&amp;НАСТРОЙКИ!$D$8&amp;"]КРЕДИТЫ'!$S$40:$EO$40"))+SUMIF(INDIRECT("'["&amp;НАСТРОЙКИ!$D$8&amp;"]КРЕДИТЫ'!$S$3:$EO$3"),BB$22,INDIRECT("'["&amp;НАСТРОЙКИ!$D$8&amp;"]КРЕДИТЫ'!$S$61:$EO$61")))/1000000,0))</f>
        <v>0</v>
      </c>
      <c r="BC100" s="35">
        <f ca="1">IF(НАСТРОЙКИ!$B$8&lt;&gt;"Да",0,IFERROR((SUMIF(INDIRECT("'["&amp;НАСТРОЙКИ!$D$8&amp;"]КРЕДИТЫ'!$S$3:$EO$3"),BC$22,INDIRECT("'["&amp;НАСТРОЙКИ!$D$8&amp;"]КРЕДИТЫ'!$S$40:$EO$40"))+SUMIF(INDIRECT("'["&amp;НАСТРОЙКИ!$D$8&amp;"]КРЕДИТЫ'!$S$3:$EO$3"),BC$22,INDIRECT("'["&amp;НАСТРОЙКИ!$D$8&amp;"]КРЕДИТЫ'!$S$61:$EO$61")))/1000000,0))</f>
        <v>0</v>
      </c>
      <c r="BD100" s="35">
        <f ca="1">IF(НАСТРОЙКИ!$B$8&lt;&gt;"Да",0,IFERROR((SUMIF(INDIRECT("'["&amp;НАСТРОЙКИ!$D$8&amp;"]КРЕДИТЫ'!$S$3:$EO$3"),BD$22,INDIRECT("'["&amp;НАСТРОЙКИ!$D$8&amp;"]КРЕДИТЫ'!$S$40:$EO$40"))+SUMIF(INDIRECT("'["&amp;НАСТРОЙКИ!$D$8&amp;"]КРЕДИТЫ'!$S$3:$EO$3"),BD$22,INDIRECT("'["&amp;НАСТРОЙКИ!$D$8&amp;"]КРЕДИТЫ'!$S$61:$EO$61")))/1000000,0))</f>
        <v>0</v>
      </c>
      <c r="BE100" s="35">
        <f ca="1">IF(НАСТРОЙКИ!$B$8&lt;&gt;"Да",0,IFERROR((SUMIF(INDIRECT("'["&amp;НАСТРОЙКИ!$D$8&amp;"]КРЕДИТЫ'!$S$3:$EO$3"),BE$22,INDIRECT("'["&amp;НАСТРОЙКИ!$D$8&amp;"]КРЕДИТЫ'!$S$40:$EO$40"))+SUMIF(INDIRECT("'["&amp;НАСТРОЙКИ!$D$8&amp;"]КРЕДИТЫ'!$S$3:$EO$3"),BE$22,INDIRECT("'["&amp;НАСТРОЙКИ!$D$8&amp;"]КРЕДИТЫ'!$S$61:$EO$61")))/1000000,0))</f>
        <v>0</v>
      </c>
      <c r="BF100" s="35">
        <f ca="1">IF(НАСТРОЙКИ!$B$8&lt;&gt;"Да",0,IFERROR((SUMIF(INDIRECT("'["&amp;НАСТРОЙКИ!$D$8&amp;"]КРЕДИТЫ'!$S$3:$EO$3"),BF$22,INDIRECT("'["&amp;НАСТРОЙКИ!$D$8&amp;"]КРЕДИТЫ'!$S$40:$EO$40"))+SUMIF(INDIRECT("'["&amp;НАСТРОЙКИ!$D$8&amp;"]КРЕДИТЫ'!$S$3:$EO$3"),BF$22,INDIRECT("'["&amp;НАСТРОЙКИ!$D$8&amp;"]КРЕДИТЫ'!$S$61:$EO$61")))/1000000,0))</f>
        <v>0</v>
      </c>
      <c r="BG100" s="35">
        <f ca="1">IF(НАСТРОЙКИ!$B$8&lt;&gt;"Да",0,IFERROR((SUMIF(INDIRECT("'["&amp;НАСТРОЙКИ!$D$8&amp;"]КРЕДИТЫ'!$S$3:$EO$3"),BG$22,INDIRECT("'["&amp;НАСТРОЙКИ!$D$8&amp;"]КРЕДИТЫ'!$S$40:$EO$40"))+SUMIF(INDIRECT("'["&amp;НАСТРОЙКИ!$D$8&amp;"]КРЕДИТЫ'!$S$3:$EO$3"),BG$22,INDIRECT("'["&amp;НАСТРОЙКИ!$D$8&amp;"]КРЕДИТЫ'!$S$61:$EO$61")))/1000000,0))</f>
        <v>0</v>
      </c>
      <c r="BH100" s="35">
        <f ca="1">IF(НАСТРОЙКИ!$B$8&lt;&gt;"Да",0,IFERROR((SUMIF(INDIRECT("'["&amp;НАСТРОЙКИ!$D$8&amp;"]КРЕДИТЫ'!$S$3:$EO$3"),BH$22,INDIRECT("'["&amp;НАСТРОЙКИ!$D$8&amp;"]КРЕДИТЫ'!$S$40:$EO$40"))+SUMIF(INDIRECT("'["&amp;НАСТРОЙКИ!$D$8&amp;"]КРЕДИТЫ'!$S$3:$EO$3"),BH$22,INDIRECT("'["&amp;НАСТРОЙКИ!$D$8&amp;"]КРЕДИТЫ'!$S$61:$EO$61")))/1000000,0))</f>
        <v>0</v>
      </c>
      <c r="BI100" s="35">
        <f ca="1">IF(НАСТРОЙКИ!$B$8&lt;&gt;"Да",0,IFERROR((SUMIF(INDIRECT("'["&amp;НАСТРОЙКИ!$D$8&amp;"]КРЕДИТЫ'!$S$3:$EO$3"),BI$22,INDIRECT("'["&amp;НАСТРОЙКИ!$D$8&amp;"]КРЕДИТЫ'!$S$40:$EO$40"))+SUMIF(INDIRECT("'["&amp;НАСТРОЙКИ!$D$8&amp;"]КРЕДИТЫ'!$S$3:$EO$3"),BI$22,INDIRECT("'["&amp;НАСТРОЙКИ!$D$8&amp;"]КРЕДИТЫ'!$S$61:$EO$61")))/1000000,0))</f>
        <v>0</v>
      </c>
      <c r="BJ100" s="35">
        <f ca="1">IF(НАСТРОЙКИ!$B$8&lt;&gt;"Да",0,IFERROR((SUMIF(INDIRECT("'["&amp;НАСТРОЙКИ!$D$8&amp;"]КРЕДИТЫ'!$S$3:$EO$3"),BJ$22,INDIRECT("'["&amp;НАСТРОЙКИ!$D$8&amp;"]КРЕДИТЫ'!$S$40:$EO$40"))+SUMIF(INDIRECT("'["&amp;НАСТРОЙКИ!$D$8&amp;"]КРЕДИТЫ'!$S$3:$EO$3"),BJ$22,INDIRECT("'["&amp;НАСТРОЙКИ!$D$8&amp;"]КРЕДИТЫ'!$S$61:$EO$61")))/1000000,0))</f>
        <v>0</v>
      </c>
      <c r="BK100" s="35">
        <f ca="1">IF(НАСТРОЙКИ!$B$8&lt;&gt;"Да",0,IFERROR((SUMIF(INDIRECT("'["&amp;НАСТРОЙКИ!$D$8&amp;"]КРЕДИТЫ'!$S$3:$EO$3"),BK$22,INDIRECT("'["&amp;НАСТРОЙКИ!$D$8&amp;"]КРЕДИТЫ'!$S$40:$EO$40"))+SUMIF(INDIRECT("'["&amp;НАСТРОЙКИ!$D$8&amp;"]КРЕДИТЫ'!$S$3:$EO$3"),BK$22,INDIRECT("'["&amp;НАСТРОЙКИ!$D$8&amp;"]КРЕДИТЫ'!$S$61:$EO$61")))/1000000,0))</f>
        <v>0</v>
      </c>
      <c r="BL100" s="35">
        <f ca="1">IF(НАСТРОЙКИ!$B$8&lt;&gt;"Да",0,IFERROR((SUMIF(INDIRECT("'["&amp;НАСТРОЙКИ!$D$8&amp;"]КРЕДИТЫ'!$S$3:$EO$3"),BL$22,INDIRECT("'["&amp;НАСТРОЙКИ!$D$8&amp;"]КРЕДИТЫ'!$S$40:$EO$40"))+SUMIF(INDIRECT("'["&amp;НАСТРОЙКИ!$D$8&amp;"]КРЕДИТЫ'!$S$3:$EO$3"),BL$22,INDIRECT("'["&amp;НАСТРОЙКИ!$D$8&amp;"]КРЕДИТЫ'!$S$61:$EO$61")))/1000000,0))</f>
        <v>0</v>
      </c>
      <c r="BM100" s="35">
        <f ca="1">IF(НАСТРОЙКИ!$B$8&lt;&gt;"Да",0,IFERROR((SUMIF(INDIRECT("'["&amp;НАСТРОЙКИ!$D$8&amp;"]КРЕДИТЫ'!$S$3:$EO$3"),BM$22,INDIRECT("'["&amp;НАСТРОЙКИ!$D$8&amp;"]КРЕДИТЫ'!$S$40:$EO$40"))+SUMIF(INDIRECT("'["&amp;НАСТРОЙКИ!$D$8&amp;"]КРЕДИТЫ'!$S$3:$EO$3"),BM$22,INDIRECT("'["&amp;НАСТРОЙКИ!$D$8&amp;"]КРЕДИТЫ'!$S$61:$EO$61")))/1000000,0))</f>
        <v>0</v>
      </c>
      <c r="BN100" s="35">
        <f ca="1">IF(НАСТРОЙКИ!$B$8&lt;&gt;"Да",0,IFERROR((SUMIF(INDIRECT("'["&amp;НАСТРОЙКИ!$D$8&amp;"]КРЕДИТЫ'!$S$3:$EO$3"),BN$22,INDIRECT("'["&amp;НАСТРОЙКИ!$D$8&amp;"]КРЕДИТЫ'!$S$40:$EO$40"))+SUMIF(INDIRECT("'["&amp;НАСТРОЙКИ!$D$8&amp;"]КРЕДИТЫ'!$S$3:$EO$3"),BN$22,INDIRECT("'["&amp;НАСТРОЙКИ!$D$8&amp;"]КРЕДИТЫ'!$S$61:$EO$61")))/1000000,0))</f>
        <v>0</v>
      </c>
      <c r="BO100" s="35">
        <f ca="1">IF(НАСТРОЙКИ!$B$8&lt;&gt;"Да",0,IFERROR((SUMIF(INDIRECT("'["&amp;НАСТРОЙКИ!$D$8&amp;"]КРЕДИТЫ'!$S$3:$EO$3"),BO$22,INDIRECT("'["&amp;НАСТРОЙКИ!$D$8&amp;"]КРЕДИТЫ'!$S$40:$EO$40"))+SUMIF(INDIRECT("'["&amp;НАСТРОЙКИ!$D$8&amp;"]КРЕДИТЫ'!$S$3:$EO$3"),BO$22,INDIRECT("'["&amp;НАСТРОЙКИ!$D$8&amp;"]КРЕДИТЫ'!$S$61:$EO$61")))/1000000,0))</f>
        <v>0</v>
      </c>
      <c r="BP100" s="35">
        <f ca="1">IF(НАСТРОЙКИ!$B$8&lt;&gt;"Да",0,IFERROR((SUMIF(INDIRECT("'["&amp;НАСТРОЙКИ!$D$8&amp;"]КРЕДИТЫ'!$S$3:$EO$3"),BP$22,INDIRECT("'["&amp;НАСТРОЙКИ!$D$8&amp;"]КРЕДИТЫ'!$S$40:$EO$40"))+SUMIF(INDIRECT("'["&amp;НАСТРОЙКИ!$D$8&amp;"]КРЕДИТЫ'!$S$3:$EO$3"),BP$22,INDIRECT("'["&amp;НАСТРОЙКИ!$D$8&amp;"]КРЕДИТЫ'!$S$61:$EO$61")))/1000000,0))</f>
        <v>0</v>
      </c>
      <c r="BQ100" s="35">
        <f ca="1">IF(НАСТРОЙКИ!$B$8&lt;&gt;"Да",0,IFERROR((SUMIF(INDIRECT("'["&amp;НАСТРОЙКИ!$D$8&amp;"]КРЕДИТЫ'!$S$3:$EO$3"),BQ$22,INDIRECT("'["&amp;НАСТРОЙКИ!$D$8&amp;"]КРЕДИТЫ'!$S$40:$EO$40"))+SUMIF(INDIRECT("'["&amp;НАСТРОЙКИ!$D$8&amp;"]КРЕДИТЫ'!$S$3:$EO$3"),BQ$22,INDIRECT("'["&amp;НАСТРОЙКИ!$D$8&amp;"]КРЕДИТЫ'!$S$61:$EO$61")))/1000000,0))</f>
        <v>0</v>
      </c>
      <c r="BR100" s="35">
        <f ca="1">IF(НАСТРОЙКИ!$B$8&lt;&gt;"Да",0,IFERROR((SUMIF(INDIRECT("'["&amp;НАСТРОЙКИ!$D$8&amp;"]КРЕДИТЫ'!$S$3:$EO$3"),BR$22,INDIRECT("'["&amp;НАСТРОЙКИ!$D$8&amp;"]КРЕДИТЫ'!$S$40:$EO$40"))+SUMIF(INDIRECT("'["&amp;НАСТРОЙКИ!$D$8&amp;"]КРЕДИТЫ'!$S$3:$EO$3"),BR$22,INDIRECT("'["&amp;НАСТРОЙКИ!$D$8&amp;"]КРЕДИТЫ'!$S$61:$EO$61")))/1000000,0))</f>
        <v>0</v>
      </c>
      <c r="BS100" s="35">
        <f ca="1">IF(НАСТРОЙКИ!$B$8&lt;&gt;"Да",0,IFERROR((SUMIF(INDIRECT("'["&amp;НАСТРОЙКИ!$D$8&amp;"]КРЕДИТЫ'!$S$3:$EO$3"),BS$22,INDIRECT("'["&amp;НАСТРОЙКИ!$D$8&amp;"]КРЕДИТЫ'!$S$40:$EO$40"))+SUMIF(INDIRECT("'["&amp;НАСТРОЙКИ!$D$8&amp;"]КРЕДИТЫ'!$S$3:$EO$3"),BS$22,INDIRECT("'["&amp;НАСТРОЙКИ!$D$8&amp;"]КРЕДИТЫ'!$S$61:$EO$61")))/1000000,0))</f>
        <v>0</v>
      </c>
      <c r="BT100" s="35">
        <f ca="1">IF(НАСТРОЙКИ!$B$8&lt;&gt;"Да",0,IFERROR((SUMIF(INDIRECT("'["&amp;НАСТРОЙКИ!$D$8&amp;"]КРЕДИТЫ'!$S$3:$EO$3"),BT$22,INDIRECT("'["&amp;НАСТРОЙКИ!$D$8&amp;"]КРЕДИТЫ'!$S$40:$EO$40"))+SUMIF(INDIRECT("'["&amp;НАСТРОЙКИ!$D$8&amp;"]КРЕДИТЫ'!$S$3:$EO$3"),BT$22,INDIRECT("'["&amp;НАСТРОЙКИ!$D$8&amp;"]КРЕДИТЫ'!$S$61:$EO$61")))/1000000,0))</f>
        <v>0</v>
      </c>
      <c r="BU100" s="35">
        <f ca="1">IF(НАСТРОЙКИ!$B$8&lt;&gt;"Да",0,IFERROR((SUMIF(INDIRECT("'["&amp;НАСТРОЙКИ!$D$8&amp;"]КРЕДИТЫ'!$S$3:$EO$3"),BU$22,INDIRECT("'["&amp;НАСТРОЙКИ!$D$8&amp;"]КРЕДИТЫ'!$S$40:$EO$40"))+SUMIF(INDIRECT("'["&amp;НАСТРОЙКИ!$D$8&amp;"]КРЕДИТЫ'!$S$3:$EO$3"),BU$22,INDIRECT("'["&amp;НАСТРОЙКИ!$D$8&amp;"]КРЕДИТЫ'!$S$61:$EO$61")))/1000000,0))</f>
        <v>0</v>
      </c>
      <c r="BV100" s="35">
        <f ca="1">IF(НАСТРОЙКИ!$B$8&lt;&gt;"Да",0,IFERROR((SUMIF(INDIRECT("'["&amp;НАСТРОЙКИ!$D$8&amp;"]КРЕДИТЫ'!$S$3:$EO$3"),BV$22,INDIRECT("'["&amp;НАСТРОЙКИ!$D$8&amp;"]КРЕДИТЫ'!$S$40:$EO$40"))+SUMIF(INDIRECT("'["&amp;НАСТРОЙКИ!$D$8&amp;"]КРЕДИТЫ'!$S$3:$EO$3"),BV$22,INDIRECT("'["&amp;НАСТРОЙКИ!$D$8&amp;"]КРЕДИТЫ'!$S$61:$EO$61")))/1000000,0))</f>
        <v>0</v>
      </c>
      <c r="BW100" s="35">
        <f ca="1">IF(НАСТРОЙКИ!$B$8&lt;&gt;"Да",0,IFERROR((SUMIF(INDIRECT("'["&amp;НАСТРОЙКИ!$D$8&amp;"]КРЕДИТЫ'!$S$3:$EO$3"),BW$22,INDIRECT("'["&amp;НАСТРОЙКИ!$D$8&amp;"]КРЕДИТЫ'!$S$40:$EO$40"))+SUMIF(INDIRECT("'["&amp;НАСТРОЙКИ!$D$8&amp;"]КРЕДИТЫ'!$S$3:$EO$3"),BW$22,INDIRECT("'["&amp;НАСТРОЙКИ!$D$8&amp;"]КРЕДИТЫ'!$S$61:$EO$61")))/1000000,0))</f>
        <v>0</v>
      </c>
      <c r="BX100" s="35">
        <f ca="1">IF(НАСТРОЙКИ!$B$8&lt;&gt;"Да",0,IFERROR((SUMIF(INDIRECT("'["&amp;НАСТРОЙКИ!$D$8&amp;"]КРЕДИТЫ'!$S$3:$EO$3"),BX$22,INDIRECT("'["&amp;НАСТРОЙКИ!$D$8&amp;"]КРЕДИТЫ'!$S$40:$EO$40"))+SUMIF(INDIRECT("'["&amp;НАСТРОЙКИ!$D$8&amp;"]КРЕДИТЫ'!$S$3:$EO$3"),BX$22,INDIRECT("'["&amp;НАСТРОЙКИ!$D$8&amp;"]КРЕДИТЫ'!$S$61:$EO$61")))/1000000,0))</f>
        <v>0</v>
      </c>
      <c r="BY100" s="35">
        <f ca="1">IF(НАСТРОЙКИ!$B$8&lt;&gt;"Да",0,IFERROR((SUMIF(INDIRECT("'["&amp;НАСТРОЙКИ!$D$8&amp;"]КРЕДИТЫ'!$S$3:$EO$3"),BY$22,INDIRECT("'["&amp;НАСТРОЙКИ!$D$8&amp;"]КРЕДИТЫ'!$S$40:$EO$40"))+SUMIF(INDIRECT("'["&amp;НАСТРОЙКИ!$D$8&amp;"]КРЕДИТЫ'!$S$3:$EO$3"),BY$22,INDIRECT("'["&amp;НАСТРОЙКИ!$D$8&amp;"]КРЕДИТЫ'!$S$61:$EO$61")))/1000000,0))</f>
        <v>0</v>
      </c>
      <c r="BZ100" s="35">
        <f ca="1">IF(НАСТРОЙКИ!$B$8&lt;&gt;"Да",0,IFERROR((SUMIF(INDIRECT("'["&amp;НАСТРОЙКИ!$D$8&amp;"]КРЕДИТЫ'!$S$3:$EO$3"),BZ$22,INDIRECT("'["&amp;НАСТРОЙКИ!$D$8&amp;"]КРЕДИТЫ'!$S$40:$EO$40"))+SUMIF(INDIRECT("'["&amp;НАСТРОЙКИ!$D$8&amp;"]КРЕДИТЫ'!$S$3:$EO$3"),BZ$22,INDIRECT("'["&amp;НАСТРОЙКИ!$D$8&amp;"]КРЕДИТЫ'!$S$61:$EO$61")))/1000000,0))</f>
        <v>0</v>
      </c>
      <c r="CA100" s="35">
        <f ca="1">IF(НАСТРОЙКИ!$B$8&lt;&gt;"Да",0,IFERROR((SUMIF(INDIRECT("'["&amp;НАСТРОЙКИ!$D$8&amp;"]КРЕДИТЫ'!$S$3:$EO$3"),CA$22,INDIRECT("'["&amp;НАСТРОЙКИ!$D$8&amp;"]КРЕДИТЫ'!$S$40:$EO$40"))+SUMIF(INDIRECT("'["&amp;НАСТРОЙКИ!$D$8&amp;"]КРЕДИТЫ'!$S$3:$EO$3"),CA$22,INDIRECT("'["&amp;НАСТРОЙКИ!$D$8&amp;"]КРЕДИТЫ'!$S$61:$EO$61")))/1000000,0))</f>
        <v>0</v>
      </c>
      <c r="CB100" s="35">
        <f ca="1">IF(НАСТРОЙКИ!$B$8&lt;&gt;"Да",0,IFERROR((SUMIF(INDIRECT("'["&amp;НАСТРОЙКИ!$D$8&amp;"]КРЕДИТЫ'!$S$3:$EO$3"),CB$22,INDIRECT("'["&amp;НАСТРОЙКИ!$D$8&amp;"]КРЕДИТЫ'!$S$40:$EO$40"))+SUMIF(INDIRECT("'["&amp;НАСТРОЙКИ!$D$8&amp;"]КРЕДИТЫ'!$S$3:$EO$3"),CB$22,INDIRECT("'["&amp;НАСТРОЙКИ!$D$8&amp;"]КРЕДИТЫ'!$S$61:$EO$61")))/1000000,0))</f>
        <v>0</v>
      </c>
      <c r="CC100" s="35">
        <f ca="1">IF(НАСТРОЙКИ!$B$8&lt;&gt;"Да",0,IFERROR((SUMIF(INDIRECT("'["&amp;НАСТРОЙКИ!$D$8&amp;"]КРЕДИТЫ'!$S$3:$EO$3"),CC$22,INDIRECT("'["&amp;НАСТРОЙКИ!$D$8&amp;"]КРЕДИТЫ'!$S$40:$EO$40"))+SUMIF(INDIRECT("'["&amp;НАСТРОЙКИ!$D$8&amp;"]КРЕДИТЫ'!$S$3:$EO$3"),CC$22,INDIRECT("'["&amp;НАСТРОЙКИ!$D$8&amp;"]КРЕДИТЫ'!$S$61:$EO$61")))/1000000,0))</f>
        <v>0</v>
      </c>
      <c r="CD100" s="35">
        <f ca="1">IF(НАСТРОЙКИ!$B$8&lt;&gt;"Да",0,IFERROR((SUMIF(INDIRECT("'["&amp;НАСТРОЙКИ!$D$8&amp;"]КРЕДИТЫ'!$S$3:$EO$3"),CD$22,INDIRECT("'["&amp;НАСТРОЙКИ!$D$8&amp;"]КРЕДИТЫ'!$S$40:$EO$40"))+SUMIF(INDIRECT("'["&amp;НАСТРОЙКИ!$D$8&amp;"]КРЕДИТЫ'!$S$3:$EO$3"),CD$22,INDIRECT("'["&amp;НАСТРОЙКИ!$D$8&amp;"]КРЕДИТЫ'!$S$61:$EO$61")))/1000000,0))</f>
        <v>0</v>
      </c>
      <c r="CE100" s="35">
        <f ca="1">IF(НАСТРОЙКИ!$B$8&lt;&gt;"Да",0,IFERROR((SUMIF(INDIRECT("'["&amp;НАСТРОЙКИ!$D$8&amp;"]КРЕДИТЫ'!$S$3:$EO$3"),CE$22,INDIRECT("'["&amp;НАСТРОЙКИ!$D$8&amp;"]КРЕДИТЫ'!$S$40:$EO$40"))+SUMIF(INDIRECT("'["&amp;НАСТРОЙКИ!$D$8&amp;"]КРЕДИТЫ'!$S$3:$EO$3"),CE$22,INDIRECT("'["&amp;НАСТРОЙКИ!$D$8&amp;"]КРЕДИТЫ'!$S$61:$EO$61")))/1000000,0))</f>
        <v>0</v>
      </c>
      <c r="CF100" s="35">
        <f ca="1">IF(НАСТРОЙКИ!$B$8&lt;&gt;"Да",0,IFERROR((SUMIF(INDIRECT("'["&amp;НАСТРОЙКИ!$D$8&amp;"]КРЕДИТЫ'!$S$3:$EO$3"),CF$22,INDIRECT("'["&amp;НАСТРОЙКИ!$D$8&amp;"]КРЕДИТЫ'!$S$40:$EO$40"))+SUMIF(INDIRECT("'["&amp;НАСТРОЙКИ!$D$8&amp;"]КРЕДИТЫ'!$S$3:$EO$3"),CF$22,INDIRECT("'["&amp;НАСТРОЙКИ!$D$8&amp;"]КРЕДИТЫ'!$S$61:$EO$61")))/1000000,0))</f>
        <v>0</v>
      </c>
      <c r="CG100" s="35">
        <f ca="1">IF(НАСТРОЙКИ!$B$8&lt;&gt;"Да",0,IFERROR((SUMIF(INDIRECT("'["&amp;НАСТРОЙКИ!$D$8&amp;"]КРЕДИТЫ'!$S$3:$EO$3"),CG$22,INDIRECT("'["&amp;НАСТРОЙКИ!$D$8&amp;"]КРЕДИТЫ'!$S$40:$EO$40"))+SUMIF(INDIRECT("'["&amp;НАСТРОЙКИ!$D$8&amp;"]КРЕДИТЫ'!$S$3:$EO$3"),CG$22,INDIRECT("'["&amp;НАСТРОЙКИ!$D$8&amp;"]КРЕДИТЫ'!$S$61:$EO$61")))/1000000,0))</f>
        <v>0</v>
      </c>
      <c r="CH100" s="35">
        <f ca="1">IF(НАСТРОЙКИ!$B$8&lt;&gt;"Да",0,IFERROR((SUMIF(INDIRECT("'["&amp;НАСТРОЙКИ!$D$8&amp;"]КРЕДИТЫ'!$S$3:$EO$3"),CH$22,INDIRECT("'["&amp;НАСТРОЙКИ!$D$8&amp;"]КРЕДИТЫ'!$S$40:$EO$40"))+SUMIF(INDIRECT("'["&amp;НАСТРОЙКИ!$D$8&amp;"]КРЕДИТЫ'!$S$3:$EO$3"),CH$22,INDIRECT("'["&amp;НАСТРОЙКИ!$D$8&amp;"]КРЕДИТЫ'!$S$61:$EO$61")))/1000000,0))</f>
        <v>0</v>
      </c>
      <c r="CI100" s="35">
        <f ca="1">IF(НАСТРОЙКИ!$B$8&lt;&gt;"Да",0,IFERROR((SUMIF(INDIRECT("'["&amp;НАСТРОЙКИ!$D$8&amp;"]КРЕДИТЫ'!$S$3:$EO$3"),CI$22,INDIRECT("'["&amp;НАСТРОЙКИ!$D$8&amp;"]КРЕДИТЫ'!$S$40:$EO$40"))+SUMIF(INDIRECT("'["&amp;НАСТРОЙКИ!$D$8&amp;"]КРЕДИТЫ'!$S$3:$EO$3"),CI$22,INDIRECT("'["&amp;НАСТРОЙКИ!$D$8&amp;"]КРЕДИТЫ'!$S$61:$EO$61")))/1000000,0))</f>
        <v>0</v>
      </c>
      <c r="CJ100" s="35">
        <f ca="1">IF(НАСТРОЙКИ!$B$8&lt;&gt;"Да",0,IFERROR((SUMIF(INDIRECT("'["&amp;НАСТРОЙКИ!$D$8&amp;"]КРЕДИТЫ'!$S$3:$EO$3"),CJ$22,INDIRECT("'["&amp;НАСТРОЙКИ!$D$8&amp;"]КРЕДИТЫ'!$S$40:$EO$40"))+SUMIF(INDIRECT("'["&amp;НАСТРОЙКИ!$D$8&amp;"]КРЕДИТЫ'!$S$3:$EO$3"),CJ$22,INDIRECT("'["&amp;НАСТРОЙКИ!$D$8&amp;"]КРЕДИТЫ'!$S$61:$EO$61")))/1000000,0))</f>
        <v>0</v>
      </c>
      <c r="CK100" s="35">
        <f ca="1">IF(НАСТРОЙКИ!$B$8&lt;&gt;"Да",0,IFERROR((SUMIF(INDIRECT("'["&amp;НАСТРОЙКИ!$D$8&amp;"]КРЕДИТЫ'!$S$3:$EO$3"),CK$22,INDIRECT("'["&amp;НАСТРОЙКИ!$D$8&amp;"]КРЕДИТЫ'!$S$40:$EO$40"))+SUMIF(INDIRECT("'["&amp;НАСТРОЙКИ!$D$8&amp;"]КРЕДИТЫ'!$S$3:$EO$3"),CK$22,INDIRECT("'["&amp;НАСТРОЙКИ!$D$8&amp;"]КРЕДИТЫ'!$S$61:$EO$61")))/1000000,0))</f>
        <v>0</v>
      </c>
      <c r="CL100" s="35">
        <f ca="1">IF(НАСТРОЙКИ!$B$8&lt;&gt;"Да",0,IFERROR((SUMIF(INDIRECT("'["&amp;НАСТРОЙКИ!$D$8&amp;"]КРЕДИТЫ'!$S$3:$EO$3"),CL$22,INDIRECT("'["&amp;НАСТРОЙКИ!$D$8&amp;"]КРЕДИТЫ'!$S$40:$EO$40"))+SUMIF(INDIRECT("'["&amp;НАСТРОЙКИ!$D$8&amp;"]КРЕДИТЫ'!$S$3:$EO$3"),CL$22,INDIRECT("'["&amp;НАСТРОЙКИ!$D$8&amp;"]КРЕДИТЫ'!$S$61:$EO$61")))/1000000,0))</f>
        <v>0</v>
      </c>
      <c r="CM100" s="35">
        <f ca="1">IF(НАСТРОЙКИ!$B$8&lt;&gt;"Да",0,IFERROR((SUMIF(INDIRECT("'["&amp;НАСТРОЙКИ!$D$8&amp;"]КРЕДИТЫ'!$S$3:$EO$3"),CM$22,INDIRECT("'["&amp;НАСТРОЙКИ!$D$8&amp;"]КРЕДИТЫ'!$S$40:$EO$40"))+SUMIF(INDIRECT("'["&amp;НАСТРОЙКИ!$D$8&amp;"]КРЕДИТЫ'!$S$3:$EO$3"),CM$22,INDIRECT("'["&amp;НАСТРОЙКИ!$D$8&amp;"]КРЕДИТЫ'!$S$61:$EO$61")))/1000000,0))</f>
        <v>0</v>
      </c>
      <c r="CN100" s="35">
        <f ca="1">IF(НАСТРОЙКИ!$B$8&lt;&gt;"Да",0,IFERROR((SUMIF(INDIRECT("'["&amp;НАСТРОЙКИ!$D$8&amp;"]КРЕДИТЫ'!$S$3:$EO$3"),CN$22,INDIRECT("'["&amp;НАСТРОЙКИ!$D$8&amp;"]КРЕДИТЫ'!$S$40:$EO$40"))+SUMIF(INDIRECT("'["&amp;НАСТРОЙКИ!$D$8&amp;"]КРЕДИТЫ'!$S$3:$EO$3"),CN$22,INDIRECT("'["&amp;НАСТРОЙКИ!$D$8&amp;"]КРЕДИТЫ'!$S$61:$EO$61")))/1000000,0))</f>
        <v>0</v>
      </c>
      <c r="CO100" s="35">
        <f ca="1">IF(НАСТРОЙКИ!$B$8&lt;&gt;"Да",0,IFERROR((SUMIF(INDIRECT("'["&amp;НАСТРОЙКИ!$D$8&amp;"]КРЕДИТЫ'!$S$3:$EO$3"),CO$22,INDIRECT("'["&amp;НАСТРОЙКИ!$D$8&amp;"]КРЕДИТЫ'!$S$40:$EO$40"))+SUMIF(INDIRECT("'["&amp;НАСТРОЙКИ!$D$8&amp;"]КРЕДИТЫ'!$S$3:$EO$3"),CO$22,INDIRECT("'["&amp;НАСТРОЙКИ!$D$8&amp;"]КРЕДИТЫ'!$S$61:$EO$61")))/1000000,0))</f>
        <v>0</v>
      </c>
      <c r="CP100" s="35">
        <f ca="1">IF(НАСТРОЙКИ!$B$8&lt;&gt;"Да",0,IFERROR((SUMIF(INDIRECT("'["&amp;НАСТРОЙКИ!$D$8&amp;"]КРЕДИТЫ'!$S$3:$EO$3"),CP$22,INDIRECT("'["&amp;НАСТРОЙКИ!$D$8&amp;"]КРЕДИТЫ'!$S$40:$EO$40"))+SUMIF(INDIRECT("'["&amp;НАСТРОЙКИ!$D$8&amp;"]КРЕДИТЫ'!$S$3:$EO$3"),CP$22,INDIRECT("'["&amp;НАСТРОЙКИ!$D$8&amp;"]КРЕДИТЫ'!$S$61:$EO$61")))/1000000,0))</f>
        <v>0</v>
      </c>
      <c r="CQ100" s="35">
        <f ca="1">IF(НАСТРОЙКИ!$B$8&lt;&gt;"Да",0,IFERROR((SUMIF(INDIRECT("'["&amp;НАСТРОЙКИ!$D$8&amp;"]КРЕДИТЫ'!$S$3:$EO$3"),CQ$22,INDIRECT("'["&amp;НАСТРОЙКИ!$D$8&amp;"]КРЕДИТЫ'!$S$40:$EO$40"))+SUMIF(INDIRECT("'["&amp;НАСТРОЙКИ!$D$8&amp;"]КРЕДИТЫ'!$S$3:$EO$3"),CQ$22,INDIRECT("'["&amp;НАСТРОЙКИ!$D$8&amp;"]КРЕДИТЫ'!$S$61:$EO$61")))/1000000,0))</f>
        <v>0</v>
      </c>
      <c r="CR100" s="35">
        <f ca="1">IF(НАСТРОЙКИ!$B$8&lt;&gt;"Да",0,IFERROR((SUMIF(INDIRECT("'["&amp;НАСТРОЙКИ!$D$8&amp;"]КРЕДИТЫ'!$S$3:$EO$3"),CR$22,INDIRECT("'["&amp;НАСТРОЙКИ!$D$8&amp;"]КРЕДИТЫ'!$S$40:$EO$40"))+SUMIF(INDIRECT("'["&amp;НАСТРОЙКИ!$D$8&amp;"]КРЕДИТЫ'!$S$3:$EO$3"),CR$22,INDIRECT("'["&amp;НАСТРОЙКИ!$D$8&amp;"]КРЕДИТЫ'!$S$61:$EO$61")))/1000000,0))</f>
        <v>0</v>
      </c>
      <c r="CS100" s="35">
        <f ca="1">IF(НАСТРОЙКИ!$B$8&lt;&gt;"Да",0,IFERROR((SUMIF(INDIRECT("'["&amp;НАСТРОЙКИ!$D$8&amp;"]КРЕДИТЫ'!$S$3:$EO$3"),CS$22,INDIRECT("'["&amp;НАСТРОЙКИ!$D$8&amp;"]КРЕДИТЫ'!$S$40:$EO$40"))+SUMIF(INDIRECT("'["&amp;НАСТРОЙКИ!$D$8&amp;"]КРЕДИТЫ'!$S$3:$EO$3"),CS$22,INDIRECT("'["&amp;НАСТРОЙКИ!$D$8&amp;"]КРЕДИТЫ'!$S$61:$EO$61")))/1000000,0))</f>
        <v>0</v>
      </c>
      <c r="CT100" s="35">
        <f ca="1">IF(НАСТРОЙКИ!$B$8&lt;&gt;"Да",0,IFERROR((SUMIF(INDIRECT("'["&amp;НАСТРОЙКИ!$D$8&amp;"]КРЕДИТЫ'!$S$3:$EO$3"),CT$22,INDIRECT("'["&amp;НАСТРОЙКИ!$D$8&amp;"]КРЕДИТЫ'!$S$40:$EO$40"))+SUMIF(INDIRECT("'["&amp;НАСТРОЙКИ!$D$8&amp;"]КРЕДИТЫ'!$S$3:$EO$3"),CT$22,INDIRECT("'["&amp;НАСТРОЙКИ!$D$8&amp;"]КРЕДИТЫ'!$S$61:$EO$61")))/1000000,0))</f>
        <v>0</v>
      </c>
      <c r="CU100" s="35">
        <f ca="1">IF(НАСТРОЙКИ!$B$8&lt;&gt;"Да",0,IFERROR((SUMIF(INDIRECT("'["&amp;НАСТРОЙКИ!$D$8&amp;"]КРЕДИТЫ'!$S$3:$EO$3"),CU$22,INDIRECT("'["&amp;НАСТРОЙКИ!$D$8&amp;"]КРЕДИТЫ'!$S$40:$EO$40"))+SUMIF(INDIRECT("'["&amp;НАСТРОЙКИ!$D$8&amp;"]КРЕДИТЫ'!$S$3:$EO$3"),CU$22,INDIRECT("'["&amp;НАСТРОЙКИ!$D$8&amp;"]КРЕДИТЫ'!$S$61:$EO$61")))/1000000,0))</f>
        <v>0</v>
      </c>
      <c r="CV100" s="35">
        <f ca="1">IF(НАСТРОЙКИ!$B$8&lt;&gt;"Да",0,IFERROR((SUMIF(INDIRECT("'["&amp;НАСТРОЙКИ!$D$8&amp;"]КРЕДИТЫ'!$S$3:$EO$3"),CV$22,INDIRECT("'["&amp;НАСТРОЙКИ!$D$8&amp;"]КРЕДИТЫ'!$S$40:$EO$40"))+SUMIF(INDIRECT("'["&amp;НАСТРОЙКИ!$D$8&amp;"]КРЕДИТЫ'!$S$3:$EO$3"),CV$22,INDIRECT("'["&amp;НАСТРОЙКИ!$D$8&amp;"]КРЕДИТЫ'!$S$61:$EO$61")))/1000000,0))</f>
        <v>0</v>
      </c>
      <c r="CW100" s="35">
        <f ca="1">IF(НАСТРОЙКИ!$B$8&lt;&gt;"Да",0,IFERROR((SUMIF(INDIRECT("'["&amp;НАСТРОЙКИ!$D$8&amp;"]КРЕДИТЫ'!$S$3:$EO$3"),CW$22,INDIRECT("'["&amp;НАСТРОЙКИ!$D$8&amp;"]КРЕДИТЫ'!$S$40:$EO$40"))+SUMIF(INDIRECT("'["&amp;НАСТРОЙКИ!$D$8&amp;"]КРЕДИТЫ'!$S$3:$EO$3"),CW$22,INDIRECT("'["&amp;НАСТРОЙКИ!$D$8&amp;"]КРЕДИТЫ'!$S$61:$EO$61")))/1000000,0))</f>
        <v>0</v>
      </c>
      <c r="CX100" s="35">
        <f ca="1">IF(НАСТРОЙКИ!$B$8&lt;&gt;"Да",0,IFERROR((SUMIF(INDIRECT("'["&amp;НАСТРОЙКИ!$D$8&amp;"]КРЕДИТЫ'!$S$3:$EO$3"),CX$22,INDIRECT("'["&amp;НАСТРОЙКИ!$D$8&amp;"]КРЕДИТЫ'!$S$40:$EO$40"))+SUMIF(INDIRECT("'["&amp;НАСТРОЙКИ!$D$8&amp;"]КРЕДИТЫ'!$S$3:$EO$3"),CX$22,INDIRECT("'["&amp;НАСТРОЙКИ!$D$8&amp;"]КРЕДИТЫ'!$S$61:$EO$61")))/1000000,0))</f>
        <v>0</v>
      </c>
      <c r="CY100" s="35">
        <f ca="1">IF(НАСТРОЙКИ!$B$8&lt;&gt;"Да",0,IFERROR((SUMIF(INDIRECT("'["&amp;НАСТРОЙКИ!$D$8&amp;"]КРЕДИТЫ'!$S$3:$EO$3"),CY$22,INDIRECT("'["&amp;НАСТРОЙКИ!$D$8&amp;"]КРЕДИТЫ'!$S$40:$EO$40"))+SUMIF(INDIRECT("'["&amp;НАСТРОЙКИ!$D$8&amp;"]КРЕДИТЫ'!$S$3:$EO$3"),CY$22,INDIRECT("'["&amp;НАСТРОЙКИ!$D$8&amp;"]КРЕДИТЫ'!$S$61:$EO$61")))/1000000,0))</f>
        <v>0</v>
      </c>
      <c r="CZ100" s="35">
        <f ca="1">IF(НАСТРОЙКИ!$B$8&lt;&gt;"Да",0,IFERROR((SUMIF(INDIRECT("'["&amp;НАСТРОЙКИ!$D$8&amp;"]КРЕДИТЫ'!$S$3:$EO$3"),CZ$22,INDIRECT("'["&amp;НАСТРОЙКИ!$D$8&amp;"]КРЕДИТЫ'!$S$40:$EO$40"))+SUMIF(INDIRECT("'["&amp;НАСТРОЙКИ!$D$8&amp;"]КРЕДИТЫ'!$S$3:$EO$3"),CZ$22,INDIRECT("'["&amp;НАСТРОЙКИ!$D$8&amp;"]КРЕДИТЫ'!$S$61:$EO$61")))/1000000,0))</f>
        <v>0</v>
      </c>
      <c r="DA100" s="35">
        <f ca="1">IF(НАСТРОЙКИ!$B$8&lt;&gt;"Да",0,IFERROR((SUMIF(INDIRECT("'["&amp;НАСТРОЙКИ!$D$8&amp;"]КРЕДИТЫ'!$S$3:$EO$3"),DA$22,INDIRECT("'["&amp;НАСТРОЙКИ!$D$8&amp;"]КРЕДИТЫ'!$S$40:$EO$40"))+SUMIF(INDIRECT("'["&amp;НАСТРОЙКИ!$D$8&amp;"]КРЕДИТЫ'!$S$3:$EO$3"),DA$22,INDIRECT("'["&amp;НАСТРОЙКИ!$D$8&amp;"]КРЕДИТЫ'!$S$61:$EO$61")))/1000000,0))</f>
        <v>0</v>
      </c>
      <c r="DB100" s="35">
        <f ca="1">IF(НАСТРОЙКИ!$B$8&lt;&gt;"Да",0,IFERROR((SUMIF(INDIRECT("'["&amp;НАСТРОЙКИ!$D$8&amp;"]КРЕДИТЫ'!$S$3:$EO$3"),DB$22,INDIRECT("'["&amp;НАСТРОЙКИ!$D$8&amp;"]КРЕДИТЫ'!$S$40:$EO$40"))+SUMIF(INDIRECT("'["&amp;НАСТРОЙКИ!$D$8&amp;"]КРЕДИТЫ'!$S$3:$EO$3"),DB$22,INDIRECT("'["&amp;НАСТРОЙКИ!$D$8&amp;"]КРЕДИТЫ'!$S$61:$EO$61")))/1000000,0))</f>
        <v>0</v>
      </c>
      <c r="DC100" s="35">
        <f ca="1">IF(НАСТРОЙКИ!$B$8&lt;&gt;"Да",0,IFERROR((SUMIF(INDIRECT("'["&amp;НАСТРОЙКИ!$D$8&amp;"]КРЕДИТЫ'!$S$3:$EO$3"),DC$22,INDIRECT("'["&amp;НАСТРОЙКИ!$D$8&amp;"]КРЕДИТЫ'!$S$40:$EO$40"))+SUMIF(INDIRECT("'["&amp;НАСТРОЙКИ!$D$8&amp;"]КРЕДИТЫ'!$S$3:$EO$3"),DC$22,INDIRECT("'["&amp;НАСТРОЙКИ!$D$8&amp;"]КРЕДИТЫ'!$S$61:$EO$61")))/1000000,0))</f>
        <v>0</v>
      </c>
      <c r="DD100" s="35">
        <f ca="1">IF(НАСТРОЙКИ!$B$8&lt;&gt;"Да",0,IFERROR((SUMIF(INDIRECT("'["&amp;НАСТРОЙКИ!$D$8&amp;"]КРЕДИТЫ'!$S$3:$EO$3"),DD$22,INDIRECT("'["&amp;НАСТРОЙКИ!$D$8&amp;"]КРЕДИТЫ'!$S$40:$EO$40"))+SUMIF(INDIRECT("'["&amp;НАСТРОЙКИ!$D$8&amp;"]КРЕДИТЫ'!$S$3:$EO$3"),DD$22,INDIRECT("'["&amp;НАСТРОЙКИ!$D$8&amp;"]КРЕДИТЫ'!$S$61:$EO$61")))/1000000,0))</f>
        <v>0</v>
      </c>
      <c r="DE100" s="35">
        <f ca="1">IF(НАСТРОЙКИ!$B$8&lt;&gt;"Да",0,IFERROR((SUMIF(INDIRECT("'["&amp;НАСТРОЙКИ!$D$8&amp;"]КРЕДИТЫ'!$S$3:$EO$3"),DE$22,INDIRECT("'["&amp;НАСТРОЙКИ!$D$8&amp;"]КРЕДИТЫ'!$S$40:$EO$40"))+SUMIF(INDIRECT("'["&amp;НАСТРОЙКИ!$D$8&amp;"]КРЕДИТЫ'!$S$3:$EO$3"),DE$22,INDIRECT("'["&amp;НАСТРОЙКИ!$D$8&amp;"]КРЕДИТЫ'!$S$61:$EO$61")))/1000000,0))</f>
        <v>0</v>
      </c>
      <c r="DF100" s="35">
        <f ca="1">IF(НАСТРОЙКИ!$B$8&lt;&gt;"Да",0,IFERROR((SUMIF(INDIRECT("'["&amp;НАСТРОЙКИ!$D$8&amp;"]КРЕДИТЫ'!$S$3:$EO$3"),DF$22,INDIRECT("'["&amp;НАСТРОЙКИ!$D$8&amp;"]КРЕДИТЫ'!$S$40:$EO$40"))+SUMIF(INDIRECT("'["&amp;НАСТРОЙКИ!$D$8&amp;"]КРЕДИТЫ'!$S$3:$EO$3"),DF$22,INDIRECT("'["&amp;НАСТРОЙКИ!$D$8&amp;"]КРЕДИТЫ'!$S$61:$EO$61")))/1000000,0))</f>
        <v>0</v>
      </c>
    </row>
    <row r="101" spans="1:110">
      <c r="A101" s="34" t="s">
        <v>131</v>
      </c>
      <c r="B101" s="34" t="s">
        <v>58</v>
      </c>
      <c r="C101" s="36">
        <f t="shared" ref="C101:AH101" ca="1" si="104">C97+C98+C99+C100</f>
        <v>0</v>
      </c>
      <c r="D101" s="36">
        <f t="shared" ca="1" si="104"/>
        <v>0</v>
      </c>
      <c r="E101" s="36">
        <f t="shared" ca="1" si="104"/>
        <v>0</v>
      </c>
      <c r="F101" s="36">
        <f t="shared" ca="1" si="104"/>
        <v>0</v>
      </c>
      <c r="G101" s="36">
        <f t="shared" ca="1" si="104"/>
        <v>0</v>
      </c>
      <c r="H101" s="36">
        <f t="shared" ca="1" si="104"/>
        <v>0</v>
      </c>
      <c r="I101" s="36">
        <f t="shared" ca="1" si="104"/>
        <v>0</v>
      </c>
      <c r="J101" s="36">
        <f t="shared" ca="1" si="104"/>
        <v>0</v>
      </c>
      <c r="K101" s="36">
        <f t="shared" ca="1" si="104"/>
        <v>0</v>
      </c>
      <c r="L101" s="36">
        <f t="shared" ca="1" si="104"/>
        <v>0</v>
      </c>
      <c r="M101" s="36">
        <f t="shared" ca="1" si="104"/>
        <v>0</v>
      </c>
      <c r="N101" s="36">
        <f t="shared" ca="1" si="104"/>
        <v>0</v>
      </c>
      <c r="O101" s="36">
        <f t="shared" ca="1" si="104"/>
        <v>0</v>
      </c>
      <c r="P101" s="36">
        <f t="shared" ca="1" si="104"/>
        <v>0</v>
      </c>
      <c r="Q101" s="36">
        <f t="shared" ca="1" si="104"/>
        <v>0</v>
      </c>
      <c r="R101" s="36">
        <f t="shared" ca="1" si="104"/>
        <v>0</v>
      </c>
      <c r="S101" s="36">
        <f t="shared" ca="1" si="104"/>
        <v>0</v>
      </c>
      <c r="T101" s="36">
        <f t="shared" ca="1" si="104"/>
        <v>0</v>
      </c>
      <c r="U101" s="36">
        <f t="shared" ca="1" si="104"/>
        <v>0</v>
      </c>
      <c r="V101" s="36">
        <f t="shared" ca="1" si="104"/>
        <v>0</v>
      </c>
      <c r="W101" s="36">
        <f t="shared" ca="1" si="104"/>
        <v>0</v>
      </c>
      <c r="X101" s="36">
        <f t="shared" ca="1" si="104"/>
        <v>0</v>
      </c>
      <c r="Y101" s="36">
        <f t="shared" ca="1" si="104"/>
        <v>0</v>
      </c>
      <c r="Z101" s="36">
        <f t="shared" ca="1" si="104"/>
        <v>0</v>
      </c>
      <c r="AA101" s="36">
        <f t="shared" ca="1" si="104"/>
        <v>0</v>
      </c>
      <c r="AB101" s="36">
        <f t="shared" ca="1" si="104"/>
        <v>0</v>
      </c>
      <c r="AC101" s="36">
        <f t="shared" ca="1" si="104"/>
        <v>0</v>
      </c>
      <c r="AD101" s="36">
        <f t="shared" ca="1" si="104"/>
        <v>0</v>
      </c>
      <c r="AE101" s="36">
        <f t="shared" ca="1" si="104"/>
        <v>0</v>
      </c>
      <c r="AF101" s="36">
        <f t="shared" ca="1" si="104"/>
        <v>0</v>
      </c>
      <c r="AG101" s="36">
        <f t="shared" ca="1" si="104"/>
        <v>0</v>
      </c>
      <c r="AH101" s="36">
        <f t="shared" ca="1" si="104"/>
        <v>0</v>
      </c>
      <c r="AI101" s="36">
        <f t="shared" ref="AI101:BN101" ca="1" si="105">AI97+AI98+AI99+AI100</f>
        <v>0</v>
      </c>
      <c r="AJ101" s="36">
        <f t="shared" ca="1" si="105"/>
        <v>0</v>
      </c>
      <c r="AK101" s="36">
        <f t="shared" ca="1" si="105"/>
        <v>0</v>
      </c>
      <c r="AL101" s="36">
        <f t="shared" ca="1" si="105"/>
        <v>0</v>
      </c>
      <c r="AM101" s="36">
        <f t="shared" ca="1" si="105"/>
        <v>0</v>
      </c>
      <c r="AN101" s="36">
        <f t="shared" ca="1" si="105"/>
        <v>0</v>
      </c>
      <c r="AO101" s="36">
        <f t="shared" ca="1" si="105"/>
        <v>0</v>
      </c>
      <c r="AP101" s="36">
        <f t="shared" ca="1" si="105"/>
        <v>0</v>
      </c>
      <c r="AQ101" s="36">
        <f t="shared" ca="1" si="105"/>
        <v>0</v>
      </c>
      <c r="AR101" s="36">
        <f t="shared" ca="1" si="105"/>
        <v>0</v>
      </c>
      <c r="AS101" s="36">
        <f t="shared" ca="1" si="105"/>
        <v>0</v>
      </c>
      <c r="AT101" s="36">
        <f t="shared" ca="1" si="105"/>
        <v>0</v>
      </c>
      <c r="AU101" s="36">
        <f t="shared" ca="1" si="105"/>
        <v>0</v>
      </c>
      <c r="AV101" s="36">
        <f t="shared" ca="1" si="105"/>
        <v>0</v>
      </c>
      <c r="AW101" s="36">
        <f t="shared" ca="1" si="105"/>
        <v>0</v>
      </c>
      <c r="AX101" s="36">
        <f t="shared" ca="1" si="105"/>
        <v>0</v>
      </c>
      <c r="AY101" s="36">
        <f t="shared" ca="1" si="105"/>
        <v>0</v>
      </c>
      <c r="AZ101" s="36">
        <f t="shared" ca="1" si="105"/>
        <v>0</v>
      </c>
      <c r="BA101" s="36">
        <f t="shared" ca="1" si="105"/>
        <v>0</v>
      </c>
      <c r="BB101" s="36">
        <f t="shared" ca="1" si="105"/>
        <v>0</v>
      </c>
      <c r="BC101" s="36">
        <f t="shared" ca="1" si="105"/>
        <v>0</v>
      </c>
      <c r="BD101" s="36">
        <f t="shared" ca="1" si="105"/>
        <v>0</v>
      </c>
      <c r="BE101" s="36">
        <f t="shared" ca="1" si="105"/>
        <v>0</v>
      </c>
      <c r="BF101" s="36">
        <f t="shared" ca="1" si="105"/>
        <v>0</v>
      </c>
      <c r="BG101" s="36">
        <f t="shared" ca="1" si="105"/>
        <v>0</v>
      </c>
      <c r="BH101" s="36">
        <f t="shared" ca="1" si="105"/>
        <v>0</v>
      </c>
      <c r="BI101" s="36">
        <f t="shared" ca="1" si="105"/>
        <v>0</v>
      </c>
      <c r="BJ101" s="36">
        <f t="shared" ca="1" si="105"/>
        <v>0</v>
      </c>
      <c r="BK101" s="36">
        <f t="shared" ca="1" si="105"/>
        <v>0</v>
      </c>
      <c r="BL101" s="36">
        <f t="shared" ca="1" si="105"/>
        <v>0</v>
      </c>
      <c r="BM101" s="36">
        <f t="shared" ca="1" si="105"/>
        <v>0</v>
      </c>
      <c r="BN101" s="36">
        <f t="shared" ca="1" si="105"/>
        <v>0</v>
      </c>
      <c r="BO101" s="36">
        <f t="shared" ref="BO101:CT101" ca="1" si="106">BO97+BO98+BO99+BO100</f>
        <v>0</v>
      </c>
      <c r="BP101" s="36">
        <f t="shared" ca="1" si="106"/>
        <v>0</v>
      </c>
      <c r="BQ101" s="36">
        <f t="shared" ca="1" si="106"/>
        <v>0</v>
      </c>
      <c r="BR101" s="36">
        <f t="shared" ca="1" si="106"/>
        <v>0</v>
      </c>
      <c r="BS101" s="36">
        <f t="shared" ca="1" si="106"/>
        <v>0</v>
      </c>
      <c r="BT101" s="36">
        <f t="shared" ca="1" si="106"/>
        <v>0</v>
      </c>
      <c r="BU101" s="36">
        <f t="shared" ca="1" si="106"/>
        <v>0</v>
      </c>
      <c r="BV101" s="36">
        <f t="shared" ca="1" si="106"/>
        <v>0</v>
      </c>
      <c r="BW101" s="36">
        <f t="shared" ca="1" si="106"/>
        <v>0</v>
      </c>
      <c r="BX101" s="36">
        <f t="shared" ca="1" si="106"/>
        <v>0</v>
      </c>
      <c r="BY101" s="36">
        <f t="shared" ca="1" si="106"/>
        <v>0</v>
      </c>
      <c r="BZ101" s="36">
        <f t="shared" ca="1" si="106"/>
        <v>0</v>
      </c>
      <c r="CA101" s="36">
        <f t="shared" ca="1" si="106"/>
        <v>0</v>
      </c>
      <c r="CB101" s="36">
        <f t="shared" ca="1" si="106"/>
        <v>0</v>
      </c>
      <c r="CC101" s="36">
        <f t="shared" ca="1" si="106"/>
        <v>0</v>
      </c>
      <c r="CD101" s="36">
        <f t="shared" ca="1" si="106"/>
        <v>0</v>
      </c>
      <c r="CE101" s="36">
        <f t="shared" ca="1" si="106"/>
        <v>0</v>
      </c>
      <c r="CF101" s="36">
        <f t="shared" ca="1" si="106"/>
        <v>0</v>
      </c>
      <c r="CG101" s="36">
        <f t="shared" ca="1" si="106"/>
        <v>0</v>
      </c>
      <c r="CH101" s="36">
        <f t="shared" ca="1" si="106"/>
        <v>0</v>
      </c>
      <c r="CI101" s="36">
        <f t="shared" ca="1" si="106"/>
        <v>0</v>
      </c>
      <c r="CJ101" s="36">
        <f t="shared" ca="1" si="106"/>
        <v>0</v>
      </c>
      <c r="CK101" s="36">
        <f t="shared" ca="1" si="106"/>
        <v>0</v>
      </c>
      <c r="CL101" s="36">
        <f t="shared" ca="1" si="106"/>
        <v>0</v>
      </c>
      <c r="CM101" s="36">
        <f t="shared" ca="1" si="106"/>
        <v>0</v>
      </c>
      <c r="CN101" s="36">
        <f t="shared" ca="1" si="106"/>
        <v>0</v>
      </c>
      <c r="CO101" s="36">
        <f t="shared" ca="1" si="106"/>
        <v>0</v>
      </c>
      <c r="CP101" s="36">
        <f t="shared" ca="1" si="106"/>
        <v>0</v>
      </c>
      <c r="CQ101" s="36">
        <f t="shared" ca="1" si="106"/>
        <v>0</v>
      </c>
      <c r="CR101" s="36">
        <f t="shared" ca="1" si="106"/>
        <v>0</v>
      </c>
      <c r="CS101" s="36">
        <f t="shared" ca="1" si="106"/>
        <v>0</v>
      </c>
      <c r="CT101" s="36">
        <f t="shared" ca="1" si="106"/>
        <v>0</v>
      </c>
      <c r="CU101" s="36">
        <f t="shared" ref="CU101:DF101" ca="1" si="107">CU97+CU98+CU99+CU100</f>
        <v>0</v>
      </c>
      <c r="CV101" s="36">
        <f t="shared" ca="1" si="107"/>
        <v>0</v>
      </c>
      <c r="CW101" s="36">
        <f t="shared" ca="1" si="107"/>
        <v>0</v>
      </c>
      <c r="CX101" s="36">
        <f t="shared" ca="1" si="107"/>
        <v>0</v>
      </c>
      <c r="CY101" s="36">
        <f t="shared" ca="1" si="107"/>
        <v>0</v>
      </c>
      <c r="CZ101" s="36">
        <f t="shared" ca="1" si="107"/>
        <v>0</v>
      </c>
      <c r="DA101" s="36">
        <f t="shared" ca="1" si="107"/>
        <v>0</v>
      </c>
      <c r="DB101" s="36">
        <f t="shared" ca="1" si="107"/>
        <v>0</v>
      </c>
      <c r="DC101" s="36">
        <f t="shared" ca="1" si="107"/>
        <v>0</v>
      </c>
      <c r="DD101" s="36">
        <f t="shared" ca="1" si="107"/>
        <v>0</v>
      </c>
      <c r="DE101" s="36">
        <f t="shared" ca="1" si="107"/>
        <v>0</v>
      </c>
      <c r="DF101" s="36">
        <f t="shared" ca="1" si="107"/>
        <v>0</v>
      </c>
    </row>
    <row r="102" spans="1:110">
      <c r="A102" s="34" t="s">
        <v>133</v>
      </c>
      <c r="B102" s="34" t="s">
        <v>58</v>
      </c>
      <c r="C102" s="35">
        <f ca="1">IF(НАСТРОЙКИ!$B$8&lt;&gt;"Да",0,IFERROR(SUMIF(INDIRECT("'["&amp;НАСТРОЙКИ!$D$8&amp;"]КРЕДИТЫ'!$S$3:$EO$3"),C$22,INDIRECT("'["&amp;НАСТРОЙКИ!$D$8&amp;"]КРЕДИТЫ'!$S$51:$EO$51"))/1000000,0))</f>
        <v>0</v>
      </c>
      <c r="D102" s="35">
        <f ca="1">IF(НАСТРОЙКИ!$B$8&lt;&gt;"Да",0,IFERROR(SUMIF(INDIRECT("'["&amp;НАСТРОЙКИ!$D$8&amp;"]КРЕДИТЫ'!$S$3:$EO$3"),D$22,INDIRECT("'["&amp;НАСТРОЙКИ!$D$8&amp;"]КРЕДИТЫ'!$S$51:$EO$51"))/1000000,0))</f>
        <v>0</v>
      </c>
      <c r="E102" s="35">
        <f ca="1">IF(НАСТРОЙКИ!$B$8&lt;&gt;"Да",0,IFERROR(SUMIF(INDIRECT("'["&amp;НАСТРОЙКИ!$D$8&amp;"]КРЕДИТЫ'!$S$3:$EO$3"),E$22,INDIRECT("'["&amp;НАСТРОЙКИ!$D$8&amp;"]КРЕДИТЫ'!$S$51:$EO$51"))/1000000,0))</f>
        <v>0</v>
      </c>
      <c r="F102" s="35">
        <f ca="1">IF(НАСТРОЙКИ!$B$8&lt;&gt;"Да",0,IFERROR(SUMIF(INDIRECT("'["&amp;НАСТРОЙКИ!$D$8&amp;"]КРЕДИТЫ'!$S$3:$EO$3"),F$22,INDIRECT("'["&amp;НАСТРОЙКИ!$D$8&amp;"]КРЕДИТЫ'!$S$51:$EO$51"))/1000000,0))</f>
        <v>0</v>
      </c>
      <c r="G102" s="35">
        <f ca="1">IF(НАСТРОЙКИ!$B$8&lt;&gt;"Да",0,IFERROR(SUMIF(INDIRECT("'["&amp;НАСТРОЙКИ!$D$8&amp;"]КРЕДИТЫ'!$S$3:$EO$3"),G$22,INDIRECT("'["&amp;НАСТРОЙКИ!$D$8&amp;"]КРЕДИТЫ'!$S$51:$EO$51"))/1000000,0))</f>
        <v>0</v>
      </c>
      <c r="H102" s="35">
        <f ca="1">IF(НАСТРОЙКИ!$B$8&lt;&gt;"Да",0,IFERROR(SUMIF(INDIRECT("'["&amp;НАСТРОЙКИ!$D$8&amp;"]КРЕДИТЫ'!$S$3:$EO$3"),H$22,INDIRECT("'["&amp;НАСТРОЙКИ!$D$8&amp;"]КРЕДИТЫ'!$S$51:$EO$51"))/1000000,0))</f>
        <v>0</v>
      </c>
      <c r="I102" s="35">
        <f ca="1">IF(НАСТРОЙКИ!$B$8&lt;&gt;"Да",0,IFERROR(SUMIF(INDIRECT("'["&amp;НАСТРОЙКИ!$D$8&amp;"]КРЕДИТЫ'!$S$3:$EO$3"),I$22,INDIRECT("'["&amp;НАСТРОЙКИ!$D$8&amp;"]КРЕДИТЫ'!$S$51:$EO$51"))/1000000,0))</f>
        <v>0</v>
      </c>
      <c r="J102" s="35">
        <f ca="1">IF(НАСТРОЙКИ!$B$8&lt;&gt;"Да",0,IFERROR(SUMIF(INDIRECT("'["&amp;НАСТРОЙКИ!$D$8&amp;"]КРЕДИТЫ'!$S$3:$EO$3"),J$22,INDIRECT("'["&amp;НАСТРОЙКИ!$D$8&amp;"]КРЕДИТЫ'!$S$51:$EO$51"))/1000000,0))</f>
        <v>0</v>
      </c>
      <c r="K102" s="35">
        <f ca="1">IF(НАСТРОЙКИ!$B$8&lt;&gt;"Да",0,IFERROR(SUMIF(INDIRECT("'["&amp;НАСТРОЙКИ!$D$8&amp;"]КРЕДИТЫ'!$S$3:$EO$3"),K$22,INDIRECT("'["&amp;НАСТРОЙКИ!$D$8&amp;"]КРЕДИТЫ'!$S$51:$EO$51"))/1000000,0))</f>
        <v>0</v>
      </c>
      <c r="L102" s="35">
        <f ca="1">IF(НАСТРОЙКИ!$B$8&lt;&gt;"Да",0,IFERROR(SUMIF(INDIRECT("'["&amp;НАСТРОЙКИ!$D$8&amp;"]КРЕДИТЫ'!$S$3:$EO$3"),L$22,INDIRECT("'["&amp;НАСТРОЙКИ!$D$8&amp;"]КРЕДИТЫ'!$S$51:$EO$51"))/1000000,0))</f>
        <v>0</v>
      </c>
      <c r="M102" s="35">
        <f ca="1">IF(НАСТРОЙКИ!$B$8&lt;&gt;"Да",0,IFERROR(SUMIF(INDIRECT("'["&amp;НАСТРОЙКИ!$D$8&amp;"]КРЕДИТЫ'!$S$3:$EO$3"),M$22,INDIRECT("'["&amp;НАСТРОЙКИ!$D$8&amp;"]КРЕДИТЫ'!$S$51:$EO$51"))/1000000,0))</f>
        <v>0</v>
      </c>
      <c r="N102" s="35">
        <f ca="1">IF(НАСТРОЙКИ!$B$8&lt;&gt;"Да",0,IFERROR(SUMIF(INDIRECT("'["&amp;НАСТРОЙКИ!$D$8&amp;"]КРЕДИТЫ'!$S$3:$EO$3"),N$22,INDIRECT("'["&amp;НАСТРОЙКИ!$D$8&amp;"]КРЕДИТЫ'!$S$51:$EO$51"))/1000000,0))</f>
        <v>0</v>
      </c>
      <c r="O102" s="35">
        <f ca="1">IF(НАСТРОЙКИ!$B$8&lt;&gt;"Да",0,IFERROR(SUMIF(INDIRECT("'["&amp;НАСТРОЙКИ!$D$8&amp;"]КРЕДИТЫ'!$S$3:$EO$3"),O$22,INDIRECT("'["&amp;НАСТРОЙКИ!$D$8&amp;"]КРЕДИТЫ'!$S$51:$EO$51"))/1000000,0))</f>
        <v>0</v>
      </c>
      <c r="P102" s="35">
        <f ca="1">IF(НАСТРОЙКИ!$B$8&lt;&gt;"Да",0,IFERROR(SUMIF(INDIRECT("'["&amp;НАСТРОЙКИ!$D$8&amp;"]КРЕДИТЫ'!$S$3:$EO$3"),P$22,INDIRECT("'["&amp;НАСТРОЙКИ!$D$8&amp;"]КРЕДИТЫ'!$S$51:$EO$51"))/1000000,0))</f>
        <v>0</v>
      </c>
      <c r="Q102" s="35">
        <f ca="1">IF(НАСТРОЙКИ!$B$8&lt;&gt;"Да",0,IFERROR(SUMIF(INDIRECT("'["&amp;НАСТРОЙКИ!$D$8&amp;"]КРЕДИТЫ'!$S$3:$EO$3"),Q$22,INDIRECT("'["&amp;НАСТРОЙКИ!$D$8&amp;"]КРЕДИТЫ'!$S$51:$EO$51"))/1000000,0))</f>
        <v>0</v>
      </c>
      <c r="R102" s="35">
        <f ca="1">IF(НАСТРОЙКИ!$B$8&lt;&gt;"Да",0,IFERROR(SUMIF(INDIRECT("'["&amp;НАСТРОЙКИ!$D$8&amp;"]КРЕДИТЫ'!$S$3:$EO$3"),R$22,INDIRECT("'["&amp;НАСТРОЙКИ!$D$8&amp;"]КРЕДИТЫ'!$S$51:$EO$51"))/1000000,0))</f>
        <v>0</v>
      </c>
      <c r="S102" s="35">
        <f ca="1">IF(НАСТРОЙКИ!$B$8&lt;&gt;"Да",0,IFERROR(SUMIF(INDIRECT("'["&amp;НАСТРОЙКИ!$D$8&amp;"]КРЕДИТЫ'!$S$3:$EO$3"),S$22,INDIRECT("'["&amp;НАСТРОЙКИ!$D$8&amp;"]КРЕДИТЫ'!$S$51:$EO$51"))/1000000,0))</f>
        <v>0</v>
      </c>
      <c r="T102" s="35">
        <f ca="1">IF(НАСТРОЙКИ!$B$8&lt;&gt;"Да",0,IFERROR(SUMIF(INDIRECT("'["&amp;НАСТРОЙКИ!$D$8&amp;"]КРЕДИТЫ'!$S$3:$EO$3"),T$22,INDIRECT("'["&amp;НАСТРОЙКИ!$D$8&amp;"]КРЕДИТЫ'!$S$51:$EO$51"))/1000000,0))</f>
        <v>0</v>
      </c>
      <c r="U102" s="35">
        <f ca="1">IF(НАСТРОЙКИ!$B$8&lt;&gt;"Да",0,IFERROR(SUMIF(INDIRECT("'["&amp;НАСТРОЙКИ!$D$8&amp;"]КРЕДИТЫ'!$S$3:$EO$3"),U$22,INDIRECT("'["&amp;НАСТРОЙКИ!$D$8&amp;"]КРЕДИТЫ'!$S$51:$EO$51"))/1000000,0))</f>
        <v>0</v>
      </c>
      <c r="V102" s="35">
        <f ca="1">IF(НАСТРОЙКИ!$B$8&lt;&gt;"Да",0,IFERROR(SUMIF(INDIRECT("'["&amp;НАСТРОЙКИ!$D$8&amp;"]КРЕДИТЫ'!$S$3:$EO$3"),V$22,INDIRECT("'["&amp;НАСТРОЙКИ!$D$8&amp;"]КРЕДИТЫ'!$S$51:$EO$51"))/1000000,0))</f>
        <v>0</v>
      </c>
      <c r="W102" s="35">
        <f ca="1">IF(НАСТРОЙКИ!$B$8&lt;&gt;"Да",0,IFERROR(SUMIF(INDIRECT("'["&amp;НАСТРОЙКИ!$D$8&amp;"]КРЕДИТЫ'!$S$3:$EO$3"),W$22,INDIRECT("'["&amp;НАСТРОЙКИ!$D$8&amp;"]КРЕДИТЫ'!$S$51:$EO$51"))/1000000,0))</f>
        <v>0</v>
      </c>
      <c r="X102" s="35">
        <f ca="1">IF(НАСТРОЙКИ!$B$8&lt;&gt;"Да",0,IFERROR(SUMIF(INDIRECT("'["&amp;НАСТРОЙКИ!$D$8&amp;"]КРЕДИТЫ'!$S$3:$EO$3"),X$22,INDIRECT("'["&amp;НАСТРОЙКИ!$D$8&amp;"]КРЕДИТЫ'!$S$51:$EO$51"))/1000000,0))</f>
        <v>0</v>
      </c>
      <c r="Y102" s="35">
        <f ca="1">IF(НАСТРОЙКИ!$B$8&lt;&gt;"Да",0,IFERROR(SUMIF(INDIRECT("'["&amp;НАСТРОЙКИ!$D$8&amp;"]КРЕДИТЫ'!$S$3:$EO$3"),Y$22,INDIRECT("'["&amp;НАСТРОЙКИ!$D$8&amp;"]КРЕДИТЫ'!$S$51:$EO$51"))/1000000,0))</f>
        <v>0</v>
      </c>
      <c r="Z102" s="35">
        <f ca="1">IF(НАСТРОЙКИ!$B$8&lt;&gt;"Да",0,IFERROR(SUMIF(INDIRECT("'["&amp;НАСТРОЙКИ!$D$8&amp;"]КРЕДИТЫ'!$S$3:$EO$3"),Z$22,INDIRECT("'["&amp;НАСТРОЙКИ!$D$8&amp;"]КРЕДИТЫ'!$S$51:$EO$51"))/1000000,0))</f>
        <v>0</v>
      </c>
      <c r="AA102" s="35">
        <f ca="1">IF(НАСТРОЙКИ!$B$8&lt;&gt;"Да",0,IFERROR(SUMIF(INDIRECT("'["&amp;НАСТРОЙКИ!$D$8&amp;"]КРЕДИТЫ'!$S$3:$EO$3"),AA$22,INDIRECT("'["&amp;НАСТРОЙКИ!$D$8&amp;"]КРЕДИТЫ'!$S$51:$EO$51"))/1000000,0))</f>
        <v>0</v>
      </c>
      <c r="AB102" s="35">
        <f ca="1">IF(НАСТРОЙКИ!$B$8&lt;&gt;"Да",0,IFERROR(SUMIF(INDIRECT("'["&amp;НАСТРОЙКИ!$D$8&amp;"]КРЕДИТЫ'!$S$3:$EO$3"),AB$22,INDIRECT("'["&amp;НАСТРОЙКИ!$D$8&amp;"]КРЕДИТЫ'!$S$51:$EO$51"))/1000000,0))</f>
        <v>0</v>
      </c>
      <c r="AC102" s="35">
        <f ca="1">IF(НАСТРОЙКИ!$B$8&lt;&gt;"Да",0,IFERROR(SUMIF(INDIRECT("'["&amp;НАСТРОЙКИ!$D$8&amp;"]КРЕДИТЫ'!$S$3:$EO$3"),AC$22,INDIRECT("'["&amp;НАСТРОЙКИ!$D$8&amp;"]КРЕДИТЫ'!$S$51:$EO$51"))/1000000,0))</f>
        <v>0</v>
      </c>
      <c r="AD102" s="35">
        <f ca="1">IF(НАСТРОЙКИ!$B$8&lt;&gt;"Да",0,IFERROR(SUMIF(INDIRECT("'["&amp;НАСТРОЙКИ!$D$8&amp;"]КРЕДИТЫ'!$S$3:$EO$3"),AD$22,INDIRECT("'["&amp;НАСТРОЙКИ!$D$8&amp;"]КРЕДИТЫ'!$S$51:$EO$51"))/1000000,0))</f>
        <v>0</v>
      </c>
      <c r="AE102" s="35">
        <f ca="1">IF(НАСТРОЙКИ!$B$8&lt;&gt;"Да",0,IFERROR(SUMIF(INDIRECT("'["&amp;НАСТРОЙКИ!$D$8&amp;"]КРЕДИТЫ'!$S$3:$EO$3"),AE$22,INDIRECT("'["&amp;НАСТРОЙКИ!$D$8&amp;"]КРЕДИТЫ'!$S$51:$EO$51"))/1000000,0))</f>
        <v>0</v>
      </c>
      <c r="AF102" s="35">
        <f ca="1">IF(НАСТРОЙКИ!$B$8&lt;&gt;"Да",0,IFERROR(SUMIF(INDIRECT("'["&amp;НАСТРОЙКИ!$D$8&amp;"]КРЕДИТЫ'!$S$3:$EO$3"),AF$22,INDIRECT("'["&amp;НАСТРОЙКИ!$D$8&amp;"]КРЕДИТЫ'!$S$51:$EO$51"))/1000000,0))</f>
        <v>0</v>
      </c>
      <c r="AG102" s="35">
        <f ca="1">IF(НАСТРОЙКИ!$B$8&lt;&gt;"Да",0,IFERROR(SUMIF(INDIRECT("'["&amp;НАСТРОЙКИ!$D$8&amp;"]КРЕДИТЫ'!$S$3:$EO$3"),AG$22,INDIRECT("'["&amp;НАСТРОЙКИ!$D$8&amp;"]КРЕДИТЫ'!$S$51:$EO$51"))/1000000,0))</f>
        <v>0</v>
      </c>
      <c r="AH102" s="35">
        <f ca="1">IF(НАСТРОЙКИ!$B$8&lt;&gt;"Да",0,IFERROR(SUMIF(INDIRECT("'["&amp;НАСТРОЙКИ!$D$8&amp;"]КРЕДИТЫ'!$S$3:$EO$3"),AH$22,INDIRECT("'["&amp;НАСТРОЙКИ!$D$8&amp;"]КРЕДИТЫ'!$S$51:$EO$51"))/1000000,0))</f>
        <v>0</v>
      </c>
      <c r="AI102" s="35">
        <f ca="1">IF(НАСТРОЙКИ!$B$8&lt;&gt;"Да",0,IFERROR(SUMIF(INDIRECT("'["&amp;НАСТРОЙКИ!$D$8&amp;"]КРЕДИТЫ'!$S$3:$EO$3"),AI$22,INDIRECT("'["&amp;НАСТРОЙКИ!$D$8&amp;"]КРЕДИТЫ'!$S$51:$EO$51"))/1000000,0))</f>
        <v>0</v>
      </c>
      <c r="AJ102" s="35">
        <f ca="1">IF(НАСТРОЙКИ!$B$8&lt;&gt;"Да",0,IFERROR(SUMIF(INDIRECT("'["&amp;НАСТРОЙКИ!$D$8&amp;"]КРЕДИТЫ'!$S$3:$EO$3"),AJ$22,INDIRECT("'["&amp;НАСТРОЙКИ!$D$8&amp;"]КРЕДИТЫ'!$S$51:$EO$51"))/1000000,0))</f>
        <v>0</v>
      </c>
      <c r="AK102" s="35">
        <f ca="1">IF(НАСТРОЙКИ!$B$8&lt;&gt;"Да",0,IFERROR(SUMIF(INDIRECT("'["&amp;НАСТРОЙКИ!$D$8&amp;"]КРЕДИТЫ'!$S$3:$EO$3"),AK$22,INDIRECT("'["&amp;НАСТРОЙКИ!$D$8&amp;"]КРЕДИТЫ'!$S$51:$EO$51"))/1000000,0))</f>
        <v>0</v>
      </c>
      <c r="AL102" s="35">
        <f ca="1">IF(НАСТРОЙКИ!$B$8&lt;&gt;"Да",0,IFERROR(SUMIF(INDIRECT("'["&amp;НАСТРОЙКИ!$D$8&amp;"]КРЕДИТЫ'!$S$3:$EO$3"),AL$22,INDIRECT("'["&amp;НАСТРОЙКИ!$D$8&amp;"]КРЕДИТЫ'!$S$51:$EO$51"))/1000000,0))</f>
        <v>0</v>
      </c>
      <c r="AM102" s="35">
        <f ca="1">IF(НАСТРОЙКИ!$B$8&lt;&gt;"Да",0,IFERROR(SUMIF(INDIRECT("'["&amp;НАСТРОЙКИ!$D$8&amp;"]КРЕДИТЫ'!$S$3:$EO$3"),AM$22,INDIRECT("'["&amp;НАСТРОЙКИ!$D$8&amp;"]КРЕДИТЫ'!$S$51:$EO$51"))/1000000,0))</f>
        <v>0</v>
      </c>
      <c r="AN102" s="35">
        <f ca="1">IF(НАСТРОЙКИ!$B$8&lt;&gt;"Да",0,IFERROR(SUMIF(INDIRECT("'["&amp;НАСТРОЙКИ!$D$8&amp;"]КРЕДИТЫ'!$S$3:$EO$3"),AN$22,INDIRECT("'["&amp;НАСТРОЙКИ!$D$8&amp;"]КРЕДИТЫ'!$S$51:$EO$51"))/1000000,0))</f>
        <v>0</v>
      </c>
      <c r="AO102" s="35">
        <f ca="1">IF(НАСТРОЙКИ!$B$8&lt;&gt;"Да",0,IFERROR(SUMIF(INDIRECT("'["&amp;НАСТРОЙКИ!$D$8&amp;"]КРЕДИТЫ'!$S$3:$EO$3"),AO$22,INDIRECT("'["&amp;НАСТРОЙКИ!$D$8&amp;"]КРЕДИТЫ'!$S$51:$EO$51"))/1000000,0))</f>
        <v>0</v>
      </c>
      <c r="AP102" s="35">
        <f ca="1">IF(НАСТРОЙКИ!$B$8&lt;&gt;"Да",0,IFERROR(SUMIF(INDIRECT("'["&amp;НАСТРОЙКИ!$D$8&amp;"]КРЕДИТЫ'!$S$3:$EO$3"),AP$22,INDIRECT("'["&amp;НАСТРОЙКИ!$D$8&amp;"]КРЕДИТЫ'!$S$51:$EO$51"))/1000000,0))</f>
        <v>0</v>
      </c>
      <c r="AQ102" s="35">
        <f ca="1">IF(НАСТРОЙКИ!$B$8&lt;&gt;"Да",0,IFERROR(SUMIF(INDIRECT("'["&amp;НАСТРОЙКИ!$D$8&amp;"]КРЕДИТЫ'!$S$3:$EO$3"),AQ$22,INDIRECT("'["&amp;НАСТРОЙКИ!$D$8&amp;"]КРЕДИТЫ'!$S$51:$EO$51"))/1000000,0))</f>
        <v>0</v>
      </c>
      <c r="AR102" s="35">
        <f ca="1">IF(НАСТРОЙКИ!$B$8&lt;&gt;"Да",0,IFERROR(SUMIF(INDIRECT("'["&amp;НАСТРОЙКИ!$D$8&amp;"]КРЕДИТЫ'!$S$3:$EO$3"),AR$22,INDIRECT("'["&amp;НАСТРОЙКИ!$D$8&amp;"]КРЕДИТЫ'!$S$51:$EO$51"))/1000000,0))</f>
        <v>0</v>
      </c>
      <c r="AS102" s="35">
        <f ca="1">IF(НАСТРОЙКИ!$B$8&lt;&gt;"Да",0,IFERROR(SUMIF(INDIRECT("'["&amp;НАСТРОЙКИ!$D$8&amp;"]КРЕДИТЫ'!$S$3:$EO$3"),AS$22,INDIRECT("'["&amp;НАСТРОЙКИ!$D$8&amp;"]КРЕДИТЫ'!$S$51:$EO$51"))/1000000,0))</f>
        <v>0</v>
      </c>
      <c r="AT102" s="35">
        <f ca="1">IF(НАСТРОЙКИ!$B$8&lt;&gt;"Да",0,IFERROR(SUMIF(INDIRECT("'["&amp;НАСТРОЙКИ!$D$8&amp;"]КРЕДИТЫ'!$S$3:$EO$3"),AT$22,INDIRECT("'["&amp;НАСТРОЙКИ!$D$8&amp;"]КРЕДИТЫ'!$S$51:$EO$51"))/1000000,0))</f>
        <v>0</v>
      </c>
      <c r="AU102" s="35">
        <f ca="1">IF(НАСТРОЙКИ!$B$8&lt;&gt;"Да",0,IFERROR(SUMIF(INDIRECT("'["&amp;НАСТРОЙКИ!$D$8&amp;"]КРЕДИТЫ'!$S$3:$EO$3"),AU$22,INDIRECT("'["&amp;НАСТРОЙКИ!$D$8&amp;"]КРЕДИТЫ'!$S$51:$EO$51"))/1000000,0))</f>
        <v>0</v>
      </c>
      <c r="AV102" s="35">
        <f ca="1">IF(НАСТРОЙКИ!$B$8&lt;&gt;"Да",0,IFERROR(SUMIF(INDIRECT("'["&amp;НАСТРОЙКИ!$D$8&amp;"]КРЕДИТЫ'!$S$3:$EO$3"),AV$22,INDIRECT("'["&amp;НАСТРОЙКИ!$D$8&amp;"]КРЕДИТЫ'!$S$51:$EO$51"))/1000000,0))</f>
        <v>0</v>
      </c>
      <c r="AW102" s="35">
        <f ca="1">IF(НАСТРОЙКИ!$B$8&lt;&gt;"Да",0,IFERROR(SUMIF(INDIRECT("'["&amp;НАСТРОЙКИ!$D$8&amp;"]КРЕДИТЫ'!$S$3:$EO$3"),AW$22,INDIRECT("'["&amp;НАСТРОЙКИ!$D$8&amp;"]КРЕДИТЫ'!$S$51:$EO$51"))/1000000,0))</f>
        <v>0</v>
      </c>
      <c r="AX102" s="35">
        <f ca="1">IF(НАСТРОЙКИ!$B$8&lt;&gt;"Да",0,IFERROR(SUMIF(INDIRECT("'["&amp;НАСТРОЙКИ!$D$8&amp;"]КРЕДИТЫ'!$S$3:$EO$3"),AX$22,INDIRECT("'["&amp;НАСТРОЙКИ!$D$8&amp;"]КРЕДИТЫ'!$S$51:$EO$51"))/1000000,0))</f>
        <v>0</v>
      </c>
      <c r="AY102" s="35">
        <f ca="1">IF(НАСТРОЙКИ!$B$8&lt;&gt;"Да",0,IFERROR(SUMIF(INDIRECT("'["&amp;НАСТРОЙКИ!$D$8&amp;"]КРЕДИТЫ'!$S$3:$EO$3"),AY$22,INDIRECT("'["&amp;НАСТРОЙКИ!$D$8&amp;"]КРЕДИТЫ'!$S$51:$EO$51"))/1000000,0))</f>
        <v>0</v>
      </c>
      <c r="AZ102" s="35">
        <f ca="1">IF(НАСТРОЙКИ!$B$8&lt;&gt;"Да",0,IFERROR(SUMIF(INDIRECT("'["&amp;НАСТРОЙКИ!$D$8&amp;"]КРЕДИТЫ'!$S$3:$EO$3"),AZ$22,INDIRECT("'["&amp;НАСТРОЙКИ!$D$8&amp;"]КРЕДИТЫ'!$S$51:$EO$51"))/1000000,0))</f>
        <v>0</v>
      </c>
      <c r="BA102" s="35">
        <f ca="1">IF(НАСТРОЙКИ!$B$8&lt;&gt;"Да",0,IFERROR(SUMIF(INDIRECT("'["&amp;НАСТРОЙКИ!$D$8&amp;"]КРЕДИТЫ'!$S$3:$EO$3"),BA$22,INDIRECT("'["&amp;НАСТРОЙКИ!$D$8&amp;"]КРЕДИТЫ'!$S$51:$EO$51"))/1000000,0))</f>
        <v>0</v>
      </c>
      <c r="BB102" s="35">
        <f ca="1">IF(НАСТРОЙКИ!$B$8&lt;&gt;"Да",0,IFERROR(SUMIF(INDIRECT("'["&amp;НАСТРОЙКИ!$D$8&amp;"]КРЕДИТЫ'!$S$3:$EO$3"),BB$22,INDIRECT("'["&amp;НАСТРОЙКИ!$D$8&amp;"]КРЕДИТЫ'!$S$51:$EO$51"))/1000000,0))</f>
        <v>0</v>
      </c>
      <c r="BC102" s="35">
        <f ca="1">IF(НАСТРОЙКИ!$B$8&lt;&gt;"Да",0,IFERROR(SUMIF(INDIRECT("'["&amp;НАСТРОЙКИ!$D$8&amp;"]КРЕДИТЫ'!$S$3:$EO$3"),BC$22,INDIRECT("'["&amp;НАСТРОЙКИ!$D$8&amp;"]КРЕДИТЫ'!$S$51:$EO$51"))/1000000,0))</f>
        <v>0</v>
      </c>
      <c r="BD102" s="35">
        <f ca="1">IF(НАСТРОЙКИ!$B$8&lt;&gt;"Да",0,IFERROR(SUMIF(INDIRECT("'["&amp;НАСТРОЙКИ!$D$8&amp;"]КРЕДИТЫ'!$S$3:$EO$3"),BD$22,INDIRECT("'["&amp;НАСТРОЙКИ!$D$8&amp;"]КРЕДИТЫ'!$S$51:$EO$51"))/1000000,0))</f>
        <v>0</v>
      </c>
      <c r="BE102" s="35">
        <f ca="1">IF(НАСТРОЙКИ!$B$8&lt;&gt;"Да",0,IFERROR(SUMIF(INDIRECT("'["&amp;НАСТРОЙКИ!$D$8&amp;"]КРЕДИТЫ'!$S$3:$EO$3"),BE$22,INDIRECT("'["&amp;НАСТРОЙКИ!$D$8&amp;"]КРЕДИТЫ'!$S$51:$EO$51"))/1000000,0))</f>
        <v>0</v>
      </c>
      <c r="BF102" s="35">
        <f ca="1">IF(НАСТРОЙКИ!$B$8&lt;&gt;"Да",0,IFERROR(SUMIF(INDIRECT("'["&amp;НАСТРОЙКИ!$D$8&amp;"]КРЕДИТЫ'!$S$3:$EO$3"),BF$22,INDIRECT("'["&amp;НАСТРОЙКИ!$D$8&amp;"]КРЕДИТЫ'!$S$51:$EO$51"))/1000000,0))</f>
        <v>0</v>
      </c>
      <c r="BG102" s="35">
        <f ca="1">IF(НАСТРОЙКИ!$B$8&lt;&gt;"Да",0,IFERROR(SUMIF(INDIRECT("'["&amp;НАСТРОЙКИ!$D$8&amp;"]КРЕДИТЫ'!$S$3:$EO$3"),BG$22,INDIRECT("'["&amp;НАСТРОЙКИ!$D$8&amp;"]КРЕДИТЫ'!$S$51:$EO$51"))/1000000,0))</f>
        <v>0</v>
      </c>
      <c r="BH102" s="35">
        <f ca="1">IF(НАСТРОЙКИ!$B$8&lt;&gt;"Да",0,IFERROR(SUMIF(INDIRECT("'["&amp;НАСТРОЙКИ!$D$8&amp;"]КРЕДИТЫ'!$S$3:$EO$3"),BH$22,INDIRECT("'["&amp;НАСТРОЙКИ!$D$8&amp;"]КРЕДИТЫ'!$S$51:$EO$51"))/1000000,0))</f>
        <v>0</v>
      </c>
      <c r="BI102" s="35">
        <f ca="1">IF(НАСТРОЙКИ!$B$8&lt;&gt;"Да",0,IFERROR(SUMIF(INDIRECT("'["&amp;НАСТРОЙКИ!$D$8&amp;"]КРЕДИТЫ'!$S$3:$EO$3"),BI$22,INDIRECT("'["&amp;НАСТРОЙКИ!$D$8&amp;"]КРЕДИТЫ'!$S$51:$EO$51"))/1000000,0))</f>
        <v>0</v>
      </c>
      <c r="BJ102" s="35">
        <f ca="1">IF(НАСТРОЙКИ!$B$8&lt;&gt;"Да",0,IFERROR(SUMIF(INDIRECT("'["&amp;НАСТРОЙКИ!$D$8&amp;"]КРЕДИТЫ'!$S$3:$EO$3"),BJ$22,INDIRECT("'["&amp;НАСТРОЙКИ!$D$8&amp;"]КРЕДИТЫ'!$S$51:$EO$51"))/1000000,0))</f>
        <v>0</v>
      </c>
      <c r="BK102" s="35">
        <f ca="1">IF(НАСТРОЙКИ!$B$8&lt;&gt;"Да",0,IFERROR(SUMIF(INDIRECT("'["&amp;НАСТРОЙКИ!$D$8&amp;"]КРЕДИТЫ'!$S$3:$EO$3"),BK$22,INDIRECT("'["&amp;НАСТРОЙКИ!$D$8&amp;"]КРЕДИТЫ'!$S$51:$EO$51"))/1000000,0))</f>
        <v>0</v>
      </c>
      <c r="BL102" s="35">
        <f ca="1">IF(НАСТРОЙКИ!$B$8&lt;&gt;"Да",0,IFERROR(SUMIF(INDIRECT("'["&amp;НАСТРОЙКИ!$D$8&amp;"]КРЕДИТЫ'!$S$3:$EO$3"),BL$22,INDIRECT("'["&amp;НАСТРОЙКИ!$D$8&amp;"]КРЕДИТЫ'!$S$51:$EO$51"))/1000000,0))</f>
        <v>0</v>
      </c>
      <c r="BM102" s="35">
        <f ca="1">IF(НАСТРОЙКИ!$B$8&lt;&gt;"Да",0,IFERROR(SUMIF(INDIRECT("'["&amp;НАСТРОЙКИ!$D$8&amp;"]КРЕДИТЫ'!$S$3:$EO$3"),BM$22,INDIRECT("'["&amp;НАСТРОЙКИ!$D$8&amp;"]КРЕДИТЫ'!$S$51:$EO$51"))/1000000,0))</f>
        <v>0</v>
      </c>
      <c r="BN102" s="35">
        <f ca="1">IF(НАСТРОЙКИ!$B$8&lt;&gt;"Да",0,IFERROR(SUMIF(INDIRECT("'["&amp;НАСТРОЙКИ!$D$8&amp;"]КРЕДИТЫ'!$S$3:$EO$3"),BN$22,INDIRECT("'["&amp;НАСТРОЙКИ!$D$8&amp;"]КРЕДИТЫ'!$S$51:$EO$51"))/1000000,0))</f>
        <v>0</v>
      </c>
      <c r="BO102" s="35">
        <f ca="1">IF(НАСТРОЙКИ!$B$8&lt;&gt;"Да",0,IFERROR(SUMIF(INDIRECT("'["&amp;НАСТРОЙКИ!$D$8&amp;"]КРЕДИТЫ'!$S$3:$EO$3"),BO$22,INDIRECT("'["&amp;НАСТРОЙКИ!$D$8&amp;"]КРЕДИТЫ'!$S$51:$EO$51"))/1000000,0))</f>
        <v>0</v>
      </c>
      <c r="BP102" s="35">
        <f ca="1">IF(НАСТРОЙКИ!$B$8&lt;&gt;"Да",0,IFERROR(SUMIF(INDIRECT("'["&amp;НАСТРОЙКИ!$D$8&amp;"]КРЕДИТЫ'!$S$3:$EO$3"),BP$22,INDIRECT("'["&amp;НАСТРОЙКИ!$D$8&amp;"]КРЕДИТЫ'!$S$51:$EO$51"))/1000000,0))</f>
        <v>0</v>
      </c>
      <c r="BQ102" s="35">
        <f ca="1">IF(НАСТРОЙКИ!$B$8&lt;&gt;"Да",0,IFERROR(SUMIF(INDIRECT("'["&amp;НАСТРОЙКИ!$D$8&amp;"]КРЕДИТЫ'!$S$3:$EO$3"),BQ$22,INDIRECT("'["&amp;НАСТРОЙКИ!$D$8&amp;"]КРЕДИТЫ'!$S$51:$EO$51"))/1000000,0))</f>
        <v>0</v>
      </c>
      <c r="BR102" s="35">
        <f ca="1">IF(НАСТРОЙКИ!$B$8&lt;&gt;"Да",0,IFERROR(SUMIF(INDIRECT("'["&amp;НАСТРОЙКИ!$D$8&amp;"]КРЕДИТЫ'!$S$3:$EO$3"),BR$22,INDIRECT("'["&amp;НАСТРОЙКИ!$D$8&amp;"]КРЕДИТЫ'!$S$51:$EO$51"))/1000000,0))</f>
        <v>0</v>
      </c>
      <c r="BS102" s="35">
        <f ca="1">IF(НАСТРОЙКИ!$B$8&lt;&gt;"Да",0,IFERROR(SUMIF(INDIRECT("'["&amp;НАСТРОЙКИ!$D$8&amp;"]КРЕДИТЫ'!$S$3:$EO$3"),BS$22,INDIRECT("'["&amp;НАСТРОЙКИ!$D$8&amp;"]КРЕДИТЫ'!$S$51:$EO$51"))/1000000,0))</f>
        <v>0</v>
      </c>
      <c r="BT102" s="35">
        <f ca="1">IF(НАСТРОЙКИ!$B$8&lt;&gt;"Да",0,IFERROR(SUMIF(INDIRECT("'["&amp;НАСТРОЙКИ!$D$8&amp;"]КРЕДИТЫ'!$S$3:$EO$3"),BT$22,INDIRECT("'["&amp;НАСТРОЙКИ!$D$8&amp;"]КРЕДИТЫ'!$S$51:$EO$51"))/1000000,0))</f>
        <v>0</v>
      </c>
      <c r="BU102" s="35">
        <f ca="1">IF(НАСТРОЙКИ!$B$8&lt;&gt;"Да",0,IFERROR(SUMIF(INDIRECT("'["&amp;НАСТРОЙКИ!$D$8&amp;"]КРЕДИТЫ'!$S$3:$EO$3"),BU$22,INDIRECT("'["&amp;НАСТРОЙКИ!$D$8&amp;"]КРЕДИТЫ'!$S$51:$EO$51"))/1000000,0))</f>
        <v>0</v>
      </c>
      <c r="BV102" s="35">
        <f ca="1">IF(НАСТРОЙКИ!$B$8&lt;&gt;"Да",0,IFERROR(SUMIF(INDIRECT("'["&amp;НАСТРОЙКИ!$D$8&amp;"]КРЕДИТЫ'!$S$3:$EO$3"),BV$22,INDIRECT("'["&amp;НАСТРОЙКИ!$D$8&amp;"]КРЕДИТЫ'!$S$51:$EO$51"))/1000000,0))</f>
        <v>0</v>
      </c>
      <c r="BW102" s="35">
        <f ca="1">IF(НАСТРОЙКИ!$B$8&lt;&gt;"Да",0,IFERROR(SUMIF(INDIRECT("'["&amp;НАСТРОЙКИ!$D$8&amp;"]КРЕДИТЫ'!$S$3:$EO$3"),BW$22,INDIRECT("'["&amp;НАСТРОЙКИ!$D$8&amp;"]КРЕДИТЫ'!$S$51:$EO$51"))/1000000,0))</f>
        <v>0</v>
      </c>
      <c r="BX102" s="35">
        <f ca="1">IF(НАСТРОЙКИ!$B$8&lt;&gt;"Да",0,IFERROR(SUMIF(INDIRECT("'["&amp;НАСТРОЙКИ!$D$8&amp;"]КРЕДИТЫ'!$S$3:$EO$3"),BX$22,INDIRECT("'["&amp;НАСТРОЙКИ!$D$8&amp;"]КРЕДИТЫ'!$S$51:$EO$51"))/1000000,0))</f>
        <v>0</v>
      </c>
      <c r="BY102" s="35">
        <f ca="1">IF(НАСТРОЙКИ!$B$8&lt;&gt;"Да",0,IFERROR(SUMIF(INDIRECT("'["&amp;НАСТРОЙКИ!$D$8&amp;"]КРЕДИТЫ'!$S$3:$EO$3"),BY$22,INDIRECT("'["&amp;НАСТРОЙКИ!$D$8&amp;"]КРЕДИТЫ'!$S$51:$EO$51"))/1000000,0))</f>
        <v>0</v>
      </c>
      <c r="BZ102" s="35">
        <f ca="1">IF(НАСТРОЙКИ!$B$8&lt;&gt;"Да",0,IFERROR(SUMIF(INDIRECT("'["&amp;НАСТРОЙКИ!$D$8&amp;"]КРЕДИТЫ'!$S$3:$EO$3"),BZ$22,INDIRECT("'["&amp;НАСТРОЙКИ!$D$8&amp;"]КРЕДИТЫ'!$S$51:$EO$51"))/1000000,0))</f>
        <v>0</v>
      </c>
      <c r="CA102" s="35">
        <f ca="1">IF(НАСТРОЙКИ!$B$8&lt;&gt;"Да",0,IFERROR(SUMIF(INDIRECT("'["&amp;НАСТРОЙКИ!$D$8&amp;"]КРЕДИТЫ'!$S$3:$EO$3"),CA$22,INDIRECT("'["&amp;НАСТРОЙКИ!$D$8&amp;"]КРЕДИТЫ'!$S$51:$EO$51"))/1000000,0))</f>
        <v>0</v>
      </c>
      <c r="CB102" s="35">
        <f ca="1">IF(НАСТРОЙКИ!$B$8&lt;&gt;"Да",0,IFERROR(SUMIF(INDIRECT("'["&amp;НАСТРОЙКИ!$D$8&amp;"]КРЕДИТЫ'!$S$3:$EO$3"),CB$22,INDIRECT("'["&amp;НАСТРОЙКИ!$D$8&amp;"]КРЕДИТЫ'!$S$51:$EO$51"))/1000000,0))</f>
        <v>0</v>
      </c>
      <c r="CC102" s="35">
        <f ca="1">IF(НАСТРОЙКИ!$B$8&lt;&gt;"Да",0,IFERROR(SUMIF(INDIRECT("'["&amp;НАСТРОЙКИ!$D$8&amp;"]КРЕДИТЫ'!$S$3:$EO$3"),CC$22,INDIRECT("'["&amp;НАСТРОЙКИ!$D$8&amp;"]КРЕДИТЫ'!$S$51:$EO$51"))/1000000,0))</f>
        <v>0</v>
      </c>
      <c r="CD102" s="35">
        <f ca="1">IF(НАСТРОЙКИ!$B$8&lt;&gt;"Да",0,IFERROR(SUMIF(INDIRECT("'["&amp;НАСТРОЙКИ!$D$8&amp;"]КРЕДИТЫ'!$S$3:$EO$3"),CD$22,INDIRECT("'["&amp;НАСТРОЙКИ!$D$8&amp;"]КРЕДИТЫ'!$S$51:$EO$51"))/1000000,0))</f>
        <v>0</v>
      </c>
      <c r="CE102" s="35">
        <f ca="1">IF(НАСТРОЙКИ!$B$8&lt;&gt;"Да",0,IFERROR(SUMIF(INDIRECT("'["&amp;НАСТРОЙКИ!$D$8&amp;"]КРЕДИТЫ'!$S$3:$EO$3"),CE$22,INDIRECT("'["&amp;НАСТРОЙКИ!$D$8&amp;"]КРЕДИТЫ'!$S$51:$EO$51"))/1000000,0))</f>
        <v>0</v>
      </c>
      <c r="CF102" s="35">
        <f ca="1">IF(НАСТРОЙКИ!$B$8&lt;&gt;"Да",0,IFERROR(SUMIF(INDIRECT("'["&amp;НАСТРОЙКИ!$D$8&amp;"]КРЕДИТЫ'!$S$3:$EO$3"),CF$22,INDIRECT("'["&amp;НАСТРОЙКИ!$D$8&amp;"]КРЕДИТЫ'!$S$51:$EO$51"))/1000000,0))</f>
        <v>0</v>
      </c>
      <c r="CG102" s="35">
        <f ca="1">IF(НАСТРОЙКИ!$B$8&lt;&gt;"Да",0,IFERROR(SUMIF(INDIRECT("'["&amp;НАСТРОЙКИ!$D$8&amp;"]КРЕДИТЫ'!$S$3:$EO$3"),CG$22,INDIRECT("'["&amp;НАСТРОЙКИ!$D$8&amp;"]КРЕДИТЫ'!$S$51:$EO$51"))/1000000,0))</f>
        <v>0</v>
      </c>
      <c r="CH102" s="35">
        <f ca="1">IF(НАСТРОЙКИ!$B$8&lt;&gt;"Да",0,IFERROR(SUMIF(INDIRECT("'["&amp;НАСТРОЙКИ!$D$8&amp;"]КРЕДИТЫ'!$S$3:$EO$3"),CH$22,INDIRECT("'["&amp;НАСТРОЙКИ!$D$8&amp;"]КРЕДИТЫ'!$S$51:$EO$51"))/1000000,0))</f>
        <v>0</v>
      </c>
      <c r="CI102" s="35">
        <f ca="1">IF(НАСТРОЙКИ!$B$8&lt;&gt;"Да",0,IFERROR(SUMIF(INDIRECT("'["&amp;НАСТРОЙКИ!$D$8&amp;"]КРЕДИТЫ'!$S$3:$EO$3"),CI$22,INDIRECT("'["&amp;НАСТРОЙКИ!$D$8&amp;"]КРЕДИТЫ'!$S$51:$EO$51"))/1000000,0))</f>
        <v>0</v>
      </c>
      <c r="CJ102" s="35">
        <f ca="1">IF(НАСТРОЙКИ!$B$8&lt;&gt;"Да",0,IFERROR(SUMIF(INDIRECT("'["&amp;НАСТРОЙКИ!$D$8&amp;"]КРЕДИТЫ'!$S$3:$EO$3"),CJ$22,INDIRECT("'["&amp;НАСТРОЙКИ!$D$8&amp;"]КРЕДИТЫ'!$S$51:$EO$51"))/1000000,0))</f>
        <v>0</v>
      </c>
      <c r="CK102" s="35">
        <f ca="1">IF(НАСТРОЙКИ!$B$8&lt;&gt;"Да",0,IFERROR(SUMIF(INDIRECT("'["&amp;НАСТРОЙКИ!$D$8&amp;"]КРЕДИТЫ'!$S$3:$EO$3"),CK$22,INDIRECT("'["&amp;НАСТРОЙКИ!$D$8&amp;"]КРЕДИТЫ'!$S$51:$EO$51"))/1000000,0))</f>
        <v>0</v>
      </c>
      <c r="CL102" s="35">
        <f ca="1">IF(НАСТРОЙКИ!$B$8&lt;&gt;"Да",0,IFERROR(SUMIF(INDIRECT("'["&amp;НАСТРОЙКИ!$D$8&amp;"]КРЕДИТЫ'!$S$3:$EO$3"),CL$22,INDIRECT("'["&amp;НАСТРОЙКИ!$D$8&amp;"]КРЕДИТЫ'!$S$51:$EO$51"))/1000000,0))</f>
        <v>0</v>
      </c>
      <c r="CM102" s="35">
        <f ca="1">IF(НАСТРОЙКИ!$B$8&lt;&gt;"Да",0,IFERROR(SUMIF(INDIRECT("'["&amp;НАСТРОЙКИ!$D$8&amp;"]КРЕДИТЫ'!$S$3:$EO$3"),CM$22,INDIRECT("'["&amp;НАСТРОЙКИ!$D$8&amp;"]КРЕДИТЫ'!$S$51:$EO$51"))/1000000,0))</f>
        <v>0</v>
      </c>
      <c r="CN102" s="35">
        <f ca="1">IF(НАСТРОЙКИ!$B$8&lt;&gt;"Да",0,IFERROR(SUMIF(INDIRECT("'["&amp;НАСТРОЙКИ!$D$8&amp;"]КРЕДИТЫ'!$S$3:$EO$3"),CN$22,INDIRECT("'["&amp;НАСТРОЙКИ!$D$8&amp;"]КРЕДИТЫ'!$S$51:$EO$51"))/1000000,0))</f>
        <v>0</v>
      </c>
      <c r="CO102" s="35">
        <f ca="1">IF(НАСТРОЙКИ!$B$8&lt;&gt;"Да",0,IFERROR(SUMIF(INDIRECT("'["&amp;НАСТРОЙКИ!$D$8&amp;"]КРЕДИТЫ'!$S$3:$EO$3"),CO$22,INDIRECT("'["&amp;НАСТРОЙКИ!$D$8&amp;"]КРЕДИТЫ'!$S$51:$EO$51"))/1000000,0))</f>
        <v>0</v>
      </c>
      <c r="CP102" s="35">
        <f ca="1">IF(НАСТРОЙКИ!$B$8&lt;&gt;"Да",0,IFERROR(SUMIF(INDIRECT("'["&amp;НАСТРОЙКИ!$D$8&amp;"]КРЕДИТЫ'!$S$3:$EO$3"),CP$22,INDIRECT("'["&amp;НАСТРОЙКИ!$D$8&amp;"]КРЕДИТЫ'!$S$51:$EO$51"))/1000000,0))</f>
        <v>0</v>
      </c>
      <c r="CQ102" s="35">
        <f ca="1">IF(НАСТРОЙКИ!$B$8&lt;&gt;"Да",0,IFERROR(SUMIF(INDIRECT("'["&amp;НАСТРОЙКИ!$D$8&amp;"]КРЕДИТЫ'!$S$3:$EO$3"),CQ$22,INDIRECT("'["&amp;НАСТРОЙКИ!$D$8&amp;"]КРЕДИТЫ'!$S$51:$EO$51"))/1000000,0))</f>
        <v>0</v>
      </c>
      <c r="CR102" s="35">
        <f ca="1">IF(НАСТРОЙКИ!$B$8&lt;&gt;"Да",0,IFERROR(SUMIF(INDIRECT("'["&amp;НАСТРОЙКИ!$D$8&amp;"]КРЕДИТЫ'!$S$3:$EO$3"),CR$22,INDIRECT("'["&amp;НАСТРОЙКИ!$D$8&amp;"]КРЕДИТЫ'!$S$51:$EO$51"))/1000000,0))</f>
        <v>0</v>
      </c>
      <c r="CS102" s="35">
        <f ca="1">IF(НАСТРОЙКИ!$B$8&lt;&gt;"Да",0,IFERROR(SUMIF(INDIRECT("'["&amp;НАСТРОЙКИ!$D$8&amp;"]КРЕДИТЫ'!$S$3:$EO$3"),CS$22,INDIRECT("'["&amp;НАСТРОЙКИ!$D$8&amp;"]КРЕДИТЫ'!$S$51:$EO$51"))/1000000,0))</f>
        <v>0</v>
      </c>
      <c r="CT102" s="35">
        <f ca="1">IF(НАСТРОЙКИ!$B$8&lt;&gt;"Да",0,IFERROR(SUMIF(INDIRECT("'["&amp;НАСТРОЙКИ!$D$8&amp;"]КРЕДИТЫ'!$S$3:$EO$3"),CT$22,INDIRECT("'["&amp;НАСТРОЙКИ!$D$8&amp;"]КРЕДИТЫ'!$S$51:$EO$51"))/1000000,0))</f>
        <v>0</v>
      </c>
      <c r="CU102" s="35">
        <f ca="1">IF(НАСТРОЙКИ!$B$8&lt;&gt;"Да",0,IFERROR(SUMIF(INDIRECT("'["&amp;НАСТРОЙКИ!$D$8&amp;"]КРЕДИТЫ'!$S$3:$EO$3"),CU$22,INDIRECT("'["&amp;НАСТРОЙКИ!$D$8&amp;"]КРЕДИТЫ'!$S$51:$EO$51"))/1000000,0))</f>
        <v>0</v>
      </c>
      <c r="CV102" s="35">
        <f ca="1">IF(НАСТРОЙКИ!$B$8&lt;&gt;"Да",0,IFERROR(SUMIF(INDIRECT("'["&amp;НАСТРОЙКИ!$D$8&amp;"]КРЕДИТЫ'!$S$3:$EO$3"),CV$22,INDIRECT("'["&amp;НАСТРОЙКИ!$D$8&amp;"]КРЕДИТЫ'!$S$51:$EO$51"))/1000000,0))</f>
        <v>0</v>
      </c>
      <c r="CW102" s="35">
        <f ca="1">IF(НАСТРОЙКИ!$B$8&lt;&gt;"Да",0,IFERROR(SUMIF(INDIRECT("'["&amp;НАСТРОЙКИ!$D$8&amp;"]КРЕДИТЫ'!$S$3:$EO$3"),CW$22,INDIRECT("'["&amp;НАСТРОЙКИ!$D$8&amp;"]КРЕДИТЫ'!$S$51:$EO$51"))/1000000,0))</f>
        <v>0</v>
      </c>
      <c r="CX102" s="35">
        <f ca="1">IF(НАСТРОЙКИ!$B$8&lt;&gt;"Да",0,IFERROR(SUMIF(INDIRECT("'["&amp;НАСТРОЙКИ!$D$8&amp;"]КРЕДИТЫ'!$S$3:$EO$3"),CX$22,INDIRECT("'["&amp;НАСТРОЙКИ!$D$8&amp;"]КРЕДИТЫ'!$S$51:$EO$51"))/1000000,0))</f>
        <v>0</v>
      </c>
      <c r="CY102" s="35">
        <f ca="1">IF(НАСТРОЙКИ!$B$8&lt;&gt;"Да",0,IFERROR(SUMIF(INDIRECT("'["&amp;НАСТРОЙКИ!$D$8&amp;"]КРЕДИТЫ'!$S$3:$EO$3"),CY$22,INDIRECT("'["&amp;НАСТРОЙКИ!$D$8&amp;"]КРЕДИТЫ'!$S$51:$EO$51"))/1000000,0))</f>
        <v>0</v>
      </c>
      <c r="CZ102" s="35">
        <f ca="1">IF(НАСТРОЙКИ!$B$8&lt;&gt;"Да",0,IFERROR(SUMIF(INDIRECT("'["&amp;НАСТРОЙКИ!$D$8&amp;"]КРЕДИТЫ'!$S$3:$EO$3"),CZ$22,INDIRECT("'["&amp;НАСТРОЙКИ!$D$8&amp;"]КРЕДИТЫ'!$S$51:$EO$51"))/1000000,0))</f>
        <v>0</v>
      </c>
      <c r="DA102" s="35">
        <f ca="1">IF(НАСТРОЙКИ!$B$8&lt;&gt;"Да",0,IFERROR(SUMIF(INDIRECT("'["&amp;НАСТРОЙКИ!$D$8&amp;"]КРЕДИТЫ'!$S$3:$EO$3"),DA$22,INDIRECT("'["&amp;НАСТРОЙКИ!$D$8&amp;"]КРЕДИТЫ'!$S$51:$EO$51"))/1000000,0))</f>
        <v>0</v>
      </c>
      <c r="DB102" s="35">
        <f ca="1">IF(НАСТРОЙКИ!$B$8&lt;&gt;"Да",0,IFERROR(SUMIF(INDIRECT("'["&amp;НАСТРОЙКИ!$D$8&amp;"]КРЕДИТЫ'!$S$3:$EO$3"),DB$22,INDIRECT("'["&amp;НАСТРОЙКИ!$D$8&amp;"]КРЕДИТЫ'!$S$51:$EO$51"))/1000000,0))</f>
        <v>0</v>
      </c>
      <c r="DC102" s="35">
        <f ca="1">IF(НАСТРОЙКИ!$B$8&lt;&gt;"Да",0,IFERROR(SUMIF(INDIRECT("'["&amp;НАСТРОЙКИ!$D$8&amp;"]КРЕДИТЫ'!$S$3:$EO$3"),DC$22,INDIRECT("'["&amp;НАСТРОЙКИ!$D$8&amp;"]КРЕДИТЫ'!$S$51:$EO$51"))/1000000,0))</f>
        <v>0</v>
      </c>
      <c r="DD102" s="35">
        <f ca="1">IF(НАСТРОЙКИ!$B$8&lt;&gt;"Да",0,IFERROR(SUMIF(INDIRECT("'["&amp;НАСТРОЙКИ!$D$8&amp;"]КРЕДИТЫ'!$S$3:$EO$3"),DD$22,INDIRECT("'["&amp;НАСТРОЙКИ!$D$8&amp;"]КРЕДИТЫ'!$S$51:$EO$51"))/1000000,0))</f>
        <v>0</v>
      </c>
      <c r="DE102" s="35">
        <f ca="1">IF(НАСТРОЙКИ!$B$8&lt;&gt;"Да",0,IFERROR(SUMIF(INDIRECT("'["&amp;НАСТРОЙКИ!$D$8&amp;"]КРЕДИТЫ'!$S$3:$EO$3"),DE$22,INDIRECT("'["&amp;НАСТРОЙКИ!$D$8&amp;"]КРЕДИТЫ'!$S$51:$EO$51"))/1000000,0))</f>
        <v>0</v>
      </c>
      <c r="DF102" s="35">
        <f ca="1">IF(НАСТРОЙКИ!$B$8&lt;&gt;"Да",0,IFERROR(SUMIF(INDIRECT("'["&amp;НАСТРОЙКИ!$D$8&amp;"]КРЕДИТЫ'!$S$3:$EO$3"),DF$22,INDIRECT("'["&amp;НАСТРОЙКИ!$D$8&amp;"]КРЕДИТЫ'!$S$51:$EO$51"))/1000000,0))</f>
        <v>0</v>
      </c>
    </row>
    <row r="103" spans="1:110">
      <c r="A103" s="34" t="s">
        <v>134</v>
      </c>
      <c r="B103" s="34" t="s">
        <v>58</v>
      </c>
      <c r="C103" s="35">
        <f ca="1">IF(НАСТРОЙКИ!$B$8&lt;&gt;"Да",0,MAX(0,IFERROR(SUMIF(INDIRECT("'["&amp;НАСТРОЙКИ!$D$8&amp;"]КРЕДИТЫ'!$S$3:$EO$3"),C$22,INDIRECT("'["&amp;НАСТРОЙКИ!$D$8&amp;"]КРЕДИТЫ'!$S$38:$EO$38"))/1000000,0)))</f>
        <v>0</v>
      </c>
      <c r="D103" s="35">
        <f ca="1">IF(НАСТРОЙКИ!$B$8&lt;&gt;"Да",0,MAX(0,IFERROR(SUMIF(INDIRECT("'["&amp;НАСТРОЙКИ!$D$8&amp;"]КРЕДИТЫ'!$S$3:$EO$3"),D$22,INDIRECT("'["&amp;НАСТРОЙКИ!$D$8&amp;"]КРЕДИТЫ'!$S$38:$EO$38"))/1000000,0)))</f>
        <v>0</v>
      </c>
      <c r="E103" s="35">
        <f ca="1">IF(НАСТРОЙКИ!$B$8&lt;&gt;"Да",0,MAX(0,IFERROR(SUMIF(INDIRECT("'["&amp;НАСТРОЙКИ!$D$8&amp;"]КРЕДИТЫ'!$S$3:$EO$3"),E$22,INDIRECT("'["&amp;НАСТРОЙКИ!$D$8&amp;"]КРЕДИТЫ'!$S$38:$EO$38"))/1000000,0)))</f>
        <v>0</v>
      </c>
      <c r="F103" s="35">
        <f ca="1">IF(НАСТРОЙКИ!$B$8&lt;&gt;"Да",0,MAX(0,IFERROR(SUMIF(INDIRECT("'["&amp;НАСТРОЙКИ!$D$8&amp;"]КРЕДИТЫ'!$S$3:$EO$3"),F$22,INDIRECT("'["&amp;НАСТРОЙКИ!$D$8&amp;"]КРЕДИТЫ'!$S$38:$EO$38"))/1000000,0)))</f>
        <v>0</v>
      </c>
      <c r="G103" s="35">
        <f ca="1">IF(НАСТРОЙКИ!$B$8&lt;&gt;"Да",0,MAX(0,IFERROR(SUMIF(INDIRECT("'["&amp;НАСТРОЙКИ!$D$8&amp;"]КРЕДИТЫ'!$S$3:$EO$3"),G$22,INDIRECT("'["&amp;НАСТРОЙКИ!$D$8&amp;"]КРЕДИТЫ'!$S$38:$EO$38"))/1000000,0)))</f>
        <v>0</v>
      </c>
      <c r="H103" s="35">
        <f ca="1">IF(НАСТРОЙКИ!$B$8&lt;&gt;"Да",0,MAX(0,IFERROR(SUMIF(INDIRECT("'["&amp;НАСТРОЙКИ!$D$8&amp;"]КРЕДИТЫ'!$S$3:$EO$3"),H$22,INDIRECT("'["&amp;НАСТРОЙКИ!$D$8&amp;"]КРЕДИТЫ'!$S$38:$EO$38"))/1000000,0)))</f>
        <v>0</v>
      </c>
      <c r="I103" s="35">
        <f ca="1">IF(НАСТРОЙКИ!$B$8&lt;&gt;"Да",0,MAX(0,IFERROR(SUMIF(INDIRECT("'["&amp;НАСТРОЙКИ!$D$8&amp;"]КРЕДИТЫ'!$S$3:$EO$3"),I$22,INDIRECT("'["&amp;НАСТРОЙКИ!$D$8&amp;"]КРЕДИТЫ'!$S$38:$EO$38"))/1000000,0)))</f>
        <v>0</v>
      </c>
      <c r="J103" s="35">
        <f ca="1">IF(НАСТРОЙКИ!$B$8&lt;&gt;"Да",0,MAX(0,IFERROR(SUMIF(INDIRECT("'["&amp;НАСТРОЙКИ!$D$8&amp;"]КРЕДИТЫ'!$S$3:$EO$3"),J$22,INDIRECT("'["&amp;НАСТРОЙКИ!$D$8&amp;"]КРЕДИТЫ'!$S$38:$EO$38"))/1000000,0)))</f>
        <v>0</v>
      </c>
      <c r="K103" s="35">
        <f ca="1">IF(НАСТРОЙКИ!$B$8&lt;&gt;"Да",0,MAX(0,IFERROR(SUMIF(INDIRECT("'["&amp;НАСТРОЙКИ!$D$8&amp;"]КРЕДИТЫ'!$S$3:$EO$3"),K$22,INDIRECT("'["&amp;НАСТРОЙКИ!$D$8&amp;"]КРЕДИТЫ'!$S$38:$EO$38"))/1000000,0)))</f>
        <v>0</v>
      </c>
      <c r="L103" s="35">
        <f ca="1">IF(НАСТРОЙКИ!$B$8&lt;&gt;"Да",0,MAX(0,IFERROR(SUMIF(INDIRECT("'["&amp;НАСТРОЙКИ!$D$8&amp;"]КРЕДИТЫ'!$S$3:$EO$3"),L$22,INDIRECT("'["&amp;НАСТРОЙКИ!$D$8&amp;"]КРЕДИТЫ'!$S$38:$EO$38"))/1000000,0)))</f>
        <v>0</v>
      </c>
      <c r="M103" s="35">
        <f ca="1">IF(НАСТРОЙКИ!$B$8&lt;&gt;"Да",0,MAX(0,IFERROR(SUMIF(INDIRECT("'["&amp;НАСТРОЙКИ!$D$8&amp;"]КРЕДИТЫ'!$S$3:$EO$3"),M$22,INDIRECT("'["&amp;НАСТРОЙКИ!$D$8&amp;"]КРЕДИТЫ'!$S$38:$EO$38"))/1000000,0)))</f>
        <v>0</v>
      </c>
      <c r="N103" s="35">
        <f ca="1">IF(НАСТРОЙКИ!$B$8&lt;&gt;"Да",0,MAX(0,IFERROR(SUMIF(INDIRECT("'["&amp;НАСТРОЙКИ!$D$8&amp;"]КРЕДИТЫ'!$S$3:$EO$3"),N$22,INDIRECT("'["&amp;НАСТРОЙКИ!$D$8&amp;"]КРЕДИТЫ'!$S$38:$EO$38"))/1000000,0)))</f>
        <v>0</v>
      </c>
      <c r="O103" s="35">
        <f ca="1">IF(НАСТРОЙКИ!$B$8&lt;&gt;"Да",0,MAX(0,IFERROR(SUMIF(INDIRECT("'["&amp;НАСТРОЙКИ!$D$8&amp;"]КРЕДИТЫ'!$S$3:$EO$3"),O$22,INDIRECT("'["&amp;НАСТРОЙКИ!$D$8&amp;"]КРЕДИТЫ'!$S$38:$EO$38"))/1000000,0)))</f>
        <v>0</v>
      </c>
      <c r="P103" s="35">
        <f ca="1">IF(НАСТРОЙКИ!$B$8&lt;&gt;"Да",0,MAX(0,IFERROR(SUMIF(INDIRECT("'["&amp;НАСТРОЙКИ!$D$8&amp;"]КРЕДИТЫ'!$S$3:$EO$3"),P$22,INDIRECT("'["&amp;НАСТРОЙКИ!$D$8&amp;"]КРЕДИТЫ'!$S$38:$EO$38"))/1000000,0)))</f>
        <v>0</v>
      </c>
      <c r="Q103" s="35">
        <f ca="1">IF(НАСТРОЙКИ!$B$8&lt;&gt;"Да",0,MAX(0,IFERROR(SUMIF(INDIRECT("'["&amp;НАСТРОЙКИ!$D$8&amp;"]КРЕДИТЫ'!$S$3:$EO$3"),Q$22,INDIRECT("'["&amp;НАСТРОЙКИ!$D$8&amp;"]КРЕДИТЫ'!$S$38:$EO$38"))/1000000,0)))</f>
        <v>0</v>
      </c>
      <c r="R103" s="35">
        <f ca="1">IF(НАСТРОЙКИ!$B$8&lt;&gt;"Да",0,MAX(0,IFERROR(SUMIF(INDIRECT("'["&amp;НАСТРОЙКИ!$D$8&amp;"]КРЕДИТЫ'!$S$3:$EO$3"),R$22,INDIRECT("'["&amp;НАСТРОЙКИ!$D$8&amp;"]КРЕДИТЫ'!$S$38:$EO$38"))/1000000,0)))</f>
        <v>0</v>
      </c>
      <c r="S103" s="35">
        <f ca="1">IF(НАСТРОЙКИ!$B$8&lt;&gt;"Да",0,MAX(0,IFERROR(SUMIF(INDIRECT("'["&amp;НАСТРОЙКИ!$D$8&amp;"]КРЕДИТЫ'!$S$3:$EO$3"),S$22,INDIRECT("'["&amp;НАСТРОЙКИ!$D$8&amp;"]КРЕДИТЫ'!$S$38:$EO$38"))/1000000,0)))</f>
        <v>0</v>
      </c>
      <c r="T103" s="35">
        <f ca="1">IF(НАСТРОЙКИ!$B$8&lt;&gt;"Да",0,MAX(0,IFERROR(SUMIF(INDIRECT("'["&amp;НАСТРОЙКИ!$D$8&amp;"]КРЕДИТЫ'!$S$3:$EO$3"),T$22,INDIRECT("'["&amp;НАСТРОЙКИ!$D$8&amp;"]КРЕДИТЫ'!$S$38:$EO$38"))/1000000,0)))</f>
        <v>0</v>
      </c>
      <c r="U103" s="35">
        <f ca="1">IF(НАСТРОЙКИ!$B$8&lt;&gt;"Да",0,MAX(0,IFERROR(SUMIF(INDIRECT("'["&amp;НАСТРОЙКИ!$D$8&amp;"]КРЕДИТЫ'!$S$3:$EO$3"),U$22,INDIRECT("'["&amp;НАСТРОЙКИ!$D$8&amp;"]КРЕДИТЫ'!$S$38:$EO$38"))/1000000,0)))</f>
        <v>0</v>
      </c>
      <c r="V103" s="35">
        <f ca="1">IF(НАСТРОЙКИ!$B$8&lt;&gt;"Да",0,MAX(0,IFERROR(SUMIF(INDIRECT("'["&amp;НАСТРОЙКИ!$D$8&amp;"]КРЕДИТЫ'!$S$3:$EO$3"),V$22,INDIRECT("'["&amp;НАСТРОЙКИ!$D$8&amp;"]КРЕДИТЫ'!$S$38:$EO$38"))/1000000,0)))</f>
        <v>0</v>
      </c>
      <c r="W103" s="35">
        <f ca="1">IF(НАСТРОЙКИ!$B$8&lt;&gt;"Да",0,MAX(0,IFERROR(SUMIF(INDIRECT("'["&amp;НАСТРОЙКИ!$D$8&amp;"]КРЕДИТЫ'!$S$3:$EO$3"),W$22,INDIRECT("'["&amp;НАСТРОЙКИ!$D$8&amp;"]КРЕДИТЫ'!$S$38:$EO$38"))/1000000,0)))</f>
        <v>0</v>
      </c>
      <c r="X103" s="35">
        <f ca="1">IF(НАСТРОЙКИ!$B$8&lt;&gt;"Да",0,MAX(0,IFERROR(SUMIF(INDIRECT("'["&amp;НАСТРОЙКИ!$D$8&amp;"]КРЕДИТЫ'!$S$3:$EO$3"),X$22,INDIRECT("'["&amp;НАСТРОЙКИ!$D$8&amp;"]КРЕДИТЫ'!$S$38:$EO$38"))/1000000,0)))</f>
        <v>0</v>
      </c>
      <c r="Y103" s="35">
        <f ca="1">IF(НАСТРОЙКИ!$B$8&lt;&gt;"Да",0,MAX(0,IFERROR(SUMIF(INDIRECT("'["&amp;НАСТРОЙКИ!$D$8&amp;"]КРЕДИТЫ'!$S$3:$EO$3"),Y$22,INDIRECT("'["&amp;НАСТРОЙКИ!$D$8&amp;"]КРЕДИТЫ'!$S$38:$EO$38"))/1000000,0)))</f>
        <v>0</v>
      </c>
      <c r="Z103" s="35">
        <f ca="1">IF(НАСТРОЙКИ!$B$8&lt;&gt;"Да",0,MAX(0,IFERROR(SUMIF(INDIRECT("'["&amp;НАСТРОЙКИ!$D$8&amp;"]КРЕДИТЫ'!$S$3:$EO$3"),Z$22,INDIRECT("'["&amp;НАСТРОЙКИ!$D$8&amp;"]КРЕДИТЫ'!$S$38:$EO$38"))/1000000,0)))</f>
        <v>0</v>
      </c>
      <c r="AA103" s="35">
        <f ca="1">IF(НАСТРОЙКИ!$B$8&lt;&gt;"Да",0,MAX(0,IFERROR(SUMIF(INDIRECT("'["&amp;НАСТРОЙКИ!$D$8&amp;"]КРЕДИТЫ'!$S$3:$EO$3"),AA$22,INDIRECT("'["&amp;НАСТРОЙКИ!$D$8&amp;"]КРЕДИТЫ'!$S$38:$EO$38"))/1000000,0)))</f>
        <v>0</v>
      </c>
      <c r="AB103" s="35">
        <f ca="1">IF(НАСТРОЙКИ!$B$8&lt;&gt;"Да",0,MAX(0,IFERROR(SUMIF(INDIRECT("'["&amp;НАСТРОЙКИ!$D$8&amp;"]КРЕДИТЫ'!$S$3:$EO$3"),AB$22,INDIRECT("'["&amp;НАСТРОЙКИ!$D$8&amp;"]КРЕДИТЫ'!$S$38:$EO$38"))/1000000,0)))</f>
        <v>0</v>
      </c>
      <c r="AC103" s="35">
        <f ca="1">IF(НАСТРОЙКИ!$B$8&lt;&gt;"Да",0,MAX(0,IFERROR(SUMIF(INDIRECT("'["&amp;НАСТРОЙКИ!$D$8&amp;"]КРЕДИТЫ'!$S$3:$EO$3"),AC$22,INDIRECT("'["&amp;НАСТРОЙКИ!$D$8&amp;"]КРЕДИТЫ'!$S$38:$EO$38"))/1000000,0)))</f>
        <v>0</v>
      </c>
      <c r="AD103" s="35">
        <f ca="1">IF(НАСТРОЙКИ!$B$8&lt;&gt;"Да",0,MAX(0,IFERROR(SUMIF(INDIRECT("'["&amp;НАСТРОЙКИ!$D$8&amp;"]КРЕДИТЫ'!$S$3:$EO$3"),AD$22,INDIRECT("'["&amp;НАСТРОЙКИ!$D$8&amp;"]КРЕДИТЫ'!$S$38:$EO$38"))/1000000,0)))</f>
        <v>0</v>
      </c>
      <c r="AE103" s="35">
        <f ca="1">IF(НАСТРОЙКИ!$B$8&lt;&gt;"Да",0,MAX(0,IFERROR(SUMIF(INDIRECT("'["&amp;НАСТРОЙКИ!$D$8&amp;"]КРЕДИТЫ'!$S$3:$EO$3"),AE$22,INDIRECT("'["&amp;НАСТРОЙКИ!$D$8&amp;"]КРЕДИТЫ'!$S$38:$EO$38"))/1000000,0)))</f>
        <v>0</v>
      </c>
      <c r="AF103" s="35">
        <f ca="1">IF(НАСТРОЙКИ!$B$8&lt;&gt;"Да",0,MAX(0,IFERROR(SUMIF(INDIRECT("'["&amp;НАСТРОЙКИ!$D$8&amp;"]КРЕДИТЫ'!$S$3:$EO$3"),AF$22,INDIRECT("'["&amp;НАСТРОЙКИ!$D$8&amp;"]КРЕДИТЫ'!$S$38:$EO$38"))/1000000,0)))</f>
        <v>0</v>
      </c>
      <c r="AG103" s="35">
        <f ca="1">IF(НАСТРОЙКИ!$B$8&lt;&gt;"Да",0,MAX(0,IFERROR(SUMIF(INDIRECT("'["&amp;НАСТРОЙКИ!$D$8&amp;"]КРЕДИТЫ'!$S$3:$EO$3"),AG$22,INDIRECT("'["&amp;НАСТРОЙКИ!$D$8&amp;"]КРЕДИТЫ'!$S$38:$EO$38"))/1000000,0)))</f>
        <v>0</v>
      </c>
      <c r="AH103" s="35">
        <f ca="1">IF(НАСТРОЙКИ!$B$8&lt;&gt;"Да",0,MAX(0,IFERROR(SUMIF(INDIRECT("'["&amp;НАСТРОЙКИ!$D$8&amp;"]КРЕДИТЫ'!$S$3:$EO$3"),AH$22,INDIRECT("'["&amp;НАСТРОЙКИ!$D$8&amp;"]КРЕДИТЫ'!$S$38:$EO$38"))/1000000,0)))</f>
        <v>0</v>
      </c>
      <c r="AI103" s="35">
        <f ca="1">IF(НАСТРОЙКИ!$B$8&lt;&gt;"Да",0,MAX(0,IFERROR(SUMIF(INDIRECT("'["&amp;НАСТРОЙКИ!$D$8&amp;"]КРЕДИТЫ'!$S$3:$EO$3"),AI$22,INDIRECT("'["&amp;НАСТРОЙКИ!$D$8&amp;"]КРЕДИТЫ'!$S$38:$EO$38"))/1000000,0)))</f>
        <v>0</v>
      </c>
      <c r="AJ103" s="35">
        <f ca="1">IF(НАСТРОЙКИ!$B$8&lt;&gt;"Да",0,MAX(0,IFERROR(SUMIF(INDIRECT("'["&amp;НАСТРОЙКИ!$D$8&amp;"]КРЕДИТЫ'!$S$3:$EO$3"),AJ$22,INDIRECT("'["&amp;НАСТРОЙКИ!$D$8&amp;"]КРЕДИТЫ'!$S$38:$EO$38"))/1000000,0)))</f>
        <v>0</v>
      </c>
      <c r="AK103" s="35">
        <f ca="1">IF(НАСТРОЙКИ!$B$8&lt;&gt;"Да",0,MAX(0,IFERROR(SUMIF(INDIRECT("'["&amp;НАСТРОЙКИ!$D$8&amp;"]КРЕДИТЫ'!$S$3:$EO$3"),AK$22,INDIRECT("'["&amp;НАСТРОЙКИ!$D$8&amp;"]КРЕДИТЫ'!$S$38:$EO$38"))/1000000,0)))</f>
        <v>0</v>
      </c>
      <c r="AL103" s="35">
        <f ca="1">IF(НАСТРОЙКИ!$B$8&lt;&gt;"Да",0,MAX(0,IFERROR(SUMIF(INDIRECT("'["&amp;НАСТРОЙКИ!$D$8&amp;"]КРЕДИТЫ'!$S$3:$EO$3"),AL$22,INDIRECT("'["&amp;НАСТРОЙКИ!$D$8&amp;"]КРЕДИТЫ'!$S$38:$EO$38"))/1000000,0)))</f>
        <v>0</v>
      </c>
      <c r="AM103" s="35">
        <f ca="1">IF(НАСТРОЙКИ!$B$8&lt;&gt;"Да",0,MAX(0,IFERROR(SUMIF(INDIRECT("'["&amp;НАСТРОЙКИ!$D$8&amp;"]КРЕДИТЫ'!$S$3:$EO$3"),AM$22,INDIRECT("'["&amp;НАСТРОЙКИ!$D$8&amp;"]КРЕДИТЫ'!$S$38:$EO$38"))/1000000,0)))</f>
        <v>0</v>
      </c>
      <c r="AN103" s="35">
        <f ca="1">IF(НАСТРОЙКИ!$B$8&lt;&gt;"Да",0,MAX(0,IFERROR(SUMIF(INDIRECT("'["&amp;НАСТРОЙКИ!$D$8&amp;"]КРЕДИТЫ'!$S$3:$EO$3"),AN$22,INDIRECT("'["&amp;НАСТРОЙКИ!$D$8&amp;"]КРЕДИТЫ'!$S$38:$EO$38"))/1000000,0)))</f>
        <v>0</v>
      </c>
      <c r="AO103" s="35">
        <f ca="1">IF(НАСТРОЙКИ!$B$8&lt;&gt;"Да",0,MAX(0,IFERROR(SUMIF(INDIRECT("'["&amp;НАСТРОЙКИ!$D$8&amp;"]КРЕДИТЫ'!$S$3:$EO$3"),AO$22,INDIRECT("'["&amp;НАСТРОЙКИ!$D$8&amp;"]КРЕДИТЫ'!$S$38:$EO$38"))/1000000,0)))</f>
        <v>0</v>
      </c>
      <c r="AP103" s="35">
        <f ca="1">IF(НАСТРОЙКИ!$B$8&lt;&gt;"Да",0,MAX(0,IFERROR(SUMIF(INDIRECT("'["&amp;НАСТРОЙКИ!$D$8&amp;"]КРЕДИТЫ'!$S$3:$EO$3"),AP$22,INDIRECT("'["&amp;НАСТРОЙКИ!$D$8&amp;"]КРЕДИТЫ'!$S$38:$EO$38"))/1000000,0)))</f>
        <v>0</v>
      </c>
      <c r="AQ103" s="35">
        <f ca="1">IF(НАСТРОЙКИ!$B$8&lt;&gt;"Да",0,MAX(0,IFERROR(SUMIF(INDIRECT("'["&amp;НАСТРОЙКИ!$D$8&amp;"]КРЕДИТЫ'!$S$3:$EO$3"),AQ$22,INDIRECT("'["&amp;НАСТРОЙКИ!$D$8&amp;"]КРЕДИТЫ'!$S$38:$EO$38"))/1000000,0)))</f>
        <v>0</v>
      </c>
      <c r="AR103" s="35">
        <f ca="1">IF(НАСТРОЙКИ!$B$8&lt;&gt;"Да",0,MAX(0,IFERROR(SUMIF(INDIRECT("'["&amp;НАСТРОЙКИ!$D$8&amp;"]КРЕДИТЫ'!$S$3:$EO$3"),AR$22,INDIRECT("'["&amp;НАСТРОЙКИ!$D$8&amp;"]КРЕДИТЫ'!$S$38:$EO$38"))/1000000,0)))</f>
        <v>0</v>
      </c>
      <c r="AS103" s="35">
        <f ca="1">IF(НАСТРОЙКИ!$B$8&lt;&gt;"Да",0,MAX(0,IFERROR(SUMIF(INDIRECT("'["&amp;НАСТРОЙКИ!$D$8&amp;"]КРЕДИТЫ'!$S$3:$EO$3"),AS$22,INDIRECT("'["&amp;НАСТРОЙКИ!$D$8&amp;"]КРЕДИТЫ'!$S$38:$EO$38"))/1000000,0)))</f>
        <v>0</v>
      </c>
      <c r="AT103" s="35">
        <f ca="1">IF(НАСТРОЙКИ!$B$8&lt;&gt;"Да",0,MAX(0,IFERROR(SUMIF(INDIRECT("'["&amp;НАСТРОЙКИ!$D$8&amp;"]КРЕДИТЫ'!$S$3:$EO$3"),AT$22,INDIRECT("'["&amp;НАСТРОЙКИ!$D$8&amp;"]КРЕДИТЫ'!$S$38:$EO$38"))/1000000,0)))</f>
        <v>0</v>
      </c>
      <c r="AU103" s="35">
        <f ca="1">IF(НАСТРОЙКИ!$B$8&lt;&gt;"Да",0,MAX(0,IFERROR(SUMIF(INDIRECT("'["&amp;НАСТРОЙКИ!$D$8&amp;"]КРЕДИТЫ'!$S$3:$EO$3"),AU$22,INDIRECT("'["&amp;НАСТРОЙКИ!$D$8&amp;"]КРЕДИТЫ'!$S$38:$EO$38"))/1000000,0)))</f>
        <v>0</v>
      </c>
      <c r="AV103" s="35">
        <f ca="1">IF(НАСТРОЙКИ!$B$8&lt;&gt;"Да",0,MAX(0,IFERROR(SUMIF(INDIRECT("'["&amp;НАСТРОЙКИ!$D$8&amp;"]КРЕДИТЫ'!$S$3:$EO$3"),AV$22,INDIRECT("'["&amp;НАСТРОЙКИ!$D$8&amp;"]КРЕДИТЫ'!$S$38:$EO$38"))/1000000,0)))</f>
        <v>0</v>
      </c>
      <c r="AW103" s="35">
        <f ca="1">IF(НАСТРОЙКИ!$B$8&lt;&gt;"Да",0,MAX(0,IFERROR(SUMIF(INDIRECT("'["&amp;НАСТРОЙКИ!$D$8&amp;"]КРЕДИТЫ'!$S$3:$EO$3"),AW$22,INDIRECT("'["&amp;НАСТРОЙКИ!$D$8&amp;"]КРЕДИТЫ'!$S$38:$EO$38"))/1000000,0)))</f>
        <v>0</v>
      </c>
      <c r="AX103" s="35">
        <f ca="1">IF(НАСТРОЙКИ!$B$8&lt;&gt;"Да",0,MAX(0,IFERROR(SUMIF(INDIRECT("'["&amp;НАСТРОЙКИ!$D$8&amp;"]КРЕДИТЫ'!$S$3:$EO$3"),AX$22,INDIRECT("'["&amp;НАСТРОЙКИ!$D$8&amp;"]КРЕДИТЫ'!$S$38:$EO$38"))/1000000,0)))</f>
        <v>0</v>
      </c>
      <c r="AY103" s="35">
        <f ca="1">IF(НАСТРОЙКИ!$B$8&lt;&gt;"Да",0,MAX(0,IFERROR(SUMIF(INDIRECT("'["&amp;НАСТРОЙКИ!$D$8&amp;"]КРЕДИТЫ'!$S$3:$EO$3"),AY$22,INDIRECT("'["&amp;НАСТРОЙКИ!$D$8&amp;"]КРЕДИТЫ'!$S$38:$EO$38"))/1000000,0)))</f>
        <v>0</v>
      </c>
      <c r="AZ103" s="35">
        <f ca="1">IF(НАСТРОЙКИ!$B$8&lt;&gt;"Да",0,MAX(0,IFERROR(SUMIF(INDIRECT("'["&amp;НАСТРОЙКИ!$D$8&amp;"]КРЕДИТЫ'!$S$3:$EO$3"),AZ$22,INDIRECT("'["&amp;НАСТРОЙКИ!$D$8&amp;"]КРЕДИТЫ'!$S$38:$EO$38"))/1000000,0)))</f>
        <v>0</v>
      </c>
      <c r="BA103" s="35">
        <f ca="1">IF(НАСТРОЙКИ!$B$8&lt;&gt;"Да",0,MAX(0,IFERROR(SUMIF(INDIRECT("'["&amp;НАСТРОЙКИ!$D$8&amp;"]КРЕДИТЫ'!$S$3:$EO$3"),BA$22,INDIRECT("'["&amp;НАСТРОЙКИ!$D$8&amp;"]КРЕДИТЫ'!$S$38:$EO$38"))/1000000,0)))</f>
        <v>0</v>
      </c>
      <c r="BB103" s="35">
        <f ca="1">IF(НАСТРОЙКИ!$B$8&lt;&gt;"Да",0,MAX(0,IFERROR(SUMIF(INDIRECT("'["&amp;НАСТРОЙКИ!$D$8&amp;"]КРЕДИТЫ'!$S$3:$EO$3"),BB$22,INDIRECT("'["&amp;НАСТРОЙКИ!$D$8&amp;"]КРЕДИТЫ'!$S$38:$EO$38"))/1000000,0)))</f>
        <v>0</v>
      </c>
      <c r="BC103" s="35">
        <f ca="1">IF(НАСТРОЙКИ!$B$8&lt;&gt;"Да",0,MAX(0,IFERROR(SUMIF(INDIRECT("'["&amp;НАСТРОЙКИ!$D$8&amp;"]КРЕДИТЫ'!$S$3:$EO$3"),BC$22,INDIRECT("'["&amp;НАСТРОЙКИ!$D$8&amp;"]КРЕДИТЫ'!$S$38:$EO$38"))/1000000,0)))</f>
        <v>0</v>
      </c>
      <c r="BD103" s="35">
        <f ca="1">IF(НАСТРОЙКИ!$B$8&lt;&gt;"Да",0,MAX(0,IFERROR(SUMIF(INDIRECT("'["&amp;НАСТРОЙКИ!$D$8&amp;"]КРЕДИТЫ'!$S$3:$EO$3"),BD$22,INDIRECT("'["&amp;НАСТРОЙКИ!$D$8&amp;"]КРЕДИТЫ'!$S$38:$EO$38"))/1000000,0)))</f>
        <v>0</v>
      </c>
      <c r="BE103" s="35">
        <f ca="1">IF(НАСТРОЙКИ!$B$8&lt;&gt;"Да",0,MAX(0,IFERROR(SUMIF(INDIRECT("'["&amp;НАСТРОЙКИ!$D$8&amp;"]КРЕДИТЫ'!$S$3:$EO$3"),BE$22,INDIRECT("'["&amp;НАСТРОЙКИ!$D$8&amp;"]КРЕДИТЫ'!$S$38:$EO$38"))/1000000,0)))</f>
        <v>0</v>
      </c>
      <c r="BF103" s="35">
        <f ca="1">IF(НАСТРОЙКИ!$B$8&lt;&gt;"Да",0,MAX(0,IFERROR(SUMIF(INDIRECT("'["&amp;НАСТРОЙКИ!$D$8&amp;"]КРЕДИТЫ'!$S$3:$EO$3"),BF$22,INDIRECT("'["&amp;НАСТРОЙКИ!$D$8&amp;"]КРЕДИТЫ'!$S$38:$EO$38"))/1000000,0)))</f>
        <v>0</v>
      </c>
      <c r="BG103" s="35">
        <f ca="1">IF(НАСТРОЙКИ!$B$8&lt;&gt;"Да",0,MAX(0,IFERROR(SUMIF(INDIRECT("'["&amp;НАСТРОЙКИ!$D$8&amp;"]КРЕДИТЫ'!$S$3:$EO$3"),BG$22,INDIRECT("'["&amp;НАСТРОЙКИ!$D$8&amp;"]КРЕДИТЫ'!$S$38:$EO$38"))/1000000,0)))</f>
        <v>0</v>
      </c>
      <c r="BH103" s="35">
        <f ca="1">IF(НАСТРОЙКИ!$B$8&lt;&gt;"Да",0,MAX(0,IFERROR(SUMIF(INDIRECT("'["&amp;НАСТРОЙКИ!$D$8&amp;"]КРЕДИТЫ'!$S$3:$EO$3"),BH$22,INDIRECT("'["&amp;НАСТРОЙКИ!$D$8&amp;"]КРЕДИТЫ'!$S$38:$EO$38"))/1000000,0)))</f>
        <v>0</v>
      </c>
      <c r="BI103" s="35">
        <f ca="1">IF(НАСТРОЙКИ!$B$8&lt;&gt;"Да",0,MAX(0,IFERROR(SUMIF(INDIRECT("'["&amp;НАСТРОЙКИ!$D$8&amp;"]КРЕДИТЫ'!$S$3:$EO$3"),BI$22,INDIRECT("'["&amp;НАСТРОЙКИ!$D$8&amp;"]КРЕДИТЫ'!$S$38:$EO$38"))/1000000,0)))</f>
        <v>0</v>
      </c>
      <c r="BJ103" s="35">
        <f ca="1">IF(НАСТРОЙКИ!$B$8&lt;&gt;"Да",0,MAX(0,IFERROR(SUMIF(INDIRECT("'["&amp;НАСТРОЙКИ!$D$8&amp;"]КРЕДИТЫ'!$S$3:$EO$3"),BJ$22,INDIRECT("'["&amp;НАСТРОЙКИ!$D$8&amp;"]КРЕДИТЫ'!$S$38:$EO$38"))/1000000,0)))</f>
        <v>0</v>
      </c>
      <c r="BK103" s="35">
        <f ca="1">IF(НАСТРОЙКИ!$B$8&lt;&gt;"Да",0,MAX(0,IFERROR(SUMIF(INDIRECT("'["&amp;НАСТРОЙКИ!$D$8&amp;"]КРЕДИТЫ'!$S$3:$EO$3"),BK$22,INDIRECT("'["&amp;НАСТРОЙКИ!$D$8&amp;"]КРЕДИТЫ'!$S$38:$EO$38"))/1000000,0)))</f>
        <v>0</v>
      </c>
      <c r="BL103" s="35">
        <f ca="1">IF(НАСТРОЙКИ!$B$8&lt;&gt;"Да",0,MAX(0,IFERROR(SUMIF(INDIRECT("'["&amp;НАСТРОЙКИ!$D$8&amp;"]КРЕДИТЫ'!$S$3:$EO$3"),BL$22,INDIRECT("'["&amp;НАСТРОЙКИ!$D$8&amp;"]КРЕДИТЫ'!$S$38:$EO$38"))/1000000,0)))</f>
        <v>0</v>
      </c>
      <c r="BM103" s="35">
        <f ca="1">IF(НАСТРОЙКИ!$B$8&lt;&gt;"Да",0,MAX(0,IFERROR(SUMIF(INDIRECT("'["&amp;НАСТРОЙКИ!$D$8&amp;"]КРЕДИТЫ'!$S$3:$EO$3"),BM$22,INDIRECT("'["&amp;НАСТРОЙКИ!$D$8&amp;"]КРЕДИТЫ'!$S$38:$EO$38"))/1000000,0)))</f>
        <v>0</v>
      </c>
      <c r="BN103" s="35">
        <f ca="1">IF(НАСТРОЙКИ!$B$8&lt;&gt;"Да",0,MAX(0,IFERROR(SUMIF(INDIRECT("'["&amp;НАСТРОЙКИ!$D$8&amp;"]КРЕДИТЫ'!$S$3:$EO$3"),BN$22,INDIRECT("'["&amp;НАСТРОЙКИ!$D$8&amp;"]КРЕДИТЫ'!$S$38:$EO$38"))/1000000,0)))</f>
        <v>0</v>
      </c>
      <c r="BO103" s="35">
        <f ca="1">IF(НАСТРОЙКИ!$B$8&lt;&gt;"Да",0,MAX(0,IFERROR(SUMIF(INDIRECT("'["&amp;НАСТРОЙКИ!$D$8&amp;"]КРЕДИТЫ'!$S$3:$EO$3"),BO$22,INDIRECT("'["&amp;НАСТРОЙКИ!$D$8&amp;"]КРЕДИТЫ'!$S$38:$EO$38"))/1000000,0)))</f>
        <v>0</v>
      </c>
      <c r="BP103" s="35">
        <f ca="1">IF(НАСТРОЙКИ!$B$8&lt;&gt;"Да",0,MAX(0,IFERROR(SUMIF(INDIRECT("'["&amp;НАСТРОЙКИ!$D$8&amp;"]КРЕДИТЫ'!$S$3:$EO$3"),BP$22,INDIRECT("'["&amp;НАСТРОЙКИ!$D$8&amp;"]КРЕДИТЫ'!$S$38:$EO$38"))/1000000,0)))</f>
        <v>0</v>
      </c>
      <c r="BQ103" s="35">
        <f ca="1">IF(НАСТРОЙКИ!$B$8&lt;&gt;"Да",0,MAX(0,IFERROR(SUMIF(INDIRECT("'["&amp;НАСТРОЙКИ!$D$8&amp;"]КРЕДИТЫ'!$S$3:$EO$3"),BQ$22,INDIRECT("'["&amp;НАСТРОЙКИ!$D$8&amp;"]КРЕДИТЫ'!$S$38:$EO$38"))/1000000,0)))</f>
        <v>0</v>
      </c>
      <c r="BR103" s="35">
        <f ca="1">IF(НАСТРОЙКИ!$B$8&lt;&gt;"Да",0,MAX(0,IFERROR(SUMIF(INDIRECT("'["&amp;НАСТРОЙКИ!$D$8&amp;"]КРЕДИТЫ'!$S$3:$EO$3"),BR$22,INDIRECT("'["&amp;НАСТРОЙКИ!$D$8&amp;"]КРЕДИТЫ'!$S$38:$EO$38"))/1000000,0)))</f>
        <v>0</v>
      </c>
      <c r="BS103" s="35">
        <f ca="1">IF(НАСТРОЙКИ!$B$8&lt;&gt;"Да",0,MAX(0,IFERROR(SUMIF(INDIRECT("'["&amp;НАСТРОЙКИ!$D$8&amp;"]КРЕДИТЫ'!$S$3:$EO$3"),BS$22,INDIRECT("'["&amp;НАСТРОЙКИ!$D$8&amp;"]КРЕДИТЫ'!$S$38:$EO$38"))/1000000,0)))</f>
        <v>0</v>
      </c>
      <c r="BT103" s="35">
        <f ca="1">IF(НАСТРОЙКИ!$B$8&lt;&gt;"Да",0,MAX(0,IFERROR(SUMIF(INDIRECT("'["&amp;НАСТРОЙКИ!$D$8&amp;"]КРЕДИТЫ'!$S$3:$EO$3"),BT$22,INDIRECT("'["&amp;НАСТРОЙКИ!$D$8&amp;"]КРЕДИТЫ'!$S$38:$EO$38"))/1000000,0)))</f>
        <v>0</v>
      </c>
      <c r="BU103" s="35">
        <f ca="1">IF(НАСТРОЙКИ!$B$8&lt;&gt;"Да",0,MAX(0,IFERROR(SUMIF(INDIRECT("'["&amp;НАСТРОЙКИ!$D$8&amp;"]КРЕДИТЫ'!$S$3:$EO$3"),BU$22,INDIRECT("'["&amp;НАСТРОЙКИ!$D$8&amp;"]КРЕДИТЫ'!$S$38:$EO$38"))/1000000,0)))</f>
        <v>0</v>
      </c>
      <c r="BV103" s="35">
        <f ca="1">IF(НАСТРОЙКИ!$B$8&lt;&gt;"Да",0,MAX(0,IFERROR(SUMIF(INDIRECT("'["&amp;НАСТРОЙКИ!$D$8&amp;"]КРЕДИТЫ'!$S$3:$EO$3"),BV$22,INDIRECT("'["&amp;НАСТРОЙКИ!$D$8&amp;"]КРЕДИТЫ'!$S$38:$EO$38"))/1000000,0)))</f>
        <v>0</v>
      </c>
      <c r="BW103" s="35">
        <f ca="1">IF(НАСТРОЙКИ!$B$8&lt;&gt;"Да",0,MAX(0,IFERROR(SUMIF(INDIRECT("'["&amp;НАСТРОЙКИ!$D$8&amp;"]КРЕДИТЫ'!$S$3:$EO$3"),BW$22,INDIRECT("'["&amp;НАСТРОЙКИ!$D$8&amp;"]КРЕДИТЫ'!$S$38:$EO$38"))/1000000,0)))</f>
        <v>0</v>
      </c>
      <c r="BX103" s="35">
        <f ca="1">IF(НАСТРОЙКИ!$B$8&lt;&gt;"Да",0,MAX(0,IFERROR(SUMIF(INDIRECT("'["&amp;НАСТРОЙКИ!$D$8&amp;"]КРЕДИТЫ'!$S$3:$EO$3"),BX$22,INDIRECT("'["&amp;НАСТРОЙКИ!$D$8&amp;"]КРЕДИТЫ'!$S$38:$EO$38"))/1000000,0)))</f>
        <v>0</v>
      </c>
      <c r="BY103" s="35">
        <f ca="1">IF(НАСТРОЙКИ!$B$8&lt;&gt;"Да",0,MAX(0,IFERROR(SUMIF(INDIRECT("'["&amp;НАСТРОЙКИ!$D$8&amp;"]КРЕДИТЫ'!$S$3:$EO$3"),BY$22,INDIRECT("'["&amp;НАСТРОЙКИ!$D$8&amp;"]КРЕДИТЫ'!$S$38:$EO$38"))/1000000,0)))</f>
        <v>0</v>
      </c>
      <c r="BZ103" s="35">
        <f ca="1">IF(НАСТРОЙКИ!$B$8&lt;&gt;"Да",0,MAX(0,IFERROR(SUMIF(INDIRECT("'["&amp;НАСТРОЙКИ!$D$8&amp;"]КРЕДИТЫ'!$S$3:$EO$3"),BZ$22,INDIRECT("'["&amp;НАСТРОЙКИ!$D$8&amp;"]КРЕДИТЫ'!$S$38:$EO$38"))/1000000,0)))</f>
        <v>0</v>
      </c>
      <c r="CA103" s="35">
        <f ca="1">IF(НАСТРОЙКИ!$B$8&lt;&gt;"Да",0,MAX(0,IFERROR(SUMIF(INDIRECT("'["&amp;НАСТРОЙКИ!$D$8&amp;"]КРЕДИТЫ'!$S$3:$EO$3"),CA$22,INDIRECT("'["&amp;НАСТРОЙКИ!$D$8&amp;"]КРЕДИТЫ'!$S$38:$EO$38"))/1000000,0)))</f>
        <v>0</v>
      </c>
      <c r="CB103" s="35">
        <f ca="1">IF(НАСТРОЙКИ!$B$8&lt;&gt;"Да",0,MAX(0,IFERROR(SUMIF(INDIRECT("'["&amp;НАСТРОЙКИ!$D$8&amp;"]КРЕДИТЫ'!$S$3:$EO$3"),CB$22,INDIRECT("'["&amp;НАСТРОЙКИ!$D$8&amp;"]КРЕДИТЫ'!$S$38:$EO$38"))/1000000,0)))</f>
        <v>0</v>
      </c>
      <c r="CC103" s="35">
        <f ca="1">IF(НАСТРОЙКИ!$B$8&lt;&gt;"Да",0,MAX(0,IFERROR(SUMIF(INDIRECT("'["&amp;НАСТРОЙКИ!$D$8&amp;"]КРЕДИТЫ'!$S$3:$EO$3"),CC$22,INDIRECT("'["&amp;НАСТРОЙКИ!$D$8&amp;"]КРЕДИТЫ'!$S$38:$EO$38"))/1000000,0)))</f>
        <v>0</v>
      </c>
      <c r="CD103" s="35">
        <f ca="1">IF(НАСТРОЙКИ!$B$8&lt;&gt;"Да",0,MAX(0,IFERROR(SUMIF(INDIRECT("'["&amp;НАСТРОЙКИ!$D$8&amp;"]КРЕДИТЫ'!$S$3:$EO$3"),CD$22,INDIRECT("'["&amp;НАСТРОЙКИ!$D$8&amp;"]КРЕДИТЫ'!$S$38:$EO$38"))/1000000,0)))</f>
        <v>0</v>
      </c>
      <c r="CE103" s="35">
        <f ca="1">IF(НАСТРОЙКИ!$B$8&lt;&gt;"Да",0,MAX(0,IFERROR(SUMIF(INDIRECT("'["&amp;НАСТРОЙКИ!$D$8&amp;"]КРЕДИТЫ'!$S$3:$EO$3"),CE$22,INDIRECT("'["&amp;НАСТРОЙКИ!$D$8&amp;"]КРЕДИТЫ'!$S$38:$EO$38"))/1000000,0)))</f>
        <v>0</v>
      </c>
      <c r="CF103" s="35">
        <f ca="1">IF(НАСТРОЙКИ!$B$8&lt;&gt;"Да",0,MAX(0,IFERROR(SUMIF(INDIRECT("'["&amp;НАСТРОЙКИ!$D$8&amp;"]КРЕДИТЫ'!$S$3:$EO$3"),CF$22,INDIRECT("'["&amp;НАСТРОЙКИ!$D$8&amp;"]КРЕДИТЫ'!$S$38:$EO$38"))/1000000,0)))</f>
        <v>0</v>
      </c>
      <c r="CG103" s="35">
        <f ca="1">IF(НАСТРОЙКИ!$B$8&lt;&gt;"Да",0,MAX(0,IFERROR(SUMIF(INDIRECT("'["&amp;НАСТРОЙКИ!$D$8&amp;"]КРЕДИТЫ'!$S$3:$EO$3"),CG$22,INDIRECT("'["&amp;НАСТРОЙКИ!$D$8&amp;"]КРЕДИТЫ'!$S$38:$EO$38"))/1000000,0)))</f>
        <v>0</v>
      </c>
      <c r="CH103" s="35">
        <f ca="1">IF(НАСТРОЙКИ!$B$8&lt;&gt;"Да",0,MAX(0,IFERROR(SUMIF(INDIRECT("'["&amp;НАСТРОЙКИ!$D$8&amp;"]КРЕДИТЫ'!$S$3:$EO$3"),CH$22,INDIRECT("'["&amp;НАСТРОЙКИ!$D$8&amp;"]КРЕДИТЫ'!$S$38:$EO$38"))/1000000,0)))</f>
        <v>0</v>
      </c>
      <c r="CI103" s="35">
        <f ca="1">IF(НАСТРОЙКИ!$B$8&lt;&gt;"Да",0,MAX(0,IFERROR(SUMIF(INDIRECT("'["&amp;НАСТРОЙКИ!$D$8&amp;"]КРЕДИТЫ'!$S$3:$EO$3"),CI$22,INDIRECT("'["&amp;НАСТРОЙКИ!$D$8&amp;"]КРЕДИТЫ'!$S$38:$EO$38"))/1000000,0)))</f>
        <v>0</v>
      </c>
      <c r="CJ103" s="35">
        <f ca="1">IF(НАСТРОЙКИ!$B$8&lt;&gt;"Да",0,MAX(0,IFERROR(SUMIF(INDIRECT("'["&amp;НАСТРОЙКИ!$D$8&amp;"]КРЕДИТЫ'!$S$3:$EO$3"),CJ$22,INDIRECT("'["&amp;НАСТРОЙКИ!$D$8&amp;"]КРЕДИТЫ'!$S$38:$EO$38"))/1000000,0)))</f>
        <v>0</v>
      </c>
      <c r="CK103" s="35">
        <f ca="1">IF(НАСТРОЙКИ!$B$8&lt;&gt;"Да",0,MAX(0,IFERROR(SUMIF(INDIRECT("'["&amp;НАСТРОЙКИ!$D$8&amp;"]КРЕДИТЫ'!$S$3:$EO$3"),CK$22,INDIRECT("'["&amp;НАСТРОЙКИ!$D$8&amp;"]КРЕДИТЫ'!$S$38:$EO$38"))/1000000,0)))</f>
        <v>0</v>
      </c>
      <c r="CL103" s="35">
        <f ca="1">IF(НАСТРОЙКИ!$B$8&lt;&gt;"Да",0,MAX(0,IFERROR(SUMIF(INDIRECT("'["&amp;НАСТРОЙКИ!$D$8&amp;"]КРЕДИТЫ'!$S$3:$EO$3"),CL$22,INDIRECT("'["&amp;НАСТРОЙКИ!$D$8&amp;"]КРЕДИТЫ'!$S$38:$EO$38"))/1000000,0)))</f>
        <v>0</v>
      </c>
      <c r="CM103" s="35">
        <f ca="1">IF(НАСТРОЙКИ!$B$8&lt;&gt;"Да",0,MAX(0,IFERROR(SUMIF(INDIRECT("'["&amp;НАСТРОЙКИ!$D$8&amp;"]КРЕДИТЫ'!$S$3:$EO$3"),CM$22,INDIRECT("'["&amp;НАСТРОЙКИ!$D$8&amp;"]КРЕДИТЫ'!$S$38:$EO$38"))/1000000,0)))</f>
        <v>0</v>
      </c>
      <c r="CN103" s="35">
        <f ca="1">IF(НАСТРОЙКИ!$B$8&lt;&gt;"Да",0,MAX(0,IFERROR(SUMIF(INDIRECT("'["&amp;НАСТРОЙКИ!$D$8&amp;"]КРЕДИТЫ'!$S$3:$EO$3"),CN$22,INDIRECT("'["&amp;НАСТРОЙКИ!$D$8&amp;"]КРЕДИТЫ'!$S$38:$EO$38"))/1000000,0)))</f>
        <v>0</v>
      </c>
      <c r="CO103" s="35">
        <f ca="1">IF(НАСТРОЙКИ!$B$8&lt;&gt;"Да",0,MAX(0,IFERROR(SUMIF(INDIRECT("'["&amp;НАСТРОЙКИ!$D$8&amp;"]КРЕДИТЫ'!$S$3:$EO$3"),CO$22,INDIRECT("'["&amp;НАСТРОЙКИ!$D$8&amp;"]КРЕДИТЫ'!$S$38:$EO$38"))/1000000,0)))</f>
        <v>0</v>
      </c>
      <c r="CP103" s="35">
        <f ca="1">IF(НАСТРОЙКИ!$B$8&lt;&gt;"Да",0,MAX(0,IFERROR(SUMIF(INDIRECT("'["&amp;НАСТРОЙКИ!$D$8&amp;"]КРЕДИТЫ'!$S$3:$EO$3"),CP$22,INDIRECT("'["&amp;НАСТРОЙКИ!$D$8&amp;"]КРЕДИТЫ'!$S$38:$EO$38"))/1000000,0)))</f>
        <v>0</v>
      </c>
      <c r="CQ103" s="35">
        <f ca="1">IF(НАСТРОЙКИ!$B$8&lt;&gt;"Да",0,MAX(0,IFERROR(SUMIF(INDIRECT("'["&amp;НАСТРОЙКИ!$D$8&amp;"]КРЕДИТЫ'!$S$3:$EO$3"),CQ$22,INDIRECT("'["&amp;НАСТРОЙКИ!$D$8&amp;"]КРЕДИТЫ'!$S$38:$EO$38"))/1000000,0)))</f>
        <v>0</v>
      </c>
      <c r="CR103" s="35">
        <f ca="1">IF(НАСТРОЙКИ!$B$8&lt;&gt;"Да",0,MAX(0,IFERROR(SUMIF(INDIRECT("'["&amp;НАСТРОЙКИ!$D$8&amp;"]КРЕДИТЫ'!$S$3:$EO$3"),CR$22,INDIRECT("'["&amp;НАСТРОЙКИ!$D$8&amp;"]КРЕДИТЫ'!$S$38:$EO$38"))/1000000,0)))</f>
        <v>0</v>
      </c>
      <c r="CS103" s="35">
        <f ca="1">IF(НАСТРОЙКИ!$B$8&lt;&gt;"Да",0,MAX(0,IFERROR(SUMIF(INDIRECT("'["&amp;НАСТРОЙКИ!$D$8&amp;"]КРЕДИТЫ'!$S$3:$EO$3"),CS$22,INDIRECT("'["&amp;НАСТРОЙКИ!$D$8&amp;"]КРЕДИТЫ'!$S$38:$EO$38"))/1000000,0)))</f>
        <v>0</v>
      </c>
      <c r="CT103" s="35">
        <f ca="1">IF(НАСТРОЙКИ!$B$8&lt;&gt;"Да",0,MAX(0,IFERROR(SUMIF(INDIRECT("'["&amp;НАСТРОЙКИ!$D$8&amp;"]КРЕДИТЫ'!$S$3:$EO$3"),CT$22,INDIRECT("'["&amp;НАСТРОЙКИ!$D$8&amp;"]КРЕДИТЫ'!$S$38:$EO$38"))/1000000,0)))</f>
        <v>0</v>
      </c>
      <c r="CU103" s="35">
        <f ca="1">IF(НАСТРОЙКИ!$B$8&lt;&gt;"Да",0,MAX(0,IFERROR(SUMIF(INDIRECT("'["&amp;НАСТРОЙКИ!$D$8&amp;"]КРЕДИТЫ'!$S$3:$EO$3"),CU$22,INDIRECT("'["&amp;НАСТРОЙКИ!$D$8&amp;"]КРЕДИТЫ'!$S$38:$EO$38"))/1000000,0)))</f>
        <v>0</v>
      </c>
      <c r="CV103" s="35">
        <f ca="1">IF(НАСТРОЙКИ!$B$8&lt;&gt;"Да",0,MAX(0,IFERROR(SUMIF(INDIRECT("'["&amp;НАСТРОЙКИ!$D$8&amp;"]КРЕДИТЫ'!$S$3:$EO$3"),CV$22,INDIRECT("'["&amp;НАСТРОЙКИ!$D$8&amp;"]КРЕДИТЫ'!$S$38:$EO$38"))/1000000,0)))</f>
        <v>0</v>
      </c>
      <c r="CW103" s="35">
        <f ca="1">IF(НАСТРОЙКИ!$B$8&lt;&gt;"Да",0,MAX(0,IFERROR(SUMIF(INDIRECT("'["&amp;НАСТРОЙКИ!$D$8&amp;"]КРЕДИТЫ'!$S$3:$EO$3"),CW$22,INDIRECT("'["&amp;НАСТРОЙКИ!$D$8&amp;"]КРЕДИТЫ'!$S$38:$EO$38"))/1000000,0)))</f>
        <v>0</v>
      </c>
      <c r="CX103" s="35">
        <f ca="1">IF(НАСТРОЙКИ!$B$8&lt;&gt;"Да",0,MAX(0,IFERROR(SUMIF(INDIRECT("'["&amp;НАСТРОЙКИ!$D$8&amp;"]КРЕДИТЫ'!$S$3:$EO$3"),CX$22,INDIRECT("'["&amp;НАСТРОЙКИ!$D$8&amp;"]КРЕДИТЫ'!$S$38:$EO$38"))/1000000,0)))</f>
        <v>0</v>
      </c>
      <c r="CY103" s="35">
        <f ca="1">IF(НАСТРОЙКИ!$B$8&lt;&gt;"Да",0,MAX(0,IFERROR(SUMIF(INDIRECT("'["&amp;НАСТРОЙКИ!$D$8&amp;"]КРЕДИТЫ'!$S$3:$EO$3"),CY$22,INDIRECT("'["&amp;НАСТРОЙКИ!$D$8&amp;"]КРЕДИТЫ'!$S$38:$EO$38"))/1000000,0)))</f>
        <v>0</v>
      </c>
      <c r="CZ103" s="35">
        <f ca="1">IF(НАСТРОЙКИ!$B$8&lt;&gt;"Да",0,MAX(0,IFERROR(SUMIF(INDIRECT("'["&amp;НАСТРОЙКИ!$D$8&amp;"]КРЕДИТЫ'!$S$3:$EO$3"),CZ$22,INDIRECT("'["&amp;НАСТРОЙКИ!$D$8&amp;"]КРЕДИТЫ'!$S$38:$EO$38"))/1000000,0)))</f>
        <v>0</v>
      </c>
      <c r="DA103" s="35">
        <f ca="1">IF(НАСТРОЙКИ!$B$8&lt;&gt;"Да",0,MAX(0,IFERROR(SUMIF(INDIRECT("'["&amp;НАСТРОЙКИ!$D$8&amp;"]КРЕДИТЫ'!$S$3:$EO$3"),DA$22,INDIRECT("'["&amp;НАСТРОЙКИ!$D$8&amp;"]КРЕДИТЫ'!$S$38:$EO$38"))/1000000,0)))</f>
        <v>0</v>
      </c>
      <c r="DB103" s="35">
        <f ca="1">IF(НАСТРОЙКИ!$B$8&lt;&gt;"Да",0,MAX(0,IFERROR(SUMIF(INDIRECT("'["&amp;НАСТРОЙКИ!$D$8&amp;"]КРЕДИТЫ'!$S$3:$EO$3"),DB$22,INDIRECT("'["&amp;НАСТРОЙКИ!$D$8&amp;"]КРЕДИТЫ'!$S$38:$EO$38"))/1000000,0)))</f>
        <v>0</v>
      </c>
      <c r="DC103" s="35">
        <f ca="1">IF(НАСТРОЙКИ!$B$8&lt;&gt;"Да",0,MAX(0,IFERROR(SUMIF(INDIRECT("'["&amp;НАСТРОЙКИ!$D$8&amp;"]КРЕДИТЫ'!$S$3:$EO$3"),DC$22,INDIRECT("'["&amp;НАСТРОЙКИ!$D$8&amp;"]КРЕДИТЫ'!$S$38:$EO$38"))/1000000,0)))</f>
        <v>0</v>
      </c>
      <c r="DD103" s="35">
        <f ca="1">IF(НАСТРОЙКИ!$B$8&lt;&gt;"Да",0,MAX(0,IFERROR(SUMIF(INDIRECT("'["&amp;НАСТРОЙКИ!$D$8&amp;"]КРЕДИТЫ'!$S$3:$EO$3"),DD$22,INDIRECT("'["&amp;НАСТРОЙКИ!$D$8&amp;"]КРЕДИТЫ'!$S$38:$EO$38"))/1000000,0)))</f>
        <v>0</v>
      </c>
      <c r="DE103" s="35">
        <f ca="1">IF(НАСТРОЙКИ!$B$8&lt;&gt;"Да",0,MAX(0,IFERROR(SUMIF(INDIRECT("'["&amp;НАСТРОЙКИ!$D$8&amp;"]КРЕДИТЫ'!$S$3:$EO$3"),DE$22,INDIRECT("'["&amp;НАСТРОЙКИ!$D$8&amp;"]КРЕДИТЫ'!$S$38:$EO$38"))/1000000,0)))</f>
        <v>0</v>
      </c>
      <c r="DF103" s="35">
        <f ca="1">IF(НАСТРОЙКИ!$B$8&lt;&gt;"Да",0,MAX(0,IFERROR(SUMIF(INDIRECT("'["&amp;НАСТРОЙКИ!$D$8&amp;"]КРЕДИТЫ'!$S$3:$EO$3"),DF$22,INDIRECT("'["&amp;НАСТРОЙКИ!$D$8&amp;"]КРЕДИТЫ'!$S$38:$EO$38"))/1000000,0)))</f>
        <v>0</v>
      </c>
    </row>
    <row r="104" spans="1:110">
      <c r="A104" s="34" t="s">
        <v>135</v>
      </c>
      <c r="B104" s="34" t="s">
        <v>58</v>
      </c>
      <c r="C104" s="35">
        <f ca="1">IF(НАСТРОЙКИ!$B$8&lt;&gt;"Да",0,MAX(0,IFERROR(SUMIF(INDIRECT("'["&amp;НАСТРОЙКИ!$D$8&amp;"]КРЕДИТЫ'!$S$3:$EO$3"),C$22,INDIRECT("'["&amp;НАСТРОЙКИ!$D$8&amp;"]КРЕДИТЫ'!$S$52:$EO$52"))/1000000,0)))</f>
        <v>0</v>
      </c>
      <c r="D104" s="35">
        <f ca="1">IF(НАСТРОЙКИ!$B$8&lt;&gt;"Да",0,MAX(0,IFERROR(SUMIF(INDIRECT("'["&amp;НАСТРОЙКИ!$D$8&amp;"]КРЕДИТЫ'!$S$3:$EO$3"),D$22,INDIRECT("'["&amp;НАСТРОЙКИ!$D$8&amp;"]КРЕДИТЫ'!$S$52:$EO$52"))/1000000,0)))</f>
        <v>0</v>
      </c>
      <c r="E104" s="35">
        <f ca="1">IF(НАСТРОЙКИ!$B$8&lt;&gt;"Да",0,MAX(0,IFERROR(SUMIF(INDIRECT("'["&amp;НАСТРОЙКИ!$D$8&amp;"]КРЕДИТЫ'!$S$3:$EO$3"),E$22,INDIRECT("'["&amp;НАСТРОЙКИ!$D$8&amp;"]КРЕДИТЫ'!$S$52:$EO$52"))/1000000,0)))</f>
        <v>0</v>
      </c>
      <c r="F104" s="35">
        <f ca="1">IF(НАСТРОЙКИ!$B$8&lt;&gt;"Да",0,MAX(0,IFERROR(SUMIF(INDIRECT("'["&amp;НАСТРОЙКИ!$D$8&amp;"]КРЕДИТЫ'!$S$3:$EO$3"),F$22,INDIRECT("'["&amp;НАСТРОЙКИ!$D$8&amp;"]КРЕДИТЫ'!$S$52:$EO$52"))/1000000,0)))</f>
        <v>0</v>
      </c>
      <c r="G104" s="35">
        <f ca="1">IF(НАСТРОЙКИ!$B$8&lt;&gt;"Да",0,MAX(0,IFERROR(SUMIF(INDIRECT("'["&amp;НАСТРОЙКИ!$D$8&amp;"]КРЕДИТЫ'!$S$3:$EO$3"),G$22,INDIRECT("'["&amp;НАСТРОЙКИ!$D$8&amp;"]КРЕДИТЫ'!$S$52:$EO$52"))/1000000,0)))</f>
        <v>0</v>
      </c>
      <c r="H104" s="35">
        <f ca="1">IF(НАСТРОЙКИ!$B$8&lt;&gt;"Да",0,MAX(0,IFERROR(SUMIF(INDIRECT("'["&amp;НАСТРОЙКИ!$D$8&amp;"]КРЕДИТЫ'!$S$3:$EO$3"),H$22,INDIRECT("'["&amp;НАСТРОЙКИ!$D$8&amp;"]КРЕДИТЫ'!$S$52:$EO$52"))/1000000,0)))</f>
        <v>0</v>
      </c>
      <c r="I104" s="35">
        <f ca="1">IF(НАСТРОЙКИ!$B$8&lt;&gt;"Да",0,MAX(0,IFERROR(SUMIF(INDIRECT("'["&amp;НАСТРОЙКИ!$D$8&amp;"]КРЕДИТЫ'!$S$3:$EO$3"),I$22,INDIRECT("'["&amp;НАСТРОЙКИ!$D$8&amp;"]КРЕДИТЫ'!$S$52:$EO$52"))/1000000,0)))</f>
        <v>0</v>
      </c>
      <c r="J104" s="35">
        <f ca="1">IF(НАСТРОЙКИ!$B$8&lt;&gt;"Да",0,MAX(0,IFERROR(SUMIF(INDIRECT("'["&amp;НАСТРОЙКИ!$D$8&amp;"]КРЕДИТЫ'!$S$3:$EO$3"),J$22,INDIRECT("'["&amp;НАСТРОЙКИ!$D$8&amp;"]КРЕДИТЫ'!$S$52:$EO$52"))/1000000,0)))</f>
        <v>0</v>
      </c>
      <c r="K104" s="35">
        <f ca="1">IF(НАСТРОЙКИ!$B$8&lt;&gt;"Да",0,MAX(0,IFERROR(SUMIF(INDIRECT("'["&amp;НАСТРОЙКИ!$D$8&amp;"]КРЕДИТЫ'!$S$3:$EO$3"),K$22,INDIRECT("'["&amp;НАСТРОЙКИ!$D$8&amp;"]КРЕДИТЫ'!$S$52:$EO$52"))/1000000,0)))</f>
        <v>0</v>
      </c>
      <c r="L104" s="35">
        <f ca="1">IF(НАСТРОЙКИ!$B$8&lt;&gt;"Да",0,MAX(0,IFERROR(SUMIF(INDIRECT("'["&amp;НАСТРОЙКИ!$D$8&amp;"]КРЕДИТЫ'!$S$3:$EO$3"),L$22,INDIRECT("'["&amp;НАСТРОЙКИ!$D$8&amp;"]КРЕДИТЫ'!$S$52:$EO$52"))/1000000,0)))</f>
        <v>0</v>
      </c>
      <c r="M104" s="35">
        <f ca="1">IF(НАСТРОЙКИ!$B$8&lt;&gt;"Да",0,MAX(0,IFERROR(SUMIF(INDIRECT("'["&amp;НАСТРОЙКИ!$D$8&amp;"]КРЕДИТЫ'!$S$3:$EO$3"),M$22,INDIRECT("'["&amp;НАСТРОЙКИ!$D$8&amp;"]КРЕДИТЫ'!$S$52:$EO$52"))/1000000,0)))</f>
        <v>0</v>
      </c>
      <c r="N104" s="35">
        <f ca="1">IF(НАСТРОЙКИ!$B$8&lt;&gt;"Да",0,MAX(0,IFERROR(SUMIF(INDIRECT("'["&amp;НАСТРОЙКИ!$D$8&amp;"]КРЕДИТЫ'!$S$3:$EO$3"),N$22,INDIRECT("'["&amp;НАСТРОЙКИ!$D$8&amp;"]КРЕДИТЫ'!$S$52:$EO$52"))/1000000,0)))</f>
        <v>0</v>
      </c>
      <c r="O104" s="35">
        <f ca="1">IF(НАСТРОЙКИ!$B$8&lt;&gt;"Да",0,MAX(0,IFERROR(SUMIF(INDIRECT("'["&amp;НАСТРОЙКИ!$D$8&amp;"]КРЕДИТЫ'!$S$3:$EO$3"),O$22,INDIRECT("'["&amp;НАСТРОЙКИ!$D$8&amp;"]КРЕДИТЫ'!$S$52:$EO$52"))/1000000,0)))</f>
        <v>0</v>
      </c>
      <c r="P104" s="35">
        <f ca="1">IF(НАСТРОЙКИ!$B$8&lt;&gt;"Да",0,MAX(0,IFERROR(SUMIF(INDIRECT("'["&amp;НАСТРОЙКИ!$D$8&amp;"]КРЕДИТЫ'!$S$3:$EO$3"),P$22,INDIRECT("'["&amp;НАСТРОЙКИ!$D$8&amp;"]КРЕДИТЫ'!$S$52:$EO$52"))/1000000,0)))</f>
        <v>0</v>
      </c>
      <c r="Q104" s="35">
        <f ca="1">IF(НАСТРОЙКИ!$B$8&lt;&gt;"Да",0,MAX(0,IFERROR(SUMIF(INDIRECT("'["&amp;НАСТРОЙКИ!$D$8&amp;"]КРЕДИТЫ'!$S$3:$EO$3"),Q$22,INDIRECT("'["&amp;НАСТРОЙКИ!$D$8&amp;"]КРЕДИТЫ'!$S$52:$EO$52"))/1000000,0)))</f>
        <v>0</v>
      </c>
      <c r="R104" s="35">
        <f ca="1">IF(НАСТРОЙКИ!$B$8&lt;&gt;"Да",0,MAX(0,IFERROR(SUMIF(INDIRECT("'["&amp;НАСТРОЙКИ!$D$8&amp;"]КРЕДИТЫ'!$S$3:$EO$3"),R$22,INDIRECT("'["&amp;НАСТРОЙКИ!$D$8&amp;"]КРЕДИТЫ'!$S$52:$EO$52"))/1000000,0)))</f>
        <v>0</v>
      </c>
      <c r="S104" s="35">
        <f ca="1">IF(НАСТРОЙКИ!$B$8&lt;&gt;"Да",0,MAX(0,IFERROR(SUMIF(INDIRECT("'["&amp;НАСТРОЙКИ!$D$8&amp;"]КРЕДИТЫ'!$S$3:$EO$3"),S$22,INDIRECT("'["&amp;НАСТРОЙКИ!$D$8&amp;"]КРЕДИТЫ'!$S$52:$EO$52"))/1000000,0)))</f>
        <v>0</v>
      </c>
      <c r="T104" s="35">
        <f ca="1">IF(НАСТРОЙКИ!$B$8&lt;&gt;"Да",0,MAX(0,IFERROR(SUMIF(INDIRECT("'["&amp;НАСТРОЙКИ!$D$8&amp;"]КРЕДИТЫ'!$S$3:$EO$3"),T$22,INDIRECT("'["&amp;НАСТРОЙКИ!$D$8&amp;"]КРЕДИТЫ'!$S$52:$EO$52"))/1000000,0)))</f>
        <v>0</v>
      </c>
      <c r="U104" s="35">
        <f ca="1">IF(НАСТРОЙКИ!$B$8&lt;&gt;"Да",0,MAX(0,IFERROR(SUMIF(INDIRECT("'["&amp;НАСТРОЙКИ!$D$8&amp;"]КРЕДИТЫ'!$S$3:$EO$3"),U$22,INDIRECT("'["&amp;НАСТРОЙКИ!$D$8&amp;"]КРЕДИТЫ'!$S$52:$EO$52"))/1000000,0)))</f>
        <v>0</v>
      </c>
      <c r="V104" s="35">
        <f ca="1">IF(НАСТРОЙКИ!$B$8&lt;&gt;"Да",0,MAX(0,IFERROR(SUMIF(INDIRECT("'["&amp;НАСТРОЙКИ!$D$8&amp;"]КРЕДИТЫ'!$S$3:$EO$3"),V$22,INDIRECT("'["&amp;НАСТРОЙКИ!$D$8&amp;"]КРЕДИТЫ'!$S$52:$EO$52"))/1000000,0)))</f>
        <v>0</v>
      </c>
      <c r="W104" s="35">
        <f ca="1">IF(НАСТРОЙКИ!$B$8&lt;&gt;"Да",0,MAX(0,IFERROR(SUMIF(INDIRECT("'["&amp;НАСТРОЙКИ!$D$8&amp;"]КРЕДИТЫ'!$S$3:$EO$3"),W$22,INDIRECT("'["&amp;НАСТРОЙКИ!$D$8&amp;"]КРЕДИТЫ'!$S$52:$EO$52"))/1000000,0)))</f>
        <v>0</v>
      </c>
      <c r="X104" s="35">
        <f ca="1">IF(НАСТРОЙКИ!$B$8&lt;&gt;"Да",0,MAX(0,IFERROR(SUMIF(INDIRECT("'["&amp;НАСТРОЙКИ!$D$8&amp;"]КРЕДИТЫ'!$S$3:$EO$3"),X$22,INDIRECT("'["&amp;НАСТРОЙКИ!$D$8&amp;"]КРЕДИТЫ'!$S$52:$EO$52"))/1000000,0)))</f>
        <v>0</v>
      </c>
      <c r="Y104" s="35">
        <f ca="1">IF(НАСТРОЙКИ!$B$8&lt;&gt;"Да",0,MAX(0,IFERROR(SUMIF(INDIRECT("'["&amp;НАСТРОЙКИ!$D$8&amp;"]КРЕДИТЫ'!$S$3:$EO$3"),Y$22,INDIRECT("'["&amp;НАСТРОЙКИ!$D$8&amp;"]КРЕДИТЫ'!$S$52:$EO$52"))/1000000,0)))</f>
        <v>0</v>
      </c>
      <c r="Z104" s="35">
        <f ca="1">IF(НАСТРОЙКИ!$B$8&lt;&gt;"Да",0,MAX(0,IFERROR(SUMIF(INDIRECT("'["&amp;НАСТРОЙКИ!$D$8&amp;"]КРЕДИТЫ'!$S$3:$EO$3"),Z$22,INDIRECT("'["&amp;НАСТРОЙКИ!$D$8&amp;"]КРЕДИТЫ'!$S$52:$EO$52"))/1000000,0)))</f>
        <v>0</v>
      </c>
      <c r="AA104" s="35">
        <f ca="1">IF(НАСТРОЙКИ!$B$8&lt;&gt;"Да",0,MAX(0,IFERROR(SUMIF(INDIRECT("'["&amp;НАСТРОЙКИ!$D$8&amp;"]КРЕДИТЫ'!$S$3:$EO$3"),AA$22,INDIRECT("'["&amp;НАСТРОЙКИ!$D$8&amp;"]КРЕДИТЫ'!$S$52:$EO$52"))/1000000,0)))</f>
        <v>0</v>
      </c>
      <c r="AB104" s="35">
        <f ca="1">IF(НАСТРОЙКИ!$B$8&lt;&gt;"Да",0,MAX(0,IFERROR(SUMIF(INDIRECT("'["&amp;НАСТРОЙКИ!$D$8&amp;"]КРЕДИТЫ'!$S$3:$EO$3"),AB$22,INDIRECT("'["&amp;НАСТРОЙКИ!$D$8&amp;"]КРЕДИТЫ'!$S$52:$EO$52"))/1000000,0)))</f>
        <v>0</v>
      </c>
      <c r="AC104" s="35">
        <f ca="1">IF(НАСТРОЙКИ!$B$8&lt;&gt;"Да",0,MAX(0,IFERROR(SUMIF(INDIRECT("'["&amp;НАСТРОЙКИ!$D$8&amp;"]КРЕДИТЫ'!$S$3:$EO$3"),AC$22,INDIRECT("'["&amp;НАСТРОЙКИ!$D$8&amp;"]КРЕДИТЫ'!$S$52:$EO$52"))/1000000,0)))</f>
        <v>0</v>
      </c>
      <c r="AD104" s="35">
        <f ca="1">IF(НАСТРОЙКИ!$B$8&lt;&gt;"Да",0,MAX(0,IFERROR(SUMIF(INDIRECT("'["&amp;НАСТРОЙКИ!$D$8&amp;"]КРЕДИТЫ'!$S$3:$EO$3"),AD$22,INDIRECT("'["&amp;НАСТРОЙКИ!$D$8&amp;"]КРЕДИТЫ'!$S$52:$EO$52"))/1000000,0)))</f>
        <v>0</v>
      </c>
      <c r="AE104" s="35">
        <f ca="1">IF(НАСТРОЙКИ!$B$8&lt;&gt;"Да",0,MAX(0,IFERROR(SUMIF(INDIRECT("'["&amp;НАСТРОЙКИ!$D$8&amp;"]КРЕДИТЫ'!$S$3:$EO$3"),AE$22,INDIRECT("'["&amp;НАСТРОЙКИ!$D$8&amp;"]КРЕДИТЫ'!$S$52:$EO$52"))/1000000,0)))</f>
        <v>0</v>
      </c>
      <c r="AF104" s="35">
        <f ca="1">IF(НАСТРОЙКИ!$B$8&lt;&gt;"Да",0,MAX(0,IFERROR(SUMIF(INDIRECT("'["&amp;НАСТРОЙКИ!$D$8&amp;"]КРЕДИТЫ'!$S$3:$EO$3"),AF$22,INDIRECT("'["&amp;НАСТРОЙКИ!$D$8&amp;"]КРЕДИТЫ'!$S$52:$EO$52"))/1000000,0)))</f>
        <v>0</v>
      </c>
      <c r="AG104" s="35">
        <f ca="1">IF(НАСТРОЙКИ!$B$8&lt;&gt;"Да",0,MAX(0,IFERROR(SUMIF(INDIRECT("'["&amp;НАСТРОЙКИ!$D$8&amp;"]КРЕДИТЫ'!$S$3:$EO$3"),AG$22,INDIRECT("'["&amp;НАСТРОЙКИ!$D$8&amp;"]КРЕДИТЫ'!$S$52:$EO$52"))/1000000,0)))</f>
        <v>0</v>
      </c>
      <c r="AH104" s="35">
        <f ca="1">IF(НАСТРОЙКИ!$B$8&lt;&gt;"Да",0,MAX(0,IFERROR(SUMIF(INDIRECT("'["&amp;НАСТРОЙКИ!$D$8&amp;"]КРЕДИТЫ'!$S$3:$EO$3"),AH$22,INDIRECT("'["&amp;НАСТРОЙКИ!$D$8&amp;"]КРЕДИТЫ'!$S$52:$EO$52"))/1000000,0)))</f>
        <v>0</v>
      </c>
      <c r="AI104" s="35">
        <f ca="1">IF(НАСТРОЙКИ!$B$8&lt;&gt;"Да",0,MAX(0,IFERROR(SUMIF(INDIRECT("'["&amp;НАСТРОЙКИ!$D$8&amp;"]КРЕДИТЫ'!$S$3:$EO$3"),AI$22,INDIRECT("'["&amp;НАСТРОЙКИ!$D$8&amp;"]КРЕДИТЫ'!$S$52:$EO$52"))/1000000,0)))</f>
        <v>0</v>
      </c>
      <c r="AJ104" s="35">
        <f ca="1">IF(НАСТРОЙКИ!$B$8&lt;&gt;"Да",0,MAX(0,IFERROR(SUMIF(INDIRECT("'["&amp;НАСТРОЙКИ!$D$8&amp;"]КРЕДИТЫ'!$S$3:$EO$3"),AJ$22,INDIRECT("'["&amp;НАСТРОЙКИ!$D$8&amp;"]КРЕДИТЫ'!$S$52:$EO$52"))/1000000,0)))</f>
        <v>0</v>
      </c>
      <c r="AK104" s="35">
        <f ca="1">IF(НАСТРОЙКИ!$B$8&lt;&gt;"Да",0,MAX(0,IFERROR(SUMIF(INDIRECT("'["&amp;НАСТРОЙКИ!$D$8&amp;"]КРЕДИТЫ'!$S$3:$EO$3"),AK$22,INDIRECT("'["&amp;НАСТРОЙКИ!$D$8&amp;"]КРЕДИТЫ'!$S$52:$EO$52"))/1000000,0)))</f>
        <v>0</v>
      </c>
      <c r="AL104" s="35">
        <f ca="1">IF(НАСТРОЙКИ!$B$8&lt;&gt;"Да",0,MAX(0,IFERROR(SUMIF(INDIRECT("'["&amp;НАСТРОЙКИ!$D$8&amp;"]КРЕДИТЫ'!$S$3:$EO$3"),AL$22,INDIRECT("'["&amp;НАСТРОЙКИ!$D$8&amp;"]КРЕДИТЫ'!$S$52:$EO$52"))/1000000,0)))</f>
        <v>0</v>
      </c>
      <c r="AM104" s="35">
        <f ca="1">IF(НАСТРОЙКИ!$B$8&lt;&gt;"Да",0,MAX(0,IFERROR(SUMIF(INDIRECT("'["&amp;НАСТРОЙКИ!$D$8&amp;"]КРЕДИТЫ'!$S$3:$EO$3"),AM$22,INDIRECT("'["&amp;НАСТРОЙКИ!$D$8&amp;"]КРЕДИТЫ'!$S$52:$EO$52"))/1000000,0)))</f>
        <v>0</v>
      </c>
      <c r="AN104" s="35">
        <f ca="1">IF(НАСТРОЙКИ!$B$8&lt;&gt;"Да",0,MAX(0,IFERROR(SUMIF(INDIRECT("'["&amp;НАСТРОЙКИ!$D$8&amp;"]КРЕДИТЫ'!$S$3:$EO$3"),AN$22,INDIRECT("'["&amp;НАСТРОЙКИ!$D$8&amp;"]КРЕДИТЫ'!$S$52:$EO$52"))/1000000,0)))</f>
        <v>0</v>
      </c>
      <c r="AO104" s="35">
        <f ca="1">IF(НАСТРОЙКИ!$B$8&lt;&gt;"Да",0,MAX(0,IFERROR(SUMIF(INDIRECT("'["&amp;НАСТРОЙКИ!$D$8&amp;"]КРЕДИТЫ'!$S$3:$EO$3"),AO$22,INDIRECT("'["&amp;НАСТРОЙКИ!$D$8&amp;"]КРЕДИТЫ'!$S$52:$EO$52"))/1000000,0)))</f>
        <v>0</v>
      </c>
      <c r="AP104" s="35">
        <f ca="1">IF(НАСТРОЙКИ!$B$8&lt;&gt;"Да",0,MAX(0,IFERROR(SUMIF(INDIRECT("'["&amp;НАСТРОЙКИ!$D$8&amp;"]КРЕДИТЫ'!$S$3:$EO$3"),AP$22,INDIRECT("'["&amp;НАСТРОЙКИ!$D$8&amp;"]КРЕДИТЫ'!$S$52:$EO$52"))/1000000,0)))</f>
        <v>0</v>
      </c>
      <c r="AQ104" s="35">
        <f ca="1">IF(НАСТРОЙКИ!$B$8&lt;&gt;"Да",0,MAX(0,IFERROR(SUMIF(INDIRECT("'["&amp;НАСТРОЙКИ!$D$8&amp;"]КРЕДИТЫ'!$S$3:$EO$3"),AQ$22,INDIRECT("'["&amp;НАСТРОЙКИ!$D$8&amp;"]КРЕДИТЫ'!$S$52:$EO$52"))/1000000,0)))</f>
        <v>0</v>
      </c>
      <c r="AR104" s="35">
        <f ca="1">IF(НАСТРОЙКИ!$B$8&lt;&gt;"Да",0,MAX(0,IFERROR(SUMIF(INDIRECT("'["&amp;НАСТРОЙКИ!$D$8&amp;"]КРЕДИТЫ'!$S$3:$EO$3"),AR$22,INDIRECT("'["&amp;НАСТРОЙКИ!$D$8&amp;"]КРЕДИТЫ'!$S$52:$EO$52"))/1000000,0)))</f>
        <v>0</v>
      </c>
      <c r="AS104" s="35">
        <f ca="1">IF(НАСТРОЙКИ!$B$8&lt;&gt;"Да",0,MAX(0,IFERROR(SUMIF(INDIRECT("'["&amp;НАСТРОЙКИ!$D$8&amp;"]КРЕДИТЫ'!$S$3:$EO$3"),AS$22,INDIRECT("'["&amp;НАСТРОЙКИ!$D$8&amp;"]КРЕДИТЫ'!$S$52:$EO$52"))/1000000,0)))</f>
        <v>0</v>
      </c>
      <c r="AT104" s="35">
        <f ca="1">IF(НАСТРОЙКИ!$B$8&lt;&gt;"Да",0,MAX(0,IFERROR(SUMIF(INDIRECT("'["&amp;НАСТРОЙКИ!$D$8&amp;"]КРЕДИТЫ'!$S$3:$EO$3"),AT$22,INDIRECT("'["&amp;НАСТРОЙКИ!$D$8&amp;"]КРЕДИТЫ'!$S$52:$EO$52"))/1000000,0)))</f>
        <v>0</v>
      </c>
      <c r="AU104" s="35">
        <f ca="1">IF(НАСТРОЙКИ!$B$8&lt;&gt;"Да",0,MAX(0,IFERROR(SUMIF(INDIRECT("'["&amp;НАСТРОЙКИ!$D$8&amp;"]КРЕДИТЫ'!$S$3:$EO$3"),AU$22,INDIRECT("'["&amp;НАСТРОЙКИ!$D$8&amp;"]КРЕДИТЫ'!$S$52:$EO$52"))/1000000,0)))</f>
        <v>0</v>
      </c>
      <c r="AV104" s="35">
        <f ca="1">IF(НАСТРОЙКИ!$B$8&lt;&gt;"Да",0,MAX(0,IFERROR(SUMIF(INDIRECT("'["&amp;НАСТРОЙКИ!$D$8&amp;"]КРЕДИТЫ'!$S$3:$EO$3"),AV$22,INDIRECT("'["&amp;НАСТРОЙКИ!$D$8&amp;"]КРЕДИТЫ'!$S$52:$EO$52"))/1000000,0)))</f>
        <v>0</v>
      </c>
      <c r="AW104" s="35">
        <f ca="1">IF(НАСТРОЙКИ!$B$8&lt;&gt;"Да",0,MAX(0,IFERROR(SUMIF(INDIRECT("'["&amp;НАСТРОЙКИ!$D$8&amp;"]КРЕДИТЫ'!$S$3:$EO$3"),AW$22,INDIRECT("'["&amp;НАСТРОЙКИ!$D$8&amp;"]КРЕДИТЫ'!$S$52:$EO$52"))/1000000,0)))</f>
        <v>0</v>
      </c>
      <c r="AX104" s="35">
        <f ca="1">IF(НАСТРОЙКИ!$B$8&lt;&gt;"Да",0,MAX(0,IFERROR(SUMIF(INDIRECT("'["&amp;НАСТРОЙКИ!$D$8&amp;"]КРЕДИТЫ'!$S$3:$EO$3"),AX$22,INDIRECT("'["&amp;НАСТРОЙКИ!$D$8&amp;"]КРЕДИТЫ'!$S$52:$EO$52"))/1000000,0)))</f>
        <v>0</v>
      </c>
      <c r="AY104" s="35">
        <f ca="1">IF(НАСТРОЙКИ!$B$8&lt;&gt;"Да",0,MAX(0,IFERROR(SUMIF(INDIRECT("'["&amp;НАСТРОЙКИ!$D$8&amp;"]КРЕДИТЫ'!$S$3:$EO$3"),AY$22,INDIRECT("'["&amp;НАСТРОЙКИ!$D$8&amp;"]КРЕДИТЫ'!$S$52:$EO$52"))/1000000,0)))</f>
        <v>0</v>
      </c>
      <c r="AZ104" s="35">
        <f ca="1">IF(НАСТРОЙКИ!$B$8&lt;&gt;"Да",0,MAX(0,IFERROR(SUMIF(INDIRECT("'["&amp;НАСТРОЙКИ!$D$8&amp;"]КРЕДИТЫ'!$S$3:$EO$3"),AZ$22,INDIRECT("'["&amp;НАСТРОЙКИ!$D$8&amp;"]КРЕДИТЫ'!$S$52:$EO$52"))/1000000,0)))</f>
        <v>0</v>
      </c>
      <c r="BA104" s="35">
        <f ca="1">IF(НАСТРОЙКИ!$B$8&lt;&gt;"Да",0,MAX(0,IFERROR(SUMIF(INDIRECT("'["&amp;НАСТРОЙКИ!$D$8&amp;"]КРЕДИТЫ'!$S$3:$EO$3"),BA$22,INDIRECT("'["&amp;НАСТРОЙКИ!$D$8&amp;"]КРЕДИТЫ'!$S$52:$EO$52"))/1000000,0)))</f>
        <v>0</v>
      </c>
      <c r="BB104" s="35">
        <f ca="1">IF(НАСТРОЙКИ!$B$8&lt;&gt;"Да",0,MAX(0,IFERROR(SUMIF(INDIRECT("'["&amp;НАСТРОЙКИ!$D$8&amp;"]КРЕДИТЫ'!$S$3:$EO$3"),BB$22,INDIRECT("'["&amp;НАСТРОЙКИ!$D$8&amp;"]КРЕДИТЫ'!$S$52:$EO$52"))/1000000,0)))</f>
        <v>0</v>
      </c>
      <c r="BC104" s="35">
        <f ca="1">IF(НАСТРОЙКИ!$B$8&lt;&gt;"Да",0,MAX(0,IFERROR(SUMIF(INDIRECT("'["&amp;НАСТРОЙКИ!$D$8&amp;"]КРЕДИТЫ'!$S$3:$EO$3"),BC$22,INDIRECT("'["&amp;НАСТРОЙКИ!$D$8&amp;"]КРЕДИТЫ'!$S$52:$EO$52"))/1000000,0)))</f>
        <v>0</v>
      </c>
      <c r="BD104" s="35">
        <f ca="1">IF(НАСТРОЙКИ!$B$8&lt;&gt;"Да",0,MAX(0,IFERROR(SUMIF(INDIRECT("'["&amp;НАСТРОЙКИ!$D$8&amp;"]КРЕДИТЫ'!$S$3:$EO$3"),BD$22,INDIRECT("'["&amp;НАСТРОЙКИ!$D$8&amp;"]КРЕДИТЫ'!$S$52:$EO$52"))/1000000,0)))</f>
        <v>0</v>
      </c>
      <c r="BE104" s="35">
        <f ca="1">IF(НАСТРОЙКИ!$B$8&lt;&gt;"Да",0,MAX(0,IFERROR(SUMIF(INDIRECT("'["&amp;НАСТРОЙКИ!$D$8&amp;"]КРЕДИТЫ'!$S$3:$EO$3"),BE$22,INDIRECT("'["&amp;НАСТРОЙКИ!$D$8&amp;"]КРЕДИТЫ'!$S$52:$EO$52"))/1000000,0)))</f>
        <v>0</v>
      </c>
      <c r="BF104" s="35">
        <f ca="1">IF(НАСТРОЙКИ!$B$8&lt;&gt;"Да",0,MAX(0,IFERROR(SUMIF(INDIRECT("'["&amp;НАСТРОЙКИ!$D$8&amp;"]КРЕДИТЫ'!$S$3:$EO$3"),BF$22,INDIRECT("'["&amp;НАСТРОЙКИ!$D$8&amp;"]КРЕДИТЫ'!$S$52:$EO$52"))/1000000,0)))</f>
        <v>0</v>
      </c>
      <c r="BG104" s="35">
        <f ca="1">IF(НАСТРОЙКИ!$B$8&lt;&gt;"Да",0,MAX(0,IFERROR(SUMIF(INDIRECT("'["&amp;НАСТРОЙКИ!$D$8&amp;"]КРЕДИТЫ'!$S$3:$EO$3"),BG$22,INDIRECT("'["&amp;НАСТРОЙКИ!$D$8&amp;"]КРЕДИТЫ'!$S$52:$EO$52"))/1000000,0)))</f>
        <v>0</v>
      </c>
      <c r="BH104" s="35">
        <f ca="1">IF(НАСТРОЙКИ!$B$8&lt;&gt;"Да",0,MAX(0,IFERROR(SUMIF(INDIRECT("'["&amp;НАСТРОЙКИ!$D$8&amp;"]КРЕДИТЫ'!$S$3:$EO$3"),BH$22,INDIRECT("'["&amp;НАСТРОЙКИ!$D$8&amp;"]КРЕДИТЫ'!$S$52:$EO$52"))/1000000,0)))</f>
        <v>0</v>
      </c>
      <c r="BI104" s="35">
        <f ca="1">IF(НАСТРОЙКИ!$B$8&lt;&gt;"Да",0,MAX(0,IFERROR(SUMIF(INDIRECT("'["&amp;НАСТРОЙКИ!$D$8&amp;"]КРЕДИТЫ'!$S$3:$EO$3"),BI$22,INDIRECT("'["&amp;НАСТРОЙКИ!$D$8&amp;"]КРЕДИТЫ'!$S$52:$EO$52"))/1000000,0)))</f>
        <v>0</v>
      </c>
      <c r="BJ104" s="35">
        <f ca="1">IF(НАСТРОЙКИ!$B$8&lt;&gt;"Да",0,MAX(0,IFERROR(SUMIF(INDIRECT("'["&amp;НАСТРОЙКИ!$D$8&amp;"]КРЕДИТЫ'!$S$3:$EO$3"),BJ$22,INDIRECT("'["&amp;НАСТРОЙКИ!$D$8&amp;"]КРЕДИТЫ'!$S$52:$EO$52"))/1000000,0)))</f>
        <v>0</v>
      </c>
      <c r="BK104" s="35">
        <f ca="1">IF(НАСТРОЙКИ!$B$8&lt;&gt;"Да",0,MAX(0,IFERROR(SUMIF(INDIRECT("'["&amp;НАСТРОЙКИ!$D$8&amp;"]КРЕДИТЫ'!$S$3:$EO$3"),BK$22,INDIRECT("'["&amp;НАСТРОЙКИ!$D$8&amp;"]КРЕДИТЫ'!$S$52:$EO$52"))/1000000,0)))</f>
        <v>0</v>
      </c>
      <c r="BL104" s="35">
        <f ca="1">IF(НАСТРОЙКИ!$B$8&lt;&gt;"Да",0,MAX(0,IFERROR(SUMIF(INDIRECT("'["&amp;НАСТРОЙКИ!$D$8&amp;"]КРЕДИТЫ'!$S$3:$EO$3"),BL$22,INDIRECT("'["&amp;НАСТРОЙКИ!$D$8&amp;"]КРЕДИТЫ'!$S$52:$EO$52"))/1000000,0)))</f>
        <v>0</v>
      </c>
      <c r="BM104" s="35">
        <f ca="1">IF(НАСТРОЙКИ!$B$8&lt;&gt;"Да",0,MAX(0,IFERROR(SUMIF(INDIRECT("'["&amp;НАСТРОЙКИ!$D$8&amp;"]КРЕДИТЫ'!$S$3:$EO$3"),BM$22,INDIRECT("'["&amp;НАСТРОЙКИ!$D$8&amp;"]КРЕДИТЫ'!$S$52:$EO$52"))/1000000,0)))</f>
        <v>0</v>
      </c>
      <c r="BN104" s="35">
        <f ca="1">IF(НАСТРОЙКИ!$B$8&lt;&gt;"Да",0,MAX(0,IFERROR(SUMIF(INDIRECT("'["&amp;НАСТРОЙКИ!$D$8&amp;"]КРЕДИТЫ'!$S$3:$EO$3"),BN$22,INDIRECT("'["&amp;НАСТРОЙКИ!$D$8&amp;"]КРЕДИТЫ'!$S$52:$EO$52"))/1000000,0)))</f>
        <v>0</v>
      </c>
      <c r="BO104" s="35">
        <f ca="1">IF(НАСТРОЙКИ!$B$8&lt;&gt;"Да",0,MAX(0,IFERROR(SUMIF(INDIRECT("'["&amp;НАСТРОЙКИ!$D$8&amp;"]КРЕДИТЫ'!$S$3:$EO$3"),BO$22,INDIRECT("'["&amp;НАСТРОЙКИ!$D$8&amp;"]КРЕДИТЫ'!$S$52:$EO$52"))/1000000,0)))</f>
        <v>0</v>
      </c>
      <c r="BP104" s="35">
        <f ca="1">IF(НАСТРОЙКИ!$B$8&lt;&gt;"Да",0,MAX(0,IFERROR(SUMIF(INDIRECT("'["&amp;НАСТРОЙКИ!$D$8&amp;"]КРЕДИТЫ'!$S$3:$EO$3"),BP$22,INDIRECT("'["&amp;НАСТРОЙКИ!$D$8&amp;"]КРЕДИТЫ'!$S$52:$EO$52"))/1000000,0)))</f>
        <v>0</v>
      </c>
      <c r="BQ104" s="35">
        <f ca="1">IF(НАСТРОЙКИ!$B$8&lt;&gt;"Да",0,MAX(0,IFERROR(SUMIF(INDIRECT("'["&amp;НАСТРОЙКИ!$D$8&amp;"]КРЕДИТЫ'!$S$3:$EO$3"),BQ$22,INDIRECT("'["&amp;НАСТРОЙКИ!$D$8&amp;"]КРЕДИТЫ'!$S$52:$EO$52"))/1000000,0)))</f>
        <v>0</v>
      </c>
      <c r="BR104" s="35">
        <f ca="1">IF(НАСТРОЙКИ!$B$8&lt;&gt;"Да",0,MAX(0,IFERROR(SUMIF(INDIRECT("'["&amp;НАСТРОЙКИ!$D$8&amp;"]КРЕДИТЫ'!$S$3:$EO$3"),BR$22,INDIRECT("'["&amp;НАСТРОЙКИ!$D$8&amp;"]КРЕДИТЫ'!$S$52:$EO$52"))/1000000,0)))</f>
        <v>0</v>
      </c>
      <c r="BS104" s="35">
        <f ca="1">IF(НАСТРОЙКИ!$B$8&lt;&gt;"Да",0,MAX(0,IFERROR(SUMIF(INDIRECT("'["&amp;НАСТРОЙКИ!$D$8&amp;"]КРЕДИТЫ'!$S$3:$EO$3"),BS$22,INDIRECT("'["&amp;НАСТРОЙКИ!$D$8&amp;"]КРЕДИТЫ'!$S$52:$EO$52"))/1000000,0)))</f>
        <v>0</v>
      </c>
      <c r="BT104" s="35">
        <f ca="1">IF(НАСТРОЙКИ!$B$8&lt;&gt;"Да",0,MAX(0,IFERROR(SUMIF(INDIRECT("'["&amp;НАСТРОЙКИ!$D$8&amp;"]КРЕДИТЫ'!$S$3:$EO$3"),BT$22,INDIRECT("'["&amp;НАСТРОЙКИ!$D$8&amp;"]КРЕДИТЫ'!$S$52:$EO$52"))/1000000,0)))</f>
        <v>0</v>
      </c>
      <c r="BU104" s="35">
        <f ca="1">IF(НАСТРОЙКИ!$B$8&lt;&gt;"Да",0,MAX(0,IFERROR(SUMIF(INDIRECT("'["&amp;НАСТРОЙКИ!$D$8&amp;"]КРЕДИТЫ'!$S$3:$EO$3"),BU$22,INDIRECT("'["&amp;НАСТРОЙКИ!$D$8&amp;"]КРЕДИТЫ'!$S$52:$EO$52"))/1000000,0)))</f>
        <v>0</v>
      </c>
      <c r="BV104" s="35">
        <f ca="1">IF(НАСТРОЙКИ!$B$8&lt;&gt;"Да",0,MAX(0,IFERROR(SUMIF(INDIRECT("'["&amp;НАСТРОЙКИ!$D$8&amp;"]КРЕДИТЫ'!$S$3:$EO$3"),BV$22,INDIRECT("'["&amp;НАСТРОЙКИ!$D$8&amp;"]КРЕДИТЫ'!$S$52:$EO$52"))/1000000,0)))</f>
        <v>0</v>
      </c>
      <c r="BW104" s="35">
        <f ca="1">IF(НАСТРОЙКИ!$B$8&lt;&gt;"Да",0,MAX(0,IFERROR(SUMIF(INDIRECT("'["&amp;НАСТРОЙКИ!$D$8&amp;"]КРЕДИТЫ'!$S$3:$EO$3"),BW$22,INDIRECT("'["&amp;НАСТРОЙКИ!$D$8&amp;"]КРЕДИТЫ'!$S$52:$EO$52"))/1000000,0)))</f>
        <v>0</v>
      </c>
      <c r="BX104" s="35">
        <f ca="1">IF(НАСТРОЙКИ!$B$8&lt;&gt;"Да",0,MAX(0,IFERROR(SUMIF(INDIRECT("'["&amp;НАСТРОЙКИ!$D$8&amp;"]КРЕДИТЫ'!$S$3:$EO$3"),BX$22,INDIRECT("'["&amp;НАСТРОЙКИ!$D$8&amp;"]КРЕДИТЫ'!$S$52:$EO$52"))/1000000,0)))</f>
        <v>0</v>
      </c>
      <c r="BY104" s="35">
        <f ca="1">IF(НАСТРОЙКИ!$B$8&lt;&gt;"Да",0,MAX(0,IFERROR(SUMIF(INDIRECT("'["&amp;НАСТРОЙКИ!$D$8&amp;"]КРЕДИТЫ'!$S$3:$EO$3"),BY$22,INDIRECT("'["&amp;НАСТРОЙКИ!$D$8&amp;"]КРЕДИТЫ'!$S$52:$EO$52"))/1000000,0)))</f>
        <v>0</v>
      </c>
      <c r="BZ104" s="35">
        <f ca="1">IF(НАСТРОЙКИ!$B$8&lt;&gt;"Да",0,MAX(0,IFERROR(SUMIF(INDIRECT("'["&amp;НАСТРОЙКИ!$D$8&amp;"]КРЕДИТЫ'!$S$3:$EO$3"),BZ$22,INDIRECT("'["&amp;НАСТРОЙКИ!$D$8&amp;"]КРЕДИТЫ'!$S$52:$EO$52"))/1000000,0)))</f>
        <v>0</v>
      </c>
      <c r="CA104" s="35">
        <f ca="1">IF(НАСТРОЙКИ!$B$8&lt;&gt;"Да",0,MAX(0,IFERROR(SUMIF(INDIRECT("'["&amp;НАСТРОЙКИ!$D$8&amp;"]КРЕДИТЫ'!$S$3:$EO$3"),CA$22,INDIRECT("'["&amp;НАСТРОЙКИ!$D$8&amp;"]КРЕДИТЫ'!$S$52:$EO$52"))/1000000,0)))</f>
        <v>0</v>
      </c>
      <c r="CB104" s="35">
        <f ca="1">IF(НАСТРОЙКИ!$B$8&lt;&gt;"Да",0,MAX(0,IFERROR(SUMIF(INDIRECT("'["&amp;НАСТРОЙКИ!$D$8&amp;"]КРЕДИТЫ'!$S$3:$EO$3"),CB$22,INDIRECT("'["&amp;НАСТРОЙКИ!$D$8&amp;"]КРЕДИТЫ'!$S$52:$EO$52"))/1000000,0)))</f>
        <v>0</v>
      </c>
      <c r="CC104" s="35">
        <f ca="1">IF(НАСТРОЙКИ!$B$8&lt;&gt;"Да",0,MAX(0,IFERROR(SUMIF(INDIRECT("'["&amp;НАСТРОЙКИ!$D$8&amp;"]КРЕДИТЫ'!$S$3:$EO$3"),CC$22,INDIRECT("'["&amp;НАСТРОЙКИ!$D$8&amp;"]КРЕДИТЫ'!$S$52:$EO$52"))/1000000,0)))</f>
        <v>0</v>
      </c>
      <c r="CD104" s="35">
        <f ca="1">IF(НАСТРОЙКИ!$B$8&lt;&gt;"Да",0,MAX(0,IFERROR(SUMIF(INDIRECT("'["&amp;НАСТРОЙКИ!$D$8&amp;"]КРЕДИТЫ'!$S$3:$EO$3"),CD$22,INDIRECT("'["&amp;НАСТРОЙКИ!$D$8&amp;"]КРЕДИТЫ'!$S$52:$EO$52"))/1000000,0)))</f>
        <v>0</v>
      </c>
      <c r="CE104" s="35">
        <f ca="1">IF(НАСТРОЙКИ!$B$8&lt;&gt;"Да",0,MAX(0,IFERROR(SUMIF(INDIRECT("'["&amp;НАСТРОЙКИ!$D$8&amp;"]КРЕДИТЫ'!$S$3:$EO$3"),CE$22,INDIRECT("'["&amp;НАСТРОЙКИ!$D$8&amp;"]КРЕДИТЫ'!$S$52:$EO$52"))/1000000,0)))</f>
        <v>0</v>
      </c>
      <c r="CF104" s="35">
        <f ca="1">IF(НАСТРОЙКИ!$B$8&lt;&gt;"Да",0,MAX(0,IFERROR(SUMIF(INDIRECT("'["&amp;НАСТРОЙКИ!$D$8&amp;"]КРЕДИТЫ'!$S$3:$EO$3"),CF$22,INDIRECT("'["&amp;НАСТРОЙКИ!$D$8&amp;"]КРЕДИТЫ'!$S$52:$EO$52"))/1000000,0)))</f>
        <v>0</v>
      </c>
      <c r="CG104" s="35">
        <f ca="1">IF(НАСТРОЙКИ!$B$8&lt;&gt;"Да",0,MAX(0,IFERROR(SUMIF(INDIRECT("'["&amp;НАСТРОЙКИ!$D$8&amp;"]КРЕДИТЫ'!$S$3:$EO$3"),CG$22,INDIRECT("'["&amp;НАСТРОЙКИ!$D$8&amp;"]КРЕДИТЫ'!$S$52:$EO$52"))/1000000,0)))</f>
        <v>0</v>
      </c>
      <c r="CH104" s="35">
        <f ca="1">IF(НАСТРОЙКИ!$B$8&lt;&gt;"Да",0,MAX(0,IFERROR(SUMIF(INDIRECT("'["&amp;НАСТРОЙКИ!$D$8&amp;"]КРЕДИТЫ'!$S$3:$EO$3"),CH$22,INDIRECT("'["&amp;НАСТРОЙКИ!$D$8&amp;"]КРЕДИТЫ'!$S$52:$EO$52"))/1000000,0)))</f>
        <v>0</v>
      </c>
      <c r="CI104" s="35">
        <f ca="1">IF(НАСТРОЙКИ!$B$8&lt;&gt;"Да",0,MAX(0,IFERROR(SUMIF(INDIRECT("'["&amp;НАСТРОЙКИ!$D$8&amp;"]КРЕДИТЫ'!$S$3:$EO$3"),CI$22,INDIRECT("'["&amp;НАСТРОЙКИ!$D$8&amp;"]КРЕДИТЫ'!$S$52:$EO$52"))/1000000,0)))</f>
        <v>0</v>
      </c>
      <c r="CJ104" s="35">
        <f ca="1">IF(НАСТРОЙКИ!$B$8&lt;&gt;"Да",0,MAX(0,IFERROR(SUMIF(INDIRECT("'["&amp;НАСТРОЙКИ!$D$8&amp;"]КРЕДИТЫ'!$S$3:$EO$3"),CJ$22,INDIRECT("'["&amp;НАСТРОЙКИ!$D$8&amp;"]КРЕДИТЫ'!$S$52:$EO$52"))/1000000,0)))</f>
        <v>0</v>
      </c>
      <c r="CK104" s="35">
        <f ca="1">IF(НАСТРОЙКИ!$B$8&lt;&gt;"Да",0,MAX(0,IFERROR(SUMIF(INDIRECT("'["&amp;НАСТРОЙКИ!$D$8&amp;"]КРЕДИТЫ'!$S$3:$EO$3"),CK$22,INDIRECT("'["&amp;НАСТРОЙКИ!$D$8&amp;"]КРЕДИТЫ'!$S$52:$EO$52"))/1000000,0)))</f>
        <v>0</v>
      </c>
      <c r="CL104" s="35">
        <f ca="1">IF(НАСТРОЙКИ!$B$8&lt;&gt;"Да",0,MAX(0,IFERROR(SUMIF(INDIRECT("'["&amp;НАСТРОЙКИ!$D$8&amp;"]КРЕДИТЫ'!$S$3:$EO$3"),CL$22,INDIRECT("'["&amp;НАСТРОЙКИ!$D$8&amp;"]КРЕДИТЫ'!$S$52:$EO$52"))/1000000,0)))</f>
        <v>0</v>
      </c>
      <c r="CM104" s="35">
        <f ca="1">IF(НАСТРОЙКИ!$B$8&lt;&gt;"Да",0,MAX(0,IFERROR(SUMIF(INDIRECT("'["&amp;НАСТРОЙКИ!$D$8&amp;"]КРЕДИТЫ'!$S$3:$EO$3"),CM$22,INDIRECT("'["&amp;НАСТРОЙКИ!$D$8&amp;"]КРЕДИТЫ'!$S$52:$EO$52"))/1000000,0)))</f>
        <v>0</v>
      </c>
      <c r="CN104" s="35">
        <f ca="1">IF(НАСТРОЙКИ!$B$8&lt;&gt;"Да",0,MAX(0,IFERROR(SUMIF(INDIRECT("'["&amp;НАСТРОЙКИ!$D$8&amp;"]КРЕДИТЫ'!$S$3:$EO$3"),CN$22,INDIRECT("'["&amp;НАСТРОЙКИ!$D$8&amp;"]КРЕДИТЫ'!$S$52:$EO$52"))/1000000,0)))</f>
        <v>0</v>
      </c>
      <c r="CO104" s="35">
        <f ca="1">IF(НАСТРОЙКИ!$B$8&lt;&gt;"Да",0,MAX(0,IFERROR(SUMIF(INDIRECT("'["&amp;НАСТРОЙКИ!$D$8&amp;"]КРЕДИТЫ'!$S$3:$EO$3"),CO$22,INDIRECT("'["&amp;НАСТРОЙКИ!$D$8&amp;"]КРЕДИТЫ'!$S$52:$EO$52"))/1000000,0)))</f>
        <v>0</v>
      </c>
      <c r="CP104" s="35">
        <f ca="1">IF(НАСТРОЙКИ!$B$8&lt;&gt;"Да",0,MAX(0,IFERROR(SUMIF(INDIRECT("'["&amp;НАСТРОЙКИ!$D$8&amp;"]КРЕДИТЫ'!$S$3:$EO$3"),CP$22,INDIRECT("'["&amp;НАСТРОЙКИ!$D$8&amp;"]КРЕДИТЫ'!$S$52:$EO$52"))/1000000,0)))</f>
        <v>0</v>
      </c>
      <c r="CQ104" s="35">
        <f ca="1">IF(НАСТРОЙКИ!$B$8&lt;&gt;"Да",0,MAX(0,IFERROR(SUMIF(INDIRECT("'["&amp;НАСТРОЙКИ!$D$8&amp;"]КРЕДИТЫ'!$S$3:$EO$3"),CQ$22,INDIRECT("'["&amp;НАСТРОЙКИ!$D$8&amp;"]КРЕДИТЫ'!$S$52:$EO$52"))/1000000,0)))</f>
        <v>0</v>
      </c>
      <c r="CR104" s="35">
        <f ca="1">IF(НАСТРОЙКИ!$B$8&lt;&gt;"Да",0,MAX(0,IFERROR(SUMIF(INDIRECT("'["&amp;НАСТРОЙКИ!$D$8&amp;"]КРЕДИТЫ'!$S$3:$EO$3"),CR$22,INDIRECT("'["&amp;НАСТРОЙКИ!$D$8&amp;"]КРЕДИТЫ'!$S$52:$EO$52"))/1000000,0)))</f>
        <v>0</v>
      </c>
      <c r="CS104" s="35">
        <f ca="1">IF(НАСТРОЙКИ!$B$8&lt;&gt;"Да",0,MAX(0,IFERROR(SUMIF(INDIRECT("'["&amp;НАСТРОЙКИ!$D$8&amp;"]КРЕДИТЫ'!$S$3:$EO$3"),CS$22,INDIRECT("'["&amp;НАСТРОЙКИ!$D$8&amp;"]КРЕДИТЫ'!$S$52:$EO$52"))/1000000,0)))</f>
        <v>0</v>
      </c>
      <c r="CT104" s="35">
        <f ca="1">IF(НАСТРОЙКИ!$B$8&lt;&gt;"Да",0,MAX(0,IFERROR(SUMIF(INDIRECT("'["&amp;НАСТРОЙКИ!$D$8&amp;"]КРЕДИТЫ'!$S$3:$EO$3"),CT$22,INDIRECT("'["&amp;НАСТРОЙКИ!$D$8&amp;"]КРЕДИТЫ'!$S$52:$EO$52"))/1000000,0)))</f>
        <v>0</v>
      </c>
      <c r="CU104" s="35">
        <f ca="1">IF(НАСТРОЙКИ!$B$8&lt;&gt;"Да",0,MAX(0,IFERROR(SUMIF(INDIRECT("'["&amp;НАСТРОЙКИ!$D$8&amp;"]КРЕДИТЫ'!$S$3:$EO$3"),CU$22,INDIRECT("'["&amp;НАСТРОЙКИ!$D$8&amp;"]КРЕДИТЫ'!$S$52:$EO$52"))/1000000,0)))</f>
        <v>0</v>
      </c>
      <c r="CV104" s="35">
        <f ca="1">IF(НАСТРОЙКИ!$B$8&lt;&gt;"Да",0,MAX(0,IFERROR(SUMIF(INDIRECT("'["&amp;НАСТРОЙКИ!$D$8&amp;"]КРЕДИТЫ'!$S$3:$EO$3"),CV$22,INDIRECT("'["&amp;НАСТРОЙКИ!$D$8&amp;"]КРЕДИТЫ'!$S$52:$EO$52"))/1000000,0)))</f>
        <v>0</v>
      </c>
      <c r="CW104" s="35">
        <f ca="1">IF(НАСТРОЙКИ!$B$8&lt;&gt;"Да",0,MAX(0,IFERROR(SUMIF(INDIRECT("'["&amp;НАСТРОЙКИ!$D$8&amp;"]КРЕДИТЫ'!$S$3:$EO$3"),CW$22,INDIRECT("'["&amp;НАСТРОЙКИ!$D$8&amp;"]КРЕДИТЫ'!$S$52:$EO$52"))/1000000,0)))</f>
        <v>0</v>
      </c>
      <c r="CX104" s="35">
        <f ca="1">IF(НАСТРОЙКИ!$B$8&lt;&gt;"Да",0,MAX(0,IFERROR(SUMIF(INDIRECT("'["&amp;НАСТРОЙКИ!$D$8&amp;"]КРЕДИТЫ'!$S$3:$EO$3"),CX$22,INDIRECT("'["&amp;НАСТРОЙКИ!$D$8&amp;"]КРЕДИТЫ'!$S$52:$EO$52"))/1000000,0)))</f>
        <v>0</v>
      </c>
      <c r="CY104" s="35">
        <f ca="1">IF(НАСТРОЙКИ!$B$8&lt;&gt;"Да",0,MAX(0,IFERROR(SUMIF(INDIRECT("'["&amp;НАСТРОЙКИ!$D$8&amp;"]КРЕДИТЫ'!$S$3:$EO$3"),CY$22,INDIRECT("'["&amp;НАСТРОЙКИ!$D$8&amp;"]КРЕДИТЫ'!$S$52:$EO$52"))/1000000,0)))</f>
        <v>0</v>
      </c>
      <c r="CZ104" s="35">
        <f ca="1">IF(НАСТРОЙКИ!$B$8&lt;&gt;"Да",0,MAX(0,IFERROR(SUMIF(INDIRECT("'["&amp;НАСТРОЙКИ!$D$8&amp;"]КРЕДИТЫ'!$S$3:$EO$3"),CZ$22,INDIRECT("'["&amp;НАСТРОЙКИ!$D$8&amp;"]КРЕДИТЫ'!$S$52:$EO$52"))/1000000,0)))</f>
        <v>0</v>
      </c>
      <c r="DA104" s="35">
        <f ca="1">IF(НАСТРОЙКИ!$B$8&lt;&gt;"Да",0,MAX(0,IFERROR(SUMIF(INDIRECT("'["&amp;НАСТРОЙКИ!$D$8&amp;"]КРЕДИТЫ'!$S$3:$EO$3"),DA$22,INDIRECT("'["&amp;НАСТРОЙКИ!$D$8&amp;"]КРЕДИТЫ'!$S$52:$EO$52"))/1000000,0)))</f>
        <v>0</v>
      </c>
      <c r="DB104" s="35">
        <f ca="1">IF(НАСТРОЙКИ!$B$8&lt;&gt;"Да",0,MAX(0,IFERROR(SUMIF(INDIRECT("'["&amp;НАСТРОЙКИ!$D$8&amp;"]КРЕДИТЫ'!$S$3:$EO$3"),DB$22,INDIRECT("'["&amp;НАСТРОЙКИ!$D$8&amp;"]КРЕДИТЫ'!$S$52:$EO$52"))/1000000,0)))</f>
        <v>0</v>
      </c>
      <c r="DC104" s="35">
        <f ca="1">IF(НАСТРОЙКИ!$B$8&lt;&gt;"Да",0,MAX(0,IFERROR(SUMIF(INDIRECT("'["&amp;НАСТРОЙКИ!$D$8&amp;"]КРЕДИТЫ'!$S$3:$EO$3"),DC$22,INDIRECT("'["&amp;НАСТРОЙКИ!$D$8&amp;"]КРЕДИТЫ'!$S$52:$EO$52"))/1000000,0)))</f>
        <v>0</v>
      </c>
      <c r="DD104" s="35">
        <f ca="1">IF(НАСТРОЙКИ!$B$8&lt;&gt;"Да",0,MAX(0,IFERROR(SUMIF(INDIRECT("'["&amp;НАСТРОЙКИ!$D$8&amp;"]КРЕДИТЫ'!$S$3:$EO$3"),DD$22,INDIRECT("'["&amp;НАСТРОЙКИ!$D$8&amp;"]КРЕДИТЫ'!$S$52:$EO$52"))/1000000,0)))</f>
        <v>0</v>
      </c>
      <c r="DE104" s="35">
        <f ca="1">IF(НАСТРОЙКИ!$B$8&lt;&gt;"Да",0,MAX(0,IFERROR(SUMIF(INDIRECT("'["&amp;НАСТРОЙКИ!$D$8&amp;"]КРЕДИТЫ'!$S$3:$EO$3"),DE$22,INDIRECT("'["&amp;НАСТРОЙКИ!$D$8&amp;"]КРЕДИТЫ'!$S$52:$EO$52"))/1000000,0)))</f>
        <v>0</v>
      </c>
      <c r="DF104" s="35">
        <f ca="1">IF(НАСТРОЙКИ!$B$8&lt;&gt;"Да",0,MAX(0,IFERROR(SUMIF(INDIRECT("'["&amp;НАСТРОЙКИ!$D$8&amp;"]КРЕДИТЫ'!$S$3:$EO$3"),DF$22,INDIRECT("'["&amp;НАСТРОЙКИ!$D$8&amp;"]КРЕДИТЫ'!$S$52:$EO$52"))/1000000,0)))</f>
        <v>0</v>
      </c>
    </row>
    <row r="105" spans="1:110">
      <c r="A105" s="34" t="s">
        <v>136</v>
      </c>
      <c r="B105" s="34" t="s">
        <v>58</v>
      </c>
      <c r="C105" s="36">
        <f t="shared" ref="C105:AH105" ca="1" si="108">C103+C104</f>
        <v>0</v>
      </c>
      <c r="D105" s="36">
        <f t="shared" ca="1" si="108"/>
        <v>0</v>
      </c>
      <c r="E105" s="36">
        <f t="shared" ca="1" si="108"/>
        <v>0</v>
      </c>
      <c r="F105" s="36">
        <f t="shared" ca="1" si="108"/>
        <v>0</v>
      </c>
      <c r="G105" s="36">
        <f t="shared" ca="1" si="108"/>
        <v>0</v>
      </c>
      <c r="H105" s="36">
        <f t="shared" ca="1" si="108"/>
        <v>0</v>
      </c>
      <c r="I105" s="36">
        <f t="shared" ca="1" si="108"/>
        <v>0</v>
      </c>
      <c r="J105" s="36">
        <f t="shared" ca="1" si="108"/>
        <v>0</v>
      </c>
      <c r="K105" s="36">
        <f t="shared" ca="1" si="108"/>
        <v>0</v>
      </c>
      <c r="L105" s="36">
        <f t="shared" ca="1" si="108"/>
        <v>0</v>
      </c>
      <c r="M105" s="36">
        <f t="shared" ca="1" si="108"/>
        <v>0</v>
      </c>
      <c r="N105" s="36">
        <f t="shared" ca="1" si="108"/>
        <v>0</v>
      </c>
      <c r="O105" s="36">
        <f t="shared" ca="1" si="108"/>
        <v>0</v>
      </c>
      <c r="P105" s="36">
        <f t="shared" ca="1" si="108"/>
        <v>0</v>
      </c>
      <c r="Q105" s="36">
        <f t="shared" ca="1" si="108"/>
        <v>0</v>
      </c>
      <c r="R105" s="36">
        <f t="shared" ca="1" si="108"/>
        <v>0</v>
      </c>
      <c r="S105" s="36">
        <f t="shared" ca="1" si="108"/>
        <v>0</v>
      </c>
      <c r="T105" s="36">
        <f t="shared" ca="1" si="108"/>
        <v>0</v>
      </c>
      <c r="U105" s="36">
        <f t="shared" ca="1" si="108"/>
        <v>0</v>
      </c>
      <c r="V105" s="36">
        <f t="shared" ca="1" si="108"/>
        <v>0</v>
      </c>
      <c r="W105" s="36">
        <f t="shared" ca="1" si="108"/>
        <v>0</v>
      </c>
      <c r="X105" s="36">
        <f t="shared" ca="1" si="108"/>
        <v>0</v>
      </c>
      <c r="Y105" s="36">
        <f t="shared" ca="1" si="108"/>
        <v>0</v>
      </c>
      <c r="Z105" s="36">
        <f t="shared" ca="1" si="108"/>
        <v>0</v>
      </c>
      <c r="AA105" s="36">
        <f t="shared" ca="1" si="108"/>
        <v>0</v>
      </c>
      <c r="AB105" s="36">
        <f t="shared" ca="1" si="108"/>
        <v>0</v>
      </c>
      <c r="AC105" s="36">
        <f t="shared" ca="1" si="108"/>
        <v>0</v>
      </c>
      <c r="AD105" s="36">
        <f t="shared" ca="1" si="108"/>
        <v>0</v>
      </c>
      <c r="AE105" s="36">
        <f t="shared" ca="1" si="108"/>
        <v>0</v>
      </c>
      <c r="AF105" s="36">
        <f t="shared" ca="1" si="108"/>
        <v>0</v>
      </c>
      <c r="AG105" s="36">
        <f t="shared" ca="1" si="108"/>
        <v>0</v>
      </c>
      <c r="AH105" s="36">
        <f t="shared" ca="1" si="108"/>
        <v>0</v>
      </c>
      <c r="AI105" s="36">
        <f t="shared" ref="AI105:BN105" ca="1" si="109">AI103+AI104</f>
        <v>0</v>
      </c>
      <c r="AJ105" s="36">
        <f t="shared" ca="1" si="109"/>
        <v>0</v>
      </c>
      <c r="AK105" s="36">
        <f t="shared" ca="1" si="109"/>
        <v>0</v>
      </c>
      <c r="AL105" s="36">
        <f t="shared" ca="1" si="109"/>
        <v>0</v>
      </c>
      <c r="AM105" s="36">
        <f t="shared" ca="1" si="109"/>
        <v>0</v>
      </c>
      <c r="AN105" s="36">
        <f t="shared" ca="1" si="109"/>
        <v>0</v>
      </c>
      <c r="AO105" s="36">
        <f t="shared" ca="1" si="109"/>
        <v>0</v>
      </c>
      <c r="AP105" s="36">
        <f t="shared" ca="1" si="109"/>
        <v>0</v>
      </c>
      <c r="AQ105" s="36">
        <f t="shared" ca="1" si="109"/>
        <v>0</v>
      </c>
      <c r="AR105" s="36">
        <f t="shared" ca="1" si="109"/>
        <v>0</v>
      </c>
      <c r="AS105" s="36">
        <f t="shared" ca="1" si="109"/>
        <v>0</v>
      </c>
      <c r="AT105" s="36">
        <f t="shared" ca="1" si="109"/>
        <v>0</v>
      </c>
      <c r="AU105" s="36">
        <f t="shared" ca="1" si="109"/>
        <v>0</v>
      </c>
      <c r="AV105" s="36">
        <f t="shared" ca="1" si="109"/>
        <v>0</v>
      </c>
      <c r="AW105" s="36">
        <f t="shared" ca="1" si="109"/>
        <v>0</v>
      </c>
      <c r="AX105" s="36">
        <f t="shared" ca="1" si="109"/>
        <v>0</v>
      </c>
      <c r="AY105" s="36">
        <f t="shared" ca="1" si="109"/>
        <v>0</v>
      </c>
      <c r="AZ105" s="36">
        <f t="shared" ca="1" si="109"/>
        <v>0</v>
      </c>
      <c r="BA105" s="36">
        <f t="shared" ca="1" si="109"/>
        <v>0</v>
      </c>
      <c r="BB105" s="36">
        <f t="shared" ca="1" si="109"/>
        <v>0</v>
      </c>
      <c r="BC105" s="36">
        <f t="shared" ca="1" si="109"/>
        <v>0</v>
      </c>
      <c r="BD105" s="36">
        <f t="shared" ca="1" si="109"/>
        <v>0</v>
      </c>
      <c r="BE105" s="36">
        <f t="shared" ca="1" si="109"/>
        <v>0</v>
      </c>
      <c r="BF105" s="36">
        <f t="shared" ca="1" si="109"/>
        <v>0</v>
      </c>
      <c r="BG105" s="36">
        <f t="shared" ca="1" si="109"/>
        <v>0</v>
      </c>
      <c r="BH105" s="36">
        <f t="shared" ca="1" si="109"/>
        <v>0</v>
      </c>
      <c r="BI105" s="36">
        <f t="shared" ca="1" si="109"/>
        <v>0</v>
      </c>
      <c r="BJ105" s="36">
        <f t="shared" ca="1" si="109"/>
        <v>0</v>
      </c>
      <c r="BK105" s="36">
        <f t="shared" ca="1" si="109"/>
        <v>0</v>
      </c>
      <c r="BL105" s="36">
        <f t="shared" ca="1" si="109"/>
        <v>0</v>
      </c>
      <c r="BM105" s="36">
        <f t="shared" ca="1" si="109"/>
        <v>0</v>
      </c>
      <c r="BN105" s="36">
        <f t="shared" ca="1" si="109"/>
        <v>0</v>
      </c>
      <c r="BO105" s="36">
        <f t="shared" ref="BO105:CT105" ca="1" si="110">BO103+BO104</f>
        <v>0</v>
      </c>
      <c r="BP105" s="36">
        <f t="shared" ca="1" si="110"/>
        <v>0</v>
      </c>
      <c r="BQ105" s="36">
        <f t="shared" ca="1" si="110"/>
        <v>0</v>
      </c>
      <c r="BR105" s="36">
        <f t="shared" ca="1" si="110"/>
        <v>0</v>
      </c>
      <c r="BS105" s="36">
        <f t="shared" ca="1" si="110"/>
        <v>0</v>
      </c>
      <c r="BT105" s="36">
        <f t="shared" ca="1" si="110"/>
        <v>0</v>
      </c>
      <c r="BU105" s="36">
        <f t="shared" ca="1" si="110"/>
        <v>0</v>
      </c>
      <c r="BV105" s="36">
        <f t="shared" ca="1" si="110"/>
        <v>0</v>
      </c>
      <c r="BW105" s="36">
        <f t="shared" ca="1" si="110"/>
        <v>0</v>
      </c>
      <c r="BX105" s="36">
        <f t="shared" ca="1" si="110"/>
        <v>0</v>
      </c>
      <c r="BY105" s="36">
        <f t="shared" ca="1" si="110"/>
        <v>0</v>
      </c>
      <c r="BZ105" s="36">
        <f t="shared" ca="1" si="110"/>
        <v>0</v>
      </c>
      <c r="CA105" s="36">
        <f t="shared" ca="1" si="110"/>
        <v>0</v>
      </c>
      <c r="CB105" s="36">
        <f t="shared" ca="1" si="110"/>
        <v>0</v>
      </c>
      <c r="CC105" s="36">
        <f t="shared" ca="1" si="110"/>
        <v>0</v>
      </c>
      <c r="CD105" s="36">
        <f t="shared" ca="1" si="110"/>
        <v>0</v>
      </c>
      <c r="CE105" s="36">
        <f t="shared" ca="1" si="110"/>
        <v>0</v>
      </c>
      <c r="CF105" s="36">
        <f t="shared" ca="1" si="110"/>
        <v>0</v>
      </c>
      <c r="CG105" s="36">
        <f t="shared" ca="1" si="110"/>
        <v>0</v>
      </c>
      <c r="CH105" s="36">
        <f t="shared" ca="1" si="110"/>
        <v>0</v>
      </c>
      <c r="CI105" s="36">
        <f t="shared" ca="1" si="110"/>
        <v>0</v>
      </c>
      <c r="CJ105" s="36">
        <f t="shared" ca="1" si="110"/>
        <v>0</v>
      </c>
      <c r="CK105" s="36">
        <f t="shared" ca="1" si="110"/>
        <v>0</v>
      </c>
      <c r="CL105" s="36">
        <f t="shared" ca="1" si="110"/>
        <v>0</v>
      </c>
      <c r="CM105" s="36">
        <f t="shared" ca="1" si="110"/>
        <v>0</v>
      </c>
      <c r="CN105" s="36">
        <f t="shared" ca="1" si="110"/>
        <v>0</v>
      </c>
      <c r="CO105" s="36">
        <f t="shared" ca="1" si="110"/>
        <v>0</v>
      </c>
      <c r="CP105" s="36">
        <f t="shared" ca="1" si="110"/>
        <v>0</v>
      </c>
      <c r="CQ105" s="36">
        <f t="shared" ca="1" si="110"/>
        <v>0</v>
      </c>
      <c r="CR105" s="36">
        <f t="shared" ca="1" si="110"/>
        <v>0</v>
      </c>
      <c r="CS105" s="36">
        <f t="shared" ca="1" si="110"/>
        <v>0</v>
      </c>
      <c r="CT105" s="36">
        <f t="shared" ca="1" si="110"/>
        <v>0</v>
      </c>
      <c r="CU105" s="36">
        <f t="shared" ref="CU105:DF105" ca="1" si="111">CU103+CU104</f>
        <v>0</v>
      </c>
      <c r="CV105" s="36">
        <f t="shared" ca="1" si="111"/>
        <v>0</v>
      </c>
      <c r="CW105" s="36">
        <f t="shared" ca="1" si="111"/>
        <v>0</v>
      </c>
      <c r="CX105" s="36">
        <f t="shared" ca="1" si="111"/>
        <v>0</v>
      </c>
      <c r="CY105" s="36">
        <f t="shared" ca="1" si="111"/>
        <v>0</v>
      </c>
      <c r="CZ105" s="36">
        <f t="shared" ca="1" si="111"/>
        <v>0</v>
      </c>
      <c r="DA105" s="36">
        <f t="shared" ca="1" si="111"/>
        <v>0</v>
      </c>
      <c r="DB105" s="36">
        <f t="shared" ca="1" si="111"/>
        <v>0</v>
      </c>
      <c r="DC105" s="36">
        <f t="shared" ca="1" si="111"/>
        <v>0</v>
      </c>
      <c r="DD105" s="36">
        <f t="shared" ca="1" si="111"/>
        <v>0</v>
      </c>
      <c r="DE105" s="36">
        <f t="shared" ca="1" si="111"/>
        <v>0</v>
      </c>
      <c r="DF105" s="36">
        <f t="shared" ca="1" si="111"/>
        <v>0</v>
      </c>
    </row>
  </sheetData>
  <mergeCells count="5">
    <mergeCell ref="A1:H1"/>
    <mergeCell ref="A43:B43"/>
    <mergeCell ref="A59:B59"/>
    <mergeCell ref="A75:B75"/>
    <mergeCell ref="A91:B9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workbookViewId="0">
      <selection sqref="A1:J1"/>
    </sheetView>
  </sheetViews>
  <sheetFormatPr defaultRowHeight="13.8"/>
  <cols>
    <col min="1" max="1" width="22" customWidth="1"/>
    <col min="2" max="2" width="15" customWidth="1"/>
    <col min="3" max="4" width="18" customWidth="1"/>
    <col min="5" max="5" width="17" customWidth="1"/>
    <col min="6" max="6" width="18" customWidth="1"/>
    <col min="7" max="7" width="16" customWidth="1"/>
    <col min="8" max="9" width="17" customWidth="1"/>
    <col min="10" max="10" width="40" customWidth="1"/>
  </cols>
  <sheetData>
    <row r="1" spans="1:10" ht="34.049999999999997" customHeight="1">
      <c r="A1" s="76" t="s">
        <v>141</v>
      </c>
      <c r="B1" s="76"/>
      <c r="C1" s="76"/>
      <c r="D1" s="76"/>
      <c r="E1" s="76"/>
      <c r="F1" s="76"/>
      <c r="G1" s="76"/>
      <c r="H1" s="76"/>
      <c r="I1" s="76"/>
      <c r="J1" s="76"/>
    </row>
    <row r="3" spans="1:10">
      <c r="A3" s="88" t="s">
        <v>142</v>
      </c>
      <c r="B3" s="88"/>
      <c r="C3" s="88"/>
      <c r="D3" s="88"/>
      <c r="E3" s="88"/>
      <c r="F3" s="88"/>
      <c r="G3" s="88"/>
      <c r="H3" s="88"/>
      <c r="I3" s="88"/>
      <c r="J3" s="88"/>
    </row>
    <row r="4" spans="1:10">
      <c r="A4" s="88"/>
      <c r="B4" s="88"/>
      <c r="C4" s="88"/>
      <c r="D4" s="88"/>
      <c r="E4" s="88"/>
      <c r="F4" s="88"/>
      <c r="G4" s="88"/>
      <c r="H4" s="88"/>
      <c r="I4" s="88"/>
      <c r="J4" s="88"/>
    </row>
    <row r="5" spans="1:10">
      <c r="A5" s="88"/>
      <c r="B5" s="88"/>
      <c r="C5" s="88"/>
      <c r="D5" s="88"/>
      <c r="E5" s="88"/>
      <c r="F5" s="88"/>
      <c r="G5" s="88"/>
      <c r="H5" s="88"/>
      <c r="I5" s="88"/>
      <c r="J5" s="88"/>
    </row>
    <row r="7" spans="1:10">
      <c r="A7" s="3" t="s">
        <v>49</v>
      </c>
      <c r="B7" s="3" t="s">
        <v>50</v>
      </c>
      <c r="C7" s="3" t="s">
        <v>51</v>
      </c>
      <c r="D7" s="3" t="s">
        <v>37</v>
      </c>
    </row>
    <row r="8" spans="1:10">
      <c r="A8" s="4" t="s">
        <v>143</v>
      </c>
      <c r="B8" s="30" t="str">
        <f>НАСТРОЙКИ!B14</f>
        <v>Весь БРИДЖ в О1</v>
      </c>
      <c r="C8" s="4"/>
      <c r="D8" s="4" t="s">
        <v>144</v>
      </c>
    </row>
    <row r="9" spans="1:10">
      <c r="A9" s="4" t="s">
        <v>145</v>
      </c>
      <c r="B9" s="30" t="str">
        <f>НАСТРОЙКИ!B15</f>
        <v>Да</v>
      </c>
      <c r="C9" s="4"/>
      <c r="D9" s="4" t="s">
        <v>146</v>
      </c>
    </row>
    <row r="10" spans="1:10">
      <c r="A10" s="4" t="s">
        <v>57</v>
      </c>
      <c r="B10" s="41">
        <f>НАСТРОЙКИ!B16</f>
        <v>0</v>
      </c>
      <c r="C10" s="4" t="s">
        <v>58</v>
      </c>
      <c r="D10" s="4" t="s">
        <v>147</v>
      </c>
    </row>
    <row r="11" spans="1:10">
      <c r="A11" s="4" t="s">
        <v>60</v>
      </c>
      <c r="B11" s="41">
        <f>НАСТРОЙКИ!B17</f>
        <v>0</v>
      </c>
      <c r="C11" s="4" t="s">
        <v>58</v>
      </c>
      <c r="D11" s="4" t="s">
        <v>148</v>
      </c>
    </row>
    <row r="12" spans="1:10">
      <c r="A12" s="4" t="s">
        <v>149</v>
      </c>
      <c r="B12" s="41">
        <f>НАСТРОЙКИ!B18</f>
        <v>0</v>
      </c>
      <c r="C12" s="4" t="s">
        <v>58</v>
      </c>
      <c r="D12" s="4" t="s">
        <v>150</v>
      </c>
    </row>
    <row r="15" spans="1:10" ht="27.6">
      <c r="A15" s="9" t="s">
        <v>30</v>
      </c>
      <c r="B15" s="9" t="s">
        <v>92</v>
      </c>
      <c r="C15" s="9" t="s">
        <v>151</v>
      </c>
      <c r="D15" s="9" t="s">
        <v>33</v>
      </c>
      <c r="E15" s="9" t="s">
        <v>34</v>
      </c>
      <c r="F15" s="9" t="s">
        <v>35</v>
      </c>
      <c r="G15" s="9" t="s">
        <v>36</v>
      </c>
      <c r="H15" s="9" t="s">
        <v>108</v>
      </c>
      <c r="I15" s="9" t="s">
        <v>109</v>
      </c>
      <c r="J15" s="9" t="s">
        <v>37</v>
      </c>
    </row>
    <row r="16" spans="1:10">
      <c r="A16" s="24" t="str">
        <f>НАСТРОЙКИ!C5</f>
        <v>Очередь 1</v>
      </c>
      <c r="B16" s="44">
        <f ca="1">СВОД!E10</f>
        <v>46935</v>
      </c>
      <c r="C16" s="18">
        <f>НАСТРОЙКИ!E5</f>
        <v>0.25</v>
      </c>
      <c r="D16" s="18">
        <f>НАСТРОЙКИ!F5</f>
        <v>1</v>
      </c>
      <c r="E16" s="19">
        <f>НАСТРОЙКИ!G5</f>
        <v>0</v>
      </c>
      <c r="F16" s="19">
        <f>НАСТРОЙКИ!H5</f>
        <v>0</v>
      </c>
      <c r="G16" s="19">
        <f>НАСТРОЙКИ!I5</f>
        <v>0</v>
      </c>
      <c r="H16" s="19">
        <f ca="1">СВОД!Q10</f>
        <v>30011.506226781967</v>
      </c>
      <c r="I16" s="19">
        <f ca="1">СВОД!R10</f>
        <v>30011.506226781967</v>
      </c>
      <c r="J16" s="24" t="str">
        <f>IF(НАСТРОЙКИ!$B$15="Да","Контроль: уже учтено в модели","Добавлено консолидатором")</f>
        <v>Контроль: уже учтено в модели</v>
      </c>
    </row>
    <row r="17" spans="1:10">
      <c r="A17" s="24" t="str">
        <f>НАСТРОЙКИ!C6</f>
        <v>Очередь 2</v>
      </c>
      <c r="B17" s="44">
        <f ca="1">СВОД!E11</f>
        <v>47300</v>
      </c>
      <c r="C17" s="18">
        <f>НАСТРОЙКИ!E6</f>
        <v>0.25</v>
      </c>
      <c r="D17" s="18">
        <f>НАСТРОЙКИ!F6</f>
        <v>0</v>
      </c>
      <c r="E17" s="19">
        <f>НАСТРОЙКИ!G6</f>
        <v>0</v>
      </c>
      <c r="F17" s="19">
        <f>НАСТРОЙКИ!H6</f>
        <v>0</v>
      </c>
      <c r="G17" s="19">
        <f>НАСТРОЙКИ!I6</f>
        <v>0</v>
      </c>
      <c r="H17" s="19">
        <f ca="1">СВОД!Q11</f>
        <v>27765.55495123427</v>
      </c>
      <c r="I17" s="19">
        <f ca="1">СВОД!R11</f>
        <v>27765.55495123427</v>
      </c>
      <c r="J17" s="24" t="str">
        <f>IF(НАСТРОЙКИ!$B$15="Да","Контроль: уже учтено в модели","Добавлено консолидатором")</f>
        <v>Контроль: уже учтено в модели</v>
      </c>
    </row>
    <row r="18" spans="1:10">
      <c r="A18" s="24" t="str">
        <f>НАСТРОЙКИ!C7</f>
        <v>Очередь 3</v>
      </c>
      <c r="B18" s="44">
        <f ca="1">СВОД!E12</f>
        <v>47665</v>
      </c>
      <c r="C18" s="18">
        <f>НАСТРОЙКИ!E7</f>
        <v>0.25</v>
      </c>
      <c r="D18" s="18">
        <f>НАСТРОЙКИ!F7</f>
        <v>0</v>
      </c>
      <c r="E18" s="19">
        <f>НАСТРОЙКИ!G7</f>
        <v>0</v>
      </c>
      <c r="F18" s="19">
        <f>НАСТРОЙКИ!H7</f>
        <v>0</v>
      </c>
      <c r="G18" s="19">
        <f>НАСТРОЙКИ!I7</f>
        <v>0</v>
      </c>
      <c r="H18" s="19">
        <f ca="1">СВОД!Q12</f>
        <v>23843.815861235693</v>
      </c>
      <c r="I18" s="19">
        <f ca="1">СВОД!R12</f>
        <v>23843.815861235693</v>
      </c>
      <c r="J18" s="24" t="str">
        <f>IF(НАСТРОЙКИ!$B$15="Да","Контроль: уже учтено в модели","Добавлено консолидатором")</f>
        <v>Контроль: уже учтено в модели</v>
      </c>
    </row>
    <row r="19" spans="1:10">
      <c r="A19" s="24" t="str">
        <f>НАСТРОЙКИ!C8</f>
        <v>Очередь 4</v>
      </c>
      <c r="B19" s="44">
        <f ca="1">СВОД!E13</f>
        <v>0</v>
      </c>
      <c r="C19" s="18">
        <f>НАСТРОЙКИ!E8</f>
        <v>0.25</v>
      </c>
      <c r="D19" s="18">
        <f>НАСТРОЙКИ!F8</f>
        <v>0</v>
      </c>
      <c r="E19" s="19">
        <f>НАСТРОЙКИ!G8</f>
        <v>0</v>
      </c>
      <c r="F19" s="19">
        <f>НАСТРОЙКИ!H8</f>
        <v>0</v>
      </c>
      <c r="G19" s="19">
        <f>НАСТРОЙКИ!I8</f>
        <v>0</v>
      </c>
      <c r="H19" s="19">
        <f ca="1">СВОД!Q13</f>
        <v>0</v>
      </c>
      <c r="I19" s="19">
        <f>СВОД!R13</f>
        <v>0</v>
      </c>
      <c r="J19" s="24" t="str">
        <f>IF(НАСТРОЙКИ!$B$15="Да","Контроль: уже учтено в модели","Добавлено консолидатором")</f>
        <v>Контроль: уже учтено в модели</v>
      </c>
    </row>
    <row r="20" spans="1:10">
      <c r="A20" s="20" t="s">
        <v>47</v>
      </c>
      <c r="B20" s="20"/>
      <c r="C20" s="21">
        <f t="shared" ref="C20:I20" si="0">SUM(C16:C19)</f>
        <v>1</v>
      </c>
      <c r="D20" s="21">
        <f t="shared" si="0"/>
        <v>1</v>
      </c>
      <c r="E20" s="22">
        <f t="shared" si="0"/>
        <v>0</v>
      </c>
      <c r="F20" s="22">
        <f t="shared" si="0"/>
        <v>0</v>
      </c>
      <c r="G20" s="22">
        <f t="shared" si="0"/>
        <v>0</v>
      </c>
      <c r="H20" s="22">
        <f t="shared" ca="1" si="0"/>
        <v>81620.877039251936</v>
      </c>
      <c r="I20" s="22">
        <f t="shared" ca="1" si="0"/>
        <v>81620.877039251936</v>
      </c>
      <c r="J20" s="20" t="str">
        <f>IF(ABS(D20-1)&lt;0.0001,"OK","ПРОВЕРИТЬ ДОЛИ")</f>
        <v>OK</v>
      </c>
    </row>
    <row r="23" spans="1:10">
      <c r="A23" s="78" t="s">
        <v>152</v>
      </c>
      <c r="B23" s="78"/>
      <c r="C23" s="78"/>
      <c r="D23" s="78"/>
      <c r="E23" s="78"/>
      <c r="F23" s="78"/>
      <c r="G23" s="78"/>
      <c r="H23" s="78"/>
      <c r="I23" s="78"/>
      <c r="J23" s="78"/>
    </row>
    <row r="24" spans="1:10" ht="27.6">
      <c r="A24" s="8" t="s">
        <v>153</v>
      </c>
      <c r="B24" s="8" t="s">
        <v>154</v>
      </c>
      <c r="C24" s="8" t="s">
        <v>155</v>
      </c>
      <c r="D24" s="89" t="s">
        <v>156</v>
      </c>
      <c r="E24" s="89"/>
      <c r="F24" s="89"/>
      <c r="G24" s="89"/>
      <c r="H24" s="89"/>
      <c r="I24" s="89"/>
      <c r="J24" s="89"/>
    </row>
    <row r="25" spans="1:10" ht="52.8">
      <c r="A25" s="6" t="s">
        <v>53</v>
      </c>
      <c r="B25" s="6" t="s">
        <v>157</v>
      </c>
      <c r="C25" s="6" t="s">
        <v>158</v>
      </c>
      <c r="D25" s="87" t="s">
        <v>159</v>
      </c>
      <c r="E25" s="87"/>
      <c r="F25" s="87"/>
      <c r="G25" s="87"/>
      <c r="H25" s="87"/>
      <c r="I25" s="87"/>
      <c r="J25" s="87"/>
    </row>
    <row r="26" spans="1:10" ht="52.8">
      <c r="A26" s="6" t="s">
        <v>160</v>
      </c>
      <c r="B26" s="6" t="s">
        <v>161</v>
      </c>
      <c r="C26" s="6" t="s">
        <v>162</v>
      </c>
      <c r="D26" s="87" t="s">
        <v>163</v>
      </c>
      <c r="E26" s="87"/>
      <c r="F26" s="87"/>
      <c r="G26" s="87"/>
      <c r="H26" s="87"/>
      <c r="I26" s="87"/>
      <c r="J26" s="87"/>
    </row>
    <row r="27" spans="1:10" ht="66">
      <c r="A27" s="6" t="s">
        <v>164</v>
      </c>
      <c r="B27" s="6" t="s">
        <v>165</v>
      </c>
      <c r="C27" s="6" t="s">
        <v>166</v>
      </c>
      <c r="D27" s="87" t="s">
        <v>167</v>
      </c>
      <c r="E27" s="87"/>
      <c r="F27" s="87"/>
      <c r="G27" s="87"/>
      <c r="H27" s="87"/>
      <c r="I27" s="87"/>
      <c r="J27" s="87"/>
    </row>
    <row r="28" spans="1:10" ht="52.8">
      <c r="A28" s="6" t="s">
        <v>168</v>
      </c>
      <c r="B28" s="6" t="s">
        <v>169</v>
      </c>
      <c r="C28" s="6" t="s">
        <v>170</v>
      </c>
      <c r="D28" s="87" t="s">
        <v>171</v>
      </c>
      <c r="E28" s="87"/>
      <c r="F28" s="87"/>
      <c r="G28" s="87"/>
      <c r="H28" s="87"/>
      <c r="I28" s="87"/>
      <c r="J28" s="87"/>
    </row>
  </sheetData>
  <mergeCells count="8">
    <mergeCell ref="D26:J26"/>
    <mergeCell ref="D27:J27"/>
    <mergeCell ref="D28:J28"/>
    <mergeCell ref="A1:J1"/>
    <mergeCell ref="A3:J5"/>
    <mergeCell ref="A23:J23"/>
    <mergeCell ref="D24:J24"/>
    <mergeCell ref="D25:J25"/>
  </mergeCells>
  <conditionalFormatting sqref="J20">
    <cfRule type="expression" dxfId="7" priority="1">
      <formula>J20&lt;&gt;"OK"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4"/>
  <sheetViews>
    <sheetView workbookViewId="0">
      <selection sqref="A1:AN1"/>
    </sheetView>
  </sheetViews>
  <sheetFormatPr defaultRowHeight="13.8"/>
  <cols>
    <col min="1" max="1" width="15" customWidth="1"/>
    <col min="2" max="2" width="24" customWidth="1"/>
    <col min="3" max="4" width="12" customWidth="1"/>
    <col min="5" max="40" width="8" customWidth="1"/>
  </cols>
  <sheetData>
    <row r="1" spans="1:40" ht="22.35" customHeight="1">
      <c r="A1" s="90" t="s">
        <v>173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</row>
    <row r="2" spans="1:40" ht="1.65" customHeight="1">
      <c r="E2" s="49">
        <f>DATE(YEAR(НАСТРОЙКИ!$B$25),3*INT((MONTH(НАСТРОЙКИ!$B$25)-1)/3)+1,1)</f>
        <v>46388</v>
      </c>
      <c r="F2" s="49">
        <f t="shared" ref="F2:AN2" si="0">EDATE(E2,3)</f>
        <v>46478</v>
      </c>
      <c r="G2" s="49">
        <f t="shared" si="0"/>
        <v>46569</v>
      </c>
      <c r="H2" s="49">
        <f t="shared" si="0"/>
        <v>46661</v>
      </c>
      <c r="I2" s="49">
        <f t="shared" si="0"/>
        <v>46753</v>
      </c>
      <c r="J2" s="49">
        <f t="shared" si="0"/>
        <v>46844</v>
      </c>
      <c r="K2" s="49">
        <f t="shared" si="0"/>
        <v>46935</v>
      </c>
      <c r="L2" s="49">
        <f t="shared" si="0"/>
        <v>47027</v>
      </c>
      <c r="M2" s="49">
        <f t="shared" si="0"/>
        <v>47119</v>
      </c>
      <c r="N2" s="49">
        <f t="shared" si="0"/>
        <v>47209</v>
      </c>
      <c r="O2" s="49">
        <f t="shared" si="0"/>
        <v>47300</v>
      </c>
      <c r="P2" s="49">
        <f t="shared" si="0"/>
        <v>47392</v>
      </c>
      <c r="Q2" s="49">
        <f t="shared" si="0"/>
        <v>47484</v>
      </c>
      <c r="R2" s="49">
        <f t="shared" si="0"/>
        <v>47574</v>
      </c>
      <c r="S2" s="49">
        <f t="shared" si="0"/>
        <v>47665</v>
      </c>
      <c r="T2" s="49">
        <f t="shared" si="0"/>
        <v>47757</v>
      </c>
      <c r="U2" s="49">
        <f t="shared" si="0"/>
        <v>47849</v>
      </c>
      <c r="V2" s="49">
        <f t="shared" si="0"/>
        <v>47939</v>
      </c>
      <c r="W2" s="49">
        <f t="shared" si="0"/>
        <v>48030</v>
      </c>
      <c r="X2" s="49">
        <f t="shared" si="0"/>
        <v>48122</v>
      </c>
      <c r="Y2" s="49">
        <f t="shared" si="0"/>
        <v>48214</v>
      </c>
      <c r="Z2" s="49">
        <f t="shared" si="0"/>
        <v>48305</v>
      </c>
      <c r="AA2" s="49">
        <f t="shared" si="0"/>
        <v>48396</v>
      </c>
      <c r="AB2" s="49">
        <f t="shared" si="0"/>
        <v>48488</v>
      </c>
      <c r="AC2" s="49">
        <f t="shared" si="0"/>
        <v>48580</v>
      </c>
      <c r="AD2" s="49">
        <f t="shared" si="0"/>
        <v>48670</v>
      </c>
      <c r="AE2" s="49">
        <f t="shared" si="0"/>
        <v>48761</v>
      </c>
      <c r="AF2" s="49">
        <f t="shared" si="0"/>
        <v>48853</v>
      </c>
      <c r="AG2" s="49">
        <f t="shared" si="0"/>
        <v>48945</v>
      </c>
      <c r="AH2" s="49">
        <f t="shared" si="0"/>
        <v>49035</v>
      </c>
      <c r="AI2" s="49">
        <f t="shared" si="0"/>
        <v>49126</v>
      </c>
      <c r="AJ2" s="49">
        <f t="shared" si="0"/>
        <v>49218</v>
      </c>
      <c r="AK2" s="49">
        <f t="shared" si="0"/>
        <v>49310</v>
      </c>
      <c r="AL2" s="49">
        <f t="shared" si="0"/>
        <v>49400</v>
      </c>
      <c r="AM2" s="49">
        <f t="shared" si="0"/>
        <v>49491</v>
      </c>
      <c r="AN2" s="49">
        <f t="shared" si="0"/>
        <v>49583</v>
      </c>
    </row>
    <row r="3" spans="1:40">
      <c r="A3" s="50" t="s">
        <v>30</v>
      </c>
      <c r="B3" s="51" t="s">
        <v>174</v>
      </c>
      <c r="C3" s="51" t="s">
        <v>175</v>
      </c>
      <c r="D3" s="51" t="s">
        <v>176</v>
      </c>
      <c r="E3" s="51" t="str">
        <f t="shared" ref="E3:AN3" si="1">"кв. "&amp;ROUNDUP(MONTH(E2)/3,0)&amp;" "&amp;YEAR(E2)</f>
        <v>кв. 1 2027</v>
      </c>
      <c r="F3" s="51" t="str">
        <f t="shared" si="1"/>
        <v>кв. 2 2027</v>
      </c>
      <c r="G3" s="51" t="str">
        <f t="shared" si="1"/>
        <v>кв. 3 2027</v>
      </c>
      <c r="H3" s="51" t="str">
        <f t="shared" si="1"/>
        <v>кв. 4 2027</v>
      </c>
      <c r="I3" s="51" t="str">
        <f t="shared" si="1"/>
        <v>кв. 1 2028</v>
      </c>
      <c r="J3" s="51" t="str">
        <f t="shared" si="1"/>
        <v>кв. 2 2028</v>
      </c>
      <c r="K3" s="51" t="str">
        <f t="shared" si="1"/>
        <v>кв. 3 2028</v>
      </c>
      <c r="L3" s="51" t="str">
        <f t="shared" si="1"/>
        <v>кв. 4 2028</v>
      </c>
      <c r="M3" s="51" t="str">
        <f t="shared" si="1"/>
        <v>кв. 1 2029</v>
      </c>
      <c r="N3" s="51" t="str">
        <f t="shared" si="1"/>
        <v>кв. 2 2029</v>
      </c>
      <c r="O3" s="51" t="str">
        <f t="shared" si="1"/>
        <v>кв. 3 2029</v>
      </c>
      <c r="P3" s="51" t="str">
        <f t="shared" si="1"/>
        <v>кв. 4 2029</v>
      </c>
      <c r="Q3" s="51" t="str">
        <f t="shared" si="1"/>
        <v>кв. 1 2030</v>
      </c>
      <c r="R3" s="51" t="str">
        <f t="shared" si="1"/>
        <v>кв. 2 2030</v>
      </c>
      <c r="S3" s="51" t="str">
        <f t="shared" si="1"/>
        <v>кв. 3 2030</v>
      </c>
      <c r="T3" s="51" t="str">
        <f t="shared" si="1"/>
        <v>кв. 4 2030</v>
      </c>
      <c r="U3" s="51" t="str">
        <f t="shared" si="1"/>
        <v>кв. 1 2031</v>
      </c>
      <c r="V3" s="51" t="str">
        <f t="shared" si="1"/>
        <v>кв. 2 2031</v>
      </c>
      <c r="W3" s="51" t="str">
        <f t="shared" si="1"/>
        <v>кв. 3 2031</v>
      </c>
      <c r="X3" s="51" t="str">
        <f t="shared" si="1"/>
        <v>кв. 4 2031</v>
      </c>
      <c r="Y3" s="51" t="str">
        <f t="shared" si="1"/>
        <v>кв. 1 2032</v>
      </c>
      <c r="Z3" s="51" t="str">
        <f t="shared" si="1"/>
        <v>кв. 2 2032</v>
      </c>
      <c r="AA3" s="51" t="str">
        <f t="shared" si="1"/>
        <v>кв. 3 2032</v>
      </c>
      <c r="AB3" s="51" t="str">
        <f t="shared" si="1"/>
        <v>кв. 4 2032</v>
      </c>
      <c r="AC3" s="51" t="str">
        <f t="shared" si="1"/>
        <v>кв. 1 2033</v>
      </c>
      <c r="AD3" s="51" t="str">
        <f t="shared" si="1"/>
        <v>кв. 2 2033</v>
      </c>
      <c r="AE3" s="51" t="str">
        <f t="shared" si="1"/>
        <v>кв. 3 2033</v>
      </c>
      <c r="AF3" s="51" t="str">
        <f t="shared" si="1"/>
        <v>кв. 4 2033</v>
      </c>
      <c r="AG3" s="51" t="str">
        <f t="shared" si="1"/>
        <v>кв. 1 2034</v>
      </c>
      <c r="AH3" s="51" t="str">
        <f t="shared" si="1"/>
        <v>кв. 2 2034</v>
      </c>
      <c r="AI3" s="51" t="str">
        <f t="shared" si="1"/>
        <v>кв. 3 2034</v>
      </c>
      <c r="AJ3" s="51" t="str">
        <f t="shared" si="1"/>
        <v>кв. 4 2034</v>
      </c>
      <c r="AK3" s="51" t="str">
        <f t="shared" si="1"/>
        <v>кв. 1 2035</v>
      </c>
      <c r="AL3" s="51" t="str">
        <f t="shared" si="1"/>
        <v>кв. 2 2035</v>
      </c>
      <c r="AM3" s="51" t="str">
        <f t="shared" si="1"/>
        <v>кв. 3 2035</v>
      </c>
      <c r="AN3" s="52" t="str">
        <f t="shared" si="1"/>
        <v>кв. 4 2035</v>
      </c>
    </row>
    <row r="4" spans="1:40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5"/>
    </row>
    <row r="5" spans="1:40">
      <c r="A5" s="53" t="str">
        <f>НАСТРОЙКИ!C5</f>
        <v>Очередь 1</v>
      </c>
      <c r="B5" s="54" t="s">
        <v>92</v>
      </c>
      <c r="C5" s="56">
        <f ca="1">IF(NOT(НАСТРОЙКИ!$B$5="Да"),0,IFERROR(INDIRECT("'["&amp;НАСТРОЙКИ!$D$5&amp;"]Вводные'!$G$8"),0))</f>
        <v>46935</v>
      </c>
      <c r="D5" s="56">
        <f ca="1">IF(NOT(НАСТРОЙКИ!$B$5="Да"),0,IFERROR(INDIRECT("'["&amp;НАСТРОЙКИ!$D$5&amp;"]Вводные'!$G$8"),0))</f>
        <v>46935</v>
      </c>
      <c r="E5" s="57">
        <f t="shared" ref="E5:N14" ca="1" si="2">IF(OR($C5=0,$D5=0),0,--AND(E$2&lt;=$D5,EOMONTH(E$2,2)&gt;=$C5))</f>
        <v>0</v>
      </c>
      <c r="F5" s="57">
        <f t="shared" ca="1" si="2"/>
        <v>0</v>
      </c>
      <c r="G5" s="57">
        <f t="shared" ca="1" si="2"/>
        <v>0</v>
      </c>
      <c r="H5" s="57">
        <f t="shared" ca="1" si="2"/>
        <v>0</v>
      </c>
      <c r="I5" s="57">
        <f t="shared" ca="1" si="2"/>
        <v>0</v>
      </c>
      <c r="J5" s="57">
        <f t="shared" ca="1" si="2"/>
        <v>0</v>
      </c>
      <c r="K5" s="57">
        <f t="shared" ca="1" si="2"/>
        <v>1</v>
      </c>
      <c r="L5" s="57">
        <f t="shared" ca="1" si="2"/>
        <v>0</v>
      </c>
      <c r="M5" s="57">
        <f t="shared" ca="1" si="2"/>
        <v>0</v>
      </c>
      <c r="N5" s="57">
        <f t="shared" ca="1" si="2"/>
        <v>0</v>
      </c>
      <c r="O5" s="57">
        <f t="shared" ref="O5:X14" ca="1" si="3">IF(OR($C5=0,$D5=0),0,--AND(O$2&lt;=$D5,EOMONTH(O$2,2)&gt;=$C5))</f>
        <v>0</v>
      </c>
      <c r="P5" s="57">
        <f t="shared" ca="1" si="3"/>
        <v>0</v>
      </c>
      <c r="Q5" s="57">
        <f t="shared" ca="1" si="3"/>
        <v>0</v>
      </c>
      <c r="R5" s="57">
        <f t="shared" ca="1" si="3"/>
        <v>0</v>
      </c>
      <c r="S5" s="57">
        <f t="shared" ca="1" si="3"/>
        <v>0</v>
      </c>
      <c r="T5" s="57">
        <f t="shared" ca="1" si="3"/>
        <v>0</v>
      </c>
      <c r="U5" s="57">
        <f t="shared" ca="1" si="3"/>
        <v>0</v>
      </c>
      <c r="V5" s="57">
        <f t="shared" ca="1" si="3"/>
        <v>0</v>
      </c>
      <c r="W5" s="57">
        <f t="shared" ca="1" si="3"/>
        <v>0</v>
      </c>
      <c r="X5" s="57">
        <f t="shared" ca="1" si="3"/>
        <v>0</v>
      </c>
      <c r="Y5" s="57">
        <f t="shared" ref="Y5:AH14" ca="1" si="4">IF(OR($C5=0,$D5=0),0,--AND(Y$2&lt;=$D5,EOMONTH(Y$2,2)&gt;=$C5))</f>
        <v>0</v>
      </c>
      <c r="Z5" s="57">
        <f t="shared" ca="1" si="4"/>
        <v>0</v>
      </c>
      <c r="AA5" s="57">
        <f t="shared" ca="1" si="4"/>
        <v>0</v>
      </c>
      <c r="AB5" s="57">
        <f t="shared" ca="1" si="4"/>
        <v>0</v>
      </c>
      <c r="AC5" s="57">
        <f t="shared" ca="1" si="4"/>
        <v>0</v>
      </c>
      <c r="AD5" s="57">
        <f t="shared" ca="1" si="4"/>
        <v>0</v>
      </c>
      <c r="AE5" s="57">
        <f t="shared" ca="1" si="4"/>
        <v>0</v>
      </c>
      <c r="AF5" s="57">
        <f t="shared" ca="1" si="4"/>
        <v>0</v>
      </c>
      <c r="AG5" s="57">
        <f t="shared" ca="1" si="4"/>
        <v>0</v>
      </c>
      <c r="AH5" s="57">
        <f t="shared" ca="1" si="4"/>
        <v>0</v>
      </c>
      <c r="AI5" s="57">
        <f t="shared" ref="AI5:AN14" ca="1" si="5">IF(OR($C5=0,$D5=0),0,--AND(AI$2&lt;=$D5,EOMONTH(AI$2,2)&gt;=$C5))</f>
        <v>0</v>
      </c>
      <c r="AJ5" s="57">
        <f t="shared" ca="1" si="5"/>
        <v>0</v>
      </c>
      <c r="AK5" s="57">
        <f t="shared" ca="1" si="5"/>
        <v>0</v>
      </c>
      <c r="AL5" s="57">
        <f t="shared" ca="1" si="5"/>
        <v>0</v>
      </c>
      <c r="AM5" s="57">
        <f t="shared" ca="1" si="5"/>
        <v>0</v>
      </c>
      <c r="AN5" s="58">
        <f t="shared" ca="1" si="5"/>
        <v>0</v>
      </c>
    </row>
    <row r="6" spans="1:40">
      <c r="A6" s="53" t="str">
        <f>НАСТРОЙКИ!C5</f>
        <v>Очередь 1</v>
      </c>
      <c r="B6" s="54" t="s">
        <v>177</v>
      </c>
      <c r="C6" s="56">
        <f ca="1">IF(NOT(НАСТРОЙКИ!$B$5="Да"),0,IFERROR(INDIRECT("'["&amp;НАСТРОЙКИ!$D$5&amp;"]СРОКИ'!$C$29"),0))</f>
        <v>46935</v>
      </c>
      <c r="D6" s="56">
        <f ca="1">IF(NOT(НАСТРОЙКИ!$B$5="Да"),0,IFERROR(INDIRECT("'["&amp;НАСТРОЙКИ!$D$5&amp;"]СРОКИ'!$E$29"),0))</f>
        <v>47665</v>
      </c>
      <c r="E6" s="57">
        <f t="shared" ca="1" si="2"/>
        <v>0</v>
      </c>
      <c r="F6" s="57">
        <f t="shared" ca="1" si="2"/>
        <v>0</v>
      </c>
      <c r="G6" s="57">
        <f t="shared" ca="1" si="2"/>
        <v>0</v>
      </c>
      <c r="H6" s="57">
        <f t="shared" ca="1" si="2"/>
        <v>0</v>
      </c>
      <c r="I6" s="57">
        <f t="shared" ca="1" si="2"/>
        <v>0</v>
      </c>
      <c r="J6" s="57">
        <f t="shared" ca="1" si="2"/>
        <v>0</v>
      </c>
      <c r="K6" s="57">
        <f t="shared" ca="1" si="2"/>
        <v>1</v>
      </c>
      <c r="L6" s="57">
        <f t="shared" ca="1" si="2"/>
        <v>1</v>
      </c>
      <c r="M6" s="57">
        <f t="shared" ca="1" si="2"/>
        <v>1</v>
      </c>
      <c r="N6" s="57">
        <f t="shared" ca="1" si="2"/>
        <v>1</v>
      </c>
      <c r="O6" s="57">
        <f t="shared" ca="1" si="3"/>
        <v>1</v>
      </c>
      <c r="P6" s="57">
        <f t="shared" ca="1" si="3"/>
        <v>1</v>
      </c>
      <c r="Q6" s="57">
        <f t="shared" ca="1" si="3"/>
        <v>1</v>
      </c>
      <c r="R6" s="57">
        <f t="shared" ca="1" si="3"/>
        <v>1</v>
      </c>
      <c r="S6" s="57">
        <f t="shared" ca="1" si="3"/>
        <v>1</v>
      </c>
      <c r="T6" s="57">
        <f t="shared" ca="1" si="3"/>
        <v>0</v>
      </c>
      <c r="U6" s="57">
        <f t="shared" ca="1" si="3"/>
        <v>0</v>
      </c>
      <c r="V6" s="57">
        <f t="shared" ca="1" si="3"/>
        <v>0</v>
      </c>
      <c r="W6" s="57">
        <f t="shared" ca="1" si="3"/>
        <v>0</v>
      </c>
      <c r="X6" s="57">
        <f t="shared" ca="1" si="3"/>
        <v>0</v>
      </c>
      <c r="Y6" s="57">
        <f t="shared" ca="1" si="4"/>
        <v>0</v>
      </c>
      <c r="Z6" s="57">
        <f t="shared" ca="1" si="4"/>
        <v>0</v>
      </c>
      <c r="AA6" s="57">
        <f t="shared" ca="1" si="4"/>
        <v>0</v>
      </c>
      <c r="AB6" s="57">
        <f t="shared" ca="1" si="4"/>
        <v>0</v>
      </c>
      <c r="AC6" s="57">
        <f t="shared" ca="1" si="4"/>
        <v>0</v>
      </c>
      <c r="AD6" s="57">
        <f t="shared" ca="1" si="4"/>
        <v>0</v>
      </c>
      <c r="AE6" s="57">
        <f t="shared" ca="1" si="4"/>
        <v>0</v>
      </c>
      <c r="AF6" s="57">
        <f t="shared" ca="1" si="4"/>
        <v>0</v>
      </c>
      <c r="AG6" s="57">
        <f t="shared" ca="1" si="4"/>
        <v>0</v>
      </c>
      <c r="AH6" s="57">
        <f t="shared" ca="1" si="4"/>
        <v>0</v>
      </c>
      <c r="AI6" s="57">
        <f t="shared" ca="1" si="5"/>
        <v>0</v>
      </c>
      <c r="AJ6" s="57">
        <f t="shared" ca="1" si="5"/>
        <v>0</v>
      </c>
      <c r="AK6" s="57">
        <f t="shared" ca="1" si="5"/>
        <v>0</v>
      </c>
      <c r="AL6" s="57">
        <f t="shared" ca="1" si="5"/>
        <v>0</v>
      </c>
      <c r="AM6" s="57">
        <f t="shared" ca="1" si="5"/>
        <v>0</v>
      </c>
      <c r="AN6" s="58">
        <f t="shared" ca="1" si="5"/>
        <v>0</v>
      </c>
    </row>
    <row r="7" spans="1:40">
      <c r="A7" s="53" t="str">
        <f>НАСТРОЙКИ!C5</f>
        <v>Очередь 1</v>
      </c>
      <c r="B7" s="54" t="s">
        <v>178</v>
      </c>
      <c r="C7" s="56">
        <f ca="1">IF(NOT(НАСТРОЙКИ!$B$5="Да"),0,IFERROR(INDIRECT("'["&amp;НАСТРОЙКИ!$D$5&amp;"]СРОКИ'!$C$34"),0))</f>
        <v>46844</v>
      </c>
      <c r="D7" s="56">
        <f ca="1">IF(NOT(НАСТРОЙКИ!$B$5="Да"),0,IFERROR(INDIRECT("'["&amp;НАСТРОЙКИ!$D$5&amp;"]СРОКИ'!$E$34"),0))</f>
        <v>47635</v>
      </c>
      <c r="E7" s="57">
        <f t="shared" ca="1" si="2"/>
        <v>0</v>
      </c>
      <c r="F7" s="57">
        <f t="shared" ca="1" si="2"/>
        <v>0</v>
      </c>
      <c r="G7" s="57">
        <f t="shared" ca="1" si="2"/>
        <v>0</v>
      </c>
      <c r="H7" s="57">
        <f t="shared" ca="1" si="2"/>
        <v>0</v>
      </c>
      <c r="I7" s="57">
        <f t="shared" ca="1" si="2"/>
        <v>0</v>
      </c>
      <c r="J7" s="57">
        <f t="shared" ca="1" si="2"/>
        <v>1</v>
      </c>
      <c r="K7" s="57">
        <f t="shared" ca="1" si="2"/>
        <v>1</v>
      </c>
      <c r="L7" s="57">
        <f t="shared" ca="1" si="2"/>
        <v>1</v>
      </c>
      <c r="M7" s="57">
        <f t="shared" ca="1" si="2"/>
        <v>1</v>
      </c>
      <c r="N7" s="57">
        <f t="shared" ca="1" si="2"/>
        <v>1</v>
      </c>
      <c r="O7" s="57">
        <f t="shared" ca="1" si="3"/>
        <v>1</v>
      </c>
      <c r="P7" s="57">
        <f t="shared" ca="1" si="3"/>
        <v>1</v>
      </c>
      <c r="Q7" s="57">
        <f t="shared" ca="1" si="3"/>
        <v>1</v>
      </c>
      <c r="R7" s="57">
        <f t="shared" ca="1" si="3"/>
        <v>1</v>
      </c>
      <c r="S7" s="57">
        <f t="shared" ca="1" si="3"/>
        <v>0</v>
      </c>
      <c r="T7" s="57">
        <f t="shared" ca="1" si="3"/>
        <v>0</v>
      </c>
      <c r="U7" s="57">
        <f t="shared" ca="1" si="3"/>
        <v>0</v>
      </c>
      <c r="V7" s="57">
        <f t="shared" ca="1" si="3"/>
        <v>0</v>
      </c>
      <c r="W7" s="57">
        <f t="shared" ca="1" si="3"/>
        <v>0</v>
      </c>
      <c r="X7" s="57">
        <f t="shared" ca="1" si="3"/>
        <v>0</v>
      </c>
      <c r="Y7" s="57">
        <f t="shared" ca="1" si="4"/>
        <v>0</v>
      </c>
      <c r="Z7" s="57">
        <f t="shared" ca="1" si="4"/>
        <v>0</v>
      </c>
      <c r="AA7" s="57">
        <f t="shared" ca="1" si="4"/>
        <v>0</v>
      </c>
      <c r="AB7" s="57">
        <f t="shared" ca="1" si="4"/>
        <v>0</v>
      </c>
      <c r="AC7" s="57">
        <f t="shared" ca="1" si="4"/>
        <v>0</v>
      </c>
      <c r="AD7" s="57">
        <f t="shared" ca="1" si="4"/>
        <v>0</v>
      </c>
      <c r="AE7" s="57">
        <f t="shared" ca="1" si="4"/>
        <v>0</v>
      </c>
      <c r="AF7" s="57">
        <f t="shared" ca="1" si="4"/>
        <v>0</v>
      </c>
      <c r="AG7" s="57">
        <f t="shared" ca="1" si="4"/>
        <v>0</v>
      </c>
      <c r="AH7" s="57">
        <f t="shared" ca="1" si="4"/>
        <v>0</v>
      </c>
      <c r="AI7" s="57">
        <f t="shared" ca="1" si="5"/>
        <v>0</v>
      </c>
      <c r="AJ7" s="57">
        <f t="shared" ca="1" si="5"/>
        <v>0</v>
      </c>
      <c r="AK7" s="57">
        <f t="shared" ca="1" si="5"/>
        <v>0</v>
      </c>
      <c r="AL7" s="57">
        <f t="shared" ca="1" si="5"/>
        <v>0</v>
      </c>
      <c r="AM7" s="57">
        <f t="shared" ca="1" si="5"/>
        <v>0</v>
      </c>
      <c r="AN7" s="58">
        <f t="shared" ca="1" si="5"/>
        <v>0</v>
      </c>
    </row>
    <row r="8" spans="1:40">
      <c r="A8" s="53" t="str">
        <f>НАСТРОЙКИ!C5</f>
        <v>Очередь 1</v>
      </c>
      <c r="B8" s="54" t="s">
        <v>179</v>
      </c>
      <c r="C8" s="56">
        <f ca="1">IF(NOT(НАСТРОЙКИ!$B$5="Да"),0,IFERROR(INDIRECT("'["&amp;НАСТРОЙКИ!$D$5&amp;"]СРОКИ'!$C$35"),0))</f>
        <v>47604</v>
      </c>
      <c r="D8" s="56">
        <f ca="1">IF(NOT(НАСТРОЙКИ!$B$5="Да"),0,IFERROR(INDIRECT("'["&amp;НАСТРОЙКИ!$D$5&amp;"]СРОКИ'!$E$35"),0))</f>
        <v>47696</v>
      </c>
      <c r="E8" s="57">
        <f t="shared" ca="1" si="2"/>
        <v>0</v>
      </c>
      <c r="F8" s="57">
        <f t="shared" ca="1" si="2"/>
        <v>0</v>
      </c>
      <c r="G8" s="57">
        <f t="shared" ca="1" si="2"/>
        <v>0</v>
      </c>
      <c r="H8" s="57">
        <f t="shared" ca="1" si="2"/>
        <v>0</v>
      </c>
      <c r="I8" s="57">
        <f t="shared" ca="1" si="2"/>
        <v>0</v>
      </c>
      <c r="J8" s="57">
        <f t="shared" ca="1" si="2"/>
        <v>0</v>
      </c>
      <c r="K8" s="57">
        <f t="shared" ca="1" si="2"/>
        <v>0</v>
      </c>
      <c r="L8" s="57">
        <f t="shared" ca="1" si="2"/>
        <v>0</v>
      </c>
      <c r="M8" s="57">
        <f t="shared" ca="1" si="2"/>
        <v>0</v>
      </c>
      <c r="N8" s="57">
        <f t="shared" ca="1" si="2"/>
        <v>0</v>
      </c>
      <c r="O8" s="57">
        <f t="shared" ca="1" si="3"/>
        <v>0</v>
      </c>
      <c r="P8" s="57">
        <f t="shared" ca="1" si="3"/>
        <v>0</v>
      </c>
      <c r="Q8" s="57">
        <f t="shared" ca="1" si="3"/>
        <v>0</v>
      </c>
      <c r="R8" s="57">
        <f t="shared" ca="1" si="3"/>
        <v>1</v>
      </c>
      <c r="S8" s="57">
        <f t="shared" ca="1" si="3"/>
        <v>1</v>
      </c>
      <c r="T8" s="57">
        <f t="shared" ca="1" si="3"/>
        <v>0</v>
      </c>
      <c r="U8" s="57">
        <f t="shared" ca="1" si="3"/>
        <v>0</v>
      </c>
      <c r="V8" s="57">
        <f t="shared" ca="1" si="3"/>
        <v>0</v>
      </c>
      <c r="W8" s="57">
        <f t="shared" ca="1" si="3"/>
        <v>0</v>
      </c>
      <c r="X8" s="57">
        <f t="shared" ca="1" si="3"/>
        <v>0</v>
      </c>
      <c r="Y8" s="57">
        <f t="shared" ca="1" si="4"/>
        <v>0</v>
      </c>
      <c r="Z8" s="57">
        <f t="shared" ca="1" si="4"/>
        <v>0</v>
      </c>
      <c r="AA8" s="57">
        <f t="shared" ca="1" si="4"/>
        <v>0</v>
      </c>
      <c r="AB8" s="57">
        <f t="shared" ca="1" si="4"/>
        <v>0</v>
      </c>
      <c r="AC8" s="57">
        <f t="shared" ca="1" si="4"/>
        <v>0</v>
      </c>
      <c r="AD8" s="57">
        <f t="shared" ca="1" si="4"/>
        <v>0</v>
      </c>
      <c r="AE8" s="57">
        <f t="shared" ca="1" si="4"/>
        <v>0</v>
      </c>
      <c r="AF8" s="57">
        <f t="shared" ca="1" si="4"/>
        <v>0</v>
      </c>
      <c r="AG8" s="57">
        <f t="shared" ca="1" si="4"/>
        <v>0</v>
      </c>
      <c r="AH8" s="57">
        <f t="shared" ca="1" si="4"/>
        <v>0</v>
      </c>
      <c r="AI8" s="57">
        <f t="shared" ca="1" si="5"/>
        <v>0</v>
      </c>
      <c r="AJ8" s="57">
        <f t="shared" ca="1" si="5"/>
        <v>0</v>
      </c>
      <c r="AK8" s="57">
        <f t="shared" ca="1" si="5"/>
        <v>0</v>
      </c>
      <c r="AL8" s="57">
        <f t="shared" ca="1" si="5"/>
        <v>0</v>
      </c>
      <c r="AM8" s="57">
        <f t="shared" ca="1" si="5"/>
        <v>0</v>
      </c>
      <c r="AN8" s="58">
        <f t="shared" ca="1" si="5"/>
        <v>0</v>
      </c>
    </row>
    <row r="9" spans="1:40">
      <c r="A9" s="53" t="str">
        <f>НАСТРОЙКИ!C5</f>
        <v>Очередь 1</v>
      </c>
      <c r="B9" s="54" t="s">
        <v>93</v>
      </c>
      <c r="C9" s="56">
        <f ca="1">IF(NOT(НАСТРОЙКИ!$B$5="Да"),0,IFERROR(EDATE(INDIRECT("'["&amp;НАСТРОЙКИ!$D$5&amp;"]Вводные'!$G$8"),INDIRECT("'["&amp;НАСТРОЙКИ!$D$5&amp;"]Вводные'!$G$9")),0))</f>
        <v>47665</v>
      </c>
      <c r="D9" s="56">
        <f ca="1">IF(NOT(НАСТРОЙКИ!$B$5="Да"),0,IFERROR(EDATE(INDIRECT("'["&amp;НАСТРОЙКИ!$D$5&amp;"]Вводные'!$G$8"),INDIRECT("'["&amp;НАСТРОЙКИ!$D$5&amp;"]Вводные'!$G$9")),0))</f>
        <v>47665</v>
      </c>
      <c r="E9" s="57">
        <f t="shared" ca="1" si="2"/>
        <v>0</v>
      </c>
      <c r="F9" s="57">
        <f t="shared" ca="1" si="2"/>
        <v>0</v>
      </c>
      <c r="G9" s="57">
        <f t="shared" ca="1" si="2"/>
        <v>0</v>
      </c>
      <c r="H9" s="57">
        <f t="shared" ca="1" si="2"/>
        <v>0</v>
      </c>
      <c r="I9" s="57">
        <f t="shared" ca="1" si="2"/>
        <v>0</v>
      </c>
      <c r="J9" s="57">
        <f t="shared" ca="1" si="2"/>
        <v>0</v>
      </c>
      <c r="K9" s="57">
        <f t="shared" ca="1" si="2"/>
        <v>0</v>
      </c>
      <c r="L9" s="57">
        <f t="shared" ca="1" si="2"/>
        <v>0</v>
      </c>
      <c r="M9" s="57">
        <f t="shared" ca="1" si="2"/>
        <v>0</v>
      </c>
      <c r="N9" s="57">
        <f t="shared" ca="1" si="2"/>
        <v>0</v>
      </c>
      <c r="O9" s="57">
        <f t="shared" ca="1" si="3"/>
        <v>0</v>
      </c>
      <c r="P9" s="57">
        <f t="shared" ca="1" si="3"/>
        <v>0</v>
      </c>
      <c r="Q9" s="57">
        <f t="shared" ca="1" si="3"/>
        <v>0</v>
      </c>
      <c r="R9" s="57">
        <f t="shared" ca="1" si="3"/>
        <v>0</v>
      </c>
      <c r="S9" s="57">
        <f t="shared" ca="1" si="3"/>
        <v>1</v>
      </c>
      <c r="T9" s="57">
        <f t="shared" ca="1" si="3"/>
        <v>0</v>
      </c>
      <c r="U9" s="57">
        <f t="shared" ca="1" si="3"/>
        <v>0</v>
      </c>
      <c r="V9" s="57">
        <f t="shared" ca="1" si="3"/>
        <v>0</v>
      </c>
      <c r="W9" s="57">
        <f t="shared" ca="1" si="3"/>
        <v>0</v>
      </c>
      <c r="X9" s="57">
        <f t="shared" ca="1" si="3"/>
        <v>0</v>
      </c>
      <c r="Y9" s="57">
        <f t="shared" ca="1" si="4"/>
        <v>0</v>
      </c>
      <c r="Z9" s="57">
        <f t="shared" ca="1" si="4"/>
        <v>0</v>
      </c>
      <c r="AA9" s="57">
        <f t="shared" ca="1" si="4"/>
        <v>0</v>
      </c>
      <c r="AB9" s="57">
        <f t="shared" ca="1" si="4"/>
        <v>0</v>
      </c>
      <c r="AC9" s="57">
        <f t="shared" ca="1" si="4"/>
        <v>0</v>
      </c>
      <c r="AD9" s="57">
        <f t="shared" ca="1" si="4"/>
        <v>0</v>
      </c>
      <c r="AE9" s="57">
        <f t="shared" ca="1" si="4"/>
        <v>0</v>
      </c>
      <c r="AF9" s="57">
        <f t="shared" ca="1" si="4"/>
        <v>0</v>
      </c>
      <c r="AG9" s="57">
        <f t="shared" ca="1" si="4"/>
        <v>0</v>
      </c>
      <c r="AH9" s="57">
        <f t="shared" ca="1" si="4"/>
        <v>0</v>
      </c>
      <c r="AI9" s="57">
        <f t="shared" ca="1" si="5"/>
        <v>0</v>
      </c>
      <c r="AJ9" s="57">
        <f t="shared" ca="1" si="5"/>
        <v>0</v>
      </c>
      <c r="AK9" s="57">
        <f t="shared" ca="1" si="5"/>
        <v>0</v>
      </c>
      <c r="AL9" s="57">
        <f t="shared" ca="1" si="5"/>
        <v>0</v>
      </c>
      <c r="AM9" s="57">
        <f t="shared" ca="1" si="5"/>
        <v>0</v>
      </c>
      <c r="AN9" s="58">
        <f t="shared" ca="1" si="5"/>
        <v>0</v>
      </c>
    </row>
    <row r="10" spans="1:40">
      <c r="A10" s="53" t="str">
        <f>НАСТРОЙКИ!C6</f>
        <v>Очередь 2</v>
      </c>
      <c r="B10" s="54" t="s">
        <v>92</v>
      </c>
      <c r="C10" s="56">
        <f ca="1">IF(NOT(НАСТРОЙКИ!$B$6="Да"),0,IFERROR(INDIRECT("'["&amp;НАСТРОЙКИ!$D$6&amp;"]Вводные'!$G$8"),0))</f>
        <v>47300</v>
      </c>
      <c r="D10" s="56">
        <f ca="1">IF(NOT(НАСТРОЙКИ!$B$6="Да"),0,IFERROR(INDIRECT("'["&amp;НАСТРОЙКИ!$D$6&amp;"]Вводные'!$G$8"),0))</f>
        <v>47300</v>
      </c>
      <c r="E10" s="57">
        <f t="shared" ca="1" si="2"/>
        <v>0</v>
      </c>
      <c r="F10" s="57">
        <f t="shared" ca="1" si="2"/>
        <v>0</v>
      </c>
      <c r="G10" s="57">
        <f t="shared" ca="1" si="2"/>
        <v>0</v>
      </c>
      <c r="H10" s="57">
        <f t="shared" ca="1" si="2"/>
        <v>0</v>
      </c>
      <c r="I10" s="57">
        <f t="shared" ca="1" si="2"/>
        <v>0</v>
      </c>
      <c r="J10" s="57">
        <f t="shared" ca="1" si="2"/>
        <v>0</v>
      </c>
      <c r="K10" s="57">
        <f t="shared" ca="1" si="2"/>
        <v>0</v>
      </c>
      <c r="L10" s="57">
        <f t="shared" ca="1" si="2"/>
        <v>0</v>
      </c>
      <c r="M10" s="57">
        <f t="shared" ca="1" si="2"/>
        <v>0</v>
      </c>
      <c r="N10" s="57">
        <f t="shared" ca="1" si="2"/>
        <v>0</v>
      </c>
      <c r="O10" s="57">
        <f t="shared" ca="1" si="3"/>
        <v>1</v>
      </c>
      <c r="P10" s="57">
        <f t="shared" ca="1" si="3"/>
        <v>0</v>
      </c>
      <c r="Q10" s="57">
        <f t="shared" ca="1" si="3"/>
        <v>0</v>
      </c>
      <c r="R10" s="57">
        <f t="shared" ca="1" si="3"/>
        <v>0</v>
      </c>
      <c r="S10" s="57">
        <f t="shared" ca="1" si="3"/>
        <v>0</v>
      </c>
      <c r="T10" s="57">
        <f t="shared" ca="1" si="3"/>
        <v>0</v>
      </c>
      <c r="U10" s="57">
        <f t="shared" ca="1" si="3"/>
        <v>0</v>
      </c>
      <c r="V10" s="57">
        <f t="shared" ca="1" si="3"/>
        <v>0</v>
      </c>
      <c r="W10" s="57">
        <f t="shared" ca="1" si="3"/>
        <v>0</v>
      </c>
      <c r="X10" s="57">
        <f t="shared" ca="1" si="3"/>
        <v>0</v>
      </c>
      <c r="Y10" s="57">
        <f t="shared" ca="1" si="4"/>
        <v>0</v>
      </c>
      <c r="Z10" s="57">
        <f t="shared" ca="1" si="4"/>
        <v>0</v>
      </c>
      <c r="AA10" s="57">
        <f t="shared" ca="1" si="4"/>
        <v>0</v>
      </c>
      <c r="AB10" s="57">
        <f t="shared" ca="1" si="4"/>
        <v>0</v>
      </c>
      <c r="AC10" s="57">
        <f t="shared" ca="1" si="4"/>
        <v>0</v>
      </c>
      <c r="AD10" s="57">
        <f t="shared" ca="1" si="4"/>
        <v>0</v>
      </c>
      <c r="AE10" s="57">
        <f t="shared" ca="1" si="4"/>
        <v>0</v>
      </c>
      <c r="AF10" s="57">
        <f t="shared" ca="1" si="4"/>
        <v>0</v>
      </c>
      <c r="AG10" s="57">
        <f t="shared" ca="1" si="4"/>
        <v>0</v>
      </c>
      <c r="AH10" s="57">
        <f t="shared" ca="1" si="4"/>
        <v>0</v>
      </c>
      <c r="AI10" s="57">
        <f t="shared" ca="1" si="5"/>
        <v>0</v>
      </c>
      <c r="AJ10" s="57">
        <f t="shared" ca="1" si="5"/>
        <v>0</v>
      </c>
      <c r="AK10" s="57">
        <f t="shared" ca="1" si="5"/>
        <v>0</v>
      </c>
      <c r="AL10" s="57">
        <f t="shared" ca="1" si="5"/>
        <v>0</v>
      </c>
      <c r="AM10" s="57">
        <f t="shared" ca="1" si="5"/>
        <v>0</v>
      </c>
      <c r="AN10" s="58">
        <f t="shared" ca="1" si="5"/>
        <v>0</v>
      </c>
    </row>
    <row r="11" spans="1:40">
      <c r="A11" s="53" t="str">
        <f>НАСТРОЙКИ!C6</f>
        <v>Очередь 2</v>
      </c>
      <c r="B11" s="54" t="s">
        <v>177</v>
      </c>
      <c r="C11" s="56">
        <f ca="1">IF(NOT(НАСТРОЙКИ!$B$6="Да"),0,IFERROR(INDIRECT("'["&amp;НАСТРОЙКИ!$D$6&amp;"]СРОКИ'!$C$29"),0))</f>
        <v>47300</v>
      </c>
      <c r="D11" s="56">
        <f ca="1">IF(NOT(НАСТРОЙКИ!$B$6="Да"),0,IFERROR(INDIRECT("'["&amp;НАСТРОЙКИ!$D$6&amp;"]СРОКИ'!$E$29"),0))</f>
        <v>48030</v>
      </c>
      <c r="E11" s="57">
        <f t="shared" ca="1" si="2"/>
        <v>0</v>
      </c>
      <c r="F11" s="57">
        <f t="shared" ca="1" si="2"/>
        <v>0</v>
      </c>
      <c r="G11" s="57">
        <f t="shared" ca="1" si="2"/>
        <v>0</v>
      </c>
      <c r="H11" s="57">
        <f t="shared" ca="1" si="2"/>
        <v>0</v>
      </c>
      <c r="I11" s="57">
        <f t="shared" ca="1" si="2"/>
        <v>0</v>
      </c>
      <c r="J11" s="57">
        <f t="shared" ca="1" si="2"/>
        <v>0</v>
      </c>
      <c r="K11" s="57">
        <f t="shared" ca="1" si="2"/>
        <v>0</v>
      </c>
      <c r="L11" s="57">
        <f t="shared" ca="1" si="2"/>
        <v>0</v>
      </c>
      <c r="M11" s="57">
        <f t="shared" ca="1" si="2"/>
        <v>0</v>
      </c>
      <c r="N11" s="57">
        <f t="shared" ca="1" si="2"/>
        <v>0</v>
      </c>
      <c r="O11" s="57">
        <f t="shared" ca="1" si="3"/>
        <v>1</v>
      </c>
      <c r="P11" s="57">
        <f t="shared" ca="1" si="3"/>
        <v>1</v>
      </c>
      <c r="Q11" s="57">
        <f t="shared" ca="1" si="3"/>
        <v>1</v>
      </c>
      <c r="R11" s="57">
        <f t="shared" ca="1" si="3"/>
        <v>1</v>
      </c>
      <c r="S11" s="57">
        <f t="shared" ca="1" si="3"/>
        <v>1</v>
      </c>
      <c r="T11" s="57">
        <f t="shared" ca="1" si="3"/>
        <v>1</v>
      </c>
      <c r="U11" s="57">
        <f t="shared" ca="1" si="3"/>
        <v>1</v>
      </c>
      <c r="V11" s="57">
        <f t="shared" ca="1" si="3"/>
        <v>1</v>
      </c>
      <c r="W11" s="57">
        <f t="shared" ca="1" si="3"/>
        <v>1</v>
      </c>
      <c r="X11" s="57">
        <f t="shared" ca="1" si="3"/>
        <v>0</v>
      </c>
      <c r="Y11" s="57">
        <f t="shared" ca="1" si="4"/>
        <v>0</v>
      </c>
      <c r="Z11" s="57">
        <f t="shared" ca="1" si="4"/>
        <v>0</v>
      </c>
      <c r="AA11" s="57">
        <f t="shared" ca="1" si="4"/>
        <v>0</v>
      </c>
      <c r="AB11" s="57">
        <f t="shared" ca="1" si="4"/>
        <v>0</v>
      </c>
      <c r="AC11" s="57">
        <f t="shared" ca="1" si="4"/>
        <v>0</v>
      </c>
      <c r="AD11" s="57">
        <f t="shared" ca="1" si="4"/>
        <v>0</v>
      </c>
      <c r="AE11" s="57">
        <f t="shared" ca="1" si="4"/>
        <v>0</v>
      </c>
      <c r="AF11" s="57">
        <f t="shared" ca="1" si="4"/>
        <v>0</v>
      </c>
      <c r="AG11" s="57">
        <f t="shared" ca="1" si="4"/>
        <v>0</v>
      </c>
      <c r="AH11" s="57">
        <f t="shared" ca="1" si="4"/>
        <v>0</v>
      </c>
      <c r="AI11" s="57">
        <f t="shared" ca="1" si="5"/>
        <v>0</v>
      </c>
      <c r="AJ11" s="57">
        <f t="shared" ca="1" si="5"/>
        <v>0</v>
      </c>
      <c r="AK11" s="57">
        <f t="shared" ca="1" si="5"/>
        <v>0</v>
      </c>
      <c r="AL11" s="57">
        <f t="shared" ca="1" si="5"/>
        <v>0</v>
      </c>
      <c r="AM11" s="57">
        <f t="shared" ca="1" si="5"/>
        <v>0</v>
      </c>
      <c r="AN11" s="58">
        <f t="shared" ca="1" si="5"/>
        <v>0</v>
      </c>
    </row>
    <row r="12" spans="1:40">
      <c r="A12" s="53" t="str">
        <f>НАСТРОЙКИ!C6</f>
        <v>Очередь 2</v>
      </c>
      <c r="B12" s="54" t="s">
        <v>178</v>
      </c>
      <c r="C12" s="56">
        <f ca="1">IF(NOT(НАСТРОЙКИ!$B$6="Да"),0,IFERROR(INDIRECT("'["&amp;НАСТРОЙКИ!$D$6&amp;"]СРОКИ'!$C$34"),0))</f>
        <v>47209</v>
      </c>
      <c r="D12" s="56">
        <f ca="1">IF(NOT(НАСТРОЙКИ!$B$6="Да"),0,IFERROR(INDIRECT("'["&amp;НАСТРОЙКИ!$D$6&amp;"]СРОКИ'!$E$34"),0))</f>
        <v>48000</v>
      </c>
      <c r="E12" s="57">
        <f t="shared" ca="1" si="2"/>
        <v>0</v>
      </c>
      <c r="F12" s="57">
        <f t="shared" ca="1" si="2"/>
        <v>0</v>
      </c>
      <c r="G12" s="57">
        <f t="shared" ca="1" si="2"/>
        <v>0</v>
      </c>
      <c r="H12" s="57">
        <f t="shared" ca="1" si="2"/>
        <v>0</v>
      </c>
      <c r="I12" s="57">
        <f t="shared" ca="1" si="2"/>
        <v>0</v>
      </c>
      <c r="J12" s="57">
        <f t="shared" ca="1" si="2"/>
        <v>0</v>
      </c>
      <c r="K12" s="57">
        <f t="shared" ca="1" si="2"/>
        <v>0</v>
      </c>
      <c r="L12" s="57">
        <f t="shared" ca="1" si="2"/>
        <v>0</v>
      </c>
      <c r="M12" s="57">
        <f t="shared" ca="1" si="2"/>
        <v>0</v>
      </c>
      <c r="N12" s="57">
        <f t="shared" ca="1" si="2"/>
        <v>1</v>
      </c>
      <c r="O12" s="57">
        <f t="shared" ca="1" si="3"/>
        <v>1</v>
      </c>
      <c r="P12" s="57">
        <f t="shared" ca="1" si="3"/>
        <v>1</v>
      </c>
      <c r="Q12" s="57">
        <f t="shared" ca="1" si="3"/>
        <v>1</v>
      </c>
      <c r="R12" s="57">
        <f t="shared" ca="1" si="3"/>
        <v>1</v>
      </c>
      <c r="S12" s="57">
        <f t="shared" ca="1" si="3"/>
        <v>1</v>
      </c>
      <c r="T12" s="57">
        <f t="shared" ca="1" si="3"/>
        <v>1</v>
      </c>
      <c r="U12" s="57">
        <f t="shared" ca="1" si="3"/>
        <v>1</v>
      </c>
      <c r="V12" s="57">
        <f t="shared" ca="1" si="3"/>
        <v>1</v>
      </c>
      <c r="W12" s="57">
        <f t="shared" ca="1" si="3"/>
        <v>0</v>
      </c>
      <c r="X12" s="57">
        <f t="shared" ca="1" si="3"/>
        <v>0</v>
      </c>
      <c r="Y12" s="57">
        <f t="shared" ca="1" si="4"/>
        <v>0</v>
      </c>
      <c r="Z12" s="57">
        <f t="shared" ca="1" si="4"/>
        <v>0</v>
      </c>
      <c r="AA12" s="57">
        <f t="shared" ca="1" si="4"/>
        <v>0</v>
      </c>
      <c r="AB12" s="57">
        <f t="shared" ca="1" si="4"/>
        <v>0</v>
      </c>
      <c r="AC12" s="57">
        <f t="shared" ca="1" si="4"/>
        <v>0</v>
      </c>
      <c r="AD12" s="57">
        <f t="shared" ca="1" si="4"/>
        <v>0</v>
      </c>
      <c r="AE12" s="57">
        <f t="shared" ca="1" si="4"/>
        <v>0</v>
      </c>
      <c r="AF12" s="57">
        <f t="shared" ca="1" si="4"/>
        <v>0</v>
      </c>
      <c r="AG12" s="57">
        <f t="shared" ca="1" si="4"/>
        <v>0</v>
      </c>
      <c r="AH12" s="57">
        <f t="shared" ca="1" si="4"/>
        <v>0</v>
      </c>
      <c r="AI12" s="57">
        <f t="shared" ca="1" si="5"/>
        <v>0</v>
      </c>
      <c r="AJ12" s="57">
        <f t="shared" ca="1" si="5"/>
        <v>0</v>
      </c>
      <c r="AK12" s="57">
        <f t="shared" ca="1" si="5"/>
        <v>0</v>
      </c>
      <c r="AL12" s="57">
        <f t="shared" ca="1" si="5"/>
        <v>0</v>
      </c>
      <c r="AM12" s="57">
        <f t="shared" ca="1" si="5"/>
        <v>0</v>
      </c>
      <c r="AN12" s="58">
        <f t="shared" ca="1" si="5"/>
        <v>0</v>
      </c>
    </row>
    <row r="13" spans="1:40">
      <c r="A13" s="53" t="str">
        <f>НАСТРОЙКИ!C6</f>
        <v>Очередь 2</v>
      </c>
      <c r="B13" s="54" t="s">
        <v>179</v>
      </c>
      <c r="C13" s="56">
        <f ca="1">IF(NOT(НАСТРОЙКИ!$B$6="Да"),0,IFERROR(INDIRECT("'["&amp;НАСТРОЙКИ!$D$6&amp;"]СРОКИ'!$C$35"),0))</f>
        <v>47969</v>
      </c>
      <c r="D13" s="56">
        <f ca="1">IF(NOT(НАСТРОЙКИ!$B$6="Да"),0,IFERROR(INDIRECT("'["&amp;НАСТРОЙКИ!$D$6&amp;"]СРОКИ'!$E$35"),0))</f>
        <v>48061</v>
      </c>
      <c r="E13" s="57">
        <f t="shared" ca="1" si="2"/>
        <v>0</v>
      </c>
      <c r="F13" s="57">
        <f t="shared" ca="1" si="2"/>
        <v>0</v>
      </c>
      <c r="G13" s="57">
        <f t="shared" ca="1" si="2"/>
        <v>0</v>
      </c>
      <c r="H13" s="57">
        <f t="shared" ca="1" si="2"/>
        <v>0</v>
      </c>
      <c r="I13" s="57">
        <f t="shared" ca="1" si="2"/>
        <v>0</v>
      </c>
      <c r="J13" s="57">
        <f t="shared" ca="1" si="2"/>
        <v>0</v>
      </c>
      <c r="K13" s="57">
        <f t="shared" ca="1" si="2"/>
        <v>0</v>
      </c>
      <c r="L13" s="57">
        <f t="shared" ca="1" si="2"/>
        <v>0</v>
      </c>
      <c r="M13" s="57">
        <f t="shared" ca="1" si="2"/>
        <v>0</v>
      </c>
      <c r="N13" s="57">
        <f t="shared" ca="1" si="2"/>
        <v>0</v>
      </c>
      <c r="O13" s="57">
        <f t="shared" ca="1" si="3"/>
        <v>0</v>
      </c>
      <c r="P13" s="57">
        <f t="shared" ca="1" si="3"/>
        <v>0</v>
      </c>
      <c r="Q13" s="57">
        <f t="shared" ca="1" si="3"/>
        <v>0</v>
      </c>
      <c r="R13" s="57">
        <f t="shared" ca="1" si="3"/>
        <v>0</v>
      </c>
      <c r="S13" s="57">
        <f t="shared" ca="1" si="3"/>
        <v>0</v>
      </c>
      <c r="T13" s="57">
        <f t="shared" ca="1" si="3"/>
        <v>0</v>
      </c>
      <c r="U13" s="57">
        <f t="shared" ca="1" si="3"/>
        <v>0</v>
      </c>
      <c r="V13" s="57">
        <f t="shared" ca="1" si="3"/>
        <v>1</v>
      </c>
      <c r="W13" s="57">
        <f t="shared" ca="1" si="3"/>
        <v>1</v>
      </c>
      <c r="X13" s="57">
        <f t="shared" ca="1" si="3"/>
        <v>0</v>
      </c>
      <c r="Y13" s="57">
        <f t="shared" ca="1" si="4"/>
        <v>0</v>
      </c>
      <c r="Z13" s="57">
        <f t="shared" ca="1" si="4"/>
        <v>0</v>
      </c>
      <c r="AA13" s="57">
        <f t="shared" ca="1" si="4"/>
        <v>0</v>
      </c>
      <c r="AB13" s="57">
        <f t="shared" ca="1" si="4"/>
        <v>0</v>
      </c>
      <c r="AC13" s="57">
        <f t="shared" ca="1" si="4"/>
        <v>0</v>
      </c>
      <c r="AD13" s="57">
        <f t="shared" ca="1" si="4"/>
        <v>0</v>
      </c>
      <c r="AE13" s="57">
        <f t="shared" ca="1" si="4"/>
        <v>0</v>
      </c>
      <c r="AF13" s="57">
        <f t="shared" ca="1" si="4"/>
        <v>0</v>
      </c>
      <c r="AG13" s="57">
        <f t="shared" ca="1" si="4"/>
        <v>0</v>
      </c>
      <c r="AH13" s="57">
        <f t="shared" ca="1" si="4"/>
        <v>0</v>
      </c>
      <c r="AI13" s="57">
        <f t="shared" ca="1" si="5"/>
        <v>0</v>
      </c>
      <c r="AJ13" s="57">
        <f t="shared" ca="1" si="5"/>
        <v>0</v>
      </c>
      <c r="AK13" s="57">
        <f t="shared" ca="1" si="5"/>
        <v>0</v>
      </c>
      <c r="AL13" s="57">
        <f t="shared" ca="1" si="5"/>
        <v>0</v>
      </c>
      <c r="AM13" s="57">
        <f t="shared" ca="1" si="5"/>
        <v>0</v>
      </c>
      <c r="AN13" s="58">
        <f t="shared" ca="1" si="5"/>
        <v>0</v>
      </c>
    </row>
    <row r="14" spans="1:40">
      <c r="A14" s="53" t="str">
        <f>НАСТРОЙКИ!C6</f>
        <v>Очередь 2</v>
      </c>
      <c r="B14" s="54" t="s">
        <v>93</v>
      </c>
      <c r="C14" s="56">
        <f ca="1">IF(NOT(НАСТРОЙКИ!$B$6="Да"),0,IFERROR(EDATE(INDIRECT("'["&amp;НАСТРОЙКИ!$D$6&amp;"]Вводные'!$G$8"),INDIRECT("'["&amp;НАСТРОЙКИ!$D$6&amp;"]Вводные'!$G$9")),0))</f>
        <v>48030</v>
      </c>
      <c r="D14" s="56">
        <f ca="1">IF(NOT(НАСТРОЙКИ!$B$6="Да"),0,IFERROR(EDATE(INDIRECT("'["&amp;НАСТРОЙКИ!$D$6&amp;"]Вводные'!$G$8"),INDIRECT("'["&amp;НАСТРОЙКИ!$D$6&amp;"]Вводные'!$G$9")),0))</f>
        <v>48030</v>
      </c>
      <c r="E14" s="57">
        <f t="shared" ca="1" si="2"/>
        <v>0</v>
      </c>
      <c r="F14" s="57">
        <f t="shared" ca="1" si="2"/>
        <v>0</v>
      </c>
      <c r="G14" s="57">
        <f t="shared" ca="1" si="2"/>
        <v>0</v>
      </c>
      <c r="H14" s="57">
        <f t="shared" ca="1" si="2"/>
        <v>0</v>
      </c>
      <c r="I14" s="57">
        <f t="shared" ca="1" si="2"/>
        <v>0</v>
      </c>
      <c r="J14" s="57">
        <f t="shared" ca="1" si="2"/>
        <v>0</v>
      </c>
      <c r="K14" s="57">
        <f t="shared" ca="1" si="2"/>
        <v>0</v>
      </c>
      <c r="L14" s="57">
        <f t="shared" ca="1" si="2"/>
        <v>0</v>
      </c>
      <c r="M14" s="57">
        <f t="shared" ca="1" si="2"/>
        <v>0</v>
      </c>
      <c r="N14" s="57">
        <f t="shared" ca="1" si="2"/>
        <v>0</v>
      </c>
      <c r="O14" s="57">
        <f t="shared" ca="1" si="3"/>
        <v>0</v>
      </c>
      <c r="P14" s="57">
        <f t="shared" ca="1" si="3"/>
        <v>0</v>
      </c>
      <c r="Q14" s="57">
        <f t="shared" ca="1" si="3"/>
        <v>0</v>
      </c>
      <c r="R14" s="57">
        <f t="shared" ca="1" si="3"/>
        <v>0</v>
      </c>
      <c r="S14" s="57">
        <f t="shared" ca="1" si="3"/>
        <v>0</v>
      </c>
      <c r="T14" s="57">
        <f t="shared" ca="1" si="3"/>
        <v>0</v>
      </c>
      <c r="U14" s="57">
        <f t="shared" ca="1" si="3"/>
        <v>0</v>
      </c>
      <c r="V14" s="57">
        <f t="shared" ca="1" si="3"/>
        <v>0</v>
      </c>
      <c r="W14" s="57">
        <f t="shared" ca="1" si="3"/>
        <v>1</v>
      </c>
      <c r="X14" s="57">
        <f t="shared" ca="1" si="3"/>
        <v>0</v>
      </c>
      <c r="Y14" s="57">
        <f t="shared" ca="1" si="4"/>
        <v>0</v>
      </c>
      <c r="Z14" s="57">
        <f t="shared" ca="1" si="4"/>
        <v>0</v>
      </c>
      <c r="AA14" s="57">
        <f t="shared" ca="1" si="4"/>
        <v>0</v>
      </c>
      <c r="AB14" s="57">
        <f t="shared" ca="1" si="4"/>
        <v>0</v>
      </c>
      <c r="AC14" s="57">
        <f t="shared" ca="1" si="4"/>
        <v>0</v>
      </c>
      <c r="AD14" s="57">
        <f t="shared" ca="1" si="4"/>
        <v>0</v>
      </c>
      <c r="AE14" s="57">
        <f t="shared" ca="1" si="4"/>
        <v>0</v>
      </c>
      <c r="AF14" s="57">
        <f t="shared" ca="1" si="4"/>
        <v>0</v>
      </c>
      <c r="AG14" s="57">
        <f t="shared" ca="1" si="4"/>
        <v>0</v>
      </c>
      <c r="AH14" s="57">
        <f t="shared" ca="1" si="4"/>
        <v>0</v>
      </c>
      <c r="AI14" s="57">
        <f t="shared" ca="1" si="5"/>
        <v>0</v>
      </c>
      <c r="AJ14" s="57">
        <f t="shared" ca="1" si="5"/>
        <v>0</v>
      </c>
      <c r="AK14" s="57">
        <f t="shared" ca="1" si="5"/>
        <v>0</v>
      </c>
      <c r="AL14" s="57">
        <f t="shared" ca="1" si="5"/>
        <v>0</v>
      </c>
      <c r="AM14" s="57">
        <f t="shared" ca="1" si="5"/>
        <v>0</v>
      </c>
      <c r="AN14" s="58">
        <f t="shared" ca="1" si="5"/>
        <v>0</v>
      </c>
    </row>
    <row r="15" spans="1:40">
      <c r="A15" s="53" t="str">
        <f>НАСТРОЙКИ!C7</f>
        <v>Очередь 3</v>
      </c>
      <c r="B15" s="54" t="s">
        <v>92</v>
      </c>
      <c r="C15" s="56">
        <f ca="1">IF(NOT(НАСТРОЙКИ!$B$7="Да"),0,IFERROR(INDIRECT("'["&amp;НАСТРОЙКИ!$D$7&amp;"]Вводные'!$G$8"),0))</f>
        <v>47665</v>
      </c>
      <c r="D15" s="56">
        <f ca="1">IF(NOT(НАСТРОЙКИ!$B$7="Да"),0,IFERROR(INDIRECT("'["&amp;НАСТРОЙКИ!$D$7&amp;"]Вводные'!$G$8"),0))</f>
        <v>47665</v>
      </c>
      <c r="E15" s="57">
        <f t="shared" ref="E15:N24" ca="1" si="6">IF(OR($C15=0,$D15=0),0,--AND(E$2&lt;=$D15,EOMONTH(E$2,2)&gt;=$C15))</f>
        <v>0</v>
      </c>
      <c r="F15" s="57">
        <f t="shared" ca="1" si="6"/>
        <v>0</v>
      </c>
      <c r="G15" s="57">
        <f t="shared" ca="1" si="6"/>
        <v>0</v>
      </c>
      <c r="H15" s="57">
        <f t="shared" ca="1" si="6"/>
        <v>0</v>
      </c>
      <c r="I15" s="57">
        <f t="shared" ca="1" si="6"/>
        <v>0</v>
      </c>
      <c r="J15" s="57">
        <f t="shared" ca="1" si="6"/>
        <v>0</v>
      </c>
      <c r="K15" s="57">
        <f t="shared" ca="1" si="6"/>
        <v>0</v>
      </c>
      <c r="L15" s="57">
        <f t="shared" ca="1" si="6"/>
        <v>0</v>
      </c>
      <c r="M15" s="57">
        <f t="shared" ca="1" si="6"/>
        <v>0</v>
      </c>
      <c r="N15" s="57">
        <f t="shared" ca="1" si="6"/>
        <v>0</v>
      </c>
      <c r="O15" s="57">
        <f t="shared" ref="O15:X24" ca="1" si="7">IF(OR($C15=0,$D15=0),0,--AND(O$2&lt;=$D15,EOMONTH(O$2,2)&gt;=$C15))</f>
        <v>0</v>
      </c>
      <c r="P15" s="57">
        <f t="shared" ca="1" si="7"/>
        <v>0</v>
      </c>
      <c r="Q15" s="57">
        <f t="shared" ca="1" si="7"/>
        <v>0</v>
      </c>
      <c r="R15" s="57">
        <f t="shared" ca="1" si="7"/>
        <v>0</v>
      </c>
      <c r="S15" s="57">
        <f t="shared" ca="1" si="7"/>
        <v>1</v>
      </c>
      <c r="T15" s="57">
        <f t="shared" ca="1" si="7"/>
        <v>0</v>
      </c>
      <c r="U15" s="57">
        <f t="shared" ca="1" si="7"/>
        <v>0</v>
      </c>
      <c r="V15" s="57">
        <f t="shared" ca="1" si="7"/>
        <v>0</v>
      </c>
      <c r="W15" s="57">
        <f t="shared" ca="1" si="7"/>
        <v>0</v>
      </c>
      <c r="X15" s="57">
        <f t="shared" ca="1" si="7"/>
        <v>0</v>
      </c>
      <c r="Y15" s="57">
        <f t="shared" ref="Y15:AH24" ca="1" si="8">IF(OR($C15=0,$D15=0),0,--AND(Y$2&lt;=$D15,EOMONTH(Y$2,2)&gt;=$C15))</f>
        <v>0</v>
      </c>
      <c r="Z15" s="57">
        <f t="shared" ca="1" si="8"/>
        <v>0</v>
      </c>
      <c r="AA15" s="57">
        <f t="shared" ca="1" si="8"/>
        <v>0</v>
      </c>
      <c r="AB15" s="57">
        <f t="shared" ca="1" si="8"/>
        <v>0</v>
      </c>
      <c r="AC15" s="57">
        <f t="shared" ca="1" si="8"/>
        <v>0</v>
      </c>
      <c r="AD15" s="57">
        <f t="shared" ca="1" si="8"/>
        <v>0</v>
      </c>
      <c r="AE15" s="57">
        <f t="shared" ca="1" si="8"/>
        <v>0</v>
      </c>
      <c r="AF15" s="57">
        <f t="shared" ca="1" si="8"/>
        <v>0</v>
      </c>
      <c r="AG15" s="57">
        <f t="shared" ca="1" si="8"/>
        <v>0</v>
      </c>
      <c r="AH15" s="57">
        <f t="shared" ca="1" si="8"/>
        <v>0</v>
      </c>
      <c r="AI15" s="57">
        <f t="shared" ref="AI15:AN24" ca="1" si="9">IF(OR($C15=0,$D15=0),0,--AND(AI$2&lt;=$D15,EOMONTH(AI$2,2)&gt;=$C15))</f>
        <v>0</v>
      </c>
      <c r="AJ15" s="57">
        <f t="shared" ca="1" si="9"/>
        <v>0</v>
      </c>
      <c r="AK15" s="57">
        <f t="shared" ca="1" si="9"/>
        <v>0</v>
      </c>
      <c r="AL15" s="57">
        <f t="shared" ca="1" si="9"/>
        <v>0</v>
      </c>
      <c r="AM15" s="57">
        <f t="shared" ca="1" si="9"/>
        <v>0</v>
      </c>
      <c r="AN15" s="58">
        <f t="shared" ca="1" si="9"/>
        <v>0</v>
      </c>
    </row>
    <row r="16" spans="1:40">
      <c r="A16" s="53" t="str">
        <f>НАСТРОЙКИ!C7</f>
        <v>Очередь 3</v>
      </c>
      <c r="B16" s="54" t="s">
        <v>177</v>
      </c>
      <c r="C16" s="56">
        <f ca="1">IF(NOT(НАСТРОЙКИ!$B$7="Да"),0,IFERROR(INDIRECT("'["&amp;НАСТРОЙКИ!$D$7&amp;"]СРОКИ'!$C$29"),0))</f>
        <v>47665</v>
      </c>
      <c r="D16" s="56">
        <f ca="1">IF(NOT(НАСТРОЙКИ!$B$7="Да"),0,IFERROR(INDIRECT("'["&amp;НАСТРОЙКИ!$D$7&amp;"]СРОКИ'!$E$29"),0))</f>
        <v>48396</v>
      </c>
      <c r="E16" s="57">
        <f t="shared" ca="1" si="6"/>
        <v>0</v>
      </c>
      <c r="F16" s="57">
        <f t="shared" ca="1" si="6"/>
        <v>0</v>
      </c>
      <c r="G16" s="57">
        <f t="shared" ca="1" si="6"/>
        <v>0</v>
      </c>
      <c r="H16" s="57">
        <f t="shared" ca="1" si="6"/>
        <v>0</v>
      </c>
      <c r="I16" s="57">
        <f t="shared" ca="1" si="6"/>
        <v>0</v>
      </c>
      <c r="J16" s="57">
        <f t="shared" ca="1" si="6"/>
        <v>0</v>
      </c>
      <c r="K16" s="57">
        <f t="shared" ca="1" si="6"/>
        <v>0</v>
      </c>
      <c r="L16" s="57">
        <f t="shared" ca="1" si="6"/>
        <v>0</v>
      </c>
      <c r="M16" s="57">
        <f t="shared" ca="1" si="6"/>
        <v>0</v>
      </c>
      <c r="N16" s="57">
        <f t="shared" ca="1" si="6"/>
        <v>0</v>
      </c>
      <c r="O16" s="57">
        <f t="shared" ca="1" si="7"/>
        <v>0</v>
      </c>
      <c r="P16" s="57">
        <f t="shared" ca="1" si="7"/>
        <v>0</v>
      </c>
      <c r="Q16" s="57">
        <f t="shared" ca="1" si="7"/>
        <v>0</v>
      </c>
      <c r="R16" s="57">
        <f t="shared" ca="1" si="7"/>
        <v>0</v>
      </c>
      <c r="S16" s="57">
        <f t="shared" ca="1" si="7"/>
        <v>1</v>
      </c>
      <c r="T16" s="57">
        <f t="shared" ca="1" si="7"/>
        <v>1</v>
      </c>
      <c r="U16" s="57">
        <f t="shared" ca="1" si="7"/>
        <v>1</v>
      </c>
      <c r="V16" s="57">
        <f t="shared" ca="1" si="7"/>
        <v>1</v>
      </c>
      <c r="W16" s="57">
        <f t="shared" ca="1" si="7"/>
        <v>1</v>
      </c>
      <c r="X16" s="57">
        <f t="shared" ca="1" si="7"/>
        <v>1</v>
      </c>
      <c r="Y16" s="57">
        <f t="shared" ca="1" si="8"/>
        <v>1</v>
      </c>
      <c r="Z16" s="57">
        <f t="shared" ca="1" si="8"/>
        <v>1</v>
      </c>
      <c r="AA16" s="57">
        <f t="shared" ca="1" si="8"/>
        <v>1</v>
      </c>
      <c r="AB16" s="57">
        <f t="shared" ca="1" si="8"/>
        <v>0</v>
      </c>
      <c r="AC16" s="57">
        <f t="shared" ca="1" si="8"/>
        <v>0</v>
      </c>
      <c r="AD16" s="57">
        <f t="shared" ca="1" si="8"/>
        <v>0</v>
      </c>
      <c r="AE16" s="57">
        <f t="shared" ca="1" si="8"/>
        <v>0</v>
      </c>
      <c r="AF16" s="57">
        <f t="shared" ca="1" si="8"/>
        <v>0</v>
      </c>
      <c r="AG16" s="57">
        <f t="shared" ca="1" si="8"/>
        <v>0</v>
      </c>
      <c r="AH16" s="57">
        <f t="shared" ca="1" si="8"/>
        <v>0</v>
      </c>
      <c r="AI16" s="57">
        <f t="shared" ca="1" si="9"/>
        <v>0</v>
      </c>
      <c r="AJ16" s="57">
        <f t="shared" ca="1" si="9"/>
        <v>0</v>
      </c>
      <c r="AK16" s="57">
        <f t="shared" ca="1" si="9"/>
        <v>0</v>
      </c>
      <c r="AL16" s="57">
        <f t="shared" ca="1" si="9"/>
        <v>0</v>
      </c>
      <c r="AM16" s="57">
        <f t="shared" ca="1" si="9"/>
        <v>0</v>
      </c>
      <c r="AN16" s="58">
        <f t="shared" ca="1" si="9"/>
        <v>0</v>
      </c>
    </row>
    <row r="17" spans="1:40">
      <c r="A17" s="53" t="str">
        <f>НАСТРОЙКИ!C7</f>
        <v>Очередь 3</v>
      </c>
      <c r="B17" s="54" t="s">
        <v>178</v>
      </c>
      <c r="C17" s="56">
        <f ca="1">IF(NOT(НАСТРОЙКИ!$B$7="Да"),0,IFERROR(INDIRECT("'["&amp;НАСТРОЙКИ!$D$7&amp;"]СРОКИ'!$C$34"),0))</f>
        <v>47574</v>
      </c>
      <c r="D17" s="56">
        <f ca="1">IF(NOT(НАСТРОЙКИ!$B$7="Да"),0,IFERROR(INDIRECT("'["&amp;НАСТРОЙКИ!$D$7&amp;"]СРОКИ'!$E$34"),0))</f>
        <v>48366</v>
      </c>
      <c r="E17" s="57">
        <f t="shared" ca="1" si="6"/>
        <v>0</v>
      </c>
      <c r="F17" s="57">
        <f t="shared" ca="1" si="6"/>
        <v>0</v>
      </c>
      <c r="G17" s="57">
        <f t="shared" ca="1" si="6"/>
        <v>0</v>
      </c>
      <c r="H17" s="57">
        <f t="shared" ca="1" si="6"/>
        <v>0</v>
      </c>
      <c r="I17" s="57">
        <f t="shared" ca="1" si="6"/>
        <v>0</v>
      </c>
      <c r="J17" s="57">
        <f t="shared" ca="1" si="6"/>
        <v>0</v>
      </c>
      <c r="K17" s="57">
        <f t="shared" ca="1" si="6"/>
        <v>0</v>
      </c>
      <c r="L17" s="57">
        <f t="shared" ca="1" si="6"/>
        <v>0</v>
      </c>
      <c r="M17" s="57">
        <f t="shared" ca="1" si="6"/>
        <v>0</v>
      </c>
      <c r="N17" s="57">
        <f t="shared" ca="1" si="6"/>
        <v>0</v>
      </c>
      <c r="O17" s="57">
        <f t="shared" ca="1" si="7"/>
        <v>0</v>
      </c>
      <c r="P17" s="57">
        <f t="shared" ca="1" si="7"/>
        <v>0</v>
      </c>
      <c r="Q17" s="57">
        <f t="shared" ca="1" si="7"/>
        <v>0</v>
      </c>
      <c r="R17" s="57">
        <f t="shared" ca="1" si="7"/>
        <v>1</v>
      </c>
      <c r="S17" s="57">
        <f t="shared" ca="1" si="7"/>
        <v>1</v>
      </c>
      <c r="T17" s="57">
        <f t="shared" ca="1" si="7"/>
        <v>1</v>
      </c>
      <c r="U17" s="57">
        <f t="shared" ca="1" si="7"/>
        <v>1</v>
      </c>
      <c r="V17" s="57">
        <f t="shared" ca="1" si="7"/>
        <v>1</v>
      </c>
      <c r="W17" s="57">
        <f t="shared" ca="1" si="7"/>
        <v>1</v>
      </c>
      <c r="X17" s="57">
        <f t="shared" ca="1" si="7"/>
        <v>1</v>
      </c>
      <c r="Y17" s="57">
        <f t="shared" ca="1" si="8"/>
        <v>1</v>
      </c>
      <c r="Z17" s="57">
        <f t="shared" ca="1" si="8"/>
        <v>1</v>
      </c>
      <c r="AA17" s="57">
        <f t="shared" ca="1" si="8"/>
        <v>0</v>
      </c>
      <c r="AB17" s="57">
        <f t="shared" ca="1" si="8"/>
        <v>0</v>
      </c>
      <c r="AC17" s="57">
        <f t="shared" ca="1" si="8"/>
        <v>0</v>
      </c>
      <c r="AD17" s="57">
        <f t="shared" ca="1" si="8"/>
        <v>0</v>
      </c>
      <c r="AE17" s="57">
        <f t="shared" ca="1" si="8"/>
        <v>0</v>
      </c>
      <c r="AF17" s="57">
        <f t="shared" ca="1" si="8"/>
        <v>0</v>
      </c>
      <c r="AG17" s="57">
        <f t="shared" ca="1" si="8"/>
        <v>0</v>
      </c>
      <c r="AH17" s="57">
        <f t="shared" ca="1" si="8"/>
        <v>0</v>
      </c>
      <c r="AI17" s="57">
        <f t="shared" ca="1" si="9"/>
        <v>0</v>
      </c>
      <c r="AJ17" s="57">
        <f t="shared" ca="1" si="9"/>
        <v>0</v>
      </c>
      <c r="AK17" s="57">
        <f t="shared" ca="1" si="9"/>
        <v>0</v>
      </c>
      <c r="AL17" s="57">
        <f t="shared" ca="1" si="9"/>
        <v>0</v>
      </c>
      <c r="AM17" s="57">
        <f t="shared" ca="1" si="9"/>
        <v>0</v>
      </c>
      <c r="AN17" s="58">
        <f t="shared" ca="1" si="9"/>
        <v>0</v>
      </c>
    </row>
    <row r="18" spans="1:40">
      <c r="A18" s="53" t="str">
        <f>НАСТРОЙКИ!C7</f>
        <v>Очередь 3</v>
      </c>
      <c r="B18" s="54" t="s">
        <v>179</v>
      </c>
      <c r="C18" s="56">
        <f ca="1">IF(NOT(НАСТРОЙКИ!$B$7="Да"),0,IFERROR(INDIRECT("'["&amp;НАСТРОЙКИ!$D$7&amp;"]СРОКИ'!$C$35"),0))</f>
        <v>48335</v>
      </c>
      <c r="D18" s="56">
        <f ca="1">IF(NOT(НАСТРОЙКИ!$B$7="Да"),0,IFERROR(INDIRECT("'["&amp;НАСТРОЙКИ!$D$7&amp;"]СРОКИ'!$E$35"),0))</f>
        <v>48427</v>
      </c>
      <c r="E18" s="57">
        <f t="shared" ca="1" si="6"/>
        <v>0</v>
      </c>
      <c r="F18" s="57">
        <f t="shared" ca="1" si="6"/>
        <v>0</v>
      </c>
      <c r="G18" s="57">
        <f t="shared" ca="1" si="6"/>
        <v>0</v>
      </c>
      <c r="H18" s="57">
        <f t="shared" ca="1" si="6"/>
        <v>0</v>
      </c>
      <c r="I18" s="57">
        <f t="shared" ca="1" si="6"/>
        <v>0</v>
      </c>
      <c r="J18" s="57">
        <f t="shared" ca="1" si="6"/>
        <v>0</v>
      </c>
      <c r="K18" s="57">
        <f t="shared" ca="1" si="6"/>
        <v>0</v>
      </c>
      <c r="L18" s="57">
        <f t="shared" ca="1" si="6"/>
        <v>0</v>
      </c>
      <c r="M18" s="57">
        <f t="shared" ca="1" si="6"/>
        <v>0</v>
      </c>
      <c r="N18" s="57">
        <f t="shared" ca="1" si="6"/>
        <v>0</v>
      </c>
      <c r="O18" s="57">
        <f t="shared" ca="1" si="7"/>
        <v>0</v>
      </c>
      <c r="P18" s="57">
        <f t="shared" ca="1" si="7"/>
        <v>0</v>
      </c>
      <c r="Q18" s="57">
        <f t="shared" ca="1" si="7"/>
        <v>0</v>
      </c>
      <c r="R18" s="57">
        <f t="shared" ca="1" si="7"/>
        <v>0</v>
      </c>
      <c r="S18" s="57">
        <f t="shared" ca="1" si="7"/>
        <v>0</v>
      </c>
      <c r="T18" s="57">
        <f t="shared" ca="1" si="7"/>
        <v>0</v>
      </c>
      <c r="U18" s="57">
        <f t="shared" ca="1" si="7"/>
        <v>0</v>
      </c>
      <c r="V18" s="57">
        <f t="shared" ca="1" si="7"/>
        <v>0</v>
      </c>
      <c r="W18" s="57">
        <f t="shared" ca="1" si="7"/>
        <v>0</v>
      </c>
      <c r="X18" s="57">
        <f t="shared" ca="1" si="7"/>
        <v>0</v>
      </c>
      <c r="Y18" s="57">
        <f t="shared" ca="1" si="8"/>
        <v>0</v>
      </c>
      <c r="Z18" s="57">
        <f t="shared" ca="1" si="8"/>
        <v>1</v>
      </c>
      <c r="AA18" s="57">
        <f t="shared" ca="1" si="8"/>
        <v>1</v>
      </c>
      <c r="AB18" s="57">
        <f t="shared" ca="1" si="8"/>
        <v>0</v>
      </c>
      <c r="AC18" s="57">
        <f t="shared" ca="1" si="8"/>
        <v>0</v>
      </c>
      <c r="AD18" s="57">
        <f t="shared" ca="1" si="8"/>
        <v>0</v>
      </c>
      <c r="AE18" s="57">
        <f t="shared" ca="1" si="8"/>
        <v>0</v>
      </c>
      <c r="AF18" s="57">
        <f t="shared" ca="1" si="8"/>
        <v>0</v>
      </c>
      <c r="AG18" s="57">
        <f t="shared" ca="1" si="8"/>
        <v>0</v>
      </c>
      <c r="AH18" s="57">
        <f t="shared" ca="1" si="8"/>
        <v>0</v>
      </c>
      <c r="AI18" s="57">
        <f t="shared" ca="1" si="9"/>
        <v>0</v>
      </c>
      <c r="AJ18" s="57">
        <f t="shared" ca="1" si="9"/>
        <v>0</v>
      </c>
      <c r="AK18" s="57">
        <f t="shared" ca="1" si="9"/>
        <v>0</v>
      </c>
      <c r="AL18" s="57">
        <f t="shared" ca="1" si="9"/>
        <v>0</v>
      </c>
      <c r="AM18" s="57">
        <f t="shared" ca="1" si="9"/>
        <v>0</v>
      </c>
      <c r="AN18" s="58">
        <f t="shared" ca="1" si="9"/>
        <v>0</v>
      </c>
    </row>
    <row r="19" spans="1:40">
      <c r="A19" s="53" t="str">
        <f>НАСТРОЙКИ!C7</f>
        <v>Очередь 3</v>
      </c>
      <c r="B19" s="54" t="s">
        <v>93</v>
      </c>
      <c r="C19" s="56">
        <f ca="1">IF(NOT(НАСТРОЙКИ!$B$7="Да"),0,IFERROR(EDATE(INDIRECT("'["&amp;НАСТРОЙКИ!$D$7&amp;"]Вводные'!$G$8"),INDIRECT("'["&amp;НАСТРОЙКИ!$D$7&amp;"]Вводные'!$G$9")),0))</f>
        <v>48396</v>
      </c>
      <c r="D19" s="56">
        <f ca="1">IF(NOT(НАСТРОЙКИ!$B$7="Да"),0,IFERROR(EDATE(INDIRECT("'["&amp;НАСТРОЙКИ!$D$7&amp;"]Вводные'!$G$8"),INDIRECT("'["&amp;НАСТРОЙКИ!$D$7&amp;"]Вводные'!$G$9")),0))</f>
        <v>48396</v>
      </c>
      <c r="E19" s="57">
        <f t="shared" ca="1" si="6"/>
        <v>0</v>
      </c>
      <c r="F19" s="57">
        <f t="shared" ca="1" si="6"/>
        <v>0</v>
      </c>
      <c r="G19" s="57">
        <f t="shared" ca="1" si="6"/>
        <v>0</v>
      </c>
      <c r="H19" s="57">
        <f t="shared" ca="1" si="6"/>
        <v>0</v>
      </c>
      <c r="I19" s="57">
        <f t="shared" ca="1" si="6"/>
        <v>0</v>
      </c>
      <c r="J19" s="57">
        <f t="shared" ca="1" si="6"/>
        <v>0</v>
      </c>
      <c r="K19" s="57">
        <f t="shared" ca="1" si="6"/>
        <v>0</v>
      </c>
      <c r="L19" s="57">
        <f t="shared" ca="1" si="6"/>
        <v>0</v>
      </c>
      <c r="M19" s="57">
        <f t="shared" ca="1" si="6"/>
        <v>0</v>
      </c>
      <c r="N19" s="57">
        <f t="shared" ca="1" si="6"/>
        <v>0</v>
      </c>
      <c r="O19" s="57">
        <f t="shared" ca="1" si="7"/>
        <v>0</v>
      </c>
      <c r="P19" s="57">
        <f t="shared" ca="1" si="7"/>
        <v>0</v>
      </c>
      <c r="Q19" s="57">
        <f t="shared" ca="1" si="7"/>
        <v>0</v>
      </c>
      <c r="R19" s="57">
        <f t="shared" ca="1" si="7"/>
        <v>0</v>
      </c>
      <c r="S19" s="57">
        <f t="shared" ca="1" si="7"/>
        <v>0</v>
      </c>
      <c r="T19" s="57">
        <f t="shared" ca="1" si="7"/>
        <v>0</v>
      </c>
      <c r="U19" s="57">
        <f t="shared" ca="1" si="7"/>
        <v>0</v>
      </c>
      <c r="V19" s="57">
        <f t="shared" ca="1" si="7"/>
        <v>0</v>
      </c>
      <c r="W19" s="57">
        <f t="shared" ca="1" si="7"/>
        <v>0</v>
      </c>
      <c r="X19" s="57">
        <f t="shared" ca="1" si="7"/>
        <v>0</v>
      </c>
      <c r="Y19" s="57">
        <f t="shared" ca="1" si="8"/>
        <v>0</v>
      </c>
      <c r="Z19" s="57">
        <f t="shared" ca="1" si="8"/>
        <v>0</v>
      </c>
      <c r="AA19" s="57">
        <f t="shared" ca="1" si="8"/>
        <v>1</v>
      </c>
      <c r="AB19" s="57">
        <f t="shared" ca="1" si="8"/>
        <v>0</v>
      </c>
      <c r="AC19" s="57">
        <f t="shared" ca="1" si="8"/>
        <v>0</v>
      </c>
      <c r="AD19" s="57">
        <f t="shared" ca="1" si="8"/>
        <v>0</v>
      </c>
      <c r="AE19" s="57">
        <f t="shared" ca="1" si="8"/>
        <v>0</v>
      </c>
      <c r="AF19" s="57">
        <f t="shared" ca="1" si="8"/>
        <v>0</v>
      </c>
      <c r="AG19" s="57">
        <f t="shared" ca="1" si="8"/>
        <v>0</v>
      </c>
      <c r="AH19" s="57">
        <f t="shared" ca="1" si="8"/>
        <v>0</v>
      </c>
      <c r="AI19" s="57">
        <f t="shared" ca="1" si="9"/>
        <v>0</v>
      </c>
      <c r="AJ19" s="57">
        <f t="shared" ca="1" si="9"/>
        <v>0</v>
      </c>
      <c r="AK19" s="57">
        <f t="shared" ca="1" si="9"/>
        <v>0</v>
      </c>
      <c r="AL19" s="57">
        <f t="shared" ca="1" si="9"/>
        <v>0</v>
      </c>
      <c r="AM19" s="57">
        <f t="shared" ca="1" si="9"/>
        <v>0</v>
      </c>
      <c r="AN19" s="58">
        <f t="shared" ca="1" si="9"/>
        <v>0</v>
      </c>
    </row>
    <row r="20" spans="1:40">
      <c r="A20" s="53" t="str">
        <f>НАСТРОЙКИ!C8</f>
        <v>Очередь 4</v>
      </c>
      <c r="B20" s="54" t="s">
        <v>92</v>
      </c>
      <c r="C20" s="56">
        <f ca="1">IF(NOT(НАСТРОЙКИ!$B$8="Да"),0,IFERROR(INDIRECT("'["&amp;НАСТРОЙКИ!$D$8&amp;"]Вводные'!$G$8"),0))</f>
        <v>0</v>
      </c>
      <c r="D20" s="56">
        <f ca="1">IF(NOT(НАСТРОЙКИ!$B$8="Да"),0,IFERROR(INDIRECT("'["&amp;НАСТРОЙКИ!$D$8&amp;"]Вводные'!$G$8"),0))</f>
        <v>0</v>
      </c>
      <c r="E20" s="57">
        <f t="shared" ca="1" si="6"/>
        <v>0</v>
      </c>
      <c r="F20" s="57">
        <f t="shared" ca="1" si="6"/>
        <v>0</v>
      </c>
      <c r="G20" s="57">
        <f t="shared" ca="1" si="6"/>
        <v>0</v>
      </c>
      <c r="H20" s="57">
        <f t="shared" ca="1" si="6"/>
        <v>0</v>
      </c>
      <c r="I20" s="57">
        <f t="shared" ca="1" si="6"/>
        <v>0</v>
      </c>
      <c r="J20" s="57">
        <f t="shared" ca="1" si="6"/>
        <v>0</v>
      </c>
      <c r="K20" s="57">
        <f t="shared" ca="1" si="6"/>
        <v>0</v>
      </c>
      <c r="L20" s="57">
        <f t="shared" ca="1" si="6"/>
        <v>0</v>
      </c>
      <c r="M20" s="57">
        <f t="shared" ca="1" si="6"/>
        <v>0</v>
      </c>
      <c r="N20" s="57">
        <f t="shared" ca="1" si="6"/>
        <v>0</v>
      </c>
      <c r="O20" s="57">
        <f t="shared" ca="1" si="7"/>
        <v>0</v>
      </c>
      <c r="P20" s="57">
        <f t="shared" ca="1" si="7"/>
        <v>0</v>
      </c>
      <c r="Q20" s="57">
        <f t="shared" ca="1" si="7"/>
        <v>0</v>
      </c>
      <c r="R20" s="57">
        <f t="shared" ca="1" si="7"/>
        <v>0</v>
      </c>
      <c r="S20" s="57">
        <f t="shared" ca="1" si="7"/>
        <v>0</v>
      </c>
      <c r="T20" s="57">
        <f t="shared" ca="1" si="7"/>
        <v>0</v>
      </c>
      <c r="U20" s="57">
        <f t="shared" ca="1" si="7"/>
        <v>0</v>
      </c>
      <c r="V20" s="57">
        <f t="shared" ca="1" si="7"/>
        <v>0</v>
      </c>
      <c r="W20" s="57">
        <f t="shared" ca="1" si="7"/>
        <v>0</v>
      </c>
      <c r="X20" s="57">
        <f t="shared" ca="1" si="7"/>
        <v>0</v>
      </c>
      <c r="Y20" s="57">
        <f t="shared" ca="1" si="8"/>
        <v>0</v>
      </c>
      <c r="Z20" s="57">
        <f t="shared" ca="1" si="8"/>
        <v>0</v>
      </c>
      <c r="AA20" s="57">
        <f t="shared" ca="1" si="8"/>
        <v>0</v>
      </c>
      <c r="AB20" s="57">
        <f t="shared" ca="1" si="8"/>
        <v>0</v>
      </c>
      <c r="AC20" s="57">
        <f t="shared" ca="1" si="8"/>
        <v>0</v>
      </c>
      <c r="AD20" s="57">
        <f t="shared" ca="1" si="8"/>
        <v>0</v>
      </c>
      <c r="AE20" s="57">
        <f t="shared" ca="1" si="8"/>
        <v>0</v>
      </c>
      <c r="AF20" s="57">
        <f t="shared" ca="1" si="8"/>
        <v>0</v>
      </c>
      <c r="AG20" s="57">
        <f t="shared" ca="1" si="8"/>
        <v>0</v>
      </c>
      <c r="AH20" s="57">
        <f t="shared" ca="1" si="8"/>
        <v>0</v>
      </c>
      <c r="AI20" s="57">
        <f t="shared" ca="1" si="9"/>
        <v>0</v>
      </c>
      <c r="AJ20" s="57">
        <f t="shared" ca="1" si="9"/>
        <v>0</v>
      </c>
      <c r="AK20" s="57">
        <f t="shared" ca="1" si="9"/>
        <v>0</v>
      </c>
      <c r="AL20" s="57">
        <f t="shared" ca="1" si="9"/>
        <v>0</v>
      </c>
      <c r="AM20" s="57">
        <f t="shared" ca="1" si="9"/>
        <v>0</v>
      </c>
      <c r="AN20" s="58">
        <f t="shared" ca="1" si="9"/>
        <v>0</v>
      </c>
    </row>
    <row r="21" spans="1:40">
      <c r="A21" s="53" t="str">
        <f>НАСТРОЙКИ!C8</f>
        <v>Очередь 4</v>
      </c>
      <c r="B21" s="54" t="s">
        <v>177</v>
      </c>
      <c r="C21" s="56">
        <f ca="1">IF(NOT(НАСТРОЙКИ!$B$8="Да"),0,IFERROR(INDIRECT("'["&amp;НАСТРОЙКИ!$D$8&amp;"]СРОКИ'!$C$29"),0))</f>
        <v>0</v>
      </c>
      <c r="D21" s="56">
        <f ca="1">IF(NOT(НАСТРОЙКИ!$B$8="Да"),0,IFERROR(INDIRECT("'["&amp;НАСТРОЙКИ!$D$8&amp;"]СРОКИ'!$E$29"),0))</f>
        <v>0</v>
      </c>
      <c r="E21" s="57">
        <f t="shared" ca="1" si="6"/>
        <v>0</v>
      </c>
      <c r="F21" s="57">
        <f t="shared" ca="1" si="6"/>
        <v>0</v>
      </c>
      <c r="G21" s="57">
        <f t="shared" ca="1" si="6"/>
        <v>0</v>
      </c>
      <c r="H21" s="57">
        <f t="shared" ca="1" si="6"/>
        <v>0</v>
      </c>
      <c r="I21" s="57">
        <f t="shared" ca="1" si="6"/>
        <v>0</v>
      </c>
      <c r="J21" s="57">
        <f t="shared" ca="1" si="6"/>
        <v>0</v>
      </c>
      <c r="K21" s="57">
        <f t="shared" ca="1" si="6"/>
        <v>0</v>
      </c>
      <c r="L21" s="57">
        <f t="shared" ca="1" si="6"/>
        <v>0</v>
      </c>
      <c r="M21" s="57">
        <f t="shared" ca="1" si="6"/>
        <v>0</v>
      </c>
      <c r="N21" s="57">
        <f t="shared" ca="1" si="6"/>
        <v>0</v>
      </c>
      <c r="O21" s="57">
        <f t="shared" ca="1" si="7"/>
        <v>0</v>
      </c>
      <c r="P21" s="57">
        <f t="shared" ca="1" si="7"/>
        <v>0</v>
      </c>
      <c r="Q21" s="57">
        <f t="shared" ca="1" si="7"/>
        <v>0</v>
      </c>
      <c r="R21" s="57">
        <f t="shared" ca="1" si="7"/>
        <v>0</v>
      </c>
      <c r="S21" s="57">
        <f t="shared" ca="1" si="7"/>
        <v>0</v>
      </c>
      <c r="T21" s="57">
        <f t="shared" ca="1" si="7"/>
        <v>0</v>
      </c>
      <c r="U21" s="57">
        <f t="shared" ca="1" si="7"/>
        <v>0</v>
      </c>
      <c r="V21" s="57">
        <f t="shared" ca="1" si="7"/>
        <v>0</v>
      </c>
      <c r="W21" s="57">
        <f t="shared" ca="1" si="7"/>
        <v>0</v>
      </c>
      <c r="X21" s="57">
        <f t="shared" ca="1" si="7"/>
        <v>0</v>
      </c>
      <c r="Y21" s="57">
        <f t="shared" ca="1" si="8"/>
        <v>0</v>
      </c>
      <c r="Z21" s="57">
        <f t="shared" ca="1" si="8"/>
        <v>0</v>
      </c>
      <c r="AA21" s="57">
        <f t="shared" ca="1" si="8"/>
        <v>0</v>
      </c>
      <c r="AB21" s="57">
        <f t="shared" ca="1" si="8"/>
        <v>0</v>
      </c>
      <c r="AC21" s="57">
        <f t="shared" ca="1" si="8"/>
        <v>0</v>
      </c>
      <c r="AD21" s="57">
        <f t="shared" ca="1" si="8"/>
        <v>0</v>
      </c>
      <c r="AE21" s="57">
        <f t="shared" ca="1" si="8"/>
        <v>0</v>
      </c>
      <c r="AF21" s="57">
        <f t="shared" ca="1" si="8"/>
        <v>0</v>
      </c>
      <c r="AG21" s="57">
        <f t="shared" ca="1" si="8"/>
        <v>0</v>
      </c>
      <c r="AH21" s="57">
        <f t="shared" ca="1" si="8"/>
        <v>0</v>
      </c>
      <c r="AI21" s="57">
        <f t="shared" ca="1" si="9"/>
        <v>0</v>
      </c>
      <c r="AJ21" s="57">
        <f t="shared" ca="1" si="9"/>
        <v>0</v>
      </c>
      <c r="AK21" s="57">
        <f t="shared" ca="1" si="9"/>
        <v>0</v>
      </c>
      <c r="AL21" s="57">
        <f t="shared" ca="1" si="9"/>
        <v>0</v>
      </c>
      <c r="AM21" s="57">
        <f t="shared" ca="1" si="9"/>
        <v>0</v>
      </c>
      <c r="AN21" s="58">
        <f t="shared" ca="1" si="9"/>
        <v>0</v>
      </c>
    </row>
    <row r="22" spans="1:40">
      <c r="A22" s="53" t="str">
        <f>НАСТРОЙКИ!C8</f>
        <v>Очередь 4</v>
      </c>
      <c r="B22" s="54" t="s">
        <v>178</v>
      </c>
      <c r="C22" s="56">
        <f ca="1">IF(NOT(НАСТРОЙКИ!$B$8="Да"),0,IFERROR(INDIRECT("'["&amp;НАСТРОЙКИ!$D$8&amp;"]СРОКИ'!$C$34"),0))</f>
        <v>0</v>
      </c>
      <c r="D22" s="56">
        <f ca="1">IF(NOT(НАСТРОЙКИ!$B$8="Да"),0,IFERROR(INDIRECT("'["&amp;НАСТРОЙКИ!$D$8&amp;"]СРОКИ'!$E$34"),0))</f>
        <v>0</v>
      </c>
      <c r="E22" s="57">
        <f t="shared" ca="1" si="6"/>
        <v>0</v>
      </c>
      <c r="F22" s="57">
        <f t="shared" ca="1" si="6"/>
        <v>0</v>
      </c>
      <c r="G22" s="57">
        <f t="shared" ca="1" si="6"/>
        <v>0</v>
      </c>
      <c r="H22" s="57">
        <f t="shared" ca="1" si="6"/>
        <v>0</v>
      </c>
      <c r="I22" s="57">
        <f t="shared" ca="1" si="6"/>
        <v>0</v>
      </c>
      <c r="J22" s="57">
        <f t="shared" ca="1" si="6"/>
        <v>0</v>
      </c>
      <c r="K22" s="57">
        <f t="shared" ca="1" si="6"/>
        <v>0</v>
      </c>
      <c r="L22" s="57">
        <f t="shared" ca="1" si="6"/>
        <v>0</v>
      </c>
      <c r="M22" s="57">
        <f t="shared" ca="1" si="6"/>
        <v>0</v>
      </c>
      <c r="N22" s="57">
        <f t="shared" ca="1" si="6"/>
        <v>0</v>
      </c>
      <c r="O22" s="57">
        <f t="shared" ca="1" si="7"/>
        <v>0</v>
      </c>
      <c r="P22" s="57">
        <f t="shared" ca="1" si="7"/>
        <v>0</v>
      </c>
      <c r="Q22" s="57">
        <f t="shared" ca="1" si="7"/>
        <v>0</v>
      </c>
      <c r="R22" s="57">
        <f t="shared" ca="1" si="7"/>
        <v>0</v>
      </c>
      <c r="S22" s="57">
        <f t="shared" ca="1" si="7"/>
        <v>0</v>
      </c>
      <c r="T22" s="57">
        <f t="shared" ca="1" si="7"/>
        <v>0</v>
      </c>
      <c r="U22" s="57">
        <f t="shared" ca="1" si="7"/>
        <v>0</v>
      </c>
      <c r="V22" s="57">
        <f t="shared" ca="1" si="7"/>
        <v>0</v>
      </c>
      <c r="W22" s="57">
        <f t="shared" ca="1" si="7"/>
        <v>0</v>
      </c>
      <c r="X22" s="57">
        <f t="shared" ca="1" si="7"/>
        <v>0</v>
      </c>
      <c r="Y22" s="57">
        <f t="shared" ca="1" si="8"/>
        <v>0</v>
      </c>
      <c r="Z22" s="57">
        <f t="shared" ca="1" si="8"/>
        <v>0</v>
      </c>
      <c r="AA22" s="57">
        <f t="shared" ca="1" si="8"/>
        <v>0</v>
      </c>
      <c r="AB22" s="57">
        <f t="shared" ca="1" si="8"/>
        <v>0</v>
      </c>
      <c r="AC22" s="57">
        <f t="shared" ca="1" si="8"/>
        <v>0</v>
      </c>
      <c r="AD22" s="57">
        <f t="shared" ca="1" si="8"/>
        <v>0</v>
      </c>
      <c r="AE22" s="57">
        <f t="shared" ca="1" si="8"/>
        <v>0</v>
      </c>
      <c r="AF22" s="57">
        <f t="shared" ca="1" si="8"/>
        <v>0</v>
      </c>
      <c r="AG22" s="57">
        <f t="shared" ca="1" si="8"/>
        <v>0</v>
      </c>
      <c r="AH22" s="57">
        <f t="shared" ca="1" si="8"/>
        <v>0</v>
      </c>
      <c r="AI22" s="57">
        <f t="shared" ca="1" si="9"/>
        <v>0</v>
      </c>
      <c r="AJ22" s="57">
        <f t="shared" ca="1" si="9"/>
        <v>0</v>
      </c>
      <c r="AK22" s="57">
        <f t="shared" ca="1" si="9"/>
        <v>0</v>
      </c>
      <c r="AL22" s="57">
        <f t="shared" ca="1" si="9"/>
        <v>0</v>
      </c>
      <c r="AM22" s="57">
        <f t="shared" ca="1" si="9"/>
        <v>0</v>
      </c>
      <c r="AN22" s="58">
        <f t="shared" ca="1" si="9"/>
        <v>0</v>
      </c>
    </row>
    <row r="23" spans="1:40">
      <c r="A23" s="53" t="str">
        <f>НАСТРОЙКИ!C8</f>
        <v>Очередь 4</v>
      </c>
      <c r="B23" s="54" t="s">
        <v>179</v>
      </c>
      <c r="C23" s="56">
        <f ca="1">IF(NOT(НАСТРОЙКИ!$B$8="Да"),0,IFERROR(INDIRECT("'["&amp;НАСТРОЙКИ!$D$8&amp;"]СРОКИ'!$C$35"),0))</f>
        <v>0</v>
      </c>
      <c r="D23" s="56">
        <f ca="1">IF(NOT(НАСТРОЙКИ!$B$8="Да"),0,IFERROR(INDIRECT("'["&amp;НАСТРОЙКИ!$D$8&amp;"]СРОКИ'!$E$35"),0))</f>
        <v>0</v>
      </c>
      <c r="E23" s="57">
        <f t="shared" ca="1" si="6"/>
        <v>0</v>
      </c>
      <c r="F23" s="57">
        <f t="shared" ca="1" si="6"/>
        <v>0</v>
      </c>
      <c r="G23" s="57">
        <f t="shared" ca="1" si="6"/>
        <v>0</v>
      </c>
      <c r="H23" s="57">
        <f t="shared" ca="1" si="6"/>
        <v>0</v>
      </c>
      <c r="I23" s="57">
        <f t="shared" ca="1" si="6"/>
        <v>0</v>
      </c>
      <c r="J23" s="57">
        <f t="shared" ca="1" si="6"/>
        <v>0</v>
      </c>
      <c r="K23" s="57">
        <f t="shared" ca="1" si="6"/>
        <v>0</v>
      </c>
      <c r="L23" s="57">
        <f t="shared" ca="1" si="6"/>
        <v>0</v>
      </c>
      <c r="M23" s="57">
        <f t="shared" ca="1" si="6"/>
        <v>0</v>
      </c>
      <c r="N23" s="57">
        <f t="shared" ca="1" si="6"/>
        <v>0</v>
      </c>
      <c r="O23" s="57">
        <f t="shared" ca="1" si="7"/>
        <v>0</v>
      </c>
      <c r="P23" s="57">
        <f t="shared" ca="1" si="7"/>
        <v>0</v>
      </c>
      <c r="Q23" s="57">
        <f t="shared" ca="1" si="7"/>
        <v>0</v>
      </c>
      <c r="R23" s="57">
        <f t="shared" ca="1" si="7"/>
        <v>0</v>
      </c>
      <c r="S23" s="57">
        <f t="shared" ca="1" si="7"/>
        <v>0</v>
      </c>
      <c r="T23" s="57">
        <f t="shared" ca="1" si="7"/>
        <v>0</v>
      </c>
      <c r="U23" s="57">
        <f t="shared" ca="1" si="7"/>
        <v>0</v>
      </c>
      <c r="V23" s="57">
        <f t="shared" ca="1" si="7"/>
        <v>0</v>
      </c>
      <c r="W23" s="57">
        <f t="shared" ca="1" si="7"/>
        <v>0</v>
      </c>
      <c r="X23" s="57">
        <f t="shared" ca="1" si="7"/>
        <v>0</v>
      </c>
      <c r="Y23" s="57">
        <f t="shared" ca="1" si="8"/>
        <v>0</v>
      </c>
      <c r="Z23" s="57">
        <f t="shared" ca="1" si="8"/>
        <v>0</v>
      </c>
      <c r="AA23" s="57">
        <f t="shared" ca="1" si="8"/>
        <v>0</v>
      </c>
      <c r="AB23" s="57">
        <f t="shared" ca="1" si="8"/>
        <v>0</v>
      </c>
      <c r="AC23" s="57">
        <f t="shared" ca="1" si="8"/>
        <v>0</v>
      </c>
      <c r="AD23" s="57">
        <f t="shared" ca="1" si="8"/>
        <v>0</v>
      </c>
      <c r="AE23" s="57">
        <f t="shared" ca="1" si="8"/>
        <v>0</v>
      </c>
      <c r="AF23" s="57">
        <f t="shared" ca="1" si="8"/>
        <v>0</v>
      </c>
      <c r="AG23" s="57">
        <f t="shared" ca="1" si="8"/>
        <v>0</v>
      </c>
      <c r="AH23" s="57">
        <f t="shared" ca="1" si="8"/>
        <v>0</v>
      </c>
      <c r="AI23" s="57">
        <f t="shared" ca="1" si="9"/>
        <v>0</v>
      </c>
      <c r="AJ23" s="57">
        <f t="shared" ca="1" si="9"/>
        <v>0</v>
      </c>
      <c r="AK23" s="57">
        <f t="shared" ca="1" si="9"/>
        <v>0</v>
      </c>
      <c r="AL23" s="57">
        <f t="shared" ca="1" si="9"/>
        <v>0</v>
      </c>
      <c r="AM23" s="57">
        <f t="shared" ca="1" si="9"/>
        <v>0</v>
      </c>
      <c r="AN23" s="58">
        <f t="shared" ca="1" si="9"/>
        <v>0</v>
      </c>
    </row>
    <row r="24" spans="1:40">
      <c r="A24" s="59" t="str">
        <f>НАСТРОЙКИ!C8</f>
        <v>Очередь 4</v>
      </c>
      <c r="B24" s="60" t="s">
        <v>93</v>
      </c>
      <c r="C24" s="61">
        <f ca="1">IF(NOT(НАСТРОЙКИ!$B$8="Да"),0,IFERROR(EDATE(INDIRECT("'["&amp;НАСТРОЙКИ!$D$8&amp;"]Вводные'!$G$8"),INDIRECT("'["&amp;НАСТРОЙКИ!$D$8&amp;"]Вводные'!$G$9")),0))</f>
        <v>0</v>
      </c>
      <c r="D24" s="61">
        <f ca="1">IF(NOT(НАСТРОЙКИ!$B$8="Да"),0,IFERROR(EDATE(INDIRECT("'["&amp;НАСТРОЙКИ!$D$8&amp;"]Вводные'!$G$8"),INDIRECT("'["&amp;НАСТРОЙКИ!$D$8&amp;"]Вводные'!$G$9")),0))</f>
        <v>0</v>
      </c>
      <c r="E24" s="62">
        <f t="shared" ca="1" si="6"/>
        <v>0</v>
      </c>
      <c r="F24" s="62">
        <f t="shared" ca="1" si="6"/>
        <v>0</v>
      </c>
      <c r="G24" s="62">
        <f t="shared" ca="1" si="6"/>
        <v>0</v>
      </c>
      <c r="H24" s="62">
        <f t="shared" ca="1" si="6"/>
        <v>0</v>
      </c>
      <c r="I24" s="62">
        <f t="shared" ca="1" si="6"/>
        <v>0</v>
      </c>
      <c r="J24" s="62">
        <f t="shared" ca="1" si="6"/>
        <v>0</v>
      </c>
      <c r="K24" s="62">
        <f t="shared" ca="1" si="6"/>
        <v>0</v>
      </c>
      <c r="L24" s="62">
        <f t="shared" ca="1" si="6"/>
        <v>0</v>
      </c>
      <c r="M24" s="62">
        <f t="shared" ca="1" si="6"/>
        <v>0</v>
      </c>
      <c r="N24" s="62">
        <f t="shared" ca="1" si="6"/>
        <v>0</v>
      </c>
      <c r="O24" s="62">
        <f t="shared" ca="1" si="7"/>
        <v>0</v>
      </c>
      <c r="P24" s="62">
        <f t="shared" ca="1" si="7"/>
        <v>0</v>
      </c>
      <c r="Q24" s="62">
        <f t="shared" ca="1" si="7"/>
        <v>0</v>
      </c>
      <c r="R24" s="62">
        <f t="shared" ca="1" si="7"/>
        <v>0</v>
      </c>
      <c r="S24" s="62">
        <f t="shared" ca="1" si="7"/>
        <v>0</v>
      </c>
      <c r="T24" s="62">
        <f t="shared" ca="1" si="7"/>
        <v>0</v>
      </c>
      <c r="U24" s="62">
        <f t="shared" ca="1" si="7"/>
        <v>0</v>
      </c>
      <c r="V24" s="62">
        <f t="shared" ca="1" si="7"/>
        <v>0</v>
      </c>
      <c r="W24" s="62">
        <f t="shared" ca="1" si="7"/>
        <v>0</v>
      </c>
      <c r="X24" s="62">
        <f t="shared" ca="1" si="7"/>
        <v>0</v>
      </c>
      <c r="Y24" s="62">
        <f t="shared" ca="1" si="8"/>
        <v>0</v>
      </c>
      <c r="Z24" s="62">
        <f t="shared" ca="1" si="8"/>
        <v>0</v>
      </c>
      <c r="AA24" s="62">
        <f t="shared" ca="1" si="8"/>
        <v>0</v>
      </c>
      <c r="AB24" s="62">
        <f t="shared" ca="1" si="8"/>
        <v>0</v>
      </c>
      <c r="AC24" s="62">
        <f t="shared" ca="1" si="8"/>
        <v>0</v>
      </c>
      <c r="AD24" s="62">
        <f t="shared" ca="1" si="8"/>
        <v>0</v>
      </c>
      <c r="AE24" s="62">
        <f t="shared" ca="1" si="8"/>
        <v>0</v>
      </c>
      <c r="AF24" s="62">
        <f t="shared" ca="1" si="8"/>
        <v>0</v>
      </c>
      <c r="AG24" s="62">
        <f t="shared" ca="1" si="8"/>
        <v>0</v>
      </c>
      <c r="AH24" s="62">
        <f t="shared" ca="1" si="8"/>
        <v>0</v>
      </c>
      <c r="AI24" s="62">
        <f t="shared" ca="1" si="9"/>
        <v>0</v>
      </c>
      <c r="AJ24" s="62">
        <f t="shared" ca="1" si="9"/>
        <v>0</v>
      </c>
      <c r="AK24" s="62">
        <f t="shared" ca="1" si="9"/>
        <v>0</v>
      </c>
      <c r="AL24" s="62">
        <f t="shared" ca="1" si="9"/>
        <v>0</v>
      </c>
      <c r="AM24" s="62">
        <f t="shared" ca="1" si="9"/>
        <v>0</v>
      </c>
      <c r="AN24" s="63">
        <f t="shared" ca="1" si="9"/>
        <v>0</v>
      </c>
    </row>
  </sheetData>
  <mergeCells count="1">
    <mergeCell ref="A1:AN1"/>
  </mergeCells>
  <conditionalFormatting sqref="E5:AN9">
    <cfRule type="expression" dxfId="6" priority="1">
      <formula>E5=1</formula>
    </cfRule>
  </conditionalFormatting>
  <conditionalFormatting sqref="E10:AN14">
    <cfRule type="expression" dxfId="5" priority="2">
      <formula>E10=1</formula>
    </cfRule>
  </conditionalFormatting>
  <conditionalFormatting sqref="E15:AN19">
    <cfRule type="expression" dxfId="4" priority="3">
      <formula>E15=1</formula>
    </cfRule>
  </conditionalFormatting>
  <conditionalFormatting sqref="E20:AN24">
    <cfRule type="expression" dxfId="3" priority="4">
      <formula>E20=1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sqref="A1:J1"/>
    </sheetView>
  </sheetViews>
  <sheetFormatPr defaultRowHeight="13.8"/>
  <cols>
    <col min="1" max="1" width="38" customWidth="1"/>
    <col min="2" max="2" width="14" customWidth="1"/>
    <col min="3" max="9" width="15" customWidth="1"/>
    <col min="10" max="10" width="18" customWidth="1"/>
  </cols>
  <sheetData>
    <row r="1" spans="1:10" ht="17.399999999999999">
      <c r="A1" s="90" t="s">
        <v>180</v>
      </c>
      <c r="B1" s="90"/>
      <c r="C1" s="90"/>
      <c r="D1" s="90"/>
      <c r="E1" s="90"/>
      <c r="F1" s="90"/>
      <c r="G1" s="90"/>
      <c r="H1" s="90"/>
      <c r="I1" s="90"/>
      <c r="J1" s="90"/>
    </row>
    <row r="3" spans="1:10">
      <c r="A3" s="64" t="s">
        <v>112</v>
      </c>
      <c r="B3" s="65" t="s">
        <v>51</v>
      </c>
      <c r="C3" s="65" t="s">
        <v>39</v>
      </c>
      <c r="D3" s="65" t="s">
        <v>40</v>
      </c>
      <c r="E3" s="65" t="s">
        <v>43</v>
      </c>
      <c r="F3" s="65" t="s">
        <v>46</v>
      </c>
      <c r="G3" s="65" t="s">
        <v>181</v>
      </c>
      <c r="H3" s="65" t="s">
        <v>182</v>
      </c>
      <c r="I3" s="65" t="s">
        <v>183</v>
      </c>
      <c r="J3" s="66" t="s">
        <v>184</v>
      </c>
    </row>
    <row r="4" spans="1:10">
      <c r="A4" s="53" t="s">
        <v>185</v>
      </c>
      <c r="B4" s="54" t="s">
        <v>186</v>
      </c>
      <c r="C4" s="67">
        <f ca="1">IF(НАСТРОЙКИ!$B$5&lt;&gt;"Да",0,IFERROR(INDIRECT("'["&amp;НАСТРОЙКИ!$D$5&amp;"]ТЭП'!$C$4"),0))</f>
        <v>182143.70986341068</v>
      </c>
      <c r="D4" s="67">
        <f ca="1">IF(НАСТРОЙКИ!$B$6&lt;&gt;"Да",0,IFERROR(INDIRECT("'["&amp;НАСТРОЙКИ!$D$6&amp;"]ТЭП'!$C$4"),0))</f>
        <v>164167.78239755798</v>
      </c>
      <c r="E4" s="67">
        <f ca="1">IF(НАСТРОЙКИ!$B$7&lt;&gt;"Да",0,IFERROR(INDIRECT("'["&amp;НАСТРОЙКИ!$D$7&amp;"]ТЭП'!$C$4"),0))</f>
        <v>137357.78239755798</v>
      </c>
      <c r="F4" s="67">
        <f ca="1">IF(НАСТРОЙКИ!$B$8&lt;&gt;"Да",0,IFERROR(INDIRECT("'["&amp;НАСТРОЙКИ!$D$8&amp;"]ТЭП'!$C$4"),0))</f>
        <v>0</v>
      </c>
      <c r="G4" s="67">
        <f t="shared" ref="G4:G23" ca="1" si="0">SUM(C4:F4)</f>
        <v>483669.27465852664</v>
      </c>
      <c r="H4" s="68"/>
      <c r="I4" s="67" t="str">
        <f t="shared" ref="I4:I23" si="1">IF(H4="","",G4-H4)</f>
        <v/>
      </c>
      <c r="J4" s="55" t="str">
        <f t="shared" ref="J4:J23" si="2">IF(H4="","НЕТ КОНТРОЛЯ",IF(ABS(I4)&lt;=IF(B4="м²",1,0.01),"OK","ОТКЛОНЕНИЕ"))</f>
        <v>НЕТ КОНТРОЛЯ</v>
      </c>
    </row>
    <row r="5" spans="1:10">
      <c r="A5" s="53" t="s">
        <v>187</v>
      </c>
      <c r="B5" s="54" t="s">
        <v>186</v>
      </c>
      <c r="C5" s="67">
        <f ca="1">IF(НАСТРОЙКИ!$B$5&lt;&gt;"Да",0,IFERROR(INDIRECT("'["&amp;НАСТРОЙКИ!$D$5&amp;"]ТЭП'!$D$4"),0))</f>
        <v>168105.71099744242</v>
      </c>
      <c r="D5" s="67">
        <f ca="1">IF(НАСТРОЙКИ!$B$6&lt;&gt;"Да",0,IFERROR(INDIRECT("'["&amp;НАСТРОЙКИ!$D$6&amp;"]ТЭП'!$D$4"),0))</f>
        <v>153639.28324808183</v>
      </c>
      <c r="E5" s="67">
        <f ca="1">IF(НАСТРОЙКИ!$B$7&lt;&gt;"Да",0,IFERROR(INDIRECT("'["&amp;НАСТРОЙКИ!$D$7&amp;"]ТЭП'!$D$4"),0))</f>
        <v>126829.28324808183</v>
      </c>
      <c r="F5" s="67">
        <f ca="1">IF(НАСТРОЙКИ!$B$8&lt;&gt;"Да",0,IFERROR(INDIRECT("'["&amp;НАСТРОЙКИ!$D$8&amp;"]ТЭП'!$D$4"),0))</f>
        <v>0</v>
      </c>
      <c r="G5" s="67">
        <f t="shared" ca="1" si="0"/>
        <v>448574.27749360609</v>
      </c>
      <c r="H5" s="68"/>
      <c r="I5" s="67" t="str">
        <f t="shared" si="1"/>
        <v/>
      </c>
      <c r="J5" s="55" t="str">
        <f t="shared" si="2"/>
        <v>НЕТ КОНТРОЛЯ</v>
      </c>
    </row>
    <row r="6" spans="1:10">
      <c r="A6" s="53" t="s">
        <v>188</v>
      </c>
      <c r="B6" s="54" t="s">
        <v>186</v>
      </c>
      <c r="C6" s="67">
        <f ca="1">IF(НАСТРОЙКИ!$B$5&lt;&gt;"Да",0,IFERROR(INDIRECT("'["&amp;НАСТРОЙКИ!$D$5&amp;"]ТЭП'!$F$4"),0))</f>
        <v>87826.086956521744</v>
      </c>
      <c r="D6" s="67">
        <f ca="1">IF(НАСТРОЙКИ!$B$6&lt;&gt;"Да",0,IFERROR(INDIRECT("'["&amp;НАСТРОЙКИ!$D$6&amp;"]ТЭП'!$F$4"),0))</f>
        <v>76549.565217391297</v>
      </c>
      <c r="E6" s="67">
        <f ca="1">IF(НАСТРОЙКИ!$B$7&lt;&gt;"Да",0,IFERROR(INDIRECT("'["&amp;НАСТРОЙКИ!$D$7&amp;"]ТЭП'!$F$4"),0))</f>
        <v>65869.565217391297</v>
      </c>
      <c r="F6" s="67">
        <f ca="1">IF(НАСТРОЙКИ!$B$8&lt;&gt;"Да",0,IFERROR(INDIRECT("'["&amp;НАСТРОЙКИ!$D$8&amp;"]ТЭП'!$F$4"),0))</f>
        <v>0</v>
      </c>
      <c r="G6" s="67">
        <f t="shared" ca="1" si="0"/>
        <v>230245.21739130432</v>
      </c>
      <c r="H6" s="68"/>
      <c r="I6" s="67" t="str">
        <f t="shared" si="1"/>
        <v/>
      </c>
      <c r="J6" s="55" t="str">
        <f t="shared" si="2"/>
        <v>НЕТ КОНТРОЛЯ</v>
      </c>
    </row>
    <row r="7" spans="1:10">
      <c r="A7" s="53" t="s">
        <v>189</v>
      </c>
      <c r="B7" s="54" t="s">
        <v>186</v>
      </c>
      <c r="C7" s="67">
        <f ca="1">IF(НАСТРОЙКИ!$B$5&lt;&gt;"Да",0,IFERROR(INDIRECT("'["&amp;НАСТРОЙКИ!$D$5&amp;"]ТЭП'!$G$4"),0))</f>
        <v>87826.086956521744</v>
      </c>
      <c r="D7" s="67">
        <f ca="1">IF(НАСТРОЙКИ!$B$6&lt;&gt;"Да",0,IFERROR(INDIRECT("'["&amp;НАСТРОЙКИ!$D$6&amp;"]ТЭП'!$G$4"),0))</f>
        <v>76549.565217391297</v>
      </c>
      <c r="E7" s="67">
        <f ca="1">IF(НАСТРОЙКИ!$B$7&lt;&gt;"Да",0,IFERROR(INDIRECT("'["&amp;НАСТРОЙКИ!$D$7&amp;"]ТЭП'!$G$4"),0))</f>
        <v>65869.565217391297</v>
      </c>
      <c r="F7" s="67">
        <f ca="1">IF(НАСТРОЙКИ!$B$8&lt;&gt;"Да",0,IFERROR(INDIRECT("'["&amp;НАСТРОЙКИ!$D$8&amp;"]ТЭП'!$G$4"),0))</f>
        <v>0</v>
      </c>
      <c r="G7" s="67">
        <f t="shared" ca="1" si="0"/>
        <v>230245.21739130432</v>
      </c>
      <c r="H7" s="68">
        <v>200000</v>
      </c>
      <c r="I7" s="67">
        <f t="shared" ca="1" si="1"/>
        <v>30245.217391304323</v>
      </c>
      <c r="J7" s="55" t="str">
        <f t="shared" ca="1" si="2"/>
        <v>ОТКЛОНЕНИЕ</v>
      </c>
    </row>
    <row r="8" spans="1:10">
      <c r="A8" s="53" t="s">
        <v>190</v>
      </c>
      <c r="B8" s="54" t="s">
        <v>186</v>
      </c>
      <c r="C8" s="67">
        <f ca="1">IF(НАСТРОЙКИ!$B$5&lt;&gt;"Да",0,IFERROR(INDIRECT("'["&amp;НАСТРОЙКИ!$D$5&amp;"]ТЭП'!$H$4"),0))</f>
        <v>3000</v>
      </c>
      <c r="D8" s="67">
        <f ca="1">IF(НАСТРОЙКИ!$B$6&lt;&gt;"Да",0,IFERROR(INDIRECT("'["&amp;НАСТРОЙКИ!$D$6&amp;"]ТЭП'!$H$4"),0))</f>
        <v>8450</v>
      </c>
      <c r="E8" s="67">
        <f ca="1">IF(НАСТРОЙКИ!$B$7&lt;&gt;"Да",0,IFERROR(INDIRECT("'["&amp;НАСТРОЙКИ!$D$7&amp;"]ТЭП'!$H$4"),0))</f>
        <v>3000</v>
      </c>
      <c r="F8" s="67">
        <f ca="1">IF(НАСТРОЙКИ!$B$8&lt;&gt;"Да",0,IFERROR(INDIRECT("'["&amp;НАСТРОЙКИ!$D$8&amp;"]ТЭП'!$H$4"),0))</f>
        <v>0</v>
      </c>
      <c r="G8" s="67">
        <f t="shared" ca="1" si="0"/>
        <v>14450</v>
      </c>
      <c r="H8" s="68"/>
      <c r="I8" s="67" t="str">
        <f t="shared" si="1"/>
        <v/>
      </c>
      <c r="J8" s="55" t="str">
        <f t="shared" si="2"/>
        <v>НЕТ КОНТРОЛЯ</v>
      </c>
    </row>
    <row r="9" spans="1:10">
      <c r="A9" s="53" t="s">
        <v>191</v>
      </c>
      <c r="B9" s="54" t="s">
        <v>186</v>
      </c>
      <c r="C9" s="67">
        <f ca="1">IF(НАСТРОЙКИ!$B$5&lt;&gt;"Да",0,IFERROR(INDIRECT("'["&amp;НАСТРОЙКИ!$D$5&amp;"]ТЭП'!$G$7"),0))</f>
        <v>80000</v>
      </c>
      <c r="D9" s="67">
        <f ca="1">IF(НАСТРОЙКИ!$B$6&lt;&gt;"Да",0,IFERROR(INDIRECT("'["&amp;НАСТРОЙКИ!$D$6&amp;"]ТЭП'!$G$7"),0))</f>
        <v>60000</v>
      </c>
      <c r="E9" s="67">
        <f ca="1">IF(НАСТРОЙКИ!$B$7&lt;&gt;"Да",0,IFERROR(INDIRECT("'["&amp;НАСТРОЙКИ!$D$7&amp;"]ТЭП'!$G$7"),0))</f>
        <v>60000</v>
      </c>
      <c r="F9" s="67">
        <f ca="1">IF(НАСТРОЙКИ!$B$8&lt;&gt;"Да",0,IFERROR(INDIRECT("'["&amp;НАСТРОЙКИ!$D$8&amp;"]ТЭП'!$G$7"),0))</f>
        <v>0</v>
      </c>
      <c r="G9" s="67">
        <f t="shared" ca="1" si="0"/>
        <v>200000</v>
      </c>
      <c r="H9" s="68"/>
      <c r="I9" s="67" t="str">
        <f t="shared" si="1"/>
        <v/>
      </c>
      <c r="J9" s="55" t="str">
        <f t="shared" si="2"/>
        <v>НЕТ КОНТРОЛЯ</v>
      </c>
    </row>
    <row r="10" spans="1:10">
      <c r="A10" s="53" t="s">
        <v>192</v>
      </c>
      <c r="B10" s="54" t="s">
        <v>186</v>
      </c>
      <c r="C10" s="67">
        <f ca="1">IF(НАСТРОЙКИ!$B$5&lt;&gt;"Да",0,IFERROR(INDIRECT("'["&amp;НАСТРОЙКИ!$D$5&amp;"]ТЭП'!$G$8"),0))</f>
        <v>7826.0869565217399</v>
      </c>
      <c r="D10" s="67">
        <f ca="1">IF(НАСТРОЙКИ!$B$6&lt;&gt;"Да",0,IFERROR(INDIRECT("'["&amp;НАСТРОЙКИ!$D$6&amp;"]ТЭП'!$G$8"),0))</f>
        <v>5869.565217391304</v>
      </c>
      <c r="E10" s="67">
        <f ca="1">IF(НАСТРОЙКИ!$B$7&lt;&gt;"Да",0,IFERROR(INDIRECT("'["&amp;НАСТРОЙКИ!$D$7&amp;"]ТЭП'!$G$8"),0))</f>
        <v>5869.565217391304</v>
      </c>
      <c r="F10" s="67">
        <f ca="1">IF(НАСТРОЙКИ!$B$8&lt;&gt;"Да",0,IFERROR(INDIRECT("'["&amp;НАСТРОЙКИ!$D$8&amp;"]ТЭП'!$G$8"),0))</f>
        <v>0</v>
      </c>
      <c r="G10" s="67">
        <f t="shared" ca="1" si="0"/>
        <v>19565.217391304348</v>
      </c>
      <c r="H10" s="68"/>
      <c r="I10" s="67" t="str">
        <f t="shared" si="1"/>
        <v/>
      </c>
      <c r="J10" s="55" t="str">
        <f t="shared" si="2"/>
        <v>НЕТ КОНТРОЛЯ</v>
      </c>
    </row>
    <row r="11" spans="1:10">
      <c r="A11" s="53" t="s">
        <v>193</v>
      </c>
      <c r="B11" s="54" t="s">
        <v>186</v>
      </c>
      <c r="C11" s="67">
        <f ca="1">IF(НАСТРОЙКИ!$B$5&lt;&gt;"Да",0,IFERROR(INDIRECT("'["&amp;НАСТРОЙКИ!$D$5&amp;"]ТЭП'!$G$9"),0))</f>
        <v>0</v>
      </c>
      <c r="D11" s="67">
        <f ca="1">IF(НАСТРОЙКИ!$B$6&lt;&gt;"Да",0,IFERROR(INDIRECT("'["&amp;НАСТРОЙКИ!$D$6&amp;"]ТЭП'!$G$9"),0))</f>
        <v>0</v>
      </c>
      <c r="E11" s="67">
        <f ca="1">IF(НАСТРОЙКИ!$B$7&lt;&gt;"Да",0,IFERROR(INDIRECT("'["&amp;НАСТРОЙКИ!$D$7&amp;"]ТЭП'!$G$9"),0))</f>
        <v>0</v>
      </c>
      <c r="F11" s="67">
        <f ca="1">IF(НАСТРОЙКИ!$B$8&lt;&gt;"Да",0,IFERROR(INDIRECT("'["&amp;НАСТРОЙКИ!$D$8&amp;"]ТЭП'!$G$9"),0))</f>
        <v>0</v>
      </c>
      <c r="G11" s="67">
        <f t="shared" ca="1" si="0"/>
        <v>0</v>
      </c>
      <c r="H11" s="68"/>
      <c r="I11" s="67" t="str">
        <f t="shared" si="1"/>
        <v/>
      </c>
      <c r="J11" s="55" t="str">
        <f t="shared" si="2"/>
        <v>НЕТ КОНТРОЛЯ</v>
      </c>
    </row>
    <row r="12" spans="1:10">
      <c r="A12" s="53" t="s">
        <v>194</v>
      </c>
      <c r="B12" s="54" t="s">
        <v>186</v>
      </c>
      <c r="C12" s="67">
        <f ca="1">IF(НАСТРОЙКИ!$B$5&lt;&gt;"Да",0,IFERROR(INDIRECT("'["&amp;НАСТРОЙКИ!$D$5&amp;"]ТЭП'!$G$10"),0))</f>
        <v>0</v>
      </c>
      <c r="D12" s="67">
        <f ca="1">IF(НАСТРОЙКИ!$B$6&lt;&gt;"Да",0,IFERROR(INDIRECT("'["&amp;НАСТРОЙКИ!$D$6&amp;"]ТЭП'!$G$10"),0))</f>
        <v>10680</v>
      </c>
      <c r="E12" s="67">
        <f ca="1">IF(НАСТРОЙКИ!$B$7&lt;&gt;"Да",0,IFERROR(INDIRECT("'["&amp;НАСТРОЙКИ!$D$7&amp;"]ТЭП'!$G$10"),0))</f>
        <v>0</v>
      </c>
      <c r="F12" s="67">
        <f ca="1">IF(НАСТРОЙКИ!$B$8&lt;&gt;"Да",0,IFERROR(INDIRECT("'["&amp;НАСТРОЙКИ!$D$8&amp;"]ТЭП'!$G$10"),0))</f>
        <v>0</v>
      </c>
      <c r="G12" s="67">
        <f t="shared" ca="1" si="0"/>
        <v>10680</v>
      </c>
      <c r="H12" s="68"/>
      <c r="I12" s="67" t="str">
        <f t="shared" si="1"/>
        <v/>
      </c>
      <c r="J12" s="55" t="str">
        <f t="shared" si="2"/>
        <v>НЕТ КОНТРОЛЯ</v>
      </c>
    </row>
    <row r="13" spans="1:10">
      <c r="A13" s="53" t="s">
        <v>195</v>
      </c>
      <c r="B13" s="54" t="s">
        <v>186</v>
      </c>
      <c r="C13" s="67">
        <f ca="1">IF(НАСТРОЙКИ!$B$5&lt;&gt;"Да",0,IFERROR(INDIRECT("'["&amp;НАСТРОЙКИ!$D$5&amp;"]ТЭП'!$D$16"),0))</f>
        <v>3000</v>
      </c>
      <c r="D13" s="67">
        <f ca="1">IF(НАСТРОЙКИ!$B$6&lt;&gt;"Да",0,IFERROR(INDIRECT("'["&amp;НАСТРОЙКИ!$D$6&amp;"]ТЭП'!$D$16"),0))</f>
        <v>8450</v>
      </c>
      <c r="E13" s="67">
        <f ca="1">IF(НАСТРОЙКИ!$B$7&lt;&gt;"Да",0,IFERROR(INDIRECT("'["&amp;НАСТРОЙКИ!$D$7&amp;"]ТЭП'!$D$16"),0))</f>
        <v>3000</v>
      </c>
      <c r="F13" s="67">
        <f ca="1">IF(НАСТРОЙКИ!$B$8&lt;&gt;"Да",0,IFERROR(INDIRECT("'["&amp;НАСТРОЙКИ!$D$8&amp;"]ТЭП'!$D$16"),0))</f>
        <v>0</v>
      </c>
      <c r="G13" s="67">
        <f t="shared" ca="1" si="0"/>
        <v>14450</v>
      </c>
      <c r="H13" s="68"/>
      <c r="I13" s="67" t="str">
        <f t="shared" si="1"/>
        <v/>
      </c>
      <c r="J13" s="55" t="str">
        <f t="shared" si="2"/>
        <v>НЕТ КОНТРОЛЯ</v>
      </c>
    </row>
    <row r="14" spans="1:10">
      <c r="A14" s="53" t="s">
        <v>196</v>
      </c>
      <c r="B14" s="54" t="s">
        <v>197</v>
      </c>
      <c r="C14" s="67">
        <f ca="1">IF(НАСТРОЙКИ!$B$5&lt;&gt;"Да",0,IFERROR(INDIRECT("'["&amp;НАСТРОЙКИ!$D$5&amp;"]ТЭП'!$I$7"),0))</f>
        <v>1361.8157543391189</v>
      </c>
      <c r="D14" s="67">
        <f ca="1">IF(НАСТРОЙКИ!$B$6&lt;&gt;"Да",0,IFERROR(INDIRECT("'["&amp;НАСТРОЙКИ!$D$6&amp;"]ТЭП'!$I$7"),0))</f>
        <v>1021.361815754339</v>
      </c>
      <c r="E14" s="67">
        <f ca="1">IF(НАСТРОЙКИ!$B$7&lt;&gt;"Да",0,IFERROR(INDIRECT("'["&amp;НАСТРОЙКИ!$D$7&amp;"]ТЭП'!$I$7"),0))</f>
        <v>1021.361815754339</v>
      </c>
      <c r="F14" s="67">
        <f ca="1">IF(НАСТРОЙКИ!$B$8&lt;&gt;"Да",0,IFERROR(INDIRECT("'["&amp;НАСТРОЙКИ!$D$8&amp;"]ТЭП'!$I$7"),0))</f>
        <v>0</v>
      </c>
      <c r="G14" s="67">
        <f t="shared" ca="1" si="0"/>
        <v>3404.5393858477964</v>
      </c>
      <c r="H14" s="68"/>
      <c r="I14" s="67" t="str">
        <f t="shared" si="1"/>
        <v/>
      </c>
      <c r="J14" s="55" t="str">
        <f t="shared" si="2"/>
        <v>НЕТ КОНТРОЛЯ</v>
      </c>
    </row>
    <row r="15" spans="1:10">
      <c r="A15" s="53" t="s">
        <v>198</v>
      </c>
      <c r="B15" s="54" t="s">
        <v>197</v>
      </c>
      <c r="C15" s="67">
        <f ca="1">IF(НАСТРОЙКИ!$B$5&lt;&gt;"Да",0,IFERROR(INDIRECT("'["&amp;НАСТРОЙКИ!$D$5&amp;"]ТЭП'!$I$11"),0))</f>
        <v>0</v>
      </c>
      <c r="D15" s="67">
        <f ca="1">IF(НАСТРОЙКИ!$B$6&lt;&gt;"Да",0,IFERROR(INDIRECT("'["&amp;НАСТРОЙКИ!$D$6&amp;"]ТЭП'!$I$11"),0))</f>
        <v>0</v>
      </c>
      <c r="E15" s="67">
        <f ca="1">IF(НАСТРОЙКИ!$B$7&lt;&gt;"Да",0,IFERROR(INDIRECT("'["&amp;НАСТРОЙКИ!$D$7&amp;"]ТЭП'!$I$11"),0))</f>
        <v>0</v>
      </c>
      <c r="F15" s="67">
        <f ca="1">IF(НАСТРОЙКИ!$B$8&lt;&gt;"Да",0,IFERROR(INDIRECT("'["&amp;НАСТРОЙКИ!$D$8&amp;"]ТЭП'!$I$11"),0))</f>
        <v>0</v>
      </c>
      <c r="G15" s="67">
        <f t="shared" ca="1" si="0"/>
        <v>0</v>
      </c>
      <c r="H15" s="68"/>
      <c r="I15" s="67" t="str">
        <f t="shared" si="1"/>
        <v/>
      </c>
      <c r="J15" s="55" t="str">
        <f t="shared" si="2"/>
        <v>НЕТ КОНТРОЛЯ</v>
      </c>
    </row>
    <row r="16" spans="1:10">
      <c r="A16" s="53" t="s">
        <v>199</v>
      </c>
      <c r="B16" s="54" t="s">
        <v>197</v>
      </c>
      <c r="C16" s="67">
        <f ca="1">IF(НАСТРОЙКИ!$B$5&lt;&gt;"Да",0,IFERROR(INDIRECT("'["&amp;НАСТРОЙКИ!$D$5&amp;"]ТЭП'!$I$14"),0))</f>
        <v>1107.5142857142857</v>
      </c>
      <c r="D16" s="67">
        <f ca="1">IF(НАСТРОЙКИ!$B$6&lt;&gt;"Да",0,IFERROR(INDIRECT("'["&amp;НАСТРОЙКИ!$D$6&amp;"]ТЭП'!$I$14"),0))</f>
        <v>830.63571428571413</v>
      </c>
      <c r="E16" s="67">
        <f ca="1">IF(НАСТРОЙКИ!$B$7&lt;&gt;"Да",0,IFERROR(INDIRECT("'["&amp;НАСТРОЙКИ!$D$7&amp;"]ТЭП'!$I$14"),0))</f>
        <v>830.63571428571413</v>
      </c>
      <c r="F16" s="67">
        <f ca="1">IF(НАСТРОЙКИ!$B$8&lt;&gt;"Да",0,IFERROR(INDIRECT("'["&amp;НАСТРОЙКИ!$D$8&amp;"]ТЭП'!$I$14"),0))</f>
        <v>0</v>
      </c>
      <c r="G16" s="67">
        <f t="shared" ca="1" si="0"/>
        <v>2768.7857142857138</v>
      </c>
      <c r="H16" s="68"/>
      <c r="I16" s="67" t="str">
        <f t="shared" si="1"/>
        <v/>
      </c>
      <c r="J16" s="55" t="str">
        <f t="shared" si="2"/>
        <v>НЕТ КОНТРОЛЯ</v>
      </c>
    </row>
    <row r="17" spans="1:10">
      <c r="A17" s="53" t="s">
        <v>200</v>
      </c>
      <c r="B17" s="54" t="s">
        <v>197</v>
      </c>
      <c r="C17" s="67">
        <f ca="1">IF(НАСТРОЙКИ!$B$5&lt;&gt;"Да",0,IFERROR(INDIRECT("'["&amp;НАСТРОЙКИ!$D$5&amp;"]ТЭП'!$I$15"),0))</f>
        <v>0</v>
      </c>
      <c r="D17" s="67">
        <f ca="1">IF(НАСТРОЙКИ!$B$6&lt;&gt;"Да",0,IFERROR(INDIRECT("'["&amp;НАСТРОЙКИ!$D$6&amp;"]ТЭП'!$I$15"),0))</f>
        <v>0</v>
      </c>
      <c r="E17" s="67">
        <f ca="1">IF(НАСТРОЙКИ!$B$7&lt;&gt;"Да",0,IFERROR(INDIRECT("'["&amp;НАСТРОЙКИ!$D$7&amp;"]ТЭП'!$I$15"),0))</f>
        <v>0</v>
      </c>
      <c r="F17" s="67">
        <f ca="1">IF(НАСТРОЙКИ!$B$8&lt;&gt;"Да",0,IFERROR(INDIRECT("'["&amp;НАСТРОЙКИ!$D$8&amp;"]ТЭП'!$I$15"),0))</f>
        <v>0</v>
      </c>
      <c r="G17" s="67">
        <f t="shared" ca="1" si="0"/>
        <v>0</v>
      </c>
      <c r="H17" s="68"/>
      <c r="I17" s="67" t="str">
        <f t="shared" si="1"/>
        <v/>
      </c>
      <c r="J17" s="55" t="str">
        <f t="shared" si="2"/>
        <v>НЕТ КОНТРОЛЯ</v>
      </c>
    </row>
    <row r="18" spans="1:10">
      <c r="A18" s="53" t="s">
        <v>201</v>
      </c>
      <c r="B18" s="54" t="s">
        <v>202</v>
      </c>
      <c r="C18" s="67">
        <f ca="1">IF(НАСТРОЙКИ!$B$5&lt;&gt;"Да",0,IFERROR(INDIRECT("'["&amp;НАСТРОЙКИ!$D$5&amp;"]ТЭП'!$I$17"),0))</f>
        <v>250</v>
      </c>
      <c r="D18" s="67">
        <f ca="1">IF(НАСТРОЙКИ!$B$6&lt;&gt;"Да",0,IFERROR(INDIRECT("'["&amp;НАСТРОЙКИ!$D$6&amp;"]ТЭП'!$I$17"),0))</f>
        <v>0</v>
      </c>
      <c r="E18" s="67">
        <f ca="1">IF(НАСТРОЙКИ!$B$7&lt;&gt;"Да",0,IFERROR(INDIRECT("'["&amp;НАСТРОЙКИ!$D$7&amp;"]ТЭП'!$I$17"),0))</f>
        <v>250</v>
      </c>
      <c r="F18" s="67">
        <f ca="1">IF(НАСТРОЙКИ!$B$8&lt;&gt;"Да",0,IFERROR(INDIRECT("'["&amp;НАСТРОЙКИ!$D$8&amp;"]ТЭП'!$I$17"),0))</f>
        <v>0</v>
      </c>
      <c r="G18" s="67">
        <f t="shared" ca="1" si="0"/>
        <v>500</v>
      </c>
      <c r="H18" s="68">
        <v>465</v>
      </c>
      <c r="I18" s="67">
        <f t="shared" ca="1" si="1"/>
        <v>35</v>
      </c>
      <c r="J18" s="55" t="str">
        <f t="shared" ca="1" si="2"/>
        <v>ОТКЛОНЕНИЕ</v>
      </c>
    </row>
    <row r="19" spans="1:10">
      <c r="A19" s="53" t="s">
        <v>203</v>
      </c>
      <c r="B19" s="54" t="s">
        <v>202</v>
      </c>
      <c r="C19" s="67">
        <f ca="1">IF(НАСТРОЙКИ!$B$5&lt;&gt;"Да",0,IFERROR(INDIRECT("'["&amp;НАСТРОЙКИ!$D$5&amp;"]ТЭП'!$I$18"),0))</f>
        <v>0</v>
      </c>
      <c r="D19" s="67">
        <f ca="1">IF(НАСТРОЙКИ!$B$6&lt;&gt;"Да",0,IFERROR(INDIRECT("'["&amp;НАСТРОЙКИ!$D$6&amp;"]ТЭП'!$I$18"),0))</f>
        <v>650</v>
      </c>
      <c r="E19" s="67">
        <f ca="1">IF(НАСТРОЙКИ!$B$7&lt;&gt;"Да",0,IFERROR(INDIRECT("'["&amp;НАСТРОЙКИ!$D$7&amp;"]ТЭП'!$I$18"),0))</f>
        <v>0</v>
      </c>
      <c r="F19" s="67">
        <f ca="1">IF(НАСТРОЙКИ!$B$8&lt;&gt;"Да",0,IFERROR(INDIRECT("'["&amp;НАСТРОЙКИ!$D$8&amp;"]ТЭП'!$I$18"),0))</f>
        <v>0</v>
      </c>
      <c r="G19" s="67">
        <f t="shared" ca="1" si="0"/>
        <v>650</v>
      </c>
      <c r="H19" s="68">
        <v>675</v>
      </c>
      <c r="I19" s="67">
        <f t="shared" ca="1" si="1"/>
        <v>-25</v>
      </c>
      <c r="J19" s="55" t="str">
        <f t="shared" ca="1" si="2"/>
        <v>ОТКЛОНЕНИЕ</v>
      </c>
    </row>
    <row r="20" spans="1:10">
      <c r="A20" s="53" t="s">
        <v>204</v>
      </c>
      <c r="B20" s="54" t="s">
        <v>205</v>
      </c>
      <c r="C20" s="67">
        <f ca="1">IF(НАСТРОЙКИ!$B$5&lt;&gt;"Да",0,IFERROR(INDIRECT("'["&amp;НАСТРОЙКИ!$D$5&amp;"]ТЭП'!$I$19"),0))</f>
        <v>0</v>
      </c>
      <c r="D20" s="67">
        <f ca="1">IF(НАСТРОЙКИ!$B$6&lt;&gt;"Да",0,IFERROR(INDIRECT("'["&amp;НАСТРОЙКИ!$D$6&amp;"]ТЭП'!$I$19"),0))</f>
        <v>0</v>
      </c>
      <c r="E20" s="67">
        <f ca="1">IF(НАСТРОЙКИ!$B$7&lt;&gt;"Да",0,IFERROR(INDIRECT("'["&amp;НАСТРОЙКИ!$D$7&amp;"]ТЭП'!$I$19"),0))</f>
        <v>0</v>
      </c>
      <c r="F20" s="67">
        <f ca="1">IF(НАСТРОЙКИ!$B$8&lt;&gt;"Да",0,IFERROR(INDIRECT("'["&amp;НАСТРОЙКИ!$D$8&amp;"]ТЭП'!$I$19"),0))</f>
        <v>0</v>
      </c>
      <c r="G20" s="67">
        <f t="shared" ca="1" si="0"/>
        <v>0</v>
      </c>
      <c r="H20" s="68"/>
      <c r="I20" s="67" t="str">
        <f t="shared" si="1"/>
        <v/>
      </c>
      <c r="J20" s="55" t="str">
        <f t="shared" si="2"/>
        <v>НЕТ КОНТРОЛЯ</v>
      </c>
    </row>
    <row r="21" spans="1:10">
      <c r="A21" s="53" t="s">
        <v>206</v>
      </c>
      <c r="B21" s="54" t="s">
        <v>186</v>
      </c>
      <c r="C21" s="67">
        <f ca="1">IF(НАСТРОЙКИ!$B$5&lt;&gt;"Да",0,IFERROR(INDIRECT("'["&amp;НАСТРОЙКИ!$D$5&amp;"]ТЭП'!$D$17"),0))</f>
        <v>3000</v>
      </c>
      <c r="D21" s="67">
        <f ca="1">IF(НАСТРОЙКИ!$B$6&lt;&gt;"Да",0,IFERROR(INDIRECT("'["&amp;НАСТРОЙКИ!$D$6&amp;"]ТЭП'!$D$17"),0))</f>
        <v>0</v>
      </c>
      <c r="E21" s="67">
        <f ca="1">IF(НАСТРОЙКИ!$B$7&lt;&gt;"Да",0,IFERROR(INDIRECT("'["&amp;НАСТРОЙКИ!$D$7&amp;"]ТЭП'!$D$17"),0))</f>
        <v>3000</v>
      </c>
      <c r="F21" s="67">
        <f ca="1">IF(НАСТРОЙКИ!$B$8&lt;&gt;"Да",0,IFERROR(INDIRECT("'["&amp;НАСТРОЙКИ!$D$8&amp;"]ТЭП'!$D$17"),0))</f>
        <v>0</v>
      </c>
      <c r="G21" s="67">
        <f t="shared" ca="1" si="0"/>
        <v>6000</v>
      </c>
      <c r="H21" s="68"/>
      <c r="I21" s="67" t="str">
        <f t="shared" si="1"/>
        <v/>
      </c>
      <c r="J21" s="55" t="str">
        <f t="shared" si="2"/>
        <v>НЕТ КОНТРОЛЯ</v>
      </c>
    </row>
    <row r="22" spans="1:10">
      <c r="A22" s="53" t="s">
        <v>207</v>
      </c>
      <c r="B22" s="54" t="s">
        <v>186</v>
      </c>
      <c r="C22" s="67">
        <f ca="1">IF(НАСТРОЙКИ!$B$5&lt;&gt;"Да",0,IFERROR(INDIRECT("'["&amp;НАСТРОЙКИ!$D$5&amp;"]ТЭП'!$D$18"),0))</f>
        <v>0</v>
      </c>
      <c r="D22" s="67">
        <f ca="1">IF(НАСТРОЙКИ!$B$6&lt;&gt;"Да",0,IFERROR(INDIRECT("'["&amp;НАСТРОЙКИ!$D$6&amp;"]ТЭП'!$D$18"),0))</f>
        <v>8450</v>
      </c>
      <c r="E22" s="67">
        <f ca="1">IF(НАСТРОЙКИ!$B$7&lt;&gt;"Да",0,IFERROR(INDIRECT("'["&amp;НАСТРОЙКИ!$D$7&amp;"]ТЭП'!$D$18"),0))</f>
        <v>0</v>
      </c>
      <c r="F22" s="67">
        <f ca="1">IF(НАСТРОЙКИ!$B$8&lt;&gt;"Да",0,IFERROR(INDIRECT("'["&amp;НАСТРОЙКИ!$D$8&amp;"]ТЭП'!$D$18"),0))</f>
        <v>0</v>
      </c>
      <c r="G22" s="67">
        <f t="shared" ca="1" si="0"/>
        <v>8450</v>
      </c>
      <c r="H22" s="68"/>
      <c r="I22" s="67" t="str">
        <f t="shared" si="1"/>
        <v/>
      </c>
      <c r="J22" s="55" t="str">
        <f t="shared" si="2"/>
        <v>НЕТ КОНТРОЛЯ</v>
      </c>
    </row>
    <row r="23" spans="1:10">
      <c r="A23" s="59" t="s">
        <v>208</v>
      </c>
      <c r="B23" s="60" t="s">
        <v>186</v>
      </c>
      <c r="C23" s="69">
        <f ca="1">IF(НАСТРОЙКИ!$B$5&lt;&gt;"Да",0,IFERROR(INDIRECT("'["&amp;НАСТРОЙКИ!$D$5&amp;"]ТЭП'!$D$19"),0))</f>
        <v>0</v>
      </c>
      <c r="D23" s="69">
        <f ca="1">IF(НАСТРОЙКИ!$B$6&lt;&gt;"Да",0,IFERROR(INDIRECT("'["&amp;НАСТРОЙКИ!$D$6&amp;"]ТЭП'!$D$19"),0))</f>
        <v>0</v>
      </c>
      <c r="E23" s="69">
        <f ca="1">IF(НАСТРОЙКИ!$B$7&lt;&gt;"Да",0,IFERROR(INDIRECT("'["&amp;НАСТРОЙКИ!$D$7&amp;"]ТЭП'!$D$19"),0))</f>
        <v>0</v>
      </c>
      <c r="F23" s="69">
        <f ca="1">IF(НАСТРОЙКИ!$B$8&lt;&gt;"Да",0,IFERROR(INDIRECT("'["&amp;НАСТРОЙКИ!$D$8&amp;"]ТЭП'!$D$19"),0))</f>
        <v>0</v>
      </c>
      <c r="G23" s="69">
        <f t="shared" ca="1" si="0"/>
        <v>0</v>
      </c>
      <c r="H23" s="70"/>
      <c r="I23" s="69" t="str">
        <f t="shared" si="1"/>
        <v/>
      </c>
      <c r="J23" s="71" t="str">
        <f t="shared" si="2"/>
        <v>НЕТ КОНТРОЛЯ</v>
      </c>
    </row>
    <row r="25" spans="1:10" ht="14.4">
      <c r="A25" s="91" t="s">
        <v>209</v>
      </c>
      <c r="B25" s="91"/>
      <c r="C25" s="91"/>
      <c r="D25" s="91"/>
      <c r="E25" s="91"/>
      <c r="F25" s="91"/>
      <c r="G25" s="91"/>
      <c r="H25" s="91"/>
      <c r="I25" s="91"/>
      <c r="J25" s="91"/>
    </row>
    <row r="27" spans="1:10">
      <c r="A27" t="s">
        <v>210</v>
      </c>
      <c r="B27" t="s">
        <v>183</v>
      </c>
    </row>
    <row r="28" spans="1:10">
      <c r="A28" t="s">
        <v>211</v>
      </c>
      <c r="B28">
        <f ca="1">G7-SUM(G9:G12)</f>
        <v>0</v>
      </c>
    </row>
    <row r="29" spans="1:10">
      <c r="A29" t="s">
        <v>212</v>
      </c>
      <c r="B29">
        <f ca="1">G15+G16</f>
        <v>2768.7857142857138</v>
      </c>
    </row>
  </sheetData>
  <mergeCells count="2">
    <mergeCell ref="A1:J1"/>
    <mergeCell ref="A25:J25"/>
  </mergeCells>
  <conditionalFormatting sqref="J4:J23">
    <cfRule type="expression" dxfId="2" priority="1">
      <formula>$J4="OK"</formula>
    </cfRule>
    <cfRule type="expression" dxfId="1" priority="2">
      <formula>$J4="ОТКЛОНЕНИЕ"</formula>
    </cfRule>
    <cfRule type="expression" dxfId="0" priority="3">
      <formula>$J4="НЕТ КОНТРОЛЯ"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3.8"/>
  <cols>
    <col min="1" max="1" width="36" customWidth="1"/>
    <col min="2" max="2" width="18" customWidth="1"/>
    <col min="3" max="3" width="42" customWidth="1"/>
  </cols>
  <sheetData>
    <row r="1" spans="1:3" ht="27.6">
      <c r="A1" s="72" t="s">
        <v>112</v>
      </c>
      <c r="B1" s="72" t="s">
        <v>213</v>
      </c>
      <c r="C1" s="72" t="s">
        <v>214</v>
      </c>
    </row>
    <row r="2" spans="1:3">
      <c r="A2" s="73" t="s">
        <v>113</v>
      </c>
      <c r="B2" s="74">
        <v>113938.27704587189</v>
      </c>
      <c r="C2" s="73" t="s">
        <v>215</v>
      </c>
    </row>
    <row r="3" spans="1:3">
      <c r="A3" s="73" t="s">
        <v>114</v>
      </c>
      <c r="B3" s="74">
        <v>101111.00522516915</v>
      </c>
      <c r="C3" s="73" t="s">
        <v>215</v>
      </c>
    </row>
    <row r="4" spans="1:3">
      <c r="A4" s="73" t="s">
        <v>216</v>
      </c>
      <c r="B4" s="74">
        <v>7153.2849965058176</v>
      </c>
      <c r="C4" s="73" t="s">
        <v>217</v>
      </c>
    </row>
    <row r="5" spans="1:3">
      <c r="A5" s="73" t="s">
        <v>116</v>
      </c>
      <c r="B5" s="74">
        <v>3203.825829068061</v>
      </c>
      <c r="C5" s="73" t="s">
        <v>218</v>
      </c>
    </row>
    <row r="6" spans="1:3">
      <c r="A6" s="73" t="s">
        <v>117</v>
      </c>
      <c r="B6" s="74">
        <v>82066.814788633434</v>
      </c>
      <c r="C6" s="73" t="s">
        <v>219</v>
      </c>
    </row>
    <row r="7" spans="1:3" ht="27.6">
      <c r="A7" s="73" t="s">
        <v>37</v>
      </c>
      <c r="B7" s="73"/>
      <c r="C7" s="73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ИНСТРУКЦИЯ</vt:lpstr>
      <vt:lpstr>НАСТРОЙКИ</vt:lpstr>
      <vt:lpstr>СВОД</vt:lpstr>
      <vt:lpstr>ПО МЕСЯЦАМ</vt:lpstr>
      <vt:lpstr>БРИДЖ</vt:lpstr>
      <vt:lpstr>ГАНТ</vt:lpstr>
      <vt:lpstr>СВОД ТЭП</vt:lpstr>
      <vt:lpstr>КЭШ_СВОД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Ситников Владислав Юрьевич</cp:lastModifiedBy>
  <dcterms:modified xsi:type="dcterms:W3CDTF">2026-07-17T16:24:58Z</dcterms:modified>
</cp:coreProperties>
</file>