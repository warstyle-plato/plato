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  <x:v>1</x:v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  <x:v>1</x:v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  <x:v>1</x:v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  <x:v>0.09</x:v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  <x:v>0</x:v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COUNTIF($B$88:$B$90,"Да")</x:f>
        <x:v>1</x:v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  <x:v>35000</x:v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  <x:v>40411</x:v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  <x:v>1</x:v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  <x:v>0</x:v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ROUNDUP(SUM('CAPEX'!$B$35,'CAPEX'!$B$69,'CAPEX'!$B$103)/10,0)*10</x:f>
        <x:v>10280</x:v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  <x:v>0</x:v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  <x:v>0.09</x:v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  <x:v>0</x:v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  <x:v>0</x:v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  <x:v>0</x:v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  <x:v>0</x:v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  <x:v>0</x:v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  <x:v>1</x:v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  <x:v>21415</x:v>
      </x:c>
      <x:c r="J88" s="83" t="n">
        <x:f>ROUND(X88*$K$15,0)</x:f>
        <x:v>1367</x:v>
      </x:c>
      <x:c r="K88" s="83" t="n">
        <x:f>ROUND(Y88*IF($K$80="Да",$K$15,1),0)</x:f>
        <x:v>3185</x:v>
      </x:c>
      <x:c r="L88" s="83" t="n">
        <x:f>ROUND(Z88*$K$15,0)</x:f>
        <x:v>13920</x:v>
      </x:c>
      <x:c r="M88" s="83" t="n">
        <x:f>ROUND(AA88*$K$15,0)</x:f>
        <x:v>1230</x:v>
      </x:c>
      <x:c r="N88" s="83" t="n">
        <x:f>ROUND(AB88*IF($K$80="Да",$K$15,1),0)</x:f>
        <x:v>91</x:v>
      </x:c>
      <x:c r="O88" s="83" t="n">
        <x:f>ROUND(AC88*IF($K$81="Да",$K$15,1),0)</x:f>
        <x:v>0</x:v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  <x:v>1</x:v>
      </x:c>
      <x:c r="AH88" s="330" t="n">
        <x:f>(1+AF88)^(MAX(0,(12*(YEAR(EDATE(D88,E88+$H$9))-YEAR($B$36))+MONTH(EDATE(D88,E88+$H$9))-MONTH($B$36)))/12)</x:f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  <x:v>0</x:v>
      </x:c>
      <x:c r="J89" s="83" t="n">
        <x:f>ROUND(X89*$K$15,0)</x:f>
        <x:v>0</x:v>
      </x:c>
      <x:c r="K89" s="83" t="n">
        <x:f>ROUND(Y89*IF($K$80="Да",$K$15,1),0)</x:f>
        <x:v>0</x:v>
      </x:c>
      <x:c r="L89" s="83" t="n">
        <x:f>ROUND(Z89*$K$15,0)</x:f>
        <x:v>0</x:v>
      </x:c>
      <x:c r="M89" s="83" t="n">
        <x:f>ROUND(AA89*$K$15,0)</x:f>
        <x:v>0</x:v>
      </x:c>
      <x:c r="N89" s="83" t="n">
        <x:f>ROUND(AB89*IF($K$80="Да",$K$15,1),0)</x:f>
        <x:v>0</x:v>
      </x:c>
      <x:c r="O89" s="83" t="n">
        <x:f>ROUND(AC89*IF($K$81="Да",$K$15,1),0)</x:f>
        <x:v>0</x:v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  <x:v>1</x:v>
      </x:c>
      <x:c r="AH89" s="332" t="n">
        <x:f>(1+AF89)^(MAX(0,(12*(YEAR(EDATE(D89,E89+$H$9))-YEAR($B$36))+MONTH(EDATE(D89,E89+$H$9))-MONTH($B$36)))/12)</x:f>
        <x:v>1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  <x:v>0</x:v>
      </x:c>
      <x:c r="J90" s="83" t="n">
        <x:f>ROUND(X90*$K$15,0)</x:f>
        <x:v>0</x:v>
      </x:c>
      <x:c r="K90" s="83" t="n">
        <x:f>ROUND(Y90*IF($K$80="Да",$K$15,1),0)</x:f>
        <x:v>0</x:v>
      </x:c>
      <x:c r="L90" s="83" t="n">
        <x:f>ROUND(Z90*$K$15,0)</x:f>
        <x:v>0</x:v>
      </x:c>
      <x:c r="M90" s="83" t="n">
        <x:f>ROUND(AA90*$K$15,0)</x:f>
        <x:v>0</x:v>
      </x:c>
      <x:c r="N90" s="83" t="n">
        <x:f>ROUND(AB90*IF($K$80="Да",$K$15,1),0)</x:f>
        <x:v>0</x:v>
      </x:c>
      <x:c r="O90" s="83" t="n">
        <x:f>ROUND(AC90*IF($K$81="Да",$K$15,1),0)</x:f>
        <x:v>0</x:v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  <x:v>1</x:v>
      </x:c>
      <x:c r="AH90" s="334" t="n">
        <x:f>(1+AF90)^(MAX(0,(12*(YEAR(EDATE(D90,E90+$H$9))-YEAR($B$36))+MONTH(EDATE(D90,E90+$H$9))-MONTH($B$36)))/12)</x:f>
        <x:v>1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  <x:v>Base</x:v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  <x:v>0.14</x:v>
      </x:c>
      <x:c r="C95" s="35"/>
      <x:c r="D95" s="35" t="str">
        <x:v>Ставка</x:v>
      </x:c>
      <x:c r="E95" s="35" t="n">
        <x:f>$G$8</x:f>
        <x:v>0.11</x:v>
      </x:c>
      <x:c r="F95" s="35" t="n">
        <x:f>$E$8</x:f>
        <x:v>0.09</x:v>
      </x:c>
      <x:c r="G95" s="35" t="n">
        <x:f>$F$8</x:f>
        <x:v>0.07</x:v>
      </x:c>
    </x:row>
    <x:row r="96">
      <x:c r="A96" t="str">
        <x:v>Месяцев до целевой ставки</x:v>
      </x:c>
      <x:c r="B96" s="59" t="n">
        <x:f>$B$35</x:f>
        <x:v>24</x:v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  <x:v>46388</x:v>
      </x:c>
      <x:c r="C99" t="n">
        <x:f>ROUND(0*($B$9-1)/20,0)</x:f>
        <x:v>0</x:v>
      </x:c>
      <x:c r="D99" s="35" t="n">
        <x:f>MAX($E$95,$B$95-($B$95-$E$95)*MIN(1,$C99/MAX(1,$B$96)))</x:f>
        <x:v>0.14</x:v>
      </x:c>
      <x:c r="E99" s="35" t="n">
        <x:f>MAX($F$95,$B$95-($B$95-$F$95)*MIN(1,$C99/MAX(1,$B$96)))</x:f>
        <x:v>0.14</x:v>
      </x:c>
      <x:c r="F99" s="35" t="n">
        <x:f>MAX($G$95,$B$95-($B$95-$G$95)*MIN(1,$C99/MAX(1,$B$96)))</x:f>
        <x:v>0.14</x:v>
      </x:c>
      <x:c r="G99" s="90" t="n">
        <x:f>IF($B$6="Downside",D99,IF($B$6="Upside",F99,E99))</x:f>
        <x:v>0.14</x:v>
      </x:c>
      <x:c r="H99" t="str">
        <x:f>IF($C99&lt;$B$96,"Переход","Целевая")</x:f>
        <x:v>Переход</x:v>
      </x:c>
    </x:row>
    <x:row r="100">
      <x:c r="A100" t="n">
        <x:v>2</x:v>
      </x:c>
      <x:c r="B100" s="91" t="n">
        <x:f>EDATE($B$8,ROUND(1*($B$9-1)/20,0))</x:f>
        <x:v>46569</x:v>
      </x:c>
      <x:c r="C100" t="n">
        <x:f>ROUND(1*($B$9-1)/20,0)</x:f>
        <x:v>6</x:v>
      </x:c>
      <x:c r="D100" s="35" t="n">
        <x:f>MAX($E$95,$B$95-($B$95-$E$95)*MIN(1,$C100/MAX(1,$B$96)))</x:f>
        <x:v>0.1325</x:v>
      </x:c>
      <x:c r="E100" s="35" t="n">
        <x:f>MAX($F$95,$B$95-($B$95-$F$95)*MIN(1,$C100/MAX(1,$B$96)))</x:f>
        <x:v>0.1275</x:v>
      </x:c>
      <x:c r="F100" s="35" t="n">
        <x:f>MAX($G$95,$B$95-($B$95-$G$95)*MIN(1,$C100/MAX(1,$B$96)))</x:f>
        <x:v>0.12250000000000001</x:v>
      </x:c>
      <x:c r="G100" s="90" t="n">
        <x:f>IF($B$6="Downside",D100,IF($B$6="Upside",F100,E100))</x:f>
        <x:v>0.1275</x:v>
      </x:c>
      <x:c r="H100" t="str">
        <x:f>IF($C100&lt;$B$96,"Переход","Целевая")</x:f>
        <x:v>Переход</x:v>
      </x:c>
    </x:row>
    <x:row r="101">
      <x:c r="A101" t="n">
        <x:v>3</x:v>
      </x:c>
      <x:c r="B101" s="91" t="n">
        <x:f>EDATE($B$8,ROUND(2*($B$9-1)/20,0))</x:f>
        <x:v>46753</x:v>
      </x:c>
      <x:c r="C101" t="n">
        <x:f>ROUND(2*($B$9-1)/20,0)</x:f>
        <x:v>12</x:v>
      </x:c>
      <x:c r="D101" s="35" t="n">
        <x:f>MAX($E$95,$B$95-($B$95-$E$95)*MIN(1,$C101/MAX(1,$B$96)))</x:f>
        <x:v>0.125</x:v>
      </x:c>
      <x:c r="E101" s="35" t="n">
        <x:f>MAX($F$95,$B$95-($B$95-$F$95)*MIN(1,$C101/MAX(1,$B$96)))</x:f>
        <x:v>0.115</x:v>
      </x:c>
      <x:c r="F101" s="35" t="n">
        <x:f>MAX($G$95,$B$95-($B$95-$G$95)*MIN(1,$C101/MAX(1,$B$96)))</x:f>
        <x:v>0.10500000000000001</x:v>
      </x:c>
      <x:c r="G101" s="90" t="n">
        <x:f>IF($B$6="Downside",D101,IF($B$6="Upside",F101,E101))</x:f>
        <x:v>0.115</x:v>
      </x:c>
      <x:c r="H101" t="str">
        <x:f>IF($C101&lt;$B$96,"Переход","Целевая")</x:f>
        <x:v>Переход</x:v>
      </x:c>
    </x:row>
    <x:row r="102">
      <x:c r="A102" t="n">
        <x:v>4</x:v>
      </x:c>
      <x:c r="B102" s="91" t="n">
        <x:f>EDATE($B$8,ROUND(3*($B$9-1)/20,0))</x:f>
        <x:v>46935</x:v>
      </x:c>
      <x:c r="C102" t="n">
        <x:f>ROUND(3*($B$9-1)/20,0)</x:f>
        <x:v>18</x:v>
      </x:c>
      <x:c r="D102" s="35" t="n">
        <x:f>MAX($E$95,$B$95-($B$95-$E$95)*MIN(1,$C102/MAX(1,$B$96)))</x:f>
        <x:v>0.11750000000000001</x:v>
      </x:c>
      <x:c r="E102" s="35" t="n">
        <x:f>MAX($F$95,$B$95-($B$95-$F$95)*MIN(1,$C102/MAX(1,$B$96)))</x:f>
        <x:v>0.10250000000000001</x:v>
      </x:c>
      <x:c r="F102" s="35" t="n">
        <x:f>MAX($G$95,$B$95-($B$95-$G$95)*MIN(1,$C102/MAX(1,$B$96)))</x:f>
        <x:v>0.08750000000000001</x:v>
      </x:c>
      <x:c r="G102" s="90" t="n">
        <x:f>IF($B$6="Downside",D102,IF($B$6="Upside",F102,E102))</x:f>
        <x:v>0.10250000000000001</x:v>
      </x:c>
      <x:c r="H102" t="str">
        <x:f>IF($C102&lt;$B$96,"Переход","Целевая")</x:f>
        <x:v>Переход</x:v>
      </x:c>
    </x:row>
    <x:row r="103">
      <x:c r="A103" t="n">
        <x:v>5</x:v>
      </x:c>
      <x:c r="B103" s="91" t="n">
        <x:f>EDATE($B$8,ROUND(4*($B$9-1)/20,0))</x:f>
        <x:v>47119</x:v>
      </x:c>
      <x:c r="C103" t="n">
        <x:f>ROUND(4*($B$9-1)/20,0)</x:f>
        <x:v>24</x:v>
      </x:c>
      <x:c r="D103" s="35" t="n">
        <x:f>MAX($E$95,$B$95-($B$95-$E$95)*MIN(1,$C103/MAX(1,$B$96)))</x:f>
        <x:v>0.11</x:v>
      </x:c>
      <x:c r="E103" s="35" t="n">
        <x:f>MAX($F$95,$B$95-($B$95-$F$95)*MIN(1,$C103/MAX(1,$B$96)))</x:f>
        <x:v>0.09</x:v>
      </x:c>
      <x:c r="F103" s="35" t="n">
        <x:f>MAX($G$95,$B$95-($B$95-$G$95)*MIN(1,$C103/MAX(1,$B$96)))</x:f>
        <x:v>0.07</x:v>
      </x:c>
      <x:c r="G103" s="90" t="n">
        <x:f>IF($B$6="Downside",D103,IF($B$6="Upside",F103,E103))</x:f>
        <x:v>0.09</x:v>
      </x:c>
      <x:c r="H103" t="str">
        <x:f>IF($C103&lt;$B$96,"Переход","Целевая")</x:f>
        <x:v>Целевая</x:v>
      </x:c>
    </x:row>
    <x:row r="104">
      <x:c r="A104" t="n">
        <x:v>6</x:v>
      </x:c>
      <x:c r="B104" s="91" t="n">
        <x:f>EDATE($B$8,ROUND(5*($B$9-1)/20,0))</x:f>
        <x:v>47300</x:v>
      </x:c>
      <x:c r="C104" t="n">
        <x:f>ROUND(5*($B$9-1)/20,0)</x:f>
        <x:v>30</x:v>
      </x:c>
      <x:c r="D104" s="35" t="n">
        <x:f>MAX($E$95,$B$95-($B$95-$E$95)*MIN(1,$C104/MAX(1,$B$96)))</x:f>
        <x:v>0.11</x:v>
      </x:c>
      <x:c r="E104" s="35" t="n">
        <x:f>MAX($F$95,$B$95-($B$95-$F$95)*MIN(1,$C104/MAX(1,$B$96)))</x:f>
        <x:v>0.09</x:v>
      </x:c>
      <x:c r="F104" s="35" t="n">
        <x:f>MAX($G$95,$B$95-($B$95-$G$95)*MIN(1,$C104/MAX(1,$B$96)))</x:f>
        <x:v>0.07</x:v>
      </x:c>
      <x:c r="G104" s="90" t="n">
        <x:f>IF($B$6="Downside",D104,IF($B$6="Upside",F104,E104))</x:f>
        <x:v>0.09</x:v>
      </x:c>
      <x:c r="H104" t="str">
        <x:f>IF($C104&lt;$B$96,"Переход","Целевая")</x:f>
        <x:v>Целевая</x:v>
      </x:c>
    </x:row>
    <x:row r="105">
      <x:c r="A105" t="n">
        <x:v>7</x:v>
      </x:c>
      <x:c r="B105" s="91" t="n">
        <x:f>EDATE($B$8,ROUND(6*($B$9-1)/20,0))</x:f>
        <x:v>47484</x:v>
      </x:c>
      <x:c r="C105" t="n">
        <x:f>ROUND(6*($B$9-1)/20,0)</x:f>
        <x:v>36</x:v>
      </x:c>
      <x:c r="D105" s="35" t="n">
        <x:f>MAX($E$95,$B$95-($B$95-$E$95)*MIN(1,$C105/MAX(1,$B$96)))</x:f>
        <x:v>0.11</x:v>
      </x:c>
      <x:c r="E105" s="35" t="n">
        <x:f>MAX($F$95,$B$95-($B$95-$F$95)*MIN(1,$C105/MAX(1,$B$96)))</x:f>
        <x:v>0.09</x:v>
      </x:c>
      <x:c r="F105" s="35" t="n">
        <x:f>MAX($G$95,$B$95-($B$95-$G$95)*MIN(1,$C105/MAX(1,$B$96)))</x:f>
        <x:v>0.07</x:v>
      </x:c>
      <x:c r="G105" s="90" t="n">
        <x:f>IF($B$6="Downside",D105,IF($B$6="Upside",F105,E105))</x:f>
        <x:v>0.09</x:v>
      </x:c>
      <x:c r="H105" t="str">
        <x:f>IF($C105&lt;$B$96,"Переход","Целевая")</x:f>
        <x:v>Целевая</x:v>
      </x:c>
    </x:row>
    <x:row r="106">
      <x:c r="A106" t="n">
        <x:v>8</x:v>
      </x:c>
      <x:c r="B106" s="91" t="n">
        <x:f>EDATE($B$8,ROUND(7*($B$9-1)/20,0))</x:f>
        <x:v>47665</x:v>
      </x:c>
      <x:c r="C106" t="n">
        <x:f>ROUND(7*($B$9-1)/20,0)</x:f>
        <x:v>42</x:v>
      </x:c>
      <x:c r="D106" s="35" t="n">
        <x:f>MAX($E$95,$B$95-($B$95-$E$95)*MIN(1,$C106/MAX(1,$B$96)))</x:f>
        <x:v>0.11</x:v>
      </x:c>
      <x:c r="E106" s="35" t="n">
        <x:f>MAX($F$95,$B$95-($B$95-$F$95)*MIN(1,$C106/MAX(1,$B$96)))</x:f>
        <x:v>0.09</x:v>
      </x:c>
      <x:c r="F106" s="35" t="n">
        <x:f>MAX($G$95,$B$95-($B$95-$G$95)*MIN(1,$C106/MAX(1,$B$96)))</x:f>
        <x:v>0.07</x:v>
      </x:c>
      <x:c r="G106" s="90" t="n">
        <x:f>IF($B$6="Downside",D106,IF($B$6="Upside",F106,E106))</x:f>
        <x:v>0.09</x:v>
      </x:c>
      <x:c r="H106" t="str">
        <x:f>IF($C106&lt;$B$96,"Переход","Целевая")</x:f>
        <x:v>Целевая</x:v>
      </x:c>
    </x:row>
    <x:row r="107">
      <x:c r="A107" t="n">
        <x:v>9</x:v>
      </x:c>
      <x:c r="B107" s="91" t="n">
        <x:f>EDATE($B$8,ROUND(8*($B$9-1)/20,0))</x:f>
        <x:v>47849</x:v>
      </x:c>
      <x:c r="C107" t="n">
        <x:f>ROUND(8*($B$9-1)/20,0)</x:f>
        <x:v>48</x:v>
      </x:c>
      <x:c r="D107" s="35" t="n">
        <x:f>MAX($E$95,$B$95-($B$95-$E$95)*MIN(1,$C107/MAX(1,$B$96)))</x:f>
        <x:v>0.11</x:v>
      </x:c>
      <x:c r="E107" s="35" t="n">
        <x:f>MAX($F$95,$B$95-($B$95-$F$95)*MIN(1,$C107/MAX(1,$B$96)))</x:f>
        <x:v>0.09</x:v>
      </x:c>
      <x:c r="F107" s="35" t="n">
        <x:f>MAX($G$95,$B$95-($B$95-$G$95)*MIN(1,$C107/MAX(1,$B$96)))</x:f>
        <x:v>0.07</x:v>
      </x:c>
      <x:c r="G107" s="90" t="n">
        <x:f>IF($B$6="Downside",D107,IF($B$6="Upside",F107,E107))</x:f>
        <x:v>0.09</x:v>
      </x:c>
      <x:c r="H107" t="str">
        <x:f>IF($C107&lt;$B$96,"Переход","Целевая")</x:f>
        <x:v>Целевая</x:v>
      </x:c>
    </x:row>
    <x:row r="108">
      <x:c r="A108" t="n">
        <x:v>10</x:v>
      </x:c>
      <x:c r="B108" s="91" t="n">
        <x:f>EDATE($B$8,ROUND(9*($B$9-1)/20,0))</x:f>
        <x:v>48030</x:v>
      </x:c>
      <x:c r="C108" t="n">
        <x:f>ROUND(9*($B$9-1)/20,0)</x:f>
        <x:v>54</x:v>
      </x:c>
      <x:c r="D108" s="35" t="n">
        <x:f>MAX($E$95,$B$95-($B$95-$E$95)*MIN(1,$C108/MAX(1,$B$96)))</x:f>
        <x:v>0.11</x:v>
      </x:c>
      <x:c r="E108" s="35" t="n">
        <x:f>MAX($F$95,$B$95-($B$95-$F$95)*MIN(1,$C108/MAX(1,$B$96)))</x:f>
        <x:v>0.09</x:v>
      </x:c>
      <x:c r="F108" s="35" t="n">
        <x:f>MAX($G$95,$B$95-($B$95-$G$95)*MIN(1,$C108/MAX(1,$B$96)))</x:f>
        <x:v>0.07</x:v>
      </x:c>
      <x:c r="G108" s="90" t="n">
        <x:f>IF($B$6="Downside",D108,IF($B$6="Upside",F108,E108))</x:f>
        <x:v>0.09</x:v>
      </x:c>
      <x:c r="H108" t="str">
        <x:f>IF($C108&lt;$B$96,"Переход","Целевая")</x:f>
        <x:v>Целевая</x:v>
      </x:c>
    </x:row>
    <x:row r="109">
      <x:c r="A109" t="n">
        <x:v>11</x:v>
      </x:c>
      <x:c r="B109" s="91" t="n">
        <x:f>EDATE($B$8,ROUND(10*($B$9-1)/20,0))</x:f>
        <x:v>48214</x:v>
      </x:c>
      <x:c r="C109" t="n">
        <x:f>ROUND(10*($B$9-1)/20,0)</x:f>
        <x:v>60</x:v>
      </x:c>
      <x:c r="D109" s="35" t="n">
        <x:f>MAX($E$95,$B$95-($B$95-$E$95)*MIN(1,$C109/MAX(1,$B$96)))</x:f>
        <x:v>0.11</x:v>
      </x:c>
      <x:c r="E109" s="35" t="n">
        <x:f>MAX($F$95,$B$95-($B$95-$F$95)*MIN(1,$C109/MAX(1,$B$96)))</x:f>
        <x:v>0.09</x:v>
      </x:c>
      <x:c r="F109" s="35" t="n">
        <x:f>MAX($G$95,$B$95-($B$95-$G$95)*MIN(1,$C109/MAX(1,$B$96)))</x:f>
        <x:v>0.07</x:v>
      </x:c>
      <x:c r="G109" s="90" t="n">
        <x:f>IF($B$6="Downside",D109,IF($B$6="Upside",F109,E109))</x:f>
        <x:v>0.09</x:v>
      </x:c>
      <x:c r="H109" t="str">
        <x:f>IF($C109&lt;$B$96,"Переход","Целевая")</x:f>
        <x:v>Целевая</x:v>
      </x:c>
    </x:row>
    <x:row r="110">
      <x:c r="A110" t="n">
        <x:v>12</x:v>
      </x:c>
      <x:c r="B110" s="91" t="n">
        <x:f>EDATE($B$8,ROUND(11*($B$9-1)/20,0))</x:f>
        <x:v>48366</x:v>
      </x:c>
      <x:c r="C110" t="n">
        <x:f>ROUND(11*($B$9-1)/20,0)</x:f>
        <x:v>65</x:v>
      </x:c>
      <x:c r="D110" s="35" t="n">
        <x:f>MAX($E$95,$B$95-($B$95-$E$95)*MIN(1,$C110/MAX(1,$B$96)))</x:f>
        <x:v>0.11</x:v>
      </x:c>
      <x:c r="E110" s="35" t="n">
        <x:f>MAX($F$95,$B$95-($B$95-$F$95)*MIN(1,$C110/MAX(1,$B$96)))</x:f>
        <x:v>0.09</x:v>
      </x:c>
      <x:c r="F110" s="35" t="n">
        <x:f>MAX($G$95,$B$95-($B$95-$G$95)*MIN(1,$C110/MAX(1,$B$96)))</x:f>
        <x:v>0.07</x:v>
      </x:c>
      <x:c r="G110" s="90" t="n">
        <x:f>IF($B$6="Downside",D110,IF($B$6="Upside",F110,E110))</x:f>
        <x:v>0.09</x:v>
      </x:c>
      <x:c r="H110" t="str">
        <x:f>IF($C110&lt;$B$96,"Переход","Целевая")</x:f>
        <x:v>Целевая</x:v>
      </x:c>
    </x:row>
    <x:row r="111">
      <x:c r="A111" t="n">
        <x:v>13</x:v>
      </x:c>
      <x:c r="B111" s="91" t="n">
        <x:f>EDATE($B$8,ROUND(12*($B$9-1)/20,0))</x:f>
        <x:v>48549</x:v>
      </x:c>
      <x:c r="C111" t="n">
        <x:f>ROUND(12*($B$9-1)/20,0)</x:f>
        <x:v>71</x:v>
      </x:c>
      <x:c r="D111" s="35" t="n">
        <x:f>MAX($E$95,$B$95-($B$95-$E$95)*MIN(1,$C111/MAX(1,$B$96)))</x:f>
        <x:v>0.11</x:v>
      </x:c>
      <x:c r="E111" s="35" t="n">
        <x:f>MAX($F$95,$B$95-($B$95-$F$95)*MIN(1,$C111/MAX(1,$B$96)))</x:f>
        <x:v>0.09</x:v>
      </x:c>
      <x:c r="F111" s="35" t="n">
        <x:f>MAX($G$95,$B$95-($B$95-$G$95)*MIN(1,$C111/MAX(1,$B$96)))</x:f>
        <x:v>0.07</x:v>
      </x:c>
      <x:c r="G111" s="90" t="n">
        <x:f>IF($B$6="Downside",D111,IF($B$6="Upside",F111,E111))</x:f>
        <x:v>0.09</x:v>
      </x:c>
      <x:c r="H111" t="str">
        <x:f>IF($C111&lt;$B$96,"Переход","Целевая")</x:f>
        <x:v>Целевая</x:v>
      </x:c>
    </x:row>
    <x:row r="112">
      <x:c r="A112" t="n">
        <x:v>14</x:v>
      </x:c>
      <x:c r="B112" s="91" t="n">
        <x:f>EDATE($B$8,ROUND(13*($B$9-1)/20,0))</x:f>
        <x:v>48731</x:v>
      </x:c>
      <x:c r="C112" t="n">
        <x:f>ROUND(13*($B$9-1)/20,0)</x:f>
        <x:v>77</x:v>
      </x:c>
      <x:c r="D112" s="35" t="n">
        <x:f>MAX($E$95,$B$95-($B$95-$E$95)*MIN(1,$C112/MAX(1,$B$96)))</x:f>
        <x:v>0.11</x:v>
      </x:c>
      <x:c r="E112" s="35" t="n">
        <x:f>MAX($F$95,$B$95-($B$95-$F$95)*MIN(1,$C112/MAX(1,$B$96)))</x:f>
        <x:v>0.09</x:v>
      </x:c>
      <x:c r="F112" s="35" t="n">
        <x:f>MAX($G$95,$B$95-($B$95-$G$95)*MIN(1,$C112/MAX(1,$B$96)))</x:f>
        <x:v>0.07</x:v>
      </x:c>
      <x:c r="G112" s="90" t="n">
        <x:f>IF($B$6="Downside",D112,IF($B$6="Upside",F112,E112))</x:f>
        <x:v>0.09</x:v>
      </x:c>
      <x:c r="H112" t="str">
        <x:f>IF($C112&lt;$B$96,"Переход","Целевая")</x:f>
        <x:v>Целевая</x:v>
      </x:c>
    </x:row>
    <x:row r="113">
      <x:c r="A113" t="n">
        <x:v>15</x:v>
      </x:c>
      <x:c r="B113" s="91" t="n">
        <x:f>EDATE($B$8,ROUND(14*($B$9-1)/20,0))</x:f>
        <x:v>48914</x:v>
      </x:c>
      <x:c r="C113" t="n">
        <x:f>ROUND(14*($B$9-1)/20,0)</x:f>
        <x:v>83</x:v>
      </x:c>
      <x:c r="D113" s="35" t="n">
        <x:f>MAX($E$95,$B$95-($B$95-$E$95)*MIN(1,$C113/MAX(1,$B$96)))</x:f>
        <x:v>0.11</x:v>
      </x:c>
      <x:c r="E113" s="35" t="n">
        <x:f>MAX($F$95,$B$95-($B$95-$F$95)*MIN(1,$C113/MAX(1,$B$96)))</x:f>
        <x:v>0.09</x:v>
      </x:c>
      <x:c r="F113" s="35" t="n">
        <x:f>MAX($G$95,$B$95-($B$95-$G$95)*MIN(1,$C113/MAX(1,$B$96)))</x:f>
        <x:v>0.07</x:v>
      </x:c>
      <x:c r="G113" s="90" t="n">
        <x:f>IF($B$6="Downside",D113,IF($B$6="Upside",F113,E113))</x:f>
        <x:v>0.09</x:v>
      </x:c>
      <x:c r="H113" t="str">
        <x:f>IF($C113&lt;$B$96,"Переход","Целевая")</x:f>
        <x:v>Целевая</x:v>
      </x:c>
    </x:row>
    <x:row r="114">
      <x:c r="A114" t="n">
        <x:v>16</x:v>
      </x:c>
      <x:c r="B114" s="91" t="n">
        <x:f>EDATE($B$8,ROUND(15*($B$9-1)/20,0))</x:f>
        <x:v>49096</x:v>
      </x:c>
      <x:c r="C114" t="n">
        <x:f>ROUND(15*($B$9-1)/20,0)</x:f>
        <x:v>89</x:v>
      </x:c>
      <x:c r="D114" s="35" t="n">
        <x:f>MAX($E$95,$B$95-($B$95-$E$95)*MIN(1,$C114/MAX(1,$B$96)))</x:f>
        <x:v>0.11</x:v>
      </x:c>
      <x:c r="E114" s="35" t="n">
        <x:f>MAX($F$95,$B$95-($B$95-$F$95)*MIN(1,$C114/MAX(1,$B$96)))</x:f>
        <x:v>0.09</x:v>
      </x:c>
      <x:c r="F114" s="35" t="n">
        <x:f>MAX($G$95,$B$95-($B$95-$G$95)*MIN(1,$C114/MAX(1,$B$96)))</x:f>
        <x:v>0.07</x:v>
      </x:c>
      <x:c r="G114" s="90" t="n">
        <x:f>IF($B$6="Downside",D114,IF($B$6="Upside",F114,E114))</x:f>
        <x:v>0.09</x:v>
      </x:c>
      <x:c r="H114" t="str">
        <x:f>IF($C114&lt;$B$96,"Переход","Целевая")</x:f>
        <x:v>Целевая</x:v>
      </x:c>
    </x:row>
    <x:row r="115">
      <x:c r="A115" t="n">
        <x:v>17</x:v>
      </x:c>
      <x:c r="B115" s="91" t="n">
        <x:f>EDATE($B$8,ROUND(16*($B$9-1)/20,0))</x:f>
        <x:v>49279</x:v>
      </x:c>
      <x:c r="C115" t="n">
        <x:f>ROUND(16*($B$9-1)/20,0)</x:f>
        <x:v>95</x:v>
      </x:c>
      <x:c r="D115" s="35" t="n">
        <x:f>MAX($E$95,$B$95-($B$95-$E$95)*MIN(1,$C115/MAX(1,$B$96)))</x:f>
        <x:v>0.11</x:v>
      </x:c>
      <x:c r="E115" s="35" t="n">
        <x:f>MAX($F$95,$B$95-($B$95-$F$95)*MIN(1,$C115/MAX(1,$B$96)))</x:f>
        <x:v>0.09</x:v>
      </x:c>
      <x:c r="F115" s="35" t="n">
        <x:f>MAX($G$95,$B$95-($B$95-$G$95)*MIN(1,$C115/MAX(1,$B$96)))</x:f>
        <x:v>0.07</x:v>
      </x:c>
      <x:c r="G115" s="90" t="n">
        <x:f>IF($B$6="Downside",D115,IF($B$6="Upside",F115,E115))</x:f>
        <x:v>0.09</x:v>
      </x:c>
      <x:c r="H115" t="str">
        <x:f>IF($C115&lt;$B$96,"Переход","Целевая")</x:f>
        <x:v>Целевая</x:v>
      </x:c>
    </x:row>
    <x:row r="116">
      <x:c r="A116" t="n">
        <x:v>18</x:v>
      </x:c>
      <x:c r="B116" s="91" t="n">
        <x:f>EDATE($B$8,ROUND(17*($B$9-1)/20,0))</x:f>
        <x:v>49461</x:v>
      </x:c>
      <x:c r="C116" t="n">
        <x:f>ROUND(17*($B$9-1)/20,0)</x:f>
        <x:v>101</x:v>
      </x:c>
      <x:c r="D116" s="35" t="n">
        <x:f>MAX($E$95,$B$95-($B$95-$E$95)*MIN(1,$C116/MAX(1,$B$96)))</x:f>
        <x:v>0.11</x:v>
      </x:c>
      <x:c r="E116" s="35" t="n">
        <x:f>MAX($F$95,$B$95-($B$95-$F$95)*MIN(1,$C116/MAX(1,$B$96)))</x:f>
        <x:v>0.09</x:v>
      </x:c>
      <x:c r="F116" s="35" t="n">
        <x:f>MAX($G$95,$B$95-($B$95-$G$95)*MIN(1,$C116/MAX(1,$B$96)))</x:f>
        <x:v>0.07</x:v>
      </x:c>
      <x:c r="G116" s="90" t="n">
        <x:f>IF($B$6="Downside",D116,IF($B$6="Upside",F116,E116))</x:f>
        <x:v>0.09</x:v>
      </x:c>
      <x:c r="H116" t="str">
        <x:f>IF($C116&lt;$B$96,"Переход","Целевая")</x:f>
        <x:v>Целевая</x:v>
      </x:c>
    </x:row>
    <x:row r="117">
      <x:c r="A117" t="n">
        <x:v>19</x:v>
      </x:c>
      <x:c r="B117" s="91" t="n">
        <x:f>EDATE($B$8,ROUND(18*($B$9-1)/20,0))</x:f>
        <x:v>49644</x:v>
      </x:c>
      <x:c r="C117" t="n">
        <x:f>ROUND(18*($B$9-1)/20,0)</x:f>
        <x:v>107</x:v>
      </x:c>
      <x:c r="D117" s="35" t="n">
        <x:f>MAX($E$95,$B$95-($B$95-$E$95)*MIN(1,$C117/MAX(1,$B$96)))</x:f>
        <x:v>0.11</x:v>
      </x:c>
      <x:c r="E117" s="35" t="n">
        <x:f>MAX($F$95,$B$95-($B$95-$F$95)*MIN(1,$C117/MAX(1,$B$96)))</x:f>
        <x:v>0.09</x:v>
      </x:c>
      <x:c r="F117" s="35" t="n">
        <x:f>MAX($G$95,$B$95-($B$95-$G$95)*MIN(1,$C117/MAX(1,$B$96)))</x:f>
        <x:v>0.07</x:v>
      </x:c>
      <x:c r="G117" s="90" t="n">
        <x:f>IF($B$6="Downside",D117,IF($B$6="Upside",F117,E117))</x:f>
        <x:v>0.09</x:v>
      </x:c>
      <x:c r="H117" t="str">
        <x:f>IF($C117&lt;$B$96,"Переход","Целевая")</x:f>
        <x:v>Целевая</x:v>
      </x:c>
    </x:row>
    <x:row r="118">
      <x:c r="A118" t="n">
        <x:v>20</x:v>
      </x:c>
      <x:c r="B118" s="91" t="n">
        <x:f>EDATE($B$8,ROUND(19*($B$9-1)/20,0))</x:f>
        <x:v>49827</x:v>
      </x:c>
      <x:c r="C118" t="n">
        <x:f>ROUND(19*($B$9-1)/20,0)</x:f>
        <x:v>113</x:v>
      </x:c>
      <x:c r="D118" s="35" t="n">
        <x:f>MAX($E$95,$B$95-($B$95-$E$95)*MIN(1,$C118/MAX(1,$B$96)))</x:f>
        <x:v>0.11</x:v>
      </x:c>
      <x:c r="E118" s="35" t="n">
        <x:f>MAX($F$95,$B$95-($B$95-$F$95)*MIN(1,$C118/MAX(1,$B$96)))</x:f>
        <x:v>0.09</x:v>
      </x:c>
      <x:c r="F118" s="35" t="n">
        <x:f>MAX($G$95,$B$95-($B$95-$G$95)*MIN(1,$C118/MAX(1,$B$96)))</x:f>
        <x:v>0.07</x:v>
      </x:c>
      <x:c r="G118" s="90" t="n">
        <x:f>IF($B$6="Downside",D118,IF($B$6="Upside",F118,E118))</x:f>
        <x:v>0.09</x:v>
      </x:c>
      <x:c r="H118" t="str">
        <x:f>IF($C118&lt;$B$96,"Переход","Целевая")</x:f>
        <x:v>Целевая</x:v>
      </x:c>
    </x:row>
    <x:row r="119">
      <x:c r="A119" t="n">
        <x:v>21</x:v>
      </x:c>
      <x:c r="B119" s="91" t="n">
        <x:f>EDATE($B$8,ROUND(20*($B$9-1)/20,0))</x:f>
        <x:v>50010</x:v>
      </x:c>
      <x:c r="C119" t="n">
        <x:f>ROUND(20*($B$9-1)/20,0)</x:f>
        <x:v>119</x:v>
      </x:c>
      <x:c r="D119" s="35" t="n">
        <x:f>MAX($E$95,$B$95-($B$95-$E$95)*MIN(1,$C119/MAX(1,$B$96)))</x:f>
        <x:v>0.11</x:v>
      </x:c>
      <x:c r="E119" s="35" t="n">
        <x:f>MAX($F$95,$B$95-($B$95-$F$95)*MIN(1,$C119/MAX(1,$B$96)))</x:f>
        <x:v>0.09</x:v>
      </x:c>
      <x:c r="F119" s="35" t="n">
        <x:f>MAX($G$95,$B$95-($B$95-$G$95)*MIN(1,$C119/MAX(1,$B$96)))</x:f>
        <x:v>0.07</x:v>
      </x:c>
      <x:c r="G119" s="90" t="n">
        <x:f>IF($B$6="Downside",D119,IF($B$6="Upside",F119,E119))</x:f>
        <x:v>0.09</x:v>
      </x:c>
      <x:c r="H119" t="str">
        <x:f>IF($C119&lt;$B$96,"Переход","Целевая")</x:f>
        <x:v>Целевая</x:v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0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"1,2,3"</x:formula1>
    </x:dataValidation>
    <x:dataValidation type="list" sqref="K41">
      <x:formula1>"1,2,3"</x:formula1>
    </x:dataValidation>
    <x:dataValidation type="list" sqref="K61">
      <x:formula1>"1,2,3"</x:formula1>
    </x:dataValidation>
    <x:dataValidation type="decimal" operator="between" sqref="AD88:AF90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  <x:v>Очередь 1</x:v>
      </x:c>
      <x:c r="B4" t="str">
        <x:v>Квартиры</x:v>
      </x:c>
      <x:c r="C4" s="132" t="n">
        <x:f>'Вводные'!$I$88</x:f>
        <x:v>21415</x:v>
      </x:c>
      <x:c r="D4" s="132" t="n">
        <x:f>'Вводные'!$L$88</x:f>
        <x:v>13920</x:v>
      </x:c>
      <x:c r="E4" s="132"/>
      <x:c r="F4" s="107" t="n">
        <x:f>('Вводные'!$B$59*'Вводные'!$S$88*'Вводные'!$H$5)*'Вводные'!$AG$88</x:f>
        <x:v>650</x:v>
      </x:c>
      <x:c r="G4" s="107" t="n">
        <x:f>'Продажи'!B16</x:f>
        <x:v>11191.336889828392</x:v>
      </x:c>
      <x:c r="H4" t="str">
        <x:v>Жилая часть</x:v>
      </x:c>
    </x:row>
    <x:row r="5">
      <x:c r="A5" t="str">
        <x:f>'Вводные'!$C$88</x:f>
        <x:v>Очередь 1</x:v>
      </x:c>
      <x:c r="B5" t="str">
        <x:v>Коммерция 1 этажа</x:v>
      </x:c>
      <x:c r="C5" s="132" t="n">
        <x:f>'Вводные'!$J$88</x:f>
        <x:v>1367</x:v>
      </x:c>
      <x:c r="D5" s="132" t="n">
        <x:f>'Вводные'!$M$88</x:f>
        <x:v>1230</x:v>
      </x:c>
      <x:c r="E5" s="132"/>
      <x:c r="F5" s="107" t="n">
        <x:f>('Вводные'!$B$60*'Вводные'!$S$88*'Вводные'!$H$5)*'Вводные'!$AG$88</x:f>
        <x:v>650</x:v>
      </x:c>
      <x:c r="G5" s="107" t="n">
        <x:f>'Продажи'!B19</x:f>
        <x:v>988.889682075354</x:v>
      </x:c>
      <x:c r="H5" t="str">
        <x:v>Встроенная коммерция</x:v>
      </x:c>
    </x:row>
    <x:row r="6">
      <x:c r="A6" t="str">
        <x:f>'Вводные'!$C$88</x:f>
        <x:v>Очередь 1</x:v>
      </x:c>
      <x:c r="B6" t="str">
        <x:v>Подземный паркинг</x:v>
      </x:c>
      <x:c r="C6" s="132" t="n">
        <x:f>'Вводные'!$K$88</x:f>
        <x:v>3185</x:v>
      </x:c>
      <x:c r="D6" s="132"/>
      <x:c r="E6" s="132" t="n">
        <x:f>'Вводные'!$N$88</x:f>
        <x:v>91</x:v>
      </x:c>
      <x:c r="F6" s="107" t="n">
        <x:f>('Вводные'!$B$61*'Вводные'!$S$88*'Вводные'!$H$5)*'Вводные'!$AG$88</x:f>
        <x:v>5000</x:v>
      </x:c>
      <x:c r="G6" s="107" t="n">
        <x:f>'Продажи'!B22</x:f>
        <x:v>562.7827458965429</x:v>
      </x:c>
      <x:c r="H6" t="str">
        <x:v>Машино-места</x:v>
      </x:c>
    </x:row>
    <x:row r="7">
      <x:c r="A7" t="str">
        <x:f>'Вводные'!$C$88</x:f>
        <x:v>Очередь 1</x:v>
      </x:c>
      <x:c r="B7" t="str">
        <x:v>Кладовые</x:v>
      </x:c>
      <x:c r="C7" s="132"/>
      <x:c r="D7" s="132"/>
      <x:c r="E7" s="132" t="n">
        <x:f>'Вводные'!$O$88</x:f>
        <x:v>0</x:v>
      </x:c>
      <x:c r="F7" s="107" t="n">
        <x:f>('Вводные'!$B$62*'Вводные'!$S$88*'Вводные'!$H$5)*'Вводные'!$AG$88</x:f>
        <x:v>1000</x:v>
      </x:c>
      <x:c r="G7" s="107" t="n">
        <x:f>'Продажи'!B25</x:f>
        <x:v>0</x:v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  <x:v>25967</x:v>
      </x:c>
      <x:c r="D8" s="133" t="n">
        <x:f>SUM(D4:D7)</x:f>
        <x:v>15150</x:v>
      </x:c>
      <x:c r="E8" s="133" t="n">
        <x:f>SUM(E4:E7)</x:f>
        <x:v>91</x:v>
      </x:c>
      <x:c r="F8" s="113"/>
      <x:c r="G8" s="113" t="n">
        <x:f>SUM(G4:G7)</x:f>
        <x:v>12743.009317800288</x:v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  <x:v>Очередь 2</x:v>
      </x:c>
      <x:c r="B10" t="str">
        <x:v>Квартиры</x:v>
      </x:c>
      <x:c r="C10" s="132" t="n">
        <x:f>'Вводные'!$I$89</x:f>
        <x:v>0</x:v>
      </x:c>
      <x:c r="D10" s="132" t="n">
        <x:f>'Вводные'!$L$89</x:f>
        <x:v>0</x:v>
      </x:c>
      <x:c r="E10" s="132"/>
      <x:c r="F10" s="107" t="n">
        <x:f>('Вводные'!$B$59*'Вводные'!$S$89*'Вводные'!$H$5)*'Вводные'!$AG$89</x:f>
        <x:v>650</x:v>
      </x:c>
      <x:c r="G10" s="107" t="n">
        <x:f>'Продажи'!B39</x:f>
        <x:v>0</x:v>
      </x:c>
      <x:c r="H10" t="str">
        <x:v>Жилая часть</x:v>
      </x:c>
    </x:row>
    <x:row r="11">
      <x:c r="A11" t="str">
        <x:f>'Вводные'!$C$89</x:f>
        <x:v>Очередь 2</x:v>
      </x:c>
      <x:c r="B11" t="str">
        <x:v>Коммерция 1 этажа</x:v>
      </x:c>
      <x:c r="C11" s="132" t="n">
        <x:f>'Вводные'!$J$89</x:f>
        <x:v>0</x:v>
      </x:c>
      <x:c r="D11" s="132" t="n">
        <x:f>'Вводные'!$M$89</x:f>
        <x:v>0</x:v>
      </x:c>
      <x:c r="E11" s="132"/>
      <x:c r="F11" s="107" t="n">
        <x:f>('Вводные'!$B$60*'Вводные'!$S$89*'Вводные'!$H$5)*'Вводные'!$AG$89</x:f>
        <x:v>650</x:v>
      </x:c>
      <x:c r="G11" s="107" t="n">
        <x:f>'Продажи'!B42</x:f>
        <x:v>0</x:v>
      </x:c>
      <x:c r="H11" t="str">
        <x:v>Встроенная коммерция</x:v>
      </x:c>
    </x:row>
    <x:row r="12">
      <x:c r="A12" t="str">
        <x:f>'Вводные'!$C$89</x:f>
        <x:v>Очередь 2</x:v>
      </x:c>
      <x:c r="B12" t="str">
        <x:v>Подземный паркинг</x:v>
      </x:c>
      <x:c r="C12" s="132" t="n">
        <x:f>'Вводные'!$K$89</x:f>
        <x:v>0</x:v>
      </x:c>
      <x:c r="D12" s="132"/>
      <x:c r="E12" s="132" t="n">
        <x:f>'Вводные'!$N$89</x:f>
        <x:v>0</x:v>
      </x:c>
      <x:c r="F12" s="107" t="n">
        <x:f>('Вводные'!$B$61*'Вводные'!$S$89*'Вводные'!$H$5)*'Вводные'!$AG$89</x:f>
        <x:v>5000</x:v>
      </x:c>
      <x:c r="G12" s="107" t="n">
        <x:f>'Продажи'!B45</x:f>
        <x:v>0</x:v>
      </x:c>
      <x:c r="H12" t="str">
        <x:v>Машино-места</x:v>
      </x:c>
    </x:row>
    <x:row r="13">
      <x:c r="A13" t="str">
        <x:f>'Вводные'!$C$89</x:f>
        <x:v>Очередь 2</x:v>
      </x:c>
      <x:c r="B13" t="str">
        <x:v>Кладовые</x:v>
      </x:c>
      <x:c r="C13" s="132"/>
      <x:c r="D13" s="132"/>
      <x:c r="E13" s="132" t="n">
        <x:f>'Вводные'!$O$89</x:f>
        <x:v>0</x:v>
      </x:c>
      <x:c r="F13" s="107" t="n">
        <x:f>('Вводные'!$B$62*'Вводные'!$S$89*'Вводные'!$H$5)*'Вводные'!$AG$89</x:f>
        <x:v>1000</x:v>
      </x:c>
      <x:c r="G13" s="107" t="n">
        <x:f>'Продажи'!B48</x:f>
        <x:v>0</x:v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  <x:v>0</x:v>
      </x:c>
      <x:c r="D14" s="133" t="n">
        <x:f>SUM(D10:D13)</x:f>
        <x:v>0</x:v>
      </x:c>
      <x:c r="E14" s="133" t="n">
        <x:f>SUM(E10:E13)</x:f>
        <x:v>0</x:v>
      </x:c>
      <x:c r="F14" s="113"/>
      <x:c r="G14" s="113" t="n">
        <x:f>SUM(G10:G13)</x:f>
        <x:v>0</x:v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  <x:v>Очередь 3</x:v>
      </x:c>
      <x:c r="B16" t="str">
        <x:v>Квартиры</x:v>
      </x:c>
      <x:c r="C16" s="132" t="n">
        <x:f>'Вводные'!$I$90</x:f>
        <x:v>0</x:v>
      </x:c>
      <x:c r="D16" s="132" t="n">
        <x:f>'Вводные'!$L$90</x:f>
        <x:v>0</x:v>
      </x:c>
      <x:c r="E16" s="132"/>
      <x:c r="F16" s="107" t="n">
        <x:f>('Вводные'!$B$59*'Вводные'!$S$90*'Вводные'!$H$5)*'Вводные'!$AG$90</x:f>
        <x:v>650</x:v>
      </x:c>
      <x:c r="G16" s="107" t="n">
        <x:f>'Продажи'!B62</x:f>
        <x:v>0</x:v>
      </x:c>
      <x:c r="H16" t="str">
        <x:v>Жилая часть</x:v>
      </x:c>
    </x:row>
    <x:row r="17">
      <x:c r="A17" t="str">
        <x:f>'Вводные'!$C$90</x:f>
        <x:v>Очередь 3</x:v>
      </x:c>
      <x:c r="B17" t="str">
        <x:v>Коммерция 1 этажа</x:v>
      </x:c>
      <x:c r="C17" s="132" t="n">
        <x:f>'Вводные'!$J$90</x:f>
        <x:v>0</x:v>
      </x:c>
      <x:c r="D17" s="132" t="n">
        <x:f>'Вводные'!$M$90</x:f>
        <x:v>0</x:v>
      </x:c>
      <x:c r="E17" s="132"/>
      <x:c r="F17" s="107" t="n">
        <x:f>('Вводные'!$B$60*'Вводные'!$S$90*'Вводные'!$H$5)*'Вводные'!$AG$90</x:f>
        <x:v>650</x:v>
      </x:c>
      <x:c r="G17" s="107" t="n">
        <x:f>'Продажи'!B65</x:f>
        <x:v>0</x:v>
      </x:c>
      <x:c r="H17" t="str">
        <x:v>Встроенная коммерция</x:v>
      </x:c>
    </x:row>
    <x:row r="18">
      <x:c r="A18" t="str">
        <x:f>'Вводные'!$C$90</x:f>
        <x:v>Очередь 3</x:v>
      </x:c>
      <x:c r="B18" t="str">
        <x:v>Подземный паркинг</x:v>
      </x:c>
      <x:c r="C18" s="132" t="n">
        <x:f>'Вводные'!$K$90</x:f>
        <x:v>0</x:v>
      </x:c>
      <x:c r="D18" s="132"/>
      <x:c r="E18" s="132" t="n">
        <x:f>'Вводные'!$N$90</x:f>
        <x:v>0</x:v>
      </x:c>
      <x:c r="F18" s="107" t="n">
        <x:f>('Вводные'!$B$61*'Вводные'!$S$90*'Вводные'!$H$5)*'Вводные'!$AG$90</x:f>
        <x:v>5000</x:v>
      </x:c>
      <x:c r="G18" s="107" t="n">
        <x:f>'Продажи'!B68</x:f>
        <x:v>0</x:v>
      </x:c>
      <x:c r="H18" t="str">
        <x:v>Машино-места</x:v>
      </x:c>
    </x:row>
    <x:row r="19">
      <x:c r="A19" t="str">
        <x:f>'Вводные'!$C$90</x:f>
        <x:v>Очередь 3</x:v>
      </x:c>
      <x:c r="B19" t="str">
        <x:v>Кладовые</x:v>
      </x:c>
      <x:c r="C19" s="132"/>
      <x:c r="D19" s="132"/>
      <x:c r="E19" s="132" t="n">
        <x:f>'Вводные'!$O$90</x:f>
        <x:v>0</x:v>
      </x:c>
      <x:c r="F19" s="107" t="n">
        <x:f>('Вводные'!$B$62*'Вводные'!$S$90*'Вводные'!$H$5)*'Вводные'!$AG$90</x:f>
        <x:v>1000</x:v>
      </x:c>
      <x:c r="G19" s="107" t="n">
        <x:f>'Продажи'!B71</x:f>
        <x:v>0</x:v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  <x:v>0</x:v>
      </x:c>
      <x:c r="D20" s="133" t="n">
        <x:f>SUM(D16:D19)</x:f>
        <x:v>0</x:v>
      </x:c>
      <x:c r="E20" s="133" t="n">
        <x:f>SUM(E16:E19)</x:f>
        <x:v>0</x:v>
      </x:c>
      <x:c r="F20" s="113"/>
      <x:c r="G20" s="113" t="n">
        <x:f>SUM(G16:G19)</x:f>
        <x:v>0</x:v>
      </x:c>
      <x:c r="H20" s="113"/>
    </x:row>
    <x:row r="21">
      <x:c r="C21" s="132"/>
      <x:c r="D21" s="132"/>
      <x:c r="E21" s="132"/>
      <x:c r="F21" s="107"/>
      <x:c r="G21" s="107"/>
    </x:row>
    <x:row r="22">
      <x:c r="A22" s="113" t="str">
        <x:v>ИТОГО ЖИЛЫЕ ОЧЕРЕДИ</x:v>
      </x:c>
      <x:c r="B22" s="113"/>
      <x:c r="C22" s="133" t="n">
        <x:f>SUM(C8,C14,C20)</x:f>
        <x:v>25967</x:v>
      </x:c>
      <x:c r="D22" s="133" t="n">
        <x:f>SUM(D4:D7,D10:D13,D16:D19)</x:f>
        <x:v>15150</x:v>
      </x:c>
      <x:c r="E22" s="133" t="n">
        <x:f>SUM(E4:E7,E10:E13,E16:E19)</x:f>
        <x:v>91</x:v>
      </x:c>
      <x:c r="F22" s="113"/>
      <x:c r="G22" s="113" t="n">
        <x:f>'CF'!B6</x:f>
        <x:v>12743.009317800295</x:v>
      </x:c>
      <x:c r="H22" s="113"/>
    </x:row>
    <x:row r="24" ht="21" customHeight="1">
      <x:c r="A24" s="281" t="str">
        <x:v>ОТДЕЛЬНО СТОЯЩИЕ КОММЕРЧЕСКИЕ ОБЪЕКТЫ</x:v>
      </x:c>
      <x:c r="B24" s="282" t="str">
        <x:v>ОТДЕЛЬНО СТОЯЩИЕ КОММЕРЧЕСКИЕ ОБЪЕКТЫ</x:v>
      </x:c>
      <x:c r="C24" s="282" t="str">
        <x:v>ОТДЕЛЬНО СТОЯЩИЕ КОММЕРЧЕСКИЕ ОБЪЕКТЫ</x:v>
      </x:c>
      <x:c r="D24" s="282" t="str">
        <x:v>ОТДЕЛЬНО СТОЯЩИЕ КОММЕРЧЕСКИЕ ОБЪЕКТЫ</x:v>
      </x:c>
      <x:c r="E24" s="282" t="str">
        <x:v>ОТДЕЛЬНО СТОЯЩИЕ КОММЕРЧЕСКИЕ ОБЪЕКТЫ</x:v>
      </x:c>
      <x:c r="F24" s="282" t="str">
        <x:v>ОТДЕЛЬНО СТОЯЩИЕ КОММЕРЧЕСКИЕ ОБЪЕКТЫ</x:v>
      </x:c>
      <x:c r="G24" s="282" t="str">
        <x:v>ОТДЕЛЬНО СТОЯЩИЕ КОММЕРЧЕСКИЕ ОБЪЕКТЫ</x:v>
      </x:c>
      <x:c r="H24" s="283" t="str">
        <x:v>ОТДЕЛЬНО СТОЯЩИЕ КОММЕРЧЕСКИЕ ОБЪЕКТЫ</x:v>
      </x:c>
    </x:row>
    <x:row r="25">
      <x:c r="A25" t="str">
        <x:v>Проект</x:v>
      </x:c>
      <x:c r="B25" t="str">
        <x:v>МФОЦ / офисный центр</x:v>
      </x:c>
      <x:c r="C25" s="132" t="n">
        <x:f>'Вводные'!$K$25</x:f>
        <x:v>0</x:v>
      </x:c>
      <x:c r="D25" s="132" t="n">
        <x:f>'Вводные'!$K$26</x:f>
        <x:v>0</x:v>
      </x:c>
      <x:c r="E25" s="132"/>
      <x:c r="F25" s="107" t="n">
        <x:f>'Вводные'!$K$31*'Вводные'!$H$5*INDEX('Вводные'!$S$88:$S$90,'Вводные'!$K$21)*INDEX('Вводные'!$AG$88:$AG$90,'Вводные'!$K$21)</x:f>
        <x:v>500</x:v>
      </x:c>
      <x:c r="G25" s="107" t="n">
        <x:f>'ОБЪЕКТЫ'!B24</x:f>
        <x:v>0</x:v>
      </x:c>
      <x:c r="H25" t="str">
        <x:v>Отдельно стоящий офисный объект</x:v>
      </x:c>
    </x:row>
    <x:row r="26">
      <x:c r="A26" t="str">
        <x:v>Проект</x:v>
      </x:c>
      <x:c r="B26" t="str">
        <x:v>Торговый центр / коммерция ОСЗ</x:v>
      </x:c>
      <x:c r="C26" s="132" t="n">
        <x:f>'Вводные'!$K$45</x:f>
        <x:v>0</x:v>
      </x:c>
      <x:c r="D26" s="132" t="n">
        <x:f>'Вводные'!$K$46</x:f>
        <x:v>0</x:v>
      </x:c>
      <x:c r="E26" s="132"/>
      <x:c r="F26" s="107" t="n">
        <x:f>'Вводные'!$K$51*'Вводные'!$H$5*INDEX('Вводные'!$S$88:$S$90,'Вводные'!$K$41)*INDEX('Вводные'!$AG$88:$AG$90,'Вводные'!$K$41)</x:f>
        <x:v>500</x:v>
      </x:c>
      <x:c r="G26" s="107" t="n">
        <x:f>'ОБЪЕКТЫ'!B52</x:f>
        <x:v>0</x:v>
      </x:c>
      <x:c r="H26" t="str">
        <x:v>Отдельно стоящий торговый объект</x:v>
      </x:c>
    </x:row>
    <x:row r="27">
      <x:c r="A27" t="str">
        <x:v>Проект</x:v>
      </x:c>
      <x:c r="B27" t="str">
        <x:v>Наземный многоэтажный паркинг</x:v>
      </x:c>
      <x:c r="C27" s="132" t="n">
        <x:f>'Вводные'!$K$66</x:f>
        <x:v>0</x:v>
      </x:c>
      <x:c r="D27" s="132"/>
      <x:c r="E27" s="132" t="n">
        <x:f>'Вводные'!$K$65</x:f>
        <x:v>0</x:v>
      </x:c>
      <x:c r="F27" s="107" t="n">
        <x:f>'Вводные'!$K$71*1000*'Вводные'!$H$5*INDEX('Вводные'!$S$88:$S$90,'Вводные'!$K$61)*INDEX('Вводные'!$AG$88:$AG$90,'Вводные'!$K$61)</x:f>
        <x:v>2000</x:v>
      </x:c>
      <x:c r="G27" s="107" t="n">
        <x:f>'ОБЪЕКТЫ'!B80</x:f>
        <x:v>0</x:v>
      </x:c>
      <x:c r="H27" t="str">
        <x:v>Машино-места; GBA = места × площадь на место</x:v>
      </x:c>
    </x:row>
    <x:row r="28">
      <x:c r="A28" s="348" t="str">
        <x:v>ИТОГО ОБЪЕКТЫ</x:v>
      </x:c>
      <x:c r="B28" s="348"/>
      <x:c r="C28" s="351" t="n">
        <x:f>SUM(C25:C27)</x:f>
        <x:v>0</x:v>
      </x:c>
      <x:c r="D28" s="351" t="n">
        <x:f>SUM(D25:D27)</x:f>
        <x:v>0</x:v>
      </x:c>
      <x:c r="E28" s="351" t="n">
        <x:f>SUM(E25:E27)</x:f>
        <x:v>0</x:v>
      </x:c>
      <x:c r="F28" s="348"/>
      <x:c r="G28" s="348" t="n">
        <x:f>SUM(G25:G27)</x:f>
        <x:v>0</x:v>
      </x:c>
      <x:c r="H28" s="348"/>
    </x:row>
    <x:row r="29">
      <x:c r="C29" s="132"/>
      <x:c r="D29" s="132"/>
      <x:c r="E29" s="132"/>
      <x:c r="F29" s="107"/>
      <x:c r="G29" s="107"/>
    </x:row>
    <x:row r="30">
      <x:c r="A30" s="348" t="str">
        <x:v>ИТОГО ПРОЕКТ</x:v>
      </x:c>
      <x:c r="B30" s="348"/>
      <x:c r="C30" s="351" t="n">
        <x:f>SUM(C22,C28)</x:f>
        <x:v>25967</x:v>
      </x:c>
      <x:c r="D30" s="351" t="n">
        <x:f>SUM(D22,D28)</x:f>
        <x:v>15150</x:v>
      </x:c>
      <x:c r="E30" s="351" t="n">
        <x:f>SUM(E22,E28)</x:f>
        <x:v>91</x:v>
      </x:c>
      <x:c r="F30" s="348"/>
      <x:c r="G30" s="348" t="n">
        <x:f>SUM(G22,G28)</x:f>
        <x:v>12743.009317800295</x:v>
      </x:c>
      <x:c r="H30" s="348"/>
    </x:row>
  </x:sheetData>
  <x:mergeCells>
    <x:mergeCell ref="A1:H1"/>
    <x:mergeCell ref="A24:H2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  <x:v>46388</x:v>
      </x:c>
      <x:c r="F4" s="96" t="n">
        <x:f>'Ставки'!E$3</x:f>
        <x:v>46419</x:v>
      </x:c>
      <x:c r="G4" s="96" t="n">
        <x:f>'Ставки'!F$3</x:f>
        <x:v>46447</x:v>
      </x:c>
      <x:c r="H4" s="96" t="n">
        <x:f>'Ставки'!G$3</x:f>
        <x:v>46478</x:v>
      </x:c>
      <x:c r="I4" s="96" t="n">
        <x:f>'Ставки'!H$3</x:f>
        <x:v>46508</x:v>
      </x:c>
      <x:c r="J4" s="96" t="n">
        <x:f>'Ставки'!I$3</x:f>
        <x:v>46539</x:v>
      </x:c>
      <x:c r="K4" s="96" t="n">
        <x:f>'Ставки'!J$3</x:f>
        <x:v>46569</x:v>
      </x:c>
      <x:c r="L4" s="96" t="n">
        <x:f>'Ставки'!K$3</x:f>
        <x:v>46600</x:v>
      </x:c>
      <x:c r="M4" s="96" t="n">
        <x:f>'Ставки'!L$3</x:f>
        <x:v>46631</x:v>
      </x:c>
      <x:c r="N4" s="96" t="n">
        <x:f>'Ставки'!M$3</x:f>
        <x:v>46661</x:v>
      </x:c>
      <x:c r="O4" s="96" t="n">
        <x:f>'Ставки'!N$3</x:f>
        <x:v>46692</x:v>
      </x:c>
      <x:c r="P4" s="96" t="n">
        <x:f>'Ставки'!O$3</x:f>
        <x:v>46722</x:v>
      </x:c>
      <x:c r="Q4" s="96" t="n">
        <x:f>'Ставки'!P$3</x:f>
        <x:v>46753</x:v>
      </x:c>
      <x:c r="R4" s="96" t="n">
        <x:f>'Ставки'!Q$3</x:f>
        <x:v>46784</x:v>
      </x:c>
      <x:c r="S4" s="96" t="n">
        <x:f>'Ставки'!R$3</x:f>
        <x:v>46813</x:v>
      </x:c>
      <x:c r="T4" s="96" t="n">
        <x:f>'Ставки'!S$3</x:f>
        <x:v>46844</x:v>
      </x:c>
      <x:c r="U4" s="96" t="n">
        <x:f>'Ставки'!T$3</x:f>
        <x:v>46874</x:v>
      </x:c>
      <x:c r="V4" s="96" t="n">
        <x:f>'Ставки'!U$3</x:f>
        <x:v>46905</x:v>
      </x:c>
      <x:c r="W4" s="96" t="n">
        <x:f>'Ставки'!V$3</x:f>
        <x:v>46935</x:v>
      </x:c>
      <x:c r="X4" s="96" t="n">
        <x:f>'Ставки'!W$3</x:f>
        <x:v>46966</x:v>
      </x:c>
      <x:c r="Y4" s="96" t="n">
        <x:f>'Ставки'!X$3</x:f>
        <x:v>46997</x:v>
      </x:c>
      <x:c r="Z4" s="96" t="n">
        <x:f>'Ставки'!Y$3</x:f>
        <x:v>47027</x:v>
      </x:c>
      <x:c r="AA4" s="96" t="n">
        <x:f>'Ставки'!Z$3</x:f>
        <x:v>47058</x:v>
      </x:c>
      <x:c r="AB4" s="96" t="n">
        <x:f>'Ставки'!AA$3</x:f>
        <x:v>47088</x:v>
      </x:c>
      <x:c r="AC4" s="96" t="n">
        <x:f>'Ставки'!AB$3</x:f>
        <x:v>47119</x:v>
      </x:c>
      <x:c r="AD4" s="96" t="n">
        <x:f>'Ставки'!AC$3</x:f>
        <x:v>47150</x:v>
      </x:c>
      <x:c r="AE4" s="96" t="n">
        <x:f>'Ставки'!AD$3</x:f>
        <x:v>47178</x:v>
      </x:c>
      <x:c r="AF4" s="96" t="n">
        <x:f>'Ставки'!AE$3</x:f>
        <x:v>47209</x:v>
      </x:c>
      <x:c r="AG4" s="96" t="n">
        <x:f>'Ставки'!AF$3</x:f>
        <x:v>47239</x:v>
      </x:c>
      <x:c r="AH4" s="96" t="n">
        <x:f>'Ставки'!AG$3</x:f>
        <x:v>47270</x:v>
      </x:c>
      <x:c r="AI4" s="96" t="n">
        <x:f>'Ставки'!AH$3</x:f>
        <x:v>47300</x:v>
      </x:c>
      <x:c r="AJ4" s="96" t="n">
        <x:f>'Ставки'!AI$3</x:f>
        <x:v>47331</x:v>
      </x:c>
      <x:c r="AK4" s="96" t="n">
        <x:f>'Ставки'!AJ$3</x:f>
        <x:v>47362</x:v>
      </x:c>
      <x:c r="AL4" s="96" t="n">
        <x:f>'Ставки'!AK$3</x:f>
        <x:v>47392</x:v>
      </x:c>
      <x:c r="AM4" s="96" t="n">
        <x:f>'Ставки'!AL$3</x:f>
        <x:v>47423</x:v>
      </x:c>
      <x:c r="AN4" s="96" t="n">
        <x:f>'Ставки'!AM$3</x:f>
        <x:v>47453</x:v>
      </x:c>
      <x:c r="AO4" s="96" t="n">
        <x:f>'Ставки'!AN$3</x:f>
        <x:v>47484</x:v>
      </x:c>
      <x:c r="AP4" s="96" t="n">
        <x:f>'Ставки'!AO$3</x:f>
        <x:v>47515</x:v>
      </x:c>
      <x:c r="AQ4" s="96" t="n">
        <x:f>'Ставки'!AP$3</x:f>
        <x:v>47543</x:v>
      </x:c>
      <x:c r="AR4" s="96" t="n">
        <x:f>'Ставки'!AQ$3</x:f>
        <x:v>47574</x:v>
      </x:c>
      <x:c r="AS4" s="96" t="n">
        <x:f>'Ставки'!AR$3</x:f>
        <x:v>47604</x:v>
      </x:c>
      <x:c r="AT4" s="96" t="n">
        <x:f>'Ставки'!AS$3</x:f>
        <x:v>47635</x:v>
      </x:c>
      <x:c r="AU4" s="96" t="n">
        <x:f>'Ставки'!AT$3</x:f>
        <x:v>47665</x:v>
      </x:c>
      <x:c r="AV4" s="96" t="n">
        <x:f>'Ставки'!AU$3</x:f>
        <x:v>47696</x:v>
      </x:c>
      <x:c r="AW4" s="96" t="n">
        <x:f>'Ставки'!AV$3</x:f>
        <x:v>47727</x:v>
      </x:c>
      <x:c r="AX4" s="96" t="n">
        <x:f>'Ставки'!AW$3</x:f>
        <x:v>47757</x:v>
      </x:c>
      <x:c r="AY4" s="96" t="n">
        <x:f>'Ставки'!AX$3</x:f>
        <x:v>47788</x:v>
      </x:c>
      <x:c r="AZ4" s="96" t="n">
        <x:f>'Ставки'!AY$3</x:f>
        <x:v>47818</x:v>
      </x:c>
      <x:c r="BA4" s="96" t="n">
        <x:f>'Ставки'!AZ$3</x:f>
        <x:v>47849</x:v>
      </x:c>
      <x:c r="BB4" s="96" t="n">
        <x:f>'Ставки'!BA$3</x:f>
        <x:v>47880</x:v>
      </x:c>
      <x:c r="BC4" s="96" t="n">
        <x:f>'Ставки'!BB$3</x:f>
        <x:v>47908</x:v>
      </x:c>
      <x:c r="BD4" s="96" t="n">
        <x:f>'Ставки'!BC$3</x:f>
        <x:v>47939</x:v>
      </x:c>
      <x:c r="BE4" s="96" t="n">
        <x:f>'Ставки'!BD$3</x:f>
        <x:v>47969</x:v>
      </x:c>
      <x:c r="BF4" s="96" t="n">
        <x:f>'Ставки'!BE$3</x:f>
        <x:v>48000</x:v>
      </x:c>
      <x:c r="BG4" s="96" t="n">
        <x:f>'Ставки'!BF$3</x:f>
        <x:v>48030</x:v>
      </x:c>
      <x:c r="BH4" s="96" t="n">
        <x:f>'Ставки'!BG$3</x:f>
        <x:v>48061</x:v>
      </x:c>
      <x:c r="BI4" s="96" t="n">
        <x:f>'Ставки'!BH$3</x:f>
        <x:v>48092</x:v>
      </x:c>
      <x:c r="BJ4" s="96" t="n">
        <x:f>'Ставки'!BI$3</x:f>
        <x:v>48122</x:v>
      </x:c>
      <x:c r="BK4" s="96" t="n">
        <x:f>'Ставки'!BJ$3</x:f>
        <x:v>48153</x:v>
      </x:c>
      <x:c r="BL4" s="96" t="n">
        <x:f>'Ставки'!BK$3</x:f>
        <x:v>48183</x:v>
      </x:c>
      <x:c r="BM4" s="96" t="n">
        <x:f>'Ставки'!BL$3</x:f>
        <x:v>48214</x:v>
      </x:c>
      <x:c r="BN4" s="96" t="n">
        <x:f>'Ставки'!BM$3</x:f>
        <x:v>48245</x:v>
      </x:c>
      <x:c r="BO4" s="96" t="n">
        <x:f>'Ставки'!BN$3</x:f>
        <x:v>48274</x:v>
      </x:c>
      <x:c r="BP4" s="96" t="n">
        <x:f>'Ставки'!BO$3</x:f>
        <x:v>48305</x:v>
      </x:c>
      <x:c r="BQ4" s="96" t="n">
        <x:f>'Ставки'!BP$3</x:f>
        <x:v>48335</x:v>
      </x:c>
      <x:c r="BR4" s="96" t="n">
        <x:f>'Ставки'!BQ$3</x:f>
        <x:v>48366</x:v>
      </x:c>
      <x:c r="BS4" s="96" t="n">
        <x:f>'Ставки'!BR$3</x:f>
        <x:v>48396</x:v>
      </x:c>
      <x:c r="BT4" s="96" t="n">
        <x:f>'Ставки'!BS$3</x:f>
        <x:v>48427</x:v>
      </x:c>
      <x:c r="BU4" s="96" t="n">
        <x:f>'Ставки'!BT$3</x:f>
        <x:v>48458</x:v>
      </x:c>
      <x:c r="BV4" s="96" t="n">
        <x:f>'Ставки'!BU$3</x:f>
        <x:v>48488</x:v>
      </x:c>
      <x:c r="BW4" s="96" t="n">
        <x:f>'Ставки'!BV$3</x:f>
        <x:v>48519</x:v>
      </x:c>
      <x:c r="BX4" s="96" t="n">
        <x:f>'Ставки'!BW$3</x:f>
        <x:v>48549</x:v>
      </x:c>
      <x:c r="BY4" s="96" t="n">
        <x:f>'Ставки'!BX$3</x:f>
        <x:v>48580</x:v>
      </x:c>
      <x:c r="BZ4" s="96" t="n">
        <x:f>'Ставки'!BY$3</x:f>
        <x:v>48611</x:v>
      </x:c>
      <x:c r="CA4" s="96" t="n">
        <x:f>'Ставки'!BZ$3</x:f>
        <x:v>48639</x:v>
      </x:c>
      <x:c r="CB4" s="96" t="n">
        <x:f>'Ставки'!CA$3</x:f>
        <x:v>48670</x:v>
      </x:c>
      <x:c r="CC4" s="96" t="n">
        <x:f>'Ставки'!CB$3</x:f>
        <x:v>48700</x:v>
      </x:c>
      <x:c r="CD4" s="96" t="n">
        <x:f>'Ставки'!CC$3</x:f>
        <x:v>48731</x:v>
      </x:c>
      <x:c r="CE4" s="96" t="n">
        <x:f>'Ставки'!CD$3</x:f>
        <x:v>48761</x:v>
      </x:c>
      <x:c r="CF4" s="96" t="n">
        <x:f>'Ставки'!CE$3</x:f>
        <x:v>48792</x:v>
      </x:c>
      <x:c r="CG4" s="96" t="n">
        <x:f>'Ставки'!CF$3</x:f>
        <x:v>48823</x:v>
      </x:c>
      <x:c r="CH4" s="96" t="n">
        <x:f>'Ставки'!CG$3</x:f>
        <x:v>48853</x:v>
      </x:c>
      <x:c r="CI4" s="96" t="n">
        <x:f>'Ставки'!CH$3</x:f>
        <x:v>48884</x:v>
      </x:c>
      <x:c r="CJ4" s="96" t="n">
        <x:f>'Ставки'!CI$3</x:f>
        <x:v>48914</x:v>
      </x:c>
      <x:c r="CK4" s="96" t="n">
        <x:f>'Ставки'!CJ$3</x:f>
        <x:v>48945</x:v>
      </x:c>
      <x:c r="CL4" s="96" t="n">
        <x:f>'Ставки'!CK$3</x:f>
        <x:v>48976</x:v>
      </x:c>
      <x:c r="CM4" s="96" t="n">
        <x:f>'Ставки'!CL$3</x:f>
        <x:v>49004</x:v>
      </x:c>
      <x:c r="CN4" s="96" t="n">
        <x:f>'Ставки'!CM$3</x:f>
        <x:v>49035</x:v>
      </x:c>
      <x:c r="CO4" s="96" t="n">
        <x:f>'Ставки'!CN$3</x:f>
        <x:v>49065</x:v>
      </x:c>
      <x:c r="CP4" s="96" t="n">
        <x:f>'Ставки'!CO$3</x:f>
        <x:v>49096</x:v>
      </x:c>
      <x:c r="CQ4" s="96" t="n">
        <x:f>'Ставки'!CP$3</x:f>
        <x:v>49126</x:v>
      </x:c>
      <x:c r="CR4" s="96" t="n">
        <x:f>'Ставки'!CQ$3</x:f>
        <x:v>49157</x:v>
      </x:c>
      <x:c r="CS4" s="96" t="n">
        <x:f>'Ставки'!CR$3</x:f>
        <x:v>49188</x:v>
      </x:c>
      <x:c r="CT4" s="96" t="n">
        <x:f>'Ставки'!CS$3</x:f>
        <x:v>49218</x:v>
      </x:c>
      <x:c r="CU4" s="96" t="n">
        <x:f>'Ставки'!CT$3</x:f>
        <x:v>49249</x:v>
      </x:c>
      <x:c r="CV4" s="96" t="n">
        <x:f>'Ставки'!CU$3</x:f>
        <x:v>49279</x:v>
      </x:c>
      <x:c r="CW4" s="96" t="n">
        <x:f>'Ставки'!CV$3</x:f>
        <x:v>49310</x:v>
      </x:c>
      <x:c r="CX4" s="96" t="n">
        <x:f>'Ставки'!CW$3</x:f>
        <x:v>49341</x:v>
      </x:c>
      <x:c r="CY4" s="96" t="n">
        <x:f>'Ставки'!CX$3</x:f>
        <x:v>49369</x:v>
      </x:c>
      <x:c r="CZ4" s="96" t="n">
        <x:f>'Ставки'!CY$3</x:f>
        <x:v>49400</x:v>
      </x:c>
      <x:c r="DA4" s="96" t="n">
        <x:f>'Ставки'!CZ$3</x:f>
        <x:v>49430</x:v>
      </x:c>
      <x:c r="DB4" s="96" t="n">
        <x:f>'Ставки'!DA$3</x:f>
        <x:v>49461</x:v>
      </x:c>
      <x:c r="DC4" s="96" t="n">
        <x:f>'Ставки'!DB$3</x:f>
        <x:v>49491</x:v>
      </x:c>
      <x:c r="DD4" s="96" t="n">
        <x:f>'Ставки'!DC$3</x:f>
        <x:v>49522</x:v>
      </x:c>
      <x:c r="DE4" s="96" t="n">
        <x:f>'Ставки'!DD$3</x:f>
        <x:v>49553</x:v>
      </x:c>
      <x:c r="DF4" s="96" t="n">
        <x:f>'Ставки'!DE$3</x:f>
        <x:v>49583</x:v>
      </x:c>
      <x:c r="DG4" s="96" t="n">
        <x:f>'Ставки'!DF$3</x:f>
        <x:v>49614</x:v>
      </x:c>
      <x:c r="DH4" s="96" t="n">
        <x:f>'Ставки'!DG$3</x:f>
        <x:v>49644</x:v>
      </x:c>
      <x:c r="DI4" s="96" t="n">
        <x:f>'Ставки'!DH$3</x:f>
        <x:v>49675</x:v>
      </x:c>
      <x:c r="DJ4" s="96" t="n">
        <x:f>'Ставки'!DI$3</x:f>
        <x:v>49706</x:v>
      </x:c>
      <x:c r="DK4" s="96" t="n">
        <x:f>'Ставки'!DJ$3</x:f>
        <x:v>49735</x:v>
      </x:c>
      <x:c r="DL4" s="96" t="n">
        <x:f>'Ставки'!DK$3</x:f>
        <x:v>49766</x:v>
      </x:c>
      <x:c r="DM4" s="96" t="n">
        <x:f>'Ставки'!DL$3</x:f>
        <x:v>49796</x:v>
      </x:c>
      <x:c r="DN4" s="96" t="n">
        <x:f>'Ставки'!DM$3</x:f>
        <x:v>49827</x:v>
      </x:c>
      <x:c r="DO4" s="96" t="n">
        <x:f>'Ставки'!DN$3</x:f>
        <x:v>49857</x:v>
      </x:c>
      <x:c r="DP4" s="96" t="n">
        <x:f>'Ставки'!DO$3</x:f>
        <x:v>49888</x:v>
      </x:c>
      <x:c r="DQ4" s="96" t="n">
        <x:f>'Ставки'!DP$3</x:f>
        <x:v>49919</x:v>
      </x:c>
      <x:c r="DR4" s="96" t="n">
        <x:f>'Ставки'!DQ$3</x:f>
        <x:v>49949</x:v>
      </x:c>
      <x:c r="DS4" s="96" t="n">
        <x:f>'Ставки'!DR$3</x:f>
        <x:v>49980</x:v>
      </x:c>
      <x:c r="DT4" s="96" t="n">
        <x:f>'Ставки'!DS$3</x:f>
        <x:v>50010</x:v>
      </x:c>
    </x:row>
    <x:row r="5">
      <x:c r="A5" t="str">
        <x:f>'Вводные'!$C$88</x:f>
        <x:v>Очередь 1</x:v>
      </x:c>
      <x:c r="B5" t="str">
        <x:v>Сделка / старт</x:v>
      </x:c>
      <x:c r="C5" s="92" t="n">
        <x:f>EDATE('Вводные'!$D$88,'Вводные'!$H$9)</x:f>
        <x:v>46388</x:v>
      </x:c>
      <x:c r="D5" s="92" t="n">
        <x:f>C5</x:f>
        <x:v>46388</x:v>
      </x:c>
      <x:c r="E5" s="135" t="str">
        <x:f>IF(AND(E$4&gt;=$C5,E$4&lt;=$D5,'Вводные'!$B$88="Да"),"■","")</x:f>
        <x:v>■</x:v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  <x:v>Очередь 1</x:v>
      </x:c>
      <x:c r="B6" t="str">
        <x:v>ИРД и согласования</x:v>
      </x:c>
      <x:c r="C6" s="92" t="n">
        <x:f>EDATE('Вводные'!$D$88,'Вводные'!$H$9)</x:f>
        <x:v>46388</x:v>
      </x:c>
      <x:c r="D6" s="92" t="n">
        <x:f>EDATE(C6,'Вводные'!$E$88-1)</x:f>
        <x:v>46905</x:v>
      </x:c>
      <x:c r="E6" s="137" t="str">
        <x:f>IF(AND(E$4&gt;=$C6,E$4&lt;=$D6,'Вводные'!$B$88="Да"),"■","")</x:f>
        <x:v>■</x:v>
      </x:c>
      <x:c r="F6" s="137" t="str">
        <x:f>IF(AND(F$4&gt;=$C6,F$4&lt;=$D6,'Вводные'!$B$88="Да"),"■","")</x:f>
        <x:v>■</x:v>
      </x:c>
      <x:c r="G6" s="137" t="str">
        <x:f>IF(AND(G$4&gt;=$C6,G$4&lt;=$D6,'Вводные'!$B$88="Да"),"■","")</x:f>
        <x:v>■</x:v>
      </x:c>
      <x:c r="H6" s="137" t="str">
        <x:f>IF(AND(H$4&gt;=$C6,H$4&lt;=$D6,'Вводные'!$B$88="Да"),"■","")</x:f>
        <x:v>■</x:v>
      </x:c>
      <x:c r="I6" s="137" t="str">
        <x:f>IF(AND(I$4&gt;=$C6,I$4&lt;=$D6,'Вводные'!$B$88="Да"),"■","")</x:f>
        <x:v>■</x:v>
      </x:c>
      <x:c r="J6" s="137" t="str">
        <x:f>IF(AND(J$4&gt;=$C6,J$4&lt;=$D6,'Вводные'!$B$88="Да"),"■","")</x:f>
        <x:v>■</x:v>
      </x:c>
      <x:c r="K6" s="137" t="str">
        <x:f>IF(AND(K$4&gt;=$C6,K$4&lt;=$D6,'Вводные'!$B$88="Да"),"■","")</x:f>
        <x:v>■</x:v>
      </x:c>
      <x:c r="L6" s="137" t="str">
        <x:f>IF(AND(L$4&gt;=$C6,L$4&lt;=$D6,'Вводные'!$B$88="Да"),"■","")</x:f>
        <x:v>■</x:v>
      </x:c>
      <x:c r="M6" s="137" t="str">
        <x:f>IF(AND(M$4&gt;=$C6,M$4&lt;=$D6,'Вводные'!$B$88="Да"),"■","")</x:f>
        <x:v>■</x:v>
      </x:c>
      <x:c r="N6" s="137" t="str">
        <x:f>IF(AND(N$4&gt;=$C6,N$4&lt;=$D6,'Вводные'!$B$88="Да"),"■","")</x:f>
        <x:v>■</x:v>
      </x:c>
      <x:c r="O6" s="137" t="str">
        <x:f>IF(AND(O$4&gt;=$C6,O$4&lt;=$D6,'Вводные'!$B$88="Да"),"■","")</x:f>
        <x:v>■</x:v>
      </x:c>
      <x:c r="P6" s="137" t="str">
        <x:f>IF(AND(P$4&gt;=$C6,P$4&lt;=$D6,'Вводные'!$B$88="Да"),"■","")</x:f>
        <x:v>■</x:v>
      </x:c>
      <x:c r="Q6" s="137" t="str">
        <x:f>IF(AND(Q$4&gt;=$C6,Q$4&lt;=$D6,'Вводные'!$B$88="Да"),"■","")</x:f>
        <x:v>■</x:v>
      </x:c>
      <x:c r="R6" s="137" t="str">
        <x:f>IF(AND(R$4&gt;=$C6,R$4&lt;=$D6,'Вводные'!$B$88="Да"),"■","")</x:f>
        <x:v>■</x:v>
      </x:c>
      <x:c r="S6" s="137" t="str">
        <x:f>IF(AND(S$4&gt;=$C6,S$4&lt;=$D6,'Вводные'!$B$88="Да"),"■","")</x:f>
        <x:v>■</x:v>
      </x:c>
      <x:c r="T6" s="137" t="str">
        <x:f>IF(AND(T$4&gt;=$C6,T$4&lt;=$D6,'Вводные'!$B$88="Да"),"■","")</x:f>
        <x:v>■</x:v>
      </x:c>
      <x:c r="U6" s="137" t="str">
        <x:f>IF(AND(U$4&gt;=$C6,U$4&lt;=$D6,'Вводные'!$B$88="Да"),"■","")</x:f>
        <x:v>■</x:v>
      </x:c>
      <x:c r="V6" s="137" t="str">
        <x:f>IF(AND(V$4&gt;=$C6,V$4&lt;=$D6,'Вводные'!$B$88="Да"),"■","")</x:f>
        <x:v>■</x:v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  <x:v>Очередь 1</x:v>
      </x:c>
      <x:c r="B7" t="str">
        <x:v>Обязательство по ВРИ</x:v>
      </x:c>
      <x:c r="C7" s="92" t="n">
        <x:f>'ВРИ'!B7</x:f>
        <x:v>46905</x:v>
      </x:c>
      <x:c r="D7" s="92" t="n">
        <x:f>C7</x:f>
        <x:v>46905</x:v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  <x:v>■</x:v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  <x:v>Очередь 1</x:v>
      </x:c>
      <x:c r="B8" t="str">
        <x:v>РнС / открытие ПФ</x:v>
      </x:c>
      <x:c r="C8" s="92" t="n">
        <x:f>'CF_1'!B7</x:f>
        <x:v>46935</x:v>
      </x:c>
      <x:c r="D8" s="92" t="n">
        <x:f>C8</x:f>
        <x:v>46935</x:v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  <x:v>■</x:v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  <x:v>Очередь 1</x:v>
      </x:c>
      <x:c r="B9" t="str">
        <x:v>Продажи</x:v>
      </x:c>
      <x:c r="C9" s="92" t="n">
        <x:f>'Продажи'!B7</x:f>
        <x:v>46935</x:v>
      </x:c>
      <x:c r="D9" s="92" t="n">
        <x:f>EDATE('Продажи'!B7,'Вводные'!$H$88-1)</x:f>
        <x:v>47818</x:v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  <x:v>■</x:v>
      </x:c>
      <x:c r="X9" s="139" t="str">
        <x:f>IF(AND(X$4&gt;=$C9,X$4&lt;=$D9,'Вводные'!$B$88="Да"),"■","")</x:f>
        <x:v>■</x:v>
      </x:c>
      <x:c r="Y9" s="139" t="str">
        <x:f>IF(AND(Y$4&gt;=$C9,Y$4&lt;=$D9,'Вводные'!$B$88="Да"),"■","")</x:f>
        <x:v>■</x:v>
      </x:c>
      <x:c r="Z9" s="139" t="str">
        <x:f>IF(AND(Z$4&gt;=$C9,Z$4&lt;=$D9,'Вводные'!$B$88="Да"),"■","")</x:f>
        <x:v>■</x:v>
      </x:c>
      <x:c r="AA9" s="139" t="str">
        <x:f>IF(AND(AA$4&gt;=$C9,AA$4&lt;=$D9,'Вводные'!$B$88="Да"),"■","")</x:f>
        <x:v>■</x:v>
      </x:c>
      <x:c r="AB9" s="139" t="str">
        <x:f>IF(AND(AB$4&gt;=$C9,AB$4&lt;=$D9,'Вводные'!$B$88="Да"),"■","")</x:f>
        <x:v>■</x:v>
      </x:c>
      <x:c r="AC9" s="139" t="str">
        <x:f>IF(AND(AC$4&gt;=$C9,AC$4&lt;=$D9,'Вводные'!$B$88="Да"),"■","")</x:f>
        <x:v>■</x:v>
      </x:c>
      <x:c r="AD9" s="139" t="str">
        <x:f>IF(AND(AD$4&gt;=$C9,AD$4&lt;=$D9,'Вводные'!$B$88="Да"),"■","")</x:f>
        <x:v>■</x:v>
      </x:c>
      <x:c r="AE9" s="139" t="str">
        <x:f>IF(AND(AE$4&gt;=$C9,AE$4&lt;=$D9,'Вводные'!$B$88="Да"),"■","")</x:f>
        <x:v>■</x:v>
      </x:c>
      <x:c r="AF9" s="139" t="str">
        <x:f>IF(AND(AF$4&gt;=$C9,AF$4&lt;=$D9,'Вводные'!$B$88="Да"),"■","")</x:f>
        <x:v>■</x:v>
      </x:c>
      <x:c r="AG9" s="139" t="str">
        <x:f>IF(AND(AG$4&gt;=$C9,AG$4&lt;=$D9,'Вводные'!$B$88="Да"),"■","")</x:f>
        <x:v>■</x:v>
      </x:c>
      <x:c r="AH9" s="139" t="str">
        <x:f>IF(AND(AH$4&gt;=$C9,AH$4&lt;=$D9,'Вводные'!$B$88="Да"),"■","")</x:f>
        <x:v>■</x:v>
      </x:c>
      <x:c r="AI9" s="139" t="str">
        <x:f>IF(AND(AI$4&gt;=$C9,AI$4&lt;=$D9,'Вводные'!$B$88="Да"),"■","")</x:f>
        <x:v>■</x:v>
      </x:c>
      <x:c r="AJ9" s="139" t="str">
        <x:f>IF(AND(AJ$4&gt;=$C9,AJ$4&lt;=$D9,'Вводные'!$B$88="Да"),"■","")</x:f>
        <x:v>■</x:v>
      </x:c>
      <x:c r="AK9" s="139" t="str">
        <x:f>IF(AND(AK$4&gt;=$C9,AK$4&lt;=$D9,'Вводные'!$B$88="Да"),"■","")</x:f>
        <x:v>■</x:v>
      </x:c>
      <x:c r="AL9" s="139" t="str">
        <x:f>IF(AND(AL$4&gt;=$C9,AL$4&lt;=$D9,'Вводные'!$B$88="Да"),"■","")</x:f>
        <x:v>■</x:v>
      </x:c>
      <x:c r="AM9" s="139" t="str">
        <x:f>IF(AND(AM$4&gt;=$C9,AM$4&lt;=$D9,'Вводные'!$B$88="Да"),"■","")</x:f>
        <x:v>■</x:v>
      </x:c>
      <x:c r="AN9" s="139" t="str">
        <x:f>IF(AND(AN$4&gt;=$C9,AN$4&lt;=$D9,'Вводные'!$B$88="Да"),"■","")</x:f>
        <x:v>■</x:v>
      </x:c>
      <x:c r="AO9" s="139" t="str">
        <x:f>IF(AND(AO$4&gt;=$C9,AO$4&lt;=$D9,'Вводные'!$B$88="Да"),"■","")</x:f>
        <x:v>■</x:v>
      </x:c>
      <x:c r="AP9" s="139" t="str">
        <x:f>IF(AND(AP$4&gt;=$C9,AP$4&lt;=$D9,'Вводные'!$B$88="Да"),"■","")</x:f>
        <x:v>■</x:v>
      </x:c>
      <x:c r="AQ9" s="139" t="str">
        <x:f>IF(AND(AQ$4&gt;=$C9,AQ$4&lt;=$D9,'Вводные'!$B$88="Да"),"■","")</x:f>
        <x:v>■</x:v>
      </x:c>
      <x:c r="AR9" s="139" t="str">
        <x:f>IF(AND(AR$4&gt;=$C9,AR$4&lt;=$D9,'Вводные'!$B$88="Да"),"■","")</x:f>
        <x:v>■</x:v>
      </x:c>
      <x:c r="AS9" s="139" t="str">
        <x:f>IF(AND(AS$4&gt;=$C9,AS$4&lt;=$D9,'Вводные'!$B$88="Да"),"■","")</x:f>
        <x:v>■</x:v>
      </x:c>
      <x:c r="AT9" s="139" t="str">
        <x:f>IF(AND(AT$4&gt;=$C9,AT$4&lt;=$D9,'Вводные'!$B$88="Да"),"■","")</x:f>
        <x:v>■</x:v>
      </x:c>
      <x:c r="AU9" s="139" t="str">
        <x:f>IF(AND(AU$4&gt;=$C9,AU$4&lt;=$D9,'Вводные'!$B$88="Да"),"■","")</x:f>
        <x:v>■</x:v>
      </x:c>
      <x:c r="AV9" s="139" t="str">
        <x:f>IF(AND(AV$4&gt;=$C9,AV$4&lt;=$D9,'Вводные'!$B$88="Да"),"■","")</x:f>
        <x:v>■</x:v>
      </x:c>
      <x:c r="AW9" s="139" t="str">
        <x:f>IF(AND(AW$4&gt;=$C9,AW$4&lt;=$D9,'Вводные'!$B$88="Да"),"■","")</x:f>
        <x:v>■</x:v>
      </x:c>
      <x:c r="AX9" s="139" t="str">
        <x:f>IF(AND(AX$4&gt;=$C9,AX$4&lt;=$D9,'Вводные'!$B$88="Да"),"■","")</x:f>
        <x:v>■</x:v>
      </x:c>
      <x:c r="AY9" s="139" t="str">
        <x:f>IF(AND(AY$4&gt;=$C9,AY$4&lt;=$D9,'Вводные'!$B$88="Да"),"■","")</x:f>
        <x:v>■</x:v>
      </x:c>
      <x:c r="AZ9" s="139" t="str">
        <x:f>IF(AND(AZ$4&gt;=$C9,AZ$4&lt;=$D9,'Вводные'!$B$88="Да"),"■","")</x:f>
        <x:v>■</x:v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  <x:v>Очередь 1</x:v>
      </x:c>
      <x:c r="B10" t="str">
        <x:v>Строительство</x:v>
      </x:c>
      <x:c r="C10" s="92" t="n">
        <x:f>'CF_1'!B7</x:f>
        <x:v>46935</x:v>
      </x:c>
      <x:c r="D10" s="92" t="n">
        <x:f>EDATE(C10,'Вводные'!$F$88-1)</x:f>
        <x:v>47635</x:v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  <x:v>■</x:v>
      </x:c>
      <x:c r="X10" s="141" t="str">
        <x:f>IF(AND(X$4&gt;=$C10,X$4&lt;=$D10,'Вводные'!$B$88="Да"),"■","")</x:f>
        <x:v>■</x:v>
      </x:c>
      <x:c r="Y10" s="141" t="str">
        <x:f>IF(AND(Y$4&gt;=$C10,Y$4&lt;=$D10,'Вводные'!$B$88="Да"),"■","")</x:f>
        <x:v>■</x:v>
      </x:c>
      <x:c r="Z10" s="141" t="str">
        <x:f>IF(AND(Z$4&gt;=$C10,Z$4&lt;=$D10,'Вводные'!$B$88="Да"),"■","")</x:f>
        <x:v>■</x:v>
      </x:c>
      <x:c r="AA10" s="141" t="str">
        <x:f>IF(AND(AA$4&gt;=$C10,AA$4&lt;=$D10,'Вводные'!$B$88="Да"),"■","")</x:f>
        <x:v>■</x:v>
      </x:c>
      <x:c r="AB10" s="141" t="str">
        <x:f>IF(AND(AB$4&gt;=$C10,AB$4&lt;=$D10,'Вводные'!$B$88="Да"),"■","")</x:f>
        <x:v>■</x:v>
      </x:c>
      <x:c r="AC10" s="141" t="str">
        <x:f>IF(AND(AC$4&gt;=$C10,AC$4&lt;=$D10,'Вводные'!$B$88="Да"),"■","")</x:f>
        <x:v>■</x:v>
      </x:c>
      <x:c r="AD10" s="141" t="str">
        <x:f>IF(AND(AD$4&gt;=$C10,AD$4&lt;=$D10,'Вводные'!$B$88="Да"),"■","")</x:f>
        <x:v>■</x:v>
      </x:c>
      <x:c r="AE10" s="141" t="str">
        <x:f>IF(AND(AE$4&gt;=$C10,AE$4&lt;=$D10,'Вводные'!$B$88="Да"),"■","")</x:f>
        <x:v>■</x:v>
      </x:c>
      <x:c r="AF10" s="141" t="str">
        <x:f>IF(AND(AF$4&gt;=$C10,AF$4&lt;=$D10,'Вводные'!$B$88="Да"),"■","")</x:f>
        <x:v>■</x:v>
      </x:c>
      <x:c r="AG10" s="141" t="str">
        <x:f>IF(AND(AG$4&gt;=$C10,AG$4&lt;=$D10,'Вводные'!$B$88="Да"),"■","")</x:f>
        <x:v>■</x:v>
      </x:c>
      <x:c r="AH10" s="141" t="str">
        <x:f>IF(AND(AH$4&gt;=$C10,AH$4&lt;=$D10,'Вводные'!$B$88="Да"),"■","")</x:f>
        <x:v>■</x:v>
      </x:c>
      <x:c r="AI10" s="141" t="str">
        <x:f>IF(AND(AI$4&gt;=$C10,AI$4&lt;=$D10,'Вводные'!$B$88="Да"),"■","")</x:f>
        <x:v>■</x:v>
      </x:c>
      <x:c r="AJ10" s="141" t="str">
        <x:f>IF(AND(AJ$4&gt;=$C10,AJ$4&lt;=$D10,'Вводные'!$B$88="Да"),"■","")</x:f>
        <x:v>■</x:v>
      </x:c>
      <x:c r="AK10" s="141" t="str">
        <x:f>IF(AND(AK$4&gt;=$C10,AK$4&lt;=$D10,'Вводные'!$B$88="Да"),"■","")</x:f>
        <x:v>■</x:v>
      </x:c>
      <x:c r="AL10" s="141" t="str">
        <x:f>IF(AND(AL$4&gt;=$C10,AL$4&lt;=$D10,'Вводные'!$B$88="Да"),"■","")</x:f>
        <x:v>■</x:v>
      </x:c>
      <x:c r="AM10" s="141" t="str">
        <x:f>IF(AND(AM$4&gt;=$C10,AM$4&lt;=$D10,'Вводные'!$B$88="Да"),"■","")</x:f>
        <x:v>■</x:v>
      </x:c>
      <x:c r="AN10" s="141" t="str">
        <x:f>IF(AND(AN$4&gt;=$C10,AN$4&lt;=$D10,'Вводные'!$B$88="Да"),"■","")</x:f>
        <x:v>■</x:v>
      </x:c>
      <x:c r="AO10" s="141" t="str">
        <x:f>IF(AND(AO$4&gt;=$C10,AO$4&lt;=$D10,'Вводные'!$B$88="Да"),"■","")</x:f>
        <x:v>■</x:v>
      </x:c>
      <x:c r="AP10" s="141" t="str">
        <x:f>IF(AND(AP$4&gt;=$C10,AP$4&lt;=$D10,'Вводные'!$B$88="Да"),"■","")</x:f>
        <x:v>■</x:v>
      </x:c>
      <x:c r="AQ10" s="141" t="str">
        <x:f>IF(AND(AQ$4&gt;=$C10,AQ$4&lt;=$D10,'Вводные'!$B$88="Да"),"■","")</x:f>
        <x:v>■</x:v>
      </x:c>
      <x:c r="AR10" s="141" t="str">
        <x:f>IF(AND(AR$4&gt;=$C10,AR$4&lt;=$D10,'Вводные'!$B$88="Да"),"■","")</x:f>
        <x:v>■</x:v>
      </x:c>
      <x:c r="AS10" s="141" t="str">
        <x:f>IF(AND(AS$4&gt;=$C10,AS$4&lt;=$D10,'Вводные'!$B$88="Да"),"■","")</x:f>
        <x:v>■</x:v>
      </x:c>
      <x:c r="AT10" s="141" t="str">
        <x:f>IF(AND(AT$4&gt;=$C10,AT$4&lt;=$D10,'Вводные'!$B$88="Да"),"■","")</x:f>
        <x:v>■</x:v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  <x:v>Очередь 1</x:v>
      </x:c>
      <x:c r="B11" t="str">
        <x:v>РВЭ</x:v>
      </x:c>
      <x:c r="C11" s="92" t="n">
        <x:f>'CF_1'!B8</x:f>
        <x:v>47665</x:v>
      </x:c>
      <x:c r="D11" s="92" t="n">
        <x:f>C11</x:f>
        <x:v>47665</x:v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  <x:v>■</x:v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  <x:v>Очередь 1</x:v>
      </x:c>
      <x:c r="B12" t="str">
        <x:v>Проектное финансирование</x:v>
      </x:c>
      <x:c r="C12" s="92" t="n">
        <x:f>'CF_1'!B7</x:f>
        <x:v>46935</x:v>
      </x:c>
      <x:c r="D12" s="92" t="n">
        <x:f>EDATE('Продажи'!B7,'Вводные'!$H$88-1)</x:f>
        <x:v>47818</x:v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  <x:v>■</x:v>
      </x:c>
      <x:c r="X12" s="137" t="str">
        <x:f>IF(AND(X$4&gt;=$C12,X$4&lt;=$D12,'Вводные'!$B$88="Да"),"■","")</x:f>
        <x:v>■</x:v>
      </x:c>
      <x:c r="Y12" s="137" t="str">
        <x:f>IF(AND(Y$4&gt;=$C12,Y$4&lt;=$D12,'Вводные'!$B$88="Да"),"■","")</x:f>
        <x:v>■</x:v>
      </x:c>
      <x:c r="Z12" s="137" t="str">
        <x:f>IF(AND(Z$4&gt;=$C12,Z$4&lt;=$D12,'Вводные'!$B$88="Да"),"■","")</x:f>
        <x:v>■</x:v>
      </x:c>
      <x:c r="AA12" s="137" t="str">
        <x:f>IF(AND(AA$4&gt;=$C12,AA$4&lt;=$D12,'Вводные'!$B$88="Да"),"■","")</x:f>
        <x:v>■</x:v>
      </x:c>
      <x:c r="AB12" s="137" t="str">
        <x:f>IF(AND(AB$4&gt;=$C12,AB$4&lt;=$D12,'Вводные'!$B$88="Да"),"■","")</x:f>
        <x:v>■</x:v>
      </x:c>
      <x:c r="AC12" s="137" t="str">
        <x:f>IF(AND(AC$4&gt;=$C12,AC$4&lt;=$D12,'Вводные'!$B$88="Да"),"■","")</x:f>
        <x:v>■</x:v>
      </x:c>
      <x:c r="AD12" s="137" t="str">
        <x:f>IF(AND(AD$4&gt;=$C12,AD$4&lt;=$D12,'Вводные'!$B$88="Да"),"■","")</x:f>
        <x:v>■</x:v>
      </x:c>
      <x:c r="AE12" s="137" t="str">
        <x:f>IF(AND(AE$4&gt;=$C12,AE$4&lt;=$D12,'Вводные'!$B$88="Да"),"■","")</x:f>
        <x:v>■</x:v>
      </x:c>
      <x:c r="AF12" s="137" t="str">
        <x:f>IF(AND(AF$4&gt;=$C12,AF$4&lt;=$D12,'Вводные'!$B$88="Да"),"■","")</x:f>
        <x:v>■</x:v>
      </x:c>
      <x:c r="AG12" s="137" t="str">
        <x:f>IF(AND(AG$4&gt;=$C12,AG$4&lt;=$D12,'Вводные'!$B$88="Да"),"■","")</x:f>
        <x:v>■</x:v>
      </x:c>
      <x:c r="AH12" s="137" t="str">
        <x:f>IF(AND(AH$4&gt;=$C12,AH$4&lt;=$D12,'Вводные'!$B$88="Да"),"■","")</x:f>
        <x:v>■</x:v>
      </x:c>
      <x:c r="AI12" s="137" t="str">
        <x:f>IF(AND(AI$4&gt;=$C12,AI$4&lt;=$D12,'Вводные'!$B$88="Да"),"■","")</x:f>
        <x:v>■</x:v>
      </x:c>
      <x:c r="AJ12" s="137" t="str">
        <x:f>IF(AND(AJ$4&gt;=$C12,AJ$4&lt;=$D12,'Вводные'!$B$88="Да"),"■","")</x:f>
        <x:v>■</x:v>
      </x:c>
      <x:c r="AK12" s="137" t="str">
        <x:f>IF(AND(AK$4&gt;=$C12,AK$4&lt;=$D12,'Вводные'!$B$88="Да"),"■","")</x:f>
        <x:v>■</x:v>
      </x:c>
      <x:c r="AL12" s="137" t="str">
        <x:f>IF(AND(AL$4&gt;=$C12,AL$4&lt;=$D12,'Вводные'!$B$88="Да"),"■","")</x:f>
        <x:v>■</x:v>
      </x:c>
      <x:c r="AM12" s="137" t="str">
        <x:f>IF(AND(AM$4&gt;=$C12,AM$4&lt;=$D12,'Вводные'!$B$88="Да"),"■","")</x:f>
        <x:v>■</x:v>
      </x:c>
      <x:c r="AN12" s="137" t="str">
        <x:f>IF(AND(AN$4&gt;=$C12,AN$4&lt;=$D12,'Вводные'!$B$88="Да"),"■","")</x:f>
        <x:v>■</x:v>
      </x:c>
      <x:c r="AO12" s="137" t="str">
        <x:f>IF(AND(AO$4&gt;=$C12,AO$4&lt;=$D12,'Вводные'!$B$88="Да"),"■","")</x:f>
        <x:v>■</x:v>
      </x:c>
      <x:c r="AP12" s="137" t="str">
        <x:f>IF(AND(AP$4&gt;=$C12,AP$4&lt;=$D12,'Вводные'!$B$88="Да"),"■","")</x:f>
        <x:v>■</x:v>
      </x:c>
      <x:c r="AQ12" s="137" t="str">
        <x:f>IF(AND(AQ$4&gt;=$C12,AQ$4&lt;=$D12,'Вводные'!$B$88="Да"),"■","")</x:f>
        <x:v>■</x:v>
      </x:c>
      <x:c r="AR12" s="137" t="str">
        <x:f>IF(AND(AR$4&gt;=$C12,AR$4&lt;=$D12,'Вводные'!$B$88="Да"),"■","")</x:f>
        <x:v>■</x:v>
      </x:c>
      <x:c r="AS12" s="137" t="str">
        <x:f>IF(AND(AS$4&gt;=$C12,AS$4&lt;=$D12,'Вводные'!$B$88="Да"),"■","")</x:f>
        <x:v>■</x:v>
      </x:c>
      <x:c r="AT12" s="137" t="str">
        <x:f>IF(AND(AT$4&gt;=$C12,AT$4&lt;=$D12,'Вводные'!$B$88="Да"),"■","")</x:f>
        <x:v>■</x:v>
      </x:c>
      <x:c r="AU12" s="137" t="str">
        <x:f>IF(AND(AU$4&gt;=$C12,AU$4&lt;=$D12,'Вводные'!$B$88="Да"),"■","")</x:f>
        <x:v>■</x:v>
      </x:c>
      <x:c r="AV12" s="137" t="str">
        <x:f>IF(AND(AV$4&gt;=$C12,AV$4&lt;=$D12,'Вводные'!$B$88="Да"),"■","")</x:f>
        <x:v>■</x:v>
      </x:c>
      <x:c r="AW12" s="137" t="str">
        <x:f>IF(AND(AW$4&gt;=$C12,AW$4&lt;=$D12,'Вводные'!$B$88="Да"),"■","")</x:f>
        <x:v>■</x:v>
      </x:c>
      <x:c r="AX12" s="137" t="str">
        <x:f>IF(AND(AX$4&gt;=$C12,AX$4&lt;=$D12,'Вводные'!$B$88="Да"),"■","")</x:f>
        <x:v>■</x:v>
      </x:c>
      <x:c r="AY12" s="137" t="str">
        <x:f>IF(AND(AY$4&gt;=$C12,AY$4&lt;=$D12,'Вводные'!$B$88="Да"),"■","")</x:f>
        <x:v>■</x:v>
      </x:c>
      <x:c r="AZ12" s="137" t="str">
        <x:f>IF(AND(AZ$4&gt;=$C12,AZ$4&lt;=$D12,'Вводные'!$B$88="Да"),"■","")</x:f>
        <x:v>■</x:v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  <x:v>Очередь 2</x:v>
      </x:c>
      <x:c r="B15" t="str">
        <x:v>Сделка / старт</x:v>
      </x:c>
      <x:c r="C15" s="92" t="n">
        <x:f>EDATE('Вводные'!$D$89,'Вводные'!$H$9)</x:f>
        <x:v>47119</x:v>
      </x:c>
      <x:c r="D15" s="92" t="n">
        <x:f>C15</x:f>
        <x:v>47119</x:v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  <x:v>Очередь 2</x:v>
      </x:c>
      <x:c r="B16" t="str">
        <x:v>ИРД и согласования</x:v>
      </x:c>
      <x:c r="C16" s="92" t="n">
        <x:f>EDATE('Вводные'!$D$89,'Вводные'!$H$9)</x:f>
        <x:v>47119</x:v>
      </x:c>
      <x:c r="D16" s="92" t="n">
        <x:f>EDATE(C16,'Вводные'!$E$89-1)</x:f>
        <x:v>47635</x:v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  <x:v>Очередь 2</x:v>
      </x:c>
      <x:c r="B17" t="str">
        <x:v>Обязательство по ВРИ</x:v>
      </x:c>
      <x:c r="C17" s="92" t="n">
        <x:f>'ВРИ'!B20</x:f>
        <x:v>47635</x:v>
      </x:c>
      <x:c r="D17" s="92" t="n">
        <x:f>C17</x:f>
        <x:v>47635</x:v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  <x:v>Очередь 2</x:v>
      </x:c>
      <x:c r="B18" t="str">
        <x:v>РнС / открытие ПФ</x:v>
      </x:c>
      <x:c r="C18" s="92" t="n">
        <x:f>'CF_2'!B7</x:f>
        <x:v>47665</x:v>
      </x:c>
      <x:c r="D18" s="92" t="n">
        <x:f>C18</x:f>
        <x:v>47665</x:v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  <x:v>Очередь 2</x:v>
      </x:c>
      <x:c r="B19" t="str">
        <x:v>Продажи</x:v>
      </x:c>
      <x:c r="C19" s="92" t="n">
        <x:f>'Продажи'!B30</x:f>
        <x:v>47665</x:v>
      </x:c>
      <x:c r="D19" s="92" t="n">
        <x:f>EDATE('Продажи'!B30,'Вводные'!$H$89-1)</x:f>
        <x:v>48549</x:v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  <x:v>Очередь 2</x:v>
      </x:c>
      <x:c r="B20" t="str">
        <x:v>Строительство</x:v>
      </x:c>
      <x:c r="C20" s="92" t="n">
        <x:f>'CF_2'!B7</x:f>
        <x:v>47665</x:v>
      </x:c>
      <x:c r="D20" s="92" t="n">
        <x:f>EDATE(C20,'Вводные'!$F$89-1)</x:f>
        <x:v>48366</x:v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  <x:v>Очередь 2</x:v>
      </x:c>
      <x:c r="B21" t="str">
        <x:v>РВЭ</x:v>
      </x:c>
      <x:c r="C21" s="92" t="n">
        <x:f>'CF_2'!B8</x:f>
        <x:v>48396</x:v>
      </x:c>
      <x:c r="D21" s="92" t="n">
        <x:f>C21</x:f>
        <x:v>48396</x:v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  <x:v>Очередь 2</x:v>
      </x:c>
      <x:c r="B22" t="str">
        <x:v>Проектное финансирование</x:v>
      </x:c>
      <x:c r="C22" s="92" t="n">
        <x:f>'CF_2'!B7</x:f>
        <x:v>47665</x:v>
      </x:c>
      <x:c r="D22" s="92" t="n">
        <x:f>EDATE('Продажи'!B30,'Вводные'!$H$89-1)</x:f>
        <x:v>48549</x:v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  <x:v>Очередь 3</x:v>
      </x:c>
      <x:c r="B25" t="str">
        <x:v>Сделка / старт</x:v>
      </x:c>
      <x:c r="C25" s="92" t="n">
        <x:f>EDATE('Вводные'!$D$90,'Вводные'!$H$9)</x:f>
        <x:v>47849</x:v>
      </x:c>
      <x:c r="D25" s="92" t="n">
        <x:f>C25</x:f>
        <x:v>47849</x:v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  <x:v>Очередь 3</x:v>
      </x:c>
      <x:c r="B26" t="str">
        <x:v>ИРД и согласования</x:v>
      </x:c>
      <x:c r="C26" s="92" t="n">
        <x:f>EDATE('Вводные'!$D$90,'Вводные'!$H$9)</x:f>
        <x:v>47849</x:v>
      </x:c>
      <x:c r="D26" s="92" t="n">
        <x:f>EDATE(C26,'Вводные'!$E$90-1)</x:f>
        <x:v>48366</x:v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  <x:v>Очередь 3</x:v>
      </x:c>
      <x:c r="B27" t="str">
        <x:v>Обязательство по ВРИ</x:v>
      </x:c>
      <x:c r="C27" s="92" t="n">
        <x:f>'ВРИ'!B33</x:f>
        <x:v>48366</x:v>
      </x:c>
      <x:c r="D27" s="92" t="n">
        <x:f>C27</x:f>
        <x:v>48366</x:v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  <x:v>Очередь 3</x:v>
      </x:c>
      <x:c r="B28" t="str">
        <x:v>РнС / открытие ПФ</x:v>
      </x:c>
      <x:c r="C28" s="92" t="n">
        <x:f>'CF_3'!B7</x:f>
        <x:v>48396</x:v>
      </x:c>
      <x:c r="D28" s="92" t="n">
        <x:f>C28</x:f>
        <x:v>48396</x:v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  <x:v>Очередь 3</x:v>
      </x:c>
      <x:c r="B29" t="str">
        <x:v>Продажи</x:v>
      </x:c>
      <x:c r="C29" s="92" t="n">
        <x:f>'Продажи'!B53</x:f>
        <x:v>48396</x:v>
      </x:c>
      <x:c r="D29" s="92" t="n">
        <x:f>EDATE('Продажи'!B53,'Вводные'!$H$90-1)</x:f>
        <x:v>49279</x:v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  <x:v>Очередь 3</x:v>
      </x:c>
      <x:c r="B30" t="str">
        <x:v>Строительство</x:v>
      </x:c>
      <x:c r="C30" s="92" t="n">
        <x:f>'CF_3'!B7</x:f>
        <x:v>48396</x:v>
      </x:c>
      <x:c r="D30" s="92" t="n">
        <x:f>EDATE(C30,'Вводные'!$F$90-1)</x:f>
        <x:v>49096</x:v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  <x:v>Очередь 3</x:v>
      </x:c>
      <x:c r="B31" t="str">
        <x:v>РВЭ</x:v>
      </x:c>
      <x:c r="C31" s="92" t="n">
        <x:f>'CF_3'!B8</x:f>
        <x:v>49126</x:v>
      </x:c>
      <x:c r="D31" s="92" t="n">
        <x:f>C31</x:f>
        <x:v>49126</x:v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  <x:v>Очередь 3</x:v>
      </x:c>
      <x:c r="B32" t="str">
        <x:v>Проектное финансирование</x:v>
      </x:c>
      <x:c r="C32" s="92" t="n">
        <x:f>'CF_3'!B7</x:f>
        <x:v>48396</x:v>
      </x:c>
      <x:c r="D32" s="92" t="n">
        <x:f>EDATE('Продажи'!B53,'Вводные'!$H$90-1)</x:f>
        <x:v>49279</x:v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C35" s="92"/>
      <x:c r="D35" s="92"/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  <x:v>46388</x:v>
      </x:c>
      <x:c r="E3" s="96" t="n">
        <x:f>EDATE(D3,1)</x:f>
        <x:v>46419</x:v>
      </x:c>
      <x:c r="F3" s="96" t="n">
        <x:f>EDATE(E3,1)</x:f>
        <x:v>46447</x:v>
      </x:c>
      <x:c r="G3" s="96" t="n">
        <x:f>EDATE(F3,1)</x:f>
        <x:v>46478</x:v>
      </x:c>
      <x:c r="H3" s="96" t="n">
        <x:f>EDATE(G3,1)</x:f>
        <x:v>46508</x:v>
      </x:c>
      <x:c r="I3" s="96" t="n">
        <x:f>EDATE(H3,1)</x:f>
        <x:v>46539</x:v>
      </x:c>
      <x:c r="J3" s="96" t="n">
        <x:f>EDATE(I3,1)</x:f>
        <x:v>46569</x:v>
      </x:c>
      <x:c r="K3" s="96" t="n">
        <x:f>EDATE(J3,1)</x:f>
        <x:v>46600</x:v>
      </x:c>
      <x:c r="L3" s="96" t="n">
        <x:f>EDATE(K3,1)</x:f>
        <x:v>46631</x:v>
      </x:c>
      <x:c r="M3" s="96" t="n">
        <x:f>EDATE(L3,1)</x:f>
        <x:v>46661</x:v>
      </x:c>
      <x:c r="N3" s="96" t="n">
        <x:f>EDATE(M3,1)</x:f>
        <x:v>46692</x:v>
      </x:c>
      <x:c r="O3" s="96" t="n">
        <x:f>EDATE(N3,1)</x:f>
        <x:v>46722</x:v>
      </x:c>
      <x:c r="P3" s="96" t="n">
        <x:f>EDATE(O3,1)</x:f>
        <x:v>46753</x:v>
      </x:c>
      <x:c r="Q3" s="96" t="n">
        <x:f>EDATE(P3,1)</x:f>
        <x:v>46784</x:v>
      </x:c>
      <x:c r="R3" s="96" t="n">
        <x:f>EDATE(Q3,1)</x:f>
        <x:v>46813</x:v>
      </x:c>
      <x:c r="S3" s="96" t="n">
        <x:f>EDATE(R3,1)</x:f>
        <x:v>46844</x:v>
      </x:c>
      <x:c r="T3" s="96" t="n">
        <x:f>EDATE(S3,1)</x:f>
        <x:v>46874</x:v>
      </x:c>
      <x:c r="U3" s="96" t="n">
        <x:f>EDATE(T3,1)</x:f>
        <x:v>46905</x:v>
      </x:c>
      <x:c r="V3" s="96" t="n">
        <x:f>EDATE(U3,1)</x:f>
        <x:v>46935</x:v>
      </x:c>
      <x:c r="W3" s="96" t="n">
        <x:f>EDATE(V3,1)</x:f>
        <x:v>46966</x:v>
      </x:c>
      <x:c r="X3" s="96" t="n">
        <x:f>EDATE(W3,1)</x:f>
        <x:v>46997</x:v>
      </x:c>
      <x:c r="Y3" s="96" t="n">
        <x:f>EDATE(X3,1)</x:f>
        <x:v>47027</x:v>
      </x:c>
      <x:c r="Z3" s="96" t="n">
        <x:f>EDATE(Y3,1)</x:f>
        <x:v>47058</x:v>
      </x:c>
      <x:c r="AA3" s="96" t="n">
        <x:f>EDATE(Z3,1)</x:f>
        <x:v>47088</x:v>
      </x:c>
      <x:c r="AB3" s="96" t="n">
        <x:f>EDATE(AA3,1)</x:f>
        <x:v>47119</x:v>
      </x:c>
      <x:c r="AC3" s="96" t="n">
        <x:f>EDATE(AB3,1)</x:f>
        <x:v>47150</x:v>
      </x:c>
      <x:c r="AD3" s="96" t="n">
        <x:f>EDATE(AC3,1)</x:f>
        <x:v>47178</x:v>
      </x:c>
      <x:c r="AE3" s="96" t="n">
        <x:f>EDATE(AD3,1)</x:f>
        <x:v>47209</x:v>
      </x:c>
      <x:c r="AF3" s="96" t="n">
        <x:f>EDATE(AE3,1)</x:f>
        <x:v>47239</x:v>
      </x:c>
      <x:c r="AG3" s="96" t="n">
        <x:f>EDATE(AF3,1)</x:f>
        <x:v>47270</x:v>
      </x:c>
      <x:c r="AH3" s="96" t="n">
        <x:f>EDATE(AG3,1)</x:f>
        <x:v>47300</x:v>
      </x:c>
      <x:c r="AI3" s="96" t="n">
        <x:f>EDATE(AH3,1)</x:f>
        <x:v>47331</x:v>
      </x:c>
      <x:c r="AJ3" s="96" t="n">
        <x:f>EDATE(AI3,1)</x:f>
        <x:v>47362</x:v>
      </x:c>
      <x:c r="AK3" s="96" t="n">
        <x:f>EDATE(AJ3,1)</x:f>
        <x:v>47392</x:v>
      </x:c>
      <x:c r="AL3" s="96" t="n">
        <x:f>EDATE(AK3,1)</x:f>
        <x:v>47423</x:v>
      </x:c>
      <x:c r="AM3" s="96" t="n">
        <x:f>EDATE(AL3,1)</x:f>
        <x:v>47453</x:v>
      </x:c>
      <x:c r="AN3" s="96" t="n">
        <x:f>EDATE(AM3,1)</x:f>
        <x:v>47484</x:v>
      </x:c>
      <x:c r="AO3" s="96" t="n">
        <x:f>EDATE(AN3,1)</x:f>
        <x:v>47515</x:v>
      </x:c>
      <x:c r="AP3" s="96" t="n">
        <x:f>EDATE(AO3,1)</x:f>
        <x:v>47543</x:v>
      </x:c>
      <x:c r="AQ3" s="96" t="n">
        <x:f>EDATE(AP3,1)</x:f>
        <x:v>47574</x:v>
      </x:c>
      <x:c r="AR3" s="96" t="n">
        <x:f>EDATE(AQ3,1)</x:f>
        <x:v>47604</x:v>
      </x:c>
      <x:c r="AS3" s="96" t="n">
        <x:f>EDATE(AR3,1)</x:f>
        <x:v>47635</x:v>
      </x:c>
      <x:c r="AT3" s="96" t="n">
        <x:f>EDATE(AS3,1)</x:f>
        <x:v>47665</x:v>
      </x:c>
      <x:c r="AU3" s="96" t="n">
        <x:f>EDATE(AT3,1)</x:f>
        <x:v>47696</x:v>
      </x:c>
      <x:c r="AV3" s="96" t="n">
        <x:f>EDATE(AU3,1)</x:f>
        <x:v>47727</x:v>
      </x:c>
      <x:c r="AW3" s="96" t="n">
        <x:f>EDATE(AV3,1)</x:f>
        <x:v>47757</x:v>
      </x:c>
      <x:c r="AX3" s="96" t="n">
        <x:f>EDATE(AW3,1)</x:f>
        <x:v>47788</x:v>
      </x:c>
      <x:c r="AY3" s="96" t="n">
        <x:f>EDATE(AX3,1)</x:f>
        <x:v>47818</x:v>
      </x:c>
      <x:c r="AZ3" s="96" t="n">
        <x:f>EDATE(AY3,1)</x:f>
        <x:v>47849</x:v>
      </x:c>
      <x:c r="BA3" s="96" t="n">
        <x:f>EDATE(AZ3,1)</x:f>
        <x:v>47880</x:v>
      </x:c>
      <x:c r="BB3" s="96" t="n">
        <x:f>EDATE(BA3,1)</x:f>
        <x:v>47908</x:v>
      </x:c>
      <x:c r="BC3" s="96" t="n">
        <x:f>EDATE(BB3,1)</x:f>
        <x:v>47939</x:v>
      </x:c>
      <x:c r="BD3" s="96" t="n">
        <x:f>EDATE(BC3,1)</x:f>
        <x:v>47969</x:v>
      </x:c>
      <x:c r="BE3" s="96" t="n">
        <x:f>EDATE(BD3,1)</x:f>
        <x:v>48000</x:v>
      </x:c>
      <x:c r="BF3" s="96" t="n">
        <x:f>EDATE(BE3,1)</x:f>
        <x:v>48030</x:v>
      </x:c>
      <x:c r="BG3" s="96" t="n">
        <x:f>EDATE(BF3,1)</x:f>
        <x:v>48061</x:v>
      </x:c>
      <x:c r="BH3" s="96" t="n">
        <x:f>EDATE(BG3,1)</x:f>
        <x:v>48092</x:v>
      </x:c>
      <x:c r="BI3" s="96" t="n">
        <x:f>EDATE(BH3,1)</x:f>
        <x:v>48122</x:v>
      </x:c>
      <x:c r="BJ3" s="96" t="n">
        <x:f>EDATE(BI3,1)</x:f>
        <x:v>48153</x:v>
      </x:c>
      <x:c r="BK3" s="96" t="n">
        <x:f>EDATE(BJ3,1)</x:f>
        <x:v>48183</x:v>
      </x:c>
      <x:c r="BL3" s="96" t="n">
        <x:f>EDATE(BK3,1)</x:f>
        <x:v>48214</x:v>
      </x:c>
      <x:c r="BM3" s="96" t="n">
        <x:f>EDATE(BL3,1)</x:f>
        <x:v>48245</x:v>
      </x:c>
      <x:c r="BN3" s="96" t="n">
        <x:f>EDATE(BM3,1)</x:f>
        <x:v>48274</x:v>
      </x:c>
      <x:c r="BO3" s="96" t="n">
        <x:f>EDATE(BN3,1)</x:f>
        <x:v>48305</x:v>
      </x:c>
      <x:c r="BP3" s="96" t="n">
        <x:f>EDATE(BO3,1)</x:f>
        <x:v>48335</x:v>
      </x:c>
      <x:c r="BQ3" s="96" t="n">
        <x:f>EDATE(BP3,1)</x:f>
        <x:v>48366</x:v>
      </x:c>
      <x:c r="BR3" s="96" t="n">
        <x:f>EDATE(BQ3,1)</x:f>
        <x:v>48396</x:v>
      </x:c>
      <x:c r="BS3" s="96" t="n">
        <x:f>EDATE(BR3,1)</x:f>
        <x:v>48427</x:v>
      </x:c>
      <x:c r="BT3" s="96" t="n">
        <x:f>EDATE(BS3,1)</x:f>
        <x:v>48458</x:v>
      </x:c>
      <x:c r="BU3" s="96" t="n">
        <x:f>EDATE(BT3,1)</x:f>
        <x:v>48488</x:v>
      </x:c>
      <x:c r="BV3" s="96" t="n">
        <x:f>EDATE(BU3,1)</x:f>
        <x:v>48519</x:v>
      </x:c>
      <x:c r="BW3" s="96" t="n">
        <x:f>EDATE(BV3,1)</x:f>
        <x:v>48549</x:v>
      </x:c>
      <x:c r="BX3" s="96" t="n">
        <x:f>EDATE(BW3,1)</x:f>
        <x:v>48580</x:v>
      </x:c>
      <x:c r="BY3" s="96" t="n">
        <x:f>EDATE(BX3,1)</x:f>
        <x:v>48611</x:v>
      </x:c>
      <x:c r="BZ3" s="96" t="n">
        <x:f>EDATE(BY3,1)</x:f>
        <x:v>48639</x:v>
      </x:c>
      <x:c r="CA3" s="96" t="n">
        <x:f>EDATE(BZ3,1)</x:f>
        <x:v>48670</x:v>
      </x:c>
      <x:c r="CB3" s="96" t="n">
        <x:f>EDATE(CA3,1)</x:f>
        <x:v>48700</x:v>
      </x:c>
      <x:c r="CC3" s="96" t="n">
        <x:f>EDATE(CB3,1)</x:f>
        <x:v>48731</x:v>
      </x:c>
      <x:c r="CD3" s="96" t="n">
        <x:f>EDATE(CC3,1)</x:f>
        <x:v>48761</x:v>
      </x:c>
      <x:c r="CE3" s="96" t="n">
        <x:f>EDATE(CD3,1)</x:f>
        <x:v>48792</x:v>
      </x:c>
      <x:c r="CF3" s="96" t="n">
        <x:f>EDATE(CE3,1)</x:f>
        <x:v>48823</x:v>
      </x:c>
      <x:c r="CG3" s="96" t="n">
        <x:f>EDATE(CF3,1)</x:f>
        <x:v>48853</x:v>
      </x:c>
      <x:c r="CH3" s="96" t="n">
        <x:f>EDATE(CG3,1)</x:f>
        <x:v>48884</x:v>
      </x:c>
      <x:c r="CI3" s="96" t="n">
        <x:f>EDATE(CH3,1)</x:f>
        <x:v>48914</x:v>
      </x:c>
      <x:c r="CJ3" s="96" t="n">
        <x:f>EDATE(CI3,1)</x:f>
        <x:v>48945</x:v>
      </x:c>
      <x:c r="CK3" s="96" t="n">
        <x:f>EDATE(CJ3,1)</x:f>
        <x:v>48976</x:v>
      </x:c>
      <x:c r="CL3" s="96" t="n">
        <x:f>EDATE(CK3,1)</x:f>
        <x:v>49004</x:v>
      </x:c>
      <x:c r="CM3" s="96" t="n">
        <x:f>EDATE(CL3,1)</x:f>
        <x:v>49035</x:v>
      </x:c>
      <x:c r="CN3" s="96" t="n">
        <x:f>EDATE(CM3,1)</x:f>
        <x:v>49065</x:v>
      </x:c>
      <x:c r="CO3" s="96" t="n">
        <x:f>EDATE(CN3,1)</x:f>
        <x:v>49096</x:v>
      </x:c>
      <x:c r="CP3" s="96" t="n">
        <x:f>EDATE(CO3,1)</x:f>
        <x:v>49126</x:v>
      </x:c>
      <x:c r="CQ3" s="96" t="n">
        <x:f>EDATE(CP3,1)</x:f>
        <x:v>49157</x:v>
      </x:c>
      <x:c r="CR3" s="96" t="n">
        <x:f>EDATE(CQ3,1)</x:f>
        <x:v>49188</x:v>
      </x:c>
      <x:c r="CS3" s="96" t="n">
        <x:f>EDATE(CR3,1)</x:f>
        <x:v>49218</x:v>
      </x:c>
      <x:c r="CT3" s="96" t="n">
        <x:f>EDATE(CS3,1)</x:f>
        <x:v>49249</x:v>
      </x:c>
      <x:c r="CU3" s="96" t="n">
        <x:f>EDATE(CT3,1)</x:f>
        <x:v>49279</x:v>
      </x:c>
      <x:c r="CV3" s="96" t="n">
        <x:f>EDATE(CU3,1)</x:f>
        <x:v>49310</x:v>
      </x:c>
      <x:c r="CW3" s="96" t="n">
        <x:f>EDATE(CV3,1)</x:f>
        <x:v>49341</x:v>
      </x:c>
      <x:c r="CX3" s="96" t="n">
        <x:f>EDATE(CW3,1)</x:f>
        <x:v>49369</x:v>
      </x:c>
      <x:c r="CY3" s="96" t="n">
        <x:f>EDATE(CX3,1)</x:f>
        <x:v>49400</x:v>
      </x:c>
      <x:c r="CZ3" s="96" t="n">
        <x:f>EDATE(CY3,1)</x:f>
        <x:v>49430</x:v>
      </x:c>
      <x:c r="DA3" s="96" t="n">
        <x:f>EDATE(CZ3,1)</x:f>
        <x:v>49461</x:v>
      </x:c>
      <x:c r="DB3" s="96" t="n">
        <x:f>EDATE(DA3,1)</x:f>
        <x:v>49491</x:v>
      </x:c>
      <x:c r="DC3" s="96" t="n">
        <x:f>EDATE(DB3,1)</x:f>
        <x:v>49522</x:v>
      </x:c>
      <x:c r="DD3" s="96" t="n">
        <x:f>EDATE(DC3,1)</x:f>
        <x:v>49553</x:v>
      </x:c>
      <x:c r="DE3" s="96" t="n">
        <x:f>EDATE(DD3,1)</x:f>
        <x:v>49583</x:v>
      </x:c>
      <x:c r="DF3" s="96" t="n">
        <x:f>EDATE(DE3,1)</x:f>
        <x:v>49614</x:v>
      </x:c>
      <x:c r="DG3" s="96" t="n">
        <x:f>EDATE(DF3,1)</x:f>
        <x:v>49644</x:v>
      </x:c>
      <x:c r="DH3" s="96" t="n">
        <x:f>EDATE(DG3,1)</x:f>
        <x:v>49675</x:v>
      </x:c>
      <x:c r="DI3" s="96" t="n">
        <x:f>EDATE(DH3,1)</x:f>
        <x:v>49706</x:v>
      </x:c>
      <x:c r="DJ3" s="96" t="n">
        <x:f>EDATE(DI3,1)</x:f>
        <x:v>49735</x:v>
      </x:c>
      <x:c r="DK3" s="96" t="n">
        <x:f>EDATE(DJ3,1)</x:f>
        <x:v>49766</x:v>
      </x:c>
      <x:c r="DL3" s="96" t="n">
        <x:f>EDATE(DK3,1)</x:f>
        <x:v>49796</x:v>
      </x:c>
      <x:c r="DM3" s="96" t="n">
        <x:f>EDATE(DL3,1)</x:f>
        <x:v>49827</x:v>
      </x:c>
      <x:c r="DN3" s="96" t="n">
        <x:f>EDATE(DM3,1)</x:f>
        <x:v>49857</x:v>
      </x:c>
      <x:c r="DO3" s="96" t="n">
        <x:f>EDATE(DN3,1)</x:f>
        <x:v>49888</x:v>
      </x:c>
      <x:c r="DP3" s="96" t="n">
        <x:f>EDATE(DO3,1)</x:f>
        <x:v>49919</x:v>
      </x:c>
      <x:c r="DQ3" s="96" t="n">
        <x:f>EDATE(DP3,1)</x:f>
        <x:v>49949</x:v>
      </x:c>
      <x:c r="DR3" s="96" t="n">
        <x:f>EDATE(DQ3,1)</x:f>
        <x:v>49980</x:v>
      </x:c>
      <x:c r="DS3" s="96" t="n">
        <x:f>EDATE(DR3,1)</x:f>
        <x:v>50010</x:v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  <x:v>0.14</x:v>
      </x:c>
      <x:c r="E5" s="100" t="n">
        <x:f>MAX(0,'Вводные'!$B$34,'Вводные'!$B$33-('Вводные'!$B$33-'Вводные'!$B$34)*MIN(1,(E$4-1)/MAX(1,'Вводные'!$B$35)))</x:f>
        <x:v>0.1379166666666667</x:v>
      </x:c>
      <x:c r="F5" s="100" t="n">
        <x:f>MAX(0,'Вводные'!$B$34,'Вводные'!$B$33-('Вводные'!$B$33-'Вводные'!$B$34)*MIN(1,(F$4-1)/MAX(1,'Вводные'!$B$35)))</x:f>
        <x:v>0.13583333333333333</x:v>
      </x:c>
      <x:c r="G5" s="100" t="n">
        <x:f>MAX(0,'Вводные'!$B$34,'Вводные'!$B$33-('Вводные'!$B$33-'Вводные'!$B$34)*MIN(1,(G$4-1)/MAX(1,'Вводные'!$B$35)))</x:f>
        <x:v>0.13375</x:v>
      </x:c>
      <x:c r="H5" s="100" t="n">
        <x:f>MAX(0,'Вводные'!$B$34,'Вводные'!$B$33-('Вводные'!$B$33-'Вводные'!$B$34)*MIN(1,(H$4-1)/MAX(1,'Вводные'!$B$35)))</x:f>
        <x:v>0.13166666666666668</x:v>
      </x:c>
      <x:c r="I5" s="100" t="n">
        <x:f>MAX(0,'Вводные'!$B$34,'Вводные'!$B$33-('Вводные'!$B$33-'Вводные'!$B$34)*MIN(1,(I$4-1)/MAX(1,'Вводные'!$B$35)))</x:f>
        <x:v>0.12958333333333333</x:v>
      </x:c>
      <x:c r="J5" s="100" t="n">
        <x:f>MAX(0,'Вводные'!$B$34,'Вводные'!$B$33-('Вводные'!$B$33-'Вводные'!$B$34)*MIN(1,(J$4-1)/MAX(1,'Вводные'!$B$35)))</x:f>
        <x:v>0.1275</x:v>
      </x:c>
      <x:c r="K5" s="100" t="n">
        <x:f>MAX(0,'Вводные'!$B$34,'Вводные'!$B$33-('Вводные'!$B$33-'Вводные'!$B$34)*MIN(1,(K$4-1)/MAX(1,'Вводные'!$B$35)))</x:f>
        <x:v>0.12541666666666668</x:v>
      </x:c>
      <x:c r="L5" s="100" t="n">
        <x:f>MAX(0,'Вводные'!$B$34,'Вводные'!$B$33-('Вводные'!$B$33-'Вводные'!$B$34)*MIN(1,(L$4-1)/MAX(1,'Вводные'!$B$35)))</x:f>
        <x:v>0.12333333333333335</x:v>
      </x:c>
      <x:c r="M5" s="100" t="n">
        <x:f>MAX(0,'Вводные'!$B$34,'Вводные'!$B$33-('Вводные'!$B$33-'Вводные'!$B$34)*MIN(1,(M$4-1)/MAX(1,'Вводные'!$B$35)))</x:f>
        <x:v>0.12125000000000001</x:v>
      </x:c>
      <x:c r="N5" s="100" t="n">
        <x:f>MAX(0,'Вводные'!$B$34,'Вводные'!$B$33-('Вводные'!$B$33-'Вводные'!$B$34)*MIN(1,(N$4-1)/MAX(1,'Вводные'!$B$35)))</x:f>
        <x:v>0.11916666666666667</x:v>
      </x:c>
      <x:c r="O5" s="100" t="n">
        <x:f>MAX(0,'Вводные'!$B$34,'Вводные'!$B$33-('Вводные'!$B$33-'Вводные'!$B$34)*MIN(1,(O$4-1)/MAX(1,'Вводные'!$B$35)))</x:f>
        <x:v>0.11708333333333334</x:v>
      </x:c>
      <x:c r="P5" s="100" t="n">
        <x:f>MAX(0,'Вводные'!$B$34,'Вводные'!$B$33-('Вводные'!$B$33-'Вводные'!$B$34)*MIN(1,(P$4-1)/MAX(1,'Вводные'!$B$35)))</x:f>
        <x:v>0.115</x:v>
      </x:c>
      <x:c r="Q5" s="100" t="n">
        <x:f>MAX(0,'Вводные'!$B$34,'Вводные'!$B$33-('Вводные'!$B$33-'Вводные'!$B$34)*MIN(1,(Q$4-1)/MAX(1,'Вводные'!$B$35)))</x:f>
        <x:v>0.11291666666666667</x:v>
      </x:c>
      <x:c r="R5" s="100" t="n">
        <x:f>MAX(0,'Вводные'!$B$34,'Вводные'!$B$33-('Вводные'!$B$33-'Вводные'!$B$34)*MIN(1,(R$4-1)/MAX(1,'Вводные'!$B$35)))</x:f>
        <x:v>0.11083333333333334</x:v>
      </x:c>
      <x:c r="S5" s="100" t="n">
        <x:f>MAX(0,'Вводные'!$B$34,'Вводные'!$B$33-('Вводные'!$B$33-'Вводные'!$B$34)*MIN(1,(S$4-1)/MAX(1,'Вводные'!$B$35)))</x:f>
        <x:v>0.10875</x:v>
      </x:c>
      <x:c r="T5" s="100" t="n">
        <x:f>MAX(0,'Вводные'!$B$34,'Вводные'!$B$33-('Вводные'!$B$33-'Вводные'!$B$34)*MIN(1,(T$4-1)/MAX(1,'Вводные'!$B$35)))</x:f>
        <x:v>0.10666666666666667</x:v>
      </x:c>
      <x:c r="U5" s="100" t="n">
        <x:f>MAX(0,'Вводные'!$B$34,'Вводные'!$B$33-('Вводные'!$B$33-'Вводные'!$B$34)*MIN(1,(U$4-1)/MAX(1,'Вводные'!$B$35)))</x:f>
        <x:v>0.10458333333333333</x:v>
      </x:c>
      <x:c r="V5" s="100" t="n">
        <x:f>MAX(0,'Вводные'!$B$34,'Вводные'!$B$33-('Вводные'!$B$33-'Вводные'!$B$34)*MIN(1,(V$4-1)/MAX(1,'Вводные'!$B$35)))</x:f>
        <x:v>0.10250000000000001</x:v>
      </x:c>
      <x:c r="W5" s="100" t="n">
        <x:f>MAX(0,'Вводные'!$B$34,'Вводные'!$B$33-('Вводные'!$B$33-'Вводные'!$B$34)*MIN(1,(W$4-1)/MAX(1,'Вводные'!$B$35)))</x:f>
        <x:v>0.10041666666666667</x:v>
      </x:c>
      <x:c r="X5" s="100" t="n">
        <x:f>MAX(0,'Вводные'!$B$34,'Вводные'!$B$33-('Вводные'!$B$33-'Вводные'!$B$34)*MIN(1,(X$4-1)/MAX(1,'Вводные'!$B$35)))</x:f>
        <x:v>0.09833333333333333</x:v>
      </x:c>
      <x:c r="Y5" s="100" t="n">
        <x:f>MAX(0,'Вводные'!$B$34,'Вводные'!$B$33-('Вводные'!$B$33-'Вводные'!$B$34)*MIN(1,(Y$4-1)/MAX(1,'Вводные'!$B$35)))</x:f>
        <x:v>0.09625</x:v>
      </x:c>
      <x:c r="Z5" s="100" t="n">
        <x:f>MAX(0,'Вводные'!$B$34,'Вводные'!$B$33-('Вводные'!$B$33-'Вводные'!$B$34)*MIN(1,(Z$4-1)/MAX(1,'Вводные'!$B$35)))</x:f>
        <x:v>0.09416666666666668</x:v>
      </x:c>
      <x:c r="AA5" s="100" t="n">
        <x:f>MAX(0,'Вводные'!$B$34,'Вводные'!$B$33-('Вводные'!$B$33-'Вводные'!$B$34)*MIN(1,(AA$4-1)/MAX(1,'Вводные'!$B$35)))</x:f>
        <x:v>0.09208333333333332</x:v>
      </x:c>
      <x:c r="AB5" s="100" t="n">
        <x:f>MAX(0,'Вводные'!$B$34,'Вводные'!$B$33-('Вводные'!$B$33-'Вводные'!$B$34)*MIN(1,(AB$4-1)/MAX(1,'Вводные'!$B$35)))</x:f>
        <x:v>0.09</x:v>
      </x:c>
      <x:c r="AC5" s="100" t="n">
        <x:f>MAX(0,'Вводные'!$B$34,'Вводные'!$B$33-('Вводные'!$B$33-'Вводные'!$B$34)*MIN(1,(AC$4-1)/MAX(1,'Вводные'!$B$35)))</x:f>
        <x:v>0.09</x:v>
      </x:c>
      <x:c r="AD5" s="100" t="n">
        <x:f>MAX(0,'Вводные'!$B$34,'Вводные'!$B$33-('Вводные'!$B$33-'Вводные'!$B$34)*MIN(1,(AD$4-1)/MAX(1,'Вводные'!$B$35)))</x:f>
        <x:v>0.09</x:v>
      </x:c>
      <x:c r="AE5" s="100" t="n">
        <x:f>MAX(0,'Вводные'!$B$34,'Вводные'!$B$33-('Вводные'!$B$33-'Вводные'!$B$34)*MIN(1,(AE$4-1)/MAX(1,'Вводные'!$B$35)))</x:f>
        <x:v>0.09</x:v>
      </x:c>
      <x:c r="AF5" s="100" t="n">
        <x:f>MAX(0,'Вводные'!$B$34,'Вводные'!$B$33-('Вводные'!$B$33-'Вводные'!$B$34)*MIN(1,(AF$4-1)/MAX(1,'Вводные'!$B$35)))</x:f>
        <x:v>0.09</x:v>
      </x:c>
      <x:c r="AG5" s="100" t="n">
        <x:f>MAX(0,'Вводные'!$B$34,'Вводные'!$B$33-('Вводные'!$B$33-'Вводные'!$B$34)*MIN(1,(AG$4-1)/MAX(1,'Вводные'!$B$35)))</x:f>
        <x:v>0.09</x:v>
      </x:c>
      <x:c r="AH5" s="100" t="n">
        <x:f>MAX(0,'Вводные'!$B$34,'Вводные'!$B$33-('Вводные'!$B$33-'Вводные'!$B$34)*MIN(1,(AH$4-1)/MAX(1,'Вводные'!$B$35)))</x:f>
        <x:v>0.09</x:v>
      </x:c>
      <x:c r="AI5" s="100" t="n">
        <x:f>MAX(0,'Вводные'!$B$34,'Вводные'!$B$33-('Вводные'!$B$33-'Вводные'!$B$34)*MIN(1,(AI$4-1)/MAX(1,'Вводные'!$B$35)))</x:f>
        <x:v>0.09</x:v>
      </x:c>
      <x:c r="AJ5" s="100" t="n">
        <x:f>MAX(0,'Вводные'!$B$34,'Вводные'!$B$33-('Вводные'!$B$33-'Вводные'!$B$34)*MIN(1,(AJ$4-1)/MAX(1,'Вводные'!$B$35)))</x:f>
        <x:v>0.09</x:v>
      </x:c>
      <x:c r="AK5" s="100" t="n">
        <x:f>MAX(0,'Вводные'!$B$34,'Вводные'!$B$33-('Вводные'!$B$33-'Вводные'!$B$34)*MIN(1,(AK$4-1)/MAX(1,'Вводные'!$B$35)))</x:f>
        <x:v>0.09</x:v>
      </x:c>
      <x:c r="AL5" s="100" t="n">
        <x:f>MAX(0,'Вводные'!$B$34,'Вводные'!$B$33-('Вводные'!$B$33-'Вводные'!$B$34)*MIN(1,(AL$4-1)/MAX(1,'Вводные'!$B$35)))</x:f>
        <x:v>0.09</x:v>
      </x:c>
      <x:c r="AM5" s="100" t="n">
        <x:f>MAX(0,'Вводные'!$B$34,'Вводные'!$B$33-('Вводные'!$B$33-'Вводные'!$B$34)*MIN(1,(AM$4-1)/MAX(1,'Вводные'!$B$35)))</x:f>
        <x:v>0.09</x:v>
      </x:c>
      <x:c r="AN5" s="100" t="n">
        <x:f>MAX(0,'Вводные'!$B$34,'Вводные'!$B$33-('Вводные'!$B$33-'Вводные'!$B$34)*MIN(1,(AN$4-1)/MAX(1,'Вводные'!$B$35)))</x:f>
        <x:v>0.09</x:v>
      </x:c>
      <x:c r="AO5" s="100" t="n">
        <x:f>MAX(0,'Вводные'!$B$34,'Вводные'!$B$33-('Вводные'!$B$33-'Вводные'!$B$34)*MIN(1,(AO$4-1)/MAX(1,'Вводные'!$B$35)))</x:f>
        <x:v>0.09</x:v>
      </x:c>
      <x:c r="AP5" s="100" t="n">
        <x:f>MAX(0,'Вводные'!$B$34,'Вводные'!$B$33-('Вводные'!$B$33-'Вводные'!$B$34)*MIN(1,(AP$4-1)/MAX(1,'Вводные'!$B$35)))</x:f>
        <x:v>0.09</x:v>
      </x:c>
      <x:c r="AQ5" s="100" t="n">
        <x:f>MAX(0,'Вводные'!$B$34,'Вводные'!$B$33-('Вводные'!$B$33-'Вводные'!$B$34)*MIN(1,(AQ$4-1)/MAX(1,'Вводные'!$B$35)))</x:f>
        <x:v>0.09</x:v>
      </x:c>
      <x:c r="AR5" s="100" t="n">
        <x:f>MAX(0,'Вводные'!$B$34,'Вводные'!$B$33-('Вводные'!$B$33-'Вводные'!$B$34)*MIN(1,(AR$4-1)/MAX(1,'Вводные'!$B$35)))</x:f>
        <x:v>0.09</x:v>
      </x:c>
      <x:c r="AS5" s="100" t="n">
        <x:f>MAX(0,'Вводные'!$B$34,'Вводные'!$B$33-('Вводные'!$B$33-'Вводные'!$B$34)*MIN(1,(AS$4-1)/MAX(1,'Вводные'!$B$35)))</x:f>
        <x:v>0.09</x:v>
      </x:c>
      <x:c r="AT5" s="100" t="n">
        <x:f>MAX(0,'Вводные'!$B$34,'Вводные'!$B$33-('Вводные'!$B$33-'Вводные'!$B$34)*MIN(1,(AT$4-1)/MAX(1,'Вводные'!$B$35)))</x:f>
        <x:v>0.09</x:v>
      </x:c>
      <x:c r="AU5" s="100" t="n">
        <x:f>MAX(0,'Вводные'!$B$34,'Вводные'!$B$33-('Вводные'!$B$33-'Вводные'!$B$34)*MIN(1,(AU$4-1)/MAX(1,'Вводные'!$B$35)))</x:f>
        <x:v>0.09</x:v>
      </x:c>
      <x:c r="AV5" s="100" t="n">
        <x:f>MAX(0,'Вводные'!$B$34,'Вводные'!$B$33-('Вводные'!$B$33-'Вводные'!$B$34)*MIN(1,(AV$4-1)/MAX(1,'Вводные'!$B$35)))</x:f>
        <x:v>0.09</x:v>
      </x:c>
      <x:c r="AW5" s="100" t="n">
        <x:f>MAX(0,'Вводные'!$B$34,'Вводные'!$B$33-('Вводные'!$B$33-'Вводные'!$B$34)*MIN(1,(AW$4-1)/MAX(1,'Вводные'!$B$35)))</x:f>
        <x:v>0.09</x:v>
      </x:c>
      <x:c r="AX5" s="100" t="n">
        <x:f>MAX(0,'Вводные'!$B$34,'Вводные'!$B$33-('Вводные'!$B$33-'Вводные'!$B$34)*MIN(1,(AX$4-1)/MAX(1,'Вводные'!$B$35)))</x:f>
        <x:v>0.09</x:v>
      </x:c>
      <x:c r="AY5" s="100" t="n">
        <x:f>MAX(0,'Вводные'!$B$34,'Вводные'!$B$33-('Вводные'!$B$33-'Вводные'!$B$34)*MIN(1,(AY$4-1)/MAX(1,'Вводные'!$B$35)))</x:f>
        <x:v>0.09</x:v>
      </x:c>
      <x:c r="AZ5" s="100" t="n">
        <x:f>MAX(0,'Вводные'!$B$34,'Вводные'!$B$33-('Вводные'!$B$33-'Вводные'!$B$34)*MIN(1,(AZ$4-1)/MAX(1,'Вводные'!$B$35)))</x:f>
        <x:v>0.09</x:v>
      </x:c>
      <x:c r="BA5" s="100" t="n">
        <x:f>MAX(0,'Вводные'!$B$34,'Вводные'!$B$33-('Вводные'!$B$33-'Вводные'!$B$34)*MIN(1,(BA$4-1)/MAX(1,'Вводные'!$B$35)))</x:f>
        <x:v>0.09</x:v>
      </x:c>
      <x:c r="BB5" s="100" t="n">
        <x:f>MAX(0,'Вводные'!$B$34,'Вводные'!$B$33-('Вводные'!$B$33-'Вводные'!$B$34)*MIN(1,(BB$4-1)/MAX(1,'Вводные'!$B$35)))</x:f>
        <x:v>0.09</x:v>
      </x:c>
      <x:c r="BC5" s="100" t="n">
        <x:f>MAX(0,'Вводные'!$B$34,'Вводные'!$B$33-('Вводные'!$B$33-'Вводные'!$B$34)*MIN(1,(BC$4-1)/MAX(1,'Вводные'!$B$35)))</x:f>
        <x:v>0.09</x:v>
      </x:c>
      <x:c r="BD5" s="100" t="n">
        <x:f>MAX(0,'Вводные'!$B$34,'Вводные'!$B$33-('Вводные'!$B$33-'Вводные'!$B$34)*MIN(1,(BD$4-1)/MAX(1,'Вводные'!$B$35)))</x:f>
        <x:v>0.09</x:v>
      </x:c>
      <x:c r="BE5" s="100" t="n">
        <x:f>MAX(0,'Вводные'!$B$34,'Вводные'!$B$33-('Вводные'!$B$33-'Вводные'!$B$34)*MIN(1,(BE$4-1)/MAX(1,'Вводные'!$B$35)))</x:f>
        <x:v>0.09</x:v>
      </x:c>
      <x:c r="BF5" s="100" t="n">
        <x:f>MAX(0,'Вводные'!$B$34,'Вводные'!$B$33-('Вводные'!$B$33-'Вводные'!$B$34)*MIN(1,(BF$4-1)/MAX(1,'Вводные'!$B$35)))</x:f>
        <x:v>0.09</x:v>
      </x:c>
      <x:c r="BG5" s="100" t="n">
        <x:f>MAX(0,'Вводные'!$B$34,'Вводные'!$B$33-('Вводные'!$B$33-'Вводные'!$B$34)*MIN(1,(BG$4-1)/MAX(1,'Вводные'!$B$35)))</x:f>
        <x:v>0.09</x:v>
      </x:c>
      <x:c r="BH5" s="100" t="n">
        <x:f>MAX(0,'Вводные'!$B$34,'Вводные'!$B$33-('Вводные'!$B$33-'Вводные'!$B$34)*MIN(1,(BH$4-1)/MAX(1,'Вводные'!$B$35)))</x:f>
        <x:v>0.09</x:v>
      </x:c>
      <x:c r="BI5" s="100" t="n">
        <x:f>MAX(0,'Вводные'!$B$34,'Вводные'!$B$33-('Вводные'!$B$33-'Вводные'!$B$34)*MIN(1,(BI$4-1)/MAX(1,'Вводные'!$B$35)))</x:f>
        <x:v>0.09</x:v>
      </x:c>
      <x:c r="BJ5" s="100" t="n">
        <x:f>MAX(0,'Вводные'!$B$34,'Вводные'!$B$33-('Вводные'!$B$33-'Вводные'!$B$34)*MIN(1,(BJ$4-1)/MAX(1,'Вводные'!$B$35)))</x:f>
        <x:v>0.09</x:v>
      </x:c>
      <x:c r="BK5" s="100" t="n">
        <x:f>MAX(0,'Вводные'!$B$34,'Вводные'!$B$33-('Вводные'!$B$33-'Вводные'!$B$34)*MIN(1,(BK$4-1)/MAX(1,'Вводные'!$B$35)))</x:f>
        <x:v>0.09</x:v>
      </x:c>
      <x:c r="BL5" s="100" t="n">
        <x:f>MAX(0,'Вводные'!$B$34,'Вводные'!$B$33-('Вводные'!$B$33-'Вводные'!$B$34)*MIN(1,(BL$4-1)/MAX(1,'Вводные'!$B$35)))</x:f>
        <x:v>0.09</x:v>
      </x:c>
      <x:c r="BM5" s="100" t="n">
        <x:f>MAX(0,'Вводные'!$B$34,'Вводные'!$B$33-('Вводные'!$B$33-'Вводные'!$B$34)*MIN(1,(BM$4-1)/MAX(1,'Вводные'!$B$35)))</x:f>
        <x:v>0.09</x:v>
      </x:c>
      <x:c r="BN5" s="100" t="n">
        <x:f>MAX(0,'Вводные'!$B$34,'Вводные'!$B$33-('Вводные'!$B$33-'Вводные'!$B$34)*MIN(1,(BN$4-1)/MAX(1,'Вводные'!$B$35)))</x:f>
        <x:v>0.09</x:v>
      </x:c>
      <x:c r="BO5" s="100" t="n">
        <x:f>MAX(0,'Вводные'!$B$34,'Вводные'!$B$33-('Вводные'!$B$33-'Вводные'!$B$34)*MIN(1,(BO$4-1)/MAX(1,'Вводные'!$B$35)))</x:f>
        <x:v>0.09</x:v>
      </x:c>
      <x:c r="BP5" s="100" t="n">
        <x:f>MAX(0,'Вводные'!$B$34,'Вводные'!$B$33-('Вводные'!$B$33-'Вводные'!$B$34)*MIN(1,(BP$4-1)/MAX(1,'Вводные'!$B$35)))</x:f>
        <x:v>0.09</x:v>
      </x:c>
      <x:c r="BQ5" s="100" t="n">
        <x:f>MAX(0,'Вводные'!$B$34,'Вводные'!$B$33-('Вводные'!$B$33-'Вводные'!$B$34)*MIN(1,(BQ$4-1)/MAX(1,'Вводные'!$B$35)))</x:f>
        <x:v>0.09</x:v>
      </x:c>
      <x:c r="BR5" s="100" t="n">
        <x:f>MAX(0,'Вводные'!$B$34,'Вводные'!$B$33-('Вводные'!$B$33-'Вводные'!$B$34)*MIN(1,(BR$4-1)/MAX(1,'Вводные'!$B$35)))</x:f>
        <x:v>0.09</x:v>
      </x:c>
      <x:c r="BS5" s="100" t="n">
        <x:f>MAX(0,'Вводные'!$B$34,'Вводные'!$B$33-('Вводные'!$B$33-'Вводные'!$B$34)*MIN(1,(BS$4-1)/MAX(1,'Вводные'!$B$35)))</x:f>
        <x:v>0.09</x:v>
      </x:c>
      <x:c r="BT5" s="100" t="n">
        <x:f>MAX(0,'Вводные'!$B$34,'Вводные'!$B$33-('Вводные'!$B$33-'Вводные'!$B$34)*MIN(1,(BT$4-1)/MAX(1,'Вводные'!$B$35)))</x:f>
        <x:v>0.09</x:v>
      </x:c>
      <x:c r="BU5" s="100" t="n">
        <x:f>MAX(0,'Вводные'!$B$34,'Вводные'!$B$33-('Вводные'!$B$33-'Вводные'!$B$34)*MIN(1,(BU$4-1)/MAX(1,'Вводные'!$B$35)))</x:f>
        <x:v>0.09</x:v>
      </x:c>
      <x:c r="BV5" s="100" t="n">
        <x:f>MAX(0,'Вводные'!$B$34,'Вводные'!$B$33-('Вводные'!$B$33-'Вводные'!$B$34)*MIN(1,(BV$4-1)/MAX(1,'Вводные'!$B$35)))</x:f>
        <x:v>0.09</x:v>
      </x:c>
      <x:c r="BW5" s="100" t="n">
        <x:f>MAX(0,'Вводные'!$B$34,'Вводные'!$B$33-('Вводные'!$B$33-'Вводные'!$B$34)*MIN(1,(BW$4-1)/MAX(1,'Вводные'!$B$35)))</x:f>
        <x:v>0.09</x:v>
      </x:c>
      <x:c r="BX5" s="100" t="n">
        <x:f>MAX(0,'Вводные'!$B$34,'Вводные'!$B$33-('Вводные'!$B$33-'Вводные'!$B$34)*MIN(1,(BX$4-1)/MAX(1,'Вводные'!$B$35)))</x:f>
        <x:v>0.09</x:v>
      </x:c>
      <x:c r="BY5" s="100" t="n">
        <x:f>MAX(0,'Вводные'!$B$34,'Вводные'!$B$33-('Вводные'!$B$33-'Вводные'!$B$34)*MIN(1,(BY$4-1)/MAX(1,'Вводные'!$B$35)))</x:f>
        <x:v>0.09</x:v>
      </x:c>
      <x:c r="BZ5" s="100" t="n">
        <x:f>MAX(0,'Вводные'!$B$34,'Вводные'!$B$33-('Вводные'!$B$33-'Вводные'!$B$34)*MIN(1,(BZ$4-1)/MAX(1,'Вводные'!$B$35)))</x:f>
        <x:v>0.09</x:v>
      </x:c>
      <x:c r="CA5" s="100" t="n">
        <x:f>MAX(0,'Вводные'!$B$34,'Вводные'!$B$33-('Вводные'!$B$33-'Вводные'!$B$34)*MIN(1,(CA$4-1)/MAX(1,'Вводные'!$B$35)))</x:f>
        <x:v>0.09</x:v>
      </x:c>
      <x:c r="CB5" s="100" t="n">
        <x:f>MAX(0,'Вводные'!$B$34,'Вводные'!$B$33-('Вводные'!$B$33-'Вводные'!$B$34)*MIN(1,(CB$4-1)/MAX(1,'Вводные'!$B$35)))</x:f>
        <x:v>0.09</x:v>
      </x:c>
      <x:c r="CC5" s="100" t="n">
        <x:f>MAX(0,'Вводные'!$B$34,'Вводные'!$B$33-('Вводные'!$B$33-'Вводные'!$B$34)*MIN(1,(CC$4-1)/MAX(1,'Вводные'!$B$35)))</x:f>
        <x:v>0.09</x:v>
      </x:c>
      <x:c r="CD5" s="100" t="n">
        <x:f>MAX(0,'Вводные'!$B$34,'Вводные'!$B$33-('Вводные'!$B$33-'Вводные'!$B$34)*MIN(1,(CD$4-1)/MAX(1,'Вводные'!$B$35)))</x:f>
        <x:v>0.09</x:v>
      </x:c>
      <x:c r="CE5" s="100" t="n">
        <x:f>MAX(0,'Вводные'!$B$34,'Вводные'!$B$33-('Вводные'!$B$33-'Вводные'!$B$34)*MIN(1,(CE$4-1)/MAX(1,'Вводные'!$B$35)))</x:f>
        <x:v>0.09</x:v>
      </x:c>
      <x:c r="CF5" s="100" t="n">
        <x:f>MAX(0,'Вводные'!$B$34,'Вводные'!$B$33-('Вводные'!$B$33-'Вводные'!$B$34)*MIN(1,(CF$4-1)/MAX(1,'Вводные'!$B$35)))</x:f>
        <x:v>0.09</x:v>
      </x:c>
      <x:c r="CG5" s="100" t="n">
        <x:f>MAX(0,'Вводные'!$B$34,'Вводные'!$B$33-('Вводные'!$B$33-'Вводные'!$B$34)*MIN(1,(CG$4-1)/MAX(1,'Вводные'!$B$35)))</x:f>
        <x:v>0.09</x:v>
      </x:c>
      <x:c r="CH5" s="100" t="n">
        <x:f>MAX(0,'Вводные'!$B$34,'Вводные'!$B$33-('Вводные'!$B$33-'Вводные'!$B$34)*MIN(1,(CH$4-1)/MAX(1,'Вводные'!$B$35)))</x:f>
        <x:v>0.09</x:v>
      </x:c>
      <x:c r="CI5" s="100" t="n">
        <x:f>MAX(0,'Вводные'!$B$34,'Вводные'!$B$33-('Вводные'!$B$33-'Вводные'!$B$34)*MIN(1,(CI$4-1)/MAX(1,'Вводные'!$B$35)))</x:f>
        <x:v>0.09</x:v>
      </x:c>
      <x:c r="CJ5" s="100" t="n">
        <x:f>MAX(0,'Вводные'!$B$34,'Вводные'!$B$33-('Вводные'!$B$33-'Вводные'!$B$34)*MIN(1,(CJ$4-1)/MAX(1,'Вводные'!$B$35)))</x:f>
        <x:v>0.09</x:v>
      </x:c>
      <x:c r="CK5" s="100" t="n">
        <x:f>MAX(0,'Вводные'!$B$34,'Вводные'!$B$33-('Вводные'!$B$33-'Вводные'!$B$34)*MIN(1,(CK$4-1)/MAX(1,'Вводные'!$B$35)))</x:f>
        <x:v>0.09</x:v>
      </x:c>
      <x:c r="CL5" s="100" t="n">
        <x:f>MAX(0,'Вводные'!$B$34,'Вводные'!$B$33-('Вводные'!$B$33-'Вводные'!$B$34)*MIN(1,(CL$4-1)/MAX(1,'Вводные'!$B$35)))</x:f>
        <x:v>0.09</x:v>
      </x:c>
      <x:c r="CM5" s="100" t="n">
        <x:f>MAX(0,'Вводные'!$B$34,'Вводные'!$B$33-('Вводные'!$B$33-'Вводные'!$B$34)*MIN(1,(CM$4-1)/MAX(1,'Вводные'!$B$35)))</x:f>
        <x:v>0.09</x:v>
      </x:c>
      <x:c r="CN5" s="100" t="n">
        <x:f>MAX(0,'Вводные'!$B$34,'Вводные'!$B$33-('Вводные'!$B$33-'Вводные'!$B$34)*MIN(1,(CN$4-1)/MAX(1,'Вводные'!$B$35)))</x:f>
        <x:v>0.09</x:v>
      </x:c>
      <x:c r="CO5" s="100" t="n">
        <x:f>MAX(0,'Вводные'!$B$34,'Вводные'!$B$33-('Вводные'!$B$33-'Вводные'!$B$34)*MIN(1,(CO$4-1)/MAX(1,'Вводные'!$B$35)))</x:f>
        <x:v>0.09</x:v>
      </x:c>
      <x:c r="CP5" s="100" t="n">
        <x:f>MAX(0,'Вводные'!$B$34,'Вводные'!$B$33-('Вводные'!$B$33-'Вводные'!$B$34)*MIN(1,(CP$4-1)/MAX(1,'Вводные'!$B$35)))</x:f>
        <x:v>0.09</x:v>
      </x:c>
      <x:c r="CQ5" s="100" t="n">
        <x:f>MAX(0,'Вводные'!$B$34,'Вводные'!$B$33-('Вводные'!$B$33-'Вводные'!$B$34)*MIN(1,(CQ$4-1)/MAX(1,'Вводные'!$B$35)))</x:f>
        <x:v>0.09</x:v>
      </x:c>
      <x:c r="CR5" s="100" t="n">
        <x:f>MAX(0,'Вводные'!$B$34,'Вводные'!$B$33-('Вводные'!$B$33-'Вводные'!$B$34)*MIN(1,(CR$4-1)/MAX(1,'Вводные'!$B$35)))</x:f>
        <x:v>0.09</x:v>
      </x:c>
      <x:c r="CS5" s="100" t="n">
        <x:f>MAX(0,'Вводные'!$B$34,'Вводные'!$B$33-('Вводные'!$B$33-'Вводные'!$B$34)*MIN(1,(CS$4-1)/MAX(1,'Вводные'!$B$35)))</x:f>
        <x:v>0.09</x:v>
      </x:c>
      <x:c r="CT5" s="100" t="n">
        <x:f>MAX(0,'Вводные'!$B$34,'Вводные'!$B$33-('Вводные'!$B$33-'Вводные'!$B$34)*MIN(1,(CT$4-1)/MAX(1,'Вводные'!$B$35)))</x:f>
        <x:v>0.09</x:v>
      </x:c>
      <x:c r="CU5" s="100" t="n">
        <x:f>MAX(0,'Вводные'!$B$34,'Вводные'!$B$33-('Вводные'!$B$33-'Вводные'!$B$34)*MIN(1,(CU$4-1)/MAX(1,'Вводные'!$B$35)))</x:f>
        <x:v>0.09</x:v>
      </x:c>
      <x:c r="CV5" s="100" t="n">
        <x:f>MAX(0,'Вводные'!$B$34,'Вводные'!$B$33-('Вводные'!$B$33-'Вводные'!$B$34)*MIN(1,(CV$4-1)/MAX(1,'Вводные'!$B$35)))</x:f>
        <x:v>0.09</x:v>
      </x:c>
      <x:c r="CW5" s="100" t="n">
        <x:f>MAX(0,'Вводные'!$B$34,'Вводные'!$B$33-('Вводные'!$B$33-'Вводные'!$B$34)*MIN(1,(CW$4-1)/MAX(1,'Вводные'!$B$35)))</x:f>
        <x:v>0.09</x:v>
      </x:c>
      <x:c r="CX5" s="100" t="n">
        <x:f>MAX(0,'Вводные'!$B$34,'Вводные'!$B$33-('Вводные'!$B$33-'Вводные'!$B$34)*MIN(1,(CX$4-1)/MAX(1,'Вводные'!$B$35)))</x:f>
        <x:v>0.09</x:v>
      </x:c>
      <x:c r="CY5" s="100" t="n">
        <x:f>MAX(0,'Вводные'!$B$34,'Вводные'!$B$33-('Вводные'!$B$33-'Вводные'!$B$34)*MIN(1,(CY$4-1)/MAX(1,'Вводные'!$B$35)))</x:f>
        <x:v>0.09</x:v>
      </x:c>
      <x:c r="CZ5" s="100" t="n">
        <x:f>MAX(0,'Вводные'!$B$34,'Вводные'!$B$33-('Вводные'!$B$33-'Вводные'!$B$34)*MIN(1,(CZ$4-1)/MAX(1,'Вводные'!$B$35)))</x:f>
        <x:v>0.09</x:v>
      </x:c>
      <x:c r="DA5" s="100" t="n">
        <x:f>MAX(0,'Вводные'!$B$34,'Вводные'!$B$33-('Вводные'!$B$33-'Вводные'!$B$34)*MIN(1,(DA$4-1)/MAX(1,'Вводные'!$B$35)))</x:f>
        <x:v>0.09</x:v>
      </x:c>
      <x:c r="DB5" s="100" t="n">
        <x:f>MAX(0,'Вводные'!$B$34,'Вводные'!$B$33-('Вводные'!$B$33-'Вводные'!$B$34)*MIN(1,(DB$4-1)/MAX(1,'Вводные'!$B$35)))</x:f>
        <x:v>0.09</x:v>
      </x:c>
      <x:c r="DC5" s="100" t="n">
        <x:f>MAX(0,'Вводные'!$B$34,'Вводные'!$B$33-('Вводные'!$B$33-'Вводные'!$B$34)*MIN(1,(DC$4-1)/MAX(1,'Вводные'!$B$35)))</x:f>
        <x:v>0.09</x:v>
      </x:c>
      <x:c r="DD5" s="100" t="n">
        <x:f>MAX(0,'Вводные'!$B$34,'Вводные'!$B$33-('Вводные'!$B$33-'Вводные'!$B$34)*MIN(1,(DD$4-1)/MAX(1,'Вводные'!$B$35)))</x:f>
        <x:v>0.09</x:v>
      </x:c>
      <x:c r="DE5" s="100" t="n">
        <x:f>MAX(0,'Вводные'!$B$34,'Вводные'!$B$33-('Вводные'!$B$33-'Вводные'!$B$34)*MIN(1,(DE$4-1)/MAX(1,'Вводные'!$B$35)))</x:f>
        <x:v>0.09</x:v>
      </x:c>
      <x:c r="DF5" s="100" t="n">
        <x:f>MAX(0,'Вводные'!$B$34,'Вводные'!$B$33-('Вводные'!$B$33-'Вводные'!$B$34)*MIN(1,(DF$4-1)/MAX(1,'Вводные'!$B$35)))</x:f>
        <x:v>0.09</x:v>
      </x:c>
      <x:c r="DG5" s="100" t="n">
        <x:f>MAX(0,'Вводные'!$B$34,'Вводные'!$B$33-('Вводные'!$B$33-'Вводные'!$B$34)*MIN(1,(DG$4-1)/MAX(1,'Вводные'!$B$35)))</x:f>
        <x:v>0.09</x:v>
      </x:c>
      <x:c r="DH5" s="100" t="n">
        <x:f>MAX(0,'Вводные'!$B$34,'Вводные'!$B$33-('Вводные'!$B$33-'Вводные'!$B$34)*MIN(1,(DH$4-1)/MAX(1,'Вводные'!$B$35)))</x:f>
        <x:v>0.09</x:v>
      </x:c>
      <x:c r="DI5" s="100" t="n">
        <x:f>MAX(0,'Вводные'!$B$34,'Вводные'!$B$33-('Вводные'!$B$33-'Вводные'!$B$34)*MIN(1,(DI$4-1)/MAX(1,'Вводные'!$B$35)))</x:f>
        <x:v>0.09</x:v>
      </x:c>
      <x:c r="DJ5" s="100" t="n">
        <x:f>MAX(0,'Вводные'!$B$34,'Вводные'!$B$33-('Вводные'!$B$33-'Вводные'!$B$34)*MIN(1,(DJ$4-1)/MAX(1,'Вводные'!$B$35)))</x:f>
        <x:v>0.09</x:v>
      </x:c>
      <x:c r="DK5" s="100" t="n">
        <x:f>MAX(0,'Вводные'!$B$34,'Вводные'!$B$33-('Вводные'!$B$33-'Вводные'!$B$34)*MIN(1,(DK$4-1)/MAX(1,'Вводные'!$B$35)))</x:f>
        <x:v>0.09</x:v>
      </x:c>
      <x:c r="DL5" s="100" t="n">
        <x:f>MAX(0,'Вводные'!$B$34,'Вводные'!$B$33-('Вводные'!$B$33-'Вводные'!$B$34)*MIN(1,(DL$4-1)/MAX(1,'Вводные'!$B$35)))</x:f>
        <x:v>0.09</x:v>
      </x:c>
      <x:c r="DM5" s="100" t="n">
        <x:f>MAX(0,'Вводные'!$B$34,'Вводные'!$B$33-('Вводные'!$B$33-'Вводные'!$B$34)*MIN(1,(DM$4-1)/MAX(1,'Вводные'!$B$35)))</x:f>
        <x:v>0.09</x:v>
      </x:c>
      <x:c r="DN5" s="100" t="n">
        <x:f>MAX(0,'Вводные'!$B$34,'Вводные'!$B$33-('Вводные'!$B$33-'Вводные'!$B$34)*MIN(1,(DN$4-1)/MAX(1,'Вводные'!$B$35)))</x:f>
        <x:v>0.09</x:v>
      </x:c>
      <x:c r="DO5" s="100" t="n">
        <x:f>MAX(0,'Вводные'!$B$34,'Вводные'!$B$33-('Вводные'!$B$33-'Вводные'!$B$34)*MIN(1,(DO$4-1)/MAX(1,'Вводные'!$B$35)))</x:f>
        <x:v>0.09</x:v>
      </x:c>
      <x:c r="DP5" s="100" t="n">
        <x:f>MAX(0,'Вводные'!$B$34,'Вводные'!$B$33-('Вводные'!$B$33-'Вводные'!$B$34)*MIN(1,(DP$4-1)/MAX(1,'Вводные'!$B$35)))</x:f>
        <x:v>0.09</x:v>
      </x:c>
      <x:c r="DQ5" s="100" t="n">
        <x:f>MAX(0,'Вводные'!$B$34,'Вводные'!$B$33-('Вводные'!$B$33-'Вводные'!$B$34)*MIN(1,(DQ$4-1)/MAX(1,'Вводные'!$B$35)))</x:f>
        <x:v>0.09</x:v>
      </x:c>
      <x:c r="DR5" s="100" t="n">
        <x:f>MAX(0,'Вводные'!$B$34,'Вводные'!$B$33-('Вводные'!$B$33-'Вводные'!$B$34)*MIN(1,(DR$4-1)/MAX(1,'Вводные'!$B$35)))</x:f>
        <x:v>0.09</x:v>
      </x:c>
      <x:c r="DS5" s="100" t="n">
        <x:f>MAX(0,'Вводные'!$B$34,'Вводные'!$B$33-('Вводные'!$B$33-'Вводные'!$B$34)*MIN(1,(DS$4-1)/MAX(1,'Вводные'!$B$35)))</x:f>
        <x:v>0.09</x:v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  <x:v>0.2</x:v>
      </x:c>
      <x:c r="E6" s="100" t="n">
        <x:f>E5+'Вводные'!$B$25</x:f>
        <x:v>0.19791666666666669</x:v>
      </x:c>
      <x:c r="F6" s="100" t="n">
        <x:f>F5+'Вводные'!$B$25</x:f>
        <x:v>0.19583333333333333</x:v>
      </x:c>
      <x:c r="G6" s="100" t="n">
        <x:f>G5+'Вводные'!$B$25</x:f>
        <x:v>0.19375</x:v>
      </x:c>
      <x:c r="H6" s="100" t="n">
        <x:f>H5+'Вводные'!$B$25</x:f>
        <x:v>0.19166666666666668</x:v>
      </x:c>
      <x:c r="I6" s="100" t="n">
        <x:f>I5+'Вводные'!$B$25</x:f>
        <x:v>0.18958333333333333</x:v>
      </x:c>
      <x:c r="J6" s="100" t="n">
        <x:f>J5+'Вводные'!$B$25</x:f>
        <x:v>0.1875</x:v>
      </x:c>
      <x:c r="K6" s="100" t="n">
        <x:f>K5+'Вводные'!$B$25</x:f>
        <x:v>0.18541666666666667</x:v>
      </x:c>
      <x:c r="L6" s="100" t="n">
        <x:f>L5+'Вводные'!$B$25</x:f>
        <x:v>0.18333333333333335</x:v>
      </x:c>
      <x:c r="M6" s="100" t="n">
        <x:f>M5+'Вводные'!$B$25</x:f>
        <x:v>0.18125000000000002</x:v>
      </x:c>
      <x:c r="N6" s="100" t="n">
        <x:f>N5+'Вводные'!$B$25</x:f>
        <x:v>0.17916666666666667</x:v>
      </x:c>
      <x:c r="O6" s="100" t="n">
        <x:f>O5+'Вводные'!$B$25</x:f>
        <x:v>0.17708333333333334</x:v>
      </x:c>
      <x:c r="P6" s="100" t="n">
        <x:f>P5+'Вводные'!$B$25</x:f>
        <x:v>0.175</x:v>
      </x:c>
      <x:c r="Q6" s="100" t="n">
        <x:f>Q5+'Вводные'!$B$25</x:f>
        <x:v>0.17291666666666666</x:v>
      </x:c>
      <x:c r="R6" s="100" t="n">
        <x:f>R5+'Вводные'!$B$25</x:f>
        <x:v>0.17083333333333334</x:v>
      </x:c>
      <x:c r="S6" s="100" t="n">
        <x:f>S5+'Вводные'!$B$25</x:f>
        <x:v>0.16875</x:v>
      </x:c>
      <x:c r="T6" s="100" t="n">
        <x:f>T5+'Вводные'!$B$25</x:f>
        <x:v>0.16666666666666669</x:v>
      </x:c>
      <x:c r="U6" s="100" t="n">
        <x:f>U5+'Вводные'!$B$25</x:f>
        <x:v>0.16458333333333333</x:v>
      </x:c>
      <x:c r="V6" s="100" t="n">
        <x:f>V5+'Вводные'!$B$25</x:f>
        <x:v>0.1625</x:v>
      </x:c>
      <x:c r="W6" s="100" t="n">
        <x:f>W5+'Вводные'!$B$25</x:f>
        <x:v>0.16041666666666665</x:v>
      </x:c>
      <x:c r="X6" s="100" t="n">
        <x:f>X5+'Вводные'!$B$25</x:f>
        <x:v>0.15833333333333333</x:v>
      </x:c>
      <x:c r="Y6" s="100" t="n">
        <x:f>Y5+'Вводные'!$B$25</x:f>
        <x:v>0.15625</x:v>
      </x:c>
      <x:c r="Z6" s="100" t="n">
        <x:f>Z5+'Вводные'!$B$25</x:f>
        <x:v>0.15416666666666667</x:v>
      </x:c>
      <x:c r="AA6" s="100" t="n">
        <x:f>AA5+'Вводные'!$B$25</x:f>
        <x:v>0.15208333333333332</x:v>
      </x:c>
      <x:c r="AB6" s="100" t="n">
        <x:f>AB5+'Вводные'!$B$25</x:f>
        <x:v>0.15</x:v>
      </x:c>
      <x:c r="AC6" s="100" t="n">
        <x:f>AC5+'Вводные'!$B$25</x:f>
        <x:v>0.15</x:v>
      </x:c>
      <x:c r="AD6" s="100" t="n">
        <x:f>AD5+'Вводные'!$B$25</x:f>
        <x:v>0.15</x:v>
      </x:c>
      <x:c r="AE6" s="100" t="n">
        <x:f>AE5+'Вводные'!$B$25</x:f>
        <x:v>0.15</x:v>
      </x:c>
      <x:c r="AF6" s="100" t="n">
        <x:f>AF5+'Вводные'!$B$25</x:f>
        <x:v>0.15</x:v>
      </x:c>
      <x:c r="AG6" s="100" t="n">
        <x:f>AG5+'Вводные'!$B$25</x:f>
        <x:v>0.15</x:v>
      </x:c>
      <x:c r="AH6" s="100" t="n">
        <x:f>AH5+'Вводные'!$B$25</x:f>
        <x:v>0.15</x:v>
      </x:c>
      <x:c r="AI6" s="100" t="n">
        <x:f>AI5+'Вводные'!$B$25</x:f>
        <x:v>0.15</x:v>
      </x:c>
      <x:c r="AJ6" s="100" t="n">
        <x:f>AJ5+'Вводные'!$B$25</x:f>
        <x:v>0.15</x:v>
      </x:c>
      <x:c r="AK6" s="100" t="n">
        <x:f>AK5+'Вводные'!$B$25</x:f>
        <x:v>0.15</x:v>
      </x:c>
      <x:c r="AL6" s="100" t="n">
        <x:f>AL5+'Вводные'!$B$25</x:f>
        <x:v>0.15</x:v>
      </x:c>
      <x:c r="AM6" s="100" t="n">
        <x:f>AM5+'Вводные'!$B$25</x:f>
        <x:v>0.15</x:v>
      </x:c>
      <x:c r="AN6" s="100" t="n">
        <x:f>AN5+'Вводные'!$B$25</x:f>
        <x:v>0.15</x:v>
      </x:c>
      <x:c r="AO6" s="100" t="n">
        <x:f>AO5+'Вводные'!$B$25</x:f>
        <x:v>0.15</x:v>
      </x:c>
      <x:c r="AP6" s="100" t="n">
        <x:f>AP5+'Вводные'!$B$25</x:f>
        <x:v>0.15</x:v>
      </x:c>
      <x:c r="AQ6" s="100" t="n">
        <x:f>AQ5+'Вводные'!$B$25</x:f>
        <x:v>0.15</x:v>
      </x:c>
      <x:c r="AR6" s="100" t="n">
        <x:f>AR5+'Вводные'!$B$25</x:f>
        <x:v>0.15</x:v>
      </x:c>
      <x:c r="AS6" s="100" t="n">
        <x:f>AS5+'Вводные'!$B$25</x:f>
        <x:v>0.15</x:v>
      </x:c>
      <x:c r="AT6" s="100" t="n">
        <x:f>AT5+'Вводные'!$B$25</x:f>
        <x:v>0.15</x:v>
      </x:c>
      <x:c r="AU6" s="100" t="n">
        <x:f>AU5+'Вводные'!$B$25</x:f>
        <x:v>0.15</x:v>
      </x:c>
      <x:c r="AV6" s="100" t="n">
        <x:f>AV5+'Вводные'!$B$25</x:f>
        <x:v>0.15</x:v>
      </x:c>
      <x:c r="AW6" s="100" t="n">
        <x:f>AW5+'Вводные'!$B$25</x:f>
        <x:v>0.15</x:v>
      </x:c>
      <x:c r="AX6" s="100" t="n">
        <x:f>AX5+'Вводные'!$B$25</x:f>
        <x:v>0.15</x:v>
      </x:c>
      <x:c r="AY6" s="100" t="n">
        <x:f>AY5+'Вводные'!$B$25</x:f>
        <x:v>0.15</x:v>
      </x:c>
      <x:c r="AZ6" s="100" t="n">
        <x:f>AZ5+'Вводные'!$B$25</x:f>
        <x:v>0.15</x:v>
      </x:c>
      <x:c r="BA6" s="100" t="n">
        <x:f>BA5+'Вводные'!$B$25</x:f>
        <x:v>0.15</x:v>
      </x:c>
      <x:c r="BB6" s="100" t="n">
        <x:f>BB5+'Вводные'!$B$25</x:f>
        <x:v>0.15</x:v>
      </x:c>
      <x:c r="BC6" s="100" t="n">
        <x:f>BC5+'Вводные'!$B$25</x:f>
        <x:v>0.15</x:v>
      </x:c>
      <x:c r="BD6" s="100" t="n">
        <x:f>BD5+'Вводные'!$B$25</x:f>
        <x:v>0.15</x:v>
      </x:c>
      <x:c r="BE6" s="100" t="n">
        <x:f>BE5+'Вводные'!$B$25</x:f>
        <x:v>0.15</x:v>
      </x:c>
      <x:c r="BF6" s="100" t="n">
        <x:f>BF5+'Вводные'!$B$25</x:f>
        <x:v>0.15</x:v>
      </x:c>
      <x:c r="BG6" s="100" t="n">
        <x:f>BG5+'Вводные'!$B$25</x:f>
        <x:v>0.15</x:v>
      </x:c>
      <x:c r="BH6" s="100" t="n">
        <x:f>BH5+'Вводные'!$B$25</x:f>
        <x:v>0.15</x:v>
      </x:c>
      <x:c r="BI6" s="100" t="n">
        <x:f>BI5+'Вводные'!$B$25</x:f>
        <x:v>0.15</x:v>
      </x:c>
      <x:c r="BJ6" s="100" t="n">
        <x:f>BJ5+'Вводные'!$B$25</x:f>
        <x:v>0.15</x:v>
      </x:c>
      <x:c r="BK6" s="100" t="n">
        <x:f>BK5+'Вводные'!$B$25</x:f>
        <x:v>0.15</x:v>
      </x:c>
      <x:c r="BL6" s="100" t="n">
        <x:f>BL5+'Вводные'!$B$25</x:f>
        <x:v>0.15</x:v>
      </x:c>
      <x:c r="BM6" s="100" t="n">
        <x:f>BM5+'Вводные'!$B$25</x:f>
        <x:v>0.15</x:v>
      </x:c>
      <x:c r="BN6" s="100" t="n">
        <x:f>BN5+'Вводные'!$B$25</x:f>
        <x:v>0.15</x:v>
      </x:c>
      <x:c r="BO6" s="100" t="n">
        <x:f>BO5+'Вводные'!$B$25</x:f>
        <x:v>0.15</x:v>
      </x:c>
      <x:c r="BP6" s="100" t="n">
        <x:f>BP5+'Вводные'!$B$25</x:f>
        <x:v>0.15</x:v>
      </x:c>
      <x:c r="BQ6" s="100" t="n">
        <x:f>BQ5+'Вводные'!$B$25</x:f>
        <x:v>0.15</x:v>
      </x:c>
      <x:c r="BR6" s="100" t="n">
        <x:f>BR5+'Вводные'!$B$25</x:f>
        <x:v>0.15</x:v>
      </x:c>
      <x:c r="BS6" s="100" t="n">
        <x:f>BS5+'Вводные'!$B$25</x:f>
        <x:v>0.15</x:v>
      </x:c>
      <x:c r="BT6" s="100" t="n">
        <x:f>BT5+'Вводные'!$B$25</x:f>
        <x:v>0.15</x:v>
      </x:c>
      <x:c r="BU6" s="100" t="n">
        <x:f>BU5+'Вводные'!$B$25</x:f>
        <x:v>0.15</x:v>
      </x:c>
      <x:c r="BV6" s="100" t="n">
        <x:f>BV5+'Вводные'!$B$25</x:f>
        <x:v>0.15</x:v>
      </x:c>
      <x:c r="BW6" s="100" t="n">
        <x:f>BW5+'Вводные'!$B$25</x:f>
        <x:v>0.15</x:v>
      </x:c>
      <x:c r="BX6" s="100" t="n">
        <x:f>BX5+'Вводные'!$B$25</x:f>
        <x:v>0.15</x:v>
      </x:c>
      <x:c r="BY6" s="100" t="n">
        <x:f>BY5+'Вводные'!$B$25</x:f>
        <x:v>0.15</x:v>
      </x:c>
      <x:c r="BZ6" s="100" t="n">
        <x:f>BZ5+'Вводные'!$B$25</x:f>
        <x:v>0.15</x:v>
      </x:c>
      <x:c r="CA6" s="100" t="n">
        <x:f>CA5+'Вводные'!$B$25</x:f>
        <x:v>0.15</x:v>
      </x:c>
      <x:c r="CB6" s="100" t="n">
        <x:f>CB5+'Вводные'!$B$25</x:f>
        <x:v>0.15</x:v>
      </x:c>
      <x:c r="CC6" s="100" t="n">
        <x:f>CC5+'Вводные'!$B$25</x:f>
        <x:v>0.15</x:v>
      </x:c>
      <x:c r="CD6" s="100" t="n">
        <x:f>CD5+'Вводные'!$B$25</x:f>
        <x:v>0.15</x:v>
      </x:c>
      <x:c r="CE6" s="100" t="n">
        <x:f>CE5+'Вводные'!$B$25</x:f>
        <x:v>0.15</x:v>
      </x:c>
      <x:c r="CF6" s="100" t="n">
        <x:f>CF5+'Вводные'!$B$25</x:f>
        <x:v>0.15</x:v>
      </x:c>
      <x:c r="CG6" s="100" t="n">
        <x:f>CG5+'Вводные'!$B$25</x:f>
        <x:v>0.15</x:v>
      </x:c>
      <x:c r="CH6" s="100" t="n">
        <x:f>CH5+'Вводные'!$B$25</x:f>
        <x:v>0.15</x:v>
      </x:c>
      <x:c r="CI6" s="100" t="n">
        <x:f>CI5+'Вводные'!$B$25</x:f>
        <x:v>0.15</x:v>
      </x:c>
      <x:c r="CJ6" s="100" t="n">
        <x:f>CJ5+'Вводные'!$B$25</x:f>
        <x:v>0.15</x:v>
      </x:c>
      <x:c r="CK6" s="100" t="n">
        <x:f>CK5+'Вводные'!$B$25</x:f>
        <x:v>0.15</x:v>
      </x:c>
      <x:c r="CL6" s="100" t="n">
        <x:f>CL5+'Вводные'!$B$25</x:f>
        <x:v>0.15</x:v>
      </x:c>
      <x:c r="CM6" s="100" t="n">
        <x:f>CM5+'Вводные'!$B$25</x:f>
        <x:v>0.15</x:v>
      </x:c>
      <x:c r="CN6" s="100" t="n">
        <x:f>CN5+'Вводные'!$B$25</x:f>
        <x:v>0.15</x:v>
      </x:c>
      <x:c r="CO6" s="100" t="n">
        <x:f>CO5+'Вводные'!$B$25</x:f>
        <x:v>0.15</x:v>
      </x:c>
      <x:c r="CP6" s="100" t="n">
        <x:f>CP5+'Вводные'!$B$25</x:f>
        <x:v>0.15</x:v>
      </x:c>
      <x:c r="CQ6" s="100" t="n">
        <x:f>CQ5+'Вводные'!$B$25</x:f>
        <x:v>0.15</x:v>
      </x:c>
      <x:c r="CR6" s="100" t="n">
        <x:f>CR5+'Вводные'!$B$25</x:f>
        <x:v>0.15</x:v>
      </x:c>
      <x:c r="CS6" s="100" t="n">
        <x:f>CS5+'Вводные'!$B$25</x:f>
        <x:v>0.15</x:v>
      </x:c>
      <x:c r="CT6" s="100" t="n">
        <x:f>CT5+'Вводные'!$B$25</x:f>
        <x:v>0.15</x:v>
      </x:c>
      <x:c r="CU6" s="100" t="n">
        <x:f>CU5+'Вводные'!$B$25</x:f>
        <x:v>0.15</x:v>
      </x:c>
      <x:c r="CV6" s="100" t="n">
        <x:f>CV5+'Вводные'!$B$25</x:f>
        <x:v>0.15</x:v>
      </x:c>
      <x:c r="CW6" s="100" t="n">
        <x:f>CW5+'Вводные'!$B$25</x:f>
        <x:v>0.15</x:v>
      </x:c>
      <x:c r="CX6" s="100" t="n">
        <x:f>CX5+'Вводные'!$B$25</x:f>
        <x:v>0.15</x:v>
      </x:c>
      <x:c r="CY6" s="100" t="n">
        <x:f>CY5+'Вводные'!$B$25</x:f>
        <x:v>0.15</x:v>
      </x:c>
      <x:c r="CZ6" s="100" t="n">
        <x:f>CZ5+'Вводные'!$B$25</x:f>
        <x:v>0.15</x:v>
      </x:c>
      <x:c r="DA6" s="100" t="n">
        <x:f>DA5+'Вводные'!$B$25</x:f>
        <x:v>0.15</x:v>
      </x:c>
      <x:c r="DB6" s="100" t="n">
        <x:f>DB5+'Вводные'!$B$25</x:f>
        <x:v>0.15</x:v>
      </x:c>
      <x:c r="DC6" s="100" t="n">
        <x:f>DC5+'Вводные'!$B$25</x:f>
        <x:v>0.15</x:v>
      </x:c>
      <x:c r="DD6" s="100" t="n">
        <x:f>DD5+'Вводные'!$B$25</x:f>
        <x:v>0.15</x:v>
      </x:c>
      <x:c r="DE6" s="100" t="n">
        <x:f>DE5+'Вводные'!$B$25</x:f>
        <x:v>0.15</x:v>
      </x:c>
      <x:c r="DF6" s="100" t="n">
        <x:f>DF5+'Вводные'!$B$25</x:f>
        <x:v>0.15</x:v>
      </x:c>
      <x:c r="DG6" s="100" t="n">
        <x:f>DG5+'Вводные'!$B$25</x:f>
        <x:v>0.15</x:v>
      </x:c>
      <x:c r="DH6" s="100" t="n">
        <x:f>DH5+'Вводные'!$B$25</x:f>
        <x:v>0.15</x:v>
      </x:c>
      <x:c r="DI6" s="100" t="n">
        <x:f>DI5+'Вводные'!$B$25</x:f>
        <x:v>0.15</x:v>
      </x:c>
      <x:c r="DJ6" s="100" t="n">
        <x:f>DJ5+'Вводные'!$B$25</x:f>
        <x:v>0.15</x:v>
      </x:c>
      <x:c r="DK6" s="100" t="n">
        <x:f>DK5+'Вводные'!$B$25</x:f>
        <x:v>0.15</x:v>
      </x:c>
      <x:c r="DL6" s="100" t="n">
        <x:f>DL5+'Вводные'!$B$25</x:f>
        <x:v>0.15</x:v>
      </x:c>
      <x:c r="DM6" s="100" t="n">
        <x:f>DM5+'Вводные'!$B$25</x:f>
        <x:v>0.15</x:v>
      </x:c>
      <x:c r="DN6" s="100" t="n">
        <x:f>DN5+'Вводные'!$B$25</x:f>
        <x:v>0.15</x:v>
      </x:c>
      <x:c r="DO6" s="100" t="n">
        <x:f>DO5+'Вводные'!$B$25</x:f>
        <x:v>0.15</x:v>
      </x:c>
      <x:c r="DP6" s="100" t="n">
        <x:f>DP5+'Вводные'!$B$25</x:f>
        <x:v>0.15</x:v>
      </x:c>
      <x:c r="DQ6" s="100" t="n">
        <x:f>DQ5+'Вводные'!$B$25</x:f>
        <x:v>0.15</x:v>
      </x:c>
      <x:c r="DR6" s="100" t="n">
        <x:f>DR5+'Вводные'!$B$25</x:f>
        <x:v>0.15</x:v>
      </x:c>
      <x:c r="DS6" s="100" t="n">
        <x:f>DS5+'Вводные'!$B$25</x:f>
        <x:v>0.15</x:v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  <x:v>0.185</x:v>
      </x:c>
      <x:c r="E7" s="100" t="n">
        <x:f>E5+'Вводные'!$B$27</x:f>
        <x:v>0.18291666666666667</x:v>
      </x:c>
      <x:c r="F7" s="100" t="n">
        <x:f>F5+'Вводные'!$B$27</x:f>
        <x:v>0.18083333333333335</x:v>
      </x:c>
      <x:c r="G7" s="100" t="n">
        <x:f>G5+'Вводные'!$B$27</x:f>
        <x:v>0.17875000000000002</x:v>
      </x:c>
      <x:c r="H7" s="100" t="n">
        <x:f>H5+'Вводные'!$B$27</x:f>
        <x:v>0.1766666666666667</x:v>
      </x:c>
      <x:c r="I7" s="100" t="n">
        <x:f>I5+'Вводные'!$B$27</x:f>
        <x:v>0.1745833333333333</x:v>
      </x:c>
      <x:c r="J7" s="100" t="n">
        <x:f>J5+'Вводные'!$B$27</x:f>
        <x:v>0.1725</x:v>
      </x:c>
      <x:c r="K7" s="100" t="n">
        <x:f>K5+'Вводные'!$B$27</x:f>
        <x:v>0.17041666666666666</x:v>
      </x:c>
      <x:c r="L7" s="100" t="n">
        <x:f>L5+'Вводные'!$B$27</x:f>
        <x:v>0.16833333333333333</x:v>
      </x:c>
      <x:c r="M7" s="100" t="n">
        <x:f>M5+'Вводные'!$B$27</x:f>
        <x:v>0.16625</x:v>
      </x:c>
      <x:c r="N7" s="100" t="n">
        <x:f>N5+'Вводные'!$B$27</x:f>
        <x:v>0.16416666666666668</x:v>
      </x:c>
      <x:c r="O7" s="100" t="n">
        <x:f>O5+'Вводные'!$B$27</x:f>
        <x:v>0.16208333333333336</x:v>
      </x:c>
      <x:c r="P7" s="100" t="n">
        <x:f>P5+'Вводные'!$B$27</x:f>
        <x:v>0.16</x:v>
      </x:c>
      <x:c r="Q7" s="100" t="n">
        <x:f>Q5+'Вводные'!$B$27</x:f>
        <x:v>0.15791666666666665</x:v>
      </x:c>
      <x:c r="R7" s="100" t="n">
        <x:f>R5+'Вводные'!$B$27</x:f>
        <x:v>0.15583333333333332</x:v>
      </x:c>
      <x:c r="S7" s="100" t="n">
        <x:f>S5+'Вводные'!$B$27</x:f>
        <x:v>0.15375</x:v>
      </x:c>
      <x:c r="T7" s="100" t="n">
        <x:f>T5+'Вводные'!$B$27</x:f>
        <x:v>0.15166666666666667</x:v>
      </x:c>
      <x:c r="U7" s="100" t="n">
        <x:f>U5+'Вводные'!$B$27</x:f>
        <x:v>0.14958333333333335</x:v>
      </x:c>
      <x:c r="V7" s="100" t="n">
        <x:f>V5+'Вводные'!$B$27</x:f>
        <x:v>0.14750000000000002</x:v>
      </x:c>
      <x:c r="W7" s="100" t="n">
        <x:f>W5+'Вводные'!$B$27</x:f>
        <x:v>0.14541666666666667</x:v>
      </x:c>
      <x:c r="X7" s="100" t="n">
        <x:f>X5+'Вводные'!$B$27</x:f>
        <x:v>0.1433333333333333</x:v>
      </x:c>
      <x:c r="Y7" s="100" t="n">
        <x:f>Y5+'Вводные'!$B$27</x:f>
        <x:v>0.14125</x:v>
      </x:c>
      <x:c r="Z7" s="100" t="n">
        <x:f>Z5+'Вводные'!$B$27</x:f>
        <x:v>0.13916666666666666</x:v>
      </x:c>
      <x:c r="AA7" s="100" t="n">
        <x:f>AA5+'Вводные'!$B$27</x:f>
        <x:v>0.13708333333333333</x:v>
      </x:c>
      <x:c r="AB7" s="100" t="n">
        <x:f>AB5+'Вводные'!$B$27</x:f>
        <x:v>0.135</x:v>
      </x:c>
      <x:c r="AC7" s="100" t="n">
        <x:f>AC5+'Вводные'!$B$27</x:f>
        <x:v>0.135</x:v>
      </x:c>
      <x:c r="AD7" s="100" t="n">
        <x:f>AD5+'Вводные'!$B$27</x:f>
        <x:v>0.135</x:v>
      </x:c>
      <x:c r="AE7" s="100" t="n">
        <x:f>AE5+'Вводные'!$B$27</x:f>
        <x:v>0.135</x:v>
      </x:c>
      <x:c r="AF7" s="100" t="n">
        <x:f>AF5+'Вводные'!$B$27</x:f>
        <x:v>0.135</x:v>
      </x:c>
      <x:c r="AG7" s="100" t="n">
        <x:f>AG5+'Вводные'!$B$27</x:f>
        <x:v>0.135</x:v>
      </x:c>
      <x:c r="AH7" s="100" t="n">
        <x:f>AH5+'Вводные'!$B$27</x:f>
        <x:v>0.135</x:v>
      </x:c>
      <x:c r="AI7" s="100" t="n">
        <x:f>AI5+'Вводные'!$B$27</x:f>
        <x:v>0.135</x:v>
      </x:c>
      <x:c r="AJ7" s="100" t="n">
        <x:f>AJ5+'Вводные'!$B$27</x:f>
        <x:v>0.135</x:v>
      </x:c>
      <x:c r="AK7" s="100" t="n">
        <x:f>AK5+'Вводные'!$B$27</x:f>
        <x:v>0.135</x:v>
      </x:c>
      <x:c r="AL7" s="100" t="n">
        <x:f>AL5+'Вводные'!$B$27</x:f>
        <x:v>0.135</x:v>
      </x:c>
      <x:c r="AM7" s="100" t="n">
        <x:f>AM5+'Вводные'!$B$27</x:f>
        <x:v>0.135</x:v>
      </x:c>
      <x:c r="AN7" s="100" t="n">
        <x:f>AN5+'Вводные'!$B$27</x:f>
        <x:v>0.135</x:v>
      </x:c>
      <x:c r="AO7" s="100" t="n">
        <x:f>AO5+'Вводные'!$B$27</x:f>
        <x:v>0.135</x:v>
      </x:c>
      <x:c r="AP7" s="100" t="n">
        <x:f>AP5+'Вводные'!$B$27</x:f>
        <x:v>0.135</x:v>
      </x:c>
      <x:c r="AQ7" s="100" t="n">
        <x:f>AQ5+'Вводные'!$B$27</x:f>
        <x:v>0.135</x:v>
      </x:c>
      <x:c r="AR7" s="100" t="n">
        <x:f>AR5+'Вводные'!$B$27</x:f>
        <x:v>0.135</x:v>
      </x:c>
      <x:c r="AS7" s="100" t="n">
        <x:f>AS5+'Вводные'!$B$27</x:f>
        <x:v>0.135</x:v>
      </x:c>
      <x:c r="AT7" s="100" t="n">
        <x:f>AT5+'Вводные'!$B$27</x:f>
        <x:v>0.135</x:v>
      </x:c>
      <x:c r="AU7" s="100" t="n">
        <x:f>AU5+'Вводные'!$B$27</x:f>
        <x:v>0.135</x:v>
      </x:c>
      <x:c r="AV7" s="100" t="n">
        <x:f>AV5+'Вводные'!$B$27</x:f>
        <x:v>0.135</x:v>
      </x:c>
      <x:c r="AW7" s="100" t="n">
        <x:f>AW5+'Вводные'!$B$27</x:f>
        <x:v>0.135</x:v>
      </x:c>
      <x:c r="AX7" s="100" t="n">
        <x:f>AX5+'Вводные'!$B$27</x:f>
        <x:v>0.135</x:v>
      </x:c>
      <x:c r="AY7" s="100" t="n">
        <x:f>AY5+'Вводные'!$B$27</x:f>
        <x:v>0.135</x:v>
      </x:c>
      <x:c r="AZ7" s="100" t="n">
        <x:f>AZ5+'Вводные'!$B$27</x:f>
        <x:v>0.135</x:v>
      </x:c>
      <x:c r="BA7" s="100" t="n">
        <x:f>BA5+'Вводные'!$B$27</x:f>
        <x:v>0.135</x:v>
      </x:c>
      <x:c r="BB7" s="100" t="n">
        <x:f>BB5+'Вводные'!$B$27</x:f>
        <x:v>0.135</x:v>
      </x:c>
      <x:c r="BC7" s="100" t="n">
        <x:f>BC5+'Вводные'!$B$27</x:f>
        <x:v>0.135</x:v>
      </x:c>
      <x:c r="BD7" s="100" t="n">
        <x:f>BD5+'Вводные'!$B$27</x:f>
        <x:v>0.135</x:v>
      </x:c>
      <x:c r="BE7" s="100" t="n">
        <x:f>BE5+'Вводные'!$B$27</x:f>
        <x:v>0.135</x:v>
      </x:c>
      <x:c r="BF7" s="100" t="n">
        <x:f>BF5+'Вводные'!$B$27</x:f>
        <x:v>0.135</x:v>
      </x:c>
      <x:c r="BG7" s="100" t="n">
        <x:f>BG5+'Вводные'!$B$27</x:f>
        <x:v>0.135</x:v>
      </x:c>
      <x:c r="BH7" s="100" t="n">
        <x:f>BH5+'Вводные'!$B$27</x:f>
        <x:v>0.135</x:v>
      </x:c>
      <x:c r="BI7" s="100" t="n">
        <x:f>BI5+'Вводные'!$B$27</x:f>
        <x:v>0.135</x:v>
      </x:c>
      <x:c r="BJ7" s="100" t="n">
        <x:f>BJ5+'Вводные'!$B$27</x:f>
        <x:v>0.135</x:v>
      </x:c>
      <x:c r="BK7" s="100" t="n">
        <x:f>BK5+'Вводные'!$B$27</x:f>
        <x:v>0.135</x:v>
      </x:c>
      <x:c r="BL7" s="100" t="n">
        <x:f>BL5+'Вводные'!$B$27</x:f>
        <x:v>0.135</x:v>
      </x:c>
      <x:c r="BM7" s="100" t="n">
        <x:f>BM5+'Вводные'!$B$27</x:f>
        <x:v>0.135</x:v>
      </x:c>
      <x:c r="BN7" s="100" t="n">
        <x:f>BN5+'Вводные'!$B$27</x:f>
        <x:v>0.135</x:v>
      </x:c>
      <x:c r="BO7" s="100" t="n">
        <x:f>BO5+'Вводные'!$B$27</x:f>
        <x:v>0.135</x:v>
      </x:c>
      <x:c r="BP7" s="100" t="n">
        <x:f>BP5+'Вводные'!$B$27</x:f>
        <x:v>0.135</x:v>
      </x:c>
      <x:c r="BQ7" s="100" t="n">
        <x:f>BQ5+'Вводные'!$B$27</x:f>
        <x:v>0.135</x:v>
      </x:c>
      <x:c r="BR7" s="100" t="n">
        <x:f>BR5+'Вводные'!$B$27</x:f>
        <x:v>0.135</x:v>
      </x:c>
      <x:c r="BS7" s="100" t="n">
        <x:f>BS5+'Вводные'!$B$27</x:f>
        <x:v>0.135</x:v>
      </x:c>
      <x:c r="BT7" s="100" t="n">
        <x:f>BT5+'Вводные'!$B$27</x:f>
        <x:v>0.135</x:v>
      </x:c>
      <x:c r="BU7" s="100" t="n">
        <x:f>BU5+'Вводные'!$B$27</x:f>
        <x:v>0.135</x:v>
      </x:c>
      <x:c r="BV7" s="100" t="n">
        <x:f>BV5+'Вводные'!$B$27</x:f>
        <x:v>0.135</x:v>
      </x:c>
      <x:c r="BW7" s="100" t="n">
        <x:f>BW5+'Вводные'!$B$27</x:f>
        <x:v>0.135</x:v>
      </x:c>
      <x:c r="BX7" s="100" t="n">
        <x:f>BX5+'Вводные'!$B$27</x:f>
        <x:v>0.135</x:v>
      </x:c>
      <x:c r="BY7" s="100" t="n">
        <x:f>BY5+'Вводные'!$B$27</x:f>
        <x:v>0.135</x:v>
      </x:c>
      <x:c r="BZ7" s="100" t="n">
        <x:f>BZ5+'Вводные'!$B$27</x:f>
        <x:v>0.135</x:v>
      </x:c>
      <x:c r="CA7" s="100" t="n">
        <x:f>CA5+'Вводные'!$B$27</x:f>
        <x:v>0.135</x:v>
      </x:c>
      <x:c r="CB7" s="100" t="n">
        <x:f>CB5+'Вводные'!$B$27</x:f>
        <x:v>0.135</x:v>
      </x:c>
      <x:c r="CC7" s="100" t="n">
        <x:f>CC5+'Вводные'!$B$27</x:f>
        <x:v>0.135</x:v>
      </x:c>
      <x:c r="CD7" s="100" t="n">
        <x:f>CD5+'Вводные'!$B$27</x:f>
        <x:v>0.135</x:v>
      </x:c>
      <x:c r="CE7" s="100" t="n">
        <x:f>CE5+'Вводные'!$B$27</x:f>
        <x:v>0.135</x:v>
      </x:c>
      <x:c r="CF7" s="100" t="n">
        <x:f>CF5+'Вводные'!$B$27</x:f>
        <x:v>0.135</x:v>
      </x:c>
      <x:c r="CG7" s="100" t="n">
        <x:f>CG5+'Вводные'!$B$27</x:f>
        <x:v>0.135</x:v>
      </x:c>
      <x:c r="CH7" s="100" t="n">
        <x:f>CH5+'Вводные'!$B$27</x:f>
        <x:v>0.135</x:v>
      </x:c>
      <x:c r="CI7" s="100" t="n">
        <x:f>CI5+'Вводные'!$B$27</x:f>
        <x:v>0.135</x:v>
      </x:c>
      <x:c r="CJ7" s="100" t="n">
        <x:f>CJ5+'Вводные'!$B$27</x:f>
        <x:v>0.135</x:v>
      </x:c>
      <x:c r="CK7" s="100" t="n">
        <x:f>CK5+'Вводные'!$B$27</x:f>
        <x:v>0.135</x:v>
      </x:c>
      <x:c r="CL7" s="100" t="n">
        <x:f>CL5+'Вводные'!$B$27</x:f>
        <x:v>0.135</x:v>
      </x:c>
      <x:c r="CM7" s="100" t="n">
        <x:f>CM5+'Вводные'!$B$27</x:f>
        <x:v>0.135</x:v>
      </x:c>
      <x:c r="CN7" s="100" t="n">
        <x:f>CN5+'Вводные'!$B$27</x:f>
        <x:v>0.135</x:v>
      </x:c>
      <x:c r="CO7" s="100" t="n">
        <x:f>CO5+'Вводные'!$B$27</x:f>
        <x:v>0.135</x:v>
      </x:c>
      <x:c r="CP7" s="100" t="n">
        <x:f>CP5+'Вводные'!$B$27</x:f>
        <x:v>0.135</x:v>
      </x:c>
      <x:c r="CQ7" s="100" t="n">
        <x:f>CQ5+'Вводные'!$B$27</x:f>
        <x:v>0.135</x:v>
      </x:c>
      <x:c r="CR7" s="100" t="n">
        <x:f>CR5+'Вводные'!$B$27</x:f>
        <x:v>0.135</x:v>
      </x:c>
      <x:c r="CS7" s="100" t="n">
        <x:f>CS5+'Вводные'!$B$27</x:f>
        <x:v>0.135</x:v>
      </x:c>
      <x:c r="CT7" s="100" t="n">
        <x:f>CT5+'Вводные'!$B$27</x:f>
        <x:v>0.135</x:v>
      </x:c>
      <x:c r="CU7" s="100" t="n">
        <x:f>CU5+'Вводные'!$B$27</x:f>
        <x:v>0.135</x:v>
      </x:c>
      <x:c r="CV7" s="100" t="n">
        <x:f>CV5+'Вводные'!$B$27</x:f>
        <x:v>0.135</x:v>
      </x:c>
      <x:c r="CW7" s="100" t="n">
        <x:f>CW5+'Вводные'!$B$27</x:f>
        <x:v>0.135</x:v>
      </x:c>
      <x:c r="CX7" s="100" t="n">
        <x:f>CX5+'Вводные'!$B$27</x:f>
        <x:v>0.135</x:v>
      </x:c>
      <x:c r="CY7" s="100" t="n">
        <x:f>CY5+'Вводные'!$B$27</x:f>
        <x:v>0.135</x:v>
      </x:c>
      <x:c r="CZ7" s="100" t="n">
        <x:f>CZ5+'Вводные'!$B$27</x:f>
        <x:v>0.135</x:v>
      </x:c>
      <x:c r="DA7" s="100" t="n">
        <x:f>DA5+'Вводные'!$B$27</x:f>
        <x:v>0.135</x:v>
      </x:c>
      <x:c r="DB7" s="100" t="n">
        <x:f>DB5+'Вводные'!$B$27</x:f>
        <x:v>0.135</x:v>
      </x:c>
      <x:c r="DC7" s="100" t="n">
        <x:f>DC5+'Вводные'!$B$27</x:f>
        <x:v>0.135</x:v>
      </x:c>
      <x:c r="DD7" s="100" t="n">
        <x:f>DD5+'Вводные'!$B$27</x:f>
        <x:v>0.135</x:v>
      </x:c>
      <x:c r="DE7" s="100" t="n">
        <x:f>DE5+'Вводные'!$B$27</x:f>
        <x:v>0.135</x:v>
      </x:c>
      <x:c r="DF7" s="100" t="n">
        <x:f>DF5+'Вводные'!$B$27</x:f>
        <x:v>0.135</x:v>
      </x:c>
      <x:c r="DG7" s="100" t="n">
        <x:f>DG5+'Вводные'!$B$27</x:f>
        <x:v>0.135</x:v>
      </x:c>
      <x:c r="DH7" s="100" t="n">
        <x:f>DH5+'Вводные'!$B$27</x:f>
        <x:v>0.135</x:v>
      </x:c>
      <x:c r="DI7" s="100" t="n">
        <x:f>DI5+'Вводные'!$B$27</x:f>
        <x:v>0.135</x:v>
      </x:c>
      <x:c r="DJ7" s="100" t="n">
        <x:f>DJ5+'Вводные'!$B$27</x:f>
        <x:v>0.135</x:v>
      </x:c>
      <x:c r="DK7" s="100" t="n">
        <x:f>DK5+'Вводные'!$B$27</x:f>
        <x:v>0.135</x:v>
      </x:c>
      <x:c r="DL7" s="100" t="n">
        <x:f>DL5+'Вводные'!$B$27</x:f>
        <x:v>0.135</x:v>
      </x:c>
      <x:c r="DM7" s="100" t="n">
        <x:f>DM5+'Вводные'!$B$27</x:f>
        <x:v>0.135</x:v>
      </x:c>
      <x:c r="DN7" s="100" t="n">
        <x:f>DN5+'Вводные'!$B$27</x:f>
        <x:v>0.135</x:v>
      </x:c>
      <x:c r="DO7" s="100" t="n">
        <x:f>DO5+'Вводные'!$B$27</x:f>
        <x:v>0.135</x:v>
      </x:c>
      <x:c r="DP7" s="100" t="n">
        <x:f>DP5+'Вводные'!$B$27</x:f>
        <x:v>0.135</x:v>
      </x:c>
      <x:c r="DQ7" s="100" t="n">
        <x:f>DQ5+'Вводные'!$B$27</x:f>
        <x:v>0.135</x:v>
      </x:c>
      <x:c r="DR7" s="100" t="n">
        <x:f>DR5+'Вводные'!$B$27</x:f>
        <x:v>0.135</x:v>
      </x:c>
      <x:c r="DS7" s="100" t="n">
        <x:f>DS5+'Вводные'!$B$27</x:f>
        <x:v>0.135</x:v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  <x:v>46935</x:v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  <x:v>47665</x:v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  <x:v>0</x:v>
      </x:c>
      <x:c r="E9" t="n">
        <x:f>--AND(E$3&gt;=$B$7,E$3&lt;$B$8,E$3&lt;EDATE($B$7,MAX(1,'Вводные'!$H$88)),'Вводные'!$B$88="Да")</x:f>
        <x:v>0</x:v>
      </x:c>
      <x:c r="F9" t="n">
        <x:f>--AND(F$3&gt;=$B$7,F$3&lt;$B$8,F$3&lt;EDATE($B$7,MAX(1,'Вводные'!$H$88)),'Вводные'!$B$88="Да")</x:f>
        <x:v>0</x:v>
      </x:c>
      <x:c r="G9" t="n">
        <x:f>--AND(G$3&gt;=$B$7,G$3&lt;$B$8,G$3&lt;EDATE($B$7,MAX(1,'Вводные'!$H$88)),'Вводные'!$B$88="Да")</x:f>
        <x:v>0</x:v>
      </x:c>
      <x:c r="H9" t="n">
        <x:f>--AND(H$3&gt;=$B$7,H$3&lt;$B$8,H$3&lt;EDATE($B$7,MAX(1,'Вводные'!$H$88)),'Вводные'!$B$88="Да")</x:f>
        <x:v>0</x:v>
      </x:c>
      <x:c r="I9" t="n">
        <x:f>--AND(I$3&gt;=$B$7,I$3&lt;$B$8,I$3&lt;EDATE($B$7,MAX(1,'Вводные'!$H$88)),'Вводные'!$B$88="Да")</x:f>
        <x:v>0</x:v>
      </x:c>
      <x:c r="J9" t="n">
        <x:f>--AND(J$3&gt;=$B$7,J$3&lt;$B$8,J$3&lt;EDATE($B$7,MAX(1,'Вводные'!$H$88)),'Вводные'!$B$88="Да")</x:f>
        <x:v>0</x:v>
      </x:c>
      <x:c r="K9" t="n">
        <x:f>--AND(K$3&gt;=$B$7,K$3&lt;$B$8,K$3&lt;EDATE($B$7,MAX(1,'Вводные'!$H$88)),'Вводные'!$B$88="Да")</x:f>
        <x:v>0</x:v>
      </x:c>
      <x:c r="L9" t="n">
        <x:f>--AND(L$3&gt;=$B$7,L$3&lt;$B$8,L$3&lt;EDATE($B$7,MAX(1,'Вводные'!$H$88)),'Вводные'!$B$88="Да")</x:f>
        <x:v>0</x:v>
      </x:c>
      <x:c r="M9" t="n">
        <x:f>--AND(M$3&gt;=$B$7,M$3&lt;$B$8,M$3&lt;EDATE($B$7,MAX(1,'Вводные'!$H$88)),'Вводные'!$B$88="Да")</x:f>
        <x:v>0</x:v>
      </x:c>
      <x:c r="N9" t="n">
        <x:f>--AND(N$3&gt;=$B$7,N$3&lt;$B$8,N$3&lt;EDATE($B$7,MAX(1,'Вводные'!$H$88)),'Вводные'!$B$88="Да")</x:f>
        <x:v>0</x:v>
      </x:c>
      <x:c r="O9" t="n">
        <x:f>--AND(O$3&gt;=$B$7,O$3&lt;$B$8,O$3&lt;EDATE($B$7,MAX(1,'Вводные'!$H$88)),'Вводные'!$B$88="Да")</x:f>
        <x:v>0</x:v>
      </x:c>
      <x:c r="P9" t="n">
        <x:f>--AND(P$3&gt;=$B$7,P$3&lt;$B$8,P$3&lt;EDATE($B$7,MAX(1,'Вводные'!$H$88)),'Вводные'!$B$88="Да")</x:f>
        <x:v>0</x:v>
      </x:c>
      <x:c r="Q9" t="n">
        <x:f>--AND(Q$3&gt;=$B$7,Q$3&lt;$B$8,Q$3&lt;EDATE($B$7,MAX(1,'Вводные'!$H$88)),'Вводные'!$B$88="Да")</x:f>
        <x:v>0</x:v>
      </x:c>
      <x:c r="R9" t="n">
        <x:f>--AND(R$3&gt;=$B$7,R$3&lt;$B$8,R$3&lt;EDATE($B$7,MAX(1,'Вводные'!$H$88)),'Вводные'!$B$88="Да")</x:f>
        <x:v>0</x:v>
      </x:c>
      <x:c r="S9" t="n">
        <x:f>--AND(S$3&gt;=$B$7,S$3&lt;$B$8,S$3&lt;EDATE($B$7,MAX(1,'Вводные'!$H$88)),'Вводные'!$B$88="Да")</x:f>
        <x:v>0</x:v>
      </x:c>
      <x:c r="T9" t="n">
        <x:f>--AND(T$3&gt;=$B$7,T$3&lt;$B$8,T$3&lt;EDATE($B$7,MAX(1,'Вводные'!$H$88)),'Вводные'!$B$88="Да")</x:f>
        <x:v>0</x:v>
      </x:c>
      <x:c r="U9" t="n">
        <x:f>--AND(U$3&gt;=$B$7,U$3&lt;$B$8,U$3&lt;EDATE($B$7,MAX(1,'Вводные'!$H$88)),'Вводные'!$B$88="Да")</x:f>
        <x:v>0</x:v>
      </x:c>
      <x:c r="V9" t="n">
        <x:f>--AND(V$3&gt;=$B$7,V$3&lt;$B$8,V$3&lt;EDATE($B$7,MAX(1,'Вводные'!$H$88)),'Вводные'!$B$88="Да")</x:f>
        <x:v>1</x:v>
      </x:c>
      <x:c r="W9" t="n">
        <x:f>--AND(W$3&gt;=$B$7,W$3&lt;$B$8,W$3&lt;EDATE($B$7,MAX(1,'Вводные'!$H$88)),'Вводные'!$B$88="Да")</x:f>
        <x:v>1</x:v>
      </x:c>
      <x:c r="X9" t="n">
        <x:f>--AND(X$3&gt;=$B$7,X$3&lt;$B$8,X$3&lt;EDATE($B$7,MAX(1,'Вводные'!$H$88)),'Вводные'!$B$88="Да")</x:f>
        <x:v>1</x:v>
      </x:c>
      <x:c r="Y9" t="n">
        <x:f>--AND(Y$3&gt;=$B$7,Y$3&lt;$B$8,Y$3&lt;EDATE($B$7,MAX(1,'Вводные'!$H$88)),'Вводные'!$B$88="Да")</x:f>
        <x:v>1</x:v>
      </x:c>
      <x:c r="Z9" t="n">
        <x:f>--AND(Z$3&gt;=$B$7,Z$3&lt;$B$8,Z$3&lt;EDATE($B$7,MAX(1,'Вводные'!$H$88)),'Вводные'!$B$88="Да")</x:f>
        <x:v>1</x:v>
      </x:c>
      <x:c r="AA9" t="n">
        <x:f>--AND(AA$3&gt;=$B$7,AA$3&lt;$B$8,AA$3&lt;EDATE($B$7,MAX(1,'Вводные'!$H$88)),'Вводные'!$B$88="Да")</x:f>
        <x:v>1</x:v>
      </x:c>
      <x:c r="AB9" t="n">
        <x:f>--AND(AB$3&gt;=$B$7,AB$3&lt;$B$8,AB$3&lt;EDATE($B$7,MAX(1,'Вводные'!$H$88)),'Вводные'!$B$88="Да")</x:f>
        <x:v>1</x:v>
      </x:c>
      <x:c r="AC9" t="n">
        <x:f>--AND(AC$3&gt;=$B$7,AC$3&lt;$B$8,AC$3&lt;EDATE($B$7,MAX(1,'Вводные'!$H$88)),'Вводные'!$B$88="Да")</x:f>
        <x:v>1</x:v>
      </x:c>
      <x:c r="AD9" t="n">
        <x:f>--AND(AD$3&gt;=$B$7,AD$3&lt;$B$8,AD$3&lt;EDATE($B$7,MAX(1,'Вводные'!$H$88)),'Вводные'!$B$88="Да")</x:f>
        <x:v>1</x:v>
      </x:c>
      <x:c r="AE9" t="n">
        <x:f>--AND(AE$3&gt;=$B$7,AE$3&lt;$B$8,AE$3&lt;EDATE($B$7,MAX(1,'Вводные'!$H$88)),'Вводные'!$B$88="Да")</x:f>
        <x:v>1</x:v>
      </x:c>
      <x:c r="AF9" t="n">
        <x:f>--AND(AF$3&gt;=$B$7,AF$3&lt;$B$8,AF$3&lt;EDATE($B$7,MAX(1,'Вводные'!$H$88)),'Вводные'!$B$88="Да")</x:f>
        <x:v>1</x:v>
      </x:c>
      <x:c r="AG9" t="n">
        <x:f>--AND(AG$3&gt;=$B$7,AG$3&lt;$B$8,AG$3&lt;EDATE($B$7,MAX(1,'Вводные'!$H$88)),'Вводные'!$B$88="Да")</x:f>
        <x:v>1</x:v>
      </x:c>
      <x:c r="AH9" t="n">
        <x:f>--AND(AH$3&gt;=$B$7,AH$3&lt;$B$8,AH$3&lt;EDATE($B$7,MAX(1,'Вводные'!$H$88)),'Вводные'!$B$88="Да")</x:f>
        <x:v>1</x:v>
      </x:c>
      <x:c r="AI9" t="n">
        <x:f>--AND(AI$3&gt;=$B$7,AI$3&lt;$B$8,AI$3&lt;EDATE($B$7,MAX(1,'Вводные'!$H$88)),'Вводные'!$B$88="Да")</x:f>
        <x:v>1</x:v>
      </x:c>
      <x:c r="AJ9" t="n">
        <x:f>--AND(AJ$3&gt;=$B$7,AJ$3&lt;$B$8,AJ$3&lt;EDATE($B$7,MAX(1,'Вводные'!$H$88)),'Вводные'!$B$88="Да")</x:f>
        <x:v>1</x:v>
      </x:c>
      <x:c r="AK9" t="n">
        <x:f>--AND(AK$3&gt;=$B$7,AK$3&lt;$B$8,AK$3&lt;EDATE($B$7,MAX(1,'Вводные'!$H$88)),'Вводные'!$B$88="Да")</x:f>
        <x:v>1</x:v>
      </x:c>
      <x:c r="AL9" t="n">
        <x:f>--AND(AL$3&gt;=$B$7,AL$3&lt;$B$8,AL$3&lt;EDATE($B$7,MAX(1,'Вводные'!$H$88)),'Вводные'!$B$88="Да")</x:f>
        <x:v>1</x:v>
      </x:c>
      <x:c r="AM9" t="n">
        <x:f>--AND(AM$3&gt;=$B$7,AM$3&lt;$B$8,AM$3&lt;EDATE($B$7,MAX(1,'Вводные'!$H$88)),'Вводные'!$B$88="Да")</x:f>
        <x:v>1</x:v>
      </x:c>
      <x:c r="AN9" t="n">
        <x:f>--AND(AN$3&gt;=$B$7,AN$3&lt;$B$8,AN$3&lt;EDATE($B$7,MAX(1,'Вводные'!$H$88)),'Вводные'!$B$88="Да")</x:f>
        <x:v>1</x:v>
      </x:c>
      <x:c r="AO9" t="n">
        <x:f>--AND(AO$3&gt;=$B$7,AO$3&lt;$B$8,AO$3&lt;EDATE($B$7,MAX(1,'Вводные'!$H$88)),'Вводные'!$B$88="Да")</x:f>
        <x:v>1</x:v>
      </x:c>
      <x:c r="AP9" t="n">
        <x:f>--AND(AP$3&gt;=$B$7,AP$3&lt;$B$8,AP$3&lt;EDATE($B$7,MAX(1,'Вводные'!$H$88)),'Вводные'!$B$88="Да")</x:f>
        <x:v>1</x:v>
      </x:c>
      <x:c r="AQ9" t="n">
        <x:f>--AND(AQ$3&gt;=$B$7,AQ$3&lt;$B$8,AQ$3&lt;EDATE($B$7,MAX(1,'Вводные'!$H$88)),'Вводные'!$B$88="Да")</x:f>
        <x:v>1</x:v>
      </x:c>
      <x:c r="AR9" t="n">
        <x:f>--AND(AR$3&gt;=$B$7,AR$3&lt;$B$8,AR$3&lt;EDATE($B$7,MAX(1,'Вводные'!$H$88)),'Вводные'!$B$88="Да")</x:f>
        <x:v>1</x:v>
      </x:c>
      <x:c r="AS9" t="n">
        <x:f>--AND(AS$3&gt;=$B$7,AS$3&lt;$B$8,AS$3&lt;EDATE($B$7,MAX(1,'Вводные'!$H$88)),'Вводные'!$B$88="Да")</x:f>
        <x:v>1</x:v>
      </x:c>
      <x:c r="AT9" t="n">
        <x:f>--AND(AT$3&gt;=$B$7,AT$3&lt;$B$8,AT$3&lt;EDATE($B$7,MAX(1,'Вводные'!$H$88)),'Вводные'!$B$88="Да")</x:f>
        <x:v>0</x:v>
      </x:c>
      <x:c r="AU9" t="n">
        <x:f>--AND(AU$3&gt;=$B$7,AU$3&lt;$B$8,AU$3&lt;EDATE($B$7,MAX(1,'Вводные'!$H$88)),'Вводные'!$B$88="Да")</x:f>
        <x:v>0</x:v>
      </x:c>
      <x:c r="AV9" t="n">
        <x:f>--AND(AV$3&gt;=$B$7,AV$3&lt;$B$8,AV$3&lt;EDATE($B$7,MAX(1,'Вводные'!$H$88)),'Вводные'!$B$88="Да")</x:f>
        <x:v>0</x:v>
      </x:c>
      <x:c r="AW9" t="n">
        <x:f>--AND(AW$3&gt;=$B$7,AW$3&lt;$B$8,AW$3&lt;EDATE($B$7,MAX(1,'Вводные'!$H$88)),'Вводные'!$B$88="Да")</x:f>
        <x:v>0</x:v>
      </x:c>
      <x:c r="AX9" t="n">
        <x:f>--AND(AX$3&gt;=$B$7,AX$3&lt;$B$8,AX$3&lt;EDATE($B$7,MAX(1,'Вводные'!$H$88)),'Вводные'!$B$88="Да")</x:f>
        <x:v>0</x:v>
      </x:c>
      <x:c r="AY9" t="n">
        <x:f>--AND(AY$3&gt;=$B$7,AY$3&lt;$B$8,AY$3&lt;EDATE($B$7,MAX(1,'Вводные'!$H$88)),'Вводные'!$B$88="Да")</x:f>
        <x:v>0</x:v>
      </x:c>
      <x:c r="AZ9" t="n">
        <x:f>--AND(AZ$3&gt;=$B$7,AZ$3&lt;$B$8,AZ$3&lt;EDATE($B$7,MAX(1,'Вводные'!$H$88)),'Вводные'!$B$88="Да")</x:f>
        <x:v>0</x:v>
      </x:c>
      <x:c r="BA9" t="n">
        <x:f>--AND(BA$3&gt;=$B$7,BA$3&lt;$B$8,BA$3&lt;EDATE($B$7,MAX(1,'Вводные'!$H$88)),'Вводные'!$B$88="Да")</x:f>
        <x:v>0</x:v>
      </x:c>
      <x:c r="BB9" t="n">
        <x:f>--AND(BB$3&gt;=$B$7,BB$3&lt;$B$8,BB$3&lt;EDATE($B$7,MAX(1,'Вводные'!$H$88)),'Вводные'!$B$88="Да")</x:f>
        <x:v>0</x:v>
      </x:c>
      <x:c r="BC9" t="n">
        <x:f>--AND(BC$3&gt;=$B$7,BC$3&lt;$B$8,BC$3&lt;EDATE($B$7,MAX(1,'Вводные'!$H$88)),'Вводные'!$B$88="Да")</x:f>
        <x:v>0</x:v>
      </x:c>
      <x:c r="BD9" t="n">
        <x:f>--AND(BD$3&gt;=$B$7,BD$3&lt;$B$8,BD$3&lt;EDATE($B$7,MAX(1,'Вводные'!$H$88)),'Вводные'!$B$88="Да")</x:f>
        <x:v>0</x:v>
      </x:c>
      <x:c r="BE9" t="n">
        <x:f>--AND(BE$3&gt;=$B$7,BE$3&lt;$B$8,BE$3&lt;EDATE($B$7,MAX(1,'Вводные'!$H$88)),'Вводные'!$B$88="Да")</x:f>
        <x:v>0</x:v>
      </x:c>
      <x:c r="BF9" t="n">
        <x:f>--AND(BF$3&gt;=$B$7,BF$3&lt;$B$8,BF$3&lt;EDATE($B$7,MAX(1,'Вводные'!$H$88)),'Вводные'!$B$88="Да")</x:f>
        <x:v>0</x:v>
      </x:c>
      <x:c r="BG9" t="n">
        <x:f>--AND(BG$3&gt;=$B$7,BG$3&lt;$B$8,BG$3&lt;EDATE($B$7,MAX(1,'Вводные'!$H$88)),'Вводные'!$B$88="Да")</x:f>
        <x:v>0</x:v>
      </x:c>
      <x:c r="BH9" t="n">
        <x:f>--AND(BH$3&gt;=$B$7,BH$3&lt;$B$8,BH$3&lt;EDATE($B$7,MAX(1,'Вводные'!$H$88)),'Вводные'!$B$88="Да")</x:f>
        <x:v>0</x:v>
      </x:c>
      <x:c r="BI9" t="n">
        <x:f>--AND(BI$3&gt;=$B$7,BI$3&lt;$B$8,BI$3&lt;EDATE($B$7,MAX(1,'Вводные'!$H$88)),'Вводные'!$B$88="Да")</x:f>
        <x:v>0</x:v>
      </x:c>
      <x:c r="BJ9" t="n">
        <x:f>--AND(BJ$3&gt;=$B$7,BJ$3&lt;$B$8,BJ$3&lt;EDATE($B$7,MAX(1,'Вводные'!$H$88)),'Вводные'!$B$88="Да")</x:f>
        <x:v>0</x:v>
      </x:c>
      <x:c r="BK9" t="n">
        <x:f>--AND(BK$3&gt;=$B$7,BK$3&lt;$B$8,BK$3&lt;EDATE($B$7,MAX(1,'Вводные'!$H$88)),'Вводные'!$B$88="Да")</x:f>
        <x:v>0</x:v>
      </x:c>
      <x:c r="BL9" t="n">
        <x:f>--AND(BL$3&gt;=$B$7,BL$3&lt;$B$8,BL$3&lt;EDATE($B$7,MAX(1,'Вводные'!$H$88)),'Вводные'!$B$88="Да")</x:f>
        <x:v>0</x:v>
      </x:c>
      <x:c r="BM9" t="n">
        <x:f>--AND(BM$3&gt;=$B$7,BM$3&lt;$B$8,BM$3&lt;EDATE($B$7,MAX(1,'Вводные'!$H$88)),'Вводные'!$B$88="Да")</x:f>
        <x:v>0</x:v>
      </x:c>
      <x:c r="BN9" t="n">
        <x:f>--AND(BN$3&gt;=$B$7,BN$3&lt;$B$8,BN$3&lt;EDATE($B$7,MAX(1,'Вводные'!$H$88)),'Вводные'!$B$88="Да")</x:f>
        <x:v>0</x:v>
      </x:c>
      <x:c r="BO9" t="n">
        <x:f>--AND(BO$3&gt;=$B$7,BO$3&lt;$B$8,BO$3&lt;EDATE($B$7,MAX(1,'Вводные'!$H$88)),'Вводные'!$B$88="Да")</x:f>
        <x:v>0</x:v>
      </x:c>
      <x:c r="BP9" t="n">
        <x:f>--AND(BP$3&gt;=$B$7,BP$3&lt;$B$8,BP$3&lt;EDATE($B$7,MAX(1,'Вводные'!$H$88)),'Вводные'!$B$88="Да")</x:f>
        <x:v>0</x:v>
      </x:c>
      <x:c r="BQ9" t="n">
        <x:f>--AND(BQ$3&gt;=$B$7,BQ$3&lt;$B$8,BQ$3&lt;EDATE($B$7,MAX(1,'Вводные'!$H$88)),'Вводные'!$B$88="Да")</x:f>
        <x:v>0</x:v>
      </x:c>
      <x:c r="BR9" t="n">
        <x:f>--AND(BR$3&gt;=$B$7,BR$3&lt;$B$8,BR$3&lt;EDATE($B$7,MAX(1,'Вводные'!$H$88)),'Вводные'!$B$88="Да")</x:f>
        <x:v>0</x:v>
      </x:c>
      <x:c r="BS9" t="n">
        <x:f>--AND(BS$3&gt;=$B$7,BS$3&lt;$B$8,BS$3&lt;EDATE($B$7,MAX(1,'Вводные'!$H$88)),'Вводные'!$B$88="Да")</x:f>
        <x:v>0</x:v>
      </x:c>
      <x:c r="BT9" t="n">
        <x:f>--AND(BT$3&gt;=$B$7,BT$3&lt;$B$8,BT$3&lt;EDATE($B$7,MAX(1,'Вводные'!$H$88)),'Вводные'!$B$88="Да")</x:f>
        <x:v>0</x:v>
      </x:c>
      <x:c r="BU9" t="n">
        <x:f>--AND(BU$3&gt;=$B$7,BU$3&lt;$B$8,BU$3&lt;EDATE($B$7,MAX(1,'Вводные'!$H$88)),'Вводные'!$B$88="Да")</x:f>
        <x:v>0</x:v>
      </x:c>
      <x:c r="BV9" t="n">
        <x:f>--AND(BV$3&gt;=$B$7,BV$3&lt;$B$8,BV$3&lt;EDATE($B$7,MAX(1,'Вводные'!$H$88)),'Вводные'!$B$88="Да")</x:f>
        <x:v>0</x:v>
      </x:c>
      <x:c r="BW9" t="n">
        <x:f>--AND(BW$3&gt;=$B$7,BW$3&lt;$B$8,BW$3&lt;EDATE($B$7,MAX(1,'Вводные'!$H$88)),'Вводные'!$B$88="Да")</x:f>
        <x:v>0</x:v>
      </x:c>
      <x:c r="BX9" t="n">
        <x:f>--AND(BX$3&gt;=$B$7,BX$3&lt;$B$8,BX$3&lt;EDATE($B$7,MAX(1,'Вводные'!$H$88)),'Вводные'!$B$88="Да")</x:f>
        <x:v>0</x:v>
      </x:c>
      <x:c r="BY9" t="n">
        <x:f>--AND(BY$3&gt;=$B$7,BY$3&lt;$B$8,BY$3&lt;EDATE($B$7,MAX(1,'Вводные'!$H$88)),'Вводные'!$B$88="Да")</x:f>
        <x:v>0</x:v>
      </x:c>
      <x:c r="BZ9" t="n">
        <x:f>--AND(BZ$3&gt;=$B$7,BZ$3&lt;$B$8,BZ$3&lt;EDATE($B$7,MAX(1,'Вводные'!$H$88)),'Вводные'!$B$88="Да")</x:f>
        <x:v>0</x:v>
      </x:c>
      <x:c r="CA9" t="n">
        <x:f>--AND(CA$3&gt;=$B$7,CA$3&lt;$B$8,CA$3&lt;EDATE($B$7,MAX(1,'Вводные'!$H$88)),'Вводные'!$B$88="Да")</x:f>
        <x:v>0</x:v>
      </x:c>
      <x:c r="CB9" t="n">
        <x:f>--AND(CB$3&gt;=$B$7,CB$3&lt;$B$8,CB$3&lt;EDATE($B$7,MAX(1,'Вводные'!$H$88)),'Вводные'!$B$88="Да")</x:f>
        <x:v>0</x:v>
      </x:c>
      <x:c r="CC9" t="n">
        <x:f>--AND(CC$3&gt;=$B$7,CC$3&lt;$B$8,CC$3&lt;EDATE($B$7,MAX(1,'Вводные'!$H$88)),'Вводные'!$B$88="Да")</x:f>
        <x:v>0</x:v>
      </x:c>
      <x:c r="CD9" t="n">
        <x:f>--AND(CD$3&gt;=$B$7,CD$3&lt;$B$8,CD$3&lt;EDATE($B$7,MAX(1,'Вводные'!$H$88)),'Вводные'!$B$88="Да")</x:f>
        <x:v>0</x:v>
      </x:c>
      <x:c r="CE9" t="n">
        <x:f>--AND(CE$3&gt;=$B$7,CE$3&lt;$B$8,CE$3&lt;EDATE($B$7,MAX(1,'Вводные'!$H$88)),'Вводные'!$B$88="Да")</x:f>
        <x:v>0</x:v>
      </x:c>
      <x:c r="CF9" t="n">
        <x:f>--AND(CF$3&gt;=$B$7,CF$3&lt;$B$8,CF$3&lt;EDATE($B$7,MAX(1,'Вводные'!$H$88)),'Вводные'!$B$88="Да")</x:f>
        <x:v>0</x:v>
      </x:c>
      <x:c r="CG9" t="n">
        <x:f>--AND(CG$3&gt;=$B$7,CG$3&lt;$B$8,CG$3&lt;EDATE($B$7,MAX(1,'Вводные'!$H$88)),'Вводные'!$B$88="Да")</x:f>
        <x:v>0</x:v>
      </x:c>
      <x:c r="CH9" t="n">
        <x:f>--AND(CH$3&gt;=$B$7,CH$3&lt;$B$8,CH$3&lt;EDATE($B$7,MAX(1,'Вводные'!$H$88)),'Вводные'!$B$88="Да")</x:f>
        <x:v>0</x:v>
      </x:c>
      <x:c r="CI9" t="n">
        <x:f>--AND(CI$3&gt;=$B$7,CI$3&lt;$B$8,CI$3&lt;EDATE($B$7,MAX(1,'Вводные'!$H$88)),'Вводные'!$B$88="Да")</x:f>
        <x:v>0</x:v>
      </x:c>
      <x:c r="CJ9" t="n">
        <x:f>--AND(CJ$3&gt;=$B$7,CJ$3&lt;$B$8,CJ$3&lt;EDATE($B$7,MAX(1,'Вводные'!$H$88)),'Вводные'!$B$88="Да")</x:f>
        <x:v>0</x:v>
      </x:c>
      <x:c r="CK9" t="n">
        <x:f>--AND(CK$3&gt;=$B$7,CK$3&lt;$B$8,CK$3&lt;EDATE($B$7,MAX(1,'Вводные'!$H$88)),'Вводные'!$B$88="Да")</x:f>
        <x:v>0</x:v>
      </x:c>
      <x:c r="CL9" t="n">
        <x:f>--AND(CL$3&gt;=$B$7,CL$3&lt;$B$8,CL$3&lt;EDATE($B$7,MAX(1,'Вводные'!$H$88)),'Вводные'!$B$88="Да")</x:f>
        <x:v>0</x:v>
      </x:c>
      <x:c r="CM9" t="n">
        <x:f>--AND(CM$3&gt;=$B$7,CM$3&lt;$B$8,CM$3&lt;EDATE($B$7,MAX(1,'Вводные'!$H$88)),'Вводные'!$B$88="Да")</x:f>
        <x:v>0</x:v>
      </x:c>
      <x:c r="CN9" t="n">
        <x:f>--AND(CN$3&gt;=$B$7,CN$3&lt;$B$8,CN$3&lt;EDATE($B$7,MAX(1,'Вводные'!$H$88)),'Вводные'!$B$88="Да")</x:f>
        <x:v>0</x:v>
      </x:c>
      <x:c r="CO9" t="n">
        <x:f>--AND(CO$3&gt;=$B$7,CO$3&lt;$B$8,CO$3&lt;EDATE($B$7,MAX(1,'Вводные'!$H$88)),'Вводные'!$B$88="Да")</x:f>
        <x:v>0</x:v>
      </x:c>
      <x:c r="CP9" t="n">
        <x:f>--AND(CP$3&gt;=$B$7,CP$3&lt;$B$8,CP$3&lt;EDATE($B$7,MAX(1,'Вводные'!$H$88)),'Вводные'!$B$88="Да")</x:f>
        <x:v>0</x:v>
      </x:c>
      <x:c r="CQ9" t="n">
        <x:f>--AND(CQ$3&gt;=$B$7,CQ$3&lt;$B$8,CQ$3&lt;EDATE($B$7,MAX(1,'Вводные'!$H$88)),'Вводные'!$B$88="Да")</x:f>
        <x:v>0</x:v>
      </x:c>
      <x:c r="CR9" t="n">
        <x:f>--AND(CR$3&gt;=$B$7,CR$3&lt;$B$8,CR$3&lt;EDATE($B$7,MAX(1,'Вводные'!$H$88)),'Вводные'!$B$88="Да")</x:f>
        <x:v>0</x:v>
      </x:c>
      <x:c r="CS9" t="n">
        <x:f>--AND(CS$3&gt;=$B$7,CS$3&lt;$B$8,CS$3&lt;EDATE($B$7,MAX(1,'Вводные'!$H$88)),'Вводные'!$B$88="Да")</x:f>
        <x:v>0</x:v>
      </x:c>
      <x:c r="CT9" t="n">
        <x:f>--AND(CT$3&gt;=$B$7,CT$3&lt;$B$8,CT$3&lt;EDATE($B$7,MAX(1,'Вводные'!$H$88)),'Вводные'!$B$88="Да")</x:f>
        <x:v>0</x:v>
      </x:c>
      <x:c r="CU9" t="n">
        <x:f>--AND(CU$3&gt;=$B$7,CU$3&lt;$B$8,CU$3&lt;EDATE($B$7,MAX(1,'Вводные'!$H$88)),'Вводные'!$B$88="Да")</x:f>
        <x:v>0</x:v>
      </x:c>
      <x:c r="CV9" t="n">
        <x:f>--AND(CV$3&gt;=$B$7,CV$3&lt;$B$8,CV$3&lt;EDATE($B$7,MAX(1,'Вводные'!$H$88)),'Вводные'!$B$88="Да")</x:f>
        <x:v>0</x:v>
      </x:c>
      <x:c r="CW9" t="n">
        <x:f>--AND(CW$3&gt;=$B$7,CW$3&lt;$B$8,CW$3&lt;EDATE($B$7,MAX(1,'Вводные'!$H$88)),'Вводные'!$B$88="Да")</x:f>
        <x:v>0</x:v>
      </x:c>
      <x:c r="CX9" t="n">
        <x:f>--AND(CX$3&gt;=$B$7,CX$3&lt;$B$8,CX$3&lt;EDATE($B$7,MAX(1,'Вводные'!$H$88)),'Вводные'!$B$88="Да")</x:f>
        <x:v>0</x:v>
      </x:c>
      <x:c r="CY9" t="n">
        <x:f>--AND(CY$3&gt;=$B$7,CY$3&lt;$B$8,CY$3&lt;EDATE($B$7,MAX(1,'Вводные'!$H$88)),'Вводные'!$B$88="Да")</x:f>
        <x:v>0</x:v>
      </x:c>
      <x:c r="CZ9" t="n">
        <x:f>--AND(CZ$3&gt;=$B$7,CZ$3&lt;$B$8,CZ$3&lt;EDATE($B$7,MAX(1,'Вводные'!$H$88)),'Вводные'!$B$88="Да")</x:f>
        <x:v>0</x:v>
      </x:c>
      <x:c r="DA9" t="n">
        <x:f>--AND(DA$3&gt;=$B$7,DA$3&lt;$B$8,DA$3&lt;EDATE($B$7,MAX(1,'Вводные'!$H$88)),'Вводные'!$B$88="Да")</x:f>
        <x:v>0</x:v>
      </x:c>
      <x:c r="DB9" t="n">
        <x:f>--AND(DB$3&gt;=$B$7,DB$3&lt;$B$8,DB$3&lt;EDATE($B$7,MAX(1,'Вводные'!$H$88)),'Вводные'!$B$88="Да")</x:f>
        <x:v>0</x:v>
      </x:c>
      <x:c r="DC9" t="n">
        <x:f>--AND(DC$3&gt;=$B$7,DC$3&lt;$B$8,DC$3&lt;EDATE($B$7,MAX(1,'Вводные'!$H$88)),'Вводные'!$B$88="Да")</x:f>
        <x:v>0</x:v>
      </x:c>
      <x:c r="DD9" t="n">
        <x:f>--AND(DD$3&gt;=$B$7,DD$3&lt;$B$8,DD$3&lt;EDATE($B$7,MAX(1,'Вводные'!$H$88)),'Вводные'!$B$88="Да")</x:f>
        <x:v>0</x:v>
      </x:c>
      <x:c r="DE9" t="n">
        <x:f>--AND(DE$3&gt;=$B$7,DE$3&lt;$B$8,DE$3&lt;EDATE($B$7,MAX(1,'Вводные'!$H$88)),'Вводные'!$B$88="Да")</x:f>
        <x:v>0</x:v>
      </x:c>
      <x:c r="DF9" t="n">
        <x:f>--AND(DF$3&gt;=$B$7,DF$3&lt;$B$8,DF$3&lt;EDATE($B$7,MAX(1,'Вводные'!$H$88)),'Вводные'!$B$88="Да")</x:f>
        <x:v>0</x:v>
      </x:c>
      <x:c r="DG9" t="n">
        <x:f>--AND(DG$3&gt;=$B$7,DG$3&lt;$B$8,DG$3&lt;EDATE($B$7,MAX(1,'Вводные'!$H$88)),'Вводные'!$B$88="Да")</x:f>
        <x:v>0</x:v>
      </x:c>
      <x:c r="DH9" t="n">
        <x:f>--AND(DH$3&gt;=$B$7,DH$3&lt;$B$8,DH$3&lt;EDATE($B$7,MAX(1,'Вводные'!$H$88)),'Вводные'!$B$88="Да")</x:f>
        <x:v>0</x:v>
      </x:c>
      <x:c r="DI9" t="n">
        <x:f>--AND(DI$3&gt;=$B$7,DI$3&lt;$B$8,DI$3&lt;EDATE($B$7,MAX(1,'Вводные'!$H$88)),'Вводные'!$B$88="Да")</x:f>
        <x:v>0</x:v>
      </x:c>
      <x:c r="DJ9" t="n">
        <x:f>--AND(DJ$3&gt;=$B$7,DJ$3&lt;$B$8,DJ$3&lt;EDATE($B$7,MAX(1,'Вводные'!$H$88)),'Вводные'!$B$88="Да")</x:f>
        <x:v>0</x:v>
      </x:c>
      <x:c r="DK9" t="n">
        <x:f>--AND(DK$3&gt;=$B$7,DK$3&lt;$B$8,DK$3&lt;EDATE($B$7,MAX(1,'Вводные'!$H$88)),'Вводные'!$B$88="Да")</x:f>
        <x:v>0</x:v>
      </x:c>
      <x:c r="DL9" t="n">
        <x:f>--AND(DL$3&gt;=$B$7,DL$3&lt;$B$8,DL$3&lt;EDATE($B$7,MAX(1,'Вводные'!$H$88)),'Вводные'!$B$88="Да")</x:f>
        <x:v>0</x:v>
      </x:c>
      <x:c r="DM9" t="n">
        <x:f>--AND(DM$3&gt;=$B$7,DM$3&lt;$B$8,DM$3&lt;EDATE($B$7,MAX(1,'Вводные'!$H$88)),'Вводные'!$B$88="Да")</x:f>
        <x:v>0</x:v>
      </x:c>
      <x:c r="DN9" t="n">
        <x:f>--AND(DN$3&gt;=$B$7,DN$3&lt;$B$8,DN$3&lt;EDATE($B$7,MAX(1,'Вводные'!$H$88)),'Вводные'!$B$88="Да")</x:f>
        <x:v>0</x:v>
      </x:c>
      <x:c r="DO9" t="n">
        <x:f>--AND(DO$3&gt;=$B$7,DO$3&lt;$B$8,DO$3&lt;EDATE($B$7,MAX(1,'Вводные'!$H$88)),'Вводные'!$B$88="Да")</x:f>
        <x:v>0</x:v>
      </x:c>
      <x:c r="DP9" t="n">
        <x:f>--AND(DP$3&gt;=$B$7,DP$3&lt;$B$8,DP$3&lt;EDATE($B$7,MAX(1,'Вводные'!$H$88)),'Вводные'!$B$88="Да")</x:f>
        <x:v>0</x:v>
      </x:c>
      <x:c r="DQ9" t="n">
        <x:f>--AND(DQ$3&gt;=$B$7,DQ$3&lt;$B$8,DQ$3&lt;EDATE($B$7,MAX(1,'Вводные'!$H$88)),'Вводные'!$B$88="Да")</x:f>
        <x:v>0</x:v>
      </x:c>
      <x:c r="DR9" t="n">
        <x:f>--AND(DR$3&gt;=$B$7,DR$3&lt;$B$8,DR$3&lt;EDATE($B$7,MAX(1,'Вводные'!$H$88)),'Вводные'!$B$88="Да")</x:f>
        <x:v>0</x:v>
      </x:c>
      <x:c r="DS9" t="n">
        <x:f>--AND(DS$3&gt;=$B$7,DS$3&lt;$B$8,DS$3&lt;EDATE($B$7,MAX(1,'Вводные'!$H$88)),'Вводные'!$B$88="Да")</x:f>
        <x:v>0</x:v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  <x:v>0</x:v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  <x:v>0</x:v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  <x:v>0</x:v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  <x:v>0</x:v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  <x:v>0</x:v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  <x:v>0</x:v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  <x:v>0</x:v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  <x:v>0</x:v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  <x:v>0</x:v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  <x:v>0</x:v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  <x:v>0</x:v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  <x:v>0</x:v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  <x:v>0</x:v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  <x:v>0</x:v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  <x:v>0</x:v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  <x:v>0</x:v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  <x:v>0</x:v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  <x:v>0</x:v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  <x:v>0.85</x:v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  <x:v>0.8584999999999999</x:v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  <x:v>1.0201</x:v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  <x:v>1.0303010000000001</x:v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  <x:v>1.04060401</x:v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  <x:v>1.0510100501000001</x:v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  <x:v>0.9022921280108501</x:v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  <x:v>1.07213535210701</x:v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  <x:v>1.0828567056280802</x:v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  <x:v>1.0936852726843609</x:v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  <x:v>0.9389288065995238</x:v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  <x:v>0.9483180946655191</x:v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  <x:v>0.9578012756121743</x:v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  <x:v>0.967379288368296</x:v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  <x:v>1.1494742132376226</x:v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  <x:v>1.1609689553699987</x:v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  <x:v>1.1725786449236988</x:v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  <x:v>1.1843044313729356</x:v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  <x:v>1.0167253543336652</x:v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  <x:v>1.2081089504435316</x:v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  <x:v>1.220190039947967</x:v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  <x:v>1.2323919403474468</x:v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  <x:v>1.058008480788283</x:v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  <x:v>1.0685885655961658</x:v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  <x:v>1.0792744512521275</x:v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  <x:v>1.0900671957646486</x:v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  <x:v>1.2952563149674063</x:v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  <x:v>1.3082088781170804</x:v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  <x:v>1.321290966898251</x:v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  <x:v>1.3345038765672337</x:v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  <x:v>0</x:v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  <x:v>0</x:v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  <x:v>0</x:v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  <x:v>0</x:v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  <x:v>0</x:v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  <x:v>0</x:v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  <x:v>0</x:v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  <x:v>0</x:v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  <x:v>0</x:v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  <x:v>0</x:v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  <x:v>0</x:v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  <x:v>0</x:v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  <x:v>0</x:v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  <x:v>0</x:v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  <x:v>0</x:v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  <x:v>0</x:v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  <x:v>0</x:v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  <x:v>0</x:v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  <x:v>0</x:v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  <x:v>0</x:v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  <x:v>0</x:v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  <x:v>0</x:v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  <x:v>0</x:v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  <x:v>0</x:v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  <x:v>0</x:v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  <x:v>0</x:v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  <x:v>0</x:v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  <x:v>0</x:v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  <x:v>0</x:v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  <x:v>0</x:v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  <x:v>0</x:v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  <x:v>0</x:v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  <x:v>0</x:v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  <x:v>0</x:v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  <x:v>0</x:v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  <x:v>0</x:v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  <x:v>0</x:v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  <x:v>0</x:v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  <x:v>0</x:v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  <x:v>0</x:v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  <x:v>0</x:v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  <x:v>0</x:v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  <x:v>0</x:v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  <x:v>0</x:v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  <x:v>0</x:v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  <x:v>0</x:v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  <x:v>0</x:v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  <x:v>0</x:v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  <x:v>0</x:v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  <x:v>0</x:v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  <x:v>0</x:v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  <x:v>0</x:v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  <x:v>0</x:v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  <x:v>0</x:v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  <x:v>0</x:v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  <x:v>0</x:v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  <x:v>0</x:v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  <x:v>0</x:v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  <x:v>0</x:v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  <x:v>0</x:v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  <x:v>0</x:v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  <x:v>0</x:v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  <x:v>0</x:v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  <x:v>0</x:v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  <x:v>0</x:v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  <x:v>0</x:v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  <x:v>0</x:v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  <x:v>0</x:v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  <x:v>0</x:v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  <x:v>0</x:v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  <x:v>0</x:v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  <x:v>0</x:v>
      </x:c>
    </x:row>
    <x:row r="11">
      <x:c r="A11" t="str">
        <x:v>Нормированный вес до РВЭ</x:v>
      </x:c>
      <x:c r="B11" t="n">
        <x:f>SUM(D11:DS11)</x:f>
        <x:v>0.9999999999999998</x:v>
      </x:c>
      <x:c r="C11" t="str">
        <x:v>%</x:v>
      </x:c>
      <x:c r="D11" s="35" t="n">
        <x:f>IFERROR(D10*D9/SUMPRODUCT($D10:$DS10,$D9:$DS9),0)</x:f>
        <x:v>0</x:v>
      </x:c>
      <x:c r="E11" s="35" t="n">
        <x:f>IFERROR(E10*E9/SUMPRODUCT($D10:$DS10,$D9:$DS9),0)</x:f>
        <x:v>0</x:v>
      </x:c>
      <x:c r="F11" s="35" t="n">
        <x:f>IFERROR(F10*F9/SUMPRODUCT($D10:$DS10,$D9:$DS9),0)</x:f>
        <x:v>0</x:v>
      </x:c>
      <x:c r="G11" s="35" t="n">
        <x:f>IFERROR(G10*G9/SUMPRODUCT($D10:$DS10,$D9:$DS9),0)</x:f>
        <x:v>0</x:v>
      </x:c>
      <x:c r="H11" s="35" t="n">
        <x:f>IFERROR(H10*H9/SUMPRODUCT($D10:$DS10,$D9:$DS9),0)</x:f>
        <x:v>0</x:v>
      </x:c>
      <x:c r="I11" s="35" t="n">
        <x:f>IFERROR(I10*I9/SUMPRODUCT($D10:$DS10,$D9:$DS9),0)</x:f>
        <x:v>0</x:v>
      </x:c>
      <x:c r="J11" s="35" t="n">
        <x:f>IFERROR(J10*J9/SUMPRODUCT($D10:$DS10,$D9:$DS9),0)</x:f>
        <x:v>0</x:v>
      </x:c>
      <x:c r="K11" s="35" t="n">
        <x:f>IFERROR(K10*K9/SUMPRODUCT($D10:$DS10,$D9:$DS9),0)</x:f>
        <x:v>0</x:v>
      </x:c>
      <x:c r="L11" s="35" t="n">
        <x:f>IFERROR(L10*L9/SUMPRODUCT($D10:$DS10,$D9:$DS9),0)</x:f>
        <x:v>0</x:v>
      </x:c>
      <x:c r="M11" s="35" t="n">
        <x:f>IFERROR(M10*M9/SUMPRODUCT($D10:$DS10,$D9:$DS9),0)</x:f>
        <x:v>0</x:v>
      </x:c>
      <x:c r="N11" s="35" t="n">
        <x:f>IFERROR(N10*N9/SUMPRODUCT($D10:$DS10,$D9:$DS9),0)</x:f>
        <x:v>0</x:v>
      </x:c>
      <x:c r="O11" s="35" t="n">
        <x:f>IFERROR(O10*O9/SUMPRODUCT($D10:$DS10,$D9:$DS9),0)</x:f>
        <x:v>0</x:v>
      </x:c>
      <x:c r="P11" s="35" t="n">
        <x:f>IFERROR(P10*P9/SUMPRODUCT($D10:$DS10,$D9:$DS9),0)</x:f>
        <x:v>0</x:v>
      </x:c>
      <x:c r="Q11" s="35" t="n">
        <x:f>IFERROR(Q10*Q9/SUMPRODUCT($D10:$DS10,$D9:$DS9),0)</x:f>
        <x:v>0</x:v>
      </x:c>
      <x:c r="R11" s="35" t="n">
        <x:f>IFERROR(R10*R9/SUMPRODUCT($D10:$DS10,$D9:$DS9),0)</x:f>
        <x:v>0</x:v>
      </x:c>
      <x:c r="S11" s="35" t="n">
        <x:f>IFERROR(S10*S9/SUMPRODUCT($D10:$DS10,$D9:$DS9),0)</x:f>
        <x:v>0</x:v>
      </x:c>
      <x:c r="T11" s="35" t="n">
        <x:f>IFERROR(T10*T9/SUMPRODUCT($D10:$DS10,$D9:$DS9),0)</x:f>
        <x:v>0</x:v>
      </x:c>
      <x:c r="U11" s="35" t="n">
        <x:f>IFERROR(U10*U9/SUMPRODUCT($D10:$DS10,$D9:$DS9),0)</x:f>
        <x:v>0</x:v>
      </x:c>
      <x:c r="V11" s="35" t="n">
        <x:f>IFERROR(V10*V9/SUMPRODUCT($D10:$DS10,$D9:$DS9),0)</x:f>
        <x:v>0.033616434385808025</x:v>
      </x:c>
      <x:c r="W11" s="35" t="n">
        <x:f>IFERROR(W10*W9/SUMPRODUCT($D10:$DS10,$D9:$DS9),0)</x:f>
        <x:v>0.033952598729666106</x:v>
      </x:c>
      <x:c r="X11" s="35" t="n">
        <x:f>IFERROR(X10*X9/SUMPRODUCT($D10:$DS10,$D9:$DS9),0)</x:f>
        <x:v>0.04034367613760326</x:v>
      </x:c>
      <x:c r="Y11" s="35" t="n">
        <x:f>IFERROR(Y10*Y9/SUMPRODUCT($D10:$DS10,$D9:$DS9),0)</x:f>
        <x:v>0.040747112898979296</x:v>
      </x:c>
      <x:c r="Z11" s="35" t="n">
        <x:f>IFERROR(Z10*Z9/SUMPRODUCT($D10:$DS10,$D9:$DS9),0)</x:f>
        <x:v>0.041154584027969086</x:v>
      </x:c>
      <x:c r="AA11" s="35" t="n">
        <x:f>IFERROR(AA10*AA9/SUMPRODUCT($D10:$DS10,$D9:$DS9),0)</x:f>
        <x:v>0.04156612986824878</x:v>
      </x:c>
      <x:c r="AB11" s="35" t="n">
        <x:f>IFERROR(AB10*AB9/SUMPRODUCT($D10:$DS10,$D9:$DS9),0)</x:f>
        <x:v>0.03568452249189158</x:v>
      </x:c>
      <x:c r="AC11" s="35" t="n">
        <x:f>IFERROR(AC10*AC9/SUMPRODUCT($D10:$DS10,$D9:$DS9),0)</x:f>
        <x:v>0.04240160907860058</x:v>
      </x:c>
      <x:c r="AD11" s="35" t="n">
        <x:f>IFERROR(AD10*AD9/SUMPRODUCT($D10:$DS10,$D9:$DS9),0)</x:f>
        <x:v>0.04282562516938659</x:v>
      </x:c>
      <x:c r="AE11" s="35" t="n">
        <x:f>IFERROR(AE10*AE9/SUMPRODUCT($D10:$DS10,$D9:$DS9),0)</x:f>
        <x:v>0.04325388142108044</x:v>
      </x:c>
      <x:c r="AF11" s="35" t="n">
        <x:f>IFERROR(AF10*AF9/SUMPRODUCT($D10:$DS10,$D9:$DS9),0)</x:f>
        <x:v>0.03713345719999756</x:v>
      </x:c>
      <x:c r="AG11" s="35" t="n">
        <x:f>IFERROR(AG10*AG9/SUMPRODUCT($D10:$DS10,$D9:$DS9),0)</x:f>
        <x:v>0.03750479177199754</x:v>
      </x:c>
      <x:c r="AH11" s="35" t="n">
        <x:f>IFERROR(AH10*AH9/SUMPRODUCT($D10:$DS10,$D9:$DS9),0)</x:f>
        <x:v>0.03787983968971752</x:v>
      </x:c>
      <x:c r="AI11" s="35" t="n">
        <x:f>IFERROR(AI10*AI9/SUMPRODUCT($D10:$DS10,$D9:$DS9),0)</x:f>
        <x:v>0.038258638086614685</x:v>
      </x:c>
      <x:c r="AJ11" s="35" t="n">
        <x:f>IFERROR(AJ10*AJ9/SUMPRODUCT($D10:$DS10,$D9:$DS9),0)</x:f>
        <x:v>0.045460264079389225</x:v>
      </x:c>
      <x:c r="AK11" s="35" t="n">
        <x:f>IFERROR(AK10*AK9/SUMPRODUCT($D10:$DS10,$D9:$DS9),0)</x:f>
        <x:v>0.04591486672018311</x:v>
      </x:c>
      <x:c r="AL11" s="35" t="n">
        <x:f>IFERROR(AL10*AL9/SUMPRODUCT($D10:$DS10,$D9:$DS9),0)</x:f>
        <x:v>0.04637401538738495</x:v>
      </x:c>
      <x:c r="AM11" s="35" t="n">
        <x:f>IFERROR(AM10*AM9/SUMPRODUCT($D10:$DS10,$D9:$DS9),0)</x:f>
        <x:v>0.046837755541258796</x:v>
      </x:c>
      <x:c r="AN11" s="35" t="n">
        <x:f>IFERROR(AN10*AN9/SUMPRODUCT($D10:$DS10,$D9:$DS9),0)</x:f>
        <x:v>0.04021021313217067</x:v>
      </x:c>
      <x:c r="AO11" s="35" t="n">
        <x:f>IFERROR(AO10*AO9/SUMPRODUCT($D10:$DS10,$D9:$DS9),0)</x:f>
        <x:v>0.047779194427638096</x:v>
      </x:c>
      <x:c r="AP11" s="35" t="n">
        <x:f>IFERROR(AP10*AP9/SUMPRODUCT($D10:$DS10,$D9:$DS9),0)</x:f>
        <x:v>0.04825698637191448</x:v>
      </x:c>
      <x:c r="AQ11" s="35" t="n">
        <x:f>IFERROR(AQ10*AQ9/SUMPRODUCT($D10:$DS10,$D9:$DS9),0)</x:f>
        <x:v>0.04873955623563363</x:v>
      </x:c>
      <x:c r="AR11" s="35" t="n">
        <x:f>IFERROR(AR10*AR9/SUMPRODUCT($D10:$DS10,$D9:$DS9),0)</x:f>
        <x:v>0.04184290902829147</x:v>
      </x:c>
      <x:c r="AS11" s="35" t="n">
        <x:f>IFERROR(AS10*AS9/SUMPRODUCT($D10:$DS10,$D9:$DS9),0)</x:f>
        <x:v>0.04226133811857438</x:v>
      </x:c>
      <x:c r="AT11" s="35" t="n">
        <x:f>IFERROR(AT10*AT9/SUMPRODUCT($D10:$DS10,$D9:$DS9),0)</x:f>
        <x:v>0</x:v>
      </x:c>
      <x:c r="AU11" s="35" t="n">
        <x:f>IFERROR(AU10*AU9/SUMPRODUCT($D10:$DS10,$D9:$DS9),0)</x:f>
        <x:v>0</x:v>
      </x:c>
      <x:c r="AV11" s="35" t="n">
        <x:f>IFERROR(AV10*AV9/SUMPRODUCT($D10:$DS10,$D9:$DS9),0)</x:f>
        <x:v>0</x:v>
      </x:c>
      <x:c r="AW11" s="35" t="n">
        <x:f>IFERROR(AW10*AW9/SUMPRODUCT($D10:$DS10,$D9:$DS9),0)</x:f>
        <x:v>0</x:v>
      </x:c>
      <x:c r="AX11" s="35" t="n">
        <x:f>IFERROR(AX10*AX9/SUMPRODUCT($D10:$DS10,$D9:$DS9),0)</x:f>
        <x:v>0</x:v>
      </x:c>
      <x:c r="AY11" s="35" t="n">
        <x:f>IFERROR(AY10*AY9/SUMPRODUCT($D10:$DS10,$D9:$DS9),0)</x:f>
        <x:v>0</x:v>
      </x:c>
      <x:c r="AZ11" s="35" t="n">
        <x:f>IFERROR(AZ10*AZ9/SUMPRODUCT($D10:$DS10,$D9:$DS9),0)</x:f>
        <x:v>0</x:v>
      </x:c>
      <x:c r="BA11" s="35" t="n">
        <x:f>IFERROR(BA10*BA9/SUMPRODUCT($D10:$DS10,$D9:$DS9),0)</x:f>
        <x:v>0</x:v>
      </x:c>
      <x:c r="BB11" s="35" t="n">
        <x:f>IFERROR(BB10*BB9/SUMPRODUCT($D10:$DS10,$D9:$DS9),0)</x:f>
        <x:v>0</x:v>
      </x:c>
      <x:c r="BC11" s="35" t="n">
        <x:f>IFERROR(BC10*BC9/SUMPRODUCT($D10:$DS10,$D9:$DS9),0)</x:f>
        <x:v>0</x:v>
      </x:c>
      <x:c r="BD11" s="35" t="n">
        <x:f>IFERROR(BD10*BD9/SUMPRODUCT($D10:$DS10,$D9:$DS9),0)</x:f>
        <x:v>0</x:v>
      </x:c>
      <x:c r="BE11" s="35" t="n">
        <x:f>IFERROR(BE10*BE9/SUMPRODUCT($D10:$DS10,$D9:$DS9),0)</x:f>
        <x:v>0</x:v>
      </x:c>
      <x:c r="BF11" s="35" t="n">
        <x:f>IFERROR(BF10*BF9/SUMPRODUCT($D10:$DS10,$D9:$DS9),0)</x:f>
        <x:v>0</x:v>
      </x:c>
      <x:c r="BG11" s="35" t="n">
        <x:f>IFERROR(BG10*BG9/SUMPRODUCT($D10:$DS10,$D9:$DS9),0)</x:f>
        <x:v>0</x:v>
      </x:c>
      <x:c r="BH11" s="35" t="n">
        <x:f>IFERROR(BH10*BH9/SUMPRODUCT($D10:$DS10,$D9:$DS9),0)</x:f>
        <x:v>0</x:v>
      </x:c>
      <x:c r="BI11" s="35" t="n">
        <x:f>IFERROR(BI10*BI9/SUMPRODUCT($D10:$DS10,$D9:$DS9),0)</x:f>
        <x:v>0</x:v>
      </x:c>
      <x:c r="BJ11" s="35" t="n">
        <x:f>IFERROR(BJ10*BJ9/SUMPRODUCT($D10:$DS10,$D9:$DS9),0)</x:f>
        <x:v>0</x:v>
      </x:c>
      <x:c r="BK11" s="35" t="n">
        <x:f>IFERROR(BK10*BK9/SUMPRODUCT($D10:$DS10,$D9:$DS9),0)</x:f>
        <x:v>0</x:v>
      </x:c>
      <x:c r="BL11" s="35" t="n">
        <x:f>IFERROR(BL10*BL9/SUMPRODUCT($D10:$DS10,$D9:$DS9),0)</x:f>
        <x:v>0</x:v>
      </x:c>
      <x:c r="BM11" s="35" t="n">
        <x:f>IFERROR(BM10*BM9/SUMPRODUCT($D10:$DS10,$D9:$DS9),0)</x:f>
        <x:v>0</x:v>
      </x:c>
      <x:c r="BN11" s="35" t="n">
        <x:f>IFERROR(BN10*BN9/SUMPRODUCT($D10:$DS10,$D9:$DS9),0)</x:f>
        <x:v>0</x:v>
      </x:c>
      <x:c r="BO11" s="35" t="n">
        <x:f>IFERROR(BO10*BO9/SUMPRODUCT($D10:$DS10,$D9:$DS9),0)</x:f>
        <x:v>0</x:v>
      </x:c>
      <x:c r="BP11" s="35" t="n">
        <x:f>IFERROR(BP10*BP9/SUMPRODUCT($D10:$DS10,$D9:$DS9),0)</x:f>
        <x:v>0</x:v>
      </x:c>
      <x:c r="BQ11" s="35" t="n">
        <x:f>IFERROR(BQ10*BQ9/SUMPRODUCT($D10:$DS10,$D9:$DS9),0)</x:f>
        <x:v>0</x:v>
      </x:c>
      <x:c r="BR11" s="35" t="n">
        <x:f>IFERROR(BR10*BR9/SUMPRODUCT($D10:$DS10,$D9:$DS9),0)</x:f>
        <x:v>0</x:v>
      </x:c>
      <x:c r="BS11" s="35" t="n">
        <x:f>IFERROR(BS10*BS9/SUMPRODUCT($D10:$DS10,$D9:$DS9),0)</x:f>
        <x:v>0</x:v>
      </x:c>
      <x:c r="BT11" s="35" t="n">
        <x:f>IFERROR(BT10*BT9/SUMPRODUCT($D10:$DS10,$D9:$DS9),0)</x:f>
        <x:v>0</x:v>
      </x:c>
      <x:c r="BU11" s="35" t="n">
        <x:f>IFERROR(BU10*BU9/SUMPRODUCT($D10:$DS10,$D9:$DS9),0)</x:f>
        <x:v>0</x:v>
      </x:c>
      <x:c r="BV11" s="35" t="n">
        <x:f>IFERROR(BV10*BV9/SUMPRODUCT($D10:$DS10,$D9:$DS9),0)</x:f>
        <x:v>0</x:v>
      </x:c>
      <x:c r="BW11" s="35" t="n">
        <x:f>IFERROR(BW10*BW9/SUMPRODUCT($D10:$DS10,$D9:$DS9),0)</x:f>
        <x:v>0</x:v>
      </x:c>
      <x:c r="BX11" s="35" t="n">
        <x:f>IFERROR(BX10*BX9/SUMPRODUCT($D10:$DS10,$D9:$DS9),0)</x:f>
        <x:v>0</x:v>
      </x:c>
      <x:c r="BY11" s="35" t="n">
        <x:f>IFERROR(BY10*BY9/SUMPRODUCT($D10:$DS10,$D9:$DS9),0)</x:f>
        <x:v>0</x:v>
      </x:c>
      <x:c r="BZ11" s="35" t="n">
        <x:f>IFERROR(BZ10*BZ9/SUMPRODUCT($D10:$DS10,$D9:$DS9),0)</x:f>
        <x:v>0</x:v>
      </x:c>
      <x:c r="CA11" s="35" t="n">
        <x:f>IFERROR(CA10*CA9/SUMPRODUCT($D10:$DS10,$D9:$DS9),0)</x:f>
        <x:v>0</x:v>
      </x:c>
      <x:c r="CB11" s="35" t="n">
        <x:f>IFERROR(CB10*CB9/SUMPRODUCT($D10:$DS10,$D9:$DS9),0)</x:f>
        <x:v>0</x:v>
      </x:c>
      <x:c r="CC11" s="35" t="n">
        <x:f>IFERROR(CC10*CC9/SUMPRODUCT($D10:$DS10,$D9:$DS9),0)</x:f>
        <x:v>0</x:v>
      </x:c>
      <x:c r="CD11" s="35" t="n">
        <x:f>IFERROR(CD10*CD9/SUMPRODUCT($D10:$DS10,$D9:$DS9),0)</x:f>
        <x:v>0</x:v>
      </x:c>
      <x:c r="CE11" s="35" t="n">
        <x:f>IFERROR(CE10*CE9/SUMPRODUCT($D10:$DS10,$D9:$DS9),0)</x:f>
        <x:v>0</x:v>
      </x:c>
      <x:c r="CF11" s="35" t="n">
        <x:f>IFERROR(CF10*CF9/SUMPRODUCT($D10:$DS10,$D9:$DS9),0)</x:f>
        <x:v>0</x:v>
      </x:c>
      <x:c r="CG11" s="35" t="n">
        <x:f>IFERROR(CG10*CG9/SUMPRODUCT($D10:$DS10,$D9:$DS9),0)</x:f>
        <x:v>0</x:v>
      </x:c>
      <x:c r="CH11" s="35" t="n">
        <x:f>IFERROR(CH10*CH9/SUMPRODUCT($D10:$DS10,$D9:$DS9),0)</x:f>
        <x:v>0</x:v>
      </x:c>
      <x:c r="CI11" s="35" t="n">
        <x:f>IFERROR(CI10*CI9/SUMPRODUCT($D10:$DS10,$D9:$DS9),0)</x:f>
        <x:v>0</x:v>
      </x:c>
      <x:c r="CJ11" s="35" t="n">
        <x:f>IFERROR(CJ10*CJ9/SUMPRODUCT($D10:$DS10,$D9:$DS9),0)</x:f>
        <x:v>0</x:v>
      </x:c>
      <x:c r="CK11" s="35" t="n">
        <x:f>IFERROR(CK10*CK9/SUMPRODUCT($D10:$DS10,$D9:$DS9),0)</x:f>
        <x:v>0</x:v>
      </x:c>
      <x:c r="CL11" s="35" t="n">
        <x:f>IFERROR(CL10*CL9/SUMPRODUCT($D10:$DS10,$D9:$DS9),0)</x:f>
        <x:v>0</x:v>
      </x:c>
      <x:c r="CM11" s="35" t="n">
        <x:f>IFERROR(CM10*CM9/SUMPRODUCT($D10:$DS10,$D9:$DS9),0)</x:f>
        <x:v>0</x:v>
      </x:c>
      <x:c r="CN11" s="35" t="n">
        <x:f>IFERROR(CN10*CN9/SUMPRODUCT($D10:$DS10,$D9:$DS9),0)</x:f>
        <x:v>0</x:v>
      </x:c>
      <x:c r="CO11" s="35" t="n">
        <x:f>IFERROR(CO10*CO9/SUMPRODUCT($D10:$DS10,$D9:$DS9),0)</x:f>
        <x:v>0</x:v>
      </x:c>
      <x:c r="CP11" s="35" t="n">
        <x:f>IFERROR(CP10*CP9/SUMPRODUCT($D10:$DS10,$D9:$DS9),0)</x:f>
        <x:v>0</x:v>
      </x:c>
      <x:c r="CQ11" s="35" t="n">
        <x:f>IFERROR(CQ10*CQ9/SUMPRODUCT($D10:$DS10,$D9:$DS9),0)</x:f>
        <x:v>0</x:v>
      </x:c>
      <x:c r="CR11" s="35" t="n">
        <x:f>IFERROR(CR10*CR9/SUMPRODUCT($D10:$DS10,$D9:$DS9),0)</x:f>
        <x:v>0</x:v>
      </x:c>
      <x:c r="CS11" s="35" t="n">
        <x:f>IFERROR(CS10*CS9/SUMPRODUCT($D10:$DS10,$D9:$DS9),0)</x:f>
        <x:v>0</x:v>
      </x:c>
      <x:c r="CT11" s="35" t="n">
        <x:f>IFERROR(CT10*CT9/SUMPRODUCT($D10:$DS10,$D9:$DS9),0)</x:f>
        <x:v>0</x:v>
      </x:c>
      <x:c r="CU11" s="35" t="n">
        <x:f>IFERROR(CU10*CU9/SUMPRODUCT($D10:$DS10,$D9:$DS9),0)</x:f>
        <x:v>0</x:v>
      </x:c>
      <x:c r="CV11" s="35" t="n">
        <x:f>IFERROR(CV10*CV9/SUMPRODUCT($D10:$DS10,$D9:$DS9),0)</x:f>
        <x:v>0</x:v>
      </x:c>
      <x:c r="CW11" s="35" t="n">
        <x:f>IFERROR(CW10*CW9/SUMPRODUCT($D10:$DS10,$D9:$DS9),0)</x:f>
        <x:v>0</x:v>
      </x:c>
      <x:c r="CX11" s="35" t="n">
        <x:f>IFERROR(CX10*CX9/SUMPRODUCT($D10:$DS10,$D9:$DS9),0)</x:f>
        <x:v>0</x:v>
      </x:c>
      <x:c r="CY11" s="35" t="n">
        <x:f>IFERROR(CY10*CY9/SUMPRODUCT($D10:$DS10,$D9:$DS9),0)</x:f>
        <x:v>0</x:v>
      </x:c>
      <x:c r="CZ11" s="35" t="n">
        <x:f>IFERROR(CZ10*CZ9/SUMPRODUCT($D10:$DS10,$D9:$DS9),0)</x:f>
        <x:v>0</x:v>
      </x:c>
      <x:c r="DA11" s="35" t="n">
        <x:f>IFERROR(DA10*DA9/SUMPRODUCT($D10:$DS10,$D9:$DS9),0)</x:f>
        <x:v>0</x:v>
      </x:c>
      <x:c r="DB11" s="35" t="n">
        <x:f>IFERROR(DB10*DB9/SUMPRODUCT($D10:$DS10,$D9:$DS9),0)</x:f>
        <x:v>0</x:v>
      </x:c>
      <x:c r="DC11" s="35" t="n">
        <x:f>IFERROR(DC10*DC9/SUMPRODUCT($D10:$DS10,$D9:$DS9),0)</x:f>
        <x:v>0</x:v>
      </x:c>
      <x:c r="DD11" s="35" t="n">
        <x:f>IFERROR(DD10*DD9/SUMPRODUCT($D10:$DS10,$D9:$DS9),0)</x:f>
        <x:v>0</x:v>
      </x:c>
      <x:c r="DE11" s="35" t="n">
        <x:f>IFERROR(DE10*DE9/SUMPRODUCT($D10:$DS10,$D9:$DS9),0)</x:f>
        <x:v>0</x:v>
      </x:c>
      <x:c r="DF11" s="35" t="n">
        <x:f>IFERROR(DF10*DF9/SUMPRODUCT($D10:$DS10,$D9:$DS9),0)</x:f>
        <x:v>0</x:v>
      </x:c>
      <x:c r="DG11" s="35" t="n">
        <x:f>IFERROR(DG10*DG9/SUMPRODUCT($D10:$DS10,$D9:$DS9),0)</x:f>
        <x:v>0</x:v>
      </x:c>
      <x:c r="DH11" s="35" t="n">
        <x:f>IFERROR(DH10*DH9/SUMPRODUCT($D10:$DS10,$D9:$DS9),0)</x:f>
        <x:v>0</x:v>
      </x:c>
      <x:c r="DI11" s="35" t="n">
        <x:f>IFERROR(DI10*DI9/SUMPRODUCT($D10:$DS10,$D9:$DS9),0)</x:f>
        <x:v>0</x:v>
      </x:c>
      <x:c r="DJ11" s="35" t="n">
        <x:f>IFERROR(DJ10*DJ9/SUMPRODUCT($D10:$DS10,$D9:$DS9),0)</x:f>
        <x:v>0</x:v>
      </x:c>
      <x:c r="DK11" s="35" t="n">
        <x:f>IFERROR(DK10*DK9/SUMPRODUCT($D10:$DS10,$D9:$DS9),0)</x:f>
        <x:v>0</x:v>
      </x:c>
      <x:c r="DL11" s="35" t="n">
        <x:f>IFERROR(DL10*DL9/SUMPRODUCT($D10:$DS10,$D9:$DS9),0)</x:f>
        <x:v>0</x:v>
      </x:c>
      <x:c r="DM11" s="35" t="n">
        <x:f>IFERROR(DM10*DM9/SUMPRODUCT($D10:$DS10,$D9:$DS9),0)</x:f>
        <x:v>0</x:v>
      </x:c>
      <x:c r="DN11" s="35" t="n">
        <x:f>IFERROR(DN10*DN9/SUMPRODUCT($D10:$DS10,$D9:$DS9),0)</x:f>
        <x:v>0</x:v>
      </x:c>
      <x:c r="DO11" s="35" t="n">
        <x:f>IFERROR(DO10*DO9/SUMPRODUCT($D10:$DS10,$D9:$DS9),0)</x:f>
        <x:v>0</x:v>
      </x:c>
      <x:c r="DP11" s="35" t="n">
        <x:f>IFERROR(DP10*DP9/SUMPRODUCT($D10:$DS10,$D9:$DS9),0)</x:f>
        <x:v>0</x:v>
      </x:c>
      <x:c r="DQ11" s="35" t="n">
        <x:f>IFERROR(DQ10*DQ9/SUMPRODUCT($D10:$DS10,$D9:$DS9),0)</x:f>
        <x:v>0</x:v>
      </x:c>
      <x:c r="DR11" s="35" t="n">
        <x:f>IFERROR(DR10*DR9/SUMPRODUCT($D10:$DS10,$D9:$DS9),0)</x:f>
        <x:v>0</x:v>
      </x:c>
      <x:c r="DS11" s="35" t="n">
        <x:f>IFERROR(DS10*DS9/SUMPRODUCT($D10:$DS10,$D9:$DS9),0)</x:f>
        <x:v>0</x:v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  <x:v>0</x:v>
      </x:c>
      <x:c r="E12" s="35" t="n">
        <x:f>--AND(E$3&gt;=MAX($B$7,$B$8),E$3&lt;EDATE($B$7,MAX(1,'Вводные'!$H$88)),'Вводные'!$B$88="Да")</x:f>
        <x:v>0</x:v>
      </x:c>
      <x:c r="F12" s="35" t="n">
        <x:f>--AND(F$3&gt;=MAX($B$7,$B$8),F$3&lt;EDATE($B$7,MAX(1,'Вводные'!$H$88)),'Вводные'!$B$88="Да")</x:f>
        <x:v>0</x:v>
      </x:c>
      <x:c r="G12" s="35" t="n">
        <x:f>--AND(G$3&gt;=MAX($B$7,$B$8),G$3&lt;EDATE($B$7,MAX(1,'Вводные'!$H$88)),'Вводные'!$B$88="Да")</x:f>
        <x:v>0</x:v>
      </x:c>
      <x:c r="H12" s="35" t="n">
        <x:f>--AND(H$3&gt;=MAX($B$7,$B$8),H$3&lt;EDATE($B$7,MAX(1,'Вводные'!$H$88)),'Вводные'!$B$88="Да")</x:f>
        <x:v>0</x:v>
      </x:c>
      <x:c r="I12" s="35" t="n">
        <x:f>--AND(I$3&gt;=MAX($B$7,$B$8),I$3&lt;EDATE($B$7,MAX(1,'Вводные'!$H$88)),'Вводные'!$B$88="Да")</x:f>
        <x:v>0</x:v>
      </x:c>
      <x:c r="J12" s="35" t="n">
        <x:f>--AND(J$3&gt;=MAX($B$7,$B$8),J$3&lt;EDATE($B$7,MAX(1,'Вводные'!$H$88)),'Вводные'!$B$88="Да")</x:f>
        <x:v>0</x:v>
      </x:c>
      <x:c r="K12" s="35" t="n">
        <x:f>--AND(K$3&gt;=MAX($B$7,$B$8),K$3&lt;EDATE($B$7,MAX(1,'Вводные'!$H$88)),'Вводные'!$B$88="Да")</x:f>
        <x:v>0</x:v>
      </x:c>
      <x:c r="L12" s="35" t="n">
        <x:f>--AND(L$3&gt;=MAX($B$7,$B$8),L$3&lt;EDATE($B$7,MAX(1,'Вводные'!$H$88)),'Вводные'!$B$88="Да")</x:f>
        <x:v>0</x:v>
      </x:c>
      <x:c r="M12" s="35" t="n">
        <x:f>--AND(M$3&gt;=MAX($B$7,$B$8),M$3&lt;EDATE($B$7,MAX(1,'Вводные'!$H$88)),'Вводные'!$B$88="Да")</x:f>
        <x:v>0</x:v>
      </x:c>
      <x:c r="N12" s="35" t="n">
        <x:f>--AND(N$3&gt;=MAX($B$7,$B$8),N$3&lt;EDATE($B$7,MAX(1,'Вводные'!$H$88)),'Вводные'!$B$88="Да")</x:f>
        <x:v>0</x:v>
      </x:c>
      <x:c r="O12" s="35" t="n">
        <x:f>--AND(O$3&gt;=MAX($B$7,$B$8),O$3&lt;EDATE($B$7,MAX(1,'Вводные'!$H$88)),'Вводные'!$B$88="Да")</x:f>
        <x:v>0</x:v>
      </x:c>
      <x:c r="P12" s="35" t="n">
        <x:f>--AND(P$3&gt;=MAX($B$7,$B$8),P$3&lt;EDATE($B$7,MAX(1,'Вводные'!$H$88)),'Вводные'!$B$88="Да")</x:f>
        <x:v>0</x:v>
      </x:c>
      <x:c r="Q12" s="35" t="n">
        <x:f>--AND(Q$3&gt;=MAX($B$7,$B$8),Q$3&lt;EDATE($B$7,MAX(1,'Вводные'!$H$88)),'Вводные'!$B$88="Да")</x:f>
        <x:v>0</x:v>
      </x:c>
      <x:c r="R12" s="35" t="n">
        <x:f>--AND(R$3&gt;=MAX($B$7,$B$8),R$3&lt;EDATE($B$7,MAX(1,'Вводные'!$H$88)),'Вводные'!$B$88="Да")</x:f>
        <x:v>0</x:v>
      </x:c>
      <x:c r="S12" s="35" t="n">
        <x:f>--AND(S$3&gt;=MAX($B$7,$B$8),S$3&lt;EDATE($B$7,MAX(1,'Вводные'!$H$88)),'Вводные'!$B$88="Да")</x:f>
        <x:v>0</x:v>
      </x:c>
      <x:c r="T12" s="35" t="n">
        <x:f>--AND(T$3&gt;=MAX($B$7,$B$8),T$3&lt;EDATE($B$7,MAX(1,'Вводные'!$H$88)),'Вводные'!$B$88="Да")</x:f>
        <x:v>0</x:v>
      </x:c>
      <x:c r="U12" s="35" t="n">
        <x:f>--AND(U$3&gt;=MAX($B$7,$B$8),U$3&lt;EDATE($B$7,MAX(1,'Вводные'!$H$88)),'Вводные'!$B$88="Да")</x:f>
        <x:v>0</x:v>
      </x:c>
      <x:c r="V12" s="35" t="n">
        <x:f>--AND(V$3&gt;=MAX($B$7,$B$8),V$3&lt;EDATE($B$7,MAX(1,'Вводные'!$H$88)),'Вводные'!$B$88="Да")</x:f>
        <x:v>0</x:v>
      </x:c>
      <x:c r="W12" s="35" t="n">
        <x:f>--AND(W$3&gt;=MAX($B$7,$B$8),W$3&lt;EDATE($B$7,MAX(1,'Вводные'!$H$88)),'Вводные'!$B$88="Да")</x:f>
        <x:v>0</x:v>
      </x:c>
      <x:c r="X12" s="35" t="n">
        <x:f>--AND(X$3&gt;=MAX($B$7,$B$8),X$3&lt;EDATE($B$7,MAX(1,'Вводные'!$H$88)),'Вводные'!$B$88="Да")</x:f>
        <x:v>0</x:v>
      </x:c>
      <x:c r="Y12" s="35" t="n">
        <x:f>--AND(Y$3&gt;=MAX($B$7,$B$8),Y$3&lt;EDATE($B$7,MAX(1,'Вводные'!$H$88)),'Вводные'!$B$88="Да")</x:f>
        <x:v>0</x:v>
      </x:c>
      <x:c r="Z12" s="35" t="n">
        <x:f>--AND(Z$3&gt;=MAX($B$7,$B$8),Z$3&lt;EDATE($B$7,MAX(1,'Вводные'!$H$88)),'Вводные'!$B$88="Да")</x:f>
        <x:v>0</x:v>
      </x:c>
      <x:c r="AA12" s="35" t="n">
        <x:f>--AND(AA$3&gt;=MAX($B$7,$B$8),AA$3&lt;EDATE($B$7,MAX(1,'Вводные'!$H$88)),'Вводные'!$B$88="Да")</x:f>
        <x:v>0</x:v>
      </x:c>
      <x:c r="AB12" s="35" t="n">
        <x:f>--AND(AB$3&gt;=MAX($B$7,$B$8),AB$3&lt;EDATE($B$7,MAX(1,'Вводные'!$H$88)),'Вводные'!$B$88="Да")</x:f>
        <x:v>0</x:v>
      </x:c>
      <x:c r="AC12" s="35" t="n">
        <x:f>--AND(AC$3&gt;=MAX($B$7,$B$8),AC$3&lt;EDATE($B$7,MAX(1,'Вводные'!$H$88)),'Вводные'!$B$88="Да")</x:f>
        <x:v>0</x:v>
      </x:c>
      <x:c r="AD12" s="35" t="n">
        <x:f>--AND(AD$3&gt;=MAX($B$7,$B$8),AD$3&lt;EDATE($B$7,MAX(1,'Вводные'!$H$88)),'Вводные'!$B$88="Да")</x:f>
        <x:v>0</x:v>
      </x:c>
      <x:c r="AE12" s="35" t="n">
        <x:f>--AND(AE$3&gt;=MAX($B$7,$B$8),AE$3&lt;EDATE($B$7,MAX(1,'Вводные'!$H$88)),'Вводные'!$B$88="Да")</x:f>
        <x:v>0</x:v>
      </x:c>
      <x:c r="AF12" s="35" t="n">
        <x:f>--AND(AF$3&gt;=MAX($B$7,$B$8),AF$3&lt;EDATE($B$7,MAX(1,'Вводные'!$H$88)),'Вводные'!$B$88="Да")</x:f>
        <x:v>0</x:v>
      </x:c>
      <x:c r="AG12" s="35" t="n">
        <x:f>--AND(AG$3&gt;=MAX($B$7,$B$8),AG$3&lt;EDATE($B$7,MAX(1,'Вводные'!$H$88)),'Вводные'!$B$88="Да")</x:f>
        <x:v>0</x:v>
      </x:c>
      <x:c r="AH12" s="35" t="n">
        <x:f>--AND(AH$3&gt;=MAX($B$7,$B$8),AH$3&lt;EDATE($B$7,MAX(1,'Вводные'!$H$88)),'Вводные'!$B$88="Да")</x:f>
        <x:v>0</x:v>
      </x:c>
      <x:c r="AI12" s="35" t="n">
        <x:f>--AND(AI$3&gt;=MAX($B$7,$B$8),AI$3&lt;EDATE($B$7,MAX(1,'Вводные'!$H$88)),'Вводные'!$B$88="Да")</x:f>
        <x:v>0</x:v>
      </x:c>
      <x:c r="AJ12" s="35" t="n">
        <x:f>--AND(AJ$3&gt;=MAX($B$7,$B$8),AJ$3&lt;EDATE($B$7,MAX(1,'Вводные'!$H$88)),'Вводные'!$B$88="Да")</x:f>
        <x:v>0</x:v>
      </x:c>
      <x:c r="AK12" s="35" t="n">
        <x:f>--AND(AK$3&gt;=MAX($B$7,$B$8),AK$3&lt;EDATE($B$7,MAX(1,'Вводные'!$H$88)),'Вводные'!$B$88="Да")</x:f>
        <x:v>0</x:v>
      </x:c>
      <x:c r="AL12" s="35" t="n">
        <x:f>--AND(AL$3&gt;=MAX($B$7,$B$8),AL$3&lt;EDATE($B$7,MAX(1,'Вводные'!$H$88)),'Вводные'!$B$88="Да")</x:f>
        <x:v>0</x:v>
      </x:c>
      <x:c r="AM12" s="35" t="n">
        <x:f>--AND(AM$3&gt;=MAX($B$7,$B$8),AM$3&lt;EDATE($B$7,MAX(1,'Вводные'!$H$88)),'Вводные'!$B$88="Да")</x:f>
        <x:v>0</x:v>
      </x:c>
      <x:c r="AN12" s="35" t="n">
        <x:f>--AND(AN$3&gt;=MAX($B$7,$B$8),AN$3&lt;EDATE($B$7,MAX(1,'Вводные'!$H$88)),'Вводные'!$B$88="Да")</x:f>
        <x:v>0</x:v>
      </x:c>
      <x:c r="AO12" s="35" t="n">
        <x:f>--AND(AO$3&gt;=MAX($B$7,$B$8),AO$3&lt;EDATE($B$7,MAX(1,'Вводные'!$H$88)),'Вводные'!$B$88="Да")</x:f>
        <x:v>0</x:v>
      </x:c>
      <x:c r="AP12" s="35" t="n">
        <x:f>--AND(AP$3&gt;=MAX($B$7,$B$8),AP$3&lt;EDATE($B$7,MAX(1,'Вводные'!$H$88)),'Вводные'!$B$88="Да")</x:f>
        <x:v>0</x:v>
      </x:c>
      <x:c r="AQ12" s="35" t="n">
        <x:f>--AND(AQ$3&gt;=MAX($B$7,$B$8),AQ$3&lt;EDATE($B$7,MAX(1,'Вводные'!$H$88)),'Вводные'!$B$88="Да")</x:f>
        <x:v>0</x:v>
      </x:c>
      <x:c r="AR12" s="35" t="n">
        <x:f>--AND(AR$3&gt;=MAX($B$7,$B$8),AR$3&lt;EDATE($B$7,MAX(1,'Вводные'!$H$88)),'Вводные'!$B$88="Да")</x:f>
        <x:v>0</x:v>
      </x:c>
      <x:c r="AS12" s="35" t="n">
        <x:f>--AND(AS$3&gt;=MAX($B$7,$B$8),AS$3&lt;EDATE($B$7,MAX(1,'Вводные'!$H$88)),'Вводные'!$B$88="Да")</x:f>
        <x:v>0</x:v>
      </x:c>
      <x:c r="AT12" s="35" t="n">
        <x:f>--AND(AT$3&gt;=MAX($B$7,$B$8),AT$3&lt;EDATE($B$7,MAX(1,'Вводные'!$H$88)),'Вводные'!$B$88="Да")</x:f>
        <x:v>1</x:v>
      </x:c>
      <x:c r="AU12" s="35" t="n">
        <x:f>--AND(AU$3&gt;=MAX($B$7,$B$8),AU$3&lt;EDATE($B$7,MAX(1,'Вводные'!$H$88)),'Вводные'!$B$88="Да")</x:f>
        <x:v>1</x:v>
      </x:c>
      <x:c r="AV12" s="35" t="n">
        <x:f>--AND(AV$3&gt;=MAX($B$7,$B$8),AV$3&lt;EDATE($B$7,MAX(1,'Вводные'!$H$88)),'Вводные'!$B$88="Да")</x:f>
        <x:v>1</x:v>
      </x:c>
      <x:c r="AW12" s="35" t="n">
        <x:f>--AND(AW$3&gt;=MAX($B$7,$B$8),AW$3&lt;EDATE($B$7,MAX(1,'Вводные'!$H$88)),'Вводные'!$B$88="Да")</x:f>
        <x:v>1</x:v>
      </x:c>
      <x:c r="AX12" s="35" t="n">
        <x:f>--AND(AX$3&gt;=MAX($B$7,$B$8),AX$3&lt;EDATE($B$7,MAX(1,'Вводные'!$H$88)),'Вводные'!$B$88="Да")</x:f>
        <x:v>1</x:v>
      </x:c>
      <x:c r="AY12" s="35" t="n">
        <x:f>--AND(AY$3&gt;=MAX($B$7,$B$8),AY$3&lt;EDATE($B$7,MAX(1,'Вводные'!$H$88)),'Вводные'!$B$88="Да")</x:f>
        <x:v>1</x:v>
      </x:c>
      <x:c r="AZ12" s="35" t="n">
        <x:f>--AND(AZ$3&gt;=MAX($B$7,$B$8),AZ$3&lt;EDATE($B$7,MAX(1,'Вводные'!$H$88)),'Вводные'!$B$88="Да")</x:f>
        <x:v>0</x:v>
      </x:c>
      <x:c r="BA12" s="35" t="n">
        <x:f>--AND(BA$3&gt;=MAX($B$7,$B$8),BA$3&lt;EDATE($B$7,MAX(1,'Вводные'!$H$88)),'Вводные'!$B$88="Да")</x:f>
        <x:v>0</x:v>
      </x:c>
      <x:c r="BB12" s="35" t="n">
        <x:f>--AND(BB$3&gt;=MAX($B$7,$B$8),BB$3&lt;EDATE($B$7,MAX(1,'Вводные'!$H$88)),'Вводные'!$B$88="Да")</x:f>
        <x:v>0</x:v>
      </x:c>
      <x:c r="BC12" s="35" t="n">
        <x:f>--AND(BC$3&gt;=MAX($B$7,$B$8),BC$3&lt;EDATE($B$7,MAX(1,'Вводные'!$H$88)),'Вводные'!$B$88="Да")</x:f>
        <x:v>0</x:v>
      </x:c>
      <x:c r="BD12" s="35" t="n">
        <x:f>--AND(BD$3&gt;=MAX($B$7,$B$8),BD$3&lt;EDATE($B$7,MAX(1,'Вводные'!$H$88)),'Вводные'!$B$88="Да")</x:f>
        <x:v>0</x:v>
      </x:c>
      <x:c r="BE12" s="35" t="n">
        <x:f>--AND(BE$3&gt;=MAX($B$7,$B$8),BE$3&lt;EDATE($B$7,MAX(1,'Вводные'!$H$88)),'Вводные'!$B$88="Да")</x:f>
        <x:v>0</x:v>
      </x:c>
      <x:c r="BF12" s="35" t="n">
        <x:f>--AND(BF$3&gt;=MAX($B$7,$B$8),BF$3&lt;EDATE($B$7,MAX(1,'Вводные'!$H$88)),'Вводные'!$B$88="Да")</x:f>
        <x:v>0</x:v>
      </x:c>
      <x:c r="BG12" s="35" t="n">
        <x:f>--AND(BG$3&gt;=MAX($B$7,$B$8),BG$3&lt;EDATE($B$7,MAX(1,'Вводные'!$H$88)),'Вводные'!$B$88="Да")</x:f>
        <x:v>0</x:v>
      </x:c>
      <x:c r="BH12" s="35" t="n">
        <x:f>--AND(BH$3&gt;=MAX($B$7,$B$8),BH$3&lt;EDATE($B$7,MAX(1,'Вводные'!$H$88)),'Вводные'!$B$88="Да")</x:f>
        <x:v>0</x:v>
      </x:c>
      <x:c r="BI12" s="35" t="n">
        <x:f>--AND(BI$3&gt;=MAX($B$7,$B$8),BI$3&lt;EDATE($B$7,MAX(1,'Вводные'!$H$88)),'Вводные'!$B$88="Да")</x:f>
        <x:v>0</x:v>
      </x:c>
      <x:c r="BJ12" s="35" t="n">
        <x:f>--AND(BJ$3&gt;=MAX($B$7,$B$8),BJ$3&lt;EDATE($B$7,MAX(1,'Вводные'!$H$88)),'Вводные'!$B$88="Да")</x:f>
        <x:v>0</x:v>
      </x:c>
      <x:c r="BK12" s="35" t="n">
        <x:f>--AND(BK$3&gt;=MAX($B$7,$B$8),BK$3&lt;EDATE($B$7,MAX(1,'Вводные'!$H$88)),'Вводные'!$B$88="Да")</x:f>
        <x:v>0</x:v>
      </x:c>
      <x:c r="BL12" s="35" t="n">
        <x:f>--AND(BL$3&gt;=MAX($B$7,$B$8),BL$3&lt;EDATE($B$7,MAX(1,'Вводные'!$H$88)),'Вводные'!$B$88="Да")</x:f>
        <x:v>0</x:v>
      </x:c>
      <x:c r="BM12" s="35" t="n">
        <x:f>--AND(BM$3&gt;=MAX($B$7,$B$8),BM$3&lt;EDATE($B$7,MAX(1,'Вводные'!$H$88)),'Вводные'!$B$88="Да")</x:f>
        <x:v>0</x:v>
      </x:c>
      <x:c r="BN12" s="35" t="n">
        <x:f>--AND(BN$3&gt;=MAX($B$7,$B$8),BN$3&lt;EDATE($B$7,MAX(1,'Вводные'!$H$88)),'Вводные'!$B$88="Да")</x:f>
        <x:v>0</x:v>
      </x:c>
      <x:c r="BO12" s="35" t="n">
        <x:f>--AND(BO$3&gt;=MAX($B$7,$B$8),BO$3&lt;EDATE($B$7,MAX(1,'Вводные'!$H$88)),'Вводные'!$B$88="Да")</x:f>
        <x:v>0</x:v>
      </x:c>
      <x:c r="BP12" s="35" t="n">
        <x:f>--AND(BP$3&gt;=MAX($B$7,$B$8),BP$3&lt;EDATE($B$7,MAX(1,'Вводные'!$H$88)),'Вводные'!$B$88="Да")</x:f>
        <x:v>0</x:v>
      </x:c>
      <x:c r="BQ12" s="35" t="n">
        <x:f>--AND(BQ$3&gt;=MAX($B$7,$B$8),BQ$3&lt;EDATE($B$7,MAX(1,'Вводные'!$H$88)),'Вводные'!$B$88="Да")</x:f>
        <x:v>0</x:v>
      </x:c>
      <x:c r="BR12" s="35" t="n">
        <x:f>--AND(BR$3&gt;=MAX($B$7,$B$8),BR$3&lt;EDATE($B$7,MAX(1,'Вводные'!$H$88)),'Вводные'!$B$88="Да")</x:f>
        <x:v>0</x:v>
      </x:c>
      <x:c r="BS12" s="35" t="n">
        <x:f>--AND(BS$3&gt;=MAX($B$7,$B$8),BS$3&lt;EDATE($B$7,MAX(1,'Вводные'!$H$88)),'Вводные'!$B$88="Да")</x:f>
        <x:v>0</x:v>
      </x:c>
      <x:c r="BT12" s="35" t="n">
        <x:f>--AND(BT$3&gt;=MAX($B$7,$B$8),BT$3&lt;EDATE($B$7,MAX(1,'Вводные'!$H$88)),'Вводные'!$B$88="Да")</x:f>
        <x:v>0</x:v>
      </x:c>
      <x:c r="BU12" s="35" t="n">
        <x:f>--AND(BU$3&gt;=MAX($B$7,$B$8),BU$3&lt;EDATE($B$7,MAX(1,'Вводные'!$H$88)),'Вводные'!$B$88="Да")</x:f>
        <x:v>0</x:v>
      </x:c>
      <x:c r="BV12" s="35" t="n">
        <x:f>--AND(BV$3&gt;=MAX($B$7,$B$8),BV$3&lt;EDATE($B$7,MAX(1,'Вводные'!$H$88)),'Вводные'!$B$88="Да")</x:f>
        <x:v>0</x:v>
      </x:c>
      <x:c r="BW12" s="35" t="n">
        <x:f>--AND(BW$3&gt;=MAX($B$7,$B$8),BW$3&lt;EDATE($B$7,MAX(1,'Вводные'!$H$88)),'Вводные'!$B$88="Да")</x:f>
        <x:v>0</x:v>
      </x:c>
      <x:c r="BX12" s="35" t="n">
        <x:f>--AND(BX$3&gt;=MAX($B$7,$B$8),BX$3&lt;EDATE($B$7,MAX(1,'Вводные'!$H$88)),'Вводные'!$B$88="Да")</x:f>
        <x:v>0</x:v>
      </x:c>
      <x:c r="BY12" s="35" t="n">
        <x:f>--AND(BY$3&gt;=MAX($B$7,$B$8),BY$3&lt;EDATE($B$7,MAX(1,'Вводные'!$H$88)),'Вводные'!$B$88="Да")</x:f>
        <x:v>0</x:v>
      </x:c>
      <x:c r="BZ12" s="35" t="n">
        <x:f>--AND(BZ$3&gt;=MAX($B$7,$B$8),BZ$3&lt;EDATE($B$7,MAX(1,'Вводные'!$H$88)),'Вводные'!$B$88="Да")</x:f>
        <x:v>0</x:v>
      </x:c>
      <x:c r="CA12" s="35" t="n">
        <x:f>--AND(CA$3&gt;=MAX($B$7,$B$8),CA$3&lt;EDATE($B$7,MAX(1,'Вводные'!$H$88)),'Вводные'!$B$88="Да")</x:f>
        <x:v>0</x:v>
      </x:c>
      <x:c r="CB12" s="35" t="n">
        <x:f>--AND(CB$3&gt;=MAX($B$7,$B$8),CB$3&lt;EDATE($B$7,MAX(1,'Вводные'!$H$88)),'Вводные'!$B$88="Да")</x:f>
        <x:v>0</x:v>
      </x:c>
      <x:c r="CC12" s="35" t="n">
        <x:f>--AND(CC$3&gt;=MAX($B$7,$B$8),CC$3&lt;EDATE($B$7,MAX(1,'Вводные'!$H$88)),'Вводные'!$B$88="Да")</x:f>
        <x:v>0</x:v>
      </x:c>
      <x:c r="CD12" s="35" t="n">
        <x:f>--AND(CD$3&gt;=MAX($B$7,$B$8),CD$3&lt;EDATE($B$7,MAX(1,'Вводные'!$H$88)),'Вводные'!$B$88="Да")</x:f>
        <x:v>0</x:v>
      </x:c>
      <x:c r="CE12" s="35" t="n">
        <x:f>--AND(CE$3&gt;=MAX($B$7,$B$8),CE$3&lt;EDATE($B$7,MAX(1,'Вводные'!$H$88)),'Вводные'!$B$88="Да")</x:f>
        <x:v>0</x:v>
      </x:c>
      <x:c r="CF12" s="35" t="n">
        <x:f>--AND(CF$3&gt;=MAX($B$7,$B$8),CF$3&lt;EDATE($B$7,MAX(1,'Вводные'!$H$88)),'Вводные'!$B$88="Да")</x:f>
        <x:v>0</x:v>
      </x:c>
      <x:c r="CG12" s="35" t="n">
        <x:f>--AND(CG$3&gt;=MAX($B$7,$B$8),CG$3&lt;EDATE($B$7,MAX(1,'Вводные'!$H$88)),'Вводные'!$B$88="Да")</x:f>
        <x:v>0</x:v>
      </x:c>
      <x:c r="CH12" s="35" t="n">
        <x:f>--AND(CH$3&gt;=MAX($B$7,$B$8),CH$3&lt;EDATE($B$7,MAX(1,'Вводные'!$H$88)),'Вводные'!$B$88="Да")</x:f>
        <x:v>0</x:v>
      </x:c>
      <x:c r="CI12" s="35" t="n">
        <x:f>--AND(CI$3&gt;=MAX($B$7,$B$8),CI$3&lt;EDATE($B$7,MAX(1,'Вводные'!$H$88)),'Вводные'!$B$88="Да")</x:f>
        <x:v>0</x:v>
      </x:c>
      <x:c r="CJ12" s="35" t="n">
        <x:f>--AND(CJ$3&gt;=MAX($B$7,$B$8),CJ$3&lt;EDATE($B$7,MAX(1,'Вводные'!$H$88)),'Вводные'!$B$88="Да")</x:f>
        <x:v>0</x:v>
      </x:c>
      <x:c r="CK12" s="35" t="n">
        <x:f>--AND(CK$3&gt;=MAX($B$7,$B$8),CK$3&lt;EDATE($B$7,MAX(1,'Вводные'!$H$88)),'Вводные'!$B$88="Да")</x:f>
        <x:v>0</x:v>
      </x:c>
      <x:c r="CL12" s="35" t="n">
        <x:f>--AND(CL$3&gt;=MAX($B$7,$B$8),CL$3&lt;EDATE($B$7,MAX(1,'Вводные'!$H$88)),'Вводные'!$B$88="Да")</x:f>
        <x:v>0</x:v>
      </x:c>
      <x:c r="CM12" s="35" t="n">
        <x:f>--AND(CM$3&gt;=MAX($B$7,$B$8),CM$3&lt;EDATE($B$7,MAX(1,'Вводные'!$H$88)),'Вводные'!$B$88="Да")</x:f>
        <x:v>0</x:v>
      </x:c>
      <x:c r="CN12" s="35" t="n">
        <x:f>--AND(CN$3&gt;=MAX($B$7,$B$8),CN$3&lt;EDATE($B$7,MAX(1,'Вводные'!$H$88)),'Вводные'!$B$88="Да")</x:f>
        <x:v>0</x:v>
      </x:c>
      <x:c r="CO12" s="35" t="n">
        <x:f>--AND(CO$3&gt;=MAX($B$7,$B$8),CO$3&lt;EDATE($B$7,MAX(1,'Вводные'!$H$88)),'Вводные'!$B$88="Да")</x:f>
        <x:v>0</x:v>
      </x:c>
      <x:c r="CP12" s="35" t="n">
        <x:f>--AND(CP$3&gt;=MAX($B$7,$B$8),CP$3&lt;EDATE($B$7,MAX(1,'Вводные'!$H$88)),'Вводные'!$B$88="Да")</x:f>
        <x:v>0</x:v>
      </x:c>
      <x:c r="CQ12" s="35" t="n">
        <x:f>--AND(CQ$3&gt;=MAX($B$7,$B$8),CQ$3&lt;EDATE($B$7,MAX(1,'Вводные'!$H$88)),'Вводные'!$B$88="Да")</x:f>
        <x:v>0</x:v>
      </x:c>
      <x:c r="CR12" s="35" t="n">
        <x:f>--AND(CR$3&gt;=MAX($B$7,$B$8),CR$3&lt;EDATE($B$7,MAX(1,'Вводные'!$H$88)),'Вводные'!$B$88="Да")</x:f>
        <x:v>0</x:v>
      </x:c>
      <x:c r="CS12" s="35" t="n">
        <x:f>--AND(CS$3&gt;=MAX($B$7,$B$8),CS$3&lt;EDATE($B$7,MAX(1,'Вводные'!$H$88)),'Вводные'!$B$88="Да")</x:f>
        <x:v>0</x:v>
      </x:c>
      <x:c r="CT12" s="35" t="n">
        <x:f>--AND(CT$3&gt;=MAX($B$7,$B$8),CT$3&lt;EDATE($B$7,MAX(1,'Вводные'!$H$88)),'Вводные'!$B$88="Да")</x:f>
        <x:v>0</x:v>
      </x:c>
      <x:c r="CU12" s="35" t="n">
        <x:f>--AND(CU$3&gt;=MAX($B$7,$B$8),CU$3&lt;EDATE($B$7,MAX(1,'Вводные'!$H$88)),'Вводные'!$B$88="Да")</x:f>
        <x:v>0</x:v>
      </x:c>
      <x:c r="CV12" s="35" t="n">
        <x:f>--AND(CV$3&gt;=MAX($B$7,$B$8),CV$3&lt;EDATE($B$7,MAX(1,'Вводные'!$H$88)),'Вводные'!$B$88="Да")</x:f>
        <x:v>0</x:v>
      </x:c>
      <x:c r="CW12" s="35" t="n">
        <x:f>--AND(CW$3&gt;=MAX($B$7,$B$8),CW$3&lt;EDATE($B$7,MAX(1,'Вводные'!$H$88)),'Вводные'!$B$88="Да")</x:f>
        <x:v>0</x:v>
      </x:c>
      <x:c r="CX12" s="35" t="n">
        <x:f>--AND(CX$3&gt;=MAX($B$7,$B$8),CX$3&lt;EDATE($B$7,MAX(1,'Вводные'!$H$88)),'Вводные'!$B$88="Да")</x:f>
        <x:v>0</x:v>
      </x:c>
      <x:c r="CY12" s="35" t="n">
        <x:f>--AND(CY$3&gt;=MAX($B$7,$B$8),CY$3&lt;EDATE($B$7,MAX(1,'Вводные'!$H$88)),'Вводные'!$B$88="Да")</x:f>
        <x:v>0</x:v>
      </x:c>
      <x:c r="CZ12" s="35" t="n">
        <x:f>--AND(CZ$3&gt;=MAX($B$7,$B$8),CZ$3&lt;EDATE($B$7,MAX(1,'Вводные'!$H$88)),'Вводные'!$B$88="Да")</x:f>
        <x:v>0</x:v>
      </x:c>
      <x:c r="DA12" s="35" t="n">
        <x:f>--AND(DA$3&gt;=MAX($B$7,$B$8),DA$3&lt;EDATE($B$7,MAX(1,'Вводные'!$H$88)),'Вводные'!$B$88="Да")</x:f>
        <x:v>0</x:v>
      </x:c>
      <x:c r="DB12" s="35" t="n">
        <x:f>--AND(DB$3&gt;=MAX($B$7,$B$8),DB$3&lt;EDATE($B$7,MAX(1,'Вводные'!$H$88)),'Вводные'!$B$88="Да")</x:f>
        <x:v>0</x:v>
      </x:c>
      <x:c r="DC12" s="35" t="n">
        <x:f>--AND(DC$3&gt;=MAX($B$7,$B$8),DC$3&lt;EDATE($B$7,MAX(1,'Вводные'!$H$88)),'Вводные'!$B$88="Да")</x:f>
        <x:v>0</x:v>
      </x:c>
      <x:c r="DD12" s="35" t="n">
        <x:f>--AND(DD$3&gt;=MAX($B$7,$B$8),DD$3&lt;EDATE($B$7,MAX(1,'Вводные'!$H$88)),'Вводные'!$B$88="Да")</x:f>
        <x:v>0</x:v>
      </x:c>
      <x:c r="DE12" s="35" t="n">
        <x:f>--AND(DE$3&gt;=MAX($B$7,$B$8),DE$3&lt;EDATE($B$7,MAX(1,'Вводные'!$H$88)),'Вводные'!$B$88="Да")</x:f>
        <x:v>0</x:v>
      </x:c>
      <x:c r="DF12" s="35" t="n">
        <x:f>--AND(DF$3&gt;=MAX($B$7,$B$8),DF$3&lt;EDATE($B$7,MAX(1,'Вводные'!$H$88)),'Вводные'!$B$88="Да")</x:f>
        <x:v>0</x:v>
      </x:c>
      <x:c r="DG12" s="35" t="n">
        <x:f>--AND(DG$3&gt;=MAX($B$7,$B$8),DG$3&lt;EDATE($B$7,MAX(1,'Вводные'!$H$88)),'Вводные'!$B$88="Да")</x:f>
        <x:v>0</x:v>
      </x:c>
      <x:c r="DH12" s="35" t="n">
        <x:f>--AND(DH$3&gt;=MAX($B$7,$B$8),DH$3&lt;EDATE($B$7,MAX(1,'Вводные'!$H$88)),'Вводные'!$B$88="Да")</x:f>
        <x:v>0</x:v>
      </x:c>
      <x:c r="DI12" s="35" t="n">
        <x:f>--AND(DI$3&gt;=MAX($B$7,$B$8),DI$3&lt;EDATE($B$7,MAX(1,'Вводные'!$H$88)),'Вводные'!$B$88="Да")</x:f>
        <x:v>0</x:v>
      </x:c>
      <x:c r="DJ12" s="35" t="n">
        <x:f>--AND(DJ$3&gt;=MAX($B$7,$B$8),DJ$3&lt;EDATE($B$7,MAX(1,'Вводные'!$H$88)),'Вводные'!$B$88="Да")</x:f>
        <x:v>0</x:v>
      </x:c>
      <x:c r="DK12" s="35" t="n">
        <x:f>--AND(DK$3&gt;=MAX($B$7,$B$8),DK$3&lt;EDATE($B$7,MAX(1,'Вводные'!$H$88)),'Вводные'!$B$88="Да")</x:f>
        <x:v>0</x:v>
      </x:c>
      <x:c r="DL12" s="35" t="n">
        <x:f>--AND(DL$3&gt;=MAX($B$7,$B$8),DL$3&lt;EDATE($B$7,MAX(1,'Вводные'!$H$88)),'Вводные'!$B$88="Да")</x:f>
        <x:v>0</x:v>
      </x:c>
      <x:c r="DM12" s="35" t="n">
        <x:f>--AND(DM$3&gt;=MAX($B$7,$B$8),DM$3&lt;EDATE($B$7,MAX(1,'Вводные'!$H$88)),'Вводные'!$B$88="Да")</x:f>
        <x:v>0</x:v>
      </x:c>
      <x:c r="DN12" s="35" t="n">
        <x:f>--AND(DN$3&gt;=MAX($B$7,$B$8),DN$3&lt;EDATE($B$7,MAX(1,'Вводные'!$H$88)),'Вводные'!$B$88="Да")</x:f>
        <x:v>0</x:v>
      </x:c>
      <x:c r="DO12" s="35" t="n">
        <x:f>--AND(DO$3&gt;=MAX($B$7,$B$8),DO$3&lt;EDATE($B$7,MAX(1,'Вводные'!$H$88)),'Вводные'!$B$88="Да")</x:f>
        <x:v>0</x:v>
      </x:c>
      <x:c r="DP12" s="35" t="n">
        <x:f>--AND(DP$3&gt;=MAX($B$7,$B$8),DP$3&lt;EDATE($B$7,MAX(1,'Вводные'!$H$88)),'Вводные'!$B$88="Да")</x:f>
        <x:v>0</x:v>
      </x:c>
      <x:c r="DQ12" s="35" t="n">
        <x:f>--AND(DQ$3&gt;=MAX($B$7,$B$8),DQ$3&lt;EDATE($B$7,MAX(1,'Вводные'!$H$88)),'Вводные'!$B$88="Да")</x:f>
        <x:v>0</x:v>
      </x:c>
      <x:c r="DR12" s="35" t="n">
        <x:f>--AND(DR$3&gt;=MAX($B$7,$B$8),DR$3&lt;EDATE($B$7,MAX(1,'Вводные'!$H$88)),'Вводные'!$B$88="Да")</x:f>
        <x:v>0</x:v>
      </x:c>
      <x:c r="DS12" s="35" t="n">
        <x:f>--AND(DS$3&gt;=MAX($B$7,$B$8),DS$3&lt;EDATE($B$7,MAX(1,'Вводные'!$H$88)),'Вводные'!$B$88="Да")</x:f>
        <x:v>0</x:v>
      </x:c>
    </x:row>
    <x:row r="13">
      <x:c r="A13" t="str">
        <x:v>Нормированный вес после РВЭ</x:v>
      </x:c>
      <x:c r="B13" t="n">
        <x:f>SUM(D13:DS13)</x:f>
        <x:v>1</x:v>
      </x:c>
      <x:c r="C13" t="str">
        <x:v>%</x:v>
      </x:c>
      <x:c r="D13" s="35" t="n">
        <x:f>IFERROR(D10*D12/SUMPRODUCT($D10:$DS10,$D12:$DS12),0)</x:f>
        <x:v>0</x:v>
      </x:c>
      <x:c r="E13" s="35" t="n">
        <x:f>IFERROR(E10*E12/SUMPRODUCT($D10:$DS10,$D12:$DS12),0)</x:f>
        <x:v>0</x:v>
      </x:c>
      <x:c r="F13" s="35" t="n">
        <x:f>IFERROR(F10*F12/SUMPRODUCT($D10:$DS10,$D12:$DS12),0)</x:f>
        <x:v>0</x:v>
      </x:c>
      <x:c r="G13" s="35" t="n">
        <x:f>IFERROR(G10*G12/SUMPRODUCT($D10:$DS10,$D12:$DS12),0)</x:f>
        <x:v>0</x:v>
      </x:c>
      <x:c r="H13" s="35" t="n">
        <x:f>IFERROR(H10*H12/SUMPRODUCT($D10:$DS10,$D12:$DS12),0)</x:f>
        <x:v>0</x:v>
      </x:c>
      <x:c r="I13" s="35" t="n">
        <x:f>IFERROR(I10*I12/SUMPRODUCT($D10:$DS10,$D12:$DS12),0)</x:f>
        <x:v>0</x:v>
      </x:c>
      <x:c r="J13" s="35" t="n">
        <x:f>IFERROR(J10*J12/SUMPRODUCT($D10:$DS10,$D12:$DS12),0)</x:f>
        <x:v>0</x:v>
      </x:c>
      <x:c r="K13" s="35" t="n">
        <x:f>IFERROR(K10*K12/SUMPRODUCT($D10:$DS10,$D12:$DS12),0)</x:f>
        <x:v>0</x:v>
      </x:c>
      <x:c r="L13" s="35" t="n">
        <x:f>IFERROR(L10*L12/SUMPRODUCT($D10:$DS10,$D12:$DS12),0)</x:f>
        <x:v>0</x:v>
      </x:c>
      <x:c r="M13" s="35" t="n">
        <x:f>IFERROR(M10*M12/SUMPRODUCT($D10:$DS10,$D12:$DS12),0)</x:f>
        <x:v>0</x:v>
      </x:c>
      <x:c r="N13" s="35" t="n">
        <x:f>IFERROR(N10*N12/SUMPRODUCT($D10:$DS10,$D12:$DS12),0)</x:f>
        <x:v>0</x:v>
      </x:c>
      <x:c r="O13" s="35" t="n">
        <x:f>IFERROR(O10*O12/SUMPRODUCT($D10:$DS10,$D12:$DS12),0)</x:f>
        <x:v>0</x:v>
      </x:c>
      <x:c r="P13" s="35" t="n">
        <x:f>IFERROR(P10*P12/SUMPRODUCT($D10:$DS10,$D12:$DS12),0)</x:f>
        <x:v>0</x:v>
      </x:c>
      <x:c r="Q13" s="35" t="n">
        <x:f>IFERROR(Q10*Q12/SUMPRODUCT($D10:$DS10,$D12:$DS12),0)</x:f>
        <x:v>0</x:v>
      </x:c>
      <x:c r="R13" s="35" t="n">
        <x:f>IFERROR(R10*R12/SUMPRODUCT($D10:$DS10,$D12:$DS12),0)</x:f>
        <x:v>0</x:v>
      </x:c>
      <x:c r="S13" s="35" t="n">
        <x:f>IFERROR(S10*S12/SUMPRODUCT($D10:$DS10,$D12:$DS12),0)</x:f>
        <x:v>0</x:v>
      </x:c>
      <x:c r="T13" s="35" t="n">
        <x:f>IFERROR(T10*T12/SUMPRODUCT($D10:$DS10,$D12:$DS12),0)</x:f>
        <x:v>0</x:v>
      </x:c>
      <x:c r="U13" s="35" t="n">
        <x:f>IFERROR(U10*U12/SUMPRODUCT($D10:$DS10,$D12:$DS12),0)</x:f>
        <x:v>0</x:v>
      </x:c>
      <x:c r="V13" s="35" t="n">
        <x:f>IFERROR(V10*V12/SUMPRODUCT($D10:$DS10,$D12:$DS12),0)</x:f>
        <x:v>0</x:v>
      </x:c>
      <x:c r="W13" s="35" t="n">
        <x:f>IFERROR(W10*W12/SUMPRODUCT($D10:$DS10,$D12:$DS12),0)</x:f>
        <x:v>0</x:v>
      </x:c>
      <x:c r="X13" s="35" t="n">
        <x:f>IFERROR(X10*X12/SUMPRODUCT($D10:$DS10,$D12:$DS12),0)</x:f>
        <x:v>0</x:v>
      </x:c>
      <x:c r="Y13" s="35" t="n">
        <x:f>IFERROR(Y10*Y12/SUMPRODUCT($D10:$DS10,$D12:$DS12),0)</x:f>
        <x:v>0</x:v>
      </x:c>
      <x:c r="Z13" s="35" t="n">
        <x:f>IFERROR(Z10*Z12/SUMPRODUCT($D10:$DS10,$D12:$DS12),0)</x:f>
        <x:v>0</x:v>
      </x:c>
      <x:c r="AA13" s="35" t="n">
        <x:f>IFERROR(AA10*AA12/SUMPRODUCT($D10:$DS10,$D12:$DS12),0)</x:f>
        <x:v>0</x:v>
      </x:c>
      <x:c r="AB13" s="35" t="n">
        <x:f>IFERROR(AB10*AB12/SUMPRODUCT($D10:$DS10,$D12:$DS12),0)</x:f>
        <x:v>0</x:v>
      </x:c>
      <x:c r="AC13" s="35" t="n">
        <x:f>IFERROR(AC10*AC12/SUMPRODUCT($D10:$DS10,$D12:$DS12),0)</x:f>
        <x:v>0</x:v>
      </x:c>
      <x:c r="AD13" s="35" t="n">
        <x:f>IFERROR(AD10*AD12/SUMPRODUCT($D10:$DS10,$D12:$DS12),0)</x:f>
        <x:v>0</x:v>
      </x:c>
      <x:c r="AE13" s="35" t="n">
        <x:f>IFERROR(AE10*AE12/SUMPRODUCT($D10:$DS10,$D12:$DS12),0)</x:f>
        <x:v>0</x:v>
      </x:c>
      <x:c r="AF13" s="35" t="n">
        <x:f>IFERROR(AF10*AF12/SUMPRODUCT($D10:$DS10,$D12:$DS12),0)</x:f>
        <x:v>0</x:v>
      </x:c>
      <x:c r="AG13" s="35" t="n">
        <x:f>IFERROR(AG10*AG12/SUMPRODUCT($D10:$DS10,$D12:$DS12),0)</x:f>
        <x:v>0</x:v>
      </x:c>
      <x:c r="AH13" s="35" t="n">
        <x:f>IFERROR(AH10*AH12/SUMPRODUCT($D10:$DS10,$D12:$DS12),0)</x:f>
        <x:v>0</x:v>
      </x:c>
      <x:c r="AI13" s="35" t="n">
        <x:f>IFERROR(AI10*AI12/SUMPRODUCT($D10:$DS10,$D12:$DS12),0)</x:f>
        <x:v>0</x:v>
      </x:c>
      <x:c r="AJ13" s="35" t="n">
        <x:f>IFERROR(AJ10*AJ12/SUMPRODUCT($D10:$DS10,$D12:$DS12),0)</x:f>
        <x:v>0</x:v>
      </x:c>
      <x:c r="AK13" s="35" t="n">
        <x:f>IFERROR(AK10*AK12/SUMPRODUCT($D10:$DS10,$D12:$DS12),0)</x:f>
        <x:v>0</x:v>
      </x:c>
      <x:c r="AL13" s="35" t="n">
        <x:f>IFERROR(AL10*AL12/SUMPRODUCT($D10:$DS10,$D12:$DS12),0)</x:f>
        <x:v>0</x:v>
      </x:c>
      <x:c r="AM13" s="35" t="n">
        <x:f>IFERROR(AM10*AM12/SUMPRODUCT($D10:$DS10,$D12:$DS12),0)</x:f>
        <x:v>0</x:v>
      </x:c>
      <x:c r="AN13" s="35" t="n">
        <x:f>IFERROR(AN10*AN12/SUMPRODUCT($D10:$DS10,$D12:$DS12),0)</x:f>
        <x:v>0</x:v>
      </x:c>
      <x:c r="AO13" s="35" t="n">
        <x:f>IFERROR(AO10*AO12/SUMPRODUCT($D10:$DS10,$D12:$DS12),0)</x:f>
        <x:v>0</x:v>
      </x:c>
      <x:c r="AP13" s="35" t="n">
        <x:f>IFERROR(AP10*AP12/SUMPRODUCT($D10:$DS10,$D12:$DS12),0)</x:f>
        <x:v>0</x:v>
      </x:c>
      <x:c r="AQ13" s="35" t="n">
        <x:f>IFERROR(AQ10*AQ12/SUMPRODUCT($D10:$DS10,$D12:$DS12),0)</x:f>
        <x:v>0</x:v>
      </x:c>
      <x:c r="AR13" s="35" t="n">
        <x:f>IFERROR(AR10*AR12/SUMPRODUCT($D10:$DS10,$D12:$DS12),0)</x:f>
        <x:v>0</x:v>
      </x:c>
      <x:c r="AS13" s="35" t="n">
        <x:f>IFERROR(AS10*AS12/SUMPRODUCT($D10:$DS10,$D12:$DS12),0)</x:f>
        <x:v>0</x:v>
      </x:c>
      <x:c r="AT13" s="35" t="n">
        <x:f>IFERROR(AT10*AT12/SUMPRODUCT($D10:$DS10,$D12:$DS12),0)</x:f>
        <x:v>0.14528635364037015</x:v>
      </x:c>
      <x:c r="AU13" s="35" t="n">
        <x:f>IFERROR(AU10*AU12/SUMPRODUCT($D10:$DS10,$D12:$DS12),0)</x:f>
        <x:v>0.14673921717677382</x:v>
      </x:c>
      <x:c r="AV13" s="35" t="n">
        <x:f>IFERROR(AV10*AV12/SUMPRODUCT($D10:$DS10,$D12:$DS12),0)</x:f>
        <x:v>0.17436071688063717</x:v>
      </x:c>
      <x:c r="AW13" s="35" t="n">
        <x:f>IFERROR(AW10*AW12/SUMPRODUCT($D10:$DS10,$D12:$DS12),0)</x:f>
        <x:v>0.17610432404944354</x:v>
      </x:c>
      <x:c r="AX13" s="35" t="n">
        <x:f>IFERROR(AX10*AX12/SUMPRODUCT($D10:$DS10,$D12:$DS12),0)</x:f>
        <x:v>0.17786536728993796</x:v>
      </x:c>
      <x:c r="AY13" s="35" t="n">
        <x:f>IFERROR(AY10*AY12/SUMPRODUCT($D10:$DS10,$D12:$DS12),0)</x:f>
        <x:v>0.17964402096283735</x:v>
      </x:c>
      <x:c r="AZ13" s="35" t="n">
        <x:f>IFERROR(AZ10*AZ12/SUMPRODUCT($D10:$DS10,$D12:$DS12),0)</x:f>
        <x:v>0</x:v>
      </x:c>
      <x:c r="BA13" s="35" t="n">
        <x:f>IFERROR(BA10*BA12/SUMPRODUCT($D10:$DS10,$D12:$DS12),0)</x:f>
        <x:v>0</x:v>
      </x:c>
      <x:c r="BB13" s="35" t="n">
        <x:f>IFERROR(BB10*BB12/SUMPRODUCT($D10:$DS10,$D12:$DS12),0)</x:f>
        <x:v>0</x:v>
      </x:c>
      <x:c r="BC13" s="35" t="n">
        <x:f>IFERROR(BC10*BC12/SUMPRODUCT($D10:$DS10,$D12:$DS12),0)</x:f>
        <x:v>0</x:v>
      </x:c>
      <x:c r="BD13" s="35" t="n">
        <x:f>IFERROR(BD10*BD12/SUMPRODUCT($D10:$DS10,$D12:$DS12),0)</x:f>
        <x:v>0</x:v>
      </x:c>
      <x:c r="BE13" s="35" t="n">
        <x:f>IFERROR(BE10*BE12/SUMPRODUCT($D10:$DS10,$D12:$DS12),0)</x:f>
        <x:v>0</x:v>
      </x:c>
      <x:c r="BF13" s="35" t="n">
        <x:f>IFERROR(BF10*BF12/SUMPRODUCT($D10:$DS10,$D12:$DS12),0)</x:f>
        <x:v>0</x:v>
      </x:c>
      <x:c r="BG13" s="35" t="n">
        <x:f>IFERROR(BG10*BG12/SUMPRODUCT($D10:$DS10,$D12:$DS12),0)</x:f>
        <x:v>0</x:v>
      </x:c>
      <x:c r="BH13" s="35" t="n">
        <x:f>IFERROR(BH10*BH12/SUMPRODUCT($D10:$DS10,$D12:$DS12),0)</x:f>
        <x:v>0</x:v>
      </x:c>
      <x:c r="BI13" s="35" t="n">
        <x:f>IFERROR(BI10*BI12/SUMPRODUCT($D10:$DS10,$D12:$DS12),0)</x:f>
        <x:v>0</x:v>
      </x:c>
      <x:c r="BJ13" s="35" t="n">
        <x:f>IFERROR(BJ10*BJ12/SUMPRODUCT($D10:$DS10,$D12:$DS12),0)</x:f>
        <x:v>0</x:v>
      </x:c>
      <x:c r="BK13" s="35" t="n">
        <x:f>IFERROR(BK10*BK12/SUMPRODUCT($D10:$DS10,$D12:$DS12),0)</x:f>
        <x:v>0</x:v>
      </x:c>
      <x:c r="BL13" s="35" t="n">
        <x:f>IFERROR(BL10*BL12/SUMPRODUCT($D10:$DS10,$D12:$DS12),0)</x:f>
        <x:v>0</x:v>
      </x:c>
      <x:c r="BM13" s="35" t="n">
        <x:f>IFERROR(BM10*BM12/SUMPRODUCT($D10:$DS10,$D12:$DS12),0)</x:f>
        <x:v>0</x:v>
      </x:c>
      <x:c r="BN13" s="35" t="n">
        <x:f>IFERROR(BN10*BN12/SUMPRODUCT($D10:$DS10,$D12:$DS12),0)</x:f>
        <x:v>0</x:v>
      </x:c>
      <x:c r="BO13" s="35" t="n">
        <x:f>IFERROR(BO10*BO12/SUMPRODUCT($D10:$DS10,$D12:$DS12),0)</x:f>
        <x:v>0</x:v>
      </x:c>
      <x:c r="BP13" s="35" t="n">
        <x:f>IFERROR(BP10*BP12/SUMPRODUCT($D10:$DS10,$D12:$DS12),0)</x:f>
        <x:v>0</x:v>
      </x:c>
      <x:c r="BQ13" s="35" t="n">
        <x:f>IFERROR(BQ10*BQ12/SUMPRODUCT($D10:$DS10,$D12:$DS12),0)</x:f>
        <x:v>0</x:v>
      </x:c>
      <x:c r="BR13" s="35" t="n">
        <x:f>IFERROR(BR10*BR12/SUMPRODUCT($D10:$DS10,$D12:$DS12),0)</x:f>
        <x:v>0</x:v>
      </x:c>
      <x:c r="BS13" s="35" t="n">
        <x:f>IFERROR(BS10*BS12/SUMPRODUCT($D10:$DS10,$D12:$DS12),0)</x:f>
        <x:v>0</x:v>
      </x:c>
      <x:c r="BT13" s="35" t="n">
        <x:f>IFERROR(BT10*BT12/SUMPRODUCT($D10:$DS10,$D12:$DS12),0)</x:f>
        <x:v>0</x:v>
      </x:c>
      <x:c r="BU13" s="35" t="n">
        <x:f>IFERROR(BU10*BU12/SUMPRODUCT($D10:$DS10,$D12:$DS12),0)</x:f>
        <x:v>0</x:v>
      </x:c>
      <x:c r="BV13" s="35" t="n">
        <x:f>IFERROR(BV10*BV12/SUMPRODUCT($D10:$DS10,$D12:$DS12),0)</x:f>
        <x:v>0</x:v>
      </x:c>
      <x:c r="BW13" s="35" t="n">
        <x:f>IFERROR(BW10*BW12/SUMPRODUCT($D10:$DS10,$D12:$DS12),0)</x:f>
        <x:v>0</x:v>
      </x:c>
      <x:c r="BX13" s="35" t="n">
        <x:f>IFERROR(BX10*BX12/SUMPRODUCT($D10:$DS10,$D12:$DS12),0)</x:f>
        <x:v>0</x:v>
      </x:c>
      <x:c r="BY13" s="35" t="n">
        <x:f>IFERROR(BY10*BY12/SUMPRODUCT($D10:$DS10,$D12:$DS12),0)</x:f>
        <x:v>0</x:v>
      </x:c>
      <x:c r="BZ13" s="35" t="n">
        <x:f>IFERROR(BZ10*BZ12/SUMPRODUCT($D10:$DS10,$D12:$DS12),0)</x:f>
        <x:v>0</x:v>
      </x:c>
      <x:c r="CA13" s="35" t="n">
        <x:f>IFERROR(CA10*CA12/SUMPRODUCT($D10:$DS10,$D12:$DS12),0)</x:f>
        <x:v>0</x:v>
      </x:c>
      <x:c r="CB13" s="35" t="n">
        <x:f>IFERROR(CB10*CB12/SUMPRODUCT($D10:$DS10,$D12:$DS12),0)</x:f>
        <x:v>0</x:v>
      </x:c>
      <x:c r="CC13" s="35" t="n">
        <x:f>IFERROR(CC10*CC12/SUMPRODUCT($D10:$DS10,$D12:$DS12),0)</x:f>
        <x:v>0</x:v>
      </x:c>
      <x:c r="CD13" s="35" t="n">
        <x:f>IFERROR(CD10*CD12/SUMPRODUCT($D10:$DS10,$D12:$DS12),0)</x:f>
        <x:v>0</x:v>
      </x:c>
      <x:c r="CE13" s="35" t="n">
        <x:f>IFERROR(CE10*CE12/SUMPRODUCT($D10:$DS10,$D12:$DS12),0)</x:f>
        <x:v>0</x:v>
      </x:c>
      <x:c r="CF13" s="35" t="n">
        <x:f>IFERROR(CF10*CF12/SUMPRODUCT($D10:$DS10,$D12:$DS12),0)</x:f>
        <x:v>0</x:v>
      </x:c>
      <x:c r="CG13" s="35" t="n">
        <x:f>IFERROR(CG10*CG12/SUMPRODUCT($D10:$DS10,$D12:$DS12),0)</x:f>
        <x:v>0</x:v>
      </x:c>
      <x:c r="CH13" s="35" t="n">
        <x:f>IFERROR(CH10*CH12/SUMPRODUCT($D10:$DS10,$D12:$DS12),0)</x:f>
        <x:v>0</x:v>
      </x:c>
      <x:c r="CI13" s="35" t="n">
        <x:f>IFERROR(CI10*CI12/SUMPRODUCT($D10:$DS10,$D12:$DS12),0)</x:f>
        <x:v>0</x:v>
      </x:c>
      <x:c r="CJ13" s="35" t="n">
        <x:f>IFERROR(CJ10*CJ12/SUMPRODUCT($D10:$DS10,$D12:$DS12),0)</x:f>
        <x:v>0</x:v>
      </x:c>
      <x:c r="CK13" s="35" t="n">
        <x:f>IFERROR(CK10*CK12/SUMPRODUCT($D10:$DS10,$D12:$DS12),0)</x:f>
        <x:v>0</x:v>
      </x:c>
      <x:c r="CL13" s="35" t="n">
        <x:f>IFERROR(CL10*CL12/SUMPRODUCT($D10:$DS10,$D12:$DS12),0)</x:f>
        <x:v>0</x:v>
      </x:c>
      <x:c r="CM13" s="35" t="n">
        <x:f>IFERROR(CM10*CM12/SUMPRODUCT($D10:$DS10,$D12:$DS12),0)</x:f>
        <x:v>0</x:v>
      </x:c>
      <x:c r="CN13" s="35" t="n">
        <x:f>IFERROR(CN10*CN12/SUMPRODUCT($D10:$DS10,$D12:$DS12),0)</x:f>
        <x:v>0</x:v>
      </x:c>
      <x:c r="CO13" s="35" t="n">
        <x:f>IFERROR(CO10*CO12/SUMPRODUCT($D10:$DS10,$D12:$DS12),0)</x:f>
        <x:v>0</x:v>
      </x:c>
      <x:c r="CP13" s="35" t="n">
        <x:f>IFERROR(CP10*CP12/SUMPRODUCT($D10:$DS10,$D12:$DS12),0)</x:f>
        <x:v>0</x:v>
      </x:c>
      <x:c r="CQ13" s="35" t="n">
        <x:f>IFERROR(CQ10*CQ12/SUMPRODUCT($D10:$DS10,$D12:$DS12),0)</x:f>
        <x:v>0</x:v>
      </x:c>
      <x:c r="CR13" s="35" t="n">
        <x:f>IFERROR(CR10*CR12/SUMPRODUCT($D10:$DS10,$D12:$DS12),0)</x:f>
        <x:v>0</x:v>
      </x:c>
      <x:c r="CS13" s="35" t="n">
        <x:f>IFERROR(CS10*CS12/SUMPRODUCT($D10:$DS10,$D12:$DS12),0)</x:f>
        <x:v>0</x:v>
      </x:c>
      <x:c r="CT13" s="35" t="n">
        <x:f>IFERROR(CT10*CT12/SUMPRODUCT($D10:$DS10,$D12:$DS12),0)</x:f>
        <x:v>0</x:v>
      </x:c>
      <x:c r="CU13" s="35" t="n">
        <x:f>IFERROR(CU10*CU12/SUMPRODUCT($D10:$DS10,$D12:$DS12),0)</x:f>
        <x:v>0</x:v>
      </x:c>
      <x:c r="CV13" s="35" t="n">
        <x:f>IFERROR(CV10*CV12/SUMPRODUCT($D10:$DS10,$D12:$DS12),0)</x:f>
        <x:v>0</x:v>
      </x:c>
      <x:c r="CW13" s="35" t="n">
        <x:f>IFERROR(CW10*CW12/SUMPRODUCT($D10:$DS10,$D12:$DS12),0)</x:f>
        <x:v>0</x:v>
      </x:c>
      <x:c r="CX13" s="35" t="n">
        <x:f>IFERROR(CX10*CX12/SUMPRODUCT($D10:$DS10,$D12:$DS12),0)</x:f>
        <x:v>0</x:v>
      </x:c>
      <x:c r="CY13" s="35" t="n">
        <x:f>IFERROR(CY10*CY12/SUMPRODUCT($D10:$DS10,$D12:$DS12),0)</x:f>
        <x:v>0</x:v>
      </x:c>
      <x:c r="CZ13" s="35" t="n">
        <x:f>IFERROR(CZ10*CZ12/SUMPRODUCT($D10:$DS10,$D12:$DS12),0)</x:f>
        <x:v>0</x:v>
      </x:c>
      <x:c r="DA13" s="35" t="n">
        <x:f>IFERROR(DA10*DA12/SUMPRODUCT($D10:$DS10,$D12:$DS12),0)</x:f>
        <x:v>0</x:v>
      </x:c>
      <x:c r="DB13" s="35" t="n">
        <x:f>IFERROR(DB10*DB12/SUMPRODUCT($D10:$DS10,$D12:$DS12),0)</x:f>
        <x:v>0</x:v>
      </x:c>
      <x:c r="DC13" s="35" t="n">
        <x:f>IFERROR(DC10*DC12/SUMPRODUCT($D10:$DS10,$D12:$DS12),0)</x:f>
        <x:v>0</x:v>
      </x:c>
      <x:c r="DD13" s="35" t="n">
        <x:f>IFERROR(DD10*DD12/SUMPRODUCT($D10:$DS10,$D12:$DS12),0)</x:f>
        <x:v>0</x:v>
      </x:c>
      <x:c r="DE13" s="35" t="n">
        <x:f>IFERROR(DE10*DE12/SUMPRODUCT($D10:$DS10,$D12:$DS12),0)</x:f>
        <x:v>0</x:v>
      </x:c>
      <x:c r="DF13" s="35" t="n">
        <x:f>IFERROR(DF10*DF12/SUMPRODUCT($D10:$DS10,$D12:$DS12),0)</x:f>
        <x:v>0</x:v>
      </x:c>
      <x:c r="DG13" s="35" t="n">
        <x:f>IFERROR(DG10*DG12/SUMPRODUCT($D10:$DS10,$D12:$DS12),0)</x:f>
        <x:v>0</x:v>
      </x:c>
      <x:c r="DH13" s="35" t="n">
        <x:f>IFERROR(DH10*DH12/SUMPRODUCT($D10:$DS10,$D12:$DS12),0)</x:f>
        <x:v>0</x:v>
      </x:c>
      <x:c r="DI13" s="35" t="n">
        <x:f>IFERROR(DI10*DI12/SUMPRODUCT($D10:$DS10,$D12:$DS12),0)</x:f>
        <x:v>0</x:v>
      </x:c>
      <x:c r="DJ13" s="35" t="n">
        <x:f>IFERROR(DJ10*DJ12/SUMPRODUCT($D10:$DS10,$D12:$DS12),0)</x:f>
        <x:v>0</x:v>
      </x:c>
      <x:c r="DK13" s="35" t="n">
        <x:f>IFERROR(DK10*DK12/SUMPRODUCT($D10:$DS10,$D12:$DS12),0)</x:f>
        <x:v>0</x:v>
      </x:c>
      <x:c r="DL13" s="35" t="n">
        <x:f>IFERROR(DL10*DL12/SUMPRODUCT($D10:$DS10,$D12:$DS12),0)</x:f>
        <x:v>0</x:v>
      </x:c>
      <x:c r="DM13" s="35" t="n">
        <x:f>IFERROR(DM10*DM12/SUMPRODUCT($D10:$DS10,$D12:$DS12),0)</x:f>
        <x:v>0</x:v>
      </x:c>
      <x:c r="DN13" s="35" t="n">
        <x:f>IFERROR(DN10*DN12/SUMPRODUCT($D10:$DS10,$D12:$DS12),0)</x:f>
        <x:v>0</x:v>
      </x:c>
      <x:c r="DO13" s="35" t="n">
        <x:f>IFERROR(DO10*DO12/SUMPRODUCT($D10:$DS10,$D12:$DS12),0)</x:f>
        <x:v>0</x:v>
      </x:c>
      <x:c r="DP13" s="35" t="n">
        <x:f>IFERROR(DP10*DP12/SUMPRODUCT($D10:$DS10,$D12:$DS12),0)</x:f>
        <x:v>0</x:v>
      </x:c>
      <x:c r="DQ13" s="35" t="n">
        <x:f>IFERROR(DQ10*DQ12/SUMPRODUCT($D10:$DS10,$D12:$DS12),0)</x:f>
        <x:v>0</x:v>
      </x:c>
      <x:c r="DR13" s="35" t="n">
        <x:f>IFERROR(DR10*DR12/SUMPRODUCT($D10:$DS10,$D12:$DS12),0)</x:f>
        <x:v>0</x:v>
      </x:c>
      <x:c r="DS13" s="35" t="n">
        <x:f>IFERROR(DS10*DS12/SUMPRODUCT($D10:$DS10,$D12:$DS12),0)</x:f>
        <x:v>0</x:v>
      </x:c>
    </x:row>
    <x:row r="14">
      <x:c r="A14" t="str">
        <x:v>Квартиры — объём</x:v>
      </x:c>
      <x:c r="B14" t="n">
        <x:f>SUM(D14:DS14)</x:f>
        <x:v>13919.999999999996</x:v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  <x:v>0</x:v>
      </x:c>
      <x:c r="E14" s="107" t="n">
        <x:f>'Вводные'!$L$88*((IF(SUM($D9:$DS9)=0,0,IF(SUM($D12:$DS12)=0,1,'Вводные'!$B$63)))*E11+(1-(IF(SUM($D9:$DS9)=0,0,IF(SUM($D12:$DS12)=0,1,'Вводные'!$B$63))))*E13)</x:f>
        <x:v>0</x:v>
      </x:c>
      <x:c r="F14" s="107" t="n">
        <x:f>'Вводные'!$L$88*((IF(SUM($D9:$DS9)=0,0,IF(SUM($D12:$DS12)=0,1,'Вводные'!$B$63)))*F11+(1-(IF(SUM($D9:$DS9)=0,0,IF(SUM($D12:$DS12)=0,1,'Вводные'!$B$63))))*F13)</x:f>
        <x:v>0</x:v>
      </x:c>
      <x:c r="G14" s="107" t="n">
        <x:f>'Вводные'!$L$88*((IF(SUM($D9:$DS9)=0,0,IF(SUM($D12:$DS12)=0,1,'Вводные'!$B$63)))*G11+(1-(IF(SUM($D9:$DS9)=0,0,IF(SUM($D12:$DS12)=0,1,'Вводные'!$B$63))))*G13)</x:f>
        <x:v>0</x:v>
      </x:c>
      <x:c r="H14" s="107" t="n">
        <x:f>'Вводные'!$L$88*((IF(SUM($D9:$DS9)=0,0,IF(SUM($D12:$DS12)=0,1,'Вводные'!$B$63)))*H11+(1-(IF(SUM($D9:$DS9)=0,0,IF(SUM($D12:$DS12)=0,1,'Вводные'!$B$63))))*H13)</x:f>
        <x:v>0</x:v>
      </x:c>
      <x:c r="I14" s="107" t="n">
        <x:f>'Вводные'!$L$88*((IF(SUM($D9:$DS9)=0,0,IF(SUM($D12:$DS12)=0,1,'Вводные'!$B$63)))*I11+(1-(IF(SUM($D9:$DS9)=0,0,IF(SUM($D12:$DS12)=0,1,'Вводные'!$B$63))))*I13)</x:f>
        <x:v>0</x:v>
      </x:c>
      <x:c r="J14" s="107" t="n">
        <x:f>'Вводные'!$L$88*((IF(SUM($D9:$DS9)=0,0,IF(SUM($D12:$DS12)=0,1,'Вводные'!$B$63)))*J11+(1-(IF(SUM($D9:$DS9)=0,0,IF(SUM($D12:$DS12)=0,1,'Вводные'!$B$63))))*J13)</x:f>
        <x:v>0</x:v>
      </x:c>
      <x:c r="K14" s="107" t="n">
        <x:f>'Вводные'!$L$88*((IF(SUM($D9:$DS9)=0,0,IF(SUM($D12:$DS12)=0,1,'Вводные'!$B$63)))*K11+(1-(IF(SUM($D9:$DS9)=0,0,IF(SUM($D12:$DS12)=0,1,'Вводные'!$B$63))))*K13)</x:f>
        <x:v>0</x:v>
      </x:c>
      <x:c r="L14" s="107" t="n">
        <x:f>'Вводные'!$L$88*((IF(SUM($D9:$DS9)=0,0,IF(SUM($D12:$DS12)=0,1,'Вводные'!$B$63)))*L11+(1-(IF(SUM($D9:$DS9)=0,0,IF(SUM($D12:$DS12)=0,1,'Вводные'!$B$63))))*L13)</x:f>
        <x:v>0</x:v>
      </x:c>
      <x:c r="M14" s="107" t="n">
        <x:f>'Вводные'!$L$88*((IF(SUM($D9:$DS9)=0,0,IF(SUM($D12:$DS12)=0,1,'Вводные'!$B$63)))*M11+(1-(IF(SUM($D9:$DS9)=0,0,IF(SUM($D12:$DS12)=0,1,'Вводные'!$B$63))))*M13)</x:f>
        <x:v>0</x:v>
      </x:c>
      <x:c r="N14" s="107" t="n">
        <x:f>'Вводные'!$L$88*((IF(SUM($D9:$DS9)=0,0,IF(SUM($D12:$DS12)=0,1,'Вводные'!$B$63)))*N11+(1-(IF(SUM($D9:$DS9)=0,0,IF(SUM($D12:$DS12)=0,1,'Вводные'!$B$63))))*N13)</x:f>
        <x:v>0</x:v>
      </x:c>
      <x:c r="O14" s="107" t="n">
        <x:f>'Вводные'!$L$88*((IF(SUM($D9:$DS9)=0,0,IF(SUM($D12:$DS12)=0,1,'Вводные'!$B$63)))*O11+(1-(IF(SUM($D9:$DS9)=0,0,IF(SUM($D12:$DS12)=0,1,'Вводные'!$B$63))))*O13)</x:f>
        <x:v>0</x:v>
      </x:c>
      <x:c r="P14" s="107" t="n">
        <x:f>'Вводные'!$L$88*((IF(SUM($D9:$DS9)=0,0,IF(SUM($D12:$DS12)=0,1,'Вводные'!$B$63)))*P11+(1-(IF(SUM($D9:$DS9)=0,0,IF(SUM($D12:$DS12)=0,1,'Вводные'!$B$63))))*P13)</x:f>
        <x:v>0</x:v>
      </x:c>
      <x:c r="Q14" s="107" t="n">
        <x:f>'Вводные'!$L$88*((IF(SUM($D9:$DS9)=0,0,IF(SUM($D12:$DS12)=0,1,'Вводные'!$B$63)))*Q11+(1-(IF(SUM($D9:$DS9)=0,0,IF(SUM($D12:$DS12)=0,1,'Вводные'!$B$63))))*Q13)</x:f>
        <x:v>0</x:v>
      </x:c>
      <x:c r="R14" s="107" t="n">
        <x:f>'Вводные'!$L$88*((IF(SUM($D9:$DS9)=0,0,IF(SUM($D12:$DS12)=0,1,'Вводные'!$B$63)))*R11+(1-(IF(SUM($D9:$DS9)=0,0,IF(SUM($D12:$DS12)=0,1,'Вводные'!$B$63))))*R13)</x:f>
        <x:v>0</x:v>
      </x:c>
      <x:c r="S14" s="107" t="n">
        <x:f>'Вводные'!$L$88*((IF(SUM($D9:$DS9)=0,0,IF(SUM($D12:$DS12)=0,1,'Вводные'!$B$63)))*S11+(1-(IF(SUM($D9:$DS9)=0,0,IF(SUM($D12:$DS12)=0,1,'Вводные'!$B$63))))*S13)</x:f>
        <x:v>0</x:v>
      </x:c>
      <x:c r="T14" s="107" t="n">
        <x:f>'Вводные'!$L$88*((IF(SUM($D9:$DS9)=0,0,IF(SUM($D12:$DS12)=0,1,'Вводные'!$B$63)))*T11+(1-(IF(SUM($D9:$DS9)=0,0,IF(SUM($D12:$DS12)=0,1,'Вводные'!$B$63))))*T13)</x:f>
        <x:v>0</x:v>
      </x:c>
      <x:c r="U14" s="107" t="n">
        <x:f>'Вводные'!$L$88*((IF(SUM($D9:$DS9)=0,0,IF(SUM($D12:$DS12)=0,1,'Вводные'!$B$63)))*U11+(1-(IF(SUM($D9:$DS9)=0,0,IF(SUM($D12:$DS12)=0,1,'Вводные'!$B$63))))*U13)</x:f>
        <x:v>0</x:v>
      </x:c>
      <x:c r="V14" s="107" t="n">
        <x:f>'Вводные'!$L$88*((IF(SUM($D9:$DS9)=0,0,IF(SUM($D12:$DS12)=0,1,'Вводные'!$B$63)))*V11+(1-(IF(SUM($D9:$DS9)=0,0,IF(SUM($D12:$DS12)=0,1,'Вводные'!$B$63))))*V13)</x:f>
        <x:v>397.7496516528805</x:v>
      </x:c>
      <x:c r="W14" s="107" t="n">
        <x:f>'Вводные'!$L$88*((IF(SUM($D9:$DS9)=0,0,IF(SUM($D12:$DS12)=0,1,'Вводные'!$B$63)))*W11+(1-(IF(SUM($D9:$DS9)=0,0,IF(SUM($D12:$DS12)=0,1,'Вводные'!$B$63))))*W13)</x:f>
        <x:v>401.72714816940936</x:v>
      </x:c>
      <x:c r="X14" s="107" t="n">
        <x:f>'Вводные'!$L$88*((IF(SUM($D9:$DS9)=0,0,IF(SUM($D12:$DS12)=0,1,'Вводные'!$B$63)))*X11+(1-(IF(SUM($D9:$DS9)=0,0,IF(SUM($D12:$DS12)=0,1,'Вводные'!$B$63))))*X13)</x:f>
        <x:v>477.3463760601217</x:v>
      </x:c>
      <x:c r="Y14" s="107" t="n">
        <x:f>'Вводные'!$L$88*((IF(SUM($D9:$DS9)=0,0,IF(SUM($D12:$DS12)=0,1,'Вводные'!$B$63)))*Y11+(1-(IF(SUM($D9:$DS9)=0,0,IF(SUM($D12:$DS12)=0,1,'Вводные'!$B$63))))*Y13)</x:f>
        <x:v>482.11983982072303</x:v>
      </x:c>
      <x:c r="Z14" s="107" t="n">
        <x:f>'Вводные'!$L$88*((IF(SUM($D9:$DS9)=0,0,IF(SUM($D12:$DS12)=0,1,'Вводные'!$B$63)))*Z11+(1-(IF(SUM($D9:$DS9)=0,0,IF(SUM($D12:$DS12)=0,1,'Вводные'!$B$63))))*Z13)</x:f>
        <x:v>486.9410382189302</x:v>
      </x:c>
      <x:c r="AA14" s="107" t="n">
        <x:f>'Вводные'!$L$88*((IF(SUM($D9:$DS9)=0,0,IF(SUM($D12:$DS12)=0,1,'Вводные'!$B$63)))*AA11+(1-(IF(SUM($D9:$DS9)=0,0,IF(SUM($D12:$DS12)=0,1,'Вводные'!$B$63))))*AA13)</x:f>
        <x:v>491.8104486011195</x:v>
      </x:c>
      <x:c r="AB14" s="107" t="n">
        <x:f>'Вводные'!$L$88*((IF(SUM($D9:$DS9)=0,0,IF(SUM($D12:$DS12)=0,1,'Вводные'!$B$63)))*AB11+(1-(IF(SUM($D9:$DS9)=0,0,IF(SUM($D12:$DS12)=0,1,'Вводные'!$B$63))))*AB13)</x:f>
        <x:v>422.21927012406115</x:v>
      </x:c>
      <x:c r="AC14" s="107" t="n">
        <x:f>'Вводные'!$L$88*((IF(SUM($D9:$DS9)=0,0,IF(SUM($D12:$DS12)=0,1,'Вводные'!$B$63)))*AC11+(1-(IF(SUM($D9:$DS9)=0,0,IF(SUM($D12:$DS12)=0,1,'Вводные'!$B$63))))*AC13)</x:f>
        <x:v>501.695838618002</x:v>
      </x:c>
      <x:c r="AD14" s="107" t="n">
        <x:f>'Вводные'!$L$88*((IF(SUM($D9:$DS9)=0,0,IF(SUM($D12:$DS12)=0,1,'Вводные'!$B$63)))*AD11+(1-(IF(SUM($D9:$DS9)=0,0,IF(SUM($D12:$DS12)=0,1,'Вводные'!$B$63))))*AD13)</x:f>
        <x:v>506.7127970041821</x:v>
      </x:c>
      <x:c r="AE14" s="107" t="n">
        <x:f>'Вводные'!$L$88*((IF(SUM($D9:$DS9)=0,0,IF(SUM($D12:$DS12)=0,1,'Вводные'!$B$63)))*AE11+(1-(IF(SUM($D9:$DS9)=0,0,IF(SUM($D12:$DS12)=0,1,'Вводные'!$B$63))))*AE13)</x:f>
        <x:v>511.7799249742237</x:v>
      </x:c>
      <x:c r="AF14" s="107" t="n">
        <x:f>'Вводные'!$L$88*((IF(SUM($D9:$DS9)=0,0,IF(SUM($D12:$DS12)=0,1,'Вводные'!$B$63)))*AF11+(1-(IF(SUM($D9:$DS9)=0,0,IF(SUM($D12:$DS12)=0,1,'Вводные'!$B$63))))*AF13)</x:f>
        <x:v>439.36306559037115</x:v>
      </x:c>
      <x:c r="AG14" s="107" t="n">
        <x:f>'Вводные'!$L$88*((IF(SUM($D9:$DS9)=0,0,IF(SUM($D12:$DS12)=0,1,'Вводные'!$B$63)))*AG11+(1-(IF(SUM($D9:$DS9)=0,0,IF(SUM($D12:$DS12)=0,1,'Вводные'!$B$63))))*AG13)</x:f>
        <x:v>443.7566962462748</x:v>
      </x:c>
      <x:c r="AH14" s="107" t="n">
        <x:f>'Вводные'!$L$88*((IF(SUM($D9:$DS9)=0,0,IF(SUM($D12:$DS12)=0,1,'Вводные'!$B$63)))*AH11+(1-(IF(SUM($D9:$DS9)=0,0,IF(SUM($D12:$DS12)=0,1,'Вводные'!$B$63))))*AH13)</x:f>
        <x:v>448.1942632087376</x:v>
      </x:c>
      <x:c r="AI14" s="107" t="n">
        <x:f>'Вводные'!$L$88*((IF(SUM($D9:$DS9)=0,0,IF(SUM($D12:$DS12)=0,1,'Вводные'!$B$63)))*AI11+(1-(IF(SUM($D9:$DS9)=0,0,IF(SUM($D12:$DS12)=0,1,'Вводные'!$B$63))))*AI13)</x:f>
        <x:v>452.67620584082493</x:v>
      </x:c>
      <x:c r="AJ14" s="107" t="n">
        <x:f>'Вводные'!$L$88*((IF(SUM($D9:$DS9)=0,0,IF(SUM($D12:$DS12)=0,1,'Вводные'!$B$63)))*AJ11+(1-(IF(SUM($D9:$DS9)=0,0,IF(SUM($D12:$DS12)=0,1,'Вводные'!$B$63))))*AJ13)</x:f>
        <x:v>537.8858445873333</x:v>
      </x:c>
      <x:c r="AK14" s="107" t="n">
        <x:f>'Вводные'!$L$88*((IF(SUM($D9:$DS9)=0,0,IF(SUM($D12:$DS12)=0,1,'Вводные'!$B$63)))*AK11+(1-(IF(SUM($D9:$DS9)=0,0,IF(SUM($D12:$DS12)=0,1,'Вводные'!$B$63))))*AK13)</x:f>
        <x:v>543.2647030332066</x:v>
      </x:c>
      <x:c r="AL14" s="107" t="n">
        <x:f>'Вводные'!$L$88*((IF(SUM($D9:$DS9)=0,0,IF(SUM($D12:$DS12)=0,1,'Вводные'!$B$63)))*AL11+(1-(IF(SUM($D9:$DS9)=0,0,IF(SUM($D12:$DS12)=0,1,'Вводные'!$B$63))))*AL13)</x:f>
        <x:v>548.6973500635387</x:v>
      </x:c>
      <x:c r="AM14" s="107" t="n">
        <x:f>'Вводные'!$L$88*((IF(SUM($D9:$DS9)=0,0,IF(SUM($D12:$DS12)=0,1,'Вводные'!$B$63)))*AM11+(1-(IF(SUM($D9:$DS9)=0,0,IF(SUM($D12:$DS12)=0,1,'Вводные'!$B$63))))*AM13)</x:f>
        <x:v>554.1843235641741</x:v>
      </x:c>
      <x:c r="AN14" s="107" t="n">
        <x:f>'Вводные'!$L$88*((IF(SUM($D9:$DS9)=0,0,IF(SUM($D12:$DS12)=0,1,'Вводные'!$B$63)))*AN11+(1-(IF(SUM($D9:$DS9)=0,0,IF(SUM($D12:$DS12)=0,1,'Вводные'!$B$63))))*AN13)</x:f>
        <x:v>475.7672417798434</x:v>
      </x:c>
      <x:c r="AO14" s="107" t="n">
        <x:f>'Вводные'!$L$88*((IF(SUM($D9:$DS9)=0,0,IF(SUM($D12:$DS12)=0,1,'Вводные'!$B$63)))*AO11+(1-(IF(SUM($D9:$DS9)=0,0,IF(SUM($D12:$DS12)=0,1,'Вводные'!$B$63))))*AO13)</x:f>
        <x:v>565.3234284678139</x:v>
      </x:c>
      <x:c r="AP14" s="107" t="n">
        <x:f>'Вводные'!$L$88*((IF(SUM($D9:$DS9)=0,0,IF(SUM($D12:$DS12)=0,1,'Вводные'!$B$63)))*AP11+(1-(IF(SUM($D9:$DS9)=0,0,IF(SUM($D12:$DS12)=0,1,'Вводные'!$B$63))))*AP13)</x:f>
        <x:v>570.9766627524921</x:v>
      </x:c>
      <x:c r="AQ14" s="107" t="n">
        <x:f>'Вводные'!$L$88*((IF(SUM($D9:$DS9)=0,0,IF(SUM($D12:$DS12)=0,1,'Вводные'!$B$63)))*AQ11+(1-(IF(SUM($D9:$DS9)=0,0,IF(SUM($D12:$DS12)=0,1,'Вводные'!$B$63))))*AQ13)</x:f>
        <x:v>576.6864293800171</x:v>
      </x:c>
      <x:c r="AR14" s="107" t="n">
        <x:f>'Вводные'!$L$88*((IF(SUM($D9:$DS9)=0,0,IF(SUM($D12:$DS12)=0,1,'Вводные'!$B$63)))*AR11+(1-(IF(SUM($D9:$DS9)=0,0,IF(SUM($D12:$DS12)=0,1,'Вводные'!$B$63))))*AR13)</x:f>
        <x:v>495.0852996227447</x:v>
      </x:c>
      <x:c r="AS14" s="107" t="n">
        <x:f>'Вводные'!$L$88*((IF(SUM($D9:$DS9)=0,0,IF(SUM($D12:$DS12)=0,1,'Вводные'!$B$63)))*AS11+(1-(IF(SUM($D9:$DS9)=0,0,IF(SUM($D12:$DS12)=0,1,'Вводные'!$B$63))))*AS13)</x:f>
        <x:v>500.03615261897204</x:v>
      </x:c>
      <x:c r="AT14" s="107" t="n">
        <x:f>'Вводные'!$L$88*((IF(SUM($D9:$DS9)=0,0,IF(SUM($D12:$DS12)=0,1,'Вводные'!$B$63)))*AT11+(1-(IF(SUM($D9:$DS9)=0,0,IF(SUM($D12:$DS12)=0,1,'Вводные'!$B$63))))*AT13)</x:f>
        <x:v>303.3579064010929</x:v>
      </x:c>
      <x:c r="AU14" s="107" t="n">
        <x:f>'Вводные'!$L$88*((IF(SUM($D9:$DS9)=0,0,IF(SUM($D12:$DS12)=0,1,'Вводные'!$B$63)))*AU11+(1-(IF(SUM($D9:$DS9)=0,0,IF(SUM($D12:$DS12)=0,1,'Вводные'!$B$63))))*AU13)</x:f>
        <x:v>306.3914854651038</x:v>
      </x:c>
      <x:c r="AV14" s="107" t="n">
        <x:f>'Вводные'!$L$88*((IF(SUM($D9:$DS9)=0,0,IF(SUM($D12:$DS12)=0,1,'Вводные'!$B$63)))*AV11+(1-(IF(SUM($D9:$DS9)=0,0,IF(SUM($D12:$DS12)=0,1,'Вводные'!$B$63))))*AV13)</x:f>
        <x:v>364.06517684677044</x:v>
      </x:c>
      <x:c r="AW14" s="107" t="n">
        <x:f>'Вводные'!$L$88*((IF(SUM($D9:$DS9)=0,0,IF(SUM($D12:$DS12)=0,1,'Вводные'!$B$63)))*AW11+(1-(IF(SUM($D9:$DS9)=0,0,IF(SUM($D12:$DS12)=0,1,'Вводные'!$B$63))))*AW13)</x:f>
        <x:v>367.70582861523815</x:v>
      </x:c>
      <x:c r="AX14" s="107" t="n">
        <x:f>'Вводные'!$L$88*((IF(SUM($D9:$DS9)=0,0,IF(SUM($D12:$DS12)=0,1,'Вводные'!$B$63)))*AX11+(1-(IF(SUM($D9:$DS9)=0,0,IF(SUM($D12:$DS12)=0,1,'Вводные'!$B$63))))*AX13)</x:f>
        <x:v>371.3828869013905</x:v>
      </x:c>
      <x:c r="AY14" s="107" t="n">
        <x:f>'Вводные'!$L$88*((IF(SUM($D9:$DS9)=0,0,IF(SUM($D12:$DS12)=0,1,'Вводные'!$B$63)))*AY11+(1-(IF(SUM($D9:$DS9)=0,0,IF(SUM($D12:$DS12)=0,1,'Вводные'!$B$63))))*AY13)</x:f>
        <x:v>375.09671577040444</x:v>
      </x:c>
      <x:c r="AZ14" s="107" t="n">
        <x:f>'Вводные'!$L$88*((IF(SUM($D9:$DS9)=0,0,IF(SUM($D12:$DS12)=0,1,'Вводные'!$B$63)))*AZ11+(1-(IF(SUM($D9:$DS9)=0,0,IF(SUM($D12:$DS12)=0,1,'Вводные'!$B$63))))*AZ13)</x:f>
        <x:v>0</x:v>
      </x:c>
      <x:c r="BA14" s="107" t="n">
        <x:f>'Вводные'!$L$88*((IF(SUM($D9:$DS9)=0,0,IF(SUM($D12:$DS12)=0,1,'Вводные'!$B$63)))*BA11+(1-(IF(SUM($D9:$DS9)=0,0,IF(SUM($D12:$DS12)=0,1,'Вводные'!$B$63))))*BA13)</x:f>
        <x:v>0</x:v>
      </x:c>
      <x:c r="BB14" s="107" t="n">
        <x:f>'Вводные'!$L$88*((IF(SUM($D9:$DS9)=0,0,IF(SUM($D12:$DS12)=0,1,'Вводные'!$B$63)))*BB11+(1-(IF(SUM($D9:$DS9)=0,0,IF(SUM($D12:$DS12)=0,1,'Вводные'!$B$63))))*BB13)</x:f>
        <x:v>0</x:v>
      </x:c>
      <x:c r="BC14" s="107" t="n">
        <x:f>'Вводные'!$L$88*((IF(SUM($D9:$DS9)=0,0,IF(SUM($D12:$DS12)=0,1,'Вводные'!$B$63)))*BC11+(1-(IF(SUM($D9:$DS9)=0,0,IF(SUM($D12:$DS12)=0,1,'Вводные'!$B$63))))*BC13)</x:f>
        <x:v>0</x:v>
      </x:c>
      <x:c r="BD14" s="107" t="n">
        <x:f>'Вводные'!$L$88*((IF(SUM($D9:$DS9)=0,0,IF(SUM($D12:$DS12)=0,1,'Вводные'!$B$63)))*BD11+(1-(IF(SUM($D9:$DS9)=0,0,IF(SUM($D12:$DS12)=0,1,'Вводные'!$B$63))))*BD13)</x:f>
        <x:v>0</x:v>
      </x:c>
      <x:c r="BE14" s="107" t="n">
        <x:f>'Вводные'!$L$88*((IF(SUM($D9:$DS9)=0,0,IF(SUM($D12:$DS12)=0,1,'Вводные'!$B$63)))*BE11+(1-(IF(SUM($D9:$DS9)=0,0,IF(SUM($D12:$DS12)=0,1,'Вводные'!$B$63))))*BE13)</x:f>
        <x:v>0</x:v>
      </x:c>
      <x:c r="BF14" s="107" t="n">
        <x:f>'Вводные'!$L$88*((IF(SUM($D9:$DS9)=0,0,IF(SUM($D12:$DS12)=0,1,'Вводные'!$B$63)))*BF11+(1-(IF(SUM($D9:$DS9)=0,0,IF(SUM($D12:$DS12)=0,1,'Вводные'!$B$63))))*BF13)</x:f>
        <x:v>0</x:v>
      </x:c>
      <x:c r="BG14" s="107" t="n">
        <x:f>'Вводные'!$L$88*((IF(SUM($D9:$DS9)=0,0,IF(SUM($D12:$DS12)=0,1,'Вводные'!$B$63)))*BG11+(1-(IF(SUM($D9:$DS9)=0,0,IF(SUM($D12:$DS12)=0,1,'Вводные'!$B$63))))*BG13)</x:f>
        <x:v>0</x:v>
      </x:c>
      <x:c r="BH14" s="107" t="n">
        <x:f>'Вводные'!$L$88*((IF(SUM($D9:$DS9)=0,0,IF(SUM($D12:$DS12)=0,1,'Вводные'!$B$63)))*BH11+(1-(IF(SUM($D9:$DS9)=0,0,IF(SUM($D12:$DS12)=0,1,'Вводные'!$B$63))))*BH13)</x:f>
        <x:v>0</x:v>
      </x:c>
      <x:c r="BI14" s="107" t="n">
        <x:f>'Вводные'!$L$88*((IF(SUM($D9:$DS9)=0,0,IF(SUM($D12:$DS12)=0,1,'Вводные'!$B$63)))*BI11+(1-(IF(SUM($D9:$DS9)=0,0,IF(SUM($D12:$DS12)=0,1,'Вводные'!$B$63))))*BI13)</x:f>
        <x:v>0</x:v>
      </x:c>
      <x:c r="BJ14" s="107" t="n">
        <x:f>'Вводные'!$L$88*((IF(SUM($D9:$DS9)=0,0,IF(SUM($D12:$DS12)=0,1,'Вводные'!$B$63)))*BJ11+(1-(IF(SUM($D9:$DS9)=0,0,IF(SUM($D12:$DS12)=0,1,'Вводные'!$B$63))))*BJ13)</x:f>
        <x:v>0</x:v>
      </x:c>
      <x:c r="BK14" s="107" t="n">
        <x:f>'Вводные'!$L$88*((IF(SUM($D9:$DS9)=0,0,IF(SUM($D12:$DS12)=0,1,'Вводные'!$B$63)))*BK11+(1-(IF(SUM($D9:$DS9)=0,0,IF(SUM($D12:$DS12)=0,1,'Вводные'!$B$63))))*BK13)</x:f>
        <x:v>0</x:v>
      </x:c>
      <x:c r="BL14" s="107" t="n">
        <x:f>'Вводные'!$L$88*((IF(SUM($D9:$DS9)=0,0,IF(SUM($D12:$DS12)=0,1,'Вводные'!$B$63)))*BL11+(1-(IF(SUM($D9:$DS9)=0,0,IF(SUM($D12:$DS12)=0,1,'Вводные'!$B$63))))*BL13)</x:f>
        <x:v>0</x:v>
      </x:c>
      <x:c r="BM14" s="107" t="n">
        <x:f>'Вводные'!$L$88*((IF(SUM($D9:$DS9)=0,0,IF(SUM($D12:$DS12)=0,1,'Вводные'!$B$63)))*BM11+(1-(IF(SUM($D9:$DS9)=0,0,IF(SUM($D12:$DS12)=0,1,'Вводные'!$B$63))))*BM13)</x:f>
        <x:v>0</x:v>
      </x:c>
      <x:c r="BN14" s="107" t="n">
        <x:f>'Вводные'!$L$88*((IF(SUM($D9:$DS9)=0,0,IF(SUM($D12:$DS12)=0,1,'Вводные'!$B$63)))*BN11+(1-(IF(SUM($D9:$DS9)=0,0,IF(SUM($D12:$DS12)=0,1,'Вводные'!$B$63))))*BN13)</x:f>
        <x:v>0</x:v>
      </x:c>
      <x:c r="BO14" s="107" t="n">
        <x:f>'Вводные'!$L$88*((IF(SUM($D9:$DS9)=0,0,IF(SUM($D12:$DS12)=0,1,'Вводные'!$B$63)))*BO11+(1-(IF(SUM($D9:$DS9)=0,0,IF(SUM($D12:$DS12)=0,1,'Вводные'!$B$63))))*BO13)</x:f>
        <x:v>0</x:v>
      </x:c>
      <x:c r="BP14" s="107" t="n">
        <x:f>'Вводные'!$L$88*((IF(SUM($D9:$DS9)=0,0,IF(SUM($D12:$DS12)=0,1,'Вводные'!$B$63)))*BP11+(1-(IF(SUM($D9:$DS9)=0,0,IF(SUM($D12:$DS12)=0,1,'Вводные'!$B$63))))*BP13)</x:f>
        <x:v>0</x:v>
      </x:c>
      <x:c r="BQ14" s="107" t="n">
        <x:f>'Вводные'!$L$88*((IF(SUM($D9:$DS9)=0,0,IF(SUM($D12:$DS12)=0,1,'Вводные'!$B$63)))*BQ11+(1-(IF(SUM($D9:$DS9)=0,0,IF(SUM($D12:$DS12)=0,1,'Вводные'!$B$63))))*BQ13)</x:f>
        <x:v>0</x:v>
      </x:c>
      <x:c r="BR14" s="107" t="n">
        <x:f>'Вводные'!$L$88*((IF(SUM($D9:$DS9)=0,0,IF(SUM($D12:$DS12)=0,1,'Вводные'!$B$63)))*BR11+(1-(IF(SUM($D9:$DS9)=0,0,IF(SUM($D12:$DS12)=0,1,'Вводные'!$B$63))))*BR13)</x:f>
        <x:v>0</x:v>
      </x:c>
      <x:c r="BS14" s="107" t="n">
        <x:f>'Вводные'!$L$88*((IF(SUM($D9:$DS9)=0,0,IF(SUM($D12:$DS12)=0,1,'Вводные'!$B$63)))*BS11+(1-(IF(SUM($D9:$DS9)=0,0,IF(SUM($D12:$DS12)=0,1,'Вводные'!$B$63))))*BS13)</x:f>
        <x:v>0</x:v>
      </x:c>
      <x:c r="BT14" s="107" t="n">
        <x:f>'Вводные'!$L$88*((IF(SUM($D9:$DS9)=0,0,IF(SUM($D12:$DS12)=0,1,'Вводные'!$B$63)))*BT11+(1-(IF(SUM($D9:$DS9)=0,0,IF(SUM($D12:$DS12)=0,1,'Вводные'!$B$63))))*BT13)</x:f>
        <x:v>0</x:v>
      </x:c>
      <x:c r="BU14" s="107" t="n">
        <x:f>'Вводные'!$L$88*((IF(SUM($D9:$DS9)=0,0,IF(SUM($D12:$DS12)=0,1,'Вводные'!$B$63)))*BU11+(1-(IF(SUM($D9:$DS9)=0,0,IF(SUM($D12:$DS12)=0,1,'Вводные'!$B$63))))*BU13)</x:f>
        <x:v>0</x:v>
      </x:c>
      <x:c r="BV14" s="107" t="n">
        <x:f>'Вводные'!$L$88*((IF(SUM($D9:$DS9)=0,0,IF(SUM($D12:$DS12)=0,1,'Вводные'!$B$63)))*BV11+(1-(IF(SUM($D9:$DS9)=0,0,IF(SUM($D12:$DS12)=0,1,'Вводные'!$B$63))))*BV13)</x:f>
        <x:v>0</x:v>
      </x:c>
      <x:c r="BW14" s="107" t="n">
        <x:f>'Вводные'!$L$88*((IF(SUM($D9:$DS9)=0,0,IF(SUM($D12:$DS12)=0,1,'Вводные'!$B$63)))*BW11+(1-(IF(SUM($D9:$DS9)=0,0,IF(SUM($D12:$DS12)=0,1,'Вводные'!$B$63))))*BW13)</x:f>
        <x:v>0</x:v>
      </x:c>
      <x:c r="BX14" s="107" t="n">
        <x:f>'Вводные'!$L$88*((IF(SUM($D9:$DS9)=0,0,IF(SUM($D12:$DS12)=0,1,'Вводные'!$B$63)))*BX11+(1-(IF(SUM($D9:$DS9)=0,0,IF(SUM($D12:$DS12)=0,1,'Вводные'!$B$63))))*BX13)</x:f>
        <x:v>0</x:v>
      </x:c>
      <x:c r="BY14" s="107" t="n">
        <x:f>'Вводные'!$L$88*((IF(SUM($D9:$DS9)=0,0,IF(SUM($D12:$DS12)=0,1,'Вводные'!$B$63)))*BY11+(1-(IF(SUM($D9:$DS9)=0,0,IF(SUM($D12:$DS12)=0,1,'Вводные'!$B$63))))*BY13)</x:f>
        <x:v>0</x:v>
      </x:c>
      <x:c r="BZ14" s="107" t="n">
        <x:f>'Вводные'!$L$88*((IF(SUM($D9:$DS9)=0,0,IF(SUM($D12:$DS12)=0,1,'Вводные'!$B$63)))*BZ11+(1-(IF(SUM($D9:$DS9)=0,0,IF(SUM($D12:$DS12)=0,1,'Вводные'!$B$63))))*BZ13)</x:f>
        <x:v>0</x:v>
      </x:c>
      <x:c r="CA14" s="107" t="n">
        <x:f>'Вводные'!$L$88*((IF(SUM($D9:$DS9)=0,0,IF(SUM($D12:$DS12)=0,1,'Вводные'!$B$63)))*CA11+(1-(IF(SUM($D9:$DS9)=0,0,IF(SUM($D12:$DS12)=0,1,'Вводные'!$B$63))))*CA13)</x:f>
        <x:v>0</x:v>
      </x:c>
      <x:c r="CB14" s="107" t="n">
        <x:f>'Вводные'!$L$88*((IF(SUM($D9:$DS9)=0,0,IF(SUM($D12:$DS12)=0,1,'Вводные'!$B$63)))*CB11+(1-(IF(SUM($D9:$DS9)=0,0,IF(SUM($D12:$DS12)=0,1,'Вводные'!$B$63))))*CB13)</x:f>
        <x:v>0</x:v>
      </x:c>
      <x:c r="CC14" s="107" t="n">
        <x:f>'Вводные'!$L$88*((IF(SUM($D9:$DS9)=0,0,IF(SUM($D12:$DS12)=0,1,'Вводные'!$B$63)))*CC11+(1-(IF(SUM($D9:$DS9)=0,0,IF(SUM($D12:$DS12)=0,1,'Вводные'!$B$63))))*CC13)</x:f>
        <x:v>0</x:v>
      </x:c>
      <x:c r="CD14" s="107" t="n">
        <x:f>'Вводные'!$L$88*((IF(SUM($D9:$DS9)=0,0,IF(SUM($D12:$DS12)=0,1,'Вводные'!$B$63)))*CD11+(1-(IF(SUM($D9:$DS9)=0,0,IF(SUM($D12:$DS12)=0,1,'Вводные'!$B$63))))*CD13)</x:f>
        <x:v>0</x:v>
      </x:c>
      <x:c r="CE14" s="107" t="n">
        <x:f>'Вводные'!$L$88*((IF(SUM($D9:$DS9)=0,0,IF(SUM($D12:$DS12)=0,1,'Вводные'!$B$63)))*CE11+(1-(IF(SUM($D9:$DS9)=0,0,IF(SUM($D12:$DS12)=0,1,'Вводные'!$B$63))))*CE13)</x:f>
        <x:v>0</x:v>
      </x:c>
      <x:c r="CF14" s="107" t="n">
        <x:f>'Вводные'!$L$88*((IF(SUM($D9:$DS9)=0,0,IF(SUM($D12:$DS12)=0,1,'Вводные'!$B$63)))*CF11+(1-(IF(SUM($D9:$DS9)=0,0,IF(SUM($D12:$DS12)=0,1,'Вводные'!$B$63))))*CF13)</x:f>
        <x:v>0</x:v>
      </x:c>
      <x:c r="CG14" s="107" t="n">
        <x:f>'Вводные'!$L$88*((IF(SUM($D9:$DS9)=0,0,IF(SUM($D12:$DS12)=0,1,'Вводные'!$B$63)))*CG11+(1-(IF(SUM($D9:$DS9)=0,0,IF(SUM($D12:$DS12)=0,1,'Вводные'!$B$63))))*CG13)</x:f>
        <x:v>0</x:v>
      </x:c>
      <x:c r="CH14" s="107" t="n">
        <x:f>'Вводные'!$L$88*((IF(SUM($D9:$DS9)=0,0,IF(SUM($D12:$DS12)=0,1,'Вводные'!$B$63)))*CH11+(1-(IF(SUM($D9:$DS9)=0,0,IF(SUM($D12:$DS12)=0,1,'Вводные'!$B$63))))*CH13)</x:f>
        <x:v>0</x:v>
      </x:c>
      <x:c r="CI14" s="107" t="n">
        <x:f>'Вводные'!$L$88*((IF(SUM($D9:$DS9)=0,0,IF(SUM($D12:$DS12)=0,1,'Вводные'!$B$63)))*CI11+(1-(IF(SUM($D9:$DS9)=0,0,IF(SUM($D12:$DS12)=0,1,'Вводные'!$B$63))))*CI13)</x:f>
        <x:v>0</x:v>
      </x:c>
      <x:c r="CJ14" s="107" t="n">
        <x:f>'Вводные'!$L$88*((IF(SUM($D9:$DS9)=0,0,IF(SUM($D12:$DS12)=0,1,'Вводные'!$B$63)))*CJ11+(1-(IF(SUM($D9:$DS9)=0,0,IF(SUM($D12:$DS12)=0,1,'Вводные'!$B$63))))*CJ13)</x:f>
        <x:v>0</x:v>
      </x:c>
      <x:c r="CK14" s="107" t="n">
        <x:f>'Вводные'!$L$88*((IF(SUM($D9:$DS9)=0,0,IF(SUM($D12:$DS12)=0,1,'Вводные'!$B$63)))*CK11+(1-(IF(SUM($D9:$DS9)=0,0,IF(SUM($D12:$DS12)=0,1,'Вводные'!$B$63))))*CK13)</x:f>
        <x:v>0</x:v>
      </x:c>
      <x:c r="CL14" s="107" t="n">
        <x:f>'Вводные'!$L$88*((IF(SUM($D9:$DS9)=0,0,IF(SUM($D12:$DS12)=0,1,'Вводные'!$B$63)))*CL11+(1-(IF(SUM($D9:$DS9)=0,0,IF(SUM($D12:$DS12)=0,1,'Вводные'!$B$63))))*CL13)</x:f>
        <x:v>0</x:v>
      </x:c>
      <x:c r="CM14" s="107" t="n">
        <x:f>'Вводные'!$L$88*((IF(SUM($D9:$DS9)=0,0,IF(SUM($D12:$DS12)=0,1,'Вводные'!$B$63)))*CM11+(1-(IF(SUM($D9:$DS9)=0,0,IF(SUM($D12:$DS12)=0,1,'Вводные'!$B$63))))*CM13)</x:f>
        <x:v>0</x:v>
      </x:c>
      <x:c r="CN14" s="107" t="n">
        <x:f>'Вводные'!$L$88*((IF(SUM($D9:$DS9)=0,0,IF(SUM($D12:$DS12)=0,1,'Вводные'!$B$63)))*CN11+(1-(IF(SUM($D9:$DS9)=0,0,IF(SUM($D12:$DS12)=0,1,'Вводные'!$B$63))))*CN13)</x:f>
        <x:v>0</x:v>
      </x:c>
      <x:c r="CO14" s="107" t="n">
        <x:f>'Вводные'!$L$88*((IF(SUM($D9:$DS9)=0,0,IF(SUM($D12:$DS12)=0,1,'Вводные'!$B$63)))*CO11+(1-(IF(SUM($D9:$DS9)=0,0,IF(SUM($D12:$DS12)=0,1,'Вводные'!$B$63))))*CO13)</x:f>
        <x:v>0</x:v>
      </x:c>
      <x:c r="CP14" s="107" t="n">
        <x:f>'Вводные'!$L$88*((IF(SUM($D9:$DS9)=0,0,IF(SUM($D12:$DS12)=0,1,'Вводные'!$B$63)))*CP11+(1-(IF(SUM($D9:$DS9)=0,0,IF(SUM($D12:$DS12)=0,1,'Вводные'!$B$63))))*CP13)</x:f>
        <x:v>0</x:v>
      </x:c>
      <x:c r="CQ14" s="107" t="n">
        <x:f>'Вводные'!$L$88*((IF(SUM($D9:$DS9)=0,0,IF(SUM($D12:$DS12)=0,1,'Вводные'!$B$63)))*CQ11+(1-(IF(SUM($D9:$DS9)=0,0,IF(SUM($D12:$DS12)=0,1,'Вводные'!$B$63))))*CQ13)</x:f>
        <x:v>0</x:v>
      </x:c>
      <x:c r="CR14" s="107" t="n">
        <x:f>'Вводные'!$L$88*((IF(SUM($D9:$DS9)=0,0,IF(SUM($D12:$DS12)=0,1,'Вводные'!$B$63)))*CR11+(1-(IF(SUM($D9:$DS9)=0,0,IF(SUM($D12:$DS12)=0,1,'Вводные'!$B$63))))*CR13)</x:f>
        <x:v>0</x:v>
      </x:c>
      <x:c r="CS14" s="107" t="n">
        <x:f>'Вводные'!$L$88*((IF(SUM($D9:$DS9)=0,0,IF(SUM($D12:$DS12)=0,1,'Вводные'!$B$63)))*CS11+(1-(IF(SUM($D9:$DS9)=0,0,IF(SUM($D12:$DS12)=0,1,'Вводные'!$B$63))))*CS13)</x:f>
        <x:v>0</x:v>
      </x:c>
      <x:c r="CT14" s="107" t="n">
        <x:f>'Вводные'!$L$88*((IF(SUM($D9:$DS9)=0,0,IF(SUM($D12:$DS12)=0,1,'Вводные'!$B$63)))*CT11+(1-(IF(SUM($D9:$DS9)=0,0,IF(SUM($D12:$DS12)=0,1,'Вводные'!$B$63))))*CT13)</x:f>
        <x:v>0</x:v>
      </x:c>
      <x:c r="CU14" s="107" t="n">
        <x:f>'Вводные'!$L$88*((IF(SUM($D9:$DS9)=0,0,IF(SUM($D12:$DS12)=0,1,'Вводные'!$B$63)))*CU11+(1-(IF(SUM($D9:$DS9)=0,0,IF(SUM($D12:$DS12)=0,1,'Вводные'!$B$63))))*CU13)</x:f>
        <x:v>0</x:v>
      </x:c>
      <x:c r="CV14" s="107" t="n">
        <x:f>'Вводные'!$L$88*((IF(SUM($D9:$DS9)=0,0,IF(SUM($D12:$DS12)=0,1,'Вводные'!$B$63)))*CV11+(1-(IF(SUM($D9:$DS9)=0,0,IF(SUM($D12:$DS12)=0,1,'Вводные'!$B$63))))*CV13)</x:f>
        <x:v>0</x:v>
      </x:c>
      <x:c r="CW14" s="107" t="n">
        <x:f>'Вводные'!$L$88*((IF(SUM($D9:$DS9)=0,0,IF(SUM($D12:$DS12)=0,1,'Вводные'!$B$63)))*CW11+(1-(IF(SUM($D9:$DS9)=0,0,IF(SUM($D12:$DS12)=0,1,'Вводные'!$B$63))))*CW13)</x:f>
        <x:v>0</x:v>
      </x:c>
      <x:c r="CX14" s="107" t="n">
        <x:f>'Вводные'!$L$88*((IF(SUM($D9:$DS9)=0,0,IF(SUM($D12:$DS12)=0,1,'Вводные'!$B$63)))*CX11+(1-(IF(SUM($D9:$DS9)=0,0,IF(SUM($D12:$DS12)=0,1,'Вводные'!$B$63))))*CX13)</x:f>
        <x:v>0</x:v>
      </x:c>
      <x:c r="CY14" s="107" t="n">
        <x:f>'Вводные'!$L$88*((IF(SUM($D9:$DS9)=0,0,IF(SUM($D12:$DS12)=0,1,'Вводные'!$B$63)))*CY11+(1-(IF(SUM($D9:$DS9)=0,0,IF(SUM($D12:$DS12)=0,1,'Вводные'!$B$63))))*CY13)</x:f>
        <x:v>0</x:v>
      </x:c>
      <x:c r="CZ14" s="107" t="n">
        <x:f>'Вводные'!$L$88*((IF(SUM($D9:$DS9)=0,0,IF(SUM($D12:$DS12)=0,1,'Вводные'!$B$63)))*CZ11+(1-(IF(SUM($D9:$DS9)=0,0,IF(SUM($D12:$DS12)=0,1,'Вводные'!$B$63))))*CZ13)</x:f>
        <x:v>0</x:v>
      </x:c>
      <x:c r="DA14" s="107" t="n">
        <x:f>'Вводные'!$L$88*((IF(SUM($D9:$DS9)=0,0,IF(SUM($D12:$DS12)=0,1,'Вводные'!$B$63)))*DA11+(1-(IF(SUM($D9:$DS9)=0,0,IF(SUM($D12:$DS12)=0,1,'Вводные'!$B$63))))*DA13)</x:f>
        <x:v>0</x:v>
      </x:c>
      <x:c r="DB14" s="107" t="n">
        <x:f>'Вводные'!$L$88*((IF(SUM($D9:$DS9)=0,0,IF(SUM($D12:$DS12)=0,1,'Вводные'!$B$63)))*DB11+(1-(IF(SUM($D9:$DS9)=0,0,IF(SUM($D12:$DS12)=0,1,'Вводные'!$B$63))))*DB13)</x:f>
        <x:v>0</x:v>
      </x:c>
      <x:c r="DC14" s="107" t="n">
        <x:f>'Вводные'!$L$88*((IF(SUM($D9:$DS9)=0,0,IF(SUM($D12:$DS12)=0,1,'Вводные'!$B$63)))*DC11+(1-(IF(SUM($D9:$DS9)=0,0,IF(SUM($D12:$DS12)=0,1,'Вводные'!$B$63))))*DC13)</x:f>
        <x:v>0</x:v>
      </x:c>
      <x:c r="DD14" s="107" t="n">
        <x:f>'Вводные'!$L$88*((IF(SUM($D9:$DS9)=0,0,IF(SUM($D12:$DS12)=0,1,'Вводные'!$B$63)))*DD11+(1-(IF(SUM($D9:$DS9)=0,0,IF(SUM($D12:$DS12)=0,1,'Вводные'!$B$63))))*DD13)</x:f>
        <x:v>0</x:v>
      </x:c>
      <x:c r="DE14" s="107" t="n">
        <x:f>'Вводные'!$L$88*((IF(SUM($D9:$DS9)=0,0,IF(SUM($D12:$DS12)=0,1,'Вводные'!$B$63)))*DE11+(1-(IF(SUM($D9:$DS9)=0,0,IF(SUM($D12:$DS12)=0,1,'Вводные'!$B$63))))*DE13)</x:f>
        <x:v>0</x:v>
      </x:c>
      <x:c r="DF14" s="107" t="n">
        <x:f>'Вводные'!$L$88*((IF(SUM($D9:$DS9)=0,0,IF(SUM($D12:$DS12)=0,1,'Вводные'!$B$63)))*DF11+(1-(IF(SUM($D9:$DS9)=0,0,IF(SUM($D12:$DS12)=0,1,'Вводные'!$B$63))))*DF13)</x:f>
        <x:v>0</x:v>
      </x:c>
      <x:c r="DG14" s="107" t="n">
        <x:f>'Вводные'!$L$88*((IF(SUM($D9:$DS9)=0,0,IF(SUM($D12:$DS12)=0,1,'Вводные'!$B$63)))*DG11+(1-(IF(SUM($D9:$DS9)=0,0,IF(SUM($D12:$DS12)=0,1,'Вводные'!$B$63))))*DG13)</x:f>
        <x:v>0</x:v>
      </x:c>
      <x:c r="DH14" s="107" t="n">
        <x:f>'Вводные'!$L$88*((IF(SUM($D9:$DS9)=0,0,IF(SUM($D12:$DS12)=0,1,'Вводные'!$B$63)))*DH11+(1-(IF(SUM($D9:$DS9)=0,0,IF(SUM($D12:$DS12)=0,1,'Вводные'!$B$63))))*DH13)</x:f>
        <x:v>0</x:v>
      </x:c>
      <x:c r="DI14" s="107" t="n">
        <x:f>'Вводные'!$L$88*((IF(SUM($D9:$DS9)=0,0,IF(SUM($D12:$DS12)=0,1,'Вводные'!$B$63)))*DI11+(1-(IF(SUM($D9:$DS9)=0,0,IF(SUM($D12:$DS12)=0,1,'Вводные'!$B$63))))*DI13)</x:f>
        <x:v>0</x:v>
      </x:c>
      <x:c r="DJ14" s="107" t="n">
        <x:f>'Вводные'!$L$88*((IF(SUM($D9:$DS9)=0,0,IF(SUM($D12:$DS12)=0,1,'Вводные'!$B$63)))*DJ11+(1-(IF(SUM($D9:$DS9)=0,0,IF(SUM($D12:$DS12)=0,1,'Вводные'!$B$63))))*DJ13)</x:f>
        <x:v>0</x:v>
      </x:c>
      <x:c r="DK14" s="107" t="n">
        <x:f>'Вводные'!$L$88*((IF(SUM($D9:$DS9)=0,0,IF(SUM($D12:$DS12)=0,1,'Вводные'!$B$63)))*DK11+(1-(IF(SUM($D9:$DS9)=0,0,IF(SUM($D12:$DS12)=0,1,'Вводные'!$B$63))))*DK13)</x:f>
        <x:v>0</x:v>
      </x:c>
      <x:c r="DL14" s="107" t="n">
        <x:f>'Вводные'!$L$88*((IF(SUM($D9:$DS9)=0,0,IF(SUM($D12:$DS12)=0,1,'Вводные'!$B$63)))*DL11+(1-(IF(SUM($D9:$DS9)=0,0,IF(SUM($D12:$DS12)=0,1,'Вводные'!$B$63))))*DL13)</x:f>
        <x:v>0</x:v>
      </x:c>
      <x:c r="DM14" s="107" t="n">
        <x:f>'Вводные'!$L$88*((IF(SUM($D9:$DS9)=0,0,IF(SUM($D12:$DS12)=0,1,'Вводные'!$B$63)))*DM11+(1-(IF(SUM($D9:$DS9)=0,0,IF(SUM($D12:$DS12)=0,1,'Вводные'!$B$63))))*DM13)</x:f>
        <x:v>0</x:v>
      </x:c>
      <x:c r="DN14" s="107" t="n">
        <x:f>'Вводные'!$L$88*((IF(SUM($D9:$DS9)=0,0,IF(SUM($D12:$DS12)=0,1,'Вводные'!$B$63)))*DN11+(1-(IF(SUM($D9:$DS9)=0,0,IF(SUM($D12:$DS12)=0,1,'Вводные'!$B$63))))*DN13)</x:f>
        <x:v>0</x:v>
      </x:c>
      <x:c r="DO14" s="107" t="n">
        <x:f>'Вводные'!$L$88*((IF(SUM($D9:$DS9)=0,0,IF(SUM($D12:$DS12)=0,1,'Вводные'!$B$63)))*DO11+(1-(IF(SUM($D9:$DS9)=0,0,IF(SUM($D12:$DS12)=0,1,'Вводные'!$B$63))))*DO13)</x:f>
        <x:v>0</x:v>
      </x:c>
      <x:c r="DP14" s="107" t="n">
        <x:f>'Вводные'!$L$88*((IF(SUM($D9:$DS9)=0,0,IF(SUM($D12:$DS12)=0,1,'Вводные'!$B$63)))*DP11+(1-(IF(SUM($D9:$DS9)=0,0,IF(SUM($D12:$DS12)=0,1,'Вводные'!$B$63))))*DP13)</x:f>
        <x:v>0</x:v>
      </x:c>
      <x:c r="DQ14" s="107" t="n">
        <x:f>'Вводные'!$L$88*((IF(SUM($D9:$DS9)=0,0,IF(SUM($D12:$DS12)=0,1,'Вводные'!$B$63)))*DQ11+(1-(IF(SUM($D9:$DS9)=0,0,IF(SUM($D12:$DS12)=0,1,'Вводные'!$B$63))))*DQ13)</x:f>
        <x:v>0</x:v>
      </x:c>
      <x:c r="DR14" s="107" t="n">
        <x:f>'Вводные'!$L$88*((IF(SUM($D9:$DS9)=0,0,IF(SUM($D12:$DS12)=0,1,'Вводные'!$B$63)))*DR11+(1-(IF(SUM($D9:$DS9)=0,0,IF(SUM($D12:$DS12)=0,1,'Вводные'!$B$63))))*DR13)</x:f>
        <x:v>0</x:v>
      </x:c>
      <x:c r="DS14" s="107" t="n">
        <x:f>'Вводные'!$L$88*((IF(SUM($D9:$DS9)=0,0,IF(SUM($D12:$DS12)=0,1,'Вводные'!$B$63)))*DS11+(1-(IF(SUM($D9:$DS9)=0,0,IF(SUM($D12:$DS12)=0,1,'Вводные'!$B$63))))*DS13)</x:f>
        <x:v>0</x:v>
      </x:c>
    </x:row>
    <x:row r="15">
      <x:c r="A15" t="str">
        <x:v>Квартиры — цена</x:v>
      </x:c>
      <x:c r="B15" t="n">
        <x:f>IFERROR(B16*1000/B14,0)</x:f>
        <x:v>803.9753512807755</x:v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650</x:v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659.7499999999999</x:v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669.6462499999998</x:v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679.6909437499997</x:v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689.8863079062497</x:v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700.2346025248435</x:v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710.738121562716</x:v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721.3991933861568</x:v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732.220181286949</x:v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743.2034840062531</x:v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754.3515362663469</x:v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765.6668093103419</x:v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777.151811449997</x:v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788.8090886217469</x:v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800.6412249510729</x:v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812.6508433253391</x:v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824.8406059752191</x:v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837.2132150648472</x:v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849.7714132908199</x:v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862.517984490182</x:v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875.4557542575347</x:v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888.5875905713978</x:v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901.9164044299685</x:v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915.4451504964179</x:v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929.1768277538642</x:v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931.4997698232488</x:v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933.8285192478069</x:v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936.1630905459264</x:v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938.5034982722912</x:v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940.8497570179719</x:v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16">
      <x:c r="A16" t="str">
        <x:v>Квартиры — выручка</x:v>
      </x:c>
      <x:c r="B16" t="n">
        <x:f>SUM(D16:DS16)</x:f>
        <x:v>11191.336889828392</x:v>
      </x:c>
      <x:c r="C16" t="str">
        <x:v>млн ₽</x:v>
      </x:c>
      <x:c r="D16" s="107" t="n">
        <x:f>D14*D15/1000</x:f>
        <x:v>0</x:v>
      </x:c>
      <x:c r="E16" s="107" t="n">
        <x:f>E14*E15/1000</x:f>
        <x:v>0</x:v>
      </x:c>
      <x:c r="F16" s="107" t="n">
        <x:f>F14*F15/1000</x:f>
        <x:v>0</x:v>
      </x:c>
      <x:c r="G16" s="107" t="n">
        <x:f>G14*G15/1000</x:f>
        <x:v>0</x:v>
      </x:c>
      <x:c r="H16" s="107" t="n">
        <x:f>H14*H15/1000</x:f>
        <x:v>0</x:v>
      </x:c>
      <x:c r="I16" s="107" t="n">
        <x:f>I14*I15/1000</x:f>
        <x:v>0</x:v>
      </x:c>
      <x:c r="J16" s="107" t="n">
        <x:f>J14*J15/1000</x:f>
        <x:v>0</x:v>
      </x:c>
      <x:c r="K16" s="107" t="n">
        <x:f>K14*K15/1000</x:f>
        <x:v>0</x:v>
      </x:c>
      <x:c r="L16" s="107" t="n">
        <x:f>L14*L15/1000</x:f>
        <x:v>0</x:v>
      </x:c>
      <x:c r="M16" s="107" t="n">
        <x:f>M14*M15/1000</x:f>
        <x:v>0</x:v>
      </x:c>
      <x:c r="N16" s="107" t="n">
        <x:f>N14*N15/1000</x:f>
        <x:v>0</x:v>
      </x:c>
      <x:c r="O16" s="107" t="n">
        <x:f>O14*O15/1000</x:f>
        <x:v>0</x:v>
      </x:c>
      <x:c r="P16" s="107" t="n">
        <x:f>P14*P15/1000</x:f>
        <x:v>0</x:v>
      </x:c>
      <x:c r="Q16" s="107" t="n">
        <x:f>Q14*Q15/1000</x:f>
        <x:v>0</x:v>
      </x:c>
      <x:c r="R16" s="107" t="n">
        <x:f>R14*R15/1000</x:f>
        <x:v>0</x:v>
      </x:c>
      <x:c r="S16" s="107" t="n">
        <x:f>S14*S15/1000</x:f>
        <x:v>0</x:v>
      </x:c>
      <x:c r="T16" s="107" t="n">
        <x:f>T14*T15/1000</x:f>
        <x:v>0</x:v>
      </x:c>
      <x:c r="U16" s="107" t="n">
        <x:f>U14*U15/1000</x:f>
        <x:v>0</x:v>
      </x:c>
      <x:c r="V16" s="107" t="n">
        <x:f>V14*V15/1000</x:f>
        <x:v>258.53727357437236</x:v>
      </x:c>
      <x:c r="W16" s="107" t="n">
        <x:f>W14*W15/1000</x:f>
        <x:v>265.03948600476775</x:v>
      </x:c>
      <x:c r="X16" s="107" t="n">
        <x:f>X14*X15/1000</x:f>
        <x:v>319.6532106797502</x:v>
      </x:c>
      <x:c r="Y16" s="107" t="n">
        <x:f>Y14*Y15/1000</x:f>
        <x:v>327.69248892834594</x:v>
      </x:c>
      <x:c r="Z16" s="107" t="n">
        <x:f>Z14*Z15/1000</x:f>
        <x:v>335.9339550248938</x:v>
      </x:c>
      <x:c r="AA16" s="107" t="n">
        <x:f>AA14*AA15/1000</x:f>
        <x:v>344.38269399376986</x:v>
      </x:c>
      <x:c r="AB16" s="107" t="n">
        <x:f>AB14*AB15/1000</x:f>
        <x:v>300.08733093555617</x:v>
      </x:c>
      <x:c r="AC16" s="107" t="n">
        <x:f>AC14*AC15/1000</x:f>
        <x:v>361.92297330421815</x:v>
      </x:c>
      <x:c r="AD16" s="107" t="n">
        <x:f>AD14*AD15/1000</x:f>
        <x:v>371.0253360828192</x:v>
      </x:c>
      <x:c r="AE16" s="107" t="n">
        <x:f>AE14*AE15/1000</x:f>
        <x:v>380.3566232853019</x:v>
      </x:c>
      <x:c r="AF16" s="107" t="n">
        <x:f>AF14*AF15/1000</x:f>
        <x:v>331.43420350678826</x:v>
      </x:c>
      <x:c r="AG16" s="107" t="n">
        <x:f>AG14*AG15/1000</x:f>
        <x:v>339.76977372498385</x:v>
      </x:c>
      <x:c r="AH16" s="107" t="n">
        <x:f>AH14*AH15/1000</x:f>
        <x:v>348.3149835341672</x:v>
      </x:c>
      <x:c r="AI16" s="107" t="n">
        <x:f>AI14*AI15/1000</x:f>
        <x:v>357.0751053700514</x:v>
      </x:c>
      <x:c r="AJ16" s="107" t="n">
        <x:f>AJ14*AJ15/1000</x:f>
        <x:v>430.6535814942449</x:v>
      </x:c>
      <x:c r="AK16" s="107" t="n">
        <x:f>AK14*AK15/1000</x:f>
        <x:v>441.4845190688253</x:v>
      </x:c>
      <x:c r="AL16" s="107" t="n">
        <x:f>AL14*AL15/1000</x:f>
        <x:v>452.5878547234062</x:v>
      </x:c>
      <x:c r="AM16" s="107" t="n">
        <x:f>AM14*AM15/1000</x:f>
        <x:v>463.97043926969974</x:v>
      </x:c>
      <x:c r="AN16" s="107" t="n">
        <x:f>AN14*AN15/1000</x:f>
        <x:v>404.29340144473275</x:v>
      </x:c>
      <x:c r="AO16" s="107" t="n">
        <x:f>AO14*AO15/1000</x:f>
        <x:v>487.60162410713843</x:v>
      </x:c>
      <x:c r="AP16" s="107" t="n">
        <x:f>AP14*AP15/1000</x:f>
        <x:v>499.864804953433</x:v>
      </x:c>
      <x:c r="AQ16" s="107" t="n">
        <x:f>AQ14*AQ15/1000</x:f>
        <x:v>512.436404798012</x:v>
      </x:c>
      <x:c r="AR16" s="107" t="n">
        <x:f>AR14*AR15/1000</x:f>
        <x:v>446.52555332187956</x:v>
      </x:c>
      <x:c r="AS16" s="107" t="n">
        <x:f>AS14*AS15/1000</x:f>
        <x:v>457.7556709879247</x:v>
      </x:c>
      <x:c r="AT16" s="107" t="n">
        <x:f>AT14*AT15/1000</x:f>
        <x:v>281.87313714382117</x:v>
      </x:c>
      <x:c r="AU16" s="107" t="n">
        <x:f>AU14*AU15/1000</x:f>
        <x:v>285.40359818654747</x:v>
      </x:c>
      <x:c r="AV16" s="107" t="n">
        <x:f>AV14*AV15/1000</x:f>
        <x:v>339.9744450045106</x:v>
      </x:c>
      <x:c r="AW16" s="107" t="n">
        <x:f>AW14*AW15/1000</x:f>
        <x:v>344.2326249281921</x:v>
      </x:c>
      <x:c r="AX16" s="107" t="n">
        <x:f>AX14*AX15/1000</x:f>
        <x:v>348.54413855541765</x:v>
      </x:c>
      <x:c r="AY16" s="107" t="n">
        <x:f>AY14*AY15/1000</x:f>
        <x:v>352.9096538908243</x:v>
      </x:c>
      <x:c r="AZ16" s="107" t="n">
        <x:f>AZ14*AZ15/1000</x:f>
        <x:v>0</x:v>
      </x:c>
      <x:c r="BA16" s="107" t="n">
        <x:f>BA14*BA15/1000</x:f>
        <x:v>0</x:v>
      </x:c>
      <x:c r="BB16" s="107" t="n">
        <x:f>BB14*BB15/1000</x:f>
        <x:v>0</x:v>
      </x:c>
      <x:c r="BC16" s="107" t="n">
        <x:f>BC14*BC15/1000</x:f>
        <x:v>0</x:v>
      </x:c>
      <x:c r="BD16" s="107" t="n">
        <x:f>BD14*BD15/1000</x:f>
        <x:v>0</x:v>
      </x:c>
      <x:c r="BE16" s="107" t="n">
        <x:f>BE14*BE15/1000</x:f>
        <x:v>0</x:v>
      </x:c>
      <x:c r="BF16" s="107" t="n">
        <x:f>BF14*BF15/1000</x:f>
        <x:v>0</x:v>
      </x:c>
      <x:c r="BG16" s="107" t="n">
        <x:f>BG14*BG15/1000</x:f>
        <x:v>0</x:v>
      </x:c>
      <x:c r="BH16" s="107" t="n">
        <x:f>BH14*BH15/1000</x:f>
        <x:v>0</x:v>
      </x:c>
      <x:c r="BI16" s="107" t="n">
        <x:f>BI14*BI15/1000</x:f>
        <x:v>0</x:v>
      </x:c>
      <x:c r="BJ16" s="107" t="n">
        <x:f>BJ14*BJ15/1000</x:f>
        <x:v>0</x:v>
      </x:c>
      <x:c r="BK16" s="107" t="n">
        <x:f>BK14*BK15/1000</x:f>
        <x:v>0</x:v>
      </x:c>
      <x:c r="BL16" s="107" t="n">
        <x:f>BL14*BL15/1000</x:f>
        <x:v>0</x:v>
      </x:c>
      <x:c r="BM16" s="107" t="n">
        <x:f>BM14*BM15/1000</x:f>
        <x:v>0</x:v>
      </x:c>
      <x:c r="BN16" s="107" t="n">
        <x:f>BN14*BN15/1000</x:f>
        <x:v>0</x:v>
      </x:c>
      <x:c r="BO16" s="107" t="n">
        <x:f>BO14*BO15/1000</x:f>
        <x:v>0</x:v>
      </x:c>
      <x:c r="BP16" s="107" t="n">
        <x:f>BP14*BP15/1000</x:f>
        <x:v>0</x:v>
      </x:c>
      <x:c r="BQ16" s="107" t="n">
        <x:f>BQ14*BQ15/1000</x:f>
        <x:v>0</x:v>
      </x:c>
      <x:c r="BR16" s="107" t="n">
        <x:f>BR14*BR15/1000</x:f>
        <x:v>0</x:v>
      </x:c>
      <x:c r="BS16" s="107" t="n">
        <x:f>BS14*BS15/1000</x:f>
        <x:v>0</x:v>
      </x:c>
      <x:c r="BT16" s="107" t="n">
        <x:f>BT14*BT15/1000</x:f>
        <x:v>0</x:v>
      </x:c>
      <x:c r="BU16" s="107" t="n">
        <x:f>BU14*BU15/1000</x:f>
        <x:v>0</x:v>
      </x:c>
      <x:c r="BV16" s="107" t="n">
        <x:f>BV14*BV15/1000</x:f>
        <x:v>0</x:v>
      </x:c>
      <x:c r="BW16" s="107" t="n">
        <x:f>BW14*BW15/1000</x:f>
        <x:v>0</x:v>
      </x:c>
      <x:c r="BX16" s="107" t="n">
        <x:f>BX14*BX15/1000</x:f>
        <x:v>0</x:v>
      </x:c>
      <x:c r="BY16" s="107" t="n">
        <x:f>BY14*BY15/1000</x:f>
        <x:v>0</x:v>
      </x:c>
      <x:c r="BZ16" s="107" t="n">
        <x:f>BZ14*BZ15/1000</x:f>
        <x:v>0</x:v>
      </x:c>
      <x:c r="CA16" s="107" t="n">
        <x:f>CA14*CA15/1000</x:f>
        <x:v>0</x:v>
      </x:c>
      <x:c r="CB16" s="107" t="n">
        <x:f>CB14*CB15/1000</x:f>
        <x:v>0</x:v>
      </x:c>
      <x:c r="CC16" s="107" t="n">
        <x:f>CC14*CC15/1000</x:f>
        <x:v>0</x:v>
      </x:c>
      <x:c r="CD16" s="107" t="n">
        <x:f>CD14*CD15/1000</x:f>
        <x:v>0</x:v>
      </x:c>
      <x:c r="CE16" s="107" t="n">
        <x:f>CE14*CE15/1000</x:f>
        <x:v>0</x:v>
      </x:c>
      <x:c r="CF16" s="107" t="n">
        <x:f>CF14*CF15/1000</x:f>
        <x:v>0</x:v>
      </x:c>
      <x:c r="CG16" s="107" t="n">
        <x:f>CG14*CG15/1000</x:f>
        <x:v>0</x:v>
      </x:c>
      <x:c r="CH16" s="107" t="n">
        <x:f>CH14*CH15/1000</x:f>
        <x:v>0</x:v>
      </x:c>
      <x:c r="CI16" s="107" t="n">
        <x:f>CI14*CI15/1000</x:f>
        <x:v>0</x:v>
      </x:c>
      <x:c r="CJ16" s="107" t="n">
        <x:f>CJ14*CJ15/1000</x:f>
        <x:v>0</x:v>
      </x:c>
      <x:c r="CK16" s="107" t="n">
        <x:f>CK14*CK15/1000</x:f>
        <x:v>0</x:v>
      </x:c>
      <x:c r="CL16" s="107" t="n">
        <x:f>CL14*CL15/1000</x:f>
        <x:v>0</x:v>
      </x:c>
      <x:c r="CM16" s="107" t="n">
        <x:f>CM14*CM15/1000</x:f>
        <x:v>0</x:v>
      </x:c>
      <x:c r="CN16" s="107" t="n">
        <x:f>CN14*CN15/1000</x:f>
        <x:v>0</x:v>
      </x:c>
      <x:c r="CO16" s="107" t="n">
        <x:f>CO14*CO15/1000</x:f>
        <x:v>0</x:v>
      </x:c>
      <x:c r="CP16" s="107" t="n">
        <x:f>CP14*CP15/1000</x:f>
        <x:v>0</x:v>
      </x:c>
      <x:c r="CQ16" s="107" t="n">
        <x:f>CQ14*CQ15/1000</x:f>
        <x:v>0</x:v>
      </x:c>
      <x:c r="CR16" s="107" t="n">
        <x:f>CR14*CR15/1000</x:f>
        <x:v>0</x:v>
      </x:c>
      <x:c r="CS16" s="107" t="n">
        <x:f>CS14*CS15/1000</x:f>
        <x:v>0</x:v>
      </x:c>
      <x:c r="CT16" s="107" t="n">
        <x:f>CT14*CT15/1000</x:f>
        <x:v>0</x:v>
      </x:c>
      <x:c r="CU16" s="107" t="n">
        <x:f>CU14*CU15/1000</x:f>
        <x:v>0</x:v>
      </x:c>
      <x:c r="CV16" s="107" t="n">
        <x:f>CV14*CV15/1000</x:f>
        <x:v>0</x:v>
      </x:c>
      <x:c r="CW16" s="107" t="n">
        <x:f>CW14*CW15/1000</x:f>
        <x:v>0</x:v>
      </x:c>
      <x:c r="CX16" s="107" t="n">
        <x:f>CX14*CX15/1000</x:f>
        <x:v>0</x:v>
      </x:c>
      <x:c r="CY16" s="107" t="n">
        <x:f>CY14*CY15/1000</x:f>
        <x:v>0</x:v>
      </x:c>
      <x:c r="CZ16" s="107" t="n">
        <x:f>CZ14*CZ15/1000</x:f>
        <x:v>0</x:v>
      </x:c>
      <x:c r="DA16" s="107" t="n">
        <x:f>DA14*DA15/1000</x:f>
        <x:v>0</x:v>
      </x:c>
      <x:c r="DB16" s="107" t="n">
        <x:f>DB14*DB15/1000</x:f>
        <x:v>0</x:v>
      </x:c>
      <x:c r="DC16" s="107" t="n">
        <x:f>DC14*DC15/1000</x:f>
        <x:v>0</x:v>
      </x:c>
      <x:c r="DD16" s="107" t="n">
        <x:f>DD14*DD15/1000</x:f>
        <x:v>0</x:v>
      </x:c>
      <x:c r="DE16" s="107" t="n">
        <x:f>DE14*DE15/1000</x:f>
        <x:v>0</x:v>
      </x:c>
      <x:c r="DF16" s="107" t="n">
        <x:f>DF14*DF15/1000</x:f>
        <x:v>0</x:v>
      </x:c>
      <x:c r="DG16" s="107" t="n">
        <x:f>DG14*DG15/1000</x:f>
        <x:v>0</x:v>
      </x:c>
      <x:c r="DH16" s="107" t="n">
        <x:f>DH14*DH15/1000</x:f>
        <x:v>0</x:v>
      </x:c>
      <x:c r="DI16" s="107" t="n">
        <x:f>DI14*DI15/1000</x:f>
        <x:v>0</x:v>
      </x:c>
      <x:c r="DJ16" s="107" t="n">
        <x:f>DJ14*DJ15/1000</x:f>
        <x:v>0</x:v>
      </x:c>
      <x:c r="DK16" s="107" t="n">
        <x:f>DK14*DK15/1000</x:f>
        <x:v>0</x:v>
      </x:c>
      <x:c r="DL16" s="107" t="n">
        <x:f>DL14*DL15/1000</x:f>
        <x:v>0</x:v>
      </x:c>
      <x:c r="DM16" s="107" t="n">
        <x:f>DM14*DM15/1000</x:f>
        <x:v>0</x:v>
      </x:c>
      <x:c r="DN16" s="107" t="n">
        <x:f>DN14*DN15/1000</x:f>
        <x:v>0</x:v>
      </x:c>
      <x:c r="DO16" s="107" t="n">
        <x:f>DO14*DO15/1000</x:f>
        <x:v>0</x:v>
      </x:c>
      <x:c r="DP16" s="107" t="n">
        <x:f>DP14*DP15/1000</x:f>
        <x:v>0</x:v>
      </x:c>
      <x:c r="DQ16" s="107" t="n">
        <x:f>DQ14*DQ15/1000</x:f>
        <x:v>0</x:v>
      </x:c>
      <x:c r="DR16" s="107" t="n">
        <x:f>DR14*DR15/1000</x:f>
        <x:v>0</x:v>
      </x:c>
      <x:c r="DS16" s="107" t="n">
        <x:f>DS14*DS15/1000</x:f>
        <x:v>0</x:v>
      </x:c>
    </x:row>
    <x:row r="17">
      <x:c r="A17" t="str">
        <x:v>Коммерция — объём</x:v>
      </x:c>
      <x:c r="B17" t="n">
        <x:f>SUM(D17:DS17)</x:f>
        <x:v>1230</x:v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  <x:v>0</x:v>
      </x:c>
      <x:c r="E17" s="107" t="n">
        <x:f>'Вводные'!$M$88*((IF(SUM($D9:$DS9)=0,0,IF(SUM($D12:$DS12)=0,1,'Вводные'!$B$63)))*E11+(1-(IF(SUM($D9:$DS9)=0,0,IF(SUM($D12:$DS12)=0,1,'Вводные'!$B$63))))*E13)</x:f>
        <x:v>0</x:v>
      </x:c>
      <x:c r="F17" s="107" t="n">
        <x:f>'Вводные'!$M$88*((IF(SUM($D9:$DS9)=0,0,IF(SUM($D12:$DS12)=0,1,'Вводные'!$B$63)))*F11+(1-(IF(SUM($D9:$DS9)=0,0,IF(SUM($D12:$DS12)=0,1,'Вводные'!$B$63))))*F13)</x:f>
        <x:v>0</x:v>
      </x:c>
      <x:c r="G17" s="107" t="n">
        <x:f>'Вводные'!$M$88*((IF(SUM($D9:$DS9)=0,0,IF(SUM($D12:$DS12)=0,1,'Вводные'!$B$63)))*G11+(1-(IF(SUM($D9:$DS9)=0,0,IF(SUM($D12:$DS12)=0,1,'Вводные'!$B$63))))*G13)</x:f>
        <x:v>0</x:v>
      </x:c>
      <x:c r="H17" s="107" t="n">
        <x:f>'Вводные'!$M$88*((IF(SUM($D9:$DS9)=0,0,IF(SUM($D12:$DS12)=0,1,'Вводные'!$B$63)))*H11+(1-(IF(SUM($D9:$DS9)=0,0,IF(SUM($D12:$DS12)=0,1,'Вводные'!$B$63))))*H13)</x:f>
        <x:v>0</x:v>
      </x:c>
      <x:c r="I17" s="107" t="n">
        <x:f>'Вводные'!$M$88*((IF(SUM($D9:$DS9)=0,0,IF(SUM($D12:$DS12)=0,1,'Вводные'!$B$63)))*I11+(1-(IF(SUM($D9:$DS9)=0,0,IF(SUM($D12:$DS12)=0,1,'Вводные'!$B$63))))*I13)</x:f>
        <x:v>0</x:v>
      </x:c>
      <x:c r="J17" s="107" t="n">
        <x:f>'Вводные'!$M$88*((IF(SUM($D9:$DS9)=0,0,IF(SUM($D12:$DS12)=0,1,'Вводные'!$B$63)))*J11+(1-(IF(SUM($D9:$DS9)=0,0,IF(SUM($D12:$DS12)=0,1,'Вводные'!$B$63))))*J13)</x:f>
        <x:v>0</x:v>
      </x:c>
      <x:c r="K17" s="107" t="n">
        <x:f>'Вводные'!$M$88*((IF(SUM($D9:$DS9)=0,0,IF(SUM($D12:$DS12)=0,1,'Вводные'!$B$63)))*K11+(1-(IF(SUM($D9:$DS9)=0,0,IF(SUM($D12:$DS12)=0,1,'Вводные'!$B$63))))*K13)</x:f>
        <x:v>0</x:v>
      </x:c>
      <x:c r="L17" s="107" t="n">
        <x:f>'Вводные'!$M$88*((IF(SUM($D9:$DS9)=0,0,IF(SUM($D12:$DS12)=0,1,'Вводные'!$B$63)))*L11+(1-(IF(SUM($D9:$DS9)=0,0,IF(SUM($D12:$DS12)=0,1,'Вводные'!$B$63))))*L13)</x:f>
        <x:v>0</x:v>
      </x:c>
      <x:c r="M17" s="107" t="n">
        <x:f>'Вводные'!$M$88*((IF(SUM($D9:$DS9)=0,0,IF(SUM($D12:$DS12)=0,1,'Вводные'!$B$63)))*M11+(1-(IF(SUM($D9:$DS9)=0,0,IF(SUM($D12:$DS12)=0,1,'Вводные'!$B$63))))*M13)</x:f>
        <x:v>0</x:v>
      </x:c>
      <x:c r="N17" s="107" t="n">
        <x:f>'Вводные'!$M$88*((IF(SUM($D9:$DS9)=0,0,IF(SUM($D12:$DS12)=0,1,'Вводные'!$B$63)))*N11+(1-(IF(SUM($D9:$DS9)=0,0,IF(SUM($D12:$DS12)=0,1,'Вводные'!$B$63))))*N13)</x:f>
        <x:v>0</x:v>
      </x:c>
      <x:c r="O17" s="107" t="n">
        <x:f>'Вводные'!$M$88*((IF(SUM($D9:$DS9)=0,0,IF(SUM($D12:$DS12)=0,1,'Вводные'!$B$63)))*O11+(1-(IF(SUM($D9:$DS9)=0,0,IF(SUM($D12:$DS12)=0,1,'Вводные'!$B$63))))*O13)</x:f>
        <x:v>0</x:v>
      </x:c>
      <x:c r="P17" s="107" t="n">
        <x:f>'Вводные'!$M$88*((IF(SUM($D9:$DS9)=0,0,IF(SUM($D12:$DS12)=0,1,'Вводные'!$B$63)))*P11+(1-(IF(SUM($D9:$DS9)=0,0,IF(SUM($D12:$DS12)=0,1,'Вводные'!$B$63))))*P13)</x:f>
        <x:v>0</x:v>
      </x:c>
      <x:c r="Q17" s="107" t="n">
        <x:f>'Вводные'!$M$88*((IF(SUM($D9:$DS9)=0,0,IF(SUM($D12:$DS12)=0,1,'Вводные'!$B$63)))*Q11+(1-(IF(SUM($D9:$DS9)=0,0,IF(SUM($D12:$DS12)=0,1,'Вводные'!$B$63))))*Q13)</x:f>
        <x:v>0</x:v>
      </x:c>
      <x:c r="R17" s="107" t="n">
        <x:f>'Вводные'!$M$88*((IF(SUM($D9:$DS9)=0,0,IF(SUM($D12:$DS12)=0,1,'Вводные'!$B$63)))*R11+(1-(IF(SUM($D9:$DS9)=0,0,IF(SUM($D12:$DS12)=0,1,'Вводные'!$B$63))))*R13)</x:f>
        <x:v>0</x:v>
      </x:c>
      <x:c r="S17" s="107" t="n">
        <x:f>'Вводные'!$M$88*((IF(SUM($D9:$DS9)=0,0,IF(SUM($D12:$DS12)=0,1,'Вводные'!$B$63)))*S11+(1-(IF(SUM($D9:$DS9)=0,0,IF(SUM($D12:$DS12)=0,1,'Вводные'!$B$63))))*S13)</x:f>
        <x:v>0</x:v>
      </x:c>
      <x:c r="T17" s="107" t="n">
        <x:f>'Вводные'!$M$88*((IF(SUM($D9:$DS9)=0,0,IF(SUM($D12:$DS12)=0,1,'Вводные'!$B$63)))*T11+(1-(IF(SUM($D9:$DS9)=0,0,IF(SUM($D12:$DS12)=0,1,'Вводные'!$B$63))))*T13)</x:f>
        <x:v>0</x:v>
      </x:c>
      <x:c r="U17" s="107" t="n">
        <x:f>'Вводные'!$M$88*((IF(SUM($D9:$DS9)=0,0,IF(SUM($D12:$DS12)=0,1,'Вводные'!$B$63)))*U11+(1-(IF(SUM($D9:$DS9)=0,0,IF(SUM($D12:$DS12)=0,1,'Вводные'!$B$63))))*U13)</x:f>
        <x:v>0</x:v>
      </x:c>
      <x:c r="V17" s="107" t="n">
        <x:f>'Вводные'!$M$88*((IF(SUM($D9:$DS9)=0,0,IF(SUM($D12:$DS12)=0,1,'Вводные'!$B$63)))*V11+(1-(IF(SUM($D9:$DS9)=0,0,IF(SUM($D12:$DS12)=0,1,'Вводные'!$B$63))))*V13)</x:f>
        <x:v>35.145982150362286</x:v>
      </x:c>
      <x:c r="W17" s="107" t="n">
        <x:f>'Вводные'!$M$88*((IF(SUM($D9:$DS9)=0,0,IF(SUM($D12:$DS12)=0,1,'Вводные'!$B$63)))*W11+(1-(IF(SUM($D9:$DS9)=0,0,IF(SUM($D12:$DS12)=0,1,'Вводные'!$B$63))))*W13)</x:f>
        <x:v>35.49744197186591</x:v>
      </x:c>
      <x:c r="X17" s="107" t="n">
        <x:f>'Вводные'!$M$88*((IF(SUM($D9:$DS9)=0,0,IF(SUM($D12:$DS12)=0,1,'Вводные'!$B$63)))*X11+(1-(IF(SUM($D9:$DS9)=0,0,IF(SUM($D12:$DS12)=0,1,'Вводные'!$B$63))))*X13)</x:f>
        <x:v>42.179313401864206</x:v>
      </x:c>
      <x:c r="Y17" s="107" t="n">
        <x:f>'Вводные'!$M$88*((IF(SUM($D9:$DS9)=0,0,IF(SUM($D12:$DS12)=0,1,'Вводные'!$B$63)))*Y11+(1-(IF(SUM($D9:$DS9)=0,0,IF(SUM($D12:$DS12)=0,1,'Вводные'!$B$63))))*Y13)</x:f>
        <x:v>42.601106535882856</x:v>
      </x:c>
      <x:c r="Z17" s="107" t="n">
        <x:f>'Вводные'!$M$88*((IF(SUM($D9:$DS9)=0,0,IF(SUM($D12:$DS12)=0,1,'Вводные'!$B$63)))*Z11+(1-(IF(SUM($D9:$DS9)=0,0,IF(SUM($D12:$DS12)=0,1,'Вводные'!$B$63))))*Z13)</x:f>
        <x:v>43.02711760124168</x:v>
      </x:c>
      <x:c r="AA17" s="107" t="n">
        <x:f>'Вводные'!$M$88*((IF(SUM($D9:$DS9)=0,0,IF(SUM($D12:$DS12)=0,1,'Вводные'!$B$63)))*AA11+(1-(IF(SUM($D9:$DS9)=0,0,IF(SUM($D12:$DS12)=0,1,'Вводные'!$B$63))))*AA13)</x:f>
        <x:v>43.457388777254096</x:v>
      </x:c>
      <x:c r="AB17" s="107" t="n">
        <x:f>'Вводные'!$M$88*((IF(SUM($D9:$DS9)=0,0,IF(SUM($D12:$DS12)=0,1,'Вводные'!$B$63)))*AB11+(1-(IF(SUM($D9:$DS9)=0,0,IF(SUM($D12:$DS12)=0,1,'Вводные'!$B$63))))*AB13)</x:f>
        <x:v>37.30816826527265</x:v>
      </x:c>
      <x:c r="AC17" s="107" t="n">
        <x:f>'Вводные'!$M$88*((IF(SUM($D9:$DS9)=0,0,IF(SUM($D12:$DS12)=0,1,'Вводные'!$B$63)))*AC11+(1-(IF(SUM($D9:$DS9)=0,0,IF(SUM($D12:$DS12)=0,1,'Вводные'!$B$63))))*AC13)</x:f>
        <x:v>44.3308822916769</x:v>
      </x:c>
      <x:c r="AD17" s="107" t="n">
        <x:f>'Вводные'!$M$88*((IF(SUM($D9:$DS9)=0,0,IF(SUM($D12:$DS12)=0,1,'Вводные'!$B$63)))*AD11+(1-(IF(SUM($D9:$DS9)=0,0,IF(SUM($D12:$DS12)=0,1,'Вводные'!$B$63))))*AD13)</x:f>
        <x:v>44.77419111459368</x:v>
      </x:c>
      <x:c r="AE17" s="107" t="n">
        <x:f>'Вводные'!$M$88*((IF(SUM($D9:$DS9)=0,0,IF(SUM($D12:$DS12)=0,1,'Вводные'!$B$63)))*AE11+(1-(IF(SUM($D9:$DS9)=0,0,IF(SUM($D12:$DS12)=0,1,'Вводные'!$B$63))))*AE13)</x:f>
        <x:v>45.221933025739595</x:v>
      </x:c>
      <x:c r="AF17" s="107" t="n">
        <x:f>'Вводные'!$M$88*((IF(SUM($D9:$DS9)=0,0,IF(SUM($D12:$DS12)=0,1,'Вводные'!$B$63)))*AF11+(1-(IF(SUM($D9:$DS9)=0,0,IF(SUM($D12:$DS12)=0,1,'Вводные'!$B$63))))*AF13)</x:f>
        <x:v>38.82302950259745</x:v>
      </x:c>
      <x:c r="AG17" s="107" t="n">
        <x:f>'Вводные'!$M$88*((IF(SUM($D9:$DS9)=0,0,IF(SUM($D12:$DS12)=0,1,'Вводные'!$B$63)))*AG11+(1-(IF(SUM($D9:$DS9)=0,0,IF(SUM($D12:$DS12)=0,1,'Вводные'!$B$63))))*AG13)</x:f>
        <x:v>39.21125979762342</x:v>
      </x:c>
      <x:c r="AH17" s="107" t="n">
        <x:f>'Вводные'!$M$88*((IF(SUM($D9:$DS9)=0,0,IF(SUM($D12:$DS12)=0,1,'Вводные'!$B$63)))*AH11+(1-(IF(SUM($D9:$DS9)=0,0,IF(SUM($D12:$DS12)=0,1,'Вводные'!$B$63))))*AH13)</x:f>
        <x:v>39.60337239559966</x:v>
      </x:c>
      <x:c r="AI17" s="107" t="n">
        <x:f>'Вводные'!$M$88*((IF(SUM($D9:$DS9)=0,0,IF(SUM($D12:$DS12)=0,1,'Вводные'!$B$63)))*AI11+(1-(IF(SUM($D9:$DS9)=0,0,IF(SUM($D12:$DS12)=0,1,'Вводные'!$B$63))))*AI13)</x:f>
        <x:v>39.99940611955565</x:v>
      </x:c>
      <x:c r="AJ17" s="107" t="n">
        <x:f>'Вводные'!$M$88*((IF(SUM($D9:$DS9)=0,0,IF(SUM($D12:$DS12)=0,1,'Вводные'!$B$63)))*AJ11+(1-(IF(SUM($D9:$DS9)=0,0,IF(SUM($D12:$DS12)=0,1,'Вводные'!$B$63))))*AJ13)</x:f>
        <x:v>47.52870609500143</x:v>
      </x:c>
      <x:c r="AK17" s="107" t="n">
        <x:f>'Вводные'!$M$88*((IF(SUM($D9:$DS9)=0,0,IF(SUM($D12:$DS12)=0,1,'Вводные'!$B$63)))*AK11+(1-(IF(SUM($D9:$DS9)=0,0,IF(SUM($D12:$DS12)=0,1,'Вводные'!$B$63))))*AK13)</x:f>
        <x:v>48.00399315595144</x:v>
      </x:c>
      <x:c r="AL17" s="107" t="n">
        <x:f>'Вводные'!$M$88*((IF(SUM($D9:$DS9)=0,0,IF(SUM($D12:$DS12)=0,1,'Вводные'!$B$63)))*AL11+(1-(IF(SUM($D9:$DS9)=0,0,IF(SUM($D12:$DS12)=0,1,'Вводные'!$B$63))))*AL13)</x:f>
        <x:v>48.48403308751096</x:v>
      </x:c>
      <x:c r="AM17" s="107" t="n">
        <x:f>'Вводные'!$M$88*((IF(SUM($D9:$DS9)=0,0,IF(SUM($D12:$DS12)=0,1,'Вводные'!$B$63)))*AM11+(1-(IF(SUM($D9:$DS9)=0,0,IF(SUM($D12:$DS12)=0,1,'Вводные'!$B$63))))*AM13)</x:f>
        <x:v>48.96887341838607</x:v>
      </x:c>
      <x:c r="AN17" s="107" t="n">
        <x:f>'Вводные'!$M$88*((IF(SUM($D9:$DS9)=0,0,IF(SUM($D12:$DS12)=0,1,'Вводные'!$B$63)))*AN11+(1-(IF(SUM($D9:$DS9)=0,0,IF(SUM($D12:$DS12)=0,1,'Вводные'!$B$63))))*AN13)</x:f>
        <x:v>42.03977782968444</x:v>
      </x:c>
      <x:c r="AO17" s="107" t="n">
        <x:f>'Вводные'!$M$88*((IF(SUM($D9:$DS9)=0,0,IF(SUM($D12:$DS12)=0,1,'Вводные'!$B$63)))*AO11+(1-(IF(SUM($D9:$DS9)=0,0,IF(SUM($D12:$DS12)=0,1,'Вводные'!$B$63))))*AO13)</x:f>
        <x:v>49.953147774095626</x:v>
      </x:c>
      <x:c r="AP17" s="107" t="n">
        <x:f>'Вводные'!$M$88*((IF(SUM($D9:$DS9)=0,0,IF(SUM($D12:$DS12)=0,1,'Вводные'!$B$63)))*AP11+(1-(IF(SUM($D9:$DS9)=0,0,IF(SUM($D12:$DS12)=0,1,'Вводные'!$B$63))))*AP13)</x:f>
        <x:v>50.452679251836585</x:v>
      </x:c>
      <x:c r="AQ17" s="107" t="n">
        <x:f>'Вводные'!$M$88*((IF(SUM($D9:$DS9)=0,0,IF(SUM($D12:$DS12)=0,1,'Вводные'!$B$63)))*AQ11+(1-(IF(SUM($D9:$DS9)=0,0,IF(SUM($D12:$DS12)=0,1,'Вводные'!$B$63))))*AQ13)</x:f>
        <x:v>50.957206044354955</x:v>
      </x:c>
      <x:c r="AR17" s="107" t="n">
        <x:f>'Вводные'!$M$88*((IF(SUM($D9:$DS9)=0,0,IF(SUM($D12:$DS12)=0,1,'Вводные'!$B$63)))*AR11+(1-(IF(SUM($D9:$DS9)=0,0,IF(SUM($D12:$DS12)=0,1,'Вводные'!$B$63))))*AR13)</x:f>
        <x:v>43.746761389078735</x:v>
      </x:c>
      <x:c r="AS17" s="107" t="n">
        <x:f>'Вводные'!$M$88*((IF(SUM($D9:$DS9)=0,0,IF(SUM($D12:$DS12)=0,1,'Вводные'!$B$63)))*AS11+(1-(IF(SUM($D9:$DS9)=0,0,IF(SUM($D12:$DS12)=0,1,'Вводные'!$B$63))))*AS13)</x:f>
        <x:v>44.184229002969516</x:v>
      </x:c>
      <x:c r="AT17" s="107" t="n">
        <x:f>'Вводные'!$M$88*((IF(SUM($D9:$DS9)=0,0,IF(SUM($D12:$DS12)=0,1,'Вводные'!$B$63)))*AT11+(1-(IF(SUM($D9:$DS9)=0,0,IF(SUM($D12:$DS12)=0,1,'Вводные'!$B$63))))*AT13)</x:f>
        <x:v>26.805332246648298</x:v>
      </x:c>
      <x:c r="AU17" s="107" t="n">
        <x:f>'Вводные'!$M$88*((IF(SUM($D9:$DS9)=0,0,IF(SUM($D12:$DS12)=0,1,'Вводные'!$B$63)))*AU11+(1-(IF(SUM($D9:$DS9)=0,0,IF(SUM($D12:$DS12)=0,1,'Вводные'!$B$63))))*AU13)</x:f>
        <x:v>27.073385569114773</x:v>
      </x:c>
      <x:c r="AV17" s="107" t="n">
        <x:f>'Вводные'!$M$88*((IF(SUM($D9:$DS9)=0,0,IF(SUM($D12:$DS12)=0,1,'Вводные'!$B$63)))*AV11+(1-(IF(SUM($D9:$DS9)=0,0,IF(SUM($D12:$DS12)=0,1,'Вводные'!$B$63))))*AV13)</x:f>
        <x:v>32.16955226447756</x:v>
      </x:c>
      <x:c r="AW17" s="107" t="n">
        <x:f>'Вводные'!$M$88*((IF(SUM($D9:$DS9)=0,0,IF(SUM($D12:$DS12)=0,1,'Вводные'!$B$63)))*AW11+(1-(IF(SUM($D9:$DS9)=0,0,IF(SUM($D12:$DS12)=0,1,'Вводные'!$B$63))))*AW13)</x:f>
        <x:v>32.49124778712233</x:v>
      </x:c>
      <x:c r="AX17" s="107" t="n">
        <x:f>'Вводные'!$M$88*((IF(SUM($D9:$DS9)=0,0,IF(SUM($D12:$DS12)=0,1,'Вводные'!$B$63)))*AX11+(1-(IF(SUM($D9:$DS9)=0,0,IF(SUM($D12:$DS12)=0,1,'Вводные'!$B$63))))*AX13)</x:f>
        <x:v>32.816160264993556</x:v>
      </x:c>
      <x:c r="AY17" s="107" t="n">
        <x:f>'Вводные'!$M$88*((IF(SUM($D9:$DS9)=0,0,IF(SUM($D12:$DS12)=0,1,'Вводные'!$B$63)))*AY11+(1-(IF(SUM($D9:$DS9)=0,0,IF(SUM($D12:$DS12)=0,1,'Вводные'!$B$63))))*AY13)</x:f>
        <x:v>33.1443218676435</x:v>
      </x:c>
      <x:c r="AZ17" s="107" t="n">
        <x:f>'Вводные'!$M$88*((IF(SUM($D9:$DS9)=0,0,IF(SUM($D12:$DS12)=0,1,'Вводные'!$B$63)))*AZ11+(1-(IF(SUM($D9:$DS9)=0,0,IF(SUM($D12:$DS12)=0,1,'Вводные'!$B$63))))*AZ13)</x:f>
        <x:v>0</x:v>
      </x:c>
      <x:c r="BA17" s="107" t="n">
        <x:f>'Вводные'!$M$88*((IF(SUM($D9:$DS9)=0,0,IF(SUM($D12:$DS12)=0,1,'Вводные'!$B$63)))*BA11+(1-(IF(SUM($D9:$DS9)=0,0,IF(SUM($D12:$DS12)=0,1,'Вводные'!$B$63))))*BA13)</x:f>
        <x:v>0</x:v>
      </x:c>
      <x:c r="BB17" s="107" t="n">
        <x:f>'Вводные'!$M$88*((IF(SUM($D9:$DS9)=0,0,IF(SUM($D12:$DS12)=0,1,'Вводные'!$B$63)))*BB11+(1-(IF(SUM($D9:$DS9)=0,0,IF(SUM($D12:$DS12)=0,1,'Вводные'!$B$63))))*BB13)</x:f>
        <x:v>0</x:v>
      </x:c>
      <x:c r="BC17" s="107" t="n">
        <x:f>'Вводные'!$M$88*((IF(SUM($D9:$DS9)=0,0,IF(SUM($D12:$DS12)=0,1,'Вводные'!$B$63)))*BC11+(1-(IF(SUM($D9:$DS9)=0,0,IF(SUM($D12:$DS12)=0,1,'Вводные'!$B$63))))*BC13)</x:f>
        <x:v>0</x:v>
      </x:c>
      <x:c r="BD17" s="107" t="n">
        <x:f>'Вводные'!$M$88*((IF(SUM($D9:$DS9)=0,0,IF(SUM($D12:$DS12)=0,1,'Вводные'!$B$63)))*BD11+(1-(IF(SUM($D9:$DS9)=0,0,IF(SUM($D12:$DS12)=0,1,'Вводные'!$B$63))))*BD13)</x:f>
        <x:v>0</x:v>
      </x:c>
      <x:c r="BE17" s="107" t="n">
        <x:f>'Вводные'!$M$88*((IF(SUM($D9:$DS9)=0,0,IF(SUM($D12:$DS12)=0,1,'Вводные'!$B$63)))*BE11+(1-(IF(SUM($D9:$DS9)=0,0,IF(SUM($D12:$DS12)=0,1,'Вводные'!$B$63))))*BE13)</x:f>
        <x:v>0</x:v>
      </x:c>
      <x:c r="BF17" s="107" t="n">
        <x:f>'Вводные'!$M$88*((IF(SUM($D9:$DS9)=0,0,IF(SUM($D12:$DS12)=0,1,'Вводные'!$B$63)))*BF11+(1-(IF(SUM($D9:$DS9)=0,0,IF(SUM($D12:$DS12)=0,1,'Вводные'!$B$63))))*BF13)</x:f>
        <x:v>0</x:v>
      </x:c>
      <x:c r="BG17" s="107" t="n">
        <x:f>'Вводные'!$M$88*((IF(SUM($D9:$DS9)=0,0,IF(SUM($D12:$DS12)=0,1,'Вводные'!$B$63)))*BG11+(1-(IF(SUM($D9:$DS9)=0,0,IF(SUM($D12:$DS12)=0,1,'Вводные'!$B$63))))*BG13)</x:f>
        <x:v>0</x:v>
      </x:c>
      <x:c r="BH17" s="107" t="n">
        <x:f>'Вводные'!$M$88*((IF(SUM($D9:$DS9)=0,0,IF(SUM($D12:$DS12)=0,1,'Вводные'!$B$63)))*BH11+(1-(IF(SUM($D9:$DS9)=0,0,IF(SUM($D12:$DS12)=0,1,'Вводные'!$B$63))))*BH13)</x:f>
        <x:v>0</x:v>
      </x:c>
      <x:c r="BI17" s="107" t="n">
        <x:f>'Вводные'!$M$88*((IF(SUM($D9:$DS9)=0,0,IF(SUM($D12:$DS12)=0,1,'Вводные'!$B$63)))*BI11+(1-(IF(SUM($D9:$DS9)=0,0,IF(SUM($D12:$DS12)=0,1,'Вводные'!$B$63))))*BI13)</x:f>
        <x:v>0</x:v>
      </x:c>
      <x:c r="BJ17" s="107" t="n">
        <x:f>'Вводные'!$M$88*((IF(SUM($D9:$DS9)=0,0,IF(SUM($D12:$DS12)=0,1,'Вводные'!$B$63)))*BJ11+(1-(IF(SUM($D9:$DS9)=0,0,IF(SUM($D12:$DS12)=0,1,'Вводные'!$B$63))))*BJ13)</x:f>
        <x:v>0</x:v>
      </x:c>
      <x:c r="BK17" s="107" t="n">
        <x:f>'Вводные'!$M$88*((IF(SUM($D9:$DS9)=0,0,IF(SUM($D12:$DS12)=0,1,'Вводные'!$B$63)))*BK11+(1-(IF(SUM($D9:$DS9)=0,0,IF(SUM($D12:$DS12)=0,1,'Вводные'!$B$63))))*BK13)</x:f>
        <x:v>0</x:v>
      </x:c>
      <x:c r="BL17" s="107" t="n">
        <x:f>'Вводные'!$M$88*((IF(SUM($D9:$DS9)=0,0,IF(SUM($D12:$DS12)=0,1,'Вводные'!$B$63)))*BL11+(1-(IF(SUM($D9:$DS9)=0,0,IF(SUM($D12:$DS12)=0,1,'Вводные'!$B$63))))*BL13)</x:f>
        <x:v>0</x:v>
      </x:c>
      <x:c r="BM17" s="107" t="n">
        <x:f>'Вводные'!$M$88*((IF(SUM($D9:$DS9)=0,0,IF(SUM($D12:$DS12)=0,1,'Вводные'!$B$63)))*BM11+(1-(IF(SUM($D9:$DS9)=0,0,IF(SUM($D12:$DS12)=0,1,'Вводные'!$B$63))))*BM13)</x:f>
        <x:v>0</x:v>
      </x:c>
      <x:c r="BN17" s="107" t="n">
        <x:f>'Вводные'!$M$88*((IF(SUM($D9:$DS9)=0,0,IF(SUM($D12:$DS12)=0,1,'Вводные'!$B$63)))*BN11+(1-(IF(SUM($D9:$DS9)=0,0,IF(SUM($D12:$DS12)=0,1,'Вводные'!$B$63))))*BN13)</x:f>
        <x:v>0</x:v>
      </x:c>
      <x:c r="BO17" s="107" t="n">
        <x:f>'Вводные'!$M$88*((IF(SUM($D9:$DS9)=0,0,IF(SUM($D12:$DS12)=0,1,'Вводные'!$B$63)))*BO11+(1-(IF(SUM($D9:$DS9)=0,0,IF(SUM($D12:$DS12)=0,1,'Вводные'!$B$63))))*BO13)</x:f>
        <x:v>0</x:v>
      </x:c>
      <x:c r="BP17" s="107" t="n">
        <x:f>'Вводные'!$M$88*((IF(SUM($D9:$DS9)=0,0,IF(SUM($D12:$DS12)=0,1,'Вводные'!$B$63)))*BP11+(1-(IF(SUM($D9:$DS9)=0,0,IF(SUM($D12:$DS12)=0,1,'Вводные'!$B$63))))*BP13)</x:f>
        <x:v>0</x:v>
      </x:c>
      <x:c r="BQ17" s="107" t="n">
        <x:f>'Вводные'!$M$88*((IF(SUM($D9:$DS9)=0,0,IF(SUM($D12:$DS12)=0,1,'Вводные'!$B$63)))*BQ11+(1-(IF(SUM($D9:$DS9)=0,0,IF(SUM($D12:$DS12)=0,1,'Вводные'!$B$63))))*BQ13)</x:f>
        <x:v>0</x:v>
      </x:c>
      <x:c r="BR17" s="107" t="n">
        <x:f>'Вводные'!$M$88*((IF(SUM($D9:$DS9)=0,0,IF(SUM($D12:$DS12)=0,1,'Вводные'!$B$63)))*BR11+(1-(IF(SUM($D9:$DS9)=0,0,IF(SUM($D12:$DS12)=0,1,'Вводные'!$B$63))))*BR13)</x:f>
        <x:v>0</x:v>
      </x:c>
      <x:c r="BS17" s="107" t="n">
        <x:f>'Вводные'!$M$88*((IF(SUM($D9:$DS9)=0,0,IF(SUM($D12:$DS12)=0,1,'Вводные'!$B$63)))*BS11+(1-(IF(SUM($D9:$DS9)=0,0,IF(SUM($D12:$DS12)=0,1,'Вводные'!$B$63))))*BS13)</x:f>
        <x:v>0</x:v>
      </x:c>
      <x:c r="BT17" s="107" t="n">
        <x:f>'Вводные'!$M$88*((IF(SUM($D9:$DS9)=0,0,IF(SUM($D12:$DS12)=0,1,'Вводные'!$B$63)))*BT11+(1-(IF(SUM($D9:$DS9)=0,0,IF(SUM($D12:$DS12)=0,1,'Вводные'!$B$63))))*BT13)</x:f>
        <x:v>0</x:v>
      </x:c>
      <x:c r="BU17" s="107" t="n">
        <x:f>'Вводные'!$M$88*((IF(SUM($D9:$DS9)=0,0,IF(SUM($D12:$DS12)=0,1,'Вводные'!$B$63)))*BU11+(1-(IF(SUM($D9:$DS9)=0,0,IF(SUM($D12:$DS12)=0,1,'Вводные'!$B$63))))*BU13)</x:f>
        <x:v>0</x:v>
      </x:c>
      <x:c r="BV17" s="107" t="n">
        <x:f>'Вводные'!$M$88*((IF(SUM($D9:$DS9)=0,0,IF(SUM($D12:$DS12)=0,1,'Вводные'!$B$63)))*BV11+(1-(IF(SUM($D9:$DS9)=0,0,IF(SUM($D12:$DS12)=0,1,'Вводные'!$B$63))))*BV13)</x:f>
        <x:v>0</x:v>
      </x:c>
      <x:c r="BW17" s="107" t="n">
        <x:f>'Вводные'!$M$88*((IF(SUM($D9:$DS9)=0,0,IF(SUM($D12:$DS12)=0,1,'Вводные'!$B$63)))*BW11+(1-(IF(SUM($D9:$DS9)=0,0,IF(SUM($D12:$DS12)=0,1,'Вводные'!$B$63))))*BW13)</x:f>
        <x:v>0</x:v>
      </x:c>
      <x:c r="BX17" s="107" t="n">
        <x:f>'Вводные'!$M$88*((IF(SUM($D9:$DS9)=0,0,IF(SUM($D12:$DS12)=0,1,'Вводные'!$B$63)))*BX11+(1-(IF(SUM($D9:$DS9)=0,0,IF(SUM($D12:$DS12)=0,1,'Вводные'!$B$63))))*BX13)</x:f>
        <x:v>0</x:v>
      </x:c>
      <x:c r="BY17" s="107" t="n">
        <x:f>'Вводные'!$M$88*((IF(SUM($D9:$DS9)=0,0,IF(SUM($D12:$DS12)=0,1,'Вводные'!$B$63)))*BY11+(1-(IF(SUM($D9:$DS9)=0,0,IF(SUM($D12:$DS12)=0,1,'Вводные'!$B$63))))*BY13)</x:f>
        <x:v>0</x:v>
      </x:c>
      <x:c r="BZ17" s="107" t="n">
        <x:f>'Вводные'!$M$88*((IF(SUM($D9:$DS9)=0,0,IF(SUM($D12:$DS12)=0,1,'Вводные'!$B$63)))*BZ11+(1-(IF(SUM($D9:$DS9)=0,0,IF(SUM($D12:$DS12)=0,1,'Вводные'!$B$63))))*BZ13)</x:f>
        <x:v>0</x:v>
      </x:c>
      <x:c r="CA17" s="107" t="n">
        <x:f>'Вводные'!$M$88*((IF(SUM($D9:$DS9)=0,0,IF(SUM($D12:$DS12)=0,1,'Вводные'!$B$63)))*CA11+(1-(IF(SUM($D9:$DS9)=0,0,IF(SUM($D12:$DS12)=0,1,'Вводные'!$B$63))))*CA13)</x:f>
        <x:v>0</x:v>
      </x:c>
      <x:c r="CB17" s="107" t="n">
        <x:f>'Вводные'!$M$88*((IF(SUM($D9:$DS9)=0,0,IF(SUM($D12:$DS12)=0,1,'Вводные'!$B$63)))*CB11+(1-(IF(SUM($D9:$DS9)=0,0,IF(SUM($D12:$DS12)=0,1,'Вводные'!$B$63))))*CB13)</x:f>
        <x:v>0</x:v>
      </x:c>
      <x:c r="CC17" s="107" t="n">
        <x:f>'Вводные'!$M$88*((IF(SUM($D9:$DS9)=0,0,IF(SUM($D12:$DS12)=0,1,'Вводные'!$B$63)))*CC11+(1-(IF(SUM($D9:$DS9)=0,0,IF(SUM($D12:$DS12)=0,1,'Вводные'!$B$63))))*CC13)</x:f>
        <x:v>0</x:v>
      </x:c>
      <x:c r="CD17" s="107" t="n">
        <x:f>'Вводные'!$M$88*((IF(SUM($D9:$DS9)=0,0,IF(SUM($D12:$DS12)=0,1,'Вводные'!$B$63)))*CD11+(1-(IF(SUM($D9:$DS9)=0,0,IF(SUM($D12:$DS12)=0,1,'Вводные'!$B$63))))*CD13)</x:f>
        <x:v>0</x:v>
      </x:c>
      <x:c r="CE17" s="107" t="n">
        <x:f>'Вводные'!$M$88*((IF(SUM($D9:$DS9)=0,0,IF(SUM($D12:$DS12)=0,1,'Вводные'!$B$63)))*CE11+(1-(IF(SUM($D9:$DS9)=0,0,IF(SUM($D12:$DS12)=0,1,'Вводные'!$B$63))))*CE13)</x:f>
        <x:v>0</x:v>
      </x:c>
      <x:c r="CF17" s="107" t="n">
        <x:f>'Вводные'!$M$88*((IF(SUM($D9:$DS9)=0,0,IF(SUM($D12:$DS12)=0,1,'Вводные'!$B$63)))*CF11+(1-(IF(SUM($D9:$DS9)=0,0,IF(SUM($D12:$DS12)=0,1,'Вводные'!$B$63))))*CF13)</x:f>
        <x:v>0</x:v>
      </x:c>
      <x:c r="CG17" s="107" t="n">
        <x:f>'Вводные'!$M$88*((IF(SUM($D9:$DS9)=0,0,IF(SUM($D12:$DS12)=0,1,'Вводные'!$B$63)))*CG11+(1-(IF(SUM($D9:$DS9)=0,0,IF(SUM($D12:$DS12)=0,1,'Вводные'!$B$63))))*CG13)</x:f>
        <x:v>0</x:v>
      </x:c>
      <x:c r="CH17" s="107" t="n">
        <x:f>'Вводные'!$M$88*((IF(SUM($D9:$DS9)=0,0,IF(SUM($D12:$DS12)=0,1,'Вводные'!$B$63)))*CH11+(1-(IF(SUM($D9:$DS9)=0,0,IF(SUM($D12:$DS12)=0,1,'Вводные'!$B$63))))*CH13)</x:f>
        <x:v>0</x:v>
      </x:c>
      <x:c r="CI17" s="107" t="n">
        <x:f>'Вводные'!$M$88*((IF(SUM($D9:$DS9)=0,0,IF(SUM($D12:$DS12)=0,1,'Вводные'!$B$63)))*CI11+(1-(IF(SUM($D9:$DS9)=0,0,IF(SUM($D12:$DS12)=0,1,'Вводные'!$B$63))))*CI13)</x:f>
        <x:v>0</x:v>
      </x:c>
      <x:c r="CJ17" s="107" t="n">
        <x:f>'Вводные'!$M$88*((IF(SUM($D9:$DS9)=0,0,IF(SUM($D12:$DS12)=0,1,'Вводные'!$B$63)))*CJ11+(1-(IF(SUM($D9:$DS9)=0,0,IF(SUM($D12:$DS12)=0,1,'Вводные'!$B$63))))*CJ13)</x:f>
        <x:v>0</x:v>
      </x:c>
      <x:c r="CK17" s="107" t="n">
        <x:f>'Вводные'!$M$88*((IF(SUM($D9:$DS9)=0,0,IF(SUM($D12:$DS12)=0,1,'Вводные'!$B$63)))*CK11+(1-(IF(SUM($D9:$DS9)=0,0,IF(SUM($D12:$DS12)=0,1,'Вводные'!$B$63))))*CK13)</x:f>
        <x:v>0</x:v>
      </x:c>
      <x:c r="CL17" s="107" t="n">
        <x:f>'Вводные'!$M$88*((IF(SUM($D9:$DS9)=0,0,IF(SUM($D12:$DS12)=0,1,'Вводные'!$B$63)))*CL11+(1-(IF(SUM($D9:$DS9)=0,0,IF(SUM($D12:$DS12)=0,1,'Вводные'!$B$63))))*CL13)</x:f>
        <x:v>0</x:v>
      </x:c>
      <x:c r="CM17" s="107" t="n">
        <x:f>'Вводные'!$M$88*((IF(SUM($D9:$DS9)=0,0,IF(SUM($D12:$DS12)=0,1,'Вводные'!$B$63)))*CM11+(1-(IF(SUM($D9:$DS9)=0,0,IF(SUM($D12:$DS12)=0,1,'Вводные'!$B$63))))*CM13)</x:f>
        <x:v>0</x:v>
      </x:c>
      <x:c r="CN17" s="107" t="n">
        <x:f>'Вводные'!$M$88*((IF(SUM($D9:$DS9)=0,0,IF(SUM($D12:$DS12)=0,1,'Вводные'!$B$63)))*CN11+(1-(IF(SUM($D9:$DS9)=0,0,IF(SUM($D12:$DS12)=0,1,'Вводные'!$B$63))))*CN13)</x:f>
        <x:v>0</x:v>
      </x:c>
      <x:c r="CO17" s="107" t="n">
        <x:f>'Вводные'!$M$88*((IF(SUM($D9:$DS9)=0,0,IF(SUM($D12:$DS12)=0,1,'Вводные'!$B$63)))*CO11+(1-(IF(SUM($D9:$DS9)=0,0,IF(SUM($D12:$DS12)=0,1,'Вводные'!$B$63))))*CO13)</x:f>
        <x:v>0</x:v>
      </x:c>
      <x:c r="CP17" s="107" t="n">
        <x:f>'Вводные'!$M$88*((IF(SUM($D9:$DS9)=0,0,IF(SUM($D12:$DS12)=0,1,'Вводные'!$B$63)))*CP11+(1-(IF(SUM($D9:$DS9)=0,0,IF(SUM($D12:$DS12)=0,1,'Вводные'!$B$63))))*CP13)</x:f>
        <x:v>0</x:v>
      </x:c>
      <x:c r="CQ17" s="107" t="n">
        <x:f>'Вводные'!$M$88*((IF(SUM($D9:$DS9)=0,0,IF(SUM($D12:$DS12)=0,1,'Вводные'!$B$63)))*CQ11+(1-(IF(SUM($D9:$DS9)=0,0,IF(SUM($D12:$DS12)=0,1,'Вводные'!$B$63))))*CQ13)</x:f>
        <x:v>0</x:v>
      </x:c>
      <x:c r="CR17" s="107" t="n">
        <x:f>'Вводные'!$M$88*((IF(SUM($D9:$DS9)=0,0,IF(SUM($D12:$DS12)=0,1,'Вводные'!$B$63)))*CR11+(1-(IF(SUM($D9:$DS9)=0,0,IF(SUM($D12:$DS12)=0,1,'Вводные'!$B$63))))*CR13)</x:f>
        <x:v>0</x:v>
      </x:c>
      <x:c r="CS17" s="107" t="n">
        <x:f>'Вводные'!$M$88*((IF(SUM($D9:$DS9)=0,0,IF(SUM($D12:$DS12)=0,1,'Вводные'!$B$63)))*CS11+(1-(IF(SUM($D9:$DS9)=0,0,IF(SUM($D12:$DS12)=0,1,'Вводные'!$B$63))))*CS13)</x:f>
        <x:v>0</x:v>
      </x:c>
      <x:c r="CT17" s="107" t="n">
        <x:f>'Вводные'!$M$88*((IF(SUM($D9:$DS9)=0,0,IF(SUM($D12:$DS12)=0,1,'Вводные'!$B$63)))*CT11+(1-(IF(SUM($D9:$DS9)=0,0,IF(SUM($D12:$DS12)=0,1,'Вводные'!$B$63))))*CT13)</x:f>
        <x:v>0</x:v>
      </x:c>
      <x:c r="CU17" s="107" t="n">
        <x:f>'Вводные'!$M$88*((IF(SUM($D9:$DS9)=0,0,IF(SUM($D12:$DS12)=0,1,'Вводные'!$B$63)))*CU11+(1-(IF(SUM($D9:$DS9)=0,0,IF(SUM($D12:$DS12)=0,1,'Вводные'!$B$63))))*CU13)</x:f>
        <x:v>0</x:v>
      </x:c>
      <x:c r="CV17" s="107" t="n">
        <x:f>'Вводные'!$M$88*((IF(SUM($D9:$DS9)=0,0,IF(SUM($D12:$DS12)=0,1,'Вводные'!$B$63)))*CV11+(1-(IF(SUM($D9:$DS9)=0,0,IF(SUM($D12:$DS12)=0,1,'Вводные'!$B$63))))*CV13)</x:f>
        <x:v>0</x:v>
      </x:c>
      <x:c r="CW17" s="107" t="n">
        <x:f>'Вводные'!$M$88*((IF(SUM($D9:$DS9)=0,0,IF(SUM($D12:$DS12)=0,1,'Вводные'!$B$63)))*CW11+(1-(IF(SUM($D9:$DS9)=0,0,IF(SUM($D12:$DS12)=0,1,'Вводные'!$B$63))))*CW13)</x:f>
        <x:v>0</x:v>
      </x:c>
      <x:c r="CX17" s="107" t="n">
        <x:f>'Вводные'!$M$88*((IF(SUM($D9:$DS9)=0,0,IF(SUM($D12:$DS12)=0,1,'Вводные'!$B$63)))*CX11+(1-(IF(SUM($D9:$DS9)=0,0,IF(SUM($D12:$DS12)=0,1,'Вводные'!$B$63))))*CX13)</x:f>
        <x:v>0</x:v>
      </x:c>
      <x:c r="CY17" s="107" t="n">
        <x:f>'Вводные'!$M$88*((IF(SUM($D9:$DS9)=0,0,IF(SUM($D12:$DS12)=0,1,'Вводные'!$B$63)))*CY11+(1-(IF(SUM($D9:$DS9)=0,0,IF(SUM($D12:$DS12)=0,1,'Вводные'!$B$63))))*CY13)</x:f>
        <x:v>0</x:v>
      </x:c>
      <x:c r="CZ17" s="107" t="n">
        <x:f>'Вводные'!$M$88*((IF(SUM($D9:$DS9)=0,0,IF(SUM($D12:$DS12)=0,1,'Вводные'!$B$63)))*CZ11+(1-(IF(SUM($D9:$DS9)=0,0,IF(SUM($D12:$DS12)=0,1,'Вводные'!$B$63))))*CZ13)</x:f>
        <x:v>0</x:v>
      </x:c>
      <x:c r="DA17" s="107" t="n">
        <x:f>'Вводные'!$M$88*((IF(SUM($D9:$DS9)=0,0,IF(SUM($D12:$DS12)=0,1,'Вводные'!$B$63)))*DA11+(1-(IF(SUM($D9:$DS9)=0,0,IF(SUM($D12:$DS12)=0,1,'Вводные'!$B$63))))*DA13)</x:f>
        <x:v>0</x:v>
      </x:c>
      <x:c r="DB17" s="107" t="n">
        <x:f>'Вводные'!$M$88*((IF(SUM($D9:$DS9)=0,0,IF(SUM($D12:$DS12)=0,1,'Вводные'!$B$63)))*DB11+(1-(IF(SUM($D9:$DS9)=0,0,IF(SUM($D12:$DS12)=0,1,'Вводные'!$B$63))))*DB13)</x:f>
        <x:v>0</x:v>
      </x:c>
      <x:c r="DC17" s="107" t="n">
        <x:f>'Вводные'!$M$88*((IF(SUM($D9:$DS9)=0,0,IF(SUM($D12:$DS12)=0,1,'Вводные'!$B$63)))*DC11+(1-(IF(SUM($D9:$DS9)=0,0,IF(SUM($D12:$DS12)=0,1,'Вводные'!$B$63))))*DC13)</x:f>
        <x:v>0</x:v>
      </x:c>
      <x:c r="DD17" s="107" t="n">
        <x:f>'Вводные'!$M$88*((IF(SUM($D9:$DS9)=0,0,IF(SUM($D12:$DS12)=0,1,'Вводные'!$B$63)))*DD11+(1-(IF(SUM($D9:$DS9)=0,0,IF(SUM($D12:$DS12)=0,1,'Вводные'!$B$63))))*DD13)</x:f>
        <x:v>0</x:v>
      </x:c>
      <x:c r="DE17" s="107" t="n">
        <x:f>'Вводные'!$M$88*((IF(SUM($D9:$DS9)=0,0,IF(SUM($D12:$DS12)=0,1,'Вводные'!$B$63)))*DE11+(1-(IF(SUM($D9:$DS9)=0,0,IF(SUM($D12:$DS12)=0,1,'Вводные'!$B$63))))*DE13)</x:f>
        <x:v>0</x:v>
      </x:c>
      <x:c r="DF17" s="107" t="n">
        <x:f>'Вводные'!$M$88*((IF(SUM($D9:$DS9)=0,0,IF(SUM($D12:$DS12)=0,1,'Вводные'!$B$63)))*DF11+(1-(IF(SUM($D9:$DS9)=0,0,IF(SUM($D12:$DS12)=0,1,'Вводные'!$B$63))))*DF13)</x:f>
        <x:v>0</x:v>
      </x:c>
      <x:c r="DG17" s="107" t="n">
        <x:f>'Вводные'!$M$88*((IF(SUM($D9:$DS9)=0,0,IF(SUM($D12:$DS12)=0,1,'Вводные'!$B$63)))*DG11+(1-(IF(SUM($D9:$DS9)=0,0,IF(SUM($D12:$DS12)=0,1,'Вводные'!$B$63))))*DG13)</x:f>
        <x:v>0</x:v>
      </x:c>
      <x:c r="DH17" s="107" t="n">
        <x:f>'Вводные'!$M$88*((IF(SUM($D9:$DS9)=0,0,IF(SUM($D12:$DS12)=0,1,'Вводные'!$B$63)))*DH11+(1-(IF(SUM($D9:$DS9)=0,0,IF(SUM($D12:$DS12)=0,1,'Вводные'!$B$63))))*DH13)</x:f>
        <x:v>0</x:v>
      </x:c>
      <x:c r="DI17" s="107" t="n">
        <x:f>'Вводные'!$M$88*((IF(SUM($D9:$DS9)=0,0,IF(SUM($D12:$DS12)=0,1,'Вводные'!$B$63)))*DI11+(1-(IF(SUM($D9:$DS9)=0,0,IF(SUM($D12:$DS12)=0,1,'Вводные'!$B$63))))*DI13)</x:f>
        <x:v>0</x:v>
      </x:c>
      <x:c r="DJ17" s="107" t="n">
        <x:f>'Вводные'!$M$88*((IF(SUM($D9:$DS9)=0,0,IF(SUM($D12:$DS12)=0,1,'Вводные'!$B$63)))*DJ11+(1-(IF(SUM($D9:$DS9)=0,0,IF(SUM($D12:$DS12)=0,1,'Вводные'!$B$63))))*DJ13)</x:f>
        <x:v>0</x:v>
      </x:c>
      <x:c r="DK17" s="107" t="n">
        <x:f>'Вводные'!$M$88*((IF(SUM($D9:$DS9)=0,0,IF(SUM($D12:$DS12)=0,1,'Вводные'!$B$63)))*DK11+(1-(IF(SUM($D9:$DS9)=0,0,IF(SUM($D12:$DS12)=0,1,'Вводные'!$B$63))))*DK13)</x:f>
        <x:v>0</x:v>
      </x:c>
      <x:c r="DL17" s="107" t="n">
        <x:f>'Вводные'!$M$88*((IF(SUM($D9:$DS9)=0,0,IF(SUM($D12:$DS12)=0,1,'Вводные'!$B$63)))*DL11+(1-(IF(SUM($D9:$DS9)=0,0,IF(SUM($D12:$DS12)=0,1,'Вводные'!$B$63))))*DL13)</x:f>
        <x:v>0</x:v>
      </x:c>
      <x:c r="DM17" s="107" t="n">
        <x:f>'Вводные'!$M$88*((IF(SUM($D9:$DS9)=0,0,IF(SUM($D12:$DS12)=0,1,'Вводные'!$B$63)))*DM11+(1-(IF(SUM($D9:$DS9)=0,0,IF(SUM($D12:$DS12)=0,1,'Вводные'!$B$63))))*DM13)</x:f>
        <x:v>0</x:v>
      </x:c>
      <x:c r="DN17" s="107" t="n">
        <x:f>'Вводные'!$M$88*((IF(SUM($D9:$DS9)=0,0,IF(SUM($D12:$DS12)=0,1,'Вводные'!$B$63)))*DN11+(1-(IF(SUM($D9:$DS9)=0,0,IF(SUM($D12:$DS12)=0,1,'Вводные'!$B$63))))*DN13)</x:f>
        <x:v>0</x:v>
      </x:c>
      <x:c r="DO17" s="107" t="n">
        <x:f>'Вводные'!$M$88*((IF(SUM($D9:$DS9)=0,0,IF(SUM($D12:$DS12)=0,1,'Вводные'!$B$63)))*DO11+(1-(IF(SUM($D9:$DS9)=0,0,IF(SUM($D12:$DS12)=0,1,'Вводные'!$B$63))))*DO13)</x:f>
        <x:v>0</x:v>
      </x:c>
      <x:c r="DP17" s="107" t="n">
        <x:f>'Вводные'!$M$88*((IF(SUM($D9:$DS9)=0,0,IF(SUM($D12:$DS12)=0,1,'Вводные'!$B$63)))*DP11+(1-(IF(SUM($D9:$DS9)=0,0,IF(SUM($D12:$DS12)=0,1,'Вводные'!$B$63))))*DP13)</x:f>
        <x:v>0</x:v>
      </x:c>
      <x:c r="DQ17" s="107" t="n">
        <x:f>'Вводные'!$M$88*((IF(SUM($D9:$DS9)=0,0,IF(SUM($D12:$DS12)=0,1,'Вводные'!$B$63)))*DQ11+(1-(IF(SUM($D9:$DS9)=0,0,IF(SUM($D12:$DS12)=0,1,'Вводные'!$B$63))))*DQ13)</x:f>
        <x:v>0</x:v>
      </x:c>
      <x:c r="DR17" s="107" t="n">
        <x:f>'Вводные'!$M$88*((IF(SUM($D9:$DS9)=0,0,IF(SUM($D12:$DS12)=0,1,'Вводные'!$B$63)))*DR11+(1-(IF(SUM($D9:$DS9)=0,0,IF(SUM($D12:$DS12)=0,1,'Вводные'!$B$63))))*DR13)</x:f>
        <x:v>0</x:v>
      </x:c>
      <x:c r="DS17" s="107" t="n">
        <x:f>'Вводные'!$M$88*((IF(SUM($D9:$DS9)=0,0,IF(SUM($D12:$DS12)=0,1,'Вводные'!$B$63)))*DS11+(1-(IF(SUM($D9:$DS9)=0,0,IF(SUM($D12:$DS12)=0,1,'Вводные'!$B$63))))*DS13)</x:f>
        <x:v>0</x:v>
      </x:c>
    </x:row>
    <x:row r="18">
      <x:c r="A18" t="str">
        <x:v>Коммерция — цена</x:v>
      </x:c>
      <x:c r="B18" t="n">
        <x:f>IFERROR(B19*1000/B17,0)</x:f>
        <x:v>803.9753512807756</x:v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650</x:v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659.7499999999999</x:v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669.6462499999998</x:v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679.6909437499997</x:v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689.8863079062497</x:v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700.2346025248435</x:v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710.738121562716</x:v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721.3991933861568</x:v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732.220181286949</x:v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743.2034840062531</x:v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754.3515362663469</x:v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765.6668093103419</x:v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777.151811449997</x:v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788.8090886217469</x:v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800.6412249510729</x:v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812.6508433253391</x:v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824.8406059752191</x:v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837.2132150648472</x:v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849.7714132908199</x:v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862.517984490182</x:v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875.4557542575347</x:v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888.5875905713978</x:v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901.9164044299685</x:v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915.4451504964179</x:v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929.1768277538642</x:v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931.4997698232488</x:v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933.8285192478069</x:v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936.1630905459264</x:v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938.5034982722912</x:v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940.8497570179719</x:v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19">
      <x:c r="A19" t="str">
        <x:v>Коммерция — выручка</x:v>
      </x:c>
      <x:c r="B19" t="n">
        <x:f>SUM(D19:DS19)</x:f>
        <x:v>988.889682075354</x:v>
      </x:c>
      <x:c r="C19" t="str">
        <x:v>млн ₽</x:v>
      </x:c>
      <x:c r="D19" s="107" t="n">
        <x:f>D17*D18/1000</x:f>
        <x:v>0</x:v>
      </x:c>
      <x:c r="E19" s="107" t="n">
        <x:f>E17*E18/1000</x:f>
        <x:v>0</x:v>
      </x:c>
      <x:c r="F19" s="107" t="n">
        <x:f>F17*F18/1000</x:f>
        <x:v>0</x:v>
      </x:c>
      <x:c r="G19" s="107" t="n">
        <x:f>G17*G18/1000</x:f>
        <x:v>0</x:v>
      </x:c>
      <x:c r="H19" s="107" t="n">
        <x:f>H17*H18/1000</x:f>
        <x:v>0</x:v>
      </x:c>
      <x:c r="I19" s="107" t="n">
        <x:f>I17*I18/1000</x:f>
        <x:v>0</x:v>
      </x:c>
      <x:c r="J19" s="107" t="n">
        <x:f>J17*J18/1000</x:f>
        <x:v>0</x:v>
      </x:c>
      <x:c r="K19" s="107" t="n">
        <x:f>K17*K18/1000</x:f>
        <x:v>0</x:v>
      </x:c>
      <x:c r="L19" s="107" t="n">
        <x:f>L17*L18/1000</x:f>
        <x:v>0</x:v>
      </x:c>
      <x:c r="M19" s="107" t="n">
        <x:f>M17*M18/1000</x:f>
        <x:v>0</x:v>
      </x:c>
      <x:c r="N19" s="107" t="n">
        <x:f>N17*N18/1000</x:f>
        <x:v>0</x:v>
      </x:c>
      <x:c r="O19" s="107" t="n">
        <x:f>O17*O18/1000</x:f>
        <x:v>0</x:v>
      </x:c>
      <x:c r="P19" s="107" t="n">
        <x:f>P17*P18/1000</x:f>
        <x:v>0</x:v>
      </x:c>
      <x:c r="Q19" s="107" t="n">
        <x:f>Q17*Q18/1000</x:f>
        <x:v>0</x:v>
      </x:c>
      <x:c r="R19" s="107" t="n">
        <x:f>R17*R18/1000</x:f>
        <x:v>0</x:v>
      </x:c>
      <x:c r="S19" s="107" t="n">
        <x:f>S17*S18/1000</x:f>
        <x:v>0</x:v>
      </x:c>
      <x:c r="T19" s="107" t="n">
        <x:f>T17*T18/1000</x:f>
        <x:v>0</x:v>
      </x:c>
      <x:c r="U19" s="107" t="n">
        <x:f>U17*U18/1000</x:f>
        <x:v>0</x:v>
      </x:c>
      <x:c r="V19" s="107" t="n">
        <x:f>V17*V18/1000</x:f>
        <x:v>22.844888397735485</x:v>
      </x:c>
      <x:c r="W19" s="107" t="n">
        <x:f>W17*W18/1000</x:f>
        <x:v>23.41943734093853</x:v>
      </x:c>
      <x:c r="X19" s="107" t="n">
        <x:f>X17*X18/1000</x:f>
        <x:v>28.2452190471331</x:v>
      </x:c>
      <x:c r="Y19" s="107" t="n">
        <x:f>Y17*Y18/1000</x:f>
        <x:v>28.955586306168502</x:v>
      </x:c>
      <x:c r="Z19" s="107" t="n">
        <x:f>Z17*Z18/1000</x:f>
        <x:v>29.683819301768633</x:v>
      </x:c>
      <x:c r="AA19" s="107" t="n">
        <x:f>AA17*AA18/1000</x:f>
        <x:v>30.430367357208112</x:v>
      </x:c>
      <x:c r="AB19" s="107" t="n">
        <x:f>AB17*AB18/1000</x:f>
        <x:v>26.516337431805614</x:v>
      </x:c>
      <x:c r="AC19" s="107" t="n">
        <x:f>AC17*AC18/1000</x:f>
        <x:v>31.980262727312375</x:v>
      </x:c>
      <x:c r="AD19" s="107" t="n">
        <x:f>AD17*AD18/1000</x:f>
        <x:v>32.784566334904284</x:v>
      </x:c>
      <x:c r="AE19" s="107" t="n">
        <x:f>AE17*AE18/1000</x:f>
        <x:v>33.60909817822711</x:v>
      </x:c>
      <x:c r="AF19" s="107" t="n">
        <x:f>AF17*AF18/1000</x:f>
        <x:v>29.286211947798098</x:v>
      </x:c>
      <x:c r="AG19" s="107" t="n">
        <x:f>AG17*AG18/1000</x:f>
        <x:v>30.022760178285207</x:v>
      </x:c>
      <x:c r="AH19" s="107" t="n">
        <x:f>AH17*AH18/1000</x:f>
        <x:v>30.777832596769088</x:v>
      </x:c>
      <x:c r="AI19" s="107" t="n">
        <x:f>AI17*AI18/1000</x:f>
        <x:v>31.551895086577822</x:v>
      </x:c>
      <x:c r="AJ19" s="107" t="n">
        <x:f>AJ17*AJ18/1000</x:f>
        <x:v>38.05344146824147</x:v>
      </x:c>
      <x:c r="AK19" s="107" t="n">
        <x:f>AK17*AK18/1000</x:f>
        <x:v>39.010485521167745</x:v>
      </x:c>
      <x:c r="AL19" s="107" t="n">
        <x:f>AL17*AL18/1000</x:f>
        <x:v>39.99159923202511</x:v>
      </x:c>
      <x:c r="AM19" s="107" t="n">
        <x:f>AM17*AM18/1000</x:f>
        <x:v>40.99738795271053</x:v>
      </x:c>
      <x:c r="AN19" s="107" t="n">
        <x:f>AN17*AN18/1000</x:f>
        <x:v>35.72420142076302</x:v>
      </x:c>
      <x:c r="AO19" s="107" t="n">
        <x:f>AO17*AO18/1000</x:f>
        <x:v>43.085488337053185</x:v>
      </x:c>
      <x:c r="AP19" s="107" t="n">
        <x:f>AP17*AP18/1000</x:f>
        <x:v>44.16908836873007</x:v>
      </x:c>
      <x:c r="AQ19" s="107" t="n">
        <x:f>AQ17*AQ18/1000</x:f>
        <x:v>45.279940941203634</x:v>
      </x:c>
      <x:c r="AR19" s="107" t="n">
        <x:f>AR17*AR18/1000</x:f>
        <x:v>39.45592173749366</x:v>
      </x:c>
      <x:c r="AS19" s="107" t="n">
        <x:f>AS17*AS18/1000</x:f>
        <x:v>40.448238169191626</x:v>
      </x:c>
      <x:c r="AT19" s="107" t="n">
        <x:f>AT17*AT18/1000</x:f>
        <x:v>24.906893583829028</x:v>
      </x:c>
      <x:c r="AU19" s="107" t="n">
        <x:f>AU17*AU18/1000</x:f>
        <x:v>25.218852425966478</x:v>
      </x:c>
      <x:c r="AV19" s="107" t="n">
        <x:f>AV17*AV18/1000</x:f>
        <x:v>30.04084535600201</x:v>
      </x:c>
      <x:c r="AW19" s="107" t="n">
        <x:f>AW17*AW18/1000</x:f>
        <x:v>30.417106944085937</x:v>
      </x:c>
      <x:c r="AX19" s="107" t="n">
        <x:f>AX17*AX18/1000</x:f>
        <x:v>30.798081208560607</x:v>
      </x:c>
      <x:c r="AY19" s="107" t="n">
        <x:f>AY17*AY18/1000</x:f>
        <x:v>31.18382717569784</x:v>
      </x:c>
      <x:c r="AZ19" s="107" t="n">
        <x:f>AZ17*AZ18/1000</x:f>
        <x:v>0</x:v>
      </x:c>
      <x:c r="BA19" s="107" t="n">
        <x:f>BA17*BA18/1000</x:f>
        <x:v>0</x:v>
      </x:c>
      <x:c r="BB19" s="107" t="n">
        <x:f>BB17*BB18/1000</x:f>
        <x:v>0</x:v>
      </x:c>
      <x:c r="BC19" s="107" t="n">
        <x:f>BC17*BC18/1000</x:f>
        <x:v>0</x:v>
      </x:c>
      <x:c r="BD19" s="107" t="n">
        <x:f>BD17*BD18/1000</x:f>
        <x:v>0</x:v>
      </x:c>
      <x:c r="BE19" s="107" t="n">
        <x:f>BE17*BE18/1000</x:f>
        <x:v>0</x:v>
      </x:c>
      <x:c r="BF19" s="107" t="n">
        <x:f>BF17*BF18/1000</x:f>
        <x:v>0</x:v>
      </x:c>
      <x:c r="BG19" s="107" t="n">
        <x:f>BG17*BG18/1000</x:f>
        <x:v>0</x:v>
      </x:c>
      <x:c r="BH19" s="107" t="n">
        <x:f>BH17*BH18/1000</x:f>
        <x:v>0</x:v>
      </x:c>
      <x:c r="BI19" s="107" t="n">
        <x:f>BI17*BI18/1000</x:f>
        <x:v>0</x:v>
      </x:c>
      <x:c r="BJ19" s="107" t="n">
        <x:f>BJ17*BJ18/1000</x:f>
        <x:v>0</x:v>
      </x:c>
      <x:c r="BK19" s="107" t="n">
        <x:f>BK17*BK18/1000</x:f>
        <x:v>0</x:v>
      </x:c>
      <x:c r="BL19" s="107" t="n">
        <x:f>BL17*BL18/1000</x:f>
        <x:v>0</x:v>
      </x:c>
      <x:c r="BM19" s="107" t="n">
        <x:f>BM17*BM18/1000</x:f>
        <x:v>0</x:v>
      </x:c>
      <x:c r="BN19" s="107" t="n">
        <x:f>BN17*BN18/1000</x:f>
        <x:v>0</x:v>
      </x:c>
      <x:c r="BO19" s="107" t="n">
        <x:f>BO17*BO18/1000</x:f>
        <x:v>0</x:v>
      </x:c>
      <x:c r="BP19" s="107" t="n">
        <x:f>BP17*BP18/1000</x:f>
        <x:v>0</x:v>
      </x:c>
      <x:c r="BQ19" s="107" t="n">
        <x:f>BQ17*BQ18/1000</x:f>
        <x:v>0</x:v>
      </x:c>
      <x:c r="BR19" s="107" t="n">
        <x:f>BR17*BR18/1000</x:f>
        <x:v>0</x:v>
      </x:c>
      <x:c r="BS19" s="107" t="n">
        <x:f>BS17*BS18/1000</x:f>
        <x:v>0</x:v>
      </x:c>
      <x:c r="BT19" s="107" t="n">
        <x:f>BT17*BT18/1000</x:f>
        <x:v>0</x:v>
      </x:c>
      <x:c r="BU19" s="107" t="n">
        <x:f>BU17*BU18/1000</x:f>
        <x:v>0</x:v>
      </x:c>
      <x:c r="BV19" s="107" t="n">
        <x:f>BV17*BV18/1000</x:f>
        <x:v>0</x:v>
      </x:c>
      <x:c r="BW19" s="107" t="n">
        <x:f>BW17*BW18/1000</x:f>
        <x:v>0</x:v>
      </x:c>
      <x:c r="BX19" s="107" t="n">
        <x:f>BX17*BX18/1000</x:f>
        <x:v>0</x:v>
      </x:c>
      <x:c r="BY19" s="107" t="n">
        <x:f>BY17*BY18/1000</x:f>
        <x:v>0</x:v>
      </x:c>
      <x:c r="BZ19" s="107" t="n">
        <x:f>BZ17*BZ18/1000</x:f>
        <x:v>0</x:v>
      </x:c>
      <x:c r="CA19" s="107" t="n">
        <x:f>CA17*CA18/1000</x:f>
        <x:v>0</x:v>
      </x:c>
      <x:c r="CB19" s="107" t="n">
        <x:f>CB17*CB18/1000</x:f>
        <x:v>0</x:v>
      </x:c>
      <x:c r="CC19" s="107" t="n">
        <x:f>CC17*CC18/1000</x:f>
        <x:v>0</x:v>
      </x:c>
      <x:c r="CD19" s="107" t="n">
        <x:f>CD17*CD18/1000</x:f>
        <x:v>0</x:v>
      </x:c>
      <x:c r="CE19" s="107" t="n">
        <x:f>CE17*CE18/1000</x:f>
        <x:v>0</x:v>
      </x:c>
      <x:c r="CF19" s="107" t="n">
        <x:f>CF17*CF18/1000</x:f>
        <x:v>0</x:v>
      </x:c>
      <x:c r="CG19" s="107" t="n">
        <x:f>CG17*CG18/1000</x:f>
        <x:v>0</x:v>
      </x:c>
      <x:c r="CH19" s="107" t="n">
        <x:f>CH17*CH18/1000</x:f>
        <x:v>0</x:v>
      </x:c>
      <x:c r="CI19" s="107" t="n">
        <x:f>CI17*CI18/1000</x:f>
        <x:v>0</x:v>
      </x:c>
      <x:c r="CJ19" s="107" t="n">
        <x:f>CJ17*CJ18/1000</x:f>
        <x:v>0</x:v>
      </x:c>
      <x:c r="CK19" s="107" t="n">
        <x:f>CK17*CK18/1000</x:f>
        <x:v>0</x:v>
      </x:c>
      <x:c r="CL19" s="107" t="n">
        <x:f>CL17*CL18/1000</x:f>
        <x:v>0</x:v>
      </x:c>
      <x:c r="CM19" s="107" t="n">
        <x:f>CM17*CM18/1000</x:f>
        <x:v>0</x:v>
      </x:c>
      <x:c r="CN19" s="107" t="n">
        <x:f>CN17*CN18/1000</x:f>
        <x:v>0</x:v>
      </x:c>
      <x:c r="CO19" s="107" t="n">
        <x:f>CO17*CO18/1000</x:f>
        <x:v>0</x:v>
      </x:c>
      <x:c r="CP19" s="107" t="n">
        <x:f>CP17*CP18/1000</x:f>
        <x:v>0</x:v>
      </x:c>
      <x:c r="CQ19" s="107" t="n">
        <x:f>CQ17*CQ18/1000</x:f>
        <x:v>0</x:v>
      </x:c>
      <x:c r="CR19" s="107" t="n">
        <x:f>CR17*CR18/1000</x:f>
        <x:v>0</x:v>
      </x:c>
      <x:c r="CS19" s="107" t="n">
        <x:f>CS17*CS18/1000</x:f>
        <x:v>0</x:v>
      </x:c>
      <x:c r="CT19" s="107" t="n">
        <x:f>CT17*CT18/1000</x:f>
        <x:v>0</x:v>
      </x:c>
      <x:c r="CU19" s="107" t="n">
        <x:f>CU17*CU18/1000</x:f>
        <x:v>0</x:v>
      </x:c>
      <x:c r="CV19" s="107" t="n">
        <x:f>CV17*CV18/1000</x:f>
        <x:v>0</x:v>
      </x:c>
      <x:c r="CW19" s="107" t="n">
        <x:f>CW17*CW18/1000</x:f>
        <x:v>0</x:v>
      </x:c>
      <x:c r="CX19" s="107" t="n">
        <x:f>CX17*CX18/1000</x:f>
        <x:v>0</x:v>
      </x:c>
      <x:c r="CY19" s="107" t="n">
        <x:f>CY17*CY18/1000</x:f>
        <x:v>0</x:v>
      </x:c>
      <x:c r="CZ19" s="107" t="n">
        <x:f>CZ17*CZ18/1000</x:f>
        <x:v>0</x:v>
      </x:c>
      <x:c r="DA19" s="107" t="n">
        <x:f>DA17*DA18/1000</x:f>
        <x:v>0</x:v>
      </x:c>
      <x:c r="DB19" s="107" t="n">
        <x:f>DB17*DB18/1000</x:f>
        <x:v>0</x:v>
      </x:c>
      <x:c r="DC19" s="107" t="n">
        <x:f>DC17*DC18/1000</x:f>
        <x:v>0</x:v>
      </x:c>
      <x:c r="DD19" s="107" t="n">
        <x:f>DD17*DD18/1000</x:f>
        <x:v>0</x:v>
      </x:c>
      <x:c r="DE19" s="107" t="n">
        <x:f>DE17*DE18/1000</x:f>
        <x:v>0</x:v>
      </x:c>
      <x:c r="DF19" s="107" t="n">
        <x:f>DF17*DF18/1000</x:f>
        <x:v>0</x:v>
      </x:c>
      <x:c r="DG19" s="107" t="n">
        <x:f>DG17*DG18/1000</x:f>
        <x:v>0</x:v>
      </x:c>
      <x:c r="DH19" s="107" t="n">
        <x:f>DH17*DH18/1000</x:f>
        <x:v>0</x:v>
      </x:c>
      <x:c r="DI19" s="107" t="n">
        <x:f>DI17*DI18/1000</x:f>
        <x:v>0</x:v>
      </x:c>
      <x:c r="DJ19" s="107" t="n">
        <x:f>DJ17*DJ18/1000</x:f>
        <x:v>0</x:v>
      </x:c>
      <x:c r="DK19" s="107" t="n">
        <x:f>DK17*DK18/1000</x:f>
        <x:v>0</x:v>
      </x:c>
      <x:c r="DL19" s="107" t="n">
        <x:f>DL17*DL18/1000</x:f>
        <x:v>0</x:v>
      </x:c>
      <x:c r="DM19" s="107" t="n">
        <x:f>DM17*DM18/1000</x:f>
        <x:v>0</x:v>
      </x:c>
      <x:c r="DN19" s="107" t="n">
        <x:f>DN17*DN18/1000</x:f>
        <x:v>0</x:v>
      </x:c>
      <x:c r="DO19" s="107" t="n">
        <x:f>DO17*DO18/1000</x:f>
        <x:v>0</x:v>
      </x:c>
      <x:c r="DP19" s="107" t="n">
        <x:f>DP17*DP18/1000</x:f>
        <x:v>0</x:v>
      </x:c>
      <x:c r="DQ19" s="107" t="n">
        <x:f>DQ17*DQ18/1000</x:f>
        <x:v>0</x:v>
      </x:c>
      <x:c r="DR19" s="107" t="n">
        <x:f>DR17*DR18/1000</x:f>
        <x:v>0</x:v>
      </x:c>
      <x:c r="DS19" s="107" t="n">
        <x:f>DS17*DS18/1000</x:f>
        <x:v>0</x:v>
      </x:c>
    </x:row>
    <x:row r="20">
      <x:c r="A20" t="str">
        <x:v>Паркинг — объём</x:v>
      </x:c>
      <x:c r="B20" t="n">
        <x:f>SUM(D20:DS20)</x:f>
        <x:v>91.00000000000001</x:v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  <x:v>0</x:v>
      </x:c>
      <x:c r="E20" s="107" t="n">
        <x:f>'Вводные'!$N$88*((IF(SUM($D9:$DS9)=0,0,IF(SUM($D12:$DS12)=0,1,'Вводные'!$B$63)))*E11+(1-(IF(SUM($D9:$DS9)=0,0,IF(SUM($D12:$DS12)=0,1,'Вводные'!$B$63))))*E13)</x:f>
        <x:v>0</x:v>
      </x:c>
      <x:c r="F20" s="107" t="n">
        <x:f>'Вводные'!$N$88*((IF(SUM($D9:$DS9)=0,0,IF(SUM($D12:$DS12)=0,1,'Вводные'!$B$63)))*F11+(1-(IF(SUM($D9:$DS9)=0,0,IF(SUM($D12:$DS12)=0,1,'Вводные'!$B$63))))*F13)</x:f>
        <x:v>0</x:v>
      </x:c>
      <x:c r="G20" s="107" t="n">
        <x:f>'Вводные'!$N$88*((IF(SUM($D9:$DS9)=0,0,IF(SUM($D12:$DS12)=0,1,'Вводные'!$B$63)))*G11+(1-(IF(SUM($D9:$DS9)=0,0,IF(SUM($D12:$DS12)=0,1,'Вводные'!$B$63))))*G13)</x:f>
        <x:v>0</x:v>
      </x:c>
      <x:c r="H20" s="107" t="n">
        <x:f>'Вводные'!$N$88*((IF(SUM($D9:$DS9)=0,0,IF(SUM($D12:$DS12)=0,1,'Вводные'!$B$63)))*H11+(1-(IF(SUM($D9:$DS9)=0,0,IF(SUM($D12:$DS12)=0,1,'Вводные'!$B$63))))*H13)</x:f>
        <x:v>0</x:v>
      </x:c>
      <x:c r="I20" s="107" t="n">
        <x:f>'Вводные'!$N$88*((IF(SUM($D9:$DS9)=0,0,IF(SUM($D12:$DS12)=0,1,'Вводные'!$B$63)))*I11+(1-(IF(SUM($D9:$DS9)=0,0,IF(SUM($D12:$DS12)=0,1,'Вводные'!$B$63))))*I13)</x:f>
        <x:v>0</x:v>
      </x:c>
      <x:c r="J20" s="107" t="n">
        <x:f>'Вводные'!$N$88*((IF(SUM($D9:$DS9)=0,0,IF(SUM($D12:$DS12)=0,1,'Вводные'!$B$63)))*J11+(1-(IF(SUM($D9:$DS9)=0,0,IF(SUM($D12:$DS12)=0,1,'Вводные'!$B$63))))*J13)</x:f>
        <x:v>0</x:v>
      </x:c>
      <x:c r="K20" s="107" t="n">
        <x:f>'Вводные'!$N$88*((IF(SUM($D9:$DS9)=0,0,IF(SUM($D12:$DS12)=0,1,'Вводные'!$B$63)))*K11+(1-(IF(SUM($D9:$DS9)=0,0,IF(SUM($D12:$DS12)=0,1,'Вводные'!$B$63))))*K13)</x:f>
        <x:v>0</x:v>
      </x:c>
      <x:c r="L20" s="107" t="n">
        <x:f>'Вводные'!$N$88*((IF(SUM($D9:$DS9)=0,0,IF(SUM($D12:$DS12)=0,1,'Вводные'!$B$63)))*L11+(1-(IF(SUM($D9:$DS9)=0,0,IF(SUM($D12:$DS12)=0,1,'Вводные'!$B$63))))*L13)</x:f>
        <x:v>0</x:v>
      </x:c>
      <x:c r="M20" s="107" t="n">
        <x:f>'Вводные'!$N$88*((IF(SUM($D9:$DS9)=0,0,IF(SUM($D12:$DS12)=0,1,'Вводные'!$B$63)))*M11+(1-(IF(SUM($D9:$DS9)=0,0,IF(SUM($D12:$DS12)=0,1,'Вводные'!$B$63))))*M13)</x:f>
        <x:v>0</x:v>
      </x:c>
      <x:c r="N20" s="107" t="n">
        <x:f>'Вводные'!$N$88*((IF(SUM($D9:$DS9)=0,0,IF(SUM($D12:$DS12)=0,1,'Вводные'!$B$63)))*N11+(1-(IF(SUM($D9:$DS9)=0,0,IF(SUM($D12:$DS12)=0,1,'Вводные'!$B$63))))*N13)</x:f>
        <x:v>0</x:v>
      </x:c>
      <x:c r="O20" s="107" t="n">
        <x:f>'Вводные'!$N$88*((IF(SUM($D9:$DS9)=0,0,IF(SUM($D12:$DS12)=0,1,'Вводные'!$B$63)))*O11+(1-(IF(SUM($D9:$DS9)=0,0,IF(SUM($D12:$DS12)=0,1,'Вводные'!$B$63))))*O13)</x:f>
        <x:v>0</x:v>
      </x:c>
      <x:c r="P20" s="107" t="n">
        <x:f>'Вводные'!$N$88*((IF(SUM($D9:$DS9)=0,0,IF(SUM($D12:$DS12)=0,1,'Вводные'!$B$63)))*P11+(1-(IF(SUM($D9:$DS9)=0,0,IF(SUM($D12:$DS12)=0,1,'Вводные'!$B$63))))*P13)</x:f>
        <x:v>0</x:v>
      </x:c>
      <x:c r="Q20" s="107" t="n">
        <x:f>'Вводные'!$N$88*((IF(SUM($D9:$DS9)=0,0,IF(SUM($D12:$DS12)=0,1,'Вводные'!$B$63)))*Q11+(1-(IF(SUM($D9:$DS9)=0,0,IF(SUM($D12:$DS12)=0,1,'Вводные'!$B$63))))*Q13)</x:f>
        <x:v>0</x:v>
      </x:c>
      <x:c r="R20" s="107" t="n">
        <x:f>'Вводные'!$N$88*((IF(SUM($D9:$DS9)=0,0,IF(SUM($D12:$DS12)=0,1,'Вводные'!$B$63)))*R11+(1-(IF(SUM($D9:$DS9)=0,0,IF(SUM($D12:$DS12)=0,1,'Вводные'!$B$63))))*R13)</x:f>
        <x:v>0</x:v>
      </x:c>
      <x:c r="S20" s="107" t="n">
        <x:f>'Вводные'!$N$88*((IF(SUM($D9:$DS9)=0,0,IF(SUM($D12:$DS12)=0,1,'Вводные'!$B$63)))*S11+(1-(IF(SUM($D9:$DS9)=0,0,IF(SUM($D12:$DS12)=0,1,'Вводные'!$B$63))))*S13)</x:f>
        <x:v>0</x:v>
      </x:c>
      <x:c r="T20" s="107" t="n">
        <x:f>'Вводные'!$N$88*((IF(SUM($D9:$DS9)=0,0,IF(SUM($D12:$DS12)=0,1,'Вводные'!$B$63)))*T11+(1-(IF(SUM($D9:$DS9)=0,0,IF(SUM($D12:$DS12)=0,1,'Вводные'!$B$63))))*T13)</x:f>
        <x:v>0</x:v>
      </x:c>
      <x:c r="U20" s="107" t="n">
        <x:f>'Вводные'!$N$88*((IF(SUM($D9:$DS9)=0,0,IF(SUM($D12:$DS12)=0,1,'Вводные'!$B$63)))*U11+(1-(IF(SUM($D9:$DS9)=0,0,IF(SUM($D12:$DS12)=0,1,'Вводные'!$B$63))))*U13)</x:f>
        <x:v>0</x:v>
      </x:c>
      <x:c r="V20" s="107" t="n">
        <x:f>'Вводные'!$N$88*((IF(SUM($D9:$DS9)=0,0,IF(SUM($D12:$DS12)=0,1,'Вводные'!$B$63)))*V11+(1-(IF(SUM($D9:$DS9)=0,0,IF(SUM($D12:$DS12)=0,1,'Вводные'!$B$63))))*V13)</x:f>
        <x:v>2.6002311997422507</x:v>
      </x:c>
      <x:c r="W20" s="107" t="n">
        <x:f>'Вводные'!$N$88*((IF(SUM($D9:$DS9)=0,0,IF(SUM($D12:$DS12)=0,1,'Вводные'!$B$63)))*W11+(1-(IF(SUM($D9:$DS9)=0,0,IF(SUM($D12:$DS12)=0,1,'Вводные'!$B$63))))*W13)</x:f>
        <x:v>2.6262335117396733</x:v>
      </x:c>
      <x:c r="X20" s="107" t="n">
        <x:f>'Вводные'!$N$88*((IF(SUM($D9:$DS9)=0,0,IF(SUM($D12:$DS12)=0,1,'Вводные'!$B$63)))*X11+(1-(IF(SUM($D9:$DS9)=0,0,IF(SUM($D12:$DS12)=0,1,'Вводные'!$B$63))))*X13)</x:f>
        <x:v>3.1205833492436117</x:v>
      </x:c>
      <x:c r="Y20" s="107" t="n">
        <x:f>'Вводные'!$N$88*((IF(SUM($D9:$DS9)=0,0,IF(SUM($D12:$DS12)=0,1,'Вводные'!$B$63)))*Y11+(1-(IF(SUM($D9:$DS9)=0,0,IF(SUM($D12:$DS12)=0,1,'Вводные'!$B$63))))*Y13)</x:f>
        <x:v>3.1517891827360485</x:v>
      </x:c>
      <x:c r="Z20" s="107" t="n">
        <x:f>'Вводные'!$N$88*((IF(SUM($D9:$DS9)=0,0,IF(SUM($D12:$DS12)=0,1,'Вводные'!$B$63)))*Z11+(1-(IF(SUM($D9:$DS9)=0,0,IF(SUM($D12:$DS12)=0,1,'Вводные'!$B$63))))*Z13)</x:f>
        <x:v>3.183307074563409</x:v>
      </x:c>
      <x:c r="AA20" s="107" t="n">
        <x:f>'Вводные'!$N$88*((IF(SUM($D9:$DS9)=0,0,IF(SUM($D12:$DS12)=0,1,'Вводные'!$B$63)))*AA11+(1-(IF(SUM($D9:$DS9)=0,0,IF(SUM($D12:$DS12)=0,1,'Вводные'!$B$63))))*AA13)</x:f>
        <x:v>3.215140145309043</x:v>
      </x:c>
      <x:c r="AB20" s="107" t="n">
        <x:f>'Вводные'!$N$88*((IF(SUM($D9:$DS9)=0,0,IF(SUM($D12:$DS12)=0,1,'Вводные'!$B$63)))*AB11+(1-(IF(SUM($D9:$DS9)=0,0,IF(SUM($D12:$DS12)=0,1,'Вводные'!$B$63))))*AB13)</x:f>
        <x:v>2.760197814747814</x:v>
      </x:c>
      <x:c r="AC20" s="107" t="n">
        <x:f>'Вводные'!$N$88*((IF(SUM($D9:$DS9)=0,0,IF(SUM($D12:$DS12)=0,1,'Вводные'!$B$63)))*AC11+(1-(IF(SUM($D9:$DS9)=0,0,IF(SUM($D12:$DS12)=0,1,'Вводные'!$B$63))))*AC13)</x:f>
        <x:v>3.2797644622297546</x:v>
      </x:c>
      <x:c r="AD20" s="107" t="n">
        <x:f>'Вводные'!$N$88*((IF(SUM($D9:$DS9)=0,0,IF(SUM($D12:$DS12)=0,1,'Вводные'!$B$63)))*AD11+(1-(IF(SUM($D9:$DS9)=0,0,IF(SUM($D12:$DS12)=0,1,'Вводные'!$B$63))))*AD13)</x:f>
        <x:v>3.3125621068520528</x:v>
      </x:c>
      <x:c r="AE20" s="107" t="n">
        <x:f>'Вводные'!$N$88*((IF(SUM($D9:$DS9)=0,0,IF(SUM($D12:$DS12)=0,1,'Вводные'!$B$63)))*AE11+(1-(IF(SUM($D9:$DS9)=0,0,IF(SUM($D12:$DS12)=0,1,'Вводные'!$B$63))))*AE13)</x:f>
        <x:v>3.3456877279205717</x:v>
      </x:c>
      <x:c r="AF20" s="107" t="n">
        <x:f>'Вводные'!$N$88*((IF(SUM($D9:$DS9)=0,0,IF(SUM($D12:$DS12)=0,1,'Вводные'!$B$63)))*AF11+(1-(IF(SUM($D9:$DS9)=0,0,IF(SUM($D12:$DS12)=0,1,'Вводные'!$B$63))))*AF13)</x:f>
        <x:v>2.8722729144198116</x:v>
      </x:c>
      <x:c r="AG20" s="107" t="n">
        <x:f>'Вводные'!$N$88*((IF(SUM($D9:$DS9)=0,0,IF(SUM($D12:$DS12)=0,1,'Вводные'!$B$63)))*AG11+(1-(IF(SUM($D9:$DS9)=0,0,IF(SUM($D12:$DS12)=0,1,'Вводные'!$B$63))))*AG13)</x:f>
        <x:v>2.900995643564009</x:v>
      </x:c>
      <x:c r="AH20" s="107" t="n">
        <x:f>'Вводные'!$N$88*((IF(SUM($D9:$DS9)=0,0,IF(SUM($D12:$DS12)=0,1,'Вводные'!$B$63)))*AH11+(1-(IF(SUM($D9:$DS9)=0,0,IF(SUM($D12:$DS12)=0,1,'Вводные'!$B$63))))*AH13)</x:f>
        <x:v>2.9300055999996495</x:v>
      </x:c>
      <x:c r="AI20" s="107" t="n">
        <x:f>'Вводные'!$N$88*((IF(SUM($D9:$DS9)=0,0,IF(SUM($D12:$DS12)=0,1,'Вводные'!$B$63)))*AI11+(1-(IF(SUM($D9:$DS9)=0,0,IF(SUM($D12:$DS12)=0,1,'Вводные'!$B$63))))*AI13)</x:f>
        <x:v>2.959305655999646</x:v>
      </x:c>
      <x:c r="AJ20" s="107" t="n">
        <x:f>'Вводные'!$N$88*((IF(SUM($D9:$DS9)=0,0,IF(SUM($D12:$DS12)=0,1,'Вводные'!$B$63)))*AJ11+(1-(IF(SUM($D9:$DS9)=0,0,IF(SUM($D12:$DS12)=0,1,'Вводные'!$B$63))))*AJ13)</x:f>
        <x:v>3.5163514265407563</x:v>
      </x:c>
      <x:c r="AK20" s="107" t="n">
        <x:f>'Вводные'!$N$88*((IF(SUM($D9:$DS9)=0,0,IF(SUM($D12:$DS12)=0,1,'Вводные'!$B$63)))*AK11+(1-(IF(SUM($D9:$DS9)=0,0,IF(SUM($D12:$DS12)=0,1,'Вводные'!$B$63))))*AK13)</x:f>
        <x:v>3.5515149408061637</x:v>
      </x:c>
      <x:c r="AL20" s="107" t="n">
        <x:f>'Вводные'!$N$88*((IF(SUM($D9:$DS9)=0,0,IF(SUM($D12:$DS12)=0,1,'Вводные'!$B$63)))*AL11+(1-(IF(SUM($D9:$DS9)=0,0,IF(SUM($D12:$DS12)=0,1,'Вводные'!$B$63))))*AL13)</x:f>
        <x:v>3.5870300902142254</x:v>
      </x:c>
      <x:c r="AM20" s="107" t="n">
        <x:f>'Вводные'!$N$88*((IF(SUM($D9:$DS9)=0,0,IF(SUM($D12:$DS12)=0,1,'Вводные'!$B$63)))*AM11+(1-(IF(SUM($D9:$DS9)=0,0,IF(SUM($D12:$DS12)=0,1,'Вводные'!$B$63))))*AM13)</x:f>
        <x:v>3.6229003911163677</x:v>
      </x:c>
      <x:c r="AN20" s="107" t="n">
        <x:f>'Вводные'!$N$88*((IF(SUM($D9:$DS9)=0,0,IF(SUM($D12:$DS12)=0,1,'Вводные'!$B$63)))*AN11+(1-(IF(SUM($D9:$DS9)=0,0,IF(SUM($D12:$DS12)=0,1,'Вводные'!$B$63))))*AN13)</x:f>
        <x:v>3.1102599857734012</x:v>
      </x:c>
      <x:c r="AO20" s="107" t="n">
        <x:f>'Вводные'!$N$88*((IF(SUM($D9:$DS9)=0,0,IF(SUM($D12:$DS12)=0,1,'Вводные'!$B$63)))*AO11+(1-(IF(SUM($D9:$DS9)=0,0,IF(SUM($D12:$DS12)=0,1,'Вводные'!$B$63))))*AO13)</x:f>
        <x:v>3.6957206889778065</x:v>
      </x:c>
      <x:c r="AP20" s="107" t="n">
        <x:f>'Вводные'!$N$88*((IF(SUM($D9:$DS9)=0,0,IF(SUM($D12:$DS12)=0,1,'Вводные'!$B$63)))*AP11+(1-(IF(SUM($D9:$DS9)=0,0,IF(SUM($D12:$DS12)=0,1,'Вводные'!$B$63))))*AP13)</x:f>
        <x:v>3.732677895867585</x:v>
      </x:c>
      <x:c r="AQ20" s="107" t="n">
        <x:f>'Вводные'!$N$88*((IF(SUM($D9:$DS9)=0,0,IF(SUM($D12:$DS12)=0,1,'Вводные'!$B$63)))*AQ11+(1-(IF(SUM($D9:$DS9)=0,0,IF(SUM($D12:$DS12)=0,1,'Вводные'!$B$63))))*AQ13)</x:f>
        <x:v>3.7700046748262612</x:v>
      </x:c>
      <x:c r="AR20" s="107" t="n">
        <x:f>'Вводные'!$N$88*((IF(SUM($D9:$DS9)=0,0,IF(SUM($D12:$DS12)=0,1,'Вводные'!$B$63)))*AR11+(1-(IF(SUM($D9:$DS9)=0,0,IF(SUM($D12:$DS12)=0,1,'Вводные'!$B$63))))*AR13)</x:f>
        <x:v>3.236549013338345</x:v>
      </x:c>
      <x:c r="AS20" s="107" t="n">
        <x:f>'Вводные'!$N$88*((IF(SUM($D9:$DS9)=0,0,IF(SUM($D12:$DS12)=0,1,'Вводные'!$B$63)))*AS11+(1-(IF(SUM($D9:$DS9)=0,0,IF(SUM($D12:$DS12)=0,1,'Вводные'!$B$63))))*AS13)</x:f>
        <x:v>3.2689145034717284</x:v>
      </x:c>
      <x:c r="AT20" s="107" t="n">
        <x:f>'Вводные'!$N$88*((IF(SUM($D9:$DS9)=0,0,IF(SUM($D12:$DS12)=0,1,'Вводные'!$B$63)))*AT11+(1-(IF(SUM($D9:$DS9)=0,0,IF(SUM($D12:$DS12)=0,1,'Вводные'!$B$63))))*AT13)</x:f>
        <x:v>1.9831587271910531</x:v>
      </x:c>
      <x:c r="AU20" s="107" t="n">
        <x:f>'Вводные'!$N$88*((IF(SUM($D9:$DS9)=0,0,IF(SUM($D12:$DS12)=0,1,'Вводные'!$B$63)))*AU11+(1-(IF(SUM($D9:$DS9)=0,0,IF(SUM($D12:$DS12)=0,1,'Вводные'!$B$63))))*AU13)</x:f>
        <x:v>2.002990314462963</x:v>
      </x:c>
      <x:c r="AV20" s="107" t="n">
        <x:f>'Вводные'!$N$88*((IF(SUM($D9:$DS9)=0,0,IF(SUM($D12:$DS12)=0,1,'Вводные'!$B$63)))*AV11+(1-(IF(SUM($D9:$DS9)=0,0,IF(SUM($D12:$DS12)=0,1,'Вводные'!$B$63))))*AV13)</x:f>
        <x:v>2.380023785420698</x:v>
      </x:c>
      <x:c r="AW20" s="107" t="n">
        <x:f>'Вводные'!$N$88*((IF(SUM($D9:$DS9)=0,0,IF(SUM($D12:$DS12)=0,1,'Вводные'!$B$63)))*AW11+(1-(IF(SUM($D9:$DS9)=0,0,IF(SUM($D12:$DS12)=0,1,'Вводные'!$B$63))))*AW13)</x:f>
        <x:v>2.4038240232749044</x:v>
      </x:c>
      <x:c r="AX20" s="107" t="n">
        <x:f>'Вводные'!$N$88*((IF(SUM($D9:$DS9)=0,0,IF(SUM($D12:$DS12)=0,1,'Вводные'!$B$63)))*AX11+(1-(IF(SUM($D9:$DS9)=0,0,IF(SUM($D12:$DS12)=0,1,'Вводные'!$B$63))))*AX13)</x:f>
        <x:v>2.4278622635076537</x:v>
      </x:c>
      <x:c r="AY20" s="107" t="n">
        <x:f>'Вводные'!$N$88*((IF(SUM($D9:$DS9)=0,0,IF(SUM($D12:$DS12)=0,1,'Вводные'!$B$63)))*AY11+(1-(IF(SUM($D9:$DS9)=0,0,IF(SUM($D12:$DS12)=0,1,'Вводные'!$B$63))))*AY13)</x:f>
        <x:v>2.4521408861427303</x:v>
      </x:c>
      <x:c r="AZ20" s="107" t="n">
        <x:f>'Вводные'!$N$88*((IF(SUM($D9:$DS9)=0,0,IF(SUM($D12:$DS12)=0,1,'Вводные'!$B$63)))*AZ11+(1-(IF(SUM($D9:$DS9)=0,0,IF(SUM($D12:$DS12)=0,1,'Вводные'!$B$63))))*AZ13)</x:f>
        <x:v>0</x:v>
      </x:c>
      <x:c r="BA20" s="107" t="n">
        <x:f>'Вводные'!$N$88*((IF(SUM($D9:$DS9)=0,0,IF(SUM($D12:$DS12)=0,1,'Вводные'!$B$63)))*BA11+(1-(IF(SUM($D9:$DS9)=0,0,IF(SUM($D12:$DS12)=0,1,'Вводные'!$B$63))))*BA13)</x:f>
        <x:v>0</x:v>
      </x:c>
      <x:c r="BB20" s="107" t="n">
        <x:f>'Вводные'!$N$88*((IF(SUM($D9:$DS9)=0,0,IF(SUM($D12:$DS12)=0,1,'Вводные'!$B$63)))*BB11+(1-(IF(SUM($D9:$DS9)=0,0,IF(SUM($D12:$DS12)=0,1,'Вводные'!$B$63))))*BB13)</x:f>
        <x:v>0</x:v>
      </x:c>
      <x:c r="BC20" s="107" t="n">
        <x:f>'Вводные'!$N$88*((IF(SUM($D9:$DS9)=0,0,IF(SUM($D12:$DS12)=0,1,'Вводные'!$B$63)))*BC11+(1-(IF(SUM($D9:$DS9)=0,0,IF(SUM($D12:$DS12)=0,1,'Вводные'!$B$63))))*BC13)</x:f>
        <x:v>0</x:v>
      </x:c>
      <x:c r="BD20" s="107" t="n">
        <x:f>'Вводные'!$N$88*((IF(SUM($D9:$DS9)=0,0,IF(SUM($D12:$DS12)=0,1,'Вводные'!$B$63)))*BD11+(1-(IF(SUM($D9:$DS9)=0,0,IF(SUM($D12:$DS12)=0,1,'Вводные'!$B$63))))*BD13)</x:f>
        <x:v>0</x:v>
      </x:c>
      <x:c r="BE20" s="107" t="n">
        <x:f>'Вводные'!$N$88*((IF(SUM($D9:$DS9)=0,0,IF(SUM($D12:$DS12)=0,1,'Вводные'!$B$63)))*BE11+(1-(IF(SUM($D9:$DS9)=0,0,IF(SUM($D12:$DS12)=0,1,'Вводные'!$B$63))))*BE13)</x:f>
        <x:v>0</x:v>
      </x:c>
      <x:c r="BF20" s="107" t="n">
        <x:f>'Вводные'!$N$88*((IF(SUM($D9:$DS9)=0,0,IF(SUM($D12:$DS12)=0,1,'Вводные'!$B$63)))*BF11+(1-(IF(SUM($D9:$DS9)=0,0,IF(SUM($D12:$DS12)=0,1,'Вводные'!$B$63))))*BF13)</x:f>
        <x:v>0</x:v>
      </x:c>
      <x:c r="BG20" s="107" t="n">
        <x:f>'Вводные'!$N$88*((IF(SUM($D9:$DS9)=0,0,IF(SUM($D12:$DS12)=0,1,'Вводные'!$B$63)))*BG11+(1-(IF(SUM($D9:$DS9)=0,0,IF(SUM($D12:$DS12)=0,1,'Вводные'!$B$63))))*BG13)</x:f>
        <x:v>0</x:v>
      </x:c>
      <x:c r="BH20" s="107" t="n">
        <x:f>'Вводные'!$N$88*((IF(SUM($D9:$DS9)=0,0,IF(SUM($D12:$DS12)=0,1,'Вводные'!$B$63)))*BH11+(1-(IF(SUM($D9:$DS9)=0,0,IF(SUM($D12:$DS12)=0,1,'Вводные'!$B$63))))*BH13)</x:f>
        <x:v>0</x:v>
      </x:c>
      <x:c r="BI20" s="107" t="n">
        <x:f>'Вводные'!$N$88*((IF(SUM($D9:$DS9)=0,0,IF(SUM($D12:$DS12)=0,1,'Вводные'!$B$63)))*BI11+(1-(IF(SUM($D9:$DS9)=0,0,IF(SUM($D12:$DS12)=0,1,'Вводные'!$B$63))))*BI13)</x:f>
        <x:v>0</x:v>
      </x:c>
      <x:c r="BJ20" s="107" t="n">
        <x:f>'Вводные'!$N$88*((IF(SUM($D9:$DS9)=0,0,IF(SUM($D12:$DS12)=0,1,'Вводные'!$B$63)))*BJ11+(1-(IF(SUM($D9:$DS9)=0,0,IF(SUM($D12:$DS12)=0,1,'Вводные'!$B$63))))*BJ13)</x:f>
        <x:v>0</x:v>
      </x:c>
      <x:c r="BK20" s="107" t="n">
        <x:f>'Вводные'!$N$88*((IF(SUM($D9:$DS9)=0,0,IF(SUM($D12:$DS12)=0,1,'Вводные'!$B$63)))*BK11+(1-(IF(SUM($D9:$DS9)=0,0,IF(SUM($D12:$DS12)=0,1,'Вводные'!$B$63))))*BK13)</x:f>
        <x:v>0</x:v>
      </x:c>
      <x:c r="BL20" s="107" t="n">
        <x:f>'Вводные'!$N$88*((IF(SUM($D9:$DS9)=0,0,IF(SUM($D12:$DS12)=0,1,'Вводные'!$B$63)))*BL11+(1-(IF(SUM($D9:$DS9)=0,0,IF(SUM($D12:$DS12)=0,1,'Вводные'!$B$63))))*BL13)</x:f>
        <x:v>0</x:v>
      </x:c>
      <x:c r="BM20" s="107" t="n">
        <x:f>'Вводные'!$N$88*((IF(SUM($D9:$DS9)=0,0,IF(SUM($D12:$DS12)=0,1,'Вводные'!$B$63)))*BM11+(1-(IF(SUM($D9:$DS9)=0,0,IF(SUM($D12:$DS12)=0,1,'Вводные'!$B$63))))*BM13)</x:f>
        <x:v>0</x:v>
      </x:c>
      <x:c r="BN20" s="107" t="n">
        <x:f>'Вводные'!$N$88*((IF(SUM($D9:$DS9)=0,0,IF(SUM($D12:$DS12)=0,1,'Вводные'!$B$63)))*BN11+(1-(IF(SUM($D9:$DS9)=0,0,IF(SUM($D12:$DS12)=0,1,'Вводные'!$B$63))))*BN13)</x:f>
        <x:v>0</x:v>
      </x:c>
      <x:c r="BO20" s="107" t="n">
        <x:f>'Вводные'!$N$88*((IF(SUM($D9:$DS9)=0,0,IF(SUM($D12:$DS12)=0,1,'Вводные'!$B$63)))*BO11+(1-(IF(SUM($D9:$DS9)=0,0,IF(SUM($D12:$DS12)=0,1,'Вводные'!$B$63))))*BO13)</x:f>
        <x:v>0</x:v>
      </x:c>
      <x:c r="BP20" s="107" t="n">
        <x:f>'Вводные'!$N$88*((IF(SUM($D9:$DS9)=0,0,IF(SUM($D12:$DS12)=0,1,'Вводные'!$B$63)))*BP11+(1-(IF(SUM($D9:$DS9)=0,0,IF(SUM($D12:$DS12)=0,1,'Вводные'!$B$63))))*BP13)</x:f>
        <x:v>0</x:v>
      </x:c>
      <x:c r="BQ20" s="107" t="n">
        <x:f>'Вводные'!$N$88*((IF(SUM($D9:$DS9)=0,0,IF(SUM($D12:$DS12)=0,1,'Вводные'!$B$63)))*BQ11+(1-(IF(SUM($D9:$DS9)=0,0,IF(SUM($D12:$DS12)=0,1,'Вводные'!$B$63))))*BQ13)</x:f>
        <x:v>0</x:v>
      </x:c>
      <x:c r="BR20" s="107" t="n">
        <x:f>'Вводные'!$N$88*((IF(SUM($D9:$DS9)=0,0,IF(SUM($D12:$DS12)=0,1,'Вводные'!$B$63)))*BR11+(1-(IF(SUM($D9:$DS9)=0,0,IF(SUM($D12:$DS12)=0,1,'Вводные'!$B$63))))*BR13)</x:f>
        <x:v>0</x:v>
      </x:c>
      <x:c r="BS20" s="107" t="n">
        <x:f>'Вводные'!$N$88*((IF(SUM($D9:$DS9)=0,0,IF(SUM($D12:$DS12)=0,1,'Вводные'!$B$63)))*BS11+(1-(IF(SUM($D9:$DS9)=0,0,IF(SUM($D12:$DS12)=0,1,'Вводные'!$B$63))))*BS13)</x:f>
        <x:v>0</x:v>
      </x:c>
      <x:c r="BT20" s="107" t="n">
        <x:f>'Вводные'!$N$88*((IF(SUM($D9:$DS9)=0,0,IF(SUM($D12:$DS12)=0,1,'Вводные'!$B$63)))*BT11+(1-(IF(SUM($D9:$DS9)=0,0,IF(SUM($D12:$DS12)=0,1,'Вводные'!$B$63))))*BT13)</x:f>
        <x:v>0</x:v>
      </x:c>
      <x:c r="BU20" s="107" t="n">
        <x:f>'Вводные'!$N$88*((IF(SUM($D9:$DS9)=0,0,IF(SUM($D12:$DS12)=0,1,'Вводные'!$B$63)))*BU11+(1-(IF(SUM($D9:$DS9)=0,0,IF(SUM($D12:$DS12)=0,1,'Вводные'!$B$63))))*BU13)</x:f>
        <x:v>0</x:v>
      </x:c>
      <x:c r="BV20" s="107" t="n">
        <x:f>'Вводные'!$N$88*((IF(SUM($D9:$DS9)=0,0,IF(SUM($D12:$DS12)=0,1,'Вводные'!$B$63)))*BV11+(1-(IF(SUM($D9:$DS9)=0,0,IF(SUM($D12:$DS12)=0,1,'Вводные'!$B$63))))*BV13)</x:f>
        <x:v>0</x:v>
      </x:c>
      <x:c r="BW20" s="107" t="n">
        <x:f>'Вводные'!$N$88*((IF(SUM($D9:$DS9)=0,0,IF(SUM($D12:$DS12)=0,1,'Вводные'!$B$63)))*BW11+(1-(IF(SUM($D9:$DS9)=0,0,IF(SUM($D12:$DS12)=0,1,'Вводные'!$B$63))))*BW13)</x:f>
        <x:v>0</x:v>
      </x:c>
      <x:c r="BX20" s="107" t="n">
        <x:f>'Вводные'!$N$88*((IF(SUM($D9:$DS9)=0,0,IF(SUM($D12:$DS12)=0,1,'Вводные'!$B$63)))*BX11+(1-(IF(SUM($D9:$DS9)=0,0,IF(SUM($D12:$DS12)=0,1,'Вводные'!$B$63))))*BX13)</x:f>
        <x:v>0</x:v>
      </x:c>
      <x:c r="BY20" s="107" t="n">
        <x:f>'Вводные'!$N$88*((IF(SUM($D9:$DS9)=0,0,IF(SUM($D12:$DS12)=0,1,'Вводные'!$B$63)))*BY11+(1-(IF(SUM($D9:$DS9)=0,0,IF(SUM($D12:$DS12)=0,1,'Вводные'!$B$63))))*BY13)</x:f>
        <x:v>0</x:v>
      </x:c>
      <x:c r="BZ20" s="107" t="n">
        <x:f>'Вводные'!$N$88*((IF(SUM($D9:$DS9)=0,0,IF(SUM($D12:$DS12)=0,1,'Вводные'!$B$63)))*BZ11+(1-(IF(SUM($D9:$DS9)=0,0,IF(SUM($D12:$DS12)=0,1,'Вводные'!$B$63))))*BZ13)</x:f>
        <x:v>0</x:v>
      </x:c>
      <x:c r="CA20" s="107" t="n">
        <x:f>'Вводные'!$N$88*((IF(SUM($D9:$DS9)=0,0,IF(SUM($D12:$DS12)=0,1,'Вводные'!$B$63)))*CA11+(1-(IF(SUM($D9:$DS9)=0,0,IF(SUM($D12:$DS12)=0,1,'Вводные'!$B$63))))*CA13)</x:f>
        <x:v>0</x:v>
      </x:c>
      <x:c r="CB20" s="107" t="n">
        <x:f>'Вводные'!$N$88*((IF(SUM($D9:$DS9)=0,0,IF(SUM($D12:$DS12)=0,1,'Вводные'!$B$63)))*CB11+(1-(IF(SUM($D9:$DS9)=0,0,IF(SUM($D12:$DS12)=0,1,'Вводные'!$B$63))))*CB13)</x:f>
        <x:v>0</x:v>
      </x:c>
      <x:c r="CC20" s="107" t="n">
        <x:f>'Вводные'!$N$88*((IF(SUM($D9:$DS9)=0,0,IF(SUM($D12:$DS12)=0,1,'Вводные'!$B$63)))*CC11+(1-(IF(SUM($D9:$DS9)=0,0,IF(SUM($D12:$DS12)=0,1,'Вводные'!$B$63))))*CC13)</x:f>
        <x:v>0</x:v>
      </x:c>
      <x:c r="CD20" s="107" t="n">
        <x:f>'Вводные'!$N$88*((IF(SUM($D9:$DS9)=0,0,IF(SUM($D12:$DS12)=0,1,'Вводные'!$B$63)))*CD11+(1-(IF(SUM($D9:$DS9)=0,0,IF(SUM($D12:$DS12)=0,1,'Вводные'!$B$63))))*CD13)</x:f>
        <x:v>0</x:v>
      </x:c>
      <x:c r="CE20" s="107" t="n">
        <x:f>'Вводные'!$N$88*((IF(SUM($D9:$DS9)=0,0,IF(SUM($D12:$DS12)=0,1,'Вводные'!$B$63)))*CE11+(1-(IF(SUM($D9:$DS9)=0,0,IF(SUM($D12:$DS12)=0,1,'Вводные'!$B$63))))*CE13)</x:f>
        <x:v>0</x:v>
      </x:c>
      <x:c r="CF20" s="107" t="n">
        <x:f>'Вводные'!$N$88*((IF(SUM($D9:$DS9)=0,0,IF(SUM($D12:$DS12)=0,1,'Вводные'!$B$63)))*CF11+(1-(IF(SUM($D9:$DS9)=0,0,IF(SUM($D12:$DS12)=0,1,'Вводные'!$B$63))))*CF13)</x:f>
        <x:v>0</x:v>
      </x:c>
      <x:c r="CG20" s="107" t="n">
        <x:f>'Вводные'!$N$88*((IF(SUM($D9:$DS9)=0,0,IF(SUM($D12:$DS12)=0,1,'Вводные'!$B$63)))*CG11+(1-(IF(SUM($D9:$DS9)=0,0,IF(SUM($D12:$DS12)=0,1,'Вводные'!$B$63))))*CG13)</x:f>
        <x:v>0</x:v>
      </x:c>
      <x:c r="CH20" s="107" t="n">
        <x:f>'Вводные'!$N$88*((IF(SUM($D9:$DS9)=0,0,IF(SUM($D12:$DS12)=0,1,'Вводные'!$B$63)))*CH11+(1-(IF(SUM($D9:$DS9)=0,0,IF(SUM($D12:$DS12)=0,1,'Вводные'!$B$63))))*CH13)</x:f>
        <x:v>0</x:v>
      </x:c>
      <x:c r="CI20" s="107" t="n">
        <x:f>'Вводные'!$N$88*((IF(SUM($D9:$DS9)=0,0,IF(SUM($D12:$DS12)=0,1,'Вводные'!$B$63)))*CI11+(1-(IF(SUM($D9:$DS9)=0,0,IF(SUM($D12:$DS12)=0,1,'Вводные'!$B$63))))*CI13)</x:f>
        <x:v>0</x:v>
      </x:c>
      <x:c r="CJ20" s="107" t="n">
        <x:f>'Вводные'!$N$88*((IF(SUM($D9:$DS9)=0,0,IF(SUM($D12:$DS12)=0,1,'Вводные'!$B$63)))*CJ11+(1-(IF(SUM($D9:$DS9)=0,0,IF(SUM($D12:$DS12)=0,1,'Вводные'!$B$63))))*CJ13)</x:f>
        <x:v>0</x:v>
      </x:c>
      <x:c r="CK20" s="107" t="n">
        <x:f>'Вводные'!$N$88*((IF(SUM($D9:$DS9)=0,0,IF(SUM($D12:$DS12)=0,1,'Вводные'!$B$63)))*CK11+(1-(IF(SUM($D9:$DS9)=0,0,IF(SUM($D12:$DS12)=0,1,'Вводные'!$B$63))))*CK13)</x:f>
        <x:v>0</x:v>
      </x:c>
      <x:c r="CL20" s="107" t="n">
        <x:f>'Вводные'!$N$88*((IF(SUM($D9:$DS9)=0,0,IF(SUM($D12:$DS12)=0,1,'Вводные'!$B$63)))*CL11+(1-(IF(SUM($D9:$DS9)=0,0,IF(SUM($D12:$DS12)=0,1,'Вводные'!$B$63))))*CL13)</x:f>
        <x:v>0</x:v>
      </x:c>
      <x:c r="CM20" s="107" t="n">
        <x:f>'Вводные'!$N$88*((IF(SUM($D9:$DS9)=0,0,IF(SUM($D12:$DS12)=0,1,'Вводные'!$B$63)))*CM11+(1-(IF(SUM($D9:$DS9)=0,0,IF(SUM($D12:$DS12)=0,1,'Вводные'!$B$63))))*CM13)</x:f>
        <x:v>0</x:v>
      </x:c>
      <x:c r="CN20" s="107" t="n">
        <x:f>'Вводные'!$N$88*((IF(SUM($D9:$DS9)=0,0,IF(SUM($D12:$DS12)=0,1,'Вводные'!$B$63)))*CN11+(1-(IF(SUM($D9:$DS9)=0,0,IF(SUM($D12:$DS12)=0,1,'Вводные'!$B$63))))*CN13)</x:f>
        <x:v>0</x:v>
      </x:c>
      <x:c r="CO20" s="107" t="n">
        <x:f>'Вводные'!$N$88*((IF(SUM($D9:$DS9)=0,0,IF(SUM($D12:$DS12)=0,1,'Вводные'!$B$63)))*CO11+(1-(IF(SUM($D9:$DS9)=0,0,IF(SUM($D12:$DS12)=0,1,'Вводные'!$B$63))))*CO13)</x:f>
        <x:v>0</x:v>
      </x:c>
      <x:c r="CP20" s="107" t="n">
        <x:f>'Вводные'!$N$88*((IF(SUM($D9:$DS9)=0,0,IF(SUM($D12:$DS12)=0,1,'Вводные'!$B$63)))*CP11+(1-(IF(SUM($D9:$DS9)=0,0,IF(SUM($D12:$DS12)=0,1,'Вводные'!$B$63))))*CP13)</x:f>
        <x:v>0</x:v>
      </x:c>
      <x:c r="CQ20" s="107" t="n">
        <x:f>'Вводные'!$N$88*((IF(SUM($D9:$DS9)=0,0,IF(SUM($D12:$DS12)=0,1,'Вводные'!$B$63)))*CQ11+(1-(IF(SUM($D9:$DS9)=0,0,IF(SUM($D12:$DS12)=0,1,'Вводные'!$B$63))))*CQ13)</x:f>
        <x:v>0</x:v>
      </x:c>
      <x:c r="CR20" s="107" t="n">
        <x:f>'Вводные'!$N$88*((IF(SUM($D9:$DS9)=0,0,IF(SUM($D12:$DS12)=0,1,'Вводные'!$B$63)))*CR11+(1-(IF(SUM($D9:$DS9)=0,0,IF(SUM($D12:$DS12)=0,1,'Вводные'!$B$63))))*CR13)</x:f>
        <x:v>0</x:v>
      </x:c>
      <x:c r="CS20" s="107" t="n">
        <x:f>'Вводные'!$N$88*((IF(SUM($D9:$DS9)=0,0,IF(SUM($D12:$DS12)=0,1,'Вводные'!$B$63)))*CS11+(1-(IF(SUM($D9:$DS9)=0,0,IF(SUM($D12:$DS12)=0,1,'Вводные'!$B$63))))*CS13)</x:f>
        <x:v>0</x:v>
      </x:c>
      <x:c r="CT20" s="107" t="n">
        <x:f>'Вводные'!$N$88*((IF(SUM($D9:$DS9)=0,0,IF(SUM($D12:$DS12)=0,1,'Вводные'!$B$63)))*CT11+(1-(IF(SUM($D9:$DS9)=0,0,IF(SUM($D12:$DS12)=0,1,'Вводные'!$B$63))))*CT13)</x:f>
        <x:v>0</x:v>
      </x:c>
      <x:c r="CU20" s="107" t="n">
        <x:f>'Вводные'!$N$88*((IF(SUM($D9:$DS9)=0,0,IF(SUM($D12:$DS12)=0,1,'Вводные'!$B$63)))*CU11+(1-(IF(SUM($D9:$DS9)=0,0,IF(SUM($D12:$DS12)=0,1,'Вводные'!$B$63))))*CU13)</x:f>
        <x:v>0</x:v>
      </x:c>
      <x:c r="CV20" s="107" t="n">
        <x:f>'Вводные'!$N$88*((IF(SUM($D9:$DS9)=0,0,IF(SUM($D12:$DS12)=0,1,'Вводные'!$B$63)))*CV11+(1-(IF(SUM($D9:$DS9)=0,0,IF(SUM($D12:$DS12)=0,1,'Вводные'!$B$63))))*CV13)</x:f>
        <x:v>0</x:v>
      </x:c>
      <x:c r="CW20" s="107" t="n">
        <x:f>'Вводные'!$N$88*((IF(SUM($D9:$DS9)=0,0,IF(SUM($D12:$DS12)=0,1,'Вводные'!$B$63)))*CW11+(1-(IF(SUM($D9:$DS9)=0,0,IF(SUM($D12:$DS12)=0,1,'Вводные'!$B$63))))*CW13)</x:f>
        <x:v>0</x:v>
      </x:c>
      <x:c r="CX20" s="107" t="n">
        <x:f>'Вводные'!$N$88*((IF(SUM($D9:$DS9)=0,0,IF(SUM($D12:$DS12)=0,1,'Вводные'!$B$63)))*CX11+(1-(IF(SUM($D9:$DS9)=0,0,IF(SUM($D12:$DS12)=0,1,'Вводные'!$B$63))))*CX13)</x:f>
        <x:v>0</x:v>
      </x:c>
      <x:c r="CY20" s="107" t="n">
        <x:f>'Вводные'!$N$88*((IF(SUM($D9:$DS9)=0,0,IF(SUM($D12:$DS12)=0,1,'Вводные'!$B$63)))*CY11+(1-(IF(SUM($D9:$DS9)=0,0,IF(SUM($D12:$DS12)=0,1,'Вводные'!$B$63))))*CY13)</x:f>
        <x:v>0</x:v>
      </x:c>
      <x:c r="CZ20" s="107" t="n">
        <x:f>'Вводные'!$N$88*((IF(SUM($D9:$DS9)=0,0,IF(SUM($D12:$DS12)=0,1,'Вводные'!$B$63)))*CZ11+(1-(IF(SUM($D9:$DS9)=0,0,IF(SUM($D12:$DS12)=0,1,'Вводные'!$B$63))))*CZ13)</x:f>
        <x:v>0</x:v>
      </x:c>
      <x:c r="DA20" s="107" t="n">
        <x:f>'Вводные'!$N$88*((IF(SUM($D9:$DS9)=0,0,IF(SUM($D12:$DS12)=0,1,'Вводные'!$B$63)))*DA11+(1-(IF(SUM($D9:$DS9)=0,0,IF(SUM($D12:$DS12)=0,1,'Вводные'!$B$63))))*DA13)</x:f>
        <x:v>0</x:v>
      </x:c>
      <x:c r="DB20" s="107" t="n">
        <x:f>'Вводные'!$N$88*((IF(SUM($D9:$DS9)=0,0,IF(SUM($D12:$DS12)=0,1,'Вводные'!$B$63)))*DB11+(1-(IF(SUM($D9:$DS9)=0,0,IF(SUM($D12:$DS12)=0,1,'Вводные'!$B$63))))*DB13)</x:f>
        <x:v>0</x:v>
      </x:c>
      <x:c r="DC20" s="107" t="n">
        <x:f>'Вводные'!$N$88*((IF(SUM($D9:$DS9)=0,0,IF(SUM($D12:$DS12)=0,1,'Вводные'!$B$63)))*DC11+(1-(IF(SUM($D9:$DS9)=0,0,IF(SUM($D12:$DS12)=0,1,'Вводные'!$B$63))))*DC13)</x:f>
        <x:v>0</x:v>
      </x:c>
      <x:c r="DD20" s="107" t="n">
        <x:f>'Вводные'!$N$88*((IF(SUM($D9:$DS9)=0,0,IF(SUM($D12:$DS12)=0,1,'Вводные'!$B$63)))*DD11+(1-(IF(SUM($D9:$DS9)=0,0,IF(SUM($D12:$DS12)=0,1,'Вводные'!$B$63))))*DD13)</x:f>
        <x:v>0</x:v>
      </x:c>
      <x:c r="DE20" s="107" t="n">
        <x:f>'Вводные'!$N$88*((IF(SUM($D9:$DS9)=0,0,IF(SUM($D12:$DS12)=0,1,'Вводные'!$B$63)))*DE11+(1-(IF(SUM($D9:$DS9)=0,0,IF(SUM($D12:$DS12)=0,1,'Вводные'!$B$63))))*DE13)</x:f>
        <x:v>0</x:v>
      </x:c>
      <x:c r="DF20" s="107" t="n">
        <x:f>'Вводные'!$N$88*((IF(SUM($D9:$DS9)=0,0,IF(SUM($D12:$DS12)=0,1,'Вводные'!$B$63)))*DF11+(1-(IF(SUM($D9:$DS9)=0,0,IF(SUM($D12:$DS12)=0,1,'Вводные'!$B$63))))*DF13)</x:f>
        <x:v>0</x:v>
      </x:c>
      <x:c r="DG20" s="107" t="n">
        <x:f>'Вводные'!$N$88*((IF(SUM($D9:$DS9)=0,0,IF(SUM($D12:$DS12)=0,1,'Вводные'!$B$63)))*DG11+(1-(IF(SUM($D9:$DS9)=0,0,IF(SUM($D12:$DS12)=0,1,'Вводные'!$B$63))))*DG13)</x:f>
        <x:v>0</x:v>
      </x:c>
      <x:c r="DH20" s="107" t="n">
        <x:f>'Вводные'!$N$88*((IF(SUM($D9:$DS9)=0,0,IF(SUM($D12:$DS12)=0,1,'Вводные'!$B$63)))*DH11+(1-(IF(SUM($D9:$DS9)=0,0,IF(SUM($D12:$DS12)=0,1,'Вводные'!$B$63))))*DH13)</x:f>
        <x:v>0</x:v>
      </x:c>
      <x:c r="DI20" s="107" t="n">
        <x:f>'Вводные'!$N$88*((IF(SUM($D9:$DS9)=0,0,IF(SUM($D12:$DS12)=0,1,'Вводные'!$B$63)))*DI11+(1-(IF(SUM($D9:$DS9)=0,0,IF(SUM($D12:$DS12)=0,1,'Вводные'!$B$63))))*DI13)</x:f>
        <x:v>0</x:v>
      </x:c>
      <x:c r="DJ20" s="107" t="n">
        <x:f>'Вводные'!$N$88*((IF(SUM($D9:$DS9)=0,0,IF(SUM($D12:$DS12)=0,1,'Вводные'!$B$63)))*DJ11+(1-(IF(SUM($D9:$DS9)=0,0,IF(SUM($D12:$DS12)=0,1,'Вводные'!$B$63))))*DJ13)</x:f>
        <x:v>0</x:v>
      </x:c>
      <x:c r="DK20" s="107" t="n">
        <x:f>'Вводные'!$N$88*((IF(SUM($D9:$DS9)=0,0,IF(SUM($D12:$DS12)=0,1,'Вводные'!$B$63)))*DK11+(1-(IF(SUM($D9:$DS9)=0,0,IF(SUM($D12:$DS12)=0,1,'Вводные'!$B$63))))*DK13)</x:f>
        <x:v>0</x:v>
      </x:c>
      <x:c r="DL20" s="107" t="n">
        <x:f>'Вводные'!$N$88*((IF(SUM($D9:$DS9)=0,0,IF(SUM($D12:$DS12)=0,1,'Вводные'!$B$63)))*DL11+(1-(IF(SUM($D9:$DS9)=0,0,IF(SUM($D12:$DS12)=0,1,'Вводные'!$B$63))))*DL13)</x:f>
        <x:v>0</x:v>
      </x:c>
      <x:c r="DM20" s="107" t="n">
        <x:f>'Вводные'!$N$88*((IF(SUM($D9:$DS9)=0,0,IF(SUM($D12:$DS12)=0,1,'Вводные'!$B$63)))*DM11+(1-(IF(SUM($D9:$DS9)=0,0,IF(SUM($D12:$DS12)=0,1,'Вводные'!$B$63))))*DM13)</x:f>
        <x:v>0</x:v>
      </x:c>
      <x:c r="DN20" s="107" t="n">
        <x:f>'Вводные'!$N$88*((IF(SUM($D9:$DS9)=0,0,IF(SUM($D12:$DS12)=0,1,'Вводные'!$B$63)))*DN11+(1-(IF(SUM($D9:$DS9)=0,0,IF(SUM($D12:$DS12)=0,1,'Вводные'!$B$63))))*DN13)</x:f>
        <x:v>0</x:v>
      </x:c>
      <x:c r="DO20" s="107" t="n">
        <x:f>'Вводные'!$N$88*((IF(SUM($D9:$DS9)=0,0,IF(SUM($D12:$DS12)=0,1,'Вводные'!$B$63)))*DO11+(1-(IF(SUM($D9:$DS9)=0,0,IF(SUM($D12:$DS12)=0,1,'Вводные'!$B$63))))*DO13)</x:f>
        <x:v>0</x:v>
      </x:c>
      <x:c r="DP20" s="107" t="n">
        <x:f>'Вводные'!$N$88*((IF(SUM($D9:$DS9)=0,0,IF(SUM($D12:$DS12)=0,1,'Вводные'!$B$63)))*DP11+(1-(IF(SUM($D9:$DS9)=0,0,IF(SUM($D12:$DS12)=0,1,'Вводные'!$B$63))))*DP13)</x:f>
        <x:v>0</x:v>
      </x:c>
      <x:c r="DQ20" s="107" t="n">
        <x:f>'Вводные'!$N$88*((IF(SUM($D9:$DS9)=0,0,IF(SUM($D12:$DS12)=0,1,'Вводные'!$B$63)))*DQ11+(1-(IF(SUM($D9:$DS9)=0,0,IF(SUM($D12:$DS12)=0,1,'Вводные'!$B$63))))*DQ13)</x:f>
        <x:v>0</x:v>
      </x:c>
      <x:c r="DR20" s="107" t="n">
        <x:f>'Вводные'!$N$88*((IF(SUM($D9:$DS9)=0,0,IF(SUM($D12:$DS12)=0,1,'Вводные'!$B$63)))*DR11+(1-(IF(SUM($D9:$DS9)=0,0,IF(SUM($D12:$DS12)=0,1,'Вводные'!$B$63))))*DR13)</x:f>
        <x:v>0</x:v>
      </x:c>
      <x:c r="DS20" s="107" t="n">
        <x:f>'Вводные'!$N$88*((IF(SUM($D9:$DS9)=0,0,IF(SUM($D12:$DS12)=0,1,'Вводные'!$B$63)))*DS11+(1-(IF(SUM($D9:$DS9)=0,0,IF(SUM($D12:$DS12)=0,1,'Вводные'!$B$63))))*DS13)</x:f>
        <x:v>0</x:v>
      </x:c>
    </x:row>
    <x:row r="21">
      <x:c r="A21" t="str">
        <x:v>Паркинг — цена</x:v>
      </x:c>
      <x:c r="B21" t="n">
        <x:f>IFERROR(B22*1000/B20,0)</x:f>
        <x:v>6184.425779082888</x:v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5000</x:v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5074.999999999999</x:v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5151.124999999998</x:v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5228.391874999998</x:v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5306.8177531249985</x:v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5386.420019421873</x:v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5467.2163197131995</x:v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5549.224564508898</x:v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5632.462932976531</x:v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5716.949876971178</x:v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5802.704125125745</x:v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5889.744687002631</x:v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5978.0908573076695</x:v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6067.762220167284</x:v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6158.778653469792</x:v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6251.160333271839</x:v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6344.927738270916</x:v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6440.101654344979</x:v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6536.703179160153</x:v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6634.753726847554</x:v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6734.275032750267</x:v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6835.289158241521</x:v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6937.818495615143</x:v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7041.885773049369</x:v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7147.514059645109</x:v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7165.3828447942215</x:v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7183.296301906206</x:v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7201.254542660971</x:v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7219.2576790176245</x:v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7237.305823215168</x:v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22">
      <x:c r="A22" t="str">
        <x:v>Паркинг — выручка</x:v>
      </x:c>
      <x:c r="B22" t="n">
        <x:f>SUM(D22:DS22)</x:f>
        <x:v>562.7827458965429</x:v>
      </x:c>
      <x:c r="C22" t="str">
        <x:v>млн ₽</x:v>
      </x:c>
      <x:c r="D22" s="107" t="n">
        <x:f>D20*D21/1000</x:f>
        <x:v>0</x:v>
      </x:c>
      <x:c r="E22" s="107" t="n">
        <x:f>E20*E21/1000</x:f>
        <x:v>0</x:v>
      </x:c>
      <x:c r="F22" s="107" t="n">
        <x:f>F20*F21/1000</x:f>
        <x:v>0</x:v>
      </x:c>
      <x:c r="G22" s="107" t="n">
        <x:f>G20*G21/1000</x:f>
        <x:v>0</x:v>
      </x:c>
      <x:c r="H22" s="107" t="n">
        <x:f>H20*H21/1000</x:f>
        <x:v>0</x:v>
      </x:c>
      <x:c r="I22" s="107" t="n">
        <x:f>I20*I21/1000</x:f>
        <x:v>0</x:v>
      </x:c>
      <x:c r="J22" s="107" t="n">
        <x:f>J20*J21/1000</x:f>
        <x:v>0</x:v>
      </x:c>
      <x:c r="K22" s="107" t="n">
        <x:f>K20*K21/1000</x:f>
        <x:v>0</x:v>
      </x:c>
      <x:c r="L22" s="107" t="n">
        <x:f>L20*L21/1000</x:f>
        <x:v>0</x:v>
      </x:c>
      <x:c r="M22" s="107" t="n">
        <x:f>M20*M21/1000</x:f>
        <x:v>0</x:v>
      </x:c>
      <x:c r="N22" s="107" t="n">
        <x:f>N20*N21/1000</x:f>
        <x:v>0</x:v>
      </x:c>
      <x:c r="O22" s="107" t="n">
        <x:f>O20*O21/1000</x:f>
        <x:v>0</x:v>
      </x:c>
      <x:c r="P22" s="107" t="n">
        <x:f>P20*P21/1000</x:f>
        <x:v>0</x:v>
      </x:c>
      <x:c r="Q22" s="107" t="n">
        <x:f>Q20*Q21/1000</x:f>
        <x:v>0</x:v>
      </x:c>
      <x:c r="R22" s="107" t="n">
        <x:f>R20*R21/1000</x:f>
        <x:v>0</x:v>
      </x:c>
      <x:c r="S22" s="107" t="n">
        <x:f>S20*S21/1000</x:f>
        <x:v>0</x:v>
      </x:c>
      <x:c r="T22" s="107" t="n">
        <x:f>T20*T21/1000</x:f>
        <x:v>0</x:v>
      </x:c>
      <x:c r="U22" s="107" t="n">
        <x:f>U20*U21/1000</x:f>
        <x:v>0</x:v>
      </x:c>
      <x:c r="V22" s="107" t="n">
        <x:f>V20*V21/1000</x:f>
        <x:v>13.001155998711255</x:v>
      </x:c>
      <x:c r="W22" s="107" t="n">
        <x:f>W20*W21/1000</x:f>
        <x:v>13.32813507207884</x:v>
      </x:c>
      <x:c r="X22" s="107" t="n">
        <x:f>X20*X21/1000</x:f>
        <x:v>16.074514904872494</x:v>
      </x:c>
      <x:c r="Y22" s="107" t="n">
        <x:f>Y20*Y21/1000</x:f>
        <x:v>16.47878895473004</x:v>
      </x:c>
      <x:c r="Z22" s="107" t="n">
        <x:f>Z20*Z21/1000</x:f>
        <x:v>16.893230496941502</x:v>
      </x:c>
      <x:c r="AA22" s="107" t="n">
        <x:f>AA20*AA21/1000</x:f>
        <x:v>17.318095243939577</x:v>
      </x:c>
      <x:c r="AB22" s="107" t="n">
        <x:f>AB20*AB21/1000</x:f>
        <x:v>15.090598538425958</x:v>
      </x:c>
      <x:c r="AC22" s="107" t="n">
        <x:f>AC20*AC21/1000</x:f>
        <x:v>18.20014951960867</x:v>
      </x:c>
      <x:c r="AD22" s="107" t="n">
        <x:f>AD20*AD21/1000</x:f>
        <x:v>18.65788328002683</x:v>
      </x:c>
      <x:c r="AE22" s="107" t="n">
        <x:f>AE20*AE21/1000</x:f>
        <x:v>19.127129044519492</x:v>
      </x:c>
      <x:c r="AF22" s="107" t="n">
        <x:f>AF20*AF21/1000</x:f>
        <x:v>16.66694988899079</x:v>
      </x:c>
      <x:c r="AG22" s="107" t="n">
        <x:f>AG20*AG21/1000</x:f>
        <x:v>17.0861236786989</x:v>
      </x:c>
      <x:c r="AH22" s="107" t="n">
        <x:f>AH20*AH21/1000</x:f>
        <x:v>17.515839689218176</x:v>
      </x:c>
      <x:c r="AI22" s="107" t="n">
        <x:f>AI20*AI21/1000</x:f>
        <x:v>17.956363057402008</x:v>
      </x:c>
      <x:c r="AJ22" s="107" t="n">
        <x:f>AJ20*AJ21/1000</x:f>
        <x:v>21.656430103877263</x:v>
      </x:c>
      <x:c r="AK22" s="107" t="n">
        <x:f>AK20*AK21/1000</x:f>
        <x:v>22.201089320989773</x:v>
      </x:c>
      <x:c r="AL22" s="107" t="n">
        <x:f>AL20*AL21/1000</x:f>
        <x:v>22.759446717412665</x:v>
      </x:c>
      <x:c r="AM22" s="107" t="n">
        <x:f>AM20*AM21/1000</x:f>
        <x:v>23.331846802355592</x:v>
      </x:c>
      <x:c r="AN22" s="107" t="n">
        <x:f>AN20*AN21/1000</x:f>
        <x:v>20.330846337019604</x:v>
      </x:c>
      <x:c r="AO22" s="107" t="n">
        <x:f>AO20*AO21/1000</x:f>
        <x:v>24.520196614583114</x:v>
      </x:c>
      <x:c r="AP22" s="107" t="n">
        <x:f>AP20*AP21/1000</x:f>
        <x:v>25.13687955943988</x:v>
      </x:c>
      <x:c r="AQ22" s="107" t="n">
        <x:f>AQ20*AQ21/1000</x:f>
        <x:v>25.769072080359795</x:v>
      </x:c>
      <x:c r="AR22" s="107" t="n">
        <x:f>AR20*AR21/1000</x:f>
        <x:v>22.454589606703713</x:v>
      </x:c>
      <x:c r="AS22" s="107" t="n">
        <x:f>AS20*AS21/1000</x:f>
        <x:v>23.019322535312305</x:v>
      </x:c>
      <x:c r="AT22" s="107" t="n">
        <x:f>AT20*AT21/1000</x:f>
        <x:v>14.174654885105953</x:v>
      </x:c>
      <x:c r="AU22" s="107" t="n">
        <x:f>AU20*AU21/1000</x:f>
        <x:v>14.352192437541897</x:v>
      </x:c>
      <x:c r="AV22" s="107" t="n">
        <x:f>AV20*AV21/1000</x:f>
        <x:v>17.09641605626131</x:v>
      </x:c>
      <x:c r="AW22" s="107" t="n">
        <x:f>AW20*AW21/1000</x:f>
        <x:v>17.310548667365975</x:v>
      </x:c>
      <x:c r="AX22" s="107" t="n">
        <x:f>AX20*AX21/1000</x:f>
        <x:v>17.527363289424738</x:v>
      </x:c>
      <x:c r="AY22" s="107" t="n">
        <x:f>AY20*AY21/1000</x:f>
        <x:v>17.746893514624784</x:v>
      </x:c>
      <x:c r="AZ22" s="107" t="n">
        <x:f>AZ20*AZ21/1000</x:f>
        <x:v>0</x:v>
      </x:c>
      <x:c r="BA22" s="107" t="n">
        <x:f>BA20*BA21/1000</x:f>
        <x:v>0</x:v>
      </x:c>
      <x:c r="BB22" s="107" t="n">
        <x:f>BB20*BB21/1000</x:f>
        <x:v>0</x:v>
      </x:c>
      <x:c r="BC22" s="107" t="n">
        <x:f>BC20*BC21/1000</x:f>
        <x:v>0</x:v>
      </x:c>
      <x:c r="BD22" s="107" t="n">
        <x:f>BD20*BD21/1000</x:f>
        <x:v>0</x:v>
      </x:c>
      <x:c r="BE22" s="107" t="n">
        <x:f>BE20*BE21/1000</x:f>
        <x:v>0</x:v>
      </x:c>
      <x:c r="BF22" s="107" t="n">
        <x:f>BF20*BF21/1000</x:f>
        <x:v>0</x:v>
      </x:c>
      <x:c r="BG22" s="107" t="n">
        <x:f>BG20*BG21/1000</x:f>
        <x:v>0</x:v>
      </x:c>
      <x:c r="BH22" s="107" t="n">
        <x:f>BH20*BH21/1000</x:f>
        <x:v>0</x:v>
      </x:c>
      <x:c r="BI22" s="107" t="n">
        <x:f>BI20*BI21/1000</x:f>
        <x:v>0</x:v>
      </x:c>
      <x:c r="BJ22" s="107" t="n">
        <x:f>BJ20*BJ21/1000</x:f>
        <x:v>0</x:v>
      </x:c>
      <x:c r="BK22" s="107" t="n">
        <x:f>BK20*BK21/1000</x:f>
        <x:v>0</x:v>
      </x:c>
      <x:c r="BL22" s="107" t="n">
        <x:f>BL20*BL21/1000</x:f>
        <x:v>0</x:v>
      </x:c>
      <x:c r="BM22" s="107" t="n">
        <x:f>BM20*BM21/1000</x:f>
        <x:v>0</x:v>
      </x:c>
      <x:c r="BN22" s="107" t="n">
        <x:f>BN20*BN21/1000</x:f>
        <x:v>0</x:v>
      </x:c>
      <x:c r="BO22" s="107" t="n">
        <x:f>BO20*BO21/1000</x:f>
        <x:v>0</x:v>
      </x:c>
      <x:c r="BP22" s="107" t="n">
        <x:f>BP20*BP21/1000</x:f>
        <x:v>0</x:v>
      </x:c>
      <x:c r="BQ22" s="107" t="n">
        <x:f>BQ20*BQ21/1000</x:f>
        <x:v>0</x:v>
      </x:c>
      <x:c r="BR22" s="107" t="n">
        <x:f>BR20*BR21/1000</x:f>
        <x:v>0</x:v>
      </x:c>
      <x:c r="BS22" s="107" t="n">
        <x:f>BS20*BS21/1000</x:f>
        <x:v>0</x:v>
      </x:c>
      <x:c r="BT22" s="107" t="n">
        <x:f>BT20*BT21/1000</x:f>
        <x:v>0</x:v>
      </x:c>
      <x:c r="BU22" s="107" t="n">
        <x:f>BU20*BU21/1000</x:f>
        <x:v>0</x:v>
      </x:c>
      <x:c r="BV22" s="107" t="n">
        <x:f>BV20*BV21/1000</x:f>
        <x:v>0</x:v>
      </x:c>
      <x:c r="BW22" s="107" t="n">
        <x:f>BW20*BW21/1000</x:f>
        <x:v>0</x:v>
      </x:c>
      <x:c r="BX22" s="107" t="n">
        <x:f>BX20*BX21/1000</x:f>
        <x:v>0</x:v>
      </x:c>
      <x:c r="BY22" s="107" t="n">
        <x:f>BY20*BY21/1000</x:f>
        <x:v>0</x:v>
      </x:c>
      <x:c r="BZ22" s="107" t="n">
        <x:f>BZ20*BZ21/1000</x:f>
        <x:v>0</x:v>
      </x:c>
      <x:c r="CA22" s="107" t="n">
        <x:f>CA20*CA21/1000</x:f>
        <x:v>0</x:v>
      </x:c>
      <x:c r="CB22" s="107" t="n">
        <x:f>CB20*CB21/1000</x:f>
        <x:v>0</x:v>
      </x:c>
      <x:c r="CC22" s="107" t="n">
        <x:f>CC20*CC21/1000</x:f>
        <x:v>0</x:v>
      </x:c>
      <x:c r="CD22" s="107" t="n">
        <x:f>CD20*CD21/1000</x:f>
        <x:v>0</x:v>
      </x:c>
      <x:c r="CE22" s="107" t="n">
        <x:f>CE20*CE21/1000</x:f>
        <x:v>0</x:v>
      </x:c>
      <x:c r="CF22" s="107" t="n">
        <x:f>CF20*CF21/1000</x:f>
        <x:v>0</x:v>
      </x:c>
      <x:c r="CG22" s="107" t="n">
        <x:f>CG20*CG21/1000</x:f>
        <x:v>0</x:v>
      </x:c>
      <x:c r="CH22" s="107" t="n">
        <x:f>CH20*CH21/1000</x:f>
        <x:v>0</x:v>
      </x:c>
      <x:c r="CI22" s="107" t="n">
        <x:f>CI20*CI21/1000</x:f>
        <x:v>0</x:v>
      </x:c>
      <x:c r="CJ22" s="107" t="n">
        <x:f>CJ20*CJ21/1000</x:f>
        <x:v>0</x:v>
      </x:c>
      <x:c r="CK22" s="107" t="n">
        <x:f>CK20*CK21/1000</x:f>
        <x:v>0</x:v>
      </x:c>
      <x:c r="CL22" s="107" t="n">
        <x:f>CL20*CL21/1000</x:f>
        <x:v>0</x:v>
      </x:c>
      <x:c r="CM22" s="107" t="n">
        <x:f>CM20*CM21/1000</x:f>
        <x:v>0</x:v>
      </x:c>
      <x:c r="CN22" s="107" t="n">
        <x:f>CN20*CN21/1000</x:f>
        <x:v>0</x:v>
      </x:c>
      <x:c r="CO22" s="107" t="n">
        <x:f>CO20*CO21/1000</x:f>
        <x:v>0</x:v>
      </x:c>
      <x:c r="CP22" s="107" t="n">
        <x:f>CP20*CP21/1000</x:f>
        <x:v>0</x:v>
      </x:c>
      <x:c r="CQ22" s="107" t="n">
        <x:f>CQ20*CQ21/1000</x:f>
        <x:v>0</x:v>
      </x:c>
      <x:c r="CR22" s="107" t="n">
        <x:f>CR20*CR21/1000</x:f>
        <x:v>0</x:v>
      </x:c>
      <x:c r="CS22" s="107" t="n">
        <x:f>CS20*CS21/1000</x:f>
        <x:v>0</x:v>
      </x:c>
      <x:c r="CT22" s="107" t="n">
        <x:f>CT20*CT21/1000</x:f>
        <x:v>0</x:v>
      </x:c>
      <x:c r="CU22" s="107" t="n">
        <x:f>CU20*CU21/1000</x:f>
        <x:v>0</x:v>
      </x:c>
      <x:c r="CV22" s="107" t="n">
        <x:f>CV20*CV21/1000</x:f>
        <x:v>0</x:v>
      </x:c>
      <x:c r="CW22" s="107" t="n">
        <x:f>CW20*CW21/1000</x:f>
        <x:v>0</x:v>
      </x:c>
      <x:c r="CX22" s="107" t="n">
        <x:f>CX20*CX21/1000</x:f>
        <x:v>0</x:v>
      </x:c>
      <x:c r="CY22" s="107" t="n">
        <x:f>CY20*CY21/1000</x:f>
        <x:v>0</x:v>
      </x:c>
      <x:c r="CZ22" s="107" t="n">
        <x:f>CZ20*CZ21/1000</x:f>
        <x:v>0</x:v>
      </x:c>
      <x:c r="DA22" s="107" t="n">
        <x:f>DA20*DA21/1000</x:f>
        <x:v>0</x:v>
      </x:c>
      <x:c r="DB22" s="107" t="n">
        <x:f>DB20*DB21/1000</x:f>
        <x:v>0</x:v>
      </x:c>
      <x:c r="DC22" s="107" t="n">
        <x:f>DC20*DC21/1000</x:f>
        <x:v>0</x:v>
      </x:c>
      <x:c r="DD22" s="107" t="n">
        <x:f>DD20*DD21/1000</x:f>
        <x:v>0</x:v>
      </x:c>
      <x:c r="DE22" s="107" t="n">
        <x:f>DE20*DE21/1000</x:f>
        <x:v>0</x:v>
      </x:c>
      <x:c r="DF22" s="107" t="n">
        <x:f>DF20*DF21/1000</x:f>
        <x:v>0</x:v>
      </x:c>
      <x:c r="DG22" s="107" t="n">
        <x:f>DG20*DG21/1000</x:f>
        <x:v>0</x:v>
      </x:c>
      <x:c r="DH22" s="107" t="n">
        <x:f>DH20*DH21/1000</x:f>
        <x:v>0</x:v>
      </x:c>
      <x:c r="DI22" s="107" t="n">
        <x:f>DI20*DI21/1000</x:f>
        <x:v>0</x:v>
      </x:c>
      <x:c r="DJ22" s="107" t="n">
        <x:f>DJ20*DJ21/1000</x:f>
        <x:v>0</x:v>
      </x:c>
      <x:c r="DK22" s="107" t="n">
        <x:f>DK20*DK21/1000</x:f>
        <x:v>0</x:v>
      </x:c>
      <x:c r="DL22" s="107" t="n">
        <x:f>DL20*DL21/1000</x:f>
        <x:v>0</x:v>
      </x:c>
      <x:c r="DM22" s="107" t="n">
        <x:f>DM20*DM21/1000</x:f>
        <x:v>0</x:v>
      </x:c>
      <x:c r="DN22" s="107" t="n">
        <x:f>DN20*DN21/1000</x:f>
        <x:v>0</x:v>
      </x:c>
      <x:c r="DO22" s="107" t="n">
        <x:f>DO20*DO21/1000</x:f>
        <x:v>0</x:v>
      </x:c>
      <x:c r="DP22" s="107" t="n">
        <x:f>DP20*DP21/1000</x:f>
        <x:v>0</x:v>
      </x:c>
      <x:c r="DQ22" s="107" t="n">
        <x:f>DQ20*DQ21/1000</x:f>
        <x:v>0</x:v>
      </x:c>
      <x:c r="DR22" s="107" t="n">
        <x:f>DR20*DR21/1000</x:f>
        <x:v>0</x:v>
      </x:c>
      <x:c r="DS22" s="107" t="n">
        <x:f>DS20*DS21/1000</x:f>
        <x:v>0</x:v>
      </x:c>
    </x:row>
    <x:row r="23">
      <x:c r="A23" t="str">
        <x:v>Кладовые — объём</x:v>
      </x:c>
      <x:c r="B23" t="n">
        <x:f>SUM(D23:DS23)</x:f>
        <x:v>0</x:v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  <x:v>0</x:v>
      </x:c>
      <x:c r="E23" s="107" t="n">
        <x:f>'Вводные'!$O$88*((IF(SUM($D9:$DS9)=0,0,IF(SUM($D12:$DS12)=0,1,'Вводные'!$B$63)))*E11+(1-(IF(SUM($D9:$DS9)=0,0,IF(SUM($D12:$DS12)=0,1,'Вводные'!$B$63))))*E13)</x:f>
        <x:v>0</x:v>
      </x:c>
      <x:c r="F23" s="107" t="n">
        <x:f>'Вводные'!$O$88*((IF(SUM($D9:$DS9)=0,0,IF(SUM($D12:$DS12)=0,1,'Вводные'!$B$63)))*F11+(1-(IF(SUM($D9:$DS9)=0,0,IF(SUM($D12:$DS12)=0,1,'Вводные'!$B$63))))*F13)</x:f>
        <x:v>0</x:v>
      </x:c>
      <x:c r="G23" s="107" t="n">
        <x:f>'Вводные'!$O$88*((IF(SUM($D9:$DS9)=0,0,IF(SUM($D12:$DS12)=0,1,'Вводные'!$B$63)))*G11+(1-(IF(SUM($D9:$DS9)=0,0,IF(SUM($D12:$DS12)=0,1,'Вводные'!$B$63))))*G13)</x:f>
        <x:v>0</x:v>
      </x:c>
      <x:c r="H23" s="107" t="n">
        <x:f>'Вводные'!$O$88*((IF(SUM($D9:$DS9)=0,0,IF(SUM($D12:$DS12)=0,1,'Вводные'!$B$63)))*H11+(1-(IF(SUM($D9:$DS9)=0,0,IF(SUM($D12:$DS12)=0,1,'Вводные'!$B$63))))*H13)</x:f>
        <x:v>0</x:v>
      </x:c>
      <x:c r="I23" s="107" t="n">
        <x:f>'Вводные'!$O$88*((IF(SUM($D9:$DS9)=0,0,IF(SUM($D12:$DS12)=0,1,'Вводные'!$B$63)))*I11+(1-(IF(SUM($D9:$DS9)=0,0,IF(SUM($D12:$DS12)=0,1,'Вводные'!$B$63))))*I13)</x:f>
        <x:v>0</x:v>
      </x:c>
      <x:c r="J23" s="107" t="n">
        <x:f>'Вводные'!$O$88*((IF(SUM($D9:$DS9)=0,0,IF(SUM($D12:$DS12)=0,1,'Вводные'!$B$63)))*J11+(1-(IF(SUM($D9:$DS9)=0,0,IF(SUM($D12:$DS12)=0,1,'Вводные'!$B$63))))*J13)</x:f>
        <x:v>0</x:v>
      </x:c>
      <x:c r="K23" s="107" t="n">
        <x:f>'Вводные'!$O$88*((IF(SUM($D9:$DS9)=0,0,IF(SUM($D12:$DS12)=0,1,'Вводные'!$B$63)))*K11+(1-(IF(SUM($D9:$DS9)=0,0,IF(SUM($D12:$DS12)=0,1,'Вводные'!$B$63))))*K13)</x:f>
        <x:v>0</x:v>
      </x:c>
      <x:c r="L23" s="107" t="n">
        <x:f>'Вводные'!$O$88*((IF(SUM($D9:$DS9)=0,0,IF(SUM($D12:$DS12)=0,1,'Вводные'!$B$63)))*L11+(1-(IF(SUM($D9:$DS9)=0,0,IF(SUM($D12:$DS12)=0,1,'Вводные'!$B$63))))*L13)</x:f>
        <x:v>0</x:v>
      </x:c>
      <x:c r="M23" s="107" t="n">
        <x:f>'Вводные'!$O$88*((IF(SUM($D9:$DS9)=0,0,IF(SUM($D12:$DS12)=0,1,'Вводные'!$B$63)))*M11+(1-(IF(SUM($D9:$DS9)=0,0,IF(SUM($D12:$DS12)=0,1,'Вводные'!$B$63))))*M13)</x:f>
        <x:v>0</x:v>
      </x:c>
      <x:c r="N23" s="107" t="n">
        <x:f>'Вводные'!$O$88*((IF(SUM($D9:$DS9)=0,0,IF(SUM($D12:$DS12)=0,1,'Вводные'!$B$63)))*N11+(1-(IF(SUM($D9:$DS9)=0,0,IF(SUM($D12:$DS12)=0,1,'Вводные'!$B$63))))*N13)</x:f>
        <x:v>0</x:v>
      </x:c>
      <x:c r="O23" s="107" t="n">
        <x:f>'Вводные'!$O$88*((IF(SUM($D9:$DS9)=0,0,IF(SUM($D12:$DS12)=0,1,'Вводные'!$B$63)))*O11+(1-(IF(SUM($D9:$DS9)=0,0,IF(SUM($D12:$DS12)=0,1,'Вводные'!$B$63))))*O13)</x:f>
        <x:v>0</x:v>
      </x:c>
      <x:c r="P23" s="107" t="n">
        <x:f>'Вводные'!$O$88*((IF(SUM($D9:$DS9)=0,0,IF(SUM($D12:$DS12)=0,1,'Вводные'!$B$63)))*P11+(1-(IF(SUM($D9:$DS9)=0,0,IF(SUM($D12:$DS12)=0,1,'Вводные'!$B$63))))*P13)</x:f>
        <x:v>0</x:v>
      </x:c>
      <x:c r="Q23" s="107" t="n">
        <x:f>'Вводные'!$O$88*((IF(SUM($D9:$DS9)=0,0,IF(SUM($D12:$DS12)=0,1,'Вводные'!$B$63)))*Q11+(1-(IF(SUM($D9:$DS9)=0,0,IF(SUM($D12:$DS12)=0,1,'Вводные'!$B$63))))*Q13)</x:f>
        <x:v>0</x:v>
      </x:c>
      <x:c r="R23" s="107" t="n">
        <x:f>'Вводные'!$O$88*((IF(SUM($D9:$DS9)=0,0,IF(SUM($D12:$DS12)=0,1,'Вводные'!$B$63)))*R11+(1-(IF(SUM($D9:$DS9)=0,0,IF(SUM($D12:$DS12)=0,1,'Вводные'!$B$63))))*R13)</x:f>
        <x:v>0</x:v>
      </x:c>
      <x:c r="S23" s="107" t="n">
        <x:f>'Вводные'!$O$88*((IF(SUM($D9:$DS9)=0,0,IF(SUM($D12:$DS12)=0,1,'Вводные'!$B$63)))*S11+(1-(IF(SUM($D9:$DS9)=0,0,IF(SUM($D12:$DS12)=0,1,'Вводные'!$B$63))))*S13)</x:f>
        <x:v>0</x:v>
      </x:c>
      <x:c r="T23" s="107" t="n">
        <x:f>'Вводные'!$O$88*((IF(SUM($D9:$DS9)=0,0,IF(SUM($D12:$DS12)=0,1,'Вводные'!$B$63)))*T11+(1-(IF(SUM($D9:$DS9)=0,0,IF(SUM($D12:$DS12)=0,1,'Вводные'!$B$63))))*T13)</x:f>
        <x:v>0</x:v>
      </x:c>
      <x:c r="U23" s="107" t="n">
        <x:f>'Вводные'!$O$88*((IF(SUM($D9:$DS9)=0,0,IF(SUM($D12:$DS12)=0,1,'Вводные'!$B$63)))*U11+(1-(IF(SUM($D9:$DS9)=0,0,IF(SUM($D12:$DS12)=0,1,'Вводные'!$B$63))))*U13)</x:f>
        <x:v>0</x:v>
      </x:c>
      <x:c r="V23" s="107" t="n">
        <x:f>'Вводные'!$O$88*((IF(SUM($D9:$DS9)=0,0,IF(SUM($D12:$DS12)=0,1,'Вводные'!$B$63)))*V11+(1-(IF(SUM($D9:$DS9)=0,0,IF(SUM($D12:$DS12)=0,1,'Вводные'!$B$63))))*V13)</x:f>
        <x:v>0</x:v>
      </x:c>
      <x:c r="W23" s="107" t="n">
        <x:f>'Вводные'!$O$88*((IF(SUM($D9:$DS9)=0,0,IF(SUM($D12:$DS12)=0,1,'Вводные'!$B$63)))*W11+(1-(IF(SUM($D9:$DS9)=0,0,IF(SUM($D12:$DS12)=0,1,'Вводные'!$B$63))))*W13)</x:f>
        <x:v>0</x:v>
      </x:c>
      <x:c r="X23" s="107" t="n">
        <x:f>'Вводные'!$O$88*((IF(SUM($D9:$DS9)=0,0,IF(SUM($D12:$DS12)=0,1,'Вводные'!$B$63)))*X11+(1-(IF(SUM($D9:$DS9)=0,0,IF(SUM($D12:$DS12)=0,1,'Вводные'!$B$63))))*X13)</x:f>
        <x:v>0</x:v>
      </x:c>
      <x:c r="Y23" s="107" t="n">
        <x:f>'Вводные'!$O$88*((IF(SUM($D9:$DS9)=0,0,IF(SUM($D12:$DS12)=0,1,'Вводные'!$B$63)))*Y11+(1-(IF(SUM($D9:$DS9)=0,0,IF(SUM($D12:$DS12)=0,1,'Вводные'!$B$63))))*Y13)</x:f>
        <x:v>0</x:v>
      </x:c>
      <x:c r="Z23" s="107" t="n">
        <x:f>'Вводные'!$O$88*((IF(SUM($D9:$DS9)=0,0,IF(SUM($D12:$DS12)=0,1,'Вводные'!$B$63)))*Z11+(1-(IF(SUM($D9:$DS9)=0,0,IF(SUM($D12:$DS12)=0,1,'Вводные'!$B$63))))*Z13)</x:f>
        <x:v>0</x:v>
      </x:c>
      <x:c r="AA23" s="107" t="n">
        <x:f>'Вводные'!$O$88*((IF(SUM($D9:$DS9)=0,0,IF(SUM($D12:$DS12)=0,1,'Вводные'!$B$63)))*AA11+(1-(IF(SUM($D9:$DS9)=0,0,IF(SUM($D12:$DS12)=0,1,'Вводные'!$B$63))))*AA13)</x:f>
        <x:v>0</x:v>
      </x:c>
      <x:c r="AB23" s="107" t="n">
        <x:f>'Вводные'!$O$88*((IF(SUM($D9:$DS9)=0,0,IF(SUM($D12:$DS12)=0,1,'Вводные'!$B$63)))*AB11+(1-(IF(SUM($D9:$DS9)=0,0,IF(SUM($D12:$DS12)=0,1,'Вводные'!$B$63))))*AB13)</x:f>
        <x:v>0</x:v>
      </x:c>
      <x:c r="AC23" s="107" t="n">
        <x:f>'Вводные'!$O$88*((IF(SUM($D9:$DS9)=0,0,IF(SUM($D12:$DS12)=0,1,'Вводные'!$B$63)))*AC11+(1-(IF(SUM($D9:$DS9)=0,0,IF(SUM($D12:$DS12)=0,1,'Вводные'!$B$63))))*AC13)</x:f>
        <x:v>0</x:v>
      </x:c>
      <x:c r="AD23" s="107" t="n">
        <x:f>'Вводные'!$O$88*((IF(SUM($D9:$DS9)=0,0,IF(SUM($D12:$DS12)=0,1,'Вводные'!$B$63)))*AD11+(1-(IF(SUM($D9:$DS9)=0,0,IF(SUM($D12:$DS12)=0,1,'Вводные'!$B$63))))*AD13)</x:f>
        <x:v>0</x:v>
      </x:c>
      <x:c r="AE23" s="107" t="n">
        <x:f>'Вводные'!$O$88*((IF(SUM($D9:$DS9)=0,0,IF(SUM($D12:$DS12)=0,1,'Вводные'!$B$63)))*AE11+(1-(IF(SUM($D9:$DS9)=0,0,IF(SUM($D12:$DS12)=0,1,'Вводные'!$B$63))))*AE13)</x:f>
        <x:v>0</x:v>
      </x:c>
      <x:c r="AF23" s="107" t="n">
        <x:f>'Вводные'!$O$88*((IF(SUM($D9:$DS9)=0,0,IF(SUM($D12:$DS12)=0,1,'Вводные'!$B$63)))*AF11+(1-(IF(SUM($D9:$DS9)=0,0,IF(SUM($D12:$DS12)=0,1,'Вводные'!$B$63))))*AF13)</x:f>
        <x:v>0</x:v>
      </x:c>
      <x:c r="AG23" s="107" t="n">
        <x:f>'Вводные'!$O$88*((IF(SUM($D9:$DS9)=0,0,IF(SUM($D12:$DS12)=0,1,'Вводные'!$B$63)))*AG11+(1-(IF(SUM($D9:$DS9)=0,0,IF(SUM($D12:$DS12)=0,1,'Вводные'!$B$63))))*AG13)</x:f>
        <x:v>0</x:v>
      </x:c>
      <x:c r="AH23" s="107" t="n">
        <x:f>'Вводные'!$O$88*((IF(SUM($D9:$DS9)=0,0,IF(SUM($D12:$DS12)=0,1,'Вводные'!$B$63)))*AH11+(1-(IF(SUM($D9:$DS9)=0,0,IF(SUM($D12:$DS12)=0,1,'Вводные'!$B$63))))*AH13)</x:f>
        <x:v>0</x:v>
      </x:c>
      <x:c r="AI23" s="107" t="n">
        <x:f>'Вводные'!$O$88*((IF(SUM($D9:$DS9)=0,0,IF(SUM($D12:$DS12)=0,1,'Вводные'!$B$63)))*AI11+(1-(IF(SUM($D9:$DS9)=0,0,IF(SUM($D12:$DS12)=0,1,'Вводные'!$B$63))))*AI13)</x:f>
        <x:v>0</x:v>
      </x:c>
      <x:c r="AJ23" s="107" t="n">
        <x:f>'Вводные'!$O$88*((IF(SUM($D9:$DS9)=0,0,IF(SUM($D12:$DS12)=0,1,'Вводные'!$B$63)))*AJ11+(1-(IF(SUM($D9:$DS9)=0,0,IF(SUM($D12:$DS12)=0,1,'Вводные'!$B$63))))*AJ13)</x:f>
        <x:v>0</x:v>
      </x:c>
      <x:c r="AK23" s="107" t="n">
        <x:f>'Вводные'!$O$88*((IF(SUM($D9:$DS9)=0,0,IF(SUM($D12:$DS12)=0,1,'Вводные'!$B$63)))*AK11+(1-(IF(SUM($D9:$DS9)=0,0,IF(SUM($D12:$DS12)=0,1,'Вводные'!$B$63))))*AK13)</x:f>
        <x:v>0</x:v>
      </x:c>
      <x:c r="AL23" s="107" t="n">
        <x:f>'Вводные'!$O$88*((IF(SUM($D9:$DS9)=0,0,IF(SUM($D12:$DS12)=0,1,'Вводные'!$B$63)))*AL11+(1-(IF(SUM($D9:$DS9)=0,0,IF(SUM($D12:$DS12)=0,1,'Вводные'!$B$63))))*AL13)</x:f>
        <x:v>0</x:v>
      </x:c>
      <x:c r="AM23" s="107" t="n">
        <x:f>'Вводные'!$O$88*((IF(SUM($D9:$DS9)=0,0,IF(SUM($D12:$DS12)=0,1,'Вводные'!$B$63)))*AM11+(1-(IF(SUM($D9:$DS9)=0,0,IF(SUM($D12:$DS12)=0,1,'Вводные'!$B$63))))*AM13)</x:f>
        <x:v>0</x:v>
      </x:c>
      <x:c r="AN23" s="107" t="n">
        <x:f>'Вводные'!$O$88*((IF(SUM($D9:$DS9)=0,0,IF(SUM($D12:$DS12)=0,1,'Вводные'!$B$63)))*AN11+(1-(IF(SUM($D9:$DS9)=0,0,IF(SUM($D12:$DS12)=0,1,'Вводные'!$B$63))))*AN13)</x:f>
        <x:v>0</x:v>
      </x:c>
      <x:c r="AO23" s="107" t="n">
        <x:f>'Вводные'!$O$88*((IF(SUM($D9:$DS9)=0,0,IF(SUM($D12:$DS12)=0,1,'Вводные'!$B$63)))*AO11+(1-(IF(SUM($D9:$DS9)=0,0,IF(SUM($D12:$DS12)=0,1,'Вводные'!$B$63))))*AO13)</x:f>
        <x:v>0</x:v>
      </x:c>
      <x:c r="AP23" s="107" t="n">
        <x:f>'Вводные'!$O$88*((IF(SUM($D9:$DS9)=0,0,IF(SUM($D12:$DS12)=0,1,'Вводные'!$B$63)))*AP11+(1-(IF(SUM($D9:$DS9)=0,0,IF(SUM($D12:$DS12)=0,1,'Вводные'!$B$63))))*AP13)</x:f>
        <x:v>0</x:v>
      </x:c>
      <x:c r="AQ23" s="107" t="n">
        <x:f>'Вводные'!$O$88*((IF(SUM($D9:$DS9)=0,0,IF(SUM($D12:$DS12)=0,1,'Вводные'!$B$63)))*AQ11+(1-(IF(SUM($D9:$DS9)=0,0,IF(SUM($D12:$DS12)=0,1,'Вводные'!$B$63))))*AQ13)</x:f>
        <x:v>0</x:v>
      </x:c>
      <x:c r="AR23" s="107" t="n">
        <x:f>'Вводные'!$O$88*((IF(SUM($D9:$DS9)=0,0,IF(SUM($D12:$DS12)=0,1,'Вводные'!$B$63)))*AR11+(1-(IF(SUM($D9:$DS9)=0,0,IF(SUM($D12:$DS12)=0,1,'Вводные'!$B$63))))*AR13)</x:f>
        <x:v>0</x:v>
      </x:c>
      <x:c r="AS23" s="107" t="n">
        <x:f>'Вводные'!$O$88*((IF(SUM($D9:$DS9)=0,0,IF(SUM($D12:$DS12)=0,1,'Вводные'!$B$63)))*AS11+(1-(IF(SUM($D9:$DS9)=0,0,IF(SUM($D12:$DS12)=0,1,'Вводные'!$B$63))))*AS13)</x:f>
        <x:v>0</x:v>
      </x:c>
      <x:c r="AT23" s="107" t="n">
        <x:f>'Вводные'!$O$88*((IF(SUM($D9:$DS9)=0,0,IF(SUM($D12:$DS12)=0,1,'Вводные'!$B$63)))*AT11+(1-(IF(SUM($D9:$DS9)=0,0,IF(SUM($D12:$DS12)=0,1,'Вводные'!$B$63))))*AT13)</x:f>
        <x:v>0</x:v>
      </x:c>
      <x:c r="AU23" s="107" t="n">
        <x:f>'Вводные'!$O$88*((IF(SUM($D9:$DS9)=0,0,IF(SUM($D12:$DS12)=0,1,'Вводные'!$B$63)))*AU11+(1-(IF(SUM($D9:$DS9)=0,0,IF(SUM($D12:$DS12)=0,1,'Вводные'!$B$63))))*AU13)</x:f>
        <x:v>0</x:v>
      </x:c>
      <x:c r="AV23" s="107" t="n">
        <x:f>'Вводные'!$O$88*((IF(SUM($D9:$DS9)=0,0,IF(SUM($D12:$DS12)=0,1,'Вводные'!$B$63)))*AV11+(1-(IF(SUM($D9:$DS9)=0,0,IF(SUM($D12:$DS12)=0,1,'Вводные'!$B$63))))*AV13)</x:f>
        <x:v>0</x:v>
      </x:c>
      <x:c r="AW23" s="107" t="n">
        <x:f>'Вводные'!$O$88*((IF(SUM($D9:$DS9)=0,0,IF(SUM($D12:$DS12)=0,1,'Вводные'!$B$63)))*AW11+(1-(IF(SUM($D9:$DS9)=0,0,IF(SUM($D12:$DS12)=0,1,'Вводные'!$B$63))))*AW13)</x:f>
        <x:v>0</x:v>
      </x:c>
      <x:c r="AX23" s="107" t="n">
        <x:f>'Вводные'!$O$88*((IF(SUM($D9:$DS9)=0,0,IF(SUM($D12:$DS12)=0,1,'Вводные'!$B$63)))*AX11+(1-(IF(SUM($D9:$DS9)=0,0,IF(SUM($D12:$DS12)=0,1,'Вводные'!$B$63))))*AX13)</x:f>
        <x:v>0</x:v>
      </x:c>
      <x:c r="AY23" s="107" t="n">
        <x:f>'Вводные'!$O$88*((IF(SUM($D9:$DS9)=0,0,IF(SUM($D12:$DS12)=0,1,'Вводные'!$B$63)))*AY11+(1-(IF(SUM($D9:$DS9)=0,0,IF(SUM($D12:$DS12)=0,1,'Вводные'!$B$63))))*AY13)</x:f>
        <x:v>0</x:v>
      </x:c>
      <x:c r="AZ23" s="107" t="n">
        <x:f>'Вводные'!$O$88*((IF(SUM($D9:$DS9)=0,0,IF(SUM($D12:$DS12)=0,1,'Вводные'!$B$63)))*AZ11+(1-(IF(SUM($D9:$DS9)=0,0,IF(SUM($D12:$DS12)=0,1,'Вводные'!$B$63))))*AZ13)</x:f>
        <x:v>0</x:v>
      </x:c>
      <x:c r="BA23" s="107" t="n">
        <x:f>'Вводные'!$O$88*((IF(SUM($D9:$DS9)=0,0,IF(SUM($D12:$DS12)=0,1,'Вводные'!$B$63)))*BA11+(1-(IF(SUM($D9:$DS9)=0,0,IF(SUM($D12:$DS12)=0,1,'Вводные'!$B$63))))*BA13)</x:f>
        <x:v>0</x:v>
      </x:c>
      <x:c r="BB23" s="107" t="n">
        <x:f>'Вводные'!$O$88*((IF(SUM($D9:$DS9)=0,0,IF(SUM($D12:$DS12)=0,1,'Вводные'!$B$63)))*BB11+(1-(IF(SUM($D9:$DS9)=0,0,IF(SUM($D12:$DS12)=0,1,'Вводные'!$B$63))))*BB13)</x:f>
        <x:v>0</x:v>
      </x:c>
      <x:c r="BC23" s="107" t="n">
        <x:f>'Вводные'!$O$88*((IF(SUM($D9:$DS9)=0,0,IF(SUM($D12:$DS12)=0,1,'Вводные'!$B$63)))*BC11+(1-(IF(SUM($D9:$DS9)=0,0,IF(SUM($D12:$DS12)=0,1,'Вводные'!$B$63))))*BC13)</x:f>
        <x:v>0</x:v>
      </x:c>
      <x:c r="BD23" s="107" t="n">
        <x:f>'Вводные'!$O$88*((IF(SUM($D9:$DS9)=0,0,IF(SUM($D12:$DS12)=0,1,'Вводные'!$B$63)))*BD11+(1-(IF(SUM($D9:$DS9)=0,0,IF(SUM($D12:$DS12)=0,1,'Вводные'!$B$63))))*BD13)</x:f>
        <x:v>0</x:v>
      </x:c>
      <x:c r="BE23" s="107" t="n">
        <x:f>'Вводные'!$O$88*((IF(SUM($D9:$DS9)=0,0,IF(SUM($D12:$DS12)=0,1,'Вводные'!$B$63)))*BE11+(1-(IF(SUM($D9:$DS9)=0,0,IF(SUM($D12:$DS12)=0,1,'Вводные'!$B$63))))*BE13)</x:f>
        <x:v>0</x:v>
      </x:c>
      <x:c r="BF23" s="107" t="n">
        <x:f>'Вводные'!$O$88*((IF(SUM($D9:$DS9)=0,0,IF(SUM($D12:$DS12)=0,1,'Вводные'!$B$63)))*BF11+(1-(IF(SUM($D9:$DS9)=0,0,IF(SUM($D12:$DS12)=0,1,'Вводные'!$B$63))))*BF13)</x:f>
        <x:v>0</x:v>
      </x:c>
      <x:c r="BG23" s="107" t="n">
        <x:f>'Вводные'!$O$88*((IF(SUM($D9:$DS9)=0,0,IF(SUM($D12:$DS12)=0,1,'Вводные'!$B$63)))*BG11+(1-(IF(SUM($D9:$DS9)=0,0,IF(SUM($D12:$DS12)=0,1,'Вводные'!$B$63))))*BG13)</x:f>
        <x:v>0</x:v>
      </x:c>
      <x:c r="BH23" s="107" t="n">
        <x:f>'Вводные'!$O$88*((IF(SUM($D9:$DS9)=0,0,IF(SUM($D12:$DS12)=0,1,'Вводные'!$B$63)))*BH11+(1-(IF(SUM($D9:$DS9)=0,0,IF(SUM($D12:$DS12)=0,1,'Вводные'!$B$63))))*BH13)</x:f>
        <x:v>0</x:v>
      </x:c>
      <x:c r="BI23" s="107" t="n">
        <x:f>'Вводные'!$O$88*((IF(SUM($D9:$DS9)=0,0,IF(SUM($D12:$DS12)=0,1,'Вводные'!$B$63)))*BI11+(1-(IF(SUM($D9:$DS9)=0,0,IF(SUM($D12:$DS12)=0,1,'Вводные'!$B$63))))*BI13)</x:f>
        <x:v>0</x:v>
      </x:c>
      <x:c r="BJ23" s="107" t="n">
        <x:f>'Вводные'!$O$88*((IF(SUM($D9:$DS9)=0,0,IF(SUM($D12:$DS12)=0,1,'Вводные'!$B$63)))*BJ11+(1-(IF(SUM($D9:$DS9)=0,0,IF(SUM($D12:$DS12)=0,1,'Вводные'!$B$63))))*BJ13)</x:f>
        <x:v>0</x:v>
      </x:c>
      <x:c r="BK23" s="107" t="n">
        <x:f>'Вводные'!$O$88*((IF(SUM($D9:$DS9)=0,0,IF(SUM($D12:$DS12)=0,1,'Вводные'!$B$63)))*BK11+(1-(IF(SUM($D9:$DS9)=0,0,IF(SUM($D12:$DS12)=0,1,'Вводные'!$B$63))))*BK13)</x:f>
        <x:v>0</x:v>
      </x:c>
      <x:c r="BL23" s="107" t="n">
        <x:f>'Вводные'!$O$88*((IF(SUM($D9:$DS9)=0,0,IF(SUM($D12:$DS12)=0,1,'Вводные'!$B$63)))*BL11+(1-(IF(SUM($D9:$DS9)=0,0,IF(SUM($D12:$DS12)=0,1,'Вводные'!$B$63))))*BL13)</x:f>
        <x:v>0</x:v>
      </x:c>
      <x:c r="BM23" s="107" t="n">
        <x:f>'Вводные'!$O$88*((IF(SUM($D9:$DS9)=0,0,IF(SUM($D12:$DS12)=0,1,'Вводные'!$B$63)))*BM11+(1-(IF(SUM($D9:$DS9)=0,0,IF(SUM($D12:$DS12)=0,1,'Вводные'!$B$63))))*BM13)</x:f>
        <x:v>0</x:v>
      </x:c>
      <x:c r="BN23" s="107" t="n">
        <x:f>'Вводные'!$O$88*((IF(SUM($D9:$DS9)=0,0,IF(SUM($D12:$DS12)=0,1,'Вводные'!$B$63)))*BN11+(1-(IF(SUM($D9:$DS9)=0,0,IF(SUM($D12:$DS12)=0,1,'Вводные'!$B$63))))*BN13)</x:f>
        <x:v>0</x:v>
      </x:c>
      <x:c r="BO23" s="107" t="n">
        <x:f>'Вводные'!$O$88*((IF(SUM($D9:$DS9)=0,0,IF(SUM($D12:$DS12)=0,1,'Вводные'!$B$63)))*BO11+(1-(IF(SUM($D9:$DS9)=0,0,IF(SUM($D12:$DS12)=0,1,'Вводные'!$B$63))))*BO13)</x:f>
        <x:v>0</x:v>
      </x:c>
      <x:c r="BP23" s="107" t="n">
        <x:f>'Вводные'!$O$88*((IF(SUM($D9:$DS9)=0,0,IF(SUM($D12:$DS12)=0,1,'Вводные'!$B$63)))*BP11+(1-(IF(SUM($D9:$DS9)=0,0,IF(SUM($D12:$DS12)=0,1,'Вводные'!$B$63))))*BP13)</x:f>
        <x:v>0</x:v>
      </x:c>
      <x:c r="BQ23" s="107" t="n">
        <x:f>'Вводные'!$O$88*((IF(SUM($D9:$DS9)=0,0,IF(SUM($D12:$DS12)=0,1,'Вводные'!$B$63)))*BQ11+(1-(IF(SUM($D9:$DS9)=0,0,IF(SUM($D12:$DS12)=0,1,'Вводные'!$B$63))))*BQ13)</x:f>
        <x:v>0</x:v>
      </x:c>
      <x:c r="BR23" s="107" t="n">
        <x:f>'Вводные'!$O$88*((IF(SUM($D9:$DS9)=0,0,IF(SUM($D12:$DS12)=0,1,'Вводные'!$B$63)))*BR11+(1-(IF(SUM($D9:$DS9)=0,0,IF(SUM($D12:$DS12)=0,1,'Вводные'!$B$63))))*BR13)</x:f>
        <x:v>0</x:v>
      </x:c>
      <x:c r="BS23" s="107" t="n">
        <x:f>'Вводные'!$O$88*((IF(SUM($D9:$DS9)=0,0,IF(SUM($D12:$DS12)=0,1,'Вводные'!$B$63)))*BS11+(1-(IF(SUM($D9:$DS9)=0,0,IF(SUM($D12:$DS12)=0,1,'Вводные'!$B$63))))*BS13)</x:f>
        <x:v>0</x:v>
      </x:c>
      <x:c r="BT23" s="107" t="n">
        <x:f>'Вводные'!$O$88*((IF(SUM($D9:$DS9)=0,0,IF(SUM($D12:$DS12)=0,1,'Вводные'!$B$63)))*BT11+(1-(IF(SUM($D9:$DS9)=0,0,IF(SUM($D12:$DS12)=0,1,'Вводные'!$B$63))))*BT13)</x:f>
        <x:v>0</x:v>
      </x:c>
      <x:c r="BU23" s="107" t="n">
        <x:f>'Вводные'!$O$88*((IF(SUM($D9:$DS9)=0,0,IF(SUM($D12:$DS12)=0,1,'Вводные'!$B$63)))*BU11+(1-(IF(SUM($D9:$DS9)=0,0,IF(SUM($D12:$DS12)=0,1,'Вводные'!$B$63))))*BU13)</x:f>
        <x:v>0</x:v>
      </x:c>
      <x:c r="BV23" s="107" t="n">
        <x:f>'Вводные'!$O$88*((IF(SUM($D9:$DS9)=0,0,IF(SUM($D12:$DS12)=0,1,'Вводные'!$B$63)))*BV11+(1-(IF(SUM($D9:$DS9)=0,0,IF(SUM($D12:$DS12)=0,1,'Вводные'!$B$63))))*BV13)</x:f>
        <x:v>0</x:v>
      </x:c>
      <x:c r="BW23" s="107" t="n">
        <x:f>'Вводные'!$O$88*((IF(SUM($D9:$DS9)=0,0,IF(SUM($D12:$DS12)=0,1,'Вводные'!$B$63)))*BW11+(1-(IF(SUM($D9:$DS9)=0,0,IF(SUM($D12:$DS12)=0,1,'Вводные'!$B$63))))*BW13)</x:f>
        <x:v>0</x:v>
      </x:c>
      <x:c r="BX23" s="107" t="n">
        <x:f>'Вводные'!$O$88*((IF(SUM($D9:$DS9)=0,0,IF(SUM($D12:$DS12)=0,1,'Вводные'!$B$63)))*BX11+(1-(IF(SUM($D9:$DS9)=0,0,IF(SUM($D12:$DS12)=0,1,'Вводные'!$B$63))))*BX13)</x:f>
        <x:v>0</x:v>
      </x:c>
      <x:c r="BY23" s="107" t="n">
        <x:f>'Вводные'!$O$88*((IF(SUM($D9:$DS9)=0,0,IF(SUM($D12:$DS12)=0,1,'Вводные'!$B$63)))*BY11+(1-(IF(SUM($D9:$DS9)=0,0,IF(SUM($D12:$DS12)=0,1,'Вводные'!$B$63))))*BY13)</x:f>
        <x:v>0</x:v>
      </x:c>
      <x:c r="BZ23" s="107" t="n">
        <x:f>'Вводные'!$O$88*((IF(SUM($D9:$DS9)=0,0,IF(SUM($D12:$DS12)=0,1,'Вводные'!$B$63)))*BZ11+(1-(IF(SUM($D9:$DS9)=0,0,IF(SUM($D12:$DS12)=0,1,'Вводные'!$B$63))))*BZ13)</x:f>
        <x:v>0</x:v>
      </x:c>
      <x:c r="CA23" s="107" t="n">
        <x:f>'Вводные'!$O$88*((IF(SUM($D9:$DS9)=0,0,IF(SUM($D12:$DS12)=0,1,'Вводные'!$B$63)))*CA11+(1-(IF(SUM($D9:$DS9)=0,0,IF(SUM($D12:$DS12)=0,1,'Вводные'!$B$63))))*CA13)</x:f>
        <x:v>0</x:v>
      </x:c>
      <x:c r="CB23" s="107" t="n">
        <x:f>'Вводные'!$O$88*((IF(SUM($D9:$DS9)=0,0,IF(SUM($D12:$DS12)=0,1,'Вводные'!$B$63)))*CB11+(1-(IF(SUM($D9:$DS9)=0,0,IF(SUM($D12:$DS12)=0,1,'Вводные'!$B$63))))*CB13)</x:f>
        <x:v>0</x:v>
      </x:c>
      <x:c r="CC23" s="107" t="n">
        <x:f>'Вводные'!$O$88*((IF(SUM($D9:$DS9)=0,0,IF(SUM($D12:$DS12)=0,1,'Вводные'!$B$63)))*CC11+(1-(IF(SUM($D9:$DS9)=0,0,IF(SUM($D12:$DS12)=0,1,'Вводные'!$B$63))))*CC13)</x:f>
        <x:v>0</x:v>
      </x:c>
      <x:c r="CD23" s="107" t="n">
        <x:f>'Вводные'!$O$88*((IF(SUM($D9:$DS9)=0,0,IF(SUM($D12:$DS12)=0,1,'Вводные'!$B$63)))*CD11+(1-(IF(SUM($D9:$DS9)=0,0,IF(SUM($D12:$DS12)=0,1,'Вводные'!$B$63))))*CD13)</x:f>
        <x:v>0</x:v>
      </x:c>
      <x:c r="CE23" s="107" t="n">
        <x:f>'Вводные'!$O$88*((IF(SUM($D9:$DS9)=0,0,IF(SUM($D12:$DS12)=0,1,'Вводные'!$B$63)))*CE11+(1-(IF(SUM($D9:$DS9)=0,0,IF(SUM($D12:$DS12)=0,1,'Вводные'!$B$63))))*CE13)</x:f>
        <x:v>0</x:v>
      </x:c>
      <x:c r="CF23" s="107" t="n">
        <x:f>'Вводные'!$O$88*((IF(SUM($D9:$DS9)=0,0,IF(SUM($D12:$DS12)=0,1,'Вводные'!$B$63)))*CF11+(1-(IF(SUM($D9:$DS9)=0,0,IF(SUM($D12:$DS12)=0,1,'Вводные'!$B$63))))*CF13)</x:f>
        <x:v>0</x:v>
      </x:c>
      <x:c r="CG23" s="107" t="n">
        <x:f>'Вводные'!$O$88*((IF(SUM($D9:$DS9)=0,0,IF(SUM($D12:$DS12)=0,1,'Вводные'!$B$63)))*CG11+(1-(IF(SUM($D9:$DS9)=0,0,IF(SUM($D12:$DS12)=0,1,'Вводные'!$B$63))))*CG13)</x:f>
        <x:v>0</x:v>
      </x:c>
      <x:c r="CH23" s="107" t="n">
        <x:f>'Вводные'!$O$88*((IF(SUM($D9:$DS9)=0,0,IF(SUM($D12:$DS12)=0,1,'Вводные'!$B$63)))*CH11+(1-(IF(SUM($D9:$DS9)=0,0,IF(SUM($D12:$DS12)=0,1,'Вводные'!$B$63))))*CH13)</x:f>
        <x:v>0</x:v>
      </x:c>
      <x:c r="CI23" s="107" t="n">
        <x:f>'Вводные'!$O$88*((IF(SUM($D9:$DS9)=0,0,IF(SUM($D12:$DS12)=0,1,'Вводные'!$B$63)))*CI11+(1-(IF(SUM($D9:$DS9)=0,0,IF(SUM($D12:$DS12)=0,1,'Вводные'!$B$63))))*CI13)</x:f>
        <x:v>0</x:v>
      </x:c>
      <x:c r="CJ23" s="107" t="n">
        <x:f>'Вводные'!$O$88*((IF(SUM($D9:$DS9)=0,0,IF(SUM($D12:$DS12)=0,1,'Вводные'!$B$63)))*CJ11+(1-(IF(SUM($D9:$DS9)=0,0,IF(SUM($D12:$DS12)=0,1,'Вводные'!$B$63))))*CJ13)</x:f>
        <x:v>0</x:v>
      </x:c>
      <x:c r="CK23" s="107" t="n">
        <x:f>'Вводные'!$O$88*((IF(SUM($D9:$DS9)=0,0,IF(SUM($D12:$DS12)=0,1,'Вводные'!$B$63)))*CK11+(1-(IF(SUM($D9:$DS9)=0,0,IF(SUM($D12:$DS12)=0,1,'Вводные'!$B$63))))*CK13)</x:f>
        <x:v>0</x:v>
      </x:c>
      <x:c r="CL23" s="107" t="n">
        <x:f>'Вводные'!$O$88*((IF(SUM($D9:$DS9)=0,0,IF(SUM($D12:$DS12)=0,1,'Вводные'!$B$63)))*CL11+(1-(IF(SUM($D9:$DS9)=0,0,IF(SUM($D12:$DS12)=0,1,'Вводные'!$B$63))))*CL13)</x:f>
        <x:v>0</x:v>
      </x:c>
      <x:c r="CM23" s="107" t="n">
        <x:f>'Вводные'!$O$88*((IF(SUM($D9:$DS9)=0,0,IF(SUM($D12:$DS12)=0,1,'Вводные'!$B$63)))*CM11+(1-(IF(SUM($D9:$DS9)=0,0,IF(SUM($D12:$DS12)=0,1,'Вводные'!$B$63))))*CM13)</x:f>
        <x:v>0</x:v>
      </x:c>
      <x:c r="CN23" s="107" t="n">
        <x:f>'Вводные'!$O$88*((IF(SUM($D9:$DS9)=0,0,IF(SUM($D12:$DS12)=0,1,'Вводные'!$B$63)))*CN11+(1-(IF(SUM($D9:$DS9)=0,0,IF(SUM($D12:$DS12)=0,1,'Вводные'!$B$63))))*CN13)</x:f>
        <x:v>0</x:v>
      </x:c>
      <x:c r="CO23" s="107" t="n">
        <x:f>'Вводные'!$O$88*((IF(SUM($D9:$DS9)=0,0,IF(SUM($D12:$DS12)=0,1,'Вводные'!$B$63)))*CO11+(1-(IF(SUM($D9:$DS9)=0,0,IF(SUM($D12:$DS12)=0,1,'Вводные'!$B$63))))*CO13)</x:f>
        <x:v>0</x:v>
      </x:c>
      <x:c r="CP23" s="107" t="n">
        <x:f>'Вводные'!$O$88*((IF(SUM($D9:$DS9)=0,0,IF(SUM($D12:$DS12)=0,1,'Вводные'!$B$63)))*CP11+(1-(IF(SUM($D9:$DS9)=0,0,IF(SUM($D12:$DS12)=0,1,'Вводные'!$B$63))))*CP13)</x:f>
        <x:v>0</x:v>
      </x:c>
      <x:c r="CQ23" s="107" t="n">
        <x:f>'Вводные'!$O$88*((IF(SUM($D9:$DS9)=0,0,IF(SUM($D12:$DS12)=0,1,'Вводные'!$B$63)))*CQ11+(1-(IF(SUM($D9:$DS9)=0,0,IF(SUM($D12:$DS12)=0,1,'Вводные'!$B$63))))*CQ13)</x:f>
        <x:v>0</x:v>
      </x:c>
      <x:c r="CR23" s="107" t="n">
        <x:f>'Вводные'!$O$88*((IF(SUM($D9:$DS9)=0,0,IF(SUM($D12:$DS12)=0,1,'Вводные'!$B$63)))*CR11+(1-(IF(SUM($D9:$DS9)=0,0,IF(SUM($D12:$DS12)=0,1,'Вводные'!$B$63))))*CR13)</x:f>
        <x:v>0</x:v>
      </x:c>
      <x:c r="CS23" s="107" t="n">
        <x:f>'Вводные'!$O$88*((IF(SUM($D9:$DS9)=0,0,IF(SUM($D12:$DS12)=0,1,'Вводные'!$B$63)))*CS11+(1-(IF(SUM($D9:$DS9)=0,0,IF(SUM($D12:$DS12)=0,1,'Вводные'!$B$63))))*CS13)</x:f>
        <x:v>0</x:v>
      </x:c>
      <x:c r="CT23" s="107" t="n">
        <x:f>'Вводные'!$O$88*((IF(SUM($D9:$DS9)=0,0,IF(SUM($D12:$DS12)=0,1,'Вводные'!$B$63)))*CT11+(1-(IF(SUM($D9:$DS9)=0,0,IF(SUM($D12:$DS12)=0,1,'Вводные'!$B$63))))*CT13)</x:f>
        <x:v>0</x:v>
      </x:c>
      <x:c r="CU23" s="107" t="n">
        <x:f>'Вводные'!$O$88*((IF(SUM($D9:$DS9)=0,0,IF(SUM($D12:$DS12)=0,1,'Вводные'!$B$63)))*CU11+(1-(IF(SUM($D9:$DS9)=0,0,IF(SUM($D12:$DS12)=0,1,'Вводные'!$B$63))))*CU13)</x:f>
        <x:v>0</x:v>
      </x:c>
      <x:c r="CV23" s="107" t="n">
        <x:f>'Вводные'!$O$88*((IF(SUM($D9:$DS9)=0,0,IF(SUM($D12:$DS12)=0,1,'Вводные'!$B$63)))*CV11+(1-(IF(SUM($D9:$DS9)=0,0,IF(SUM($D12:$DS12)=0,1,'Вводные'!$B$63))))*CV13)</x:f>
        <x:v>0</x:v>
      </x:c>
      <x:c r="CW23" s="107" t="n">
        <x:f>'Вводные'!$O$88*((IF(SUM($D9:$DS9)=0,0,IF(SUM($D12:$DS12)=0,1,'Вводные'!$B$63)))*CW11+(1-(IF(SUM($D9:$DS9)=0,0,IF(SUM($D12:$DS12)=0,1,'Вводные'!$B$63))))*CW13)</x:f>
        <x:v>0</x:v>
      </x:c>
      <x:c r="CX23" s="107" t="n">
        <x:f>'Вводные'!$O$88*((IF(SUM($D9:$DS9)=0,0,IF(SUM($D12:$DS12)=0,1,'Вводные'!$B$63)))*CX11+(1-(IF(SUM($D9:$DS9)=0,0,IF(SUM($D12:$DS12)=0,1,'Вводные'!$B$63))))*CX13)</x:f>
        <x:v>0</x:v>
      </x:c>
      <x:c r="CY23" s="107" t="n">
        <x:f>'Вводные'!$O$88*((IF(SUM($D9:$DS9)=0,0,IF(SUM($D12:$DS12)=0,1,'Вводные'!$B$63)))*CY11+(1-(IF(SUM($D9:$DS9)=0,0,IF(SUM($D12:$DS12)=0,1,'Вводные'!$B$63))))*CY13)</x:f>
        <x:v>0</x:v>
      </x:c>
      <x:c r="CZ23" s="107" t="n">
        <x:f>'Вводные'!$O$88*((IF(SUM($D9:$DS9)=0,0,IF(SUM($D12:$DS12)=0,1,'Вводные'!$B$63)))*CZ11+(1-(IF(SUM($D9:$DS9)=0,0,IF(SUM($D12:$DS12)=0,1,'Вводные'!$B$63))))*CZ13)</x:f>
        <x:v>0</x:v>
      </x:c>
      <x:c r="DA23" s="107" t="n">
        <x:f>'Вводные'!$O$88*((IF(SUM($D9:$DS9)=0,0,IF(SUM($D12:$DS12)=0,1,'Вводные'!$B$63)))*DA11+(1-(IF(SUM($D9:$DS9)=0,0,IF(SUM($D12:$DS12)=0,1,'Вводные'!$B$63))))*DA13)</x:f>
        <x:v>0</x:v>
      </x:c>
      <x:c r="DB23" s="107" t="n">
        <x:f>'Вводные'!$O$88*((IF(SUM($D9:$DS9)=0,0,IF(SUM($D12:$DS12)=0,1,'Вводные'!$B$63)))*DB11+(1-(IF(SUM($D9:$DS9)=0,0,IF(SUM($D12:$DS12)=0,1,'Вводные'!$B$63))))*DB13)</x:f>
        <x:v>0</x:v>
      </x:c>
      <x:c r="DC23" s="107" t="n">
        <x:f>'Вводные'!$O$88*((IF(SUM($D9:$DS9)=0,0,IF(SUM($D12:$DS12)=0,1,'Вводные'!$B$63)))*DC11+(1-(IF(SUM($D9:$DS9)=0,0,IF(SUM($D12:$DS12)=0,1,'Вводные'!$B$63))))*DC13)</x:f>
        <x:v>0</x:v>
      </x:c>
      <x:c r="DD23" s="107" t="n">
        <x:f>'Вводные'!$O$88*((IF(SUM($D9:$DS9)=0,0,IF(SUM($D12:$DS12)=0,1,'Вводные'!$B$63)))*DD11+(1-(IF(SUM($D9:$DS9)=0,0,IF(SUM($D12:$DS12)=0,1,'Вводные'!$B$63))))*DD13)</x:f>
        <x:v>0</x:v>
      </x:c>
      <x:c r="DE23" s="107" t="n">
        <x:f>'Вводные'!$O$88*((IF(SUM($D9:$DS9)=0,0,IF(SUM($D12:$DS12)=0,1,'Вводные'!$B$63)))*DE11+(1-(IF(SUM($D9:$DS9)=0,0,IF(SUM($D12:$DS12)=0,1,'Вводные'!$B$63))))*DE13)</x:f>
        <x:v>0</x:v>
      </x:c>
      <x:c r="DF23" s="107" t="n">
        <x:f>'Вводные'!$O$88*((IF(SUM($D9:$DS9)=0,0,IF(SUM($D12:$DS12)=0,1,'Вводные'!$B$63)))*DF11+(1-(IF(SUM($D9:$DS9)=0,0,IF(SUM($D12:$DS12)=0,1,'Вводные'!$B$63))))*DF13)</x:f>
        <x:v>0</x:v>
      </x:c>
      <x:c r="DG23" s="107" t="n">
        <x:f>'Вводные'!$O$88*((IF(SUM($D9:$DS9)=0,0,IF(SUM($D12:$DS12)=0,1,'Вводные'!$B$63)))*DG11+(1-(IF(SUM($D9:$DS9)=0,0,IF(SUM($D12:$DS12)=0,1,'Вводные'!$B$63))))*DG13)</x:f>
        <x:v>0</x:v>
      </x:c>
      <x:c r="DH23" s="107" t="n">
        <x:f>'Вводные'!$O$88*((IF(SUM($D9:$DS9)=0,0,IF(SUM($D12:$DS12)=0,1,'Вводные'!$B$63)))*DH11+(1-(IF(SUM($D9:$DS9)=0,0,IF(SUM($D12:$DS12)=0,1,'Вводные'!$B$63))))*DH13)</x:f>
        <x:v>0</x:v>
      </x:c>
      <x:c r="DI23" s="107" t="n">
        <x:f>'Вводные'!$O$88*((IF(SUM($D9:$DS9)=0,0,IF(SUM($D12:$DS12)=0,1,'Вводные'!$B$63)))*DI11+(1-(IF(SUM($D9:$DS9)=0,0,IF(SUM($D12:$DS12)=0,1,'Вводные'!$B$63))))*DI13)</x:f>
        <x:v>0</x:v>
      </x:c>
      <x:c r="DJ23" s="107" t="n">
        <x:f>'Вводные'!$O$88*((IF(SUM($D9:$DS9)=0,0,IF(SUM($D12:$DS12)=0,1,'Вводные'!$B$63)))*DJ11+(1-(IF(SUM($D9:$DS9)=0,0,IF(SUM($D12:$DS12)=0,1,'Вводные'!$B$63))))*DJ13)</x:f>
        <x:v>0</x:v>
      </x:c>
      <x:c r="DK23" s="107" t="n">
        <x:f>'Вводные'!$O$88*((IF(SUM($D9:$DS9)=0,0,IF(SUM($D12:$DS12)=0,1,'Вводные'!$B$63)))*DK11+(1-(IF(SUM($D9:$DS9)=0,0,IF(SUM($D12:$DS12)=0,1,'Вводные'!$B$63))))*DK13)</x:f>
        <x:v>0</x:v>
      </x:c>
      <x:c r="DL23" s="107" t="n">
        <x:f>'Вводные'!$O$88*((IF(SUM($D9:$DS9)=0,0,IF(SUM($D12:$DS12)=0,1,'Вводные'!$B$63)))*DL11+(1-(IF(SUM($D9:$DS9)=0,0,IF(SUM($D12:$DS12)=0,1,'Вводные'!$B$63))))*DL13)</x:f>
        <x:v>0</x:v>
      </x:c>
      <x:c r="DM23" s="107" t="n">
        <x:f>'Вводные'!$O$88*((IF(SUM($D9:$DS9)=0,0,IF(SUM($D12:$DS12)=0,1,'Вводные'!$B$63)))*DM11+(1-(IF(SUM($D9:$DS9)=0,0,IF(SUM($D12:$DS12)=0,1,'Вводные'!$B$63))))*DM13)</x:f>
        <x:v>0</x:v>
      </x:c>
      <x:c r="DN23" s="107" t="n">
        <x:f>'Вводные'!$O$88*((IF(SUM($D9:$DS9)=0,0,IF(SUM($D12:$DS12)=0,1,'Вводные'!$B$63)))*DN11+(1-(IF(SUM($D9:$DS9)=0,0,IF(SUM($D12:$DS12)=0,1,'Вводные'!$B$63))))*DN13)</x:f>
        <x:v>0</x:v>
      </x:c>
      <x:c r="DO23" s="107" t="n">
        <x:f>'Вводные'!$O$88*((IF(SUM($D9:$DS9)=0,0,IF(SUM($D12:$DS12)=0,1,'Вводные'!$B$63)))*DO11+(1-(IF(SUM($D9:$DS9)=0,0,IF(SUM($D12:$DS12)=0,1,'Вводные'!$B$63))))*DO13)</x:f>
        <x:v>0</x:v>
      </x:c>
      <x:c r="DP23" s="107" t="n">
        <x:f>'Вводные'!$O$88*((IF(SUM($D9:$DS9)=0,0,IF(SUM($D12:$DS12)=0,1,'Вводные'!$B$63)))*DP11+(1-(IF(SUM($D9:$DS9)=0,0,IF(SUM($D12:$DS12)=0,1,'Вводные'!$B$63))))*DP13)</x:f>
        <x:v>0</x:v>
      </x:c>
      <x:c r="DQ23" s="107" t="n">
        <x:f>'Вводные'!$O$88*((IF(SUM($D9:$DS9)=0,0,IF(SUM($D12:$DS12)=0,1,'Вводные'!$B$63)))*DQ11+(1-(IF(SUM($D9:$DS9)=0,0,IF(SUM($D12:$DS12)=0,1,'Вводные'!$B$63))))*DQ13)</x:f>
        <x:v>0</x:v>
      </x:c>
      <x:c r="DR23" s="107" t="n">
        <x:f>'Вводные'!$O$88*((IF(SUM($D9:$DS9)=0,0,IF(SUM($D12:$DS12)=0,1,'Вводные'!$B$63)))*DR11+(1-(IF(SUM($D9:$DS9)=0,0,IF(SUM($D12:$DS12)=0,1,'Вводные'!$B$63))))*DR13)</x:f>
        <x:v>0</x:v>
      </x:c>
      <x:c r="DS23" s="107" t="n">
        <x:f>'Вводные'!$O$88*((IF(SUM($D9:$DS9)=0,0,IF(SUM($D12:$DS12)=0,1,'Вводные'!$B$63)))*DS11+(1-(IF(SUM($D9:$DS9)=0,0,IF(SUM($D12:$DS12)=0,1,'Вводные'!$B$63))))*DS13)</x:f>
        <x:v>0</x:v>
      </x:c>
    </x:row>
    <x:row r="24">
      <x:c r="A24" t="str">
        <x:v>Кладовые — цена</x:v>
      </x:c>
      <x:c r="B24" t="n">
        <x:f>IFERROR(B25*1000/B23,0)</x:f>
        <x:v>0</x:v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0</x:v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0</x:v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0</x:v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0</x:v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0</x:v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0</x:v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0</x:v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0</x:v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0</x:v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0</x:v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0</x:v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0</x:v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0</x:v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0</x:v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0</x:v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0</x:v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0</x:v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0</x:v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0</x:v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0</x:v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0</x:v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0</x:v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0</x:v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0</x:v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0</x:v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0</x:v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0</x:v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0</x:v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0</x:v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0</x:v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25">
      <x:c r="A25" t="str">
        <x:v>Кладовые — выручка</x:v>
      </x:c>
      <x:c r="B25" t="n">
        <x:f>SUM(D25:DS25)</x:f>
        <x:v>0</x:v>
      </x:c>
      <x:c r="C25" t="str">
        <x:v>млн ₽</x:v>
      </x:c>
      <x:c r="D25" s="107" t="n">
        <x:f>D23*D24/1000</x:f>
        <x:v>0</x:v>
      </x:c>
      <x:c r="E25" s="107" t="n">
        <x:f>E23*E24/1000</x:f>
        <x:v>0</x:v>
      </x:c>
      <x:c r="F25" s="107" t="n">
        <x:f>F23*F24/1000</x:f>
        <x:v>0</x:v>
      </x:c>
      <x:c r="G25" s="107" t="n">
        <x:f>G23*G24/1000</x:f>
        <x:v>0</x:v>
      </x:c>
      <x:c r="H25" s="107" t="n">
        <x:f>H23*H24/1000</x:f>
        <x:v>0</x:v>
      </x:c>
      <x:c r="I25" s="107" t="n">
        <x:f>I23*I24/1000</x:f>
        <x:v>0</x:v>
      </x:c>
      <x:c r="J25" s="107" t="n">
        <x:f>J23*J24/1000</x:f>
        <x:v>0</x:v>
      </x:c>
      <x:c r="K25" s="107" t="n">
        <x:f>K23*K24/1000</x:f>
        <x:v>0</x:v>
      </x:c>
      <x:c r="L25" s="107" t="n">
        <x:f>L23*L24/1000</x:f>
        <x:v>0</x:v>
      </x:c>
      <x:c r="M25" s="107" t="n">
        <x:f>M23*M24/1000</x:f>
        <x:v>0</x:v>
      </x:c>
      <x:c r="N25" s="107" t="n">
        <x:f>N23*N24/1000</x:f>
        <x:v>0</x:v>
      </x:c>
      <x:c r="O25" s="107" t="n">
        <x:f>O23*O24/1000</x:f>
        <x:v>0</x:v>
      </x:c>
      <x:c r="P25" s="107" t="n">
        <x:f>P23*P24/1000</x:f>
        <x:v>0</x:v>
      </x:c>
      <x:c r="Q25" s="107" t="n">
        <x:f>Q23*Q24/1000</x:f>
        <x:v>0</x:v>
      </x:c>
      <x:c r="R25" s="107" t="n">
        <x:f>R23*R24/1000</x:f>
        <x:v>0</x:v>
      </x:c>
      <x:c r="S25" s="107" t="n">
        <x:f>S23*S24/1000</x:f>
        <x:v>0</x:v>
      </x:c>
      <x:c r="T25" s="107" t="n">
        <x:f>T23*T24/1000</x:f>
        <x:v>0</x:v>
      </x:c>
      <x:c r="U25" s="107" t="n">
        <x:f>U23*U24/1000</x:f>
        <x:v>0</x:v>
      </x:c>
      <x:c r="V25" s="107" t="n">
        <x:f>V23*V24/1000</x:f>
        <x:v>0</x:v>
      </x:c>
      <x:c r="W25" s="107" t="n">
        <x:f>W23*W24/1000</x:f>
        <x:v>0</x:v>
      </x:c>
      <x:c r="X25" s="107" t="n">
        <x:f>X23*X24/1000</x:f>
        <x:v>0</x:v>
      </x:c>
      <x:c r="Y25" s="107" t="n">
        <x:f>Y23*Y24/1000</x:f>
        <x:v>0</x:v>
      </x:c>
      <x:c r="Z25" s="107" t="n">
        <x:f>Z23*Z24/1000</x:f>
        <x:v>0</x:v>
      </x:c>
      <x:c r="AA25" s="107" t="n">
        <x:f>AA23*AA24/1000</x:f>
        <x:v>0</x:v>
      </x:c>
      <x:c r="AB25" s="107" t="n">
        <x:f>AB23*AB24/1000</x:f>
        <x:v>0</x:v>
      </x:c>
      <x:c r="AC25" s="107" t="n">
        <x:f>AC23*AC24/1000</x:f>
        <x:v>0</x:v>
      </x:c>
      <x:c r="AD25" s="107" t="n">
        <x:f>AD23*AD24/1000</x:f>
        <x:v>0</x:v>
      </x:c>
      <x:c r="AE25" s="107" t="n">
        <x:f>AE23*AE24/1000</x:f>
        <x:v>0</x:v>
      </x:c>
      <x:c r="AF25" s="107" t="n">
        <x:f>AF23*AF24/1000</x:f>
        <x:v>0</x:v>
      </x:c>
      <x:c r="AG25" s="107" t="n">
        <x:f>AG23*AG24/1000</x:f>
        <x:v>0</x:v>
      </x:c>
      <x:c r="AH25" s="107" t="n">
        <x:f>AH23*AH24/1000</x:f>
        <x:v>0</x:v>
      </x:c>
      <x:c r="AI25" s="107" t="n">
        <x:f>AI23*AI24/1000</x:f>
        <x:v>0</x:v>
      </x:c>
      <x:c r="AJ25" s="107" t="n">
        <x:f>AJ23*AJ24/1000</x:f>
        <x:v>0</x:v>
      </x:c>
      <x:c r="AK25" s="107" t="n">
        <x:f>AK23*AK24/1000</x:f>
        <x:v>0</x:v>
      </x:c>
      <x:c r="AL25" s="107" t="n">
        <x:f>AL23*AL24/1000</x:f>
        <x:v>0</x:v>
      </x:c>
      <x:c r="AM25" s="107" t="n">
        <x:f>AM23*AM24/1000</x:f>
        <x:v>0</x:v>
      </x:c>
      <x:c r="AN25" s="107" t="n">
        <x:f>AN23*AN24/1000</x:f>
        <x:v>0</x:v>
      </x:c>
      <x:c r="AO25" s="107" t="n">
        <x:f>AO23*AO24/1000</x:f>
        <x:v>0</x:v>
      </x:c>
      <x:c r="AP25" s="107" t="n">
        <x:f>AP23*AP24/1000</x:f>
        <x:v>0</x:v>
      </x:c>
      <x:c r="AQ25" s="107" t="n">
        <x:f>AQ23*AQ24/1000</x:f>
        <x:v>0</x:v>
      </x:c>
      <x:c r="AR25" s="107" t="n">
        <x:f>AR23*AR24/1000</x:f>
        <x:v>0</x:v>
      </x:c>
      <x:c r="AS25" s="107" t="n">
        <x:f>AS23*AS24/1000</x:f>
        <x:v>0</x:v>
      </x:c>
      <x:c r="AT25" s="107" t="n">
        <x:f>AT23*AT24/1000</x:f>
        <x:v>0</x:v>
      </x:c>
      <x:c r="AU25" s="107" t="n">
        <x:f>AU23*AU24/1000</x:f>
        <x:v>0</x:v>
      </x:c>
      <x:c r="AV25" s="107" t="n">
        <x:f>AV23*AV24/1000</x:f>
        <x:v>0</x:v>
      </x:c>
      <x:c r="AW25" s="107" t="n">
        <x:f>AW23*AW24/1000</x:f>
        <x:v>0</x:v>
      </x:c>
      <x:c r="AX25" s="107" t="n">
        <x:f>AX23*AX24/1000</x:f>
        <x:v>0</x:v>
      </x:c>
      <x:c r="AY25" s="107" t="n">
        <x:f>AY23*AY24/1000</x:f>
        <x:v>0</x:v>
      </x:c>
      <x:c r="AZ25" s="107" t="n">
        <x:f>AZ23*AZ24/1000</x:f>
        <x:v>0</x:v>
      </x:c>
      <x:c r="BA25" s="107" t="n">
        <x:f>BA23*BA24/1000</x:f>
        <x:v>0</x:v>
      </x:c>
      <x:c r="BB25" s="107" t="n">
        <x:f>BB23*BB24/1000</x:f>
        <x:v>0</x:v>
      </x:c>
      <x:c r="BC25" s="107" t="n">
        <x:f>BC23*BC24/1000</x:f>
        <x:v>0</x:v>
      </x:c>
      <x:c r="BD25" s="107" t="n">
        <x:f>BD23*BD24/1000</x:f>
        <x:v>0</x:v>
      </x:c>
      <x:c r="BE25" s="107" t="n">
        <x:f>BE23*BE24/1000</x:f>
        <x:v>0</x:v>
      </x:c>
      <x:c r="BF25" s="107" t="n">
        <x:f>BF23*BF24/1000</x:f>
        <x:v>0</x:v>
      </x:c>
      <x:c r="BG25" s="107" t="n">
        <x:f>BG23*BG24/1000</x:f>
        <x:v>0</x:v>
      </x:c>
      <x:c r="BH25" s="107" t="n">
        <x:f>BH23*BH24/1000</x:f>
        <x:v>0</x:v>
      </x:c>
      <x:c r="BI25" s="107" t="n">
        <x:f>BI23*BI24/1000</x:f>
        <x:v>0</x:v>
      </x:c>
      <x:c r="BJ25" s="107" t="n">
        <x:f>BJ23*BJ24/1000</x:f>
        <x:v>0</x:v>
      </x:c>
      <x:c r="BK25" s="107" t="n">
        <x:f>BK23*BK24/1000</x:f>
        <x:v>0</x:v>
      </x:c>
      <x:c r="BL25" s="107" t="n">
        <x:f>BL23*BL24/1000</x:f>
        <x:v>0</x:v>
      </x:c>
      <x:c r="BM25" s="107" t="n">
        <x:f>BM23*BM24/1000</x:f>
        <x:v>0</x:v>
      </x:c>
      <x:c r="BN25" s="107" t="n">
        <x:f>BN23*BN24/1000</x:f>
        <x:v>0</x:v>
      </x:c>
      <x:c r="BO25" s="107" t="n">
        <x:f>BO23*BO24/1000</x:f>
        <x:v>0</x:v>
      </x:c>
      <x:c r="BP25" s="107" t="n">
        <x:f>BP23*BP24/1000</x:f>
        <x:v>0</x:v>
      </x:c>
      <x:c r="BQ25" s="107" t="n">
        <x:f>BQ23*BQ24/1000</x:f>
        <x:v>0</x:v>
      </x:c>
      <x:c r="BR25" s="107" t="n">
        <x:f>BR23*BR24/1000</x:f>
        <x:v>0</x:v>
      </x:c>
      <x:c r="BS25" s="107" t="n">
        <x:f>BS23*BS24/1000</x:f>
        <x:v>0</x:v>
      </x:c>
      <x:c r="BT25" s="107" t="n">
        <x:f>BT23*BT24/1000</x:f>
        <x:v>0</x:v>
      </x:c>
      <x:c r="BU25" s="107" t="n">
        <x:f>BU23*BU24/1000</x:f>
        <x:v>0</x:v>
      </x:c>
      <x:c r="BV25" s="107" t="n">
        <x:f>BV23*BV24/1000</x:f>
        <x:v>0</x:v>
      </x:c>
      <x:c r="BW25" s="107" t="n">
        <x:f>BW23*BW24/1000</x:f>
        <x:v>0</x:v>
      </x:c>
      <x:c r="BX25" s="107" t="n">
        <x:f>BX23*BX24/1000</x:f>
        <x:v>0</x:v>
      </x:c>
      <x:c r="BY25" s="107" t="n">
        <x:f>BY23*BY24/1000</x:f>
        <x:v>0</x:v>
      </x:c>
      <x:c r="BZ25" s="107" t="n">
        <x:f>BZ23*BZ24/1000</x:f>
        <x:v>0</x:v>
      </x:c>
      <x:c r="CA25" s="107" t="n">
        <x:f>CA23*CA24/1000</x:f>
        <x:v>0</x:v>
      </x:c>
      <x:c r="CB25" s="107" t="n">
        <x:f>CB23*CB24/1000</x:f>
        <x:v>0</x:v>
      </x:c>
      <x:c r="CC25" s="107" t="n">
        <x:f>CC23*CC24/1000</x:f>
        <x:v>0</x:v>
      </x:c>
      <x:c r="CD25" s="107" t="n">
        <x:f>CD23*CD24/1000</x:f>
        <x:v>0</x:v>
      </x:c>
      <x:c r="CE25" s="107" t="n">
        <x:f>CE23*CE24/1000</x:f>
        <x:v>0</x:v>
      </x:c>
      <x:c r="CF25" s="107" t="n">
        <x:f>CF23*CF24/1000</x:f>
        <x:v>0</x:v>
      </x:c>
      <x:c r="CG25" s="107" t="n">
        <x:f>CG23*CG24/1000</x:f>
        <x:v>0</x:v>
      </x:c>
      <x:c r="CH25" s="107" t="n">
        <x:f>CH23*CH24/1000</x:f>
        <x:v>0</x:v>
      </x:c>
      <x:c r="CI25" s="107" t="n">
        <x:f>CI23*CI24/1000</x:f>
        <x:v>0</x:v>
      </x:c>
      <x:c r="CJ25" s="107" t="n">
        <x:f>CJ23*CJ24/1000</x:f>
        <x:v>0</x:v>
      </x:c>
      <x:c r="CK25" s="107" t="n">
        <x:f>CK23*CK24/1000</x:f>
        <x:v>0</x:v>
      </x:c>
      <x:c r="CL25" s="107" t="n">
        <x:f>CL23*CL24/1000</x:f>
        <x:v>0</x:v>
      </x:c>
      <x:c r="CM25" s="107" t="n">
        <x:f>CM23*CM24/1000</x:f>
        <x:v>0</x:v>
      </x:c>
      <x:c r="CN25" s="107" t="n">
        <x:f>CN23*CN24/1000</x:f>
        <x:v>0</x:v>
      </x:c>
      <x:c r="CO25" s="107" t="n">
        <x:f>CO23*CO24/1000</x:f>
        <x:v>0</x:v>
      </x:c>
      <x:c r="CP25" s="107" t="n">
        <x:f>CP23*CP24/1000</x:f>
        <x:v>0</x:v>
      </x:c>
      <x:c r="CQ25" s="107" t="n">
        <x:f>CQ23*CQ24/1000</x:f>
        <x:v>0</x:v>
      </x:c>
      <x:c r="CR25" s="107" t="n">
        <x:f>CR23*CR24/1000</x:f>
        <x:v>0</x:v>
      </x:c>
      <x:c r="CS25" s="107" t="n">
        <x:f>CS23*CS24/1000</x:f>
        <x:v>0</x:v>
      </x:c>
      <x:c r="CT25" s="107" t="n">
        <x:f>CT23*CT24/1000</x:f>
        <x:v>0</x:v>
      </x:c>
      <x:c r="CU25" s="107" t="n">
        <x:f>CU23*CU24/1000</x:f>
        <x:v>0</x:v>
      </x:c>
      <x:c r="CV25" s="107" t="n">
        <x:f>CV23*CV24/1000</x:f>
        <x:v>0</x:v>
      </x:c>
      <x:c r="CW25" s="107" t="n">
        <x:f>CW23*CW24/1000</x:f>
        <x:v>0</x:v>
      </x:c>
      <x:c r="CX25" s="107" t="n">
        <x:f>CX23*CX24/1000</x:f>
        <x:v>0</x:v>
      </x:c>
      <x:c r="CY25" s="107" t="n">
        <x:f>CY23*CY24/1000</x:f>
        <x:v>0</x:v>
      </x:c>
      <x:c r="CZ25" s="107" t="n">
        <x:f>CZ23*CZ24/1000</x:f>
        <x:v>0</x:v>
      </x:c>
      <x:c r="DA25" s="107" t="n">
        <x:f>DA23*DA24/1000</x:f>
        <x:v>0</x:v>
      </x:c>
      <x:c r="DB25" s="107" t="n">
        <x:f>DB23*DB24/1000</x:f>
        <x:v>0</x:v>
      </x:c>
      <x:c r="DC25" s="107" t="n">
        <x:f>DC23*DC24/1000</x:f>
        <x:v>0</x:v>
      </x:c>
      <x:c r="DD25" s="107" t="n">
        <x:f>DD23*DD24/1000</x:f>
        <x:v>0</x:v>
      </x:c>
      <x:c r="DE25" s="107" t="n">
        <x:f>DE23*DE24/1000</x:f>
        <x:v>0</x:v>
      </x:c>
      <x:c r="DF25" s="107" t="n">
        <x:f>DF23*DF24/1000</x:f>
        <x:v>0</x:v>
      </x:c>
      <x:c r="DG25" s="107" t="n">
        <x:f>DG23*DG24/1000</x:f>
        <x:v>0</x:v>
      </x:c>
      <x:c r="DH25" s="107" t="n">
        <x:f>DH23*DH24/1000</x:f>
        <x:v>0</x:v>
      </x:c>
      <x:c r="DI25" s="107" t="n">
        <x:f>DI23*DI24/1000</x:f>
        <x:v>0</x:v>
      </x:c>
      <x:c r="DJ25" s="107" t="n">
        <x:f>DJ23*DJ24/1000</x:f>
        <x:v>0</x:v>
      </x:c>
      <x:c r="DK25" s="107" t="n">
        <x:f>DK23*DK24/1000</x:f>
        <x:v>0</x:v>
      </x:c>
      <x:c r="DL25" s="107" t="n">
        <x:f>DL23*DL24/1000</x:f>
        <x:v>0</x:v>
      </x:c>
      <x:c r="DM25" s="107" t="n">
        <x:f>DM23*DM24/1000</x:f>
        <x:v>0</x:v>
      </x:c>
      <x:c r="DN25" s="107" t="n">
        <x:f>DN23*DN24/1000</x:f>
        <x:v>0</x:v>
      </x:c>
      <x:c r="DO25" s="107" t="n">
        <x:f>DO23*DO24/1000</x:f>
        <x:v>0</x:v>
      </x:c>
      <x:c r="DP25" s="107" t="n">
        <x:f>DP23*DP24/1000</x:f>
        <x:v>0</x:v>
      </x:c>
      <x:c r="DQ25" s="107" t="n">
        <x:f>DQ23*DQ24/1000</x:f>
        <x:v>0</x:v>
      </x:c>
      <x:c r="DR25" s="107" t="n">
        <x:f>DR23*DR24/1000</x:f>
        <x:v>0</x:v>
      </x:c>
      <x:c r="DS25" s="107" t="n">
        <x:f>DS23*DS24/1000</x:f>
        <x:v>0</x:v>
      </x:c>
    </x:row>
    <x:row r="26">
      <x:c r="A26" s="113" t="str">
        <x:v>ВЫРУЧКА ОЧЕРЕДИ</x:v>
      </x:c>
      <x:c r="B26" s="113" t="n">
        <x:f>SUM(D26:DS26)</x:f>
        <x:v>12743.009317800295</x:v>
      </x:c>
      <x:c r="C26" s="113" t="str">
        <x:v>млн ₽</x:v>
      </x:c>
      <x:c r="D26" s="113" t="n">
        <x:f>SUM(D16,D19,D22,D25)</x:f>
        <x:v>0</x:v>
      </x:c>
      <x:c r="E26" s="113" t="n">
        <x:f>SUM(E16,E19,E22,E25)</x:f>
        <x:v>0</x:v>
      </x:c>
      <x:c r="F26" s="113" t="n">
        <x:f>SUM(F16,F19,F22,F25)</x:f>
        <x:v>0</x:v>
      </x:c>
      <x:c r="G26" s="113" t="n">
        <x:f>SUM(G16,G19,G22,G25)</x:f>
        <x:v>0</x:v>
      </x:c>
      <x:c r="H26" s="113" t="n">
        <x:f>SUM(H16,H19,H22,H25)</x:f>
        <x:v>0</x:v>
      </x:c>
      <x:c r="I26" s="113" t="n">
        <x:f>SUM(I16,I19,I22,I25)</x:f>
        <x:v>0</x:v>
      </x:c>
      <x:c r="J26" s="113" t="n">
        <x:f>SUM(J16,J19,J22,J25)</x:f>
        <x:v>0</x:v>
      </x:c>
      <x:c r="K26" s="113" t="n">
        <x:f>SUM(K16,K19,K22,K25)</x:f>
        <x:v>0</x:v>
      </x:c>
      <x:c r="L26" s="113" t="n">
        <x:f>SUM(L16,L19,L22,L25)</x:f>
        <x:v>0</x:v>
      </x:c>
      <x:c r="M26" s="113" t="n">
        <x:f>SUM(M16,M19,M22,M25)</x:f>
        <x:v>0</x:v>
      </x:c>
      <x:c r="N26" s="113" t="n">
        <x:f>SUM(N16,N19,N22,N25)</x:f>
        <x:v>0</x:v>
      </x:c>
      <x:c r="O26" s="113" t="n">
        <x:f>SUM(O16,O19,O22,O25)</x:f>
        <x:v>0</x:v>
      </x:c>
      <x:c r="P26" s="113" t="n">
        <x:f>SUM(P16,P19,P22,P25)</x:f>
        <x:v>0</x:v>
      </x:c>
      <x:c r="Q26" s="113" t="n">
        <x:f>SUM(Q16,Q19,Q22,Q25)</x:f>
        <x:v>0</x:v>
      </x:c>
      <x:c r="R26" s="113" t="n">
        <x:f>SUM(R16,R19,R22,R25)</x:f>
        <x:v>0</x:v>
      </x:c>
      <x:c r="S26" s="113" t="n">
        <x:f>SUM(S16,S19,S22,S25)</x:f>
        <x:v>0</x:v>
      </x:c>
      <x:c r="T26" s="113" t="n">
        <x:f>SUM(T16,T19,T22,T25)</x:f>
        <x:v>0</x:v>
      </x:c>
      <x:c r="U26" s="113" t="n">
        <x:f>SUM(U16,U19,U22,U25)</x:f>
        <x:v>0</x:v>
      </x:c>
      <x:c r="V26" s="113" t="n">
        <x:f>SUM(V16,V19,V22,V25)</x:f>
        <x:v>294.3833179708191</x:v>
      </x:c>
      <x:c r="W26" s="113" t="n">
        <x:f>SUM(W16,W19,W22,W25)</x:f>
        <x:v>301.78705841778515</x:v>
      </x:c>
      <x:c r="X26" s="113" t="n">
        <x:f>SUM(X16,X19,X22,X25)</x:f>
        <x:v>363.9729446317558</x:v>
      </x:c>
      <x:c r="Y26" s="113" t="n">
        <x:f>SUM(Y16,Y19,Y22,Y25)</x:f>
        <x:v>373.1268641892445</x:v>
      </x:c>
      <x:c r="Z26" s="113" t="n">
        <x:f>SUM(Z16,Z19,Z22,Z25)</x:f>
        <x:v>382.5110048236039</x:v>
      </x:c>
      <x:c r="AA26" s="113" t="n">
        <x:f>SUM(AA16,AA19,AA22,AA25)</x:f>
        <x:v>392.13115659491757</x:v>
      </x:c>
      <x:c r="AB26" s="113" t="n">
        <x:f>SUM(AB16,AB19,AB22,AB25)</x:f>
        <x:v>341.69426690578774</x:v>
      </x:c>
      <x:c r="AC26" s="113" t="n">
        <x:f>SUM(AC16,AC19,AC22,AC25)</x:f>
        <x:v>412.1033855511392</x:v>
      </x:c>
      <x:c r="AD26" s="113" t="n">
        <x:f>SUM(AD16,AD19,AD22,AD25)</x:f>
        <x:v>422.46778569775034</x:v>
      </x:c>
      <x:c r="AE26" s="113" t="n">
        <x:f>SUM(AE16,AE19,AE22,AE25)</x:f>
        <x:v>433.0928505080485</x:v>
      </x:c>
      <x:c r="AF26" s="113" t="n">
        <x:f>SUM(AF16,AF19,AF22,AF25)</x:f>
        <x:v>377.3873653435772</x:v>
      </x:c>
      <x:c r="AG26" s="113" t="n">
        <x:f>SUM(AG16,AG19,AG22,AG25)</x:f>
        <x:v>386.87865758196796</x:v>
      </x:c>
      <x:c r="AH26" s="113" t="n">
        <x:f>SUM(AH16,AH19,AH22,AH25)</x:f>
        <x:v>396.60865582015447</x:v>
      </x:c>
      <x:c r="AI26" s="113" t="n">
        <x:f>SUM(AI16,AI19,AI22,AI25)</x:f>
        <x:v>406.58336351403125</x:v>
      </x:c>
      <x:c r="AJ26" s="113" t="n">
        <x:f>SUM(AJ16,AJ19,AJ22,AJ25)</x:f>
        <x:v>490.36345306636366</x:v>
      </x:c>
      <x:c r="AK26" s="113" t="n">
        <x:f>SUM(AK16,AK19,AK22,AK25)</x:f>
        <x:v>502.6960939109828</x:v>
      </x:c>
      <x:c r="AL26" s="113" t="n">
        <x:f>SUM(AL16,AL19,AL22,AL25)</x:f>
        <x:v>515.338900672844</x:v>
      </x:c>
      <x:c r="AM26" s="113" t="n">
        <x:f>SUM(AM16,AM19,AM22,AM25)</x:f>
        <x:v>528.2996740247659</x:v>
      </x:c>
      <x:c r="AN26" s="113" t="n">
        <x:f>SUM(AN16,AN19,AN22,AN25)</x:f>
        <x:v>460.3484492025153</x:v>
      </x:c>
      <x:c r="AO26" s="113" t="n">
        <x:f>SUM(AO16,AO19,AO22,AO25)</x:f>
        <x:v>555.2073090587747</x:v>
      </x:c>
      <x:c r="AP26" s="113" t="n">
        <x:f>SUM(AP16,AP19,AP22,AP25)</x:f>
        <x:v>569.1707728816029</x:v>
      </x:c>
      <x:c r="AQ26" s="113" t="n">
        <x:f>SUM(AQ16,AQ19,AQ22,AQ25)</x:f>
        <x:v>583.4854178195754</x:v>
      </x:c>
      <x:c r="AR26" s="113" t="n">
        <x:f>SUM(AR16,AR19,AR22,AR25)</x:f>
        <x:v>508.43606466607696</x:v>
      </x:c>
      <x:c r="AS26" s="113" t="n">
        <x:f>SUM(AS16,AS19,AS22,AS25)</x:f>
        <x:v>521.2232316924286</x:v>
      </x:c>
      <x:c r="AT26" s="113" t="n">
        <x:f>SUM(AT16,AT19,AT22,AT25)</x:f>
        <x:v>320.9546856127561</x:v>
      </x:c>
      <x:c r="AU26" s="113" t="n">
        <x:f>SUM(AU16,AU19,AU22,AU25)</x:f>
        <x:v>324.9746430500558</x:v>
      </x:c>
      <x:c r="AV26" s="113" t="n">
        <x:f>SUM(AV16,AV19,AV22,AV25)</x:f>
        <x:v>387.1117064167739</x:v>
      </x:c>
      <x:c r="AW26" s="113" t="n">
        <x:f>SUM(AW16,AW19,AW22,AW25)</x:f>
        <x:v>391.96028053964403</x:v>
      </x:c>
      <x:c r="AX26" s="113" t="n">
        <x:f>SUM(AX16,AX19,AX22,AX25)</x:f>
        <x:v>396.869583053403</x:v>
      </x:c>
      <x:c r="AY26" s="113" t="n">
        <x:f>SUM(AY16,AY19,AY22,AY25)</x:f>
        <x:v>401.84037458114693</x:v>
      </x:c>
      <x:c r="AZ26" s="113" t="n">
        <x:f>SUM(AZ16,AZ19,AZ22,AZ25)</x:f>
        <x:v>0</x:v>
      </x:c>
      <x:c r="BA26" s="113" t="n">
        <x:f>SUM(BA16,BA19,BA22,BA25)</x:f>
        <x:v>0</x:v>
      </x:c>
      <x:c r="BB26" s="113" t="n">
        <x:f>SUM(BB16,BB19,BB22,BB25)</x:f>
        <x:v>0</x:v>
      </x:c>
      <x:c r="BC26" s="113" t="n">
        <x:f>SUM(BC16,BC19,BC22,BC25)</x:f>
        <x:v>0</x:v>
      </x:c>
      <x:c r="BD26" s="113" t="n">
        <x:f>SUM(BD16,BD19,BD22,BD25)</x:f>
        <x:v>0</x:v>
      </x:c>
      <x:c r="BE26" s="113" t="n">
        <x:f>SUM(BE16,BE19,BE22,BE25)</x:f>
        <x:v>0</x:v>
      </x:c>
      <x:c r="BF26" s="113" t="n">
        <x:f>SUM(BF16,BF19,BF22,BF25)</x:f>
        <x:v>0</x:v>
      </x:c>
      <x:c r="BG26" s="113" t="n">
        <x:f>SUM(BG16,BG19,BG22,BG25)</x:f>
        <x:v>0</x:v>
      </x:c>
      <x:c r="BH26" s="113" t="n">
        <x:f>SUM(BH16,BH19,BH22,BH25)</x:f>
        <x:v>0</x:v>
      </x:c>
      <x:c r="BI26" s="113" t="n">
        <x:f>SUM(BI16,BI19,BI22,BI25)</x:f>
        <x:v>0</x:v>
      </x:c>
      <x:c r="BJ26" s="113" t="n">
        <x:f>SUM(BJ16,BJ19,BJ22,BJ25)</x:f>
        <x:v>0</x:v>
      </x:c>
      <x:c r="BK26" s="113" t="n">
        <x:f>SUM(BK16,BK19,BK22,BK25)</x:f>
        <x:v>0</x:v>
      </x:c>
      <x:c r="BL26" s="113" t="n">
        <x:f>SUM(BL16,BL19,BL22,BL25)</x:f>
        <x:v>0</x:v>
      </x:c>
      <x:c r="BM26" s="113" t="n">
        <x:f>SUM(BM16,BM19,BM22,BM25)</x:f>
        <x:v>0</x:v>
      </x:c>
      <x:c r="BN26" s="113" t="n">
        <x:f>SUM(BN16,BN19,BN22,BN25)</x:f>
        <x:v>0</x:v>
      </x:c>
      <x:c r="BO26" s="113" t="n">
        <x:f>SUM(BO16,BO19,BO22,BO25)</x:f>
        <x:v>0</x:v>
      </x:c>
      <x:c r="BP26" s="113" t="n">
        <x:f>SUM(BP16,BP19,BP22,BP25)</x:f>
        <x:v>0</x:v>
      </x:c>
      <x:c r="BQ26" s="113" t="n">
        <x:f>SUM(BQ16,BQ19,BQ22,BQ25)</x:f>
        <x:v>0</x:v>
      </x:c>
      <x:c r="BR26" s="113" t="n">
        <x:f>SUM(BR16,BR19,BR22,BR25)</x:f>
        <x:v>0</x:v>
      </x:c>
      <x:c r="BS26" s="113" t="n">
        <x:f>SUM(BS16,BS19,BS22,BS25)</x:f>
        <x:v>0</x:v>
      </x:c>
      <x:c r="BT26" s="113" t="n">
        <x:f>SUM(BT16,BT19,BT22,BT25)</x:f>
        <x:v>0</x:v>
      </x:c>
      <x:c r="BU26" s="113" t="n">
        <x:f>SUM(BU16,BU19,BU22,BU25)</x:f>
        <x:v>0</x:v>
      </x:c>
      <x:c r="BV26" s="113" t="n">
        <x:f>SUM(BV16,BV19,BV22,BV25)</x:f>
        <x:v>0</x:v>
      </x:c>
      <x:c r="BW26" s="113" t="n">
        <x:f>SUM(BW16,BW19,BW22,BW25)</x:f>
        <x:v>0</x:v>
      </x:c>
      <x:c r="BX26" s="113" t="n">
        <x:f>SUM(BX16,BX19,BX22,BX25)</x:f>
        <x:v>0</x:v>
      </x:c>
      <x:c r="BY26" s="113" t="n">
        <x:f>SUM(BY16,BY19,BY22,BY25)</x:f>
        <x:v>0</x:v>
      </x:c>
      <x:c r="BZ26" s="113" t="n">
        <x:f>SUM(BZ16,BZ19,BZ22,BZ25)</x:f>
        <x:v>0</x:v>
      </x:c>
      <x:c r="CA26" s="113" t="n">
        <x:f>SUM(CA16,CA19,CA22,CA25)</x:f>
        <x:v>0</x:v>
      </x:c>
      <x:c r="CB26" s="113" t="n">
        <x:f>SUM(CB16,CB19,CB22,CB25)</x:f>
        <x:v>0</x:v>
      </x:c>
      <x:c r="CC26" s="113" t="n">
        <x:f>SUM(CC16,CC19,CC22,CC25)</x:f>
        <x:v>0</x:v>
      </x:c>
      <x:c r="CD26" s="113" t="n">
        <x:f>SUM(CD16,CD19,CD22,CD25)</x:f>
        <x:v>0</x:v>
      </x:c>
      <x:c r="CE26" s="113" t="n">
        <x:f>SUM(CE16,CE19,CE22,CE25)</x:f>
        <x:v>0</x:v>
      </x:c>
      <x:c r="CF26" s="113" t="n">
        <x:f>SUM(CF16,CF19,CF22,CF25)</x:f>
        <x:v>0</x:v>
      </x:c>
      <x:c r="CG26" s="113" t="n">
        <x:f>SUM(CG16,CG19,CG22,CG25)</x:f>
        <x:v>0</x:v>
      </x:c>
      <x:c r="CH26" s="113" t="n">
        <x:f>SUM(CH16,CH19,CH22,CH25)</x:f>
        <x:v>0</x:v>
      </x:c>
      <x:c r="CI26" s="113" t="n">
        <x:f>SUM(CI16,CI19,CI22,CI25)</x:f>
        <x:v>0</x:v>
      </x:c>
      <x:c r="CJ26" s="113" t="n">
        <x:f>SUM(CJ16,CJ19,CJ22,CJ25)</x:f>
        <x:v>0</x:v>
      </x:c>
      <x:c r="CK26" s="113" t="n">
        <x:f>SUM(CK16,CK19,CK22,CK25)</x:f>
        <x:v>0</x:v>
      </x:c>
      <x:c r="CL26" s="113" t="n">
        <x:f>SUM(CL16,CL19,CL22,CL25)</x:f>
        <x:v>0</x:v>
      </x:c>
      <x:c r="CM26" s="113" t="n">
        <x:f>SUM(CM16,CM19,CM22,CM25)</x:f>
        <x:v>0</x:v>
      </x:c>
      <x:c r="CN26" s="113" t="n">
        <x:f>SUM(CN16,CN19,CN22,CN25)</x:f>
        <x:v>0</x:v>
      </x:c>
      <x:c r="CO26" s="113" t="n">
        <x:f>SUM(CO16,CO19,CO22,CO25)</x:f>
        <x:v>0</x:v>
      </x:c>
      <x:c r="CP26" s="113" t="n">
        <x:f>SUM(CP16,CP19,CP22,CP25)</x:f>
        <x:v>0</x:v>
      </x:c>
      <x:c r="CQ26" s="113" t="n">
        <x:f>SUM(CQ16,CQ19,CQ22,CQ25)</x:f>
        <x:v>0</x:v>
      </x:c>
      <x:c r="CR26" s="113" t="n">
        <x:f>SUM(CR16,CR19,CR22,CR25)</x:f>
        <x:v>0</x:v>
      </x:c>
      <x:c r="CS26" s="113" t="n">
        <x:f>SUM(CS16,CS19,CS22,CS25)</x:f>
        <x:v>0</x:v>
      </x:c>
      <x:c r="CT26" s="113" t="n">
        <x:f>SUM(CT16,CT19,CT22,CT25)</x:f>
        <x:v>0</x:v>
      </x:c>
      <x:c r="CU26" s="113" t="n">
        <x:f>SUM(CU16,CU19,CU22,CU25)</x:f>
        <x:v>0</x:v>
      </x:c>
      <x:c r="CV26" s="113" t="n">
        <x:f>SUM(CV16,CV19,CV22,CV25)</x:f>
        <x:v>0</x:v>
      </x:c>
      <x:c r="CW26" s="113" t="n">
        <x:f>SUM(CW16,CW19,CW22,CW25)</x:f>
        <x:v>0</x:v>
      </x:c>
      <x:c r="CX26" s="113" t="n">
        <x:f>SUM(CX16,CX19,CX22,CX25)</x:f>
        <x:v>0</x:v>
      </x:c>
      <x:c r="CY26" s="113" t="n">
        <x:f>SUM(CY16,CY19,CY22,CY25)</x:f>
        <x:v>0</x:v>
      </x:c>
      <x:c r="CZ26" s="113" t="n">
        <x:f>SUM(CZ16,CZ19,CZ22,CZ25)</x:f>
        <x:v>0</x:v>
      </x:c>
      <x:c r="DA26" s="113" t="n">
        <x:f>SUM(DA16,DA19,DA22,DA25)</x:f>
        <x:v>0</x:v>
      </x:c>
      <x:c r="DB26" s="113" t="n">
        <x:f>SUM(DB16,DB19,DB22,DB25)</x:f>
        <x:v>0</x:v>
      </x:c>
      <x:c r="DC26" s="113" t="n">
        <x:f>SUM(DC16,DC19,DC22,DC25)</x:f>
        <x:v>0</x:v>
      </x:c>
      <x:c r="DD26" s="113" t="n">
        <x:f>SUM(DD16,DD19,DD22,DD25)</x:f>
        <x:v>0</x:v>
      </x:c>
      <x:c r="DE26" s="113" t="n">
        <x:f>SUM(DE16,DE19,DE22,DE25)</x:f>
        <x:v>0</x:v>
      </x:c>
      <x:c r="DF26" s="113" t="n">
        <x:f>SUM(DF16,DF19,DF22,DF25)</x:f>
        <x:v>0</x:v>
      </x:c>
      <x:c r="DG26" s="113" t="n">
        <x:f>SUM(DG16,DG19,DG22,DG25)</x:f>
        <x:v>0</x:v>
      </x:c>
      <x:c r="DH26" s="113" t="n">
        <x:f>SUM(DH16,DH19,DH22,DH25)</x:f>
        <x:v>0</x:v>
      </x:c>
      <x:c r="DI26" s="113" t="n">
        <x:f>SUM(DI16,DI19,DI22,DI25)</x:f>
        <x:v>0</x:v>
      </x:c>
      <x:c r="DJ26" s="113" t="n">
        <x:f>SUM(DJ16,DJ19,DJ22,DJ25)</x:f>
        <x:v>0</x:v>
      </x:c>
      <x:c r="DK26" s="113" t="n">
        <x:f>SUM(DK16,DK19,DK22,DK25)</x:f>
        <x:v>0</x:v>
      </x:c>
      <x:c r="DL26" s="113" t="n">
        <x:f>SUM(DL16,DL19,DL22,DL25)</x:f>
        <x:v>0</x:v>
      </x:c>
      <x:c r="DM26" s="113" t="n">
        <x:f>SUM(DM16,DM19,DM22,DM25)</x:f>
        <x:v>0</x:v>
      </x:c>
      <x:c r="DN26" s="113" t="n">
        <x:f>SUM(DN16,DN19,DN22,DN25)</x:f>
        <x:v>0</x:v>
      </x:c>
      <x:c r="DO26" s="113" t="n">
        <x:f>SUM(DO16,DO19,DO22,DO25)</x:f>
        <x:v>0</x:v>
      </x:c>
      <x:c r="DP26" s="113" t="n">
        <x:f>SUM(DP16,DP19,DP22,DP25)</x:f>
        <x:v>0</x:v>
      </x:c>
      <x:c r="DQ26" s="113" t="n">
        <x:f>SUM(DQ16,DQ19,DQ22,DQ25)</x:f>
        <x:v>0</x:v>
      </x:c>
      <x:c r="DR26" s="113" t="n">
        <x:f>SUM(DR16,DR19,DR22,DR25)</x:f>
        <x:v>0</x:v>
      </x:c>
      <x:c r="DS26" s="113" t="n">
        <x:f>SUM(DS16,DS19,DS22,DS25)</x:f>
        <x:v>0</x:v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  <x:v>47665</x:v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  <x:v>48396</x:v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  <x:v>0</x:v>
      </x:c>
      <x:c r="E32" t="n">
        <x:f>--AND(E$3&gt;=$B$30,E$3&lt;$B$31,E$3&lt;EDATE($B$30,MAX(1,'Вводные'!$H$89)),'Вводные'!$B$89="Да")</x:f>
        <x:v>0</x:v>
      </x:c>
      <x:c r="F32" t="n">
        <x:f>--AND(F$3&gt;=$B$30,F$3&lt;$B$31,F$3&lt;EDATE($B$30,MAX(1,'Вводные'!$H$89)),'Вводные'!$B$89="Да")</x:f>
        <x:v>0</x:v>
      </x:c>
      <x:c r="G32" t="n">
        <x:f>--AND(G$3&gt;=$B$30,G$3&lt;$B$31,G$3&lt;EDATE($B$30,MAX(1,'Вводные'!$H$89)),'Вводные'!$B$89="Да")</x:f>
        <x:v>0</x:v>
      </x:c>
      <x:c r="H32" t="n">
        <x:f>--AND(H$3&gt;=$B$30,H$3&lt;$B$31,H$3&lt;EDATE($B$30,MAX(1,'Вводные'!$H$89)),'Вводные'!$B$89="Да")</x:f>
        <x:v>0</x:v>
      </x:c>
      <x:c r="I32" t="n">
        <x:f>--AND(I$3&gt;=$B$30,I$3&lt;$B$31,I$3&lt;EDATE($B$30,MAX(1,'Вводные'!$H$89)),'Вводные'!$B$89="Да")</x:f>
        <x:v>0</x:v>
      </x:c>
      <x:c r="J32" t="n">
        <x:f>--AND(J$3&gt;=$B$30,J$3&lt;$B$31,J$3&lt;EDATE($B$30,MAX(1,'Вводные'!$H$89)),'Вводные'!$B$89="Да")</x:f>
        <x:v>0</x:v>
      </x:c>
      <x:c r="K32" t="n">
        <x:f>--AND(K$3&gt;=$B$30,K$3&lt;$B$31,K$3&lt;EDATE($B$30,MAX(1,'Вводные'!$H$89)),'Вводные'!$B$89="Да")</x:f>
        <x:v>0</x:v>
      </x:c>
      <x:c r="L32" t="n">
        <x:f>--AND(L$3&gt;=$B$30,L$3&lt;$B$31,L$3&lt;EDATE($B$30,MAX(1,'Вводные'!$H$89)),'Вводные'!$B$89="Да")</x:f>
        <x:v>0</x:v>
      </x:c>
      <x:c r="M32" t="n">
        <x:f>--AND(M$3&gt;=$B$30,M$3&lt;$B$31,M$3&lt;EDATE($B$30,MAX(1,'Вводные'!$H$89)),'Вводные'!$B$89="Да")</x:f>
        <x:v>0</x:v>
      </x:c>
      <x:c r="N32" t="n">
        <x:f>--AND(N$3&gt;=$B$30,N$3&lt;$B$31,N$3&lt;EDATE($B$30,MAX(1,'Вводные'!$H$89)),'Вводные'!$B$89="Да")</x:f>
        <x:v>0</x:v>
      </x:c>
      <x:c r="O32" t="n">
        <x:f>--AND(O$3&gt;=$B$30,O$3&lt;$B$31,O$3&lt;EDATE($B$30,MAX(1,'Вводные'!$H$89)),'Вводные'!$B$89="Да")</x:f>
        <x:v>0</x:v>
      </x:c>
      <x:c r="P32" t="n">
        <x:f>--AND(P$3&gt;=$B$30,P$3&lt;$B$31,P$3&lt;EDATE($B$30,MAX(1,'Вводные'!$H$89)),'Вводные'!$B$89="Да")</x:f>
        <x:v>0</x:v>
      </x:c>
      <x:c r="Q32" t="n">
        <x:f>--AND(Q$3&gt;=$B$30,Q$3&lt;$B$31,Q$3&lt;EDATE($B$30,MAX(1,'Вводные'!$H$89)),'Вводные'!$B$89="Да")</x:f>
        <x:v>0</x:v>
      </x:c>
      <x:c r="R32" t="n">
        <x:f>--AND(R$3&gt;=$B$30,R$3&lt;$B$31,R$3&lt;EDATE($B$30,MAX(1,'Вводные'!$H$89)),'Вводные'!$B$89="Да")</x:f>
        <x:v>0</x:v>
      </x:c>
      <x:c r="S32" t="n">
        <x:f>--AND(S$3&gt;=$B$30,S$3&lt;$B$31,S$3&lt;EDATE($B$30,MAX(1,'Вводные'!$H$89)),'Вводные'!$B$89="Да")</x:f>
        <x:v>0</x:v>
      </x:c>
      <x:c r="T32" t="n">
        <x:f>--AND(T$3&gt;=$B$30,T$3&lt;$B$31,T$3&lt;EDATE($B$30,MAX(1,'Вводные'!$H$89)),'Вводные'!$B$89="Да")</x:f>
        <x:v>0</x:v>
      </x:c>
      <x:c r="U32" t="n">
        <x:f>--AND(U$3&gt;=$B$30,U$3&lt;$B$31,U$3&lt;EDATE($B$30,MAX(1,'Вводные'!$H$89)),'Вводные'!$B$89="Да")</x:f>
        <x:v>0</x:v>
      </x:c>
      <x:c r="V32" t="n">
        <x:f>--AND(V$3&gt;=$B$30,V$3&lt;$B$31,V$3&lt;EDATE($B$30,MAX(1,'Вводные'!$H$89)),'Вводные'!$B$89="Да")</x:f>
        <x:v>0</x:v>
      </x:c>
      <x:c r="W32" t="n">
        <x:f>--AND(W$3&gt;=$B$30,W$3&lt;$B$31,W$3&lt;EDATE($B$30,MAX(1,'Вводные'!$H$89)),'Вводные'!$B$89="Да")</x:f>
        <x:v>0</x:v>
      </x:c>
      <x:c r="X32" t="n">
        <x:f>--AND(X$3&gt;=$B$30,X$3&lt;$B$31,X$3&lt;EDATE($B$30,MAX(1,'Вводные'!$H$89)),'Вводные'!$B$89="Да")</x:f>
        <x:v>0</x:v>
      </x:c>
      <x:c r="Y32" t="n">
        <x:f>--AND(Y$3&gt;=$B$30,Y$3&lt;$B$31,Y$3&lt;EDATE($B$30,MAX(1,'Вводные'!$H$89)),'Вводные'!$B$89="Да")</x:f>
        <x:v>0</x:v>
      </x:c>
      <x:c r="Z32" t="n">
        <x:f>--AND(Z$3&gt;=$B$30,Z$3&lt;$B$31,Z$3&lt;EDATE($B$30,MAX(1,'Вводные'!$H$89)),'Вводные'!$B$89="Да")</x:f>
        <x:v>0</x:v>
      </x:c>
      <x:c r="AA32" t="n">
        <x:f>--AND(AA$3&gt;=$B$30,AA$3&lt;$B$31,AA$3&lt;EDATE($B$30,MAX(1,'Вводные'!$H$89)),'Вводные'!$B$89="Да")</x:f>
        <x:v>0</x:v>
      </x:c>
      <x:c r="AB32" t="n">
        <x:f>--AND(AB$3&gt;=$B$30,AB$3&lt;$B$31,AB$3&lt;EDATE($B$30,MAX(1,'Вводные'!$H$89)),'Вводные'!$B$89="Да")</x:f>
        <x:v>0</x:v>
      </x:c>
      <x:c r="AC32" t="n">
        <x:f>--AND(AC$3&gt;=$B$30,AC$3&lt;$B$31,AC$3&lt;EDATE($B$30,MAX(1,'Вводные'!$H$89)),'Вводные'!$B$89="Да")</x:f>
        <x:v>0</x:v>
      </x:c>
      <x:c r="AD32" t="n">
        <x:f>--AND(AD$3&gt;=$B$30,AD$3&lt;$B$31,AD$3&lt;EDATE($B$30,MAX(1,'Вводные'!$H$89)),'Вводные'!$B$89="Да")</x:f>
        <x:v>0</x:v>
      </x:c>
      <x:c r="AE32" t="n">
        <x:f>--AND(AE$3&gt;=$B$30,AE$3&lt;$B$31,AE$3&lt;EDATE($B$30,MAX(1,'Вводные'!$H$89)),'Вводные'!$B$89="Да")</x:f>
        <x:v>0</x:v>
      </x:c>
      <x:c r="AF32" t="n">
        <x:f>--AND(AF$3&gt;=$B$30,AF$3&lt;$B$31,AF$3&lt;EDATE($B$30,MAX(1,'Вводные'!$H$89)),'Вводные'!$B$89="Да")</x:f>
        <x:v>0</x:v>
      </x:c>
      <x:c r="AG32" t="n">
        <x:f>--AND(AG$3&gt;=$B$30,AG$3&lt;$B$31,AG$3&lt;EDATE($B$30,MAX(1,'Вводные'!$H$89)),'Вводные'!$B$89="Да")</x:f>
        <x:v>0</x:v>
      </x:c>
      <x:c r="AH32" t="n">
        <x:f>--AND(AH$3&gt;=$B$30,AH$3&lt;$B$31,AH$3&lt;EDATE($B$30,MAX(1,'Вводные'!$H$89)),'Вводные'!$B$89="Да")</x:f>
        <x:v>0</x:v>
      </x:c>
      <x:c r="AI32" t="n">
        <x:f>--AND(AI$3&gt;=$B$30,AI$3&lt;$B$31,AI$3&lt;EDATE($B$30,MAX(1,'Вводные'!$H$89)),'Вводные'!$B$89="Да")</x:f>
        <x:v>0</x:v>
      </x:c>
      <x:c r="AJ32" t="n">
        <x:f>--AND(AJ$3&gt;=$B$30,AJ$3&lt;$B$31,AJ$3&lt;EDATE($B$30,MAX(1,'Вводные'!$H$89)),'Вводные'!$B$89="Да")</x:f>
        <x:v>0</x:v>
      </x:c>
      <x:c r="AK32" t="n">
        <x:f>--AND(AK$3&gt;=$B$30,AK$3&lt;$B$31,AK$3&lt;EDATE($B$30,MAX(1,'Вводные'!$H$89)),'Вводные'!$B$89="Да")</x:f>
        <x:v>0</x:v>
      </x:c>
      <x:c r="AL32" t="n">
        <x:f>--AND(AL$3&gt;=$B$30,AL$3&lt;$B$31,AL$3&lt;EDATE($B$30,MAX(1,'Вводные'!$H$89)),'Вводные'!$B$89="Да")</x:f>
        <x:v>0</x:v>
      </x:c>
      <x:c r="AM32" t="n">
        <x:f>--AND(AM$3&gt;=$B$30,AM$3&lt;$B$31,AM$3&lt;EDATE($B$30,MAX(1,'Вводные'!$H$89)),'Вводные'!$B$89="Да")</x:f>
        <x:v>0</x:v>
      </x:c>
      <x:c r="AN32" t="n">
        <x:f>--AND(AN$3&gt;=$B$30,AN$3&lt;$B$31,AN$3&lt;EDATE($B$30,MAX(1,'Вводные'!$H$89)),'Вводные'!$B$89="Да")</x:f>
        <x:v>0</x:v>
      </x:c>
      <x:c r="AO32" t="n">
        <x:f>--AND(AO$3&gt;=$B$30,AO$3&lt;$B$31,AO$3&lt;EDATE($B$30,MAX(1,'Вводные'!$H$89)),'Вводные'!$B$89="Да")</x:f>
        <x:v>0</x:v>
      </x:c>
      <x:c r="AP32" t="n">
        <x:f>--AND(AP$3&gt;=$B$30,AP$3&lt;$B$31,AP$3&lt;EDATE($B$30,MAX(1,'Вводные'!$H$89)),'Вводные'!$B$89="Да")</x:f>
        <x:v>0</x:v>
      </x:c>
      <x:c r="AQ32" t="n">
        <x:f>--AND(AQ$3&gt;=$B$30,AQ$3&lt;$B$31,AQ$3&lt;EDATE($B$30,MAX(1,'Вводные'!$H$89)),'Вводные'!$B$89="Да")</x:f>
        <x:v>0</x:v>
      </x:c>
      <x:c r="AR32" t="n">
        <x:f>--AND(AR$3&gt;=$B$30,AR$3&lt;$B$31,AR$3&lt;EDATE($B$30,MAX(1,'Вводные'!$H$89)),'Вводные'!$B$89="Да")</x:f>
        <x:v>0</x:v>
      </x:c>
      <x:c r="AS32" t="n">
        <x:f>--AND(AS$3&gt;=$B$30,AS$3&lt;$B$31,AS$3&lt;EDATE($B$30,MAX(1,'Вводные'!$H$89)),'Вводные'!$B$89="Да")</x:f>
        <x:v>0</x:v>
      </x:c>
      <x:c r="AT32" t="n">
        <x:f>--AND(AT$3&gt;=$B$30,AT$3&lt;$B$31,AT$3&lt;EDATE($B$30,MAX(1,'Вводные'!$H$89)),'Вводные'!$B$89="Да")</x:f>
        <x:v>0</x:v>
      </x:c>
      <x:c r="AU32" t="n">
        <x:f>--AND(AU$3&gt;=$B$30,AU$3&lt;$B$31,AU$3&lt;EDATE($B$30,MAX(1,'Вводные'!$H$89)),'Вводные'!$B$89="Да")</x:f>
        <x:v>0</x:v>
      </x:c>
      <x:c r="AV32" t="n">
        <x:f>--AND(AV$3&gt;=$B$30,AV$3&lt;$B$31,AV$3&lt;EDATE($B$30,MAX(1,'Вводные'!$H$89)),'Вводные'!$B$89="Да")</x:f>
        <x:v>0</x:v>
      </x:c>
      <x:c r="AW32" t="n">
        <x:f>--AND(AW$3&gt;=$B$30,AW$3&lt;$B$31,AW$3&lt;EDATE($B$30,MAX(1,'Вводные'!$H$89)),'Вводные'!$B$89="Да")</x:f>
        <x:v>0</x:v>
      </x:c>
      <x:c r="AX32" t="n">
        <x:f>--AND(AX$3&gt;=$B$30,AX$3&lt;$B$31,AX$3&lt;EDATE($B$30,MAX(1,'Вводные'!$H$89)),'Вводные'!$B$89="Да")</x:f>
        <x:v>0</x:v>
      </x:c>
      <x:c r="AY32" t="n">
        <x:f>--AND(AY$3&gt;=$B$30,AY$3&lt;$B$31,AY$3&lt;EDATE($B$30,MAX(1,'Вводные'!$H$89)),'Вводные'!$B$89="Да")</x:f>
        <x:v>0</x:v>
      </x:c>
      <x:c r="AZ32" t="n">
        <x:f>--AND(AZ$3&gt;=$B$30,AZ$3&lt;$B$31,AZ$3&lt;EDATE($B$30,MAX(1,'Вводные'!$H$89)),'Вводные'!$B$89="Да")</x:f>
        <x:v>0</x:v>
      </x:c>
      <x:c r="BA32" t="n">
        <x:f>--AND(BA$3&gt;=$B$30,BA$3&lt;$B$31,BA$3&lt;EDATE($B$30,MAX(1,'Вводные'!$H$89)),'Вводные'!$B$89="Да")</x:f>
        <x:v>0</x:v>
      </x:c>
      <x:c r="BB32" t="n">
        <x:f>--AND(BB$3&gt;=$B$30,BB$3&lt;$B$31,BB$3&lt;EDATE($B$30,MAX(1,'Вводные'!$H$89)),'Вводные'!$B$89="Да")</x:f>
        <x:v>0</x:v>
      </x:c>
      <x:c r="BC32" t="n">
        <x:f>--AND(BC$3&gt;=$B$30,BC$3&lt;$B$31,BC$3&lt;EDATE($B$30,MAX(1,'Вводные'!$H$89)),'Вводные'!$B$89="Да")</x:f>
        <x:v>0</x:v>
      </x:c>
      <x:c r="BD32" t="n">
        <x:f>--AND(BD$3&gt;=$B$30,BD$3&lt;$B$31,BD$3&lt;EDATE($B$30,MAX(1,'Вводные'!$H$89)),'Вводные'!$B$89="Да")</x:f>
        <x:v>0</x:v>
      </x:c>
      <x:c r="BE32" t="n">
        <x:f>--AND(BE$3&gt;=$B$30,BE$3&lt;$B$31,BE$3&lt;EDATE($B$30,MAX(1,'Вводные'!$H$89)),'Вводные'!$B$89="Да")</x:f>
        <x:v>0</x:v>
      </x:c>
      <x:c r="BF32" t="n">
        <x:f>--AND(BF$3&gt;=$B$30,BF$3&lt;$B$31,BF$3&lt;EDATE($B$30,MAX(1,'Вводные'!$H$89)),'Вводные'!$B$89="Да")</x:f>
        <x:v>0</x:v>
      </x:c>
      <x:c r="BG32" t="n">
        <x:f>--AND(BG$3&gt;=$B$30,BG$3&lt;$B$31,BG$3&lt;EDATE($B$30,MAX(1,'Вводные'!$H$89)),'Вводные'!$B$89="Да")</x:f>
        <x:v>0</x:v>
      </x:c>
      <x:c r="BH32" t="n">
        <x:f>--AND(BH$3&gt;=$B$30,BH$3&lt;$B$31,BH$3&lt;EDATE($B$30,MAX(1,'Вводные'!$H$89)),'Вводные'!$B$89="Да")</x:f>
        <x:v>0</x:v>
      </x:c>
      <x:c r="BI32" t="n">
        <x:f>--AND(BI$3&gt;=$B$30,BI$3&lt;$B$31,BI$3&lt;EDATE($B$30,MAX(1,'Вводные'!$H$89)),'Вводные'!$B$89="Да")</x:f>
        <x:v>0</x:v>
      </x:c>
      <x:c r="BJ32" t="n">
        <x:f>--AND(BJ$3&gt;=$B$30,BJ$3&lt;$B$31,BJ$3&lt;EDATE($B$30,MAX(1,'Вводные'!$H$89)),'Вводные'!$B$89="Да")</x:f>
        <x:v>0</x:v>
      </x:c>
      <x:c r="BK32" t="n">
        <x:f>--AND(BK$3&gt;=$B$30,BK$3&lt;$B$31,BK$3&lt;EDATE($B$30,MAX(1,'Вводные'!$H$89)),'Вводные'!$B$89="Да")</x:f>
        <x:v>0</x:v>
      </x:c>
      <x:c r="BL32" t="n">
        <x:f>--AND(BL$3&gt;=$B$30,BL$3&lt;$B$31,BL$3&lt;EDATE($B$30,MAX(1,'Вводные'!$H$89)),'Вводные'!$B$89="Да")</x:f>
        <x:v>0</x:v>
      </x:c>
      <x:c r="BM32" t="n">
        <x:f>--AND(BM$3&gt;=$B$30,BM$3&lt;$B$31,BM$3&lt;EDATE($B$30,MAX(1,'Вводные'!$H$89)),'Вводные'!$B$89="Да")</x:f>
        <x:v>0</x:v>
      </x:c>
      <x:c r="BN32" t="n">
        <x:f>--AND(BN$3&gt;=$B$30,BN$3&lt;$B$31,BN$3&lt;EDATE($B$30,MAX(1,'Вводные'!$H$89)),'Вводные'!$B$89="Да")</x:f>
        <x:v>0</x:v>
      </x:c>
      <x:c r="BO32" t="n">
        <x:f>--AND(BO$3&gt;=$B$30,BO$3&lt;$B$31,BO$3&lt;EDATE($B$30,MAX(1,'Вводные'!$H$89)),'Вводные'!$B$89="Да")</x:f>
        <x:v>0</x:v>
      </x:c>
      <x:c r="BP32" t="n">
        <x:f>--AND(BP$3&gt;=$B$30,BP$3&lt;$B$31,BP$3&lt;EDATE($B$30,MAX(1,'Вводные'!$H$89)),'Вводные'!$B$89="Да")</x:f>
        <x:v>0</x:v>
      </x:c>
      <x:c r="BQ32" t="n">
        <x:f>--AND(BQ$3&gt;=$B$30,BQ$3&lt;$B$31,BQ$3&lt;EDATE($B$30,MAX(1,'Вводные'!$H$89)),'Вводные'!$B$89="Да")</x:f>
        <x:v>0</x:v>
      </x:c>
      <x:c r="BR32" t="n">
        <x:f>--AND(BR$3&gt;=$B$30,BR$3&lt;$B$31,BR$3&lt;EDATE($B$30,MAX(1,'Вводные'!$H$89)),'Вводные'!$B$89="Да")</x:f>
        <x:v>0</x:v>
      </x:c>
      <x:c r="BS32" t="n">
        <x:f>--AND(BS$3&gt;=$B$30,BS$3&lt;$B$31,BS$3&lt;EDATE($B$30,MAX(1,'Вводные'!$H$89)),'Вводные'!$B$89="Да")</x:f>
        <x:v>0</x:v>
      </x:c>
      <x:c r="BT32" t="n">
        <x:f>--AND(BT$3&gt;=$B$30,BT$3&lt;$B$31,BT$3&lt;EDATE($B$30,MAX(1,'Вводные'!$H$89)),'Вводные'!$B$89="Да")</x:f>
        <x:v>0</x:v>
      </x:c>
      <x:c r="BU32" t="n">
        <x:f>--AND(BU$3&gt;=$B$30,BU$3&lt;$B$31,BU$3&lt;EDATE($B$30,MAX(1,'Вводные'!$H$89)),'Вводные'!$B$89="Да")</x:f>
        <x:v>0</x:v>
      </x:c>
      <x:c r="BV32" t="n">
        <x:f>--AND(BV$3&gt;=$B$30,BV$3&lt;$B$31,BV$3&lt;EDATE($B$30,MAX(1,'Вводные'!$H$89)),'Вводные'!$B$89="Да")</x:f>
        <x:v>0</x:v>
      </x:c>
      <x:c r="BW32" t="n">
        <x:f>--AND(BW$3&gt;=$B$30,BW$3&lt;$B$31,BW$3&lt;EDATE($B$30,MAX(1,'Вводные'!$H$89)),'Вводные'!$B$89="Да")</x:f>
        <x:v>0</x:v>
      </x:c>
      <x:c r="BX32" t="n">
        <x:f>--AND(BX$3&gt;=$B$30,BX$3&lt;$B$31,BX$3&lt;EDATE($B$30,MAX(1,'Вводные'!$H$89)),'Вводные'!$B$89="Да")</x:f>
        <x:v>0</x:v>
      </x:c>
      <x:c r="BY32" t="n">
        <x:f>--AND(BY$3&gt;=$B$30,BY$3&lt;$B$31,BY$3&lt;EDATE($B$30,MAX(1,'Вводные'!$H$89)),'Вводные'!$B$89="Да")</x:f>
        <x:v>0</x:v>
      </x:c>
      <x:c r="BZ32" t="n">
        <x:f>--AND(BZ$3&gt;=$B$30,BZ$3&lt;$B$31,BZ$3&lt;EDATE($B$30,MAX(1,'Вводные'!$H$89)),'Вводные'!$B$89="Да")</x:f>
        <x:v>0</x:v>
      </x:c>
      <x:c r="CA32" t="n">
        <x:f>--AND(CA$3&gt;=$B$30,CA$3&lt;$B$31,CA$3&lt;EDATE($B$30,MAX(1,'Вводные'!$H$89)),'Вводные'!$B$89="Да")</x:f>
        <x:v>0</x:v>
      </x:c>
      <x:c r="CB32" t="n">
        <x:f>--AND(CB$3&gt;=$B$30,CB$3&lt;$B$31,CB$3&lt;EDATE($B$30,MAX(1,'Вводные'!$H$89)),'Вводные'!$B$89="Да")</x:f>
        <x:v>0</x:v>
      </x:c>
      <x:c r="CC32" t="n">
        <x:f>--AND(CC$3&gt;=$B$30,CC$3&lt;$B$31,CC$3&lt;EDATE($B$30,MAX(1,'Вводные'!$H$89)),'Вводные'!$B$89="Да")</x:f>
        <x:v>0</x:v>
      </x:c>
      <x:c r="CD32" t="n">
        <x:f>--AND(CD$3&gt;=$B$30,CD$3&lt;$B$31,CD$3&lt;EDATE($B$30,MAX(1,'Вводные'!$H$89)),'Вводные'!$B$89="Да")</x:f>
        <x:v>0</x:v>
      </x:c>
      <x:c r="CE32" t="n">
        <x:f>--AND(CE$3&gt;=$B$30,CE$3&lt;$B$31,CE$3&lt;EDATE($B$30,MAX(1,'Вводные'!$H$89)),'Вводные'!$B$89="Да")</x:f>
        <x:v>0</x:v>
      </x:c>
      <x:c r="CF32" t="n">
        <x:f>--AND(CF$3&gt;=$B$30,CF$3&lt;$B$31,CF$3&lt;EDATE($B$30,MAX(1,'Вводные'!$H$89)),'Вводные'!$B$89="Да")</x:f>
        <x:v>0</x:v>
      </x:c>
      <x:c r="CG32" t="n">
        <x:f>--AND(CG$3&gt;=$B$30,CG$3&lt;$B$31,CG$3&lt;EDATE($B$30,MAX(1,'Вводные'!$H$89)),'Вводные'!$B$89="Да")</x:f>
        <x:v>0</x:v>
      </x:c>
      <x:c r="CH32" t="n">
        <x:f>--AND(CH$3&gt;=$B$30,CH$3&lt;$B$31,CH$3&lt;EDATE($B$30,MAX(1,'Вводные'!$H$89)),'Вводные'!$B$89="Да")</x:f>
        <x:v>0</x:v>
      </x:c>
      <x:c r="CI32" t="n">
        <x:f>--AND(CI$3&gt;=$B$30,CI$3&lt;$B$31,CI$3&lt;EDATE($B$30,MAX(1,'Вводные'!$H$89)),'Вводные'!$B$89="Да")</x:f>
        <x:v>0</x:v>
      </x:c>
      <x:c r="CJ32" t="n">
        <x:f>--AND(CJ$3&gt;=$B$30,CJ$3&lt;$B$31,CJ$3&lt;EDATE($B$30,MAX(1,'Вводные'!$H$89)),'Вводные'!$B$89="Да")</x:f>
        <x:v>0</x:v>
      </x:c>
      <x:c r="CK32" t="n">
        <x:f>--AND(CK$3&gt;=$B$30,CK$3&lt;$B$31,CK$3&lt;EDATE($B$30,MAX(1,'Вводные'!$H$89)),'Вводные'!$B$89="Да")</x:f>
        <x:v>0</x:v>
      </x:c>
      <x:c r="CL32" t="n">
        <x:f>--AND(CL$3&gt;=$B$30,CL$3&lt;$B$31,CL$3&lt;EDATE($B$30,MAX(1,'Вводные'!$H$89)),'Вводные'!$B$89="Да")</x:f>
        <x:v>0</x:v>
      </x:c>
      <x:c r="CM32" t="n">
        <x:f>--AND(CM$3&gt;=$B$30,CM$3&lt;$B$31,CM$3&lt;EDATE($B$30,MAX(1,'Вводные'!$H$89)),'Вводные'!$B$89="Да")</x:f>
        <x:v>0</x:v>
      </x:c>
      <x:c r="CN32" t="n">
        <x:f>--AND(CN$3&gt;=$B$30,CN$3&lt;$B$31,CN$3&lt;EDATE($B$30,MAX(1,'Вводные'!$H$89)),'Вводные'!$B$89="Да")</x:f>
        <x:v>0</x:v>
      </x:c>
      <x:c r="CO32" t="n">
        <x:f>--AND(CO$3&gt;=$B$30,CO$3&lt;$B$31,CO$3&lt;EDATE($B$30,MAX(1,'Вводные'!$H$89)),'Вводные'!$B$89="Да")</x:f>
        <x:v>0</x:v>
      </x:c>
      <x:c r="CP32" t="n">
        <x:f>--AND(CP$3&gt;=$B$30,CP$3&lt;$B$31,CP$3&lt;EDATE($B$30,MAX(1,'Вводные'!$H$89)),'Вводные'!$B$89="Да")</x:f>
        <x:v>0</x:v>
      </x:c>
      <x:c r="CQ32" t="n">
        <x:f>--AND(CQ$3&gt;=$B$30,CQ$3&lt;$B$31,CQ$3&lt;EDATE($B$30,MAX(1,'Вводные'!$H$89)),'Вводные'!$B$89="Да")</x:f>
        <x:v>0</x:v>
      </x:c>
      <x:c r="CR32" t="n">
        <x:f>--AND(CR$3&gt;=$B$30,CR$3&lt;$B$31,CR$3&lt;EDATE($B$30,MAX(1,'Вводные'!$H$89)),'Вводные'!$B$89="Да")</x:f>
        <x:v>0</x:v>
      </x:c>
      <x:c r="CS32" t="n">
        <x:f>--AND(CS$3&gt;=$B$30,CS$3&lt;$B$31,CS$3&lt;EDATE($B$30,MAX(1,'Вводные'!$H$89)),'Вводные'!$B$89="Да")</x:f>
        <x:v>0</x:v>
      </x:c>
      <x:c r="CT32" t="n">
        <x:f>--AND(CT$3&gt;=$B$30,CT$3&lt;$B$31,CT$3&lt;EDATE($B$30,MAX(1,'Вводные'!$H$89)),'Вводные'!$B$89="Да")</x:f>
        <x:v>0</x:v>
      </x:c>
      <x:c r="CU32" t="n">
        <x:f>--AND(CU$3&gt;=$B$30,CU$3&lt;$B$31,CU$3&lt;EDATE($B$30,MAX(1,'Вводные'!$H$89)),'Вводные'!$B$89="Да")</x:f>
        <x:v>0</x:v>
      </x:c>
      <x:c r="CV32" t="n">
        <x:f>--AND(CV$3&gt;=$B$30,CV$3&lt;$B$31,CV$3&lt;EDATE($B$30,MAX(1,'Вводные'!$H$89)),'Вводные'!$B$89="Да")</x:f>
        <x:v>0</x:v>
      </x:c>
      <x:c r="CW32" t="n">
        <x:f>--AND(CW$3&gt;=$B$30,CW$3&lt;$B$31,CW$3&lt;EDATE($B$30,MAX(1,'Вводные'!$H$89)),'Вводные'!$B$89="Да")</x:f>
        <x:v>0</x:v>
      </x:c>
      <x:c r="CX32" t="n">
        <x:f>--AND(CX$3&gt;=$B$30,CX$3&lt;$B$31,CX$3&lt;EDATE($B$30,MAX(1,'Вводные'!$H$89)),'Вводные'!$B$89="Да")</x:f>
        <x:v>0</x:v>
      </x:c>
      <x:c r="CY32" t="n">
        <x:f>--AND(CY$3&gt;=$B$30,CY$3&lt;$B$31,CY$3&lt;EDATE($B$30,MAX(1,'Вводные'!$H$89)),'Вводные'!$B$89="Да")</x:f>
        <x:v>0</x:v>
      </x:c>
      <x:c r="CZ32" t="n">
        <x:f>--AND(CZ$3&gt;=$B$30,CZ$3&lt;$B$31,CZ$3&lt;EDATE($B$30,MAX(1,'Вводные'!$H$89)),'Вводные'!$B$89="Да")</x:f>
        <x:v>0</x:v>
      </x:c>
      <x:c r="DA32" t="n">
        <x:f>--AND(DA$3&gt;=$B$30,DA$3&lt;$B$31,DA$3&lt;EDATE($B$30,MAX(1,'Вводные'!$H$89)),'Вводные'!$B$89="Да")</x:f>
        <x:v>0</x:v>
      </x:c>
      <x:c r="DB32" t="n">
        <x:f>--AND(DB$3&gt;=$B$30,DB$3&lt;$B$31,DB$3&lt;EDATE($B$30,MAX(1,'Вводные'!$H$89)),'Вводные'!$B$89="Да")</x:f>
        <x:v>0</x:v>
      </x:c>
      <x:c r="DC32" t="n">
        <x:f>--AND(DC$3&gt;=$B$30,DC$3&lt;$B$31,DC$3&lt;EDATE($B$30,MAX(1,'Вводные'!$H$89)),'Вводные'!$B$89="Да")</x:f>
        <x:v>0</x:v>
      </x:c>
      <x:c r="DD32" t="n">
        <x:f>--AND(DD$3&gt;=$B$30,DD$3&lt;$B$31,DD$3&lt;EDATE($B$30,MAX(1,'Вводные'!$H$89)),'Вводные'!$B$89="Да")</x:f>
        <x:v>0</x:v>
      </x:c>
      <x:c r="DE32" t="n">
        <x:f>--AND(DE$3&gt;=$B$30,DE$3&lt;$B$31,DE$3&lt;EDATE($B$30,MAX(1,'Вводные'!$H$89)),'Вводные'!$B$89="Да")</x:f>
        <x:v>0</x:v>
      </x:c>
      <x:c r="DF32" t="n">
        <x:f>--AND(DF$3&gt;=$B$30,DF$3&lt;$B$31,DF$3&lt;EDATE($B$30,MAX(1,'Вводные'!$H$89)),'Вводные'!$B$89="Да")</x:f>
        <x:v>0</x:v>
      </x:c>
      <x:c r="DG32" t="n">
        <x:f>--AND(DG$3&gt;=$B$30,DG$3&lt;$B$31,DG$3&lt;EDATE($B$30,MAX(1,'Вводные'!$H$89)),'Вводные'!$B$89="Да")</x:f>
        <x:v>0</x:v>
      </x:c>
      <x:c r="DH32" t="n">
        <x:f>--AND(DH$3&gt;=$B$30,DH$3&lt;$B$31,DH$3&lt;EDATE($B$30,MAX(1,'Вводные'!$H$89)),'Вводные'!$B$89="Да")</x:f>
        <x:v>0</x:v>
      </x:c>
      <x:c r="DI32" t="n">
        <x:f>--AND(DI$3&gt;=$B$30,DI$3&lt;$B$31,DI$3&lt;EDATE($B$30,MAX(1,'Вводные'!$H$89)),'Вводные'!$B$89="Да")</x:f>
        <x:v>0</x:v>
      </x:c>
      <x:c r="DJ32" t="n">
        <x:f>--AND(DJ$3&gt;=$B$30,DJ$3&lt;$B$31,DJ$3&lt;EDATE($B$30,MAX(1,'Вводные'!$H$89)),'Вводные'!$B$89="Да")</x:f>
        <x:v>0</x:v>
      </x:c>
      <x:c r="DK32" t="n">
        <x:f>--AND(DK$3&gt;=$B$30,DK$3&lt;$B$31,DK$3&lt;EDATE($B$30,MAX(1,'Вводные'!$H$89)),'Вводные'!$B$89="Да")</x:f>
        <x:v>0</x:v>
      </x:c>
      <x:c r="DL32" t="n">
        <x:f>--AND(DL$3&gt;=$B$30,DL$3&lt;$B$31,DL$3&lt;EDATE($B$30,MAX(1,'Вводные'!$H$89)),'Вводные'!$B$89="Да")</x:f>
        <x:v>0</x:v>
      </x:c>
      <x:c r="DM32" t="n">
        <x:f>--AND(DM$3&gt;=$B$30,DM$3&lt;$B$31,DM$3&lt;EDATE($B$30,MAX(1,'Вводные'!$H$89)),'Вводные'!$B$89="Да")</x:f>
        <x:v>0</x:v>
      </x:c>
      <x:c r="DN32" t="n">
        <x:f>--AND(DN$3&gt;=$B$30,DN$3&lt;$B$31,DN$3&lt;EDATE($B$30,MAX(1,'Вводные'!$H$89)),'Вводные'!$B$89="Да")</x:f>
        <x:v>0</x:v>
      </x:c>
      <x:c r="DO32" t="n">
        <x:f>--AND(DO$3&gt;=$B$30,DO$3&lt;$B$31,DO$3&lt;EDATE($B$30,MAX(1,'Вводные'!$H$89)),'Вводные'!$B$89="Да")</x:f>
        <x:v>0</x:v>
      </x:c>
      <x:c r="DP32" t="n">
        <x:f>--AND(DP$3&gt;=$B$30,DP$3&lt;$B$31,DP$3&lt;EDATE($B$30,MAX(1,'Вводные'!$H$89)),'Вводные'!$B$89="Да")</x:f>
        <x:v>0</x:v>
      </x:c>
      <x:c r="DQ32" t="n">
        <x:f>--AND(DQ$3&gt;=$B$30,DQ$3&lt;$B$31,DQ$3&lt;EDATE($B$30,MAX(1,'Вводные'!$H$89)),'Вводные'!$B$89="Да")</x:f>
        <x:v>0</x:v>
      </x:c>
      <x:c r="DR32" t="n">
        <x:f>--AND(DR$3&gt;=$B$30,DR$3&lt;$B$31,DR$3&lt;EDATE($B$30,MAX(1,'Вводные'!$H$89)),'Вводные'!$B$89="Да")</x:f>
        <x:v>0</x:v>
      </x:c>
      <x:c r="DS32" t="n">
        <x:f>--AND(DS$3&gt;=$B$30,DS$3&lt;$B$31,DS$3&lt;EDATE($B$30,MAX(1,'Вводные'!$H$89)),'Вводные'!$B$89="Да")</x:f>
        <x:v>0</x:v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  <x:v>0</x:v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  <x:v>0</x:v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  <x:v>0</x:v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  <x:v>0</x:v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  <x:v>0</x:v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  <x:v>0</x:v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  <x:v>0</x:v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  <x:v>0</x:v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  <x:v>0</x:v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  <x:v>0</x:v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  <x:v>0</x:v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  <x:v>0</x:v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  <x:v>0</x:v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  <x:v>0</x:v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  <x:v>0</x:v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  <x:v>0</x:v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  <x:v>0</x:v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  <x:v>0</x:v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  <x:v>0</x:v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  <x:v>0</x:v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  <x:v>0</x:v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  <x:v>0</x:v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  <x:v>0</x:v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  <x:v>0</x:v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  <x:v>0</x:v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  <x:v>0</x:v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  <x:v>0</x:v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  <x:v>0</x:v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  <x:v>0</x:v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  <x:v>0</x:v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  <x:v>0</x:v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  <x:v>0</x:v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  <x:v>0</x:v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  <x:v>0</x:v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  <x:v>0</x:v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  <x:v>0</x:v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  <x:v>0</x:v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  <x:v>0</x:v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  <x:v>0</x:v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  <x:v>0</x:v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  <x:v>0</x:v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  <x:v>0</x:v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  <x:v>0</x:v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  <x:v>0</x:v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  <x:v>0</x:v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  <x:v>0</x:v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  <x:v>0</x:v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  <x:v>0</x:v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  <x:v>0</x:v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  <x:v>0</x:v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  <x:v>0</x:v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  <x:v>0</x:v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  <x:v>0</x:v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  <x:v>0</x:v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  <x:v>0</x:v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  <x:v>0</x:v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  <x:v>0</x:v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  <x:v>0</x:v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  <x:v>0</x:v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  <x:v>0</x:v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  <x:v>0</x:v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  <x:v>0</x:v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  <x:v>0</x:v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  <x:v>0</x:v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  <x:v>0</x:v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  <x:v>0</x:v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  <x:v>0</x:v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  <x:v>0</x:v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  <x:v>0</x:v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  <x:v>0</x:v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  <x:v>0</x:v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  <x:v>0</x:v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  <x:v>0</x:v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  <x:v>0</x:v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  <x:v>0</x:v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  <x:v>0</x:v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  <x:v>0</x:v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  <x:v>0</x:v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  <x:v>0</x:v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  <x:v>0</x:v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  <x:v>0</x:v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  <x:v>0</x:v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  <x:v>0</x:v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  <x:v>0</x:v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  <x:v>0</x:v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  <x:v>0</x:v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  <x:v>0</x:v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  <x:v>0</x:v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  <x:v>0</x:v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  <x:v>0</x:v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  <x:v>0</x:v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  <x:v>0</x:v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  <x:v>0</x:v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  <x:v>0</x:v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  <x:v>0</x:v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  <x:v>0</x:v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  <x:v>0</x:v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  <x:v>0</x:v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  <x:v>0</x:v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  <x:v>0</x:v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  <x:v>0</x:v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  <x:v>0</x:v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  <x:v>0</x:v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  <x:v>0</x:v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  <x:v>0</x:v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  <x:v>0</x:v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  <x:v>0</x:v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  <x:v>0</x:v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  <x:v>0</x:v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  <x:v>0</x:v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  <x:v>0</x:v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  <x:v>0</x:v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  <x:v>0</x:v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  <x:v>0</x:v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  <x:v>0</x:v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  <x:v>0</x:v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  <x:v>0</x:v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  <x:v>0</x:v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  <x:v>0</x:v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  <x:v>0</x:v>
      </x:c>
    </x:row>
    <x:row r="34">
      <x:c r="A34" t="str">
        <x:v>Нормированный вес до РВЭ</x:v>
      </x:c>
      <x:c r="B34" t="n">
        <x:f>SUM(D34:DS34)</x:f>
        <x:v>0</x:v>
      </x:c>
      <x:c r="C34" t="str">
        <x:v>%</x:v>
      </x:c>
      <x:c r="D34" s="35" t="n">
        <x:f>IFERROR(D33*D32/SUMPRODUCT($D33:$DS33,$D32:$DS32),0)</x:f>
        <x:v>0</x:v>
      </x:c>
      <x:c r="E34" s="35" t="n">
        <x:f>IFERROR(E33*E32/SUMPRODUCT($D33:$DS33,$D32:$DS32),0)</x:f>
        <x:v>0</x:v>
      </x:c>
      <x:c r="F34" s="35" t="n">
        <x:f>IFERROR(F33*F32/SUMPRODUCT($D33:$DS33,$D32:$DS32),0)</x:f>
        <x:v>0</x:v>
      </x:c>
      <x:c r="G34" s="35" t="n">
        <x:f>IFERROR(G33*G32/SUMPRODUCT($D33:$DS33,$D32:$DS32),0)</x:f>
        <x:v>0</x:v>
      </x:c>
      <x:c r="H34" s="35" t="n">
        <x:f>IFERROR(H33*H32/SUMPRODUCT($D33:$DS33,$D32:$DS32),0)</x:f>
        <x:v>0</x:v>
      </x:c>
      <x:c r="I34" s="35" t="n">
        <x:f>IFERROR(I33*I32/SUMPRODUCT($D33:$DS33,$D32:$DS32),0)</x:f>
        <x:v>0</x:v>
      </x:c>
      <x:c r="J34" s="35" t="n">
        <x:f>IFERROR(J33*J32/SUMPRODUCT($D33:$DS33,$D32:$DS32),0)</x:f>
        <x:v>0</x:v>
      </x:c>
      <x:c r="K34" s="35" t="n">
        <x:f>IFERROR(K33*K32/SUMPRODUCT($D33:$DS33,$D32:$DS32),0)</x:f>
        <x:v>0</x:v>
      </x:c>
      <x:c r="L34" s="35" t="n">
        <x:f>IFERROR(L33*L32/SUMPRODUCT($D33:$DS33,$D32:$DS32),0)</x:f>
        <x:v>0</x:v>
      </x:c>
      <x:c r="M34" s="35" t="n">
        <x:f>IFERROR(M33*M32/SUMPRODUCT($D33:$DS33,$D32:$DS32),0)</x:f>
        <x:v>0</x:v>
      </x:c>
      <x:c r="N34" s="35" t="n">
        <x:f>IFERROR(N33*N32/SUMPRODUCT($D33:$DS33,$D32:$DS32),0)</x:f>
        <x:v>0</x:v>
      </x:c>
      <x:c r="O34" s="35" t="n">
        <x:f>IFERROR(O33*O32/SUMPRODUCT($D33:$DS33,$D32:$DS32),0)</x:f>
        <x:v>0</x:v>
      </x:c>
      <x:c r="P34" s="35" t="n">
        <x:f>IFERROR(P33*P32/SUMPRODUCT($D33:$DS33,$D32:$DS32),0)</x:f>
        <x:v>0</x:v>
      </x:c>
      <x:c r="Q34" s="35" t="n">
        <x:f>IFERROR(Q33*Q32/SUMPRODUCT($D33:$DS33,$D32:$DS32),0)</x:f>
        <x:v>0</x:v>
      </x:c>
      <x:c r="R34" s="35" t="n">
        <x:f>IFERROR(R33*R32/SUMPRODUCT($D33:$DS33,$D32:$DS32),0)</x:f>
        <x:v>0</x:v>
      </x:c>
      <x:c r="S34" s="35" t="n">
        <x:f>IFERROR(S33*S32/SUMPRODUCT($D33:$DS33,$D32:$DS32),0)</x:f>
        <x:v>0</x:v>
      </x:c>
      <x:c r="T34" s="35" t="n">
        <x:f>IFERROR(T33*T32/SUMPRODUCT($D33:$DS33,$D32:$DS32),0)</x:f>
        <x:v>0</x:v>
      </x:c>
      <x:c r="U34" s="35" t="n">
        <x:f>IFERROR(U33*U32/SUMPRODUCT($D33:$DS33,$D32:$DS32),0)</x:f>
        <x:v>0</x:v>
      </x:c>
      <x:c r="V34" s="35" t="n">
        <x:f>IFERROR(V33*V32/SUMPRODUCT($D33:$DS33,$D32:$DS32),0)</x:f>
        <x:v>0</x:v>
      </x:c>
      <x:c r="W34" s="35" t="n">
        <x:f>IFERROR(W33*W32/SUMPRODUCT($D33:$DS33,$D32:$DS32),0)</x:f>
        <x:v>0</x:v>
      </x:c>
      <x:c r="X34" s="35" t="n">
        <x:f>IFERROR(X33*X32/SUMPRODUCT($D33:$DS33,$D32:$DS32),0)</x:f>
        <x:v>0</x:v>
      </x:c>
      <x:c r="Y34" s="35" t="n">
        <x:f>IFERROR(Y33*Y32/SUMPRODUCT($D33:$DS33,$D32:$DS32),0)</x:f>
        <x:v>0</x:v>
      </x:c>
      <x:c r="Z34" s="35" t="n">
        <x:f>IFERROR(Z33*Z32/SUMPRODUCT($D33:$DS33,$D32:$DS32),0)</x:f>
        <x:v>0</x:v>
      </x:c>
      <x:c r="AA34" s="35" t="n">
        <x:f>IFERROR(AA33*AA32/SUMPRODUCT($D33:$DS33,$D32:$DS32),0)</x:f>
        <x:v>0</x:v>
      </x:c>
      <x:c r="AB34" s="35" t="n">
        <x:f>IFERROR(AB33*AB32/SUMPRODUCT($D33:$DS33,$D32:$DS32),0)</x:f>
        <x:v>0</x:v>
      </x:c>
      <x:c r="AC34" s="35" t="n">
        <x:f>IFERROR(AC33*AC32/SUMPRODUCT($D33:$DS33,$D32:$DS32),0)</x:f>
        <x:v>0</x:v>
      </x:c>
      <x:c r="AD34" s="35" t="n">
        <x:f>IFERROR(AD33*AD32/SUMPRODUCT($D33:$DS33,$D32:$DS32),0)</x:f>
        <x:v>0</x:v>
      </x:c>
      <x:c r="AE34" s="35" t="n">
        <x:f>IFERROR(AE33*AE32/SUMPRODUCT($D33:$DS33,$D32:$DS32),0)</x:f>
        <x:v>0</x:v>
      </x:c>
      <x:c r="AF34" s="35" t="n">
        <x:f>IFERROR(AF33*AF32/SUMPRODUCT($D33:$DS33,$D32:$DS32),0)</x:f>
        <x:v>0</x:v>
      </x:c>
      <x:c r="AG34" s="35" t="n">
        <x:f>IFERROR(AG33*AG32/SUMPRODUCT($D33:$DS33,$D32:$DS32),0)</x:f>
        <x:v>0</x:v>
      </x:c>
      <x:c r="AH34" s="35" t="n">
        <x:f>IFERROR(AH33*AH32/SUMPRODUCT($D33:$DS33,$D32:$DS32),0)</x:f>
        <x:v>0</x:v>
      </x:c>
      <x:c r="AI34" s="35" t="n">
        <x:f>IFERROR(AI33*AI32/SUMPRODUCT($D33:$DS33,$D32:$DS32),0)</x:f>
        <x:v>0</x:v>
      </x:c>
      <x:c r="AJ34" s="35" t="n">
        <x:f>IFERROR(AJ33*AJ32/SUMPRODUCT($D33:$DS33,$D32:$DS32),0)</x:f>
        <x:v>0</x:v>
      </x:c>
      <x:c r="AK34" s="35" t="n">
        <x:f>IFERROR(AK33*AK32/SUMPRODUCT($D33:$DS33,$D32:$DS32),0)</x:f>
        <x:v>0</x:v>
      </x:c>
      <x:c r="AL34" s="35" t="n">
        <x:f>IFERROR(AL33*AL32/SUMPRODUCT($D33:$DS33,$D32:$DS32),0)</x:f>
        <x:v>0</x:v>
      </x:c>
      <x:c r="AM34" s="35" t="n">
        <x:f>IFERROR(AM33*AM32/SUMPRODUCT($D33:$DS33,$D32:$DS32),0)</x:f>
        <x:v>0</x:v>
      </x:c>
      <x:c r="AN34" s="35" t="n">
        <x:f>IFERROR(AN33*AN32/SUMPRODUCT($D33:$DS33,$D32:$DS32),0)</x:f>
        <x:v>0</x:v>
      </x:c>
      <x:c r="AO34" s="35" t="n">
        <x:f>IFERROR(AO33*AO32/SUMPRODUCT($D33:$DS33,$D32:$DS32),0)</x:f>
        <x:v>0</x:v>
      </x:c>
      <x:c r="AP34" s="35" t="n">
        <x:f>IFERROR(AP33*AP32/SUMPRODUCT($D33:$DS33,$D32:$DS32),0)</x:f>
        <x:v>0</x:v>
      </x:c>
      <x:c r="AQ34" s="35" t="n">
        <x:f>IFERROR(AQ33*AQ32/SUMPRODUCT($D33:$DS33,$D32:$DS32),0)</x:f>
        <x:v>0</x:v>
      </x:c>
      <x:c r="AR34" s="35" t="n">
        <x:f>IFERROR(AR33*AR32/SUMPRODUCT($D33:$DS33,$D32:$DS32),0)</x:f>
        <x:v>0</x:v>
      </x:c>
      <x:c r="AS34" s="35" t="n">
        <x:f>IFERROR(AS33*AS32/SUMPRODUCT($D33:$DS33,$D32:$DS32),0)</x:f>
        <x:v>0</x:v>
      </x:c>
      <x:c r="AT34" s="35" t="n">
        <x:f>IFERROR(AT33*AT32/SUMPRODUCT($D33:$DS33,$D32:$DS32),0)</x:f>
        <x:v>0</x:v>
      </x:c>
      <x:c r="AU34" s="35" t="n">
        <x:f>IFERROR(AU33*AU32/SUMPRODUCT($D33:$DS33,$D32:$DS32),0)</x:f>
        <x:v>0</x:v>
      </x:c>
      <x:c r="AV34" s="35" t="n">
        <x:f>IFERROR(AV33*AV32/SUMPRODUCT($D33:$DS33,$D32:$DS32),0)</x:f>
        <x:v>0</x:v>
      </x:c>
      <x:c r="AW34" s="35" t="n">
        <x:f>IFERROR(AW33*AW32/SUMPRODUCT($D33:$DS33,$D32:$DS32),0)</x:f>
        <x:v>0</x:v>
      </x:c>
      <x:c r="AX34" s="35" t="n">
        <x:f>IFERROR(AX33*AX32/SUMPRODUCT($D33:$DS33,$D32:$DS32),0)</x:f>
        <x:v>0</x:v>
      </x:c>
      <x:c r="AY34" s="35" t="n">
        <x:f>IFERROR(AY33*AY32/SUMPRODUCT($D33:$DS33,$D32:$DS32),0)</x:f>
        <x:v>0</x:v>
      </x:c>
      <x:c r="AZ34" s="35" t="n">
        <x:f>IFERROR(AZ33*AZ32/SUMPRODUCT($D33:$DS33,$D32:$DS32),0)</x:f>
        <x:v>0</x:v>
      </x:c>
      <x:c r="BA34" s="35" t="n">
        <x:f>IFERROR(BA33*BA32/SUMPRODUCT($D33:$DS33,$D32:$DS32),0)</x:f>
        <x:v>0</x:v>
      </x:c>
      <x:c r="BB34" s="35" t="n">
        <x:f>IFERROR(BB33*BB32/SUMPRODUCT($D33:$DS33,$D32:$DS32),0)</x:f>
        <x:v>0</x:v>
      </x:c>
      <x:c r="BC34" s="35" t="n">
        <x:f>IFERROR(BC33*BC32/SUMPRODUCT($D33:$DS33,$D32:$DS32),0)</x:f>
        <x:v>0</x:v>
      </x:c>
      <x:c r="BD34" s="35" t="n">
        <x:f>IFERROR(BD33*BD32/SUMPRODUCT($D33:$DS33,$D32:$DS32),0)</x:f>
        <x:v>0</x:v>
      </x:c>
      <x:c r="BE34" s="35" t="n">
        <x:f>IFERROR(BE33*BE32/SUMPRODUCT($D33:$DS33,$D32:$DS32),0)</x:f>
        <x:v>0</x:v>
      </x:c>
      <x:c r="BF34" s="35" t="n">
        <x:f>IFERROR(BF33*BF32/SUMPRODUCT($D33:$DS33,$D32:$DS32),0)</x:f>
        <x:v>0</x:v>
      </x:c>
      <x:c r="BG34" s="35" t="n">
        <x:f>IFERROR(BG33*BG32/SUMPRODUCT($D33:$DS33,$D32:$DS32),0)</x:f>
        <x:v>0</x:v>
      </x:c>
      <x:c r="BH34" s="35" t="n">
        <x:f>IFERROR(BH33*BH32/SUMPRODUCT($D33:$DS33,$D32:$DS32),0)</x:f>
        <x:v>0</x:v>
      </x:c>
      <x:c r="BI34" s="35" t="n">
        <x:f>IFERROR(BI33*BI32/SUMPRODUCT($D33:$DS33,$D32:$DS32),0)</x:f>
        <x:v>0</x:v>
      </x:c>
      <x:c r="BJ34" s="35" t="n">
        <x:f>IFERROR(BJ33*BJ32/SUMPRODUCT($D33:$DS33,$D32:$DS32),0)</x:f>
        <x:v>0</x:v>
      </x:c>
      <x:c r="BK34" s="35" t="n">
        <x:f>IFERROR(BK33*BK32/SUMPRODUCT($D33:$DS33,$D32:$DS32),0)</x:f>
        <x:v>0</x:v>
      </x:c>
      <x:c r="BL34" s="35" t="n">
        <x:f>IFERROR(BL33*BL32/SUMPRODUCT($D33:$DS33,$D32:$DS32),0)</x:f>
        <x:v>0</x:v>
      </x:c>
      <x:c r="BM34" s="35" t="n">
        <x:f>IFERROR(BM33*BM32/SUMPRODUCT($D33:$DS33,$D32:$DS32),0)</x:f>
        <x:v>0</x:v>
      </x:c>
      <x:c r="BN34" s="35" t="n">
        <x:f>IFERROR(BN33*BN32/SUMPRODUCT($D33:$DS33,$D32:$DS32),0)</x:f>
        <x:v>0</x:v>
      </x:c>
      <x:c r="BO34" s="35" t="n">
        <x:f>IFERROR(BO33*BO32/SUMPRODUCT($D33:$DS33,$D32:$DS32),0)</x:f>
        <x:v>0</x:v>
      </x:c>
      <x:c r="BP34" s="35" t="n">
        <x:f>IFERROR(BP33*BP32/SUMPRODUCT($D33:$DS33,$D32:$DS32),0)</x:f>
        <x:v>0</x:v>
      </x:c>
      <x:c r="BQ34" s="35" t="n">
        <x:f>IFERROR(BQ33*BQ32/SUMPRODUCT($D33:$DS33,$D32:$DS32),0)</x:f>
        <x:v>0</x:v>
      </x:c>
      <x:c r="BR34" s="35" t="n">
        <x:f>IFERROR(BR33*BR32/SUMPRODUCT($D33:$DS33,$D32:$DS32),0)</x:f>
        <x:v>0</x:v>
      </x:c>
      <x:c r="BS34" s="35" t="n">
        <x:f>IFERROR(BS33*BS32/SUMPRODUCT($D33:$DS33,$D32:$DS32),0)</x:f>
        <x:v>0</x:v>
      </x:c>
      <x:c r="BT34" s="35" t="n">
        <x:f>IFERROR(BT33*BT32/SUMPRODUCT($D33:$DS33,$D32:$DS32),0)</x:f>
        <x:v>0</x:v>
      </x:c>
      <x:c r="BU34" s="35" t="n">
        <x:f>IFERROR(BU33*BU32/SUMPRODUCT($D33:$DS33,$D32:$DS32),0)</x:f>
        <x:v>0</x:v>
      </x:c>
      <x:c r="BV34" s="35" t="n">
        <x:f>IFERROR(BV33*BV32/SUMPRODUCT($D33:$DS33,$D32:$DS32),0)</x:f>
        <x:v>0</x:v>
      </x:c>
      <x:c r="BW34" s="35" t="n">
        <x:f>IFERROR(BW33*BW32/SUMPRODUCT($D33:$DS33,$D32:$DS32),0)</x:f>
        <x:v>0</x:v>
      </x:c>
      <x:c r="BX34" s="35" t="n">
        <x:f>IFERROR(BX33*BX32/SUMPRODUCT($D33:$DS33,$D32:$DS32),0)</x:f>
        <x:v>0</x:v>
      </x:c>
      <x:c r="BY34" s="35" t="n">
        <x:f>IFERROR(BY33*BY32/SUMPRODUCT($D33:$DS33,$D32:$DS32),0)</x:f>
        <x:v>0</x:v>
      </x:c>
      <x:c r="BZ34" s="35" t="n">
        <x:f>IFERROR(BZ33*BZ32/SUMPRODUCT($D33:$DS33,$D32:$DS32),0)</x:f>
        <x:v>0</x:v>
      </x:c>
      <x:c r="CA34" s="35" t="n">
        <x:f>IFERROR(CA33*CA32/SUMPRODUCT($D33:$DS33,$D32:$DS32),0)</x:f>
        <x:v>0</x:v>
      </x:c>
      <x:c r="CB34" s="35" t="n">
        <x:f>IFERROR(CB33*CB32/SUMPRODUCT($D33:$DS33,$D32:$DS32),0)</x:f>
        <x:v>0</x:v>
      </x:c>
      <x:c r="CC34" s="35" t="n">
        <x:f>IFERROR(CC33*CC32/SUMPRODUCT($D33:$DS33,$D32:$DS32),0)</x:f>
        <x:v>0</x:v>
      </x:c>
      <x:c r="CD34" s="35" t="n">
        <x:f>IFERROR(CD33*CD32/SUMPRODUCT($D33:$DS33,$D32:$DS32),0)</x:f>
        <x:v>0</x:v>
      </x:c>
      <x:c r="CE34" s="35" t="n">
        <x:f>IFERROR(CE33*CE32/SUMPRODUCT($D33:$DS33,$D32:$DS32),0)</x:f>
        <x:v>0</x:v>
      </x:c>
      <x:c r="CF34" s="35" t="n">
        <x:f>IFERROR(CF33*CF32/SUMPRODUCT($D33:$DS33,$D32:$DS32),0)</x:f>
        <x:v>0</x:v>
      </x:c>
      <x:c r="CG34" s="35" t="n">
        <x:f>IFERROR(CG33*CG32/SUMPRODUCT($D33:$DS33,$D32:$DS32),0)</x:f>
        <x:v>0</x:v>
      </x:c>
      <x:c r="CH34" s="35" t="n">
        <x:f>IFERROR(CH33*CH32/SUMPRODUCT($D33:$DS33,$D32:$DS32),0)</x:f>
        <x:v>0</x:v>
      </x:c>
      <x:c r="CI34" s="35" t="n">
        <x:f>IFERROR(CI33*CI32/SUMPRODUCT($D33:$DS33,$D32:$DS32),0)</x:f>
        <x:v>0</x:v>
      </x:c>
      <x:c r="CJ34" s="35" t="n">
        <x:f>IFERROR(CJ33*CJ32/SUMPRODUCT($D33:$DS33,$D32:$DS32),0)</x:f>
        <x:v>0</x:v>
      </x:c>
      <x:c r="CK34" s="35" t="n">
        <x:f>IFERROR(CK33*CK32/SUMPRODUCT($D33:$DS33,$D32:$DS32),0)</x:f>
        <x:v>0</x:v>
      </x:c>
      <x:c r="CL34" s="35" t="n">
        <x:f>IFERROR(CL33*CL32/SUMPRODUCT($D33:$DS33,$D32:$DS32),0)</x:f>
        <x:v>0</x:v>
      </x:c>
      <x:c r="CM34" s="35" t="n">
        <x:f>IFERROR(CM33*CM32/SUMPRODUCT($D33:$DS33,$D32:$DS32),0)</x:f>
        <x:v>0</x:v>
      </x:c>
      <x:c r="CN34" s="35" t="n">
        <x:f>IFERROR(CN33*CN32/SUMPRODUCT($D33:$DS33,$D32:$DS32),0)</x:f>
        <x:v>0</x:v>
      </x:c>
      <x:c r="CO34" s="35" t="n">
        <x:f>IFERROR(CO33*CO32/SUMPRODUCT($D33:$DS33,$D32:$DS32),0)</x:f>
        <x:v>0</x:v>
      </x:c>
      <x:c r="CP34" s="35" t="n">
        <x:f>IFERROR(CP33*CP32/SUMPRODUCT($D33:$DS33,$D32:$DS32),0)</x:f>
        <x:v>0</x:v>
      </x:c>
      <x:c r="CQ34" s="35" t="n">
        <x:f>IFERROR(CQ33*CQ32/SUMPRODUCT($D33:$DS33,$D32:$DS32),0)</x:f>
        <x:v>0</x:v>
      </x:c>
      <x:c r="CR34" s="35" t="n">
        <x:f>IFERROR(CR33*CR32/SUMPRODUCT($D33:$DS33,$D32:$DS32),0)</x:f>
        <x:v>0</x:v>
      </x:c>
      <x:c r="CS34" s="35" t="n">
        <x:f>IFERROR(CS33*CS32/SUMPRODUCT($D33:$DS33,$D32:$DS32),0)</x:f>
        <x:v>0</x:v>
      </x:c>
      <x:c r="CT34" s="35" t="n">
        <x:f>IFERROR(CT33*CT32/SUMPRODUCT($D33:$DS33,$D32:$DS32),0)</x:f>
        <x:v>0</x:v>
      </x:c>
      <x:c r="CU34" s="35" t="n">
        <x:f>IFERROR(CU33*CU32/SUMPRODUCT($D33:$DS33,$D32:$DS32),0)</x:f>
        <x:v>0</x:v>
      </x:c>
      <x:c r="CV34" s="35" t="n">
        <x:f>IFERROR(CV33*CV32/SUMPRODUCT($D33:$DS33,$D32:$DS32),0)</x:f>
        <x:v>0</x:v>
      </x:c>
      <x:c r="CW34" s="35" t="n">
        <x:f>IFERROR(CW33*CW32/SUMPRODUCT($D33:$DS33,$D32:$DS32),0)</x:f>
        <x:v>0</x:v>
      </x:c>
      <x:c r="CX34" s="35" t="n">
        <x:f>IFERROR(CX33*CX32/SUMPRODUCT($D33:$DS33,$D32:$DS32),0)</x:f>
        <x:v>0</x:v>
      </x:c>
      <x:c r="CY34" s="35" t="n">
        <x:f>IFERROR(CY33*CY32/SUMPRODUCT($D33:$DS33,$D32:$DS32),0)</x:f>
        <x:v>0</x:v>
      </x:c>
      <x:c r="CZ34" s="35" t="n">
        <x:f>IFERROR(CZ33*CZ32/SUMPRODUCT($D33:$DS33,$D32:$DS32),0)</x:f>
        <x:v>0</x:v>
      </x:c>
      <x:c r="DA34" s="35" t="n">
        <x:f>IFERROR(DA33*DA32/SUMPRODUCT($D33:$DS33,$D32:$DS32),0)</x:f>
        <x:v>0</x:v>
      </x:c>
      <x:c r="DB34" s="35" t="n">
        <x:f>IFERROR(DB33*DB32/SUMPRODUCT($D33:$DS33,$D32:$DS32),0)</x:f>
        <x:v>0</x:v>
      </x:c>
      <x:c r="DC34" s="35" t="n">
        <x:f>IFERROR(DC33*DC32/SUMPRODUCT($D33:$DS33,$D32:$DS32),0)</x:f>
        <x:v>0</x:v>
      </x:c>
      <x:c r="DD34" s="35" t="n">
        <x:f>IFERROR(DD33*DD32/SUMPRODUCT($D33:$DS33,$D32:$DS32),0)</x:f>
        <x:v>0</x:v>
      </x:c>
      <x:c r="DE34" s="35" t="n">
        <x:f>IFERROR(DE33*DE32/SUMPRODUCT($D33:$DS33,$D32:$DS32),0)</x:f>
        <x:v>0</x:v>
      </x:c>
      <x:c r="DF34" s="35" t="n">
        <x:f>IFERROR(DF33*DF32/SUMPRODUCT($D33:$DS33,$D32:$DS32),0)</x:f>
        <x:v>0</x:v>
      </x:c>
      <x:c r="DG34" s="35" t="n">
        <x:f>IFERROR(DG33*DG32/SUMPRODUCT($D33:$DS33,$D32:$DS32),0)</x:f>
        <x:v>0</x:v>
      </x:c>
      <x:c r="DH34" s="35" t="n">
        <x:f>IFERROR(DH33*DH32/SUMPRODUCT($D33:$DS33,$D32:$DS32),0)</x:f>
        <x:v>0</x:v>
      </x:c>
      <x:c r="DI34" s="35" t="n">
        <x:f>IFERROR(DI33*DI32/SUMPRODUCT($D33:$DS33,$D32:$DS32),0)</x:f>
        <x:v>0</x:v>
      </x:c>
      <x:c r="DJ34" s="35" t="n">
        <x:f>IFERROR(DJ33*DJ32/SUMPRODUCT($D33:$DS33,$D32:$DS32),0)</x:f>
        <x:v>0</x:v>
      </x:c>
      <x:c r="DK34" s="35" t="n">
        <x:f>IFERROR(DK33*DK32/SUMPRODUCT($D33:$DS33,$D32:$DS32),0)</x:f>
        <x:v>0</x:v>
      </x:c>
      <x:c r="DL34" s="35" t="n">
        <x:f>IFERROR(DL33*DL32/SUMPRODUCT($D33:$DS33,$D32:$DS32),0)</x:f>
        <x:v>0</x:v>
      </x:c>
      <x:c r="DM34" s="35" t="n">
        <x:f>IFERROR(DM33*DM32/SUMPRODUCT($D33:$DS33,$D32:$DS32),0)</x:f>
        <x:v>0</x:v>
      </x:c>
      <x:c r="DN34" s="35" t="n">
        <x:f>IFERROR(DN33*DN32/SUMPRODUCT($D33:$DS33,$D32:$DS32),0)</x:f>
        <x:v>0</x:v>
      </x:c>
      <x:c r="DO34" s="35" t="n">
        <x:f>IFERROR(DO33*DO32/SUMPRODUCT($D33:$DS33,$D32:$DS32),0)</x:f>
        <x:v>0</x:v>
      </x:c>
      <x:c r="DP34" s="35" t="n">
        <x:f>IFERROR(DP33*DP32/SUMPRODUCT($D33:$DS33,$D32:$DS32),0)</x:f>
        <x:v>0</x:v>
      </x:c>
      <x:c r="DQ34" s="35" t="n">
        <x:f>IFERROR(DQ33*DQ32/SUMPRODUCT($D33:$DS33,$D32:$DS32),0)</x:f>
        <x:v>0</x:v>
      </x:c>
      <x:c r="DR34" s="35" t="n">
        <x:f>IFERROR(DR33*DR32/SUMPRODUCT($D33:$DS33,$D32:$DS32),0)</x:f>
        <x:v>0</x:v>
      </x:c>
      <x:c r="DS34" s="35" t="n">
        <x:f>IFERROR(DS33*DS32/SUMPRODUCT($D33:$DS33,$D32:$DS32),0)</x:f>
        <x:v>0</x:v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  <x:v>0</x:v>
      </x:c>
      <x:c r="E35" s="35" t="n">
        <x:f>--AND(E$3&gt;=MAX($B$30,$B$31),E$3&lt;EDATE($B$30,MAX(1,'Вводные'!$H$89)),'Вводные'!$B$89="Да")</x:f>
        <x:v>0</x:v>
      </x:c>
      <x:c r="F35" s="35" t="n">
        <x:f>--AND(F$3&gt;=MAX($B$30,$B$31),F$3&lt;EDATE($B$30,MAX(1,'Вводные'!$H$89)),'Вводные'!$B$89="Да")</x:f>
        <x:v>0</x:v>
      </x:c>
      <x:c r="G35" s="35" t="n">
        <x:f>--AND(G$3&gt;=MAX($B$30,$B$31),G$3&lt;EDATE($B$30,MAX(1,'Вводные'!$H$89)),'Вводные'!$B$89="Да")</x:f>
        <x:v>0</x:v>
      </x:c>
      <x:c r="H35" s="35" t="n">
        <x:f>--AND(H$3&gt;=MAX($B$30,$B$31),H$3&lt;EDATE($B$30,MAX(1,'Вводные'!$H$89)),'Вводные'!$B$89="Да")</x:f>
        <x:v>0</x:v>
      </x:c>
      <x:c r="I35" s="35" t="n">
        <x:f>--AND(I$3&gt;=MAX($B$30,$B$31),I$3&lt;EDATE($B$30,MAX(1,'Вводные'!$H$89)),'Вводные'!$B$89="Да")</x:f>
        <x:v>0</x:v>
      </x:c>
      <x:c r="J35" s="35" t="n">
        <x:f>--AND(J$3&gt;=MAX($B$30,$B$31),J$3&lt;EDATE($B$30,MAX(1,'Вводные'!$H$89)),'Вводные'!$B$89="Да")</x:f>
        <x:v>0</x:v>
      </x:c>
      <x:c r="K35" s="35" t="n">
        <x:f>--AND(K$3&gt;=MAX($B$30,$B$31),K$3&lt;EDATE($B$30,MAX(1,'Вводные'!$H$89)),'Вводные'!$B$89="Да")</x:f>
        <x:v>0</x:v>
      </x:c>
      <x:c r="L35" s="35" t="n">
        <x:f>--AND(L$3&gt;=MAX($B$30,$B$31),L$3&lt;EDATE($B$30,MAX(1,'Вводные'!$H$89)),'Вводные'!$B$89="Да")</x:f>
        <x:v>0</x:v>
      </x:c>
      <x:c r="M35" s="35" t="n">
        <x:f>--AND(M$3&gt;=MAX($B$30,$B$31),M$3&lt;EDATE($B$30,MAX(1,'Вводные'!$H$89)),'Вводные'!$B$89="Да")</x:f>
        <x:v>0</x:v>
      </x:c>
      <x:c r="N35" s="35" t="n">
        <x:f>--AND(N$3&gt;=MAX($B$30,$B$31),N$3&lt;EDATE($B$30,MAX(1,'Вводные'!$H$89)),'Вводные'!$B$89="Да")</x:f>
        <x:v>0</x:v>
      </x:c>
      <x:c r="O35" s="35" t="n">
        <x:f>--AND(O$3&gt;=MAX($B$30,$B$31),O$3&lt;EDATE($B$30,MAX(1,'Вводные'!$H$89)),'Вводные'!$B$89="Да")</x:f>
        <x:v>0</x:v>
      </x:c>
      <x:c r="P35" s="35" t="n">
        <x:f>--AND(P$3&gt;=MAX($B$30,$B$31),P$3&lt;EDATE($B$30,MAX(1,'Вводные'!$H$89)),'Вводные'!$B$89="Да")</x:f>
        <x:v>0</x:v>
      </x:c>
      <x:c r="Q35" s="35" t="n">
        <x:f>--AND(Q$3&gt;=MAX($B$30,$B$31),Q$3&lt;EDATE($B$30,MAX(1,'Вводные'!$H$89)),'Вводные'!$B$89="Да")</x:f>
        <x:v>0</x:v>
      </x:c>
      <x:c r="R35" s="35" t="n">
        <x:f>--AND(R$3&gt;=MAX($B$30,$B$31),R$3&lt;EDATE($B$30,MAX(1,'Вводные'!$H$89)),'Вводные'!$B$89="Да")</x:f>
        <x:v>0</x:v>
      </x:c>
      <x:c r="S35" s="35" t="n">
        <x:f>--AND(S$3&gt;=MAX($B$30,$B$31),S$3&lt;EDATE($B$30,MAX(1,'Вводные'!$H$89)),'Вводные'!$B$89="Да")</x:f>
        <x:v>0</x:v>
      </x:c>
      <x:c r="T35" s="35" t="n">
        <x:f>--AND(T$3&gt;=MAX($B$30,$B$31),T$3&lt;EDATE($B$30,MAX(1,'Вводные'!$H$89)),'Вводные'!$B$89="Да")</x:f>
        <x:v>0</x:v>
      </x:c>
      <x:c r="U35" s="35" t="n">
        <x:f>--AND(U$3&gt;=MAX($B$30,$B$31),U$3&lt;EDATE($B$30,MAX(1,'Вводные'!$H$89)),'Вводные'!$B$89="Да")</x:f>
        <x:v>0</x:v>
      </x:c>
      <x:c r="V35" s="35" t="n">
        <x:f>--AND(V$3&gt;=MAX($B$30,$B$31),V$3&lt;EDATE($B$30,MAX(1,'Вводные'!$H$89)),'Вводные'!$B$89="Да")</x:f>
        <x:v>0</x:v>
      </x:c>
      <x:c r="W35" s="35" t="n">
        <x:f>--AND(W$3&gt;=MAX($B$30,$B$31),W$3&lt;EDATE($B$30,MAX(1,'Вводные'!$H$89)),'Вводные'!$B$89="Да")</x:f>
        <x:v>0</x:v>
      </x:c>
      <x:c r="X35" s="35" t="n">
        <x:f>--AND(X$3&gt;=MAX($B$30,$B$31),X$3&lt;EDATE($B$30,MAX(1,'Вводные'!$H$89)),'Вводные'!$B$89="Да")</x:f>
        <x:v>0</x:v>
      </x:c>
      <x:c r="Y35" s="35" t="n">
        <x:f>--AND(Y$3&gt;=MAX($B$30,$B$31),Y$3&lt;EDATE($B$30,MAX(1,'Вводные'!$H$89)),'Вводные'!$B$89="Да")</x:f>
        <x:v>0</x:v>
      </x:c>
      <x:c r="Z35" s="35" t="n">
        <x:f>--AND(Z$3&gt;=MAX($B$30,$B$31),Z$3&lt;EDATE($B$30,MAX(1,'Вводные'!$H$89)),'Вводные'!$B$89="Да")</x:f>
        <x:v>0</x:v>
      </x:c>
      <x:c r="AA35" s="35" t="n">
        <x:f>--AND(AA$3&gt;=MAX($B$30,$B$31),AA$3&lt;EDATE($B$30,MAX(1,'Вводные'!$H$89)),'Вводные'!$B$89="Да")</x:f>
        <x:v>0</x:v>
      </x:c>
      <x:c r="AB35" s="35" t="n">
        <x:f>--AND(AB$3&gt;=MAX($B$30,$B$31),AB$3&lt;EDATE($B$30,MAX(1,'Вводные'!$H$89)),'Вводные'!$B$89="Да")</x:f>
        <x:v>0</x:v>
      </x:c>
      <x:c r="AC35" s="35" t="n">
        <x:f>--AND(AC$3&gt;=MAX($B$30,$B$31),AC$3&lt;EDATE($B$30,MAX(1,'Вводные'!$H$89)),'Вводные'!$B$89="Да")</x:f>
        <x:v>0</x:v>
      </x:c>
      <x:c r="AD35" s="35" t="n">
        <x:f>--AND(AD$3&gt;=MAX($B$30,$B$31),AD$3&lt;EDATE($B$30,MAX(1,'Вводные'!$H$89)),'Вводные'!$B$89="Да")</x:f>
        <x:v>0</x:v>
      </x:c>
      <x:c r="AE35" s="35" t="n">
        <x:f>--AND(AE$3&gt;=MAX($B$30,$B$31),AE$3&lt;EDATE($B$30,MAX(1,'Вводные'!$H$89)),'Вводные'!$B$89="Да")</x:f>
        <x:v>0</x:v>
      </x:c>
      <x:c r="AF35" s="35" t="n">
        <x:f>--AND(AF$3&gt;=MAX($B$30,$B$31),AF$3&lt;EDATE($B$30,MAX(1,'Вводные'!$H$89)),'Вводные'!$B$89="Да")</x:f>
        <x:v>0</x:v>
      </x:c>
      <x:c r="AG35" s="35" t="n">
        <x:f>--AND(AG$3&gt;=MAX($B$30,$B$31),AG$3&lt;EDATE($B$30,MAX(1,'Вводные'!$H$89)),'Вводные'!$B$89="Да")</x:f>
        <x:v>0</x:v>
      </x:c>
      <x:c r="AH35" s="35" t="n">
        <x:f>--AND(AH$3&gt;=MAX($B$30,$B$31),AH$3&lt;EDATE($B$30,MAX(1,'Вводные'!$H$89)),'Вводные'!$B$89="Да")</x:f>
        <x:v>0</x:v>
      </x:c>
      <x:c r="AI35" s="35" t="n">
        <x:f>--AND(AI$3&gt;=MAX($B$30,$B$31),AI$3&lt;EDATE($B$30,MAX(1,'Вводные'!$H$89)),'Вводные'!$B$89="Да")</x:f>
        <x:v>0</x:v>
      </x:c>
      <x:c r="AJ35" s="35" t="n">
        <x:f>--AND(AJ$3&gt;=MAX($B$30,$B$31),AJ$3&lt;EDATE($B$30,MAX(1,'Вводные'!$H$89)),'Вводные'!$B$89="Да")</x:f>
        <x:v>0</x:v>
      </x:c>
      <x:c r="AK35" s="35" t="n">
        <x:f>--AND(AK$3&gt;=MAX($B$30,$B$31),AK$3&lt;EDATE($B$30,MAX(1,'Вводные'!$H$89)),'Вводные'!$B$89="Да")</x:f>
        <x:v>0</x:v>
      </x:c>
      <x:c r="AL35" s="35" t="n">
        <x:f>--AND(AL$3&gt;=MAX($B$30,$B$31),AL$3&lt;EDATE($B$30,MAX(1,'Вводные'!$H$89)),'Вводные'!$B$89="Да")</x:f>
        <x:v>0</x:v>
      </x:c>
      <x:c r="AM35" s="35" t="n">
        <x:f>--AND(AM$3&gt;=MAX($B$30,$B$31),AM$3&lt;EDATE($B$30,MAX(1,'Вводные'!$H$89)),'Вводные'!$B$89="Да")</x:f>
        <x:v>0</x:v>
      </x:c>
      <x:c r="AN35" s="35" t="n">
        <x:f>--AND(AN$3&gt;=MAX($B$30,$B$31),AN$3&lt;EDATE($B$30,MAX(1,'Вводные'!$H$89)),'Вводные'!$B$89="Да")</x:f>
        <x:v>0</x:v>
      </x:c>
      <x:c r="AO35" s="35" t="n">
        <x:f>--AND(AO$3&gt;=MAX($B$30,$B$31),AO$3&lt;EDATE($B$30,MAX(1,'Вводные'!$H$89)),'Вводные'!$B$89="Да")</x:f>
        <x:v>0</x:v>
      </x:c>
      <x:c r="AP35" s="35" t="n">
        <x:f>--AND(AP$3&gt;=MAX($B$30,$B$31),AP$3&lt;EDATE($B$30,MAX(1,'Вводные'!$H$89)),'Вводные'!$B$89="Да")</x:f>
        <x:v>0</x:v>
      </x:c>
      <x:c r="AQ35" s="35" t="n">
        <x:f>--AND(AQ$3&gt;=MAX($B$30,$B$31),AQ$3&lt;EDATE($B$30,MAX(1,'Вводные'!$H$89)),'Вводные'!$B$89="Да")</x:f>
        <x:v>0</x:v>
      </x:c>
      <x:c r="AR35" s="35" t="n">
        <x:f>--AND(AR$3&gt;=MAX($B$30,$B$31),AR$3&lt;EDATE($B$30,MAX(1,'Вводные'!$H$89)),'Вводные'!$B$89="Да")</x:f>
        <x:v>0</x:v>
      </x:c>
      <x:c r="AS35" s="35" t="n">
        <x:f>--AND(AS$3&gt;=MAX($B$30,$B$31),AS$3&lt;EDATE($B$30,MAX(1,'Вводные'!$H$89)),'Вводные'!$B$89="Да")</x:f>
        <x:v>0</x:v>
      </x:c>
      <x:c r="AT35" s="35" t="n">
        <x:f>--AND(AT$3&gt;=MAX($B$30,$B$31),AT$3&lt;EDATE($B$30,MAX(1,'Вводные'!$H$89)),'Вводные'!$B$89="Да")</x:f>
        <x:v>0</x:v>
      </x:c>
      <x:c r="AU35" s="35" t="n">
        <x:f>--AND(AU$3&gt;=MAX($B$30,$B$31),AU$3&lt;EDATE($B$30,MAX(1,'Вводные'!$H$89)),'Вводные'!$B$89="Да")</x:f>
        <x:v>0</x:v>
      </x:c>
      <x:c r="AV35" s="35" t="n">
        <x:f>--AND(AV$3&gt;=MAX($B$30,$B$31),AV$3&lt;EDATE($B$30,MAX(1,'Вводные'!$H$89)),'Вводные'!$B$89="Да")</x:f>
        <x:v>0</x:v>
      </x:c>
      <x:c r="AW35" s="35" t="n">
        <x:f>--AND(AW$3&gt;=MAX($B$30,$B$31),AW$3&lt;EDATE($B$30,MAX(1,'Вводные'!$H$89)),'Вводные'!$B$89="Да")</x:f>
        <x:v>0</x:v>
      </x:c>
      <x:c r="AX35" s="35" t="n">
        <x:f>--AND(AX$3&gt;=MAX($B$30,$B$31),AX$3&lt;EDATE($B$30,MAX(1,'Вводные'!$H$89)),'Вводные'!$B$89="Да")</x:f>
        <x:v>0</x:v>
      </x:c>
      <x:c r="AY35" s="35" t="n">
        <x:f>--AND(AY$3&gt;=MAX($B$30,$B$31),AY$3&lt;EDATE($B$30,MAX(1,'Вводные'!$H$89)),'Вводные'!$B$89="Да")</x:f>
        <x:v>0</x:v>
      </x:c>
      <x:c r="AZ35" s="35" t="n">
        <x:f>--AND(AZ$3&gt;=MAX($B$30,$B$31),AZ$3&lt;EDATE($B$30,MAX(1,'Вводные'!$H$89)),'Вводные'!$B$89="Да")</x:f>
        <x:v>0</x:v>
      </x:c>
      <x:c r="BA35" s="35" t="n">
        <x:f>--AND(BA$3&gt;=MAX($B$30,$B$31),BA$3&lt;EDATE($B$30,MAX(1,'Вводные'!$H$89)),'Вводные'!$B$89="Да")</x:f>
        <x:v>0</x:v>
      </x:c>
      <x:c r="BB35" s="35" t="n">
        <x:f>--AND(BB$3&gt;=MAX($B$30,$B$31),BB$3&lt;EDATE($B$30,MAX(1,'Вводные'!$H$89)),'Вводные'!$B$89="Да")</x:f>
        <x:v>0</x:v>
      </x:c>
      <x:c r="BC35" s="35" t="n">
        <x:f>--AND(BC$3&gt;=MAX($B$30,$B$31),BC$3&lt;EDATE($B$30,MAX(1,'Вводные'!$H$89)),'Вводные'!$B$89="Да")</x:f>
        <x:v>0</x:v>
      </x:c>
      <x:c r="BD35" s="35" t="n">
        <x:f>--AND(BD$3&gt;=MAX($B$30,$B$31),BD$3&lt;EDATE($B$30,MAX(1,'Вводные'!$H$89)),'Вводные'!$B$89="Да")</x:f>
        <x:v>0</x:v>
      </x:c>
      <x:c r="BE35" s="35" t="n">
        <x:f>--AND(BE$3&gt;=MAX($B$30,$B$31),BE$3&lt;EDATE($B$30,MAX(1,'Вводные'!$H$89)),'Вводные'!$B$89="Да")</x:f>
        <x:v>0</x:v>
      </x:c>
      <x:c r="BF35" s="35" t="n">
        <x:f>--AND(BF$3&gt;=MAX($B$30,$B$31),BF$3&lt;EDATE($B$30,MAX(1,'Вводные'!$H$89)),'Вводные'!$B$89="Да")</x:f>
        <x:v>0</x:v>
      </x:c>
      <x:c r="BG35" s="35" t="n">
        <x:f>--AND(BG$3&gt;=MAX($B$30,$B$31),BG$3&lt;EDATE($B$30,MAX(1,'Вводные'!$H$89)),'Вводные'!$B$89="Да")</x:f>
        <x:v>0</x:v>
      </x:c>
      <x:c r="BH35" s="35" t="n">
        <x:f>--AND(BH$3&gt;=MAX($B$30,$B$31),BH$3&lt;EDATE($B$30,MAX(1,'Вводные'!$H$89)),'Вводные'!$B$89="Да")</x:f>
        <x:v>0</x:v>
      </x:c>
      <x:c r="BI35" s="35" t="n">
        <x:f>--AND(BI$3&gt;=MAX($B$30,$B$31),BI$3&lt;EDATE($B$30,MAX(1,'Вводные'!$H$89)),'Вводные'!$B$89="Да")</x:f>
        <x:v>0</x:v>
      </x:c>
      <x:c r="BJ35" s="35" t="n">
        <x:f>--AND(BJ$3&gt;=MAX($B$30,$B$31),BJ$3&lt;EDATE($B$30,MAX(1,'Вводные'!$H$89)),'Вводные'!$B$89="Да")</x:f>
        <x:v>0</x:v>
      </x:c>
      <x:c r="BK35" s="35" t="n">
        <x:f>--AND(BK$3&gt;=MAX($B$30,$B$31),BK$3&lt;EDATE($B$30,MAX(1,'Вводные'!$H$89)),'Вводные'!$B$89="Да")</x:f>
        <x:v>0</x:v>
      </x:c>
      <x:c r="BL35" s="35" t="n">
        <x:f>--AND(BL$3&gt;=MAX($B$30,$B$31),BL$3&lt;EDATE($B$30,MAX(1,'Вводные'!$H$89)),'Вводные'!$B$89="Да")</x:f>
        <x:v>0</x:v>
      </x:c>
      <x:c r="BM35" s="35" t="n">
        <x:f>--AND(BM$3&gt;=MAX($B$30,$B$31),BM$3&lt;EDATE($B$30,MAX(1,'Вводные'!$H$89)),'Вводные'!$B$89="Да")</x:f>
        <x:v>0</x:v>
      </x:c>
      <x:c r="BN35" s="35" t="n">
        <x:f>--AND(BN$3&gt;=MAX($B$30,$B$31),BN$3&lt;EDATE($B$30,MAX(1,'Вводные'!$H$89)),'Вводные'!$B$89="Да")</x:f>
        <x:v>0</x:v>
      </x:c>
      <x:c r="BO35" s="35" t="n">
        <x:f>--AND(BO$3&gt;=MAX($B$30,$B$31),BO$3&lt;EDATE($B$30,MAX(1,'Вводные'!$H$89)),'Вводные'!$B$89="Да")</x:f>
        <x:v>0</x:v>
      </x:c>
      <x:c r="BP35" s="35" t="n">
        <x:f>--AND(BP$3&gt;=MAX($B$30,$B$31),BP$3&lt;EDATE($B$30,MAX(1,'Вводные'!$H$89)),'Вводные'!$B$89="Да")</x:f>
        <x:v>0</x:v>
      </x:c>
      <x:c r="BQ35" s="35" t="n">
        <x:f>--AND(BQ$3&gt;=MAX($B$30,$B$31),BQ$3&lt;EDATE($B$30,MAX(1,'Вводные'!$H$89)),'Вводные'!$B$89="Да")</x:f>
        <x:v>0</x:v>
      </x:c>
      <x:c r="BR35" s="35" t="n">
        <x:f>--AND(BR$3&gt;=MAX($B$30,$B$31),BR$3&lt;EDATE($B$30,MAX(1,'Вводные'!$H$89)),'Вводные'!$B$89="Да")</x:f>
        <x:v>0</x:v>
      </x:c>
      <x:c r="BS35" s="35" t="n">
        <x:f>--AND(BS$3&gt;=MAX($B$30,$B$31),BS$3&lt;EDATE($B$30,MAX(1,'Вводные'!$H$89)),'Вводные'!$B$89="Да")</x:f>
        <x:v>0</x:v>
      </x:c>
      <x:c r="BT35" s="35" t="n">
        <x:f>--AND(BT$3&gt;=MAX($B$30,$B$31),BT$3&lt;EDATE($B$30,MAX(1,'Вводные'!$H$89)),'Вводные'!$B$89="Да")</x:f>
        <x:v>0</x:v>
      </x:c>
      <x:c r="BU35" s="35" t="n">
        <x:f>--AND(BU$3&gt;=MAX($B$30,$B$31),BU$3&lt;EDATE($B$30,MAX(1,'Вводные'!$H$89)),'Вводные'!$B$89="Да")</x:f>
        <x:v>0</x:v>
      </x:c>
      <x:c r="BV35" s="35" t="n">
        <x:f>--AND(BV$3&gt;=MAX($B$30,$B$31),BV$3&lt;EDATE($B$30,MAX(1,'Вводные'!$H$89)),'Вводные'!$B$89="Да")</x:f>
        <x:v>0</x:v>
      </x:c>
      <x:c r="BW35" s="35" t="n">
        <x:f>--AND(BW$3&gt;=MAX($B$30,$B$31),BW$3&lt;EDATE($B$30,MAX(1,'Вводные'!$H$89)),'Вводные'!$B$89="Да")</x:f>
        <x:v>0</x:v>
      </x:c>
      <x:c r="BX35" s="35" t="n">
        <x:f>--AND(BX$3&gt;=MAX($B$30,$B$31),BX$3&lt;EDATE($B$30,MAX(1,'Вводные'!$H$89)),'Вводные'!$B$89="Да")</x:f>
        <x:v>0</x:v>
      </x:c>
      <x:c r="BY35" s="35" t="n">
        <x:f>--AND(BY$3&gt;=MAX($B$30,$B$31),BY$3&lt;EDATE($B$30,MAX(1,'Вводные'!$H$89)),'Вводные'!$B$89="Да")</x:f>
        <x:v>0</x:v>
      </x:c>
      <x:c r="BZ35" s="35" t="n">
        <x:f>--AND(BZ$3&gt;=MAX($B$30,$B$31),BZ$3&lt;EDATE($B$30,MAX(1,'Вводные'!$H$89)),'Вводные'!$B$89="Да")</x:f>
        <x:v>0</x:v>
      </x:c>
      <x:c r="CA35" s="35" t="n">
        <x:f>--AND(CA$3&gt;=MAX($B$30,$B$31),CA$3&lt;EDATE($B$30,MAX(1,'Вводные'!$H$89)),'Вводные'!$B$89="Да")</x:f>
        <x:v>0</x:v>
      </x:c>
      <x:c r="CB35" s="35" t="n">
        <x:f>--AND(CB$3&gt;=MAX($B$30,$B$31),CB$3&lt;EDATE($B$30,MAX(1,'Вводные'!$H$89)),'Вводные'!$B$89="Да")</x:f>
        <x:v>0</x:v>
      </x:c>
      <x:c r="CC35" s="35" t="n">
        <x:f>--AND(CC$3&gt;=MAX($B$30,$B$31),CC$3&lt;EDATE($B$30,MAX(1,'Вводные'!$H$89)),'Вводные'!$B$89="Да")</x:f>
        <x:v>0</x:v>
      </x:c>
      <x:c r="CD35" s="35" t="n">
        <x:f>--AND(CD$3&gt;=MAX($B$30,$B$31),CD$3&lt;EDATE($B$30,MAX(1,'Вводные'!$H$89)),'Вводные'!$B$89="Да")</x:f>
        <x:v>0</x:v>
      </x:c>
      <x:c r="CE35" s="35" t="n">
        <x:f>--AND(CE$3&gt;=MAX($B$30,$B$31),CE$3&lt;EDATE($B$30,MAX(1,'Вводные'!$H$89)),'Вводные'!$B$89="Да")</x:f>
        <x:v>0</x:v>
      </x:c>
      <x:c r="CF35" s="35" t="n">
        <x:f>--AND(CF$3&gt;=MAX($B$30,$B$31),CF$3&lt;EDATE($B$30,MAX(1,'Вводные'!$H$89)),'Вводные'!$B$89="Да")</x:f>
        <x:v>0</x:v>
      </x:c>
      <x:c r="CG35" s="35" t="n">
        <x:f>--AND(CG$3&gt;=MAX($B$30,$B$31),CG$3&lt;EDATE($B$30,MAX(1,'Вводные'!$H$89)),'Вводные'!$B$89="Да")</x:f>
        <x:v>0</x:v>
      </x:c>
      <x:c r="CH35" s="35" t="n">
        <x:f>--AND(CH$3&gt;=MAX($B$30,$B$31),CH$3&lt;EDATE($B$30,MAX(1,'Вводные'!$H$89)),'Вводные'!$B$89="Да")</x:f>
        <x:v>0</x:v>
      </x:c>
      <x:c r="CI35" s="35" t="n">
        <x:f>--AND(CI$3&gt;=MAX($B$30,$B$31),CI$3&lt;EDATE($B$30,MAX(1,'Вводные'!$H$89)),'Вводные'!$B$89="Да")</x:f>
        <x:v>0</x:v>
      </x:c>
      <x:c r="CJ35" s="35" t="n">
        <x:f>--AND(CJ$3&gt;=MAX($B$30,$B$31),CJ$3&lt;EDATE($B$30,MAX(1,'Вводные'!$H$89)),'Вводные'!$B$89="Да")</x:f>
        <x:v>0</x:v>
      </x:c>
      <x:c r="CK35" s="35" t="n">
        <x:f>--AND(CK$3&gt;=MAX($B$30,$B$31),CK$3&lt;EDATE($B$30,MAX(1,'Вводные'!$H$89)),'Вводные'!$B$89="Да")</x:f>
        <x:v>0</x:v>
      </x:c>
      <x:c r="CL35" s="35" t="n">
        <x:f>--AND(CL$3&gt;=MAX($B$30,$B$31),CL$3&lt;EDATE($B$30,MAX(1,'Вводные'!$H$89)),'Вводные'!$B$89="Да")</x:f>
        <x:v>0</x:v>
      </x:c>
      <x:c r="CM35" s="35" t="n">
        <x:f>--AND(CM$3&gt;=MAX($B$30,$B$31),CM$3&lt;EDATE($B$30,MAX(1,'Вводные'!$H$89)),'Вводные'!$B$89="Да")</x:f>
        <x:v>0</x:v>
      </x:c>
      <x:c r="CN35" s="35" t="n">
        <x:f>--AND(CN$3&gt;=MAX($B$30,$B$31),CN$3&lt;EDATE($B$30,MAX(1,'Вводные'!$H$89)),'Вводные'!$B$89="Да")</x:f>
        <x:v>0</x:v>
      </x:c>
      <x:c r="CO35" s="35" t="n">
        <x:f>--AND(CO$3&gt;=MAX($B$30,$B$31),CO$3&lt;EDATE($B$30,MAX(1,'Вводные'!$H$89)),'Вводные'!$B$89="Да")</x:f>
        <x:v>0</x:v>
      </x:c>
      <x:c r="CP35" s="35" t="n">
        <x:f>--AND(CP$3&gt;=MAX($B$30,$B$31),CP$3&lt;EDATE($B$30,MAX(1,'Вводные'!$H$89)),'Вводные'!$B$89="Да")</x:f>
        <x:v>0</x:v>
      </x:c>
      <x:c r="CQ35" s="35" t="n">
        <x:f>--AND(CQ$3&gt;=MAX($B$30,$B$31),CQ$3&lt;EDATE($B$30,MAX(1,'Вводные'!$H$89)),'Вводные'!$B$89="Да")</x:f>
        <x:v>0</x:v>
      </x:c>
      <x:c r="CR35" s="35" t="n">
        <x:f>--AND(CR$3&gt;=MAX($B$30,$B$31),CR$3&lt;EDATE($B$30,MAX(1,'Вводные'!$H$89)),'Вводные'!$B$89="Да")</x:f>
        <x:v>0</x:v>
      </x:c>
      <x:c r="CS35" s="35" t="n">
        <x:f>--AND(CS$3&gt;=MAX($B$30,$B$31),CS$3&lt;EDATE($B$30,MAX(1,'Вводные'!$H$89)),'Вводные'!$B$89="Да")</x:f>
        <x:v>0</x:v>
      </x:c>
      <x:c r="CT35" s="35" t="n">
        <x:f>--AND(CT$3&gt;=MAX($B$30,$B$31),CT$3&lt;EDATE($B$30,MAX(1,'Вводные'!$H$89)),'Вводные'!$B$89="Да")</x:f>
        <x:v>0</x:v>
      </x:c>
      <x:c r="CU35" s="35" t="n">
        <x:f>--AND(CU$3&gt;=MAX($B$30,$B$31),CU$3&lt;EDATE($B$30,MAX(1,'Вводные'!$H$89)),'Вводные'!$B$89="Да")</x:f>
        <x:v>0</x:v>
      </x:c>
      <x:c r="CV35" s="35" t="n">
        <x:f>--AND(CV$3&gt;=MAX($B$30,$B$31),CV$3&lt;EDATE($B$30,MAX(1,'Вводные'!$H$89)),'Вводные'!$B$89="Да")</x:f>
        <x:v>0</x:v>
      </x:c>
      <x:c r="CW35" s="35" t="n">
        <x:f>--AND(CW$3&gt;=MAX($B$30,$B$31),CW$3&lt;EDATE($B$30,MAX(1,'Вводные'!$H$89)),'Вводные'!$B$89="Да")</x:f>
        <x:v>0</x:v>
      </x:c>
      <x:c r="CX35" s="35" t="n">
        <x:f>--AND(CX$3&gt;=MAX($B$30,$B$31),CX$3&lt;EDATE($B$30,MAX(1,'Вводные'!$H$89)),'Вводные'!$B$89="Да")</x:f>
        <x:v>0</x:v>
      </x:c>
      <x:c r="CY35" s="35" t="n">
        <x:f>--AND(CY$3&gt;=MAX($B$30,$B$31),CY$3&lt;EDATE($B$30,MAX(1,'Вводные'!$H$89)),'Вводные'!$B$89="Да")</x:f>
        <x:v>0</x:v>
      </x:c>
      <x:c r="CZ35" s="35" t="n">
        <x:f>--AND(CZ$3&gt;=MAX($B$30,$B$31),CZ$3&lt;EDATE($B$30,MAX(1,'Вводные'!$H$89)),'Вводные'!$B$89="Да")</x:f>
        <x:v>0</x:v>
      </x:c>
      <x:c r="DA35" s="35" t="n">
        <x:f>--AND(DA$3&gt;=MAX($B$30,$B$31),DA$3&lt;EDATE($B$30,MAX(1,'Вводные'!$H$89)),'Вводные'!$B$89="Да")</x:f>
        <x:v>0</x:v>
      </x:c>
      <x:c r="DB35" s="35" t="n">
        <x:f>--AND(DB$3&gt;=MAX($B$30,$B$31),DB$3&lt;EDATE($B$30,MAX(1,'Вводные'!$H$89)),'Вводные'!$B$89="Да")</x:f>
        <x:v>0</x:v>
      </x:c>
      <x:c r="DC35" s="35" t="n">
        <x:f>--AND(DC$3&gt;=MAX($B$30,$B$31),DC$3&lt;EDATE($B$30,MAX(1,'Вводные'!$H$89)),'Вводные'!$B$89="Да")</x:f>
        <x:v>0</x:v>
      </x:c>
      <x:c r="DD35" s="35" t="n">
        <x:f>--AND(DD$3&gt;=MAX($B$30,$B$31),DD$3&lt;EDATE($B$30,MAX(1,'Вводные'!$H$89)),'Вводные'!$B$89="Да")</x:f>
        <x:v>0</x:v>
      </x:c>
      <x:c r="DE35" s="35" t="n">
        <x:f>--AND(DE$3&gt;=MAX($B$30,$B$31),DE$3&lt;EDATE($B$30,MAX(1,'Вводные'!$H$89)),'Вводные'!$B$89="Да")</x:f>
        <x:v>0</x:v>
      </x:c>
      <x:c r="DF35" s="35" t="n">
        <x:f>--AND(DF$3&gt;=MAX($B$30,$B$31),DF$3&lt;EDATE($B$30,MAX(1,'Вводные'!$H$89)),'Вводные'!$B$89="Да")</x:f>
        <x:v>0</x:v>
      </x:c>
      <x:c r="DG35" s="35" t="n">
        <x:f>--AND(DG$3&gt;=MAX($B$30,$B$31),DG$3&lt;EDATE($B$30,MAX(1,'Вводные'!$H$89)),'Вводные'!$B$89="Да")</x:f>
        <x:v>0</x:v>
      </x:c>
      <x:c r="DH35" s="35" t="n">
        <x:f>--AND(DH$3&gt;=MAX($B$30,$B$31),DH$3&lt;EDATE($B$30,MAX(1,'Вводные'!$H$89)),'Вводные'!$B$89="Да")</x:f>
        <x:v>0</x:v>
      </x:c>
      <x:c r="DI35" s="35" t="n">
        <x:f>--AND(DI$3&gt;=MAX($B$30,$B$31),DI$3&lt;EDATE($B$30,MAX(1,'Вводные'!$H$89)),'Вводные'!$B$89="Да")</x:f>
        <x:v>0</x:v>
      </x:c>
      <x:c r="DJ35" s="35" t="n">
        <x:f>--AND(DJ$3&gt;=MAX($B$30,$B$31),DJ$3&lt;EDATE($B$30,MAX(1,'Вводные'!$H$89)),'Вводные'!$B$89="Да")</x:f>
        <x:v>0</x:v>
      </x:c>
      <x:c r="DK35" s="35" t="n">
        <x:f>--AND(DK$3&gt;=MAX($B$30,$B$31),DK$3&lt;EDATE($B$30,MAX(1,'Вводные'!$H$89)),'Вводные'!$B$89="Да")</x:f>
        <x:v>0</x:v>
      </x:c>
      <x:c r="DL35" s="35" t="n">
        <x:f>--AND(DL$3&gt;=MAX($B$30,$B$31),DL$3&lt;EDATE($B$30,MAX(1,'Вводные'!$H$89)),'Вводные'!$B$89="Да")</x:f>
        <x:v>0</x:v>
      </x:c>
      <x:c r="DM35" s="35" t="n">
        <x:f>--AND(DM$3&gt;=MAX($B$30,$B$31),DM$3&lt;EDATE($B$30,MAX(1,'Вводные'!$H$89)),'Вводные'!$B$89="Да")</x:f>
        <x:v>0</x:v>
      </x:c>
      <x:c r="DN35" s="35" t="n">
        <x:f>--AND(DN$3&gt;=MAX($B$30,$B$31),DN$3&lt;EDATE($B$30,MAX(1,'Вводные'!$H$89)),'Вводные'!$B$89="Да")</x:f>
        <x:v>0</x:v>
      </x:c>
      <x:c r="DO35" s="35" t="n">
        <x:f>--AND(DO$3&gt;=MAX($B$30,$B$31),DO$3&lt;EDATE($B$30,MAX(1,'Вводные'!$H$89)),'Вводные'!$B$89="Да")</x:f>
        <x:v>0</x:v>
      </x:c>
      <x:c r="DP35" s="35" t="n">
        <x:f>--AND(DP$3&gt;=MAX($B$30,$B$31),DP$3&lt;EDATE($B$30,MAX(1,'Вводные'!$H$89)),'Вводные'!$B$89="Да")</x:f>
        <x:v>0</x:v>
      </x:c>
      <x:c r="DQ35" s="35" t="n">
        <x:f>--AND(DQ$3&gt;=MAX($B$30,$B$31),DQ$3&lt;EDATE($B$30,MAX(1,'Вводные'!$H$89)),'Вводные'!$B$89="Да")</x:f>
        <x:v>0</x:v>
      </x:c>
      <x:c r="DR35" s="35" t="n">
        <x:f>--AND(DR$3&gt;=MAX($B$30,$B$31),DR$3&lt;EDATE($B$30,MAX(1,'Вводные'!$H$89)),'Вводные'!$B$89="Да")</x:f>
        <x:v>0</x:v>
      </x:c>
      <x:c r="DS35" s="35" t="n">
        <x:f>--AND(DS$3&gt;=MAX($B$30,$B$31),DS$3&lt;EDATE($B$30,MAX(1,'Вводные'!$H$89)),'Вводные'!$B$89="Да")</x:f>
        <x:v>0</x:v>
      </x:c>
    </x:row>
    <x:row r="36">
      <x:c r="A36" t="str">
        <x:v>Нормированный вес после РВЭ</x:v>
      </x:c>
      <x:c r="B36" t="n">
        <x:f>SUM(D36:DS36)</x:f>
        <x:v>0</x:v>
      </x:c>
      <x:c r="C36" t="str">
        <x:v>%</x:v>
      </x:c>
      <x:c r="D36" s="35" t="n">
        <x:f>IFERROR(D33*D35/SUMPRODUCT($D33:$DS33,$D35:$DS35),0)</x:f>
        <x:v>0</x:v>
      </x:c>
      <x:c r="E36" s="35" t="n">
        <x:f>IFERROR(E33*E35/SUMPRODUCT($D33:$DS33,$D35:$DS35),0)</x:f>
        <x:v>0</x:v>
      </x:c>
      <x:c r="F36" s="35" t="n">
        <x:f>IFERROR(F33*F35/SUMPRODUCT($D33:$DS33,$D35:$DS35),0)</x:f>
        <x:v>0</x:v>
      </x:c>
      <x:c r="G36" s="35" t="n">
        <x:f>IFERROR(G33*G35/SUMPRODUCT($D33:$DS33,$D35:$DS35),0)</x:f>
        <x:v>0</x:v>
      </x:c>
      <x:c r="H36" s="35" t="n">
        <x:f>IFERROR(H33*H35/SUMPRODUCT($D33:$DS33,$D35:$DS35),0)</x:f>
        <x:v>0</x:v>
      </x:c>
      <x:c r="I36" s="35" t="n">
        <x:f>IFERROR(I33*I35/SUMPRODUCT($D33:$DS33,$D35:$DS35),0)</x:f>
        <x:v>0</x:v>
      </x:c>
      <x:c r="J36" s="35" t="n">
        <x:f>IFERROR(J33*J35/SUMPRODUCT($D33:$DS33,$D35:$DS35),0)</x:f>
        <x:v>0</x:v>
      </x:c>
      <x:c r="K36" s="35" t="n">
        <x:f>IFERROR(K33*K35/SUMPRODUCT($D33:$DS33,$D35:$DS35),0)</x:f>
        <x:v>0</x:v>
      </x:c>
      <x:c r="L36" s="35" t="n">
        <x:f>IFERROR(L33*L35/SUMPRODUCT($D33:$DS33,$D35:$DS35),0)</x:f>
        <x:v>0</x:v>
      </x:c>
      <x:c r="M36" s="35" t="n">
        <x:f>IFERROR(M33*M35/SUMPRODUCT($D33:$DS33,$D35:$DS35),0)</x:f>
        <x:v>0</x:v>
      </x:c>
      <x:c r="N36" s="35" t="n">
        <x:f>IFERROR(N33*N35/SUMPRODUCT($D33:$DS33,$D35:$DS35),0)</x:f>
        <x:v>0</x:v>
      </x:c>
      <x:c r="O36" s="35" t="n">
        <x:f>IFERROR(O33*O35/SUMPRODUCT($D33:$DS33,$D35:$DS35),0)</x:f>
        <x:v>0</x:v>
      </x:c>
      <x:c r="P36" s="35" t="n">
        <x:f>IFERROR(P33*P35/SUMPRODUCT($D33:$DS33,$D35:$DS35),0)</x:f>
        <x:v>0</x:v>
      </x:c>
      <x:c r="Q36" s="35" t="n">
        <x:f>IFERROR(Q33*Q35/SUMPRODUCT($D33:$DS33,$D35:$DS35),0)</x:f>
        <x:v>0</x:v>
      </x:c>
      <x:c r="R36" s="35" t="n">
        <x:f>IFERROR(R33*R35/SUMPRODUCT($D33:$DS33,$D35:$DS35),0)</x:f>
        <x:v>0</x:v>
      </x:c>
      <x:c r="S36" s="35" t="n">
        <x:f>IFERROR(S33*S35/SUMPRODUCT($D33:$DS33,$D35:$DS35),0)</x:f>
        <x:v>0</x:v>
      </x:c>
      <x:c r="T36" s="35" t="n">
        <x:f>IFERROR(T33*T35/SUMPRODUCT($D33:$DS33,$D35:$DS35),0)</x:f>
        <x:v>0</x:v>
      </x:c>
      <x:c r="U36" s="35" t="n">
        <x:f>IFERROR(U33*U35/SUMPRODUCT($D33:$DS33,$D35:$DS35),0)</x:f>
        <x:v>0</x:v>
      </x:c>
      <x:c r="V36" s="35" t="n">
        <x:f>IFERROR(V33*V35/SUMPRODUCT($D33:$DS33,$D35:$DS35),0)</x:f>
        <x:v>0</x:v>
      </x:c>
      <x:c r="W36" s="35" t="n">
        <x:f>IFERROR(W33*W35/SUMPRODUCT($D33:$DS33,$D35:$DS35),0)</x:f>
        <x:v>0</x:v>
      </x:c>
      <x:c r="X36" s="35" t="n">
        <x:f>IFERROR(X33*X35/SUMPRODUCT($D33:$DS33,$D35:$DS35),0)</x:f>
        <x:v>0</x:v>
      </x:c>
      <x:c r="Y36" s="35" t="n">
        <x:f>IFERROR(Y33*Y35/SUMPRODUCT($D33:$DS33,$D35:$DS35),0)</x:f>
        <x:v>0</x:v>
      </x:c>
      <x:c r="Z36" s="35" t="n">
        <x:f>IFERROR(Z33*Z35/SUMPRODUCT($D33:$DS33,$D35:$DS35),0)</x:f>
        <x:v>0</x:v>
      </x:c>
      <x:c r="AA36" s="35" t="n">
        <x:f>IFERROR(AA33*AA35/SUMPRODUCT($D33:$DS33,$D35:$DS35),0)</x:f>
        <x:v>0</x:v>
      </x:c>
      <x:c r="AB36" s="35" t="n">
        <x:f>IFERROR(AB33*AB35/SUMPRODUCT($D33:$DS33,$D35:$DS35),0)</x:f>
        <x:v>0</x:v>
      </x:c>
      <x:c r="AC36" s="35" t="n">
        <x:f>IFERROR(AC33*AC35/SUMPRODUCT($D33:$DS33,$D35:$DS35),0)</x:f>
        <x:v>0</x:v>
      </x:c>
      <x:c r="AD36" s="35" t="n">
        <x:f>IFERROR(AD33*AD35/SUMPRODUCT($D33:$DS33,$D35:$DS35),0)</x:f>
        <x:v>0</x:v>
      </x:c>
      <x:c r="AE36" s="35" t="n">
        <x:f>IFERROR(AE33*AE35/SUMPRODUCT($D33:$DS33,$D35:$DS35),0)</x:f>
        <x:v>0</x:v>
      </x:c>
      <x:c r="AF36" s="35" t="n">
        <x:f>IFERROR(AF33*AF35/SUMPRODUCT($D33:$DS33,$D35:$DS35),0)</x:f>
        <x:v>0</x:v>
      </x:c>
      <x:c r="AG36" s="35" t="n">
        <x:f>IFERROR(AG33*AG35/SUMPRODUCT($D33:$DS33,$D35:$DS35),0)</x:f>
        <x:v>0</x:v>
      </x:c>
      <x:c r="AH36" s="35" t="n">
        <x:f>IFERROR(AH33*AH35/SUMPRODUCT($D33:$DS33,$D35:$DS35),0)</x:f>
        <x:v>0</x:v>
      </x:c>
      <x:c r="AI36" s="35" t="n">
        <x:f>IFERROR(AI33*AI35/SUMPRODUCT($D33:$DS33,$D35:$DS35),0)</x:f>
        <x:v>0</x:v>
      </x:c>
      <x:c r="AJ36" s="35" t="n">
        <x:f>IFERROR(AJ33*AJ35/SUMPRODUCT($D33:$DS33,$D35:$DS35),0)</x:f>
        <x:v>0</x:v>
      </x:c>
      <x:c r="AK36" s="35" t="n">
        <x:f>IFERROR(AK33*AK35/SUMPRODUCT($D33:$DS33,$D35:$DS35),0)</x:f>
        <x:v>0</x:v>
      </x:c>
      <x:c r="AL36" s="35" t="n">
        <x:f>IFERROR(AL33*AL35/SUMPRODUCT($D33:$DS33,$D35:$DS35),0)</x:f>
        <x:v>0</x:v>
      </x:c>
      <x:c r="AM36" s="35" t="n">
        <x:f>IFERROR(AM33*AM35/SUMPRODUCT($D33:$DS33,$D35:$DS35),0)</x:f>
        <x:v>0</x:v>
      </x:c>
      <x:c r="AN36" s="35" t="n">
        <x:f>IFERROR(AN33*AN35/SUMPRODUCT($D33:$DS33,$D35:$DS35),0)</x:f>
        <x:v>0</x:v>
      </x:c>
      <x:c r="AO36" s="35" t="n">
        <x:f>IFERROR(AO33*AO35/SUMPRODUCT($D33:$DS33,$D35:$DS35),0)</x:f>
        <x:v>0</x:v>
      </x:c>
      <x:c r="AP36" s="35" t="n">
        <x:f>IFERROR(AP33*AP35/SUMPRODUCT($D33:$DS33,$D35:$DS35),0)</x:f>
        <x:v>0</x:v>
      </x:c>
      <x:c r="AQ36" s="35" t="n">
        <x:f>IFERROR(AQ33*AQ35/SUMPRODUCT($D33:$DS33,$D35:$DS35),0)</x:f>
        <x:v>0</x:v>
      </x:c>
      <x:c r="AR36" s="35" t="n">
        <x:f>IFERROR(AR33*AR35/SUMPRODUCT($D33:$DS33,$D35:$DS35),0)</x:f>
        <x:v>0</x:v>
      </x:c>
      <x:c r="AS36" s="35" t="n">
        <x:f>IFERROR(AS33*AS35/SUMPRODUCT($D33:$DS33,$D35:$DS35),0)</x:f>
        <x:v>0</x:v>
      </x:c>
      <x:c r="AT36" s="35" t="n">
        <x:f>IFERROR(AT33*AT35/SUMPRODUCT($D33:$DS33,$D35:$DS35),0)</x:f>
        <x:v>0</x:v>
      </x:c>
      <x:c r="AU36" s="35" t="n">
        <x:f>IFERROR(AU33*AU35/SUMPRODUCT($D33:$DS33,$D35:$DS35),0)</x:f>
        <x:v>0</x:v>
      </x:c>
      <x:c r="AV36" s="35" t="n">
        <x:f>IFERROR(AV33*AV35/SUMPRODUCT($D33:$DS33,$D35:$DS35),0)</x:f>
        <x:v>0</x:v>
      </x:c>
      <x:c r="AW36" s="35" t="n">
        <x:f>IFERROR(AW33*AW35/SUMPRODUCT($D33:$DS33,$D35:$DS35),0)</x:f>
        <x:v>0</x:v>
      </x:c>
      <x:c r="AX36" s="35" t="n">
        <x:f>IFERROR(AX33*AX35/SUMPRODUCT($D33:$DS33,$D35:$DS35),0)</x:f>
        <x:v>0</x:v>
      </x:c>
      <x:c r="AY36" s="35" t="n">
        <x:f>IFERROR(AY33*AY35/SUMPRODUCT($D33:$DS33,$D35:$DS35),0)</x:f>
        <x:v>0</x:v>
      </x:c>
      <x:c r="AZ36" s="35" t="n">
        <x:f>IFERROR(AZ33*AZ35/SUMPRODUCT($D33:$DS33,$D35:$DS35),0)</x:f>
        <x:v>0</x:v>
      </x:c>
      <x:c r="BA36" s="35" t="n">
        <x:f>IFERROR(BA33*BA35/SUMPRODUCT($D33:$DS33,$D35:$DS35),0)</x:f>
        <x:v>0</x:v>
      </x:c>
      <x:c r="BB36" s="35" t="n">
        <x:f>IFERROR(BB33*BB35/SUMPRODUCT($D33:$DS33,$D35:$DS35),0)</x:f>
        <x:v>0</x:v>
      </x:c>
      <x:c r="BC36" s="35" t="n">
        <x:f>IFERROR(BC33*BC35/SUMPRODUCT($D33:$DS33,$D35:$DS35),0)</x:f>
        <x:v>0</x:v>
      </x:c>
      <x:c r="BD36" s="35" t="n">
        <x:f>IFERROR(BD33*BD35/SUMPRODUCT($D33:$DS33,$D35:$DS35),0)</x:f>
        <x:v>0</x:v>
      </x:c>
      <x:c r="BE36" s="35" t="n">
        <x:f>IFERROR(BE33*BE35/SUMPRODUCT($D33:$DS33,$D35:$DS35),0)</x:f>
        <x:v>0</x:v>
      </x:c>
      <x:c r="BF36" s="35" t="n">
        <x:f>IFERROR(BF33*BF35/SUMPRODUCT($D33:$DS33,$D35:$DS35),0)</x:f>
        <x:v>0</x:v>
      </x:c>
      <x:c r="BG36" s="35" t="n">
        <x:f>IFERROR(BG33*BG35/SUMPRODUCT($D33:$DS33,$D35:$DS35),0)</x:f>
        <x:v>0</x:v>
      </x:c>
      <x:c r="BH36" s="35" t="n">
        <x:f>IFERROR(BH33*BH35/SUMPRODUCT($D33:$DS33,$D35:$DS35),0)</x:f>
        <x:v>0</x:v>
      </x:c>
      <x:c r="BI36" s="35" t="n">
        <x:f>IFERROR(BI33*BI35/SUMPRODUCT($D33:$DS33,$D35:$DS35),0)</x:f>
        <x:v>0</x:v>
      </x:c>
      <x:c r="BJ36" s="35" t="n">
        <x:f>IFERROR(BJ33*BJ35/SUMPRODUCT($D33:$DS33,$D35:$DS35),0)</x:f>
        <x:v>0</x:v>
      </x:c>
      <x:c r="BK36" s="35" t="n">
        <x:f>IFERROR(BK33*BK35/SUMPRODUCT($D33:$DS33,$D35:$DS35),0)</x:f>
        <x:v>0</x:v>
      </x:c>
      <x:c r="BL36" s="35" t="n">
        <x:f>IFERROR(BL33*BL35/SUMPRODUCT($D33:$DS33,$D35:$DS35),0)</x:f>
        <x:v>0</x:v>
      </x:c>
      <x:c r="BM36" s="35" t="n">
        <x:f>IFERROR(BM33*BM35/SUMPRODUCT($D33:$DS33,$D35:$DS35),0)</x:f>
        <x:v>0</x:v>
      </x:c>
      <x:c r="BN36" s="35" t="n">
        <x:f>IFERROR(BN33*BN35/SUMPRODUCT($D33:$DS33,$D35:$DS35),0)</x:f>
        <x:v>0</x:v>
      </x:c>
      <x:c r="BO36" s="35" t="n">
        <x:f>IFERROR(BO33*BO35/SUMPRODUCT($D33:$DS33,$D35:$DS35),0)</x:f>
        <x:v>0</x:v>
      </x:c>
      <x:c r="BP36" s="35" t="n">
        <x:f>IFERROR(BP33*BP35/SUMPRODUCT($D33:$DS33,$D35:$DS35),0)</x:f>
        <x:v>0</x:v>
      </x:c>
      <x:c r="BQ36" s="35" t="n">
        <x:f>IFERROR(BQ33*BQ35/SUMPRODUCT($D33:$DS33,$D35:$DS35),0)</x:f>
        <x:v>0</x:v>
      </x:c>
      <x:c r="BR36" s="35" t="n">
        <x:f>IFERROR(BR33*BR35/SUMPRODUCT($D33:$DS33,$D35:$DS35),0)</x:f>
        <x:v>0</x:v>
      </x:c>
      <x:c r="BS36" s="35" t="n">
        <x:f>IFERROR(BS33*BS35/SUMPRODUCT($D33:$DS33,$D35:$DS35),0)</x:f>
        <x:v>0</x:v>
      </x:c>
      <x:c r="BT36" s="35" t="n">
        <x:f>IFERROR(BT33*BT35/SUMPRODUCT($D33:$DS33,$D35:$DS35),0)</x:f>
        <x:v>0</x:v>
      </x:c>
      <x:c r="BU36" s="35" t="n">
        <x:f>IFERROR(BU33*BU35/SUMPRODUCT($D33:$DS33,$D35:$DS35),0)</x:f>
        <x:v>0</x:v>
      </x:c>
      <x:c r="BV36" s="35" t="n">
        <x:f>IFERROR(BV33*BV35/SUMPRODUCT($D33:$DS33,$D35:$DS35),0)</x:f>
        <x:v>0</x:v>
      </x:c>
      <x:c r="BW36" s="35" t="n">
        <x:f>IFERROR(BW33*BW35/SUMPRODUCT($D33:$DS33,$D35:$DS35),0)</x:f>
        <x:v>0</x:v>
      </x:c>
      <x:c r="BX36" s="35" t="n">
        <x:f>IFERROR(BX33*BX35/SUMPRODUCT($D33:$DS33,$D35:$DS35),0)</x:f>
        <x:v>0</x:v>
      </x:c>
      <x:c r="BY36" s="35" t="n">
        <x:f>IFERROR(BY33*BY35/SUMPRODUCT($D33:$DS33,$D35:$DS35),0)</x:f>
        <x:v>0</x:v>
      </x:c>
      <x:c r="BZ36" s="35" t="n">
        <x:f>IFERROR(BZ33*BZ35/SUMPRODUCT($D33:$DS33,$D35:$DS35),0)</x:f>
        <x:v>0</x:v>
      </x:c>
      <x:c r="CA36" s="35" t="n">
        <x:f>IFERROR(CA33*CA35/SUMPRODUCT($D33:$DS33,$D35:$DS35),0)</x:f>
        <x:v>0</x:v>
      </x:c>
      <x:c r="CB36" s="35" t="n">
        <x:f>IFERROR(CB33*CB35/SUMPRODUCT($D33:$DS33,$D35:$DS35),0)</x:f>
        <x:v>0</x:v>
      </x:c>
      <x:c r="CC36" s="35" t="n">
        <x:f>IFERROR(CC33*CC35/SUMPRODUCT($D33:$DS33,$D35:$DS35),0)</x:f>
        <x:v>0</x:v>
      </x:c>
      <x:c r="CD36" s="35" t="n">
        <x:f>IFERROR(CD33*CD35/SUMPRODUCT($D33:$DS33,$D35:$DS35),0)</x:f>
        <x:v>0</x:v>
      </x:c>
      <x:c r="CE36" s="35" t="n">
        <x:f>IFERROR(CE33*CE35/SUMPRODUCT($D33:$DS33,$D35:$DS35),0)</x:f>
        <x:v>0</x:v>
      </x:c>
      <x:c r="CF36" s="35" t="n">
        <x:f>IFERROR(CF33*CF35/SUMPRODUCT($D33:$DS33,$D35:$DS35),0)</x:f>
        <x:v>0</x:v>
      </x:c>
      <x:c r="CG36" s="35" t="n">
        <x:f>IFERROR(CG33*CG35/SUMPRODUCT($D33:$DS33,$D35:$DS35),0)</x:f>
        <x:v>0</x:v>
      </x:c>
      <x:c r="CH36" s="35" t="n">
        <x:f>IFERROR(CH33*CH35/SUMPRODUCT($D33:$DS33,$D35:$DS35),0)</x:f>
        <x:v>0</x:v>
      </x:c>
      <x:c r="CI36" s="35" t="n">
        <x:f>IFERROR(CI33*CI35/SUMPRODUCT($D33:$DS33,$D35:$DS35),0)</x:f>
        <x:v>0</x:v>
      </x:c>
      <x:c r="CJ36" s="35" t="n">
        <x:f>IFERROR(CJ33*CJ35/SUMPRODUCT($D33:$DS33,$D35:$DS35),0)</x:f>
        <x:v>0</x:v>
      </x:c>
      <x:c r="CK36" s="35" t="n">
        <x:f>IFERROR(CK33*CK35/SUMPRODUCT($D33:$DS33,$D35:$DS35),0)</x:f>
        <x:v>0</x:v>
      </x:c>
      <x:c r="CL36" s="35" t="n">
        <x:f>IFERROR(CL33*CL35/SUMPRODUCT($D33:$DS33,$D35:$DS35),0)</x:f>
        <x:v>0</x:v>
      </x:c>
      <x:c r="CM36" s="35" t="n">
        <x:f>IFERROR(CM33*CM35/SUMPRODUCT($D33:$DS33,$D35:$DS35),0)</x:f>
        <x:v>0</x:v>
      </x:c>
      <x:c r="CN36" s="35" t="n">
        <x:f>IFERROR(CN33*CN35/SUMPRODUCT($D33:$DS33,$D35:$DS35),0)</x:f>
        <x:v>0</x:v>
      </x:c>
      <x:c r="CO36" s="35" t="n">
        <x:f>IFERROR(CO33*CO35/SUMPRODUCT($D33:$DS33,$D35:$DS35),0)</x:f>
        <x:v>0</x:v>
      </x:c>
      <x:c r="CP36" s="35" t="n">
        <x:f>IFERROR(CP33*CP35/SUMPRODUCT($D33:$DS33,$D35:$DS35),0)</x:f>
        <x:v>0</x:v>
      </x:c>
      <x:c r="CQ36" s="35" t="n">
        <x:f>IFERROR(CQ33*CQ35/SUMPRODUCT($D33:$DS33,$D35:$DS35),0)</x:f>
        <x:v>0</x:v>
      </x:c>
      <x:c r="CR36" s="35" t="n">
        <x:f>IFERROR(CR33*CR35/SUMPRODUCT($D33:$DS33,$D35:$DS35),0)</x:f>
        <x:v>0</x:v>
      </x:c>
      <x:c r="CS36" s="35" t="n">
        <x:f>IFERROR(CS33*CS35/SUMPRODUCT($D33:$DS33,$D35:$DS35),0)</x:f>
        <x:v>0</x:v>
      </x:c>
      <x:c r="CT36" s="35" t="n">
        <x:f>IFERROR(CT33*CT35/SUMPRODUCT($D33:$DS33,$D35:$DS35),0)</x:f>
        <x:v>0</x:v>
      </x:c>
      <x:c r="CU36" s="35" t="n">
        <x:f>IFERROR(CU33*CU35/SUMPRODUCT($D33:$DS33,$D35:$DS35),0)</x:f>
        <x:v>0</x:v>
      </x:c>
      <x:c r="CV36" s="35" t="n">
        <x:f>IFERROR(CV33*CV35/SUMPRODUCT($D33:$DS33,$D35:$DS35),0)</x:f>
        <x:v>0</x:v>
      </x:c>
      <x:c r="CW36" s="35" t="n">
        <x:f>IFERROR(CW33*CW35/SUMPRODUCT($D33:$DS33,$D35:$DS35),0)</x:f>
        <x:v>0</x:v>
      </x:c>
      <x:c r="CX36" s="35" t="n">
        <x:f>IFERROR(CX33*CX35/SUMPRODUCT($D33:$DS33,$D35:$DS35),0)</x:f>
        <x:v>0</x:v>
      </x:c>
      <x:c r="CY36" s="35" t="n">
        <x:f>IFERROR(CY33*CY35/SUMPRODUCT($D33:$DS33,$D35:$DS35),0)</x:f>
        <x:v>0</x:v>
      </x:c>
      <x:c r="CZ36" s="35" t="n">
        <x:f>IFERROR(CZ33*CZ35/SUMPRODUCT($D33:$DS33,$D35:$DS35),0)</x:f>
        <x:v>0</x:v>
      </x:c>
      <x:c r="DA36" s="35" t="n">
        <x:f>IFERROR(DA33*DA35/SUMPRODUCT($D33:$DS33,$D35:$DS35),0)</x:f>
        <x:v>0</x:v>
      </x:c>
      <x:c r="DB36" s="35" t="n">
        <x:f>IFERROR(DB33*DB35/SUMPRODUCT($D33:$DS33,$D35:$DS35),0)</x:f>
        <x:v>0</x:v>
      </x:c>
      <x:c r="DC36" s="35" t="n">
        <x:f>IFERROR(DC33*DC35/SUMPRODUCT($D33:$DS33,$D35:$DS35),0)</x:f>
        <x:v>0</x:v>
      </x:c>
      <x:c r="DD36" s="35" t="n">
        <x:f>IFERROR(DD33*DD35/SUMPRODUCT($D33:$DS33,$D35:$DS35),0)</x:f>
        <x:v>0</x:v>
      </x:c>
      <x:c r="DE36" s="35" t="n">
        <x:f>IFERROR(DE33*DE35/SUMPRODUCT($D33:$DS33,$D35:$DS35),0)</x:f>
        <x:v>0</x:v>
      </x:c>
      <x:c r="DF36" s="35" t="n">
        <x:f>IFERROR(DF33*DF35/SUMPRODUCT($D33:$DS33,$D35:$DS35),0)</x:f>
        <x:v>0</x:v>
      </x:c>
      <x:c r="DG36" s="35" t="n">
        <x:f>IFERROR(DG33*DG35/SUMPRODUCT($D33:$DS33,$D35:$DS35),0)</x:f>
        <x:v>0</x:v>
      </x:c>
      <x:c r="DH36" s="35" t="n">
        <x:f>IFERROR(DH33*DH35/SUMPRODUCT($D33:$DS33,$D35:$DS35),0)</x:f>
        <x:v>0</x:v>
      </x:c>
      <x:c r="DI36" s="35" t="n">
        <x:f>IFERROR(DI33*DI35/SUMPRODUCT($D33:$DS33,$D35:$DS35),0)</x:f>
        <x:v>0</x:v>
      </x:c>
      <x:c r="DJ36" s="35" t="n">
        <x:f>IFERROR(DJ33*DJ35/SUMPRODUCT($D33:$DS33,$D35:$DS35),0)</x:f>
        <x:v>0</x:v>
      </x:c>
      <x:c r="DK36" s="35" t="n">
        <x:f>IFERROR(DK33*DK35/SUMPRODUCT($D33:$DS33,$D35:$DS35),0)</x:f>
        <x:v>0</x:v>
      </x:c>
      <x:c r="DL36" s="35" t="n">
        <x:f>IFERROR(DL33*DL35/SUMPRODUCT($D33:$DS33,$D35:$DS35),0)</x:f>
        <x:v>0</x:v>
      </x:c>
      <x:c r="DM36" s="35" t="n">
        <x:f>IFERROR(DM33*DM35/SUMPRODUCT($D33:$DS33,$D35:$DS35),0)</x:f>
        <x:v>0</x:v>
      </x:c>
      <x:c r="DN36" s="35" t="n">
        <x:f>IFERROR(DN33*DN35/SUMPRODUCT($D33:$DS33,$D35:$DS35),0)</x:f>
        <x:v>0</x:v>
      </x:c>
      <x:c r="DO36" s="35" t="n">
        <x:f>IFERROR(DO33*DO35/SUMPRODUCT($D33:$DS33,$D35:$DS35),0)</x:f>
        <x:v>0</x:v>
      </x:c>
      <x:c r="DP36" s="35" t="n">
        <x:f>IFERROR(DP33*DP35/SUMPRODUCT($D33:$DS33,$D35:$DS35),0)</x:f>
        <x:v>0</x:v>
      </x:c>
      <x:c r="DQ36" s="35" t="n">
        <x:f>IFERROR(DQ33*DQ35/SUMPRODUCT($D33:$DS33,$D35:$DS35),0)</x:f>
        <x:v>0</x:v>
      </x:c>
      <x:c r="DR36" s="35" t="n">
        <x:f>IFERROR(DR33*DR35/SUMPRODUCT($D33:$DS33,$D35:$DS35),0)</x:f>
        <x:v>0</x:v>
      </x:c>
      <x:c r="DS36" s="35" t="n">
        <x:f>IFERROR(DS33*DS35/SUMPRODUCT($D33:$DS33,$D35:$DS35),0)</x:f>
        <x:v>0</x:v>
      </x:c>
    </x:row>
    <x:row r="37">
      <x:c r="A37" t="str">
        <x:v>Квартиры — объём</x:v>
      </x:c>
      <x:c r="B37" t="n">
        <x:f>SUM(D37:DS37)</x:f>
        <x:v>0</x:v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  <x:v>0</x:v>
      </x:c>
      <x:c r="E37" s="107" t="n">
        <x:f>'Вводные'!$L$89*((IF(SUM($D32:$DS32)=0,0,IF(SUM($D35:$DS35)=0,1,'Вводные'!$B$63)))*E34+(1-(IF(SUM($D32:$DS32)=0,0,IF(SUM($D35:$DS35)=0,1,'Вводные'!$B$63))))*E36)</x:f>
        <x:v>0</x:v>
      </x:c>
      <x:c r="F37" s="107" t="n">
        <x:f>'Вводные'!$L$89*((IF(SUM($D32:$DS32)=0,0,IF(SUM($D35:$DS35)=0,1,'Вводные'!$B$63)))*F34+(1-(IF(SUM($D32:$DS32)=0,0,IF(SUM($D35:$DS35)=0,1,'Вводные'!$B$63))))*F36)</x:f>
        <x:v>0</x:v>
      </x:c>
      <x:c r="G37" s="107" t="n">
        <x:f>'Вводные'!$L$89*((IF(SUM($D32:$DS32)=0,0,IF(SUM($D35:$DS35)=0,1,'Вводные'!$B$63)))*G34+(1-(IF(SUM($D32:$DS32)=0,0,IF(SUM($D35:$DS35)=0,1,'Вводные'!$B$63))))*G36)</x:f>
        <x:v>0</x:v>
      </x:c>
      <x:c r="H37" s="107" t="n">
        <x:f>'Вводные'!$L$89*((IF(SUM($D32:$DS32)=0,0,IF(SUM($D35:$DS35)=0,1,'Вводные'!$B$63)))*H34+(1-(IF(SUM($D32:$DS32)=0,0,IF(SUM($D35:$DS35)=0,1,'Вводные'!$B$63))))*H36)</x:f>
        <x:v>0</x:v>
      </x:c>
      <x:c r="I37" s="107" t="n">
        <x:f>'Вводные'!$L$89*((IF(SUM($D32:$DS32)=0,0,IF(SUM($D35:$DS35)=0,1,'Вводные'!$B$63)))*I34+(1-(IF(SUM($D32:$DS32)=0,0,IF(SUM($D35:$DS35)=0,1,'Вводные'!$B$63))))*I36)</x:f>
        <x:v>0</x:v>
      </x:c>
      <x:c r="J37" s="107" t="n">
        <x:f>'Вводные'!$L$89*((IF(SUM($D32:$DS32)=0,0,IF(SUM($D35:$DS35)=0,1,'Вводные'!$B$63)))*J34+(1-(IF(SUM($D32:$DS32)=0,0,IF(SUM($D35:$DS35)=0,1,'Вводные'!$B$63))))*J36)</x:f>
        <x:v>0</x:v>
      </x:c>
      <x:c r="K37" s="107" t="n">
        <x:f>'Вводные'!$L$89*((IF(SUM($D32:$DS32)=0,0,IF(SUM($D35:$DS35)=0,1,'Вводные'!$B$63)))*K34+(1-(IF(SUM($D32:$DS32)=0,0,IF(SUM($D35:$DS35)=0,1,'Вводные'!$B$63))))*K36)</x:f>
        <x:v>0</x:v>
      </x:c>
      <x:c r="L37" s="107" t="n">
        <x:f>'Вводные'!$L$89*((IF(SUM($D32:$DS32)=0,0,IF(SUM($D35:$DS35)=0,1,'Вводные'!$B$63)))*L34+(1-(IF(SUM($D32:$DS32)=0,0,IF(SUM($D35:$DS35)=0,1,'Вводные'!$B$63))))*L36)</x:f>
        <x:v>0</x:v>
      </x:c>
      <x:c r="M37" s="107" t="n">
        <x:f>'Вводные'!$L$89*((IF(SUM($D32:$DS32)=0,0,IF(SUM($D35:$DS35)=0,1,'Вводные'!$B$63)))*M34+(1-(IF(SUM($D32:$DS32)=0,0,IF(SUM($D35:$DS35)=0,1,'Вводные'!$B$63))))*M36)</x:f>
        <x:v>0</x:v>
      </x:c>
      <x:c r="N37" s="107" t="n">
        <x:f>'Вводные'!$L$89*((IF(SUM($D32:$DS32)=0,0,IF(SUM($D35:$DS35)=0,1,'Вводные'!$B$63)))*N34+(1-(IF(SUM($D32:$DS32)=0,0,IF(SUM($D35:$DS35)=0,1,'Вводные'!$B$63))))*N36)</x:f>
        <x:v>0</x:v>
      </x:c>
      <x:c r="O37" s="107" t="n">
        <x:f>'Вводные'!$L$89*((IF(SUM($D32:$DS32)=0,0,IF(SUM($D35:$DS35)=0,1,'Вводные'!$B$63)))*O34+(1-(IF(SUM($D32:$DS32)=0,0,IF(SUM($D35:$DS35)=0,1,'Вводные'!$B$63))))*O36)</x:f>
        <x:v>0</x:v>
      </x:c>
      <x:c r="P37" s="107" t="n">
        <x:f>'Вводные'!$L$89*((IF(SUM($D32:$DS32)=0,0,IF(SUM($D35:$DS35)=0,1,'Вводные'!$B$63)))*P34+(1-(IF(SUM($D32:$DS32)=0,0,IF(SUM($D35:$DS35)=0,1,'Вводные'!$B$63))))*P36)</x:f>
        <x:v>0</x:v>
      </x:c>
      <x:c r="Q37" s="107" t="n">
        <x:f>'Вводные'!$L$89*((IF(SUM($D32:$DS32)=0,0,IF(SUM($D35:$DS35)=0,1,'Вводные'!$B$63)))*Q34+(1-(IF(SUM($D32:$DS32)=0,0,IF(SUM($D35:$DS35)=0,1,'Вводные'!$B$63))))*Q36)</x:f>
        <x:v>0</x:v>
      </x:c>
      <x:c r="R37" s="107" t="n">
        <x:f>'Вводные'!$L$89*((IF(SUM($D32:$DS32)=0,0,IF(SUM($D35:$DS35)=0,1,'Вводные'!$B$63)))*R34+(1-(IF(SUM($D32:$DS32)=0,0,IF(SUM($D35:$DS35)=0,1,'Вводные'!$B$63))))*R36)</x:f>
        <x:v>0</x:v>
      </x:c>
      <x:c r="S37" s="107" t="n">
        <x:f>'Вводные'!$L$89*((IF(SUM($D32:$DS32)=0,0,IF(SUM($D35:$DS35)=0,1,'Вводные'!$B$63)))*S34+(1-(IF(SUM($D32:$DS32)=0,0,IF(SUM($D35:$DS35)=0,1,'Вводные'!$B$63))))*S36)</x:f>
        <x:v>0</x:v>
      </x:c>
      <x:c r="T37" s="107" t="n">
        <x:f>'Вводные'!$L$89*((IF(SUM($D32:$DS32)=0,0,IF(SUM($D35:$DS35)=0,1,'Вводные'!$B$63)))*T34+(1-(IF(SUM($D32:$DS32)=0,0,IF(SUM($D35:$DS35)=0,1,'Вводные'!$B$63))))*T36)</x:f>
        <x:v>0</x:v>
      </x:c>
      <x:c r="U37" s="107" t="n">
        <x:f>'Вводные'!$L$89*((IF(SUM($D32:$DS32)=0,0,IF(SUM($D35:$DS35)=0,1,'Вводные'!$B$63)))*U34+(1-(IF(SUM($D32:$DS32)=0,0,IF(SUM($D35:$DS35)=0,1,'Вводные'!$B$63))))*U36)</x:f>
        <x:v>0</x:v>
      </x:c>
      <x:c r="V37" s="107" t="n">
        <x:f>'Вводные'!$L$89*((IF(SUM($D32:$DS32)=0,0,IF(SUM($D35:$DS35)=0,1,'Вводные'!$B$63)))*V34+(1-(IF(SUM($D32:$DS32)=0,0,IF(SUM($D35:$DS35)=0,1,'Вводные'!$B$63))))*V36)</x:f>
        <x:v>0</x:v>
      </x:c>
      <x:c r="W37" s="107" t="n">
        <x:f>'Вводные'!$L$89*((IF(SUM($D32:$DS32)=0,0,IF(SUM($D35:$DS35)=0,1,'Вводные'!$B$63)))*W34+(1-(IF(SUM($D32:$DS32)=0,0,IF(SUM($D35:$DS35)=0,1,'Вводные'!$B$63))))*W36)</x:f>
        <x:v>0</x:v>
      </x:c>
      <x:c r="X37" s="107" t="n">
        <x:f>'Вводные'!$L$89*((IF(SUM($D32:$DS32)=0,0,IF(SUM($D35:$DS35)=0,1,'Вводные'!$B$63)))*X34+(1-(IF(SUM($D32:$DS32)=0,0,IF(SUM($D35:$DS35)=0,1,'Вводные'!$B$63))))*X36)</x:f>
        <x:v>0</x:v>
      </x:c>
      <x:c r="Y37" s="107" t="n">
        <x:f>'Вводные'!$L$89*((IF(SUM($D32:$DS32)=0,0,IF(SUM($D35:$DS35)=0,1,'Вводные'!$B$63)))*Y34+(1-(IF(SUM($D32:$DS32)=0,0,IF(SUM($D35:$DS35)=0,1,'Вводные'!$B$63))))*Y36)</x:f>
        <x:v>0</x:v>
      </x:c>
      <x:c r="Z37" s="107" t="n">
        <x:f>'Вводные'!$L$89*((IF(SUM($D32:$DS32)=0,0,IF(SUM($D35:$DS35)=0,1,'Вводные'!$B$63)))*Z34+(1-(IF(SUM($D32:$DS32)=0,0,IF(SUM($D35:$DS35)=0,1,'Вводные'!$B$63))))*Z36)</x:f>
        <x:v>0</x:v>
      </x:c>
      <x:c r="AA37" s="107" t="n">
        <x:f>'Вводные'!$L$89*((IF(SUM($D32:$DS32)=0,0,IF(SUM($D35:$DS35)=0,1,'Вводные'!$B$63)))*AA34+(1-(IF(SUM($D32:$DS32)=0,0,IF(SUM($D35:$DS35)=0,1,'Вводные'!$B$63))))*AA36)</x:f>
        <x:v>0</x:v>
      </x:c>
      <x:c r="AB37" s="107" t="n">
        <x:f>'Вводные'!$L$89*((IF(SUM($D32:$DS32)=0,0,IF(SUM($D35:$DS35)=0,1,'Вводные'!$B$63)))*AB34+(1-(IF(SUM($D32:$DS32)=0,0,IF(SUM($D35:$DS35)=0,1,'Вводные'!$B$63))))*AB36)</x:f>
        <x:v>0</x:v>
      </x:c>
      <x:c r="AC37" s="107" t="n">
        <x:f>'Вводные'!$L$89*((IF(SUM($D32:$DS32)=0,0,IF(SUM($D35:$DS35)=0,1,'Вводные'!$B$63)))*AC34+(1-(IF(SUM($D32:$DS32)=0,0,IF(SUM($D35:$DS35)=0,1,'Вводные'!$B$63))))*AC36)</x:f>
        <x:v>0</x:v>
      </x:c>
      <x:c r="AD37" s="107" t="n">
        <x:f>'Вводные'!$L$89*((IF(SUM($D32:$DS32)=0,0,IF(SUM($D35:$DS35)=0,1,'Вводные'!$B$63)))*AD34+(1-(IF(SUM($D32:$DS32)=0,0,IF(SUM($D35:$DS35)=0,1,'Вводные'!$B$63))))*AD36)</x:f>
        <x:v>0</x:v>
      </x:c>
      <x:c r="AE37" s="107" t="n">
        <x:f>'Вводные'!$L$89*((IF(SUM($D32:$DS32)=0,0,IF(SUM($D35:$DS35)=0,1,'Вводные'!$B$63)))*AE34+(1-(IF(SUM($D32:$DS32)=0,0,IF(SUM($D35:$DS35)=0,1,'Вводные'!$B$63))))*AE36)</x:f>
        <x:v>0</x:v>
      </x:c>
      <x:c r="AF37" s="107" t="n">
        <x:f>'Вводные'!$L$89*((IF(SUM($D32:$DS32)=0,0,IF(SUM($D35:$DS35)=0,1,'Вводные'!$B$63)))*AF34+(1-(IF(SUM($D32:$DS32)=0,0,IF(SUM($D35:$DS35)=0,1,'Вводные'!$B$63))))*AF36)</x:f>
        <x:v>0</x:v>
      </x:c>
      <x:c r="AG37" s="107" t="n">
        <x:f>'Вводные'!$L$89*((IF(SUM($D32:$DS32)=0,0,IF(SUM($D35:$DS35)=0,1,'Вводные'!$B$63)))*AG34+(1-(IF(SUM($D32:$DS32)=0,0,IF(SUM($D35:$DS35)=0,1,'Вводные'!$B$63))))*AG36)</x:f>
        <x:v>0</x:v>
      </x:c>
      <x:c r="AH37" s="107" t="n">
        <x:f>'Вводные'!$L$89*((IF(SUM($D32:$DS32)=0,0,IF(SUM($D35:$DS35)=0,1,'Вводные'!$B$63)))*AH34+(1-(IF(SUM($D32:$DS32)=0,0,IF(SUM($D35:$DS35)=0,1,'Вводные'!$B$63))))*AH36)</x:f>
        <x:v>0</x:v>
      </x:c>
      <x:c r="AI37" s="107" t="n">
        <x:f>'Вводные'!$L$89*((IF(SUM($D32:$DS32)=0,0,IF(SUM($D35:$DS35)=0,1,'Вводные'!$B$63)))*AI34+(1-(IF(SUM($D32:$DS32)=0,0,IF(SUM($D35:$DS35)=0,1,'Вводные'!$B$63))))*AI36)</x:f>
        <x:v>0</x:v>
      </x:c>
      <x:c r="AJ37" s="107" t="n">
        <x:f>'Вводные'!$L$89*((IF(SUM($D32:$DS32)=0,0,IF(SUM($D35:$DS35)=0,1,'Вводные'!$B$63)))*AJ34+(1-(IF(SUM($D32:$DS32)=0,0,IF(SUM($D35:$DS35)=0,1,'Вводные'!$B$63))))*AJ36)</x:f>
        <x:v>0</x:v>
      </x:c>
      <x:c r="AK37" s="107" t="n">
        <x:f>'Вводные'!$L$89*((IF(SUM($D32:$DS32)=0,0,IF(SUM($D35:$DS35)=0,1,'Вводные'!$B$63)))*AK34+(1-(IF(SUM($D32:$DS32)=0,0,IF(SUM($D35:$DS35)=0,1,'Вводные'!$B$63))))*AK36)</x:f>
        <x:v>0</x:v>
      </x:c>
      <x:c r="AL37" s="107" t="n">
        <x:f>'Вводные'!$L$89*((IF(SUM($D32:$DS32)=0,0,IF(SUM($D35:$DS35)=0,1,'Вводные'!$B$63)))*AL34+(1-(IF(SUM($D32:$DS32)=0,0,IF(SUM($D35:$DS35)=0,1,'Вводные'!$B$63))))*AL36)</x:f>
        <x:v>0</x:v>
      </x:c>
      <x:c r="AM37" s="107" t="n">
        <x:f>'Вводные'!$L$89*((IF(SUM($D32:$DS32)=0,0,IF(SUM($D35:$DS35)=0,1,'Вводные'!$B$63)))*AM34+(1-(IF(SUM($D32:$DS32)=0,0,IF(SUM($D35:$DS35)=0,1,'Вводные'!$B$63))))*AM36)</x:f>
        <x:v>0</x:v>
      </x:c>
      <x:c r="AN37" s="107" t="n">
        <x:f>'Вводные'!$L$89*((IF(SUM($D32:$DS32)=0,0,IF(SUM($D35:$DS35)=0,1,'Вводные'!$B$63)))*AN34+(1-(IF(SUM($D32:$DS32)=0,0,IF(SUM($D35:$DS35)=0,1,'Вводные'!$B$63))))*AN36)</x:f>
        <x:v>0</x:v>
      </x:c>
      <x:c r="AO37" s="107" t="n">
        <x:f>'Вводные'!$L$89*((IF(SUM($D32:$DS32)=0,0,IF(SUM($D35:$DS35)=0,1,'Вводные'!$B$63)))*AO34+(1-(IF(SUM($D32:$DS32)=0,0,IF(SUM($D35:$DS35)=0,1,'Вводные'!$B$63))))*AO36)</x:f>
        <x:v>0</x:v>
      </x:c>
      <x:c r="AP37" s="107" t="n">
        <x:f>'Вводные'!$L$89*((IF(SUM($D32:$DS32)=0,0,IF(SUM($D35:$DS35)=0,1,'Вводные'!$B$63)))*AP34+(1-(IF(SUM($D32:$DS32)=0,0,IF(SUM($D35:$DS35)=0,1,'Вводные'!$B$63))))*AP36)</x:f>
        <x:v>0</x:v>
      </x:c>
      <x:c r="AQ37" s="107" t="n">
        <x:f>'Вводные'!$L$89*((IF(SUM($D32:$DS32)=0,0,IF(SUM($D35:$DS35)=0,1,'Вводные'!$B$63)))*AQ34+(1-(IF(SUM($D32:$DS32)=0,0,IF(SUM($D35:$DS35)=0,1,'Вводные'!$B$63))))*AQ36)</x:f>
        <x:v>0</x:v>
      </x:c>
      <x:c r="AR37" s="107" t="n">
        <x:f>'Вводные'!$L$89*((IF(SUM($D32:$DS32)=0,0,IF(SUM($D35:$DS35)=0,1,'Вводные'!$B$63)))*AR34+(1-(IF(SUM($D32:$DS32)=0,0,IF(SUM($D35:$DS35)=0,1,'Вводные'!$B$63))))*AR36)</x:f>
        <x:v>0</x:v>
      </x:c>
      <x:c r="AS37" s="107" t="n">
        <x:f>'Вводные'!$L$89*((IF(SUM($D32:$DS32)=0,0,IF(SUM($D35:$DS35)=0,1,'Вводные'!$B$63)))*AS34+(1-(IF(SUM($D32:$DS32)=0,0,IF(SUM($D35:$DS35)=0,1,'Вводные'!$B$63))))*AS36)</x:f>
        <x:v>0</x:v>
      </x:c>
      <x:c r="AT37" s="107" t="n">
        <x:f>'Вводные'!$L$89*((IF(SUM($D32:$DS32)=0,0,IF(SUM($D35:$DS35)=0,1,'Вводные'!$B$63)))*AT34+(1-(IF(SUM($D32:$DS32)=0,0,IF(SUM($D35:$DS35)=0,1,'Вводные'!$B$63))))*AT36)</x:f>
        <x:v>0</x:v>
      </x:c>
      <x:c r="AU37" s="107" t="n">
        <x:f>'Вводные'!$L$89*((IF(SUM($D32:$DS32)=0,0,IF(SUM($D35:$DS35)=0,1,'Вводные'!$B$63)))*AU34+(1-(IF(SUM($D32:$DS32)=0,0,IF(SUM($D35:$DS35)=0,1,'Вводные'!$B$63))))*AU36)</x:f>
        <x:v>0</x:v>
      </x:c>
      <x:c r="AV37" s="107" t="n">
        <x:f>'Вводные'!$L$89*((IF(SUM($D32:$DS32)=0,0,IF(SUM($D35:$DS35)=0,1,'Вводные'!$B$63)))*AV34+(1-(IF(SUM($D32:$DS32)=0,0,IF(SUM($D35:$DS35)=0,1,'Вводные'!$B$63))))*AV36)</x:f>
        <x:v>0</x:v>
      </x:c>
      <x:c r="AW37" s="107" t="n">
        <x:f>'Вводные'!$L$89*((IF(SUM($D32:$DS32)=0,0,IF(SUM($D35:$DS35)=0,1,'Вводные'!$B$63)))*AW34+(1-(IF(SUM($D32:$DS32)=0,0,IF(SUM($D35:$DS35)=0,1,'Вводные'!$B$63))))*AW36)</x:f>
        <x:v>0</x:v>
      </x:c>
      <x:c r="AX37" s="107" t="n">
        <x:f>'Вводные'!$L$89*((IF(SUM($D32:$DS32)=0,0,IF(SUM($D35:$DS35)=0,1,'Вводные'!$B$63)))*AX34+(1-(IF(SUM($D32:$DS32)=0,0,IF(SUM($D35:$DS35)=0,1,'Вводные'!$B$63))))*AX36)</x:f>
        <x:v>0</x:v>
      </x:c>
      <x:c r="AY37" s="107" t="n">
        <x:f>'Вводные'!$L$89*((IF(SUM($D32:$DS32)=0,0,IF(SUM($D35:$DS35)=0,1,'Вводные'!$B$63)))*AY34+(1-(IF(SUM($D32:$DS32)=0,0,IF(SUM($D35:$DS35)=0,1,'Вводные'!$B$63))))*AY36)</x:f>
        <x:v>0</x:v>
      </x:c>
      <x:c r="AZ37" s="107" t="n">
        <x:f>'Вводные'!$L$89*((IF(SUM($D32:$DS32)=0,0,IF(SUM($D35:$DS35)=0,1,'Вводные'!$B$63)))*AZ34+(1-(IF(SUM($D32:$DS32)=0,0,IF(SUM($D35:$DS35)=0,1,'Вводные'!$B$63))))*AZ36)</x:f>
        <x:v>0</x:v>
      </x:c>
      <x:c r="BA37" s="107" t="n">
        <x:f>'Вводные'!$L$89*((IF(SUM($D32:$DS32)=0,0,IF(SUM($D35:$DS35)=0,1,'Вводные'!$B$63)))*BA34+(1-(IF(SUM($D32:$DS32)=0,0,IF(SUM($D35:$DS35)=0,1,'Вводные'!$B$63))))*BA36)</x:f>
        <x:v>0</x:v>
      </x:c>
      <x:c r="BB37" s="107" t="n">
        <x:f>'Вводные'!$L$89*((IF(SUM($D32:$DS32)=0,0,IF(SUM($D35:$DS35)=0,1,'Вводные'!$B$63)))*BB34+(1-(IF(SUM($D32:$DS32)=0,0,IF(SUM($D35:$DS35)=0,1,'Вводные'!$B$63))))*BB36)</x:f>
        <x:v>0</x:v>
      </x:c>
      <x:c r="BC37" s="107" t="n">
        <x:f>'Вводные'!$L$89*((IF(SUM($D32:$DS32)=0,0,IF(SUM($D35:$DS35)=0,1,'Вводные'!$B$63)))*BC34+(1-(IF(SUM($D32:$DS32)=0,0,IF(SUM($D35:$DS35)=0,1,'Вводные'!$B$63))))*BC36)</x:f>
        <x:v>0</x:v>
      </x:c>
      <x:c r="BD37" s="107" t="n">
        <x:f>'Вводные'!$L$89*((IF(SUM($D32:$DS32)=0,0,IF(SUM($D35:$DS35)=0,1,'Вводные'!$B$63)))*BD34+(1-(IF(SUM($D32:$DS32)=0,0,IF(SUM($D35:$DS35)=0,1,'Вводные'!$B$63))))*BD36)</x:f>
        <x:v>0</x:v>
      </x:c>
      <x:c r="BE37" s="107" t="n">
        <x:f>'Вводные'!$L$89*((IF(SUM($D32:$DS32)=0,0,IF(SUM($D35:$DS35)=0,1,'Вводные'!$B$63)))*BE34+(1-(IF(SUM($D32:$DS32)=0,0,IF(SUM($D35:$DS35)=0,1,'Вводные'!$B$63))))*BE36)</x:f>
        <x:v>0</x:v>
      </x:c>
      <x:c r="BF37" s="107" t="n">
        <x:f>'Вводные'!$L$89*((IF(SUM($D32:$DS32)=0,0,IF(SUM($D35:$DS35)=0,1,'Вводные'!$B$63)))*BF34+(1-(IF(SUM($D32:$DS32)=0,0,IF(SUM($D35:$DS35)=0,1,'Вводные'!$B$63))))*BF36)</x:f>
        <x:v>0</x:v>
      </x:c>
      <x:c r="BG37" s="107" t="n">
        <x:f>'Вводные'!$L$89*((IF(SUM($D32:$DS32)=0,0,IF(SUM($D35:$DS35)=0,1,'Вводные'!$B$63)))*BG34+(1-(IF(SUM($D32:$DS32)=0,0,IF(SUM($D35:$DS35)=0,1,'Вводные'!$B$63))))*BG36)</x:f>
        <x:v>0</x:v>
      </x:c>
      <x:c r="BH37" s="107" t="n">
        <x:f>'Вводные'!$L$89*((IF(SUM($D32:$DS32)=0,0,IF(SUM($D35:$DS35)=0,1,'Вводные'!$B$63)))*BH34+(1-(IF(SUM($D32:$DS32)=0,0,IF(SUM($D35:$DS35)=0,1,'Вводные'!$B$63))))*BH36)</x:f>
        <x:v>0</x:v>
      </x:c>
      <x:c r="BI37" s="107" t="n">
        <x:f>'Вводные'!$L$89*((IF(SUM($D32:$DS32)=0,0,IF(SUM($D35:$DS35)=0,1,'Вводные'!$B$63)))*BI34+(1-(IF(SUM($D32:$DS32)=0,0,IF(SUM($D35:$DS35)=0,1,'Вводные'!$B$63))))*BI36)</x:f>
        <x:v>0</x:v>
      </x:c>
      <x:c r="BJ37" s="107" t="n">
        <x:f>'Вводные'!$L$89*((IF(SUM($D32:$DS32)=0,0,IF(SUM($D35:$DS35)=0,1,'Вводные'!$B$63)))*BJ34+(1-(IF(SUM($D32:$DS32)=0,0,IF(SUM($D35:$DS35)=0,1,'Вводные'!$B$63))))*BJ36)</x:f>
        <x:v>0</x:v>
      </x:c>
      <x:c r="BK37" s="107" t="n">
        <x:f>'Вводные'!$L$89*((IF(SUM($D32:$DS32)=0,0,IF(SUM($D35:$DS35)=0,1,'Вводные'!$B$63)))*BK34+(1-(IF(SUM($D32:$DS32)=0,0,IF(SUM($D35:$DS35)=0,1,'Вводные'!$B$63))))*BK36)</x:f>
        <x:v>0</x:v>
      </x:c>
      <x:c r="BL37" s="107" t="n">
        <x:f>'Вводные'!$L$89*((IF(SUM($D32:$DS32)=0,0,IF(SUM($D35:$DS35)=0,1,'Вводные'!$B$63)))*BL34+(1-(IF(SUM($D32:$DS32)=0,0,IF(SUM($D35:$DS35)=0,1,'Вводные'!$B$63))))*BL36)</x:f>
        <x:v>0</x:v>
      </x:c>
      <x:c r="BM37" s="107" t="n">
        <x:f>'Вводные'!$L$89*((IF(SUM($D32:$DS32)=0,0,IF(SUM($D35:$DS35)=0,1,'Вводные'!$B$63)))*BM34+(1-(IF(SUM($D32:$DS32)=0,0,IF(SUM($D35:$DS35)=0,1,'Вводные'!$B$63))))*BM36)</x:f>
        <x:v>0</x:v>
      </x:c>
      <x:c r="BN37" s="107" t="n">
        <x:f>'Вводные'!$L$89*((IF(SUM($D32:$DS32)=0,0,IF(SUM($D35:$DS35)=0,1,'Вводные'!$B$63)))*BN34+(1-(IF(SUM($D32:$DS32)=0,0,IF(SUM($D35:$DS35)=0,1,'Вводные'!$B$63))))*BN36)</x:f>
        <x:v>0</x:v>
      </x:c>
      <x:c r="BO37" s="107" t="n">
        <x:f>'Вводные'!$L$89*((IF(SUM($D32:$DS32)=0,0,IF(SUM($D35:$DS35)=0,1,'Вводные'!$B$63)))*BO34+(1-(IF(SUM($D32:$DS32)=0,0,IF(SUM($D35:$DS35)=0,1,'Вводные'!$B$63))))*BO36)</x:f>
        <x:v>0</x:v>
      </x:c>
      <x:c r="BP37" s="107" t="n">
        <x:f>'Вводные'!$L$89*((IF(SUM($D32:$DS32)=0,0,IF(SUM($D35:$DS35)=0,1,'Вводные'!$B$63)))*BP34+(1-(IF(SUM($D32:$DS32)=0,0,IF(SUM($D35:$DS35)=0,1,'Вводные'!$B$63))))*BP36)</x:f>
        <x:v>0</x:v>
      </x:c>
      <x:c r="BQ37" s="107" t="n">
        <x:f>'Вводные'!$L$89*((IF(SUM($D32:$DS32)=0,0,IF(SUM($D35:$DS35)=0,1,'Вводные'!$B$63)))*BQ34+(1-(IF(SUM($D32:$DS32)=0,0,IF(SUM($D35:$DS35)=0,1,'Вводные'!$B$63))))*BQ36)</x:f>
        <x:v>0</x:v>
      </x:c>
      <x:c r="BR37" s="107" t="n">
        <x:f>'Вводные'!$L$89*((IF(SUM($D32:$DS32)=0,0,IF(SUM($D35:$DS35)=0,1,'Вводные'!$B$63)))*BR34+(1-(IF(SUM($D32:$DS32)=0,0,IF(SUM($D35:$DS35)=0,1,'Вводные'!$B$63))))*BR36)</x:f>
        <x:v>0</x:v>
      </x:c>
      <x:c r="BS37" s="107" t="n">
        <x:f>'Вводные'!$L$89*((IF(SUM($D32:$DS32)=0,0,IF(SUM($D35:$DS35)=0,1,'Вводные'!$B$63)))*BS34+(1-(IF(SUM($D32:$DS32)=0,0,IF(SUM($D35:$DS35)=0,1,'Вводные'!$B$63))))*BS36)</x:f>
        <x:v>0</x:v>
      </x:c>
      <x:c r="BT37" s="107" t="n">
        <x:f>'Вводные'!$L$89*((IF(SUM($D32:$DS32)=0,0,IF(SUM($D35:$DS35)=0,1,'Вводные'!$B$63)))*BT34+(1-(IF(SUM($D32:$DS32)=0,0,IF(SUM($D35:$DS35)=0,1,'Вводные'!$B$63))))*BT36)</x:f>
        <x:v>0</x:v>
      </x:c>
      <x:c r="BU37" s="107" t="n">
        <x:f>'Вводные'!$L$89*((IF(SUM($D32:$DS32)=0,0,IF(SUM($D35:$DS35)=0,1,'Вводные'!$B$63)))*BU34+(1-(IF(SUM($D32:$DS32)=0,0,IF(SUM($D35:$DS35)=0,1,'Вводные'!$B$63))))*BU36)</x:f>
        <x:v>0</x:v>
      </x:c>
      <x:c r="BV37" s="107" t="n">
        <x:f>'Вводные'!$L$89*((IF(SUM($D32:$DS32)=0,0,IF(SUM($D35:$DS35)=0,1,'Вводные'!$B$63)))*BV34+(1-(IF(SUM($D32:$DS32)=0,0,IF(SUM($D35:$DS35)=0,1,'Вводные'!$B$63))))*BV36)</x:f>
        <x:v>0</x:v>
      </x:c>
      <x:c r="BW37" s="107" t="n">
        <x:f>'Вводные'!$L$89*((IF(SUM($D32:$DS32)=0,0,IF(SUM($D35:$DS35)=0,1,'Вводные'!$B$63)))*BW34+(1-(IF(SUM($D32:$DS32)=0,0,IF(SUM($D35:$DS35)=0,1,'Вводные'!$B$63))))*BW36)</x:f>
        <x:v>0</x:v>
      </x:c>
      <x:c r="BX37" s="107" t="n">
        <x:f>'Вводные'!$L$89*((IF(SUM($D32:$DS32)=0,0,IF(SUM($D35:$DS35)=0,1,'Вводные'!$B$63)))*BX34+(1-(IF(SUM($D32:$DS32)=0,0,IF(SUM($D35:$DS35)=0,1,'Вводные'!$B$63))))*BX36)</x:f>
        <x:v>0</x:v>
      </x:c>
      <x:c r="BY37" s="107" t="n">
        <x:f>'Вводные'!$L$89*((IF(SUM($D32:$DS32)=0,0,IF(SUM($D35:$DS35)=0,1,'Вводные'!$B$63)))*BY34+(1-(IF(SUM($D32:$DS32)=0,0,IF(SUM($D35:$DS35)=0,1,'Вводные'!$B$63))))*BY36)</x:f>
        <x:v>0</x:v>
      </x:c>
      <x:c r="BZ37" s="107" t="n">
        <x:f>'Вводные'!$L$89*((IF(SUM($D32:$DS32)=0,0,IF(SUM($D35:$DS35)=0,1,'Вводные'!$B$63)))*BZ34+(1-(IF(SUM($D32:$DS32)=0,0,IF(SUM($D35:$DS35)=0,1,'Вводные'!$B$63))))*BZ36)</x:f>
        <x:v>0</x:v>
      </x:c>
      <x:c r="CA37" s="107" t="n">
        <x:f>'Вводные'!$L$89*((IF(SUM($D32:$DS32)=0,0,IF(SUM($D35:$DS35)=0,1,'Вводные'!$B$63)))*CA34+(1-(IF(SUM($D32:$DS32)=0,0,IF(SUM($D35:$DS35)=0,1,'Вводные'!$B$63))))*CA36)</x:f>
        <x:v>0</x:v>
      </x:c>
      <x:c r="CB37" s="107" t="n">
        <x:f>'Вводные'!$L$89*((IF(SUM($D32:$DS32)=0,0,IF(SUM($D35:$DS35)=0,1,'Вводные'!$B$63)))*CB34+(1-(IF(SUM($D32:$DS32)=0,0,IF(SUM($D35:$DS35)=0,1,'Вводные'!$B$63))))*CB36)</x:f>
        <x:v>0</x:v>
      </x:c>
      <x:c r="CC37" s="107" t="n">
        <x:f>'Вводные'!$L$89*((IF(SUM($D32:$DS32)=0,0,IF(SUM($D35:$DS35)=0,1,'Вводные'!$B$63)))*CC34+(1-(IF(SUM($D32:$DS32)=0,0,IF(SUM($D35:$DS35)=0,1,'Вводные'!$B$63))))*CC36)</x:f>
        <x:v>0</x:v>
      </x:c>
      <x:c r="CD37" s="107" t="n">
        <x:f>'Вводные'!$L$89*((IF(SUM($D32:$DS32)=0,0,IF(SUM($D35:$DS35)=0,1,'Вводные'!$B$63)))*CD34+(1-(IF(SUM($D32:$DS32)=0,0,IF(SUM($D35:$DS35)=0,1,'Вводные'!$B$63))))*CD36)</x:f>
        <x:v>0</x:v>
      </x:c>
      <x:c r="CE37" s="107" t="n">
        <x:f>'Вводные'!$L$89*((IF(SUM($D32:$DS32)=0,0,IF(SUM($D35:$DS35)=0,1,'Вводные'!$B$63)))*CE34+(1-(IF(SUM($D32:$DS32)=0,0,IF(SUM($D35:$DS35)=0,1,'Вводные'!$B$63))))*CE36)</x:f>
        <x:v>0</x:v>
      </x:c>
      <x:c r="CF37" s="107" t="n">
        <x:f>'Вводные'!$L$89*((IF(SUM($D32:$DS32)=0,0,IF(SUM($D35:$DS35)=0,1,'Вводные'!$B$63)))*CF34+(1-(IF(SUM($D32:$DS32)=0,0,IF(SUM($D35:$DS35)=0,1,'Вводные'!$B$63))))*CF36)</x:f>
        <x:v>0</x:v>
      </x:c>
      <x:c r="CG37" s="107" t="n">
        <x:f>'Вводные'!$L$89*((IF(SUM($D32:$DS32)=0,0,IF(SUM($D35:$DS35)=0,1,'Вводные'!$B$63)))*CG34+(1-(IF(SUM($D32:$DS32)=0,0,IF(SUM($D35:$DS35)=0,1,'Вводные'!$B$63))))*CG36)</x:f>
        <x:v>0</x:v>
      </x:c>
      <x:c r="CH37" s="107" t="n">
        <x:f>'Вводные'!$L$89*((IF(SUM($D32:$DS32)=0,0,IF(SUM($D35:$DS35)=0,1,'Вводные'!$B$63)))*CH34+(1-(IF(SUM($D32:$DS32)=0,0,IF(SUM($D35:$DS35)=0,1,'Вводные'!$B$63))))*CH36)</x:f>
        <x:v>0</x:v>
      </x:c>
      <x:c r="CI37" s="107" t="n">
        <x:f>'Вводные'!$L$89*((IF(SUM($D32:$DS32)=0,0,IF(SUM($D35:$DS35)=0,1,'Вводные'!$B$63)))*CI34+(1-(IF(SUM($D32:$DS32)=0,0,IF(SUM($D35:$DS35)=0,1,'Вводные'!$B$63))))*CI36)</x:f>
        <x:v>0</x:v>
      </x:c>
      <x:c r="CJ37" s="107" t="n">
        <x:f>'Вводные'!$L$89*((IF(SUM($D32:$DS32)=0,0,IF(SUM($D35:$DS35)=0,1,'Вводные'!$B$63)))*CJ34+(1-(IF(SUM($D32:$DS32)=0,0,IF(SUM($D35:$DS35)=0,1,'Вводные'!$B$63))))*CJ36)</x:f>
        <x:v>0</x:v>
      </x:c>
      <x:c r="CK37" s="107" t="n">
        <x:f>'Вводные'!$L$89*((IF(SUM($D32:$DS32)=0,0,IF(SUM($D35:$DS35)=0,1,'Вводные'!$B$63)))*CK34+(1-(IF(SUM($D32:$DS32)=0,0,IF(SUM($D35:$DS35)=0,1,'Вводные'!$B$63))))*CK36)</x:f>
        <x:v>0</x:v>
      </x:c>
      <x:c r="CL37" s="107" t="n">
        <x:f>'Вводные'!$L$89*((IF(SUM($D32:$DS32)=0,0,IF(SUM($D35:$DS35)=0,1,'Вводные'!$B$63)))*CL34+(1-(IF(SUM($D32:$DS32)=0,0,IF(SUM($D35:$DS35)=0,1,'Вводные'!$B$63))))*CL36)</x:f>
        <x:v>0</x:v>
      </x:c>
      <x:c r="CM37" s="107" t="n">
        <x:f>'Вводные'!$L$89*((IF(SUM($D32:$DS32)=0,0,IF(SUM($D35:$DS35)=0,1,'Вводные'!$B$63)))*CM34+(1-(IF(SUM($D32:$DS32)=0,0,IF(SUM($D35:$DS35)=0,1,'Вводные'!$B$63))))*CM36)</x:f>
        <x:v>0</x:v>
      </x:c>
      <x:c r="CN37" s="107" t="n">
        <x:f>'Вводные'!$L$89*((IF(SUM($D32:$DS32)=0,0,IF(SUM($D35:$DS35)=0,1,'Вводные'!$B$63)))*CN34+(1-(IF(SUM($D32:$DS32)=0,0,IF(SUM($D35:$DS35)=0,1,'Вводные'!$B$63))))*CN36)</x:f>
        <x:v>0</x:v>
      </x:c>
      <x:c r="CO37" s="107" t="n">
        <x:f>'Вводные'!$L$89*((IF(SUM($D32:$DS32)=0,0,IF(SUM($D35:$DS35)=0,1,'Вводные'!$B$63)))*CO34+(1-(IF(SUM($D32:$DS32)=0,0,IF(SUM($D35:$DS35)=0,1,'Вводные'!$B$63))))*CO36)</x:f>
        <x:v>0</x:v>
      </x:c>
      <x:c r="CP37" s="107" t="n">
        <x:f>'Вводные'!$L$89*((IF(SUM($D32:$DS32)=0,0,IF(SUM($D35:$DS35)=0,1,'Вводные'!$B$63)))*CP34+(1-(IF(SUM($D32:$DS32)=0,0,IF(SUM($D35:$DS35)=0,1,'Вводные'!$B$63))))*CP36)</x:f>
        <x:v>0</x:v>
      </x:c>
      <x:c r="CQ37" s="107" t="n">
        <x:f>'Вводные'!$L$89*((IF(SUM($D32:$DS32)=0,0,IF(SUM($D35:$DS35)=0,1,'Вводные'!$B$63)))*CQ34+(1-(IF(SUM($D32:$DS32)=0,0,IF(SUM($D35:$DS35)=0,1,'Вводные'!$B$63))))*CQ36)</x:f>
        <x:v>0</x:v>
      </x:c>
      <x:c r="CR37" s="107" t="n">
        <x:f>'Вводные'!$L$89*((IF(SUM($D32:$DS32)=0,0,IF(SUM($D35:$DS35)=0,1,'Вводные'!$B$63)))*CR34+(1-(IF(SUM($D32:$DS32)=0,0,IF(SUM($D35:$DS35)=0,1,'Вводные'!$B$63))))*CR36)</x:f>
        <x:v>0</x:v>
      </x:c>
      <x:c r="CS37" s="107" t="n">
        <x:f>'Вводные'!$L$89*((IF(SUM($D32:$DS32)=0,0,IF(SUM($D35:$DS35)=0,1,'Вводные'!$B$63)))*CS34+(1-(IF(SUM($D32:$DS32)=0,0,IF(SUM($D35:$DS35)=0,1,'Вводные'!$B$63))))*CS36)</x:f>
        <x:v>0</x:v>
      </x:c>
      <x:c r="CT37" s="107" t="n">
        <x:f>'Вводные'!$L$89*((IF(SUM($D32:$DS32)=0,0,IF(SUM($D35:$DS35)=0,1,'Вводные'!$B$63)))*CT34+(1-(IF(SUM($D32:$DS32)=0,0,IF(SUM($D35:$DS35)=0,1,'Вводные'!$B$63))))*CT36)</x:f>
        <x:v>0</x:v>
      </x:c>
      <x:c r="CU37" s="107" t="n">
        <x:f>'Вводные'!$L$89*((IF(SUM($D32:$DS32)=0,0,IF(SUM($D35:$DS35)=0,1,'Вводные'!$B$63)))*CU34+(1-(IF(SUM($D32:$DS32)=0,0,IF(SUM($D35:$DS35)=0,1,'Вводные'!$B$63))))*CU36)</x:f>
        <x:v>0</x:v>
      </x:c>
      <x:c r="CV37" s="107" t="n">
        <x:f>'Вводные'!$L$89*((IF(SUM($D32:$DS32)=0,0,IF(SUM($D35:$DS35)=0,1,'Вводные'!$B$63)))*CV34+(1-(IF(SUM($D32:$DS32)=0,0,IF(SUM($D35:$DS35)=0,1,'Вводные'!$B$63))))*CV36)</x:f>
        <x:v>0</x:v>
      </x:c>
      <x:c r="CW37" s="107" t="n">
        <x:f>'Вводные'!$L$89*((IF(SUM($D32:$DS32)=0,0,IF(SUM($D35:$DS35)=0,1,'Вводные'!$B$63)))*CW34+(1-(IF(SUM($D32:$DS32)=0,0,IF(SUM($D35:$DS35)=0,1,'Вводные'!$B$63))))*CW36)</x:f>
        <x:v>0</x:v>
      </x:c>
      <x:c r="CX37" s="107" t="n">
        <x:f>'Вводные'!$L$89*((IF(SUM($D32:$DS32)=0,0,IF(SUM($D35:$DS35)=0,1,'Вводные'!$B$63)))*CX34+(1-(IF(SUM($D32:$DS32)=0,0,IF(SUM($D35:$DS35)=0,1,'Вводные'!$B$63))))*CX36)</x:f>
        <x:v>0</x:v>
      </x:c>
      <x:c r="CY37" s="107" t="n">
        <x:f>'Вводные'!$L$89*((IF(SUM($D32:$DS32)=0,0,IF(SUM($D35:$DS35)=0,1,'Вводные'!$B$63)))*CY34+(1-(IF(SUM($D32:$DS32)=0,0,IF(SUM($D35:$DS35)=0,1,'Вводные'!$B$63))))*CY36)</x:f>
        <x:v>0</x:v>
      </x:c>
      <x:c r="CZ37" s="107" t="n">
        <x:f>'Вводные'!$L$89*((IF(SUM($D32:$DS32)=0,0,IF(SUM($D35:$DS35)=0,1,'Вводные'!$B$63)))*CZ34+(1-(IF(SUM($D32:$DS32)=0,0,IF(SUM($D35:$DS35)=0,1,'Вводные'!$B$63))))*CZ36)</x:f>
        <x:v>0</x:v>
      </x:c>
      <x:c r="DA37" s="107" t="n">
        <x:f>'Вводные'!$L$89*((IF(SUM($D32:$DS32)=0,0,IF(SUM($D35:$DS35)=0,1,'Вводные'!$B$63)))*DA34+(1-(IF(SUM($D32:$DS32)=0,0,IF(SUM($D35:$DS35)=0,1,'Вводные'!$B$63))))*DA36)</x:f>
        <x:v>0</x:v>
      </x:c>
      <x:c r="DB37" s="107" t="n">
        <x:f>'Вводные'!$L$89*((IF(SUM($D32:$DS32)=0,0,IF(SUM($D35:$DS35)=0,1,'Вводные'!$B$63)))*DB34+(1-(IF(SUM($D32:$DS32)=0,0,IF(SUM($D35:$DS35)=0,1,'Вводные'!$B$63))))*DB36)</x:f>
        <x:v>0</x:v>
      </x:c>
      <x:c r="DC37" s="107" t="n">
        <x:f>'Вводные'!$L$89*((IF(SUM($D32:$DS32)=0,0,IF(SUM($D35:$DS35)=0,1,'Вводные'!$B$63)))*DC34+(1-(IF(SUM($D32:$DS32)=0,0,IF(SUM($D35:$DS35)=0,1,'Вводные'!$B$63))))*DC36)</x:f>
        <x:v>0</x:v>
      </x:c>
      <x:c r="DD37" s="107" t="n">
        <x:f>'Вводные'!$L$89*((IF(SUM($D32:$DS32)=0,0,IF(SUM($D35:$DS35)=0,1,'Вводные'!$B$63)))*DD34+(1-(IF(SUM($D32:$DS32)=0,0,IF(SUM($D35:$DS35)=0,1,'Вводные'!$B$63))))*DD36)</x:f>
        <x:v>0</x:v>
      </x:c>
      <x:c r="DE37" s="107" t="n">
        <x:f>'Вводные'!$L$89*((IF(SUM($D32:$DS32)=0,0,IF(SUM($D35:$DS35)=0,1,'Вводные'!$B$63)))*DE34+(1-(IF(SUM($D32:$DS32)=0,0,IF(SUM($D35:$DS35)=0,1,'Вводные'!$B$63))))*DE36)</x:f>
        <x:v>0</x:v>
      </x:c>
      <x:c r="DF37" s="107" t="n">
        <x:f>'Вводные'!$L$89*((IF(SUM($D32:$DS32)=0,0,IF(SUM($D35:$DS35)=0,1,'Вводные'!$B$63)))*DF34+(1-(IF(SUM($D32:$DS32)=0,0,IF(SUM($D35:$DS35)=0,1,'Вводные'!$B$63))))*DF36)</x:f>
        <x:v>0</x:v>
      </x:c>
      <x:c r="DG37" s="107" t="n">
        <x:f>'Вводные'!$L$89*((IF(SUM($D32:$DS32)=0,0,IF(SUM($D35:$DS35)=0,1,'Вводные'!$B$63)))*DG34+(1-(IF(SUM($D32:$DS32)=0,0,IF(SUM($D35:$DS35)=0,1,'Вводные'!$B$63))))*DG36)</x:f>
        <x:v>0</x:v>
      </x:c>
      <x:c r="DH37" s="107" t="n">
        <x:f>'Вводные'!$L$89*((IF(SUM($D32:$DS32)=0,0,IF(SUM($D35:$DS35)=0,1,'Вводные'!$B$63)))*DH34+(1-(IF(SUM($D32:$DS32)=0,0,IF(SUM($D35:$DS35)=0,1,'Вводные'!$B$63))))*DH36)</x:f>
        <x:v>0</x:v>
      </x:c>
      <x:c r="DI37" s="107" t="n">
        <x:f>'Вводные'!$L$89*((IF(SUM($D32:$DS32)=0,0,IF(SUM($D35:$DS35)=0,1,'Вводные'!$B$63)))*DI34+(1-(IF(SUM($D32:$DS32)=0,0,IF(SUM($D35:$DS35)=0,1,'Вводные'!$B$63))))*DI36)</x:f>
        <x:v>0</x:v>
      </x:c>
      <x:c r="DJ37" s="107" t="n">
        <x:f>'Вводные'!$L$89*((IF(SUM($D32:$DS32)=0,0,IF(SUM($D35:$DS35)=0,1,'Вводные'!$B$63)))*DJ34+(1-(IF(SUM($D32:$DS32)=0,0,IF(SUM($D35:$DS35)=0,1,'Вводные'!$B$63))))*DJ36)</x:f>
        <x:v>0</x:v>
      </x:c>
      <x:c r="DK37" s="107" t="n">
        <x:f>'Вводные'!$L$89*((IF(SUM($D32:$DS32)=0,0,IF(SUM($D35:$DS35)=0,1,'Вводные'!$B$63)))*DK34+(1-(IF(SUM($D32:$DS32)=0,0,IF(SUM($D35:$DS35)=0,1,'Вводные'!$B$63))))*DK36)</x:f>
        <x:v>0</x:v>
      </x:c>
      <x:c r="DL37" s="107" t="n">
        <x:f>'Вводные'!$L$89*((IF(SUM($D32:$DS32)=0,0,IF(SUM($D35:$DS35)=0,1,'Вводные'!$B$63)))*DL34+(1-(IF(SUM($D32:$DS32)=0,0,IF(SUM($D35:$DS35)=0,1,'Вводные'!$B$63))))*DL36)</x:f>
        <x:v>0</x:v>
      </x:c>
      <x:c r="DM37" s="107" t="n">
        <x:f>'Вводные'!$L$89*((IF(SUM($D32:$DS32)=0,0,IF(SUM($D35:$DS35)=0,1,'Вводные'!$B$63)))*DM34+(1-(IF(SUM($D32:$DS32)=0,0,IF(SUM($D35:$DS35)=0,1,'Вводные'!$B$63))))*DM36)</x:f>
        <x:v>0</x:v>
      </x:c>
      <x:c r="DN37" s="107" t="n">
        <x:f>'Вводные'!$L$89*((IF(SUM($D32:$DS32)=0,0,IF(SUM($D35:$DS35)=0,1,'Вводные'!$B$63)))*DN34+(1-(IF(SUM($D32:$DS32)=0,0,IF(SUM($D35:$DS35)=0,1,'Вводные'!$B$63))))*DN36)</x:f>
        <x:v>0</x:v>
      </x:c>
      <x:c r="DO37" s="107" t="n">
        <x:f>'Вводные'!$L$89*((IF(SUM($D32:$DS32)=0,0,IF(SUM($D35:$DS35)=0,1,'Вводные'!$B$63)))*DO34+(1-(IF(SUM($D32:$DS32)=0,0,IF(SUM($D35:$DS35)=0,1,'Вводные'!$B$63))))*DO36)</x:f>
        <x:v>0</x:v>
      </x:c>
      <x:c r="DP37" s="107" t="n">
        <x:f>'Вводные'!$L$89*((IF(SUM($D32:$DS32)=0,0,IF(SUM($D35:$DS35)=0,1,'Вводные'!$B$63)))*DP34+(1-(IF(SUM($D32:$DS32)=0,0,IF(SUM($D35:$DS35)=0,1,'Вводные'!$B$63))))*DP36)</x:f>
        <x:v>0</x:v>
      </x:c>
      <x:c r="DQ37" s="107" t="n">
        <x:f>'Вводные'!$L$89*((IF(SUM($D32:$DS32)=0,0,IF(SUM($D35:$DS35)=0,1,'Вводные'!$B$63)))*DQ34+(1-(IF(SUM($D32:$DS32)=0,0,IF(SUM($D35:$DS35)=0,1,'Вводные'!$B$63))))*DQ36)</x:f>
        <x:v>0</x:v>
      </x:c>
      <x:c r="DR37" s="107" t="n">
        <x:f>'Вводные'!$L$89*((IF(SUM($D32:$DS32)=0,0,IF(SUM($D35:$DS35)=0,1,'Вводные'!$B$63)))*DR34+(1-(IF(SUM($D32:$DS32)=0,0,IF(SUM($D35:$DS35)=0,1,'Вводные'!$B$63))))*DR36)</x:f>
        <x:v>0</x:v>
      </x:c>
      <x:c r="DS37" s="107" t="n">
        <x:f>'Вводные'!$L$89*((IF(SUM($D32:$DS32)=0,0,IF(SUM($D35:$DS35)=0,1,'Вводные'!$B$63)))*DS34+(1-(IF(SUM($D32:$DS32)=0,0,IF(SUM($D35:$DS35)=0,1,'Вводные'!$B$63))))*DS36)</x:f>
        <x:v>0</x:v>
      </x:c>
    </x:row>
    <x:row r="38">
      <x:c r="A38" t="str">
        <x:v>Квартиры — цена</x:v>
      </x:c>
      <x:c r="B38" t="n">
        <x:f>IFERROR(B39*1000/B37,0)</x:f>
        <x:v>0</x:v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39">
      <x:c r="A39" t="str">
        <x:v>Квартиры — выручка</x:v>
      </x:c>
      <x:c r="B39" t="n">
        <x:f>SUM(D39:DS39)</x:f>
        <x:v>0</x:v>
      </x:c>
      <x:c r="C39" t="str">
        <x:v>млн ₽</x:v>
      </x:c>
      <x:c r="D39" s="107" t="n">
        <x:f>D37*D38/1000</x:f>
        <x:v>0</x:v>
      </x:c>
      <x:c r="E39" s="107" t="n">
        <x:f>E37*E38/1000</x:f>
        <x:v>0</x:v>
      </x:c>
      <x:c r="F39" s="107" t="n">
        <x:f>F37*F38/1000</x:f>
        <x:v>0</x:v>
      </x:c>
      <x:c r="G39" s="107" t="n">
        <x:f>G37*G38/1000</x:f>
        <x:v>0</x:v>
      </x:c>
      <x:c r="H39" s="107" t="n">
        <x:f>H37*H38/1000</x:f>
        <x:v>0</x:v>
      </x:c>
      <x:c r="I39" s="107" t="n">
        <x:f>I37*I38/1000</x:f>
        <x:v>0</x:v>
      </x:c>
      <x:c r="J39" s="107" t="n">
        <x:f>J37*J38/1000</x:f>
        <x:v>0</x:v>
      </x:c>
      <x:c r="K39" s="107" t="n">
        <x:f>K37*K38/1000</x:f>
        <x:v>0</x:v>
      </x:c>
      <x:c r="L39" s="107" t="n">
        <x:f>L37*L38/1000</x:f>
        <x:v>0</x:v>
      </x:c>
      <x:c r="M39" s="107" t="n">
        <x:f>M37*M38/1000</x:f>
        <x:v>0</x:v>
      </x:c>
      <x:c r="N39" s="107" t="n">
        <x:f>N37*N38/1000</x:f>
        <x:v>0</x:v>
      </x:c>
      <x:c r="O39" s="107" t="n">
        <x:f>O37*O38/1000</x:f>
        <x:v>0</x:v>
      </x:c>
      <x:c r="P39" s="107" t="n">
        <x:f>P37*P38/1000</x:f>
        <x:v>0</x:v>
      </x:c>
      <x:c r="Q39" s="107" t="n">
        <x:f>Q37*Q38/1000</x:f>
        <x:v>0</x:v>
      </x:c>
      <x:c r="R39" s="107" t="n">
        <x:f>R37*R38/1000</x:f>
        <x:v>0</x:v>
      </x:c>
      <x:c r="S39" s="107" t="n">
        <x:f>S37*S38/1000</x:f>
        <x:v>0</x:v>
      </x:c>
      <x:c r="T39" s="107" t="n">
        <x:f>T37*T38/1000</x:f>
        <x:v>0</x:v>
      </x:c>
      <x:c r="U39" s="107" t="n">
        <x:f>U37*U38/1000</x:f>
        <x:v>0</x:v>
      </x:c>
      <x:c r="V39" s="107" t="n">
        <x:f>V37*V38/1000</x:f>
        <x:v>0</x:v>
      </x:c>
      <x:c r="W39" s="107" t="n">
        <x:f>W37*W38/1000</x:f>
        <x:v>0</x:v>
      </x:c>
      <x:c r="X39" s="107" t="n">
        <x:f>X37*X38/1000</x:f>
        <x:v>0</x:v>
      </x:c>
      <x:c r="Y39" s="107" t="n">
        <x:f>Y37*Y38/1000</x:f>
        <x:v>0</x:v>
      </x:c>
      <x:c r="Z39" s="107" t="n">
        <x:f>Z37*Z38/1000</x:f>
        <x:v>0</x:v>
      </x:c>
      <x:c r="AA39" s="107" t="n">
        <x:f>AA37*AA38/1000</x:f>
        <x:v>0</x:v>
      </x:c>
      <x:c r="AB39" s="107" t="n">
        <x:f>AB37*AB38/1000</x:f>
        <x:v>0</x:v>
      </x:c>
      <x:c r="AC39" s="107" t="n">
        <x:f>AC37*AC38/1000</x:f>
        <x:v>0</x:v>
      </x:c>
      <x:c r="AD39" s="107" t="n">
        <x:f>AD37*AD38/1000</x:f>
        <x:v>0</x:v>
      </x:c>
      <x:c r="AE39" s="107" t="n">
        <x:f>AE37*AE38/1000</x:f>
        <x:v>0</x:v>
      </x:c>
      <x:c r="AF39" s="107" t="n">
        <x:f>AF37*AF38/1000</x:f>
        <x:v>0</x:v>
      </x:c>
      <x:c r="AG39" s="107" t="n">
        <x:f>AG37*AG38/1000</x:f>
        <x:v>0</x:v>
      </x:c>
      <x:c r="AH39" s="107" t="n">
        <x:f>AH37*AH38/1000</x:f>
        <x:v>0</x:v>
      </x:c>
      <x:c r="AI39" s="107" t="n">
        <x:f>AI37*AI38/1000</x:f>
        <x:v>0</x:v>
      </x:c>
      <x:c r="AJ39" s="107" t="n">
        <x:f>AJ37*AJ38/1000</x:f>
        <x:v>0</x:v>
      </x:c>
      <x:c r="AK39" s="107" t="n">
        <x:f>AK37*AK38/1000</x:f>
        <x:v>0</x:v>
      </x:c>
      <x:c r="AL39" s="107" t="n">
        <x:f>AL37*AL38/1000</x:f>
        <x:v>0</x:v>
      </x:c>
      <x:c r="AM39" s="107" t="n">
        <x:f>AM37*AM38/1000</x:f>
        <x:v>0</x:v>
      </x:c>
      <x:c r="AN39" s="107" t="n">
        <x:f>AN37*AN38/1000</x:f>
        <x:v>0</x:v>
      </x:c>
      <x:c r="AO39" s="107" t="n">
        <x:f>AO37*AO38/1000</x:f>
        <x:v>0</x:v>
      </x:c>
      <x:c r="AP39" s="107" t="n">
        <x:f>AP37*AP38/1000</x:f>
        <x:v>0</x:v>
      </x:c>
      <x:c r="AQ39" s="107" t="n">
        <x:f>AQ37*AQ38/1000</x:f>
        <x:v>0</x:v>
      </x:c>
      <x:c r="AR39" s="107" t="n">
        <x:f>AR37*AR38/1000</x:f>
        <x:v>0</x:v>
      </x:c>
      <x:c r="AS39" s="107" t="n">
        <x:f>AS37*AS38/1000</x:f>
        <x:v>0</x:v>
      </x:c>
      <x:c r="AT39" s="107" t="n">
        <x:f>AT37*AT38/1000</x:f>
        <x:v>0</x:v>
      </x:c>
      <x:c r="AU39" s="107" t="n">
        <x:f>AU37*AU38/1000</x:f>
        <x:v>0</x:v>
      </x:c>
      <x:c r="AV39" s="107" t="n">
        <x:f>AV37*AV38/1000</x:f>
        <x:v>0</x:v>
      </x:c>
      <x:c r="AW39" s="107" t="n">
        <x:f>AW37*AW38/1000</x:f>
        <x:v>0</x:v>
      </x:c>
      <x:c r="AX39" s="107" t="n">
        <x:f>AX37*AX38/1000</x:f>
        <x:v>0</x:v>
      </x:c>
      <x:c r="AY39" s="107" t="n">
        <x:f>AY37*AY38/1000</x:f>
        <x:v>0</x:v>
      </x:c>
      <x:c r="AZ39" s="107" t="n">
        <x:f>AZ37*AZ38/1000</x:f>
        <x:v>0</x:v>
      </x:c>
      <x:c r="BA39" s="107" t="n">
        <x:f>BA37*BA38/1000</x:f>
        <x:v>0</x:v>
      </x:c>
      <x:c r="BB39" s="107" t="n">
        <x:f>BB37*BB38/1000</x:f>
        <x:v>0</x:v>
      </x:c>
      <x:c r="BC39" s="107" t="n">
        <x:f>BC37*BC38/1000</x:f>
        <x:v>0</x:v>
      </x:c>
      <x:c r="BD39" s="107" t="n">
        <x:f>BD37*BD38/1000</x:f>
        <x:v>0</x:v>
      </x:c>
      <x:c r="BE39" s="107" t="n">
        <x:f>BE37*BE38/1000</x:f>
        <x:v>0</x:v>
      </x:c>
      <x:c r="BF39" s="107" t="n">
        <x:f>BF37*BF38/1000</x:f>
        <x:v>0</x:v>
      </x:c>
      <x:c r="BG39" s="107" t="n">
        <x:f>BG37*BG38/1000</x:f>
        <x:v>0</x:v>
      </x:c>
      <x:c r="BH39" s="107" t="n">
        <x:f>BH37*BH38/1000</x:f>
        <x:v>0</x:v>
      </x:c>
      <x:c r="BI39" s="107" t="n">
        <x:f>BI37*BI38/1000</x:f>
        <x:v>0</x:v>
      </x:c>
      <x:c r="BJ39" s="107" t="n">
        <x:f>BJ37*BJ38/1000</x:f>
        <x:v>0</x:v>
      </x:c>
      <x:c r="BK39" s="107" t="n">
        <x:f>BK37*BK38/1000</x:f>
        <x:v>0</x:v>
      </x:c>
      <x:c r="BL39" s="107" t="n">
        <x:f>BL37*BL38/1000</x:f>
        <x:v>0</x:v>
      </x:c>
      <x:c r="BM39" s="107" t="n">
        <x:f>BM37*BM38/1000</x:f>
        <x:v>0</x:v>
      </x:c>
      <x:c r="BN39" s="107" t="n">
        <x:f>BN37*BN38/1000</x:f>
        <x:v>0</x:v>
      </x:c>
      <x:c r="BO39" s="107" t="n">
        <x:f>BO37*BO38/1000</x:f>
        <x:v>0</x:v>
      </x:c>
      <x:c r="BP39" s="107" t="n">
        <x:f>BP37*BP38/1000</x:f>
        <x:v>0</x:v>
      </x:c>
      <x:c r="BQ39" s="107" t="n">
        <x:f>BQ37*BQ38/1000</x:f>
        <x:v>0</x:v>
      </x:c>
      <x:c r="BR39" s="107" t="n">
        <x:f>BR37*BR38/1000</x:f>
        <x:v>0</x:v>
      </x:c>
      <x:c r="BS39" s="107" t="n">
        <x:f>BS37*BS38/1000</x:f>
        <x:v>0</x:v>
      </x:c>
      <x:c r="BT39" s="107" t="n">
        <x:f>BT37*BT38/1000</x:f>
        <x:v>0</x:v>
      </x:c>
      <x:c r="BU39" s="107" t="n">
        <x:f>BU37*BU38/1000</x:f>
        <x:v>0</x:v>
      </x:c>
      <x:c r="BV39" s="107" t="n">
        <x:f>BV37*BV38/1000</x:f>
        <x:v>0</x:v>
      </x:c>
      <x:c r="BW39" s="107" t="n">
        <x:f>BW37*BW38/1000</x:f>
        <x:v>0</x:v>
      </x:c>
      <x:c r="BX39" s="107" t="n">
        <x:f>BX37*BX38/1000</x:f>
        <x:v>0</x:v>
      </x:c>
      <x:c r="BY39" s="107" t="n">
        <x:f>BY37*BY38/1000</x:f>
        <x:v>0</x:v>
      </x:c>
      <x:c r="BZ39" s="107" t="n">
        <x:f>BZ37*BZ38/1000</x:f>
        <x:v>0</x:v>
      </x:c>
      <x:c r="CA39" s="107" t="n">
        <x:f>CA37*CA38/1000</x:f>
        <x:v>0</x:v>
      </x:c>
      <x:c r="CB39" s="107" t="n">
        <x:f>CB37*CB38/1000</x:f>
        <x:v>0</x:v>
      </x:c>
      <x:c r="CC39" s="107" t="n">
        <x:f>CC37*CC38/1000</x:f>
        <x:v>0</x:v>
      </x:c>
      <x:c r="CD39" s="107" t="n">
        <x:f>CD37*CD38/1000</x:f>
        <x:v>0</x:v>
      </x:c>
      <x:c r="CE39" s="107" t="n">
        <x:f>CE37*CE38/1000</x:f>
        <x:v>0</x:v>
      </x:c>
      <x:c r="CF39" s="107" t="n">
        <x:f>CF37*CF38/1000</x:f>
        <x:v>0</x:v>
      </x:c>
      <x:c r="CG39" s="107" t="n">
        <x:f>CG37*CG38/1000</x:f>
        <x:v>0</x:v>
      </x:c>
      <x:c r="CH39" s="107" t="n">
        <x:f>CH37*CH38/1000</x:f>
        <x:v>0</x:v>
      </x:c>
      <x:c r="CI39" s="107" t="n">
        <x:f>CI37*CI38/1000</x:f>
        <x:v>0</x:v>
      </x:c>
      <x:c r="CJ39" s="107" t="n">
        <x:f>CJ37*CJ38/1000</x:f>
        <x:v>0</x:v>
      </x:c>
      <x:c r="CK39" s="107" t="n">
        <x:f>CK37*CK38/1000</x:f>
        <x:v>0</x:v>
      </x:c>
      <x:c r="CL39" s="107" t="n">
        <x:f>CL37*CL38/1000</x:f>
        <x:v>0</x:v>
      </x:c>
      <x:c r="CM39" s="107" t="n">
        <x:f>CM37*CM38/1000</x:f>
        <x:v>0</x:v>
      </x:c>
      <x:c r="CN39" s="107" t="n">
        <x:f>CN37*CN38/1000</x:f>
        <x:v>0</x:v>
      </x:c>
      <x:c r="CO39" s="107" t="n">
        <x:f>CO37*CO38/1000</x:f>
        <x:v>0</x:v>
      </x:c>
      <x:c r="CP39" s="107" t="n">
        <x:f>CP37*CP38/1000</x:f>
        <x:v>0</x:v>
      </x:c>
      <x:c r="CQ39" s="107" t="n">
        <x:f>CQ37*CQ38/1000</x:f>
        <x:v>0</x:v>
      </x:c>
      <x:c r="CR39" s="107" t="n">
        <x:f>CR37*CR38/1000</x:f>
        <x:v>0</x:v>
      </x:c>
      <x:c r="CS39" s="107" t="n">
        <x:f>CS37*CS38/1000</x:f>
        <x:v>0</x:v>
      </x:c>
      <x:c r="CT39" s="107" t="n">
        <x:f>CT37*CT38/1000</x:f>
        <x:v>0</x:v>
      </x:c>
      <x:c r="CU39" s="107" t="n">
        <x:f>CU37*CU38/1000</x:f>
        <x:v>0</x:v>
      </x:c>
      <x:c r="CV39" s="107" t="n">
        <x:f>CV37*CV38/1000</x:f>
        <x:v>0</x:v>
      </x:c>
      <x:c r="CW39" s="107" t="n">
        <x:f>CW37*CW38/1000</x:f>
        <x:v>0</x:v>
      </x:c>
      <x:c r="CX39" s="107" t="n">
        <x:f>CX37*CX38/1000</x:f>
        <x:v>0</x:v>
      </x:c>
      <x:c r="CY39" s="107" t="n">
        <x:f>CY37*CY38/1000</x:f>
        <x:v>0</x:v>
      </x:c>
      <x:c r="CZ39" s="107" t="n">
        <x:f>CZ37*CZ38/1000</x:f>
        <x:v>0</x:v>
      </x:c>
      <x:c r="DA39" s="107" t="n">
        <x:f>DA37*DA38/1000</x:f>
        <x:v>0</x:v>
      </x:c>
      <x:c r="DB39" s="107" t="n">
        <x:f>DB37*DB38/1000</x:f>
        <x:v>0</x:v>
      </x:c>
      <x:c r="DC39" s="107" t="n">
        <x:f>DC37*DC38/1000</x:f>
        <x:v>0</x:v>
      </x:c>
      <x:c r="DD39" s="107" t="n">
        <x:f>DD37*DD38/1000</x:f>
        <x:v>0</x:v>
      </x:c>
      <x:c r="DE39" s="107" t="n">
        <x:f>DE37*DE38/1000</x:f>
        <x:v>0</x:v>
      </x:c>
      <x:c r="DF39" s="107" t="n">
        <x:f>DF37*DF38/1000</x:f>
        <x:v>0</x:v>
      </x:c>
      <x:c r="DG39" s="107" t="n">
        <x:f>DG37*DG38/1000</x:f>
        <x:v>0</x:v>
      </x:c>
      <x:c r="DH39" s="107" t="n">
        <x:f>DH37*DH38/1000</x:f>
        <x:v>0</x:v>
      </x:c>
      <x:c r="DI39" s="107" t="n">
        <x:f>DI37*DI38/1000</x:f>
        <x:v>0</x:v>
      </x:c>
      <x:c r="DJ39" s="107" t="n">
        <x:f>DJ37*DJ38/1000</x:f>
        <x:v>0</x:v>
      </x:c>
      <x:c r="DK39" s="107" t="n">
        <x:f>DK37*DK38/1000</x:f>
        <x:v>0</x:v>
      </x:c>
      <x:c r="DL39" s="107" t="n">
        <x:f>DL37*DL38/1000</x:f>
        <x:v>0</x:v>
      </x:c>
      <x:c r="DM39" s="107" t="n">
        <x:f>DM37*DM38/1000</x:f>
        <x:v>0</x:v>
      </x:c>
      <x:c r="DN39" s="107" t="n">
        <x:f>DN37*DN38/1000</x:f>
        <x:v>0</x:v>
      </x:c>
      <x:c r="DO39" s="107" t="n">
        <x:f>DO37*DO38/1000</x:f>
        <x:v>0</x:v>
      </x:c>
      <x:c r="DP39" s="107" t="n">
        <x:f>DP37*DP38/1000</x:f>
        <x:v>0</x:v>
      </x:c>
      <x:c r="DQ39" s="107" t="n">
        <x:f>DQ37*DQ38/1000</x:f>
        <x:v>0</x:v>
      </x:c>
      <x:c r="DR39" s="107" t="n">
        <x:f>DR37*DR38/1000</x:f>
        <x:v>0</x:v>
      </x:c>
      <x:c r="DS39" s="107" t="n">
        <x:f>DS37*DS38/1000</x:f>
        <x:v>0</x:v>
      </x:c>
    </x:row>
    <x:row r="40">
      <x:c r="A40" t="str">
        <x:v>Коммерция — объём</x:v>
      </x:c>
      <x:c r="B40" t="n">
        <x:f>SUM(D40:DS40)</x:f>
        <x:v>0</x:v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  <x:v>0</x:v>
      </x:c>
      <x:c r="E40" s="107" t="n">
        <x:f>'Вводные'!$M$89*((IF(SUM($D32:$DS32)=0,0,IF(SUM($D35:$DS35)=0,1,'Вводные'!$B$63)))*E34+(1-(IF(SUM($D32:$DS32)=0,0,IF(SUM($D35:$DS35)=0,1,'Вводные'!$B$63))))*E36)</x:f>
        <x:v>0</x:v>
      </x:c>
      <x:c r="F40" s="107" t="n">
        <x:f>'Вводные'!$M$89*((IF(SUM($D32:$DS32)=0,0,IF(SUM($D35:$DS35)=0,1,'Вводные'!$B$63)))*F34+(1-(IF(SUM($D32:$DS32)=0,0,IF(SUM($D35:$DS35)=0,1,'Вводные'!$B$63))))*F36)</x:f>
        <x:v>0</x:v>
      </x:c>
      <x:c r="G40" s="107" t="n">
        <x:f>'Вводные'!$M$89*((IF(SUM($D32:$DS32)=0,0,IF(SUM($D35:$DS35)=0,1,'Вводные'!$B$63)))*G34+(1-(IF(SUM($D32:$DS32)=0,0,IF(SUM($D35:$DS35)=0,1,'Вводные'!$B$63))))*G36)</x:f>
        <x:v>0</x:v>
      </x:c>
      <x:c r="H40" s="107" t="n">
        <x:f>'Вводные'!$M$89*((IF(SUM($D32:$DS32)=0,0,IF(SUM($D35:$DS35)=0,1,'Вводные'!$B$63)))*H34+(1-(IF(SUM($D32:$DS32)=0,0,IF(SUM($D35:$DS35)=0,1,'Вводные'!$B$63))))*H36)</x:f>
        <x:v>0</x:v>
      </x:c>
      <x:c r="I40" s="107" t="n">
        <x:f>'Вводные'!$M$89*((IF(SUM($D32:$DS32)=0,0,IF(SUM($D35:$DS35)=0,1,'Вводные'!$B$63)))*I34+(1-(IF(SUM($D32:$DS32)=0,0,IF(SUM($D35:$DS35)=0,1,'Вводные'!$B$63))))*I36)</x:f>
        <x:v>0</x:v>
      </x:c>
      <x:c r="J40" s="107" t="n">
        <x:f>'Вводные'!$M$89*((IF(SUM($D32:$DS32)=0,0,IF(SUM($D35:$DS35)=0,1,'Вводные'!$B$63)))*J34+(1-(IF(SUM($D32:$DS32)=0,0,IF(SUM($D35:$DS35)=0,1,'Вводные'!$B$63))))*J36)</x:f>
        <x:v>0</x:v>
      </x:c>
      <x:c r="K40" s="107" t="n">
        <x:f>'Вводные'!$M$89*((IF(SUM($D32:$DS32)=0,0,IF(SUM($D35:$DS35)=0,1,'Вводные'!$B$63)))*K34+(1-(IF(SUM($D32:$DS32)=0,0,IF(SUM($D35:$DS35)=0,1,'Вводные'!$B$63))))*K36)</x:f>
        <x:v>0</x:v>
      </x:c>
      <x:c r="L40" s="107" t="n">
        <x:f>'Вводные'!$M$89*((IF(SUM($D32:$DS32)=0,0,IF(SUM($D35:$DS35)=0,1,'Вводные'!$B$63)))*L34+(1-(IF(SUM($D32:$DS32)=0,0,IF(SUM($D35:$DS35)=0,1,'Вводные'!$B$63))))*L36)</x:f>
        <x:v>0</x:v>
      </x:c>
      <x:c r="M40" s="107" t="n">
        <x:f>'Вводные'!$M$89*((IF(SUM($D32:$DS32)=0,0,IF(SUM($D35:$DS35)=0,1,'Вводные'!$B$63)))*M34+(1-(IF(SUM($D32:$DS32)=0,0,IF(SUM($D35:$DS35)=0,1,'Вводные'!$B$63))))*M36)</x:f>
        <x:v>0</x:v>
      </x:c>
      <x:c r="N40" s="107" t="n">
        <x:f>'Вводные'!$M$89*((IF(SUM($D32:$DS32)=0,0,IF(SUM($D35:$DS35)=0,1,'Вводные'!$B$63)))*N34+(1-(IF(SUM($D32:$DS32)=0,0,IF(SUM($D35:$DS35)=0,1,'Вводные'!$B$63))))*N36)</x:f>
        <x:v>0</x:v>
      </x:c>
      <x:c r="O40" s="107" t="n">
        <x:f>'Вводные'!$M$89*((IF(SUM($D32:$DS32)=0,0,IF(SUM($D35:$DS35)=0,1,'Вводные'!$B$63)))*O34+(1-(IF(SUM($D32:$DS32)=0,0,IF(SUM($D35:$DS35)=0,1,'Вводные'!$B$63))))*O36)</x:f>
        <x:v>0</x:v>
      </x:c>
      <x:c r="P40" s="107" t="n">
        <x:f>'Вводные'!$M$89*((IF(SUM($D32:$DS32)=0,0,IF(SUM($D35:$DS35)=0,1,'Вводные'!$B$63)))*P34+(1-(IF(SUM($D32:$DS32)=0,0,IF(SUM($D35:$DS35)=0,1,'Вводные'!$B$63))))*P36)</x:f>
        <x:v>0</x:v>
      </x:c>
      <x:c r="Q40" s="107" t="n">
        <x:f>'Вводные'!$M$89*((IF(SUM($D32:$DS32)=0,0,IF(SUM($D35:$DS35)=0,1,'Вводные'!$B$63)))*Q34+(1-(IF(SUM($D32:$DS32)=0,0,IF(SUM($D35:$DS35)=0,1,'Вводные'!$B$63))))*Q36)</x:f>
        <x:v>0</x:v>
      </x:c>
      <x:c r="R40" s="107" t="n">
        <x:f>'Вводные'!$M$89*((IF(SUM($D32:$DS32)=0,0,IF(SUM($D35:$DS35)=0,1,'Вводные'!$B$63)))*R34+(1-(IF(SUM($D32:$DS32)=0,0,IF(SUM($D35:$DS35)=0,1,'Вводные'!$B$63))))*R36)</x:f>
        <x:v>0</x:v>
      </x:c>
      <x:c r="S40" s="107" t="n">
        <x:f>'Вводные'!$M$89*((IF(SUM($D32:$DS32)=0,0,IF(SUM($D35:$DS35)=0,1,'Вводные'!$B$63)))*S34+(1-(IF(SUM($D32:$DS32)=0,0,IF(SUM($D35:$DS35)=0,1,'Вводные'!$B$63))))*S36)</x:f>
        <x:v>0</x:v>
      </x:c>
      <x:c r="T40" s="107" t="n">
        <x:f>'Вводные'!$M$89*((IF(SUM($D32:$DS32)=0,0,IF(SUM($D35:$DS35)=0,1,'Вводные'!$B$63)))*T34+(1-(IF(SUM($D32:$DS32)=0,0,IF(SUM($D35:$DS35)=0,1,'Вводные'!$B$63))))*T36)</x:f>
        <x:v>0</x:v>
      </x:c>
      <x:c r="U40" s="107" t="n">
        <x:f>'Вводные'!$M$89*((IF(SUM($D32:$DS32)=0,0,IF(SUM($D35:$DS35)=0,1,'Вводные'!$B$63)))*U34+(1-(IF(SUM($D32:$DS32)=0,0,IF(SUM($D35:$DS35)=0,1,'Вводные'!$B$63))))*U36)</x:f>
        <x:v>0</x:v>
      </x:c>
      <x:c r="V40" s="107" t="n">
        <x:f>'Вводные'!$M$89*((IF(SUM($D32:$DS32)=0,0,IF(SUM($D35:$DS35)=0,1,'Вводные'!$B$63)))*V34+(1-(IF(SUM($D32:$DS32)=0,0,IF(SUM($D35:$DS35)=0,1,'Вводные'!$B$63))))*V36)</x:f>
        <x:v>0</x:v>
      </x:c>
      <x:c r="W40" s="107" t="n">
        <x:f>'Вводные'!$M$89*((IF(SUM($D32:$DS32)=0,0,IF(SUM($D35:$DS35)=0,1,'Вводные'!$B$63)))*W34+(1-(IF(SUM($D32:$DS32)=0,0,IF(SUM($D35:$DS35)=0,1,'Вводные'!$B$63))))*W36)</x:f>
        <x:v>0</x:v>
      </x:c>
      <x:c r="X40" s="107" t="n">
        <x:f>'Вводные'!$M$89*((IF(SUM($D32:$DS32)=0,0,IF(SUM($D35:$DS35)=0,1,'Вводные'!$B$63)))*X34+(1-(IF(SUM($D32:$DS32)=0,0,IF(SUM($D35:$DS35)=0,1,'Вводные'!$B$63))))*X36)</x:f>
        <x:v>0</x:v>
      </x:c>
      <x:c r="Y40" s="107" t="n">
        <x:f>'Вводные'!$M$89*((IF(SUM($D32:$DS32)=0,0,IF(SUM($D35:$DS35)=0,1,'Вводные'!$B$63)))*Y34+(1-(IF(SUM($D32:$DS32)=0,0,IF(SUM($D35:$DS35)=0,1,'Вводные'!$B$63))))*Y36)</x:f>
        <x:v>0</x:v>
      </x:c>
      <x:c r="Z40" s="107" t="n">
        <x:f>'Вводные'!$M$89*((IF(SUM($D32:$DS32)=0,0,IF(SUM($D35:$DS35)=0,1,'Вводные'!$B$63)))*Z34+(1-(IF(SUM($D32:$DS32)=0,0,IF(SUM($D35:$DS35)=0,1,'Вводные'!$B$63))))*Z36)</x:f>
        <x:v>0</x:v>
      </x:c>
      <x:c r="AA40" s="107" t="n">
        <x:f>'Вводные'!$M$89*((IF(SUM($D32:$DS32)=0,0,IF(SUM($D35:$DS35)=0,1,'Вводные'!$B$63)))*AA34+(1-(IF(SUM($D32:$DS32)=0,0,IF(SUM($D35:$DS35)=0,1,'Вводные'!$B$63))))*AA36)</x:f>
        <x:v>0</x:v>
      </x:c>
      <x:c r="AB40" s="107" t="n">
        <x:f>'Вводные'!$M$89*((IF(SUM($D32:$DS32)=0,0,IF(SUM($D35:$DS35)=0,1,'Вводные'!$B$63)))*AB34+(1-(IF(SUM($D32:$DS32)=0,0,IF(SUM($D35:$DS35)=0,1,'Вводные'!$B$63))))*AB36)</x:f>
        <x:v>0</x:v>
      </x:c>
      <x:c r="AC40" s="107" t="n">
        <x:f>'Вводные'!$M$89*((IF(SUM($D32:$DS32)=0,0,IF(SUM($D35:$DS35)=0,1,'Вводные'!$B$63)))*AC34+(1-(IF(SUM($D32:$DS32)=0,0,IF(SUM($D35:$DS35)=0,1,'Вводные'!$B$63))))*AC36)</x:f>
        <x:v>0</x:v>
      </x:c>
      <x:c r="AD40" s="107" t="n">
        <x:f>'Вводные'!$M$89*((IF(SUM($D32:$DS32)=0,0,IF(SUM($D35:$DS35)=0,1,'Вводные'!$B$63)))*AD34+(1-(IF(SUM($D32:$DS32)=0,0,IF(SUM($D35:$DS35)=0,1,'Вводные'!$B$63))))*AD36)</x:f>
        <x:v>0</x:v>
      </x:c>
      <x:c r="AE40" s="107" t="n">
        <x:f>'Вводные'!$M$89*((IF(SUM($D32:$DS32)=0,0,IF(SUM($D35:$DS35)=0,1,'Вводные'!$B$63)))*AE34+(1-(IF(SUM($D32:$DS32)=0,0,IF(SUM($D35:$DS35)=0,1,'Вводные'!$B$63))))*AE36)</x:f>
        <x:v>0</x:v>
      </x:c>
      <x:c r="AF40" s="107" t="n">
        <x:f>'Вводные'!$M$89*((IF(SUM($D32:$DS32)=0,0,IF(SUM($D35:$DS35)=0,1,'Вводные'!$B$63)))*AF34+(1-(IF(SUM($D32:$DS32)=0,0,IF(SUM($D35:$DS35)=0,1,'Вводные'!$B$63))))*AF36)</x:f>
        <x:v>0</x:v>
      </x:c>
      <x:c r="AG40" s="107" t="n">
        <x:f>'Вводные'!$M$89*((IF(SUM($D32:$DS32)=0,0,IF(SUM($D35:$DS35)=0,1,'Вводные'!$B$63)))*AG34+(1-(IF(SUM($D32:$DS32)=0,0,IF(SUM($D35:$DS35)=0,1,'Вводные'!$B$63))))*AG36)</x:f>
        <x:v>0</x:v>
      </x:c>
      <x:c r="AH40" s="107" t="n">
        <x:f>'Вводные'!$M$89*((IF(SUM($D32:$DS32)=0,0,IF(SUM($D35:$DS35)=0,1,'Вводные'!$B$63)))*AH34+(1-(IF(SUM($D32:$DS32)=0,0,IF(SUM($D35:$DS35)=0,1,'Вводные'!$B$63))))*AH36)</x:f>
        <x:v>0</x:v>
      </x:c>
      <x:c r="AI40" s="107" t="n">
        <x:f>'Вводные'!$M$89*((IF(SUM($D32:$DS32)=0,0,IF(SUM($D35:$DS35)=0,1,'Вводные'!$B$63)))*AI34+(1-(IF(SUM($D32:$DS32)=0,0,IF(SUM($D35:$DS35)=0,1,'Вводные'!$B$63))))*AI36)</x:f>
        <x:v>0</x:v>
      </x:c>
      <x:c r="AJ40" s="107" t="n">
        <x:f>'Вводные'!$M$89*((IF(SUM($D32:$DS32)=0,0,IF(SUM($D35:$DS35)=0,1,'Вводные'!$B$63)))*AJ34+(1-(IF(SUM($D32:$DS32)=0,0,IF(SUM($D35:$DS35)=0,1,'Вводные'!$B$63))))*AJ36)</x:f>
        <x:v>0</x:v>
      </x:c>
      <x:c r="AK40" s="107" t="n">
        <x:f>'Вводные'!$M$89*((IF(SUM($D32:$DS32)=0,0,IF(SUM($D35:$DS35)=0,1,'Вводные'!$B$63)))*AK34+(1-(IF(SUM($D32:$DS32)=0,0,IF(SUM($D35:$DS35)=0,1,'Вводные'!$B$63))))*AK36)</x:f>
        <x:v>0</x:v>
      </x:c>
      <x:c r="AL40" s="107" t="n">
        <x:f>'Вводные'!$M$89*((IF(SUM($D32:$DS32)=0,0,IF(SUM($D35:$DS35)=0,1,'Вводные'!$B$63)))*AL34+(1-(IF(SUM($D32:$DS32)=0,0,IF(SUM($D35:$DS35)=0,1,'Вводные'!$B$63))))*AL36)</x:f>
        <x:v>0</x:v>
      </x:c>
      <x:c r="AM40" s="107" t="n">
        <x:f>'Вводные'!$M$89*((IF(SUM($D32:$DS32)=0,0,IF(SUM($D35:$DS35)=0,1,'Вводные'!$B$63)))*AM34+(1-(IF(SUM($D32:$DS32)=0,0,IF(SUM($D35:$DS35)=0,1,'Вводные'!$B$63))))*AM36)</x:f>
        <x:v>0</x:v>
      </x:c>
      <x:c r="AN40" s="107" t="n">
        <x:f>'Вводные'!$M$89*((IF(SUM($D32:$DS32)=0,0,IF(SUM($D35:$DS35)=0,1,'Вводные'!$B$63)))*AN34+(1-(IF(SUM($D32:$DS32)=0,0,IF(SUM($D35:$DS35)=0,1,'Вводные'!$B$63))))*AN36)</x:f>
        <x:v>0</x:v>
      </x:c>
      <x:c r="AO40" s="107" t="n">
        <x:f>'Вводные'!$M$89*((IF(SUM($D32:$DS32)=0,0,IF(SUM($D35:$DS35)=0,1,'Вводные'!$B$63)))*AO34+(1-(IF(SUM($D32:$DS32)=0,0,IF(SUM($D35:$DS35)=0,1,'Вводные'!$B$63))))*AO36)</x:f>
        <x:v>0</x:v>
      </x:c>
      <x:c r="AP40" s="107" t="n">
        <x:f>'Вводные'!$M$89*((IF(SUM($D32:$DS32)=0,0,IF(SUM($D35:$DS35)=0,1,'Вводные'!$B$63)))*AP34+(1-(IF(SUM($D32:$DS32)=0,0,IF(SUM($D35:$DS35)=0,1,'Вводные'!$B$63))))*AP36)</x:f>
        <x:v>0</x:v>
      </x:c>
      <x:c r="AQ40" s="107" t="n">
        <x:f>'Вводные'!$M$89*((IF(SUM($D32:$DS32)=0,0,IF(SUM($D35:$DS35)=0,1,'Вводные'!$B$63)))*AQ34+(1-(IF(SUM($D32:$DS32)=0,0,IF(SUM($D35:$DS35)=0,1,'Вводные'!$B$63))))*AQ36)</x:f>
        <x:v>0</x:v>
      </x:c>
      <x:c r="AR40" s="107" t="n">
        <x:f>'Вводные'!$M$89*((IF(SUM($D32:$DS32)=0,0,IF(SUM($D35:$DS35)=0,1,'Вводные'!$B$63)))*AR34+(1-(IF(SUM($D32:$DS32)=0,0,IF(SUM($D35:$DS35)=0,1,'Вводные'!$B$63))))*AR36)</x:f>
        <x:v>0</x:v>
      </x:c>
      <x:c r="AS40" s="107" t="n">
        <x:f>'Вводные'!$M$89*((IF(SUM($D32:$DS32)=0,0,IF(SUM($D35:$DS35)=0,1,'Вводные'!$B$63)))*AS34+(1-(IF(SUM($D32:$DS32)=0,0,IF(SUM($D35:$DS35)=0,1,'Вводные'!$B$63))))*AS36)</x:f>
        <x:v>0</x:v>
      </x:c>
      <x:c r="AT40" s="107" t="n">
        <x:f>'Вводные'!$M$89*((IF(SUM($D32:$DS32)=0,0,IF(SUM($D35:$DS35)=0,1,'Вводные'!$B$63)))*AT34+(1-(IF(SUM($D32:$DS32)=0,0,IF(SUM($D35:$DS35)=0,1,'Вводные'!$B$63))))*AT36)</x:f>
        <x:v>0</x:v>
      </x:c>
      <x:c r="AU40" s="107" t="n">
        <x:f>'Вводные'!$M$89*((IF(SUM($D32:$DS32)=0,0,IF(SUM($D35:$DS35)=0,1,'Вводные'!$B$63)))*AU34+(1-(IF(SUM($D32:$DS32)=0,0,IF(SUM($D35:$DS35)=0,1,'Вводные'!$B$63))))*AU36)</x:f>
        <x:v>0</x:v>
      </x:c>
      <x:c r="AV40" s="107" t="n">
        <x:f>'Вводные'!$M$89*((IF(SUM($D32:$DS32)=0,0,IF(SUM($D35:$DS35)=0,1,'Вводные'!$B$63)))*AV34+(1-(IF(SUM($D32:$DS32)=0,0,IF(SUM($D35:$DS35)=0,1,'Вводные'!$B$63))))*AV36)</x:f>
        <x:v>0</x:v>
      </x:c>
      <x:c r="AW40" s="107" t="n">
        <x:f>'Вводные'!$M$89*((IF(SUM($D32:$DS32)=0,0,IF(SUM($D35:$DS35)=0,1,'Вводные'!$B$63)))*AW34+(1-(IF(SUM($D32:$DS32)=0,0,IF(SUM($D35:$DS35)=0,1,'Вводные'!$B$63))))*AW36)</x:f>
        <x:v>0</x:v>
      </x:c>
      <x:c r="AX40" s="107" t="n">
        <x:f>'Вводные'!$M$89*((IF(SUM($D32:$DS32)=0,0,IF(SUM($D35:$DS35)=0,1,'Вводные'!$B$63)))*AX34+(1-(IF(SUM($D32:$DS32)=0,0,IF(SUM($D35:$DS35)=0,1,'Вводные'!$B$63))))*AX36)</x:f>
        <x:v>0</x:v>
      </x:c>
      <x:c r="AY40" s="107" t="n">
        <x:f>'Вводные'!$M$89*((IF(SUM($D32:$DS32)=0,0,IF(SUM($D35:$DS35)=0,1,'Вводные'!$B$63)))*AY34+(1-(IF(SUM($D32:$DS32)=0,0,IF(SUM($D35:$DS35)=0,1,'Вводные'!$B$63))))*AY36)</x:f>
        <x:v>0</x:v>
      </x:c>
      <x:c r="AZ40" s="107" t="n">
        <x:f>'Вводные'!$M$89*((IF(SUM($D32:$DS32)=0,0,IF(SUM($D35:$DS35)=0,1,'Вводные'!$B$63)))*AZ34+(1-(IF(SUM($D32:$DS32)=0,0,IF(SUM($D35:$DS35)=0,1,'Вводные'!$B$63))))*AZ36)</x:f>
        <x:v>0</x:v>
      </x:c>
      <x:c r="BA40" s="107" t="n">
        <x:f>'Вводные'!$M$89*((IF(SUM($D32:$DS32)=0,0,IF(SUM($D35:$DS35)=0,1,'Вводные'!$B$63)))*BA34+(1-(IF(SUM($D32:$DS32)=0,0,IF(SUM($D35:$DS35)=0,1,'Вводные'!$B$63))))*BA36)</x:f>
        <x:v>0</x:v>
      </x:c>
      <x:c r="BB40" s="107" t="n">
        <x:f>'Вводные'!$M$89*((IF(SUM($D32:$DS32)=0,0,IF(SUM($D35:$DS35)=0,1,'Вводные'!$B$63)))*BB34+(1-(IF(SUM($D32:$DS32)=0,0,IF(SUM($D35:$DS35)=0,1,'Вводные'!$B$63))))*BB36)</x:f>
        <x:v>0</x:v>
      </x:c>
      <x:c r="BC40" s="107" t="n">
        <x:f>'Вводные'!$M$89*((IF(SUM($D32:$DS32)=0,0,IF(SUM($D35:$DS35)=0,1,'Вводные'!$B$63)))*BC34+(1-(IF(SUM($D32:$DS32)=0,0,IF(SUM($D35:$DS35)=0,1,'Вводные'!$B$63))))*BC36)</x:f>
        <x:v>0</x:v>
      </x:c>
      <x:c r="BD40" s="107" t="n">
        <x:f>'Вводные'!$M$89*((IF(SUM($D32:$DS32)=0,0,IF(SUM($D35:$DS35)=0,1,'Вводные'!$B$63)))*BD34+(1-(IF(SUM($D32:$DS32)=0,0,IF(SUM($D35:$DS35)=0,1,'Вводные'!$B$63))))*BD36)</x:f>
        <x:v>0</x:v>
      </x:c>
      <x:c r="BE40" s="107" t="n">
        <x:f>'Вводные'!$M$89*((IF(SUM($D32:$DS32)=0,0,IF(SUM($D35:$DS35)=0,1,'Вводные'!$B$63)))*BE34+(1-(IF(SUM($D32:$DS32)=0,0,IF(SUM($D35:$DS35)=0,1,'Вводные'!$B$63))))*BE36)</x:f>
        <x:v>0</x:v>
      </x:c>
      <x:c r="BF40" s="107" t="n">
        <x:f>'Вводные'!$M$89*((IF(SUM($D32:$DS32)=0,0,IF(SUM($D35:$DS35)=0,1,'Вводные'!$B$63)))*BF34+(1-(IF(SUM($D32:$DS32)=0,0,IF(SUM($D35:$DS35)=0,1,'Вводные'!$B$63))))*BF36)</x:f>
        <x:v>0</x:v>
      </x:c>
      <x:c r="BG40" s="107" t="n">
        <x:f>'Вводные'!$M$89*((IF(SUM($D32:$DS32)=0,0,IF(SUM($D35:$DS35)=0,1,'Вводные'!$B$63)))*BG34+(1-(IF(SUM($D32:$DS32)=0,0,IF(SUM($D35:$DS35)=0,1,'Вводные'!$B$63))))*BG36)</x:f>
        <x:v>0</x:v>
      </x:c>
      <x:c r="BH40" s="107" t="n">
        <x:f>'Вводные'!$M$89*((IF(SUM($D32:$DS32)=0,0,IF(SUM($D35:$DS35)=0,1,'Вводные'!$B$63)))*BH34+(1-(IF(SUM($D32:$DS32)=0,0,IF(SUM($D35:$DS35)=0,1,'Вводные'!$B$63))))*BH36)</x:f>
        <x:v>0</x:v>
      </x:c>
      <x:c r="BI40" s="107" t="n">
        <x:f>'Вводные'!$M$89*((IF(SUM($D32:$DS32)=0,0,IF(SUM($D35:$DS35)=0,1,'Вводные'!$B$63)))*BI34+(1-(IF(SUM($D32:$DS32)=0,0,IF(SUM($D35:$DS35)=0,1,'Вводные'!$B$63))))*BI36)</x:f>
        <x:v>0</x:v>
      </x:c>
      <x:c r="BJ40" s="107" t="n">
        <x:f>'Вводные'!$M$89*((IF(SUM($D32:$DS32)=0,0,IF(SUM($D35:$DS35)=0,1,'Вводные'!$B$63)))*BJ34+(1-(IF(SUM($D32:$DS32)=0,0,IF(SUM($D35:$DS35)=0,1,'Вводные'!$B$63))))*BJ36)</x:f>
        <x:v>0</x:v>
      </x:c>
      <x:c r="BK40" s="107" t="n">
        <x:f>'Вводные'!$M$89*((IF(SUM($D32:$DS32)=0,0,IF(SUM($D35:$DS35)=0,1,'Вводные'!$B$63)))*BK34+(1-(IF(SUM($D32:$DS32)=0,0,IF(SUM($D35:$DS35)=0,1,'Вводные'!$B$63))))*BK36)</x:f>
        <x:v>0</x:v>
      </x:c>
      <x:c r="BL40" s="107" t="n">
        <x:f>'Вводные'!$M$89*((IF(SUM($D32:$DS32)=0,0,IF(SUM($D35:$DS35)=0,1,'Вводные'!$B$63)))*BL34+(1-(IF(SUM($D32:$DS32)=0,0,IF(SUM($D35:$DS35)=0,1,'Вводные'!$B$63))))*BL36)</x:f>
        <x:v>0</x:v>
      </x:c>
      <x:c r="BM40" s="107" t="n">
        <x:f>'Вводные'!$M$89*((IF(SUM($D32:$DS32)=0,0,IF(SUM($D35:$DS35)=0,1,'Вводные'!$B$63)))*BM34+(1-(IF(SUM($D32:$DS32)=0,0,IF(SUM($D35:$DS35)=0,1,'Вводные'!$B$63))))*BM36)</x:f>
        <x:v>0</x:v>
      </x:c>
      <x:c r="BN40" s="107" t="n">
        <x:f>'Вводные'!$M$89*((IF(SUM($D32:$DS32)=0,0,IF(SUM($D35:$DS35)=0,1,'Вводные'!$B$63)))*BN34+(1-(IF(SUM($D32:$DS32)=0,0,IF(SUM($D35:$DS35)=0,1,'Вводные'!$B$63))))*BN36)</x:f>
        <x:v>0</x:v>
      </x:c>
      <x:c r="BO40" s="107" t="n">
        <x:f>'Вводные'!$M$89*((IF(SUM($D32:$DS32)=0,0,IF(SUM($D35:$DS35)=0,1,'Вводные'!$B$63)))*BO34+(1-(IF(SUM($D32:$DS32)=0,0,IF(SUM($D35:$DS35)=0,1,'Вводные'!$B$63))))*BO36)</x:f>
        <x:v>0</x:v>
      </x:c>
      <x:c r="BP40" s="107" t="n">
        <x:f>'Вводные'!$M$89*((IF(SUM($D32:$DS32)=0,0,IF(SUM($D35:$DS35)=0,1,'Вводные'!$B$63)))*BP34+(1-(IF(SUM($D32:$DS32)=0,0,IF(SUM($D35:$DS35)=0,1,'Вводные'!$B$63))))*BP36)</x:f>
        <x:v>0</x:v>
      </x:c>
      <x:c r="BQ40" s="107" t="n">
        <x:f>'Вводные'!$M$89*((IF(SUM($D32:$DS32)=0,0,IF(SUM($D35:$DS35)=0,1,'Вводные'!$B$63)))*BQ34+(1-(IF(SUM($D32:$DS32)=0,0,IF(SUM($D35:$DS35)=0,1,'Вводные'!$B$63))))*BQ36)</x:f>
        <x:v>0</x:v>
      </x:c>
      <x:c r="BR40" s="107" t="n">
        <x:f>'Вводные'!$M$89*((IF(SUM($D32:$DS32)=0,0,IF(SUM($D35:$DS35)=0,1,'Вводные'!$B$63)))*BR34+(1-(IF(SUM($D32:$DS32)=0,0,IF(SUM($D35:$DS35)=0,1,'Вводные'!$B$63))))*BR36)</x:f>
        <x:v>0</x:v>
      </x:c>
      <x:c r="BS40" s="107" t="n">
        <x:f>'Вводные'!$M$89*((IF(SUM($D32:$DS32)=0,0,IF(SUM($D35:$DS35)=0,1,'Вводные'!$B$63)))*BS34+(1-(IF(SUM($D32:$DS32)=0,0,IF(SUM($D35:$DS35)=0,1,'Вводные'!$B$63))))*BS36)</x:f>
        <x:v>0</x:v>
      </x:c>
      <x:c r="BT40" s="107" t="n">
        <x:f>'Вводные'!$M$89*((IF(SUM($D32:$DS32)=0,0,IF(SUM($D35:$DS35)=0,1,'Вводные'!$B$63)))*BT34+(1-(IF(SUM($D32:$DS32)=0,0,IF(SUM($D35:$DS35)=0,1,'Вводные'!$B$63))))*BT36)</x:f>
        <x:v>0</x:v>
      </x:c>
      <x:c r="BU40" s="107" t="n">
        <x:f>'Вводные'!$M$89*((IF(SUM($D32:$DS32)=0,0,IF(SUM($D35:$DS35)=0,1,'Вводные'!$B$63)))*BU34+(1-(IF(SUM($D32:$DS32)=0,0,IF(SUM($D35:$DS35)=0,1,'Вводные'!$B$63))))*BU36)</x:f>
        <x:v>0</x:v>
      </x:c>
      <x:c r="BV40" s="107" t="n">
        <x:f>'Вводные'!$M$89*((IF(SUM($D32:$DS32)=0,0,IF(SUM($D35:$DS35)=0,1,'Вводные'!$B$63)))*BV34+(1-(IF(SUM($D32:$DS32)=0,0,IF(SUM($D35:$DS35)=0,1,'Вводные'!$B$63))))*BV36)</x:f>
        <x:v>0</x:v>
      </x:c>
      <x:c r="BW40" s="107" t="n">
        <x:f>'Вводные'!$M$89*((IF(SUM($D32:$DS32)=0,0,IF(SUM($D35:$DS35)=0,1,'Вводные'!$B$63)))*BW34+(1-(IF(SUM($D32:$DS32)=0,0,IF(SUM($D35:$DS35)=0,1,'Вводные'!$B$63))))*BW36)</x:f>
        <x:v>0</x:v>
      </x:c>
      <x:c r="BX40" s="107" t="n">
        <x:f>'Вводные'!$M$89*((IF(SUM($D32:$DS32)=0,0,IF(SUM($D35:$DS35)=0,1,'Вводные'!$B$63)))*BX34+(1-(IF(SUM($D32:$DS32)=0,0,IF(SUM($D35:$DS35)=0,1,'Вводные'!$B$63))))*BX36)</x:f>
        <x:v>0</x:v>
      </x:c>
      <x:c r="BY40" s="107" t="n">
        <x:f>'Вводные'!$M$89*((IF(SUM($D32:$DS32)=0,0,IF(SUM($D35:$DS35)=0,1,'Вводные'!$B$63)))*BY34+(1-(IF(SUM($D32:$DS32)=0,0,IF(SUM($D35:$DS35)=0,1,'Вводные'!$B$63))))*BY36)</x:f>
        <x:v>0</x:v>
      </x:c>
      <x:c r="BZ40" s="107" t="n">
        <x:f>'Вводные'!$M$89*((IF(SUM($D32:$DS32)=0,0,IF(SUM($D35:$DS35)=0,1,'Вводные'!$B$63)))*BZ34+(1-(IF(SUM($D32:$DS32)=0,0,IF(SUM($D35:$DS35)=0,1,'Вводные'!$B$63))))*BZ36)</x:f>
        <x:v>0</x:v>
      </x:c>
      <x:c r="CA40" s="107" t="n">
        <x:f>'Вводные'!$M$89*((IF(SUM($D32:$DS32)=0,0,IF(SUM($D35:$DS35)=0,1,'Вводные'!$B$63)))*CA34+(1-(IF(SUM($D32:$DS32)=0,0,IF(SUM($D35:$DS35)=0,1,'Вводные'!$B$63))))*CA36)</x:f>
        <x:v>0</x:v>
      </x:c>
      <x:c r="CB40" s="107" t="n">
        <x:f>'Вводные'!$M$89*((IF(SUM($D32:$DS32)=0,0,IF(SUM($D35:$DS35)=0,1,'Вводные'!$B$63)))*CB34+(1-(IF(SUM($D32:$DS32)=0,0,IF(SUM($D35:$DS35)=0,1,'Вводные'!$B$63))))*CB36)</x:f>
        <x:v>0</x:v>
      </x:c>
      <x:c r="CC40" s="107" t="n">
        <x:f>'Вводные'!$M$89*((IF(SUM($D32:$DS32)=0,0,IF(SUM($D35:$DS35)=0,1,'Вводные'!$B$63)))*CC34+(1-(IF(SUM($D32:$DS32)=0,0,IF(SUM($D35:$DS35)=0,1,'Вводные'!$B$63))))*CC36)</x:f>
        <x:v>0</x:v>
      </x:c>
      <x:c r="CD40" s="107" t="n">
        <x:f>'Вводные'!$M$89*((IF(SUM($D32:$DS32)=0,0,IF(SUM($D35:$DS35)=0,1,'Вводные'!$B$63)))*CD34+(1-(IF(SUM($D32:$DS32)=0,0,IF(SUM($D35:$DS35)=0,1,'Вводные'!$B$63))))*CD36)</x:f>
        <x:v>0</x:v>
      </x:c>
      <x:c r="CE40" s="107" t="n">
        <x:f>'Вводные'!$M$89*((IF(SUM($D32:$DS32)=0,0,IF(SUM($D35:$DS35)=0,1,'Вводные'!$B$63)))*CE34+(1-(IF(SUM($D32:$DS32)=0,0,IF(SUM($D35:$DS35)=0,1,'Вводные'!$B$63))))*CE36)</x:f>
        <x:v>0</x:v>
      </x:c>
      <x:c r="CF40" s="107" t="n">
        <x:f>'Вводные'!$M$89*((IF(SUM($D32:$DS32)=0,0,IF(SUM($D35:$DS35)=0,1,'Вводные'!$B$63)))*CF34+(1-(IF(SUM($D32:$DS32)=0,0,IF(SUM($D35:$DS35)=0,1,'Вводные'!$B$63))))*CF36)</x:f>
        <x:v>0</x:v>
      </x:c>
      <x:c r="CG40" s="107" t="n">
        <x:f>'Вводные'!$M$89*((IF(SUM($D32:$DS32)=0,0,IF(SUM($D35:$DS35)=0,1,'Вводные'!$B$63)))*CG34+(1-(IF(SUM($D32:$DS32)=0,0,IF(SUM($D35:$DS35)=0,1,'Вводные'!$B$63))))*CG36)</x:f>
        <x:v>0</x:v>
      </x:c>
      <x:c r="CH40" s="107" t="n">
        <x:f>'Вводные'!$M$89*((IF(SUM($D32:$DS32)=0,0,IF(SUM($D35:$DS35)=0,1,'Вводные'!$B$63)))*CH34+(1-(IF(SUM($D32:$DS32)=0,0,IF(SUM($D35:$DS35)=0,1,'Вводные'!$B$63))))*CH36)</x:f>
        <x:v>0</x:v>
      </x:c>
      <x:c r="CI40" s="107" t="n">
        <x:f>'Вводные'!$M$89*((IF(SUM($D32:$DS32)=0,0,IF(SUM($D35:$DS35)=0,1,'Вводные'!$B$63)))*CI34+(1-(IF(SUM($D32:$DS32)=0,0,IF(SUM($D35:$DS35)=0,1,'Вводные'!$B$63))))*CI36)</x:f>
        <x:v>0</x:v>
      </x:c>
      <x:c r="CJ40" s="107" t="n">
        <x:f>'Вводные'!$M$89*((IF(SUM($D32:$DS32)=0,0,IF(SUM($D35:$DS35)=0,1,'Вводные'!$B$63)))*CJ34+(1-(IF(SUM($D32:$DS32)=0,0,IF(SUM($D35:$DS35)=0,1,'Вводные'!$B$63))))*CJ36)</x:f>
        <x:v>0</x:v>
      </x:c>
      <x:c r="CK40" s="107" t="n">
        <x:f>'Вводные'!$M$89*((IF(SUM($D32:$DS32)=0,0,IF(SUM($D35:$DS35)=0,1,'Вводные'!$B$63)))*CK34+(1-(IF(SUM($D32:$DS32)=0,0,IF(SUM($D35:$DS35)=0,1,'Вводные'!$B$63))))*CK36)</x:f>
        <x:v>0</x:v>
      </x:c>
      <x:c r="CL40" s="107" t="n">
        <x:f>'Вводные'!$M$89*((IF(SUM($D32:$DS32)=0,0,IF(SUM($D35:$DS35)=0,1,'Вводные'!$B$63)))*CL34+(1-(IF(SUM($D32:$DS32)=0,0,IF(SUM($D35:$DS35)=0,1,'Вводные'!$B$63))))*CL36)</x:f>
        <x:v>0</x:v>
      </x:c>
      <x:c r="CM40" s="107" t="n">
        <x:f>'Вводные'!$M$89*((IF(SUM($D32:$DS32)=0,0,IF(SUM($D35:$DS35)=0,1,'Вводные'!$B$63)))*CM34+(1-(IF(SUM($D32:$DS32)=0,0,IF(SUM($D35:$DS35)=0,1,'Вводные'!$B$63))))*CM36)</x:f>
        <x:v>0</x:v>
      </x:c>
      <x:c r="CN40" s="107" t="n">
        <x:f>'Вводные'!$M$89*((IF(SUM($D32:$DS32)=0,0,IF(SUM($D35:$DS35)=0,1,'Вводные'!$B$63)))*CN34+(1-(IF(SUM($D32:$DS32)=0,0,IF(SUM($D35:$DS35)=0,1,'Вводные'!$B$63))))*CN36)</x:f>
        <x:v>0</x:v>
      </x:c>
      <x:c r="CO40" s="107" t="n">
        <x:f>'Вводные'!$M$89*((IF(SUM($D32:$DS32)=0,0,IF(SUM($D35:$DS35)=0,1,'Вводные'!$B$63)))*CO34+(1-(IF(SUM($D32:$DS32)=0,0,IF(SUM($D35:$DS35)=0,1,'Вводные'!$B$63))))*CO36)</x:f>
        <x:v>0</x:v>
      </x:c>
      <x:c r="CP40" s="107" t="n">
        <x:f>'Вводные'!$M$89*((IF(SUM($D32:$DS32)=0,0,IF(SUM($D35:$DS35)=0,1,'Вводные'!$B$63)))*CP34+(1-(IF(SUM($D32:$DS32)=0,0,IF(SUM($D35:$DS35)=0,1,'Вводные'!$B$63))))*CP36)</x:f>
        <x:v>0</x:v>
      </x:c>
      <x:c r="CQ40" s="107" t="n">
        <x:f>'Вводные'!$M$89*((IF(SUM($D32:$DS32)=0,0,IF(SUM($D35:$DS35)=0,1,'Вводные'!$B$63)))*CQ34+(1-(IF(SUM($D32:$DS32)=0,0,IF(SUM($D35:$DS35)=0,1,'Вводные'!$B$63))))*CQ36)</x:f>
        <x:v>0</x:v>
      </x:c>
      <x:c r="CR40" s="107" t="n">
        <x:f>'Вводные'!$M$89*((IF(SUM($D32:$DS32)=0,0,IF(SUM($D35:$DS35)=0,1,'Вводные'!$B$63)))*CR34+(1-(IF(SUM($D32:$DS32)=0,0,IF(SUM($D35:$DS35)=0,1,'Вводные'!$B$63))))*CR36)</x:f>
        <x:v>0</x:v>
      </x:c>
      <x:c r="CS40" s="107" t="n">
        <x:f>'Вводные'!$M$89*((IF(SUM($D32:$DS32)=0,0,IF(SUM($D35:$DS35)=0,1,'Вводные'!$B$63)))*CS34+(1-(IF(SUM($D32:$DS32)=0,0,IF(SUM($D35:$DS35)=0,1,'Вводные'!$B$63))))*CS36)</x:f>
        <x:v>0</x:v>
      </x:c>
      <x:c r="CT40" s="107" t="n">
        <x:f>'Вводные'!$M$89*((IF(SUM($D32:$DS32)=0,0,IF(SUM($D35:$DS35)=0,1,'Вводные'!$B$63)))*CT34+(1-(IF(SUM($D32:$DS32)=0,0,IF(SUM($D35:$DS35)=0,1,'Вводные'!$B$63))))*CT36)</x:f>
        <x:v>0</x:v>
      </x:c>
      <x:c r="CU40" s="107" t="n">
        <x:f>'Вводные'!$M$89*((IF(SUM($D32:$DS32)=0,0,IF(SUM($D35:$DS35)=0,1,'Вводные'!$B$63)))*CU34+(1-(IF(SUM($D32:$DS32)=0,0,IF(SUM($D35:$DS35)=0,1,'Вводные'!$B$63))))*CU36)</x:f>
        <x:v>0</x:v>
      </x:c>
      <x:c r="CV40" s="107" t="n">
        <x:f>'Вводные'!$M$89*((IF(SUM($D32:$DS32)=0,0,IF(SUM($D35:$DS35)=0,1,'Вводные'!$B$63)))*CV34+(1-(IF(SUM($D32:$DS32)=0,0,IF(SUM($D35:$DS35)=0,1,'Вводные'!$B$63))))*CV36)</x:f>
        <x:v>0</x:v>
      </x:c>
      <x:c r="CW40" s="107" t="n">
        <x:f>'Вводные'!$M$89*((IF(SUM($D32:$DS32)=0,0,IF(SUM($D35:$DS35)=0,1,'Вводные'!$B$63)))*CW34+(1-(IF(SUM($D32:$DS32)=0,0,IF(SUM($D35:$DS35)=0,1,'Вводные'!$B$63))))*CW36)</x:f>
        <x:v>0</x:v>
      </x:c>
      <x:c r="CX40" s="107" t="n">
        <x:f>'Вводные'!$M$89*((IF(SUM($D32:$DS32)=0,0,IF(SUM($D35:$DS35)=0,1,'Вводные'!$B$63)))*CX34+(1-(IF(SUM($D32:$DS32)=0,0,IF(SUM($D35:$DS35)=0,1,'Вводные'!$B$63))))*CX36)</x:f>
        <x:v>0</x:v>
      </x:c>
      <x:c r="CY40" s="107" t="n">
        <x:f>'Вводные'!$M$89*((IF(SUM($D32:$DS32)=0,0,IF(SUM($D35:$DS35)=0,1,'Вводные'!$B$63)))*CY34+(1-(IF(SUM($D32:$DS32)=0,0,IF(SUM($D35:$DS35)=0,1,'Вводные'!$B$63))))*CY36)</x:f>
        <x:v>0</x:v>
      </x:c>
      <x:c r="CZ40" s="107" t="n">
        <x:f>'Вводные'!$M$89*((IF(SUM($D32:$DS32)=0,0,IF(SUM($D35:$DS35)=0,1,'Вводные'!$B$63)))*CZ34+(1-(IF(SUM($D32:$DS32)=0,0,IF(SUM($D35:$DS35)=0,1,'Вводные'!$B$63))))*CZ36)</x:f>
        <x:v>0</x:v>
      </x:c>
      <x:c r="DA40" s="107" t="n">
        <x:f>'Вводные'!$M$89*((IF(SUM($D32:$DS32)=0,0,IF(SUM($D35:$DS35)=0,1,'Вводные'!$B$63)))*DA34+(1-(IF(SUM($D32:$DS32)=0,0,IF(SUM($D35:$DS35)=0,1,'Вводные'!$B$63))))*DA36)</x:f>
        <x:v>0</x:v>
      </x:c>
      <x:c r="DB40" s="107" t="n">
        <x:f>'Вводные'!$M$89*((IF(SUM($D32:$DS32)=0,0,IF(SUM($D35:$DS35)=0,1,'Вводные'!$B$63)))*DB34+(1-(IF(SUM($D32:$DS32)=0,0,IF(SUM($D35:$DS35)=0,1,'Вводные'!$B$63))))*DB36)</x:f>
        <x:v>0</x:v>
      </x:c>
      <x:c r="DC40" s="107" t="n">
        <x:f>'Вводные'!$M$89*((IF(SUM($D32:$DS32)=0,0,IF(SUM($D35:$DS35)=0,1,'Вводные'!$B$63)))*DC34+(1-(IF(SUM($D32:$DS32)=0,0,IF(SUM($D35:$DS35)=0,1,'Вводные'!$B$63))))*DC36)</x:f>
        <x:v>0</x:v>
      </x:c>
      <x:c r="DD40" s="107" t="n">
        <x:f>'Вводные'!$M$89*((IF(SUM($D32:$DS32)=0,0,IF(SUM($D35:$DS35)=0,1,'Вводные'!$B$63)))*DD34+(1-(IF(SUM($D32:$DS32)=0,0,IF(SUM($D35:$DS35)=0,1,'Вводные'!$B$63))))*DD36)</x:f>
        <x:v>0</x:v>
      </x:c>
      <x:c r="DE40" s="107" t="n">
        <x:f>'Вводные'!$M$89*((IF(SUM($D32:$DS32)=0,0,IF(SUM($D35:$DS35)=0,1,'Вводные'!$B$63)))*DE34+(1-(IF(SUM($D32:$DS32)=0,0,IF(SUM($D35:$DS35)=0,1,'Вводные'!$B$63))))*DE36)</x:f>
        <x:v>0</x:v>
      </x:c>
      <x:c r="DF40" s="107" t="n">
        <x:f>'Вводные'!$M$89*((IF(SUM($D32:$DS32)=0,0,IF(SUM($D35:$DS35)=0,1,'Вводные'!$B$63)))*DF34+(1-(IF(SUM($D32:$DS32)=0,0,IF(SUM($D35:$DS35)=0,1,'Вводные'!$B$63))))*DF36)</x:f>
        <x:v>0</x:v>
      </x:c>
      <x:c r="DG40" s="107" t="n">
        <x:f>'Вводные'!$M$89*((IF(SUM($D32:$DS32)=0,0,IF(SUM($D35:$DS35)=0,1,'Вводные'!$B$63)))*DG34+(1-(IF(SUM($D32:$DS32)=0,0,IF(SUM($D35:$DS35)=0,1,'Вводные'!$B$63))))*DG36)</x:f>
        <x:v>0</x:v>
      </x:c>
      <x:c r="DH40" s="107" t="n">
        <x:f>'Вводные'!$M$89*((IF(SUM($D32:$DS32)=0,0,IF(SUM($D35:$DS35)=0,1,'Вводные'!$B$63)))*DH34+(1-(IF(SUM($D32:$DS32)=0,0,IF(SUM($D35:$DS35)=0,1,'Вводные'!$B$63))))*DH36)</x:f>
        <x:v>0</x:v>
      </x:c>
      <x:c r="DI40" s="107" t="n">
        <x:f>'Вводные'!$M$89*((IF(SUM($D32:$DS32)=0,0,IF(SUM($D35:$DS35)=0,1,'Вводные'!$B$63)))*DI34+(1-(IF(SUM($D32:$DS32)=0,0,IF(SUM($D35:$DS35)=0,1,'Вводные'!$B$63))))*DI36)</x:f>
        <x:v>0</x:v>
      </x:c>
      <x:c r="DJ40" s="107" t="n">
        <x:f>'Вводные'!$M$89*((IF(SUM($D32:$DS32)=0,0,IF(SUM($D35:$DS35)=0,1,'Вводные'!$B$63)))*DJ34+(1-(IF(SUM($D32:$DS32)=0,0,IF(SUM($D35:$DS35)=0,1,'Вводные'!$B$63))))*DJ36)</x:f>
        <x:v>0</x:v>
      </x:c>
      <x:c r="DK40" s="107" t="n">
        <x:f>'Вводные'!$M$89*((IF(SUM($D32:$DS32)=0,0,IF(SUM($D35:$DS35)=0,1,'Вводные'!$B$63)))*DK34+(1-(IF(SUM($D32:$DS32)=0,0,IF(SUM($D35:$DS35)=0,1,'Вводные'!$B$63))))*DK36)</x:f>
        <x:v>0</x:v>
      </x:c>
      <x:c r="DL40" s="107" t="n">
        <x:f>'Вводные'!$M$89*((IF(SUM($D32:$DS32)=0,0,IF(SUM($D35:$DS35)=0,1,'Вводные'!$B$63)))*DL34+(1-(IF(SUM($D32:$DS32)=0,0,IF(SUM($D35:$DS35)=0,1,'Вводные'!$B$63))))*DL36)</x:f>
        <x:v>0</x:v>
      </x:c>
      <x:c r="DM40" s="107" t="n">
        <x:f>'Вводные'!$M$89*((IF(SUM($D32:$DS32)=0,0,IF(SUM($D35:$DS35)=0,1,'Вводные'!$B$63)))*DM34+(1-(IF(SUM($D32:$DS32)=0,0,IF(SUM($D35:$DS35)=0,1,'Вводные'!$B$63))))*DM36)</x:f>
        <x:v>0</x:v>
      </x:c>
      <x:c r="DN40" s="107" t="n">
        <x:f>'Вводные'!$M$89*((IF(SUM($D32:$DS32)=0,0,IF(SUM($D35:$DS35)=0,1,'Вводные'!$B$63)))*DN34+(1-(IF(SUM($D32:$DS32)=0,0,IF(SUM($D35:$DS35)=0,1,'Вводные'!$B$63))))*DN36)</x:f>
        <x:v>0</x:v>
      </x:c>
      <x:c r="DO40" s="107" t="n">
        <x:f>'Вводные'!$M$89*((IF(SUM($D32:$DS32)=0,0,IF(SUM($D35:$DS35)=0,1,'Вводные'!$B$63)))*DO34+(1-(IF(SUM($D32:$DS32)=0,0,IF(SUM($D35:$DS35)=0,1,'Вводные'!$B$63))))*DO36)</x:f>
        <x:v>0</x:v>
      </x:c>
      <x:c r="DP40" s="107" t="n">
        <x:f>'Вводные'!$M$89*((IF(SUM($D32:$DS32)=0,0,IF(SUM($D35:$DS35)=0,1,'Вводные'!$B$63)))*DP34+(1-(IF(SUM($D32:$DS32)=0,0,IF(SUM($D35:$DS35)=0,1,'Вводные'!$B$63))))*DP36)</x:f>
        <x:v>0</x:v>
      </x:c>
      <x:c r="DQ40" s="107" t="n">
        <x:f>'Вводные'!$M$89*((IF(SUM($D32:$DS32)=0,0,IF(SUM($D35:$DS35)=0,1,'Вводные'!$B$63)))*DQ34+(1-(IF(SUM($D32:$DS32)=0,0,IF(SUM($D35:$DS35)=0,1,'Вводные'!$B$63))))*DQ36)</x:f>
        <x:v>0</x:v>
      </x:c>
      <x:c r="DR40" s="107" t="n">
        <x:f>'Вводные'!$M$89*((IF(SUM($D32:$DS32)=0,0,IF(SUM($D35:$DS35)=0,1,'Вводные'!$B$63)))*DR34+(1-(IF(SUM($D32:$DS32)=0,0,IF(SUM($D35:$DS35)=0,1,'Вводные'!$B$63))))*DR36)</x:f>
        <x:v>0</x:v>
      </x:c>
      <x:c r="DS40" s="107" t="n">
        <x:f>'Вводные'!$M$89*((IF(SUM($D32:$DS32)=0,0,IF(SUM($D35:$DS35)=0,1,'Вводные'!$B$63)))*DS34+(1-(IF(SUM($D32:$DS32)=0,0,IF(SUM($D35:$DS35)=0,1,'Вводные'!$B$63))))*DS36)</x:f>
        <x:v>0</x:v>
      </x:c>
    </x:row>
    <x:row r="41">
      <x:c r="A41" t="str">
        <x:v>Коммерция — цена</x:v>
      </x:c>
      <x:c r="B41" t="n">
        <x:f>IFERROR(B42*1000/B40,0)</x:f>
        <x:v>0</x:v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2">
      <x:c r="A42" t="str">
        <x:v>Коммерция — выручка</x:v>
      </x:c>
      <x:c r="B42" t="n">
        <x:f>SUM(D42:DS42)</x:f>
        <x:v>0</x:v>
      </x:c>
      <x:c r="C42" t="str">
        <x:v>млн ₽</x:v>
      </x:c>
      <x:c r="D42" s="107" t="n">
        <x:f>D40*D41/1000</x:f>
        <x:v>0</x:v>
      </x:c>
      <x:c r="E42" s="107" t="n">
        <x:f>E40*E41/1000</x:f>
        <x:v>0</x:v>
      </x:c>
      <x:c r="F42" s="107" t="n">
        <x:f>F40*F41/1000</x:f>
        <x:v>0</x:v>
      </x:c>
      <x:c r="G42" s="107" t="n">
        <x:f>G40*G41/1000</x:f>
        <x:v>0</x:v>
      </x:c>
      <x:c r="H42" s="107" t="n">
        <x:f>H40*H41/1000</x:f>
        <x:v>0</x:v>
      </x:c>
      <x:c r="I42" s="107" t="n">
        <x:f>I40*I41/1000</x:f>
        <x:v>0</x:v>
      </x:c>
      <x:c r="J42" s="107" t="n">
        <x:f>J40*J41/1000</x:f>
        <x:v>0</x:v>
      </x:c>
      <x:c r="K42" s="107" t="n">
        <x:f>K40*K41/1000</x:f>
        <x:v>0</x:v>
      </x:c>
      <x:c r="L42" s="107" t="n">
        <x:f>L40*L41/1000</x:f>
        <x:v>0</x:v>
      </x:c>
      <x:c r="M42" s="107" t="n">
        <x:f>M40*M41/1000</x:f>
        <x:v>0</x:v>
      </x:c>
      <x:c r="N42" s="107" t="n">
        <x:f>N40*N41/1000</x:f>
        <x:v>0</x:v>
      </x:c>
      <x:c r="O42" s="107" t="n">
        <x:f>O40*O41/1000</x:f>
        <x:v>0</x:v>
      </x:c>
      <x:c r="P42" s="107" t="n">
        <x:f>P40*P41/1000</x:f>
        <x:v>0</x:v>
      </x:c>
      <x:c r="Q42" s="107" t="n">
        <x:f>Q40*Q41/1000</x:f>
        <x:v>0</x:v>
      </x:c>
      <x:c r="R42" s="107" t="n">
        <x:f>R40*R41/1000</x:f>
        <x:v>0</x:v>
      </x:c>
      <x:c r="S42" s="107" t="n">
        <x:f>S40*S41/1000</x:f>
        <x:v>0</x:v>
      </x:c>
      <x:c r="T42" s="107" t="n">
        <x:f>T40*T41/1000</x:f>
        <x:v>0</x:v>
      </x:c>
      <x:c r="U42" s="107" t="n">
        <x:f>U40*U41/1000</x:f>
        <x:v>0</x:v>
      </x:c>
      <x:c r="V42" s="107" t="n">
        <x:f>V40*V41/1000</x:f>
        <x:v>0</x:v>
      </x:c>
      <x:c r="W42" s="107" t="n">
        <x:f>W40*W41/1000</x:f>
        <x:v>0</x:v>
      </x:c>
      <x:c r="X42" s="107" t="n">
        <x:f>X40*X41/1000</x:f>
        <x:v>0</x:v>
      </x:c>
      <x:c r="Y42" s="107" t="n">
        <x:f>Y40*Y41/1000</x:f>
        <x:v>0</x:v>
      </x:c>
      <x:c r="Z42" s="107" t="n">
        <x:f>Z40*Z41/1000</x:f>
        <x:v>0</x:v>
      </x:c>
      <x:c r="AA42" s="107" t="n">
        <x:f>AA40*AA41/1000</x:f>
        <x:v>0</x:v>
      </x:c>
      <x:c r="AB42" s="107" t="n">
        <x:f>AB40*AB41/1000</x:f>
        <x:v>0</x:v>
      </x:c>
      <x:c r="AC42" s="107" t="n">
        <x:f>AC40*AC41/1000</x:f>
        <x:v>0</x:v>
      </x:c>
      <x:c r="AD42" s="107" t="n">
        <x:f>AD40*AD41/1000</x:f>
        <x:v>0</x:v>
      </x:c>
      <x:c r="AE42" s="107" t="n">
        <x:f>AE40*AE41/1000</x:f>
        <x:v>0</x:v>
      </x:c>
      <x:c r="AF42" s="107" t="n">
        <x:f>AF40*AF41/1000</x:f>
        <x:v>0</x:v>
      </x:c>
      <x:c r="AG42" s="107" t="n">
        <x:f>AG40*AG41/1000</x:f>
        <x:v>0</x:v>
      </x:c>
      <x:c r="AH42" s="107" t="n">
        <x:f>AH40*AH41/1000</x:f>
        <x:v>0</x:v>
      </x:c>
      <x:c r="AI42" s="107" t="n">
        <x:f>AI40*AI41/1000</x:f>
        <x:v>0</x:v>
      </x:c>
      <x:c r="AJ42" s="107" t="n">
        <x:f>AJ40*AJ41/1000</x:f>
        <x:v>0</x:v>
      </x:c>
      <x:c r="AK42" s="107" t="n">
        <x:f>AK40*AK41/1000</x:f>
        <x:v>0</x:v>
      </x:c>
      <x:c r="AL42" s="107" t="n">
        <x:f>AL40*AL41/1000</x:f>
        <x:v>0</x:v>
      </x:c>
      <x:c r="AM42" s="107" t="n">
        <x:f>AM40*AM41/1000</x:f>
        <x:v>0</x:v>
      </x:c>
      <x:c r="AN42" s="107" t="n">
        <x:f>AN40*AN41/1000</x:f>
        <x:v>0</x:v>
      </x:c>
      <x:c r="AO42" s="107" t="n">
        <x:f>AO40*AO41/1000</x:f>
        <x:v>0</x:v>
      </x:c>
      <x:c r="AP42" s="107" t="n">
        <x:f>AP40*AP41/1000</x:f>
        <x:v>0</x:v>
      </x:c>
      <x:c r="AQ42" s="107" t="n">
        <x:f>AQ40*AQ41/1000</x:f>
        <x:v>0</x:v>
      </x:c>
      <x:c r="AR42" s="107" t="n">
        <x:f>AR40*AR41/1000</x:f>
        <x:v>0</x:v>
      </x:c>
      <x:c r="AS42" s="107" t="n">
        <x:f>AS40*AS41/1000</x:f>
        <x:v>0</x:v>
      </x:c>
      <x:c r="AT42" s="107" t="n">
        <x:f>AT40*AT41/1000</x:f>
        <x:v>0</x:v>
      </x:c>
      <x:c r="AU42" s="107" t="n">
        <x:f>AU40*AU41/1000</x:f>
        <x:v>0</x:v>
      </x:c>
      <x:c r="AV42" s="107" t="n">
        <x:f>AV40*AV41/1000</x:f>
        <x:v>0</x:v>
      </x:c>
      <x:c r="AW42" s="107" t="n">
        <x:f>AW40*AW41/1000</x:f>
        <x:v>0</x:v>
      </x:c>
      <x:c r="AX42" s="107" t="n">
        <x:f>AX40*AX41/1000</x:f>
        <x:v>0</x:v>
      </x:c>
      <x:c r="AY42" s="107" t="n">
        <x:f>AY40*AY41/1000</x:f>
        <x:v>0</x:v>
      </x:c>
      <x:c r="AZ42" s="107" t="n">
        <x:f>AZ40*AZ41/1000</x:f>
        <x:v>0</x:v>
      </x:c>
      <x:c r="BA42" s="107" t="n">
        <x:f>BA40*BA41/1000</x:f>
        <x:v>0</x:v>
      </x:c>
      <x:c r="BB42" s="107" t="n">
        <x:f>BB40*BB41/1000</x:f>
        <x:v>0</x:v>
      </x:c>
      <x:c r="BC42" s="107" t="n">
        <x:f>BC40*BC41/1000</x:f>
        <x:v>0</x:v>
      </x:c>
      <x:c r="BD42" s="107" t="n">
        <x:f>BD40*BD41/1000</x:f>
        <x:v>0</x:v>
      </x:c>
      <x:c r="BE42" s="107" t="n">
        <x:f>BE40*BE41/1000</x:f>
        <x:v>0</x:v>
      </x:c>
      <x:c r="BF42" s="107" t="n">
        <x:f>BF40*BF41/1000</x:f>
        <x:v>0</x:v>
      </x:c>
      <x:c r="BG42" s="107" t="n">
        <x:f>BG40*BG41/1000</x:f>
        <x:v>0</x:v>
      </x:c>
      <x:c r="BH42" s="107" t="n">
        <x:f>BH40*BH41/1000</x:f>
        <x:v>0</x:v>
      </x:c>
      <x:c r="BI42" s="107" t="n">
        <x:f>BI40*BI41/1000</x:f>
        <x:v>0</x:v>
      </x:c>
      <x:c r="BJ42" s="107" t="n">
        <x:f>BJ40*BJ41/1000</x:f>
        <x:v>0</x:v>
      </x:c>
      <x:c r="BK42" s="107" t="n">
        <x:f>BK40*BK41/1000</x:f>
        <x:v>0</x:v>
      </x:c>
      <x:c r="BL42" s="107" t="n">
        <x:f>BL40*BL41/1000</x:f>
        <x:v>0</x:v>
      </x:c>
      <x:c r="BM42" s="107" t="n">
        <x:f>BM40*BM41/1000</x:f>
        <x:v>0</x:v>
      </x:c>
      <x:c r="BN42" s="107" t="n">
        <x:f>BN40*BN41/1000</x:f>
        <x:v>0</x:v>
      </x:c>
      <x:c r="BO42" s="107" t="n">
        <x:f>BO40*BO41/1000</x:f>
        <x:v>0</x:v>
      </x:c>
      <x:c r="BP42" s="107" t="n">
        <x:f>BP40*BP41/1000</x:f>
        <x:v>0</x:v>
      </x:c>
      <x:c r="BQ42" s="107" t="n">
        <x:f>BQ40*BQ41/1000</x:f>
        <x:v>0</x:v>
      </x:c>
      <x:c r="BR42" s="107" t="n">
        <x:f>BR40*BR41/1000</x:f>
        <x:v>0</x:v>
      </x:c>
      <x:c r="BS42" s="107" t="n">
        <x:f>BS40*BS41/1000</x:f>
        <x:v>0</x:v>
      </x:c>
      <x:c r="BT42" s="107" t="n">
        <x:f>BT40*BT41/1000</x:f>
        <x:v>0</x:v>
      </x:c>
      <x:c r="BU42" s="107" t="n">
        <x:f>BU40*BU41/1000</x:f>
        <x:v>0</x:v>
      </x:c>
      <x:c r="BV42" s="107" t="n">
        <x:f>BV40*BV41/1000</x:f>
        <x:v>0</x:v>
      </x:c>
      <x:c r="BW42" s="107" t="n">
        <x:f>BW40*BW41/1000</x:f>
        <x:v>0</x:v>
      </x:c>
      <x:c r="BX42" s="107" t="n">
        <x:f>BX40*BX41/1000</x:f>
        <x:v>0</x:v>
      </x:c>
      <x:c r="BY42" s="107" t="n">
        <x:f>BY40*BY41/1000</x:f>
        <x:v>0</x:v>
      </x:c>
      <x:c r="BZ42" s="107" t="n">
        <x:f>BZ40*BZ41/1000</x:f>
        <x:v>0</x:v>
      </x:c>
      <x:c r="CA42" s="107" t="n">
        <x:f>CA40*CA41/1000</x:f>
        <x:v>0</x:v>
      </x:c>
      <x:c r="CB42" s="107" t="n">
        <x:f>CB40*CB41/1000</x:f>
        <x:v>0</x:v>
      </x:c>
      <x:c r="CC42" s="107" t="n">
        <x:f>CC40*CC41/1000</x:f>
        <x:v>0</x:v>
      </x:c>
      <x:c r="CD42" s="107" t="n">
        <x:f>CD40*CD41/1000</x:f>
        <x:v>0</x:v>
      </x:c>
      <x:c r="CE42" s="107" t="n">
        <x:f>CE40*CE41/1000</x:f>
        <x:v>0</x:v>
      </x:c>
      <x:c r="CF42" s="107" t="n">
        <x:f>CF40*CF41/1000</x:f>
        <x:v>0</x:v>
      </x:c>
      <x:c r="CG42" s="107" t="n">
        <x:f>CG40*CG41/1000</x:f>
        <x:v>0</x:v>
      </x:c>
      <x:c r="CH42" s="107" t="n">
        <x:f>CH40*CH41/1000</x:f>
        <x:v>0</x:v>
      </x:c>
      <x:c r="CI42" s="107" t="n">
        <x:f>CI40*CI41/1000</x:f>
        <x:v>0</x:v>
      </x:c>
      <x:c r="CJ42" s="107" t="n">
        <x:f>CJ40*CJ41/1000</x:f>
        <x:v>0</x:v>
      </x:c>
      <x:c r="CK42" s="107" t="n">
        <x:f>CK40*CK41/1000</x:f>
        <x:v>0</x:v>
      </x:c>
      <x:c r="CL42" s="107" t="n">
        <x:f>CL40*CL41/1000</x:f>
        <x:v>0</x:v>
      </x:c>
      <x:c r="CM42" s="107" t="n">
        <x:f>CM40*CM41/1000</x:f>
        <x:v>0</x:v>
      </x:c>
      <x:c r="CN42" s="107" t="n">
        <x:f>CN40*CN41/1000</x:f>
        <x:v>0</x:v>
      </x:c>
      <x:c r="CO42" s="107" t="n">
        <x:f>CO40*CO41/1000</x:f>
        <x:v>0</x:v>
      </x:c>
      <x:c r="CP42" s="107" t="n">
        <x:f>CP40*CP41/1000</x:f>
        <x:v>0</x:v>
      </x:c>
      <x:c r="CQ42" s="107" t="n">
        <x:f>CQ40*CQ41/1000</x:f>
        <x:v>0</x:v>
      </x:c>
      <x:c r="CR42" s="107" t="n">
        <x:f>CR40*CR41/1000</x:f>
        <x:v>0</x:v>
      </x:c>
      <x:c r="CS42" s="107" t="n">
        <x:f>CS40*CS41/1000</x:f>
        <x:v>0</x:v>
      </x:c>
      <x:c r="CT42" s="107" t="n">
        <x:f>CT40*CT41/1000</x:f>
        <x:v>0</x:v>
      </x:c>
      <x:c r="CU42" s="107" t="n">
        <x:f>CU40*CU41/1000</x:f>
        <x:v>0</x:v>
      </x:c>
      <x:c r="CV42" s="107" t="n">
        <x:f>CV40*CV41/1000</x:f>
        <x:v>0</x:v>
      </x:c>
      <x:c r="CW42" s="107" t="n">
        <x:f>CW40*CW41/1000</x:f>
        <x:v>0</x:v>
      </x:c>
      <x:c r="CX42" s="107" t="n">
        <x:f>CX40*CX41/1000</x:f>
        <x:v>0</x:v>
      </x:c>
      <x:c r="CY42" s="107" t="n">
        <x:f>CY40*CY41/1000</x:f>
        <x:v>0</x:v>
      </x:c>
      <x:c r="CZ42" s="107" t="n">
        <x:f>CZ40*CZ41/1000</x:f>
        <x:v>0</x:v>
      </x:c>
      <x:c r="DA42" s="107" t="n">
        <x:f>DA40*DA41/1000</x:f>
        <x:v>0</x:v>
      </x:c>
      <x:c r="DB42" s="107" t="n">
        <x:f>DB40*DB41/1000</x:f>
        <x:v>0</x:v>
      </x:c>
      <x:c r="DC42" s="107" t="n">
        <x:f>DC40*DC41/1000</x:f>
        <x:v>0</x:v>
      </x:c>
      <x:c r="DD42" s="107" t="n">
        <x:f>DD40*DD41/1000</x:f>
        <x:v>0</x:v>
      </x:c>
      <x:c r="DE42" s="107" t="n">
        <x:f>DE40*DE41/1000</x:f>
        <x:v>0</x:v>
      </x:c>
      <x:c r="DF42" s="107" t="n">
        <x:f>DF40*DF41/1000</x:f>
        <x:v>0</x:v>
      </x:c>
      <x:c r="DG42" s="107" t="n">
        <x:f>DG40*DG41/1000</x:f>
        <x:v>0</x:v>
      </x:c>
      <x:c r="DH42" s="107" t="n">
        <x:f>DH40*DH41/1000</x:f>
        <x:v>0</x:v>
      </x:c>
      <x:c r="DI42" s="107" t="n">
        <x:f>DI40*DI41/1000</x:f>
        <x:v>0</x:v>
      </x:c>
      <x:c r="DJ42" s="107" t="n">
        <x:f>DJ40*DJ41/1000</x:f>
        <x:v>0</x:v>
      </x:c>
      <x:c r="DK42" s="107" t="n">
        <x:f>DK40*DK41/1000</x:f>
        <x:v>0</x:v>
      </x:c>
      <x:c r="DL42" s="107" t="n">
        <x:f>DL40*DL41/1000</x:f>
        <x:v>0</x:v>
      </x:c>
      <x:c r="DM42" s="107" t="n">
        <x:f>DM40*DM41/1000</x:f>
        <x:v>0</x:v>
      </x:c>
      <x:c r="DN42" s="107" t="n">
        <x:f>DN40*DN41/1000</x:f>
        <x:v>0</x:v>
      </x:c>
      <x:c r="DO42" s="107" t="n">
        <x:f>DO40*DO41/1000</x:f>
        <x:v>0</x:v>
      </x:c>
      <x:c r="DP42" s="107" t="n">
        <x:f>DP40*DP41/1000</x:f>
        <x:v>0</x:v>
      </x:c>
      <x:c r="DQ42" s="107" t="n">
        <x:f>DQ40*DQ41/1000</x:f>
        <x:v>0</x:v>
      </x:c>
      <x:c r="DR42" s="107" t="n">
        <x:f>DR40*DR41/1000</x:f>
        <x:v>0</x:v>
      </x:c>
      <x:c r="DS42" s="107" t="n">
        <x:f>DS40*DS41/1000</x:f>
        <x:v>0</x:v>
      </x:c>
    </x:row>
    <x:row r="43">
      <x:c r="A43" t="str">
        <x:v>Паркинг — объём</x:v>
      </x:c>
      <x:c r="B43" t="n">
        <x:f>SUM(D43:DS43)</x:f>
        <x:v>0</x:v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  <x:v>0</x:v>
      </x:c>
      <x:c r="E43" s="107" t="n">
        <x:f>'Вводные'!$N$89*((IF(SUM($D32:$DS32)=0,0,IF(SUM($D35:$DS35)=0,1,'Вводные'!$B$63)))*E34+(1-(IF(SUM($D32:$DS32)=0,0,IF(SUM($D35:$DS35)=0,1,'Вводные'!$B$63))))*E36)</x:f>
        <x:v>0</x:v>
      </x:c>
      <x:c r="F43" s="107" t="n">
        <x:f>'Вводные'!$N$89*((IF(SUM($D32:$DS32)=0,0,IF(SUM($D35:$DS35)=0,1,'Вводные'!$B$63)))*F34+(1-(IF(SUM($D32:$DS32)=0,0,IF(SUM($D35:$DS35)=0,1,'Вводные'!$B$63))))*F36)</x:f>
        <x:v>0</x:v>
      </x:c>
      <x:c r="G43" s="107" t="n">
        <x:f>'Вводные'!$N$89*((IF(SUM($D32:$DS32)=0,0,IF(SUM($D35:$DS35)=0,1,'Вводные'!$B$63)))*G34+(1-(IF(SUM($D32:$DS32)=0,0,IF(SUM($D35:$DS35)=0,1,'Вводные'!$B$63))))*G36)</x:f>
        <x:v>0</x:v>
      </x:c>
      <x:c r="H43" s="107" t="n">
        <x:f>'Вводные'!$N$89*((IF(SUM($D32:$DS32)=0,0,IF(SUM($D35:$DS35)=0,1,'Вводные'!$B$63)))*H34+(1-(IF(SUM($D32:$DS32)=0,0,IF(SUM($D35:$DS35)=0,1,'Вводные'!$B$63))))*H36)</x:f>
        <x:v>0</x:v>
      </x:c>
      <x:c r="I43" s="107" t="n">
        <x:f>'Вводные'!$N$89*((IF(SUM($D32:$DS32)=0,0,IF(SUM($D35:$DS35)=0,1,'Вводные'!$B$63)))*I34+(1-(IF(SUM($D32:$DS32)=0,0,IF(SUM($D35:$DS35)=0,1,'Вводные'!$B$63))))*I36)</x:f>
        <x:v>0</x:v>
      </x:c>
      <x:c r="J43" s="107" t="n">
        <x:f>'Вводные'!$N$89*((IF(SUM($D32:$DS32)=0,0,IF(SUM($D35:$DS35)=0,1,'Вводные'!$B$63)))*J34+(1-(IF(SUM($D32:$DS32)=0,0,IF(SUM($D35:$DS35)=0,1,'Вводные'!$B$63))))*J36)</x:f>
        <x:v>0</x:v>
      </x:c>
      <x:c r="K43" s="107" t="n">
        <x:f>'Вводные'!$N$89*((IF(SUM($D32:$DS32)=0,0,IF(SUM($D35:$DS35)=0,1,'Вводные'!$B$63)))*K34+(1-(IF(SUM($D32:$DS32)=0,0,IF(SUM($D35:$DS35)=0,1,'Вводные'!$B$63))))*K36)</x:f>
        <x:v>0</x:v>
      </x:c>
      <x:c r="L43" s="107" t="n">
        <x:f>'Вводные'!$N$89*((IF(SUM($D32:$DS32)=0,0,IF(SUM($D35:$DS35)=0,1,'Вводные'!$B$63)))*L34+(1-(IF(SUM($D32:$DS32)=0,0,IF(SUM($D35:$DS35)=0,1,'Вводные'!$B$63))))*L36)</x:f>
        <x:v>0</x:v>
      </x:c>
      <x:c r="M43" s="107" t="n">
        <x:f>'Вводные'!$N$89*((IF(SUM($D32:$DS32)=0,0,IF(SUM($D35:$DS35)=0,1,'Вводные'!$B$63)))*M34+(1-(IF(SUM($D32:$DS32)=0,0,IF(SUM($D35:$DS35)=0,1,'Вводные'!$B$63))))*M36)</x:f>
        <x:v>0</x:v>
      </x:c>
      <x:c r="N43" s="107" t="n">
        <x:f>'Вводные'!$N$89*((IF(SUM($D32:$DS32)=0,0,IF(SUM($D35:$DS35)=0,1,'Вводные'!$B$63)))*N34+(1-(IF(SUM($D32:$DS32)=0,0,IF(SUM($D35:$DS35)=0,1,'Вводные'!$B$63))))*N36)</x:f>
        <x:v>0</x:v>
      </x:c>
      <x:c r="O43" s="107" t="n">
        <x:f>'Вводные'!$N$89*((IF(SUM($D32:$DS32)=0,0,IF(SUM($D35:$DS35)=0,1,'Вводные'!$B$63)))*O34+(1-(IF(SUM($D32:$DS32)=0,0,IF(SUM($D35:$DS35)=0,1,'Вводные'!$B$63))))*O36)</x:f>
        <x:v>0</x:v>
      </x:c>
      <x:c r="P43" s="107" t="n">
        <x:f>'Вводные'!$N$89*((IF(SUM($D32:$DS32)=0,0,IF(SUM($D35:$DS35)=0,1,'Вводные'!$B$63)))*P34+(1-(IF(SUM($D32:$DS32)=0,0,IF(SUM($D35:$DS35)=0,1,'Вводные'!$B$63))))*P36)</x:f>
        <x:v>0</x:v>
      </x:c>
      <x:c r="Q43" s="107" t="n">
        <x:f>'Вводные'!$N$89*((IF(SUM($D32:$DS32)=0,0,IF(SUM($D35:$DS35)=0,1,'Вводные'!$B$63)))*Q34+(1-(IF(SUM($D32:$DS32)=0,0,IF(SUM($D35:$DS35)=0,1,'Вводные'!$B$63))))*Q36)</x:f>
        <x:v>0</x:v>
      </x:c>
      <x:c r="R43" s="107" t="n">
        <x:f>'Вводные'!$N$89*((IF(SUM($D32:$DS32)=0,0,IF(SUM($D35:$DS35)=0,1,'Вводные'!$B$63)))*R34+(1-(IF(SUM($D32:$DS32)=0,0,IF(SUM($D35:$DS35)=0,1,'Вводные'!$B$63))))*R36)</x:f>
        <x:v>0</x:v>
      </x:c>
      <x:c r="S43" s="107" t="n">
        <x:f>'Вводные'!$N$89*((IF(SUM($D32:$DS32)=0,0,IF(SUM($D35:$DS35)=0,1,'Вводные'!$B$63)))*S34+(1-(IF(SUM($D32:$DS32)=0,0,IF(SUM($D35:$DS35)=0,1,'Вводные'!$B$63))))*S36)</x:f>
        <x:v>0</x:v>
      </x:c>
      <x:c r="T43" s="107" t="n">
        <x:f>'Вводные'!$N$89*((IF(SUM($D32:$DS32)=0,0,IF(SUM($D35:$DS35)=0,1,'Вводные'!$B$63)))*T34+(1-(IF(SUM($D32:$DS32)=0,0,IF(SUM($D35:$DS35)=0,1,'Вводные'!$B$63))))*T36)</x:f>
        <x:v>0</x:v>
      </x:c>
      <x:c r="U43" s="107" t="n">
        <x:f>'Вводные'!$N$89*((IF(SUM($D32:$DS32)=0,0,IF(SUM($D35:$DS35)=0,1,'Вводные'!$B$63)))*U34+(1-(IF(SUM($D32:$DS32)=0,0,IF(SUM($D35:$DS35)=0,1,'Вводные'!$B$63))))*U36)</x:f>
        <x:v>0</x:v>
      </x:c>
      <x:c r="V43" s="107" t="n">
        <x:f>'Вводные'!$N$89*((IF(SUM($D32:$DS32)=0,0,IF(SUM($D35:$DS35)=0,1,'Вводные'!$B$63)))*V34+(1-(IF(SUM($D32:$DS32)=0,0,IF(SUM($D35:$DS35)=0,1,'Вводные'!$B$63))))*V36)</x:f>
        <x:v>0</x:v>
      </x:c>
      <x:c r="W43" s="107" t="n">
        <x:f>'Вводные'!$N$89*((IF(SUM($D32:$DS32)=0,0,IF(SUM($D35:$DS35)=0,1,'Вводные'!$B$63)))*W34+(1-(IF(SUM($D32:$DS32)=0,0,IF(SUM($D35:$DS35)=0,1,'Вводные'!$B$63))))*W36)</x:f>
        <x:v>0</x:v>
      </x:c>
      <x:c r="X43" s="107" t="n">
        <x:f>'Вводные'!$N$89*((IF(SUM($D32:$DS32)=0,0,IF(SUM($D35:$DS35)=0,1,'Вводные'!$B$63)))*X34+(1-(IF(SUM($D32:$DS32)=0,0,IF(SUM($D35:$DS35)=0,1,'Вводные'!$B$63))))*X36)</x:f>
        <x:v>0</x:v>
      </x:c>
      <x:c r="Y43" s="107" t="n">
        <x:f>'Вводные'!$N$89*((IF(SUM($D32:$DS32)=0,0,IF(SUM($D35:$DS35)=0,1,'Вводные'!$B$63)))*Y34+(1-(IF(SUM($D32:$DS32)=0,0,IF(SUM($D35:$DS35)=0,1,'Вводные'!$B$63))))*Y36)</x:f>
        <x:v>0</x:v>
      </x:c>
      <x:c r="Z43" s="107" t="n">
        <x:f>'Вводные'!$N$89*((IF(SUM($D32:$DS32)=0,0,IF(SUM($D35:$DS35)=0,1,'Вводные'!$B$63)))*Z34+(1-(IF(SUM($D32:$DS32)=0,0,IF(SUM($D35:$DS35)=0,1,'Вводные'!$B$63))))*Z36)</x:f>
        <x:v>0</x:v>
      </x:c>
      <x:c r="AA43" s="107" t="n">
        <x:f>'Вводные'!$N$89*((IF(SUM($D32:$DS32)=0,0,IF(SUM($D35:$DS35)=0,1,'Вводные'!$B$63)))*AA34+(1-(IF(SUM($D32:$DS32)=0,0,IF(SUM($D35:$DS35)=0,1,'Вводные'!$B$63))))*AA36)</x:f>
        <x:v>0</x:v>
      </x:c>
      <x:c r="AB43" s="107" t="n">
        <x:f>'Вводные'!$N$89*((IF(SUM($D32:$DS32)=0,0,IF(SUM($D35:$DS35)=0,1,'Вводные'!$B$63)))*AB34+(1-(IF(SUM($D32:$DS32)=0,0,IF(SUM($D35:$DS35)=0,1,'Вводные'!$B$63))))*AB36)</x:f>
        <x:v>0</x:v>
      </x:c>
      <x:c r="AC43" s="107" t="n">
        <x:f>'Вводные'!$N$89*((IF(SUM($D32:$DS32)=0,0,IF(SUM($D35:$DS35)=0,1,'Вводные'!$B$63)))*AC34+(1-(IF(SUM($D32:$DS32)=0,0,IF(SUM($D35:$DS35)=0,1,'Вводные'!$B$63))))*AC36)</x:f>
        <x:v>0</x:v>
      </x:c>
      <x:c r="AD43" s="107" t="n">
        <x:f>'Вводные'!$N$89*((IF(SUM($D32:$DS32)=0,0,IF(SUM($D35:$DS35)=0,1,'Вводные'!$B$63)))*AD34+(1-(IF(SUM($D32:$DS32)=0,0,IF(SUM($D35:$DS35)=0,1,'Вводные'!$B$63))))*AD36)</x:f>
        <x:v>0</x:v>
      </x:c>
      <x:c r="AE43" s="107" t="n">
        <x:f>'Вводные'!$N$89*((IF(SUM($D32:$DS32)=0,0,IF(SUM($D35:$DS35)=0,1,'Вводные'!$B$63)))*AE34+(1-(IF(SUM($D32:$DS32)=0,0,IF(SUM($D35:$DS35)=0,1,'Вводные'!$B$63))))*AE36)</x:f>
        <x:v>0</x:v>
      </x:c>
      <x:c r="AF43" s="107" t="n">
        <x:f>'Вводные'!$N$89*((IF(SUM($D32:$DS32)=0,0,IF(SUM($D35:$DS35)=0,1,'Вводные'!$B$63)))*AF34+(1-(IF(SUM($D32:$DS32)=0,0,IF(SUM($D35:$DS35)=0,1,'Вводные'!$B$63))))*AF36)</x:f>
        <x:v>0</x:v>
      </x:c>
      <x:c r="AG43" s="107" t="n">
        <x:f>'Вводные'!$N$89*((IF(SUM($D32:$DS32)=0,0,IF(SUM($D35:$DS35)=0,1,'Вводные'!$B$63)))*AG34+(1-(IF(SUM($D32:$DS32)=0,0,IF(SUM($D35:$DS35)=0,1,'Вводные'!$B$63))))*AG36)</x:f>
        <x:v>0</x:v>
      </x:c>
      <x:c r="AH43" s="107" t="n">
        <x:f>'Вводные'!$N$89*((IF(SUM($D32:$DS32)=0,0,IF(SUM($D35:$DS35)=0,1,'Вводные'!$B$63)))*AH34+(1-(IF(SUM($D32:$DS32)=0,0,IF(SUM($D35:$DS35)=0,1,'Вводные'!$B$63))))*AH36)</x:f>
        <x:v>0</x:v>
      </x:c>
      <x:c r="AI43" s="107" t="n">
        <x:f>'Вводные'!$N$89*((IF(SUM($D32:$DS32)=0,0,IF(SUM($D35:$DS35)=0,1,'Вводные'!$B$63)))*AI34+(1-(IF(SUM($D32:$DS32)=0,0,IF(SUM($D35:$DS35)=0,1,'Вводные'!$B$63))))*AI36)</x:f>
        <x:v>0</x:v>
      </x:c>
      <x:c r="AJ43" s="107" t="n">
        <x:f>'Вводные'!$N$89*((IF(SUM($D32:$DS32)=0,0,IF(SUM($D35:$DS35)=0,1,'Вводные'!$B$63)))*AJ34+(1-(IF(SUM($D32:$DS32)=0,0,IF(SUM($D35:$DS35)=0,1,'Вводные'!$B$63))))*AJ36)</x:f>
        <x:v>0</x:v>
      </x:c>
      <x:c r="AK43" s="107" t="n">
        <x:f>'Вводные'!$N$89*((IF(SUM($D32:$DS32)=0,0,IF(SUM($D35:$DS35)=0,1,'Вводные'!$B$63)))*AK34+(1-(IF(SUM($D32:$DS32)=0,0,IF(SUM($D35:$DS35)=0,1,'Вводные'!$B$63))))*AK36)</x:f>
        <x:v>0</x:v>
      </x:c>
      <x:c r="AL43" s="107" t="n">
        <x:f>'Вводные'!$N$89*((IF(SUM($D32:$DS32)=0,0,IF(SUM($D35:$DS35)=0,1,'Вводные'!$B$63)))*AL34+(1-(IF(SUM($D32:$DS32)=0,0,IF(SUM($D35:$DS35)=0,1,'Вводные'!$B$63))))*AL36)</x:f>
        <x:v>0</x:v>
      </x:c>
      <x:c r="AM43" s="107" t="n">
        <x:f>'Вводные'!$N$89*((IF(SUM($D32:$DS32)=0,0,IF(SUM($D35:$DS35)=0,1,'Вводные'!$B$63)))*AM34+(1-(IF(SUM($D32:$DS32)=0,0,IF(SUM($D35:$DS35)=0,1,'Вводные'!$B$63))))*AM36)</x:f>
        <x:v>0</x:v>
      </x:c>
      <x:c r="AN43" s="107" t="n">
        <x:f>'Вводные'!$N$89*((IF(SUM($D32:$DS32)=0,0,IF(SUM($D35:$DS35)=0,1,'Вводные'!$B$63)))*AN34+(1-(IF(SUM($D32:$DS32)=0,0,IF(SUM($D35:$DS35)=0,1,'Вводные'!$B$63))))*AN36)</x:f>
        <x:v>0</x:v>
      </x:c>
      <x:c r="AO43" s="107" t="n">
        <x:f>'Вводные'!$N$89*((IF(SUM($D32:$DS32)=0,0,IF(SUM($D35:$DS35)=0,1,'Вводные'!$B$63)))*AO34+(1-(IF(SUM($D32:$DS32)=0,0,IF(SUM($D35:$DS35)=0,1,'Вводные'!$B$63))))*AO36)</x:f>
        <x:v>0</x:v>
      </x:c>
      <x:c r="AP43" s="107" t="n">
        <x:f>'Вводные'!$N$89*((IF(SUM($D32:$DS32)=0,0,IF(SUM($D35:$DS35)=0,1,'Вводные'!$B$63)))*AP34+(1-(IF(SUM($D32:$DS32)=0,0,IF(SUM($D35:$DS35)=0,1,'Вводные'!$B$63))))*AP36)</x:f>
        <x:v>0</x:v>
      </x:c>
      <x:c r="AQ43" s="107" t="n">
        <x:f>'Вводные'!$N$89*((IF(SUM($D32:$DS32)=0,0,IF(SUM($D35:$DS35)=0,1,'Вводные'!$B$63)))*AQ34+(1-(IF(SUM($D32:$DS32)=0,0,IF(SUM($D35:$DS35)=0,1,'Вводные'!$B$63))))*AQ36)</x:f>
        <x:v>0</x:v>
      </x:c>
      <x:c r="AR43" s="107" t="n">
        <x:f>'Вводные'!$N$89*((IF(SUM($D32:$DS32)=0,0,IF(SUM($D35:$DS35)=0,1,'Вводные'!$B$63)))*AR34+(1-(IF(SUM($D32:$DS32)=0,0,IF(SUM($D35:$DS35)=0,1,'Вводные'!$B$63))))*AR36)</x:f>
        <x:v>0</x:v>
      </x:c>
      <x:c r="AS43" s="107" t="n">
        <x:f>'Вводные'!$N$89*((IF(SUM($D32:$DS32)=0,0,IF(SUM($D35:$DS35)=0,1,'Вводные'!$B$63)))*AS34+(1-(IF(SUM($D32:$DS32)=0,0,IF(SUM($D35:$DS35)=0,1,'Вводные'!$B$63))))*AS36)</x:f>
        <x:v>0</x:v>
      </x:c>
      <x:c r="AT43" s="107" t="n">
        <x:f>'Вводные'!$N$89*((IF(SUM($D32:$DS32)=0,0,IF(SUM($D35:$DS35)=0,1,'Вводные'!$B$63)))*AT34+(1-(IF(SUM($D32:$DS32)=0,0,IF(SUM($D35:$DS35)=0,1,'Вводные'!$B$63))))*AT36)</x:f>
        <x:v>0</x:v>
      </x:c>
      <x:c r="AU43" s="107" t="n">
        <x:f>'Вводные'!$N$89*((IF(SUM($D32:$DS32)=0,0,IF(SUM($D35:$DS35)=0,1,'Вводные'!$B$63)))*AU34+(1-(IF(SUM($D32:$DS32)=0,0,IF(SUM($D35:$DS35)=0,1,'Вводные'!$B$63))))*AU36)</x:f>
        <x:v>0</x:v>
      </x:c>
      <x:c r="AV43" s="107" t="n">
        <x:f>'Вводные'!$N$89*((IF(SUM($D32:$DS32)=0,0,IF(SUM($D35:$DS35)=0,1,'Вводные'!$B$63)))*AV34+(1-(IF(SUM($D32:$DS32)=0,0,IF(SUM($D35:$DS35)=0,1,'Вводные'!$B$63))))*AV36)</x:f>
        <x:v>0</x:v>
      </x:c>
      <x:c r="AW43" s="107" t="n">
        <x:f>'Вводные'!$N$89*((IF(SUM($D32:$DS32)=0,0,IF(SUM($D35:$DS35)=0,1,'Вводные'!$B$63)))*AW34+(1-(IF(SUM($D32:$DS32)=0,0,IF(SUM($D35:$DS35)=0,1,'Вводные'!$B$63))))*AW36)</x:f>
        <x:v>0</x:v>
      </x:c>
      <x:c r="AX43" s="107" t="n">
        <x:f>'Вводные'!$N$89*((IF(SUM($D32:$DS32)=0,0,IF(SUM($D35:$DS35)=0,1,'Вводные'!$B$63)))*AX34+(1-(IF(SUM($D32:$DS32)=0,0,IF(SUM($D35:$DS35)=0,1,'Вводные'!$B$63))))*AX36)</x:f>
        <x:v>0</x:v>
      </x:c>
      <x:c r="AY43" s="107" t="n">
        <x:f>'Вводные'!$N$89*((IF(SUM($D32:$DS32)=0,0,IF(SUM($D35:$DS35)=0,1,'Вводные'!$B$63)))*AY34+(1-(IF(SUM($D32:$DS32)=0,0,IF(SUM($D35:$DS35)=0,1,'Вводные'!$B$63))))*AY36)</x:f>
        <x:v>0</x:v>
      </x:c>
      <x:c r="AZ43" s="107" t="n">
        <x:f>'Вводные'!$N$89*((IF(SUM($D32:$DS32)=0,0,IF(SUM($D35:$DS35)=0,1,'Вводные'!$B$63)))*AZ34+(1-(IF(SUM($D32:$DS32)=0,0,IF(SUM($D35:$DS35)=0,1,'Вводные'!$B$63))))*AZ36)</x:f>
        <x:v>0</x:v>
      </x:c>
      <x:c r="BA43" s="107" t="n">
        <x:f>'Вводные'!$N$89*((IF(SUM($D32:$DS32)=0,0,IF(SUM($D35:$DS35)=0,1,'Вводные'!$B$63)))*BA34+(1-(IF(SUM($D32:$DS32)=0,0,IF(SUM($D35:$DS35)=0,1,'Вводные'!$B$63))))*BA36)</x:f>
        <x:v>0</x:v>
      </x:c>
      <x:c r="BB43" s="107" t="n">
        <x:f>'Вводные'!$N$89*((IF(SUM($D32:$DS32)=0,0,IF(SUM($D35:$DS35)=0,1,'Вводные'!$B$63)))*BB34+(1-(IF(SUM($D32:$DS32)=0,0,IF(SUM($D35:$DS35)=0,1,'Вводные'!$B$63))))*BB36)</x:f>
        <x:v>0</x:v>
      </x:c>
      <x:c r="BC43" s="107" t="n">
        <x:f>'Вводные'!$N$89*((IF(SUM($D32:$DS32)=0,0,IF(SUM($D35:$DS35)=0,1,'Вводные'!$B$63)))*BC34+(1-(IF(SUM($D32:$DS32)=0,0,IF(SUM($D35:$DS35)=0,1,'Вводные'!$B$63))))*BC36)</x:f>
        <x:v>0</x:v>
      </x:c>
      <x:c r="BD43" s="107" t="n">
        <x:f>'Вводные'!$N$89*((IF(SUM($D32:$DS32)=0,0,IF(SUM($D35:$DS35)=0,1,'Вводные'!$B$63)))*BD34+(1-(IF(SUM($D32:$DS32)=0,0,IF(SUM($D35:$DS35)=0,1,'Вводные'!$B$63))))*BD36)</x:f>
        <x:v>0</x:v>
      </x:c>
      <x:c r="BE43" s="107" t="n">
        <x:f>'Вводные'!$N$89*((IF(SUM($D32:$DS32)=0,0,IF(SUM($D35:$DS35)=0,1,'Вводные'!$B$63)))*BE34+(1-(IF(SUM($D32:$DS32)=0,0,IF(SUM($D35:$DS35)=0,1,'Вводные'!$B$63))))*BE36)</x:f>
        <x:v>0</x:v>
      </x:c>
      <x:c r="BF43" s="107" t="n">
        <x:f>'Вводные'!$N$89*((IF(SUM($D32:$DS32)=0,0,IF(SUM($D35:$DS35)=0,1,'Вводные'!$B$63)))*BF34+(1-(IF(SUM($D32:$DS32)=0,0,IF(SUM($D35:$DS35)=0,1,'Вводные'!$B$63))))*BF36)</x:f>
        <x:v>0</x:v>
      </x:c>
      <x:c r="BG43" s="107" t="n">
        <x:f>'Вводные'!$N$89*((IF(SUM($D32:$DS32)=0,0,IF(SUM($D35:$DS35)=0,1,'Вводные'!$B$63)))*BG34+(1-(IF(SUM($D32:$DS32)=0,0,IF(SUM($D35:$DS35)=0,1,'Вводные'!$B$63))))*BG36)</x:f>
        <x:v>0</x:v>
      </x:c>
      <x:c r="BH43" s="107" t="n">
        <x:f>'Вводные'!$N$89*((IF(SUM($D32:$DS32)=0,0,IF(SUM($D35:$DS35)=0,1,'Вводные'!$B$63)))*BH34+(1-(IF(SUM($D32:$DS32)=0,0,IF(SUM($D35:$DS35)=0,1,'Вводные'!$B$63))))*BH36)</x:f>
        <x:v>0</x:v>
      </x:c>
      <x:c r="BI43" s="107" t="n">
        <x:f>'Вводные'!$N$89*((IF(SUM($D32:$DS32)=0,0,IF(SUM($D35:$DS35)=0,1,'Вводные'!$B$63)))*BI34+(1-(IF(SUM($D32:$DS32)=0,0,IF(SUM($D35:$DS35)=0,1,'Вводные'!$B$63))))*BI36)</x:f>
        <x:v>0</x:v>
      </x:c>
      <x:c r="BJ43" s="107" t="n">
        <x:f>'Вводные'!$N$89*((IF(SUM($D32:$DS32)=0,0,IF(SUM($D35:$DS35)=0,1,'Вводные'!$B$63)))*BJ34+(1-(IF(SUM($D32:$DS32)=0,0,IF(SUM($D35:$DS35)=0,1,'Вводные'!$B$63))))*BJ36)</x:f>
        <x:v>0</x:v>
      </x:c>
      <x:c r="BK43" s="107" t="n">
        <x:f>'Вводные'!$N$89*((IF(SUM($D32:$DS32)=0,0,IF(SUM($D35:$DS35)=0,1,'Вводные'!$B$63)))*BK34+(1-(IF(SUM($D32:$DS32)=0,0,IF(SUM($D35:$DS35)=0,1,'Вводные'!$B$63))))*BK36)</x:f>
        <x:v>0</x:v>
      </x:c>
      <x:c r="BL43" s="107" t="n">
        <x:f>'Вводные'!$N$89*((IF(SUM($D32:$DS32)=0,0,IF(SUM($D35:$DS35)=0,1,'Вводные'!$B$63)))*BL34+(1-(IF(SUM($D32:$DS32)=0,0,IF(SUM($D35:$DS35)=0,1,'Вводные'!$B$63))))*BL36)</x:f>
        <x:v>0</x:v>
      </x:c>
      <x:c r="BM43" s="107" t="n">
        <x:f>'Вводные'!$N$89*((IF(SUM($D32:$DS32)=0,0,IF(SUM($D35:$DS35)=0,1,'Вводные'!$B$63)))*BM34+(1-(IF(SUM($D32:$DS32)=0,0,IF(SUM($D35:$DS35)=0,1,'Вводные'!$B$63))))*BM36)</x:f>
        <x:v>0</x:v>
      </x:c>
      <x:c r="BN43" s="107" t="n">
        <x:f>'Вводные'!$N$89*((IF(SUM($D32:$DS32)=0,0,IF(SUM($D35:$DS35)=0,1,'Вводные'!$B$63)))*BN34+(1-(IF(SUM($D32:$DS32)=0,0,IF(SUM($D35:$DS35)=0,1,'Вводные'!$B$63))))*BN36)</x:f>
        <x:v>0</x:v>
      </x:c>
      <x:c r="BO43" s="107" t="n">
        <x:f>'Вводные'!$N$89*((IF(SUM($D32:$DS32)=0,0,IF(SUM($D35:$DS35)=0,1,'Вводные'!$B$63)))*BO34+(1-(IF(SUM($D32:$DS32)=0,0,IF(SUM($D35:$DS35)=0,1,'Вводные'!$B$63))))*BO36)</x:f>
        <x:v>0</x:v>
      </x:c>
      <x:c r="BP43" s="107" t="n">
        <x:f>'Вводные'!$N$89*((IF(SUM($D32:$DS32)=0,0,IF(SUM($D35:$DS35)=0,1,'Вводные'!$B$63)))*BP34+(1-(IF(SUM($D32:$DS32)=0,0,IF(SUM($D35:$DS35)=0,1,'Вводные'!$B$63))))*BP36)</x:f>
        <x:v>0</x:v>
      </x:c>
      <x:c r="BQ43" s="107" t="n">
        <x:f>'Вводные'!$N$89*((IF(SUM($D32:$DS32)=0,0,IF(SUM($D35:$DS35)=0,1,'Вводные'!$B$63)))*BQ34+(1-(IF(SUM($D32:$DS32)=0,0,IF(SUM($D35:$DS35)=0,1,'Вводные'!$B$63))))*BQ36)</x:f>
        <x:v>0</x:v>
      </x:c>
      <x:c r="BR43" s="107" t="n">
        <x:f>'Вводные'!$N$89*((IF(SUM($D32:$DS32)=0,0,IF(SUM($D35:$DS35)=0,1,'Вводные'!$B$63)))*BR34+(1-(IF(SUM($D32:$DS32)=0,0,IF(SUM($D35:$DS35)=0,1,'Вводные'!$B$63))))*BR36)</x:f>
        <x:v>0</x:v>
      </x:c>
      <x:c r="BS43" s="107" t="n">
        <x:f>'Вводные'!$N$89*((IF(SUM($D32:$DS32)=0,0,IF(SUM($D35:$DS35)=0,1,'Вводные'!$B$63)))*BS34+(1-(IF(SUM($D32:$DS32)=0,0,IF(SUM($D35:$DS35)=0,1,'Вводные'!$B$63))))*BS36)</x:f>
        <x:v>0</x:v>
      </x:c>
      <x:c r="BT43" s="107" t="n">
        <x:f>'Вводные'!$N$89*((IF(SUM($D32:$DS32)=0,0,IF(SUM($D35:$DS35)=0,1,'Вводные'!$B$63)))*BT34+(1-(IF(SUM($D32:$DS32)=0,0,IF(SUM($D35:$DS35)=0,1,'Вводные'!$B$63))))*BT36)</x:f>
        <x:v>0</x:v>
      </x:c>
      <x:c r="BU43" s="107" t="n">
        <x:f>'Вводные'!$N$89*((IF(SUM($D32:$DS32)=0,0,IF(SUM($D35:$DS35)=0,1,'Вводные'!$B$63)))*BU34+(1-(IF(SUM($D32:$DS32)=0,0,IF(SUM($D35:$DS35)=0,1,'Вводные'!$B$63))))*BU36)</x:f>
        <x:v>0</x:v>
      </x:c>
      <x:c r="BV43" s="107" t="n">
        <x:f>'Вводные'!$N$89*((IF(SUM($D32:$DS32)=0,0,IF(SUM($D35:$DS35)=0,1,'Вводные'!$B$63)))*BV34+(1-(IF(SUM($D32:$DS32)=0,0,IF(SUM($D35:$DS35)=0,1,'Вводные'!$B$63))))*BV36)</x:f>
        <x:v>0</x:v>
      </x:c>
      <x:c r="BW43" s="107" t="n">
        <x:f>'Вводные'!$N$89*((IF(SUM($D32:$DS32)=0,0,IF(SUM($D35:$DS35)=0,1,'Вводные'!$B$63)))*BW34+(1-(IF(SUM($D32:$DS32)=0,0,IF(SUM($D35:$DS35)=0,1,'Вводные'!$B$63))))*BW36)</x:f>
        <x:v>0</x:v>
      </x:c>
      <x:c r="BX43" s="107" t="n">
        <x:f>'Вводные'!$N$89*((IF(SUM($D32:$DS32)=0,0,IF(SUM($D35:$DS35)=0,1,'Вводные'!$B$63)))*BX34+(1-(IF(SUM($D32:$DS32)=0,0,IF(SUM($D35:$DS35)=0,1,'Вводные'!$B$63))))*BX36)</x:f>
        <x:v>0</x:v>
      </x:c>
      <x:c r="BY43" s="107" t="n">
        <x:f>'Вводные'!$N$89*((IF(SUM($D32:$DS32)=0,0,IF(SUM($D35:$DS35)=0,1,'Вводные'!$B$63)))*BY34+(1-(IF(SUM($D32:$DS32)=0,0,IF(SUM($D35:$DS35)=0,1,'Вводные'!$B$63))))*BY36)</x:f>
        <x:v>0</x:v>
      </x:c>
      <x:c r="BZ43" s="107" t="n">
        <x:f>'Вводные'!$N$89*((IF(SUM($D32:$DS32)=0,0,IF(SUM($D35:$DS35)=0,1,'Вводные'!$B$63)))*BZ34+(1-(IF(SUM($D32:$DS32)=0,0,IF(SUM($D35:$DS35)=0,1,'Вводные'!$B$63))))*BZ36)</x:f>
        <x:v>0</x:v>
      </x:c>
      <x:c r="CA43" s="107" t="n">
        <x:f>'Вводные'!$N$89*((IF(SUM($D32:$DS32)=0,0,IF(SUM($D35:$DS35)=0,1,'Вводные'!$B$63)))*CA34+(1-(IF(SUM($D32:$DS32)=0,0,IF(SUM($D35:$DS35)=0,1,'Вводные'!$B$63))))*CA36)</x:f>
        <x:v>0</x:v>
      </x:c>
      <x:c r="CB43" s="107" t="n">
        <x:f>'Вводные'!$N$89*((IF(SUM($D32:$DS32)=0,0,IF(SUM($D35:$DS35)=0,1,'Вводные'!$B$63)))*CB34+(1-(IF(SUM($D32:$DS32)=0,0,IF(SUM($D35:$DS35)=0,1,'Вводные'!$B$63))))*CB36)</x:f>
        <x:v>0</x:v>
      </x:c>
      <x:c r="CC43" s="107" t="n">
        <x:f>'Вводные'!$N$89*((IF(SUM($D32:$DS32)=0,0,IF(SUM($D35:$DS35)=0,1,'Вводные'!$B$63)))*CC34+(1-(IF(SUM($D32:$DS32)=0,0,IF(SUM($D35:$DS35)=0,1,'Вводные'!$B$63))))*CC36)</x:f>
        <x:v>0</x:v>
      </x:c>
      <x:c r="CD43" s="107" t="n">
        <x:f>'Вводные'!$N$89*((IF(SUM($D32:$DS32)=0,0,IF(SUM($D35:$DS35)=0,1,'Вводные'!$B$63)))*CD34+(1-(IF(SUM($D32:$DS32)=0,0,IF(SUM($D35:$DS35)=0,1,'Вводные'!$B$63))))*CD36)</x:f>
        <x:v>0</x:v>
      </x:c>
      <x:c r="CE43" s="107" t="n">
        <x:f>'Вводные'!$N$89*((IF(SUM($D32:$DS32)=0,0,IF(SUM($D35:$DS35)=0,1,'Вводные'!$B$63)))*CE34+(1-(IF(SUM($D32:$DS32)=0,0,IF(SUM($D35:$DS35)=0,1,'Вводные'!$B$63))))*CE36)</x:f>
        <x:v>0</x:v>
      </x:c>
      <x:c r="CF43" s="107" t="n">
        <x:f>'Вводные'!$N$89*((IF(SUM($D32:$DS32)=0,0,IF(SUM($D35:$DS35)=0,1,'Вводные'!$B$63)))*CF34+(1-(IF(SUM($D32:$DS32)=0,0,IF(SUM($D35:$DS35)=0,1,'Вводные'!$B$63))))*CF36)</x:f>
        <x:v>0</x:v>
      </x:c>
      <x:c r="CG43" s="107" t="n">
        <x:f>'Вводные'!$N$89*((IF(SUM($D32:$DS32)=0,0,IF(SUM($D35:$DS35)=0,1,'Вводные'!$B$63)))*CG34+(1-(IF(SUM($D32:$DS32)=0,0,IF(SUM($D35:$DS35)=0,1,'Вводные'!$B$63))))*CG36)</x:f>
        <x:v>0</x:v>
      </x:c>
      <x:c r="CH43" s="107" t="n">
        <x:f>'Вводные'!$N$89*((IF(SUM($D32:$DS32)=0,0,IF(SUM($D35:$DS35)=0,1,'Вводные'!$B$63)))*CH34+(1-(IF(SUM($D32:$DS32)=0,0,IF(SUM($D35:$DS35)=0,1,'Вводные'!$B$63))))*CH36)</x:f>
        <x:v>0</x:v>
      </x:c>
      <x:c r="CI43" s="107" t="n">
        <x:f>'Вводные'!$N$89*((IF(SUM($D32:$DS32)=0,0,IF(SUM($D35:$DS35)=0,1,'Вводные'!$B$63)))*CI34+(1-(IF(SUM($D32:$DS32)=0,0,IF(SUM($D35:$DS35)=0,1,'Вводные'!$B$63))))*CI36)</x:f>
        <x:v>0</x:v>
      </x:c>
      <x:c r="CJ43" s="107" t="n">
        <x:f>'Вводные'!$N$89*((IF(SUM($D32:$DS32)=0,0,IF(SUM($D35:$DS35)=0,1,'Вводные'!$B$63)))*CJ34+(1-(IF(SUM($D32:$DS32)=0,0,IF(SUM($D35:$DS35)=0,1,'Вводные'!$B$63))))*CJ36)</x:f>
        <x:v>0</x:v>
      </x:c>
      <x:c r="CK43" s="107" t="n">
        <x:f>'Вводные'!$N$89*((IF(SUM($D32:$DS32)=0,0,IF(SUM($D35:$DS35)=0,1,'Вводные'!$B$63)))*CK34+(1-(IF(SUM($D32:$DS32)=0,0,IF(SUM($D35:$DS35)=0,1,'Вводные'!$B$63))))*CK36)</x:f>
        <x:v>0</x:v>
      </x:c>
      <x:c r="CL43" s="107" t="n">
        <x:f>'Вводные'!$N$89*((IF(SUM($D32:$DS32)=0,0,IF(SUM($D35:$DS35)=0,1,'Вводные'!$B$63)))*CL34+(1-(IF(SUM($D32:$DS32)=0,0,IF(SUM($D35:$DS35)=0,1,'Вводные'!$B$63))))*CL36)</x:f>
        <x:v>0</x:v>
      </x:c>
      <x:c r="CM43" s="107" t="n">
        <x:f>'Вводные'!$N$89*((IF(SUM($D32:$DS32)=0,0,IF(SUM($D35:$DS35)=0,1,'Вводные'!$B$63)))*CM34+(1-(IF(SUM($D32:$DS32)=0,0,IF(SUM($D35:$DS35)=0,1,'Вводные'!$B$63))))*CM36)</x:f>
        <x:v>0</x:v>
      </x:c>
      <x:c r="CN43" s="107" t="n">
        <x:f>'Вводные'!$N$89*((IF(SUM($D32:$DS32)=0,0,IF(SUM($D35:$DS35)=0,1,'Вводные'!$B$63)))*CN34+(1-(IF(SUM($D32:$DS32)=0,0,IF(SUM($D35:$DS35)=0,1,'Вводные'!$B$63))))*CN36)</x:f>
        <x:v>0</x:v>
      </x:c>
      <x:c r="CO43" s="107" t="n">
        <x:f>'Вводные'!$N$89*((IF(SUM($D32:$DS32)=0,0,IF(SUM($D35:$DS35)=0,1,'Вводные'!$B$63)))*CO34+(1-(IF(SUM($D32:$DS32)=0,0,IF(SUM($D35:$DS35)=0,1,'Вводные'!$B$63))))*CO36)</x:f>
        <x:v>0</x:v>
      </x:c>
      <x:c r="CP43" s="107" t="n">
        <x:f>'Вводные'!$N$89*((IF(SUM($D32:$DS32)=0,0,IF(SUM($D35:$DS35)=0,1,'Вводные'!$B$63)))*CP34+(1-(IF(SUM($D32:$DS32)=0,0,IF(SUM($D35:$DS35)=0,1,'Вводные'!$B$63))))*CP36)</x:f>
        <x:v>0</x:v>
      </x:c>
      <x:c r="CQ43" s="107" t="n">
        <x:f>'Вводные'!$N$89*((IF(SUM($D32:$DS32)=0,0,IF(SUM($D35:$DS35)=0,1,'Вводные'!$B$63)))*CQ34+(1-(IF(SUM($D32:$DS32)=0,0,IF(SUM($D35:$DS35)=0,1,'Вводные'!$B$63))))*CQ36)</x:f>
        <x:v>0</x:v>
      </x:c>
      <x:c r="CR43" s="107" t="n">
        <x:f>'Вводные'!$N$89*((IF(SUM($D32:$DS32)=0,0,IF(SUM($D35:$DS35)=0,1,'Вводные'!$B$63)))*CR34+(1-(IF(SUM($D32:$DS32)=0,0,IF(SUM($D35:$DS35)=0,1,'Вводные'!$B$63))))*CR36)</x:f>
        <x:v>0</x:v>
      </x:c>
      <x:c r="CS43" s="107" t="n">
        <x:f>'Вводные'!$N$89*((IF(SUM($D32:$DS32)=0,0,IF(SUM($D35:$DS35)=0,1,'Вводные'!$B$63)))*CS34+(1-(IF(SUM($D32:$DS32)=0,0,IF(SUM($D35:$DS35)=0,1,'Вводные'!$B$63))))*CS36)</x:f>
        <x:v>0</x:v>
      </x:c>
      <x:c r="CT43" s="107" t="n">
        <x:f>'Вводные'!$N$89*((IF(SUM($D32:$DS32)=0,0,IF(SUM($D35:$DS35)=0,1,'Вводные'!$B$63)))*CT34+(1-(IF(SUM($D32:$DS32)=0,0,IF(SUM($D35:$DS35)=0,1,'Вводные'!$B$63))))*CT36)</x:f>
        <x:v>0</x:v>
      </x:c>
      <x:c r="CU43" s="107" t="n">
        <x:f>'Вводные'!$N$89*((IF(SUM($D32:$DS32)=0,0,IF(SUM($D35:$DS35)=0,1,'Вводные'!$B$63)))*CU34+(1-(IF(SUM($D32:$DS32)=0,0,IF(SUM($D35:$DS35)=0,1,'Вводные'!$B$63))))*CU36)</x:f>
        <x:v>0</x:v>
      </x:c>
      <x:c r="CV43" s="107" t="n">
        <x:f>'Вводные'!$N$89*((IF(SUM($D32:$DS32)=0,0,IF(SUM($D35:$DS35)=0,1,'Вводные'!$B$63)))*CV34+(1-(IF(SUM($D32:$DS32)=0,0,IF(SUM($D35:$DS35)=0,1,'Вводные'!$B$63))))*CV36)</x:f>
        <x:v>0</x:v>
      </x:c>
      <x:c r="CW43" s="107" t="n">
        <x:f>'Вводные'!$N$89*((IF(SUM($D32:$DS32)=0,0,IF(SUM($D35:$DS35)=0,1,'Вводные'!$B$63)))*CW34+(1-(IF(SUM($D32:$DS32)=0,0,IF(SUM($D35:$DS35)=0,1,'Вводные'!$B$63))))*CW36)</x:f>
        <x:v>0</x:v>
      </x:c>
      <x:c r="CX43" s="107" t="n">
        <x:f>'Вводные'!$N$89*((IF(SUM($D32:$DS32)=0,0,IF(SUM($D35:$DS35)=0,1,'Вводные'!$B$63)))*CX34+(1-(IF(SUM($D32:$DS32)=0,0,IF(SUM($D35:$DS35)=0,1,'Вводные'!$B$63))))*CX36)</x:f>
        <x:v>0</x:v>
      </x:c>
      <x:c r="CY43" s="107" t="n">
        <x:f>'Вводные'!$N$89*((IF(SUM($D32:$DS32)=0,0,IF(SUM($D35:$DS35)=0,1,'Вводные'!$B$63)))*CY34+(1-(IF(SUM($D32:$DS32)=0,0,IF(SUM($D35:$DS35)=0,1,'Вводные'!$B$63))))*CY36)</x:f>
        <x:v>0</x:v>
      </x:c>
      <x:c r="CZ43" s="107" t="n">
        <x:f>'Вводные'!$N$89*((IF(SUM($D32:$DS32)=0,0,IF(SUM($D35:$DS35)=0,1,'Вводные'!$B$63)))*CZ34+(1-(IF(SUM($D32:$DS32)=0,0,IF(SUM($D35:$DS35)=0,1,'Вводные'!$B$63))))*CZ36)</x:f>
        <x:v>0</x:v>
      </x:c>
      <x:c r="DA43" s="107" t="n">
        <x:f>'Вводные'!$N$89*((IF(SUM($D32:$DS32)=0,0,IF(SUM($D35:$DS35)=0,1,'Вводные'!$B$63)))*DA34+(1-(IF(SUM($D32:$DS32)=0,0,IF(SUM($D35:$DS35)=0,1,'Вводные'!$B$63))))*DA36)</x:f>
        <x:v>0</x:v>
      </x:c>
      <x:c r="DB43" s="107" t="n">
        <x:f>'Вводные'!$N$89*((IF(SUM($D32:$DS32)=0,0,IF(SUM($D35:$DS35)=0,1,'Вводные'!$B$63)))*DB34+(1-(IF(SUM($D32:$DS32)=0,0,IF(SUM($D35:$DS35)=0,1,'Вводные'!$B$63))))*DB36)</x:f>
        <x:v>0</x:v>
      </x:c>
      <x:c r="DC43" s="107" t="n">
        <x:f>'Вводные'!$N$89*((IF(SUM($D32:$DS32)=0,0,IF(SUM($D35:$DS35)=0,1,'Вводные'!$B$63)))*DC34+(1-(IF(SUM($D32:$DS32)=0,0,IF(SUM($D35:$DS35)=0,1,'Вводные'!$B$63))))*DC36)</x:f>
        <x:v>0</x:v>
      </x:c>
      <x:c r="DD43" s="107" t="n">
        <x:f>'Вводные'!$N$89*((IF(SUM($D32:$DS32)=0,0,IF(SUM($D35:$DS35)=0,1,'Вводные'!$B$63)))*DD34+(1-(IF(SUM($D32:$DS32)=0,0,IF(SUM($D35:$DS35)=0,1,'Вводные'!$B$63))))*DD36)</x:f>
        <x:v>0</x:v>
      </x:c>
      <x:c r="DE43" s="107" t="n">
        <x:f>'Вводные'!$N$89*((IF(SUM($D32:$DS32)=0,0,IF(SUM($D35:$DS35)=0,1,'Вводные'!$B$63)))*DE34+(1-(IF(SUM($D32:$DS32)=0,0,IF(SUM($D35:$DS35)=0,1,'Вводные'!$B$63))))*DE36)</x:f>
        <x:v>0</x:v>
      </x:c>
      <x:c r="DF43" s="107" t="n">
        <x:f>'Вводные'!$N$89*((IF(SUM($D32:$DS32)=0,0,IF(SUM($D35:$DS35)=0,1,'Вводные'!$B$63)))*DF34+(1-(IF(SUM($D32:$DS32)=0,0,IF(SUM($D35:$DS35)=0,1,'Вводные'!$B$63))))*DF36)</x:f>
        <x:v>0</x:v>
      </x:c>
      <x:c r="DG43" s="107" t="n">
        <x:f>'Вводные'!$N$89*((IF(SUM($D32:$DS32)=0,0,IF(SUM($D35:$DS35)=0,1,'Вводные'!$B$63)))*DG34+(1-(IF(SUM($D32:$DS32)=0,0,IF(SUM($D35:$DS35)=0,1,'Вводные'!$B$63))))*DG36)</x:f>
        <x:v>0</x:v>
      </x:c>
      <x:c r="DH43" s="107" t="n">
        <x:f>'Вводные'!$N$89*((IF(SUM($D32:$DS32)=0,0,IF(SUM($D35:$DS35)=0,1,'Вводные'!$B$63)))*DH34+(1-(IF(SUM($D32:$DS32)=0,0,IF(SUM($D35:$DS35)=0,1,'Вводные'!$B$63))))*DH36)</x:f>
        <x:v>0</x:v>
      </x:c>
      <x:c r="DI43" s="107" t="n">
        <x:f>'Вводные'!$N$89*((IF(SUM($D32:$DS32)=0,0,IF(SUM($D35:$DS35)=0,1,'Вводные'!$B$63)))*DI34+(1-(IF(SUM($D32:$DS32)=0,0,IF(SUM($D35:$DS35)=0,1,'Вводные'!$B$63))))*DI36)</x:f>
        <x:v>0</x:v>
      </x:c>
      <x:c r="DJ43" s="107" t="n">
        <x:f>'Вводные'!$N$89*((IF(SUM($D32:$DS32)=0,0,IF(SUM($D35:$DS35)=0,1,'Вводные'!$B$63)))*DJ34+(1-(IF(SUM($D32:$DS32)=0,0,IF(SUM($D35:$DS35)=0,1,'Вводные'!$B$63))))*DJ36)</x:f>
        <x:v>0</x:v>
      </x:c>
      <x:c r="DK43" s="107" t="n">
        <x:f>'Вводные'!$N$89*((IF(SUM($D32:$DS32)=0,0,IF(SUM($D35:$DS35)=0,1,'Вводные'!$B$63)))*DK34+(1-(IF(SUM($D32:$DS32)=0,0,IF(SUM($D35:$DS35)=0,1,'Вводные'!$B$63))))*DK36)</x:f>
        <x:v>0</x:v>
      </x:c>
      <x:c r="DL43" s="107" t="n">
        <x:f>'Вводные'!$N$89*((IF(SUM($D32:$DS32)=0,0,IF(SUM($D35:$DS35)=0,1,'Вводные'!$B$63)))*DL34+(1-(IF(SUM($D32:$DS32)=0,0,IF(SUM($D35:$DS35)=0,1,'Вводные'!$B$63))))*DL36)</x:f>
        <x:v>0</x:v>
      </x:c>
      <x:c r="DM43" s="107" t="n">
        <x:f>'Вводные'!$N$89*((IF(SUM($D32:$DS32)=0,0,IF(SUM($D35:$DS35)=0,1,'Вводные'!$B$63)))*DM34+(1-(IF(SUM($D32:$DS32)=0,0,IF(SUM($D35:$DS35)=0,1,'Вводные'!$B$63))))*DM36)</x:f>
        <x:v>0</x:v>
      </x:c>
      <x:c r="DN43" s="107" t="n">
        <x:f>'Вводные'!$N$89*((IF(SUM($D32:$DS32)=0,0,IF(SUM($D35:$DS35)=0,1,'Вводные'!$B$63)))*DN34+(1-(IF(SUM($D32:$DS32)=0,0,IF(SUM($D35:$DS35)=0,1,'Вводные'!$B$63))))*DN36)</x:f>
        <x:v>0</x:v>
      </x:c>
      <x:c r="DO43" s="107" t="n">
        <x:f>'Вводные'!$N$89*((IF(SUM($D32:$DS32)=0,0,IF(SUM($D35:$DS35)=0,1,'Вводные'!$B$63)))*DO34+(1-(IF(SUM($D32:$DS32)=0,0,IF(SUM($D35:$DS35)=0,1,'Вводные'!$B$63))))*DO36)</x:f>
        <x:v>0</x:v>
      </x:c>
      <x:c r="DP43" s="107" t="n">
        <x:f>'Вводные'!$N$89*((IF(SUM($D32:$DS32)=0,0,IF(SUM($D35:$DS35)=0,1,'Вводные'!$B$63)))*DP34+(1-(IF(SUM($D32:$DS32)=0,0,IF(SUM($D35:$DS35)=0,1,'Вводные'!$B$63))))*DP36)</x:f>
        <x:v>0</x:v>
      </x:c>
      <x:c r="DQ43" s="107" t="n">
        <x:f>'Вводные'!$N$89*((IF(SUM($D32:$DS32)=0,0,IF(SUM($D35:$DS35)=0,1,'Вводные'!$B$63)))*DQ34+(1-(IF(SUM($D32:$DS32)=0,0,IF(SUM($D35:$DS35)=0,1,'Вводные'!$B$63))))*DQ36)</x:f>
        <x:v>0</x:v>
      </x:c>
      <x:c r="DR43" s="107" t="n">
        <x:f>'Вводные'!$N$89*((IF(SUM($D32:$DS32)=0,0,IF(SUM($D35:$DS35)=0,1,'Вводные'!$B$63)))*DR34+(1-(IF(SUM($D32:$DS32)=0,0,IF(SUM($D35:$DS35)=0,1,'Вводные'!$B$63))))*DR36)</x:f>
        <x:v>0</x:v>
      </x:c>
      <x:c r="DS43" s="107" t="n">
        <x:f>'Вводные'!$N$89*((IF(SUM($D32:$DS32)=0,0,IF(SUM($D35:$DS35)=0,1,'Вводные'!$B$63)))*DS34+(1-(IF(SUM($D32:$DS32)=0,0,IF(SUM($D35:$DS35)=0,1,'Вводные'!$B$63))))*DS36)</x:f>
        <x:v>0</x:v>
      </x:c>
    </x:row>
    <x:row r="44">
      <x:c r="A44" t="str">
        <x:v>Паркинг — цена</x:v>
      </x:c>
      <x:c r="B44" t="n">
        <x:f>IFERROR(B45*1000/B43,0)</x:f>
        <x:v>0</x:v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5">
      <x:c r="A45" t="str">
        <x:v>Паркинг — выручка</x:v>
      </x:c>
      <x:c r="B45" t="n">
        <x:f>SUM(D45:DS45)</x:f>
        <x:v>0</x:v>
      </x:c>
      <x:c r="C45" t="str">
        <x:v>млн ₽</x:v>
      </x:c>
      <x:c r="D45" s="107" t="n">
        <x:f>D43*D44/1000</x:f>
        <x:v>0</x:v>
      </x:c>
      <x:c r="E45" s="107" t="n">
        <x:f>E43*E44/1000</x:f>
        <x:v>0</x:v>
      </x:c>
      <x:c r="F45" s="107" t="n">
        <x:f>F43*F44/1000</x:f>
        <x:v>0</x:v>
      </x:c>
      <x:c r="G45" s="107" t="n">
        <x:f>G43*G44/1000</x:f>
        <x:v>0</x:v>
      </x:c>
      <x:c r="H45" s="107" t="n">
        <x:f>H43*H44/1000</x:f>
        <x:v>0</x:v>
      </x:c>
      <x:c r="I45" s="107" t="n">
        <x:f>I43*I44/1000</x:f>
        <x:v>0</x:v>
      </x:c>
      <x:c r="J45" s="107" t="n">
        <x:f>J43*J44/1000</x:f>
        <x:v>0</x:v>
      </x:c>
      <x:c r="K45" s="107" t="n">
        <x:f>K43*K44/1000</x:f>
        <x:v>0</x:v>
      </x:c>
      <x:c r="L45" s="107" t="n">
        <x:f>L43*L44/1000</x:f>
        <x:v>0</x:v>
      </x:c>
      <x:c r="M45" s="107" t="n">
        <x:f>M43*M44/1000</x:f>
        <x:v>0</x:v>
      </x:c>
      <x:c r="N45" s="107" t="n">
        <x:f>N43*N44/1000</x:f>
        <x:v>0</x:v>
      </x:c>
      <x:c r="O45" s="107" t="n">
        <x:f>O43*O44/1000</x:f>
        <x:v>0</x:v>
      </x:c>
      <x:c r="P45" s="107" t="n">
        <x:f>P43*P44/1000</x:f>
        <x:v>0</x:v>
      </x:c>
      <x:c r="Q45" s="107" t="n">
        <x:f>Q43*Q44/1000</x:f>
        <x:v>0</x:v>
      </x:c>
      <x:c r="R45" s="107" t="n">
        <x:f>R43*R44/1000</x:f>
        <x:v>0</x:v>
      </x:c>
      <x:c r="S45" s="107" t="n">
        <x:f>S43*S44/1000</x:f>
        <x:v>0</x:v>
      </x:c>
      <x:c r="T45" s="107" t="n">
        <x:f>T43*T44/1000</x:f>
        <x:v>0</x:v>
      </x:c>
      <x:c r="U45" s="107" t="n">
        <x:f>U43*U44/1000</x:f>
        <x:v>0</x:v>
      </x:c>
      <x:c r="V45" s="107" t="n">
        <x:f>V43*V44/1000</x:f>
        <x:v>0</x:v>
      </x:c>
      <x:c r="W45" s="107" t="n">
        <x:f>W43*W44/1000</x:f>
        <x:v>0</x:v>
      </x:c>
      <x:c r="X45" s="107" t="n">
        <x:f>X43*X44/1000</x:f>
        <x:v>0</x:v>
      </x:c>
      <x:c r="Y45" s="107" t="n">
        <x:f>Y43*Y44/1000</x:f>
        <x:v>0</x:v>
      </x:c>
      <x:c r="Z45" s="107" t="n">
        <x:f>Z43*Z44/1000</x:f>
        <x:v>0</x:v>
      </x:c>
      <x:c r="AA45" s="107" t="n">
        <x:f>AA43*AA44/1000</x:f>
        <x:v>0</x:v>
      </x:c>
      <x:c r="AB45" s="107" t="n">
        <x:f>AB43*AB44/1000</x:f>
        <x:v>0</x:v>
      </x:c>
      <x:c r="AC45" s="107" t="n">
        <x:f>AC43*AC44/1000</x:f>
        <x:v>0</x:v>
      </x:c>
      <x:c r="AD45" s="107" t="n">
        <x:f>AD43*AD44/1000</x:f>
        <x:v>0</x:v>
      </x:c>
      <x:c r="AE45" s="107" t="n">
        <x:f>AE43*AE44/1000</x:f>
        <x:v>0</x:v>
      </x:c>
      <x:c r="AF45" s="107" t="n">
        <x:f>AF43*AF44/1000</x:f>
        <x:v>0</x:v>
      </x:c>
      <x:c r="AG45" s="107" t="n">
        <x:f>AG43*AG44/1000</x:f>
        <x:v>0</x:v>
      </x:c>
      <x:c r="AH45" s="107" t="n">
        <x:f>AH43*AH44/1000</x:f>
        <x:v>0</x:v>
      </x:c>
      <x:c r="AI45" s="107" t="n">
        <x:f>AI43*AI44/1000</x:f>
        <x:v>0</x:v>
      </x:c>
      <x:c r="AJ45" s="107" t="n">
        <x:f>AJ43*AJ44/1000</x:f>
        <x:v>0</x:v>
      </x:c>
      <x:c r="AK45" s="107" t="n">
        <x:f>AK43*AK44/1000</x:f>
        <x:v>0</x:v>
      </x:c>
      <x:c r="AL45" s="107" t="n">
        <x:f>AL43*AL44/1000</x:f>
        <x:v>0</x:v>
      </x:c>
      <x:c r="AM45" s="107" t="n">
        <x:f>AM43*AM44/1000</x:f>
        <x:v>0</x:v>
      </x:c>
      <x:c r="AN45" s="107" t="n">
        <x:f>AN43*AN44/1000</x:f>
        <x:v>0</x:v>
      </x:c>
      <x:c r="AO45" s="107" t="n">
        <x:f>AO43*AO44/1000</x:f>
        <x:v>0</x:v>
      </x:c>
      <x:c r="AP45" s="107" t="n">
        <x:f>AP43*AP44/1000</x:f>
        <x:v>0</x:v>
      </x:c>
      <x:c r="AQ45" s="107" t="n">
        <x:f>AQ43*AQ44/1000</x:f>
        <x:v>0</x:v>
      </x:c>
      <x:c r="AR45" s="107" t="n">
        <x:f>AR43*AR44/1000</x:f>
        <x:v>0</x:v>
      </x:c>
      <x:c r="AS45" s="107" t="n">
        <x:f>AS43*AS44/1000</x:f>
        <x:v>0</x:v>
      </x:c>
      <x:c r="AT45" s="107" t="n">
        <x:f>AT43*AT44/1000</x:f>
        <x:v>0</x:v>
      </x:c>
      <x:c r="AU45" s="107" t="n">
        <x:f>AU43*AU44/1000</x:f>
        <x:v>0</x:v>
      </x:c>
      <x:c r="AV45" s="107" t="n">
        <x:f>AV43*AV44/1000</x:f>
        <x:v>0</x:v>
      </x:c>
      <x:c r="AW45" s="107" t="n">
        <x:f>AW43*AW44/1000</x:f>
        <x:v>0</x:v>
      </x:c>
      <x:c r="AX45" s="107" t="n">
        <x:f>AX43*AX44/1000</x:f>
        <x:v>0</x:v>
      </x:c>
      <x:c r="AY45" s="107" t="n">
        <x:f>AY43*AY44/1000</x:f>
        <x:v>0</x:v>
      </x:c>
      <x:c r="AZ45" s="107" t="n">
        <x:f>AZ43*AZ44/1000</x:f>
        <x:v>0</x:v>
      </x:c>
      <x:c r="BA45" s="107" t="n">
        <x:f>BA43*BA44/1000</x:f>
        <x:v>0</x:v>
      </x:c>
      <x:c r="BB45" s="107" t="n">
        <x:f>BB43*BB44/1000</x:f>
        <x:v>0</x:v>
      </x:c>
      <x:c r="BC45" s="107" t="n">
        <x:f>BC43*BC44/1000</x:f>
        <x:v>0</x:v>
      </x:c>
      <x:c r="BD45" s="107" t="n">
        <x:f>BD43*BD44/1000</x:f>
        <x:v>0</x:v>
      </x:c>
      <x:c r="BE45" s="107" t="n">
        <x:f>BE43*BE44/1000</x:f>
        <x:v>0</x:v>
      </x:c>
      <x:c r="BF45" s="107" t="n">
        <x:f>BF43*BF44/1000</x:f>
        <x:v>0</x:v>
      </x:c>
      <x:c r="BG45" s="107" t="n">
        <x:f>BG43*BG44/1000</x:f>
        <x:v>0</x:v>
      </x:c>
      <x:c r="BH45" s="107" t="n">
        <x:f>BH43*BH44/1000</x:f>
        <x:v>0</x:v>
      </x:c>
      <x:c r="BI45" s="107" t="n">
        <x:f>BI43*BI44/1000</x:f>
        <x:v>0</x:v>
      </x:c>
      <x:c r="BJ45" s="107" t="n">
        <x:f>BJ43*BJ44/1000</x:f>
        <x:v>0</x:v>
      </x:c>
      <x:c r="BK45" s="107" t="n">
        <x:f>BK43*BK44/1000</x:f>
        <x:v>0</x:v>
      </x:c>
      <x:c r="BL45" s="107" t="n">
        <x:f>BL43*BL44/1000</x:f>
        <x:v>0</x:v>
      </x:c>
      <x:c r="BM45" s="107" t="n">
        <x:f>BM43*BM44/1000</x:f>
        <x:v>0</x:v>
      </x:c>
      <x:c r="BN45" s="107" t="n">
        <x:f>BN43*BN44/1000</x:f>
        <x:v>0</x:v>
      </x:c>
      <x:c r="BO45" s="107" t="n">
        <x:f>BO43*BO44/1000</x:f>
        <x:v>0</x:v>
      </x:c>
      <x:c r="BP45" s="107" t="n">
        <x:f>BP43*BP44/1000</x:f>
        <x:v>0</x:v>
      </x:c>
      <x:c r="BQ45" s="107" t="n">
        <x:f>BQ43*BQ44/1000</x:f>
        <x:v>0</x:v>
      </x:c>
      <x:c r="BR45" s="107" t="n">
        <x:f>BR43*BR44/1000</x:f>
        <x:v>0</x:v>
      </x:c>
      <x:c r="BS45" s="107" t="n">
        <x:f>BS43*BS44/1000</x:f>
        <x:v>0</x:v>
      </x:c>
      <x:c r="BT45" s="107" t="n">
        <x:f>BT43*BT44/1000</x:f>
        <x:v>0</x:v>
      </x:c>
      <x:c r="BU45" s="107" t="n">
        <x:f>BU43*BU44/1000</x:f>
        <x:v>0</x:v>
      </x:c>
      <x:c r="BV45" s="107" t="n">
        <x:f>BV43*BV44/1000</x:f>
        <x:v>0</x:v>
      </x:c>
      <x:c r="BW45" s="107" t="n">
        <x:f>BW43*BW44/1000</x:f>
        <x:v>0</x:v>
      </x:c>
      <x:c r="BX45" s="107" t="n">
        <x:f>BX43*BX44/1000</x:f>
        <x:v>0</x:v>
      </x:c>
      <x:c r="BY45" s="107" t="n">
        <x:f>BY43*BY44/1000</x:f>
        <x:v>0</x:v>
      </x:c>
      <x:c r="BZ45" s="107" t="n">
        <x:f>BZ43*BZ44/1000</x:f>
        <x:v>0</x:v>
      </x:c>
      <x:c r="CA45" s="107" t="n">
        <x:f>CA43*CA44/1000</x:f>
        <x:v>0</x:v>
      </x:c>
      <x:c r="CB45" s="107" t="n">
        <x:f>CB43*CB44/1000</x:f>
        <x:v>0</x:v>
      </x:c>
      <x:c r="CC45" s="107" t="n">
        <x:f>CC43*CC44/1000</x:f>
        <x:v>0</x:v>
      </x:c>
      <x:c r="CD45" s="107" t="n">
        <x:f>CD43*CD44/1000</x:f>
        <x:v>0</x:v>
      </x:c>
      <x:c r="CE45" s="107" t="n">
        <x:f>CE43*CE44/1000</x:f>
        <x:v>0</x:v>
      </x:c>
      <x:c r="CF45" s="107" t="n">
        <x:f>CF43*CF44/1000</x:f>
        <x:v>0</x:v>
      </x:c>
      <x:c r="CG45" s="107" t="n">
        <x:f>CG43*CG44/1000</x:f>
        <x:v>0</x:v>
      </x:c>
      <x:c r="CH45" s="107" t="n">
        <x:f>CH43*CH44/1000</x:f>
        <x:v>0</x:v>
      </x:c>
      <x:c r="CI45" s="107" t="n">
        <x:f>CI43*CI44/1000</x:f>
        <x:v>0</x:v>
      </x:c>
      <x:c r="CJ45" s="107" t="n">
        <x:f>CJ43*CJ44/1000</x:f>
        <x:v>0</x:v>
      </x:c>
      <x:c r="CK45" s="107" t="n">
        <x:f>CK43*CK44/1000</x:f>
        <x:v>0</x:v>
      </x:c>
      <x:c r="CL45" s="107" t="n">
        <x:f>CL43*CL44/1000</x:f>
        <x:v>0</x:v>
      </x:c>
      <x:c r="CM45" s="107" t="n">
        <x:f>CM43*CM44/1000</x:f>
        <x:v>0</x:v>
      </x:c>
      <x:c r="CN45" s="107" t="n">
        <x:f>CN43*CN44/1000</x:f>
        <x:v>0</x:v>
      </x:c>
      <x:c r="CO45" s="107" t="n">
        <x:f>CO43*CO44/1000</x:f>
        <x:v>0</x:v>
      </x:c>
      <x:c r="CP45" s="107" t="n">
        <x:f>CP43*CP44/1000</x:f>
        <x:v>0</x:v>
      </x:c>
      <x:c r="CQ45" s="107" t="n">
        <x:f>CQ43*CQ44/1000</x:f>
        <x:v>0</x:v>
      </x:c>
      <x:c r="CR45" s="107" t="n">
        <x:f>CR43*CR44/1000</x:f>
        <x:v>0</x:v>
      </x:c>
      <x:c r="CS45" s="107" t="n">
        <x:f>CS43*CS44/1000</x:f>
        <x:v>0</x:v>
      </x:c>
      <x:c r="CT45" s="107" t="n">
        <x:f>CT43*CT44/1000</x:f>
        <x:v>0</x:v>
      </x:c>
      <x:c r="CU45" s="107" t="n">
        <x:f>CU43*CU44/1000</x:f>
        <x:v>0</x:v>
      </x:c>
      <x:c r="CV45" s="107" t="n">
        <x:f>CV43*CV44/1000</x:f>
        <x:v>0</x:v>
      </x:c>
      <x:c r="CW45" s="107" t="n">
        <x:f>CW43*CW44/1000</x:f>
        <x:v>0</x:v>
      </x:c>
      <x:c r="CX45" s="107" t="n">
        <x:f>CX43*CX44/1000</x:f>
        <x:v>0</x:v>
      </x:c>
      <x:c r="CY45" s="107" t="n">
        <x:f>CY43*CY44/1000</x:f>
        <x:v>0</x:v>
      </x:c>
      <x:c r="CZ45" s="107" t="n">
        <x:f>CZ43*CZ44/1000</x:f>
        <x:v>0</x:v>
      </x:c>
      <x:c r="DA45" s="107" t="n">
        <x:f>DA43*DA44/1000</x:f>
        <x:v>0</x:v>
      </x:c>
      <x:c r="DB45" s="107" t="n">
        <x:f>DB43*DB44/1000</x:f>
        <x:v>0</x:v>
      </x:c>
      <x:c r="DC45" s="107" t="n">
        <x:f>DC43*DC44/1000</x:f>
        <x:v>0</x:v>
      </x:c>
      <x:c r="DD45" s="107" t="n">
        <x:f>DD43*DD44/1000</x:f>
        <x:v>0</x:v>
      </x:c>
      <x:c r="DE45" s="107" t="n">
        <x:f>DE43*DE44/1000</x:f>
        <x:v>0</x:v>
      </x:c>
      <x:c r="DF45" s="107" t="n">
        <x:f>DF43*DF44/1000</x:f>
        <x:v>0</x:v>
      </x:c>
      <x:c r="DG45" s="107" t="n">
        <x:f>DG43*DG44/1000</x:f>
        <x:v>0</x:v>
      </x:c>
      <x:c r="DH45" s="107" t="n">
        <x:f>DH43*DH44/1000</x:f>
        <x:v>0</x:v>
      </x:c>
      <x:c r="DI45" s="107" t="n">
        <x:f>DI43*DI44/1000</x:f>
        <x:v>0</x:v>
      </x:c>
      <x:c r="DJ45" s="107" t="n">
        <x:f>DJ43*DJ44/1000</x:f>
        <x:v>0</x:v>
      </x:c>
      <x:c r="DK45" s="107" t="n">
        <x:f>DK43*DK44/1000</x:f>
        <x:v>0</x:v>
      </x:c>
      <x:c r="DL45" s="107" t="n">
        <x:f>DL43*DL44/1000</x:f>
        <x:v>0</x:v>
      </x:c>
      <x:c r="DM45" s="107" t="n">
        <x:f>DM43*DM44/1000</x:f>
        <x:v>0</x:v>
      </x:c>
      <x:c r="DN45" s="107" t="n">
        <x:f>DN43*DN44/1000</x:f>
        <x:v>0</x:v>
      </x:c>
      <x:c r="DO45" s="107" t="n">
        <x:f>DO43*DO44/1000</x:f>
        <x:v>0</x:v>
      </x:c>
      <x:c r="DP45" s="107" t="n">
        <x:f>DP43*DP44/1000</x:f>
        <x:v>0</x:v>
      </x:c>
      <x:c r="DQ45" s="107" t="n">
        <x:f>DQ43*DQ44/1000</x:f>
        <x:v>0</x:v>
      </x:c>
      <x:c r="DR45" s="107" t="n">
        <x:f>DR43*DR44/1000</x:f>
        <x:v>0</x:v>
      </x:c>
      <x:c r="DS45" s="107" t="n">
        <x:f>DS43*DS44/1000</x:f>
        <x:v>0</x:v>
      </x:c>
    </x:row>
    <x:row r="46">
      <x:c r="A46" t="str">
        <x:v>Кладовые — объём</x:v>
      </x:c>
      <x:c r="B46" t="n">
        <x:f>SUM(D46:DS46)</x:f>
        <x:v>0</x:v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  <x:v>0</x:v>
      </x:c>
      <x:c r="E46" s="107" t="n">
        <x:f>'Вводные'!$O$89*((IF(SUM($D32:$DS32)=0,0,IF(SUM($D35:$DS35)=0,1,'Вводные'!$B$63)))*E34+(1-(IF(SUM($D32:$DS32)=0,0,IF(SUM($D35:$DS35)=0,1,'Вводные'!$B$63))))*E36)</x:f>
        <x:v>0</x:v>
      </x:c>
      <x:c r="F46" s="107" t="n">
        <x:f>'Вводные'!$O$89*((IF(SUM($D32:$DS32)=0,0,IF(SUM($D35:$DS35)=0,1,'Вводные'!$B$63)))*F34+(1-(IF(SUM($D32:$DS32)=0,0,IF(SUM($D35:$DS35)=0,1,'Вводные'!$B$63))))*F36)</x:f>
        <x:v>0</x:v>
      </x:c>
      <x:c r="G46" s="107" t="n">
        <x:f>'Вводные'!$O$89*((IF(SUM($D32:$DS32)=0,0,IF(SUM($D35:$DS35)=0,1,'Вводные'!$B$63)))*G34+(1-(IF(SUM($D32:$DS32)=0,0,IF(SUM($D35:$DS35)=0,1,'Вводные'!$B$63))))*G36)</x:f>
        <x:v>0</x:v>
      </x:c>
      <x:c r="H46" s="107" t="n">
        <x:f>'Вводные'!$O$89*((IF(SUM($D32:$DS32)=0,0,IF(SUM($D35:$DS35)=0,1,'Вводные'!$B$63)))*H34+(1-(IF(SUM($D32:$DS32)=0,0,IF(SUM($D35:$DS35)=0,1,'Вводные'!$B$63))))*H36)</x:f>
        <x:v>0</x:v>
      </x:c>
      <x:c r="I46" s="107" t="n">
        <x:f>'Вводные'!$O$89*((IF(SUM($D32:$DS32)=0,0,IF(SUM($D35:$DS35)=0,1,'Вводные'!$B$63)))*I34+(1-(IF(SUM($D32:$DS32)=0,0,IF(SUM($D35:$DS35)=0,1,'Вводные'!$B$63))))*I36)</x:f>
        <x:v>0</x:v>
      </x:c>
      <x:c r="J46" s="107" t="n">
        <x:f>'Вводные'!$O$89*((IF(SUM($D32:$DS32)=0,0,IF(SUM($D35:$DS35)=0,1,'Вводные'!$B$63)))*J34+(1-(IF(SUM($D32:$DS32)=0,0,IF(SUM($D35:$DS35)=0,1,'Вводные'!$B$63))))*J36)</x:f>
        <x:v>0</x:v>
      </x:c>
      <x:c r="K46" s="107" t="n">
        <x:f>'Вводные'!$O$89*((IF(SUM($D32:$DS32)=0,0,IF(SUM($D35:$DS35)=0,1,'Вводные'!$B$63)))*K34+(1-(IF(SUM($D32:$DS32)=0,0,IF(SUM($D35:$DS35)=0,1,'Вводные'!$B$63))))*K36)</x:f>
        <x:v>0</x:v>
      </x:c>
      <x:c r="L46" s="107" t="n">
        <x:f>'Вводные'!$O$89*((IF(SUM($D32:$DS32)=0,0,IF(SUM($D35:$DS35)=0,1,'Вводные'!$B$63)))*L34+(1-(IF(SUM($D32:$DS32)=0,0,IF(SUM($D35:$DS35)=0,1,'Вводные'!$B$63))))*L36)</x:f>
        <x:v>0</x:v>
      </x:c>
      <x:c r="M46" s="107" t="n">
        <x:f>'Вводные'!$O$89*((IF(SUM($D32:$DS32)=0,0,IF(SUM($D35:$DS35)=0,1,'Вводные'!$B$63)))*M34+(1-(IF(SUM($D32:$DS32)=0,0,IF(SUM($D35:$DS35)=0,1,'Вводные'!$B$63))))*M36)</x:f>
        <x:v>0</x:v>
      </x:c>
      <x:c r="N46" s="107" t="n">
        <x:f>'Вводные'!$O$89*((IF(SUM($D32:$DS32)=0,0,IF(SUM($D35:$DS35)=0,1,'Вводные'!$B$63)))*N34+(1-(IF(SUM($D32:$DS32)=0,0,IF(SUM($D35:$DS35)=0,1,'Вводные'!$B$63))))*N36)</x:f>
        <x:v>0</x:v>
      </x:c>
      <x:c r="O46" s="107" t="n">
        <x:f>'Вводные'!$O$89*((IF(SUM($D32:$DS32)=0,0,IF(SUM($D35:$DS35)=0,1,'Вводные'!$B$63)))*O34+(1-(IF(SUM($D32:$DS32)=0,0,IF(SUM($D35:$DS35)=0,1,'Вводные'!$B$63))))*O36)</x:f>
        <x:v>0</x:v>
      </x:c>
      <x:c r="P46" s="107" t="n">
        <x:f>'Вводные'!$O$89*((IF(SUM($D32:$DS32)=0,0,IF(SUM($D35:$DS35)=0,1,'Вводные'!$B$63)))*P34+(1-(IF(SUM($D32:$DS32)=0,0,IF(SUM($D35:$DS35)=0,1,'Вводные'!$B$63))))*P36)</x:f>
        <x:v>0</x:v>
      </x:c>
      <x:c r="Q46" s="107" t="n">
        <x:f>'Вводные'!$O$89*((IF(SUM($D32:$DS32)=0,0,IF(SUM($D35:$DS35)=0,1,'Вводные'!$B$63)))*Q34+(1-(IF(SUM($D32:$DS32)=0,0,IF(SUM($D35:$DS35)=0,1,'Вводные'!$B$63))))*Q36)</x:f>
        <x:v>0</x:v>
      </x:c>
      <x:c r="R46" s="107" t="n">
        <x:f>'Вводные'!$O$89*((IF(SUM($D32:$DS32)=0,0,IF(SUM($D35:$DS35)=0,1,'Вводные'!$B$63)))*R34+(1-(IF(SUM($D32:$DS32)=0,0,IF(SUM($D35:$DS35)=0,1,'Вводные'!$B$63))))*R36)</x:f>
        <x:v>0</x:v>
      </x:c>
      <x:c r="S46" s="107" t="n">
        <x:f>'Вводные'!$O$89*((IF(SUM($D32:$DS32)=0,0,IF(SUM($D35:$DS35)=0,1,'Вводные'!$B$63)))*S34+(1-(IF(SUM($D32:$DS32)=0,0,IF(SUM($D35:$DS35)=0,1,'Вводные'!$B$63))))*S36)</x:f>
        <x:v>0</x:v>
      </x:c>
      <x:c r="T46" s="107" t="n">
        <x:f>'Вводные'!$O$89*((IF(SUM($D32:$DS32)=0,0,IF(SUM($D35:$DS35)=0,1,'Вводные'!$B$63)))*T34+(1-(IF(SUM($D32:$DS32)=0,0,IF(SUM($D35:$DS35)=0,1,'Вводные'!$B$63))))*T36)</x:f>
        <x:v>0</x:v>
      </x:c>
      <x:c r="U46" s="107" t="n">
        <x:f>'Вводные'!$O$89*((IF(SUM($D32:$DS32)=0,0,IF(SUM($D35:$DS35)=0,1,'Вводные'!$B$63)))*U34+(1-(IF(SUM($D32:$DS32)=0,0,IF(SUM($D35:$DS35)=0,1,'Вводные'!$B$63))))*U36)</x:f>
        <x:v>0</x:v>
      </x:c>
      <x:c r="V46" s="107" t="n">
        <x:f>'Вводные'!$O$89*((IF(SUM($D32:$DS32)=0,0,IF(SUM($D35:$DS35)=0,1,'Вводные'!$B$63)))*V34+(1-(IF(SUM($D32:$DS32)=0,0,IF(SUM($D35:$DS35)=0,1,'Вводные'!$B$63))))*V36)</x:f>
        <x:v>0</x:v>
      </x:c>
      <x:c r="W46" s="107" t="n">
        <x:f>'Вводные'!$O$89*((IF(SUM($D32:$DS32)=0,0,IF(SUM($D35:$DS35)=0,1,'Вводные'!$B$63)))*W34+(1-(IF(SUM($D32:$DS32)=0,0,IF(SUM($D35:$DS35)=0,1,'Вводные'!$B$63))))*W36)</x:f>
        <x:v>0</x:v>
      </x:c>
      <x:c r="X46" s="107" t="n">
        <x:f>'Вводные'!$O$89*((IF(SUM($D32:$DS32)=0,0,IF(SUM($D35:$DS35)=0,1,'Вводные'!$B$63)))*X34+(1-(IF(SUM($D32:$DS32)=0,0,IF(SUM($D35:$DS35)=0,1,'Вводные'!$B$63))))*X36)</x:f>
        <x:v>0</x:v>
      </x:c>
      <x:c r="Y46" s="107" t="n">
        <x:f>'Вводные'!$O$89*((IF(SUM($D32:$DS32)=0,0,IF(SUM($D35:$DS35)=0,1,'Вводные'!$B$63)))*Y34+(1-(IF(SUM($D32:$DS32)=0,0,IF(SUM($D35:$DS35)=0,1,'Вводные'!$B$63))))*Y36)</x:f>
        <x:v>0</x:v>
      </x:c>
      <x:c r="Z46" s="107" t="n">
        <x:f>'Вводные'!$O$89*((IF(SUM($D32:$DS32)=0,0,IF(SUM($D35:$DS35)=0,1,'Вводные'!$B$63)))*Z34+(1-(IF(SUM($D32:$DS32)=0,0,IF(SUM($D35:$DS35)=0,1,'Вводные'!$B$63))))*Z36)</x:f>
        <x:v>0</x:v>
      </x:c>
      <x:c r="AA46" s="107" t="n">
        <x:f>'Вводные'!$O$89*((IF(SUM($D32:$DS32)=0,0,IF(SUM($D35:$DS35)=0,1,'Вводные'!$B$63)))*AA34+(1-(IF(SUM($D32:$DS32)=0,0,IF(SUM($D35:$DS35)=0,1,'Вводные'!$B$63))))*AA36)</x:f>
        <x:v>0</x:v>
      </x:c>
      <x:c r="AB46" s="107" t="n">
        <x:f>'Вводные'!$O$89*((IF(SUM($D32:$DS32)=0,0,IF(SUM($D35:$DS35)=0,1,'Вводные'!$B$63)))*AB34+(1-(IF(SUM($D32:$DS32)=0,0,IF(SUM($D35:$DS35)=0,1,'Вводные'!$B$63))))*AB36)</x:f>
        <x:v>0</x:v>
      </x:c>
      <x:c r="AC46" s="107" t="n">
        <x:f>'Вводные'!$O$89*((IF(SUM($D32:$DS32)=0,0,IF(SUM($D35:$DS35)=0,1,'Вводные'!$B$63)))*AC34+(1-(IF(SUM($D32:$DS32)=0,0,IF(SUM($D35:$DS35)=0,1,'Вводные'!$B$63))))*AC36)</x:f>
        <x:v>0</x:v>
      </x:c>
      <x:c r="AD46" s="107" t="n">
        <x:f>'Вводные'!$O$89*((IF(SUM($D32:$DS32)=0,0,IF(SUM($D35:$DS35)=0,1,'Вводные'!$B$63)))*AD34+(1-(IF(SUM($D32:$DS32)=0,0,IF(SUM($D35:$DS35)=0,1,'Вводные'!$B$63))))*AD36)</x:f>
        <x:v>0</x:v>
      </x:c>
      <x:c r="AE46" s="107" t="n">
        <x:f>'Вводные'!$O$89*((IF(SUM($D32:$DS32)=0,0,IF(SUM($D35:$DS35)=0,1,'Вводные'!$B$63)))*AE34+(1-(IF(SUM($D32:$DS32)=0,0,IF(SUM($D35:$DS35)=0,1,'Вводные'!$B$63))))*AE36)</x:f>
        <x:v>0</x:v>
      </x:c>
      <x:c r="AF46" s="107" t="n">
        <x:f>'Вводные'!$O$89*((IF(SUM($D32:$DS32)=0,0,IF(SUM($D35:$DS35)=0,1,'Вводные'!$B$63)))*AF34+(1-(IF(SUM($D32:$DS32)=0,0,IF(SUM($D35:$DS35)=0,1,'Вводные'!$B$63))))*AF36)</x:f>
        <x:v>0</x:v>
      </x:c>
      <x:c r="AG46" s="107" t="n">
        <x:f>'Вводные'!$O$89*((IF(SUM($D32:$DS32)=0,0,IF(SUM($D35:$DS35)=0,1,'Вводные'!$B$63)))*AG34+(1-(IF(SUM($D32:$DS32)=0,0,IF(SUM($D35:$DS35)=0,1,'Вводные'!$B$63))))*AG36)</x:f>
        <x:v>0</x:v>
      </x:c>
      <x:c r="AH46" s="107" t="n">
        <x:f>'Вводные'!$O$89*((IF(SUM($D32:$DS32)=0,0,IF(SUM($D35:$DS35)=0,1,'Вводные'!$B$63)))*AH34+(1-(IF(SUM($D32:$DS32)=0,0,IF(SUM($D35:$DS35)=0,1,'Вводные'!$B$63))))*AH36)</x:f>
        <x:v>0</x:v>
      </x:c>
      <x:c r="AI46" s="107" t="n">
        <x:f>'Вводные'!$O$89*((IF(SUM($D32:$DS32)=0,0,IF(SUM($D35:$DS35)=0,1,'Вводные'!$B$63)))*AI34+(1-(IF(SUM($D32:$DS32)=0,0,IF(SUM($D35:$DS35)=0,1,'Вводные'!$B$63))))*AI36)</x:f>
        <x:v>0</x:v>
      </x:c>
      <x:c r="AJ46" s="107" t="n">
        <x:f>'Вводные'!$O$89*((IF(SUM($D32:$DS32)=0,0,IF(SUM($D35:$DS35)=0,1,'Вводные'!$B$63)))*AJ34+(1-(IF(SUM($D32:$DS32)=0,0,IF(SUM($D35:$DS35)=0,1,'Вводные'!$B$63))))*AJ36)</x:f>
        <x:v>0</x:v>
      </x:c>
      <x:c r="AK46" s="107" t="n">
        <x:f>'Вводные'!$O$89*((IF(SUM($D32:$DS32)=0,0,IF(SUM($D35:$DS35)=0,1,'Вводные'!$B$63)))*AK34+(1-(IF(SUM($D32:$DS32)=0,0,IF(SUM($D35:$DS35)=0,1,'Вводные'!$B$63))))*AK36)</x:f>
        <x:v>0</x:v>
      </x:c>
      <x:c r="AL46" s="107" t="n">
        <x:f>'Вводные'!$O$89*((IF(SUM($D32:$DS32)=0,0,IF(SUM($D35:$DS35)=0,1,'Вводные'!$B$63)))*AL34+(1-(IF(SUM($D32:$DS32)=0,0,IF(SUM($D35:$DS35)=0,1,'Вводные'!$B$63))))*AL36)</x:f>
        <x:v>0</x:v>
      </x:c>
      <x:c r="AM46" s="107" t="n">
        <x:f>'Вводные'!$O$89*((IF(SUM($D32:$DS32)=0,0,IF(SUM($D35:$DS35)=0,1,'Вводные'!$B$63)))*AM34+(1-(IF(SUM($D32:$DS32)=0,0,IF(SUM($D35:$DS35)=0,1,'Вводные'!$B$63))))*AM36)</x:f>
        <x:v>0</x:v>
      </x:c>
      <x:c r="AN46" s="107" t="n">
        <x:f>'Вводные'!$O$89*((IF(SUM($D32:$DS32)=0,0,IF(SUM($D35:$DS35)=0,1,'Вводные'!$B$63)))*AN34+(1-(IF(SUM($D32:$DS32)=0,0,IF(SUM($D35:$DS35)=0,1,'Вводные'!$B$63))))*AN36)</x:f>
        <x:v>0</x:v>
      </x:c>
      <x:c r="AO46" s="107" t="n">
        <x:f>'Вводные'!$O$89*((IF(SUM($D32:$DS32)=0,0,IF(SUM($D35:$DS35)=0,1,'Вводные'!$B$63)))*AO34+(1-(IF(SUM($D32:$DS32)=0,0,IF(SUM($D35:$DS35)=0,1,'Вводные'!$B$63))))*AO36)</x:f>
        <x:v>0</x:v>
      </x:c>
      <x:c r="AP46" s="107" t="n">
        <x:f>'Вводные'!$O$89*((IF(SUM($D32:$DS32)=0,0,IF(SUM($D35:$DS35)=0,1,'Вводные'!$B$63)))*AP34+(1-(IF(SUM($D32:$DS32)=0,0,IF(SUM($D35:$DS35)=0,1,'Вводные'!$B$63))))*AP36)</x:f>
        <x:v>0</x:v>
      </x:c>
      <x:c r="AQ46" s="107" t="n">
        <x:f>'Вводные'!$O$89*((IF(SUM($D32:$DS32)=0,0,IF(SUM($D35:$DS35)=0,1,'Вводные'!$B$63)))*AQ34+(1-(IF(SUM($D32:$DS32)=0,0,IF(SUM($D35:$DS35)=0,1,'Вводные'!$B$63))))*AQ36)</x:f>
        <x:v>0</x:v>
      </x:c>
      <x:c r="AR46" s="107" t="n">
        <x:f>'Вводные'!$O$89*((IF(SUM($D32:$DS32)=0,0,IF(SUM($D35:$DS35)=0,1,'Вводные'!$B$63)))*AR34+(1-(IF(SUM($D32:$DS32)=0,0,IF(SUM($D35:$DS35)=0,1,'Вводные'!$B$63))))*AR36)</x:f>
        <x:v>0</x:v>
      </x:c>
      <x:c r="AS46" s="107" t="n">
        <x:f>'Вводные'!$O$89*((IF(SUM($D32:$DS32)=0,0,IF(SUM($D35:$DS35)=0,1,'Вводные'!$B$63)))*AS34+(1-(IF(SUM($D32:$DS32)=0,0,IF(SUM($D35:$DS35)=0,1,'Вводные'!$B$63))))*AS36)</x:f>
        <x:v>0</x:v>
      </x:c>
      <x:c r="AT46" s="107" t="n">
        <x:f>'Вводные'!$O$89*((IF(SUM($D32:$DS32)=0,0,IF(SUM($D35:$DS35)=0,1,'Вводные'!$B$63)))*AT34+(1-(IF(SUM($D32:$DS32)=0,0,IF(SUM($D35:$DS35)=0,1,'Вводные'!$B$63))))*AT36)</x:f>
        <x:v>0</x:v>
      </x:c>
      <x:c r="AU46" s="107" t="n">
        <x:f>'Вводные'!$O$89*((IF(SUM($D32:$DS32)=0,0,IF(SUM($D35:$DS35)=0,1,'Вводные'!$B$63)))*AU34+(1-(IF(SUM($D32:$DS32)=0,0,IF(SUM($D35:$DS35)=0,1,'Вводные'!$B$63))))*AU36)</x:f>
        <x:v>0</x:v>
      </x:c>
      <x:c r="AV46" s="107" t="n">
        <x:f>'Вводные'!$O$89*((IF(SUM($D32:$DS32)=0,0,IF(SUM($D35:$DS35)=0,1,'Вводные'!$B$63)))*AV34+(1-(IF(SUM($D32:$DS32)=0,0,IF(SUM($D35:$DS35)=0,1,'Вводные'!$B$63))))*AV36)</x:f>
        <x:v>0</x:v>
      </x:c>
      <x:c r="AW46" s="107" t="n">
        <x:f>'Вводные'!$O$89*((IF(SUM($D32:$DS32)=0,0,IF(SUM($D35:$DS35)=0,1,'Вводные'!$B$63)))*AW34+(1-(IF(SUM($D32:$DS32)=0,0,IF(SUM($D35:$DS35)=0,1,'Вводные'!$B$63))))*AW36)</x:f>
        <x:v>0</x:v>
      </x:c>
      <x:c r="AX46" s="107" t="n">
        <x:f>'Вводные'!$O$89*((IF(SUM($D32:$DS32)=0,0,IF(SUM($D35:$DS35)=0,1,'Вводные'!$B$63)))*AX34+(1-(IF(SUM($D32:$DS32)=0,0,IF(SUM($D35:$DS35)=0,1,'Вводные'!$B$63))))*AX36)</x:f>
        <x:v>0</x:v>
      </x:c>
      <x:c r="AY46" s="107" t="n">
        <x:f>'Вводные'!$O$89*((IF(SUM($D32:$DS32)=0,0,IF(SUM($D35:$DS35)=0,1,'Вводные'!$B$63)))*AY34+(1-(IF(SUM($D32:$DS32)=0,0,IF(SUM($D35:$DS35)=0,1,'Вводные'!$B$63))))*AY36)</x:f>
        <x:v>0</x:v>
      </x:c>
      <x:c r="AZ46" s="107" t="n">
        <x:f>'Вводные'!$O$89*((IF(SUM($D32:$DS32)=0,0,IF(SUM($D35:$DS35)=0,1,'Вводные'!$B$63)))*AZ34+(1-(IF(SUM($D32:$DS32)=0,0,IF(SUM($D35:$DS35)=0,1,'Вводные'!$B$63))))*AZ36)</x:f>
        <x:v>0</x:v>
      </x:c>
      <x:c r="BA46" s="107" t="n">
        <x:f>'Вводные'!$O$89*((IF(SUM($D32:$DS32)=0,0,IF(SUM($D35:$DS35)=0,1,'Вводные'!$B$63)))*BA34+(1-(IF(SUM($D32:$DS32)=0,0,IF(SUM($D35:$DS35)=0,1,'Вводные'!$B$63))))*BA36)</x:f>
        <x:v>0</x:v>
      </x:c>
      <x:c r="BB46" s="107" t="n">
        <x:f>'Вводные'!$O$89*((IF(SUM($D32:$DS32)=0,0,IF(SUM($D35:$DS35)=0,1,'Вводные'!$B$63)))*BB34+(1-(IF(SUM($D32:$DS32)=0,0,IF(SUM($D35:$DS35)=0,1,'Вводные'!$B$63))))*BB36)</x:f>
        <x:v>0</x:v>
      </x:c>
      <x:c r="BC46" s="107" t="n">
        <x:f>'Вводные'!$O$89*((IF(SUM($D32:$DS32)=0,0,IF(SUM($D35:$DS35)=0,1,'Вводные'!$B$63)))*BC34+(1-(IF(SUM($D32:$DS32)=0,0,IF(SUM($D35:$DS35)=0,1,'Вводные'!$B$63))))*BC36)</x:f>
        <x:v>0</x:v>
      </x:c>
      <x:c r="BD46" s="107" t="n">
        <x:f>'Вводные'!$O$89*((IF(SUM($D32:$DS32)=0,0,IF(SUM($D35:$DS35)=0,1,'Вводные'!$B$63)))*BD34+(1-(IF(SUM($D32:$DS32)=0,0,IF(SUM($D35:$DS35)=0,1,'Вводные'!$B$63))))*BD36)</x:f>
        <x:v>0</x:v>
      </x:c>
      <x:c r="BE46" s="107" t="n">
        <x:f>'Вводные'!$O$89*((IF(SUM($D32:$DS32)=0,0,IF(SUM($D35:$DS35)=0,1,'Вводные'!$B$63)))*BE34+(1-(IF(SUM($D32:$DS32)=0,0,IF(SUM($D35:$DS35)=0,1,'Вводные'!$B$63))))*BE36)</x:f>
        <x:v>0</x:v>
      </x:c>
      <x:c r="BF46" s="107" t="n">
        <x:f>'Вводные'!$O$89*((IF(SUM($D32:$DS32)=0,0,IF(SUM($D35:$DS35)=0,1,'Вводные'!$B$63)))*BF34+(1-(IF(SUM($D32:$DS32)=0,0,IF(SUM($D35:$DS35)=0,1,'Вводные'!$B$63))))*BF36)</x:f>
        <x:v>0</x:v>
      </x:c>
      <x:c r="BG46" s="107" t="n">
        <x:f>'Вводные'!$O$89*((IF(SUM($D32:$DS32)=0,0,IF(SUM($D35:$DS35)=0,1,'Вводные'!$B$63)))*BG34+(1-(IF(SUM($D32:$DS32)=0,0,IF(SUM($D35:$DS35)=0,1,'Вводные'!$B$63))))*BG36)</x:f>
        <x:v>0</x:v>
      </x:c>
      <x:c r="BH46" s="107" t="n">
        <x:f>'Вводные'!$O$89*((IF(SUM($D32:$DS32)=0,0,IF(SUM($D35:$DS35)=0,1,'Вводные'!$B$63)))*BH34+(1-(IF(SUM($D32:$DS32)=0,0,IF(SUM($D35:$DS35)=0,1,'Вводные'!$B$63))))*BH36)</x:f>
        <x:v>0</x:v>
      </x:c>
      <x:c r="BI46" s="107" t="n">
        <x:f>'Вводные'!$O$89*((IF(SUM($D32:$DS32)=0,0,IF(SUM($D35:$DS35)=0,1,'Вводные'!$B$63)))*BI34+(1-(IF(SUM($D32:$DS32)=0,0,IF(SUM($D35:$DS35)=0,1,'Вводные'!$B$63))))*BI36)</x:f>
        <x:v>0</x:v>
      </x:c>
      <x:c r="BJ46" s="107" t="n">
        <x:f>'Вводные'!$O$89*((IF(SUM($D32:$DS32)=0,0,IF(SUM($D35:$DS35)=0,1,'Вводные'!$B$63)))*BJ34+(1-(IF(SUM($D32:$DS32)=0,0,IF(SUM($D35:$DS35)=0,1,'Вводные'!$B$63))))*BJ36)</x:f>
        <x:v>0</x:v>
      </x:c>
      <x:c r="BK46" s="107" t="n">
        <x:f>'Вводные'!$O$89*((IF(SUM($D32:$DS32)=0,0,IF(SUM($D35:$DS35)=0,1,'Вводные'!$B$63)))*BK34+(1-(IF(SUM($D32:$DS32)=0,0,IF(SUM($D35:$DS35)=0,1,'Вводные'!$B$63))))*BK36)</x:f>
        <x:v>0</x:v>
      </x:c>
      <x:c r="BL46" s="107" t="n">
        <x:f>'Вводные'!$O$89*((IF(SUM($D32:$DS32)=0,0,IF(SUM($D35:$DS35)=0,1,'Вводные'!$B$63)))*BL34+(1-(IF(SUM($D32:$DS32)=0,0,IF(SUM($D35:$DS35)=0,1,'Вводные'!$B$63))))*BL36)</x:f>
        <x:v>0</x:v>
      </x:c>
      <x:c r="BM46" s="107" t="n">
        <x:f>'Вводные'!$O$89*((IF(SUM($D32:$DS32)=0,0,IF(SUM($D35:$DS35)=0,1,'Вводные'!$B$63)))*BM34+(1-(IF(SUM($D32:$DS32)=0,0,IF(SUM($D35:$DS35)=0,1,'Вводные'!$B$63))))*BM36)</x:f>
        <x:v>0</x:v>
      </x:c>
      <x:c r="BN46" s="107" t="n">
        <x:f>'Вводные'!$O$89*((IF(SUM($D32:$DS32)=0,0,IF(SUM($D35:$DS35)=0,1,'Вводные'!$B$63)))*BN34+(1-(IF(SUM($D32:$DS32)=0,0,IF(SUM($D35:$DS35)=0,1,'Вводные'!$B$63))))*BN36)</x:f>
        <x:v>0</x:v>
      </x:c>
      <x:c r="BO46" s="107" t="n">
        <x:f>'Вводные'!$O$89*((IF(SUM($D32:$DS32)=0,0,IF(SUM($D35:$DS35)=0,1,'Вводные'!$B$63)))*BO34+(1-(IF(SUM($D32:$DS32)=0,0,IF(SUM($D35:$DS35)=0,1,'Вводные'!$B$63))))*BO36)</x:f>
        <x:v>0</x:v>
      </x:c>
      <x:c r="BP46" s="107" t="n">
        <x:f>'Вводные'!$O$89*((IF(SUM($D32:$DS32)=0,0,IF(SUM($D35:$DS35)=0,1,'Вводные'!$B$63)))*BP34+(1-(IF(SUM($D32:$DS32)=0,0,IF(SUM($D35:$DS35)=0,1,'Вводные'!$B$63))))*BP36)</x:f>
        <x:v>0</x:v>
      </x:c>
      <x:c r="BQ46" s="107" t="n">
        <x:f>'Вводные'!$O$89*((IF(SUM($D32:$DS32)=0,0,IF(SUM($D35:$DS35)=0,1,'Вводные'!$B$63)))*BQ34+(1-(IF(SUM($D32:$DS32)=0,0,IF(SUM($D35:$DS35)=0,1,'Вводные'!$B$63))))*BQ36)</x:f>
        <x:v>0</x:v>
      </x:c>
      <x:c r="BR46" s="107" t="n">
        <x:f>'Вводные'!$O$89*((IF(SUM($D32:$DS32)=0,0,IF(SUM($D35:$DS35)=0,1,'Вводные'!$B$63)))*BR34+(1-(IF(SUM($D32:$DS32)=0,0,IF(SUM($D35:$DS35)=0,1,'Вводные'!$B$63))))*BR36)</x:f>
        <x:v>0</x:v>
      </x:c>
      <x:c r="BS46" s="107" t="n">
        <x:f>'Вводные'!$O$89*((IF(SUM($D32:$DS32)=0,0,IF(SUM($D35:$DS35)=0,1,'Вводные'!$B$63)))*BS34+(1-(IF(SUM($D32:$DS32)=0,0,IF(SUM($D35:$DS35)=0,1,'Вводные'!$B$63))))*BS36)</x:f>
        <x:v>0</x:v>
      </x:c>
      <x:c r="BT46" s="107" t="n">
        <x:f>'Вводные'!$O$89*((IF(SUM($D32:$DS32)=0,0,IF(SUM($D35:$DS35)=0,1,'Вводные'!$B$63)))*BT34+(1-(IF(SUM($D32:$DS32)=0,0,IF(SUM($D35:$DS35)=0,1,'Вводные'!$B$63))))*BT36)</x:f>
        <x:v>0</x:v>
      </x:c>
      <x:c r="BU46" s="107" t="n">
        <x:f>'Вводные'!$O$89*((IF(SUM($D32:$DS32)=0,0,IF(SUM($D35:$DS35)=0,1,'Вводные'!$B$63)))*BU34+(1-(IF(SUM($D32:$DS32)=0,0,IF(SUM($D35:$DS35)=0,1,'Вводные'!$B$63))))*BU36)</x:f>
        <x:v>0</x:v>
      </x:c>
      <x:c r="BV46" s="107" t="n">
        <x:f>'Вводные'!$O$89*((IF(SUM($D32:$DS32)=0,0,IF(SUM($D35:$DS35)=0,1,'Вводные'!$B$63)))*BV34+(1-(IF(SUM($D32:$DS32)=0,0,IF(SUM($D35:$DS35)=0,1,'Вводные'!$B$63))))*BV36)</x:f>
        <x:v>0</x:v>
      </x:c>
      <x:c r="BW46" s="107" t="n">
        <x:f>'Вводные'!$O$89*((IF(SUM($D32:$DS32)=0,0,IF(SUM($D35:$DS35)=0,1,'Вводные'!$B$63)))*BW34+(1-(IF(SUM($D32:$DS32)=0,0,IF(SUM($D35:$DS35)=0,1,'Вводные'!$B$63))))*BW36)</x:f>
        <x:v>0</x:v>
      </x:c>
      <x:c r="BX46" s="107" t="n">
        <x:f>'Вводные'!$O$89*((IF(SUM($D32:$DS32)=0,0,IF(SUM($D35:$DS35)=0,1,'Вводные'!$B$63)))*BX34+(1-(IF(SUM($D32:$DS32)=0,0,IF(SUM($D35:$DS35)=0,1,'Вводные'!$B$63))))*BX36)</x:f>
        <x:v>0</x:v>
      </x:c>
      <x:c r="BY46" s="107" t="n">
        <x:f>'Вводные'!$O$89*((IF(SUM($D32:$DS32)=0,0,IF(SUM($D35:$DS35)=0,1,'Вводные'!$B$63)))*BY34+(1-(IF(SUM($D32:$DS32)=0,0,IF(SUM($D35:$DS35)=0,1,'Вводные'!$B$63))))*BY36)</x:f>
        <x:v>0</x:v>
      </x:c>
      <x:c r="BZ46" s="107" t="n">
        <x:f>'Вводные'!$O$89*((IF(SUM($D32:$DS32)=0,0,IF(SUM($D35:$DS35)=0,1,'Вводные'!$B$63)))*BZ34+(1-(IF(SUM($D32:$DS32)=0,0,IF(SUM($D35:$DS35)=0,1,'Вводные'!$B$63))))*BZ36)</x:f>
        <x:v>0</x:v>
      </x:c>
      <x:c r="CA46" s="107" t="n">
        <x:f>'Вводные'!$O$89*((IF(SUM($D32:$DS32)=0,0,IF(SUM($D35:$DS35)=0,1,'Вводные'!$B$63)))*CA34+(1-(IF(SUM($D32:$DS32)=0,0,IF(SUM($D35:$DS35)=0,1,'Вводные'!$B$63))))*CA36)</x:f>
        <x:v>0</x:v>
      </x:c>
      <x:c r="CB46" s="107" t="n">
        <x:f>'Вводные'!$O$89*((IF(SUM($D32:$DS32)=0,0,IF(SUM($D35:$DS35)=0,1,'Вводные'!$B$63)))*CB34+(1-(IF(SUM($D32:$DS32)=0,0,IF(SUM($D35:$DS35)=0,1,'Вводные'!$B$63))))*CB36)</x:f>
        <x:v>0</x:v>
      </x:c>
      <x:c r="CC46" s="107" t="n">
        <x:f>'Вводные'!$O$89*((IF(SUM($D32:$DS32)=0,0,IF(SUM($D35:$DS35)=0,1,'Вводные'!$B$63)))*CC34+(1-(IF(SUM($D32:$DS32)=0,0,IF(SUM($D35:$DS35)=0,1,'Вводные'!$B$63))))*CC36)</x:f>
        <x:v>0</x:v>
      </x:c>
      <x:c r="CD46" s="107" t="n">
        <x:f>'Вводные'!$O$89*((IF(SUM($D32:$DS32)=0,0,IF(SUM($D35:$DS35)=0,1,'Вводные'!$B$63)))*CD34+(1-(IF(SUM($D32:$DS32)=0,0,IF(SUM($D35:$DS35)=0,1,'Вводные'!$B$63))))*CD36)</x:f>
        <x:v>0</x:v>
      </x:c>
      <x:c r="CE46" s="107" t="n">
        <x:f>'Вводные'!$O$89*((IF(SUM($D32:$DS32)=0,0,IF(SUM($D35:$DS35)=0,1,'Вводные'!$B$63)))*CE34+(1-(IF(SUM($D32:$DS32)=0,0,IF(SUM($D35:$DS35)=0,1,'Вводные'!$B$63))))*CE36)</x:f>
        <x:v>0</x:v>
      </x:c>
      <x:c r="CF46" s="107" t="n">
        <x:f>'Вводные'!$O$89*((IF(SUM($D32:$DS32)=0,0,IF(SUM($D35:$DS35)=0,1,'Вводные'!$B$63)))*CF34+(1-(IF(SUM($D32:$DS32)=0,0,IF(SUM($D35:$DS35)=0,1,'Вводные'!$B$63))))*CF36)</x:f>
        <x:v>0</x:v>
      </x:c>
      <x:c r="CG46" s="107" t="n">
        <x:f>'Вводные'!$O$89*((IF(SUM($D32:$DS32)=0,0,IF(SUM($D35:$DS35)=0,1,'Вводные'!$B$63)))*CG34+(1-(IF(SUM($D32:$DS32)=0,0,IF(SUM($D35:$DS35)=0,1,'Вводные'!$B$63))))*CG36)</x:f>
        <x:v>0</x:v>
      </x:c>
      <x:c r="CH46" s="107" t="n">
        <x:f>'Вводные'!$O$89*((IF(SUM($D32:$DS32)=0,0,IF(SUM($D35:$DS35)=0,1,'Вводные'!$B$63)))*CH34+(1-(IF(SUM($D32:$DS32)=0,0,IF(SUM($D35:$DS35)=0,1,'Вводные'!$B$63))))*CH36)</x:f>
        <x:v>0</x:v>
      </x:c>
      <x:c r="CI46" s="107" t="n">
        <x:f>'Вводные'!$O$89*((IF(SUM($D32:$DS32)=0,0,IF(SUM($D35:$DS35)=0,1,'Вводные'!$B$63)))*CI34+(1-(IF(SUM($D32:$DS32)=0,0,IF(SUM($D35:$DS35)=0,1,'Вводные'!$B$63))))*CI36)</x:f>
        <x:v>0</x:v>
      </x:c>
      <x:c r="CJ46" s="107" t="n">
        <x:f>'Вводные'!$O$89*((IF(SUM($D32:$DS32)=0,0,IF(SUM($D35:$DS35)=0,1,'Вводные'!$B$63)))*CJ34+(1-(IF(SUM($D32:$DS32)=0,0,IF(SUM($D35:$DS35)=0,1,'Вводные'!$B$63))))*CJ36)</x:f>
        <x:v>0</x:v>
      </x:c>
      <x:c r="CK46" s="107" t="n">
        <x:f>'Вводные'!$O$89*((IF(SUM($D32:$DS32)=0,0,IF(SUM($D35:$DS35)=0,1,'Вводные'!$B$63)))*CK34+(1-(IF(SUM($D32:$DS32)=0,0,IF(SUM($D35:$DS35)=0,1,'Вводные'!$B$63))))*CK36)</x:f>
        <x:v>0</x:v>
      </x:c>
      <x:c r="CL46" s="107" t="n">
        <x:f>'Вводные'!$O$89*((IF(SUM($D32:$DS32)=0,0,IF(SUM($D35:$DS35)=0,1,'Вводные'!$B$63)))*CL34+(1-(IF(SUM($D32:$DS32)=0,0,IF(SUM($D35:$DS35)=0,1,'Вводные'!$B$63))))*CL36)</x:f>
        <x:v>0</x:v>
      </x:c>
      <x:c r="CM46" s="107" t="n">
        <x:f>'Вводные'!$O$89*((IF(SUM($D32:$DS32)=0,0,IF(SUM($D35:$DS35)=0,1,'Вводные'!$B$63)))*CM34+(1-(IF(SUM($D32:$DS32)=0,0,IF(SUM($D35:$DS35)=0,1,'Вводные'!$B$63))))*CM36)</x:f>
        <x:v>0</x:v>
      </x:c>
      <x:c r="CN46" s="107" t="n">
        <x:f>'Вводные'!$O$89*((IF(SUM($D32:$DS32)=0,0,IF(SUM($D35:$DS35)=0,1,'Вводные'!$B$63)))*CN34+(1-(IF(SUM($D32:$DS32)=0,0,IF(SUM($D35:$DS35)=0,1,'Вводные'!$B$63))))*CN36)</x:f>
        <x:v>0</x:v>
      </x:c>
      <x:c r="CO46" s="107" t="n">
        <x:f>'Вводные'!$O$89*((IF(SUM($D32:$DS32)=0,0,IF(SUM($D35:$DS35)=0,1,'Вводные'!$B$63)))*CO34+(1-(IF(SUM($D32:$DS32)=0,0,IF(SUM($D35:$DS35)=0,1,'Вводные'!$B$63))))*CO36)</x:f>
        <x:v>0</x:v>
      </x:c>
      <x:c r="CP46" s="107" t="n">
        <x:f>'Вводные'!$O$89*((IF(SUM($D32:$DS32)=0,0,IF(SUM($D35:$DS35)=0,1,'Вводные'!$B$63)))*CP34+(1-(IF(SUM($D32:$DS32)=0,0,IF(SUM($D35:$DS35)=0,1,'Вводные'!$B$63))))*CP36)</x:f>
        <x:v>0</x:v>
      </x:c>
      <x:c r="CQ46" s="107" t="n">
        <x:f>'Вводные'!$O$89*((IF(SUM($D32:$DS32)=0,0,IF(SUM($D35:$DS35)=0,1,'Вводные'!$B$63)))*CQ34+(1-(IF(SUM($D32:$DS32)=0,0,IF(SUM($D35:$DS35)=0,1,'Вводные'!$B$63))))*CQ36)</x:f>
        <x:v>0</x:v>
      </x:c>
      <x:c r="CR46" s="107" t="n">
        <x:f>'Вводные'!$O$89*((IF(SUM($D32:$DS32)=0,0,IF(SUM($D35:$DS35)=0,1,'Вводные'!$B$63)))*CR34+(1-(IF(SUM($D32:$DS32)=0,0,IF(SUM($D35:$DS35)=0,1,'Вводные'!$B$63))))*CR36)</x:f>
        <x:v>0</x:v>
      </x:c>
      <x:c r="CS46" s="107" t="n">
        <x:f>'Вводные'!$O$89*((IF(SUM($D32:$DS32)=0,0,IF(SUM($D35:$DS35)=0,1,'Вводные'!$B$63)))*CS34+(1-(IF(SUM($D32:$DS32)=0,0,IF(SUM($D35:$DS35)=0,1,'Вводные'!$B$63))))*CS36)</x:f>
        <x:v>0</x:v>
      </x:c>
      <x:c r="CT46" s="107" t="n">
        <x:f>'Вводные'!$O$89*((IF(SUM($D32:$DS32)=0,0,IF(SUM($D35:$DS35)=0,1,'Вводные'!$B$63)))*CT34+(1-(IF(SUM($D32:$DS32)=0,0,IF(SUM($D35:$DS35)=0,1,'Вводные'!$B$63))))*CT36)</x:f>
        <x:v>0</x:v>
      </x:c>
      <x:c r="CU46" s="107" t="n">
        <x:f>'Вводные'!$O$89*((IF(SUM($D32:$DS32)=0,0,IF(SUM($D35:$DS35)=0,1,'Вводные'!$B$63)))*CU34+(1-(IF(SUM($D32:$DS32)=0,0,IF(SUM($D35:$DS35)=0,1,'Вводные'!$B$63))))*CU36)</x:f>
        <x:v>0</x:v>
      </x:c>
      <x:c r="CV46" s="107" t="n">
        <x:f>'Вводные'!$O$89*((IF(SUM($D32:$DS32)=0,0,IF(SUM($D35:$DS35)=0,1,'Вводные'!$B$63)))*CV34+(1-(IF(SUM($D32:$DS32)=0,0,IF(SUM($D35:$DS35)=0,1,'Вводные'!$B$63))))*CV36)</x:f>
        <x:v>0</x:v>
      </x:c>
      <x:c r="CW46" s="107" t="n">
        <x:f>'Вводные'!$O$89*((IF(SUM($D32:$DS32)=0,0,IF(SUM($D35:$DS35)=0,1,'Вводные'!$B$63)))*CW34+(1-(IF(SUM($D32:$DS32)=0,0,IF(SUM($D35:$DS35)=0,1,'Вводные'!$B$63))))*CW36)</x:f>
        <x:v>0</x:v>
      </x:c>
      <x:c r="CX46" s="107" t="n">
        <x:f>'Вводные'!$O$89*((IF(SUM($D32:$DS32)=0,0,IF(SUM($D35:$DS35)=0,1,'Вводные'!$B$63)))*CX34+(1-(IF(SUM($D32:$DS32)=0,0,IF(SUM($D35:$DS35)=0,1,'Вводные'!$B$63))))*CX36)</x:f>
        <x:v>0</x:v>
      </x:c>
      <x:c r="CY46" s="107" t="n">
        <x:f>'Вводные'!$O$89*((IF(SUM($D32:$DS32)=0,0,IF(SUM($D35:$DS35)=0,1,'Вводные'!$B$63)))*CY34+(1-(IF(SUM($D32:$DS32)=0,0,IF(SUM($D35:$DS35)=0,1,'Вводные'!$B$63))))*CY36)</x:f>
        <x:v>0</x:v>
      </x:c>
      <x:c r="CZ46" s="107" t="n">
        <x:f>'Вводные'!$O$89*((IF(SUM($D32:$DS32)=0,0,IF(SUM($D35:$DS35)=0,1,'Вводные'!$B$63)))*CZ34+(1-(IF(SUM($D32:$DS32)=0,0,IF(SUM($D35:$DS35)=0,1,'Вводные'!$B$63))))*CZ36)</x:f>
        <x:v>0</x:v>
      </x:c>
      <x:c r="DA46" s="107" t="n">
        <x:f>'Вводные'!$O$89*((IF(SUM($D32:$DS32)=0,0,IF(SUM($D35:$DS35)=0,1,'Вводные'!$B$63)))*DA34+(1-(IF(SUM($D32:$DS32)=0,0,IF(SUM($D35:$DS35)=0,1,'Вводные'!$B$63))))*DA36)</x:f>
        <x:v>0</x:v>
      </x:c>
      <x:c r="DB46" s="107" t="n">
        <x:f>'Вводные'!$O$89*((IF(SUM($D32:$DS32)=0,0,IF(SUM($D35:$DS35)=0,1,'Вводные'!$B$63)))*DB34+(1-(IF(SUM($D32:$DS32)=0,0,IF(SUM($D35:$DS35)=0,1,'Вводные'!$B$63))))*DB36)</x:f>
        <x:v>0</x:v>
      </x:c>
      <x:c r="DC46" s="107" t="n">
        <x:f>'Вводные'!$O$89*((IF(SUM($D32:$DS32)=0,0,IF(SUM($D35:$DS35)=0,1,'Вводные'!$B$63)))*DC34+(1-(IF(SUM($D32:$DS32)=0,0,IF(SUM($D35:$DS35)=0,1,'Вводные'!$B$63))))*DC36)</x:f>
        <x:v>0</x:v>
      </x:c>
      <x:c r="DD46" s="107" t="n">
        <x:f>'Вводные'!$O$89*((IF(SUM($D32:$DS32)=0,0,IF(SUM($D35:$DS35)=0,1,'Вводные'!$B$63)))*DD34+(1-(IF(SUM($D32:$DS32)=0,0,IF(SUM($D35:$DS35)=0,1,'Вводные'!$B$63))))*DD36)</x:f>
        <x:v>0</x:v>
      </x:c>
      <x:c r="DE46" s="107" t="n">
        <x:f>'Вводные'!$O$89*((IF(SUM($D32:$DS32)=0,0,IF(SUM($D35:$DS35)=0,1,'Вводные'!$B$63)))*DE34+(1-(IF(SUM($D32:$DS32)=0,0,IF(SUM($D35:$DS35)=0,1,'Вводные'!$B$63))))*DE36)</x:f>
        <x:v>0</x:v>
      </x:c>
      <x:c r="DF46" s="107" t="n">
        <x:f>'Вводные'!$O$89*((IF(SUM($D32:$DS32)=0,0,IF(SUM($D35:$DS35)=0,1,'Вводные'!$B$63)))*DF34+(1-(IF(SUM($D32:$DS32)=0,0,IF(SUM($D35:$DS35)=0,1,'Вводные'!$B$63))))*DF36)</x:f>
        <x:v>0</x:v>
      </x:c>
      <x:c r="DG46" s="107" t="n">
        <x:f>'Вводные'!$O$89*((IF(SUM($D32:$DS32)=0,0,IF(SUM($D35:$DS35)=0,1,'Вводные'!$B$63)))*DG34+(1-(IF(SUM($D32:$DS32)=0,0,IF(SUM($D35:$DS35)=0,1,'Вводные'!$B$63))))*DG36)</x:f>
        <x:v>0</x:v>
      </x:c>
      <x:c r="DH46" s="107" t="n">
        <x:f>'Вводные'!$O$89*((IF(SUM($D32:$DS32)=0,0,IF(SUM($D35:$DS35)=0,1,'Вводные'!$B$63)))*DH34+(1-(IF(SUM($D32:$DS32)=0,0,IF(SUM($D35:$DS35)=0,1,'Вводные'!$B$63))))*DH36)</x:f>
        <x:v>0</x:v>
      </x:c>
      <x:c r="DI46" s="107" t="n">
        <x:f>'Вводные'!$O$89*((IF(SUM($D32:$DS32)=0,0,IF(SUM($D35:$DS35)=0,1,'Вводные'!$B$63)))*DI34+(1-(IF(SUM($D32:$DS32)=0,0,IF(SUM($D35:$DS35)=0,1,'Вводные'!$B$63))))*DI36)</x:f>
        <x:v>0</x:v>
      </x:c>
      <x:c r="DJ46" s="107" t="n">
        <x:f>'Вводные'!$O$89*((IF(SUM($D32:$DS32)=0,0,IF(SUM($D35:$DS35)=0,1,'Вводные'!$B$63)))*DJ34+(1-(IF(SUM($D32:$DS32)=0,0,IF(SUM($D35:$DS35)=0,1,'Вводные'!$B$63))))*DJ36)</x:f>
        <x:v>0</x:v>
      </x:c>
      <x:c r="DK46" s="107" t="n">
        <x:f>'Вводные'!$O$89*((IF(SUM($D32:$DS32)=0,0,IF(SUM($D35:$DS35)=0,1,'Вводные'!$B$63)))*DK34+(1-(IF(SUM($D32:$DS32)=0,0,IF(SUM($D35:$DS35)=0,1,'Вводные'!$B$63))))*DK36)</x:f>
        <x:v>0</x:v>
      </x:c>
      <x:c r="DL46" s="107" t="n">
        <x:f>'Вводные'!$O$89*((IF(SUM($D32:$DS32)=0,0,IF(SUM($D35:$DS35)=0,1,'Вводные'!$B$63)))*DL34+(1-(IF(SUM($D32:$DS32)=0,0,IF(SUM($D35:$DS35)=0,1,'Вводные'!$B$63))))*DL36)</x:f>
        <x:v>0</x:v>
      </x:c>
      <x:c r="DM46" s="107" t="n">
        <x:f>'Вводные'!$O$89*((IF(SUM($D32:$DS32)=0,0,IF(SUM($D35:$DS35)=0,1,'Вводные'!$B$63)))*DM34+(1-(IF(SUM($D32:$DS32)=0,0,IF(SUM($D35:$DS35)=0,1,'Вводные'!$B$63))))*DM36)</x:f>
        <x:v>0</x:v>
      </x:c>
      <x:c r="DN46" s="107" t="n">
        <x:f>'Вводные'!$O$89*((IF(SUM($D32:$DS32)=0,0,IF(SUM($D35:$DS35)=0,1,'Вводные'!$B$63)))*DN34+(1-(IF(SUM($D32:$DS32)=0,0,IF(SUM($D35:$DS35)=0,1,'Вводные'!$B$63))))*DN36)</x:f>
        <x:v>0</x:v>
      </x:c>
      <x:c r="DO46" s="107" t="n">
        <x:f>'Вводные'!$O$89*((IF(SUM($D32:$DS32)=0,0,IF(SUM($D35:$DS35)=0,1,'Вводные'!$B$63)))*DO34+(1-(IF(SUM($D32:$DS32)=0,0,IF(SUM($D35:$DS35)=0,1,'Вводные'!$B$63))))*DO36)</x:f>
        <x:v>0</x:v>
      </x:c>
      <x:c r="DP46" s="107" t="n">
        <x:f>'Вводные'!$O$89*((IF(SUM($D32:$DS32)=0,0,IF(SUM($D35:$DS35)=0,1,'Вводные'!$B$63)))*DP34+(1-(IF(SUM($D32:$DS32)=0,0,IF(SUM($D35:$DS35)=0,1,'Вводные'!$B$63))))*DP36)</x:f>
        <x:v>0</x:v>
      </x:c>
      <x:c r="DQ46" s="107" t="n">
        <x:f>'Вводные'!$O$89*((IF(SUM($D32:$DS32)=0,0,IF(SUM($D35:$DS35)=0,1,'Вводные'!$B$63)))*DQ34+(1-(IF(SUM($D32:$DS32)=0,0,IF(SUM($D35:$DS35)=0,1,'Вводные'!$B$63))))*DQ36)</x:f>
        <x:v>0</x:v>
      </x:c>
      <x:c r="DR46" s="107" t="n">
        <x:f>'Вводные'!$O$89*((IF(SUM($D32:$DS32)=0,0,IF(SUM($D35:$DS35)=0,1,'Вводные'!$B$63)))*DR34+(1-(IF(SUM($D32:$DS32)=0,0,IF(SUM($D35:$DS35)=0,1,'Вводные'!$B$63))))*DR36)</x:f>
        <x:v>0</x:v>
      </x:c>
      <x:c r="DS46" s="107" t="n">
        <x:f>'Вводные'!$O$89*((IF(SUM($D32:$DS32)=0,0,IF(SUM($D35:$DS35)=0,1,'Вводные'!$B$63)))*DS34+(1-(IF(SUM($D32:$DS32)=0,0,IF(SUM($D35:$DS35)=0,1,'Вводные'!$B$63))))*DS36)</x:f>
        <x:v>0</x:v>
      </x:c>
    </x:row>
    <x:row r="47">
      <x:c r="A47" t="str">
        <x:v>Кладовые — цена</x:v>
      </x:c>
      <x:c r="B47" t="n">
        <x:f>IFERROR(B48*1000/B46,0)</x:f>
        <x:v>0</x:v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8">
      <x:c r="A48" t="str">
        <x:v>Кладовые — выручка</x:v>
      </x:c>
      <x:c r="B48" t="n">
        <x:f>SUM(D48:DS48)</x:f>
        <x:v>0</x:v>
      </x:c>
      <x:c r="C48" t="str">
        <x:v>млн ₽</x:v>
      </x:c>
      <x:c r="D48" s="107" t="n">
        <x:f>D46*D47/1000</x:f>
        <x:v>0</x:v>
      </x:c>
      <x:c r="E48" s="107" t="n">
        <x:f>E46*E47/1000</x:f>
        <x:v>0</x:v>
      </x:c>
      <x:c r="F48" s="107" t="n">
        <x:f>F46*F47/1000</x:f>
        <x:v>0</x:v>
      </x:c>
      <x:c r="G48" s="107" t="n">
        <x:f>G46*G47/1000</x:f>
        <x:v>0</x:v>
      </x:c>
      <x:c r="H48" s="107" t="n">
        <x:f>H46*H47/1000</x:f>
        <x:v>0</x:v>
      </x:c>
      <x:c r="I48" s="107" t="n">
        <x:f>I46*I47/1000</x:f>
        <x:v>0</x:v>
      </x:c>
      <x:c r="J48" s="107" t="n">
        <x:f>J46*J47/1000</x:f>
        <x:v>0</x:v>
      </x:c>
      <x:c r="K48" s="107" t="n">
        <x:f>K46*K47/1000</x:f>
        <x:v>0</x:v>
      </x:c>
      <x:c r="L48" s="107" t="n">
        <x:f>L46*L47/1000</x:f>
        <x:v>0</x:v>
      </x:c>
      <x:c r="M48" s="107" t="n">
        <x:f>M46*M47/1000</x:f>
        <x:v>0</x:v>
      </x:c>
      <x:c r="N48" s="107" t="n">
        <x:f>N46*N47/1000</x:f>
        <x:v>0</x:v>
      </x:c>
      <x:c r="O48" s="107" t="n">
        <x:f>O46*O47/1000</x:f>
        <x:v>0</x:v>
      </x:c>
      <x:c r="P48" s="107" t="n">
        <x:f>P46*P47/1000</x:f>
        <x:v>0</x:v>
      </x:c>
      <x:c r="Q48" s="107" t="n">
        <x:f>Q46*Q47/1000</x:f>
        <x:v>0</x:v>
      </x:c>
      <x:c r="R48" s="107" t="n">
        <x:f>R46*R47/1000</x:f>
        <x:v>0</x:v>
      </x:c>
      <x:c r="S48" s="107" t="n">
        <x:f>S46*S47/1000</x:f>
        <x:v>0</x:v>
      </x:c>
      <x:c r="T48" s="107" t="n">
        <x:f>T46*T47/1000</x:f>
        <x:v>0</x:v>
      </x:c>
      <x:c r="U48" s="107" t="n">
        <x:f>U46*U47/1000</x:f>
        <x:v>0</x:v>
      </x:c>
      <x:c r="V48" s="107" t="n">
        <x:f>V46*V47/1000</x:f>
        <x:v>0</x:v>
      </x:c>
      <x:c r="W48" s="107" t="n">
        <x:f>W46*W47/1000</x:f>
        <x:v>0</x:v>
      </x:c>
      <x:c r="X48" s="107" t="n">
        <x:f>X46*X47/1000</x:f>
        <x:v>0</x:v>
      </x:c>
      <x:c r="Y48" s="107" t="n">
        <x:f>Y46*Y47/1000</x:f>
        <x:v>0</x:v>
      </x:c>
      <x:c r="Z48" s="107" t="n">
        <x:f>Z46*Z47/1000</x:f>
        <x:v>0</x:v>
      </x:c>
      <x:c r="AA48" s="107" t="n">
        <x:f>AA46*AA47/1000</x:f>
        <x:v>0</x:v>
      </x:c>
      <x:c r="AB48" s="107" t="n">
        <x:f>AB46*AB47/1000</x:f>
        <x:v>0</x:v>
      </x:c>
      <x:c r="AC48" s="107" t="n">
        <x:f>AC46*AC47/1000</x:f>
        <x:v>0</x:v>
      </x:c>
      <x:c r="AD48" s="107" t="n">
        <x:f>AD46*AD47/1000</x:f>
        <x:v>0</x:v>
      </x:c>
      <x:c r="AE48" s="107" t="n">
        <x:f>AE46*AE47/1000</x:f>
        <x:v>0</x:v>
      </x:c>
      <x:c r="AF48" s="107" t="n">
        <x:f>AF46*AF47/1000</x:f>
        <x:v>0</x:v>
      </x:c>
      <x:c r="AG48" s="107" t="n">
        <x:f>AG46*AG47/1000</x:f>
        <x:v>0</x:v>
      </x:c>
      <x:c r="AH48" s="107" t="n">
        <x:f>AH46*AH47/1000</x:f>
        <x:v>0</x:v>
      </x:c>
      <x:c r="AI48" s="107" t="n">
        <x:f>AI46*AI47/1000</x:f>
        <x:v>0</x:v>
      </x:c>
      <x:c r="AJ48" s="107" t="n">
        <x:f>AJ46*AJ47/1000</x:f>
        <x:v>0</x:v>
      </x:c>
      <x:c r="AK48" s="107" t="n">
        <x:f>AK46*AK47/1000</x:f>
        <x:v>0</x:v>
      </x:c>
      <x:c r="AL48" s="107" t="n">
        <x:f>AL46*AL47/1000</x:f>
        <x:v>0</x:v>
      </x:c>
      <x:c r="AM48" s="107" t="n">
        <x:f>AM46*AM47/1000</x:f>
        <x:v>0</x:v>
      </x:c>
      <x:c r="AN48" s="107" t="n">
        <x:f>AN46*AN47/1000</x:f>
        <x:v>0</x:v>
      </x:c>
      <x:c r="AO48" s="107" t="n">
        <x:f>AO46*AO47/1000</x:f>
        <x:v>0</x:v>
      </x:c>
      <x:c r="AP48" s="107" t="n">
        <x:f>AP46*AP47/1000</x:f>
        <x:v>0</x:v>
      </x:c>
      <x:c r="AQ48" s="107" t="n">
        <x:f>AQ46*AQ47/1000</x:f>
        <x:v>0</x:v>
      </x:c>
      <x:c r="AR48" s="107" t="n">
        <x:f>AR46*AR47/1000</x:f>
        <x:v>0</x:v>
      </x:c>
      <x:c r="AS48" s="107" t="n">
        <x:f>AS46*AS47/1000</x:f>
        <x:v>0</x:v>
      </x:c>
      <x:c r="AT48" s="107" t="n">
        <x:f>AT46*AT47/1000</x:f>
        <x:v>0</x:v>
      </x:c>
      <x:c r="AU48" s="107" t="n">
        <x:f>AU46*AU47/1000</x:f>
        <x:v>0</x:v>
      </x:c>
      <x:c r="AV48" s="107" t="n">
        <x:f>AV46*AV47/1000</x:f>
        <x:v>0</x:v>
      </x:c>
      <x:c r="AW48" s="107" t="n">
        <x:f>AW46*AW47/1000</x:f>
        <x:v>0</x:v>
      </x:c>
      <x:c r="AX48" s="107" t="n">
        <x:f>AX46*AX47/1000</x:f>
        <x:v>0</x:v>
      </x:c>
      <x:c r="AY48" s="107" t="n">
        <x:f>AY46*AY47/1000</x:f>
        <x:v>0</x:v>
      </x:c>
      <x:c r="AZ48" s="107" t="n">
        <x:f>AZ46*AZ47/1000</x:f>
        <x:v>0</x:v>
      </x:c>
      <x:c r="BA48" s="107" t="n">
        <x:f>BA46*BA47/1000</x:f>
        <x:v>0</x:v>
      </x:c>
      <x:c r="BB48" s="107" t="n">
        <x:f>BB46*BB47/1000</x:f>
        <x:v>0</x:v>
      </x:c>
      <x:c r="BC48" s="107" t="n">
        <x:f>BC46*BC47/1000</x:f>
        <x:v>0</x:v>
      </x:c>
      <x:c r="BD48" s="107" t="n">
        <x:f>BD46*BD47/1000</x:f>
        <x:v>0</x:v>
      </x:c>
      <x:c r="BE48" s="107" t="n">
        <x:f>BE46*BE47/1000</x:f>
        <x:v>0</x:v>
      </x:c>
      <x:c r="BF48" s="107" t="n">
        <x:f>BF46*BF47/1000</x:f>
        <x:v>0</x:v>
      </x:c>
      <x:c r="BG48" s="107" t="n">
        <x:f>BG46*BG47/1000</x:f>
        <x:v>0</x:v>
      </x:c>
      <x:c r="BH48" s="107" t="n">
        <x:f>BH46*BH47/1000</x:f>
        <x:v>0</x:v>
      </x:c>
      <x:c r="BI48" s="107" t="n">
        <x:f>BI46*BI47/1000</x:f>
        <x:v>0</x:v>
      </x:c>
      <x:c r="BJ48" s="107" t="n">
        <x:f>BJ46*BJ47/1000</x:f>
        <x:v>0</x:v>
      </x:c>
      <x:c r="BK48" s="107" t="n">
        <x:f>BK46*BK47/1000</x:f>
        <x:v>0</x:v>
      </x:c>
      <x:c r="BL48" s="107" t="n">
        <x:f>BL46*BL47/1000</x:f>
        <x:v>0</x:v>
      </x:c>
      <x:c r="BM48" s="107" t="n">
        <x:f>BM46*BM47/1000</x:f>
        <x:v>0</x:v>
      </x:c>
      <x:c r="BN48" s="107" t="n">
        <x:f>BN46*BN47/1000</x:f>
        <x:v>0</x:v>
      </x:c>
      <x:c r="BO48" s="107" t="n">
        <x:f>BO46*BO47/1000</x:f>
        <x:v>0</x:v>
      </x:c>
      <x:c r="BP48" s="107" t="n">
        <x:f>BP46*BP47/1000</x:f>
        <x:v>0</x:v>
      </x:c>
      <x:c r="BQ48" s="107" t="n">
        <x:f>BQ46*BQ47/1000</x:f>
        <x:v>0</x:v>
      </x:c>
      <x:c r="BR48" s="107" t="n">
        <x:f>BR46*BR47/1000</x:f>
        <x:v>0</x:v>
      </x:c>
      <x:c r="BS48" s="107" t="n">
        <x:f>BS46*BS47/1000</x:f>
        <x:v>0</x:v>
      </x:c>
      <x:c r="BT48" s="107" t="n">
        <x:f>BT46*BT47/1000</x:f>
        <x:v>0</x:v>
      </x:c>
      <x:c r="BU48" s="107" t="n">
        <x:f>BU46*BU47/1000</x:f>
        <x:v>0</x:v>
      </x:c>
      <x:c r="BV48" s="107" t="n">
        <x:f>BV46*BV47/1000</x:f>
        <x:v>0</x:v>
      </x:c>
      <x:c r="BW48" s="107" t="n">
        <x:f>BW46*BW47/1000</x:f>
        <x:v>0</x:v>
      </x:c>
      <x:c r="BX48" s="107" t="n">
        <x:f>BX46*BX47/1000</x:f>
        <x:v>0</x:v>
      </x:c>
      <x:c r="BY48" s="107" t="n">
        <x:f>BY46*BY47/1000</x:f>
        <x:v>0</x:v>
      </x:c>
      <x:c r="BZ48" s="107" t="n">
        <x:f>BZ46*BZ47/1000</x:f>
        <x:v>0</x:v>
      </x:c>
      <x:c r="CA48" s="107" t="n">
        <x:f>CA46*CA47/1000</x:f>
        <x:v>0</x:v>
      </x:c>
      <x:c r="CB48" s="107" t="n">
        <x:f>CB46*CB47/1000</x:f>
        <x:v>0</x:v>
      </x:c>
      <x:c r="CC48" s="107" t="n">
        <x:f>CC46*CC47/1000</x:f>
        <x:v>0</x:v>
      </x:c>
      <x:c r="CD48" s="107" t="n">
        <x:f>CD46*CD47/1000</x:f>
        <x:v>0</x:v>
      </x:c>
      <x:c r="CE48" s="107" t="n">
        <x:f>CE46*CE47/1000</x:f>
        <x:v>0</x:v>
      </x:c>
      <x:c r="CF48" s="107" t="n">
        <x:f>CF46*CF47/1000</x:f>
        <x:v>0</x:v>
      </x:c>
      <x:c r="CG48" s="107" t="n">
        <x:f>CG46*CG47/1000</x:f>
        <x:v>0</x:v>
      </x:c>
      <x:c r="CH48" s="107" t="n">
        <x:f>CH46*CH47/1000</x:f>
        <x:v>0</x:v>
      </x:c>
      <x:c r="CI48" s="107" t="n">
        <x:f>CI46*CI47/1000</x:f>
        <x:v>0</x:v>
      </x:c>
      <x:c r="CJ48" s="107" t="n">
        <x:f>CJ46*CJ47/1000</x:f>
        <x:v>0</x:v>
      </x:c>
      <x:c r="CK48" s="107" t="n">
        <x:f>CK46*CK47/1000</x:f>
        <x:v>0</x:v>
      </x:c>
      <x:c r="CL48" s="107" t="n">
        <x:f>CL46*CL47/1000</x:f>
        <x:v>0</x:v>
      </x:c>
      <x:c r="CM48" s="107" t="n">
        <x:f>CM46*CM47/1000</x:f>
        <x:v>0</x:v>
      </x:c>
      <x:c r="CN48" s="107" t="n">
        <x:f>CN46*CN47/1000</x:f>
        <x:v>0</x:v>
      </x:c>
      <x:c r="CO48" s="107" t="n">
        <x:f>CO46*CO47/1000</x:f>
        <x:v>0</x:v>
      </x:c>
      <x:c r="CP48" s="107" t="n">
        <x:f>CP46*CP47/1000</x:f>
        <x:v>0</x:v>
      </x:c>
      <x:c r="CQ48" s="107" t="n">
        <x:f>CQ46*CQ47/1000</x:f>
        <x:v>0</x:v>
      </x:c>
      <x:c r="CR48" s="107" t="n">
        <x:f>CR46*CR47/1000</x:f>
        <x:v>0</x:v>
      </x:c>
      <x:c r="CS48" s="107" t="n">
        <x:f>CS46*CS47/1000</x:f>
        <x:v>0</x:v>
      </x:c>
      <x:c r="CT48" s="107" t="n">
        <x:f>CT46*CT47/1000</x:f>
        <x:v>0</x:v>
      </x:c>
      <x:c r="CU48" s="107" t="n">
        <x:f>CU46*CU47/1000</x:f>
        <x:v>0</x:v>
      </x:c>
      <x:c r="CV48" s="107" t="n">
        <x:f>CV46*CV47/1000</x:f>
        <x:v>0</x:v>
      </x:c>
      <x:c r="CW48" s="107" t="n">
        <x:f>CW46*CW47/1000</x:f>
        <x:v>0</x:v>
      </x:c>
      <x:c r="CX48" s="107" t="n">
        <x:f>CX46*CX47/1000</x:f>
        <x:v>0</x:v>
      </x:c>
      <x:c r="CY48" s="107" t="n">
        <x:f>CY46*CY47/1000</x:f>
        <x:v>0</x:v>
      </x:c>
      <x:c r="CZ48" s="107" t="n">
        <x:f>CZ46*CZ47/1000</x:f>
        <x:v>0</x:v>
      </x:c>
      <x:c r="DA48" s="107" t="n">
        <x:f>DA46*DA47/1000</x:f>
        <x:v>0</x:v>
      </x:c>
      <x:c r="DB48" s="107" t="n">
        <x:f>DB46*DB47/1000</x:f>
        <x:v>0</x:v>
      </x:c>
      <x:c r="DC48" s="107" t="n">
        <x:f>DC46*DC47/1000</x:f>
        <x:v>0</x:v>
      </x:c>
      <x:c r="DD48" s="107" t="n">
        <x:f>DD46*DD47/1000</x:f>
        <x:v>0</x:v>
      </x:c>
      <x:c r="DE48" s="107" t="n">
        <x:f>DE46*DE47/1000</x:f>
        <x:v>0</x:v>
      </x:c>
      <x:c r="DF48" s="107" t="n">
        <x:f>DF46*DF47/1000</x:f>
        <x:v>0</x:v>
      </x:c>
      <x:c r="DG48" s="107" t="n">
        <x:f>DG46*DG47/1000</x:f>
        <x:v>0</x:v>
      </x:c>
      <x:c r="DH48" s="107" t="n">
        <x:f>DH46*DH47/1000</x:f>
        <x:v>0</x:v>
      </x:c>
      <x:c r="DI48" s="107" t="n">
        <x:f>DI46*DI47/1000</x:f>
        <x:v>0</x:v>
      </x:c>
      <x:c r="DJ48" s="107" t="n">
        <x:f>DJ46*DJ47/1000</x:f>
        <x:v>0</x:v>
      </x:c>
      <x:c r="DK48" s="107" t="n">
        <x:f>DK46*DK47/1000</x:f>
        <x:v>0</x:v>
      </x:c>
      <x:c r="DL48" s="107" t="n">
        <x:f>DL46*DL47/1000</x:f>
        <x:v>0</x:v>
      </x:c>
      <x:c r="DM48" s="107" t="n">
        <x:f>DM46*DM47/1000</x:f>
        <x:v>0</x:v>
      </x:c>
      <x:c r="DN48" s="107" t="n">
        <x:f>DN46*DN47/1000</x:f>
        <x:v>0</x:v>
      </x:c>
      <x:c r="DO48" s="107" t="n">
        <x:f>DO46*DO47/1000</x:f>
        <x:v>0</x:v>
      </x:c>
      <x:c r="DP48" s="107" t="n">
        <x:f>DP46*DP47/1000</x:f>
        <x:v>0</x:v>
      </x:c>
      <x:c r="DQ48" s="107" t="n">
        <x:f>DQ46*DQ47/1000</x:f>
        <x:v>0</x:v>
      </x:c>
      <x:c r="DR48" s="107" t="n">
        <x:f>DR46*DR47/1000</x:f>
        <x:v>0</x:v>
      </x:c>
      <x:c r="DS48" s="107" t="n">
        <x:f>DS46*DS47/1000</x:f>
        <x:v>0</x:v>
      </x:c>
    </x:row>
    <x:row r="49">
      <x:c r="A49" s="113" t="str">
        <x:v>ВЫРУЧКА ОЧЕРЕДИ</x:v>
      </x:c>
      <x:c r="B49" s="113" t="n">
        <x:f>SUM(D49:DS49)</x:f>
        <x:v>0</x:v>
      </x:c>
      <x:c r="C49" s="113" t="str">
        <x:v>млн ₽</x:v>
      </x:c>
      <x:c r="D49" s="113" t="n">
        <x:f>SUM(D39,D42,D45,D48)</x:f>
        <x:v>0</x:v>
      </x:c>
      <x:c r="E49" s="113" t="n">
        <x:f>SUM(E39,E42,E45,E48)</x:f>
        <x:v>0</x:v>
      </x:c>
      <x:c r="F49" s="113" t="n">
        <x:f>SUM(F39,F42,F45,F48)</x:f>
        <x:v>0</x:v>
      </x:c>
      <x:c r="G49" s="113" t="n">
        <x:f>SUM(G39,G42,G45,G48)</x:f>
        <x:v>0</x:v>
      </x:c>
      <x:c r="H49" s="113" t="n">
        <x:f>SUM(H39,H42,H45,H48)</x:f>
        <x:v>0</x:v>
      </x:c>
      <x:c r="I49" s="113" t="n">
        <x:f>SUM(I39,I42,I45,I48)</x:f>
        <x:v>0</x:v>
      </x:c>
      <x:c r="J49" s="113" t="n">
        <x:f>SUM(J39,J42,J45,J48)</x:f>
        <x:v>0</x:v>
      </x:c>
      <x:c r="K49" s="113" t="n">
        <x:f>SUM(K39,K42,K45,K48)</x:f>
        <x:v>0</x:v>
      </x:c>
      <x:c r="L49" s="113" t="n">
        <x:f>SUM(L39,L42,L45,L48)</x:f>
        <x:v>0</x:v>
      </x:c>
      <x:c r="M49" s="113" t="n">
        <x:f>SUM(M39,M42,M45,M48)</x:f>
        <x:v>0</x:v>
      </x:c>
      <x:c r="N49" s="113" t="n">
        <x:f>SUM(N39,N42,N45,N48)</x:f>
        <x:v>0</x:v>
      </x:c>
      <x:c r="O49" s="113" t="n">
        <x:f>SUM(O39,O42,O45,O48)</x:f>
        <x:v>0</x:v>
      </x:c>
      <x:c r="P49" s="113" t="n">
        <x:f>SUM(P39,P42,P45,P48)</x:f>
        <x:v>0</x:v>
      </x:c>
      <x:c r="Q49" s="113" t="n">
        <x:f>SUM(Q39,Q42,Q45,Q48)</x:f>
        <x:v>0</x:v>
      </x:c>
      <x:c r="R49" s="113" t="n">
        <x:f>SUM(R39,R42,R45,R48)</x:f>
        <x:v>0</x:v>
      </x:c>
      <x:c r="S49" s="113" t="n">
        <x:f>SUM(S39,S42,S45,S48)</x:f>
        <x:v>0</x:v>
      </x:c>
      <x:c r="T49" s="113" t="n">
        <x:f>SUM(T39,T42,T45,T48)</x:f>
        <x:v>0</x:v>
      </x:c>
      <x:c r="U49" s="113" t="n">
        <x:f>SUM(U39,U42,U45,U48)</x:f>
        <x:v>0</x:v>
      </x:c>
      <x:c r="V49" s="113" t="n">
        <x:f>SUM(V39,V42,V45,V48)</x:f>
        <x:v>0</x:v>
      </x:c>
      <x:c r="W49" s="113" t="n">
        <x:f>SUM(W39,W42,W45,W48)</x:f>
        <x:v>0</x:v>
      </x:c>
      <x:c r="X49" s="113" t="n">
        <x:f>SUM(X39,X42,X45,X48)</x:f>
        <x:v>0</x:v>
      </x:c>
      <x:c r="Y49" s="113" t="n">
        <x:f>SUM(Y39,Y42,Y45,Y48)</x:f>
        <x:v>0</x:v>
      </x:c>
      <x:c r="Z49" s="113" t="n">
        <x:f>SUM(Z39,Z42,Z45,Z48)</x:f>
        <x:v>0</x:v>
      </x:c>
      <x:c r="AA49" s="113" t="n">
        <x:f>SUM(AA39,AA42,AA45,AA48)</x:f>
        <x:v>0</x:v>
      </x:c>
      <x:c r="AB49" s="113" t="n">
        <x:f>SUM(AB39,AB42,AB45,AB48)</x:f>
        <x:v>0</x:v>
      </x:c>
      <x:c r="AC49" s="113" t="n">
        <x:f>SUM(AC39,AC42,AC45,AC48)</x:f>
        <x:v>0</x:v>
      </x:c>
      <x:c r="AD49" s="113" t="n">
        <x:f>SUM(AD39,AD42,AD45,AD48)</x:f>
        <x:v>0</x:v>
      </x:c>
      <x:c r="AE49" s="113" t="n">
        <x:f>SUM(AE39,AE42,AE45,AE48)</x:f>
        <x:v>0</x:v>
      </x:c>
      <x:c r="AF49" s="113" t="n">
        <x:f>SUM(AF39,AF42,AF45,AF48)</x:f>
        <x:v>0</x:v>
      </x:c>
      <x:c r="AG49" s="113" t="n">
        <x:f>SUM(AG39,AG42,AG45,AG48)</x:f>
        <x:v>0</x:v>
      </x:c>
      <x:c r="AH49" s="113" t="n">
        <x:f>SUM(AH39,AH42,AH45,AH48)</x:f>
        <x:v>0</x:v>
      </x:c>
      <x:c r="AI49" s="113" t="n">
        <x:f>SUM(AI39,AI42,AI45,AI48)</x:f>
        <x:v>0</x:v>
      </x:c>
      <x:c r="AJ49" s="113" t="n">
        <x:f>SUM(AJ39,AJ42,AJ45,AJ48)</x:f>
        <x:v>0</x:v>
      </x:c>
      <x:c r="AK49" s="113" t="n">
        <x:f>SUM(AK39,AK42,AK45,AK48)</x:f>
        <x:v>0</x:v>
      </x:c>
      <x:c r="AL49" s="113" t="n">
        <x:f>SUM(AL39,AL42,AL45,AL48)</x:f>
        <x:v>0</x:v>
      </x:c>
      <x:c r="AM49" s="113" t="n">
        <x:f>SUM(AM39,AM42,AM45,AM48)</x:f>
        <x:v>0</x:v>
      </x:c>
      <x:c r="AN49" s="113" t="n">
        <x:f>SUM(AN39,AN42,AN45,AN48)</x:f>
        <x:v>0</x:v>
      </x:c>
      <x:c r="AO49" s="113" t="n">
        <x:f>SUM(AO39,AO42,AO45,AO48)</x:f>
        <x:v>0</x:v>
      </x:c>
      <x:c r="AP49" s="113" t="n">
        <x:f>SUM(AP39,AP42,AP45,AP48)</x:f>
        <x:v>0</x:v>
      </x:c>
      <x:c r="AQ49" s="113" t="n">
        <x:f>SUM(AQ39,AQ42,AQ45,AQ48)</x:f>
        <x:v>0</x:v>
      </x:c>
      <x:c r="AR49" s="113" t="n">
        <x:f>SUM(AR39,AR42,AR45,AR48)</x:f>
        <x:v>0</x:v>
      </x:c>
      <x:c r="AS49" s="113" t="n">
        <x:f>SUM(AS39,AS42,AS45,AS48)</x:f>
        <x:v>0</x:v>
      </x:c>
      <x:c r="AT49" s="113" t="n">
        <x:f>SUM(AT39,AT42,AT45,AT48)</x:f>
        <x:v>0</x:v>
      </x:c>
      <x:c r="AU49" s="113" t="n">
        <x:f>SUM(AU39,AU42,AU45,AU48)</x:f>
        <x:v>0</x:v>
      </x:c>
      <x:c r="AV49" s="113" t="n">
        <x:f>SUM(AV39,AV42,AV45,AV48)</x:f>
        <x:v>0</x:v>
      </x:c>
      <x:c r="AW49" s="113" t="n">
        <x:f>SUM(AW39,AW42,AW45,AW48)</x:f>
        <x:v>0</x:v>
      </x:c>
      <x:c r="AX49" s="113" t="n">
        <x:f>SUM(AX39,AX42,AX45,AX48)</x:f>
        <x:v>0</x:v>
      </x:c>
      <x:c r="AY49" s="113" t="n">
        <x:f>SUM(AY39,AY42,AY45,AY48)</x:f>
        <x:v>0</x:v>
      </x:c>
      <x:c r="AZ49" s="113" t="n">
        <x:f>SUM(AZ39,AZ42,AZ45,AZ48)</x:f>
        <x:v>0</x:v>
      </x:c>
      <x:c r="BA49" s="113" t="n">
        <x:f>SUM(BA39,BA42,BA45,BA48)</x:f>
        <x:v>0</x:v>
      </x:c>
      <x:c r="BB49" s="113" t="n">
        <x:f>SUM(BB39,BB42,BB45,BB48)</x:f>
        <x:v>0</x:v>
      </x:c>
      <x:c r="BC49" s="113" t="n">
        <x:f>SUM(BC39,BC42,BC45,BC48)</x:f>
        <x:v>0</x:v>
      </x:c>
      <x:c r="BD49" s="113" t="n">
        <x:f>SUM(BD39,BD42,BD45,BD48)</x:f>
        <x:v>0</x:v>
      </x:c>
      <x:c r="BE49" s="113" t="n">
        <x:f>SUM(BE39,BE42,BE45,BE48)</x:f>
        <x:v>0</x:v>
      </x:c>
      <x:c r="BF49" s="113" t="n">
        <x:f>SUM(BF39,BF42,BF45,BF48)</x:f>
        <x:v>0</x:v>
      </x:c>
      <x:c r="BG49" s="113" t="n">
        <x:f>SUM(BG39,BG42,BG45,BG48)</x:f>
        <x:v>0</x:v>
      </x:c>
      <x:c r="BH49" s="113" t="n">
        <x:f>SUM(BH39,BH42,BH45,BH48)</x:f>
        <x:v>0</x:v>
      </x:c>
      <x:c r="BI49" s="113" t="n">
        <x:f>SUM(BI39,BI42,BI45,BI48)</x:f>
        <x:v>0</x:v>
      </x:c>
      <x:c r="BJ49" s="113" t="n">
        <x:f>SUM(BJ39,BJ42,BJ45,BJ48)</x:f>
        <x:v>0</x:v>
      </x:c>
      <x:c r="BK49" s="113" t="n">
        <x:f>SUM(BK39,BK42,BK45,BK48)</x:f>
        <x:v>0</x:v>
      </x:c>
      <x:c r="BL49" s="113" t="n">
        <x:f>SUM(BL39,BL42,BL45,BL48)</x:f>
        <x:v>0</x:v>
      </x:c>
      <x:c r="BM49" s="113" t="n">
        <x:f>SUM(BM39,BM42,BM45,BM48)</x:f>
        <x:v>0</x:v>
      </x:c>
      <x:c r="BN49" s="113" t="n">
        <x:f>SUM(BN39,BN42,BN45,BN48)</x:f>
        <x:v>0</x:v>
      </x:c>
      <x:c r="BO49" s="113" t="n">
        <x:f>SUM(BO39,BO42,BO45,BO48)</x:f>
        <x:v>0</x:v>
      </x:c>
      <x:c r="BP49" s="113" t="n">
        <x:f>SUM(BP39,BP42,BP45,BP48)</x:f>
        <x:v>0</x:v>
      </x:c>
      <x:c r="BQ49" s="113" t="n">
        <x:f>SUM(BQ39,BQ42,BQ45,BQ48)</x:f>
        <x:v>0</x:v>
      </x:c>
      <x:c r="BR49" s="113" t="n">
        <x:f>SUM(BR39,BR42,BR45,BR48)</x:f>
        <x:v>0</x:v>
      </x:c>
      <x:c r="BS49" s="113" t="n">
        <x:f>SUM(BS39,BS42,BS45,BS48)</x:f>
        <x:v>0</x:v>
      </x:c>
      <x:c r="BT49" s="113" t="n">
        <x:f>SUM(BT39,BT42,BT45,BT48)</x:f>
        <x:v>0</x:v>
      </x:c>
      <x:c r="BU49" s="113" t="n">
        <x:f>SUM(BU39,BU42,BU45,BU48)</x:f>
        <x:v>0</x:v>
      </x:c>
      <x:c r="BV49" s="113" t="n">
        <x:f>SUM(BV39,BV42,BV45,BV48)</x:f>
        <x:v>0</x:v>
      </x:c>
      <x:c r="BW49" s="113" t="n">
        <x:f>SUM(BW39,BW42,BW45,BW48)</x:f>
        <x:v>0</x:v>
      </x:c>
      <x:c r="BX49" s="113" t="n">
        <x:f>SUM(BX39,BX42,BX45,BX48)</x:f>
        <x:v>0</x:v>
      </x:c>
      <x:c r="BY49" s="113" t="n">
        <x:f>SUM(BY39,BY42,BY45,BY48)</x:f>
        <x:v>0</x:v>
      </x:c>
      <x:c r="BZ49" s="113" t="n">
        <x:f>SUM(BZ39,BZ42,BZ45,BZ48)</x:f>
        <x:v>0</x:v>
      </x:c>
      <x:c r="CA49" s="113" t="n">
        <x:f>SUM(CA39,CA42,CA45,CA48)</x:f>
        <x:v>0</x:v>
      </x:c>
      <x:c r="CB49" s="113" t="n">
        <x:f>SUM(CB39,CB42,CB45,CB48)</x:f>
        <x:v>0</x:v>
      </x:c>
      <x:c r="CC49" s="113" t="n">
        <x:f>SUM(CC39,CC42,CC45,CC48)</x:f>
        <x:v>0</x:v>
      </x:c>
      <x:c r="CD49" s="113" t="n">
        <x:f>SUM(CD39,CD42,CD45,CD48)</x:f>
        <x:v>0</x:v>
      </x:c>
      <x:c r="CE49" s="113" t="n">
        <x:f>SUM(CE39,CE42,CE45,CE48)</x:f>
        <x:v>0</x:v>
      </x:c>
      <x:c r="CF49" s="113" t="n">
        <x:f>SUM(CF39,CF42,CF45,CF48)</x:f>
        <x:v>0</x:v>
      </x:c>
      <x:c r="CG49" s="113" t="n">
        <x:f>SUM(CG39,CG42,CG45,CG48)</x:f>
        <x:v>0</x:v>
      </x:c>
      <x:c r="CH49" s="113" t="n">
        <x:f>SUM(CH39,CH42,CH45,CH48)</x:f>
        <x:v>0</x:v>
      </x:c>
      <x:c r="CI49" s="113" t="n">
        <x:f>SUM(CI39,CI42,CI45,CI48)</x:f>
        <x:v>0</x:v>
      </x:c>
      <x:c r="CJ49" s="113" t="n">
        <x:f>SUM(CJ39,CJ42,CJ45,CJ48)</x:f>
        <x:v>0</x:v>
      </x:c>
      <x:c r="CK49" s="113" t="n">
        <x:f>SUM(CK39,CK42,CK45,CK48)</x:f>
        <x:v>0</x:v>
      </x:c>
      <x:c r="CL49" s="113" t="n">
        <x:f>SUM(CL39,CL42,CL45,CL48)</x:f>
        <x:v>0</x:v>
      </x:c>
      <x:c r="CM49" s="113" t="n">
        <x:f>SUM(CM39,CM42,CM45,CM48)</x:f>
        <x:v>0</x:v>
      </x:c>
      <x:c r="CN49" s="113" t="n">
        <x:f>SUM(CN39,CN42,CN45,CN48)</x:f>
        <x:v>0</x:v>
      </x:c>
      <x:c r="CO49" s="113" t="n">
        <x:f>SUM(CO39,CO42,CO45,CO48)</x:f>
        <x:v>0</x:v>
      </x:c>
      <x:c r="CP49" s="113" t="n">
        <x:f>SUM(CP39,CP42,CP45,CP48)</x:f>
        <x:v>0</x:v>
      </x:c>
      <x:c r="CQ49" s="113" t="n">
        <x:f>SUM(CQ39,CQ42,CQ45,CQ48)</x:f>
        <x:v>0</x:v>
      </x:c>
      <x:c r="CR49" s="113" t="n">
        <x:f>SUM(CR39,CR42,CR45,CR48)</x:f>
        <x:v>0</x:v>
      </x:c>
      <x:c r="CS49" s="113" t="n">
        <x:f>SUM(CS39,CS42,CS45,CS48)</x:f>
        <x:v>0</x:v>
      </x:c>
      <x:c r="CT49" s="113" t="n">
        <x:f>SUM(CT39,CT42,CT45,CT48)</x:f>
        <x:v>0</x:v>
      </x:c>
      <x:c r="CU49" s="113" t="n">
        <x:f>SUM(CU39,CU42,CU45,CU48)</x:f>
        <x:v>0</x:v>
      </x:c>
      <x:c r="CV49" s="113" t="n">
        <x:f>SUM(CV39,CV42,CV45,CV48)</x:f>
        <x:v>0</x:v>
      </x:c>
      <x:c r="CW49" s="113" t="n">
        <x:f>SUM(CW39,CW42,CW45,CW48)</x:f>
        <x:v>0</x:v>
      </x:c>
      <x:c r="CX49" s="113" t="n">
        <x:f>SUM(CX39,CX42,CX45,CX48)</x:f>
        <x:v>0</x:v>
      </x:c>
      <x:c r="CY49" s="113" t="n">
        <x:f>SUM(CY39,CY42,CY45,CY48)</x:f>
        <x:v>0</x:v>
      </x:c>
      <x:c r="CZ49" s="113" t="n">
        <x:f>SUM(CZ39,CZ42,CZ45,CZ48)</x:f>
        <x:v>0</x:v>
      </x:c>
      <x:c r="DA49" s="113" t="n">
        <x:f>SUM(DA39,DA42,DA45,DA48)</x:f>
        <x:v>0</x:v>
      </x:c>
      <x:c r="DB49" s="113" t="n">
        <x:f>SUM(DB39,DB42,DB45,DB48)</x:f>
        <x:v>0</x:v>
      </x:c>
      <x:c r="DC49" s="113" t="n">
        <x:f>SUM(DC39,DC42,DC45,DC48)</x:f>
        <x:v>0</x:v>
      </x:c>
      <x:c r="DD49" s="113" t="n">
        <x:f>SUM(DD39,DD42,DD45,DD48)</x:f>
        <x:v>0</x:v>
      </x:c>
      <x:c r="DE49" s="113" t="n">
        <x:f>SUM(DE39,DE42,DE45,DE48)</x:f>
        <x:v>0</x:v>
      </x:c>
      <x:c r="DF49" s="113" t="n">
        <x:f>SUM(DF39,DF42,DF45,DF48)</x:f>
        <x:v>0</x:v>
      </x:c>
      <x:c r="DG49" s="113" t="n">
        <x:f>SUM(DG39,DG42,DG45,DG48)</x:f>
        <x:v>0</x:v>
      </x:c>
      <x:c r="DH49" s="113" t="n">
        <x:f>SUM(DH39,DH42,DH45,DH48)</x:f>
        <x:v>0</x:v>
      </x:c>
      <x:c r="DI49" s="113" t="n">
        <x:f>SUM(DI39,DI42,DI45,DI48)</x:f>
        <x:v>0</x:v>
      </x:c>
      <x:c r="DJ49" s="113" t="n">
        <x:f>SUM(DJ39,DJ42,DJ45,DJ48)</x:f>
        <x:v>0</x:v>
      </x:c>
      <x:c r="DK49" s="113" t="n">
        <x:f>SUM(DK39,DK42,DK45,DK48)</x:f>
        <x:v>0</x:v>
      </x:c>
      <x:c r="DL49" s="113" t="n">
        <x:f>SUM(DL39,DL42,DL45,DL48)</x:f>
        <x:v>0</x:v>
      </x:c>
      <x:c r="DM49" s="113" t="n">
        <x:f>SUM(DM39,DM42,DM45,DM48)</x:f>
        <x:v>0</x:v>
      </x:c>
      <x:c r="DN49" s="113" t="n">
        <x:f>SUM(DN39,DN42,DN45,DN48)</x:f>
        <x:v>0</x:v>
      </x:c>
      <x:c r="DO49" s="113" t="n">
        <x:f>SUM(DO39,DO42,DO45,DO48)</x:f>
        <x:v>0</x:v>
      </x:c>
      <x:c r="DP49" s="113" t="n">
        <x:f>SUM(DP39,DP42,DP45,DP48)</x:f>
        <x:v>0</x:v>
      </x:c>
      <x:c r="DQ49" s="113" t="n">
        <x:f>SUM(DQ39,DQ42,DQ45,DQ48)</x:f>
        <x:v>0</x:v>
      </x:c>
      <x:c r="DR49" s="113" t="n">
        <x:f>SUM(DR39,DR42,DR45,DR48)</x:f>
        <x:v>0</x:v>
      </x:c>
      <x:c r="DS49" s="113" t="n">
        <x:f>SUM(DS39,DS42,DS45,DS48)</x:f>
        <x:v>0</x:v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  <x:v>48396</x:v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  <x:v>49126</x:v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  <x:v>0</x:v>
      </x:c>
      <x:c r="E55" t="n">
        <x:f>--AND(E$3&gt;=$B$53,E$3&lt;$B$54,E$3&lt;EDATE($B$53,MAX(1,'Вводные'!$H$90)),'Вводные'!$B$90="Да")</x:f>
        <x:v>0</x:v>
      </x:c>
      <x:c r="F55" t="n">
        <x:f>--AND(F$3&gt;=$B$53,F$3&lt;$B$54,F$3&lt;EDATE($B$53,MAX(1,'Вводные'!$H$90)),'Вводные'!$B$90="Да")</x:f>
        <x:v>0</x:v>
      </x:c>
      <x:c r="G55" t="n">
        <x:f>--AND(G$3&gt;=$B$53,G$3&lt;$B$54,G$3&lt;EDATE($B$53,MAX(1,'Вводные'!$H$90)),'Вводные'!$B$90="Да")</x:f>
        <x:v>0</x:v>
      </x:c>
      <x:c r="H55" t="n">
        <x:f>--AND(H$3&gt;=$B$53,H$3&lt;$B$54,H$3&lt;EDATE($B$53,MAX(1,'Вводные'!$H$90)),'Вводные'!$B$90="Да")</x:f>
        <x:v>0</x:v>
      </x:c>
      <x:c r="I55" t="n">
        <x:f>--AND(I$3&gt;=$B$53,I$3&lt;$B$54,I$3&lt;EDATE($B$53,MAX(1,'Вводные'!$H$90)),'Вводные'!$B$90="Да")</x:f>
        <x:v>0</x:v>
      </x:c>
      <x:c r="J55" t="n">
        <x:f>--AND(J$3&gt;=$B$53,J$3&lt;$B$54,J$3&lt;EDATE($B$53,MAX(1,'Вводные'!$H$90)),'Вводные'!$B$90="Да")</x:f>
        <x:v>0</x:v>
      </x:c>
      <x:c r="K55" t="n">
        <x:f>--AND(K$3&gt;=$B$53,K$3&lt;$B$54,K$3&lt;EDATE($B$53,MAX(1,'Вводные'!$H$90)),'Вводные'!$B$90="Да")</x:f>
        <x:v>0</x:v>
      </x:c>
      <x:c r="L55" t="n">
        <x:f>--AND(L$3&gt;=$B$53,L$3&lt;$B$54,L$3&lt;EDATE($B$53,MAX(1,'Вводные'!$H$90)),'Вводные'!$B$90="Да")</x:f>
        <x:v>0</x:v>
      </x:c>
      <x:c r="M55" t="n">
        <x:f>--AND(M$3&gt;=$B$53,M$3&lt;$B$54,M$3&lt;EDATE($B$53,MAX(1,'Вводные'!$H$90)),'Вводные'!$B$90="Да")</x:f>
        <x:v>0</x:v>
      </x:c>
      <x:c r="N55" t="n">
        <x:f>--AND(N$3&gt;=$B$53,N$3&lt;$B$54,N$3&lt;EDATE($B$53,MAX(1,'Вводные'!$H$90)),'Вводные'!$B$90="Да")</x:f>
        <x:v>0</x:v>
      </x:c>
      <x:c r="O55" t="n">
        <x:f>--AND(O$3&gt;=$B$53,O$3&lt;$B$54,O$3&lt;EDATE($B$53,MAX(1,'Вводные'!$H$90)),'Вводные'!$B$90="Да")</x:f>
        <x:v>0</x:v>
      </x:c>
      <x:c r="P55" t="n">
        <x:f>--AND(P$3&gt;=$B$53,P$3&lt;$B$54,P$3&lt;EDATE($B$53,MAX(1,'Вводные'!$H$90)),'Вводные'!$B$90="Да")</x:f>
        <x:v>0</x:v>
      </x:c>
      <x:c r="Q55" t="n">
        <x:f>--AND(Q$3&gt;=$B$53,Q$3&lt;$B$54,Q$3&lt;EDATE($B$53,MAX(1,'Вводные'!$H$90)),'Вводные'!$B$90="Да")</x:f>
        <x:v>0</x:v>
      </x:c>
      <x:c r="R55" t="n">
        <x:f>--AND(R$3&gt;=$B$53,R$3&lt;$B$54,R$3&lt;EDATE($B$53,MAX(1,'Вводные'!$H$90)),'Вводные'!$B$90="Да")</x:f>
        <x:v>0</x:v>
      </x:c>
      <x:c r="S55" t="n">
        <x:f>--AND(S$3&gt;=$B$53,S$3&lt;$B$54,S$3&lt;EDATE($B$53,MAX(1,'Вводные'!$H$90)),'Вводные'!$B$90="Да")</x:f>
        <x:v>0</x:v>
      </x:c>
      <x:c r="T55" t="n">
        <x:f>--AND(T$3&gt;=$B$53,T$3&lt;$B$54,T$3&lt;EDATE($B$53,MAX(1,'Вводные'!$H$90)),'Вводные'!$B$90="Да")</x:f>
        <x:v>0</x:v>
      </x:c>
      <x:c r="U55" t="n">
        <x:f>--AND(U$3&gt;=$B$53,U$3&lt;$B$54,U$3&lt;EDATE($B$53,MAX(1,'Вводные'!$H$90)),'Вводные'!$B$90="Да")</x:f>
        <x:v>0</x:v>
      </x:c>
      <x:c r="V55" t="n">
        <x:f>--AND(V$3&gt;=$B$53,V$3&lt;$B$54,V$3&lt;EDATE($B$53,MAX(1,'Вводные'!$H$90)),'Вводные'!$B$90="Да")</x:f>
        <x:v>0</x:v>
      </x:c>
      <x:c r="W55" t="n">
        <x:f>--AND(W$3&gt;=$B$53,W$3&lt;$B$54,W$3&lt;EDATE($B$53,MAX(1,'Вводные'!$H$90)),'Вводные'!$B$90="Да")</x:f>
        <x:v>0</x:v>
      </x:c>
      <x:c r="X55" t="n">
        <x:f>--AND(X$3&gt;=$B$53,X$3&lt;$B$54,X$3&lt;EDATE($B$53,MAX(1,'Вводные'!$H$90)),'Вводные'!$B$90="Да")</x:f>
        <x:v>0</x:v>
      </x:c>
      <x:c r="Y55" t="n">
        <x:f>--AND(Y$3&gt;=$B$53,Y$3&lt;$B$54,Y$3&lt;EDATE($B$53,MAX(1,'Вводные'!$H$90)),'Вводные'!$B$90="Да")</x:f>
        <x:v>0</x:v>
      </x:c>
      <x:c r="Z55" t="n">
        <x:f>--AND(Z$3&gt;=$B$53,Z$3&lt;$B$54,Z$3&lt;EDATE($B$53,MAX(1,'Вводные'!$H$90)),'Вводные'!$B$90="Да")</x:f>
        <x:v>0</x:v>
      </x:c>
      <x:c r="AA55" t="n">
        <x:f>--AND(AA$3&gt;=$B$53,AA$3&lt;$B$54,AA$3&lt;EDATE($B$53,MAX(1,'Вводные'!$H$90)),'Вводные'!$B$90="Да")</x:f>
        <x:v>0</x:v>
      </x:c>
      <x:c r="AB55" t="n">
        <x:f>--AND(AB$3&gt;=$B$53,AB$3&lt;$B$54,AB$3&lt;EDATE($B$53,MAX(1,'Вводные'!$H$90)),'Вводные'!$B$90="Да")</x:f>
        <x:v>0</x:v>
      </x:c>
      <x:c r="AC55" t="n">
        <x:f>--AND(AC$3&gt;=$B$53,AC$3&lt;$B$54,AC$3&lt;EDATE($B$53,MAX(1,'Вводные'!$H$90)),'Вводные'!$B$90="Да")</x:f>
        <x:v>0</x:v>
      </x:c>
      <x:c r="AD55" t="n">
        <x:f>--AND(AD$3&gt;=$B$53,AD$3&lt;$B$54,AD$3&lt;EDATE($B$53,MAX(1,'Вводные'!$H$90)),'Вводные'!$B$90="Да")</x:f>
        <x:v>0</x:v>
      </x:c>
      <x:c r="AE55" t="n">
        <x:f>--AND(AE$3&gt;=$B$53,AE$3&lt;$B$54,AE$3&lt;EDATE($B$53,MAX(1,'Вводные'!$H$90)),'Вводные'!$B$90="Да")</x:f>
        <x:v>0</x:v>
      </x:c>
      <x:c r="AF55" t="n">
        <x:f>--AND(AF$3&gt;=$B$53,AF$3&lt;$B$54,AF$3&lt;EDATE($B$53,MAX(1,'Вводные'!$H$90)),'Вводные'!$B$90="Да")</x:f>
        <x:v>0</x:v>
      </x:c>
      <x:c r="AG55" t="n">
        <x:f>--AND(AG$3&gt;=$B$53,AG$3&lt;$B$54,AG$3&lt;EDATE($B$53,MAX(1,'Вводные'!$H$90)),'Вводные'!$B$90="Да")</x:f>
        <x:v>0</x:v>
      </x:c>
      <x:c r="AH55" t="n">
        <x:f>--AND(AH$3&gt;=$B$53,AH$3&lt;$B$54,AH$3&lt;EDATE($B$53,MAX(1,'Вводные'!$H$90)),'Вводные'!$B$90="Да")</x:f>
        <x:v>0</x:v>
      </x:c>
      <x:c r="AI55" t="n">
        <x:f>--AND(AI$3&gt;=$B$53,AI$3&lt;$B$54,AI$3&lt;EDATE($B$53,MAX(1,'Вводные'!$H$90)),'Вводные'!$B$90="Да")</x:f>
        <x:v>0</x:v>
      </x:c>
      <x:c r="AJ55" t="n">
        <x:f>--AND(AJ$3&gt;=$B$53,AJ$3&lt;$B$54,AJ$3&lt;EDATE($B$53,MAX(1,'Вводные'!$H$90)),'Вводные'!$B$90="Да")</x:f>
        <x:v>0</x:v>
      </x:c>
      <x:c r="AK55" t="n">
        <x:f>--AND(AK$3&gt;=$B$53,AK$3&lt;$B$54,AK$3&lt;EDATE($B$53,MAX(1,'Вводные'!$H$90)),'Вводные'!$B$90="Да")</x:f>
        <x:v>0</x:v>
      </x:c>
      <x:c r="AL55" t="n">
        <x:f>--AND(AL$3&gt;=$B$53,AL$3&lt;$B$54,AL$3&lt;EDATE($B$53,MAX(1,'Вводные'!$H$90)),'Вводные'!$B$90="Да")</x:f>
        <x:v>0</x:v>
      </x:c>
      <x:c r="AM55" t="n">
        <x:f>--AND(AM$3&gt;=$B$53,AM$3&lt;$B$54,AM$3&lt;EDATE($B$53,MAX(1,'Вводные'!$H$90)),'Вводные'!$B$90="Да")</x:f>
        <x:v>0</x:v>
      </x:c>
      <x:c r="AN55" t="n">
        <x:f>--AND(AN$3&gt;=$B$53,AN$3&lt;$B$54,AN$3&lt;EDATE($B$53,MAX(1,'Вводные'!$H$90)),'Вводные'!$B$90="Да")</x:f>
        <x:v>0</x:v>
      </x:c>
      <x:c r="AO55" t="n">
        <x:f>--AND(AO$3&gt;=$B$53,AO$3&lt;$B$54,AO$3&lt;EDATE($B$53,MAX(1,'Вводные'!$H$90)),'Вводные'!$B$90="Да")</x:f>
        <x:v>0</x:v>
      </x:c>
      <x:c r="AP55" t="n">
        <x:f>--AND(AP$3&gt;=$B$53,AP$3&lt;$B$54,AP$3&lt;EDATE($B$53,MAX(1,'Вводные'!$H$90)),'Вводные'!$B$90="Да")</x:f>
        <x:v>0</x:v>
      </x:c>
      <x:c r="AQ55" t="n">
        <x:f>--AND(AQ$3&gt;=$B$53,AQ$3&lt;$B$54,AQ$3&lt;EDATE($B$53,MAX(1,'Вводные'!$H$90)),'Вводные'!$B$90="Да")</x:f>
        <x:v>0</x:v>
      </x:c>
      <x:c r="AR55" t="n">
        <x:f>--AND(AR$3&gt;=$B$53,AR$3&lt;$B$54,AR$3&lt;EDATE($B$53,MAX(1,'Вводные'!$H$90)),'Вводные'!$B$90="Да")</x:f>
        <x:v>0</x:v>
      </x:c>
      <x:c r="AS55" t="n">
        <x:f>--AND(AS$3&gt;=$B$53,AS$3&lt;$B$54,AS$3&lt;EDATE($B$53,MAX(1,'Вводные'!$H$90)),'Вводные'!$B$90="Да")</x:f>
        <x:v>0</x:v>
      </x:c>
      <x:c r="AT55" t="n">
        <x:f>--AND(AT$3&gt;=$B$53,AT$3&lt;$B$54,AT$3&lt;EDATE($B$53,MAX(1,'Вводные'!$H$90)),'Вводные'!$B$90="Да")</x:f>
        <x:v>0</x:v>
      </x:c>
      <x:c r="AU55" t="n">
        <x:f>--AND(AU$3&gt;=$B$53,AU$3&lt;$B$54,AU$3&lt;EDATE($B$53,MAX(1,'Вводные'!$H$90)),'Вводные'!$B$90="Да")</x:f>
        <x:v>0</x:v>
      </x:c>
      <x:c r="AV55" t="n">
        <x:f>--AND(AV$3&gt;=$B$53,AV$3&lt;$B$54,AV$3&lt;EDATE($B$53,MAX(1,'Вводные'!$H$90)),'Вводные'!$B$90="Да")</x:f>
        <x:v>0</x:v>
      </x:c>
      <x:c r="AW55" t="n">
        <x:f>--AND(AW$3&gt;=$B$53,AW$3&lt;$B$54,AW$3&lt;EDATE($B$53,MAX(1,'Вводные'!$H$90)),'Вводные'!$B$90="Да")</x:f>
        <x:v>0</x:v>
      </x:c>
      <x:c r="AX55" t="n">
        <x:f>--AND(AX$3&gt;=$B$53,AX$3&lt;$B$54,AX$3&lt;EDATE($B$53,MAX(1,'Вводные'!$H$90)),'Вводные'!$B$90="Да")</x:f>
        <x:v>0</x:v>
      </x:c>
      <x:c r="AY55" t="n">
        <x:f>--AND(AY$3&gt;=$B$53,AY$3&lt;$B$54,AY$3&lt;EDATE($B$53,MAX(1,'Вводные'!$H$90)),'Вводные'!$B$90="Да")</x:f>
        <x:v>0</x:v>
      </x:c>
      <x:c r="AZ55" t="n">
        <x:f>--AND(AZ$3&gt;=$B$53,AZ$3&lt;$B$54,AZ$3&lt;EDATE($B$53,MAX(1,'Вводные'!$H$90)),'Вводные'!$B$90="Да")</x:f>
        <x:v>0</x:v>
      </x:c>
      <x:c r="BA55" t="n">
        <x:f>--AND(BA$3&gt;=$B$53,BA$3&lt;$B$54,BA$3&lt;EDATE($B$53,MAX(1,'Вводные'!$H$90)),'Вводные'!$B$90="Да")</x:f>
        <x:v>0</x:v>
      </x:c>
      <x:c r="BB55" t="n">
        <x:f>--AND(BB$3&gt;=$B$53,BB$3&lt;$B$54,BB$3&lt;EDATE($B$53,MAX(1,'Вводные'!$H$90)),'Вводные'!$B$90="Да")</x:f>
        <x:v>0</x:v>
      </x:c>
      <x:c r="BC55" t="n">
        <x:f>--AND(BC$3&gt;=$B$53,BC$3&lt;$B$54,BC$3&lt;EDATE($B$53,MAX(1,'Вводные'!$H$90)),'Вводные'!$B$90="Да")</x:f>
        <x:v>0</x:v>
      </x:c>
      <x:c r="BD55" t="n">
        <x:f>--AND(BD$3&gt;=$B$53,BD$3&lt;$B$54,BD$3&lt;EDATE($B$53,MAX(1,'Вводные'!$H$90)),'Вводные'!$B$90="Да")</x:f>
        <x:v>0</x:v>
      </x:c>
      <x:c r="BE55" t="n">
        <x:f>--AND(BE$3&gt;=$B$53,BE$3&lt;$B$54,BE$3&lt;EDATE($B$53,MAX(1,'Вводные'!$H$90)),'Вводные'!$B$90="Да")</x:f>
        <x:v>0</x:v>
      </x:c>
      <x:c r="BF55" t="n">
        <x:f>--AND(BF$3&gt;=$B$53,BF$3&lt;$B$54,BF$3&lt;EDATE($B$53,MAX(1,'Вводные'!$H$90)),'Вводные'!$B$90="Да")</x:f>
        <x:v>0</x:v>
      </x:c>
      <x:c r="BG55" t="n">
        <x:f>--AND(BG$3&gt;=$B$53,BG$3&lt;$B$54,BG$3&lt;EDATE($B$53,MAX(1,'Вводные'!$H$90)),'Вводные'!$B$90="Да")</x:f>
        <x:v>0</x:v>
      </x:c>
      <x:c r="BH55" t="n">
        <x:f>--AND(BH$3&gt;=$B$53,BH$3&lt;$B$54,BH$3&lt;EDATE($B$53,MAX(1,'Вводные'!$H$90)),'Вводные'!$B$90="Да")</x:f>
        <x:v>0</x:v>
      </x:c>
      <x:c r="BI55" t="n">
        <x:f>--AND(BI$3&gt;=$B$53,BI$3&lt;$B$54,BI$3&lt;EDATE($B$53,MAX(1,'Вводные'!$H$90)),'Вводные'!$B$90="Да")</x:f>
        <x:v>0</x:v>
      </x:c>
      <x:c r="BJ55" t="n">
        <x:f>--AND(BJ$3&gt;=$B$53,BJ$3&lt;$B$54,BJ$3&lt;EDATE($B$53,MAX(1,'Вводные'!$H$90)),'Вводные'!$B$90="Да")</x:f>
        <x:v>0</x:v>
      </x:c>
      <x:c r="BK55" t="n">
        <x:f>--AND(BK$3&gt;=$B$53,BK$3&lt;$B$54,BK$3&lt;EDATE($B$53,MAX(1,'Вводные'!$H$90)),'Вводные'!$B$90="Да")</x:f>
        <x:v>0</x:v>
      </x:c>
      <x:c r="BL55" t="n">
        <x:f>--AND(BL$3&gt;=$B$53,BL$3&lt;$B$54,BL$3&lt;EDATE($B$53,MAX(1,'Вводные'!$H$90)),'Вводные'!$B$90="Да")</x:f>
        <x:v>0</x:v>
      </x:c>
      <x:c r="BM55" t="n">
        <x:f>--AND(BM$3&gt;=$B$53,BM$3&lt;$B$54,BM$3&lt;EDATE($B$53,MAX(1,'Вводные'!$H$90)),'Вводные'!$B$90="Да")</x:f>
        <x:v>0</x:v>
      </x:c>
      <x:c r="BN55" t="n">
        <x:f>--AND(BN$3&gt;=$B$53,BN$3&lt;$B$54,BN$3&lt;EDATE($B$53,MAX(1,'Вводные'!$H$90)),'Вводные'!$B$90="Да")</x:f>
        <x:v>0</x:v>
      </x:c>
      <x:c r="BO55" t="n">
        <x:f>--AND(BO$3&gt;=$B$53,BO$3&lt;$B$54,BO$3&lt;EDATE($B$53,MAX(1,'Вводные'!$H$90)),'Вводные'!$B$90="Да")</x:f>
        <x:v>0</x:v>
      </x:c>
      <x:c r="BP55" t="n">
        <x:f>--AND(BP$3&gt;=$B$53,BP$3&lt;$B$54,BP$3&lt;EDATE($B$53,MAX(1,'Вводные'!$H$90)),'Вводные'!$B$90="Да")</x:f>
        <x:v>0</x:v>
      </x:c>
      <x:c r="BQ55" t="n">
        <x:f>--AND(BQ$3&gt;=$B$53,BQ$3&lt;$B$54,BQ$3&lt;EDATE($B$53,MAX(1,'Вводные'!$H$90)),'Вводные'!$B$90="Да")</x:f>
        <x:v>0</x:v>
      </x:c>
      <x:c r="BR55" t="n">
        <x:f>--AND(BR$3&gt;=$B$53,BR$3&lt;$B$54,BR$3&lt;EDATE($B$53,MAX(1,'Вводные'!$H$90)),'Вводные'!$B$90="Да")</x:f>
        <x:v>0</x:v>
      </x:c>
      <x:c r="BS55" t="n">
        <x:f>--AND(BS$3&gt;=$B$53,BS$3&lt;$B$54,BS$3&lt;EDATE($B$53,MAX(1,'Вводные'!$H$90)),'Вводные'!$B$90="Да")</x:f>
        <x:v>0</x:v>
      </x:c>
      <x:c r="BT55" t="n">
        <x:f>--AND(BT$3&gt;=$B$53,BT$3&lt;$B$54,BT$3&lt;EDATE($B$53,MAX(1,'Вводные'!$H$90)),'Вводные'!$B$90="Да")</x:f>
        <x:v>0</x:v>
      </x:c>
      <x:c r="BU55" t="n">
        <x:f>--AND(BU$3&gt;=$B$53,BU$3&lt;$B$54,BU$3&lt;EDATE($B$53,MAX(1,'Вводные'!$H$90)),'Вводные'!$B$90="Да")</x:f>
        <x:v>0</x:v>
      </x:c>
      <x:c r="BV55" t="n">
        <x:f>--AND(BV$3&gt;=$B$53,BV$3&lt;$B$54,BV$3&lt;EDATE($B$53,MAX(1,'Вводные'!$H$90)),'Вводные'!$B$90="Да")</x:f>
        <x:v>0</x:v>
      </x:c>
      <x:c r="BW55" t="n">
        <x:f>--AND(BW$3&gt;=$B$53,BW$3&lt;$B$54,BW$3&lt;EDATE($B$53,MAX(1,'Вводные'!$H$90)),'Вводные'!$B$90="Да")</x:f>
        <x:v>0</x:v>
      </x:c>
      <x:c r="BX55" t="n">
        <x:f>--AND(BX$3&gt;=$B$53,BX$3&lt;$B$54,BX$3&lt;EDATE($B$53,MAX(1,'Вводные'!$H$90)),'Вводные'!$B$90="Да")</x:f>
        <x:v>0</x:v>
      </x:c>
      <x:c r="BY55" t="n">
        <x:f>--AND(BY$3&gt;=$B$53,BY$3&lt;$B$54,BY$3&lt;EDATE($B$53,MAX(1,'Вводные'!$H$90)),'Вводные'!$B$90="Да")</x:f>
        <x:v>0</x:v>
      </x:c>
      <x:c r="BZ55" t="n">
        <x:f>--AND(BZ$3&gt;=$B$53,BZ$3&lt;$B$54,BZ$3&lt;EDATE($B$53,MAX(1,'Вводные'!$H$90)),'Вводные'!$B$90="Да")</x:f>
        <x:v>0</x:v>
      </x:c>
      <x:c r="CA55" t="n">
        <x:f>--AND(CA$3&gt;=$B$53,CA$3&lt;$B$54,CA$3&lt;EDATE($B$53,MAX(1,'Вводные'!$H$90)),'Вводные'!$B$90="Да")</x:f>
        <x:v>0</x:v>
      </x:c>
      <x:c r="CB55" t="n">
        <x:f>--AND(CB$3&gt;=$B$53,CB$3&lt;$B$54,CB$3&lt;EDATE($B$53,MAX(1,'Вводные'!$H$90)),'Вводные'!$B$90="Да")</x:f>
        <x:v>0</x:v>
      </x:c>
      <x:c r="CC55" t="n">
        <x:f>--AND(CC$3&gt;=$B$53,CC$3&lt;$B$54,CC$3&lt;EDATE($B$53,MAX(1,'Вводные'!$H$90)),'Вводные'!$B$90="Да")</x:f>
        <x:v>0</x:v>
      </x:c>
      <x:c r="CD55" t="n">
        <x:f>--AND(CD$3&gt;=$B$53,CD$3&lt;$B$54,CD$3&lt;EDATE($B$53,MAX(1,'Вводные'!$H$90)),'Вводные'!$B$90="Да")</x:f>
        <x:v>0</x:v>
      </x:c>
      <x:c r="CE55" t="n">
        <x:f>--AND(CE$3&gt;=$B$53,CE$3&lt;$B$54,CE$3&lt;EDATE($B$53,MAX(1,'Вводные'!$H$90)),'Вводные'!$B$90="Да")</x:f>
        <x:v>0</x:v>
      </x:c>
      <x:c r="CF55" t="n">
        <x:f>--AND(CF$3&gt;=$B$53,CF$3&lt;$B$54,CF$3&lt;EDATE($B$53,MAX(1,'Вводные'!$H$90)),'Вводные'!$B$90="Да")</x:f>
        <x:v>0</x:v>
      </x:c>
      <x:c r="CG55" t="n">
        <x:f>--AND(CG$3&gt;=$B$53,CG$3&lt;$B$54,CG$3&lt;EDATE($B$53,MAX(1,'Вводные'!$H$90)),'Вводные'!$B$90="Да")</x:f>
        <x:v>0</x:v>
      </x:c>
      <x:c r="CH55" t="n">
        <x:f>--AND(CH$3&gt;=$B$53,CH$3&lt;$B$54,CH$3&lt;EDATE($B$53,MAX(1,'Вводные'!$H$90)),'Вводные'!$B$90="Да")</x:f>
        <x:v>0</x:v>
      </x:c>
      <x:c r="CI55" t="n">
        <x:f>--AND(CI$3&gt;=$B$53,CI$3&lt;$B$54,CI$3&lt;EDATE($B$53,MAX(1,'Вводные'!$H$90)),'Вводные'!$B$90="Да")</x:f>
        <x:v>0</x:v>
      </x:c>
      <x:c r="CJ55" t="n">
        <x:f>--AND(CJ$3&gt;=$B$53,CJ$3&lt;$B$54,CJ$3&lt;EDATE($B$53,MAX(1,'Вводные'!$H$90)),'Вводные'!$B$90="Да")</x:f>
        <x:v>0</x:v>
      </x:c>
      <x:c r="CK55" t="n">
        <x:f>--AND(CK$3&gt;=$B$53,CK$3&lt;$B$54,CK$3&lt;EDATE($B$53,MAX(1,'Вводные'!$H$90)),'Вводные'!$B$90="Да")</x:f>
        <x:v>0</x:v>
      </x:c>
      <x:c r="CL55" t="n">
        <x:f>--AND(CL$3&gt;=$B$53,CL$3&lt;$B$54,CL$3&lt;EDATE($B$53,MAX(1,'Вводные'!$H$90)),'Вводные'!$B$90="Да")</x:f>
        <x:v>0</x:v>
      </x:c>
      <x:c r="CM55" t="n">
        <x:f>--AND(CM$3&gt;=$B$53,CM$3&lt;$B$54,CM$3&lt;EDATE($B$53,MAX(1,'Вводные'!$H$90)),'Вводные'!$B$90="Да")</x:f>
        <x:v>0</x:v>
      </x:c>
      <x:c r="CN55" t="n">
        <x:f>--AND(CN$3&gt;=$B$53,CN$3&lt;$B$54,CN$3&lt;EDATE($B$53,MAX(1,'Вводные'!$H$90)),'Вводные'!$B$90="Да")</x:f>
        <x:v>0</x:v>
      </x:c>
      <x:c r="CO55" t="n">
        <x:f>--AND(CO$3&gt;=$B$53,CO$3&lt;$B$54,CO$3&lt;EDATE($B$53,MAX(1,'Вводные'!$H$90)),'Вводные'!$B$90="Да")</x:f>
        <x:v>0</x:v>
      </x:c>
      <x:c r="CP55" t="n">
        <x:f>--AND(CP$3&gt;=$B$53,CP$3&lt;$B$54,CP$3&lt;EDATE($B$53,MAX(1,'Вводные'!$H$90)),'Вводные'!$B$90="Да")</x:f>
        <x:v>0</x:v>
      </x:c>
      <x:c r="CQ55" t="n">
        <x:f>--AND(CQ$3&gt;=$B$53,CQ$3&lt;$B$54,CQ$3&lt;EDATE($B$53,MAX(1,'Вводные'!$H$90)),'Вводные'!$B$90="Да")</x:f>
        <x:v>0</x:v>
      </x:c>
      <x:c r="CR55" t="n">
        <x:f>--AND(CR$3&gt;=$B$53,CR$3&lt;$B$54,CR$3&lt;EDATE($B$53,MAX(1,'Вводные'!$H$90)),'Вводные'!$B$90="Да")</x:f>
        <x:v>0</x:v>
      </x:c>
      <x:c r="CS55" t="n">
        <x:f>--AND(CS$3&gt;=$B$53,CS$3&lt;$B$54,CS$3&lt;EDATE($B$53,MAX(1,'Вводные'!$H$90)),'Вводные'!$B$90="Да")</x:f>
        <x:v>0</x:v>
      </x:c>
      <x:c r="CT55" t="n">
        <x:f>--AND(CT$3&gt;=$B$53,CT$3&lt;$B$54,CT$3&lt;EDATE($B$53,MAX(1,'Вводные'!$H$90)),'Вводные'!$B$90="Да")</x:f>
        <x:v>0</x:v>
      </x:c>
      <x:c r="CU55" t="n">
        <x:f>--AND(CU$3&gt;=$B$53,CU$3&lt;$B$54,CU$3&lt;EDATE($B$53,MAX(1,'Вводные'!$H$90)),'Вводные'!$B$90="Да")</x:f>
        <x:v>0</x:v>
      </x:c>
      <x:c r="CV55" t="n">
        <x:f>--AND(CV$3&gt;=$B$53,CV$3&lt;$B$54,CV$3&lt;EDATE($B$53,MAX(1,'Вводные'!$H$90)),'Вводные'!$B$90="Да")</x:f>
        <x:v>0</x:v>
      </x:c>
      <x:c r="CW55" t="n">
        <x:f>--AND(CW$3&gt;=$B$53,CW$3&lt;$B$54,CW$3&lt;EDATE($B$53,MAX(1,'Вводные'!$H$90)),'Вводные'!$B$90="Да")</x:f>
        <x:v>0</x:v>
      </x:c>
      <x:c r="CX55" t="n">
        <x:f>--AND(CX$3&gt;=$B$53,CX$3&lt;$B$54,CX$3&lt;EDATE($B$53,MAX(1,'Вводные'!$H$90)),'Вводные'!$B$90="Да")</x:f>
        <x:v>0</x:v>
      </x:c>
      <x:c r="CY55" t="n">
        <x:f>--AND(CY$3&gt;=$B$53,CY$3&lt;$B$54,CY$3&lt;EDATE($B$53,MAX(1,'Вводные'!$H$90)),'Вводные'!$B$90="Да")</x:f>
        <x:v>0</x:v>
      </x:c>
      <x:c r="CZ55" t="n">
        <x:f>--AND(CZ$3&gt;=$B$53,CZ$3&lt;$B$54,CZ$3&lt;EDATE($B$53,MAX(1,'Вводные'!$H$90)),'Вводные'!$B$90="Да")</x:f>
        <x:v>0</x:v>
      </x:c>
      <x:c r="DA55" t="n">
        <x:f>--AND(DA$3&gt;=$B$53,DA$3&lt;$B$54,DA$3&lt;EDATE($B$53,MAX(1,'Вводные'!$H$90)),'Вводные'!$B$90="Да")</x:f>
        <x:v>0</x:v>
      </x:c>
      <x:c r="DB55" t="n">
        <x:f>--AND(DB$3&gt;=$B$53,DB$3&lt;$B$54,DB$3&lt;EDATE($B$53,MAX(1,'Вводные'!$H$90)),'Вводные'!$B$90="Да")</x:f>
        <x:v>0</x:v>
      </x:c>
      <x:c r="DC55" t="n">
        <x:f>--AND(DC$3&gt;=$B$53,DC$3&lt;$B$54,DC$3&lt;EDATE($B$53,MAX(1,'Вводные'!$H$90)),'Вводные'!$B$90="Да")</x:f>
        <x:v>0</x:v>
      </x:c>
      <x:c r="DD55" t="n">
        <x:f>--AND(DD$3&gt;=$B$53,DD$3&lt;$B$54,DD$3&lt;EDATE($B$53,MAX(1,'Вводные'!$H$90)),'Вводные'!$B$90="Да")</x:f>
        <x:v>0</x:v>
      </x:c>
      <x:c r="DE55" t="n">
        <x:f>--AND(DE$3&gt;=$B$53,DE$3&lt;$B$54,DE$3&lt;EDATE($B$53,MAX(1,'Вводные'!$H$90)),'Вводные'!$B$90="Да")</x:f>
        <x:v>0</x:v>
      </x:c>
      <x:c r="DF55" t="n">
        <x:f>--AND(DF$3&gt;=$B$53,DF$3&lt;$B$54,DF$3&lt;EDATE($B$53,MAX(1,'Вводные'!$H$90)),'Вводные'!$B$90="Да")</x:f>
        <x:v>0</x:v>
      </x:c>
      <x:c r="DG55" t="n">
        <x:f>--AND(DG$3&gt;=$B$53,DG$3&lt;$B$54,DG$3&lt;EDATE($B$53,MAX(1,'Вводные'!$H$90)),'Вводные'!$B$90="Да")</x:f>
        <x:v>0</x:v>
      </x:c>
      <x:c r="DH55" t="n">
        <x:f>--AND(DH$3&gt;=$B$53,DH$3&lt;$B$54,DH$3&lt;EDATE($B$53,MAX(1,'Вводные'!$H$90)),'Вводные'!$B$90="Да")</x:f>
        <x:v>0</x:v>
      </x:c>
      <x:c r="DI55" t="n">
        <x:f>--AND(DI$3&gt;=$B$53,DI$3&lt;$B$54,DI$3&lt;EDATE($B$53,MAX(1,'Вводные'!$H$90)),'Вводные'!$B$90="Да")</x:f>
        <x:v>0</x:v>
      </x:c>
      <x:c r="DJ55" t="n">
        <x:f>--AND(DJ$3&gt;=$B$53,DJ$3&lt;$B$54,DJ$3&lt;EDATE($B$53,MAX(1,'Вводные'!$H$90)),'Вводные'!$B$90="Да")</x:f>
        <x:v>0</x:v>
      </x:c>
      <x:c r="DK55" t="n">
        <x:f>--AND(DK$3&gt;=$B$53,DK$3&lt;$B$54,DK$3&lt;EDATE($B$53,MAX(1,'Вводные'!$H$90)),'Вводные'!$B$90="Да")</x:f>
        <x:v>0</x:v>
      </x:c>
      <x:c r="DL55" t="n">
        <x:f>--AND(DL$3&gt;=$B$53,DL$3&lt;$B$54,DL$3&lt;EDATE($B$53,MAX(1,'Вводные'!$H$90)),'Вводные'!$B$90="Да")</x:f>
        <x:v>0</x:v>
      </x:c>
      <x:c r="DM55" t="n">
        <x:f>--AND(DM$3&gt;=$B$53,DM$3&lt;$B$54,DM$3&lt;EDATE($B$53,MAX(1,'Вводные'!$H$90)),'Вводные'!$B$90="Да")</x:f>
        <x:v>0</x:v>
      </x:c>
      <x:c r="DN55" t="n">
        <x:f>--AND(DN$3&gt;=$B$53,DN$3&lt;$B$54,DN$3&lt;EDATE($B$53,MAX(1,'Вводные'!$H$90)),'Вводные'!$B$90="Да")</x:f>
        <x:v>0</x:v>
      </x:c>
      <x:c r="DO55" t="n">
        <x:f>--AND(DO$3&gt;=$B$53,DO$3&lt;$B$54,DO$3&lt;EDATE($B$53,MAX(1,'Вводные'!$H$90)),'Вводные'!$B$90="Да")</x:f>
        <x:v>0</x:v>
      </x:c>
      <x:c r="DP55" t="n">
        <x:f>--AND(DP$3&gt;=$B$53,DP$3&lt;$B$54,DP$3&lt;EDATE($B$53,MAX(1,'Вводные'!$H$90)),'Вводные'!$B$90="Да")</x:f>
        <x:v>0</x:v>
      </x:c>
      <x:c r="DQ55" t="n">
        <x:f>--AND(DQ$3&gt;=$B$53,DQ$3&lt;$B$54,DQ$3&lt;EDATE($B$53,MAX(1,'Вводные'!$H$90)),'Вводные'!$B$90="Да")</x:f>
        <x:v>0</x:v>
      </x:c>
      <x:c r="DR55" t="n">
        <x:f>--AND(DR$3&gt;=$B$53,DR$3&lt;$B$54,DR$3&lt;EDATE($B$53,MAX(1,'Вводные'!$H$90)),'Вводные'!$B$90="Да")</x:f>
        <x:v>0</x:v>
      </x:c>
      <x:c r="DS55" t="n">
        <x:f>--AND(DS$3&gt;=$B$53,DS$3&lt;$B$54,DS$3&lt;EDATE($B$53,MAX(1,'Вводные'!$H$90)),'Вводные'!$B$90="Да")</x:f>
        <x:v>0</x:v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  <x:v>0</x:v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  <x:v>0</x:v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  <x:v>0</x:v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  <x:v>0</x:v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  <x:v>0</x:v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  <x:v>0</x:v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  <x:v>0</x:v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  <x:v>0</x:v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  <x:v>0</x:v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  <x:v>0</x:v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  <x:v>0</x:v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  <x:v>0</x:v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  <x:v>0</x:v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  <x:v>0</x:v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  <x:v>0</x:v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  <x:v>0</x:v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  <x:v>0</x:v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  <x:v>0</x:v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  <x:v>0</x:v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  <x:v>0</x:v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  <x:v>0</x:v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  <x:v>0</x:v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  <x:v>0</x:v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  <x:v>0</x:v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  <x:v>0</x:v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  <x:v>0</x:v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  <x:v>0</x:v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  <x:v>0</x:v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  <x:v>0</x:v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  <x:v>0</x:v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  <x:v>0</x:v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  <x:v>0</x:v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  <x:v>0</x:v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  <x:v>0</x:v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  <x:v>0</x:v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  <x:v>0</x:v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  <x:v>0</x:v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  <x:v>0</x:v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  <x:v>0</x:v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  <x:v>0</x:v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  <x:v>0</x:v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  <x:v>0</x:v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  <x:v>0</x:v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  <x:v>0</x:v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  <x:v>0</x:v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  <x:v>0</x:v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  <x:v>0</x:v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  <x:v>0</x:v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  <x:v>0</x:v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  <x:v>0</x:v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  <x:v>0</x:v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  <x:v>0</x:v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  <x:v>0</x:v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  <x:v>0</x:v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  <x:v>0</x:v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  <x:v>0</x:v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  <x:v>0</x:v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  <x:v>0</x:v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  <x:v>0</x:v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  <x:v>0</x:v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  <x:v>0</x:v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  <x:v>0</x:v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  <x:v>0</x:v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  <x:v>0</x:v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  <x:v>0</x:v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  <x:v>0</x:v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  <x:v>0</x:v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  <x:v>0</x:v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  <x:v>0</x:v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  <x:v>0</x:v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  <x:v>0</x:v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  <x:v>0</x:v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  <x:v>0</x:v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  <x:v>0</x:v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  <x:v>0</x:v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  <x:v>0</x:v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  <x:v>0</x:v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  <x:v>0</x:v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  <x:v>0</x:v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  <x:v>0</x:v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  <x:v>0</x:v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  <x:v>0</x:v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  <x:v>0</x:v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  <x:v>0</x:v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  <x:v>0</x:v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  <x:v>0</x:v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  <x:v>0</x:v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  <x:v>0</x:v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  <x:v>0</x:v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  <x:v>0</x:v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  <x:v>0</x:v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  <x:v>0</x:v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  <x:v>0</x:v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  <x:v>0</x:v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  <x:v>0</x:v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  <x:v>0</x:v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  <x:v>0</x:v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  <x:v>0</x:v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  <x:v>0</x:v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  <x:v>0</x:v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  <x:v>0</x:v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  <x:v>0</x:v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  <x:v>0</x:v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  <x:v>0</x:v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  <x:v>0</x:v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  <x:v>0</x:v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  <x:v>0</x:v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  <x:v>0</x:v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  <x:v>0</x:v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  <x:v>0</x:v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  <x:v>0</x:v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  <x:v>0</x:v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  <x:v>0</x:v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  <x:v>0</x:v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  <x:v>0</x:v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  <x:v>0</x:v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  <x:v>0</x:v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  <x:v>0</x:v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  <x:v>0</x:v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  <x:v>0</x:v>
      </x:c>
    </x:row>
    <x:row r="57">
      <x:c r="A57" t="str">
        <x:v>Нормированный вес до РВЭ</x:v>
      </x:c>
      <x:c r="B57" t="n">
        <x:f>SUM(D57:DS57)</x:f>
        <x:v>0</x:v>
      </x:c>
      <x:c r="C57" t="str">
        <x:v>%</x:v>
      </x:c>
      <x:c r="D57" s="35" t="n">
        <x:f>IFERROR(D56*D55/SUMPRODUCT($D56:$DS56,$D55:$DS55),0)</x:f>
        <x:v>0</x:v>
      </x:c>
      <x:c r="E57" s="35" t="n">
        <x:f>IFERROR(E56*E55/SUMPRODUCT($D56:$DS56,$D55:$DS55),0)</x:f>
        <x:v>0</x:v>
      </x:c>
      <x:c r="F57" s="35" t="n">
        <x:f>IFERROR(F56*F55/SUMPRODUCT($D56:$DS56,$D55:$DS55),0)</x:f>
        <x:v>0</x:v>
      </x:c>
      <x:c r="G57" s="35" t="n">
        <x:f>IFERROR(G56*G55/SUMPRODUCT($D56:$DS56,$D55:$DS55),0)</x:f>
        <x:v>0</x:v>
      </x:c>
      <x:c r="H57" s="35" t="n">
        <x:f>IFERROR(H56*H55/SUMPRODUCT($D56:$DS56,$D55:$DS55),0)</x:f>
        <x:v>0</x:v>
      </x:c>
      <x:c r="I57" s="35" t="n">
        <x:f>IFERROR(I56*I55/SUMPRODUCT($D56:$DS56,$D55:$DS55),0)</x:f>
        <x:v>0</x:v>
      </x:c>
      <x:c r="J57" s="35" t="n">
        <x:f>IFERROR(J56*J55/SUMPRODUCT($D56:$DS56,$D55:$DS55),0)</x:f>
        <x:v>0</x:v>
      </x:c>
      <x:c r="K57" s="35" t="n">
        <x:f>IFERROR(K56*K55/SUMPRODUCT($D56:$DS56,$D55:$DS55),0)</x:f>
        <x:v>0</x:v>
      </x:c>
      <x:c r="L57" s="35" t="n">
        <x:f>IFERROR(L56*L55/SUMPRODUCT($D56:$DS56,$D55:$DS55),0)</x:f>
        <x:v>0</x:v>
      </x:c>
      <x:c r="M57" s="35" t="n">
        <x:f>IFERROR(M56*M55/SUMPRODUCT($D56:$DS56,$D55:$DS55),0)</x:f>
        <x:v>0</x:v>
      </x:c>
      <x:c r="N57" s="35" t="n">
        <x:f>IFERROR(N56*N55/SUMPRODUCT($D56:$DS56,$D55:$DS55),0)</x:f>
        <x:v>0</x:v>
      </x:c>
      <x:c r="O57" s="35" t="n">
        <x:f>IFERROR(O56*O55/SUMPRODUCT($D56:$DS56,$D55:$DS55),0)</x:f>
        <x:v>0</x:v>
      </x:c>
      <x:c r="P57" s="35" t="n">
        <x:f>IFERROR(P56*P55/SUMPRODUCT($D56:$DS56,$D55:$DS55),0)</x:f>
        <x:v>0</x:v>
      </x:c>
      <x:c r="Q57" s="35" t="n">
        <x:f>IFERROR(Q56*Q55/SUMPRODUCT($D56:$DS56,$D55:$DS55),0)</x:f>
        <x:v>0</x:v>
      </x:c>
      <x:c r="R57" s="35" t="n">
        <x:f>IFERROR(R56*R55/SUMPRODUCT($D56:$DS56,$D55:$DS55),0)</x:f>
        <x:v>0</x:v>
      </x:c>
      <x:c r="S57" s="35" t="n">
        <x:f>IFERROR(S56*S55/SUMPRODUCT($D56:$DS56,$D55:$DS55),0)</x:f>
        <x:v>0</x:v>
      </x:c>
      <x:c r="T57" s="35" t="n">
        <x:f>IFERROR(T56*T55/SUMPRODUCT($D56:$DS56,$D55:$DS55),0)</x:f>
        <x:v>0</x:v>
      </x:c>
      <x:c r="U57" s="35" t="n">
        <x:f>IFERROR(U56*U55/SUMPRODUCT($D56:$DS56,$D55:$DS55),0)</x:f>
        <x:v>0</x:v>
      </x:c>
      <x:c r="V57" s="35" t="n">
        <x:f>IFERROR(V56*V55/SUMPRODUCT($D56:$DS56,$D55:$DS55),0)</x:f>
        <x:v>0</x:v>
      </x:c>
      <x:c r="W57" s="35" t="n">
        <x:f>IFERROR(W56*W55/SUMPRODUCT($D56:$DS56,$D55:$DS55),0)</x:f>
        <x:v>0</x:v>
      </x:c>
      <x:c r="X57" s="35" t="n">
        <x:f>IFERROR(X56*X55/SUMPRODUCT($D56:$DS56,$D55:$DS55),0)</x:f>
        <x:v>0</x:v>
      </x:c>
      <x:c r="Y57" s="35" t="n">
        <x:f>IFERROR(Y56*Y55/SUMPRODUCT($D56:$DS56,$D55:$DS55),0)</x:f>
        <x:v>0</x:v>
      </x:c>
      <x:c r="Z57" s="35" t="n">
        <x:f>IFERROR(Z56*Z55/SUMPRODUCT($D56:$DS56,$D55:$DS55),0)</x:f>
        <x:v>0</x:v>
      </x:c>
      <x:c r="AA57" s="35" t="n">
        <x:f>IFERROR(AA56*AA55/SUMPRODUCT($D56:$DS56,$D55:$DS55),0)</x:f>
        <x:v>0</x:v>
      </x:c>
      <x:c r="AB57" s="35" t="n">
        <x:f>IFERROR(AB56*AB55/SUMPRODUCT($D56:$DS56,$D55:$DS55),0)</x:f>
        <x:v>0</x:v>
      </x:c>
      <x:c r="AC57" s="35" t="n">
        <x:f>IFERROR(AC56*AC55/SUMPRODUCT($D56:$DS56,$D55:$DS55),0)</x:f>
        <x:v>0</x:v>
      </x:c>
      <x:c r="AD57" s="35" t="n">
        <x:f>IFERROR(AD56*AD55/SUMPRODUCT($D56:$DS56,$D55:$DS55),0)</x:f>
        <x:v>0</x:v>
      </x:c>
      <x:c r="AE57" s="35" t="n">
        <x:f>IFERROR(AE56*AE55/SUMPRODUCT($D56:$DS56,$D55:$DS55),0)</x:f>
        <x:v>0</x:v>
      </x:c>
      <x:c r="AF57" s="35" t="n">
        <x:f>IFERROR(AF56*AF55/SUMPRODUCT($D56:$DS56,$D55:$DS55),0)</x:f>
        <x:v>0</x:v>
      </x:c>
      <x:c r="AG57" s="35" t="n">
        <x:f>IFERROR(AG56*AG55/SUMPRODUCT($D56:$DS56,$D55:$DS55),0)</x:f>
        <x:v>0</x:v>
      </x:c>
      <x:c r="AH57" s="35" t="n">
        <x:f>IFERROR(AH56*AH55/SUMPRODUCT($D56:$DS56,$D55:$DS55),0)</x:f>
        <x:v>0</x:v>
      </x:c>
      <x:c r="AI57" s="35" t="n">
        <x:f>IFERROR(AI56*AI55/SUMPRODUCT($D56:$DS56,$D55:$DS55),0)</x:f>
        <x:v>0</x:v>
      </x:c>
      <x:c r="AJ57" s="35" t="n">
        <x:f>IFERROR(AJ56*AJ55/SUMPRODUCT($D56:$DS56,$D55:$DS55),0)</x:f>
        <x:v>0</x:v>
      </x:c>
      <x:c r="AK57" s="35" t="n">
        <x:f>IFERROR(AK56*AK55/SUMPRODUCT($D56:$DS56,$D55:$DS55),0)</x:f>
        <x:v>0</x:v>
      </x:c>
      <x:c r="AL57" s="35" t="n">
        <x:f>IFERROR(AL56*AL55/SUMPRODUCT($D56:$DS56,$D55:$DS55),0)</x:f>
        <x:v>0</x:v>
      </x:c>
      <x:c r="AM57" s="35" t="n">
        <x:f>IFERROR(AM56*AM55/SUMPRODUCT($D56:$DS56,$D55:$DS55),0)</x:f>
        <x:v>0</x:v>
      </x:c>
      <x:c r="AN57" s="35" t="n">
        <x:f>IFERROR(AN56*AN55/SUMPRODUCT($D56:$DS56,$D55:$DS55),0)</x:f>
        <x:v>0</x:v>
      </x:c>
      <x:c r="AO57" s="35" t="n">
        <x:f>IFERROR(AO56*AO55/SUMPRODUCT($D56:$DS56,$D55:$DS55),0)</x:f>
        <x:v>0</x:v>
      </x:c>
      <x:c r="AP57" s="35" t="n">
        <x:f>IFERROR(AP56*AP55/SUMPRODUCT($D56:$DS56,$D55:$DS55),0)</x:f>
        <x:v>0</x:v>
      </x:c>
      <x:c r="AQ57" s="35" t="n">
        <x:f>IFERROR(AQ56*AQ55/SUMPRODUCT($D56:$DS56,$D55:$DS55),0)</x:f>
        <x:v>0</x:v>
      </x:c>
      <x:c r="AR57" s="35" t="n">
        <x:f>IFERROR(AR56*AR55/SUMPRODUCT($D56:$DS56,$D55:$DS55),0)</x:f>
        <x:v>0</x:v>
      </x:c>
      <x:c r="AS57" s="35" t="n">
        <x:f>IFERROR(AS56*AS55/SUMPRODUCT($D56:$DS56,$D55:$DS55),0)</x:f>
        <x:v>0</x:v>
      </x:c>
      <x:c r="AT57" s="35" t="n">
        <x:f>IFERROR(AT56*AT55/SUMPRODUCT($D56:$DS56,$D55:$DS55),0)</x:f>
        <x:v>0</x:v>
      </x:c>
      <x:c r="AU57" s="35" t="n">
        <x:f>IFERROR(AU56*AU55/SUMPRODUCT($D56:$DS56,$D55:$DS55),0)</x:f>
        <x:v>0</x:v>
      </x:c>
      <x:c r="AV57" s="35" t="n">
        <x:f>IFERROR(AV56*AV55/SUMPRODUCT($D56:$DS56,$D55:$DS55),0)</x:f>
        <x:v>0</x:v>
      </x:c>
      <x:c r="AW57" s="35" t="n">
        <x:f>IFERROR(AW56*AW55/SUMPRODUCT($D56:$DS56,$D55:$DS55),0)</x:f>
        <x:v>0</x:v>
      </x:c>
      <x:c r="AX57" s="35" t="n">
        <x:f>IFERROR(AX56*AX55/SUMPRODUCT($D56:$DS56,$D55:$DS55),0)</x:f>
        <x:v>0</x:v>
      </x:c>
      <x:c r="AY57" s="35" t="n">
        <x:f>IFERROR(AY56*AY55/SUMPRODUCT($D56:$DS56,$D55:$DS55),0)</x:f>
        <x:v>0</x:v>
      </x:c>
      <x:c r="AZ57" s="35" t="n">
        <x:f>IFERROR(AZ56*AZ55/SUMPRODUCT($D56:$DS56,$D55:$DS55),0)</x:f>
        <x:v>0</x:v>
      </x:c>
      <x:c r="BA57" s="35" t="n">
        <x:f>IFERROR(BA56*BA55/SUMPRODUCT($D56:$DS56,$D55:$DS55),0)</x:f>
        <x:v>0</x:v>
      </x:c>
      <x:c r="BB57" s="35" t="n">
        <x:f>IFERROR(BB56*BB55/SUMPRODUCT($D56:$DS56,$D55:$DS55),0)</x:f>
        <x:v>0</x:v>
      </x:c>
      <x:c r="BC57" s="35" t="n">
        <x:f>IFERROR(BC56*BC55/SUMPRODUCT($D56:$DS56,$D55:$DS55),0)</x:f>
        <x:v>0</x:v>
      </x:c>
      <x:c r="BD57" s="35" t="n">
        <x:f>IFERROR(BD56*BD55/SUMPRODUCT($D56:$DS56,$D55:$DS55),0)</x:f>
        <x:v>0</x:v>
      </x:c>
      <x:c r="BE57" s="35" t="n">
        <x:f>IFERROR(BE56*BE55/SUMPRODUCT($D56:$DS56,$D55:$DS55),0)</x:f>
        <x:v>0</x:v>
      </x:c>
      <x:c r="BF57" s="35" t="n">
        <x:f>IFERROR(BF56*BF55/SUMPRODUCT($D56:$DS56,$D55:$DS55),0)</x:f>
        <x:v>0</x:v>
      </x:c>
      <x:c r="BG57" s="35" t="n">
        <x:f>IFERROR(BG56*BG55/SUMPRODUCT($D56:$DS56,$D55:$DS55),0)</x:f>
        <x:v>0</x:v>
      </x:c>
      <x:c r="BH57" s="35" t="n">
        <x:f>IFERROR(BH56*BH55/SUMPRODUCT($D56:$DS56,$D55:$DS55),0)</x:f>
        <x:v>0</x:v>
      </x:c>
      <x:c r="BI57" s="35" t="n">
        <x:f>IFERROR(BI56*BI55/SUMPRODUCT($D56:$DS56,$D55:$DS55),0)</x:f>
        <x:v>0</x:v>
      </x:c>
      <x:c r="BJ57" s="35" t="n">
        <x:f>IFERROR(BJ56*BJ55/SUMPRODUCT($D56:$DS56,$D55:$DS55),0)</x:f>
        <x:v>0</x:v>
      </x:c>
      <x:c r="BK57" s="35" t="n">
        <x:f>IFERROR(BK56*BK55/SUMPRODUCT($D56:$DS56,$D55:$DS55),0)</x:f>
        <x:v>0</x:v>
      </x:c>
      <x:c r="BL57" s="35" t="n">
        <x:f>IFERROR(BL56*BL55/SUMPRODUCT($D56:$DS56,$D55:$DS55),0)</x:f>
        <x:v>0</x:v>
      </x:c>
      <x:c r="BM57" s="35" t="n">
        <x:f>IFERROR(BM56*BM55/SUMPRODUCT($D56:$DS56,$D55:$DS55),0)</x:f>
        <x:v>0</x:v>
      </x:c>
      <x:c r="BN57" s="35" t="n">
        <x:f>IFERROR(BN56*BN55/SUMPRODUCT($D56:$DS56,$D55:$DS55),0)</x:f>
        <x:v>0</x:v>
      </x:c>
      <x:c r="BO57" s="35" t="n">
        <x:f>IFERROR(BO56*BO55/SUMPRODUCT($D56:$DS56,$D55:$DS55),0)</x:f>
        <x:v>0</x:v>
      </x:c>
      <x:c r="BP57" s="35" t="n">
        <x:f>IFERROR(BP56*BP55/SUMPRODUCT($D56:$DS56,$D55:$DS55),0)</x:f>
        <x:v>0</x:v>
      </x:c>
      <x:c r="BQ57" s="35" t="n">
        <x:f>IFERROR(BQ56*BQ55/SUMPRODUCT($D56:$DS56,$D55:$DS55),0)</x:f>
        <x:v>0</x:v>
      </x:c>
      <x:c r="BR57" s="35" t="n">
        <x:f>IFERROR(BR56*BR55/SUMPRODUCT($D56:$DS56,$D55:$DS55),0)</x:f>
        <x:v>0</x:v>
      </x:c>
      <x:c r="BS57" s="35" t="n">
        <x:f>IFERROR(BS56*BS55/SUMPRODUCT($D56:$DS56,$D55:$DS55),0)</x:f>
        <x:v>0</x:v>
      </x:c>
      <x:c r="BT57" s="35" t="n">
        <x:f>IFERROR(BT56*BT55/SUMPRODUCT($D56:$DS56,$D55:$DS55),0)</x:f>
        <x:v>0</x:v>
      </x:c>
      <x:c r="BU57" s="35" t="n">
        <x:f>IFERROR(BU56*BU55/SUMPRODUCT($D56:$DS56,$D55:$DS55),0)</x:f>
        <x:v>0</x:v>
      </x:c>
      <x:c r="BV57" s="35" t="n">
        <x:f>IFERROR(BV56*BV55/SUMPRODUCT($D56:$DS56,$D55:$DS55),0)</x:f>
        <x:v>0</x:v>
      </x:c>
      <x:c r="BW57" s="35" t="n">
        <x:f>IFERROR(BW56*BW55/SUMPRODUCT($D56:$DS56,$D55:$DS55),0)</x:f>
        <x:v>0</x:v>
      </x:c>
      <x:c r="BX57" s="35" t="n">
        <x:f>IFERROR(BX56*BX55/SUMPRODUCT($D56:$DS56,$D55:$DS55),0)</x:f>
        <x:v>0</x:v>
      </x:c>
      <x:c r="BY57" s="35" t="n">
        <x:f>IFERROR(BY56*BY55/SUMPRODUCT($D56:$DS56,$D55:$DS55),0)</x:f>
        <x:v>0</x:v>
      </x:c>
      <x:c r="BZ57" s="35" t="n">
        <x:f>IFERROR(BZ56*BZ55/SUMPRODUCT($D56:$DS56,$D55:$DS55),0)</x:f>
        <x:v>0</x:v>
      </x:c>
      <x:c r="CA57" s="35" t="n">
        <x:f>IFERROR(CA56*CA55/SUMPRODUCT($D56:$DS56,$D55:$DS55),0)</x:f>
        <x:v>0</x:v>
      </x:c>
      <x:c r="CB57" s="35" t="n">
        <x:f>IFERROR(CB56*CB55/SUMPRODUCT($D56:$DS56,$D55:$DS55),0)</x:f>
        <x:v>0</x:v>
      </x:c>
      <x:c r="CC57" s="35" t="n">
        <x:f>IFERROR(CC56*CC55/SUMPRODUCT($D56:$DS56,$D55:$DS55),0)</x:f>
        <x:v>0</x:v>
      </x:c>
      <x:c r="CD57" s="35" t="n">
        <x:f>IFERROR(CD56*CD55/SUMPRODUCT($D56:$DS56,$D55:$DS55),0)</x:f>
        <x:v>0</x:v>
      </x:c>
      <x:c r="CE57" s="35" t="n">
        <x:f>IFERROR(CE56*CE55/SUMPRODUCT($D56:$DS56,$D55:$DS55),0)</x:f>
        <x:v>0</x:v>
      </x:c>
      <x:c r="CF57" s="35" t="n">
        <x:f>IFERROR(CF56*CF55/SUMPRODUCT($D56:$DS56,$D55:$DS55),0)</x:f>
        <x:v>0</x:v>
      </x:c>
      <x:c r="CG57" s="35" t="n">
        <x:f>IFERROR(CG56*CG55/SUMPRODUCT($D56:$DS56,$D55:$DS55),0)</x:f>
        <x:v>0</x:v>
      </x:c>
      <x:c r="CH57" s="35" t="n">
        <x:f>IFERROR(CH56*CH55/SUMPRODUCT($D56:$DS56,$D55:$DS55),0)</x:f>
        <x:v>0</x:v>
      </x:c>
      <x:c r="CI57" s="35" t="n">
        <x:f>IFERROR(CI56*CI55/SUMPRODUCT($D56:$DS56,$D55:$DS55),0)</x:f>
        <x:v>0</x:v>
      </x:c>
      <x:c r="CJ57" s="35" t="n">
        <x:f>IFERROR(CJ56*CJ55/SUMPRODUCT($D56:$DS56,$D55:$DS55),0)</x:f>
        <x:v>0</x:v>
      </x:c>
      <x:c r="CK57" s="35" t="n">
        <x:f>IFERROR(CK56*CK55/SUMPRODUCT($D56:$DS56,$D55:$DS55),0)</x:f>
        <x:v>0</x:v>
      </x:c>
      <x:c r="CL57" s="35" t="n">
        <x:f>IFERROR(CL56*CL55/SUMPRODUCT($D56:$DS56,$D55:$DS55),0)</x:f>
        <x:v>0</x:v>
      </x:c>
      <x:c r="CM57" s="35" t="n">
        <x:f>IFERROR(CM56*CM55/SUMPRODUCT($D56:$DS56,$D55:$DS55),0)</x:f>
        <x:v>0</x:v>
      </x:c>
      <x:c r="CN57" s="35" t="n">
        <x:f>IFERROR(CN56*CN55/SUMPRODUCT($D56:$DS56,$D55:$DS55),0)</x:f>
        <x:v>0</x:v>
      </x:c>
      <x:c r="CO57" s="35" t="n">
        <x:f>IFERROR(CO56*CO55/SUMPRODUCT($D56:$DS56,$D55:$DS55),0)</x:f>
        <x:v>0</x:v>
      </x:c>
      <x:c r="CP57" s="35" t="n">
        <x:f>IFERROR(CP56*CP55/SUMPRODUCT($D56:$DS56,$D55:$DS55),0)</x:f>
        <x:v>0</x:v>
      </x:c>
      <x:c r="CQ57" s="35" t="n">
        <x:f>IFERROR(CQ56*CQ55/SUMPRODUCT($D56:$DS56,$D55:$DS55),0)</x:f>
        <x:v>0</x:v>
      </x:c>
      <x:c r="CR57" s="35" t="n">
        <x:f>IFERROR(CR56*CR55/SUMPRODUCT($D56:$DS56,$D55:$DS55),0)</x:f>
        <x:v>0</x:v>
      </x:c>
      <x:c r="CS57" s="35" t="n">
        <x:f>IFERROR(CS56*CS55/SUMPRODUCT($D56:$DS56,$D55:$DS55),0)</x:f>
        <x:v>0</x:v>
      </x:c>
      <x:c r="CT57" s="35" t="n">
        <x:f>IFERROR(CT56*CT55/SUMPRODUCT($D56:$DS56,$D55:$DS55),0)</x:f>
        <x:v>0</x:v>
      </x:c>
      <x:c r="CU57" s="35" t="n">
        <x:f>IFERROR(CU56*CU55/SUMPRODUCT($D56:$DS56,$D55:$DS55),0)</x:f>
        <x:v>0</x:v>
      </x:c>
      <x:c r="CV57" s="35" t="n">
        <x:f>IFERROR(CV56*CV55/SUMPRODUCT($D56:$DS56,$D55:$DS55),0)</x:f>
        <x:v>0</x:v>
      </x:c>
      <x:c r="CW57" s="35" t="n">
        <x:f>IFERROR(CW56*CW55/SUMPRODUCT($D56:$DS56,$D55:$DS55),0)</x:f>
        <x:v>0</x:v>
      </x:c>
      <x:c r="CX57" s="35" t="n">
        <x:f>IFERROR(CX56*CX55/SUMPRODUCT($D56:$DS56,$D55:$DS55),0)</x:f>
        <x:v>0</x:v>
      </x:c>
      <x:c r="CY57" s="35" t="n">
        <x:f>IFERROR(CY56*CY55/SUMPRODUCT($D56:$DS56,$D55:$DS55),0)</x:f>
        <x:v>0</x:v>
      </x:c>
      <x:c r="CZ57" s="35" t="n">
        <x:f>IFERROR(CZ56*CZ55/SUMPRODUCT($D56:$DS56,$D55:$DS55),0)</x:f>
        <x:v>0</x:v>
      </x:c>
      <x:c r="DA57" s="35" t="n">
        <x:f>IFERROR(DA56*DA55/SUMPRODUCT($D56:$DS56,$D55:$DS55),0)</x:f>
        <x:v>0</x:v>
      </x:c>
      <x:c r="DB57" s="35" t="n">
        <x:f>IFERROR(DB56*DB55/SUMPRODUCT($D56:$DS56,$D55:$DS55),0)</x:f>
        <x:v>0</x:v>
      </x:c>
      <x:c r="DC57" s="35" t="n">
        <x:f>IFERROR(DC56*DC55/SUMPRODUCT($D56:$DS56,$D55:$DS55),0)</x:f>
        <x:v>0</x:v>
      </x:c>
      <x:c r="DD57" s="35" t="n">
        <x:f>IFERROR(DD56*DD55/SUMPRODUCT($D56:$DS56,$D55:$DS55),0)</x:f>
        <x:v>0</x:v>
      </x:c>
      <x:c r="DE57" s="35" t="n">
        <x:f>IFERROR(DE56*DE55/SUMPRODUCT($D56:$DS56,$D55:$DS55),0)</x:f>
        <x:v>0</x:v>
      </x:c>
      <x:c r="DF57" s="35" t="n">
        <x:f>IFERROR(DF56*DF55/SUMPRODUCT($D56:$DS56,$D55:$DS55),0)</x:f>
        <x:v>0</x:v>
      </x:c>
      <x:c r="DG57" s="35" t="n">
        <x:f>IFERROR(DG56*DG55/SUMPRODUCT($D56:$DS56,$D55:$DS55),0)</x:f>
        <x:v>0</x:v>
      </x:c>
      <x:c r="DH57" s="35" t="n">
        <x:f>IFERROR(DH56*DH55/SUMPRODUCT($D56:$DS56,$D55:$DS55),0)</x:f>
        <x:v>0</x:v>
      </x:c>
      <x:c r="DI57" s="35" t="n">
        <x:f>IFERROR(DI56*DI55/SUMPRODUCT($D56:$DS56,$D55:$DS55),0)</x:f>
        <x:v>0</x:v>
      </x:c>
      <x:c r="DJ57" s="35" t="n">
        <x:f>IFERROR(DJ56*DJ55/SUMPRODUCT($D56:$DS56,$D55:$DS55),0)</x:f>
        <x:v>0</x:v>
      </x:c>
      <x:c r="DK57" s="35" t="n">
        <x:f>IFERROR(DK56*DK55/SUMPRODUCT($D56:$DS56,$D55:$DS55),0)</x:f>
        <x:v>0</x:v>
      </x:c>
      <x:c r="DL57" s="35" t="n">
        <x:f>IFERROR(DL56*DL55/SUMPRODUCT($D56:$DS56,$D55:$DS55),0)</x:f>
        <x:v>0</x:v>
      </x:c>
      <x:c r="DM57" s="35" t="n">
        <x:f>IFERROR(DM56*DM55/SUMPRODUCT($D56:$DS56,$D55:$DS55),0)</x:f>
        <x:v>0</x:v>
      </x:c>
      <x:c r="DN57" s="35" t="n">
        <x:f>IFERROR(DN56*DN55/SUMPRODUCT($D56:$DS56,$D55:$DS55),0)</x:f>
        <x:v>0</x:v>
      </x:c>
      <x:c r="DO57" s="35" t="n">
        <x:f>IFERROR(DO56*DO55/SUMPRODUCT($D56:$DS56,$D55:$DS55),0)</x:f>
        <x:v>0</x:v>
      </x:c>
      <x:c r="DP57" s="35" t="n">
        <x:f>IFERROR(DP56*DP55/SUMPRODUCT($D56:$DS56,$D55:$DS55),0)</x:f>
        <x:v>0</x:v>
      </x:c>
      <x:c r="DQ57" s="35" t="n">
        <x:f>IFERROR(DQ56*DQ55/SUMPRODUCT($D56:$DS56,$D55:$DS55),0)</x:f>
        <x:v>0</x:v>
      </x:c>
      <x:c r="DR57" s="35" t="n">
        <x:f>IFERROR(DR56*DR55/SUMPRODUCT($D56:$DS56,$D55:$DS55),0)</x:f>
        <x:v>0</x:v>
      </x:c>
      <x:c r="DS57" s="35" t="n">
        <x:f>IFERROR(DS56*DS55/SUMPRODUCT($D56:$DS56,$D55:$DS55),0)</x:f>
        <x:v>0</x:v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  <x:v>0</x:v>
      </x:c>
      <x:c r="E58" s="35" t="n">
        <x:f>--AND(E$3&gt;=MAX($B$53,$B$54),E$3&lt;EDATE($B$53,MAX(1,'Вводные'!$H$90)),'Вводные'!$B$90="Да")</x:f>
        <x:v>0</x:v>
      </x:c>
      <x:c r="F58" s="35" t="n">
        <x:f>--AND(F$3&gt;=MAX($B$53,$B$54),F$3&lt;EDATE($B$53,MAX(1,'Вводные'!$H$90)),'Вводные'!$B$90="Да")</x:f>
        <x:v>0</x:v>
      </x:c>
      <x:c r="G58" s="35" t="n">
        <x:f>--AND(G$3&gt;=MAX($B$53,$B$54),G$3&lt;EDATE($B$53,MAX(1,'Вводные'!$H$90)),'Вводные'!$B$90="Да")</x:f>
        <x:v>0</x:v>
      </x:c>
      <x:c r="H58" s="35" t="n">
        <x:f>--AND(H$3&gt;=MAX($B$53,$B$54),H$3&lt;EDATE($B$53,MAX(1,'Вводные'!$H$90)),'Вводные'!$B$90="Да")</x:f>
        <x:v>0</x:v>
      </x:c>
      <x:c r="I58" s="35" t="n">
        <x:f>--AND(I$3&gt;=MAX($B$53,$B$54),I$3&lt;EDATE($B$53,MAX(1,'Вводные'!$H$90)),'Вводные'!$B$90="Да")</x:f>
        <x:v>0</x:v>
      </x:c>
      <x:c r="J58" s="35" t="n">
        <x:f>--AND(J$3&gt;=MAX($B$53,$B$54),J$3&lt;EDATE($B$53,MAX(1,'Вводные'!$H$90)),'Вводные'!$B$90="Да")</x:f>
        <x:v>0</x:v>
      </x:c>
      <x:c r="K58" s="35" t="n">
        <x:f>--AND(K$3&gt;=MAX($B$53,$B$54),K$3&lt;EDATE($B$53,MAX(1,'Вводные'!$H$90)),'Вводные'!$B$90="Да")</x:f>
        <x:v>0</x:v>
      </x:c>
      <x:c r="L58" s="35" t="n">
        <x:f>--AND(L$3&gt;=MAX($B$53,$B$54),L$3&lt;EDATE($B$53,MAX(1,'Вводные'!$H$90)),'Вводные'!$B$90="Да")</x:f>
        <x:v>0</x:v>
      </x:c>
      <x:c r="M58" s="35" t="n">
        <x:f>--AND(M$3&gt;=MAX($B$53,$B$54),M$3&lt;EDATE($B$53,MAX(1,'Вводные'!$H$90)),'Вводные'!$B$90="Да")</x:f>
        <x:v>0</x:v>
      </x:c>
      <x:c r="N58" s="35" t="n">
        <x:f>--AND(N$3&gt;=MAX($B$53,$B$54),N$3&lt;EDATE($B$53,MAX(1,'Вводные'!$H$90)),'Вводные'!$B$90="Да")</x:f>
        <x:v>0</x:v>
      </x:c>
      <x:c r="O58" s="35" t="n">
        <x:f>--AND(O$3&gt;=MAX($B$53,$B$54),O$3&lt;EDATE($B$53,MAX(1,'Вводные'!$H$90)),'Вводные'!$B$90="Да")</x:f>
        <x:v>0</x:v>
      </x:c>
      <x:c r="P58" s="35" t="n">
        <x:f>--AND(P$3&gt;=MAX($B$53,$B$54),P$3&lt;EDATE($B$53,MAX(1,'Вводные'!$H$90)),'Вводные'!$B$90="Да")</x:f>
        <x:v>0</x:v>
      </x:c>
      <x:c r="Q58" s="35" t="n">
        <x:f>--AND(Q$3&gt;=MAX($B$53,$B$54),Q$3&lt;EDATE($B$53,MAX(1,'Вводные'!$H$90)),'Вводные'!$B$90="Да")</x:f>
        <x:v>0</x:v>
      </x:c>
      <x:c r="R58" s="35" t="n">
        <x:f>--AND(R$3&gt;=MAX($B$53,$B$54),R$3&lt;EDATE($B$53,MAX(1,'Вводные'!$H$90)),'Вводные'!$B$90="Да")</x:f>
        <x:v>0</x:v>
      </x:c>
      <x:c r="S58" s="35" t="n">
        <x:f>--AND(S$3&gt;=MAX($B$53,$B$54),S$3&lt;EDATE($B$53,MAX(1,'Вводные'!$H$90)),'Вводные'!$B$90="Да")</x:f>
        <x:v>0</x:v>
      </x:c>
      <x:c r="T58" s="35" t="n">
        <x:f>--AND(T$3&gt;=MAX($B$53,$B$54),T$3&lt;EDATE($B$53,MAX(1,'Вводные'!$H$90)),'Вводные'!$B$90="Да")</x:f>
        <x:v>0</x:v>
      </x:c>
      <x:c r="U58" s="35" t="n">
        <x:f>--AND(U$3&gt;=MAX($B$53,$B$54),U$3&lt;EDATE($B$53,MAX(1,'Вводные'!$H$90)),'Вводные'!$B$90="Да")</x:f>
        <x:v>0</x:v>
      </x:c>
      <x:c r="V58" s="35" t="n">
        <x:f>--AND(V$3&gt;=MAX($B$53,$B$54),V$3&lt;EDATE($B$53,MAX(1,'Вводные'!$H$90)),'Вводные'!$B$90="Да")</x:f>
        <x:v>0</x:v>
      </x:c>
      <x:c r="W58" s="35" t="n">
        <x:f>--AND(W$3&gt;=MAX($B$53,$B$54),W$3&lt;EDATE($B$53,MAX(1,'Вводные'!$H$90)),'Вводные'!$B$90="Да")</x:f>
        <x:v>0</x:v>
      </x:c>
      <x:c r="X58" s="35" t="n">
        <x:f>--AND(X$3&gt;=MAX($B$53,$B$54),X$3&lt;EDATE($B$53,MAX(1,'Вводные'!$H$90)),'Вводные'!$B$90="Да")</x:f>
        <x:v>0</x:v>
      </x:c>
      <x:c r="Y58" s="35" t="n">
        <x:f>--AND(Y$3&gt;=MAX($B$53,$B$54),Y$3&lt;EDATE($B$53,MAX(1,'Вводные'!$H$90)),'Вводные'!$B$90="Да")</x:f>
        <x:v>0</x:v>
      </x:c>
      <x:c r="Z58" s="35" t="n">
        <x:f>--AND(Z$3&gt;=MAX($B$53,$B$54),Z$3&lt;EDATE($B$53,MAX(1,'Вводные'!$H$90)),'Вводные'!$B$90="Да")</x:f>
        <x:v>0</x:v>
      </x:c>
      <x:c r="AA58" s="35" t="n">
        <x:f>--AND(AA$3&gt;=MAX($B$53,$B$54),AA$3&lt;EDATE($B$53,MAX(1,'Вводные'!$H$90)),'Вводные'!$B$90="Да")</x:f>
        <x:v>0</x:v>
      </x:c>
      <x:c r="AB58" s="35" t="n">
        <x:f>--AND(AB$3&gt;=MAX($B$53,$B$54),AB$3&lt;EDATE($B$53,MAX(1,'Вводные'!$H$90)),'Вводные'!$B$90="Да")</x:f>
        <x:v>0</x:v>
      </x:c>
      <x:c r="AC58" s="35" t="n">
        <x:f>--AND(AC$3&gt;=MAX($B$53,$B$54),AC$3&lt;EDATE($B$53,MAX(1,'Вводные'!$H$90)),'Вводные'!$B$90="Да")</x:f>
        <x:v>0</x:v>
      </x:c>
      <x:c r="AD58" s="35" t="n">
        <x:f>--AND(AD$3&gt;=MAX($B$53,$B$54),AD$3&lt;EDATE($B$53,MAX(1,'Вводные'!$H$90)),'Вводные'!$B$90="Да")</x:f>
        <x:v>0</x:v>
      </x:c>
      <x:c r="AE58" s="35" t="n">
        <x:f>--AND(AE$3&gt;=MAX($B$53,$B$54),AE$3&lt;EDATE($B$53,MAX(1,'Вводные'!$H$90)),'Вводные'!$B$90="Да")</x:f>
        <x:v>0</x:v>
      </x:c>
      <x:c r="AF58" s="35" t="n">
        <x:f>--AND(AF$3&gt;=MAX($B$53,$B$54),AF$3&lt;EDATE($B$53,MAX(1,'Вводные'!$H$90)),'Вводные'!$B$90="Да")</x:f>
        <x:v>0</x:v>
      </x:c>
      <x:c r="AG58" s="35" t="n">
        <x:f>--AND(AG$3&gt;=MAX($B$53,$B$54),AG$3&lt;EDATE($B$53,MAX(1,'Вводные'!$H$90)),'Вводные'!$B$90="Да")</x:f>
        <x:v>0</x:v>
      </x:c>
      <x:c r="AH58" s="35" t="n">
        <x:f>--AND(AH$3&gt;=MAX($B$53,$B$54),AH$3&lt;EDATE($B$53,MAX(1,'Вводные'!$H$90)),'Вводные'!$B$90="Да")</x:f>
        <x:v>0</x:v>
      </x:c>
      <x:c r="AI58" s="35" t="n">
        <x:f>--AND(AI$3&gt;=MAX($B$53,$B$54),AI$3&lt;EDATE($B$53,MAX(1,'Вводные'!$H$90)),'Вводные'!$B$90="Да")</x:f>
        <x:v>0</x:v>
      </x:c>
      <x:c r="AJ58" s="35" t="n">
        <x:f>--AND(AJ$3&gt;=MAX($B$53,$B$54),AJ$3&lt;EDATE($B$53,MAX(1,'Вводные'!$H$90)),'Вводные'!$B$90="Да")</x:f>
        <x:v>0</x:v>
      </x:c>
      <x:c r="AK58" s="35" t="n">
        <x:f>--AND(AK$3&gt;=MAX($B$53,$B$54),AK$3&lt;EDATE($B$53,MAX(1,'Вводные'!$H$90)),'Вводные'!$B$90="Да")</x:f>
        <x:v>0</x:v>
      </x:c>
      <x:c r="AL58" s="35" t="n">
        <x:f>--AND(AL$3&gt;=MAX($B$53,$B$54),AL$3&lt;EDATE($B$53,MAX(1,'Вводные'!$H$90)),'Вводные'!$B$90="Да")</x:f>
        <x:v>0</x:v>
      </x:c>
      <x:c r="AM58" s="35" t="n">
        <x:f>--AND(AM$3&gt;=MAX($B$53,$B$54),AM$3&lt;EDATE($B$53,MAX(1,'Вводные'!$H$90)),'Вводные'!$B$90="Да")</x:f>
        <x:v>0</x:v>
      </x:c>
      <x:c r="AN58" s="35" t="n">
        <x:f>--AND(AN$3&gt;=MAX($B$53,$B$54),AN$3&lt;EDATE($B$53,MAX(1,'Вводные'!$H$90)),'Вводные'!$B$90="Да")</x:f>
        <x:v>0</x:v>
      </x:c>
      <x:c r="AO58" s="35" t="n">
        <x:f>--AND(AO$3&gt;=MAX($B$53,$B$54),AO$3&lt;EDATE($B$53,MAX(1,'Вводные'!$H$90)),'Вводные'!$B$90="Да")</x:f>
        <x:v>0</x:v>
      </x:c>
      <x:c r="AP58" s="35" t="n">
        <x:f>--AND(AP$3&gt;=MAX($B$53,$B$54),AP$3&lt;EDATE($B$53,MAX(1,'Вводные'!$H$90)),'Вводные'!$B$90="Да")</x:f>
        <x:v>0</x:v>
      </x:c>
      <x:c r="AQ58" s="35" t="n">
        <x:f>--AND(AQ$3&gt;=MAX($B$53,$B$54),AQ$3&lt;EDATE($B$53,MAX(1,'Вводные'!$H$90)),'Вводные'!$B$90="Да")</x:f>
        <x:v>0</x:v>
      </x:c>
      <x:c r="AR58" s="35" t="n">
        <x:f>--AND(AR$3&gt;=MAX($B$53,$B$54),AR$3&lt;EDATE($B$53,MAX(1,'Вводные'!$H$90)),'Вводные'!$B$90="Да")</x:f>
        <x:v>0</x:v>
      </x:c>
      <x:c r="AS58" s="35" t="n">
        <x:f>--AND(AS$3&gt;=MAX($B$53,$B$54),AS$3&lt;EDATE($B$53,MAX(1,'Вводные'!$H$90)),'Вводные'!$B$90="Да")</x:f>
        <x:v>0</x:v>
      </x:c>
      <x:c r="AT58" s="35" t="n">
        <x:f>--AND(AT$3&gt;=MAX($B$53,$B$54),AT$3&lt;EDATE($B$53,MAX(1,'Вводные'!$H$90)),'Вводные'!$B$90="Да")</x:f>
        <x:v>0</x:v>
      </x:c>
      <x:c r="AU58" s="35" t="n">
        <x:f>--AND(AU$3&gt;=MAX($B$53,$B$54),AU$3&lt;EDATE($B$53,MAX(1,'Вводные'!$H$90)),'Вводные'!$B$90="Да")</x:f>
        <x:v>0</x:v>
      </x:c>
      <x:c r="AV58" s="35" t="n">
        <x:f>--AND(AV$3&gt;=MAX($B$53,$B$54),AV$3&lt;EDATE($B$53,MAX(1,'Вводные'!$H$90)),'Вводные'!$B$90="Да")</x:f>
        <x:v>0</x:v>
      </x:c>
      <x:c r="AW58" s="35" t="n">
        <x:f>--AND(AW$3&gt;=MAX($B$53,$B$54),AW$3&lt;EDATE($B$53,MAX(1,'Вводные'!$H$90)),'Вводные'!$B$90="Да")</x:f>
        <x:v>0</x:v>
      </x:c>
      <x:c r="AX58" s="35" t="n">
        <x:f>--AND(AX$3&gt;=MAX($B$53,$B$54),AX$3&lt;EDATE($B$53,MAX(1,'Вводные'!$H$90)),'Вводные'!$B$90="Да")</x:f>
        <x:v>0</x:v>
      </x:c>
      <x:c r="AY58" s="35" t="n">
        <x:f>--AND(AY$3&gt;=MAX($B$53,$B$54),AY$3&lt;EDATE($B$53,MAX(1,'Вводные'!$H$90)),'Вводные'!$B$90="Да")</x:f>
        <x:v>0</x:v>
      </x:c>
      <x:c r="AZ58" s="35" t="n">
        <x:f>--AND(AZ$3&gt;=MAX($B$53,$B$54),AZ$3&lt;EDATE($B$53,MAX(1,'Вводные'!$H$90)),'Вводные'!$B$90="Да")</x:f>
        <x:v>0</x:v>
      </x:c>
      <x:c r="BA58" s="35" t="n">
        <x:f>--AND(BA$3&gt;=MAX($B$53,$B$54),BA$3&lt;EDATE($B$53,MAX(1,'Вводные'!$H$90)),'Вводные'!$B$90="Да")</x:f>
        <x:v>0</x:v>
      </x:c>
      <x:c r="BB58" s="35" t="n">
        <x:f>--AND(BB$3&gt;=MAX($B$53,$B$54),BB$3&lt;EDATE($B$53,MAX(1,'Вводные'!$H$90)),'Вводные'!$B$90="Да")</x:f>
        <x:v>0</x:v>
      </x:c>
      <x:c r="BC58" s="35" t="n">
        <x:f>--AND(BC$3&gt;=MAX($B$53,$B$54),BC$3&lt;EDATE($B$53,MAX(1,'Вводные'!$H$90)),'Вводные'!$B$90="Да")</x:f>
        <x:v>0</x:v>
      </x:c>
      <x:c r="BD58" s="35" t="n">
        <x:f>--AND(BD$3&gt;=MAX($B$53,$B$54),BD$3&lt;EDATE($B$53,MAX(1,'Вводные'!$H$90)),'Вводные'!$B$90="Да")</x:f>
        <x:v>0</x:v>
      </x:c>
      <x:c r="BE58" s="35" t="n">
        <x:f>--AND(BE$3&gt;=MAX($B$53,$B$54),BE$3&lt;EDATE($B$53,MAX(1,'Вводные'!$H$90)),'Вводные'!$B$90="Да")</x:f>
        <x:v>0</x:v>
      </x:c>
      <x:c r="BF58" s="35" t="n">
        <x:f>--AND(BF$3&gt;=MAX($B$53,$B$54),BF$3&lt;EDATE($B$53,MAX(1,'Вводные'!$H$90)),'Вводные'!$B$90="Да")</x:f>
        <x:v>0</x:v>
      </x:c>
      <x:c r="BG58" s="35" t="n">
        <x:f>--AND(BG$3&gt;=MAX($B$53,$B$54),BG$3&lt;EDATE($B$53,MAX(1,'Вводные'!$H$90)),'Вводные'!$B$90="Да")</x:f>
        <x:v>0</x:v>
      </x:c>
      <x:c r="BH58" s="35" t="n">
        <x:f>--AND(BH$3&gt;=MAX($B$53,$B$54),BH$3&lt;EDATE($B$53,MAX(1,'Вводные'!$H$90)),'Вводные'!$B$90="Да")</x:f>
        <x:v>0</x:v>
      </x:c>
      <x:c r="BI58" s="35" t="n">
        <x:f>--AND(BI$3&gt;=MAX($B$53,$B$54),BI$3&lt;EDATE($B$53,MAX(1,'Вводные'!$H$90)),'Вводные'!$B$90="Да")</x:f>
        <x:v>0</x:v>
      </x:c>
      <x:c r="BJ58" s="35" t="n">
        <x:f>--AND(BJ$3&gt;=MAX($B$53,$B$54),BJ$3&lt;EDATE($B$53,MAX(1,'Вводные'!$H$90)),'Вводные'!$B$90="Да")</x:f>
        <x:v>0</x:v>
      </x:c>
      <x:c r="BK58" s="35" t="n">
        <x:f>--AND(BK$3&gt;=MAX($B$53,$B$54),BK$3&lt;EDATE($B$53,MAX(1,'Вводные'!$H$90)),'Вводные'!$B$90="Да")</x:f>
        <x:v>0</x:v>
      </x:c>
      <x:c r="BL58" s="35" t="n">
        <x:f>--AND(BL$3&gt;=MAX($B$53,$B$54),BL$3&lt;EDATE($B$53,MAX(1,'Вводные'!$H$90)),'Вводные'!$B$90="Да")</x:f>
        <x:v>0</x:v>
      </x:c>
      <x:c r="BM58" s="35" t="n">
        <x:f>--AND(BM$3&gt;=MAX($B$53,$B$54),BM$3&lt;EDATE($B$53,MAX(1,'Вводные'!$H$90)),'Вводные'!$B$90="Да")</x:f>
        <x:v>0</x:v>
      </x:c>
      <x:c r="BN58" s="35" t="n">
        <x:f>--AND(BN$3&gt;=MAX($B$53,$B$54),BN$3&lt;EDATE($B$53,MAX(1,'Вводные'!$H$90)),'Вводные'!$B$90="Да")</x:f>
        <x:v>0</x:v>
      </x:c>
      <x:c r="BO58" s="35" t="n">
        <x:f>--AND(BO$3&gt;=MAX($B$53,$B$54),BO$3&lt;EDATE($B$53,MAX(1,'Вводные'!$H$90)),'Вводные'!$B$90="Да")</x:f>
        <x:v>0</x:v>
      </x:c>
      <x:c r="BP58" s="35" t="n">
        <x:f>--AND(BP$3&gt;=MAX($B$53,$B$54),BP$3&lt;EDATE($B$53,MAX(1,'Вводные'!$H$90)),'Вводные'!$B$90="Да")</x:f>
        <x:v>0</x:v>
      </x:c>
      <x:c r="BQ58" s="35" t="n">
        <x:f>--AND(BQ$3&gt;=MAX($B$53,$B$54),BQ$3&lt;EDATE($B$53,MAX(1,'Вводные'!$H$90)),'Вводные'!$B$90="Да")</x:f>
        <x:v>0</x:v>
      </x:c>
      <x:c r="BR58" s="35" t="n">
        <x:f>--AND(BR$3&gt;=MAX($B$53,$B$54),BR$3&lt;EDATE($B$53,MAX(1,'Вводные'!$H$90)),'Вводные'!$B$90="Да")</x:f>
        <x:v>0</x:v>
      </x:c>
      <x:c r="BS58" s="35" t="n">
        <x:f>--AND(BS$3&gt;=MAX($B$53,$B$54),BS$3&lt;EDATE($B$53,MAX(1,'Вводные'!$H$90)),'Вводные'!$B$90="Да")</x:f>
        <x:v>0</x:v>
      </x:c>
      <x:c r="BT58" s="35" t="n">
        <x:f>--AND(BT$3&gt;=MAX($B$53,$B$54),BT$3&lt;EDATE($B$53,MAX(1,'Вводные'!$H$90)),'Вводные'!$B$90="Да")</x:f>
        <x:v>0</x:v>
      </x:c>
      <x:c r="BU58" s="35" t="n">
        <x:f>--AND(BU$3&gt;=MAX($B$53,$B$54),BU$3&lt;EDATE($B$53,MAX(1,'Вводные'!$H$90)),'Вводные'!$B$90="Да")</x:f>
        <x:v>0</x:v>
      </x:c>
      <x:c r="BV58" s="35" t="n">
        <x:f>--AND(BV$3&gt;=MAX($B$53,$B$54),BV$3&lt;EDATE($B$53,MAX(1,'Вводные'!$H$90)),'Вводные'!$B$90="Да")</x:f>
        <x:v>0</x:v>
      </x:c>
      <x:c r="BW58" s="35" t="n">
        <x:f>--AND(BW$3&gt;=MAX($B$53,$B$54),BW$3&lt;EDATE($B$53,MAX(1,'Вводные'!$H$90)),'Вводные'!$B$90="Да")</x:f>
        <x:v>0</x:v>
      </x:c>
      <x:c r="BX58" s="35" t="n">
        <x:f>--AND(BX$3&gt;=MAX($B$53,$B$54),BX$3&lt;EDATE($B$53,MAX(1,'Вводные'!$H$90)),'Вводные'!$B$90="Да")</x:f>
        <x:v>0</x:v>
      </x:c>
      <x:c r="BY58" s="35" t="n">
        <x:f>--AND(BY$3&gt;=MAX($B$53,$B$54),BY$3&lt;EDATE($B$53,MAX(1,'Вводные'!$H$90)),'Вводные'!$B$90="Да")</x:f>
        <x:v>0</x:v>
      </x:c>
      <x:c r="BZ58" s="35" t="n">
        <x:f>--AND(BZ$3&gt;=MAX($B$53,$B$54),BZ$3&lt;EDATE($B$53,MAX(1,'Вводные'!$H$90)),'Вводные'!$B$90="Да")</x:f>
        <x:v>0</x:v>
      </x:c>
      <x:c r="CA58" s="35" t="n">
        <x:f>--AND(CA$3&gt;=MAX($B$53,$B$54),CA$3&lt;EDATE($B$53,MAX(1,'Вводные'!$H$90)),'Вводные'!$B$90="Да")</x:f>
        <x:v>0</x:v>
      </x:c>
      <x:c r="CB58" s="35" t="n">
        <x:f>--AND(CB$3&gt;=MAX($B$53,$B$54),CB$3&lt;EDATE($B$53,MAX(1,'Вводные'!$H$90)),'Вводные'!$B$90="Да")</x:f>
        <x:v>0</x:v>
      </x:c>
      <x:c r="CC58" s="35" t="n">
        <x:f>--AND(CC$3&gt;=MAX($B$53,$B$54),CC$3&lt;EDATE($B$53,MAX(1,'Вводные'!$H$90)),'Вводные'!$B$90="Да")</x:f>
        <x:v>0</x:v>
      </x:c>
      <x:c r="CD58" s="35" t="n">
        <x:f>--AND(CD$3&gt;=MAX($B$53,$B$54),CD$3&lt;EDATE($B$53,MAX(1,'Вводные'!$H$90)),'Вводные'!$B$90="Да")</x:f>
        <x:v>0</x:v>
      </x:c>
      <x:c r="CE58" s="35" t="n">
        <x:f>--AND(CE$3&gt;=MAX($B$53,$B$54),CE$3&lt;EDATE($B$53,MAX(1,'Вводные'!$H$90)),'Вводные'!$B$90="Да")</x:f>
        <x:v>0</x:v>
      </x:c>
      <x:c r="CF58" s="35" t="n">
        <x:f>--AND(CF$3&gt;=MAX($B$53,$B$54),CF$3&lt;EDATE($B$53,MAX(1,'Вводные'!$H$90)),'Вводные'!$B$90="Да")</x:f>
        <x:v>0</x:v>
      </x:c>
      <x:c r="CG58" s="35" t="n">
        <x:f>--AND(CG$3&gt;=MAX($B$53,$B$54),CG$3&lt;EDATE($B$53,MAX(1,'Вводные'!$H$90)),'Вводные'!$B$90="Да")</x:f>
        <x:v>0</x:v>
      </x:c>
      <x:c r="CH58" s="35" t="n">
        <x:f>--AND(CH$3&gt;=MAX($B$53,$B$54),CH$3&lt;EDATE($B$53,MAX(1,'Вводные'!$H$90)),'Вводные'!$B$90="Да")</x:f>
        <x:v>0</x:v>
      </x:c>
      <x:c r="CI58" s="35" t="n">
        <x:f>--AND(CI$3&gt;=MAX($B$53,$B$54),CI$3&lt;EDATE($B$53,MAX(1,'Вводные'!$H$90)),'Вводные'!$B$90="Да")</x:f>
        <x:v>0</x:v>
      </x:c>
      <x:c r="CJ58" s="35" t="n">
        <x:f>--AND(CJ$3&gt;=MAX($B$53,$B$54),CJ$3&lt;EDATE($B$53,MAX(1,'Вводные'!$H$90)),'Вводные'!$B$90="Да")</x:f>
        <x:v>0</x:v>
      </x:c>
      <x:c r="CK58" s="35" t="n">
        <x:f>--AND(CK$3&gt;=MAX($B$53,$B$54),CK$3&lt;EDATE($B$53,MAX(1,'Вводные'!$H$90)),'Вводные'!$B$90="Да")</x:f>
        <x:v>0</x:v>
      </x:c>
      <x:c r="CL58" s="35" t="n">
        <x:f>--AND(CL$3&gt;=MAX($B$53,$B$54),CL$3&lt;EDATE($B$53,MAX(1,'Вводные'!$H$90)),'Вводные'!$B$90="Да")</x:f>
        <x:v>0</x:v>
      </x:c>
      <x:c r="CM58" s="35" t="n">
        <x:f>--AND(CM$3&gt;=MAX($B$53,$B$54),CM$3&lt;EDATE($B$53,MAX(1,'Вводные'!$H$90)),'Вводные'!$B$90="Да")</x:f>
        <x:v>0</x:v>
      </x:c>
      <x:c r="CN58" s="35" t="n">
        <x:f>--AND(CN$3&gt;=MAX($B$53,$B$54),CN$3&lt;EDATE($B$53,MAX(1,'Вводные'!$H$90)),'Вводные'!$B$90="Да")</x:f>
        <x:v>0</x:v>
      </x:c>
      <x:c r="CO58" s="35" t="n">
        <x:f>--AND(CO$3&gt;=MAX($B$53,$B$54),CO$3&lt;EDATE($B$53,MAX(1,'Вводные'!$H$90)),'Вводные'!$B$90="Да")</x:f>
        <x:v>0</x:v>
      </x:c>
      <x:c r="CP58" s="35" t="n">
        <x:f>--AND(CP$3&gt;=MAX($B$53,$B$54),CP$3&lt;EDATE($B$53,MAX(1,'Вводные'!$H$90)),'Вводные'!$B$90="Да")</x:f>
        <x:v>0</x:v>
      </x:c>
      <x:c r="CQ58" s="35" t="n">
        <x:f>--AND(CQ$3&gt;=MAX($B$53,$B$54),CQ$3&lt;EDATE($B$53,MAX(1,'Вводные'!$H$90)),'Вводные'!$B$90="Да")</x:f>
        <x:v>0</x:v>
      </x:c>
      <x:c r="CR58" s="35" t="n">
        <x:f>--AND(CR$3&gt;=MAX($B$53,$B$54),CR$3&lt;EDATE($B$53,MAX(1,'Вводные'!$H$90)),'Вводные'!$B$90="Да")</x:f>
        <x:v>0</x:v>
      </x:c>
      <x:c r="CS58" s="35" t="n">
        <x:f>--AND(CS$3&gt;=MAX($B$53,$B$54),CS$3&lt;EDATE($B$53,MAX(1,'Вводные'!$H$90)),'Вводные'!$B$90="Да")</x:f>
        <x:v>0</x:v>
      </x:c>
      <x:c r="CT58" s="35" t="n">
        <x:f>--AND(CT$3&gt;=MAX($B$53,$B$54),CT$3&lt;EDATE($B$53,MAX(1,'Вводные'!$H$90)),'Вводные'!$B$90="Да")</x:f>
        <x:v>0</x:v>
      </x:c>
      <x:c r="CU58" s="35" t="n">
        <x:f>--AND(CU$3&gt;=MAX($B$53,$B$54),CU$3&lt;EDATE($B$53,MAX(1,'Вводные'!$H$90)),'Вводные'!$B$90="Да")</x:f>
        <x:v>0</x:v>
      </x:c>
      <x:c r="CV58" s="35" t="n">
        <x:f>--AND(CV$3&gt;=MAX($B$53,$B$54),CV$3&lt;EDATE($B$53,MAX(1,'Вводные'!$H$90)),'Вводные'!$B$90="Да")</x:f>
        <x:v>0</x:v>
      </x:c>
      <x:c r="CW58" s="35" t="n">
        <x:f>--AND(CW$3&gt;=MAX($B$53,$B$54),CW$3&lt;EDATE($B$53,MAX(1,'Вводные'!$H$90)),'Вводные'!$B$90="Да")</x:f>
        <x:v>0</x:v>
      </x:c>
      <x:c r="CX58" s="35" t="n">
        <x:f>--AND(CX$3&gt;=MAX($B$53,$B$54),CX$3&lt;EDATE($B$53,MAX(1,'Вводные'!$H$90)),'Вводные'!$B$90="Да")</x:f>
        <x:v>0</x:v>
      </x:c>
      <x:c r="CY58" s="35" t="n">
        <x:f>--AND(CY$3&gt;=MAX($B$53,$B$54),CY$3&lt;EDATE($B$53,MAX(1,'Вводные'!$H$90)),'Вводные'!$B$90="Да")</x:f>
        <x:v>0</x:v>
      </x:c>
      <x:c r="CZ58" s="35" t="n">
        <x:f>--AND(CZ$3&gt;=MAX($B$53,$B$54),CZ$3&lt;EDATE($B$53,MAX(1,'Вводные'!$H$90)),'Вводные'!$B$90="Да")</x:f>
        <x:v>0</x:v>
      </x:c>
      <x:c r="DA58" s="35" t="n">
        <x:f>--AND(DA$3&gt;=MAX($B$53,$B$54),DA$3&lt;EDATE($B$53,MAX(1,'Вводные'!$H$90)),'Вводные'!$B$90="Да")</x:f>
        <x:v>0</x:v>
      </x:c>
      <x:c r="DB58" s="35" t="n">
        <x:f>--AND(DB$3&gt;=MAX($B$53,$B$54),DB$3&lt;EDATE($B$53,MAX(1,'Вводные'!$H$90)),'Вводные'!$B$90="Да")</x:f>
        <x:v>0</x:v>
      </x:c>
      <x:c r="DC58" s="35" t="n">
        <x:f>--AND(DC$3&gt;=MAX($B$53,$B$54),DC$3&lt;EDATE($B$53,MAX(1,'Вводные'!$H$90)),'Вводные'!$B$90="Да")</x:f>
        <x:v>0</x:v>
      </x:c>
      <x:c r="DD58" s="35" t="n">
        <x:f>--AND(DD$3&gt;=MAX($B$53,$B$54),DD$3&lt;EDATE($B$53,MAX(1,'Вводные'!$H$90)),'Вводные'!$B$90="Да")</x:f>
        <x:v>0</x:v>
      </x:c>
      <x:c r="DE58" s="35" t="n">
        <x:f>--AND(DE$3&gt;=MAX($B$53,$B$54),DE$3&lt;EDATE($B$53,MAX(1,'Вводные'!$H$90)),'Вводные'!$B$90="Да")</x:f>
        <x:v>0</x:v>
      </x:c>
      <x:c r="DF58" s="35" t="n">
        <x:f>--AND(DF$3&gt;=MAX($B$53,$B$54),DF$3&lt;EDATE($B$53,MAX(1,'Вводные'!$H$90)),'Вводные'!$B$90="Да")</x:f>
        <x:v>0</x:v>
      </x:c>
      <x:c r="DG58" s="35" t="n">
        <x:f>--AND(DG$3&gt;=MAX($B$53,$B$54),DG$3&lt;EDATE($B$53,MAX(1,'Вводные'!$H$90)),'Вводные'!$B$90="Да")</x:f>
        <x:v>0</x:v>
      </x:c>
      <x:c r="DH58" s="35" t="n">
        <x:f>--AND(DH$3&gt;=MAX($B$53,$B$54),DH$3&lt;EDATE($B$53,MAX(1,'Вводные'!$H$90)),'Вводные'!$B$90="Да")</x:f>
        <x:v>0</x:v>
      </x:c>
      <x:c r="DI58" s="35" t="n">
        <x:f>--AND(DI$3&gt;=MAX($B$53,$B$54),DI$3&lt;EDATE($B$53,MAX(1,'Вводные'!$H$90)),'Вводные'!$B$90="Да")</x:f>
        <x:v>0</x:v>
      </x:c>
      <x:c r="DJ58" s="35" t="n">
        <x:f>--AND(DJ$3&gt;=MAX($B$53,$B$54),DJ$3&lt;EDATE($B$53,MAX(1,'Вводные'!$H$90)),'Вводные'!$B$90="Да")</x:f>
        <x:v>0</x:v>
      </x:c>
      <x:c r="DK58" s="35" t="n">
        <x:f>--AND(DK$3&gt;=MAX($B$53,$B$54),DK$3&lt;EDATE($B$53,MAX(1,'Вводные'!$H$90)),'Вводные'!$B$90="Да")</x:f>
        <x:v>0</x:v>
      </x:c>
      <x:c r="DL58" s="35" t="n">
        <x:f>--AND(DL$3&gt;=MAX($B$53,$B$54),DL$3&lt;EDATE($B$53,MAX(1,'Вводные'!$H$90)),'Вводные'!$B$90="Да")</x:f>
        <x:v>0</x:v>
      </x:c>
      <x:c r="DM58" s="35" t="n">
        <x:f>--AND(DM$3&gt;=MAX($B$53,$B$54),DM$3&lt;EDATE($B$53,MAX(1,'Вводные'!$H$90)),'Вводные'!$B$90="Да")</x:f>
        <x:v>0</x:v>
      </x:c>
      <x:c r="DN58" s="35" t="n">
        <x:f>--AND(DN$3&gt;=MAX($B$53,$B$54),DN$3&lt;EDATE($B$53,MAX(1,'Вводные'!$H$90)),'Вводные'!$B$90="Да")</x:f>
        <x:v>0</x:v>
      </x:c>
      <x:c r="DO58" s="35" t="n">
        <x:f>--AND(DO$3&gt;=MAX($B$53,$B$54),DO$3&lt;EDATE($B$53,MAX(1,'Вводные'!$H$90)),'Вводные'!$B$90="Да")</x:f>
        <x:v>0</x:v>
      </x:c>
      <x:c r="DP58" s="35" t="n">
        <x:f>--AND(DP$3&gt;=MAX($B$53,$B$54),DP$3&lt;EDATE($B$53,MAX(1,'Вводные'!$H$90)),'Вводные'!$B$90="Да")</x:f>
        <x:v>0</x:v>
      </x:c>
      <x:c r="DQ58" s="35" t="n">
        <x:f>--AND(DQ$3&gt;=MAX($B$53,$B$54),DQ$3&lt;EDATE($B$53,MAX(1,'Вводные'!$H$90)),'Вводные'!$B$90="Да")</x:f>
        <x:v>0</x:v>
      </x:c>
      <x:c r="DR58" s="35" t="n">
        <x:f>--AND(DR$3&gt;=MAX($B$53,$B$54),DR$3&lt;EDATE($B$53,MAX(1,'Вводные'!$H$90)),'Вводные'!$B$90="Да")</x:f>
        <x:v>0</x:v>
      </x:c>
      <x:c r="DS58" s="35" t="n">
        <x:f>--AND(DS$3&gt;=MAX($B$53,$B$54),DS$3&lt;EDATE($B$53,MAX(1,'Вводные'!$H$90)),'Вводные'!$B$90="Да")</x:f>
        <x:v>0</x:v>
      </x:c>
    </x:row>
    <x:row r="59">
      <x:c r="A59" t="str">
        <x:v>Нормированный вес после РВЭ</x:v>
      </x:c>
      <x:c r="B59" t="n">
        <x:f>SUM(D59:DS59)</x:f>
        <x:v>0</x:v>
      </x:c>
      <x:c r="C59" t="str">
        <x:v>%</x:v>
      </x:c>
      <x:c r="D59" s="35" t="n">
        <x:f>IFERROR(D56*D58/SUMPRODUCT($D56:$DS56,$D58:$DS58),0)</x:f>
        <x:v>0</x:v>
      </x:c>
      <x:c r="E59" s="35" t="n">
        <x:f>IFERROR(E56*E58/SUMPRODUCT($D56:$DS56,$D58:$DS58),0)</x:f>
        <x:v>0</x:v>
      </x:c>
      <x:c r="F59" s="35" t="n">
        <x:f>IFERROR(F56*F58/SUMPRODUCT($D56:$DS56,$D58:$DS58),0)</x:f>
        <x:v>0</x:v>
      </x:c>
      <x:c r="G59" s="35" t="n">
        <x:f>IFERROR(G56*G58/SUMPRODUCT($D56:$DS56,$D58:$DS58),0)</x:f>
        <x:v>0</x:v>
      </x:c>
      <x:c r="H59" s="35" t="n">
        <x:f>IFERROR(H56*H58/SUMPRODUCT($D56:$DS56,$D58:$DS58),0)</x:f>
        <x:v>0</x:v>
      </x:c>
      <x:c r="I59" s="35" t="n">
        <x:f>IFERROR(I56*I58/SUMPRODUCT($D56:$DS56,$D58:$DS58),0)</x:f>
        <x:v>0</x:v>
      </x:c>
      <x:c r="J59" s="35" t="n">
        <x:f>IFERROR(J56*J58/SUMPRODUCT($D56:$DS56,$D58:$DS58),0)</x:f>
        <x:v>0</x:v>
      </x:c>
      <x:c r="K59" s="35" t="n">
        <x:f>IFERROR(K56*K58/SUMPRODUCT($D56:$DS56,$D58:$DS58),0)</x:f>
        <x:v>0</x:v>
      </x:c>
      <x:c r="L59" s="35" t="n">
        <x:f>IFERROR(L56*L58/SUMPRODUCT($D56:$DS56,$D58:$DS58),0)</x:f>
        <x:v>0</x:v>
      </x:c>
      <x:c r="M59" s="35" t="n">
        <x:f>IFERROR(M56*M58/SUMPRODUCT($D56:$DS56,$D58:$DS58),0)</x:f>
        <x:v>0</x:v>
      </x:c>
      <x:c r="N59" s="35" t="n">
        <x:f>IFERROR(N56*N58/SUMPRODUCT($D56:$DS56,$D58:$DS58),0)</x:f>
        <x:v>0</x:v>
      </x:c>
      <x:c r="O59" s="35" t="n">
        <x:f>IFERROR(O56*O58/SUMPRODUCT($D56:$DS56,$D58:$DS58),0)</x:f>
        <x:v>0</x:v>
      </x:c>
      <x:c r="P59" s="35" t="n">
        <x:f>IFERROR(P56*P58/SUMPRODUCT($D56:$DS56,$D58:$DS58),0)</x:f>
        <x:v>0</x:v>
      </x:c>
      <x:c r="Q59" s="35" t="n">
        <x:f>IFERROR(Q56*Q58/SUMPRODUCT($D56:$DS56,$D58:$DS58),0)</x:f>
        <x:v>0</x:v>
      </x:c>
      <x:c r="R59" s="35" t="n">
        <x:f>IFERROR(R56*R58/SUMPRODUCT($D56:$DS56,$D58:$DS58),0)</x:f>
        <x:v>0</x:v>
      </x:c>
      <x:c r="S59" s="35" t="n">
        <x:f>IFERROR(S56*S58/SUMPRODUCT($D56:$DS56,$D58:$DS58),0)</x:f>
        <x:v>0</x:v>
      </x:c>
      <x:c r="T59" s="35" t="n">
        <x:f>IFERROR(T56*T58/SUMPRODUCT($D56:$DS56,$D58:$DS58),0)</x:f>
        <x:v>0</x:v>
      </x:c>
      <x:c r="U59" s="35" t="n">
        <x:f>IFERROR(U56*U58/SUMPRODUCT($D56:$DS56,$D58:$DS58),0)</x:f>
        <x:v>0</x:v>
      </x:c>
      <x:c r="V59" s="35" t="n">
        <x:f>IFERROR(V56*V58/SUMPRODUCT($D56:$DS56,$D58:$DS58),0)</x:f>
        <x:v>0</x:v>
      </x:c>
      <x:c r="W59" s="35" t="n">
        <x:f>IFERROR(W56*W58/SUMPRODUCT($D56:$DS56,$D58:$DS58),0)</x:f>
        <x:v>0</x:v>
      </x:c>
      <x:c r="X59" s="35" t="n">
        <x:f>IFERROR(X56*X58/SUMPRODUCT($D56:$DS56,$D58:$DS58),0)</x:f>
        <x:v>0</x:v>
      </x:c>
      <x:c r="Y59" s="35" t="n">
        <x:f>IFERROR(Y56*Y58/SUMPRODUCT($D56:$DS56,$D58:$DS58),0)</x:f>
        <x:v>0</x:v>
      </x:c>
      <x:c r="Z59" s="35" t="n">
        <x:f>IFERROR(Z56*Z58/SUMPRODUCT($D56:$DS56,$D58:$DS58),0)</x:f>
        <x:v>0</x:v>
      </x:c>
      <x:c r="AA59" s="35" t="n">
        <x:f>IFERROR(AA56*AA58/SUMPRODUCT($D56:$DS56,$D58:$DS58),0)</x:f>
        <x:v>0</x:v>
      </x:c>
      <x:c r="AB59" s="35" t="n">
        <x:f>IFERROR(AB56*AB58/SUMPRODUCT($D56:$DS56,$D58:$DS58),0)</x:f>
        <x:v>0</x:v>
      </x:c>
      <x:c r="AC59" s="35" t="n">
        <x:f>IFERROR(AC56*AC58/SUMPRODUCT($D56:$DS56,$D58:$DS58),0)</x:f>
        <x:v>0</x:v>
      </x:c>
      <x:c r="AD59" s="35" t="n">
        <x:f>IFERROR(AD56*AD58/SUMPRODUCT($D56:$DS56,$D58:$DS58),0)</x:f>
        <x:v>0</x:v>
      </x:c>
      <x:c r="AE59" s="35" t="n">
        <x:f>IFERROR(AE56*AE58/SUMPRODUCT($D56:$DS56,$D58:$DS58),0)</x:f>
        <x:v>0</x:v>
      </x:c>
      <x:c r="AF59" s="35" t="n">
        <x:f>IFERROR(AF56*AF58/SUMPRODUCT($D56:$DS56,$D58:$DS58),0)</x:f>
        <x:v>0</x:v>
      </x:c>
      <x:c r="AG59" s="35" t="n">
        <x:f>IFERROR(AG56*AG58/SUMPRODUCT($D56:$DS56,$D58:$DS58),0)</x:f>
        <x:v>0</x:v>
      </x:c>
      <x:c r="AH59" s="35" t="n">
        <x:f>IFERROR(AH56*AH58/SUMPRODUCT($D56:$DS56,$D58:$DS58),0)</x:f>
        <x:v>0</x:v>
      </x:c>
      <x:c r="AI59" s="35" t="n">
        <x:f>IFERROR(AI56*AI58/SUMPRODUCT($D56:$DS56,$D58:$DS58),0)</x:f>
        <x:v>0</x:v>
      </x:c>
      <x:c r="AJ59" s="35" t="n">
        <x:f>IFERROR(AJ56*AJ58/SUMPRODUCT($D56:$DS56,$D58:$DS58),0)</x:f>
        <x:v>0</x:v>
      </x:c>
      <x:c r="AK59" s="35" t="n">
        <x:f>IFERROR(AK56*AK58/SUMPRODUCT($D56:$DS56,$D58:$DS58),0)</x:f>
        <x:v>0</x:v>
      </x:c>
      <x:c r="AL59" s="35" t="n">
        <x:f>IFERROR(AL56*AL58/SUMPRODUCT($D56:$DS56,$D58:$DS58),0)</x:f>
        <x:v>0</x:v>
      </x:c>
      <x:c r="AM59" s="35" t="n">
        <x:f>IFERROR(AM56*AM58/SUMPRODUCT($D56:$DS56,$D58:$DS58),0)</x:f>
        <x:v>0</x:v>
      </x:c>
      <x:c r="AN59" s="35" t="n">
        <x:f>IFERROR(AN56*AN58/SUMPRODUCT($D56:$DS56,$D58:$DS58),0)</x:f>
        <x:v>0</x:v>
      </x:c>
      <x:c r="AO59" s="35" t="n">
        <x:f>IFERROR(AO56*AO58/SUMPRODUCT($D56:$DS56,$D58:$DS58),0)</x:f>
        <x:v>0</x:v>
      </x:c>
      <x:c r="AP59" s="35" t="n">
        <x:f>IFERROR(AP56*AP58/SUMPRODUCT($D56:$DS56,$D58:$DS58),0)</x:f>
        <x:v>0</x:v>
      </x:c>
      <x:c r="AQ59" s="35" t="n">
        <x:f>IFERROR(AQ56*AQ58/SUMPRODUCT($D56:$DS56,$D58:$DS58),0)</x:f>
        <x:v>0</x:v>
      </x:c>
      <x:c r="AR59" s="35" t="n">
        <x:f>IFERROR(AR56*AR58/SUMPRODUCT($D56:$DS56,$D58:$DS58),0)</x:f>
        <x:v>0</x:v>
      </x:c>
      <x:c r="AS59" s="35" t="n">
        <x:f>IFERROR(AS56*AS58/SUMPRODUCT($D56:$DS56,$D58:$DS58),0)</x:f>
        <x:v>0</x:v>
      </x:c>
      <x:c r="AT59" s="35" t="n">
        <x:f>IFERROR(AT56*AT58/SUMPRODUCT($D56:$DS56,$D58:$DS58),0)</x:f>
        <x:v>0</x:v>
      </x:c>
      <x:c r="AU59" s="35" t="n">
        <x:f>IFERROR(AU56*AU58/SUMPRODUCT($D56:$DS56,$D58:$DS58),0)</x:f>
        <x:v>0</x:v>
      </x:c>
      <x:c r="AV59" s="35" t="n">
        <x:f>IFERROR(AV56*AV58/SUMPRODUCT($D56:$DS56,$D58:$DS58),0)</x:f>
        <x:v>0</x:v>
      </x:c>
      <x:c r="AW59" s="35" t="n">
        <x:f>IFERROR(AW56*AW58/SUMPRODUCT($D56:$DS56,$D58:$DS58),0)</x:f>
        <x:v>0</x:v>
      </x:c>
      <x:c r="AX59" s="35" t="n">
        <x:f>IFERROR(AX56*AX58/SUMPRODUCT($D56:$DS56,$D58:$DS58),0)</x:f>
        <x:v>0</x:v>
      </x:c>
      <x:c r="AY59" s="35" t="n">
        <x:f>IFERROR(AY56*AY58/SUMPRODUCT($D56:$DS56,$D58:$DS58),0)</x:f>
        <x:v>0</x:v>
      </x:c>
      <x:c r="AZ59" s="35" t="n">
        <x:f>IFERROR(AZ56*AZ58/SUMPRODUCT($D56:$DS56,$D58:$DS58),0)</x:f>
        <x:v>0</x:v>
      </x:c>
      <x:c r="BA59" s="35" t="n">
        <x:f>IFERROR(BA56*BA58/SUMPRODUCT($D56:$DS56,$D58:$DS58),0)</x:f>
        <x:v>0</x:v>
      </x:c>
      <x:c r="BB59" s="35" t="n">
        <x:f>IFERROR(BB56*BB58/SUMPRODUCT($D56:$DS56,$D58:$DS58),0)</x:f>
        <x:v>0</x:v>
      </x:c>
      <x:c r="BC59" s="35" t="n">
        <x:f>IFERROR(BC56*BC58/SUMPRODUCT($D56:$DS56,$D58:$DS58),0)</x:f>
        <x:v>0</x:v>
      </x:c>
      <x:c r="BD59" s="35" t="n">
        <x:f>IFERROR(BD56*BD58/SUMPRODUCT($D56:$DS56,$D58:$DS58),0)</x:f>
        <x:v>0</x:v>
      </x:c>
      <x:c r="BE59" s="35" t="n">
        <x:f>IFERROR(BE56*BE58/SUMPRODUCT($D56:$DS56,$D58:$DS58),0)</x:f>
        <x:v>0</x:v>
      </x:c>
      <x:c r="BF59" s="35" t="n">
        <x:f>IFERROR(BF56*BF58/SUMPRODUCT($D56:$DS56,$D58:$DS58),0)</x:f>
        <x:v>0</x:v>
      </x:c>
      <x:c r="BG59" s="35" t="n">
        <x:f>IFERROR(BG56*BG58/SUMPRODUCT($D56:$DS56,$D58:$DS58),0)</x:f>
        <x:v>0</x:v>
      </x:c>
      <x:c r="BH59" s="35" t="n">
        <x:f>IFERROR(BH56*BH58/SUMPRODUCT($D56:$DS56,$D58:$DS58),0)</x:f>
        <x:v>0</x:v>
      </x:c>
      <x:c r="BI59" s="35" t="n">
        <x:f>IFERROR(BI56*BI58/SUMPRODUCT($D56:$DS56,$D58:$DS58),0)</x:f>
        <x:v>0</x:v>
      </x:c>
      <x:c r="BJ59" s="35" t="n">
        <x:f>IFERROR(BJ56*BJ58/SUMPRODUCT($D56:$DS56,$D58:$DS58),0)</x:f>
        <x:v>0</x:v>
      </x:c>
      <x:c r="BK59" s="35" t="n">
        <x:f>IFERROR(BK56*BK58/SUMPRODUCT($D56:$DS56,$D58:$DS58),0)</x:f>
        <x:v>0</x:v>
      </x:c>
      <x:c r="BL59" s="35" t="n">
        <x:f>IFERROR(BL56*BL58/SUMPRODUCT($D56:$DS56,$D58:$DS58),0)</x:f>
        <x:v>0</x:v>
      </x:c>
      <x:c r="BM59" s="35" t="n">
        <x:f>IFERROR(BM56*BM58/SUMPRODUCT($D56:$DS56,$D58:$DS58),0)</x:f>
        <x:v>0</x:v>
      </x:c>
      <x:c r="BN59" s="35" t="n">
        <x:f>IFERROR(BN56*BN58/SUMPRODUCT($D56:$DS56,$D58:$DS58),0)</x:f>
        <x:v>0</x:v>
      </x:c>
      <x:c r="BO59" s="35" t="n">
        <x:f>IFERROR(BO56*BO58/SUMPRODUCT($D56:$DS56,$D58:$DS58),0)</x:f>
        <x:v>0</x:v>
      </x:c>
      <x:c r="BP59" s="35" t="n">
        <x:f>IFERROR(BP56*BP58/SUMPRODUCT($D56:$DS56,$D58:$DS58),0)</x:f>
        <x:v>0</x:v>
      </x:c>
      <x:c r="BQ59" s="35" t="n">
        <x:f>IFERROR(BQ56*BQ58/SUMPRODUCT($D56:$DS56,$D58:$DS58),0)</x:f>
        <x:v>0</x:v>
      </x:c>
      <x:c r="BR59" s="35" t="n">
        <x:f>IFERROR(BR56*BR58/SUMPRODUCT($D56:$DS56,$D58:$DS58),0)</x:f>
        <x:v>0</x:v>
      </x:c>
      <x:c r="BS59" s="35" t="n">
        <x:f>IFERROR(BS56*BS58/SUMPRODUCT($D56:$DS56,$D58:$DS58),0)</x:f>
        <x:v>0</x:v>
      </x:c>
      <x:c r="BT59" s="35" t="n">
        <x:f>IFERROR(BT56*BT58/SUMPRODUCT($D56:$DS56,$D58:$DS58),0)</x:f>
        <x:v>0</x:v>
      </x:c>
      <x:c r="BU59" s="35" t="n">
        <x:f>IFERROR(BU56*BU58/SUMPRODUCT($D56:$DS56,$D58:$DS58),0)</x:f>
        <x:v>0</x:v>
      </x:c>
      <x:c r="BV59" s="35" t="n">
        <x:f>IFERROR(BV56*BV58/SUMPRODUCT($D56:$DS56,$D58:$DS58),0)</x:f>
        <x:v>0</x:v>
      </x:c>
      <x:c r="BW59" s="35" t="n">
        <x:f>IFERROR(BW56*BW58/SUMPRODUCT($D56:$DS56,$D58:$DS58),0)</x:f>
        <x:v>0</x:v>
      </x:c>
      <x:c r="BX59" s="35" t="n">
        <x:f>IFERROR(BX56*BX58/SUMPRODUCT($D56:$DS56,$D58:$DS58),0)</x:f>
        <x:v>0</x:v>
      </x:c>
      <x:c r="BY59" s="35" t="n">
        <x:f>IFERROR(BY56*BY58/SUMPRODUCT($D56:$DS56,$D58:$DS58),0)</x:f>
        <x:v>0</x:v>
      </x:c>
      <x:c r="BZ59" s="35" t="n">
        <x:f>IFERROR(BZ56*BZ58/SUMPRODUCT($D56:$DS56,$D58:$DS58),0)</x:f>
        <x:v>0</x:v>
      </x:c>
      <x:c r="CA59" s="35" t="n">
        <x:f>IFERROR(CA56*CA58/SUMPRODUCT($D56:$DS56,$D58:$DS58),0)</x:f>
        <x:v>0</x:v>
      </x:c>
      <x:c r="CB59" s="35" t="n">
        <x:f>IFERROR(CB56*CB58/SUMPRODUCT($D56:$DS56,$D58:$DS58),0)</x:f>
        <x:v>0</x:v>
      </x:c>
      <x:c r="CC59" s="35" t="n">
        <x:f>IFERROR(CC56*CC58/SUMPRODUCT($D56:$DS56,$D58:$DS58),0)</x:f>
        <x:v>0</x:v>
      </x:c>
      <x:c r="CD59" s="35" t="n">
        <x:f>IFERROR(CD56*CD58/SUMPRODUCT($D56:$DS56,$D58:$DS58),0)</x:f>
        <x:v>0</x:v>
      </x:c>
      <x:c r="CE59" s="35" t="n">
        <x:f>IFERROR(CE56*CE58/SUMPRODUCT($D56:$DS56,$D58:$DS58),0)</x:f>
        <x:v>0</x:v>
      </x:c>
      <x:c r="CF59" s="35" t="n">
        <x:f>IFERROR(CF56*CF58/SUMPRODUCT($D56:$DS56,$D58:$DS58),0)</x:f>
        <x:v>0</x:v>
      </x:c>
      <x:c r="CG59" s="35" t="n">
        <x:f>IFERROR(CG56*CG58/SUMPRODUCT($D56:$DS56,$D58:$DS58),0)</x:f>
        <x:v>0</x:v>
      </x:c>
      <x:c r="CH59" s="35" t="n">
        <x:f>IFERROR(CH56*CH58/SUMPRODUCT($D56:$DS56,$D58:$DS58),0)</x:f>
        <x:v>0</x:v>
      </x:c>
      <x:c r="CI59" s="35" t="n">
        <x:f>IFERROR(CI56*CI58/SUMPRODUCT($D56:$DS56,$D58:$DS58),0)</x:f>
        <x:v>0</x:v>
      </x:c>
      <x:c r="CJ59" s="35" t="n">
        <x:f>IFERROR(CJ56*CJ58/SUMPRODUCT($D56:$DS56,$D58:$DS58),0)</x:f>
        <x:v>0</x:v>
      </x:c>
      <x:c r="CK59" s="35" t="n">
        <x:f>IFERROR(CK56*CK58/SUMPRODUCT($D56:$DS56,$D58:$DS58),0)</x:f>
        <x:v>0</x:v>
      </x:c>
      <x:c r="CL59" s="35" t="n">
        <x:f>IFERROR(CL56*CL58/SUMPRODUCT($D56:$DS56,$D58:$DS58),0)</x:f>
        <x:v>0</x:v>
      </x:c>
      <x:c r="CM59" s="35" t="n">
        <x:f>IFERROR(CM56*CM58/SUMPRODUCT($D56:$DS56,$D58:$DS58),0)</x:f>
        <x:v>0</x:v>
      </x:c>
      <x:c r="CN59" s="35" t="n">
        <x:f>IFERROR(CN56*CN58/SUMPRODUCT($D56:$DS56,$D58:$DS58),0)</x:f>
        <x:v>0</x:v>
      </x:c>
      <x:c r="CO59" s="35" t="n">
        <x:f>IFERROR(CO56*CO58/SUMPRODUCT($D56:$DS56,$D58:$DS58),0)</x:f>
        <x:v>0</x:v>
      </x:c>
      <x:c r="CP59" s="35" t="n">
        <x:f>IFERROR(CP56*CP58/SUMPRODUCT($D56:$DS56,$D58:$DS58),0)</x:f>
        <x:v>0</x:v>
      </x:c>
      <x:c r="CQ59" s="35" t="n">
        <x:f>IFERROR(CQ56*CQ58/SUMPRODUCT($D56:$DS56,$D58:$DS58),0)</x:f>
        <x:v>0</x:v>
      </x:c>
      <x:c r="CR59" s="35" t="n">
        <x:f>IFERROR(CR56*CR58/SUMPRODUCT($D56:$DS56,$D58:$DS58),0)</x:f>
        <x:v>0</x:v>
      </x:c>
      <x:c r="CS59" s="35" t="n">
        <x:f>IFERROR(CS56*CS58/SUMPRODUCT($D56:$DS56,$D58:$DS58),0)</x:f>
        <x:v>0</x:v>
      </x:c>
      <x:c r="CT59" s="35" t="n">
        <x:f>IFERROR(CT56*CT58/SUMPRODUCT($D56:$DS56,$D58:$DS58),0)</x:f>
        <x:v>0</x:v>
      </x:c>
      <x:c r="CU59" s="35" t="n">
        <x:f>IFERROR(CU56*CU58/SUMPRODUCT($D56:$DS56,$D58:$DS58),0)</x:f>
        <x:v>0</x:v>
      </x:c>
      <x:c r="CV59" s="35" t="n">
        <x:f>IFERROR(CV56*CV58/SUMPRODUCT($D56:$DS56,$D58:$DS58),0)</x:f>
        <x:v>0</x:v>
      </x:c>
      <x:c r="CW59" s="35" t="n">
        <x:f>IFERROR(CW56*CW58/SUMPRODUCT($D56:$DS56,$D58:$DS58),0)</x:f>
        <x:v>0</x:v>
      </x:c>
      <x:c r="CX59" s="35" t="n">
        <x:f>IFERROR(CX56*CX58/SUMPRODUCT($D56:$DS56,$D58:$DS58),0)</x:f>
        <x:v>0</x:v>
      </x:c>
      <x:c r="CY59" s="35" t="n">
        <x:f>IFERROR(CY56*CY58/SUMPRODUCT($D56:$DS56,$D58:$DS58),0)</x:f>
        <x:v>0</x:v>
      </x:c>
      <x:c r="CZ59" s="35" t="n">
        <x:f>IFERROR(CZ56*CZ58/SUMPRODUCT($D56:$DS56,$D58:$DS58),0)</x:f>
        <x:v>0</x:v>
      </x:c>
      <x:c r="DA59" s="35" t="n">
        <x:f>IFERROR(DA56*DA58/SUMPRODUCT($D56:$DS56,$D58:$DS58),0)</x:f>
        <x:v>0</x:v>
      </x:c>
      <x:c r="DB59" s="35" t="n">
        <x:f>IFERROR(DB56*DB58/SUMPRODUCT($D56:$DS56,$D58:$DS58),0)</x:f>
        <x:v>0</x:v>
      </x:c>
      <x:c r="DC59" s="35" t="n">
        <x:f>IFERROR(DC56*DC58/SUMPRODUCT($D56:$DS56,$D58:$DS58),0)</x:f>
        <x:v>0</x:v>
      </x:c>
      <x:c r="DD59" s="35" t="n">
        <x:f>IFERROR(DD56*DD58/SUMPRODUCT($D56:$DS56,$D58:$DS58),0)</x:f>
        <x:v>0</x:v>
      </x:c>
      <x:c r="DE59" s="35" t="n">
        <x:f>IFERROR(DE56*DE58/SUMPRODUCT($D56:$DS56,$D58:$DS58),0)</x:f>
        <x:v>0</x:v>
      </x:c>
      <x:c r="DF59" s="35" t="n">
        <x:f>IFERROR(DF56*DF58/SUMPRODUCT($D56:$DS56,$D58:$DS58),0)</x:f>
        <x:v>0</x:v>
      </x:c>
      <x:c r="DG59" s="35" t="n">
        <x:f>IFERROR(DG56*DG58/SUMPRODUCT($D56:$DS56,$D58:$DS58),0)</x:f>
        <x:v>0</x:v>
      </x:c>
      <x:c r="DH59" s="35" t="n">
        <x:f>IFERROR(DH56*DH58/SUMPRODUCT($D56:$DS56,$D58:$DS58),0)</x:f>
        <x:v>0</x:v>
      </x:c>
      <x:c r="DI59" s="35" t="n">
        <x:f>IFERROR(DI56*DI58/SUMPRODUCT($D56:$DS56,$D58:$DS58),0)</x:f>
        <x:v>0</x:v>
      </x:c>
      <x:c r="DJ59" s="35" t="n">
        <x:f>IFERROR(DJ56*DJ58/SUMPRODUCT($D56:$DS56,$D58:$DS58),0)</x:f>
        <x:v>0</x:v>
      </x:c>
      <x:c r="DK59" s="35" t="n">
        <x:f>IFERROR(DK56*DK58/SUMPRODUCT($D56:$DS56,$D58:$DS58),0)</x:f>
        <x:v>0</x:v>
      </x:c>
      <x:c r="DL59" s="35" t="n">
        <x:f>IFERROR(DL56*DL58/SUMPRODUCT($D56:$DS56,$D58:$DS58),0)</x:f>
        <x:v>0</x:v>
      </x:c>
      <x:c r="DM59" s="35" t="n">
        <x:f>IFERROR(DM56*DM58/SUMPRODUCT($D56:$DS56,$D58:$DS58),0)</x:f>
        <x:v>0</x:v>
      </x:c>
      <x:c r="DN59" s="35" t="n">
        <x:f>IFERROR(DN56*DN58/SUMPRODUCT($D56:$DS56,$D58:$DS58),0)</x:f>
        <x:v>0</x:v>
      </x:c>
      <x:c r="DO59" s="35" t="n">
        <x:f>IFERROR(DO56*DO58/SUMPRODUCT($D56:$DS56,$D58:$DS58),0)</x:f>
        <x:v>0</x:v>
      </x:c>
      <x:c r="DP59" s="35" t="n">
        <x:f>IFERROR(DP56*DP58/SUMPRODUCT($D56:$DS56,$D58:$DS58),0)</x:f>
        <x:v>0</x:v>
      </x:c>
      <x:c r="DQ59" s="35" t="n">
        <x:f>IFERROR(DQ56*DQ58/SUMPRODUCT($D56:$DS56,$D58:$DS58),0)</x:f>
        <x:v>0</x:v>
      </x:c>
      <x:c r="DR59" s="35" t="n">
        <x:f>IFERROR(DR56*DR58/SUMPRODUCT($D56:$DS56,$D58:$DS58),0)</x:f>
        <x:v>0</x:v>
      </x:c>
      <x:c r="DS59" s="35" t="n">
        <x:f>IFERROR(DS56*DS58/SUMPRODUCT($D56:$DS56,$D58:$DS58),0)</x:f>
        <x:v>0</x:v>
      </x:c>
    </x:row>
    <x:row r="60">
      <x:c r="A60" t="str">
        <x:v>Квартиры — объём</x:v>
      </x:c>
      <x:c r="B60" t="n">
        <x:f>SUM(D60:DS60)</x:f>
        <x:v>0</x:v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  <x:v>0</x:v>
      </x:c>
      <x:c r="E60" s="107" t="n">
        <x:f>'Вводные'!$L$90*((IF(SUM($D55:$DS55)=0,0,IF(SUM($D58:$DS58)=0,1,'Вводные'!$B$63)))*E57+(1-(IF(SUM($D55:$DS55)=0,0,IF(SUM($D58:$DS58)=0,1,'Вводные'!$B$63))))*E59)</x:f>
        <x:v>0</x:v>
      </x:c>
      <x:c r="F60" s="107" t="n">
        <x:f>'Вводные'!$L$90*((IF(SUM($D55:$DS55)=0,0,IF(SUM($D58:$DS58)=0,1,'Вводные'!$B$63)))*F57+(1-(IF(SUM($D55:$DS55)=0,0,IF(SUM($D58:$DS58)=0,1,'Вводные'!$B$63))))*F59)</x:f>
        <x:v>0</x:v>
      </x:c>
      <x:c r="G60" s="107" t="n">
        <x:f>'Вводные'!$L$90*((IF(SUM($D55:$DS55)=0,0,IF(SUM($D58:$DS58)=0,1,'Вводные'!$B$63)))*G57+(1-(IF(SUM($D55:$DS55)=0,0,IF(SUM($D58:$DS58)=0,1,'Вводные'!$B$63))))*G59)</x:f>
        <x:v>0</x:v>
      </x:c>
      <x:c r="H60" s="107" t="n">
        <x:f>'Вводные'!$L$90*((IF(SUM($D55:$DS55)=0,0,IF(SUM($D58:$DS58)=0,1,'Вводные'!$B$63)))*H57+(1-(IF(SUM($D55:$DS55)=0,0,IF(SUM($D58:$DS58)=0,1,'Вводные'!$B$63))))*H59)</x:f>
        <x:v>0</x:v>
      </x:c>
      <x:c r="I60" s="107" t="n">
        <x:f>'Вводные'!$L$90*((IF(SUM($D55:$DS55)=0,0,IF(SUM($D58:$DS58)=0,1,'Вводные'!$B$63)))*I57+(1-(IF(SUM($D55:$DS55)=0,0,IF(SUM($D58:$DS58)=0,1,'Вводные'!$B$63))))*I59)</x:f>
        <x:v>0</x:v>
      </x:c>
      <x:c r="J60" s="107" t="n">
        <x:f>'Вводные'!$L$90*((IF(SUM($D55:$DS55)=0,0,IF(SUM($D58:$DS58)=0,1,'Вводные'!$B$63)))*J57+(1-(IF(SUM($D55:$DS55)=0,0,IF(SUM($D58:$DS58)=0,1,'Вводные'!$B$63))))*J59)</x:f>
        <x:v>0</x:v>
      </x:c>
      <x:c r="K60" s="107" t="n">
        <x:f>'Вводные'!$L$90*((IF(SUM($D55:$DS55)=0,0,IF(SUM($D58:$DS58)=0,1,'Вводные'!$B$63)))*K57+(1-(IF(SUM($D55:$DS55)=0,0,IF(SUM($D58:$DS58)=0,1,'Вводные'!$B$63))))*K59)</x:f>
        <x:v>0</x:v>
      </x:c>
      <x:c r="L60" s="107" t="n">
        <x:f>'Вводные'!$L$90*((IF(SUM($D55:$DS55)=0,0,IF(SUM($D58:$DS58)=0,1,'Вводные'!$B$63)))*L57+(1-(IF(SUM($D55:$DS55)=0,0,IF(SUM($D58:$DS58)=0,1,'Вводные'!$B$63))))*L59)</x:f>
        <x:v>0</x:v>
      </x:c>
      <x:c r="M60" s="107" t="n">
        <x:f>'Вводные'!$L$90*((IF(SUM($D55:$DS55)=0,0,IF(SUM($D58:$DS58)=0,1,'Вводные'!$B$63)))*M57+(1-(IF(SUM($D55:$DS55)=0,0,IF(SUM($D58:$DS58)=0,1,'Вводные'!$B$63))))*M59)</x:f>
        <x:v>0</x:v>
      </x:c>
      <x:c r="N60" s="107" t="n">
        <x:f>'Вводные'!$L$90*((IF(SUM($D55:$DS55)=0,0,IF(SUM($D58:$DS58)=0,1,'Вводные'!$B$63)))*N57+(1-(IF(SUM($D55:$DS55)=0,0,IF(SUM($D58:$DS58)=0,1,'Вводные'!$B$63))))*N59)</x:f>
        <x:v>0</x:v>
      </x:c>
      <x:c r="O60" s="107" t="n">
        <x:f>'Вводные'!$L$90*((IF(SUM($D55:$DS55)=0,0,IF(SUM($D58:$DS58)=0,1,'Вводные'!$B$63)))*O57+(1-(IF(SUM($D55:$DS55)=0,0,IF(SUM($D58:$DS58)=0,1,'Вводные'!$B$63))))*O59)</x:f>
        <x:v>0</x:v>
      </x:c>
      <x:c r="P60" s="107" t="n">
        <x:f>'Вводные'!$L$90*((IF(SUM($D55:$DS55)=0,0,IF(SUM($D58:$DS58)=0,1,'Вводные'!$B$63)))*P57+(1-(IF(SUM($D55:$DS55)=0,0,IF(SUM($D58:$DS58)=0,1,'Вводные'!$B$63))))*P59)</x:f>
        <x:v>0</x:v>
      </x:c>
      <x:c r="Q60" s="107" t="n">
        <x:f>'Вводные'!$L$90*((IF(SUM($D55:$DS55)=0,0,IF(SUM($D58:$DS58)=0,1,'Вводные'!$B$63)))*Q57+(1-(IF(SUM($D55:$DS55)=0,0,IF(SUM($D58:$DS58)=0,1,'Вводные'!$B$63))))*Q59)</x:f>
        <x:v>0</x:v>
      </x:c>
      <x:c r="R60" s="107" t="n">
        <x:f>'Вводные'!$L$90*((IF(SUM($D55:$DS55)=0,0,IF(SUM($D58:$DS58)=0,1,'Вводные'!$B$63)))*R57+(1-(IF(SUM($D55:$DS55)=0,0,IF(SUM($D58:$DS58)=0,1,'Вводные'!$B$63))))*R59)</x:f>
        <x:v>0</x:v>
      </x:c>
      <x:c r="S60" s="107" t="n">
        <x:f>'Вводные'!$L$90*((IF(SUM($D55:$DS55)=0,0,IF(SUM($D58:$DS58)=0,1,'Вводные'!$B$63)))*S57+(1-(IF(SUM($D55:$DS55)=0,0,IF(SUM($D58:$DS58)=0,1,'Вводные'!$B$63))))*S59)</x:f>
        <x:v>0</x:v>
      </x:c>
      <x:c r="T60" s="107" t="n">
        <x:f>'Вводные'!$L$90*((IF(SUM($D55:$DS55)=0,0,IF(SUM($D58:$DS58)=0,1,'Вводные'!$B$63)))*T57+(1-(IF(SUM($D55:$DS55)=0,0,IF(SUM($D58:$DS58)=0,1,'Вводные'!$B$63))))*T59)</x:f>
        <x:v>0</x:v>
      </x:c>
      <x:c r="U60" s="107" t="n">
        <x:f>'Вводные'!$L$90*((IF(SUM($D55:$DS55)=0,0,IF(SUM($D58:$DS58)=0,1,'Вводные'!$B$63)))*U57+(1-(IF(SUM($D55:$DS55)=0,0,IF(SUM($D58:$DS58)=0,1,'Вводные'!$B$63))))*U59)</x:f>
        <x:v>0</x:v>
      </x:c>
      <x:c r="V60" s="107" t="n">
        <x:f>'Вводные'!$L$90*((IF(SUM($D55:$DS55)=0,0,IF(SUM($D58:$DS58)=0,1,'Вводные'!$B$63)))*V57+(1-(IF(SUM($D55:$DS55)=0,0,IF(SUM($D58:$DS58)=0,1,'Вводные'!$B$63))))*V59)</x:f>
        <x:v>0</x:v>
      </x:c>
      <x:c r="W60" s="107" t="n">
        <x:f>'Вводные'!$L$90*((IF(SUM($D55:$DS55)=0,0,IF(SUM($D58:$DS58)=0,1,'Вводные'!$B$63)))*W57+(1-(IF(SUM($D55:$DS55)=0,0,IF(SUM($D58:$DS58)=0,1,'Вводные'!$B$63))))*W59)</x:f>
        <x:v>0</x:v>
      </x:c>
      <x:c r="X60" s="107" t="n">
        <x:f>'Вводные'!$L$90*((IF(SUM($D55:$DS55)=0,0,IF(SUM($D58:$DS58)=0,1,'Вводные'!$B$63)))*X57+(1-(IF(SUM($D55:$DS55)=0,0,IF(SUM($D58:$DS58)=0,1,'Вводные'!$B$63))))*X59)</x:f>
        <x:v>0</x:v>
      </x:c>
      <x:c r="Y60" s="107" t="n">
        <x:f>'Вводные'!$L$90*((IF(SUM($D55:$DS55)=0,0,IF(SUM($D58:$DS58)=0,1,'Вводные'!$B$63)))*Y57+(1-(IF(SUM($D55:$DS55)=0,0,IF(SUM($D58:$DS58)=0,1,'Вводные'!$B$63))))*Y59)</x:f>
        <x:v>0</x:v>
      </x:c>
      <x:c r="Z60" s="107" t="n">
        <x:f>'Вводные'!$L$90*((IF(SUM($D55:$DS55)=0,0,IF(SUM($D58:$DS58)=0,1,'Вводные'!$B$63)))*Z57+(1-(IF(SUM($D55:$DS55)=0,0,IF(SUM($D58:$DS58)=0,1,'Вводные'!$B$63))))*Z59)</x:f>
        <x:v>0</x:v>
      </x:c>
      <x:c r="AA60" s="107" t="n">
        <x:f>'Вводные'!$L$90*((IF(SUM($D55:$DS55)=0,0,IF(SUM($D58:$DS58)=0,1,'Вводные'!$B$63)))*AA57+(1-(IF(SUM($D55:$DS55)=0,0,IF(SUM($D58:$DS58)=0,1,'Вводные'!$B$63))))*AA59)</x:f>
        <x:v>0</x:v>
      </x:c>
      <x:c r="AB60" s="107" t="n">
        <x:f>'Вводные'!$L$90*((IF(SUM($D55:$DS55)=0,0,IF(SUM($D58:$DS58)=0,1,'Вводные'!$B$63)))*AB57+(1-(IF(SUM($D55:$DS55)=0,0,IF(SUM($D58:$DS58)=0,1,'Вводные'!$B$63))))*AB59)</x:f>
        <x:v>0</x:v>
      </x:c>
      <x:c r="AC60" s="107" t="n">
        <x:f>'Вводные'!$L$90*((IF(SUM($D55:$DS55)=0,0,IF(SUM($D58:$DS58)=0,1,'Вводные'!$B$63)))*AC57+(1-(IF(SUM($D55:$DS55)=0,0,IF(SUM($D58:$DS58)=0,1,'Вводные'!$B$63))))*AC59)</x:f>
        <x:v>0</x:v>
      </x:c>
      <x:c r="AD60" s="107" t="n">
        <x:f>'Вводные'!$L$90*((IF(SUM($D55:$DS55)=0,0,IF(SUM($D58:$DS58)=0,1,'Вводные'!$B$63)))*AD57+(1-(IF(SUM($D55:$DS55)=0,0,IF(SUM($D58:$DS58)=0,1,'Вводные'!$B$63))))*AD59)</x:f>
        <x:v>0</x:v>
      </x:c>
      <x:c r="AE60" s="107" t="n">
        <x:f>'Вводные'!$L$90*((IF(SUM($D55:$DS55)=0,0,IF(SUM($D58:$DS58)=0,1,'Вводные'!$B$63)))*AE57+(1-(IF(SUM($D55:$DS55)=0,0,IF(SUM($D58:$DS58)=0,1,'Вводные'!$B$63))))*AE59)</x:f>
        <x:v>0</x:v>
      </x:c>
      <x:c r="AF60" s="107" t="n">
        <x:f>'Вводные'!$L$90*((IF(SUM($D55:$DS55)=0,0,IF(SUM($D58:$DS58)=0,1,'Вводные'!$B$63)))*AF57+(1-(IF(SUM($D55:$DS55)=0,0,IF(SUM($D58:$DS58)=0,1,'Вводные'!$B$63))))*AF59)</x:f>
        <x:v>0</x:v>
      </x:c>
      <x:c r="AG60" s="107" t="n">
        <x:f>'Вводные'!$L$90*((IF(SUM($D55:$DS55)=0,0,IF(SUM($D58:$DS58)=0,1,'Вводные'!$B$63)))*AG57+(1-(IF(SUM($D55:$DS55)=0,0,IF(SUM($D58:$DS58)=0,1,'Вводные'!$B$63))))*AG59)</x:f>
        <x:v>0</x:v>
      </x:c>
      <x:c r="AH60" s="107" t="n">
        <x:f>'Вводные'!$L$90*((IF(SUM($D55:$DS55)=0,0,IF(SUM($D58:$DS58)=0,1,'Вводные'!$B$63)))*AH57+(1-(IF(SUM($D55:$DS55)=0,0,IF(SUM($D58:$DS58)=0,1,'Вводные'!$B$63))))*AH59)</x:f>
        <x:v>0</x:v>
      </x:c>
      <x:c r="AI60" s="107" t="n">
        <x:f>'Вводные'!$L$90*((IF(SUM($D55:$DS55)=0,0,IF(SUM($D58:$DS58)=0,1,'Вводные'!$B$63)))*AI57+(1-(IF(SUM($D55:$DS55)=0,0,IF(SUM($D58:$DS58)=0,1,'Вводные'!$B$63))))*AI59)</x:f>
        <x:v>0</x:v>
      </x:c>
      <x:c r="AJ60" s="107" t="n">
        <x:f>'Вводные'!$L$90*((IF(SUM($D55:$DS55)=0,0,IF(SUM($D58:$DS58)=0,1,'Вводные'!$B$63)))*AJ57+(1-(IF(SUM($D55:$DS55)=0,0,IF(SUM($D58:$DS58)=0,1,'Вводные'!$B$63))))*AJ59)</x:f>
        <x:v>0</x:v>
      </x:c>
      <x:c r="AK60" s="107" t="n">
        <x:f>'Вводные'!$L$90*((IF(SUM($D55:$DS55)=0,0,IF(SUM($D58:$DS58)=0,1,'Вводные'!$B$63)))*AK57+(1-(IF(SUM($D55:$DS55)=0,0,IF(SUM($D58:$DS58)=0,1,'Вводные'!$B$63))))*AK59)</x:f>
        <x:v>0</x:v>
      </x:c>
      <x:c r="AL60" s="107" t="n">
        <x:f>'Вводные'!$L$90*((IF(SUM($D55:$DS55)=0,0,IF(SUM($D58:$DS58)=0,1,'Вводные'!$B$63)))*AL57+(1-(IF(SUM($D55:$DS55)=0,0,IF(SUM($D58:$DS58)=0,1,'Вводные'!$B$63))))*AL59)</x:f>
        <x:v>0</x:v>
      </x:c>
      <x:c r="AM60" s="107" t="n">
        <x:f>'Вводные'!$L$90*((IF(SUM($D55:$DS55)=0,0,IF(SUM($D58:$DS58)=0,1,'Вводные'!$B$63)))*AM57+(1-(IF(SUM($D55:$DS55)=0,0,IF(SUM($D58:$DS58)=0,1,'Вводные'!$B$63))))*AM59)</x:f>
        <x:v>0</x:v>
      </x:c>
      <x:c r="AN60" s="107" t="n">
        <x:f>'Вводные'!$L$90*((IF(SUM($D55:$DS55)=0,0,IF(SUM($D58:$DS58)=0,1,'Вводные'!$B$63)))*AN57+(1-(IF(SUM($D55:$DS55)=0,0,IF(SUM($D58:$DS58)=0,1,'Вводные'!$B$63))))*AN59)</x:f>
        <x:v>0</x:v>
      </x:c>
      <x:c r="AO60" s="107" t="n">
        <x:f>'Вводные'!$L$90*((IF(SUM($D55:$DS55)=0,0,IF(SUM($D58:$DS58)=0,1,'Вводные'!$B$63)))*AO57+(1-(IF(SUM($D55:$DS55)=0,0,IF(SUM($D58:$DS58)=0,1,'Вводные'!$B$63))))*AO59)</x:f>
        <x:v>0</x:v>
      </x:c>
      <x:c r="AP60" s="107" t="n">
        <x:f>'Вводные'!$L$90*((IF(SUM($D55:$DS55)=0,0,IF(SUM($D58:$DS58)=0,1,'Вводные'!$B$63)))*AP57+(1-(IF(SUM($D55:$DS55)=0,0,IF(SUM($D58:$DS58)=0,1,'Вводные'!$B$63))))*AP59)</x:f>
        <x:v>0</x:v>
      </x:c>
      <x:c r="AQ60" s="107" t="n">
        <x:f>'Вводные'!$L$90*((IF(SUM($D55:$DS55)=0,0,IF(SUM($D58:$DS58)=0,1,'Вводные'!$B$63)))*AQ57+(1-(IF(SUM($D55:$DS55)=0,0,IF(SUM($D58:$DS58)=0,1,'Вводные'!$B$63))))*AQ59)</x:f>
        <x:v>0</x:v>
      </x:c>
      <x:c r="AR60" s="107" t="n">
        <x:f>'Вводные'!$L$90*((IF(SUM($D55:$DS55)=0,0,IF(SUM($D58:$DS58)=0,1,'Вводные'!$B$63)))*AR57+(1-(IF(SUM($D55:$DS55)=0,0,IF(SUM($D58:$DS58)=0,1,'Вводные'!$B$63))))*AR59)</x:f>
        <x:v>0</x:v>
      </x:c>
      <x:c r="AS60" s="107" t="n">
        <x:f>'Вводные'!$L$90*((IF(SUM($D55:$DS55)=0,0,IF(SUM($D58:$DS58)=0,1,'Вводные'!$B$63)))*AS57+(1-(IF(SUM($D55:$DS55)=0,0,IF(SUM($D58:$DS58)=0,1,'Вводные'!$B$63))))*AS59)</x:f>
        <x:v>0</x:v>
      </x:c>
      <x:c r="AT60" s="107" t="n">
        <x:f>'Вводные'!$L$90*((IF(SUM($D55:$DS55)=0,0,IF(SUM($D58:$DS58)=0,1,'Вводные'!$B$63)))*AT57+(1-(IF(SUM($D55:$DS55)=0,0,IF(SUM($D58:$DS58)=0,1,'Вводные'!$B$63))))*AT59)</x:f>
        <x:v>0</x:v>
      </x:c>
      <x:c r="AU60" s="107" t="n">
        <x:f>'Вводные'!$L$90*((IF(SUM($D55:$DS55)=0,0,IF(SUM($D58:$DS58)=0,1,'Вводные'!$B$63)))*AU57+(1-(IF(SUM($D55:$DS55)=0,0,IF(SUM($D58:$DS58)=0,1,'Вводные'!$B$63))))*AU59)</x:f>
        <x:v>0</x:v>
      </x:c>
      <x:c r="AV60" s="107" t="n">
        <x:f>'Вводные'!$L$90*((IF(SUM($D55:$DS55)=0,0,IF(SUM($D58:$DS58)=0,1,'Вводные'!$B$63)))*AV57+(1-(IF(SUM($D55:$DS55)=0,0,IF(SUM($D58:$DS58)=0,1,'Вводные'!$B$63))))*AV59)</x:f>
        <x:v>0</x:v>
      </x:c>
      <x:c r="AW60" s="107" t="n">
        <x:f>'Вводные'!$L$90*((IF(SUM($D55:$DS55)=0,0,IF(SUM($D58:$DS58)=0,1,'Вводные'!$B$63)))*AW57+(1-(IF(SUM($D55:$DS55)=0,0,IF(SUM($D58:$DS58)=0,1,'Вводные'!$B$63))))*AW59)</x:f>
        <x:v>0</x:v>
      </x:c>
      <x:c r="AX60" s="107" t="n">
        <x:f>'Вводные'!$L$90*((IF(SUM($D55:$DS55)=0,0,IF(SUM($D58:$DS58)=0,1,'Вводные'!$B$63)))*AX57+(1-(IF(SUM($D55:$DS55)=0,0,IF(SUM($D58:$DS58)=0,1,'Вводные'!$B$63))))*AX59)</x:f>
        <x:v>0</x:v>
      </x:c>
      <x:c r="AY60" s="107" t="n">
        <x:f>'Вводные'!$L$90*((IF(SUM($D55:$DS55)=0,0,IF(SUM($D58:$DS58)=0,1,'Вводные'!$B$63)))*AY57+(1-(IF(SUM($D55:$DS55)=0,0,IF(SUM($D58:$DS58)=0,1,'Вводные'!$B$63))))*AY59)</x:f>
        <x:v>0</x:v>
      </x:c>
      <x:c r="AZ60" s="107" t="n">
        <x:f>'Вводные'!$L$90*((IF(SUM($D55:$DS55)=0,0,IF(SUM($D58:$DS58)=0,1,'Вводные'!$B$63)))*AZ57+(1-(IF(SUM($D55:$DS55)=0,0,IF(SUM($D58:$DS58)=0,1,'Вводные'!$B$63))))*AZ59)</x:f>
        <x:v>0</x:v>
      </x:c>
      <x:c r="BA60" s="107" t="n">
        <x:f>'Вводные'!$L$90*((IF(SUM($D55:$DS55)=0,0,IF(SUM($D58:$DS58)=0,1,'Вводные'!$B$63)))*BA57+(1-(IF(SUM($D55:$DS55)=0,0,IF(SUM($D58:$DS58)=0,1,'Вводные'!$B$63))))*BA59)</x:f>
        <x:v>0</x:v>
      </x:c>
      <x:c r="BB60" s="107" t="n">
        <x:f>'Вводные'!$L$90*((IF(SUM($D55:$DS55)=0,0,IF(SUM($D58:$DS58)=0,1,'Вводные'!$B$63)))*BB57+(1-(IF(SUM($D55:$DS55)=0,0,IF(SUM($D58:$DS58)=0,1,'Вводные'!$B$63))))*BB59)</x:f>
        <x:v>0</x:v>
      </x:c>
      <x:c r="BC60" s="107" t="n">
        <x:f>'Вводные'!$L$90*((IF(SUM($D55:$DS55)=0,0,IF(SUM($D58:$DS58)=0,1,'Вводные'!$B$63)))*BC57+(1-(IF(SUM($D55:$DS55)=0,0,IF(SUM($D58:$DS58)=0,1,'Вводные'!$B$63))))*BC59)</x:f>
        <x:v>0</x:v>
      </x:c>
      <x:c r="BD60" s="107" t="n">
        <x:f>'Вводные'!$L$90*((IF(SUM($D55:$DS55)=0,0,IF(SUM($D58:$DS58)=0,1,'Вводные'!$B$63)))*BD57+(1-(IF(SUM($D55:$DS55)=0,0,IF(SUM($D58:$DS58)=0,1,'Вводные'!$B$63))))*BD59)</x:f>
        <x:v>0</x:v>
      </x:c>
      <x:c r="BE60" s="107" t="n">
        <x:f>'Вводные'!$L$90*((IF(SUM($D55:$DS55)=0,0,IF(SUM($D58:$DS58)=0,1,'Вводные'!$B$63)))*BE57+(1-(IF(SUM($D55:$DS55)=0,0,IF(SUM($D58:$DS58)=0,1,'Вводные'!$B$63))))*BE59)</x:f>
        <x:v>0</x:v>
      </x:c>
      <x:c r="BF60" s="107" t="n">
        <x:f>'Вводные'!$L$90*((IF(SUM($D55:$DS55)=0,0,IF(SUM($D58:$DS58)=0,1,'Вводные'!$B$63)))*BF57+(1-(IF(SUM($D55:$DS55)=0,0,IF(SUM($D58:$DS58)=0,1,'Вводные'!$B$63))))*BF59)</x:f>
        <x:v>0</x:v>
      </x:c>
      <x:c r="BG60" s="107" t="n">
        <x:f>'Вводные'!$L$90*((IF(SUM($D55:$DS55)=0,0,IF(SUM($D58:$DS58)=0,1,'Вводные'!$B$63)))*BG57+(1-(IF(SUM($D55:$DS55)=0,0,IF(SUM($D58:$DS58)=0,1,'Вводные'!$B$63))))*BG59)</x:f>
        <x:v>0</x:v>
      </x:c>
      <x:c r="BH60" s="107" t="n">
        <x:f>'Вводные'!$L$90*((IF(SUM($D55:$DS55)=0,0,IF(SUM($D58:$DS58)=0,1,'Вводные'!$B$63)))*BH57+(1-(IF(SUM($D55:$DS55)=0,0,IF(SUM($D58:$DS58)=0,1,'Вводные'!$B$63))))*BH59)</x:f>
        <x:v>0</x:v>
      </x:c>
      <x:c r="BI60" s="107" t="n">
        <x:f>'Вводные'!$L$90*((IF(SUM($D55:$DS55)=0,0,IF(SUM($D58:$DS58)=0,1,'Вводные'!$B$63)))*BI57+(1-(IF(SUM($D55:$DS55)=0,0,IF(SUM($D58:$DS58)=0,1,'Вводные'!$B$63))))*BI59)</x:f>
        <x:v>0</x:v>
      </x:c>
      <x:c r="BJ60" s="107" t="n">
        <x:f>'Вводные'!$L$90*((IF(SUM($D55:$DS55)=0,0,IF(SUM($D58:$DS58)=0,1,'Вводные'!$B$63)))*BJ57+(1-(IF(SUM($D55:$DS55)=0,0,IF(SUM($D58:$DS58)=0,1,'Вводные'!$B$63))))*BJ59)</x:f>
        <x:v>0</x:v>
      </x:c>
      <x:c r="BK60" s="107" t="n">
        <x:f>'Вводные'!$L$90*((IF(SUM($D55:$DS55)=0,0,IF(SUM($D58:$DS58)=0,1,'Вводные'!$B$63)))*BK57+(1-(IF(SUM($D55:$DS55)=0,0,IF(SUM($D58:$DS58)=0,1,'Вводные'!$B$63))))*BK59)</x:f>
        <x:v>0</x:v>
      </x:c>
      <x:c r="BL60" s="107" t="n">
        <x:f>'Вводные'!$L$90*((IF(SUM($D55:$DS55)=0,0,IF(SUM($D58:$DS58)=0,1,'Вводные'!$B$63)))*BL57+(1-(IF(SUM($D55:$DS55)=0,0,IF(SUM($D58:$DS58)=0,1,'Вводные'!$B$63))))*BL59)</x:f>
        <x:v>0</x:v>
      </x:c>
      <x:c r="BM60" s="107" t="n">
        <x:f>'Вводные'!$L$90*((IF(SUM($D55:$DS55)=0,0,IF(SUM($D58:$DS58)=0,1,'Вводные'!$B$63)))*BM57+(1-(IF(SUM($D55:$DS55)=0,0,IF(SUM($D58:$DS58)=0,1,'Вводные'!$B$63))))*BM59)</x:f>
        <x:v>0</x:v>
      </x:c>
      <x:c r="BN60" s="107" t="n">
        <x:f>'Вводные'!$L$90*((IF(SUM($D55:$DS55)=0,0,IF(SUM($D58:$DS58)=0,1,'Вводные'!$B$63)))*BN57+(1-(IF(SUM($D55:$DS55)=0,0,IF(SUM($D58:$DS58)=0,1,'Вводные'!$B$63))))*BN59)</x:f>
        <x:v>0</x:v>
      </x:c>
      <x:c r="BO60" s="107" t="n">
        <x:f>'Вводные'!$L$90*((IF(SUM($D55:$DS55)=0,0,IF(SUM($D58:$DS58)=0,1,'Вводные'!$B$63)))*BO57+(1-(IF(SUM($D55:$DS55)=0,0,IF(SUM($D58:$DS58)=0,1,'Вводные'!$B$63))))*BO59)</x:f>
        <x:v>0</x:v>
      </x:c>
      <x:c r="BP60" s="107" t="n">
        <x:f>'Вводные'!$L$90*((IF(SUM($D55:$DS55)=0,0,IF(SUM($D58:$DS58)=0,1,'Вводные'!$B$63)))*BP57+(1-(IF(SUM($D55:$DS55)=0,0,IF(SUM($D58:$DS58)=0,1,'Вводные'!$B$63))))*BP59)</x:f>
        <x:v>0</x:v>
      </x:c>
      <x:c r="BQ60" s="107" t="n">
        <x:f>'Вводные'!$L$90*((IF(SUM($D55:$DS55)=0,0,IF(SUM($D58:$DS58)=0,1,'Вводные'!$B$63)))*BQ57+(1-(IF(SUM($D55:$DS55)=0,0,IF(SUM($D58:$DS58)=0,1,'Вводные'!$B$63))))*BQ59)</x:f>
        <x:v>0</x:v>
      </x:c>
      <x:c r="BR60" s="107" t="n">
        <x:f>'Вводные'!$L$90*((IF(SUM($D55:$DS55)=0,0,IF(SUM($D58:$DS58)=0,1,'Вводные'!$B$63)))*BR57+(1-(IF(SUM($D55:$DS55)=0,0,IF(SUM($D58:$DS58)=0,1,'Вводные'!$B$63))))*BR59)</x:f>
        <x:v>0</x:v>
      </x:c>
      <x:c r="BS60" s="107" t="n">
        <x:f>'Вводные'!$L$90*((IF(SUM($D55:$DS55)=0,0,IF(SUM($D58:$DS58)=0,1,'Вводные'!$B$63)))*BS57+(1-(IF(SUM($D55:$DS55)=0,0,IF(SUM($D58:$DS58)=0,1,'Вводные'!$B$63))))*BS59)</x:f>
        <x:v>0</x:v>
      </x:c>
      <x:c r="BT60" s="107" t="n">
        <x:f>'Вводные'!$L$90*((IF(SUM($D55:$DS55)=0,0,IF(SUM($D58:$DS58)=0,1,'Вводные'!$B$63)))*BT57+(1-(IF(SUM($D55:$DS55)=0,0,IF(SUM($D58:$DS58)=0,1,'Вводные'!$B$63))))*BT59)</x:f>
        <x:v>0</x:v>
      </x:c>
      <x:c r="BU60" s="107" t="n">
        <x:f>'Вводные'!$L$90*((IF(SUM($D55:$DS55)=0,0,IF(SUM($D58:$DS58)=0,1,'Вводные'!$B$63)))*BU57+(1-(IF(SUM($D55:$DS55)=0,0,IF(SUM($D58:$DS58)=0,1,'Вводные'!$B$63))))*BU59)</x:f>
        <x:v>0</x:v>
      </x:c>
      <x:c r="BV60" s="107" t="n">
        <x:f>'Вводные'!$L$90*((IF(SUM($D55:$DS55)=0,0,IF(SUM($D58:$DS58)=0,1,'Вводные'!$B$63)))*BV57+(1-(IF(SUM($D55:$DS55)=0,0,IF(SUM($D58:$DS58)=0,1,'Вводные'!$B$63))))*BV59)</x:f>
        <x:v>0</x:v>
      </x:c>
      <x:c r="BW60" s="107" t="n">
        <x:f>'Вводные'!$L$90*((IF(SUM($D55:$DS55)=0,0,IF(SUM($D58:$DS58)=0,1,'Вводные'!$B$63)))*BW57+(1-(IF(SUM($D55:$DS55)=0,0,IF(SUM($D58:$DS58)=0,1,'Вводные'!$B$63))))*BW59)</x:f>
        <x:v>0</x:v>
      </x:c>
      <x:c r="BX60" s="107" t="n">
        <x:f>'Вводные'!$L$90*((IF(SUM($D55:$DS55)=0,0,IF(SUM($D58:$DS58)=0,1,'Вводные'!$B$63)))*BX57+(1-(IF(SUM($D55:$DS55)=0,0,IF(SUM($D58:$DS58)=0,1,'Вводные'!$B$63))))*BX59)</x:f>
        <x:v>0</x:v>
      </x:c>
      <x:c r="BY60" s="107" t="n">
        <x:f>'Вводные'!$L$90*((IF(SUM($D55:$DS55)=0,0,IF(SUM($D58:$DS58)=0,1,'Вводные'!$B$63)))*BY57+(1-(IF(SUM($D55:$DS55)=0,0,IF(SUM($D58:$DS58)=0,1,'Вводные'!$B$63))))*BY59)</x:f>
        <x:v>0</x:v>
      </x:c>
      <x:c r="BZ60" s="107" t="n">
        <x:f>'Вводные'!$L$90*((IF(SUM($D55:$DS55)=0,0,IF(SUM($D58:$DS58)=0,1,'Вводные'!$B$63)))*BZ57+(1-(IF(SUM($D55:$DS55)=0,0,IF(SUM($D58:$DS58)=0,1,'Вводные'!$B$63))))*BZ59)</x:f>
        <x:v>0</x:v>
      </x:c>
      <x:c r="CA60" s="107" t="n">
        <x:f>'Вводные'!$L$90*((IF(SUM($D55:$DS55)=0,0,IF(SUM($D58:$DS58)=0,1,'Вводные'!$B$63)))*CA57+(1-(IF(SUM($D55:$DS55)=0,0,IF(SUM($D58:$DS58)=0,1,'Вводные'!$B$63))))*CA59)</x:f>
        <x:v>0</x:v>
      </x:c>
      <x:c r="CB60" s="107" t="n">
        <x:f>'Вводные'!$L$90*((IF(SUM($D55:$DS55)=0,0,IF(SUM($D58:$DS58)=0,1,'Вводные'!$B$63)))*CB57+(1-(IF(SUM($D55:$DS55)=0,0,IF(SUM($D58:$DS58)=0,1,'Вводные'!$B$63))))*CB59)</x:f>
        <x:v>0</x:v>
      </x:c>
      <x:c r="CC60" s="107" t="n">
        <x:f>'Вводные'!$L$90*((IF(SUM($D55:$DS55)=0,0,IF(SUM($D58:$DS58)=0,1,'Вводные'!$B$63)))*CC57+(1-(IF(SUM($D55:$DS55)=0,0,IF(SUM($D58:$DS58)=0,1,'Вводные'!$B$63))))*CC59)</x:f>
        <x:v>0</x:v>
      </x:c>
      <x:c r="CD60" s="107" t="n">
        <x:f>'Вводные'!$L$90*((IF(SUM($D55:$DS55)=0,0,IF(SUM($D58:$DS58)=0,1,'Вводные'!$B$63)))*CD57+(1-(IF(SUM($D55:$DS55)=0,0,IF(SUM($D58:$DS58)=0,1,'Вводные'!$B$63))))*CD59)</x:f>
        <x:v>0</x:v>
      </x:c>
      <x:c r="CE60" s="107" t="n">
        <x:f>'Вводные'!$L$90*((IF(SUM($D55:$DS55)=0,0,IF(SUM($D58:$DS58)=0,1,'Вводные'!$B$63)))*CE57+(1-(IF(SUM($D55:$DS55)=0,0,IF(SUM($D58:$DS58)=0,1,'Вводные'!$B$63))))*CE59)</x:f>
        <x:v>0</x:v>
      </x:c>
      <x:c r="CF60" s="107" t="n">
        <x:f>'Вводные'!$L$90*((IF(SUM($D55:$DS55)=0,0,IF(SUM($D58:$DS58)=0,1,'Вводные'!$B$63)))*CF57+(1-(IF(SUM($D55:$DS55)=0,0,IF(SUM($D58:$DS58)=0,1,'Вводные'!$B$63))))*CF59)</x:f>
        <x:v>0</x:v>
      </x:c>
      <x:c r="CG60" s="107" t="n">
        <x:f>'Вводные'!$L$90*((IF(SUM($D55:$DS55)=0,0,IF(SUM($D58:$DS58)=0,1,'Вводные'!$B$63)))*CG57+(1-(IF(SUM($D55:$DS55)=0,0,IF(SUM($D58:$DS58)=0,1,'Вводные'!$B$63))))*CG59)</x:f>
        <x:v>0</x:v>
      </x:c>
      <x:c r="CH60" s="107" t="n">
        <x:f>'Вводные'!$L$90*((IF(SUM($D55:$DS55)=0,0,IF(SUM($D58:$DS58)=0,1,'Вводные'!$B$63)))*CH57+(1-(IF(SUM($D55:$DS55)=0,0,IF(SUM($D58:$DS58)=0,1,'Вводные'!$B$63))))*CH59)</x:f>
        <x:v>0</x:v>
      </x:c>
      <x:c r="CI60" s="107" t="n">
        <x:f>'Вводные'!$L$90*((IF(SUM($D55:$DS55)=0,0,IF(SUM($D58:$DS58)=0,1,'Вводные'!$B$63)))*CI57+(1-(IF(SUM($D55:$DS55)=0,0,IF(SUM($D58:$DS58)=0,1,'Вводные'!$B$63))))*CI59)</x:f>
        <x:v>0</x:v>
      </x:c>
      <x:c r="CJ60" s="107" t="n">
        <x:f>'Вводные'!$L$90*((IF(SUM($D55:$DS55)=0,0,IF(SUM($D58:$DS58)=0,1,'Вводные'!$B$63)))*CJ57+(1-(IF(SUM($D55:$DS55)=0,0,IF(SUM($D58:$DS58)=0,1,'Вводные'!$B$63))))*CJ59)</x:f>
        <x:v>0</x:v>
      </x:c>
      <x:c r="CK60" s="107" t="n">
        <x:f>'Вводные'!$L$90*((IF(SUM($D55:$DS55)=0,0,IF(SUM($D58:$DS58)=0,1,'Вводные'!$B$63)))*CK57+(1-(IF(SUM($D55:$DS55)=0,0,IF(SUM($D58:$DS58)=0,1,'Вводные'!$B$63))))*CK59)</x:f>
        <x:v>0</x:v>
      </x:c>
      <x:c r="CL60" s="107" t="n">
        <x:f>'Вводные'!$L$90*((IF(SUM($D55:$DS55)=0,0,IF(SUM($D58:$DS58)=0,1,'Вводные'!$B$63)))*CL57+(1-(IF(SUM($D55:$DS55)=0,0,IF(SUM($D58:$DS58)=0,1,'Вводные'!$B$63))))*CL59)</x:f>
        <x:v>0</x:v>
      </x:c>
      <x:c r="CM60" s="107" t="n">
        <x:f>'Вводные'!$L$90*((IF(SUM($D55:$DS55)=0,0,IF(SUM($D58:$DS58)=0,1,'Вводные'!$B$63)))*CM57+(1-(IF(SUM($D55:$DS55)=0,0,IF(SUM($D58:$DS58)=0,1,'Вводные'!$B$63))))*CM59)</x:f>
        <x:v>0</x:v>
      </x:c>
      <x:c r="CN60" s="107" t="n">
        <x:f>'Вводные'!$L$90*((IF(SUM($D55:$DS55)=0,0,IF(SUM($D58:$DS58)=0,1,'Вводные'!$B$63)))*CN57+(1-(IF(SUM($D55:$DS55)=0,0,IF(SUM($D58:$DS58)=0,1,'Вводные'!$B$63))))*CN59)</x:f>
        <x:v>0</x:v>
      </x:c>
      <x:c r="CO60" s="107" t="n">
        <x:f>'Вводные'!$L$90*((IF(SUM($D55:$DS55)=0,0,IF(SUM($D58:$DS58)=0,1,'Вводные'!$B$63)))*CO57+(1-(IF(SUM($D55:$DS55)=0,0,IF(SUM($D58:$DS58)=0,1,'Вводные'!$B$63))))*CO59)</x:f>
        <x:v>0</x:v>
      </x:c>
      <x:c r="CP60" s="107" t="n">
        <x:f>'Вводные'!$L$90*((IF(SUM($D55:$DS55)=0,0,IF(SUM($D58:$DS58)=0,1,'Вводные'!$B$63)))*CP57+(1-(IF(SUM($D55:$DS55)=0,0,IF(SUM($D58:$DS58)=0,1,'Вводные'!$B$63))))*CP59)</x:f>
        <x:v>0</x:v>
      </x:c>
      <x:c r="CQ60" s="107" t="n">
        <x:f>'Вводные'!$L$90*((IF(SUM($D55:$DS55)=0,0,IF(SUM($D58:$DS58)=0,1,'Вводные'!$B$63)))*CQ57+(1-(IF(SUM($D55:$DS55)=0,0,IF(SUM($D58:$DS58)=0,1,'Вводные'!$B$63))))*CQ59)</x:f>
        <x:v>0</x:v>
      </x:c>
      <x:c r="CR60" s="107" t="n">
        <x:f>'Вводные'!$L$90*((IF(SUM($D55:$DS55)=0,0,IF(SUM($D58:$DS58)=0,1,'Вводные'!$B$63)))*CR57+(1-(IF(SUM($D55:$DS55)=0,0,IF(SUM($D58:$DS58)=0,1,'Вводные'!$B$63))))*CR59)</x:f>
        <x:v>0</x:v>
      </x:c>
      <x:c r="CS60" s="107" t="n">
        <x:f>'Вводные'!$L$90*((IF(SUM($D55:$DS55)=0,0,IF(SUM($D58:$DS58)=0,1,'Вводные'!$B$63)))*CS57+(1-(IF(SUM($D55:$DS55)=0,0,IF(SUM($D58:$DS58)=0,1,'Вводные'!$B$63))))*CS59)</x:f>
        <x:v>0</x:v>
      </x:c>
      <x:c r="CT60" s="107" t="n">
        <x:f>'Вводные'!$L$90*((IF(SUM($D55:$DS55)=0,0,IF(SUM($D58:$DS58)=0,1,'Вводные'!$B$63)))*CT57+(1-(IF(SUM($D55:$DS55)=0,0,IF(SUM($D58:$DS58)=0,1,'Вводные'!$B$63))))*CT59)</x:f>
        <x:v>0</x:v>
      </x:c>
      <x:c r="CU60" s="107" t="n">
        <x:f>'Вводные'!$L$90*((IF(SUM($D55:$DS55)=0,0,IF(SUM($D58:$DS58)=0,1,'Вводные'!$B$63)))*CU57+(1-(IF(SUM($D55:$DS55)=0,0,IF(SUM($D58:$DS58)=0,1,'Вводные'!$B$63))))*CU59)</x:f>
        <x:v>0</x:v>
      </x:c>
      <x:c r="CV60" s="107" t="n">
        <x:f>'Вводные'!$L$90*((IF(SUM($D55:$DS55)=0,0,IF(SUM($D58:$DS58)=0,1,'Вводные'!$B$63)))*CV57+(1-(IF(SUM($D55:$DS55)=0,0,IF(SUM($D58:$DS58)=0,1,'Вводные'!$B$63))))*CV59)</x:f>
        <x:v>0</x:v>
      </x:c>
      <x:c r="CW60" s="107" t="n">
        <x:f>'Вводные'!$L$90*((IF(SUM($D55:$DS55)=0,0,IF(SUM($D58:$DS58)=0,1,'Вводные'!$B$63)))*CW57+(1-(IF(SUM($D55:$DS55)=0,0,IF(SUM($D58:$DS58)=0,1,'Вводные'!$B$63))))*CW59)</x:f>
        <x:v>0</x:v>
      </x:c>
      <x:c r="CX60" s="107" t="n">
        <x:f>'Вводные'!$L$90*((IF(SUM($D55:$DS55)=0,0,IF(SUM($D58:$DS58)=0,1,'Вводные'!$B$63)))*CX57+(1-(IF(SUM($D55:$DS55)=0,0,IF(SUM($D58:$DS58)=0,1,'Вводные'!$B$63))))*CX59)</x:f>
        <x:v>0</x:v>
      </x:c>
      <x:c r="CY60" s="107" t="n">
        <x:f>'Вводные'!$L$90*((IF(SUM($D55:$DS55)=0,0,IF(SUM($D58:$DS58)=0,1,'Вводные'!$B$63)))*CY57+(1-(IF(SUM($D55:$DS55)=0,0,IF(SUM($D58:$DS58)=0,1,'Вводные'!$B$63))))*CY59)</x:f>
        <x:v>0</x:v>
      </x:c>
      <x:c r="CZ60" s="107" t="n">
        <x:f>'Вводные'!$L$90*((IF(SUM($D55:$DS55)=0,0,IF(SUM($D58:$DS58)=0,1,'Вводные'!$B$63)))*CZ57+(1-(IF(SUM($D55:$DS55)=0,0,IF(SUM($D58:$DS58)=0,1,'Вводные'!$B$63))))*CZ59)</x:f>
        <x:v>0</x:v>
      </x:c>
      <x:c r="DA60" s="107" t="n">
        <x:f>'Вводные'!$L$90*((IF(SUM($D55:$DS55)=0,0,IF(SUM($D58:$DS58)=0,1,'Вводные'!$B$63)))*DA57+(1-(IF(SUM($D55:$DS55)=0,0,IF(SUM($D58:$DS58)=0,1,'Вводные'!$B$63))))*DA59)</x:f>
        <x:v>0</x:v>
      </x:c>
      <x:c r="DB60" s="107" t="n">
        <x:f>'Вводные'!$L$90*((IF(SUM($D55:$DS55)=0,0,IF(SUM($D58:$DS58)=0,1,'Вводные'!$B$63)))*DB57+(1-(IF(SUM($D55:$DS55)=0,0,IF(SUM($D58:$DS58)=0,1,'Вводные'!$B$63))))*DB59)</x:f>
        <x:v>0</x:v>
      </x:c>
      <x:c r="DC60" s="107" t="n">
        <x:f>'Вводные'!$L$90*((IF(SUM($D55:$DS55)=0,0,IF(SUM($D58:$DS58)=0,1,'Вводные'!$B$63)))*DC57+(1-(IF(SUM($D55:$DS55)=0,0,IF(SUM($D58:$DS58)=0,1,'Вводные'!$B$63))))*DC59)</x:f>
        <x:v>0</x:v>
      </x:c>
      <x:c r="DD60" s="107" t="n">
        <x:f>'Вводные'!$L$90*((IF(SUM($D55:$DS55)=0,0,IF(SUM($D58:$DS58)=0,1,'Вводные'!$B$63)))*DD57+(1-(IF(SUM($D55:$DS55)=0,0,IF(SUM($D58:$DS58)=0,1,'Вводные'!$B$63))))*DD59)</x:f>
        <x:v>0</x:v>
      </x:c>
      <x:c r="DE60" s="107" t="n">
        <x:f>'Вводные'!$L$90*((IF(SUM($D55:$DS55)=0,0,IF(SUM($D58:$DS58)=0,1,'Вводные'!$B$63)))*DE57+(1-(IF(SUM($D55:$DS55)=0,0,IF(SUM($D58:$DS58)=0,1,'Вводные'!$B$63))))*DE59)</x:f>
        <x:v>0</x:v>
      </x:c>
      <x:c r="DF60" s="107" t="n">
        <x:f>'Вводные'!$L$90*((IF(SUM($D55:$DS55)=0,0,IF(SUM($D58:$DS58)=0,1,'Вводные'!$B$63)))*DF57+(1-(IF(SUM($D55:$DS55)=0,0,IF(SUM($D58:$DS58)=0,1,'Вводные'!$B$63))))*DF59)</x:f>
        <x:v>0</x:v>
      </x:c>
      <x:c r="DG60" s="107" t="n">
        <x:f>'Вводные'!$L$90*((IF(SUM($D55:$DS55)=0,0,IF(SUM($D58:$DS58)=0,1,'Вводные'!$B$63)))*DG57+(1-(IF(SUM($D55:$DS55)=0,0,IF(SUM($D58:$DS58)=0,1,'Вводные'!$B$63))))*DG59)</x:f>
        <x:v>0</x:v>
      </x:c>
      <x:c r="DH60" s="107" t="n">
        <x:f>'Вводные'!$L$90*((IF(SUM($D55:$DS55)=0,0,IF(SUM($D58:$DS58)=0,1,'Вводные'!$B$63)))*DH57+(1-(IF(SUM($D55:$DS55)=0,0,IF(SUM($D58:$DS58)=0,1,'Вводные'!$B$63))))*DH59)</x:f>
        <x:v>0</x:v>
      </x:c>
      <x:c r="DI60" s="107" t="n">
        <x:f>'Вводные'!$L$90*((IF(SUM($D55:$DS55)=0,0,IF(SUM($D58:$DS58)=0,1,'Вводные'!$B$63)))*DI57+(1-(IF(SUM($D55:$DS55)=0,0,IF(SUM($D58:$DS58)=0,1,'Вводные'!$B$63))))*DI59)</x:f>
        <x:v>0</x:v>
      </x:c>
      <x:c r="DJ60" s="107" t="n">
        <x:f>'Вводные'!$L$90*((IF(SUM($D55:$DS55)=0,0,IF(SUM($D58:$DS58)=0,1,'Вводные'!$B$63)))*DJ57+(1-(IF(SUM($D55:$DS55)=0,0,IF(SUM($D58:$DS58)=0,1,'Вводные'!$B$63))))*DJ59)</x:f>
        <x:v>0</x:v>
      </x:c>
      <x:c r="DK60" s="107" t="n">
        <x:f>'Вводные'!$L$90*((IF(SUM($D55:$DS55)=0,0,IF(SUM($D58:$DS58)=0,1,'Вводные'!$B$63)))*DK57+(1-(IF(SUM($D55:$DS55)=0,0,IF(SUM($D58:$DS58)=0,1,'Вводные'!$B$63))))*DK59)</x:f>
        <x:v>0</x:v>
      </x:c>
      <x:c r="DL60" s="107" t="n">
        <x:f>'Вводные'!$L$90*((IF(SUM($D55:$DS55)=0,0,IF(SUM($D58:$DS58)=0,1,'Вводные'!$B$63)))*DL57+(1-(IF(SUM($D55:$DS55)=0,0,IF(SUM($D58:$DS58)=0,1,'Вводные'!$B$63))))*DL59)</x:f>
        <x:v>0</x:v>
      </x:c>
      <x:c r="DM60" s="107" t="n">
        <x:f>'Вводные'!$L$90*((IF(SUM($D55:$DS55)=0,0,IF(SUM($D58:$DS58)=0,1,'Вводные'!$B$63)))*DM57+(1-(IF(SUM($D55:$DS55)=0,0,IF(SUM($D58:$DS58)=0,1,'Вводные'!$B$63))))*DM59)</x:f>
        <x:v>0</x:v>
      </x:c>
      <x:c r="DN60" s="107" t="n">
        <x:f>'Вводные'!$L$90*((IF(SUM($D55:$DS55)=0,0,IF(SUM($D58:$DS58)=0,1,'Вводные'!$B$63)))*DN57+(1-(IF(SUM($D55:$DS55)=0,0,IF(SUM($D58:$DS58)=0,1,'Вводные'!$B$63))))*DN59)</x:f>
        <x:v>0</x:v>
      </x:c>
      <x:c r="DO60" s="107" t="n">
        <x:f>'Вводные'!$L$90*((IF(SUM($D55:$DS55)=0,0,IF(SUM($D58:$DS58)=0,1,'Вводные'!$B$63)))*DO57+(1-(IF(SUM($D55:$DS55)=0,0,IF(SUM($D58:$DS58)=0,1,'Вводные'!$B$63))))*DO59)</x:f>
        <x:v>0</x:v>
      </x:c>
      <x:c r="DP60" s="107" t="n">
        <x:f>'Вводные'!$L$90*((IF(SUM($D55:$DS55)=0,0,IF(SUM($D58:$DS58)=0,1,'Вводные'!$B$63)))*DP57+(1-(IF(SUM($D55:$DS55)=0,0,IF(SUM($D58:$DS58)=0,1,'Вводные'!$B$63))))*DP59)</x:f>
        <x:v>0</x:v>
      </x:c>
      <x:c r="DQ60" s="107" t="n">
        <x:f>'Вводные'!$L$90*((IF(SUM($D55:$DS55)=0,0,IF(SUM($D58:$DS58)=0,1,'Вводные'!$B$63)))*DQ57+(1-(IF(SUM($D55:$DS55)=0,0,IF(SUM($D58:$DS58)=0,1,'Вводные'!$B$63))))*DQ59)</x:f>
        <x:v>0</x:v>
      </x:c>
      <x:c r="DR60" s="107" t="n">
        <x:f>'Вводные'!$L$90*((IF(SUM($D55:$DS55)=0,0,IF(SUM($D58:$DS58)=0,1,'Вводные'!$B$63)))*DR57+(1-(IF(SUM($D55:$DS55)=0,0,IF(SUM($D58:$DS58)=0,1,'Вводные'!$B$63))))*DR59)</x:f>
        <x:v>0</x:v>
      </x:c>
      <x:c r="DS60" s="107" t="n">
        <x:f>'Вводные'!$L$90*((IF(SUM($D55:$DS55)=0,0,IF(SUM($D58:$DS58)=0,1,'Вводные'!$B$63)))*DS57+(1-(IF(SUM($D55:$DS55)=0,0,IF(SUM($D58:$DS58)=0,1,'Вводные'!$B$63))))*DS59)</x:f>
        <x:v>0</x:v>
      </x:c>
    </x:row>
    <x:row r="61">
      <x:c r="A61" t="str">
        <x:v>Квартиры — цена</x:v>
      </x:c>
      <x:c r="B61" t="n">
        <x:f>IFERROR(B62*1000/B60,0)</x:f>
        <x:v>0</x:v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2">
      <x:c r="A62" t="str">
        <x:v>Квартиры — выручка</x:v>
      </x:c>
      <x:c r="B62" t="n">
        <x:f>SUM(D62:DS62)</x:f>
        <x:v>0</x:v>
      </x:c>
      <x:c r="C62" t="str">
        <x:v>млн ₽</x:v>
      </x:c>
      <x:c r="D62" s="107" t="n">
        <x:f>D60*D61/1000</x:f>
        <x:v>0</x:v>
      </x:c>
      <x:c r="E62" s="107" t="n">
        <x:f>E60*E61/1000</x:f>
        <x:v>0</x:v>
      </x:c>
      <x:c r="F62" s="107" t="n">
        <x:f>F60*F61/1000</x:f>
        <x:v>0</x:v>
      </x:c>
      <x:c r="G62" s="107" t="n">
        <x:f>G60*G61/1000</x:f>
        <x:v>0</x:v>
      </x:c>
      <x:c r="H62" s="107" t="n">
        <x:f>H60*H61/1000</x:f>
        <x:v>0</x:v>
      </x:c>
      <x:c r="I62" s="107" t="n">
        <x:f>I60*I61/1000</x:f>
        <x:v>0</x:v>
      </x:c>
      <x:c r="J62" s="107" t="n">
        <x:f>J60*J61/1000</x:f>
        <x:v>0</x:v>
      </x:c>
      <x:c r="K62" s="107" t="n">
        <x:f>K60*K61/1000</x:f>
        <x:v>0</x:v>
      </x:c>
      <x:c r="L62" s="107" t="n">
        <x:f>L60*L61/1000</x:f>
        <x:v>0</x:v>
      </x:c>
      <x:c r="M62" s="107" t="n">
        <x:f>M60*M61/1000</x:f>
        <x:v>0</x:v>
      </x:c>
      <x:c r="N62" s="107" t="n">
        <x:f>N60*N61/1000</x:f>
        <x:v>0</x:v>
      </x:c>
      <x:c r="O62" s="107" t="n">
        <x:f>O60*O61/1000</x:f>
        <x:v>0</x:v>
      </x:c>
      <x:c r="P62" s="107" t="n">
        <x:f>P60*P61/1000</x:f>
        <x:v>0</x:v>
      </x:c>
      <x:c r="Q62" s="107" t="n">
        <x:f>Q60*Q61/1000</x:f>
        <x:v>0</x:v>
      </x:c>
      <x:c r="R62" s="107" t="n">
        <x:f>R60*R61/1000</x:f>
        <x:v>0</x:v>
      </x:c>
      <x:c r="S62" s="107" t="n">
        <x:f>S60*S61/1000</x:f>
        <x:v>0</x:v>
      </x:c>
      <x:c r="T62" s="107" t="n">
        <x:f>T60*T61/1000</x:f>
        <x:v>0</x:v>
      </x:c>
      <x:c r="U62" s="107" t="n">
        <x:f>U60*U61/1000</x:f>
        <x:v>0</x:v>
      </x:c>
      <x:c r="V62" s="107" t="n">
        <x:f>V60*V61/1000</x:f>
        <x:v>0</x:v>
      </x:c>
      <x:c r="W62" s="107" t="n">
        <x:f>W60*W61/1000</x:f>
        <x:v>0</x:v>
      </x:c>
      <x:c r="X62" s="107" t="n">
        <x:f>X60*X61/1000</x:f>
        <x:v>0</x:v>
      </x:c>
      <x:c r="Y62" s="107" t="n">
        <x:f>Y60*Y61/1000</x:f>
        <x:v>0</x:v>
      </x:c>
      <x:c r="Z62" s="107" t="n">
        <x:f>Z60*Z61/1000</x:f>
        <x:v>0</x:v>
      </x:c>
      <x:c r="AA62" s="107" t="n">
        <x:f>AA60*AA61/1000</x:f>
        <x:v>0</x:v>
      </x:c>
      <x:c r="AB62" s="107" t="n">
        <x:f>AB60*AB61/1000</x:f>
        <x:v>0</x:v>
      </x:c>
      <x:c r="AC62" s="107" t="n">
        <x:f>AC60*AC61/1000</x:f>
        <x:v>0</x:v>
      </x:c>
      <x:c r="AD62" s="107" t="n">
        <x:f>AD60*AD61/1000</x:f>
        <x:v>0</x:v>
      </x:c>
      <x:c r="AE62" s="107" t="n">
        <x:f>AE60*AE61/1000</x:f>
        <x:v>0</x:v>
      </x:c>
      <x:c r="AF62" s="107" t="n">
        <x:f>AF60*AF61/1000</x:f>
        <x:v>0</x:v>
      </x:c>
      <x:c r="AG62" s="107" t="n">
        <x:f>AG60*AG61/1000</x:f>
        <x:v>0</x:v>
      </x:c>
      <x:c r="AH62" s="107" t="n">
        <x:f>AH60*AH61/1000</x:f>
        <x:v>0</x:v>
      </x:c>
      <x:c r="AI62" s="107" t="n">
        <x:f>AI60*AI61/1000</x:f>
        <x:v>0</x:v>
      </x:c>
      <x:c r="AJ62" s="107" t="n">
        <x:f>AJ60*AJ61/1000</x:f>
        <x:v>0</x:v>
      </x:c>
      <x:c r="AK62" s="107" t="n">
        <x:f>AK60*AK61/1000</x:f>
        <x:v>0</x:v>
      </x:c>
      <x:c r="AL62" s="107" t="n">
        <x:f>AL60*AL61/1000</x:f>
        <x:v>0</x:v>
      </x:c>
      <x:c r="AM62" s="107" t="n">
        <x:f>AM60*AM61/1000</x:f>
        <x:v>0</x:v>
      </x:c>
      <x:c r="AN62" s="107" t="n">
        <x:f>AN60*AN61/1000</x:f>
        <x:v>0</x:v>
      </x:c>
      <x:c r="AO62" s="107" t="n">
        <x:f>AO60*AO61/1000</x:f>
        <x:v>0</x:v>
      </x:c>
      <x:c r="AP62" s="107" t="n">
        <x:f>AP60*AP61/1000</x:f>
        <x:v>0</x:v>
      </x:c>
      <x:c r="AQ62" s="107" t="n">
        <x:f>AQ60*AQ61/1000</x:f>
        <x:v>0</x:v>
      </x:c>
      <x:c r="AR62" s="107" t="n">
        <x:f>AR60*AR61/1000</x:f>
        <x:v>0</x:v>
      </x:c>
      <x:c r="AS62" s="107" t="n">
        <x:f>AS60*AS61/1000</x:f>
        <x:v>0</x:v>
      </x:c>
      <x:c r="AT62" s="107" t="n">
        <x:f>AT60*AT61/1000</x:f>
        <x:v>0</x:v>
      </x:c>
      <x:c r="AU62" s="107" t="n">
        <x:f>AU60*AU61/1000</x:f>
        <x:v>0</x:v>
      </x:c>
      <x:c r="AV62" s="107" t="n">
        <x:f>AV60*AV61/1000</x:f>
        <x:v>0</x:v>
      </x:c>
      <x:c r="AW62" s="107" t="n">
        <x:f>AW60*AW61/1000</x:f>
        <x:v>0</x:v>
      </x:c>
      <x:c r="AX62" s="107" t="n">
        <x:f>AX60*AX61/1000</x:f>
        <x:v>0</x:v>
      </x:c>
      <x:c r="AY62" s="107" t="n">
        <x:f>AY60*AY61/1000</x:f>
        <x:v>0</x:v>
      </x:c>
      <x:c r="AZ62" s="107" t="n">
        <x:f>AZ60*AZ61/1000</x:f>
        <x:v>0</x:v>
      </x:c>
      <x:c r="BA62" s="107" t="n">
        <x:f>BA60*BA61/1000</x:f>
        <x:v>0</x:v>
      </x:c>
      <x:c r="BB62" s="107" t="n">
        <x:f>BB60*BB61/1000</x:f>
        <x:v>0</x:v>
      </x:c>
      <x:c r="BC62" s="107" t="n">
        <x:f>BC60*BC61/1000</x:f>
        <x:v>0</x:v>
      </x:c>
      <x:c r="BD62" s="107" t="n">
        <x:f>BD60*BD61/1000</x:f>
        <x:v>0</x:v>
      </x:c>
      <x:c r="BE62" s="107" t="n">
        <x:f>BE60*BE61/1000</x:f>
        <x:v>0</x:v>
      </x:c>
      <x:c r="BF62" s="107" t="n">
        <x:f>BF60*BF61/1000</x:f>
        <x:v>0</x:v>
      </x:c>
      <x:c r="BG62" s="107" t="n">
        <x:f>BG60*BG61/1000</x:f>
        <x:v>0</x:v>
      </x:c>
      <x:c r="BH62" s="107" t="n">
        <x:f>BH60*BH61/1000</x:f>
        <x:v>0</x:v>
      </x:c>
      <x:c r="BI62" s="107" t="n">
        <x:f>BI60*BI61/1000</x:f>
        <x:v>0</x:v>
      </x:c>
      <x:c r="BJ62" s="107" t="n">
        <x:f>BJ60*BJ61/1000</x:f>
        <x:v>0</x:v>
      </x:c>
      <x:c r="BK62" s="107" t="n">
        <x:f>BK60*BK61/1000</x:f>
        <x:v>0</x:v>
      </x:c>
      <x:c r="BL62" s="107" t="n">
        <x:f>BL60*BL61/1000</x:f>
        <x:v>0</x:v>
      </x:c>
      <x:c r="BM62" s="107" t="n">
        <x:f>BM60*BM61/1000</x:f>
        <x:v>0</x:v>
      </x:c>
      <x:c r="BN62" s="107" t="n">
        <x:f>BN60*BN61/1000</x:f>
        <x:v>0</x:v>
      </x:c>
      <x:c r="BO62" s="107" t="n">
        <x:f>BO60*BO61/1000</x:f>
        <x:v>0</x:v>
      </x:c>
      <x:c r="BP62" s="107" t="n">
        <x:f>BP60*BP61/1000</x:f>
        <x:v>0</x:v>
      </x:c>
      <x:c r="BQ62" s="107" t="n">
        <x:f>BQ60*BQ61/1000</x:f>
        <x:v>0</x:v>
      </x:c>
      <x:c r="BR62" s="107" t="n">
        <x:f>BR60*BR61/1000</x:f>
        <x:v>0</x:v>
      </x:c>
      <x:c r="BS62" s="107" t="n">
        <x:f>BS60*BS61/1000</x:f>
        <x:v>0</x:v>
      </x:c>
      <x:c r="BT62" s="107" t="n">
        <x:f>BT60*BT61/1000</x:f>
        <x:v>0</x:v>
      </x:c>
      <x:c r="BU62" s="107" t="n">
        <x:f>BU60*BU61/1000</x:f>
        <x:v>0</x:v>
      </x:c>
      <x:c r="BV62" s="107" t="n">
        <x:f>BV60*BV61/1000</x:f>
        <x:v>0</x:v>
      </x:c>
      <x:c r="BW62" s="107" t="n">
        <x:f>BW60*BW61/1000</x:f>
        <x:v>0</x:v>
      </x:c>
      <x:c r="BX62" s="107" t="n">
        <x:f>BX60*BX61/1000</x:f>
        <x:v>0</x:v>
      </x:c>
      <x:c r="BY62" s="107" t="n">
        <x:f>BY60*BY61/1000</x:f>
        <x:v>0</x:v>
      </x:c>
      <x:c r="BZ62" s="107" t="n">
        <x:f>BZ60*BZ61/1000</x:f>
        <x:v>0</x:v>
      </x:c>
      <x:c r="CA62" s="107" t="n">
        <x:f>CA60*CA61/1000</x:f>
        <x:v>0</x:v>
      </x:c>
      <x:c r="CB62" s="107" t="n">
        <x:f>CB60*CB61/1000</x:f>
        <x:v>0</x:v>
      </x:c>
      <x:c r="CC62" s="107" t="n">
        <x:f>CC60*CC61/1000</x:f>
        <x:v>0</x:v>
      </x:c>
      <x:c r="CD62" s="107" t="n">
        <x:f>CD60*CD61/1000</x:f>
        <x:v>0</x:v>
      </x:c>
      <x:c r="CE62" s="107" t="n">
        <x:f>CE60*CE61/1000</x:f>
        <x:v>0</x:v>
      </x:c>
      <x:c r="CF62" s="107" t="n">
        <x:f>CF60*CF61/1000</x:f>
        <x:v>0</x:v>
      </x:c>
      <x:c r="CG62" s="107" t="n">
        <x:f>CG60*CG61/1000</x:f>
        <x:v>0</x:v>
      </x:c>
      <x:c r="CH62" s="107" t="n">
        <x:f>CH60*CH61/1000</x:f>
        <x:v>0</x:v>
      </x:c>
      <x:c r="CI62" s="107" t="n">
        <x:f>CI60*CI61/1000</x:f>
        <x:v>0</x:v>
      </x:c>
      <x:c r="CJ62" s="107" t="n">
        <x:f>CJ60*CJ61/1000</x:f>
        <x:v>0</x:v>
      </x:c>
      <x:c r="CK62" s="107" t="n">
        <x:f>CK60*CK61/1000</x:f>
        <x:v>0</x:v>
      </x:c>
      <x:c r="CL62" s="107" t="n">
        <x:f>CL60*CL61/1000</x:f>
        <x:v>0</x:v>
      </x:c>
      <x:c r="CM62" s="107" t="n">
        <x:f>CM60*CM61/1000</x:f>
        <x:v>0</x:v>
      </x:c>
      <x:c r="CN62" s="107" t="n">
        <x:f>CN60*CN61/1000</x:f>
        <x:v>0</x:v>
      </x:c>
      <x:c r="CO62" s="107" t="n">
        <x:f>CO60*CO61/1000</x:f>
        <x:v>0</x:v>
      </x:c>
      <x:c r="CP62" s="107" t="n">
        <x:f>CP60*CP61/1000</x:f>
        <x:v>0</x:v>
      </x:c>
      <x:c r="CQ62" s="107" t="n">
        <x:f>CQ60*CQ61/1000</x:f>
        <x:v>0</x:v>
      </x:c>
      <x:c r="CR62" s="107" t="n">
        <x:f>CR60*CR61/1000</x:f>
        <x:v>0</x:v>
      </x:c>
      <x:c r="CS62" s="107" t="n">
        <x:f>CS60*CS61/1000</x:f>
        <x:v>0</x:v>
      </x:c>
      <x:c r="CT62" s="107" t="n">
        <x:f>CT60*CT61/1000</x:f>
        <x:v>0</x:v>
      </x:c>
      <x:c r="CU62" s="107" t="n">
        <x:f>CU60*CU61/1000</x:f>
        <x:v>0</x:v>
      </x:c>
      <x:c r="CV62" s="107" t="n">
        <x:f>CV60*CV61/1000</x:f>
        <x:v>0</x:v>
      </x:c>
      <x:c r="CW62" s="107" t="n">
        <x:f>CW60*CW61/1000</x:f>
        <x:v>0</x:v>
      </x:c>
      <x:c r="CX62" s="107" t="n">
        <x:f>CX60*CX61/1000</x:f>
        <x:v>0</x:v>
      </x:c>
      <x:c r="CY62" s="107" t="n">
        <x:f>CY60*CY61/1000</x:f>
        <x:v>0</x:v>
      </x:c>
      <x:c r="CZ62" s="107" t="n">
        <x:f>CZ60*CZ61/1000</x:f>
        <x:v>0</x:v>
      </x:c>
      <x:c r="DA62" s="107" t="n">
        <x:f>DA60*DA61/1000</x:f>
        <x:v>0</x:v>
      </x:c>
      <x:c r="DB62" s="107" t="n">
        <x:f>DB60*DB61/1000</x:f>
        <x:v>0</x:v>
      </x:c>
      <x:c r="DC62" s="107" t="n">
        <x:f>DC60*DC61/1000</x:f>
        <x:v>0</x:v>
      </x:c>
      <x:c r="DD62" s="107" t="n">
        <x:f>DD60*DD61/1000</x:f>
        <x:v>0</x:v>
      </x:c>
      <x:c r="DE62" s="107" t="n">
        <x:f>DE60*DE61/1000</x:f>
        <x:v>0</x:v>
      </x:c>
      <x:c r="DF62" s="107" t="n">
        <x:f>DF60*DF61/1000</x:f>
        <x:v>0</x:v>
      </x:c>
      <x:c r="DG62" s="107" t="n">
        <x:f>DG60*DG61/1000</x:f>
        <x:v>0</x:v>
      </x:c>
      <x:c r="DH62" s="107" t="n">
        <x:f>DH60*DH61/1000</x:f>
        <x:v>0</x:v>
      </x:c>
      <x:c r="DI62" s="107" t="n">
        <x:f>DI60*DI61/1000</x:f>
        <x:v>0</x:v>
      </x:c>
      <x:c r="DJ62" s="107" t="n">
        <x:f>DJ60*DJ61/1000</x:f>
        <x:v>0</x:v>
      </x:c>
      <x:c r="DK62" s="107" t="n">
        <x:f>DK60*DK61/1000</x:f>
        <x:v>0</x:v>
      </x:c>
      <x:c r="DL62" s="107" t="n">
        <x:f>DL60*DL61/1000</x:f>
        <x:v>0</x:v>
      </x:c>
      <x:c r="DM62" s="107" t="n">
        <x:f>DM60*DM61/1000</x:f>
        <x:v>0</x:v>
      </x:c>
      <x:c r="DN62" s="107" t="n">
        <x:f>DN60*DN61/1000</x:f>
        <x:v>0</x:v>
      </x:c>
      <x:c r="DO62" s="107" t="n">
        <x:f>DO60*DO61/1000</x:f>
        <x:v>0</x:v>
      </x:c>
      <x:c r="DP62" s="107" t="n">
        <x:f>DP60*DP61/1000</x:f>
        <x:v>0</x:v>
      </x:c>
      <x:c r="DQ62" s="107" t="n">
        <x:f>DQ60*DQ61/1000</x:f>
        <x:v>0</x:v>
      </x:c>
      <x:c r="DR62" s="107" t="n">
        <x:f>DR60*DR61/1000</x:f>
        <x:v>0</x:v>
      </x:c>
      <x:c r="DS62" s="107" t="n">
        <x:f>DS60*DS61/1000</x:f>
        <x:v>0</x:v>
      </x:c>
    </x:row>
    <x:row r="63">
      <x:c r="A63" t="str">
        <x:v>Коммерция — объём</x:v>
      </x:c>
      <x:c r="B63" t="n">
        <x:f>SUM(D63:DS63)</x:f>
        <x:v>0</x:v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  <x:v>0</x:v>
      </x:c>
      <x:c r="E63" s="107" t="n">
        <x:f>'Вводные'!$M$90*((IF(SUM($D55:$DS55)=0,0,IF(SUM($D58:$DS58)=0,1,'Вводные'!$B$63)))*E57+(1-(IF(SUM($D55:$DS55)=0,0,IF(SUM($D58:$DS58)=0,1,'Вводные'!$B$63))))*E59)</x:f>
        <x:v>0</x:v>
      </x:c>
      <x:c r="F63" s="107" t="n">
        <x:f>'Вводные'!$M$90*((IF(SUM($D55:$DS55)=0,0,IF(SUM($D58:$DS58)=0,1,'Вводные'!$B$63)))*F57+(1-(IF(SUM($D55:$DS55)=0,0,IF(SUM($D58:$DS58)=0,1,'Вводные'!$B$63))))*F59)</x:f>
        <x:v>0</x:v>
      </x:c>
      <x:c r="G63" s="107" t="n">
        <x:f>'Вводные'!$M$90*((IF(SUM($D55:$DS55)=0,0,IF(SUM($D58:$DS58)=0,1,'Вводные'!$B$63)))*G57+(1-(IF(SUM($D55:$DS55)=0,0,IF(SUM($D58:$DS58)=0,1,'Вводные'!$B$63))))*G59)</x:f>
        <x:v>0</x:v>
      </x:c>
      <x:c r="H63" s="107" t="n">
        <x:f>'Вводные'!$M$90*((IF(SUM($D55:$DS55)=0,0,IF(SUM($D58:$DS58)=0,1,'Вводные'!$B$63)))*H57+(1-(IF(SUM($D55:$DS55)=0,0,IF(SUM($D58:$DS58)=0,1,'Вводные'!$B$63))))*H59)</x:f>
        <x:v>0</x:v>
      </x:c>
      <x:c r="I63" s="107" t="n">
        <x:f>'Вводные'!$M$90*((IF(SUM($D55:$DS55)=0,0,IF(SUM($D58:$DS58)=0,1,'Вводные'!$B$63)))*I57+(1-(IF(SUM($D55:$DS55)=0,0,IF(SUM($D58:$DS58)=0,1,'Вводные'!$B$63))))*I59)</x:f>
        <x:v>0</x:v>
      </x:c>
      <x:c r="J63" s="107" t="n">
        <x:f>'Вводные'!$M$90*((IF(SUM($D55:$DS55)=0,0,IF(SUM($D58:$DS58)=0,1,'Вводные'!$B$63)))*J57+(1-(IF(SUM($D55:$DS55)=0,0,IF(SUM($D58:$DS58)=0,1,'Вводные'!$B$63))))*J59)</x:f>
        <x:v>0</x:v>
      </x:c>
      <x:c r="K63" s="107" t="n">
        <x:f>'Вводные'!$M$90*((IF(SUM($D55:$DS55)=0,0,IF(SUM($D58:$DS58)=0,1,'Вводные'!$B$63)))*K57+(1-(IF(SUM($D55:$DS55)=0,0,IF(SUM($D58:$DS58)=0,1,'Вводные'!$B$63))))*K59)</x:f>
        <x:v>0</x:v>
      </x:c>
      <x:c r="L63" s="107" t="n">
        <x:f>'Вводные'!$M$90*((IF(SUM($D55:$DS55)=0,0,IF(SUM($D58:$DS58)=0,1,'Вводные'!$B$63)))*L57+(1-(IF(SUM($D55:$DS55)=0,0,IF(SUM($D58:$DS58)=0,1,'Вводные'!$B$63))))*L59)</x:f>
        <x:v>0</x:v>
      </x:c>
      <x:c r="M63" s="107" t="n">
        <x:f>'Вводные'!$M$90*((IF(SUM($D55:$DS55)=0,0,IF(SUM($D58:$DS58)=0,1,'Вводные'!$B$63)))*M57+(1-(IF(SUM($D55:$DS55)=0,0,IF(SUM($D58:$DS58)=0,1,'Вводные'!$B$63))))*M59)</x:f>
        <x:v>0</x:v>
      </x:c>
      <x:c r="N63" s="107" t="n">
        <x:f>'Вводные'!$M$90*((IF(SUM($D55:$DS55)=0,0,IF(SUM($D58:$DS58)=0,1,'Вводные'!$B$63)))*N57+(1-(IF(SUM($D55:$DS55)=0,0,IF(SUM($D58:$DS58)=0,1,'Вводные'!$B$63))))*N59)</x:f>
        <x:v>0</x:v>
      </x:c>
      <x:c r="O63" s="107" t="n">
        <x:f>'Вводные'!$M$90*((IF(SUM($D55:$DS55)=0,0,IF(SUM($D58:$DS58)=0,1,'Вводные'!$B$63)))*O57+(1-(IF(SUM($D55:$DS55)=0,0,IF(SUM($D58:$DS58)=0,1,'Вводные'!$B$63))))*O59)</x:f>
        <x:v>0</x:v>
      </x:c>
      <x:c r="P63" s="107" t="n">
        <x:f>'Вводные'!$M$90*((IF(SUM($D55:$DS55)=0,0,IF(SUM($D58:$DS58)=0,1,'Вводные'!$B$63)))*P57+(1-(IF(SUM($D55:$DS55)=0,0,IF(SUM($D58:$DS58)=0,1,'Вводные'!$B$63))))*P59)</x:f>
        <x:v>0</x:v>
      </x:c>
      <x:c r="Q63" s="107" t="n">
        <x:f>'Вводные'!$M$90*((IF(SUM($D55:$DS55)=0,0,IF(SUM($D58:$DS58)=0,1,'Вводные'!$B$63)))*Q57+(1-(IF(SUM($D55:$DS55)=0,0,IF(SUM($D58:$DS58)=0,1,'Вводные'!$B$63))))*Q59)</x:f>
        <x:v>0</x:v>
      </x:c>
      <x:c r="R63" s="107" t="n">
        <x:f>'Вводные'!$M$90*((IF(SUM($D55:$DS55)=0,0,IF(SUM($D58:$DS58)=0,1,'Вводные'!$B$63)))*R57+(1-(IF(SUM($D55:$DS55)=0,0,IF(SUM($D58:$DS58)=0,1,'Вводные'!$B$63))))*R59)</x:f>
        <x:v>0</x:v>
      </x:c>
      <x:c r="S63" s="107" t="n">
        <x:f>'Вводные'!$M$90*((IF(SUM($D55:$DS55)=0,0,IF(SUM($D58:$DS58)=0,1,'Вводные'!$B$63)))*S57+(1-(IF(SUM($D55:$DS55)=0,0,IF(SUM($D58:$DS58)=0,1,'Вводные'!$B$63))))*S59)</x:f>
        <x:v>0</x:v>
      </x:c>
      <x:c r="T63" s="107" t="n">
        <x:f>'Вводные'!$M$90*((IF(SUM($D55:$DS55)=0,0,IF(SUM($D58:$DS58)=0,1,'Вводные'!$B$63)))*T57+(1-(IF(SUM($D55:$DS55)=0,0,IF(SUM($D58:$DS58)=0,1,'Вводные'!$B$63))))*T59)</x:f>
        <x:v>0</x:v>
      </x:c>
      <x:c r="U63" s="107" t="n">
        <x:f>'Вводные'!$M$90*((IF(SUM($D55:$DS55)=0,0,IF(SUM($D58:$DS58)=0,1,'Вводные'!$B$63)))*U57+(1-(IF(SUM($D55:$DS55)=0,0,IF(SUM($D58:$DS58)=0,1,'Вводные'!$B$63))))*U59)</x:f>
        <x:v>0</x:v>
      </x:c>
      <x:c r="V63" s="107" t="n">
        <x:f>'Вводные'!$M$90*((IF(SUM($D55:$DS55)=0,0,IF(SUM($D58:$DS58)=0,1,'Вводные'!$B$63)))*V57+(1-(IF(SUM($D55:$DS55)=0,0,IF(SUM($D58:$DS58)=0,1,'Вводные'!$B$63))))*V59)</x:f>
        <x:v>0</x:v>
      </x:c>
      <x:c r="W63" s="107" t="n">
        <x:f>'Вводные'!$M$90*((IF(SUM($D55:$DS55)=0,0,IF(SUM($D58:$DS58)=0,1,'Вводные'!$B$63)))*W57+(1-(IF(SUM($D55:$DS55)=0,0,IF(SUM($D58:$DS58)=0,1,'Вводные'!$B$63))))*W59)</x:f>
        <x:v>0</x:v>
      </x:c>
      <x:c r="X63" s="107" t="n">
        <x:f>'Вводные'!$M$90*((IF(SUM($D55:$DS55)=0,0,IF(SUM($D58:$DS58)=0,1,'Вводные'!$B$63)))*X57+(1-(IF(SUM($D55:$DS55)=0,0,IF(SUM($D58:$DS58)=0,1,'Вводные'!$B$63))))*X59)</x:f>
        <x:v>0</x:v>
      </x:c>
      <x:c r="Y63" s="107" t="n">
        <x:f>'Вводные'!$M$90*((IF(SUM($D55:$DS55)=0,0,IF(SUM($D58:$DS58)=0,1,'Вводные'!$B$63)))*Y57+(1-(IF(SUM($D55:$DS55)=0,0,IF(SUM($D58:$DS58)=0,1,'Вводные'!$B$63))))*Y59)</x:f>
        <x:v>0</x:v>
      </x:c>
      <x:c r="Z63" s="107" t="n">
        <x:f>'Вводные'!$M$90*((IF(SUM($D55:$DS55)=0,0,IF(SUM($D58:$DS58)=0,1,'Вводные'!$B$63)))*Z57+(1-(IF(SUM($D55:$DS55)=0,0,IF(SUM($D58:$DS58)=0,1,'Вводные'!$B$63))))*Z59)</x:f>
        <x:v>0</x:v>
      </x:c>
      <x:c r="AA63" s="107" t="n">
        <x:f>'Вводные'!$M$90*((IF(SUM($D55:$DS55)=0,0,IF(SUM($D58:$DS58)=0,1,'Вводные'!$B$63)))*AA57+(1-(IF(SUM($D55:$DS55)=0,0,IF(SUM($D58:$DS58)=0,1,'Вводные'!$B$63))))*AA59)</x:f>
        <x:v>0</x:v>
      </x:c>
      <x:c r="AB63" s="107" t="n">
        <x:f>'Вводные'!$M$90*((IF(SUM($D55:$DS55)=0,0,IF(SUM($D58:$DS58)=0,1,'Вводные'!$B$63)))*AB57+(1-(IF(SUM($D55:$DS55)=0,0,IF(SUM($D58:$DS58)=0,1,'Вводные'!$B$63))))*AB59)</x:f>
        <x:v>0</x:v>
      </x:c>
      <x:c r="AC63" s="107" t="n">
        <x:f>'Вводные'!$M$90*((IF(SUM($D55:$DS55)=0,0,IF(SUM($D58:$DS58)=0,1,'Вводные'!$B$63)))*AC57+(1-(IF(SUM($D55:$DS55)=0,0,IF(SUM($D58:$DS58)=0,1,'Вводные'!$B$63))))*AC59)</x:f>
        <x:v>0</x:v>
      </x:c>
      <x:c r="AD63" s="107" t="n">
        <x:f>'Вводные'!$M$90*((IF(SUM($D55:$DS55)=0,0,IF(SUM($D58:$DS58)=0,1,'Вводные'!$B$63)))*AD57+(1-(IF(SUM($D55:$DS55)=0,0,IF(SUM($D58:$DS58)=0,1,'Вводные'!$B$63))))*AD59)</x:f>
        <x:v>0</x:v>
      </x:c>
      <x:c r="AE63" s="107" t="n">
        <x:f>'Вводные'!$M$90*((IF(SUM($D55:$DS55)=0,0,IF(SUM($D58:$DS58)=0,1,'Вводные'!$B$63)))*AE57+(1-(IF(SUM($D55:$DS55)=0,0,IF(SUM($D58:$DS58)=0,1,'Вводные'!$B$63))))*AE59)</x:f>
        <x:v>0</x:v>
      </x:c>
      <x:c r="AF63" s="107" t="n">
        <x:f>'Вводные'!$M$90*((IF(SUM($D55:$DS55)=0,0,IF(SUM($D58:$DS58)=0,1,'Вводные'!$B$63)))*AF57+(1-(IF(SUM($D55:$DS55)=0,0,IF(SUM($D58:$DS58)=0,1,'Вводные'!$B$63))))*AF59)</x:f>
        <x:v>0</x:v>
      </x:c>
      <x:c r="AG63" s="107" t="n">
        <x:f>'Вводные'!$M$90*((IF(SUM($D55:$DS55)=0,0,IF(SUM($D58:$DS58)=0,1,'Вводные'!$B$63)))*AG57+(1-(IF(SUM($D55:$DS55)=0,0,IF(SUM($D58:$DS58)=0,1,'Вводные'!$B$63))))*AG59)</x:f>
        <x:v>0</x:v>
      </x:c>
      <x:c r="AH63" s="107" t="n">
        <x:f>'Вводные'!$M$90*((IF(SUM($D55:$DS55)=0,0,IF(SUM($D58:$DS58)=0,1,'Вводные'!$B$63)))*AH57+(1-(IF(SUM($D55:$DS55)=0,0,IF(SUM($D58:$DS58)=0,1,'Вводные'!$B$63))))*AH59)</x:f>
        <x:v>0</x:v>
      </x:c>
      <x:c r="AI63" s="107" t="n">
        <x:f>'Вводные'!$M$90*((IF(SUM($D55:$DS55)=0,0,IF(SUM($D58:$DS58)=0,1,'Вводные'!$B$63)))*AI57+(1-(IF(SUM($D55:$DS55)=0,0,IF(SUM($D58:$DS58)=0,1,'Вводные'!$B$63))))*AI59)</x:f>
        <x:v>0</x:v>
      </x:c>
      <x:c r="AJ63" s="107" t="n">
        <x:f>'Вводные'!$M$90*((IF(SUM($D55:$DS55)=0,0,IF(SUM($D58:$DS58)=0,1,'Вводные'!$B$63)))*AJ57+(1-(IF(SUM($D55:$DS55)=0,0,IF(SUM($D58:$DS58)=0,1,'Вводные'!$B$63))))*AJ59)</x:f>
        <x:v>0</x:v>
      </x:c>
      <x:c r="AK63" s="107" t="n">
        <x:f>'Вводные'!$M$90*((IF(SUM($D55:$DS55)=0,0,IF(SUM($D58:$DS58)=0,1,'Вводные'!$B$63)))*AK57+(1-(IF(SUM($D55:$DS55)=0,0,IF(SUM($D58:$DS58)=0,1,'Вводные'!$B$63))))*AK59)</x:f>
        <x:v>0</x:v>
      </x:c>
      <x:c r="AL63" s="107" t="n">
        <x:f>'Вводные'!$M$90*((IF(SUM($D55:$DS55)=0,0,IF(SUM($D58:$DS58)=0,1,'Вводные'!$B$63)))*AL57+(1-(IF(SUM($D55:$DS55)=0,0,IF(SUM($D58:$DS58)=0,1,'Вводные'!$B$63))))*AL59)</x:f>
        <x:v>0</x:v>
      </x:c>
      <x:c r="AM63" s="107" t="n">
        <x:f>'Вводные'!$M$90*((IF(SUM($D55:$DS55)=0,0,IF(SUM($D58:$DS58)=0,1,'Вводные'!$B$63)))*AM57+(1-(IF(SUM($D55:$DS55)=0,0,IF(SUM($D58:$DS58)=0,1,'Вводные'!$B$63))))*AM59)</x:f>
        <x:v>0</x:v>
      </x:c>
      <x:c r="AN63" s="107" t="n">
        <x:f>'Вводные'!$M$90*((IF(SUM($D55:$DS55)=0,0,IF(SUM($D58:$DS58)=0,1,'Вводные'!$B$63)))*AN57+(1-(IF(SUM($D55:$DS55)=0,0,IF(SUM($D58:$DS58)=0,1,'Вводные'!$B$63))))*AN59)</x:f>
        <x:v>0</x:v>
      </x:c>
      <x:c r="AO63" s="107" t="n">
        <x:f>'Вводные'!$M$90*((IF(SUM($D55:$DS55)=0,0,IF(SUM($D58:$DS58)=0,1,'Вводные'!$B$63)))*AO57+(1-(IF(SUM($D55:$DS55)=0,0,IF(SUM($D58:$DS58)=0,1,'Вводные'!$B$63))))*AO59)</x:f>
        <x:v>0</x:v>
      </x:c>
      <x:c r="AP63" s="107" t="n">
        <x:f>'Вводные'!$M$90*((IF(SUM($D55:$DS55)=0,0,IF(SUM($D58:$DS58)=0,1,'Вводные'!$B$63)))*AP57+(1-(IF(SUM($D55:$DS55)=0,0,IF(SUM($D58:$DS58)=0,1,'Вводные'!$B$63))))*AP59)</x:f>
        <x:v>0</x:v>
      </x:c>
      <x:c r="AQ63" s="107" t="n">
        <x:f>'Вводные'!$M$90*((IF(SUM($D55:$DS55)=0,0,IF(SUM($D58:$DS58)=0,1,'Вводные'!$B$63)))*AQ57+(1-(IF(SUM($D55:$DS55)=0,0,IF(SUM($D58:$DS58)=0,1,'Вводные'!$B$63))))*AQ59)</x:f>
        <x:v>0</x:v>
      </x:c>
      <x:c r="AR63" s="107" t="n">
        <x:f>'Вводные'!$M$90*((IF(SUM($D55:$DS55)=0,0,IF(SUM($D58:$DS58)=0,1,'Вводные'!$B$63)))*AR57+(1-(IF(SUM($D55:$DS55)=0,0,IF(SUM($D58:$DS58)=0,1,'Вводные'!$B$63))))*AR59)</x:f>
        <x:v>0</x:v>
      </x:c>
      <x:c r="AS63" s="107" t="n">
        <x:f>'Вводные'!$M$90*((IF(SUM($D55:$DS55)=0,0,IF(SUM($D58:$DS58)=0,1,'Вводные'!$B$63)))*AS57+(1-(IF(SUM($D55:$DS55)=0,0,IF(SUM($D58:$DS58)=0,1,'Вводные'!$B$63))))*AS59)</x:f>
        <x:v>0</x:v>
      </x:c>
      <x:c r="AT63" s="107" t="n">
        <x:f>'Вводные'!$M$90*((IF(SUM($D55:$DS55)=0,0,IF(SUM($D58:$DS58)=0,1,'Вводные'!$B$63)))*AT57+(1-(IF(SUM($D55:$DS55)=0,0,IF(SUM($D58:$DS58)=0,1,'Вводные'!$B$63))))*AT59)</x:f>
        <x:v>0</x:v>
      </x:c>
      <x:c r="AU63" s="107" t="n">
        <x:f>'Вводные'!$M$90*((IF(SUM($D55:$DS55)=0,0,IF(SUM($D58:$DS58)=0,1,'Вводные'!$B$63)))*AU57+(1-(IF(SUM($D55:$DS55)=0,0,IF(SUM($D58:$DS58)=0,1,'Вводные'!$B$63))))*AU59)</x:f>
        <x:v>0</x:v>
      </x:c>
      <x:c r="AV63" s="107" t="n">
        <x:f>'Вводные'!$M$90*((IF(SUM($D55:$DS55)=0,0,IF(SUM($D58:$DS58)=0,1,'Вводные'!$B$63)))*AV57+(1-(IF(SUM($D55:$DS55)=0,0,IF(SUM($D58:$DS58)=0,1,'Вводные'!$B$63))))*AV59)</x:f>
        <x:v>0</x:v>
      </x:c>
      <x:c r="AW63" s="107" t="n">
        <x:f>'Вводные'!$M$90*((IF(SUM($D55:$DS55)=0,0,IF(SUM($D58:$DS58)=0,1,'Вводные'!$B$63)))*AW57+(1-(IF(SUM($D55:$DS55)=0,0,IF(SUM($D58:$DS58)=0,1,'Вводные'!$B$63))))*AW59)</x:f>
        <x:v>0</x:v>
      </x:c>
      <x:c r="AX63" s="107" t="n">
        <x:f>'Вводные'!$M$90*((IF(SUM($D55:$DS55)=0,0,IF(SUM($D58:$DS58)=0,1,'Вводные'!$B$63)))*AX57+(1-(IF(SUM($D55:$DS55)=0,0,IF(SUM($D58:$DS58)=0,1,'Вводные'!$B$63))))*AX59)</x:f>
        <x:v>0</x:v>
      </x:c>
      <x:c r="AY63" s="107" t="n">
        <x:f>'Вводные'!$M$90*((IF(SUM($D55:$DS55)=0,0,IF(SUM($D58:$DS58)=0,1,'Вводные'!$B$63)))*AY57+(1-(IF(SUM($D55:$DS55)=0,0,IF(SUM($D58:$DS58)=0,1,'Вводные'!$B$63))))*AY59)</x:f>
        <x:v>0</x:v>
      </x:c>
      <x:c r="AZ63" s="107" t="n">
        <x:f>'Вводные'!$M$90*((IF(SUM($D55:$DS55)=0,0,IF(SUM($D58:$DS58)=0,1,'Вводные'!$B$63)))*AZ57+(1-(IF(SUM($D55:$DS55)=0,0,IF(SUM($D58:$DS58)=0,1,'Вводные'!$B$63))))*AZ59)</x:f>
        <x:v>0</x:v>
      </x:c>
      <x:c r="BA63" s="107" t="n">
        <x:f>'Вводные'!$M$90*((IF(SUM($D55:$DS55)=0,0,IF(SUM($D58:$DS58)=0,1,'Вводные'!$B$63)))*BA57+(1-(IF(SUM($D55:$DS55)=0,0,IF(SUM($D58:$DS58)=0,1,'Вводные'!$B$63))))*BA59)</x:f>
        <x:v>0</x:v>
      </x:c>
      <x:c r="BB63" s="107" t="n">
        <x:f>'Вводные'!$M$90*((IF(SUM($D55:$DS55)=0,0,IF(SUM($D58:$DS58)=0,1,'Вводные'!$B$63)))*BB57+(1-(IF(SUM($D55:$DS55)=0,0,IF(SUM($D58:$DS58)=0,1,'Вводные'!$B$63))))*BB59)</x:f>
        <x:v>0</x:v>
      </x:c>
      <x:c r="BC63" s="107" t="n">
        <x:f>'Вводные'!$M$90*((IF(SUM($D55:$DS55)=0,0,IF(SUM($D58:$DS58)=0,1,'Вводные'!$B$63)))*BC57+(1-(IF(SUM($D55:$DS55)=0,0,IF(SUM($D58:$DS58)=0,1,'Вводные'!$B$63))))*BC59)</x:f>
        <x:v>0</x:v>
      </x:c>
      <x:c r="BD63" s="107" t="n">
        <x:f>'Вводные'!$M$90*((IF(SUM($D55:$DS55)=0,0,IF(SUM($D58:$DS58)=0,1,'Вводные'!$B$63)))*BD57+(1-(IF(SUM($D55:$DS55)=0,0,IF(SUM($D58:$DS58)=0,1,'Вводные'!$B$63))))*BD59)</x:f>
        <x:v>0</x:v>
      </x:c>
      <x:c r="BE63" s="107" t="n">
        <x:f>'Вводные'!$M$90*((IF(SUM($D55:$DS55)=0,0,IF(SUM($D58:$DS58)=0,1,'Вводные'!$B$63)))*BE57+(1-(IF(SUM($D55:$DS55)=0,0,IF(SUM($D58:$DS58)=0,1,'Вводные'!$B$63))))*BE59)</x:f>
        <x:v>0</x:v>
      </x:c>
      <x:c r="BF63" s="107" t="n">
        <x:f>'Вводные'!$M$90*((IF(SUM($D55:$DS55)=0,0,IF(SUM($D58:$DS58)=0,1,'Вводные'!$B$63)))*BF57+(1-(IF(SUM($D55:$DS55)=0,0,IF(SUM($D58:$DS58)=0,1,'Вводные'!$B$63))))*BF59)</x:f>
        <x:v>0</x:v>
      </x:c>
      <x:c r="BG63" s="107" t="n">
        <x:f>'Вводные'!$M$90*((IF(SUM($D55:$DS55)=0,0,IF(SUM($D58:$DS58)=0,1,'Вводные'!$B$63)))*BG57+(1-(IF(SUM($D55:$DS55)=0,0,IF(SUM($D58:$DS58)=0,1,'Вводные'!$B$63))))*BG59)</x:f>
        <x:v>0</x:v>
      </x:c>
      <x:c r="BH63" s="107" t="n">
        <x:f>'Вводные'!$M$90*((IF(SUM($D55:$DS55)=0,0,IF(SUM($D58:$DS58)=0,1,'Вводные'!$B$63)))*BH57+(1-(IF(SUM($D55:$DS55)=0,0,IF(SUM($D58:$DS58)=0,1,'Вводные'!$B$63))))*BH59)</x:f>
        <x:v>0</x:v>
      </x:c>
      <x:c r="BI63" s="107" t="n">
        <x:f>'Вводные'!$M$90*((IF(SUM($D55:$DS55)=0,0,IF(SUM($D58:$DS58)=0,1,'Вводные'!$B$63)))*BI57+(1-(IF(SUM($D55:$DS55)=0,0,IF(SUM($D58:$DS58)=0,1,'Вводные'!$B$63))))*BI59)</x:f>
        <x:v>0</x:v>
      </x:c>
      <x:c r="BJ63" s="107" t="n">
        <x:f>'Вводные'!$M$90*((IF(SUM($D55:$DS55)=0,0,IF(SUM($D58:$DS58)=0,1,'Вводные'!$B$63)))*BJ57+(1-(IF(SUM($D55:$DS55)=0,0,IF(SUM($D58:$DS58)=0,1,'Вводные'!$B$63))))*BJ59)</x:f>
        <x:v>0</x:v>
      </x:c>
      <x:c r="BK63" s="107" t="n">
        <x:f>'Вводные'!$M$90*((IF(SUM($D55:$DS55)=0,0,IF(SUM($D58:$DS58)=0,1,'Вводные'!$B$63)))*BK57+(1-(IF(SUM($D55:$DS55)=0,0,IF(SUM($D58:$DS58)=0,1,'Вводные'!$B$63))))*BK59)</x:f>
        <x:v>0</x:v>
      </x:c>
      <x:c r="BL63" s="107" t="n">
        <x:f>'Вводные'!$M$90*((IF(SUM($D55:$DS55)=0,0,IF(SUM($D58:$DS58)=0,1,'Вводные'!$B$63)))*BL57+(1-(IF(SUM($D55:$DS55)=0,0,IF(SUM($D58:$DS58)=0,1,'Вводные'!$B$63))))*BL59)</x:f>
        <x:v>0</x:v>
      </x:c>
      <x:c r="BM63" s="107" t="n">
        <x:f>'Вводные'!$M$90*((IF(SUM($D55:$DS55)=0,0,IF(SUM($D58:$DS58)=0,1,'Вводные'!$B$63)))*BM57+(1-(IF(SUM($D55:$DS55)=0,0,IF(SUM($D58:$DS58)=0,1,'Вводные'!$B$63))))*BM59)</x:f>
        <x:v>0</x:v>
      </x:c>
      <x:c r="BN63" s="107" t="n">
        <x:f>'Вводные'!$M$90*((IF(SUM($D55:$DS55)=0,0,IF(SUM($D58:$DS58)=0,1,'Вводные'!$B$63)))*BN57+(1-(IF(SUM($D55:$DS55)=0,0,IF(SUM($D58:$DS58)=0,1,'Вводные'!$B$63))))*BN59)</x:f>
        <x:v>0</x:v>
      </x:c>
      <x:c r="BO63" s="107" t="n">
        <x:f>'Вводные'!$M$90*((IF(SUM($D55:$DS55)=0,0,IF(SUM($D58:$DS58)=0,1,'Вводные'!$B$63)))*BO57+(1-(IF(SUM($D55:$DS55)=0,0,IF(SUM($D58:$DS58)=0,1,'Вводные'!$B$63))))*BO59)</x:f>
        <x:v>0</x:v>
      </x:c>
      <x:c r="BP63" s="107" t="n">
        <x:f>'Вводные'!$M$90*((IF(SUM($D55:$DS55)=0,0,IF(SUM($D58:$DS58)=0,1,'Вводные'!$B$63)))*BP57+(1-(IF(SUM($D55:$DS55)=0,0,IF(SUM($D58:$DS58)=0,1,'Вводные'!$B$63))))*BP59)</x:f>
        <x:v>0</x:v>
      </x:c>
      <x:c r="BQ63" s="107" t="n">
        <x:f>'Вводные'!$M$90*((IF(SUM($D55:$DS55)=0,0,IF(SUM($D58:$DS58)=0,1,'Вводные'!$B$63)))*BQ57+(1-(IF(SUM($D55:$DS55)=0,0,IF(SUM($D58:$DS58)=0,1,'Вводные'!$B$63))))*BQ59)</x:f>
        <x:v>0</x:v>
      </x:c>
      <x:c r="BR63" s="107" t="n">
        <x:f>'Вводные'!$M$90*((IF(SUM($D55:$DS55)=0,0,IF(SUM($D58:$DS58)=0,1,'Вводные'!$B$63)))*BR57+(1-(IF(SUM($D55:$DS55)=0,0,IF(SUM($D58:$DS58)=0,1,'Вводные'!$B$63))))*BR59)</x:f>
        <x:v>0</x:v>
      </x:c>
      <x:c r="BS63" s="107" t="n">
        <x:f>'Вводные'!$M$90*((IF(SUM($D55:$DS55)=0,0,IF(SUM($D58:$DS58)=0,1,'Вводные'!$B$63)))*BS57+(1-(IF(SUM($D55:$DS55)=0,0,IF(SUM($D58:$DS58)=0,1,'Вводные'!$B$63))))*BS59)</x:f>
        <x:v>0</x:v>
      </x:c>
      <x:c r="BT63" s="107" t="n">
        <x:f>'Вводные'!$M$90*((IF(SUM($D55:$DS55)=0,0,IF(SUM($D58:$DS58)=0,1,'Вводные'!$B$63)))*BT57+(1-(IF(SUM($D55:$DS55)=0,0,IF(SUM($D58:$DS58)=0,1,'Вводные'!$B$63))))*BT59)</x:f>
        <x:v>0</x:v>
      </x:c>
      <x:c r="BU63" s="107" t="n">
        <x:f>'Вводные'!$M$90*((IF(SUM($D55:$DS55)=0,0,IF(SUM($D58:$DS58)=0,1,'Вводные'!$B$63)))*BU57+(1-(IF(SUM($D55:$DS55)=0,0,IF(SUM($D58:$DS58)=0,1,'Вводные'!$B$63))))*BU59)</x:f>
        <x:v>0</x:v>
      </x:c>
      <x:c r="BV63" s="107" t="n">
        <x:f>'Вводные'!$M$90*((IF(SUM($D55:$DS55)=0,0,IF(SUM($D58:$DS58)=0,1,'Вводные'!$B$63)))*BV57+(1-(IF(SUM($D55:$DS55)=0,0,IF(SUM($D58:$DS58)=0,1,'Вводные'!$B$63))))*BV59)</x:f>
        <x:v>0</x:v>
      </x:c>
      <x:c r="BW63" s="107" t="n">
        <x:f>'Вводные'!$M$90*((IF(SUM($D55:$DS55)=0,0,IF(SUM($D58:$DS58)=0,1,'Вводные'!$B$63)))*BW57+(1-(IF(SUM($D55:$DS55)=0,0,IF(SUM($D58:$DS58)=0,1,'Вводные'!$B$63))))*BW59)</x:f>
        <x:v>0</x:v>
      </x:c>
      <x:c r="BX63" s="107" t="n">
        <x:f>'Вводные'!$M$90*((IF(SUM($D55:$DS55)=0,0,IF(SUM($D58:$DS58)=0,1,'Вводные'!$B$63)))*BX57+(1-(IF(SUM($D55:$DS55)=0,0,IF(SUM($D58:$DS58)=0,1,'Вводные'!$B$63))))*BX59)</x:f>
        <x:v>0</x:v>
      </x:c>
      <x:c r="BY63" s="107" t="n">
        <x:f>'Вводные'!$M$90*((IF(SUM($D55:$DS55)=0,0,IF(SUM($D58:$DS58)=0,1,'Вводные'!$B$63)))*BY57+(1-(IF(SUM($D55:$DS55)=0,0,IF(SUM($D58:$DS58)=0,1,'Вводные'!$B$63))))*BY59)</x:f>
        <x:v>0</x:v>
      </x:c>
      <x:c r="BZ63" s="107" t="n">
        <x:f>'Вводные'!$M$90*((IF(SUM($D55:$DS55)=0,0,IF(SUM($D58:$DS58)=0,1,'Вводные'!$B$63)))*BZ57+(1-(IF(SUM($D55:$DS55)=0,0,IF(SUM($D58:$DS58)=0,1,'Вводные'!$B$63))))*BZ59)</x:f>
        <x:v>0</x:v>
      </x:c>
      <x:c r="CA63" s="107" t="n">
        <x:f>'Вводные'!$M$90*((IF(SUM($D55:$DS55)=0,0,IF(SUM($D58:$DS58)=0,1,'Вводные'!$B$63)))*CA57+(1-(IF(SUM($D55:$DS55)=0,0,IF(SUM($D58:$DS58)=0,1,'Вводные'!$B$63))))*CA59)</x:f>
        <x:v>0</x:v>
      </x:c>
      <x:c r="CB63" s="107" t="n">
        <x:f>'Вводные'!$M$90*((IF(SUM($D55:$DS55)=0,0,IF(SUM($D58:$DS58)=0,1,'Вводные'!$B$63)))*CB57+(1-(IF(SUM($D55:$DS55)=0,0,IF(SUM($D58:$DS58)=0,1,'Вводные'!$B$63))))*CB59)</x:f>
        <x:v>0</x:v>
      </x:c>
      <x:c r="CC63" s="107" t="n">
        <x:f>'Вводные'!$M$90*((IF(SUM($D55:$DS55)=0,0,IF(SUM($D58:$DS58)=0,1,'Вводные'!$B$63)))*CC57+(1-(IF(SUM($D55:$DS55)=0,0,IF(SUM($D58:$DS58)=0,1,'Вводные'!$B$63))))*CC59)</x:f>
        <x:v>0</x:v>
      </x:c>
      <x:c r="CD63" s="107" t="n">
        <x:f>'Вводные'!$M$90*((IF(SUM($D55:$DS55)=0,0,IF(SUM($D58:$DS58)=0,1,'Вводные'!$B$63)))*CD57+(1-(IF(SUM($D55:$DS55)=0,0,IF(SUM($D58:$DS58)=0,1,'Вводные'!$B$63))))*CD59)</x:f>
        <x:v>0</x:v>
      </x:c>
      <x:c r="CE63" s="107" t="n">
        <x:f>'Вводные'!$M$90*((IF(SUM($D55:$DS55)=0,0,IF(SUM($D58:$DS58)=0,1,'Вводные'!$B$63)))*CE57+(1-(IF(SUM($D55:$DS55)=0,0,IF(SUM($D58:$DS58)=0,1,'Вводные'!$B$63))))*CE59)</x:f>
        <x:v>0</x:v>
      </x:c>
      <x:c r="CF63" s="107" t="n">
        <x:f>'Вводные'!$M$90*((IF(SUM($D55:$DS55)=0,0,IF(SUM($D58:$DS58)=0,1,'Вводные'!$B$63)))*CF57+(1-(IF(SUM($D55:$DS55)=0,0,IF(SUM($D58:$DS58)=0,1,'Вводные'!$B$63))))*CF59)</x:f>
        <x:v>0</x:v>
      </x:c>
      <x:c r="CG63" s="107" t="n">
        <x:f>'Вводные'!$M$90*((IF(SUM($D55:$DS55)=0,0,IF(SUM($D58:$DS58)=0,1,'Вводные'!$B$63)))*CG57+(1-(IF(SUM($D55:$DS55)=0,0,IF(SUM($D58:$DS58)=0,1,'Вводные'!$B$63))))*CG59)</x:f>
        <x:v>0</x:v>
      </x:c>
      <x:c r="CH63" s="107" t="n">
        <x:f>'Вводные'!$M$90*((IF(SUM($D55:$DS55)=0,0,IF(SUM($D58:$DS58)=0,1,'Вводные'!$B$63)))*CH57+(1-(IF(SUM($D55:$DS55)=0,0,IF(SUM($D58:$DS58)=0,1,'Вводные'!$B$63))))*CH59)</x:f>
        <x:v>0</x:v>
      </x:c>
      <x:c r="CI63" s="107" t="n">
        <x:f>'Вводные'!$M$90*((IF(SUM($D55:$DS55)=0,0,IF(SUM($D58:$DS58)=0,1,'Вводные'!$B$63)))*CI57+(1-(IF(SUM($D55:$DS55)=0,0,IF(SUM($D58:$DS58)=0,1,'Вводные'!$B$63))))*CI59)</x:f>
        <x:v>0</x:v>
      </x:c>
      <x:c r="CJ63" s="107" t="n">
        <x:f>'Вводные'!$M$90*((IF(SUM($D55:$DS55)=0,0,IF(SUM($D58:$DS58)=0,1,'Вводные'!$B$63)))*CJ57+(1-(IF(SUM($D55:$DS55)=0,0,IF(SUM($D58:$DS58)=0,1,'Вводные'!$B$63))))*CJ59)</x:f>
        <x:v>0</x:v>
      </x:c>
      <x:c r="CK63" s="107" t="n">
        <x:f>'Вводные'!$M$90*((IF(SUM($D55:$DS55)=0,0,IF(SUM($D58:$DS58)=0,1,'Вводные'!$B$63)))*CK57+(1-(IF(SUM($D55:$DS55)=0,0,IF(SUM($D58:$DS58)=0,1,'Вводные'!$B$63))))*CK59)</x:f>
        <x:v>0</x:v>
      </x:c>
      <x:c r="CL63" s="107" t="n">
        <x:f>'Вводные'!$M$90*((IF(SUM($D55:$DS55)=0,0,IF(SUM($D58:$DS58)=0,1,'Вводные'!$B$63)))*CL57+(1-(IF(SUM($D55:$DS55)=0,0,IF(SUM($D58:$DS58)=0,1,'Вводные'!$B$63))))*CL59)</x:f>
        <x:v>0</x:v>
      </x:c>
      <x:c r="CM63" s="107" t="n">
        <x:f>'Вводные'!$M$90*((IF(SUM($D55:$DS55)=0,0,IF(SUM($D58:$DS58)=0,1,'Вводные'!$B$63)))*CM57+(1-(IF(SUM($D55:$DS55)=0,0,IF(SUM($D58:$DS58)=0,1,'Вводные'!$B$63))))*CM59)</x:f>
        <x:v>0</x:v>
      </x:c>
      <x:c r="CN63" s="107" t="n">
        <x:f>'Вводные'!$M$90*((IF(SUM($D55:$DS55)=0,0,IF(SUM($D58:$DS58)=0,1,'Вводные'!$B$63)))*CN57+(1-(IF(SUM($D55:$DS55)=0,0,IF(SUM($D58:$DS58)=0,1,'Вводные'!$B$63))))*CN59)</x:f>
        <x:v>0</x:v>
      </x:c>
      <x:c r="CO63" s="107" t="n">
        <x:f>'Вводные'!$M$90*((IF(SUM($D55:$DS55)=0,0,IF(SUM($D58:$DS58)=0,1,'Вводные'!$B$63)))*CO57+(1-(IF(SUM($D55:$DS55)=0,0,IF(SUM($D58:$DS58)=0,1,'Вводные'!$B$63))))*CO59)</x:f>
        <x:v>0</x:v>
      </x:c>
      <x:c r="CP63" s="107" t="n">
        <x:f>'Вводные'!$M$90*((IF(SUM($D55:$DS55)=0,0,IF(SUM($D58:$DS58)=0,1,'Вводные'!$B$63)))*CP57+(1-(IF(SUM($D55:$DS55)=0,0,IF(SUM($D58:$DS58)=0,1,'Вводные'!$B$63))))*CP59)</x:f>
        <x:v>0</x:v>
      </x:c>
      <x:c r="CQ63" s="107" t="n">
        <x:f>'Вводные'!$M$90*((IF(SUM($D55:$DS55)=0,0,IF(SUM($D58:$DS58)=0,1,'Вводные'!$B$63)))*CQ57+(1-(IF(SUM($D55:$DS55)=0,0,IF(SUM($D58:$DS58)=0,1,'Вводные'!$B$63))))*CQ59)</x:f>
        <x:v>0</x:v>
      </x:c>
      <x:c r="CR63" s="107" t="n">
        <x:f>'Вводные'!$M$90*((IF(SUM($D55:$DS55)=0,0,IF(SUM($D58:$DS58)=0,1,'Вводные'!$B$63)))*CR57+(1-(IF(SUM($D55:$DS55)=0,0,IF(SUM($D58:$DS58)=0,1,'Вводные'!$B$63))))*CR59)</x:f>
        <x:v>0</x:v>
      </x:c>
      <x:c r="CS63" s="107" t="n">
        <x:f>'Вводные'!$M$90*((IF(SUM($D55:$DS55)=0,0,IF(SUM($D58:$DS58)=0,1,'Вводные'!$B$63)))*CS57+(1-(IF(SUM($D55:$DS55)=0,0,IF(SUM($D58:$DS58)=0,1,'Вводные'!$B$63))))*CS59)</x:f>
        <x:v>0</x:v>
      </x:c>
      <x:c r="CT63" s="107" t="n">
        <x:f>'Вводные'!$M$90*((IF(SUM($D55:$DS55)=0,0,IF(SUM($D58:$DS58)=0,1,'Вводные'!$B$63)))*CT57+(1-(IF(SUM($D55:$DS55)=0,0,IF(SUM($D58:$DS58)=0,1,'Вводные'!$B$63))))*CT59)</x:f>
        <x:v>0</x:v>
      </x:c>
      <x:c r="CU63" s="107" t="n">
        <x:f>'Вводные'!$M$90*((IF(SUM($D55:$DS55)=0,0,IF(SUM($D58:$DS58)=0,1,'Вводные'!$B$63)))*CU57+(1-(IF(SUM($D55:$DS55)=0,0,IF(SUM($D58:$DS58)=0,1,'Вводные'!$B$63))))*CU59)</x:f>
        <x:v>0</x:v>
      </x:c>
      <x:c r="CV63" s="107" t="n">
        <x:f>'Вводные'!$M$90*((IF(SUM($D55:$DS55)=0,0,IF(SUM($D58:$DS58)=0,1,'Вводные'!$B$63)))*CV57+(1-(IF(SUM($D55:$DS55)=0,0,IF(SUM($D58:$DS58)=0,1,'Вводные'!$B$63))))*CV59)</x:f>
        <x:v>0</x:v>
      </x:c>
      <x:c r="CW63" s="107" t="n">
        <x:f>'Вводные'!$M$90*((IF(SUM($D55:$DS55)=0,0,IF(SUM($D58:$DS58)=0,1,'Вводные'!$B$63)))*CW57+(1-(IF(SUM($D55:$DS55)=0,0,IF(SUM($D58:$DS58)=0,1,'Вводные'!$B$63))))*CW59)</x:f>
        <x:v>0</x:v>
      </x:c>
      <x:c r="CX63" s="107" t="n">
        <x:f>'Вводные'!$M$90*((IF(SUM($D55:$DS55)=0,0,IF(SUM($D58:$DS58)=0,1,'Вводные'!$B$63)))*CX57+(1-(IF(SUM($D55:$DS55)=0,0,IF(SUM($D58:$DS58)=0,1,'Вводные'!$B$63))))*CX59)</x:f>
        <x:v>0</x:v>
      </x:c>
      <x:c r="CY63" s="107" t="n">
        <x:f>'Вводные'!$M$90*((IF(SUM($D55:$DS55)=0,0,IF(SUM($D58:$DS58)=0,1,'Вводные'!$B$63)))*CY57+(1-(IF(SUM($D55:$DS55)=0,0,IF(SUM($D58:$DS58)=0,1,'Вводные'!$B$63))))*CY59)</x:f>
        <x:v>0</x:v>
      </x:c>
      <x:c r="CZ63" s="107" t="n">
        <x:f>'Вводные'!$M$90*((IF(SUM($D55:$DS55)=0,0,IF(SUM($D58:$DS58)=0,1,'Вводные'!$B$63)))*CZ57+(1-(IF(SUM($D55:$DS55)=0,0,IF(SUM($D58:$DS58)=0,1,'Вводные'!$B$63))))*CZ59)</x:f>
        <x:v>0</x:v>
      </x:c>
      <x:c r="DA63" s="107" t="n">
        <x:f>'Вводные'!$M$90*((IF(SUM($D55:$DS55)=0,0,IF(SUM($D58:$DS58)=0,1,'Вводные'!$B$63)))*DA57+(1-(IF(SUM($D55:$DS55)=0,0,IF(SUM($D58:$DS58)=0,1,'Вводные'!$B$63))))*DA59)</x:f>
        <x:v>0</x:v>
      </x:c>
      <x:c r="DB63" s="107" t="n">
        <x:f>'Вводные'!$M$90*((IF(SUM($D55:$DS55)=0,0,IF(SUM($D58:$DS58)=0,1,'Вводные'!$B$63)))*DB57+(1-(IF(SUM($D55:$DS55)=0,0,IF(SUM($D58:$DS58)=0,1,'Вводные'!$B$63))))*DB59)</x:f>
        <x:v>0</x:v>
      </x:c>
      <x:c r="DC63" s="107" t="n">
        <x:f>'Вводные'!$M$90*((IF(SUM($D55:$DS55)=0,0,IF(SUM($D58:$DS58)=0,1,'Вводные'!$B$63)))*DC57+(1-(IF(SUM($D55:$DS55)=0,0,IF(SUM($D58:$DS58)=0,1,'Вводные'!$B$63))))*DC59)</x:f>
        <x:v>0</x:v>
      </x:c>
      <x:c r="DD63" s="107" t="n">
        <x:f>'Вводные'!$M$90*((IF(SUM($D55:$DS55)=0,0,IF(SUM($D58:$DS58)=0,1,'Вводные'!$B$63)))*DD57+(1-(IF(SUM($D55:$DS55)=0,0,IF(SUM($D58:$DS58)=0,1,'Вводные'!$B$63))))*DD59)</x:f>
        <x:v>0</x:v>
      </x:c>
      <x:c r="DE63" s="107" t="n">
        <x:f>'Вводные'!$M$90*((IF(SUM($D55:$DS55)=0,0,IF(SUM($D58:$DS58)=0,1,'Вводные'!$B$63)))*DE57+(1-(IF(SUM($D55:$DS55)=0,0,IF(SUM($D58:$DS58)=0,1,'Вводные'!$B$63))))*DE59)</x:f>
        <x:v>0</x:v>
      </x:c>
      <x:c r="DF63" s="107" t="n">
        <x:f>'Вводные'!$M$90*((IF(SUM($D55:$DS55)=0,0,IF(SUM($D58:$DS58)=0,1,'Вводные'!$B$63)))*DF57+(1-(IF(SUM($D55:$DS55)=0,0,IF(SUM($D58:$DS58)=0,1,'Вводные'!$B$63))))*DF59)</x:f>
        <x:v>0</x:v>
      </x:c>
      <x:c r="DG63" s="107" t="n">
        <x:f>'Вводные'!$M$90*((IF(SUM($D55:$DS55)=0,0,IF(SUM($D58:$DS58)=0,1,'Вводные'!$B$63)))*DG57+(1-(IF(SUM($D55:$DS55)=0,0,IF(SUM($D58:$DS58)=0,1,'Вводные'!$B$63))))*DG59)</x:f>
        <x:v>0</x:v>
      </x:c>
      <x:c r="DH63" s="107" t="n">
        <x:f>'Вводные'!$M$90*((IF(SUM($D55:$DS55)=0,0,IF(SUM($D58:$DS58)=0,1,'Вводные'!$B$63)))*DH57+(1-(IF(SUM($D55:$DS55)=0,0,IF(SUM($D58:$DS58)=0,1,'Вводные'!$B$63))))*DH59)</x:f>
        <x:v>0</x:v>
      </x:c>
      <x:c r="DI63" s="107" t="n">
        <x:f>'Вводные'!$M$90*((IF(SUM($D55:$DS55)=0,0,IF(SUM($D58:$DS58)=0,1,'Вводные'!$B$63)))*DI57+(1-(IF(SUM($D55:$DS55)=0,0,IF(SUM($D58:$DS58)=0,1,'Вводные'!$B$63))))*DI59)</x:f>
        <x:v>0</x:v>
      </x:c>
      <x:c r="DJ63" s="107" t="n">
        <x:f>'Вводные'!$M$90*((IF(SUM($D55:$DS55)=0,0,IF(SUM($D58:$DS58)=0,1,'Вводные'!$B$63)))*DJ57+(1-(IF(SUM($D55:$DS55)=0,0,IF(SUM($D58:$DS58)=0,1,'Вводные'!$B$63))))*DJ59)</x:f>
        <x:v>0</x:v>
      </x:c>
      <x:c r="DK63" s="107" t="n">
        <x:f>'Вводные'!$M$90*((IF(SUM($D55:$DS55)=0,0,IF(SUM($D58:$DS58)=0,1,'Вводные'!$B$63)))*DK57+(1-(IF(SUM($D55:$DS55)=0,0,IF(SUM($D58:$DS58)=0,1,'Вводные'!$B$63))))*DK59)</x:f>
        <x:v>0</x:v>
      </x:c>
      <x:c r="DL63" s="107" t="n">
        <x:f>'Вводные'!$M$90*((IF(SUM($D55:$DS55)=0,0,IF(SUM($D58:$DS58)=0,1,'Вводные'!$B$63)))*DL57+(1-(IF(SUM($D55:$DS55)=0,0,IF(SUM($D58:$DS58)=0,1,'Вводные'!$B$63))))*DL59)</x:f>
        <x:v>0</x:v>
      </x:c>
      <x:c r="DM63" s="107" t="n">
        <x:f>'Вводные'!$M$90*((IF(SUM($D55:$DS55)=0,0,IF(SUM($D58:$DS58)=0,1,'Вводные'!$B$63)))*DM57+(1-(IF(SUM($D55:$DS55)=0,0,IF(SUM($D58:$DS58)=0,1,'Вводные'!$B$63))))*DM59)</x:f>
        <x:v>0</x:v>
      </x:c>
      <x:c r="DN63" s="107" t="n">
        <x:f>'Вводные'!$M$90*((IF(SUM($D55:$DS55)=0,0,IF(SUM($D58:$DS58)=0,1,'Вводные'!$B$63)))*DN57+(1-(IF(SUM($D55:$DS55)=0,0,IF(SUM($D58:$DS58)=0,1,'Вводные'!$B$63))))*DN59)</x:f>
        <x:v>0</x:v>
      </x:c>
      <x:c r="DO63" s="107" t="n">
        <x:f>'Вводные'!$M$90*((IF(SUM($D55:$DS55)=0,0,IF(SUM($D58:$DS58)=0,1,'Вводные'!$B$63)))*DO57+(1-(IF(SUM($D55:$DS55)=0,0,IF(SUM($D58:$DS58)=0,1,'Вводные'!$B$63))))*DO59)</x:f>
        <x:v>0</x:v>
      </x:c>
      <x:c r="DP63" s="107" t="n">
        <x:f>'Вводные'!$M$90*((IF(SUM($D55:$DS55)=0,0,IF(SUM($D58:$DS58)=0,1,'Вводные'!$B$63)))*DP57+(1-(IF(SUM($D55:$DS55)=0,0,IF(SUM($D58:$DS58)=0,1,'Вводные'!$B$63))))*DP59)</x:f>
        <x:v>0</x:v>
      </x:c>
      <x:c r="DQ63" s="107" t="n">
        <x:f>'Вводные'!$M$90*((IF(SUM($D55:$DS55)=0,0,IF(SUM($D58:$DS58)=0,1,'Вводные'!$B$63)))*DQ57+(1-(IF(SUM($D55:$DS55)=0,0,IF(SUM($D58:$DS58)=0,1,'Вводные'!$B$63))))*DQ59)</x:f>
        <x:v>0</x:v>
      </x:c>
      <x:c r="DR63" s="107" t="n">
        <x:f>'Вводные'!$M$90*((IF(SUM($D55:$DS55)=0,0,IF(SUM($D58:$DS58)=0,1,'Вводные'!$B$63)))*DR57+(1-(IF(SUM($D55:$DS55)=0,0,IF(SUM($D58:$DS58)=0,1,'Вводные'!$B$63))))*DR59)</x:f>
        <x:v>0</x:v>
      </x:c>
      <x:c r="DS63" s="107" t="n">
        <x:f>'Вводные'!$M$90*((IF(SUM($D55:$DS55)=0,0,IF(SUM($D58:$DS58)=0,1,'Вводные'!$B$63)))*DS57+(1-(IF(SUM($D55:$DS55)=0,0,IF(SUM($D58:$DS58)=0,1,'Вводные'!$B$63))))*DS59)</x:f>
        <x:v>0</x:v>
      </x:c>
    </x:row>
    <x:row r="64">
      <x:c r="A64" t="str">
        <x:v>Коммерция — цена</x:v>
      </x:c>
      <x:c r="B64" t="n">
        <x:f>IFERROR(B65*1000/B63,0)</x:f>
        <x:v>0</x:v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5">
      <x:c r="A65" t="str">
        <x:v>Коммерция — выручка</x:v>
      </x:c>
      <x:c r="B65" t="n">
        <x:f>SUM(D65:DS65)</x:f>
        <x:v>0</x:v>
      </x:c>
      <x:c r="C65" t="str">
        <x:v>млн ₽</x:v>
      </x:c>
      <x:c r="D65" s="107" t="n">
        <x:f>D63*D64/1000</x:f>
        <x:v>0</x:v>
      </x:c>
      <x:c r="E65" s="107" t="n">
        <x:f>E63*E64/1000</x:f>
        <x:v>0</x:v>
      </x:c>
      <x:c r="F65" s="107" t="n">
        <x:f>F63*F64/1000</x:f>
        <x:v>0</x:v>
      </x:c>
      <x:c r="G65" s="107" t="n">
        <x:f>G63*G64/1000</x:f>
        <x:v>0</x:v>
      </x:c>
      <x:c r="H65" s="107" t="n">
        <x:f>H63*H64/1000</x:f>
        <x:v>0</x:v>
      </x:c>
      <x:c r="I65" s="107" t="n">
        <x:f>I63*I64/1000</x:f>
        <x:v>0</x:v>
      </x:c>
      <x:c r="J65" s="107" t="n">
        <x:f>J63*J64/1000</x:f>
        <x:v>0</x:v>
      </x:c>
      <x:c r="K65" s="107" t="n">
        <x:f>K63*K64/1000</x:f>
        <x:v>0</x:v>
      </x:c>
      <x:c r="L65" s="107" t="n">
        <x:f>L63*L64/1000</x:f>
        <x:v>0</x:v>
      </x:c>
      <x:c r="M65" s="107" t="n">
        <x:f>M63*M64/1000</x:f>
        <x:v>0</x:v>
      </x:c>
      <x:c r="N65" s="107" t="n">
        <x:f>N63*N64/1000</x:f>
        <x:v>0</x:v>
      </x:c>
      <x:c r="O65" s="107" t="n">
        <x:f>O63*O64/1000</x:f>
        <x:v>0</x:v>
      </x:c>
      <x:c r="P65" s="107" t="n">
        <x:f>P63*P64/1000</x:f>
        <x:v>0</x:v>
      </x:c>
      <x:c r="Q65" s="107" t="n">
        <x:f>Q63*Q64/1000</x:f>
        <x:v>0</x:v>
      </x:c>
      <x:c r="R65" s="107" t="n">
        <x:f>R63*R64/1000</x:f>
        <x:v>0</x:v>
      </x:c>
      <x:c r="S65" s="107" t="n">
        <x:f>S63*S64/1000</x:f>
        <x:v>0</x:v>
      </x:c>
      <x:c r="T65" s="107" t="n">
        <x:f>T63*T64/1000</x:f>
        <x:v>0</x:v>
      </x:c>
      <x:c r="U65" s="107" t="n">
        <x:f>U63*U64/1000</x:f>
        <x:v>0</x:v>
      </x:c>
      <x:c r="V65" s="107" t="n">
        <x:f>V63*V64/1000</x:f>
        <x:v>0</x:v>
      </x:c>
      <x:c r="W65" s="107" t="n">
        <x:f>W63*W64/1000</x:f>
        <x:v>0</x:v>
      </x:c>
      <x:c r="X65" s="107" t="n">
        <x:f>X63*X64/1000</x:f>
        <x:v>0</x:v>
      </x:c>
      <x:c r="Y65" s="107" t="n">
        <x:f>Y63*Y64/1000</x:f>
        <x:v>0</x:v>
      </x:c>
      <x:c r="Z65" s="107" t="n">
        <x:f>Z63*Z64/1000</x:f>
        <x:v>0</x:v>
      </x:c>
      <x:c r="AA65" s="107" t="n">
        <x:f>AA63*AA64/1000</x:f>
        <x:v>0</x:v>
      </x:c>
      <x:c r="AB65" s="107" t="n">
        <x:f>AB63*AB64/1000</x:f>
        <x:v>0</x:v>
      </x:c>
      <x:c r="AC65" s="107" t="n">
        <x:f>AC63*AC64/1000</x:f>
        <x:v>0</x:v>
      </x:c>
      <x:c r="AD65" s="107" t="n">
        <x:f>AD63*AD64/1000</x:f>
        <x:v>0</x:v>
      </x:c>
      <x:c r="AE65" s="107" t="n">
        <x:f>AE63*AE64/1000</x:f>
        <x:v>0</x:v>
      </x:c>
      <x:c r="AF65" s="107" t="n">
        <x:f>AF63*AF64/1000</x:f>
        <x:v>0</x:v>
      </x:c>
      <x:c r="AG65" s="107" t="n">
        <x:f>AG63*AG64/1000</x:f>
        <x:v>0</x:v>
      </x:c>
      <x:c r="AH65" s="107" t="n">
        <x:f>AH63*AH64/1000</x:f>
        <x:v>0</x:v>
      </x:c>
      <x:c r="AI65" s="107" t="n">
        <x:f>AI63*AI64/1000</x:f>
        <x:v>0</x:v>
      </x:c>
      <x:c r="AJ65" s="107" t="n">
        <x:f>AJ63*AJ64/1000</x:f>
        <x:v>0</x:v>
      </x:c>
      <x:c r="AK65" s="107" t="n">
        <x:f>AK63*AK64/1000</x:f>
        <x:v>0</x:v>
      </x:c>
      <x:c r="AL65" s="107" t="n">
        <x:f>AL63*AL64/1000</x:f>
        <x:v>0</x:v>
      </x:c>
      <x:c r="AM65" s="107" t="n">
        <x:f>AM63*AM64/1000</x:f>
        <x:v>0</x:v>
      </x:c>
      <x:c r="AN65" s="107" t="n">
        <x:f>AN63*AN64/1000</x:f>
        <x:v>0</x:v>
      </x:c>
      <x:c r="AO65" s="107" t="n">
        <x:f>AO63*AO64/1000</x:f>
        <x:v>0</x:v>
      </x:c>
      <x:c r="AP65" s="107" t="n">
        <x:f>AP63*AP64/1000</x:f>
        <x:v>0</x:v>
      </x:c>
      <x:c r="AQ65" s="107" t="n">
        <x:f>AQ63*AQ64/1000</x:f>
        <x:v>0</x:v>
      </x:c>
      <x:c r="AR65" s="107" t="n">
        <x:f>AR63*AR64/1000</x:f>
        <x:v>0</x:v>
      </x:c>
      <x:c r="AS65" s="107" t="n">
        <x:f>AS63*AS64/1000</x:f>
        <x:v>0</x:v>
      </x:c>
      <x:c r="AT65" s="107" t="n">
        <x:f>AT63*AT64/1000</x:f>
        <x:v>0</x:v>
      </x:c>
      <x:c r="AU65" s="107" t="n">
        <x:f>AU63*AU64/1000</x:f>
        <x:v>0</x:v>
      </x:c>
      <x:c r="AV65" s="107" t="n">
        <x:f>AV63*AV64/1000</x:f>
        <x:v>0</x:v>
      </x:c>
      <x:c r="AW65" s="107" t="n">
        <x:f>AW63*AW64/1000</x:f>
        <x:v>0</x:v>
      </x:c>
      <x:c r="AX65" s="107" t="n">
        <x:f>AX63*AX64/1000</x:f>
        <x:v>0</x:v>
      </x:c>
      <x:c r="AY65" s="107" t="n">
        <x:f>AY63*AY64/1000</x:f>
        <x:v>0</x:v>
      </x:c>
      <x:c r="AZ65" s="107" t="n">
        <x:f>AZ63*AZ64/1000</x:f>
        <x:v>0</x:v>
      </x:c>
      <x:c r="BA65" s="107" t="n">
        <x:f>BA63*BA64/1000</x:f>
        <x:v>0</x:v>
      </x:c>
      <x:c r="BB65" s="107" t="n">
        <x:f>BB63*BB64/1000</x:f>
        <x:v>0</x:v>
      </x:c>
      <x:c r="BC65" s="107" t="n">
        <x:f>BC63*BC64/1000</x:f>
        <x:v>0</x:v>
      </x:c>
      <x:c r="BD65" s="107" t="n">
        <x:f>BD63*BD64/1000</x:f>
        <x:v>0</x:v>
      </x:c>
      <x:c r="BE65" s="107" t="n">
        <x:f>BE63*BE64/1000</x:f>
        <x:v>0</x:v>
      </x:c>
      <x:c r="BF65" s="107" t="n">
        <x:f>BF63*BF64/1000</x:f>
        <x:v>0</x:v>
      </x:c>
      <x:c r="BG65" s="107" t="n">
        <x:f>BG63*BG64/1000</x:f>
        <x:v>0</x:v>
      </x:c>
      <x:c r="BH65" s="107" t="n">
        <x:f>BH63*BH64/1000</x:f>
        <x:v>0</x:v>
      </x:c>
      <x:c r="BI65" s="107" t="n">
        <x:f>BI63*BI64/1000</x:f>
        <x:v>0</x:v>
      </x:c>
      <x:c r="BJ65" s="107" t="n">
        <x:f>BJ63*BJ64/1000</x:f>
        <x:v>0</x:v>
      </x:c>
      <x:c r="BK65" s="107" t="n">
        <x:f>BK63*BK64/1000</x:f>
        <x:v>0</x:v>
      </x:c>
      <x:c r="BL65" s="107" t="n">
        <x:f>BL63*BL64/1000</x:f>
        <x:v>0</x:v>
      </x:c>
      <x:c r="BM65" s="107" t="n">
        <x:f>BM63*BM64/1000</x:f>
        <x:v>0</x:v>
      </x:c>
      <x:c r="BN65" s="107" t="n">
        <x:f>BN63*BN64/1000</x:f>
        <x:v>0</x:v>
      </x:c>
      <x:c r="BO65" s="107" t="n">
        <x:f>BO63*BO64/1000</x:f>
        <x:v>0</x:v>
      </x:c>
      <x:c r="BP65" s="107" t="n">
        <x:f>BP63*BP64/1000</x:f>
        <x:v>0</x:v>
      </x:c>
      <x:c r="BQ65" s="107" t="n">
        <x:f>BQ63*BQ64/1000</x:f>
        <x:v>0</x:v>
      </x:c>
      <x:c r="BR65" s="107" t="n">
        <x:f>BR63*BR64/1000</x:f>
        <x:v>0</x:v>
      </x:c>
      <x:c r="BS65" s="107" t="n">
        <x:f>BS63*BS64/1000</x:f>
        <x:v>0</x:v>
      </x:c>
      <x:c r="BT65" s="107" t="n">
        <x:f>BT63*BT64/1000</x:f>
        <x:v>0</x:v>
      </x:c>
      <x:c r="BU65" s="107" t="n">
        <x:f>BU63*BU64/1000</x:f>
        <x:v>0</x:v>
      </x:c>
      <x:c r="BV65" s="107" t="n">
        <x:f>BV63*BV64/1000</x:f>
        <x:v>0</x:v>
      </x:c>
      <x:c r="BW65" s="107" t="n">
        <x:f>BW63*BW64/1000</x:f>
        <x:v>0</x:v>
      </x:c>
      <x:c r="BX65" s="107" t="n">
        <x:f>BX63*BX64/1000</x:f>
        <x:v>0</x:v>
      </x:c>
      <x:c r="BY65" s="107" t="n">
        <x:f>BY63*BY64/1000</x:f>
        <x:v>0</x:v>
      </x:c>
      <x:c r="BZ65" s="107" t="n">
        <x:f>BZ63*BZ64/1000</x:f>
        <x:v>0</x:v>
      </x:c>
      <x:c r="CA65" s="107" t="n">
        <x:f>CA63*CA64/1000</x:f>
        <x:v>0</x:v>
      </x:c>
      <x:c r="CB65" s="107" t="n">
        <x:f>CB63*CB64/1000</x:f>
        <x:v>0</x:v>
      </x:c>
      <x:c r="CC65" s="107" t="n">
        <x:f>CC63*CC64/1000</x:f>
        <x:v>0</x:v>
      </x:c>
      <x:c r="CD65" s="107" t="n">
        <x:f>CD63*CD64/1000</x:f>
        <x:v>0</x:v>
      </x:c>
      <x:c r="CE65" s="107" t="n">
        <x:f>CE63*CE64/1000</x:f>
        <x:v>0</x:v>
      </x:c>
      <x:c r="CF65" s="107" t="n">
        <x:f>CF63*CF64/1000</x:f>
        <x:v>0</x:v>
      </x:c>
      <x:c r="CG65" s="107" t="n">
        <x:f>CG63*CG64/1000</x:f>
        <x:v>0</x:v>
      </x:c>
      <x:c r="CH65" s="107" t="n">
        <x:f>CH63*CH64/1000</x:f>
        <x:v>0</x:v>
      </x:c>
      <x:c r="CI65" s="107" t="n">
        <x:f>CI63*CI64/1000</x:f>
        <x:v>0</x:v>
      </x:c>
      <x:c r="CJ65" s="107" t="n">
        <x:f>CJ63*CJ64/1000</x:f>
        <x:v>0</x:v>
      </x:c>
      <x:c r="CK65" s="107" t="n">
        <x:f>CK63*CK64/1000</x:f>
        <x:v>0</x:v>
      </x:c>
      <x:c r="CL65" s="107" t="n">
        <x:f>CL63*CL64/1000</x:f>
        <x:v>0</x:v>
      </x:c>
      <x:c r="CM65" s="107" t="n">
        <x:f>CM63*CM64/1000</x:f>
        <x:v>0</x:v>
      </x:c>
      <x:c r="CN65" s="107" t="n">
        <x:f>CN63*CN64/1000</x:f>
        <x:v>0</x:v>
      </x:c>
      <x:c r="CO65" s="107" t="n">
        <x:f>CO63*CO64/1000</x:f>
        <x:v>0</x:v>
      </x:c>
      <x:c r="CP65" s="107" t="n">
        <x:f>CP63*CP64/1000</x:f>
        <x:v>0</x:v>
      </x:c>
      <x:c r="CQ65" s="107" t="n">
        <x:f>CQ63*CQ64/1000</x:f>
        <x:v>0</x:v>
      </x:c>
      <x:c r="CR65" s="107" t="n">
        <x:f>CR63*CR64/1000</x:f>
        <x:v>0</x:v>
      </x:c>
      <x:c r="CS65" s="107" t="n">
        <x:f>CS63*CS64/1000</x:f>
        <x:v>0</x:v>
      </x:c>
      <x:c r="CT65" s="107" t="n">
        <x:f>CT63*CT64/1000</x:f>
        <x:v>0</x:v>
      </x:c>
      <x:c r="CU65" s="107" t="n">
        <x:f>CU63*CU64/1000</x:f>
        <x:v>0</x:v>
      </x:c>
      <x:c r="CV65" s="107" t="n">
        <x:f>CV63*CV64/1000</x:f>
        <x:v>0</x:v>
      </x:c>
      <x:c r="CW65" s="107" t="n">
        <x:f>CW63*CW64/1000</x:f>
        <x:v>0</x:v>
      </x:c>
      <x:c r="CX65" s="107" t="n">
        <x:f>CX63*CX64/1000</x:f>
        <x:v>0</x:v>
      </x:c>
      <x:c r="CY65" s="107" t="n">
        <x:f>CY63*CY64/1000</x:f>
        <x:v>0</x:v>
      </x:c>
      <x:c r="CZ65" s="107" t="n">
        <x:f>CZ63*CZ64/1000</x:f>
        <x:v>0</x:v>
      </x:c>
      <x:c r="DA65" s="107" t="n">
        <x:f>DA63*DA64/1000</x:f>
        <x:v>0</x:v>
      </x:c>
      <x:c r="DB65" s="107" t="n">
        <x:f>DB63*DB64/1000</x:f>
        <x:v>0</x:v>
      </x:c>
      <x:c r="DC65" s="107" t="n">
        <x:f>DC63*DC64/1000</x:f>
        <x:v>0</x:v>
      </x:c>
      <x:c r="DD65" s="107" t="n">
        <x:f>DD63*DD64/1000</x:f>
        <x:v>0</x:v>
      </x:c>
      <x:c r="DE65" s="107" t="n">
        <x:f>DE63*DE64/1000</x:f>
        <x:v>0</x:v>
      </x:c>
      <x:c r="DF65" s="107" t="n">
        <x:f>DF63*DF64/1000</x:f>
        <x:v>0</x:v>
      </x:c>
      <x:c r="DG65" s="107" t="n">
        <x:f>DG63*DG64/1000</x:f>
        <x:v>0</x:v>
      </x:c>
      <x:c r="DH65" s="107" t="n">
        <x:f>DH63*DH64/1000</x:f>
        <x:v>0</x:v>
      </x:c>
      <x:c r="DI65" s="107" t="n">
        <x:f>DI63*DI64/1000</x:f>
        <x:v>0</x:v>
      </x:c>
      <x:c r="DJ65" s="107" t="n">
        <x:f>DJ63*DJ64/1000</x:f>
        <x:v>0</x:v>
      </x:c>
      <x:c r="DK65" s="107" t="n">
        <x:f>DK63*DK64/1000</x:f>
        <x:v>0</x:v>
      </x:c>
      <x:c r="DL65" s="107" t="n">
        <x:f>DL63*DL64/1000</x:f>
        <x:v>0</x:v>
      </x:c>
      <x:c r="DM65" s="107" t="n">
        <x:f>DM63*DM64/1000</x:f>
        <x:v>0</x:v>
      </x:c>
      <x:c r="DN65" s="107" t="n">
        <x:f>DN63*DN64/1000</x:f>
        <x:v>0</x:v>
      </x:c>
      <x:c r="DO65" s="107" t="n">
        <x:f>DO63*DO64/1000</x:f>
        <x:v>0</x:v>
      </x:c>
      <x:c r="DP65" s="107" t="n">
        <x:f>DP63*DP64/1000</x:f>
        <x:v>0</x:v>
      </x:c>
      <x:c r="DQ65" s="107" t="n">
        <x:f>DQ63*DQ64/1000</x:f>
        <x:v>0</x:v>
      </x:c>
      <x:c r="DR65" s="107" t="n">
        <x:f>DR63*DR64/1000</x:f>
        <x:v>0</x:v>
      </x:c>
      <x:c r="DS65" s="107" t="n">
        <x:f>DS63*DS64/1000</x:f>
        <x:v>0</x:v>
      </x:c>
    </x:row>
    <x:row r="66">
      <x:c r="A66" t="str">
        <x:v>Паркинг — объём</x:v>
      </x:c>
      <x:c r="B66" t="n">
        <x:f>SUM(D66:DS66)</x:f>
        <x:v>0</x:v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  <x:v>0</x:v>
      </x:c>
      <x:c r="E66" s="107" t="n">
        <x:f>'Вводные'!$N$90*((IF(SUM($D55:$DS55)=0,0,IF(SUM($D58:$DS58)=0,1,'Вводные'!$B$63)))*E57+(1-(IF(SUM($D55:$DS55)=0,0,IF(SUM($D58:$DS58)=0,1,'Вводные'!$B$63))))*E59)</x:f>
        <x:v>0</x:v>
      </x:c>
      <x:c r="F66" s="107" t="n">
        <x:f>'Вводные'!$N$90*((IF(SUM($D55:$DS55)=0,0,IF(SUM($D58:$DS58)=0,1,'Вводные'!$B$63)))*F57+(1-(IF(SUM($D55:$DS55)=0,0,IF(SUM($D58:$DS58)=0,1,'Вводные'!$B$63))))*F59)</x:f>
        <x:v>0</x:v>
      </x:c>
      <x:c r="G66" s="107" t="n">
        <x:f>'Вводные'!$N$90*((IF(SUM($D55:$DS55)=0,0,IF(SUM($D58:$DS58)=0,1,'Вводные'!$B$63)))*G57+(1-(IF(SUM($D55:$DS55)=0,0,IF(SUM($D58:$DS58)=0,1,'Вводные'!$B$63))))*G59)</x:f>
        <x:v>0</x:v>
      </x:c>
      <x:c r="H66" s="107" t="n">
        <x:f>'Вводные'!$N$90*((IF(SUM($D55:$DS55)=0,0,IF(SUM($D58:$DS58)=0,1,'Вводные'!$B$63)))*H57+(1-(IF(SUM($D55:$DS55)=0,0,IF(SUM($D58:$DS58)=0,1,'Вводные'!$B$63))))*H59)</x:f>
        <x:v>0</x:v>
      </x:c>
      <x:c r="I66" s="107" t="n">
        <x:f>'Вводные'!$N$90*((IF(SUM($D55:$DS55)=0,0,IF(SUM($D58:$DS58)=0,1,'Вводные'!$B$63)))*I57+(1-(IF(SUM($D55:$DS55)=0,0,IF(SUM($D58:$DS58)=0,1,'Вводные'!$B$63))))*I59)</x:f>
        <x:v>0</x:v>
      </x:c>
      <x:c r="J66" s="107" t="n">
        <x:f>'Вводные'!$N$90*((IF(SUM($D55:$DS55)=0,0,IF(SUM($D58:$DS58)=0,1,'Вводные'!$B$63)))*J57+(1-(IF(SUM($D55:$DS55)=0,0,IF(SUM($D58:$DS58)=0,1,'Вводные'!$B$63))))*J59)</x:f>
        <x:v>0</x:v>
      </x:c>
      <x:c r="K66" s="107" t="n">
        <x:f>'Вводные'!$N$90*((IF(SUM($D55:$DS55)=0,0,IF(SUM($D58:$DS58)=0,1,'Вводные'!$B$63)))*K57+(1-(IF(SUM($D55:$DS55)=0,0,IF(SUM($D58:$DS58)=0,1,'Вводные'!$B$63))))*K59)</x:f>
        <x:v>0</x:v>
      </x:c>
      <x:c r="L66" s="107" t="n">
        <x:f>'Вводные'!$N$90*((IF(SUM($D55:$DS55)=0,0,IF(SUM($D58:$DS58)=0,1,'Вводные'!$B$63)))*L57+(1-(IF(SUM($D55:$DS55)=0,0,IF(SUM($D58:$DS58)=0,1,'Вводные'!$B$63))))*L59)</x:f>
        <x:v>0</x:v>
      </x:c>
      <x:c r="M66" s="107" t="n">
        <x:f>'Вводные'!$N$90*((IF(SUM($D55:$DS55)=0,0,IF(SUM($D58:$DS58)=0,1,'Вводные'!$B$63)))*M57+(1-(IF(SUM($D55:$DS55)=0,0,IF(SUM($D58:$DS58)=0,1,'Вводные'!$B$63))))*M59)</x:f>
        <x:v>0</x:v>
      </x:c>
      <x:c r="N66" s="107" t="n">
        <x:f>'Вводные'!$N$90*((IF(SUM($D55:$DS55)=0,0,IF(SUM($D58:$DS58)=0,1,'Вводные'!$B$63)))*N57+(1-(IF(SUM($D55:$DS55)=0,0,IF(SUM($D58:$DS58)=0,1,'Вводные'!$B$63))))*N59)</x:f>
        <x:v>0</x:v>
      </x:c>
      <x:c r="O66" s="107" t="n">
        <x:f>'Вводные'!$N$90*((IF(SUM($D55:$DS55)=0,0,IF(SUM($D58:$DS58)=0,1,'Вводные'!$B$63)))*O57+(1-(IF(SUM($D55:$DS55)=0,0,IF(SUM($D58:$DS58)=0,1,'Вводные'!$B$63))))*O59)</x:f>
        <x:v>0</x:v>
      </x:c>
      <x:c r="P66" s="107" t="n">
        <x:f>'Вводные'!$N$90*((IF(SUM($D55:$DS55)=0,0,IF(SUM($D58:$DS58)=0,1,'Вводные'!$B$63)))*P57+(1-(IF(SUM($D55:$DS55)=0,0,IF(SUM($D58:$DS58)=0,1,'Вводные'!$B$63))))*P59)</x:f>
        <x:v>0</x:v>
      </x:c>
      <x:c r="Q66" s="107" t="n">
        <x:f>'Вводные'!$N$90*((IF(SUM($D55:$DS55)=0,0,IF(SUM($D58:$DS58)=0,1,'Вводные'!$B$63)))*Q57+(1-(IF(SUM($D55:$DS55)=0,0,IF(SUM($D58:$DS58)=0,1,'Вводные'!$B$63))))*Q59)</x:f>
        <x:v>0</x:v>
      </x:c>
      <x:c r="R66" s="107" t="n">
        <x:f>'Вводные'!$N$90*((IF(SUM($D55:$DS55)=0,0,IF(SUM($D58:$DS58)=0,1,'Вводные'!$B$63)))*R57+(1-(IF(SUM($D55:$DS55)=0,0,IF(SUM($D58:$DS58)=0,1,'Вводные'!$B$63))))*R59)</x:f>
        <x:v>0</x:v>
      </x:c>
      <x:c r="S66" s="107" t="n">
        <x:f>'Вводные'!$N$90*((IF(SUM($D55:$DS55)=0,0,IF(SUM($D58:$DS58)=0,1,'Вводные'!$B$63)))*S57+(1-(IF(SUM($D55:$DS55)=0,0,IF(SUM($D58:$DS58)=0,1,'Вводные'!$B$63))))*S59)</x:f>
        <x:v>0</x:v>
      </x:c>
      <x:c r="T66" s="107" t="n">
        <x:f>'Вводные'!$N$90*((IF(SUM($D55:$DS55)=0,0,IF(SUM($D58:$DS58)=0,1,'Вводные'!$B$63)))*T57+(1-(IF(SUM($D55:$DS55)=0,0,IF(SUM($D58:$DS58)=0,1,'Вводные'!$B$63))))*T59)</x:f>
        <x:v>0</x:v>
      </x:c>
      <x:c r="U66" s="107" t="n">
        <x:f>'Вводные'!$N$90*((IF(SUM($D55:$DS55)=0,0,IF(SUM($D58:$DS58)=0,1,'Вводные'!$B$63)))*U57+(1-(IF(SUM($D55:$DS55)=0,0,IF(SUM($D58:$DS58)=0,1,'Вводные'!$B$63))))*U59)</x:f>
        <x:v>0</x:v>
      </x:c>
      <x:c r="V66" s="107" t="n">
        <x:f>'Вводные'!$N$90*((IF(SUM($D55:$DS55)=0,0,IF(SUM($D58:$DS58)=0,1,'Вводные'!$B$63)))*V57+(1-(IF(SUM($D55:$DS55)=0,0,IF(SUM($D58:$DS58)=0,1,'Вводные'!$B$63))))*V59)</x:f>
        <x:v>0</x:v>
      </x:c>
      <x:c r="W66" s="107" t="n">
        <x:f>'Вводные'!$N$90*((IF(SUM($D55:$DS55)=0,0,IF(SUM($D58:$DS58)=0,1,'Вводные'!$B$63)))*W57+(1-(IF(SUM($D55:$DS55)=0,0,IF(SUM($D58:$DS58)=0,1,'Вводные'!$B$63))))*W59)</x:f>
        <x:v>0</x:v>
      </x:c>
      <x:c r="X66" s="107" t="n">
        <x:f>'Вводные'!$N$90*((IF(SUM($D55:$DS55)=0,0,IF(SUM($D58:$DS58)=0,1,'Вводные'!$B$63)))*X57+(1-(IF(SUM($D55:$DS55)=0,0,IF(SUM($D58:$DS58)=0,1,'Вводные'!$B$63))))*X59)</x:f>
        <x:v>0</x:v>
      </x:c>
      <x:c r="Y66" s="107" t="n">
        <x:f>'Вводные'!$N$90*((IF(SUM($D55:$DS55)=0,0,IF(SUM($D58:$DS58)=0,1,'Вводные'!$B$63)))*Y57+(1-(IF(SUM($D55:$DS55)=0,0,IF(SUM($D58:$DS58)=0,1,'Вводные'!$B$63))))*Y59)</x:f>
        <x:v>0</x:v>
      </x:c>
      <x:c r="Z66" s="107" t="n">
        <x:f>'Вводные'!$N$90*((IF(SUM($D55:$DS55)=0,0,IF(SUM($D58:$DS58)=0,1,'Вводные'!$B$63)))*Z57+(1-(IF(SUM($D55:$DS55)=0,0,IF(SUM($D58:$DS58)=0,1,'Вводные'!$B$63))))*Z59)</x:f>
        <x:v>0</x:v>
      </x:c>
      <x:c r="AA66" s="107" t="n">
        <x:f>'Вводные'!$N$90*((IF(SUM($D55:$DS55)=0,0,IF(SUM($D58:$DS58)=0,1,'Вводные'!$B$63)))*AA57+(1-(IF(SUM($D55:$DS55)=0,0,IF(SUM($D58:$DS58)=0,1,'Вводные'!$B$63))))*AA59)</x:f>
        <x:v>0</x:v>
      </x:c>
      <x:c r="AB66" s="107" t="n">
        <x:f>'Вводные'!$N$90*((IF(SUM($D55:$DS55)=0,0,IF(SUM($D58:$DS58)=0,1,'Вводные'!$B$63)))*AB57+(1-(IF(SUM($D55:$DS55)=0,0,IF(SUM($D58:$DS58)=0,1,'Вводные'!$B$63))))*AB59)</x:f>
        <x:v>0</x:v>
      </x:c>
      <x:c r="AC66" s="107" t="n">
        <x:f>'Вводные'!$N$90*((IF(SUM($D55:$DS55)=0,0,IF(SUM($D58:$DS58)=0,1,'Вводные'!$B$63)))*AC57+(1-(IF(SUM($D55:$DS55)=0,0,IF(SUM($D58:$DS58)=0,1,'Вводные'!$B$63))))*AC59)</x:f>
        <x:v>0</x:v>
      </x:c>
      <x:c r="AD66" s="107" t="n">
        <x:f>'Вводные'!$N$90*((IF(SUM($D55:$DS55)=0,0,IF(SUM($D58:$DS58)=0,1,'Вводные'!$B$63)))*AD57+(1-(IF(SUM($D55:$DS55)=0,0,IF(SUM($D58:$DS58)=0,1,'Вводные'!$B$63))))*AD59)</x:f>
        <x:v>0</x:v>
      </x:c>
      <x:c r="AE66" s="107" t="n">
        <x:f>'Вводные'!$N$90*((IF(SUM($D55:$DS55)=0,0,IF(SUM($D58:$DS58)=0,1,'Вводные'!$B$63)))*AE57+(1-(IF(SUM($D55:$DS55)=0,0,IF(SUM($D58:$DS58)=0,1,'Вводные'!$B$63))))*AE59)</x:f>
        <x:v>0</x:v>
      </x:c>
      <x:c r="AF66" s="107" t="n">
        <x:f>'Вводные'!$N$90*((IF(SUM($D55:$DS55)=0,0,IF(SUM($D58:$DS58)=0,1,'Вводные'!$B$63)))*AF57+(1-(IF(SUM($D55:$DS55)=0,0,IF(SUM($D58:$DS58)=0,1,'Вводные'!$B$63))))*AF59)</x:f>
        <x:v>0</x:v>
      </x:c>
      <x:c r="AG66" s="107" t="n">
        <x:f>'Вводные'!$N$90*((IF(SUM($D55:$DS55)=0,0,IF(SUM($D58:$DS58)=0,1,'Вводные'!$B$63)))*AG57+(1-(IF(SUM($D55:$DS55)=0,0,IF(SUM($D58:$DS58)=0,1,'Вводные'!$B$63))))*AG59)</x:f>
        <x:v>0</x:v>
      </x:c>
      <x:c r="AH66" s="107" t="n">
        <x:f>'Вводные'!$N$90*((IF(SUM($D55:$DS55)=0,0,IF(SUM($D58:$DS58)=0,1,'Вводные'!$B$63)))*AH57+(1-(IF(SUM($D55:$DS55)=0,0,IF(SUM($D58:$DS58)=0,1,'Вводные'!$B$63))))*AH59)</x:f>
        <x:v>0</x:v>
      </x:c>
      <x:c r="AI66" s="107" t="n">
        <x:f>'Вводные'!$N$90*((IF(SUM($D55:$DS55)=0,0,IF(SUM($D58:$DS58)=0,1,'Вводные'!$B$63)))*AI57+(1-(IF(SUM($D55:$DS55)=0,0,IF(SUM($D58:$DS58)=0,1,'Вводные'!$B$63))))*AI59)</x:f>
        <x:v>0</x:v>
      </x:c>
      <x:c r="AJ66" s="107" t="n">
        <x:f>'Вводные'!$N$90*((IF(SUM($D55:$DS55)=0,0,IF(SUM($D58:$DS58)=0,1,'Вводные'!$B$63)))*AJ57+(1-(IF(SUM($D55:$DS55)=0,0,IF(SUM($D58:$DS58)=0,1,'Вводные'!$B$63))))*AJ59)</x:f>
        <x:v>0</x:v>
      </x:c>
      <x:c r="AK66" s="107" t="n">
        <x:f>'Вводные'!$N$90*((IF(SUM($D55:$DS55)=0,0,IF(SUM($D58:$DS58)=0,1,'Вводные'!$B$63)))*AK57+(1-(IF(SUM($D55:$DS55)=0,0,IF(SUM($D58:$DS58)=0,1,'Вводные'!$B$63))))*AK59)</x:f>
        <x:v>0</x:v>
      </x:c>
      <x:c r="AL66" s="107" t="n">
        <x:f>'Вводные'!$N$90*((IF(SUM($D55:$DS55)=0,0,IF(SUM($D58:$DS58)=0,1,'Вводные'!$B$63)))*AL57+(1-(IF(SUM($D55:$DS55)=0,0,IF(SUM($D58:$DS58)=0,1,'Вводные'!$B$63))))*AL59)</x:f>
        <x:v>0</x:v>
      </x:c>
      <x:c r="AM66" s="107" t="n">
        <x:f>'Вводные'!$N$90*((IF(SUM($D55:$DS55)=0,0,IF(SUM($D58:$DS58)=0,1,'Вводные'!$B$63)))*AM57+(1-(IF(SUM($D55:$DS55)=0,0,IF(SUM($D58:$DS58)=0,1,'Вводные'!$B$63))))*AM59)</x:f>
        <x:v>0</x:v>
      </x:c>
      <x:c r="AN66" s="107" t="n">
        <x:f>'Вводные'!$N$90*((IF(SUM($D55:$DS55)=0,0,IF(SUM($D58:$DS58)=0,1,'Вводные'!$B$63)))*AN57+(1-(IF(SUM($D55:$DS55)=0,0,IF(SUM($D58:$DS58)=0,1,'Вводные'!$B$63))))*AN59)</x:f>
        <x:v>0</x:v>
      </x:c>
      <x:c r="AO66" s="107" t="n">
        <x:f>'Вводные'!$N$90*((IF(SUM($D55:$DS55)=0,0,IF(SUM($D58:$DS58)=0,1,'Вводные'!$B$63)))*AO57+(1-(IF(SUM($D55:$DS55)=0,0,IF(SUM($D58:$DS58)=0,1,'Вводные'!$B$63))))*AO59)</x:f>
        <x:v>0</x:v>
      </x:c>
      <x:c r="AP66" s="107" t="n">
        <x:f>'Вводные'!$N$90*((IF(SUM($D55:$DS55)=0,0,IF(SUM($D58:$DS58)=0,1,'Вводные'!$B$63)))*AP57+(1-(IF(SUM($D55:$DS55)=0,0,IF(SUM($D58:$DS58)=0,1,'Вводные'!$B$63))))*AP59)</x:f>
        <x:v>0</x:v>
      </x:c>
      <x:c r="AQ66" s="107" t="n">
        <x:f>'Вводные'!$N$90*((IF(SUM($D55:$DS55)=0,0,IF(SUM($D58:$DS58)=0,1,'Вводные'!$B$63)))*AQ57+(1-(IF(SUM($D55:$DS55)=0,0,IF(SUM($D58:$DS58)=0,1,'Вводные'!$B$63))))*AQ59)</x:f>
        <x:v>0</x:v>
      </x:c>
      <x:c r="AR66" s="107" t="n">
        <x:f>'Вводные'!$N$90*((IF(SUM($D55:$DS55)=0,0,IF(SUM($D58:$DS58)=0,1,'Вводные'!$B$63)))*AR57+(1-(IF(SUM($D55:$DS55)=0,0,IF(SUM($D58:$DS58)=0,1,'Вводные'!$B$63))))*AR59)</x:f>
        <x:v>0</x:v>
      </x:c>
      <x:c r="AS66" s="107" t="n">
        <x:f>'Вводные'!$N$90*((IF(SUM($D55:$DS55)=0,0,IF(SUM($D58:$DS58)=0,1,'Вводные'!$B$63)))*AS57+(1-(IF(SUM($D55:$DS55)=0,0,IF(SUM($D58:$DS58)=0,1,'Вводные'!$B$63))))*AS59)</x:f>
        <x:v>0</x:v>
      </x:c>
      <x:c r="AT66" s="107" t="n">
        <x:f>'Вводные'!$N$90*((IF(SUM($D55:$DS55)=0,0,IF(SUM($D58:$DS58)=0,1,'Вводные'!$B$63)))*AT57+(1-(IF(SUM($D55:$DS55)=0,0,IF(SUM($D58:$DS58)=0,1,'Вводные'!$B$63))))*AT59)</x:f>
        <x:v>0</x:v>
      </x:c>
      <x:c r="AU66" s="107" t="n">
        <x:f>'Вводные'!$N$90*((IF(SUM($D55:$DS55)=0,0,IF(SUM($D58:$DS58)=0,1,'Вводные'!$B$63)))*AU57+(1-(IF(SUM($D55:$DS55)=0,0,IF(SUM($D58:$DS58)=0,1,'Вводные'!$B$63))))*AU59)</x:f>
        <x:v>0</x:v>
      </x:c>
      <x:c r="AV66" s="107" t="n">
        <x:f>'Вводные'!$N$90*((IF(SUM($D55:$DS55)=0,0,IF(SUM($D58:$DS58)=0,1,'Вводные'!$B$63)))*AV57+(1-(IF(SUM($D55:$DS55)=0,0,IF(SUM($D58:$DS58)=0,1,'Вводные'!$B$63))))*AV59)</x:f>
        <x:v>0</x:v>
      </x:c>
      <x:c r="AW66" s="107" t="n">
        <x:f>'Вводные'!$N$90*((IF(SUM($D55:$DS55)=0,0,IF(SUM($D58:$DS58)=0,1,'Вводные'!$B$63)))*AW57+(1-(IF(SUM($D55:$DS55)=0,0,IF(SUM($D58:$DS58)=0,1,'Вводные'!$B$63))))*AW59)</x:f>
        <x:v>0</x:v>
      </x:c>
      <x:c r="AX66" s="107" t="n">
        <x:f>'Вводные'!$N$90*((IF(SUM($D55:$DS55)=0,0,IF(SUM($D58:$DS58)=0,1,'Вводные'!$B$63)))*AX57+(1-(IF(SUM($D55:$DS55)=0,0,IF(SUM($D58:$DS58)=0,1,'Вводные'!$B$63))))*AX59)</x:f>
        <x:v>0</x:v>
      </x:c>
      <x:c r="AY66" s="107" t="n">
        <x:f>'Вводные'!$N$90*((IF(SUM($D55:$DS55)=0,0,IF(SUM($D58:$DS58)=0,1,'Вводные'!$B$63)))*AY57+(1-(IF(SUM($D55:$DS55)=0,0,IF(SUM($D58:$DS58)=0,1,'Вводные'!$B$63))))*AY59)</x:f>
        <x:v>0</x:v>
      </x:c>
      <x:c r="AZ66" s="107" t="n">
        <x:f>'Вводные'!$N$90*((IF(SUM($D55:$DS55)=0,0,IF(SUM($D58:$DS58)=0,1,'Вводные'!$B$63)))*AZ57+(1-(IF(SUM($D55:$DS55)=0,0,IF(SUM($D58:$DS58)=0,1,'Вводные'!$B$63))))*AZ59)</x:f>
        <x:v>0</x:v>
      </x:c>
      <x:c r="BA66" s="107" t="n">
        <x:f>'Вводные'!$N$90*((IF(SUM($D55:$DS55)=0,0,IF(SUM($D58:$DS58)=0,1,'Вводные'!$B$63)))*BA57+(1-(IF(SUM($D55:$DS55)=0,0,IF(SUM($D58:$DS58)=0,1,'Вводные'!$B$63))))*BA59)</x:f>
        <x:v>0</x:v>
      </x:c>
      <x:c r="BB66" s="107" t="n">
        <x:f>'Вводные'!$N$90*((IF(SUM($D55:$DS55)=0,0,IF(SUM($D58:$DS58)=0,1,'Вводные'!$B$63)))*BB57+(1-(IF(SUM($D55:$DS55)=0,0,IF(SUM($D58:$DS58)=0,1,'Вводные'!$B$63))))*BB59)</x:f>
        <x:v>0</x:v>
      </x:c>
      <x:c r="BC66" s="107" t="n">
        <x:f>'Вводные'!$N$90*((IF(SUM($D55:$DS55)=0,0,IF(SUM($D58:$DS58)=0,1,'Вводные'!$B$63)))*BC57+(1-(IF(SUM($D55:$DS55)=0,0,IF(SUM($D58:$DS58)=0,1,'Вводные'!$B$63))))*BC59)</x:f>
        <x:v>0</x:v>
      </x:c>
      <x:c r="BD66" s="107" t="n">
        <x:f>'Вводные'!$N$90*((IF(SUM($D55:$DS55)=0,0,IF(SUM($D58:$DS58)=0,1,'Вводные'!$B$63)))*BD57+(1-(IF(SUM($D55:$DS55)=0,0,IF(SUM($D58:$DS58)=0,1,'Вводные'!$B$63))))*BD59)</x:f>
        <x:v>0</x:v>
      </x:c>
      <x:c r="BE66" s="107" t="n">
        <x:f>'Вводные'!$N$90*((IF(SUM($D55:$DS55)=0,0,IF(SUM($D58:$DS58)=0,1,'Вводные'!$B$63)))*BE57+(1-(IF(SUM($D55:$DS55)=0,0,IF(SUM($D58:$DS58)=0,1,'Вводные'!$B$63))))*BE59)</x:f>
        <x:v>0</x:v>
      </x:c>
      <x:c r="BF66" s="107" t="n">
        <x:f>'Вводные'!$N$90*((IF(SUM($D55:$DS55)=0,0,IF(SUM($D58:$DS58)=0,1,'Вводные'!$B$63)))*BF57+(1-(IF(SUM($D55:$DS55)=0,0,IF(SUM($D58:$DS58)=0,1,'Вводные'!$B$63))))*BF59)</x:f>
        <x:v>0</x:v>
      </x:c>
      <x:c r="BG66" s="107" t="n">
        <x:f>'Вводные'!$N$90*((IF(SUM($D55:$DS55)=0,0,IF(SUM($D58:$DS58)=0,1,'Вводные'!$B$63)))*BG57+(1-(IF(SUM($D55:$DS55)=0,0,IF(SUM($D58:$DS58)=0,1,'Вводные'!$B$63))))*BG59)</x:f>
        <x:v>0</x:v>
      </x:c>
      <x:c r="BH66" s="107" t="n">
        <x:f>'Вводные'!$N$90*((IF(SUM($D55:$DS55)=0,0,IF(SUM($D58:$DS58)=0,1,'Вводные'!$B$63)))*BH57+(1-(IF(SUM($D55:$DS55)=0,0,IF(SUM($D58:$DS58)=0,1,'Вводные'!$B$63))))*BH59)</x:f>
        <x:v>0</x:v>
      </x:c>
      <x:c r="BI66" s="107" t="n">
        <x:f>'Вводные'!$N$90*((IF(SUM($D55:$DS55)=0,0,IF(SUM($D58:$DS58)=0,1,'Вводные'!$B$63)))*BI57+(1-(IF(SUM($D55:$DS55)=0,0,IF(SUM($D58:$DS58)=0,1,'Вводные'!$B$63))))*BI59)</x:f>
        <x:v>0</x:v>
      </x:c>
      <x:c r="BJ66" s="107" t="n">
        <x:f>'Вводные'!$N$90*((IF(SUM($D55:$DS55)=0,0,IF(SUM($D58:$DS58)=0,1,'Вводные'!$B$63)))*BJ57+(1-(IF(SUM($D55:$DS55)=0,0,IF(SUM($D58:$DS58)=0,1,'Вводные'!$B$63))))*BJ59)</x:f>
        <x:v>0</x:v>
      </x:c>
      <x:c r="BK66" s="107" t="n">
        <x:f>'Вводные'!$N$90*((IF(SUM($D55:$DS55)=0,0,IF(SUM($D58:$DS58)=0,1,'Вводные'!$B$63)))*BK57+(1-(IF(SUM($D55:$DS55)=0,0,IF(SUM($D58:$DS58)=0,1,'Вводные'!$B$63))))*BK59)</x:f>
        <x:v>0</x:v>
      </x:c>
      <x:c r="BL66" s="107" t="n">
        <x:f>'Вводные'!$N$90*((IF(SUM($D55:$DS55)=0,0,IF(SUM($D58:$DS58)=0,1,'Вводные'!$B$63)))*BL57+(1-(IF(SUM($D55:$DS55)=0,0,IF(SUM($D58:$DS58)=0,1,'Вводные'!$B$63))))*BL59)</x:f>
        <x:v>0</x:v>
      </x:c>
      <x:c r="BM66" s="107" t="n">
        <x:f>'Вводные'!$N$90*((IF(SUM($D55:$DS55)=0,0,IF(SUM($D58:$DS58)=0,1,'Вводные'!$B$63)))*BM57+(1-(IF(SUM($D55:$DS55)=0,0,IF(SUM($D58:$DS58)=0,1,'Вводные'!$B$63))))*BM59)</x:f>
        <x:v>0</x:v>
      </x:c>
      <x:c r="BN66" s="107" t="n">
        <x:f>'Вводные'!$N$90*((IF(SUM($D55:$DS55)=0,0,IF(SUM($D58:$DS58)=0,1,'Вводные'!$B$63)))*BN57+(1-(IF(SUM($D55:$DS55)=0,0,IF(SUM($D58:$DS58)=0,1,'Вводные'!$B$63))))*BN59)</x:f>
        <x:v>0</x:v>
      </x:c>
      <x:c r="BO66" s="107" t="n">
        <x:f>'Вводные'!$N$90*((IF(SUM($D55:$DS55)=0,0,IF(SUM($D58:$DS58)=0,1,'Вводные'!$B$63)))*BO57+(1-(IF(SUM($D55:$DS55)=0,0,IF(SUM($D58:$DS58)=0,1,'Вводные'!$B$63))))*BO59)</x:f>
        <x:v>0</x:v>
      </x:c>
      <x:c r="BP66" s="107" t="n">
        <x:f>'Вводные'!$N$90*((IF(SUM($D55:$DS55)=0,0,IF(SUM($D58:$DS58)=0,1,'Вводные'!$B$63)))*BP57+(1-(IF(SUM($D55:$DS55)=0,0,IF(SUM($D58:$DS58)=0,1,'Вводные'!$B$63))))*BP59)</x:f>
        <x:v>0</x:v>
      </x:c>
      <x:c r="BQ66" s="107" t="n">
        <x:f>'Вводные'!$N$90*((IF(SUM($D55:$DS55)=0,0,IF(SUM($D58:$DS58)=0,1,'Вводные'!$B$63)))*BQ57+(1-(IF(SUM($D55:$DS55)=0,0,IF(SUM($D58:$DS58)=0,1,'Вводные'!$B$63))))*BQ59)</x:f>
        <x:v>0</x:v>
      </x:c>
      <x:c r="BR66" s="107" t="n">
        <x:f>'Вводные'!$N$90*((IF(SUM($D55:$DS55)=0,0,IF(SUM($D58:$DS58)=0,1,'Вводные'!$B$63)))*BR57+(1-(IF(SUM($D55:$DS55)=0,0,IF(SUM($D58:$DS58)=0,1,'Вводные'!$B$63))))*BR59)</x:f>
        <x:v>0</x:v>
      </x:c>
      <x:c r="BS66" s="107" t="n">
        <x:f>'Вводные'!$N$90*((IF(SUM($D55:$DS55)=0,0,IF(SUM($D58:$DS58)=0,1,'Вводные'!$B$63)))*BS57+(1-(IF(SUM($D55:$DS55)=0,0,IF(SUM($D58:$DS58)=0,1,'Вводные'!$B$63))))*BS59)</x:f>
        <x:v>0</x:v>
      </x:c>
      <x:c r="BT66" s="107" t="n">
        <x:f>'Вводные'!$N$90*((IF(SUM($D55:$DS55)=0,0,IF(SUM($D58:$DS58)=0,1,'Вводные'!$B$63)))*BT57+(1-(IF(SUM($D55:$DS55)=0,0,IF(SUM($D58:$DS58)=0,1,'Вводные'!$B$63))))*BT59)</x:f>
        <x:v>0</x:v>
      </x:c>
      <x:c r="BU66" s="107" t="n">
        <x:f>'Вводные'!$N$90*((IF(SUM($D55:$DS55)=0,0,IF(SUM($D58:$DS58)=0,1,'Вводные'!$B$63)))*BU57+(1-(IF(SUM($D55:$DS55)=0,0,IF(SUM($D58:$DS58)=0,1,'Вводные'!$B$63))))*BU59)</x:f>
        <x:v>0</x:v>
      </x:c>
      <x:c r="BV66" s="107" t="n">
        <x:f>'Вводные'!$N$90*((IF(SUM($D55:$DS55)=0,0,IF(SUM($D58:$DS58)=0,1,'Вводные'!$B$63)))*BV57+(1-(IF(SUM($D55:$DS55)=0,0,IF(SUM($D58:$DS58)=0,1,'Вводные'!$B$63))))*BV59)</x:f>
        <x:v>0</x:v>
      </x:c>
      <x:c r="BW66" s="107" t="n">
        <x:f>'Вводные'!$N$90*((IF(SUM($D55:$DS55)=0,0,IF(SUM($D58:$DS58)=0,1,'Вводные'!$B$63)))*BW57+(1-(IF(SUM($D55:$DS55)=0,0,IF(SUM($D58:$DS58)=0,1,'Вводные'!$B$63))))*BW59)</x:f>
        <x:v>0</x:v>
      </x:c>
      <x:c r="BX66" s="107" t="n">
        <x:f>'Вводные'!$N$90*((IF(SUM($D55:$DS55)=0,0,IF(SUM($D58:$DS58)=0,1,'Вводные'!$B$63)))*BX57+(1-(IF(SUM($D55:$DS55)=0,0,IF(SUM($D58:$DS58)=0,1,'Вводные'!$B$63))))*BX59)</x:f>
        <x:v>0</x:v>
      </x:c>
      <x:c r="BY66" s="107" t="n">
        <x:f>'Вводные'!$N$90*((IF(SUM($D55:$DS55)=0,0,IF(SUM($D58:$DS58)=0,1,'Вводные'!$B$63)))*BY57+(1-(IF(SUM($D55:$DS55)=0,0,IF(SUM($D58:$DS58)=0,1,'Вводные'!$B$63))))*BY59)</x:f>
        <x:v>0</x:v>
      </x:c>
      <x:c r="BZ66" s="107" t="n">
        <x:f>'Вводные'!$N$90*((IF(SUM($D55:$DS55)=0,0,IF(SUM($D58:$DS58)=0,1,'Вводные'!$B$63)))*BZ57+(1-(IF(SUM($D55:$DS55)=0,0,IF(SUM($D58:$DS58)=0,1,'Вводные'!$B$63))))*BZ59)</x:f>
        <x:v>0</x:v>
      </x:c>
      <x:c r="CA66" s="107" t="n">
        <x:f>'Вводные'!$N$90*((IF(SUM($D55:$DS55)=0,0,IF(SUM($D58:$DS58)=0,1,'Вводные'!$B$63)))*CA57+(1-(IF(SUM($D55:$DS55)=0,0,IF(SUM($D58:$DS58)=0,1,'Вводные'!$B$63))))*CA59)</x:f>
        <x:v>0</x:v>
      </x:c>
      <x:c r="CB66" s="107" t="n">
        <x:f>'Вводные'!$N$90*((IF(SUM($D55:$DS55)=0,0,IF(SUM($D58:$DS58)=0,1,'Вводные'!$B$63)))*CB57+(1-(IF(SUM($D55:$DS55)=0,0,IF(SUM($D58:$DS58)=0,1,'Вводные'!$B$63))))*CB59)</x:f>
        <x:v>0</x:v>
      </x:c>
      <x:c r="CC66" s="107" t="n">
        <x:f>'Вводные'!$N$90*((IF(SUM($D55:$DS55)=0,0,IF(SUM($D58:$DS58)=0,1,'Вводные'!$B$63)))*CC57+(1-(IF(SUM($D55:$DS55)=0,0,IF(SUM($D58:$DS58)=0,1,'Вводные'!$B$63))))*CC59)</x:f>
        <x:v>0</x:v>
      </x:c>
      <x:c r="CD66" s="107" t="n">
        <x:f>'Вводные'!$N$90*((IF(SUM($D55:$DS55)=0,0,IF(SUM($D58:$DS58)=0,1,'Вводные'!$B$63)))*CD57+(1-(IF(SUM($D55:$DS55)=0,0,IF(SUM($D58:$DS58)=0,1,'Вводные'!$B$63))))*CD59)</x:f>
        <x:v>0</x:v>
      </x:c>
      <x:c r="CE66" s="107" t="n">
        <x:f>'Вводные'!$N$90*((IF(SUM($D55:$DS55)=0,0,IF(SUM($D58:$DS58)=0,1,'Вводные'!$B$63)))*CE57+(1-(IF(SUM($D55:$DS55)=0,0,IF(SUM($D58:$DS58)=0,1,'Вводные'!$B$63))))*CE59)</x:f>
        <x:v>0</x:v>
      </x:c>
      <x:c r="CF66" s="107" t="n">
        <x:f>'Вводные'!$N$90*((IF(SUM($D55:$DS55)=0,0,IF(SUM($D58:$DS58)=0,1,'Вводные'!$B$63)))*CF57+(1-(IF(SUM($D55:$DS55)=0,0,IF(SUM($D58:$DS58)=0,1,'Вводные'!$B$63))))*CF59)</x:f>
        <x:v>0</x:v>
      </x:c>
      <x:c r="CG66" s="107" t="n">
        <x:f>'Вводные'!$N$90*((IF(SUM($D55:$DS55)=0,0,IF(SUM($D58:$DS58)=0,1,'Вводные'!$B$63)))*CG57+(1-(IF(SUM($D55:$DS55)=0,0,IF(SUM($D58:$DS58)=0,1,'Вводные'!$B$63))))*CG59)</x:f>
        <x:v>0</x:v>
      </x:c>
      <x:c r="CH66" s="107" t="n">
        <x:f>'Вводные'!$N$90*((IF(SUM($D55:$DS55)=0,0,IF(SUM($D58:$DS58)=0,1,'Вводные'!$B$63)))*CH57+(1-(IF(SUM($D55:$DS55)=0,0,IF(SUM($D58:$DS58)=0,1,'Вводные'!$B$63))))*CH59)</x:f>
        <x:v>0</x:v>
      </x:c>
      <x:c r="CI66" s="107" t="n">
        <x:f>'Вводные'!$N$90*((IF(SUM($D55:$DS55)=0,0,IF(SUM($D58:$DS58)=0,1,'Вводные'!$B$63)))*CI57+(1-(IF(SUM($D55:$DS55)=0,0,IF(SUM($D58:$DS58)=0,1,'Вводные'!$B$63))))*CI59)</x:f>
        <x:v>0</x:v>
      </x:c>
      <x:c r="CJ66" s="107" t="n">
        <x:f>'Вводные'!$N$90*((IF(SUM($D55:$DS55)=0,0,IF(SUM($D58:$DS58)=0,1,'Вводные'!$B$63)))*CJ57+(1-(IF(SUM($D55:$DS55)=0,0,IF(SUM($D58:$DS58)=0,1,'Вводные'!$B$63))))*CJ59)</x:f>
        <x:v>0</x:v>
      </x:c>
      <x:c r="CK66" s="107" t="n">
        <x:f>'Вводные'!$N$90*((IF(SUM($D55:$DS55)=0,0,IF(SUM($D58:$DS58)=0,1,'Вводные'!$B$63)))*CK57+(1-(IF(SUM($D55:$DS55)=0,0,IF(SUM($D58:$DS58)=0,1,'Вводные'!$B$63))))*CK59)</x:f>
        <x:v>0</x:v>
      </x:c>
      <x:c r="CL66" s="107" t="n">
        <x:f>'Вводные'!$N$90*((IF(SUM($D55:$DS55)=0,0,IF(SUM($D58:$DS58)=0,1,'Вводные'!$B$63)))*CL57+(1-(IF(SUM($D55:$DS55)=0,0,IF(SUM($D58:$DS58)=0,1,'Вводные'!$B$63))))*CL59)</x:f>
        <x:v>0</x:v>
      </x:c>
      <x:c r="CM66" s="107" t="n">
        <x:f>'Вводные'!$N$90*((IF(SUM($D55:$DS55)=0,0,IF(SUM($D58:$DS58)=0,1,'Вводные'!$B$63)))*CM57+(1-(IF(SUM($D55:$DS55)=0,0,IF(SUM($D58:$DS58)=0,1,'Вводные'!$B$63))))*CM59)</x:f>
        <x:v>0</x:v>
      </x:c>
      <x:c r="CN66" s="107" t="n">
        <x:f>'Вводные'!$N$90*((IF(SUM($D55:$DS55)=0,0,IF(SUM($D58:$DS58)=0,1,'Вводные'!$B$63)))*CN57+(1-(IF(SUM($D55:$DS55)=0,0,IF(SUM($D58:$DS58)=0,1,'Вводные'!$B$63))))*CN59)</x:f>
        <x:v>0</x:v>
      </x:c>
      <x:c r="CO66" s="107" t="n">
        <x:f>'Вводные'!$N$90*((IF(SUM($D55:$DS55)=0,0,IF(SUM($D58:$DS58)=0,1,'Вводные'!$B$63)))*CO57+(1-(IF(SUM($D55:$DS55)=0,0,IF(SUM($D58:$DS58)=0,1,'Вводные'!$B$63))))*CO59)</x:f>
        <x:v>0</x:v>
      </x:c>
      <x:c r="CP66" s="107" t="n">
        <x:f>'Вводные'!$N$90*((IF(SUM($D55:$DS55)=0,0,IF(SUM($D58:$DS58)=0,1,'Вводные'!$B$63)))*CP57+(1-(IF(SUM($D55:$DS55)=0,0,IF(SUM($D58:$DS58)=0,1,'Вводные'!$B$63))))*CP59)</x:f>
        <x:v>0</x:v>
      </x:c>
      <x:c r="CQ66" s="107" t="n">
        <x:f>'Вводные'!$N$90*((IF(SUM($D55:$DS55)=0,0,IF(SUM($D58:$DS58)=0,1,'Вводные'!$B$63)))*CQ57+(1-(IF(SUM($D55:$DS55)=0,0,IF(SUM($D58:$DS58)=0,1,'Вводные'!$B$63))))*CQ59)</x:f>
        <x:v>0</x:v>
      </x:c>
      <x:c r="CR66" s="107" t="n">
        <x:f>'Вводные'!$N$90*((IF(SUM($D55:$DS55)=0,0,IF(SUM($D58:$DS58)=0,1,'Вводные'!$B$63)))*CR57+(1-(IF(SUM($D55:$DS55)=0,0,IF(SUM($D58:$DS58)=0,1,'Вводные'!$B$63))))*CR59)</x:f>
        <x:v>0</x:v>
      </x:c>
      <x:c r="CS66" s="107" t="n">
        <x:f>'Вводные'!$N$90*((IF(SUM($D55:$DS55)=0,0,IF(SUM($D58:$DS58)=0,1,'Вводные'!$B$63)))*CS57+(1-(IF(SUM($D55:$DS55)=0,0,IF(SUM($D58:$DS58)=0,1,'Вводные'!$B$63))))*CS59)</x:f>
        <x:v>0</x:v>
      </x:c>
      <x:c r="CT66" s="107" t="n">
        <x:f>'Вводные'!$N$90*((IF(SUM($D55:$DS55)=0,0,IF(SUM($D58:$DS58)=0,1,'Вводные'!$B$63)))*CT57+(1-(IF(SUM($D55:$DS55)=0,0,IF(SUM($D58:$DS58)=0,1,'Вводные'!$B$63))))*CT59)</x:f>
        <x:v>0</x:v>
      </x:c>
      <x:c r="CU66" s="107" t="n">
        <x:f>'Вводные'!$N$90*((IF(SUM($D55:$DS55)=0,0,IF(SUM($D58:$DS58)=0,1,'Вводные'!$B$63)))*CU57+(1-(IF(SUM($D55:$DS55)=0,0,IF(SUM($D58:$DS58)=0,1,'Вводные'!$B$63))))*CU59)</x:f>
        <x:v>0</x:v>
      </x:c>
      <x:c r="CV66" s="107" t="n">
        <x:f>'Вводные'!$N$90*((IF(SUM($D55:$DS55)=0,0,IF(SUM($D58:$DS58)=0,1,'Вводные'!$B$63)))*CV57+(1-(IF(SUM($D55:$DS55)=0,0,IF(SUM($D58:$DS58)=0,1,'Вводные'!$B$63))))*CV59)</x:f>
        <x:v>0</x:v>
      </x:c>
      <x:c r="CW66" s="107" t="n">
        <x:f>'Вводные'!$N$90*((IF(SUM($D55:$DS55)=0,0,IF(SUM($D58:$DS58)=0,1,'Вводные'!$B$63)))*CW57+(1-(IF(SUM($D55:$DS55)=0,0,IF(SUM($D58:$DS58)=0,1,'Вводные'!$B$63))))*CW59)</x:f>
        <x:v>0</x:v>
      </x:c>
      <x:c r="CX66" s="107" t="n">
        <x:f>'Вводные'!$N$90*((IF(SUM($D55:$DS55)=0,0,IF(SUM($D58:$DS58)=0,1,'Вводные'!$B$63)))*CX57+(1-(IF(SUM($D55:$DS55)=0,0,IF(SUM($D58:$DS58)=0,1,'Вводные'!$B$63))))*CX59)</x:f>
        <x:v>0</x:v>
      </x:c>
      <x:c r="CY66" s="107" t="n">
        <x:f>'Вводные'!$N$90*((IF(SUM($D55:$DS55)=0,0,IF(SUM($D58:$DS58)=0,1,'Вводные'!$B$63)))*CY57+(1-(IF(SUM($D55:$DS55)=0,0,IF(SUM($D58:$DS58)=0,1,'Вводные'!$B$63))))*CY59)</x:f>
        <x:v>0</x:v>
      </x:c>
      <x:c r="CZ66" s="107" t="n">
        <x:f>'Вводные'!$N$90*((IF(SUM($D55:$DS55)=0,0,IF(SUM($D58:$DS58)=0,1,'Вводные'!$B$63)))*CZ57+(1-(IF(SUM($D55:$DS55)=0,0,IF(SUM($D58:$DS58)=0,1,'Вводные'!$B$63))))*CZ59)</x:f>
        <x:v>0</x:v>
      </x:c>
      <x:c r="DA66" s="107" t="n">
        <x:f>'Вводные'!$N$90*((IF(SUM($D55:$DS55)=0,0,IF(SUM($D58:$DS58)=0,1,'Вводные'!$B$63)))*DA57+(1-(IF(SUM($D55:$DS55)=0,0,IF(SUM($D58:$DS58)=0,1,'Вводные'!$B$63))))*DA59)</x:f>
        <x:v>0</x:v>
      </x:c>
      <x:c r="DB66" s="107" t="n">
        <x:f>'Вводные'!$N$90*((IF(SUM($D55:$DS55)=0,0,IF(SUM($D58:$DS58)=0,1,'Вводные'!$B$63)))*DB57+(1-(IF(SUM($D55:$DS55)=0,0,IF(SUM($D58:$DS58)=0,1,'Вводные'!$B$63))))*DB59)</x:f>
        <x:v>0</x:v>
      </x:c>
      <x:c r="DC66" s="107" t="n">
        <x:f>'Вводные'!$N$90*((IF(SUM($D55:$DS55)=0,0,IF(SUM($D58:$DS58)=0,1,'Вводные'!$B$63)))*DC57+(1-(IF(SUM($D55:$DS55)=0,0,IF(SUM($D58:$DS58)=0,1,'Вводные'!$B$63))))*DC59)</x:f>
        <x:v>0</x:v>
      </x:c>
      <x:c r="DD66" s="107" t="n">
        <x:f>'Вводные'!$N$90*((IF(SUM($D55:$DS55)=0,0,IF(SUM($D58:$DS58)=0,1,'Вводные'!$B$63)))*DD57+(1-(IF(SUM($D55:$DS55)=0,0,IF(SUM($D58:$DS58)=0,1,'Вводные'!$B$63))))*DD59)</x:f>
        <x:v>0</x:v>
      </x:c>
      <x:c r="DE66" s="107" t="n">
        <x:f>'Вводные'!$N$90*((IF(SUM($D55:$DS55)=0,0,IF(SUM($D58:$DS58)=0,1,'Вводные'!$B$63)))*DE57+(1-(IF(SUM($D55:$DS55)=0,0,IF(SUM($D58:$DS58)=0,1,'Вводные'!$B$63))))*DE59)</x:f>
        <x:v>0</x:v>
      </x:c>
      <x:c r="DF66" s="107" t="n">
        <x:f>'Вводные'!$N$90*((IF(SUM($D55:$DS55)=0,0,IF(SUM($D58:$DS58)=0,1,'Вводные'!$B$63)))*DF57+(1-(IF(SUM($D55:$DS55)=0,0,IF(SUM($D58:$DS58)=0,1,'Вводные'!$B$63))))*DF59)</x:f>
        <x:v>0</x:v>
      </x:c>
      <x:c r="DG66" s="107" t="n">
        <x:f>'Вводные'!$N$90*((IF(SUM($D55:$DS55)=0,0,IF(SUM($D58:$DS58)=0,1,'Вводные'!$B$63)))*DG57+(1-(IF(SUM($D55:$DS55)=0,0,IF(SUM($D58:$DS58)=0,1,'Вводные'!$B$63))))*DG59)</x:f>
        <x:v>0</x:v>
      </x:c>
      <x:c r="DH66" s="107" t="n">
        <x:f>'Вводные'!$N$90*((IF(SUM($D55:$DS55)=0,0,IF(SUM($D58:$DS58)=0,1,'Вводные'!$B$63)))*DH57+(1-(IF(SUM($D55:$DS55)=0,0,IF(SUM($D58:$DS58)=0,1,'Вводные'!$B$63))))*DH59)</x:f>
        <x:v>0</x:v>
      </x:c>
      <x:c r="DI66" s="107" t="n">
        <x:f>'Вводные'!$N$90*((IF(SUM($D55:$DS55)=0,0,IF(SUM($D58:$DS58)=0,1,'Вводные'!$B$63)))*DI57+(1-(IF(SUM($D55:$DS55)=0,0,IF(SUM($D58:$DS58)=0,1,'Вводные'!$B$63))))*DI59)</x:f>
        <x:v>0</x:v>
      </x:c>
      <x:c r="DJ66" s="107" t="n">
        <x:f>'Вводные'!$N$90*((IF(SUM($D55:$DS55)=0,0,IF(SUM($D58:$DS58)=0,1,'Вводные'!$B$63)))*DJ57+(1-(IF(SUM($D55:$DS55)=0,0,IF(SUM($D58:$DS58)=0,1,'Вводные'!$B$63))))*DJ59)</x:f>
        <x:v>0</x:v>
      </x:c>
      <x:c r="DK66" s="107" t="n">
        <x:f>'Вводные'!$N$90*((IF(SUM($D55:$DS55)=0,0,IF(SUM($D58:$DS58)=0,1,'Вводные'!$B$63)))*DK57+(1-(IF(SUM($D55:$DS55)=0,0,IF(SUM($D58:$DS58)=0,1,'Вводные'!$B$63))))*DK59)</x:f>
        <x:v>0</x:v>
      </x:c>
      <x:c r="DL66" s="107" t="n">
        <x:f>'Вводные'!$N$90*((IF(SUM($D55:$DS55)=0,0,IF(SUM($D58:$DS58)=0,1,'Вводные'!$B$63)))*DL57+(1-(IF(SUM($D55:$DS55)=0,0,IF(SUM($D58:$DS58)=0,1,'Вводные'!$B$63))))*DL59)</x:f>
        <x:v>0</x:v>
      </x:c>
      <x:c r="DM66" s="107" t="n">
        <x:f>'Вводные'!$N$90*((IF(SUM($D55:$DS55)=0,0,IF(SUM($D58:$DS58)=0,1,'Вводные'!$B$63)))*DM57+(1-(IF(SUM($D55:$DS55)=0,0,IF(SUM($D58:$DS58)=0,1,'Вводные'!$B$63))))*DM59)</x:f>
        <x:v>0</x:v>
      </x:c>
      <x:c r="DN66" s="107" t="n">
        <x:f>'Вводные'!$N$90*((IF(SUM($D55:$DS55)=0,0,IF(SUM($D58:$DS58)=0,1,'Вводные'!$B$63)))*DN57+(1-(IF(SUM($D55:$DS55)=0,0,IF(SUM($D58:$DS58)=0,1,'Вводные'!$B$63))))*DN59)</x:f>
        <x:v>0</x:v>
      </x:c>
      <x:c r="DO66" s="107" t="n">
        <x:f>'Вводные'!$N$90*((IF(SUM($D55:$DS55)=0,0,IF(SUM($D58:$DS58)=0,1,'Вводные'!$B$63)))*DO57+(1-(IF(SUM($D55:$DS55)=0,0,IF(SUM($D58:$DS58)=0,1,'Вводные'!$B$63))))*DO59)</x:f>
        <x:v>0</x:v>
      </x:c>
      <x:c r="DP66" s="107" t="n">
        <x:f>'Вводные'!$N$90*((IF(SUM($D55:$DS55)=0,0,IF(SUM($D58:$DS58)=0,1,'Вводные'!$B$63)))*DP57+(1-(IF(SUM($D55:$DS55)=0,0,IF(SUM($D58:$DS58)=0,1,'Вводные'!$B$63))))*DP59)</x:f>
        <x:v>0</x:v>
      </x:c>
      <x:c r="DQ66" s="107" t="n">
        <x:f>'Вводные'!$N$90*((IF(SUM($D55:$DS55)=0,0,IF(SUM($D58:$DS58)=0,1,'Вводные'!$B$63)))*DQ57+(1-(IF(SUM($D55:$DS55)=0,0,IF(SUM($D58:$DS58)=0,1,'Вводные'!$B$63))))*DQ59)</x:f>
        <x:v>0</x:v>
      </x:c>
      <x:c r="DR66" s="107" t="n">
        <x:f>'Вводные'!$N$90*((IF(SUM($D55:$DS55)=0,0,IF(SUM($D58:$DS58)=0,1,'Вводные'!$B$63)))*DR57+(1-(IF(SUM($D55:$DS55)=0,0,IF(SUM($D58:$DS58)=0,1,'Вводные'!$B$63))))*DR59)</x:f>
        <x:v>0</x:v>
      </x:c>
      <x:c r="DS66" s="107" t="n">
        <x:f>'Вводные'!$N$90*((IF(SUM($D55:$DS55)=0,0,IF(SUM($D58:$DS58)=0,1,'Вводные'!$B$63)))*DS57+(1-(IF(SUM($D55:$DS55)=0,0,IF(SUM($D58:$DS58)=0,1,'Вводные'!$B$63))))*DS59)</x:f>
        <x:v>0</x:v>
      </x:c>
    </x:row>
    <x:row r="67">
      <x:c r="A67" t="str">
        <x:v>Паркинг — цена</x:v>
      </x:c>
      <x:c r="B67" t="n">
        <x:f>IFERROR(B68*1000/B66,0)</x:f>
        <x:v>0</x:v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8">
      <x:c r="A68" t="str">
        <x:v>Паркинг — выручка</x:v>
      </x:c>
      <x:c r="B68" t="n">
        <x:f>SUM(D68:DS68)</x:f>
        <x:v>0</x:v>
      </x:c>
      <x:c r="C68" t="str">
        <x:v>млн ₽</x:v>
      </x:c>
      <x:c r="D68" s="107" t="n">
        <x:f>D66*D67/1000</x:f>
        <x:v>0</x:v>
      </x:c>
      <x:c r="E68" s="107" t="n">
        <x:f>E66*E67/1000</x:f>
        <x:v>0</x:v>
      </x:c>
      <x:c r="F68" s="107" t="n">
        <x:f>F66*F67/1000</x:f>
        <x:v>0</x:v>
      </x:c>
      <x:c r="G68" s="107" t="n">
        <x:f>G66*G67/1000</x:f>
        <x:v>0</x:v>
      </x:c>
      <x:c r="H68" s="107" t="n">
        <x:f>H66*H67/1000</x:f>
        <x:v>0</x:v>
      </x:c>
      <x:c r="I68" s="107" t="n">
        <x:f>I66*I67/1000</x:f>
        <x:v>0</x:v>
      </x:c>
      <x:c r="J68" s="107" t="n">
        <x:f>J66*J67/1000</x:f>
        <x:v>0</x:v>
      </x:c>
      <x:c r="K68" s="107" t="n">
        <x:f>K66*K67/1000</x:f>
        <x:v>0</x:v>
      </x:c>
      <x:c r="L68" s="107" t="n">
        <x:f>L66*L67/1000</x:f>
        <x:v>0</x:v>
      </x:c>
      <x:c r="M68" s="107" t="n">
        <x:f>M66*M67/1000</x:f>
        <x:v>0</x:v>
      </x:c>
      <x:c r="N68" s="107" t="n">
        <x:f>N66*N67/1000</x:f>
        <x:v>0</x:v>
      </x:c>
      <x:c r="O68" s="107" t="n">
        <x:f>O66*O67/1000</x:f>
        <x:v>0</x:v>
      </x:c>
      <x:c r="P68" s="107" t="n">
        <x:f>P66*P67/1000</x:f>
        <x:v>0</x:v>
      </x:c>
      <x:c r="Q68" s="107" t="n">
        <x:f>Q66*Q67/1000</x:f>
        <x:v>0</x:v>
      </x:c>
      <x:c r="R68" s="107" t="n">
        <x:f>R66*R67/1000</x:f>
        <x:v>0</x:v>
      </x:c>
      <x:c r="S68" s="107" t="n">
        <x:f>S66*S67/1000</x:f>
        <x:v>0</x:v>
      </x:c>
      <x:c r="T68" s="107" t="n">
        <x:f>T66*T67/1000</x:f>
        <x:v>0</x:v>
      </x:c>
      <x:c r="U68" s="107" t="n">
        <x:f>U66*U67/1000</x:f>
        <x:v>0</x:v>
      </x:c>
      <x:c r="V68" s="107" t="n">
        <x:f>V66*V67/1000</x:f>
        <x:v>0</x:v>
      </x:c>
      <x:c r="W68" s="107" t="n">
        <x:f>W66*W67/1000</x:f>
        <x:v>0</x:v>
      </x:c>
      <x:c r="X68" s="107" t="n">
        <x:f>X66*X67/1000</x:f>
        <x:v>0</x:v>
      </x:c>
      <x:c r="Y68" s="107" t="n">
        <x:f>Y66*Y67/1000</x:f>
        <x:v>0</x:v>
      </x:c>
      <x:c r="Z68" s="107" t="n">
        <x:f>Z66*Z67/1000</x:f>
        <x:v>0</x:v>
      </x:c>
      <x:c r="AA68" s="107" t="n">
        <x:f>AA66*AA67/1000</x:f>
        <x:v>0</x:v>
      </x:c>
      <x:c r="AB68" s="107" t="n">
        <x:f>AB66*AB67/1000</x:f>
        <x:v>0</x:v>
      </x:c>
      <x:c r="AC68" s="107" t="n">
        <x:f>AC66*AC67/1000</x:f>
        <x:v>0</x:v>
      </x:c>
      <x:c r="AD68" s="107" t="n">
        <x:f>AD66*AD67/1000</x:f>
        <x:v>0</x:v>
      </x:c>
      <x:c r="AE68" s="107" t="n">
        <x:f>AE66*AE67/1000</x:f>
        <x:v>0</x:v>
      </x:c>
      <x:c r="AF68" s="107" t="n">
        <x:f>AF66*AF67/1000</x:f>
        <x:v>0</x:v>
      </x:c>
      <x:c r="AG68" s="107" t="n">
        <x:f>AG66*AG67/1000</x:f>
        <x:v>0</x:v>
      </x:c>
      <x:c r="AH68" s="107" t="n">
        <x:f>AH66*AH67/1000</x:f>
        <x:v>0</x:v>
      </x:c>
      <x:c r="AI68" s="107" t="n">
        <x:f>AI66*AI67/1000</x:f>
        <x:v>0</x:v>
      </x:c>
      <x:c r="AJ68" s="107" t="n">
        <x:f>AJ66*AJ67/1000</x:f>
        <x:v>0</x:v>
      </x:c>
      <x:c r="AK68" s="107" t="n">
        <x:f>AK66*AK67/1000</x:f>
        <x:v>0</x:v>
      </x:c>
      <x:c r="AL68" s="107" t="n">
        <x:f>AL66*AL67/1000</x:f>
        <x:v>0</x:v>
      </x:c>
      <x:c r="AM68" s="107" t="n">
        <x:f>AM66*AM67/1000</x:f>
        <x:v>0</x:v>
      </x:c>
      <x:c r="AN68" s="107" t="n">
        <x:f>AN66*AN67/1000</x:f>
        <x:v>0</x:v>
      </x:c>
      <x:c r="AO68" s="107" t="n">
        <x:f>AO66*AO67/1000</x:f>
        <x:v>0</x:v>
      </x:c>
      <x:c r="AP68" s="107" t="n">
        <x:f>AP66*AP67/1000</x:f>
        <x:v>0</x:v>
      </x:c>
      <x:c r="AQ68" s="107" t="n">
        <x:f>AQ66*AQ67/1000</x:f>
        <x:v>0</x:v>
      </x:c>
      <x:c r="AR68" s="107" t="n">
        <x:f>AR66*AR67/1000</x:f>
        <x:v>0</x:v>
      </x:c>
      <x:c r="AS68" s="107" t="n">
        <x:f>AS66*AS67/1000</x:f>
        <x:v>0</x:v>
      </x:c>
      <x:c r="AT68" s="107" t="n">
        <x:f>AT66*AT67/1000</x:f>
        <x:v>0</x:v>
      </x:c>
      <x:c r="AU68" s="107" t="n">
        <x:f>AU66*AU67/1000</x:f>
        <x:v>0</x:v>
      </x:c>
      <x:c r="AV68" s="107" t="n">
        <x:f>AV66*AV67/1000</x:f>
        <x:v>0</x:v>
      </x:c>
      <x:c r="AW68" s="107" t="n">
        <x:f>AW66*AW67/1000</x:f>
        <x:v>0</x:v>
      </x:c>
      <x:c r="AX68" s="107" t="n">
        <x:f>AX66*AX67/1000</x:f>
        <x:v>0</x:v>
      </x:c>
      <x:c r="AY68" s="107" t="n">
        <x:f>AY66*AY67/1000</x:f>
        <x:v>0</x:v>
      </x:c>
      <x:c r="AZ68" s="107" t="n">
        <x:f>AZ66*AZ67/1000</x:f>
        <x:v>0</x:v>
      </x:c>
      <x:c r="BA68" s="107" t="n">
        <x:f>BA66*BA67/1000</x:f>
        <x:v>0</x:v>
      </x:c>
      <x:c r="BB68" s="107" t="n">
        <x:f>BB66*BB67/1000</x:f>
        <x:v>0</x:v>
      </x:c>
      <x:c r="BC68" s="107" t="n">
        <x:f>BC66*BC67/1000</x:f>
        <x:v>0</x:v>
      </x:c>
      <x:c r="BD68" s="107" t="n">
        <x:f>BD66*BD67/1000</x:f>
        <x:v>0</x:v>
      </x:c>
      <x:c r="BE68" s="107" t="n">
        <x:f>BE66*BE67/1000</x:f>
        <x:v>0</x:v>
      </x:c>
      <x:c r="BF68" s="107" t="n">
        <x:f>BF66*BF67/1000</x:f>
        <x:v>0</x:v>
      </x:c>
      <x:c r="BG68" s="107" t="n">
        <x:f>BG66*BG67/1000</x:f>
        <x:v>0</x:v>
      </x:c>
      <x:c r="BH68" s="107" t="n">
        <x:f>BH66*BH67/1000</x:f>
        <x:v>0</x:v>
      </x:c>
      <x:c r="BI68" s="107" t="n">
        <x:f>BI66*BI67/1000</x:f>
        <x:v>0</x:v>
      </x:c>
      <x:c r="BJ68" s="107" t="n">
        <x:f>BJ66*BJ67/1000</x:f>
        <x:v>0</x:v>
      </x:c>
      <x:c r="BK68" s="107" t="n">
        <x:f>BK66*BK67/1000</x:f>
        <x:v>0</x:v>
      </x:c>
      <x:c r="BL68" s="107" t="n">
        <x:f>BL66*BL67/1000</x:f>
        <x:v>0</x:v>
      </x:c>
      <x:c r="BM68" s="107" t="n">
        <x:f>BM66*BM67/1000</x:f>
        <x:v>0</x:v>
      </x:c>
      <x:c r="BN68" s="107" t="n">
        <x:f>BN66*BN67/1000</x:f>
        <x:v>0</x:v>
      </x:c>
      <x:c r="BO68" s="107" t="n">
        <x:f>BO66*BO67/1000</x:f>
        <x:v>0</x:v>
      </x:c>
      <x:c r="BP68" s="107" t="n">
        <x:f>BP66*BP67/1000</x:f>
        <x:v>0</x:v>
      </x:c>
      <x:c r="BQ68" s="107" t="n">
        <x:f>BQ66*BQ67/1000</x:f>
        <x:v>0</x:v>
      </x:c>
      <x:c r="BR68" s="107" t="n">
        <x:f>BR66*BR67/1000</x:f>
        <x:v>0</x:v>
      </x:c>
      <x:c r="BS68" s="107" t="n">
        <x:f>BS66*BS67/1000</x:f>
        <x:v>0</x:v>
      </x:c>
      <x:c r="BT68" s="107" t="n">
        <x:f>BT66*BT67/1000</x:f>
        <x:v>0</x:v>
      </x:c>
      <x:c r="BU68" s="107" t="n">
        <x:f>BU66*BU67/1000</x:f>
        <x:v>0</x:v>
      </x:c>
      <x:c r="BV68" s="107" t="n">
        <x:f>BV66*BV67/1000</x:f>
        <x:v>0</x:v>
      </x:c>
      <x:c r="BW68" s="107" t="n">
        <x:f>BW66*BW67/1000</x:f>
        <x:v>0</x:v>
      </x:c>
      <x:c r="BX68" s="107" t="n">
        <x:f>BX66*BX67/1000</x:f>
        <x:v>0</x:v>
      </x:c>
      <x:c r="BY68" s="107" t="n">
        <x:f>BY66*BY67/1000</x:f>
        <x:v>0</x:v>
      </x:c>
      <x:c r="BZ68" s="107" t="n">
        <x:f>BZ66*BZ67/1000</x:f>
        <x:v>0</x:v>
      </x:c>
      <x:c r="CA68" s="107" t="n">
        <x:f>CA66*CA67/1000</x:f>
        <x:v>0</x:v>
      </x:c>
      <x:c r="CB68" s="107" t="n">
        <x:f>CB66*CB67/1000</x:f>
        <x:v>0</x:v>
      </x:c>
      <x:c r="CC68" s="107" t="n">
        <x:f>CC66*CC67/1000</x:f>
        <x:v>0</x:v>
      </x:c>
      <x:c r="CD68" s="107" t="n">
        <x:f>CD66*CD67/1000</x:f>
        <x:v>0</x:v>
      </x:c>
      <x:c r="CE68" s="107" t="n">
        <x:f>CE66*CE67/1000</x:f>
        <x:v>0</x:v>
      </x:c>
      <x:c r="CF68" s="107" t="n">
        <x:f>CF66*CF67/1000</x:f>
        <x:v>0</x:v>
      </x:c>
      <x:c r="CG68" s="107" t="n">
        <x:f>CG66*CG67/1000</x:f>
        <x:v>0</x:v>
      </x:c>
      <x:c r="CH68" s="107" t="n">
        <x:f>CH66*CH67/1000</x:f>
        <x:v>0</x:v>
      </x:c>
      <x:c r="CI68" s="107" t="n">
        <x:f>CI66*CI67/1000</x:f>
        <x:v>0</x:v>
      </x:c>
      <x:c r="CJ68" s="107" t="n">
        <x:f>CJ66*CJ67/1000</x:f>
        <x:v>0</x:v>
      </x:c>
      <x:c r="CK68" s="107" t="n">
        <x:f>CK66*CK67/1000</x:f>
        <x:v>0</x:v>
      </x:c>
      <x:c r="CL68" s="107" t="n">
        <x:f>CL66*CL67/1000</x:f>
        <x:v>0</x:v>
      </x:c>
      <x:c r="CM68" s="107" t="n">
        <x:f>CM66*CM67/1000</x:f>
        <x:v>0</x:v>
      </x:c>
      <x:c r="CN68" s="107" t="n">
        <x:f>CN66*CN67/1000</x:f>
        <x:v>0</x:v>
      </x:c>
      <x:c r="CO68" s="107" t="n">
        <x:f>CO66*CO67/1000</x:f>
        <x:v>0</x:v>
      </x:c>
      <x:c r="CP68" s="107" t="n">
        <x:f>CP66*CP67/1000</x:f>
        <x:v>0</x:v>
      </x:c>
      <x:c r="CQ68" s="107" t="n">
        <x:f>CQ66*CQ67/1000</x:f>
        <x:v>0</x:v>
      </x:c>
      <x:c r="CR68" s="107" t="n">
        <x:f>CR66*CR67/1000</x:f>
        <x:v>0</x:v>
      </x:c>
      <x:c r="CS68" s="107" t="n">
        <x:f>CS66*CS67/1000</x:f>
        <x:v>0</x:v>
      </x:c>
      <x:c r="CT68" s="107" t="n">
        <x:f>CT66*CT67/1000</x:f>
        <x:v>0</x:v>
      </x:c>
      <x:c r="CU68" s="107" t="n">
        <x:f>CU66*CU67/1000</x:f>
        <x:v>0</x:v>
      </x:c>
      <x:c r="CV68" s="107" t="n">
        <x:f>CV66*CV67/1000</x:f>
        <x:v>0</x:v>
      </x:c>
      <x:c r="CW68" s="107" t="n">
        <x:f>CW66*CW67/1000</x:f>
        <x:v>0</x:v>
      </x:c>
      <x:c r="CX68" s="107" t="n">
        <x:f>CX66*CX67/1000</x:f>
        <x:v>0</x:v>
      </x:c>
      <x:c r="CY68" s="107" t="n">
        <x:f>CY66*CY67/1000</x:f>
        <x:v>0</x:v>
      </x:c>
      <x:c r="CZ68" s="107" t="n">
        <x:f>CZ66*CZ67/1000</x:f>
        <x:v>0</x:v>
      </x:c>
      <x:c r="DA68" s="107" t="n">
        <x:f>DA66*DA67/1000</x:f>
        <x:v>0</x:v>
      </x:c>
      <x:c r="DB68" s="107" t="n">
        <x:f>DB66*DB67/1000</x:f>
        <x:v>0</x:v>
      </x:c>
      <x:c r="DC68" s="107" t="n">
        <x:f>DC66*DC67/1000</x:f>
        <x:v>0</x:v>
      </x:c>
      <x:c r="DD68" s="107" t="n">
        <x:f>DD66*DD67/1000</x:f>
        <x:v>0</x:v>
      </x:c>
      <x:c r="DE68" s="107" t="n">
        <x:f>DE66*DE67/1000</x:f>
        <x:v>0</x:v>
      </x:c>
      <x:c r="DF68" s="107" t="n">
        <x:f>DF66*DF67/1000</x:f>
        <x:v>0</x:v>
      </x:c>
      <x:c r="DG68" s="107" t="n">
        <x:f>DG66*DG67/1000</x:f>
        <x:v>0</x:v>
      </x:c>
      <x:c r="DH68" s="107" t="n">
        <x:f>DH66*DH67/1000</x:f>
        <x:v>0</x:v>
      </x:c>
      <x:c r="DI68" s="107" t="n">
        <x:f>DI66*DI67/1000</x:f>
        <x:v>0</x:v>
      </x:c>
      <x:c r="DJ68" s="107" t="n">
        <x:f>DJ66*DJ67/1000</x:f>
        <x:v>0</x:v>
      </x:c>
      <x:c r="DK68" s="107" t="n">
        <x:f>DK66*DK67/1000</x:f>
        <x:v>0</x:v>
      </x:c>
      <x:c r="DL68" s="107" t="n">
        <x:f>DL66*DL67/1000</x:f>
        <x:v>0</x:v>
      </x:c>
      <x:c r="DM68" s="107" t="n">
        <x:f>DM66*DM67/1000</x:f>
        <x:v>0</x:v>
      </x:c>
      <x:c r="DN68" s="107" t="n">
        <x:f>DN66*DN67/1000</x:f>
        <x:v>0</x:v>
      </x:c>
      <x:c r="DO68" s="107" t="n">
        <x:f>DO66*DO67/1000</x:f>
        <x:v>0</x:v>
      </x:c>
      <x:c r="DP68" s="107" t="n">
        <x:f>DP66*DP67/1000</x:f>
        <x:v>0</x:v>
      </x:c>
      <x:c r="DQ68" s="107" t="n">
        <x:f>DQ66*DQ67/1000</x:f>
        <x:v>0</x:v>
      </x:c>
      <x:c r="DR68" s="107" t="n">
        <x:f>DR66*DR67/1000</x:f>
        <x:v>0</x:v>
      </x:c>
      <x:c r="DS68" s="107" t="n">
        <x:f>DS66*DS67/1000</x:f>
        <x:v>0</x:v>
      </x:c>
    </x:row>
    <x:row r="69">
      <x:c r="A69" t="str">
        <x:v>Кладовые — объём</x:v>
      </x:c>
      <x:c r="B69" t="n">
        <x:f>SUM(D69:DS69)</x:f>
        <x:v>0</x:v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  <x:v>0</x:v>
      </x:c>
      <x:c r="E69" s="107" t="n">
        <x:f>'Вводные'!$O$90*((IF(SUM($D55:$DS55)=0,0,IF(SUM($D58:$DS58)=0,1,'Вводные'!$B$63)))*E57+(1-(IF(SUM($D55:$DS55)=0,0,IF(SUM($D58:$DS58)=0,1,'Вводные'!$B$63))))*E59)</x:f>
        <x:v>0</x:v>
      </x:c>
      <x:c r="F69" s="107" t="n">
        <x:f>'Вводные'!$O$90*((IF(SUM($D55:$DS55)=0,0,IF(SUM($D58:$DS58)=0,1,'Вводные'!$B$63)))*F57+(1-(IF(SUM($D55:$DS55)=0,0,IF(SUM($D58:$DS58)=0,1,'Вводные'!$B$63))))*F59)</x:f>
        <x:v>0</x:v>
      </x:c>
      <x:c r="G69" s="107" t="n">
        <x:f>'Вводные'!$O$90*((IF(SUM($D55:$DS55)=0,0,IF(SUM($D58:$DS58)=0,1,'Вводные'!$B$63)))*G57+(1-(IF(SUM($D55:$DS55)=0,0,IF(SUM($D58:$DS58)=0,1,'Вводные'!$B$63))))*G59)</x:f>
        <x:v>0</x:v>
      </x:c>
      <x:c r="H69" s="107" t="n">
        <x:f>'Вводные'!$O$90*((IF(SUM($D55:$DS55)=0,0,IF(SUM($D58:$DS58)=0,1,'Вводные'!$B$63)))*H57+(1-(IF(SUM($D55:$DS55)=0,0,IF(SUM($D58:$DS58)=0,1,'Вводные'!$B$63))))*H59)</x:f>
        <x:v>0</x:v>
      </x:c>
      <x:c r="I69" s="107" t="n">
        <x:f>'Вводные'!$O$90*((IF(SUM($D55:$DS55)=0,0,IF(SUM($D58:$DS58)=0,1,'Вводные'!$B$63)))*I57+(1-(IF(SUM($D55:$DS55)=0,0,IF(SUM($D58:$DS58)=0,1,'Вводные'!$B$63))))*I59)</x:f>
        <x:v>0</x:v>
      </x:c>
      <x:c r="J69" s="107" t="n">
        <x:f>'Вводные'!$O$90*((IF(SUM($D55:$DS55)=0,0,IF(SUM($D58:$DS58)=0,1,'Вводные'!$B$63)))*J57+(1-(IF(SUM($D55:$DS55)=0,0,IF(SUM($D58:$DS58)=0,1,'Вводные'!$B$63))))*J59)</x:f>
        <x:v>0</x:v>
      </x:c>
      <x:c r="K69" s="107" t="n">
        <x:f>'Вводные'!$O$90*((IF(SUM($D55:$DS55)=0,0,IF(SUM($D58:$DS58)=0,1,'Вводные'!$B$63)))*K57+(1-(IF(SUM($D55:$DS55)=0,0,IF(SUM($D58:$DS58)=0,1,'Вводные'!$B$63))))*K59)</x:f>
        <x:v>0</x:v>
      </x:c>
      <x:c r="L69" s="107" t="n">
        <x:f>'Вводные'!$O$90*((IF(SUM($D55:$DS55)=0,0,IF(SUM($D58:$DS58)=0,1,'Вводные'!$B$63)))*L57+(1-(IF(SUM($D55:$DS55)=0,0,IF(SUM($D58:$DS58)=0,1,'Вводные'!$B$63))))*L59)</x:f>
        <x:v>0</x:v>
      </x:c>
      <x:c r="M69" s="107" t="n">
        <x:f>'Вводные'!$O$90*((IF(SUM($D55:$DS55)=0,0,IF(SUM($D58:$DS58)=0,1,'Вводные'!$B$63)))*M57+(1-(IF(SUM($D55:$DS55)=0,0,IF(SUM($D58:$DS58)=0,1,'Вводные'!$B$63))))*M59)</x:f>
        <x:v>0</x:v>
      </x:c>
      <x:c r="N69" s="107" t="n">
        <x:f>'Вводные'!$O$90*((IF(SUM($D55:$DS55)=0,0,IF(SUM($D58:$DS58)=0,1,'Вводные'!$B$63)))*N57+(1-(IF(SUM($D55:$DS55)=0,0,IF(SUM($D58:$DS58)=0,1,'Вводные'!$B$63))))*N59)</x:f>
        <x:v>0</x:v>
      </x:c>
      <x:c r="O69" s="107" t="n">
        <x:f>'Вводные'!$O$90*((IF(SUM($D55:$DS55)=0,0,IF(SUM($D58:$DS58)=0,1,'Вводные'!$B$63)))*O57+(1-(IF(SUM($D55:$DS55)=0,0,IF(SUM($D58:$DS58)=0,1,'Вводные'!$B$63))))*O59)</x:f>
        <x:v>0</x:v>
      </x:c>
      <x:c r="P69" s="107" t="n">
        <x:f>'Вводные'!$O$90*((IF(SUM($D55:$DS55)=0,0,IF(SUM($D58:$DS58)=0,1,'Вводные'!$B$63)))*P57+(1-(IF(SUM($D55:$DS55)=0,0,IF(SUM($D58:$DS58)=0,1,'Вводные'!$B$63))))*P59)</x:f>
        <x:v>0</x:v>
      </x:c>
      <x:c r="Q69" s="107" t="n">
        <x:f>'Вводные'!$O$90*((IF(SUM($D55:$DS55)=0,0,IF(SUM($D58:$DS58)=0,1,'Вводные'!$B$63)))*Q57+(1-(IF(SUM($D55:$DS55)=0,0,IF(SUM($D58:$DS58)=0,1,'Вводные'!$B$63))))*Q59)</x:f>
        <x:v>0</x:v>
      </x:c>
      <x:c r="R69" s="107" t="n">
        <x:f>'Вводные'!$O$90*((IF(SUM($D55:$DS55)=0,0,IF(SUM($D58:$DS58)=0,1,'Вводные'!$B$63)))*R57+(1-(IF(SUM($D55:$DS55)=0,0,IF(SUM($D58:$DS58)=0,1,'Вводные'!$B$63))))*R59)</x:f>
        <x:v>0</x:v>
      </x:c>
      <x:c r="S69" s="107" t="n">
        <x:f>'Вводные'!$O$90*((IF(SUM($D55:$DS55)=0,0,IF(SUM($D58:$DS58)=0,1,'Вводные'!$B$63)))*S57+(1-(IF(SUM($D55:$DS55)=0,0,IF(SUM($D58:$DS58)=0,1,'Вводные'!$B$63))))*S59)</x:f>
        <x:v>0</x:v>
      </x:c>
      <x:c r="T69" s="107" t="n">
        <x:f>'Вводные'!$O$90*((IF(SUM($D55:$DS55)=0,0,IF(SUM($D58:$DS58)=0,1,'Вводные'!$B$63)))*T57+(1-(IF(SUM($D55:$DS55)=0,0,IF(SUM($D58:$DS58)=0,1,'Вводные'!$B$63))))*T59)</x:f>
        <x:v>0</x:v>
      </x:c>
      <x:c r="U69" s="107" t="n">
        <x:f>'Вводные'!$O$90*((IF(SUM($D55:$DS55)=0,0,IF(SUM($D58:$DS58)=0,1,'Вводные'!$B$63)))*U57+(1-(IF(SUM($D55:$DS55)=0,0,IF(SUM($D58:$DS58)=0,1,'Вводные'!$B$63))))*U59)</x:f>
        <x:v>0</x:v>
      </x:c>
      <x:c r="V69" s="107" t="n">
        <x:f>'Вводные'!$O$90*((IF(SUM($D55:$DS55)=0,0,IF(SUM($D58:$DS58)=0,1,'Вводные'!$B$63)))*V57+(1-(IF(SUM($D55:$DS55)=0,0,IF(SUM($D58:$DS58)=0,1,'Вводные'!$B$63))))*V59)</x:f>
        <x:v>0</x:v>
      </x:c>
      <x:c r="W69" s="107" t="n">
        <x:f>'Вводные'!$O$90*((IF(SUM($D55:$DS55)=0,0,IF(SUM($D58:$DS58)=0,1,'Вводные'!$B$63)))*W57+(1-(IF(SUM($D55:$DS55)=0,0,IF(SUM($D58:$DS58)=0,1,'Вводные'!$B$63))))*W59)</x:f>
        <x:v>0</x:v>
      </x:c>
      <x:c r="X69" s="107" t="n">
        <x:f>'Вводные'!$O$90*((IF(SUM($D55:$DS55)=0,0,IF(SUM($D58:$DS58)=0,1,'Вводные'!$B$63)))*X57+(1-(IF(SUM($D55:$DS55)=0,0,IF(SUM($D58:$DS58)=0,1,'Вводные'!$B$63))))*X59)</x:f>
        <x:v>0</x:v>
      </x:c>
      <x:c r="Y69" s="107" t="n">
        <x:f>'Вводные'!$O$90*((IF(SUM($D55:$DS55)=0,0,IF(SUM($D58:$DS58)=0,1,'Вводные'!$B$63)))*Y57+(1-(IF(SUM($D55:$DS55)=0,0,IF(SUM($D58:$DS58)=0,1,'Вводные'!$B$63))))*Y59)</x:f>
        <x:v>0</x:v>
      </x:c>
      <x:c r="Z69" s="107" t="n">
        <x:f>'Вводные'!$O$90*((IF(SUM($D55:$DS55)=0,0,IF(SUM($D58:$DS58)=0,1,'Вводные'!$B$63)))*Z57+(1-(IF(SUM($D55:$DS55)=0,0,IF(SUM($D58:$DS58)=0,1,'Вводные'!$B$63))))*Z59)</x:f>
        <x:v>0</x:v>
      </x:c>
      <x:c r="AA69" s="107" t="n">
        <x:f>'Вводные'!$O$90*((IF(SUM($D55:$DS55)=0,0,IF(SUM($D58:$DS58)=0,1,'Вводные'!$B$63)))*AA57+(1-(IF(SUM($D55:$DS55)=0,0,IF(SUM($D58:$DS58)=0,1,'Вводные'!$B$63))))*AA59)</x:f>
        <x:v>0</x:v>
      </x:c>
      <x:c r="AB69" s="107" t="n">
        <x:f>'Вводные'!$O$90*((IF(SUM($D55:$DS55)=0,0,IF(SUM($D58:$DS58)=0,1,'Вводные'!$B$63)))*AB57+(1-(IF(SUM($D55:$DS55)=0,0,IF(SUM($D58:$DS58)=0,1,'Вводные'!$B$63))))*AB59)</x:f>
        <x:v>0</x:v>
      </x:c>
      <x:c r="AC69" s="107" t="n">
        <x:f>'Вводные'!$O$90*((IF(SUM($D55:$DS55)=0,0,IF(SUM($D58:$DS58)=0,1,'Вводные'!$B$63)))*AC57+(1-(IF(SUM($D55:$DS55)=0,0,IF(SUM($D58:$DS58)=0,1,'Вводные'!$B$63))))*AC59)</x:f>
        <x:v>0</x:v>
      </x:c>
      <x:c r="AD69" s="107" t="n">
        <x:f>'Вводные'!$O$90*((IF(SUM($D55:$DS55)=0,0,IF(SUM($D58:$DS58)=0,1,'Вводные'!$B$63)))*AD57+(1-(IF(SUM($D55:$DS55)=0,0,IF(SUM($D58:$DS58)=0,1,'Вводные'!$B$63))))*AD59)</x:f>
        <x:v>0</x:v>
      </x:c>
      <x:c r="AE69" s="107" t="n">
        <x:f>'Вводные'!$O$90*((IF(SUM($D55:$DS55)=0,0,IF(SUM($D58:$DS58)=0,1,'Вводные'!$B$63)))*AE57+(1-(IF(SUM($D55:$DS55)=0,0,IF(SUM($D58:$DS58)=0,1,'Вводные'!$B$63))))*AE59)</x:f>
        <x:v>0</x:v>
      </x:c>
      <x:c r="AF69" s="107" t="n">
        <x:f>'Вводные'!$O$90*((IF(SUM($D55:$DS55)=0,0,IF(SUM($D58:$DS58)=0,1,'Вводные'!$B$63)))*AF57+(1-(IF(SUM($D55:$DS55)=0,0,IF(SUM($D58:$DS58)=0,1,'Вводные'!$B$63))))*AF59)</x:f>
        <x:v>0</x:v>
      </x:c>
      <x:c r="AG69" s="107" t="n">
        <x:f>'Вводные'!$O$90*((IF(SUM($D55:$DS55)=0,0,IF(SUM($D58:$DS58)=0,1,'Вводные'!$B$63)))*AG57+(1-(IF(SUM($D55:$DS55)=0,0,IF(SUM($D58:$DS58)=0,1,'Вводные'!$B$63))))*AG59)</x:f>
        <x:v>0</x:v>
      </x:c>
      <x:c r="AH69" s="107" t="n">
        <x:f>'Вводные'!$O$90*((IF(SUM($D55:$DS55)=0,0,IF(SUM($D58:$DS58)=0,1,'Вводные'!$B$63)))*AH57+(1-(IF(SUM($D55:$DS55)=0,0,IF(SUM($D58:$DS58)=0,1,'Вводные'!$B$63))))*AH59)</x:f>
        <x:v>0</x:v>
      </x:c>
      <x:c r="AI69" s="107" t="n">
        <x:f>'Вводные'!$O$90*((IF(SUM($D55:$DS55)=0,0,IF(SUM($D58:$DS58)=0,1,'Вводные'!$B$63)))*AI57+(1-(IF(SUM($D55:$DS55)=0,0,IF(SUM($D58:$DS58)=0,1,'Вводные'!$B$63))))*AI59)</x:f>
        <x:v>0</x:v>
      </x:c>
      <x:c r="AJ69" s="107" t="n">
        <x:f>'Вводные'!$O$90*((IF(SUM($D55:$DS55)=0,0,IF(SUM($D58:$DS58)=0,1,'Вводные'!$B$63)))*AJ57+(1-(IF(SUM($D55:$DS55)=0,0,IF(SUM($D58:$DS58)=0,1,'Вводные'!$B$63))))*AJ59)</x:f>
        <x:v>0</x:v>
      </x:c>
      <x:c r="AK69" s="107" t="n">
        <x:f>'Вводные'!$O$90*((IF(SUM($D55:$DS55)=0,0,IF(SUM($D58:$DS58)=0,1,'Вводные'!$B$63)))*AK57+(1-(IF(SUM($D55:$DS55)=0,0,IF(SUM($D58:$DS58)=0,1,'Вводные'!$B$63))))*AK59)</x:f>
        <x:v>0</x:v>
      </x:c>
      <x:c r="AL69" s="107" t="n">
        <x:f>'Вводные'!$O$90*((IF(SUM($D55:$DS55)=0,0,IF(SUM($D58:$DS58)=0,1,'Вводные'!$B$63)))*AL57+(1-(IF(SUM($D55:$DS55)=0,0,IF(SUM($D58:$DS58)=0,1,'Вводные'!$B$63))))*AL59)</x:f>
        <x:v>0</x:v>
      </x:c>
      <x:c r="AM69" s="107" t="n">
        <x:f>'Вводные'!$O$90*((IF(SUM($D55:$DS55)=0,0,IF(SUM($D58:$DS58)=0,1,'Вводные'!$B$63)))*AM57+(1-(IF(SUM($D55:$DS55)=0,0,IF(SUM($D58:$DS58)=0,1,'Вводные'!$B$63))))*AM59)</x:f>
        <x:v>0</x:v>
      </x:c>
      <x:c r="AN69" s="107" t="n">
        <x:f>'Вводные'!$O$90*((IF(SUM($D55:$DS55)=0,0,IF(SUM($D58:$DS58)=0,1,'Вводные'!$B$63)))*AN57+(1-(IF(SUM($D55:$DS55)=0,0,IF(SUM($D58:$DS58)=0,1,'Вводные'!$B$63))))*AN59)</x:f>
        <x:v>0</x:v>
      </x:c>
      <x:c r="AO69" s="107" t="n">
        <x:f>'Вводные'!$O$90*((IF(SUM($D55:$DS55)=0,0,IF(SUM($D58:$DS58)=0,1,'Вводные'!$B$63)))*AO57+(1-(IF(SUM($D55:$DS55)=0,0,IF(SUM($D58:$DS58)=0,1,'Вводные'!$B$63))))*AO59)</x:f>
        <x:v>0</x:v>
      </x:c>
      <x:c r="AP69" s="107" t="n">
        <x:f>'Вводные'!$O$90*((IF(SUM($D55:$DS55)=0,0,IF(SUM($D58:$DS58)=0,1,'Вводные'!$B$63)))*AP57+(1-(IF(SUM($D55:$DS55)=0,0,IF(SUM($D58:$DS58)=0,1,'Вводные'!$B$63))))*AP59)</x:f>
        <x:v>0</x:v>
      </x:c>
      <x:c r="AQ69" s="107" t="n">
        <x:f>'Вводные'!$O$90*((IF(SUM($D55:$DS55)=0,0,IF(SUM($D58:$DS58)=0,1,'Вводные'!$B$63)))*AQ57+(1-(IF(SUM($D55:$DS55)=0,0,IF(SUM($D58:$DS58)=0,1,'Вводные'!$B$63))))*AQ59)</x:f>
        <x:v>0</x:v>
      </x:c>
      <x:c r="AR69" s="107" t="n">
        <x:f>'Вводные'!$O$90*((IF(SUM($D55:$DS55)=0,0,IF(SUM($D58:$DS58)=0,1,'Вводные'!$B$63)))*AR57+(1-(IF(SUM($D55:$DS55)=0,0,IF(SUM($D58:$DS58)=0,1,'Вводные'!$B$63))))*AR59)</x:f>
        <x:v>0</x:v>
      </x:c>
      <x:c r="AS69" s="107" t="n">
        <x:f>'Вводные'!$O$90*((IF(SUM($D55:$DS55)=0,0,IF(SUM($D58:$DS58)=0,1,'Вводные'!$B$63)))*AS57+(1-(IF(SUM($D55:$DS55)=0,0,IF(SUM($D58:$DS58)=0,1,'Вводные'!$B$63))))*AS59)</x:f>
        <x:v>0</x:v>
      </x:c>
      <x:c r="AT69" s="107" t="n">
        <x:f>'Вводные'!$O$90*((IF(SUM($D55:$DS55)=0,0,IF(SUM($D58:$DS58)=0,1,'Вводные'!$B$63)))*AT57+(1-(IF(SUM($D55:$DS55)=0,0,IF(SUM($D58:$DS58)=0,1,'Вводные'!$B$63))))*AT59)</x:f>
        <x:v>0</x:v>
      </x:c>
      <x:c r="AU69" s="107" t="n">
        <x:f>'Вводные'!$O$90*((IF(SUM($D55:$DS55)=0,0,IF(SUM($D58:$DS58)=0,1,'Вводные'!$B$63)))*AU57+(1-(IF(SUM($D55:$DS55)=0,0,IF(SUM($D58:$DS58)=0,1,'Вводные'!$B$63))))*AU59)</x:f>
        <x:v>0</x:v>
      </x:c>
      <x:c r="AV69" s="107" t="n">
        <x:f>'Вводные'!$O$90*((IF(SUM($D55:$DS55)=0,0,IF(SUM($D58:$DS58)=0,1,'Вводные'!$B$63)))*AV57+(1-(IF(SUM($D55:$DS55)=0,0,IF(SUM($D58:$DS58)=0,1,'Вводные'!$B$63))))*AV59)</x:f>
        <x:v>0</x:v>
      </x:c>
      <x:c r="AW69" s="107" t="n">
        <x:f>'Вводные'!$O$90*((IF(SUM($D55:$DS55)=0,0,IF(SUM($D58:$DS58)=0,1,'Вводные'!$B$63)))*AW57+(1-(IF(SUM($D55:$DS55)=0,0,IF(SUM($D58:$DS58)=0,1,'Вводные'!$B$63))))*AW59)</x:f>
        <x:v>0</x:v>
      </x:c>
      <x:c r="AX69" s="107" t="n">
        <x:f>'Вводные'!$O$90*((IF(SUM($D55:$DS55)=0,0,IF(SUM($D58:$DS58)=0,1,'Вводные'!$B$63)))*AX57+(1-(IF(SUM($D55:$DS55)=0,0,IF(SUM($D58:$DS58)=0,1,'Вводные'!$B$63))))*AX59)</x:f>
        <x:v>0</x:v>
      </x:c>
      <x:c r="AY69" s="107" t="n">
        <x:f>'Вводные'!$O$90*((IF(SUM($D55:$DS55)=0,0,IF(SUM($D58:$DS58)=0,1,'Вводные'!$B$63)))*AY57+(1-(IF(SUM($D55:$DS55)=0,0,IF(SUM($D58:$DS58)=0,1,'Вводные'!$B$63))))*AY59)</x:f>
        <x:v>0</x:v>
      </x:c>
      <x:c r="AZ69" s="107" t="n">
        <x:f>'Вводные'!$O$90*((IF(SUM($D55:$DS55)=0,0,IF(SUM($D58:$DS58)=0,1,'Вводные'!$B$63)))*AZ57+(1-(IF(SUM($D55:$DS55)=0,0,IF(SUM($D58:$DS58)=0,1,'Вводные'!$B$63))))*AZ59)</x:f>
        <x:v>0</x:v>
      </x:c>
      <x:c r="BA69" s="107" t="n">
        <x:f>'Вводные'!$O$90*((IF(SUM($D55:$DS55)=0,0,IF(SUM($D58:$DS58)=0,1,'Вводные'!$B$63)))*BA57+(1-(IF(SUM($D55:$DS55)=0,0,IF(SUM($D58:$DS58)=0,1,'Вводные'!$B$63))))*BA59)</x:f>
        <x:v>0</x:v>
      </x:c>
      <x:c r="BB69" s="107" t="n">
        <x:f>'Вводные'!$O$90*((IF(SUM($D55:$DS55)=0,0,IF(SUM($D58:$DS58)=0,1,'Вводные'!$B$63)))*BB57+(1-(IF(SUM($D55:$DS55)=0,0,IF(SUM($D58:$DS58)=0,1,'Вводные'!$B$63))))*BB59)</x:f>
        <x:v>0</x:v>
      </x:c>
      <x:c r="BC69" s="107" t="n">
        <x:f>'Вводные'!$O$90*((IF(SUM($D55:$DS55)=0,0,IF(SUM($D58:$DS58)=0,1,'Вводные'!$B$63)))*BC57+(1-(IF(SUM($D55:$DS55)=0,0,IF(SUM($D58:$DS58)=0,1,'Вводные'!$B$63))))*BC59)</x:f>
        <x:v>0</x:v>
      </x:c>
      <x:c r="BD69" s="107" t="n">
        <x:f>'Вводные'!$O$90*((IF(SUM($D55:$DS55)=0,0,IF(SUM($D58:$DS58)=0,1,'Вводные'!$B$63)))*BD57+(1-(IF(SUM($D55:$DS55)=0,0,IF(SUM($D58:$DS58)=0,1,'Вводные'!$B$63))))*BD59)</x:f>
        <x:v>0</x:v>
      </x:c>
      <x:c r="BE69" s="107" t="n">
        <x:f>'Вводные'!$O$90*((IF(SUM($D55:$DS55)=0,0,IF(SUM($D58:$DS58)=0,1,'Вводные'!$B$63)))*BE57+(1-(IF(SUM($D55:$DS55)=0,0,IF(SUM($D58:$DS58)=0,1,'Вводные'!$B$63))))*BE59)</x:f>
        <x:v>0</x:v>
      </x:c>
      <x:c r="BF69" s="107" t="n">
        <x:f>'Вводные'!$O$90*((IF(SUM($D55:$DS55)=0,0,IF(SUM($D58:$DS58)=0,1,'Вводные'!$B$63)))*BF57+(1-(IF(SUM($D55:$DS55)=0,0,IF(SUM($D58:$DS58)=0,1,'Вводные'!$B$63))))*BF59)</x:f>
        <x:v>0</x:v>
      </x:c>
      <x:c r="BG69" s="107" t="n">
        <x:f>'Вводные'!$O$90*((IF(SUM($D55:$DS55)=0,0,IF(SUM($D58:$DS58)=0,1,'Вводные'!$B$63)))*BG57+(1-(IF(SUM($D55:$DS55)=0,0,IF(SUM($D58:$DS58)=0,1,'Вводные'!$B$63))))*BG59)</x:f>
        <x:v>0</x:v>
      </x:c>
      <x:c r="BH69" s="107" t="n">
        <x:f>'Вводные'!$O$90*((IF(SUM($D55:$DS55)=0,0,IF(SUM($D58:$DS58)=0,1,'Вводные'!$B$63)))*BH57+(1-(IF(SUM($D55:$DS55)=0,0,IF(SUM($D58:$DS58)=0,1,'Вводные'!$B$63))))*BH59)</x:f>
        <x:v>0</x:v>
      </x:c>
      <x:c r="BI69" s="107" t="n">
        <x:f>'Вводные'!$O$90*((IF(SUM($D55:$DS55)=0,0,IF(SUM($D58:$DS58)=0,1,'Вводные'!$B$63)))*BI57+(1-(IF(SUM($D55:$DS55)=0,0,IF(SUM($D58:$DS58)=0,1,'Вводные'!$B$63))))*BI59)</x:f>
        <x:v>0</x:v>
      </x:c>
      <x:c r="BJ69" s="107" t="n">
        <x:f>'Вводные'!$O$90*((IF(SUM($D55:$DS55)=0,0,IF(SUM($D58:$DS58)=0,1,'Вводные'!$B$63)))*BJ57+(1-(IF(SUM($D55:$DS55)=0,0,IF(SUM($D58:$DS58)=0,1,'Вводные'!$B$63))))*BJ59)</x:f>
        <x:v>0</x:v>
      </x:c>
      <x:c r="BK69" s="107" t="n">
        <x:f>'Вводные'!$O$90*((IF(SUM($D55:$DS55)=0,0,IF(SUM($D58:$DS58)=0,1,'Вводные'!$B$63)))*BK57+(1-(IF(SUM($D55:$DS55)=0,0,IF(SUM($D58:$DS58)=0,1,'Вводные'!$B$63))))*BK59)</x:f>
        <x:v>0</x:v>
      </x:c>
      <x:c r="BL69" s="107" t="n">
        <x:f>'Вводные'!$O$90*((IF(SUM($D55:$DS55)=0,0,IF(SUM($D58:$DS58)=0,1,'Вводные'!$B$63)))*BL57+(1-(IF(SUM($D55:$DS55)=0,0,IF(SUM($D58:$DS58)=0,1,'Вводные'!$B$63))))*BL59)</x:f>
        <x:v>0</x:v>
      </x:c>
      <x:c r="BM69" s="107" t="n">
        <x:f>'Вводные'!$O$90*((IF(SUM($D55:$DS55)=0,0,IF(SUM($D58:$DS58)=0,1,'Вводные'!$B$63)))*BM57+(1-(IF(SUM($D55:$DS55)=0,0,IF(SUM($D58:$DS58)=0,1,'Вводные'!$B$63))))*BM59)</x:f>
        <x:v>0</x:v>
      </x:c>
      <x:c r="BN69" s="107" t="n">
        <x:f>'Вводные'!$O$90*((IF(SUM($D55:$DS55)=0,0,IF(SUM($D58:$DS58)=0,1,'Вводные'!$B$63)))*BN57+(1-(IF(SUM($D55:$DS55)=0,0,IF(SUM($D58:$DS58)=0,1,'Вводные'!$B$63))))*BN59)</x:f>
        <x:v>0</x:v>
      </x:c>
      <x:c r="BO69" s="107" t="n">
        <x:f>'Вводные'!$O$90*((IF(SUM($D55:$DS55)=0,0,IF(SUM($D58:$DS58)=0,1,'Вводные'!$B$63)))*BO57+(1-(IF(SUM($D55:$DS55)=0,0,IF(SUM($D58:$DS58)=0,1,'Вводные'!$B$63))))*BO59)</x:f>
        <x:v>0</x:v>
      </x:c>
      <x:c r="BP69" s="107" t="n">
        <x:f>'Вводные'!$O$90*((IF(SUM($D55:$DS55)=0,0,IF(SUM($D58:$DS58)=0,1,'Вводные'!$B$63)))*BP57+(1-(IF(SUM($D55:$DS55)=0,0,IF(SUM($D58:$DS58)=0,1,'Вводные'!$B$63))))*BP59)</x:f>
        <x:v>0</x:v>
      </x:c>
      <x:c r="BQ69" s="107" t="n">
        <x:f>'Вводные'!$O$90*((IF(SUM($D55:$DS55)=0,0,IF(SUM($D58:$DS58)=0,1,'Вводные'!$B$63)))*BQ57+(1-(IF(SUM($D55:$DS55)=0,0,IF(SUM($D58:$DS58)=0,1,'Вводные'!$B$63))))*BQ59)</x:f>
        <x:v>0</x:v>
      </x:c>
      <x:c r="BR69" s="107" t="n">
        <x:f>'Вводные'!$O$90*((IF(SUM($D55:$DS55)=0,0,IF(SUM($D58:$DS58)=0,1,'Вводные'!$B$63)))*BR57+(1-(IF(SUM($D55:$DS55)=0,0,IF(SUM($D58:$DS58)=0,1,'Вводные'!$B$63))))*BR59)</x:f>
        <x:v>0</x:v>
      </x:c>
      <x:c r="BS69" s="107" t="n">
        <x:f>'Вводные'!$O$90*((IF(SUM($D55:$DS55)=0,0,IF(SUM($D58:$DS58)=0,1,'Вводные'!$B$63)))*BS57+(1-(IF(SUM($D55:$DS55)=0,0,IF(SUM($D58:$DS58)=0,1,'Вводные'!$B$63))))*BS59)</x:f>
        <x:v>0</x:v>
      </x:c>
      <x:c r="BT69" s="107" t="n">
        <x:f>'Вводные'!$O$90*((IF(SUM($D55:$DS55)=0,0,IF(SUM($D58:$DS58)=0,1,'Вводные'!$B$63)))*BT57+(1-(IF(SUM($D55:$DS55)=0,0,IF(SUM($D58:$DS58)=0,1,'Вводные'!$B$63))))*BT59)</x:f>
        <x:v>0</x:v>
      </x:c>
      <x:c r="BU69" s="107" t="n">
        <x:f>'Вводные'!$O$90*((IF(SUM($D55:$DS55)=0,0,IF(SUM($D58:$DS58)=0,1,'Вводные'!$B$63)))*BU57+(1-(IF(SUM($D55:$DS55)=0,0,IF(SUM($D58:$DS58)=0,1,'Вводные'!$B$63))))*BU59)</x:f>
        <x:v>0</x:v>
      </x:c>
      <x:c r="BV69" s="107" t="n">
        <x:f>'Вводные'!$O$90*((IF(SUM($D55:$DS55)=0,0,IF(SUM($D58:$DS58)=0,1,'Вводные'!$B$63)))*BV57+(1-(IF(SUM($D55:$DS55)=0,0,IF(SUM($D58:$DS58)=0,1,'Вводные'!$B$63))))*BV59)</x:f>
        <x:v>0</x:v>
      </x:c>
      <x:c r="BW69" s="107" t="n">
        <x:f>'Вводные'!$O$90*((IF(SUM($D55:$DS55)=0,0,IF(SUM($D58:$DS58)=0,1,'Вводные'!$B$63)))*BW57+(1-(IF(SUM($D55:$DS55)=0,0,IF(SUM($D58:$DS58)=0,1,'Вводные'!$B$63))))*BW59)</x:f>
        <x:v>0</x:v>
      </x:c>
      <x:c r="BX69" s="107" t="n">
        <x:f>'Вводные'!$O$90*((IF(SUM($D55:$DS55)=0,0,IF(SUM($D58:$DS58)=0,1,'Вводные'!$B$63)))*BX57+(1-(IF(SUM($D55:$DS55)=0,0,IF(SUM($D58:$DS58)=0,1,'Вводные'!$B$63))))*BX59)</x:f>
        <x:v>0</x:v>
      </x:c>
      <x:c r="BY69" s="107" t="n">
        <x:f>'Вводные'!$O$90*((IF(SUM($D55:$DS55)=0,0,IF(SUM($D58:$DS58)=0,1,'Вводные'!$B$63)))*BY57+(1-(IF(SUM($D55:$DS55)=0,0,IF(SUM($D58:$DS58)=0,1,'Вводные'!$B$63))))*BY59)</x:f>
        <x:v>0</x:v>
      </x:c>
      <x:c r="BZ69" s="107" t="n">
        <x:f>'Вводные'!$O$90*((IF(SUM($D55:$DS55)=0,0,IF(SUM($D58:$DS58)=0,1,'Вводные'!$B$63)))*BZ57+(1-(IF(SUM($D55:$DS55)=0,0,IF(SUM($D58:$DS58)=0,1,'Вводные'!$B$63))))*BZ59)</x:f>
        <x:v>0</x:v>
      </x:c>
      <x:c r="CA69" s="107" t="n">
        <x:f>'Вводные'!$O$90*((IF(SUM($D55:$DS55)=0,0,IF(SUM($D58:$DS58)=0,1,'Вводные'!$B$63)))*CA57+(1-(IF(SUM($D55:$DS55)=0,0,IF(SUM($D58:$DS58)=0,1,'Вводные'!$B$63))))*CA59)</x:f>
        <x:v>0</x:v>
      </x:c>
      <x:c r="CB69" s="107" t="n">
        <x:f>'Вводные'!$O$90*((IF(SUM($D55:$DS55)=0,0,IF(SUM($D58:$DS58)=0,1,'Вводные'!$B$63)))*CB57+(1-(IF(SUM($D55:$DS55)=0,0,IF(SUM($D58:$DS58)=0,1,'Вводные'!$B$63))))*CB59)</x:f>
        <x:v>0</x:v>
      </x:c>
      <x:c r="CC69" s="107" t="n">
        <x:f>'Вводные'!$O$90*((IF(SUM($D55:$DS55)=0,0,IF(SUM($D58:$DS58)=0,1,'Вводные'!$B$63)))*CC57+(1-(IF(SUM($D55:$DS55)=0,0,IF(SUM($D58:$DS58)=0,1,'Вводные'!$B$63))))*CC59)</x:f>
        <x:v>0</x:v>
      </x:c>
      <x:c r="CD69" s="107" t="n">
        <x:f>'Вводные'!$O$90*((IF(SUM($D55:$DS55)=0,0,IF(SUM($D58:$DS58)=0,1,'Вводные'!$B$63)))*CD57+(1-(IF(SUM($D55:$DS55)=0,0,IF(SUM($D58:$DS58)=0,1,'Вводные'!$B$63))))*CD59)</x:f>
        <x:v>0</x:v>
      </x:c>
      <x:c r="CE69" s="107" t="n">
        <x:f>'Вводные'!$O$90*((IF(SUM($D55:$DS55)=0,0,IF(SUM($D58:$DS58)=0,1,'Вводные'!$B$63)))*CE57+(1-(IF(SUM($D55:$DS55)=0,0,IF(SUM($D58:$DS58)=0,1,'Вводные'!$B$63))))*CE59)</x:f>
        <x:v>0</x:v>
      </x:c>
      <x:c r="CF69" s="107" t="n">
        <x:f>'Вводные'!$O$90*((IF(SUM($D55:$DS55)=0,0,IF(SUM($D58:$DS58)=0,1,'Вводные'!$B$63)))*CF57+(1-(IF(SUM($D55:$DS55)=0,0,IF(SUM($D58:$DS58)=0,1,'Вводные'!$B$63))))*CF59)</x:f>
        <x:v>0</x:v>
      </x:c>
      <x:c r="CG69" s="107" t="n">
        <x:f>'Вводные'!$O$90*((IF(SUM($D55:$DS55)=0,0,IF(SUM($D58:$DS58)=0,1,'Вводные'!$B$63)))*CG57+(1-(IF(SUM($D55:$DS55)=0,0,IF(SUM($D58:$DS58)=0,1,'Вводные'!$B$63))))*CG59)</x:f>
        <x:v>0</x:v>
      </x:c>
      <x:c r="CH69" s="107" t="n">
        <x:f>'Вводные'!$O$90*((IF(SUM($D55:$DS55)=0,0,IF(SUM($D58:$DS58)=0,1,'Вводные'!$B$63)))*CH57+(1-(IF(SUM($D55:$DS55)=0,0,IF(SUM($D58:$DS58)=0,1,'Вводные'!$B$63))))*CH59)</x:f>
        <x:v>0</x:v>
      </x:c>
      <x:c r="CI69" s="107" t="n">
        <x:f>'Вводные'!$O$90*((IF(SUM($D55:$DS55)=0,0,IF(SUM($D58:$DS58)=0,1,'Вводные'!$B$63)))*CI57+(1-(IF(SUM($D55:$DS55)=0,0,IF(SUM($D58:$DS58)=0,1,'Вводные'!$B$63))))*CI59)</x:f>
        <x:v>0</x:v>
      </x:c>
      <x:c r="CJ69" s="107" t="n">
        <x:f>'Вводные'!$O$90*((IF(SUM($D55:$DS55)=0,0,IF(SUM($D58:$DS58)=0,1,'Вводные'!$B$63)))*CJ57+(1-(IF(SUM($D55:$DS55)=0,0,IF(SUM($D58:$DS58)=0,1,'Вводные'!$B$63))))*CJ59)</x:f>
        <x:v>0</x:v>
      </x:c>
      <x:c r="CK69" s="107" t="n">
        <x:f>'Вводные'!$O$90*((IF(SUM($D55:$DS55)=0,0,IF(SUM($D58:$DS58)=0,1,'Вводные'!$B$63)))*CK57+(1-(IF(SUM($D55:$DS55)=0,0,IF(SUM($D58:$DS58)=0,1,'Вводные'!$B$63))))*CK59)</x:f>
        <x:v>0</x:v>
      </x:c>
      <x:c r="CL69" s="107" t="n">
        <x:f>'Вводные'!$O$90*((IF(SUM($D55:$DS55)=0,0,IF(SUM($D58:$DS58)=0,1,'Вводные'!$B$63)))*CL57+(1-(IF(SUM($D55:$DS55)=0,0,IF(SUM($D58:$DS58)=0,1,'Вводные'!$B$63))))*CL59)</x:f>
        <x:v>0</x:v>
      </x:c>
      <x:c r="CM69" s="107" t="n">
        <x:f>'Вводные'!$O$90*((IF(SUM($D55:$DS55)=0,0,IF(SUM($D58:$DS58)=0,1,'Вводные'!$B$63)))*CM57+(1-(IF(SUM($D55:$DS55)=0,0,IF(SUM($D58:$DS58)=0,1,'Вводные'!$B$63))))*CM59)</x:f>
        <x:v>0</x:v>
      </x:c>
      <x:c r="CN69" s="107" t="n">
        <x:f>'Вводные'!$O$90*((IF(SUM($D55:$DS55)=0,0,IF(SUM($D58:$DS58)=0,1,'Вводные'!$B$63)))*CN57+(1-(IF(SUM($D55:$DS55)=0,0,IF(SUM($D58:$DS58)=0,1,'Вводные'!$B$63))))*CN59)</x:f>
        <x:v>0</x:v>
      </x:c>
      <x:c r="CO69" s="107" t="n">
        <x:f>'Вводные'!$O$90*((IF(SUM($D55:$DS55)=0,0,IF(SUM($D58:$DS58)=0,1,'Вводные'!$B$63)))*CO57+(1-(IF(SUM($D55:$DS55)=0,0,IF(SUM($D58:$DS58)=0,1,'Вводные'!$B$63))))*CO59)</x:f>
        <x:v>0</x:v>
      </x:c>
      <x:c r="CP69" s="107" t="n">
        <x:f>'Вводные'!$O$90*((IF(SUM($D55:$DS55)=0,0,IF(SUM($D58:$DS58)=0,1,'Вводные'!$B$63)))*CP57+(1-(IF(SUM($D55:$DS55)=0,0,IF(SUM($D58:$DS58)=0,1,'Вводные'!$B$63))))*CP59)</x:f>
        <x:v>0</x:v>
      </x:c>
      <x:c r="CQ69" s="107" t="n">
        <x:f>'Вводные'!$O$90*((IF(SUM($D55:$DS55)=0,0,IF(SUM($D58:$DS58)=0,1,'Вводные'!$B$63)))*CQ57+(1-(IF(SUM($D55:$DS55)=0,0,IF(SUM($D58:$DS58)=0,1,'Вводные'!$B$63))))*CQ59)</x:f>
        <x:v>0</x:v>
      </x:c>
      <x:c r="CR69" s="107" t="n">
        <x:f>'Вводные'!$O$90*((IF(SUM($D55:$DS55)=0,0,IF(SUM($D58:$DS58)=0,1,'Вводные'!$B$63)))*CR57+(1-(IF(SUM($D55:$DS55)=0,0,IF(SUM($D58:$DS58)=0,1,'Вводные'!$B$63))))*CR59)</x:f>
        <x:v>0</x:v>
      </x:c>
      <x:c r="CS69" s="107" t="n">
        <x:f>'Вводные'!$O$90*((IF(SUM($D55:$DS55)=0,0,IF(SUM($D58:$DS58)=0,1,'Вводные'!$B$63)))*CS57+(1-(IF(SUM($D55:$DS55)=0,0,IF(SUM($D58:$DS58)=0,1,'Вводные'!$B$63))))*CS59)</x:f>
        <x:v>0</x:v>
      </x:c>
      <x:c r="CT69" s="107" t="n">
        <x:f>'Вводные'!$O$90*((IF(SUM($D55:$DS55)=0,0,IF(SUM($D58:$DS58)=0,1,'Вводные'!$B$63)))*CT57+(1-(IF(SUM($D55:$DS55)=0,0,IF(SUM($D58:$DS58)=0,1,'Вводные'!$B$63))))*CT59)</x:f>
        <x:v>0</x:v>
      </x:c>
      <x:c r="CU69" s="107" t="n">
        <x:f>'Вводные'!$O$90*((IF(SUM($D55:$DS55)=0,0,IF(SUM($D58:$DS58)=0,1,'Вводные'!$B$63)))*CU57+(1-(IF(SUM($D55:$DS55)=0,0,IF(SUM($D58:$DS58)=0,1,'Вводные'!$B$63))))*CU59)</x:f>
        <x:v>0</x:v>
      </x:c>
      <x:c r="CV69" s="107" t="n">
        <x:f>'Вводные'!$O$90*((IF(SUM($D55:$DS55)=0,0,IF(SUM($D58:$DS58)=0,1,'Вводные'!$B$63)))*CV57+(1-(IF(SUM($D55:$DS55)=0,0,IF(SUM($D58:$DS58)=0,1,'Вводные'!$B$63))))*CV59)</x:f>
        <x:v>0</x:v>
      </x:c>
      <x:c r="CW69" s="107" t="n">
        <x:f>'Вводные'!$O$90*((IF(SUM($D55:$DS55)=0,0,IF(SUM($D58:$DS58)=0,1,'Вводные'!$B$63)))*CW57+(1-(IF(SUM($D55:$DS55)=0,0,IF(SUM($D58:$DS58)=0,1,'Вводные'!$B$63))))*CW59)</x:f>
        <x:v>0</x:v>
      </x:c>
      <x:c r="CX69" s="107" t="n">
        <x:f>'Вводные'!$O$90*((IF(SUM($D55:$DS55)=0,0,IF(SUM($D58:$DS58)=0,1,'Вводные'!$B$63)))*CX57+(1-(IF(SUM($D55:$DS55)=0,0,IF(SUM($D58:$DS58)=0,1,'Вводные'!$B$63))))*CX59)</x:f>
        <x:v>0</x:v>
      </x:c>
      <x:c r="CY69" s="107" t="n">
        <x:f>'Вводные'!$O$90*((IF(SUM($D55:$DS55)=0,0,IF(SUM($D58:$DS58)=0,1,'Вводные'!$B$63)))*CY57+(1-(IF(SUM($D55:$DS55)=0,0,IF(SUM($D58:$DS58)=0,1,'Вводные'!$B$63))))*CY59)</x:f>
        <x:v>0</x:v>
      </x:c>
      <x:c r="CZ69" s="107" t="n">
        <x:f>'Вводные'!$O$90*((IF(SUM($D55:$DS55)=0,0,IF(SUM($D58:$DS58)=0,1,'Вводные'!$B$63)))*CZ57+(1-(IF(SUM($D55:$DS55)=0,0,IF(SUM($D58:$DS58)=0,1,'Вводные'!$B$63))))*CZ59)</x:f>
        <x:v>0</x:v>
      </x:c>
      <x:c r="DA69" s="107" t="n">
        <x:f>'Вводные'!$O$90*((IF(SUM($D55:$DS55)=0,0,IF(SUM($D58:$DS58)=0,1,'Вводные'!$B$63)))*DA57+(1-(IF(SUM($D55:$DS55)=0,0,IF(SUM($D58:$DS58)=0,1,'Вводные'!$B$63))))*DA59)</x:f>
        <x:v>0</x:v>
      </x:c>
      <x:c r="DB69" s="107" t="n">
        <x:f>'Вводные'!$O$90*((IF(SUM($D55:$DS55)=0,0,IF(SUM($D58:$DS58)=0,1,'Вводные'!$B$63)))*DB57+(1-(IF(SUM($D55:$DS55)=0,0,IF(SUM($D58:$DS58)=0,1,'Вводные'!$B$63))))*DB59)</x:f>
        <x:v>0</x:v>
      </x:c>
      <x:c r="DC69" s="107" t="n">
        <x:f>'Вводные'!$O$90*((IF(SUM($D55:$DS55)=0,0,IF(SUM($D58:$DS58)=0,1,'Вводные'!$B$63)))*DC57+(1-(IF(SUM($D55:$DS55)=0,0,IF(SUM($D58:$DS58)=0,1,'Вводные'!$B$63))))*DC59)</x:f>
        <x:v>0</x:v>
      </x:c>
      <x:c r="DD69" s="107" t="n">
        <x:f>'Вводные'!$O$90*((IF(SUM($D55:$DS55)=0,0,IF(SUM($D58:$DS58)=0,1,'Вводные'!$B$63)))*DD57+(1-(IF(SUM($D55:$DS55)=0,0,IF(SUM($D58:$DS58)=0,1,'Вводные'!$B$63))))*DD59)</x:f>
        <x:v>0</x:v>
      </x:c>
      <x:c r="DE69" s="107" t="n">
        <x:f>'Вводные'!$O$90*((IF(SUM($D55:$DS55)=0,0,IF(SUM($D58:$DS58)=0,1,'Вводные'!$B$63)))*DE57+(1-(IF(SUM($D55:$DS55)=0,0,IF(SUM($D58:$DS58)=0,1,'Вводные'!$B$63))))*DE59)</x:f>
        <x:v>0</x:v>
      </x:c>
      <x:c r="DF69" s="107" t="n">
        <x:f>'Вводные'!$O$90*((IF(SUM($D55:$DS55)=0,0,IF(SUM($D58:$DS58)=0,1,'Вводные'!$B$63)))*DF57+(1-(IF(SUM($D55:$DS55)=0,0,IF(SUM($D58:$DS58)=0,1,'Вводные'!$B$63))))*DF59)</x:f>
        <x:v>0</x:v>
      </x:c>
      <x:c r="DG69" s="107" t="n">
        <x:f>'Вводные'!$O$90*((IF(SUM($D55:$DS55)=0,0,IF(SUM($D58:$DS58)=0,1,'Вводные'!$B$63)))*DG57+(1-(IF(SUM($D55:$DS55)=0,0,IF(SUM($D58:$DS58)=0,1,'Вводные'!$B$63))))*DG59)</x:f>
        <x:v>0</x:v>
      </x:c>
      <x:c r="DH69" s="107" t="n">
        <x:f>'Вводные'!$O$90*((IF(SUM($D55:$DS55)=0,0,IF(SUM($D58:$DS58)=0,1,'Вводные'!$B$63)))*DH57+(1-(IF(SUM($D55:$DS55)=0,0,IF(SUM($D58:$DS58)=0,1,'Вводные'!$B$63))))*DH59)</x:f>
        <x:v>0</x:v>
      </x:c>
      <x:c r="DI69" s="107" t="n">
        <x:f>'Вводные'!$O$90*((IF(SUM($D55:$DS55)=0,0,IF(SUM($D58:$DS58)=0,1,'Вводные'!$B$63)))*DI57+(1-(IF(SUM($D55:$DS55)=0,0,IF(SUM($D58:$DS58)=0,1,'Вводные'!$B$63))))*DI59)</x:f>
        <x:v>0</x:v>
      </x:c>
      <x:c r="DJ69" s="107" t="n">
        <x:f>'Вводные'!$O$90*((IF(SUM($D55:$DS55)=0,0,IF(SUM($D58:$DS58)=0,1,'Вводные'!$B$63)))*DJ57+(1-(IF(SUM($D55:$DS55)=0,0,IF(SUM($D58:$DS58)=0,1,'Вводные'!$B$63))))*DJ59)</x:f>
        <x:v>0</x:v>
      </x:c>
      <x:c r="DK69" s="107" t="n">
        <x:f>'Вводные'!$O$90*((IF(SUM($D55:$DS55)=0,0,IF(SUM($D58:$DS58)=0,1,'Вводные'!$B$63)))*DK57+(1-(IF(SUM($D55:$DS55)=0,0,IF(SUM($D58:$DS58)=0,1,'Вводные'!$B$63))))*DK59)</x:f>
        <x:v>0</x:v>
      </x:c>
      <x:c r="DL69" s="107" t="n">
        <x:f>'Вводные'!$O$90*((IF(SUM($D55:$DS55)=0,0,IF(SUM($D58:$DS58)=0,1,'Вводные'!$B$63)))*DL57+(1-(IF(SUM($D55:$DS55)=0,0,IF(SUM($D58:$DS58)=0,1,'Вводные'!$B$63))))*DL59)</x:f>
        <x:v>0</x:v>
      </x:c>
      <x:c r="DM69" s="107" t="n">
        <x:f>'Вводные'!$O$90*((IF(SUM($D55:$DS55)=0,0,IF(SUM($D58:$DS58)=0,1,'Вводные'!$B$63)))*DM57+(1-(IF(SUM($D55:$DS55)=0,0,IF(SUM($D58:$DS58)=0,1,'Вводные'!$B$63))))*DM59)</x:f>
        <x:v>0</x:v>
      </x:c>
      <x:c r="DN69" s="107" t="n">
        <x:f>'Вводные'!$O$90*((IF(SUM($D55:$DS55)=0,0,IF(SUM($D58:$DS58)=0,1,'Вводные'!$B$63)))*DN57+(1-(IF(SUM($D55:$DS55)=0,0,IF(SUM($D58:$DS58)=0,1,'Вводные'!$B$63))))*DN59)</x:f>
        <x:v>0</x:v>
      </x:c>
      <x:c r="DO69" s="107" t="n">
        <x:f>'Вводные'!$O$90*((IF(SUM($D55:$DS55)=0,0,IF(SUM($D58:$DS58)=0,1,'Вводные'!$B$63)))*DO57+(1-(IF(SUM($D55:$DS55)=0,0,IF(SUM($D58:$DS58)=0,1,'Вводные'!$B$63))))*DO59)</x:f>
        <x:v>0</x:v>
      </x:c>
      <x:c r="DP69" s="107" t="n">
        <x:f>'Вводные'!$O$90*((IF(SUM($D55:$DS55)=0,0,IF(SUM($D58:$DS58)=0,1,'Вводные'!$B$63)))*DP57+(1-(IF(SUM($D55:$DS55)=0,0,IF(SUM($D58:$DS58)=0,1,'Вводные'!$B$63))))*DP59)</x:f>
        <x:v>0</x:v>
      </x:c>
      <x:c r="DQ69" s="107" t="n">
        <x:f>'Вводные'!$O$90*((IF(SUM($D55:$DS55)=0,0,IF(SUM($D58:$DS58)=0,1,'Вводные'!$B$63)))*DQ57+(1-(IF(SUM($D55:$DS55)=0,0,IF(SUM($D58:$DS58)=0,1,'Вводные'!$B$63))))*DQ59)</x:f>
        <x:v>0</x:v>
      </x:c>
      <x:c r="DR69" s="107" t="n">
        <x:f>'Вводные'!$O$90*((IF(SUM($D55:$DS55)=0,0,IF(SUM($D58:$DS58)=0,1,'Вводные'!$B$63)))*DR57+(1-(IF(SUM($D55:$DS55)=0,0,IF(SUM($D58:$DS58)=0,1,'Вводные'!$B$63))))*DR59)</x:f>
        <x:v>0</x:v>
      </x:c>
      <x:c r="DS69" s="107" t="n">
        <x:f>'Вводные'!$O$90*((IF(SUM($D55:$DS55)=0,0,IF(SUM($D58:$DS58)=0,1,'Вводные'!$B$63)))*DS57+(1-(IF(SUM($D55:$DS55)=0,0,IF(SUM($D58:$DS58)=0,1,'Вводные'!$B$63))))*DS59)</x:f>
        <x:v>0</x:v>
      </x:c>
    </x:row>
    <x:row r="70">
      <x:c r="A70" t="str">
        <x:v>Кладовые — цена</x:v>
      </x:c>
      <x:c r="B70" t="n">
        <x:f>IFERROR(B71*1000/B69,0)</x:f>
        <x:v>0</x:v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71">
      <x:c r="A71" t="str">
        <x:v>Кладовые — выручка</x:v>
      </x:c>
      <x:c r="B71" t="n">
        <x:f>SUM(D71:DS71)</x:f>
        <x:v>0</x:v>
      </x:c>
      <x:c r="C71" t="str">
        <x:v>млн ₽</x:v>
      </x:c>
      <x:c r="D71" s="107" t="n">
        <x:f>D69*D70/1000</x:f>
        <x:v>0</x:v>
      </x:c>
      <x:c r="E71" s="107" t="n">
        <x:f>E69*E70/1000</x:f>
        <x:v>0</x:v>
      </x:c>
      <x:c r="F71" s="107" t="n">
        <x:f>F69*F70/1000</x:f>
        <x:v>0</x:v>
      </x:c>
      <x:c r="G71" s="107" t="n">
        <x:f>G69*G70/1000</x:f>
        <x:v>0</x:v>
      </x:c>
      <x:c r="H71" s="107" t="n">
        <x:f>H69*H70/1000</x:f>
        <x:v>0</x:v>
      </x:c>
      <x:c r="I71" s="107" t="n">
        <x:f>I69*I70/1000</x:f>
        <x:v>0</x:v>
      </x:c>
      <x:c r="J71" s="107" t="n">
        <x:f>J69*J70/1000</x:f>
        <x:v>0</x:v>
      </x:c>
      <x:c r="K71" s="107" t="n">
        <x:f>K69*K70/1000</x:f>
        <x:v>0</x:v>
      </x:c>
      <x:c r="L71" s="107" t="n">
        <x:f>L69*L70/1000</x:f>
        <x:v>0</x:v>
      </x:c>
      <x:c r="M71" s="107" t="n">
        <x:f>M69*M70/1000</x:f>
        <x:v>0</x:v>
      </x:c>
      <x:c r="N71" s="107" t="n">
        <x:f>N69*N70/1000</x:f>
        <x:v>0</x:v>
      </x:c>
      <x:c r="O71" s="107" t="n">
        <x:f>O69*O70/1000</x:f>
        <x:v>0</x:v>
      </x:c>
      <x:c r="P71" s="107" t="n">
        <x:f>P69*P70/1000</x:f>
        <x:v>0</x:v>
      </x:c>
      <x:c r="Q71" s="107" t="n">
        <x:f>Q69*Q70/1000</x:f>
        <x:v>0</x:v>
      </x:c>
      <x:c r="R71" s="107" t="n">
        <x:f>R69*R70/1000</x:f>
        <x:v>0</x:v>
      </x:c>
      <x:c r="S71" s="107" t="n">
        <x:f>S69*S70/1000</x:f>
        <x:v>0</x:v>
      </x:c>
      <x:c r="T71" s="107" t="n">
        <x:f>T69*T70/1000</x:f>
        <x:v>0</x:v>
      </x:c>
      <x:c r="U71" s="107" t="n">
        <x:f>U69*U70/1000</x:f>
        <x:v>0</x:v>
      </x:c>
      <x:c r="V71" s="107" t="n">
        <x:f>V69*V70/1000</x:f>
        <x:v>0</x:v>
      </x:c>
      <x:c r="W71" s="107" t="n">
        <x:f>W69*W70/1000</x:f>
        <x:v>0</x:v>
      </x:c>
      <x:c r="X71" s="107" t="n">
        <x:f>X69*X70/1000</x:f>
        <x:v>0</x:v>
      </x:c>
      <x:c r="Y71" s="107" t="n">
        <x:f>Y69*Y70/1000</x:f>
        <x:v>0</x:v>
      </x:c>
      <x:c r="Z71" s="107" t="n">
        <x:f>Z69*Z70/1000</x:f>
        <x:v>0</x:v>
      </x:c>
      <x:c r="AA71" s="107" t="n">
        <x:f>AA69*AA70/1000</x:f>
        <x:v>0</x:v>
      </x:c>
      <x:c r="AB71" s="107" t="n">
        <x:f>AB69*AB70/1000</x:f>
        <x:v>0</x:v>
      </x:c>
      <x:c r="AC71" s="107" t="n">
        <x:f>AC69*AC70/1000</x:f>
        <x:v>0</x:v>
      </x:c>
      <x:c r="AD71" s="107" t="n">
        <x:f>AD69*AD70/1000</x:f>
        <x:v>0</x:v>
      </x:c>
      <x:c r="AE71" s="107" t="n">
        <x:f>AE69*AE70/1000</x:f>
        <x:v>0</x:v>
      </x:c>
      <x:c r="AF71" s="107" t="n">
        <x:f>AF69*AF70/1000</x:f>
        <x:v>0</x:v>
      </x:c>
      <x:c r="AG71" s="107" t="n">
        <x:f>AG69*AG70/1000</x:f>
        <x:v>0</x:v>
      </x:c>
      <x:c r="AH71" s="107" t="n">
        <x:f>AH69*AH70/1000</x:f>
        <x:v>0</x:v>
      </x:c>
      <x:c r="AI71" s="107" t="n">
        <x:f>AI69*AI70/1000</x:f>
        <x:v>0</x:v>
      </x:c>
      <x:c r="AJ71" s="107" t="n">
        <x:f>AJ69*AJ70/1000</x:f>
        <x:v>0</x:v>
      </x:c>
      <x:c r="AK71" s="107" t="n">
        <x:f>AK69*AK70/1000</x:f>
        <x:v>0</x:v>
      </x:c>
      <x:c r="AL71" s="107" t="n">
        <x:f>AL69*AL70/1000</x:f>
        <x:v>0</x:v>
      </x:c>
      <x:c r="AM71" s="107" t="n">
        <x:f>AM69*AM70/1000</x:f>
        <x:v>0</x:v>
      </x:c>
      <x:c r="AN71" s="107" t="n">
        <x:f>AN69*AN70/1000</x:f>
        <x:v>0</x:v>
      </x:c>
      <x:c r="AO71" s="107" t="n">
        <x:f>AO69*AO70/1000</x:f>
        <x:v>0</x:v>
      </x:c>
      <x:c r="AP71" s="107" t="n">
        <x:f>AP69*AP70/1000</x:f>
        <x:v>0</x:v>
      </x:c>
      <x:c r="AQ71" s="107" t="n">
        <x:f>AQ69*AQ70/1000</x:f>
        <x:v>0</x:v>
      </x:c>
      <x:c r="AR71" s="107" t="n">
        <x:f>AR69*AR70/1000</x:f>
        <x:v>0</x:v>
      </x:c>
      <x:c r="AS71" s="107" t="n">
        <x:f>AS69*AS70/1000</x:f>
        <x:v>0</x:v>
      </x:c>
      <x:c r="AT71" s="107" t="n">
        <x:f>AT69*AT70/1000</x:f>
        <x:v>0</x:v>
      </x:c>
      <x:c r="AU71" s="107" t="n">
        <x:f>AU69*AU70/1000</x:f>
        <x:v>0</x:v>
      </x:c>
      <x:c r="AV71" s="107" t="n">
        <x:f>AV69*AV70/1000</x:f>
        <x:v>0</x:v>
      </x:c>
      <x:c r="AW71" s="107" t="n">
        <x:f>AW69*AW70/1000</x:f>
        <x:v>0</x:v>
      </x:c>
      <x:c r="AX71" s="107" t="n">
        <x:f>AX69*AX70/1000</x:f>
        <x:v>0</x:v>
      </x:c>
      <x:c r="AY71" s="107" t="n">
        <x:f>AY69*AY70/1000</x:f>
        <x:v>0</x:v>
      </x:c>
      <x:c r="AZ71" s="107" t="n">
        <x:f>AZ69*AZ70/1000</x:f>
        <x:v>0</x:v>
      </x:c>
      <x:c r="BA71" s="107" t="n">
        <x:f>BA69*BA70/1000</x:f>
        <x:v>0</x:v>
      </x:c>
      <x:c r="BB71" s="107" t="n">
        <x:f>BB69*BB70/1000</x:f>
        <x:v>0</x:v>
      </x:c>
      <x:c r="BC71" s="107" t="n">
        <x:f>BC69*BC70/1000</x:f>
        <x:v>0</x:v>
      </x:c>
      <x:c r="BD71" s="107" t="n">
        <x:f>BD69*BD70/1000</x:f>
        <x:v>0</x:v>
      </x:c>
      <x:c r="BE71" s="107" t="n">
        <x:f>BE69*BE70/1000</x:f>
        <x:v>0</x:v>
      </x:c>
      <x:c r="BF71" s="107" t="n">
        <x:f>BF69*BF70/1000</x:f>
        <x:v>0</x:v>
      </x:c>
      <x:c r="BG71" s="107" t="n">
        <x:f>BG69*BG70/1000</x:f>
        <x:v>0</x:v>
      </x:c>
      <x:c r="BH71" s="107" t="n">
        <x:f>BH69*BH70/1000</x:f>
        <x:v>0</x:v>
      </x:c>
      <x:c r="BI71" s="107" t="n">
        <x:f>BI69*BI70/1000</x:f>
        <x:v>0</x:v>
      </x:c>
      <x:c r="BJ71" s="107" t="n">
        <x:f>BJ69*BJ70/1000</x:f>
        <x:v>0</x:v>
      </x:c>
      <x:c r="BK71" s="107" t="n">
        <x:f>BK69*BK70/1000</x:f>
        <x:v>0</x:v>
      </x:c>
      <x:c r="BL71" s="107" t="n">
        <x:f>BL69*BL70/1000</x:f>
        <x:v>0</x:v>
      </x:c>
      <x:c r="BM71" s="107" t="n">
        <x:f>BM69*BM70/1000</x:f>
        <x:v>0</x:v>
      </x:c>
      <x:c r="BN71" s="107" t="n">
        <x:f>BN69*BN70/1000</x:f>
        <x:v>0</x:v>
      </x:c>
      <x:c r="BO71" s="107" t="n">
        <x:f>BO69*BO70/1000</x:f>
        <x:v>0</x:v>
      </x:c>
      <x:c r="BP71" s="107" t="n">
        <x:f>BP69*BP70/1000</x:f>
        <x:v>0</x:v>
      </x:c>
      <x:c r="BQ71" s="107" t="n">
        <x:f>BQ69*BQ70/1000</x:f>
        <x:v>0</x:v>
      </x:c>
      <x:c r="BR71" s="107" t="n">
        <x:f>BR69*BR70/1000</x:f>
        <x:v>0</x:v>
      </x:c>
      <x:c r="BS71" s="107" t="n">
        <x:f>BS69*BS70/1000</x:f>
        <x:v>0</x:v>
      </x:c>
      <x:c r="BT71" s="107" t="n">
        <x:f>BT69*BT70/1000</x:f>
        <x:v>0</x:v>
      </x:c>
      <x:c r="BU71" s="107" t="n">
        <x:f>BU69*BU70/1000</x:f>
        <x:v>0</x:v>
      </x:c>
      <x:c r="BV71" s="107" t="n">
        <x:f>BV69*BV70/1000</x:f>
        <x:v>0</x:v>
      </x:c>
      <x:c r="BW71" s="107" t="n">
        <x:f>BW69*BW70/1000</x:f>
        <x:v>0</x:v>
      </x:c>
      <x:c r="BX71" s="107" t="n">
        <x:f>BX69*BX70/1000</x:f>
        <x:v>0</x:v>
      </x:c>
      <x:c r="BY71" s="107" t="n">
        <x:f>BY69*BY70/1000</x:f>
        <x:v>0</x:v>
      </x:c>
      <x:c r="BZ71" s="107" t="n">
        <x:f>BZ69*BZ70/1000</x:f>
        <x:v>0</x:v>
      </x:c>
      <x:c r="CA71" s="107" t="n">
        <x:f>CA69*CA70/1000</x:f>
        <x:v>0</x:v>
      </x:c>
      <x:c r="CB71" s="107" t="n">
        <x:f>CB69*CB70/1000</x:f>
        <x:v>0</x:v>
      </x:c>
      <x:c r="CC71" s="107" t="n">
        <x:f>CC69*CC70/1000</x:f>
        <x:v>0</x:v>
      </x:c>
      <x:c r="CD71" s="107" t="n">
        <x:f>CD69*CD70/1000</x:f>
        <x:v>0</x:v>
      </x:c>
      <x:c r="CE71" s="107" t="n">
        <x:f>CE69*CE70/1000</x:f>
        <x:v>0</x:v>
      </x:c>
      <x:c r="CF71" s="107" t="n">
        <x:f>CF69*CF70/1000</x:f>
        <x:v>0</x:v>
      </x:c>
      <x:c r="CG71" s="107" t="n">
        <x:f>CG69*CG70/1000</x:f>
        <x:v>0</x:v>
      </x:c>
      <x:c r="CH71" s="107" t="n">
        <x:f>CH69*CH70/1000</x:f>
        <x:v>0</x:v>
      </x:c>
      <x:c r="CI71" s="107" t="n">
        <x:f>CI69*CI70/1000</x:f>
        <x:v>0</x:v>
      </x:c>
      <x:c r="CJ71" s="107" t="n">
        <x:f>CJ69*CJ70/1000</x:f>
        <x:v>0</x:v>
      </x:c>
      <x:c r="CK71" s="107" t="n">
        <x:f>CK69*CK70/1000</x:f>
        <x:v>0</x:v>
      </x:c>
      <x:c r="CL71" s="107" t="n">
        <x:f>CL69*CL70/1000</x:f>
        <x:v>0</x:v>
      </x:c>
      <x:c r="CM71" s="107" t="n">
        <x:f>CM69*CM70/1000</x:f>
        <x:v>0</x:v>
      </x:c>
      <x:c r="CN71" s="107" t="n">
        <x:f>CN69*CN70/1000</x:f>
        <x:v>0</x:v>
      </x:c>
      <x:c r="CO71" s="107" t="n">
        <x:f>CO69*CO70/1000</x:f>
        <x:v>0</x:v>
      </x:c>
      <x:c r="CP71" s="107" t="n">
        <x:f>CP69*CP70/1000</x:f>
        <x:v>0</x:v>
      </x:c>
      <x:c r="CQ71" s="107" t="n">
        <x:f>CQ69*CQ70/1000</x:f>
        <x:v>0</x:v>
      </x:c>
      <x:c r="CR71" s="107" t="n">
        <x:f>CR69*CR70/1000</x:f>
        <x:v>0</x:v>
      </x:c>
      <x:c r="CS71" s="107" t="n">
        <x:f>CS69*CS70/1000</x:f>
        <x:v>0</x:v>
      </x:c>
      <x:c r="CT71" s="107" t="n">
        <x:f>CT69*CT70/1000</x:f>
        <x:v>0</x:v>
      </x:c>
      <x:c r="CU71" s="107" t="n">
        <x:f>CU69*CU70/1000</x:f>
        <x:v>0</x:v>
      </x:c>
      <x:c r="CV71" s="107" t="n">
        <x:f>CV69*CV70/1000</x:f>
        <x:v>0</x:v>
      </x:c>
      <x:c r="CW71" s="107" t="n">
        <x:f>CW69*CW70/1000</x:f>
        <x:v>0</x:v>
      </x:c>
      <x:c r="CX71" s="107" t="n">
        <x:f>CX69*CX70/1000</x:f>
        <x:v>0</x:v>
      </x:c>
      <x:c r="CY71" s="107" t="n">
        <x:f>CY69*CY70/1000</x:f>
        <x:v>0</x:v>
      </x:c>
      <x:c r="CZ71" s="107" t="n">
        <x:f>CZ69*CZ70/1000</x:f>
        <x:v>0</x:v>
      </x:c>
      <x:c r="DA71" s="107" t="n">
        <x:f>DA69*DA70/1000</x:f>
        <x:v>0</x:v>
      </x:c>
      <x:c r="DB71" s="107" t="n">
        <x:f>DB69*DB70/1000</x:f>
        <x:v>0</x:v>
      </x:c>
      <x:c r="DC71" s="107" t="n">
        <x:f>DC69*DC70/1000</x:f>
        <x:v>0</x:v>
      </x:c>
      <x:c r="DD71" s="107" t="n">
        <x:f>DD69*DD70/1000</x:f>
        <x:v>0</x:v>
      </x:c>
      <x:c r="DE71" s="107" t="n">
        <x:f>DE69*DE70/1000</x:f>
        <x:v>0</x:v>
      </x:c>
      <x:c r="DF71" s="107" t="n">
        <x:f>DF69*DF70/1000</x:f>
        <x:v>0</x:v>
      </x:c>
      <x:c r="DG71" s="107" t="n">
        <x:f>DG69*DG70/1000</x:f>
        <x:v>0</x:v>
      </x:c>
      <x:c r="DH71" s="107" t="n">
        <x:f>DH69*DH70/1000</x:f>
        <x:v>0</x:v>
      </x:c>
      <x:c r="DI71" s="107" t="n">
        <x:f>DI69*DI70/1000</x:f>
        <x:v>0</x:v>
      </x:c>
      <x:c r="DJ71" s="107" t="n">
        <x:f>DJ69*DJ70/1000</x:f>
        <x:v>0</x:v>
      </x:c>
      <x:c r="DK71" s="107" t="n">
        <x:f>DK69*DK70/1000</x:f>
        <x:v>0</x:v>
      </x:c>
      <x:c r="DL71" s="107" t="n">
        <x:f>DL69*DL70/1000</x:f>
        <x:v>0</x:v>
      </x:c>
      <x:c r="DM71" s="107" t="n">
        <x:f>DM69*DM70/1000</x:f>
        <x:v>0</x:v>
      </x:c>
      <x:c r="DN71" s="107" t="n">
        <x:f>DN69*DN70/1000</x:f>
        <x:v>0</x:v>
      </x:c>
      <x:c r="DO71" s="107" t="n">
        <x:f>DO69*DO70/1000</x:f>
        <x:v>0</x:v>
      </x:c>
      <x:c r="DP71" s="107" t="n">
        <x:f>DP69*DP70/1000</x:f>
        <x:v>0</x:v>
      </x:c>
      <x:c r="DQ71" s="107" t="n">
        <x:f>DQ69*DQ70/1000</x:f>
        <x:v>0</x:v>
      </x:c>
      <x:c r="DR71" s="107" t="n">
        <x:f>DR69*DR70/1000</x:f>
        <x:v>0</x:v>
      </x:c>
      <x:c r="DS71" s="107" t="n">
        <x:f>DS69*DS70/1000</x:f>
        <x:v>0</x:v>
      </x:c>
    </x:row>
    <x:row r="72">
      <x:c r="A72" s="113" t="str">
        <x:v>ВЫРУЧКА ОЧЕРЕДИ</x:v>
      </x:c>
      <x:c r="B72" s="113" t="n">
        <x:f>SUM(D72:DS72)</x:f>
        <x:v>0</x:v>
      </x:c>
      <x:c r="C72" s="113" t="str">
        <x:v>млн ₽</x:v>
      </x:c>
      <x:c r="D72" s="113" t="n">
        <x:f>SUM(D62,D65,D68,D71)</x:f>
        <x:v>0</x:v>
      </x:c>
      <x:c r="E72" s="113" t="n">
        <x:f>SUM(E62,E65,E68,E71)</x:f>
        <x:v>0</x:v>
      </x:c>
      <x:c r="F72" s="113" t="n">
        <x:f>SUM(F62,F65,F68,F71)</x:f>
        <x:v>0</x:v>
      </x:c>
      <x:c r="G72" s="113" t="n">
        <x:f>SUM(G62,G65,G68,G71)</x:f>
        <x:v>0</x:v>
      </x:c>
      <x:c r="H72" s="113" t="n">
        <x:f>SUM(H62,H65,H68,H71)</x:f>
        <x:v>0</x:v>
      </x:c>
      <x:c r="I72" s="113" t="n">
        <x:f>SUM(I62,I65,I68,I71)</x:f>
        <x:v>0</x:v>
      </x:c>
      <x:c r="J72" s="113" t="n">
        <x:f>SUM(J62,J65,J68,J71)</x:f>
        <x:v>0</x:v>
      </x:c>
      <x:c r="K72" s="113" t="n">
        <x:f>SUM(K62,K65,K68,K71)</x:f>
        <x:v>0</x:v>
      </x:c>
      <x:c r="L72" s="113" t="n">
        <x:f>SUM(L62,L65,L68,L71)</x:f>
        <x:v>0</x:v>
      </x:c>
      <x:c r="M72" s="113" t="n">
        <x:f>SUM(M62,M65,M68,M71)</x:f>
        <x:v>0</x:v>
      </x:c>
      <x:c r="N72" s="113" t="n">
        <x:f>SUM(N62,N65,N68,N71)</x:f>
        <x:v>0</x:v>
      </x:c>
      <x:c r="O72" s="113" t="n">
        <x:f>SUM(O62,O65,O68,O71)</x:f>
        <x:v>0</x:v>
      </x:c>
      <x:c r="P72" s="113" t="n">
        <x:f>SUM(P62,P65,P68,P71)</x:f>
        <x:v>0</x:v>
      </x:c>
      <x:c r="Q72" s="113" t="n">
        <x:f>SUM(Q62,Q65,Q68,Q71)</x:f>
        <x:v>0</x:v>
      </x:c>
      <x:c r="R72" s="113" t="n">
        <x:f>SUM(R62,R65,R68,R71)</x:f>
        <x:v>0</x:v>
      </x:c>
      <x:c r="S72" s="113" t="n">
        <x:f>SUM(S62,S65,S68,S71)</x:f>
        <x:v>0</x:v>
      </x:c>
      <x:c r="T72" s="113" t="n">
        <x:f>SUM(T62,T65,T68,T71)</x:f>
        <x:v>0</x:v>
      </x:c>
      <x:c r="U72" s="113" t="n">
        <x:f>SUM(U62,U65,U68,U71)</x:f>
        <x:v>0</x:v>
      </x:c>
      <x:c r="V72" s="113" t="n">
        <x:f>SUM(V62,V65,V68,V71)</x:f>
        <x:v>0</x:v>
      </x:c>
      <x:c r="W72" s="113" t="n">
        <x:f>SUM(W62,W65,W68,W71)</x:f>
        <x:v>0</x:v>
      </x:c>
      <x:c r="X72" s="113" t="n">
        <x:f>SUM(X62,X65,X68,X71)</x:f>
        <x:v>0</x:v>
      </x:c>
      <x:c r="Y72" s="113" t="n">
        <x:f>SUM(Y62,Y65,Y68,Y71)</x:f>
        <x:v>0</x:v>
      </x:c>
      <x:c r="Z72" s="113" t="n">
        <x:f>SUM(Z62,Z65,Z68,Z71)</x:f>
        <x:v>0</x:v>
      </x:c>
      <x:c r="AA72" s="113" t="n">
        <x:f>SUM(AA62,AA65,AA68,AA71)</x:f>
        <x:v>0</x:v>
      </x:c>
      <x:c r="AB72" s="113" t="n">
        <x:f>SUM(AB62,AB65,AB68,AB71)</x:f>
        <x:v>0</x:v>
      </x:c>
      <x:c r="AC72" s="113" t="n">
        <x:f>SUM(AC62,AC65,AC68,AC71)</x:f>
        <x:v>0</x:v>
      </x:c>
      <x:c r="AD72" s="113" t="n">
        <x:f>SUM(AD62,AD65,AD68,AD71)</x:f>
        <x:v>0</x:v>
      </x:c>
      <x:c r="AE72" s="113" t="n">
        <x:f>SUM(AE62,AE65,AE68,AE71)</x:f>
        <x:v>0</x:v>
      </x:c>
      <x:c r="AF72" s="113" t="n">
        <x:f>SUM(AF62,AF65,AF68,AF71)</x:f>
        <x:v>0</x:v>
      </x:c>
      <x:c r="AG72" s="113" t="n">
        <x:f>SUM(AG62,AG65,AG68,AG71)</x:f>
        <x:v>0</x:v>
      </x:c>
      <x:c r="AH72" s="113" t="n">
        <x:f>SUM(AH62,AH65,AH68,AH71)</x:f>
        <x:v>0</x:v>
      </x:c>
      <x:c r="AI72" s="113" t="n">
        <x:f>SUM(AI62,AI65,AI68,AI71)</x:f>
        <x:v>0</x:v>
      </x:c>
      <x:c r="AJ72" s="113" t="n">
        <x:f>SUM(AJ62,AJ65,AJ68,AJ71)</x:f>
        <x:v>0</x:v>
      </x:c>
      <x:c r="AK72" s="113" t="n">
        <x:f>SUM(AK62,AK65,AK68,AK71)</x:f>
        <x:v>0</x:v>
      </x:c>
      <x:c r="AL72" s="113" t="n">
        <x:f>SUM(AL62,AL65,AL68,AL71)</x:f>
        <x:v>0</x:v>
      </x:c>
      <x:c r="AM72" s="113" t="n">
        <x:f>SUM(AM62,AM65,AM68,AM71)</x:f>
        <x:v>0</x:v>
      </x:c>
      <x:c r="AN72" s="113" t="n">
        <x:f>SUM(AN62,AN65,AN68,AN71)</x:f>
        <x:v>0</x:v>
      </x:c>
      <x:c r="AO72" s="113" t="n">
        <x:f>SUM(AO62,AO65,AO68,AO71)</x:f>
        <x:v>0</x:v>
      </x:c>
      <x:c r="AP72" s="113" t="n">
        <x:f>SUM(AP62,AP65,AP68,AP71)</x:f>
        <x:v>0</x:v>
      </x:c>
      <x:c r="AQ72" s="113" t="n">
        <x:f>SUM(AQ62,AQ65,AQ68,AQ71)</x:f>
        <x:v>0</x:v>
      </x:c>
      <x:c r="AR72" s="113" t="n">
        <x:f>SUM(AR62,AR65,AR68,AR71)</x:f>
        <x:v>0</x:v>
      </x:c>
      <x:c r="AS72" s="113" t="n">
        <x:f>SUM(AS62,AS65,AS68,AS71)</x:f>
        <x:v>0</x:v>
      </x:c>
      <x:c r="AT72" s="113" t="n">
        <x:f>SUM(AT62,AT65,AT68,AT71)</x:f>
        <x:v>0</x:v>
      </x:c>
      <x:c r="AU72" s="113" t="n">
        <x:f>SUM(AU62,AU65,AU68,AU71)</x:f>
        <x:v>0</x:v>
      </x:c>
      <x:c r="AV72" s="113" t="n">
        <x:f>SUM(AV62,AV65,AV68,AV71)</x:f>
        <x:v>0</x:v>
      </x:c>
      <x:c r="AW72" s="113" t="n">
        <x:f>SUM(AW62,AW65,AW68,AW71)</x:f>
        <x:v>0</x:v>
      </x:c>
      <x:c r="AX72" s="113" t="n">
        <x:f>SUM(AX62,AX65,AX68,AX71)</x:f>
        <x:v>0</x:v>
      </x:c>
      <x:c r="AY72" s="113" t="n">
        <x:f>SUM(AY62,AY65,AY68,AY71)</x:f>
        <x:v>0</x:v>
      </x:c>
      <x:c r="AZ72" s="113" t="n">
        <x:f>SUM(AZ62,AZ65,AZ68,AZ71)</x:f>
        <x:v>0</x:v>
      </x:c>
      <x:c r="BA72" s="113" t="n">
        <x:f>SUM(BA62,BA65,BA68,BA71)</x:f>
        <x:v>0</x:v>
      </x:c>
      <x:c r="BB72" s="113" t="n">
        <x:f>SUM(BB62,BB65,BB68,BB71)</x:f>
        <x:v>0</x:v>
      </x:c>
      <x:c r="BC72" s="113" t="n">
        <x:f>SUM(BC62,BC65,BC68,BC71)</x:f>
        <x:v>0</x:v>
      </x:c>
      <x:c r="BD72" s="113" t="n">
        <x:f>SUM(BD62,BD65,BD68,BD71)</x:f>
        <x:v>0</x:v>
      </x:c>
      <x:c r="BE72" s="113" t="n">
        <x:f>SUM(BE62,BE65,BE68,BE71)</x:f>
        <x:v>0</x:v>
      </x:c>
      <x:c r="BF72" s="113" t="n">
        <x:f>SUM(BF62,BF65,BF68,BF71)</x:f>
        <x:v>0</x:v>
      </x:c>
      <x:c r="BG72" s="113" t="n">
        <x:f>SUM(BG62,BG65,BG68,BG71)</x:f>
        <x:v>0</x:v>
      </x:c>
      <x:c r="BH72" s="113" t="n">
        <x:f>SUM(BH62,BH65,BH68,BH71)</x:f>
        <x:v>0</x:v>
      </x:c>
      <x:c r="BI72" s="113" t="n">
        <x:f>SUM(BI62,BI65,BI68,BI71)</x:f>
        <x:v>0</x:v>
      </x:c>
      <x:c r="BJ72" s="113" t="n">
        <x:f>SUM(BJ62,BJ65,BJ68,BJ71)</x:f>
        <x:v>0</x:v>
      </x:c>
      <x:c r="BK72" s="113" t="n">
        <x:f>SUM(BK62,BK65,BK68,BK71)</x:f>
        <x:v>0</x:v>
      </x:c>
      <x:c r="BL72" s="113" t="n">
        <x:f>SUM(BL62,BL65,BL68,BL71)</x:f>
        <x:v>0</x:v>
      </x:c>
      <x:c r="BM72" s="113" t="n">
        <x:f>SUM(BM62,BM65,BM68,BM71)</x:f>
        <x:v>0</x:v>
      </x:c>
      <x:c r="BN72" s="113" t="n">
        <x:f>SUM(BN62,BN65,BN68,BN71)</x:f>
        <x:v>0</x:v>
      </x:c>
      <x:c r="BO72" s="113" t="n">
        <x:f>SUM(BO62,BO65,BO68,BO71)</x:f>
        <x:v>0</x:v>
      </x:c>
      <x:c r="BP72" s="113" t="n">
        <x:f>SUM(BP62,BP65,BP68,BP71)</x:f>
        <x:v>0</x:v>
      </x:c>
      <x:c r="BQ72" s="113" t="n">
        <x:f>SUM(BQ62,BQ65,BQ68,BQ71)</x:f>
        <x:v>0</x:v>
      </x:c>
      <x:c r="BR72" s="113" t="n">
        <x:f>SUM(BR62,BR65,BR68,BR71)</x:f>
        <x:v>0</x:v>
      </x:c>
      <x:c r="BS72" s="113" t="n">
        <x:f>SUM(BS62,BS65,BS68,BS71)</x:f>
        <x:v>0</x:v>
      </x:c>
      <x:c r="BT72" s="113" t="n">
        <x:f>SUM(BT62,BT65,BT68,BT71)</x:f>
        <x:v>0</x:v>
      </x:c>
      <x:c r="BU72" s="113" t="n">
        <x:f>SUM(BU62,BU65,BU68,BU71)</x:f>
        <x:v>0</x:v>
      </x:c>
      <x:c r="BV72" s="113" t="n">
        <x:f>SUM(BV62,BV65,BV68,BV71)</x:f>
        <x:v>0</x:v>
      </x:c>
      <x:c r="BW72" s="113" t="n">
        <x:f>SUM(BW62,BW65,BW68,BW71)</x:f>
        <x:v>0</x:v>
      </x:c>
      <x:c r="BX72" s="113" t="n">
        <x:f>SUM(BX62,BX65,BX68,BX71)</x:f>
        <x:v>0</x:v>
      </x:c>
      <x:c r="BY72" s="113" t="n">
        <x:f>SUM(BY62,BY65,BY68,BY71)</x:f>
        <x:v>0</x:v>
      </x:c>
      <x:c r="BZ72" s="113" t="n">
        <x:f>SUM(BZ62,BZ65,BZ68,BZ71)</x:f>
        <x:v>0</x:v>
      </x:c>
      <x:c r="CA72" s="113" t="n">
        <x:f>SUM(CA62,CA65,CA68,CA71)</x:f>
        <x:v>0</x:v>
      </x:c>
      <x:c r="CB72" s="113" t="n">
        <x:f>SUM(CB62,CB65,CB68,CB71)</x:f>
        <x:v>0</x:v>
      </x:c>
      <x:c r="CC72" s="113" t="n">
        <x:f>SUM(CC62,CC65,CC68,CC71)</x:f>
        <x:v>0</x:v>
      </x:c>
      <x:c r="CD72" s="113" t="n">
        <x:f>SUM(CD62,CD65,CD68,CD71)</x:f>
        <x:v>0</x:v>
      </x:c>
      <x:c r="CE72" s="113" t="n">
        <x:f>SUM(CE62,CE65,CE68,CE71)</x:f>
        <x:v>0</x:v>
      </x:c>
      <x:c r="CF72" s="113" t="n">
        <x:f>SUM(CF62,CF65,CF68,CF71)</x:f>
        <x:v>0</x:v>
      </x:c>
      <x:c r="CG72" s="113" t="n">
        <x:f>SUM(CG62,CG65,CG68,CG71)</x:f>
        <x:v>0</x:v>
      </x:c>
      <x:c r="CH72" s="113" t="n">
        <x:f>SUM(CH62,CH65,CH68,CH71)</x:f>
        <x:v>0</x:v>
      </x:c>
      <x:c r="CI72" s="113" t="n">
        <x:f>SUM(CI62,CI65,CI68,CI71)</x:f>
        <x:v>0</x:v>
      </x:c>
      <x:c r="CJ72" s="113" t="n">
        <x:f>SUM(CJ62,CJ65,CJ68,CJ71)</x:f>
        <x:v>0</x:v>
      </x:c>
      <x:c r="CK72" s="113" t="n">
        <x:f>SUM(CK62,CK65,CK68,CK71)</x:f>
        <x:v>0</x:v>
      </x:c>
      <x:c r="CL72" s="113" t="n">
        <x:f>SUM(CL62,CL65,CL68,CL71)</x:f>
        <x:v>0</x:v>
      </x:c>
      <x:c r="CM72" s="113" t="n">
        <x:f>SUM(CM62,CM65,CM68,CM71)</x:f>
        <x:v>0</x:v>
      </x:c>
      <x:c r="CN72" s="113" t="n">
        <x:f>SUM(CN62,CN65,CN68,CN71)</x:f>
        <x:v>0</x:v>
      </x:c>
      <x:c r="CO72" s="113" t="n">
        <x:f>SUM(CO62,CO65,CO68,CO71)</x:f>
        <x:v>0</x:v>
      </x:c>
      <x:c r="CP72" s="113" t="n">
        <x:f>SUM(CP62,CP65,CP68,CP71)</x:f>
        <x:v>0</x:v>
      </x:c>
      <x:c r="CQ72" s="113" t="n">
        <x:f>SUM(CQ62,CQ65,CQ68,CQ71)</x:f>
        <x:v>0</x:v>
      </x:c>
      <x:c r="CR72" s="113" t="n">
        <x:f>SUM(CR62,CR65,CR68,CR71)</x:f>
        <x:v>0</x:v>
      </x:c>
      <x:c r="CS72" s="113" t="n">
        <x:f>SUM(CS62,CS65,CS68,CS71)</x:f>
        <x:v>0</x:v>
      </x:c>
      <x:c r="CT72" s="113" t="n">
        <x:f>SUM(CT62,CT65,CT68,CT71)</x:f>
        <x:v>0</x:v>
      </x:c>
      <x:c r="CU72" s="113" t="n">
        <x:f>SUM(CU62,CU65,CU68,CU71)</x:f>
        <x:v>0</x:v>
      </x:c>
      <x:c r="CV72" s="113" t="n">
        <x:f>SUM(CV62,CV65,CV68,CV71)</x:f>
        <x:v>0</x:v>
      </x:c>
      <x:c r="CW72" s="113" t="n">
        <x:f>SUM(CW62,CW65,CW68,CW71)</x:f>
        <x:v>0</x:v>
      </x:c>
      <x:c r="CX72" s="113" t="n">
        <x:f>SUM(CX62,CX65,CX68,CX71)</x:f>
        <x:v>0</x:v>
      </x:c>
      <x:c r="CY72" s="113" t="n">
        <x:f>SUM(CY62,CY65,CY68,CY71)</x:f>
        <x:v>0</x:v>
      </x:c>
      <x:c r="CZ72" s="113" t="n">
        <x:f>SUM(CZ62,CZ65,CZ68,CZ71)</x:f>
        <x:v>0</x:v>
      </x:c>
      <x:c r="DA72" s="113" t="n">
        <x:f>SUM(DA62,DA65,DA68,DA71)</x:f>
        <x:v>0</x:v>
      </x:c>
      <x:c r="DB72" s="113" t="n">
        <x:f>SUM(DB62,DB65,DB68,DB71)</x:f>
        <x:v>0</x:v>
      </x:c>
      <x:c r="DC72" s="113" t="n">
        <x:f>SUM(DC62,DC65,DC68,DC71)</x:f>
        <x:v>0</x:v>
      </x:c>
      <x:c r="DD72" s="113" t="n">
        <x:f>SUM(DD62,DD65,DD68,DD71)</x:f>
        <x:v>0</x:v>
      </x:c>
      <x:c r="DE72" s="113" t="n">
        <x:f>SUM(DE62,DE65,DE68,DE71)</x:f>
        <x:v>0</x:v>
      </x:c>
      <x:c r="DF72" s="113" t="n">
        <x:f>SUM(DF62,DF65,DF68,DF71)</x:f>
        <x:v>0</x:v>
      </x:c>
      <x:c r="DG72" s="113" t="n">
        <x:f>SUM(DG62,DG65,DG68,DG71)</x:f>
        <x:v>0</x:v>
      </x:c>
      <x:c r="DH72" s="113" t="n">
        <x:f>SUM(DH62,DH65,DH68,DH71)</x:f>
        <x:v>0</x:v>
      </x:c>
      <x:c r="DI72" s="113" t="n">
        <x:f>SUM(DI62,DI65,DI68,DI71)</x:f>
        <x:v>0</x:v>
      </x:c>
      <x:c r="DJ72" s="113" t="n">
        <x:f>SUM(DJ62,DJ65,DJ68,DJ71)</x:f>
        <x:v>0</x:v>
      </x:c>
      <x:c r="DK72" s="113" t="n">
        <x:f>SUM(DK62,DK65,DK68,DK71)</x:f>
        <x:v>0</x:v>
      </x:c>
      <x:c r="DL72" s="113" t="n">
        <x:f>SUM(DL62,DL65,DL68,DL71)</x:f>
        <x:v>0</x:v>
      </x:c>
      <x:c r="DM72" s="113" t="n">
        <x:f>SUM(DM62,DM65,DM68,DM71)</x:f>
        <x:v>0</x:v>
      </x:c>
      <x:c r="DN72" s="113" t="n">
        <x:f>SUM(DN62,DN65,DN68,DN71)</x:f>
        <x:v>0</x:v>
      </x:c>
      <x:c r="DO72" s="113" t="n">
        <x:f>SUM(DO62,DO65,DO68,DO71)</x:f>
        <x:v>0</x:v>
      </x:c>
      <x:c r="DP72" s="113" t="n">
        <x:f>SUM(DP62,DP65,DP68,DP71)</x:f>
        <x:v>0</x:v>
      </x:c>
      <x:c r="DQ72" s="113" t="n">
        <x:f>SUM(DQ62,DQ65,DQ68,DQ71)</x:f>
        <x:v>0</x:v>
      </x:c>
      <x:c r="DR72" s="113" t="n">
        <x:f>SUM(DR62,DR65,DR68,DR71)</x:f>
        <x:v>0</x:v>
      </x:c>
      <x:c r="DS72" s="113" t="n">
        <x:f>SUM(DS62,DS65,DS68,DS71)</x:f>
        <x:v>0</x:v>
      </x:c>
    </x:row>
  </x:sheetData>
  <x:mergeCells>
    <x:mergeCell ref="A1:DS1"/>
    <x:mergeCell ref="A6:DS6"/>
    <x:mergeCell ref="A29:DS29"/>
    <x:mergeCell ref="A52:DS5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  <x:v>46905</x:v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  <x:v>46935</x:v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  <x:v>1267.539</x:v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  <x:v>0</x:v>
      </x:c>
      <x:c r="C10" t="str">
        <x:v>млн ₽</x:v>
      </x:c>
      <x:c r="D10" s="117" t="n">
        <x:f>0</x:f>
        <x:v>0</x:v>
      </x:c>
      <x:c r="E10" s="117" t="n">
        <x:f>D16</x:f>
        <x:v>0</x:v>
      </x:c>
      <x:c r="F10" s="117" t="n">
        <x:f>E16</x:f>
        <x:v>0</x:v>
      </x:c>
      <x:c r="G10" s="117" t="n">
        <x:f>F16</x:f>
        <x:v>0</x:v>
      </x:c>
      <x:c r="H10" s="117" t="n">
        <x:f>G16</x:f>
        <x:v>0</x:v>
      </x:c>
      <x:c r="I10" s="117" t="n">
        <x:f>H16</x:f>
        <x:v>0</x:v>
      </x:c>
      <x:c r="J10" s="117" t="n">
        <x:f>I16</x:f>
        <x:v>0</x:v>
      </x:c>
      <x:c r="K10" s="117" t="n">
        <x:f>J16</x:f>
        <x:v>0</x:v>
      </x:c>
      <x:c r="L10" s="117" t="n">
        <x:f>K16</x:f>
        <x:v>0</x:v>
      </x:c>
      <x:c r="M10" s="117" t="n">
        <x:f>L16</x:f>
        <x:v>0</x:v>
      </x:c>
      <x:c r="N10" s="117" t="n">
        <x:f>M16</x:f>
        <x:v>0</x:v>
      </x:c>
      <x:c r="O10" s="117" t="n">
        <x:f>N16</x:f>
        <x:v>0</x:v>
      </x:c>
      <x:c r="P10" s="117" t="n">
        <x:f>O16</x:f>
        <x:v>0</x:v>
      </x:c>
      <x:c r="Q10" s="117" t="n">
        <x:f>P16</x:f>
        <x:v>0</x:v>
      </x:c>
      <x:c r="R10" s="117" t="n">
        <x:f>Q16</x:f>
        <x:v>0</x:v>
      </x:c>
      <x:c r="S10" s="117" t="n">
        <x:f>R16</x:f>
        <x:v>0</x:v>
      </x:c>
      <x:c r="T10" s="117" t="n">
        <x:f>S16</x:f>
        <x:v>0</x:v>
      </x:c>
      <x:c r="U10" s="117" t="n">
        <x:f>T16</x:f>
        <x:v>0</x:v>
      </x:c>
      <x:c r="V10" s="117" t="n">
        <x:f>U16</x:f>
        <x:v>0</x:v>
      </x:c>
      <x:c r="W10" s="117" t="n">
        <x:f>V16</x:f>
        <x:v>0</x:v>
      </x:c>
      <x:c r="X10" s="117" t="n">
        <x:f>W16</x:f>
        <x:v>0</x:v>
      </x:c>
      <x:c r="Y10" s="117" t="n">
        <x:f>X16</x:f>
        <x:v>0</x:v>
      </x:c>
      <x:c r="Z10" s="117" t="n">
        <x:f>Y16</x:f>
        <x:v>0</x:v>
      </x:c>
      <x:c r="AA10" s="117" t="n">
        <x:f>Z16</x:f>
        <x:v>0</x:v>
      </x:c>
      <x:c r="AB10" s="117" t="n">
        <x:f>AA16</x:f>
        <x:v>0</x:v>
      </x:c>
      <x:c r="AC10" s="117" t="n">
        <x:f>AB16</x:f>
        <x:v>0</x:v>
      </x:c>
      <x:c r="AD10" s="117" t="n">
        <x:f>AC16</x:f>
        <x:v>0</x:v>
      </x:c>
      <x:c r="AE10" s="117" t="n">
        <x:f>AD16</x:f>
        <x:v>0</x:v>
      </x:c>
      <x:c r="AF10" s="117" t="n">
        <x:f>AE16</x:f>
        <x:v>0</x:v>
      </x:c>
      <x:c r="AG10" s="117" t="n">
        <x:f>AF16</x:f>
        <x:v>0</x:v>
      </x:c>
      <x:c r="AH10" s="117" t="n">
        <x:f>AG16</x:f>
        <x:v>0</x:v>
      </x:c>
      <x:c r="AI10" s="117" t="n">
        <x:f>AH16</x:f>
        <x:v>0</x:v>
      </x:c>
      <x:c r="AJ10" s="117" t="n">
        <x:f>AI16</x:f>
        <x:v>0</x:v>
      </x:c>
      <x:c r="AK10" s="117" t="n">
        <x:f>AJ16</x:f>
        <x:v>0</x:v>
      </x:c>
      <x:c r="AL10" s="117" t="n">
        <x:f>AK16</x:f>
        <x:v>0</x:v>
      </x:c>
      <x:c r="AM10" s="117" t="n">
        <x:f>AL16</x:f>
        <x:v>0</x:v>
      </x:c>
      <x:c r="AN10" s="117" t="n">
        <x:f>AM16</x:f>
        <x:v>0</x:v>
      </x:c>
      <x:c r="AO10" s="117" t="n">
        <x:f>AN16</x:f>
        <x:v>0</x:v>
      </x:c>
      <x:c r="AP10" s="117" t="n">
        <x:f>AO16</x:f>
        <x:v>0</x:v>
      </x:c>
      <x:c r="AQ10" s="117" t="n">
        <x:f>AP16</x:f>
        <x:v>0</x:v>
      </x:c>
      <x:c r="AR10" s="117" t="n">
        <x:f>AQ16</x:f>
        <x:v>0</x:v>
      </x:c>
      <x:c r="AS10" s="117" t="n">
        <x:f>AR16</x:f>
        <x:v>0</x:v>
      </x:c>
      <x:c r="AT10" s="117" t="n">
        <x:f>AS16</x:f>
        <x:v>0</x:v>
      </x:c>
      <x:c r="AU10" s="117" t="n">
        <x:f>AT16</x:f>
        <x:v>0</x:v>
      </x:c>
      <x:c r="AV10" s="117" t="n">
        <x:f>AU16</x:f>
        <x:v>0</x:v>
      </x:c>
      <x:c r="AW10" s="117" t="n">
        <x:f>AV16</x:f>
        <x:v>0</x:v>
      </x:c>
      <x:c r="AX10" s="117" t="n">
        <x:f>AW16</x:f>
        <x:v>0</x:v>
      </x:c>
      <x:c r="AY10" s="117" t="n">
        <x:f>AX16</x:f>
        <x:v>0</x:v>
      </x:c>
      <x:c r="AZ10" s="117" t="n">
        <x:f>AY16</x:f>
        <x:v>0</x:v>
      </x:c>
      <x:c r="BA10" s="117" t="n">
        <x:f>AZ16</x:f>
        <x:v>0</x:v>
      </x:c>
      <x:c r="BB10" s="117" t="n">
        <x:f>BA16</x:f>
        <x:v>0</x:v>
      </x:c>
      <x:c r="BC10" s="117" t="n">
        <x:f>BB16</x:f>
        <x:v>0</x:v>
      </x:c>
      <x:c r="BD10" s="117" t="n">
        <x:f>BC16</x:f>
        <x:v>0</x:v>
      </x:c>
      <x:c r="BE10" s="117" t="n">
        <x:f>BD16</x:f>
        <x:v>0</x:v>
      </x:c>
      <x:c r="BF10" s="117" t="n">
        <x:f>BE16</x:f>
        <x:v>0</x:v>
      </x:c>
      <x:c r="BG10" s="117" t="n">
        <x:f>BF16</x:f>
        <x:v>0</x:v>
      </x:c>
      <x:c r="BH10" s="117" t="n">
        <x:f>BG16</x:f>
        <x:v>0</x:v>
      </x:c>
      <x:c r="BI10" s="117" t="n">
        <x:f>BH16</x:f>
        <x:v>0</x:v>
      </x:c>
      <x:c r="BJ10" s="117" t="n">
        <x:f>BI16</x:f>
        <x:v>0</x:v>
      </x:c>
      <x:c r="BK10" s="117" t="n">
        <x:f>BJ16</x:f>
        <x:v>0</x:v>
      </x:c>
      <x:c r="BL10" s="117" t="n">
        <x:f>BK16</x:f>
        <x:v>0</x:v>
      </x:c>
      <x:c r="BM10" s="117" t="n">
        <x:f>BL16</x:f>
        <x:v>0</x:v>
      </x:c>
      <x:c r="BN10" s="117" t="n">
        <x:f>BM16</x:f>
        <x:v>0</x:v>
      </x:c>
      <x:c r="BO10" s="117" t="n">
        <x:f>BN16</x:f>
        <x:v>0</x:v>
      </x:c>
      <x:c r="BP10" s="117" t="n">
        <x:f>BO16</x:f>
        <x:v>0</x:v>
      </x:c>
      <x:c r="BQ10" s="117" t="n">
        <x:f>BP16</x:f>
        <x:v>0</x:v>
      </x:c>
      <x:c r="BR10" s="117" t="n">
        <x:f>BQ16</x:f>
        <x:v>0</x:v>
      </x:c>
      <x:c r="BS10" s="117" t="n">
        <x:f>BR16</x:f>
        <x:v>0</x:v>
      </x:c>
      <x:c r="BT10" s="117" t="n">
        <x:f>BS16</x:f>
        <x:v>0</x:v>
      </x:c>
      <x:c r="BU10" s="117" t="n">
        <x:f>BT16</x:f>
        <x:v>0</x:v>
      </x:c>
      <x:c r="BV10" s="117" t="n">
        <x:f>BU16</x:f>
        <x:v>0</x:v>
      </x:c>
      <x:c r="BW10" s="117" t="n">
        <x:f>BV16</x:f>
        <x:v>0</x:v>
      </x:c>
      <x:c r="BX10" s="117" t="n">
        <x:f>BW16</x:f>
        <x:v>0</x:v>
      </x:c>
      <x:c r="BY10" s="117" t="n">
        <x:f>BX16</x:f>
        <x:v>0</x:v>
      </x:c>
      <x:c r="BZ10" s="117" t="n">
        <x:f>BY16</x:f>
        <x:v>0</x:v>
      </x:c>
      <x:c r="CA10" s="117" t="n">
        <x:f>BZ16</x:f>
        <x:v>0</x:v>
      </x:c>
      <x:c r="CB10" s="117" t="n">
        <x:f>CA16</x:f>
        <x:v>0</x:v>
      </x:c>
      <x:c r="CC10" s="117" t="n">
        <x:f>CB16</x:f>
        <x:v>0</x:v>
      </x:c>
      <x:c r="CD10" s="117" t="n">
        <x:f>CC16</x:f>
        <x:v>0</x:v>
      </x:c>
      <x:c r="CE10" s="117" t="n">
        <x:f>CD16</x:f>
        <x:v>0</x:v>
      </x:c>
      <x:c r="CF10" s="117" t="n">
        <x:f>CE16</x:f>
        <x:v>0</x:v>
      </x:c>
      <x:c r="CG10" s="117" t="n">
        <x:f>CF16</x:f>
        <x:v>0</x:v>
      </x:c>
      <x:c r="CH10" s="117" t="n">
        <x:f>CG16</x:f>
        <x:v>0</x:v>
      </x:c>
      <x:c r="CI10" s="117" t="n">
        <x:f>CH16</x:f>
        <x:v>0</x:v>
      </x:c>
      <x:c r="CJ10" s="117" t="n">
        <x:f>CI16</x:f>
        <x:v>0</x:v>
      </x:c>
      <x:c r="CK10" s="117" t="n">
        <x:f>CJ16</x:f>
        <x:v>0</x:v>
      </x:c>
      <x:c r="CL10" s="117" t="n">
        <x:f>CK16</x:f>
        <x:v>0</x:v>
      </x:c>
      <x:c r="CM10" s="117" t="n">
        <x:f>CL16</x:f>
        <x:v>0</x:v>
      </x:c>
      <x:c r="CN10" s="117" t="n">
        <x:f>CM16</x:f>
        <x:v>0</x:v>
      </x:c>
      <x:c r="CO10" s="117" t="n">
        <x:f>CN16</x:f>
        <x:v>0</x:v>
      </x:c>
      <x:c r="CP10" s="117" t="n">
        <x:f>CO16</x:f>
        <x:v>0</x:v>
      </x:c>
      <x:c r="CQ10" s="117" t="n">
        <x:f>CP16</x:f>
        <x:v>0</x:v>
      </x:c>
      <x:c r="CR10" s="117" t="n">
        <x:f>CQ16</x:f>
        <x:v>0</x:v>
      </x:c>
      <x:c r="CS10" s="117" t="n">
        <x:f>CR16</x:f>
        <x:v>0</x:v>
      </x:c>
      <x:c r="CT10" s="117" t="n">
        <x:f>CS16</x:f>
        <x:v>0</x:v>
      </x:c>
      <x:c r="CU10" s="117" t="n">
        <x:f>CT16</x:f>
        <x:v>0</x:v>
      </x:c>
      <x:c r="CV10" s="117" t="n">
        <x:f>CU16</x:f>
        <x:v>0</x:v>
      </x:c>
      <x:c r="CW10" s="117" t="n">
        <x:f>CV16</x:f>
        <x:v>0</x:v>
      </x:c>
      <x:c r="CX10" s="117" t="n">
        <x:f>CW16</x:f>
        <x:v>0</x:v>
      </x:c>
      <x:c r="CY10" s="117" t="n">
        <x:f>CX16</x:f>
        <x:v>0</x:v>
      </x:c>
      <x:c r="CZ10" s="117" t="n">
        <x:f>CY16</x:f>
        <x:v>0</x:v>
      </x:c>
      <x:c r="DA10" s="117" t="n">
        <x:f>CZ16</x:f>
        <x:v>0</x:v>
      </x:c>
      <x:c r="DB10" s="117" t="n">
        <x:f>DA16</x:f>
        <x:v>0</x:v>
      </x:c>
      <x:c r="DC10" s="117" t="n">
        <x:f>DB16</x:f>
        <x:v>0</x:v>
      </x:c>
      <x:c r="DD10" s="117" t="n">
        <x:f>DC16</x:f>
        <x:v>0</x:v>
      </x:c>
      <x:c r="DE10" s="117" t="n">
        <x:f>DD16</x:f>
        <x:v>0</x:v>
      </x:c>
      <x:c r="DF10" s="117" t="n">
        <x:f>DE16</x:f>
        <x:v>0</x:v>
      </x:c>
      <x:c r="DG10" s="117" t="n">
        <x:f>DF16</x:f>
        <x:v>0</x:v>
      </x:c>
      <x:c r="DH10" s="117" t="n">
        <x:f>DG16</x:f>
        <x:v>0</x:v>
      </x:c>
      <x:c r="DI10" s="117" t="n">
        <x:f>DH16</x:f>
        <x:v>0</x:v>
      </x:c>
      <x:c r="DJ10" s="117" t="n">
        <x:f>DI16</x:f>
        <x:v>0</x:v>
      </x:c>
      <x:c r="DK10" s="117" t="n">
        <x:f>DJ16</x:f>
        <x:v>0</x:v>
      </x:c>
      <x:c r="DL10" s="117" t="n">
        <x:f>DK16</x:f>
        <x:v>0</x:v>
      </x:c>
      <x:c r="DM10" s="117" t="n">
        <x:f>DL16</x:f>
        <x:v>0</x:v>
      </x:c>
      <x:c r="DN10" s="117" t="n">
        <x:f>DM16</x:f>
        <x:v>0</x:v>
      </x:c>
      <x:c r="DO10" s="117" t="n">
        <x:f>DN16</x:f>
        <x:v>0</x:v>
      </x:c>
      <x:c r="DP10" s="117" t="n">
        <x:f>DO16</x:f>
        <x:v>0</x:v>
      </x:c>
      <x:c r="DQ10" s="117" t="n">
        <x:f>DP16</x:f>
        <x:v>0</x:v>
      </x:c>
      <x:c r="DR10" s="117" t="n">
        <x:f>DQ16</x:f>
        <x:v>0</x:v>
      </x:c>
      <x:c r="DS10" s="117" t="n">
        <x:f>DR16</x:f>
        <x:v>0</x:v>
      </x:c>
    </x:row>
    <x:row r="11">
      <x:c r="A11" t="str">
        <x:v>Возникновение обязательства</x:v>
      </x:c>
      <x:c r="B11" s="107" t="n">
        <x:f>SUM(D11:DS11)</x:f>
        <x:v>1267.539</x:v>
      </x:c>
      <x:c r="C11" t="str">
        <x:v>млн ₽</x:v>
      </x:c>
      <x:c r="D11" s="117" t="n">
        <x:f>IF(AND(YEAR(D$3)=YEAR($B$7),MONTH(D$3)=MONTH($B$7)),$B$9,0)</x:f>
        <x:v>0</x:v>
      </x:c>
      <x:c r="E11" s="117" t="n">
        <x:f>IF(AND(YEAR(E$3)=YEAR($B$7),MONTH(E$3)=MONTH($B$7)),$B$9,0)</x:f>
        <x:v>0</x:v>
      </x:c>
      <x:c r="F11" s="117" t="n">
        <x:f>IF(AND(YEAR(F$3)=YEAR($B$7),MONTH(F$3)=MONTH($B$7)),$B$9,0)</x:f>
        <x:v>0</x:v>
      </x:c>
      <x:c r="G11" s="117" t="n">
        <x:f>IF(AND(YEAR(G$3)=YEAR($B$7),MONTH(G$3)=MONTH($B$7)),$B$9,0)</x:f>
        <x:v>0</x:v>
      </x:c>
      <x:c r="H11" s="117" t="n">
        <x:f>IF(AND(YEAR(H$3)=YEAR($B$7),MONTH(H$3)=MONTH($B$7)),$B$9,0)</x:f>
        <x:v>0</x:v>
      </x:c>
      <x:c r="I11" s="117" t="n">
        <x:f>IF(AND(YEAR(I$3)=YEAR($B$7),MONTH(I$3)=MONTH($B$7)),$B$9,0)</x:f>
        <x:v>0</x:v>
      </x:c>
      <x:c r="J11" s="117" t="n">
        <x:f>IF(AND(YEAR(J$3)=YEAR($B$7),MONTH(J$3)=MONTH($B$7)),$B$9,0)</x:f>
        <x:v>0</x:v>
      </x:c>
      <x:c r="K11" s="117" t="n">
        <x:f>IF(AND(YEAR(K$3)=YEAR($B$7),MONTH(K$3)=MONTH($B$7)),$B$9,0)</x:f>
        <x:v>0</x:v>
      </x:c>
      <x:c r="L11" s="117" t="n">
        <x:f>IF(AND(YEAR(L$3)=YEAR($B$7),MONTH(L$3)=MONTH($B$7)),$B$9,0)</x:f>
        <x:v>0</x:v>
      </x:c>
      <x:c r="M11" s="117" t="n">
        <x:f>IF(AND(YEAR(M$3)=YEAR($B$7),MONTH(M$3)=MONTH($B$7)),$B$9,0)</x:f>
        <x:v>0</x:v>
      </x:c>
      <x:c r="N11" s="117" t="n">
        <x:f>IF(AND(YEAR(N$3)=YEAR($B$7),MONTH(N$3)=MONTH($B$7)),$B$9,0)</x:f>
        <x:v>0</x:v>
      </x:c>
      <x:c r="O11" s="117" t="n">
        <x:f>IF(AND(YEAR(O$3)=YEAR($B$7),MONTH(O$3)=MONTH($B$7)),$B$9,0)</x:f>
        <x:v>0</x:v>
      </x:c>
      <x:c r="P11" s="117" t="n">
        <x:f>IF(AND(YEAR(P$3)=YEAR($B$7),MONTH(P$3)=MONTH($B$7)),$B$9,0)</x:f>
        <x:v>0</x:v>
      </x:c>
      <x:c r="Q11" s="117" t="n">
        <x:f>IF(AND(YEAR(Q$3)=YEAR($B$7),MONTH(Q$3)=MONTH($B$7)),$B$9,0)</x:f>
        <x:v>0</x:v>
      </x:c>
      <x:c r="R11" s="117" t="n">
        <x:f>IF(AND(YEAR(R$3)=YEAR($B$7),MONTH(R$3)=MONTH($B$7)),$B$9,0)</x:f>
        <x:v>0</x:v>
      </x:c>
      <x:c r="S11" s="117" t="n">
        <x:f>IF(AND(YEAR(S$3)=YEAR($B$7),MONTH(S$3)=MONTH($B$7)),$B$9,0)</x:f>
        <x:v>0</x:v>
      </x:c>
      <x:c r="T11" s="117" t="n">
        <x:f>IF(AND(YEAR(T$3)=YEAR($B$7),MONTH(T$3)=MONTH($B$7)),$B$9,0)</x:f>
        <x:v>0</x:v>
      </x:c>
      <x:c r="U11" s="117" t="n">
        <x:f>IF(AND(YEAR(U$3)=YEAR($B$7),MONTH(U$3)=MONTH($B$7)),$B$9,0)</x:f>
        <x:v>1267.539</x:v>
      </x:c>
      <x:c r="V11" s="117" t="n">
        <x:f>IF(AND(YEAR(V$3)=YEAR($B$7),MONTH(V$3)=MONTH($B$7)),$B$9,0)</x:f>
        <x:v>0</x:v>
      </x:c>
      <x:c r="W11" s="117" t="n">
        <x:f>IF(AND(YEAR(W$3)=YEAR($B$7),MONTH(W$3)=MONTH($B$7)),$B$9,0)</x:f>
        <x:v>0</x:v>
      </x:c>
      <x:c r="X11" s="117" t="n">
        <x:f>IF(AND(YEAR(X$3)=YEAR($B$7),MONTH(X$3)=MONTH($B$7)),$B$9,0)</x:f>
        <x:v>0</x:v>
      </x:c>
      <x:c r="Y11" s="117" t="n">
        <x:f>IF(AND(YEAR(Y$3)=YEAR($B$7),MONTH(Y$3)=MONTH($B$7)),$B$9,0)</x:f>
        <x:v>0</x:v>
      </x:c>
      <x:c r="Z11" s="117" t="n">
        <x:f>IF(AND(YEAR(Z$3)=YEAR($B$7),MONTH(Z$3)=MONTH($B$7)),$B$9,0)</x:f>
        <x:v>0</x:v>
      </x:c>
      <x:c r="AA11" s="117" t="n">
        <x:f>IF(AND(YEAR(AA$3)=YEAR($B$7),MONTH(AA$3)=MONTH($B$7)),$B$9,0)</x:f>
        <x:v>0</x:v>
      </x:c>
      <x:c r="AB11" s="117" t="n">
        <x:f>IF(AND(YEAR(AB$3)=YEAR($B$7),MONTH(AB$3)=MONTH($B$7)),$B$9,0)</x:f>
        <x:v>0</x:v>
      </x:c>
      <x:c r="AC11" s="117" t="n">
        <x:f>IF(AND(YEAR(AC$3)=YEAR($B$7),MONTH(AC$3)=MONTH($B$7)),$B$9,0)</x:f>
        <x:v>0</x:v>
      </x:c>
      <x:c r="AD11" s="117" t="n">
        <x:f>IF(AND(YEAR(AD$3)=YEAR($B$7),MONTH(AD$3)=MONTH($B$7)),$B$9,0)</x:f>
        <x:v>0</x:v>
      </x:c>
      <x:c r="AE11" s="117" t="n">
        <x:f>IF(AND(YEAR(AE$3)=YEAR($B$7),MONTH(AE$3)=MONTH($B$7)),$B$9,0)</x:f>
        <x:v>0</x:v>
      </x:c>
      <x:c r="AF11" s="117" t="n">
        <x:f>IF(AND(YEAR(AF$3)=YEAR($B$7),MONTH(AF$3)=MONTH($B$7)),$B$9,0)</x:f>
        <x:v>0</x:v>
      </x:c>
      <x:c r="AG11" s="117" t="n">
        <x:f>IF(AND(YEAR(AG$3)=YEAR($B$7),MONTH(AG$3)=MONTH($B$7)),$B$9,0)</x:f>
        <x:v>0</x:v>
      </x:c>
      <x:c r="AH11" s="117" t="n">
        <x:f>IF(AND(YEAR(AH$3)=YEAR($B$7),MONTH(AH$3)=MONTH($B$7)),$B$9,0)</x:f>
        <x:v>0</x:v>
      </x:c>
      <x:c r="AI11" s="117" t="n">
        <x:f>IF(AND(YEAR(AI$3)=YEAR($B$7),MONTH(AI$3)=MONTH($B$7)),$B$9,0)</x:f>
        <x:v>0</x:v>
      </x:c>
      <x:c r="AJ11" s="117" t="n">
        <x:f>IF(AND(YEAR(AJ$3)=YEAR($B$7),MONTH(AJ$3)=MONTH($B$7)),$B$9,0)</x:f>
        <x:v>0</x:v>
      </x:c>
      <x:c r="AK11" s="117" t="n">
        <x:f>IF(AND(YEAR(AK$3)=YEAR($B$7),MONTH(AK$3)=MONTH($B$7)),$B$9,0)</x:f>
        <x:v>0</x:v>
      </x:c>
      <x:c r="AL11" s="117" t="n">
        <x:f>IF(AND(YEAR(AL$3)=YEAR($B$7),MONTH(AL$3)=MONTH($B$7)),$B$9,0)</x:f>
        <x:v>0</x:v>
      </x:c>
      <x:c r="AM11" s="117" t="n">
        <x:f>IF(AND(YEAR(AM$3)=YEAR($B$7),MONTH(AM$3)=MONTH($B$7)),$B$9,0)</x:f>
        <x:v>0</x:v>
      </x:c>
      <x:c r="AN11" s="117" t="n">
        <x:f>IF(AND(YEAR(AN$3)=YEAR($B$7),MONTH(AN$3)=MONTH($B$7)),$B$9,0)</x:f>
        <x:v>0</x:v>
      </x:c>
      <x:c r="AO11" s="117" t="n">
        <x:f>IF(AND(YEAR(AO$3)=YEAR($B$7),MONTH(AO$3)=MONTH($B$7)),$B$9,0)</x:f>
        <x:v>0</x:v>
      </x:c>
      <x:c r="AP11" s="117" t="n">
        <x:f>IF(AND(YEAR(AP$3)=YEAR($B$7),MONTH(AP$3)=MONTH($B$7)),$B$9,0)</x:f>
        <x:v>0</x:v>
      </x:c>
      <x:c r="AQ11" s="117" t="n">
        <x:f>IF(AND(YEAR(AQ$3)=YEAR($B$7),MONTH(AQ$3)=MONTH($B$7)),$B$9,0)</x:f>
        <x:v>0</x:v>
      </x:c>
      <x:c r="AR11" s="117" t="n">
        <x:f>IF(AND(YEAR(AR$3)=YEAR($B$7),MONTH(AR$3)=MONTH($B$7)),$B$9,0)</x:f>
        <x:v>0</x:v>
      </x:c>
      <x:c r="AS11" s="117" t="n">
        <x:f>IF(AND(YEAR(AS$3)=YEAR($B$7),MONTH(AS$3)=MONTH($B$7)),$B$9,0)</x:f>
        <x:v>0</x:v>
      </x:c>
      <x:c r="AT11" s="117" t="n">
        <x:f>IF(AND(YEAR(AT$3)=YEAR($B$7),MONTH(AT$3)=MONTH($B$7)),$B$9,0)</x:f>
        <x:v>0</x:v>
      </x:c>
      <x:c r="AU11" s="117" t="n">
        <x:f>IF(AND(YEAR(AU$3)=YEAR($B$7),MONTH(AU$3)=MONTH($B$7)),$B$9,0)</x:f>
        <x:v>0</x:v>
      </x:c>
      <x:c r="AV11" s="117" t="n">
        <x:f>IF(AND(YEAR(AV$3)=YEAR($B$7),MONTH(AV$3)=MONTH($B$7)),$B$9,0)</x:f>
        <x:v>0</x:v>
      </x:c>
      <x:c r="AW11" s="117" t="n">
        <x:f>IF(AND(YEAR(AW$3)=YEAR($B$7),MONTH(AW$3)=MONTH($B$7)),$B$9,0)</x:f>
        <x:v>0</x:v>
      </x:c>
      <x:c r="AX11" s="117" t="n">
        <x:f>IF(AND(YEAR(AX$3)=YEAR($B$7),MONTH(AX$3)=MONTH($B$7)),$B$9,0)</x:f>
        <x:v>0</x:v>
      </x:c>
      <x:c r="AY11" s="117" t="n">
        <x:f>IF(AND(YEAR(AY$3)=YEAR($B$7),MONTH(AY$3)=MONTH($B$7)),$B$9,0)</x:f>
        <x:v>0</x:v>
      </x:c>
      <x:c r="AZ11" s="117" t="n">
        <x:f>IF(AND(YEAR(AZ$3)=YEAR($B$7),MONTH(AZ$3)=MONTH($B$7)),$B$9,0)</x:f>
        <x:v>0</x:v>
      </x:c>
      <x:c r="BA11" s="117" t="n">
        <x:f>IF(AND(YEAR(BA$3)=YEAR($B$7),MONTH(BA$3)=MONTH($B$7)),$B$9,0)</x:f>
        <x:v>0</x:v>
      </x:c>
      <x:c r="BB11" s="117" t="n">
        <x:f>IF(AND(YEAR(BB$3)=YEAR($B$7),MONTH(BB$3)=MONTH($B$7)),$B$9,0)</x:f>
        <x:v>0</x:v>
      </x:c>
      <x:c r="BC11" s="117" t="n">
        <x:f>IF(AND(YEAR(BC$3)=YEAR($B$7),MONTH(BC$3)=MONTH($B$7)),$B$9,0)</x:f>
        <x:v>0</x:v>
      </x:c>
      <x:c r="BD11" s="117" t="n">
        <x:f>IF(AND(YEAR(BD$3)=YEAR($B$7),MONTH(BD$3)=MONTH($B$7)),$B$9,0)</x:f>
        <x:v>0</x:v>
      </x:c>
      <x:c r="BE11" s="117" t="n">
        <x:f>IF(AND(YEAR(BE$3)=YEAR($B$7),MONTH(BE$3)=MONTH($B$7)),$B$9,0)</x:f>
        <x:v>0</x:v>
      </x:c>
      <x:c r="BF11" s="117" t="n">
        <x:f>IF(AND(YEAR(BF$3)=YEAR($B$7),MONTH(BF$3)=MONTH($B$7)),$B$9,0)</x:f>
        <x:v>0</x:v>
      </x:c>
      <x:c r="BG11" s="117" t="n">
        <x:f>IF(AND(YEAR(BG$3)=YEAR($B$7),MONTH(BG$3)=MONTH($B$7)),$B$9,0)</x:f>
        <x:v>0</x:v>
      </x:c>
      <x:c r="BH11" s="117" t="n">
        <x:f>IF(AND(YEAR(BH$3)=YEAR($B$7),MONTH(BH$3)=MONTH($B$7)),$B$9,0)</x:f>
        <x:v>0</x:v>
      </x:c>
      <x:c r="BI11" s="117" t="n">
        <x:f>IF(AND(YEAR(BI$3)=YEAR($B$7),MONTH(BI$3)=MONTH($B$7)),$B$9,0)</x:f>
        <x:v>0</x:v>
      </x:c>
      <x:c r="BJ11" s="117" t="n">
        <x:f>IF(AND(YEAR(BJ$3)=YEAR($B$7),MONTH(BJ$3)=MONTH($B$7)),$B$9,0)</x:f>
        <x:v>0</x:v>
      </x:c>
      <x:c r="BK11" s="117" t="n">
        <x:f>IF(AND(YEAR(BK$3)=YEAR($B$7),MONTH(BK$3)=MONTH($B$7)),$B$9,0)</x:f>
        <x:v>0</x:v>
      </x:c>
      <x:c r="BL11" s="117" t="n">
        <x:f>IF(AND(YEAR(BL$3)=YEAR($B$7),MONTH(BL$3)=MONTH($B$7)),$B$9,0)</x:f>
        <x:v>0</x:v>
      </x:c>
      <x:c r="BM11" s="117" t="n">
        <x:f>IF(AND(YEAR(BM$3)=YEAR($B$7),MONTH(BM$3)=MONTH($B$7)),$B$9,0)</x:f>
        <x:v>0</x:v>
      </x:c>
      <x:c r="BN11" s="117" t="n">
        <x:f>IF(AND(YEAR(BN$3)=YEAR($B$7),MONTH(BN$3)=MONTH($B$7)),$B$9,0)</x:f>
        <x:v>0</x:v>
      </x:c>
      <x:c r="BO11" s="117" t="n">
        <x:f>IF(AND(YEAR(BO$3)=YEAR($B$7),MONTH(BO$3)=MONTH($B$7)),$B$9,0)</x:f>
        <x:v>0</x:v>
      </x:c>
      <x:c r="BP11" s="117" t="n">
        <x:f>IF(AND(YEAR(BP$3)=YEAR($B$7),MONTH(BP$3)=MONTH($B$7)),$B$9,0)</x:f>
        <x:v>0</x:v>
      </x:c>
      <x:c r="BQ11" s="117" t="n">
        <x:f>IF(AND(YEAR(BQ$3)=YEAR($B$7),MONTH(BQ$3)=MONTH($B$7)),$B$9,0)</x:f>
        <x:v>0</x:v>
      </x:c>
      <x:c r="BR11" s="117" t="n">
        <x:f>IF(AND(YEAR(BR$3)=YEAR($B$7),MONTH(BR$3)=MONTH($B$7)),$B$9,0)</x:f>
        <x:v>0</x:v>
      </x:c>
      <x:c r="BS11" s="117" t="n">
        <x:f>IF(AND(YEAR(BS$3)=YEAR($B$7),MONTH(BS$3)=MONTH($B$7)),$B$9,0)</x:f>
        <x:v>0</x:v>
      </x:c>
      <x:c r="BT11" s="117" t="n">
        <x:f>IF(AND(YEAR(BT$3)=YEAR($B$7),MONTH(BT$3)=MONTH($B$7)),$B$9,0)</x:f>
        <x:v>0</x:v>
      </x:c>
      <x:c r="BU11" s="117" t="n">
        <x:f>IF(AND(YEAR(BU$3)=YEAR($B$7),MONTH(BU$3)=MONTH($B$7)),$B$9,0)</x:f>
        <x:v>0</x:v>
      </x:c>
      <x:c r="BV11" s="117" t="n">
        <x:f>IF(AND(YEAR(BV$3)=YEAR($B$7),MONTH(BV$3)=MONTH($B$7)),$B$9,0)</x:f>
        <x:v>0</x:v>
      </x:c>
      <x:c r="BW11" s="117" t="n">
        <x:f>IF(AND(YEAR(BW$3)=YEAR($B$7),MONTH(BW$3)=MONTH($B$7)),$B$9,0)</x:f>
        <x:v>0</x:v>
      </x:c>
      <x:c r="BX11" s="117" t="n">
        <x:f>IF(AND(YEAR(BX$3)=YEAR($B$7),MONTH(BX$3)=MONTH($B$7)),$B$9,0)</x:f>
        <x:v>0</x:v>
      </x:c>
      <x:c r="BY11" s="117" t="n">
        <x:f>IF(AND(YEAR(BY$3)=YEAR($B$7),MONTH(BY$3)=MONTH($B$7)),$B$9,0)</x:f>
        <x:v>0</x:v>
      </x:c>
      <x:c r="BZ11" s="117" t="n">
        <x:f>IF(AND(YEAR(BZ$3)=YEAR($B$7),MONTH(BZ$3)=MONTH($B$7)),$B$9,0)</x:f>
        <x:v>0</x:v>
      </x:c>
      <x:c r="CA11" s="117" t="n">
        <x:f>IF(AND(YEAR(CA$3)=YEAR($B$7),MONTH(CA$3)=MONTH($B$7)),$B$9,0)</x:f>
        <x:v>0</x:v>
      </x:c>
      <x:c r="CB11" s="117" t="n">
        <x:f>IF(AND(YEAR(CB$3)=YEAR($B$7),MONTH(CB$3)=MONTH($B$7)),$B$9,0)</x:f>
        <x:v>0</x:v>
      </x:c>
      <x:c r="CC11" s="117" t="n">
        <x:f>IF(AND(YEAR(CC$3)=YEAR($B$7),MONTH(CC$3)=MONTH($B$7)),$B$9,0)</x:f>
        <x:v>0</x:v>
      </x:c>
      <x:c r="CD11" s="117" t="n">
        <x:f>IF(AND(YEAR(CD$3)=YEAR($B$7),MONTH(CD$3)=MONTH($B$7)),$B$9,0)</x:f>
        <x:v>0</x:v>
      </x:c>
      <x:c r="CE11" s="117" t="n">
        <x:f>IF(AND(YEAR(CE$3)=YEAR($B$7),MONTH(CE$3)=MONTH($B$7)),$B$9,0)</x:f>
        <x:v>0</x:v>
      </x:c>
      <x:c r="CF11" s="117" t="n">
        <x:f>IF(AND(YEAR(CF$3)=YEAR($B$7),MONTH(CF$3)=MONTH($B$7)),$B$9,0)</x:f>
        <x:v>0</x:v>
      </x:c>
      <x:c r="CG11" s="117" t="n">
        <x:f>IF(AND(YEAR(CG$3)=YEAR($B$7),MONTH(CG$3)=MONTH($B$7)),$B$9,0)</x:f>
        <x:v>0</x:v>
      </x:c>
      <x:c r="CH11" s="117" t="n">
        <x:f>IF(AND(YEAR(CH$3)=YEAR($B$7),MONTH(CH$3)=MONTH($B$7)),$B$9,0)</x:f>
        <x:v>0</x:v>
      </x:c>
      <x:c r="CI11" s="117" t="n">
        <x:f>IF(AND(YEAR(CI$3)=YEAR($B$7),MONTH(CI$3)=MONTH($B$7)),$B$9,0)</x:f>
        <x:v>0</x:v>
      </x:c>
      <x:c r="CJ11" s="117" t="n">
        <x:f>IF(AND(YEAR(CJ$3)=YEAR($B$7),MONTH(CJ$3)=MONTH($B$7)),$B$9,0)</x:f>
        <x:v>0</x:v>
      </x:c>
      <x:c r="CK11" s="117" t="n">
        <x:f>IF(AND(YEAR(CK$3)=YEAR($B$7),MONTH(CK$3)=MONTH($B$7)),$B$9,0)</x:f>
        <x:v>0</x:v>
      </x:c>
      <x:c r="CL11" s="117" t="n">
        <x:f>IF(AND(YEAR(CL$3)=YEAR($B$7),MONTH(CL$3)=MONTH($B$7)),$B$9,0)</x:f>
        <x:v>0</x:v>
      </x:c>
      <x:c r="CM11" s="117" t="n">
        <x:f>IF(AND(YEAR(CM$3)=YEAR($B$7),MONTH(CM$3)=MONTH($B$7)),$B$9,0)</x:f>
        <x:v>0</x:v>
      </x:c>
      <x:c r="CN11" s="117" t="n">
        <x:f>IF(AND(YEAR(CN$3)=YEAR($B$7),MONTH(CN$3)=MONTH($B$7)),$B$9,0)</x:f>
        <x:v>0</x:v>
      </x:c>
      <x:c r="CO11" s="117" t="n">
        <x:f>IF(AND(YEAR(CO$3)=YEAR($B$7),MONTH(CO$3)=MONTH($B$7)),$B$9,0)</x:f>
        <x:v>0</x:v>
      </x:c>
      <x:c r="CP11" s="117" t="n">
        <x:f>IF(AND(YEAR(CP$3)=YEAR($B$7),MONTH(CP$3)=MONTH($B$7)),$B$9,0)</x:f>
        <x:v>0</x:v>
      </x:c>
      <x:c r="CQ11" s="117" t="n">
        <x:f>IF(AND(YEAR(CQ$3)=YEAR($B$7),MONTH(CQ$3)=MONTH($B$7)),$B$9,0)</x:f>
        <x:v>0</x:v>
      </x:c>
      <x:c r="CR11" s="117" t="n">
        <x:f>IF(AND(YEAR(CR$3)=YEAR($B$7),MONTH(CR$3)=MONTH($B$7)),$B$9,0)</x:f>
        <x:v>0</x:v>
      </x:c>
      <x:c r="CS11" s="117" t="n">
        <x:f>IF(AND(YEAR(CS$3)=YEAR($B$7),MONTH(CS$3)=MONTH($B$7)),$B$9,0)</x:f>
        <x:v>0</x:v>
      </x:c>
      <x:c r="CT11" s="117" t="n">
        <x:f>IF(AND(YEAR(CT$3)=YEAR($B$7),MONTH(CT$3)=MONTH($B$7)),$B$9,0)</x:f>
        <x:v>0</x:v>
      </x:c>
      <x:c r="CU11" s="117" t="n">
        <x:f>IF(AND(YEAR(CU$3)=YEAR($B$7),MONTH(CU$3)=MONTH($B$7)),$B$9,0)</x:f>
        <x:v>0</x:v>
      </x:c>
      <x:c r="CV11" s="117" t="n">
        <x:f>IF(AND(YEAR(CV$3)=YEAR($B$7),MONTH(CV$3)=MONTH($B$7)),$B$9,0)</x:f>
        <x:v>0</x:v>
      </x:c>
      <x:c r="CW11" s="117" t="n">
        <x:f>IF(AND(YEAR(CW$3)=YEAR($B$7),MONTH(CW$3)=MONTH($B$7)),$B$9,0)</x:f>
        <x:v>0</x:v>
      </x:c>
      <x:c r="CX11" s="117" t="n">
        <x:f>IF(AND(YEAR(CX$3)=YEAR($B$7),MONTH(CX$3)=MONTH($B$7)),$B$9,0)</x:f>
        <x:v>0</x:v>
      </x:c>
      <x:c r="CY11" s="117" t="n">
        <x:f>IF(AND(YEAR(CY$3)=YEAR($B$7),MONTH(CY$3)=MONTH($B$7)),$B$9,0)</x:f>
        <x:v>0</x:v>
      </x:c>
      <x:c r="CZ11" s="117" t="n">
        <x:f>IF(AND(YEAR(CZ$3)=YEAR($B$7),MONTH(CZ$3)=MONTH($B$7)),$B$9,0)</x:f>
        <x:v>0</x:v>
      </x:c>
      <x:c r="DA11" s="117" t="n">
        <x:f>IF(AND(YEAR(DA$3)=YEAR($B$7),MONTH(DA$3)=MONTH($B$7)),$B$9,0)</x:f>
        <x:v>0</x:v>
      </x:c>
      <x:c r="DB11" s="117" t="n">
        <x:f>IF(AND(YEAR(DB$3)=YEAR($B$7),MONTH(DB$3)=MONTH($B$7)),$B$9,0)</x:f>
        <x:v>0</x:v>
      </x:c>
      <x:c r="DC11" s="117" t="n">
        <x:f>IF(AND(YEAR(DC$3)=YEAR($B$7),MONTH(DC$3)=MONTH($B$7)),$B$9,0)</x:f>
        <x:v>0</x:v>
      </x:c>
      <x:c r="DD11" s="117" t="n">
        <x:f>IF(AND(YEAR(DD$3)=YEAR($B$7),MONTH(DD$3)=MONTH($B$7)),$B$9,0)</x:f>
        <x:v>0</x:v>
      </x:c>
      <x:c r="DE11" s="117" t="n">
        <x:f>IF(AND(YEAR(DE$3)=YEAR($B$7),MONTH(DE$3)=MONTH($B$7)),$B$9,0)</x:f>
        <x:v>0</x:v>
      </x:c>
      <x:c r="DF11" s="117" t="n">
        <x:f>IF(AND(YEAR(DF$3)=YEAR($B$7),MONTH(DF$3)=MONTH($B$7)),$B$9,0)</x:f>
        <x:v>0</x:v>
      </x:c>
      <x:c r="DG11" s="117" t="n">
        <x:f>IF(AND(YEAR(DG$3)=YEAR($B$7),MONTH(DG$3)=MONTH($B$7)),$B$9,0)</x:f>
        <x:v>0</x:v>
      </x:c>
      <x:c r="DH11" s="117" t="n">
        <x:f>IF(AND(YEAR(DH$3)=YEAR($B$7),MONTH(DH$3)=MONTH($B$7)),$B$9,0)</x:f>
        <x:v>0</x:v>
      </x:c>
      <x:c r="DI11" s="117" t="n">
        <x:f>IF(AND(YEAR(DI$3)=YEAR($B$7),MONTH(DI$3)=MONTH($B$7)),$B$9,0)</x:f>
        <x:v>0</x:v>
      </x:c>
      <x:c r="DJ11" s="117" t="n">
        <x:f>IF(AND(YEAR(DJ$3)=YEAR($B$7),MONTH(DJ$3)=MONTH($B$7)),$B$9,0)</x:f>
        <x:v>0</x:v>
      </x:c>
      <x:c r="DK11" s="117" t="n">
        <x:f>IF(AND(YEAR(DK$3)=YEAR($B$7),MONTH(DK$3)=MONTH($B$7)),$B$9,0)</x:f>
        <x:v>0</x:v>
      </x:c>
      <x:c r="DL11" s="117" t="n">
        <x:f>IF(AND(YEAR(DL$3)=YEAR($B$7),MONTH(DL$3)=MONTH($B$7)),$B$9,0)</x:f>
        <x:v>0</x:v>
      </x:c>
      <x:c r="DM11" s="117" t="n">
        <x:f>IF(AND(YEAR(DM$3)=YEAR($B$7),MONTH(DM$3)=MONTH($B$7)),$B$9,0)</x:f>
        <x:v>0</x:v>
      </x:c>
      <x:c r="DN11" s="117" t="n">
        <x:f>IF(AND(YEAR(DN$3)=YEAR($B$7),MONTH(DN$3)=MONTH($B$7)),$B$9,0)</x:f>
        <x:v>0</x:v>
      </x:c>
      <x:c r="DO11" s="117" t="n">
        <x:f>IF(AND(YEAR(DO$3)=YEAR($B$7),MONTH(DO$3)=MONTH($B$7)),$B$9,0)</x:f>
        <x:v>0</x:v>
      </x:c>
      <x:c r="DP11" s="117" t="n">
        <x:f>IF(AND(YEAR(DP$3)=YEAR($B$7),MONTH(DP$3)=MONTH($B$7)),$B$9,0)</x:f>
        <x:v>0</x:v>
      </x:c>
      <x:c r="DQ11" s="117" t="n">
        <x:f>IF(AND(YEAR(DQ$3)=YEAR($B$7),MONTH(DQ$3)=MONTH($B$7)),$B$9,0)</x:f>
        <x:v>0</x:v>
      </x:c>
      <x:c r="DR11" s="117" t="n">
        <x:f>IF(AND(YEAR(DR$3)=YEAR($B$7),MONTH(DR$3)=MONTH($B$7)),$B$9,0)</x:f>
        <x:v>0</x:v>
      </x:c>
      <x:c r="DS11" s="117" t="n">
        <x:f>IF(AND(YEAR(DS$3)=YEAR($B$7),MONTH(DS$3)=MONTH($B$7)),$B$9,0)</x:f>
        <x:v>0</x:v>
      </x:c>
    </x:row>
    <x:row r="12">
      <x:c r="A12" t="str">
        <x:v>Погашение основного долга</x:v>
      </x:c>
      <x:c r="B12" s="107" t="n">
        <x:f>SUM(D12:DS12)</x:f>
        <x:v>1267.539</x:v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  <x:v>0</x:v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  <x:v>0</x:v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  <x:v>0</x:v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  <x:v>0</x:v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  <x:v>0</x:v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  <x:v>0</x:v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  <x:v>0</x:v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  <x:v>0</x:v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  <x:v>0</x:v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  <x:v>0</x:v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  <x:v>0</x:v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  <x:v>0</x:v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  <x:v>0</x:v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  <x:v>0</x:v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  <x:v>0</x:v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  <x:v>0</x:v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  <x:v>0</x:v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  <x:v>1267.539</x:v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  <x:v>0</x:v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  <x:v>0</x:v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  <x:v>0</x:v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  <x:v>0</x:v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  <x:v>0</x:v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  <x:v>0</x:v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  <x:v>0</x:v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  <x:v>0</x:v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  <x:v>0</x:v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  <x:v>0</x:v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  <x:v>0</x:v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  <x:v>0</x:v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  <x:v>0</x:v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  <x:v>0</x:v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  <x:v>0</x:v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  <x:v>0</x:v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  <x:v>0</x:v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  <x:v>0</x:v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  <x:v>0</x:v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  <x:v>0</x:v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  <x:v>0</x:v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  <x:v>0</x:v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  <x:v>0</x:v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  <x:v>0</x:v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  <x:v>0</x:v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  <x:v>0</x:v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  <x:v>0</x:v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  <x:v>0</x:v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  <x:v>0</x:v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  <x:v>0</x:v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  <x:v>0</x:v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  <x:v>0</x:v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  <x:v>0</x:v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  <x:v>0</x:v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  <x:v>0</x:v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  <x:v>0</x:v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  <x:v>0</x:v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  <x:v>0</x:v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  <x:v>0</x:v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  <x:v>0</x:v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  <x:v>0</x:v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  <x:v>0</x:v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  <x:v>0</x:v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  <x:v>0</x:v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  <x:v>0</x:v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  <x:v>0</x:v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  <x:v>0</x:v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  <x:v>0</x:v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  <x:v>0</x:v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  <x:v>0</x:v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  <x:v>0</x:v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  <x:v>0</x:v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  <x:v>0</x:v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  <x:v>0</x:v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  <x:v>0</x:v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  <x:v>0</x:v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  <x:v>0</x:v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  <x:v>0</x:v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  <x:v>0</x:v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  <x:v>0</x:v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  <x:v>0</x:v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  <x:v>0</x:v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  <x:v>0</x:v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  <x:v>0</x:v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  <x:v>0</x:v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  <x:v>0</x:v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  <x:v>0</x:v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  <x:v>0</x:v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  <x:v>0</x:v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  <x:v>0</x:v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  <x:v>0</x:v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  <x:v>0</x:v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  <x:v>0</x:v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  <x:v>0</x:v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  <x:v>0</x:v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  <x:v>0</x:v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  <x:v>0</x:v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  <x:v>0</x:v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  <x:v>0</x:v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  <x:v>0</x:v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  <x:v>0</x:v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  <x:v>0</x:v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  <x:v>0</x:v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  <x:v>0</x:v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  <x:v>0</x:v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  <x:v>0</x:v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  <x:v>0</x:v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  <x:v>0</x:v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  <x:v>0</x:v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  <x:v>0</x:v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  <x:v>0</x:v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  <x:v>0</x:v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  <x:v>0</x:v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  <x:v>0</x:v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  <x:v>0</x:v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  <x:v>0</x:v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  <x:v>0</x:v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  <x:v>0</x:v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  <x:v>0</x:v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  <x:v>0</x:v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  <x:v>0</x:v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  <x:v>0</x:v>
      </x:c>
    </x:row>
    <x:row r="13">
      <x:c r="A13" t="str">
        <x:v>Проценты по рассрочке</x:v>
      </x:c>
      <x:c r="B13" s="107" t="n">
        <x:f>SUM(D13:DS13)</x:f>
        <x:v>0</x:v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  <x:v>0</x:v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  <x:v>0</x:v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  <x:v>0</x:v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  <x:v>0</x:v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  <x:v>0</x:v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  <x:v>0</x:v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  <x:v>0</x:v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  <x:v>0</x:v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  <x:v>0</x:v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  <x:v>0</x:v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  <x:v>0</x:v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  <x:v>0</x:v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  <x:v>0</x:v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  <x:v>0</x:v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  <x:v>0</x:v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  <x:v>0</x:v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  <x:v>0</x:v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  <x:v>0</x:v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  <x:v>0</x:v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  <x:v>0</x:v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  <x:v>0</x:v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  <x:v>0</x:v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  <x:v>0</x:v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  <x:v>0</x:v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  <x:v>0</x:v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  <x:v>0</x:v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  <x:v>0</x:v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  <x:v>0</x:v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  <x:v>0</x:v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  <x:v>0</x:v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  <x:v>0</x:v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  <x:v>0</x:v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  <x:v>0</x:v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  <x:v>0</x:v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  <x:v>0</x:v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  <x:v>0</x:v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  <x:v>0</x:v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  <x:v>0</x:v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  <x:v>0</x:v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  <x:v>0</x:v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  <x:v>0</x:v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  <x:v>0</x:v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  <x:v>0</x:v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  <x:v>0</x:v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  <x:v>0</x:v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  <x:v>0</x:v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  <x:v>0</x:v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  <x:v>0</x:v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  <x:v>0</x:v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  <x:v>0</x:v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  <x:v>0</x:v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  <x:v>0</x:v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  <x:v>0</x:v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  <x:v>0</x:v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  <x:v>0</x:v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  <x:v>0</x:v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  <x:v>0</x:v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  <x:v>0</x:v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  <x:v>0</x:v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  <x:v>0</x:v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  <x:v>0</x:v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  <x:v>0</x:v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  <x:v>0</x:v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  <x:v>0</x:v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  <x:v>0</x:v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  <x:v>0</x:v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  <x:v>0</x:v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  <x:v>0</x:v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  <x:v>0</x:v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  <x:v>0</x:v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  <x:v>0</x:v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  <x:v>0</x:v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  <x:v>0</x:v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  <x:v>0</x:v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  <x:v>0</x:v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  <x:v>0</x:v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  <x:v>0</x:v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  <x:v>0</x:v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  <x:v>0</x:v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  <x:v>0</x:v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  <x:v>0</x:v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  <x:v>0</x:v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  <x:v>0</x:v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  <x:v>0</x:v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  <x:v>0</x:v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  <x:v>0</x:v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  <x:v>0</x:v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  <x:v>0</x:v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  <x:v>0</x:v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  <x:v>0</x:v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  <x:v>0</x:v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  <x:v>0</x:v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  <x:v>0</x:v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  <x:v>0</x:v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  <x:v>0</x:v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  <x:v>0</x:v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  <x:v>0</x:v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  <x:v>0</x:v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  <x:v>0</x:v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  <x:v>0</x:v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  <x:v>0</x:v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  <x:v>0</x:v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  <x:v>0</x:v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  <x:v>0</x:v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  <x:v>0</x:v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  <x:v>0</x:v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  <x:v>0</x:v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  <x:v>0</x:v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  <x:v>0</x:v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  <x:v>0</x:v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  <x:v>0</x:v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  <x:v>0</x:v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  <x:v>0</x:v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  <x:v>0</x:v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  <x:v>0</x:v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  <x:v>0</x:v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  <x:v>0</x:v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  <x:v>0</x:v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  <x:v>0</x:v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  <x:v>0</x:v>
      </x:c>
    </x:row>
    <x:row r="14">
      <x:c r="A14" t="str">
        <x:v>Расходы на обеспечение</x:v>
      </x:c>
      <x:c r="B14" s="107" t="n">
        <x:f>SUM(D14:DS14)</x:f>
        <x:v>0</x:v>
      </x:c>
      <x:c r="C14" t="str">
        <x:v>млн ₽</x:v>
      </x:c>
      <x:c r="D14" s="117" t="n">
        <x:f>IF(D11&gt;0,'Вводные'!$B$83*'Вводные'!$Q$88,0)</x:f>
        <x:v>0</x:v>
      </x:c>
      <x:c r="E14" s="117" t="n">
        <x:f>IF(E11&gt;0,'Вводные'!$B$83*'Вводные'!$Q$88,0)</x:f>
        <x:v>0</x:v>
      </x:c>
      <x:c r="F14" s="117" t="n">
        <x:f>IF(F11&gt;0,'Вводные'!$B$83*'Вводные'!$Q$88,0)</x:f>
        <x:v>0</x:v>
      </x:c>
      <x:c r="G14" s="117" t="n">
        <x:f>IF(G11&gt;0,'Вводные'!$B$83*'Вводные'!$Q$88,0)</x:f>
        <x:v>0</x:v>
      </x:c>
      <x:c r="H14" s="117" t="n">
        <x:f>IF(H11&gt;0,'Вводные'!$B$83*'Вводные'!$Q$88,0)</x:f>
        <x:v>0</x:v>
      </x:c>
      <x:c r="I14" s="117" t="n">
        <x:f>IF(I11&gt;0,'Вводные'!$B$83*'Вводные'!$Q$88,0)</x:f>
        <x:v>0</x:v>
      </x:c>
      <x:c r="J14" s="117" t="n">
        <x:f>IF(J11&gt;0,'Вводные'!$B$83*'Вводные'!$Q$88,0)</x:f>
        <x:v>0</x:v>
      </x:c>
      <x:c r="K14" s="117" t="n">
        <x:f>IF(K11&gt;0,'Вводные'!$B$83*'Вводные'!$Q$88,0)</x:f>
        <x:v>0</x:v>
      </x:c>
      <x:c r="L14" s="117" t="n">
        <x:f>IF(L11&gt;0,'Вводные'!$B$83*'Вводные'!$Q$88,0)</x:f>
        <x:v>0</x:v>
      </x:c>
      <x:c r="M14" s="117" t="n">
        <x:f>IF(M11&gt;0,'Вводные'!$B$83*'Вводные'!$Q$88,0)</x:f>
        <x:v>0</x:v>
      </x:c>
      <x:c r="N14" s="117" t="n">
        <x:f>IF(N11&gt;0,'Вводные'!$B$83*'Вводные'!$Q$88,0)</x:f>
        <x:v>0</x:v>
      </x:c>
      <x:c r="O14" s="117" t="n">
        <x:f>IF(O11&gt;0,'Вводные'!$B$83*'Вводные'!$Q$88,0)</x:f>
        <x:v>0</x:v>
      </x:c>
      <x:c r="P14" s="117" t="n">
        <x:f>IF(P11&gt;0,'Вводные'!$B$83*'Вводные'!$Q$88,0)</x:f>
        <x:v>0</x:v>
      </x:c>
      <x:c r="Q14" s="117" t="n">
        <x:f>IF(Q11&gt;0,'Вводные'!$B$83*'Вводные'!$Q$88,0)</x:f>
        <x:v>0</x:v>
      </x:c>
      <x:c r="R14" s="117" t="n">
        <x:f>IF(R11&gt;0,'Вводные'!$B$83*'Вводные'!$Q$88,0)</x:f>
        <x:v>0</x:v>
      </x:c>
      <x:c r="S14" s="117" t="n">
        <x:f>IF(S11&gt;0,'Вводные'!$B$83*'Вводные'!$Q$88,0)</x:f>
        <x:v>0</x:v>
      </x:c>
      <x:c r="T14" s="117" t="n">
        <x:f>IF(T11&gt;0,'Вводные'!$B$83*'Вводные'!$Q$88,0)</x:f>
        <x:v>0</x:v>
      </x:c>
      <x:c r="U14" s="117" t="n">
        <x:f>IF(U11&gt;0,'Вводные'!$B$83*'Вводные'!$Q$88,0)</x:f>
        <x:v>0</x:v>
      </x:c>
      <x:c r="V14" s="117" t="n">
        <x:f>IF(V11&gt;0,'Вводные'!$B$83*'Вводные'!$Q$88,0)</x:f>
        <x:v>0</x:v>
      </x:c>
      <x:c r="W14" s="117" t="n">
        <x:f>IF(W11&gt;0,'Вводные'!$B$83*'Вводные'!$Q$88,0)</x:f>
        <x:v>0</x:v>
      </x:c>
      <x:c r="X14" s="117" t="n">
        <x:f>IF(X11&gt;0,'Вводные'!$B$83*'Вводные'!$Q$88,0)</x:f>
        <x:v>0</x:v>
      </x:c>
      <x:c r="Y14" s="117" t="n">
        <x:f>IF(Y11&gt;0,'Вводные'!$B$83*'Вводные'!$Q$88,0)</x:f>
        <x:v>0</x:v>
      </x:c>
      <x:c r="Z14" s="117" t="n">
        <x:f>IF(Z11&gt;0,'Вводные'!$B$83*'Вводные'!$Q$88,0)</x:f>
        <x:v>0</x:v>
      </x:c>
      <x:c r="AA14" s="117" t="n">
        <x:f>IF(AA11&gt;0,'Вводные'!$B$83*'Вводные'!$Q$88,0)</x:f>
        <x:v>0</x:v>
      </x:c>
      <x:c r="AB14" s="117" t="n">
        <x:f>IF(AB11&gt;0,'Вводные'!$B$83*'Вводные'!$Q$88,0)</x:f>
        <x:v>0</x:v>
      </x:c>
      <x:c r="AC14" s="117" t="n">
        <x:f>IF(AC11&gt;0,'Вводные'!$B$83*'Вводные'!$Q$88,0)</x:f>
        <x:v>0</x:v>
      </x:c>
      <x:c r="AD14" s="117" t="n">
        <x:f>IF(AD11&gt;0,'Вводные'!$B$83*'Вводные'!$Q$88,0)</x:f>
        <x:v>0</x:v>
      </x:c>
      <x:c r="AE14" s="117" t="n">
        <x:f>IF(AE11&gt;0,'Вводные'!$B$83*'Вводные'!$Q$88,0)</x:f>
        <x:v>0</x:v>
      </x:c>
      <x:c r="AF14" s="117" t="n">
        <x:f>IF(AF11&gt;0,'Вводные'!$B$83*'Вводные'!$Q$88,0)</x:f>
        <x:v>0</x:v>
      </x:c>
      <x:c r="AG14" s="117" t="n">
        <x:f>IF(AG11&gt;0,'Вводные'!$B$83*'Вводные'!$Q$88,0)</x:f>
        <x:v>0</x:v>
      </x:c>
      <x:c r="AH14" s="117" t="n">
        <x:f>IF(AH11&gt;0,'Вводные'!$B$83*'Вводные'!$Q$88,0)</x:f>
        <x:v>0</x:v>
      </x:c>
      <x:c r="AI14" s="117" t="n">
        <x:f>IF(AI11&gt;0,'Вводные'!$B$83*'Вводные'!$Q$88,0)</x:f>
        <x:v>0</x:v>
      </x:c>
      <x:c r="AJ14" s="117" t="n">
        <x:f>IF(AJ11&gt;0,'Вводные'!$B$83*'Вводные'!$Q$88,0)</x:f>
        <x:v>0</x:v>
      </x:c>
      <x:c r="AK14" s="117" t="n">
        <x:f>IF(AK11&gt;0,'Вводные'!$B$83*'Вводные'!$Q$88,0)</x:f>
        <x:v>0</x:v>
      </x:c>
      <x:c r="AL14" s="117" t="n">
        <x:f>IF(AL11&gt;0,'Вводные'!$B$83*'Вводные'!$Q$88,0)</x:f>
        <x:v>0</x:v>
      </x:c>
      <x:c r="AM14" s="117" t="n">
        <x:f>IF(AM11&gt;0,'Вводные'!$B$83*'Вводные'!$Q$88,0)</x:f>
        <x:v>0</x:v>
      </x:c>
      <x:c r="AN14" s="117" t="n">
        <x:f>IF(AN11&gt;0,'Вводные'!$B$83*'Вводные'!$Q$88,0)</x:f>
        <x:v>0</x:v>
      </x:c>
      <x:c r="AO14" s="117" t="n">
        <x:f>IF(AO11&gt;0,'Вводные'!$B$83*'Вводные'!$Q$88,0)</x:f>
        <x:v>0</x:v>
      </x:c>
      <x:c r="AP14" s="117" t="n">
        <x:f>IF(AP11&gt;0,'Вводные'!$B$83*'Вводные'!$Q$88,0)</x:f>
        <x:v>0</x:v>
      </x:c>
      <x:c r="AQ14" s="117" t="n">
        <x:f>IF(AQ11&gt;0,'Вводные'!$B$83*'Вводные'!$Q$88,0)</x:f>
        <x:v>0</x:v>
      </x:c>
      <x:c r="AR14" s="117" t="n">
        <x:f>IF(AR11&gt;0,'Вводные'!$B$83*'Вводные'!$Q$88,0)</x:f>
        <x:v>0</x:v>
      </x:c>
      <x:c r="AS14" s="117" t="n">
        <x:f>IF(AS11&gt;0,'Вводные'!$B$83*'Вводные'!$Q$88,0)</x:f>
        <x:v>0</x:v>
      </x:c>
      <x:c r="AT14" s="117" t="n">
        <x:f>IF(AT11&gt;0,'Вводные'!$B$83*'Вводные'!$Q$88,0)</x:f>
        <x:v>0</x:v>
      </x:c>
      <x:c r="AU14" s="117" t="n">
        <x:f>IF(AU11&gt;0,'Вводные'!$B$83*'Вводные'!$Q$88,0)</x:f>
        <x:v>0</x:v>
      </x:c>
      <x:c r="AV14" s="117" t="n">
        <x:f>IF(AV11&gt;0,'Вводные'!$B$83*'Вводные'!$Q$88,0)</x:f>
        <x:v>0</x:v>
      </x:c>
      <x:c r="AW14" s="117" t="n">
        <x:f>IF(AW11&gt;0,'Вводные'!$B$83*'Вводные'!$Q$88,0)</x:f>
        <x:v>0</x:v>
      </x:c>
      <x:c r="AX14" s="117" t="n">
        <x:f>IF(AX11&gt;0,'Вводные'!$B$83*'Вводные'!$Q$88,0)</x:f>
        <x:v>0</x:v>
      </x:c>
      <x:c r="AY14" s="117" t="n">
        <x:f>IF(AY11&gt;0,'Вводные'!$B$83*'Вводные'!$Q$88,0)</x:f>
        <x:v>0</x:v>
      </x:c>
      <x:c r="AZ14" s="117" t="n">
        <x:f>IF(AZ11&gt;0,'Вводные'!$B$83*'Вводные'!$Q$88,0)</x:f>
        <x:v>0</x:v>
      </x:c>
      <x:c r="BA14" s="117" t="n">
        <x:f>IF(BA11&gt;0,'Вводные'!$B$83*'Вводные'!$Q$88,0)</x:f>
        <x:v>0</x:v>
      </x:c>
      <x:c r="BB14" s="117" t="n">
        <x:f>IF(BB11&gt;0,'Вводные'!$B$83*'Вводные'!$Q$88,0)</x:f>
        <x:v>0</x:v>
      </x:c>
      <x:c r="BC14" s="117" t="n">
        <x:f>IF(BC11&gt;0,'Вводные'!$B$83*'Вводные'!$Q$88,0)</x:f>
        <x:v>0</x:v>
      </x:c>
      <x:c r="BD14" s="117" t="n">
        <x:f>IF(BD11&gt;0,'Вводные'!$B$83*'Вводные'!$Q$88,0)</x:f>
        <x:v>0</x:v>
      </x:c>
      <x:c r="BE14" s="117" t="n">
        <x:f>IF(BE11&gt;0,'Вводные'!$B$83*'Вводные'!$Q$88,0)</x:f>
        <x:v>0</x:v>
      </x:c>
      <x:c r="BF14" s="117" t="n">
        <x:f>IF(BF11&gt;0,'Вводные'!$B$83*'Вводные'!$Q$88,0)</x:f>
        <x:v>0</x:v>
      </x:c>
      <x:c r="BG14" s="117" t="n">
        <x:f>IF(BG11&gt;0,'Вводные'!$B$83*'Вводные'!$Q$88,0)</x:f>
        <x:v>0</x:v>
      </x:c>
      <x:c r="BH14" s="117" t="n">
        <x:f>IF(BH11&gt;0,'Вводные'!$B$83*'Вводные'!$Q$88,0)</x:f>
        <x:v>0</x:v>
      </x:c>
      <x:c r="BI14" s="117" t="n">
        <x:f>IF(BI11&gt;0,'Вводные'!$B$83*'Вводные'!$Q$88,0)</x:f>
        <x:v>0</x:v>
      </x:c>
      <x:c r="BJ14" s="117" t="n">
        <x:f>IF(BJ11&gt;0,'Вводные'!$B$83*'Вводные'!$Q$88,0)</x:f>
        <x:v>0</x:v>
      </x:c>
      <x:c r="BK14" s="117" t="n">
        <x:f>IF(BK11&gt;0,'Вводные'!$B$83*'Вводные'!$Q$88,0)</x:f>
        <x:v>0</x:v>
      </x:c>
      <x:c r="BL14" s="117" t="n">
        <x:f>IF(BL11&gt;0,'Вводные'!$B$83*'Вводные'!$Q$88,0)</x:f>
        <x:v>0</x:v>
      </x:c>
      <x:c r="BM14" s="117" t="n">
        <x:f>IF(BM11&gt;0,'Вводные'!$B$83*'Вводные'!$Q$88,0)</x:f>
        <x:v>0</x:v>
      </x:c>
      <x:c r="BN14" s="117" t="n">
        <x:f>IF(BN11&gt;0,'Вводные'!$B$83*'Вводные'!$Q$88,0)</x:f>
        <x:v>0</x:v>
      </x:c>
      <x:c r="BO14" s="117" t="n">
        <x:f>IF(BO11&gt;0,'Вводные'!$B$83*'Вводные'!$Q$88,0)</x:f>
        <x:v>0</x:v>
      </x:c>
      <x:c r="BP14" s="117" t="n">
        <x:f>IF(BP11&gt;0,'Вводные'!$B$83*'Вводные'!$Q$88,0)</x:f>
        <x:v>0</x:v>
      </x:c>
      <x:c r="BQ14" s="117" t="n">
        <x:f>IF(BQ11&gt;0,'Вводные'!$B$83*'Вводные'!$Q$88,0)</x:f>
        <x:v>0</x:v>
      </x:c>
      <x:c r="BR14" s="117" t="n">
        <x:f>IF(BR11&gt;0,'Вводные'!$B$83*'Вводные'!$Q$88,0)</x:f>
        <x:v>0</x:v>
      </x:c>
      <x:c r="BS14" s="117" t="n">
        <x:f>IF(BS11&gt;0,'Вводные'!$B$83*'Вводные'!$Q$88,0)</x:f>
        <x:v>0</x:v>
      </x:c>
      <x:c r="BT14" s="117" t="n">
        <x:f>IF(BT11&gt;0,'Вводные'!$B$83*'Вводные'!$Q$88,0)</x:f>
        <x:v>0</x:v>
      </x:c>
      <x:c r="BU14" s="117" t="n">
        <x:f>IF(BU11&gt;0,'Вводные'!$B$83*'Вводные'!$Q$88,0)</x:f>
        <x:v>0</x:v>
      </x:c>
      <x:c r="BV14" s="117" t="n">
        <x:f>IF(BV11&gt;0,'Вводные'!$B$83*'Вводные'!$Q$88,0)</x:f>
        <x:v>0</x:v>
      </x:c>
      <x:c r="BW14" s="117" t="n">
        <x:f>IF(BW11&gt;0,'Вводные'!$B$83*'Вводные'!$Q$88,0)</x:f>
        <x:v>0</x:v>
      </x:c>
      <x:c r="BX14" s="117" t="n">
        <x:f>IF(BX11&gt;0,'Вводные'!$B$83*'Вводные'!$Q$88,0)</x:f>
        <x:v>0</x:v>
      </x:c>
      <x:c r="BY14" s="117" t="n">
        <x:f>IF(BY11&gt;0,'Вводные'!$B$83*'Вводные'!$Q$88,0)</x:f>
        <x:v>0</x:v>
      </x:c>
      <x:c r="BZ14" s="117" t="n">
        <x:f>IF(BZ11&gt;0,'Вводные'!$B$83*'Вводные'!$Q$88,0)</x:f>
        <x:v>0</x:v>
      </x:c>
      <x:c r="CA14" s="117" t="n">
        <x:f>IF(CA11&gt;0,'Вводные'!$B$83*'Вводные'!$Q$88,0)</x:f>
        <x:v>0</x:v>
      </x:c>
      <x:c r="CB14" s="117" t="n">
        <x:f>IF(CB11&gt;0,'Вводные'!$B$83*'Вводные'!$Q$88,0)</x:f>
        <x:v>0</x:v>
      </x:c>
      <x:c r="CC14" s="117" t="n">
        <x:f>IF(CC11&gt;0,'Вводные'!$B$83*'Вводные'!$Q$88,0)</x:f>
        <x:v>0</x:v>
      </x:c>
      <x:c r="CD14" s="117" t="n">
        <x:f>IF(CD11&gt;0,'Вводные'!$B$83*'Вводные'!$Q$88,0)</x:f>
        <x:v>0</x:v>
      </x:c>
      <x:c r="CE14" s="117" t="n">
        <x:f>IF(CE11&gt;0,'Вводные'!$B$83*'Вводные'!$Q$88,0)</x:f>
        <x:v>0</x:v>
      </x:c>
      <x:c r="CF14" s="117" t="n">
        <x:f>IF(CF11&gt;0,'Вводные'!$B$83*'Вводные'!$Q$88,0)</x:f>
        <x:v>0</x:v>
      </x:c>
      <x:c r="CG14" s="117" t="n">
        <x:f>IF(CG11&gt;0,'Вводные'!$B$83*'Вводные'!$Q$88,0)</x:f>
        <x:v>0</x:v>
      </x:c>
      <x:c r="CH14" s="117" t="n">
        <x:f>IF(CH11&gt;0,'Вводные'!$B$83*'Вводные'!$Q$88,0)</x:f>
        <x:v>0</x:v>
      </x:c>
      <x:c r="CI14" s="117" t="n">
        <x:f>IF(CI11&gt;0,'Вводные'!$B$83*'Вводные'!$Q$88,0)</x:f>
        <x:v>0</x:v>
      </x:c>
      <x:c r="CJ14" s="117" t="n">
        <x:f>IF(CJ11&gt;0,'Вводные'!$B$83*'Вводные'!$Q$88,0)</x:f>
        <x:v>0</x:v>
      </x:c>
      <x:c r="CK14" s="117" t="n">
        <x:f>IF(CK11&gt;0,'Вводные'!$B$83*'Вводные'!$Q$88,0)</x:f>
        <x:v>0</x:v>
      </x:c>
      <x:c r="CL14" s="117" t="n">
        <x:f>IF(CL11&gt;0,'Вводные'!$B$83*'Вводные'!$Q$88,0)</x:f>
        <x:v>0</x:v>
      </x:c>
      <x:c r="CM14" s="117" t="n">
        <x:f>IF(CM11&gt;0,'Вводные'!$B$83*'Вводные'!$Q$88,0)</x:f>
        <x:v>0</x:v>
      </x:c>
      <x:c r="CN14" s="117" t="n">
        <x:f>IF(CN11&gt;0,'Вводные'!$B$83*'Вводные'!$Q$88,0)</x:f>
        <x:v>0</x:v>
      </x:c>
      <x:c r="CO14" s="117" t="n">
        <x:f>IF(CO11&gt;0,'Вводные'!$B$83*'Вводные'!$Q$88,0)</x:f>
        <x:v>0</x:v>
      </x:c>
      <x:c r="CP14" s="117" t="n">
        <x:f>IF(CP11&gt;0,'Вводные'!$B$83*'Вводные'!$Q$88,0)</x:f>
        <x:v>0</x:v>
      </x:c>
      <x:c r="CQ14" s="117" t="n">
        <x:f>IF(CQ11&gt;0,'Вводные'!$B$83*'Вводные'!$Q$88,0)</x:f>
        <x:v>0</x:v>
      </x:c>
      <x:c r="CR14" s="117" t="n">
        <x:f>IF(CR11&gt;0,'Вводные'!$B$83*'Вводные'!$Q$88,0)</x:f>
        <x:v>0</x:v>
      </x:c>
      <x:c r="CS14" s="117" t="n">
        <x:f>IF(CS11&gt;0,'Вводные'!$B$83*'Вводные'!$Q$88,0)</x:f>
        <x:v>0</x:v>
      </x:c>
      <x:c r="CT14" s="117" t="n">
        <x:f>IF(CT11&gt;0,'Вводные'!$B$83*'Вводные'!$Q$88,0)</x:f>
        <x:v>0</x:v>
      </x:c>
      <x:c r="CU14" s="117" t="n">
        <x:f>IF(CU11&gt;0,'Вводные'!$B$83*'Вводные'!$Q$88,0)</x:f>
        <x:v>0</x:v>
      </x:c>
      <x:c r="CV14" s="117" t="n">
        <x:f>IF(CV11&gt;0,'Вводные'!$B$83*'Вводные'!$Q$88,0)</x:f>
        <x:v>0</x:v>
      </x:c>
      <x:c r="CW14" s="117" t="n">
        <x:f>IF(CW11&gt;0,'Вводные'!$B$83*'Вводные'!$Q$88,0)</x:f>
        <x:v>0</x:v>
      </x:c>
      <x:c r="CX14" s="117" t="n">
        <x:f>IF(CX11&gt;0,'Вводные'!$B$83*'Вводные'!$Q$88,0)</x:f>
        <x:v>0</x:v>
      </x:c>
      <x:c r="CY14" s="117" t="n">
        <x:f>IF(CY11&gt;0,'Вводные'!$B$83*'Вводные'!$Q$88,0)</x:f>
        <x:v>0</x:v>
      </x:c>
      <x:c r="CZ14" s="117" t="n">
        <x:f>IF(CZ11&gt;0,'Вводные'!$B$83*'Вводные'!$Q$88,0)</x:f>
        <x:v>0</x:v>
      </x:c>
      <x:c r="DA14" s="117" t="n">
        <x:f>IF(DA11&gt;0,'Вводные'!$B$83*'Вводные'!$Q$88,0)</x:f>
        <x:v>0</x:v>
      </x:c>
      <x:c r="DB14" s="117" t="n">
        <x:f>IF(DB11&gt;0,'Вводные'!$B$83*'Вводные'!$Q$88,0)</x:f>
        <x:v>0</x:v>
      </x:c>
      <x:c r="DC14" s="117" t="n">
        <x:f>IF(DC11&gt;0,'Вводные'!$B$83*'Вводные'!$Q$88,0)</x:f>
        <x:v>0</x:v>
      </x:c>
      <x:c r="DD14" s="117" t="n">
        <x:f>IF(DD11&gt;0,'Вводные'!$B$83*'Вводные'!$Q$88,0)</x:f>
        <x:v>0</x:v>
      </x:c>
      <x:c r="DE14" s="117" t="n">
        <x:f>IF(DE11&gt;0,'Вводные'!$B$83*'Вводные'!$Q$88,0)</x:f>
        <x:v>0</x:v>
      </x:c>
      <x:c r="DF14" s="117" t="n">
        <x:f>IF(DF11&gt;0,'Вводные'!$B$83*'Вводные'!$Q$88,0)</x:f>
        <x:v>0</x:v>
      </x:c>
      <x:c r="DG14" s="117" t="n">
        <x:f>IF(DG11&gt;0,'Вводные'!$B$83*'Вводные'!$Q$88,0)</x:f>
        <x:v>0</x:v>
      </x:c>
      <x:c r="DH14" s="117" t="n">
        <x:f>IF(DH11&gt;0,'Вводные'!$B$83*'Вводные'!$Q$88,0)</x:f>
        <x:v>0</x:v>
      </x:c>
      <x:c r="DI14" s="117" t="n">
        <x:f>IF(DI11&gt;0,'Вводные'!$B$83*'Вводные'!$Q$88,0)</x:f>
        <x:v>0</x:v>
      </x:c>
      <x:c r="DJ14" s="117" t="n">
        <x:f>IF(DJ11&gt;0,'Вводные'!$B$83*'Вводные'!$Q$88,0)</x:f>
        <x:v>0</x:v>
      </x:c>
      <x:c r="DK14" s="117" t="n">
        <x:f>IF(DK11&gt;0,'Вводные'!$B$83*'Вводные'!$Q$88,0)</x:f>
        <x:v>0</x:v>
      </x:c>
      <x:c r="DL14" s="117" t="n">
        <x:f>IF(DL11&gt;0,'Вводные'!$B$83*'Вводные'!$Q$88,0)</x:f>
        <x:v>0</x:v>
      </x:c>
      <x:c r="DM14" s="117" t="n">
        <x:f>IF(DM11&gt;0,'Вводные'!$B$83*'Вводные'!$Q$88,0)</x:f>
        <x:v>0</x:v>
      </x:c>
      <x:c r="DN14" s="117" t="n">
        <x:f>IF(DN11&gt;0,'Вводные'!$B$83*'Вводные'!$Q$88,0)</x:f>
        <x:v>0</x:v>
      </x:c>
      <x:c r="DO14" s="117" t="n">
        <x:f>IF(DO11&gt;0,'Вводные'!$B$83*'Вводные'!$Q$88,0)</x:f>
        <x:v>0</x:v>
      </x:c>
      <x:c r="DP14" s="117" t="n">
        <x:f>IF(DP11&gt;0,'Вводные'!$B$83*'Вводные'!$Q$88,0)</x:f>
        <x:v>0</x:v>
      </x:c>
      <x:c r="DQ14" s="117" t="n">
        <x:f>IF(DQ11&gt;0,'Вводные'!$B$83*'Вводные'!$Q$88,0)</x:f>
        <x:v>0</x:v>
      </x:c>
      <x:c r="DR14" s="117" t="n">
        <x:f>IF(DR11&gt;0,'Вводные'!$B$83*'Вводные'!$Q$88,0)</x:f>
        <x:v>0</x:v>
      </x:c>
      <x:c r="DS14" s="117" t="n">
        <x:f>IF(DS11&gt;0,'Вводные'!$B$83*'Вводные'!$Q$88,0)</x:f>
        <x:v>0</x:v>
      </x:c>
    </x:row>
    <x:row r="15">
      <x:c r="A15" s="113" t="str">
        <x:v>ДЕНЕЖНЫЙ ПЛАТЁЖ ПО ВРИ</x:v>
      </x:c>
      <x:c r="B15" s="113" t="n">
        <x:f>SUM(D15:DS15)</x:f>
        <x:v>1267.539</x:v>
      </x:c>
      <x:c r="C15" s="113" t="str">
        <x:v>млн ₽</x:v>
      </x:c>
      <x:c r="D15" s="120" t="n">
        <x:f>SUM(D12:D14)</x:f>
        <x:v>0</x:v>
      </x:c>
      <x:c r="E15" s="120" t="n">
        <x:f>SUM(E12:E14)</x:f>
        <x:v>0</x:v>
      </x:c>
      <x:c r="F15" s="120" t="n">
        <x:f>SUM(F12:F14)</x:f>
        <x:v>0</x:v>
      </x:c>
      <x:c r="G15" s="120" t="n">
        <x:f>SUM(G12:G14)</x:f>
        <x:v>0</x:v>
      </x:c>
      <x:c r="H15" s="120" t="n">
        <x:f>SUM(H12:H14)</x:f>
        <x:v>0</x:v>
      </x:c>
      <x:c r="I15" s="120" t="n">
        <x:f>SUM(I12:I14)</x:f>
        <x:v>0</x:v>
      </x:c>
      <x:c r="J15" s="120" t="n">
        <x:f>SUM(J12:J14)</x:f>
        <x:v>0</x:v>
      </x:c>
      <x:c r="K15" s="120" t="n">
        <x:f>SUM(K12:K14)</x:f>
        <x:v>0</x:v>
      </x:c>
      <x:c r="L15" s="120" t="n">
        <x:f>SUM(L12:L14)</x:f>
        <x:v>0</x:v>
      </x:c>
      <x:c r="M15" s="120" t="n">
        <x:f>SUM(M12:M14)</x:f>
        <x:v>0</x:v>
      </x:c>
      <x:c r="N15" s="120" t="n">
        <x:f>SUM(N12:N14)</x:f>
        <x:v>0</x:v>
      </x:c>
      <x:c r="O15" s="120" t="n">
        <x:f>SUM(O12:O14)</x:f>
        <x:v>0</x:v>
      </x:c>
      <x:c r="P15" s="120" t="n">
        <x:f>SUM(P12:P14)</x:f>
        <x:v>0</x:v>
      </x:c>
      <x:c r="Q15" s="120" t="n">
        <x:f>SUM(Q12:Q14)</x:f>
        <x:v>0</x:v>
      </x:c>
      <x:c r="R15" s="120" t="n">
        <x:f>SUM(R12:R14)</x:f>
        <x:v>0</x:v>
      </x:c>
      <x:c r="S15" s="120" t="n">
        <x:f>SUM(S12:S14)</x:f>
        <x:v>0</x:v>
      </x:c>
      <x:c r="T15" s="120" t="n">
        <x:f>SUM(T12:T14)</x:f>
        <x:v>0</x:v>
      </x:c>
      <x:c r="U15" s="120" t="n">
        <x:f>SUM(U12:U14)</x:f>
        <x:v>1267.539</x:v>
      </x:c>
      <x:c r="V15" s="120" t="n">
        <x:f>SUM(V12:V14)</x:f>
        <x:v>0</x:v>
      </x:c>
      <x:c r="W15" s="120" t="n">
        <x:f>SUM(W12:W14)</x:f>
        <x:v>0</x:v>
      </x:c>
      <x:c r="X15" s="120" t="n">
        <x:f>SUM(X12:X14)</x:f>
        <x:v>0</x:v>
      </x:c>
      <x:c r="Y15" s="120" t="n">
        <x:f>SUM(Y12:Y14)</x:f>
        <x:v>0</x:v>
      </x:c>
      <x:c r="Z15" s="120" t="n">
        <x:f>SUM(Z12:Z14)</x:f>
        <x:v>0</x:v>
      </x:c>
      <x:c r="AA15" s="120" t="n">
        <x:f>SUM(AA12:AA14)</x:f>
        <x:v>0</x:v>
      </x:c>
      <x:c r="AB15" s="120" t="n">
        <x:f>SUM(AB12:AB14)</x:f>
        <x:v>0</x:v>
      </x:c>
      <x:c r="AC15" s="120" t="n">
        <x:f>SUM(AC12:AC14)</x:f>
        <x:v>0</x:v>
      </x:c>
      <x:c r="AD15" s="120" t="n">
        <x:f>SUM(AD12:AD14)</x:f>
        <x:v>0</x:v>
      </x:c>
      <x:c r="AE15" s="120" t="n">
        <x:f>SUM(AE12:AE14)</x:f>
        <x:v>0</x:v>
      </x:c>
      <x:c r="AF15" s="120" t="n">
        <x:f>SUM(AF12:AF14)</x:f>
        <x:v>0</x:v>
      </x:c>
      <x:c r="AG15" s="120" t="n">
        <x:f>SUM(AG12:AG14)</x:f>
        <x:v>0</x:v>
      </x:c>
      <x:c r="AH15" s="120" t="n">
        <x:f>SUM(AH12:AH14)</x:f>
        <x:v>0</x:v>
      </x:c>
      <x:c r="AI15" s="120" t="n">
        <x:f>SUM(AI12:AI14)</x:f>
        <x:v>0</x:v>
      </x:c>
      <x:c r="AJ15" s="120" t="n">
        <x:f>SUM(AJ12:AJ14)</x:f>
        <x:v>0</x:v>
      </x:c>
      <x:c r="AK15" s="120" t="n">
        <x:f>SUM(AK12:AK14)</x:f>
        <x:v>0</x:v>
      </x:c>
      <x:c r="AL15" s="120" t="n">
        <x:f>SUM(AL12:AL14)</x:f>
        <x:v>0</x:v>
      </x:c>
      <x:c r="AM15" s="120" t="n">
        <x:f>SUM(AM12:AM14)</x:f>
        <x:v>0</x:v>
      </x:c>
      <x:c r="AN15" s="120" t="n">
        <x:f>SUM(AN12:AN14)</x:f>
        <x:v>0</x:v>
      </x:c>
      <x:c r="AO15" s="120" t="n">
        <x:f>SUM(AO12:AO14)</x:f>
        <x:v>0</x:v>
      </x:c>
      <x:c r="AP15" s="120" t="n">
        <x:f>SUM(AP12:AP14)</x:f>
        <x:v>0</x:v>
      </x:c>
      <x:c r="AQ15" s="120" t="n">
        <x:f>SUM(AQ12:AQ14)</x:f>
        <x:v>0</x:v>
      </x:c>
      <x:c r="AR15" s="120" t="n">
        <x:f>SUM(AR12:AR14)</x:f>
        <x:v>0</x:v>
      </x:c>
      <x:c r="AS15" s="120" t="n">
        <x:f>SUM(AS12:AS14)</x:f>
        <x:v>0</x:v>
      </x:c>
      <x:c r="AT15" s="120" t="n">
        <x:f>SUM(AT12:AT14)</x:f>
        <x:v>0</x:v>
      </x:c>
      <x:c r="AU15" s="120" t="n">
        <x:f>SUM(AU12:AU14)</x:f>
        <x:v>0</x:v>
      </x:c>
      <x:c r="AV15" s="120" t="n">
        <x:f>SUM(AV12:AV14)</x:f>
        <x:v>0</x:v>
      </x:c>
      <x:c r="AW15" s="120" t="n">
        <x:f>SUM(AW12:AW14)</x:f>
        <x:v>0</x:v>
      </x:c>
      <x:c r="AX15" s="120" t="n">
        <x:f>SUM(AX12:AX14)</x:f>
        <x:v>0</x:v>
      </x:c>
      <x:c r="AY15" s="120" t="n">
        <x:f>SUM(AY12:AY14)</x:f>
        <x:v>0</x:v>
      </x:c>
      <x:c r="AZ15" s="120" t="n">
        <x:f>SUM(AZ12:AZ14)</x:f>
        <x:v>0</x:v>
      </x:c>
      <x:c r="BA15" s="120" t="n">
        <x:f>SUM(BA12:BA14)</x:f>
        <x:v>0</x:v>
      </x:c>
      <x:c r="BB15" s="120" t="n">
        <x:f>SUM(BB12:BB14)</x:f>
        <x:v>0</x:v>
      </x:c>
      <x:c r="BC15" s="120" t="n">
        <x:f>SUM(BC12:BC14)</x:f>
        <x:v>0</x:v>
      </x:c>
      <x:c r="BD15" s="120" t="n">
        <x:f>SUM(BD12:BD14)</x:f>
        <x:v>0</x:v>
      </x:c>
      <x:c r="BE15" s="120" t="n">
        <x:f>SUM(BE12:BE14)</x:f>
        <x:v>0</x:v>
      </x:c>
      <x:c r="BF15" s="120" t="n">
        <x:f>SUM(BF12:BF14)</x:f>
        <x:v>0</x:v>
      </x:c>
      <x:c r="BG15" s="120" t="n">
        <x:f>SUM(BG12:BG14)</x:f>
        <x:v>0</x:v>
      </x:c>
      <x:c r="BH15" s="120" t="n">
        <x:f>SUM(BH12:BH14)</x:f>
        <x:v>0</x:v>
      </x:c>
      <x:c r="BI15" s="120" t="n">
        <x:f>SUM(BI12:BI14)</x:f>
        <x:v>0</x:v>
      </x:c>
      <x:c r="BJ15" s="120" t="n">
        <x:f>SUM(BJ12:BJ14)</x:f>
        <x:v>0</x:v>
      </x:c>
      <x:c r="BK15" s="120" t="n">
        <x:f>SUM(BK12:BK14)</x:f>
        <x:v>0</x:v>
      </x:c>
      <x:c r="BL15" s="120" t="n">
        <x:f>SUM(BL12:BL14)</x:f>
        <x:v>0</x:v>
      </x:c>
      <x:c r="BM15" s="120" t="n">
        <x:f>SUM(BM12:BM14)</x:f>
        <x:v>0</x:v>
      </x:c>
      <x:c r="BN15" s="120" t="n">
        <x:f>SUM(BN12:BN14)</x:f>
        <x:v>0</x:v>
      </x:c>
      <x:c r="BO15" s="120" t="n">
        <x:f>SUM(BO12:BO14)</x:f>
        <x:v>0</x:v>
      </x:c>
      <x:c r="BP15" s="120" t="n">
        <x:f>SUM(BP12:BP14)</x:f>
        <x:v>0</x:v>
      </x:c>
      <x:c r="BQ15" s="120" t="n">
        <x:f>SUM(BQ12:BQ14)</x:f>
        <x:v>0</x:v>
      </x:c>
      <x:c r="BR15" s="120" t="n">
        <x:f>SUM(BR12:BR14)</x:f>
        <x:v>0</x:v>
      </x:c>
      <x:c r="BS15" s="120" t="n">
        <x:f>SUM(BS12:BS14)</x:f>
        <x:v>0</x:v>
      </x:c>
      <x:c r="BT15" s="120" t="n">
        <x:f>SUM(BT12:BT14)</x:f>
        <x:v>0</x:v>
      </x:c>
      <x:c r="BU15" s="120" t="n">
        <x:f>SUM(BU12:BU14)</x:f>
        <x:v>0</x:v>
      </x:c>
      <x:c r="BV15" s="120" t="n">
        <x:f>SUM(BV12:BV14)</x:f>
        <x:v>0</x:v>
      </x:c>
      <x:c r="BW15" s="120" t="n">
        <x:f>SUM(BW12:BW14)</x:f>
        <x:v>0</x:v>
      </x:c>
      <x:c r="BX15" s="120" t="n">
        <x:f>SUM(BX12:BX14)</x:f>
        <x:v>0</x:v>
      </x:c>
      <x:c r="BY15" s="120" t="n">
        <x:f>SUM(BY12:BY14)</x:f>
        <x:v>0</x:v>
      </x:c>
      <x:c r="BZ15" s="120" t="n">
        <x:f>SUM(BZ12:BZ14)</x:f>
        <x:v>0</x:v>
      </x:c>
      <x:c r="CA15" s="120" t="n">
        <x:f>SUM(CA12:CA14)</x:f>
        <x:v>0</x:v>
      </x:c>
      <x:c r="CB15" s="120" t="n">
        <x:f>SUM(CB12:CB14)</x:f>
        <x:v>0</x:v>
      </x:c>
      <x:c r="CC15" s="120" t="n">
        <x:f>SUM(CC12:CC14)</x:f>
        <x:v>0</x:v>
      </x:c>
      <x:c r="CD15" s="120" t="n">
        <x:f>SUM(CD12:CD14)</x:f>
        <x:v>0</x:v>
      </x:c>
      <x:c r="CE15" s="120" t="n">
        <x:f>SUM(CE12:CE14)</x:f>
        <x:v>0</x:v>
      </x:c>
      <x:c r="CF15" s="120" t="n">
        <x:f>SUM(CF12:CF14)</x:f>
        <x:v>0</x:v>
      </x:c>
      <x:c r="CG15" s="120" t="n">
        <x:f>SUM(CG12:CG14)</x:f>
        <x:v>0</x:v>
      </x:c>
      <x:c r="CH15" s="120" t="n">
        <x:f>SUM(CH12:CH14)</x:f>
        <x:v>0</x:v>
      </x:c>
      <x:c r="CI15" s="120" t="n">
        <x:f>SUM(CI12:CI14)</x:f>
        <x:v>0</x:v>
      </x:c>
      <x:c r="CJ15" s="120" t="n">
        <x:f>SUM(CJ12:CJ14)</x:f>
        <x:v>0</x:v>
      </x:c>
      <x:c r="CK15" s="120" t="n">
        <x:f>SUM(CK12:CK14)</x:f>
        <x:v>0</x:v>
      </x:c>
      <x:c r="CL15" s="120" t="n">
        <x:f>SUM(CL12:CL14)</x:f>
        <x:v>0</x:v>
      </x:c>
      <x:c r="CM15" s="120" t="n">
        <x:f>SUM(CM12:CM14)</x:f>
        <x:v>0</x:v>
      </x:c>
      <x:c r="CN15" s="120" t="n">
        <x:f>SUM(CN12:CN14)</x:f>
        <x:v>0</x:v>
      </x:c>
      <x:c r="CO15" s="120" t="n">
        <x:f>SUM(CO12:CO14)</x:f>
        <x:v>0</x:v>
      </x:c>
      <x:c r="CP15" s="120" t="n">
        <x:f>SUM(CP12:CP14)</x:f>
        <x:v>0</x:v>
      </x:c>
      <x:c r="CQ15" s="120" t="n">
        <x:f>SUM(CQ12:CQ14)</x:f>
        <x:v>0</x:v>
      </x:c>
      <x:c r="CR15" s="120" t="n">
        <x:f>SUM(CR12:CR14)</x:f>
        <x:v>0</x:v>
      </x:c>
      <x:c r="CS15" s="120" t="n">
        <x:f>SUM(CS12:CS14)</x:f>
        <x:v>0</x:v>
      </x:c>
      <x:c r="CT15" s="120" t="n">
        <x:f>SUM(CT12:CT14)</x:f>
        <x:v>0</x:v>
      </x:c>
      <x:c r="CU15" s="120" t="n">
        <x:f>SUM(CU12:CU14)</x:f>
        <x:v>0</x:v>
      </x:c>
      <x:c r="CV15" s="120" t="n">
        <x:f>SUM(CV12:CV14)</x:f>
        <x:v>0</x:v>
      </x:c>
      <x:c r="CW15" s="120" t="n">
        <x:f>SUM(CW12:CW14)</x:f>
        <x:v>0</x:v>
      </x:c>
      <x:c r="CX15" s="120" t="n">
        <x:f>SUM(CX12:CX14)</x:f>
        <x:v>0</x:v>
      </x:c>
      <x:c r="CY15" s="120" t="n">
        <x:f>SUM(CY12:CY14)</x:f>
        <x:v>0</x:v>
      </x:c>
      <x:c r="CZ15" s="120" t="n">
        <x:f>SUM(CZ12:CZ14)</x:f>
        <x:v>0</x:v>
      </x:c>
      <x:c r="DA15" s="120" t="n">
        <x:f>SUM(DA12:DA14)</x:f>
        <x:v>0</x:v>
      </x:c>
      <x:c r="DB15" s="120" t="n">
        <x:f>SUM(DB12:DB14)</x:f>
        <x:v>0</x:v>
      </x:c>
      <x:c r="DC15" s="120" t="n">
        <x:f>SUM(DC12:DC14)</x:f>
        <x:v>0</x:v>
      </x:c>
      <x:c r="DD15" s="120" t="n">
        <x:f>SUM(DD12:DD14)</x:f>
        <x:v>0</x:v>
      </x:c>
      <x:c r="DE15" s="120" t="n">
        <x:f>SUM(DE12:DE14)</x:f>
        <x:v>0</x:v>
      </x:c>
      <x:c r="DF15" s="120" t="n">
        <x:f>SUM(DF12:DF14)</x:f>
        <x:v>0</x:v>
      </x:c>
      <x:c r="DG15" s="120" t="n">
        <x:f>SUM(DG12:DG14)</x:f>
        <x:v>0</x:v>
      </x:c>
      <x:c r="DH15" s="120" t="n">
        <x:f>SUM(DH12:DH14)</x:f>
        <x:v>0</x:v>
      </x:c>
      <x:c r="DI15" s="120" t="n">
        <x:f>SUM(DI12:DI14)</x:f>
        <x:v>0</x:v>
      </x:c>
      <x:c r="DJ15" s="120" t="n">
        <x:f>SUM(DJ12:DJ14)</x:f>
        <x:v>0</x:v>
      </x:c>
      <x:c r="DK15" s="120" t="n">
        <x:f>SUM(DK12:DK14)</x:f>
        <x:v>0</x:v>
      </x:c>
      <x:c r="DL15" s="120" t="n">
        <x:f>SUM(DL12:DL14)</x:f>
        <x:v>0</x:v>
      </x:c>
      <x:c r="DM15" s="120" t="n">
        <x:f>SUM(DM12:DM14)</x:f>
        <x:v>0</x:v>
      </x:c>
      <x:c r="DN15" s="120" t="n">
        <x:f>SUM(DN12:DN14)</x:f>
        <x:v>0</x:v>
      </x:c>
      <x:c r="DO15" s="120" t="n">
        <x:f>SUM(DO12:DO14)</x:f>
        <x:v>0</x:v>
      </x:c>
      <x:c r="DP15" s="120" t="n">
        <x:f>SUM(DP12:DP14)</x:f>
        <x:v>0</x:v>
      </x:c>
      <x:c r="DQ15" s="120" t="n">
        <x:f>SUM(DQ12:DQ14)</x:f>
        <x:v>0</x:v>
      </x:c>
      <x:c r="DR15" s="120" t="n">
        <x:f>SUM(DR12:DR14)</x:f>
        <x:v>0</x:v>
      </x:c>
      <x:c r="DS15" s="120" t="n">
        <x:f>SUM(DS12:DS14)</x:f>
        <x:v>0</x:v>
      </x:c>
    </x:row>
    <x:row r="16">
      <x:c r="A16" t="str">
        <x:v>Остаток на конец</x:v>
      </x:c>
      <x:c r="B16" s="107" t="n">
        <x:f>DS16</x:f>
        <x:v>0</x:v>
      </x:c>
      <x:c r="C16" t="str">
        <x:v>млн ₽</x:v>
      </x:c>
      <x:c r="D16" s="117" t="n">
        <x:f>MAX(0,D10+D11-D12)</x:f>
        <x:v>0</x:v>
      </x:c>
      <x:c r="E16" s="117" t="n">
        <x:f>MAX(0,E10+E11-E12)</x:f>
        <x:v>0</x:v>
      </x:c>
      <x:c r="F16" s="117" t="n">
        <x:f>MAX(0,F10+F11-F12)</x:f>
        <x:v>0</x:v>
      </x:c>
      <x:c r="G16" s="117" t="n">
        <x:f>MAX(0,G10+G11-G12)</x:f>
        <x:v>0</x:v>
      </x:c>
      <x:c r="H16" s="117" t="n">
        <x:f>MAX(0,H10+H11-H12)</x:f>
        <x:v>0</x:v>
      </x:c>
      <x:c r="I16" s="117" t="n">
        <x:f>MAX(0,I10+I11-I12)</x:f>
        <x:v>0</x:v>
      </x:c>
      <x:c r="J16" s="117" t="n">
        <x:f>MAX(0,J10+J11-J12)</x:f>
        <x:v>0</x:v>
      </x:c>
      <x:c r="K16" s="117" t="n">
        <x:f>MAX(0,K10+K11-K12)</x:f>
        <x:v>0</x:v>
      </x:c>
      <x:c r="L16" s="117" t="n">
        <x:f>MAX(0,L10+L11-L12)</x:f>
        <x:v>0</x:v>
      </x:c>
      <x:c r="M16" s="117" t="n">
        <x:f>MAX(0,M10+M11-M12)</x:f>
        <x:v>0</x:v>
      </x:c>
      <x:c r="N16" s="117" t="n">
        <x:f>MAX(0,N10+N11-N12)</x:f>
        <x:v>0</x:v>
      </x:c>
      <x:c r="O16" s="117" t="n">
        <x:f>MAX(0,O10+O11-O12)</x:f>
        <x:v>0</x:v>
      </x:c>
      <x:c r="P16" s="117" t="n">
        <x:f>MAX(0,P10+P11-P12)</x:f>
        <x:v>0</x:v>
      </x:c>
      <x:c r="Q16" s="117" t="n">
        <x:f>MAX(0,Q10+Q11-Q12)</x:f>
        <x:v>0</x:v>
      </x:c>
      <x:c r="R16" s="117" t="n">
        <x:f>MAX(0,R10+R11-R12)</x:f>
        <x:v>0</x:v>
      </x:c>
      <x:c r="S16" s="117" t="n">
        <x:f>MAX(0,S10+S11-S12)</x:f>
        <x:v>0</x:v>
      </x:c>
      <x:c r="T16" s="117" t="n">
        <x:f>MAX(0,T10+T11-T12)</x:f>
        <x:v>0</x:v>
      </x:c>
      <x:c r="U16" s="117" t="n">
        <x:f>MAX(0,U10+U11-U12)</x:f>
        <x:v>0</x:v>
      </x:c>
      <x:c r="V16" s="117" t="n">
        <x:f>MAX(0,V10+V11-V12)</x:f>
        <x:v>0</x:v>
      </x:c>
      <x:c r="W16" s="117" t="n">
        <x:f>MAX(0,W10+W11-W12)</x:f>
        <x:v>0</x:v>
      </x:c>
      <x:c r="X16" s="117" t="n">
        <x:f>MAX(0,X10+X11-X12)</x:f>
        <x:v>0</x:v>
      </x:c>
      <x:c r="Y16" s="117" t="n">
        <x:f>MAX(0,Y10+Y11-Y12)</x:f>
        <x:v>0</x:v>
      </x:c>
      <x:c r="Z16" s="117" t="n">
        <x:f>MAX(0,Z10+Z11-Z12)</x:f>
        <x:v>0</x:v>
      </x:c>
      <x:c r="AA16" s="117" t="n">
        <x:f>MAX(0,AA10+AA11-AA12)</x:f>
        <x:v>0</x:v>
      </x:c>
      <x:c r="AB16" s="117" t="n">
        <x:f>MAX(0,AB10+AB11-AB12)</x:f>
        <x:v>0</x:v>
      </x:c>
      <x:c r="AC16" s="117" t="n">
        <x:f>MAX(0,AC10+AC11-AC12)</x:f>
        <x:v>0</x:v>
      </x:c>
      <x:c r="AD16" s="117" t="n">
        <x:f>MAX(0,AD10+AD11-AD12)</x:f>
        <x:v>0</x:v>
      </x:c>
      <x:c r="AE16" s="117" t="n">
        <x:f>MAX(0,AE10+AE11-AE12)</x:f>
        <x:v>0</x:v>
      </x:c>
      <x:c r="AF16" s="117" t="n">
        <x:f>MAX(0,AF10+AF11-AF12)</x:f>
        <x:v>0</x:v>
      </x:c>
      <x:c r="AG16" s="117" t="n">
        <x:f>MAX(0,AG10+AG11-AG12)</x:f>
        <x:v>0</x:v>
      </x:c>
      <x:c r="AH16" s="117" t="n">
        <x:f>MAX(0,AH10+AH11-AH12)</x:f>
        <x:v>0</x:v>
      </x:c>
      <x:c r="AI16" s="117" t="n">
        <x:f>MAX(0,AI10+AI11-AI12)</x:f>
        <x:v>0</x:v>
      </x:c>
      <x:c r="AJ16" s="117" t="n">
        <x:f>MAX(0,AJ10+AJ11-AJ12)</x:f>
        <x:v>0</x:v>
      </x:c>
      <x:c r="AK16" s="117" t="n">
        <x:f>MAX(0,AK10+AK11-AK12)</x:f>
        <x:v>0</x:v>
      </x:c>
      <x:c r="AL16" s="117" t="n">
        <x:f>MAX(0,AL10+AL11-AL12)</x:f>
        <x:v>0</x:v>
      </x:c>
      <x:c r="AM16" s="117" t="n">
        <x:f>MAX(0,AM10+AM11-AM12)</x:f>
        <x:v>0</x:v>
      </x:c>
      <x:c r="AN16" s="117" t="n">
        <x:f>MAX(0,AN10+AN11-AN12)</x:f>
        <x:v>0</x:v>
      </x:c>
      <x:c r="AO16" s="117" t="n">
        <x:f>MAX(0,AO10+AO11-AO12)</x:f>
        <x:v>0</x:v>
      </x:c>
      <x:c r="AP16" s="117" t="n">
        <x:f>MAX(0,AP10+AP11-AP12)</x:f>
        <x:v>0</x:v>
      </x:c>
      <x:c r="AQ16" s="117" t="n">
        <x:f>MAX(0,AQ10+AQ11-AQ12)</x:f>
        <x:v>0</x:v>
      </x:c>
      <x:c r="AR16" s="117" t="n">
        <x:f>MAX(0,AR10+AR11-AR12)</x:f>
        <x:v>0</x:v>
      </x:c>
      <x:c r="AS16" s="117" t="n">
        <x:f>MAX(0,AS10+AS11-AS12)</x:f>
        <x:v>0</x:v>
      </x:c>
      <x:c r="AT16" s="117" t="n">
        <x:f>MAX(0,AT10+AT11-AT12)</x:f>
        <x:v>0</x:v>
      </x:c>
      <x:c r="AU16" s="117" t="n">
        <x:f>MAX(0,AU10+AU11-AU12)</x:f>
        <x:v>0</x:v>
      </x:c>
      <x:c r="AV16" s="117" t="n">
        <x:f>MAX(0,AV10+AV11-AV12)</x:f>
        <x:v>0</x:v>
      </x:c>
      <x:c r="AW16" s="117" t="n">
        <x:f>MAX(0,AW10+AW11-AW12)</x:f>
        <x:v>0</x:v>
      </x:c>
      <x:c r="AX16" s="117" t="n">
        <x:f>MAX(0,AX10+AX11-AX12)</x:f>
        <x:v>0</x:v>
      </x:c>
      <x:c r="AY16" s="117" t="n">
        <x:f>MAX(0,AY10+AY11-AY12)</x:f>
        <x:v>0</x:v>
      </x:c>
      <x:c r="AZ16" s="117" t="n">
        <x:f>MAX(0,AZ10+AZ11-AZ12)</x:f>
        <x:v>0</x:v>
      </x:c>
      <x:c r="BA16" s="117" t="n">
        <x:f>MAX(0,BA10+BA11-BA12)</x:f>
        <x:v>0</x:v>
      </x:c>
      <x:c r="BB16" s="117" t="n">
        <x:f>MAX(0,BB10+BB11-BB12)</x:f>
        <x:v>0</x:v>
      </x:c>
      <x:c r="BC16" s="117" t="n">
        <x:f>MAX(0,BC10+BC11-BC12)</x:f>
        <x:v>0</x:v>
      </x:c>
      <x:c r="BD16" s="117" t="n">
        <x:f>MAX(0,BD10+BD11-BD12)</x:f>
        <x:v>0</x:v>
      </x:c>
      <x:c r="BE16" s="117" t="n">
        <x:f>MAX(0,BE10+BE11-BE12)</x:f>
        <x:v>0</x:v>
      </x:c>
      <x:c r="BF16" s="117" t="n">
        <x:f>MAX(0,BF10+BF11-BF12)</x:f>
        <x:v>0</x:v>
      </x:c>
      <x:c r="BG16" s="117" t="n">
        <x:f>MAX(0,BG10+BG11-BG12)</x:f>
        <x:v>0</x:v>
      </x:c>
      <x:c r="BH16" s="117" t="n">
        <x:f>MAX(0,BH10+BH11-BH12)</x:f>
        <x:v>0</x:v>
      </x:c>
      <x:c r="BI16" s="117" t="n">
        <x:f>MAX(0,BI10+BI11-BI12)</x:f>
        <x:v>0</x:v>
      </x:c>
      <x:c r="BJ16" s="117" t="n">
        <x:f>MAX(0,BJ10+BJ11-BJ12)</x:f>
        <x:v>0</x:v>
      </x:c>
      <x:c r="BK16" s="117" t="n">
        <x:f>MAX(0,BK10+BK11-BK12)</x:f>
        <x:v>0</x:v>
      </x:c>
      <x:c r="BL16" s="117" t="n">
        <x:f>MAX(0,BL10+BL11-BL12)</x:f>
        <x:v>0</x:v>
      </x:c>
      <x:c r="BM16" s="117" t="n">
        <x:f>MAX(0,BM10+BM11-BM12)</x:f>
        <x:v>0</x:v>
      </x:c>
      <x:c r="BN16" s="117" t="n">
        <x:f>MAX(0,BN10+BN11-BN12)</x:f>
        <x:v>0</x:v>
      </x:c>
      <x:c r="BO16" s="117" t="n">
        <x:f>MAX(0,BO10+BO11-BO12)</x:f>
        <x:v>0</x:v>
      </x:c>
      <x:c r="BP16" s="117" t="n">
        <x:f>MAX(0,BP10+BP11-BP12)</x:f>
        <x:v>0</x:v>
      </x:c>
      <x:c r="BQ16" s="117" t="n">
        <x:f>MAX(0,BQ10+BQ11-BQ12)</x:f>
        <x:v>0</x:v>
      </x:c>
      <x:c r="BR16" s="117" t="n">
        <x:f>MAX(0,BR10+BR11-BR12)</x:f>
        <x:v>0</x:v>
      </x:c>
      <x:c r="BS16" s="117" t="n">
        <x:f>MAX(0,BS10+BS11-BS12)</x:f>
        <x:v>0</x:v>
      </x:c>
      <x:c r="BT16" s="117" t="n">
        <x:f>MAX(0,BT10+BT11-BT12)</x:f>
        <x:v>0</x:v>
      </x:c>
      <x:c r="BU16" s="117" t="n">
        <x:f>MAX(0,BU10+BU11-BU12)</x:f>
        <x:v>0</x:v>
      </x:c>
      <x:c r="BV16" s="117" t="n">
        <x:f>MAX(0,BV10+BV11-BV12)</x:f>
        <x:v>0</x:v>
      </x:c>
      <x:c r="BW16" s="117" t="n">
        <x:f>MAX(0,BW10+BW11-BW12)</x:f>
        <x:v>0</x:v>
      </x:c>
      <x:c r="BX16" s="117" t="n">
        <x:f>MAX(0,BX10+BX11-BX12)</x:f>
        <x:v>0</x:v>
      </x:c>
      <x:c r="BY16" s="117" t="n">
        <x:f>MAX(0,BY10+BY11-BY12)</x:f>
        <x:v>0</x:v>
      </x:c>
      <x:c r="BZ16" s="117" t="n">
        <x:f>MAX(0,BZ10+BZ11-BZ12)</x:f>
        <x:v>0</x:v>
      </x:c>
      <x:c r="CA16" s="117" t="n">
        <x:f>MAX(0,CA10+CA11-CA12)</x:f>
        <x:v>0</x:v>
      </x:c>
      <x:c r="CB16" s="117" t="n">
        <x:f>MAX(0,CB10+CB11-CB12)</x:f>
        <x:v>0</x:v>
      </x:c>
      <x:c r="CC16" s="117" t="n">
        <x:f>MAX(0,CC10+CC11-CC12)</x:f>
        <x:v>0</x:v>
      </x:c>
      <x:c r="CD16" s="117" t="n">
        <x:f>MAX(0,CD10+CD11-CD12)</x:f>
        <x:v>0</x:v>
      </x:c>
      <x:c r="CE16" s="117" t="n">
        <x:f>MAX(0,CE10+CE11-CE12)</x:f>
        <x:v>0</x:v>
      </x:c>
      <x:c r="CF16" s="117" t="n">
        <x:f>MAX(0,CF10+CF11-CF12)</x:f>
        <x:v>0</x:v>
      </x:c>
      <x:c r="CG16" s="117" t="n">
        <x:f>MAX(0,CG10+CG11-CG12)</x:f>
        <x:v>0</x:v>
      </x:c>
      <x:c r="CH16" s="117" t="n">
        <x:f>MAX(0,CH10+CH11-CH12)</x:f>
        <x:v>0</x:v>
      </x:c>
      <x:c r="CI16" s="117" t="n">
        <x:f>MAX(0,CI10+CI11-CI12)</x:f>
        <x:v>0</x:v>
      </x:c>
      <x:c r="CJ16" s="117" t="n">
        <x:f>MAX(0,CJ10+CJ11-CJ12)</x:f>
        <x:v>0</x:v>
      </x:c>
      <x:c r="CK16" s="117" t="n">
        <x:f>MAX(0,CK10+CK11-CK12)</x:f>
        <x:v>0</x:v>
      </x:c>
      <x:c r="CL16" s="117" t="n">
        <x:f>MAX(0,CL10+CL11-CL12)</x:f>
        <x:v>0</x:v>
      </x:c>
      <x:c r="CM16" s="117" t="n">
        <x:f>MAX(0,CM10+CM11-CM12)</x:f>
        <x:v>0</x:v>
      </x:c>
      <x:c r="CN16" s="117" t="n">
        <x:f>MAX(0,CN10+CN11-CN12)</x:f>
        <x:v>0</x:v>
      </x:c>
      <x:c r="CO16" s="117" t="n">
        <x:f>MAX(0,CO10+CO11-CO12)</x:f>
        <x:v>0</x:v>
      </x:c>
      <x:c r="CP16" s="117" t="n">
        <x:f>MAX(0,CP10+CP11-CP12)</x:f>
        <x:v>0</x:v>
      </x:c>
      <x:c r="CQ16" s="117" t="n">
        <x:f>MAX(0,CQ10+CQ11-CQ12)</x:f>
        <x:v>0</x:v>
      </x:c>
      <x:c r="CR16" s="117" t="n">
        <x:f>MAX(0,CR10+CR11-CR12)</x:f>
        <x:v>0</x:v>
      </x:c>
      <x:c r="CS16" s="117" t="n">
        <x:f>MAX(0,CS10+CS11-CS12)</x:f>
        <x:v>0</x:v>
      </x:c>
      <x:c r="CT16" s="117" t="n">
        <x:f>MAX(0,CT10+CT11-CT12)</x:f>
        <x:v>0</x:v>
      </x:c>
      <x:c r="CU16" s="117" t="n">
        <x:f>MAX(0,CU10+CU11-CU12)</x:f>
        <x:v>0</x:v>
      </x:c>
      <x:c r="CV16" s="117" t="n">
        <x:f>MAX(0,CV10+CV11-CV12)</x:f>
        <x:v>0</x:v>
      </x:c>
      <x:c r="CW16" s="117" t="n">
        <x:f>MAX(0,CW10+CW11-CW12)</x:f>
        <x:v>0</x:v>
      </x:c>
      <x:c r="CX16" s="117" t="n">
        <x:f>MAX(0,CX10+CX11-CX12)</x:f>
        <x:v>0</x:v>
      </x:c>
      <x:c r="CY16" s="117" t="n">
        <x:f>MAX(0,CY10+CY11-CY12)</x:f>
        <x:v>0</x:v>
      </x:c>
      <x:c r="CZ16" s="117" t="n">
        <x:f>MAX(0,CZ10+CZ11-CZ12)</x:f>
        <x:v>0</x:v>
      </x:c>
      <x:c r="DA16" s="117" t="n">
        <x:f>MAX(0,DA10+DA11-DA12)</x:f>
        <x:v>0</x:v>
      </x:c>
      <x:c r="DB16" s="117" t="n">
        <x:f>MAX(0,DB10+DB11-DB12)</x:f>
        <x:v>0</x:v>
      </x:c>
      <x:c r="DC16" s="117" t="n">
        <x:f>MAX(0,DC10+DC11-DC12)</x:f>
        <x:v>0</x:v>
      </x:c>
      <x:c r="DD16" s="117" t="n">
        <x:f>MAX(0,DD10+DD11-DD12)</x:f>
        <x:v>0</x:v>
      </x:c>
      <x:c r="DE16" s="117" t="n">
        <x:f>MAX(0,DE10+DE11-DE12)</x:f>
        <x:v>0</x:v>
      </x:c>
      <x:c r="DF16" s="117" t="n">
        <x:f>MAX(0,DF10+DF11-DF12)</x:f>
        <x:v>0</x:v>
      </x:c>
      <x:c r="DG16" s="117" t="n">
        <x:f>MAX(0,DG10+DG11-DG12)</x:f>
        <x:v>0</x:v>
      </x:c>
      <x:c r="DH16" s="117" t="n">
        <x:f>MAX(0,DH10+DH11-DH12)</x:f>
        <x:v>0</x:v>
      </x:c>
      <x:c r="DI16" s="117" t="n">
        <x:f>MAX(0,DI10+DI11-DI12)</x:f>
        <x:v>0</x:v>
      </x:c>
      <x:c r="DJ16" s="117" t="n">
        <x:f>MAX(0,DJ10+DJ11-DJ12)</x:f>
        <x:v>0</x:v>
      </x:c>
      <x:c r="DK16" s="117" t="n">
        <x:f>MAX(0,DK10+DK11-DK12)</x:f>
        <x:v>0</x:v>
      </x:c>
      <x:c r="DL16" s="117" t="n">
        <x:f>MAX(0,DL10+DL11-DL12)</x:f>
        <x:v>0</x:v>
      </x:c>
      <x:c r="DM16" s="117" t="n">
        <x:f>MAX(0,DM10+DM11-DM12)</x:f>
        <x:v>0</x:v>
      </x:c>
      <x:c r="DN16" s="117" t="n">
        <x:f>MAX(0,DN10+DN11-DN12)</x:f>
        <x:v>0</x:v>
      </x:c>
      <x:c r="DO16" s="117" t="n">
        <x:f>MAX(0,DO10+DO11-DO12)</x:f>
        <x:v>0</x:v>
      </x:c>
      <x:c r="DP16" s="117" t="n">
        <x:f>MAX(0,DP10+DP11-DP12)</x:f>
        <x:v>0</x:v>
      </x:c>
      <x:c r="DQ16" s="117" t="n">
        <x:f>MAX(0,DQ10+DQ11-DQ12)</x:f>
        <x:v>0</x:v>
      </x:c>
      <x:c r="DR16" s="117" t="n">
        <x:f>MAX(0,DR10+DR11-DR12)</x:f>
        <x:v>0</x:v>
      </x:c>
      <x:c r="DS16" s="117" t="n">
        <x:f>MAX(0,DS10+DS11-DS12)</x:f>
        <x:v>0</x:v>
      </x:c>
    </x:row>
    <x:row r="17">
      <x:c r="A17" t="str">
        <x:v>Ставка по рассрочке</x:v>
      </x:c>
      <x:c r="B17" t="n">
        <x:f>IFERROR(SUMPRODUCT(D17:DS17,--(D10:DS10&gt;0))/COUNTIF(D10:DS10,"&gt;0"),0)</x:f>
        <x:v>0</x:v>
      </x:c>
      <x:c r="C17" t="str">
        <x:v>% год</x:v>
      </x:c>
      <x:c r="D17" s="35" t="n">
        <x:f>'Ставки'!D$5+'Вводные'!$B$81</x:f>
        <x:v>0.17</x:v>
      </x:c>
      <x:c r="E17" s="35" t="n">
        <x:f>'Ставки'!E$5+'Вводные'!$B$81</x:f>
        <x:v>0.1679166666666667</x:v>
      </x:c>
      <x:c r="F17" s="35" t="n">
        <x:f>'Ставки'!F$5+'Вводные'!$B$81</x:f>
        <x:v>0.16583333333333333</x:v>
      </x:c>
      <x:c r="G17" s="35" t="n">
        <x:f>'Ставки'!G$5+'Вводные'!$B$81</x:f>
        <x:v>0.16375</x:v>
      </x:c>
      <x:c r="H17" s="35" t="n">
        <x:f>'Ставки'!H$5+'Вводные'!$B$81</x:f>
        <x:v>0.16166666666666668</x:v>
      </x:c>
      <x:c r="I17" s="35" t="n">
        <x:f>'Ставки'!I$5+'Вводные'!$B$81</x:f>
        <x:v>0.15958333333333333</x:v>
      </x:c>
      <x:c r="J17" s="35" t="n">
        <x:f>'Ставки'!J$5+'Вводные'!$B$81</x:f>
        <x:v>0.1575</x:v>
      </x:c>
      <x:c r="K17" s="35" t="n">
        <x:f>'Ставки'!K$5+'Вводные'!$B$81</x:f>
        <x:v>0.15541666666666668</x:v>
      </x:c>
      <x:c r="L17" s="35" t="n">
        <x:f>'Ставки'!L$5+'Вводные'!$B$81</x:f>
        <x:v>0.15333333333333335</x:v>
      </x:c>
      <x:c r="M17" s="35" t="n">
        <x:f>'Ставки'!M$5+'Вводные'!$B$81</x:f>
        <x:v>0.15125</x:v>
      </x:c>
      <x:c r="N17" s="35" t="n">
        <x:f>'Ставки'!N$5+'Вводные'!$B$81</x:f>
        <x:v>0.14916666666666667</x:v>
      </x:c>
      <x:c r="O17" s="35" t="n">
        <x:f>'Ставки'!O$5+'Вводные'!$B$81</x:f>
        <x:v>0.14708333333333334</x:v>
      </x:c>
      <x:c r="P17" s="35" t="n">
        <x:f>'Ставки'!P$5+'Вводные'!$B$81</x:f>
        <x:v>0.14500000000000002</x:v>
      </x:c>
      <x:c r="Q17" s="35" t="n">
        <x:f>'Ставки'!Q$5+'Вводные'!$B$81</x:f>
        <x:v>0.14291666666666666</x:v>
      </x:c>
      <x:c r="R17" s="35" t="n">
        <x:f>'Ставки'!R$5+'Вводные'!$B$81</x:f>
        <x:v>0.14083333333333334</x:v>
      </x:c>
      <x:c r="S17" s="35" t="n">
        <x:f>'Ставки'!S$5+'Вводные'!$B$81</x:f>
        <x:v>0.13874999999999998</x:v>
      </x:c>
      <x:c r="T17" s="35" t="n">
        <x:f>'Ставки'!T$5+'Вводные'!$B$81</x:f>
        <x:v>0.13666666666666666</x:v>
      </x:c>
      <x:c r="U17" s="35" t="n">
        <x:f>'Ставки'!U$5+'Вводные'!$B$81</x:f>
        <x:v>0.13458333333333333</x:v>
      </x:c>
      <x:c r="V17" s="35" t="n">
        <x:f>'Ставки'!V$5+'Вводные'!$B$81</x:f>
        <x:v>0.1325</x:v>
      </x:c>
      <x:c r="W17" s="35" t="n">
        <x:f>'Ставки'!W$5+'Вводные'!$B$81</x:f>
        <x:v>0.13041666666666668</x:v>
      </x:c>
      <x:c r="X17" s="35" t="n">
        <x:f>'Ставки'!X$5+'Вводные'!$B$81</x:f>
        <x:v>0.12833333333333333</x:v>
      </x:c>
      <x:c r="Y17" s="35" t="n">
        <x:f>'Ставки'!Y$5+'Вводные'!$B$81</x:f>
        <x:v>0.12625</x:v>
      </x:c>
      <x:c r="Z17" s="35" t="n">
        <x:f>'Ставки'!Z$5+'Вводные'!$B$81</x:f>
        <x:v>0.12416666666666668</x:v>
      </x:c>
      <x:c r="AA17" s="35" t="n">
        <x:f>'Ставки'!AA$5+'Вводные'!$B$81</x:f>
        <x:v>0.12208333333333332</x:v>
      </x:c>
      <x:c r="AB17" s="35" t="n">
        <x:f>'Ставки'!AB$5+'Вводные'!$B$81</x:f>
        <x:v>0.12</x:v>
      </x:c>
      <x:c r="AC17" s="35" t="n">
        <x:f>'Ставки'!AC$5+'Вводные'!$B$81</x:f>
        <x:v>0.12</x:v>
      </x:c>
      <x:c r="AD17" s="35" t="n">
        <x:f>'Ставки'!AD$5+'Вводные'!$B$81</x:f>
        <x:v>0.12</x:v>
      </x:c>
      <x:c r="AE17" s="35" t="n">
        <x:f>'Ставки'!AE$5+'Вводные'!$B$81</x:f>
        <x:v>0.12</x:v>
      </x:c>
      <x:c r="AF17" s="35" t="n">
        <x:f>'Ставки'!AF$5+'Вводные'!$B$81</x:f>
        <x:v>0.12</x:v>
      </x:c>
      <x:c r="AG17" s="35" t="n">
        <x:f>'Ставки'!AG$5+'Вводные'!$B$81</x:f>
        <x:v>0.12</x:v>
      </x:c>
      <x:c r="AH17" s="35" t="n">
        <x:f>'Ставки'!AH$5+'Вводные'!$B$81</x:f>
        <x:v>0.12</x:v>
      </x:c>
      <x:c r="AI17" s="35" t="n">
        <x:f>'Ставки'!AI$5+'Вводные'!$B$81</x:f>
        <x:v>0.12</x:v>
      </x:c>
      <x:c r="AJ17" s="35" t="n">
        <x:f>'Ставки'!AJ$5+'Вводные'!$B$81</x:f>
        <x:v>0.12</x:v>
      </x:c>
      <x:c r="AK17" s="35" t="n">
        <x:f>'Ставки'!AK$5+'Вводные'!$B$81</x:f>
        <x:v>0.12</x:v>
      </x:c>
      <x:c r="AL17" s="35" t="n">
        <x:f>'Ставки'!AL$5+'Вводные'!$B$81</x:f>
        <x:v>0.12</x:v>
      </x:c>
      <x:c r="AM17" s="35" t="n">
        <x:f>'Ставки'!AM$5+'Вводные'!$B$81</x:f>
        <x:v>0.12</x:v>
      </x:c>
      <x:c r="AN17" s="35" t="n">
        <x:f>'Ставки'!AN$5+'Вводные'!$B$81</x:f>
        <x:v>0.12</x:v>
      </x:c>
      <x:c r="AO17" s="35" t="n">
        <x:f>'Ставки'!AO$5+'Вводные'!$B$81</x:f>
        <x:v>0.12</x:v>
      </x:c>
      <x:c r="AP17" s="35" t="n">
        <x:f>'Ставки'!AP$5+'Вводные'!$B$81</x:f>
        <x:v>0.12</x:v>
      </x:c>
      <x:c r="AQ17" s="35" t="n">
        <x:f>'Ставки'!AQ$5+'Вводные'!$B$81</x:f>
        <x:v>0.12</x:v>
      </x:c>
      <x:c r="AR17" s="35" t="n">
        <x:f>'Ставки'!AR$5+'Вводные'!$B$81</x:f>
        <x:v>0.12</x:v>
      </x:c>
      <x:c r="AS17" s="35" t="n">
        <x:f>'Ставки'!AS$5+'Вводные'!$B$81</x:f>
        <x:v>0.12</x:v>
      </x:c>
      <x:c r="AT17" s="35" t="n">
        <x:f>'Ставки'!AT$5+'Вводные'!$B$81</x:f>
        <x:v>0.12</x:v>
      </x:c>
      <x:c r="AU17" s="35" t="n">
        <x:f>'Ставки'!AU$5+'Вводные'!$B$81</x:f>
        <x:v>0.12</x:v>
      </x:c>
      <x:c r="AV17" s="35" t="n">
        <x:f>'Ставки'!AV$5+'Вводные'!$B$81</x:f>
        <x:v>0.12</x:v>
      </x:c>
      <x:c r="AW17" s="35" t="n">
        <x:f>'Ставки'!AW$5+'Вводные'!$B$81</x:f>
        <x:v>0.12</x:v>
      </x:c>
      <x:c r="AX17" s="35" t="n">
        <x:f>'Ставки'!AX$5+'Вводные'!$B$81</x:f>
        <x:v>0.12</x:v>
      </x:c>
      <x:c r="AY17" s="35" t="n">
        <x:f>'Ставки'!AY$5+'Вводные'!$B$81</x:f>
        <x:v>0.12</x:v>
      </x:c>
      <x:c r="AZ17" s="35" t="n">
        <x:f>'Ставки'!AZ$5+'Вводные'!$B$81</x:f>
        <x:v>0.12</x:v>
      </x:c>
      <x:c r="BA17" s="35" t="n">
        <x:f>'Ставки'!BA$5+'Вводные'!$B$81</x:f>
        <x:v>0.12</x:v>
      </x:c>
      <x:c r="BB17" s="35" t="n">
        <x:f>'Ставки'!BB$5+'Вводные'!$B$81</x:f>
        <x:v>0.12</x:v>
      </x:c>
      <x:c r="BC17" s="35" t="n">
        <x:f>'Ставки'!BC$5+'Вводные'!$B$81</x:f>
        <x:v>0.12</x:v>
      </x:c>
      <x:c r="BD17" s="35" t="n">
        <x:f>'Ставки'!BD$5+'Вводные'!$B$81</x:f>
        <x:v>0.12</x:v>
      </x:c>
      <x:c r="BE17" s="35" t="n">
        <x:f>'Ставки'!BE$5+'Вводные'!$B$81</x:f>
        <x:v>0.12</x:v>
      </x:c>
      <x:c r="BF17" s="35" t="n">
        <x:f>'Ставки'!BF$5+'Вводные'!$B$81</x:f>
        <x:v>0.12</x:v>
      </x:c>
      <x:c r="BG17" s="35" t="n">
        <x:f>'Ставки'!BG$5+'Вводные'!$B$81</x:f>
        <x:v>0.12</x:v>
      </x:c>
      <x:c r="BH17" s="35" t="n">
        <x:f>'Ставки'!BH$5+'Вводные'!$B$81</x:f>
        <x:v>0.12</x:v>
      </x:c>
      <x:c r="BI17" s="35" t="n">
        <x:f>'Ставки'!BI$5+'Вводные'!$B$81</x:f>
        <x:v>0.12</x:v>
      </x:c>
      <x:c r="BJ17" s="35" t="n">
        <x:f>'Ставки'!BJ$5+'Вводные'!$B$81</x:f>
        <x:v>0.12</x:v>
      </x:c>
      <x:c r="BK17" s="35" t="n">
        <x:f>'Ставки'!BK$5+'Вводные'!$B$81</x:f>
        <x:v>0.12</x:v>
      </x:c>
      <x:c r="BL17" s="35" t="n">
        <x:f>'Ставки'!BL$5+'Вводные'!$B$81</x:f>
        <x:v>0.12</x:v>
      </x:c>
      <x:c r="BM17" s="35" t="n">
        <x:f>'Ставки'!BM$5+'Вводные'!$B$81</x:f>
        <x:v>0.12</x:v>
      </x:c>
      <x:c r="BN17" s="35" t="n">
        <x:f>'Ставки'!BN$5+'Вводные'!$B$81</x:f>
        <x:v>0.12</x:v>
      </x:c>
      <x:c r="BO17" s="35" t="n">
        <x:f>'Ставки'!BO$5+'Вводные'!$B$81</x:f>
        <x:v>0.12</x:v>
      </x:c>
      <x:c r="BP17" s="35" t="n">
        <x:f>'Ставки'!BP$5+'Вводные'!$B$81</x:f>
        <x:v>0.12</x:v>
      </x:c>
      <x:c r="BQ17" s="35" t="n">
        <x:f>'Ставки'!BQ$5+'Вводные'!$B$81</x:f>
        <x:v>0.12</x:v>
      </x:c>
      <x:c r="BR17" s="35" t="n">
        <x:f>'Ставки'!BR$5+'Вводные'!$B$81</x:f>
        <x:v>0.12</x:v>
      </x:c>
      <x:c r="BS17" s="35" t="n">
        <x:f>'Ставки'!BS$5+'Вводные'!$B$81</x:f>
        <x:v>0.12</x:v>
      </x:c>
      <x:c r="BT17" s="35" t="n">
        <x:f>'Ставки'!BT$5+'Вводные'!$B$81</x:f>
        <x:v>0.12</x:v>
      </x:c>
      <x:c r="BU17" s="35" t="n">
        <x:f>'Ставки'!BU$5+'Вводные'!$B$81</x:f>
        <x:v>0.12</x:v>
      </x:c>
      <x:c r="BV17" s="35" t="n">
        <x:f>'Ставки'!BV$5+'Вводные'!$B$81</x:f>
        <x:v>0.12</x:v>
      </x:c>
      <x:c r="BW17" s="35" t="n">
        <x:f>'Ставки'!BW$5+'Вводные'!$B$81</x:f>
        <x:v>0.12</x:v>
      </x:c>
      <x:c r="BX17" s="35" t="n">
        <x:f>'Ставки'!BX$5+'Вводные'!$B$81</x:f>
        <x:v>0.12</x:v>
      </x:c>
      <x:c r="BY17" s="35" t="n">
        <x:f>'Ставки'!BY$5+'Вводные'!$B$81</x:f>
        <x:v>0.12</x:v>
      </x:c>
      <x:c r="BZ17" s="35" t="n">
        <x:f>'Ставки'!BZ$5+'Вводные'!$B$81</x:f>
        <x:v>0.12</x:v>
      </x:c>
      <x:c r="CA17" s="35" t="n">
        <x:f>'Ставки'!CA$5+'Вводные'!$B$81</x:f>
        <x:v>0.12</x:v>
      </x:c>
      <x:c r="CB17" s="35" t="n">
        <x:f>'Ставки'!CB$5+'Вводные'!$B$81</x:f>
        <x:v>0.12</x:v>
      </x:c>
      <x:c r="CC17" s="35" t="n">
        <x:f>'Ставки'!CC$5+'Вводные'!$B$81</x:f>
        <x:v>0.12</x:v>
      </x:c>
      <x:c r="CD17" s="35" t="n">
        <x:f>'Ставки'!CD$5+'Вводные'!$B$81</x:f>
        <x:v>0.12</x:v>
      </x:c>
      <x:c r="CE17" s="35" t="n">
        <x:f>'Ставки'!CE$5+'Вводные'!$B$81</x:f>
        <x:v>0.12</x:v>
      </x:c>
      <x:c r="CF17" s="35" t="n">
        <x:f>'Ставки'!CF$5+'Вводные'!$B$81</x:f>
        <x:v>0.12</x:v>
      </x:c>
      <x:c r="CG17" s="35" t="n">
        <x:f>'Ставки'!CG$5+'Вводные'!$B$81</x:f>
        <x:v>0.12</x:v>
      </x:c>
      <x:c r="CH17" s="35" t="n">
        <x:f>'Ставки'!CH$5+'Вводные'!$B$81</x:f>
        <x:v>0.12</x:v>
      </x:c>
      <x:c r="CI17" s="35" t="n">
        <x:f>'Ставки'!CI$5+'Вводные'!$B$81</x:f>
        <x:v>0.12</x:v>
      </x:c>
      <x:c r="CJ17" s="35" t="n">
        <x:f>'Ставки'!CJ$5+'Вводные'!$B$81</x:f>
        <x:v>0.12</x:v>
      </x:c>
      <x:c r="CK17" s="35" t="n">
        <x:f>'Ставки'!CK$5+'Вводные'!$B$81</x:f>
        <x:v>0.12</x:v>
      </x:c>
      <x:c r="CL17" s="35" t="n">
        <x:f>'Ставки'!CL$5+'Вводные'!$B$81</x:f>
        <x:v>0.12</x:v>
      </x:c>
      <x:c r="CM17" s="35" t="n">
        <x:f>'Ставки'!CM$5+'Вводные'!$B$81</x:f>
        <x:v>0.12</x:v>
      </x:c>
      <x:c r="CN17" s="35" t="n">
        <x:f>'Ставки'!CN$5+'Вводные'!$B$81</x:f>
        <x:v>0.12</x:v>
      </x:c>
      <x:c r="CO17" s="35" t="n">
        <x:f>'Ставки'!CO$5+'Вводные'!$B$81</x:f>
        <x:v>0.12</x:v>
      </x:c>
      <x:c r="CP17" s="35" t="n">
        <x:f>'Ставки'!CP$5+'Вводные'!$B$81</x:f>
        <x:v>0.12</x:v>
      </x:c>
      <x:c r="CQ17" s="35" t="n">
        <x:f>'Ставки'!CQ$5+'Вводные'!$B$81</x:f>
        <x:v>0.12</x:v>
      </x:c>
      <x:c r="CR17" s="35" t="n">
        <x:f>'Ставки'!CR$5+'Вводные'!$B$81</x:f>
        <x:v>0.12</x:v>
      </x:c>
      <x:c r="CS17" s="35" t="n">
        <x:f>'Ставки'!CS$5+'Вводные'!$B$81</x:f>
        <x:v>0.12</x:v>
      </x:c>
      <x:c r="CT17" s="35" t="n">
        <x:f>'Ставки'!CT$5+'Вводные'!$B$81</x:f>
        <x:v>0.12</x:v>
      </x:c>
      <x:c r="CU17" s="35" t="n">
        <x:f>'Ставки'!CU$5+'Вводные'!$B$81</x:f>
        <x:v>0.12</x:v>
      </x:c>
      <x:c r="CV17" s="35" t="n">
        <x:f>'Ставки'!CV$5+'Вводные'!$B$81</x:f>
        <x:v>0.12</x:v>
      </x:c>
      <x:c r="CW17" s="35" t="n">
        <x:f>'Ставки'!CW$5+'Вводные'!$B$81</x:f>
        <x:v>0.12</x:v>
      </x:c>
      <x:c r="CX17" s="35" t="n">
        <x:f>'Ставки'!CX$5+'Вводные'!$B$81</x:f>
        <x:v>0.12</x:v>
      </x:c>
      <x:c r="CY17" s="35" t="n">
        <x:f>'Ставки'!CY$5+'Вводные'!$B$81</x:f>
        <x:v>0.12</x:v>
      </x:c>
      <x:c r="CZ17" s="35" t="n">
        <x:f>'Ставки'!CZ$5+'Вводные'!$B$81</x:f>
        <x:v>0.12</x:v>
      </x:c>
      <x:c r="DA17" s="35" t="n">
        <x:f>'Ставки'!DA$5+'Вводные'!$B$81</x:f>
        <x:v>0.12</x:v>
      </x:c>
      <x:c r="DB17" s="35" t="n">
        <x:f>'Ставки'!DB$5+'Вводные'!$B$81</x:f>
        <x:v>0.12</x:v>
      </x:c>
      <x:c r="DC17" s="35" t="n">
        <x:f>'Ставки'!DC$5+'Вводные'!$B$81</x:f>
        <x:v>0.12</x:v>
      </x:c>
      <x:c r="DD17" s="35" t="n">
        <x:f>'Ставки'!DD$5+'Вводные'!$B$81</x:f>
        <x:v>0.12</x:v>
      </x:c>
      <x:c r="DE17" s="35" t="n">
        <x:f>'Ставки'!DE$5+'Вводные'!$B$81</x:f>
        <x:v>0.12</x:v>
      </x:c>
      <x:c r="DF17" s="35" t="n">
        <x:f>'Ставки'!DF$5+'Вводные'!$B$81</x:f>
        <x:v>0.12</x:v>
      </x:c>
      <x:c r="DG17" s="35" t="n">
        <x:f>'Ставки'!DG$5+'Вводные'!$B$81</x:f>
        <x:v>0.12</x:v>
      </x:c>
      <x:c r="DH17" s="35" t="n">
        <x:f>'Ставки'!DH$5+'Вводные'!$B$81</x:f>
        <x:v>0.12</x:v>
      </x:c>
      <x:c r="DI17" s="35" t="n">
        <x:f>'Ставки'!DI$5+'Вводные'!$B$81</x:f>
        <x:v>0.12</x:v>
      </x:c>
      <x:c r="DJ17" s="35" t="n">
        <x:f>'Ставки'!DJ$5+'Вводные'!$B$81</x:f>
        <x:v>0.12</x:v>
      </x:c>
      <x:c r="DK17" s="35" t="n">
        <x:f>'Ставки'!DK$5+'Вводные'!$B$81</x:f>
        <x:v>0.12</x:v>
      </x:c>
      <x:c r="DL17" s="35" t="n">
        <x:f>'Ставки'!DL$5+'Вводные'!$B$81</x:f>
        <x:v>0.12</x:v>
      </x:c>
      <x:c r="DM17" s="35" t="n">
        <x:f>'Ставки'!DM$5+'Вводные'!$B$81</x:f>
        <x:v>0.12</x:v>
      </x:c>
      <x:c r="DN17" s="35" t="n">
        <x:f>'Ставки'!DN$5+'Вводные'!$B$81</x:f>
        <x:v>0.12</x:v>
      </x:c>
      <x:c r="DO17" s="35" t="n">
        <x:f>'Ставки'!DO$5+'Вводные'!$B$81</x:f>
        <x:v>0.12</x:v>
      </x:c>
      <x:c r="DP17" s="35" t="n">
        <x:f>'Ставки'!DP$5+'Вводные'!$B$81</x:f>
        <x:v>0.12</x:v>
      </x:c>
      <x:c r="DQ17" s="35" t="n">
        <x:f>'Ставки'!DQ$5+'Вводные'!$B$81</x:f>
        <x:v>0.12</x:v>
      </x:c>
      <x:c r="DR17" s="35" t="n">
        <x:f>'Ставки'!DR$5+'Вводные'!$B$81</x:f>
        <x:v>0.12</x:v>
      </x:c>
      <x:c r="DS17" s="35" t="n">
        <x:f>'Ставки'!DS$5+'Вводные'!$B$81</x:f>
        <x:v>0.12</x:v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  <x:v>47635</x:v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  <x:v>47665</x:v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  <x:v>0</x:v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  <x:v>0</x:v>
      </x:c>
      <x:c r="C23" t="str">
        <x:v>млн ₽</x:v>
      </x:c>
      <x:c r="D23" s="117" t="n">
        <x:f>0</x:f>
        <x:v>0</x:v>
      </x:c>
      <x:c r="E23" s="117" t="n">
        <x:f>D29</x:f>
        <x:v>0</x:v>
      </x:c>
      <x:c r="F23" s="117" t="n">
        <x:f>E29</x:f>
        <x:v>0</x:v>
      </x:c>
      <x:c r="G23" s="117" t="n">
        <x:f>F29</x:f>
        <x:v>0</x:v>
      </x:c>
      <x:c r="H23" s="117" t="n">
        <x:f>G29</x:f>
        <x:v>0</x:v>
      </x:c>
      <x:c r="I23" s="117" t="n">
        <x:f>H29</x:f>
        <x:v>0</x:v>
      </x:c>
      <x:c r="J23" s="117" t="n">
        <x:f>I29</x:f>
        <x:v>0</x:v>
      </x:c>
      <x:c r="K23" s="117" t="n">
        <x:f>J29</x:f>
        <x:v>0</x:v>
      </x:c>
      <x:c r="L23" s="117" t="n">
        <x:f>K29</x:f>
        <x:v>0</x:v>
      </x:c>
      <x:c r="M23" s="117" t="n">
        <x:f>L29</x:f>
        <x:v>0</x:v>
      </x:c>
      <x:c r="N23" s="117" t="n">
        <x:f>M29</x:f>
        <x:v>0</x:v>
      </x:c>
      <x:c r="O23" s="117" t="n">
        <x:f>N29</x:f>
        <x:v>0</x:v>
      </x:c>
      <x:c r="P23" s="117" t="n">
        <x:f>O29</x:f>
        <x:v>0</x:v>
      </x:c>
      <x:c r="Q23" s="117" t="n">
        <x:f>P29</x:f>
        <x:v>0</x:v>
      </x:c>
      <x:c r="R23" s="117" t="n">
        <x:f>Q29</x:f>
        <x:v>0</x:v>
      </x:c>
      <x:c r="S23" s="117" t="n">
        <x:f>R29</x:f>
        <x:v>0</x:v>
      </x:c>
      <x:c r="T23" s="117" t="n">
        <x:f>S29</x:f>
        <x:v>0</x:v>
      </x:c>
      <x:c r="U23" s="117" t="n">
        <x:f>T29</x:f>
        <x:v>0</x:v>
      </x:c>
      <x:c r="V23" s="117" t="n">
        <x:f>U29</x:f>
        <x:v>0</x:v>
      </x:c>
      <x:c r="W23" s="117" t="n">
        <x:f>V29</x:f>
        <x:v>0</x:v>
      </x:c>
      <x:c r="X23" s="117" t="n">
        <x:f>W29</x:f>
        <x:v>0</x:v>
      </x:c>
      <x:c r="Y23" s="117" t="n">
        <x:f>X29</x:f>
        <x:v>0</x:v>
      </x:c>
      <x:c r="Z23" s="117" t="n">
        <x:f>Y29</x:f>
        <x:v>0</x:v>
      </x:c>
      <x:c r="AA23" s="117" t="n">
        <x:f>Z29</x:f>
        <x:v>0</x:v>
      </x:c>
      <x:c r="AB23" s="117" t="n">
        <x:f>AA29</x:f>
        <x:v>0</x:v>
      </x:c>
      <x:c r="AC23" s="117" t="n">
        <x:f>AB29</x:f>
        <x:v>0</x:v>
      </x:c>
      <x:c r="AD23" s="117" t="n">
        <x:f>AC29</x:f>
        <x:v>0</x:v>
      </x:c>
      <x:c r="AE23" s="117" t="n">
        <x:f>AD29</x:f>
        <x:v>0</x:v>
      </x:c>
      <x:c r="AF23" s="117" t="n">
        <x:f>AE29</x:f>
        <x:v>0</x:v>
      </x:c>
      <x:c r="AG23" s="117" t="n">
        <x:f>AF29</x:f>
        <x:v>0</x:v>
      </x:c>
      <x:c r="AH23" s="117" t="n">
        <x:f>AG29</x:f>
        <x:v>0</x:v>
      </x:c>
      <x:c r="AI23" s="117" t="n">
        <x:f>AH29</x:f>
        <x:v>0</x:v>
      </x:c>
      <x:c r="AJ23" s="117" t="n">
        <x:f>AI29</x:f>
        <x:v>0</x:v>
      </x:c>
      <x:c r="AK23" s="117" t="n">
        <x:f>AJ29</x:f>
        <x:v>0</x:v>
      </x:c>
      <x:c r="AL23" s="117" t="n">
        <x:f>AK29</x:f>
        <x:v>0</x:v>
      </x:c>
      <x:c r="AM23" s="117" t="n">
        <x:f>AL29</x:f>
        <x:v>0</x:v>
      </x:c>
      <x:c r="AN23" s="117" t="n">
        <x:f>AM29</x:f>
        <x:v>0</x:v>
      </x:c>
      <x:c r="AO23" s="117" t="n">
        <x:f>AN29</x:f>
        <x:v>0</x:v>
      </x:c>
      <x:c r="AP23" s="117" t="n">
        <x:f>AO29</x:f>
        <x:v>0</x:v>
      </x:c>
      <x:c r="AQ23" s="117" t="n">
        <x:f>AP29</x:f>
        <x:v>0</x:v>
      </x:c>
      <x:c r="AR23" s="117" t="n">
        <x:f>AQ29</x:f>
        <x:v>0</x:v>
      </x:c>
      <x:c r="AS23" s="117" t="n">
        <x:f>AR29</x:f>
        <x:v>0</x:v>
      </x:c>
      <x:c r="AT23" s="117" t="n">
        <x:f>AS29</x:f>
        <x:v>0</x:v>
      </x:c>
      <x:c r="AU23" s="117" t="n">
        <x:f>AT29</x:f>
        <x:v>0</x:v>
      </x:c>
      <x:c r="AV23" s="117" t="n">
        <x:f>AU29</x:f>
        <x:v>0</x:v>
      </x:c>
      <x:c r="AW23" s="117" t="n">
        <x:f>AV29</x:f>
        <x:v>0</x:v>
      </x:c>
      <x:c r="AX23" s="117" t="n">
        <x:f>AW29</x:f>
        <x:v>0</x:v>
      </x:c>
      <x:c r="AY23" s="117" t="n">
        <x:f>AX29</x:f>
        <x:v>0</x:v>
      </x:c>
      <x:c r="AZ23" s="117" t="n">
        <x:f>AY29</x:f>
        <x:v>0</x:v>
      </x:c>
      <x:c r="BA23" s="117" t="n">
        <x:f>AZ29</x:f>
        <x:v>0</x:v>
      </x:c>
      <x:c r="BB23" s="117" t="n">
        <x:f>BA29</x:f>
        <x:v>0</x:v>
      </x:c>
      <x:c r="BC23" s="117" t="n">
        <x:f>BB29</x:f>
        <x:v>0</x:v>
      </x:c>
      <x:c r="BD23" s="117" t="n">
        <x:f>BC29</x:f>
        <x:v>0</x:v>
      </x:c>
      <x:c r="BE23" s="117" t="n">
        <x:f>BD29</x:f>
        <x:v>0</x:v>
      </x:c>
      <x:c r="BF23" s="117" t="n">
        <x:f>BE29</x:f>
        <x:v>0</x:v>
      </x:c>
      <x:c r="BG23" s="117" t="n">
        <x:f>BF29</x:f>
        <x:v>0</x:v>
      </x:c>
      <x:c r="BH23" s="117" t="n">
        <x:f>BG29</x:f>
        <x:v>0</x:v>
      </x:c>
      <x:c r="BI23" s="117" t="n">
        <x:f>BH29</x:f>
        <x:v>0</x:v>
      </x:c>
      <x:c r="BJ23" s="117" t="n">
        <x:f>BI29</x:f>
        <x:v>0</x:v>
      </x:c>
      <x:c r="BK23" s="117" t="n">
        <x:f>BJ29</x:f>
        <x:v>0</x:v>
      </x:c>
      <x:c r="BL23" s="117" t="n">
        <x:f>BK29</x:f>
        <x:v>0</x:v>
      </x:c>
      <x:c r="BM23" s="117" t="n">
        <x:f>BL29</x:f>
        <x:v>0</x:v>
      </x:c>
      <x:c r="BN23" s="117" t="n">
        <x:f>BM29</x:f>
        <x:v>0</x:v>
      </x:c>
      <x:c r="BO23" s="117" t="n">
        <x:f>BN29</x:f>
        <x:v>0</x:v>
      </x:c>
      <x:c r="BP23" s="117" t="n">
        <x:f>BO29</x:f>
        <x:v>0</x:v>
      </x:c>
      <x:c r="BQ23" s="117" t="n">
        <x:f>BP29</x:f>
        <x:v>0</x:v>
      </x:c>
      <x:c r="BR23" s="117" t="n">
        <x:f>BQ29</x:f>
        <x:v>0</x:v>
      </x:c>
      <x:c r="BS23" s="117" t="n">
        <x:f>BR29</x:f>
        <x:v>0</x:v>
      </x:c>
      <x:c r="BT23" s="117" t="n">
        <x:f>BS29</x:f>
        <x:v>0</x:v>
      </x:c>
      <x:c r="BU23" s="117" t="n">
        <x:f>BT29</x:f>
        <x:v>0</x:v>
      </x:c>
      <x:c r="BV23" s="117" t="n">
        <x:f>BU29</x:f>
        <x:v>0</x:v>
      </x:c>
      <x:c r="BW23" s="117" t="n">
        <x:f>BV29</x:f>
        <x:v>0</x:v>
      </x:c>
      <x:c r="BX23" s="117" t="n">
        <x:f>BW29</x:f>
        <x:v>0</x:v>
      </x:c>
      <x:c r="BY23" s="117" t="n">
        <x:f>BX29</x:f>
        <x:v>0</x:v>
      </x:c>
      <x:c r="BZ23" s="117" t="n">
        <x:f>BY29</x:f>
        <x:v>0</x:v>
      </x:c>
      <x:c r="CA23" s="117" t="n">
        <x:f>BZ29</x:f>
        <x:v>0</x:v>
      </x:c>
      <x:c r="CB23" s="117" t="n">
        <x:f>CA29</x:f>
        <x:v>0</x:v>
      </x:c>
      <x:c r="CC23" s="117" t="n">
        <x:f>CB29</x:f>
        <x:v>0</x:v>
      </x:c>
      <x:c r="CD23" s="117" t="n">
        <x:f>CC29</x:f>
        <x:v>0</x:v>
      </x:c>
      <x:c r="CE23" s="117" t="n">
        <x:f>CD29</x:f>
        <x:v>0</x:v>
      </x:c>
      <x:c r="CF23" s="117" t="n">
        <x:f>CE29</x:f>
        <x:v>0</x:v>
      </x:c>
      <x:c r="CG23" s="117" t="n">
        <x:f>CF29</x:f>
        <x:v>0</x:v>
      </x:c>
      <x:c r="CH23" s="117" t="n">
        <x:f>CG29</x:f>
        <x:v>0</x:v>
      </x:c>
      <x:c r="CI23" s="117" t="n">
        <x:f>CH29</x:f>
        <x:v>0</x:v>
      </x:c>
      <x:c r="CJ23" s="117" t="n">
        <x:f>CI29</x:f>
        <x:v>0</x:v>
      </x:c>
      <x:c r="CK23" s="117" t="n">
        <x:f>CJ29</x:f>
        <x:v>0</x:v>
      </x:c>
      <x:c r="CL23" s="117" t="n">
        <x:f>CK29</x:f>
        <x:v>0</x:v>
      </x:c>
      <x:c r="CM23" s="117" t="n">
        <x:f>CL29</x:f>
        <x:v>0</x:v>
      </x:c>
      <x:c r="CN23" s="117" t="n">
        <x:f>CM29</x:f>
        <x:v>0</x:v>
      </x:c>
      <x:c r="CO23" s="117" t="n">
        <x:f>CN29</x:f>
        <x:v>0</x:v>
      </x:c>
      <x:c r="CP23" s="117" t="n">
        <x:f>CO29</x:f>
        <x:v>0</x:v>
      </x:c>
      <x:c r="CQ23" s="117" t="n">
        <x:f>CP29</x:f>
        <x:v>0</x:v>
      </x:c>
      <x:c r="CR23" s="117" t="n">
        <x:f>CQ29</x:f>
        <x:v>0</x:v>
      </x:c>
      <x:c r="CS23" s="117" t="n">
        <x:f>CR29</x:f>
        <x:v>0</x:v>
      </x:c>
      <x:c r="CT23" s="117" t="n">
        <x:f>CS29</x:f>
        <x:v>0</x:v>
      </x:c>
      <x:c r="CU23" s="117" t="n">
        <x:f>CT29</x:f>
        <x:v>0</x:v>
      </x:c>
      <x:c r="CV23" s="117" t="n">
        <x:f>CU29</x:f>
        <x:v>0</x:v>
      </x:c>
      <x:c r="CW23" s="117" t="n">
        <x:f>CV29</x:f>
        <x:v>0</x:v>
      </x:c>
      <x:c r="CX23" s="117" t="n">
        <x:f>CW29</x:f>
        <x:v>0</x:v>
      </x:c>
      <x:c r="CY23" s="117" t="n">
        <x:f>CX29</x:f>
        <x:v>0</x:v>
      </x:c>
      <x:c r="CZ23" s="117" t="n">
        <x:f>CY29</x:f>
        <x:v>0</x:v>
      </x:c>
      <x:c r="DA23" s="117" t="n">
        <x:f>CZ29</x:f>
        <x:v>0</x:v>
      </x:c>
      <x:c r="DB23" s="117" t="n">
        <x:f>DA29</x:f>
        <x:v>0</x:v>
      </x:c>
      <x:c r="DC23" s="117" t="n">
        <x:f>DB29</x:f>
        <x:v>0</x:v>
      </x:c>
      <x:c r="DD23" s="117" t="n">
        <x:f>DC29</x:f>
        <x:v>0</x:v>
      </x:c>
      <x:c r="DE23" s="117" t="n">
        <x:f>DD29</x:f>
        <x:v>0</x:v>
      </x:c>
      <x:c r="DF23" s="117" t="n">
        <x:f>DE29</x:f>
        <x:v>0</x:v>
      </x:c>
      <x:c r="DG23" s="117" t="n">
        <x:f>DF29</x:f>
        <x:v>0</x:v>
      </x:c>
      <x:c r="DH23" s="117" t="n">
        <x:f>DG29</x:f>
        <x:v>0</x:v>
      </x:c>
      <x:c r="DI23" s="117" t="n">
        <x:f>DH29</x:f>
        <x:v>0</x:v>
      </x:c>
      <x:c r="DJ23" s="117" t="n">
        <x:f>DI29</x:f>
        <x:v>0</x:v>
      </x:c>
      <x:c r="DK23" s="117" t="n">
        <x:f>DJ29</x:f>
        <x:v>0</x:v>
      </x:c>
      <x:c r="DL23" s="117" t="n">
        <x:f>DK29</x:f>
        <x:v>0</x:v>
      </x:c>
      <x:c r="DM23" s="117" t="n">
        <x:f>DL29</x:f>
        <x:v>0</x:v>
      </x:c>
      <x:c r="DN23" s="117" t="n">
        <x:f>DM29</x:f>
        <x:v>0</x:v>
      </x:c>
      <x:c r="DO23" s="117" t="n">
        <x:f>DN29</x:f>
        <x:v>0</x:v>
      </x:c>
      <x:c r="DP23" s="117" t="n">
        <x:f>DO29</x:f>
        <x:v>0</x:v>
      </x:c>
      <x:c r="DQ23" s="117" t="n">
        <x:f>DP29</x:f>
        <x:v>0</x:v>
      </x:c>
      <x:c r="DR23" s="117" t="n">
        <x:f>DQ29</x:f>
        <x:v>0</x:v>
      </x:c>
      <x:c r="DS23" s="117" t="n">
        <x:f>DR29</x:f>
        <x:v>0</x:v>
      </x:c>
    </x:row>
    <x:row r="24">
      <x:c r="A24" t="str">
        <x:v>Возникновение обязательства</x:v>
      </x:c>
      <x:c r="B24" s="107" t="n">
        <x:f>SUM(D24:DS24)</x:f>
        <x:v>0</x:v>
      </x:c>
      <x:c r="C24" t="str">
        <x:v>млн ₽</x:v>
      </x:c>
      <x:c r="D24" s="117" t="n">
        <x:f>IF(AND(YEAR(D$3)=YEAR($B$20),MONTH(D$3)=MONTH($B$20)),$B$22,0)</x:f>
        <x:v>0</x:v>
      </x:c>
      <x:c r="E24" s="117" t="n">
        <x:f>IF(AND(YEAR(E$3)=YEAR($B$20),MONTH(E$3)=MONTH($B$20)),$B$22,0)</x:f>
        <x:v>0</x:v>
      </x:c>
      <x:c r="F24" s="117" t="n">
        <x:f>IF(AND(YEAR(F$3)=YEAR($B$20),MONTH(F$3)=MONTH($B$20)),$B$22,0)</x:f>
        <x:v>0</x:v>
      </x:c>
      <x:c r="G24" s="117" t="n">
        <x:f>IF(AND(YEAR(G$3)=YEAR($B$20),MONTH(G$3)=MONTH($B$20)),$B$22,0)</x:f>
        <x:v>0</x:v>
      </x:c>
      <x:c r="H24" s="117" t="n">
        <x:f>IF(AND(YEAR(H$3)=YEAR($B$20),MONTH(H$3)=MONTH($B$20)),$B$22,0)</x:f>
        <x:v>0</x:v>
      </x:c>
      <x:c r="I24" s="117" t="n">
        <x:f>IF(AND(YEAR(I$3)=YEAR($B$20),MONTH(I$3)=MONTH($B$20)),$B$22,0)</x:f>
        <x:v>0</x:v>
      </x:c>
      <x:c r="J24" s="117" t="n">
        <x:f>IF(AND(YEAR(J$3)=YEAR($B$20),MONTH(J$3)=MONTH($B$20)),$B$22,0)</x:f>
        <x:v>0</x:v>
      </x:c>
      <x:c r="K24" s="117" t="n">
        <x:f>IF(AND(YEAR(K$3)=YEAR($B$20),MONTH(K$3)=MONTH($B$20)),$B$22,0)</x:f>
        <x:v>0</x:v>
      </x:c>
      <x:c r="L24" s="117" t="n">
        <x:f>IF(AND(YEAR(L$3)=YEAR($B$20),MONTH(L$3)=MONTH($B$20)),$B$22,0)</x:f>
        <x:v>0</x:v>
      </x:c>
      <x:c r="M24" s="117" t="n">
        <x:f>IF(AND(YEAR(M$3)=YEAR($B$20),MONTH(M$3)=MONTH($B$20)),$B$22,0)</x:f>
        <x:v>0</x:v>
      </x:c>
      <x:c r="N24" s="117" t="n">
        <x:f>IF(AND(YEAR(N$3)=YEAR($B$20),MONTH(N$3)=MONTH($B$20)),$B$22,0)</x:f>
        <x:v>0</x:v>
      </x:c>
      <x:c r="O24" s="117" t="n">
        <x:f>IF(AND(YEAR(O$3)=YEAR($B$20),MONTH(O$3)=MONTH($B$20)),$B$22,0)</x:f>
        <x:v>0</x:v>
      </x:c>
      <x:c r="P24" s="117" t="n">
        <x:f>IF(AND(YEAR(P$3)=YEAR($B$20),MONTH(P$3)=MONTH($B$20)),$B$22,0)</x:f>
        <x:v>0</x:v>
      </x:c>
      <x:c r="Q24" s="117" t="n">
        <x:f>IF(AND(YEAR(Q$3)=YEAR($B$20),MONTH(Q$3)=MONTH($B$20)),$B$22,0)</x:f>
        <x:v>0</x:v>
      </x:c>
      <x:c r="R24" s="117" t="n">
        <x:f>IF(AND(YEAR(R$3)=YEAR($B$20),MONTH(R$3)=MONTH($B$20)),$B$22,0)</x:f>
        <x:v>0</x:v>
      </x:c>
      <x:c r="S24" s="117" t="n">
        <x:f>IF(AND(YEAR(S$3)=YEAR($B$20),MONTH(S$3)=MONTH($B$20)),$B$22,0)</x:f>
        <x:v>0</x:v>
      </x:c>
      <x:c r="T24" s="117" t="n">
        <x:f>IF(AND(YEAR(T$3)=YEAR($B$20),MONTH(T$3)=MONTH($B$20)),$B$22,0)</x:f>
        <x:v>0</x:v>
      </x:c>
      <x:c r="U24" s="117" t="n">
        <x:f>IF(AND(YEAR(U$3)=YEAR($B$20),MONTH(U$3)=MONTH($B$20)),$B$22,0)</x:f>
        <x:v>0</x:v>
      </x:c>
      <x:c r="V24" s="117" t="n">
        <x:f>IF(AND(YEAR(V$3)=YEAR($B$20),MONTH(V$3)=MONTH($B$20)),$B$22,0)</x:f>
        <x:v>0</x:v>
      </x:c>
      <x:c r="W24" s="117" t="n">
        <x:f>IF(AND(YEAR(W$3)=YEAR($B$20),MONTH(W$3)=MONTH($B$20)),$B$22,0)</x:f>
        <x:v>0</x:v>
      </x:c>
      <x:c r="X24" s="117" t="n">
        <x:f>IF(AND(YEAR(X$3)=YEAR($B$20),MONTH(X$3)=MONTH($B$20)),$B$22,0)</x:f>
        <x:v>0</x:v>
      </x:c>
      <x:c r="Y24" s="117" t="n">
        <x:f>IF(AND(YEAR(Y$3)=YEAR($B$20),MONTH(Y$3)=MONTH($B$20)),$B$22,0)</x:f>
        <x:v>0</x:v>
      </x:c>
      <x:c r="Z24" s="117" t="n">
        <x:f>IF(AND(YEAR(Z$3)=YEAR($B$20),MONTH(Z$3)=MONTH($B$20)),$B$22,0)</x:f>
        <x:v>0</x:v>
      </x:c>
      <x:c r="AA24" s="117" t="n">
        <x:f>IF(AND(YEAR(AA$3)=YEAR($B$20),MONTH(AA$3)=MONTH($B$20)),$B$22,0)</x:f>
        <x:v>0</x:v>
      </x:c>
      <x:c r="AB24" s="117" t="n">
        <x:f>IF(AND(YEAR(AB$3)=YEAR($B$20),MONTH(AB$3)=MONTH($B$20)),$B$22,0)</x:f>
        <x:v>0</x:v>
      </x:c>
      <x:c r="AC24" s="117" t="n">
        <x:f>IF(AND(YEAR(AC$3)=YEAR($B$20),MONTH(AC$3)=MONTH($B$20)),$B$22,0)</x:f>
        <x:v>0</x:v>
      </x:c>
      <x:c r="AD24" s="117" t="n">
        <x:f>IF(AND(YEAR(AD$3)=YEAR($B$20),MONTH(AD$3)=MONTH($B$20)),$B$22,0)</x:f>
        <x:v>0</x:v>
      </x:c>
      <x:c r="AE24" s="117" t="n">
        <x:f>IF(AND(YEAR(AE$3)=YEAR($B$20),MONTH(AE$3)=MONTH($B$20)),$B$22,0)</x:f>
        <x:v>0</x:v>
      </x:c>
      <x:c r="AF24" s="117" t="n">
        <x:f>IF(AND(YEAR(AF$3)=YEAR($B$20),MONTH(AF$3)=MONTH($B$20)),$B$22,0)</x:f>
        <x:v>0</x:v>
      </x:c>
      <x:c r="AG24" s="117" t="n">
        <x:f>IF(AND(YEAR(AG$3)=YEAR($B$20),MONTH(AG$3)=MONTH($B$20)),$B$22,0)</x:f>
        <x:v>0</x:v>
      </x:c>
      <x:c r="AH24" s="117" t="n">
        <x:f>IF(AND(YEAR(AH$3)=YEAR($B$20),MONTH(AH$3)=MONTH($B$20)),$B$22,0)</x:f>
        <x:v>0</x:v>
      </x:c>
      <x:c r="AI24" s="117" t="n">
        <x:f>IF(AND(YEAR(AI$3)=YEAR($B$20),MONTH(AI$3)=MONTH($B$20)),$B$22,0)</x:f>
        <x:v>0</x:v>
      </x:c>
      <x:c r="AJ24" s="117" t="n">
        <x:f>IF(AND(YEAR(AJ$3)=YEAR($B$20),MONTH(AJ$3)=MONTH($B$20)),$B$22,0)</x:f>
        <x:v>0</x:v>
      </x:c>
      <x:c r="AK24" s="117" t="n">
        <x:f>IF(AND(YEAR(AK$3)=YEAR($B$20),MONTH(AK$3)=MONTH($B$20)),$B$22,0)</x:f>
        <x:v>0</x:v>
      </x:c>
      <x:c r="AL24" s="117" t="n">
        <x:f>IF(AND(YEAR(AL$3)=YEAR($B$20),MONTH(AL$3)=MONTH($B$20)),$B$22,0)</x:f>
        <x:v>0</x:v>
      </x:c>
      <x:c r="AM24" s="117" t="n">
        <x:f>IF(AND(YEAR(AM$3)=YEAR($B$20),MONTH(AM$3)=MONTH($B$20)),$B$22,0)</x:f>
        <x:v>0</x:v>
      </x:c>
      <x:c r="AN24" s="117" t="n">
        <x:f>IF(AND(YEAR(AN$3)=YEAR($B$20),MONTH(AN$3)=MONTH($B$20)),$B$22,0)</x:f>
        <x:v>0</x:v>
      </x:c>
      <x:c r="AO24" s="117" t="n">
        <x:f>IF(AND(YEAR(AO$3)=YEAR($B$20),MONTH(AO$3)=MONTH($B$20)),$B$22,0)</x:f>
        <x:v>0</x:v>
      </x:c>
      <x:c r="AP24" s="117" t="n">
        <x:f>IF(AND(YEAR(AP$3)=YEAR($B$20),MONTH(AP$3)=MONTH($B$20)),$B$22,0)</x:f>
        <x:v>0</x:v>
      </x:c>
      <x:c r="AQ24" s="117" t="n">
        <x:f>IF(AND(YEAR(AQ$3)=YEAR($B$20),MONTH(AQ$3)=MONTH($B$20)),$B$22,0)</x:f>
        <x:v>0</x:v>
      </x:c>
      <x:c r="AR24" s="117" t="n">
        <x:f>IF(AND(YEAR(AR$3)=YEAR($B$20),MONTH(AR$3)=MONTH($B$20)),$B$22,0)</x:f>
        <x:v>0</x:v>
      </x:c>
      <x:c r="AS24" s="117" t="n">
        <x:f>IF(AND(YEAR(AS$3)=YEAR($B$20),MONTH(AS$3)=MONTH($B$20)),$B$22,0)</x:f>
        <x:v>0</x:v>
      </x:c>
      <x:c r="AT24" s="117" t="n">
        <x:f>IF(AND(YEAR(AT$3)=YEAR($B$20),MONTH(AT$3)=MONTH($B$20)),$B$22,0)</x:f>
        <x:v>0</x:v>
      </x:c>
      <x:c r="AU24" s="117" t="n">
        <x:f>IF(AND(YEAR(AU$3)=YEAR($B$20),MONTH(AU$3)=MONTH($B$20)),$B$22,0)</x:f>
        <x:v>0</x:v>
      </x:c>
      <x:c r="AV24" s="117" t="n">
        <x:f>IF(AND(YEAR(AV$3)=YEAR($B$20),MONTH(AV$3)=MONTH($B$20)),$B$22,0)</x:f>
        <x:v>0</x:v>
      </x:c>
      <x:c r="AW24" s="117" t="n">
        <x:f>IF(AND(YEAR(AW$3)=YEAR($B$20),MONTH(AW$3)=MONTH($B$20)),$B$22,0)</x:f>
        <x:v>0</x:v>
      </x:c>
      <x:c r="AX24" s="117" t="n">
        <x:f>IF(AND(YEAR(AX$3)=YEAR($B$20),MONTH(AX$3)=MONTH($B$20)),$B$22,0)</x:f>
        <x:v>0</x:v>
      </x:c>
      <x:c r="AY24" s="117" t="n">
        <x:f>IF(AND(YEAR(AY$3)=YEAR($B$20),MONTH(AY$3)=MONTH($B$20)),$B$22,0)</x:f>
        <x:v>0</x:v>
      </x:c>
      <x:c r="AZ24" s="117" t="n">
        <x:f>IF(AND(YEAR(AZ$3)=YEAR($B$20),MONTH(AZ$3)=MONTH($B$20)),$B$22,0)</x:f>
        <x:v>0</x:v>
      </x:c>
      <x:c r="BA24" s="117" t="n">
        <x:f>IF(AND(YEAR(BA$3)=YEAR($B$20),MONTH(BA$3)=MONTH($B$20)),$B$22,0)</x:f>
        <x:v>0</x:v>
      </x:c>
      <x:c r="BB24" s="117" t="n">
        <x:f>IF(AND(YEAR(BB$3)=YEAR($B$20),MONTH(BB$3)=MONTH($B$20)),$B$22,0)</x:f>
        <x:v>0</x:v>
      </x:c>
      <x:c r="BC24" s="117" t="n">
        <x:f>IF(AND(YEAR(BC$3)=YEAR($B$20),MONTH(BC$3)=MONTH($B$20)),$B$22,0)</x:f>
        <x:v>0</x:v>
      </x:c>
      <x:c r="BD24" s="117" t="n">
        <x:f>IF(AND(YEAR(BD$3)=YEAR($B$20),MONTH(BD$3)=MONTH($B$20)),$B$22,0)</x:f>
        <x:v>0</x:v>
      </x:c>
      <x:c r="BE24" s="117" t="n">
        <x:f>IF(AND(YEAR(BE$3)=YEAR($B$20),MONTH(BE$3)=MONTH($B$20)),$B$22,0)</x:f>
        <x:v>0</x:v>
      </x:c>
      <x:c r="BF24" s="117" t="n">
        <x:f>IF(AND(YEAR(BF$3)=YEAR($B$20),MONTH(BF$3)=MONTH($B$20)),$B$22,0)</x:f>
        <x:v>0</x:v>
      </x:c>
      <x:c r="BG24" s="117" t="n">
        <x:f>IF(AND(YEAR(BG$3)=YEAR($B$20),MONTH(BG$3)=MONTH($B$20)),$B$22,0)</x:f>
        <x:v>0</x:v>
      </x:c>
      <x:c r="BH24" s="117" t="n">
        <x:f>IF(AND(YEAR(BH$3)=YEAR($B$20),MONTH(BH$3)=MONTH($B$20)),$B$22,0)</x:f>
        <x:v>0</x:v>
      </x:c>
      <x:c r="BI24" s="117" t="n">
        <x:f>IF(AND(YEAR(BI$3)=YEAR($B$20),MONTH(BI$3)=MONTH($B$20)),$B$22,0)</x:f>
        <x:v>0</x:v>
      </x:c>
      <x:c r="BJ24" s="117" t="n">
        <x:f>IF(AND(YEAR(BJ$3)=YEAR($B$20),MONTH(BJ$3)=MONTH($B$20)),$B$22,0)</x:f>
        <x:v>0</x:v>
      </x:c>
      <x:c r="BK24" s="117" t="n">
        <x:f>IF(AND(YEAR(BK$3)=YEAR($B$20),MONTH(BK$3)=MONTH($B$20)),$B$22,0)</x:f>
        <x:v>0</x:v>
      </x:c>
      <x:c r="BL24" s="117" t="n">
        <x:f>IF(AND(YEAR(BL$3)=YEAR($B$20),MONTH(BL$3)=MONTH($B$20)),$B$22,0)</x:f>
        <x:v>0</x:v>
      </x:c>
      <x:c r="BM24" s="117" t="n">
        <x:f>IF(AND(YEAR(BM$3)=YEAR($B$20),MONTH(BM$3)=MONTH($B$20)),$B$22,0)</x:f>
        <x:v>0</x:v>
      </x:c>
      <x:c r="BN24" s="117" t="n">
        <x:f>IF(AND(YEAR(BN$3)=YEAR($B$20),MONTH(BN$3)=MONTH($B$20)),$B$22,0)</x:f>
        <x:v>0</x:v>
      </x:c>
      <x:c r="BO24" s="117" t="n">
        <x:f>IF(AND(YEAR(BO$3)=YEAR($B$20),MONTH(BO$3)=MONTH($B$20)),$B$22,0)</x:f>
        <x:v>0</x:v>
      </x:c>
      <x:c r="BP24" s="117" t="n">
        <x:f>IF(AND(YEAR(BP$3)=YEAR($B$20),MONTH(BP$3)=MONTH($B$20)),$B$22,0)</x:f>
        <x:v>0</x:v>
      </x:c>
      <x:c r="BQ24" s="117" t="n">
        <x:f>IF(AND(YEAR(BQ$3)=YEAR($B$20),MONTH(BQ$3)=MONTH($B$20)),$B$22,0)</x:f>
        <x:v>0</x:v>
      </x:c>
      <x:c r="BR24" s="117" t="n">
        <x:f>IF(AND(YEAR(BR$3)=YEAR($B$20),MONTH(BR$3)=MONTH($B$20)),$B$22,0)</x:f>
        <x:v>0</x:v>
      </x:c>
      <x:c r="BS24" s="117" t="n">
        <x:f>IF(AND(YEAR(BS$3)=YEAR($B$20),MONTH(BS$3)=MONTH($B$20)),$B$22,0)</x:f>
        <x:v>0</x:v>
      </x:c>
      <x:c r="BT24" s="117" t="n">
        <x:f>IF(AND(YEAR(BT$3)=YEAR($B$20),MONTH(BT$3)=MONTH($B$20)),$B$22,0)</x:f>
        <x:v>0</x:v>
      </x:c>
      <x:c r="BU24" s="117" t="n">
        <x:f>IF(AND(YEAR(BU$3)=YEAR($B$20),MONTH(BU$3)=MONTH($B$20)),$B$22,0)</x:f>
        <x:v>0</x:v>
      </x:c>
      <x:c r="BV24" s="117" t="n">
        <x:f>IF(AND(YEAR(BV$3)=YEAR($B$20),MONTH(BV$3)=MONTH($B$20)),$B$22,0)</x:f>
        <x:v>0</x:v>
      </x:c>
      <x:c r="BW24" s="117" t="n">
        <x:f>IF(AND(YEAR(BW$3)=YEAR($B$20),MONTH(BW$3)=MONTH($B$20)),$B$22,0)</x:f>
        <x:v>0</x:v>
      </x:c>
      <x:c r="BX24" s="117" t="n">
        <x:f>IF(AND(YEAR(BX$3)=YEAR($B$20),MONTH(BX$3)=MONTH($B$20)),$B$22,0)</x:f>
        <x:v>0</x:v>
      </x:c>
      <x:c r="BY24" s="117" t="n">
        <x:f>IF(AND(YEAR(BY$3)=YEAR($B$20),MONTH(BY$3)=MONTH($B$20)),$B$22,0)</x:f>
        <x:v>0</x:v>
      </x:c>
      <x:c r="BZ24" s="117" t="n">
        <x:f>IF(AND(YEAR(BZ$3)=YEAR($B$20),MONTH(BZ$3)=MONTH($B$20)),$B$22,0)</x:f>
        <x:v>0</x:v>
      </x:c>
      <x:c r="CA24" s="117" t="n">
        <x:f>IF(AND(YEAR(CA$3)=YEAR($B$20),MONTH(CA$3)=MONTH($B$20)),$B$22,0)</x:f>
        <x:v>0</x:v>
      </x:c>
      <x:c r="CB24" s="117" t="n">
        <x:f>IF(AND(YEAR(CB$3)=YEAR($B$20),MONTH(CB$3)=MONTH($B$20)),$B$22,0)</x:f>
        <x:v>0</x:v>
      </x:c>
      <x:c r="CC24" s="117" t="n">
        <x:f>IF(AND(YEAR(CC$3)=YEAR($B$20),MONTH(CC$3)=MONTH($B$20)),$B$22,0)</x:f>
        <x:v>0</x:v>
      </x:c>
      <x:c r="CD24" s="117" t="n">
        <x:f>IF(AND(YEAR(CD$3)=YEAR($B$20),MONTH(CD$3)=MONTH($B$20)),$B$22,0)</x:f>
        <x:v>0</x:v>
      </x:c>
      <x:c r="CE24" s="117" t="n">
        <x:f>IF(AND(YEAR(CE$3)=YEAR($B$20),MONTH(CE$3)=MONTH($B$20)),$B$22,0)</x:f>
        <x:v>0</x:v>
      </x:c>
      <x:c r="CF24" s="117" t="n">
        <x:f>IF(AND(YEAR(CF$3)=YEAR($B$20),MONTH(CF$3)=MONTH($B$20)),$B$22,0)</x:f>
        <x:v>0</x:v>
      </x:c>
      <x:c r="CG24" s="117" t="n">
        <x:f>IF(AND(YEAR(CG$3)=YEAR($B$20),MONTH(CG$3)=MONTH($B$20)),$B$22,0)</x:f>
        <x:v>0</x:v>
      </x:c>
      <x:c r="CH24" s="117" t="n">
        <x:f>IF(AND(YEAR(CH$3)=YEAR($B$20),MONTH(CH$3)=MONTH($B$20)),$B$22,0)</x:f>
        <x:v>0</x:v>
      </x:c>
      <x:c r="CI24" s="117" t="n">
        <x:f>IF(AND(YEAR(CI$3)=YEAR($B$20),MONTH(CI$3)=MONTH($B$20)),$B$22,0)</x:f>
        <x:v>0</x:v>
      </x:c>
      <x:c r="CJ24" s="117" t="n">
        <x:f>IF(AND(YEAR(CJ$3)=YEAR($B$20),MONTH(CJ$3)=MONTH($B$20)),$B$22,0)</x:f>
        <x:v>0</x:v>
      </x:c>
      <x:c r="CK24" s="117" t="n">
        <x:f>IF(AND(YEAR(CK$3)=YEAR($B$20),MONTH(CK$3)=MONTH($B$20)),$B$22,0)</x:f>
        <x:v>0</x:v>
      </x:c>
      <x:c r="CL24" s="117" t="n">
        <x:f>IF(AND(YEAR(CL$3)=YEAR($B$20),MONTH(CL$3)=MONTH($B$20)),$B$22,0)</x:f>
        <x:v>0</x:v>
      </x:c>
      <x:c r="CM24" s="117" t="n">
        <x:f>IF(AND(YEAR(CM$3)=YEAR($B$20),MONTH(CM$3)=MONTH($B$20)),$B$22,0)</x:f>
        <x:v>0</x:v>
      </x:c>
      <x:c r="CN24" s="117" t="n">
        <x:f>IF(AND(YEAR(CN$3)=YEAR($B$20),MONTH(CN$3)=MONTH($B$20)),$B$22,0)</x:f>
        <x:v>0</x:v>
      </x:c>
      <x:c r="CO24" s="117" t="n">
        <x:f>IF(AND(YEAR(CO$3)=YEAR($B$20),MONTH(CO$3)=MONTH($B$20)),$B$22,0)</x:f>
        <x:v>0</x:v>
      </x:c>
      <x:c r="CP24" s="117" t="n">
        <x:f>IF(AND(YEAR(CP$3)=YEAR($B$20),MONTH(CP$3)=MONTH($B$20)),$B$22,0)</x:f>
        <x:v>0</x:v>
      </x:c>
      <x:c r="CQ24" s="117" t="n">
        <x:f>IF(AND(YEAR(CQ$3)=YEAR($B$20),MONTH(CQ$3)=MONTH($B$20)),$B$22,0)</x:f>
        <x:v>0</x:v>
      </x:c>
      <x:c r="CR24" s="117" t="n">
        <x:f>IF(AND(YEAR(CR$3)=YEAR($B$20),MONTH(CR$3)=MONTH($B$20)),$B$22,0)</x:f>
        <x:v>0</x:v>
      </x:c>
      <x:c r="CS24" s="117" t="n">
        <x:f>IF(AND(YEAR(CS$3)=YEAR($B$20),MONTH(CS$3)=MONTH($B$20)),$B$22,0)</x:f>
        <x:v>0</x:v>
      </x:c>
      <x:c r="CT24" s="117" t="n">
        <x:f>IF(AND(YEAR(CT$3)=YEAR($B$20),MONTH(CT$3)=MONTH($B$20)),$B$22,0)</x:f>
        <x:v>0</x:v>
      </x:c>
      <x:c r="CU24" s="117" t="n">
        <x:f>IF(AND(YEAR(CU$3)=YEAR($B$20),MONTH(CU$3)=MONTH($B$20)),$B$22,0)</x:f>
        <x:v>0</x:v>
      </x:c>
      <x:c r="CV24" s="117" t="n">
        <x:f>IF(AND(YEAR(CV$3)=YEAR($B$20),MONTH(CV$3)=MONTH($B$20)),$B$22,0)</x:f>
        <x:v>0</x:v>
      </x:c>
      <x:c r="CW24" s="117" t="n">
        <x:f>IF(AND(YEAR(CW$3)=YEAR($B$20),MONTH(CW$3)=MONTH($B$20)),$B$22,0)</x:f>
        <x:v>0</x:v>
      </x:c>
      <x:c r="CX24" s="117" t="n">
        <x:f>IF(AND(YEAR(CX$3)=YEAR($B$20),MONTH(CX$3)=MONTH($B$20)),$B$22,0)</x:f>
        <x:v>0</x:v>
      </x:c>
      <x:c r="CY24" s="117" t="n">
        <x:f>IF(AND(YEAR(CY$3)=YEAR($B$20),MONTH(CY$3)=MONTH($B$20)),$B$22,0)</x:f>
        <x:v>0</x:v>
      </x:c>
      <x:c r="CZ24" s="117" t="n">
        <x:f>IF(AND(YEAR(CZ$3)=YEAR($B$20),MONTH(CZ$3)=MONTH($B$20)),$B$22,0)</x:f>
        <x:v>0</x:v>
      </x:c>
      <x:c r="DA24" s="117" t="n">
        <x:f>IF(AND(YEAR(DA$3)=YEAR($B$20),MONTH(DA$3)=MONTH($B$20)),$B$22,0)</x:f>
        <x:v>0</x:v>
      </x:c>
      <x:c r="DB24" s="117" t="n">
        <x:f>IF(AND(YEAR(DB$3)=YEAR($B$20),MONTH(DB$3)=MONTH($B$20)),$B$22,0)</x:f>
        <x:v>0</x:v>
      </x:c>
      <x:c r="DC24" s="117" t="n">
        <x:f>IF(AND(YEAR(DC$3)=YEAR($B$20),MONTH(DC$3)=MONTH($B$20)),$B$22,0)</x:f>
        <x:v>0</x:v>
      </x:c>
      <x:c r="DD24" s="117" t="n">
        <x:f>IF(AND(YEAR(DD$3)=YEAR($B$20),MONTH(DD$3)=MONTH($B$20)),$B$22,0)</x:f>
        <x:v>0</x:v>
      </x:c>
      <x:c r="DE24" s="117" t="n">
        <x:f>IF(AND(YEAR(DE$3)=YEAR($B$20),MONTH(DE$3)=MONTH($B$20)),$B$22,0)</x:f>
        <x:v>0</x:v>
      </x:c>
      <x:c r="DF24" s="117" t="n">
        <x:f>IF(AND(YEAR(DF$3)=YEAR($B$20),MONTH(DF$3)=MONTH($B$20)),$B$22,0)</x:f>
        <x:v>0</x:v>
      </x:c>
      <x:c r="DG24" s="117" t="n">
        <x:f>IF(AND(YEAR(DG$3)=YEAR($B$20),MONTH(DG$3)=MONTH($B$20)),$B$22,0)</x:f>
        <x:v>0</x:v>
      </x:c>
      <x:c r="DH24" s="117" t="n">
        <x:f>IF(AND(YEAR(DH$3)=YEAR($B$20),MONTH(DH$3)=MONTH($B$20)),$B$22,0)</x:f>
        <x:v>0</x:v>
      </x:c>
      <x:c r="DI24" s="117" t="n">
        <x:f>IF(AND(YEAR(DI$3)=YEAR($B$20),MONTH(DI$3)=MONTH($B$20)),$B$22,0)</x:f>
        <x:v>0</x:v>
      </x:c>
      <x:c r="DJ24" s="117" t="n">
        <x:f>IF(AND(YEAR(DJ$3)=YEAR($B$20),MONTH(DJ$3)=MONTH($B$20)),$B$22,0)</x:f>
        <x:v>0</x:v>
      </x:c>
      <x:c r="DK24" s="117" t="n">
        <x:f>IF(AND(YEAR(DK$3)=YEAR($B$20),MONTH(DK$3)=MONTH($B$20)),$B$22,0)</x:f>
        <x:v>0</x:v>
      </x:c>
      <x:c r="DL24" s="117" t="n">
        <x:f>IF(AND(YEAR(DL$3)=YEAR($B$20),MONTH(DL$3)=MONTH($B$20)),$B$22,0)</x:f>
        <x:v>0</x:v>
      </x:c>
      <x:c r="DM24" s="117" t="n">
        <x:f>IF(AND(YEAR(DM$3)=YEAR($B$20),MONTH(DM$3)=MONTH($B$20)),$B$22,0)</x:f>
        <x:v>0</x:v>
      </x:c>
      <x:c r="DN24" s="117" t="n">
        <x:f>IF(AND(YEAR(DN$3)=YEAR($B$20),MONTH(DN$3)=MONTH($B$20)),$B$22,0)</x:f>
        <x:v>0</x:v>
      </x:c>
      <x:c r="DO24" s="117" t="n">
        <x:f>IF(AND(YEAR(DO$3)=YEAR($B$20),MONTH(DO$3)=MONTH($B$20)),$B$22,0)</x:f>
        <x:v>0</x:v>
      </x:c>
      <x:c r="DP24" s="117" t="n">
        <x:f>IF(AND(YEAR(DP$3)=YEAR($B$20),MONTH(DP$3)=MONTH($B$20)),$B$22,0)</x:f>
        <x:v>0</x:v>
      </x:c>
      <x:c r="DQ24" s="117" t="n">
        <x:f>IF(AND(YEAR(DQ$3)=YEAR($B$20),MONTH(DQ$3)=MONTH($B$20)),$B$22,0)</x:f>
        <x:v>0</x:v>
      </x:c>
      <x:c r="DR24" s="117" t="n">
        <x:f>IF(AND(YEAR(DR$3)=YEAR($B$20),MONTH(DR$3)=MONTH($B$20)),$B$22,0)</x:f>
        <x:v>0</x:v>
      </x:c>
      <x:c r="DS24" s="117" t="n">
        <x:f>IF(AND(YEAR(DS$3)=YEAR($B$20),MONTH(DS$3)=MONTH($B$20)),$B$22,0)</x:f>
        <x:v>0</x:v>
      </x:c>
    </x:row>
    <x:row r="25">
      <x:c r="A25" t="str">
        <x:v>Погашение основного долга</x:v>
      </x:c>
      <x:c r="B25" s="107" t="n">
        <x:f>SUM(D25:DS25)</x:f>
        <x:v>0</x:v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  <x:v>0</x:v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  <x:v>0</x:v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  <x:v>0</x:v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  <x:v>0</x:v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  <x:v>0</x:v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  <x:v>0</x:v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  <x:v>0</x:v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  <x:v>0</x:v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  <x:v>0</x:v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  <x:v>0</x:v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  <x:v>0</x:v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  <x:v>0</x:v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  <x:v>0</x:v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  <x:v>0</x:v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  <x:v>0</x:v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  <x:v>0</x:v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  <x:v>0</x:v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  <x:v>0</x:v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  <x:v>0</x:v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  <x:v>0</x:v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  <x:v>0</x:v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  <x:v>0</x:v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  <x:v>0</x:v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  <x:v>0</x:v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  <x:v>0</x:v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  <x:v>0</x:v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  <x:v>0</x:v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  <x:v>0</x:v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  <x:v>0</x:v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  <x:v>0</x:v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  <x:v>0</x:v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  <x:v>0</x:v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  <x:v>0</x:v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  <x:v>0</x:v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  <x:v>0</x:v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  <x:v>0</x:v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  <x:v>0</x:v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  <x:v>0</x:v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  <x:v>0</x:v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  <x:v>0</x:v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  <x:v>0</x:v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  <x:v>0</x:v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  <x:v>0</x:v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  <x:v>0</x:v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  <x:v>0</x:v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  <x:v>0</x:v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  <x:v>0</x:v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  <x:v>0</x:v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  <x:v>0</x:v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  <x:v>0</x:v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  <x:v>0</x:v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  <x:v>0</x:v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  <x:v>0</x:v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  <x:v>0</x:v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  <x:v>0</x:v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  <x:v>0</x:v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  <x:v>0</x:v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  <x:v>0</x:v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  <x:v>0</x:v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  <x:v>0</x:v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  <x:v>0</x:v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  <x:v>0</x:v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  <x:v>0</x:v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  <x:v>0</x:v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  <x:v>0</x:v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  <x:v>0</x:v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  <x:v>0</x:v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  <x:v>0</x:v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  <x:v>0</x:v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  <x:v>0</x:v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  <x:v>0</x:v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  <x:v>0</x:v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  <x:v>0</x:v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  <x:v>0</x:v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  <x:v>0</x:v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  <x:v>0</x:v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  <x:v>0</x:v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  <x:v>0</x:v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  <x:v>0</x:v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  <x:v>0</x:v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  <x:v>0</x:v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  <x:v>0</x:v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  <x:v>0</x:v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  <x:v>0</x:v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  <x:v>0</x:v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  <x:v>0</x:v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  <x:v>0</x:v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  <x:v>0</x:v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  <x:v>0</x:v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  <x:v>0</x:v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  <x:v>0</x:v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  <x:v>0</x:v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  <x:v>0</x:v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  <x:v>0</x:v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  <x:v>0</x:v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  <x:v>0</x:v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  <x:v>0</x:v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  <x:v>0</x:v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  <x:v>0</x:v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  <x:v>0</x:v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  <x:v>0</x:v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  <x:v>0</x:v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  <x:v>0</x:v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  <x:v>0</x:v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  <x:v>0</x:v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  <x:v>0</x:v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  <x:v>0</x:v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  <x:v>0</x:v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  <x:v>0</x:v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  <x:v>0</x:v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  <x:v>0</x:v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  <x:v>0</x:v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  <x:v>0</x:v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  <x:v>0</x:v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  <x:v>0</x:v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  <x:v>0</x:v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  <x:v>0</x:v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  <x:v>0</x:v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  <x:v>0</x:v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  <x:v>0</x:v>
      </x:c>
    </x:row>
    <x:row r="26">
      <x:c r="A26" t="str">
        <x:v>Проценты по рассрочке</x:v>
      </x:c>
      <x:c r="B26" s="107" t="n">
        <x:f>SUM(D26:DS26)</x:f>
        <x:v>0</x:v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  <x:v>0</x:v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  <x:v>0</x:v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  <x:v>0</x:v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  <x:v>0</x:v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  <x:v>0</x:v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  <x:v>0</x:v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  <x:v>0</x:v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  <x:v>0</x:v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  <x:v>0</x:v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  <x:v>0</x:v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  <x:v>0</x:v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  <x:v>0</x:v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  <x:v>0</x:v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  <x:v>0</x:v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  <x:v>0</x:v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  <x:v>0</x:v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  <x:v>0</x:v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  <x:v>0</x:v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  <x:v>0</x:v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  <x:v>0</x:v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  <x:v>0</x:v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  <x:v>0</x:v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  <x:v>0</x:v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  <x:v>0</x:v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  <x:v>0</x:v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  <x:v>0</x:v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  <x:v>0</x:v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  <x:v>0</x:v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  <x:v>0</x:v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  <x:v>0</x:v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  <x:v>0</x:v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  <x:v>0</x:v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  <x:v>0</x:v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  <x:v>0</x:v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  <x:v>0</x:v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  <x:v>0</x:v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  <x:v>0</x:v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  <x:v>0</x:v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  <x:v>0</x:v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  <x:v>0</x:v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  <x:v>0</x:v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  <x:v>0</x:v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  <x:v>0</x:v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  <x:v>0</x:v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  <x:v>0</x:v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  <x:v>0</x:v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  <x:v>0</x:v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  <x:v>0</x:v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  <x:v>0</x:v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  <x:v>0</x:v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  <x:v>0</x:v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  <x:v>0</x:v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  <x:v>0</x:v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  <x:v>0</x:v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  <x:v>0</x:v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  <x:v>0</x:v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  <x:v>0</x:v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  <x:v>0</x:v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  <x:v>0</x:v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  <x:v>0</x:v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  <x:v>0</x:v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  <x:v>0</x:v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  <x:v>0</x:v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  <x:v>0</x:v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  <x:v>0</x:v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  <x:v>0</x:v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  <x:v>0</x:v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  <x:v>0</x:v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  <x:v>0</x:v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  <x:v>0</x:v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  <x:v>0</x:v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  <x:v>0</x:v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  <x:v>0</x:v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  <x:v>0</x:v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  <x:v>0</x:v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  <x:v>0</x:v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  <x:v>0</x:v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  <x:v>0</x:v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  <x:v>0</x:v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  <x:v>0</x:v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  <x:v>0</x:v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  <x:v>0</x:v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  <x:v>0</x:v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  <x:v>0</x:v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  <x:v>0</x:v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  <x:v>0</x:v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  <x:v>0</x:v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  <x:v>0</x:v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  <x:v>0</x:v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  <x:v>0</x:v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  <x:v>0</x:v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  <x:v>0</x:v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  <x:v>0</x:v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  <x:v>0</x:v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  <x:v>0</x:v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  <x:v>0</x:v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  <x:v>0</x:v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  <x:v>0</x:v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  <x:v>0</x:v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  <x:v>0</x:v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  <x:v>0</x:v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  <x:v>0</x:v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  <x:v>0</x:v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  <x:v>0</x:v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  <x:v>0</x:v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  <x:v>0</x:v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  <x:v>0</x:v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  <x:v>0</x:v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  <x:v>0</x:v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  <x:v>0</x:v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  <x:v>0</x:v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  <x:v>0</x:v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  <x:v>0</x:v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  <x:v>0</x:v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  <x:v>0</x:v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  <x:v>0</x:v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  <x:v>0</x:v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  <x:v>0</x:v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  <x:v>0</x:v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  <x:v>0</x:v>
      </x:c>
    </x:row>
    <x:row r="27">
      <x:c r="A27" t="str">
        <x:v>Расходы на обеспечение</x:v>
      </x:c>
      <x:c r="B27" s="107" t="n">
        <x:f>SUM(D27:DS27)</x:f>
        <x:v>0</x:v>
      </x:c>
      <x:c r="C27" t="str">
        <x:v>млн ₽</x:v>
      </x:c>
      <x:c r="D27" s="117" t="n">
        <x:f>IF(D24&gt;0,'Вводные'!$B$83*'Вводные'!$Q$89,0)</x:f>
        <x:v>0</x:v>
      </x:c>
      <x:c r="E27" s="117" t="n">
        <x:f>IF(E24&gt;0,'Вводные'!$B$83*'Вводные'!$Q$89,0)</x:f>
        <x:v>0</x:v>
      </x:c>
      <x:c r="F27" s="117" t="n">
        <x:f>IF(F24&gt;0,'Вводные'!$B$83*'Вводные'!$Q$89,0)</x:f>
        <x:v>0</x:v>
      </x:c>
      <x:c r="G27" s="117" t="n">
        <x:f>IF(G24&gt;0,'Вводные'!$B$83*'Вводные'!$Q$89,0)</x:f>
        <x:v>0</x:v>
      </x:c>
      <x:c r="H27" s="117" t="n">
        <x:f>IF(H24&gt;0,'Вводные'!$B$83*'Вводные'!$Q$89,0)</x:f>
        <x:v>0</x:v>
      </x:c>
      <x:c r="I27" s="117" t="n">
        <x:f>IF(I24&gt;0,'Вводные'!$B$83*'Вводные'!$Q$89,0)</x:f>
        <x:v>0</x:v>
      </x:c>
      <x:c r="J27" s="117" t="n">
        <x:f>IF(J24&gt;0,'Вводные'!$B$83*'Вводные'!$Q$89,0)</x:f>
        <x:v>0</x:v>
      </x:c>
      <x:c r="K27" s="117" t="n">
        <x:f>IF(K24&gt;0,'Вводные'!$B$83*'Вводные'!$Q$89,0)</x:f>
        <x:v>0</x:v>
      </x:c>
      <x:c r="L27" s="117" t="n">
        <x:f>IF(L24&gt;0,'Вводные'!$B$83*'Вводные'!$Q$89,0)</x:f>
        <x:v>0</x:v>
      </x:c>
      <x:c r="M27" s="117" t="n">
        <x:f>IF(M24&gt;0,'Вводные'!$B$83*'Вводные'!$Q$89,0)</x:f>
        <x:v>0</x:v>
      </x:c>
      <x:c r="N27" s="117" t="n">
        <x:f>IF(N24&gt;0,'Вводные'!$B$83*'Вводные'!$Q$89,0)</x:f>
        <x:v>0</x:v>
      </x:c>
      <x:c r="O27" s="117" t="n">
        <x:f>IF(O24&gt;0,'Вводные'!$B$83*'Вводные'!$Q$89,0)</x:f>
        <x:v>0</x:v>
      </x:c>
      <x:c r="P27" s="117" t="n">
        <x:f>IF(P24&gt;0,'Вводные'!$B$83*'Вводные'!$Q$89,0)</x:f>
        <x:v>0</x:v>
      </x:c>
      <x:c r="Q27" s="117" t="n">
        <x:f>IF(Q24&gt;0,'Вводные'!$B$83*'Вводные'!$Q$89,0)</x:f>
        <x:v>0</x:v>
      </x:c>
      <x:c r="R27" s="117" t="n">
        <x:f>IF(R24&gt;0,'Вводные'!$B$83*'Вводные'!$Q$89,0)</x:f>
        <x:v>0</x:v>
      </x:c>
      <x:c r="S27" s="117" t="n">
        <x:f>IF(S24&gt;0,'Вводные'!$B$83*'Вводные'!$Q$89,0)</x:f>
        <x:v>0</x:v>
      </x:c>
      <x:c r="T27" s="117" t="n">
        <x:f>IF(T24&gt;0,'Вводные'!$B$83*'Вводные'!$Q$89,0)</x:f>
        <x:v>0</x:v>
      </x:c>
      <x:c r="U27" s="117" t="n">
        <x:f>IF(U24&gt;0,'Вводные'!$B$83*'Вводные'!$Q$89,0)</x:f>
        <x:v>0</x:v>
      </x:c>
      <x:c r="V27" s="117" t="n">
        <x:f>IF(V24&gt;0,'Вводные'!$B$83*'Вводные'!$Q$89,0)</x:f>
        <x:v>0</x:v>
      </x:c>
      <x:c r="W27" s="117" t="n">
        <x:f>IF(W24&gt;0,'Вводные'!$B$83*'Вводные'!$Q$89,0)</x:f>
        <x:v>0</x:v>
      </x:c>
      <x:c r="X27" s="117" t="n">
        <x:f>IF(X24&gt;0,'Вводные'!$B$83*'Вводные'!$Q$89,0)</x:f>
        <x:v>0</x:v>
      </x:c>
      <x:c r="Y27" s="117" t="n">
        <x:f>IF(Y24&gt;0,'Вводные'!$B$83*'Вводные'!$Q$89,0)</x:f>
        <x:v>0</x:v>
      </x:c>
      <x:c r="Z27" s="117" t="n">
        <x:f>IF(Z24&gt;0,'Вводные'!$B$83*'Вводные'!$Q$89,0)</x:f>
        <x:v>0</x:v>
      </x:c>
      <x:c r="AA27" s="117" t="n">
        <x:f>IF(AA24&gt;0,'Вводные'!$B$83*'Вводные'!$Q$89,0)</x:f>
        <x:v>0</x:v>
      </x:c>
      <x:c r="AB27" s="117" t="n">
        <x:f>IF(AB24&gt;0,'Вводные'!$B$83*'Вводные'!$Q$89,0)</x:f>
        <x:v>0</x:v>
      </x:c>
      <x:c r="AC27" s="117" t="n">
        <x:f>IF(AC24&gt;0,'Вводные'!$B$83*'Вводные'!$Q$89,0)</x:f>
        <x:v>0</x:v>
      </x:c>
      <x:c r="AD27" s="117" t="n">
        <x:f>IF(AD24&gt;0,'Вводные'!$B$83*'Вводные'!$Q$89,0)</x:f>
        <x:v>0</x:v>
      </x:c>
      <x:c r="AE27" s="117" t="n">
        <x:f>IF(AE24&gt;0,'Вводные'!$B$83*'Вводные'!$Q$89,0)</x:f>
        <x:v>0</x:v>
      </x:c>
      <x:c r="AF27" s="117" t="n">
        <x:f>IF(AF24&gt;0,'Вводные'!$B$83*'Вводные'!$Q$89,0)</x:f>
        <x:v>0</x:v>
      </x:c>
      <x:c r="AG27" s="117" t="n">
        <x:f>IF(AG24&gt;0,'Вводные'!$B$83*'Вводные'!$Q$89,0)</x:f>
        <x:v>0</x:v>
      </x:c>
      <x:c r="AH27" s="117" t="n">
        <x:f>IF(AH24&gt;0,'Вводные'!$B$83*'Вводные'!$Q$89,0)</x:f>
        <x:v>0</x:v>
      </x:c>
      <x:c r="AI27" s="117" t="n">
        <x:f>IF(AI24&gt;0,'Вводные'!$B$83*'Вводные'!$Q$89,0)</x:f>
        <x:v>0</x:v>
      </x:c>
      <x:c r="AJ27" s="117" t="n">
        <x:f>IF(AJ24&gt;0,'Вводные'!$B$83*'Вводные'!$Q$89,0)</x:f>
        <x:v>0</x:v>
      </x:c>
      <x:c r="AK27" s="117" t="n">
        <x:f>IF(AK24&gt;0,'Вводные'!$B$83*'Вводные'!$Q$89,0)</x:f>
        <x:v>0</x:v>
      </x:c>
      <x:c r="AL27" s="117" t="n">
        <x:f>IF(AL24&gt;0,'Вводные'!$B$83*'Вводные'!$Q$89,0)</x:f>
        <x:v>0</x:v>
      </x:c>
      <x:c r="AM27" s="117" t="n">
        <x:f>IF(AM24&gt;0,'Вводные'!$B$83*'Вводные'!$Q$89,0)</x:f>
        <x:v>0</x:v>
      </x:c>
      <x:c r="AN27" s="117" t="n">
        <x:f>IF(AN24&gt;0,'Вводные'!$B$83*'Вводные'!$Q$89,0)</x:f>
        <x:v>0</x:v>
      </x:c>
      <x:c r="AO27" s="117" t="n">
        <x:f>IF(AO24&gt;0,'Вводные'!$B$83*'Вводные'!$Q$89,0)</x:f>
        <x:v>0</x:v>
      </x:c>
      <x:c r="AP27" s="117" t="n">
        <x:f>IF(AP24&gt;0,'Вводные'!$B$83*'Вводные'!$Q$89,0)</x:f>
        <x:v>0</x:v>
      </x:c>
      <x:c r="AQ27" s="117" t="n">
        <x:f>IF(AQ24&gt;0,'Вводные'!$B$83*'Вводные'!$Q$89,0)</x:f>
        <x:v>0</x:v>
      </x:c>
      <x:c r="AR27" s="117" t="n">
        <x:f>IF(AR24&gt;0,'Вводные'!$B$83*'Вводные'!$Q$89,0)</x:f>
        <x:v>0</x:v>
      </x:c>
      <x:c r="AS27" s="117" t="n">
        <x:f>IF(AS24&gt;0,'Вводные'!$B$83*'Вводные'!$Q$89,0)</x:f>
        <x:v>0</x:v>
      </x:c>
      <x:c r="AT27" s="117" t="n">
        <x:f>IF(AT24&gt;0,'Вводные'!$B$83*'Вводные'!$Q$89,0)</x:f>
        <x:v>0</x:v>
      </x:c>
      <x:c r="AU27" s="117" t="n">
        <x:f>IF(AU24&gt;0,'Вводные'!$B$83*'Вводные'!$Q$89,0)</x:f>
        <x:v>0</x:v>
      </x:c>
      <x:c r="AV27" s="117" t="n">
        <x:f>IF(AV24&gt;0,'Вводные'!$B$83*'Вводные'!$Q$89,0)</x:f>
        <x:v>0</x:v>
      </x:c>
      <x:c r="AW27" s="117" t="n">
        <x:f>IF(AW24&gt;0,'Вводные'!$B$83*'Вводные'!$Q$89,0)</x:f>
        <x:v>0</x:v>
      </x:c>
      <x:c r="AX27" s="117" t="n">
        <x:f>IF(AX24&gt;0,'Вводные'!$B$83*'Вводные'!$Q$89,0)</x:f>
        <x:v>0</x:v>
      </x:c>
      <x:c r="AY27" s="117" t="n">
        <x:f>IF(AY24&gt;0,'Вводные'!$B$83*'Вводные'!$Q$89,0)</x:f>
        <x:v>0</x:v>
      </x:c>
      <x:c r="AZ27" s="117" t="n">
        <x:f>IF(AZ24&gt;0,'Вводные'!$B$83*'Вводные'!$Q$89,0)</x:f>
        <x:v>0</x:v>
      </x:c>
      <x:c r="BA27" s="117" t="n">
        <x:f>IF(BA24&gt;0,'Вводные'!$B$83*'Вводные'!$Q$89,0)</x:f>
        <x:v>0</x:v>
      </x:c>
      <x:c r="BB27" s="117" t="n">
        <x:f>IF(BB24&gt;0,'Вводные'!$B$83*'Вводные'!$Q$89,0)</x:f>
        <x:v>0</x:v>
      </x:c>
      <x:c r="BC27" s="117" t="n">
        <x:f>IF(BC24&gt;0,'Вводные'!$B$83*'Вводные'!$Q$89,0)</x:f>
        <x:v>0</x:v>
      </x:c>
      <x:c r="BD27" s="117" t="n">
        <x:f>IF(BD24&gt;0,'Вводные'!$B$83*'Вводные'!$Q$89,0)</x:f>
        <x:v>0</x:v>
      </x:c>
      <x:c r="BE27" s="117" t="n">
        <x:f>IF(BE24&gt;0,'Вводные'!$B$83*'Вводные'!$Q$89,0)</x:f>
        <x:v>0</x:v>
      </x:c>
      <x:c r="BF27" s="117" t="n">
        <x:f>IF(BF24&gt;0,'Вводные'!$B$83*'Вводные'!$Q$89,0)</x:f>
        <x:v>0</x:v>
      </x:c>
      <x:c r="BG27" s="117" t="n">
        <x:f>IF(BG24&gt;0,'Вводные'!$B$83*'Вводные'!$Q$89,0)</x:f>
        <x:v>0</x:v>
      </x:c>
      <x:c r="BH27" s="117" t="n">
        <x:f>IF(BH24&gt;0,'Вводные'!$B$83*'Вводные'!$Q$89,0)</x:f>
        <x:v>0</x:v>
      </x:c>
      <x:c r="BI27" s="117" t="n">
        <x:f>IF(BI24&gt;0,'Вводные'!$B$83*'Вводные'!$Q$89,0)</x:f>
        <x:v>0</x:v>
      </x:c>
      <x:c r="BJ27" s="117" t="n">
        <x:f>IF(BJ24&gt;0,'Вводные'!$B$83*'Вводные'!$Q$89,0)</x:f>
        <x:v>0</x:v>
      </x:c>
      <x:c r="BK27" s="117" t="n">
        <x:f>IF(BK24&gt;0,'Вводные'!$B$83*'Вводные'!$Q$89,0)</x:f>
        <x:v>0</x:v>
      </x:c>
      <x:c r="BL27" s="117" t="n">
        <x:f>IF(BL24&gt;0,'Вводные'!$B$83*'Вводные'!$Q$89,0)</x:f>
        <x:v>0</x:v>
      </x:c>
      <x:c r="BM27" s="117" t="n">
        <x:f>IF(BM24&gt;0,'Вводные'!$B$83*'Вводные'!$Q$89,0)</x:f>
        <x:v>0</x:v>
      </x:c>
      <x:c r="BN27" s="117" t="n">
        <x:f>IF(BN24&gt;0,'Вводные'!$B$83*'Вводные'!$Q$89,0)</x:f>
        <x:v>0</x:v>
      </x:c>
      <x:c r="BO27" s="117" t="n">
        <x:f>IF(BO24&gt;0,'Вводные'!$B$83*'Вводные'!$Q$89,0)</x:f>
        <x:v>0</x:v>
      </x:c>
      <x:c r="BP27" s="117" t="n">
        <x:f>IF(BP24&gt;0,'Вводные'!$B$83*'Вводные'!$Q$89,0)</x:f>
        <x:v>0</x:v>
      </x:c>
      <x:c r="BQ27" s="117" t="n">
        <x:f>IF(BQ24&gt;0,'Вводные'!$B$83*'Вводные'!$Q$89,0)</x:f>
        <x:v>0</x:v>
      </x:c>
      <x:c r="BR27" s="117" t="n">
        <x:f>IF(BR24&gt;0,'Вводные'!$B$83*'Вводные'!$Q$89,0)</x:f>
        <x:v>0</x:v>
      </x:c>
      <x:c r="BS27" s="117" t="n">
        <x:f>IF(BS24&gt;0,'Вводные'!$B$83*'Вводные'!$Q$89,0)</x:f>
        <x:v>0</x:v>
      </x:c>
      <x:c r="BT27" s="117" t="n">
        <x:f>IF(BT24&gt;0,'Вводные'!$B$83*'Вводные'!$Q$89,0)</x:f>
        <x:v>0</x:v>
      </x:c>
      <x:c r="BU27" s="117" t="n">
        <x:f>IF(BU24&gt;0,'Вводные'!$B$83*'Вводные'!$Q$89,0)</x:f>
        <x:v>0</x:v>
      </x:c>
      <x:c r="BV27" s="117" t="n">
        <x:f>IF(BV24&gt;0,'Вводные'!$B$83*'Вводные'!$Q$89,0)</x:f>
        <x:v>0</x:v>
      </x:c>
      <x:c r="BW27" s="117" t="n">
        <x:f>IF(BW24&gt;0,'Вводные'!$B$83*'Вводные'!$Q$89,0)</x:f>
        <x:v>0</x:v>
      </x:c>
      <x:c r="BX27" s="117" t="n">
        <x:f>IF(BX24&gt;0,'Вводные'!$B$83*'Вводные'!$Q$89,0)</x:f>
        <x:v>0</x:v>
      </x:c>
      <x:c r="BY27" s="117" t="n">
        <x:f>IF(BY24&gt;0,'Вводные'!$B$83*'Вводные'!$Q$89,0)</x:f>
        <x:v>0</x:v>
      </x:c>
      <x:c r="BZ27" s="117" t="n">
        <x:f>IF(BZ24&gt;0,'Вводные'!$B$83*'Вводные'!$Q$89,0)</x:f>
        <x:v>0</x:v>
      </x:c>
      <x:c r="CA27" s="117" t="n">
        <x:f>IF(CA24&gt;0,'Вводные'!$B$83*'Вводные'!$Q$89,0)</x:f>
        <x:v>0</x:v>
      </x:c>
      <x:c r="CB27" s="117" t="n">
        <x:f>IF(CB24&gt;0,'Вводные'!$B$83*'Вводные'!$Q$89,0)</x:f>
        <x:v>0</x:v>
      </x:c>
      <x:c r="CC27" s="117" t="n">
        <x:f>IF(CC24&gt;0,'Вводные'!$B$83*'Вводные'!$Q$89,0)</x:f>
        <x:v>0</x:v>
      </x:c>
      <x:c r="CD27" s="117" t="n">
        <x:f>IF(CD24&gt;0,'Вводные'!$B$83*'Вводные'!$Q$89,0)</x:f>
        <x:v>0</x:v>
      </x:c>
      <x:c r="CE27" s="117" t="n">
        <x:f>IF(CE24&gt;0,'Вводные'!$B$83*'Вводные'!$Q$89,0)</x:f>
        <x:v>0</x:v>
      </x:c>
      <x:c r="CF27" s="117" t="n">
        <x:f>IF(CF24&gt;0,'Вводные'!$B$83*'Вводные'!$Q$89,0)</x:f>
        <x:v>0</x:v>
      </x:c>
      <x:c r="CG27" s="117" t="n">
        <x:f>IF(CG24&gt;0,'Вводные'!$B$83*'Вводные'!$Q$89,0)</x:f>
        <x:v>0</x:v>
      </x:c>
      <x:c r="CH27" s="117" t="n">
        <x:f>IF(CH24&gt;0,'Вводные'!$B$83*'Вводные'!$Q$89,0)</x:f>
        <x:v>0</x:v>
      </x:c>
      <x:c r="CI27" s="117" t="n">
        <x:f>IF(CI24&gt;0,'Вводные'!$B$83*'Вводные'!$Q$89,0)</x:f>
        <x:v>0</x:v>
      </x:c>
      <x:c r="CJ27" s="117" t="n">
        <x:f>IF(CJ24&gt;0,'Вводные'!$B$83*'Вводные'!$Q$89,0)</x:f>
        <x:v>0</x:v>
      </x:c>
      <x:c r="CK27" s="117" t="n">
        <x:f>IF(CK24&gt;0,'Вводные'!$B$83*'Вводные'!$Q$89,0)</x:f>
        <x:v>0</x:v>
      </x:c>
      <x:c r="CL27" s="117" t="n">
        <x:f>IF(CL24&gt;0,'Вводные'!$B$83*'Вводные'!$Q$89,0)</x:f>
        <x:v>0</x:v>
      </x:c>
      <x:c r="CM27" s="117" t="n">
        <x:f>IF(CM24&gt;0,'Вводные'!$B$83*'Вводные'!$Q$89,0)</x:f>
        <x:v>0</x:v>
      </x:c>
      <x:c r="CN27" s="117" t="n">
        <x:f>IF(CN24&gt;0,'Вводные'!$B$83*'Вводные'!$Q$89,0)</x:f>
        <x:v>0</x:v>
      </x:c>
      <x:c r="CO27" s="117" t="n">
        <x:f>IF(CO24&gt;0,'Вводные'!$B$83*'Вводные'!$Q$89,0)</x:f>
        <x:v>0</x:v>
      </x:c>
      <x:c r="CP27" s="117" t="n">
        <x:f>IF(CP24&gt;0,'Вводные'!$B$83*'Вводные'!$Q$89,0)</x:f>
        <x:v>0</x:v>
      </x:c>
      <x:c r="CQ27" s="117" t="n">
        <x:f>IF(CQ24&gt;0,'Вводные'!$B$83*'Вводные'!$Q$89,0)</x:f>
        <x:v>0</x:v>
      </x:c>
      <x:c r="CR27" s="117" t="n">
        <x:f>IF(CR24&gt;0,'Вводные'!$B$83*'Вводные'!$Q$89,0)</x:f>
        <x:v>0</x:v>
      </x:c>
      <x:c r="CS27" s="117" t="n">
        <x:f>IF(CS24&gt;0,'Вводные'!$B$83*'Вводные'!$Q$89,0)</x:f>
        <x:v>0</x:v>
      </x:c>
      <x:c r="CT27" s="117" t="n">
        <x:f>IF(CT24&gt;0,'Вводные'!$B$83*'Вводные'!$Q$89,0)</x:f>
        <x:v>0</x:v>
      </x:c>
      <x:c r="CU27" s="117" t="n">
        <x:f>IF(CU24&gt;0,'Вводные'!$B$83*'Вводные'!$Q$89,0)</x:f>
        <x:v>0</x:v>
      </x:c>
      <x:c r="CV27" s="117" t="n">
        <x:f>IF(CV24&gt;0,'Вводные'!$B$83*'Вводные'!$Q$89,0)</x:f>
        <x:v>0</x:v>
      </x:c>
      <x:c r="CW27" s="117" t="n">
        <x:f>IF(CW24&gt;0,'Вводные'!$B$83*'Вводные'!$Q$89,0)</x:f>
        <x:v>0</x:v>
      </x:c>
      <x:c r="CX27" s="117" t="n">
        <x:f>IF(CX24&gt;0,'Вводные'!$B$83*'Вводные'!$Q$89,0)</x:f>
        <x:v>0</x:v>
      </x:c>
      <x:c r="CY27" s="117" t="n">
        <x:f>IF(CY24&gt;0,'Вводные'!$B$83*'Вводные'!$Q$89,0)</x:f>
        <x:v>0</x:v>
      </x:c>
      <x:c r="CZ27" s="117" t="n">
        <x:f>IF(CZ24&gt;0,'Вводные'!$B$83*'Вводные'!$Q$89,0)</x:f>
        <x:v>0</x:v>
      </x:c>
      <x:c r="DA27" s="117" t="n">
        <x:f>IF(DA24&gt;0,'Вводные'!$B$83*'Вводные'!$Q$89,0)</x:f>
        <x:v>0</x:v>
      </x:c>
      <x:c r="DB27" s="117" t="n">
        <x:f>IF(DB24&gt;0,'Вводные'!$B$83*'Вводные'!$Q$89,0)</x:f>
        <x:v>0</x:v>
      </x:c>
      <x:c r="DC27" s="117" t="n">
        <x:f>IF(DC24&gt;0,'Вводные'!$B$83*'Вводные'!$Q$89,0)</x:f>
        <x:v>0</x:v>
      </x:c>
      <x:c r="DD27" s="117" t="n">
        <x:f>IF(DD24&gt;0,'Вводные'!$B$83*'Вводные'!$Q$89,0)</x:f>
        <x:v>0</x:v>
      </x:c>
      <x:c r="DE27" s="117" t="n">
        <x:f>IF(DE24&gt;0,'Вводные'!$B$83*'Вводные'!$Q$89,0)</x:f>
        <x:v>0</x:v>
      </x:c>
      <x:c r="DF27" s="117" t="n">
        <x:f>IF(DF24&gt;0,'Вводные'!$B$83*'Вводные'!$Q$89,0)</x:f>
        <x:v>0</x:v>
      </x:c>
      <x:c r="DG27" s="117" t="n">
        <x:f>IF(DG24&gt;0,'Вводные'!$B$83*'Вводные'!$Q$89,0)</x:f>
        <x:v>0</x:v>
      </x:c>
      <x:c r="DH27" s="117" t="n">
        <x:f>IF(DH24&gt;0,'Вводные'!$B$83*'Вводные'!$Q$89,0)</x:f>
        <x:v>0</x:v>
      </x:c>
      <x:c r="DI27" s="117" t="n">
        <x:f>IF(DI24&gt;0,'Вводные'!$B$83*'Вводные'!$Q$89,0)</x:f>
        <x:v>0</x:v>
      </x:c>
      <x:c r="DJ27" s="117" t="n">
        <x:f>IF(DJ24&gt;0,'Вводные'!$B$83*'Вводные'!$Q$89,0)</x:f>
        <x:v>0</x:v>
      </x:c>
      <x:c r="DK27" s="117" t="n">
        <x:f>IF(DK24&gt;0,'Вводные'!$B$83*'Вводные'!$Q$89,0)</x:f>
        <x:v>0</x:v>
      </x:c>
      <x:c r="DL27" s="117" t="n">
        <x:f>IF(DL24&gt;0,'Вводные'!$B$83*'Вводные'!$Q$89,0)</x:f>
        <x:v>0</x:v>
      </x:c>
      <x:c r="DM27" s="117" t="n">
        <x:f>IF(DM24&gt;0,'Вводные'!$B$83*'Вводные'!$Q$89,0)</x:f>
        <x:v>0</x:v>
      </x:c>
      <x:c r="DN27" s="117" t="n">
        <x:f>IF(DN24&gt;0,'Вводные'!$B$83*'Вводные'!$Q$89,0)</x:f>
        <x:v>0</x:v>
      </x:c>
      <x:c r="DO27" s="117" t="n">
        <x:f>IF(DO24&gt;0,'Вводные'!$B$83*'Вводные'!$Q$89,0)</x:f>
        <x:v>0</x:v>
      </x:c>
      <x:c r="DP27" s="117" t="n">
        <x:f>IF(DP24&gt;0,'Вводные'!$B$83*'Вводные'!$Q$89,0)</x:f>
        <x:v>0</x:v>
      </x:c>
      <x:c r="DQ27" s="117" t="n">
        <x:f>IF(DQ24&gt;0,'Вводные'!$B$83*'Вводные'!$Q$89,0)</x:f>
        <x:v>0</x:v>
      </x:c>
      <x:c r="DR27" s="117" t="n">
        <x:f>IF(DR24&gt;0,'Вводные'!$B$83*'Вводные'!$Q$89,0)</x:f>
        <x:v>0</x:v>
      </x:c>
      <x:c r="DS27" s="117" t="n">
        <x:f>IF(DS24&gt;0,'Вводные'!$B$83*'Вводные'!$Q$89,0)</x:f>
        <x:v>0</x:v>
      </x:c>
    </x:row>
    <x:row r="28">
      <x:c r="A28" s="113" t="str">
        <x:v>ДЕНЕЖНЫЙ ПЛАТЁЖ ПО ВРИ</x:v>
      </x:c>
      <x:c r="B28" s="113" t="n">
        <x:f>SUM(D28:DS28)</x:f>
        <x:v>0</x:v>
      </x:c>
      <x:c r="C28" s="113" t="str">
        <x:v>млн ₽</x:v>
      </x:c>
      <x:c r="D28" s="120" t="n">
        <x:f>SUM(D25:D27)</x:f>
        <x:v>0</x:v>
      </x:c>
      <x:c r="E28" s="120" t="n">
        <x:f>SUM(E25:E27)</x:f>
        <x:v>0</x:v>
      </x:c>
      <x:c r="F28" s="120" t="n">
        <x:f>SUM(F25:F27)</x:f>
        <x:v>0</x:v>
      </x:c>
      <x:c r="G28" s="120" t="n">
        <x:f>SUM(G25:G27)</x:f>
        <x:v>0</x:v>
      </x:c>
      <x:c r="H28" s="120" t="n">
        <x:f>SUM(H25:H27)</x:f>
        <x:v>0</x:v>
      </x:c>
      <x:c r="I28" s="120" t="n">
        <x:f>SUM(I25:I27)</x:f>
        <x:v>0</x:v>
      </x:c>
      <x:c r="J28" s="120" t="n">
        <x:f>SUM(J25:J27)</x:f>
        <x:v>0</x:v>
      </x:c>
      <x:c r="K28" s="120" t="n">
        <x:f>SUM(K25:K27)</x:f>
        <x:v>0</x:v>
      </x:c>
      <x:c r="L28" s="120" t="n">
        <x:f>SUM(L25:L27)</x:f>
        <x:v>0</x:v>
      </x:c>
      <x:c r="M28" s="120" t="n">
        <x:f>SUM(M25:M27)</x:f>
        <x:v>0</x:v>
      </x:c>
      <x:c r="N28" s="120" t="n">
        <x:f>SUM(N25:N27)</x:f>
        <x:v>0</x:v>
      </x:c>
      <x:c r="O28" s="120" t="n">
        <x:f>SUM(O25:O27)</x:f>
        <x:v>0</x:v>
      </x:c>
      <x:c r="P28" s="120" t="n">
        <x:f>SUM(P25:P27)</x:f>
        <x:v>0</x:v>
      </x:c>
      <x:c r="Q28" s="120" t="n">
        <x:f>SUM(Q25:Q27)</x:f>
        <x:v>0</x:v>
      </x:c>
      <x:c r="R28" s="120" t="n">
        <x:f>SUM(R25:R27)</x:f>
        <x:v>0</x:v>
      </x:c>
      <x:c r="S28" s="120" t="n">
        <x:f>SUM(S25:S27)</x:f>
        <x:v>0</x:v>
      </x:c>
      <x:c r="T28" s="120" t="n">
        <x:f>SUM(T25:T27)</x:f>
        <x:v>0</x:v>
      </x:c>
      <x:c r="U28" s="120" t="n">
        <x:f>SUM(U25:U27)</x:f>
        <x:v>0</x:v>
      </x:c>
      <x:c r="V28" s="120" t="n">
        <x:f>SUM(V25:V27)</x:f>
        <x:v>0</x:v>
      </x:c>
      <x:c r="W28" s="120" t="n">
        <x:f>SUM(W25:W27)</x:f>
        <x:v>0</x:v>
      </x:c>
      <x:c r="X28" s="120" t="n">
        <x:f>SUM(X25:X27)</x:f>
        <x:v>0</x:v>
      </x:c>
      <x:c r="Y28" s="120" t="n">
        <x:f>SUM(Y25:Y27)</x:f>
        <x:v>0</x:v>
      </x:c>
      <x:c r="Z28" s="120" t="n">
        <x:f>SUM(Z25:Z27)</x:f>
        <x:v>0</x:v>
      </x:c>
      <x:c r="AA28" s="120" t="n">
        <x:f>SUM(AA25:AA27)</x:f>
        <x:v>0</x:v>
      </x:c>
      <x:c r="AB28" s="120" t="n">
        <x:f>SUM(AB25:AB27)</x:f>
        <x:v>0</x:v>
      </x:c>
      <x:c r="AC28" s="120" t="n">
        <x:f>SUM(AC25:AC27)</x:f>
        <x:v>0</x:v>
      </x:c>
      <x:c r="AD28" s="120" t="n">
        <x:f>SUM(AD25:AD27)</x:f>
        <x:v>0</x:v>
      </x:c>
      <x:c r="AE28" s="120" t="n">
        <x:f>SUM(AE25:AE27)</x:f>
        <x:v>0</x:v>
      </x:c>
      <x:c r="AF28" s="120" t="n">
        <x:f>SUM(AF25:AF27)</x:f>
        <x:v>0</x:v>
      </x:c>
      <x:c r="AG28" s="120" t="n">
        <x:f>SUM(AG25:AG27)</x:f>
        <x:v>0</x:v>
      </x:c>
      <x:c r="AH28" s="120" t="n">
        <x:f>SUM(AH25:AH27)</x:f>
        <x:v>0</x:v>
      </x:c>
      <x:c r="AI28" s="120" t="n">
        <x:f>SUM(AI25:AI27)</x:f>
        <x:v>0</x:v>
      </x:c>
      <x:c r="AJ28" s="120" t="n">
        <x:f>SUM(AJ25:AJ27)</x:f>
        <x:v>0</x:v>
      </x:c>
      <x:c r="AK28" s="120" t="n">
        <x:f>SUM(AK25:AK27)</x:f>
        <x:v>0</x:v>
      </x:c>
      <x:c r="AL28" s="120" t="n">
        <x:f>SUM(AL25:AL27)</x:f>
        <x:v>0</x:v>
      </x:c>
      <x:c r="AM28" s="120" t="n">
        <x:f>SUM(AM25:AM27)</x:f>
        <x:v>0</x:v>
      </x:c>
      <x:c r="AN28" s="120" t="n">
        <x:f>SUM(AN25:AN27)</x:f>
        <x:v>0</x:v>
      </x:c>
      <x:c r="AO28" s="120" t="n">
        <x:f>SUM(AO25:AO27)</x:f>
        <x:v>0</x:v>
      </x:c>
      <x:c r="AP28" s="120" t="n">
        <x:f>SUM(AP25:AP27)</x:f>
        <x:v>0</x:v>
      </x:c>
      <x:c r="AQ28" s="120" t="n">
        <x:f>SUM(AQ25:AQ27)</x:f>
        <x:v>0</x:v>
      </x:c>
      <x:c r="AR28" s="120" t="n">
        <x:f>SUM(AR25:AR27)</x:f>
        <x:v>0</x:v>
      </x:c>
      <x:c r="AS28" s="120" t="n">
        <x:f>SUM(AS25:AS27)</x:f>
        <x:v>0</x:v>
      </x:c>
      <x:c r="AT28" s="120" t="n">
        <x:f>SUM(AT25:AT27)</x:f>
        <x:v>0</x:v>
      </x:c>
      <x:c r="AU28" s="120" t="n">
        <x:f>SUM(AU25:AU27)</x:f>
        <x:v>0</x:v>
      </x:c>
      <x:c r="AV28" s="120" t="n">
        <x:f>SUM(AV25:AV27)</x:f>
        <x:v>0</x:v>
      </x:c>
      <x:c r="AW28" s="120" t="n">
        <x:f>SUM(AW25:AW27)</x:f>
        <x:v>0</x:v>
      </x:c>
      <x:c r="AX28" s="120" t="n">
        <x:f>SUM(AX25:AX27)</x:f>
        <x:v>0</x:v>
      </x:c>
      <x:c r="AY28" s="120" t="n">
        <x:f>SUM(AY25:AY27)</x:f>
        <x:v>0</x:v>
      </x:c>
      <x:c r="AZ28" s="120" t="n">
        <x:f>SUM(AZ25:AZ27)</x:f>
        <x:v>0</x:v>
      </x:c>
      <x:c r="BA28" s="120" t="n">
        <x:f>SUM(BA25:BA27)</x:f>
        <x:v>0</x:v>
      </x:c>
      <x:c r="BB28" s="120" t="n">
        <x:f>SUM(BB25:BB27)</x:f>
        <x:v>0</x:v>
      </x:c>
      <x:c r="BC28" s="120" t="n">
        <x:f>SUM(BC25:BC27)</x:f>
        <x:v>0</x:v>
      </x:c>
      <x:c r="BD28" s="120" t="n">
        <x:f>SUM(BD25:BD27)</x:f>
        <x:v>0</x:v>
      </x:c>
      <x:c r="BE28" s="120" t="n">
        <x:f>SUM(BE25:BE27)</x:f>
        <x:v>0</x:v>
      </x:c>
      <x:c r="BF28" s="120" t="n">
        <x:f>SUM(BF25:BF27)</x:f>
        <x:v>0</x:v>
      </x:c>
      <x:c r="BG28" s="120" t="n">
        <x:f>SUM(BG25:BG27)</x:f>
        <x:v>0</x:v>
      </x:c>
      <x:c r="BH28" s="120" t="n">
        <x:f>SUM(BH25:BH27)</x:f>
        <x:v>0</x:v>
      </x:c>
      <x:c r="BI28" s="120" t="n">
        <x:f>SUM(BI25:BI27)</x:f>
        <x:v>0</x:v>
      </x:c>
      <x:c r="BJ28" s="120" t="n">
        <x:f>SUM(BJ25:BJ27)</x:f>
        <x:v>0</x:v>
      </x:c>
      <x:c r="BK28" s="120" t="n">
        <x:f>SUM(BK25:BK27)</x:f>
        <x:v>0</x:v>
      </x:c>
      <x:c r="BL28" s="120" t="n">
        <x:f>SUM(BL25:BL27)</x:f>
        <x:v>0</x:v>
      </x:c>
      <x:c r="BM28" s="120" t="n">
        <x:f>SUM(BM25:BM27)</x:f>
        <x:v>0</x:v>
      </x:c>
      <x:c r="BN28" s="120" t="n">
        <x:f>SUM(BN25:BN27)</x:f>
        <x:v>0</x:v>
      </x:c>
      <x:c r="BO28" s="120" t="n">
        <x:f>SUM(BO25:BO27)</x:f>
        <x:v>0</x:v>
      </x:c>
      <x:c r="BP28" s="120" t="n">
        <x:f>SUM(BP25:BP27)</x:f>
        <x:v>0</x:v>
      </x:c>
      <x:c r="BQ28" s="120" t="n">
        <x:f>SUM(BQ25:BQ27)</x:f>
        <x:v>0</x:v>
      </x:c>
      <x:c r="BR28" s="120" t="n">
        <x:f>SUM(BR25:BR27)</x:f>
        <x:v>0</x:v>
      </x:c>
      <x:c r="BS28" s="120" t="n">
        <x:f>SUM(BS25:BS27)</x:f>
        <x:v>0</x:v>
      </x:c>
      <x:c r="BT28" s="120" t="n">
        <x:f>SUM(BT25:BT27)</x:f>
        <x:v>0</x:v>
      </x:c>
      <x:c r="BU28" s="120" t="n">
        <x:f>SUM(BU25:BU27)</x:f>
        <x:v>0</x:v>
      </x:c>
      <x:c r="BV28" s="120" t="n">
        <x:f>SUM(BV25:BV27)</x:f>
        <x:v>0</x:v>
      </x:c>
      <x:c r="BW28" s="120" t="n">
        <x:f>SUM(BW25:BW27)</x:f>
        <x:v>0</x:v>
      </x:c>
      <x:c r="BX28" s="120" t="n">
        <x:f>SUM(BX25:BX27)</x:f>
        <x:v>0</x:v>
      </x:c>
      <x:c r="BY28" s="120" t="n">
        <x:f>SUM(BY25:BY27)</x:f>
        <x:v>0</x:v>
      </x:c>
      <x:c r="BZ28" s="120" t="n">
        <x:f>SUM(BZ25:BZ27)</x:f>
        <x:v>0</x:v>
      </x:c>
      <x:c r="CA28" s="120" t="n">
        <x:f>SUM(CA25:CA27)</x:f>
        <x:v>0</x:v>
      </x:c>
      <x:c r="CB28" s="120" t="n">
        <x:f>SUM(CB25:CB27)</x:f>
        <x:v>0</x:v>
      </x:c>
      <x:c r="CC28" s="120" t="n">
        <x:f>SUM(CC25:CC27)</x:f>
        <x:v>0</x:v>
      </x:c>
      <x:c r="CD28" s="120" t="n">
        <x:f>SUM(CD25:CD27)</x:f>
        <x:v>0</x:v>
      </x:c>
      <x:c r="CE28" s="120" t="n">
        <x:f>SUM(CE25:CE27)</x:f>
        <x:v>0</x:v>
      </x:c>
      <x:c r="CF28" s="120" t="n">
        <x:f>SUM(CF25:CF27)</x:f>
        <x:v>0</x:v>
      </x:c>
      <x:c r="CG28" s="120" t="n">
        <x:f>SUM(CG25:CG27)</x:f>
        <x:v>0</x:v>
      </x:c>
      <x:c r="CH28" s="120" t="n">
        <x:f>SUM(CH25:CH27)</x:f>
        <x:v>0</x:v>
      </x:c>
      <x:c r="CI28" s="120" t="n">
        <x:f>SUM(CI25:CI27)</x:f>
        <x:v>0</x:v>
      </x:c>
      <x:c r="CJ28" s="120" t="n">
        <x:f>SUM(CJ25:CJ27)</x:f>
        <x:v>0</x:v>
      </x:c>
      <x:c r="CK28" s="120" t="n">
        <x:f>SUM(CK25:CK27)</x:f>
        <x:v>0</x:v>
      </x:c>
      <x:c r="CL28" s="120" t="n">
        <x:f>SUM(CL25:CL27)</x:f>
        <x:v>0</x:v>
      </x:c>
      <x:c r="CM28" s="120" t="n">
        <x:f>SUM(CM25:CM27)</x:f>
        <x:v>0</x:v>
      </x:c>
      <x:c r="CN28" s="120" t="n">
        <x:f>SUM(CN25:CN27)</x:f>
        <x:v>0</x:v>
      </x:c>
      <x:c r="CO28" s="120" t="n">
        <x:f>SUM(CO25:CO27)</x:f>
        <x:v>0</x:v>
      </x:c>
      <x:c r="CP28" s="120" t="n">
        <x:f>SUM(CP25:CP27)</x:f>
        <x:v>0</x:v>
      </x:c>
      <x:c r="CQ28" s="120" t="n">
        <x:f>SUM(CQ25:CQ27)</x:f>
        <x:v>0</x:v>
      </x:c>
      <x:c r="CR28" s="120" t="n">
        <x:f>SUM(CR25:CR27)</x:f>
        <x:v>0</x:v>
      </x:c>
      <x:c r="CS28" s="120" t="n">
        <x:f>SUM(CS25:CS27)</x:f>
        <x:v>0</x:v>
      </x:c>
      <x:c r="CT28" s="120" t="n">
        <x:f>SUM(CT25:CT27)</x:f>
        <x:v>0</x:v>
      </x:c>
      <x:c r="CU28" s="120" t="n">
        <x:f>SUM(CU25:CU27)</x:f>
        <x:v>0</x:v>
      </x:c>
      <x:c r="CV28" s="120" t="n">
        <x:f>SUM(CV25:CV27)</x:f>
        <x:v>0</x:v>
      </x:c>
      <x:c r="CW28" s="120" t="n">
        <x:f>SUM(CW25:CW27)</x:f>
        <x:v>0</x:v>
      </x:c>
      <x:c r="CX28" s="120" t="n">
        <x:f>SUM(CX25:CX27)</x:f>
        <x:v>0</x:v>
      </x:c>
      <x:c r="CY28" s="120" t="n">
        <x:f>SUM(CY25:CY27)</x:f>
        <x:v>0</x:v>
      </x:c>
      <x:c r="CZ28" s="120" t="n">
        <x:f>SUM(CZ25:CZ27)</x:f>
        <x:v>0</x:v>
      </x:c>
      <x:c r="DA28" s="120" t="n">
        <x:f>SUM(DA25:DA27)</x:f>
        <x:v>0</x:v>
      </x:c>
      <x:c r="DB28" s="120" t="n">
        <x:f>SUM(DB25:DB27)</x:f>
        <x:v>0</x:v>
      </x:c>
      <x:c r="DC28" s="120" t="n">
        <x:f>SUM(DC25:DC27)</x:f>
        <x:v>0</x:v>
      </x:c>
      <x:c r="DD28" s="120" t="n">
        <x:f>SUM(DD25:DD27)</x:f>
        <x:v>0</x:v>
      </x:c>
      <x:c r="DE28" s="120" t="n">
        <x:f>SUM(DE25:DE27)</x:f>
        <x:v>0</x:v>
      </x:c>
      <x:c r="DF28" s="120" t="n">
        <x:f>SUM(DF25:DF27)</x:f>
        <x:v>0</x:v>
      </x:c>
      <x:c r="DG28" s="120" t="n">
        <x:f>SUM(DG25:DG27)</x:f>
        <x:v>0</x:v>
      </x:c>
      <x:c r="DH28" s="120" t="n">
        <x:f>SUM(DH25:DH27)</x:f>
        <x:v>0</x:v>
      </x:c>
      <x:c r="DI28" s="120" t="n">
        <x:f>SUM(DI25:DI27)</x:f>
        <x:v>0</x:v>
      </x:c>
      <x:c r="DJ28" s="120" t="n">
        <x:f>SUM(DJ25:DJ27)</x:f>
        <x:v>0</x:v>
      </x:c>
      <x:c r="DK28" s="120" t="n">
        <x:f>SUM(DK25:DK27)</x:f>
        <x:v>0</x:v>
      </x:c>
      <x:c r="DL28" s="120" t="n">
        <x:f>SUM(DL25:DL27)</x:f>
        <x:v>0</x:v>
      </x:c>
      <x:c r="DM28" s="120" t="n">
        <x:f>SUM(DM25:DM27)</x:f>
        <x:v>0</x:v>
      </x:c>
      <x:c r="DN28" s="120" t="n">
        <x:f>SUM(DN25:DN27)</x:f>
        <x:v>0</x:v>
      </x:c>
      <x:c r="DO28" s="120" t="n">
        <x:f>SUM(DO25:DO27)</x:f>
        <x:v>0</x:v>
      </x:c>
      <x:c r="DP28" s="120" t="n">
        <x:f>SUM(DP25:DP27)</x:f>
        <x:v>0</x:v>
      </x:c>
      <x:c r="DQ28" s="120" t="n">
        <x:f>SUM(DQ25:DQ27)</x:f>
        <x:v>0</x:v>
      </x:c>
      <x:c r="DR28" s="120" t="n">
        <x:f>SUM(DR25:DR27)</x:f>
        <x:v>0</x:v>
      </x:c>
      <x:c r="DS28" s="120" t="n">
        <x:f>SUM(DS25:DS27)</x:f>
        <x:v>0</x:v>
      </x:c>
    </x:row>
    <x:row r="29">
      <x:c r="A29" t="str">
        <x:v>Остаток на конец</x:v>
      </x:c>
      <x:c r="B29" s="107" t="n">
        <x:f>DS29</x:f>
        <x:v>0</x:v>
      </x:c>
      <x:c r="C29" t="str">
        <x:v>млн ₽</x:v>
      </x:c>
      <x:c r="D29" s="117" t="n">
        <x:f>MAX(0,D23+D24-D25)</x:f>
        <x:v>0</x:v>
      </x:c>
      <x:c r="E29" s="117" t="n">
        <x:f>MAX(0,E23+E24-E25)</x:f>
        <x:v>0</x:v>
      </x:c>
      <x:c r="F29" s="117" t="n">
        <x:f>MAX(0,F23+F24-F25)</x:f>
        <x:v>0</x:v>
      </x:c>
      <x:c r="G29" s="117" t="n">
        <x:f>MAX(0,G23+G24-G25)</x:f>
        <x:v>0</x:v>
      </x:c>
      <x:c r="H29" s="117" t="n">
        <x:f>MAX(0,H23+H24-H25)</x:f>
        <x:v>0</x:v>
      </x:c>
      <x:c r="I29" s="117" t="n">
        <x:f>MAX(0,I23+I24-I25)</x:f>
        <x:v>0</x:v>
      </x:c>
      <x:c r="J29" s="117" t="n">
        <x:f>MAX(0,J23+J24-J25)</x:f>
        <x:v>0</x:v>
      </x:c>
      <x:c r="K29" s="117" t="n">
        <x:f>MAX(0,K23+K24-K25)</x:f>
        <x:v>0</x:v>
      </x:c>
      <x:c r="L29" s="117" t="n">
        <x:f>MAX(0,L23+L24-L25)</x:f>
        <x:v>0</x:v>
      </x:c>
      <x:c r="M29" s="117" t="n">
        <x:f>MAX(0,M23+M24-M25)</x:f>
        <x:v>0</x:v>
      </x:c>
      <x:c r="N29" s="117" t="n">
        <x:f>MAX(0,N23+N24-N25)</x:f>
        <x:v>0</x:v>
      </x:c>
      <x:c r="O29" s="117" t="n">
        <x:f>MAX(0,O23+O24-O25)</x:f>
        <x:v>0</x:v>
      </x:c>
      <x:c r="P29" s="117" t="n">
        <x:f>MAX(0,P23+P24-P25)</x:f>
        <x:v>0</x:v>
      </x:c>
      <x:c r="Q29" s="117" t="n">
        <x:f>MAX(0,Q23+Q24-Q25)</x:f>
        <x:v>0</x:v>
      </x:c>
      <x:c r="R29" s="117" t="n">
        <x:f>MAX(0,R23+R24-R25)</x:f>
        <x:v>0</x:v>
      </x:c>
      <x:c r="S29" s="117" t="n">
        <x:f>MAX(0,S23+S24-S25)</x:f>
        <x:v>0</x:v>
      </x:c>
      <x:c r="T29" s="117" t="n">
        <x:f>MAX(0,T23+T24-T25)</x:f>
        <x:v>0</x:v>
      </x:c>
      <x:c r="U29" s="117" t="n">
        <x:f>MAX(0,U23+U24-U25)</x:f>
        <x:v>0</x:v>
      </x:c>
      <x:c r="V29" s="117" t="n">
        <x:f>MAX(0,V23+V24-V25)</x:f>
        <x:v>0</x:v>
      </x:c>
      <x:c r="W29" s="117" t="n">
        <x:f>MAX(0,W23+W24-W25)</x:f>
        <x:v>0</x:v>
      </x:c>
      <x:c r="X29" s="117" t="n">
        <x:f>MAX(0,X23+X24-X25)</x:f>
        <x:v>0</x:v>
      </x:c>
      <x:c r="Y29" s="117" t="n">
        <x:f>MAX(0,Y23+Y24-Y25)</x:f>
        <x:v>0</x:v>
      </x:c>
      <x:c r="Z29" s="117" t="n">
        <x:f>MAX(0,Z23+Z24-Z25)</x:f>
        <x:v>0</x:v>
      </x:c>
      <x:c r="AA29" s="117" t="n">
        <x:f>MAX(0,AA23+AA24-AA25)</x:f>
        <x:v>0</x:v>
      </x:c>
      <x:c r="AB29" s="117" t="n">
        <x:f>MAX(0,AB23+AB24-AB25)</x:f>
        <x:v>0</x:v>
      </x:c>
      <x:c r="AC29" s="117" t="n">
        <x:f>MAX(0,AC23+AC24-AC25)</x:f>
        <x:v>0</x:v>
      </x:c>
      <x:c r="AD29" s="117" t="n">
        <x:f>MAX(0,AD23+AD24-AD25)</x:f>
        <x:v>0</x:v>
      </x:c>
      <x:c r="AE29" s="117" t="n">
        <x:f>MAX(0,AE23+AE24-AE25)</x:f>
        <x:v>0</x:v>
      </x:c>
      <x:c r="AF29" s="117" t="n">
        <x:f>MAX(0,AF23+AF24-AF25)</x:f>
        <x:v>0</x:v>
      </x:c>
      <x:c r="AG29" s="117" t="n">
        <x:f>MAX(0,AG23+AG24-AG25)</x:f>
        <x:v>0</x:v>
      </x:c>
      <x:c r="AH29" s="117" t="n">
        <x:f>MAX(0,AH23+AH24-AH25)</x:f>
        <x:v>0</x:v>
      </x:c>
      <x:c r="AI29" s="117" t="n">
        <x:f>MAX(0,AI23+AI24-AI25)</x:f>
        <x:v>0</x:v>
      </x:c>
      <x:c r="AJ29" s="117" t="n">
        <x:f>MAX(0,AJ23+AJ24-AJ25)</x:f>
        <x:v>0</x:v>
      </x:c>
      <x:c r="AK29" s="117" t="n">
        <x:f>MAX(0,AK23+AK24-AK25)</x:f>
        <x:v>0</x:v>
      </x:c>
      <x:c r="AL29" s="117" t="n">
        <x:f>MAX(0,AL23+AL24-AL25)</x:f>
        <x:v>0</x:v>
      </x:c>
      <x:c r="AM29" s="117" t="n">
        <x:f>MAX(0,AM23+AM24-AM25)</x:f>
        <x:v>0</x:v>
      </x:c>
      <x:c r="AN29" s="117" t="n">
        <x:f>MAX(0,AN23+AN24-AN25)</x:f>
        <x:v>0</x:v>
      </x:c>
      <x:c r="AO29" s="117" t="n">
        <x:f>MAX(0,AO23+AO24-AO25)</x:f>
        <x:v>0</x:v>
      </x:c>
      <x:c r="AP29" s="117" t="n">
        <x:f>MAX(0,AP23+AP24-AP25)</x:f>
        <x:v>0</x:v>
      </x:c>
      <x:c r="AQ29" s="117" t="n">
        <x:f>MAX(0,AQ23+AQ24-AQ25)</x:f>
        <x:v>0</x:v>
      </x:c>
      <x:c r="AR29" s="117" t="n">
        <x:f>MAX(0,AR23+AR24-AR25)</x:f>
        <x:v>0</x:v>
      </x:c>
      <x:c r="AS29" s="117" t="n">
        <x:f>MAX(0,AS23+AS24-AS25)</x:f>
        <x:v>0</x:v>
      </x:c>
      <x:c r="AT29" s="117" t="n">
        <x:f>MAX(0,AT23+AT24-AT25)</x:f>
        <x:v>0</x:v>
      </x:c>
      <x:c r="AU29" s="117" t="n">
        <x:f>MAX(0,AU23+AU24-AU25)</x:f>
        <x:v>0</x:v>
      </x:c>
      <x:c r="AV29" s="117" t="n">
        <x:f>MAX(0,AV23+AV24-AV25)</x:f>
        <x:v>0</x:v>
      </x:c>
      <x:c r="AW29" s="117" t="n">
        <x:f>MAX(0,AW23+AW24-AW25)</x:f>
        <x:v>0</x:v>
      </x:c>
      <x:c r="AX29" s="117" t="n">
        <x:f>MAX(0,AX23+AX24-AX25)</x:f>
        <x:v>0</x:v>
      </x:c>
      <x:c r="AY29" s="117" t="n">
        <x:f>MAX(0,AY23+AY24-AY25)</x:f>
        <x:v>0</x:v>
      </x:c>
      <x:c r="AZ29" s="117" t="n">
        <x:f>MAX(0,AZ23+AZ24-AZ25)</x:f>
        <x:v>0</x:v>
      </x:c>
      <x:c r="BA29" s="117" t="n">
        <x:f>MAX(0,BA23+BA24-BA25)</x:f>
        <x:v>0</x:v>
      </x:c>
      <x:c r="BB29" s="117" t="n">
        <x:f>MAX(0,BB23+BB24-BB25)</x:f>
        <x:v>0</x:v>
      </x:c>
      <x:c r="BC29" s="117" t="n">
        <x:f>MAX(0,BC23+BC24-BC25)</x:f>
        <x:v>0</x:v>
      </x:c>
      <x:c r="BD29" s="117" t="n">
        <x:f>MAX(0,BD23+BD24-BD25)</x:f>
        <x:v>0</x:v>
      </x:c>
      <x:c r="BE29" s="117" t="n">
        <x:f>MAX(0,BE23+BE24-BE25)</x:f>
        <x:v>0</x:v>
      </x:c>
      <x:c r="BF29" s="117" t="n">
        <x:f>MAX(0,BF23+BF24-BF25)</x:f>
        <x:v>0</x:v>
      </x:c>
      <x:c r="BG29" s="117" t="n">
        <x:f>MAX(0,BG23+BG24-BG25)</x:f>
        <x:v>0</x:v>
      </x:c>
      <x:c r="BH29" s="117" t="n">
        <x:f>MAX(0,BH23+BH24-BH25)</x:f>
        <x:v>0</x:v>
      </x:c>
      <x:c r="BI29" s="117" t="n">
        <x:f>MAX(0,BI23+BI24-BI25)</x:f>
        <x:v>0</x:v>
      </x:c>
      <x:c r="BJ29" s="117" t="n">
        <x:f>MAX(0,BJ23+BJ24-BJ25)</x:f>
        <x:v>0</x:v>
      </x:c>
      <x:c r="BK29" s="117" t="n">
        <x:f>MAX(0,BK23+BK24-BK25)</x:f>
        <x:v>0</x:v>
      </x:c>
      <x:c r="BL29" s="117" t="n">
        <x:f>MAX(0,BL23+BL24-BL25)</x:f>
        <x:v>0</x:v>
      </x:c>
      <x:c r="BM29" s="117" t="n">
        <x:f>MAX(0,BM23+BM24-BM25)</x:f>
        <x:v>0</x:v>
      </x:c>
      <x:c r="BN29" s="117" t="n">
        <x:f>MAX(0,BN23+BN24-BN25)</x:f>
        <x:v>0</x:v>
      </x:c>
      <x:c r="BO29" s="117" t="n">
        <x:f>MAX(0,BO23+BO24-BO25)</x:f>
        <x:v>0</x:v>
      </x:c>
      <x:c r="BP29" s="117" t="n">
        <x:f>MAX(0,BP23+BP24-BP25)</x:f>
        <x:v>0</x:v>
      </x:c>
      <x:c r="BQ29" s="117" t="n">
        <x:f>MAX(0,BQ23+BQ24-BQ25)</x:f>
        <x:v>0</x:v>
      </x:c>
      <x:c r="BR29" s="117" t="n">
        <x:f>MAX(0,BR23+BR24-BR25)</x:f>
        <x:v>0</x:v>
      </x:c>
      <x:c r="BS29" s="117" t="n">
        <x:f>MAX(0,BS23+BS24-BS25)</x:f>
        <x:v>0</x:v>
      </x:c>
      <x:c r="BT29" s="117" t="n">
        <x:f>MAX(0,BT23+BT24-BT25)</x:f>
        <x:v>0</x:v>
      </x:c>
      <x:c r="BU29" s="117" t="n">
        <x:f>MAX(0,BU23+BU24-BU25)</x:f>
        <x:v>0</x:v>
      </x:c>
      <x:c r="BV29" s="117" t="n">
        <x:f>MAX(0,BV23+BV24-BV25)</x:f>
        <x:v>0</x:v>
      </x:c>
      <x:c r="BW29" s="117" t="n">
        <x:f>MAX(0,BW23+BW24-BW25)</x:f>
        <x:v>0</x:v>
      </x:c>
      <x:c r="BX29" s="117" t="n">
        <x:f>MAX(0,BX23+BX24-BX25)</x:f>
        <x:v>0</x:v>
      </x:c>
      <x:c r="BY29" s="117" t="n">
        <x:f>MAX(0,BY23+BY24-BY25)</x:f>
        <x:v>0</x:v>
      </x:c>
      <x:c r="BZ29" s="117" t="n">
        <x:f>MAX(0,BZ23+BZ24-BZ25)</x:f>
        <x:v>0</x:v>
      </x:c>
      <x:c r="CA29" s="117" t="n">
        <x:f>MAX(0,CA23+CA24-CA25)</x:f>
        <x:v>0</x:v>
      </x:c>
      <x:c r="CB29" s="117" t="n">
        <x:f>MAX(0,CB23+CB24-CB25)</x:f>
        <x:v>0</x:v>
      </x:c>
      <x:c r="CC29" s="117" t="n">
        <x:f>MAX(0,CC23+CC24-CC25)</x:f>
        <x:v>0</x:v>
      </x:c>
      <x:c r="CD29" s="117" t="n">
        <x:f>MAX(0,CD23+CD24-CD25)</x:f>
        <x:v>0</x:v>
      </x:c>
      <x:c r="CE29" s="117" t="n">
        <x:f>MAX(0,CE23+CE24-CE25)</x:f>
        <x:v>0</x:v>
      </x:c>
      <x:c r="CF29" s="117" t="n">
        <x:f>MAX(0,CF23+CF24-CF25)</x:f>
        <x:v>0</x:v>
      </x:c>
      <x:c r="CG29" s="117" t="n">
        <x:f>MAX(0,CG23+CG24-CG25)</x:f>
        <x:v>0</x:v>
      </x:c>
      <x:c r="CH29" s="117" t="n">
        <x:f>MAX(0,CH23+CH24-CH25)</x:f>
        <x:v>0</x:v>
      </x:c>
      <x:c r="CI29" s="117" t="n">
        <x:f>MAX(0,CI23+CI24-CI25)</x:f>
        <x:v>0</x:v>
      </x:c>
      <x:c r="CJ29" s="117" t="n">
        <x:f>MAX(0,CJ23+CJ24-CJ25)</x:f>
        <x:v>0</x:v>
      </x:c>
      <x:c r="CK29" s="117" t="n">
        <x:f>MAX(0,CK23+CK24-CK25)</x:f>
        <x:v>0</x:v>
      </x:c>
      <x:c r="CL29" s="117" t="n">
        <x:f>MAX(0,CL23+CL24-CL25)</x:f>
        <x:v>0</x:v>
      </x:c>
      <x:c r="CM29" s="117" t="n">
        <x:f>MAX(0,CM23+CM24-CM25)</x:f>
        <x:v>0</x:v>
      </x:c>
      <x:c r="CN29" s="117" t="n">
        <x:f>MAX(0,CN23+CN24-CN25)</x:f>
        <x:v>0</x:v>
      </x:c>
      <x:c r="CO29" s="117" t="n">
        <x:f>MAX(0,CO23+CO24-CO25)</x:f>
        <x:v>0</x:v>
      </x:c>
      <x:c r="CP29" s="117" t="n">
        <x:f>MAX(0,CP23+CP24-CP25)</x:f>
        <x:v>0</x:v>
      </x:c>
      <x:c r="CQ29" s="117" t="n">
        <x:f>MAX(0,CQ23+CQ24-CQ25)</x:f>
        <x:v>0</x:v>
      </x:c>
      <x:c r="CR29" s="117" t="n">
        <x:f>MAX(0,CR23+CR24-CR25)</x:f>
        <x:v>0</x:v>
      </x:c>
      <x:c r="CS29" s="117" t="n">
        <x:f>MAX(0,CS23+CS24-CS25)</x:f>
        <x:v>0</x:v>
      </x:c>
      <x:c r="CT29" s="117" t="n">
        <x:f>MAX(0,CT23+CT24-CT25)</x:f>
        <x:v>0</x:v>
      </x:c>
      <x:c r="CU29" s="117" t="n">
        <x:f>MAX(0,CU23+CU24-CU25)</x:f>
        <x:v>0</x:v>
      </x:c>
      <x:c r="CV29" s="117" t="n">
        <x:f>MAX(0,CV23+CV24-CV25)</x:f>
        <x:v>0</x:v>
      </x:c>
      <x:c r="CW29" s="117" t="n">
        <x:f>MAX(0,CW23+CW24-CW25)</x:f>
        <x:v>0</x:v>
      </x:c>
      <x:c r="CX29" s="117" t="n">
        <x:f>MAX(0,CX23+CX24-CX25)</x:f>
        <x:v>0</x:v>
      </x:c>
      <x:c r="CY29" s="117" t="n">
        <x:f>MAX(0,CY23+CY24-CY25)</x:f>
        <x:v>0</x:v>
      </x:c>
      <x:c r="CZ29" s="117" t="n">
        <x:f>MAX(0,CZ23+CZ24-CZ25)</x:f>
        <x:v>0</x:v>
      </x:c>
      <x:c r="DA29" s="117" t="n">
        <x:f>MAX(0,DA23+DA24-DA25)</x:f>
        <x:v>0</x:v>
      </x:c>
      <x:c r="DB29" s="117" t="n">
        <x:f>MAX(0,DB23+DB24-DB25)</x:f>
        <x:v>0</x:v>
      </x:c>
      <x:c r="DC29" s="117" t="n">
        <x:f>MAX(0,DC23+DC24-DC25)</x:f>
        <x:v>0</x:v>
      </x:c>
      <x:c r="DD29" s="117" t="n">
        <x:f>MAX(0,DD23+DD24-DD25)</x:f>
        <x:v>0</x:v>
      </x:c>
      <x:c r="DE29" s="117" t="n">
        <x:f>MAX(0,DE23+DE24-DE25)</x:f>
        <x:v>0</x:v>
      </x:c>
      <x:c r="DF29" s="117" t="n">
        <x:f>MAX(0,DF23+DF24-DF25)</x:f>
        <x:v>0</x:v>
      </x:c>
      <x:c r="DG29" s="117" t="n">
        <x:f>MAX(0,DG23+DG24-DG25)</x:f>
        <x:v>0</x:v>
      </x:c>
      <x:c r="DH29" s="117" t="n">
        <x:f>MAX(0,DH23+DH24-DH25)</x:f>
        <x:v>0</x:v>
      </x:c>
      <x:c r="DI29" s="117" t="n">
        <x:f>MAX(0,DI23+DI24-DI25)</x:f>
        <x:v>0</x:v>
      </x:c>
      <x:c r="DJ29" s="117" t="n">
        <x:f>MAX(0,DJ23+DJ24-DJ25)</x:f>
        <x:v>0</x:v>
      </x:c>
      <x:c r="DK29" s="117" t="n">
        <x:f>MAX(0,DK23+DK24-DK25)</x:f>
        <x:v>0</x:v>
      </x:c>
      <x:c r="DL29" s="117" t="n">
        <x:f>MAX(0,DL23+DL24-DL25)</x:f>
        <x:v>0</x:v>
      </x:c>
      <x:c r="DM29" s="117" t="n">
        <x:f>MAX(0,DM23+DM24-DM25)</x:f>
        <x:v>0</x:v>
      </x:c>
      <x:c r="DN29" s="117" t="n">
        <x:f>MAX(0,DN23+DN24-DN25)</x:f>
        <x:v>0</x:v>
      </x:c>
      <x:c r="DO29" s="117" t="n">
        <x:f>MAX(0,DO23+DO24-DO25)</x:f>
        <x:v>0</x:v>
      </x:c>
      <x:c r="DP29" s="117" t="n">
        <x:f>MAX(0,DP23+DP24-DP25)</x:f>
        <x:v>0</x:v>
      </x:c>
      <x:c r="DQ29" s="117" t="n">
        <x:f>MAX(0,DQ23+DQ24-DQ25)</x:f>
        <x:v>0</x:v>
      </x:c>
      <x:c r="DR29" s="117" t="n">
        <x:f>MAX(0,DR23+DR24-DR25)</x:f>
        <x:v>0</x:v>
      </x:c>
      <x:c r="DS29" s="117" t="n">
        <x:f>MAX(0,DS23+DS24-DS25)</x:f>
        <x:v>0</x:v>
      </x:c>
    </x:row>
    <x:row r="30">
      <x:c r="A30" t="str">
        <x:v>Ставка по рассрочке</x:v>
      </x:c>
      <x:c r="B30" t="n">
        <x:f>IFERROR(SUMPRODUCT(D30:DS30,--(D23:DS23&gt;0))/COUNTIF(D23:DS23,"&gt;0"),0)</x:f>
        <x:v>0</x:v>
      </x:c>
      <x:c r="C30" t="str">
        <x:v>% год</x:v>
      </x:c>
      <x:c r="D30" s="35" t="n">
        <x:f>'Ставки'!D$5+'Вводные'!$B$81</x:f>
        <x:v>0.17</x:v>
      </x:c>
      <x:c r="E30" s="35" t="n">
        <x:f>'Ставки'!E$5+'Вводные'!$B$81</x:f>
        <x:v>0.1679166666666667</x:v>
      </x:c>
      <x:c r="F30" s="35" t="n">
        <x:f>'Ставки'!F$5+'Вводные'!$B$81</x:f>
        <x:v>0.16583333333333333</x:v>
      </x:c>
      <x:c r="G30" s="35" t="n">
        <x:f>'Ставки'!G$5+'Вводные'!$B$81</x:f>
        <x:v>0.16375</x:v>
      </x:c>
      <x:c r="H30" s="35" t="n">
        <x:f>'Ставки'!H$5+'Вводные'!$B$81</x:f>
        <x:v>0.16166666666666668</x:v>
      </x:c>
      <x:c r="I30" s="35" t="n">
        <x:f>'Ставки'!I$5+'Вводные'!$B$81</x:f>
        <x:v>0.15958333333333333</x:v>
      </x:c>
      <x:c r="J30" s="35" t="n">
        <x:f>'Ставки'!J$5+'Вводные'!$B$81</x:f>
        <x:v>0.1575</x:v>
      </x:c>
      <x:c r="K30" s="35" t="n">
        <x:f>'Ставки'!K$5+'Вводные'!$B$81</x:f>
        <x:v>0.15541666666666668</x:v>
      </x:c>
      <x:c r="L30" s="35" t="n">
        <x:f>'Ставки'!L$5+'Вводные'!$B$81</x:f>
        <x:v>0.15333333333333335</x:v>
      </x:c>
      <x:c r="M30" s="35" t="n">
        <x:f>'Ставки'!M$5+'Вводные'!$B$81</x:f>
        <x:v>0.15125</x:v>
      </x:c>
      <x:c r="N30" s="35" t="n">
        <x:f>'Ставки'!N$5+'Вводные'!$B$81</x:f>
        <x:v>0.14916666666666667</x:v>
      </x:c>
      <x:c r="O30" s="35" t="n">
        <x:f>'Ставки'!O$5+'Вводные'!$B$81</x:f>
        <x:v>0.14708333333333334</x:v>
      </x:c>
      <x:c r="P30" s="35" t="n">
        <x:f>'Ставки'!P$5+'Вводные'!$B$81</x:f>
        <x:v>0.14500000000000002</x:v>
      </x:c>
      <x:c r="Q30" s="35" t="n">
        <x:f>'Ставки'!Q$5+'Вводные'!$B$81</x:f>
        <x:v>0.14291666666666666</x:v>
      </x:c>
      <x:c r="R30" s="35" t="n">
        <x:f>'Ставки'!R$5+'Вводные'!$B$81</x:f>
        <x:v>0.14083333333333334</x:v>
      </x:c>
      <x:c r="S30" s="35" t="n">
        <x:f>'Ставки'!S$5+'Вводные'!$B$81</x:f>
        <x:v>0.13874999999999998</x:v>
      </x:c>
      <x:c r="T30" s="35" t="n">
        <x:f>'Ставки'!T$5+'Вводные'!$B$81</x:f>
        <x:v>0.13666666666666666</x:v>
      </x:c>
      <x:c r="U30" s="35" t="n">
        <x:f>'Ставки'!U$5+'Вводные'!$B$81</x:f>
        <x:v>0.13458333333333333</x:v>
      </x:c>
      <x:c r="V30" s="35" t="n">
        <x:f>'Ставки'!V$5+'Вводные'!$B$81</x:f>
        <x:v>0.1325</x:v>
      </x:c>
      <x:c r="W30" s="35" t="n">
        <x:f>'Ставки'!W$5+'Вводные'!$B$81</x:f>
        <x:v>0.13041666666666668</x:v>
      </x:c>
      <x:c r="X30" s="35" t="n">
        <x:f>'Ставки'!X$5+'Вводные'!$B$81</x:f>
        <x:v>0.12833333333333333</x:v>
      </x:c>
      <x:c r="Y30" s="35" t="n">
        <x:f>'Ставки'!Y$5+'Вводные'!$B$81</x:f>
        <x:v>0.12625</x:v>
      </x:c>
      <x:c r="Z30" s="35" t="n">
        <x:f>'Ставки'!Z$5+'Вводные'!$B$81</x:f>
        <x:v>0.12416666666666668</x:v>
      </x:c>
      <x:c r="AA30" s="35" t="n">
        <x:f>'Ставки'!AA$5+'Вводные'!$B$81</x:f>
        <x:v>0.12208333333333332</x:v>
      </x:c>
      <x:c r="AB30" s="35" t="n">
        <x:f>'Ставки'!AB$5+'Вводные'!$B$81</x:f>
        <x:v>0.12</x:v>
      </x:c>
      <x:c r="AC30" s="35" t="n">
        <x:f>'Ставки'!AC$5+'Вводные'!$B$81</x:f>
        <x:v>0.12</x:v>
      </x:c>
      <x:c r="AD30" s="35" t="n">
        <x:f>'Ставки'!AD$5+'Вводные'!$B$81</x:f>
        <x:v>0.12</x:v>
      </x:c>
      <x:c r="AE30" s="35" t="n">
        <x:f>'Ставки'!AE$5+'Вводные'!$B$81</x:f>
        <x:v>0.12</x:v>
      </x:c>
      <x:c r="AF30" s="35" t="n">
        <x:f>'Ставки'!AF$5+'Вводные'!$B$81</x:f>
        <x:v>0.12</x:v>
      </x:c>
      <x:c r="AG30" s="35" t="n">
        <x:f>'Ставки'!AG$5+'Вводные'!$B$81</x:f>
        <x:v>0.12</x:v>
      </x:c>
      <x:c r="AH30" s="35" t="n">
        <x:f>'Ставки'!AH$5+'Вводные'!$B$81</x:f>
        <x:v>0.12</x:v>
      </x:c>
      <x:c r="AI30" s="35" t="n">
        <x:f>'Ставки'!AI$5+'Вводные'!$B$81</x:f>
        <x:v>0.12</x:v>
      </x:c>
      <x:c r="AJ30" s="35" t="n">
        <x:f>'Ставки'!AJ$5+'Вводные'!$B$81</x:f>
        <x:v>0.12</x:v>
      </x:c>
      <x:c r="AK30" s="35" t="n">
        <x:f>'Ставки'!AK$5+'Вводные'!$B$81</x:f>
        <x:v>0.12</x:v>
      </x:c>
      <x:c r="AL30" s="35" t="n">
        <x:f>'Ставки'!AL$5+'Вводные'!$B$81</x:f>
        <x:v>0.12</x:v>
      </x:c>
      <x:c r="AM30" s="35" t="n">
        <x:f>'Ставки'!AM$5+'Вводные'!$B$81</x:f>
        <x:v>0.12</x:v>
      </x:c>
      <x:c r="AN30" s="35" t="n">
        <x:f>'Ставки'!AN$5+'Вводные'!$B$81</x:f>
        <x:v>0.12</x:v>
      </x:c>
      <x:c r="AO30" s="35" t="n">
        <x:f>'Ставки'!AO$5+'Вводные'!$B$81</x:f>
        <x:v>0.12</x:v>
      </x:c>
      <x:c r="AP30" s="35" t="n">
        <x:f>'Ставки'!AP$5+'Вводные'!$B$81</x:f>
        <x:v>0.12</x:v>
      </x:c>
      <x:c r="AQ30" s="35" t="n">
        <x:f>'Ставки'!AQ$5+'Вводные'!$B$81</x:f>
        <x:v>0.12</x:v>
      </x:c>
      <x:c r="AR30" s="35" t="n">
        <x:f>'Ставки'!AR$5+'Вводные'!$B$81</x:f>
        <x:v>0.12</x:v>
      </x:c>
      <x:c r="AS30" s="35" t="n">
        <x:f>'Ставки'!AS$5+'Вводные'!$B$81</x:f>
        <x:v>0.12</x:v>
      </x:c>
      <x:c r="AT30" s="35" t="n">
        <x:f>'Ставки'!AT$5+'Вводные'!$B$81</x:f>
        <x:v>0.12</x:v>
      </x:c>
      <x:c r="AU30" s="35" t="n">
        <x:f>'Ставки'!AU$5+'Вводные'!$B$81</x:f>
        <x:v>0.12</x:v>
      </x:c>
      <x:c r="AV30" s="35" t="n">
        <x:f>'Ставки'!AV$5+'Вводные'!$B$81</x:f>
        <x:v>0.12</x:v>
      </x:c>
      <x:c r="AW30" s="35" t="n">
        <x:f>'Ставки'!AW$5+'Вводные'!$B$81</x:f>
        <x:v>0.12</x:v>
      </x:c>
      <x:c r="AX30" s="35" t="n">
        <x:f>'Ставки'!AX$5+'Вводные'!$B$81</x:f>
        <x:v>0.12</x:v>
      </x:c>
      <x:c r="AY30" s="35" t="n">
        <x:f>'Ставки'!AY$5+'Вводные'!$B$81</x:f>
        <x:v>0.12</x:v>
      </x:c>
      <x:c r="AZ30" s="35" t="n">
        <x:f>'Ставки'!AZ$5+'Вводные'!$B$81</x:f>
        <x:v>0.12</x:v>
      </x:c>
      <x:c r="BA30" s="35" t="n">
        <x:f>'Ставки'!BA$5+'Вводные'!$B$81</x:f>
        <x:v>0.12</x:v>
      </x:c>
      <x:c r="BB30" s="35" t="n">
        <x:f>'Ставки'!BB$5+'Вводные'!$B$81</x:f>
        <x:v>0.12</x:v>
      </x:c>
      <x:c r="BC30" s="35" t="n">
        <x:f>'Ставки'!BC$5+'Вводные'!$B$81</x:f>
        <x:v>0.12</x:v>
      </x:c>
      <x:c r="BD30" s="35" t="n">
        <x:f>'Ставки'!BD$5+'Вводные'!$B$81</x:f>
        <x:v>0.12</x:v>
      </x:c>
      <x:c r="BE30" s="35" t="n">
        <x:f>'Ставки'!BE$5+'Вводные'!$B$81</x:f>
        <x:v>0.12</x:v>
      </x:c>
      <x:c r="BF30" s="35" t="n">
        <x:f>'Ставки'!BF$5+'Вводные'!$B$81</x:f>
        <x:v>0.12</x:v>
      </x:c>
      <x:c r="BG30" s="35" t="n">
        <x:f>'Ставки'!BG$5+'Вводные'!$B$81</x:f>
        <x:v>0.12</x:v>
      </x:c>
      <x:c r="BH30" s="35" t="n">
        <x:f>'Ставки'!BH$5+'Вводные'!$B$81</x:f>
        <x:v>0.12</x:v>
      </x:c>
      <x:c r="BI30" s="35" t="n">
        <x:f>'Ставки'!BI$5+'Вводные'!$B$81</x:f>
        <x:v>0.12</x:v>
      </x:c>
      <x:c r="BJ30" s="35" t="n">
        <x:f>'Ставки'!BJ$5+'Вводные'!$B$81</x:f>
        <x:v>0.12</x:v>
      </x:c>
      <x:c r="BK30" s="35" t="n">
        <x:f>'Ставки'!BK$5+'Вводные'!$B$81</x:f>
        <x:v>0.12</x:v>
      </x:c>
      <x:c r="BL30" s="35" t="n">
        <x:f>'Ставки'!BL$5+'Вводные'!$B$81</x:f>
        <x:v>0.12</x:v>
      </x:c>
      <x:c r="BM30" s="35" t="n">
        <x:f>'Ставки'!BM$5+'Вводные'!$B$81</x:f>
        <x:v>0.12</x:v>
      </x:c>
      <x:c r="BN30" s="35" t="n">
        <x:f>'Ставки'!BN$5+'Вводные'!$B$81</x:f>
        <x:v>0.12</x:v>
      </x:c>
      <x:c r="BO30" s="35" t="n">
        <x:f>'Ставки'!BO$5+'Вводные'!$B$81</x:f>
        <x:v>0.12</x:v>
      </x:c>
      <x:c r="BP30" s="35" t="n">
        <x:f>'Ставки'!BP$5+'Вводные'!$B$81</x:f>
        <x:v>0.12</x:v>
      </x:c>
      <x:c r="BQ30" s="35" t="n">
        <x:f>'Ставки'!BQ$5+'Вводные'!$B$81</x:f>
        <x:v>0.12</x:v>
      </x:c>
      <x:c r="BR30" s="35" t="n">
        <x:f>'Ставки'!BR$5+'Вводные'!$B$81</x:f>
        <x:v>0.12</x:v>
      </x:c>
      <x:c r="BS30" s="35" t="n">
        <x:f>'Ставки'!BS$5+'Вводные'!$B$81</x:f>
        <x:v>0.12</x:v>
      </x:c>
      <x:c r="BT30" s="35" t="n">
        <x:f>'Ставки'!BT$5+'Вводные'!$B$81</x:f>
        <x:v>0.12</x:v>
      </x:c>
      <x:c r="BU30" s="35" t="n">
        <x:f>'Ставки'!BU$5+'Вводные'!$B$81</x:f>
        <x:v>0.12</x:v>
      </x:c>
      <x:c r="BV30" s="35" t="n">
        <x:f>'Ставки'!BV$5+'Вводные'!$B$81</x:f>
        <x:v>0.12</x:v>
      </x:c>
      <x:c r="BW30" s="35" t="n">
        <x:f>'Ставки'!BW$5+'Вводные'!$B$81</x:f>
        <x:v>0.12</x:v>
      </x:c>
      <x:c r="BX30" s="35" t="n">
        <x:f>'Ставки'!BX$5+'Вводные'!$B$81</x:f>
        <x:v>0.12</x:v>
      </x:c>
      <x:c r="BY30" s="35" t="n">
        <x:f>'Ставки'!BY$5+'Вводные'!$B$81</x:f>
        <x:v>0.12</x:v>
      </x:c>
      <x:c r="BZ30" s="35" t="n">
        <x:f>'Ставки'!BZ$5+'Вводные'!$B$81</x:f>
        <x:v>0.12</x:v>
      </x:c>
      <x:c r="CA30" s="35" t="n">
        <x:f>'Ставки'!CA$5+'Вводные'!$B$81</x:f>
        <x:v>0.12</x:v>
      </x:c>
      <x:c r="CB30" s="35" t="n">
        <x:f>'Ставки'!CB$5+'Вводные'!$B$81</x:f>
        <x:v>0.12</x:v>
      </x:c>
      <x:c r="CC30" s="35" t="n">
        <x:f>'Ставки'!CC$5+'Вводные'!$B$81</x:f>
        <x:v>0.12</x:v>
      </x:c>
      <x:c r="CD30" s="35" t="n">
        <x:f>'Ставки'!CD$5+'Вводные'!$B$81</x:f>
        <x:v>0.12</x:v>
      </x:c>
      <x:c r="CE30" s="35" t="n">
        <x:f>'Ставки'!CE$5+'Вводные'!$B$81</x:f>
        <x:v>0.12</x:v>
      </x:c>
      <x:c r="CF30" s="35" t="n">
        <x:f>'Ставки'!CF$5+'Вводные'!$B$81</x:f>
        <x:v>0.12</x:v>
      </x:c>
      <x:c r="CG30" s="35" t="n">
        <x:f>'Ставки'!CG$5+'Вводные'!$B$81</x:f>
        <x:v>0.12</x:v>
      </x:c>
      <x:c r="CH30" s="35" t="n">
        <x:f>'Ставки'!CH$5+'Вводные'!$B$81</x:f>
        <x:v>0.12</x:v>
      </x:c>
      <x:c r="CI30" s="35" t="n">
        <x:f>'Ставки'!CI$5+'Вводные'!$B$81</x:f>
        <x:v>0.12</x:v>
      </x:c>
      <x:c r="CJ30" s="35" t="n">
        <x:f>'Ставки'!CJ$5+'Вводные'!$B$81</x:f>
        <x:v>0.12</x:v>
      </x:c>
      <x:c r="CK30" s="35" t="n">
        <x:f>'Ставки'!CK$5+'Вводные'!$B$81</x:f>
        <x:v>0.12</x:v>
      </x:c>
      <x:c r="CL30" s="35" t="n">
        <x:f>'Ставки'!CL$5+'Вводные'!$B$81</x:f>
        <x:v>0.12</x:v>
      </x:c>
      <x:c r="CM30" s="35" t="n">
        <x:f>'Ставки'!CM$5+'Вводные'!$B$81</x:f>
        <x:v>0.12</x:v>
      </x:c>
      <x:c r="CN30" s="35" t="n">
        <x:f>'Ставки'!CN$5+'Вводные'!$B$81</x:f>
        <x:v>0.12</x:v>
      </x:c>
      <x:c r="CO30" s="35" t="n">
        <x:f>'Ставки'!CO$5+'Вводные'!$B$81</x:f>
        <x:v>0.12</x:v>
      </x:c>
      <x:c r="CP30" s="35" t="n">
        <x:f>'Ставки'!CP$5+'Вводные'!$B$81</x:f>
        <x:v>0.12</x:v>
      </x:c>
      <x:c r="CQ30" s="35" t="n">
        <x:f>'Ставки'!CQ$5+'Вводные'!$B$81</x:f>
        <x:v>0.12</x:v>
      </x:c>
      <x:c r="CR30" s="35" t="n">
        <x:f>'Ставки'!CR$5+'Вводные'!$B$81</x:f>
        <x:v>0.12</x:v>
      </x:c>
      <x:c r="CS30" s="35" t="n">
        <x:f>'Ставки'!CS$5+'Вводные'!$B$81</x:f>
        <x:v>0.12</x:v>
      </x:c>
      <x:c r="CT30" s="35" t="n">
        <x:f>'Ставки'!CT$5+'Вводные'!$B$81</x:f>
        <x:v>0.12</x:v>
      </x:c>
      <x:c r="CU30" s="35" t="n">
        <x:f>'Ставки'!CU$5+'Вводные'!$B$81</x:f>
        <x:v>0.12</x:v>
      </x:c>
      <x:c r="CV30" s="35" t="n">
        <x:f>'Ставки'!CV$5+'Вводные'!$B$81</x:f>
        <x:v>0.12</x:v>
      </x:c>
      <x:c r="CW30" s="35" t="n">
        <x:f>'Ставки'!CW$5+'Вводные'!$B$81</x:f>
        <x:v>0.12</x:v>
      </x:c>
      <x:c r="CX30" s="35" t="n">
        <x:f>'Ставки'!CX$5+'Вводные'!$B$81</x:f>
        <x:v>0.12</x:v>
      </x:c>
      <x:c r="CY30" s="35" t="n">
        <x:f>'Ставки'!CY$5+'Вводные'!$B$81</x:f>
        <x:v>0.12</x:v>
      </x:c>
      <x:c r="CZ30" s="35" t="n">
        <x:f>'Ставки'!CZ$5+'Вводные'!$B$81</x:f>
        <x:v>0.12</x:v>
      </x:c>
      <x:c r="DA30" s="35" t="n">
        <x:f>'Ставки'!DA$5+'Вводные'!$B$81</x:f>
        <x:v>0.12</x:v>
      </x:c>
      <x:c r="DB30" s="35" t="n">
        <x:f>'Ставки'!DB$5+'Вводные'!$B$81</x:f>
        <x:v>0.12</x:v>
      </x:c>
      <x:c r="DC30" s="35" t="n">
        <x:f>'Ставки'!DC$5+'Вводные'!$B$81</x:f>
        <x:v>0.12</x:v>
      </x:c>
      <x:c r="DD30" s="35" t="n">
        <x:f>'Ставки'!DD$5+'Вводные'!$B$81</x:f>
        <x:v>0.12</x:v>
      </x:c>
      <x:c r="DE30" s="35" t="n">
        <x:f>'Ставки'!DE$5+'Вводные'!$B$81</x:f>
        <x:v>0.12</x:v>
      </x:c>
      <x:c r="DF30" s="35" t="n">
        <x:f>'Ставки'!DF$5+'Вводные'!$B$81</x:f>
        <x:v>0.12</x:v>
      </x:c>
      <x:c r="DG30" s="35" t="n">
        <x:f>'Ставки'!DG$5+'Вводные'!$B$81</x:f>
        <x:v>0.12</x:v>
      </x:c>
      <x:c r="DH30" s="35" t="n">
        <x:f>'Ставки'!DH$5+'Вводные'!$B$81</x:f>
        <x:v>0.12</x:v>
      </x:c>
      <x:c r="DI30" s="35" t="n">
        <x:f>'Ставки'!DI$5+'Вводные'!$B$81</x:f>
        <x:v>0.12</x:v>
      </x:c>
      <x:c r="DJ30" s="35" t="n">
        <x:f>'Ставки'!DJ$5+'Вводные'!$B$81</x:f>
        <x:v>0.12</x:v>
      </x:c>
      <x:c r="DK30" s="35" t="n">
        <x:f>'Ставки'!DK$5+'Вводные'!$B$81</x:f>
        <x:v>0.12</x:v>
      </x:c>
      <x:c r="DL30" s="35" t="n">
        <x:f>'Ставки'!DL$5+'Вводные'!$B$81</x:f>
        <x:v>0.12</x:v>
      </x:c>
      <x:c r="DM30" s="35" t="n">
        <x:f>'Ставки'!DM$5+'Вводные'!$B$81</x:f>
        <x:v>0.12</x:v>
      </x:c>
      <x:c r="DN30" s="35" t="n">
        <x:f>'Ставки'!DN$5+'Вводные'!$B$81</x:f>
        <x:v>0.12</x:v>
      </x:c>
      <x:c r="DO30" s="35" t="n">
        <x:f>'Ставки'!DO$5+'Вводные'!$B$81</x:f>
        <x:v>0.12</x:v>
      </x:c>
      <x:c r="DP30" s="35" t="n">
        <x:f>'Ставки'!DP$5+'Вводные'!$B$81</x:f>
        <x:v>0.12</x:v>
      </x:c>
      <x:c r="DQ30" s="35" t="n">
        <x:f>'Ставки'!DQ$5+'Вводные'!$B$81</x:f>
        <x:v>0.12</x:v>
      </x:c>
      <x:c r="DR30" s="35" t="n">
        <x:f>'Ставки'!DR$5+'Вводные'!$B$81</x:f>
        <x:v>0.12</x:v>
      </x:c>
      <x:c r="DS30" s="35" t="n">
        <x:f>'Ставки'!DS$5+'Вводные'!$B$81</x:f>
        <x:v>0.12</x:v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  <x:v>48366</x:v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  <x:v>48396</x:v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  <x:v>0</x:v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  <x:v>0</x:v>
      </x:c>
      <x:c r="C36" t="str">
        <x:v>млн ₽</x:v>
      </x:c>
      <x:c r="D36" s="117" t="n">
        <x:f>0</x:f>
        <x:v>0</x:v>
      </x:c>
      <x:c r="E36" s="117" t="n">
        <x:f>D42</x:f>
        <x:v>0</x:v>
      </x:c>
      <x:c r="F36" s="117" t="n">
        <x:f>E42</x:f>
        <x:v>0</x:v>
      </x:c>
      <x:c r="G36" s="117" t="n">
        <x:f>F42</x:f>
        <x:v>0</x:v>
      </x:c>
      <x:c r="H36" s="117" t="n">
        <x:f>G42</x:f>
        <x:v>0</x:v>
      </x:c>
      <x:c r="I36" s="117" t="n">
        <x:f>H42</x:f>
        <x:v>0</x:v>
      </x:c>
      <x:c r="J36" s="117" t="n">
        <x:f>I42</x:f>
        <x:v>0</x:v>
      </x:c>
      <x:c r="K36" s="117" t="n">
        <x:f>J42</x:f>
        <x:v>0</x:v>
      </x:c>
      <x:c r="L36" s="117" t="n">
        <x:f>K42</x:f>
        <x:v>0</x:v>
      </x:c>
      <x:c r="M36" s="117" t="n">
        <x:f>L42</x:f>
        <x:v>0</x:v>
      </x:c>
      <x:c r="N36" s="117" t="n">
        <x:f>M42</x:f>
        <x:v>0</x:v>
      </x:c>
      <x:c r="O36" s="117" t="n">
        <x:f>N42</x:f>
        <x:v>0</x:v>
      </x:c>
      <x:c r="P36" s="117" t="n">
        <x:f>O42</x:f>
        <x:v>0</x:v>
      </x:c>
      <x:c r="Q36" s="117" t="n">
        <x:f>P42</x:f>
        <x:v>0</x:v>
      </x:c>
      <x:c r="R36" s="117" t="n">
        <x:f>Q42</x:f>
        <x:v>0</x:v>
      </x:c>
      <x:c r="S36" s="117" t="n">
        <x:f>R42</x:f>
        <x:v>0</x:v>
      </x:c>
      <x:c r="T36" s="117" t="n">
        <x:f>S42</x:f>
        <x:v>0</x:v>
      </x:c>
      <x:c r="U36" s="117" t="n">
        <x:f>T42</x:f>
        <x:v>0</x:v>
      </x:c>
      <x:c r="V36" s="117" t="n">
        <x:f>U42</x:f>
        <x:v>0</x:v>
      </x:c>
      <x:c r="W36" s="117" t="n">
        <x:f>V42</x:f>
        <x:v>0</x:v>
      </x:c>
      <x:c r="X36" s="117" t="n">
        <x:f>W42</x:f>
        <x:v>0</x:v>
      </x:c>
      <x:c r="Y36" s="117" t="n">
        <x:f>X42</x:f>
        <x:v>0</x:v>
      </x:c>
      <x:c r="Z36" s="117" t="n">
        <x:f>Y42</x:f>
        <x:v>0</x:v>
      </x:c>
      <x:c r="AA36" s="117" t="n">
        <x:f>Z42</x:f>
        <x:v>0</x:v>
      </x:c>
      <x:c r="AB36" s="117" t="n">
        <x:f>AA42</x:f>
        <x:v>0</x:v>
      </x:c>
      <x:c r="AC36" s="117" t="n">
        <x:f>AB42</x:f>
        <x:v>0</x:v>
      </x:c>
      <x:c r="AD36" s="117" t="n">
        <x:f>AC42</x:f>
        <x:v>0</x:v>
      </x:c>
      <x:c r="AE36" s="117" t="n">
        <x:f>AD42</x:f>
        <x:v>0</x:v>
      </x:c>
      <x:c r="AF36" s="117" t="n">
        <x:f>AE42</x:f>
        <x:v>0</x:v>
      </x:c>
      <x:c r="AG36" s="117" t="n">
        <x:f>AF42</x:f>
        <x:v>0</x:v>
      </x:c>
      <x:c r="AH36" s="117" t="n">
        <x:f>AG42</x:f>
        <x:v>0</x:v>
      </x:c>
      <x:c r="AI36" s="117" t="n">
        <x:f>AH42</x:f>
        <x:v>0</x:v>
      </x:c>
      <x:c r="AJ36" s="117" t="n">
        <x:f>AI42</x:f>
        <x:v>0</x:v>
      </x:c>
      <x:c r="AK36" s="117" t="n">
        <x:f>AJ42</x:f>
        <x:v>0</x:v>
      </x:c>
      <x:c r="AL36" s="117" t="n">
        <x:f>AK42</x:f>
        <x:v>0</x:v>
      </x:c>
      <x:c r="AM36" s="117" t="n">
        <x:f>AL42</x:f>
        <x:v>0</x:v>
      </x:c>
      <x:c r="AN36" s="117" t="n">
        <x:f>AM42</x:f>
        <x:v>0</x:v>
      </x:c>
      <x:c r="AO36" s="117" t="n">
        <x:f>AN42</x:f>
        <x:v>0</x:v>
      </x:c>
      <x:c r="AP36" s="117" t="n">
        <x:f>AO42</x:f>
        <x:v>0</x:v>
      </x:c>
      <x:c r="AQ36" s="117" t="n">
        <x:f>AP42</x:f>
        <x:v>0</x:v>
      </x:c>
      <x:c r="AR36" s="117" t="n">
        <x:f>AQ42</x:f>
        <x:v>0</x:v>
      </x:c>
      <x:c r="AS36" s="117" t="n">
        <x:f>AR42</x:f>
        <x:v>0</x:v>
      </x:c>
      <x:c r="AT36" s="117" t="n">
        <x:f>AS42</x:f>
        <x:v>0</x:v>
      </x:c>
      <x:c r="AU36" s="117" t="n">
        <x:f>AT42</x:f>
        <x:v>0</x:v>
      </x:c>
      <x:c r="AV36" s="117" t="n">
        <x:f>AU42</x:f>
        <x:v>0</x:v>
      </x:c>
      <x:c r="AW36" s="117" t="n">
        <x:f>AV42</x:f>
        <x:v>0</x:v>
      </x:c>
      <x:c r="AX36" s="117" t="n">
        <x:f>AW42</x:f>
        <x:v>0</x:v>
      </x:c>
      <x:c r="AY36" s="117" t="n">
        <x:f>AX42</x:f>
        <x:v>0</x:v>
      </x:c>
      <x:c r="AZ36" s="117" t="n">
        <x:f>AY42</x:f>
        <x:v>0</x:v>
      </x:c>
      <x:c r="BA36" s="117" t="n">
        <x:f>AZ42</x:f>
        <x:v>0</x:v>
      </x:c>
      <x:c r="BB36" s="117" t="n">
        <x:f>BA42</x:f>
        <x:v>0</x:v>
      </x:c>
      <x:c r="BC36" s="117" t="n">
        <x:f>BB42</x:f>
        <x:v>0</x:v>
      </x:c>
      <x:c r="BD36" s="117" t="n">
        <x:f>BC42</x:f>
        <x:v>0</x:v>
      </x:c>
      <x:c r="BE36" s="117" t="n">
        <x:f>BD42</x:f>
        <x:v>0</x:v>
      </x:c>
      <x:c r="BF36" s="117" t="n">
        <x:f>BE42</x:f>
        <x:v>0</x:v>
      </x:c>
      <x:c r="BG36" s="117" t="n">
        <x:f>BF42</x:f>
        <x:v>0</x:v>
      </x:c>
      <x:c r="BH36" s="117" t="n">
        <x:f>BG42</x:f>
        <x:v>0</x:v>
      </x:c>
      <x:c r="BI36" s="117" t="n">
        <x:f>BH42</x:f>
        <x:v>0</x:v>
      </x:c>
      <x:c r="BJ36" s="117" t="n">
        <x:f>BI42</x:f>
        <x:v>0</x:v>
      </x:c>
      <x:c r="BK36" s="117" t="n">
        <x:f>BJ42</x:f>
        <x:v>0</x:v>
      </x:c>
      <x:c r="BL36" s="117" t="n">
        <x:f>BK42</x:f>
        <x:v>0</x:v>
      </x:c>
      <x:c r="BM36" s="117" t="n">
        <x:f>BL42</x:f>
        <x:v>0</x:v>
      </x:c>
      <x:c r="BN36" s="117" t="n">
        <x:f>BM42</x:f>
        <x:v>0</x:v>
      </x:c>
      <x:c r="BO36" s="117" t="n">
        <x:f>BN42</x:f>
        <x:v>0</x:v>
      </x:c>
      <x:c r="BP36" s="117" t="n">
        <x:f>BO42</x:f>
        <x:v>0</x:v>
      </x:c>
      <x:c r="BQ36" s="117" t="n">
        <x:f>BP42</x:f>
        <x:v>0</x:v>
      </x:c>
      <x:c r="BR36" s="117" t="n">
        <x:f>BQ42</x:f>
        <x:v>0</x:v>
      </x:c>
      <x:c r="BS36" s="117" t="n">
        <x:f>BR42</x:f>
        <x:v>0</x:v>
      </x:c>
      <x:c r="BT36" s="117" t="n">
        <x:f>BS42</x:f>
        <x:v>0</x:v>
      </x:c>
      <x:c r="BU36" s="117" t="n">
        <x:f>BT42</x:f>
        <x:v>0</x:v>
      </x:c>
      <x:c r="BV36" s="117" t="n">
        <x:f>BU42</x:f>
        <x:v>0</x:v>
      </x:c>
      <x:c r="BW36" s="117" t="n">
        <x:f>BV42</x:f>
        <x:v>0</x:v>
      </x:c>
      <x:c r="BX36" s="117" t="n">
        <x:f>BW42</x:f>
        <x:v>0</x:v>
      </x:c>
      <x:c r="BY36" s="117" t="n">
        <x:f>BX42</x:f>
        <x:v>0</x:v>
      </x:c>
      <x:c r="BZ36" s="117" t="n">
        <x:f>BY42</x:f>
        <x:v>0</x:v>
      </x:c>
      <x:c r="CA36" s="117" t="n">
        <x:f>BZ42</x:f>
        <x:v>0</x:v>
      </x:c>
      <x:c r="CB36" s="117" t="n">
        <x:f>CA42</x:f>
        <x:v>0</x:v>
      </x:c>
      <x:c r="CC36" s="117" t="n">
        <x:f>CB42</x:f>
        <x:v>0</x:v>
      </x:c>
      <x:c r="CD36" s="117" t="n">
        <x:f>CC42</x:f>
        <x:v>0</x:v>
      </x:c>
      <x:c r="CE36" s="117" t="n">
        <x:f>CD42</x:f>
        <x:v>0</x:v>
      </x:c>
      <x:c r="CF36" s="117" t="n">
        <x:f>CE42</x:f>
        <x:v>0</x:v>
      </x:c>
      <x:c r="CG36" s="117" t="n">
        <x:f>CF42</x:f>
        <x:v>0</x:v>
      </x:c>
      <x:c r="CH36" s="117" t="n">
        <x:f>CG42</x:f>
        <x:v>0</x:v>
      </x:c>
      <x:c r="CI36" s="117" t="n">
        <x:f>CH42</x:f>
        <x:v>0</x:v>
      </x:c>
      <x:c r="CJ36" s="117" t="n">
        <x:f>CI42</x:f>
        <x:v>0</x:v>
      </x:c>
      <x:c r="CK36" s="117" t="n">
        <x:f>CJ42</x:f>
        <x:v>0</x:v>
      </x:c>
      <x:c r="CL36" s="117" t="n">
        <x:f>CK42</x:f>
        <x:v>0</x:v>
      </x:c>
      <x:c r="CM36" s="117" t="n">
        <x:f>CL42</x:f>
        <x:v>0</x:v>
      </x:c>
      <x:c r="CN36" s="117" t="n">
        <x:f>CM42</x:f>
        <x:v>0</x:v>
      </x:c>
      <x:c r="CO36" s="117" t="n">
        <x:f>CN42</x:f>
        <x:v>0</x:v>
      </x:c>
      <x:c r="CP36" s="117" t="n">
        <x:f>CO42</x:f>
        <x:v>0</x:v>
      </x:c>
      <x:c r="CQ36" s="117" t="n">
        <x:f>CP42</x:f>
        <x:v>0</x:v>
      </x:c>
      <x:c r="CR36" s="117" t="n">
        <x:f>CQ42</x:f>
        <x:v>0</x:v>
      </x:c>
      <x:c r="CS36" s="117" t="n">
        <x:f>CR42</x:f>
        <x:v>0</x:v>
      </x:c>
      <x:c r="CT36" s="117" t="n">
        <x:f>CS42</x:f>
        <x:v>0</x:v>
      </x:c>
      <x:c r="CU36" s="117" t="n">
        <x:f>CT42</x:f>
        <x:v>0</x:v>
      </x:c>
      <x:c r="CV36" s="117" t="n">
        <x:f>CU42</x:f>
        <x:v>0</x:v>
      </x:c>
      <x:c r="CW36" s="117" t="n">
        <x:f>CV42</x:f>
        <x:v>0</x:v>
      </x:c>
      <x:c r="CX36" s="117" t="n">
        <x:f>CW42</x:f>
        <x:v>0</x:v>
      </x:c>
      <x:c r="CY36" s="117" t="n">
        <x:f>CX42</x:f>
        <x:v>0</x:v>
      </x:c>
      <x:c r="CZ36" s="117" t="n">
        <x:f>CY42</x:f>
        <x:v>0</x:v>
      </x:c>
      <x:c r="DA36" s="117" t="n">
        <x:f>CZ42</x:f>
        <x:v>0</x:v>
      </x:c>
      <x:c r="DB36" s="117" t="n">
        <x:f>DA42</x:f>
        <x:v>0</x:v>
      </x:c>
      <x:c r="DC36" s="117" t="n">
        <x:f>DB42</x:f>
        <x:v>0</x:v>
      </x:c>
      <x:c r="DD36" s="117" t="n">
        <x:f>DC42</x:f>
        <x:v>0</x:v>
      </x:c>
      <x:c r="DE36" s="117" t="n">
        <x:f>DD42</x:f>
        <x:v>0</x:v>
      </x:c>
      <x:c r="DF36" s="117" t="n">
        <x:f>DE42</x:f>
        <x:v>0</x:v>
      </x:c>
      <x:c r="DG36" s="117" t="n">
        <x:f>DF42</x:f>
        <x:v>0</x:v>
      </x:c>
      <x:c r="DH36" s="117" t="n">
        <x:f>DG42</x:f>
        <x:v>0</x:v>
      </x:c>
      <x:c r="DI36" s="117" t="n">
        <x:f>DH42</x:f>
        <x:v>0</x:v>
      </x:c>
      <x:c r="DJ36" s="117" t="n">
        <x:f>DI42</x:f>
        <x:v>0</x:v>
      </x:c>
      <x:c r="DK36" s="117" t="n">
        <x:f>DJ42</x:f>
        <x:v>0</x:v>
      </x:c>
      <x:c r="DL36" s="117" t="n">
        <x:f>DK42</x:f>
        <x:v>0</x:v>
      </x:c>
      <x:c r="DM36" s="117" t="n">
        <x:f>DL42</x:f>
        <x:v>0</x:v>
      </x:c>
      <x:c r="DN36" s="117" t="n">
        <x:f>DM42</x:f>
        <x:v>0</x:v>
      </x:c>
      <x:c r="DO36" s="117" t="n">
        <x:f>DN42</x:f>
        <x:v>0</x:v>
      </x:c>
      <x:c r="DP36" s="117" t="n">
        <x:f>DO42</x:f>
        <x:v>0</x:v>
      </x:c>
      <x:c r="DQ36" s="117" t="n">
        <x:f>DP42</x:f>
        <x:v>0</x:v>
      </x:c>
      <x:c r="DR36" s="117" t="n">
        <x:f>DQ42</x:f>
        <x:v>0</x:v>
      </x:c>
      <x:c r="DS36" s="117" t="n">
        <x:f>DR42</x:f>
        <x:v>0</x:v>
      </x:c>
    </x:row>
    <x:row r="37">
      <x:c r="A37" t="str">
        <x:v>Возникновение обязательства</x:v>
      </x:c>
      <x:c r="B37" s="107" t="n">
        <x:f>SUM(D37:DS37)</x:f>
        <x:v>0</x:v>
      </x:c>
      <x:c r="C37" t="str">
        <x:v>млн ₽</x:v>
      </x:c>
      <x:c r="D37" s="117" t="n">
        <x:f>IF(AND(YEAR(D$3)=YEAR($B$33),MONTH(D$3)=MONTH($B$33)),$B$35,0)</x:f>
        <x:v>0</x:v>
      </x:c>
      <x:c r="E37" s="117" t="n">
        <x:f>IF(AND(YEAR(E$3)=YEAR($B$33),MONTH(E$3)=MONTH($B$33)),$B$35,0)</x:f>
        <x:v>0</x:v>
      </x:c>
      <x:c r="F37" s="117" t="n">
        <x:f>IF(AND(YEAR(F$3)=YEAR($B$33),MONTH(F$3)=MONTH($B$33)),$B$35,0)</x:f>
        <x:v>0</x:v>
      </x:c>
      <x:c r="G37" s="117" t="n">
        <x:f>IF(AND(YEAR(G$3)=YEAR($B$33),MONTH(G$3)=MONTH($B$33)),$B$35,0)</x:f>
        <x:v>0</x:v>
      </x:c>
      <x:c r="H37" s="117" t="n">
        <x:f>IF(AND(YEAR(H$3)=YEAR($B$33),MONTH(H$3)=MONTH($B$33)),$B$35,0)</x:f>
        <x:v>0</x:v>
      </x:c>
      <x:c r="I37" s="117" t="n">
        <x:f>IF(AND(YEAR(I$3)=YEAR($B$33),MONTH(I$3)=MONTH($B$33)),$B$35,0)</x:f>
        <x:v>0</x:v>
      </x:c>
      <x:c r="J37" s="117" t="n">
        <x:f>IF(AND(YEAR(J$3)=YEAR($B$33),MONTH(J$3)=MONTH($B$33)),$B$35,0)</x:f>
        <x:v>0</x:v>
      </x:c>
      <x:c r="K37" s="117" t="n">
        <x:f>IF(AND(YEAR(K$3)=YEAR($B$33),MONTH(K$3)=MONTH($B$33)),$B$35,0)</x:f>
        <x:v>0</x:v>
      </x:c>
      <x:c r="L37" s="117" t="n">
        <x:f>IF(AND(YEAR(L$3)=YEAR($B$33),MONTH(L$3)=MONTH($B$33)),$B$35,0)</x:f>
        <x:v>0</x:v>
      </x:c>
      <x:c r="M37" s="117" t="n">
        <x:f>IF(AND(YEAR(M$3)=YEAR($B$33),MONTH(M$3)=MONTH($B$33)),$B$35,0)</x:f>
        <x:v>0</x:v>
      </x:c>
      <x:c r="N37" s="117" t="n">
        <x:f>IF(AND(YEAR(N$3)=YEAR($B$33),MONTH(N$3)=MONTH($B$33)),$B$35,0)</x:f>
        <x:v>0</x:v>
      </x:c>
      <x:c r="O37" s="117" t="n">
        <x:f>IF(AND(YEAR(O$3)=YEAR($B$33),MONTH(O$3)=MONTH($B$33)),$B$35,0)</x:f>
        <x:v>0</x:v>
      </x:c>
      <x:c r="P37" s="117" t="n">
        <x:f>IF(AND(YEAR(P$3)=YEAR($B$33),MONTH(P$3)=MONTH($B$33)),$B$35,0)</x:f>
        <x:v>0</x:v>
      </x:c>
      <x:c r="Q37" s="117" t="n">
        <x:f>IF(AND(YEAR(Q$3)=YEAR($B$33),MONTH(Q$3)=MONTH($B$33)),$B$35,0)</x:f>
        <x:v>0</x:v>
      </x:c>
      <x:c r="R37" s="117" t="n">
        <x:f>IF(AND(YEAR(R$3)=YEAR($B$33),MONTH(R$3)=MONTH($B$33)),$B$35,0)</x:f>
        <x:v>0</x:v>
      </x:c>
      <x:c r="S37" s="117" t="n">
        <x:f>IF(AND(YEAR(S$3)=YEAR($B$33),MONTH(S$3)=MONTH($B$33)),$B$35,0)</x:f>
        <x:v>0</x:v>
      </x:c>
      <x:c r="T37" s="117" t="n">
        <x:f>IF(AND(YEAR(T$3)=YEAR($B$33),MONTH(T$3)=MONTH($B$33)),$B$35,0)</x:f>
        <x:v>0</x:v>
      </x:c>
      <x:c r="U37" s="117" t="n">
        <x:f>IF(AND(YEAR(U$3)=YEAR($B$33),MONTH(U$3)=MONTH($B$33)),$B$35,0)</x:f>
        <x:v>0</x:v>
      </x:c>
      <x:c r="V37" s="117" t="n">
        <x:f>IF(AND(YEAR(V$3)=YEAR($B$33),MONTH(V$3)=MONTH($B$33)),$B$35,0)</x:f>
        <x:v>0</x:v>
      </x:c>
      <x:c r="W37" s="117" t="n">
        <x:f>IF(AND(YEAR(W$3)=YEAR($B$33),MONTH(W$3)=MONTH($B$33)),$B$35,0)</x:f>
        <x:v>0</x:v>
      </x:c>
      <x:c r="X37" s="117" t="n">
        <x:f>IF(AND(YEAR(X$3)=YEAR($B$33),MONTH(X$3)=MONTH($B$33)),$B$35,0)</x:f>
        <x:v>0</x:v>
      </x:c>
      <x:c r="Y37" s="117" t="n">
        <x:f>IF(AND(YEAR(Y$3)=YEAR($B$33),MONTH(Y$3)=MONTH($B$33)),$B$35,0)</x:f>
        <x:v>0</x:v>
      </x:c>
      <x:c r="Z37" s="117" t="n">
        <x:f>IF(AND(YEAR(Z$3)=YEAR($B$33),MONTH(Z$3)=MONTH($B$33)),$B$35,0)</x:f>
        <x:v>0</x:v>
      </x:c>
      <x:c r="AA37" s="117" t="n">
        <x:f>IF(AND(YEAR(AA$3)=YEAR($B$33),MONTH(AA$3)=MONTH($B$33)),$B$35,0)</x:f>
        <x:v>0</x:v>
      </x:c>
      <x:c r="AB37" s="117" t="n">
        <x:f>IF(AND(YEAR(AB$3)=YEAR($B$33),MONTH(AB$3)=MONTH($B$33)),$B$35,0)</x:f>
        <x:v>0</x:v>
      </x:c>
      <x:c r="AC37" s="117" t="n">
        <x:f>IF(AND(YEAR(AC$3)=YEAR($B$33),MONTH(AC$3)=MONTH($B$33)),$B$35,0)</x:f>
        <x:v>0</x:v>
      </x:c>
      <x:c r="AD37" s="117" t="n">
        <x:f>IF(AND(YEAR(AD$3)=YEAR($B$33),MONTH(AD$3)=MONTH($B$33)),$B$35,0)</x:f>
        <x:v>0</x:v>
      </x:c>
      <x:c r="AE37" s="117" t="n">
        <x:f>IF(AND(YEAR(AE$3)=YEAR($B$33),MONTH(AE$3)=MONTH($B$33)),$B$35,0)</x:f>
        <x:v>0</x:v>
      </x:c>
      <x:c r="AF37" s="117" t="n">
        <x:f>IF(AND(YEAR(AF$3)=YEAR($B$33),MONTH(AF$3)=MONTH($B$33)),$B$35,0)</x:f>
        <x:v>0</x:v>
      </x:c>
      <x:c r="AG37" s="117" t="n">
        <x:f>IF(AND(YEAR(AG$3)=YEAR($B$33),MONTH(AG$3)=MONTH($B$33)),$B$35,0)</x:f>
        <x:v>0</x:v>
      </x:c>
      <x:c r="AH37" s="117" t="n">
        <x:f>IF(AND(YEAR(AH$3)=YEAR($B$33),MONTH(AH$3)=MONTH($B$33)),$B$35,0)</x:f>
        <x:v>0</x:v>
      </x:c>
      <x:c r="AI37" s="117" t="n">
        <x:f>IF(AND(YEAR(AI$3)=YEAR($B$33),MONTH(AI$3)=MONTH($B$33)),$B$35,0)</x:f>
        <x:v>0</x:v>
      </x:c>
      <x:c r="AJ37" s="117" t="n">
        <x:f>IF(AND(YEAR(AJ$3)=YEAR($B$33),MONTH(AJ$3)=MONTH($B$33)),$B$35,0)</x:f>
        <x:v>0</x:v>
      </x:c>
      <x:c r="AK37" s="117" t="n">
        <x:f>IF(AND(YEAR(AK$3)=YEAR($B$33),MONTH(AK$3)=MONTH($B$33)),$B$35,0)</x:f>
        <x:v>0</x:v>
      </x:c>
      <x:c r="AL37" s="117" t="n">
        <x:f>IF(AND(YEAR(AL$3)=YEAR($B$33),MONTH(AL$3)=MONTH($B$33)),$B$35,0)</x:f>
        <x:v>0</x:v>
      </x:c>
      <x:c r="AM37" s="117" t="n">
        <x:f>IF(AND(YEAR(AM$3)=YEAR($B$33),MONTH(AM$3)=MONTH($B$33)),$B$35,0)</x:f>
        <x:v>0</x:v>
      </x:c>
      <x:c r="AN37" s="117" t="n">
        <x:f>IF(AND(YEAR(AN$3)=YEAR($B$33),MONTH(AN$3)=MONTH($B$33)),$B$35,0)</x:f>
        <x:v>0</x:v>
      </x:c>
      <x:c r="AO37" s="117" t="n">
        <x:f>IF(AND(YEAR(AO$3)=YEAR($B$33),MONTH(AO$3)=MONTH($B$33)),$B$35,0)</x:f>
        <x:v>0</x:v>
      </x:c>
      <x:c r="AP37" s="117" t="n">
        <x:f>IF(AND(YEAR(AP$3)=YEAR($B$33),MONTH(AP$3)=MONTH($B$33)),$B$35,0)</x:f>
        <x:v>0</x:v>
      </x:c>
      <x:c r="AQ37" s="117" t="n">
        <x:f>IF(AND(YEAR(AQ$3)=YEAR($B$33),MONTH(AQ$3)=MONTH($B$33)),$B$35,0)</x:f>
        <x:v>0</x:v>
      </x:c>
      <x:c r="AR37" s="117" t="n">
        <x:f>IF(AND(YEAR(AR$3)=YEAR($B$33),MONTH(AR$3)=MONTH($B$33)),$B$35,0)</x:f>
        <x:v>0</x:v>
      </x:c>
      <x:c r="AS37" s="117" t="n">
        <x:f>IF(AND(YEAR(AS$3)=YEAR($B$33),MONTH(AS$3)=MONTH($B$33)),$B$35,0)</x:f>
        <x:v>0</x:v>
      </x:c>
      <x:c r="AT37" s="117" t="n">
        <x:f>IF(AND(YEAR(AT$3)=YEAR($B$33),MONTH(AT$3)=MONTH($B$33)),$B$35,0)</x:f>
        <x:v>0</x:v>
      </x:c>
      <x:c r="AU37" s="117" t="n">
        <x:f>IF(AND(YEAR(AU$3)=YEAR($B$33),MONTH(AU$3)=MONTH($B$33)),$B$35,0)</x:f>
        <x:v>0</x:v>
      </x:c>
      <x:c r="AV37" s="117" t="n">
        <x:f>IF(AND(YEAR(AV$3)=YEAR($B$33),MONTH(AV$3)=MONTH($B$33)),$B$35,0)</x:f>
        <x:v>0</x:v>
      </x:c>
      <x:c r="AW37" s="117" t="n">
        <x:f>IF(AND(YEAR(AW$3)=YEAR($B$33),MONTH(AW$3)=MONTH($B$33)),$B$35,0)</x:f>
        <x:v>0</x:v>
      </x:c>
      <x:c r="AX37" s="117" t="n">
        <x:f>IF(AND(YEAR(AX$3)=YEAR($B$33),MONTH(AX$3)=MONTH($B$33)),$B$35,0)</x:f>
        <x:v>0</x:v>
      </x:c>
      <x:c r="AY37" s="117" t="n">
        <x:f>IF(AND(YEAR(AY$3)=YEAR($B$33),MONTH(AY$3)=MONTH($B$33)),$B$35,0)</x:f>
        <x:v>0</x:v>
      </x:c>
      <x:c r="AZ37" s="117" t="n">
        <x:f>IF(AND(YEAR(AZ$3)=YEAR($B$33),MONTH(AZ$3)=MONTH($B$33)),$B$35,0)</x:f>
        <x:v>0</x:v>
      </x:c>
      <x:c r="BA37" s="117" t="n">
        <x:f>IF(AND(YEAR(BA$3)=YEAR($B$33),MONTH(BA$3)=MONTH($B$33)),$B$35,0)</x:f>
        <x:v>0</x:v>
      </x:c>
      <x:c r="BB37" s="117" t="n">
        <x:f>IF(AND(YEAR(BB$3)=YEAR($B$33),MONTH(BB$3)=MONTH($B$33)),$B$35,0)</x:f>
        <x:v>0</x:v>
      </x:c>
      <x:c r="BC37" s="117" t="n">
        <x:f>IF(AND(YEAR(BC$3)=YEAR($B$33),MONTH(BC$3)=MONTH($B$33)),$B$35,0)</x:f>
        <x:v>0</x:v>
      </x:c>
      <x:c r="BD37" s="117" t="n">
        <x:f>IF(AND(YEAR(BD$3)=YEAR($B$33),MONTH(BD$3)=MONTH($B$33)),$B$35,0)</x:f>
        <x:v>0</x:v>
      </x:c>
      <x:c r="BE37" s="117" t="n">
        <x:f>IF(AND(YEAR(BE$3)=YEAR($B$33),MONTH(BE$3)=MONTH($B$33)),$B$35,0)</x:f>
        <x:v>0</x:v>
      </x:c>
      <x:c r="BF37" s="117" t="n">
        <x:f>IF(AND(YEAR(BF$3)=YEAR($B$33),MONTH(BF$3)=MONTH($B$33)),$B$35,0)</x:f>
        <x:v>0</x:v>
      </x:c>
      <x:c r="BG37" s="117" t="n">
        <x:f>IF(AND(YEAR(BG$3)=YEAR($B$33),MONTH(BG$3)=MONTH($B$33)),$B$35,0)</x:f>
        <x:v>0</x:v>
      </x:c>
      <x:c r="BH37" s="117" t="n">
        <x:f>IF(AND(YEAR(BH$3)=YEAR($B$33),MONTH(BH$3)=MONTH($B$33)),$B$35,0)</x:f>
        <x:v>0</x:v>
      </x:c>
      <x:c r="BI37" s="117" t="n">
        <x:f>IF(AND(YEAR(BI$3)=YEAR($B$33),MONTH(BI$3)=MONTH($B$33)),$B$35,0)</x:f>
        <x:v>0</x:v>
      </x:c>
      <x:c r="BJ37" s="117" t="n">
        <x:f>IF(AND(YEAR(BJ$3)=YEAR($B$33),MONTH(BJ$3)=MONTH($B$33)),$B$35,0)</x:f>
        <x:v>0</x:v>
      </x:c>
      <x:c r="BK37" s="117" t="n">
        <x:f>IF(AND(YEAR(BK$3)=YEAR($B$33),MONTH(BK$3)=MONTH($B$33)),$B$35,0)</x:f>
        <x:v>0</x:v>
      </x:c>
      <x:c r="BL37" s="117" t="n">
        <x:f>IF(AND(YEAR(BL$3)=YEAR($B$33),MONTH(BL$3)=MONTH($B$33)),$B$35,0)</x:f>
        <x:v>0</x:v>
      </x:c>
      <x:c r="BM37" s="117" t="n">
        <x:f>IF(AND(YEAR(BM$3)=YEAR($B$33),MONTH(BM$3)=MONTH($B$33)),$B$35,0)</x:f>
        <x:v>0</x:v>
      </x:c>
      <x:c r="BN37" s="117" t="n">
        <x:f>IF(AND(YEAR(BN$3)=YEAR($B$33),MONTH(BN$3)=MONTH($B$33)),$B$35,0)</x:f>
        <x:v>0</x:v>
      </x:c>
      <x:c r="BO37" s="117" t="n">
        <x:f>IF(AND(YEAR(BO$3)=YEAR($B$33),MONTH(BO$3)=MONTH($B$33)),$B$35,0)</x:f>
        <x:v>0</x:v>
      </x:c>
      <x:c r="BP37" s="117" t="n">
        <x:f>IF(AND(YEAR(BP$3)=YEAR($B$33),MONTH(BP$3)=MONTH($B$33)),$B$35,0)</x:f>
        <x:v>0</x:v>
      </x:c>
      <x:c r="BQ37" s="117" t="n">
        <x:f>IF(AND(YEAR(BQ$3)=YEAR($B$33),MONTH(BQ$3)=MONTH($B$33)),$B$35,0)</x:f>
        <x:v>0</x:v>
      </x:c>
      <x:c r="BR37" s="117" t="n">
        <x:f>IF(AND(YEAR(BR$3)=YEAR($B$33),MONTH(BR$3)=MONTH($B$33)),$B$35,0)</x:f>
        <x:v>0</x:v>
      </x:c>
      <x:c r="BS37" s="117" t="n">
        <x:f>IF(AND(YEAR(BS$3)=YEAR($B$33),MONTH(BS$3)=MONTH($B$33)),$B$35,0)</x:f>
        <x:v>0</x:v>
      </x:c>
      <x:c r="BT37" s="117" t="n">
        <x:f>IF(AND(YEAR(BT$3)=YEAR($B$33),MONTH(BT$3)=MONTH($B$33)),$B$35,0)</x:f>
        <x:v>0</x:v>
      </x:c>
      <x:c r="BU37" s="117" t="n">
        <x:f>IF(AND(YEAR(BU$3)=YEAR($B$33),MONTH(BU$3)=MONTH($B$33)),$B$35,0)</x:f>
        <x:v>0</x:v>
      </x:c>
      <x:c r="BV37" s="117" t="n">
        <x:f>IF(AND(YEAR(BV$3)=YEAR($B$33),MONTH(BV$3)=MONTH($B$33)),$B$35,0)</x:f>
        <x:v>0</x:v>
      </x:c>
      <x:c r="BW37" s="117" t="n">
        <x:f>IF(AND(YEAR(BW$3)=YEAR($B$33),MONTH(BW$3)=MONTH($B$33)),$B$35,0)</x:f>
        <x:v>0</x:v>
      </x:c>
      <x:c r="BX37" s="117" t="n">
        <x:f>IF(AND(YEAR(BX$3)=YEAR($B$33),MONTH(BX$3)=MONTH($B$33)),$B$35,0)</x:f>
        <x:v>0</x:v>
      </x:c>
      <x:c r="BY37" s="117" t="n">
        <x:f>IF(AND(YEAR(BY$3)=YEAR($B$33),MONTH(BY$3)=MONTH($B$33)),$B$35,0)</x:f>
        <x:v>0</x:v>
      </x:c>
      <x:c r="BZ37" s="117" t="n">
        <x:f>IF(AND(YEAR(BZ$3)=YEAR($B$33),MONTH(BZ$3)=MONTH($B$33)),$B$35,0)</x:f>
        <x:v>0</x:v>
      </x:c>
      <x:c r="CA37" s="117" t="n">
        <x:f>IF(AND(YEAR(CA$3)=YEAR($B$33),MONTH(CA$3)=MONTH($B$33)),$B$35,0)</x:f>
        <x:v>0</x:v>
      </x:c>
      <x:c r="CB37" s="117" t="n">
        <x:f>IF(AND(YEAR(CB$3)=YEAR($B$33),MONTH(CB$3)=MONTH($B$33)),$B$35,0)</x:f>
        <x:v>0</x:v>
      </x:c>
      <x:c r="CC37" s="117" t="n">
        <x:f>IF(AND(YEAR(CC$3)=YEAR($B$33),MONTH(CC$3)=MONTH($B$33)),$B$35,0)</x:f>
        <x:v>0</x:v>
      </x:c>
      <x:c r="CD37" s="117" t="n">
        <x:f>IF(AND(YEAR(CD$3)=YEAR($B$33),MONTH(CD$3)=MONTH($B$33)),$B$35,0)</x:f>
        <x:v>0</x:v>
      </x:c>
      <x:c r="CE37" s="117" t="n">
        <x:f>IF(AND(YEAR(CE$3)=YEAR($B$33),MONTH(CE$3)=MONTH($B$33)),$B$35,0)</x:f>
        <x:v>0</x:v>
      </x:c>
      <x:c r="CF37" s="117" t="n">
        <x:f>IF(AND(YEAR(CF$3)=YEAR($B$33),MONTH(CF$3)=MONTH($B$33)),$B$35,0)</x:f>
        <x:v>0</x:v>
      </x:c>
      <x:c r="CG37" s="117" t="n">
        <x:f>IF(AND(YEAR(CG$3)=YEAR($B$33),MONTH(CG$3)=MONTH($B$33)),$B$35,0)</x:f>
        <x:v>0</x:v>
      </x:c>
      <x:c r="CH37" s="117" t="n">
        <x:f>IF(AND(YEAR(CH$3)=YEAR($B$33),MONTH(CH$3)=MONTH($B$33)),$B$35,0)</x:f>
        <x:v>0</x:v>
      </x:c>
      <x:c r="CI37" s="117" t="n">
        <x:f>IF(AND(YEAR(CI$3)=YEAR($B$33),MONTH(CI$3)=MONTH($B$33)),$B$35,0)</x:f>
        <x:v>0</x:v>
      </x:c>
      <x:c r="CJ37" s="117" t="n">
        <x:f>IF(AND(YEAR(CJ$3)=YEAR($B$33),MONTH(CJ$3)=MONTH($B$33)),$B$35,0)</x:f>
        <x:v>0</x:v>
      </x:c>
      <x:c r="CK37" s="117" t="n">
        <x:f>IF(AND(YEAR(CK$3)=YEAR($B$33),MONTH(CK$3)=MONTH($B$33)),$B$35,0)</x:f>
        <x:v>0</x:v>
      </x:c>
      <x:c r="CL37" s="117" t="n">
        <x:f>IF(AND(YEAR(CL$3)=YEAR($B$33),MONTH(CL$3)=MONTH($B$33)),$B$35,0)</x:f>
        <x:v>0</x:v>
      </x:c>
      <x:c r="CM37" s="117" t="n">
        <x:f>IF(AND(YEAR(CM$3)=YEAR($B$33),MONTH(CM$3)=MONTH($B$33)),$B$35,0)</x:f>
        <x:v>0</x:v>
      </x:c>
      <x:c r="CN37" s="117" t="n">
        <x:f>IF(AND(YEAR(CN$3)=YEAR($B$33),MONTH(CN$3)=MONTH($B$33)),$B$35,0)</x:f>
        <x:v>0</x:v>
      </x:c>
      <x:c r="CO37" s="117" t="n">
        <x:f>IF(AND(YEAR(CO$3)=YEAR($B$33),MONTH(CO$3)=MONTH($B$33)),$B$35,0)</x:f>
        <x:v>0</x:v>
      </x:c>
      <x:c r="CP37" s="117" t="n">
        <x:f>IF(AND(YEAR(CP$3)=YEAR($B$33),MONTH(CP$3)=MONTH($B$33)),$B$35,0)</x:f>
        <x:v>0</x:v>
      </x:c>
      <x:c r="CQ37" s="117" t="n">
        <x:f>IF(AND(YEAR(CQ$3)=YEAR($B$33),MONTH(CQ$3)=MONTH($B$33)),$B$35,0)</x:f>
        <x:v>0</x:v>
      </x:c>
      <x:c r="CR37" s="117" t="n">
        <x:f>IF(AND(YEAR(CR$3)=YEAR($B$33),MONTH(CR$3)=MONTH($B$33)),$B$35,0)</x:f>
        <x:v>0</x:v>
      </x:c>
      <x:c r="CS37" s="117" t="n">
        <x:f>IF(AND(YEAR(CS$3)=YEAR($B$33),MONTH(CS$3)=MONTH($B$33)),$B$35,0)</x:f>
        <x:v>0</x:v>
      </x:c>
      <x:c r="CT37" s="117" t="n">
        <x:f>IF(AND(YEAR(CT$3)=YEAR($B$33),MONTH(CT$3)=MONTH($B$33)),$B$35,0)</x:f>
        <x:v>0</x:v>
      </x:c>
      <x:c r="CU37" s="117" t="n">
        <x:f>IF(AND(YEAR(CU$3)=YEAR($B$33),MONTH(CU$3)=MONTH($B$33)),$B$35,0)</x:f>
        <x:v>0</x:v>
      </x:c>
      <x:c r="CV37" s="117" t="n">
        <x:f>IF(AND(YEAR(CV$3)=YEAR($B$33),MONTH(CV$3)=MONTH($B$33)),$B$35,0)</x:f>
        <x:v>0</x:v>
      </x:c>
      <x:c r="CW37" s="117" t="n">
        <x:f>IF(AND(YEAR(CW$3)=YEAR($B$33),MONTH(CW$3)=MONTH($B$33)),$B$35,0)</x:f>
        <x:v>0</x:v>
      </x:c>
      <x:c r="CX37" s="117" t="n">
        <x:f>IF(AND(YEAR(CX$3)=YEAR($B$33),MONTH(CX$3)=MONTH($B$33)),$B$35,0)</x:f>
        <x:v>0</x:v>
      </x:c>
      <x:c r="CY37" s="117" t="n">
        <x:f>IF(AND(YEAR(CY$3)=YEAR($B$33),MONTH(CY$3)=MONTH($B$33)),$B$35,0)</x:f>
        <x:v>0</x:v>
      </x:c>
      <x:c r="CZ37" s="117" t="n">
        <x:f>IF(AND(YEAR(CZ$3)=YEAR($B$33),MONTH(CZ$3)=MONTH($B$33)),$B$35,0)</x:f>
        <x:v>0</x:v>
      </x:c>
      <x:c r="DA37" s="117" t="n">
        <x:f>IF(AND(YEAR(DA$3)=YEAR($B$33),MONTH(DA$3)=MONTH($B$33)),$B$35,0)</x:f>
        <x:v>0</x:v>
      </x:c>
      <x:c r="DB37" s="117" t="n">
        <x:f>IF(AND(YEAR(DB$3)=YEAR($B$33),MONTH(DB$3)=MONTH($B$33)),$B$35,0)</x:f>
        <x:v>0</x:v>
      </x:c>
      <x:c r="DC37" s="117" t="n">
        <x:f>IF(AND(YEAR(DC$3)=YEAR($B$33),MONTH(DC$3)=MONTH($B$33)),$B$35,0)</x:f>
        <x:v>0</x:v>
      </x:c>
      <x:c r="DD37" s="117" t="n">
        <x:f>IF(AND(YEAR(DD$3)=YEAR($B$33),MONTH(DD$3)=MONTH($B$33)),$B$35,0)</x:f>
        <x:v>0</x:v>
      </x:c>
      <x:c r="DE37" s="117" t="n">
        <x:f>IF(AND(YEAR(DE$3)=YEAR($B$33),MONTH(DE$3)=MONTH($B$33)),$B$35,0)</x:f>
        <x:v>0</x:v>
      </x:c>
      <x:c r="DF37" s="117" t="n">
        <x:f>IF(AND(YEAR(DF$3)=YEAR($B$33),MONTH(DF$3)=MONTH($B$33)),$B$35,0)</x:f>
        <x:v>0</x:v>
      </x:c>
      <x:c r="DG37" s="117" t="n">
        <x:f>IF(AND(YEAR(DG$3)=YEAR($B$33),MONTH(DG$3)=MONTH($B$33)),$B$35,0)</x:f>
        <x:v>0</x:v>
      </x:c>
      <x:c r="DH37" s="117" t="n">
        <x:f>IF(AND(YEAR(DH$3)=YEAR($B$33),MONTH(DH$3)=MONTH($B$33)),$B$35,0)</x:f>
        <x:v>0</x:v>
      </x:c>
      <x:c r="DI37" s="117" t="n">
        <x:f>IF(AND(YEAR(DI$3)=YEAR($B$33),MONTH(DI$3)=MONTH($B$33)),$B$35,0)</x:f>
        <x:v>0</x:v>
      </x:c>
      <x:c r="DJ37" s="117" t="n">
        <x:f>IF(AND(YEAR(DJ$3)=YEAR($B$33),MONTH(DJ$3)=MONTH($B$33)),$B$35,0)</x:f>
        <x:v>0</x:v>
      </x:c>
      <x:c r="DK37" s="117" t="n">
        <x:f>IF(AND(YEAR(DK$3)=YEAR($B$33),MONTH(DK$3)=MONTH($B$33)),$B$35,0)</x:f>
        <x:v>0</x:v>
      </x:c>
      <x:c r="DL37" s="117" t="n">
        <x:f>IF(AND(YEAR(DL$3)=YEAR($B$33),MONTH(DL$3)=MONTH($B$33)),$B$35,0)</x:f>
        <x:v>0</x:v>
      </x:c>
      <x:c r="DM37" s="117" t="n">
        <x:f>IF(AND(YEAR(DM$3)=YEAR($B$33),MONTH(DM$3)=MONTH($B$33)),$B$35,0)</x:f>
        <x:v>0</x:v>
      </x:c>
      <x:c r="DN37" s="117" t="n">
        <x:f>IF(AND(YEAR(DN$3)=YEAR($B$33),MONTH(DN$3)=MONTH($B$33)),$B$35,0)</x:f>
        <x:v>0</x:v>
      </x:c>
      <x:c r="DO37" s="117" t="n">
        <x:f>IF(AND(YEAR(DO$3)=YEAR($B$33),MONTH(DO$3)=MONTH($B$33)),$B$35,0)</x:f>
        <x:v>0</x:v>
      </x:c>
      <x:c r="DP37" s="117" t="n">
        <x:f>IF(AND(YEAR(DP$3)=YEAR($B$33),MONTH(DP$3)=MONTH($B$33)),$B$35,0)</x:f>
        <x:v>0</x:v>
      </x:c>
      <x:c r="DQ37" s="117" t="n">
        <x:f>IF(AND(YEAR(DQ$3)=YEAR($B$33),MONTH(DQ$3)=MONTH($B$33)),$B$35,0)</x:f>
        <x:v>0</x:v>
      </x:c>
      <x:c r="DR37" s="117" t="n">
        <x:f>IF(AND(YEAR(DR$3)=YEAR($B$33),MONTH(DR$3)=MONTH($B$33)),$B$35,0)</x:f>
        <x:v>0</x:v>
      </x:c>
      <x:c r="DS37" s="117" t="n">
        <x:f>IF(AND(YEAR(DS$3)=YEAR($B$33),MONTH(DS$3)=MONTH($B$33)),$B$35,0)</x:f>
        <x:v>0</x:v>
      </x:c>
    </x:row>
    <x:row r="38">
      <x:c r="A38" t="str">
        <x:v>Погашение основного долга</x:v>
      </x:c>
      <x:c r="B38" s="107" t="n">
        <x:f>SUM(D38:DS38)</x:f>
        <x:v>0</x:v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  <x:v>0</x:v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  <x:v>0</x:v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  <x:v>0</x:v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  <x:v>0</x:v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  <x:v>0</x:v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  <x:v>0</x:v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  <x:v>0</x:v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  <x:v>0</x:v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  <x:v>0</x:v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  <x:v>0</x:v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  <x:v>0</x:v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  <x:v>0</x:v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  <x:v>0</x:v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  <x:v>0</x:v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  <x:v>0</x:v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  <x:v>0</x:v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  <x:v>0</x:v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  <x:v>0</x:v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  <x:v>0</x:v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  <x:v>0</x:v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  <x:v>0</x:v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  <x:v>0</x:v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  <x:v>0</x:v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  <x:v>0</x:v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  <x:v>0</x:v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  <x:v>0</x:v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  <x:v>0</x:v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  <x:v>0</x:v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  <x:v>0</x:v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  <x:v>0</x:v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  <x:v>0</x:v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  <x:v>0</x:v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  <x:v>0</x:v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  <x:v>0</x:v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  <x:v>0</x:v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  <x:v>0</x:v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  <x:v>0</x:v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  <x:v>0</x:v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  <x:v>0</x:v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  <x:v>0</x:v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  <x:v>0</x:v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  <x:v>0</x:v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  <x:v>0</x:v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  <x:v>0</x:v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  <x:v>0</x:v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  <x:v>0</x:v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  <x:v>0</x:v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  <x:v>0</x:v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  <x:v>0</x:v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  <x:v>0</x:v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  <x:v>0</x:v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  <x:v>0</x:v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  <x:v>0</x:v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  <x:v>0</x:v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  <x:v>0</x:v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  <x:v>0</x:v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  <x:v>0</x:v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  <x:v>0</x:v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  <x:v>0</x:v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  <x:v>0</x:v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  <x:v>0</x:v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  <x:v>0</x:v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  <x:v>0</x:v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  <x:v>0</x:v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  <x:v>0</x:v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  <x:v>0</x:v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  <x:v>0</x:v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  <x:v>0</x:v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  <x:v>0</x:v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  <x:v>0</x:v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  <x:v>0</x:v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  <x:v>0</x:v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  <x:v>0</x:v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  <x:v>0</x:v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  <x:v>0</x:v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  <x:v>0</x:v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  <x:v>0</x:v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  <x:v>0</x:v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  <x:v>0</x:v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  <x:v>0</x:v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  <x:v>0</x:v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  <x:v>0</x:v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  <x:v>0</x:v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  <x:v>0</x:v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  <x:v>0</x:v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  <x:v>0</x:v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  <x:v>0</x:v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  <x:v>0</x:v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  <x:v>0</x:v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  <x:v>0</x:v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  <x:v>0</x:v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  <x:v>0</x:v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  <x:v>0</x:v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  <x:v>0</x:v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  <x:v>0</x:v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  <x:v>0</x:v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  <x:v>0</x:v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  <x:v>0</x:v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  <x:v>0</x:v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  <x:v>0</x:v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  <x:v>0</x:v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  <x:v>0</x:v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  <x:v>0</x:v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  <x:v>0</x:v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  <x:v>0</x:v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  <x:v>0</x:v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  <x:v>0</x:v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  <x:v>0</x:v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  <x:v>0</x:v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  <x:v>0</x:v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  <x:v>0</x:v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  <x:v>0</x:v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  <x:v>0</x:v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  <x:v>0</x:v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  <x:v>0</x:v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  <x:v>0</x:v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  <x:v>0</x:v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  <x:v>0</x:v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  <x:v>0</x:v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  <x:v>0</x:v>
      </x:c>
    </x:row>
    <x:row r="39">
      <x:c r="A39" t="str">
        <x:v>Проценты по рассрочке</x:v>
      </x:c>
      <x:c r="B39" s="107" t="n">
        <x:f>SUM(D39:DS39)</x:f>
        <x:v>0</x:v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  <x:v>0</x:v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  <x:v>0</x:v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  <x:v>0</x:v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  <x:v>0</x:v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  <x:v>0</x:v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  <x:v>0</x:v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  <x:v>0</x:v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  <x:v>0</x:v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  <x:v>0</x:v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  <x:v>0</x:v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  <x:v>0</x:v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  <x:v>0</x:v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  <x:v>0</x:v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  <x:v>0</x:v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  <x:v>0</x:v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  <x:v>0</x:v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  <x:v>0</x:v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  <x:v>0</x:v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  <x:v>0</x:v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  <x:v>0</x:v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  <x:v>0</x:v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  <x:v>0</x:v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  <x:v>0</x:v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  <x:v>0</x:v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  <x:v>0</x:v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  <x:v>0</x:v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  <x:v>0</x:v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  <x:v>0</x:v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  <x:v>0</x:v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  <x:v>0</x:v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  <x:v>0</x:v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  <x:v>0</x:v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  <x:v>0</x:v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  <x:v>0</x:v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  <x:v>0</x:v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  <x:v>0</x:v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  <x:v>0</x:v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  <x:v>0</x:v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  <x:v>0</x:v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  <x:v>0</x:v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  <x:v>0</x:v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  <x:v>0</x:v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  <x:v>0</x:v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  <x:v>0</x:v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  <x:v>0</x:v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  <x:v>0</x:v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  <x:v>0</x:v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  <x:v>0</x:v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  <x:v>0</x:v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  <x:v>0</x:v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  <x:v>0</x:v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  <x:v>0</x:v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  <x:v>0</x:v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  <x:v>0</x:v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  <x:v>0</x:v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  <x:v>0</x:v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  <x:v>0</x:v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  <x:v>0</x:v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  <x:v>0</x:v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  <x:v>0</x:v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  <x:v>0</x:v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  <x:v>0</x:v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  <x:v>0</x:v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  <x:v>0</x:v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  <x:v>0</x:v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  <x:v>0</x:v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  <x:v>0</x:v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  <x:v>0</x:v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  <x:v>0</x:v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  <x:v>0</x:v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  <x:v>0</x:v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  <x:v>0</x:v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  <x:v>0</x:v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  <x:v>0</x:v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  <x:v>0</x:v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  <x:v>0</x:v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  <x:v>0</x:v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  <x:v>0</x:v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  <x:v>0</x:v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  <x:v>0</x:v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  <x:v>0</x:v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  <x:v>0</x:v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  <x:v>0</x:v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  <x:v>0</x:v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  <x:v>0</x:v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  <x:v>0</x:v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  <x:v>0</x:v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  <x:v>0</x:v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  <x:v>0</x:v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  <x:v>0</x:v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  <x:v>0</x:v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  <x:v>0</x:v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  <x:v>0</x:v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  <x:v>0</x:v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  <x:v>0</x:v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  <x:v>0</x:v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  <x:v>0</x:v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  <x:v>0</x:v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  <x:v>0</x:v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  <x:v>0</x:v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  <x:v>0</x:v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  <x:v>0</x:v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  <x:v>0</x:v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  <x:v>0</x:v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  <x:v>0</x:v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  <x:v>0</x:v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  <x:v>0</x:v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  <x:v>0</x:v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  <x:v>0</x:v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  <x:v>0</x:v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  <x:v>0</x:v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  <x:v>0</x:v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  <x:v>0</x:v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  <x:v>0</x:v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  <x:v>0</x:v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  <x:v>0</x:v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  <x:v>0</x:v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  <x:v>0</x:v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  <x:v>0</x:v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  <x:v>0</x:v>
      </x:c>
    </x:row>
    <x:row r="40">
      <x:c r="A40" t="str">
        <x:v>Расходы на обеспечение</x:v>
      </x:c>
      <x:c r="B40" s="107" t="n">
        <x:f>SUM(D40:DS40)</x:f>
        <x:v>0</x:v>
      </x:c>
      <x:c r="C40" t="str">
        <x:v>млн ₽</x:v>
      </x:c>
      <x:c r="D40" s="117" t="n">
        <x:f>IF(D37&gt;0,'Вводные'!$B$83*'Вводные'!$Q$90,0)</x:f>
        <x:v>0</x:v>
      </x:c>
      <x:c r="E40" s="117" t="n">
        <x:f>IF(E37&gt;0,'Вводные'!$B$83*'Вводные'!$Q$90,0)</x:f>
        <x:v>0</x:v>
      </x:c>
      <x:c r="F40" s="117" t="n">
        <x:f>IF(F37&gt;0,'Вводные'!$B$83*'Вводные'!$Q$90,0)</x:f>
        <x:v>0</x:v>
      </x:c>
      <x:c r="G40" s="117" t="n">
        <x:f>IF(G37&gt;0,'Вводные'!$B$83*'Вводные'!$Q$90,0)</x:f>
        <x:v>0</x:v>
      </x:c>
      <x:c r="H40" s="117" t="n">
        <x:f>IF(H37&gt;0,'Вводные'!$B$83*'Вводные'!$Q$90,0)</x:f>
        <x:v>0</x:v>
      </x:c>
      <x:c r="I40" s="117" t="n">
        <x:f>IF(I37&gt;0,'Вводные'!$B$83*'Вводные'!$Q$90,0)</x:f>
        <x:v>0</x:v>
      </x:c>
      <x:c r="J40" s="117" t="n">
        <x:f>IF(J37&gt;0,'Вводные'!$B$83*'Вводные'!$Q$90,0)</x:f>
        <x:v>0</x:v>
      </x:c>
      <x:c r="K40" s="117" t="n">
        <x:f>IF(K37&gt;0,'Вводные'!$B$83*'Вводные'!$Q$90,0)</x:f>
        <x:v>0</x:v>
      </x:c>
      <x:c r="L40" s="117" t="n">
        <x:f>IF(L37&gt;0,'Вводные'!$B$83*'Вводные'!$Q$90,0)</x:f>
        <x:v>0</x:v>
      </x:c>
      <x:c r="M40" s="117" t="n">
        <x:f>IF(M37&gt;0,'Вводные'!$B$83*'Вводные'!$Q$90,0)</x:f>
        <x:v>0</x:v>
      </x:c>
      <x:c r="N40" s="117" t="n">
        <x:f>IF(N37&gt;0,'Вводные'!$B$83*'Вводные'!$Q$90,0)</x:f>
        <x:v>0</x:v>
      </x:c>
      <x:c r="O40" s="117" t="n">
        <x:f>IF(O37&gt;0,'Вводные'!$B$83*'Вводные'!$Q$90,0)</x:f>
        <x:v>0</x:v>
      </x:c>
      <x:c r="P40" s="117" t="n">
        <x:f>IF(P37&gt;0,'Вводные'!$B$83*'Вводные'!$Q$90,0)</x:f>
        <x:v>0</x:v>
      </x:c>
      <x:c r="Q40" s="117" t="n">
        <x:f>IF(Q37&gt;0,'Вводные'!$B$83*'Вводные'!$Q$90,0)</x:f>
        <x:v>0</x:v>
      </x:c>
      <x:c r="R40" s="117" t="n">
        <x:f>IF(R37&gt;0,'Вводные'!$B$83*'Вводные'!$Q$90,0)</x:f>
        <x:v>0</x:v>
      </x:c>
      <x:c r="S40" s="117" t="n">
        <x:f>IF(S37&gt;0,'Вводные'!$B$83*'Вводные'!$Q$90,0)</x:f>
        <x:v>0</x:v>
      </x:c>
      <x:c r="T40" s="117" t="n">
        <x:f>IF(T37&gt;0,'Вводные'!$B$83*'Вводные'!$Q$90,0)</x:f>
        <x:v>0</x:v>
      </x:c>
      <x:c r="U40" s="117" t="n">
        <x:f>IF(U37&gt;0,'Вводные'!$B$83*'Вводные'!$Q$90,0)</x:f>
        <x:v>0</x:v>
      </x:c>
      <x:c r="V40" s="117" t="n">
        <x:f>IF(V37&gt;0,'Вводные'!$B$83*'Вводные'!$Q$90,0)</x:f>
        <x:v>0</x:v>
      </x:c>
      <x:c r="W40" s="117" t="n">
        <x:f>IF(W37&gt;0,'Вводные'!$B$83*'Вводные'!$Q$90,0)</x:f>
        <x:v>0</x:v>
      </x:c>
      <x:c r="X40" s="117" t="n">
        <x:f>IF(X37&gt;0,'Вводные'!$B$83*'Вводные'!$Q$90,0)</x:f>
        <x:v>0</x:v>
      </x:c>
      <x:c r="Y40" s="117" t="n">
        <x:f>IF(Y37&gt;0,'Вводные'!$B$83*'Вводные'!$Q$90,0)</x:f>
        <x:v>0</x:v>
      </x:c>
      <x:c r="Z40" s="117" t="n">
        <x:f>IF(Z37&gt;0,'Вводные'!$B$83*'Вводные'!$Q$90,0)</x:f>
        <x:v>0</x:v>
      </x:c>
      <x:c r="AA40" s="117" t="n">
        <x:f>IF(AA37&gt;0,'Вводные'!$B$83*'Вводные'!$Q$90,0)</x:f>
        <x:v>0</x:v>
      </x:c>
      <x:c r="AB40" s="117" t="n">
        <x:f>IF(AB37&gt;0,'Вводные'!$B$83*'Вводные'!$Q$90,0)</x:f>
        <x:v>0</x:v>
      </x:c>
      <x:c r="AC40" s="117" t="n">
        <x:f>IF(AC37&gt;0,'Вводные'!$B$83*'Вводные'!$Q$90,0)</x:f>
        <x:v>0</x:v>
      </x:c>
      <x:c r="AD40" s="117" t="n">
        <x:f>IF(AD37&gt;0,'Вводные'!$B$83*'Вводные'!$Q$90,0)</x:f>
        <x:v>0</x:v>
      </x:c>
      <x:c r="AE40" s="117" t="n">
        <x:f>IF(AE37&gt;0,'Вводные'!$B$83*'Вводные'!$Q$90,0)</x:f>
        <x:v>0</x:v>
      </x:c>
      <x:c r="AF40" s="117" t="n">
        <x:f>IF(AF37&gt;0,'Вводные'!$B$83*'Вводные'!$Q$90,0)</x:f>
        <x:v>0</x:v>
      </x:c>
      <x:c r="AG40" s="117" t="n">
        <x:f>IF(AG37&gt;0,'Вводные'!$B$83*'Вводные'!$Q$90,0)</x:f>
        <x:v>0</x:v>
      </x:c>
      <x:c r="AH40" s="117" t="n">
        <x:f>IF(AH37&gt;0,'Вводные'!$B$83*'Вводные'!$Q$90,0)</x:f>
        <x:v>0</x:v>
      </x:c>
      <x:c r="AI40" s="117" t="n">
        <x:f>IF(AI37&gt;0,'Вводные'!$B$83*'Вводные'!$Q$90,0)</x:f>
        <x:v>0</x:v>
      </x:c>
      <x:c r="AJ40" s="117" t="n">
        <x:f>IF(AJ37&gt;0,'Вводные'!$B$83*'Вводные'!$Q$90,0)</x:f>
        <x:v>0</x:v>
      </x:c>
      <x:c r="AK40" s="117" t="n">
        <x:f>IF(AK37&gt;0,'Вводные'!$B$83*'Вводные'!$Q$90,0)</x:f>
        <x:v>0</x:v>
      </x:c>
      <x:c r="AL40" s="117" t="n">
        <x:f>IF(AL37&gt;0,'Вводные'!$B$83*'Вводные'!$Q$90,0)</x:f>
        <x:v>0</x:v>
      </x:c>
      <x:c r="AM40" s="117" t="n">
        <x:f>IF(AM37&gt;0,'Вводные'!$B$83*'Вводные'!$Q$90,0)</x:f>
        <x:v>0</x:v>
      </x:c>
      <x:c r="AN40" s="117" t="n">
        <x:f>IF(AN37&gt;0,'Вводные'!$B$83*'Вводные'!$Q$90,0)</x:f>
        <x:v>0</x:v>
      </x:c>
      <x:c r="AO40" s="117" t="n">
        <x:f>IF(AO37&gt;0,'Вводные'!$B$83*'Вводные'!$Q$90,0)</x:f>
        <x:v>0</x:v>
      </x:c>
      <x:c r="AP40" s="117" t="n">
        <x:f>IF(AP37&gt;0,'Вводные'!$B$83*'Вводные'!$Q$90,0)</x:f>
        <x:v>0</x:v>
      </x:c>
      <x:c r="AQ40" s="117" t="n">
        <x:f>IF(AQ37&gt;0,'Вводные'!$B$83*'Вводные'!$Q$90,0)</x:f>
        <x:v>0</x:v>
      </x:c>
      <x:c r="AR40" s="117" t="n">
        <x:f>IF(AR37&gt;0,'Вводные'!$B$83*'Вводные'!$Q$90,0)</x:f>
        <x:v>0</x:v>
      </x:c>
      <x:c r="AS40" s="117" t="n">
        <x:f>IF(AS37&gt;0,'Вводные'!$B$83*'Вводные'!$Q$90,0)</x:f>
        <x:v>0</x:v>
      </x:c>
      <x:c r="AT40" s="117" t="n">
        <x:f>IF(AT37&gt;0,'Вводные'!$B$83*'Вводные'!$Q$90,0)</x:f>
        <x:v>0</x:v>
      </x:c>
      <x:c r="AU40" s="117" t="n">
        <x:f>IF(AU37&gt;0,'Вводные'!$B$83*'Вводные'!$Q$90,0)</x:f>
        <x:v>0</x:v>
      </x:c>
      <x:c r="AV40" s="117" t="n">
        <x:f>IF(AV37&gt;0,'Вводные'!$B$83*'Вводные'!$Q$90,0)</x:f>
        <x:v>0</x:v>
      </x:c>
      <x:c r="AW40" s="117" t="n">
        <x:f>IF(AW37&gt;0,'Вводные'!$B$83*'Вводные'!$Q$90,0)</x:f>
        <x:v>0</x:v>
      </x:c>
      <x:c r="AX40" s="117" t="n">
        <x:f>IF(AX37&gt;0,'Вводные'!$B$83*'Вводные'!$Q$90,0)</x:f>
        <x:v>0</x:v>
      </x:c>
      <x:c r="AY40" s="117" t="n">
        <x:f>IF(AY37&gt;0,'Вводные'!$B$83*'Вводные'!$Q$90,0)</x:f>
        <x:v>0</x:v>
      </x:c>
      <x:c r="AZ40" s="117" t="n">
        <x:f>IF(AZ37&gt;0,'Вводные'!$B$83*'Вводные'!$Q$90,0)</x:f>
        <x:v>0</x:v>
      </x:c>
      <x:c r="BA40" s="117" t="n">
        <x:f>IF(BA37&gt;0,'Вводные'!$B$83*'Вводные'!$Q$90,0)</x:f>
        <x:v>0</x:v>
      </x:c>
      <x:c r="BB40" s="117" t="n">
        <x:f>IF(BB37&gt;0,'Вводные'!$B$83*'Вводные'!$Q$90,0)</x:f>
        <x:v>0</x:v>
      </x:c>
      <x:c r="BC40" s="117" t="n">
        <x:f>IF(BC37&gt;0,'Вводные'!$B$83*'Вводные'!$Q$90,0)</x:f>
        <x:v>0</x:v>
      </x:c>
      <x:c r="BD40" s="117" t="n">
        <x:f>IF(BD37&gt;0,'Вводные'!$B$83*'Вводные'!$Q$90,0)</x:f>
        <x:v>0</x:v>
      </x:c>
      <x:c r="BE40" s="117" t="n">
        <x:f>IF(BE37&gt;0,'Вводные'!$B$83*'Вводные'!$Q$90,0)</x:f>
        <x:v>0</x:v>
      </x:c>
      <x:c r="BF40" s="117" t="n">
        <x:f>IF(BF37&gt;0,'Вводные'!$B$83*'Вводные'!$Q$90,0)</x:f>
        <x:v>0</x:v>
      </x:c>
      <x:c r="BG40" s="117" t="n">
        <x:f>IF(BG37&gt;0,'Вводные'!$B$83*'Вводные'!$Q$90,0)</x:f>
        <x:v>0</x:v>
      </x:c>
      <x:c r="BH40" s="117" t="n">
        <x:f>IF(BH37&gt;0,'Вводные'!$B$83*'Вводные'!$Q$90,0)</x:f>
        <x:v>0</x:v>
      </x:c>
      <x:c r="BI40" s="117" t="n">
        <x:f>IF(BI37&gt;0,'Вводные'!$B$83*'Вводные'!$Q$90,0)</x:f>
        <x:v>0</x:v>
      </x:c>
      <x:c r="BJ40" s="117" t="n">
        <x:f>IF(BJ37&gt;0,'Вводные'!$B$83*'Вводные'!$Q$90,0)</x:f>
        <x:v>0</x:v>
      </x:c>
      <x:c r="BK40" s="117" t="n">
        <x:f>IF(BK37&gt;0,'Вводные'!$B$83*'Вводные'!$Q$90,0)</x:f>
        <x:v>0</x:v>
      </x:c>
      <x:c r="BL40" s="117" t="n">
        <x:f>IF(BL37&gt;0,'Вводные'!$B$83*'Вводные'!$Q$90,0)</x:f>
        <x:v>0</x:v>
      </x:c>
      <x:c r="BM40" s="117" t="n">
        <x:f>IF(BM37&gt;0,'Вводные'!$B$83*'Вводные'!$Q$90,0)</x:f>
        <x:v>0</x:v>
      </x:c>
      <x:c r="BN40" s="117" t="n">
        <x:f>IF(BN37&gt;0,'Вводные'!$B$83*'Вводные'!$Q$90,0)</x:f>
        <x:v>0</x:v>
      </x:c>
      <x:c r="BO40" s="117" t="n">
        <x:f>IF(BO37&gt;0,'Вводные'!$B$83*'Вводные'!$Q$90,0)</x:f>
        <x:v>0</x:v>
      </x:c>
      <x:c r="BP40" s="117" t="n">
        <x:f>IF(BP37&gt;0,'Вводные'!$B$83*'Вводные'!$Q$90,0)</x:f>
        <x:v>0</x:v>
      </x:c>
      <x:c r="BQ40" s="117" t="n">
        <x:f>IF(BQ37&gt;0,'Вводные'!$B$83*'Вводные'!$Q$90,0)</x:f>
        <x:v>0</x:v>
      </x:c>
      <x:c r="BR40" s="117" t="n">
        <x:f>IF(BR37&gt;0,'Вводные'!$B$83*'Вводные'!$Q$90,0)</x:f>
        <x:v>0</x:v>
      </x:c>
      <x:c r="BS40" s="117" t="n">
        <x:f>IF(BS37&gt;0,'Вводные'!$B$83*'Вводные'!$Q$90,0)</x:f>
        <x:v>0</x:v>
      </x:c>
      <x:c r="BT40" s="117" t="n">
        <x:f>IF(BT37&gt;0,'Вводные'!$B$83*'Вводные'!$Q$90,0)</x:f>
        <x:v>0</x:v>
      </x:c>
      <x:c r="BU40" s="117" t="n">
        <x:f>IF(BU37&gt;0,'Вводные'!$B$83*'Вводные'!$Q$90,0)</x:f>
        <x:v>0</x:v>
      </x:c>
      <x:c r="BV40" s="117" t="n">
        <x:f>IF(BV37&gt;0,'Вводные'!$B$83*'Вводные'!$Q$90,0)</x:f>
        <x:v>0</x:v>
      </x:c>
      <x:c r="BW40" s="117" t="n">
        <x:f>IF(BW37&gt;0,'Вводные'!$B$83*'Вводные'!$Q$90,0)</x:f>
        <x:v>0</x:v>
      </x:c>
      <x:c r="BX40" s="117" t="n">
        <x:f>IF(BX37&gt;0,'Вводные'!$B$83*'Вводные'!$Q$90,0)</x:f>
        <x:v>0</x:v>
      </x:c>
      <x:c r="BY40" s="117" t="n">
        <x:f>IF(BY37&gt;0,'Вводные'!$B$83*'Вводные'!$Q$90,0)</x:f>
        <x:v>0</x:v>
      </x:c>
      <x:c r="BZ40" s="117" t="n">
        <x:f>IF(BZ37&gt;0,'Вводные'!$B$83*'Вводные'!$Q$90,0)</x:f>
        <x:v>0</x:v>
      </x:c>
      <x:c r="CA40" s="117" t="n">
        <x:f>IF(CA37&gt;0,'Вводные'!$B$83*'Вводные'!$Q$90,0)</x:f>
        <x:v>0</x:v>
      </x:c>
      <x:c r="CB40" s="117" t="n">
        <x:f>IF(CB37&gt;0,'Вводные'!$B$83*'Вводные'!$Q$90,0)</x:f>
        <x:v>0</x:v>
      </x:c>
      <x:c r="CC40" s="117" t="n">
        <x:f>IF(CC37&gt;0,'Вводные'!$B$83*'Вводные'!$Q$90,0)</x:f>
        <x:v>0</x:v>
      </x:c>
      <x:c r="CD40" s="117" t="n">
        <x:f>IF(CD37&gt;0,'Вводные'!$B$83*'Вводные'!$Q$90,0)</x:f>
        <x:v>0</x:v>
      </x:c>
      <x:c r="CE40" s="117" t="n">
        <x:f>IF(CE37&gt;0,'Вводные'!$B$83*'Вводные'!$Q$90,0)</x:f>
        <x:v>0</x:v>
      </x:c>
      <x:c r="CF40" s="117" t="n">
        <x:f>IF(CF37&gt;0,'Вводные'!$B$83*'Вводные'!$Q$90,0)</x:f>
        <x:v>0</x:v>
      </x:c>
      <x:c r="CG40" s="117" t="n">
        <x:f>IF(CG37&gt;0,'Вводные'!$B$83*'Вводные'!$Q$90,0)</x:f>
        <x:v>0</x:v>
      </x:c>
      <x:c r="CH40" s="117" t="n">
        <x:f>IF(CH37&gt;0,'Вводные'!$B$83*'Вводные'!$Q$90,0)</x:f>
        <x:v>0</x:v>
      </x:c>
      <x:c r="CI40" s="117" t="n">
        <x:f>IF(CI37&gt;0,'Вводные'!$B$83*'Вводные'!$Q$90,0)</x:f>
        <x:v>0</x:v>
      </x:c>
      <x:c r="CJ40" s="117" t="n">
        <x:f>IF(CJ37&gt;0,'Вводные'!$B$83*'Вводные'!$Q$90,0)</x:f>
        <x:v>0</x:v>
      </x:c>
      <x:c r="CK40" s="117" t="n">
        <x:f>IF(CK37&gt;0,'Вводные'!$B$83*'Вводные'!$Q$90,0)</x:f>
        <x:v>0</x:v>
      </x:c>
      <x:c r="CL40" s="117" t="n">
        <x:f>IF(CL37&gt;0,'Вводные'!$B$83*'Вводные'!$Q$90,0)</x:f>
        <x:v>0</x:v>
      </x:c>
      <x:c r="CM40" s="117" t="n">
        <x:f>IF(CM37&gt;0,'Вводные'!$B$83*'Вводные'!$Q$90,0)</x:f>
        <x:v>0</x:v>
      </x:c>
      <x:c r="CN40" s="117" t="n">
        <x:f>IF(CN37&gt;0,'Вводные'!$B$83*'Вводные'!$Q$90,0)</x:f>
        <x:v>0</x:v>
      </x:c>
      <x:c r="CO40" s="117" t="n">
        <x:f>IF(CO37&gt;0,'Вводные'!$B$83*'Вводные'!$Q$90,0)</x:f>
        <x:v>0</x:v>
      </x:c>
      <x:c r="CP40" s="117" t="n">
        <x:f>IF(CP37&gt;0,'Вводные'!$B$83*'Вводные'!$Q$90,0)</x:f>
        <x:v>0</x:v>
      </x:c>
      <x:c r="CQ40" s="117" t="n">
        <x:f>IF(CQ37&gt;0,'Вводные'!$B$83*'Вводные'!$Q$90,0)</x:f>
        <x:v>0</x:v>
      </x:c>
      <x:c r="CR40" s="117" t="n">
        <x:f>IF(CR37&gt;0,'Вводные'!$B$83*'Вводные'!$Q$90,0)</x:f>
        <x:v>0</x:v>
      </x:c>
      <x:c r="CS40" s="117" t="n">
        <x:f>IF(CS37&gt;0,'Вводные'!$B$83*'Вводные'!$Q$90,0)</x:f>
        <x:v>0</x:v>
      </x:c>
      <x:c r="CT40" s="117" t="n">
        <x:f>IF(CT37&gt;0,'Вводные'!$B$83*'Вводные'!$Q$90,0)</x:f>
        <x:v>0</x:v>
      </x:c>
      <x:c r="CU40" s="117" t="n">
        <x:f>IF(CU37&gt;0,'Вводные'!$B$83*'Вводные'!$Q$90,0)</x:f>
        <x:v>0</x:v>
      </x:c>
      <x:c r="CV40" s="117" t="n">
        <x:f>IF(CV37&gt;0,'Вводные'!$B$83*'Вводные'!$Q$90,0)</x:f>
        <x:v>0</x:v>
      </x:c>
      <x:c r="CW40" s="117" t="n">
        <x:f>IF(CW37&gt;0,'Вводные'!$B$83*'Вводные'!$Q$90,0)</x:f>
        <x:v>0</x:v>
      </x:c>
      <x:c r="CX40" s="117" t="n">
        <x:f>IF(CX37&gt;0,'Вводные'!$B$83*'Вводные'!$Q$90,0)</x:f>
        <x:v>0</x:v>
      </x:c>
      <x:c r="CY40" s="117" t="n">
        <x:f>IF(CY37&gt;0,'Вводные'!$B$83*'Вводные'!$Q$90,0)</x:f>
        <x:v>0</x:v>
      </x:c>
      <x:c r="CZ40" s="117" t="n">
        <x:f>IF(CZ37&gt;0,'Вводные'!$B$83*'Вводные'!$Q$90,0)</x:f>
        <x:v>0</x:v>
      </x:c>
      <x:c r="DA40" s="117" t="n">
        <x:f>IF(DA37&gt;0,'Вводные'!$B$83*'Вводные'!$Q$90,0)</x:f>
        <x:v>0</x:v>
      </x:c>
      <x:c r="DB40" s="117" t="n">
        <x:f>IF(DB37&gt;0,'Вводные'!$B$83*'Вводные'!$Q$90,0)</x:f>
        <x:v>0</x:v>
      </x:c>
      <x:c r="DC40" s="117" t="n">
        <x:f>IF(DC37&gt;0,'Вводные'!$B$83*'Вводные'!$Q$90,0)</x:f>
        <x:v>0</x:v>
      </x:c>
      <x:c r="DD40" s="117" t="n">
        <x:f>IF(DD37&gt;0,'Вводные'!$B$83*'Вводные'!$Q$90,0)</x:f>
        <x:v>0</x:v>
      </x:c>
      <x:c r="DE40" s="117" t="n">
        <x:f>IF(DE37&gt;0,'Вводные'!$B$83*'Вводные'!$Q$90,0)</x:f>
        <x:v>0</x:v>
      </x:c>
      <x:c r="DF40" s="117" t="n">
        <x:f>IF(DF37&gt;0,'Вводные'!$B$83*'Вводные'!$Q$90,0)</x:f>
        <x:v>0</x:v>
      </x:c>
      <x:c r="DG40" s="117" t="n">
        <x:f>IF(DG37&gt;0,'Вводные'!$B$83*'Вводные'!$Q$90,0)</x:f>
        <x:v>0</x:v>
      </x:c>
      <x:c r="DH40" s="117" t="n">
        <x:f>IF(DH37&gt;0,'Вводные'!$B$83*'Вводные'!$Q$90,0)</x:f>
        <x:v>0</x:v>
      </x:c>
      <x:c r="DI40" s="117" t="n">
        <x:f>IF(DI37&gt;0,'Вводные'!$B$83*'Вводные'!$Q$90,0)</x:f>
        <x:v>0</x:v>
      </x:c>
      <x:c r="DJ40" s="117" t="n">
        <x:f>IF(DJ37&gt;0,'Вводные'!$B$83*'Вводные'!$Q$90,0)</x:f>
        <x:v>0</x:v>
      </x:c>
      <x:c r="DK40" s="117" t="n">
        <x:f>IF(DK37&gt;0,'Вводные'!$B$83*'Вводные'!$Q$90,0)</x:f>
        <x:v>0</x:v>
      </x:c>
      <x:c r="DL40" s="117" t="n">
        <x:f>IF(DL37&gt;0,'Вводные'!$B$83*'Вводные'!$Q$90,0)</x:f>
        <x:v>0</x:v>
      </x:c>
      <x:c r="DM40" s="117" t="n">
        <x:f>IF(DM37&gt;0,'Вводные'!$B$83*'Вводные'!$Q$90,0)</x:f>
        <x:v>0</x:v>
      </x:c>
      <x:c r="DN40" s="117" t="n">
        <x:f>IF(DN37&gt;0,'Вводные'!$B$83*'Вводные'!$Q$90,0)</x:f>
        <x:v>0</x:v>
      </x:c>
      <x:c r="DO40" s="117" t="n">
        <x:f>IF(DO37&gt;0,'Вводные'!$B$83*'Вводные'!$Q$90,0)</x:f>
        <x:v>0</x:v>
      </x:c>
      <x:c r="DP40" s="117" t="n">
        <x:f>IF(DP37&gt;0,'Вводные'!$B$83*'Вводные'!$Q$90,0)</x:f>
        <x:v>0</x:v>
      </x:c>
      <x:c r="DQ40" s="117" t="n">
        <x:f>IF(DQ37&gt;0,'Вводные'!$B$83*'Вводные'!$Q$90,0)</x:f>
        <x:v>0</x:v>
      </x:c>
      <x:c r="DR40" s="117" t="n">
        <x:f>IF(DR37&gt;0,'Вводные'!$B$83*'Вводные'!$Q$90,0)</x:f>
        <x:v>0</x:v>
      </x:c>
      <x:c r="DS40" s="117" t="n">
        <x:f>IF(DS37&gt;0,'Вводные'!$B$83*'Вводные'!$Q$90,0)</x:f>
        <x:v>0</x:v>
      </x:c>
    </x:row>
    <x:row r="41">
      <x:c r="A41" s="113" t="str">
        <x:v>ДЕНЕЖНЫЙ ПЛАТЁЖ ПО ВРИ</x:v>
      </x:c>
      <x:c r="B41" s="113" t="n">
        <x:f>SUM(D41:DS41)</x:f>
        <x:v>0</x:v>
      </x:c>
      <x:c r="C41" s="113" t="str">
        <x:v>млн ₽</x:v>
      </x:c>
      <x:c r="D41" s="120" t="n">
        <x:f>SUM(D38:D40)</x:f>
        <x:v>0</x:v>
      </x:c>
      <x:c r="E41" s="120" t="n">
        <x:f>SUM(E38:E40)</x:f>
        <x:v>0</x:v>
      </x:c>
      <x:c r="F41" s="120" t="n">
        <x:f>SUM(F38:F40)</x:f>
        <x:v>0</x:v>
      </x:c>
      <x:c r="G41" s="120" t="n">
        <x:f>SUM(G38:G40)</x:f>
        <x:v>0</x:v>
      </x:c>
      <x:c r="H41" s="120" t="n">
        <x:f>SUM(H38:H40)</x:f>
        <x:v>0</x:v>
      </x:c>
      <x:c r="I41" s="120" t="n">
        <x:f>SUM(I38:I40)</x:f>
        <x:v>0</x:v>
      </x:c>
      <x:c r="J41" s="120" t="n">
        <x:f>SUM(J38:J40)</x:f>
        <x:v>0</x:v>
      </x:c>
      <x:c r="K41" s="120" t="n">
        <x:f>SUM(K38:K40)</x:f>
        <x:v>0</x:v>
      </x:c>
      <x:c r="L41" s="120" t="n">
        <x:f>SUM(L38:L40)</x:f>
        <x:v>0</x:v>
      </x:c>
      <x:c r="M41" s="120" t="n">
        <x:f>SUM(M38:M40)</x:f>
        <x:v>0</x:v>
      </x:c>
      <x:c r="N41" s="120" t="n">
        <x:f>SUM(N38:N40)</x:f>
        <x:v>0</x:v>
      </x:c>
      <x:c r="O41" s="120" t="n">
        <x:f>SUM(O38:O40)</x:f>
        <x:v>0</x:v>
      </x:c>
      <x:c r="P41" s="120" t="n">
        <x:f>SUM(P38:P40)</x:f>
        <x:v>0</x:v>
      </x:c>
      <x:c r="Q41" s="120" t="n">
        <x:f>SUM(Q38:Q40)</x:f>
        <x:v>0</x:v>
      </x:c>
      <x:c r="R41" s="120" t="n">
        <x:f>SUM(R38:R40)</x:f>
        <x:v>0</x:v>
      </x:c>
      <x:c r="S41" s="120" t="n">
        <x:f>SUM(S38:S40)</x:f>
        <x:v>0</x:v>
      </x:c>
      <x:c r="T41" s="120" t="n">
        <x:f>SUM(T38:T40)</x:f>
        <x:v>0</x:v>
      </x:c>
      <x:c r="U41" s="120" t="n">
        <x:f>SUM(U38:U40)</x:f>
        <x:v>0</x:v>
      </x:c>
      <x:c r="V41" s="120" t="n">
        <x:f>SUM(V38:V40)</x:f>
        <x:v>0</x:v>
      </x:c>
      <x:c r="W41" s="120" t="n">
        <x:f>SUM(W38:W40)</x:f>
        <x:v>0</x:v>
      </x:c>
      <x:c r="X41" s="120" t="n">
        <x:f>SUM(X38:X40)</x:f>
        <x:v>0</x:v>
      </x:c>
      <x:c r="Y41" s="120" t="n">
        <x:f>SUM(Y38:Y40)</x:f>
        <x:v>0</x:v>
      </x:c>
      <x:c r="Z41" s="120" t="n">
        <x:f>SUM(Z38:Z40)</x:f>
        <x:v>0</x:v>
      </x:c>
      <x:c r="AA41" s="120" t="n">
        <x:f>SUM(AA38:AA40)</x:f>
        <x:v>0</x:v>
      </x:c>
      <x:c r="AB41" s="120" t="n">
        <x:f>SUM(AB38:AB40)</x:f>
        <x:v>0</x:v>
      </x:c>
      <x:c r="AC41" s="120" t="n">
        <x:f>SUM(AC38:AC40)</x:f>
        <x:v>0</x:v>
      </x:c>
      <x:c r="AD41" s="120" t="n">
        <x:f>SUM(AD38:AD40)</x:f>
        <x:v>0</x:v>
      </x:c>
      <x:c r="AE41" s="120" t="n">
        <x:f>SUM(AE38:AE40)</x:f>
        <x:v>0</x:v>
      </x:c>
      <x:c r="AF41" s="120" t="n">
        <x:f>SUM(AF38:AF40)</x:f>
        <x:v>0</x:v>
      </x:c>
      <x:c r="AG41" s="120" t="n">
        <x:f>SUM(AG38:AG40)</x:f>
        <x:v>0</x:v>
      </x:c>
      <x:c r="AH41" s="120" t="n">
        <x:f>SUM(AH38:AH40)</x:f>
        <x:v>0</x:v>
      </x:c>
      <x:c r="AI41" s="120" t="n">
        <x:f>SUM(AI38:AI40)</x:f>
        <x:v>0</x:v>
      </x:c>
      <x:c r="AJ41" s="120" t="n">
        <x:f>SUM(AJ38:AJ40)</x:f>
        <x:v>0</x:v>
      </x:c>
      <x:c r="AK41" s="120" t="n">
        <x:f>SUM(AK38:AK40)</x:f>
        <x:v>0</x:v>
      </x:c>
      <x:c r="AL41" s="120" t="n">
        <x:f>SUM(AL38:AL40)</x:f>
        <x:v>0</x:v>
      </x:c>
      <x:c r="AM41" s="120" t="n">
        <x:f>SUM(AM38:AM40)</x:f>
        <x:v>0</x:v>
      </x:c>
      <x:c r="AN41" s="120" t="n">
        <x:f>SUM(AN38:AN40)</x:f>
        <x:v>0</x:v>
      </x:c>
      <x:c r="AO41" s="120" t="n">
        <x:f>SUM(AO38:AO40)</x:f>
        <x:v>0</x:v>
      </x:c>
      <x:c r="AP41" s="120" t="n">
        <x:f>SUM(AP38:AP40)</x:f>
        <x:v>0</x:v>
      </x:c>
      <x:c r="AQ41" s="120" t="n">
        <x:f>SUM(AQ38:AQ40)</x:f>
        <x:v>0</x:v>
      </x:c>
      <x:c r="AR41" s="120" t="n">
        <x:f>SUM(AR38:AR40)</x:f>
        <x:v>0</x:v>
      </x:c>
      <x:c r="AS41" s="120" t="n">
        <x:f>SUM(AS38:AS40)</x:f>
        <x:v>0</x:v>
      </x:c>
      <x:c r="AT41" s="120" t="n">
        <x:f>SUM(AT38:AT40)</x:f>
        <x:v>0</x:v>
      </x:c>
      <x:c r="AU41" s="120" t="n">
        <x:f>SUM(AU38:AU40)</x:f>
        <x:v>0</x:v>
      </x:c>
      <x:c r="AV41" s="120" t="n">
        <x:f>SUM(AV38:AV40)</x:f>
        <x:v>0</x:v>
      </x:c>
      <x:c r="AW41" s="120" t="n">
        <x:f>SUM(AW38:AW40)</x:f>
        <x:v>0</x:v>
      </x:c>
      <x:c r="AX41" s="120" t="n">
        <x:f>SUM(AX38:AX40)</x:f>
        <x:v>0</x:v>
      </x:c>
      <x:c r="AY41" s="120" t="n">
        <x:f>SUM(AY38:AY40)</x:f>
        <x:v>0</x:v>
      </x:c>
      <x:c r="AZ41" s="120" t="n">
        <x:f>SUM(AZ38:AZ40)</x:f>
        <x:v>0</x:v>
      </x:c>
      <x:c r="BA41" s="120" t="n">
        <x:f>SUM(BA38:BA40)</x:f>
        <x:v>0</x:v>
      </x:c>
      <x:c r="BB41" s="120" t="n">
        <x:f>SUM(BB38:BB40)</x:f>
        <x:v>0</x:v>
      </x:c>
      <x:c r="BC41" s="120" t="n">
        <x:f>SUM(BC38:BC40)</x:f>
        <x:v>0</x:v>
      </x:c>
      <x:c r="BD41" s="120" t="n">
        <x:f>SUM(BD38:BD40)</x:f>
        <x:v>0</x:v>
      </x:c>
      <x:c r="BE41" s="120" t="n">
        <x:f>SUM(BE38:BE40)</x:f>
        <x:v>0</x:v>
      </x:c>
      <x:c r="BF41" s="120" t="n">
        <x:f>SUM(BF38:BF40)</x:f>
        <x:v>0</x:v>
      </x:c>
      <x:c r="BG41" s="120" t="n">
        <x:f>SUM(BG38:BG40)</x:f>
        <x:v>0</x:v>
      </x:c>
      <x:c r="BH41" s="120" t="n">
        <x:f>SUM(BH38:BH40)</x:f>
        <x:v>0</x:v>
      </x:c>
      <x:c r="BI41" s="120" t="n">
        <x:f>SUM(BI38:BI40)</x:f>
        <x:v>0</x:v>
      </x:c>
      <x:c r="BJ41" s="120" t="n">
        <x:f>SUM(BJ38:BJ40)</x:f>
        <x:v>0</x:v>
      </x:c>
      <x:c r="BK41" s="120" t="n">
        <x:f>SUM(BK38:BK40)</x:f>
        <x:v>0</x:v>
      </x:c>
      <x:c r="BL41" s="120" t="n">
        <x:f>SUM(BL38:BL40)</x:f>
        <x:v>0</x:v>
      </x:c>
      <x:c r="BM41" s="120" t="n">
        <x:f>SUM(BM38:BM40)</x:f>
        <x:v>0</x:v>
      </x:c>
      <x:c r="BN41" s="120" t="n">
        <x:f>SUM(BN38:BN40)</x:f>
        <x:v>0</x:v>
      </x:c>
      <x:c r="BO41" s="120" t="n">
        <x:f>SUM(BO38:BO40)</x:f>
        <x:v>0</x:v>
      </x:c>
      <x:c r="BP41" s="120" t="n">
        <x:f>SUM(BP38:BP40)</x:f>
        <x:v>0</x:v>
      </x:c>
      <x:c r="BQ41" s="120" t="n">
        <x:f>SUM(BQ38:BQ40)</x:f>
        <x:v>0</x:v>
      </x:c>
      <x:c r="BR41" s="120" t="n">
        <x:f>SUM(BR38:BR40)</x:f>
        <x:v>0</x:v>
      </x:c>
      <x:c r="BS41" s="120" t="n">
        <x:f>SUM(BS38:BS40)</x:f>
        <x:v>0</x:v>
      </x:c>
      <x:c r="BT41" s="120" t="n">
        <x:f>SUM(BT38:BT40)</x:f>
        <x:v>0</x:v>
      </x:c>
      <x:c r="BU41" s="120" t="n">
        <x:f>SUM(BU38:BU40)</x:f>
        <x:v>0</x:v>
      </x:c>
      <x:c r="BV41" s="120" t="n">
        <x:f>SUM(BV38:BV40)</x:f>
        <x:v>0</x:v>
      </x:c>
      <x:c r="BW41" s="120" t="n">
        <x:f>SUM(BW38:BW40)</x:f>
        <x:v>0</x:v>
      </x:c>
      <x:c r="BX41" s="120" t="n">
        <x:f>SUM(BX38:BX40)</x:f>
        <x:v>0</x:v>
      </x:c>
      <x:c r="BY41" s="120" t="n">
        <x:f>SUM(BY38:BY40)</x:f>
        <x:v>0</x:v>
      </x:c>
      <x:c r="BZ41" s="120" t="n">
        <x:f>SUM(BZ38:BZ40)</x:f>
        <x:v>0</x:v>
      </x:c>
      <x:c r="CA41" s="120" t="n">
        <x:f>SUM(CA38:CA40)</x:f>
        <x:v>0</x:v>
      </x:c>
      <x:c r="CB41" s="120" t="n">
        <x:f>SUM(CB38:CB40)</x:f>
        <x:v>0</x:v>
      </x:c>
      <x:c r="CC41" s="120" t="n">
        <x:f>SUM(CC38:CC40)</x:f>
        <x:v>0</x:v>
      </x:c>
      <x:c r="CD41" s="120" t="n">
        <x:f>SUM(CD38:CD40)</x:f>
        <x:v>0</x:v>
      </x:c>
      <x:c r="CE41" s="120" t="n">
        <x:f>SUM(CE38:CE40)</x:f>
        <x:v>0</x:v>
      </x:c>
      <x:c r="CF41" s="120" t="n">
        <x:f>SUM(CF38:CF40)</x:f>
        <x:v>0</x:v>
      </x:c>
      <x:c r="CG41" s="120" t="n">
        <x:f>SUM(CG38:CG40)</x:f>
        <x:v>0</x:v>
      </x:c>
      <x:c r="CH41" s="120" t="n">
        <x:f>SUM(CH38:CH40)</x:f>
        <x:v>0</x:v>
      </x:c>
      <x:c r="CI41" s="120" t="n">
        <x:f>SUM(CI38:CI40)</x:f>
        <x:v>0</x:v>
      </x:c>
      <x:c r="CJ41" s="120" t="n">
        <x:f>SUM(CJ38:CJ40)</x:f>
        <x:v>0</x:v>
      </x:c>
      <x:c r="CK41" s="120" t="n">
        <x:f>SUM(CK38:CK40)</x:f>
        <x:v>0</x:v>
      </x:c>
      <x:c r="CL41" s="120" t="n">
        <x:f>SUM(CL38:CL40)</x:f>
        <x:v>0</x:v>
      </x:c>
      <x:c r="CM41" s="120" t="n">
        <x:f>SUM(CM38:CM40)</x:f>
        <x:v>0</x:v>
      </x:c>
      <x:c r="CN41" s="120" t="n">
        <x:f>SUM(CN38:CN40)</x:f>
        <x:v>0</x:v>
      </x:c>
      <x:c r="CO41" s="120" t="n">
        <x:f>SUM(CO38:CO40)</x:f>
        <x:v>0</x:v>
      </x:c>
      <x:c r="CP41" s="120" t="n">
        <x:f>SUM(CP38:CP40)</x:f>
        <x:v>0</x:v>
      </x:c>
      <x:c r="CQ41" s="120" t="n">
        <x:f>SUM(CQ38:CQ40)</x:f>
        <x:v>0</x:v>
      </x:c>
      <x:c r="CR41" s="120" t="n">
        <x:f>SUM(CR38:CR40)</x:f>
        <x:v>0</x:v>
      </x:c>
      <x:c r="CS41" s="120" t="n">
        <x:f>SUM(CS38:CS40)</x:f>
        <x:v>0</x:v>
      </x:c>
      <x:c r="CT41" s="120" t="n">
        <x:f>SUM(CT38:CT40)</x:f>
        <x:v>0</x:v>
      </x:c>
      <x:c r="CU41" s="120" t="n">
        <x:f>SUM(CU38:CU40)</x:f>
        <x:v>0</x:v>
      </x:c>
      <x:c r="CV41" s="120" t="n">
        <x:f>SUM(CV38:CV40)</x:f>
        <x:v>0</x:v>
      </x:c>
      <x:c r="CW41" s="120" t="n">
        <x:f>SUM(CW38:CW40)</x:f>
        <x:v>0</x:v>
      </x:c>
      <x:c r="CX41" s="120" t="n">
        <x:f>SUM(CX38:CX40)</x:f>
        <x:v>0</x:v>
      </x:c>
      <x:c r="CY41" s="120" t="n">
        <x:f>SUM(CY38:CY40)</x:f>
        <x:v>0</x:v>
      </x:c>
      <x:c r="CZ41" s="120" t="n">
        <x:f>SUM(CZ38:CZ40)</x:f>
        <x:v>0</x:v>
      </x:c>
      <x:c r="DA41" s="120" t="n">
        <x:f>SUM(DA38:DA40)</x:f>
        <x:v>0</x:v>
      </x:c>
      <x:c r="DB41" s="120" t="n">
        <x:f>SUM(DB38:DB40)</x:f>
        <x:v>0</x:v>
      </x:c>
      <x:c r="DC41" s="120" t="n">
        <x:f>SUM(DC38:DC40)</x:f>
        <x:v>0</x:v>
      </x:c>
      <x:c r="DD41" s="120" t="n">
        <x:f>SUM(DD38:DD40)</x:f>
        <x:v>0</x:v>
      </x:c>
      <x:c r="DE41" s="120" t="n">
        <x:f>SUM(DE38:DE40)</x:f>
        <x:v>0</x:v>
      </x:c>
      <x:c r="DF41" s="120" t="n">
        <x:f>SUM(DF38:DF40)</x:f>
        <x:v>0</x:v>
      </x:c>
      <x:c r="DG41" s="120" t="n">
        <x:f>SUM(DG38:DG40)</x:f>
        <x:v>0</x:v>
      </x:c>
      <x:c r="DH41" s="120" t="n">
        <x:f>SUM(DH38:DH40)</x:f>
        <x:v>0</x:v>
      </x:c>
      <x:c r="DI41" s="120" t="n">
        <x:f>SUM(DI38:DI40)</x:f>
        <x:v>0</x:v>
      </x:c>
      <x:c r="DJ41" s="120" t="n">
        <x:f>SUM(DJ38:DJ40)</x:f>
        <x:v>0</x:v>
      </x:c>
      <x:c r="DK41" s="120" t="n">
        <x:f>SUM(DK38:DK40)</x:f>
        <x:v>0</x:v>
      </x:c>
      <x:c r="DL41" s="120" t="n">
        <x:f>SUM(DL38:DL40)</x:f>
        <x:v>0</x:v>
      </x:c>
      <x:c r="DM41" s="120" t="n">
        <x:f>SUM(DM38:DM40)</x:f>
        <x:v>0</x:v>
      </x:c>
      <x:c r="DN41" s="120" t="n">
        <x:f>SUM(DN38:DN40)</x:f>
        <x:v>0</x:v>
      </x:c>
      <x:c r="DO41" s="120" t="n">
        <x:f>SUM(DO38:DO40)</x:f>
        <x:v>0</x:v>
      </x:c>
      <x:c r="DP41" s="120" t="n">
        <x:f>SUM(DP38:DP40)</x:f>
        <x:v>0</x:v>
      </x:c>
      <x:c r="DQ41" s="120" t="n">
        <x:f>SUM(DQ38:DQ40)</x:f>
        <x:v>0</x:v>
      </x:c>
      <x:c r="DR41" s="120" t="n">
        <x:f>SUM(DR38:DR40)</x:f>
        <x:v>0</x:v>
      </x:c>
      <x:c r="DS41" s="120" t="n">
        <x:f>SUM(DS38:DS40)</x:f>
        <x:v>0</x:v>
      </x:c>
    </x:row>
    <x:row r="42">
      <x:c r="A42" t="str">
        <x:v>Остаток на конец</x:v>
      </x:c>
      <x:c r="B42" s="107" t="n">
        <x:f>DS42</x:f>
        <x:v>0</x:v>
      </x:c>
      <x:c r="C42" t="str">
        <x:v>млн ₽</x:v>
      </x:c>
      <x:c r="D42" s="117" t="n">
        <x:f>MAX(0,D36+D37-D38)</x:f>
        <x:v>0</x:v>
      </x:c>
      <x:c r="E42" s="117" t="n">
        <x:f>MAX(0,E36+E37-E38)</x:f>
        <x:v>0</x:v>
      </x:c>
      <x:c r="F42" s="117" t="n">
        <x:f>MAX(0,F36+F37-F38)</x:f>
        <x:v>0</x:v>
      </x:c>
      <x:c r="G42" s="117" t="n">
        <x:f>MAX(0,G36+G37-G38)</x:f>
        <x:v>0</x:v>
      </x:c>
      <x:c r="H42" s="117" t="n">
        <x:f>MAX(0,H36+H37-H38)</x:f>
        <x:v>0</x:v>
      </x:c>
      <x:c r="I42" s="117" t="n">
        <x:f>MAX(0,I36+I37-I38)</x:f>
        <x:v>0</x:v>
      </x:c>
      <x:c r="J42" s="117" t="n">
        <x:f>MAX(0,J36+J37-J38)</x:f>
        <x:v>0</x:v>
      </x:c>
      <x:c r="K42" s="117" t="n">
        <x:f>MAX(0,K36+K37-K38)</x:f>
        <x:v>0</x:v>
      </x:c>
      <x:c r="L42" s="117" t="n">
        <x:f>MAX(0,L36+L37-L38)</x:f>
        <x:v>0</x:v>
      </x:c>
      <x:c r="M42" s="117" t="n">
        <x:f>MAX(0,M36+M37-M38)</x:f>
        <x:v>0</x:v>
      </x:c>
      <x:c r="N42" s="117" t="n">
        <x:f>MAX(0,N36+N37-N38)</x:f>
        <x:v>0</x:v>
      </x:c>
      <x:c r="O42" s="117" t="n">
        <x:f>MAX(0,O36+O37-O38)</x:f>
        <x:v>0</x:v>
      </x:c>
      <x:c r="P42" s="117" t="n">
        <x:f>MAX(0,P36+P37-P38)</x:f>
        <x:v>0</x:v>
      </x:c>
      <x:c r="Q42" s="117" t="n">
        <x:f>MAX(0,Q36+Q37-Q38)</x:f>
        <x:v>0</x:v>
      </x:c>
      <x:c r="R42" s="117" t="n">
        <x:f>MAX(0,R36+R37-R38)</x:f>
        <x:v>0</x:v>
      </x:c>
      <x:c r="S42" s="117" t="n">
        <x:f>MAX(0,S36+S37-S38)</x:f>
        <x:v>0</x:v>
      </x:c>
      <x:c r="T42" s="117" t="n">
        <x:f>MAX(0,T36+T37-T38)</x:f>
        <x:v>0</x:v>
      </x:c>
      <x:c r="U42" s="117" t="n">
        <x:f>MAX(0,U36+U37-U38)</x:f>
        <x:v>0</x:v>
      </x:c>
      <x:c r="V42" s="117" t="n">
        <x:f>MAX(0,V36+V37-V38)</x:f>
        <x:v>0</x:v>
      </x:c>
      <x:c r="W42" s="117" t="n">
        <x:f>MAX(0,W36+W37-W38)</x:f>
        <x:v>0</x:v>
      </x:c>
      <x:c r="X42" s="117" t="n">
        <x:f>MAX(0,X36+X37-X38)</x:f>
        <x:v>0</x:v>
      </x:c>
      <x:c r="Y42" s="117" t="n">
        <x:f>MAX(0,Y36+Y37-Y38)</x:f>
        <x:v>0</x:v>
      </x:c>
      <x:c r="Z42" s="117" t="n">
        <x:f>MAX(0,Z36+Z37-Z38)</x:f>
        <x:v>0</x:v>
      </x:c>
      <x:c r="AA42" s="117" t="n">
        <x:f>MAX(0,AA36+AA37-AA38)</x:f>
        <x:v>0</x:v>
      </x:c>
      <x:c r="AB42" s="117" t="n">
        <x:f>MAX(0,AB36+AB37-AB38)</x:f>
        <x:v>0</x:v>
      </x:c>
      <x:c r="AC42" s="117" t="n">
        <x:f>MAX(0,AC36+AC37-AC38)</x:f>
        <x:v>0</x:v>
      </x:c>
      <x:c r="AD42" s="117" t="n">
        <x:f>MAX(0,AD36+AD37-AD38)</x:f>
        <x:v>0</x:v>
      </x:c>
      <x:c r="AE42" s="117" t="n">
        <x:f>MAX(0,AE36+AE37-AE38)</x:f>
        <x:v>0</x:v>
      </x:c>
      <x:c r="AF42" s="117" t="n">
        <x:f>MAX(0,AF36+AF37-AF38)</x:f>
        <x:v>0</x:v>
      </x:c>
      <x:c r="AG42" s="117" t="n">
        <x:f>MAX(0,AG36+AG37-AG38)</x:f>
        <x:v>0</x:v>
      </x:c>
      <x:c r="AH42" s="117" t="n">
        <x:f>MAX(0,AH36+AH37-AH38)</x:f>
        <x:v>0</x:v>
      </x:c>
      <x:c r="AI42" s="117" t="n">
        <x:f>MAX(0,AI36+AI37-AI38)</x:f>
        <x:v>0</x:v>
      </x:c>
      <x:c r="AJ42" s="117" t="n">
        <x:f>MAX(0,AJ36+AJ37-AJ38)</x:f>
        <x:v>0</x:v>
      </x:c>
      <x:c r="AK42" s="117" t="n">
        <x:f>MAX(0,AK36+AK37-AK38)</x:f>
        <x:v>0</x:v>
      </x:c>
      <x:c r="AL42" s="117" t="n">
        <x:f>MAX(0,AL36+AL37-AL38)</x:f>
        <x:v>0</x:v>
      </x:c>
      <x:c r="AM42" s="117" t="n">
        <x:f>MAX(0,AM36+AM37-AM38)</x:f>
        <x:v>0</x:v>
      </x:c>
      <x:c r="AN42" s="117" t="n">
        <x:f>MAX(0,AN36+AN37-AN38)</x:f>
        <x:v>0</x:v>
      </x:c>
      <x:c r="AO42" s="117" t="n">
        <x:f>MAX(0,AO36+AO37-AO38)</x:f>
        <x:v>0</x:v>
      </x:c>
      <x:c r="AP42" s="117" t="n">
        <x:f>MAX(0,AP36+AP37-AP38)</x:f>
        <x:v>0</x:v>
      </x:c>
      <x:c r="AQ42" s="117" t="n">
        <x:f>MAX(0,AQ36+AQ37-AQ38)</x:f>
        <x:v>0</x:v>
      </x:c>
      <x:c r="AR42" s="117" t="n">
        <x:f>MAX(0,AR36+AR37-AR38)</x:f>
        <x:v>0</x:v>
      </x:c>
      <x:c r="AS42" s="117" t="n">
        <x:f>MAX(0,AS36+AS37-AS38)</x:f>
        <x:v>0</x:v>
      </x:c>
      <x:c r="AT42" s="117" t="n">
        <x:f>MAX(0,AT36+AT37-AT38)</x:f>
        <x:v>0</x:v>
      </x:c>
      <x:c r="AU42" s="117" t="n">
        <x:f>MAX(0,AU36+AU37-AU38)</x:f>
        <x:v>0</x:v>
      </x:c>
      <x:c r="AV42" s="117" t="n">
        <x:f>MAX(0,AV36+AV37-AV38)</x:f>
        <x:v>0</x:v>
      </x:c>
      <x:c r="AW42" s="117" t="n">
        <x:f>MAX(0,AW36+AW37-AW38)</x:f>
        <x:v>0</x:v>
      </x:c>
      <x:c r="AX42" s="117" t="n">
        <x:f>MAX(0,AX36+AX37-AX38)</x:f>
        <x:v>0</x:v>
      </x:c>
      <x:c r="AY42" s="117" t="n">
        <x:f>MAX(0,AY36+AY37-AY38)</x:f>
        <x:v>0</x:v>
      </x:c>
      <x:c r="AZ42" s="117" t="n">
        <x:f>MAX(0,AZ36+AZ37-AZ38)</x:f>
        <x:v>0</x:v>
      </x:c>
      <x:c r="BA42" s="117" t="n">
        <x:f>MAX(0,BA36+BA37-BA38)</x:f>
        <x:v>0</x:v>
      </x:c>
      <x:c r="BB42" s="117" t="n">
        <x:f>MAX(0,BB36+BB37-BB38)</x:f>
        <x:v>0</x:v>
      </x:c>
      <x:c r="BC42" s="117" t="n">
        <x:f>MAX(0,BC36+BC37-BC38)</x:f>
        <x:v>0</x:v>
      </x:c>
      <x:c r="BD42" s="117" t="n">
        <x:f>MAX(0,BD36+BD37-BD38)</x:f>
        <x:v>0</x:v>
      </x:c>
      <x:c r="BE42" s="117" t="n">
        <x:f>MAX(0,BE36+BE37-BE38)</x:f>
        <x:v>0</x:v>
      </x:c>
      <x:c r="BF42" s="117" t="n">
        <x:f>MAX(0,BF36+BF37-BF38)</x:f>
        <x:v>0</x:v>
      </x:c>
      <x:c r="BG42" s="117" t="n">
        <x:f>MAX(0,BG36+BG37-BG38)</x:f>
        <x:v>0</x:v>
      </x:c>
      <x:c r="BH42" s="117" t="n">
        <x:f>MAX(0,BH36+BH37-BH38)</x:f>
        <x:v>0</x:v>
      </x:c>
      <x:c r="BI42" s="117" t="n">
        <x:f>MAX(0,BI36+BI37-BI38)</x:f>
        <x:v>0</x:v>
      </x:c>
      <x:c r="BJ42" s="117" t="n">
        <x:f>MAX(0,BJ36+BJ37-BJ38)</x:f>
        <x:v>0</x:v>
      </x:c>
      <x:c r="BK42" s="117" t="n">
        <x:f>MAX(0,BK36+BK37-BK38)</x:f>
        <x:v>0</x:v>
      </x:c>
      <x:c r="BL42" s="117" t="n">
        <x:f>MAX(0,BL36+BL37-BL38)</x:f>
        <x:v>0</x:v>
      </x:c>
      <x:c r="BM42" s="117" t="n">
        <x:f>MAX(0,BM36+BM37-BM38)</x:f>
        <x:v>0</x:v>
      </x:c>
      <x:c r="BN42" s="117" t="n">
        <x:f>MAX(0,BN36+BN37-BN38)</x:f>
        <x:v>0</x:v>
      </x:c>
      <x:c r="BO42" s="117" t="n">
        <x:f>MAX(0,BO36+BO37-BO38)</x:f>
        <x:v>0</x:v>
      </x:c>
      <x:c r="BP42" s="117" t="n">
        <x:f>MAX(0,BP36+BP37-BP38)</x:f>
        <x:v>0</x:v>
      </x:c>
      <x:c r="BQ42" s="117" t="n">
        <x:f>MAX(0,BQ36+BQ37-BQ38)</x:f>
        <x:v>0</x:v>
      </x:c>
      <x:c r="BR42" s="117" t="n">
        <x:f>MAX(0,BR36+BR37-BR38)</x:f>
        <x:v>0</x:v>
      </x:c>
      <x:c r="BS42" s="117" t="n">
        <x:f>MAX(0,BS36+BS37-BS38)</x:f>
        <x:v>0</x:v>
      </x:c>
      <x:c r="BT42" s="117" t="n">
        <x:f>MAX(0,BT36+BT37-BT38)</x:f>
        <x:v>0</x:v>
      </x:c>
      <x:c r="BU42" s="117" t="n">
        <x:f>MAX(0,BU36+BU37-BU38)</x:f>
        <x:v>0</x:v>
      </x:c>
      <x:c r="BV42" s="117" t="n">
        <x:f>MAX(0,BV36+BV37-BV38)</x:f>
        <x:v>0</x:v>
      </x:c>
      <x:c r="BW42" s="117" t="n">
        <x:f>MAX(0,BW36+BW37-BW38)</x:f>
        <x:v>0</x:v>
      </x:c>
      <x:c r="BX42" s="117" t="n">
        <x:f>MAX(0,BX36+BX37-BX38)</x:f>
        <x:v>0</x:v>
      </x:c>
      <x:c r="BY42" s="117" t="n">
        <x:f>MAX(0,BY36+BY37-BY38)</x:f>
        <x:v>0</x:v>
      </x:c>
      <x:c r="BZ42" s="117" t="n">
        <x:f>MAX(0,BZ36+BZ37-BZ38)</x:f>
        <x:v>0</x:v>
      </x:c>
      <x:c r="CA42" s="117" t="n">
        <x:f>MAX(0,CA36+CA37-CA38)</x:f>
        <x:v>0</x:v>
      </x:c>
      <x:c r="CB42" s="117" t="n">
        <x:f>MAX(0,CB36+CB37-CB38)</x:f>
        <x:v>0</x:v>
      </x:c>
      <x:c r="CC42" s="117" t="n">
        <x:f>MAX(0,CC36+CC37-CC38)</x:f>
        <x:v>0</x:v>
      </x:c>
      <x:c r="CD42" s="117" t="n">
        <x:f>MAX(0,CD36+CD37-CD38)</x:f>
        <x:v>0</x:v>
      </x:c>
      <x:c r="CE42" s="117" t="n">
        <x:f>MAX(0,CE36+CE37-CE38)</x:f>
        <x:v>0</x:v>
      </x:c>
      <x:c r="CF42" s="117" t="n">
        <x:f>MAX(0,CF36+CF37-CF38)</x:f>
        <x:v>0</x:v>
      </x:c>
      <x:c r="CG42" s="117" t="n">
        <x:f>MAX(0,CG36+CG37-CG38)</x:f>
        <x:v>0</x:v>
      </x:c>
      <x:c r="CH42" s="117" t="n">
        <x:f>MAX(0,CH36+CH37-CH38)</x:f>
        <x:v>0</x:v>
      </x:c>
      <x:c r="CI42" s="117" t="n">
        <x:f>MAX(0,CI36+CI37-CI38)</x:f>
        <x:v>0</x:v>
      </x:c>
      <x:c r="CJ42" s="117" t="n">
        <x:f>MAX(0,CJ36+CJ37-CJ38)</x:f>
        <x:v>0</x:v>
      </x:c>
      <x:c r="CK42" s="117" t="n">
        <x:f>MAX(0,CK36+CK37-CK38)</x:f>
        <x:v>0</x:v>
      </x:c>
      <x:c r="CL42" s="117" t="n">
        <x:f>MAX(0,CL36+CL37-CL38)</x:f>
        <x:v>0</x:v>
      </x:c>
      <x:c r="CM42" s="117" t="n">
        <x:f>MAX(0,CM36+CM37-CM38)</x:f>
        <x:v>0</x:v>
      </x:c>
      <x:c r="CN42" s="117" t="n">
        <x:f>MAX(0,CN36+CN37-CN38)</x:f>
        <x:v>0</x:v>
      </x:c>
      <x:c r="CO42" s="117" t="n">
        <x:f>MAX(0,CO36+CO37-CO38)</x:f>
        <x:v>0</x:v>
      </x:c>
      <x:c r="CP42" s="117" t="n">
        <x:f>MAX(0,CP36+CP37-CP38)</x:f>
        <x:v>0</x:v>
      </x:c>
      <x:c r="CQ42" s="117" t="n">
        <x:f>MAX(0,CQ36+CQ37-CQ38)</x:f>
        <x:v>0</x:v>
      </x:c>
      <x:c r="CR42" s="117" t="n">
        <x:f>MAX(0,CR36+CR37-CR38)</x:f>
        <x:v>0</x:v>
      </x:c>
      <x:c r="CS42" s="117" t="n">
        <x:f>MAX(0,CS36+CS37-CS38)</x:f>
        <x:v>0</x:v>
      </x:c>
      <x:c r="CT42" s="117" t="n">
        <x:f>MAX(0,CT36+CT37-CT38)</x:f>
        <x:v>0</x:v>
      </x:c>
      <x:c r="CU42" s="117" t="n">
        <x:f>MAX(0,CU36+CU37-CU38)</x:f>
        <x:v>0</x:v>
      </x:c>
      <x:c r="CV42" s="117" t="n">
        <x:f>MAX(0,CV36+CV37-CV38)</x:f>
        <x:v>0</x:v>
      </x:c>
      <x:c r="CW42" s="117" t="n">
        <x:f>MAX(0,CW36+CW37-CW38)</x:f>
        <x:v>0</x:v>
      </x:c>
      <x:c r="CX42" s="117" t="n">
        <x:f>MAX(0,CX36+CX37-CX38)</x:f>
        <x:v>0</x:v>
      </x:c>
      <x:c r="CY42" s="117" t="n">
        <x:f>MAX(0,CY36+CY37-CY38)</x:f>
        <x:v>0</x:v>
      </x:c>
      <x:c r="CZ42" s="117" t="n">
        <x:f>MAX(0,CZ36+CZ37-CZ38)</x:f>
        <x:v>0</x:v>
      </x:c>
      <x:c r="DA42" s="117" t="n">
        <x:f>MAX(0,DA36+DA37-DA38)</x:f>
        <x:v>0</x:v>
      </x:c>
      <x:c r="DB42" s="117" t="n">
        <x:f>MAX(0,DB36+DB37-DB38)</x:f>
        <x:v>0</x:v>
      </x:c>
      <x:c r="DC42" s="117" t="n">
        <x:f>MAX(0,DC36+DC37-DC38)</x:f>
        <x:v>0</x:v>
      </x:c>
      <x:c r="DD42" s="117" t="n">
        <x:f>MAX(0,DD36+DD37-DD38)</x:f>
        <x:v>0</x:v>
      </x:c>
      <x:c r="DE42" s="117" t="n">
        <x:f>MAX(0,DE36+DE37-DE38)</x:f>
        <x:v>0</x:v>
      </x:c>
      <x:c r="DF42" s="117" t="n">
        <x:f>MAX(0,DF36+DF37-DF38)</x:f>
        <x:v>0</x:v>
      </x:c>
      <x:c r="DG42" s="117" t="n">
        <x:f>MAX(0,DG36+DG37-DG38)</x:f>
        <x:v>0</x:v>
      </x:c>
      <x:c r="DH42" s="117" t="n">
        <x:f>MAX(0,DH36+DH37-DH38)</x:f>
        <x:v>0</x:v>
      </x:c>
      <x:c r="DI42" s="117" t="n">
        <x:f>MAX(0,DI36+DI37-DI38)</x:f>
        <x:v>0</x:v>
      </x:c>
      <x:c r="DJ42" s="117" t="n">
        <x:f>MAX(0,DJ36+DJ37-DJ38)</x:f>
        <x:v>0</x:v>
      </x:c>
      <x:c r="DK42" s="117" t="n">
        <x:f>MAX(0,DK36+DK37-DK38)</x:f>
        <x:v>0</x:v>
      </x:c>
      <x:c r="DL42" s="117" t="n">
        <x:f>MAX(0,DL36+DL37-DL38)</x:f>
        <x:v>0</x:v>
      </x:c>
      <x:c r="DM42" s="117" t="n">
        <x:f>MAX(0,DM36+DM37-DM38)</x:f>
        <x:v>0</x:v>
      </x:c>
      <x:c r="DN42" s="117" t="n">
        <x:f>MAX(0,DN36+DN37-DN38)</x:f>
        <x:v>0</x:v>
      </x:c>
      <x:c r="DO42" s="117" t="n">
        <x:f>MAX(0,DO36+DO37-DO38)</x:f>
        <x:v>0</x:v>
      </x:c>
      <x:c r="DP42" s="117" t="n">
        <x:f>MAX(0,DP36+DP37-DP38)</x:f>
        <x:v>0</x:v>
      </x:c>
      <x:c r="DQ42" s="117" t="n">
        <x:f>MAX(0,DQ36+DQ37-DQ38)</x:f>
        <x:v>0</x:v>
      </x:c>
      <x:c r="DR42" s="117" t="n">
        <x:f>MAX(0,DR36+DR37-DR38)</x:f>
        <x:v>0</x:v>
      </x:c>
      <x:c r="DS42" s="117" t="n">
        <x:f>MAX(0,DS36+DS37-DS38)</x:f>
        <x:v>0</x:v>
      </x:c>
    </x:row>
    <x:row r="43">
      <x:c r="A43" t="str">
        <x:v>Ставка по рассрочке</x:v>
      </x:c>
      <x:c r="B43" t="n">
        <x:f>IFERROR(SUMPRODUCT(D43:DS43,--(D36:DS36&gt;0))/COUNTIF(D36:DS36,"&gt;0"),0)</x:f>
        <x:v>0</x:v>
      </x:c>
      <x:c r="C43" t="str">
        <x:v>% год</x:v>
      </x:c>
      <x:c r="D43" s="35" t="n">
        <x:f>'Ставки'!D$5+'Вводные'!$B$81</x:f>
        <x:v>0.17</x:v>
      </x:c>
      <x:c r="E43" s="35" t="n">
        <x:f>'Ставки'!E$5+'Вводные'!$B$81</x:f>
        <x:v>0.1679166666666667</x:v>
      </x:c>
      <x:c r="F43" s="35" t="n">
        <x:f>'Ставки'!F$5+'Вводные'!$B$81</x:f>
        <x:v>0.16583333333333333</x:v>
      </x:c>
      <x:c r="G43" s="35" t="n">
        <x:f>'Ставки'!G$5+'Вводные'!$B$81</x:f>
        <x:v>0.16375</x:v>
      </x:c>
      <x:c r="H43" s="35" t="n">
        <x:f>'Ставки'!H$5+'Вводные'!$B$81</x:f>
        <x:v>0.16166666666666668</x:v>
      </x:c>
      <x:c r="I43" s="35" t="n">
        <x:f>'Ставки'!I$5+'Вводные'!$B$81</x:f>
        <x:v>0.15958333333333333</x:v>
      </x:c>
      <x:c r="J43" s="35" t="n">
        <x:f>'Ставки'!J$5+'Вводные'!$B$81</x:f>
        <x:v>0.1575</x:v>
      </x:c>
      <x:c r="K43" s="35" t="n">
        <x:f>'Ставки'!K$5+'Вводные'!$B$81</x:f>
        <x:v>0.15541666666666668</x:v>
      </x:c>
      <x:c r="L43" s="35" t="n">
        <x:f>'Ставки'!L$5+'Вводные'!$B$81</x:f>
        <x:v>0.15333333333333335</x:v>
      </x:c>
      <x:c r="M43" s="35" t="n">
        <x:f>'Ставки'!M$5+'Вводные'!$B$81</x:f>
        <x:v>0.15125</x:v>
      </x:c>
      <x:c r="N43" s="35" t="n">
        <x:f>'Ставки'!N$5+'Вводные'!$B$81</x:f>
        <x:v>0.14916666666666667</x:v>
      </x:c>
      <x:c r="O43" s="35" t="n">
        <x:f>'Ставки'!O$5+'Вводные'!$B$81</x:f>
        <x:v>0.14708333333333334</x:v>
      </x:c>
      <x:c r="P43" s="35" t="n">
        <x:f>'Ставки'!P$5+'Вводные'!$B$81</x:f>
        <x:v>0.14500000000000002</x:v>
      </x:c>
      <x:c r="Q43" s="35" t="n">
        <x:f>'Ставки'!Q$5+'Вводные'!$B$81</x:f>
        <x:v>0.14291666666666666</x:v>
      </x:c>
      <x:c r="R43" s="35" t="n">
        <x:f>'Ставки'!R$5+'Вводные'!$B$81</x:f>
        <x:v>0.14083333333333334</x:v>
      </x:c>
      <x:c r="S43" s="35" t="n">
        <x:f>'Ставки'!S$5+'Вводные'!$B$81</x:f>
        <x:v>0.13874999999999998</x:v>
      </x:c>
      <x:c r="T43" s="35" t="n">
        <x:f>'Ставки'!T$5+'Вводные'!$B$81</x:f>
        <x:v>0.13666666666666666</x:v>
      </x:c>
      <x:c r="U43" s="35" t="n">
        <x:f>'Ставки'!U$5+'Вводные'!$B$81</x:f>
        <x:v>0.13458333333333333</x:v>
      </x:c>
      <x:c r="V43" s="35" t="n">
        <x:f>'Ставки'!V$5+'Вводные'!$B$81</x:f>
        <x:v>0.1325</x:v>
      </x:c>
      <x:c r="W43" s="35" t="n">
        <x:f>'Ставки'!W$5+'Вводные'!$B$81</x:f>
        <x:v>0.13041666666666668</x:v>
      </x:c>
      <x:c r="X43" s="35" t="n">
        <x:f>'Ставки'!X$5+'Вводные'!$B$81</x:f>
        <x:v>0.12833333333333333</x:v>
      </x:c>
      <x:c r="Y43" s="35" t="n">
        <x:f>'Ставки'!Y$5+'Вводные'!$B$81</x:f>
        <x:v>0.12625</x:v>
      </x:c>
      <x:c r="Z43" s="35" t="n">
        <x:f>'Ставки'!Z$5+'Вводные'!$B$81</x:f>
        <x:v>0.12416666666666668</x:v>
      </x:c>
      <x:c r="AA43" s="35" t="n">
        <x:f>'Ставки'!AA$5+'Вводные'!$B$81</x:f>
        <x:v>0.12208333333333332</x:v>
      </x:c>
      <x:c r="AB43" s="35" t="n">
        <x:f>'Ставки'!AB$5+'Вводные'!$B$81</x:f>
        <x:v>0.12</x:v>
      </x:c>
      <x:c r="AC43" s="35" t="n">
        <x:f>'Ставки'!AC$5+'Вводные'!$B$81</x:f>
        <x:v>0.12</x:v>
      </x:c>
      <x:c r="AD43" s="35" t="n">
        <x:f>'Ставки'!AD$5+'Вводные'!$B$81</x:f>
        <x:v>0.12</x:v>
      </x:c>
      <x:c r="AE43" s="35" t="n">
        <x:f>'Ставки'!AE$5+'Вводные'!$B$81</x:f>
        <x:v>0.12</x:v>
      </x:c>
      <x:c r="AF43" s="35" t="n">
        <x:f>'Ставки'!AF$5+'Вводные'!$B$81</x:f>
        <x:v>0.12</x:v>
      </x:c>
      <x:c r="AG43" s="35" t="n">
        <x:f>'Ставки'!AG$5+'Вводные'!$B$81</x:f>
        <x:v>0.12</x:v>
      </x:c>
      <x:c r="AH43" s="35" t="n">
        <x:f>'Ставки'!AH$5+'Вводные'!$B$81</x:f>
        <x:v>0.12</x:v>
      </x:c>
      <x:c r="AI43" s="35" t="n">
        <x:f>'Ставки'!AI$5+'Вводные'!$B$81</x:f>
        <x:v>0.12</x:v>
      </x:c>
      <x:c r="AJ43" s="35" t="n">
        <x:f>'Ставки'!AJ$5+'Вводные'!$B$81</x:f>
        <x:v>0.12</x:v>
      </x:c>
      <x:c r="AK43" s="35" t="n">
        <x:f>'Ставки'!AK$5+'Вводные'!$B$81</x:f>
        <x:v>0.12</x:v>
      </x:c>
      <x:c r="AL43" s="35" t="n">
        <x:f>'Ставки'!AL$5+'Вводные'!$B$81</x:f>
        <x:v>0.12</x:v>
      </x:c>
      <x:c r="AM43" s="35" t="n">
        <x:f>'Ставки'!AM$5+'Вводные'!$B$81</x:f>
        <x:v>0.12</x:v>
      </x:c>
      <x:c r="AN43" s="35" t="n">
        <x:f>'Ставки'!AN$5+'Вводные'!$B$81</x:f>
        <x:v>0.12</x:v>
      </x:c>
      <x:c r="AO43" s="35" t="n">
        <x:f>'Ставки'!AO$5+'Вводные'!$B$81</x:f>
        <x:v>0.12</x:v>
      </x:c>
      <x:c r="AP43" s="35" t="n">
        <x:f>'Ставки'!AP$5+'Вводные'!$B$81</x:f>
        <x:v>0.12</x:v>
      </x:c>
      <x:c r="AQ43" s="35" t="n">
        <x:f>'Ставки'!AQ$5+'Вводные'!$B$81</x:f>
        <x:v>0.12</x:v>
      </x:c>
      <x:c r="AR43" s="35" t="n">
        <x:f>'Ставки'!AR$5+'Вводные'!$B$81</x:f>
        <x:v>0.12</x:v>
      </x:c>
      <x:c r="AS43" s="35" t="n">
        <x:f>'Ставки'!AS$5+'Вводные'!$B$81</x:f>
        <x:v>0.12</x:v>
      </x:c>
      <x:c r="AT43" s="35" t="n">
        <x:f>'Ставки'!AT$5+'Вводные'!$B$81</x:f>
        <x:v>0.12</x:v>
      </x:c>
      <x:c r="AU43" s="35" t="n">
        <x:f>'Ставки'!AU$5+'Вводные'!$B$81</x:f>
        <x:v>0.12</x:v>
      </x:c>
      <x:c r="AV43" s="35" t="n">
        <x:f>'Ставки'!AV$5+'Вводные'!$B$81</x:f>
        <x:v>0.12</x:v>
      </x:c>
      <x:c r="AW43" s="35" t="n">
        <x:f>'Ставки'!AW$5+'Вводные'!$B$81</x:f>
        <x:v>0.12</x:v>
      </x:c>
      <x:c r="AX43" s="35" t="n">
        <x:f>'Ставки'!AX$5+'Вводные'!$B$81</x:f>
        <x:v>0.12</x:v>
      </x:c>
      <x:c r="AY43" s="35" t="n">
        <x:f>'Ставки'!AY$5+'Вводные'!$B$81</x:f>
        <x:v>0.12</x:v>
      </x:c>
      <x:c r="AZ43" s="35" t="n">
        <x:f>'Ставки'!AZ$5+'Вводные'!$B$81</x:f>
        <x:v>0.12</x:v>
      </x:c>
      <x:c r="BA43" s="35" t="n">
        <x:f>'Ставки'!BA$5+'Вводные'!$B$81</x:f>
        <x:v>0.12</x:v>
      </x:c>
      <x:c r="BB43" s="35" t="n">
        <x:f>'Ставки'!BB$5+'Вводные'!$B$81</x:f>
        <x:v>0.12</x:v>
      </x:c>
      <x:c r="BC43" s="35" t="n">
        <x:f>'Ставки'!BC$5+'Вводные'!$B$81</x:f>
        <x:v>0.12</x:v>
      </x:c>
      <x:c r="BD43" s="35" t="n">
        <x:f>'Ставки'!BD$5+'Вводные'!$B$81</x:f>
        <x:v>0.12</x:v>
      </x:c>
      <x:c r="BE43" s="35" t="n">
        <x:f>'Ставки'!BE$5+'Вводные'!$B$81</x:f>
        <x:v>0.12</x:v>
      </x:c>
      <x:c r="BF43" s="35" t="n">
        <x:f>'Ставки'!BF$5+'Вводные'!$B$81</x:f>
        <x:v>0.12</x:v>
      </x:c>
      <x:c r="BG43" s="35" t="n">
        <x:f>'Ставки'!BG$5+'Вводные'!$B$81</x:f>
        <x:v>0.12</x:v>
      </x:c>
      <x:c r="BH43" s="35" t="n">
        <x:f>'Ставки'!BH$5+'Вводные'!$B$81</x:f>
        <x:v>0.12</x:v>
      </x:c>
      <x:c r="BI43" s="35" t="n">
        <x:f>'Ставки'!BI$5+'Вводные'!$B$81</x:f>
        <x:v>0.12</x:v>
      </x:c>
      <x:c r="BJ43" s="35" t="n">
        <x:f>'Ставки'!BJ$5+'Вводные'!$B$81</x:f>
        <x:v>0.12</x:v>
      </x:c>
      <x:c r="BK43" s="35" t="n">
        <x:f>'Ставки'!BK$5+'Вводные'!$B$81</x:f>
        <x:v>0.12</x:v>
      </x:c>
      <x:c r="BL43" s="35" t="n">
        <x:f>'Ставки'!BL$5+'Вводные'!$B$81</x:f>
        <x:v>0.12</x:v>
      </x:c>
      <x:c r="BM43" s="35" t="n">
        <x:f>'Ставки'!BM$5+'Вводные'!$B$81</x:f>
        <x:v>0.12</x:v>
      </x:c>
      <x:c r="BN43" s="35" t="n">
        <x:f>'Ставки'!BN$5+'Вводные'!$B$81</x:f>
        <x:v>0.12</x:v>
      </x:c>
      <x:c r="BO43" s="35" t="n">
        <x:f>'Ставки'!BO$5+'Вводные'!$B$81</x:f>
        <x:v>0.12</x:v>
      </x:c>
      <x:c r="BP43" s="35" t="n">
        <x:f>'Ставки'!BP$5+'Вводные'!$B$81</x:f>
        <x:v>0.12</x:v>
      </x:c>
      <x:c r="BQ43" s="35" t="n">
        <x:f>'Ставки'!BQ$5+'Вводные'!$B$81</x:f>
        <x:v>0.12</x:v>
      </x:c>
      <x:c r="BR43" s="35" t="n">
        <x:f>'Ставки'!BR$5+'Вводные'!$B$81</x:f>
        <x:v>0.12</x:v>
      </x:c>
      <x:c r="BS43" s="35" t="n">
        <x:f>'Ставки'!BS$5+'Вводные'!$B$81</x:f>
        <x:v>0.12</x:v>
      </x:c>
      <x:c r="BT43" s="35" t="n">
        <x:f>'Ставки'!BT$5+'Вводные'!$B$81</x:f>
        <x:v>0.12</x:v>
      </x:c>
      <x:c r="BU43" s="35" t="n">
        <x:f>'Ставки'!BU$5+'Вводные'!$B$81</x:f>
        <x:v>0.12</x:v>
      </x:c>
      <x:c r="BV43" s="35" t="n">
        <x:f>'Ставки'!BV$5+'Вводные'!$B$81</x:f>
        <x:v>0.12</x:v>
      </x:c>
      <x:c r="BW43" s="35" t="n">
        <x:f>'Ставки'!BW$5+'Вводные'!$B$81</x:f>
        <x:v>0.12</x:v>
      </x:c>
      <x:c r="BX43" s="35" t="n">
        <x:f>'Ставки'!BX$5+'Вводные'!$B$81</x:f>
        <x:v>0.12</x:v>
      </x:c>
      <x:c r="BY43" s="35" t="n">
        <x:f>'Ставки'!BY$5+'Вводные'!$B$81</x:f>
        <x:v>0.12</x:v>
      </x:c>
      <x:c r="BZ43" s="35" t="n">
        <x:f>'Ставки'!BZ$5+'Вводные'!$B$81</x:f>
        <x:v>0.12</x:v>
      </x:c>
      <x:c r="CA43" s="35" t="n">
        <x:f>'Ставки'!CA$5+'Вводные'!$B$81</x:f>
        <x:v>0.12</x:v>
      </x:c>
      <x:c r="CB43" s="35" t="n">
        <x:f>'Ставки'!CB$5+'Вводные'!$B$81</x:f>
        <x:v>0.12</x:v>
      </x:c>
      <x:c r="CC43" s="35" t="n">
        <x:f>'Ставки'!CC$5+'Вводные'!$B$81</x:f>
        <x:v>0.12</x:v>
      </x:c>
      <x:c r="CD43" s="35" t="n">
        <x:f>'Ставки'!CD$5+'Вводные'!$B$81</x:f>
        <x:v>0.12</x:v>
      </x:c>
      <x:c r="CE43" s="35" t="n">
        <x:f>'Ставки'!CE$5+'Вводные'!$B$81</x:f>
        <x:v>0.12</x:v>
      </x:c>
      <x:c r="CF43" s="35" t="n">
        <x:f>'Ставки'!CF$5+'Вводные'!$B$81</x:f>
        <x:v>0.12</x:v>
      </x:c>
      <x:c r="CG43" s="35" t="n">
        <x:f>'Ставки'!CG$5+'Вводные'!$B$81</x:f>
        <x:v>0.12</x:v>
      </x:c>
      <x:c r="CH43" s="35" t="n">
        <x:f>'Ставки'!CH$5+'Вводные'!$B$81</x:f>
        <x:v>0.12</x:v>
      </x:c>
      <x:c r="CI43" s="35" t="n">
        <x:f>'Ставки'!CI$5+'Вводные'!$B$81</x:f>
        <x:v>0.12</x:v>
      </x:c>
      <x:c r="CJ43" s="35" t="n">
        <x:f>'Ставки'!CJ$5+'Вводные'!$B$81</x:f>
        <x:v>0.12</x:v>
      </x:c>
      <x:c r="CK43" s="35" t="n">
        <x:f>'Ставки'!CK$5+'Вводные'!$B$81</x:f>
        <x:v>0.12</x:v>
      </x:c>
      <x:c r="CL43" s="35" t="n">
        <x:f>'Ставки'!CL$5+'Вводные'!$B$81</x:f>
        <x:v>0.12</x:v>
      </x:c>
      <x:c r="CM43" s="35" t="n">
        <x:f>'Ставки'!CM$5+'Вводные'!$B$81</x:f>
        <x:v>0.12</x:v>
      </x:c>
      <x:c r="CN43" s="35" t="n">
        <x:f>'Ставки'!CN$5+'Вводные'!$B$81</x:f>
        <x:v>0.12</x:v>
      </x:c>
      <x:c r="CO43" s="35" t="n">
        <x:f>'Ставки'!CO$5+'Вводные'!$B$81</x:f>
        <x:v>0.12</x:v>
      </x:c>
      <x:c r="CP43" s="35" t="n">
        <x:f>'Ставки'!CP$5+'Вводные'!$B$81</x:f>
        <x:v>0.12</x:v>
      </x:c>
      <x:c r="CQ43" s="35" t="n">
        <x:f>'Ставки'!CQ$5+'Вводные'!$B$81</x:f>
        <x:v>0.12</x:v>
      </x:c>
      <x:c r="CR43" s="35" t="n">
        <x:f>'Ставки'!CR$5+'Вводные'!$B$81</x:f>
        <x:v>0.12</x:v>
      </x:c>
      <x:c r="CS43" s="35" t="n">
        <x:f>'Ставки'!CS$5+'Вводные'!$B$81</x:f>
        <x:v>0.12</x:v>
      </x:c>
      <x:c r="CT43" s="35" t="n">
        <x:f>'Ставки'!CT$5+'Вводные'!$B$81</x:f>
        <x:v>0.12</x:v>
      </x:c>
      <x:c r="CU43" s="35" t="n">
        <x:f>'Ставки'!CU$5+'Вводные'!$B$81</x:f>
        <x:v>0.12</x:v>
      </x:c>
      <x:c r="CV43" s="35" t="n">
        <x:f>'Ставки'!CV$5+'Вводные'!$B$81</x:f>
        <x:v>0.12</x:v>
      </x:c>
      <x:c r="CW43" s="35" t="n">
        <x:f>'Ставки'!CW$5+'Вводные'!$B$81</x:f>
        <x:v>0.12</x:v>
      </x:c>
      <x:c r="CX43" s="35" t="n">
        <x:f>'Ставки'!CX$5+'Вводные'!$B$81</x:f>
        <x:v>0.12</x:v>
      </x:c>
      <x:c r="CY43" s="35" t="n">
        <x:f>'Ставки'!CY$5+'Вводные'!$B$81</x:f>
        <x:v>0.12</x:v>
      </x:c>
      <x:c r="CZ43" s="35" t="n">
        <x:f>'Ставки'!CZ$5+'Вводные'!$B$81</x:f>
        <x:v>0.12</x:v>
      </x:c>
      <x:c r="DA43" s="35" t="n">
        <x:f>'Ставки'!DA$5+'Вводные'!$B$81</x:f>
        <x:v>0.12</x:v>
      </x:c>
      <x:c r="DB43" s="35" t="n">
        <x:f>'Ставки'!DB$5+'Вводные'!$B$81</x:f>
        <x:v>0.12</x:v>
      </x:c>
      <x:c r="DC43" s="35" t="n">
        <x:f>'Ставки'!DC$5+'Вводные'!$B$81</x:f>
        <x:v>0.12</x:v>
      </x:c>
      <x:c r="DD43" s="35" t="n">
        <x:f>'Ставки'!DD$5+'Вводные'!$B$81</x:f>
        <x:v>0.12</x:v>
      </x:c>
      <x:c r="DE43" s="35" t="n">
        <x:f>'Ставки'!DE$5+'Вводные'!$B$81</x:f>
        <x:v>0.12</x:v>
      </x:c>
      <x:c r="DF43" s="35" t="n">
        <x:f>'Ставки'!DF$5+'Вводные'!$B$81</x:f>
        <x:v>0.12</x:v>
      </x:c>
      <x:c r="DG43" s="35" t="n">
        <x:f>'Ставки'!DG$5+'Вводные'!$B$81</x:f>
        <x:v>0.12</x:v>
      </x:c>
      <x:c r="DH43" s="35" t="n">
        <x:f>'Ставки'!DH$5+'Вводные'!$B$81</x:f>
        <x:v>0.12</x:v>
      </x:c>
      <x:c r="DI43" s="35" t="n">
        <x:f>'Ставки'!DI$5+'Вводные'!$B$81</x:f>
        <x:v>0.12</x:v>
      </x:c>
      <x:c r="DJ43" s="35" t="n">
        <x:f>'Ставки'!DJ$5+'Вводные'!$B$81</x:f>
        <x:v>0.12</x:v>
      </x:c>
      <x:c r="DK43" s="35" t="n">
        <x:f>'Ставки'!DK$5+'Вводные'!$B$81</x:f>
        <x:v>0.12</x:v>
      </x:c>
      <x:c r="DL43" s="35" t="n">
        <x:f>'Ставки'!DL$5+'Вводные'!$B$81</x:f>
        <x:v>0.12</x:v>
      </x:c>
      <x:c r="DM43" s="35" t="n">
        <x:f>'Ставки'!DM$5+'Вводные'!$B$81</x:f>
        <x:v>0.12</x:v>
      </x:c>
      <x:c r="DN43" s="35" t="n">
        <x:f>'Ставки'!DN$5+'Вводные'!$B$81</x:f>
        <x:v>0.12</x:v>
      </x:c>
      <x:c r="DO43" s="35" t="n">
        <x:f>'Ставки'!DO$5+'Вводные'!$B$81</x:f>
        <x:v>0.12</x:v>
      </x:c>
      <x:c r="DP43" s="35" t="n">
        <x:f>'Ставки'!DP$5+'Вводные'!$B$81</x:f>
        <x:v>0.12</x:v>
      </x:c>
      <x:c r="DQ43" s="35" t="n">
        <x:f>'Ставки'!DQ$5+'Вводные'!$B$81</x:f>
        <x:v>0.12</x:v>
      </x:c>
      <x:c r="DR43" s="35" t="n">
        <x:f>'Ставки'!DR$5+'Вводные'!$B$81</x:f>
        <x:v>0.12</x:v>
      </x:c>
      <x:c r="DS43" s="35" t="n">
        <x:f>'Ставки'!DS$5+'Вводные'!$B$81</x:f>
        <x:v>0.12</x:v>
      </x:c>
    </x:row>
  </x:sheetData>
  <x:mergeCells>
    <x:mergeCell ref="A1:DS1"/>
    <x:mergeCell ref="A6:DS6"/>
    <x:mergeCell ref="A19:DS19"/>
    <x:mergeCell ref="A32:DS3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  <x:v>46935</x:v>
      </x:c>
      <x:c r="C7" t="str">
        <x:v>дата</x:v>
      </x:c>
    </x:row>
    <x:row r="8">
      <x:c r="A8" t="str">
        <x:v>РВЭ</x:v>
      </x:c>
      <x:c r="B8" s="106" t="n">
        <x:f>EDATE(B7,'Вводные'!$F$88)</x:f>
        <x:v>47665</x:v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  <x:v>1</x:v>
      </x:c>
      <x:c r="E9" t="n">
        <x:f>--AND(E$3&gt;=EDATE($B$7,-'Вводные'!$E$88),E$3&lt;$B$8,'Вводные'!$B$88="Да")</x:f>
        <x:v>1</x:v>
      </x:c>
      <x:c r="F9" t="n">
        <x:f>--AND(F$3&gt;=EDATE($B$7,-'Вводные'!$E$88),F$3&lt;$B$8,'Вводные'!$B$88="Да")</x:f>
        <x:v>1</x:v>
      </x:c>
      <x:c r="G9" t="n">
        <x:f>--AND(G$3&gt;=EDATE($B$7,-'Вводные'!$E$88),G$3&lt;$B$8,'Вводные'!$B$88="Да")</x:f>
        <x:v>1</x:v>
      </x:c>
      <x:c r="H9" t="n">
        <x:f>--AND(H$3&gt;=EDATE($B$7,-'Вводные'!$E$88),H$3&lt;$B$8,'Вводные'!$B$88="Да")</x:f>
        <x:v>1</x:v>
      </x:c>
      <x:c r="I9" t="n">
        <x:f>--AND(I$3&gt;=EDATE($B$7,-'Вводные'!$E$88),I$3&lt;$B$8,'Вводные'!$B$88="Да")</x:f>
        <x:v>1</x:v>
      </x:c>
      <x:c r="J9" t="n">
        <x:f>--AND(J$3&gt;=EDATE($B$7,-'Вводные'!$E$88),J$3&lt;$B$8,'Вводные'!$B$88="Да")</x:f>
        <x:v>1</x:v>
      </x:c>
      <x:c r="K9" t="n">
        <x:f>--AND(K$3&gt;=EDATE($B$7,-'Вводные'!$E$88),K$3&lt;$B$8,'Вводные'!$B$88="Да")</x:f>
        <x:v>1</x:v>
      </x:c>
      <x:c r="L9" t="n">
        <x:f>--AND(L$3&gt;=EDATE($B$7,-'Вводные'!$E$88),L$3&lt;$B$8,'Вводные'!$B$88="Да")</x:f>
        <x:v>1</x:v>
      </x:c>
      <x:c r="M9" t="n">
        <x:f>--AND(M$3&gt;=EDATE($B$7,-'Вводные'!$E$88),M$3&lt;$B$8,'Вводные'!$B$88="Да")</x:f>
        <x:v>1</x:v>
      </x:c>
      <x:c r="N9" t="n">
        <x:f>--AND(N$3&gt;=EDATE($B$7,-'Вводные'!$E$88),N$3&lt;$B$8,'Вводные'!$B$88="Да")</x:f>
        <x:v>1</x:v>
      </x:c>
      <x:c r="O9" t="n">
        <x:f>--AND(O$3&gt;=EDATE($B$7,-'Вводные'!$E$88),O$3&lt;$B$8,'Вводные'!$B$88="Да")</x:f>
        <x:v>1</x:v>
      </x:c>
      <x:c r="P9" t="n">
        <x:f>--AND(P$3&gt;=EDATE($B$7,-'Вводные'!$E$88),P$3&lt;$B$8,'Вводные'!$B$88="Да")</x:f>
        <x:v>1</x:v>
      </x:c>
      <x:c r="Q9" t="n">
        <x:f>--AND(Q$3&gt;=EDATE($B$7,-'Вводные'!$E$88),Q$3&lt;$B$8,'Вводные'!$B$88="Да")</x:f>
        <x:v>1</x:v>
      </x:c>
      <x:c r="R9" t="n">
        <x:f>--AND(R$3&gt;=EDATE($B$7,-'Вводные'!$E$88),R$3&lt;$B$8,'Вводные'!$B$88="Да")</x:f>
        <x:v>1</x:v>
      </x:c>
      <x:c r="S9" t="n">
        <x:f>--AND(S$3&gt;=EDATE($B$7,-'Вводные'!$E$88),S$3&lt;$B$8,'Вводные'!$B$88="Да")</x:f>
        <x:v>1</x:v>
      </x:c>
      <x:c r="T9" t="n">
        <x:f>--AND(T$3&gt;=EDATE($B$7,-'Вводные'!$E$88),T$3&lt;$B$8,'Вводные'!$B$88="Да")</x:f>
        <x:v>1</x:v>
      </x:c>
      <x:c r="U9" t="n">
        <x:f>--AND(U$3&gt;=EDATE($B$7,-'Вводные'!$E$88),U$3&lt;$B$8,'Вводные'!$B$88="Да")</x:f>
        <x:v>1</x:v>
      </x:c>
      <x:c r="V9" t="n">
        <x:f>--AND(V$3&gt;=EDATE($B$7,-'Вводные'!$E$88),V$3&lt;$B$8,'Вводные'!$B$88="Да")</x:f>
        <x:v>1</x:v>
      </x:c>
      <x:c r="W9" t="n">
        <x:f>--AND(W$3&gt;=EDATE($B$7,-'Вводные'!$E$88),W$3&lt;$B$8,'Вводные'!$B$88="Да")</x:f>
        <x:v>1</x:v>
      </x:c>
      <x:c r="X9" t="n">
        <x:f>--AND(X$3&gt;=EDATE($B$7,-'Вводные'!$E$88),X$3&lt;$B$8,'Вводные'!$B$88="Да")</x:f>
        <x:v>1</x:v>
      </x:c>
      <x:c r="Y9" t="n">
        <x:f>--AND(Y$3&gt;=EDATE($B$7,-'Вводные'!$E$88),Y$3&lt;$B$8,'Вводные'!$B$88="Да")</x:f>
        <x:v>1</x:v>
      </x:c>
      <x:c r="Z9" t="n">
        <x:f>--AND(Z$3&gt;=EDATE($B$7,-'Вводные'!$E$88),Z$3&lt;$B$8,'Вводные'!$B$88="Да")</x:f>
        <x:v>1</x:v>
      </x:c>
      <x:c r="AA9" t="n">
        <x:f>--AND(AA$3&gt;=EDATE($B$7,-'Вводные'!$E$88),AA$3&lt;$B$8,'Вводные'!$B$88="Да")</x:f>
        <x:v>1</x:v>
      </x:c>
      <x:c r="AB9" t="n">
        <x:f>--AND(AB$3&gt;=EDATE($B$7,-'Вводные'!$E$88),AB$3&lt;$B$8,'Вводные'!$B$88="Да")</x:f>
        <x:v>1</x:v>
      </x:c>
      <x:c r="AC9" t="n">
        <x:f>--AND(AC$3&gt;=EDATE($B$7,-'Вводные'!$E$88),AC$3&lt;$B$8,'Вводные'!$B$88="Да")</x:f>
        <x:v>1</x:v>
      </x:c>
      <x:c r="AD9" t="n">
        <x:f>--AND(AD$3&gt;=EDATE($B$7,-'Вводные'!$E$88),AD$3&lt;$B$8,'Вводные'!$B$88="Да")</x:f>
        <x:v>1</x:v>
      </x:c>
      <x:c r="AE9" t="n">
        <x:f>--AND(AE$3&gt;=EDATE($B$7,-'Вводные'!$E$88),AE$3&lt;$B$8,'Вводные'!$B$88="Да")</x:f>
        <x:v>1</x:v>
      </x:c>
      <x:c r="AF9" t="n">
        <x:f>--AND(AF$3&gt;=EDATE($B$7,-'Вводные'!$E$88),AF$3&lt;$B$8,'Вводные'!$B$88="Да")</x:f>
        <x:v>1</x:v>
      </x:c>
      <x:c r="AG9" t="n">
        <x:f>--AND(AG$3&gt;=EDATE($B$7,-'Вводные'!$E$88),AG$3&lt;$B$8,'Вводные'!$B$88="Да")</x:f>
        <x:v>1</x:v>
      </x:c>
      <x:c r="AH9" t="n">
        <x:f>--AND(AH$3&gt;=EDATE($B$7,-'Вводные'!$E$88),AH$3&lt;$B$8,'Вводные'!$B$88="Да")</x:f>
        <x:v>1</x:v>
      </x:c>
      <x:c r="AI9" t="n">
        <x:f>--AND(AI$3&gt;=EDATE($B$7,-'Вводные'!$E$88),AI$3&lt;$B$8,'Вводные'!$B$88="Да")</x:f>
        <x:v>1</x:v>
      </x:c>
      <x:c r="AJ9" t="n">
        <x:f>--AND(AJ$3&gt;=EDATE($B$7,-'Вводные'!$E$88),AJ$3&lt;$B$8,'Вводные'!$B$88="Да")</x:f>
        <x:v>1</x:v>
      </x:c>
      <x:c r="AK9" t="n">
        <x:f>--AND(AK$3&gt;=EDATE($B$7,-'Вводные'!$E$88),AK$3&lt;$B$8,'Вводные'!$B$88="Да")</x:f>
        <x:v>1</x:v>
      </x:c>
      <x:c r="AL9" t="n">
        <x:f>--AND(AL$3&gt;=EDATE($B$7,-'Вводные'!$E$88),AL$3&lt;$B$8,'Вводные'!$B$88="Да")</x:f>
        <x:v>1</x:v>
      </x:c>
      <x:c r="AM9" t="n">
        <x:f>--AND(AM$3&gt;=EDATE($B$7,-'Вводные'!$E$88),AM$3&lt;$B$8,'Вводные'!$B$88="Да")</x:f>
        <x:v>1</x:v>
      </x:c>
      <x:c r="AN9" t="n">
        <x:f>--AND(AN$3&gt;=EDATE($B$7,-'Вводные'!$E$88),AN$3&lt;$B$8,'Вводные'!$B$88="Да")</x:f>
        <x:v>1</x:v>
      </x:c>
      <x:c r="AO9" t="n">
        <x:f>--AND(AO$3&gt;=EDATE($B$7,-'Вводные'!$E$88),AO$3&lt;$B$8,'Вводные'!$B$88="Да")</x:f>
        <x:v>1</x:v>
      </x:c>
      <x:c r="AP9" t="n">
        <x:f>--AND(AP$3&gt;=EDATE($B$7,-'Вводные'!$E$88),AP$3&lt;$B$8,'Вводные'!$B$88="Да")</x:f>
        <x:v>1</x:v>
      </x:c>
      <x:c r="AQ9" t="n">
        <x:f>--AND(AQ$3&gt;=EDATE($B$7,-'Вводные'!$E$88),AQ$3&lt;$B$8,'Вводные'!$B$88="Да")</x:f>
        <x:v>1</x:v>
      </x:c>
      <x:c r="AR9" t="n">
        <x:f>--AND(AR$3&gt;=EDATE($B$7,-'Вводные'!$E$88),AR$3&lt;$B$8,'Вводные'!$B$88="Да")</x:f>
        <x:v>1</x:v>
      </x:c>
      <x:c r="AS9" t="n">
        <x:f>--AND(AS$3&gt;=EDATE($B$7,-'Вводные'!$E$88),AS$3&lt;$B$8,'Вводные'!$B$88="Да")</x:f>
        <x:v>1</x:v>
      </x:c>
      <x:c r="AT9" t="n">
        <x:f>--AND(AT$3&gt;=EDATE($B$7,-'Вводные'!$E$88),AT$3&lt;$B$8,'Вводные'!$B$88="Да")</x:f>
        <x:v>0</x:v>
      </x:c>
      <x:c r="AU9" t="n">
        <x:f>--AND(AU$3&gt;=EDATE($B$7,-'Вводные'!$E$88),AU$3&lt;$B$8,'Вводные'!$B$88="Да")</x:f>
        <x:v>0</x:v>
      </x:c>
      <x:c r="AV9" t="n">
        <x:f>--AND(AV$3&gt;=EDATE($B$7,-'Вводные'!$E$88),AV$3&lt;$B$8,'Вводные'!$B$88="Да")</x:f>
        <x:v>0</x:v>
      </x:c>
      <x:c r="AW9" t="n">
        <x:f>--AND(AW$3&gt;=EDATE($B$7,-'Вводные'!$E$88),AW$3&lt;$B$8,'Вводные'!$B$88="Да")</x:f>
        <x:v>0</x:v>
      </x:c>
      <x:c r="AX9" t="n">
        <x:f>--AND(AX$3&gt;=EDATE($B$7,-'Вводные'!$E$88),AX$3&lt;$B$8,'Вводные'!$B$88="Да")</x:f>
        <x:v>0</x:v>
      </x:c>
      <x:c r="AY9" t="n">
        <x:f>--AND(AY$3&gt;=EDATE($B$7,-'Вводные'!$E$88),AY$3&lt;$B$8,'Вводные'!$B$88="Да")</x:f>
        <x:v>0</x:v>
      </x:c>
      <x:c r="AZ9" t="n">
        <x:f>--AND(AZ$3&gt;=EDATE($B$7,-'Вводные'!$E$88),AZ$3&lt;$B$8,'Вводные'!$B$88="Да")</x:f>
        <x:v>0</x:v>
      </x:c>
      <x:c r="BA9" t="n">
        <x:f>--AND(BA$3&gt;=EDATE($B$7,-'Вводные'!$E$88),BA$3&lt;$B$8,'Вводные'!$B$88="Да")</x:f>
        <x:v>0</x:v>
      </x:c>
      <x:c r="BB9" t="n">
        <x:f>--AND(BB$3&gt;=EDATE($B$7,-'Вводные'!$E$88),BB$3&lt;$B$8,'Вводные'!$B$88="Да")</x:f>
        <x:v>0</x:v>
      </x:c>
      <x:c r="BC9" t="n">
        <x:f>--AND(BC$3&gt;=EDATE($B$7,-'Вводные'!$E$88),BC$3&lt;$B$8,'Вводные'!$B$88="Да")</x:f>
        <x:v>0</x:v>
      </x:c>
      <x:c r="BD9" t="n">
        <x:f>--AND(BD$3&gt;=EDATE($B$7,-'Вводные'!$E$88),BD$3&lt;$B$8,'Вводные'!$B$88="Да")</x:f>
        <x:v>0</x:v>
      </x:c>
      <x:c r="BE9" t="n">
        <x:f>--AND(BE$3&gt;=EDATE($B$7,-'Вводные'!$E$88),BE$3&lt;$B$8,'Вводные'!$B$88="Да")</x:f>
        <x:v>0</x:v>
      </x:c>
      <x:c r="BF9" t="n">
        <x:f>--AND(BF$3&gt;=EDATE($B$7,-'Вводные'!$E$88),BF$3&lt;$B$8,'Вводные'!$B$88="Да")</x:f>
        <x:v>0</x:v>
      </x:c>
      <x:c r="BG9" t="n">
        <x:f>--AND(BG$3&gt;=EDATE($B$7,-'Вводные'!$E$88),BG$3&lt;$B$8,'Вводные'!$B$88="Да")</x:f>
        <x:v>0</x:v>
      </x:c>
      <x:c r="BH9" t="n">
        <x:f>--AND(BH$3&gt;=EDATE($B$7,-'Вводные'!$E$88),BH$3&lt;$B$8,'Вводные'!$B$88="Да")</x:f>
        <x:v>0</x:v>
      </x:c>
      <x:c r="BI9" t="n">
        <x:f>--AND(BI$3&gt;=EDATE($B$7,-'Вводные'!$E$88),BI$3&lt;$B$8,'Вводные'!$B$88="Да")</x:f>
        <x:v>0</x:v>
      </x:c>
      <x:c r="BJ9" t="n">
        <x:f>--AND(BJ$3&gt;=EDATE($B$7,-'Вводные'!$E$88),BJ$3&lt;$B$8,'Вводные'!$B$88="Да")</x:f>
        <x:v>0</x:v>
      </x:c>
      <x:c r="BK9" t="n">
        <x:f>--AND(BK$3&gt;=EDATE($B$7,-'Вводные'!$E$88),BK$3&lt;$B$8,'Вводные'!$B$88="Да")</x:f>
        <x:v>0</x:v>
      </x:c>
      <x:c r="BL9" t="n">
        <x:f>--AND(BL$3&gt;=EDATE($B$7,-'Вводные'!$E$88),BL$3&lt;$B$8,'Вводные'!$B$88="Да")</x:f>
        <x:v>0</x:v>
      </x:c>
      <x:c r="BM9" t="n">
        <x:f>--AND(BM$3&gt;=EDATE($B$7,-'Вводные'!$E$88),BM$3&lt;$B$8,'Вводные'!$B$88="Да")</x:f>
        <x:v>0</x:v>
      </x:c>
      <x:c r="BN9" t="n">
        <x:f>--AND(BN$3&gt;=EDATE($B$7,-'Вводные'!$E$88),BN$3&lt;$B$8,'Вводные'!$B$88="Да")</x:f>
        <x:v>0</x:v>
      </x:c>
      <x:c r="BO9" t="n">
        <x:f>--AND(BO$3&gt;=EDATE($B$7,-'Вводные'!$E$88),BO$3&lt;$B$8,'Вводные'!$B$88="Да")</x:f>
        <x:v>0</x:v>
      </x:c>
      <x:c r="BP9" t="n">
        <x:f>--AND(BP$3&gt;=EDATE($B$7,-'Вводные'!$E$88),BP$3&lt;$B$8,'Вводные'!$B$88="Да")</x:f>
        <x:v>0</x:v>
      </x:c>
      <x:c r="BQ9" t="n">
        <x:f>--AND(BQ$3&gt;=EDATE($B$7,-'Вводные'!$E$88),BQ$3&lt;$B$8,'Вводные'!$B$88="Да")</x:f>
        <x:v>0</x:v>
      </x:c>
      <x:c r="BR9" t="n">
        <x:f>--AND(BR$3&gt;=EDATE($B$7,-'Вводные'!$E$88),BR$3&lt;$B$8,'Вводные'!$B$88="Да")</x:f>
        <x:v>0</x:v>
      </x:c>
      <x:c r="BS9" t="n">
        <x:f>--AND(BS$3&gt;=EDATE($B$7,-'Вводные'!$E$88),BS$3&lt;$B$8,'Вводные'!$B$88="Да")</x:f>
        <x:v>0</x:v>
      </x:c>
      <x:c r="BT9" t="n">
        <x:f>--AND(BT$3&gt;=EDATE($B$7,-'Вводные'!$E$88),BT$3&lt;$B$8,'Вводные'!$B$88="Да")</x:f>
        <x:v>0</x:v>
      </x:c>
      <x:c r="BU9" t="n">
        <x:f>--AND(BU$3&gt;=EDATE($B$7,-'Вводные'!$E$88),BU$3&lt;$B$8,'Вводные'!$B$88="Да")</x:f>
        <x:v>0</x:v>
      </x:c>
      <x:c r="BV9" t="n">
        <x:f>--AND(BV$3&gt;=EDATE($B$7,-'Вводные'!$E$88),BV$3&lt;$B$8,'Вводные'!$B$88="Да")</x:f>
        <x:v>0</x:v>
      </x:c>
      <x:c r="BW9" t="n">
        <x:f>--AND(BW$3&gt;=EDATE($B$7,-'Вводные'!$E$88),BW$3&lt;$B$8,'Вводные'!$B$88="Да")</x:f>
        <x:v>0</x:v>
      </x:c>
      <x:c r="BX9" t="n">
        <x:f>--AND(BX$3&gt;=EDATE($B$7,-'Вводные'!$E$88),BX$3&lt;$B$8,'Вводные'!$B$88="Да")</x:f>
        <x:v>0</x:v>
      </x:c>
      <x:c r="BY9" t="n">
        <x:f>--AND(BY$3&gt;=EDATE($B$7,-'Вводные'!$E$88),BY$3&lt;$B$8,'Вводные'!$B$88="Да")</x:f>
        <x:v>0</x:v>
      </x:c>
      <x:c r="BZ9" t="n">
        <x:f>--AND(BZ$3&gt;=EDATE($B$7,-'Вводные'!$E$88),BZ$3&lt;$B$8,'Вводные'!$B$88="Да")</x:f>
        <x:v>0</x:v>
      </x:c>
      <x:c r="CA9" t="n">
        <x:f>--AND(CA$3&gt;=EDATE($B$7,-'Вводные'!$E$88),CA$3&lt;$B$8,'Вводные'!$B$88="Да")</x:f>
        <x:v>0</x:v>
      </x:c>
      <x:c r="CB9" t="n">
        <x:f>--AND(CB$3&gt;=EDATE($B$7,-'Вводные'!$E$88),CB$3&lt;$B$8,'Вводные'!$B$88="Да")</x:f>
        <x:v>0</x:v>
      </x:c>
      <x:c r="CC9" t="n">
        <x:f>--AND(CC$3&gt;=EDATE($B$7,-'Вводные'!$E$88),CC$3&lt;$B$8,'Вводные'!$B$88="Да")</x:f>
        <x:v>0</x:v>
      </x:c>
      <x:c r="CD9" t="n">
        <x:f>--AND(CD$3&gt;=EDATE($B$7,-'Вводные'!$E$88),CD$3&lt;$B$8,'Вводные'!$B$88="Да")</x:f>
        <x:v>0</x:v>
      </x:c>
      <x:c r="CE9" t="n">
        <x:f>--AND(CE$3&gt;=EDATE($B$7,-'Вводные'!$E$88),CE$3&lt;$B$8,'Вводные'!$B$88="Да")</x:f>
        <x:v>0</x:v>
      </x:c>
      <x:c r="CF9" t="n">
        <x:f>--AND(CF$3&gt;=EDATE($B$7,-'Вводные'!$E$88),CF$3&lt;$B$8,'Вводные'!$B$88="Да")</x:f>
        <x:v>0</x:v>
      </x:c>
      <x:c r="CG9" t="n">
        <x:f>--AND(CG$3&gt;=EDATE($B$7,-'Вводные'!$E$88),CG$3&lt;$B$8,'Вводные'!$B$88="Да")</x:f>
        <x:v>0</x:v>
      </x:c>
      <x:c r="CH9" t="n">
        <x:f>--AND(CH$3&gt;=EDATE($B$7,-'Вводные'!$E$88),CH$3&lt;$B$8,'Вводные'!$B$88="Да")</x:f>
        <x:v>0</x:v>
      </x:c>
      <x:c r="CI9" t="n">
        <x:f>--AND(CI$3&gt;=EDATE($B$7,-'Вводные'!$E$88),CI$3&lt;$B$8,'Вводные'!$B$88="Да")</x:f>
        <x:v>0</x:v>
      </x:c>
      <x:c r="CJ9" t="n">
        <x:f>--AND(CJ$3&gt;=EDATE($B$7,-'Вводные'!$E$88),CJ$3&lt;$B$8,'Вводные'!$B$88="Да")</x:f>
        <x:v>0</x:v>
      </x:c>
      <x:c r="CK9" t="n">
        <x:f>--AND(CK$3&gt;=EDATE($B$7,-'Вводные'!$E$88),CK$3&lt;$B$8,'Вводные'!$B$88="Да")</x:f>
        <x:v>0</x:v>
      </x:c>
      <x:c r="CL9" t="n">
        <x:f>--AND(CL$3&gt;=EDATE($B$7,-'Вводные'!$E$88),CL$3&lt;$B$8,'Вводные'!$B$88="Да")</x:f>
        <x:v>0</x:v>
      </x:c>
      <x:c r="CM9" t="n">
        <x:f>--AND(CM$3&gt;=EDATE($B$7,-'Вводные'!$E$88),CM$3&lt;$B$8,'Вводные'!$B$88="Да")</x:f>
        <x:v>0</x:v>
      </x:c>
      <x:c r="CN9" t="n">
        <x:f>--AND(CN$3&gt;=EDATE($B$7,-'Вводные'!$E$88),CN$3&lt;$B$8,'Вводные'!$B$88="Да")</x:f>
        <x:v>0</x:v>
      </x:c>
      <x:c r="CO9" t="n">
        <x:f>--AND(CO$3&gt;=EDATE($B$7,-'Вводные'!$E$88),CO$3&lt;$B$8,'Вводные'!$B$88="Да")</x:f>
        <x:v>0</x:v>
      </x:c>
      <x:c r="CP9" t="n">
        <x:f>--AND(CP$3&gt;=EDATE($B$7,-'Вводные'!$E$88),CP$3&lt;$B$8,'Вводные'!$B$88="Да")</x:f>
        <x:v>0</x:v>
      </x:c>
      <x:c r="CQ9" t="n">
        <x:f>--AND(CQ$3&gt;=EDATE($B$7,-'Вводные'!$E$88),CQ$3&lt;$B$8,'Вводные'!$B$88="Да")</x:f>
        <x:v>0</x:v>
      </x:c>
      <x:c r="CR9" t="n">
        <x:f>--AND(CR$3&gt;=EDATE($B$7,-'Вводные'!$E$88),CR$3&lt;$B$8,'Вводные'!$B$88="Да")</x:f>
        <x:v>0</x:v>
      </x:c>
      <x:c r="CS9" t="n">
        <x:f>--AND(CS$3&gt;=EDATE($B$7,-'Вводные'!$E$88),CS$3&lt;$B$8,'Вводные'!$B$88="Да")</x:f>
        <x:v>0</x:v>
      </x:c>
      <x:c r="CT9" t="n">
        <x:f>--AND(CT$3&gt;=EDATE($B$7,-'Вводные'!$E$88),CT$3&lt;$B$8,'Вводные'!$B$88="Да")</x:f>
        <x:v>0</x:v>
      </x:c>
      <x:c r="CU9" t="n">
        <x:f>--AND(CU$3&gt;=EDATE($B$7,-'Вводные'!$E$88),CU$3&lt;$B$8,'Вводные'!$B$88="Да")</x:f>
        <x:v>0</x:v>
      </x:c>
      <x:c r="CV9" t="n">
        <x:f>--AND(CV$3&gt;=EDATE($B$7,-'Вводные'!$E$88),CV$3&lt;$B$8,'Вводные'!$B$88="Да")</x:f>
        <x:v>0</x:v>
      </x:c>
      <x:c r="CW9" t="n">
        <x:f>--AND(CW$3&gt;=EDATE($B$7,-'Вводные'!$E$88),CW$3&lt;$B$8,'Вводные'!$B$88="Да")</x:f>
        <x:v>0</x:v>
      </x:c>
      <x:c r="CX9" t="n">
        <x:f>--AND(CX$3&gt;=EDATE($B$7,-'Вводные'!$E$88),CX$3&lt;$B$8,'Вводные'!$B$88="Да")</x:f>
        <x:v>0</x:v>
      </x:c>
      <x:c r="CY9" t="n">
        <x:f>--AND(CY$3&gt;=EDATE($B$7,-'Вводные'!$E$88),CY$3&lt;$B$8,'Вводные'!$B$88="Да")</x:f>
        <x:v>0</x:v>
      </x:c>
      <x:c r="CZ9" t="n">
        <x:f>--AND(CZ$3&gt;=EDATE($B$7,-'Вводные'!$E$88),CZ$3&lt;$B$8,'Вводные'!$B$88="Да")</x:f>
        <x:v>0</x:v>
      </x:c>
      <x:c r="DA9" t="n">
        <x:f>--AND(DA$3&gt;=EDATE($B$7,-'Вводные'!$E$88),DA$3&lt;$B$8,'Вводные'!$B$88="Да")</x:f>
        <x:v>0</x:v>
      </x:c>
      <x:c r="DB9" t="n">
        <x:f>--AND(DB$3&gt;=EDATE($B$7,-'Вводные'!$E$88),DB$3&lt;$B$8,'Вводные'!$B$88="Да")</x:f>
        <x:v>0</x:v>
      </x:c>
      <x:c r="DC9" t="n">
        <x:f>--AND(DC$3&gt;=EDATE($B$7,-'Вводные'!$E$88),DC$3&lt;$B$8,'Вводные'!$B$88="Да")</x:f>
        <x:v>0</x:v>
      </x:c>
      <x:c r="DD9" t="n">
        <x:f>--AND(DD$3&gt;=EDATE($B$7,-'Вводные'!$E$88),DD$3&lt;$B$8,'Вводные'!$B$88="Да")</x:f>
        <x:v>0</x:v>
      </x:c>
      <x:c r="DE9" t="n">
        <x:f>--AND(DE$3&gt;=EDATE($B$7,-'Вводные'!$E$88),DE$3&lt;$B$8,'Вводные'!$B$88="Да")</x:f>
        <x:v>0</x:v>
      </x:c>
      <x:c r="DF9" t="n">
        <x:f>--AND(DF$3&gt;=EDATE($B$7,-'Вводные'!$E$88),DF$3&lt;$B$8,'Вводные'!$B$88="Да")</x:f>
        <x:v>0</x:v>
      </x:c>
      <x:c r="DG9" t="n">
        <x:f>--AND(DG$3&gt;=EDATE($B$7,-'Вводные'!$E$88),DG$3&lt;$B$8,'Вводные'!$B$88="Да")</x:f>
        <x:v>0</x:v>
      </x:c>
      <x:c r="DH9" t="n">
        <x:f>--AND(DH$3&gt;=EDATE($B$7,-'Вводные'!$E$88),DH$3&lt;$B$8,'Вводные'!$B$88="Да")</x:f>
        <x:v>0</x:v>
      </x:c>
      <x:c r="DI9" t="n">
        <x:f>--AND(DI$3&gt;=EDATE($B$7,-'Вводные'!$E$88),DI$3&lt;$B$8,'Вводные'!$B$88="Да")</x:f>
        <x:v>0</x:v>
      </x:c>
      <x:c r="DJ9" t="n">
        <x:f>--AND(DJ$3&gt;=EDATE($B$7,-'Вводные'!$E$88),DJ$3&lt;$B$8,'Вводные'!$B$88="Да")</x:f>
        <x:v>0</x:v>
      </x:c>
      <x:c r="DK9" t="n">
        <x:f>--AND(DK$3&gt;=EDATE($B$7,-'Вводные'!$E$88),DK$3&lt;$B$8,'Вводные'!$B$88="Да")</x:f>
        <x:v>0</x:v>
      </x:c>
      <x:c r="DL9" t="n">
        <x:f>--AND(DL$3&gt;=EDATE($B$7,-'Вводные'!$E$88),DL$3&lt;$B$8,'Вводные'!$B$88="Да")</x:f>
        <x:v>0</x:v>
      </x:c>
      <x:c r="DM9" t="n">
        <x:f>--AND(DM$3&gt;=EDATE($B$7,-'Вводные'!$E$88),DM$3&lt;$B$8,'Вводные'!$B$88="Да")</x:f>
        <x:v>0</x:v>
      </x:c>
      <x:c r="DN9" t="n">
        <x:f>--AND(DN$3&gt;=EDATE($B$7,-'Вводные'!$E$88),DN$3&lt;$B$8,'Вводные'!$B$88="Да")</x:f>
        <x:v>0</x:v>
      </x:c>
      <x:c r="DO9" t="n">
        <x:f>--AND(DO$3&gt;=EDATE($B$7,-'Вводные'!$E$88),DO$3&lt;$B$8,'Вводные'!$B$88="Да")</x:f>
        <x:v>0</x:v>
      </x:c>
      <x:c r="DP9" t="n">
        <x:f>--AND(DP$3&gt;=EDATE($B$7,-'Вводные'!$E$88),DP$3&lt;$B$8,'Вводные'!$B$88="Да")</x:f>
        <x:v>0</x:v>
      </x:c>
      <x:c r="DQ9" t="n">
        <x:f>--AND(DQ$3&gt;=EDATE($B$7,-'Вводные'!$E$88),DQ$3&lt;$B$8,'Вводные'!$B$88="Да")</x:f>
        <x:v>0</x:v>
      </x:c>
      <x:c r="DR9" t="n">
        <x:f>--AND(DR$3&gt;=EDATE($B$7,-'Вводные'!$E$88),DR$3&lt;$B$8,'Вводные'!$B$88="Да")</x:f>
        <x:v>0</x:v>
      </x:c>
      <x:c r="DS9" t="n">
        <x:f>--AND(DS$3&gt;=EDATE($B$7,-'Вводные'!$E$88),DS$3&lt;$B$8,'Вводные'!$B$88="Да")</x:f>
        <x:v>0</x:v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  <x:v>0.023809523809523808</x:v>
      </x:c>
      <x:c r="E10" s="35" t="n">
        <x:f>IFERROR(E9/SUM($D9:$DS9),0)</x:f>
        <x:v>0.023809523809523808</x:v>
      </x:c>
      <x:c r="F10" s="35" t="n">
        <x:f>IFERROR(F9/SUM($D9:$DS9),0)</x:f>
        <x:v>0.023809523809523808</x:v>
      </x:c>
      <x:c r="G10" s="35" t="n">
        <x:f>IFERROR(G9/SUM($D9:$DS9),0)</x:f>
        <x:v>0.023809523809523808</x:v>
      </x:c>
      <x:c r="H10" s="35" t="n">
        <x:f>IFERROR(H9/SUM($D9:$DS9),0)</x:f>
        <x:v>0.023809523809523808</x:v>
      </x:c>
      <x:c r="I10" s="35" t="n">
        <x:f>IFERROR(I9/SUM($D9:$DS9),0)</x:f>
        <x:v>0.023809523809523808</x:v>
      </x:c>
      <x:c r="J10" s="35" t="n">
        <x:f>IFERROR(J9/SUM($D9:$DS9),0)</x:f>
        <x:v>0.023809523809523808</x:v>
      </x:c>
      <x:c r="K10" s="35" t="n">
        <x:f>IFERROR(K9/SUM($D9:$DS9),0)</x:f>
        <x:v>0.023809523809523808</x:v>
      </x:c>
      <x:c r="L10" s="35" t="n">
        <x:f>IFERROR(L9/SUM($D9:$DS9),0)</x:f>
        <x:v>0.023809523809523808</x:v>
      </x:c>
      <x:c r="M10" s="35" t="n">
        <x:f>IFERROR(M9/SUM($D9:$DS9),0)</x:f>
        <x:v>0.023809523809523808</x:v>
      </x:c>
      <x:c r="N10" s="35" t="n">
        <x:f>IFERROR(N9/SUM($D9:$DS9),0)</x:f>
        <x:v>0.023809523809523808</x:v>
      </x:c>
      <x:c r="O10" s="35" t="n">
        <x:f>IFERROR(O9/SUM($D9:$DS9),0)</x:f>
        <x:v>0.023809523809523808</x:v>
      </x:c>
      <x:c r="P10" s="35" t="n">
        <x:f>IFERROR(P9/SUM($D9:$DS9),0)</x:f>
        <x:v>0.023809523809523808</x:v>
      </x:c>
      <x:c r="Q10" s="35" t="n">
        <x:f>IFERROR(Q9/SUM($D9:$DS9),0)</x:f>
        <x:v>0.023809523809523808</x:v>
      </x:c>
      <x:c r="R10" s="35" t="n">
        <x:f>IFERROR(R9/SUM($D9:$DS9),0)</x:f>
        <x:v>0.023809523809523808</x:v>
      </x:c>
      <x:c r="S10" s="35" t="n">
        <x:f>IFERROR(S9/SUM($D9:$DS9),0)</x:f>
        <x:v>0.023809523809523808</x:v>
      </x:c>
      <x:c r="T10" s="35" t="n">
        <x:f>IFERROR(T9/SUM($D9:$DS9),0)</x:f>
        <x:v>0.023809523809523808</x:v>
      </x:c>
      <x:c r="U10" s="35" t="n">
        <x:f>IFERROR(U9/SUM($D9:$DS9),0)</x:f>
        <x:v>0.023809523809523808</x:v>
      </x:c>
      <x:c r="V10" s="35" t="n">
        <x:f>IFERROR(V9/SUM($D9:$DS9),0)</x:f>
        <x:v>0.023809523809523808</x:v>
      </x:c>
      <x:c r="W10" s="35" t="n">
        <x:f>IFERROR(W9/SUM($D9:$DS9),0)</x:f>
        <x:v>0.023809523809523808</x:v>
      </x:c>
      <x:c r="X10" s="35" t="n">
        <x:f>IFERROR(X9/SUM($D9:$DS9),0)</x:f>
        <x:v>0.023809523809523808</x:v>
      </x:c>
      <x:c r="Y10" s="35" t="n">
        <x:f>IFERROR(Y9/SUM($D9:$DS9),0)</x:f>
        <x:v>0.023809523809523808</x:v>
      </x:c>
      <x:c r="Z10" s="35" t="n">
        <x:f>IFERROR(Z9/SUM($D9:$DS9),0)</x:f>
        <x:v>0.023809523809523808</x:v>
      </x:c>
      <x:c r="AA10" s="35" t="n">
        <x:f>IFERROR(AA9/SUM($D9:$DS9),0)</x:f>
        <x:v>0.023809523809523808</x:v>
      </x:c>
      <x:c r="AB10" s="35" t="n">
        <x:f>IFERROR(AB9/SUM($D9:$DS9),0)</x:f>
        <x:v>0.023809523809523808</x:v>
      </x:c>
      <x:c r="AC10" s="35" t="n">
        <x:f>IFERROR(AC9/SUM($D9:$DS9),0)</x:f>
        <x:v>0.023809523809523808</x:v>
      </x:c>
      <x:c r="AD10" s="35" t="n">
        <x:f>IFERROR(AD9/SUM($D9:$DS9),0)</x:f>
        <x:v>0.023809523809523808</x:v>
      </x:c>
      <x:c r="AE10" s="35" t="n">
        <x:f>IFERROR(AE9/SUM($D9:$DS9),0)</x:f>
        <x:v>0.023809523809523808</x:v>
      </x:c>
      <x:c r="AF10" s="35" t="n">
        <x:f>IFERROR(AF9/SUM($D9:$DS9),0)</x:f>
        <x:v>0.023809523809523808</x:v>
      </x:c>
      <x:c r="AG10" s="35" t="n">
        <x:f>IFERROR(AG9/SUM($D9:$DS9),0)</x:f>
        <x:v>0.023809523809523808</x:v>
      </x:c>
      <x:c r="AH10" s="35" t="n">
        <x:f>IFERROR(AH9/SUM($D9:$DS9),0)</x:f>
        <x:v>0.023809523809523808</x:v>
      </x:c>
      <x:c r="AI10" s="35" t="n">
        <x:f>IFERROR(AI9/SUM($D9:$DS9),0)</x:f>
        <x:v>0.023809523809523808</x:v>
      </x:c>
      <x:c r="AJ10" s="35" t="n">
        <x:f>IFERROR(AJ9/SUM($D9:$DS9),0)</x:f>
        <x:v>0.023809523809523808</x:v>
      </x:c>
      <x:c r="AK10" s="35" t="n">
        <x:f>IFERROR(AK9/SUM($D9:$DS9),0)</x:f>
        <x:v>0.023809523809523808</x:v>
      </x:c>
      <x:c r="AL10" s="35" t="n">
        <x:f>IFERROR(AL9/SUM($D9:$DS9),0)</x:f>
        <x:v>0.023809523809523808</x:v>
      </x:c>
      <x:c r="AM10" s="35" t="n">
        <x:f>IFERROR(AM9/SUM($D9:$DS9),0)</x:f>
        <x:v>0.023809523809523808</x:v>
      </x:c>
      <x:c r="AN10" s="35" t="n">
        <x:f>IFERROR(AN9/SUM($D9:$DS9),0)</x:f>
        <x:v>0.023809523809523808</x:v>
      </x:c>
      <x:c r="AO10" s="35" t="n">
        <x:f>IFERROR(AO9/SUM($D9:$DS9),0)</x:f>
        <x:v>0.023809523809523808</x:v>
      </x:c>
      <x:c r="AP10" s="35" t="n">
        <x:f>IFERROR(AP9/SUM($D9:$DS9),0)</x:f>
        <x:v>0.023809523809523808</x:v>
      </x:c>
      <x:c r="AQ10" s="35" t="n">
        <x:f>IFERROR(AQ9/SUM($D9:$DS9),0)</x:f>
        <x:v>0.023809523809523808</x:v>
      </x:c>
      <x:c r="AR10" s="35" t="n">
        <x:f>IFERROR(AR9/SUM($D9:$DS9),0)</x:f>
        <x:v>0.023809523809523808</x:v>
      </x:c>
      <x:c r="AS10" s="35" t="n">
        <x:f>IFERROR(AS9/SUM($D9:$DS9),0)</x:f>
        <x:v>0.023809523809523808</x:v>
      </x:c>
      <x:c r="AT10" s="35" t="n">
        <x:f>IFERROR(AT9/SUM($D9:$DS9),0)</x:f>
        <x:v>0</x:v>
      </x:c>
      <x:c r="AU10" s="35" t="n">
        <x:f>IFERROR(AU9/SUM($D9:$DS9),0)</x:f>
        <x:v>0</x:v>
      </x:c>
      <x:c r="AV10" s="35" t="n">
        <x:f>IFERROR(AV9/SUM($D9:$DS9),0)</x:f>
        <x:v>0</x:v>
      </x:c>
      <x:c r="AW10" s="35" t="n">
        <x:f>IFERROR(AW9/SUM($D9:$DS9),0)</x:f>
        <x:v>0</x:v>
      </x:c>
      <x:c r="AX10" s="35" t="n">
        <x:f>IFERROR(AX9/SUM($D9:$DS9),0)</x:f>
        <x:v>0</x:v>
      </x:c>
      <x:c r="AY10" s="35" t="n">
        <x:f>IFERROR(AY9/SUM($D9:$DS9),0)</x:f>
        <x:v>0</x:v>
      </x:c>
      <x:c r="AZ10" s="35" t="n">
        <x:f>IFERROR(AZ9/SUM($D9:$DS9),0)</x:f>
        <x:v>0</x:v>
      </x:c>
      <x:c r="BA10" s="35" t="n">
        <x:f>IFERROR(BA9/SUM($D9:$DS9),0)</x:f>
        <x:v>0</x:v>
      </x:c>
      <x:c r="BB10" s="35" t="n">
        <x:f>IFERROR(BB9/SUM($D9:$DS9),0)</x:f>
        <x:v>0</x:v>
      </x:c>
      <x:c r="BC10" s="35" t="n">
        <x:f>IFERROR(BC9/SUM($D9:$DS9),0)</x:f>
        <x:v>0</x:v>
      </x:c>
      <x:c r="BD10" s="35" t="n">
        <x:f>IFERROR(BD9/SUM($D9:$DS9),0)</x:f>
        <x:v>0</x:v>
      </x:c>
      <x:c r="BE10" s="35" t="n">
        <x:f>IFERROR(BE9/SUM($D9:$DS9),0)</x:f>
        <x:v>0</x:v>
      </x:c>
      <x:c r="BF10" s="35" t="n">
        <x:f>IFERROR(BF9/SUM($D9:$DS9),0)</x:f>
        <x:v>0</x:v>
      </x:c>
      <x:c r="BG10" s="35" t="n">
        <x:f>IFERROR(BG9/SUM($D9:$DS9),0)</x:f>
        <x:v>0</x:v>
      </x:c>
      <x:c r="BH10" s="35" t="n">
        <x:f>IFERROR(BH9/SUM($D9:$DS9),0)</x:f>
        <x:v>0</x:v>
      </x:c>
      <x:c r="BI10" s="35" t="n">
        <x:f>IFERROR(BI9/SUM($D9:$DS9),0)</x:f>
        <x:v>0</x:v>
      </x:c>
      <x:c r="BJ10" s="35" t="n">
        <x:f>IFERROR(BJ9/SUM($D9:$DS9),0)</x:f>
        <x:v>0</x:v>
      </x:c>
      <x:c r="BK10" s="35" t="n">
        <x:f>IFERROR(BK9/SUM($D9:$DS9),0)</x:f>
        <x:v>0</x:v>
      </x:c>
      <x:c r="BL10" s="35" t="n">
        <x:f>IFERROR(BL9/SUM($D9:$DS9),0)</x:f>
        <x:v>0</x:v>
      </x:c>
      <x:c r="BM10" s="35" t="n">
        <x:f>IFERROR(BM9/SUM($D9:$DS9),0)</x:f>
        <x:v>0</x:v>
      </x:c>
      <x:c r="BN10" s="35" t="n">
        <x:f>IFERROR(BN9/SUM($D9:$DS9),0)</x:f>
        <x:v>0</x:v>
      </x:c>
      <x:c r="BO10" s="35" t="n">
        <x:f>IFERROR(BO9/SUM($D9:$DS9),0)</x:f>
        <x:v>0</x:v>
      </x:c>
      <x:c r="BP10" s="35" t="n">
        <x:f>IFERROR(BP9/SUM($D9:$DS9),0)</x:f>
        <x:v>0</x:v>
      </x:c>
      <x:c r="BQ10" s="35" t="n">
        <x:f>IFERROR(BQ9/SUM($D9:$DS9),0)</x:f>
        <x:v>0</x:v>
      </x:c>
      <x:c r="BR10" s="35" t="n">
        <x:f>IFERROR(BR9/SUM($D9:$DS9),0)</x:f>
        <x:v>0</x:v>
      </x:c>
      <x:c r="BS10" s="35" t="n">
        <x:f>IFERROR(BS9/SUM($D9:$DS9),0)</x:f>
        <x:v>0</x:v>
      </x:c>
      <x:c r="BT10" s="35" t="n">
        <x:f>IFERROR(BT9/SUM($D9:$DS9),0)</x:f>
        <x:v>0</x:v>
      </x:c>
      <x:c r="BU10" s="35" t="n">
        <x:f>IFERROR(BU9/SUM($D9:$DS9),0)</x:f>
        <x:v>0</x:v>
      </x:c>
      <x:c r="BV10" s="35" t="n">
        <x:f>IFERROR(BV9/SUM($D9:$DS9),0)</x:f>
        <x:v>0</x:v>
      </x:c>
      <x:c r="BW10" s="35" t="n">
        <x:f>IFERROR(BW9/SUM($D9:$DS9),0)</x:f>
        <x:v>0</x:v>
      </x:c>
      <x:c r="BX10" s="35" t="n">
        <x:f>IFERROR(BX9/SUM($D9:$DS9),0)</x:f>
        <x:v>0</x:v>
      </x:c>
      <x:c r="BY10" s="35" t="n">
        <x:f>IFERROR(BY9/SUM($D9:$DS9),0)</x:f>
        <x:v>0</x:v>
      </x:c>
      <x:c r="BZ10" s="35" t="n">
        <x:f>IFERROR(BZ9/SUM($D9:$DS9),0)</x:f>
        <x:v>0</x:v>
      </x:c>
      <x:c r="CA10" s="35" t="n">
        <x:f>IFERROR(CA9/SUM($D9:$DS9),0)</x:f>
        <x:v>0</x:v>
      </x:c>
      <x:c r="CB10" s="35" t="n">
        <x:f>IFERROR(CB9/SUM($D9:$DS9),0)</x:f>
        <x:v>0</x:v>
      </x:c>
      <x:c r="CC10" s="35" t="n">
        <x:f>IFERROR(CC9/SUM($D9:$DS9),0)</x:f>
        <x:v>0</x:v>
      </x:c>
      <x:c r="CD10" s="35" t="n">
        <x:f>IFERROR(CD9/SUM($D9:$DS9),0)</x:f>
        <x:v>0</x:v>
      </x:c>
      <x:c r="CE10" s="35" t="n">
        <x:f>IFERROR(CE9/SUM($D9:$DS9),0)</x:f>
        <x:v>0</x:v>
      </x:c>
      <x:c r="CF10" s="35" t="n">
        <x:f>IFERROR(CF9/SUM($D9:$DS9),0)</x:f>
        <x:v>0</x:v>
      </x:c>
      <x:c r="CG10" s="35" t="n">
        <x:f>IFERROR(CG9/SUM($D9:$DS9),0)</x:f>
        <x:v>0</x:v>
      </x:c>
      <x:c r="CH10" s="35" t="n">
        <x:f>IFERROR(CH9/SUM($D9:$DS9),0)</x:f>
        <x:v>0</x:v>
      </x:c>
      <x:c r="CI10" s="35" t="n">
        <x:f>IFERROR(CI9/SUM($D9:$DS9),0)</x:f>
        <x:v>0</x:v>
      </x:c>
      <x:c r="CJ10" s="35" t="n">
        <x:f>IFERROR(CJ9/SUM($D9:$DS9),0)</x:f>
        <x:v>0</x:v>
      </x:c>
      <x:c r="CK10" s="35" t="n">
        <x:f>IFERROR(CK9/SUM($D9:$DS9),0)</x:f>
        <x:v>0</x:v>
      </x:c>
      <x:c r="CL10" s="35" t="n">
        <x:f>IFERROR(CL9/SUM($D9:$DS9),0)</x:f>
        <x:v>0</x:v>
      </x:c>
      <x:c r="CM10" s="35" t="n">
        <x:f>IFERROR(CM9/SUM($D9:$DS9),0)</x:f>
        <x:v>0</x:v>
      </x:c>
      <x:c r="CN10" s="35" t="n">
        <x:f>IFERROR(CN9/SUM($D9:$DS9),0)</x:f>
        <x:v>0</x:v>
      </x:c>
      <x:c r="CO10" s="35" t="n">
        <x:f>IFERROR(CO9/SUM($D9:$DS9),0)</x:f>
        <x:v>0</x:v>
      </x:c>
      <x:c r="CP10" s="35" t="n">
        <x:f>IFERROR(CP9/SUM($D9:$DS9),0)</x:f>
        <x:v>0</x:v>
      </x:c>
      <x:c r="CQ10" s="35" t="n">
        <x:f>IFERROR(CQ9/SUM($D9:$DS9),0)</x:f>
        <x:v>0</x:v>
      </x:c>
      <x:c r="CR10" s="35" t="n">
        <x:f>IFERROR(CR9/SUM($D9:$DS9),0)</x:f>
        <x:v>0</x:v>
      </x:c>
      <x:c r="CS10" s="35" t="n">
        <x:f>IFERROR(CS9/SUM($D9:$DS9),0)</x:f>
        <x:v>0</x:v>
      </x:c>
      <x:c r="CT10" s="35" t="n">
        <x:f>IFERROR(CT9/SUM($D9:$DS9),0)</x:f>
        <x:v>0</x:v>
      </x:c>
      <x:c r="CU10" s="35" t="n">
        <x:f>IFERROR(CU9/SUM($D9:$DS9),0)</x:f>
        <x:v>0</x:v>
      </x:c>
      <x:c r="CV10" s="35" t="n">
        <x:f>IFERROR(CV9/SUM($D9:$DS9),0)</x:f>
        <x:v>0</x:v>
      </x:c>
      <x:c r="CW10" s="35" t="n">
        <x:f>IFERROR(CW9/SUM($D9:$DS9),0)</x:f>
        <x:v>0</x:v>
      </x:c>
      <x:c r="CX10" s="35" t="n">
        <x:f>IFERROR(CX9/SUM($D9:$DS9),0)</x:f>
        <x:v>0</x:v>
      </x:c>
      <x:c r="CY10" s="35" t="n">
        <x:f>IFERROR(CY9/SUM($D9:$DS9),0)</x:f>
        <x:v>0</x:v>
      </x:c>
      <x:c r="CZ10" s="35" t="n">
        <x:f>IFERROR(CZ9/SUM($D9:$DS9),0)</x:f>
        <x:v>0</x:v>
      </x:c>
      <x:c r="DA10" s="35" t="n">
        <x:f>IFERROR(DA9/SUM($D9:$DS9),0)</x:f>
        <x:v>0</x:v>
      </x:c>
      <x:c r="DB10" s="35" t="n">
        <x:f>IFERROR(DB9/SUM($D9:$DS9),0)</x:f>
        <x:v>0</x:v>
      </x:c>
      <x:c r="DC10" s="35" t="n">
        <x:f>IFERROR(DC9/SUM($D9:$DS9),0)</x:f>
        <x:v>0</x:v>
      </x:c>
      <x:c r="DD10" s="35" t="n">
        <x:f>IFERROR(DD9/SUM($D9:$DS9),0)</x:f>
        <x:v>0</x:v>
      </x:c>
      <x:c r="DE10" s="35" t="n">
        <x:f>IFERROR(DE9/SUM($D9:$DS9),0)</x:f>
        <x:v>0</x:v>
      </x:c>
      <x:c r="DF10" s="35" t="n">
        <x:f>IFERROR(DF9/SUM($D9:$DS9),0)</x:f>
        <x:v>0</x:v>
      </x:c>
      <x:c r="DG10" s="35" t="n">
        <x:f>IFERROR(DG9/SUM($D9:$DS9),0)</x:f>
        <x:v>0</x:v>
      </x:c>
      <x:c r="DH10" s="35" t="n">
        <x:f>IFERROR(DH9/SUM($D9:$DS9),0)</x:f>
        <x:v>0</x:v>
      </x:c>
      <x:c r="DI10" s="35" t="n">
        <x:f>IFERROR(DI9/SUM($D9:$DS9),0)</x:f>
        <x:v>0</x:v>
      </x:c>
      <x:c r="DJ10" s="35" t="n">
        <x:f>IFERROR(DJ9/SUM($D9:$DS9),0)</x:f>
        <x:v>0</x:v>
      </x:c>
      <x:c r="DK10" s="35" t="n">
        <x:f>IFERROR(DK9/SUM($D9:$DS9),0)</x:f>
        <x:v>0</x:v>
      </x:c>
      <x:c r="DL10" s="35" t="n">
        <x:f>IFERROR(DL9/SUM($D9:$DS9),0)</x:f>
        <x:v>0</x:v>
      </x:c>
      <x:c r="DM10" s="35" t="n">
        <x:f>IFERROR(DM9/SUM($D9:$DS9),0)</x:f>
        <x:v>0</x:v>
      </x:c>
      <x:c r="DN10" s="35" t="n">
        <x:f>IFERROR(DN9/SUM($D9:$DS9),0)</x:f>
        <x:v>0</x:v>
      </x:c>
      <x:c r="DO10" s="35" t="n">
        <x:f>IFERROR(DO9/SUM($D9:$DS9),0)</x:f>
        <x:v>0</x:v>
      </x:c>
      <x:c r="DP10" s="35" t="n">
        <x:f>IFERROR(DP9/SUM($D9:$DS9),0)</x:f>
        <x:v>0</x:v>
      </x:c>
      <x:c r="DQ10" s="35" t="n">
        <x:f>IFERROR(DQ9/SUM($D9:$DS9),0)</x:f>
        <x:v>0</x:v>
      </x:c>
      <x:c r="DR10" s="35" t="n">
        <x:f>IFERROR(DR9/SUM($D9:$DS9),0)</x:f>
        <x:v>0</x:v>
      </x:c>
      <x:c r="DS10" s="35" t="n">
        <x:f>IFERROR(DS9/SUM($D9:$DS9),0)</x:f>
        <x:v>0</x:v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  <x:v>0</x:v>
      </x:c>
      <x:c r="E11" s="35" t="n">
        <x:f>--AND(E$3&gt;=$B$7,E$3&lt;$B$8,'Вводные'!$B$88="Да")</x:f>
        <x:v>0</x:v>
      </x:c>
      <x:c r="F11" s="35" t="n">
        <x:f>--AND(F$3&gt;=$B$7,F$3&lt;$B$8,'Вводные'!$B$88="Да")</x:f>
        <x:v>0</x:v>
      </x:c>
      <x:c r="G11" s="35" t="n">
        <x:f>--AND(G$3&gt;=$B$7,G$3&lt;$B$8,'Вводные'!$B$88="Да")</x:f>
        <x:v>0</x:v>
      </x:c>
      <x:c r="H11" s="35" t="n">
        <x:f>--AND(H$3&gt;=$B$7,H$3&lt;$B$8,'Вводные'!$B$88="Да")</x:f>
        <x:v>0</x:v>
      </x:c>
      <x:c r="I11" s="35" t="n">
        <x:f>--AND(I$3&gt;=$B$7,I$3&lt;$B$8,'Вводные'!$B$88="Да")</x:f>
        <x:v>0</x:v>
      </x:c>
      <x:c r="J11" s="35" t="n">
        <x:f>--AND(J$3&gt;=$B$7,J$3&lt;$B$8,'Вводные'!$B$88="Да")</x:f>
        <x:v>0</x:v>
      </x:c>
      <x:c r="K11" s="35" t="n">
        <x:f>--AND(K$3&gt;=$B$7,K$3&lt;$B$8,'Вводные'!$B$88="Да")</x:f>
        <x:v>0</x:v>
      </x:c>
      <x:c r="L11" s="35" t="n">
        <x:f>--AND(L$3&gt;=$B$7,L$3&lt;$B$8,'Вводные'!$B$88="Да")</x:f>
        <x:v>0</x:v>
      </x:c>
      <x:c r="M11" s="35" t="n">
        <x:f>--AND(M$3&gt;=$B$7,M$3&lt;$B$8,'Вводные'!$B$88="Да")</x:f>
        <x:v>0</x:v>
      </x:c>
      <x:c r="N11" s="35" t="n">
        <x:f>--AND(N$3&gt;=$B$7,N$3&lt;$B$8,'Вводные'!$B$88="Да")</x:f>
        <x:v>0</x:v>
      </x:c>
      <x:c r="O11" s="35" t="n">
        <x:f>--AND(O$3&gt;=$B$7,O$3&lt;$B$8,'Вводные'!$B$88="Да")</x:f>
        <x:v>0</x:v>
      </x:c>
      <x:c r="P11" s="35" t="n">
        <x:f>--AND(P$3&gt;=$B$7,P$3&lt;$B$8,'Вводные'!$B$88="Да")</x:f>
        <x:v>0</x:v>
      </x:c>
      <x:c r="Q11" s="35" t="n">
        <x:f>--AND(Q$3&gt;=$B$7,Q$3&lt;$B$8,'Вводные'!$B$88="Да")</x:f>
        <x:v>0</x:v>
      </x:c>
      <x:c r="R11" s="35" t="n">
        <x:f>--AND(R$3&gt;=$B$7,R$3&lt;$B$8,'Вводные'!$B$88="Да")</x:f>
        <x:v>0</x:v>
      </x:c>
      <x:c r="S11" s="35" t="n">
        <x:f>--AND(S$3&gt;=$B$7,S$3&lt;$B$8,'Вводные'!$B$88="Да")</x:f>
        <x:v>0</x:v>
      </x:c>
      <x:c r="T11" s="35" t="n">
        <x:f>--AND(T$3&gt;=$B$7,T$3&lt;$B$8,'Вводные'!$B$88="Да")</x:f>
        <x:v>0</x:v>
      </x:c>
      <x:c r="U11" s="35" t="n">
        <x:f>--AND(U$3&gt;=$B$7,U$3&lt;$B$8,'Вводные'!$B$88="Да")</x:f>
        <x:v>0</x:v>
      </x:c>
      <x:c r="V11" s="35" t="n">
        <x:f>--AND(V$3&gt;=$B$7,V$3&lt;$B$8,'Вводные'!$B$88="Да")</x:f>
        <x:v>1</x:v>
      </x:c>
      <x:c r="W11" s="35" t="n">
        <x:f>--AND(W$3&gt;=$B$7,W$3&lt;$B$8,'Вводные'!$B$88="Да")</x:f>
        <x:v>1</x:v>
      </x:c>
      <x:c r="X11" s="35" t="n">
        <x:f>--AND(X$3&gt;=$B$7,X$3&lt;$B$8,'Вводные'!$B$88="Да")</x:f>
        <x:v>1</x:v>
      </x:c>
      <x:c r="Y11" s="35" t="n">
        <x:f>--AND(Y$3&gt;=$B$7,Y$3&lt;$B$8,'Вводные'!$B$88="Да")</x:f>
        <x:v>1</x:v>
      </x:c>
      <x:c r="Z11" s="35" t="n">
        <x:f>--AND(Z$3&gt;=$B$7,Z$3&lt;$B$8,'Вводные'!$B$88="Да")</x:f>
        <x:v>1</x:v>
      </x:c>
      <x:c r="AA11" s="35" t="n">
        <x:f>--AND(AA$3&gt;=$B$7,AA$3&lt;$B$8,'Вводные'!$B$88="Да")</x:f>
        <x:v>1</x:v>
      </x:c>
      <x:c r="AB11" s="35" t="n">
        <x:f>--AND(AB$3&gt;=$B$7,AB$3&lt;$B$8,'Вводные'!$B$88="Да")</x:f>
        <x:v>1</x:v>
      </x:c>
      <x:c r="AC11" s="35" t="n">
        <x:f>--AND(AC$3&gt;=$B$7,AC$3&lt;$B$8,'Вводные'!$B$88="Да")</x:f>
        <x:v>1</x:v>
      </x:c>
      <x:c r="AD11" s="35" t="n">
        <x:f>--AND(AD$3&gt;=$B$7,AD$3&lt;$B$8,'Вводные'!$B$88="Да")</x:f>
        <x:v>1</x:v>
      </x:c>
      <x:c r="AE11" s="35" t="n">
        <x:f>--AND(AE$3&gt;=$B$7,AE$3&lt;$B$8,'Вводные'!$B$88="Да")</x:f>
        <x:v>1</x:v>
      </x:c>
      <x:c r="AF11" s="35" t="n">
        <x:f>--AND(AF$3&gt;=$B$7,AF$3&lt;$B$8,'Вводные'!$B$88="Да")</x:f>
        <x:v>1</x:v>
      </x:c>
      <x:c r="AG11" s="35" t="n">
        <x:f>--AND(AG$3&gt;=$B$7,AG$3&lt;$B$8,'Вводные'!$B$88="Да")</x:f>
        <x:v>1</x:v>
      </x:c>
      <x:c r="AH11" s="35" t="n">
        <x:f>--AND(AH$3&gt;=$B$7,AH$3&lt;$B$8,'Вводные'!$B$88="Да")</x:f>
        <x:v>1</x:v>
      </x:c>
      <x:c r="AI11" s="35" t="n">
        <x:f>--AND(AI$3&gt;=$B$7,AI$3&lt;$B$8,'Вводные'!$B$88="Да")</x:f>
        <x:v>1</x:v>
      </x:c>
      <x:c r="AJ11" s="35" t="n">
        <x:f>--AND(AJ$3&gt;=$B$7,AJ$3&lt;$B$8,'Вводные'!$B$88="Да")</x:f>
        <x:v>1</x:v>
      </x:c>
      <x:c r="AK11" s="35" t="n">
        <x:f>--AND(AK$3&gt;=$B$7,AK$3&lt;$B$8,'Вводные'!$B$88="Да")</x:f>
        <x:v>1</x:v>
      </x:c>
      <x:c r="AL11" s="35" t="n">
        <x:f>--AND(AL$3&gt;=$B$7,AL$3&lt;$B$8,'Вводные'!$B$88="Да")</x:f>
        <x:v>1</x:v>
      </x:c>
      <x:c r="AM11" s="35" t="n">
        <x:f>--AND(AM$3&gt;=$B$7,AM$3&lt;$B$8,'Вводные'!$B$88="Да")</x:f>
        <x:v>1</x:v>
      </x:c>
      <x:c r="AN11" s="35" t="n">
        <x:f>--AND(AN$3&gt;=$B$7,AN$3&lt;$B$8,'Вводные'!$B$88="Да")</x:f>
        <x:v>1</x:v>
      </x:c>
      <x:c r="AO11" s="35" t="n">
        <x:f>--AND(AO$3&gt;=$B$7,AO$3&lt;$B$8,'Вводные'!$B$88="Да")</x:f>
        <x:v>1</x:v>
      </x:c>
      <x:c r="AP11" s="35" t="n">
        <x:f>--AND(AP$3&gt;=$B$7,AP$3&lt;$B$8,'Вводные'!$B$88="Да")</x:f>
        <x:v>1</x:v>
      </x:c>
      <x:c r="AQ11" s="35" t="n">
        <x:f>--AND(AQ$3&gt;=$B$7,AQ$3&lt;$B$8,'Вводные'!$B$88="Да")</x:f>
        <x:v>1</x:v>
      </x:c>
      <x:c r="AR11" s="35" t="n">
        <x:f>--AND(AR$3&gt;=$B$7,AR$3&lt;$B$8,'Вводные'!$B$88="Да")</x:f>
        <x:v>1</x:v>
      </x:c>
      <x:c r="AS11" s="35" t="n">
        <x:f>--AND(AS$3&gt;=$B$7,AS$3&lt;$B$8,'Вводные'!$B$88="Да")</x:f>
        <x:v>1</x:v>
      </x:c>
      <x:c r="AT11" s="35" t="n">
        <x:f>--AND(AT$3&gt;=$B$7,AT$3&lt;$B$8,'Вводные'!$B$88="Да")</x:f>
        <x:v>0</x:v>
      </x:c>
      <x:c r="AU11" s="35" t="n">
        <x:f>--AND(AU$3&gt;=$B$7,AU$3&lt;$B$8,'Вводные'!$B$88="Да")</x:f>
        <x:v>0</x:v>
      </x:c>
      <x:c r="AV11" s="35" t="n">
        <x:f>--AND(AV$3&gt;=$B$7,AV$3&lt;$B$8,'Вводные'!$B$88="Да")</x:f>
        <x:v>0</x:v>
      </x:c>
      <x:c r="AW11" s="35" t="n">
        <x:f>--AND(AW$3&gt;=$B$7,AW$3&lt;$B$8,'Вводные'!$B$88="Да")</x:f>
        <x:v>0</x:v>
      </x:c>
      <x:c r="AX11" s="35" t="n">
        <x:f>--AND(AX$3&gt;=$B$7,AX$3&lt;$B$8,'Вводные'!$B$88="Да")</x:f>
        <x:v>0</x:v>
      </x:c>
      <x:c r="AY11" s="35" t="n">
        <x:f>--AND(AY$3&gt;=$B$7,AY$3&lt;$B$8,'Вводные'!$B$88="Да")</x:f>
        <x:v>0</x:v>
      </x:c>
      <x:c r="AZ11" s="35" t="n">
        <x:f>--AND(AZ$3&gt;=$B$7,AZ$3&lt;$B$8,'Вводные'!$B$88="Да")</x:f>
        <x:v>0</x:v>
      </x:c>
      <x:c r="BA11" s="35" t="n">
        <x:f>--AND(BA$3&gt;=$B$7,BA$3&lt;$B$8,'Вводные'!$B$88="Да")</x:f>
        <x:v>0</x:v>
      </x:c>
      <x:c r="BB11" s="35" t="n">
        <x:f>--AND(BB$3&gt;=$B$7,BB$3&lt;$B$8,'Вводные'!$B$88="Да")</x:f>
        <x:v>0</x:v>
      </x:c>
      <x:c r="BC11" s="35" t="n">
        <x:f>--AND(BC$3&gt;=$B$7,BC$3&lt;$B$8,'Вводные'!$B$88="Да")</x:f>
        <x:v>0</x:v>
      </x:c>
      <x:c r="BD11" s="35" t="n">
        <x:f>--AND(BD$3&gt;=$B$7,BD$3&lt;$B$8,'Вводные'!$B$88="Да")</x:f>
        <x:v>0</x:v>
      </x:c>
      <x:c r="BE11" s="35" t="n">
        <x:f>--AND(BE$3&gt;=$B$7,BE$3&lt;$B$8,'Вводные'!$B$88="Да")</x:f>
        <x:v>0</x:v>
      </x:c>
      <x:c r="BF11" s="35" t="n">
        <x:f>--AND(BF$3&gt;=$B$7,BF$3&lt;$B$8,'Вводные'!$B$88="Да")</x:f>
        <x:v>0</x:v>
      </x:c>
      <x:c r="BG11" s="35" t="n">
        <x:f>--AND(BG$3&gt;=$B$7,BG$3&lt;$B$8,'Вводные'!$B$88="Да")</x:f>
        <x:v>0</x:v>
      </x:c>
      <x:c r="BH11" s="35" t="n">
        <x:f>--AND(BH$3&gt;=$B$7,BH$3&lt;$B$8,'Вводные'!$B$88="Да")</x:f>
        <x:v>0</x:v>
      </x:c>
      <x:c r="BI11" s="35" t="n">
        <x:f>--AND(BI$3&gt;=$B$7,BI$3&lt;$B$8,'Вводные'!$B$88="Да")</x:f>
        <x:v>0</x:v>
      </x:c>
      <x:c r="BJ11" s="35" t="n">
        <x:f>--AND(BJ$3&gt;=$B$7,BJ$3&lt;$B$8,'Вводные'!$B$88="Да")</x:f>
        <x:v>0</x:v>
      </x:c>
      <x:c r="BK11" s="35" t="n">
        <x:f>--AND(BK$3&gt;=$B$7,BK$3&lt;$B$8,'Вводные'!$B$88="Да")</x:f>
        <x:v>0</x:v>
      </x:c>
      <x:c r="BL11" s="35" t="n">
        <x:f>--AND(BL$3&gt;=$B$7,BL$3&lt;$B$8,'Вводные'!$B$88="Да")</x:f>
        <x:v>0</x:v>
      </x:c>
      <x:c r="BM11" s="35" t="n">
        <x:f>--AND(BM$3&gt;=$B$7,BM$3&lt;$B$8,'Вводные'!$B$88="Да")</x:f>
        <x:v>0</x:v>
      </x:c>
      <x:c r="BN11" s="35" t="n">
        <x:f>--AND(BN$3&gt;=$B$7,BN$3&lt;$B$8,'Вводные'!$B$88="Да")</x:f>
        <x:v>0</x:v>
      </x:c>
      <x:c r="BO11" s="35" t="n">
        <x:f>--AND(BO$3&gt;=$B$7,BO$3&lt;$B$8,'Вводные'!$B$88="Да")</x:f>
        <x:v>0</x:v>
      </x:c>
      <x:c r="BP11" s="35" t="n">
        <x:f>--AND(BP$3&gt;=$B$7,BP$3&lt;$B$8,'Вводные'!$B$88="Да")</x:f>
        <x:v>0</x:v>
      </x:c>
      <x:c r="BQ11" s="35" t="n">
        <x:f>--AND(BQ$3&gt;=$B$7,BQ$3&lt;$B$8,'Вводные'!$B$88="Да")</x:f>
        <x:v>0</x:v>
      </x:c>
      <x:c r="BR11" s="35" t="n">
        <x:f>--AND(BR$3&gt;=$B$7,BR$3&lt;$B$8,'Вводные'!$B$88="Да")</x:f>
        <x:v>0</x:v>
      </x:c>
      <x:c r="BS11" s="35" t="n">
        <x:f>--AND(BS$3&gt;=$B$7,BS$3&lt;$B$8,'Вводные'!$B$88="Да")</x:f>
        <x:v>0</x:v>
      </x:c>
      <x:c r="BT11" s="35" t="n">
        <x:f>--AND(BT$3&gt;=$B$7,BT$3&lt;$B$8,'Вводные'!$B$88="Да")</x:f>
        <x:v>0</x:v>
      </x:c>
      <x:c r="BU11" s="35" t="n">
        <x:f>--AND(BU$3&gt;=$B$7,BU$3&lt;$B$8,'Вводные'!$B$88="Да")</x:f>
        <x:v>0</x:v>
      </x:c>
      <x:c r="BV11" s="35" t="n">
        <x:f>--AND(BV$3&gt;=$B$7,BV$3&lt;$B$8,'Вводные'!$B$88="Да")</x:f>
        <x:v>0</x:v>
      </x:c>
      <x:c r="BW11" s="35" t="n">
        <x:f>--AND(BW$3&gt;=$B$7,BW$3&lt;$B$8,'Вводные'!$B$88="Да")</x:f>
        <x:v>0</x:v>
      </x:c>
      <x:c r="BX11" s="35" t="n">
        <x:f>--AND(BX$3&gt;=$B$7,BX$3&lt;$B$8,'Вводные'!$B$88="Да")</x:f>
        <x:v>0</x:v>
      </x:c>
      <x:c r="BY11" s="35" t="n">
        <x:f>--AND(BY$3&gt;=$B$7,BY$3&lt;$B$8,'Вводные'!$B$88="Да")</x:f>
        <x:v>0</x:v>
      </x:c>
      <x:c r="BZ11" s="35" t="n">
        <x:f>--AND(BZ$3&gt;=$B$7,BZ$3&lt;$B$8,'Вводные'!$B$88="Да")</x:f>
        <x:v>0</x:v>
      </x:c>
      <x:c r="CA11" s="35" t="n">
        <x:f>--AND(CA$3&gt;=$B$7,CA$3&lt;$B$8,'Вводные'!$B$88="Да")</x:f>
        <x:v>0</x:v>
      </x:c>
      <x:c r="CB11" s="35" t="n">
        <x:f>--AND(CB$3&gt;=$B$7,CB$3&lt;$B$8,'Вводные'!$B$88="Да")</x:f>
        <x:v>0</x:v>
      </x:c>
      <x:c r="CC11" s="35" t="n">
        <x:f>--AND(CC$3&gt;=$B$7,CC$3&lt;$B$8,'Вводные'!$B$88="Да")</x:f>
        <x:v>0</x:v>
      </x:c>
      <x:c r="CD11" s="35" t="n">
        <x:f>--AND(CD$3&gt;=$B$7,CD$3&lt;$B$8,'Вводные'!$B$88="Да")</x:f>
        <x:v>0</x:v>
      </x:c>
      <x:c r="CE11" s="35" t="n">
        <x:f>--AND(CE$3&gt;=$B$7,CE$3&lt;$B$8,'Вводные'!$B$88="Да")</x:f>
        <x:v>0</x:v>
      </x:c>
      <x:c r="CF11" s="35" t="n">
        <x:f>--AND(CF$3&gt;=$B$7,CF$3&lt;$B$8,'Вводные'!$B$88="Да")</x:f>
        <x:v>0</x:v>
      </x:c>
      <x:c r="CG11" s="35" t="n">
        <x:f>--AND(CG$3&gt;=$B$7,CG$3&lt;$B$8,'Вводные'!$B$88="Да")</x:f>
        <x:v>0</x:v>
      </x:c>
      <x:c r="CH11" s="35" t="n">
        <x:f>--AND(CH$3&gt;=$B$7,CH$3&lt;$B$8,'Вводные'!$B$88="Да")</x:f>
        <x:v>0</x:v>
      </x:c>
      <x:c r="CI11" s="35" t="n">
        <x:f>--AND(CI$3&gt;=$B$7,CI$3&lt;$B$8,'Вводные'!$B$88="Да")</x:f>
        <x:v>0</x:v>
      </x:c>
      <x:c r="CJ11" s="35" t="n">
        <x:f>--AND(CJ$3&gt;=$B$7,CJ$3&lt;$B$8,'Вводные'!$B$88="Да")</x:f>
        <x:v>0</x:v>
      </x:c>
      <x:c r="CK11" s="35" t="n">
        <x:f>--AND(CK$3&gt;=$B$7,CK$3&lt;$B$8,'Вводные'!$B$88="Да")</x:f>
        <x:v>0</x:v>
      </x:c>
      <x:c r="CL11" s="35" t="n">
        <x:f>--AND(CL$3&gt;=$B$7,CL$3&lt;$B$8,'Вводные'!$B$88="Да")</x:f>
        <x:v>0</x:v>
      </x:c>
      <x:c r="CM11" s="35" t="n">
        <x:f>--AND(CM$3&gt;=$B$7,CM$3&lt;$B$8,'Вводные'!$B$88="Да")</x:f>
        <x:v>0</x:v>
      </x:c>
      <x:c r="CN11" s="35" t="n">
        <x:f>--AND(CN$3&gt;=$B$7,CN$3&lt;$B$8,'Вводные'!$B$88="Да")</x:f>
        <x:v>0</x:v>
      </x:c>
      <x:c r="CO11" s="35" t="n">
        <x:f>--AND(CO$3&gt;=$B$7,CO$3&lt;$B$8,'Вводные'!$B$88="Да")</x:f>
        <x:v>0</x:v>
      </x:c>
      <x:c r="CP11" s="35" t="n">
        <x:f>--AND(CP$3&gt;=$B$7,CP$3&lt;$B$8,'Вводные'!$B$88="Да")</x:f>
        <x:v>0</x:v>
      </x:c>
      <x:c r="CQ11" s="35" t="n">
        <x:f>--AND(CQ$3&gt;=$B$7,CQ$3&lt;$B$8,'Вводные'!$B$88="Да")</x:f>
        <x:v>0</x:v>
      </x:c>
      <x:c r="CR11" s="35" t="n">
        <x:f>--AND(CR$3&gt;=$B$7,CR$3&lt;$B$8,'Вводные'!$B$88="Да")</x:f>
        <x:v>0</x:v>
      </x:c>
      <x:c r="CS11" s="35" t="n">
        <x:f>--AND(CS$3&gt;=$B$7,CS$3&lt;$B$8,'Вводные'!$B$88="Да")</x:f>
        <x:v>0</x:v>
      </x:c>
      <x:c r="CT11" s="35" t="n">
        <x:f>--AND(CT$3&gt;=$B$7,CT$3&lt;$B$8,'Вводные'!$B$88="Да")</x:f>
        <x:v>0</x:v>
      </x:c>
      <x:c r="CU11" s="35" t="n">
        <x:f>--AND(CU$3&gt;=$B$7,CU$3&lt;$B$8,'Вводные'!$B$88="Да")</x:f>
        <x:v>0</x:v>
      </x:c>
      <x:c r="CV11" s="35" t="n">
        <x:f>--AND(CV$3&gt;=$B$7,CV$3&lt;$B$8,'Вводные'!$B$88="Да")</x:f>
        <x:v>0</x:v>
      </x:c>
      <x:c r="CW11" s="35" t="n">
        <x:f>--AND(CW$3&gt;=$B$7,CW$3&lt;$B$8,'Вводные'!$B$88="Да")</x:f>
        <x:v>0</x:v>
      </x:c>
      <x:c r="CX11" s="35" t="n">
        <x:f>--AND(CX$3&gt;=$B$7,CX$3&lt;$B$8,'Вводные'!$B$88="Да")</x:f>
        <x:v>0</x:v>
      </x:c>
      <x:c r="CY11" s="35" t="n">
        <x:f>--AND(CY$3&gt;=$B$7,CY$3&lt;$B$8,'Вводные'!$B$88="Да")</x:f>
        <x:v>0</x:v>
      </x:c>
      <x:c r="CZ11" s="35" t="n">
        <x:f>--AND(CZ$3&gt;=$B$7,CZ$3&lt;$B$8,'Вводные'!$B$88="Да")</x:f>
        <x:v>0</x:v>
      </x:c>
      <x:c r="DA11" s="35" t="n">
        <x:f>--AND(DA$3&gt;=$B$7,DA$3&lt;$B$8,'Вводные'!$B$88="Да")</x:f>
        <x:v>0</x:v>
      </x:c>
      <x:c r="DB11" s="35" t="n">
        <x:f>--AND(DB$3&gt;=$B$7,DB$3&lt;$B$8,'Вводные'!$B$88="Да")</x:f>
        <x:v>0</x:v>
      </x:c>
      <x:c r="DC11" s="35" t="n">
        <x:f>--AND(DC$3&gt;=$B$7,DC$3&lt;$B$8,'Вводные'!$B$88="Да")</x:f>
        <x:v>0</x:v>
      </x:c>
      <x:c r="DD11" s="35" t="n">
        <x:f>--AND(DD$3&gt;=$B$7,DD$3&lt;$B$8,'Вводные'!$B$88="Да")</x:f>
        <x:v>0</x:v>
      </x:c>
      <x:c r="DE11" s="35" t="n">
        <x:f>--AND(DE$3&gt;=$B$7,DE$3&lt;$B$8,'Вводные'!$B$88="Да")</x:f>
        <x:v>0</x:v>
      </x:c>
      <x:c r="DF11" s="35" t="n">
        <x:f>--AND(DF$3&gt;=$B$7,DF$3&lt;$B$8,'Вводные'!$B$88="Да")</x:f>
        <x:v>0</x:v>
      </x:c>
      <x:c r="DG11" s="35" t="n">
        <x:f>--AND(DG$3&gt;=$B$7,DG$3&lt;$B$8,'Вводные'!$B$88="Да")</x:f>
        <x:v>0</x:v>
      </x:c>
      <x:c r="DH11" s="35" t="n">
        <x:f>--AND(DH$3&gt;=$B$7,DH$3&lt;$B$8,'Вводные'!$B$88="Да")</x:f>
        <x:v>0</x:v>
      </x:c>
      <x:c r="DI11" s="35" t="n">
        <x:f>--AND(DI$3&gt;=$B$7,DI$3&lt;$B$8,'Вводные'!$B$88="Да")</x:f>
        <x:v>0</x:v>
      </x:c>
      <x:c r="DJ11" s="35" t="n">
        <x:f>--AND(DJ$3&gt;=$B$7,DJ$3&lt;$B$8,'Вводные'!$B$88="Да")</x:f>
        <x:v>0</x:v>
      </x:c>
      <x:c r="DK11" s="35" t="n">
        <x:f>--AND(DK$3&gt;=$B$7,DK$3&lt;$B$8,'Вводные'!$B$88="Да")</x:f>
        <x:v>0</x:v>
      </x:c>
      <x:c r="DL11" s="35" t="n">
        <x:f>--AND(DL$3&gt;=$B$7,DL$3&lt;$B$8,'Вводные'!$B$88="Да")</x:f>
        <x:v>0</x:v>
      </x:c>
      <x:c r="DM11" s="35" t="n">
        <x:f>--AND(DM$3&gt;=$B$7,DM$3&lt;$B$8,'Вводные'!$B$88="Да")</x:f>
        <x:v>0</x:v>
      </x:c>
      <x:c r="DN11" s="35" t="n">
        <x:f>--AND(DN$3&gt;=$B$7,DN$3&lt;$B$8,'Вводные'!$B$88="Да")</x:f>
        <x:v>0</x:v>
      </x:c>
      <x:c r="DO11" s="35" t="n">
        <x:f>--AND(DO$3&gt;=$B$7,DO$3&lt;$B$8,'Вводные'!$B$88="Да")</x:f>
        <x:v>0</x:v>
      </x:c>
      <x:c r="DP11" s="35" t="n">
        <x:f>--AND(DP$3&gt;=$B$7,DP$3&lt;$B$8,'Вводные'!$B$88="Да")</x:f>
        <x:v>0</x:v>
      </x:c>
      <x:c r="DQ11" s="35" t="n">
        <x:f>--AND(DQ$3&gt;=$B$7,DQ$3&lt;$B$8,'Вводные'!$B$88="Да")</x:f>
        <x:v>0</x:v>
      </x:c>
      <x:c r="DR11" s="35" t="n">
        <x:f>--AND(DR$3&gt;=$B$7,DR$3&lt;$B$8,'Вводные'!$B$88="Да")</x:f>
        <x:v>0</x:v>
      </x:c>
      <x:c r="DS11" s="35" t="n">
        <x:f>--AND(DS$3&gt;=$B$7,DS$3&lt;$B$8,'Вводные'!$B$88="Да")</x:f>
        <x:v>0</x:v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  <x:v>0</x:v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  <x:v>0</x:v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  <x:v>0</x:v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  <x:v>0</x:v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  <x:v>0</x:v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  <x:v>0</x:v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  <x:v>0</x:v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  <x:v>0</x:v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  <x:v>0</x:v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  <x:v>0</x:v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  <x:v>0</x:v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  <x:v>0</x:v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  <x:v>0</x:v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  <x:v>0</x:v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  <x:v>0</x:v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  <x:v>0</x:v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  <x:v>0</x:v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  <x:v>0</x:v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  <x:v>0.6</x:v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  <x:v>0.6</x:v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  <x:v>0.6</x:v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  <x:v>0.6</x:v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  <x:v>1.2</x:v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  <x:v>1.2</x:v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  <x:v>1.2</x:v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  <x:v>1.2</x:v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  <x:v>1.2</x:v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  <x:v>1.2</x:v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  <x:v>1.2</x:v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  <x:v>1.2</x:v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  <x:v>1.2</x:v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  <x:v>1.2</x:v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  <x:v>1.2</x:v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  <x:v>1.2</x:v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  <x:v>1.2</x:v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  <x:v>1.2</x:v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  <x:v>1.2</x:v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  <x:v>0.8</x:v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  <x:v>0.8</x:v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  <x:v>0.8</x:v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  <x:v>0.8</x:v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  <x:v>0.8</x:v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  <x:v>0</x:v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  <x:v>0</x:v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  <x:v>0</x:v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  <x:v>0</x:v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  <x:v>0</x:v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  <x:v>0</x:v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  <x:v>0</x:v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  <x:v>0</x:v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  <x:v>0</x:v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  <x:v>0</x:v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  <x:v>0</x:v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  <x:v>0</x:v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  <x:v>0</x:v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  <x:v>0</x:v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  <x:v>0</x:v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  <x:v>0</x:v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  <x:v>0</x:v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  <x:v>0</x:v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  <x:v>0</x:v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  <x:v>0</x:v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  <x:v>0</x:v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  <x:v>0</x:v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  <x:v>0</x:v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  <x:v>0</x:v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  <x:v>0</x:v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  <x:v>0</x:v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  <x:v>0</x:v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  <x:v>0</x:v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  <x:v>0</x:v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  <x:v>0</x:v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  <x:v>0</x:v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  <x:v>0</x:v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  <x:v>0</x:v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  <x:v>0</x:v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  <x:v>0</x:v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  <x:v>0</x:v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  <x:v>0</x:v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  <x:v>0</x:v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  <x:v>0</x:v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  <x:v>0</x:v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  <x:v>0</x:v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  <x:v>0</x:v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  <x:v>0</x:v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  <x:v>0</x:v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  <x:v>0</x:v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  <x:v>0</x:v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  <x:v>0</x:v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  <x:v>0</x:v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  <x:v>0</x:v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  <x:v>0</x:v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  <x:v>0</x:v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  <x:v>0</x:v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  <x:v>0</x:v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  <x:v>0</x:v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  <x:v>0</x:v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  <x:v>0</x:v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  <x:v>0</x:v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  <x:v>0</x:v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  <x:v>0</x:v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  <x:v>0</x:v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  <x:v>0</x:v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  <x:v>0</x:v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  <x:v>0</x:v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  <x:v>0</x:v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  <x:v>0</x:v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  <x:v>0</x:v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  <x:v>0</x:v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  <x:v>0</x:v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  <x:v>0</x:v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  <x:v>0</x:v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  <x:v>0</x:v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  <x:v>0</x:v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  <x:v>0</x:v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  <x:v>0</x:v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  <x:v>0</x:v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  <x:v>0</x:v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  <x:v>0</x:v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  <x:v>0</x:v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  <x:v>0</x:v>
      </x:c>
      <x:c r="E13" s="35" t="n">
        <x:f>IFERROR(E12/SUM($D12:$DS12),0)</x:f>
        <x:v>0</x:v>
      </x:c>
      <x:c r="F13" s="35" t="n">
        <x:f>IFERROR(F12/SUM($D12:$DS12),0)</x:f>
        <x:v>0</x:v>
      </x:c>
      <x:c r="G13" s="35" t="n">
        <x:f>IFERROR(G12/SUM($D12:$DS12),0)</x:f>
        <x:v>0</x:v>
      </x:c>
      <x:c r="H13" s="35" t="n">
        <x:f>IFERROR(H12/SUM($D12:$DS12),0)</x:f>
        <x:v>0</x:v>
      </x:c>
      <x:c r="I13" s="35" t="n">
        <x:f>IFERROR(I12/SUM($D12:$DS12),0)</x:f>
        <x:v>0</x:v>
      </x:c>
      <x:c r="J13" s="35" t="n">
        <x:f>IFERROR(J12/SUM($D12:$DS12),0)</x:f>
        <x:v>0</x:v>
      </x:c>
      <x:c r="K13" s="35" t="n">
        <x:f>IFERROR(K12/SUM($D12:$DS12),0)</x:f>
        <x:v>0</x:v>
      </x:c>
      <x:c r="L13" s="35" t="n">
        <x:f>IFERROR(L12/SUM($D12:$DS12),0)</x:f>
        <x:v>0</x:v>
      </x:c>
      <x:c r="M13" s="35" t="n">
        <x:f>IFERROR(M12/SUM($D12:$DS12),0)</x:f>
        <x:v>0</x:v>
      </x:c>
      <x:c r="N13" s="35" t="n">
        <x:f>IFERROR(N12/SUM($D12:$DS12),0)</x:f>
        <x:v>0</x:v>
      </x:c>
      <x:c r="O13" s="35" t="n">
        <x:f>IFERROR(O12/SUM($D12:$DS12),0)</x:f>
        <x:v>0</x:v>
      </x:c>
      <x:c r="P13" s="35" t="n">
        <x:f>IFERROR(P12/SUM($D12:$DS12),0)</x:f>
        <x:v>0</x:v>
      </x:c>
      <x:c r="Q13" s="35" t="n">
        <x:f>IFERROR(Q12/SUM($D12:$DS12),0)</x:f>
        <x:v>0</x:v>
      </x:c>
      <x:c r="R13" s="35" t="n">
        <x:f>IFERROR(R12/SUM($D12:$DS12),0)</x:f>
        <x:v>0</x:v>
      </x:c>
      <x:c r="S13" s="35" t="n">
        <x:f>IFERROR(S12/SUM($D12:$DS12),0)</x:f>
        <x:v>0</x:v>
      </x:c>
      <x:c r="T13" s="35" t="n">
        <x:f>IFERROR(T12/SUM($D12:$DS12),0)</x:f>
        <x:v>0</x:v>
      </x:c>
      <x:c r="U13" s="35" t="n">
        <x:f>IFERROR(U12/SUM($D12:$DS12),0)</x:f>
        <x:v>0</x:v>
      </x:c>
      <x:c r="V13" s="35" t="n">
        <x:f>IFERROR(V12/SUM($D12:$DS12),0)</x:f>
        <x:v>0.02459016393442623</x:v>
      </x:c>
      <x:c r="W13" s="35" t="n">
        <x:f>IFERROR(W12/SUM($D12:$DS12),0)</x:f>
        <x:v>0.02459016393442623</x:v>
      </x:c>
      <x:c r="X13" s="35" t="n">
        <x:f>IFERROR(X12/SUM($D12:$DS12),0)</x:f>
        <x:v>0.02459016393442623</x:v>
      </x:c>
      <x:c r="Y13" s="35" t="n">
        <x:f>IFERROR(Y12/SUM($D12:$DS12),0)</x:f>
        <x:v>0.02459016393442623</x:v>
      </x:c>
      <x:c r="Z13" s="35" t="n">
        <x:f>IFERROR(Z12/SUM($D12:$DS12),0)</x:f>
        <x:v>0.04918032786885246</x:v>
      </x:c>
      <x:c r="AA13" s="35" t="n">
        <x:f>IFERROR(AA12/SUM($D12:$DS12),0)</x:f>
        <x:v>0.04918032786885246</x:v>
      </x:c>
      <x:c r="AB13" s="35" t="n">
        <x:f>IFERROR(AB12/SUM($D12:$DS12),0)</x:f>
        <x:v>0.04918032786885246</x:v>
      </x:c>
      <x:c r="AC13" s="35" t="n">
        <x:f>IFERROR(AC12/SUM($D12:$DS12),0)</x:f>
        <x:v>0.04918032786885246</x:v>
      </x:c>
      <x:c r="AD13" s="35" t="n">
        <x:f>IFERROR(AD12/SUM($D12:$DS12),0)</x:f>
        <x:v>0.04918032786885246</x:v>
      </x:c>
      <x:c r="AE13" s="35" t="n">
        <x:f>IFERROR(AE12/SUM($D12:$DS12),0)</x:f>
        <x:v>0.04918032786885246</x:v>
      </x:c>
      <x:c r="AF13" s="35" t="n">
        <x:f>IFERROR(AF12/SUM($D12:$DS12),0)</x:f>
        <x:v>0.04918032786885246</x:v>
      </x:c>
      <x:c r="AG13" s="35" t="n">
        <x:f>IFERROR(AG12/SUM($D12:$DS12),0)</x:f>
        <x:v>0.04918032786885246</x:v>
      </x:c>
      <x:c r="AH13" s="35" t="n">
        <x:f>IFERROR(AH12/SUM($D12:$DS12),0)</x:f>
        <x:v>0.04918032786885246</x:v>
      </x:c>
      <x:c r="AI13" s="35" t="n">
        <x:f>IFERROR(AI12/SUM($D12:$DS12),0)</x:f>
        <x:v>0.04918032786885246</x:v>
      </x:c>
      <x:c r="AJ13" s="35" t="n">
        <x:f>IFERROR(AJ12/SUM($D12:$DS12),0)</x:f>
        <x:v>0.04918032786885246</x:v>
      </x:c>
      <x:c r="AK13" s="35" t="n">
        <x:f>IFERROR(AK12/SUM($D12:$DS12),0)</x:f>
        <x:v>0.04918032786885246</x:v>
      </x:c>
      <x:c r="AL13" s="35" t="n">
        <x:f>IFERROR(AL12/SUM($D12:$DS12),0)</x:f>
        <x:v>0.04918032786885246</x:v>
      </x:c>
      <x:c r="AM13" s="35" t="n">
        <x:f>IFERROR(AM12/SUM($D12:$DS12),0)</x:f>
        <x:v>0.04918032786885246</x:v>
      </x:c>
      <x:c r="AN13" s="35" t="n">
        <x:f>IFERROR(AN12/SUM($D12:$DS12),0)</x:f>
        <x:v>0.04918032786885246</x:v>
      </x:c>
      <x:c r="AO13" s="35" t="n">
        <x:f>IFERROR(AO12/SUM($D12:$DS12),0)</x:f>
        <x:v>0.03278688524590164</x:v>
      </x:c>
      <x:c r="AP13" s="35" t="n">
        <x:f>IFERROR(AP12/SUM($D12:$DS12),0)</x:f>
        <x:v>0.03278688524590164</x:v>
      </x:c>
      <x:c r="AQ13" s="35" t="n">
        <x:f>IFERROR(AQ12/SUM($D12:$DS12),0)</x:f>
        <x:v>0.03278688524590164</x:v>
      </x:c>
      <x:c r="AR13" s="35" t="n">
        <x:f>IFERROR(AR12/SUM($D12:$DS12),0)</x:f>
        <x:v>0.03278688524590164</x:v>
      </x:c>
      <x:c r="AS13" s="35" t="n">
        <x:f>IFERROR(AS12/SUM($D12:$DS12),0)</x:f>
        <x:v>0.03278688524590164</x:v>
      </x:c>
      <x:c r="AT13" s="35" t="n">
        <x:f>IFERROR(AT12/SUM($D12:$DS12),0)</x:f>
        <x:v>0</x:v>
      </x:c>
      <x:c r="AU13" s="35" t="n">
        <x:f>IFERROR(AU12/SUM($D12:$DS12),0)</x:f>
        <x:v>0</x:v>
      </x:c>
      <x:c r="AV13" s="35" t="n">
        <x:f>IFERROR(AV12/SUM($D12:$DS12),0)</x:f>
        <x:v>0</x:v>
      </x:c>
      <x:c r="AW13" s="35" t="n">
        <x:f>IFERROR(AW12/SUM($D12:$DS12),0)</x:f>
        <x:v>0</x:v>
      </x:c>
      <x:c r="AX13" s="35" t="n">
        <x:f>IFERROR(AX12/SUM($D12:$DS12),0)</x:f>
        <x:v>0</x:v>
      </x:c>
      <x:c r="AY13" s="35" t="n">
        <x:f>IFERROR(AY12/SUM($D12:$DS12),0)</x:f>
        <x:v>0</x:v>
      </x:c>
      <x:c r="AZ13" s="35" t="n">
        <x:f>IFERROR(AZ12/SUM($D12:$DS12),0)</x:f>
        <x:v>0</x:v>
      </x:c>
      <x:c r="BA13" s="35" t="n">
        <x:f>IFERROR(BA12/SUM($D12:$DS12),0)</x:f>
        <x:v>0</x:v>
      </x:c>
      <x:c r="BB13" s="35" t="n">
        <x:f>IFERROR(BB12/SUM($D12:$DS12),0)</x:f>
        <x:v>0</x:v>
      </x:c>
      <x:c r="BC13" s="35" t="n">
        <x:f>IFERROR(BC12/SUM($D12:$DS12),0)</x:f>
        <x:v>0</x:v>
      </x:c>
      <x:c r="BD13" s="35" t="n">
        <x:f>IFERROR(BD12/SUM($D12:$DS12),0)</x:f>
        <x:v>0</x:v>
      </x:c>
      <x:c r="BE13" s="35" t="n">
        <x:f>IFERROR(BE12/SUM($D12:$DS12),0)</x:f>
        <x:v>0</x:v>
      </x:c>
      <x:c r="BF13" s="35" t="n">
        <x:f>IFERROR(BF12/SUM($D12:$DS12),0)</x:f>
        <x:v>0</x:v>
      </x:c>
      <x:c r="BG13" s="35" t="n">
        <x:f>IFERROR(BG12/SUM($D12:$DS12),0)</x:f>
        <x:v>0</x:v>
      </x:c>
      <x:c r="BH13" s="35" t="n">
        <x:f>IFERROR(BH12/SUM($D12:$DS12),0)</x:f>
        <x:v>0</x:v>
      </x:c>
      <x:c r="BI13" s="35" t="n">
        <x:f>IFERROR(BI12/SUM($D12:$DS12),0)</x:f>
        <x:v>0</x:v>
      </x:c>
      <x:c r="BJ13" s="35" t="n">
        <x:f>IFERROR(BJ12/SUM($D12:$DS12),0)</x:f>
        <x:v>0</x:v>
      </x:c>
      <x:c r="BK13" s="35" t="n">
        <x:f>IFERROR(BK12/SUM($D12:$DS12),0)</x:f>
        <x:v>0</x:v>
      </x:c>
      <x:c r="BL13" s="35" t="n">
        <x:f>IFERROR(BL12/SUM($D12:$DS12),0)</x:f>
        <x:v>0</x:v>
      </x:c>
      <x:c r="BM13" s="35" t="n">
        <x:f>IFERROR(BM12/SUM($D12:$DS12),0)</x:f>
        <x:v>0</x:v>
      </x:c>
      <x:c r="BN13" s="35" t="n">
        <x:f>IFERROR(BN12/SUM($D12:$DS12),0)</x:f>
        <x:v>0</x:v>
      </x:c>
      <x:c r="BO13" s="35" t="n">
        <x:f>IFERROR(BO12/SUM($D12:$DS12),0)</x:f>
        <x:v>0</x:v>
      </x:c>
      <x:c r="BP13" s="35" t="n">
        <x:f>IFERROR(BP12/SUM($D12:$DS12),0)</x:f>
        <x:v>0</x:v>
      </x:c>
      <x:c r="BQ13" s="35" t="n">
        <x:f>IFERROR(BQ12/SUM($D12:$DS12),0)</x:f>
        <x:v>0</x:v>
      </x:c>
      <x:c r="BR13" s="35" t="n">
        <x:f>IFERROR(BR12/SUM($D12:$DS12),0)</x:f>
        <x:v>0</x:v>
      </x:c>
      <x:c r="BS13" s="35" t="n">
        <x:f>IFERROR(BS12/SUM($D12:$DS12),0)</x:f>
        <x:v>0</x:v>
      </x:c>
      <x:c r="BT13" s="35" t="n">
        <x:f>IFERROR(BT12/SUM($D12:$DS12),0)</x:f>
        <x:v>0</x:v>
      </x:c>
      <x:c r="BU13" s="35" t="n">
        <x:f>IFERROR(BU12/SUM($D12:$DS12),0)</x:f>
        <x:v>0</x:v>
      </x:c>
      <x:c r="BV13" s="35" t="n">
        <x:f>IFERROR(BV12/SUM($D12:$DS12),0)</x:f>
        <x:v>0</x:v>
      </x:c>
      <x:c r="BW13" s="35" t="n">
        <x:f>IFERROR(BW12/SUM($D12:$DS12),0)</x:f>
        <x:v>0</x:v>
      </x:c>
      <x:c r="BX13" s="35" t="n">
        <x:f>IFERROR(BX12/SUM($D12:$DS12),0)</x:f>
        <x:v>0</x:v>
      </x:c>
      <x:c r="BY13" s="35" t="n">
        <x:f>IFERROR(BY12/SUM($D12:$DS12),0)</x:f>
        <x:v>0</x:v>
      </x:c>
      <x:c r="BZ13" s="35" t="n">
        <x:f>IFERROR(BZ12/SUM($D12:$DS12),0)</x:f>
        <x:v>0</x:v>
      </x:c>
      <x:c r="CA13" s="35" t="n">
        <x:f>IFERROR(CA12/SUM($D12:$DS12),0)</x:f>
        <x:v>0</x:v>
      </x:c>
      <x:c r="CB13" s="35" t="n">
        <x:f>IFERROR(CB12/SUM($D12:$DS12),0)</x:f>
        <x:v>0</x:v>
      </x:c>
      <x:c r="CC13" s="35" t="n">
        <x:f>IFERROR(CC12/SUM($D12:$DS12),0)</x:f>
        <x:v>0</x:v>
      </x:c>
      <x:c r="CD13" s="35" t="n">
        <x:f>IFERROR(CD12/SUM($D12:$DS12),0)</x:f>
        <x:v>0</x:v>
      </x:c>
      <x:c r="CE13" s="35" t="n">
        <x:f>IFERROR(CE12/SUM($D12:$DS12),0)</x:f>
        <x:v>0</x:v>
      </x:c>
      <x:c r="CF13" s="35" t="n">
        <x:f>IFERROR(CF12/SUM($D12:$DS12),0)</x:f>
        <x:v>0</x:v>
      </x:c>
      <x:c r="CG13" s="35" t="n">
        <x:f>IFERROR(CG12/SUM($D12:$DS12),0)</x:f>
        <x:v>0</x:v>
      </x:c>
      <x:c r="CH13" s="35" t="n">
        <x:f>IFERROR(CH12/SUM($D12:$DS12),0)</x:f>
        <x:v>0</x:v>
      </x:c>
      <x:c r="CI13" s="35" t="n">
        <x:f>IFERROR(CI12/SUM($D12:$DS12),0)</x:f>
        <x:v>0</x:v>
      </x:c>
      <x:c r="CJ13" s="35" t="n">
        <x:f>IFERROR(CJ12/SUM($D12:$DS12),0)</x:f>
        <x:v>0</x:v>
      </x:c>
      <x:c r="CK13" s="35" t="n">
        <x:f>IFERROR(CK12/SUM($D12:$DS12),0)</x:f>
        <x:v>0</x:v>
      </x:c>
      <x:c r="CL13" s="35" t="n">
        <x:f>IFERROR(CL12/SUM($D12:$DS12),0)</x:f>
        <x:v>0</x:v>
      </x:c>
      <x:c r="CM13" s="35" t="n">
        <x:f>IFERROR(CM12/SUM($D12:$DS12),0)</x:f>
        <x:v>0</x:v>
      </x:c>
      <x:c r="CN13" s="35" t="n">
        <x:f>IFERROR(CN12/SUM($D12:$DS12),0)</x:f>
        <x:v>0</x:v>
      </x:c>
      <x:c r="CO13" s="35" t="n">
        <x:f>IFERROR(CO12/SUM($D12:$DS12),0)</x:f>
        <x:v>0</x:v>
      </x:c>
      <x:c r="CP13" s="35" t="n">
        <x:f>IFERROR(CP12/SUM($D12:$DS12),0)</x:f>
        <x:v>0</x:v>
      </x:c>
      <x:c r="CQ13" s="35" t="n">
        <x:f>IFERROR(CQ12/SUM($D12:$DS12),0)</x:f>
        <x:v>0</x:v>
      </x:c>
      <x:c r="CR13" s="35" t="n">
        <x:f>IFERROR(CR12/SUM($D12:$DS12),0)</x:f>
        <x:v>0</x:v>
      </x:c>
      <x:c r="CS13" s="35" t="n">
        <x:f>IFERROR(CS12/SUM($D12:$DS12),0)</x:f>
        <x:v>0</x:v>
      </x:c>
      <x:c r="CT13" s="35" t="n">
        <x:f>IFERROR(CT12/SUM($D12:$DS12),0)</x:f>
        <x:v>0</x:v>
      </x:c>
      <x:c r="CU13" s="35" t="n">
        <x:f>IFERROR(CU12/SUM($D12:$DS12),0)</x:f>
        <x:v>0</x:v>
      </x:c>
      <x:c r="CV13" s="35" t="n">
        <x:f>IFERROR(CV12/SUM($D12:$DS12),0)</x:f>
        <x:v>0</x:v>
      </x:c>
      <x:c r="CW13" s="35" t="n">
        <x:f>IFERROR(CW12/SUM($D12:$DS12),0)</x:f>
        <x:v>0</x:v>
      </x:c>
      <x:c r="CX13" s="35" t="n">
        <x:f>IFERROR(CX12/SUM($D12:$DS12),0)</x:f>
        <x:v>0</x:v>
      </x:c>
      <x:c r="CY13" s="35" t="n">
        <x:f>IFERROR(CY12/SUM($D12:$DS12),0)</x:f>
        <x:v>0</x:v>
      </x:c>
      <x:c r="CZ13" s="35" t="n">
        <x:f>IFERROR(CZ12/SUM($D12:$DS12),0)</x:f>
        <x:v>0</x:v>
      </x:c>
      <x:c r="DA13" s="35" t="n">
        <x:f>IFERROR(DA12/SUM($D12:$DS12),0)</x:f>
        <x:v>0</x:v>
      </x:c>
      <x:c r="DB13" s="35" t="n">
        <x:f>IFERROR(DB12/SUM($D12:$DS12),0)</x:f>
        <x:v>0</x:v>
      </x:c>
      <x:c r="DC13" s="35" t="n">
        <x:f>IFERROR(DC12/SUM($D12:$DS12),0)</x:f>
        <x:v>0</x:v>
      </x:c>
      <x:c r="DD13" s="35" t="n">
        <x:f>IFERROR(DD12/SUM($D12:$DS12),0)</x:f>
        <x:v>0</x:v>
      </x:c>
      <x:c r="DE13" s="35" t="n">
        <x:f>IFERROR(DE12/SUM($D12:$DS12),0)</x:f>
        <x:v>0</x:v>
      </x:c>
      <x:c r="DF13" s="35" t="n">
        <x:f>IFERROR(DF12/SUM($D12:$DS12),0)</x:f>
        <x:v>0</x:v>
      </x:c>
      <x:c r="DG13" s="35" t="n">
        <x:f>IFERROR(DG12/SUM($D12:$DS12),0)</x:f>
        <x:v>0</x:v>
      </x:c>
      <x:c r="DH13" s="35" t="n">
        <x:f>IFERROR(DH12/SUM($D12:$DS12),0)</x:f>
        <x:v>0</x:v>
      </x:c>
      <x:c r="DI13" s="35" t="n">
        <x:f>IFERROR(DI12/SUM($D12:$DS12),0)</x:f>
        <x:v>0</x:v>
      </x:c>
      <x:c r="DJ13" s="35" t="n">
        <x:f>IFERROR(DJ12/SUM($D12:$DS12),0)</x:f>
        <x:v>0</x:v>
      </x:c>
      <x:c r="DK13" s="35" t="n">
        <x:f>IFERROR(DK12/SUM($D12:$DS12),0)</x:f>
        <x:v>0</x:v>
      </x:c>
      <x:c r="DL13" s="35" t="n">
        <x:f>IFERROR(DL12/SUM($D12:$DS12),0)</x:f>
        <x:v>0</x:v>
      </x:c>
      <x:c r="DM13" s="35" t="n">
        <x:f>IFERROR(DM12/SUM($D12:$DS12),0)</x:f>
        <x:v>0</x:v>
      </x:c>
      <x:c r="DN13" s="35" t="n">
        <x:f>IFERROR(DN12/SUM($D12:$DS12),0)</x:f>
        <x:v>0</x:v>
      </x:c>
      <x:c r="DO13" s="35" t="n">
        <x:f>IFERROR(DO12/SUM($D12:$DS12),0)</x:f>
        <x:v>0</x:v>
      </x:c>
      <x:c r="DP13" s="35" t="n">
        <x:f>IFERROR(DP12/SUM($D12:$DS12),0)</x:f>
        <x:v>0</x:v>
      </x:c>
      <x:c r="DQ13" s="35" t="n">
        <x:f>IFERROR(DQ12/SUM($D12:$DS12),0)</x:f>
        <x:v>0</x:v>
      </x:c>
      <x:c r="DR13" s="35" t="n">
        <x:f>IFERROR(DR12/SUM($D12:$DS12),0)</x:f>
        <x:v>0</x:v>
      </x:c>
      <x:c r="DS13" s="35" t="n">
        <x:f>IFERROR(DS12/SUM($D12:$DS12),0)</x:f>
        <x:v>0</x:v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  <x:v>700</x:v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  <x:v>700</x:v>
      </x:c>
      <x:c r="E14" s="117" t="n">
        <x:f>IF(AND(YEAR(E$3)=YEAR(EDATE('Вводные'!$D$88,'Вводные'!$H$9)),MONTH(E$3)=MONTH(EDATE('Вводные'!$D$88,'Вводные'!$H$9))),$B$14,0)</x:f>
        <x:v>0</x:v>
      </x:c>
      <x:c r="F14" s="117" t="n">
        <x:f>IF(AND(YEAR(F$3)=YEAR(EDATE('Вводные'!$D$88,'Вводные'!$H$9)),MONTH(F$3)=MONTH(EDATE('Вводные'!$D$88,'Вводные'!$H$9))),$B$14,0)</x:f>
        <x:v>0</x:v>
      </x:c>
      <x:c r="G14" s="117" t="n">
        <x:f>IF(AND(YEAR(G$3)=YEAR(EDATE('Вводные'!$D$88,'Вводные'!$H$9)),MONTH(G$3)=MONTH(EDATE('Вводные'!$D$88,'Вводные'!$H$9))),$B$14,0)</x:f>
        <x:v>0</x:v>
      </x:c>
      <x:c r="H14" s="117" t="n">
        <x:f>IF(AND(YEAR(H$3)=YEAR(EDATE('Вводные'!$D$88,'Вводные'!$H$9)),MONTH(H$3)=MONTH(EDATE('Вводные'!$D$88,'Вводные'!$H$9))),$B$14,0)</x:f>
        <x:v>0</x:v>
      </x:c>
      <x:c r="I14" s="117" t="n">
        <x:f>IF(AND(YEAR(I$3)=YEAR(EDATE('Вводные'!$D$88,'Вводные'!$H$9)),MONTH(I$3)=MONTH(EDATE('Вводные'!$D$88,'Вводные'!$H$9))),$B$14,0)</x:f>
        <x:v>0</x:v>
      </x:c>
      <x:c r="J14" s="117" t="n">
        <x:f>IF(AND(YEAR(J$3)=YEAR(EDATE('Вводные'!$D$88,'Вводные'!$H$9)),MONTH(J$3)=MONTH(EDATE('Вводные'!$D$88,'Вводные'!$H$9))),$B$14,0)</x:f>
        <x:v>0</x:v>
      </x:c>
      <x:c r="K14" s="117" t="n">
        <x:f>IF(AND(YEAR(K$3)=YEAR(EDATE('Вводные'!$D$88,'Вводные'!$H$9)),MONTH(K$3)=MONTH(EDATE('Вводные'!$D$88,'Вводные'!$H$9))),$B$14,0)</x:f>
        <x:v>0</x:v>
      </x:c>
      <x:c r="L14" s="117" t="n">
        <x:f>IF(AND(YEAR(L$3)=YEAR(EDATE('Вводные'!$D$88,'Вводные'!$H$9)),MONTH(L$3)=MONTH(EDATE('Вводные'!$D$88,'Вводные'!$H$9))),$B$14,0)</x:f>
        <x:v>0</x:v>
      </x:c>
      <x:c r="M14" s="117" t="n">
        <x:f>IF(AND(YEAR(M$3)=YEAR(EDATE('Вводные'!$D$88,'Вводные'!$H$9)),MONTH(M$3)=MONTH(EDATE('Вводные'!$D$88,'Вводные'!$H$9))),$B$14,0)</x:f>
        <x:v>0</x:v>
      </x:c>
      <x:c r="N14" s="117" t="n">
        <x:f>IF(AND(YEAR(N$3)=YEAR(EDATE('Вводные'!$D$88,'Вводные'!$H$9)),MONTH(N$3)=MONTH(EDATE('Вводные'!$D$88,'Вводные'!$H$9))),$B$14,0)</x:f>
        <x:v>0</x:v>
      </x:c>
      <x:c r="O14" s="117" t="n">
        <x:f>IF(AND(YEAR(O$3)=YEAR(EDATE('Вводные'!$D$88,'Вводные'!$H$9)),MONTH(O$3)=MONTH(EDATE('Вводные'!$D$88,'Вводные'!$H$9))),$B$14,0)</x:f>
        <x:v>0</x:v>
      </x:c>
      <x:c r="P14" s="117" t="n">
        <x:f>IF(AND(YEAR(P$3)=YEAR(EDATE('Вводные'!$D$88,'Вводные'!$H$9)),MONTH(P$3)=MONTH(EDATE('Вводные'!$D$88,'Вводные'!$H$9))),$B$14,0)</x:f>
        <x:v>0</x:v>
      </x:c>
      <x:c r="Q14" s="117" t="n">
        <x:f>IF(AND(YEAR(Q$3)=YEAR(EDATE('Вводные'!$D$88,'Вводные'!$H$9)),MONTH(Q$3)=MONTH(EDATE('Вводные'!$D$88,'Вводные'!$H$9))),$B$14,0)</x:f>
        <x:v>0</x:v>
      </x:c>
      <x:c r="R14" s="117" t="n">
        <x:f>IF(AND(YEAR(R$3)=YEAR(EDATE('Вводные'!$D$88,'Вводные'!$H$9)),MONTH(R$3)=MONTH(EDATE('Вводные'!$D$88,'Вводные'!$H$9))),$B$14,0)</x:f>
        <x:v>0</x:v>
      </x:c>
      <x:c r="S14" s="117" t="n">
        <x:f>IF(AND(YEAR(S$3)=YEAR(EDATE('Вводные'!$D$88,'Вводные'!$H$9)),MONTH(S$3)=MONTH(EDATE('Вводные'!$D$88,'Вводные'!$H$9))),$B$14,0)</x:f>
        <x:v>0</x:v>
      </x:c>
      <x:c r="T14" s="117" t="n">
        <x:f>IF(AND(YEAR(T$3)=YEAR(EDATE('Вводные'!$D$88,'Вводные'!$H$9)),MONTH(T$3)=MONTH(EDATE('Вводные'!$D$88,'Вводные'!$H$9))),$B$14,0)</x:f>
        <x:v>0</x:v>
      </x:c>
      <x:c r="U14" s="117" t="n">
        <x:f>IF(AND(YEAR(U$3)=YEAR(EDATE('Вводные'!$D$88,'Вводные'!$H$9)),MONTH(U$3)=MONTH(EDATE('Вводные'!$D$88,'Вводные'!$H$9))),$B$14,0)</x:f>
        <x:v>0</x:v>
      </x:c>
      <x:c r="V14" s="117" t="n">
        <x:f>IF(AND(YEAR(V$3)=YEAR(EDATE('Вводные'!$D$88,'Вводные'!$H$9)),MONTH(V$3)=MONTH(EDATE('Вводные'!$D$88,'Вводные'!$H$9))),$B$14,0)</x:f>
        <x:v>0</x:v>
      </x:c>
      <x:c r="W14" s="117" t="n">
        <x:f>IF(AND(YEAR(W$3)=YEAR(EDATE('Вводные'!$D$88,'Вводные'!$H$9)),MONTH(W$3)=MONTH(EDATE('Вводные'!$D$88,'Вводные'!$H$9))),$B$14,0)</x:f>
        <x:v>0</x:v>
      </x:c>
      <x:c r="X14" s="117" t="n">
        <x:f>IF(AND(YEAR(X$3)=YEAR(EDATE('Вводные'!$D$88,'Вводные'!$H$9)),MONTH(X$3)=MONTH(EDATE('Вводные'!$D$88,'Вводные'!$H$9))),$B$14,0)</x:f>
        <x:v>0</x:v>
      </x:c>
      <x:c r="Y14" s="117" t="n">
        <x:f>IF(AND(YEAR(Y$3)=YEAR(EDATE('Вводные'!$D$88,'Вводные'!$H$9)),MONTH(Y$3)=MONTH(EDATE('Вводные'!$D$88,'Вводные'!$H$9))),$B$14,0)</x:f>
        <x:v>0</x:v>
      </x:c>
      <x:c r="Z14" s="117" t="n">
        <x:f>IF(AND(YEAR(Z$3)=YEAR(EDATE('Вводные'!$D$88,'Вводные'!$H$9)),MONTH(Z$3)=MONTH(EDATE('Вводные'!$D$88,'Вводные'!$H$9))),$B$14,0)</x:f>
        <x:v>0</x:v>
      </x:c>
      <x:c r="AA14" s="117" t="n">
        <x:f>IF(AND(YEAR(AA$3)=YEAR(EDATE('Вводные'!$D$88,'Вводные'!$H$9)),MONTH(AA$3)=MONTH(EDATE('Вводные'!$D$88,'Вводные'!$H$9))),$B$14,0)</x:f>
        <x:v>0</x:v>
      </x:c>
      <x:c r="AB14" s="117" t="n">
        <x:f>IF(AND(YEAR(AB$3)=YEAR(EDATE('Вводные'!$D$88,'Вводные'!$H$9)),MONTH(AB$3)=MONTH(EDATE('Вводные'!$D$88,'Вводные'!$H$9))),$B$14,0)</x:f>
        <x:v>0</x:v>
      </x:c>
      <x:c r="AC14" s="117" t="n">
        <x:f>IF(AND(YEAR(AC$3)=YEAR(EDATE('Вводные'!$D$88,'Вводные'!$H$9)),MONTH(AC$3)=MONTH(EDATE('Вводные'!$D$88,'Вводные'!$H$9))),$B$14,0)</x:f>
        <x:v>0</x:v>
      </x:c>
      <x:c r="AD14" s="117" t="n">
        <x:f>IF(AND(YEAR(AD$3)=YEAR(EDATE('Вводные'!$D$88,'Вводные'!$H$9)),MONTH(AD$3)=MONTH(EDATE('Вводные'!$D$88,'Вводные'!$H$9))),$B$14,0)</x:f>
        <x:v>0</x:v>
      </x:c>
      <x:c r="AE14" s="117" t="n">
        <x:f>IF(AND(YEAR(AE$3)=YEAR(EDATE('Вводные'!$D$88,'Вводные'!$H$9)),MONTH(AE$3)=MONTH(EDATE('Вводные'!$D$88,'Вводные'!$H$9))),$B$14,0)</x:f>
        <x:v>0</x:v>
      </x:c>
      <x:c r="AF14" s="117" t="n">
        <x:f>IF(AND(YEAR(AF$3)=YEAR(EDATE('Вводные'!$D$88,'Вводные'!$H$9)),MONTH(AF$3)=MONTH(EDATE('Вводные'!$D$88,'Вводные'!$H$9))),$B$14,0)</x:f>
        <x:v>0</x:v>
      </x:c>
      <x:c r="AG14" s="117" t="n">
        <x:f>IF(AND(YEAR(AG$3)=YEAR(EDATE('Вводные'!$D$88,'Вводные'!$H$9)),MONTH(AG$3)=MONTH(EDATE('Вводные'!$D$88,'Вводные'!$H$9))),$B$14,0)</x:f>
        <x:v>0</x:v>
      </x:c>
      <x:c r="AH14" s="117" t="n">
        <x:f>IF(AND(YEAR(AH$3)=YEAR(EDATE('Вводные'!$D$88,'Вводные'!$H$9)),MONTH(AH$3)=MONTH(EDATE('Вводные'!$D$88,'Вводные'!$H$9))),$B$14,0)</x:f>
        <x:v>0</x:v>
      </x:c>
      <x:c r="AI14" s="117" t="n">
        <x:f>IF(AND(YEAR(AI$3)=YEAR(EDATE('Вводные'!$D$88,'Вводные'!$H$9)),MONTH(AI$3)=MONTH(EDATE('Вводные'!$D$88,'Вводные'!$H$9))),$B$14,0)</x:f>
        <x:v>0</x:v>
      </x:c>
      <x:c r="AJ14" s="117" t="n">
        <x:f>IF(AND(YEAR(AJ$3)=YEAR(EDATE('Вводные'!$D$88,'Вводные'!$H$9)),MONTH(AJ$3)=MONTH(EDATE('Вводные'!$D$88,'Вводные'!$H$9))),$B$14,0)</x:f>
        <x:v>0</x:v>
      </x:c>
      <x:c r="AK14" s="117" t="n">
        <x:f>IF(AND(YEAR(AK$3)=YEAR(EDATE('Вводные'!$D$88,'Вводные'!$H$9)),MONTH(AK$3)=MONTH(EDATE('Вводные'!$D$88,'Вводные'!$H$9))),$B$14,0)</x:f>
        <x:v>0</x:v>
      </x:c>
      <x:c r="AL14" s="117" t="n">
        <x:f>IF(AND(YEAR(AL$3)=YEAR(EDATE('Вводные'!$D$88,'Вводные'!$H$9)),MONTH(AL$3)=MONTH(EDATE('Вводные'!$D$88,'Вводные'!$H$9))),$B$14,0)</x:f>
        <x:v>0</x:v>
      </x:c>
      <x:c r="AM14" s="117" t="n">
        <x:f>IF(AND(YEAR(AM$3)=YEAR(EDATE('Вводные'!$D$88,'Вводные'!$H$9)),MONTH(AM$3)=MONTH(EDATE('Вводные'!$D$88,'Вводные'!$H$9))),$B$14,0)</x:f>
        <x:v>0</x:v>
      </x:c>
      <x:c r="AN14" s="117" t="n">
        <x:f>IF(AND(YEAR(AN$3)=YEAR(EDATE('Вводные'!$D$88,'Вводные'!$H$9)),MONTH(AN$3)=MONTH(EDATE('Вводные'!$D$88,'Вводные'!$H$9))),$B$14,0)</x:f>
        <x:v>0</x:v>
      </x:c>
      <x:c r="AO14" s="117" t="n">
        <x:f>IF(AND(YEAR(AO$3)=YEAR(EDATE('Вводные'!$D$88,'Вводные'!$H$9)),MONTH(AO$3)=MONTH(EDATE('Вводные'!$D$88,'Вводные'!$H$9))),$B$14,0)</x:f>
        <x:v>0</x:v>
      </x:c>
      <x:c r="AP14" s="117" t="n">
        <x:f>IF(AND(YEAR(AP$3)=YEAR(EDATE('Вводные'!$D$88,'Вводные'!$H$9)),MONTH(AP$3)=MONTH(EDATE('Вводные'!$D$88,'Вводные'!$H$9))),$B$14,0)</x:f>
        <x:v>0</x:v>
      </x:c>
      <x:c r="AQ14" s="117" t="n">
        <x:f>IF(AND(YEAR(AQ$3)=YEAR(EDATE('Вводные'!$D$88,'Вводные'!$H$9)),MONTH(AQ$3)=MONTH(EDATE('Вводные'!$D$88,'Вводные'!$H$9))),$B$14,0)</x:f>
        <x:v>0</x:v>
      </x:c>
      <x:c r="AR14" s="117" t="n">
        <x:f>IF(AND(YEAR(AR$3)=YEAR(EDATE('Вводные'!$D$88,'Вводные'!$H$9)),MONTH(AR$3)=MONTH(EDATE('Вводные'!$D$88,'Вводные'!$H$9))),$B$14,0)</x:f>
        <x:v>0</x:v>
      </x:c>
      <x:c r="AS14" s="117" t="n">
        <x:f>IF(AND(YEAR(AS$3)=YEAR(EDATE('Вводные'!$D$88,'Вводные'!$H$9)),MONTH(AS$3)=MONTH(EDATE('Вводные'!$D$88,'Вводные'!$H$9))),$B$14,0)</x:f>
        <x:v>0</x:v>
      </x:c>
      <x:c r="AT14" s="117" t="n">
        <x:f>IF(AND(YEAR(AT$3)=YEAR(EDATE('Вводные'!$D$88,'Вводные'!$H$9)),MONTH(AT$3)=MONTH(EDATE('Вводные'!$D$88,'Вводные'!$H$9))),$B$14,0)</x:f>
        <x:v>0</x:v>
      </x:c>
      <x:c r="AU14" s="117" t="n">
        <x:f>IF(AND(YEAR(AU$3)=YEAR(EDATE('Вводные'!$D$88,'Вводные'!$H$9)),MONTH(AU$3)=MONTH(EDATE('Вводные'!$D$88,'Вводные'!$H$9))),$B$14,0)</x:f>
        <x:v>0</x:v>
      </x:c>
      <x:c r="AV14" s="117" t="n">
        <x:f>IF(AND(YEAR(AV$3)=YEAR(EDATE('Вводные'!$D$88,'Вводные'!$H$9)),MONTH(AV$3)=MONTH(EDATE('Вводные'!$D$88,'Вводные'!$H$9))),$B$14,0)</x:f>
        <x:v>0</x:v>
      </x:c>
      <x:c r="AW14" s="117" t="n">
        <x:f>IF(AND(YEAR(AW$3)=YEAR(EDATE('Вводные'!$D$88,'Вводные'!$H$9)),MONTH(AW$3)=MONTH(EDATE('Вводные'!$D$88,'Вводные'!$H$9))),$B$14,0)</x:f>
        <x:v>0</x:v>
      </x:c>
      <x:c r="AX14" s="117" t="n">
        <x:f>IF(AND(YEAR(AX$3)=YEAR(EDATE('Вводные'!$D$88,'Вводные'!$H$9)),MONTH(AX$3)=MONTH(EDATE('Вводные'!$D$88,'Вводные'!$H$9))),$B$14,0)</x:f>
        <x:v>0</x:v>
      </x:c>
      <x:c r="AY14" s="117" t="n">
        <x:f>IF(AND(YEAR(AY$3)=YEAR(EDATE('Вводные'!$D$88,'Вводные'!$H$9)),MONTH(AY$3)=MONTH(EDATE('Вводные'!$D$88,'Вводные'!$H$9))),$B$14,0)</x:f>
        <x:v>0</x:v>
      </x:c>
      <x:c r="AZ14" s="117" t="n">
        <x:f>IF(AND(YEAR(AZ$3)=YEAR(EDATE('Вводные'!$D$88,'Вводные'!$H$9)),MONTH(AZ$3)=MONTH(EDATE('Вводные'!$D$88,'Вводные'!$H$9))),$B$14,0)</x:f>
        <x:v>0</x:v>
      </x:c>
      <x:c r="BA14" s="117" t="n">
        <x:f>IF(AND(YEAR(BA$3)=YEAR(EDATE('Вводные'!$D$88,'Вводные'!$H$9)),MONTH(BA$3)=MONTH(EDATE('Вводные'!$D$88,'Вводные'!$H$9))),$B$14,0)</x:f>
        <x:v>0</x:v>
      </x:c>
      <x:c r="BB14" s="117" t="n">
        <x:f>IF(AND(YEAR(BB$3)=YEAR(EDATE('Вводные'!$D$88,'Вводные'!$H$9)),MONTH(BB$3)=MONTH(EDATE('Вводные'!$D$88,'Вводные'!$H$9))),$B$14,0)</x:f>
        <x:v>0</x:v>
      </x:c>
      <x:c r="BC14" s="117" t="n">
        <x:f>IF(AND(YEAR(BC$3)=YEAR(EDATE('Вводные'!$D$88,'Вводные'!$H$9)),MONTH(BC$3)=MONTH(EDATE('Вводные'!$D$88,'Вводные'!$H$9))),$B$14,0)</x:f>
        <x:v>0</x:v>
      </x:c>
      <x:c r="BD14" s="117" t="n">
        <x:f>IF(AND(YEAR(BD$3)=YEAR(EDATE('Вводные'!$D$88,'Вводные'!$H$9)),MONTH(BD$3)=MONTH(EDATE('Вводные'!$D$88,'Вводные'!$H$9))),$B$14,0)</x:f>
        <x:v>0</x:v>
      </x:c>
      <x:c r="BE14" s="117" t="n">
        <x:f>IF(AND(YEAR(BE$3)=YEAR(EDATE('Вводные'!$D$88,'Вводные'!$H$9)),MONTH(BE$3)=MONTH(EDATE('Вводные'!$D$88,'Вводные'!$H$9))),$B$14,0)</x:f>
        <x:v>0</x:v>
      </x:c>
      <x:c r="BF14" s="117" t="n">
        <x:f>IF(AND(YEAR(BF$3)=YEAR(EDATE('Вводные'!$D$88,'Вводные'!$H$9)),MONTH(BF$3)=MONTH(EDATE('Вводные'!$D$88,'Вводные'!$H$9))),$B$14,0)</x:f>
        <x:v>0</x:v>
      </x:c>
      <x:c r="BG14" s="117" t="n">
        <x:f>IF(AND(YEAR(BG$3)=YEAR(EDATE('Вводные'!$D$88,'Вводные'!$H$9)),MONTH(BG$3)=MONTH(EDATE('Вводные'!$D$88,'Вводные'!$H$9))),$B$14,0)</x:f>
        <x:v>0</x:v>
      </x:c>
      <x:c r="BH14" s="117" t="n">
        <x:f>IF(AND(YEAR(BH$3)=YEAR(EDATE('Вводные'!$D$88,'Вводные'!$H$9)),MONTH(BH$3)=MONTH(EDATE('Вводные'!$D$88,'Вводные'!$H$9))),$B$14,0)</x:f>
        <x:v>0</x:v>
      </x:c>
      <x:c r="BI14" s="117" t="n">
        <x:f>IF(AND(YEAR(BI$3)=YEAR(EDATE('Вводные'!$D$88,'Вводные'!$H$9)),MONTH(BI$3)=MONTH(EDATE('Вводные'!$D$88,'Вводные'!$H$9))),$B$14,0)</x:f>
        <x:v>0</x:v>
      </x:c>
      <x:c r="BJ14" s="117" t="n">
        <x:f>IF(AND(YEAR(BJ$3)=YEAR(EDATE('Вводные'!$D$88,'Вводные'!$H$9)),MONTH(BJ$3)=MONTH(EDATE('Вводные'!$D$88,'Вводные'!$H$9))),$B$14,0)</x:f>
        <x:v>0</x:v>
      </x:c>
      <x:c r="BK14" s="117" t="n">
        <x:f>IF(AND(YEAR(BK$3)=YEAR(EDATE('Вводные'!$D$88,'Вводные'!$H$9)),MONTH(BK$3)=MONTH(EDATE('Вводные'!$D$88,'Вводные'!$H$9))),$B$14,0)</x:f>
        <x:v>0</x:v>
      </x:c>
      <x:c r="BL14" s="117" t="n">
        <x:f>IF(AND(YEAR(BL$3)=YEAR(EDATE('Вводные'!$D$88,'Вводные'!$H$9)),MONTH(BL$3)=MONTH(EDATE('Вводные'!$D$88,'Вводные'!$H$9))),$B$14,0)</x:f>
        <x:v>0</x:v>
      </x:c>
      <x:c r="BM14" s="117" t="n">
        <x:f>IF(AND(YEAR(BM$3)=YEAR(EDATE('Вводные'!$D$88,'Вводные'!$H$9)),MONTH(BM$3)=MONTH(EDATE('Вводные'!$D$88,'Вводные'!$H$9))),$B$14,0)</x:f>
        <x:v>0</x:v>
      </x:c>
      <x:c r="BN14" s="117" t="n">
        <x:f>IF(AND(YEAR(BN$3)=YEAR(EDATE('Вводные'!$D$88,'Вводные'!$H$9)),MONTH(BN$3)=MONTH(EDATE('Вводные'!$D$88,'Вводные'!$H$9))),$B$14,0)</x:f>
        <x:v>0</x:v>
      </x:c>
      <x:c r="BO14" s="117" t="n">
        <x:f>IF(AND(YEAR(BO$3)=YEAR(EDATE('Вводные'!$D$88,'Вводные'!$H$9)),MONTH(BO$3)=MONTH(EDATE('Вводные'!$D$88,'Вводные'!$H$9))),$B$14,0)</x:f>
        <x:v>0</x:v>
      </x:c>
      <x:c r="BP14" s="117" t="n">
        <x:f>IF(AND(YEAR(BP$3)=YEAR(EDATE('Вводные'!$D$88,'Вводные'!$H$9)),MONTH(BP$3)=MONTH(EDATE('Вводные'!$D$88,'Вводные'!$H$9))),$B$14,0)</x:f>
        <x:v>0</x:v>
      </x:c>
      <x:c r="BQ14" s="117" t="n">
        <x:f>IF(AND(YEAR(BQ$3)=YEAR(EDATE('Вводные'!$D$88,'Вводные'!$H$9)),MONTH(BQ$3)=MONTH(EDATE('Вводные'!$D$88,'Вводные'!$H$9))),$B$14,0)</x:f>
        <x:v>0</x:v>
      </x:c>
      <x:c r="BR14" s="117" t="n">
        <x:f>IF(AND(YEAR(BR$3)=YEAR(EDATE('Вводные'!$D$88,'Вводные'!$H$9)),MONTH(BR$3)=MONTH(EDATE('Вводные'!$D$88,'Вводные'!$H$9))),$B$14,0)</x:f>
        <x:v>0</x:v>
      </x:c>
      <x:c r="BS14" s="117" t="n">
        <x:f>IF(AND(YEAR(BS$3)=YEAR(EDATE('Вводные'!$D$88,'Вводные'!$H$9)),MONTH(BS$3)=MONTH(EDATE('Вводные'!$D$88,'Вводные'!$H$9))),$B$14,0)</x:f>
        <x:v>0</x:v>
      </x:c>
      <x:c r="BT14" s="117" t="n">
        <x:f>IF(AND(YEAR(BT$3)=YEAR(EDATE('Вводные'!$D$88,'Вводные'!$H$9)),MONTH(BT$3)=MONTH(EDATE('Вводные'!$D$88,'Вводные'!$H$9))),$B$14,0)</x:f>
        <x:v>0</x:v>
      </x:c>
      <x:c r="BU14" s="117" t="n">
        <x:f>IF(AND(YEAR(BU$3)=YEAR(EDATE('Вводные'!$D$88,'Вводные'!$H$9)),MONTH(BU$3)=MONTH(EDATE('Вводные'!$D$88,'Вводные'!$H$9))),$B$14,0)</x:f>
        <x:v>0</x:v>
      </x:c>
      <x:c r="BV14" s="117" t="n">
        <x:f>IF(AND(YEAR(BV$3)=YEAR(EDATE('Вводные'!$D$88,'Вводные'!$H$9)),MONTH(BV$3)=MONTH(EDATE('Вводные'!$D$88,'Вводные'!$H$9))),$B$14,0)</x:f>
        <x:v>0</x:v>
      </x:c>
      <x:c r="BW14" s="117" t="n">
        <x:f>IF(AND(YEAR(BW$3)=YEAR(EDATE('Вводные'!$D$88,'Вводные'!$H$9)),MONTH(BW$3)=MONTH(EDATE('Вводные'!$D$88,'Вводные'!$H$9))),$B$14,0)</x:f>
        <x:v>0</x:v>
      </x:c>
      <x:c r="BX14" s="117" t="n">
        <x:f>IF(AND(YEAR(BX$3)=YEAR(EDATE('Вводные'!$D$88,'Вводные'!$H$9)),MONTH(BX$3)=MONTH(EDATE('Вводные'!$D$88,'Вводные'!$H$9))),$B$14,0)</x:f>
        <x:v>0</x:v>
      </x:c>
      <x:c r="BY14" s="117" t="n">
        <x:f>IF(AND(YEAR(BY$3)=YEAR(EDATE('Вводные'!$D$88,'Вводные'!$H$9)),MONTH(BY$3)=MONTH(EDATE('Вводные'!$D$88,'Вводные'!$H$9))),$B$14,0)</x:f>
        <x:v>0</x:v>
      </x:c>
      <x:c r="BZ14" s="117" t="n">
        <x:f>IF(AND(YEAR(BZ$3)=YEAR(EDATE('Вводные'!$D$88,'Вводные'!$H$9)),MONTH(BZ$3)=MONTH(EDATE('Вводные'!$D$88,'Вводные'!$H$9))),$B$14,0)</x:f>
        <x:v>0</x:v>
      </x:c>
      <x:c r="CA14" s="117" t="n">
        <x:f>IF(AND(YEAR(CA$3)=YEAR(EDATE('Вводные'!$D$88,'Вводные'!$H$9)),MONTH(CA$3)=MONTH(EDATE('Вводные'!$D$88,'Вводные'!$H$9))),$B$14,0)</x:f>
        <x:v>0</x:v>
      </x:c>
      <x:c r="CB14" s="117" t="n">
        <x:f>IF(AND(YEAR(CB$3)=YEAR(EDATE('Вводные'!$D$88,'Вводные'!$H$9)),MONTH(CB$3)=MONTH(EDATE('Вводные'!$D$88,'Вводные'!$H$9))),$B$14,0)</x:f>
        <x:v>0</x:v>
      </x:c>
      <x:c r="CC14" s="117" t="n">
        <x:f>IF(AND(YEAR(CC$3)=YEAR(EDATE('Вводные'!$D$88,'Вводные'!$H$9)),MONTH(CC$3)=MONTH(EDATE('Вводные'!$D$88,'Вводные'!$H$9))),$B$14,0)</x:f>
        <x:v>0</x:v>
      </x:c>
      <x:c r="CD14" s="117" t="n">
        <x:f>IF(AND(YEAR(CD$3)=YEAR(EDATE('Вводные'!$D$88,'Вводные'!$H$9)),MONTH(CD$3)=MONTH(EDATE('Вводные'!$D$88,'Вводные'!$H$9))),$B$14,0)</x:f>
        <x:v>0</x:v>
      </x:c>
      <x:c r="CE14" s="117" t="n">
        <x:f>IF(AND(YEAR(CE$3)=YEAR(EDATE('Вводные'!$D$88,'Вводные'!$H$9)),MONTH(CE$3)=MONTH(EDATE('Вводные'!$D$88,'Вводные'!$H$9))),$B$14,0)</x:f>
        <x:v>0</x:v>
      </x:c>
      <x:c r="CF14" s="117" t="n">
        <x:f>IF(AND(YEAR(CF$3)=YEAR(EDATE('Вводные'!$D$88,'Вводные'!$H$9)),MONTH(CF$3)=MONTH(EDATE('Вводные'!$D$88,'Вводные'!$H$9))),$B$14,0)</x:f>
        <x:v>0</x:v>
      </x:c>
      <x:c r="CG14" s="117" t="n">
        <x:f>IF(AND(YEAR(CG$3)=YEAR(EDATE('Вводные'!$D$88,'Вводные'!$H$9)),MONTH(CG$3)=MONTH(EDATE('Вводные'!$D$88,'Вводные'!$H$9))),$B$14,0)</x:f>
        <x:v>0</x:v>
      </x:c>
      <x:c r="CH14" s="117" t="n">
        <x:f>IF(AND(YEAR(CH$3)=YEAR(EDATE('Вводные'!$D$88,'Вводные'!$H$9)),MONTH(CH$3)=MONTH(EDATE('Вводные'!$D$88,'Вводные'!$H$9))),$B$14,0)</x:f>
        <x:v>0</x:v>
      </x:c>
      <x:c r="CI14" s="117" t="n">
        <x:f>IF(AND(YEAR(CI$3)=YEAR(EDATE('Вводные'!$D$88,'Вводные'!$H$9)),MONTH(CI$3)=MONTH(EDATE('Вводные'!$D$88,'Вводные'!$H$9))),$B$14,0)</x:f>
        <x:v>0</x:v>
      </x:c>
      <x:c r="CJ14" s="117" t="n">
        <x:f>IF(AND(YEAR(CJ$3)=YEAR(EDATE('Вводные'!$D$88,'Вводные'!$H$9)),MONTH(CJ$3)=MONTH(EDATE('Вводные'!$D$88,'Вводные'!$H$9))),$B$14,0)</x:f>
        <x:v>0</x:v>
      </x:c>
      <x:c r="CK14" s="117" t="n">
        <x:f>IF(AND(YEAR(CK$3)=YEAR(EDATE('Вводные'!$D$88,'Вводные'!$H$9)),MONTH(CK$3)=MONTH(EDATE('Вводные'!$D$88,'Вводные'!$H$9))),$B$14,0)</x:f>
        <x:v>0</x:v>
      </x:c>
      <x:c r="CL14" s="117" t="n">
        <x:f>IF(AND(YEAR(CL$3)=YEAR(EDATE('Вводные'!$D$88,'Вводные'!$H$9)),MONTH(CL$3)=MONTH(EDATE('Вводные'!$D$88,'Вводные'!$H$9))),$B$14,0)</x:f>
        <x:v>0</x:v>
      </x:c>
      <x:c r="CM14" s="117" t="n">
        <x:f>IF(AND(YEAR(CM$3)=YEAR(EDATE('Вводные'!$D$88,'Вводные'!$H$9)),MONTH(CM$3)=MONTH(EDATE('Вводные'!$D$88,'Вводные'!$H$9))),$B$14,0)</x:f>
        <x:v>0</x:v>
      </x:c>
      <x:c r="CN14" s="117" t="n">
        <x:f>IF(AND(YEAR(CN$3)=YEAR(EDATE('Вводные'!$D$88,'Вводные'!$H$9)),MONTH(CN$3)=MONTH(EDATE('Вводные'!$D$88,'Вводные'!$H$9))),$B$14,0)</x:f>
        <x:v>0</x:v>
      </x:c>
      <x:c r="CO14" s="117" t="n">
        <x:f>IF(AND(YEAR(CO$3)=YEAR(EDATE('Вводные'!$D$88,'Вводные'!$H$9)),MONTH(CO$3)=MONTH(EDATE('Вводные'!$D$88,'Вводные'!$H$9))),$B$14,0)</x:f>
        <x:v>0</x:v>
      </x:c>
      <x:c r="CP14" s="117" t="n">
        <x:f>IF(AND(YEAR(CP$3)=YEAR(EDATE('Вводные'!$D$88,'Вводные'!$H$9)),MONTH(CP$3)=MONTH(EDATE('Вводные'!$D$88,'Вводные'!$H$9))),$B$14,0)</x:f>
        <x:v>0</x:v>
      </x:c>
      <x:c r="CQ14" s="117" t="n">
        <x:f>IF(AND(YEAR(CQ$3)=YEAR(EDATE('Вводные'!$D$88,'Вводные'!$H$9)),MONTH(CQ$3)=MONTH(EDATE('Вводные'!$D$88,'Вводные'!$H$9))),$B$14,0)</x:f>
        <x:v>0</x:v>
      </x:c>
      <x:c r="CR14" s="117" t="n">
        <x:f>IF(AND(YEAR(CR$3)=YEAR(EDATE('Вводные'!$D$88,'Вводные'!$H$9)),MONTH(CR$3)=MONTH(EDATE('Вводные'!$D$88,'Вводные'!$H$9))),$B$14,0)</x:f>
        <x:v>0</x:v>
      </x:c>
      <x:c r="CS14" s="117" t="n">
        <x:f>IF(AND(YEAR(CS$3)=YEAR(EDATE('Вводные'!$D$88,'Вводные'!$H$9)),MONTH(CS$3)=MONTH(EDATE('Вводные'!$D$88,'Вводные'!$H$9))),$B$14,0)</x:f>
        <x:v>0</x:v>
      </x:c>
      <x:c r="CT14" s="117" t="n">
        <x:f>IF(AND(YEAR(CT$3)=YEAR(EDATE('Вводные'!$D$88,'Вводные'!$H$9)),MONTH(CT$3)=MONTH(EDATE('Вводные'!$D$88,'Вводные'!$H$9))),$B$14,0)</x:f>
        <x:v>0</x:v>
      </x:c>
      <x:c r="CU14" s="117" t="n">
        <x:f>IF(AND(YEAR(CU$3)=YEAR(EDATE('Вводные'!$D$88,'Вводные'!$H$9)),MONTH(CU$3)=MONTH(EDATE('Вводные'!$D$88,'Вводные'!$H$9))),$B$14,0)</x:f>
        <x:v>0</x:v>
      </x:c>
      <x:c r="CV14" s="117" t="n">
        <x:f>IF(AND(YEAR(CV$3)=YEAR(EDATE('Вводные'!$D$88,'Вводные'!$H$9)),MONTH(CV$3)=MONTH(EDATE('Вводные'!$D$88,'Вводные'!$H$9))),$B$14,0)</x:f>
        <x:v>0</x:v>
      </x:c>
      <x:c r="CW14" s="117" t="n">
        <x:f>IF(AND(YEAR(CW$3)=YEAR(EDATE('Вводные'!$D$88,'Вводные'!$H$9)),MONTH(CW$3)=MONTH(EDATE('Вводные'!$D$88,'Вводные'!$H$9))),$B$14,0)</x:f>
        <x:v>0</x:v>
      </x:c>
      <x:c r="CX14" s="117" t="n">
        <x:f>IF(AND(YEAR(CX$3)=YEAR(EDATE('Вводные'!$D$88,'Вводные'!$H$9)),MONTH(CX$3)=MONTH(EDATE('Вводные'!$D$88,'Вводные'!$H$9))),$B$14,0)</x:f>
        <x:v>0</x:v>
      </x:c>
      <x:c r="CY14" s="117" t="n">
        <x:f>IF(AND(YEAR(CY$3)=YEAR(EDATE('Вводные'!$D$88,'Вводные'!$H$9)),MONTH(CY$3)=MONTH(EDATE('Вводные'!$D$88,'Вводные'!$H$9))),$B$14,0)</x:f>
        <x:v>0</x:v>
      </x:c>
      <x:c r="CZ14" s="117" t="n">
        <x:f>IF(AND(YEAR(CZ$3)=YEAR(EDATE('Вводные'!$D$88,'Вводные'!$H$9)),MONTH(CZ$3)=MONTH(EDATE('Вводные'!$D$88,'Вводные'!$H$9))),$B$14,0)</x:f>
        <x:v>0</x:v>
      </x:c>
      <x:c r="DA14" s="117" t="n">
        <x:f>IF(AND(YEAR(DA$3)=YEAR(EDATE('Вводные'!$D$88,'Вводные'!$H$9)),MONTH(DA$3)=MONTH(EDATE('Вводные'!$D$88,'Вводные'!$H$9))),$B$14,0)</x:f>
        <x:v>0</x:v>
      </x:c>
      <x:c r="DB14" s="117" t="n">
        <x:f>IF(AND(YEAR(DB$3)=YEAR(EDATE('Вводные'!$D$88,'Вводные'!$H$9)),MONTH(DB$3)=MONTH(EDATE('Вводные'!$D$88,'Вводные'!$H$9))),$B$14,0)</x:f>
        <x:v>0</x:v>
      </x:c>
      <x:c r="DC14" s="117" t="n">
        <x:f>IF(AND(YEAR(DC$3)=YEAR(EDATE('Вводные'!$D$88,'Вводные'!$H$9)),MONTH(DC$3)=MONTH(EDATE('Вводные'!$D$88,'Вводные'!$H$9))),$B$14,0)</x:f>
        <x:v>0</x:v>
      </x:c>
      <x:c r="DD14" s="117" t="n">
        <x:f>IF(AND(YEAR(DD$3)=YEAR(EDATE('Вводные'!$D$88,'Вводные'!$H$9)),MONTH(DD$3)=MONTH(EDATE('Вводные'!$D$88,'Вводные'!$H$9))),$B$14,0)</x:f>
        <x:v>0</x:v>
      </x:c>
      <x:c r="DE14" s="117" t="n">
        <x:f>IF(AND(YEAR(DE$3)=YEAR(EDATE('Вводные'!$D$88,'Вводные'!$H$9)),MONTH(DE$3)=MONTH(EDATE('Вводные'!$D$88,'Вводные'!$H$9))),$B$14,0)</x:f>
        <x:v>0</x:v>
      </x:c>
      <x:c r="DF14" s="117" t="n">
        <x:f>IF(AND(YEAR(DF$3)=YEAR(EDATE('Вводные'!$D$88,'Вводные'!$H$9)),MONTH(DF$3)=MONTH(EDATE('Вводные'!$D$88,'Вводные'!$H$9))),$B$14,0)</x:f>
        <x:v>0</x:v>
      </x:c>
      <x:c r="DG14" s="117" t="n">
        <x:f>IF(AND(YEAR(DG$3)=YEAR(EDATE('Вводные'!$D$88,'Вводные'!$H$9)),MONTH(DG$3)=MONTH(EDATE('Вводные'!$D$88,'Вводные'!$H$9))),$B$14,0)</x:f>
        <x:v>0</x:v>
      </x:c>
      <x:c r="DH14" s="117" t="n">
        <x:f>IF(AND(YEAR(DH$3)=YEAR(EDATE('Вводные'!$D$88,'Вводные'!$H$9)),MONTH(DH$3)=MONTH(EDATE('Вводные'!$D$88,'Вводные'!$H$9))),$B$14,0)</x:f>
        <x:v>0</x:v>
      </x:c>
      <x:c r="DI14" s="117" t="n">
        <x:f>IF(AND(YEAR(DI$3)=YEAR(EDATE('Вводные'!$D$88,'Вводные'!$H$9)),MONTH(DI$3)=MONTH(EDATE('Вводные'!$D$88,'Вводные'!$H$9))),$B$14,0)</x:f>
        <x:v>0</x:v>
      </x:c>
      <x:c r="DJ14" s="117" t="n">
        <x:f>IF(AND(YEAR(DJ$3)=YEAR(EDATE('Вводные'!$D$88,'Вводные'!$H$9)),MONTH(DJ$3)=MONTH(EDATE('Вводные'!$D$88,'Вводные'!$H$9))),$B$14,0)</x:f>
        <x:v>0</x:v>
      </x:c>
      <x:c r="DK14" s="117" t="n">
        <x:f>IF(AND(YEAR(DK$3)=YEAR(EDATE('Вводные'!$D$88,'Вводные'!$H$9)),MONTH(DK$3)=MONTH(EDATE('Вводные'!$D$88,'Вводные'!$H$9))),$B$14,0)</x:f>
        <x:v>0</x:v>
      </x:c>
      <x:c r="DL14" s="117" t="n">
        <x:f>IF(AND(YEAR(DL$3)=YEAR(EDATE('Вводные'!$D$88,'Вводные'!$H$9)),MONTH(DL$3)=MONTH(EDATE('Вводные'!$D$88,'Вводные'!$H$9))),$B$14,0)</x:f>
        <x:v>0</x:v>
      </x:c>
      <x:c r="DM14" s="117" t="n">
        <x:f>IF(AND(YEAR(DM$3)=YEAR(EDATE('Вводные'!$D$88,'Вводные'!$H$9)),MONTH(DM$3)=MONTH(EDATE('Вводные'!$D$88,'Вводные'!$H$9))),$B$14,0)</x:f>
        <x:v>0</x:v>
      </x:c>
      <x:c r="DN14" s="117" t="n">
        <x:f>IF(AND(YEAR(DN$3)=YEAR(EDATE('Вводные'!$D$88,'Вводные'!$H$9)),MONTH(DN$3)=MONTH(EDATE('Вводные'!$D$88,'Вводные'!$H$9))),$B$14,0)</x:f>
        <x:v>0</x:v>
      </x:c>
      <x:c r="DO14" s="117" t="n">
        <x:f>IF(AND(YEAR(DO$3)=YEAR(EDATE('Вводные'!$D$88,'Вводные'!$H$9)),MONTH(DO$3)=MONTH(EDATE('Вводные'!$D$88,'Вводные'!$H$9))),$B$14,0)</x:f>
        <x:v>0</x:v>
      </x:c>
      <x:c r="DP14" s="117" t="n">
        <x:f>IF(AND(YEAR(DP$3)=YEAR(EDATE('Вводные'!$D$88,'Вводные'!$H$9)),MONTH(DP$3)=MONTH(EDATE('Вводные'!$D$88,'Вводные'!$H$9))),$B$14,0)</x:f>
        <x:v>0</x:v>
      </x:c>
      <x:c r="DQ14" s="117" t="n">
        <x:f>IF(AND(YEAR(DQ$3)=YEAR(EDATE('Вводные'!$D$88,'Вводные'!$H$9)),MONTH(DQ$3)=MONTH(EDATE('Вводные'!$D$88,'Вводные'!$H$9))),$B$14,0)</x:f>
        <x:v>0</x:v>
      </x:c>
      <x:c r="DR14" s="117" t="n">
        <x:f>IF(AND(YEAR(DR$3)=YEAR(EDATE('Вводные'!$D$88,'Вводные'!$H$9)),MONTH(DR$3)=MONTH(EDATE('Вводные'!$D$88,'Вводные'!$H$9))),$B$14,0)</x:f>
        <x:v>0</x:v>
      </x:c>
      <x:c r="DS14" s="117" t="n">
        <x:f>IF(AND(YEAR(DS$3)=YEAR(EDATE('Вводные'!$D$88,'Вводные'!$H$9)),MONTH(DS$3)=MONTH(EDATE('Вводные'!$D$88,'Вводные'!$H$9))),$B$14,0)</x:f>
        <x:v>0</x:v>
      </x:c>
    </x:row>
    <x:row r="15">
      <x:c r="A15" t="str">
        <x:v>Плата за ВРИ</x:v>
      </x:c>
      <x:c r="B15" s="107" t="n">
        <x:f>SUM('ВРИ'!D15:DS15)</x:f>
        <x:v>1267.539</x:v>
      </x:c>
      <x:c r="C15" t="str">
        <x:v>млн ₽</x:v>
      </x:c>
      <x:c r="D15" s="117" t="n">
        <x:f>'ВРИ'!D15</x:f>
        <x:v>0</x:v>
      </x:c>
      <x:c r="E15" s="117" t="n">
        <x:f>'ВРИ'!E15</x:f>
        <x:v>0</x:v>
      </x:c>
      <x:c r="F15" s="117" t="n">
        <x:f>'ВРИ'!F15</x:f>
        <x:v>0</x:v>
      </x:c>
      <x:c r="G15" s="117" t="n">
        <x:f>'ВРИ'!G15</x:f>
        <x:v>0</x:v>
      </x:c>
      <x:c r="H15" s="117" t="n">
        <x:f>'ВРИ'!H15</x:f>
        <x:v>0</x:v>
      </x:c>
      <x:c r="I15" s="117" t="n">
        <x:f>'ВРИ'!I15</x:f>
        <x:v>0</x:v>
      </x:c>
      <x:c r="J15" s="117" t="n">
        <x:f>'ВРИ'!J15</x:f>
        <x:v>0</x:v>
      </x:c>
      <x:c r="K15" s="117" t="n">
        <x:f>'ВРИ'!K15</x:f>
        <x:v>0</x:v>
      </x:c>
      <x:c r="L15" s="117" t="n">
        <x:f>'ВРИ'!L15</x:f>
        <x:v>0</x:v>
      </x:c>
      <x:c r="M15" s="117" t="n">
        <x:f>'ВРИ'!M15</x:f>
        <x:v>0</x:v>
      </x:c>
      <x:c r="N15" s="117" t="n">
        <x:f>'ВРИ'!N15</x:f>
        <x:v>0</x:v>
      </x:c>
      <x:c r="O15" s="117" t="n">
        <x:f>'ВРИ'!O15</x:f>
        <x:v>0</x:v>
      </x:c>
      <x:c r="P15" s="117" t="n">
        <x:f>'ВРИ'!P15</x:f>
        <x:v>0</x:v>
      </x:c>
      <x:c r="Q15" s="117" t="n">
        <x:f>'ВРИ'!Q15</x:f>
        <x:v>0</x:v>
      </x:c>
      <x:c r="R15" s="117" t="n">
        <x:f>'ВРИ'!R15</x:f>
        <x:v>0</x:v>
      </x:c>
      <x:c r="S15" s="117" t="n">
        <x:f>'ВРИ'!S15</x:f>
        <x:v>0</x:v>
      </x:c>
      <x:c r="T15" s="117" t="n">
        <x:f>'ВРИ'!T15</x:f>
        <x:v>0</x:v>
      </x:c>
      <x:c r="U15" s="117" t="n">
        <x:f>'ВРИ'!U15</x:f>
        <x:v>1267.539</x:v>
      </x:c>
      <x:c r="V15" s="117" t="n">
        <x:f>'ВРИ'!V15</x:f>
        <x:v>0</x:v>
      </x:c>
      <x:c r="W15" s="117" t="n">
        <x:f>'ВРИ'!W15</x:f>
        <x:v>0</x:v>
      </x:c>
      <x:c r="X15" s="117" t="n">
        <x:f>'ВРИ'!X15</x:f>
        <x:v>0</x:v>
      </x:c>
      <x:c r="Y15" s="117" t="n">
        <x:f>'ВРИ'!Y15</x:f>
        <x:v>0</x:v>
      </x:c>
      <x:c r="Z15" s="117" t="n">
        <x:f>'ВРИ'!Z15</x:f>
        <x:v>0</x:v>
      </x:c>
      <x:c r="AA15" s="117" t="n">
        <x:f>'ВРИ'!AA15</x:f>
        <x:v>0</x:v>
      </x:c>
      <x:c r="AB15" s="117" t="n">
        <x:f>'ВРИ'!AB15</x:f>
        <x:v>0</x:v>
      </x:c>
      <x:c r="AC15" s="117" t="n">
        <x:f>'ВРИ'!AC15</x:f>
        <x:v>0</x:v>
      </x:c>
      <x:c r="AD15" s="117" t="n">
        <x:f>'ВРИ'!AD15</x:f>
        <x:v>0</x:v>
      </x:c>
      <x:c r="AE15" s="117" t="n">
        <x:f>'ВРИ'!AE15</x:f>
        <x:v>0</x:v>
      </x:c>
      <x:c r="AF15" s="117" t="n">
        <x:f>'ВРИ'!AF15</x:f>
        <x:v>0</x:v>
      </x:c>
      <x:c r="AG15" s="117" t="n">
        <x:f>'ВРИ'!AG15</x:f>
        <x:v>0</x:v>
      </x:c>
      <x:c r="AH15" s="117" t="n">
        <x:f>'ВРИ'!AH15</x:f>
        <x:v>0</x:v>
      </x:c>
      <x:c r="AI15" s="117" t="n">
        <x:f>'ВРИ'!AI15</x:f>
        <x:v>0</x:v>
      </x:c>
      <x:c r="AJ15" s="117" t="n">
        <x:f>'ВРИ'!AJ15</x:f>
        <x:v>0</x:v>
      </x:c>
      <x:c r="AK15" s="117" t="n">
        <x:f>'ВРИ'!AK15</x:f>
        <x:v>0</x:v>
      </x:c>
      <x:c r="AL15" s="117" t="n">
        <x:f>'ВРИ'!AL15</x:f>
        <x:v>0</x:v>
      </x:c>
      <x:c r="AM15" s="117" t="n">
        <x:f>'ВРИ'!AM15</x:f>
        <x:v>0</x:v>
      </x:c>
      <x:c r="AN15" s="117" t="n">
        <x:f>'ВРИ'!AN15</x:f>
        <x:v>0</x:v>
      </x:c>
      <x:c r="AO15" s="117" t="n">
        <x:f>'ВРИ'!AO15</x:f>
        <x:v>0</x:v>
      </x:c>
      <x:c r="AP15" s="117" t="n">
        <x:f>'ВРИ'!AP15</x:f>
        <x:v>0</x:v>
      </x:c>
      <x:c r="AQ15" s="117" t="n">
        <x:f>'ВРИ'!AQ15</x:f>
        <x:v>0</x:v>
      </x:c>
      <x:c r="AR15" s="117" t="n">
        <x:f>'ВРИ'!AR15</x:f>
        <x:v>0</x:v>
      </x:c>
      <x:c r="AS15" s="117" t="n">
        <x:f>'ВРИ'!AS15</x:f>
        <x:v>0</x:v>
      </x:c>
      <x:c r="AT15" s="117" t="n">
        <x:f>'ВРИ'!AT15</x:f>
        <x:v>0</x:v>
      </x:c>
      <x:c r="AU15" s="117" t="n">
        <x:f>'ВРИ'!AU15</x:f>
        <x:v>0</x:v>
      </x:c>
      <x:c r="AV15" s="117" t="n">
        <x:f>'ВРИ'!AV15</x:f>
        <x:v>0</x:v>
      </x:c>
      <x:c r="AW15" s="117" t="n">
        <x:f>'ВРИ'!AW15</x:f>
        <x:v>0</x:v>
      </x:c>
      <x:c r="AX15" s="117" t="n">
        <x:f>'ВРИ'!AX15</x:f>
        <x:v>0</x:v>
      </x:c>
      <x:c r="AY15" s="117" t="n">
        <x:f>'ВРИ'!AY15</x:f>
        <x:v>0</x:v>
      </x:c>
      <x:c r="AZ15" s="117" t="n">
        <x:f>'ВРИ'!AZ15</x:f>
        <x:v>0</x:v>
      </x:c>
      <x:c r="BA15" s="117" t="n">
        <x:f>'ВРИ'!BA15</x:f>
        <x:v>0</x:v>
      </x:c>
      <x:c r="BB15" s="117" t="n">
        <x:f>'ВРИ'!BB15</x:f>
        <x:v>0</x:v>
      </x:c>
      <x:c r="BC15" s="117" t="n">
        <x:f>'ВРИ'!BC15</x:f>
        <x:v>0</x:v>
      </x:c>
      <x:c r="BD15" s="117" t="n">
        <x:f>'ВРИ'!BD15</x:f>
        <x:v>0</x:v>
      </x:c>
      <x:c r="BE15" s="117" t="n">
        <x:f>'ВРИ'!BE15</x:f>
        <x:v>0</x:v>
      </x:c>
      <x:c r="BF15" s="117" t="n">
        <x:f>'ВРИ'!BF15</x:f>
        <x:v>0</x:v>
      </x:c>
      <x:c r="BG15" s="117" t="n">
        <x:f>'ВРИ'!BG15</x:f>
        <x:v>0</x:v>
      </x:c>
      <x:c r="BH15" s="117" t="n">
        <x:f>'ВРИ'!BH15</x:f>
        <x:v>0</x:v>
      </x:c>
      <x:c r="BI15" s="117" t="n">
        <x:f>'ВРИ'!BI15</x:f>
        <x:v>0</x:v>
      </x:c>
      <x:c r="BJ15" s="117" t="n">
        <x:f>'ВРИ'!BJ15</x:f>
        <x:v>0</x:v>
      </x:c>
      <x:c r="BK15" s="117" t="n">
        <x:f>'ВРИ'!BK15</x:f>
        <x:v>0</x:v>
      </x:c>
      <x:c r="BL15" s="117" t="n">
        <x:f>'ВРИ'!BL15</x:f>
        <x:v>0</x:v>
      </x:c>
      <x:c r="BM15" s="117" t="n">
        <x:f>'ВРИ'!BM15</x:f>
        <x:v>0</x:v>
      </x:c>
      <x:c r="BN15" s="117" t="n">
        <x:f>'ВРИ'!BN15</x:f>
        <x:v>0</x:v>
      </x:c>
      <x:c r="BO15" s="117" t="n">
        <x:f>'ВРИ'!BO15</x:f>
        <x:v>0</x:v>
      </x:c>
      <x:c r="BP15" s="117" t="n">
        <x:f>'ВРИ'!BP15</x:f>
        <x:v>0</x:v>
      </x:c>
      <x:c r="BQ15" s="117" t="n">
        <x:f>'ВРИ'!BQ15</x:f>
        <x:v>0</x:v>
      </x:c>
      <x:c r="BR15" s="117" t="n">
        <x:f>'ВРИ'!BR15</x:f>
        <x:v>0</x:v>
      </x:c>
      <x:c r="BS15" s="117" t="n">
        <x:f>'ВРИ'!BS15</x:f>
        <x:v>0</x:v>
      </x:c>
      <x:c r="BT15" s="117" t="n">
        <x:f>'ВРИ'!BT15</x:f>
        <x:v>0</x:v>
      </x:c>
      <x:c r="BU15" s="117" t="n">
        <x:f>'ВРИ'!BU15</x:f>
        <x:v>0</x:v>
      </x:c>
      <x:c r="BV15" s="117" t="n">
        <x:f>'ВРИ'!BV15</x:f>
        <x:v>0</x:v>
      </x:c>
      <x:c r="BW15" s="117" t="n">
        <x:f>'ВРИ'!BW15</x:f>
        <x:v>0</x:v>
      </x:c>
      <x:c r="BX15" s="117" t="n">
        <x:f>'ВРИ'!BX15</x:f>
        <x:v>0</x:v>
      </x:c>
      <x:c r="BY15" s="117" t="n">
        <x:f>'ВРИ'!BY15</x:f>
        <x:v>0</x:v>
      </x:c>
      <x:c r="BZ15" s="117" t="n">
        <x:f>'ВРИ'!BZ15</x:f>
        <x:v>0</x:v>
      </x:c>
      <x:c r="CA15" s="117" t="n">
        <x:f>'ВРИ'!CA15</x:f>
        <x:v>0</x:v>
      </x:c>
      <x:c r="CB15" s="117" t="n">
        <x:f>'ВРИ'!CB15</x:f>
        <x:v>0</x:v>
      </x:c>
      <x:c r="CC15" s="117" t="n">
        <x:f>'ВРИ'!CC15</x:f>
        <x:v>0</x:v>
      </x:c>
      <x:c r="CD15" s="117" t="n">
        <x:f>'ВРИ'!CD15</x:f>
        <x:v>0</x:v>
      </x:c>
      <x:c r="CE15" s="117" t="n">
        <x:f>'ВРИ'!CE15</x:f>
        <x:v>0</x:v>
      </x:c>
      <x:c r="CF15" s="117" t="n">
        <x:f>'ВРИ'!CF15</x:f>
        <x:v>0</x:v>
      </x:c>
      <x:c r="CG15" s="117" t="n">
        <x:f>'ВРИ'!CG15</x:f>
        <x:v>0</x:v>
      </x:c>
      <x:c r="CH15" s="117" t="n">
        <x:f>'ВРИ'!CH15</x:f>
        <x:v>0</x:v>
      </x:c>
      <x:c r="CI15" s="117" t="n">
        <x:f>'ВРИ'!CI15</x:f>
        <x:v>0</x:v>
      </x:c>
      <x:c r="CJ15" s="117" t="n">
        <x:f>'ВРИ'!CJ15</x:f>
        <x:v>0</x:v>
      </x:c>
      <x:c r="CK15" s="117" t="n">
        <x:f>'ВРИ'!CK15</x:f>
        <x:v>0</x:v>
      </x:c>
      <x:c r="CL15" s="117" t="n">
        <x:f>'ВРИ'!CL15</x:f>
        <x:v>0</x:v>
      </x:c>
      <x:c r="CM15" s="117" t="n">
        <x:f>'ВРИ'!CM15</x:f>
        <x:v>0</x:v>
      </x:c>
      <x:c r="CN15" s="117" t="n">
        <x:f>'ВРИ'!CN15</x:f>
        <x:v>0</x:v>
      </x:c>
      <x:c r="CO15" s="117" t="n">
        <x:f>'ВРИ'!CO15</x:f>
        <x:v>0</x:v>
      </x:c>
      <x:c r="CP15" s="117" t="n">
        <x:f>'ВРИ'!CP15</x:f>
        <x:v>0</x:v>
      </x:c>
      <x:c r="CQ15" s="117" t="n">
        <x:f>'ВРИ'!CQ15</x:f>
        <x:v>0</x:v>
      </x:c>
      <x:c r="CR15" s="117" t="n">
        <x:f>'ВРИ'!CR15</x:f>
        <x:v>0</x:v>
      </x:c>
      <x:c r="CS15" s="117" t="n">
        <x:f>'ВРИ'!CS15</x:f>
        <x:v>0</x:v>
      </x:c>
      <x:c r="CT15" s="117" t="n">
        <x:f>'ВРИ'!CT15</x:f>
        <x:v>0</x:v>
      </x:c>
      <x:c r="CU15" s="117" t="n">
        <x:f>'ВРИ'!CU15</x:f>
        <x:v>0</x:v>
      </x:c>
      <x:c r="CV15" s="117" t="n">
        <x:f>'ВРИ'!CV15</x:f>
        <x:v>0</x:v>
      </x:c>
      <x:c r="CW15" s="117" t="n">
        <x:f>'ВРИ'!CW15</x:f>
        <x:v>0</x:v>
      </x:c>
      <x:c r="CX15" s="117" t="n">
        <x:f>'ВРИ'!CX15</x:f>
        <x:v>0</x:v>
      </x:c>
      <x:c r="CY15" s="117" t="n">
        <x:f>'ВРИ'!CY15</x:f>
        <x:v>0</x:v>
      </x:c>
      <x:c r="CZ15" s="117" t="n">
        <x:f>'ВРИ'!CZ15</x:f>
        <x:v>0</x:v>
      </x:c>
      <x:c r="DA15" s="117" t="n">
        <x:f>'ВРИ'!DA15</x:f>
        <x:v>0</x:v>
      </x:c>
      <x:c r="DB15" s="117" t="n">
        <x:f>'ВРИ'!DB15</x:f>
        <x:v>0</x:v>
      </x:c>
      <x:c r="DC15" s="117" t="n">
        <x:f>'ВРИ'!DC15</x:f>
        <x:v>0</x:v>
      </x:c>
      <x:c r="DD15" s="117" t="n">
        <x:f>'ВРИ'!DD15</x:f>
        <x:v>0</x:v>
      </x:c>
      <x:c r="DE15" s="117" t="n">
        <x:f>'ВРИ'!DE15</x:f>
        <x:v>0</x:v>
      </x:c>
      <x:c r="DF15" s="117" t="n">
        <x:f>'ВРИ'!DF15</x:f>
        <x:v>0</x:v>
      </x:c>
      <x:c r="DG15" s="117" t="n">
        <x:f>'ВРИ'!DG15</x:f>
        <x:v>0</x:v>
      </x:c>
      <x:c r="DH15" s="117" t="n">
        <x:f>'ВРИ'!DH15</x:f>
        <x:v>0</x:v>
      </x:c>
      <x:c r="DI15" s="117" t="n">
        <x:f>'ВРИ'!DI15</x:f>
        <x:v>0</x:v>
      </x:c>
      <x:c r="DJ15" s="117" t="n">
        <x:f>'ВРИ'!DJ15</x:f>
        <x:v>0</x:v>
      </x:c>
      <x:c r="DK15" s="117" t="n">
        <x:f>'ВРИ'!DK15</x:f>
        <x:v>0</x:v>
      </x:c>
      <x:c r="DL15" s="117" t="n">
        <x:f>'ВРИ'!DL15</x:f>
        <x:v>0</x:v>
      </x:c>
      <x:c r="DM15" s="117" t="n">
        <x:f>'ВРИ'!DM15</x:f>
        <x:v>0</x:v>
      </x:c>
      <x:c r="DN15" s="117" t="n">
        <x:f>'ВРИ'!DN15</x:f>
        <x:v>0</x:v>
      </x:c>
      <x:c r="DO15" s="117" t="n">
        <x:f>'ВРИ'!DO15</x:f>
        <x:v>0</x:v>
      </x:c>
      <x:c r="DP15" s="117" t="n">
        <x:f>'ВРИ'!DP15</x:f>
        <x:v>0</x:v>
      </x:c>
      <x:c r="DQ15" s="117" t="n">
        <x:f>'ВРИ'!DQ15</x:f>
        <x:v>0</x:v>
      </x:c>
      <x:c r="DR15" s="117" t="n">
        <x:f>'ВРИ'!DR15</x:f>
        <x:v>0</x:v>
      </x:c>
      <x:c r="DS15" s="117" t="n">
        <x:f>'ВРИ'!DS15</x:f>
        <x:v>0</x:v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  <x:v>25.967</x:v>
      </x:c>
      <x:c r="C16" t="str">
        <x:v>млн ₽</x:v>
      </x:c>
      <x:c r="D16" s="117" t="n">
        <x:f>IF(AND(D$3&gt;=EDATE($B$7,-'Вводные'!$E$88),D$3&lt;$B$7),$B$16/MAX(1,'Вводные'!$E$88),0)</x:f>
        <x:v>1.442611111111111</x:v>
      </x:c>
      <x:c r="E16" s="117" t="n">
        <x:f>IF(AND(E$3&gt;=EDATE($B$7,-'Вводные'!$E$88),E$3&lt;$B$7),$B$16/MAX(1,'Вводные'!$E$88),0)</x:f>
        <x:v>1.442611111111111</x:v>
      </x:c>
      <x:c r="F16" s="117" t="n">
        <x:f>IF(AND(F$3&gt;=EDATE($B$7,-'Вводные'!$E$88),F$3&lt;$B$7),$B$16/MAX(1,'Вводные'!$E$88),0)</x:f>
        <x:v>1.442611111111111</x:v>
      </x:c>
      <x:c r="G16" s="117" t="n">
        <x:f>IF(AND(G$3&gt;=EDATE($B$7,-'Вводные'!$E$88),G$3&lt;$B$7),$B$16/MAX(1,'Вводные'!$E$88),0)</x:f>
        <x:v>1.442611111111111</x:v>
      </x:c>
      <x:c r="H16" s="117" t="n">
        <x:f>IF(AND(H$3&gt;=EDATE($B$7,-'Вводные'!$E$88),H$3&lt;$B$7),$B$16/MAX(1,'Вводные'!$E$88),0)</x:f>
        <x:v>1.442611111111111</x:v>
      </x:c>
      <x:c r="I16" s="117" t="n">
        <x:f>IF(AND(I$3&gt;=EDATE($B$7,-'Вводные'!$E$88),I$3&lt;$B$7),$B$16/MAX(1,'Вводные'!$E$88),0)</x:f>
        <x:v>1.442611111111111</x:v>
      </x:c>
      <x:c r="J16" s="117" t="n">
        <x:f>IF(AND(J$3&gt;=EDATE($B$7,-'Вводные'!$E$88),J$3&lt;$B$7),$B$16/MAX(1,'Вводные'!$E$88),0)</x:f>
        <x:v>1.442611111111111</x:v>
      </x:c>
      <x:c r="K16" s="117" t="n">
        <x:f>IF(AND(K$3&gt;=EDATE($B$7,-'Вводные'!$E$88),K$3&lt;$B$7),$B$16/MAX(1,'Вводные'!$E$88),0)</x:f>
        <x:v>1.442611111111111</x:v>
      </x:c>
      <x:c r="L16" s="117" t="n">
        <x:f>IF(AND(L$3&gt;=EDATE($B$7,-'Вводные'!$E$88),L$3&lt;$B$7),$B$16/MAX(1,'Вводные'!$E$88),0)</x:f>
        <x:v>1.442611111111111</x:v>
      </x:c>
      <x:c r="M16" s="117" t="n">
        <x:f>IF(AND(M$3&gt;=EDATE($B$7,-'Вводные'!$E$88),M$3&lt;$B$7),$B$16/MAX(1,'Вводные'!$E$88),0)</x:f>
        <x:v>1.442611111111111</x:v>
      </x:c>
      <x:c r="N16" s="117" t="n">
        <x:f>IF(AND(N$3&gt;=EDATE($B$7,-'Вводные'!$E$88),N$3&lt;$B$7),$B$16/MAX(1,'Вводные'!$E$88),0)</x:f>
        <x:v>1.442611111111111</x:v>
      </x:c>
      <x:c r="O16" s="117" t="n">
        <x:f>IF(AND(O$3&gt;=EDATE($B$7,-'Вводные'!$E$88),O$3&lt;$B$7),$B$16/MAX(1,'Вводные'!$E$88),0)</x:f>
        <x:v>1.442611111111111</x:v>
      </x:c>
      <x:c r="P16" s="117" t="n">
        <x:f>IF(AND(P$3&gt;=EDATE($B$7,-'Вводные'!$E$88),P$3&lt;$B$7),$B$16/MAX(1,'Вводные'!$E$88),0)</x:f>
        <x:v>1.442611111111111</x:v>
      </x:c>
      <x:c r="Q16" s="117" t="n">
        <x:f>IF(AND(Q$3&gt;=EDATE($B$7,-'Вводные'!$E$88),Q$3&lt;$B$7),$B$16/MAX(1,'Вводные'!$E$88),0)</x:f>
        <x:v>1.442611111111111</x:v>
      </x:c>
      <x:c r="R16" s="117" t="n">
        <x:f>IF(AND(R$3&gt;=EDATE($B$7,-'Вводные'!$E$88),R$3&lt;$B$7),$B$16/MAX(1,'Вводные'!$E$88),0)</x:f>
        <x:v>1.442611111111111</x:v>
      </x:c>
      <x:c r="S16" s="117" t="n">
        <x:f>IF(AND(S$3&gt;=EDATE($B$7,-'Вводные'!$E$88),S$3&lt;$B$7),$B$16/MAX(1,'Вводные'!$E$88),0)</x:f>
        <x:v>1.442611111111111</x:v>
      </x:c>
      <x:c r="T16" s="117" t="n">
        <x:f>IF(AND(T$3&gt;=EDATE($B$7,-'Вводные'!$E$88),T$3&lt;$B$7),$B$16/MAX(1,'Вводные'!$E$88),0)</x:f>
        <x:v>1.442611111111111</x:v>
      </x:c>
      <x:c r="U16" s="117" t="n">
        <x:f>IF(AND(U$3&gt;=EDATE($B$7,-'Вводные'!$E$88),U$3&lt;$B$7),$B$16/MAX(1,'Вводные'!$E$88),0)</x:f>
        <x:v>1.442611111111111</x:v>
      </x:c>
      <x:c r="V16" s="117" t="n">
        <x:f>IF(AND(V$3&gt;=EDATE($B$7,-'Вводные'!$E$88),V$3&lt;$B$7),$B$16/MAX(1,'Вводные'!$E$88),0)</x:f>
        <x:v>0</x:v>
      </x:c>
      <x:c r="W16" s="117" t="n">
        <x:f>IF(AND(W$3&gt;=EDATE($B$7,-'Вводные'!$E$88),W$3&lt;$B$7),$B$16/MAX(1,'Вводные'!$E$88),0)</x:f>
        <x:v>0</x:v>
      </x:c>
      <x:c r="X16" s="117" t="n">
        <x:f>IF(AND(X$3&gt;=EDATE($B$7,-'Вводные'!$E$88),X$3&lt;$B$7),$B$16/MAX(1,'Вводные'!$E$88),0)</x:f>
        <x:v>0</x:v>
      </x:c>
      <x:c r="Y16" s="117" t="n">
        <x:f>IF(AND(Y$3&gt;=EDATE($B$7,-'Вводные'!$E$88),Y$3&lt;$B$7),$B$16/MAX(1,'Вводные'!$E$88),0)</x:f>
        <x:v>0</x:v>
      </x:c>
      <x:c r="Z16" s="117" t="n">
        <x:f>IF(AND(Z$3&gt;=EDATE($B$7,-'Вводные'!$E$88),Z$3&lt;$B$7),$B$16/MAX(1,'Вводные'!$E$88),0)</x:f>
        <x:v>0</x:v>
      </x:c>
      <x:c r="AA16" s="117" t="n">
        <x:f>IF(AND(AA$3&gt;=EDATE($B$7,-'Вводные'!$E$88),AA$3&lt;$B$7),$B$16/MAX(1,'Вводные'!$E$88),0)</x:f>
        <x:v>0</x:v>
      </x:c>
      <x:c r="AB16" s="117" t="n">
        <x:f>IF(AND(AB$3&gt;=EDATE($B$7,-'Вводные'!$E$88),AB$3&lt;$B$7),$B$16/MAX(1,'Вводные'!$E$88),0)</x:f>
        <x:v>0</x:v>
      </x:c>
      <x:c r="AC16" s="117" t="n">
        <x:f>IF(AND(AC$3&gt;=EDATE($B$7,-'Вводные'!$E$88),AC$3&lt;$B$7),$B$16/MAX(1,'Вводные'!$E$88),0)</x:f>
        <x:v>0</x:v>
      </x:c>
      <x:c r="AD16" s="117" t="n">
        <x:f>IF(AND(AD$3&gt;=EDATE($B$7,-'Вводные'!$E$88),AD$3&lt;$B$7),$B$16/MAX(1,'Вводные'!$E$88),0)</x:f>
        <x:v>0</x:v>
      </x:c>
      <x:c r="AE16" s="117" t="n">
        <x:f>IF(AND(AE$3&gt;=EDATE($B$7,-'Вводные'!$E$88),AE$3&lt;$B$7),$B$16/MAX(1,'Вводные'!$E$88),0)</x:f>
        <x:v>0</x:v>
      </x:c>
      <x:c r="AF16" s="117" t="n">
        <x:f>IF(AND(AF$3&gt;=EDATE($B$7,-'Вводные'!$E$88),AF$3&lt;$B$7),$B$16/MAX(1,'Вводные'!$E$88),0)</x:f>
        <x:v>0</x:v>
      </x:c>
      <x:c r="AG16" s="117" t="n">
        <x:f>IF(AND(AG$3&gt;=EDATE($B$7,-'Вводные'!$E$88),AG$3&lt;$B$7),$B$16/MAX(1,'Вводные'!$E$88),0)</x:f>
        <x:v>0</x:v>
      </x:c>
      <x:c r="AH16" s="117" t="n">
        <x:f>IF(AND(AH$3&gt;=EDATE($B$7,-'Вводные'!$E$88),AH$3&lt;$B$7),$B$16/MAX(1,'Вводные'!$E$88),0)</x:f>
        <x:v>0</x:v>
      </x:c>
      <x:c r="AI16" s="117" t="n">
        <x:f>IF(AND(AI$3&gt;=EDATE($B$7,-'Вводные'!$E$88),AI$3&lt;$B$7),$B$16/MAX(1,'Вводные'!$E$88),0)</x:f>
        <x:v>0</x:v>
      </x:c>
      <x:c r="AJ16" s="117" t="n">
        <x:f>IF(AND(AJ$3&gt;=EDATE($B$7,-'Вводные'!$E$88),AJ$3&lt;$B$7),$B$16/MAX(1,'Вводные'!$E$88),0)</x:f>
        <x:v>0</x:v>
      </x:c>
      <x:c r="AK16" s="117" t="n">
        <x:f>IF(AND(AK$3&gt;=EDATE($B$7,-'Вводные'!$E$88),AK$3&lt;$B$7),$B$16/MAX(1,'Вводные'!$E$88),0)</x:f>
        <x:v>0</x:v>
      </x:c>
      <x:c r="AL16" s="117" t="n">
        <x:f>IF(AND(AL$3&gt;=EDATE($B$7,-'Вводные'!$E$88),AL$3&lt;$B$7),$B$16/MAX(1,'Вводные'!$E$88),0)</x:f>
        <x:v>0</x:v>
      </x:c>
      <x:c r="AM16" s="117" t="n">
        <x:f>IF(AND(AM$3&gt;=EDATE($B$7,-'Вводные'!$E$88),AM$3&lt;$B$7),$B$16/MAX(1,'Вводные'!$E$88),0)</x:f>
        <x:v>0</x:v>
      </x:c>
      <x:c r="AN16" s="117" t="n">
        <x:f>IF(AND(AN$3&gt;=EDATE($B$7,-'Вводные'!$E$88),AN$3&lt;$B$7),$B$16/MAX(1,'Вводные'!$E$88),0)</x:f>
        <x:v>0</x:v>
      </x:c>
      <x:c r="AO16" s="117" t="n">
        <x:f>IF(AND(AO$3&gt;=EDATE($B$7,-'Вводные'!$E$88),AO$3&lt;$B$7),$B$16/MAX(1,'Вводные'!$E$88),0)</x:f>
        <x:v>0</x:v>
      </x:c>
      <x:c r="AP16" s="117" t="n">
        <x:f>IF(AND(AP$3&gt;=EDATE($B$7,-'Вводные'!$E$88),AP$3&lt;$B$7),$B$16/MAX(1,'Вводные'!$E$88),0)</x:f>
        <x:v>0</x:v>
      </x:c>
      <x:c r="AQ16" s="117" t="n">
        <x:f>IF(AND(AQ$3&gt;=EDATE($B$7,-'Вводные'!$E$88),AQ$3&lt;$B$7),$B$16/MAX(1,'Вводные'!$E$88),0)</x:f>
        <x:v>0</x:v>
      </x:c>
      <x:c r="AR16" s="117" t="n">
        <x:f>IF(AND(AR$3&gt;=EDATE($B$7,-'Вводные'!$E$88),AR$3&lt;$B$7),$B$16/MAX(1,'Вводные'!$E$88),0)</x:f>
        <x:v>0</x:v>
      </x:c>
      <x:c r="AS16" s="117" t="n">
        <x:f>IF(AND(AS$3&gt;=EDATE($B$7,-'Вводные'!$E$88),AS$3&lt;$B$7),$B$16/MAX(1,'Вводные'!$E$88),0)</x:f>
        <x:v>0</x:v>
      </x:c>
      <x:c r="AT16" s="117" t="n">
        <x:f>IF(AND(AT$3&gt;=EDATE($B$7,-'Вводные'!$E$88),AT$3&lt;$B$7),$B$16/MAX(1,'Вводные'!$E$88),0)</x:f>
        <x:v>0</x:v>
      </x:c>
      <x:c r="AU16" s="117" t="n">
        <x:f>IF(AND(AU$3&gt;=EDATE($B$7,-'Вводные'!$E$88),AU$3&lt;$B$7),$B$16/MAX(1,'Вводные'!$E$88),0)</x:f>
        <x:v>0</x:v>
      </x:c>
      <x:c r="AV16" s="117" t="n">
        <x:f>IF(AND(AV$3&gt;=EDATE($B$7,-'Вводные'!$E$88),AV$3&lt;$B$7),$B$16/MAX(1,'Вводные'!$E$88),0)</x:f>
        <x:v>0</x:v>
      </x:c>
      <x:c r="AW16" s="117" t="n">
        <x:f>IF(AND(AW$3&gt;=EDATE($B$7,-'Вводные'!$E$88),AW$3&lt;$B$7),$B$16/MAX(1,'Вводные'!$E$88),0)</x:f>
        <x:v>0</x:v>
      </x:c>
      <x:c r="AX16" s="117" t="n">
        <x:f>IF(AND(AX$3&gt;=EDATE($B$7,-'Вводные'!$E$88),AX$3&lt;$B$7),$B$16/MAX(1,'Вводные'!$E$88),0)</x:f>
        <x:v>0</x:v>
      </x:c>
      <x:c r="AY16" s="117" t="n">
        <x:f>IF(AND(AY$3&gt;=EDATE($B$7,-'Вводные'!$E$88),AY$3&lt;$B$7),$B$16/MAX(1,'Вводные'!$E$88),0)</x:f>
        <x:v>0</x:v>
      </x:c>
      <x:c r="AZ16" s="117" t="n">
        <x:f>IF(AND(AZ$3&gt;=EDATE($B$7,-'Вводные'!$E$88),AZ$3&lt;$B$7),$B$16/MAX(1,'Вводные'!$E$88),0)</x:f>
        <x:v>0</x:v>
      </x:c>
      <x:c r="BA16" s="117" t="n">
        <x:f>IF(AND(BA$3&gt;=EDATE($B$7,-'Вводные'!$E$88),BA$3&lt;$B$7),$B$16/MAX(1,'Вводные'!$E$88),0)</x:f>
        <x:v>0</x:v>
      </x:c>
      <x:c r="BB16" s="117" t="n">
        <x:f>IF(AND(BB$3&gt;=EDATE($B$7,-'Вводные'!$E$88),BB$3&lt;$B$7),$B$16/MAX(1,'Вводные'!$E$88),0)</x:f>
        <x:v>0</x:v>
      </x:c>
      <x:c r="BC16" s="117" t="n">
        <x:f>IF(AND(BC$3&gt;=EDATE($B$7,-'Вводные'!$E$88),BC$3&lt;$B$7),$B$16/MAX(1,'Вводные'!$E$88),0)</x:f>
        <x:v>0</x:v>
      </x:c>
      <x:c r="BD16" s="117" t="n">
        <x:f>IF(AND(BD$3&gt;=EDATE($B$7,-'Вводные'!$E$88),BD$3&lt;$B$7),$B$16/MAX(1,'Вводные'!$E$88),0)</x:f>
        <x:v>0</x:v>
      </x:c>
      <x:c r="BE16" s="117" t="n">
        <x:f>IF(AND(BE$3&gt;=EDATE($B$7,-'Вводные'!$E$88),BE$3&lt;$B$7),$B$16/MAX(1,'Вводные'!$E$88),0)</x:f>
        <x:v>0</x:v>
      </x:c>
      <x:c r="BF16" s="117" t="n">
        <x:f>IF(AND(BF$3&gt;=EDATE($B$7,-'Вводные'!$E$88),BF$3&lt;$B$7),$B$16/MAX(1,'Вводные'!$E$88),0)</x:f>
        <x:v>0</x:v>
      </x:c>
      <x:c r="BG16" s="117" t="n">
        <x:f>IF(AND(BG$3&gt;=EDATE($B$7,-'Вводные'!$E$88),BG$3&lt;$B$7),$B$16/MAX(1,'Вводные'!$E$88),0)</x:f>
        <x:v>0</x:v>
      </x:c>
      <x:c r="BH16" s="117" t="n">
        <x:f>IF(AND(BH$3&gt;=EDATE($B$7,-'Вводные'!$E$88),BH$3&lt;$B$7),$B$16/MAX(1,'Вводные'!$E$88),0)</x:f>
        <x:v>0</x:v>
      </x:c>
      <x:c r="BI16" s="117" t="n">
        <x:f>IF(AND(BI$3&gt;=EDATE($B$7,-'Вводные'!$E$88),BI$3&lt;$B$7),$B$16/MAX(1,'Вводные'!$E$88),0)</x:f>
        <x:v>0</x:v>
      </x:c>
      <x:c r="BJ16" s="117" t="n">
        <x:f>IF(AND(BJ$3&gt;=EDATE($B$7,-'Вводные'!$E$88),BJ$3&lt;$B$7),$B$16/MAX(1,'Вводные'!$E$88),0)</x:f>
        <x:v>0</x:v>
      </x:c>
      <x:c r="BK16" s="117" t="n">
        <x:f>IF(AND(BK$3&gt;=EDATE($B$7,-'Вводные'!$E$88),BK$3&lt;$B$7),$B$16/MAX(1,'Вводные'!$E$88),0)</x:f>
        <x:v>0</x:v>
      </x:c>
      <x:c r="BL16" s="117" t="n">
        <x:f>IF(AND(BL$3&gt;=EDATE($B$7,-'Вводные'!$E$88),BL$3&lt;$B$7),$B$16/MAX(1,'Вводные'!$E$88),0)</x:f>
        <x:v>0</x:v>
      </x:c>
      <x:c r="BM16" s="117" t="n">
        <x:f>IF(AND(BM$3&gt;=EDATE($B$7,-'Вводные'!$E$88),BM$3&lt;$B$7),$B$16/MAX(1,'Вводные'!$E$88),0)</x:f>
        <x:v>0</x:v>
      </x:c>
      <x:c r="BN16" s="117" t="n">
        <x:f>IF(AND(BN$3&gt;=EDATE($B$7,-'Вводные'!$E$88),BN$3&lt;$B$7),$B$16/MAX(1,'Вводные'!$E$88),0)</x:f>
        <x:v>0</x:v>
      </x:c>
      <x:c r="BO16" s="117" t="n">
        <x:f>IF(AND(BO$3&gt;=EDATE($B$7,-'Вводные'!$E$88),BO$3&lt;$B$7),$B$16/MAX(1,'Вводные'!$E$88),0)</x:f>
        <x:v>0</x:v>
      </x:c>
      <x:c r="BP16" s="117" t="n">
        <x:f>IF(AND(BP$3&gt;=EDATE($B$7,-'Вводные'!$E$88),BP$3&lt;$B$7),$B$16/MAX(1,'Вводные'!$E$88),0)</x:f>
        <x:v>0</x:v>
      </x:c>
      <x:c r="BQ16" s="117" t="n">
        <x:f>IF(AND(BQ$3&gt;=EDATE($B$7,-'Вводные'!$E$88),BQ$3&lt;$B$7),$B$16/MAX(1,'Вводные'!$E$88),0)</x:f>
        <x:v>0</x:v>
      </x:c>
      <x:c r="BR16" s="117" t="n">
        <x:f>IF(AND(BR$3&gt;=EDATE($B$7,-'Вводные'!$E$88),BR$3&lt;$B$7),$B$16/MAX(1,'Вводные'!$E$88),0)</x:f>
        <x:v>0</x:v>
      </x:c>
      <x:c r="BS16" s="117" t="n">
        <x:f>IF(AND(BS$3&gt;=EDATE($B$7,-'Вводные'!$E$88),BS$3&lt;$B$7),$B$16/MAX(1,'Вводные'!$E$88),0)</x:f>
        <x:v>0</x:v>
      </x:c>
      <x:c r="BT16" s="117" t="n">
        <x:f>IF(AND(BT$3&gt;=EDATE($B$7,-'Вводные'!$E$88),BT$3&lt;$B$7),$B$16/MAX(1,'Вводные'!$E$88),0)</x:f>
        <x:v>0</x:v>
      </x:c>
      <x:c r="BU16" s="117" t="n">
        <x:f>IF(AND(BU$3&gt;=EDATE($B$7,-'Вводные'!$E$88),BU$3&lt;$B$7),$B$16/MAX(1,'Вводные'!$E$88),0)</x:f>
        <x:v>0</x:v>
      </x:c>
      <x:c r="BV16" s="117" t="n">
        <x:f>IF(AND(BV$3&gt;=EDATE($B$7,-'Вводные'!$E$88),BV$3&lt;$B$7),$B$16/MAX(1,'Вводные'!$E$88),0)</x:f>
        <x:v>0</x:v>
      </x:c>
      <x:c r="BW16" s="117" t="n">
        <x:f>IF(AND(BW$3&gt;=EDATE($B$7,-'Вводные'!$E$88),BW$3&lt;$B$7),$B$16/MAX(1,'Вводные'!$E$88),0)</x:f>
        <x:v>0</x:v>
      </x:c>
      <x:c r="BX16" s="117" t="n">
        <x:f>IF(AND(BX$3&gt;=EDATE($B$7,-'Вводные'!$E$88),BX$3&lt;$B$7),$B$16/MAX(1,'Вводные'!$E$88),0)</x:f>
        <x:v>0</x:v>
      </x:c>
      <x:c r="BY16" s="117" t="n">
        <x:f>IF(AND(BY$3&gt;=EDATE($B$7,-'Вводные'!$E$88),BY$3&lt;$B$7),$B$16/MAX(1,'Вводные'!$E$88),0)</x:f>
        <x:v>0</x:v>
      </x:c>
      <x:c r="BZ16" s="117" t="n">
        <x:f>IF(AND(BZ$3&gt;=EDATE($B$7,-'Вводные'!$E$88),BZ$3&lt;$B$7),$B$16/MAX(1,'Вводные'!$E$88),0)</x:f>
        <x:v>0</x:v>
      </x:c>
      <x:c r="CA16" s="117" t="n">
        <x:f>IF(AND(CA$3&gt;=EDATE($B$7,-'Вводные'!$E$88),CA$3&lt;$B$7),$B$16/MAX(1,'Вводные'!$E$88),0)</x:f>
        <x:v>0</x:v>
      </x:c>
      <x:c r="CB16" s="117" t="n">
        <x:f>IF(AND(CB$3&gt;=EDATE($B$7,-'Вводные'!$E$88),CB$3&lt;$B$7),$B$16/MAX(1,'Вводные'!$E$88),0)</x:f>
        <x:v>0</x:v>
      </x:c>
      <x:c r="CC16" s="117" t="n">
        <x:f>IF(AND(CC$3&gt;=EDATE($B$7,-'Вводные'!$E$88),CC$3&lt;$B$7),$B$16/MAX(1,'Вводные'!$E$88),0)</x:f>
        <x:v>0</x:v>
      </x:c>
      <x:c r="CD16" s="117" t="n">
        <x:f>IF(AND(CD$3&gt;=EDATE($B$7,-'Вводные'!$E$88),CD$3&lt;$B$7),$B$16/MAX(1,'Вводные'!$E$88),0)</x:f>
        <x:v>0</x:v>
      </x:c>
      <x:c r="CE16" s="117" t="n">
        <x:f>IF(AND(CE$3&gt;=EDATE($B$7,-'Вводные'!$E$88),CE$3&lt;$B$7),$B$16/MAX(1,'Вводные'!$E$88),0)</x:f>
        <x:v>0</x:v>
      </x:c>
      <x:c r="CF16" s="117" t="n">
        <x:f>IF(AND(CF$3&gt;=EDATE($B$7,-'Вводные'!$E$88),CF$3&lt;$B$7),$B$16/MAX(1,'Вводные'!$E$88),0)</x:f>
        <x:v>0</x:v>
      </x:c>
      <x:c r="CG16" s="117" t="n">
        <x:f>IF(AND(CG$3&gt;=EDATE($B$7,-'Вводные'!$E$88),CG$3&lt;$B$7),$B$16/MAX(1,'Вводные'!$E$88),0)</x:f>
        <x:v>0</x:v>
      </x:c>
      <x:c r="CH16" s="117" t="n">
        <x:f>IF(AND(CH$3&gt;=EDATE($B$7,-'Вводные'!$E$88),CH$3&lt;$B$7),$B$16/MAX(1,'Вводные'!$E$88),0)</x:f>
        <x:v>0</x:v>
      </x:c>
      <x:c r="CI16" s="117" t="n">
        <x:f>IF(AND(CI$3&gt;=EDATE($B$7,-'Вводные'!$E$88),CI$3&lt;$B$7),$B$16/MAX(1,'Вводные'!$E$88),0)</x:f>
        <x:v>0</x:v>
      </x:c>
      <x:c r="CJ16" s="117" t="n">
        <x:f>IF(AND(CJ$3&gt;=EDATE($B$7,-'Вводные'!$E$88),CJ$3&lt;$B$7),$B$16/MAX(1,'Вводные'!$E$88),0)</x:f>
        <x:v>0</x:v>
      </x:c>
      <x:c r="CK16" s="117" t="n">
        <x:f>IF(AND(CK$3&gt;=EDATE($B$7,-'Вводные'!$E$88),CK$3&lt;$B$7),$B$16/MAX(1,'Вводные'!$E$88),0)</x:f>
        <x:v>0</x:v>
      </x:c>
      <x:c r="CL16" s="117" t="n">
        <x:f>IF(AND(CL$3&gt;=EDATE($B$7,-'Вводные'!$E$88),CL$3&lt;$B$7),$B$16/MAX(1,'Вводные'!$E$88),0)</x:f>
        <x:v>0</x:v>
      </x:c>
      <x:c r="CM16" s="117" t="n">
        <x:f>IF(AND(CM$3&gt;=EDATE($B$7,-'Вводные'!$E$88),CM$3&lt;$B$7),$B$16/MAX(1,'Вводные'!$E$88),0)</x:f>
        <x:v>0</x:v>
      </x:c>
      <x:c r="CN16" s="117" t="n">
        <x:f>IF(AND(CN$3&gt;=EDATE($B$7,-'Вводные'!$E$88),CN$3&lt;$B$7),$B$16/MAX(1,'Вводные'!$E$88),0)</x:f>
        <x:v>0</x:v>
      </x:c>
      <x:c r="CO16" s="117" t="n">
        <x:f>IF(AND(CO$3&gt;=EDATE($B$7,-'Вводные'!$E$88),CO$3&lt;$B$7),$B$16/MAX(1,'Вводные'!$E$88),0)</x:f>
        <x:v>0</x:v>
      </x:c>
      <x:c r="CP16" s="117" t="n">
        <x:f>IF(AND(CP$3&gt;=EDATE($B$7,-'Вводные'!$E$88),CP$3&lt;$B$7),$B$16/MAX(1,'Вводные'!$E$88),0)</x:f>
        <x:v>0</x:v>
      </x:c>
      <x:c r="CQ16" s="117" t="n">
        <x:f>IF(AND(CQ$3&gt;=EDATE($B$7,-'Вводные'!$E$88),CQ$3&lt;$B$7),$B$16/MAX(1,'Вводные'!$E$88),0)</x:f>
        <x:v>0</x:v>
      </x:c>
      <x:c r="CR16" s="117" t="n">
        <x:f>IF(AND(CR$3&gt;=EDATE($B$7,-'Вводные'!$E$88),CR$3&lt;$B$7),$B$16/MAX(1,'Вводные'!$E$88),0)</x:f>
        <x:v>0</x:v>
      </x:c>
      <x:c r="CS16" s="117" t="n">
        <x:f>IF(AND(CS$3&gt;=EDATE($B$7,-'Вводные'!$E$88),CS$3&lt;$B$7),$B$16/MAX(1,'Вводные'!$E$88),0)</x:f>
        <x:v>0</x:v>
      </x:c>
      <x:c r="CT16" s="117" t="n">
        <x:f>IF(AND(CT$3&gt;=EDATE($B$7,-'Вводные'!$E$88),CT$3&lt;$B$7),$B$16/MAX(1,'Вводные'!$E$88),0)</x:f>
        <x:v>0</x:v>
      </x:c>
      <x:c r="CU16" s="117" t="n">
        <x:f>IF(AND(CU$3&gt;=EDATE($B$7,-'Вводные'!$E$88),CU$3&lt;$B$7),$B$16/MAX(1,'Вводные'!$E$88),0)</x:f>
        <x:v>0</x:v>
      </x:c>
      <x:c r="CV16" s="117" t="n">
        <x:f>IF(AND(CV$3&gt;=EDATE($B$7,-'Вводные'!$E$88),CV$3&lt;$B$7),$B$16/MAX(1,'Вводные'!$E$88),0)</x:f>
        <x:v>0</x:v>
      </x:c>
      <x:c r="CW16" s="117" t="n">
        <x:f>IF(AND(CW$3&gt;=EDATE($B$7,-'Вводные'!$E$88),CW$3&lt;$B$7),$B$16/MAX(1,'Вводные'!$E$88),0)</x:f>
        <x:v>0</x:v>
      </x:c>
      <x:c r="CX16" s="117" t="n">
        <x:f>IF(AND(CX$3&gt;=EDATE($B$7,-'Вводные'!$E$88),CX$3&lt;$B$7),$B$16/MAX(1,'Вводные'!$E$88),0)</x:f>
        <x:v>0</x:v>
      </x:c>
      <x:c r="CY16" s="117" t="n">
        <x:f>IF(AND(CY$3&gt;=EDATE($B$7,-'Вводные'!$E$88),CY$3&lt;$B$7),$B$16/MAX(1,'Вводные'!$E$88),0)</x:f>
        <x:v>0</x:v>
      </x:c>
      <x:c r="CZ16" s="117" t="n">
        <x:f>IF(AND(CZ$3&gt;=EDATE($B$7,-'Вводные'!$E$88),CZ$3&lt;$B$7),$B$16/MAX(1,'Вводные'!$E$88),0)</x:f>
        <x:v>0</x:v>
      </x:c>
      <x:c r="DA16" s="117" t="n">
        <x:f>IF(AND(DA$3&gt;=EDATE($B$7,-'Вводные'!$E$88),DA$3&lt;$B$7),$B$16/MAX(1,'Вводные'!$E$88),0)</x:f>
        <x:v>0</x:v>
      </x:c>
      <x:c r="DB16" s="117" t="n">
        <x:f>IF(AND(DB$3&gt;=EDATE($B$7,-'Вводные'!$E$88),DB$3&lt;$B$7),$B$16/MAX(1,'Вводные'!$E$88),0)</x:f>
        <x:v>0</x:v>
      </x:c>
      <x:c r="DC16" s="117" t="n">
        <x:f>IF(AND(DC$3&gt;=EDATE($B$7,-'Вводные'!$E$88),DC$3&lt;$B$7),$B$16/MAX(1,'Вводные'!$E$88),0)</x:f>
        <x:v>0</x:v>
      </x:c>
      <x:c r="DD16" s="117" t="n">
        <x:f>IF(AND(DD$3&gt;=EDATE($B$7,-'Вводные'!$E$88),DD$3&lt;$B$7),$B$16/MAX(1,'Вводные'!$E$88),0)</x:f>
        <x:v>0</x:v>
      </x:c>
      <x:c r="DE16" s="117" t="n">
        <x:f>IF(AND(DE$3&gt;=EDATE($B$7,-'Вводные'!$E$88),DE$3&lt;$B$7),$B$16/MAX(1,'Вводные'!$E$88),0)</x:f>
        <x:v>0</x:v>
      </x:c>
      <x:c r="DF16" s="117" t="n">
        <x:f>IF(AND(DF$3&gt;=EDATE($B$7,-'Вводные'!$E$88),DF$3&lt;$B$7),$B$16/MAX(1,'Вводные'!$E$88),0)</x:f>
        <x:v>0</x:v>
      </x:c>
      <x:c r="DG16" s="117" t="n">
        <x:f>IF(AND(DG$3&gt;=EDATE($B$7,-'Вводные'!$E$88),DG$3&lt;$B$7),$B$16/MAX(1,'Вводные'!$E$88),0)</x:f>
        <x:v>0</x:v>
      </x:c>
      <x:c r="DH16" s="117" t="n">
        <x:f>IF(AND(DH$3&gt;=EDATE($B$7,-'Вводные'!$E$88),DH$3&lt;$B$7),$B$16/MAX(1,'Вводные'!$E$88),0)</x:f>
        <x:v>0</x:v>
      </x:c>
      <x:c r="DI16" s="117" t="n">
        <x:f>IF(AND(DI$3&gt;=EDATE($B$7,-'Вводные'!$E$88),DI$3&lt;$B$7),$B$16/MAX(1,'Вводные'!$E$88),0)</x:f>
        <x:v>0</x:v>
      </x:c>
      <x:c r="DJ16" s="117" t="n">
        <x:f>IF(AND(DJ$3&gt;=EDATE($B$7,-'Вводные'!$E$88),DJ$3&lt;$B$7),$B$16/MAX(1,'Вводные'!$E$88),0)</x:f>
        <x:v>0</x:v>
      </x:c>
      <x:c r="DK16" s="117" t="n">
        <x:f>IF(AND(DK$3&gt;=EDATE($B$7,-'Вводные'!$E$88),DK$3&lt;$B$7),$B$16/MAX(1,'Вводные'!$E$88),0)</x:f>
        <x:v>0</x:v>
      </x:c>
      <x:c r="DL16" s="117" t="n">
        <x:f>IF(AND(DL$3&gt;=EDATE($B$7,-'Вводные'!$E$88),DL$3&lt;$B$7),$B$16/MAX(1,'Вводные'!$E$88),0)</x:f>
        <x:v>0</x:v>
      </x:c>
      <x:c r="DM16" s="117" t="n">
        <x:f>IF(AND(DM$3&gt;=EDATE($B$7,-'Вводные'!$E$88),DM$3&lt;$B$7),$B$16/MAX(1,'Вводные'!$E$88),0)</x:f>
        <x:v>0</x:v>
      </x:c>
      <x:c r="DN16" s="117" t="n">
        <x:f>IF(AND(DN$3&gt;=EDATE($B$7,-'Вводные'!$E$88),DN$3&lt;$B$7),$B$16/MAX(1,'Вводные'!$E$88),0)</x:f>
        <x:v>0</x:v>
      </x:c>
      <x:c r="DO16" s="117" t="n">
        <x:f>IF(AND(DO$3&gt;=EDATE($B$7,-'Вводные'!$E$88),DO$3&lt;$B$7),$B$16/MAX(1,'Вводные'!$E$88),0)</x:f>
        <x:v>0</x:v>
      </x:c>
      <x:c r="DP16" s="117" t="n">
        <x:f>IF(AND(DP$3&gt;=EDATE($B$7,-'Вводные'!$E$88),DP$3&lt;$B$7),$B$16/MAX(1,'Вводные'!$E$88),0)</x:f>
        <x:v>0</x:v>
      </x:c>
      <x:c r="DQ16" s="117" t="n">
        <x:f>IF(AND(DQ$3&gt;=EDATE($B$7,-'Вводные'!$E$88),DQ$3&lt;$B$7),$B$16/MAX(1,'Вводные'!$E$88),0)</x:f>
        <x:v>0</x:v>
      </x:c>
      <x:c r="DR16" s="117" t="n">
        <x:f>IF(AND(DR$3&gt;=EDATE($B$7,-'Вводные'!$E$88),DR$3&lt;$B$7),$B$16/MAX(1,'Вводные'!$E$88),0)</x:f>
        <x:v>0</x:v>
      </x:c>
      <x:c r="DS16" s="117" t="n">
        <x:f>IF(AND(DS$3&gt;=EDATE($B$7,-'Вводные'!$E$88),DS$3&lt;$B$7),$B$16/MAX(1,'Вводные'!$E$88),0)</x:f>
        <x:v>0</x:v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  <x:v>64.9175</x:v>
      </x:c>
      <x:c r="C17" t="str">
        <x:v>млн ₽</x:v>
      </x:c>
      <x:c r="D17" s="117" t="n">
        <x:f>IF(AND(D$3&gt;=EDATE($B$7,-MIN(6,'Вводные'!$E$88)),D$3&lt;$B$7),$B$17/MAX(1,MIN(6,'Вводные'!$E$88)),0)</x:f>
        <x:v>0</x:v>
      </x:c>
      <x:c r="E17" s="117" t="n">
        <x:f>IF(AND(E$3&gt;=EDATE($B$7,-MIN(6,'Вводные'!$E$88)),E$3&lt;$B$7),$B$17/MAX(1,MIN(6,'Вводные'!$E$88)),0)</x:f>
        <x:v>0</x:v>
      </x:c>
      <x:c r="F17" s="117" t="n">
        <x:f>IF(AND(F$3&gt;=EDATE($B$7,-MIN(6,'Вводные'!$E$88)),F$3&lt;$B$7),$B$17/MAX(1,MIN(6,'Вводные'!$E$88)),0)</x:f>
        <x:v>0</x:v>
      </x:c>
      <x:c r="G17" s="117" t="n">
        <x:f>IF(AND(G$3&gt;=EDATE($B$7,-MIN(6,'Вводные'!$E$88)),G$3&lt;$B$7),$B$17/MAX(1,MIN(6,'Вводные'!$E$88)),0)</x:f>
        <x:v>0</x:v>
      </x:c>
      <x:c r="H17" s="117" t="n">
        <x:f>IF(AND(H$3&gt;=EDATE($B$7,-MIN(6,'Вводные'!$E$88)),H$3&lt;$B$7),$B$17/MAX(1,MIN(6,'Вводные'!$E$88)),0)</x:f>
        <x:v>0</x:v>
      </x:c>
      <x:c r="I17" s="117" t="n">
        <x:f>IF(AND(I$3&gt;=EDATE($B$7,-MIN(6,'Вводные'!$E$88)),I$3&lt;$B$7),$B$17/MAX(1,MIN(6,'Вводные'!$E$88)),0)</x:f>
        <x:v>0</x:v>
      </x:c>
      <x:c r="J17" s="117" t="n">
        <x:f>IF(AND(J$3&gt;=EDATE($B$7,-MIN(6,'Вводные'!$E$88)),J$3&lt;$B$7),$B$17/MAX(1,MIN(6,'Вводные'!$E$88)),0)</x:f>
        <x:v>0</x:v>
      </x:c>
      <x:c r="K17" s="117" t="n">
        <x:f>IF(AND(K$3&gt;=EDATE($B$7,-MIN(6,'Вводные'!$E$88)),K$3&lt;$B$7),$B$17/MAX(1,MIN(6,'Вводные'!$E$88)),0)</x:f>
        <x:v>0</x:v>
      </x:c>
      <x:c r="L17" s="117" t="n">
        <x:f>IF(AND(L$3&gt;=EDATE($B$7,-MIN(6,'Вводные'!$E$88)),L$3&lt;$B$7),$B$17/MAX(1,MIN(6,'Вводные'!$E$88)),0)</x:f>
        <x:v>0</x:v>
      </x:c>
      <x:c r="M17" s="117" t="n">
        <x:f>IF(AND(M$3&gt;=EDATE($B$7,-MIN(6,'Вводные'!$E$88)),M$3&lt;$B$7),$B$17/MAX(1,MIN(6,'Вводные'!$E$88)),0)</x:f>
        <x:v>0</x:v>
      </x:c>
      <x:c r="N17" s="117" t="n">
        <x:f>IF(AND(N$3&gt;=EDATE($B$7,-MIN(6,'Вводные'!$E$88)),N$3&lt;$B$7),$B$17/MAX(1,MIN(6,'Вводные'!$E$88)),0)</x:f>
        <x:v>0</x:v>
      </x:c>
      <x:c r="O17" s="117" t="n">
        <x:f>IF(AND(O$3&gt;=EDATE($B$7,-MIN(6,'Вводные'!$E$88)),O$3&lt;$B$7),$B$17/MAX(1,MIN(6,'Вводные'!$E$88)),0)</x:f>
        <x:v>0</x:v>
      </x:c>
      <x:c r="P17" s="117" t="n">
        <x:f>IF(AND(P$3&gt;=EDATE($B$7,-MIN(6,'Вводные'!$E$88)),P$3&lt;$B$7),$B$17/MAX(1,MIN(6,'Вводные'!$E$88)),0)</x:f>
        <x:v>10.819583333333334</x:v>
      </x:c>
      <x:c r="Q17" s="117" t="n">
        <x:f>IF(AND(Q$3&gt;=EDATE($B$7,-MIN(6,'Вводные'!$E$88)),Q$3&lt;$B$7),$B$17/MAX(1,MIN(6,'Вводные'!$E$88)),0)</x:f>
        <x:v>10.819583333333334</x:v>
      </x:c>
      <x:c r="R17" s="117" t="n">
        <x:f>IF(AND(R$3&gt;=EDATE($B$7,-MIN(6,'Вводные'!$E$88)),R$3&lt;$B$7),$B$17/MAX(1,MIN(6,'Вводные'!$E$88)),0)</x:f>
        <x:v>10.819583333333334</x:v>
      </x:c>
      <x:c r="S17" s="117" t="n">
        <x:f>IF(AND(S$3&gt;=EDATE($B$7,-MIN(6,'Вводные'!$E$88)),S$3&lt;$B$7),$B$17/MAX(1,MIN(6,'Вводные'!$E$88)),0)</x:f>
        <x:v>10.819583333333334</x:v>
      </x:c>
      <x:c r="T17" s="117" t="n">
        <x:f>IF(AND(T$3&gt;=EDATE($B$7,-MIN(6,'Вводные'!$E$88)),T$3&lt;$B$7),$B$17/MAX(1,MIN(6,'Вводные'!$E$88)),0)</x:f>
        <x:v>10.819583333333334</x:v>
      </x:c>
      <x:c r="U17" s="117" t="n">
        <x:f>IF(AND(U$3&gt;=EDATE($B$7,-MIN(6,'Вводные'!$E$88)),U$3&lt;$B$7),$B$17/MAX(1,MIN(6,'Вводные'!$E$88)),0)</x:f>
        <x:v>10.819583333333334</x:v>
      </x:c>
      <x:c r="V17" s="117" t="n">
        <x:f>IF(AND(V$3&gt;=EDATE($B$7,-MIN(6,'Вводные'!$E$88)),V$3&lt;$B$7),$B$17/MAX(1,MIN(6,'Вводные'!$E$88)),0)</x:f>
        <x:v>0</x:v>
      </x:c>
      <x:c r="W17" s="117" t="n">
        <x:f>IF(AND(W$3&gt;=EDATE($B$7,-MIN(6,'Вводные'!$E$88)),W$3&lt;$B$7),$B$17/MAX(1,MIN(6,'Вводные'!$E$88)),0)</x:f>
        <x:v>0</x:v>
      </x:c>
      <x:c r="X17" s="117" t="n">
        <x:f>IF(AND(X$3&gt;=EDATE($B$7,-MIN(6,'Вводные'!$E$88)),X$3&lt;$B$7),$B$17/MAX(1,MIN(6,'Вводные'!$E$88)),0)</x:f>
        <x:v>0</x:v>
      </x:c>
      <x:c r="Y17" s="117" t="n">
        <x:f>IF(AND(Y$3&gt;=EDATE($B$7,-MIN(6,'Вводные'!$E$88)),Y$3&lt;$B$7),$B$17/MAX(1,MIN(6,'Вводные'!$E$88)),0)</x:f>
        <x:v>0</x:v>
      </x:c>
      <x:c r="Z17" s="117" t="n">
        <x:f>IF(AND(Z$3&gt;=EDATE($B$7,-MIN(6,'Вводные'!$E$88)),Z$3&lt;$B$7),$B$17/MAX(1,MIN(6,'Вводные'!$E$88)),0)</x:f>
        <x:v>0</x:v>
      </x:c>
      <x:c r="AA17" s="117" t="n">
        <x:f>IF(AND(AA$3&gt;=EDATE($B$7,-MIN(6,'Вводные'!$E$88)),AA$3&lt;$B$7),$B$17/MAX(1,MIN(6,'Вводные'!$E$88)),0)</x:f>
        <x:v>0</x:v>
      </x:c>
      <x:c r="AB17" s="117" t="n">
        <x:f>IF(AND(AB$3&gt;=EDATE($B$7,-MIN(6,'Вводные'!$E$88)),AB$3&lt;$B$7),$B$17/MAX(1,MIN(6,'Вводные'!$E$88)),0)</x:f>
        <x:v>0</x:v>
      </x:c>
      <x:c r="AC17" s="117" t="n">
        <x:f>IF(AND(AC$3&gt;=EDATE($B$7,-MIN(6,'Вводные'!$E$88)),AC$3&lt;$B$7),$B$17/MAX(1,MIN(6,'Вводные'!$E$88)),0)</x:f>
        <x:v>0</x:v>
      </x:c>
      <x:c r="AD17" s="117" t="n">
        <x:f>IF(AND(AD$3&gt;=EDATE($B$7,-MIN(6,'Вводные'!$E$88)),AD$3&lt;$B$7),$B$17/MAX(1,MIN(6,'Вводные'!$E$88)),0)</x:f>
        <x:v>0</x:v>
      </x:c>
      <x:c r="AE17" s="117" t="n">
        <x:f>IF(AND(AE$3&gt;=EDATE($B$7,-MIN(6,'Вводные'!$E$88)),AE$3&lt;$B$7),$B$17/MAX(1,MIN(6,'Вводные'!$E$88)),0)</x:f>
        <x:v>0</x:v>
      </x:c>
      <x:c r="AF17" s="117" t="n">
        <x:f>IF(AND(AF$3&gt;=EDATE($B$7,-MIN(6,'Вводные'!$E$88)),AF$3&lt;$B$7),$B$17/MAX(1,MIN(6,'Вводные'!$E$88)),0)</x:f>
        <x:v>0</x:v>
      </x:c>
      <x:c r="AG17" s="117" t="n">
        <x:f>IF(AND(AG$3&gt;=EDATE($B$7,-MIN(6,'Вводные'!$E$88)),AG$3&lt;$B$7),$B$17/MAX(1,MIN(6,'Вводные'!$E$88)),0)</x:f>
        <x:v>0</x:v>
      </x:c>
      <x:c r="AH17" s="117" t="n">
        <x:f>IF(AND(AH$3&gt;=EDATE($B$7,-MIN(6,'Вводные'!$E$88)),AH$3&lt;$B$7),$B$17/MAX(1,MIN(6,'Вводные'!$E$88)),0)</x:f>
        <x:v>0</x:v>
      </x:c>
      <x:c r="AI17" s="117" t="n">
        <x:f>IF(AND(AI$3&gt;=EDATE($B$7,-MIN(6,'Вводные'!$E$88)),AI$3&lt;$B$7),$B$17/MAX(1,MIN(6,'Вводные'!$E$88)),0)</x:f>
        <x:v>0</x:v>
      </x:c>
      <x:c r="AJ17" s="117" t="n">
        <x:f>IF(AND(AJ$3&gt;=EDATE($B$7,-MIN(6,'Вводные'!$E$88)),AJ$3&lt;$B$7),$B$17/MAX(1,MIN(6,'Вводные'!$E$88)),0)</x:f>
        <x:v>0</x:v>
      </x:c>
      <x:c r="AK17" s="117" t="n">
        <x:f>IF(AND(AK$3&gt;=EDATE($B$7,-MIN(6,'Вводные'!$E$88)),AK$3&lt;$B$7),$B$17/MAX(1,MIN(6,'Вводные'!$E$88)),0)</x:f>
        <x:v>0</x:v>
      </x:c>
      <x:c r="AL17" s="117" t="n">
        <x:f>IF(AND(AL$3&gt;=EDATE($B$7,-MIN(6,'Вводные'!$E$88)),AL$3&lt;$B$7),$B$17/MAX(1,MIN(6,'Вводные'!$E$88)),0)</x:f>
        <x:v>0</x:v>
      </x:c>
      <x:c r="AM17" s="117" t="n">
        <x:f>IF(AND(AM$3&gt;=EDATE($B$7,-MIN(6,'Вводные'!$E$88)),AM$3&lt;$B$7),$B$17/MAX(1,MIN(6,'Вводные'!$E$88)),0)</x:f>
        <x:v>0</x:v>
      </x:c>
      <x:c r="AN17" s="117" t="n">
        <x:f>IF(AND(AN$3&gt;=EDATE($B$7,-MIN(6,'Вводные'!$E$88)),AN$3&lt;$B$7),$B$17/MAX(1,MIN(6,'Вводные'!$E$88)),0)</x:f>
        <x:v>0</x:v>
      </x:c>
      <x:c r="AO17" s="117" t="n">
        <x:f>IF(AND(AO$3&gt;=EDATE($B$7,-MIN(6,'Вводные'!$E$88)),AO$3&lt;$B$7),$B$17/MAX(1,MIN(6,'Вводные'!$E$88)),0)</x:f>
        <x:v>0</x:v>
      </x:c>
      <x:c r="AP17" s="117" t="n">
        <x:f>IF(AND(AP$3&gt;=EDATE($B$7,-MIN(6,'Вводные'!$E$88)),AP$3&lt;$B$7),$B$17/MAX(1,MIN(6,'Вводные'!$E$88)),0)</x:f>
        <x:v>0</x:v>
      </x:c>
      <x:c r="AQ17" s="117" t="n">
        <x:f>IF(AND(AQ$3&gt;=EDATE($B$7,-MIN(6,'Вводные'!$E$88)),AQ$3&lt;$B$7),$B$17/MAX(1,MIN(6,'Вводные'!$E$88)),0)</x:f>
        <x:v>0</x:v>
      </x:c>
      <x:c r="AR17" s="117" t="n">
        <x:f>IF(AND(AR$3&gt;=EDATE($B$7,-MIN(6,'Вводные'!$E$88)),AR$3&lt;$B$7),$B$17/MAX(1,MIN(6,'Вводные'!$E$88)),0)</x:f>
        <x:v>0</x:v>
      </x:c>
      <x:c r="AS17" s="117" t="n">
        <x:f>IF(AND(AS$3&gt;=EDATE($B$7,-MIN(6,'Вводные'!$E$88)),AS$3&lt;$B$7),$B$17/MAX(1,MIN(6,'Вводные'!$E$88)),0)</x:f>
        <x:v>0</x:v>
      </x:c>
      <x:c r="AT17" s="117" t="n">
        <x:f>IF(AND(AT$3&gt;=EDATE($B$7,-MIN(6,'Вводные'!$E$88)),AT$3&lt;$B$7),$B$17/MAX(1,MIN(6,'Вводные'!$E$88)),0)</x:f>
        <x:v>0</x:v>
      </x:c>
      <x:c r="AU17" s="117" t="n">
        <x:f>IF(AND(AU$3&gt;=EDATE($B$7,-MIN(6,'Вводные'!$E$88)),AU$3&lt;$B$7),$B$17/MAX(1,MIN(6,'Вводные'!$E$88)),0)</x:f>
        <x:v>0</x:v>
      </x:c>
      <x:c r="AV17" s="117" t="n">
        <x:f>IF(AND(AV$3&gt;=EDATE($B$7,-MIN(6,'Вводные'!$E$88)),AV$3&lt;$B$7),$B$17/MAX(1,MIN(6,'Вводные'!$E$88)),0)</x:f>
        <x:v>0</x:v>
      </x:c>
      <x:c r="AW17" s="117" t="n">
        <x:f>IF(AND(AW$3&gt;=EDATE($B$7,-MIN(6,'Вводные'!$E$88)),AW$3&lt;$B$7),$B$17/MAX(1,MIN(6,'Вводные'!$E$88)),0)</x:f>
        <x:v>0</x:v>
      </x:c>
      <x:c r="AX17" s="117" t="n">
        <x:f>IF(AND(AX$3&gt;=EDATE($B$7,-MIN(6,'Вводные'!$E$88)),AX$3&lt;$B$7),$B$17/MAX(1,MIN(6,'Вводные'!$E$88)),0)</x:f>
        <x:v>0</x:v>
      </x:c>
      <x:c r="AY17" s="117" t="n">
        <x:f>IF(AND(AY$3&gt;=EDATE($B$7,-MIN(6,'Вводные'!$E$88)),AY$3&lt;$B$7),$B$17/MAX(1,MIN(6,'Вводные'!$E$88)),0)</x:f>
        <x:v>0</x:v>
      </x:c>
      <x:c r="AZ17" s="117" t="n">
        <x:f>IF(AND(AZ$3&gt;=EDATE($B$7,-MIN(6,'Вводные'!$E$88)),AZ$3&lt;$B$7),$B$17/MAX(1,MIN(6,'Вводные'!$E$88)),0)</x:f>
        <x:v>0</x:v>
      </x:c>
      <x:c r="BA17" s="117" t="n">
        <x:f>IF(AND(BA$3&gt;=EDATE($B$7,-MIN(6,'Вводные'!$E$88)),BA$3&lt;$B$7),$B$17/MAX(1,MIN(6,'Вводные'!$E$88)),0)</x:f>
        <x:v>0</x:v>
      </x:c>
      <x:c r="BB17" s="117" t="n">
        <x:f>IF(AND(BB$3&gt;=EDATE($B$7,-MIN(6,'Вводные'!$E$88)),BB$3&lt;$B$7),$B$17/MAX(1,MIN(6,'Вводные'!$E$88)),0)</x:f>
        <x:v>0</x:v>
      </x:c>
      <x:c r="BC17" s="117" t="n">
        <x:f>IF(AND(BC$3&gt;=EDATE($B$7,-MIN(6,'Вводные'!$E$88)),BC$3&lt;$B$7),$B$17/MAX(1,MIN(6,'Вводные'!$E$88)),0)</x:f>
        <x:v>0</x:v>
      </x:c>
      <x:c r="BD17" s="117" t="n">
        <x:f>IF(AND(BD$3&gt;=EDATE($B$7,-MIN(6,'Вводные'!$E$88)),BD$3&lt;$B$7),$B$17/MAX(1,MIN(6,'Вводные'!$E$88)),0)</x:f>
        <x:v>0</x:v>
      </x:c>
      <x:c r="BE17" s="117" t="n">
        <x:f>IF(AND(BE$3&gt;=EDATE($B$7,-MIN(6,'Вводные'!$E$88)),BE$3&lt;$B$7),$B$17/MAX(1,MIN(6,'Вводные'!$E$88)),0)</x:f>
        <x:v>0</x:v>
      </x:c>
      <x:c r="BF17" s="117" t="n">
        <x:f>IF(AND(BF$3&gt;=EDATE($B$7,-MIN(6,'Вводные'!$E$88)),BF$3&lt;$B$7),$B$17/MAX(1,MIN(6,'Вводные'!$E$88)),0)</x:f>
        <x:v>0</x:v>
      </x:c>
      <x:c r="BG17" s="117" t="n">
        <x:f>IF(AND(BG$3&gt;=EDATE($B$7,-MIN(6,'Вводные'!$E$88)),BG$3&lt;$B$7),$B$17/MAX(1,MIN(6,'Вводные'!$E$88)),0)</x:f>
        <x:v>0</x:v>
      </x:c>
      <x:c r="BH17" s="117" t="n">
        <x:f>IF(AND(BH$3&gt;=EDATE($B$7,-MIN(6,'Вводные'!$E$88)),BH$3&lt;$B$7),$B$17/MAX(1,MIN(6,'Вводные'!$E$88)),0)</x:f>
        <x:v>0</x:v>
      </x:c>
      <x:c r="BI17" s="117" t="n">
        <x:f>IF(AND(BI$3&gt;=EDATE($B$7,-MIN(6,'Вводные'!$E$88)),BI$3&lt;$B$7),$B$17/MAX(1,MIN(6,'Вводные'!$E$88)),0)</x:f>
        <x:v>0</x:v>
      </x:c>
      <x:c r="BJ17" s="117" t="n">
        <x:f>IF(AND(BJ$3&gt;=EDATE($B$7,-MIN(6,'Вводные'!$E$88)),BJ$3&lt;$B$7),$B$17/MAX(1,MIN(6,'Вводные'!$E$88)),0)</x:f>
        <x:v>0</x:v>
      </x:c>
      <x:c r="BK17" s="117" t="n">
        <x:f>IF(AND(BK$3&gt;=EDATE($B$7,-MIN(6,'Вводные'!$E$88)),BK$3&lt;$B$7),$B$17/MAX(1,MIN(6,'Вводные'!$E$88)),0)</x:f>
        <x:v>0</x:v>
      </x:c>
      <x:c r="BL17" s="117" t="n">
        <x:f>IF(AND(BL$3&gt;=EDATE($B$7,-MIN(6,'Вводные'!$E$88)),BL$3&lt;$B$7),$B$17/MAX(1,MIN(6,'Вводные'!$E$88)),0)</x:f>
        <x:v>0</x:v>
      </x:c>
      <x:c r="BM17" s="117" t="n">
        <x:f>IF(AND(BM$3&gt;=EDATE($B$7,-MIN(6,'Вводные'!$E$88)),BM$3&lt;$B$7),$B$17/MAX(1,MIN(6,'Вводные'!$E$88)),0)</x:f>
        <x:v>0</x:v>
      </x:c>
      <x:c r="BN17" s="117" t="n">
        <x:f>IF(AND(BN$3&gt;=EDATE($B$7,-MIN(6,'Вводные'!$E$88)),BN$3&lt;$B$7),$B$17/MAX(1,MIN(6,'Вводные'!$E$88)),0)</x:f>
        <x:v>0</x:v>
      </x:c>
      <x:c r="BO17" s="117" t="n">
        <x:f>IF(AND(BO$3&gt;=EDATE($B$7,-MIN(6,'Вводные'!$E$88)),BO$3&lt;$B$7),$B$17/MAX(1,MIN(6,'Вводные'!$E$88)),0)</x:f>
        <x:v>0</x:v>
      </x:c>
      <x:c r="BP17" s="117" t="n">
        <x:f>IF(AND(BP$3&gt;=EDATE($B$7,-MIN(6,'Вводные'!$E$88)),BP$3&lt;$B$7),$B$17/MAX(1,MIN(6,'Вводные'!$E$88)),0)</x:f>
        <x:v>0</x:v>
      </x:c>
      <x:c r="BQ17" s="117" t="n">
        <x:f>IF(AND(BQ$3&gt;=EDATE($B$7,-MIN(6,'Вводные'!$E$88)),BQ$3&lt;$B$7),$B$17/MAX(1,MIN(6,'Вводные'!$E$88)),0)</x:f>
        <x:v>0</x:v>
      </x:c>
      <x:c r="BR17" s="117" t="n">
        <x:f>IF(AND(BR$3&gt;=EDATE($B$7,-MIN(6,'Вводные'!$E$88)),BR$3&lt;$B$7),$B$17/MAX(1,MIN(6,'Вводные'!$E$88)),0)</x:f>
        <x:v>0</x:v>
      </x:c>
      <x:c r="BS17" s="117" t="n">
        <x:f>IF(AND(BS$3&gt;=EDATE($B$7,-MIN(6,'Вводные'!$E$88)),BS$3&lt;$B$7),$B$17/MAX(1,MIN(6,'Вводные'!$E$88)),0)</x:f>
        <x:v>0</x:v>
      </x:c>
      <x:c r="BT17" s="117" t="n">
        <x:f>IF(AND(BT$3&gt;=EDATE($B$7,-MIN(6,'Вводные'!$E$88)),BT$3&lt;$B$7),$B$17/MAX(1,MIN(6,'Вводные'!$E$88)),0)</x:f>
        <x:v>0</x:v>
      </x:c>
      <x:c r="BU17" s="117" t="n">
        <x:f>IF(AND(BU$3&gt;=EDATE($B$7,-MIN(6,'Вводные'!$E$88)),BU$3&lt;$B$7),$B$17/MAX(1,MIN(6,'Вводные'!$E$88)),0)</x:f>
        <x:v>0</x:v>
      </x:c>
      <x:c r="BV17" s="117" t="n">
        <x:f>IF(AND(BV$3&gt;=EDATE($B$7,-MIN(6,'Вводные'!$E$88)),BV$3&lt;$B$7),$B$17/MAX(1,MIN(6,'Вводные'!$E$88)),0)</x:f>
        <x:v>0</x:v>
      </x:c>
      <x:c r="BW17" s="117" t="n">
        <x:f>IF(AND(BW$3&gt;=EDATE($B$7,-MIN(6,'Вводные'!$E$88)),BW$3&lt;$B$7),$B$17/MAX(1,MIN(6,'Вводные'!$E$88)),0)</x:f>
        <x:v>0</x:v>
      </x:c>
      <x:c r="BX17" s="117" t="n">
        <x:f>IF(AND(BX$3&gt;=EDATE($B$7,-MIN(6,'Вводные'!$E$88)),BX$3&lt;$B$7),$B$17/MAX(1,MIN(6,'Вводные'!$E$88)),0)</x:f>
        <x:v>0</x:v>
      </x:c>
      <x:c r="BY17" s="117" t="n">
        <x:f>IF(AND(BY$3&gt;=EDATE($B$7,-MIN(6,'Вводные'!$E$88)),BY$3&lt;$B$7),$B$17/MAX(1,MIN(6,'Вводные'!$E$88)),0)</x:f>
        <x:v>0</x:v>
      </x:c>
      <x:c r="BZ17" s="117" t="n">
        <x:f>IF(AND(BZ$3&gt;=EDATE($B$7,-MIN(6,'Вводные'!$E$88)),BZ$3&lt;$B$7),$B$17/MAX(1,MIN(6,'Вводные'!$E$88)),0)</x:f>
        <x:v>0</x:v>
      </x:c>
      <x:c r="CA17" s="117" t="n">
        <x:f>IF(AND(CA$3&gt;=EDATE($B$7,-MIN(6,'Вводные'!$E$88)),CA$3&lt;$B$7),$B$17/MAX(1,MIN(6,'Вводные'!$E$88)),0)</x:f>
        <x:v>0</x:v>
      </x:c>
      <x:c r="CB17" s="117" t="n">
        <x:f>IF(AND(CB$3&gt;=EDATE($B$7,-MIN(6,'Вводные'!$E$88)),CB$3&lt;$B$7),$B$17/MAX(1,MIN(6,'Вводные'!$E$88)),0)</x:f>
        <x:v>0</x:v>
      </x:c>
      <x:c r="CC17" s="117" t="n">
        <x:f>IF(AND(CC$3&gt;=EDATE($B$7,-MIN(6,'Вводные'!$E$88)),CC$3&lt;$B$7),$B$17/MAX(1,MIN(6,'Вводные'!$E$88)),0)</x:f>
        <x:v>0</x:v>
      </x:c>
      <x:c r="CD17" s="117" t="n">
        <x:f>IF(AND(CD$3&gt;=EDATE($B$7,-MIN(6,'Вводные'!$E$88)),CD$3&lt;$B$7),$B$17/MAX(1,MIN(6,'Вводные'!$E$88)),0)</x:f>
        <x:v>0</x:v>
      </x:c>
      <x:c r="CE17" s="117" t="n">
        <x:f>IF(AND(CE$3&gt;=EDATE($B$7,-MIN(6,'Вводные'!$E$88)),CE$3&lt;$B$7),$B$17/MAX(1,MIN(6,'Вводные'!$E$88)),0)</x:f>
        <x:v>0</x:v>
      </x:c>
      <x:c r="CF17" s="117" t="n">
        <x:f>IF(AND(CF$3&gt;=EDATE($B$7,-MIN(6,'Вводные'!$E$88)),CF$3&lt;$B$7),$B$17/MAX(1,MIN(6,'Вводные'!$E$88)),0)</x:f>
        <x:v>0</x:v>
      </x:c>
      <x:c r="CG17" s="117" t="n">
        <x:f>IF(AND(CG$3&gt;=EDATE($B$7,-MIN(6,'Вводные'!$E$88)),CG$3&lt;$B$7),$B$17/MAX(1,MIN(6,'Вводные'!$E$88)),0)</x:f>
        <x:v>0</x:v>
      </x:c>
      <x:c r="CH17" s="117" t="n">
        <x:f>IF(AND(CH$3&gt;=EDATE($B$7,-MIN(6,'Вводные'!$E$88)),CH$3&lt;$B$7),$B$17/MAX(1,MIN(6,'Вводные'!$E$88)),0)</x:f>
        <x:v>0</x:v>
      </x:c>
      <x:c r="CI17" s="117" t="n">
        <x:f>IF(AND(CI$3&gt;=EDATE($B$7,-MIN(6,'Вводные'!$E$88)),CI$3&lt;$B$7),$B$17/MAX(1,MIN(6,'Вводные'!$E$88)),0)</x:f>
        <x:v>0</x:v>
      </x:c>
      <x:c r="CJ17" s="117" t="n">
        <x:f>IF(AND(CJ$3&gt;=EDATE($B$7,-MIN(6,'Вводные'!$E$88)),CJ$3&lt;$B$7),$B$17/MAX(1,MIN(6,'Вводные'!$E$88)),0)</x:f>
        <x:v>0</x:v>
      </x:c>
      <x:c r="CK17" s="117" t="n">
        <x:f>IF(AND(CK$3&gt;=EDATE($B$7,-MIN(6,'Вводные'!$E$88)),CK$3&lt;$B$7),$B$17/MAX(1,MIN(6,'Вводные'!$E$88)),0)</x:f>
        <x:v>0</x:v>
      </x:c>
      <x:c r="CL17" s="117" t="n">
        <x:f>IF(AND(CL$3&gt;=EDATE($B$7,-MIN(6,'Вводные'!$E$88)),CL$3&lt;$B$7),$B$17/MAX(1,MIN(6,'Вводные'!$E$88)),0)</x:f>
        <x:v>0</x:v>
      </x:c>
      <x:c r="CM17" s="117" t="n">
        <x:f>IF(AND(CM$3&gt;=EDATE($B$7,-MIN(6,'Вводные'!$E$88)),CM$3&lt;$B$7),$B$17/MAX(1,MIN(6,'Вводные'!$E$88)),0)</x:f>
        <x:v>0</x:v>
      </x:c>
      <x:c r="CN17" s="117" t="n">
        <x:f>IF(AND(CN$3&gt;=EDATE($B$7,-MIN(6,'Вводные'!$E$88)),CN$3&lt;$B$7),$B$17/MAX(1,MIN(6,'Вводные'!$E$88)),0)</x:f>
        <x:v>0</x:v>
      </x:c>
      <x:c r="CO17" s="117" t="n">
        <x:f>IF(AND(CO$3&gt;=EDATE($B$7,-MIN(6,'Вводные'!$E$88)),CO$3&lt;$B$7),$B$17/MAX(1,MIN(6,'Вводные'!$E$88)),0)</x:f>
        <x:v>0</x:v>
      </x:c>
      <x:c r="CP17" s="117" t="n">
        <x:f>IF(AND(CP$3&gt;=EDATE($B$7,-MIN(6,'Вводные'!$E$88)),CP$3&lt;$B$7),$B$17/MAX(1,MIN(6,'Вводные'!$E$88)),0)</x:f>
        <x:v>0</x:v>
      </x:c>
      <x:c r="CQ17" s="117" t="n">
        <x:f>IF(AND(CQ$3&gt;=EDATE($B$7,-MIN(6,'Вводные'!$E$88)),CQ$3&lt;$B$7),$B$17/MAX(1,MIN(6,'Вводные'!$E$88)),0)</x:f>
        <x:v>0</x:v>
      </x:c>
      <x:c r="CR17" s="117" t="n">
        <x:f>IF(AND(CR$3&gt;=EDATE($B$7,-MIN(6,'Вводные'!$E$88)),CR$3&lt;$B$7),$B$17/MAX(1,MIN(6,'Вводные'!$E$88)),0)</x:f>
        <x:v>0</x:v>
      </x:c>
      <x:c r="CS17" s="117" t="n">
        <x:f>IF(AND(CS$3&gt;=EDATE($B$7,-MIN(6,'Вводные'!$E$88)),CS$3&lt;$B$7),$B$17/MAX(1,MIN(6,'Вводные'!$E$88)),0)</x:f>
        <x:v>0</x:v>
      </x:c>
      <x:c r="CT17" s="117" t="n">
        <x:f>IF(AND(CT$3&gt;=EDATE($B$7,-MIN(6,'Вводные'!$E$88)),CT$3&lt;$B$7),$B$17/MAX(1,MIN(6,'Вводные'!$E$88)),0)</x:f>
        <x:v>0</x:v>
      </x:c>
      <x:c r="CU17" s="117" t="n">
        <x:f>IF(AND(CU$3&gt;=EDATE($B$7,-MIN(6,'Вводные'!$E$88)),CU$3&lt;$B$7),$B$17/MAX(1,MIN(6,'Вводные'!$E$88)),0)</x:f>
        <x:v>0</x:v>
      </x:c>
      <x:c r="CV17" s="117" t="n">
        <x:f>IF(AND(CV$3&gt;=EDATE($B$7,-MIN(6,'Вводные'!$E$88)),CV$3&lt;$B$7),$B$17/MAX(1,MIN(6,'Вводные'!$E$88)),0)</x:f>
        <x:v>0</x:v>
      </x:c>
      <x:c r="CW17" s="117" t="n">
        <x:f>IF(AND(CW$3&gt;=EDATE($B$7,-MIN(6,'Вводные'!$E$88)),CW$3&lt;$B$7),$B$17/MAX(1,MIN(6,'Вводные'!$E$88)),0)</x:f>
        <x:v>0</x:v>
      </x:c>
      <x:c r="CX17" s="117" t="n">
        <x:f>IF(AND(CX$3&gt;=EDATE($B$7,-MIN(6,'Вводные'!$E$88)),CX$3&lt;$B$7),$B$17/MAX(1,MIN(6,'Вводные'!$E$88)),0)</x:f>
        <x:v>0</x:v>
      </x:c>
      <x:c r="CY17" s="117" t="n">
        <x:f>IF(AND(CY$3&gt;=EDATE($B$7,-MIN(6,'Вводные'!$E$88)),CY$3&lt;$B$7),$B$17/MAX(1,MIN(6,'Вводные'!$E$88)),0)</x:f>
        <x:v>0</x:v>
      </x:c>
      <x:c r="CZ17" s="117" t="n">
        <x:f>IF(AND(CZ$3&gt;=EDATE($B$7,-MIN(6,'Вводные'!$E$88)),CZ$3&lt;$B$7),$B$17/MAX(1,MIN(6,'Вводные'!$E$88)),0)</x:f>
        <x:v>0</x:v>
      </x:c>
      <x:c r="DA17" s="117" t="n">
        <x:f>IF(AND(DA$3&gt;=EDATE($B$7,-MIN(6,'Вводные'!$E$88)),DA$3&lt;$B$7),$B$17/MAX(1,MIN(6,'Вводные'!$E$88)),0)</x:f>
        <x:v>0</x:v>
      </x:c>
      <x:c r="DB17" s="117" t="n">
        <x:f>IF(AND(DB$3&gt;=EDATE($B$7,-MIN(6,'Вводные'!$E$88)),DB$3&lt;$B$7),$B$17/MAX(1,MIN(6,'Вводные'!$E$88)),0)</x:f>
        <x:v>0</x:v>
      </x:c>
      <x:c r="DC17" s="117" t="n">
        <x:f>IF(AND(DC$3&gt;=EDATE($B$7,-MIN(6,'Вводные'!$E$88)),DC$3&lt;$B$7),$B$17/MAX(1,MIN(6,'Вводные'!$E$88)),0)</x:f>
        <x:v>0</x:v>
      </x:c>
      <x:c r="DD17" s="117" t="n">
        <x:f>IF(AND(DD$3&gt;=EDATE($B$7,-MIN(6,'Вводные'!$E$88)),DD$3&lt;$B$7),$B$17/MAX(1,MIN(6,'Вводные'!$E$88)),0)</x:f>
        <x:v>0</x:v>
      </x:c>
      <x:c r="DE17" s="117" t="n">
        <x:f>IF(AND(DE$3&gt;=EDATE($B$7,-MIN(6,'Вводные'!$E$88)),DE$3&lt;$B$7),$B$17/MAX(1,MIN(6,'Вводные'!$E$88)),0)</x:f>
        <x:v>0</x:v>
      </x:c>
      <x:c r="DF17" s="117" t="n">
        <x:f>IF(AND(DF$3&gt;=EDATE($B$7,-MIN(6,'Вводные'!$E$88)),DF$3&lt;$B$7),$B$17/MAX(1,MIN(6,'Вводные'!$E$88)),0)</x:f>
        <x:v>0</x:v>
      </x:c>
      <x:c r="DG17" s="117" t="n">
        <x:f>IF(AND(DG$3&gt;=EDATE($B$7,-MIN(6,'Вводные'!$E$88)),DG$3&lt;$B$7),$B$17/MAX(1,MIN(6,'Вводные'!$E$88)),0)</x:f>
        <x:v>0</x:v>
      </x:c>
      <x:c r="DH17" s="117" t="n">
        <x:f>IF(AND(DH$3&gt;=EDATE($B$7,-MIN(6,'Вводные'!$E$88)),DH$3&lt;$B$7),$B$17/MAX(1,MIN(6,'Вводные'!$E$88)),0)</x:f>
        <x:v>0</x:v>
      </x:c>
      <x:c r="DI17" s="117" t="n">
        <x:f>IF(AND(DI$3&gt;=EDATE($B$7,-MIN(6,'Вводные'!$E$88)),DI$3&lt;$B$7),$B$17/MAX(1,MIN(6,'Вводные'!$E$88)),0)</x:f>
        <x:v>0</x:v>
      </x:c>
      <x:c r="DJ17" s="117" t="n">
        <x:f>IF(AND(DJ$3&gt;=EDATE($B$7,-MIN(6,'Вводные'!$E$88)),DJ$3&lt;$B$7),$B$17/MAX(1,MIN(6,'Вводные'!$E$88)),0)</x:f>
        <x:v>0</x:v>
      </x:c>
      <x:c r="DK17" s="117" t="n">
        <x:f>IF(AND(DK$3&gt;=EDATE($B$7,-MIN(6,'Вводные'!$E$88)),DK$3&lt;$B$7),$B$17/MAX(1,MIN(6,'Вводные'!$E$88)),0)</x:f>
        <x:v>0</x:v>
      </x:c>
      <x:c r="DL17" s="117" t="n">
        <x:f>IF(AND(DL$3&gt;=EDATE($B$7,-MIN(6,'Вводные'!$E$88)),DL$3&lt;$B$7),$B$17/MAX(1,MIN(6,'Вводные'!$E$88)),0)</x:f>
        <x:v>0</x:v>
      </x:c>
      <x:c r="DM17" s="117" t="n">
        <x:f>IF(AND(DM$3&gt;=EDATE($B$7,-MIN(6,'Вводные'!$E$88)),DM$3&lt;$B$7),$B$17/MAX(1,MIN(6,'Вводные'!$E$88)),0)</x:f>
        <x:v>0</x:v>
      </x:c>
      <x:c r="DN17" s="117" t="n">
        <x:f>IF(AND(DN$3&gt;=EDATE($B$7,-MIN(6,'Вводные'!$E$88)),DN$3&lt;$B$7),$B$17/MAX(1,MIN(6,'Вводные'!$E$88)),0)</x:f>
        <x:v>0</x:v>
      </x:c>
      <x:c r="DO17" s="117" t="n">
        <x:f>IF(AND(DO$3&gt;=EDATE($B$7,-MIN(6,'Вводные'!$E$88)),DO$3&lt;$B$7),$B$17/MAX(1,MIN(6,'Вводные'!$E$88)),0)</x:f>
        <x:v>0</x:v>
      </x:c>
      <x:c r="DP17" s="117" t="n">
        <x:f>IF(AND(DP$3&gt;=EDATE($B$7,-MIN(6,'Вводные'!$E$88)),DP$3&lt;$B$7),$B$17/MAX(1,MIN(6,'Вводные'!$E$88)),0)</x:f>
        <x:v>0</x:v>
      </x:c>
      <x:c r="DQ17" s="117" t="n">
        <x:f>IF(AND(DQ$3&gt;=EDATE($B$7,-MIN(6,'Вводные'!$E$88)),DQ$3&lt;$B$7),$B$17/MAX(1,MIN(6,'Вводные'!$E$88)),0)</x:f>
        <x:v>0</x:v>
      </x:c>
      <x:c r="DR17" s="117" t="n">
        <x:f>IF(AND(DR$3&gt;=EDATE($B$7,-MIN(6,'Вводные'!$E$88)),DR$3&lt;$B$7),$B$17/MAX(1,MIN(6,'Вводные'!$E$88)),0)</x:f>
        <x:v>0</x:v>
      </x:c>
      <x:c r="DS17" s="117" t="n">
        <x:f>IF(AND(DS$3&gt;=EDATE($B$7,-MIN(6,'Вводные'!$E$88)),DS$3&lt;$B$7),$B$17/MAX(1,MIN(6,'Вводные'!$E$88)),0)</x:f>
        <x:v>0</x:v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  <x:v>64.9175</x:v>
      </x:c>
      <x:c r="C18" t="str">
        <x:v>млн ₽</x:v>
      </x:c>
      <x:c r="D18" s="117" t="n">
        <x:f>IF(AND(D$3&gt;=EDATE($B$7,-MIN(6,'Вводные'!$E$88)),D$3&lt;$B$7),$B$18/MAX(1,MIN(6,'Вводные'!$E$88)),0)</x:f>
        <x:v>0</x:v>
      </x:c>
      <x:c r="E18" s="117" t="n">
        <x:f>IF(AND(E$3&gt;=EDATE($B$7,-MIN(6,'Вводные'!$E$88)),E$3&lt;$B$7),$B$18/MAX(1,MIN(6,'Вводные'!$E$88)),0)</x:f>
        <x:v>0</x:v>
      </x:c>
      <x:c r="F18" s="117" t="n">
        <x:f>IF(AND(F$3&gt;=EDATE($B$7,-MIN(6,'Вводные'!$E$88)),F$3&lt;$B$7),$B$18/MAX(1,MIN(6,'Вводные'!$E$88)),0)</x:f>
        <x:v>0</x:v>
      </x:c>
      <x:c r="G18" s="117" t="n">
        <x:f>IF(AND(G$3&gt;=EDATE($B$7,-MIN(6,'Вводные'!$E$88)),G$3&lt;$B$7),$B$18/MAX(1,MIN(6,'Вводные'!$E$88)),0)</x:f>
        <x:v>0</x:v>
      </x:c>
      <x:c r="H18" s="117" t="n">
        <x:f>IF(AND(H$3&gt;=EDATE($B$7,-MIN(6,'Вводные'!$E$88)),H$3&lt;$B$7),$B$18/MAX(1,MIN(6,'Вводные'!$E$88)),0)</x:f>
        <x:v>0</x:v>
      </x:c>
      <x:c r="I18" s="117" t="n">
        <x:f>IF(AND(I$3&gt;=EDATE($B$7,-MIN(6,'Вводные'!$E$88)),I$3&lt;$B$7),$B$18/MAX(1,MIN(6,'Вводные'!$E$88)),0)</x:f>
        <x:v>0</x:v>
      </x:c>
      <x:c r="J18" s="117" t="n">
        <x:f>IF(AND(J$3&gt;=EDATE($B$7,-MIN(6,'Вводные'!$E$88)),J$3&lt;$B$7),$B$18/MAX(1,MIN(6,'Вводные'!$E$88)),0)</x:f>
        <x:v>0</x:v>
      </x:c>
      <x:c r="K18" s="117" t="n">
        <x:f>IF(AND(K$3&gt;=EDATE($B$7,-MIN(6,'Вводные'!$E$88)),K$3&lt;$B$7),$B$18/MAX(1,MIN(6,'Вводные'!$E$88)),0)</x:f>
        <x:v>0</x:v>
      </x:c>
      <x:c r="L18" s="117" t="n">
        <x:f>IF(AND(L$3&gt;=EDATE($B$7,-MIN(6,'Вводные'!$E$88)),L$3&lt;$B$7),$B$18/MAX(1,MIN(6,'Вводные'!$E$88)),0)</x:f>
        <x:v>0</x:v>
      </x:c>
      <x:c r="M18" s="117" t="n">
        <x:f>IF(AND(M$3&gt;=EDATE($B$7,-MIN(6,'Вводные'!$E$88)),M$3&lt;$B$7),$B$18/MAX(1,MIN(6,'Вводные'!$E$88)),0)</x:f>
        <x:v>0</x:v>
      </x:c>
      <x:c r="N18" s="117" t="n">
        <x:f>IF(AND(N$3&gt;=EDATE($B$7,-MIN(6,'Вводные'!$E$88)),N$3&lt;$B$7),$B$18/MAX(1,MIN(6,'Вводные'!$E$88)),0)</x:f>
        <x:v>0</x:v>
      </x:c>
      <x:c r="O18" s="117" t="n">
        <x:f>IF(AND(O$3&gt;=EDATE($B$7,-MIN(6,'Вводные'!$E$88)),O$3&lt;$B$7),$B$18/MAX(1,MIN(6,'Вводные'!$E$88)),0)</x:f>
        <x:v>0</x:v>
      </x:c>
      <x:c r="P18" s="117" t="n">
        <x:f>IF(AND(P$3&gt;=EDATE($B$7,-MIN(6,'Вводные'!$E$88)),P$3&lt;$B$7),$B$18/MAX(1,MIN(6,'Вводные'!$E$88)),0)</x:f>
        <x:v>10.819583333333334</x:v>
      </x:c>
      <x:c r="Q18" s="117" t="n">
        <x:f>IF(AND(Q$3&gt;=EDATE($B$7,-MIN(6,'Вводные'!$E$88)),Q$3&lt;$B$7),$B$18/MAX(1,MIN(6,'Вводные'!$E$88)),0)</x:f>
        <x:v>10.819583333333334</x:v>
      </x:c>
      <x:c r="R18" s="117" t="n">
        <x:f>IF(AND(R$3&gt;=EDATE($B$7,-MIN(6,'Вводные'!$E$88)),R$3&lt;$B$7),$B$18/MAX(1,MIN(6,'Вводные'!$E$88)),0)</x:f>
        <x:v>10.819583333333334</x:v>
      </x:c>
      <x:c r="S18" s="117" t="n">
        <x:f>IF(AND(S$3&gt;=EDATE($B$7,-MIN(6,'Вводные'!$E$88)),S$3&lt;$B$7),$B$18/MAX(1,MIN(6,'Вводные'!$E$88)),0)</x:f>
        <x:v>10.819583333333334</x:v>
      </x:c>
      <x:c r="T18" s="117" t="n">
        <x:f>IF(AND(T$3&gt;=EDATE($B$7,-MIN(6,'Вводные'!$E$88)),T$3&lt;$B$7),$B$18/MAX(1,MIN(6,'Вводные'!$E$88)),0)</x:f>
        <x:v>10.819583333333334</x:v>
      </x:c>
      <x:c r="U18" s="117" t="n">
        <x:f>IF(AND(U$3&gt;=EDATE($B$7,-MIN(6,'Вводные'!$E$88)),U$3&lt;$B$7),$B$18/MAX(1,MIN(6,'Вводные'!$E$88)),0)</x:f>
        <x:v>10.819583333333334</x:v>
      </x:c>
      <x:c r="V18" s="117" t="n">
        <x:f>IF(AND(V$3&gt;=EDATE($B$7,-MIN(6,'Вводные'!$E$88)),V$3&lt;$B$7),$B$18/MAX(1,MIN(6,'Вводные'!$E$88)),0)</x:f>
        <x:v>0</x:v>
      </x:c>
      <x:c r="W18" s="117" t="n">
        <x:f>IF(AND(W$3&gt;=EDATE($B$7,-MIN(6,'Вводные'!$E$88)),W$3&lt;$B$7),$B$18/MAX(1,MIN(6,'Вводные'!$E$88)),0)</x:f>
        <x:v>0</x:v>
      </x:c>
      <x:c r="X18" s="117" t="n">
        <x:f>IF(AND(X$3&gt;=EDATE($B$7,-MIN(6,'Вводные'!$E$88)),X$3&lt;$B$7),$B$18/MAX(1,MIN(6,'Вводные'!$E$88)),0)</x:f>
        <x:v>0</x:v>
      </x:c>
      <x:c r="Y18" s="117" t="n">
        <x:f>IF(AND(Y$3&gt;=EDATE($B$7,-MIN(6,'Вводные'!$E$88)),Y$3&lt;$B$7),$B$18/MAX(1,MIN(6,'Вводные'!$E$88)),0)</x:f>
        <x:v>0</x:v>
      </x:c>
      <x:c r="Z18" s="117" t="n">
        <x:f>IF(AND(Z$3&gt;=EDATE($B$7,-MIN(6,'Вводные'!$E$88)),Z$3&lt;$B$7),$B$18/MAX(1,MIN(6,'Вводные'!$E$88)),0)</x:f>
        <x:v>0</x:v>
      </x:c>
      <x:c r="AA18" s="117" t="n">
        <x:f>IF(AND(AA$3&gt;=EDATE($B$7,-MIN(6,'Вводные'!$E$88)),AA$3&lt;$B$7),$B$18/MAX(1,MIN(6,'Вводные'!$E$88)),0)</x:f>
        <x:v>0</x:v>
      </x:c>
      <x:c r="AB18" s="117" t="n">
        <x:f>IF(AND(AB$3&gt;=EDATE($B$7,-MIN(6,'Вводные'!$E$88)),AB$3&lt;$B$7),$B$18/MAX(1,MIN(6,'Вводные'!$E$88)),0)</x:f>
        <x:v>0</x:v>
      </x:c>
      <x:c r="AC18" s="117" t="n">
        <x:f>IF(AND(AC$3&gt;=EDATE($B$7,-MIN(6,'Вводные'!$E$88)),AC$3&lt;$B$7),$B$18/MAX(1,MIN(6,'Вводные'!$E$88)),0)</x:f>
        <x:v>0</x:v>
      </x:c>
      <x:c r="AD18" s="117" t="n">
        <x:f>IF(AND(AD$3&gt;=EDATE($B$7,-MIN(6,'Вводные'!$E$88)),AD$3&lt;$B$7),$B$18/MAX(1,MIN(6,'Вводные'!$E$88)),0)</x:f>
        <x:v>0</x:v>
      </x:c>
      <x:c r="AE18" s="117" t="n">
        <x:f>IF(AND(AE$3&gt;=EDATE($B$7,-MIN(6,'Вводные'!$E$88)),AE$3&lt;$B$7),$B$18/MAX(1,MIN(6,'Вводные'!$E$88)),0)</x:f>
        <x:v>0</x:v>
      </x:c>
      <x:c r="AF18" s="117" t="n">
        <x:f>IF(AND(AF$3&gt;=EDATE($B$7,-MIN(6,'Вводные'!$E$88)),AF$3&lt;$B$7),$B$18/MAX(1,MIN(6,'Вводные'!$E$88)),0)</x:f>
        <x:v>0</x:v>
      </x:c>
      <x:c r="AG18" s="117" t="n">
        <x:f>IF(AND(AG$3&gt;=EDATE($B$7,-MIN(6,'Вводные'!$E$88)),AG$3&lt;$B$7),$B$18/MAX(1,MIN(6,'Вводные'!$E$88)),0)</x:f>
        <x:v>0</x:v>
      </x:c>
      <x:c r="AH18" s="117" t="n">
        <x:f>IF(AND(AH$3&gt;=EDATE($B$7,-MIN(6,'Вводные'!$E$88)),AH$3&lt;$B$7),$B$18/MAX(1,MIN(6,'Вводные'!$E$88)),0)</x:f>
        <x:v>0</x:v>
      </x:c>
      <x:c r="AI18" s="117" t="n">
        <x:f>IF(AND(AI$3&gt;=EDATE($B$7,-MIN(6,'Вводные'!$E$88)),AI$3&lt;$B$7),$B$18/MAX(1,MIN(6,'Вводные'!$E$88)),0)</x:f>
        <x:v>0</x:v>
      </x:c>
      <x:c r="AJ18" s="117" t="n">
        <x:f>IF(AND(AJ$3&gt;=EDATE($B$7,-MIN(6,'Вводные'!$E$88)),AJ$3&lt;$B$7),$B$18/MAX(1,MIN(6,'Вводные'!$E$88)),0)</x:f>
        <x:v>0</x:v>
      </x:c>
      <x:c r="AK18" s="117" t="n">
        <x:f>IF(AND(AK$3&gt;=EDATE($B$7,-MIN(6,'Вводные'!$E$88)),AK$3&lt;$B$7),$B$18/MAX(1,MIN(6,'Вводные'!$E$88)),0)</x:f>
        <x:v>0</x:v>
      </x:c>
      <x:c r="AL18" s="117" t="n">
        <x:f>IF(AND(AL$3&gt;=EDATE($B$7,-MIN(6,'Вводные'!$E$88)),AL$3&lt;$B$7),$B$18/MAX(1,MIN(6,'Вводные'!$E$88)),0)</x:f>
        <x:v>0</x:v>
      </x:c>
      <x:c r="AM18" s="117" t="n">
        <x:f>IF(AND(AM$3&gt;=EDATE($B$7,-MIN(6,'Вводные'!$E$88)),AM$3&lt;$B$7),$B$18/MAX(1,MIN(6,'Вводные'!$E$88)),0)</x:f>
        <x:v>0</x:v>
      </x:c>
      <x:c r="AN18" s="117" t="n">
        <x:f>IF(AND(AN$3&gt;=EDATE($B$7,-MIN(6,'Вводные'!$E$88)),AN$3&lt;$B$7),$B$18/MAX(1,MIN(6,'Вводные'!$E$88)),0)</x:f>
        <x:v>0</x:v>
      </x:c>
      <x:c r="AO18" s="117" t="n">
        <x:f>IF(AND(AO$3&gt;=EDATE($B$7,-MIN(6,'Вводные'!$E$88)),AO$3&lt;$B$7),$B$18/MAX(1,MIN(6,'Вводные'!$E$88)),0)</x:f>
        <x:v>0</x:v>
      </x:c>
      <x:c r="AP18" s="117" t="n">
        <x:f>IF(AND(AP$3&gt;=EDATE($B$7,-MIN(6,'Вводные'!$E$88)),AP$3&lt;$B$7),$B$18/MAX(1,MIN(6,'Вводные'!$E$88)),0)</x:f>
        <x:v>0</x:v>
      </x:c>
      <x:c r="AQ18" s="117" t="n">
        <x:f>IF(AND(AQ$3&gt;=EDATE($B$7,-MIN(6,'Вводные'!$E$88)),AQ$3&lt;$B$7),$B$18/MAX(1,MIN(6,'Вводные'!$E$88)),0)</x:f>
        <x:v>0</x:v>
      </x:c>
      <x:c r="AR18" s="117" t="n">
        <x:f>IF(AND(AR$3&gt;=EDATE($B$7,-MIN(6,'Вводные'!$E$88)),AR$3&lt;$B$7),$B$18/MAX(1,MIN(6,'Вводные'!$E$88)),0)</x:f>
        <x:v>0</x:v>
      </x:c>
      <x:c r="AS18" s="117" t="n">
        <x:f>IF(AND(AS$3&gt;=EDATE($B$7,-MIN(6,'Вводные'!$E$88)),AS$3&lt;$B$7),$B$18/MAX(1,MIN(6,'Вводные'!$E$88)),0)</x:f>
        <x:v>0</x:v>
      </x:c>
      <x:c r="AT18" s="117" t="n">
        <x:f>IF(AND(AT$3&gt;=EDATE($B$7,-MIN(6,'Вводные'!$E$88)),AT$3&lt;$B$7),$B$18/MAX(1,MIN(6,'Вводные'!$E$88)),0)</x:f>
        <x:v>0</x:v>
      </x:c>
      <x:c r="AU18" s="117" t="n">
        <x:f>IF(AND(AU$3&gt;=EDATE($B$7,-MIN(6,'Вводные'!$E$88)),AU$3&lt;$B$7),$B$18/MAX(1,MIN(6,'Вводные'!$E$88)),0)</x:f>
        <x:v>0</x:v>
      </x:c>
      <x:c r="AV18" s="117" t="n">
        <x:f>IF(AND(AV$3&gt;=EDATE($B$7,-MIN(6,'Вводные'!$E$88)),AV$3&lt;$B$7),$B$18/MAX(1,MIN(6,'Вводные'!$E$88)),0)</x:f>
        <x:v>0</x:v>
      </x:c>
      <x:c r="AW18" s="117" t="n">
        <x:f>IF(AND(AW$3&gt;=EDATE($B$7,-MIN(6,'Вводные'!$E$88)),AW$3&lt;$B$7),$B$18/MAX(1,MIN(6,'Вводные'!$E$88)),0)</x:f>
        <x:v>0</x:v>
      </x:c>
      <x:c r="AX18" s="117" t="n">
        <x:f>IF(AND(AX$3&gt;=EDATE($B$7,-MIN(6,'Вводные'!$E$88)),AX$3&lt;$B$7),$B$18/MAX(1,MIN(6,'Вводные'!$E$88)),0)</x:f>
        <x:v>0</x:v>
      </x:c>
      <x:c r="AY18" s="117" t="n">
        <x:f>IF(AND(AY$3&gt;=EDATE($B$7,-MIN(6,'Вводные'!$E$88)),AY$3&lt;$B$7),$B$18/MAX(1,MIN(6,'Вводные'!$E$88)),0)</x:f>
        <x:v>0</x:v>
      </x:c>
      <x:c r="AZ18" s="117" t="n">
        <x:f>IF(AND(AZ$3&gt;=EDATE($B$7,-MIN(6,'Вводные'!$E$88)),AZ$3&lt;$B$7),$B$18/MAX(1,MIN(6,'Вводные'!$E$88)),0)</x:f>
        <x:v>0</x:v>
      </x:c>
      <x:c r="BA18" s="117" t="n">
        <x:f>IF(AND(BA$3&gt;=EDATE($B$7,-MIN(6,'Вводные'!$E$88)),BA$3&lt;$B$7),$B$18/MAX(1,MIN(6,'Вводные'!$E$88)),0)</x:f>
        <x:v>0</x:v>
      </x:c>
      <x:c r="BB18" s="117" t="n">
        <x:f>IF(AND(BB$3&gt;=EDATE($B$7,-MIN(6,'Вводные'!$E$88)),BB$3&lt;$B$7),$B$18/MAX(1,MIN(6,'Вводные'!$E$88)),0)</x:f>
        <x:v>0</x:v>
      </x:c>
      <x:c r="BC18" s="117" t="n">
        <x:f>IF(AND(BC$3&gt;=EDATE($B$7,-MIN(6,'Вводные'!$E$88)),BC$3&lt;$B$7),$B$18/MAX(1,MIN(6,'Вводные'!$E$88)),0)</x:f>
        <x:v>0</x:v>
      </x:c>
      <x:c r="BD18" s="117" t="n">
        <x:f>IF(AND(BD$3&gt;=EDATE($B$7,-MIN(6,'Вводные'!$E$88)),BD$3&lt;$B$7),$B$18/MAX(1,MIN(6,'Вводные'!$E$88)),0)</x:f>
        <x:v>0</x:v>
      </x:c>
      <x:c r="BE18" s="117" t="n">
        <x:f>IF(AND(BE$3&gt;=EDATE($B$7,-MIN(6,'Вводные'!$E$88)),BE$3&lt;$B$7),$B$18/MAX(1,MIN(6,'Вводные'!$E$88)),0)</x:f>
        <x:v>0</x:v>
      </x:c>
      <x:c r="BF18" s="117" t="n">
        <x:f>IF(AND(BF$3&gt;=EDATE($B$7,-MIN(6,'Вводные'!$E$88)),BF$3&lt;$B$7),$B$18/MAX(1,MIN(6,'Вводные'!$E$88)),0)</x:f>
        <x:v>0</x:v>
      </x:c>
      <x:c r="BG18" s="117" t="n">
        <x:f>IF(AND(BG$3&gt;=EDATE($B$7,-MIN(6,'Вводные'!$E$88)),BG$3&lt;$B$7),$B$18/MAX(1,MIN(6,'Вводные'!$E$88)),0)</x:f>
        <x:v>0</x:v>
      </x:c>
      <x:c r="BH18" s="117" t="n">
        <x:f>IF(AND(BH$3&gt;=EDATE($B$7,-MIN(6,'Вводные'!$E$88)),BH$3&lt;$B$7),$B$18/MAX(1,MIN(6,'Вводные'!$E$88)),0)</x:f>
        <x:v>0</x:v>
      </x:c>
      <x:c r="BI18" s="117" t="n">
        <x:f>IF(AND(BI$3&gt;=EDATE($B$7,-MIN(6,'Вводные'!$E$88)),BI$3&lt;$B$7),$B$18/MAX(1,MIN(6,'Вводные'!$E$88)),0)</x:f>
        <x:v>0</x:v>
      </x:c>
      <x:c r="BJ18" s="117" t="n">
        <x:f>IF(AND(BJ$3&gt;=EDATE($B$7,-MIN(6,'Вводные'!$E$88)),BJ$3&lt;$B$7),$B$18/MAX(1,MIN(6,'Вводные'!$E$88)),0)</x:f>
        <x:v>0</x:v>
      </x:c>
      <x:c r="BK18" s="117" t="n">
        <x:f>IF(AND(BK$3&gt;=EDATE($B$7,-MIN(6,'Вводные'!$E$88)),BK$3&lt;$B$7),$B$18/MAX(1,MIN(6,'Вводные'!$E$88)),0)</x:f>
        <x:v>0</x:v>
      </x:c>
      <x:c r="BL18" s="117" t="n">
        <x:f>IF(AND(BL$3&gt;=EDATE($B$7,-MIN(6,'Вводные'!$E$88)),BL$3&lt;$B$7),$B$18/MAX(1,MIN(6,'Вводные'!$E$88)),0)</x:f>
        <x:v>0</x:v>
      </x:c>
      <x:c r="BM18" s="117" t="n">
        <x:f>IF(AND(BM$3&gt;=EDATE($B$7,-MIN(6,'Вводные'!$E$88)),BM$3&lt;$B$7),$B$18/MAX(1,MIN(6,'Вводные'!$E$88)),0)</x:f>
        <x:v>0</x:v>
      </x:c>
      <x:c r="BN18" s="117" t="n">
        <x:f>IF(AND(BN$3&gt;=EDATE($B$7,-MIN(6,'Вводные'!$E$88)),BN$3&lt;$B$7),$B$18/MAX(1,MIN(6,'Вводные'!$E$88)),0)</x:f>
        <x:v>0</x:v>
      </x:c>
      <x:c r="BO18" s="117" t="n">
        <x:f>IF(AND(BO$3&gt;=EDATE($B$7,-MIN(6,'Вводные'!$E$88)),BO$3&lt;$B$7),$B$18/MAX(1,MIN(6,'Вводные'!$E$88)),0)</x:f>
        <x:v>0</x:v>
      </x:c>
      <x:c r="BP18" s="117" t="n">
        <x:f>IF(AND(BP$3&gt;=EDATE($B$7,-MIN(6,'Вводные'!$E$88)),BP$3&lt;$B$7),$B$18/MAX(1,MIN(6,'Вводные'!$E$88)),0)</x:f>
        <x:v>0</x:v>
      </x:c>
      <x:c r="BQ18" s="117" t="n">
        <x:f>IF(AND(BQ$3&gt;=EDATE($B$7,-MIN(6,'Вводные'!$E$88)),BQ$3&lt;$B$7),$B$18/MAX(1,MIN(6,'Вводные'!$E$88)),0)</x:f>
        <x:v>0</x:v>
      </x:c>
      <x:c r="BR18" s="117" t="n">
        <x:f>IF(AND(BR$3&gt;=EDATE($B$7,-MIN(6,'Вводные'!$E$88)),BR$3&lt;$B$7),$B$18/MAX(1,MIN(6,'Вводные'!$E$88)),0)</x:f>
        <x:v>0</x:v>
      </x:c>
      <x:c r="BS18" s="117" t="n">
        <x:f>IF(AND(BS$3&gt;=EDATE($B$7,-MIN(6,'Вводные'!$E$88)),BS$3&lt;$B$7),$B$18/MAX(1,MIN(6,'Вводные'!$E$88)),0)</x:f>
        <x:v>0</x:v>
      </x:c>
      <x:c r="BT18" s="117" t="n">
        <x:f>IF(AND(BT$3&gt;=EDATE($B$7,-MIN(6,'Вводные'!$E$88)),BT$3&lt;$B$7),$B$18/MAX(1,MIN(6,'Вводные'!$E$88)),0)</x:f>
        <x:v>0</x:v>
      </x:c>
      <x:c r="BU18" s="117" t="n">
        <x:f>IF(AND(BU$3&gt;=EDATE($B$7,-MIN(6,'Вводные'!$E$88)),BU$3&lt;$B$7),$B$18/MAX(1,MIN(6,'Вводные'!$E$88)),0)</x:f>
        <x:v>0</x:v>
      </x:c>
      <x:c r="BV18" s="117" t="n">
        <x:f>IF(AND(BV$3&gt;=EDATE($B$7,-MIN(6,'Вводные'!$E$88)),BV$3&lt;$B$7),$B$18/MAX(1,MIN(6,'Вводные'!$E$88)),0)</x:f>
        <x:v>0</x:v>
      </x:c>
      <x:c r="BW18" s="117" t="n">
        <x:f>IF(AND(BW$3&gt;=EDATE($B$7,-MIN(6,'Вводные'!$E$88)),BW$3&lt;$B$7),$B$18/MAX(1,MIN(6,'Вводные'!$E$88)),0)</x:f>
        <x:v>0</x:v>
      </x:c>
      <x:c r="BX18" s="117" t="n">
        <x:f>IF(AND(BX$3&gt;=EDATE($B$7,-MIN(6,'Вводные'!$E$88)),BX$3&lt;$B$7),$B$18/MAX(1,MIN(6,'Вводные'!$E$88)),0)</x:f>
        <x:v>0</x:v>
      </x:c>
      <x:c r="BY18" s="117" t="n">
        <x:f>IF(AND(BY$3&gt;=EDATE($B$7,-MIN(6,'Вводные'!$E$88)),BY$3&lt;$B$7),$B$18/MAX(1,MIN(6,'Вводные'!$E$88)),0)</x:f>
        <x:v>0</x:v>
      </x:c>
      <x:c r="BZ18" s="117" t="n">
        <x:f>IF(AND(BZ$3&gt;=EDATE($B$7,-MIN(6,'Вводные'!$E$88)),BZ$3&lt;$B$7),$B$18/MAX(1,MIN(6,'Вводные'!$E$88)),0)</x:f>
        <x:v>0</x:v>
      </x:c>
      <x:c r="CA18" s="117" t="n">
        <x:f>IF(AND(CA$3&gt;=EDATE($B$7,-MIN(6,'Вводные'!$E$88)),CA$3&lt;$B$7),$B$18/MAX(1,MIN(6,'Вводные'!$E$88)),0)</x:f>
        <x:v>0</x:v>
      </x:c>
      <x:c r="CB18" s="117" t="n">
        <x:f>IF(AND(CB$3&gt;=EDATE($B$7,-MIN(6,'Вводные'!$E$88)),CB$3&lt;$B$7),$B$18/MAX(1,MIN(6,'Вводные'!$E$88)),0)</x:f>
        <x:v>0</x:v>
      </x:c>
      <x:c r="CC18" s="117" t="n">
        <x:f>IF(AND(CC$3&gt;=EDATE($B$7,-MIN(6,'Вводные'!$E$88)),CC$3&lt;$B$7),$B$18/MAX(1,MIN(6,'Вводные'!$E$88)),0)</x:f>
        <x:v>0</x:v>
      </x:c>
      <x:c r="CD18" s="117" t="n">
        <x:f>IF(AND(CD$3&gt;=EDATE($B$7,-MIN(6,'Вводные'!$E$88)),CD$3&lt;$B$7),$B$18/MAX(1,MIN(6,'Вводные'!$E$88)),0)</x:f>
        <x:v>0</x:v>
      </x:c>
      <x:c r="CE18" s="117" t="n">
        <x:f>IF(AND(CE$3&gt;=EDATE($B$7,-MIN(6,'Вводные'!$E$88)),CE$3&lt;$B$7),$B$18/MAX(1,MIN(6,'Вводные'!$E$88)),0)</x:f>
        <x:v>0</x:v>
      </x:c>
      <x:c r="CF18" s="117" t="n">
        <x:f>IF(AND(CF$3&gt;=EDATE($B$7,-MIN(6,'Вводные'!$E$88)),CF$3&lt;$B$7),$B$18/MAX(1,MIN(6,'Вводные'!$E$88)),0)</x:f>
        <x:v>0</x:v>
      </x:c>
      <x:c r="CG18" s="117" t="n">
        <x:f>IF(AND(CG$3&gt;=EDATE($B$7,-MIN(6,'Вводные'!$E$88)),CG$3&lt;$B$7),$B$18/MAX(1,MIN(6,'Вводные'!$E$88)),0)</x:f>
        <x:v>0</x:v>
      </x:c>
      <x:c r="CH18" s="117" t="n">
        <x:f>IF(AND(CH$3&gt;=EDATE($B$7,-MIN(6,'Вводные'!$E$88)),CH$3&lt;$B$7),$B$18/MAX(1,MIN(6,'Вводные'!$E$88)),0)</x:f>
        <x:v>0</x:v>
      </x:c>
      <x:c r="CI18" s="117" t="n">
        <x:f>IF(AND(CI$3&gt;=EDATE($B$7,-MIN(6,'Вводные'!$E$88)),CI$3&lt;$B$7),$B$18/MAX(1,MIN(6,'Вводные'!$E$88)),0)</x:f>
        <x:v>0</x:v>
      </x:c>
      <x:c r="CJ18" s="117" t="n">
        <x:f>IF(AND(CJ$3&gt;=EDATE($B$7,-MIN(6,'Вводные'!$E$88)),CJ$3&lt;$B$7),$B$18/MAX(1,MIN(6,'Вводные'!$E$88)),0)</x:f>
        <x:v>0</x:v>
      </x:c>
      <x:c r="CK18" s="117" t="n">
        <x:f>IF(AND(CK$3&gt;=EDATE($B$7,-MIN(6,'Вводные'!$E$88)),CK$3&lt;$B$7),$B$18/MAX(1,MIN(6,'Вводные'!$E$88)),0)</x:f>
        <x:v>0</x:v>
      </x:c>
      <x:c r="CL18" s="117" t="n">
        <x:f>IF(AND(CL$3&gt;=EDATE($B$7,-MIN(6,'Вводные'!$E$88)),CL$3&lt;$B$7),$B$18/MAX(1,MIN(6,'Вводные'!$E$88)),0)</x:f>
        <x:v>0</x:v>
      </x:c>
      <x:c r="CM18" s="117" t="n">
        <x:f>IF(AND(CM$3&gt;=EDATE($B$7,-MIN(6,'Вводные'!$E$88)),CM$3&lt;$B$7),$B$18/MAX(1,MIN(6,'Вводные'!$E$88)),0)</x:f>
        <x:v>0</x:v>
      </x:c>
      <x:c r="CN18" s="117" t="n">
        <x:f>IF(AND(CN$3&gt;=EDATE($B$7,-MIN(6,'Вводные'!$E$88)),CN$3&lt;$B$7),$B$18/MAX(1,MIN(6,'Вводные'!$E$88)),0)</x:f>
        <x:v>0</x:v>
      </x:c>
      <x:c r="CO18" s="117" t="n">
        <x:f>IF(AND(CO$3&gt;=EDATE($B$7,-MIN(6,'Вводные'!$E$88)),CO$3&lt;$B$7),$B$18/MAX(1,MIN(6,'Вводные'!$E$88)),0)</x:f>
        <x:v>0</x:v>
      </x:c>
      <x:c r="CP18" s="117" t="n">
        <x:f>IF(AND(CP$3&gt;=EDATE($B$7,-MIN(6,'Вводные'!$E$88)),CP$3&lt;$B$7),$B$18/MAX(1,MIN(6,'Вводные'!$E$88)),0)</x:f>
        <x:v>0</x:v>
      </x:c>
      <x:c r="CQ18" s="117" t="n">
        <x:f>IF(AND(CQ$3&gt;=EDATE($B$7,-MIN(6,'Вводные'!$E$88)),CQ$3&lt;$B$7),$B$18/MAX(1,MIN(6,'Вводные'!$E$88)),0)</x:f>
        <x:v>0</x:v>
      </x:c>
      <x:c r="CR18" s="117" t="n">
        <x:f>IF(AND(CR$3&gt;=EDATE($B$7,-MIN(6,'Вводные'!$E$88)),CR$3&lt;$B$7),$B$18/MAX(1,MIN(6,'Вводные'!$E$88)),0)</x:f>
        <x:v>0</x:v>
      </x:c>
      <x:c r="CS18" s="117" t="n">
        <x:f>IF(AND(CS$3&gt;=EDATE($B$7,-MIN(6,'Вводные'!$E$88)),CS$3&lt;$B$7),$B$18/MAX(1,MIN(6,'Вводные'!$E$88)),0)</x:f>
        <x:v>0</x:v>
      </x:c>
      <x:c r="CT18" s="117" t="n">
        <x:f>IF(AND(CT$3&gt;=EDATE($B$7,-MIN(6,'Вводные'!$E$88)),CT$3&lt;$B$7),$B$18/MAX(1,MIN(6,'Вводные'!$E$88)),0)</x:f>
        <x:v>0</x:v>
      </x:c>
      <x:c r="CU18" s="117" t="n">
        <x:f>IF(AND(CU$3&gt;=EDATE($B$7,-MIN(6,'Вводные'!$E$88)),CU$3&lt;$B$7),$B$18/MAX(1,MIN(6,'Вводные'!$E$88)),0)</x:f>
        <x:v>0</x:v>
      </x:c>
      <x:c r="CV18" s="117" t="n">
        <x:f>IF(AND(CV$3&gt;=EDATE($B$7,-MIN(6,'Вводные'!$E$88)),CV$3&lt;$B$7),$B$18/MAX(1,MIN(6,'Вводные'!$E$88)),0)</x:f>
        <x:v>0</x:v>
      </x:c>
      <x:c r="CW18" s="117" t="n">
        <x:f>IF(AND(CW$3&gt;=EDATE($B$7,-MIN(6,'Вводные'!$E$88)),CW$3&lt;$B$7),$B$18/MAX(1,MIN(6,'Вводные'!$E$88)),0)</x:f>
        <x:v>0</x:v>
      </x:c>
      <x:c r="CX18" s="117" t="n">
        <x:f>IF(AND(CX$3&gt;=EDATE($B$7,-MIN(6,'Вводные'!$E$88)),CX$3&lt;$B$7),$B$18/MAX(1,MIN(6,'Вводные'!$E$88)),0)</x:f>
        <x:v>0</x:v>
      </x:c>
      <x:c r="CY18" s="117" t="n">
        <x:f>IF(AND(CY$3&gt;=EDATE($B$7,-MIN(6,'Вводные'!$E$88)),CY$3&lt;$B$7),$B$18/MAX(1,MIN(6,'Вводные'!$E$88)),0)</x:f>
        <x:v>0</x:v>
      </x:c>
      <x:c r="CZ18" s="117" t="n">
        <x:f>IF(AND(CZ$3&gt;=EDATE($B$7,-MIN(6,'Вводные'!$E$88)),CZ$3&lt;$B$7),$B$18/MAX(1,MIN(6,'Вводные'!$E$88)),0)</x:f>
        <x:v>0</x:v>
      </x:c>
      <x:c r="DA18" s="117" t="n">
        <x:f>IF(AND(DA$3&gt;=EDATE($B$7,-MIN(6,'Вводные'!$E$88)),DA$3&lt;$B$7),$B$18/MAX(1,MIN(6,'Вводные'!$E$88)),0)</x:f>
        <x:v>0</x:v>
      </x:c>
      <x:c r="DB18" s="117" t="n">
        <x:f>IF(AND(DB$3&gt;=EDATE($B$7,-MIN(6,'Вводные'!$E$88)),DB$3&lt;$B$7),$B$18/MAX(1,MIN(6,'Вводные'!$E$88)),0)</x:f>
        <x:v>0</x:v>
      </x:c>
      <x:c r="DC18" s="117" t="n">
        <x:f>IF(AND(DC$3&gt;=EDATE($B$7,-MIN(6,'Вводные'!$E$88)),DC$3&lt;$B$7),$B$18/MAX(1,MIN(6,'Вводные'!$E$88)),0)</x:f>
        <x:v>0</x:v>
      </x:c>
      <x:c r="DD18" s="117" t="n">
        <x:f>IF(AND(DD$3&gt;=EDATE($B$7,-MIN(6,'Вводные'!$E$88)),DD$3&lt;$B$7),$B$18/MAX(1,MIN(6,'Вводные'!$E$88)),0)</x:f>
        <x:v>0</x:v>
      </x:c>
      <x:c r="DE18" s="117" t="n">
        <x:f>IF(AND(DE$3&gt;=EDATE($B$7,-MIN(6,'Вводные'!$E$88)),DE$3&lt;$B$7),$B$18/MAX(1,MIN(6,'Вводные'!$E$88)),0)</x:f>
        <x:v>0</x:v>
      </x:c>
      <x:c r="DF18" s="117" t="n">
        <x:f>IF(AND(DF$3&gt;=EDATE($B$7,-MIN(6,'Вводные'!$E$88)),DF$3&lt;$B$7),$B$18/MAX(1,MIN(6,'Вводные'!$E$88)),0)</x:f>
        <x:v>0</x:v>
      </x:c>
      <x:c r="DG18" s="117" t="n">
        <x:f>IF(AND(DG$3&gt;=EDATE($B$7,-MIN(6,'Вводные'!$E$88)),DG$3&lt;$B$7),$B$18/MAX(1,MIN(6,'Вводные'!$E$88)),0)</x:f>
        <x:v>0</x:v>
      </x:c>
      <x:c r="DH18" s="117" t="n">
        <x:f>IF(AND(DH$3&gt;=EDATE($B$7,-MIN(6,'Вводные'!$E$88)),DH$3&lt;$B$7),$B$18/MAX(1,MIN(6,'Вводные'!$E$88)),0)</x:f>
        <x:v>0</x:v>
      </x:c>
      <x:c r="DI18" s="117" t="n">
        <x:f>IF(AND(DI$3&gt;=EDATE($B$7,-MIN(6,'Вводные'!$E$88)),DI$3&lt;$B$7),$B$18/MAX(1,MIN(6,'Вводные'!$E$88)),0)</x:f>
        <x:v>0</x:v>
      </x:c>
      <x:c r="DJ18" s="117" t="n">
        <x:f>IF(AND(DJ$3&gt;=EDATE($B$7,-MIN(6,'Вводные'!$E$88)),DJ$3&lt;$B$7),$B$18/MAX(1,MIN(6,'Вводные'!$E$88)),0)</x:f>
        <x:v>0</x:v>
      </x:c>
      <x:c r="DK18" s="117" t="n">
        <x:f>IF(AND(DK$3&gt;=EDATE($B$7,-MIN(6,'Вводные'!$E$88)),DK$3&lt;$B$7),$B$18/MAX(1,MIN(6,'Вводные'!$E$88)),0)</x:f>
        <x:v>0</x:v>
      </x:c>
      <x:c r="DL18" s="117" t="n">
        <x:f>IF(AND(DL$3&gt;=EDATE($B$7,-MIN(6,'Вводные'!$E$88)),DL$3&lt;$B$7),$B$18/MAX(1,MIN(6,'Вводные'!$E$88)),0)</x:f>
        <x:v>0</x:v>
      </x:c>
      <x:c r="DM18" s="117" t="n">
        <x:f>IF(AND(DM$3&gt;=EDATE($B$7,-MIN(6,'Вводные'!$E$88)),DM$3&lt;$B$7),$B$18/MAX(1,MIN(6,'Вводные'!$E$88)),0)</x:f>
        <x:v>0</x:v>
      </x:c>
      <x:c r="DN18" s="117" t="n">
        <x:f>IF(AND(DN$3&gt;=EDATE($B$7,-MIN(6,'Вводные'!$E$88)),DN$3&lt;$B$7),$B$18/MAX(1,MIN(6,'Вводные'!$E$88)),0)</x:f>
        <x:v>0</x:v>
      </x:c>
      <x:c r="DO18" s="117" t="n">
        <x:f>IF(AND(DO$3&gt;=EDATE($B$7,-MIN(6,'Вводные'!$E$88)),DO$3&lt;$B$7),$B$18/MAX(1,MIN(6,'Вводные'!$E$88)),0)</x:f>
        <x:v>0</x:v>
      </x:c>
      <x:c r="DP18" s="117" t="n">
        <x:f>IF(AND(DP$3&gt;=EDATE($B$7,-MIN(6,'Вводные'!$E$88)),DP$3&lt;$B$7),$B$18/MAX(1,MIN(6,'Вводные'!$E$88)),0)</x:f>
        <x:v>0</x:v>
      </x:c>
      <x:c r="DQ18" s="117" t="n">
        <x:f>IF(AND(DQ$3&gt;=EDATE($B$7,-MIN(6,'Вводные'!$E$88)),DQ$3&lt;$B$7),$B$18/MAX(1,MIN(6,'Вводные'!$E$88)),0)</x:f>
        <x:v>0</x:v>
      </x:c>
      <x:c r="DR18" s="117" t="n">
        <x:f>IF(AND(DR$3&gt;=EDATE($B$7,-MIN(6,'Вводные'!$E$88)),DR$3&lt;$B$7),$B$18/MAX(1,MIN(6,'Вводные'!$E$88)),0)</x:f>
        <x:v>0</x:v>
      </x:c>
      <x:c r="DS18" s="117" t="n">
        <x:f>IF(AND(DS$3&gt;=EDATE($B$7,-MIN(6,'Вводные'!$E$88)),DS$3&lt;$B$7),$B$18/MAX(1,MIN(6,'Вводные'!$E$88)),0)</x:f>
        <x:v>0</x:v>
      </x:c>
    </x:row>
    <x:row r="19">
      <x:c r="A19" t="str">
        <x:v>Авторский надзор</x:v>
      </x:c>
      <x:c r="B19" s="107" t="n">
        <x:f>SUM(B17:B18)*'Вводные'!$B$51</x:f>
        <x:v>0</x:v>
      </x:c>
      <x:c r="C19" t="str">
        <x:v>млн ₽</x:v>
      </x:c>
      <x:c r="D19" s="117" t="n">
        <x:f>$B$19*D13</x:f>
        <x:v>0</x:v>
      </x:c>
      <x:c r="E19" s="117" t="n">
        <x:f>$B$19*E13</x:f>
        <x:v>0</x:v>
      </x:c>
      <x:c r="F19" s="117" t="n">
        <x:f>$B$19*F13</x:f>
        <x:v>0</x:v>
      </x:c>
      <x:c r="G19" s="117" t="n">
        <x:f>$B$19*G13</x:f>
        <x:v>0</x:v>
      </x:c>
      <x:c r="H19" s="117" t="n">
        <x:f>$B$19*H13</x:f>
        <x:v>0</x:v>
      </x:c>
      <x:c r="I19" s="117" t="n">
        <x:f>$B$19*I13</x:f>
        <x:v>0</x:v>
      </x:c>
      <x:c r="J19" s="117" t="n">
        <x:f>$B$19*J13</x:f>
        <x:v>0</x:v>
      </x:c>
      <x:c r="K19" s="117" t="n">
        <x:f>$B$19*K13</x:f>
        <x:v>0</x:v>
      </x:c>
      <x:c r="L19" s="117" t="n">
        <x:f>$B$19*L13</x:f>
        <x:v>0</x:v>
      </x:c>
      <x:c r="M19" s="117" t="n">
        <x:f>$B$19*M13</x:f>
        <x:v>0</x:v>
      </x:c>
      <x:c r="N19" s="117" t="n">
        <x:f>$B$19*N13</x:f>
        <x:v>0</x:v>
      </x:c>
      <x:c r="O19" s="117" t="n">
        <x:f>$B$19*O13</x:f>
        <x:v>0</x:v>
      </x:c>
      <x:c r="P19" s="117" t="n">
        <x:f>$B$19*P13</x:f>
        <x:v>0</x:v>
      </x:c>
      <x:c r="Q19" s="117" t="n">
        <x:f>$B$19*Q13</x:f>
        <x:v>0</x:v>
      </x:c>
      <x:c r="R19" s="117" t="n">
        <x:f>$B$19*R13</x:f>
        <x:v>0</x:v>
      </x:c>
      <x:c r="S19" s="117" t="n">
        <x:f>$B$19*S13</x:f>
        <x:v>0</x:v>
      </x:c>
      <x:c r="T19" s="117" t="n">
        <x:f>$B$19*T13</x:f>
        <x:v>0</x:v>
      </x:c>
      <x:c r="U19" s="117" t="n">
        <x:f>$B$19*U13</x:f>
        <x:v>0</x:v>
      </x:c>
      <x:c r="V19" s="117" t="n">
        <x:f>$B$19*V13</x:f>
        <x:v>0</x:v>
      </x:c>
      <x:c r="W19" s="117" t="n">
        <x:f>$B$19*W13</x:f>
        <x:v>0</x:v>
      </x:c>
      <x:c r="X19" s="117" t="n">
        <x:f>$B$19*X13</x:f>
        <x:v>0</x:v>
      </x:c>
      <x:c r="Y19" s="117" t="n">
        <x:f>$B$19*Y13</x:f>
        <x:v>0</x:v>
      </x:c>
      <x:c r="Z19" s="117" t="n">
        <x:f>$B$19*Z13</x:f>
        <x:v>0</x:v>
      </x:c>
      <x:c r="AA19" s="117" t="n">
        <x:f>$B$19*AA13</x:f>
        <x:v>0</x:v>
      </x:c>
      <x:c r="AB19" s="117" t="n">
        <x:f>$B$19*AB13</x:f>
        <x:v>0</x:v>
      </x:c>
      <x:c r="AC19" s="117" t="n">
        <x:f>$B$19*AC13</x:f>
        <x:v>0</x:v>
      </x:c>
      <x:c r="AD19" s="117" t="n">
        <x:f>$B$19*AD13</x:f>
        <x:v>0</x:v>
      </x:c>
      <x:c r="AE19" s="117" t="n">
        <x:f>$B$19*AE13</x:f>
        <x:v>0</x:v>
      </x:c>
      <x:c r="AF19" s="117" t="n">
        <x:f>$B$19*AF13</x:f>
        <x:v>0</x:v>
      </x:c>
      <x:c r="AG19" s="117" t="n">
        <x:f>$B$19*AG13</x:f>
        <x:v>0</x:v>
      </x:c>
      <x:c r="AH19" s="117" t="n">
        <x:f>$B$19*AH13</x:f>
        <x:v>0</x:v>
      </x:c>
      <x:c r="AI19" s="117" t="n">
        <x:f>$B$19*AI13</x:f>
        <x:v>0</x:v>
      </x:c>
      <x:c r="AJ19" s="117" t="n">
        <x:f>$B$19*AJ13</x:f>
        <x:v>0</x:v>
      </x:c>
      <x:c r="AK19" s="117" t="n">
        <x:f>$B$19*AK13</x:f>
        <x:v>0</x:v>
      </x:c>
      <x:c r="AL19" s="117" t="n">
        <x:f>$B$19*AL13</x:f>
        <x:v>0</x:v>
      </x:c>
      <x:c r="AM19" s="117" t="n">
        <x:f>$B$19*AM13</x:f>
        <x:v>0</x:v>
      </x:c>
      <x:c r="AN19" s="117" t="n">
        <x:f>$B$19*AN13</x:f>
        <x:v>0</x:v>
      </x:c>
      <x:c r="AO19" s="117" t="n">
        <x:f>$B$19*AO13</x:f>
        <x:v>0</x:v>
      </x:c>
      <x:c r="AP19" s="117" t="n">
        <x:f>$B$19*AP13</x:f>
        <x:v>0</x:v>
      </x:c>
      <x:c r="AQ19" s="117" t="n">
        <x:f>$B$19*AQ13</x:f>
        <x:v>0</x:v>
      </x:c>
      <x:c r="AR19" s="117" t="n">
        <x:f>$B$19*AR13</x:f>
        <x:v>0</x:v>
      </x:c>
      <x:c r="AS19" s="117" t="n">
        <x:f>$B$19*AS13</x:f>
        <x:v>0</x:v>
      </x:c>
      <x:c r="AT19" s="117" t="n">
        <x:f>$B$19*AT13</x:f>
        <x:v>0</x:v>
      </x:c>
      <x:c r="AU19" s="117" t="n">
        <x:f>$B$19*AU13</x:f>
        <x:v>0</x:v>
      </x:c>
      <x:c r="AV19" s="117" t="n">
        <x:f>$B$19*AV13</x:f>
        <x:v>0</x:v>
      </x:c>
      <x:c r="AW19" s="117" t="n">
        <x:f>$B$19*AW13</x:f>
        <x:v>0</x:v>
      </x:c>
      <x:c r="AX19" s="117" t="n">
        <x:f>$B$19*AX13</x:f>
        <x:v>0</x:v>
      </x:c>
      <x:c r="AY19" s="117" t="n">
        <x:f>$B$19*AY13</x:f>
        <x:v>0</x:v>
      </x:c>
      <x:c r="AZ19" s="117" t="n">
        <x:f>$B$19*AZ13</x:f>
        <x:v>0</x:v>
      </x:c>
      <x:c r="BA19" s="117" t="n">
        <x:f>$B$19*BA13</x:f>
        <x:v>0</x:v>
      </x:c>
      <x:c r="BB19" s="117" t="n">
        <x:f>$B$19*BB13</x:f>
        <x:v>0</x:v>
      </x:c>
      <x:c r="BC19" s="117" t="n">
        <x:f>$B$19*BC13</x:f>
        <x:v>0</x:v>
      </x:c>
      <x:c r="BD19" s="117" t="n">
        <x:f>$B$19*BD13</x:f>
        <x:v>0</x:v>
      </x:c>
      <x:c r="BE19" s="117" t="n">
        <x:f>$B$19*BE13</x:f>
        <x:v>0</x:v>
      </x:c>
      <x:c r="BF19" s="117" t="n">
        <x:f>$B$19*BF13</x:f>
        <x:v>0</x:v>
      </x:c>
      <x:c r="BG19" s="117" t="n">
        <x:f>$B$19*BG13</x:f>
        <x:v>0</x:v>
      </x:c>
      <x:c r="BH19" s="117" t="n">
        <x:f>$B$19*BH13</x:f>
        <x:v>0</x:v>
      </x:c>
      <x:c r="BI19" s="117" t="n">
        <x:f>$B$19*BI13</x:f>
        <x:v>0</x:v>
      </x:c>
      <x:c r="BJ19" s="117" t="n">
        <x:f>$B$19*BJ13</x:f>
        <x:v>0</x:v>
      </x:c>
      <x:c r="BK19" s="117" t="n">
        <x:f>$B$19*BK13</x:f>
        <x:v>0</x:v>
      </x:c>
      <x:c r="BL19" s="117" t="n">
        <x:f>$B$19*BL13</x:f>
        <x:v>0</x:v>
      </x:c>
      <x:c r="BM19" s="117" t="n">
        <x:f>$B$19*BM13</x:f>
        <x:v>0</x:v>
      </x:c>
      <x:c r="BN19" s="117" t="n">
        <x:f>$B$19*BN13</x:f>
        <x:v>0</x:v>
      </x:c>
      <x:c r="BO19" s="117" t="n">
        <x:f>$B$19*BO13</x:f>
        <x:v>0</x:v>
      </x:c>
      <x:c r="BP19" s="117" t="n">
        <x:f>$B$19*BP13</x:f>
        <x:v>0</x:v>
      </x:c>
      <x:c r="BQ19" s="117" t="n">
        <x:f>$B$19*BQ13</x:f>
        <x:v>0</x:v>
      </x:c>
      <x:c r="BR19" s="117" t="n">
        <x:f>$B$19*BR13</x:f>
        <x:v>0</x:v>
      </x:c>
      <x:c r="BS19" s="117" t="n">
        <x:f>$B$19*BS13</x:f>
        <x:v>0</x:v>
      </x:c>
      <x:c r="BT19" s="117" t="n">
        <x:f>$B$19*BT13</x:f>
        <x:v>0</x:v>
      </x:c>
      <x:c r="BU19" s="117" t="n">
        <x:f>$B$19*BU13</x:f>
        <x:v>0</x:v>
      </x:c>
      <x:c r="BV19" s="117" t="n">
        <x:f>$B$19*BV13</x:f>
        <x:v>0</x:v>
      </x:c>
      <x:c r="BW19" s="117" t="n">
        <x:f>$B$19*BW13</x:f>
        <x:v>0</x:v>
      </x:c>
      <x:c r="BX19" s="117" t="n">
        <x:f>$B$19*BX13</x:f>
        <x:v>0</x:v>
      </x:c>
      <x:c r="BY19" s="117" t="n">
        <x:f>$B$19*BY13</x:f>
        <x:v>0</x:v>
      </x:c>
      <x:c r="BZ19" s="117" t="n">
        <x:f>$B$19*BZ13</x:f>
        <x:v>0</x:v>
      </x:c>
      <x:c r="CA19" s="117" t="n">
        <x:f>$B$19*CA13</x:f>
        <x:v>0</x:v>
      </x:c>
      <x:c r="CB19" s="117" t="n">
        <x:f>$B$19*CB13</x:f>
        <x:v>0</x:v>
      </x:c>
      <x:c r="CC19" s="117" t="n">
        <x:f>$B$19*CC13</x:f>
        <x:v>0</x:v>
      </x:c>
      <x:c r="CD19" s="117" t="n">
        <x:f>$B$19*CD13</x:f>
        <x:v>0</x:v>
      </x:c>
      <x:c r="CE19" s="117" t="n">
        <x:f>$B$19*CE13</x:f>
        <x:v>0</x:v>
      </x:c>
      <x:c r="CF19" s="117" t="n">
        <x:f>$B$19*CF13</x:f>
        <x:v>0</x:v>
      </x:c>
      <x:c r="CG19" s="117" t="n">
        <x:f>$B$19*CG13</x:f>
        <x:v>0</x:v>
      </x:c>
      <x:c r="CH19" s="117" t="n">
        <x:f>$B$19*CH13</x:f>
        <x:v>0</x:v>
      </x:c>
      <x:c r="CI19" s="117" t="n">
        <x:f>$B$19*CI13</x:f>
        <x:v>0</x:v>
      </x:c>
      <x:c r="CJ19" s="117" t="n">
        <x:f>$B$19*CJ13</x:f>
        <x:v>0</x:v>
      </x:c>
      <x:c r="CK19" s="117" t="n">
        <x:f>$B$19*CK13</x:f>
        <x:v>0</x:v>
      </x:c>
      <x:c r="CL19" s="117" t="n">
        <x:f>$B$19*CL13</x:f>
        <x:v>0</x:v>
      </x:c>
      <x:c r="CM19" s="117" t="n">
        <x:f>$B$19*CM13</x:f>
        <x:v>0</x:v>
      </x:c>
      <x:c r="CN19" s="117" t="n">
        <x:f>$B$19*CN13</x:f>
        <x:v>0</x:v>
      </x:c>
      <x:c r="CO19" s="117" t="n">
        <x:f>$B$19*CO13</x:f>
        <x:v>0</x:v>
      </x:c>
      <x:c r="CP19" s="117" t="n">
        <x:f>$B$19*CP13</x:f>
        <x:v>0</x:v>
      </x:c>
      <x:c r="CQ19" s="117" t="n">
        <x:f>$B$19*CQ13</x:f>
        <x:v>0</x:v>
      </x:c>
      <x:c r="CR19" s="117" t="n">
        <x:f>$B$19*CR13</x:f>
        <x:v>0</x:v>
      </x:c>
      <x:c r="CS19" s="117" t="n">
        <x:f>$B$19*CS13</x:f>
        <x:v>0</x:v>
      </x:c>
      <x:c r="CT19" s="117" t="n">
        <x:f>$B$19*CT13</x:f>
        <x:v>0</x:v>
      </x:c>
      <x:c r="CU19" s="117" t="n">
        <x:f>$B$19*CU13</x:f>
        <x:v>0</x:v>
      </x:c>
      <x:c r="CV19" s="117" t="n">
        <x:f>$B$19*CV13</x:f>
        <x:v>0</x:v>
      </x:c>
      <x:c r="CW19" s="117" t="n">
        <x:f>$B$19*CW13</x:f>
        <x:v>0</x:v>
      </x:c>
      <x:c r="CX19" s="117" t="n">
        <x:f>$B$19*CX13</x:f>
        <x:v>0</x:v>
      </x:c>
      <x:c r="CY19" s="117" t="n">
        <x:f>$B$19*CY13</x:f>
        <x:v>0</x:v>
      </x:c>
      <x:c r="CZ19" s="117" t="n">
        <x:f>$B$19*CZ13</x:f>
        <x:v>0</x:v>
      </x:c>
      <x:c r="DA19" s="117" t="n">
        <x:f>$B$19*DA13</x:f>
        <x:v>0</x:v>
      </x:c>
      <x:c r="DB19" s="117" t="n">
        <x:f>$B$19*DB13</x:f>
        <x:v>0</x:v>
      </x:c>
      <x:c r="DC19" s="117" t="n">
        <x:f>$B$19*DC13</x:f>
        <x:v>0</x:v>
      </x:c>
      <x:c r="DD19" s="117" t="n">
        <x:f>$B$19*DD13</x:f>
        <x:v>0</x:v>
      </x:c>
      <x:c r="DE19" s="117" t="n">
        <x:f>$B$19*DE13</x:f>
        <x:v>0</x:v>
      </x:c>
      <x:c r="DF19" s="117" t="n">
        <x:f>$B$19*DF13</x:f>
        <x:v>0</x:v>
      </x:c>
      <x:c r="DG19" s="117" t="n">
        <x:f>$B$19*DG13</x:f>
        <x:v>0</x:v>
      </x:c>
      <x:c r="DH19" s="117" t="n">
        <x:f>$B$19*DH13</x:f>
        <x:v>0</x:v>
      </x:c>
      <x:c r="DI19" s="117" t="n">
        <x:f>$B$19*DI13</x:f>
        <x:v>0</x:v>
      </x:c>
      <x:c r="DJ19" s="117" t="n">
        <x:f>$B$19*DJ13</x:f>
        <x:v>0</x:v>
      </x:c>
      <x:c r="DK19" s="117" t="n">
        <x:f>$B$19*DK13</x:f>
        <x:v>0</x:v>
      </x:c>
      <x:c r="DL19" s="117" t="n">
        <x:f>$B$19*DL13</x:f>
        <x:v>0</x:v>
      </x:c>
      <x:c r="DM19" s="117" t="n">
        <x:f>$B$19*DM13</x:f>
        <x:v>0</x:v>
      </x:c>
      <x:c r="DN19" s="117" t="n">
        <x:f>$B$19*DN13</x:f>
        <x:v>0</x:v>
      </x:c>
      <x:c r="DO19" s="117" t="n">
        <x:f>$B$19*DO13</x:f>
        <x:v>0</x:v>
      </x:c>
      <x:c r="DP19" s="117" t="n">
        <x:f>$B$19*DP13</x:f>
        <x:v>0</x:v>
      </x:c>
      <x:c r="DQ19" s="117" t="n">
        <x:f>$B$19*DQ13</x:f>
        <x:v>0</x:v>
      </x:c>
      <x:c r="DR19" s="117" t="n">
        <x:f>$B$19*DR13</x:f>
        <x:v>0</x:v>
      </x:c>
      <x:c r="DS19" s="117" t="n">
        <x:f>$B$19*DS13</x:f>
        <x:v>0</x:v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  <x:v>25.967</x:v>
      </x:c>
      <x:c r="C20" t="str">
        <x:v>млн ₽</x:v>
      </x:c>
      <x:c r="D20" s="117" t="n">
        <x:f>IF(AND(D$3&gt;=EDATE($B$7,-MIN(6,'Вводные'!$E$88)),D$3&lt;$B$7),$B$20/MAX(1,MIN(6,'Вводные'!$E$88)),0)</x:f>
        <x:v>0</x:v>
      </x:c>
      <x:c r="E20" s="117" t="n">
        <x:f>IF(AND(E$3&gt;=EDATE($B$7,-MIN(6,'Вводные'!$E$88)),E$3&lt;$B$7),$B$20/MAX(1,MIN(6,'Вводные'!$E$88)),0)</x:f>
        <x:v>0</x:v>
      </x:c>
      <x:c r="F20" s="117" t="n">
        <x:f>IF(AND(F$3&gt;=EDATE($B$7,-MIN(6,'Вводные'!$E$88)),F$3&lt;$B$7),$B$20/MAX(1,MIN(6,'Вводные'!$E$88)),0)</x:f>
        <x:v>0</x:v>
      </x:c>
      <x:c r="G20" s="117" t="n">
        <x:f>IF(AND(G$3&gt;=EDATE($B$7,-MIN(6,'Вводные'!$E$88)),G$3&lt;$B$7),$B$20/MAX(1,MIN(6,'Вводные'!$E$88)),0)</x:f>
        <x:v>0</x:v>
      </x:c>
      <x:c r="H20" s="117" t="n">
        <x:f>IF(AND(H$3&gt;=EDATE($B$7,-MIN(6,'Вводные'!$E$88)),H$3&lt;$B$7),$B$20/MAX(1,MIN(6,'Вводные'!$E$88)),0)</x:f>
        <x:v>0</x:v>
      </x:c>
      <x:c r="I20" s="117" t="n">
        <x:f>IF(AND(I$3&gt;=EDATE($B$7,-MIN(6,'Вводные'!$E$88)),I$3&lt;$B$7),$B$20/MAX(1,MIN(6,'Вводные'!$E$88)),0)</x:f>
        <x:v>0</x:v>
      </x:c>
      <x:c r="J20" s="117" t="n">
        <x:f>IF(AND(J$3&gt;=EDATE($B$7,-MIN(6,'Вводные'!$E$88)),J$3&lt;$B$7),$B$20/MAX(1,MIN(6,'Вводные'!$E$88)),0)</x:f>
        <x:v>0</x:v>
      </x:c>
      <x:c r="K20" s="117" t="n">
        <x:f>IF(AND(K$3&gt;=EDATE($B$7,-MIN(6,'Вводные'!$E$88)),K$3&lt;$B$7),$B$20/MAX(1,MIN(6,'Вводные'!$E$88)),0)</x:f>
        <x:v>0</x:v>
      </x:c>
      <x:c r="L20" s="117" t="n">
        <x:f>IF(AND(L$3&gt;=EDATE($B$7,-MIN(6,'Вводные'!$E$88)),L$3&lt;$B$7),$B$20/MAX(1,MIN(6,'Вводные'!$E$88)),0)</x:f>
        <x:v>0</x:v>
      </x:c>
      <x:c r="M20" s="117" t="n">
        <x:f>IF(AND(M$3&gt;=EDATE($B$7,-MIN(6,'Вводные'!$E$88)),M$3&lt;$B$7),$B$20/MAX(1,MIN(6,'Вводные'!$E$88)),0)</x:f>
        <x:v>0</x:v>
      </x:c>
      <x:c r="N20" s="117" t="n">
        <x:f>IF(AND(N$3&gt;=EDATE($B$7,-MIN(6,'Вводные'!$E$88)),N$3&lt;$B$7),$B$20/MAX(1,MIN(6,'Вводные'!$E$88)),0)</x:f>
        <x:v>0</x:v>
      </x:c>
      <x:c r="O20" s="117" t="n">
        <x:f>IF(AND(O$3&gt;=EDATE($B$7,-MIN(6,'Вводные'!$E$88)),O$3&lt;$B$7),$B$20/MAX(1,MIN(6,'Вводные'!$E$88)),0)</x:f>
        <x:v>0</x:v>
      </x:c>
      <x:c r="P20" s="117" t="n">
        <x:f>IF(AND(P$3&gt;=EDATE($B$7,-MIN(6,'Вводные'!$E$88)),P$3&lt;$B$7),$B$20/MAX(1,MIN(6,'Вводные'!$E$88)),0)</x:f>
        <x:v>4.327833333333333</x:v>
      </x:c>
      <x:c r="Q20" s="117" t="n">
        <x:f>IF(AND(Q$3&gt;=EDATE($B$7,-MIN(6,'Вводные'!$E$88)),Q$3&lt;$B$7),$B$20/MAX(1,MIN(6,'Вводные'!$E$88)),0)</x:f>
        <x:v>4.327833333333333</x:v>
      </x:c>
      <x:c r="R20" s="117" t="n">
        <x:f>IF(AND(R$3&gt;=EDATE($B$7,-MIN(6,'Вводные'!$E$88)),R$3&lt;$B$7),$B$20/MAX(1,MIN(6,'Вводные'!$E$88)),0)</x:f>
        <x:v>4.327833333333333</x:v>
      </x:c>
      <x:c r="S20" s="117" t="n">
        <x:f>IF(AND(S$3&gt;=EDATE($B$7,-MIN(6,'Вводные'!$E$88)),S$3&lt;$B$7),$B$20/MAX(1,MIN(6,'Вводные'!$E$88)),0)</x:f>
        <x:v>4.327833333333333</x:v>
      </x:c>
      <x:c r="T20" s="117" t="n">
        <x:f>IF(AND(T$3&gt;=EDATE($B$7,-MIN(6,'Вводные'!$E$88)),T$3&lt;$B$7),$B$20/MAX(1,MIN(6,'Вводные'!$E$88)),0)</x:f>
        <x:v>4.327833333333333</x:v>
      </x:c>
      <x:c r="U20" s="117" t="n">
        <x:f>IF(AND(U$3&gt;=EDATE($B$7,-MIN(6,'Вводные'!$E$88)),U$3&lt;$B$7),$B$20/MAX(1,MIN(6,'Вводные'!$E$88)),0)</x:f>
        <x:v>4.327833333333333</x:v>
      </x:c>
      <x:c r="V20" s="117" t="n">
        <x:f>IF(AND(V$3&gt;=EDATE($B$7,-MIN(6,'Вводные'!$E$88)),V$3&lt;$B$7),$B$20/MAX(1,MIN(6,'Вводные'!$E$88)),0)</x:f>
        <x:v>0</x:v>
      </x:c>
      <x:c r="W20" s="117" t="n">
        <x:f>IF(AND(W$3&gt;=EDATE($B$7,-MIN(6,'Вводные'!$E$88)),W$3&lt;$B$7),$B$20/MAX(1,MIN(6,'Вводные'!$E$88)),0)</x:f>
        <x:v>0</x:v>
      </x:c>
      <x:c r="X20" s="117" t="n">
        <x:f>IF(AND(X$3&gt;=EDATE($B$7,-MIN(6,'Вводные'!$E$88)),X$3&lt;$B$7),$B$20/MAX(1,MIN(6,'Вводные'!$E$88)),0)</x:f>
        <x:v>0</x:v>
      </x:c>
      <x:c r="Y20" s="117" t="n">
        <x:f>IF(AND(Y$3&gt;=EDATE($B$7,-MIN(6,'Вводные'!$E$88)),Y$3&lt;$B$7),$B$20/MAX(1,MIN(6,'Вводные'!$E$88)),0)</x:f>
        <x:v>0</x:v>
      </x:c>
      <x:c r="Z20" s="117" t="n">
        <x:f>IF(AND(Z$3&gt;=EDATE($B$7,-MIN(6,'Вводные'!$E$88)),Z$3&lt;$B$7),$B$20/MAX(1,MIN(6,'Вводные'!$E$88)),0)</x:f>
        <x:v>0</x:v>
      </x:c>
      <x:c r="AA20" s="117" t="n">
        <x:f>IF(AND(AA$3&gt;=EDATE($B$7,-MIN(6,'Вводные'!$E$88)),AA$3&lt;$B$7),$B$20/MAX(1,MIN(6,'Вводные'!$E$88)),0)</x:f>
        <x:v>0</x:v>
      </x:c>
      <x:c r="AB20" s="117" t="n">
        <x:f>IF(AND(AB$3&gt;=EDATE($B$7,-MIN(6,'Вводные'!$E$88)),AB$3&lt;$B$7),$B$20/MAX(1,MIN(6,'Вводные'!$E$88)),0)</x:f>
        <x:v>0</x:v>
      </x:c>
      <x:c r="AC20" s="117" t="n">
        <x:f>IF(AND(AC$3&gt;=EDATE($B$7,-MIN(6,'Вводные'!$E$88)),AC$3&lt;$B$7),$B$20/MAX(1,MIN(6,'Вводные'!$E$88)),0)</x:f>
        <x:v>0</x:v>
      </x:c>
      <x:c r="AD20" s="117" t="n">
        <x:f>IF(AND(AD$3&gt;=EDATE($B$7,-MIN(6,'Вводные'!$E$88)),AD$3&lt;$B$7),$B$20/MAX(1,MIN(6,'Вводные'!$E$88)),0)</x:f>
        <x:v>0</x:v>
      </x:c>
      <x:c r="AE20" s="117" t="n">
        <x:f>IF(AND(AE$3&gt;=EDATE($B$7,-MIN(6,'Вводные'!$E$88)),AE$3&lt;$B$7),$B$20/MAX(1,MIN(6,'Вводные'!$E$88)),0)</x:f>
        <x:v>0</x:v>
      </x:c>
      <x:c r="AF20" s="117" t="n">
        <x:f>IF(AND(AF$3&gt;=EDATE($B$7,-MIN(6,'Вводные'!$E$88)),AF$3&lt;$B$7),$B$20/MAX(1,MIN(6,'Вводные'!$E$88)),0)</x:f>
        <x:v>0</x:v>
      </x:c>
      <x:c r="AG20" s="117" t="n">
        <x:f>IF(AND(AG$3&gt;=EDATE($B$7,-MIN(6,'Вводные'!$E$88)),AG$3&lt;$B$7),$B$20/MAX(1,MIN(6,'Вводные'!$E$88)),0)</x:f>
        <x:v>0</x:v>
      </x:c>
      <x:c r="AH20" s="117" t="n">
        <x:f>IF(AND(AH$3&gt;=EDATE($B$7,-MIN(6,'Вводные'!$E$88)),AH$3&lt;$B$7),$B$20/MAX(1,MIN(6,'Вводные'!$E$88)),0)</x:f>
        <x:v>0</x:v>
      </x:c>
      <x:c r="AI20" s="117" t="n">
        <x:f>IF(AND(AI$3&gt;=EDATE($B$7,-MIN(6,'Вводные'!$E$88)),AI$3&lt;$B$7),$B$20/MAX(1,MIN(6,'Вводные'!$E$88)),0)</x:f>
        <x:v>0</x:v>
      </x:c>
      <x:c r="AJ20" s="117" t="n">
        <x:f>IF(AND(AJ$3&gt;=EDATE($B$7,-MIN(6,'Вводные'!$E$88)),AJ$3&lt;$B$7),$B$20/MAX(1,MIN(6,'Вводные'!$E$88)),0)</x:f>
        <x:v>0</x:v>
      </x:c>
      <x:c r="AK20" s="117" t="n">
        <x:f>IF(AND(AK$3&gt;=EDATE($B$7,-MIN(6,'Вводные'!$E$88)),AK$3&lt;$B$7),$B$20/MAX(1,MIN(6,'Вводные'!$E$88)),0)</x:f>
        <x:v>0</x:v>
      </x:c>
      <x:c r="AL20" s="117" t="n">
        <x:f>IF(AND(AL$3&gt;=EDATE($B$7,-MIN(6,'Вводные'!$E$88)),AL$3&lt;$B$7),$B$20/MAX(1,MIN(6,'Вводные'!$E$88)),0)</x:f>
        <x:v>0</x:v>
      </x:c>
      <x:c r="AM20" s="117" t="n">
        <x:f>IF(AND(AM$3&gt;=EDATE($B$7,-MIN(6,'Вводные'!$E$88)),AM$3&lt;$B$7),$B$20/MAX(1,MIN(6,'Вводные'!$E$88)),0)</x:f>
        <x:v>0</x:v>
      </x:c>
      <x:c r="AN20" s="117" t="n">
        <x:f>IF(AND(AN$3&gt;=EDATE($B$7,-MIN(6,'Вводные'!$E$88)),AN$3&lt;$B$7),$B$20/MAX(1,MIN(6,'Вводные'!$E$88)),0)</x:f>
        <x:v>0</x:v>
      </x:c>
      <x:c r="AO20" s="117" t="n">
        <x:f>IF(AND(AO$3&gt;=EDATE($B$7,-MIN(6,'Вводные'!$E$88)),AO$3&lt;$B$7),$B$20/MAX(1,MIN(6,'Вводные'!$E$88)),0)</x:f>
        <x:v>0</x:v>
      </x:c>
      <x:c r="AP20" s="117" t="n">
        <x:f>IF(AND(AP$3&gt;=EDATE($B$7,-MIN(6,'Вводные'!$E$88)),AP$3&lt;$B$7),$B$20/MAX(1,MIN(6,'Вводные'!$E$88)),0)</x:f>
        <x:v>0</x:v>
      </x:c>
      <x:c r="AQ20" s="117" t="n">
        <x:f>IF(AND(AQ$3&gt;=EDATE($B$7,-MIN(6,'Вводные'!$E$88)),AQ$3&lt;$B$7),$B$20/MAX(1,MIN(6,'Вводные'!$E$88)),0)</x:f>
        <x:v>0</x:v>
      </x:c>
      <x:c r="AR20" s="117" t="n">
        <x:f>IF(AND(AR$3&gt;=EDATE($B$7,-MIN(6,'Вводные'!$E$88)),AR$3&lt;$B$7),$B$20/MAX(1,MIN(6,'Вводные'!$E$88)),0)</x:f>
        <x:v>0</x:v>
      </x:c>
      <x:c r="AS20" s="117" t="n">
        <x:f>IF(AND(AS$3&gt;=EDATE($B$7,-MIN(6,'Вводные'!$E$88)),AS$3&lt;$B$7),$B$20/MAX(1,MIN(6,'Вводные'!$E$88)),0)</x:f>
        <x:v>0</x:v>
      </x:c>
      <x:c r="AT20" s="117" t="n">
        <x:f>IF(AND(AT$3&gt;=EDATE($B$7,-MIN(6,'Вводные'!$E$88)),AT$3&lt;$B$7),$B$20/MAX(1,MIN(6,'Вводные'!$E$88)),0)</x:f>
        <x:v>0</x:v>
      </x:c>
      <x:c r="AU20" s="117" t="n">
        <x:f>IF(AND(AU$3&gt;=EDATE($B$7,-MIN(6,'Вводные'!$E$88)),AU$3&lt;$B$7),$B$20/MAX(1,MIN(6,'Вводные'!$E$88)),0)</x:f>
        <x:v>0</x:v>
      </x:c>
      <x:c r="AV20" s="117" t="n">
        <x:f>IF(AND(AV$3&gt;=EDATE($B$7,-MIN(6,'Вводные'!$E$88)),AV$3&lt;$B$7),$B$20/MAX(1,MIN(6,'Вводные'!$E$88)),0)</x:f>
        <x:v>0</x:v>
      </x:c>
      <x:c r="AW20" s="117" t="n">
        <x:f>IF(AND(AW$3&gt;=EDATE($B$7,-MIN(6,'Вводные'!$E$88)),AW$3&lt;$B$7),$B$20/MAX(1,MIN(6,'Вводные'!$E$88)),0)</x:f>
        <x:v>0</x:v>
      </x:c>
      <x:c r="AX20" s="117" t="n">
        <x:f>IF(AND(AX$3&gt;=EDATE($B$7,-MIN(6,'Вводные'!$E$88)),AX$3&lt;$B$7),$B$20/MAX(1,MIN(6,'Вводные'!$E$88)),0)</x:f>
        <x:v>0</x:v>
      </x:c>
      <x:c r="AY20" s="117" t="n">
        <x:f>IF(AND(AY$3&gt;=EDATE($B$7,-MIN(6,'Вводные'!$E$88)),AY$3&lt;$B$7),$B$20/MAX(1,MIN(6,'Вводные'!$E$88)),0)</x:f>
        <x:v>0</x:v>
      </x:c>
      <x:c r="AZ20" s="117" t="n">
        <x:f>IF(AND(AZ$3&gt;=EDATE($B$7,-MIN(6,'Вводные'!$E$88)),AZ$3&lt;$B$7),$B$20/MAX(1,MIN(6,'Вводные'!$E$88)),0)</x:f>
        <x:v>0</x:v>
      </x:c>
      <x:c r="BA20" s="117" t="n">
        <x:f>IF(AND(BA$3&gt;=EDATE($B$7,-MIN(6,'Вводные'!$E$88)),BA$3&lt;$B$7),$B$20/MAX(1,MIN(6,'Вводные'!$E$88)),0)</x:f>
        <x:v>0</x:v>
      </x:c>
      <x:c r="BB20" s="117" t="n">
        <x:f>IF(AND(BB$3&gt;=EDATE($B$7,-MIN(6,'Вводные'!$E$88)),BB$3&lt;$B$7),$B$20/MAX(1,MIN(6,'Вводные'!$E$88)),0)</x:f>
        <x:v>0</x:v>
      </x:c>
      <x:c r="BC20" s="117" t="n">
        <x:f>IF(AND(BC$3&gt;=EDATE($B$7,-MIN(6,'Вводные'!$E$88)),BC$3&lt;$B$7),$B$20/MAX(1,MIN(6,'Вводные'!$E$88)),0)</x:f>
        <x:v>0</x:v>
      </x:c>
      <x:c r="BD20" s="117" t="n">
        <x:f>IF(AND(BD$3&gt;=EDATE($B$7,-MIN(6,'Вводные'!$E$88)),BD$3&lt;$B$7),$B$20/MAX(1,MIN(6,'Вводные'!$E$88)),0)</x:f>
        <x:v>0</x:v>
      </x:c>
      <x:c r="BE20" s="117" t="n">
        <x:f>IF(AND(BE$3&gt;=EDATE($B$7,-MIN(6,'Вводные'!$E$88)),BE$3&lt;$B$7),$B$20/MAX(1,MIN(6,'Вводные'!$E$88)),0)</x:f>
        <x:v>0</x:v>
      </x:c>
      <x:c r="BF20" s="117" t="n">
        <x:f>IF(AND(BF$3&gt;=EDATE($B$7,-MIN(6,'Вводные'!$E$88)),BF$3&lt;$B$7),$B$20/MAX(1,MIN(6,'Вводные'!$E$88)),0)</x:f>
        <x:v>0</x:v>
      </x:c>
      <x:c r="BG20" s="117" t="n">
        <x:f>IF(AND(BG$3&gt;=EDATE($B$7,-MIN(6,'Вводные'!$E$88)),BG$3&lt;$B$7),$B$20/MAX(1,MIN(6,'Вводные'!$E$88)),0)</x:f>
        <x:v>0</x:v>
      </x:c>
      <x:c r="BH20" s="117" t="n">
        <x:f>IF(AND(BH$3&gt;=EDATE($B$7,-MIN(6,'Вводные'!$E$88)),BH$3&lt;$B$7),$B$20/MAX(1,MIN(6,'Вводные'!$E$88)),0)</x:f>
        <x:v>0</x:v>
      </x:c>
      <x:c r="BI20" s="117" t="n">
        <x:f>IF(AND(BI$3&gt;=EDATE($B$7,-MIN(6,'Вводные'!$E$88)),BI$3&lt;$B$7),$B$20/MAX(1,MIN(6,'Вводные'!$E$88)),0)</x:f>
        <x:v>0</x:v>
      </x:c>
      <x:c r="BJ20" s="117" t="n">
        <x:f>IF(AND(BJ$3&gt;=EDATE($B$7,-MIN(6,'Вводные'!$E$88)),BJ$3&lt;$B$7),$B$20/MAX(1,MIN(6,'Вводные'!$E$88)),0)</x:f>
        <x:v>0</x:v>
      </x:c>
      <x:c r="BK20" s="117" t="n">
        <x:f>IF(AND(BK$3&gt;=EDATE($B$7,-MIN(6,'Вводные'!$E$88)),BK$3&lt;$B$7),$B$20/MAX(1,MIN(6,'Вводные'!$E$88)),0)</x:f>
        <x:v>0</x:v>
      </x:c>
      <x:c r="BL20" s="117" t="n">
        <x:f>IF(AND(BL$3&gt;=EDATE($B$7,-MIN(6,'Вводные'!$E$88)),BL$3&lt;$B$7),$B$20/MAX(1,MIN(6,'Вводные'!$E$88)),0)</x:f>
        <x:v>0</x:v>
      </x:c>
      <x:c r="BM20" s="117" t="n">
        <x:f>IF(AND(BM$3&gt;=EDATE($B$7,-MIN(6,'Вводные'!$E$88)),BM$3&lt;$B$7),$B$20/MAX(1,MIN(6,'Вводные'!$E$88)),0)</x:f>
        <x:v>0</x:v>
      </x:c>
      <x:c r="BN20" s="117" t="n">
        <x:f>IF(AND(BN$3&gt;=EDATE($B$7,-MIN(6,'Вводные'!$E$88)),BN$3&lt;$B$7),$B$20/MAX(1,MIN(6,'Вводные'!$E$88)),0)</x:f>
        <x:v>0</x:v>
      </x:c>
      <x:c r="BO20" s="117" t="n">
        <x:f>IF(AND(BO$3&gt;=EDATE($B$7,-MIN(6,'Вводные'!$E$88)),BO$3&lt;$B$7),$B$20/MAX(1,MIN(6,'Вводные'!$E$88)),0)</x:f>
        <x:v>0</x:v>
      </x:c>
      <x:c r="BP20" s="117" t="n">
        <x:f>IF(AND(BP$3&gt;=EDATE($B$7,-MIN(6,'Вводные'!$E$88)),BP$3&lt;$B$7),$B$20/MAX(1,MIN(6,'Вводные'!$E$88)),0)</x:f>
        <x:v>0</x:v>
      </x:c>
      <x:c r="BQ20" s="117" t="n">
        <x:f>IF(AND(BQ$3&gt;=EDATE($B$7,-MIN(6,'Вводные'!$E$88)),BQ$3&lt;$B$7),$B$20/MAX(1,MIN(6,'Вводные'!$E$88)),0)</x:f>
        <x:v>0</x:v>
      </x:c>
      <x:c r="BR20" s="117" t="n">
        <x:f>IF(AND(BR$3&gt;=EDATE($B$7,-MIN(6,'Вводные'!$E$88)),BR$3&lt;$B$7),$B$20/MAX(1,MIN(6,'Вводные'!$E$88)),0)</x:f>
        <x:v>0</x:v>
      </x:c>
      <x:c r="BS20" s="117" t="n">
        <x:f>IF(AND(BS$3&gt;=EDATE($B$7,-MIN(6,'Вводные'!$E$88)),BS$3&lt;$B$7),$B$20/MAX(1,MIN(6,'Вводные'!$E$88)),0)</x:f>
        <x:v>0</x:v>
      </x:c>
      <x:c r="BT20" s="117" t="n">
        <x:f>IF(AND(BT$3&gt;=EDATE($B$7,-MIN(6,'Вводные'!$E$88)),BT$3&lt;$B$7),$B$20/MAX(1,MIN(6,'Вводные'!$E$88)),0)</x:f>
        <x:v>0</x:v>
      </x:c>
      <x:c r="BU20" s="117" t="n">
        <x:f>IF(AND(BU$3&gt;=EDATE($B$7,-MIN(6,'Вводные'!$E$88)),BU$3&lt;$B$7),$B$20/MAX(1,MIN(6,'Вводные'!$E$88)),0)</x:f>
        <x:v>0</x:v>
      </x:c>
      <x:c r="BV20" s="117" t="n">
        <x:f>IF(AND(BV$3&gt;=EDATE($B$7,-MIN(6,'Вводные'!$E$88)),BV$3&lt;$B$7),$B$20/MAX(1,MIN(6,'Вводные'!$E$88)),0)</x:f>
        <x:v>0</x:v>
      </x:c>
      <x:c r="BW20" s="117" t="n">
        <x:f>IF(AND(BW$3&gt;=EDATE($B$7,-MIN(6,'Вводные'!$E$88)),BW$3&lt;$B$7),$B$20/MAX(1,MIN(6,'Вводные'!$E$88)),0)</x:f>
        <x:v>0</x:v>
      </x:c>
      <x:c r="BX20" s="117" t="n">
        <x:f>IF(AND(BX$3&gt;=EDATE($B$7,-MIN(6,'Вводные'!$E$88)),BX$3&lt;$B$7),$B$20/MAX(1,MIN(6,'Вводные'!$E$88)),0)</x:f>
        <x:v>0</x:v>
      </x:c>
      <x:c r="BY20" s="117" t="n">
        <x:f>IF(AND(BY$3&gt;=EDATE($B$7,-MIN(6,'Вводные'!$E$88)),BY$3&lt;$B$7),$B$20/MAX(1,MIN(6,'Вводные'!$E$88)),0)</x:f>
        <x:v>0</x:v>
      </x:c>
      <x:c r="BZ20" s="117" t="n">
        <x:f>IF(AND(BZ$3&gt;=EDATE($B$7,-MIN(6,'Вводные'!$E$88)),BZ$3&lt;$B$7),$B$20/MAX(1,MIN(6,'Вводные'!$E$88)),0)</x:f>
        <x:v>0</x:v>
      </x:c>
      <x:c r="CA20" s="117" t="n">
        <x:f>IF(AND(CA$3&gt;=EDATE($B$7,-MIN(6,'Вводные'!$E$88)),CA$3&lt;$B$7),$B$20/MAX(1,MIN(6,'Вводные'!$E$88)),0)</x:f>
        <x:v>0</x:v>
      </x:c>
      <x:c r="CB20" s="117" t="n">
        <x:f>IF(AND(CB$3&gt;=EDATE($B$7,-MIN(6,'Вводные'!$E$88)),CB$3&lt;$B$7),$B$20/MAX(1,MIN(6,'Вводные'!$E$88)),0)</x:f>
        <x:v>0</x:v>
      </x:c>
      <x:c r="CC20" s="117" t="n">
        <x:f>IF(AND(CC$3&gt;=EDATE($B$7,-MIN(6,'Вводные'!$E$88)),CC$3&lt;$B$7),$B$20/MAX(1,MIN(6,'Вводные'!$E$88)),0)</x:f>
        <x:v>0</x:v>
      </x:c>
      <x:c r="CD20" s="117" t="n">
        <x:f>IF(AND(CD$3&gt;=EDATE($B$7,-MIN(6,'Вводные'!$E$88)),CD$3&lt;$B$7),$B$20/MAX(1,MIN(6,'Вводные'!$E$88)),0)</x:f>
        <x:v>0</x:v>
      </x:c>
      <x:c r="CE20" s="117" t="n">
        <x:f>IF(AND(CE$3&gt;=EDATE($B$7,-MIN(6,'Вводные'!$E$88)),CE$3&lt;$B$7),$B$20/MAX(1,MIN(6,'Вводные'!$E$88)),0)</x:f>
        <x:v>0</x:v>
      </x:c>
      <x:c r="CF20" s="117" t="n">
        <x:f>IF(AND(CF$3&gt;=EDATE($B$7,-MIN(6,'Вводные'!$E$88)),CF$3&lt;$B$7),$B$20/MAX(1,MIN(6,'Вводные'!$E$88)),0)</x:f>
        <x:v>0</x:v>
      </x:c>
      <x:c r="CG20" s="117" t="n">
        <x:f>IF(AND(CG$3&gt;=EDATE($B$7,-MIN(6,'Вводные'!$E$88)),CG$3&lt;$B$7),$B$20/MAX(1,MIN(6,'Вводные'!$E$88)),0)</x:f>
        <x:v>0</x:v>
      </x:c>
      <x:c r="CH20" s="117" t="n">
        <x:f>IF(AND(CH$3&gt;=EDATE($B$7,-MIN(6,'Вводные'!$E$88)),CH$3&lt;$B$7),$B$20/MAX(1,MIN(6,'Вводные'!$E$88)),0)</x:f>
        <x:v>0</x:v>
      </x:c>
      <x:c r="CI20" s="117" t="n">
        <x:f>IF(AND(CI$3&gt;=EDATE($B$7,-MIN(6,'Вводные'!$E$88)),CI$3&lt;$B$7),$B$20/MAX(1,MIN(6,'Вводные'!$E$88)),0)</x:f>
        <x:v>0</x:v>
      </x:c>
      <x:c r="CJ20" s="117" t="n">
        <x:f>IF(AND(CJ$3&gt;=EDATE($B$7,-MIN(6,'Вводные'!$E$88)),CJ$3&lt;$B$7),$B$20/MAX(1,MIN(6,'Вводные'!$E$88)),0)</x:f>
        <x:v>0</x:v>
      </x:c>
      <x:c r="CK20" s="117" t="n">
        <x:f>IF(AND(CK$3&gt;=EDATE($B$7,-MIN(6,'Вводные'!$E$88)),CK$3&lt;$B$7),$B$20/MAX(1,MIN(6,'Вводные'!$E$88)),0)</x:f>
        <x:v>0</x:v>
      </x:c>
      <x:c r="CL20" s="117" t="n">
        <x:f>IF(AND(CL$3&gt;=EDATE($B$7,-MIN(6,'Вводные'!$E$88)),CL$3&lt;$B$7),$B$20/MAX(1,MIN(6,'Вводные'!$E$88)),0)</x:f>
        <x:v>0</x:v>
      </x:c>
      <x:c r="CM20" s="117" t="n">
        <x:f>IF(AND(CM$3&gt;=EDATE($B$7,-MIN(6,'Вводные'!$E$88)),CM$3&lt;$B$7),$B$20/MAX(1,MIN(6,'Вводные'!$E$88)),0)</x:f>
        <x:v>0</x:v>
      </x:c>
      <x:c r="CN20" s="117" t="n">
        <x:f>IF(AND(CN$3&gt;=EDATE($B$7,-MIN(6,'Вводные'!$E$88)),CN$3&lt;$B$7),$B$20/MAX(1,MIN(6,'Вводные'!$E$88)),0)</x:f>
        <x:v>0</x:v>
      </x:c>
      <x:c r="CO20" s="117" t="n">
        <x:f>IF(AND(CO$3&gt;=EDATE($B$7,-MIN(6,'Вводные'!$E$88)),CO$3&lt;$B$7),$B$20/MAX(1,MIN(6,'Вводные'!$E$88)),0)</x:f>
        <x:v>0</x:v>
      </x:c>
      <x:c r="CP20" s="117" t="n">
        <x:f>IF(AND(CP$3&gt;=EDATE($B$7,-MIN(6,'Вводные'!$E$88)),CP$3&lt;$B$7),$B$20/MAX(1,MIN(6,'Вводные'!$E$88)),0)</x:f>
        <x:v>0</x:v>
      </x:c>
      <x:c r="CQ20" s="117" t="n">
        <x:f>IF(AND(CQ$3&gt;=EDATE($B$7,-MIN(6,'Вводные'!$E$88)),CQ$3&lt;$B$7),$B$20/MAX(1,MIN(6,'Вводные'!$E$88)),0)</x:f>
        <x:v>0</x:v>
      </x:c>
      <x:c r="CR20" s="117" t="n">
        <x:f>IF(AND(CR$3&gt;=EDATE($B$7,-MIN(6,'Вводные'!$E$88)),CR$3&lt;$B$7),$B$20/MAX(1,MIN(6,'Вводные'!$E$88)),0)</x:f>
        <x:v>0</x:v>
      </x:c>
      <x:c r="CS20" s="117" t="n">
        <x:f>IF(AND(CS$3&gt;=EDATE($B$7,-MIN(6,'Вводные'!$E$88)),CS$3&lt;$B$7),$B$20/MAX(1,MIN(6,'Вводные'!$E$88)),0)</x:f>
        <x:v>0</x:v>
      </x:c>
      <x:c r="CT20" s="117" t="n">
        <x:f>IF(AND(CT$3&gt;=EDATE($B$7,-MIN(6,'Вводные'!$E$88)),CT$3&lt;$B$7),$B$20/MAX(1,MIN(6,'Вводные'!$E$88)),0)</x:f>
        <x:v>0</x:v>
      </x:c>
      <x:c r="CU20" s="117" t="n">
        <x:f>IF(AND(CU$3&gt;=EDATE($B$7,-MIN(6,'Вводные'!$E$88)),CU$3&lt;$B$7),$B$20/MAX(1,MIN(6,'Вводные'!$E$88)),0)</x:f>
        <x:v>0</x:v>
      </x:c>
      <x:c r="CV20" s="117" t="n">
        <x:f>IF(AND(CV$3&gt;=EDATE($B$7,-MIN(6,'Вводные'!$E$88)),CV$3&lt;$B$7),$B$20/MAX(1,MIN(6,'Вводные'!$E$88)),0)</x:f>
        <x:v>0</x:v>
      </x:c>
      <x:c r="CW20" s="117" t="n">
        <x:f>IF(AND(CW$3&gt;=EDATE($B$7,-MIN(6,'Вводные'!$E$88)),CW$3&lt;$B$7),$B$20/MAX(1,MIN(6,'Вводные'!$E$88)),0)</x:f>
        <x:v>0</x:v>
      </x:c>
      <x:c r="CX20" s="117" t="n">
        <x:f>IF(AND(CX$3&gt;=EDATE($B$7,-MIN(6,'Вводные'!$E$88)),CX$3&lt;$B$7),$B$20/MAX(1,MIN(6,'Вводные'!$E$88)),0)</x:f>
        <x:v>0</x:v>
      </x:c>
      <x:c r="CY20" s="117" t="n">
        <x:f>IF(AND(CY$3&gt;=EDATE($B$7,-MIN(6,'Вводные'!$E$88)),CY$3&lt;$B$7),$B$20/MAX(1,MIN(6,'Вводные'!$E$88)),0)</x:f>
        <x:v>0</x:v>
      </x:c>
      <x:c r="CZ20" s="117" t="n">
        <x:f>IF(AND(CZ$3&gt;=EDATE($B$7,-MIN(6,'Вводные'!$E$88)),CZ$3&lt;$B$7),$B$20/MAX(1,MIN(6,'Вводные'!$E$88)),0)</x:f>
        <x:v>0</x:v>
      </x:c>
      <x:c r="DA20" s="117" t="n">
        <x:f>IF(AND(DA$3&gt;=EDATE($B$7,-MIN(6,'Вводные'!$E$88)),DA$3&lt;$B$7),$B$20/MAX(1,MIN(6,'Вводные'!$E$88)),0)</x:f>
        <x:v>0</x:v>
      </x:c>
      <x:c r="DB20" s="117" t="n">
        <x:f>IF(AND(DB$3&gt;=EDATE($B$7,-MIN(6,'Вводные'!$E$88)),DB$3&lt;$B$7),$B$20/MAX(1,MIN(6,'Вводные'!$E$88)),0)</x:f>
        <x:v>0</x:v>
      </x:c>
      <x:c r="DC20" s="117" t="n">
        <x:f>IF(AND(DC$3&gt;=EDATE($B$7,-MIN(6,'Вводные'!$E$88)),DC$3&lt;$B$7),$B$20/MAX(1,MIN(6,'Вводные'!$E$88)),0)</x:f>
        <x:v>0</x:v>
      </x:c>
      <x:c r="DD20" s="117" t="n">
        <x:f>IF(AND(DD$3&gt;=EDATE($B$7,-MIN(6,'Вводные'!$E$88)),DD$3&lt;$B$7),$B$20/MAX(1,MIN(6,'Вводные'!$E$88)),0)</x:f>
        <x:v>0</x:v>
      </x:c>
      <x:c r="DE20" s="117" t="n">
        <x:f>IF(AND(DE$3&gt;=EDATE($B$7,-MIN(6,'Вводные'!$E$88)),DE$3&lt;$B$7),$B$20/MAX(1,MIN(6,'Вводные'!$E$88)),0)</x:f>
        <x:v>0</x:v>
      </x:c>
      <x:c r="DF20" s="117" t="n">
        <x:f>IF(AND(DF$3&gt;=EDATE($B$7,-MIN(6,'Вводные'!$E$88)),DF$3&lt;$B$7),$B$20/MAX(1,MIN(6,'Вводные'!$E$88)),0)</x:f>
        <x:v>0</x:v>
      </x:c>
      <x:c r="DG20" s="117" t="n">
        <x:f>IF(AND(DG$3&gt;=EDATE($B$7,-MIN(6,'Вводные'!$E$88)),DG$3&lt;$B$7),$B$20/MAX(1,MIN(6,'Вводные'!$E$88)),0)</x:f>
        <x:v>0</x:v>
      </x:c>
      <x:c r="DH20" s="117" t="n">
        <x:f>IF(AND(DH$3&gt;=EDATE($B$7,-MIN(6,'Вводные'!$E$88)),DH$3&lt;$B$7),$B$20/MAX(1,MIN(6,'Вводные'!$E$88)),0)</x:f>
        <x:v>0</x:v>
      </x:c>
      <x:c r="DI20" s="117" t="n">
        <x:f>IF(AND(DI$3&gt;=EDATE($B$7,-MIN(6,'Вводные'!$E$88)),DI$3&lt;$B$7),$B$20/MAX(1,MIN(6,'Вводные'!$E$88)),0)</x:f>
        <x:v>0</x:v>
      </x:c>
      <x:c r="DJ20" s="117" t="n">
        <x:f>IF(AND(DJ$3&gt;=EDATE($B$7,-MIN(6,'Вводные'!$E$88)),DJ$3&lt;$B$7),$B$20/MAX(1,MIN(6,'Вводные'!$E$88)),0)</x:f>
        <x:v>0</x:v>
      </x:c>
      <x:c r="DK20" s="117" t="n">
        <x:f>IF(AND(DK$3&gt;=EDATE($B$7,-MIN(6,'Вводные'!$E$88)),DK$3&lt;$B$7),$B$20/MAX(1,MIN(6,'Вводные'!$E$88)),0)</x:f>
        <x:v>0</x:v>
      </x:c>
      <x:c r="DL20" s="117" t="n">
        <x:f>IF(AND(DL$3&gt;=EDATE($B$7,-MIN(6,'Вводные'!$E$88)),DL$3&lt;$B$7),$B$20/MAX(1,MIN(6,'Вводные'!$E$88)),0)</x:f>
        <x:v>0</x:v>
      </x:c>
      <x:c r="DM20" s="117" t="n">
        <x:f>IF(AND(DM$3&gt;=EDATE($B$7,-MIN(6,'Вводные'!$E$88)),DM$3&lt;$B$7),$B$20/MAX(1,MIN(6,'Вводные'!$E$88)),0)</x:f>
        <x:v>0</x:v>
      </x:c>
      <x:c r="DN20" s="117" t="n">
        <x:f>IF(AND(DN$3&gt;=EDATE($B$7,-MIN(6,'Вводные'!$E$88)),DN$3&lt;$B$7),$B$20/MAX(1,MIN(6,'Вводные'!$E$88)),0)</x:f>
        <x:v>0</x:v>
      </x:c>
      <x:c r="DO20" s="117" t="n">
        <x:f>IF(AND(DO$3&gt;=EDATE($B$7,-MIN(6,'Вводные'!$E$88)),DO$3&lt;$B$7),$B$20/MAX(1,MIN(6,'Вводные'!$E$88)),0)</x:f>
        <x:v>0</x:v>
      </x:c>
      <x:c r="DP20" s="117" t="n">
        <x:f>IF(AND(DP$3&gt;=EDATE($B$7,-MIN(6,'Вводные'!$E$88)),DP$3&lt;$B$7),$B$20/MAX(1,MIN(6,'Вводные'!$E$88)),0)</x:f>
        <x:v>0</x:v>
      </x:c>
      <x:c r="DQ20" s="117" t="n">
        <x:f>IF(AND(DQ$3&gt;=EDATE($B$7,-MIN(6,'Вводные'!$E$88)),DQ$3&lt;$B$7),$B$20/MAX(1,MIN(6,'Вводные'!$E$88)),0)</x:f>
        <x:v>0</x:v>
      </x:c>
      <x:c r="DR20" s="117" t="n">
        <x:f>IF(AND(DR$3&gt;=EDATE($B$7,-MIN(6,'Вводные'!$E$88)),DR$3&lt;$B$7),$B$20/MAX(1,MIN(6,'Вводные'!$E$88)),0)</x:f>
        <x:v>0</x:v>
      </x:c>
      <x:c r="DS20" s="117" t="n">
        <x:f>IF(AND(DS$3&gt;=EDATE($B$7,-MIN(6,'Вводные'!$E$88)),DS$3&lt;$B$7),$B$20/MAX(1,MIN(6,'Вводные'!$E$88)),0)</x:f>
        <x:v>0</x:v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  <x:v>4328.58</x:v>
      </x:c>
      <x:c r="C21" t="str">
        <x:v>млн ₽</x:v>
      </x:c>
      <x:c r="D21" s="117" t="n">
        <x:f>$B$21*D13</x:f>
        <x:v>0</x:v>
      </x:c>
      <x:c r="E21" s="117" t="n">
        <x:f>$B$21*E13</x:f>
        <x:v>0</x:v>
      </x:c>
      <x:c r="F21" s="117" t="n">
        <x:f>$B$21*F13</x:f>
        <x:v>0</x:v>
      </x:c>
      <x:c r="G21" s="117" t="n">
        <x:f>$B$21*G13</x:f>
        <x:v>0</x:v>
      </x:c>
      <x:c r="H21" s="117" t="n">
        <x:f>$B$21*H13</x:f>
        <x:v>0</x:v>
      </x:c>
      <x:c r="I21" s="117" t="n">
        <x:f>$B$21*I13</x:f>
        <x:v>0</x:v>
      </x:c>
      <x:c r="J21" s="117" t="n">
        <x:f>$B$21*J13</x:f>
        <x:v>0</x:v>
      </x:c>
      <x:c r="K21" s="117" t="n">
        <x:f>$B$21*K13</x:f>
        <x:v>0</x:v>
      </x:c>
      <x:c r="L21" s="117" t="n">
        <x:f>$B$21*L13</x:f>
        <x:v>0</x:v>
      </x:c>
      <x:c r="M21" s="117" t="n">
        <x:f>$B$21*M13</x:f>
        <x:v>0</x:v>
      </x:c>
      <x:c r="N21" s="117" t="n">
        <x:f>$B$21*N13</x:f>
        <x:v>0</x:v>
      </x:c>
      <x:c r="O21" s="117" t="n">
        <x:f>$B$21*O13</x:f>
        <x:v>0</x:v>
      </x:c>
      <x:c r="P21" s="117" t="n">
        <x:f>$B$21*P13</x:f>
        <x:v>0</x:v>
      </x:c>
      <x:c r="Q21" s="117" t="n">
        <x:f>$B$21*Q13</x:f>
        <x:v>0</x:v>
      </x:c>
      <x:c r="R21" s="117" t="n">
        <x:f>$B$21*R13</x:f>
        <x:v>0</x:v>
      </x:c>
      <x:c r="S21" s="117" t="n">
        <x:f>$B$21*S13</x:f>
        <x:v>0</x:v>
      </x:c>
      <x:c r="T21" s="117" t="n">
        <x:f>$B$21*T13</x:f>
        <x:v>0</x:v>
      </x:c>
      <x:c r="U21" s="117" t="n">
        <x:f>$B$21*U13</x:f>
        <x:v>0</x:v>
      </x:c>
      <x:c r="V21" s="117" t="n">
        <x:f>$B$21*V13</x:f>
        <x:v>106.44049180327869</x:v>
      </x:c>
      <x:c r="W21" s="117" t="n">
        <x:f>$B$21*W13</x:f>
        <x:v>106.44049180327869</x:v>
      </x:c>
      <x:c r="X21" s="117" t="n">
        <x:f>$B$21*X13</x:f>
        <x:v>106.44049180327869</x:v>
      </x:c>
      <x:c r="Y21" s="117" t="n">
        <x:f>$B$21*Y13</x:f>
        <x:v>106.44049180327869</x:v>
      </x:c>
      <x:c r="Z21" s="117" t="n">
        <x:f>$B$21*Z13</x:f>
        <x:v>212.88098360655738</x:v>
      </x:c>
      <x:c r="AA21" s="117" t="n">
        <x:f>$B$21*AA13</x:f>
        <x:v>212.88098360655738</x:v>
      </x:c>
      <x:c r="AB21" s="117" t="n">
        <x:f>$B$21*AB13</x:f>
        <x:v>212.88098360655738</x:v>
      </x:c>
      <x:c r="AC21" s="117" t="n">
        <x:f>$B$21*AC13</x:f>
        <x:v>212.88098360655738</x:v>
      </x:c>
      <x:c r="AD21" s="117" t="n">
        <x:f>$B$21*AD13</x:f>
        <x:v>212.88098360655738</x:v>
      </x:c>
      <x:c r="AE21" s="117" t="n">
        <x:f>$B$21*AE13</x:f>
        <x:v>212.88098360655738</x:v>
      </x:c>
      <x:c r="AF21" s="117" t="n">
        <x:f>$B$21*AF13</x:f>
        <x:v>212.88098360655738</x:v>
      </x:c>
      <x:c r="AG21" s="117" t="n">
        <x:f>$B$21*AG13</x:f>
        <x:v>212.88098360655738</x:v>
      </x:c>
      <x:c r="AH21" s="117" t="n">
        <x:f>$B$21*AH13</x:f>
        <x:v>212.88098360655738</x:v>
      </x:c>
      <x:c r="AI21" s="117" t="n">
        <x:f>$B$21*AI13</x:f>
        <x:v>212.88098360655738</x:v>
      </x:c>
      <x:c r="AJ21" s="117" t="n">
        <x:f>$B$21*AJ13</x:f>
        <x:v>212.88098360655738</x:v>
      </x:c>
      <x:c r="AK21" s="117" t="n">
        <x:f>$B$21*AK13</x:f>
        <x:v>212.88098360655738</x:v>
      </x:c>
      <x:c r="AL21" s="117" t="n">
        <x:f>$B$21*AL13</x:f>
        <x:v>212.88098360655738</x:v>
      </x:c>
      <x:c r="AM21" s="117" t="n">
        <x:f>$B$21*AM13</x:f>
        <x:v>212.88098360655738</x:v>
      </x:c>
      <x:c r="AN21" s="117" t="n">
        <x:f>$B$21*AN13</x:f>
        <x:v>212.88098360655738</x:v>
      </x:c>
      <x:c r="AO21" s="117" t="n">
        <x:f>$B$21*AO13</x:f>
        <x:v>141.92065573770492</x:v>
      </x:c>
      <x:c r="AP21" s="117" t="n">
        <x:f>$B$21*AP13</x:f>
        <x:v>141.92065573770492</x:v>
      </x:c>
      <x:c r="AQ21" s="117" t="n">
        <x:f>$B$21*AQ13</x:f>
        <x:v>141.92065573770492</x:v>
      </x:c>
      <x:c r="AR21" s="117" t="n">
        <x:f>$B$21*AR13</x:f>
        <x:v>141.92065573770492</x:v>
      </x:c>
      <x:c r="AS21" s="117" t="n">
        <x:f>$B$21*AS13</x:f>
        <x:v>141.92065573770492</x:v>
      </x:c>
      <x:c r="AT21" s="117" t="n">
        <x:f>$B$21*AT13</x:f>
        <x:v>0</x:v>
      </x:c>
      <x:c r="AU21" s="117" t="n">
        <x:f>$B$21*AU13</x:f>
        <x:v>0</x:v>
      </x:c>
      <x:c r="AV21" s="117" t="n">
        <x:f>$B$21*AV13</x:f>
        <x:v>0</x:v>
      </x:c>
      <x:c r="AW21" s="117" t="n">
        <x:f>$B$21*AW13</x:f>
        <x:v>0</x:v>
      </x:c>
      <x:c r="AX21" s="117" t="n">
        <x:f>$B$21*AX13</x:f>
        <x:v>0</x:v>
      </x:c>
      <x:c r="AY21" s="117" t="n">
        <x:f>$B$21*AY13</x:f>
        <x:v>0</x:v>
      </x:c>
      <x:c r="AZ21" s="117" t="n">
        <x:f>$B$21*AZ13</x:f>
        <x:v>0</x:v>
      </x:c>
      <x:c r="BA21" s="117" t="n">
        <x:f>$B$21*BA13</x:f>
        <x:v>0</x:v>
      </x:c>
      <x:c r="BB21" s="117" t="n">
        <x:f>$B$21*BB13</x:f>
        <x:v>0</x:v>
      </x:c>
      <x:c r="BC21" s="117" t="n">
        <x:f>$B$21*BC13</x:f>
        <x:v>0</x:v>
      </x:c>
      <x:c r="BD21" s="117" t="n">
        <x:f>$B$21*BD13</x:f>
        <x:v>0</x:v>
      </x:c>
      <x:c r="BE21" s="117" t="n">
        <x:f>$B$21*BE13</x:f>
        <x:v>0</x:v>
      </x:c>
      <x:c r="BF21" s="117" t="n">
        <x:f>$B$21*BF13</x:f>
        <x:v>0</x:v>
      </x:c>
      <x:c r="BG21" s="117" t="n">
        <x:f>$B$21*BG13</x:f>
        <x:v>0</x:v>
      </x:c>
      <x:c r="BH21" s="117" t="n">
        <x:f>$B$21*BH13</x:f>
        <x:v>0</x:v>
      </x:c>
      <x:c r="BI21" s="117" t="n">
        <x:f>$B$21*BI13</x:f>
        <x:v>0</x:v>
      </x:c>
      <x:c r="BJ21" s="117" t="n">
        <x:f>$B$21*BJ13</x:f>
        <x:v>0</x:v>
      </x:c>
      <x:c r="BK21" s="117" t="n">
        <x:f>$B$21*BK13</x:f>
        <x:v>0</x:v>
      </x:c>
      <x:c r="BL21" s="117" t="n">
        <x:f>$B$21*BL13</x:f>
        <x:v>0</x:v>
      </x:c>
      <x:c r="BM21" s="117" t="n">
        <x:f>$B$21*BM13</x:f>
        <x:v>0</x:v>
      </x:c>
      <x:c r="BN21" s="117" t="n">
        <x:f>$B$21*BN13</x:f>
        <x:v>0</x:v>
      </x:c>
      <x:c r="BO21" s="117" t="n">
        <x:f>$B$21*BO13</x:f>
        <x:v>0</x:v>
      </x:c>
      <x:c r="BP21" s="117" t="n">
        <x:f>$B$21*BP13</x:f>
        <x:v>0</x:v>
      </x:c>
      <x:c r="BQ21" s="117" t="n">
        <x:f>$B$21*BQ13</x:f>
        <x:v>0</x:v>
      </x:c>
      <x:c r="BR21" s="117" t="n">
        <x:f>$B$21*BR13</x:f>
        <x:v>0</x:v>
      </x:c>
      <x:c r="BS21" s="117" t="n">
        <x:f>$B$21*BS13</x:f>
        <x:v>0</x:v>
      </x:c>
      <x:c r="BT21" s="117" t="n">
        <x:f>$B$21*BT13</x:f>
        <x:v>0</x:v>
      </x:c>
      <x:c r="BU21" s="117" t="n">
        <x:f>$B$21*BU13</x:f>
        <x:v>0</x:v>
      </x:c>
      <x:c r="BV21" s="117" t="n">
        <x:f>$B$21*BV13</x:f>
        <x:v>0</x:v>
      </x:c>
      <x:c r="BW21" s="117" t="n">
        <x:f>$B$21*BW13</x:f>
        <x:v>0</x:v>
      </x:c>
      <x:c r="BX21" s="117" t="n">
        <x:f>$B$21*BX13</x:f>
        <x:v>0</x:v>
      </x:c>
      <x:c r="BY21" s="117" t="n">
        <x:f>$B$21*BY13</x:f>
        <x:v>0</x:v>
      </x:c>
      <x:c r="BZ21" s="117" t="n">
        <x:f>$B$21*BZ13</x:f>
        <x:v>0</x:v>
      </x:c>
      <x:c r="CA21" s="117" t="n">
        <x:f>$B$21*CA13</x:f>
        <x:v>0</x:v>
      </x:c>
      <x:c r="CB21" s="117" t="n">
        <x:f>$B$21*CB13</x:f>
        <x:v>0</x:v>
      </x:c>
      <x:c r="CC21" s="117" t="n">
        <x:f>$B$21*CC13</x:f>
        <x:v>0</x:v>
      </x:c>
      <x:c r="CD21" s="117" t="n">
        <x:f>$B$21*CD13</x:f>
        <x:v>0</x:v>
      </x:c>
      <x:c r="CE21" s="117" t="n">
        <x:f>$B$21*CE13</x:f>
        <x:v>0</x:v>
      </x:c>
      <x:c r="CF21" s="117" t="n">
        <x:f>$B$21*CF13</x:f>
        <x:v>0</x:v>
      </x:c>
      <x:c r="CG21" s="117" t="n">
        <x:f>$B$21*CG13</x:f>
        <x:v>0</x:v>
      </x:c>
      <x:c r="CH21" s="117" t="n">
        <x:f>$B$21*CH13</x:f>
        <x:v>0</x:v>
      </x:c>
      <x:c r="CI21" s="117" t="n">
        <x:f>$B$21*CI13</x:f>
        <x:v>0</x:v>
      </x:c>
      <x:c r="CJ21" s="117" t="n">
        <x:f>$B$21*CJ13</x:f>
        <x:v>0</x:v>
      </x:c>
      <x:c r="CK21" s="117" t="n">
        <x:f>$B$21*CK13</x:f>
        <x:v>0</x:v>
      </x:c>
      <x:c r="CL21" s="117" t="n">
        <x:f>$B$21*CL13</x:f>
        <x:v>0</x:v>
      </x:c>
      <x:c r="CM21" s="117" t="n">
        <x:f>$B$21*CM13</x:f>
        <x:v>0</x:v>
      </x:c>
      <x:c r="CN21" s="117" t="n">
        <x:f>$B$21*CN13</x:f>
        <x:v>0</x:v>
      </x:c>
      <x:c r="CO21" s="117" t="n">
        <x:f>$B$21*CO13</x:f>
        <x:v>0</x:v>
      </x:c>
      <x:c r="CP21" s="117" t="n">
        <x:f>$B$21*CP13</x:f>
        <x:v>0</x:v>
      </x:c>
      <x:c r="CQ21" s="117" t="n">
        <x:f>$B$21*CQ13</x:f>
        <x:v>0</x:v>
      </x:c>
      <x:c r="CR21" s="117" t="n">
        <x:f>$B$21*CR13</x:f>
        <x:v>0</x:v>
      </x:c>
      <x:c r="CS21" s="117" t="n">
        <x:f>$B$21*CS13</x:f>
        <x:v>0</x:v>
      </x:c>
      <x:c r="CT21" s="117" t="n">
        <x:f>$B$21*CT13</x:f>
        <x:v>0</x:v>
      </x:c>
      <x:c r="CU21" s="117" t="n">
        <x:f>$B$21*CU13</x:f>
        <x:v>0</x:v>
      </x:c>
      <x:c r="CV21" s="117" t="n">
        <x:f>$B$21*CV13</x:f>
        <x:v>0</x:v>
      </x:c>
      <x:c r="CW21" s="117" t="n">
        <x:f>$B$21*CW13</x:f>
        <x:v>0</x:v>
      </x:c>
      <x:c r="CX21" s="117" t="n">
        <x:f>$B$21*CX13</x:f>
        <x:v>0</x:v>
      </x:c>
      <x:c r="CY21" s="117" t="n">
        <x:f>$B$21*CY13</x:f>
        <x:v>0</x:v>
      </x:c>
      <x:c r="CZ21" s="117" t="n">
        <x:f>$B$21*CZ13</x:f>
        <x:v>0</x:v>
      </x:c>
      <x:c r="DA21" s="117" t="n">
        <x:f>$B$21*DA13</x:f>
        <x:v>0</x:v>
      </x:c>
      <x:c r="DB21" s="117" t="n">
        <x:f>$B$21*DB13</x:f>
        <x:v>0</x:v>
      </x:c>
      <x:c r="DC21" s="117" t="n">
        <x:f>$B$21*DC13</x:f>
        <x:v>0</x:v>
      </x:c>
      <x:c r="DD21" s="117" t="n">
        <x:f>$B$21*DD13</x:f>
        <x:v>0</x:v>
      </x:c>
      <x:c r="DE21" s="117" t="n">
        <x:f>$B$21*DE13</x:f>
        <x:v>0</x:v>
      </x:c>
      <x:c r="DF21" s="117" t="n">
        <x:f>$B$21*DF13</x:f>
        <x:v>0</x:v>
      </x:c>
      <x:c r="DG21" s="117" t="n">
        <x:f>$B$21*DG13</x:f>
        <x:v>0</x:v>
      </x:c>
      <x:c r="DH21" s="117" t="n">
        <x:f>$B$21*DH13</x:f>
        <x:v>0</x:v>
      </x:c>
      <x:c r="DI21" s="117" t="n">
        <x:f>$B$21*DI13</x:f>
        <x:v>0</x:v>
      </x:c>
      <x:c r="DJ21" s="117" t="n">
        <x:f>$B$21*DJ13</x:f>
        <x:v>0</x:v>
      </x:c>
      <x:c r="DK21" s="117" t="n">
        <x:f>$B$21*DK13</x:f>
        <x:v>0</x:v>
      </x:c>
      <x:c r="DL21" s="117" t="n">
        <x:f>$B$21*DL13</x:f>
        <x:v>0</x:v>
      </x:c>
      <x:c r="DM21" s="117" t="n">
        <x:f>$B$21*DM13</x:f>
        <x:v>0</x:v>
      </x:c>
      <x:c r="DN21" s="117" t="n">
        <x:f>$B$21*DN13</x:f>
        <x:v>0</x:v>
      </x:c>
      <x:c r="DO21" s="117" t="n">
        <x:f>$B$21*DO13</x:f>
        <x:v>0</x:v>
      </x:c>
      <x:c r="DP21" s="117" t="n">
        <x:f>$B$21*DP13</x:f>
        <x:v>0</x:v>
      </x:c>
      <x:c r="DQ21" s="117" t="n">
        <x:f>$B$21*DQ13</x:f>
        <x:v>0</x:v>
      </x:c>
      <x:c r="DR21" s="117" t="n">
        <x:f>$B$21*DR13</x:f>
        <x:v>0</x:v>
      </x:c>
      <x:c r="DS21" s="117" t="n">
        <x:f>$B$21*DS13</x:f>
        <x:v>0</x:v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  <x:v>605.15</x:v>
      </x:c>
      <x:c r="C22" t="str">
        <x:v>млн ₽</x:v>
      </x:c>
      <x:c r="D22" s="117" t="n">
        <x:f>$B$22*D13</x:f>
        <x:v>0</x:v>
      </x:c>
      <x:c r="E22" s="117" t="n">
        <x:f>$B$22*E13</x:f>
        <x:v>0</x:v>
      </x:c>
      <x:c r="F22" s="117" t="n">
        <x:f>$B$22*F13</x:f>
        <x:v>0</x:v>
      </x:c>
      <x:c r="G22" s="117" t="n">
        <x:f>$B$22*G13</x:f>
        <x:v>0</x:v>
      </x:c>
      <x:c r="H22" s="117" t="n">
        <x:f>$B$22*H13</x:f>
        <x:v>0</x:v>
      </x:c>
      <x:c r="I22" s="117" t="n">
        <x:f>$B$22*I13</x:f>
        <x:v>0</x:v>
      </x:c>
      <x:c r="J22" s="117" t="n">
        <x:f>$B$22*J13</x:f>
        <x:v>0</x:v>
      </x:c>
      <x:c r="K22" s="117" t="n">
        <x:f>$B$22*K13</x:f>
        <x:v>0</x:v>
      </x:c>
      <x:c r="L22" s="117" t="n">
        <x:f>$B$22*L13</x:f>
        <x:v>0</x:v>
      </x:c>
      <x:c r="M22" s="117" t="n">
        <x:f>$B$22*M13</x:f>
        <x:v>0</x:v>
      </x:c>
      <x:c r="N22" s="117" t="n">
        <x:f>$B$22*N13</x:f>
        <x:v>0</x:v>
      </x:c>
      <x:c r="O22" s="117" t="n">
        <x:f>$B$22*O13</x:f>
        <x:v>0</x:v>
      </x:c>
      <x:c r="P22" s="117" t="n">
        <x:f>$B$22*P13</x:f>
        <x:v>0</x:v>
      </x:c>
      <x:c r="Q22" s="117" t="n">
        <x:f>$B$22*Q13</x:f>
        <x:v>0</x:v>
      </x:c>
      <x:c r="R22" s="117" t="n">
        <x:f>$B$22*R13</x:f>
        <x:v>0</x:v>
      </x:c>
      <x:c r="S22" s="117" t="n">
        <x:f>$B$22*S13</x:f>
        <x:v>0</x:v>
      </x:c>
      <x:c r="T22" s="117" t="n">
        <x:f>$B$22*T13</x:f>
        <x:v>0</x:v>
      </x:c>
      <x:c r="U22" s="117" t="n">
        <x:f>$B$22*U13</x:f>
        <x:v>0</x:v>
      </x:c>
      <x:c r="V22" s="117" t="n">
        <x:f>$B$22*V13</x:f>
        <x:v>14.880737704918031</x:v>
      </x:c>
      <x:c r="W22" s="117" t="n">
        <x:f>$B$22*W13</x:f>
        <x:v>14.880737704918031</x:v>
      </x:c>
      <x:c r="X22" s="117" t="n">
        <x:f>$B$22*X13</x:f>
        <x:v>14.880737704918031</x:v>
      </x:c>
      <x:c r="Y22" s="117" t="n">
        <x:f>$B$22*Y13</x:f>
        <x:v>14.880737704918031</x:v>
      </x:c>
      <x:c r="Z22" s="117" t="n">
        <x:f>$B$22*Z13</x:f>
        <x:v>29.761475409836063</x:v>
      </x:c>
      <x:c r="AA22" s="117" t="n">
        <x:f>$B$22*AA13</x:f>
        <x:v>29.761475409836063</x:v>
      </x:c>
      <x:c r="AB22" s="117" t="n">
        <x:f>$B$22*AB13</x:f>
        <x:v>29.761475409836063</x:v>
      </x:c>
      <x:c r="AC22" s="117" t="n">
        <x:f>$B$22*AC13</x:f>
        <x:v>29.761475409836063</x:v>
      </x:c>
      <x:c r="AD22" s="117" t="n">
        <x:f>$B$22*AD13</x:f>
        <x:v>29.761475409836063</x:v>
      </x:c>
      <x:c r="AE22" s="117" t="n">
        <x:f>$B$22*AE13</x:f>
        <x:v>29.761475409836063</x:v>
      </x:c>
      <x:c r="AF22" s="117" t="n">
        <x:f>$B$22*AF13</x:f>
        <x:v>29.761475409836063</x:v>
      </x:c>
      <x:c r="AG22" s="117" t="n">
        <x:f>$B$22*AG13</x:f>
        <x:v>29.761475409836063</x:v>
      </x:c>
      <x:c r="AH22" s="117" t="n">
        <x:f>$B$22*AH13</x:f>
        <x:v>29.761475409836063</x:v>
      </x:c>
      <x:c r="AI22" s="117" t="n">
        <x:f>$B$22*AI13</x:f>
        <x:v>29.761475409836063</x:v>
      </x:c>
      <x:c r="AJ22" s="117" t="n">
        <x:f>$B$22*AJ13</x:f>
        <x:v>29.761475409836063</x:v>
      </x:c>
      <x:c r="AK22" s="117" t="n">
        <x:f>$B$22*AK13</x:f>
        <x:v>29.761475409836063</x:v>
      </x:c>
      <x:c r="AL22" s="117" t="n">
        <x:f>$B$22*AL13</x:f>
        <x:v>29.761475409836063</x:v>
      </x:c>
      <x:c r="AM22" s="117" t="n">
        <x:f>$B$22*AM13</x:f>
        <x:v>29.761475409836063</x:v>
      </x:c>
      <x:c r="AN22" s="117" t="n">
        <x:f>$B$22*AN13</x:f>
        <x:v>29.761475409836063</x:v>
      </x:c>
      <x:c r="AO22" s="117" t="n">
        <x:f>$B$22*AO13</x:f>
        <x:v>19.840983606557376</x:v>
      </x:c>
      <x:c r="AP22" s="117" t="n">
        <x:f>$B$22*AP13</x:f>
        <x:v>19.840983606557376</x:v>
      </x:c>
      <x:c r="AQ22" s="117" t="n">
        <x:f>$B$22*AQ13</x:f>
        <x:v>19.840983606557376</x:v>
      </x:c>
      <x:c r="AR22" s="117" t="n">
        <x:f>$B$22*AR13</x:f>
        <x:v>19.840983606557376</x:v>
      </x:c>
      <x:c r="AS22" s="117" t="n">
        <x:f>$B$22*AS13</x:f>
        <x:v>19.840983606557376</x:v>
      </x:c>
      <x:c r="AT22" s="117" t="n">
        <x:f>$B$22*AT13</x:f>
        <x:v>0</x:v>
      </x:c>
      <x:c r="AU22" s="117" t="n">
        <x:f>$B$22*AU13</x:f>
        <x:v>0</x:v>
      </x:c>
      <x:c r="AV22" s="117" t="n">
        <x:f>$B$22*AV13</x:f>
        <x:v>0</x:v>
      </x:c>
      <x:c r="AW22" s="117" t="n">
        <x:f>$B$22*AW13</x:f>
        <x:v>0</x:v>
      </x:c>
      <x:c r="AX22" s="117" t="n">
        <x:f>$B$22*AX13</x:f>
        <x:v>0</x:v>
      </x:c>
      <x:c r="AY22" s="117" t="n">
        <x:f>$B$22*AY13</x:f>
        <x:v>0</x:v>
      </x:c>
      <x:c r="AZ22" s="117" t="n">
        <x:f>$B$22*AZ13</x:f>
        <x:v>0</x:v>
      </x:c>
      <x:c r="BA22" s="117" t="n">
        <x:f>$B$22*BA13</x:f>
        <x:v>0</x:v>
      </x:c>
      <x:c r="BB22" s="117" t="n">
        <x:f>$B$22*BB13</x:f>
        <x:v>0</x:v>
      </x:c>
      <x:c r="BC22" s="117" t="n">
        <x:f>$B$22*BC13</x:f>
        <x:v>0</x:v>
      </x:c>
      <x:c r="BD22" s="117" t="n">
        <x:f>$B$22*BD13</x:f>
        <x:v>0</x:v>
      </x:c>
      <x:c r="BE22" s="117" t="n">
        <x:f>$B$22*BE13</x:f>
        <x:v>0</x:v>
      </x:c>
      <x:c r="BF22" s="117" t="n">
        <x:f>$B$22*BF13</x:f>
        <x:v>0</x:v>
      </x:c>
      <x:c r="BG22" s="117" t="n">
        <x:f>$B$22*BG13</x:f>
        <x:v>0</x:v>
      </x:c>
      <x:c r="BH22" s="117" t="n">
        <x:f>$B$22*BH13</x:f>
        <x:v>0</x:v>
      </x:c>
      <x:c r="BI22" s="117" t="n">
        <x:f>$B$22*BI13</x:f>
        <x:v>0</x:v>
      </x:c>
      <x:c r="BJ22" s="117" t="n">
        <x:f>$B$22*BJ13</x:f>
        <x:v>0</x:v>
      </x:c>
      <x:c r="BK22" s="117" t="n">
        <x:f>$B$22*BK13</x:f>
        <x:v>0</x:v>
      </x:c>
      <x:c r="BL22" s="117" t="n">
        <x:f>$B$22*BL13</x:f>
        <x:v>0</x:v>
      </x:c>
      <x:c r="BM22" s="117" t="n">
        <x:f>$B$22*BM13</x:f>
        <x:v>0</x:v>
      </x:c>
      <x:c r="BN22" s="117" t="n">
        <x:f>$B$22*BN13</x:f>
        <x:v>0</x:v>
      </x:c>
      <x:c r="BO22" s="117" t="n">
        <x:f>$B$22*BO13</x:f>
        <x:v>0</x:v>
      </x:c>
      <x:c r="BP22" s="117" t="n">
        <x:f>$B$22*BP13</x:f>
        <x:v>0</x:v>
      </x:c>
      <x:c r="BQ22" s="117" t="n">
        <x:f>$B$22*BQ13</x:f>
        <x:v>0</x:v>
      </x:c>
      <x:c r="BR22" s="117" t="n">
        <x:f>$B$22*BR13</x:f>
        <x:v>0</x:v>
      </x:c>
      <x:c r="BS22" s="117" t="n">
        <x:f>$B$22*BS13</x:f>
        <x:v>0</x:v>
      </x:c>
      <x:c r="BT22" s="117" t="n">
        <x:f>$B$22*BT13</x:f>
        <x:v>0</x:v>
      </x:c>
      <x:c r="BU22" s="117" t="n">
        <x:f>$B$22*BU13</x:f>
        <x:v>0</x:v>
      </x:c>
      <x:c r="BV22" s="117" t="n">
        <x:f>$B$22*BV13</x:f>
        <x:v>0</x:v>
      </x:c>
      <x:c r="BW22" s="117" t="n">
        <x:f>$B$22*BW13</x:f>
        <x:v>0</x:v>
      </x:c>
      <x:c r="BX22" s="117" t="n">
        <x:f>$B$22*BX13</x:f>
        <x:v>0</x:v>
      </x:c>
      <x:c r="BY22" s="117" t="n">
        <x:f>$B$22*BY13</x:f>
        <x:v>0</x:v>
      </x:c>
      <x:c r="BZ22" s="117" t="n">
        <x:f>$B$22*BZ13</x:f>
        <x:v>0</x:v>
      </x:c>
      <x:c r="CA22" s="117" t="n">
        <x:f>$B$22*CA13</x:f>
        <x:v>0</x:v>
      </x:c>
      <x:c r="CB22" s="117" t="n">
        <x:f>$B$22*CB13</x:f>
        <x:v>0</x:v>
      </x:c>
      <x:c r="CC22" s="117" t="n">
        <x:f>$B$22*CC13</x:f>
        <x:v>0</x:v>
      </x:c>
      <x:c r="CD22" s="117" t="n">
        <x:f>$B$22*CD13</x:f>
        <x:v>0</x:v>
      </x:c>
      <x:c r="CE22" s="117" t="n">
        <x:f>$B$22*CE13</x:f>
        <x:v>0</x:v>
      </x:c>
      <x:c r="CF22" s="117" t="n">
        <x:f>$B$22*CF13</x:f>
        <x:v>0</x:v>
      </x:c>
      <x:c r="CG22" s="117" t="n">
        <x:f>$B$22*CG13</x:f>
        <x:v>0</x:v>
      </x:c>
      <x:c r="CH22" s="117" t="n">
        <x:f>$B$22*CH13</x:f>
        <x:v>0</x:v>
      </x:c>
      <x:c r="CI22" s="117" t="n">
        <x:f>$B$22*CI13</x:f>
        <x:v>0</x:v>
      </x:c>
      <x:c r="CJ22" s="117" t="n">
        <x:f>$B$22*CJ13</x:f>
        <x:v>0</x:v>
      </x:c>
      <x:c r="CK22" s="117" t="n">
        <x:f>$B$22*CK13</x:f>
        <x:v>0</x:v>
      </x:c>
      <x:c r="CL22" s="117" t="n">
        <x:f>$B$22*CL13</x:f>
        <x:v>0</x:v>
      </x:c>
      <x:c r="CM22" s="117" t="n">
        <x:f>$B$22*CM13</x:f>
        <x:v>0</x:v>
      </x:c>
      <x:c r="CN22" s="117" t="n">
        <x:f>$B$22*CN13</x:f>
        <x:v>0</x:v>
      </x:c>
      <x:c r="CO22" s="117" t="n">
        <x:f>$B$22*CO13</x:f>
        <x:v>0</x:v>
      </x:c>
      <x:c r="CP22" s="117" t="n">
        <x:f>$B$22*CP13</x:f>
        <x:v>0</x:v>
      </x:c>
      <x:c r="CQ22" s="117" t="n">
        <x:f>$B$22*CQ13</x:f>
        <x:v>0</x:v>
      </x:c>
      <x:c r="CR22" s="117" t="n">
        <x:f>$B$22*CR13</x:f>
        <x:v>0</x:v>
      </x:c>
      <x:c r="CS22" s="117" t="n">
        <x:f>$B$22*CS13</x:f>
        <x:v>0</x:v>
      </x:c>
      <x:c r="CT22" s="117" t="n">
        <x:f>$B$22*CT13</x:f>
        <x:v>0</x:v>
      </x:c>
      <x:c r="CU22" s="117" t="n">
        <x:f>$B$22*CU13</x:f>
        <x:v>0</x:v>
      </x:c>
      <x:c r="CV22" s="117" t="n">
        <x:f>$B$22*CV13</x:f>
        <x:v>0</x:v>
      </x:c>
      <x:c r="CW22" s="117" t="n">
        <x:f>$B$22*CW13</x:f>
        <x:v>0</x:v>
      </x:c>
      <x:c r="CX22" s="117" t="n">
        <x:f>$B$22*CX13</x:f>
        <x:v>0</x:v>
      </x:c>
      <x:c r="CY22" s="117" t="n">
        <x:f>$B$22*CY13</x:f>
        <x:v>0</x:v>
      </x:c>
      <x:c r="CZ22" s="117" t="n">
        <x:f>$B$22*CZ13</x:f>
        <x:v>0</x:v>
      </x:c>
      <x:c r="DA22" s="117" t="n">
        <x:f>$B$22*DA13</x:f>
        <x:v>0</x:v>
      </x:c>
      <x:c r="DB22" s="117" t="n">
        <x:f>$B$22*DB13</x:f>
        <x:v>0</x:v>
      </x:c>
      <x:c r="DC22" s="117" t="n">
        <x:f>$B$22*DC13</x:f>
        <x:v>0</x:v>
      </x:c>
      <x:c r="DD22" s="117" t="n">
        <x:f>$B$22*DD13</x:f>
        <x:v>0</x:v>
      </x:c>
      <x:c r="DE22" s="117" t="n">
        <x:f>$B$22*DE13</x:f>
        <x:v>0</x:v>
      </x:c>
      <x:c r="DF22" s="117" t="n">
        <x:f>$B$22*DF13</x:f>
        <x:v>0</x:v>
      </x:c>
      <x:c r="DG22" s="117" t="n">
        <x:f>$B$22*DG13</x:f>
        <x:v>0</x:v>
      </x:c>
      <x:c r="DH22" s="117" t="n">
        <x:f>$B$22*DH13</x:f>
        <x:v>0</x:v>
      </x:c>
      <x:c r="DI22" s="117" t="n">
        <x:f>$B$22*DI13</x:f>
        <x:v>0</x:v>
      </x:c>
      <x:c r="DJ22" s="117" t="n">
        <x:f>$B$22*DJ13</x:f>
        <x:v>0</x:v>
      </x:c>
      <x:c r="DK22" s="117" t="n">
        <x:f>$B$22*DK13</x:f>
        <x:v>0</x:v>
      </x:c>
      <x:c r="DL22" s="117" t="n">
        <x:f>$B$22*DL13</x:f>
        <x:v>0</x:v>
      </x:c>
      <x:c r="DM22" s="117" t="n">
        <x:f>$B$22*DM13</x:f>
        <x:v>0</x:v>
      </x:c>
      <x:c r="DN22" s="117" t="n">
        <x:f>$B$22*DN13</x:f>
        <x:v>0</x:v>
      </x:c>
      <x:c r="DO22" s="117" t="n">
        <x:f>$B$22*DO13</x:f>
        <x:v>0</x:v>
      </x:c>
      <x:c r="DP22" s="117" t="n">
        <x:f>$B$22*DP13</x:f>
        <x:v>0</x:v>
      </x:c>
      <x:c r="DQ22" s="117" t="n">
        <x:f>$B$22*DQ13</x:f>
        <x:v>0</x:v>
      </x:c>
      <x:c r="DR22" s="117" t="n">
        <x:f>$B$22*DR13</x:f>
        <x:v>0</x:v>
      </x:c>
      <x:c r="DS22" s="117" t="n">
        <x:f>$B$22*DS13</x:f>
        <x:v>0</x:v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  <x:v>194.7525</x:v>
      </x:c>
      <x:c r="C23" t="str">
        <x:v>млн ₽</x:v>
      </x:c>
      <x:c r="D23" s="117" t="n">
        <x:f>$B$23*D13</x:f>
        <x:v>0</x:v>
      </x:c>
      <x:c r="E23" s="117" t="n">
        <x:f>$B$23*E13</x:f>
        <x:v>0</x:v>
      </x:c>
      <x:c r="F23" s="117" t="n">
        <x:f>$B$23*F13</x:f>
        <x:v>0</x:v>
      </x:c>
      <x:c r="G23" s="117" t="n">
        <x:f>$B$23*G13</x:f>
        <x:v>0</x:v>
      </x:c>
      <x:c r="H23" s="117" t="n">
        <x:f>$B$23*H13</x:f>
        <x:v>0</x:v>
      </x:c>
      <x:c r="I23" s="117" t="n">
        <x:f>$B$23*I13</x:f>
        <x:v>0</x:v>
      </x:c>
      <x:c r="J23" s="117" t="n">
        <x:f>$B$23*J13</x:f>
        <x:v>0</x:v>
      </x:c>
      <x:c r="K23" s="117" t="n">
        <x:f>$B$23*K13</x:f>
        <x:v>0</x:v>
      </x:c>
      <x:c r="L23" s="117" t="n">
        <x:f>$B$23*L13</x:f>
        <x:v>0</x:v>
      </x:c>
      <x:c r="M23" s="117" t="n">
        <x:f>$B$23*M13</x:f>
        <x:v>0</x:v>
      </x:c>
      <x:c r="N23" s="117" t="n">
        <x:f>$B$23*N13</x:f>
        <x:v>0</x:v>
      </x:c>
      <x:c r="O23" s="117" t="n">
        <x:f>$B$23*O13</x:f>
        <x:v>0</x:v>
      </x:c>
      <x:c r="P23" s="117" t="n">
        <x:f>$B$23*P13</x:f>
        <x:v>0</x:v>
      </x:c>
      <x:c r="Q23" s="117" t="n">
        <x:f>$B$23*Q13</x:f>
        <x:v>0</x:v>
      </x:c>
      <x:c r="R23" s="117" t="n">
        <x:f>$B$23*R13</x:f>
        <x:v>0</x:v>
      </x:c>
      <x:c r="S23" s="117" t="n">
        <x:f>$B$23*S13</x:f>
        <x:v>0</x:v>
      </x:c>
      <x:c r="T23" s="117" t="n">
        <x:f>$B$23*T13</x:f>
        <x:v>0</x:v>
      </x:c>
      <x:c r="U23" s="117" t="n">
        <x:f>$B$23*U13</x:f>
        <x:v>0</x:v>
      </x:c>
      <x:c r="V23" s="117" t="n">
        <x:f>$B$23*V13</x:f>
        <x:v>4.788995901639344</x:v>
      </x:c>
      <x:c r="W23" s="117" t="n">
        <x:f>$B$23*W13</x:f>
        <x:v>4.788995901639344</x:v>
      </x:c>
      <x:c r="X23" s="117" t="n">
        <x:f>$B$23*X13</x:f>
        <x:v>4.788995901639344</x:v>
      </x:c>
      <x:c r="Y23" s="117" t="n">
        <x:f>$B$23*Y13</x:f>
        <x:v>4.788995901639344</x:v>
      </x:c>
      <x:c r="Z23" s="117" t="n">
        <x:f>$B$23*Z13</x:f>
        <x:v>9.577991803278689</x:v>
      </x:c>
      <x:c r="AA23" s="117" t="n">
        <x:f>$B$23*AA13</x:f>
        <x:v>9.577991803278689</x:v>
      </x:c>
      <x:c r="AB23" s="117" t="n">
        <x:f>$B$23*AB13</x:f>
        <x:v>9.577991803278689</x:v>
      </x:c>
      <x:c r="AC23" s="117" t="n">
        <x:f>$B$23*AC13</x:f>
        <x:v>9.577991803278689</x:v>
      </x:c>
      <x:c r="AD23" s="117" t="n">
        <x:f>$B$23*AD13</x:f>
        <x:v>9.577991803278689</x:v>
      </x:c>
      <x:c r="AE23" s="117" t="n">
        <x:f>$B$23*AE13</x:f>
        <x:v>9.577991803278689</x:v>
      </x:c>
      <x:c r="AF23" s="117" t="n">
        <x:f>$B$23*AF13</x:f>
        <x:v>9.577991803278689</x:v>
      </x:c>
      <x:c r="AG23" s="117" t="n">
        <x:f>$B$23*AG13</x:f>
        <x:v>9.577991803278689</x:v>
      </x:c>
      <x:c r="AH23" s="117" t="n">
        <x:f>$B$23*AH13</x:f>
        <x:v>9.577991803278689</x:v>
      </x:c>
      <x:c r="AI23" s="117" t="n">
        <x:f>$B$23*AI13</x:f>
        <x:v>9.577991803278689</x:v>
      </x:c>
      <x:c r="AJ23" s="117" t="n">
        <x:f>$B$23*AJ13</x:f>
        <x:v>9.577991803278689</x:v>
      </x:c>
      <x:c r="AK23" s="117" t="n">
        <x:f>$B$23*AK13</x:f>
        <x:v>9.577991803278689</x:v>
      </x:c>
      <x:c r="AL23" s="117" t="n">
        <x:f>$B$23*AL13</x:f>
        <x:v>9.577991803278689</x:v>
      </x:c>
      <x:c r="AM23" s="117" t="n">
        <x:f>$B$23*AM13</x:f>
        <x:v>9.577991803278689</x:v>
      </x:c>
      <x:c r="AN23" s="117" t="n">
        <x:f>$B$23*AN13</x:f>
        <x:v>9.577991803278689</x:v>
      </x:c>
      <x:c r="AO23" s="117" t="n">
        <x:f>$B$23*AO13</x:f>
        <x:v>6.3853278688524595</x:v>
      </x:c>
      <x:c r="AP23" s="117" t="n">
        <x:f>$B$23*AP13</x:f>
        <x:v>6.3853278688524595</x:v>
      </x:c>
      <x:c r="AQ23" s="117" t="n">
        <x:f>$B$23*AQ13</x:f>
        <x:v>6.3853278688524595</x:v>
      </x:c>
      <x:c r="AR23" s="117" t="n">
        <x:f>$B$23*AR13</x:f>
        <x:v>6.3853278688524595</x:v>
      </x:c>
      <x:c r="AS23" s="117" t="n">
        <x:f>$B$23*AS13</x:f>
        <x:v>6.3853278688524595</x:v>
      </x:c>
      <x:c r="AT23" s="117" t="n">
        <x:f>$B$23*AT13</x:f>
        <x:v>0</x:v>
      </x:c>
      <x:c r="AU23" s="117" t="n">
        <x:f>$B$23*AU13</x:f>
        <x:v>0</x:v>
      </x:c>
      <x:c r="AV23" s="117" t="n">
        <x:f>$B$23*AV13</x:f>
        <x:v>0</x:v>
      </x:c>
      <x:c r="AW23" s="117" t="n">
        <x:f>$B$23*AW13</x:f>
        <x:v>0</x:v>
      </x:c>
      <x:c r="AX23" s="117" t="n">
        <x:f>$B$23*AX13</x:f>
        <x:v>0</x:v>
      </x:c>
      <x:c r="AY23" s="117" t="n">
        <x:f>$B$23*AY13</x:f>
        <x:v>0</x:v>
      </x:c>
      <x:c r="AZ23" s="117" t="n">
        <x:f>$B$23*AZ13</x:f>
        <x:v>0</x:v>
      </x:c>
      <x:c r="BA23" s="117" t="n">
        <x:f>$B$23*BA13</x:f>
        <x:v>0</x:v>
      </x:c>
      <x:c r="BB23" s="117" t="n">
        <x:f>$B$23*BB13</x:f>
        <x:v>0</x:v>
      </x:c>
      <x:c r="BC23" s="117" t="n">
        <x:f>$B$23*BC13</x:f>
        <x:v>0</x:v>
      </x:c>
      <x:c r="BD23" s="117" t="n">
        <x:f>$B$23*BD13</x:f>
        <x:v>0</x:v>
      </x:c>
      <x:c r="BE23" s="117" t="n">
        <x:f>$B$23*BE13</x:f>
        <x:v>0</x:v>
      </x:c>
      <x:c r="BF23" s="117" t="n">
        <x:f>$B$23*BF13</x:f>
        <x:v>0</x:v>
      </x:c>
      <x:c r="BG23" s="117" t="n">
        <x:f>$B$23*BG13</x:f>
        <x:v>0</x:v>
      </x:c>
      <x:c r="BH23" s="117" t="n">
        <x:f>$B$23*BH13</x:f>
        <x:v>0</x:v>
      </x:c>
      <x:c r="BI23" s="117" t="n">
        <x:f>$B$23*BI13</x:f>
        <x:v>0</x:v>
      </x:c>
      <x:c r="BJ23" s="117" t="n">
        <x:f>$B$23*BJ13</x:f>
        <x:v>0</x:v>
      </x:c>
      <x:c r="BK23" s="117" t="n">
        <x:f>$B$23*BK13</x:f>
        <x:v>0</x:v>
      </x:c>
      <x:c r="BL23" s="117" t="n">
        <x:f>$B$23*BL13</x:f>
        <x:v>0</x:v>
      </x:c>
      <x:c r="BM23" s="117" t="n">
        <x:f>$B$23*BM13</x:f>
        <x:v>0</x:v>
      </x:c>
      <x:c r="BN23" s="117" t="n">
        <x:f>$B$23*BN13</x:f>
        <x:v>0</x:v>
      </x:c>
      <x:c r="BO23" s="117" t="n">
        <x:f>$B$23*BO13</x:f>
        <x:v>0</x:v>
      </x:c>
      <x:c r="BP23" s="117" t="n">
        <x:f>$B$23*BP13</x:f>
        <x:v>0</x:v>
      </x:c>
      <x:c r="BQ23" s="117" t="n">
        <x:f>$B$23*BQ13</x:f>
        <x:v>0</x:v>
      </x:c>
      <x:c r="BR23" s="117" t="n">
        <x:f>$B$23*BR13</x:f>
        <x:v>0</x:v>
      </x:c>
      <x:c r="BS23" s="117" t="n">
        <x:f>$B$23*BS13</x:f>
        <x:v>0</x:v>
      </x:c>
      <x:c r="BT23" s="117" t="n">
        <x:f>$B$23*BT13</x:f>
        <x:v>0</x:v>
      </x:c>
      <x:c r="BU23" s="117" t="n">
        <x:f>$B$23*BU13</x:f>
        <x:v>0</x:v>
      </x:c>
      <x:c r="BV23" s="117" t="n">
        <x:f>$B$23*BV13</x:f>
        <x:v>0</x:v>
      </x:c>
      <x:c r="BW23" s="117" t="n">
        <x:f>$B$23*BW13</x:f>
        <x:v>0</x:v>
      </x:c>
      <x:c r="BX23" s="117" t="n">
        <x:f>$B$23*BX13</x:f>
        <x:v>0</x:v>
      </x:c>
      <x:c r="BY23" s="117" t="n">
        <x:f>$B$23*BY13</x:f>
        <x:v>0</x:v>
      </x:c>
      <x:c r="BZ23" s="117" t="n">
        <x:f>$B$23*BZ13</x:f>
        <x:v>0</x:v>
      </x:c>
      <x:c r="CA23" s="117" t="n">
        <x:f>$B$23*CA13</x:f>
        <x:v>0</x:v>
      </x:c>
      <x:c r="CB23" s="117" t="n">
        <x:f>$B$23*CB13</x:f>
        <x:v>0</x:v>
      </x:c>
      <x:c r="CC23" s="117" t="n">
        <x:f>$B$23*CC13</x:f>
        <x:v>0</x:v>
      </x:c>
      <x:c r="CD23" s="117" t="n">
        <x:f>$B$23*CD13</x:f>
        <x:v>0</x:v>
      </x:c>
      <x:c r="CE23" s="117" t="n">
        <x:f>$B$23*CE13</x:f>
        <x:v>0</x:v>
      </x:c>
      <x:c r="CF23" s="117" t="n">
        <x:f>$B$23*CF13</x:f>
        <x:v>0</x:v>
      </x:c>
      <x:c r="CG23" s="117" t="n">
        <x:f>$B$23*CG13</x:f>
        <x:v>0</x:v>
      </x:c>
      <x:c r="CH23" s="117" t="n">
        <x:f>$B$23*CH13</x:f>
        <x:v>0</x:v>
      </x:c>
      <x:c r="CI23" s="117" t="n">
        <x:f>$B$23*CI13</x:f>
        <x:v>0</x:v>
      </x:c>
      <x:c r="CJ23" s="117" t="n">
        <x:f>$B$23*CJ13</x:f>
        <x:v>0</x:v>
      </x:c>
      <x:c r="CK23" s="117" t="n">
        <x:f>$B$23*CK13</x:f>
        <x:v>0</x:v>
      </x:c>
      <x:c r="CL23" s="117" t="n">
        <x:f>$B$23*CL13</x:f>
        <x:v>0</x:v>
      </x:c>
      <x:c r="CM23" s="117" t="n">
        <x:f>$B$23*CM13</x:f>
        <x:v>0</x:v>
      </x:c>
      <x:c r="CN23" s="117" t="n">
        <x:f>$B$23*CN13</x:f>
        <x:v>0</x:v>
      </x:c>
      <x:c r="CO23" s="117" t="n">
        <x:f>$B$23*CO13</x:f>
        <x:v>0</x:v>
      </x:c>
      <x:c r="CP23" s="117" t="n">
        <x:f>$B$23*CP13</x:f>
        <x:v>0</x:v>
      </x:c>
      <x:c r="CQ23" s="117" t="n">
        <x:f>$B$23*CQ13</x:f>
        <x:v>0</x:v>
      </x:c>
      <x:c r="CR23" s="117" t="n">
        <x:f>$B$23*CR13</x:f>
        <x:v>0</x:v>
      </x:c>
      <x:c r="CS23" s="117" t="n">
        <x:f>$B$23*CS13</x:f>
        <x:v>0</x:v>
      </x:c>
      <x:c r="CT23" s="117" t="n">
        <x:f>$B$23*CT13</x:f>
        <x:v>0</x:v>
      </x:c>
      <x:c r="CU23" s="117" t="n">
        <x:f>$B$23*CU13</x:f>
        <x:v>0</x:v>
      </x:c>
      <x:c r="CV23" s="117" t="n">
        <x:f>$B$23*CV13</x:f>
        <x:v>0</x:v>
      </x:c>
      <x:c r="CW23" s="117" t="n">
        <x:f>$B$23*CW13</x:f>
        <x:v>0</x:v>
      </x:c>
      <x:c r="CX23" s="117" t="n">
        <x:f>$B$23*CX13</x:f>
        <x:v>0</x:v>
      </x:c>
      <x:c r="CY23" s="117" t="n">
        <x:f>$B$23*CY13</x:f>
        <x:v>0</x:v>
      </x:c>
      <x:c r="CZ23" s="117" t="n">
        <x:f>$B$23*CZ13</x:f>
        <x:v>0</x:v>
      </x:c>
      <x:c r="DA23" s="117" t="n">
        <x:f>$B$23*DA13</x:f>
        <x:v>0</x:v>
      </x:c>
      <x:c r="DB23" s="117" t="n">
        <x:f>$B$23*DB13</x:f>
        <x:v>0</x:v>
      </x:c>
      <x:c r="DC23" s="117" t="n">
        <x:f>$B$23*DC13</x:f>
        <x:v>0</x:v>
      </x:c>
      <x:c r="DD23" s="117" t="n">
        <x:f>$B$23*DD13</x:f>
        <x:v>0</x:v>
      </x:c>
      <x:c r="DE23" s="117" t="n">
        <x:f>$B$23*DE13</x:f>
        <x:v>0</x:v>
      </x:c>
      <x:c r="DF23" s="117" t="n">
        <x:f>$B$23*DF13</x:f>
        <x:v>0</x:v>
      </x:c>
      <x:c r="DG23" s="117" t="n">
        <x:f>$B$23*DG13</x:f>
        <x:v>0</x:v>
      </x:c>
      <x:c r="DH23" s="117" t="n">
        <x:f>$B$23*DH13</x:f>
        <x:v>0</x:v>
      </x:c>
      <x:c r="DI23" s="117" t="n">
        <x:f>$B$23*DI13</x:f>
        <x:v>0</x:v>
      </x:c>
      <x:c r="DJ23" s="117" t="n">
        <x:f>$B$23*DJ13</x:f>
        <x:v>0</x:v>
      </x:c>
      <x:c r="DK23" s="117" t="n">
        <x:f>$B$23*DK13</x:f>
        <x:v>0</x:v>
      </x:c>
      <x:c r="DL23" s="117" t="n">
        <x:f>$B$23*DL13</x:f>
        <x:v>0</x:v>
      </x:c>
      <x:c r="DM23" s="117" t="n">
        <x:f>$B$23*DM13</x:f>
        <x:v>0</x:v>
      </x:c>
      <x:c r="DN23" s="117" t="n">
        <x:f>$B$23*DN13</x:f>
        <x:v>0</x:v>
      </x:c>
      <x:c r="DO23" s="117" t="n">
        <x:f>$B$23*DO13</x:f>
        <x:v>0</x:v>
      </x:c>
      <x:c r="DP23" s="117" t="n">
        <x:f>$B$23*DP13</x:f>
        <x:v>0</x:v>
      </x:c>
      <x:c r="DQ23" s="117" t="n">
        <x:f>$B$23*DQ13</x:f>
        <x:v>0</x:v>
      </x:c>
      <x:c r="DR23" s="117" t="n">
        <x:f>$B$23*DR13</x:f>
        <x:v>0</x:v>
      </x:c>
      <x:c r="DS23" s="117" t="n">
        <x:f>$B$23*DS13</x:f>
        <x:v>0</x:v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  <x:v>129.835</x:v>
      </x:c>
      <x:c r="C24" t="str">
        <x:v>млн ₽</x:v>
      </x:c>
      <x:c r="D24" s="117" t="n">
        <x:f>IF(AND(D$3&gt;=EDATE($B$8,-3),D$3&lt;$B$8),$B$24/3,0)</x:f>
        <x:v>0</x:v>
      </x:c>
      <x:c r="E24" s="117" t="n">
        <x:f>IF(AND(E$3&gt;=EDATE($B$8,-3),E$3&lt;$B$8),$B$24/3,0)</x:f>
        <x:v>0</x:v>
      </x:c>
      <x:c r="F24" s="117" t="n">
        <x:f>IF(AND(F$3&gt;=EDATE($B$8,-3),F$3&lt;$B$8),$B$24/3,0)</x:f>
        <x:v>0</x:v>
      </x:c>
      <x:c r="G24" s="117" t="n">
        <x:f>IF(AND(G$3&gt;=EDATE($B$8,-3),G$3&lt;$B$8),$B$24/3,0)</x:f>
        <x:v>0</x:v>
      </x:c>
      <x:c r="H24" s="117" t="n">
        <x:f>IF(AND(H$3&gt;=EDATE($B$8,-3),H$3&lt;$B$8),$B$24/3,0)</x:f>
        <x:v>0</x:v>
      </x:c>
      <x:c r="I24" s="117" t="n">
        <x:f>IF(AND(I$3&gt;=EDATE($B$8,-3),I$3&lt;$B$8),$B$24/3,0)</x:f>
        <x:v>0</x:v>
      </x:c>
      <x:c r="J24" s="117" t="n">
        <x:f>IF(AND(J$3&gt;=EDATE($B$8,-3),J$3&lt;$B$8),$B$24/3,0)</x:f>
        <x:v>0</x:v>
      </x:c>
      <x:c r="K24" s="117" t="n">
        <x:f>IF(AND(K$3&gt;=EDATE($B$8,-3),K$3&lt;$B$8),$B$24/3,0)</x:f>
        <x:v>0</x:v>
      </x:c>
      <x:c r="L24" s="117" t="n">
        <x:f>IF(AND(L$3&gt;=EDATE($B$8,-3),L$3&lt;$B$8),$B$24/3,0)</x:f>
        <x:v>0</x:v>
      </x:c>
      <x:c r="M24" s="117" t="n">
        <x:f>IF(AND(M$3&gt;=EDATE($B$8,-3),M$3&lt;$B$8),$B$24/3,0)</x:f>
        <x:v>0</x:v>
      </x:c>
      <x:c r="N24" s="117" t="n">
        <x:f>IF(AND(N$3&gt;=EDATE($B$8,-3),N$3&lt;$B$8),$B$24/3,0)</x:f>
        <x:v>0</x:v>
      </x:c>
      <x:c r="O24" s="117" t="n">
        <x:f>IF(AND(O$3&gt;=EDATE($B$8,-3),O$3&lt;$B$8),$B$24/3,0)</x:f>
        <x:v>0</x:v>
      </x:c>
      <x:c r="P24" s="117" t="n">
        <x:f>IF(AND(P$3&gt;=EDATE($B$8,-3),P$3&lt;$B$8),$B$24/3,0)</x:f>
        <x:v>0</x:v>
      </x:c>
      <x:c r="Q24" s="117" t="n">
        <x:f>IF(AND(Q$3&gt;=EDATE($B$8,-3),Q$3&lt;$B$8),$B$24/3,0)</x:f>
        <x:v>0</x:v>
      </x:c>
      <x:c r="R24" s="117" t="n">
        <x:f>IF(AND(R$3&gt;=EDATE($B$8,-3),R$3&lt;$B$8),$B$24/3,0)</x:f>
        <x:v>0</x:v>
      </x:c>
      <x:c r="S24" s="117" t="n">
        <x:f>IF(AND(S$3&gt;=EDATE($B$8,-3),S$3&lt;$B$8),$B$24/3,0)</x:f>
        <x:v>0</x:v>
      </x:c>
      <x:c r="T24" s="117" t="n">
        <x:f>IF(AND(T$3&gt;=EDATE($B$8,-3),T$3&lt;$B$8),$B$24/3,0)</x:f>
        <x:v>0</x:v>
      </x:c>
      <x:c r="U24" s="117" t="n">
        <x:f>IF(AND(U$3&gt;=EDATE($B$8,-3),U$3&lt;$B$8),$B$24/3,0)</x:f>
        <x:v>0</x:v>
      </x:c>
      <x:c r="V24" s="117" t="n">
        <x:f>IF(AND(V$3&gt;=EDATE($B$8,-3),V$3&lt;$B$8),$B$24/3,0)</x:f>
        <x:v>0</x:v>
      </x:c>
      <x:c r="W24" s="117" t="n">
        <x:f>IF(AND(W$3&gt;=EDATE($B$8,-3),W$3&lt;$B$8),$B$24/3,0)</x:f>
        <x:v>0</x:v>
      </x:c>
      <x:c r="X24" s="117" t="n">
        <x:f>IF(AND(X$3&gt;=EDATE($B$8,-3),X$3&lt;$B$8),$B$24/3,0)</x:f>
        <x:v>0</x:v>
      </x:c>
      <x:c r="Y24" s="117" t="n">
        <x:f>IF(AND(Y$3&gt;=EDATE($B$8,-3),Y$3&lt;$B$8),$B$24/3,0)</x:f>
        <x:v>0</x:v>
      </x:c>
      <x:c r="Z24" s="117" t="n">
        <x:f>IF(AND(Z$3&gt;=EDATE($B$8,-3),Z$3&lt;$B$8),$B$24/3,0)</x:f>
        <x:v>0</x:v>
      </x:c>
      <x:c r="AA24" s="117" t="n">
        <x:f>IF(AND(AA$3&gt;=EDATE($B$8,-3),AA$3&lt;$B$8),$B$24/3,0)</x:f>
        <x:v>0</x:v>
      </x:c>
      <x:c r="AB24" s="117" t="n">
        <x:f>IF(AND(AB$3&gt;=EDATE($B$8,-3),AB$3&lt;$B$8),$B$24/3,0)</x:f>
        <x:v>0</x:v>
      </x:c>
      <x:c r="AC24" s="117" t="n">
        <x:f>IF(AND(AC$3&gt;=EDATE($B$8,-3),AC$3&lt;$B$8),$B$24/3,0)</x:f>
        <x:v>0</x:v>
      </x:c>
      <x:c r="AD24" s="117" t="n">
        <x:f>IF(AND(AD$3&gt;=EDATE($B$8,-3),AD$3&lt;$B$8),$B$24/3,0)</x:f>
        <x:v>0</x:v>
      </x:c>
      <x:c r="AE24" s="117" t="n">
        <x:f>IF(AND(AE$3&gt;=EDATE($B$8,-3),AE$3&lt;$B$8),$B$24/3,0)</x:f>
        <x:v>0</x:v>
      </x:c>
      <x:c r="AF24" s="117" t="n">
        <x:f>IF(AND(AF$3&gt;=EDATE($B$8,-3),AF$3&lt;$B$8),$B$24/3,0)</x:f>
        <x:v>0</x:v>
      </x:c>
      <x:c r="AG24" s="117" t="n">
        <x:f>IF(AND(AG$3&gt;=EDATE($B$8,-3),AG$3&lt;$B$8),$B$24/3,0)</x:f>
        <x:v>0</x:v>
      </x:c>
      <x:c r="AH24" s="117" t="n">
        <x:f>IF(AND(AH$3&gt;=EDATE($B$8,-3),AH$3&lt;$B$8),$B$24/3,0)</x:f>
        <x:v>0</x:v>
      </x:c>
      <x:c r="AI24" s="117" t="n">
        <x:f>IF(AND(AI$3&gt;=EDATE($B$8,-3),AI$3&lt;$B$8),$B$24/3,0)</x:f>
        <x:v>0</x:v>
      </x:c>
      <x:c r="AJ24" s="117" t="n">
        <x:f>IF(AND(AJ$3&gt;=EDATE($B$8,-3),AJ$3&lt;$B$8),$B$24/3,0)</x:f>
        <x:v>0</x:v>
      </x:c>
      <x:c r="AK24" s="117" t="n">
        <x:f>IF(AND(AK$3&gt;=EDATE($B$8,-3),AK$3&lt;$B$8),$B$24/3,0)</x:f>
        <x:v>0</x:v>
      </x:c>
      <x:c r="AL24" s="117" t="n">
        <x:f>IF(AND(AL$3&gt;=EDATE($B$8,-3),AL$3&lt;$B$8),$B$24/3,0)</x:f>
        <x:v>0</x:v>
      </x:c>
      <x:c r="AM24" s="117" t="n">
        <x:f>IF(AND(AM$3&gt;=EDATE($B$8,-3),AM$3&lt;$B$8),$B$24/3,0)</x:f>
        <x:v>0</x:v>
      </x:c>
      <x:c r="AN24" s="117" t="n">
        <x:f>IF(AND(AN$3&gt;=EDATE($B$8,-3),AN$3&lt;$B$8),$B$24/3,0)</x:f>
        <x:v>0</x:v>
      </x:c>
      <x:c r="AO24" s="117" t="n">
        <x:f>IF(AND(AO$3&gt;=EDATE($B$8,-3),AO$3&lt;$B$8),$B$24/3,0)</x:f>
        <x:v>0</x:v>
      </x:c>
      <x:c r="AP24" s="117" t="n">
        <x:f>IF(AND(AP$3&gt;=EDATE($B$8,-3),AP$3&lt;$B$8),$B$24/3,0)</x:f>
        <x:v>0</x:v>
      </x:c>
      <x:c r="AQ24" s="117" t="n">
        <x:f>IF(AND(AQ$3&gt;=EDATE($B$8,-3),AQ$3&lt;$B$8),$B$24/3,0)</x:f>
        <x:v>43.278333333333336</x:v>
      </x:c>
      <x:c r="AR24" s="117" t="n">
        <x:f>IF(AND(AR$3&gt;=EDATE($B$8,-3),AR$3&lt;$B$8),$B$24/3,0)</x:f>
        <x:v>43.278333333333336</x:v>
      </x:c>
      <x:c r="AS24" s="117" t="n">
        <x:f>IF(AND(AS$3&gt;=EDATE($B$8,-3),AS$3&lt;$B$8),$B$24/3,0)</x:f>
        <x:v>43.278333333333336</x:v>
      </x:c>
      <x:c r="AT24" s="117" t="n">
        <x:f>IF(AND(AT$3&gt;=EDATE($B$8,-3),AT$3&lt;$B$8),$B$24/3,0)</x:f>
        <x:v>0</x:v>
      </x:c>
      <x:c r="AU24" s="117" t="n">
        <x:f>IF(AND(AU$3&gt;=EDATE($B$8,-3),AU$3&lt;$B$8),$B$24/3,0)</x:f>
        <x:v>0</x:v>
      </x:c>
      <x:c r="AV24" s="117" t="n">
        <x:f>IF(AND(AV$3&gt;=EDATE($B$8,-3),AV$3&lt;$B$8),$B$24/3,0)</x:f>
        <x:v>0</x:v>
      </x:c>
      <x:c r="AW24" s="117" t="n">
        <x:f>IF(AND(AW$3&gt;=EDATE($B$8,-3),AW$3&lt;$B$8),$B$24/3,0)</x:f>
        <x:v>0</x:v>
      </x:c>
      <x:c r="AX24" s="117" t="n">
        <x:f>IF(AND(AX$3&gt;=EDATE($B$8,-3),AX$3&lt;$B$8),$B$24/3,0)</x:f>
        <x:v>0</x:v>
      </x:c>
      <x:c r="AY24" s="117" t="n">
        <x:f>IF(AND(AY$3&gt;=EDATE($B$8,-3),AY$3&lt;$B$8),$B$24/3,0)</x:f>
        <x:v>0</x:v>
      </x:c>
      <x:c r="AZ24" s="117" t="n">
        <x:f>IF(AND(AZ$3&gt;=EDATE($B$8,-3),AZ$3&lt;$B$8),$B$24/3,0)</x:f>
        <x:v>0</x:v>
      </x:c>
      <x:c r="BA24" s="117" t="n">
        <x:f>IF(AND(BA$3&gt;=EDATE($B$8,-3),BA$3&lt;$B$8),$B$24/3,0)</x:f>
        <x:v>0</x:v>
      </x:c>
      <x:c r="BB24" s="117" t="n">
        <x:f>IF(AND(BB$3&gt;=EDATE($B$8,-3),BB$3&lt;$B$8),$B$24/3,0)</x:f>
        <x:v>0</x:v>
      </x:c>
      <x:c r="BC24" s="117" t="n">
        <x:f>IF(AND(BC$3&gt;=EDATE($B$8,-3),BC$3&lt;$B$8),$B$24/3,0)</x:f>
        <x:v>0</x:v>
      </x:c>
      <x:c r="BD24" s="117" t="n">
        <x:f>IF(AND(BD$3&gt;=EDATE($B$8,-3),BD$3&lt;$B$8),$B$24/3,0)</x:f>
        <x:v>0</x:v>
      </x:c>
      <x:c r="BE24" s="117" t="n">
        <x:f>IF(AND(BE$3&gt;=EDATE($B$8,-3),BE$3&lt;$B$8),$B$24/3,0)</x:f>
        <x:v>0</x:v>
      </x:c>
      <x:c r="BF24" s="117" t="n">
        <x:f>IF(AND(BF$3&gt;=EDATE($B$8,-3),BF$3&lt;$B$8),$B$24/3,0)</x:f>
        <x:v>0</x:v>
      </x:c>
      <x:c r="BG24" s="117" t="n">
        <x:f>IF(AND(BG$3&gt;=EDATE($B$8,-3),BG$3&lt;$B$8),$B$24/3,0)</x:f>
        <x:v>0</x:v>
      </x:c>
      <x:c r="BH24" s="117" t="n">
        <x:f>IF(AND(BH$3&gt;=EDATE($B$8,-3),BH$3&lt;$B$8),$B$24/3,0)</x:f>
        <x:v>0</x:v>
      </x:c>
      <x:c r="BI24" s="117" t="n">
        <x:f>IF(AND(BI$3&gt;=EDATE($B$8,-3),BI$3&lt;$B$8),$B$24/3,0)</x:f>
        <x:v>0</x:v>
      </x:c>
      <x:c r="BJ24" s="117" t="n">
        <x:f>IF(AND(BJ$3&gt;=EDATE($B$8,-3),BJ$3&lt;$B$8),$B$24/3,0)</x:f>
        <x:v>0</x:v>
      </x:c>
      <x:c r="BK24" s="117" t="n">
        <x:f>IF(AND(BK$3&gt;=EDATE($B$8,-3),BK$3&lt;$B$8),$B$24/3,0)</x:f>
        <x:v>0</x:v>
      </x:c>
      <x:c r="BL24" s="117" t="n">
        <x:f>IF(AND(BL$3&gt;=EDATE($B$8,-3),BL$3&lt;$B$8),$B$24/3,0)</x:f>
        <x:v>0</x:v>
      </x:c>
      <x:c r="BM24" s="117" t="n">
        <x:f>IF(AND(BM$3&gt;=EDATE($B$8,-3),BM$3&lt;$B$8),$B$24/3,0)</x:f>
        <x:v>0</x:v>
      </x:c>
      <x:c r="BN24" s="117" t="n">
        <x:f>IF(AND(BN$3&gt;=EDATE($B$8,-3),BN$3&lt;$B$8),$B$24/3,0)</x:f>
        <x:v>0</x:v>
      </x:c>
      <x:c r="BO24" s="117" t="n">
        <x:f>IF(AND(BO$3&gt;=EDATE($B$8,-3),BO$3&lt;$B$8),$B$24/3,0)</x:f>
        <x:v>0</x:v>
      </x:c>
      <x:c r="BP24" s="117" t="n">
        <x:f>IF(AND(BP$3&gt;=EDATE($B$8,-3),BP$3&lt;$B$8),$B$24/3,0)</x:f>
        <x:v>0</x:v>
      </x:c>
      <x:c r="BQ24" s="117" t="n">
        <x:f>IF(AND(BQ$3&gt;=EDATE($B$8,-3),BQ$3&lt;$B$8),$B$24/3,0)</x:f>
        <x:v>0</x:v>
      </x:c>
      <x:c r="BR24" s="117" t="n">
        <x:f>IF(AND(BR$3&gt;=EDATE($B$8,-3),BR$3&lt;$B$8),$B$24/3,0)</x:f>
        <x:v>0</x:v>
      </x:c>
      <x:c r="BS24" s="117" t="n">
        <x:f>IF(AND(BS$3&gt;=EDATE($B$8,-3),BS$3&lt;$B$8),$B$24/3,0)</x:f>
        <x:v>0</x:v>
      </x:c>
      <x:c r="BT24" s="117" t="n">
        <x:f>IF(AND(BT$3&gt;=EDATE($B$8,-3),BT$3&lt;$B$8),$B$24/3,0)</x:f>
        <x:v>0</x:v>
      </x:c>
      <x:c r="BU24" s="117" t="n">
        <x:f>IF(AND(BU$3&gt;=EDATE($B$8,-3),BU$3&lt;$B$8),$B$24/3,0)</x:f>
        <x:v>0</x:v>
      </x:c>
      <x:c r="BV24" s="117" t="n">
        <x:f>IF(AND(BV$3&gt;=EDATE($B$8,-3),BV$3&lt;$B$8),$B$24/3,0)</x:f>
        <x:v>0</x:v>
      </x:c>
      <x:c r="BW24" s="117" t="n">
        <x:f>IF(AND(BW$3&gt;=EDATE($B$8,-3),BW$3&lt;$B$8),$B$24/3,0)</x:f>
        <x:v>0</x:v>
      </x:c>
      <x:c r="BX24" s="117" t="n">
        <x:f>IF(AND(BX$3&gt;=EDATE($B$8,-3),BX$3&lt;$B$8),$B$24/3,0)</x:f>
        <x:v>0</x:v>
      </x:c>
      <x:c r="BY24" s="117" t="n">
        <x:f>IF(AND(BY$3&gt;=EDATE($B$8,-3),BY$3&lt;$B$8),$B$24/3,0)</x:f>
        <x:v>0</x:v>
      </x:c>
      <x:c r="BZ24" s="117" t="n">
        <x:f>IF(AND(BZ$3&gt;=EDATE($B$8,-3),BZ$3&lt;$B$8),$B$24/3,0)</x:f>
        <x:v>0</x:v>
      </x:c>
      <x:c r="CA24" s="117" t="n">
        <x:f>IF(AND(CA$3&gt;=EDATE($B$8,-3),CA$3&lt;$B$8),$B$24/3,0)</x:f>
        <x:v>0</x:v>
      </x:c>
      <x:c r="CB24" s="117" t="n">
        <x:f>IF(AND(CB$3&gt;=EDATE($B$8,-3),CB$3&lt;$B$8),$B$24/3,0)</x:f>
        <x:v>0</x:v>
      </x:c>
      <x:c r="CC24" s="117" t="n">
        <x:f>IF(AND(CC$3&gt;=EDATE($B$8,-3),CC$3&lt;$B$8),$B$24/3,0)</x:f>
        <x:v>0</x:v>
      </x:c>
      <x:c r="CD24" s="117" t="n">
        <x:f>IF(AND(CD$3&gt;=EDATE($B$8,-3),CD$3&lt;$B$8),$B$24/3,0)</x:f>
        <x:v>0</x:v>
      </x:c>
      <x:c r="CE24" s="117" t="n">
        <x:f>IF(AND(CE$3&gt;=EDATE($B$8,-3),CE$3&lt;$B$8),$B$24/3,0)</x:f>
        <x:v>0</x:v>
      </x:c>
      <x:c r="CF24" s="117" t="n">
        <x:f>IF(AND(CF$3&gt;=EDATE($B$8,-3),CF$3&lt;$B$8),$B$24/3,0)</x:f>
        <x:v>0</x:v>
      </x:c>
      <x:c r="CG24" s="117" t="n">
        <x:f>IF(AND(CG$3&gt;=EDATE($B$8,-3),CG$3&lt;$B$8),$B$24/3,0)</x:f>
        <x:v>0</x:v>
      </x:c>
      <x:c r="CH24" s="117" t="n">
        <x:f>IF(AND(CH$3&gt;=EDATE($B$8,-3),CH$3&lt;$B$8),$B$24/3,0)</x:f>
        <x:v>0</x:v>
      </x:c>
      <x:c r="CI24" s="117" t="n">
        <x:f>IF(AND(CI$3&gt;=EDATE($B$8,-3),CI$3&lt;$B$8),$B$24/3,0)</x:f>
        <x:v>0</x:v>
      </x:c>
      <x:c r="CJ24" s="117" t="n">
        <x:f>IF(AND(CJ$3&gt;=EDATE($B$8,-3),CJ$3&lt;$B$8),$B$24/3,0)</x:f>
        <x:v>0</x:v>
      </x:c>
      <x:c r="CK24" s="117" t="n">
        <x:f>IF(AND(CK$3&gt;=EDATE($B$8,-3),CK$3&lt;$B$8),$B$24/3,0)</x:f>
        <x:v>0</x:v>
      </x:c>
      <x:c r="CL24" s="117" t="n">
        <x:f>IF(AND(CL$3&gt;=EDATE($B$8,-3),CL$3&lt;$B$8),$B$24/3,0)</x:f>
        <x:v>0</x:v>
      </x:c>
      <x:c r="CM24" s="117" t="n">
        <x:f>IF(AND(CM$3&gt;=EDATE($B$8,-3),CM$3&lt;$B$8),$B$24/3,0)</x:f>
        <x:v>0</x:v>
      </x:c>
      <x:c r="CN24" s="117" t="n">
        <x:f>IF(AND(CN$3&gt;=EDATE($B$8,-3),CN$3&lt;$B$8),$B$24/3,0)</x:f>
        <x:v>0</x:v>
      </x:c>
      <x:c r="CO24" s="117" t="n">
        <x:f>IF(AND(CO$3&gt;=EDATE($B$8,-3),CO$3&lt;$B$8),$B$24/3,0)</x:f>
        <x:v>0</x:v>
      </x:c>
      <x:c r="CP24" s="117" t="n">
        <x:f>IF(AND(CP$3&gt;=EDATE($B$8,-3),CP$3&lt;$B$8),$B$24/3,0)</x:f>
        <x:v>0</x:v>
      </x:c>
      <x:c r="CQ24" s="117" t="n">
        <x:f>IF(AND(CQ$3&gt;=EDATE($B$8,-3),CQ$3&lt;$B$8),$B$24/3,0)</x:f>
        <x:v>0</x:v>
      </x:c>
      <x:c r="CR24" s="117" t="n">
        <x:f>IF(AND(CR$3&gt;=EDATE($B$8,-3),CR$3&lt;$B$8),$B$24/3,0)</x:f>
        <x:v>0</x:v>
      </x:c>
      <x:c r="CS24" s="117" t="n">
        <x:f>IF(AND(CS$3&gt;=EDATE($B$8,-3),CS$3&lt;$B$8),$B$24/3,0)</x:f>
        <x:v>0</x:v>
      </x:c>
      <x:c r="CT24" s="117" t="n">
        <x:f>IF(AND(CT$3&gt;=EDATE($B$8,-3),CT$3&lt;$B$8),$B$24/3,0)</x:f>
        <x:v>0</x:v>
      </x:c>
      <x:c r="CU24" s="117" t="n">
        <x:f>IF(AND(CU$3&gt;=EDATE($B$8,-3),CU$3&lt;$B$8),$B$24/3,0)</x:f>
        <x:v>0</x:v>
      </x:c>
      <x:c r="CV24" s="117" t="n">
        <x:f>IF(AND(CV$3&gt;=EDATE($B$8,-3),CV$3&lt;$B$8),$B$24/3,0)</x:f>
        <x:v>0</x:v>
      </x:c>
      <x:c r="CW24" s="117" t="n">
        <x:f>IF(AND(CW$3&gt;=EDATE($B$8,-3),CW$3&lt;$B$8),$B$24/3,0)</x:f>
        <x:v>0</x:v>
      </x:c>
      <x:c r="CX24" s="117" t="n">
        <x:f>IF(AND(CX$3&gt;=EDATE($B$8,-3),CX$3&lt;$B$8),$B$24/3,0)</x:f>
        <x:v>0</x:v>
      </x:c>
      <x:c r="CY24" s="117" t="n">
        <x:f>IF(AND(CY$3&gt;=EDATE($B$8,-3),CY$3&lt;$B$8),$B$24/3,0)</x:f>
        <x:v>0</x:v>
      </x:c>
      <x:c r="CZ24" s="117" t="n">
        <x:f>IF(AND(CZ$3&gt;=EDATE($B$8,-3),CZ$3&lt;$B$8),$B$24/3,0)</x:f>
        <x:v>0</x:v>
      </x:c>
      <x:c r="DA24" s="117" t="n">
        <x:f>IF(AND(DA$3&gt;=EDATE($B$8,-3),DA$3&lt;$B$8),$B$24/3,0)</x:f>
        <x:v>0</x:v>
      </x:c>
      <x:c r="DB24" s="117" t="n">
        <x:f>IF(AND(DB$3&gt;=EDATE($B$8,-3),DB$3&lt;$B$8),$B$24/3,0)</x:f>
        <x:v>0</x:v>
      </x:c>
      <x:c r="DC24" s="117" t="n">
        <x:f>IF(AND(DC$3&gt;=EDATE($B$8,-3),DC$3&lt;$B$8),$B$24/3,0)</x:f>
        <x:v>0</x:v>
      </x:c>
      <x:c r="DD24" s="117" t="n">
        <x:f>IF(AND(DD$3&gt;=EDATE($B$8,-3),DD$3&lt;$B$8),$B$24/3,0)</x:f>
        <x:v>0</x:v>
      </x:c>
      <x:c r="DE24" s="117" t="n">
        <x:f>IF(AND(DE$3&gt;=EDATE($B$8,-3),DE$3&lt;$B$8),$B$24/3,0)</x:f>
        <x:v>0</x:v>
      </x:c>
      <x:c r="DF24" s="117" t="n">
        <x:f>IF(AND(DF$3&gt;=EDATE($B$8,-3),DF$3&lt;$B$8),$B$24/3,0)</x:f>
        <x:v>0</x:v>
      </x:c>
      <x:c r="DG24" s="117" t="n">
        <x:f>IF(AND(DG$3&gt;=EDATE($B$8,-3),DG$3&lt;$B$8),$B$24/3,0)</x:f>
        <x:v>0</x:v>
      </x:c>
      <x:c r="DH24" s="117" t="n">
        <x:f>IF(AND(DH$3&gt;=EDATE($B$8,-3),DH$3&lt;$B$8),$B$24/3,0)</x:f>
        <x:v>0</x:v>
      </x:c>
      <x:c r="DI24" s="117" t="n">
        <x:f>IF(AND(DI$3&gt;=EDATE($B$8,-3),DI$3&lt;$B$8),$B$24/3,0)</x:f>
        <x:v>0</x:v>
      </x:c>
      <x:c r="DJ24" s="117" t="n">
        <x:f>IF(AND(DJ$3&gt;=EDATE($B$8,-3),DJ$3&lt;$B$8),$B$24/3,0)</x:f>
        <x:v>0</x:v>
      </x:c>
      <x:c r="DK24" s="117" t="n">
        <x:f>IF(AND(DK$3&gt;=EDATE($B$8,-3),DK$3&lt;$B$8),$B$24/3,0)</x:f>
        <x:v>0</x:v>
      </x:c>
      <x:c r="DL24" s="117" t="n">
        <x:f>IF(AND(DL$3&gt;=EDATE($B$8,-3),DL$3&lt;$B$8),$B$24/3,0)</x:f>
        <x:v>0</x:v>
      </x:c>
      <x:c r="DM24" s="117" t="n">
        <x:f>IF(AND(DM$3&gt;=EDATE($B$8,-3),DM$3&lt;$B$8),$B$24/3,0)</x:f>
        <x:v>0</x:v>
      </x:c>
      <x:c r="DN24" s="117" t="n">
        <x:f>IF(AND(DN$3&gt;=EDATE($B$8,-3),DN$3&lt;$B$8),$B$24/3,0)</x:f>
        <x:v>0</x:v>
      </x:c>
      <x:c r="DO24" s="117" t="n">
        <x:f>IF(AND(DO$3&gt;=EDATE($B$8,-3),DO$3&lt;$B$8),$B$24/3,0)</x:f>
        <x:v>0</x:v>
      </x:c>
      <x:c r="DP24" s="117" t="n">
        <x:f>IF(AND(DP$3&gt;=EDATE($B$8,-3),DP$3&lt;$B$8),$B$24/3,0)</x:f>
        <x:v>0</x:v>
      </x:c>
      <x:c r="DQ24" s="117" t="n">
        <x:f>IF(AND(DQ$3&gt;=EDATE($B$8,-3),DQ$3&lt;$B$8),$B$24/3,0)</x:f>
        <x:v>0</x:v>
      </x:c>
      <x:c r="DR24" s="117" t="n">
        <x:f>IF(AND(DR$3&gt;=EDATE($B$8,-3),DR$3&lt;$B$8),$B$24/3,0)</x:f>
        <x:v>0</x:v>
      </x:c>
      <x:c r="DS24" s="117" t="n">
        <x:f>IF(AND(DS$3&gt;=EDATE($B$8,-3),DS$3&lt;$B$8),$B$24/3,0)</x:f>
        <x:v>0</x:v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  <x:v>25.967</x:v>
      </x:c>
      <x:c r="C25" t="str">
        <x:v>млн ₽</x:v>
      </x:c>
      <x:c r="D25" s="117" t="n">
        <x:f>IF(AND(D$3&gt;=EDATE($B$8,-3),D$3&lt;$B$8),$B$25/3,0)</x:f>
        <x:v>0</x:v>
      </x:c>
      <x:c r="E25" s="117" t="n">
        <x:f>IF(AND(E$3&gt;=EDATE($B$8,-3),E$3&lt;$B$8),$B$25/3,0)</x:f>
        <x:v>0</x:v>
      </x:c>
      <x:c r="F25" s="117" t="n">
        <x:f>IF(AND(F$3&gt;=EDATE($B$8,-3),F$3&lt;$B$8),$B$25/3,0)</x:f>
        <x:v>0</x:v>
      </x:c>
      <x:c r="G25" s="117" t="n">
        <x:f>IF(AND(G$3&gt;=EDATE($B$8,-3),G$3&lt;$B$8),$B$25/3,0)</x:f>
        <x:v>0</x:v>
      </x:c>
      <x:c r="H25" s="117" t="n">
        <x:f>IF(AND(H$3&gt;=EDATE($B$8,-3),H$3&lt;$B$8),$B$25/3,0)</x:f>
        <x:v>0</x:v>
      </x:c>
      <x:c r="I25" s="117" t="n">
        <x:f>IF(AND(I$3&gt;=EDATE($B$8,-3),I$3&lt;$B$8),$B$25/3,0)</x:f>
        <x:v>0</x:v>
      </x:c>
      <x:c r="J25" s="117" t="n">
        <x:f>IF(AND(J$3&gt;=EDATE($B$8,-3),J$3&lt;$B$8),$B$25/3,0)</x:f>
        <x:v>0</x:v>
      </x:c>
      <x:c r="K25" s="117" t="n">
        <x:f>IF(AND(K$3&gt;=EDATE($B$8,-3),K$3&lt;$B$8),$B$25/3,0)</x:f>
        <x:v>0</x:v>
      </x:c>
      <x:c r="L25" s="117" t="n">
        <x:f>IF(AND(L$3&gt;=EDATE($B$8,-3),L$3&lt;$B$8),$B$25/3,0)</x:f>
        <x:v>0</x:v>
      </x:c>
      <x:c r="M25" s="117" t="n">
        <x:f>IF(AND(M$3&gt;=EDATE($B$8,-3),M$3&lt;$B$8),$B$25/3,0)</x:f>
        <x:v>0</x:v>
      </x:c>
      <x:c r="N25" s="117" t="n">
        <x:f>IF(AND(N$3&gt;=EDATE($B$8,-3),N$3&lt;$B$8),$B$25/3,0)</x:f>
        <x:v>0</x:v>
      </x:c>
      <x:c r="O25" s="117" t="n">
        <x:f>IF(AND(O$3&gt;=EDATE($B$8,-3),O$3&lt;$B$8),$B$25/3,0)</x:f>
        <x:v>0</x:v>
      </x:c>
      <x:c r="P25" s="117" t="n">
        <x:f>IF(AND(P$3&gt;=EDATE($B$8,-3),P$3&lt;$B$8),$B$25/3,0)</x:f>
        <x:v>0</x:v>
      </x:c>
      <x:c r="Q25" s="117" t="n">
        <x:f>IF(AND(Q$3&gt;=EDATE($B$8,-3),Q$3&lt;$B$8),$B$25/3,0)</x:f>
        <x:v>0</x:v>
      </x:c>
      <x:c r="R25" s="117" t="n">
        <x:f>IF(AND(R$3&gt;=EDATE($B$8,-3),R$3&lt;$B$8),$B$25/3,0)</x:f>
        <x:v>0</x:v>
      </x:c>
      <x:c r="S25" s="117" t="n">
        <x:f>IF(AND(S$3&gt;=EDATE($B$8,-3),S$3&lt;$B$8),$B$25/3,0)</x:f>
        <x:v>0</x:v>
      </x:c>
      <x:c r="T25" s="117" t="n">
        <x:f>IF(AND(T$3&gt;=EDATE($B$8,-3),T$3&lt;$B$8),$B$25/3,0)</x:f>
        <x:v>0</x:v>
      </x:c>
      <x:c r="U25" s="117" t="n">
        <x:f>IF(AND(U$3&gt;=EDATE($B$8,-3),U$3&lt;$B$8),$B$25/3,0)</x:f>
        <x:v>0</x:v>
      </x:c>
      <x:c r="V25" s="117" t="n">
        <x:f>IF(AND(V$3&gt;=EDATE($B$8,-3),V$3&lt;$B$8),$B$25/3,0)</x:f>
        <x:v>0</x:v>
      </x:c>
      <x:c r="W25" s="117" t="n">
        <x:f>IF(AND(W$3&gt;=EDATE($B$8,-3),W$3&lt;$B$8),$B$25/3,0)</x:f>
        <x:v>0</x:v>
      </x:c>
      <x:c r="X25" s="117" t="n">
        <x:f>IF(AND(X$3&gt;=EDATE($B$8,-3),X$3&lt;$B$8),$B$25/3,0)</x:f>
        <x:v>0</x:v>
      </x:c>
      <x:c r="Y25" s="117" t="n">
        <x:f>IF(AND(Y$3&gt;=EDATE($B$8,-3),Y$3&lt;$B$8),$B$25/3,0)</x:f>
        <x:v>0</x:v>
      </x:c>
      <x:c r="Z25" s="117" t="n">
        <x:f>IF(AND(Z$3&gt;=EDATE($B$8,-3),Z$3&lt;$B$8),$B$25/3,0)</x:f>
        <x:v>0</x:v>
      </x:c>
      <x:c r="AA25" s="117" t="n">
        <x:f>IF(AND(AA$3&gt;=EDATE($B$8,-3),AA$3&lt;$B$8),$B$25/3,0)</x:f>
        <x:v>0</x:v>
      </x:c>
      <x:c r="AB25" s="117" t="n">
        <x:f>IF(AND(AB$3&gt;=EDATE($B$8,-3),AB$3&lt;$B$8),$B$25/3,0)</x:f>
        <x:v>0</x:v>
      </x:c>
      <x:c r="AC25" s="117" t="n">
        <x:f>IF(AND(AC$3&gt;=EDATE($B$8,-3),AC$3&lt;$B$8),$B$25/3,0)</x:f>
        <x:v>0</x:v>
      </x:c>
      <x:c r="AD25" s="117" t="n">
        <x:f>IF(AND(AD$3&gt;=EDATE($B$8,-3),AD$3&lt;$B$8),$B$25/3,0)</x:f>
        <x:v>0</x:v>
      </x:c>
      <x:c r="AE25" s="117" t="n">
        <x:f>IF(AND(AE$3&gt;=EDATE($B$8,-3),AE$3&lt;$B$8),$B$25/3,0)</x:f>
        <x:v>0</x:v>
      </x:c>
      <x:c r="AF25" s="117" t="n">
        <x:f>IF(AND(AF$3&gt;=EDATE($B$8,-3),AF$3&lt;$B$8),$B$25/3,0)</x:f>
        <x:v>0</x:v>
      </x:c>
      <x:c r="AG25" s="117" t="n">
        <x:f>IF(AND(AG$3&gt;=EDATE($B$8,-3),AG$3&lt;$B$8),$B$25/3,0)</x:f>
        <x:v>0</x:v>
      </x:c>
      <x:c r="AH25" s="117" t="n">
        <x:f>IF(AND(AH$3&gt;=EDATE($B$8,-3),AH$3&lt;$B$8),$B$25/3,0)</x:f>
        <x:v>0</x:v>
      </x:c>
      <x:c r="AI25" s="117" t="n">
        <x:f>IF(AND(AI$3&gt;=EDATE($B$8,-3),AI$3&lt;$B$8),$B$25/3,0)</x:f>
        <x:v>0</x:v>
      </x:c>
      <x:c r="AJ25" s="117" t="n">
        <x:f>IF(AND(AJ$3&gt;=EDATE($B$8,-3),AJ$3&lt;$B$8),$B$25/3,0)</x:f>
        <x:v>0</x:v>
      </x:c>
      <x:c r="AK25" s="117" t="n">
        <x:f>IF(AND(AK$3&gt;=EDATE($B$8,-3),AK$3&lt;$B$8),$B$25/3,0)</x:f>
        <x:v>0</x:v>
      </x:c>
      <x:c r="AL25" s="117" t="n">
        <x:f>IF(AND(AL$3&gt;=EDATE($B$8,-3),AL$3&lt;$B$8),$B$25/3,0)</x:f>
        <x:v>0</x:v>
      </x:c>
      <x:c r="AM25" s="117" t="n">
        <x:f>IF(AND(AM$3&gt;=EDATE($B$8,-3),AM$3&lt;$B$8),$B$25/3,0)</x:f>
        <x:v>0</x:v>
      </x:c>
      <x:c r="AN25" s="117" t="n">
        <x:f>IF(AND(AN$3&gt;=EDATE($B$8,-3),AN$3&lt;$B$8),$B$25/3,0)</x:f>
        <x:v>0</x:v>
      </x:c>
      <x:c r="AO25" s="117" t="n">
        <x:f>IF(AND(AO$3&gt;=EDATE($B$8,-3),AO$3&lt;$B$8),$B$25/3,0)</x:f>
        <x:v>0</x:v>
      </x:c>
      <x:c r="AP25" s="117" t="n">
        <x:f>IF(AND(AP$3&gt;=EDATE($B$8,-3),AP$3&lt;$B$8),$B$25/3,0)</x:f>
        <x:v>0</x:v>
      </x:c>
      <x:c r="AQ25" s="117" t="n">
        <x:f>IF(AND(AQ$3&gt;=EDATE($B$8,-3),AQ$3&lt;$B$8),$B$25/3,0)</x:f>
        <x:v>8.655666666666667</x:v>
      </x:c>
      <x:c r="AR25" s="117" t="n">
        <x:f>IF(AND(AR$3&gt;=EDATE($B$8,-3),AR$3&lt;$B$8),$B$25/3,0)</x:f>
        <x:v>8.655666666666667</x:v>
      </x:c>
      <x:c r="AS25" s="117" t="n">
        <x:f>IF(AND(AS$3&gt;=EDATE($B$8,-3),AS$3&lt;$B$8),$B$25/3,0)</x:f>
        <x:v>8.655666666666667</x:v>
      </x:c>
      <x:c r="AT25" s="117" t="n">
        <x:f>IF(AND(AT$3&gt;=EDATE($B$8,-3),AT$3&lt;$B$8),$B$25/3,0)</x:f>
        <x:v>0</x:v>
      </x:c>
      <x:c r="AU25" s="117" t="n">
        <x:f>IF(AND(AU$3&gt;=EDATE($B$8,-3),AU$3&lt;$B$8),$B$25/3,0)</x:f>
        <x:v>0</x:v>
      </x:c>
      <x:c r="AV25" s="117" t="n">
        <x:f>IF(AND(AV$3&gt;=EDATE($B$8,-3),AV$3&lt;$B$8),$B$25/3,0)</x:f>
        <x:v>0</x:v>
      </x:c>
      <x:c r="AW25" s="117" t="n">
        <x:f>IF(AND(AW$3&gt;=EDATE($B$8,-3),AW$3&lt;$B$8),$B$25/3,0)</x:f>
        <x:v>0</x:v>
      </x:c>
      <x:c r="AX25" s="117" t="n">
        <x:f>IF(AND(AX$3&gt;=EDATE($B$8,-3),AX$3&lt;$B$8),$B$25/3,0)</x:f>
        <x:v>0</x:v>
      </x:c>
      <x:c r="AY25" s="117" t="n">
        <x:f>IF(AND(AY$3&gt;=EDATE($B$8,-3),AY$3&lt;$B$8),$B$25/3,0)</x:f>
        <x:v>0</x:v>
      </x:c>
      <x:c r="AZ25" s="117" t="n">
        <x:f>IF(AND(AZ$3&gt;=EDATE($B$8,-3),AZ$3&lt;$B$8),$B$25/3,0)</x:f>
        <x:v>0</x:v>
      </x:c>
      <x:c r="BA25" s="117" t="n">
        <x:f>IF(AND(BA$3&gt;=EDATE($B$8,-3),BA$3&lt;$B$8),$B$25/3,0)</x:f>
        <x:v>0</x:v>
      </x:c>
      <x:c r="BB25" s="117" t="n">
        <x:f>IF(AND(BB$3&gt;=EDATE($B$8,-3),BB$3&lt;$B$8),$B$25/3,0)</x:f>
        <x:v>0</x:v>
      </x:c>
      <x:c r="BC25" s="117" t="n">
        <x:f>IF(AND(BC$3&gt;=EDATE($B$8,-3),BC$3&lt;$B$8),$B$25/3,0)</x:f>
        <x:v>0</x:v>
      </x:c>
      <x:c r="BD25" s="117" t="n">
        <x:f>IF(AND(BD$3&gt;=EDATE($B$8,-3),BD$3&lt;$B$8),$B$25/3,0)</x:f>
        <x:v>0</x:v>
      </x:c>
      <x:c r="BE25" s="117" t="n">
        <x:f>IF(AND(BE$3&gt;=EDATE($B$8,-3),BE$3&lt;$B$8),$B$25/3,0)</x:f>
        <x:v>0</x:v>
      </x:c>
      <x:c r="BF25" s="117" t="n">
        <x:f>IF(AND(BF$3&gt;=EDATE($B$8,-3),BF$3&lt;$B$8),$B$25/3,0)</x:f>
        <x:v>0</x:v>
      </x:c>
      <x:c r="BG25" s="117" t="n">
        <x:f>IF(AND(BG$3&gt;=EDATE($B$8,-3),BG$3&lt;$B$8),$B$25/3,0)</x:f>
        <x:v>0</x:v>
      </x:c>
      <x:c r="BH25" s="117" t="n">
        <x:f>IF(AND(BH$3&gt;=EDATE($B$8,-3),BH$3&lt;$B$8),$B$25/3,0)</x:f>
        <x:v>0</x:v>
      </x:c>
      <x:c r="BI25" s="117" t="n">
        <x:f>IF(AND(BI$3&gt;=EDATE($B$8,-3),BI$3&lt;$B$8),$B$25/3,0)</x:f>
        <x:v>0</x:v>
      </x:c>
      <x:c r="BJ25" s="117" t="n">
        <x:f>IF(AND(BJ$3&gt;=EDATE($B$8,-3),BJ$3&lt;$B$8),$B$25/3,0)</x:f>
        <x:v>0</x:v>
      </x:c>
      <x:c r="BK25" s="117" t="n">
        <x:f>IF(AND(BK$3&gt;=EDATE($B$8,-3),BK$3&lt;$B$8),$B$25/3,0)</x:f>
        <x:v>0</x:v>
      </x:c>
      <x:c r="BL25" s="117" t="n">
        <x:f>IF(AND(BL$3&gt;=EDATE($B$8,-3),BL$3&lt;$B$8),$B$25/3,0)</x:f>
        <x:v>0</x:v>
      </x:c>
      <x:c r="BM25" s="117" t="n">
        <x:f>IF(AND(BM$3&gt;=EDATE($B$8,-3),BM$3&lt;$B$8),$B$25/3,0)</x:f>
        <x:v>0</x:v>
      </x:c>
      <x:c r="BN25" s="117" t="n">
        <x:f>IF(AND(BN$3&gt;=EDATE($B$8,-3),BN$3&lt;$B$8),$B$25/3,0)</x:f>
        <x:v>0</x:v>
      </x:c>
      <x:c r="BO25" s="117" t="n">
        <x:f>IF(AND(BO$3&gt;=EDATE($B$8,-3),BO$3&lt;$B$8),$B$25/3,0)</x:f>
        <x:v>0</x:v>
      </x:c>
      <x:c r="BP25" s="117" t="n">
        <x:f>IF(AND(BP$3&gt;=EDATE($B$8,-3),BP$3&lt;$B$8),$B$25/3,0)</x:f>
        <x:v>0</x:v>
      </x:c>
      <x:c r="BQ25" s="117" t="n">
        <x:f>IF(AND(BQ$3&gt;=EDATE($B$8,-3),BQ$3&lt;$B$8),$B$25/3,0)</x:f>
        <x:v>0</x:v>
      </x:c>
      <x:c r="BR25" s="117" t="n">
        <x:f>IF(AND(BR$3&gt;=EDATE($B$8,-3),BR$3&lt;$B$8),$B$25/3,0)</x:f>
        <x:v>0</x:v>
      </x:c>
      <x:c r="BS25" s="117" t="n">
        <x:f>IF(AND(BS$3&gt;=EDATE($B$8,-3),BS$3&lt;$B$8),$B$25/3,0)</x:f>
        <x:v>0</x:v>
      </x:c>
      <x:c r="BT25" s="117" t="n">
        <x:f>IF(AND(BT$3&gt;=EDATE($B$8,-3),BT$3&lt;$B$8),$B$25/3,0)</x:f>
        <x:v>0</x:v>
      </x:c>
      <x:c r="BU25" s="117" t="n">
        <x:f>IF(AND(BU$3&gt;=EDATE($B$8,-3),BU$3&lt;$B$8),$B$25/3,0)</x:f>
        <x:v>0</x:v>
      </x:c>
      <x:c r="BV25" s="117" t="n">
        <x:f>IF(AND(BV$3&gt;=EDATE($B$8,-3),BV$3&lt;$B$8),$B$25/3,0)</x:f>
        <x:v>0</x:v>
      </x:c>
      <x:c r="BW25" s="117" t="n">
        <x:f>IF(AND(BW$3&gt;=EDATE($B$8,-3),BW$3&lt;$B$8),$B$25/3,0)</x:f>
        <x:v>0</x:v>
      </x:c>
      <x:c r="BX25" s="117" t="n">
        <x:f>IF(AND(BX$3&gt;=EDATE($B$8,-3),BX$3&lt;$B$8),$B$25/3,0)</x:f>
        <x:v>0</x:v>
      </x:c>
      <x:c r="BY25" s="117" t="n">
        <x:f>IF(AND(BY$3&gt;=EDATE($B$8,-3),BY$3&lt;$B$8),$B$25/3,0)</x:f>
        <x:v>0</x:v>
      </x:c>
      <x:c r="BZ25" s="117" t="n">
        <x:f>IF(AND(BZ$3&gt;=EDATE($B$8,-3),BZ$3&lt;$B$8),$B$25/3,0)</x:f>
        <x:v>0</x:v>
      </x:c>
      <x:c r="CA25" s="117" t="n">
        <x:f>IF(AND(CA$3&gt;=EDATE($B$8,-3),CA$3&lt;$B$8),$B$25/3,0)</x:f>
        <x:v>0</x:v>
      </x:c>
      <x:c r="CB25" s="117" t="n">
        <x:f>IF(AND(CB$3&gt;=EDATE($B$8,-3),CB$3&lt;$B$8),$B$25/3,0)</x:f>
        <x:v>0</x:v>
      </x:c>
      <x:c r="CC25" s="117" t="n">
        <x:f>IF(AND(CC$3&gt;=EDATE($B$8,-3),CC$3&lt;$B$8),$B$25/3,0)</x:f>
        <x:v>0</x:v>
      </x:c>
      <x:c r="CD25" s="117" t="n">
        <x:f>IF(AND(CD$3&gt;=EDATE($B$8,-3),CD$3&lt;$B$8),$B$25/3,0)</x:f>
        <x:v>0</x:v>
      </x:c>
      <x:c r="CE25" s="117" t="n">
        <x:f>IF(AND(CE$3&gt;=EDATE($B$8,-3),CE$3&lt;$B$8),$B$25/3,0)</x:f>
        <x:v>0</x:v>
      </x:c>
      <x:c r="CF25" s="117" t="n">
        <x:f>IF(AND(CF$3&gt;=EDATE($B$8,-3),CF$3&lt;$B$8),$B$25/3,0)</x:f>
        <x:v>0</x:v>
      </x:c>
      <x:c r="CG25" s="117" t="n">
        <x:f>IF(AND(CG$3&gt;=EDATE($B$8,-3),CG$3&lt;$B$8),$B$25/3,0)</x:f>
        <x:v>0</x:v>
      </x:c>
      <x:c r="CH25" s="117" t="n">
        <x:f>IF(AND(CH$3&gt;=EDATE($B$8,-3),CH$3&lt;$B$8),$B$25/3,0)</x:f>
        <x:v>0</x:v>
      </x:c>
      <x:c r="CI25" s="117" t="n">
        <x:f>IF(AND(CI$3&gt;=EDATE($B$8,-3),CI$3&lt;$B$8),$B$25/3,0)</x:f>
        <x:v>0</x:v>
      </x:c>
      <x:c r="CJ25" s="117" t="n">
        <x:f>IF(AND(CJ$3&gt;=EDATE($B$8,-3),CJ$3&lt;$B$8),$B$25/3,0)</x:f>
        <x:v>0</x:v>
      </x:c>
      <x:c r="CK25" s="117" t="n">
        <x:f>IF(AND(CK$3&gt;=EDATE($B$8,-3),CK$3&lt;$B$8),$B$25/3,0)</x:f>
        <x:v>0</x:v>
      </x:c>
      <x:c r="CL25" s="117" t="n">
        <x:f>IF(AND(CL$3&gt;=EDATE($B$8,-3),CL$3&lt;$B$8),$B$25/3,0)</x:f>
        <x:v>0</x:v>
      </x:c>
      <x:c r="CM25" s="117" t="n">
        <x:f>IF(AND(CM$3&gt;=EDATE($B$8,-3),CM$3&lt;$B$8),$B$25/3,0)</x:f>
        <x:v>0</x:v>
      </x:c>
      <x:c r="CN25" s="117" t="n">
        <x:f>IF(AND(CN$3&gt;=EDATE($B$8,-3),CN$3&lt;$B$8),$B$25/3,0)</x:f>
        <x:v>0</x:v>
      </x:c>
      <x:c r="CO25" s="117" t="n">
        <x:f>IF(AND(CO$3&gt;=EDATE($B$8,-3),CO$3&lt;$B$8),$B$25/3,0)</x:f>
        <x:v>0</x:v>
      </x:c>
      <x:c r="CP25" s="117" t="n">
        <x:f>IF(AND(CP$3&gt;=EDATE($B$8,-3),CP$3&lt;$B$8),$B$25/3,0)</x:f>
        <x:v>0</x:v>
      </x:c>
      <x:c r="CQ25" s="117" t="n">
        <x:f>IF(AND(CQ$3&gt;=EDATE($B$8,-3),CQ$3&lt;$B$8),$B$25/3,0)</x:f>
        <x:v>0</x:v>
      </x:c>
      <x:c r="CR25" s="117" t="n">
        <x:f>IF(AND(CR$3&gt;=EDATE($B$8,-3),CR$3&lt;$B$8),$B$25/3,0)</x:f>
        <x:v>0</x:v>
      </x:c>
      <x:c r="CS25" s="117" t="n">
        <x:f>IF(AND(CS$3&gt;=EDATE($B$8,-3),CS$3&lt;$B$8),$B$25/3,0)</x:f>
        <x:v>0</x:v>
      </x:c>
      <x:c r="CT25" s="117" t="n">
        <x:f>IF(AND(CT$3&gt;=EDATE($B$8,-3),CT$3&lt;$B$8),$B$25/3,0)</x:f>
        <x:v>0</x:v>
      </x:c>
      <x:c r="CU25" s="117" t="n">
        <x:f>IF(AND(CU$3&gt;=EDATE($B$8,-3),CU$3&lt;$B$8),$B$25/3,0)</x:f>
        <x:v>0</x:v>
      </x:c>
      <x:c r="CV25" s="117" t="n">
        <x:f>IF(AND(CV$3&gt;=EDATE($B$8,-3),CV$3&lt;$B$8),$B$25/3,0)</x:f>
        <x:v>0</x:v>
      </x:c>
      <x:c r="CW25" s="117" t="n">
        <x:f>IF(AND(CW$3&gt;=EDATE($B$8,-3),CW$3&lt;$B$8),$B$25/3,0)</x:f>
        <x:v>0</x:v>
      </x:c>
      <x:c r="CX25" s="117" t="n">
        <x:f>IF(AND(CX$3&gt;=EDATE($B$8,-3),CX$3&lt;$B$8),$B$25/3,0)</x:f>
        <x:v>0</x:v>
      </x:c>
      <x:c r="CY25" s="117" t="n">
        <x:f>IF(AND(CY$3&gt;=EDATE($B$8,-3),CY$3&lt;$B$8),$B$25/3,0)</x:f>
        <x:v>0</x:v>
      </x:c>
      <x:c r="CZ25" s="117" t="n">
        <x:f>IF(AND(CZ$3&gt;=EDATE($B$8,-3),CZ$3&lt;$B$8),$B$25/3,0)</x:f>
        <x:v>0</x:v>
      </x:c>
      <x:c r="DA25" s="117" t="n">
        <x:f>IF(AND(DA$3&gt;=EDATE($B$8,-3),DA$3&lt;$B$8),$B$25/3,0)</x:f>
        <x:v>0</x:v>
      </x:c>
      <x:c r="DB25" s="117" t="n">
        <x:f>IF(AND(DB$3&gt;=EDATE($B$8,-3),DB$3&lt;$B$8),$B$25/3,0)</x:f>
        <x:v>0</x:v>
      </x:c>
      <x:c r="DC25" s="117" t="n">
        <x:f>IF(AND(DC$3&gt;=EDATE($B$8,-3),DC$3&lt;$B$8),$B$25/3,0)</x:f>
        <x:v>0</x:v>
      </x:c>
      <x:c r="DD25" s="117" t="n">
        <x:f>IF(AND(DD$3&gt;=EDATE($B$8,-3),DD$3&lt;$B$8),$B$25/3,0)</x:f>
        <x:v>0</x:v>
      </x:c>
      <x:c r="DE25" s="117" t="n">
        <x:f>IF(AND(DE$3&gt;=EDATE($B$8,-3),DE$3&lt;$B$8),$B$25/3,0)</x:f>
        <x:v>0</x:v>
      </x:c>
      <x:c r="DF25" s="117" t="n">
        <x:f>IF(AND(DF$3&gt;=EDATE($B$8,-3),DF$3&lt;$B$8),$B$25/3,0)</x:f>
        <x:v>0</x:v>
      </x:c>
      <x:c r="DG25" s="117" t="n">
        <x:f>IF(AND(DG$3&gt;=EDATE($B$8,-3),DG$3&lt;$B$8),$B$25/3,0)</x:f>
        <x:v>0</x:v>
      </x:c>
      <x:c r="DH25" s="117" t="n">
        <x:f>IF(AND(DH$3&gt;=EDATE($B$8,-3),DH$3&lt;$B$8),$B$25/3,0)</x:f>
        <x:v>0</x:v>
      </x:c>
      <x:c r="DI25" s="117" t="n">
        <x:f>IF(AND(DI$3&gt;=EDATE($B$8,-3),DI$3&lt;$B$8),$B$25/3,0)</x:f>
        <x:v>0</x:v>
      </x:c>
      <x:c r="DJ25" s="117" t="n">
        <x:f>IF(AND(DJ$3&gt;=EDATE($B$8,-3),DJ$3&lt;$B$8),$B$25/3,0)</x:f>
        <x:v>0</x:v>
      </x:c>
      <x:c r="DK25" s="117" t="n">
        <x:f>IF(AND(DK$3&gt;=EDATE($B$8,-3),DK$3&lt;$B$8),$B$25/3,0)</x:f>
        <x:v>0</x:v>
      </x:c>
      <x:c r="DL25" s="117" t="n">
        <x:f>IF(AND(DL$3&gt;=EDATE($B$8,-3),DL$3&lt;$B$8),$B$25/3,0)</x:f>
        <x:v>0</x:v>
      </x:c>
      <x:c r="DM25" s="117" t="n">
        <x:f>IF(AND(DM$3&gt;=EDATE($B$8,-3),DM$3&lt;$B$8),$B$25/3,0)</x:f>
        <x:v>0</x:v>
      </x:c>
      <x:c r="DN25" s="117" t="n">
        <x:f>IF(AND(DN$3&gt;=EDATE($B$8,-3),DN$3&lt;$B$8),$B$25/3,0)</x:f>
        <x:v>0</x:v>
      </x:c>
      <x:c r="DO25" s="117" t="n">
        <x:f>IF(AND(DO$3&gt;=EDATE($B$8,-3),DO$3&lt;$B$8),$B$25/3,0)</x:f>
        <x:v>0</x:v>
      </x:c>
      <x:c r="DP25" s="117" t="n">
        <x:f>IF(AND(DP$3&gt;=EDATE($B$8,-3),DP$3&lt;$B$8),$B$25/3,0)</x:f>
        <x:v>0</x:v>
      </x:c>
      <x:c r="DQ25" s="117" t="n">
        <x:f>IF(AND(DQ$3&gt;=EDATE($B$8,-3),DQ$3&lt;$B$8),$B$25/3,0)</x:f>
        <x:v>0</x:v>
      </x:c>
      <x:c r="DR25" s="117" t="n">
        <x:f>IF(AND(DR$3&gt;=EDATE($B$8,-3),DR$3&lt;$B$8),$B$25/3,0)</x:f>
        <x:v>0</x:v>
      </x:c>
      <x:c r="DS25" s="117" t="n">
        <x:f>IF(AND(DS$3&gt;=EDATE($B$8,-3),DS$3&lt;$B$8),$B$25/3,0)</x:f>
        <x:v>0</x:v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  <x:v>25.967</x:v>
      </x:c>
      <x:c r="C26" t="str">
        <x:v>млн ₽</x:v>
      </x:c>
      <x:c r="D26" s="117" t="n">
        <x:f>$B$26*D13</x:f>
        <x:v>0</x:v>
      </x:c>
      <x:c r="E26" s="117" t="n">
        <x:f>$B$26*E13</x:f>
        <x:v>0</x:v>
      </x:c>
      <x:c r="F26" s="117" t="n">
        <x:f>$B$26*F13</x:f>
        <x:v>0</x:v>
      </x:c>
      <x:c r="G26" s="117" t="n">
        <x:f>$B$26*G13</x:f>
        <x:v>0</x:v>
      </x:c>
      <x:c r="H26" s="117" t="n">
        <x:f>$B$26*H13</x:f>
        <x:v>0</x:v>
      </x:c>
      <x:c r="I26" s="117" t="n">
        <x:f>$B$26*I13</x:f>
        <x:v>0</x:v>
      </x:c>
      <x:c r="J26" s="117" t="n">
        <x:f>$B$26*J13</x:f>
        <x:v>0</x:v>
      </x:c>
      <x:c r="K26" s="117" t="n">
        <x:f>$B$26*K13</x:f>
        <x:v>0</x:v>
      </x:c>
      <x:c r="L26" s="117" t="n">
        <x:f>$B$26*L13</x:f>
        <x:v>0</x:v>
      </x:c>
      <x:c r="M26" s="117" t="n">
        <x:f>$B$26*M13</x:f>
        <x:v>0</x:v>
      </x:c>
      <x:c r="N26" s="117" t="n">
        <x:f>$B$26*N13</x:f>
        <x:v>0</x:v>
      </x:c>
      <x:c r="O26" s="117" t="n">
        <x:f>$B$26*O13</x:f>
        <x:v>0</x:v>
      </x:c>
      <x:c r="P26" s="117" t="n">
        <x:f>$B$26*P13</x:f>
        <x:v>0</x:v>
      </x:c>
      <x:c r="Q26" s="117" t="n">
        <x:f>$B$26*Q13</x:f>
        <x:v>0</x:v>
      </x:c>
      <x:c r="R26" s="117" t="n">
        <x:f>$B$26*R13</x:f>
        <x:v>0</x:v>
      </x:c>
      <x:c r="S26" s="117" t="n">
        <x:f>$B$26*S13</x:f>
        <x:v>0</x:v>
      </x:c>
      <x:c r="T26" s="117" t="n">
        <x:f>$B$26*T13</x:f>
        <x:v>0</x:v>
      </x:c>
      <x:c r="U26" s="117" t="n">
        <x:f>$B$26*U13</x:f>
        <x:v>0</x:v>
      </x:c>
      <x:c r="V26" s="117" t="n">
        <x:f>$B$26*V13</x:f>
        <x:v>0.6385327868852458</x:v>
      </x:c>
      <x:c r="W26" s="117" t="n">
        <x:f>$B$26*W13</x:f>
        <x:v>0.6385327868852458</x:v>
      </x:c>
      <x:c r="X26" s="117" t="n">
        <x:f>$B$26*X13</x:f>
        <x:v>0.6385327868852458</x:v>
      </x:c>
      <x:c r="Y26" s="117" t="n">
        <x:f>$B$26*Y13</x:f>
        <x:v>0.6385327868852458</x:v>
      </x:c>
      <x:c r="Z26" s="117" t="n">
        <x:f>$B$26*Z13</x:f>
        <x:v>1.2770655737704917</x:v>
      </x:c>
      <x:c r="AA26" s="117" t="n">
        <x:f>$B$26*AA13</x:f>
        <x:v>1.2770655737704917</x:v>
      </x:c>
      <x:c r="AB26" s="117" t="n">
        <x:f>$B$26*AB13</x:f>
        <x:v>1.2770655737704917</x:v>
      </x:c>
      <x:c r="AC26" s="117" t="n">
        <x:f>$B$26*AC13</x:f>
        <x:v>1.2770655737704917</x:v>
      </x:c>
      <x:c r="AD26" s="117" t="n">
        <x:f>$B$26*AD13</x:f>
        <x:v>1.2770655737704917</x:v>
      </x:c>
      <x:c r="AE26" s="117" t="n">
        <x:f>$B$26*AE13</x:f>
        <x:v>1.2770655737704917</x:v>
      </x:c>
      <x:c r="AF26" s="117" t="n">
        <x:f>$B$26*AF13</x:f>
        <x:v>1.2770655737704917</x:v>
      </x:c>
      <x:c r="AG26" s="117" t="n">
        <x:f>$B$26*AG13</x:f>
        <x:v>1.2770655737704917</x:v>
      </x:c>
      <x:c r="AH26" s="117" t="n">
        <x:f>$B$26*AH13</x:f>
        <x:v>1.2770655737704917</x:v>
      </x:c>
      <x:c r="AI26" s="117" t="n">
        <x:f>$B$26*AI13</x:f>
        <x:v>1.2770655737704917</x:v>
      </x:c>
      <x:c r="AJ26" s="117" t="n">
        <x:f>$B$26*AJ13</x:f>
        <x:v>1.2770655737704917</x:v>
      </x:c>
      <x:c r="AK26" s="117" t="n">
        <x:f>$B$26*AK13</x:f>
        <x:v>1.2770655737704917</x:v>
      </x:c>
      <x:c r="AL26" s="117" t="n">
        <x:f>$B$26*AL13</x:f>
        <x:v>1.2770655737704917</x:v>
      </x:c>
      <x:c r="AM26" s="117" t="n">
        <x:f>$B$26*AM13</x:f>
        <x:v>1.2770655737704917</x:v>
      </x:c>
      <x:c r="AN26" s="117" t="n">
        <x:f>$B$26*AN13</x:f>
        <x:v>1.2770655737704917</x:v>
      </x:c>
      <x:c r="AO26" s="117" t="n">
        <x:f>$B$26*AO13</x:f>
        <x:v>0.8513770491803279</x:v>
      </x:c>
      <x:c r="AP26" s="117" t="n">
        <x:f>$B$26*AP13</x:f>
        <x:v>0.8513770491803279</x:v>
      </x:c>
      <x:c r="AQ26" s="117" t="n">
        <x:f>$B$26*AQ13</x:f>
        <x:v>0.8513770491803279</x:v>
      </x:c>
      <x:c r="AR26" s="117" t="n">
        <x:f>$B$26*AR13</x:f>
        <x:v>0.8513770491803279</x:v>
      </x:c>
      <x:c r="AS26" s="117" t="n">
        <x:f>$B$26*AS13</x:f>
        <x:v>0.8513770491803279</x:v>
      </x:c>
      <x:c r="AT26" s="117" t="n">
        <x:f>$B$26*AT13</x:f>
        <x:v>0</x:v>
      </x:c>
      <x:c r="AU26" s="117" t="n">
        <x:f>$B$26*AU13</x:f>
        <x:v>0</x:v>
      </x:c>
      <x:c r="AV26" s="117" t="n">
        <x:f>$B$26*AV13</x:f>
        <x:v>0</x:v>
      </x:c>
      <x:c r="AW26" s="117" t="n">
        <x:f>$B$26*AW13</x:f>
        <x:v>0</x:v>
      </x:c>
      <x:c r="AX26" s="117" t="n">
        <x:f>$B$26*AX13</x:f>
        <x:v>0</x:v>
      </x:c>
      <x:c r="AY26" s="117" t="n">
        <x:f>$B$26*AY13</x:f>
        <x:v>0</x:v>
      </x:c>
      <x:c r="AZ26" s="117" t="n">
        <x:f>$B$26*AZ13</x:f>
        <x:v>0</x:v>
      </x:c>
      <x:c r="BA26" s="117" t="n">
        <x:f>$B$26*BA13</x:f>
        <x:v>0</x:v>
      </x:c>
      <x:c r="BB26" s="117" t="n">
        <x:f>$B$26*BB13</x:f>
        <x:v>0</x:v>
      </x:c>
      <x:c r="BC26" s="117" t="n">
        <x:f>$B$26*BC13</x:f>
        <x:v>0</x:v>
      </x:c>
      <x:c r="BD26" s="117" t="n">
        <x:f>$B$26*BD13</x:f>
        <x:v>0</x:v>
      </x:c>
      <x:c r="BE26" s="117" t="n">
        <x:f>$B$26*BE13</x:f>
        <x:v>0</x:v>
      </x:c>
      <x:c r="BF26" s="117" t="n">
        <x:f>$B$26*BF13</x:f>
        <x:v>0</x:v>
      </x:c>
      <x:c r="BG26" s="117" t="n">
        <x:f>$B$26*BG13</x:f>
        <x:v>0</x:v>
      </x:c>
      <x:c r="BH26" s="117" t="n">
        <x:f>$B$26*BH13</x:f>
        <x:v>0</x:v>
      </x:c>
      <x:c r="BI26" s="117" t="n">
        <x:f>$B$26*BI13</x:f>
        <x:v>0</x:v>
      </x:c>
      <x:c r="BJ26" s="117" t="n">
        <x:f>$B$26*BJ13</x:f>
        <x:v>0</x:v>
      </x:c>
      <x:c r="BK26" s="117" t="n">
        <x:f>$B$26*BK13</x:f>
        <x:v>0</x:v>
      </x:c>
      <x:c r="BL26" s="117" t="n">
        <x:f>$B$26*BL13</x:f>
        <x:v>0</x:v>
      </x:c>
      <x:c r="BM26" s="117" t="n">
        <x:f>$B$26*BM13</x:f>
        <x:v>0</x:v>
      </x:c>
      <x:c r="BN26" s="117" t="n">
        <x:f>$B$26*BN13</x:f>
        <x:v>0</x:v>
      </x:c>
      <x:c r="BO26" s="117" t="n">
        <x:f>$B$26*BO13</x:f>
        <x:v>0</x:v>
      </x:c>
      <x:c r="BP26" s="117" t="n">
        <x:f>$B$26*BP13</x:f>
        <x:v>0</x:v>
      </x:c>
      <x:c r="BQ26" s="117" t="n">
        <x:f>$B$26*BQ13</x:f>
        <x:v>0</x:v>
      </x:c>
      <x:c r="BR26" s="117" t="n">
        <x:f>$B$26*BR13</x:f>
        <x:v>0</x:v>
      </x:c>
      <x:c r="BS26" s="117" t="n">
        <x:f>$B$26*BS13</x:f>
        <x:v>0</x:v>
      </x:c>
      <x:c r="BT26" s="117" t="n">
        <x:f>$B$26*BT13</x:f>
        <x:v>0</x:v>
      </x:c>
      <x:c r="BU26" s="117" t="n">
        <x:f>$B$26*BU13</x:f>
        <x:v>0</x:v>
      </x:c>
      <x:c r="BV26" s="117" t="n">
        <x:f>$B$26*BV13</x:f>
        <x:v>0</x:v>
      </x:c>
      <x:c r="BW26" s="117" t="n">
        <x:f>$B$26*BW13</x:f>
        <x:v>0</x:v>
      </x:c>
      <x:c r="BX26" s="117" t="n">
        <x:f>$B$26*BX13</x:f>
        <x:v>0</x:v>
      </x:c>
      <x:c r="BY26" s="117" t="n">
        <x:f>$B$26*BY13</x:f>
        <x:v>0</x:v>
      </x:c>
      <x:c r="BZ26" s="117" t="n">
        <x:f>$B$26*BZ13</x:f>
        <x:v>0</x:v>
      </x:c>
      <x:c r="CA26" s="117" t="n">
        <x:f>$B$26*CA13</x:f>
        <x:v>0</x:v>
      </x:c>
      <x:c r="CB26" s="117" t="n">
        <x:f>$B$26*CB13</x:f>
        <x:v>0</x:v>
      </x:c>
      <x:c r="CC26" s="117" t="n">
        <x:f>$B$26*CC13</x:f>
        <x:v>0</x:v>
      </x:c>
      <x:c r="CD26" s="117" t="n">
        <x:f>$B$26*CD13</x:f>
        <x:v>0</x:v>
      </x:c>
      <x:c r="CE26" s="117" t="n">
        <x:f>$B$26*CE13</x:f>
        <x:v>0</x:v>
      </x:c>
      <x:c r="CF26" s="117" t="n">
        <x:f>$B$26*CF13</x:f>
        <x:v>0</x:v>
      </x:c>
      <x:c r="CG26" s="117" t="n">
        <x:f>$B$26*CG13</x:f>
        <x:v>0</x:v>
      </x:c>
      <x:c r="CH26" s="117" t="n">
        <x:f>$B$26*CH13</x:f>
        <x:v>0</x:v>
      </x:c>
      <x:c r="CI26" s="117" t="n">
        <x:f>$B$26*CI13</x:f>
        <x:v>0</x:v>
      </x:c>
      <x:c r="CJ26" s="117" t="n">
        <x:f>$B$26*CJ13</x:f>
        <x:v>0</x:v>
      </x:c>
      <x:c r="CK26" s="117" t="n">
        <x:f>$B$26*CK13</x:f>
        <x:v>0</x:v>
      </x:c>
      <x:c r="CL26" s="117" t="n">
        <x:f>$B$26*CL13</x:f>
        <x:v>0</x:v>
      </x:c>
      <x:c r="CM26" s="117" t="n">
        <x:f>$B$26*CM13</x:f>
        <x:v>0</x:v>
      </x:c>
      <x:c r="CN26" s="117" t="n">
        <x:f>$B$26*CN13</x:f>
        <x:v>0</x:v>
      </x:c>
      <x:c r="CO26" s="117" t="n">
        <x:f>$B$26*CO13</x:f>
        <x:v>0</x:v>
      </x:c>
      <x:c r="CP26" s="117" t="n">
        <x:f>$B$26*CP13</x:f>
        <x:v>0</x:v>
      </x:c>
      <x:c r="CQ26" s="117" t="n">
        <x:f>$B$26*CQ13</x:f>
        <x:v>0</x:v>
      </x:c>
      <x:c r="CR26" s="117" t="n">
        <x:f>$B$26*CR13</x:f>
        <x:v>0</x:v>
      </x:c>
      <x:c r="CS26" s="117" t="n">
        <x:f>$B$26*CS13</x:f>
        <x:v>0</x:v>
      </x:c>
      <x:c r="CT26" s="117" t="n">
        <x:f>$B$26*CT13</x:f>
        <x:v>0</x:v>
      </x:c>
      <x:c r="CU26" s="117" t="n">
        <x:f>$B$26*CU13</x:f>
        <x:v>0</x:v>
      </x:c>
      <x:c r="CV26" s="117" t="n">
        <x:f>$B$26*CV13</x:f>
        <x:v>0</x:v>
      </x:c>
      <x:c r="CW26" s="117" t="n">
        <x:f>$B$26*CW13</x:f>
        <x:v>0</x:v>
      </x:c>
      <x:c r="CX26" s="117" t="n">
        <x:f>$B$26*CX13</x:f>
        <x:v>0</x:v>
      </x:c>
      <x:c r="CY26" s="117" t="n">
        <x:f>$B$26*CY13</x:f>
        <x:v>0</x:v>
      </x:c>
      <x:c r="CZ26" s="117" t="n">
        <x:f>$B$26*CZ13</x:f>
        <x:v>0</x:v>
      </x:c>
      <x:c r="DA26" s="117" t="n">
        <x:f>$B$26*DA13</x:f>
        <x:v>0</x:v>
      </x:c>
      <x:c r="DB26" s="117" t="n">
        <x:f>$B$26*DB13</x:f>
        <x:v>0</x:v>
      </x:c>
      <x:c r="DC26" s="117" t="n">
        <x:f>$B$26*DC13</x:f>
        <x:v>0</x:v>
      </x:c>
      <x:c r="DD26" s="117" t="n">
        <x:f>$B$26*DD13</x:f>
        <x:v>0</x:v>
      </x:c>
      <x:c r="DE26" s="117" t="n">
        <x:f>$B$26*DE13</x:f>
        <x:v>0</x:v>
      </x:c>
      <x:c r="DF26" s="117" t="n">
        <x:f>$B$26*DF13</x:f>
        <x:v>0</x:v>
      </x:c>
      <x:c r="DG26" s="117" t="n">
        <x:f>$B$26*DG13</x:f>
        <x:v>0</x:v>
      </x:c>
      <x:c r="DH26" s="117" t="n">
        <x:f>$B$26*DH13</x:f>
        <x:v>0</x:v>
      </x:c>
      <x:c r="DI26" s="117" t="n">
        <x:f>$B$26*DI13</x:f>
        <x:v>0</x:v>
      </x:c>
      <x:c r="DJ26" s="117" t="n">
        <x:f>$B$26*DJ13</x:f>
        <x:v>0</x:v>
      </x:c>
      <x:c r="DK26" s="117" t="n">
        <x:f>$B$26*DK13</x:f>
        <x:v>0</x:v>
      </x:c>
      <x:c r="DL26" s="117" t="n">
        <x:f>$B$26*DL13</x:f>
        <x:v>0</x:v>
      </x:c>
      <x:c r="DM26" s="117" t="n">
        <x:f>$B$26*DM13</x:f>
        <x:v>0</x:v>
      </x:c>
      <x:c r="DN26" s="117" t="n">
        <x:f>$B$26*DN13</x:f>
        <x:v>0</x:v>
      </x:c>
      <x:c r="DO26" s="117" t="n">
        <x:f>$B$26*DO13</x:f>
        <x:v>0</x:v>
      </x:c>
      <x:c r="DP26" s="117" t="n">
        <x:f>$B$26*DP13</x:f>
        <x:v>0</x:v>
      </x:c>
      <x:c r="DQ26" s="117" t="n">
        <x:f>$B$26*DQ13</x:f>
        <x:v>0</x:v>
      </x:c>
      <x:c r="DR26" s="117" t="n">
        <x:f>$B$26*DR13</x:f>
        <x:v>0</x:v>
      </x:c>
      <x:c r="DS26" s="117" t="n">
        <x:f>$B$26*DS13</x:f>
        <x:v>0</x:v>
      </x:c>
    </x:row>
    <x:row r="27">
      <x:c r="A27" t="str">
        <x:v>Техзаказчик / стройконтроль</x:v>
      </x:c>
      <x:c r="B27" s="107" t="n">
        <x:f>SUM(B16:B26)*'Вводные'!$B$53</x:f>
        <x:v>274.60102499999994</x:v>
      </x:c>
      <x:c r="C27" t="str">
        <x:v>млн ₽</x:v>
      </x:c>
      <x:c r="D27" s="117" t="n">
        <x:f>$B$27*D13</x:f>
        <x:v>0</x:v>
      </x:c>
      <x:c r="E27" s="117" t="n">
        <x:f>$B$27*E13</x:f>
        <x:v>0</x:v>
      </x:c>
      <x:c r="F27" s="117" t="n">
        <x:f>$B$27*F13</x:f>
        <x:v>0</x:v>
      </x:c>
      <x:c r="G27" s="117" t="n">
        <x:f>$B$27*G13</x:f>
        <x:v>0</x:v>
      </x:c>
      <x:c r="H27" s="117" t="n">
        <x:f>$B$27*H13</x:f>
        <x:v>0</x:v>
      </x:c>
      <x:c r="I27" s="117" t="n">
        <x:f>$B$27*I13</x:f>
        <x:v>0</x:v>
      </x:c>
      <x:c r="J27" s="117" t="n">
        <x:f>$B$27*J13</x:f>
        <x:v>0</x:v>
      </x:c>
      <x:c r="K27" s="117" t="n">
        <x:f>$B$27*K13</x:f>
        <x:v>0</x:v>
      </x:c>
      <x:c r="L27" s="117" t="n">
        <x:f>$B$27*L13</x:f>
        <x:v>0</x:v>
      </x:c>
      <x:c r="M27" s="117" t="n">
        <x:f>$B$27*M13</x:f>
        <x:v>0</x:v>
      </x:c>
      <x:c r="N27" s="117" t="n">
        <x:f>$B$27*N13</x:f>
        <x:v>0</x:v>
      </x:c>
      <x:c r="O27" s="117" t="n">
        <x:f>$B$27*O13</x:f>
        <x:v>0</x:v>
      </x:c>
      <x:c r="P27" s="117" t="n">
        <x:f>$B$27*P13</x:f>
        <x:v>0</x:v>
      </x:c>
      <x:c r="Q27" s="117" t="n">
        <x:f>$B$27*Q13</x:f>
        <x:v>0</x:v>
      </x:c>
      <x:c r="R27" s="117" t="n">
        <x:f>$B$27*R13</x:f>
        <x:v>0</x:v>
      </x:c>
      <x:c r="S27" s="117" t="n">
        <x:f>$B$27*S13</x:f>
        <x:v>0</x:v>
      </x:c>
      <x:c r="T27" s="117" t="n">
        <x:f>$B$27*T13</x:f>
        <x:v>0</x:v>
      </x:c>
      <x:c r="U27" s="117" t="n">
        <x:f>$B$27*U13</x:f>
        <x:v>0</x:v>
      </x:c>
      <x:c r="V27" s="117" t="n">
        <x:f>$B$27*V13</x:f>
        <x:v>6.752484221311474</x:v>
      </x:c>
      <x:c r="W27" s="117" t="n">
        <x:f>$B$27*W13</x:f>
        <x:v>6.752484221311474</x:v>
      </x:c>
      <x:c r="X27" s="117" t="n">
        <x:f>$B$27*X13</x:f>
        <x:v>6.752484221311474</x:v>
      </x:c>
      <x:c r="Y27" s="117" t="n">
        <x:f>$B$27*Y13</x:f>
        <x:v>6.752484221311474</x:v>
      </x:c>
      <x:c r="Z27" s="117" t="n">
        <x:f>$B$27*Z13</x:f>
        <x:v>13.504968442622948</x:v>
      </x:c>
      <x:c r="AA27" s="117" t="n">
        <x:f>$B$27*AA13</x:f>
        <x:v>13.504968442622948</x:v>
      </x:c>
      <x:c r="AB27" s="117" t="n">
        <x:f>$B$27*AB13</x:f>
        <x:v>13.504968442622948</x:v>
      </x:c>
      <x:c r="AC27" s="117" t="n">
        <x:f>$B$27*AC13</x:f>
        <x:v>13.504968442622948</x:v>
      </x:c>
      <x:c r="AD27" s="117" t="n">
        <x:f>$B$27*AD13</x:f>
        <x:v>13.504968442622948</x:v>
      </x:c>
      <x:c r="AE27" s="117" t="n">
        <x:f>$B$27*AE13</x:f>
        <x:v>13.504968442622948</x:v>
      </x:c>
      <x:c r="AF27" s="117" t="n">
        <x:f>$B$27*AF13</x:f>
        <x:v>13.504968442622948</x:v>
      </x:c>
      <x:c r="AG27" s="117" t="n">
        <x:f>$B$27*AG13</x:f>
        <x:v>13.504968442622948</x:v>
      </x:c>
      <x:c r="AH27" s="117" t="n">
        <x:f>$B$27*AH13</x:f>
        <x:v>13.504968442622948</x:v>
      </x:c>
      <x:c r="AI27" s="117" t="n">
        <x:f>$B$27*AI13</x:f>
        <x:v>13.504968442622948</x:v>
      </x:c>
      <x:c r="AJ27" s="117" t="n">
        <x:f>$B$27*AJ13</x:f>
        <x:v>13.504968442622948</x:v>
      </x:c>
      <x:c r="AK27" s="117" t="n">
        <x:f>$B$27*AK13</x:f>
        <x:v>13.504968442622948</x:v>
      </x:c>
      <x:c r="AL27" s="117" t="n">
        <x:f>$B$27*AL13</x:f>
        <x:v>13.504968442622948</x:v>
      </x:c>
      <x:c r="AM27" s="117" t="n">
        <x:f>$B$27*AM13</x:f>
        <x:v>13.504968442622948</x:v>
      </x:c>
      <x:c r="AN27" s="117" t="n">
        <x:f>$B$27*AN13</x:f>
        <x:v>13.504968442622948</x:v>
      </x:c>
      <x:c r="AO27" s="117" t="n">
        <x:f>$B$27*AO13</x:f>
        <x:v>9.003312295081965</x:v>
      </x:c>
      <x:c r="AP27" s="117" t="n">
        <x:f>$B$27*AP13</x:f>
        <x:v>9.003312295081965</x:v>
      </x:c>
      <x:c r="AQ27" s="117" t="n">
        <x:f>$B$27*AQ13</x:f>
        <x:v>9.003312295081965</x:v>
      </x:c>
      <x:c r="AR27" s="117" t="n">
        <x:f>$B$27*AR13</x:f>
        <x:v>9.003312295081965</x:v>
      </x:c>
      <x:c r="AS27" s="117" t="n">
        <x:f>$B$27*AS13</x:f>
        <x:v>9.003312295081965</x:v>
      </x:c>
      <x:c r="AT27" s="117" t="n">
        <x:f>$B$27*AT13</x:f>
        <x:v>0</x:v>
      </x:c>
      <x:c r="AU27" s="117" t="n">
        <x:f>$B$27*AU13</x:f>
        <x:v>0</x:v>
      </x:c>
      <x:c r="AV27" s="117" t="n">
        <x:f>$B$27*AV13</x:f>
        <x:v>0</x:v>
      </x:c>
      <x:c r="AW27" s="117" t="n">
        <x:f>$B$27*AW13</x:f>
        <x:v>0</x:v>
      </x:c>
      <x:c r="AX27" s="117" t="n">
        <x:f>$B$27*AX13</x:f>
        <x:v>0</x:v>
      </x:c>
      <x:c r="AY27" s="117" t="n">
        <x:f>$B$27*AY13</x:f>
        <x:v>0</x:v>
      </x:c>
      <x:c r="AZ27" s="117" t="n">
        <x:f>$B$27*AZ13</x:f>
        <x:v>0</x:v>
      </x:c>
      <x:c r="BA27" s="117" t="n">
        <x:f>$B$27*BA13</x:f>
        <x:v>0</x:v>
      </x:c>
      <x:c r="BB27" s="117" t="n">
        <x:f>$B$27*BB13</x:f>
        <x:v>0</x:v>
      </x:c>
      <x:c r="BC27" s="117" t="n">
        <x:f>$B$27*BC13</x:f>
        <x:v>0</x:v>
      </x:c>
      <x:c r="BD27" s="117" t="n">
        <x:f>$B$27*BD13</x:f>
        <x:v>0</x:v>
      </x:c>
      <x:c r="BE27" s="117" t="n">
        <x:f>$B$27*BE13</x:f>
        <x:v>0</x:v>
      </x:c>
      <x:c r="BF27" s="117" t="n">
        <x:f>$B$27*BF13</x:f>
        <x:v>0</x:v>
      </x:c>
      <x:c r="BG27" s="117" t="n">
        <x:f>$B$27*BG13</x:f>
        <x:v>0</x:v>
      </x:c>
      <x:c r="BH27" s="117" t="n">
        <x:f>$B$27*BH13</x:f>
        <x:v>0</x:v>
      </x:c>
      <x:c r="BI27" s="117" t="n">
        <x:f>$B$27*BI13</x:f>
        <x:v>0</x:v>
      </x:c>
      <x:c r="BJ27" s="117" t="n">
        <x:f>$B$27*BJ13</x:f>
        <x:v>0</x:v>
      </x:c>
      <x:c r="BK27" s="117" t="n">
        <x:f>$B$27*BK13</x:f>
        <x:v>0</x:v>
      </x:c>
      <x:c r="BL27" s="117" t="n">
        <x:f>$B$27*BL13</x:f>
        <x:v>0</x:v>
      </x:c>
      <x:c r="BM27" s="117" t="n">
        <x:f>$B$27*BM13</x:f>
        <x:v>0</x:v>
      </x:c>
      <x:c r="BN27" s="117" t="n">
        <x:f>$B$27*BN13</x:f>
        <x:v>0</x:v>
      </x:c>
      <x:c r="BO27" s="117" t="n">
        <x:f>$B$27*BO13</x:f>
        <x:v>0</x:v>
      </x:c>
      <x:c r="BP27" s="117" t="n">
        <x:f>$B$27*BP13</x:f>
        <x:v>0</x:v>
      </x:c>
      <x:c r="BQ27" s="117" t="n">
        <x:f>$B$27*BQ13</x:f>
        <x:v>0</x:v>
      </x:c>
      <x:c r="BR27" s="117" t="n">
        <x:f>$B$27*BR13</x:f>
        <x:v>0</x:v>
      </x:c>
      <x:c r="BS27" s="117" t="n">
        <x:f>$B$27*BS13</x:f>
        <x:v>0</x:v>
      </x:c>
      <x:c r="BT27" s="117" t="n">
        <x:f>$B$27*BT13</x:f>
        <x:v>0</x:v>
      </x:c>
      <x:c r="BU27" s="117" t="n">
        <x:f>$B$27*BU13</x:f>
        <x:v>0</x:v>
      </x:c>
      <x:c r="BV27" s="117" t="n">
        <x:f>$B$27*BV13</x:f>
        <x:v>0</x:v>
      </x:c>
      <x:c r="BW27" s="117" t="n">
        <x:f>$B$27*BW13</x:f>
        <x:v>0</x:v>
      </x:c>
      <x:c r="BX27" s="117" t="n">
        <x:f>$B$27*BX13</x:f>
        <x:v>0</x:v>
      </x:c>
      <x:c r="BY27" s="117" t="n">
        <x:f>$B$27*BY13</x:f>
        <x:v>0</x:v>
      </x:c>
      <x:c r="BZ27" s="117" t="n">
        <x:f>$B$27*BZ13</x:f>
        <x:v>0</x:v>
      </x:c>
      <x:c r="CA27" s="117" t="n">
        <x:f>$B$27*CA13</x:f>
        <x:v>0</x:v>
      </x:c>
      <x:c r="CB27" s="117" t="n">
        <x:f>$B$27*CB13</x:f>
        <x:v>0</x:v>
      </x:c>
      <x:c r="CC27" s="117" t="n">
        <x:f>$B$27*CC13</x:f>
        <x:v>0</x:v>
      </x:c>
      <x:c r="CD27" s="117" t="n">
        <x:f>$B$27*CD13</x:f>
        <x:v>0</x:v>
      </x:c>
      <x:c r="CE27" s="117" t="n">
        <x:f>$B$27*CE13</x:f>
        <x:v>0</x:v>
      </x:c>
      <x:c r="CF27" s="117" t="n">
        <x:f>$B$27*CF13</x:f>
        <x:v>0</x:v>
      </x:c>
      <x:c r="CG27" s="117" t="n">
        <x:f>$B$27*CG13</x:f>
        <x:v>0</x:v>
      </x:c>
      <x:c r="CH27" s="117" t="n">
        <x:f>$B$27*CH13</x:f>
        <x:v>0</x:v>
      </x:c>
      <x:c r="CI27" s="117" t="n">
        <x:f>$B$27*CI13</x:f>
        <x:v>0</x:v>
      </x:c>
      <x:c r="CJ27" s="117" t="n">
        <x:f>$B$27*CJ13</x:f>
        <x:v>0</x:v>
      </x:c>
      <x:c r="CK27" s="117" t="n">
        <x:f>$B$27*CK13</x:f>
        <x:v>0</x:v>
      </x:c>
      <x:c r="CL27" s="117" t="n">
        <x:f>$B$27*CL13</x:f>
        <x:v>0</x:v>
      </x:c>
      <x:c r="CM27" s="117" t="n">
        <x:f>$B$27*CM13</x:f>
        <x:v>0</x:v>
      </x:c>
      <x:c r="CN27" s="117" t="n">
        <x:f>$B$27*CN13</x:f>
        <x:v>0</x:v>
      </x:c>
      <x:c r="CO27" s="117" t="n">
        <x:f>$B$27*CO13</x:f>
        <x:v>0</x:v>
      </x:c>
      <x:c r="CP27" s="117" t="n">
        <x:f>$B$27*CP13</x:f>
        <x:v>0</x:v>
      </x:c>
      <x:c r="CQ27" s="117" t="n">
        <x:f>$B$27*CQ13</x:f>
        <x:v>0</x:v>
      </x:c>
      <x:c r="CR27" s="117" t="n">
        <x:f>$B$27*CR13</x:f>
        <x:v>0</x:v>
      </x:c>
      <x:c r="CS27" s="117" t="n">
        <x:f>$B$27*CS13</x:f>
        <x:v>0</x:v>
      </x:c>
      <x:c r="CT27" s="117" t="n">
        <x:f>$B$27*CT13</x:f>
        <x:v>0</x:v>
      </x:c>
      <x:c r="CU27" s="117" t="n">
        <x:f>$B$27*CU13</x:f>
        <x:v>0</x:v>
      </x:c>
      <x:c r="CV27" s="117" t="n">
        <x:f>$B$27*CV13</x:f>
        <x:v>0</x:v>
      </x:c>
      <x:c r="CW27" s="117" t="n">
        <x:f>$B$27*CW13</x:f>
        <x:v>0</x:v>
      </x:c>
      <x:c r="CX27" s="117" t="n">
        <x:f>$B$27*CX13</x:f>
        <x:v>0</x:v>
      </x:c>
      <x:c r="CY27" s="117" t="n">
        <x:f>$B$27*CY13</x:f>
        <x:v>0</x:v>
      </x:c>
      <x:c r="CZ27" s="117" t="n">
        <x:f>$B$27*CZ13</x:f>
        <x:v>0</x:v>
      </x:c>
      <x:c r="DA27" s="117" t="n">
        <x:f>$B$27*DA13</x:f>
        <x:v>0</x:v>
      </x:c>
      <x:c r="DB27" s="117" t="n">
        <x:f>$B$27*DB13</x:f>
        <x:v>0</x:v>
      </x:c>
      <x:c r="DC27" s="117" t="n">
        <x:f>$B$27*DC13</x:f>
        <x:v>0</x:v>
      </x:c>
      <x:c r="DD27" s="117" t="n">
        <x:f>$B$27*DD13</x:f>
        <x:v>0</x:v>
      </x:c>
      <x:c r="DE27" s="117" t="n">
        <x:f>$B$27*DE13</x:f>
        <x:v>0</x:v>
      </x:c>
      <x:c r="DF27" s="117" t="n">
        <x:f>$B$27*DF13</x:f>
        <x:v>0</x:v>
      </x:c>
      <x:c r="DG27" s="117" t="n">
        <x:f>$B$27*DG13</x:f>
        <x:v>0</x:v>
      </x:c>
      <x:c r="DH27" s="117" t="n">
        <x:f>$B$27*DH13</x:f>
        <x:v>0</x:v>
      </x:c>
      <x:c r="DI27" s="117" t="n">
        <x:f>$B$27*DI13</x:f>
        <x:v>0</x:v>
      </x:c>
      <x:c r="DJ27" s="117" t="n">
        <x:f>$B$27*DJ13</x:f>
        <x:v>0</x:v>
      </x:c>
      <x:c r="DK27" s="117" t="n">
        <x:f>$B$27*DK13</x:f>
        <x:v>0</x:v>
      </x:c>
      <x:c r="DL27" s="117" t="n">
        <x:f>$B$27*DL13</x:f>
        <x:v>0</x:v>
      </x:c>
      <x:c r="DM27" s="117" t="n">
        <x:f>$B$27*DM13</x:f>
        <x:v>0</x:v>
      </x:c>
      <x:c r="DN27" s="117" t="n">
        <x:f>$B$27*DN13</x:f>
        <x:v>0</x:v>
      </x:c>
      <x:c r="DO27" s="117" t="n">
        <x:f>$B$27*DO13</x:f>
        <x:v>0</x:v>
      </x:c>
      <x:c r="DP27" s="117" t="n">
        <x:f>$B$27*DP13</x:f>
        <x:v>0</x:v>
      </x:c>
      <x:c r="DQ27" s="117" t="n">
        <x:f>$B$27*DQ13</x:f>
        <x:v>0</x:v>
      </x:c>
      <x:c r="DR27" s="117" t="n">
        <x:f>$B$27*DR13</x:f>
        <x:v>0</x:v>
      </x:c>
      <x:c r="DS27" s="117" t="n">
        <x:f>$B$27*DS13</x:f>
        <x:v>0</x:v>
      </x:c>
    </x:row>
    <x:row r="28">
      <x:c r="A28" t="str">
        <x:v>Управление проектом</x:v>
      </x:c>
      <x:c r="B28" s="107" t="n">
        <x:f>SUM(B16:B26)*'Вводные'!$B$52</x:f>
        <x:v>274.60102499999994</x:v>
      </x:c>
      <x:c r="C28" t="str">
        <x:v>млн ₽</x:v>
      </x:c>
      <x:c r="D28" s="117" t="n">
        <x:f>$B$28*D10</x:f>
        <x:v>6.538119642857141</x:v>
      </x:c>
      <x:c r="E28" s="117" t="n">
        <x:f>$B$28*E10</x:f>
        <x:v>6.538119642857141</x:v>
      </x:c>
      <x:c r="F28" s="117" t="n">
        <x:f>$B$28*F10</x:f>
        <x:v>6.538119642857141</x:v>
      </x:c>
      <x:c r="G28" s="117" t="n">
        <x:f>$B$28*G10</x:f>
        <x:v>6.538119642857141</x:v>
      </x:c>
      <x:c r="H28" s="117" t="n">
        <x:f>$B$28*H10</x:f>
        <x:v>6.538119642857141</x:v>
      </x:c>
      <x:c r="I28" s="117" t="n">
        <x:f>$B$28*I10</x:f>
        <x:v>6.538119642857141</x:v>
      </x:c>
      <x:c r="J28" s="117" t="n">
        <x:f>$B$28*J10</x:f>
        <x:v>6.538119642857141</x:v>
      </x:c>
      <x:c r="K28" s="117" t="n">
        <x:f>$B$28*K10</x:f>
        <x:v>6.538119642857141</x:v>
      </x:c>
      <x:c r="L28" s="117" t="n">
        <x:f>$B$28*L10</x:f>
        <x:v>6.538119642857141</x:v>
      </x:c>
      <x:c r="M28" s="117" t="n">
        <x:f>$B$28*M10</x:f>
        <x:v>6.538119642857141</x:v>
      </x:c>
      <x:c r="N28" s="117" t="n">
        <x:f>$B$28*N10</x:f>
        <x:v>6.538119642857141</x:v>
      </x:c>
      <x:c r="O28" s="117" t="n">
        <x:f>$B$28*O10</x:f>
        <x:v>6.538119642857141</x:v>
      </x:c>
      <x:c r="P28" s="117" t="n">
        <x:f>$B$28*P10</x:f>
        <x:v>6.538119642857141</x:v>
      </x:c>
      <x:c r="Q28" s="117" t="n">
        <x:f>$B$28*Q10</x:f>
        <x:v>6.538119642857141</x:v>
      </x:c>
      <x:c r="R28" s="117" t="n">
        <x:f>$B$28*R10</x:f>
        <x:v>6.538119642857141</x:v>
      </x:c>
      <x:c r="S28" s="117" t="n">
        <x:f>$B$28*S10</x:f>
        <x:v>6.538119642857141</x:v>
      </x:c>
      <x:c r="T28" s="117" t="n">
        <x:f>$B$28*T10</x:f>
        <x:v>6.538119642857141</x:v>
      </x:c>
      <x:c r="U28" s="117" t="n">
        <x:f>$B$28*U10</x:f>
        <x:v>6.538119642857141</x:v>
      </x:c>
      <x:c r="V28" s="117" t="n">
        <x:f>$B$28*V10</x:f>
        <x:v>6.538119642857141</x:v>
      </x:c>
      <x:c r="W28" s="117" t="n">
        <x:f>$B$28*W10</x:f>
        <x:v>6.538119642857141</x:v>
      </x:c>
      <x:c r="X28" s="117" t="n">
        <x:f>$B$28*X10</x:f>
        <x:v>6.538119642857141</x:v>
      </x:c>
      <x:c r="Y28" s="117" t="n">
        <x:f>$B$28*Y10</x:f>
        <x:v>6.538119642857141</x:v>
      </x:c>
      <x:c r="Z28" s="117" t="n">
        <x:f>$B$28*Z10</x:f>
        <x:v>6.538119642857141</x:v>
      </x:c>
      <x:c r="AA28" s="117" t="n">
        <x:f>$B$28*AA10</x:f>
        <x:v>6.538119642857141</x:v>
      </x:c>
      <x:c r="AB28" s="117" t="n">
        <x:f>$B$28*AB10</x:f>
        <x:v>6.538119642857141</x:v>
      </x:c>
      <x:c r="AC28" s="117" t="n">
        <x:f>$B$28*AC10</x:f>
        <x:v>6.538119642857141</x:v>
      </x:c>
      <x:c r="AD28" s="117" t="n">
        <x:f>$B$28*AD10</x:f>
        <x:v>6.538119642857141</x:v>
      </x:c>
      <x:c r="AE28" s="117" t="n">
        <x:f>$B$28*AE10</x:f>
        <x:v>6.538119642857141</x:v>
      </x:c>
      <x:c r="AF28" s="117" t="n">
        <x:f>$B$28*AF10</x:f>
        <x:v>6.538119642857141</x:v>
      </x:c>
      <x:c r="AG28" s="117" t="n">
        <x:f>$B$28*AG10</x:f>
        <x:v>6.538119642857141</x:v>
      </x:c>
      <x:c r="AH28" s="117" t="n">
        <x:f>$B$28*AH10</x:f>
        <x:v>6.538119642857141</x:v>
      </x:c>
      <x:c r="AI28" s="117" t="n">
        <x:f>$B$28*AI10</x:f>
        <x:v>6.538119642857141</x:v>
      </x:c>
      <x:c r="AJ28" s="117" t="n">
        <x:f>$B$28*AJ10</x:f>
        <x:v>6.538119642857141</x:v>
      </x:c>
      <x:c r="AK28" s="117" t="n">
        <x:f>$B$28*AK10</x:f>
        <x:v>6.538119642857141</x:v>
      </x:c>
      <x:c r="AL28" s="117" t="n">
        <x:f>$B$28*AL10</x:f>
        <x:v>6.538119642857141</x:v>
      </x:c>
      <x:c r="AM28" s="117" t="n">
        <x:f>$B$28*AM10</x:f>
        <x:v>6.538119642857141</x:v>
      </x:c>
      <x:c r="AN28" s="117" t="n">
        <x:f>$B$28*AN10</x:f>
        <x:v>6.538119642857141</x:v>
      </x:c>
      <x:c r="AO28" s="117" t="n">
        <x:f>$B$28*AO10</x:f>
        <x:v>6.538119642857141</x:v>
      </x:c>
      <x:c r="AP28" s="117" t="n">
        <x:f>$B$28*AP10</x:f>
        <x:v>6.538119642857141</x:v>
      </x:c>
      <x:c r="AQ28" s="117" t="n">
        <x:f>$B$28*AQ10</x:f>
        <x:v>6.538119642857141</x:v>
      </x:c>
      <x:c r="AR28" s="117" t="n">
        <x:f>$B$28*AR10</x:f>
        <x:v>6.538119642857141</x:v>
      </x:c>
      <x:c r="AS28" s="117" t="n">
        <x:f>$B$28*AS10</x:f>
        <x:v>6.538119642857141</x:v>
      </x:c>
      <x:c r="AT28" s="117" t="n">
        <x:f>$B$28*AT10</x:f>
        <x:v>0</x:v>
      </x:c>
      <x:c r="AU28" s="117" t="n">
        <x:f>$B$28*AU10</x:f>
        <x:v>0</x:v>
      </x:c>
      <x:c r="AV28" s="117" t="n">
        <x:f>$B$28*AV10</x:f>
        <x:v>0</x:v>
      </x:c>
      <x:c r="AW28" s="117" t="n">
        <x:f>$B$28*AW10</x:f>
        <x:v>0</x:v>
      </x:c>
      <x:c r="AX28" s="117" t="n">
        <x:f>$B$28*AX10</x:f>
        <x:v>0</x:v>
      </x:c>
      <x:c r="AY28" s="117" t="n">
        <x:f>$B$28*AY10</x:f>
        <x:v>0</x:v>
      </x:c>
      <x:c r="AZ28" s="117" t="n">
        <x:f>$B$28*AZ10</x:f>
        <x:v>0</x:v>
      </x:c>
      <x:c r="BA28" s="117" t="n">
        <x:f>$B$28*BA10</x:f>
        <x:v>0</x:v>
      </x:c>
      <x:c r="BB28" s="117" t="n">
        <x:f>$B$28*BB10</x:f>
        <x:v>0</x:v>
      </x:c>
      <x:c r="BC28" s="117" t="n">
        <x:f>$B$28*BC10</x:f>
        <x:v>0</x:v>
      </x:c>
      <x:c r="BD28" s="117" t="n">
        <x:f>$B$28*BD10</x:f>
        <x:v>0</x:v>
      </x:c>
      <x:c r="BE28" s="117" t="n">
        <x:f>$B$28*BE10</x:f>
        <x:v>0</x:v>
      </x:c>
      <x:c r="BF28" s="117" t="n">
        <x:f>$B$28*BF10</x:f>
        <x:v>0</x:v>
      </x:c>
      <x:c r="BG28" s="117" t="n">
        <x:f>$B$28*BG10</x:f>
        <x:v>0</x:v>
      </x:c>
      <x:c r="BH28" s="117" t="n">
        <x:f>$B$28*BH10</x:f>
        <x:v>0</x:v>
      </x:c>
      <x:c r="BI28" s="117" t="n">
        <x:f>$B$28*BI10</x:f>
        <x:v>0</x:v>
      </x:c>
      <x:c r="BJ28" s="117" t="n">
        <x:f>$B$28*BJ10</x:f>
        <x:v>0</x:v>
      </x:c>
      <x:c r="BK28" s="117" t="n">
        <x:f>$B$28*BK10</x:f>
        <x:v>0</x:v>
      </x:c>
      <x:c r="BL28" s="117" t="n">
        <x:f>$B$28*BL10</x:f>
        <x:v>0</x:v>
      </x:c>
      <x:c r="BM28" s="117" t="n">
        <x:f>$B$28*BM10</x:f>
        <x:v>0</x:v>
      </x:c>
      <x:c r="BN28" s="117" t="n">
        <x:f>$B$28*BN10</x:f>
        <x:v>0</x:v>
      </x:c>
      <x:c r="BO28" s="117" t="n">
        <x:f>$B$28*BO10</x:f>
        <x:v>0</x:v>
      </x:c>
      <x:c r="BP28" s="117" t="n">
        <x:f>$B$28*BP10</x:f>
        <x:v>0</x:v>
      </x:c>
      <x:c r="BQ28" s="117" t="n">
        <x:f>$B$28*BQ10</x:f>
        <x:v>0</x:v>
      </x:c>
      <x:c r="BR28" s="117" t="n">
        <x:f>$B$28*BR10</x:f>
        <x:v>0</x:v>
      </x:c>
      <x:c r="BS28" s="117" t="n">
        <x:f>$B$28*BS10</x:f>
        <x:v>0</x:v>
      </x:c>
      <x:c r="BT28" s="117" t="n">
        <x:f>$B$28*BT10</x:f>
        <x:v>0</x:v>
      </x:c>
      <x:c r="BU28" s="117" t="n">
        <x:f>$B$28*BU10</x:f>
        <x:v>0</x:v>
      </x:c>
      <x:c r="BV28" s="117" t="n">
        <x:f>$B$28*BV10</x:f>
        <x:v>0</x:v>
      </x:c>
      <x:c r="BW28" s="117" t="n">
        <x:f>$B$28*BW10</x:f>
        <x:v>0</x:v>
      </x:c>
      <x:c r="BX28" s="117" t="n">
        <x:f>$B$28*BX10</x:f>
        <x:v>0</x:v>
      </x:c>
      <x:c r="BY28" s="117" t="n">
        <x:f>$B$28*BY10</x:f>
        <x:v>0</x:v>
      </x:c>
      <x:c r="BZ28" s="117" t="n">
        <x:f>$B$28*BZ10</x:f>
        <x:v>0</x:v>
      </x:c>
      <x:c r="CA28" s="117" t="n">
        <x:f>$B$28*CA10</x:f>
        <x:v>0</x:v>
      </x:c>
      <x:c r="CB28" s="117" t="n">
        <x:f>$B$28*CB10</x:f>
        <x:v>0</x:v>
      </x:c>
      <x:c r="CC28" s="117" t="n">
        <x:f>$B$28*CC10</x:f>
        <x:v>0</x:v>
      </x:c>
      <x:c r="CD28" s="117" t="n">
        <x:f>$B$28*CD10</x:f>
        <x:v>0</x:v>
      </x:c>
      <x:c r="CE28" s="117" t="n">
        <x:f>$B$28*CE10</x:f>
        <x:v>0</x:v>
      </x:c>
      <x:c r="CF28" s="117" t="n">
        <x:f>$B$28*CF10</x:f>
        <x:v>0</x:v>
      </x:c>
      <x:c r="CG28" s="117" t="n">
        <x:f>$B$28*CG10</x:f>
        <x:v>0</x:v>
      </x:c>
      <x:c r="CH28" s="117" t="n">
        <x:f>$B$28*CH10</x:f>
        <x:v>0</x:v>
      </x:c>
      <x:c r="CI28" s="117" t="n">
        <x:f>$B$28*CI10</x:f>
        <x:v>0</x:v>
      </x:c>
      <x:c r="CJ28" s="117" t="n">
        <x:f>$B$28*CJ10</x:f>
        <x:v>0</x:v>
      </x:c>
      <x:c r="CK28" s="117" t="n">
        <x:f>$B$28*CK10</x:f>
        <x:v>0</x:v>
      </x:c>
      <x:c r="CL28" s="117" t="n">
        <x:f>$B$28*CL10</x:f>
        <x:v>0</x:v>
      </x:c>
      <x:c r="CM28" s="117" t="n">
        <x:f>$B$28*CM10</x:f>
        <x:v>0</x:v>
      </x:c>
      <x:c r="CN28" s="117" t="n">
        <x:f>$B$28*CN10</x:f>
        <x:v>0</x:v>
      </x:c>
      <x:c r="CO28" s="117" t="n">
        <x:f>$B$28*CO10</x:f>
        <x:v>0</x:v>
      </x:c>
      <x:c r="CP28" s="117" t="n">
        <x:f>$B$28*CP10</x:f>
        <x:v>0</x:v>
      </x:c>
      <x:c r="CQ28" s="117" t="n">
        <x:f>$B$28*CQ10</x:f>
        <x:v>0</x:v>
      </x:c>
      <x:c r="CR28" s="117" t="n">
        <x:f>$B$28*CR10</x:f>
        <x:v>0</x:v>
      </x:c>
      <x:c r="CS28" s="117" t="n">
        <x:f>$B$28*CS10</x:f>
        <x:v>0</x:v>
      </x:c>
      <x:c r="CT28" s="117" t="n">
        <x:f>$B$28*CT10</x:f>
        <x:v>0</x:v>
      </x:c>
      <x:c r="CU28" s="117" t="n">
        <x:f>$B$28*CU10</x:f>
        <x:v>0</x:v>
      </x:c>
      <x:c r="CV28" s="117" t="n">
        <x:f>$B$28*CV10</x:f>
        <x:v>0</x:v>
      </x:c>
      <x:c r="CW28" s="117" t="n">
        <x:f>$B$28*CW10</x:f>
        <x:v>0</x:v>
      </x:c>
      <x:c r="CX28" s="117" t="n">
        <x:f>$B$28*CX10</x:f>
        <x:v>0</x:v>
      </x:c>
      <x:c r="CY28" s="117" t="n">
        <x:f>$B$28*CY10</x:f>
        <x:v>0</x:v>
      </x:c>
      <x:c r="CZ28" s="117" t="n">
        <x:f>$B$28*CZ10</x:f>
        <x:v>0</x:v>
      </x:c>
      <x:c r="DA28" s="117" t="n">
        <x:f>$B$28*DA10</x:f>
        <x:v>0</x:v>
      </x:c>
      <x:c r="DB28" s="117" t="n">
        <x:f>$B$28*DB10</x:f>
        <x:v>0</x:v>
      </x:c>
      <x:c r="DC28" s="117" t="n">
        <x:f>$B$28*DC10</x:f>
        <x:v>0</x:v>
      </x:c>
      <x:c r="DD28" s="117" t="n">
        <x:f>$B$28*DD10</x:f>
        <x:v>0</x:v>
      </x:c>
      <x:c r="DE28" s="117" t="n">
        <x:f>$B$28*DE10</x:f>
        <x:v>0</x:v>
      </x:c>
      <x:c r="DF28" s="117" t="n">
        <x:f>$B$28*DF10</x:f>
        <x:v>0</x:v>
      </x:c>
      <x:c r="DG28" s="117" t="n">
        <x:f>$B$28*DG10</x:f>
        <x:v>0</x:v>
      </x:c>
      <x:c r="DH28" s="117" t="n">
        <x:f>$B$28*DH10</x:f>
        <x:v>0</x:v>
      </x:c>
      <x:c r="DI28" s="117" t="n">
        <x:f>$B$28*DI10</x:f>
        <x:v>0</x:v>
      </x:c>
      <x:c r="DJ28" s="117" t="n">
        <x:f>$B$28*DJ10</x:f>
        <x:v>0</x:v>
      </x:c>
      <x:c r="DK28" s="117" t="n">
        <x:f>$B$28*DK10</x:f>
        <x:v>0</x:v>
      </x:c>
      <x:c r="DL28" s="117" t="n">
        <x:f>$B$28*DL10</x:f>
        <x:v>0</x:v>
      </x:c>
      <x:c r="DM28" s="117" t="n">
        <x:f>$B$28*DM10</x:f>
        <x:v>0</x:v>
      </x:c>
      <x:c r="DN28" s="117" t="n">
        <x:f>$B$28*DN10</x:f>
        <x:v>0</x:v>
      </x:c>
      <x:c r="DO28" s="117" t="n">
        <x:f>$B$28*DO10</x:f>
        <x:v>0</x:v>
      </x:c>
      <x:c r="DP28" s="117" t="n">
        <x:f>$B$28*DP10</x:f>
        <x:v>0</x:v>
      </x:c>
      <x:c r="DQ28" s="117" t="n">
        <x:f>$B$28*DQ10</x:f>
        <x:v>0</x:v>
      </x:c>
      <x:c r="DR28" s="117" t="n">
        <x:f>$B$28*DR10</x:f>
        <x:v>0</x:v>
      </x:c>
      <x:c r="DS28" s="117" t="n">
        <x:f>$B$28*DS10</x:f>
        <x:v>0</x:v>
      </x:c>
    </x:row>
    <x:row r="29">
      <x:c r="A29" t="str">
        <x:v>Вознаграждение генподрядчика</x:v>
      </x:c>
      <x:c r="B29" s="107" t="n">
        <x:f>SUM(B16:B26)*'Вводные'!$B$50</x:f>
        <x:v>384.44143499999996</x:v>
      </x:c>
      <x:c r="C29" t="str">
        <x:v>млн ₽</x:v>
      </x:c>
      <x:c r="D29" s="117" t="n">
        <x:f>$B$29*D13</x:f>
        <x:v>0</x:v>
      </x:c>
      <x:c r="E29" s="117" t="n">
        <x:f>$B$29*E13</x:f>
        <x:v>0</x:v>
      </x:c>
      <x:c r="F29" s="117" t="n">
        <x:f>$B$29*F13</x:f>
        <x:v>0</x:v>
      </x:c>
      <x:c r="G29" s="117" t="n">
        <x:f>$B$29*G13</x:f>
        <x:v>0</x:v>
      </x:c>
      <x:c r="H29" s="117" t="n">
        <x:f>$B$29*H13</x:f>
        <x:v>0</x:v>
      </x:c>
      <x:c r="I29" s="117" t="n">
        <x:f>$B$29*I13</x:f>
        <x:v>0</x:v>
      </x:c>
      <x:c r="J29" s="117" t="n">
        <x:f>$B$29*J13</x:f>
        <x:v>0</x:v>
      </x:c>
      <x:c r="K29" s="117" t="n">
        <x:f>$B$29*K13</x:f>
        <x:v>0</x:v>
      </x:c>
      <x:c r="L29" s="117" t="n">
        <x:f>$B$29*L13</x:f>
        <x:v>0</x:v>
      </x:c>
      <x:c r="M29" s="117" t="n">
        <x:f>$B$29*M13</x:f>
        <x:v>0</x:v>
      </x:c>
      <x:c r="N29" s="117" t="n">
        <x:f>$B$29*N13</x:f>
        <x:v>0</x:v>
      </x:c>
      <x:c r="O29" s="117" t="n">
        <x:f>$B$29*O13</x:f>
        <x:v>0</x:v>
      </x:c>
      <x:c r="P29" s="117" t="n">
        <x:f>$B$29*P13</x:f>
        <x:v>0</x:v>
      </x:c>
      <x:c r="Q29" s="117" t="n">
        <x:f>$B$29*Q13</x:f>
        <x:v>0</x:v>
      </x:c>
      <x:c r="R29" s="117" t="n">
        <x:f>$B$29*R13</x:f>
        <x:v>0</x:v>
      </x:c>
      <x:c r="S29" s="117" t="n">
        <x:f>$B$29*S13</x:f>
        <x:v>0</x:v>
      </x:c>
      <x:c r="T29" s="117" t="n">
        <x:f>$B$29*T13</x:f>
        <x:v>0</x:v>
      </x:c>
      <x:c r="U29" s="117" t="n">
        <x:f>$B$29*U13</x:f>
        <x:v>0</x:v>
      </x:c>
      <x:c r="V29" s="117" t="n">
        <x:f>$B$29*V13</x:f>
        <x:v>9.453477909836064</x:v>
      </x:c>
      <x:c r="W29" s="117" t="n">
        <x:f>$B$29*W13</x:f>
        <x:v>9.453477909836064</x:v>
      </x:c>
      <x:c r="X29" s="117" t="n">
        <x:f>$B$29*X13</x:f>
        <x:v>9.453477909836064</x:v>
      </x:c>
      <x:c r="Y29" s="117" t="n">
        <x:f>$B$29*Y13</x:f>
        <x:v>9.453477909836064</x:v>
      </x:c>
      <x:c r="Z29" s="117" t="n">
        <x:f>$B$29*Z13</x:f>
        <x:v>18.906955819672127</x:v>
      </x:c>
      <x:c r="AA29" s="117" t="n">
        <x:f>$B$29*AA13</x:f>
        <x:v>18.906955819672127</x:v>
      </x:c>
      <x:c r="AB29" s="117" t="n">
        <x:f>$B$29*AB13</x:f>
        <x:v>18.906955819672127</x:v>
      </x:c>
      <x:c r="AC29" s="117" t="n">
        <x:f>$B$29*AC13</x:f>
        <x:v>18.906955819672127</x:v>
      </x:c>
      <x:c r="AD29" s="117" t="n">
        <x:f>$B$29*AD13</x:f>
        <x:v>18.906955819672127</x:v>
      </x:c>
      <x:c r="AE29" s="117" t="n">
        <x:f>$B$29*AE13</x:f>
        <x:v>18.906955819672127</x:v>
      </x:c>
      <x:c r="AF29" s="117" t="n">
        <x:f>$B$29*AF13</x:f>
        <x:v>18.906955819672127</x:v>
      </x:c>
      <x:c r="AG29" s="117" t="n">
        <x:f>$B$29*AG13</x:f>
        <x:v>18.906955819672127</x:v>
      </x:c>
      <x:c r="AH29" s="117" t="n">
        <x:f>$B$29*AH13</x:f>
        <x:v>18.906955819672127</x:v>
      </x:c>
      <x:c r="AI29" s="117" t="n">
        <x:f>$B$29*AI13</x:f>
        <x:v>18.906955819672127</x:v>
      </x:c>
      <x:c r="AJ29" s="117" t="n">
        <x:f>$B$29*AJ13</x:f>
        <x:v>18.906955819672127</x:v>
      </x:c>
      <x:c r="AK29" s="117" t="n">
        <x:f>$B$29*AK13</x:f>
        <x:v>18.906955819672127</x:v>
      </x:c>
      <x:c r="AL29" s="117" t="n">
        <x:f>$B$29*AL13</x:f>
        <x:v>18.906955819672127</x:v>
      </x:c>
      <x:c r="AM29" s="117" t="n">
        <x:f>$B$29*AM13</x:f>
        <x:v>18.906955819672127</x:v>
      </x:c>
      <x:c r="AN29" s="117" t="n">
        <x:f>$B$29*AN13</x:f>
        <x:v>18.906955819672127</x:v>
      </x:c>
      <x:c r="AO29" s="117" t="n">
        <x:f>$B$29*AO13</x:f>
        <x:v>12.604637213114753</x:v>
      </x:c>
      <x:c r="AP29" s="117" t="n">
        <x:f>$B$29*AP13</x:f>
        <x:v>12.604637213114753</x:v>
      </x:c>
      <x:c r="AQ29" s="117" t="n">
        <x:f>$B$29*AQ13</x:f>
        <x:v>12.604637213114753</x:v>
      </x:c>
      <x:c r="AR29" s="117" t="n">
        <x:f>$B$29*AR13</x:f>
        <x:v>12.604637213114753</x:v>
      </x:c>
      <x:c r="AS29" s="117" t="n">
        <x:f>$B$29*AS13</x:f>
        <x:v>12.604637213114753</x:v>
      </x:c>
      <x:c r="AT29" s="117" t="n">
        <x:f>$B$29*AT13</x:f>
        <x:v>0</x:v>
      </x:c>
      <x:c r="AU29" s="117" t="n">
        <x:f>$B$29*AU13</x:f>
        <x:v>0</x:v>
      </x:c>
      <x:c r="AV29" s="117" t="n">
        <x:f>$B$29*AV13</x:f>
        <x:v>0</x:v>
      </x:c>
      <x:c r="AW29" s="117" t="n">
        <x:f>$B$29*AW13</x:f>
        <x:v>0</x:v>
      </x:c>
      <x:c r="AX29" s="117" t="n">
        <x:f>$B$29*AX13</x:f>
        <x:v>0</x:v>
      </x:c>
      <x:c r="AY29" s="117" t="n">
        <x:f>$B$29*AY13</x:f>
        <x:v>0</x:v>
      </x:c>
      <x:c r="AZ29" s="117" t="n">
        <x:f>$B$29*AZ13</x:f>
        <x:v>0</x:v>
      </x:c>
      <x:c r="BA29" s="117" t="n">
        <x:f>$B$29*BA13</x:f>
        <x:v>0</x:v>
      </x:c>
      <x:c r="BB29" s="117" t="n">
        <x:f>$B$29*BB13</x:f>
        <x:v>0</x:v>
      </x:c>
      <x:c r="BC29" s="117" t="n">
        <x:f>$B$29*BC13</x:f>
        <x:v>0</x:v>
      </x:c>
      <x:c r="BD29" s="117" t="n">
        <x:f>$B$29*BD13</x:f>
        <x:v>0</x:v>
      </x:c>
      <x:c r="BE29" s="117" t="n">
        <x:f>$B$29*BE13</x:f>
        <x:v>0</x:v>
      </x:c>
      <x:c r="BF29" s="117" t="n">
        <x:f>$B$29*BF13</x:f>
        <x:v>0</x:v>
      </x:c>
      <x:c r="BG29" s="117" t="n">
        <x:f>$B$29*BG13</x:f>
        <x:v>0</x:v>
      </x:c>
      <x:c r="BH29" s="117" t="n">
        <x:f>$B$29*BH13</x:f>
        <x:v>0</x:v>
      </x:c>
      <x:c r="BI29" s="117" t="n">
        <x:f>$B$29*BI13</x:f>
        <x:v>0</x:v>
      </x:c>
      <x:c r="BJ29" s="117" t="n">
        <x:f>$B$29*BJ13</x:f>
        <x:v>0</x:v>
      </x:c>
      <x:c r="BK29" s="117" t="n">
        <x:f>$B$29*BK13</x:f>
        <x:v>0</x:v>
      </x:c>
      <x:c r="BL29" s="117" t="n">
        <x:f>$B$29*BL13</x:f>
        <x:v>0</x:v>
      </x:c>
      <x:c r="BM29" s="117" t="n">
        <x:f>$B$29*BM13</x:f>
        <x:v>0</x:v>
      </x:c>
      <x:c r="BN29" s="117" t="n">
        <x:f>$B$29*BN13</x:f>
        <x:v>0</x:v>
      </x:c>
      <x:c r="BO29" s="117" t="n">
        <x:f>$B$29*BO13</x:f>
        <x:v>0</x:v>
      </x:c>
      <x:c r="BP29" s="117" t="n">
        <x:f>$B$29*BP13</x:f>
        <x:v>0</x:v>
      </x:c>
      <x:c r="BQ29" s="117" t="n">
        <x:f>$B$29*BQ13</x:f>
        <x:v>0</x:v>
      </x:c>
      <x:c r="BR29" s="117" t="n">
        <x:f>$B$29*BR13</x:f>
        <x:v>0</x:v>
      </x:c>
      <x:c r="BS29" s="117" t="n">
        <x:f>$B$29*BS13</x:f>
        <x:v>0</x:v>
      </x:c>
      <x:c r="BT29" s="117" t="n">
        <x:f>$B$29*BT13</x:f>
        <x:v>0</x:v>
      </x:c>
      <x:c r="BU29" s="117" t="n">
        <x:f>$B$29*BU13</x:f>
        <x:v>0</x:v>
      </x:c>
      <x:c r="BV29" s="117" t="n">
        <x:f>$B$29*BV13</x:f>
        <x:v>0</x:v>
      </x:c>
      <x:c r="BW29" s="117" t="n">
        <x:f>$B$29*BW13</x:f>
        <x:v>0</x:v>
      </x:c>
      <x:c r="BX29" s="117" t="n">
        <x:f>$B$29*BX13</x:f>
        <x:v>0</x:v>
      </x:c>
      <x:c r="BY29" s="117" t="n">
        <x:f>$B$29*BY13</x:f>
        <x:v>0</x:v>
      </x:c>
      <x:c r="BZ29" s="117" t="n">
        <x:f>$B$29*BZ13</x:f>
        <x:v>0</x:v>
      </x:c>
      <x:c r="CA29" s="117" t="n">
        <x:f>$B$29*CA13</x:f>
        <x:v>0</x:v>
      </x:c>
      <x:c r="CB29" s="117" t="n">
        <x:f>$B$29*CB13</x:f>
        <x:v>0</x:v>
      </x:c>
      <x:c r="CC29" s="117" t="n">
        <x:f>$B$29*CC13</x:f>
        <x:v>0</x:v>
      </x:c>
      <x:c r="CD29" s="117" t="n">
        <x:f>$B$29*CD13</x:f>
        <x:v>0</x:v>
      </x:c>
      <x:c r="CE29" s="117" t="n">
        <x:f>$B$29*CE13</x:f>
        <x:v>0</x:v>
      </x:c>
      <x:c r="CF29" s="117" t="n">
        <x:f>$B$29*CF13</x:f>
        <x:v>0</x:v>
      </x:c>
      <x:c r="CG29" s="117" t="n">
        <x:f>$B$29*CG13</x:f>
        <x:v>0</x:v>
      </x:c>
      <x:c r="CH29" s="117" t="n">
        <x:f>$B$29*CH13</x:f>
        <x:v>0</x:v>
      </x:c>
      <x:c r="CI29" s="117" t="n">
        <x:f>$B$29*CI13</x:f>
        <x:v>0</x:v>
      </x:c>
      <x:c r="CJ29" s="117" t="n">
        <x:f>$B$29*CJ13</x:f>
        <x:v>0</x:v>
      </x:c>
      <x:c r="CK29" s="117" t="n">
        <x:f>$B$29*CK13</x:f>
        <x:v>0</x:v>
      </x:c>
      <x:c r="CL29" s="117" t="n">
        <x:f>$B$29*CL13</x:f>
        <x:v>0</x:v>
      </x:c>
      <x:c r="CM29" s="117" t="n">
        <x:f>$B$29*CM13</x:f>
        <x:v>0</x:v>
      </x:c>
      <x:c r="CN29" s="117" t="n">
        <x:f>$B$29*CN13</x:f>
        <x:v>0</x:v>
      </x:c>
      <x:c r="CO29" s="117" t="n">
        <x:f>$B$29*CO13</x:f>
        <x:v>0</x:v>
      </x:c>
      <x:c r="CP29" s="117" t="n">
        <x:f>$B$29*CP13</x:f>
        <x:v>0</x:v>
      </x:c>
      <x:c r="CQ29" s="117" t="n">
        <x:f>$B$29*CQ13</x:f>
        <x:v>0</x:v>
      </x:c>
      <x:c r="CR29" s="117" t="n">
        <x:f>$B$29*CR13</x:f>
        <x:v>0</x:v>
      </x:c>
      <x:c r="CS29" s="117" t="n">
        <x:f>$B$29*CS13</x:f>
        <x:v>0</x:v>
      </x:c>
      <x:c r="CT29" s="117" t="n">
        <x:f>$B$29*CT13</x:f>
        <x:v>0</x:v>
      </x:c>
      <x:c r="CU29" s="117" t="n">
        <x:f>$B$29*CU13</x:f>
        <x:v>0</x:v>
      </x:c>
      <x:c r="CV29" s="117" t="n">
        <x:f>$B$29*CV13</x:f>
        <x:v>0</x:v>
      </x:c>
      <x:c r="CW29" s="117" t="n">
        <x:f>$B$29*CW13</x:f>
        <x:v>0</x:v>
      </x:c>
      <x:c r="CX29" s="117" t="n">
        <x:f>$B$29*CX13</x:f>
        <x:v>0</x:v>
      </x:c>
      <x:c r="CY29" s="117" t="n">
        <x:f>$B$29*CY13</x:f>
        <x:v>0</x:v>
      </x:c>
      <x:c r="CZ29" s="117" t="n">
        <x:f>$B$29*CZ13</x:f>
        <x:v>0</x:v>
      </x:c>
      <x:c r="DA29" s="117" t="n">
        <x:f>$B$29*DA13</x:f>
        <x:v>0</x:v>
      </x:c>
      <x:c r="DB29" s="117" t="n">
        <x:f>$B$29*DB13</x:f>
        <x:v>0</x:v>
      </x:c>
      <x:c r="DC29" s="117" t="n">
        <x:f>$B$29*DC13</x:f>
        <x:v>0</x:v>
      </x:c>
      <x:c r="DD29" s="117" t="n">
        <x:f>$B$29*DD13</x:f>
        <x:v>0</x:v>
      </x:c>
      <x:c r="DE29" s="117" t="n">
        <x:f>$B$29*DE13</x:f>
        <x:v>0</x:v>
      </x:c>
      <x:c r="DF29" s="117" t="n">
        <x:f>$B$29*DF13</x:f>
        <x:v>0</x:v>
      </x:c>
      <x:c r="DG29" s="117" t="n">
        <x:f>$B$29*DG13</x:f>
        <x:v>0</x:v>
      </x:c>
      <x:c r="DH29" s="117" t="n">
        <x:f>$B$29*DH13</x:f>
        <x:v>0</x:v>
      </x:c>
      <x:c r="DI29" s="117" t="n">
        <x:f>$B$29*DI13</x:f>
        <x:v>0</x:v>
      </x:c>
      <x:c r="DJ29" s="117" t="n">
        <x:f>$B$29*DJ13</x:f>
        <x:v>0</x:v>
      </x:c>
      <x:c r="DK29" s="117" t="n">
        <x:f>$B$29*DK13</x:f>
        <x:v>0</x:v>
      </x:c>
      <x:c r="DL29" s="117" t="n">
        <x:f>$B$29*DL13</x:f>
        <x:v>0</x:v>
      </x:c>
      <x:c r="DM29" s="117" t="n">
        <x:f>$B$29*DM13</x:f>
        <x:v>0</x:v>
      </x:c>
      <x:c r="DN29" s="117" t="n">
        <x:f>$B$29*DN13</x:f>
        <x:v>0</x:v>
      </x:c>
      <x:c r="DO29" s="117" t="n">
        <x:f>$B$29*DO13</x:f>
        <x:v>0</x:v>
      </x:c>
      <x:c r="DP29" s="117" t="n">
        <x:f>$B$29*DP13</x:f>
        <x:v>0</x:v>
      </x:c>
      <x:c r="DQ29" s="117" t="n">
        <x:f>$B$29*DQ13</x:f>
        <x:v>0</x:v>
      </x:c>
      <x:c r="DR29" s="117" t="n">
        <x:f>$B$29*DR13</x:f>
        <x:v>0</x:v>
      </x:c>
      <x:c r="DS29" s="117" t="n">
        <x:f>$B$29*DS13</x:f>
        <x:v>0</x:v>
      </x:c>
    </x:row>
    <x:row r="30">
      <x:c r="A30" t="str">
        <x:v>Резерв</x:v>
      </x:c>
      <x:c r="B30" s="107" t="n">
        <x:f>(SUM(B15:B29)+B31)*'Вводные'!$B$54</x:f>
        <x:v>413.69354924999993</x:v>
      </x:c>
      <x:c r="C30" t="str">
        <x:v>млн ₽</x:v>
      </x:c>
      <x:c r="D30" s="117" t="n">
        <x:f>$B$30*D13</x:f>
        <x:v>0</x:v>
      </x:c>
      <x:c r="E30" s="117" t="n">
        <x:f>$B$30*E13</x:f>
        <x:v>0</x:v>
      </x:c>
      <x:c r="F30" s="117" t="n">
        <x:f>$B$30*F13</x:f>
        <x:v>0</x:v>
      </x:c>
      <x:c r="G30" s="117" t="n">
        <x:f>$B$30*G13</x:f>
        <x:v>0</x:v>
      </x:c>
      <x:c r="H30" s="117" t="n">
        <x:f>$B$30*H13</x:f>
        <x:v>0</x:v>
      </x:c>
      <x:c r="I30" s="117" t="n">
        <x:f>$B$30*I13</x:f>
        <x:v>0</x:v>
      </x:c>
      <x:c r="J30" s="117" t="n">
        <x:f>$B$30*J13</x:f>
        <x:v>0</x:v>
      </x:c>
      <x:c r="K30" s="117" t="n">
        <x:f>$B$30*K13</x:f>
        <x:v>0</x:v>
      </x:c>
      <x:c r="L30" s="117" t="n">
        <x:f>$B$30*L13</x:f>
        <x:v>0</x:v>
      </x:c>
      <x:c r="M30" s="117" t="n">
        <x:f>$B$30*M13</x:f>
        <x:v>0</x:v>
      </x:c>
      <x:c r="N30" s="117" t="n">
        <x:f>$B$30*N13</x:f>
        <x:v>0</x:v>
      </x:c>
      <x:c r="O30" s="117" t="n">
        <x:f>$B$30*O13</x:f>
        <x:v>0</x:v>
      </x:c>
      <x:c r="P30" s="117" t="n">
        <x:f>$B$30*P13</x:f>
        <x:v>0</x:v>
      </x:c>
      <x:c r="Q30" s="117" t="n">
        <x:f>$B$30*Q13</x:f>
        <x:v>0</x:v>
      </x:c>
      <x:c r="R30" s="117" t="n">
        <x:f>$B$30*R13</x:f>
        <x:v>0</x:v>
      </x:c>
      <x:c r="S30" s="117" t="n">
        <x:f>$B$30*S13</x:f>
        <x:v>0</x:v>
      </x:c>
      <x:c r="T30" s="117" t="n">
        <x:f>$B$30*T13</x:f>
        <x:v>0</x:v>
      </x:c>
      <x:c r="U30" s="117" t="n">
        <x:f>$B$30*U13</x:f>
        <x:v>0</x:v>
      </x:c>
      <x:c r="V30" s="117" t="n">
        <x:f>$B$30*V13</x:f>
        <x:v>10.172792194672128</x:v>
      </x:c>
      <x:c r="W30" s="117" t="n">
        <x:f>$B$30*W13</x:f>
        <x:v>10.172792194672128</x:v>
      </x:c>
      <x:c r="X30" s="117" t="n">
        <x:f>$B$30*X13</x:f>
        <x:v>10.172792194672128</x:v>
      </x:c>
      <x:c r="Y30" s="117" t="n">
        <x:f>$B$30*Y13</x:f>
        <x:v>10.172792194672128</x:v>
      </x:c>
      <x:c r="Z30" s="117" t="n">
        <x:f>$B$30*Z13</x:f>
        <x:v>20.345584389344257</x:v>
      </x:c>
      <x:c r="AA30" s="117" t="n">
        <x:f>$B$30*AA13</x:f>
        <x:v>20.345584389344257</x:v>
      </x:c>
      <x:c r="AB30" s="117" t="n">
        <x:f>$B$30*AB13</x:f>
        <x:v>20.345584389344257</x:v>
      </x:c>
      <x:c r="AC30" s="117" t="n">
        <x:f>$B$30*AC13</x:f>
        <x:v>20.345584389344257</x:v>
      </x:c>
      <x:c r="AD30" s="117" t="n">
        <x:f>$B$30*AD13</x:f>
        <x:v>20.345584389344257</x:v>
      </x:c>
      <x:c r="AE30" s="117" t="n">
        <x:f>$B$30*AE13</x:f>
        <x:v>20.345584389344257</x:v>
      </x:c>
      <x:c r="AF30" s="117" t="n">
        <x:f>$B$30*AF13</x:f>
        <x:v>20.345584389344257</x:v>
      </x:c>
      <x:c r="AG30" s="117" t="n">
        <x:f>$B$30*AG13</x:f>
        <x:v>20.345584389344257</x:v>
      </x:c>
      <x:c r="AH30" s="117" t="n">
        <x:f>$B$30*AH13</x:f>
        <x:v>20.345584389344257</x:v>
      </x:c>
      <x:c r="AI30" s="117" t="n">
        <x:f>$B$30*AI13</x:f>
        <x:v>20.345584389344257</x:v>
      </x:c>
      <x:c r="AJ30" s="117" t="n">
        <x:f>$B$30*AJ13</x:f>
        <x:v>20.345584389344257</x:v>
      </x:c>
      <x:c r="AK30" s="117" t="n">
        <x:f>$B$30*AK13</x:f>
        <x:v>20.345584389344257</x:v>
      </x:c>
      <x:c r="AL30" s="117" t="n">
        <x:f>$B$30*AL13</x:f>
        <x:v>20.345584389344257</x:v>
      </x:c>
      <x:c r="AM30" s="117" t="n">
        <x:f>$B$30*AM13</x:f>
        <x:v>20.345584389344257</x:v>
      </x:c>
      <x:c r="AN30" s="117" t="n">
        <x:f>$B$30*AN13</x:f>
        <x:v>20.345584389344257</x:v>
      </x:c>
      <x:c r="AO30" s="117" t="n">
        <x:f>$B$30*AO13</x:f>
        <x:v>13.563722926229506</x:v>
      </x:c>
      <x:c r="AP30" s="117" t="n">
        <x:f>$B$30*AP13</x:f>
        <x:v>13.563722926229506</x:v>
      </x:c>
      <x:c r="AQ30" s="117" t="n">
        <x:f>$B$30*AQ13</x:f>
        <x:v>13.563722926229506</x:v>
      </x:c>
      <x:c r="AR30" s="117" t="n">
        <x:f>$B$30*AR13</x:f>
        <x:v>13.563722926229506</x:v>
      </x:c>
      <x:c r="AS30" s="117" t="n">
        <x:f>$B$30*AS13</x:f>
        <x:v>13.563722926229506</x:v>
      </x:c>
      <x:c r="AT30" s="117" t="n">
        <x:f>$B$30*AT13</x:f>
        <x:v>0</x:v>
      </x:c>
      <x:c r="AU30" s="117" t="n">
        <x:f>$B$30*AU13</x:f>
        <x:v>0</x:v>
      </x:c>
      <x:c r="AV30" s="117" t="n">
        <x:f>$B$30*AV13</x:f>
        <x:v>0</x:v>
      </x:c>
      <x:c r="AW30" s="117" t="n">
        <x:f>$B$30*AW13</x:f>
        <x:v>0</x:v>
      </x:c>
      <x:c r="AX30" s="117" t="n">
        <x:f>$B$30*AX13</x:f>
        <x:v>0</x:v>
      </x:c>
      <x:c r="AY30" s="117" t="n">
        <x:f>$B$30*AY13</x:f>
        <x:v>0</x:v>
      </x:c>
      <x:c r="AZ30" s="117" t="n">
        <x:f>$B$30*AZ13</x:f>
        <x:v>0</x:v>
      </x:c>
      <x:c r="BA30" s="117" t="n">
        <x:f>$B$30*BA13</x:f>
        <x:v>0</x:v>
      </x:c>
      <x:c r="BB30" s="117" t="n">
        <x:f>$B$30*BB13</x:f>
        <x:v>0</x:v>
      </x:c>
      <x:c r="BC30" s="117" t="n">
        <x:f>$B$30*BC13</x:f>
        <x:v>0</x:v>
      </x:c>
      <x:c r="BD30" s="117" t="n">
        <x:f>$B$30*BD13</x:f>
        <x:v>0</x:v>
      </x:c>
      <x:c r="BE30" s="117" t="n">
        <x:f>$B$30*BE13</x:f>
        <x:v>0</x:v>
      </x:c>
      <x:c r="BF30" s="117" t="n">
        <x:f>$B$30*BF13</x:f>
        <x:v>0</x:v>
      </x:c>
      <x:c r="BG30" s="117" t="n">
        <x:f>$B$30*BG13</x:f>
        <x:v>0</x:v>
      </x:c>
      <x:c r="BH30" s="117" t="n">
        <x:f>$B$30*BH13</x:f>
        <x:v>0</x:v>
      </x:c>
      <x:c r="BI30" s="117" t="n">
        <x:f>$B$30*BI13</x:f>
        <x:v>0</x:v>
      </x:c>
      <x:c r="BJ30" s="117" t="n">
        <x:f>$B$30*BJ13</x:f>
        <x:v>0</x:v>
      </x:c>
      <x:c r="BK30" s="117" t="n">
        <x:f>$B$30*BK13</x:f>
        <x:v>0</x:v>
      </x:c>
      <x:c r="BL30" s="117" t="n">
        <x:f>$B$30*BL13</x:f>
        <x:v>0</x:v>
      </x:c>
      <x:c r="BM30" s="117" t="n">
        <x:f>$B$30*BM13</x:f>
        <x:v>0</x:v>
      </x:c>
      <x:c r="BN30" s="117" t="n">
        <x:f>$B$30*BN13</x:f>
        <x:v>0</x:v>
      </x:c>
      <x:c r="BO30" s="117" t="n">
        <x:f>$B$30*BO13</x:f>
        <x:v>0</x:v>
      </x:c>
      <x:c r="BP30" s="117" t="n">
        <x:f>$B$30*BP13</x:f>
        <x:v>0</x:v>
      </x:c>
      <x:c r="BQ30" s="117" t="n">
        <x:f>$B$30*BQ13</x:f>
        <x:v>0</x:v>
      </x:c>
      <x:c r="BR30" s="117" t="n">
        <x:f>$B$30*BR13</x:f>
        <x:v>0</x:v>
      </x:c>
      <x:c r="BS30" s="117" t="n">
        <x:f>$B$30*BS13</x:f>
        <x:v>0</x:v>
      </x:c>
      <x:c r="BT30" s="117" t="n">
        <x:f>$B$30*BT13</x:f>
        <x:v>0</x:v>
      </x:c>
      <x:c r="BU30" s="117" t="n">
        <x:f>$B$30*BU13</x:f>
        <x:v>0</x:v>
      </x:c>
      <x:c r="BV30" s="117" t="n">
        <x:f>$B$30*BV13</x:f>
        <x:v>0</x:v>
      </x:c>
      <x:c r="BW30" s="117" t="n">
        <x:f>$B$30*BW13</x:f>
        <x:v>0</x:v>
      </x:c>
      <x:c r="BX30" s="117" t="n">
        <x:f>$B$30*BX13</x:f>
        <x:v>0</x:v>
      </x:c>
      <x:c r="BY30" s="117" t="n">
        <x:f>$B$30*BY13</x:f>
        <x:v>0</x:v>
      </x:c>
      <x:c r="BZ30" s="117" t="n">
        <x:f>$B$30*BZ13</x:f>
        <x:v>0</x:v>
      </x:c>
      <x:c r="CA30" s="117" t="n">
        <x:f>$B$30*CA13</x:f>
        <x:v>0</x:v>
      </x:c>
      <x:c r="CB30" s="117" t="n">
        <x:f>$B$30*CB13</x:f>
        <x:v>0</x:v>
      </x:c>
      <x:c r="CC30" s="117" t="n">
        <x:f>$B$30*CC13</x:f>
        <x:v>0</x:v>
      </x:c>
      <x:c r="CD30" s="117" t="n">
        <x:f>$B$30*CD13</x:f>
        <x:v>0</x:v>
      </x:c>
      <x:c r="CE30" s="117" t="n">
        <x:f>$B$30*CE13</x:f>
        <x:v>0</x:v>
      </x:c>
      <x:c r="CF30" s="117" t="n">
        <x:f>$B$30*CF13</x:f>
        <x:v>0</x:v>
      </x:c>
      <x:c r="CG30" s="117" t="n">
        <x:f>$B$30*CG13</x:f>
        <x:v>0</x:v>
      </x:c>
      <x:c r="CH30" s="117" t="n">
        <x:f>$B$30*CH13</x:f>
        <x:v>0</x:v>
      </x:c>
      <x:c r="CI30" s="117" t="n">
        <x:f>$B$30*CI13</x:f>
        <x:v>0</x:v>
      </x:c>
      <x:c r="CJ30" s="117" t="n">
        <x:f>$B$30*CJ13</x:f>
        <x:v>0</x:v>
      </x:c>
      <x:c r="CK30" s="117" t="n">
        <x:f>$B$30*CK13</x:f>
        <x:v>0</x:v>
      </x:c>
      <x:c r="CL30" s="117" t="n">
        <x:f>$B$30*CL13</x:f>
        <x:v>0</x:v>
      </x:c>
      <x:c r="CM30" s="117" t="n">
        <x:f>$B$30*CM13</x:f>
        <x:v>0</x:v>
      </x:c>
      <x:c r="CN30" s="117" t="n">
        <x:f>$B$30*CN13</x:f>
        <x:v>0</x:v>
      </x:c>
      <x:c r="CO30" s="117" t="n">
        <x:f>$B$30*CO13</x:f>
        <x:v>0</x:v>
      </x:c>
      <x:c r="CP30" s="117" t="n">
        <x:f>$B$30*CP13</x:f>
        <x:v>0</x:v>
      </x:c>
      <x:c r="CQ30" s="117" t="n">
        <x:f>$B$30*CQ13</x:f>
        <x:v>0</x:v>
      </x:c>
      <x:c r="CR30" s="117" t="n">
        <x:f>$B$30*CR13</x:f>
        <x:v>0</x:v>
      </x:c>
      <x:c r="CS30" s="117" t="n">
        <x:f>$B$30*CS13</x:f>
        <x:v>0</x:v>
      </x:c>
      <x:c r="CT30" s="117" t="n">
        <x:f>$B$30*CT13</x:f>
        <x:v>0</x:v>
      </x:c>
      <x:c r="CU30" s="117" t="n">
        <x:f>$B$30*CU13</x:f>
        <x:v>0</x:v>
      </x:c>
      <x:c r="CV30" s="117" t="n">
        <x:f>$B$30*CV13</x:f>
        <x:v>0</x:v>
      </x:c>
      <x:c r="CW30" s="117" t="n">
        <x:f>$B$30*CW13</x:f>
        <x:v>0</x:v>
      </x:c>
      <x:c r="CX30" s="117" t="n">
        <x:f>$B$30*CX13</x:f>
        <x:v>0</x:v>
      </x:c>
      <x:c r="CY30" s="117" t="n">
        <x:f>$B$30*CY13</x:f>
        <x:v>0</x:v>
      </x:c>
      <x:c r="CZ30" s="117" t="n">
        <x:f>$B$30*CZ13</x:f>
        <x:v>0</x:v>
      </x:c>
      <x:c r="DA30" s="117" t="n">
        <x:f>$B$30*DA13</x:f>
        <x:v>0</x:v>
      </x:c>
      <x:c r="DB30" s="117" t="n">
        <x:f>$B$30*DB13</x:f>
        <x:v>0</x:v>
      </x:c>
      <x:c r="DC30" s="117" t="n">
        <x:f>$B$30*DC13</x:f>
        <x:v>0</x:v>
      </x:c>
      <x:c r="DD30" s="117" t="n">
        <x:f>$B$30*DD13</x:f>
        <x:v>0</x:v>
      </x:c>
      <x:c r="DE30" s="117" t="n">
        <x:f>$B$30*DE13</x:f>
        <x:v>0</x:v>
      </x:c>
      <x:c r="DF30" s="117" t="n">
        <x:f>$B$30*DF13</x:f>
        <x:v>0</x:v>
      </x:c>
      <x:c r="DG30" s="117" t="n">
        <x:f>$B$30*DG13</x:f>
        <x:v>0</x:v>
      </x:c>
      <x:c r="DH30" s="117" t="n">
        <x:f>$B$30*DH13</x:f>
        <x:v>0</x:v>
      </x:c>
      <x:c r="DI30" s="117" t="n">
        <x:f>$B$30*DI13</x:f>
        <x:v>0</x:v>
      </x:c>
      <x:c r="DJ30" s="117" t="n">
        <x:f>$B$30*DJ13</x:f>
        <x:v>0</x:v>
      </x:c>
      <x:c r="DK30" s="117" t="n">
        <x:f>$B$30*DK13</x:f>
        <x:v>0</x:v>
      </x:c>
      <x:c r="DL30" s="117" t="n">
        <x:f>$B$30*DL13</x:f>
        <x:v>0</x:v>
      </x:c>
      <x:c r="DM30" s="117" t="n">
        <x:f>$B$30*DM13</x:f>
        <x:v>0</x:v>
      </x:c>
      <x:c r="DN30" s="117" t="n">
        <x:f>$B$30*DN13</x:f>
        <x:v>0</x:v>
      </x:c>
      <x:c r="DO30" s="117" t="n">
        <x:f>$B$30*DO13</x:f>
        <x:v>0</x:v>
      </x:c>
      <x:c r="DP30" s="117" t="n">
        <x:f>$B$30*DP13</x:f>
        <x:v>0</x:v>
      </x:c>
      <x:c r="DQ30" s="117" t="n">
        <x:f>$B$30*DQ13</x:f>
        <x:v>0</x:v>
      </x:c>
      <x:c r="DR30" s="117" t="n">
        <x:f>$B$30*DR13</x:f>
        <x:v>0</x:v>
      </x:c>
      <x:c r="DS30" s="117" t="n">
        <x:f>$B$30*DS13</x:f>
        <x:v>0</x:v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  <x:v>580.668</x:v>
      </x:c>
      <x:c r="C31" t="str">
        <x:v>млн ₽</x:v>
      </x:c>
      <x:c r="D31" s="117" t="n">
        <x:f>IF(AND(YEAR(D$3)=YEAR('Вводные'!$B$18),MONTH(D$3)=MONTH('Вводные'!$B$18)),$B$31,0)</x:f>
        <x:v>0</x:v>
      </x:c>
      <x:c r="E31" s="117" t="n">
        <x:f>IF(AND(YEAR(E$3)=YEAR('Вводные'!$B$18),MONTH(E$3)=MONTH('Вводные'!$B$18)),$B$31,0)</x:f>
        <x:v>0</x:v>
      </x:c>
      <x:c r="F31" s="117" t="n">
        <x:f>IF(AND(YEAR(F$3)=YEAR('Вводные'!$B$18),MONTH(F$3)=MONTH('Вводные'!$B$18)),$B$31,0)</x:f>
        <x:v>0</x:v>
      </x:c>
      <x:c r="G31" s="117" t="n">
        <x:f>IF(AND(YEAR(G$3)=YEAR('Вводные'!$B$18),MONTH(G$3)=MONTH('Вводные'!$B$18)),$B$31,0)</x:f>
        <x:v>0</x:v>
      </x:c>
      <x:c r="H31" s="117" t="n">
        <x:f>IF(AND(YEAR(H$3)=YEAR('Вводные'!$B$18),MONTH(H$3)=MONTH('Вводные'!$B$18)),$B$31,0)</x:f>
        <x:v>0</x:v>
      </x:c>
      <x:c r="I31" s="117" t="n">
        <x:f>IF(AND(YEAR(I$3)=YEAR('Вводные'!$B$18),MONTH(I$3)=MONTH('Вводные'!$B$18)),$B$31,0)</x:f>
        <x:v>0</x:v>
      </x:c>
      <x:c r="J31" s="117" t="n">
        <x:f>IF(AND(YEAR(J$3)=YEAR('Вводные'!$B$18),MONTH(J$3)=MONTH('Вводные'!$B$18)),$B$31,0)</x:f>
        <x:v>0</x:v>
      </x:c>
      <x:c r="K31" s="117" t="n">
        <x:f>IF(AND(YEAR(K$3)=YEAR('Вводные'!$B$18),MONTH(K$3)=MONTH('Вводные'!$B$18)),$B$31,0)</x:f>
        <x:v>0</x:v>
      </x:c>
      <x:c r="L31" s="117" t="n">
        <x:f>IF(AND(YEAR(L$3)=YEAR('Вводные'!$B$18),MONTH(L$3)=MONTH('Вводные'!$B$18)),$B$31,0)</x:f>
        <x:v>0</x:v>
      </x:c>
      <x:c r="M31" s="117" t="n">
        <x:f>IF(AND(YEAR(M$3)=YEAR('Вводные'!$B$18),MONTH(M$3)=MONTH('Вводные'!$B$18)),$B$31,0)</x:f>
        <x:v>0</x:v>
      </x:c>
      <x:c r="N31" s="117" t="n">
        <x:f>IF(AND(YEAR(N$3)=YEAR('Вводные'!$B$18),MONTH(N$3)=MONTH('Вводные'!$B$18)),$B$31,0)</x:f>
        <x:v>0</x:v>
      </x:c>
      <x:c r="O31" s="117" t="n">
        <x:f>IF(AND(YEAR(O$3)=YEAR('Вводные'!$B$18),MONTH(O$3)=MONTH('Вводные'!$B$18)),$B$31,0)</x:f>
        <x:v>0</x:v>
      </x:c>
      <x:c r="P31" s="117" t="n">
        <x:f>IF(AND(YEAR(P$3)=YEAR('Вводные'!$B$18),MONTH(P$3)=MONTH('Вводные'!$B$18)),$B$31,0)</x:f>
        <x:v>0</x:v>
      </x:c>
      <x:c r="Q31" s="117" t="n">
        <x:f>IF(AND(YEAR(Q$3)=YEAR('Вводные'!$B$18),MONTH(Q$3)=MONTH('Вводные'!$B$18)),$B$31,0)</x:f>
        <x:v>0</x:v>
      </x:c>
      <x:c r="R31" s="117" t="n">
        <x:f>IF(AND(YEAR(R$3)=YEAR('Вводные'!$B$18),MONTH(R$3)=MONTH('Вводные'!$B$18)),$B$31,0)</x:f>
        <x:v>0</x:v>
      </x:c>
      <x:c r="S31" s="117" t="n">
        <x:f>IF(AND(YEAR(S$3)=YEAR('Вводные'!$B$18),MONTH(S$3)=MONTH('Вводные'!$B$18)),$B$31,0)</x:f>
        <x:v>0</x:v>
      </x:c>
      <x:c r="T31" s="117" t="n">
        <x:f>IF(AND(YEAR(T$3)=YEAR('Вводные'!$B$18),MONTH(T$3)=MONTH('Вводные'!$B$18)),$B$31,0)</x:f>
        <x:v>0</x:v>
      </x:c>
      <x:c r="U31" s="117" t="n">
        <x:f>IF(AND(YEAR(U$3)=YEAR('Вводные'!$B$18),MONTH(U$3)=MONTH('Вводные'!$B$18)),$B$31,0)</x:f>
        <x:v>580.668</x:v>
      </x:c>
      <x:c r="V31" s="117" t="n">
        <x:f>IF(AND(YEAR(V$3)=YEAR('Вводные'!$B$18),MONTH(V$3)=MONTH('Вводные'!$B$18)),$B$31,0)</x:f>
        <x:v>0</x:v>
      </x:c>
      <x:c r="W31" s="117" t="n">
        <x:f>IF(AND(YEAR(W$3)=YEAR('Вводные'!$B$18),MONTH(W$3)=MONTH('Вводные'!$B$18)),$B$31,0)</x:f>
        <x:v>0</x:v>
      </x:c>
      <x:c r="X31" s="117" t="n">
        <x:f>IF(AND(YEAR(X$3)=YEAR('Вводные'!$B$18),MONTH(X$3)=MONTH('Вводные'!$B$18)),$B$31,0)</x:f>
        <x:v>0</x:v>
      </x:c>
      <x:c r="Y31" s="117" t="n">
        <x:f>IF(AND(YEAR(Y$3)=YEAR('Вводные'!$B$18),MONTH(Y$3)=MONTH('Вводные'!$B$18)),$B$31,0)</x:f>
        <x:v>0</x:v>
      </x:c>
      <x:c r="Z31" s="117" t="n">
        <x:f>IF(AND(YEAR(Z$3)=YEAR('Вводные'!$B$18),MONTH(Z$3)=MONTH('Вводные'!$B$18)),$B$31,0)</x:f>
        <x:v>0</x:v>
      </x:c>
      <x:c r="AA31" s="117" t="n">
        <x:f>IF(AND(YEAR(AA$3)=YEAR('Вводные'!$B$18),MONTH(AA$3)=MONTH('Вводные'!$B$18)),$B$31,0)</x:f>
        <x:v>0</x:v>
      </x:c>
      <x:c r="AB31" s="117" t="n">
        <x:f>IF(AND(YEAR(AB$3)=YEAR('Вводные'!$B$18),MONTH(AB$3)=MONTH('Вводные'!$B$18)),$B$31,0)</x:f>
        <x:v>0</x:v>
      </x:c>
      <x:c r="AC31" s="117" t="n">
        <x:f>IF(AND(YEAR(AC$3)=YEAR('Вводные'!$B$18),MONTH(AC$3)=MONTH('Вводные'!$B$18)),$B$31,0)</x:f>
        <x:v>0</x:v>
      </x:c>
      <x:c r="AD31" s="117" t="n">
        <x:f>IF(AND(YEAR(AD$3)=YEAR('Вводные'!$B$18),MONTH(AD$3)=MONTH('Вводные'!$B$18)),$B$31,0)</x:f>
        <x:v>0</x:v>
      </x:c>
      <x:c r="AE31" s="117" t="n">
        <x:f>IF(AND(YEAR(AE$3)=YEAR('Вводные'!$B$18),MONTH(AE$3)=MONTH('Вводные'!$B$18)),$B$31,0)</x:f>
        <x:v>0</x:v>
      </x:c>
      <x:c r="AF31" s="117" t="n">
        <x:f>IF(AND(YEAR(AF$3)=YEAR('Вводные'!$B$18),MONTH(AF$3)=MONTH('Вводные'!$B$18)),$B$31,0)</x:f>
        <x:v>0</x:v>
      </x:c>
      <x:c r="AG31" s="117" t="n">
        <x:f>IF(AND(YEAR(AG$3)=YEAR('Вводные'!$B$18),MONTH(AG$3)=MONTH('Вводные'!$B$18)),$B$31,0)</x:f>
        <x:v>0</x:v>
      </x:c>
      <x:c r="AH31" s="117" t="n">
        <x:f>IF(AND(YEAR(AH$3)=YEAR('Вводные'!$B$18),MONTH(AH$3)=MONTH('Вводные'!$B$18)),$B$31,0)</x:f>
        <x:v>0</x:v>
      </x:c>
      <x:c r="AI31" s="117" t="n">
        <x:f>IF(AND(YEAR(AI$3)=YEAR('Вводные'!$B$18),MONTH(AI$3)=MONTH('Вводные'!$B$18)),$B$31,0)</x:f>
        <x:v>0</x:v>
      </x:c>
      <x:c r="AJ31" s="117" t="n">
        <x:f>IF(AND(YEAR(AJ$3)=YEAR('Вводные'!$B$18),MONTH(AJ$3)=MONTH('Вводные'!$B$18)),$B$31,0)</x:f>
        <x:v>0</x:v>
      </x:c>
      <x:c r="AK31" s="117" t="n">
        <x:f>IF(AND(YEAR(AK$3)=YEAR('Вводные'!$B$18),MONTH(AK$3)=MONTH('Вводные'!$B$18)),$B$31,0)</x:f>
        <x:v>0</x:v>
      </x:c>
      <x:c r="AL31" s="117" t="n">
        <x:f>IF(AND(YEAR(AL$3)=YEAR('Вводные'!$B$18),MONTH(AL$3)=MONTH('Вводные'!$B$18)),$B$31,0)</x:f>
        <x:v>0</x:v>
      </x:c>
      <x:c r="AM31" s="117" t="n">
        <x:f>IF(AND(YEAR(AM$3)=YEAR('Вводные'!$B$18),MONTH(AM$3)=MONTH('Вводные'!$B$18)),$B$31,0)</x:f>
        <x:v>0</x:v>
      </x:c>
      <x:c r="AN31" s="117" t="n">
        <x:f>IF(AND(YEAR(AN$3)=YEAR('Вводные'!$B$18),MONTH(AN$3)=MONTH('Вводные'!$B$18)),$B$31,0)</x:f>
        <x:v>0</x:v>
      </x:c>
      <x:c r="AO31" s="117" t="n">
        <x:f>IF(AND(YEAR(AO$3)=YEAR('Вводные'!$B$18),MONTH(AO$3)=MONTH('Вводные'!$B$18)),$B$31,0)</x:f>
        <x:v>0</x:v>
      </x:c>
      <x:c r="AP31" s="117" t="n">
        <x:f>IF(AND(YEAR(AP$3)=YEAR('Вводные'!$B$18),MONTH(AP$3)=MONTH('Вводные'!$B$18)),$B$31,0)</x:f>
        <x:v>0</x:v>
      </x:c>
      <x:c r="AQ31" s="117" t="n">
        <x:f>IF(AND(YEAR(AQ$3)=YEAR('Вводные'!$B$18),MONTH(AQ$3)=MONTH('Вводные'!$B$18)),$B$31,0)</x:f>
        <x:v>0</x:v>
      </x:c>
      <x:c r="AR31" s="117" t="n">
        <x:f>IF(AND(YEAR(AR$3)=YEAR('Вводные'!$B$18),MONTH(AR$3)=MONTH('Вводные'!$B$18)),$B$31,0)</x:f>
        <x:v>0</x:v>
      </x:c>
      <x:c r="AS31" s="117" t="n">
        <x:f>IF(AND(YEAR(AS$3)=YEAR('Вводные'!$B$18),MONTH(AS$3)=MONTH('Вводные'!$B$18)),$B$31,0)</x:f>
        <x:v>0</x:v>
      </x:c>
      <x:c r="AT31" s="117" t="n">
        <x:f>IF(AND(YEAR(AT$3)=YEAR('Вводные'!$B$18),MONTH(AT$3)=MONTH('Вводные'!$B$18)),$B$31,0)</x:f>
        <x:v>0</x:v>
      </x:c>
      <x:c r="AU31" s="117" t="n">
        <x:f>IF(AND(YEAR(AU$3)=YEAR('Вводные'!$B$18),MONTH(AU$3)=MONTH('Вводные'!$B$18)),$B$31,0)</x:f>
        <x:v>0</x:v>
      </x:c>
      <x:c r="AV31" s="117" t="n">
        <x:f>IF(AND(YEAR(AV$3)=YEAR('Вводные'!$B$18),MONTH(AV$3)=MONTH('Вводные'!$B$18)),$B$31,0)</x:f>
        <x:v>0</x:v>
      </x:c>
      <x:c r="AW31" s="117" t="n">
        <x:f>IF(AND(YEAR(AW$3)=YEAR('Вводные'!$B$18),MONTH(AW$3)=MONTH('Вводные'!$B$18)),$B$31,0)</x:f>
        <x:v>0</x:v>
      </x:c>
      <x:c r="AX31" s="117" t="n">
        <x:f>IF(AND(YEAR(AX$3)=YEAR('Вводные'!$B$18),MONTH(AX$3)=MONTH('Вводные'!$B$18)),$B$31,0)</x:f>
        <x:v>0</x:v>
      </x:c>
      <x:c r="AY31" s="117" t="n">
        <x:f>IF(AND(YEAR(AY$3)=YEAR('Вводные'!$B$18),MONTH(AY$3)=MONTH('Вводные'!$B$18)),$B$31,0)</x:f>
        <x:v>0</x:v>
      </x:c>
      <x:c r="AZ31" s="117" t="n">
        <x:f>IF(AND(YEAR(AZ$3)=YEAR('Вводные'!$B$18),MONTH(AZ$3)=MONTH('Вводные'!$B$18)),$B$31,0)</x:f>
        <x:v>0</x:v>
      </x:c>
      <x:c r="BA31" s="117" t="n">
        <x:f>IF(AND(YEAR(BA$3)=YEAR('Вводные'!$B$18),MONTH(BA$3)=MONTH('Вводные'!$B$18)),$B$31,0)</x:f>
        <x:v>0</x:v>
      </x:c>
      <x:c r="BB31" s="117" t="n">
        <x:f>IF(AND(YEAR(BB$3)=YEAR('Вводные'!$B$18),MONTH(BB$3)=MONTH('Вводные'!$B$18)),$B$31,0)</x:f>
        <x:v>0</x:v>
      </x:c>
      <x:c r="BC31" s="117" t="n">
        <x:f>IF(AND(YEAR(BC$3)=YEAR('Вводные'!$B$18),MONTH(BC$3)=MONTH('Вводные'!$B$18)),$B$31,0)</x:f>
        <x:v>0</x:v>
      </x:c>
      <x:c r="BD31" s="117" t="n">
        <x:f>IF(AND(YEAR(BD$3)=YEAR('Вводные'!$B$18),MONTH(BD$3)=MONTH('Вводные'!$B$18)),$B$31,0)</x:f>
        <x:v>0</x:v>
      </x:c>
      <x:c r="BE31" s="117" t="n">
        <x:f>IF(AND(YEAR(BE$3)=YEAR('Вводные'!$B$18),MONTH(BE$3)=MONTH('Вводные'!$B$18)),$B$31,0)</x:f>
        <x:v>0</x:v>
      </x:c>
      <x:c r="BF31" s="117" t="n">
        <x:f>IF(AND(YEAR(BF$3)=YEAR('Вводные'!$B$18),MONTH(BF$3)=MONTH('Вводные'!$B$18)),$B$31,0)</x:f>
        <x:v>0</x:v>
      </x:c>
      <x:c r="BG31" s="117" t="n">
        <x:f>IF(AND(YEAR(BG$3)=YEAR('Вводные'!$B$18),MONTH(BG$3)=MONTH('Вводные'!$B$18)),$B$31,0)</x:f>
        <x:v>0</x:v>
      </x:c>
      <x:c r="BH31" s="117" t="n">
        <x:f>IF(AND(YEAR(BH$3)=YEAR('Вводные'!$B$18),MONTH(BH$3)=MONTH('Вводные'!$B$18)),$B$31,0)</x:f>
        <x:v>0</x:v>
      </x:c>
      <x:c r="BI31" s="117" t="n">
        <x:f>IF(AND(YEAR(BI$3)=YEAR('Вводные'!$B$18),MONTH(BI$3)=MONTH('Вводные'!$B$18)),$B$31,0)</x:f>
        <x:v>0</x:v>
      </x:c>
      <x:c r="BJ31" s="117" t="n">
        <x:f>IF(AND(YEAR(BJ$3)=YEAR('Вводные'!$B$18),MONTH(BJ$3)=MONTH('Вводные'!$B$18)),$B$31,0)</x:f>
        <x:v>0</x:v>
      </x:c>
      <x:c r="BK31" s="117" t="n">
        <x:f>IF(AND(YEAR(BK$3)=YEAR('Вводные'!$B$18),MONTH(BK$3)=MONTH('Вводные'!$B$18)),$B$31,0)</x:f>
        <x:v>0</x:v>
      </x:c>
      <x:c r="BL31" s="117" t="n">
        <x:f>IF(AND(YEAR(BL$3)=YEAR('Вводные'!$B$18),MONTH(BL$3)=MONTH('Вводные'!$B$18)),$B$31,0)</x:f>
        <x:v>0</x:v>
      </x:c>
      <x:c r="BM31" s="117" t="n">
        <x:f>IF(AND(YEAR(BM$3)=YEAR('Вводные'!$B$18),MONTH(BM$3)=MONTH('Вводные'!$B$18)),$B$31,0)</x:f>
        <x:v>0</x:v>
      </x:c>
      <x:c r="BN31" s="117" t="n">
        <x:f>IF(AND(YEAR(BN$3)=YEAR('Вводные'!$B$18),MONTH(BN$3)=MONTH('Вводные'!$B$18)),$B$31,0)</x:f>
        <x:v>0</x:v>
      </x:c>
      <x:c r="BO31" s="117" t="n">
        <x:f>IF(AND(YEAR(BO$3)=YEAR('Вводные'!$B$18),MONTH(BO$3)=MONTH('Вводные'!$B$18)),$B$31,0)</x:f>
        <x:v>0</x:v>
      </x:c>
      <x:c r="BP31" s="117" t="n">
        <x:f>IF(AND(YEAR(BP$3)=YEAR('Вводные'!$B$18),MONTH(BP$3)=MONTH('Вводные'!$B$18)),$B$31,0)</x:f>
        <x:v>0</x:v>
      </x:c>
      <x:c r="BQ31" s="117" t="n">
        <x:f>IF(AND(YEAR(BQ$3)=YEAR('Вводные'!$B$18),MONTH(BQ$3)=MONTH('Вводные'!$B$18)),$B$31,0)</x:f>
        <x:v>0</x:v>
      </x:c>
      <x:c r="BR31" s="117" t="n">
        <x:f>IF(AND(YEAR(BR$3)=YEAR('Вводные'!$B$18),MONTH(BR$3)=MONTH('Вводные'!$B$18)),$B$31,0)</x:f>
        <x:v>0</x:v>
      </x:c>
      <x:c r="BS31" s="117" t="n">
        <x:f>IF(AND(YEAR(BS$3)=YEAR('Вводные'!$B$18),MONTH(BS$3)=MONTH('Вводные'!$B$18)),$B$31,0)</x:f>
        <x:v>0</x:v>
      </x:c>
      <x:c r="BT31" s="117" t="n">
        <x:f>IF(AND(YEAR(BT$3)=YEAR('Вводные'!$B$18),MONTH(BT$3)=MONTH('Вводные'!$B$18)),$B$31,0)</x:f>
        <x:v>0</x:v>
      </x:c>
      <x:c r="BU31" s="117" t="n">
        <x:f>IF(AND(YEAR(BU$3)=YEAR('Вводные'!$B$18),MONTH(BU$3)=MONTH('Вводные'!$B$18)),$B$31,0)</x:f>
        <x:v>0</x:v>
      </x:c>
      <x:c r="BV31" s="117" t="n">
        <x:f>IF(AND(YEAR(BV$3)=YEAR('Вводные'!$B$18),MONTH(BV$3)=MONTH('Вводные'!$B$18)),$B$31,0)</x:f>
        <x:v>0</x:v>
      </x:c>
      <x:c r="BW31" s="117" t="n">
        <x:f>IF(AND(YEAR(BW$3)=YEAR('Вводные'!$B$18),MONTH(BW$3)=MONTH('Вводные'!$B$18)),$B$31,0)</x:f>
        <x:v>0</x:v>
      </x:c>
      <x:c r="BX31" s="117" t="n">
        <x:f>IF(AND(YEAR(BX$3)=YEAR('Вводные'!$B$18),MONTH(BX$3)=MONTH('Вводные'!$B$18)),$B$31,0)</x:f>
        <x:v>0</x:v>
      </x:c>
      <x:c r="BY31" s="117" t="n">
        <x:f>IF(AND(YEAR(BY$3)=YEAR('Вводные'!$B$18),MONTH(BY$3)=MONTH('Вводные'!$B$18)),$B$31,0)</x:f>
        <x:v>0</x:v>
      </x:c>
      <x:c r="BZ31" s="117" t="n">
        <x:f>IF(AND(YEAR(BZ$3)=YEAR('Вводные'!$B$18),MONTH(BZ$3)=MONTH('Вводные'!$B$18)),$B$31,0)</x:f>
        <x:v>0</x:v>
      </x:c>
      <x:c r="CA31" s="117" t="n">
        <x:f>IF(AND(YEAR(CA$3)=YEAR('Вводные'!$B$18),MONTH(CA$3)=MONTH('Вводные'!$B$18)),$B$31,0)</x:f>
        <x:v>0</x:v>
      </x:c>
      <x:c r="CB31" s="117" t="n">
        <x:f>IF(AND(YEAR(CB$3)=YEAR('Вводные'!$B$18),MONTH(CB$3)=MONTH('Вводные'!$B$18)),$B$31,0)</x:f>
        <x:v>0</x:v>
      </x:c>
      <x:c r="CC31" s="117" t="n">
        <x:f>IF(AND(YEAR(CC$3)=YEAR('Вводные'!$B$18),MONTH(CC$3)=MONTH('Вводные'!$B$18)),$B$31,0)</x:f>
        <x:v>0</x:v>
      </x:c>
      <x:c r="CD31" s="117" t="n">
        <x:f>IF(AND(YEAR(CD$3)=YEAR('Вводные'!$B$18),MONTH(CD$3)=MONTH('Вводные'!$B$18)),$B$31,0)</x:f>
        <x:v>0</x:v>
      </x:c>
      <x:c r="CE31" s="117" t="n">
        <x:f>IF(AND(YEAR(CE$3)=YEAR('Вводные'!$B$18),MONTH(CE$3)=MONTH('Вводные'!$B$18)),$B$31,0)</x:f>
        <x:v>0</x:v>
      </x:c>
      <x:c r="CF31" s="117" t="n">
        <x:f>IF(AND(YEAR(CF$3)=YEAR('Вводные'!$B$18),MONTH(CF$3)=MONTH('Вводные'!$B$18)),$B$31,0)</x:f>
        <x:v>0</x:v>
      </x:c>
      <x:c r="CG31" s="117" t="n">
        <x:f>IF(AND(YEAR(CG$3)=YEAR('Вводные'!$B$18),MONTH(CG$3)=MONTH('Вводные'!$B$18)),$B$31,0)</x:f>
        <x:v>0</x:v>
      </x:c>
      <x:c r="CH31" s="117" t="n">
        <x:f>IF(AND(YEAR(CH$3)=YEAR('Вводные'!$B$18),MONTH(CH$3)=MONTH('Вводные'!$B$18)),$B$31,0)</x:f>
        <x:v>0</x:v>
      </x:c>
      <x:c r="CI31" s="117" t="n">
        <x:f>IF(AND(YEAR(CI$3)=YEAR('Вводные'!$B$18),MONTH(CI$3)=MONTH('Вводные'!$B$18)),$B$31,0)</x:f>
        <x:v>0</x:v>
      </x:c>
      <x:c r="CJ31" s="117" t="n">
        <x:f>IF(AND(YEAR(CJ$3)=YEAR('Вводные'!$B$18),MONTH(CJ$3)=MONTH('Вводные'!$B$18)),$B$31,0)</x:f>
        <x:v>0</x:v>
      </x:c>
      <x:c r="CK31" s="117" t="n">
        <x:f>IF(AND(YEAR(CK$3)=YEAR('Вводные'!$B$18),MONTH(CK$3)=MONTH('Вводные'!$B$18)),$B$31,0)</x:f>
        <x:v>0</x:v>
      </x:c>
      <x:c r="CL31" s="117" t="n">
        <x:f>IF(AND(YEAR(CL$3)=YEAR('Вводные'!$B$18),MONTH(CL$3)=MONTH('Вводные'!$B$18)),$B$31,0)</x:f>
        <x:v>0</x:v>
      </x:c>
      <x:c r="CM31" s="117" t="n">
        <x:f>IF(AND(YEAR(CM$3)=YEAR('Вводные'!$B$18),MONTH(CM$3)=MONTH('Вводные'!$B$18)),$B$31,0)</x:f>
        <x:v>0</x:v>
      </x:c>
      <x:c r="CN31" s="117" t="n">
        <x:f>IF(AND(YEAR(CN$3)=YEAR('Вводные'!$B$18),MONTH(CN$3)=MONTH('Вводные'!$B$18)),$B$31,0)</x:f>
        <x:v>0</x:v>
      </x:c>
      <x:c r="CO31" s="117" t="n">
        <x:f>IF(AND(YEAR(CO$3)=YEAR('Вводные'!$B$18),MONTH(CO$3)=MONTH('Вводные'!$B$18)),$B$31,0)</x:f>
        <x:v>0</x:v>
      </x:c>
      <x:c r="CP31" s="117" t="n">
        <x:f>IF(AND(YEAR(CP$3)=YEAR('Вводные'!$B$18),MONTH(CP$3)=MONTH('Вводные'!$B$18)),$B$31,0)</x:f>
        <x:v>0</x:v>
      </x:c>
      <x:c r="CQ31" s="117" t="n">
        <x:f>IF(AND(YEAR(CQ$3)=YEAR('Вводные'!$B$18),MONTH(CQ$3)=MONTH('Вводные'!$B$18)),$B$31,0)</x:f>
        <x:v>0</x:v>
      </x:c>
      <x:c r="CR31" s="117" t="n">
        <x:f>IF(AND(YEAR(CR$3)=YEAR('Вводные'!$B$18),MONTH(CR$3)=MONTH('Вводные'!$B$18)),$B$31,0)</x:f>
        <x:v>0</x:v>
      </x:c>
      <x:c r="CS31" s="117" t="n">
        <x:f>IF(AND(YEAR(CS$3)=YEAR('Вводные'!$B$18),MONTH(CS$3)=MONTH('Вводные'!$B$18)),$B$31,0)</x:f>
        <x:v>0</x:v>
      </x:c>
      <x:c r="CT31" s="117" t="n">
        <x:f>IF(AND(YEAR(CT$3)=YEAR('Вводные'!$B$18),MONTH(CT$3)=MONTH('Вводные'!$B$18)),$B$31,0)</x:f>
        <x:v>0</x:v>
      </x:c>
      <x:c r="CU31" s="117" t="n">
        <x:f>IF(AND(YEAR(CU$3)=YEAR('Вводные'!$B$18),MONTH(CU$3)=MONTH('Вводные'!$B$18)),$B$31,0)</x:f>
        <x:v>0</x:v>
      </x:c>
      <x:c r="CV31" s="117" t="n">
        <x:f>IF(AND(YEAR(CV$3)=YEAR('Вводные'!$B$18),MONTH(CV$3)=MONTH('Вводные'!$B$18)),$B$31,0)</x:f>
        <x:v>0</x:v>
      </x:c>
      <x:c r="CW31" s="117" t="n">
        <x:f>IF(AND(YEAR(CW$3)=YEAR('Вводные'!$B$18),MONTH(CW$3)=MONTH('Вводные'!$B$18)),$B$31,0)</x:f>
        <x:v>0</x:v>
      </x:c>
      <x:c r="CX31" s="117" t="n">
        <x:f>IF(AND(YEAR(CX$3)=YEAR('Вводные'!$B$18),MONTH(CX$3)=MONTH('Вводные'!$B$18)),$B$31,0)</x:f>
        <x:v>0</x:v>
      </x:c>
      <x:c r="CY31" s="117" t="n">
        <x:f>IF(AND(YEAR(CY$3)=YEAR('Вводные'!$B$18),MONTH(CY$3)=MONTH('Вводные'!$B$18)),$B$31,0)</x:f>
        <x:v>0</x:v>
      </x:c>
      <x:c r="CZ31" s="117" t="n">
        <x:f>IF(AND(YEAR(CZ$3)=YEAR('Вводные'!$B$18),MONTH(CZ$3)=MONTH('Вводные'!$B$18)),$B$31,0)</x:f>
        <x:v>0</x:v>
      </x:c>
      <x:c r="DA31" s="117" t="n">
        <x:f>IF(AND(YEAR(DA$3)=YEAR('Вводные'!$B$18),MONTH(DA$3)=MONTH('Вводные'!$B$18)),$B$31,0)</x:f>
        <x:v>0</x:v>
      </x:c>
      <x:c r="DB31" s="117" t="n">
        <x:f>IF(AND(YEAR(DB$3)=YEAR('Вводные'!$B$18),MONTH(DB$3)=MONTH('Вводные'!$B$18)),$B$31,0)</x:f>
        <x:v>0</x:v>
      </x:c>
      <x:c r="DC31" s="117" t="n">
        <x:f>IF(AND(YEAR(DC$3)=YEAR('Вводные'!$B$18),MONTH(DC$3)=MONTH('Вводные'!$B$18)),$B$31,0)</x:f>
        <x:v>0</x:v>
      </x:c>
      <x:c r="DD31" s="117" t="n">
        <x:f>IF(AND(YEAR(DD$3)=YEAR('Вводные'!$B$18),MONTH(DD$3)=MONTH('Вводные'!$B$18)),$B$31,0)</x:f>
        <x:v>0</x:v>
      </x:c>
      <x:c r="DE31" s="117" t="n">
        <x:f>IF(AND(YEAR(DE$3)=YEAR('Вводные'!$B$18),MONTH(DE$3)=MONTH('Вводные'!$B$18)),$B$31,0)</x:f>
        <x:v>0</x:v>
      </x:c>
      <x:c r="DF31" s="117" t="n">
        <x:f>IF(AND(YEAR(DF$3)=YEAR('Вводные'!$B$18),MONTH(DF$3)=MONTH('Вводные'!$B$18)),$B$31,0)</x:f>
        <x:v>0</x:v>
      </x:c>
      <x:c r="DG31" s="117" t="n">
        <x:f>IF(AND(YEAR(DG$3)=YEAR('Вводные'!$B$18),MONTH(DG$3)=MONTH('Вводные'!$B$18)),$B$31,0)</x:f>
        <x:v>0</x:v>
      </x:c>
      <x:c r="DH31" s="117" t="n">
        <x:f>IF(AND(YEAR(DH$3)=YEAR('Вводные'!$B$18),MONTH(DH$3)=MONTH('Вводные'!$B$18)),$B$31,0)</x:f>
        <x:v>0</x:v>
      </x:c>
      <x:c r="DI31" s="117" t="n">
        <x:f>IF(AND(YEAR(DI$3)=YEAR('Вводные'!$B$18),MONTH(DI$3)=MONTH('Вводные'!$B$18)),$B$31,0)</x:f>
        <x:v>0</x:v>
      </x:c>
      <x:c r="DJ31" s="117" t="n">
        <x:f>IF(AND(YEAR(DJ$3)=YEAR('Вводные'!$B$18),MONTH(DJ$3)=MONTH('Вводные'!$B$18)),$B$31,0)</x:f>
        <x:v>0</x:v>
      </x:c>
      <x:c r="DK31" s="117" t="n">
        <x:f>IF(AND(YEAR(DK$3)=YEAR('Вводные'!$B$18),MONTH(DK$3)=MONTH('Вводные'!$B$18)),$B$31,0)</x:f>
        <x:v>0</x:v>
      </x:c>
      <x:c r="DL31" s="117" t="n">
        <x:f>IF(AND(YEAR(DL$3)=YEAR('Вводные'!$B$18),MONTH(DL$3)=MONTH('Вводные'!$B$18)),$B$31,0)</x:f>
        <x:v>0</x:v>
      </x:c>
      <x:c r="DM31" s="117" t="n">
        <x:f>IF(AND(YEAR(DM$3)=YEAR('Вводные'!$B$18),MONTH(DM$3)=MONTH('Вводные'!$B$18)),$B$31,0)</x:f>
        <x:v>0</x:v>
      </x:c>
      <x:c r="DN31" s="117" t="n">
        <x:f>IF(AND(YEAR(DN$3)=YEAR('Вводные'!$B$18),MONTH(DN$3)=MONTH('Вводные'!$B$18)),$B$31,0)</x:f>
        <x:v>0</x:v>
      </x:c>
      <x:c r="DO31" s="117" t="n">
        <x:f>IF(AND(YEAR(DO$3)=YEAR('Вводные'!$B$18),MONTH(DO$3)=MONTH('Вводные'!$B$18)),$B$31,0)</x:f>
        <x:v>0</x:v>
      </x:c>
      <x:c r="DP31" s="117" t="n">
        <x:f>IF(AND(YEAR(DP$3)=YEAR('Вводные'!$B$18),MONTH(DP$3)=MONTH('Вводные'!$B$18)),$B$31,0)</x:f>
        <x:v>0</x:v>
      </x:c>
      <x:c r="DQ31" s="117" t="n">
        <x:f>IF(AND(YEAR(DQ$3)=YEAR('Вводные'!$B$18),MONTH(DQ$3)=MONTH('Вводные'!$B$18)),$B$31,0)</x:f>
        <x:v>0</x:v>
      </x:c>
      <x:c r="DR31" s="117" t="n">
        <x:f>IF(AND(YEAR(DR$3)=YEAR('Вводные'!$B$18),MONTH(DR$3)=MONTH('Вводные'!$B$18)),$B$31,0)</x:f>
        <x:v>0</x:v>
      </x:c>
      <x:c r="DS31" s="117" t="n">
        <x:f>IF(AND(YEAR(DS$3)=YEAR('Вводные'!$B$18),MONTH(DS$3)=MONTH('Вводные'!$B$18)),$B$31,0)</x:f>
        <x:v>0</x:v>
      </x:c>
    </x:row>
    <x:row r="32">
      <x:c r="A32" s="113" t="str">
        <x:v>CAPEX ВСЕГО</x:v>
      </x:c>
      <x:c r="B32" s="113" t="n">
        <x:f>SUM(D32:DS32)</x:f>
        <x:v>9387.564534250003</x:v>
      </x:c>
      <x:c r="C32" s="113" t="str">
        <x:v>млн ₽</x:v>
      </x:c>
      <x:c r="D32" s="120" t="n">
        <x:f>SUM(D14:D31)+'ОБЪЕКТЫ'!D96</x:f>
        <x:v>707.9807307539683</x:v>
      </x:c>
      <x:c r="E32" s="120" t="n">
        <x:f>SUM(E14:E31)+'ОБЪЕКТЫ'!E96</x:f>
        <x:v>7.980730753968252</x:v>
      </x:c>
      <x:c r="F32" s="120" t="n">
        <x:f>SUM(F14:F31)+'ОБЪЕКТЫ'!F96</x:f>
        <x:v>7.980730753968252</x:v>
      </x:c>
      <x:c r="G32" s="120" t="n">
        <x:f>SUM(G14:G31)+'ОБЪЕКТЫ'!G96</x:f>
        <x:v>7.980730753968252</x:v>
      </x:c>
      <x:c r="H32" s="120" t="n">
        <x:f>SUM(H14:H31)+'ОБЪЕКТЫ'!H96</x:f>
        <x:v>7.980730753968252</x:v>
      </x:c>
      <x:c r="I32" s="120" t="n">
        <x:f>SUM(I14:I31)+'ОБЪЕКТЫ'!I96</x:f>
        <x:v>7.980730753968252</x:v>
      </x:c>
      <x:c r="J32" s="120" t="n">
        <x:f>SUM(J14:J31)+'ОБЪЕКТЫ'!J96</x:f>
        <x:v>7.980730753968252</x:v>
      </x:c>
      <x:c r="K32" s="120" t="n">
        <x:f>SUM(K14:K31)+'ОБЪЕКТЫ'!K96</x:f>
        <x:v>7.980730753968252</x:v>
      </x:c>
      <x:c r="L32" s="120" t="n">
        <x:f>SUM(L14:L31)+'ОБЪЕКТЫ'!L96</x:f>
        <x:v>7.980730753968252</x:v>
      </x:c>
      <x:c r="M32" s="120" t="n">
        <x:f>SUM(M14:M31)+'ОБЪЕКТЫ'!M96</x:f>
        <x:v>7.980730753968252</x:v>
      </x:c>
      <x:c r="N32" s="120" t="n">
        <x:f>SUM(N14:N31)+'ОБЪЕКТЫ'!N96</x:f>
        <x:v>7.980730753968252</x:v>
      </x:c>
      <x:c r="O32" s="120" t="n">
        <x:f>SUM(O14:O31)+'ОБЪЕКТЫ'!O96</x:f>
        <x:v>7.980730753968252</x:v>
      </x:c>
      <x:c r="P32" s="120" t="n">
        <x:f>SUM(P14:P31)+'ОБЪЕКТЫ'!P96</x:f>
        <x:v>33.94773075396826</x:v>
      </x:c>
      <x:c r="Q32" s="120" t="n">
        <x:f>SUM(Q14:Q31)+'ОБЪЕКТЫ'!Q96</x:f>
        <x:v>33.94773075396826</x:v>
      </x:c>
      <x:c r="R32" s="120" t="n">
        <x:f>SUM(R14:R31)+'ОБЪЕКТЫ'!R96</x:f>
        <x:v>33.94773075396826</x:v>
      </x:c>
      <x:c r="S32" s="120" t="n">
        <x:f>SUM(S14:S31)+'ОБЪЕКТЫ'!S96</x:f>
        <x:v>33.94773075396826</x:v>
      </x:c>
      <x:c r="T32" s="120" t="n">
        <x:f>SUM(T14:T31)+'ОБЪЕКТЫ'!T96</x:f>
        <x:v>33.94773075396826</x:v>
      </x:c>
      <x:c r="U32" s="120" t="n">
        <x:f>SUM(U14:U31)+'ОБЪЕКТЫ'!U96</x:f>
        <x:v>1882.1547307539681</x:v>
      </x:c>
      <x:c r="V32" s="120" t="n">
        <x:f>SUM(V14:V31)+'ОБЪЕКТЫ'!V96</x:f>
        <x:v>159.6656321653981</x:v>
      </x:c>
      <x:c r="W32" s="120" t="n">
        <x:f>SUM(W14:W31)+'ОБЪЕКТЫ'!W96</x:f>
        <x:v>159.6656321653981</x:v>
      </x:c>
      <x:c r="X32" s="120" t="n">
        <x:f>SUM(X14:X31)+'ОБЪЕКТЫ'!X96</x:f>
        <x:v>159.6656321653981</x:v>
      </x:c>
      <x:c r="Y32" s="120" t="n">
        <x:f>SUM(Y14:Y31)+'ОБЪЕКТЫ'!Y96</x:f>
        <x:v>159.6656321653981</x:v>
      </x:c>
      <x:c r="Z32" s="120" t="n">
        <x:f>SUM(Z14:Z31)+'ОБЪЕКТЫ'!Z96</x:f>
        <x:v>312.7931446879391</x:v>
      </x:c>
      <x:c r="AA32" s="120" t="n">
        <x:f>SUM(AA14:AA31)+'ОБЪЕКТЫ'!AA96</x:f>
        <x:v>312.7931446879391</x:v>
      </x:c>
      <x:c r="AB32" s="120" t="n">
        <x:f>SUM(AB14:AB31)+'ОБЪЕКТЫ'!AB96</x:f>
        <x:v>312.7931446879391</x:v>
      </x:c>
      <x:c r="AC32" s="120" t="n">
        <x:f>SUM(AC14:AC31)+'ОБЪЕКТЫ'!AC96</x:f>
        <x:v>312.7931446879391</x:v>
      </x:c>
      <x:c r="AD32" s="120" t="n">
        <x:f>SUM(AD14:AD31)+'ОБЪЕКТЫ'!AD96</x:f>
        <x:v>312.7931446879391</x:v>
      </x:c>
      <x:c r="AE32" s="120" t="n">
        <x:f>SUM(AE14:AE31)+'ОБЪЕКТЫ'!AE96</x:f>
        <x:v>312.7931446879391</x:v>
      </x:c>
      <x:c r="AF32" s="120" t="n">
        <x:f>SUM(AF14:AF31)+'ОБЪЕКТЫ'!AF96</x:f>
        <x:v>312.7931446879391</x:v>
      </x:c>
      <x:c r="AG32" s="120" t="n">
        <x:f>SUM(AG14:AG31)+'ОБЪЕКТЫ'!AG96</x:f>
        <x:v>312.7931446879391</x:v>
      </x:c>
      <x:c r="AH32" s="120" t="n">
        <x:f>SUM(AH14:AH31)+'ОБЪЕКТЫ'!AH96</x:f>
        <x:v>312.7931446879391</x:v>
      </x:c>
      <x:c r="AI32" s="120" t="n">
        <x:f>SUM(AI14:AI31)+'ОБЪЕКТЫ'!AI96</x:f>
        <x:v>312.7931446879391</x:v>
      </x:c>
      <x:c r="AJ32" s="120" t="n">
        <x:f>SUM(AJ14:AJ31)+'ОБЪЕКТЫ'!AJ96</x:f>
        <x:v>312.7931446879391</x:v>
      </x:c>
      <x:c r="AK32" s="120" t="n">
        <x:f>SUM(AK14:AK31)+'ОБЪЕКТЫ'!AK96</x:f>
        <x:v>312.7931446879391</x:v>
      </x:c>
      <x:c r="AL32" s="120" t="n">
        <x:f>SUM(AL14:AL31)+'ОБЪЕКТЫ'!AL96</x:f>
        <x:v>312.7931446879391</x:v>
      </x:c>
      <x:c r="AM32" s="120" t="n">
        <x:f>SUM(AM14:AM31)+'ОБЪЕКТЫ'!AM96</x:f>
        <x:v>312.7931446879391</x:v>
      </x:c>
      <x:c r="AN32" s="120" t="n">
        <x:f>SUM(AN14:AN31)+'ОБЪЕКТЫ'!AN96</x:f>
        <x:v>312.7931446879391</x:v>
      </x:c>
      <x:c r="AO32" s="120" t="n">
        <x:f>SUM(AO14:AO31)+'ОБЪЕКТЫ'!AO96</x:f>
        <x:v>210.70813633957846</x:v>
      </x:c>
      <x:c r="AP32" s="120" t="n">
        <x:f>SUM(AP14:AP31)+'ОБЪЕКТЫ'!AP96</x:f>
        <x:v>210.70813633957846</x:v>
      </x:c>
      <x:c r="AQ32" s="120" t="n">
        <x:f>SUM(AQ14:AQ31)+'ОБЪЕКТЫ'!AQ96</x:f>
        <x:v>262.6421363395785</x:v>
      </x:c>
      <x:c r="AR32" s="120" t="n">
        <x:f>SUM(AR14:AR31)+'ОБЪЕКТЫ'!AR96</x:f>
        <x:v>262.6421363395785</x:v>
      </x:c>
      <x:c r="AS32" s="120" t="n">
        <x:f>SUM(AS14:AS31)+'ОБЪЕКТЫ'!AS96</x:f>
        <x:v>262.6421363395785</x:v>
      </x:c>
      <x:c r="AT32" s="120" t="n">
        <x:f>SUM(AT14:AT31)+'ОБЪЕКТЫ'!AT96</x:f>
        <x:v>0</x:v>
      </x:c>
      <x:c r="AU32" s="120" t="n">
        <x:f>SUM(AU14:AU31)+'ОБЪЕКТЫ'!AU96</x:f>
        <x:v>0</x:v>
      </x:c>
      <x:c r="AV32" s="120" t="n">
        <x:f>SUM(AV14:AV31)+'ОБЪЕКТЫ'!AV96</x:f>
        <x:v>0</x:v>
      </x:c>
      <x:c r="AW32" s="120" t="n">
        <x:f>SUM(AW14:AW31)+'ОБЪЕКТЫ'!AW96</x:f>
        <x:v>0</x:v>
      </x:c>
      <x:c r="AX32" s="120" t="n">
        <x:f>SUM(AX14:AX31)+'ОБЪЕКТЫ'!AX96</x:f>
        <x:v>0</x:v>
      </x:c>
      <x:c r="AY32" s="120" t="n">
        <x:f>SUM(AY14:AY31)+'ОБЪЕКТЫ'!AY96</x:f>
        <x:v>0</x:v>
      </x:c>
      <x:c r="AZ32" s="120" t="n">
        <x:f>SUM(AZ14:AZ31)+'ОБЪЕКТЫ'!AZ96</x:f>
        <x:v>0</x:v>
      </x:c>
      <x:c r="BA32" s="120" t="n">
        <x:f>SUM(BA14:BA31)+'ОБЪЕКТЫ'!BA96</x:f>
        <x:v>0</x:v>
      </x:c>
      <x:c r="BB32" s="120" t="n">
        <x:f>SUM(BB14:BB31)+'ОБЪЕКТЫ'!BB96</x:f>
        <x:v>0</x:v>
      </x:c>
      <x:c r="BC32" s="120" t="n">
        <x:f>SUM(BC14:BC31)+'ОБЪЕКТЫ'!BC96</x:f>
        <x:v>0</x:v>
      </x:c>
      <x:c r="BD32" s="120" t="n">
        <x:f>SUM(BD14:BD31)+'ОБЪЕКТЫ'!BD96</x:f>
        <x:v>0</x:v>
      </x:c>
      <x:c r="BE32" s="120" t="n">
        <x:f>SUM(BE14:BE31)+'ОБЪЕКТЫ'!BE96</x:f>
        <x:v>0</x:v>
      </x:c>
      <x:c r="BF32" s="120" t="n">
        <x:f>SUM(BF14:BF31)+'ОБЪЕКТЫ'!BF96</x:f>
        <x:v>0</x:v>
      </x:c>
      <x:c r="BG32" s="120" t="n">
        <x:f>SUM(BG14:BG31)+'ОБЪЕКТЫ'!BG96</x:f>
        <x:v>0</x:v>
      </x:c>
      <x:c r="BH32" s="120" t="n">
        <x:f>SUM(BH14:BH31)+'ОБЪЕКТЫ'!BH96</x:f>
        <x:v>0</x:v>
      </x:c>
      <x:c r="BI32" s="120" t="n">
        <x:f>SUM(BI14:BI31)+'ОБЪЕКТЫ'!BI96</x:f>
        <x:v>0</x:v>
      </x:c>
      <x:c r="BJ32" s="120" t="n">
        <x:f>SUM(BJ14:BJ31)+'ОБЪЕКТЫ'!BJ96</x:f>
        <x:v>0</x:v>
      </x:c>
      <x:c r="BK32" s="120" t="n">
        <x:f>SUM(BK14:BK31)+'ОБЪЕКТЫ'!BK96</x:f>
        <x:v>0</x:v>
      </x:c>
      <x:c r="BL32" s="120" t="n">
        <x:f>SUM(BL14:BL31)+'ОБЪЕКТЫ'!BL96</x:f>
        <x:v>0</x:v>
      </x:c>
      <x:c r="BM32" s="120" t="n">
        <x:f>SUM(BM14:BM31)+'ОБЪЕКТЫ'!BM96</x:f>
        <x:v>0</x:v>
      </x:c>
      <x:c r="BN32" s="120" t="n">
        <x:f>SUM(BN14:BN31)+'ОБЪЕКТЫ'!BN96</x:f>
        <x:v>0</x:v>
      </x:c>
      <x:c r="BO32" s="120" t="n">
        <x:f>SUM(BO14:BO31)+'ОБЪЕКТЫ'!BO96</x:f>
        <x:v>0</x:v>
      </x:c>
      <x:c r="BP32" s="120" t="n">
        <x:f>SUM(BP14:BP31)+'ОБЪЕКТЫ'!BP96</x:f>
        <x:v>0</x:v>
      </x:c>
      <x:c r="BQ32" s="120" t="n">
        <x:f>SUM(BQ14:BQ31)+'ОБЪЕКТЫ'!BQ96</x:f>
        <x:v>0</x:v>
      </x:c>
      <x:c r="BR32" s="120" t="n">
        <x:f>SUM(BR14:BR31)+'ОБЪЕКТЫ'!BR96</x:f>
        <x:v>0</x:v>
      </x:c>
      <x:c r="BS32" s="120" t="n">
        <x:f>SUM(BS14:BS31)+'ОБЪЕКТЫ'!BS96</x:f>
        <x:v>0</x:v>
      </x:c>
      <x:c r="BT32" s="120" t="n">
        <x:f>SUM(BT14:BT31)+'ОБЪЕКТЫ'!BT96</x:f>
        <x:v>0</x:v>
      </x:c>
      <x:c r="BU32" s="120" t="n">
        <x:f>SUM(BU14:BU31)+'ОБЪЕКТЫ'!BU96</x:f>
        <x:v>0</x:v>
      </x:c>
      <x:c r="BV32" s="120" t="n">
        <x:f>SUM(BV14:BV31)+'ОБЪЕКТЫ'!BV96</x:f>
        <x:v>0</x:v>
      </x:c>
      <x:c r="BW32" s="120" t="n">
        <x:f>SUM(BW14:BW31)+'ОБЪЕКТЫ'!BW96</x:f>
        <x:v>0</x:v>
      </x:c>
      <x:c r="BX32" s="120" t="n">
        <x:f>SUM(BX14:BX31)+'ОБЪЕКТЫ'!BX96</x:f>
        <x:v>0</x:v>
      </x:c>
      <x:c r="BY32" s="120" t="n">
        <x:f>SUM(BY14:BY31)+'ОБЪЕКТЫ'!BY96</x:f>
        <x:v>0</x:v>
      </x:c>
      <x:c r="BZ32" s="120" t="n">
        <x:f>SUM(BZ14:BZ31)+'ОБЪЕКТЫ'!BZ96</x:f>
        <x:v>0</x:v>
      </x:c>
      <x:c r="CA32" s="120" t="n">
        <x:f>SUM(CA14:CA31)+'ОБЪЕКТЫ'!CA96</x:f>
        <x:v>0</x:v>
      </x:c>
      <x:c r="CB32" s="120" t="n">
        <x:f>SUM(CB14:CB31)+'ОБЪЕКТЫ'!CB96</x:f>
        <x:v>0</x:v>
      </x:c>
      <x:c r="CC32" s="120" t="n">
        <x:f>SUM(CC14:CC31)+'ОБЪЕКТЫ'!CC96</x:f>
        <x:v>0</x:v>
      </x:c>
      <x:c r="CD32" s="120" t="n">
        <x:f>SUM(CD14:CD31)+'ОБЪЕКТЫ'!CD96</x:f>
        <x:v>0</x:v>
      </x:c>
      <x:c r="CE32" s="120" t="n">
        <x:f>SUM(CE14:CE31)+'ОБЪЕКТЫ'!CE96</x:f>
        <x:v>0</x:v>
      </x:c>
      <x:c r="CF32" s="120" t="n">
        <x:f>SUM(CF14:CF31)+'ОБЪЕКТЫ'!CF96</x:f>
        <x:v>0</x:v>
      </x:c>
      <x:c r="CG32" s="120" t="n">
        <x:f>SUM(CG14:CG31)+'ОБЪЕКТЫ'!CG96</x:f>
        <x:v>0</x:v>
      </x:c>
      <x:c r="CH32" s="120" t="n">
        <x:f>SUM(CH14:CH31)+'ОБЪЕКТЫ'!CH96</x:f>
        <x:v>0</x:v>
      </x:c>
      <x:c r="CI32" s="120" t="n">
        <x:f>SUM(CI14:CI31)+'ОБЪЕКТЫ'!CI96</x:f>
        <x:v>0</x:v>
      </x:c>
      <x:c r="CJ32" s="120" t="n">
        <x:f>SUM(CJ14:CJ31)+'ОБЪЕКТЫ'!CJ96</x:f>
        <x:v>0</x:v>
      </x:c>
      <x:c r="CK32" s="120" t="n">
        <x:f>SUM(CK14:CK31)+'ОБЪЕКТЫ'!CK96</x:f>
        <x:v>0</x:v>
      </x:c>
      <x:c r="CL32" s="120" t="n">
        <x:f>SUM(CL14:CL31)+'ОБЪЕКТЫ'!CL96</x:f>
        <x:v>0</x:v>
      </x:c>
      <x:c r="CM32" s="120" t="n">
        <x:f>SUM(CM14:CM31)+'ОБЪЕКТЫ'!CM96</x:f>
        <x:v>0</x:v>
      </x:c>
      <x:c r="CN32" s="120" t="n">
        <x:f>SUM(CN14:CN31)+'ОБЪЕКТЫ'!CN96</x:f>
        <x:v>0</x:v>
      </x:c>
      <x:c r="CO32" s="120" t="n">
        <x:f>SUM(CO14:CO31)+'ОБЪЕКТЫ'!CO96</x:f>
        <x:v>0</x:v>
      </x:c>
      <x:c r="CP32" s="120" t="n">
        <x:f>SUM(CP14:CP31)+'ОБЪЕКТЫ'!CP96</x:f>
        <x:v>0</x:v>
      </x:c>
      <x:c r="CQ32" s="120" t="n">
        <x:f>SUM(CQ14:CQ31)+'ОБЪЕКТЫ'!CQ96</x:f>
        <x:v>0</x:v>
      </x:c>
      <x:c r="CR32" s="120" t="n">
        <x:f>SUM(CR14:CR31)+'ОБЪЕКТЫ'!CR96</x:f>
        <x:v>0</x:v>
      </x:c>
      <x:c r="CS32" s="120" t="n">
        <x:f>SUM(CS14:CS31)+'ОБЪЕКТЫ'!CS96</x:f>
        <x:v>0</x:v>
      </x:c>
      <x:c r="CT32" s="120" t="n">
        <x:f>SUM(CT14:CT31)+'ОБЪЕКТЫ'!CT96</x:f>
        <x:v>0</x:v>
      </x:c>
      <x:c r="CU32" s="120" t="n">
        <x:f>SUM(CU14:CU31)+'ОБЪЕКТЫ'!CU96</x:f>
        <x:v>0</x:v>
      </x:c>
      <x:c r="CV32" s="120" t="n">
        <x:f>SUM(CV14:CV31)+'ОБЪЕКТЫ'!CV96</x:f>
        <x:v>0</x:v>
      </x:c>
      <x:c r="CW32" s="120" t="n">
        <x:f>SUM(CW14:CW31)+'ОБЪЕКТЫ'!CW96</x:f>
        <x:v>0</x:v>
      </x:c>
      <x:c r="CX32" s="120" t="n">
        <x:f>SUM(CX14:CX31)+'ОБЪЕКТЫ'!CX96</x:f>
        <x:v>0</x:v>
      </x:c>
      <x:c r="CY32" s="120" t="n">
        <x:f>SUM(CY14:CY31)+'ОБЪЕКТЫ'!CY96</x:f>
        <x:v>0</x:v>
      </x:c>
      <x:c r="CZ32" s="120" t="n">
        <x:f>SUM(CZ14:CZ31)+'ОБЪЕКТЫ'!CZ96</x:f>
        <x:v>0</x:v>
      </x:c>
      <x:c r="DA32" s="120" t="n">
        <x:f>SUM(DA14:DA31)+'ОБЪЕКТЫ'!DA96</x:f>
        <x:v>0</x:v>
      </x:c>
      <x:c r="DB32" s="120" t="n">
        <x:f>SUM(DB14:DB31)+'ОБЪЕКТЫ'!DB96</x:f>
        <x:v>0</x:v>
      </x:c>
      <x:c r="DC32" s="120" t="n">
        <x:f>SUM(DC14:DC31)+'ОБЪЕКТЫ'!DC96</x:f>
        <x:v>0</x:v>
      </x:c>
      <x:c r="DD32" s="120" t="n">
        <x:f>SUM(DD14:DD31)+'ОБЪЕКТЫ'!DD96</x:f>
        <x:v>0</x:v>
      </x:c>
      <x:c r="DE32" s="120" t="n">
        <x:f>SUM(DE14:DE31)+'ОБЪЕКТЫ'!DE96</x:f>
        <x:v>0</x:v>
      </x:c>
      <x:c r="DF32" s="120" t="n">
        <x:f>SUM(DF14:DF31)+'ОБЪЕКТЫ'!DF96</x:f>
        <x:v>0</x:v>
      </x:c>
      <x:c r="DG32" s="120" t="n">
        <x:f>SUM(DG14:DG31)+'ОБЪЕКТЫ'!DG96</x:f>
        <x:v>0</x:v>
      </x:c>
      <x:c r="DH32" s="120" t="n">
        <x:f>SUM(DH14:DH31)+'ОБЪЕКТЫ'!DH96</x:f>
        <x:v>0</x:v>
      </x:c>
      <x:c r="DI32" s="120" t="n">
        <x:f>SUM(DI14:DI31)+'ОБЪЕКТЫ'!DI96</x:f>
        <x:v>0</x:v>
      </x:c>
      <x:c r="DJ32" s="120" t="n">
        <x:f>SUM(DJ14:DJ31)+'ОБЪЕКТЫ'!DJ96</x:f>
        <x:v>0</x:v>
      </x:c>
      <x:c r="DK32" s="120" t="n">
        <x:f>SUM(DK14:DK31)+'ОБЪЕКТЫ'!DK96</x:f>
        <x:v>0</x:v>
      </x:c>
      <x:c r="DL32" s="120" t="n">
        <x:f>SUM(DL14:DL31)+'ОБЪЕКТЫ'!DL96</x:f>
        <x:v>0</x:v>
      </x:c>
      <x:c r="DM32" s="120" t="n">
        <x:f>SUM(DM14:DM31)+'ОБЪЕКТЫ'!DM96</x:f>
        <x:v>0</x:v>
      </x:c>
      <x:c r="DN32" s="120" t="n">
        <x:f>SUM(DN14:DN31)+'ОБЪЕКТЫ'!DN96</x:f>
        <x:v>0</x:v>
      </x:c>
      <x:c r="DO32" s="120" t="n">
        <x:f>SUM(DO14:DO31)+'ОБЪЕКТЫ'!DO96</x:f>
        <x:v>0</x:v>
      </x:c>
      <x:c r="DP32" s="120" t="n">
        <x:f>SUM(DP14:DP31)+'ОБЪЕКТЫ'!DP96</x:f>
        <x:v>0</x:v>
      </x:c>
      <x:c r="DQ32" s="120" t="n">
        <x:f>SUM(DQ14:DQ31)+'ОБЪЕКТЫ'!DQ96</x:f>
        <x:v>0</x:v>
      </x:c>
      <x:c r="DR32" s="120" t="n">
        <x:f>SUM(DR14:DR31)+'ОБЪЕКТЫ'!DR96</x:f>
        <x:v>0</x:v>
      </x:c>
      <x:c r="DS32" s="120" t="n">
        <x:f>SUM(DS14:DS31)+'ОБЪЕКТЫ'!DS96</x:f>
        <x:v>0</x:v>
      </x:c>
    </x:row>
    <x:row r="33">
      <x:c r="A33" t="str">
        <x:v>Маркетинг</x:v>
      </x:c>
      <x:c r="B33" s="107" t="n">
        <x:f>SUM(D33:DS33)</x:f>
        <x:v>382.2902795340088</x:v>
      </x:c>
      <x:c r="C33" t="str">
        <x:v>млн ₽</x:v>
      </x:c>
      <x:c r="D33" s="117" t="n">
        <x:f>'Продажи'!D26*'Вводные'!$B$19+'ОБЪЕКТЫ'!D97</x:f>
        <x:v>0</x:v>
      </x:c>
      <x:c r="E33" s="117" t="n">
        <x:f>'Продажи'!E26*'Вводные'!$B$19+'ОБЪЕКТЫ'!E97</x:f>
        <x:v>0</x:v>
      </x:c>
      <x:c r="F33" s="117" t="n">
        <x:f>'Продажи'!F26*'Вводные'!$B$19+'ОБЪЕКТЫ'!F97</x:f>
        <x:v>0</x:v>
      </x:c>
      <x:c r="G33" s="117" t="n">
        <x:f>'Продажи'!G26*'Вводные'!$B$19+'ОБЪЕКТЫ'!G97</x:f>
        <x:v>0</x:v>
      </x:c>
      <x:c r="H33" s="117" t="n">
        <x:f>'Продажи'!H26*'Вводные'!$B$19+'ОБЪЕКТЫ'!H97</x:f>
        <x:v>0</x:v>
      </x:c>
      <x:c r="I33" s="117" t="n">
        <x:f>'Продажи'!I26*'Вводные'!$B$19+'ОБЪЕКТЫ'!I97</x:f>
        <x:v>0</x:v>
      </x:c>
      <x:c r="J33" s="117" t="n">
        <x:f>'Продажи'!J26*'Вводные'!$B$19+'ОБЪЕКТЫ'!J97</x:f>
        <x:v>0</x:v>
      </x:c>
      <x:c r="K33" s="117" t="n">
        <x:f>'Продажи'!K26*'Вводные'!$B$19+'ОБЪЕКТЫ'!K97</x:f>
        <x:v>0</x:v>
      </x:c>
      <x:c r="L33" s="117" t="n">
        <x:f>'Продажи'!L26*'Вводные'!$B$19+'ОБЪЕКТЫ'!L97</x:f>
        <x:v>0</x:v>
      </x:c>
      <x:c r="M33" s="117" t="n">
        <x:f>'Продажи'!M26*'Вводные'!$B$19+'ОБЪЕКТЫ'!M97</x:f>
        <x:v>0</x:v>
      </x:c>
      <x:c r="N33" s="117" t="n">
        <x:f>'Продажи'!N26*'Вводные'!$B$19+'ОБЪЕКТЫ'!N97</x:f>
        <x:v>0</x:v>
      </x:c>
      <x:c r="O33" s="117" t="n">
        <x:f>'Продажи'!O26*'Вводные'!$B$19+'ОБЪЕКТЫ'!O97</x:f>
        <x:v>0</x:v>
      </x:c>
      <x:c r="P33" s="117" t="n">
        <x:f>'Продажи'!P26*'Вводные'!$B$19+'ОБЪЕКТЫ'!P97</x:f>
        <x:v>0</x:v>
      </x:c>
      <x:c r="Q33" s="117" t="n">
        <x:f>'Продажи'!Q26*'Вводные'!$B$19+'ОБЪЕКТЫ'!Q97</x:f>
        <x:v>0</x:v>
      </x:c>
      <x:c r="R33" s="117" t="n">
        <x:f>'Продажи'!R26*'Вводные'!$B$19+'ОБЪЕКТЫ'!R97</x:f>
        <x:v>0</x:v>
      </x:c>
      <x:c r="S33" s="117" t="n">
        <x:f>'Продажи'!S26*'Вводные'!$B$19+'ОБЪЕКТЫ'!S97</x:f>
        <x:v>0</x:v>
      </x:c>
      <x:c r="T33" s="117" t="n">
        <x:f>'Продажи'!T26*'Вводные'!$B$19+'ОБЪЕКТЫ'!T97</x:f>
        <x:v>0</x:v>
      </x:c>
      <x:c r="U33" s="117" t="n">
        <x:f>'Продажи'!U26*'Вводные'!$B$19+'ОБЪЕКТЫ'!U97</x:f>
        <x:v>0</x:v>
      </x:c>
      <x:c r="V33" s="117" t="n">
        <x:f>'Продажи'!V26*'Вводные'!$B$19+'ОБЪЕКТЫ'!V97</x:f>
        <x:v>8.831499539124573</x:v>
      </x:c>
      <x:c r="W33" s="117" t="n">
        <x:f>'Продажи'!W26*'Вводные'!$B$19+'ОБЪЕКТЫ'!W97</x:f>
        <x:v>9.053611752533554</x:v>
      </x:c>
      <x:c r="X33" s="117" t="n">
        <x:f>'Продажи'!X26*'Вводные'!$B$19+'ОБЪЕКТЫ'!X97</x:f>
        <x:v>10.919188338952674</x:v>
      </x:c>
      <x:c r="Y33" s="117" t="n">
        <x:f>'Продажи'!Y26*'Вводные'!$B$19+'ОБЪЕКТЫ'!Y97</x:f>
        <x:v>11.193805925677335</x:v>
      </x:c>
      <x:c r="Z33" s="117" t="n">
        <x:f>'Продажи'!Z26*'Вводные'!$B$19+'ОБЪЕКТЫ'!Z97</x:f>
        <x:v>11.475330144708117</x:v>
      </x:c>
      <x:c r="AA33" s="117" t="n">
        <x:f>'Продажи'!AA26*'Вводные'!$B$19+'ОБЪЕКТЫ'!AA97</x:f>
        <x:v>11.763934697847526</x:v>
      </x:c>
      <x:c r="AB33" s="117" t="n">
        <x:f>'Продажи'!AB26*'Вводные'!$B$19+'ОБЪЕКТЫ'!AB97</x:f>
        <x:v>10.250828007173633</x:v>
      </x:c>
      <x:c r="AC33" s="117" t="n">
        <x:f>'Продажи'!AC26*'Вводные'!$B$19+'ОБЪЕКТЫ'!AC97</x:f>
        <x:v>12.363101566534175</x:v>
      </x:c>
      <x:c r="AD33" s="117" t="n">
        <x:f>'Продажи'!AD26*'Вводные'!$B$19+'ОБЪЕКТЫ'!AD97</x:f>
        <x:v>12.67403357093251</x:v>
      </x:c>
      <x:c r="AE33" s="117" t="n">
        <x:f>'Продажи'!AE26*'Вводные'!$B$19+'ОБЪЕКТЫ'!AE97</x:f>
        <x:v>12.992785515241454</x:v>
      </x:c>
      <x:c r="AF33" s="117" t="n">
        <x:f>'Продажи'!AF26*'Вводные'!$B$19+'ОБЪЕКТЫ'!AF97</x:f>
        <x:v>11.321620960307316</x:v>
      </x:c>
      <x:c r="AG33" s="117" t="n">
        <x:f>'Продажи'!AG26*'Вводные'!$B$19+'ОБЪЕКТЫ'!AG97</x:f>
        <x:v>11.606359727459038</x:v>
      </x:c>
      <x:c r="AH33" s="117" t="n">
        <x:f>'Продажи'!AH26*'Вводные'!$B$19+'ОБЪЕКТЫ'!AH97</x:f>
        <x:v>11.898259674604633</x:v>
      </x:c>
      <x:c r="AI33" s="117" t="n">
        <x:f>'Продажи'!AI26*'Вводные'!$B$19+'ОБЪЕКТЫ'!AI97</x:f>
        <x:v>12.197500905420936</x:v>
      </x:c>
      <x:c r="AJ33" s="117" t="n">
        <x:f>'Продажи'!AJ26*'Вводные'!$B$19+'ОБЪЕКТЫ'!AJ97</x:f>
        <x:v>14.71090359199091</x:v>
      </x:c>
      <x:c r="AK33" s="117" t="n">
        <x:f>'Продажи'!AK26*'Вводные'!$B$19+'ОБЪЕКТЫ'!AK97</x:f>
        <x:v>15.080882817329485</x:v>
      </x:c>
      <x:c r="AL33" s="117" t="n">
        <x:f>'Продажи'!AL26*'Вводные'!$B$19+'ОБЪЕКТЫ'!AL97</x:f>
        <x:v>15.46016702018532</x:v>
      </x:c>
      <x:c r="AM33" s="117" t="n">
        <x:f>'Продажи'!AM26*'Вводные'!$B$19+'ОБЪЕКТЫ'!AM97</x:f>
        <x:v>15.848990220742975</x:v>
      </x:c>
      <x:c r="AN33" s="117" t="n">
        <x:f>'Продажи'!AN26*'Вводные'!$B$19+'ОБЪЕКТЫ'!AN97</x:f>
        <x:v>13.810453476075459</x:v>
      </x:c>
      <x:c r="AO33" s="117" t="n">
        <x:f>'Продажи'!AO26*'Вводные'!$B$19+'ОБЪЕКТЫ'!AO97</x:f>
        <x:v>16.65621927176324</x:v>
      </x:c>
      <x:c r="AP33" s="117" t="n">
        <x:f>'Продажи'!AP26*'Вводные'!$B$19+'ОБЪЕКТЫ'!AP97</x:f>
        <x:v>17.07512318644809</x:v>
      </x:c>
      <x:c r="AQ33" s="117" t="n">
        <x:f>'Продажи'!AQ26*'Вводные'!$B$19+'ОБЪЕКТЫ'!AQ97</x:f>
        <x:v>17.50456253458726</x:v>
      </x:c>
      <x:c r="AR33" s="117" t="n">
        <x:f>'Продажи'!AR26*'Вводные'!$B$19+'ОБЪЕКТЫ'!AR97</x:f>
        <x:v>15.253081939982309</x:v>
      </x:c>
      <x:c r="AS33" s="117" t="n">
        <x:f>'Продажи'!AS26*'Вводные'!$B$19+'ОБЪЕКТЫ'!AS97</x:f>
        <x:v>15.636696950772858</x:v>
      </x:c>
      <x:c r="AT33" s="117" t="n">
        <x:f>'Продажи'!AT26*'Вводные'!$B$19+'ОБЪЕКТЫ'!AT97</x:f>
        <x:v>9.628640568382684</x:v>
      </x:c>
      <x:c r="AU33" s="117" t="n">
        <x:f>'Продажи'!AU26*'Вводные'!$B$19+'ОБЪЕКТЫ'!AU97</x:f>
        <x:v>9.749239291501674</x:v>
      </x:c>
      <x:c r="AV33" s="117" t="n">
        <x:f>'Продажи'!AV26*'Вводные'!$B$19+'ОБЪЕКТЫ'!AV97</x:f>
        <x:v>11.613351192503217</x:v>
      </x:c>
      <x:c r="AW33" s="117" t="n">
        <x:f>'Продажи'!AW26*'Вводные'!$B$19+'ОБЪЕКТЫ'!AW97</x:f>
        <x:v>11.758808416189321</x:v>
      </x:c>
      <x:c r="AX33" s="117" t="n">
        <x:f>'Продажи'!AX26*'Вводные'!$B$19+'ОБЪЕКТЫ'!AX97</x:f>
        <x:v>11.90608749160209</x:v>
      </x:c>
      <x:c r="AY33" s="117" t="n">
        <x:f>'Продажи'!AY26*'Вводные'!$B$19+'ОБЪЕКТЫ'!AY97</x:f>
        <x:v>12.055211237434408</x:v>
      </x:c>
      <x:c r="AZ33" s="117" t="n">
        <x:f>'Продажи'!AZ26*'Вводные'!$B$19+'ОБЪЕКТЫ'!AZ97</x:f>
        <x:v>0</x:v>
      </x:c>
      <x:c r="BA33" s="117" t="n">
        <x:f>'Продажи'!BA26*'Вводные'!$B$19+'ОБЪЕКТЫ'!BA97</x:f>
        <x:v>0</x:v>
      </x:c>
      <x:c r="BB33" s="117" t="n">
        <x:f>'Продажи'!BB26*'Вводные'!$B$19+'ОБЪЕКТЫ'!BB97</x:f>
        <x:v>0</x:v>
      </x:c>
      <x:c r="BC33" s="117" t="n">
        <x:f>'Продажи'!BC26*'Вводные'!$B$19+'ОБЪЕКТЫ'!BC97</x:f>
        <x:v>0</x:v>
      </x:c>
      <x:c r="BD33" s="117" t="n">
        <x:f>'Продажи'!BD26*'Вводные'!$B$19+'ОБЪЕКТЫ'!BD97</x:f>
        <x:v>0</x:v>
      </x:c>
      <x:c r="BE33" s="117" t="n">
        <x:f>'Продажи'!BE26*'Вводные'!$B$19+'ОБЪЕКТЫ'!BE97</x:f>
        <x:v>0</x:v>
      </x:c>
      <x:c r="BF33" s="117" t="n">
        <x:f>'Продажи'!BF26*'Вводные'!$B$19+'ОБЪЕКТЫ'!BF97</x:f>
        <x:v>0</x:v>
      </x:c>
      <x:c r="BG33" s="117" t="n">
        <x:f>'Продажи'!BG26*'Вводные'!$B$19+'ОБЪЕКТЫ'!BG97</x:f>
        <x:v>0</x:v>
      </x:c>
      <x:c r="BH33" s="117" t="n">
        <x:f>'Продажи'!BH26*'Вводные'!$B$19+'ОБЪЕКТЫ'!BH97</x:f>
        <x:v>0</x:v>
      </x:c>
      <x:c r="BI33" s="117" t="n">
        <x:f>'Продажи'!BI26*'Вводные'!$B$19+'ОБЪЕКТЫ'!BI97</x:f>
        <x:v>0</x:v>
      </x:c>
      <x:c r="BJ33" s="117" t="n">
        <x:f>'Продажи'!BJ26*'Вводные'!$B$19+'ОБЪЕКТЫ'!BJ97</x:f>
        <x:v>0</x:v>
      </x:c>
      <x:c r="BK33" s="117" t="n">
        <x:f>'Продажи'!BK26*'Вводные'!$B$19+'ОБЪЕКТЫ'!BK97</x:f>
        <x:v>0</x:v>
      </x:c>
      <x:c r="BL33" s="117" t="n">
        <x:f>'Продажи'!BL26*'Вводные'!$B$19+'ОБЪЕКТЫ'!BL97</x:f>
        <x:v>0</x:v>
      </x:c>
      <x:c r="BM33" s="117" t="n">
        <x:f>'Продажи'!BM26*'Вводные'!$B$19+'ОБЪЕКТЫ'!BM97</x:f>
        <x:v>0</x:v>
      </x:c>
      <x:c r="BN33" s="117" t="n">
        <x:f>'Продажи'!BN26*'Вводные'!$B$19+'ОБЪЕКТЫ'!BN97</x:f>
        <x:v>0</x:v>
      </x:c>
      <x:c r="BO33" s="117" t="n">
        <x:f>'Продажи'!BO26*'Вводные'!$B$19+'ОБЪЕКТЫ'!BO97</x:f>
        <x:v>0</x:v>
      </x:c>
      <x:c r="BP33" s="117" t="n">
        <x:f>'Продажи'!BP26*'Вводные'!$B$19+'ОБЪЕКТЫ'!BP97</x:f>
        <x:v>0</x:v>
      </x:c>
      <x:c r="BQ33" s="117" t="n">
        <x:f>'Продажи'!BQ26*'Вводные'!$B$19+'ОБЪЕКТЫ'!BQ97</x:f>
        <x:v>0</x:v>
      </x:c>
      <x:c r="BR33" s="117" t="n">
        <x:f>'Продажи'!BR26*'Вводные'!$B$19+'ОБЪЕКТЫ'!BR97</x:f>
        <x:v>0</x:v>
      </x:c>
      <x:c r="BS33" s="117" t="n">
        <x:f>'Продажи'!BS26*'Вводные'!$B$19+'ОБЪЕКТЫ'!BS97</x:f>
        <x:v>0</x:v>
      </x:c>
      <x:c r="BT33" s="117" t="n">
        <x:f>'Продажи'!BT26*'Вводные'!$B$19+'ОБЪЕКТЫ'!BT97</x:f>
        <x:v>0</x:v>
      </x:c>
      <x:c r="BU33" s="117" t="n">
        <x:f>'Продажи'!BU26*'Вводные'!$B$19+'ОБЪЕКТЫ'!BU97</x:f>
        <x:v>0</x:v>
      </x:c>
      <x:c r="BV33" s="117" t="n">
        <x:f>'Продажи'!BV26*'Вводные'!$B$19+'ОБЪЕКТЫ'!BV97</x:f>
        <x:v>0</x:v>
      </x:c>
      <x:c r="BW33" s="117" t="n">
        <x:f>'Продажи'!BW26*'Вводные'!$B$19+'ОБЪЕКТЫ'!BW97</x:f>
        <x:v>0</x:v>
      </x:c>
      <x:c r="BX33" s="117" t="n">
        <x:f>'Продажи'!BX26*'Вводные'!$B$19+'ОБЪЕКТЫ'!BX97</x:f>
        <x:v>0</x:v>
      </x:c>
      <x:c r="BY33" s="117" t="n">
        <x:f>'Продажи'!BY26*'Вводные'!$B$19+'ОБЪЕКТЫ'!BY97</x:f>
        <x:v>0</x:v>
      </x:c>
      <x:c r="BZ33" s="117" t="n">
        <x:f>'Продажи'!BZ26*'Вводные'!$B$19+'ОБЪЕКТЫ'!BZ97</x:f>
        <x:v>0</x:v>
      </x:c>
      <x:c r="CA33" s="117" t="n">
        <x:f>'Продажи'!CA26*'Вводные'!$B$19+'ОБЪЕКТЫ'!CA97</x:f>
        <x:v>0</x:v>
      </x:c>
      <x:c r="CB33" s="117" t="n">
        <x:f>'Продажи'!CB26*'Вводные'!$B$19+'ОБЪЕКТЫ'!CB97</x:f>
        <x:v>0</x:v>
      </x:c>
      <x:c r="CC33" s="117" t="n">
        <x:f>'Продажи'!CC26*'Вводные'!$B$19+'ОБЪЕКТЫ'!CC97</x:f>
        <x:v>0</x:v>
      </x:c>
      <x:c r="CD33" s="117" t="n">
        <x:f>'Продажи'!CD26*'Вводные'!$B$19+'ОБЪЕКТЫ'!CD97</x:f>
        <x:v>0</x:v>
      </x:c>
      <x:c r="CE33" s="117" t="n">
        <x:f>'Продажи'!CE26*'Вводные'!$B$19+'ОБЪЕКТЫ'!CE97</x:f>
        <x:v>0</x:v>
      </x:c>
      <x:c r="CF33" s="117" t="n">
        <x:f>'Продажи'!CF26*'Вводные'!$B$19+'ОБЪЕКТЫ'!CF97</x:f>
        <x:v>0</x:v>
      </x:c>
      <x:c r="CG33" s="117" t="n">
        <x:f>'Продажи'!CG26*'Вводные'!$B$19+'ОБЪЕКТЫ'!CG97</x:f>
        <x:v>0</x:v>
      </x:c>
      <x:c r="CH33" s="117" t="n">
        <x:f>'Продажи'!CH26*'Вводные'!$B$19+'ОБЪЕКТЫ'!CH97</x:f>
        <x:v>0</x:v>
      </x:c>
      <x:c r="CI33" s="117" t="n">
        <x:f>'Продажи'!CI26*'Вводные'!$B$19+'ОБЪЕКТЫ'!CI97</x:f>
        <x:v>0</x:v>
      </x:c>
      <x:c r="CJ33" s="117" t="n">
        <x:f>'Продажи'!CJ26*'Вводные'!$B$19+'ОБЪЕКТЫ'!CJ97</x:f>
        <x:v>0</x:v>
      </x:c>
      <x:c r="CK33" s="117" t="n">
        <x:f>'Продажи'!CK26*'Вводные'!$B$19+'ОБЪЕКТЫ'!CK97</x:f>
        <x:v>0</x:v>
      </x:c>
      <x:c r="CL33" s="117" t="n">
        <x:f>'Продажи'!CL26*'Вводные'!$B$19+'ОБЪЕКТЫ'!CL97</x:f>
        <x:v>0</x:v>
      </x:c>
      <x:c r="CM33" s="117" t="n">
        <x:f>'Продажи'!CM26*'Вводные'!$B$19+'ОБЪЕКТЫ'!CM97</x:f>
        <x:v>0</x:v>
      </x:c>
      <x:c r="CN33" s="117" t="n">
        <x:f>'Продажи'!CN26*'Вводные'!$B$19+'ОБЪЕКТЫ'!CN97</x:f>
        <x:v>0</x:v>
      </x:c>
      <x:c r="CO33" s="117" t="n">
        <x:f>'Продажи'!CO26*'Вводные'!$B$19+'ОБЪЕКТЫ'!CO97</x:f>
        <x:v>0</x:v>
      </x:c>
      <x:c r="CP33" s="117" t="n">
        <x:f>'Продажи'!CP26*'Вводные'!$B$19+'ОБЪЕКТЫ'!CP97</x:f>
        <x:v>0</x:v>
      </x:c>
      <x:c r="CQ33" s="117" t="n">
        <x:f>'Продажи'!CQ26*'Вводные'!$B$19+'ОБЪЕКТЫ'!CQ97</x:f>
        <x:v>0</x:v>
      </x:c>
      <x:c r="CR33" s="117" t="n">
        <x:f>'Продажи'!CR26*'Вводные'!$B$19+'ОБЪЕКТЫ'!CR97</x:f>
        <x:v>0</x:v>
      </x:c>
      <x:c r="CS33" s="117" t="n">
        <x:f>'Продажи'!CS26*'Вводные'!$B$19+'ОБЪЕКТЫ'!CS97</x:f>
        <x:v>0</x:v>
      </x:c>
      <x:c r="CT33" s="117" t="n">
        <x:f>'Продажи'!CT26*'Вводные'!$B$19+'ОБЪЕКТЫ'!CT97</x:f>
        <x:v>0</x:v>
      </x:c>
      <x:c r="CU33" s="117" t="n">
        <x:f>'Продажи'!CU26*'Вводные'!$B$19+'ОБЪЕКТЫ'!CU97</x:f>
        <x:v>0</x:v>
      </x:c>
      <x:c r="CV33" s="117" t="n">
        <x:f>'Продажи'!CV26*'Вводные'!$B$19+'ОБЪЕКТЫ'!CV97</x:f>
        <x:v>0</x:v>
      </x:c>
      <x:c r="CW33" s="117" t="n">
        <x:f>'Продажи'!CW26*'Вводные'!$B$19+'ОБЪЕКТЫ'!CW97</x:f>
        <x:v>0</x:v>
      </x:c>
      <x:c r="CX33" s="117" t="n">
        <x:f>'Продажи'!CX26*'Вводные'!$B$19+'ОБЪЕКТЫ'!CX97</x:f>
        <x:v>0</x:v>
      </x:c>
      <x:c r="CY33" s="117" t="n">
        <x:f>'Продажи'!CY26*'Вводные'!$B$19+'ОБЪЕКТЫ'!CY97</x:f>
        <x:v>0</x:v>
      </x:c>
      <x:c r="CZ33" s="117" t="n">
        <x:f>'Продажи'!CZ26*'Вводные'!$B$19+'ОБЪЕКТЫ'!CZ97</x:f>
        <x:v>0</x:v>
      </x:c>
      <x:c r="DA33" s="117" t="n">
        <x:f>'Продажи'!DA26*'Вводные'!$B$19+'ОБЪЕКТЫ'!DA97</x:f>
        <x:v>0</x:v>
      </x:c>
      <x:c r="DB33" s="117" t="n">
        <x:f>'Продажи'!DB26*'Вводные'!$B$19+'ОБЪЕКТЫ'!DB97</x:f>
        <x:v>0</x:v>
      </x:c>
      <x:c r="DC33" s="117" t="n">
        <x:f>'Продажи'!DC26*'Вводные'!$B$19+'ОБЪЕКТЫ'!DC97</x:f>
        <x:v>0</x:v>
      </x:c>
      <x:c r="DD33" s="117" t="n">
        <x:f>'Продажи'!DD26*'Вводные'!$B$19+'ОБЪЕКТЫ'!DD97</x:f>
        <x:v>0</x:v>
      </x:c>
      <x:c r="DE33" s="117" t="n">
        <x:f>'Продажи'!DE26*'Вводные'!$B$19+'ОБЪЕКТЫ'!DE97</x:f>
        <x:v>0</x:v>
      </x:c>
      <x:c r="DF33" s="117" t="n">
        <x:f>'Продажи'!DF26*'Вводные'!$B$19+'ОБЪЕКТЫ'!DF97</x:f>
        <x:v>0</x:v>
      </x:c>
      <x:c r="DG33" s="117" t="n">
        <x:f>'Продажи'!DG26*'Вводные'!$B$19+'ОБЪЕКТЫ'!DG97</x:f>
        <x:v>0</x:v>
      </x:c>
      <x:c r="DH33" s="117" t="n">
        <x:f>'Продажи'!DH26*'Вводные'!$B$19+'ОБЪЕКТЫ'!DH97</x:f>
        <x:v>0</x:v>
      </x:c>
      <x:c r="DI33" s="117" t="n">
        <x:f>'Продажи'!DI26*'Вводные'!$B$19+'ОБЪЕКТЫ'!DI97</x:f>
        <x:v>0</x:v>
      </x:c>
      <x:c r="DJ33" s="117" t="n">
        <x:f>'Продажи'!DJ26*'Вводные'!$B$19+'ОБЪЕКТЫ'!DJ97</x:f>
        <x:v>0</x:v>
      </x:c>
      <x:c r="DK33" s="117" t="n">
        <x:f>'Продажи'!DK26*'Вводные'!$B$19+'ОБЪЕКТЫ'!DK97</x:f>
        <x:v>0</x:v>
      </x:c>
      <x:c r="DL33" s="117" t="n">
        <x:f>'Продажи'!DL26*'Вводные'!$B$19+'ОБЪЕКТЫ'!DL97</x:f>
        <x:v>0</x:v>
      </x:c>
      <x:c r="DM33" s="117" t="n">
        <x:f>'Продажи'!DM26*'Вводные'!$B$19+'ОБЪЕКТЫ'!DM97</x:f>
        <x:v>0</x:v>
      </x:c>
      <x:c r="DN33" s="117" t="n">
        <x:f>'Продажи'!DN26*'Вводные'!$B$19+'ОБЪЕКТЫ'!DN97</x:f>
        <x:v>0</x:v>
      </x:c>
      <x:c r="DO33" s="117" t="n">
        <x:f>'Продажи'!DO26*'Вводные'!$B$19+'ОБЪЕКТЫ'!DO97</x:f>
        <x:v>0</x:v>
      </x:c>
      <x:c r="DP33" s="117" t="n">
        <x:f>'Продажи'!DP26*'Вводные'!$B$19+'ОБЪЕКТЫ'!DP97</x:f>
        <x:v>0</x:v>
      </x:c>
      <x:c r="DQ33" s="117" t="n">
        <x:f>'Продажи'!DQ26*'Вводные'!$B$19+'ОБЪЕКТЫ'!DQ97</x:f>
        <x:v>0</x:v>
      </x:c>
      <x:c r="DR33" s="117" t="n">
        <x:f>'Продажи'!DR26*'Вводные'!$B$19+'ОБЪЕКТЫ'!DR97</x:f>
        <x:v>0</x:v>
      </x:c>
      <x:c r="DS33" s="117" t="n">
        <x:f>'Продажи'!DS26*'Вводные'!$B$19+'ОБЪЕКТЫ'!DS97</x:f>
        <x:v>0</x:v>
      </x:c>
    </x:row>
    <x:row r="34">
      <x:c r="A34" t="str">
        <x:v>Расходы на продажи</x:v>
      </x:c>
      <x:c r="B34" s="107" t="n">
        <x:f>SUM(D34:DS34)</x:f>
        <x:v>509.7203727120117</x:v>
      </x:c>
      <x:c r="C34" t="str">
        <x:v>млн ₽</x:v>
      </x:c>
      <x:c r="D34" s="117" t="n">
        <x:f>'Продажи'!D26*'Вводные'!$B$20+'ОБЪЕКТЫ'!D98</x:f>
        <x:v>0</x:v>
      </x:c>
      <x:c r="E34" s="117" t="n">
        <x:f>'Продажи'!E26*'Вводные'!$B$20+'ОБЪЕКТЫ'!E98</x:f>
        <x:v>0</x:v>
      </x:c>
      <x:c r="F34" s="117" t="n">
        <x:f>'Продажи'!F26*'Вводные'!$B$20+'ОБЪЕКТЫ'!F98</x:f>
        <x:v>0</x:v>
      </x:c>
      <x:c r="G34" s="117" t="n">
        <x:f>'Продажи'!G26*'Вводные'!$B$20+'ОБЪЕКТЫ'!G98</x:f>
        <x:v>0</x:v>
      </x:c>
      <x:c r="H34" s="117" t="n">
        <x:f>'Продажи'!H26*'Вводные'!$B$20+'ОБЪЕКТЫ'!H98</x:f>
        <x:v>0</x:v>
      </x:c>
      <x:c r="I34" s="117" t="n">
        <x:f>'Продажи'!I26*'Вводные'!$B$20+'ОБЪЕКТЫ'!I98</x:f>
        <x:v>0</x:v>
      </x:c>
      <x:c r="J34" s="117" t="n">
        <x:f>'Продажи'!J26*'Вводные'!$B$20+'ОБЪЕКТЫ'!J98</x:f>
        <x:v>0</x:v>
      </x:c>
      <x:c r="K34" s="117" t="n">
        <x:f>'Продажи'!K26*'Вводные'!$B$20+'ОБЪЕКТЫ'!K98</x:f>
        <x:v>0</x:v>
      </x:c>
      <x:c r="L34" s="117" t="n">
        <x:f>'Продажи'!L26*'Вводные'!$B$20+'ОБЪЕКТЫ'!L98</x:f>
        <x:v>0</x:v>
      </x:c>
      <x:c r="M34" s="117" t="n">
        <x:f>'Продажи'!M26*'Вводные'!$B$20+'ОБЪЕКТЫ'!M98</x:f>
        <x:v>0</x:v>
      </x:c>
      <x:c r="N34" s="117" t="n">
        <x:f>'Продажи'!N26*'Вводные'!$B$20+'ОБЪЕКТЫ'!N98</x:f>
        <x:v>0</x:v>
      </x:c>
      <x:c r="O34" s="117" t="n">
        <x:f>'Продажи'!O26*'Вводные'!$B$20+'ОБЪЕКТЫ'!O98</x:f>
        <x:v>0</x:v>
      </x:c>
      <x:c r="P34" s="117" t="n">
        <x:f>'Продажи'!P26*'Вводные'!$B$20+'ОБЪЕКТЫ'!P98</x:f>
        <x:v>0</x:v>
      </x:c>
      <x:c r="Q34" s="117" t="n">
        <x:f>'Продажи'!Q26*'Вводные'!$B$20+'ОБЪЕКТЫ'!Q98</x:f>
        <x:v>0</x:v>
      </x:c>
      <x:c r="R34" s="117" t="n">
        <x:f>'Продажи'!R26*'Вводные'!$B$20+'ОБЪЕКТЫ'!R98</x:f>
        <x:v>0</x:v>
      </x:c>
      <x:c r="S34" s="117" t="n">
        <x:f>'Продажи'!S26*'Вводные'!$B$20+'ОБЪЕКТЫ'!S98</x:f>
        <x:v>0</x:v>
      </x:c>
      <x:c r="T34" s="117" t="n">
        <x:f>'Продажи'!T26*'Вводные'!$B$20+'ОБЪЕКТЫ'!T98</x:f>
        <x:v>0</x:v>
      </x:c>
      <x:c r="U34" s="117" t="n">
        <x:f>'Продажи'!U26*'Вводные'!$B$20+'ОБЪЕКТЫ'!U98</x:f>
        <x:v>0</x:v>
      </x:c>
      <x:c r="V34" s="117" t="n">
        <x:f>'Продажи'!V26*'Вводные'!$B$20+'ОБЪЕКТЫ'!V98</x:f>
        <x:v>11.775332718832765</x:v>
      </x:c>
      <x:c r="W34" s="117" t="n">
        <x:f>'Продажи'!W26*'Вводные'!$B$20+'ОБЪЕКТЫ'!W98</x:f>
        <x:v>12.071482336711407</x:v>
      </x:c>
      <x:c r="X34" s="117" t="n">
        <x:f>'Продажи'!X26*'Вводные'!$B$20+'ОБЪЕКТЫ'!X98</x:f>
        <x:v>14.558917785270232</x:v>
      </x:c>
      <x:c r="Y34" s="117" t="n">
        <x:f>'Продажи'!Y26*'Вводные'!$B$20+'ОБЪЕКТЫ'!Y98</x:f>
        <x:v>14.92507456756978</x:v>
      </x:c>
      <x:c r="Z34" s="117" t="n">
        <x:f>'Продажи'!Z26*'Вводные'!$B$20+'ОБЪЕКТЫ'!Z98</x:f>
        <x:v>15.300440192944157</x:v>
      </x:c>
      <x:c r="AA34" s="117" t="n">
        <x:f>'Продажи'!AA26*'Вводные'!$B$20+'ОБЪЕКТЫ'!AA98</x:f>
        <x:v>15.685246263796703</x:v>
      </x:c>
      <x:c r="AB34" s="117" t="n">
        <x:f>'Продажи'!AB26*'Вводные'!$B$20+'ОБЪЕКТЫ'!AB98</x:f>
        <x:v>13.66777067623151</x:v>
      </x:c>
      <x:c r="AC34" s="117" t="n">
        <x:f>'Продажи'!AC26*'Вводные'!$B$20+'ОБЪЕКТЫ'!AC98</x:f>
        <x:v>16.48413542204557</x:v>
      </x:c>
      <x:c r="AD34" s="117" t="n">
        <x:f>'Продажи'!AD26*'Вводные'!$B$20+'ОБЪЕКТЫ'!AD98</x:f>
        <x:v>16.898711427910015</x:v>
      </x:c>
      <x:c r="AE34" s="117" t="n">
        <x:f>'Продажи'!AE26*'Вводные'!$B$20+'ОБЪЕКТЫ'!AE98</x:f>
        <x:v>17.32371402032194</x:v>
      </x:c>
      <x:c r="AF34" s="117" t="n">
        <x:f>'Продажи'!AF26*'Вводные'!$B$20+'ОБЪЕКТЫ'!AF98</x:f>
        <x:v>15.095494613743087</x:v>
      </x:c>
      <x:c r="AG34" s="117" t="n">
        <x:f>'Продажи'!AG26*'Вводные'!$B$20+'ОБЪЕКТЫ'!AG98</x:f>
        <x:v>15.475146303278718</x:v>
      </x:c>
      <x:c r="AH34" s="117" t="n">
        <x:f>'Продажи'!AH26*'Вводные'!$B$20+'ОБЪЕКТЫ'!AH98</x:f>
        <x:v>15.864346232806179</x:v>
      </x:c>
      <x:c r="AI34" s="117" t="n">
        <x:f>'Продажи'!AI26*'Вводные'!$B$20+'ОБЪЕКТЫ'!AI98</x:f>
        <x:v>16.26333454056125</x:v>
      </x:c>
      <x:c r="AJ34" s="117" t="n">
        <x:f>'Продажи'!AJ26*'Вводные'!$B$20+'ОБЪЕКТЫ'!AJ98</x:f>
        <x:v>19.614538122654547</x:v>
      </x:c>
      <x:c r="AK34" s="117" t="n">
        <x:f>'Продажи'!AK26*'Вводные'!$B$20+'ОБЪЕКТЫ'!AK98</x:f>
        <x:v>20.107843756439312</x:v>
      </x:c>
      <x:c r="AL34" s="117" t="n">
        <x:f>'Продажи'!AL26*'Вводные'!$B$20+'ОБЪЕКТЫ'!AL98</x:f>
        <x:v>20.613556026913763</x:v>
      </x:c>
      <x:c r="AM34" s="117" t="n">
        <x:f>'Продажи'!AM26*'Вводные'!$B$20+'ОБЪЕКТЫ'!AM98</x:f>
        <x:v>21.131986960990634</x:v>
      </x:c>
      <x:c r="AN34" s="117" t="n">
        <x:f>'Продажи'!AN26*'Вводные'!$B$20+'ОБЪЕКТЫ'!AN98</x:f>
        <x:v>18.413937968100612</x:v>
      </x:c>
      <x:c r="AO34" s="117" t="n">
        <x:f>'Продажи'!AO26*'Вводные'!$B$20+'ОБЪЕКТЫ'!AO98</x:f>
        <x:v>22.20829236235099</x:v>
      </x:c>
      <x:c r="AP34" s="117" t="n">
        <x:f>'Продажи'!AP26*'Вводные'!$B$20+'ОБЪЕКТЫ'!AP98</x:f>
        <x:v>22.76683091526412</x:v>
      </x:c>
      <x:c r="AQ34" s="117" t="n">
        <x:f>'Продажи'!AQ26*'Вводные'!$B$20+'ОБЪЕКТЫ'!AQ98</x:f>
        <x:v>23.339416712783017</x:v>
      </x:c>
      <x:c r="AR34" s="117" t="n">
        <x:f>'Продажи'!AR26*'Вводные'!$B$20+'ОБЪЕКТЫ'!AR98</x:f>
        <x:v>20.33744258664308</x:v>
      </x:c>
      <x:c r="AS34" s="117" t="n">
        <x:f>'Продажи'!AS26*'Вводные'!$B$20+'ОБЪЕКТЫ'!AS98</x:f>
        <x:v>20.848929267697144</x:v>
      </x:c>
      <x:c r="AT34" s="117" t="n">
        <x:f>'Продажи'!AT26*'Вводные'!$B$20+'ОБЪЕКТЫ'!AT98</x:f>
        <x:v>12.838187424510245</x:v>
      </x:c>
      <x:c r="AU34" s="117" t="n">
        <x:f>'Продажи'!AU26*'Вводные'!$B$20+'ОБЪЕКТЫ'!AU98</x:f>
        <x:v>12.998985722002233</x:v>
      </x:c>
      <x:c r="AV34" s="117" t="n">
        <x:f>'Продажи'!AV26*'Вводные'!$B$20+'ОБЪЕКТЫ'!AV98</x:f>
        <x:v>15.484468256670958</x:v>
      </x:c>
      <x:c r="AW34" s="117" t="n">
        <x:f>'Продажи'!AW26*'Вводные'!$B$20+'ОБЪЕКТЫ'!AW98</x:f>
        <x:v>15.678411221585762</x:v>
      </x:c>
      <x:c r="AX34" s="117" t="n">
        <x:f>'Продажи'!AX26*'Вводные'!$B$20+'ОБЪЕКТЫ'!AX98</x:f>
        <x:v>15.874783322136121</x:v>
      </x:c>
      <x:c r="AY34" s="117" t="n">
        <x:f>'Продажи'!AY26*'Вводные'!$B$20+'ОБЪЕКТЫ'!AY98</x:f>
        <x:v>16.07361498324588</x:v>
      </x:c>
      <x:c r="AZ34" s="117" t="n">
        <x:f>'Продажи'!AZ26*'Вводные'!$B$20+'ОБЪЕКТЫ'!AZ98</x:f>
        <x:v>0</x:v>
      </x:c>
      <x:c r="BA34" s="117" t="n">
        <x:f>'Продажи'!BA26*'Вводные'!$B$20+'ОБЪЕКТЫ'!BA98</x:f>
        <x:v>0</x:v>
      </x:c>
      <x:c r="BB34" s="117" t="n">
        <x:f>'Продажи'!BB26*'Вводные'!$B$20+'ОБЪЕКТЫ'!BB98</x:f>
        <x:v>0</x:v>
      </x:c>
      <x:c r="BC34" s="117" t="n">
        <x:f>'Продажи'!BC26*'Вводные'!$B$20+'ОБЪЕКТЫ'!BC98</x:f>
        <x:v>0</x:v>
      </x:c>
      <x:c r="BD34" s="117" t="n">
        <x:f>'Продажи'!BD26*'Вводные'!$B$20+'ОБЪЕКТЫ'!BD98</x:f>
        <x:v>0</x:v>
      </x:c>
      <x:c r="BE34" s="117" t="n">
        <x:f>'Продажи'!BE26*'Вводные'!$B$20+'ОБЪЕКТЫ'!BE98</x:f>
        <x:v>0</x:v>
      </x:c>
      <x:c r="BF34" s="117" t="n">
        <x:f>'Продажи'!BF26*'Вводные'!$B$20+'ОБЪЕКТЫ'!BF98</x:f>
        <x:v>0</x:v>
      </x:c>
      <x:c r="BG34" s="117" t="n">
        <x:f>'Продажи'!BG26*'Вводные'!$B$20+'ОБЪЕКТЫ'!BG98</x:f>
        <x:v>0</x:v>
      </x:c>
      <x:c r="BH34" s="117" t="n">
        <x:f>'Продажи'!BH26*'Вводные'!$B$20+'ОБЪЕКТЫ'!BH98</x:f>
        <x:v>0</x:v>
      </x:c>
      <x:c r="BI34" s="117" t="n">
        <x:f>'Продажи'!BI26*'Вводные'!$B$20+'ОБЪЕКТЫ'!BI98</x:f>
        <x:v>0</x:v>
      </x:c>
      <x:c r="BJ34" s="117" t="n">
        <x:f>'Продажи'!BJ26*'Вводные'!$B$20+'ОБЪЕКТЫ'!BJ98</x:f>
        <x:v>0</x:v>
      </x:c>
      <x:c r="BK34" s="117" t="n">
        <x:f>'Продажи'!BK26*'Вводные'!$B$20+'ОБЪЕКТЫ'!BK98</x:f>
        <x:v>0</x:v>
      </x:c>
      <x:c r="BL34" s="117" t="n">
        <x:f>'Продажи'!BL26*'Вводные'!$B$20+'ОБЪЕКТЫ'!BL98</x:f>
        <x:v>0</x:v>
      </x:c>
      <x:c r="BM34" s="117" t="n">
        <x:f>'Продажи'!BM26*'Вводные'!$B$20+'ОБЪЕКТЫ'!BM98</x:f>
        <x:v>0</x:v>
      </x:c>
      <x:c r="BN34" s="117" t="n">
        <x:f>'Продажи'!BN26*'Вводные'!$B$20+'ОБЪЕКТЫ'!BN98</x:f>
        <x:v>0</x:v>
      </x:c>
      <x:c r="BO34" s="117" t="n">
        <x:f>'Продажи'!BO26*'Вводные'!$B$20+'ОБЪЕКТЫ'!BO98</x:f>
        <x:v>0</x:v>
      </x:c>
      <x:c r="BP34" s="117" t="n">
        <x:f>'Продажи'!BP26*'Вводные'!$B$20+'ОБЪЕКТЫ'!BP98</x:f>
        <x:v>0</x:v>
      </x:c>
      <x:c r="BQ34" s="117" t="n">
        <x:f>'Продажи'!BQ26*'Вводные'!$B$20+'ОБЪЕКТЫ'!BQ98</x:f>
        <x:v>0</x:v>
      </x:c>
      <x:c r="BR34" s="117" t="n">
        <x:f>'Продажи'!BR26*'Вводные'!$B$20+'ОБЪЕКТЫ'!BR98</x:f>
        <x:v>0</x:v>
      </x:c>
      <x:c r="BS34" s="117" t="n">
        <x:f>'Продажи'!BS26*'Вводные'!$B$20+'ОБЪЕКТЫ'!BS98</x:f>
        <x:v>0</x:v>
      </x:c>
      <x:c r="BT34" s="117" t="n">
        <x:f>'Продажи'!BT26*'Вводные'!$B$20+'ОБЪЕКТЫ'!BT98</x:f>
        <x:v>0</x:v>
      </x:c>
      <x:c r="BU34" s="117" t="n">
        <x:f>'Продажи'!BU26*'Вводные'!$B$20+'ОБЪЕКТЫ'!BU98</x:f>
        <x:v>0</x:v>
      </x:c>
      <x:c r="BV34" s="117" t="n">
        <x:f>'Продажи'!BV26*'Вводные'!$B$20+'ОБЪЕКТЫ'!BV98</x:f>
        <x:v>0</x:v>
      </x:c>
      <x:c r="BW34" s="117" t="n">
        <x:f>'Продажи'!BW26*'Вводные'!$B$20+'ОБЪЕКТЫ'!BW98</x:f>
        <x:v>0</x:v>
      </x:c>
      <x:c r="BX34" s="117" t="n">
        <x:f>'Продажи'!BX26*'Вводные'!$B$20+'ОБЪЕКТЫ'!BX98</x:f>
        <x:v>0</x:v>
      </x:c>
      <x:c r="BY34" s="117" t="n">
        <x:f>'Продажи'!BY26*'Вводные'!$B$20+'ОБЪЕКТЫ'!BY98</x:f>
        <x:v>0</x:v>
      </x:c>
      <x:c r="BZ34" s="117" t="n">
        <x:f>'Продажи'!BZ26*'Вводные'!$B$20+'ОБЪЕКТЫ'!BZ98</x:f>
        <x:v>0</x:v>
      </x:c>
      <x:c r="CA34" s="117" t="n">
        <x:f>'Продажи'!CA26*'Вводные'!$B$20+'ОБЪЕКТЫ'!CA98</x:f>
        <x:v>0</x:v>
      </x:c>
      <x:c r="CB34" s="117" t="n">
        <x:f>'Продажи'!CB26*'Вводные'!$B$20+'ОБЪЕКТЫ'!CB98</x:f>
        <x:v>0</x:v>
      </x:c>
      <x:c r="CC34" s="117" t="n">
        <x:f>'Продажи'!CC26*'Вводные'!$B$20+'ОБЪЕКТЫ'!CC98</x:f>
        <x:v>0</x:v>
      </x:c>
      <x:c r="CD34" s="117" t="n">
        <x:f>'Продажи'!CD26*'Вводные'!$B$20+'ОБЪЕКТЫ'!CD98</x:f>
        <x:v>0</x:v>
      </x:c>
      <x:c r="CE34" s="117" t="n">
        <x:f>'Продажи'!CE26*'Вводные'!$B$20+'ОБЪЕКТЫ'!CE98</x:f>
        <x:v>0</x:v>
      </x:c>
      <x:c r="CF34" s="117" t="n">
        <x:f>'Продажи'!CF26*'Вводные'!$B$20+'ОБЪЕКТЫ'!CF98</x:f>
        <x:v>0</x:v>
      </x:c>
      <x:c r="CG34" s="117" t="n">
        <x:f>'Продажи'!CG26*'Вводные'!$B$20+'ОБЪЕКТЫ'!CG98</x:f>
        <x:v>0</x:v>
      </x:c>
      <x:c r="CH34" s="117" t="n">
        <x:f>'Продажи'!CH26*'Вводные'!$B$20+'ОБЪЕКТЫ'!CH98</x:f>
        <x:v>0</x:v>
      </x:c>
      <x:c r="CI34" s="117" t="n">
        <x:f>'Продажи'!CI26*'Вводные'!$B$20+'ОБЪЕКТЫ'!CI98</x:f>
        <x:v>0</x:v>
      </x:c>
      <x:c r="CJ34" s="117" t="n">
        <x:f>'Продажи'!CJ26*'Вводные'!$B$20+'ОБЪЕКТЫ'!CJ98</x:f>
        <x:v>0</x:v>
      </x:c>
      <x:c r="CK34" s="117" t="n">
        <x:f>'Продажи'!CK26*'Вводные'!$B$20+'ОБЪЕКТЫ'!CK98</x:f>
        <x:v>0</x:v>
      </x:c>
      <x:c r="CL34" s="117" t="n">
        <x:f>'Продажи'!CL26*'Вводные'!$B$20+'ОБЪЕКТЫ'!CL98</x:f>
        <x:v>0</x:v>
      </x:c>
      <x:c r="CM34" s="117" t="n">
        <x:f>'Продажи'!CM26*'Вводные'!$B$20+'ОБЪЕКТЫ'!CM98</x:f>
        <x:v>0</x:v>
      </x:c>
      <x:c r="CN34" s="117" t="n">
        <x:f>'Продажи'!CN26*'Вводные'!$B$20+'ОБЪЕКТЫ'!CN98</x:f>
        <x:v>0</x:v>
      </x:c>
      <x:c r="CO34" s="117" t="n">
        <x:f>'Продажи'!CO26*'Вводные'!$B$20+'ОБЪЕКТЫ'!CO98</x:f>
        <x:v>0</x:v>
      </x:c>
      <x:c r="CP34" s="117" t="n">
        <x:f>'Продажи'!CP26*'Вводные'!$B$20+'ОБЪЕКТЫ'!CP98</x:f>
        <x:v>0</x:v>
      </x:c>
      <x:c r="CQ34" s="117" t="n">
        <x:f>'Продажи'!CQ26*'Вводные'!$B$20+'ОБЪЕКТЫ'!CQ98</x:f>
        <x:v>0</x:v>
      </x:c>
      <x:c r="CR34" s="117" t="n">
        <x:f>'Продажи'!CR26*'Вводные'!$B$20+'ОБЪЕКТЫ'!CR98</x:f>
        <x:v>0</x:v>
      </x:c>
      <x:c r="CS34" s="117" t="n">
        <x:f>'Продажи'!CS26*'Вводные'!$B$20+'ОБЪЕКТЫ'!CS98</x:f>
        <x:v>0</x:v>
      </x:c>
      <x:c r="CT34" s="117" t="n">
        <x:f>'Продажи'!CT26*'Вводные'!$B$20+'ОБЪЕКТЫ'!CT98</x:f>
        <x:v>0</x:v>
      </x:c>
      <x:c r="CU34" s="117" t="n">
        <x:f>'Продажи'!CU26*'Вводные'!$B$20+'ОБЪЕКТЫ'!CU98</x:f>
        <x:v>0</x:v>
      </x:c>
      <x:c r="CV34" s="117" t="n">
        <x:f>'Продажи'!CV26*'Вводные'!$B$20+'ОБЪЕКТЫ'!CV98</x:f>
        <x:v>0</x:v>
      </x:c>
      <x:c r="CW34" s="117" t="n">
        <x:f>'Продажи'!CW26*'Вводные'!$B$20+'ОБЪЕКТЫ'!CW98</x:f>
        <x:v>0</x:v>
      </x:c>
      <x:c r="CX34" s="117" t="n">
        <x:f>'Продажи'!CX26*'Вводные'!$B$20+'ОБЪЕКТЫ'!CX98</x:f>
        <x:v>0</x:v>
      </x:c>
      <x:c r="CY34" s="117" t="n">
        <x:f>'Продажи'!CY26*'Вводные'!$B$20+'ОБЪЕКТЫ'!CY98</x:f>
        <x:v>0</x:v>
      </x:c>
      <x:c r="CZ34" s="117" t="n">
        <x:f>'Продажи'!CZ26*'Вводные'!$B$20+'ОБЪЕКТЫ'!CZ98</x:f>
        <x:v>0</x:v>
      </x:c>
      <x:c r="DA34" s="117" t="n">
        <x:f>'Продажи'!DA26*'Вводные'!$B$20+'ОБЪЕКТЫ'!DA98</x:f>
        <x:v>0</x:v>
      </x:c>
      <x:c r="DB34" s="117" t="n">
        <x:f>'Продажи'!DB26*'Вводные'!$B$20+'ОБЪЕКТЫ'!DB98</x:f>
        <x:v>0</x:v>
      </x:c>
      <x:c r="DC34" s="117" t="n">
        <x:f>'Продажи'!DC26*'Вводные'!$B$20+'ОБЪЕКТЫ'!DC98</x:f>
        <x:v>0</x:v>
      </x:c>
      <x:c r="DD34" s="117" t="n">
        <x:f>'Продажи'!DD26*'Вводные'!$B$20+'ОБЪЕКТЫ'!DD98</x:f>
        <x:v>0</x:v>
      </x:c>
      <x:c r="DE34" s="117" t="n">
        <x:f>'Продажи'!DE26*'Вводные'!$B$20+'ОБЪЕКТЫ'!DE98</x:f>
        <x:v>0</x:v>
      </x:c>
      <x:c r="DF34" s="117" t="n">
        <x:f>'Продажи'!DF26*'Вводные'!$B$20+'ОБЪЕКТЫ'!DF98</x:f>
        <x:v>0</x:v>
      </x:c>
      <x:c r="DG34" s="117" t="n">
        <x:f>'Продажи'!DG26*'Вводные'!$B$20+'ОБЪЕКТЫ'!DG98</x:f>
        <x:v>0</x:v>
      </x:c>
      <x:c r="DH34" s="117" t="n">
        <x:f>'Продажи'!DH26*'Вводные'!$B$20+'ОБЪЕКТЫ'!DH98</x:f>
        <x:v>0</x:v>
      </x:c>
      <x:c r="DI34" s="117" t="n">
        <x:f>'Продажи'!DI26*'Вводные'!$B$20+'ОБЪЕКТЫ'!DI98</x:f>
        <x:v>0</x:v>
      </x:c>
      <x:c r="DJ34" s="117" t="n">
        <x:f>'Продажи'!DJ26*'Вводные'!$B$20+'ОБЪЕКТЫ'!DJ98</x:f>
        <x:v>0</x:v>
      </x:c>
      <x:c r="DK34" s="117" t="n">
        <x:f>'Продажи'!DK26*'Вводные'!$B$20+'ОБЪЕКТЫ'!DK98</x:f>
        <x:v>0</x:v>
      </x:c>
      <x:c r="DL34" s="117" t="n">
        <x:f>'Продажи'!DL26*'Вводные'!$B$20+'ОБЪЕКТЫ'!DL98</x:f>
        <x:v>0</x:v>
      </x:c>
      <x:c r="DM34" s="117" t="n">
        <x:f>'Продажи'!DM26*'Вводные'!$B$20+'ОБЪЕКТЫ'!DM98</x:f>
        <x:v>0</x:v>
      </x:c>
      <x:c r="DN34" s="117" t="n">
        <x:f>'Продажи'!DN26*'Вводные'!$B$20+'ОБЪЕКТЫ'!DN98</x:f>
        <x:v>0</x:v>
      </x:c>
      <x:c r="DO34" s="117" t="n">
        <x:f>'Продажи'!DO26*'Вводные'!$B$20+'ОБЪЕКТЫ'!DO98</x:f>
        <x:v>0</x:v>
      </x:c>
      <x:c r="DP34" s="117" t="n">
        <x:f>'Продажи'!DP26*'Вводные'!$B$20+'ОБЪЕКТЫ'!DP98</x:f>
        <x:v>0</x:v>
      </x:c>
      <x:c r="DQ34" s="117" t="n">
        <x:f>'Продажи'!DQ26*'Вводные'!$B$20+'ОБЪЕКТЫ'!DQ98</x:f>
        <x:v>0</x:v>
      </x:c>
      <x:c r="DR34" s="117" t="n">
        <x:f>'Продажи'!DR26*'Вводные'!$B$20+'ОБЪЕКТЫ'!DR98</x:f>
        <x:v>0</x:v>
      </x:c>
      <x:c r="DS34" s="117" t="n">
        <x:f>'Продажи'!DS26*'Вводные'!$B$20+'ОБЪЕКТЫ'!DS98</x:f>
        <x:v>0</x:v>
      </x:c>
    </x:row>
    <x:row r="35">
      <x:c r="A35" s="113" t="str">
        <x:v>РАСХОДЫ ПРОЕКТА ВСЕГО</x:v>
      </x:c>
      <x:c r="B35" s="113" t="n">
        <x:f>SUM(D35:DS35)</x:f>
        <x:v>10279.575186496022</x:v>
      </x:c>
      <x:c r="C35" s="113" t="str">
        <x:v>млн ₽</x:v>
      </x:c>
      <x:c r="D35" s="120" t="n">
        <x:f>SUM(D32:D34)</x:f>
        <x:v>707.9807307539683</x:v>
      </x:c>
      <x:c r="E35" s="120" t="n">
        <x:f>SUM(E32:E34)</x:f>
        <x:v>7.980730753968252</x:v>
      </x:c>
      <x:c r="F35" s="120" t="n">
        <x:f>SUM(F32:F34)</x:f>
        <x:v>7.980730753968252</x:v>
      </x:c>
      <x:c r="G35" s="120" t="n">
        <x:f>SUM(G32:G34)</x:f>
        <x:v>7.980730753968252</x:v>
      </x:c>
      <x:c r="H35" s="120" t="n">
        <x:f>SUM(H32:H34)</x:f>
        <x:v>7.980730753968252</x:v>
      </x:c>
      <x:c r="I35" s="120" t="n">
        <x:f>SUM(I32:I34)</x:f>
        <x:v>7.980730753968252</x:v>
      </x:c>
      <x:c r="J35" s="120" t="n">
        <x:f>SUM(J32:J34)</x:f>
        <x:v>7.980730753968252</x:v>
      </x:c>
      <x:c r="K35" s="120" t="n">
        <x:f>SUM(K32:K34)</x:f>
        <x:v>7.980730753968252</x:v>
      </x:c>
      <x:c r="L35" s="120" t="n">
        <x:f>SUM(L32:L34)</x:f>
        <x:v>7.980730753968252</x:v>
      </x:c>
      <x:c r="M35" s="120" t="n">
        <x:f>SUM(M32:M34)</x:f>
        <x:v>7.980730753968252</x:v>
      </x:c>
      <x:c r="N35" s="120" t="n">
        <x:f>SUM(N32:N34)</x:f>
        <x:v>7.980730753968252</x:v>
      </x:c>
      <x:c r="O35" s="120" t="n">
        <x:f>SUM(O32:O34)</x:f>
        <x:v>7.980730753968252</x:v>
      </x:c>
      <x:c r="P35" s="120" t="n">
        <x:f>SUM(P32:P34)</x:f>
        <x:v>33.94773075396826</x:v>
      </x:c>
      <x:c r="Q35" s="120" t="n">
        <x:f>SUM(Q32:Q34)</x:f>
        <x:v>33.94773075396826</x:v>
      </x:c>
      <x:c r="R35" s="120" t="n">
        <x:f>SUM(R32:R34)</x:f>
        <x:v>33.94773075396826</x:v>
      </x:c>
      <x:c r="S35" s="120" t="n">
        <x:f>SUM(S32:S34)</x:f>
        <x:v>33.94773075396826</x:v>
      </x:c>
      <x:c r="T35" s="120" t="n">
        <x:f>SUM(T32:T34)</x:f>
        <x:v>33.94773075396826</x:v>
      </x:c>
      <x:c r="U35" s="120" t="n">
        <x:f>SUM(U32:U34)</x:f>
        <x:v>1882.1547307539681</x:v>
      </x:c>
      <x:c r="V35" s="120" t="n">
        <x:f>SUM(V32:V34)</x:f>
        <x:v>180.27246442335544</x:v>
      </x:c>
      <x:c r="W35" s="120" t="n">
        <x:f>SUM(W32:W34)</x:f>
        <x:v>180.79072625464306</x:v>
      </x:c>
      <x:c r="X35" s="120" t="n">
        <x:f>SUM(X32:X34)</x:f>
        <x:v>185.143738289621</x:v>
      </x:c>
      <x:c r="Y35" s="120" t="n">
        <x:f>SUM(Y32:Y34)</x:f>
        <x:v>185.7845126586452</x:v>
      </x:c>
      <x:c r="Z35" s="120" t="n">
        <x:f>SUM(Z32:Z34)</x:f>
        <x:v>339.56891502559137</x:v>
      </x:c>
      <x:c r="AA35" s="120" t="n">
        <x:f>SUM(AA32:AA34)</x:f>
        <x:v>340.24232564958334</x:v>
      </x:c>
      <x:c r="AB35" s="120" t="n">
        <x:f>SUM(AB32:AB34)</x:f>
        <x:v>336.71174337134426</x:v>
      </x:c>
      <x:c r="AC35" s="120" t="n">
        <x:f>SUM(AC32:AC34)</x:f>
        <x:v>341.6403816765188</x:v>
      </x:c>
      <x:c r="AD35" s="120" t="n">
        <x:f>SUM(AD32:AD34)</x:f>
        <x:v>342.36588968678166</x:v>
      </x:c>
      <x:c r="AE35" s="120" t="n">
        <x:f>SUM(AE32:AE34)</x:f>
        <x:v>343.10964422350247</x:v>
      </x:c>
      <x:c r="AF35" s="120" t="n">
        <x:f>SUM(AF32:AF34)</x:f>
        <x:v>339.2102602619895</x:v>
      </x:c>
      <x:c r="AG35" s="120" t="n">
        <x:f>SUM(AG32:AG34)</x:f>
        <x:v>339.8746507186769</x:v>
      </x:c>
      <x:c r="AH35" s="120" t="n">
        <x:f>SUM(AH32:AH34)</x:f>
        <x:v>340.5557505953499</x:v>
      </x:c>
      <x:c r="AI35" s="120" t="n">
        <x:f>SUM(AI32:AI34)</x:f>
        <x:v>341.2539801339213</x:v>
      </x:c>
      <x:c r="AJ35" s="120" t="n">
        <x:f>SUM(AJ32:AJ34)</x:f>
        <x:v>347.1185864025846</x:v>
      </x:c>
      <x:c r="AK35" s="120" t="n">
        <x:f>SUM(AK32:AK34)</x:f>
        <x:v>347.9818712617079</x:v>
      </x:c>
      <x:c r="AL35" s="120" t="n">
        <x:f>SUM(AL32:AL34)</x:f>
        <x:v>348.8668677350382</x:v>
      </x:c>
      <x:c r="AM35" s="120" t="n">
        <x:f>SUM(AM32:AM34)</x:f>
        <x:v>349.7741218696727</x:v>
      </x:c>
      <x:c r="AN35" s="120" t="n">
        <x:f>SUM(AN32:AN34)</x:f>
        <x:v>345.0175361321152</x:v>
      </x:c>
      <x:c r="AO35" s="120" t="n">
        <x:f>SUM(AO32:AO34)</x:f>
        <x:v>249.57264797369268</x:v>
      </x:c>
      <x:c r="AP35" s="120" t="n">
        <x:f>SUM(AP32:AP34)</x:f>
        <x:v>250.55009044129065</x:v>
      </x:c>
      <x:c r="AQ35" s="120" t="n">
        <x:f>SUM(AQ32:AQ34)</x:f>
        <x:v>303.48611558694876</x:v>
      </x:c>
      <x:c r="AR35" s="120" t="n">
        <x:f>SUM(AR32:AR34)</x:f>
        <x:v>298.2326608662039</x:v>
      </x:c>
      <x:c r="AS35" s="120" t="n">
        <x:f>SUM(AS32:AS34)</x:f>
        <x:v>299.1277625580485</x:v>
      </x:c>
      <x:c r="AT35" s="120" t="n">
        <x:f>SUM(AT32:AT34)</x:f>
        <x:v>22.46682799289293</x:v>
      </x:c>
      <x:c r="AU35" s="120" t="n">
        <x:f>SUM(AU32:AU34)</x:f>
        <x:v>22.748225013503905</x:v>
      </x:c>
      <x:c r="AV35" s="120" t="n">
        <x:f>SUM(AV32:AV34)</x:f>
        <x:v>27.097819449174175</x:v>
      </x:c>
      <x:c r="AW35" s="120" t="n">
        <x:f>SUM(AW32:AW34)</x:f>
        <x:v>27.437219637775083</x:v>
      </x:c>
      <x:c r="AX35" s="120" t="n">
        <x:f>SUM(AX32:AX34)</x:f>
        <x:v>27.78087081373821</x:v>
      </x:c>
      <x:c r="AY35" s="120" t="n">
        <x:f>SUM(AY32:AY34)</x:f>
        <x:v>28.12882622068029</x:v>
      </x:c>
      <x:c r="AZ35" s="120" t="n">
        <x:f>SUM(AZ32:AZ34)</x:f>
        <x:v>0</x:v>
      </x:c>
      <x:c r="BA35" s="120" t="n">
        <x:f>SUM(BA32:BA34)</x:f>
        <x:v>0</x:v>
      </x:c>
      <x:c r="BB35" s="120" t="n">
        <x:f>SUM(BB32:BB34)</x:f>
        <x:v>0</x:v>
      </x:c>
      <x:c r="BC35" s="120" t="n">
        <x:f>SUM(BC32:BC34)</x:f>
        <x:v>0</x:v>
      </x:c>
      <x:c r="BD35" s="120" t="n">
        <x:f>SUM(BD32:BD34)</x:f>
        <x:v>0</x:v>
      </x:c>
      <x:c r="BE35" s="120" t="n">
        <x:f>SUM(BE32:BE34)</x:f>
        <x:v>0</x:v>
      </x:c>
      <x:c r="BF35" s="120" t="n">
        <x:f>SUM(BF32:BF34)</x:f>
        <x:v>0</x:v>
      </x:c>
      <x:c r="BG35" s="120" t="n">
        <x:f>SUM(BG32:BG34)</x:f>
        <x:v>0</x:v>
      </x:c>
      <x:c r="BH35" s="120" t="n">
        <x:f>SUM(BH32:BH34)</x:f>
        <x:v>0</x:v>
      </x:c>
      <x:c r="BI35" s="120" t="n">
        <x:f>SUM(BI32:BI34)</x:f>
        <x:v>0</x:v>
      </x:c>
      <x:c r="BJ35" s="120" t="n">
        <x:f>SUM(BJ32:BJ34)</x:f>
        <x:v>0</x:v>
      </x:c>
      <x:c r="BK35" s="120" t="n">
        <x:f>SUM(BK32:BK34)</x:f>
        <x:v>0</x:v>
      </x:c>
      <x:c r="BL35" s="120" t="n">
        <x:f>SUM(BL32:BL34)</x:f>
        <x:v>0</x:v>
      </x:c>
      <x:c r="BM35" s="120" t="n">
        <x:f>SUM(BM32:BM34)</x:f>
        <x:v>0</x:v>
      </x:c>
      <x:c r="BN35" s="120" t="n">
        <x:f>SUM(BN32:BN34)</x:f>
        <x:v>0</x:v>
      </x:c>
      <x:c r="BO35" s="120" t="n">
        <x:f>SUM(BO32:BO34)</x:f>
        <x:v>0</x:v>
      </x:c>
      <x:c r="BP35" s="120" t="n">
        <x:f>SUM(BP32:BP34)</x:f>
        <x:v>0</x:v>
      </x:c>
      <x:c r="BQ35" s="120" t="n">
        <x:f>SUM(BQ32:BQ34)</x:f>
        <x:v>0</x:v>
      </x:c>
      <x:c r="BR35" s="120" t="n">
        <x:f>SUM(BR32:BR34)</x:f>
        <x:v>0</x:v>
      </x:c>
      <x:c r="BS35" s="120" t="n">
        <x:f>SUM(BS32:BS34)</x:f>
        <x:v>0</x:v>
      </x:c>
      <x:c r="BT35" s="120" t="n">
        <x:f>SUM(BT32:BT34)</x:f>
        <x:v>0</x:v>
      </x:c>
      <x:c r="BU35" s="120" t="n">
        <x:f>SUM(BU32:BU34)</x:f>
        <x:v>0</x:v>
      </x:c>
      <x:c r="BV35" s="120" t="n">
        <x:f>SUM(BV32:BV34)</x:f>
        <x:v>0</x:v>
      </x:c>
      <x:c r="BW35" s="120" t="n">
        <x:f>SUM(BW32:BW34)</x:f>
        <x:v>0</x:v>
      </x:c>
      <x:c r="BX35" s="120" t="n">
        <x:f>SUM(BX32:BX34)</x:f>
        <x:v>0</x:v>
      </x:c>
      <x:c r="BY35" s="120" t="n">
        <x:f>SUM(BY32:BY34)</x:f>
        <x:v>0</x:v>
      </x:c>
      <x:c r="BZ35" s="120" t="n">
        <x:f>SUM(BZ32:BZ34)</x:f>
        <x:v>0</x:v>
      </x:c>
      <x:c r="CA35" s="120" t="n">
        <x:f>SUM(CA32:CA34)</x:f>
        <x:v>0</x:v>
      </x:c>
      <x:c r="CB35" s="120" t="n">
        <x:f>SUM(CB32:CB34)</x:f>
        <x:v>0</x:v>
      </x:c>
      <x:c r="CC35" s="120" t="n">
        <x:f>SUM(CC32:CC34)</x:f>
        <x:v>0</x:v>
      </x:c>
      <x:c r="CD35" s="120" t="n">
        <x:f>SUM(CD32:CD34)</x:f>
        <x:v>0</x:v>
      </x:c>
      <x:c r="CE35" s="120" t="n">
        <x:f>SUM(CE32:CE34)</x:f>
        <x:v>0</x:v>
      </x:c>
      <x:c r="CF35" s="120" t="n">
        <x:f>SUM(CF32:CF34)</x:f>
        <x:v>0</x:v>
      </x:c>
      <x:c r="CG35" s="120" t="n">
        <x:f>SUM(CG32:CG34)</x:f>
        <x:v>0</x:v>
      </x:c>
      <x:c r="CH35" s="120" t="n">
        <x:f>SUM(CH32:CH34)</x:f>
        <x:v>0</x:v>
      </x:c>
      <x:c r="CI35" s="120" t="n">
        <x:f>SUM(CI32:CI34)</x:f>
        <x:v>0</x:v>
      </x:c>
      <x:c r="CJ35" s="120" t="n">
        <x:f>SUM(CJ32:CJ34)</x:f>
        <x:v>0</x:v>
      </x:c>
      <x:c r="CK35" s="120" t="n">
        <x:f>SUM(CK32:CK34)</x:f>
        <x:v>0</x:v>
      </x:c>
      <x:c r="CL35" s="120" t="n">
        <x:f>SUM(CL32:CL34)</x:f>
        <x:v>0</x:v>
      </x:c>
      <x:c r="CM35" s="120" t="n">
        <x:f>SUM(CM32:CM34)</x:f>
        <x:v>0</x:v>
      </x:c>
      <x:c r="CN35" s="120" t="n">
        <x:f>SUM(CN32:CN34)</x:f>
        <x:v>0</x:v>
      </x:c>
      <x:c r="CO35" s="120" t="n">
        <x:f>SUM(CO32:CO34)</x:f>
        <x:v>0</x:v>
      </x:c>
      <x:c r="CP35" s="120" t="n">
        <x:f>SUM(CP32:CP34)</x:f>
        <x:v>0</x:v>
      </x:c>
      <x:c r="CQ35" s="120" t="n">
        <x:f>SUM(CQ32:CQ34)</x:f>
        <x:v>0</x:v>
      </x:c>
      <x:c r="CR35" s="120" t="n">
        <x:f>SUM(CR32:CR34)</x:f>
        <x:v>0</x:v>
      </x:c>
      <x:c r="CS35" s="120" t="n">
        <x:f>SUM(CS32:CS34)</x:f>
        <x:v>0</x:v>
      </x:c>
      <x:c r="CT35" s="120" t="n">
        <x:f>SUM(CT32:CT34)</x:f>
        <x:v>0</x:v>
      </x:c>
      <x:c r="CU35" s="120" t="n">
        <x:f>SUM(CU32:CU34)</x:f>
        <x:v>0</x:v>
      </x:c>
      <x:c r="CV35" s="120" t="n">
        <x:f>SUM(CV32:CV34)</x:f>
        <x:v>0</x:v>
      </x:c>
      <x:c r="CW35" s="120" t="n">
        <x:f>SUM(CW32:CW34)</x:f>
        <x:v>0</x:v>
      </x:c>
      <x:c r="CX35" s="120" t="n">
        <x:f>SUM(CX32:CX34)</x:f>
        <x:v>0</x:v>
      </x:c>
      <x:c r="CY35" s="120" t="n">
        <x:f>SUM(CY32:CY34)</x:f>
        <x:v>0</x:v>
      </x:c>
      <x:c r="CZ35" s="120" t="n">
        <x:f>SUM(CZ32:CZ34)</x:f>
        <x:v>0</x:v>
      </x:c>
      <x:c r="DA35" s="120" t="n">
        <x:f>SUM(DA32:DA34)</x:f>
        <x:v>0</x:v>
      </x:c>
      <x:c r="DB35" s="120" t="n">
        <x:f>SUM(DB32:DB34)</x:f>
        <x:v>0</x:v>
      </x:c>
      <x:c r="DC35" s="120" t="n">
        <x:f>SUM(DC32:DC34)</x:f>
        <x:v>0</x:v>
      </x:c>
      <x:c r="DD35" s="120" t="n">
        <x:f>SUM(DD32:DD34)</x:f>
        <x:v>0</x:v>
      </x:c>
      <x:c r="DE35" s="120" t="n">
        <x:f>SUM(DE32:DE34)</x:f>
        <x:v>0</x:v>
      </x:c>
      <x:c r="DF35" s="120" t="n">
        <x:f>SUM(DF32:DF34)</x:f>
        <x:v>0</x:v>
      </x:c>
      <x:c r="DG35" s="120" t="n">
        <x:f>SUM(DG32:DG34)</x:f>
        <x:v>0</x:v>
      </x:c>
      <x:c r="DH35" s="120" t="n">
        <x:f>SUM(DH32:DH34)</x:f>
        <x:v>0</x:v>
      </x:c>
      <x:c r="DI35" s="120" t="n">
        <x:f>SUM(DI32:DI34)</x:f>
        <x:v>0</x:v>
      </x:c>
      <x:c r="DJ35" s="120" t="n">
        <x:f>SUM(DJ32:DJ34)</x:f>
        <x:v>0</x:v>
      </x:c>
      <x:c r="DK35" s="120" t="n">
        <x:f>SUM(DK32:DK34)</x:f>
        <x:v>0</x:v>
      </x:c>
      <x:c r="DL35" s="120" t="n">
        <x:f>SUM(DL32:DL34)</x:f>
        <x:v>0</x:v>
      </x:c>
      <x:c r="DM35" s="120" t="n">
        <x:f>SUM(DM32:DM34)</x:f>
        <x:v>0</x:v>
      </x:c>
      <x:c r="DN35" s="120" t="n">
        <x:f>SUM(DN32:DN34)</x:f>
        <x:v>0</x:v>
      </x:c>
      <x:c r="DO35" s="120" t="n">
        <x:f>SUM(DO32:DO34)</x:f>
        <x:v>0</x:v>
      </x:c>
      <x:c r="DP35" s="120" t="n">
        <x:f>SUM(DP32:DP34)</x:f>
        <x:v>0</x:v>
      </x:c>
      <x:c r="DQ35" s="120" t="n">
        <x:f>SUM(DQ32:DQ34)</x:f>
        <x:v>0</x:v>
      </x:c>
      <x:c r="DR35" s="120" t="n">
        <x:f>SUM(DR32:DR34)</x:f>
        <x:v>0</x:v>
      </x:c>
      <x:c r="DS35" s="120" t="n">
        <x:f>SUM(DS32:DS34)</x:f>
        <x:v>0</x:v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  <x:v>47665</x:v>
      </x:c>
      <x:c r="C41" t="str">
        <x:v>дата</x:v>
      </x:c>
    </x:row>
    <x:row r="42">
      <x:c r="A42" t="str">
        <x:v>РВЭ</x:v>
      </x:c>
      <x:c r="B42" s="106" t="n">
        <x:f>EDATE(B41,'Вводные'!$F$89)</x:f>
        <x:v>48396</x:v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  <x:v>0</x:v>
      </x:c>
      <x:c r="E43" t="n">
        <x:f>--AND(E$3&gt;=EDATE($B$41,-'Вводные'!$E$89),E$3&lt;$B$42,'Вводные'!$B$89="Да")</x:f>
        <x:v>0</x:v>
      </x:c>
      <x:c r="F43" t="n">
        <x:f>--AND(F$3&gt;=EDATE($B$41,-'Вводные'!$E$89),F$3&lt;$B$42,'Вводные'!$B$89="Да")</x:f>
        <x:v>0</x:v>
      </x:c>
      <x:c r="G43" t="n">
        <x:f>--AND(G$3&gt;=EDATE($B$41,-'Вводные'!$E$89),G$3&lt;$B$42,'Вводные'!$B$89="Да")</x:f>
        <x:v>0</x:v>
      </x:c>
      <x:c r="H43" t="n">
        <x:f>--AND(H$3&gt;=EDATE($B$41,-'Вводные'!$E$89),H$3&lt;$B$42,'Вводные'!$B$89="Да")</x:f>
        <x:v>0</x:v>
      </x:c>
      <x:c r="I43" t="n">
        <x:f>--AND(I$3&gt;=EDATE($B$41,-'Вводные'!$E$89),I$3&lt;$B$42,'Вводные'!$B$89="Да")</x:f>
        <x:v>0</x:v>
      </x:c>
      <x:c r="J43" t="n">
        <x:f>--AND(J$3&gt;=EDATE($B$41,-'Вводные'!$E$89),J$3&lt;$B$42,'Вводные'!$B$89="Да")</x:f>
        <x:v>0</x:v>
      </x:c>
      <x:c r="K43" t="n">
        <x:f>--AND(K$3&gt;=EDATE($B$41,-'Вводные'!$E$89),K$3&lt;$B$42,'Вводные'!$B$89="Да")</x:f>
        <x:v>0</x:v>
      </x:c>
      <x:c r="L43" t="n">
        <x:f>--AND(L$3&gt;=EDATE($B$41,-'Вводные'!$E$89),L$3&lt;$B$42,'Вводные'!$B$89="Да")</x:f>
        <x:v>0</x:v>
      </x:c>
      <x:c r="M43" t="n">
        <x:f>--AND(M$3&gt;=EDATE($B$41,-'Вводные'!$E$89),M$3&lt;$B$42,'Вводные'!$B$89="Да")</x:f>
        <x:v>0</x:v>
      </x:c>
      <x:c r="N43" t="n">
        <x:f>--AND(N$3&gt;=EDATE($B$41,-'Вводные'!$E$89),N$3&lt;$B$42,'Вводные'!$B$89="Да")</x:f>
        <x:v>0</x:v>
      </x:c>
      <x:c r="O43" t="n">
        <x:f>--AND(O$3&gt;=EDATE($B$41,-'Вводные'!$E$89),O$3&lt;$B$42,'Вводные'!$B$89="Да")</x:f>
        <x:v>0</x:v>
      </x:c>
      <x:c r="P43" t="n">
        <x:f>--AND(P$3&gt;=EDATE($B$41,-'Вводные'!$E$89),P$3&lt;$B$42,'Вводные'!$B$89="Да")</x:f>
        <x:v>0</x:v>
      </x:c>
      <x:c r="Q43" t="n">
        <x:f>--AND(Q$3&gt;=EDATE($B$41,-'Вводные'!$E$89),Q$3&lt;$B$42,'Вводные'!$B$89="Да")</x:f>
        <x:v>0</x:v>
      </x:c>
      <x:c r="R43" t="n">
        <x:f>--AND(R$3&gt;=EDATE($B$41,-'Вводные'!$E$89),R$3&lt;$B$42,'Вводные'!$B$89="Да")</x:f>
        <x:v>0</x:v>
      </x:c>
      <x:c r="S43" t="n">
        <x:f>--AND(S$3&gt;=EDATE($B$41,-'Вводные'!$E$89),S$3&lt;$B$42,'Вводные'!$B$89="Да")</x:f>
        <x:v>0</x:v>
      </x:c>
      <x:c r="T43" t="n">
        <x:f>--AND(T$3&gt;=EDATE($B$41,-'Вводные'!$E$89),T$3&lt;$B$42,'Вводные'!$B$89="Да")</x:f>
        <x:v>0</x:v>
      </x:c>
      <x:c r="U43" t="n">
        <x:f>--AND(U$3&gt;=EDATE($B$41,-'Вводные'!$E$89),U$3&lt;$B$42,'Вводные'!$B$89="Да")</x:f>
        <x:v>0</x:v>
      </x:c>
      <x:c r="V43" t="n">
        <x:f>--AND(V$3&gt;=EDATE($B$41,-'Вводные'!$E$89),V$3&lt;$B$42,'Вводные'!$B$89="Да")</x:f>
        <x:v>0</x:v>
      </x:c>
      <x:c r="W43" t="n">
        <x:f>--AND(W$3&gt;=EDATE($B$41,-'Вводные'!$E$89),W$3&lt;$B$42,'Вводные'!$B$89="Да")</x:f>
        <x:v>0</x:v>
      </x:c>
      <x:c r="X43" t="n">
        <x:f>--AND(X$3&gt;=EDATE($B$41,-'Вводные'!$E$89),X$3&lt;$B$42,'Вводные'!$B$89="Да")</x:f>
        <x:v>0</x:v>
      </x:c>
      <x:c r="Y43" t="n">
        <x:f>--AND(Y$3&gt;=EDATE($B$41,-'Вводные'!$E$89),Y$3&lt;$B$42,'Вводные'!$B$89="Да")</x:f>
        <x:v>0</x:v>
      </x:c>
      <x:c r="Z43" t="n">
        <x:f>--AND(Z$3&gt;=EDATE($B$41,-'Вводные'!$E$89),Z$3&lt;$B$42,'Вводные'!$B$89="Да")</x:f>
        <x:v>0</x:v>
      </x:c>
      <x:c r="AA43" t="n">
        <x:f>--AND(AA$3&gt;=EDATE($B$41,-'Вводные'!$E$89),AA$3&lt;$B$42,'Вводные'!$B$89="Да")</x:f>
        <x:v>0</x:v>
      </x:c>
      <x:c r="AB43" t="n">
        <x:f>--AND(AB$3&gt;=EDATE($B$41,-'Вводные'!$E$89),AB$3&lt;$B$42,'Вводные'!$B$89="Да")</x:f>
        <x:v>0</x:v>
      </x:c>
      <x:c r="AC43" t="n">
        <x:f>--AND(AC$3&gt;=EDATE($B$41,-'Вводные'!$E$89),AC$3&lt;$B$42,'Вводные'!$B$89="Да")</x:f>
        <x:v>0</x:v>
      </x:c>
      <x:c r="AD43" t="n">
        <x:f>--AND(AD$3&gt;=EDATE($B$41,-'Вводные'!$E$89),AD$3&lt;$B$42,'Вводные'!$B$89="Да")</x:f>
        <x:v>0</x:v>
      </x:c>
      <x:c r="AE43" t="n">
        <x:f>--AND(AE$3&gt;=EDATE($B$41,-'Вводные'!$E$89),AE$3&lt;$B$42,'Вводные'!$B$89="Да")</x:f>
        <x:v>0</x:v>
      </x:c>
      <x:c r="AF43" t="n">
        <x:f>--AND(AF$3&gt;=EDATE($B$41,-'Вводные'!$E$89),AF$3&lt;$B$42,'Вводные'!$B$89="Да")</x:f>
        <x:v>0</x:v>
      </x:c>
      <x:c r="AG43" t="n">
        <x:f>--AND(AG$3&gt;=EDATE($B$41,-'Вводные'!$E$89),AG$3&lt;$B$42,'Вводные'!$B$89="Да")</x:f>
        <x:v>0</x:v>
      </x:c>
      <x:c r="AH43" t="n">
        <x:f>--AND(AH$3&gt;=EDATE($B$41,-'Вводные'!$E$89),AH$3&lt;$B$42,'Вводные'!$B$89="Да")</x:f>
        <x:v>0</x:v>
      </x:c>
      <x:c r="AI43" t="n">
        <x:f>--AND(AI$3&gt;=EDATE($B$41,-'Вводные'!$E$89),AI$3&lt;$B$42,'Вводные'!$B$89="Да")</x:f>
        <x:v>0</x:v>
      </x:c>
      <x:c r="AJ43" t="n">
        <x:f>--AND(AJ$3&gt;=EDATE($B$41,-'Вводные'!$E$89),AJ$3&lt;$B$42,'Вводные'!$B$89="Да")</x:f>
        <x:v>0</x:v>
      </x:c>
      <x:c r="AK43" t="n">
        <x:f>--AND(AK$3&gt;=EDATE($B$41,-'Вводные'!$E$89),AK$3&lt;$B$42,'Вводные'!$B$89="Да")</x:f>
        <x:v>0</x:v>
      </x:c>
      <x:c r="AL43" t="n">
        <x:f>--AND(AL$3&gt;=EDATE($B$41,-'Вводные'!$E$89),AL$3&lt;$B$42,'Вводные'!$B$89="Да")</x:f>
        <x:v>0</x:v>
      </x:c>
      <x:c r="AM43" t="n">
        <x:f>--AND(AM$3&gt;=EDATE($B$41,-'Вводные'!$E$89),AM$3&lt;$B$42,'Вводные'!$B$89="Да")</x:f>
        <x:v>0</x:v>
      </x:c>
      <x:c r="AN43" t="n">
        <x:f>--AND(AN$3&gt;=EDATE($B$41,-'Вводные'!$E$89),AN$3&lt;$B$42,'Вводные'!$B$89="Да")</x:f>
        <x:v>0</x:v>
      </x:c>
      <x:c r="AO43" t="n">
        <x:f>--AND(AO$3&gt;=EDATE($B$41,-'Вводные'!$E$89),AO$3&lt;$B$42,'Вводные'!$B$89="Да")</x:f>
        <x:v>0</x:v>
      </x:c>
      <x:c r="AP43" t="n">
        <x:f>--AND(AP$3&gt;=EDATE($B$41,-'Вводные'!$E$89),AP$3&lt;$B$42,'Вводные'!$B$89="Да")</x:f>
        <x:v>0</x:v>
      </x:c>
      <x:c r="AQ43" t="n">
        <x:f>--AND(AQ$3&gt;=EDATE($B$41,-'Вводные'!$E$89),AQ$3&lt;$B$42,'Вводные'!$B$89="Да")</x:f>
        <x:v>0</x:v>
      </x:c>
      <x:c r="AR43" t="n">
        <x:f>--AND(AR$3&gt;=EDATE($B$41,-'Вводные'!$E$89),AR$3&lt;$B$42,'Вводные'!$B$89="Да")</x:f>
        <x:v>0</x:v>
      </x:c>
      <x:c r="AS43" t="n">
        <x:f>--AND(AS$3&gt;=EDATE($B$41,-'Вводные'!$E$89),AS$3&lt;$B$42,'Вводные'!$B$89="Да")</x:f>
        <x:v>0</x:v>
      </x:c>
      <x:c r="AT43" t="n">
        <x:f>--AND(AT$3&gt;=EDATE($B$41,-'Вводные'!$E$89),AT$3&lt;$B$42,'Вводные'!$B$89="Да")</x:f>
        <x:v>0</x:v>
      </x:c>
      <x:c r="AU43" t="n">
        <x:f>--AND(AU$3&gt;=EDATE($B$41,-'Вводные'!$E$89),AU$3&lt;$B$42,'Вводные'!$B$89="Да")</x:f>
        <x:v>0</x:v>
      </x:c>
      <x:c r="AV43" t="n">
        <x:f>--AND(AV$3&gt;=EDATE($B$41,-'Вводные'!$E$89),AV$3&lt;$B$42,'Вводные'!$B$89="Да")</x:f>
        <x:v>0</x:v>
      </x:c>
      <x:c r="AW43" t="n">
        <x:f>--AND(AW$3&gt;=EDATE($B$41,-'Вводные'!$E$89),AW$3&lt;$B$42,'Вводные'!$B$89="Да")</x:f>
        <x:v>0</x:v>
      </x:c>
      <x:c r="AX43" t="n">
        <x:f>--AND(AX$3&gt;=EDATE($B$41,-'Вводные'!$E$89),AX$3&lt;$B$42,'Вводные'!$B$89="Да")</x:f>
        <x:v>0</x:v>
      </x:c>
      <x:c r="AY43" t="n">
        <x:f>--AND(AY$3&gt;=EDATE($B$41,-'Вводные'!$E$89),AY$3&lt;$B$42,'Вводные'!$B$89="Да")</x:f>
        <x:v>0</x:v>
      </x:c>
      <x:c r="AZ43" t="n">
        <x:f>--AND(AZ$3&gt;=EDATE($B$41,-'Вводные'!$E$89),AZ$3&lt;$B$42,'Вводные'!$B$89="Да")</x:f>
        <x:v>0</x:v>
      </x:c>
      <x:c r="BA43" t="n">
        <x:f>--AND(BA$3&gt;=EDATE($B$41,-'Вводные'!$E$89),BA$3&lt;$B$42,'Вводные'!$B$89="Да")</x:f>
        <x:v>0</x:v>
      </x:c>
      <x:c r="BB43" t="n">
        <x:f>--AND(BB$3&gt;=EDATE($B$41,-'Вводные'!$E$89),BB$3&lt;$B$42,'Вводные'!$B$89="Да")</x:f>
        <x:v>0</x:v>
      </x:c>
      <x:c r="BC43" t="n">
        <x:f>--AND(BC$3&gt;=EDATE($B$41,-'Вводные'!$E$89),BC$3&lt;$B$42,'Вводные'!$B$89="Да")</x:f>
        <x:v>0</x:v>
      </x:c>
      <x:c r="BD43" t="n">
        <x:f>--AND(BD$3&gt;=EDATE($B$41,-'Вводные'!$E$89),BD$3&lt;$B$42,'Вводные'!$B$89="Да")</x:f>
        <x:v>0</x:v>
      </x:c>
      <x:c r="BE43" t="n">
        <x:f>--AND(BE$3&gt;=EDATE($B$41,-'Вводные'!$E$89),BE$3&lt;$B$42,'Вводные'!$B$89="Да")</x:f>
        <x:v>0</x:v>
      </x:c>
      <x:c r="BF43" t="n">
        <x:f>--AND(BF$3&gt;=EDATE($B$41,-'Вводные'!$E$89),BF$3&lt;$B$42,'Вводные'!$B$89="Да")</x:f>
        <x:v>0</x:v>
      </x:c>
      <x:c r="BG43" t="n">
        <x:f>--AND(BG$3&gt;=EDATE($B$41,-'Вводные'!$E$89),BG$3&lt;$B$42,'Вводные'!$B$89="Да")</x:f>
        <x:v>0</x:v>
      </x:c>
      <x:c r="BH43" t="n">
        <x:f>--AND(BH$3&gt;=EDATE($B$41,-'Вводные'!$E$89),BH$3&lt;$B$42,'Вводные'!$B$89="Да")</x:f>
        <x:v>0</x:v>
      </x:c>
      <x:c r="BI43" t="n">
        <x:f>--AND(BI$3&gt;=EDATE($B$41,-'Вводные'!$E$89),BI$3&lt;$B$42,'Вводные'!$B$89="Да")</x:f>
        <x:v>0</x:v>
      </x:c>
      <x:c r="BJ43" t="n">
        <x:f>--AND(BJ$3&gt;=EDATE($B$41,-'Вводные'!$E$89),BJ$3&lt;$B$42,'Вводные'!$B$89="Да")</x:f>
        <x:v>0</x:v>
      </x:c>
      <x:c r="BK43" t="n">
        <x:f>--AND(BK$3&gt;=EDATE($B$41,-'Вводные'!$E$89),BK$3&lt;$B$42,'Вводные'!$B$89="Да")</x:f>
        <x:v>0</x:v>
      </x:c>
      <x:c r="BL43" t="n">
        <x:f>--AND(BL$3&gt;=EDATE($B$41,-'Вводные'!$E$89),BL$3&lt;$B$42,'Вводные'!$B$89="Да")</x:f>
        <x:v>0</x:v>
      </x:c>
      <x:c r="BM43" t="n">
        <x:f>--AND(BM$3&gt;=EDATE($B$41,-'Вводные'!$E$89),BM$3&lt;$B$42,'Вводные'!$B$89="Да")</x:f>
        <x:v>0</x:v>
      </x:c>
      <x:c r="BN43" t="n">
        <x:f>--AND(BN$3&gt;=EDATE($B$41,-'Вводные'!$E$89),BN$3&lt;$B$42,'Вводные'!$B$89="Да")</x:f>
        <x:v>0</x:v>
      </x:c>
      <x:c r="BO43" t="n">
        <x:f>--AND(BO$3&gt;=EDATE($B$41,-'Вводные'!$E$89),BO$3&lt;$B$42,'Вводные'!$B$89="Да")</x:f>
        <x:v>0</x:v>
      </x:c>
      <x:c r="BP43" t="n">
        <x:f>--AND(BP$3&gt;=EDATE($B$41,-'Вводные'!$E$89),BP$3&lt;$B$42,'Вводные'!$B$89="Да")</x:f>
        <x:v>0</x:v>
      </x:c>
      <x:c r="BQ43" t="n">
        <x:f>--AND(BQ$3&gt;=EDATE($B$41,-'Вводные'!$E$89),BQ$3&lt;$B$42,'Вводные'!$B$89="Да")</x:f>
        <x:v>0</x:v>
      </x:c>
      <x:c r="BR43" t="n">
        <x:f>--AND(BR$3&gt;=EDATE($B$41,-'Вводные'!$E$89),BR$3&lt;$B$42,'Вводные'!$B$89="Да")</x:f>
        <x:v>0</x:v>
      </x:c>
      <x:c r="BS43" t="n">
        <x:f>--AND(BS$3&gt;=EDATE($B$41,-'Вводные'!$E$89),BS$3&lt;$B$42,'Вводные'!$B$89="Да")</x:f>
        <x:v>0</x:v>
      </x:c>
      <x:c r="BT43" t="n">
        <x:f>--AND(BT$3&gt;=EDATE($B$41,-'Вводные'!$E$89),BT$3&lt;$B$42,'Вводные'!$B$89="Да")</x:f>
        <x:v>0</x:v>
      </x:c>
      <x:c r="BU43" t="n">
        <x:f>--AND(BU$3&gt;=EDATE($B$41,-'Вводные'!$E$89),BU$3&lt;$B$42,'Вводные'!$B$89="Да")</x:f>
        <x:v>0</x:v>
      </x:c>
      <x:c r="BV43" t="n">
        <x:f>--AND(BV$3&gt;=EDATE($B$41,-'Вводные'!$E$89),BV$3&lt;$B$42,'Вводные'!$B$89="Да")</x:f>
        <x:v>0</x:v>
      </x:c>
      <x:c r="BW43" t="n">
        <x:f>--AND(BW$3&gt;=EDATE($B$41,-'Вводные'!$E$89),BW$3&lt;$B$42,'Вводные'!$B$89="Да")</x:f>
        <x:v>0</x:v>
      </x:c>
      <x:c r="BX43" t="n">
        <x:f>--AND(BX$3&gt;=EDATE($B$41,-'Вводные'!$E$89),BX$3&lt;$B$42,'Вводные'!$B$89="Да")</x:f>
        <x:v>0</x:v>
      </x:c>
      <x:c r="BY43" t="n">
        <x:f>--AND(BY$3&gt;=EDATE($B$41,-'Вводные'!$E$89),BY$3&lt;$B$42,'Вводные'!$B$89="Да")</x:f>
        <x:v>0</x:v>
      </x:c>
      <x:c r="BZ43" t="n">
        <x:f>--AND(BZ$3&gt;=EDATE($B$41,-'Вводные'!$E$89),BZ$3&lt;$B$42,'Вводные'!$B$89="Да")</x:f>
        <x:v>0</x:v>
      </x:c>
      <x:c r="CA43" t="n">
        <x:f>--AND(CA$3&gt;=EDATE($B$41,-'Вводные'!$E$89),CA$3&lt;$B$42,'Вводные'!$B$89="Да")</x:f>
        <x:v>0</x:v>
      </x:c>
      <x:c r="CB43" t="n">
        <x:f>--AND(CB$3&gt;=EDATE($B$41,-'Вводные'!$E$89),CB$3&lt;$B$42,'Вводные'!$B$89="Да")</x:f>
        <x:v>0</x:v>
      </x:c>
      <x:c r="CC43" t="n">
        <x:f>--AND(CC$3&gt;=EDATE($B$41,-'Вводные'!$E$89),CC$3&lt;$B$42,'Вводные'!$B$89="Да")</x:f>
        <x:v>0</x:v>
      </x:c>
      <x:c r="CD43" t="n">
        <x:f>--AND(CD$3&gt;=EDATE($B$41,-'Вводные'!$E$89),CD$3&lt;$B$42,'Вводные'!$B$89="Да")</x:f>
        <x:v>0</x:v>
      </x:c>
      <x:c r="CE43" t="n">
        <x:f>--AND(CE$3&gt;=EDATE($B$41,-'Вводные'!$E$89),CE$3&lt;$B$42,'Вводные'!$B$89="Да")</x:f>
        <x:v>0</x:v>
      </x:c>
      <x:c r="CF43" t="n">
        <x:f>--AND(CF$3&gt;=EDATE($B$41,-'Вводные'!$E$89),CF$3&lt;$B$42,'Вводные'!$B$89="Да")</x:f>
        <x:v>0</x:v>
      </x:c>
      <x:c r="CG43" t="n">
        <x:f>--AND(CG$3&gt;=EDATE($B$41,-'Вводные'!$E$89),CG$3&lt;$B$42,'Вводные'!$B$89="Да")</x:f>
        <x:v>0</x:v>
      </x:c>
      <x:c r="CH43" t="n">
        <x:f>--AND(CH$3&gt;=EDATE($B$41,-'Вводные'!$E$89),CH$3&lt;$B$42,'Вводные'!$B$89="Да")</x:f>
        <x:v>0</x:v>
      </x:c>
      <x:c r="CI43" t="n">
        <x:f>--AND(CI$3&gt;=EDATE($B$41,-'Вводные'!$E$89),CI$3&lt;$B$42,'Вводные'!$B$89="Да")</x:f>
        <x:v>0</x:v>
      </x:c>
      <x:c r="CJ43" t="n">
        <x:f>--AND(CJ$3&gt;=EDATE($B$41,-'Вводные'!$E$89),CJ$3&lt;$B$42,'Вводные'!$B$89="Да")</x:f>
        <x:v>0</x:v>
      </x:c>
      <x:c r="CK43" t="n">
        <x:f>--AND(CK$3&gt;=EDATE($B$41,-'Вводные'!$E$89),CK$3&lt;$B$42,'Вводные'!$B$89="Да")</x:f>
        <x:v>0</x:v>
      </x:c>
      <x:c r="CL43" t="n">
        <x:f>--AND(CL$3&gt;=EDATE($B$41,-'Вводные'!$E$89),CL$3&lt;$B$42,'Вводные'!$B$89="Да")</x:f>
        <x:v>0</x:v>
      </x:c>
      <x:c r="CM43" t="n">
        <x:f>--AND(CM$3&gt;=EDATE($B$41,-'Вводные'!$E$89),CM$3&lt;$B$42,'Вводные'!$B$89="Да")</x:f>
        <x:v>0</x:v>
      </x:c>
      <x:c r="CN43" t="n">
        <x:f>--AND(CN$3&gt;=EDATE($B$41,-'Вводные'!$E$89),CN$3&lt;$B$42,'Вводные'!$B$89="Да")</x:f>
        <x:v>0</x:v>
      </x:c>
      <x:c r="CO43" t="n">
        <x:f>--AND(CO$3&gt;=EDATE($B$41,-'Вводные'!$E$89),CO$3&lt;$B$42,'Вводные'!$B$89="Да")</x:f>
        <x:v>0</x:v>
      </x:c>
      <x:c r="CP43" t="n">
        <x:f>--AND(CP$3&gt;=EDATE($B$41,-'Вводные'!$E$89),CP$3&lt;$B$42,'Вводные'!$B$89="Да")</x:f>
        <x:v>0</x:v>
      </x:c>
      <x:c r="CQ43" t="n">
        <x:f>--AND(CQ$3&gt;=EDATE($B$41,-'Вводные'!$E$89),CQ$3&lt;$B$42,'Вводные'!$B$89="Да")</x:f>
        <x:v>0</x:v>
      </x:c>
      <x:c r="CR43" t="n">
        <x:f>--AND(CR$3&gt;=EDATE($B$41,-'Вводные'!$E$89),CR$3&lt;$B$42,'Вводные'!$B$89="Да")</x:f>
        <x:v>0</x:v>
      </x:c>
      <x:c r="CS43" t="n">
        <x:f>--AND(CS$3&gt;=EDATE($B$41,-'Вводные'!$E$89),CS$3&lt;$B$42,'Вводные'!$B$89="Да")</x:f>
        <x:v>0</x:v>
      </x:c>
      <x:c r="CT43" t="n">
        <x:f>--AND(CT$3&gt;=EDATE($B$41,-'Вводные'!$E$89),CT$3&lt;$B$42,'Вводные'!$B$89="Да")</x:f>
        <x:v>0</x:v>
      </x:c>
      <x:c r="CU43" t="n">
        <x:f>--AND(CU$3&gt;=EDATE($B$41,-'Вводные'!$E$89),CU$3&lt;$B$42,'Вводные'!$B$89="Да")</x:f>
        <x:v>0</x:v>
      </x:c>
      <x:c r="CV43" t="n">
        <x:f>--AND(CV$3&gt;=EDATE($B$41,-'Вводные'!$E$89),CV$3&lt;$B$42,'Вводные'!$B$89="Да")</x:f>
        <x:v>0</x:v>
      </x:c>
      <x:c r="CW43" t="n">
        <x:f>--AND(CW$3&gt;=EDATE($B$41,-'Вводные'!$E$89),CW$3&lt;$B$42,'Вводные'!$B$89="Да")</x:f>
        <x:v>0</x:v>
      </x:c>
      <x:c r="CX43" t="n">
        <x:f>--AND(CX$3&gt;=EDATE($B$41,-'Вводные'!$E$89),CX$3&lt;$B$42,'Вводные'!$B$89="Да")</x:f>
        <x:v>0</x:v>
      </x:c>
      <x:c r="CY43" t="n">
        <x:f>--AND(CY$3&gt;=EDATE($B$41,-'Вводные'!$E$89),CY$3&lt;$B$42,'Вводные'!$B$89="Да")</x:f>
        <x:v>0</x:v>
      </x:c>
      <x:c r="CZ43" t="n">
        <x:f>--AND(CZ$3&gt;=EDATE($B$41,-'Вводные'!$E$89),CZ$3&lt;$B$42,'Вводные'!$B$89="Да")</x:f>
        <x:v>0</x:v>
      </x:c>
      <x:c r="DA43" t="n">
        <x:f>--AND(DA$3&gt;=EDATE($B$41,-'Вводные'!$E$89),DA$3&lt;$B$42,'Вводные'!$B$89="Да")</x:f>
        <x:v>0</x:v>
      </x:c>
      <x:c r="DB43" t="n">
        <x:f>--AND(DB$3&gt;=EDATE($B$41,-'Вводные'!$E$89),DB$3&lt;$B$42,'Вводные'!$B$89="Да")</x:f>
        <x:v>0</x:v>
      </x:c>
      <x:c r="DC43" t="n">
        <x:f>--AND(DC$3&gt;=EDATE($B$41,-'Вводные'!$E$89),DC$3&lt;$B$42,'Вводные'!$B$89="Да")</x:f>
        <x:v>0</x:v>
      </x:c>
      <x:c r="DD43" t="n">
        <x:f>--AND(DD$3&gt;=EDATE($B$41,-'Вводные'!$E$89),DD$3&lt;$B$42,'Вводные'!$B$89="Да")</x:f>
        <x:v>0</x:v>
      </x:c>
      <x:c r="DE43" t="n">
        <x:f>--AND(DE$3&gt;=EDATE($B$41,-'Вводные'!$E$89),DE$3&lt;$B$42,'Вводные'!$B$89="Да")</x:f>
        <x:v>0</x:v>
      </x:c>
      <x:c r="DF43" t="n">
        <x:f>--AND(DF$3&gt;=EDATE($B$41,-'Вводные'!$E$89),DF$3&lt;$B$42,'Вводные'!$B$89="Да")</x:f>
        <x:v>0</x:v>
      </x:c>
      <x:c r="DG43" t="n">
        <x:f>--AND(DG$3&gt;=EDATE($B$41,-'Вводные'!$E$89),DG$3&lt;$B$42,'Вводные'!$B$89="Да")</x:f>
        <x:v>0</x:v>
      </x:c>
      <x:c r="DH43" t="n">
        <x:f>--AND(DH$3&gt;=EDATE($B$41,-'Вводные'!$E$89),DH$3&lt;$B$42,'Вводные'!$B$89="Да")</x:f>
        <x:v>0</x:v>
      </x:c>
      <x:c r="DI43" t="n">
        <x:f>--AND(DI$3&gt;=EDATE($B$41,-'Вводные'!$E$89),DI$3&lt;$B$42,'Вводные'!$B$89="Да")</x:f>
        <x:v>0</x:v>
      </x:c>
      <x:c r="DJ43" t="n">
        <x:f>--AND(DJ$3&gt;=EDATE($B$41,-'Вводные'!$E$89),DJ$3&lt;$B$42,'Вводные'!$B$89="Да")</x:f>
        <x:v>0</x:v>
      </x:c>
      <x:c r="DK43" t="n">
        <x:f>--AND(DK$3&gt;=EDATE($B$41,-'Вводные'!$E$89),DK$3&lt;$B$42,'Вводные'!$B$89="Да")</x:f>
        <x:v>0</x:v>
      </x:c>
      <x:c r="DL43" t="n">
        <x:f>--AND(DL$3&gt;=EDATE($B$41,-'Вводные'!$E$89),DL$3&lt;$B$42,'Вводные'!$B$89="Да")</x:f>
        <x:v>0</x:v>
      </x:c>
      <x:c r="DM43" t="n">
        <x:f>--AND(DM$3&gt;=EDATE($B$41,-'Вводные'!$E$89),DM$3&lt;$B$42,'Вводные'!$B$89="Да")</x:f>
        <x:v>0</x:v>
      </x:c>
      <x:c r="DN43" t="n">
        <x:f>--AND(DN$3&gt;=EDATE($B$41,-'Вводные'!$E$89),DN$3&lt;$B$42,'Вводные'!$B$89="Да")</x:f>
        <x:v>0</x:v>
      </x:c>
      <x:c r="DO43" t="n">
        <x:f>--AND(DO$3&gt;=EDATE($B$41,-'Вводные'!$E$89),DO$3&lt;$B$42,'Вводные'!$B$89="Да")</x:f>
        <x:v>0</x:v>
      </x:c>
      <x:c r="DP43" t="n">
        <x:f>--AND(DP$3&gt;=EDATE($B$41,-'Вводные'!$E$89),DP$3&lt;$B$42,'Вводные'!$B$89="Да")</x:f>
        <x:v>0</x:v>
      </x:c>
      <x:c r="DQ43" t="n">
        <x:f>--AND(DQ$3&gt;=EDATE($B$41,-'Вводные'!$E$89),DQ$3&lt;$B$42,'Вводные'!$B$89="Да")</x:f>
        <x:v>0</x:v>
      </x:c>
      <x:c r="DR43" t="n">
        <x:f>--AND(DR$3&gt;=EDATE($B$41,-'Вводные'!$E$89),DR$3&lt;$B$42,'Вводные'!$B$89="Да")</x:f>
        <x:v>0</x:v>
      </x:c>
      <x:c r="DS43" t="n">
        <x:f>--AND(DS$3&gt;=EDATE($B$41,-'Вводные'!$E$89),DS$3&lt;$B$42,'Вводные'!$B$89="Да")</x:f>
        <x:v>0</x:v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  <x:v>0</x:v>
      </x:c>
      <x:c r="E44" s="35" t="n">
        <x:f>IFERROR(E43/SUM($D43:$DS43),0)</x:f>
        <x:v>0</x:v>
      </x:c>
      <x:c r="F44" s="35" t="n">
        <x:f>IFERROR(F43/SUM($D43:$DS43),0)</x:f>
        <x:v>0</x:v>
      </x:c>
      <x:c r="G44" s="35" t="n">
        <x:f>IFERROR(G43/SUM($D43:$DS43),0)</x:f>
        <x:v>0</x:v>
      </x:c>
      <x:c r="H44" s="35" t="n">
        <x:f>IFERROR(H43/SUM($D43:$DS43),0)</x:f>
        <x:v>0</x:v>
      </x:c>
      <x:c r="I44" s="35" t="n">
        <x:f>IFERROR(I43/SUM($D43:$DS43),0)</x:f>
        <x:v>0</x:v>
      </x:c>
      <x:c r="J44" s="35" t="n">
        <x:f>IFERROR(J43/SUM($D43:$DS43),0)</x:f>
        <x:v>0</x:v>
      </x:c>
      <x:c r="K44" s="35" t="n">
        <x:f>IFERROR(K43/SUM($D43:$DS43),0)</x:f>
        <x:v>0</x:v>
      </x:c>
      <x:c r="L44" s="35" t="n">
        <x:f>IFERROR(L43/SUM($D43:$DS43),0)</x:f>
        <x:v>0</x:v>
      </x:c>
      <x:c r="M44" s="35" t="n">
        <x:f>IFERROR(M43/SUM($D43:$DS43),0)</x:f>
        <x:v>0</x:v>
      </x:c>
      <x:c r="N44" s="35" t="n">
        <x:f>IFERROR(N43/SUM($D43:$DS43),0)</x:f>
        <x:v>0</x:v>
      </x:c>
      <x:c r="O44" s="35" t="n">
        <x:f>IFERROR(O43/SUM($D43:$DS43),0)</x:f>
        <x:v>0</x:v>
      </x:c>
      <x:c r="P44" s="35" t="n">
        <x:f>IFERROR(P43/SUM($D43:$DS43),0)</x:f>
        <x:v>0</x:v>
      </x:c>
      <x:c r="Q44" s="35" t="n">
        <x:f>IFERROR(Q43/SUM($D43:$DS43),0)</x:f>
        <x:v>0</x:v>
      </x:c>
      <x:c r="R44" s="35" t="n">
        <x:f>IFERROR(R43/SUM($D43:$DS43),0)</x:f>
        <x:v>0</x:v>
      </x:c>
      <x:c r="S44" s="35" t="n">
        <x:f>IFERROR(S43/SUM($D43:$DS43),0)</x:f>
        <x:v>0</x:v>
      </x:c>
      <x:c r="T44" s="35" t="n">
        <x:f>IFERROR(T43/SUM($D43:$DS43),0)</x:f>
        <x:v>0</x:v>
      </x:c>
      <x:c r="U44" s="35" t="n">
        <x:f>IFERROR(U43/SUM($D43:$DS43),0)</x:f>
        <x:v>0</x:v>
      </x:c>
      <x:c r="V44" s="35" t="n">
        <x:f>IFERROR(V43/SUM($D43:$DS43),0)</x:f>
        <x:v>0</x:v>
      </x:c>
      <x:c r="W44" s="35" t="n">
        <x:f>IFERROR(W43/SUM($D43:$DS43),0)</x:f>
        <x:v>0</x:v>
      </x:c>
      <x:c r="X44" s="35" t="n">
        <x:f>IFERROR(X43/SUM($D43:$DS43),0)</x:f>
        <x:v>0</x:v>
      </x:c>
      <x:c r="Y44" s="35" t="n">
        <x:f>IFERROR(Y43/SUM($D43:$DS43),0)</x:f>
        <x:v>0</x:v>
      </x:c>
      <x:c r="Z44" s="35" t="n">
        <x:f>IFERROR(Z43/SUM($D43:$DS43),0)</x:f>
        <x:v>0</x:v>
      </x:c>
      <x:c r="AA44" s="35" t="n">
        <x:f>IFERROR(AA43/SUM($D43:$DS43),0)</x:f>
        <x:v>0</x:v>
      </x:c>
      <x:c r="AB44" s="35" t="n">
        <x:f>IFERROR(AB43/SUM($D43:$DS43),0)</x:f>
        <x:v>0</x:v>
      </x:c>
      <x:c r="AC44" s="35" t="n">
        <x:f>IFERROR(AC43/SUM($D43:$DS43),0)</x:f>
        <x:v>0</x:v>
      </x:c>
      <x:c r="AD44" s="35" t="n">
        <x:f>IFERROR(AD43/SUM($D43:$DS43),0)</x:f>
        <x:v>0</x:v>
      </x:c>
      <x:c r="AE44" s="35" t="n">
        <x:f>IFERROR(AE43/SUM($D43:$DS43),0)</x:f>
        <x:v>0</x:v>
      </x:c>
      <x:c r="AF44" s="35" t="n">
        <x:f>IFERROR(AF43/SUM($D43:$DS43),0)</x:f>
        <x:v>0</x:v>
      </x:c>
      <x:c r="AG44" s="35" t="n">
        <x:f>IFERROR(AG43/SUM($D43:$DS43),0)</x:f>
        <x:v>0</x:v>
      </x:c>
      <x:c r="AH44" s="35" t="n">
        <x:f>IFERROR(AH43/SUM($D43:$DS43),0)</x:f>
        <x:v>0</x:v>
      </x:c>
      <x:c r="AI44" s="35" t="n">
        <x:f>IFERROR(AI43/SUM($D43:$DS43),0)</x:f>
        <x:v>0</x:v>
      </x:c>
      <x:c r="AJ44" s="35" t="n">
        <x:f>IFERROR(AJ43/SUM($D43:$DS43),0)</x:f>
        <x:v>0</x:v>
      </x:c>
      <x:c r="AK44" s="35" t="n">
        <x:f>IFERROR(AK43/SUM($D43:$DS43),0)</x:f>
        <x:v>0</x:v>
      </x:c>
      <x:c r="AL44" s="35" t="n">
        <x:f>IFERROR(AL43/SUM($D43:$DS43),0)</x:f>
        <x:v>0</x:v>
      </x:c>
      <x:c r="AM44" s="35" t="n">
        <x:f>IFERROR(AM43/SUM($D43:$DS43),0)</x:f>
        <x:v>0</x:v>
      </x:c>
      <x:c r="AN44" s="35" t="n">
        <x:f>IFERROR(AN43/SUM($D43:$DS43),0)</x:f>
        <x:v>0</x:v>
      </x:c>
      <x:c r="AO44" s="35" t="n">
        <x:f>IFERROR(AO43/SUM($D43:$DS43),0)</x:f>
        <x:v>0</x:v>
      </x:c>
      <x:c r="AP44" s="35" t="n">
        <x:f>IFERROR(AP43/SUM($D43:$DS43),0)</x:f>
        <x:v>0</x:v>
      </x:c>
      <x:c r="AQ44" s="35" t="n">
        <x:f>IFERROR(AQ43/SUM($D43:$DS43),0)</x:f>
        <x:v>0</x:v>
      </x:c>
      <x:c r="AR44" s="35" t="n">
        <x:f>IFERROR(AR43/SUM($D43:$DS43),0)</x:f>
        <x:v>0</x:v>
      </x:c>
      <x:c r="AS44" s="35" t="n">
        <x:f>IFERROR(AS43/SUM($D43:$DS43),0)</x:f>
        <x:v>0</x:v>
      </x:c>
      <x:c r="AT44" s="35" t="n">
        <x:f>IFERROR(AT43/SUM($D43:$DS43),0)</x:f>
        <x:v>0</x:v>
      </x:c>
      <x:c r="AU44" s="35" t="n">
        <x:f>IFERROR(AU43/SUM($D43:$DS43),0)</x:f>
        <x:v>0</x:v>
      </x:c>
      <x:c r="AV44" s="35" t="n">
        <x:f>IFERROR(AV43/SUM($D43:$DS43),0)</x:f>
        <x:v>0</x:v>
      </x:c>
      <x:c r="AW44" s="35" t="n">
        <x:f>IFERROR(AW43/SUM($D43:$DS43),0)</x:f>
        <x:v>0</x:v>
      </x:c>
      <x:c r="AX44" s="35" t="n">
        <x:f>IFERROR(AX43/SUM($D43:$DS43),0)</x:f>
        <x:v>0</x:v>
      </x:c>
      <x:c r="AY44" s="35" t="n">
        <x:f>IFERROR(AY43/SUM($D43:$DS43),0)</x:f>
        <x:v>0</x:v>
      </x:c>
      <x:c r="AZ44" s="35" t="n">
        <x:f>IFERROR(AZ43/SUM($D43:$DS43),0)</x:f>
        <x:v>0</x:v>
      </x:c>
      <x:c r="BA44" s="35" t="n">
        <x:f>IFERROR(BA43/SUM($D43:$DS43),0)</x:f>
        <x:v>0</x:v>
      </x:c>
      <x:c r="BB44" s="35" t="n">
        <x:f>IFERROR(BB43/SUM($D43:$DS43),0)</x:f>
        <x:v>0</x:v>
      </x:c>
      <x:c r="BC44" s="35" t="n">
        <x:f>IFERROR(BC43/SUM($D43:$DS43),0)</x:f>
        <x:v>0</x:v>
      </x:c>
      <x:c r="BD44" s="35" t="n">
        <x:f>IFERROR(BD43/SUM($D43:$DS43),0)</x:f>
        <x:v>0</x:v>
      </x:c>
      <x:c r="BE44" s="35" t="n">
        <x:f>IFERROR(BE43/SUM($D43:$DS43),0)</x:f>
        <x:v>0</x:v>
      </x:c>
      <x:c r="BF44" s="35" t="n">
        <x:f>IFERROR(BF43/SUM($D43:$DS43),0)</x:f>
        <x:v>0</x:v>
      </x:c>
      <x:c r="BG44" s="35" t="n">
        <x:f>IFERROR(BG43/SUM($D43:$DS43),0)</x:f>
        <x:v>0</x:v>
      </x:c>
      <x:c r="BH44" s="35" t="n">
        <x:f>IFERROR(BH43/SUM($D43:$DS43),0)</x:f>
        <x:v>0</x:v>
      </x:c>
      <x:c r="BI44" s="35" t="n">
        <x:f>IFERROR(BI43/SUM($D43:$DS43),0)</x:f>
        <x:v>0</x:v>
      </x:c>
      <x:c r="BJ44" s="35" t="n">
        <x:f>IFERROR(BJ43/SUM($D43:$DS43),0)</x:f>
        <x:v>0</x:v>
      </x:c>
      <x:c r="BK44" s="35" t="n">
        <x:f>IFERROR(BK43/SUM($D43:$DS43),0)</x:f>
        <x:v>0</x:v>
      </x:c>
      <x:c r="BL44" s="35" t="n">
        <x:f>IFERROR(BL43/SUM($D43:$DS43),0)</x:f>
        <x:v>0</x:v>
      </x:c>
      <x:c r="BM44" s="35" t="n">
        <x:f>IFERROR(BM43/SUM($D43:$DS43),0)</x:f>
        <x:v>0</x:v>
      </x:c>
      <x:c r="BN44" s="35" t="n">
        <x:f>IFERROR(BN43/SUM($D43:$DS43),0)</x:f>
        <x:v>0</x:v>
      </x:c>
      <x:c r="BO44" s="35" t="n">
        <x:f>IFERROR(BO43/SUM($D43:$DS43),0)</x:f>
        <x:v>0</x:v>
      </x:c>
      <x:c r="BP44" s="35" t="n">
        <x:f>IFERROR(BP43/SUM($D43:$DS43),0)</x:f>
        <x:v>0</x:v>
      </x:c>
      <x:c r="BQ44" s="35" t="n">
        <x:f>IFERROR(BQ43/SUM($D43:$DS43),0)</x:f>
        <x:v>0</x:v>
      </x:c>
      <x:c r="BR44" s="35" t="n">
        <x:f>IFERROR(BR43/SUM($D43:$DS43),0)</x:f>
        <x:v>0</x:v>
      </x:c>
      <x:c r="BS44" s="35" t="n">
        <x:f>IFERROR(BS43/SUM($D43:$DS43),0)</x:f>
        <x:v>0</x:v>
      </x:c>
      <x:c r="BT44" s="35" t="n">
        <x:f>IFERROR(BT43/SUM($D43:$DS43),0)</x:f>
        <x:v>0</x:v>
      </x:c>
      <x:c r="BU44" s="35" t="n">
        <x:f>IFERROR(BU43/SUM($D43:$DS43),0)</x:f>
        <x:v>0</x:v>
      </x:c>
      <x:c r="BV44" s="35" t="n">
        <x:f>IFERROR(BV43/SUM($D43:$DS43),0)</x:f>
        <x:v>0</x:v>
      </x:c>
      <x:c r="BW44" s="35" t="n">
        <x:f>IFERROR(BW43/SUM($D43:$DS43),0)</x:f>
        <x:v>0</x:v>
      </x:c>
      <x:c r="BX44" s="35" t="n">
        <x:f>IFERROR(BX43/SUM($D43:$DS43),0)</x:f>
        <x:v>0</x:v>
      </x:c>
      <x:c r="BY44" s="35" t="n">
        <x:f>IFERROR(BY43/SUM($D43:$DS43),0)</x:f>
        <x:v>0</x:v>
      </x:c>
      <x:c r="BZ44" s="35" t="n">
        <x:f>IFERROR(BZ43/SUM($D43:$DS43),0)</x:f>
        <x:v>0</x:v>
      </x:c>
      <x:c r="CA44" s="35" t="n">
        <x:f>IFERROR(CA43/SUM($D43:$DS43),0)</x:f>
        <x:v>0</x:v>
      </x:c>
      <x:c r="CB44" s="35" t="n">
        <x:f>IFERROR(CB43/SUM($D43:$DS43),0)</x:f>
        <x:v>0</x:v>
      </x:c>
      <x:c r="CC44" s="35" t="n">
        <x:f>IFERROR(CC43/SUM($D43:$DS43),0)</x:f>
        <x:v>0</x:v>
      </x:c>
      <x:c r="CD44" s="35" t="n">
        <x:f>IFERROR(CD43/SUM($D43:$DS43),0)</x:f>
        <x:v>0</x:v>
      </x:c>
      <x:c r="CE44" s="35" t="n">
        <x:f>IFERROR(CE43/SUM($D43:$DS43),0)</x:f>
        <x:v>0</x:v>
      </x:c>
      <x:c r="CF44" s="35" t="n">
        <x:f>IFERROR(CF43/SUM($D43:$DS43),0)</x:f>
        <x:v>0</x:v>
      </x:c>
      <x:c r="CG44" s="35" t="n">
        <x:f>IFERROR(CG43/SUM($D43:$DS43),0)</x:f>
        <x:v>0</x:v>
      </x:c>
      <x:c r="CH44" s="35" t="n">
        <x:f>IFERROR(CH43/SUM($D43:$DS43),0)</x:f>
        <x:v>0</x:v>
      </x:c>
      <x:c r="CI44" s="35" t="n">
        <x:f>IFERROR(CI43/SUM($D43:$DS43),0)</x:f>
        <x:v>0</x:v>
      </x:c>
      <x:c r="CJ44" s="35" t="n">
        <x:f>IFERROR(CJ43/SUM($D43:$DS43),0)</x:f>
        <x:v>0</x:v>
      </x:c>
      <x:c r="CK44" s="35" t="n">
        <x:f>IFERROR(CK43/SUM($D43:$DS43),0)</x:f>
        <x:v>0</x:v>
      </x:c>
      <x:c r="CL44" s="35" t="n">
        <x:f>IFERROR(CL43/SUM($D43:$DS43),0)</x:f>
        <x:v>0</x:v>
      </x:c>
      <x:c r="CM44" s="35" t="n">
        <x:f>IFERROR(CM43/SUM($D43:$DS43),0)</x:f>
        <x:v>0</x:v>
      </x:c>
      <x:c r="CN44" s="35" t="n">
        <x:f>IFERROR(CN43/SUM($D43:$DS43),0)</x:f>
        <x:v>0</x:v>
      </x:c>
      <x:c r="CO44" s="35" t="n">
        <x:f>IFERROR(CO43/SUM($D43:$DS43),0)</x:f>
        <x:v>0</x:v>
      </x:c>
      <x:c r="CP44" s="35" t="n">
        <x:f>IFERROR(CP43/SUM($D43:$DS43),0)</x:f>
        <x:v>0</x:v>
      </x:c>
      <x:c r="CQ44" s="35" t="n">
        <x:f>IFERROR(CQ43/SUM($D43:$DS43),0)</x:f>
        <x:v>0</x:v>
      </x:c>
      <x:c r="CR44" s="35" t="n">
        <x:f>IFERROR(CR43/SUM($D43:$DS43),0)</x:f>
        <x:v>0</x:v>
      </x:c>
      <x:c r="CS44" s="35" t="n">
        <x:f>IFERROR(CS43/SUM($D43:$DS43),0)</x:f>
        <x:v>0</x:v>
      </x:c>
      <x:c r="CT44" s="35" t="n">
        <x:f>IFERROR(CT43/SUM($D43:$DS43),0)</x:f>
        <x:v>0</x:v>
      </x:c>
      <x:c r="CU44" s="35" t="n">
        <x:f>IFERROR(CU43/SUM($D43:$DS43),0)</x:f>
        <x:v>0</x:v>
      </x:c>
      <x:c r="CV44" s="35" t="n">
        <x:f>IFERROR(CV43/SUM($D43:$DS43),0)</x:f>
        <x:v>0</x:v>
      </x:c>
      <x:c r="CW44" s="35" t="n">
        <x:f>IFERROR(CW43/SUM($D43:$DS43),0)</x:f>
        <x:v>0</x:v>
      </x:c>
      <x:c r="CX44" s="35" t="n">
        <x:f>IFERROR(CX43/SUM($D43:$DS43),0)</x:f>
        <x:v>0</x:v>
      </x:c>
      <x:c r="CY44" s="35" t="n">
        <x:f>IFERROR(CY43/SUM($D43:$DS43),0)</x:f>
        <x:v>0</x:v>
      </x:c>
      <x:c r="CZ44" s="35" t="n">
        <x:f>IFERROR(CZ43/SUM($D43:$DS43),0)</x:f>
        <x:v>0</x:v>
      </x:c>
      <x:c r="DA44" s="35" t="n">
        <x:f>IFERROR(DA43/SUM($D43:$DS43),0)</x:f>
        <x:v>0</x:v>
      </x:c>
      <x:c r="DB44" s="35" t="n">
        <x:f>IFERROR(DB43/SUM($D43:$DS43),0)</x:f>
        <x:v>0</x:v>
      </x:c>
      <x:c r="DC44" s="35" t="n">
        <x:f>IFERROR(DC43/SUM($D43:$DS43),0)</x:f>
        <x:v>0</x:v>
      </x:c>
      <x:c r="DD44" s="35" t="n">
        <x:f>IFERROR(DD43/SUM($D43:$DS43),0)</x:f>
        <x:v>0</x:v>
      </x:c>
      <x:c r="DE44" s="35" t="n">
        <x:f>IFERROR(DE43/SUM($D43:$DS43),0)</x:f>
        <x:v>0</x:v>
      </x:c>
      <x:c r="DF44" s="35" t="n">
        <x:f>IFERROR(DF43/SUM($D43:$DS43),0)</x:f>
        <x:v>0</x:v>
      </x:c>
      <x:c r="DG44" s="35" t="n">
        <x:f>IFERROR(DG43/SUM($D43:$DS43),0)</x:f>
        <x:v>0</x:v>
      </x:c>
      <x:c r="DH44" s="35" t="n">
        <x:f>IFERROR(DH43/SUM($D43:$DS43),0)</x:f>
        <x:v>0</x:v>
      </x:c>
      <x:c r="DI44" s="35" t="n">
        <x:f>IFERROR(DI43/SUM($D43:$DS43),0)</x:f>
        <x:v>0</x:v>
      </x:c>
      <x:c r="DJ44" s="35" t="n">
        <x:f>IFERROR(DJ43/SUM($D43:$DS43),0)</x:f>
        <x:v>0</x:v>
      </x:c>
      <x:c r="DK44" s="35" t="n">
        <x:f>IFERROR(DK43/SUM($D43:$DS43),0)</x:f>
        <x:v>0</x:v>
      </x:c>
      <x:c r="DL44" s="35" t="n">
        <x:f>IFERROR(DL43/SUM($D43:$DS43),0)</x:f>
        <x:v>0</x:v>
      </x:c>
      <x:c r="DM44" s="35" t="n">
        <x:f>IFERROR(DM43/SUM($D43:$DS43),0)</x:f>
        <x:v>0</x:v>
      </x:c>
      <x:c r="DN44" s="35" t="n">
        <x:f>IFERROR(DN43/SUM($D43:$DS43),0)</x:f>
        <x:v>0</x:v>
      </x:c>
      <x:c r="DO44" s="35" t="n">
        <x:f>IFERROR(DO43/SUM($D43:$DS43),0)</x:f>
        <x:v>0</x:v>
      </x:c>
      <x:c r="DP44" s="35" t="n">
        <x:f>IFERROR(DP43/SUM($D43:$DS43),0)</x:f>
        <x:v>0</x:v>
      </x:c>
      <x:c r="DQ44" s="35" t="n">
        <x:f>IFERROR(DQ43/SUM($D43:$DS43),0)</x:f>
        <x:v>0</x:v>
      </x:c>
      <x:c r="DR44" s="35" t="n">
        <x:f>IFERROR(DR43/SUM($D43:$DS43),0)</x:f>
        <x:v>0</x:v>
      </x:c>
      <x:c r="DS44" s="35" t="n">
        <x:f>IFERROR(DS43/SUM($D43:$DS43),0)</x:f>
        <x:v>0</x:v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  <x:v>0</x:v>
      </x:c>
      <x:c r="E45" s="35" t="n">
        <x:f>--AND(E$3&gt;=$B$41,E$3&lt;$B$42,'Вводные'!$B$89="Да")</x:f>
        <x:v>0</x:v>
      </x:c>
      <x:c r="F45" s="35" t="n">
        <x:f>--AND(F$3&gt;=$B$41,F$3&lt;$B$42,'Вводные'!$B$89="Да")</x:f>
        <x:v>0</x:v>
      </x:c>
      <x:c r="G45" s="35" t="n">
        <x:f>--AND(G$3&gt;=$B$41,G$3&lt;$B$42,'Вводные'!$B$89="Да")</x:f>
        <x:v>0</x:v>
      </x:c>
      <x:c r="H45" s="35" t="n">
        <x:f>--AND(H$3&gt;=$B$41,H$3&lt;$B$42,'Вводные'!$B$89="Да")</x:f>
        <x:v>0</x:v>
      </x:c>
      <x:c r="I45" s="35" t="n">
        <x:f>--AND(I$3&gt;=$B$41,I$3&lt;$B$42,'Вводные'!$B$89="Да")</x:f>
        <x:v>0</x:v>
      </x:c>
      <x:c r="J45" s="35" t="n">
        <x:f>--AND(J$3&gt;=$B$41,J$3&lt;$B$42,'Вводные'!$B$89="Да")</x:f>
        <x:v>0</x:v>
      </x:c>
      <x:c r="K45" s="35" t="n">
        <x:f>--AND(K$3&gt;=$B$41,K$3&lt;$B$42,'Вводные'!$B$89="Да")</x:f>
        <x:v>0</x:v>
      </x:c>
      <x:c r="L45" s="35" t="n">
        <x:f>--AND(L$3&gt;=$B$41,L$3&lt;$B$42,'Вводные'!$B$89="Да")</x:f>
        <x:v>0</x:v>
      </x:c>
      <x:c r="M45" s="35" t="n">
        <x:f>--AND(M$3&gt;=$B$41,M$3&lt;$B$42,'Вводные'!$B$89="Да")</x:f>
        <x:v>0</x:v>
      </x:c>
      <x:c r="N45" s="35" t="n">
        <x:f>--AND(N$3&gt;=$B$41,N$3&lt;$B$42,'Вводные'!$B$89="Да")</x:f>
        <x:v>0</x:v>
      </x:c>
      <x:c r="O45" s="35" t="n">
        <x:f>--AND(O$3&gt;=$B$41,O$3&lt;$B$42,'Вводные'!$B$89="Да")</x:f>
        <x:v>0</x:v>
      </x:c>
      <x:c r="P45" s="35" t="n">
        <x:f>--AND(P$3&gt;=$B$41,P$3&lt;$B$42,'Вводные'!$B$89="Да")</x:f>
        <x:v>0</x:v>
      </x:c>
      <x:c r="Q45" s="35" t="n">
        <x:f>--AND(Q$3&gt;=$B$41,Q$3&lt;$B$42,'Вводные'!$B$89="Да")</x:f>
        <x:v>0</x:v>
      </x:c>
      <x:c r="R45" s="35" t="n">
        <x:f>--AND(R$3&gt;=$B$41,R$3&lt;$B$42,'Вводные'!$B$89="Да")</x:f>
        <x:v>0</x:v>
      </x:c>
      <x:c r="S45" s="35" t="n">
        <x:f>--AND(S$3&gt;=$B$41,S$3&lt;$B$42,'Вводные'!$B$89="Да")</x:f>
        <x:v>0</x:v>
      </x:c>
      <x:c r="T45" s="35" t="n">
        <x:f>--AND(T$3&gt;=$B$41,T$3&lt;$B$42,'Вводные'!$B$89="Да")</x:f>
        <x:v>0</x:v>
      </x:c>
      <x:c r="U45" s="35" t="n">
        <x:f>--AND(U$3&gt;=$B$41,U$3&lt;$B$42,'Вводные'!$B$89="Да")</x:f>
        <x:v>0</x:v>
      </x:c>
      <x:c r="V45" s="35" t="n">
        <x:f>--AND(V$3&gt;=$B$41,V$3&lt;$B$42,'Вводные'!$B$89="Да")</x:f>
        <x:v>0</x:v>
      </x:c>
      <x:c r="W45" s="35" t="n">
        <x:f>--AND(W$3&gt;=$B$41,W$3&lt;$B$42,'Вводные'!$B$89="Да")</x:f>
        <x:v>0</x:v>
      </x:c>
      <x:c r="X45" s="35" t="n">
        <x:f>--AND(X$3&gt;=$B$41,X$3&lt;$B$42,'Вводные'!$B$89="Да")</x:f>
        <x:v>0</x:v>
      </x:c>
      <x:c r="Y45" s="35" t="n">
        <x:f>--AND(Y$3&gt;=$B$41,Y$3&lt;$B$42,'Вводные'!$B$89="Да")</x:f>
        <x:v>0</x:v>
      </x:c>
      <x:c r="Z45" s="35" t="n">
        <x:f>--AND(Z$3&gt;=$B$41,Z$3&lt;$B$42,'Вводные'!$B$89="Да")</x:f>
        <x:v>0</x:v>
      </x:c>
      <x:c r="AA45" s="35" t="n">
        <x:f>--AND(AA$3&gt;=$B$41,AA$3&lt;$B$42,'Вводные'!$B$89="Да")</x:f>
        <x:v>0</x:v>
      </x:c>
      <x:c r="AB45" s="35" t="n">
        <x:f>--AND(AB$3&gt;=$B$41,AB$3&lt;$B$42,'Вводные'!$B$89="Да")</x:f>
        <x:v>0</x:v>
      </x:c>
      <x:c r="AC45" s="35" t="n">
        <x:f>--AND(AC$3&gt;=$B$41,AC$3&lt;$B$42,'Вводные'!$B$89="Да")</x:f>
        <x:v>0</x:v>
      </x:c>
      <x:c r="AD45" s="35" t="n">
        <x:f>--AND(AD$3&gt;=$B$41,AD$3&lt;$B$42,'Вводные'!$B$89="Да")</x:f>
        <x:v>0</x:v>
      </x:c>
      <x:c r="AE45" s="35" t="n">
        <x:f>--AND(AE$3&gt;=$B$41,AE$3&lt;$B$42,'Вводные'!$B$89="Да")</x:f>
        <x:v>0</x:v>
      </x:c>
      <x:c r="AF45" s="35" t="n">
        <x:f>--AND(AF$3&gt;=$B$41,AF$3&lt;$B$42,'Вводные'!$B$89="Да")</x:f>
        <x:v>0</x:v>
      </x:c>
      <x:c r="AG45" s="35" t="n">
        <x:f>--AND(AG$3&gt;=$B$41,AG$3&lt;$B$42,'Вводные'!$B$89="Да")</x:f>
        <x:v>0</x:v>
      </x:c>
      <x:c r="AH45" s="35" t="n">
        <x:f>--AND(AH$3&gt;=$B$41,AH$3&lt;$B$42,'Вводные'!$B$89="Да")</x:f>
        <x:v>0</x:v>
      </x:c>
      <x:c r="AI45" s="35" t="n">
        <x:f>--AND(AI$3&gt;=$B$41,AI$3&lt;$B$42,'Вводные'!$B$89="Да")</x:f>
        <x:v>0</x:v>
      </x:c>
      <x:c r="AJ45" s="35" t="n">
        <x:f>--AND(AJ$3&gt;=$B$41,AJ$3&lt;$B$42,'Вводные'!$B$89="Да")</x:f>
        <x:v>0</x:v>
      </x:c>
      <x:c r="AK45" s="35" t="n">
        <x:f>--AND(AK$3&gt;=$B$41,AK$3&lt;$B$42,'Вводные'!$B$89="Да")</x:f>
        <x:v>0</x:v>
      </x:c>
      <x:c r="AL45" s="35" t="n">
        <x:f>--AND(AL$3&gt;=$B$41,AL$3&lt;$B$42,'Вводные'!$B$89="Да")</x:f>
        <x:v>0</x:v>
      </x:c>
      <x:c r="AM45" s="35" t="n">
        <x:f>--AND(AM$3&gt;=$B$41,AM$3&lt;$B$42,'Вводные'!$B$89="Да")</x:f>
        <x:v>0</x:v>
      </x:c>
      <x:c r="AN45" s="35" t="n">
        <x:f>--AND(AN$3&gt;=$B$41,AN$3&lt;$B$42,'Вводные'!$B$89="Да")</x:f>
        <x:v>0</x:v>
      </x:c>
      <x:c r="AO45" s="35" t="n">
        <x:f>--AND(AO$3&gt;=$B$41,AO$3&lt;$B$42,'Вводные'!$B$89="Да")</x:f>
        <x:v>0</x:v>
      </x:c>
      <x:c r="AP45" s="35" t="n">
        <x:f>--AND(AP$3&gt;=$B$41,AP$3&lt;$B$42,'Вводные'!$B$89="Да")</x:f>
        <x:v>0</x:v>
      </x:c>
      <x:c r="AQ45" s="35" t="n">
        <x:f>--AND(AQ$3&gt;=$B$41,AQ$3&lt;$B$42,'Вводные'!$B$89="Да")</x:f>
        <x:v>0</x:v>
      </x:c>
      <x:c r="AR45" s="35" t="n">
        <x:f>--AND(AR$3&gt;=$B$41,AR$3&lt;$B$42,'Вводные'!$B$89="Да")</x:f>
        <x:v>0</x:v>
      </x:c>
      <x:c r="AS45" s="35" t="n">
        <x:f>--AND(AS$3&gt;=$B$41,AS$3&lt;$B$42,'Вводные'!$B$89="Да")</x:f>
        <x:v>0</x:v>
      </x:c>
      <x:c r="AT45" s="35" t="n">
        <x:f>--AND(AT$3&gt;=$B$41,AT$3&lt;$B$42,'Вводные'!$B$89="Да")</x:f>
        <x:v>0</x:v>
      </x:c>
      <x:c r="AU45" s="35" t="n">
        <x:f>--AND(AU$3&gt;=$B$41,AU$3&lt;$B$42,'Вводные'!$B$89="Да")</x:f>
        <x:v>0</x:v>
      </x:c>
      <x:c r="AV45" s="35" t="n">
        <x:f>--AND(AV$3&gt;=$B$41,AV$3&lt;$B$42,'Вводные'!$B$89="Да")</x:f>
        <x:v>0</x:v>
      </x:c>
      <x:c r="AW45" s="35" t="n">
        <x:f>--AND(AW$3&gt;=$B$41,AW$3&lt;$B$42,'Вводные'!$B$89="Да")</x:f>
        <x:v>0</x:v>
      </x:c>
      <x:c r="AX45" s="35" t="n">
        <x:f>--AND(AX$3&gt;=$B$41,AX$3&lt;$B$42,'Вводные'!$B$89="Да")</x:f>
        <x:v>0</x:v>
      </x:c>
      <x:c r="AY45" s="35" t="n">
        <x:f>--AND(AY$3&gt;=$B$41,AY$3&lt;$B$42,'Вводные'!$B$89="Да")</x:f>
        <x:v>0</x:v>
      </x:c>
      <x:c r="AZ45" s="35" t="n">
        <x:f>--AND(AZ$3&gt;=$B$41,AZ$3&lt;$B$42,'Вводные'!$B$89="Да")</x:f>
        <x:v>0</x:v>
      </x:c>
      <x:c r="BA45" s="35" t="n">
        <x:f>--AND(BA$3&gt;=$B$41,BA$3&lt;$B$42,'Вводные'!$B$89="Да")</x:f>
        <x:v>0</x:v>
      </x:c>
      <x:c r="BB45" s="35" t="n">
        <x:f>--AND(BB$3&gt;=$B$41,BB$3&lt;$B$42,'Вводные'!$B$89="Да")</x:f>
        <x:v>0</x:v>
      </x:c>
      <x:c r="BC45" s="35" t="n">
        <x:f>--AND(BC$3&gt;=$B$41,BC$3&lt;$B$42,'Вводные'!$B$89="Да")</x:f>
        <x:v>0</x:v>
      </x:c>
      <x:c r="BD45" s="35" t="n">
        <x:f>--AND(BD$3&gt;=$B$41,BD$3&lt;$B$42,'Вводные'!$B$89="Да")</x:f>
        <x:v>0</x:v>
      </x:c>
      <x:c r="BE45" s="35" t="n">
        <x:f>--AND(BE$3&gt;=$B$41,BE$3&lt;$B$42,'Вводные'!$B$89="Да")</x:f>
        <x:v>0</x:v>
      </x:c>
      <x:c r="BF45" s="35" t="n">
        <x:f>--AND(BF$3&gt;=$B$41,BF$3&lt;$B$42,'Вводные'!$B$89="Да")</x:f>
        <x:v>0</x:v>
      </x:c>
      <x:c r="BG45" s="35" t="n">
        <x:f>--AND(BG$3&gt;=$B$41,BG$3&lt;$B$42,'Вводные'!$B$89="Да")</x:f>
        <x:v>0</x:v>
      </x:c>
      <x:c r="BH45" s="35" t="n">
        <x:f>--AND(BH$3&gt;=$B$41,BH$3&lt;$B$42,'Вводные'!$B$89="Да")</x:f>
        <x:v>0</x:v>
      </x:c>
      <x:c r="BI45" s="35" t="n">
        <x:f>--AND(BI$3&gt;=$B$41,BI$3&lt;$B$42,'Вводные'!$B$89="Да")</x:f>
        <x:v>0</x:v>
      </x:c>
      <x:c r="BJ45" s="35" t="n">
        <x:f>--AND(BJ$3&gt;=$B$41,BJ$3&lt;$B$42,'Вводные'!$B$89="Да")</x:f>
        <x:v>0</x:v>
      </x:c>
      <x:c r="BK45" s="35" t="n">
        <x:f>--AND(BK$3&gt;=$B$41,BK$3&lt;$B$42,'Вводные'!$B$89="Да")</x:f>
        <x:v>0</x:v>
      </x:c>
      <x:c r="BL45" s="35" t="n">
        <x:f>--AND(BL$3&gt;=$B$41,BL$3&lt;$B$42,'Вводные'!$B$89="Да")</x:f>
        <x:v>0</x:v>
      </x:c>
      <x:c r="BM45" s="35" t="n">
        <x:f>--AND(BM$3&gt;=$B$41,BM$3&lt;$B$42,'Вводные'!$B$89="Да")</x:f>
        <x:v>0</x:v>
      </x:c>
      <x:c r="BN45" s="35" t="n">
        <x:f>--AND(BN$3&gt;=$B$41,BN$3&lt;$B$42,'Вводные'!$B$89="Да")</x:f>
        <x:v>0</x:v>
      </x:c>
      <x:c r="BO45" s="35" t="n">
        <x:f>--AND(BO$3&gt;=$B$41,BO$3&lt;$B$42,'Вводные'!$B$89="Да")</x:f>
        <x:v>0</x:v>
      </x:c>
      <x:c r="BP45" s="35" t="n">
        <x:f>--AND(BP$3&gt;=$B$41,BP$3&lt;$B$42,'Вводные'!$B$89="Да")</x:f>
        <x:v>0</x:v>
      </x:c>
      <x:c r="BQ45" s="35" t="n">
        <x:f>--AND(BQ$3&gt;=$B$41,BQ$3&lt;$B$42,'Вводные'!$B$89="Да")</x:f>
        <x:v>0</x:v>
      </x:c>
      <x:c r="BR45" s="35" t="n">
        <x:f>--AND(BR$3&gt;=$B$41,BR$3&lt;$B$42,'Вводные'!$B$89="Да")</x:f>
        <x:v>0</x:v>
      </x:c>
      <x:c r="BS45" s="35" t="n">
        <x:f>--AND(BS$3&gt;=$B$41,BS$3&lt;$B$42,'Вводные'!$B$89="Да")</x:f>
        <x:v>0</x:v>
      </x:c>
      <x:c r="BT45" s="35" t="n">
        <x:f>--AND(BT$3&gt;=$B$41,BT$3&lt;$B$42,'Вводные'!$B$89="Да")</x:f>
        <x:v>0</x:v>
      </x:c>
      <x:c r="BU45" s="35" t="n">
        <x:f>--AND(BU$3&gt;=$B$41,BU$3&lt;$B$42,'Вводные'!$B$89="Да")</x:f>
        <x:v>0</x:v>
      </x:c>
      <x:c r="BV45" s="35" t="n">
        <x:f>--AND(BV$3&gt;=$B$41,BV$3&lt;$B$42,'Вводные'!$B$89="Да")</x:f>
        <x:v>0</x:v>
      </x:c>
      <x:c r="BW45" s="35" t="n">
        <x:f>--AND(BW$3&gt;=$B$41,BW$3&lt;$B$42,'Вводные'!$B$89="Да")</x:f>
        <x:v>0</x:v>
      </x:c>
      <x:c r="BX45" s="35" t="n">
        <x:f>--AND(BX$3&gt;=$B$41,BX$3&lt;$B$42,'Вводные'!$B$89="Да")</x:f>
        <x:v>0</x:v>
      </x:c>
      <x:c r="BY45" s="35" t="n">
        <x:f>--AND(BY$3&gt;=$B$41,BY$3&lt;$B$42,'Вводные'!$B$89="Да")</x:f>
        <x:v>0</x:v>
      </x:c>
      <x:c r="BZ45" s="35" t="n">
        <x:f>--AND(BZ$3&gt;=$B$41,BZ$3&lt;$B$42,'Вводные'!$B$89="Да")</x:f>
        <x:v>0</x:v>
      </x:c>
      <x:c r="CA45" s="35" t="n">
        <x:f>--AND(CA$3&gt;=$B$41,CA$3&lt;$B$42,'Вводные'!$B$89="Да")</x:f>
        <x:v>0</x:v>
      </x:c>
      <x:c r="CB45" s="35" t="n">
        <x:f>--AND(CB$3&gt;=$B$41,CB$3&lt;$B$42,'Вводные'!$B$89="Да")</x:f>
        <x:v>0</x:v>
      </x:c>
      <x:c r="CC45" s="35" t="n">
        <x:f>--AND(CC$3&gt;=$B$41,CC$3&lt;$B$42,'Вводные'!$B$89="Да")</x:f>
        <x:v>0</x:v>
      </x:c>
      <x:c r="CD45" s="35" t="n">
        <x:f>--AND(CD$3&gt;=$B$41,CD$3&lt;$B$42,'Вводные'!$B$89="Да")</x:f>
        <x:v>0</x:v>
      </x:c>
      <x:c r="CE45" s="35" t="n">
        <x:f>--AND(CE$3&gt;=$B$41,CE$3&lt;$B$42,'Вводные'!$B$89="Да")</x:f>
        <x:v>0</x:v>
      </x:c>
      <x:c r="CF45" s="35" t="n">
        <x:f>--AND(CF$3&gt;=$B$41,CF$3&lt;$B$42,'Вводные'!$B$89="Да")</x:f>
        <x:v>0</x:v>
      </x:c>
      <x:c r="CG45" s="35" t="n">
        <x:f>--AND(CG$3&gt;=$B$41,CG$3&lt;$B$42,'Вводные'!$B$89="Да")</x:f>
        <x:v>0</x:v>
      </x:c>
      <x:c r="CH45" s="35" t="n">
        <x:f>--AND(CH$3&gt;=$B$41,CH$3&lt;$B$42,'Вводные'!$B$89="Да")</x:f>
        <x:v>0</x:v>
      </x:c>
      <x:c r="CI45" s="35" t="n">
        <x:f>--AND(CI$3&gt;=$B$41,CI$3&lt;$B$42,'Вводные'!$B$89="Да")</x:f>
        <x:v>0</x:v>
      </x:c>
      <x:c r="CJ45" s="35" t="n">
        <x:f>--AND(CJ$3&gt;=$B$41,CJ$3&lt;$B$42,'Вводные'!$B$89="Да")</x:f>
        <x:v>0</x:v>
      </x:c>
      <x:c r="CK45" s="35" t="n">
        <x:f>--AND(CK$3&gt;=$B$41,CK$3&lt;$B$42,'Вводные'!$B$89="Да")</x:f>
        <x:v>0</x:v>
      </x:c>
      <x:c r="CL45" s="35" t="n">
        <x:f>--AND(CL$3&gt;=$B$41,CL$3&lt;$B$42,'Вводные'!$B$89="Да")</x:f>
        <x:v>0</x:v>
      </x:c>
      <x:c r="CM45" s="35" t="n">
        <x:f>--AND(CM$3&gt;=$B$41,CM$3&lt;$B$42,'Вводные'!$B$89="Да")</x:f>
        <x:v>0</x:v>
      </x:c>
      <x:c r="CN45" s="35" t="n">
        <x:f>--AND(CN$3&gt;=$B$41,CN$3&lt;$B$42,'Вводные'!$B$89="Да")</x:f>
        <x:v>0</x:v>
      </x:c>
      <x:c r="CO45" s="35" t="n">
        <x:f>--AND(CO$3&gt;=$B$41,CO$3&lt;$B$42,'Вводные'!$B$89="Да")</x:f>
        <x:v>0</x:v>
      </x:c>
      <x:c r="CP45" s="35" t="n">
        <x:f>--AND(CP$3&gt;=$B$41,CP$3&lt;$B$42,'Вводные'!$B$89="Да")</x:f>
        <x:v>0</x:v>
      </x:c>
      <x:c r="CQ45" s="35" t="n">
        <x:f>--AND(CQ$3&gt;=$B$41,CQ$3&lt;$B$42,'Вводные'!$B$89="Да")</x:f>
        <x:v>0</x:v>
      </x:c>
      <x:c r="CR45" s="35" t="n">
        <x:f>--AND(CR$3&gt;=$B$41,CR$3&lt;$B$42,'Вводные'!$B$89="Да")</x:f>
        <x:v>0</x:v>
      </x:c>
      <x:c r="CS45" s="35" t="n">
        <x:f>--AND(CS$3&gt;=$B$41,CS$3&lt;$B$42,'Вводные'!$B$89="Да")</x:f>
        <x:v>0</x:v>
      </x:c>
      <x:c r="CT45" s="35" t="n">
        <x:f>--AND(CT$3&gt;=$B$41,CT$3&lt;$B$42,'Вводные'!$B$89="Да")</x:f>
        <x:v>0</x:v>
      </x:c>
      <x:c r="CU45" s="35" t="n">
        <x:f>--AND(CU$3&gt;=$B$41,CU$3&lt;$B$42,'Вводные'!$B$89="Да")</x:f>
        <x:v>0</x:v>
      </x:c>
      <x:c r="CV45" s="35" t="n">
        <x:f>--AND(CV$3&gt;=$B$41,CV$3&lt;$B$42,'Вводные'!$B$89="Да")</x:f>
        <x:v>0</x:v>
      </x:c>
      <x:c r="CW45" s="35" t="n">
        <x:f>--AND(CW$3&gt;=$B$41,CW$3&lt;$B$42,'Вводные'!$B$89="Да")</x:f>
        <x:v>0</x:v>
      </x:c>
      <x:c r="CX45" s="35" t="n">
        <x:f>--AND(CX$3&gt;=$B$41,CX$3&lt;$B$42,'Вводные'!$B$89="Да")</x:f>
        <x:v>0</x:v>
      </x:c>
      <x:c r="CY45" s="35" t="n">
        <x:f>--AND(CY$3&gt;=$B$41,CY$3&lt;$B$42,'Вводные'!$B$89="Да")</x:f>
        <x:v>0</x:v>
      </x:c>
      <x:c r="CZ45" s="35" t="n">
        <x:f>--AND(CZ$3&gt;=$B$41,CZ$3&lt;$B$42,'Вводные'!$B$89="Да")</x:f>
        <x:v>0</x:v>
      </x:c>
      <x:c r="DA45" s="35" t="n">
        <x:f>--AND(DA$3&gt;=$B$41,DA$3&lt;$B$42,'Вводные'!$B$89="Да")</x:f>
        <x:v>0</x:v>
      </x:c>
      <x:c r="DB45" s="35" t="n">
        <x:f>--AND(DB$3&gt;=$B$41,DB$3&lt;$B$42,'Вводные'!$B$89="Да")</x:f>
        <x:v>0</x:v>
      </x:c>
      <x:c r="DC45" s="35" t="n">
        <x:f>--AND(DC$3&gt;=$B$41,DC$3&lt;$B$42,'Вводные'!$B$89="Да")</x:f>
        <x:v>0</x:v>
      </x:c>
      <x:c r="DD45" s="35" t="n">
        <x:f>--AND(DD$3&gt;=$B$41,DD$3&lt;$B$42,'Вводные'!$B$89="Да")</x:f>
        <x:v>0</x:v>
      </x:c>
      <x:c r="DE45" s="35" t="n">
        <x:f>--AND(DE$3&gt;=$B$41,DE$3&lt;$B$42,'Вводные'!$B$89="Да")</x:f>
        <x:v>0</x:v>
      </x:c>
      <x:c r="DF45" s="35" t="n">
        <x:f>--AND(DF$3&gt;=$B$41,DF$3&lt;$B$42,'Вводные'!$B$89="Да")</x:f>
        <x:v>0</x:v>
      </x:c>
      <x:c r="DG45" s="35" t="n">
        <x:f>--AND(DG$3&gt;=$B$41,DG$3&lt;$B$42,'Вводные'!$B$89="Да")</x:f>
        <x:v>0</x:v>
      </x:c>
      <x:c r="DH45" s="35" t="n">
        <x:f>--AND(DH$3&gt;=$B$41,DH$3&lt;$B$42,'Вводные'!$B$89="Да")</x:f>
        <x:v>0</x:v>
      </x:c>
      <x:c r="DI45" s="35" t="n">
        <x:f>--AND(DI$3&gt;=$B$41,DI$3&lt;$B$42,'Вводные'!$B$89="Да")</x:f>
        <x:v>0</x:v>
      </x:c>
      <x:c r="DJ45" s="35" t="n">
        <x:f>--AND(DJ$3&gt;=$B$41,DJ$3&lt;$B$42,'Вводные'!$B$89="Да")</x:f>
        <x:v>0</x:v>
      </x:c>
      <x:c r="DK45" s="35" t="n">
        <x:f>--AND(DK$3&gt;=$B$41,DK$3&lt;$B$42,'Вводные'!$B$89="Да")</x:f>
        <x:v>0</x:v>
      </x:c>
      <x:c r="DL45" s="35" t="n">
        <x:f>--AND(DL$3&gt;=$B$41,DL$3&lt;$B$42,'Вводные'!$B$89="Да")</x:f>
        <x:v>0</x:v>
      </x:c>
      <x:c r="DM45" s="35" t="n">
        <x:f>--AND(DM$3&gt;=$B$41,DM$3&lt;$B$42,'Вводные'!$B$89="Да")</x:f>
        <x:v>0</x:v>
      </x:c>
      <x:c r="DN45" s="35" t="n">
        <x:f>--AND(DN$3&gt;=$B$41,DN$3&lt;$B$42,'Вводные'!$B$89="Да")</x:f>
        <x:v>0</x:v>
      </x:c>
      <x:c r="DO45" s="35" t="n">
        <x:f>--AND(DO$3&gt;=$B$41,DO$3&lt;$B$42,'Вводные'!$B$89="Да")</x:f>
        <x:v>0</x:v>
      </x:c>
      <x:c r="DP45" s="35" t="n">
        <x:f>--AND(DP$3&gt;=$B$41,DP$3&lt;$B$42,'Вводные'!$B$89="Да")</x:f>
        <x:v>0</x:v>
      </x:c>
      <x:c r="DQ45" s="35" t="n">
        <x:f>--AND(DQ$3&gt;=$B$41,DQ$3&lt;$B$42,'Вводные'!$B$89="Да")</x:f>
        <x:v>0</x:v>
      </x:c>
      <x:c r="DR45" s="35" t="n">
        <x:f>--AND(DR$3&gt;=$B$41,DR$3&lt;$B$42,'Вводные'!$B$89="Да")</x:f>
        <x:v>0</x:v>
      </x:c>
      <x:c r="DS45" s="35" t="n">
        <x:f>--AND(DS$3&gt;=$B$41,DS$3&lt;$B$42,'Вводные'!$B$89="Да")</x:f>
        <x:v>0</x:v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  <x:v>0</x:v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  <x:v>0</x:v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  <x:v>0</x:v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  <x:v>0</x:v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  <x:v>0</x:v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  <x:v>0</x:v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  <x:v>0</x:v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  <x:v>0</x:v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  <x:v>0</x:v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  <x:v>0</x:v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  <x:v>0</x:v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  <x:v>0</x:v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  <x:v>0</x:v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  <x:v>0</x:v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  <x:v>0</x:v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  <x:v>0</x:v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  <x:v>0</x:v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  <x:v>0</x:v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  <x:v>0</x:v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  <x:v>0</x:v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  <x:v>0</x:v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  <x:v>0</x:v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  <x:v>0</x:v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  <x:v>0</x:v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  <x:v>0</x:v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  <x:v>0</x:v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  <x:v>0</x:v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  <x:v>0</x:v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  <x:v>0</x:v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  <x:v>0</x:v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  <x:v>0</x:v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  <x:v>0</x:v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  <x:v>0</x:v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  <x:v>0</x:v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  <x:v>0</x:v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  <x:v>0</x:v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  <x:v>0</x:v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  <x:v>0</x:v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  <x:v>0</x:v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  <x:v>0</x:v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  <x:v>0</x:v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  <x:v>0</x:v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  <x:v>0</x:v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  <x:v>0</x:v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  <x:v>0</x:v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  <x:v>0</x:v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  <x:v>0</x:v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  <x:v>0</x:v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  <x:v>0</x:v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  <x:v>0</x:v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  <x:v>0</x:v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  <x:v>0</x:v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  <x:v>0</x:v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  <x:v>0</x:v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  <x:v>0</x:v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  <x:v>0</x:v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  <x:v>0</x:v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  <x:v>0</x:v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  <x:v>0</x:v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  <x:v>0</x:v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  <x:v>0</x:v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  <x:v>0</x:v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  <x:v>0</x:v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  <x:v>0</x:v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  <x:v>0</x:v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  <x:v>0</x:v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  <x:v>0</x:v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  <x:v>0</x:v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  <x:v>0</x:v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  <x:v>0</x:v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  <x:v>0</x:v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  <x:v>0</x:v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  <x:v>0</x:v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  <x:v>0</x:v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  <x:v>0</x:v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  <x:v>0</x:v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  <x:v>0</x:v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  <x:v>0</x:v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  <x:v>0</x:v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  <x:v>0</x:v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  <x:v>0</x:v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  <x:v>0</x:v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  <x:v>0</x:v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  <x:v>0</x:v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  <x:v>0</x:v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  <x:v>0</x:v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  <x:v>0</x:v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  <x:v>0</x:v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  <x:v>0</x:v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  <x:v>0</x:v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  <x:v>0</x:v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  <x:v>0</x:v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  <x:v>0</x:v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  <x:v>0</x:v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  <x:v>0</x:v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  <x:v>0</x:v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  <x:v>0</x:v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  <x:v>0</x:v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  <x:v>0</x:v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  <x:v>0</x:v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  <x:v>0</x:v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  <x:v>0</x:v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  <x:v>0</x:v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  <x:v>0</x:v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  <x:v>0</x:v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  <x:v>0</x:v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  <x:v>0</x:v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  <x:v>0</x:v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  <x:v>0</x:v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  <x:v>0</x:v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  <x:v>0</x:v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  <x:v>0</x:v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  <x:v>0</x:v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  <x:v>0</x:v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  <x:v>0</x:v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  <x:v>0</x:v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  <x:v>0</x:v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  <x:v>0</x:v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  <x:v>0</x:v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  <x:v>0</x:v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  <x:v>0</x:v>
      </x:c>
      <x:c r="E47" s="35" t="n">
        <x:f>IFERROR(E46/SUM($D46:$DS46),0)</x:f>
        <x:v>0</x:v>
      </x:c>
      <x:c r="F47" s="35" t="n">
        <x:f>IFERROR(F46/SUM($D46:$DS46),0)</x:f>
        <x:v>0</x:v>
      </x:c>
      <x:c r="G47" s="35" t="n">
        <x:f>IFERROR(G46/SUM($D46:$DS46),0)</x:f>
        <x:v>0</x:v>
      </x:c>
      <x:c r="H47" s="35" t="n">
        <x:f>IFERROR(H46/SUM($D46:$DS46),0)</x:f>
        <x:v>0</x:v>
      </x:c>
      <x:c r="I47" s="35" t="n">
        <x:f>IFERROR(I46/SUM($D46:$DS46),0)</x:f>
        <x:v>0</x:v>
      </x:c>
      <x:c r="J47" s="35" t="n">
        <x:f>IFERROR(J46/SUM($D46:$DS46),0)</x:f>
        <x:v>0</x:v>
      </x:c>
      <x:c r="K47" s="35" t="n">
        <x:f>IFERROR(K46/SUM($D46:$DS46),0)</x:f>
        <x:v>0</x:v>
      </x:c>
      <x:c r="L47" s="35" t="n">
        <x:f>IFERROR(L46/SUM($D46:$DS46),0)</x:f>
        <x:v>0</x:v>
      </x:c>
      <x:c r="M47" s="35" t="n">
        <x:f>IFERROR(M46/SUM($D46:$DS46),0)</x:f>
        <x:v>0</x:v>
      </x:c>
      <x:c r="N47" s="35" t="n">
        <x:f>IFERROR(N46/SUM($D46:$DS46),0)</x:f>
        <x:v>0</x:v>
      </x:c>
      <x:c r="O47" s="35" t="n">
        <x:f>IFERROR(O46/SUM($D46:$DS46),0)</x:f>
        <x:v>0</x:v>
      </x:c>
      <x:c r="P47" s="35" t="n">
        <x:f>IFERROR(P46/SUM($D46:$DS46),0)</x:f>
        <x:v>0</x:v>
      </x:c>
      <x:c r="Q47" s="35" t="n">
        <x:f>IFERROR(Q46/SUM($D46:$DS46),0)</x:f>
        <x:v>0</x:v>
      </x:c>
      <x:c r="R47" s="35" t="n">
        <x:f>IFERROR(R46/SUM($D46:$DS46),0)</x:f>
        <x:v>0</x:v>
      </x:c>
      <x:c r="S47" s="35" t="n">
        <x:f>IFERROR(S46/SUM($D46:$DS46),0)</x:f>
        <x:v>0</x:v>
      </x:c>
      <x:c r="T47" s="35" t="n">
        <x:f>IFERROR(T46/SUM($D46:$DS46),0)</x:f>
        <x:v>0</x:v>
      </x:c>
      <x:c r="U47" s="35" t="n">
        <x:f>IFERROR(U46/SUM($D46:$DS46),0)</x:f>
        <x:v>0</x:v>
      </x:c>
      <x:c r="V47" s="35" t="n">
        <x:f>IFERROR(V46/SUM($D46:$DS46),0)</x:f>
        <x:v>0</x:v>
      </x:c>
      <x:c r="W47" s="35" t="n">
        <x:f>IFERROR(W46/SUM($D46:$DS46),0)</x:f>
        <x:v>0</x:v>
      </x:c>
      <x:c r="X47" s="35" t="n">
        <x:f>IFERROR(X46/SUM($D46:$DS46),0)</x:f>
        <x:v>0</x:v>
      </x:c>
      <x:c r="Y47" s="35" t="n">
        <x:f>IFERROR(Y46/SUM($D46:$DS46),0)</x:f>
        <x:v>0</x:v>
      </x:c>
      <x:c r="Z47" s="35" t="n">
        <x:f>IFERROR(Z46/SUM($D46:$DS46),0)</x:f>
        <x:v>0</x:v>
      </x:c>
      <x:c r="AA47" s="35" t="n">
        <x:f>IFERROR(AA46/SUM($D46:$DS46),0)</x:f>
        <x:v>0</x:v>
      </x:c>
      <x:c r="AB47" s="35" t="n">
        <x:f>IFERROR(AB46/SUM($D46:$DS46),0)</x:f>
        <x:v>0</x:v>
      </x:c>
      <x:c r="AC47" s="35" t="n">
        <x:f>IFERROR(AC46/SUM($D46:$DS46),0)</x:f>
        <x:v>0</x:v>
      </x:c>
      <x:c r="AD47" s="35" t="n">
        <x:f>IFERROR(AD46/SUM($D46:$DS46),0)</x:f>
        <x:v>0</x:v>
      </x:c>
      <x:c r="AE47" s="35" t="n">
        <x:f>IFERROR(AE46/SUM($D46:$DS46),0)</x:f>
        <x:v>0</x:v>
      </x:c>
      <x:c r="AF47" s="35" t="n">
        <x:f>IFERROR(AF46/SUM($D46:$DS46),0)</x:f>
        <x:v>0</x:v>
      </x:c>
      <x:c r="AG47" s="35" t="n">
        <x:f>IFERROR(AG46/SUM($D46:$DS46),0)</x:f>
        <x:v>0</x:v>
      </x:c>
      <x:c r="AH47" s="35" t="n">
        <x:f>IFERROR(AH46/SUM($D46:$DS46),0)</x:f>
        <x:v>0</x:v>
      </x:c>
      <x:c r="AI47" s="35" t="n">
        <x:f>IFERROR(AI46/SUM($D46:$DS46),0)</x:f>
        <x:v>0</x:v>
      </x:c>
      <x:c r="AJ47" s="35" t="n">
        <x:f>IFERROR(AJ46/SUM($D46:$DS46),0)</x:f>
        <x:v>0</x:v>
      </x:c>
      <x:c r="AK47" s="35" t="n">
        <x:f>IFERROR(AK46/SUM($D46:$DS46),0)</x:f>
        <x:v>0</x:v>
      </x:c>
      <x:c r="AL47" s="35" t="n">
        <x:f>IFERROR(AL46/SUM($D46:$DS46),0)</x:f>
        <x:v>0</x:v>
      </x:c>
      <x:c r="AM47" s="35" t="n">
        <x:f>IFERROR(AM46/SUM($D46:$DS46),0)</x:f>
        <x:v>0</x:v>
      </x:c>
      <x:c r="AN47" s="35" t="n">
        <x:f>IFERROR(AN46/SUM($D46:$DS46),0)</x:f>
        <x:v>0</x:v>
      </x:c>
      <x:c r="AO47" s="35" t="n">
        <x:f>IFERROR(AO46/SUM($D46:$DS46),0)</x:f>
        <x:v>0</x:v>
      </x:c>
      <x:c r="AP47" s="35" t="n">
        <x:f>IFERROR(AP46/SUM($D46:$DS46),0)</x:f>
        <x:v>0</x:v>
      </x:c>
      <x:c r="AQ47" s="35" t="n">
        <x:f>IFERROR(AQ46/SUM($D46:$DS46),0)</x:f>
        <x:v>0</x:v>
      </x:c>
      <x:c r="AR47" s="35" t="n">
        <x:f>IFERROR(AR46/SUM($D46:$DS46),0)</x:f>
        <x:v>0</x:v>
      </x:c>
      <x:c r="AS47" s="35" t="n">
        <x:f>IFERROR(AS46/SUM($D46:$DS46),0)</x:f>
        <x:v>0</x:v>
      </x:c>
      <x:c r="AT47" s="35" t="n">
        <x:f>IFERROR(AT46/SUM($D46:$DS46),0)</x:f>
        <x:v>0</x:v>
      </x:c>
      <x:c r="AU47" s="35" t="n">
        <x:f>IFERROR(AU46/SUM($D46:$DS46),0)</x:f>
        <x:v>0</x:v>
      </x:c>
      <x:c r="AV47" s="35" t="n">
        <x:f>IFERROR(AV46/SUM($D46:$DS46),0)</x:f>
        <x:v>0</x:v>
      </x:c>
      <x:c r="AW47" s="35" t="n">
        <x:f>IFERROR(AW46/SUM($D46:$DS46),0)</x:f>
        <x:v>0</x:v>
      </x:c>
      <x:c r="AX47" s="35" t="n">
        <x:f>IFERROR(AX46/SUM($D46:$DS46),0)</x:f>
        <x:v>0</x:v>
      </x:c>
      <x:c r="AY47" s="35" t="n">
        <x:f>IFERROR(AY46/SUM($D46:$DS46),0)</x:f>
        <x:v>0</x:v>
      </x:c>
      <x:c r="AZ47" s="35" t="n">
        <x:f>IFERROR(AZ46/SUM($D46:$DS46),0)</x:f>
        <x:v>0</x:v>
      </x:c>
      <x:c r="BA47" s="35" t="n">
        <x:f>IFERROR(BA46/SUM($D46:$DS46),0)</x:f>
        <x:v>0</x:v>
      </x:c>
      <x:c r="BB47" s="35" t="n">
        <x:f>IFERROR(BB46/SUM($D46:$DS46),0)</x:f>
        <x:v>0</x:v>
      </x:c>
      <x:c r="BC47" s="35" t="n">
        <x:f>IFERROR(BC46/SUM($D46:$DS46),0)</x:f>
        <x:v>0</x:v>
      </x:c>
      <x:c r="BD47" s="35" t="n">
        <x:f>IFERROR(BD46/SUM($D46:$DS46),0)</x:f>
        <x:v>0</x:v>
      </x:c>
      <x:c r="BE47" s="35" t="n">
        <x:f>IFERROR(BE46/SUM($D46:$DS46),0)</x:f>
        <x:v>0</x:v>
      </x:c>
      <x:c r="BF47" s="35" t="n">
        <x:f>IFERROR(BF46/SUM($D46:$DS46),0)</x:f>
        <x:v>0</x:v>
      </x:c>
      <x:c r="BG47" s="35" t="n">
        <x:f>IFERROR(BG46/SUM($D46:$DS46),0)</x:f>
        <x:v>0</x:v>
      </x:c>
      <x:c r="BH47" s="35" t="n">
        <x:f>IFERROR(BH46/SUM($D46:$DS46),0)</x:f>
        <x:v>0</x:v>
      </x:c>
      <x:c r="BI47" s="35" t="n">
        <x:f>IFERROR(BI46/SUM($D46:$DS46),0)</x:f>
        <x:v>0</x:v>
      </x:c>
      <x:c r="BJ47" s="35" t="n">
        <x:f>IFERROR(BJ46/SUM($D46:$DS46),0)</x:f>
        <x:v>0</x:v>
      </x:c>
      <x:c r="BK47" s="35" t="n">
        <x:f>IFERROR(BK46/SUM($D46:$DS46),0)</x:f>
        <x:v>0</x:v>
      </x:c>
      <x:c r="BL47" s="35" t="n">
        <x:f>IFERROR(BL46/SUM($D46:$DS46),0)</x:f>
        <x:v>0</x:v>
      </x:c>
      <x:c r="BM47" s="35" t="n">
        <x:f>IFERROR(BM46/SUM($D46:$DS46),0)</x:f>
        <x:v>0</x:v>
      </x:c>
      <x:c r="BN47" s="35" t="n">
        <x:f>IFERROR(BN46/SUM($D46:$DS46),0)</x:f>
        <x:v>0</x:v>
      </x:c>
      <x:c r="BO47" s="35" t="n">
        <x:f>IFERROR(BO46/SUM($D46:$DS46),0)</x:f>
        <x:v>0</x:v>
      </x:c>
      <x:c r="BP47" s="35" t="n">
        <x:f>IFERROR(BP46/SUM($D46:$DS46),0)</x:f>
        <x:v>0</x:v>
      </x:c>
      <x:c r="BQ47" s="35" t="n">
        <x:f>IFERROR(BQ46/SUM($D46:$DS46),0)</x:f>
        <x:v>0</x:v>
      </x:c>
      <x:c r="BR47" s="35" t="n">
        <x:f>IFERROR(BR46/SUM($D46:$DS46),0)</x:f>
        <x:v>0</x:v>
      </x:c>
      <x:c r="BS47" s="35" t="n">
        <x:f>IFERROR(BS46/SUM($D46:$DS46),0)</x:f>
        <x:v>0</x:v>
      </x:c>
      <x:c r="BT47" s="35" t="n">
        <x:f>IFERROR(BT46/SUM($D46:$DS46),0)</x:f>
        <x:v>0</x:v>
      </x:c>
      <x:c r="BU47" s="35" t="n">
        <x:f>IFERROR(BU46/SUM($D46:$DS46),0)</x:f>
        <x:v>0</x:v>
      </x:c>
      <x:c r="BV47" s="35" t="n">
        <x:f>IFERROR(BV46/SUM($D46:$DS46),0)</x:f>
        <x:v>0</x:v>
      </x:c>
      <x:c r="BW47" s="35" t="n">
        <x:f>IFERROR(BW46/SUM($D46:$DS46),0)</x:f>
        <x:v>0</x:v>
      </x:c>
      <x:c r="BX47" s="35" t="n">
        <x:f>IFERROR(BX46/SUM($D46:$DS46),0)</x:f>
        <x:v>0</x:v>
      </x:c>
      <x:c r="BY47" s="35" t="n">
        <x:f>IFERROR(BY46/SUM($D46:$DS46),0)</x:f>
        <x:v>0</x:v>
      </x:c>
      <x:c r="BZ47" s="35" t="n">
        <x:f>IFERROR(BZ46/SUM($D46:$DS46),0)</x:f>
        <x:v>0</x:v>
      </x:c>
      <x:c r="CA47" s="35" t="n">
        <x:f>IFERROR(CA46/SUM($D46:$DS46),0)</x:f>
        <x:v>0</x:v>
      </x:c>
      <x:c r="CB47" s="35" t="n">
        <x:f>IFERROR(CB46/SUM($D46:$DS46),0)</x:f>
        <x:v>0</x:v>
      </x:c>
      <x:c r="CC47" s="35" t="n">
        <x:f>IFERROR(CC46/SUM($D46:$DS46),0)</x:f>
        <x:v>0</x:v>
      </x:c>
      <x:c r="CD47" s="35" t="n">
        <x:f>IFERROR(CD46/SUM($D46:$DS46),0)</x:f>
        <x:v>0</x:v>
      </x:c>
      <x:c r="CE47" s="35" t="n">
        <x:f>IFERROR(CE46/SUM($D46:$DS46),0)</x:f>
        <x:v>0</x:v>
      </x:c>
      <x:c r="CF47" s="35" t="n">
        <x:f>IFERROR(CF46/SUM($D46:$DS46),0)</x:f>
        <x:v>0</x:v>
      </x:c>
      <x:c r="CG47" s="35" t="n">
        <x:f>IFERROR(CG46/SUM($D46:$DS46),0)</x:f>
        <x:v>0</x:v>
      </x:c>
      <x:c r="CH47" s="35" t="n">
        <x:f>IFERROR(CH46/SUM($D46:$DS46),0)</x:f>
        <x:v>0</x:v>
      </x:c>
      <x:c r="CI47" s="35" t="n">
        <x:f>IFERROR(CI46/SUM($D46:$DS46),0)</x:f>
        <x:v>0</x:v>
      </x:c>
      <x:c r="CJ47" s="35" t="n">
        <x:f>IFERROR(CJ46/SUM($D46:$DS46),0)</x:f>
        <x:v>0</x:v>
      </x:c>
      <x:c r="CK47" s="35" t="n">
        <x:f>IFERROR(CK46/SUM($D46:$DS46),0)</x:f>
        <x:v>0</x:v>
      </x:c>
      <x:c r="CL47" s="35" t="n">
        <x:f>IFERROR(CL46/SUM($D46:$DS46),0)</x:f>
        <x:v>0</x:v>
      </x:c>
      <x:c r="CM47" s="35" t="n">
        <x:f>IFERROR(CM46/SUM($D46:$DS46),0)</x:f>
        <x:v>0</x:v>
      </x:c>
      <x:c r="CN47" s="35" t="n">
        <x:f>IFERROR(CN46/SUM($D46:$DS46),0)</x:f>
        <x:v>0</x:v>
      </x:c>
      <x:c r="CO47" s="35" t="n">
        <x:f>IFERROR(CO46/SUM($D46:$DS46),0)</x:f>
        <x:v>0</x:v>
      </x:c>
      <x:c r="CP47" s="35" t="n">
        <x:f>IFERROR(CP46/SUM($D46:$DS46),0)</x:f>
        <x:v>0</x:v>
      </x:c>
      <x:c r="CQ47" s="35" t="n">
        <x:f>IFERROR(CQ46/SUM($D46:$DS46),0)</x:f>
        <x:v>0</x:v>
      </x:c>
      <x:c r="CR47" s="35" t="n">
        <x:f>IFERROR(CR46/SUM($D46:$DS46),0)</x:f>
        <x:v>0</x:v>
      </x:c>
      <x:c r="CS47" s="35" t="n">
        <x:f>IFERROR(CS46/SUM($D46:$DS46),0)</x:f>
        <x:v>0</x:v>
      </x:c>
      <x:c r="CT47" s="35" t="n">
        <x:f>IFERROR(CT46/SUM($D46:$DS46),0)</x:f>
        <x:v>0</x:v>
      </x:c>
      <x:c r="CU47" s="35" t="n">
        <x:f>IFERROR(CU46/SUM($D46:$DS46),0)</x:f>
        <x:v>0</x:v>
      </x:c>
      <x:c r="CV47" s="35" t="n">
        <x:f>IFERROR(CV46/SUM($D46:$DS46),0)</x:f>
        <x:v>0</x:v>
      </x:c>
      <x:c r="CW47" s="35" t="n">
        <x:f>IFERROR(CW46/SUM($D46:$DS46),0)</x:f>
        <x:v>0</x:v>
      </x:c>
      <x:c r="CX47" s="35" t="n">
        <x:f>IFERROR(CX46/SUM($D46:$DS46),0)</x:f>
        <x:v>0</x:v>
      </x:c>
      <x:c r="CY47" s="35" t="n">
        <x:f>IFERROR(CY46/SUM($D46:$DS46),0)</x:f>
        <x:v>0</x:v>
      </x:c>
      <x:c r="CZ47" s="35" t="n">
        <x:f>IFERROR(CZ46/SUM($D46:$DS46),0)</x:f>
        <x:v>0</x:v>
      </x:c>
      <x:c r="DA47" s="35" t="n">
        <x:f>IFERROR(DA46/SUM($D46:$DS46),0)</x:f>
        <x:v>0</x:v>
      </x:c>
      <x:c r="DB47" s="35" t="n">
        <x:f>IFERROR(DB46/SUM($D46:$DS46),0)</x:f>
        <x:v>0</x:v>
      </x:c>
      <x:c r="DC47" s="35" t="n">
        <x:f>IFERROR(DC46/SUM($D46:$DS46),0)</x:f>
        <x:v>0</x:v>
      </x:c>
      <x:c r="DD47" s="35" t="n">
        <x:f>IFERROR(DD46/SUM($D46:$DS46),0)</x:f>
        <x:v>0</x:v>
      </x:c>
      <x:c r="DE47" s="35" t="n">
        <x:f>IFERROR(DE46/SUM($D46:$DS46),0)</x:f>
        <x:v>0</x:v>
      </x:c>
      <x:c r="DF47" s="35" t="n">
        <x:f>IFERROR(DF46/SUM($D46:$DS46),0)</x:f>
        <x:v>0</x:v>
      </x:c>
      <x:c r="DG47" s="35" t="n">
        <x:f>IFERROR(DG46/SUM($D46:$DS46),0)</x:f>
        <x:v>0</x:v>
      </x:c>
      <x:c r="DH47" s="35" t="n">
        <x:f>IFERROR(DH46/SUM($D46:$DS46),0)</x:f>
        <x:v>0</x:v>
      </x:c>
      <x:c r="DI47" s="35" t="n">
        <x:f>IFERROR(DI46/SUM($D46:$DS46),0)</x:f>
        <x:v>0</x:v>
      </x:c>
      <x:c r="DJ47" s="35" t="n">
        <x:f>IFERROR(DJ46/SUM($D46:$DS46),0)</x:f>
        <x:v>0</x:v>
      </x:c>
      <x:c r="DK47" s="35" t="n">
        <x:f>IFERROR(DK46/SUM($D46:$DS46),0)</x:f>
        <x:v>0</x:v>
      </x:c>
      <x:c r="DL47" s="35" t="n">
        <x:f>IFERROR(DL46/SUM($D46:$DS46),0)</x:f>
        <x:v>0</x:v>
      </x:c>
      <x:c r="DM47" s="35" t="n">
        <x:f>IFERROR(DM46/SUM($D46:$DS46),0)</x:f>
        <x:v>0</x:v>
      </x:c>
      <x:c r="DN47" s="35" t="n">
        <x:f>IFERROR(DN46/SUM($D46:$DS46),0)</x:f>
        <x:v>0</x:v>
      </x:c>
      <x:c r="DO47" s="35" t="n">
        <x:f>IFERROR(DO46/SUM($D46:$DS46),0)</x:f>
        <x:v>0</x:v>
      </x:c>
      <x:c r="DP47" s="35" t="n">
        <x:f>IFERROR(DP46/SUM($D46:$DS46),0)</x:f>
        <x:v>0</x:v>
      </x:c>
      <x:c r="DQ47" s="35" t="n">
        <x:f>IFERROR(DQ46/SUM($D46:$DS46),0)</x:f>
        <x:v>0</x:v>
      </x:c>
      <x:c r="DR47" s="35" t="n">
        <x:f>IFERROR(DR46/SUM($D46:$DS46),0)</x:f>
        <x:v>0</x:v>
      </x:c>
      <x:c r="DS47" s="35" t="n">
        <x:f>IFERROR(DS46/SUM($D46:$DS46),0)</x:f>
        <x:v>0</x:v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  <x:v>0</x:v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  <x:v>0</x:v>
      </x:c>
      <x:c r="E48" s="117" t="n">
        <x:f>IF(AND(YEAR(E$3)=YEAR(EDATE('Вводные'!$D$89,'Вводные'!$H$9)),MONTH(E$3)=MONTH(EDATE('Вводные'!$D$89,'Вводные'!$H$9))),$B$48,0)</x:f>
        <x:v>0</x:v>
      </x:c>
      <x:c r="F48" s="117" t="n">
        <x:f>IF(AND(YEAR(F$3)=YEAR(EDATE('Вводные'!$D$89,'Вводные'!$H$9)),MONTH(F$3)=MONTH(EDATE('Вводные'!$D$89,'Вводные'!$H$9))),$B$48,0)</x:f>
        <x:v>0</x:v>
      </x:c>
      <x:c r="G48" s="117" t="n">
        <x:f>IF(AND(YEAR(G$3)=YEAR(EDATE('Вводные'!$D$89,'Вводные'!$H$9)),MONTH(G$3)=MONTH(EDATE('Вводные'!$D$89,'Вводные'!$H$9))),$B$48,0)</x:f>
        <x:v>0</x:v>
      </x:c>
      <x:c r="H48" s="117" t="n">
        <x:f>IF(AND(YEAR(H$3)=YEAR(EDATE('Вводные'!$D$89,'Вводные'!$H$9)),MONTH(H$3)=MONTH(EDATE('Вводные'!$D$89,'Вводные'!$H$9))),$B$48,0)</x:f>
        <x:v>0</x:v>
      </x:c>
      <x:c r="I48" s="117" t="n">
        <x:f>IF(AND(YEAR(I$3)=YEAR(EDATE('Вводные'!$D$89,'Вводные'!$H$9)),MONTH(I$3)=MONTH(EDATE('Вводные'!$D$89,'Вводные'!$H$9))),$B$48,0)</x:f>
        <x:v>0</x:v>
      </x:c>
      <x:c r="J48" s="117" t="n">
        <x:f>IF(AND(YEAR(J$3)=YEAR(EDATE('Вводные'!$D$89,'Вводные'!$H$9)),MONTH(J$3)=MONTH(EDATE('Вводные'!$D$89,'Вводные'!$H$9))),$B$48,0)</x:f>
        <x:v>0</x:v>
      </x:c>
      <x:c r="K48" s="117" t="n">
        <x:f>IF(AND(YEAR(K$3)=YEAR(EDATE('Вводные'!$D$89,'Вводные'!$H$9)),MONTH(K$3)=MONTH(EDATE('Вводные'!$D$89,'Вводные'!$H$9))),$B$48,0)</x:f>
        <x:v>0</x:v>
      </x:c>
      <x:c r="L48" s="117" t="n">
        <x:f>IF(AND(YEAR(L$3)=YEAR(EDATE('Вводные'!$D$89,'Вводные'!$H$9)),MONTH(L$3)=MONTH(EDATE('Вводные'!$D$89,'Вводные'!$H$9))),$B$48,0)</x:f>
        <x:v>0</x:v>
      </x:c>
      <x:c r="M48" s="117" t="n">
        <x:f>IF(AND(YEAR(M$3)=YEAR(EDATE('Вводные'!$D$89,'Вводные'!$H$9)),MONTH(M$3)=MONTH(EDATE('Вводные'!$D$89,'Вводные'!$H$9))),$B$48,0)</x:f>
        <x:v>0</x:v>
      </x:c>
      <x:c r="N48" s="117" t="n">
        <x:f>IF(AND(YEAR(N$3)=YEAR(EDATE('Вводные'!$D$89,'Вводные'!$H$9)),MONTH(N$3)=MONTH(EDATE('Вводные'!$D$89,'Вводные'!$H$9))),$B$48,0)</x:f>
        <x:v>0</x:v>
      </x:c>
      <x:c r="O48" s="117" t="n">
        <x:f>IF(AND(YEAR(O$3)=YEAR(EDATE('Вводные'!$D$89,'Вводные'!$H$9)),MONTH(O$3)=MONTH(EDATE('Вводные'!$D$89,'Вводные'!$H$9))),$B$48,0)</x:f>
        <x:v>0</x:v>
      </x:c>
      <x:c r="P48" s="117" t="n">
        <x:f>IF(AND(YEAR(P$3)=YEAR(EDATE('Вводные'!$D$89,'Вводные'!$H$9)),MONTH(P$3)=MONTH(EDATE('Вводные'!$D$89,'Вводные'!$H$9))),$B$48,0)</x:f>
        <x:v>0</x:v>
      </x:c>
      <x:c r="Q48" s="117" t="n">
        <x:f>IF(AND(YEAR(Q$3)=YEAR(EDATE('Вводные'!$D$89,'Вводные'!$H$9)),MONTH(Q$3)=MONTH(EDATE('Вводные'!$D$89,'Вводные'!$H$9))),$B$48,0)</x:f>
        <x:v>0</x:v>
      </x:c>
      <x:c r="R48" s="117" t="n">
        <x:f>IF(AND(YEAR(R$3)=YEAR(EDATE('Вводные'!$D$89,'Вводные'!$H$9)),MONTH(R$3)=MONTH(EDATE('Вводные'!$D$89,'Вводные'!$H$9))),$B$48,0)</x:f>
        <x:v>0</x:v>
      </x:c>
      <x:c r="S48" s="117" t="n">
        <x:f>IF(AND(YEAR(S$3)=YEAR(EDATE('Вводные'!$D$89,'Вводные'!$H$9)),MONTH(S$3)=MONTH(EDATE('Вводные'!$D$89,'Вводные'!$H$9))),$B$48,0)</x:f>
        <x:v>0</x:v>
      </x:c>
      <x:c r="T48" s="117" t="n">
        <x:f>IF(AND(YEAR(T$3)=YEAR(EDATE('Вводные'!$D$89,'Вводные'!$H$9)),MONTH(T$3)=MONTH(EDATE('Вводные'!$D$89,'Вводные'!$H$9))),$B$48,0)</x:f>
        <x:v>0</x:v>
      </x:c>
      <x:c r="U48" s="117" t="n">
        <x:f>IF(AND(YEAR(U$3)=YEAR(EDATE('Вводные'!$D$89,'Вводные'!$H$9)),MONTH(U$3)=MONTH(EDATE('Вводные'!$D$89,'Вводные'!$H$9))),$B$48,0)</x:f>
        <x:v>0</x:v>
      </x:c>
      <x:c r="V48" s="117" t="n">
        <x:f>IF(AND(YEAR(V$3)=YEAR(EDATE('Вводные'!$D$89,'Вводные'!$H$9)),MONTH(V$3)=MONTH(EDATE('Вводные'!$D$89,'Вводные'!$H$9))),$B$48,0)</x:f>
        <x:v>0</x:v>
      </x:c>
      <x:c r="W48" s="117" t="n">
        <x:f>IF(AND(YEAR(W$3)=YEAR(EDATE('Вводные'!$D$89,'Вводные'!$H$9)),MONTH(W$3)=MONTH(EDATE('Вводные'!$D$89,'Вводные'!$H$9))),$B$48,0)</x:f>
        <x:v>0</x:v>
      </x:c>
      <x:c r="X48" s="117" t="n">
        <x:f>IF(AND(YEAR(X$3)=YEAR(EDATE('Вводные'!$D$89,'Вводные'!$H$9)),MONTH(X$3)=MONTH(EDATE('Вводные'!$D$89,'Вводные'!$H$9))),$B$48,0)</x:f>
        <x:v>0</x:v>
      </x:c>
      <x:c r="Y48" s="117" t="n">
        <x:f>IF(AND(YEAR(Y$3)=YEAR(EDATE('Вводные'!$D$89,'Вводные'!$H$9)),MONTH(Y$3)=MONTH(EDATE('Вводные'!$D$89,'Вводные'!$H$9))),$B$48,0)</x:f>
        <x:v>0</x:v>
      </x:c>
      <x:c r="Z48" s="117" t="n">
        <x:f>IF(AND(YEAR(Z$3)=YEAR(EDATE('Вводные'!$D$89,'Вводные'!$H$9)),MONTH(Z$3)=MONTH(EDATE('Вводные'!$D$89,'Вводные'!$H$9))),$B$48,0)</x:f>
        <x:v>0</x:v>
      </x:c>
      <x:c r="AA48" s="117" t="n">
        <x:f>IF(AND(YEAR(AA$3)=YEAR(EDATE('Вводные'!$D$89,'Вводные'!$H$9)),MONTH(AA$3)=MONTH(EDATE('Вводные'!$D$89,'Вводные'!$H$9))),$B$48,0)</x:f>
        <x:v>0</x:v>
      </x:c>
      <x:c r="AB48" s="117" t="n">
        <x:f>IF(AND(YEAR(AB$3)=YEAR(EDATE('Вводные'!$D$89,'Вводные'!$H$9)),MONTH(AB$3)=MONTH(EDATE('Вводные'!$D$89,'Вводные'!$H$9))),$B$48,0)</x:f>
        <x:v>0</x:v>
      </x:c>
      <x:c r="AC48" s="117" t="n">
        <x:f>IF(AND(YEAR(AC$3)=YEAR(EDATE('Вводные'!$D$89,'Вводные'!$H$9)),MONTH(AC$3)=MONTH(EDATE('Вводные'!$D$89,'Вводные'!$H$9))),$B$48,0)</x:f>
        <x:v>0</x:v>
      </x:c>
      <x:c r="AD48" s="117" t="n">
        <x:f>IF(AND(YEAR(AD$3)=YEAR(EDATE('Вводные'!$D$89,'Вводные'!$H$9)),MONTH(AD$3)=MONTH(EDATE('Вводные'!$D$89,'Вводные'!$H$9))),$B$48,0)</x:f>
        <x:v>0</x:v>
      </x:c>
      <x:c r="AE48" s="117" t="n">
        <x:f>IF(AND(YEAR(AE$3)=YEAR(EDATE('Вводные'!$D$89,'Вводные'!$H$9)),MONTH(AE$3)=MONTH(EDATE('Вводные'!$D$89,'Вводные'!$H$9))),$B$48,0)</x:f>
        <x:v>0</x:v>
      </x:c>
      <x:c r="AF48" s="117" t="n">
        <x:f>IF(AND(YEAR(AF$3)=YEAR(EDATE('Вводные'!$D$89,'Вводные'!$H$9)),MONTH(AF$3)=MONTH(EDATE('Вводные'!$D$89,'Вводные'!$H$9))),$B$48,0)</x:f>
        <x:v>0</x:v>
      </x:c>
      <x:c r="AG48" s="117" t="n">
        <x:f>IF(AND(YEAR(AG$3)=YEAR(EDATE('Вводные'!$D$89,'Вводные'!$H$9)),MONTH(AG$3)=MONTH(EDATE('Вводные'!$D$89,'Вводные'!$H$9))),$B$48,0)</x:f>
        <x:v>0</x:v>
      </x:c>
      <x:c r="AH48" s="117" t="n">
        <x:f>IF(AND(YEAR(AH$3)=YEAR(EDATE('Вводные'!$D$89,'Вводные'!$H$9)),MONTH(AH$3)=MONTH(EDATE('Вводные'!$D$89,'Вводные'!$H$9))),$B$48,0)</x:f>
        <x:v>0</x:v>
      </x:c>
      <x:c r="AI48" s="117" t="n">
        <x:f>IF(AND(YEAR(AI$3)=YEAR(EDATE('Вводные'!$D$89,'Вводные'!$H$9)),MONTH(AI$3)=MONTH(EDATE('Вводные'!$D$89,'Вводные'!$H$9))),$B$48,0)</x:f>
        <x:v>0</x:v>
      </x:c>
      <x:c r="AJ48" s="117" t="n">
        <x:f>IF(AND(YEAR(AJ$3)=YEAR(EDATE('Вводные'!$D$89,'Вводные'!$H$9)),MONTH(AJ$3)=MONTH(EDATE('Вводные'!$D$89,'Вводные'!$H$9))),$B$48,0)</x:f>
        <x:v>0</x:v>
      </x:c>
      <x:c r="AK48" s="117" t="n">
        <x:f>IF(AND(YEAR(AK$3)=YEAR(EDATE('Вводные'!$D$89,'Вводные'!$H$9)),MONTH(AK$3)=MONTH(EDATE('Вводные'!$D$89,'Вводные'!$H$9))),$B$48,0)</x:f>
        <x:v>0</x:v>
      </x:c>
      <x:c r="AL48" s="117" t="n">
        <x:f>IF(AND(YEAR(AL$3)=YEAR(EDATE('Вводные'!$D$89,'Вводные'!$H$9)),MONTH(AL$3)=MONTH(EDATE('Вводные'!$D$89,'Вводные'!$H$9))),$B$48,0)</x:f>
        <x:v>0</x:v>
      </x:c>
      <x:c r="AM48" s="117" t="n">
        <x:f>IF(AND(YEAR(AM$3)=YEAR(EDATE('Вводные'!$D$89,'Вводные'!$H$9)),MONTH(AM$3)=MONTH(EDATE('Вводные'!$D$89,'Вводные'!$H$9))),$B$48,0)</x:f>
        <x:v>0</x:v>
      </x:c>
      <x:c r="AN48" s="117" t="n">
        <x:f>IF(AND(YEAR(AN$3)=YEAR(EDATE('Вводные'!$D$89,'Вводные'!$H$9)),MONTH(AN$3)=MONTH(EDATE('Вводные'!$D$89,'Вводные'!$H$9))),$B$48,0)</x:f>
        <x:v>0</x:v>
      </x:c>
      <x:c r="AO48" s="117" t="n">
        <x:f>IF(AND(YEAR(AO$3)=YEAR(EDATE('Вводные'!$D$89,'Вводные'!$H$9)),MONTH(AO$3)=MONTH(EDATE('Вводные'!$D$89,'Вводные'!$H$9))),$B$48,0)</x:f>
        <x:v>0</x:v>
      </x:c>
      <x:c r="AP48" s="117" t="n">
        <x:f>IF(AND(YEAR(AP$3)=YEAR(EDATE('Вводные'!$D$89,'Вводные'!$H$9)),MONTH(AP$3)=MONTH(EDATE('Вводные'!$D$89,'Вводные'!$H$9))),$B$48,0)</x:f>
        <x:v>0</x:v>
      </x:c>
      <x:c r="AQ48" s="117" t="n">
        <x:f>IF(AND(YEAR(AQ$3)=YEAR(EDATE('Вводные'!$D$89,'Вводные'!$H$9)),MONTH(AQ$3)=MONTH(EDATE('Вводные'!$D$89,'Вводные'!$H$9))),$B$48,0)</x:f>
        <x:v>0</x:v>
      </x:c>
      <x:c r="AR48" s="117" t="n">
        <x:f>IF(AND(YEAR(AR$3)=YEAR(EDATE('Вводные'!$D$89,'Вводные'!$H$9)),MONTH(AR$3)=MONTH(EDATE('Вводные'!$D$89,'Вводные'!$H$9))),$B$48,0)</x:f>
        <x:v>0</x:v>
      </x:c>
      <x:c r="AS48" s="117" t="n">
        <x:f>IF(AND(YEAR(AS$3)=YEAR(EDATE('Вводные'!$D$89,'Вводные'!$H$9)),MONTH(AS$3)=MONTH(EDATE('Вводные'!$D$89,'Вводные'!$H$9))),$B$48,0)</x:f>
        <x:v>0</x:v>
      </x:c>
      <x:c r="AT48" s="117" t="n">
        <x:f>IF(AND(YEAR(AT$3)=YEAR(EDATE('Вводные'!$D$89,'Вводные'!$H$9)),MONTH(AT$3)=MONTH(EDATE('Вводные'!$D$89,'Вводные'!$H$9))),$B$48,0)</x:f>
        <x:v>0</x:v>
      </x:c>
      <x:c r="AU48" s="117" t="n">
        <x:f>IF(AND(YEAR(AU$3)=YEAR(EDATE('Вводные'!$D$89,'Вводные'!$H$9)),MONTH(AU$3)=MONTH(EDATE('Вводные'!$D$89,'Вводные'!$H$9))),$B$48,0)</x:f>
        <x:v>0</x:v>
      </x:c>
      <x:c r="AV48" s="117" t="n">
        <x:f>IF(AND(YEAR(AV$3)=YEAR(EDATE('Вводные'!$D$89,'Вводные'!$H$9)),MONTH(AV$3)=MONTH(EDATE('Вводные'!$D$89,'Вводные'!$H$9))),$B$48,0)</x:f>
        <x:v>0</x:v>
      </x:c>
      <x:c r="AW48" s="117" t="n">
        <x:f>IF(AND(YEAR(AW$3)=YEAR(EDATE('Вводные'!$D$89,'Вводные'!$H$9)),MONTH(AW$3)=MONTH(EDATE('Вводные'!$D$89,'Вводные'!$H$9))),$B$48,0)</x:f>
        <x:v>0</x:v>
      </x:c>
      <x:c r="AX48" s="117" t="n">
        <x:f>IF(AND(YEAR(AX$3)=YEAR(EDATE('Вводные'!$D$89,'Вводные'!$H$9)),MONTH(AX$3)=MONTH(EDATE('Вводные'!$D$89,'Вводные'!$H$9))),$B$48,0)</x:f>
        <x:v>0</x:v>
      </x:c>
      <x:c r="AY48" s="117" t="n">
        <x:f>IF(AND(YEAR(AY$3)=YEAR(EDATE('Вводные'!$D$89,'Вводные'!$H$9)),MONTH(AY$3)=MONTH(EDATE('Вводные'!$D$89,'Вводные'!$H$9))),$B$48,0)</x:f>
        <x:v>0</x:v>
      </x:c>
      <x:c r="AZ48" s="117" t="n">
        <x:f>IF(AND(YEAR(AZ$3)=YEAR(EDATE('Вводные'!$D$89,'Вводные'!$H$9)),MONTH(AZ$3)=MONTH(EDATE('Вводные'!$D$89,'Вводные'!$H$9))),$B$48,0)</x:f>
        <x:v>0</x:v>
      </x:c>
      <x:c r="BA48" s="117" t="n">
        <x:f>IF(AND(YEAR(BA$3)=YEAR(EDATE('Вводные'!$D$89,'Вводные'!$H$9)),MONTH(BA$3)=MONTH(EDATE('Вводные'!$D$89,'Вводные'!$H$9))),$B$48,0)</x:f>
        <x:v>0</x:v>
      </x:c>
      <x:c r="BB48" s="117" t="n">
        <x:f>IF(AND(YEAR(BB$3)=YEAR(EDATE('Вводные'!$D$89,'Вводные'!$H$9)),MONTH(BB$3)=MONTH(EDATE('Вводные'!$D$89,'Вводные'!$H$9))),$B$48,0)</x:f>
        <x:v>0</x:v>
      </x:c>
      <x:c r="BC48" s="117" t="n">
        <x:f>IF(AND(YEAR(BC$3)=YEAR(EDATE('Вводные'!$D$89,'Вводные'!$H$9)),MONTH(BC$3)=MONTH(EDATE('Вводные'!$D$89,'Вводные'!$H$9))),$B$48,0)</x:f>
        <x:v>0</x:v>
      </x:c>
      <x:c r="BD48" s="117" t="n">
        <x:f>IF(AND(YEAR(BD$3)=YEAR(EDATE('Вводные'!$D$89,'Вводные'!$H$9)),MONTH(BD$3)=MONTH(EDATE('Вводные'!$D$89,'Вводные'!$H$9))),$B$48,0)</x:f>
        <x:v>0</x:v>
      </x:c>
      <x:c r="BE48" s="117" t="n">
        <x:f>IF(AND(YEAR(BE$3)=YEAR(EDATE('Вводные'!$D$89,'Вводные'!$H$9)),MONTH(BE$3)=MONTH(EDATE('Вводные'!$D$89,'Вводные'!$H$9))),$B$48,0)</x:f>
        <x:v>0</x:v>
      </x:c>
      <x:c r="BF48" s="117" t="n">
        <x:f>IF(AND(YEAR(BF$3)=YEAR(EDATE('Вводные'!$D$89,'Вводные'!$H$9)),MONTH(BF$3)=MONTH(EDATE('Вводные'!$D$89,'Вводные'!$H$9))),$B$48,0)</x:f>
        <x:v>0</x:v>
      </x:c>
      <x:c r="BG48" s="117" t="n">
        <x:f>IF(AND(YEAR(BG$3)=YEAR(EDATE('Вводные'!$D$89,'Вводные'!$H$9)),MONTH(BG$3)=MONTH(EDATE('Вводные'!$D$89,'Вводные'!$H$9))),$B$48,0)</x:f>
        <x:v>0</x:v>
      </x:c>
      <x:c r="BH48" s="117" t="n">
        <x:f>IF(AND(YEAR(BH$3)=YEAR(EDATE('Вводные'!$D$89,'Вводные'!$H$9)),MONTH(BH$3)=MONTH(EDATE('Вводные'!$D$89,'Вводные'!$H$9))),$B$48,0)</x:f>
        <x:v>0</x:v>
      </x:c>
      <x:c r="BI48" s="117" t="n">
        <x:f>IF(AND(YEAR(BI$3)=YEAR(EDATE('Вводные'!$D$89,'Вводные'!$H$9)),MONTH(BI$3)=MONTH(EDATE('Вводные'!$D$89,'Вводные'!$H$9))),$B$48,0)</x:f>
        <x:v>0</x:v>
      </x:c>
      <x:c r="BJ48" s="117" t="n">
        <x:f>IF(AND(YEAR(BJ$3)=YEAR(EDATE('Вводные'!$D$89,'Вводные'!$H$9)),MONTH(BJ$3)=MONTH(EDATE('Вводные'!$D$89,'Вводные'!$H$9))),$B$48,0)</x:f>
        <x:v>0</x:v>
      </x:c>
      <x:c r="BK48" s="117" t="n">
        <x:f>IF(AND(YEAR(BK$3)=YEAR(EDATE('Вводные'!$D$89,'Вводные'!$H$9)),MONTH(BK$3)=MONTH(EDATE('Вводные'!$D$89,'Вводные'!$H$9))),$B$48,0)</x:f>
        <x:v>0</x:v>
      </x:c>
      <x:c r="BL48" s="117" t="n">
        <x:f>IF(AND(YEAR(BL$3)=YEAR(EDATE('Вводные'!$D$89,'Вводные'!$H$9)),MONTH(BL$3)=MONTH(EDATE('Вводные'!$D$89,'Вводные'!$H$9))),$B$48,0)</x:f>
        <x:v>0</x:v>
      </x:c>
      <x:c r="BM48" s="117" t="n">
        <x:f>IF(AND(YEAR(BM$3)=YEAR(EDATE('Вводные'!$D$89,'Вводные'!$H$9)),MONTH(BM$3)=MONTH(EDATE('Вводные'!$D$89,'Вводные'!$H$9))),$B$48,0)</x:f>
        <x:v>0</x:v>
      </x:c>
      <x:c r="BN48" s="117" t="n">
        <x:f>IF(AND(YEAR(BN$3)=YEAR(EDATE('Вводные'!$D$89,'Вводные'!$H$9)),MONTH(BN$3)=MONTH(EDATE('Вводные'!$D$89,'Вводные'!$H$9))),$B$48,0)</x:f>
        <x:v>0</x:v>
      </x:c>
      <x:c r="BO48" s="117" t="n">
        <x:f>IF(AND(YEAR(BO$3)=YEAR(EDATE('Вводные'!$D$89,'Вводные'!$H$9)),MONTH(BO$3)=MONTH(EDATE('Вводные'!$D$89,'Вводные'!$H$9))),$B$48,0)</x:f>
        <x:v>0</x:v>
      </x:c>
      <x:c r="BP48" s="117" t="n">
        <x:f>IF(AND(YEAR(BP$3)=YEAR(EDATE('Вводные'!$D$89,'Вводные'!$H$9)),MONTH(BP$3)=MONTH(EDATE('Вводные'!$D$89,'Вводные'!$H$9))),$B$48,0)</x:f>
        <x:v>0</x:v>
      </x:c>
      <x:c r="BQ48" s="117" t="n">
        <x:f>IF(AND(YEAR(BQ$3)=YEAR(EDATE('Вводные'!$D$89,'Вводные'!$H$9)),MONTH(BQ$3)=MONTH(EDATE('Вводные'!$D$89,'Вводные'!$H$9))),$B$48,0)</x:f>
        <x:v>0</x:v>
      </x:c>
      <x:c r="BR48" s="117" t="n">
        <x:f>IF(AND(YEAR(BR$3)=YEAR(EDATE('Вводные'!$D$89,'Вводные'!$H$9)),MONTH(BR$3)=MONTH(EDATE('Вводные'!$D$89,'Вводные'!$H$9))),$B$48,0)</x:f>
        <x:v>0</x:v>
      </x:c>
      <x:c r="BS48" s="117" t="n">
        <x:f>IF(AND(YEAR(BS$3)=YEAR(EDATE('Вводные'!$D$89,'Вводные'!$H$9)),MONTH(BS$3)=MONTH(EDATE('Вводные'!$D$89,'Вводные'!$H$9))),$B$48,0)</x:f>
        <x:v>0</x:v>
      </x:c>
      <x:c r="BT48" s="117" t="n">
        <x:f>IF(AND(YEAR(BT$3)=YEAR(EDATE('Вводные'!$D$89,'Вводные'!$H$9)),MONTH(BT$3)=MONTH(EDATE('Вводные'!$D$89,'Вводные'!$H$9))),$B$48,0)</x:f>
        <x:v>0</x:v>
      </x:c>
      <x:c r="BU48" s="117" t="n">
        <x:f>IF(AND(YEAR(BU$3)=YEAR(EDATE('Вводные'!$D$89,'Вводные'!$H$9)),MONTH(BU$3)=MONTH(EDATE('Вводные'!$D$89,'Вводные'!$H$9))),$B$48,0)</x:f>
        <x:v>0</x:v>
      </x:c>
      <x:c r="BV48" s="117" t="n">
        <x:f>IF(AND(YEAR(BV$3)=YEAR(EDATE('Вводные'!$D$89,'Вводные'!$H$9)),MONTH(BV$3)=MONTH(EDATE('Вводные'!$D$89,'Вводные'!$H$9))),$B$48,0)</x:f>
        <x:v>0</x:v>
      </x:c>
      <x:c r="BW48" s="117" t="n">
        <x:f>IF(AND(YEAR(BW$3)=YEAR(EDATE('Вводные'!$D$89,'Вводные'!$H$9)),MONTH(BW$3)=MONTH(EDATE('Вводные'!$D$89,'Вводные'!$H$9))),$B$48,0)</x:f>
        <x:v>0</x:v>
      </x:c>
      <x:c r="BX48" s="117" t="n">
        <x:f>IF(AND(YEAR(BX$3)=YEAR(EDATE('Вводные'!$D$89,'Вводные'!$H$9)),MONTH(BX$3)=MONTH(EDATE('Вводные'!$D$89,'Вводные'!$H$9))),$B$48,0)</x:f>
        <x:v>0</x:v>
      </x:c>
      <x:c r="BY48" s="117" t="n">
        <x:f>IF(AND(YEAR(BY$3)=YEAR(EDATE('Вводные'!$D$89,'Вводные'!$H$9)),MONTH(BY$3)=MONTH(EDATE('Вводные'!$D$89,'Вводные'!$H$9))),$B$48,0)</x:f>
        <x:v>0</x:v>
      </x:c>
      <x:c r="BZ48" s="117" t="n">
        <x:f>IF(AND(YEAR(BZ$3)=YEAR(EDATE('Вводные'!$D$89,'Вводные'!$H$9)),MONTH(BZ$3)=MONTH(EDATE('Вводные'!$D$89,'Вводные'!$H$9))),$B$48,0)</x:f>
        <x:v>0</x:v>
      </x:c>
      <x:c r="CA48" s="117" t="n">
        <x:f>IF(AND(YEAR(CA$3)=YEAR(EDATE('Вводные'!$D$89,'Вводные'!$H$9)),MONTH(CA$3)=MONTH(EDATE('Вводные'!$D$89,'Вводные'!$H$9))),$B$48,0)</x:f>
        <x:v>0</x:v>
      </x:c>
      <x:c r="CB48" s="117" t="n">
        <x:f>IF(AND(YEAR(CB$3)=YEAR(EDATE('Вводные'!$D$89,'Вводные'!$H$9)),MONTH(CB$3)=MONTH(EDATE('Вводные'!$D$89,'Вводные'!$H$9))),$B$48,0)</x:f>
        <x:v>0</x:v>
      </x:c>
      <x:c r="CC48" s="117" t="n">
        <x:f>IF(AND(YEAR(CC$3)=YEAR(EDATE('Вводные'!$D$89,'Вводные'!$H$9)),MONTH(CC$3)=MONTH(EDATE('Вводные'!$D$89,'Вводные'!$H$9))),$B$48,0)</x:f>
        <x:v>0</x:v>
      </x:c>
      <x:c r="CD48" s="117" t="n">
        <x:f>IF(AND(YEAR(CD$3)=YEAR(EDATE('Вводные'!$D$89,'Вводные'!$H$9)),MONTH(CD$3)=MONTH(EDATE('Вводные'!$D$89,'Вводные'!$H$9))),$B$48,0)</x:f>
        <x:v>0</x:v>
      </x:c>
      <x:c r="CE48" s="117" t="n">
        <x:f>IF(AND(YEAR(CE$3)=YEAR(EDATE('Вводные'!$D$89,'Вводные'!$H$9)),MONTH(CE$3)=MONTH(EDATE('Вводные'!$D$89,'Вводные'!$H$9))),$B$48,0)</x:f>
        <x:v>0</x:v>
      </x:c>
      <x:c r="CF48" s="117" t="n">
        <x:f>IF(AND(YEAR(CF$3)=YEAR(EDATE('Вводные'!$D$89,'Вводные'!$H$9)),MONTH(CF$3)=MONTH(EDATE('Вводные'!$D$89,'Вводные'!$H$9))),$B$48,0)</x:f>
        <x:v>0</x:v>
      </x:c>
      <x:c r="CG48" s="117" t="n">
        <x:f>IF(AND(YEAR(CG$3)=YEAR(EDATE('Вводные'!$D$89,'Вводные'!$H$9)),MONTH(CG$3)=MONTH(EDATE('Вводные'!$D$89,'Вводные'!$H$9))),$B$48,0)</x:f>
        <x:v>0</x:v>
      </x:c>
      <x:c r="CH48" s="117" t="n">
        <x:f>IF(AND(YEAR(CH$3)=YEAR(EDATE('Вводные'!$D$89,'Вводные'!$H$9)),MONTH(CH$3)=MONTH(EDATE('Вводные'!$D$89,'Вводные'!$H$9))),$B$48,0)</x:f>
        <x:v>0</x:v>
      </x:c>
      <x:c r="CI48" s="117" t="n">
        <x:f>IF(AND(YEAR(CI$3)=YEAR(EDATE('Вводные'!$D$89,'Вводные'!$H$9)),MONTH(CI$3)=MONTH(EDATE('Вводные'!$D$89,'Вводные'!$H$9))),$B$48,0)</x:f>
        <x:v>0</x:v>
      </x:c>
      <x:c r="CJ48" s="117" t="n">
        <x:f>IF(AND(YEAR(CJ$3)=YEAR(EDATE('Вводные'!$D$89,'Вводные'!$H$9)),MONTH(CJ$3)=MONTH(EDATE('Вводные'!$D$89,'Вводные'!$H$9))),$B$48,0)</x:f>
        <x:v>0</x:v>
      </x:c>
      <x:c r="CK48" s="117" t="n">
        <x:f>IF(AND(YEAR(CK$3)=YEAR(EDATE('Вводные'!$D$89,'Вводные'!$H$9)),MONTH(CK$3)=MONTH(EDATE('Вводные'!$D$89,'Вводные'!$H$9))),$B$48,0)</x:f>
        <x:v>0</x:v>
      </x:c>
      <x:c r="CL48" s="117" t="n">
        <x:f>IF(AND(YEAR(CL$3)=YEAR(EDATE('Вводные'!$D$89,'Вводные'!$H$9)),MONTH(CL$3)=MONTH(EDATE('Вводные'!$D$89,'Вводные'!$H$9))),$B$48,0)</x:f>
        <x:v>0</x:v>
      </x:c>
      <x:c r="CM48" s="117" t="n">
        <x:f>IF(AND(YEAR(CM$3)=YEAR(EDATE('Вводные'!$D$89,'Вводные'!$H$9)),MONTH(CM$3)=MONTH(EDATE('Вводные'!$D$89,'Вводные'!$H$9))),$B$48,0)</x:f>
        <x:v>0</x:v>
      </x:c>
      <x:c r="CN48" s="117" t="n">
        <x:f>IF(AND(YEAR(CN$3)=YEAR(EDATE('Вводные'!$D$89,'Вводные'!$H$9)),MONTH(CN$3)=MONTH(EDATE('Вводные'!$D$89,'Вводные'!$H$9))),$B$48,0)</x:f>
        <x:v>0</x:v>
      </x:c>
      <x:c r="CO48" s="117" t="n">
        <x:f>IF(AND(YEAR(CO$3)=YEAR(EDATE('Вводные'!$D$89,'Вводные'!$H$9)),MONTH(CO$3)=MONTH(EDATE('Вводные'!$D$89,'Вводные'!$H$9))),$B$48,0)</x:f>
        <x:v>0</x:v>
      </x:c>
      <x:c r="CP48" s="117" t="n">
        <x:f>IF(AND(YEAR(CP$3)=YEAR(EDATE('Вводные'!$D$89,'Вводные'!$H$9)),MONTH(CP$3)=MONTH(EDATE('Вводные'!$D$89,'Вводные'!$H$9))),$B$48,0)</x:f>
        <x:v>0</x:v>
      </x:c>
      <x:c r="CQ48" s="117" t="n">
        <x:f>IF(AND(YEAR(CQ$3)=YEAR(EDATE('Вводные'!$D$89,'Вводные'!$H$9)),MONTH(CQ$3)=MONTH(EDATE('Вводные'!$D$89,'Вводные'!$H$9))),$B$48,0)</x:f>
        <x:v>0</x:v>
      </x:c>
      <x:c r="CR48" s="117" t="n">
        <x:f>IF(AND(YEAR(CR$3)=YEAR(EDATE('Вводные'!$D$89,'Вводные'!$H$9)),MONTH(CR$3)=MONTH(EDATE('Вводные'!$D$89,'Вводные'!$H$9))),$B$48,0)</x:f>
        <x:v>0</x:v>
      </x:c>
      <x:c r="CS48" s="117" t="n">
        <x:f>IF(AND(YEAR(CS$3)=YEAR(EDATE('Вводные'!$D$89,'Вводные'!$H$9)),MONTH(CS$3)=MONTH(EDATE('Вводные'!$D$89,'Вводные'!$H$9))),$B$48,0)</x:f>
        <x:v>0</x:v>
      </x:c>
      <x:c r="CT48" s="117" t="n">
        <x:f>IF(AND(YEAR(CT$3)=YEAR(EDATE('Вводные'!$D$89,'Вводные'!$H$9)),MONTH(CT$3)=MONTH(EDATE('Вводные'!$D$89,'Вводные'!$H$9))),$B$48,0)</x:f>
        <x:v>0</x:v>
      </x:c>
      <x:c r="CU48" s="117" t="n">
        <x:f>IF(AND(YEAR(CU$3)=YEAR(EDATE('Вводные'!$D$89,'Вводные'!$H$9)),MONTH(CU$3)=MONTH(EDATE('Вводные'!$D$89,'Вводные'!$H$9))),$B$48,0)</x:f>
        <x:v>0</x:v>
      </x:c>
      <x:c r="CV48" s="117" t="n">
        <x:f>IF(AND(YEAR(CV$3)=YEAR(EDATE('Вводные'!$D$89,'Вводные'!$H$9)),MONTH(CV$3)=MONTH(EDATE('Вводные'!$D$89,'Вводные'!$H$9))),$B$48,0)</x:f>
        <x:v>0</x:v>
      </x:c>
      <x:c r="CW48" s="117" t="n">
        <x:f>IF(AND(YEAR(CW$3)=YEAR(EDATE('Вводные'!$D$89,'Вводные'!$H$9)),MONTH(CW$3)=MONTH(EDATE('Вводные'!$D$89,'Вводные'!$H$9))),$B$48,0)</x:f>
        <x:v>0</x:v>
      </x:c>
      <x:c r="CX48" s="117" t="n">
        <x:f>IF(AND(YEAR(CX$3)=YEAR(EDATE('Вводные'!$D$89,'Вводные'!$H$9)),MONTH(CX$3)=MONTH(EDATE('Вводные'!$D$89,'Вводные'!$H$9))),$B$48,0)</x:f>
        <x:v>0</x:v>
      </x:c>
      <x:c r="CY48" s="117" t="n">
        <x:f>IF(AND(YEAR(CY$3)=YEAR(EDATE('Вводные'!$D$89,'Вводные'!$H$9)),MONTH(CY$3)=MONTH(EDATE('Вводные'!$D$89,'Вводные'!$H$9))),$B$48,0)</x:f>
        <x:v>0</x:v>
      </x:c>
      <x:c r="CZ48" s="117" t="n">
        <x:f>IF(AND(YEAR(CZ$3)=YEAR(EDATE('Вводные'!$D$89,'Вводные'!$H$9)),MONTH(CZ$3)=MONTH(EDATE('Вводные'!$D$89,'Вводные'!$H$9))),$B$48,0)</x:f>
        <x:v>0</x:v>
      </x:c>
      <x:c r="DA48" s="117" t="n">
        <x:f>IF(AND(YEAR(DA$3)=YEAR(EDATE('Вводные'!$D$89,'Вводные'!$H$9)),MONTH(DA$3)=MONTH(EDATE('Вводные'!$D$89,'Вводные'!$H$9))),$B$48,0)</x:f>
        <x:v>0</x:v>
      </x:c>
      <x:c r="DB48" s="117" t="n">
        <x:f>IF(AND(YEAR(DB$3)=YEAR(EDATE('Вводные'!$D$89,'Вводные'!$H$9)),MONTH(DB$3)=MONTH(EDATE('Вводные'!$D$89,'Вводные'!$H$9))),$B$48,0)</x:f>
        <x:v>0</x:v>
      </x:c>
      <x:c r="DC48" s="117" t="n">
        <x:f>IF(AND(YEAR(DC$3)=YEAR(EDATE('Вводные'!$D$89,'Вводные'!$H$9)),MONTH(DC$3)=MONTH(EDATE('Вводные'!$D$89,'Вводные'!$H$9))),$B$48,0)</x:f>
        <x:v>0</x:v>
      </x:c>
      <x:c r="DD48" s="117" t="n">
        <x:f>IF(AND(YEAR(DD$3)=YEAR(EDATE('Вводные'!$D$89,'Вводные'!$H$9)),MONTH(DD$3)=MONTH(EDATE('Вводные'!$D$89,'Вводные'!$H$9))),$B$48,0)</x:f>
        <x:v>0</x:v>
      </x:c>
      <x:c r="DE48" s="117" t="n">
        <x:f>IF(AND(YEAR(DE$3)=YEAR(EDATE('Вводные'!$D$89,'Вводные'!$H$9)),MONTH(DE$3)=MONTH(EDATE('Вводные'!$D$89,'Вводные'!$H$9))),$B$48,0)</x:f>
        <x:v>0</x:v>
      </x:c>
      <x:c r="DF48" s="117" t="n">
        <x:f>IF(AND(YEAR(DF$3)=YEAR(EDATE('Вводные'!$D$89,'Вводные'!$H$9)),MONTH(DF$3)=MONTH(EDATE('Вводные'!$D$89,'Вводные'!$H$9))),$B$48,0)</x:f>
        <x:v>0</x:v>
      </x:c>
      <x:c r="DG48" s="117" t="n">
        <x:f>IF(AND(YEAR(DG$3)=YEAR(EDATE('Вводные'!$D$89,'Вводные'!$H$9)),MONTH(DG$3)=MONTH(EDATE('Вводные'!$D$89,'Вводные'!$H$9))),$B$48,0)</x:f>
        <x:v>0</x:v>
      </x:c>
      <x:c r="DH48" s="117" t="n">
        <x:f>IF(AND(YEAR(DH$3)=YEAR(EDATE('Вводные'!$D$89,'Вводные'!$H$9)),MONTH(DH$3)=MONTH(EDATE('Вводные'!$D$89,'Вводные'!$H$9))),$B$48,0)</x:f>
        <x:v>0</x:v>
      </x:c>
      <x:c r="DI48" s="117" t="n">
        <x:f>IF(AND(YEAR(DI$3)=YEAR(EDATE('Вводные'!$D$89,'Вводные'!$H$9)),MONTH(DI$3)=MONTH(EDATE('Вводные'!$D$89,'Вводные'!$H$9))),$B$48,0)</x:f>
        <x:v>0</x:v>
      </x:c>
      <x:c r="DJ48" s="117" t="n">
        <x:f>IF(AND(YEAR(DJ$3)=YEAR(EDATE('Вводные'!$D$89,'Вводные'!$H$9)),MONTH(DJ$3)=MONTH(EDATE('Вводные'!$D$89,'Вводные'!$H$9))),$B$48,0)</x:f>
        <x:v>0</x:v>
      </x:c>
      <x:c r="DK48" s="117" t="n">
        <x:f>IF(AND(YEAR(DK$3)=YEAR(EDATE('Вводные'!$D$89,'Вводные'!$H$9)),MONTH(DK$3)=MONTH(EDATE('Вводные'!$D$89,'Вводные'!$H$9))),$B$48,0)</x:f>
        <x:v>0</x:v>
      </x:c>
      <x:c r="DL48" s="117" t="n">
        <x:f>IF(AND(YEAR(DL$3)=YEAR(EDATE('Вводные'!$D$89,'Вводные'!$H$9)),MONTH(DL$3)=MONTH(EDATE('Вводные'!$D$89,'Вводные'!$H$9))),$B$48,0)</x:f>
        <x:v>0</x:v>
      </x:c>
      <x:c r="DM48" s="117" t="n">
        <x:f>IF(AND(YEAR(DM$3)=YEAR(EDATE('Вводные'!$D$89,'Вводные'!$H$9)),MONTH(DM$3)=MONTH(EDATE('Вводные'!$D$89,'Вводные'!$H$9))),$B$48,0)</x:f>
        <x:v>0</x:v>
      </x:c>
      <x:c r="DN48" s="117" t="n">
        <x:f>IF(AND(YEAR(DN$3)=YEAR(EDATE('Вводные'!$D$89,'Вводные'!$H$9)),MONTH(DN$3)=MONTH(EDATE('Вводные'!$D$89,'Вводные'!$H$9))),$B$48,0)</x:f>
        <x:v>0</x:v>
      </x:c>
      <x:c r="DO48" s="117" t="n">
        <x:f>IF(AND(YEAR(DO$3)=YEAR(EDATE('Вводные'!$D$89,'Вводные'!$H$9)),MONTH(DO$3)=MONTH(EDATE('Вводные'!$D$89,'Вводные'!$H$9))),$B$48,0)</x:f>
        <x:v>0</x:v>
      </x:c>
      <x:c r="DP48" s="117" t="n">
        <x:f>IF(AND(YEAR(DP$3)=YEAR(EDATE('Вводные'!$D$89,'Вводные'!$H$9)),MONTH(DP$3)=MONTH(EDATE('Вводные'!$D$89,'Вводные'!$H$9))),$B$48,0)</x:f>
        <x:v>0</x:v>
      </x:c>
      <x:c r="DQ48" s="117" t="n">
        <x:f>IF(AND(YEAR(DQ$3)=YEAR(EDATE('Вводные'!$D$89,'Вводные'!$H$9)),MONTH(DQ$3)=MONTH(EDATE('Вводные'!$D$89,'Вводные'!$H$9))),$B$48,0)</x:f>
        <x:v>0</x:v>
      </x:c>
      <x:c r="DR48" s="117" t="n">
        <x:f>IF(AND(YEAR(DR$3)=YEAR(EDATE('Вводные'!$D$89,'Вводные'!$H$9)),MONTH(DR$3)=MONTH(EDATE('Вводные'!$D$89,'Вводные'!$H$9))),$B$48,0)</x:f>
        <x:v>0</x:v>
      </x:c>
      <x:c r="DS48" s="117" t="n">
        <x:f>IF(AND(YEAR(DS$3)=YEAR(EDATE('Вводные'!$D$89,'Вводные'!$H$9)),MONTH(DS$3)=MONTH(EDATE('Вводные'!$D$89,'Вводные'!$H$9))),$B$48,0)</x:f>
        <x:v>0</x:v>
      </x:c>
    </x:row>
    <x:row r="49">
      <x:c r="A49" t="str">
        <x:v>Плата за ВРИ</x:v>
      </x:c>
      <x:c r="B49" s="107" t="n">
        <x:f>SUM('ВРИ'!D28:DS28)</x:f>
        <x:v>0</x:v>
      </x:c>
      <x:c r="C49" t="str">
        <x:v>млн ₽</x:v>
      </x:c>
      <x:c r="D49" s="117" t="n">
        <x:f>'ВРИ'!D28</x:f>
        <x:v>0</x:v>
      </x:c>
      <x:c r="E49" s="117" t="n">
        <x:f>'ВРИ'!E28</x:f>
        <x:v>0</x:v>
      </x:c>
      <x:c r="F49" s="117" t="n">
        <x:f>'ВРИ'!F28</x:f>
        <x:v>0</x:v>
      </x:c>
      <x:c r="G49" s="117" t="n">
        <x:f>'ВРИ'!G28</x:f>
        <x:v>0</x:v>
      </x:c>
      <x:c r="H49" s="117" t="n">
        <x:f>'ВРИ'!H28</x:f>
        <x:v>0</x:v>
      </x:c>
      <x:c r="I49" s="117" t="n">
        <x:f>'ВРИ'!I28</x:f>
        <x:v>0</x:v>
      </x:c>
      <x:c r="J49" s="117" t="n">
        <x:f>'ВРИ'!J28</x:f>
        <x:v>0</x:v>
      </x:c>
      <x:c r="K49" s="117" t="n">
        <x:f>'ВРИ'!K28</x:f>
        <x:v>0</x:v>
      </x:c>
      <x:c r="L49" s="117" t="n">
        <x:f>'ВРИ'!L28</x:f>
        <x:v>0</x:v>
      </x:c>
      <x:c r="M49" s="117" t="n">
        <x:f>'ВРИ'!M28</x:f>
        <x:v>0</x:v>
      </x:c>
      <x:c r="N49" s="117" t="n">
        <x:f>'ВРИ'!N28</x:f>
        <x:v>0</x:v>
      </x:c>
      <x:c r="O49" s="117" t="n">
        <x:f>'ВРИ'!O28</x:f>
        <x:v>0</x:v>
      </x:c>
      <x:c r="P49" s="117" t="n">
        <x:f>'ВРИ'!P28</x:f>
        <x:v>0</x:v>
      </x:c>
      <x:c r="Q49" s="117" t="n">
        <x:f>'ВРИ'!Q28</x:f>
        <x:v>0</x:v>
      </x:c>
      <x:c r="R49" s="117" t="n">
        <x:f>'ВРИ'!R28</x:f>
        <x:v>0</x:v>
      </x:c>
      <x:c r="S49" s="117" t="n">
        <x:f>'ВРИ'!S28</x:f>
        <x:v>0</x:v>
      </x:c>
      <x:c r="T49" s="117" t="n">
        <x:f>'ВРИ'!T28</x:f>
        <x:v>0</x:v>
      </x:c>
      <x:c r="U49" s="117" t="n">
        <x:f>'ВРИ'!U28</x:f>
        <x:v>0</x:v>
      </x:c>
      <x:c r="V49" s="117" t="n">
        <x:f>'ВРИ'!V28</x:f>
        <x:v>0</x:v>
      </x:c>
      <x:c r="W49" s="117" t="n">
        <x:f>'ВРИ'!W28</x:f>
        <x:v>0</x:v>
      </x:c>
      <x:c r="X49" s="117" t="n">
        <x:f>'ВРИ'!X28</x:f>
        <x:v>0</x:v>
      </x:c>
      <x:c r="Y49" s="117" t="n">
        <x:f>'ВРИ'!Y28</x:f>
        <x:v>0</x:v>
      </x:c>
      <x:c r="Z49" s="117" t="n">
        <x:f>'ВРИ'!Z28</x:f>
        <x:v>0</x:v>
      </x:c>
      <x:c r="AA49" s="117" t="n">
        <x:f>'ВРИ'!AA28</x:f>
        <x:v>0</x:v>
      </x:c>
      <x:c r="AB49" s="117" t="n">
        <x:f>'ВРИ'!AB28</x:f>
        <x:v>0</x:v>
      </x:c>
      <x:c r="AC49" s="117" t="n">
        <x:f>'ВРИ'!AC28</x:f>
        <x:v>0</x:v>
      </x:c>
      <x:c r="AD49" s="117" t="n">
        <x:f>'ВРИ'!AD28</x:f>
        <x:v>0</x:v>
      </x:c>
      <x:c r="AE49" s="117" t="n">
        <x:f>'ВРИ'!AE28</x:f>
        <x:v>0</x:v>
      </x:c>
      <x:c r="AF49" s="117" t="n">
        <x:f>'ВРИ'!AF28</x:f>
        <x:v>0</x:v>
      </x:c>
      <x:c r="AG49" s="117" t="n">
        <x:f>'ВРИ'!AG28</x:f>
        <x:v>0</x:v>
      </x:c>
      <x:c r="AH49" s="117" t="n">
        <x:f>'ВРИ'!AH28</x:f>
        <x:v>0</x:v>
      </x:c>
      <x:c r="AI49" s="117" t="n">
        <x:f>'ВРИ'!AI28</x:f>
        <x:v>0</x:v>
      </x:c>
      <x:c r="AJ49" s="117" t="n">
        <x:f>'ВРИ'!AJ28</x:f>
        <x:v>0</x:v>
      </x:c>
      <x:c r="AK49" s="117" t="n">
        <x:f>'ВРИ'!AK28</x:f>
        <x:v>0</x:v>
      </x:c>
      <x:c r="AL49" s="117" t="n">
        <x:f>'ВРИ'!AL28</x:f>
        <x:v>0</x:v>
      </x:c>
      <x:c r="AM49" s="117" t="n">
        <x:f>'ВРИ'!AM28</x:f>
        <x:v>0</x:v>
      </x:c>
      <x:c r="AN49" s="117" t="n">
        <x:f>'ВРИ'!AN28</x:f>
        <x:v>0</x:v>
      </x:c>
      <x:c r="AO49" s="117" t="n">
        <x:f>'ВРИ'!AO28</x:f>
        <x:v>0</x:v>
      </x:c>
      <x:c r="AP49" s="117" t="n">
        <x:f>'ВРИ'!AP28</x:f>
        <x:v>0</x:v>
      </x:c>
      <x:c r="AQ49" s="117" t="n">
        <x:f>'ВРИ'!AQ28</x:f>
        <x:v>0</x:v>
      </x:c>
      <x:c r="AR49" s="117" t="n">
        <x:f>'ВРИ'!AR28</x:f>
        <x:v>0</x:v>
      </x:c>
      <x:c r="AS49" s="117" t="n">
        <x:f>'ВРИ'!AS28</x:f>
        <x:v>0</x:v>
      </x:c>
      <x:c r="AT49" s="117" t="n">
        <x:f>'ВРИ'!AT28</x:f>
        <x:v>0</x:v>
      </x:c>
      <x:c r="AU49" s="117" t="n">
        <x:f>'ВРИ'!AU28</x:f>
        <x:v>0</x:v>
      </x:c>
      <x:c r="AV49" s="117" t="n">
        <x:f>'ВРИ'!AV28</x:f>
        <x:v>0</x:v>
      </x:c>
      <x:c r="AW49" s="117" t="n">
        <x:f>'ВРИ'!AW28</x:f>
        <x:v>0</x:v>
      </x:c>
      <x:c r="AX49" s="117" t="n">
        <x:f>'ВРИ'!AX28</x:f>
        <x:v>0</x:v>
      </x:c>
      <x:c r="AY49" s="117" t="n">
        <x:f>'ВРИ'!AY28</x:f>
        <x:v>0</x:v>
      </x:c>
      <x:c r="AZ49" s="117" t="n">
        <x:f>'ВРИ'!AZ28</x:f>
        <x:v>0</x:v>
      </x:c>
      <x:c r="BA49" s="117" t="n">
        <x:f>'ВРИ'!BA28</x:f>
        <x:v>0</x:v>
      </x:c>
      <x:c r="BB49" s="117" t="n">
        <x:f>'ВРИ'!BB28</x:f>
        <x:v>0</x:v>
      </x:c>
      <x:c r="BC49" s="117" t="n">
        <x:f>'ВРИ'!BC28</x:f>
        <x:v>0</x:v>
      </x:c>
      <x:c r="BD49" s="117" t="n">
        <x:f>'ВРИ'!BD28</x:f>
        <x:v>0</x:v>
      </x:c>
      <x:c r="BE49" s="117" t="n">
        <x:f>'ВРИ'!BE28</x:f>
        <x:v>0</x:v>
      </x:c>
      <x:c r="BF49" s="117" t="n">
        <x:f>'ВРИ'!BF28</x:f>
        <x:v>0</x:v>
      </x:c>
      <x:c r="BG49" s="117" t="n">
        <x:f>'ВРИ'!BG28</x:f>
        <x:v>0</x:v>
      </x:c>
      <x:c r="BH49" s="117" t="n">
        <x:f>'ВРИ'!BH28</x:f>
        <x:v>0</x:v>
      </x:c>
      <x:c r="BI49" s="117" t="n">
        <x:f>'ВРИ'!BI28</x:f>
        <x:v>0</x:v>
      </x:c>
      <x:c r="BJ49" s="117" t="n">
        <x:f>'ВРИ'!BJ28</x:f>
        <x:v>0</x:v>
      </x:c>
      <x:c r="BK49" s="117" t="n">
        <x:f>'ВРИ'!BK28</x:f>
        <x:v>0</x:v>
      </x:c>
      <x:c r="BL49" s="117" t="n">
        <x:f>'ВРИ'!BL28</x:f>
        <x:v>0</x:v>
      </x:c>
      <x:c r="BM49" s="117" t="n">
        <x:f>'ВРИ'!BM28</x:f>
        <x:v>0</x:v>
      </x:c>
      <x:c r="BN49" s="117" t="n">
        <x:f>'ВРИ'!BN28</x:f>
        <x:v>0</x:v>
      </x:c>
      <x:c r="BO49" s="117" t="n">
        <x:f>'ВРИ'!BO28</x:f>
        <x:v>0</x:v>
      </x:c>
      <x:c r="BP49" s="117" t="n">
        <x:f>'ВРИ'!BP28</x:f>
        <x:v>0</x:v>
      </x:c>
      <x:c r="BQ49" s="117" t="n">
        <x:f>'ВРИ'!BQ28</x:f>
        <x:v>0</x:v>
      </x:c>
      <x:c r="BR49" s="117" t="n">
        <x:f>'ВРИ'!BR28</x:f>
        <x:v>0</x:v>
      </x:c>
      <x:c r="BS49" s="117" t="n">
        <x:f>'ВРИ'!BS28</x:f>
        <x:v>0</x:v>
      </x:c>
      <x:c r="BT49" s="117" t="n">
        <x:f>'ВРИ'!BT28</x:f>
        <x:v>0</x:v>
      </x:c>
      <x:c r="BU49" s="117" t="n">
        <x:f>'ВРИ'!BU28</x:f>
        <x:v>0</x:v>
      </x:c>
      <x:c r="BV49" s="117" t="n">
        <x:f>'ВРИ'!BV28</x:f>
        <x:v>0</x:v>
      </x:c>
      <x:c r="BW49" s="117" t="n">
        <x:f>'ВРИ'!BW28</x:f>
        <x:v>0</x:v>
      </x:c>
      <x:c r="BX49" s="117" t="n">
        <x:f>'ВРИ'!BX28</x:f>
        <x:v>0</x:v>
      </x:c>
      <x:c r="BY49" s="117" t="n">
        <x:f>'ВРИ'!BY28</x:f>
        <x:v>0</x:v>
      </x:c>
      <x:c r="BZ49" s="117" t="n">
        <x:f>'ВРИ'!BZ28</x:f>
        <x:v>0</x:v>
      </x:c>
      <x:c r="CA49" s="117" t="n">
        <x:f>'ВРИ'!CA28</x:f>
        <x:v>0</x:v>
      </x:c>
      <x:c r="CB49" s="117" t="n">
        <x:f>'ВРИ'!CB28</x:f>
        <x:v>0</x:v>
      </x:c>
      <x:c r="CC49" s="117" t="n">
        <x:f>'ВРИ'!CC28</x:f>
        <x:v>0</x:v>
      </x:c>
      <x:c r="CD49" s="117" t="n">
        <x:f>'ВРИ'!CD28</x:f>
        <x:v>0</x:v>
      </x:c>
      <x:c r="CE49" s="117" t="n">
        <x:f>'ВРИ'!CE28</x:f>
        <x:v>0</x:v>
      </x:c>
      <x:c r="CF49" s="117" t="n">
        <x:f>'ВРИ'!CF28</x:f>
        <x:v>0</x:v>
      </x:c>
      <x:c r="CG49" s="117" t="n">
        <x:f>'ВРИ'!CG28</x:f>
        <x:v>0</x:v>
      </x:c>
      <x:c r="CH49" s="117" t="n">
        <x:f>'ВРИ'!CH28</x:f>
        <x:v>0</x:v>
      </x:c>
      <x:c r="CI49" s="117" t="n">
        <x:f>'ВРИ'!CI28</x:f>
        <x:v>0</x:v>
      </x:c>
      <x:c r="CJ49" s="117" t="n">
        <x:f>'ВРИ'!CJ28</x:f>
        <x:v>0</x:v>
      </x:c>
      <x:c r="CK49" s="117" t="n">
        <x:f>'ВРИ'!CK28</x:f>
        <x:v>0</x:v>
      </x:c>
      <x:c r="CL49" s="117" t="n">
        <x:f>'ВРИ'!CL28</x:f>
        <x:v>0</x:v>
      </x:c>
      <x:c r="CM49" s="117" t="n">
        <x:f>'ВРИ'!CM28</x:f>
        <x:v>0</x:v>
      </x:c>
      <x:c r="CN49" s="117" t="n">
        <x:f>'ВРИ'!CN28</x:f>
        <x:v>0</x:v>
      </x:c>
      <x:c r="CO49" s="117" t="n">
        <x:f>'ВРИ'!CO28</x:f>
        <x:v>0</x:v>
      </x:c>
      <x:c r="CP49" s="117" t="n">
        <x:f>'ВРИ'!CP28</x:f>
        <x:v>0</x:v>
      </x:c>
      <x:c r="CQ49" s="117" t="n">
        <x:f>'ВРИ'!CQ28</x:f>
        <x:v>0</x:v>
      </x:c>
      <x:c r="CR49" s="117" t="n">
        <x:f>'ВРИ'!CR28</x:f>
        <x:v>0</x:v>
      </x:c>
      <x:c r="CS49" s="117" t="n">
        <x:f>'ВРИ'!CS28</x:f>
        <x:v>0</x:v>
      </x:c>
      <x:c r="CT49" s="117" t="n">
        <x:f>'ВРИ'!CT28</x:f>
        <x:v>0</x:v>
      </x:c>
      <x:c r="CU49" s="117" t="n">
        <x:f>'ВРИ'!CU28</x:f>
        <x:v>0</x:v>
      </x:c>
      <x:c r="CV49" s="117" t="n">
        <x:f>'ВРИ'!CV28</x:f>
        <x:v>0</x:v>
      </x:c>
      <x:c r="CW49" s="117" t="n">
        <x:f>'ВРИ'!CW28</x:f>
        <x:v>0</x:v>
      </x:c>
      <x:c r="CX49" s="117" t="n">
        <x:f>'ВРИ'!CX28</x:f>
        <x:v>0</x:v>
      </x:c>
      <x:c r="CY49" s="117" t="n">
        <x:f>'ВРИ'!CY28</x:f>
        <x:v>0</x:v>
      </x:c>
      <x:c r="CZ49" s="117" t="n">
        <x:f>'ВРИ'!CZ28</x:f>
        <x:v>0</x:v>
      </x:c>
      <x:c r="DA49" s="117" t="n">
        <x:f>'ВРИ'!DA28</x:f>
        <x:v>0</x:v>
      </x:c>
      <x:c r="DB49" s="117" t="n">
        <x:f>'ВРИ'!DB28</x:f>
        <x:v>0</x:v>
      </x:c>
      <x:c r="DC49" s="117" t="n">
        <x:f>'ВРИ'!DC28</x:f>
        <x:v>0</x:v>
      </x:c>
      <x:c r="DD49" s="117" t="n">
        <x:f>'ВРИ'!DD28</x:f>
        <x:v>0</x:v>
      </x:c>
      <x:c r="DE49" s="117" t="n">
        <x:f>'ВРИ'!DE28</x:f>
        <x:v>0</x:v>
      </x:c>
      <x:c r="DF49" s="117" t="n">
        <x:f>'ВРИ'!DF28</x:f>
        <x:v>0</x:v>
      </x:c>
      <x:c r="DG49" s="117" t="n">
        <x:f>'ВРИ'!DG28</x:f>
        <x:v>0</x:v>
      </x:c>
      <x:c r="DH49" s="117" t="n">
        <x:f>'ВРИ'!DH28</x:f>
        <x:v>0</x:v>
      </x:c>
      <x:c r="DI49" s="117" t="n">
        <x:f>'ВРИ'!DI28</x:f>
        <x:v>0</x:v>
      </x:c>
      <x:c r="DJ49" s="117" t="n">
        <x:f>'ВРИ'!DJ28</x:f>
        <x:v>0</x:v>
      </x:c>
      <x:c r="DK49" s="117" t="n">
        <x:f>'ВРИ'!DK28</x:f>
        <x:v>0</x:v>
      </x:c>
      <x:c r="DL49" s="117" t="n">
        <x:f>'ВРИ'!DL28</x:f>
        <x:v>0</x:v>
      </x:c>
      <x:c r="DM49" s="117" t="n">
        <x:f>'ВРИ'!DM28</x:f>
        <x:v>0</x:v>
      </x:c>
      <x:c r="DN49" s="117" t="n">
        <x:f>'ВРИ'!DN28</x:f>
        <x:v>0</x:v>
      </x:c>
      <x:c r="DO49" s="117" t="n">
        <x:f>'ВРИ'!DO28</x:f>
        <x:v>0</x:v>
      </x:c>
      <x:c r="DP49" s="117" t="n">
        <x:f>'ВРИ'!DP28</x:f>
        <x:v>0</x:v>
      </x:c>
      <x:c r="DQ49" s="117" t="n">
        <x:f>'ВРИ'!DQ28</x:f>
        <x:v>0</x:v>
      </x:c>
      <x:c r="DR49" s="117" t="n">
        <x:f>'ВРИ'!DR28</x:f>
        <x:v>0</x:v>
      </x:c>
      <x:c r="DS49" s="117" t="n">
        <x:f>'ВРИ'!DS28</x:f>
        <x:v>0</x:v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  <x:v>0</x:v>
      </x:c>
      <x:c r="C50" t="str">
        <x:v>млн ₽</x:v>
      </x:c>
      <x:c r="D50" s="117" t="n">
        <x:f>IF(AND(D$3&gt;=EDATE($B$41,-'Вводные'!$E$89),D$3&lt;$B$41),$B$50/MAX(1,'Вводные'!$E$89),0)</x:f>
        <x:v>0</x:v>
      </x:c>
      <x:c r="E50" s="117" t="n">
        <x:f>IF(AND(E$3&gt;=EDATE($B$41,-'Вводные'!$E$89),E$3&lt;$B$41),$B$50/MAX(1,'Вводные'!$E$89),0)</x:f>
        <x:v>0</x:v>
      </x:c>
      <x:c r="F50" s="117" t="n">
        <x:f>IF(AND(F$3&gt;=EDATE($B$41,-'Вводные'!$E$89),F$3&lt;$B$41),$B$50/MAX(1,'Вводные'!$E$89),0)</x:f>
        <x:v>0</x:v>
      </x:c>
      <x:c r="G50" s="117" t="n">
        <x:f>IF(AND(G$3&gt;=EDATE($B$41,-'Вводные'!$E$89),G$3&lt;$B$41),$B$50/MAX(1,'Вводные'!$E$89),0)</x:f>
        <x:v>0</x:v>
      </x:c>
      <x:c r="H50" s="117" t="n">
        <x:f>IF(AND(H$3&gt;=EDATE($B$41,-'Вводные'!$E$89),H$3&lt;$B$41),$B$50/MAX(1,'Вводные'!$E$89),0)</x:f>
        <x:v>0</x:v>
      </x:c>
      <x:c r="I50" s="117" t="n">
        <x:f>IF(AND(I$3&gt;=EDATE($B$41,-'Вводные'!$E$89),I$3&lt;$B$41),$B$50/MAX(1,'Вводные'!$E$89),0)</x:f>
        <x:v>0</x:v>
      </x:c>
      <x:c r="J50" s="117" t="n">
        <x:f>IF(AND(J$3&gt;=EDATE($B$41,-'Вводные'!$E$89),J$3&lt;$B$41),$B$50/MAX(1,'Вводные'!$E$89),0)</x:f>
        <x:v>0</x:v>
      </x:c>
      <x:c r="K50" s="117" t="n">
        <x:f>IF(AND(K$3&gt;=EDATE($B$41,-'Вводные'!$E$89),K$3&lt;$B$41),$B$50/MAX(1,'Вводные'!$E$89),0)</x:f>
        <x:v>0</x:v>
      </x:c>
      <x:c r="L50" s="117" t="n">
        <x:f>IF(AND(L$3&gt;=EDATE($B$41,-'Вводные'!$E$89),L$3&lt;$B$41),$B$50/MAX(1,'Вводные'!$E$89),0)</x:f>
        <x:v>0</x:v>
      </x:c>
      <x:c r="M50" s="117" t="n">
        <x:f>IF(AND(M$3&gt;=EDATE($B$41,-'Вводные'!$E$89),M$3&lt;$B$41),$B$50/MAX(1,'Вводные'!$E$89),0)</x:f>
        <x:v>0</x:v>
      </x:c>
      <x:c r="N50" s="117" t="n">
        <x:f>IF(AND(N$3&gt;=EDATE($B$41,-'Вводные'!$E$89),N$3&lt;$B$41),$B$50/MAX(1,'Вводные'!$E$89),0)</x:f>
        <x:v>0</x:v>
      </x:c>
      <x:c r="O50" s="117" t="n">
        <x:f>IF(AND(O$3&gt;=EDATE($B$41,-'Вводные'!$E$89),O$3&lt;$B$41),$B$50/MAX(1,'Вводные'!$E$89),0)</x:f>
        <x:v>0</x:v>
      </x:c>
      <x:c r="P50" s="117" t="n">
        <x:f>IF(AND(P$3&gt;=EDATE($B$41,-'Вводные'!$E$89),P$3&lt;$B$41),$B$50/MAX(1,'Вводные'!$E$89),0)</x:f>
        <x:v>0</x:v>
      </x:c>
      <x:c r="Q50" s="117" t="n">
        <x:f>IF(AND(Q$3&gt;=EDATE($B$41,-'Вводные'!$E$89),Q$3&lt;$B$41),$B$50/MAX(1,'Вводные'!$E$89),0)</x:f>
        <x:v>0</x:v>
      </x:c>
      <x:c r="R50" s="117" t="n">
        <x:f>IF(AND(R$3&gt;=EDATE($B$41,-'Вводные'!$E$89),R$3&lt;$B$41),$B$50/MAX(1,'Вводные'!$E$89),0)</x:f>
        <x:v>0</x:v>
      </x:c>
      <x:c r="S50" s="117" t="n">
        <x:f>IF(AND(S$3&gt;=EDATE($B$41,-'Вводные'!$E$89),S$3&lt;$B$41),$B$50/MAX(1,'Вводные'!$E$89),0)</x:f>
        <x:v>0</x:v>
      </x:c>
      <x:c r="T50" s="117" t="n">
        <x:f>IF(AND(T$3&gt;=EDATE($B$41,-'Вводные'!$E$89),T$3&lt;$B$41),$B$50/MAX(1,'Вводные'!$E$89),0)</x:f>
        <x:v>0</x:v>
      </x:c>
      <x:c r="U50" s="117" t="n">
        <x:f>IF(AND(U$3&gt;=EDATE($B$41,-'Вводные'!$E$89),U$3&lt;$B$41),$B$50/MAX(1,'Вводные'!$E$89),0)</x:f>
        <x:v>0</x:v>
      </x:c>
      <x:c r="V50" s="117" t="n">
        <x:f>IF(AND(V$3&gt;=EDATE($B$41,-'Вводные'!$E$89),V$3&lt;$B$41),$B$50/MAX(1,'Вводные'!$E$89),0)</x:f>
        <x:v>0</x:v>
      </x:c>
      <x:c r="W50" s="117" t="n">
        <x:f>IF(AND(W$3&gt;=EDATE($B$41,-'Вводные'!$E$89),W$3&lt;$B$41),$B$50/MAX(1,'Вводные'!$E$89),0)</x:f>
        <x:v>0</x:v>
      </x:c>
      <x:c r="X50" s="117" t="n">
        <x:f>IF(AND(X$3&gt;=EDATE($B$41,-'Вводные'!$E$89),X$3&lt;$B$41),$B$50/MAX(1,'Вводные'!$E$89),0)</x:f>
        <x:v>0</x:v>
      </x:c>
      <x:c r="Y50" s="117" t="n">
        <x:f>IF(AND(Y$3&gt;=EDATE($B$41,-'Вводные'!$E$89),Y$3&lt;$B$41),$B$50/MAX(1,'Вводные'!$E$89),0)</x:f>
        <x:v>0</x:v>
      </x:c>
      <x:c r="Z50" s="117" t="n">
        <x:f>IF(AND(Z$3&gt;=EDATE($B$41,-'Вводные'!$E$89),Z$3&lt;$B$41),$B$50/MAX(1,'Вводные'!$E$89),0)</x:f>
        <x:v>0</x:v>
      </x:c>
      <x:c r="AA50" s="117" t="n">
        <x:f>IF(AND(AA$3&gt;=EDATE($B$41,-'Вводные'!$E$89),AA$3&lt;$B$41),$B$50/MAX(1,'Вводные'!$E$89),0)</x:f>
        <x:v>0</x:v>
      </x:c>
      <x:c r="AB50" s="117" t="n">
        <x:f>IF(AND(AB$3&gt;=EDATE($B$41,-'Вводные'!$E$89),AB$3&lt;$B$41),$B$50/MAX(1,'Вводные'!$E$89),0)</x:f>
        <x:v>0</x:v>
      </x:c>
      <x:c r="AC50" s="117" t="n">
        <x:f>IF(AND(AC$3&gt;=EDATE($B$41,-'Вводные'!$E$89),AC$3&lt;$B$41),$B$50/MAX(1,'Вводные'!$E$89),0)</x:f>
        <x:v>0</x:v>
      </x:c>
      <x:c r="AD50" s="117" t="n">
        <x:f>IF(AND(AD$3&gt;=EDATE($B$41,-'Вводные'!$E$89),AD$3&lt;$B$41),$B$50/MAX(1,'Вводные'!$E$89),0)</x:f>
        <x:v>0</x:v>
      </x:c>
      <x:c r="AE50" s="117" t="n">
        <x:f>IF(AND(AE$3&gt;=EDATE($B$41,-'Вводные'!$E$89),AE$3&lt;$B$41),$B$50/MAX(1,'Вводные'!$E$89),0)</x:f>
        <x:v>0</x:v>
      </x:c>
      <x:c r="AF50" s="117" t="n">
        <x:f>IF(AND(AF$3&gt;=EDATE($B$41,-'Вводные'!$E$89),AF$3&lt;$B$41),$B$50/MAX(1,'Вводные'!$E$89),0)</x:f>
        <x:v>0</x:v>
      </x:c>
      <x:c r="AG50" s="117" t="n">
        <x:f>IF(AND(AG$3&gt;=EDATE($B$41,-'Вводные'!$E$89),AG$3&lt;$B$41),$B$50/MAX(1,'Вводные'!$E$89),0)</x:f>
        <x:v>0</x:v>
      </x:c>
      <x:c r="AH50" s="117" t="n">
        <x:f>IF(AND(AH$3&gt;=EDATE($B$41,-'Вводные'!$E$89),AH$3&lt;$B$41),$B$50/MAX(1,'Вводные'!$E$89),0)</x:f>
        <x:v>0</x:v>
      </x:c>
      <x:c r="AI50" s="117" t="n">
        <x:f>IF(AND(AI$3&gt;=EDATE($B$41,-'Вводные'!$E$89),AI$3&lt;$B$41),$B$50/MAX(1,'Вводные'!$E$89),0)</x:f>
        <x:v>0</x:v>
      </x:c>
      <x:c r="AJ50" s="117" t="n">
        <x:f>IF(AND(AJ$3&gt;=EDATE($B$41,-'Вводные'!$E$89),AJ$3&lt;$B$41),$B$50/MAX(1,'Вводные'!$E$89),0)</x:f>
        <x:v>0</x:v>
      </x:c>
      <x:c r="AK50" s="117" t="n">
        <x:f>IF(AND(AK$3&gt;=EDATE($B$41,-'Вводные'!$E$89),AK$3&lt;$B$41),$B$50/MAX(1,'Вводные'!$E$89),0)</x:f>
        <x:v>0</x:v>
      </x:c>
      <x:c r="AL50" s="117" t="n">
        <x:f>IF(AND(AL$3&gt;=EDATE($B$41,-'Вводные'!$E$89),AL$3&lt;$B$41),$B$50/MAX(1,'Вводные'!$E$89),0)</x:f>
        <x:v>0</x:v>
      </x:c>
      <x:c r="AM50" s="117" t="n">
        <x:f>IF(AND(AM$3&gt;=EDATE($B$41,-'Вводные'!$E$89),AM$3&lt;$B$41),$B$50/MAX(1,'Вводные'!$E$89),0)</x:f>
        <x:v>0</x:v>
      </x:c>
      <x:c r="AN50" s="117" t="n">
        <x:f>IF(AND(AN$3&gt;=EDATE($B$41,-'Вводные'!$E$89),AN$3&lt;$B$41),$B$50/MAX(1,'Вводные'!$E$89),0)</x:f>
        <x:v>0</x:v>
      </x:c>
      <x:c r="AO50" s="117" t="n">
        <x:f>IF(AND(AO$3&gt;=EDATE($B$41,-'Вводные'!$E$89),AO$3&lt;$B$41),$B$50/MAX(1,'Вводные'!$E$89),0)</x:f>
        <x:v>0</x:v>
      </x:c>
      <x:c r="AP50" s="117" t="n">
        <x:f>IF(AND(AP$3&gt;=EDATE($B$41,-'Вводные'!$E$89),AP$3&lt;$B$41),$B$50/MAX(1,'Вводные'!$E$89),0)</x:f>
        <x:v>0</x:v>
      </x:c>
      <x:c r="AQ50" s="117" t="n">
        <x:f>IF(AND(AQ$3&gt;=EDATE($B$41,-'Вводные'!$E$89),AQ$3&lt;$B$41),$B$50/MAX(1,'Вводные'!$E$89),0)</x:f>
        <x:v>0</x:v>
      </x:c>
      <x:c r="AR50" s="117" t="n">
        <x:f>IF(AND(AR$3&gt;=EDATE($B$41,-'Вводные'!$E$89),AR$3&lt;$B$41),$B$50/MAX(1,'Вводные'!$E$89),0)</x:f>
        <x:v>0</x:v>
      </x:c>
      <x:c r="AS50" s="117" t="n">
        <x:f>IF(AND(AS$3&gt;=EDATE($B$41,-'Вводные'!$E$89),AS$3&lt;$B$41),$B$50/MAX(1,'Вводные'!$E$89),0)</x:f>
        <x:v>0</x:v>
      </x:c>
      <x:c r="AT50" s="117" t="n">
        <x:f>IF(AND(AT$3&gt;=EDATE($B$41,-'Вводные'!$E$89),AT$3&lt;$B$41),$B$50/MAX(1,'Вводные'!$E$89),0)</x:f>
        <x:v>0</x:v>
      </x:c>
      <x:c r="AU50" s="117" t="n">
        <x:f>IF(AND(AU$3&gt;=EDATE($B$41,-'Вводные'!$E$89),AU$3&lt;$B$41),$B$50/MAX(1,'Вводные'!$E$89),0)</x:f>
        <x:v>0</x:v>
      </x:c>
      <x:c r="AV50" s="117" t="n">
        <x:f>IF(AND(AV$3&gt;=EDATE($B$41,-'Вводные'!$E$89),AV$3&lt;$B$41),$B$50/MAX(1,'Вводные'!$E$89),0)</x:f>
        <x:v>0</x:v>
      </x:c>
      <x:c r="AW50" s="117" t="n">
        <x:f>IF(AND(AW$3&gt;=EDATE($B$41,-'Вводные'!$E$89),AW$3&lt;$B$41),$B$50/MAX(1,'Вводные'!$E$89),0)</x:f>
        <x:v>0</x:v>
      </x:c>
      <x:c r="AX50" s="117" t="n">
        <x:f>IF(AND(AX$3&gt;=EDATE($B$41,-'Вводные'!$E$89),AX$3&lt;$B$41),$B$50/MAX(1,'Вводные'!$E$89),0)</x:f>
        <x:v>0</x:v>
      </x:c>
      <x:c r="AY50" s="117" t="n">
        <x:f>IF(AND(AY$3&gt;=EDATE($B$41,-'Вводные'!$E$89),AY$3&lt;$B$41),$B$50/MAX(1,'Вводные'!$E$89),0)</x:f>
        <x:v>0</x:v>
      </x:c>
      <x:c r="AZ50" s="117" t="n">
        <x:f>IF(AND(AZ$3&gt;=EDATE($B$41,-'Вводные'!$E$89),AZ$3&lt;$B$41),$B$50/MAX(1,'Вводные'!$E$89),0)</x:f>
        <x:v>0</x:v>
      </x:c>
      <x:c r="BA50" s="117" t="n">
        <x:f>IF(AND(BA$3&gt;=EDATE($B$41,-'Вводные'!$E$89),BA$3&lt;$B$41),$B$50/MAX(1,'Вводные'!$E$89),0)</x:f>
        <x:v>0</x:v>
      </x:c>
      <x:c r="BB50" s="117" t="n">
        <x:f>IF(AND(BB$3&gt;=EDATE($B$41,-'Вводные'!$E$89),BB$3&lt;$B$41),$B$50/MAX(1,'Вводные'!$E$89),0)</x:f>
        <x:v>0</x:v>
      </x:c>
      <x:c r="BC50" s="117" t="n">
        <x:f>IF(AND(BC$3&gt;=EDATE($B$41,-'Вводные'!$E$89),BC$3&lt;$B$41),$B$50/MAX(1,'Вводные'!$E$89),0)</x:f>
        <x:v>0</x:v>
      </x:c>
      <x:c r="BD50" s="117" t="n">
        <x:f>IF(AND(BD$3&gt;=EDATE($B$41,-'Вводные'!$E$89),BD$3&lt;$B$41),$B$50/MAX(1,'Вводные'!$E$89),0)</x:f>
        <x:v>0</x:v>
      </x:c>
      <x:c r="BE50" s="117" t="n">
        <x:f>IF(AND(BE$3&gt;=EDATE($B$41,-'Вводные'!$E$89),BE$3&lt;$B$41),$B$50/MAX(1,'Вводные'!$E$89),0)</x:f>
        <x:v>0</x:v>
      </x:c>
      <x:c r="BF50" s="117" t="n">
        <x:f>IF(AND(BF$3&gt;=EDATE($B$41,-'Вводные'!$E$89),BF$3&lt;$B$41),$B$50/MAX(1,'Вводные'!$E$89),0)</x:f>
        <x:v>0</x:v>
      </x:c>
      <x:c r="BG50" s="117" t="n">
        <x:f>IF(AND(BG$3&gt;=EDATE($B$41,-'Вводные'!$E$89),BG$3&lt;$B$41),$B$50/MAX(1,'Вводные'!$E$89),0)</x:f>
        <x:v>0</x:v>
      </x:c>
      <x:c r="BH50" s="117" t="n">
        <x:f>IF(AND(BH$3&gt;=EDATE($B$41,-'Вводные'!$E$89),BH$3&lt;$B$41),$B$50/MAX(1,'Вводные'!$E$89),0)</x:f>
        <x:v>0</x:v>
      </x:c>
      <x:c r="BI50" s="117" t="n">
        <x:f>IF(AND(BI$3&gt;=EDATE($B$41,-'Вводные'!$E$89),BI$3&lt;$B$41),$B$50/MAX(1,'Вводные'!$E$89),0)</x:f>
        <x:v>0</x:v>
      </x:c>
      <x:c r="BJ50" s="117" t="n">
        <x:f>IF(AND(BJ$3&gt;=EDATE($B$41,-'Вводные'!$E$89),BJ$3&lt;$B$41),$B$50/MAX(1,'Вводные'!$E$89),0)</x:f>
        <x:v>0</x:v>
      </x:c>
      <x:c r="BK50" s="117" t="n">
        <x:f>IF(AND(BK$3&gt;=EDATE($B$41,-'Вводные'!$E$89),BK$3&lt;$B$41),$B$50/MAX(1,'Вводные'!$E$89),0)</x:f>
        <x:v>0</x:v>
      </x:c>
      <x:c r="BL50" s="117" t="n">
        <x:f>IF(AND(BL$3&gt;=EDATE($B$41,-'Вводные'!$E$89),BL$3&lt;$B$41),$B$50/MAX(1,'Вводные'!$E$89),0)</x:f>
        <x:v>0</x:v>
      </x:c>
      <x:c r="BM50" s="117" t="n">
        <x:f>IF(AND(BM$3&gt;=EDATE($B$41,-'Вводные'!$E$89),BM$3&lt;$B$41),$B$50/MAX(1,'Вводные'!$E$89),0)</x:f>
        <x:v>0</x:v>
      </x:c>
      <x:c r="BN50" s="117" t="n">
        <x:f>IF(AND(BN$3&gt;=EDATE($B$41,-'Вводные'!$E$89),BN$3&lt;$B$41),$B$50/MAX(1,'Вводные'!$E$89),0)</x:f>
        <x:v>0</x:v>
      </x:c>
      <x:c r="BO50" s="117" t="n">
        <x:f>IF(AND(BO$3&gt;=EDATE($B$41,-'Вводные'!$E$89),BO$3&lt;$B$41),$B$50/MAX(1,'Вводные'!$E$89),0)</x:f>
        <x:v>0</x:v>
      </x:c>
      <x:c r="BP50" s="117" t="n">
        <x:f>IF(AND(BP$3&gt;=EDATE($B$41,-'Вводные'!$E$89),BP$3&lt;$B$41),$B$50/MAX(1,'Вводные'!$E$89),0)</x:f>
        <x:v>0</x:v>
      </x:c>
      <x:c r="BQ50" s="117" t="n">
        <x:f>IF(AND(BQ$3&gt;=EDATE($B$41,-'Вводные'!$E$89),BQ$3&lt;$B$41),$B$50/MAX(1,'Вводные'!$E$89),0)</x:f>
        <x:v>0</x:v>
      </x:c>
      <x:c r="BR50" s="117" t="n">
        <x:f>IF(AND(BR$3&gt;=EDATE($B$41,-'Вводные'!$E$89),BR$3&lt;$B$41),$B$50/MAX(1,'Вводные'!$E$89),0)</x:f>
        <x:v>0</x:v>
      </x:c>
      <x:c r="BS50" s="117" t="n">
        <x:f>IF(AND(BS$3&gt;=EDATE($B$41,-'Вводные'!$E$89),BS$3&lt;$B$41),$B$50/MAX(1,'Вводные'!$E$89),0)</x:f>
        <x:v>0</x:v>
      </x:c>
      <x:c r="BT50" s="117" t="n">
        <x:f>IF(AND(BT$3&gt;=EDATE($B$41,-'Вводные'!$E$89),BT$3&lt;$B$41),$B$50/MAX(1,'Вводные'!$E$89),0)</x:f>
        <x:v>0</x:v>
      </x:c>
      <x:c r="BU50" s="117" t="n">
        <x:f>IF(AND(BU$3&gt;=EDATE($B$41,-'Вводные'!$E$89),BU$3&lt;$B$41),$B$50/MAX(1,'Вводные'!$E$89),0)</x:f>
        <x:v>0</x:v>
      </x:c>
      <x:c r="BV50" s="117" t="n">
        <x:f>IF(AND(BV$3&gt;=EDATE($B$41,-'Вводные'!$E$89),BV$3&lt;$B$41),$B$50/MAX(1,'Вводные'!$E$89),0)</x:f>
        <x:v>0</x:v>
      </x:c>
      <x:c r="BW50" s="117" t="n">
        <x:f>IF(AND(BW$3&gt;=EDATE($B$41,-'Вводные'!$E$89),BW$3&lt;$B$41),$B$50/MAX(1,'Вводные'!$E$89),0)</x:f>
        <x:v>0</x:v>
      </x:c>
      <x:c r="BX50" s="117" t="n">
        <x:f>IF(AND(BX$3&gt;=EDATE($B$41,-'Вводные'!$E$89),BX$3&lt;$B$41),$B$50/MAX(1,'Вводные'!$E$89),0)</x:f>
        <x:v>0</x:v>
      </x:c>
      <x:c r="BY50" s="117" t="n">
        <x:f>IF(AND(BY$3&gt;=EDATE($B$41,-'Вводные'!$E$89),BY$3&lt;$B$41),$B$50/MAX(1,'Вводные'!$E$89),0)</x:f>
        <x:v>0</x:v>
      </x:c>
      <x:c r="BZ50" s="117" t="n">
        <x:f>IF(AND(BZ$3&gt;=EDATE($B$41,-'Вводные'!$E$89),BZ$3&lt;$B$41),$B$50/MAX(1,'Вводные'!$E$89),0)</x:f>
        <x:v>0</x:v>
      </x:c>
      <x:c r="CA50" s="117" t="n">
        <x:f>IF(AND(CA$3&gt;=EDATE($B$41,-'Вводные'!$E$89),CA$3&lt;$B$41),$B$50/MAX(1,'Вводные'!$E$89),0)</x:f>
        <x:v>0</x:v>
      </x:c>
      <x:c r="CB50" s="117" t="n">
        <x:f>IF(AND(CB$3&gt;=EDATE($B$41,-'Вводные'!$E$89),CB$3&lt;$B$41),$B$50/MAX(1,'Вводные'!$E$89),0)</x:f>
        <x:v>0</x:v>
      </x:c>
      <x:c r="CC50" s="117" t="n">
        <x:f>IF(AND(CC$3&gt;=EDATE($B$41,-'Вводные'!$E$89),CC$3&lt;$B$41),$B$50/MAX(1,'Вводные'!$E$89),0)</x:f>
        <x:v>0</x:v>
      </x:c>
      <x:c r="CD50" s="117" t="n">
        <x:f>IF(AND(CD$3&gt;=EDATE($B$41,-'Вводные'!$E$89),CD$3&lt;$B$41),$B$50/MAX(1,'Вводные'!$E$89),0)</x:f>
        <x:v>0</x:v>
      </x:c>
      <x:c r="CE50" s="117" t="n">
        <x:f>IF(AND(CE$3&gt;=EDATE($B$41,-'Вводные'!$E$89),CE$3&lt;$B$41),$B$50/MAX(1,'Вводные'!$E$89),0)</x:f>
        <x:v>0</x:v>
      </x:c>
      <x:c r="CF50" s="117" t="n">
        <x:f>IF(AND(CF$3&gt;=EDATE($B$41,-'Вводные'!$E$89),CF$3&lt;$B$41),$B$50/MAX(1,'Вводные'!$E$89),0)</x:f>
        <x:v>0</x:v>
      </x:c>
      <x:c r="CG50" s="117" t="n">
        <x:f>IF(AND(CG$3&gt;=EDATE($B$41,-'Вводные'!$E$89),CG$3&lt;$B$41),$B$50/MAX(1,'Вводные'!$E$89),0)</x:f>
        <x:v>0</x:v>
      </x:c>
      <x:c r="CH50" s="117" t="n">
        <x:f>IF(AND(CH$3&gt;=EDATE($B$41,-'Вводные'!$E$89),CH$3&lt;$B$41),$B$50/MAX(1,'Вводные'!$E$89),0)</x:f>
        <x:v>0</x:v>
      </x:c>
      <x:c r="CI50" s="117" t="n">
        <x:f>IF(AND(CI$3&gt;=EDATE($B$41,-'Вводные'!$E$89),CI$3&lt;$B$41),$B$50/MAX(1,'Вводные'!$E$89),0)</x:f>
        <x:v>0</x:v>
      </x:c>
      <x:c r="CJ50" s="117" t="n">
        <x:f>IF(AND(CJ$3&gt;=EDATE($B$41,-'Вводные'!$E$89),CJ$3&lt;$B$41),$B$50/MAX(1,'Вводные'!$E$89),0)</x:f>
        <x:v>0</x:v>
      </x:c>
      <x:c r="CK50" s="117" t="n">
        <x:f>IF(AND(CK$3&gt;=EDATE($B$41,-'Вводные'!$E$89),CK$3&lt;$B$41),$B$50/MAX(1,'Вводные'!$E$89),0)</x:f>
        <x:v>0</x:v>
      </x:c>
      <x:c r="CL50" s="117" t="n">
        <x:f>IF(AND(CL$3&gt;=EDATE($B$41,-'Вводные'!$E$89),CL$3&lt;$B$41),$B$50/MAX(1,'Вводные'!$E$89),0)</x:f>
        <x:v>0</x:v>
      </x:c>
      <x:c r="CM50" s="117" t="n">
        <x:f>IF(AND(CM$3&gt;=EDATE($B$41,-'Вводные'!$E$89),CM$3&lt;$B$41),$B$50/MAX(1,'Вводные'!$E$89),0)</x:f>
        <x:v>0</x:v>
      </x:c>
      <x:c r="CN50" s="117" t="n">
        <x:f>IF(AND(CN$3&gt;=EDATE($B$41,-'Вводные'!$E$89),CN$3&lt;$B$41),$B$50/MAX(1,'Вводные'!$E$89),0)</x:f>
        <x:v>0</x:v>
      </x:c>
      <x:c r="CO50" s="117" t="n">
        <x:f>IF(AND(CO$3&gt;=EDATE($B$41,-'Вводные'!$E$89),CO$3&lt;$B$41),$B$50/MAX(1,'Вводные'!$E$89),0)</x:f>
        <x:v>0</x:v>
      </x:c>
      <x:c r="CP50" s="117" t="n">
        <x:f>IF(AND(CP$3&gt;=EDATE($B$41,-'Вводные'!$E$89),CP$3&lt;$B$41),$B$50/MAX(1,'Вводные'!$E$89),0)</x:f>
        <x:v>0</x:v>
      </x:c>
      <x:c r="CQ50" s="117" t="n">
        <x:f>IF(AND(CQ$3&gt;=EDATE($B$41,-'Вводные'!$E$89),CQ$3&lt;$B$41),$B$50/MAX(1,'Вводные'!$E$89),0)</x:f>
        <x:v>0</x:v>
      </x:c>
      <x:c r="CR50" s="117" t="n">
        <x:f>IF(AND(CR$3&gt;=EDATE($B$41,-'Вводные'!$E$89),CR$3&lt;$B$41),$B$50/MAX(1,'Вводные'!$E$89),0)</x:f>
        <x:v>0</x:v>
      </x:c>
      <x:c r="CS50" s="117" t="n">
        <x:f>IF(AND(CS$3&gt;=EDATE($B$41,-'Вводные'!$E$89),CS$3&lt;$B$41),$B$50/MAX(1,'Вводные'!$E$89),0)</x:f>
        <x:v>0</x:v>
      </x:c>
      <x:c r="CT50" s="117" t="n">
        <x:f>IF(AND(CT$3&gt;=EDATE($B$41,-'Вводные'!$E$89),CT$3&lt;$B$41),$B$50/MAX(1,'Вводные'!$E$89),0)</x:f>
        <x:v>0</x:v>
      </x:c>
      <x:c r="CU50" s="117" t="n">
        <x:f>IF(AND(CU$3&gt;=EDATE($B$41,-'Вводные'!$E$89),CU$3&lt;$B$41),$B$50/MAX(1,'Вводные'!$E$89),0)</x:f>
        <x:v>0</x:v>
      </x:c>
      <x:c r="CV50" s="117" t="n">
        <x:f>IF(AND(CV$3&gt;=EDATE($B$41,-'Вводные'!$E$89),CV$3&lt;$B$41),$B$50/MAX(1,'Вводные'!$E$89),0)</x:f>
        <x:v>0</x:v>
      </x:c>
      <x:c r="CW50" s="117" t="n">
        <x:f>IF(AND(CW$3&gt;=EDATE($B$41,-'Вводные'!$E$89),CW$3&lt;$B$41),$B$50/MAX(1,'Вводные'!$E$89),0)</x:f>
        <x:v>0</x:v>
      </x:c>
      <x:c r="CX50" s="117" t="n">
        <x:f>IF(AND(CX$3&gt;=EDATE($B$41,-'Вводные'!$E$89),CX$3&lt;$B$41),$B$50/MAX(1,'Вводные'!$E$89),0)</x:f>
        <x:v>0</x:v>
      </x:c>
      <x:c r="CY50" s="117" t="n">
        <x:f>IF(AND(CY$3&gt;=EDATE($B$41,-'Вводные'!$E$89),CY$3&lt;$B$41),$B$50/MAX(1,'Вводные'!$E$89),0)</x:f>
        <x:v>0</x:v>
      </x:c>
      <x:c r="CZ50" s="117" t="n">
        <x:f>IF(AND(CZ$3&gt;=EDATE($B$41,-'Вводные'!$E$89),CZ$3&lt;$B$41),$B$50/MAX(1,'Вводные'!$E$89),0)</x:f>
        <x:v>0</x:v>
      </x:c>
      <x:c r="DA50" s="117" t="n">
        <x:f>IF(AND(DA$3&gt;=EDATE($B$41,-'Вводные'!$E$89),DA$3&lt;$B$41),$B$50/MAX(1,'Вводные'!$E$89),0)</x:f>
        <x:v>0</x:v>
      </x:c>
      <x:c r="DB50" s="117" t="n">
        <x:f>IF(AND(DB$3&gt;=EDATE($B$41,-'Вводные'!$E$89),DB$3&lt;$B$41),$B$50/MAX(1,'Вводные'!$E$89),0)</x:f>
        <x:v>0</x:v>
      </x:c>
      <x:c r="DC50" s="117" t="n">
        <x:f>IF(AND(DC$3&gt;=EDATE($B$41,-'Вводные'!$E$89),DC$3&lt;$B$41),$B$50/MAX(1,'Вводные'!$E$89),0)</x:f>
        <x:v>0</x:v>
      </x:c>
      <x:c r="DD50" s="117" t="n">
        <x:f>IF(AND(DD$3&gt;=EDATE($B$41,-'Вводные'!$E$89),DD$3&lt;$B$41),$B$50/MAX(1,'Вводные'!$E$89),0)</x:f>
        <x:v>0</x:v>
      </x:c>
      <x:c r="DE50" s="117" t="n">
        <x:f>IF(AND(DE$3&gt;=EDATE($B$41,-'Вводные'!$E$89),DE$3&lt;$B$41),$B$50/MAX(1,'Вводные'!$E$89),0)</x:f>
        <x:v>0</x:v>
      </x:c>
      <x:c r="DF50" s="117" t="n">
        <x:f>IF(AND(DF$3&gt;=EDATE($B$41,-'Вводные'!$E$89),DF$3&lt;$B$41),$B$50/MAX(1,'Вводные'!$E$89),0)</x:f>
        <x:v>0</x:v>
      </x:c>
      <x:c r="DG50" s="117" t="n">
        <x:f>IF(AND(DG$3&gt;=EDATE($B$41,-'Вводные'!$E$89),DG$3&lt;$B$41),$B$50/MAX(1,'Вводные'!$E$89),0)</x:f>
        <x:v>0</x:v>
      </x:c>
      <x:c r="DH50" s="117" t="n">
        <x:f>IF(AND(DH$3&gt;=EDATE($B$41,-'Вводные'!$E$89),DH$3&lt;$B$41),$B$50/MAX(1,'Вводные'!$E$89),0)</x:f>
        <x:v>0</x:v>
      </x:c>
      <x:c r="DI50" s="117" t="n">
        <x:f>IF(AND(DI$3&gt;=EDATE($B$41,-'Вводные'!$E$89),DI$3&lt;$B$41),$B$50/MAX(1,'Вводные'!$E$89),0)</x:f>
        <x:v>0</x:v>
      </x:c>
      <x:c r="DJ50" s="117" t="n">
        <x:f>IF(AND(DJ$3&gt;=EDATE($B$41,-'Вводные'!$E$89),DJ$3&lt;$B$41),$B$50/MAX(1,'Вводные'!$E$89),0)</x:f>
        <x:v>0</x:v>
      </x:c>
      <x:c r="DK50" s="117" t="n">
        <x:f>IF(AND(DK$3&gt;=EDATE($B$41,-'Вводные'!$E$89),DK$3&lt;$B$41),$B$50/MAX(1,'Вводные'!$E$89),0)</x:f>
        <x:v>0</x:v>
      </x:c>
      <x:c r="DL50" s="117" t="n">
        <x:f>IF(AND(DL$3&gt;=EDATE($B$41,-'Вводные'!$E$89),DL$3&lt;$B$41),$B$50/MAX(1,'Вводные'!$E$89),0)</x:f>
        <x:v>0</x:v>
      </x:c>
      <x:c r="DM50" s="117" t="n">
        <x:f>IF(AND(DM$3&gt;=EDATE($B$41,-'Вводные'!$E$89),DM$3&lt;$B$41),$B$50/MAX(1,'Вводные'!$E$89),0)</x:f>
        <x:v>0</x:v>
      </x:c>
      <x:c r="DN50" s="117" t="n">
        <x:f>IF(AND(DN$3&gt;=EDATE($B$41,-'Вводные'!$E$89),DN$3&lt;$B$41),$B$50/MAX(1,'Вводные'!$E$89),0)</x:f>
        <x:v>0</x:v>
      </x:c>
      <x:c r="DO50" s="117" t="n">
        <x:f>IF(AND(DO$3&gt;=EDATE($B$41,-'Вводные'!$E$89),DO$3&lt;$B$41),$B$50/MAX(1,'Вводные'!$E$89),0)</x:f>
        <x:v>0</x:v>
      </x:c>
      <x:c r="DP50" s="117" t="n">
        <x:f>IF(AND(DP$3&gt;=EDATE($B$41,-'Вводные'!$E$89),DP$3&lt;$B$41),$B$50/MAX(1,'Вводные'!$E$89),0)</x:f>
        <x:v>0</x:v>
      </x:c>
      <x:c r="DQ50" s="117" t="n">
        <x:f>IF(AND(DQ$3&gt;=EDATE($B$41,-'Вводные'!$E$89),DQ$3&lt;$B$41),$B$50/MAX(1,'Вводные'!$E$89),0)</x:f>
        <x:v>0</x:v>
      </x:c>
      <x:c r="DR50" s="117" t="n">
        <x:f>IF(AND(DR$3&gt;=EDATE($B$41,-'Вводные'!$E$89),DR$3&lt;$B$41),$B$50/MAX(1,'Вводные'!$E$89),0)</x:f>
        <x:v>0</x:v>
      </x:c>
      <x:c r="DS50" s="117" t="n">
        <x:f>IF(AND(DS$3&gt;=EDATE($B$41,-'Вводные'!$E$89),DS$3&lt;$B$41),$B$50/MAX(1,'Вводные'!$E$89),0)</x:f>
        <x:v>0</x:v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  <x:v>0</x:v>
      </x:c>
      <x:c r="C51" t="str">
        <x:v>млн ₽</x:v>
      </x:c>
      <x:c r="D51" s="117" t="n">
        <x:f>IF(AND(D$3&gt;=EDATE($B$41,-MIN(6,'Вводные'!$E$89)),D$3&lt;$B$41),$B$51/MAX(1,MIN(6,'Вводные'!$E$89)),0)</x:f>
        <x:v>0</x:v>
      </x:c>
      <x:c r="E51" s="117" t="n">
        <x:f>IF(AND(E$3&gt;=EDATE($B$41,-MIN(6,'Вводные'!$E$89)),E$3&lt;$B$41),$B$51/MAX(1,MIN(6,'Вводные'!$E$89)),0)</x:f>
        <x:v>0</x:v>
      </x:c>
      <x:c r="F51" s="117" t="n">
        <x:f>IF(AND(F$3&gt;=EDATE($B$41,-MIN(6,'Вводные'!$E$89)),F$3&lt;$B$41),$B$51/MAX(1,MIN(6,'Вводные'!$E$89)),0)</x:f>
        <x:v>0</x:v>
      </x:c>
      <x:c r="G51" s="117" t="n">
        <x:f>IF(AND(G$3&gt;=EDATE($B$41,-MIN(6,'Вводные'!$E$89)),G$3&lt;$B$41),$B$51/MAX(1,MIN(6,'Вводные'!$E$89)),0)</x:f>
        <x:v>0</x:v>
      </x:c>
      <x:c r="H51" s="117" t="n">
        <x:f>IF(AND(H$3&gt;=EDATE($B$41,-MIN(6,'Вводные'!$E$89)),H$3&lt;$B$41),$B$51/MAX(1,MIN(6,'Вводные'!$E$89)),0)</x:f>
        <x:v>0</x:v>
      </x:c>
      <x:c r="I51" s="117" t="n">
        <x:f>IF(AND(I$3&gt;=EDATE($B$41,-MIN(6,'Вводные'!$E$89)),I$3&lt;$B$41),$B$51/MAX(1,MIN(6,'Вводные'!$E$89)),0)</x:f>
        <x:v>0</x:v>
      </x:c>
      <x:c r="J51" s="117" t="n">
        <x:f>IF(AND(J$3&gt;=EDATE($B$41,-MIN(6,'Вводные'!$E$89)),J$3&lt;$B$41),$B$51/MAX(1,MIN(6,'Вводные'!$E$89)),0)</x:f>
        <x:v>0</x:v>
      </x:c>
      <x:c r="K51" s="117" t="n">
        <x:f>IF(AND(K$3&gt;=EDATE($B$41,-MIN(6,'Вводные'!$E$89)),K$3&lt;$B$41),$B$51/MAX(1,MIN(6,'Вводные'!$E$89)),0)</x:f>
        <x:v>0</x:v>
      </x:c>
      <x:c r="L51" s="117" t="n">
        <x:f>IF(AND(L$3&gt;=EDATE($B$41,-MIN(6,'Вводные'!$E$89)),L$3&lt;$B$41),$B$51/MAX(1,MIN(6,'Вводные'!$E$89)),0)</x:f>
        <x:v>0</x:v>
      </x:c>
      <x:c r="M51" s="117" t="n">
        <x:f>IF(AND(M$3&gt;=EDATE($B$41,-MIN(6,'Вводные'!$E$89)),M$3&lt;$B$41),$B$51/MAX(1,MIN(6,'Вводные'!$E$89)),0)</x:f>
        <x:v>0</x:v>
      </x:c>
      <x:c r="N51" s="117" t="n">
        <x:f>IF(AND(N$3&gt;=EDATE($B$41,-MIN(6,'Вводные'!$E$89)),N$3&lt;$B$41),$B$51/MAX(1,MIN(6,'Вводные'!$E$89)),0)</x:f>
        <x:v>0</x:v>
      </x:c>
      <x:c r="O51" s="117" t="n">
        <x:f>IF(AND(O$3&gt;=EDATE($B$41,-MIN(6,'Вводные'!$E$89)),O$3&lt;$B$41),$B$51/MAX(1,MIN(6,'Вводные'!$E$89)),0)</x:f>
        <x:v>0</x:v>
      </x:c>
      <x:c r="P51" s="117" t="n">
        <x:f>IF(AND(P$3&gt;=EDATE($B$41,-MIN(6,'Вводные'!$E$89)),P$3&lt;$B$41),$B$51/MAX(1,MIN(6,'Вводные'!$E$89)),0)</x:f>
        <x:v>0</x:v>
      </x:c>
      <x:c r="Q51" s="117" t="n">
        <x:f>IF(AND(Q$3&gt;=EDATE($B$41,-MIN(6,'Вводные'!$E$89)),Q$3&lt;$B$41),$B$51/MAX(1,MIN(6,'Вводные'!$E$89)),0)</x:f>
        <x:v>0</x:v>
      </x:c>
      <x:c r="R51" s="117" t="n">
        <x:f>IF(AND(R$3&gt;=EDATE($B$41,-MIN(6,'Вводные'!$E$89)),R$3&lt;$B$41),$B$51/MAX(1,MIN(6,'Вводные'!$E$89)),0)</x:f>
        <x:v>0</x:v>
      </x:c>
      <x:c r="S51" s="117" t="n">
        <x:f>IF(AND(S$3&gt;=EDATE($B$41,-MIN(6,'Вводные'!$E$89)),S$3&lt;$B$41),$B$51/MAX(1,MIN(6,'Вводные'!$E$89)),0)</x:f>
        <x:v>0</x:v>
      </x:c>
      <x:c r="T51" s="117" t="n">
        <x:f>IF(AND(T$3&gt;=EDATE($B$41,-MIN(6,'Вводные'!$E$89)),T$3&lt;$B$41),$B$51/MAX(1,MIN(6,'Вводные'!$E$89)),0)</x:f>
        <x:v>0</x:v>
      </x:c>
      <x:c r="U51" s="117" t="n">
        <x:f>IF(AND(U$3&gt;=EDATE($B$41,-MIN(6,'Вводные'!$E$89)),U$3&lt;$B$41),$B$51/MAX(1,MIN(6,'Вводные'!$E$89)),0)</x:f>
        <x:v>0</x:v>
      </x:c>
      <x:c r="V51" s="117" t="n">
        <x:f>IF(AND(V$3&gt;=EDATE($B$41,-MIN(6,'Вводные'!$E$89)),V$3&lt;$B$41),$B$51/MAX(1,MIN(6,'Вводные'!$E$89)),0)</x:f>
        <x:v>0</x:v>
      </x:c>
      <x:c r="W51" s="117" t="n">
        <x:f>IF(AND(W$3&gt;=EDATE($B$41,-MIN(6,'Вводные'!$E$89)),W$3&lt;$B$41),$B$51/MAX(1,MIN(6,'Вводные'!$E$89)),0)</x:f>
        <x:v>0</x:v>
      </x:c>
      <x:c r="X51" s="117" t="n">
        <x:f>IF(AND(X$3&gt;=EDATE($B$41,-MIN(6,'Вводные'!$E$89)),X$3&lt;$B$41),$B$51/MAX(1,MIN(6,'Вводные'!$E$89)),0)</x:f>
        <x:v>0</x:v>
      </x:c>
      <x:c r="Y51" s="117" t="n">
        <x:f>IF(AND(Y$3&gt;=EDATE($B$41,-MIN(6,'Вводные'!$E$89)),Y$3&lt;$B$41),$B$51/MAX(1,MIN(6,'Вводные'!$E$89)),0)</x:f>
        <x:v>0</x:v>
      </x:c>
      <x:c r="Z51" s="117" t="n">
        <x:f>IF(AND(Z$3&gt;=EDATE($B$41,-MIN(6,'Вводные'!$E$89)),Z$3&lt;$B$41),$B$51/MAX(1,MIN(6,'Вводные'!$E$89)),0)</x:f>
        <x:v>0</x:v>
      </x:c>
      <x:c r="AA51" s="117" t="n">
        <x:f>IF(AND(AA$3&gt;=EDATE($B$41,-MIN(6,'Вводные'!$E$89)),AA$3&lt;$B$41),$B$51/MAX(1,MIN(6,'Вводные'!$E$89)),0)</x:f>
        <x:v>0</x:v>
      </x:c>
      <x:c r="AB51" s="117" t="n">
        <x:f>IF(AND(AB$3&gt;=EDATE($B$41,-MIN(6,'Вводные'!$E$89)),AB$3&lt;$B$41),$B$51/MAX(1,MIN(6,'Вводные'!$E$89)),0)</x:f>
        <x:v>0</x:v>
      </x:c>
      <x:c r="AC51" s="117" t="n">
        <x:f>IF(AND(AC$3&gt;=EDATE($B$41,-MIN(6,'Вводные'!$E$89)),AC$3&lt;$B$41),$B$51/MAX(1,MIN(6,'Вводные'!$E$89)),0)</x:f>
        <x:v>0</x:v>
      </x:c>
      <x:c r="AD51" s="117" t="n">
        <x:f>IF(AND(AD$3&gt;=EDATE($B$41,-MIN(6,'Вводные'!$E$89)),AD$3&lt;$B$41),$B$51/MAX(1,MIN(6,'Вводные'!$E$89)),0)</x:f>
        <x:v>0</x:v>
      </x:c>
      <x:c r="AE51" s="117" t="n">
        <x:f>IF(AND(AE$3&gt;=EDATE($B$41,-MIN(6,'Вводные'!$E$89)),AE$3&lt;$B$41),$B$51/MAX(1,MIN(6,'Вводные'!$E$89)),0)</x:f>
        <x:v>0</x:v>
      </x:c>
      <x:c r="AF51" s="117" t="n">
        <x:f>IF(AND(AF$3&gt;=EDATE($B$41,-MIN(6,'Вводные'!$E$89)),AF$3&lt;$B$41),$B$51/MAX(1,MIN(6,'Вводные'!$E$89)),0)</x:f>
        <x:v>0</x:v>
      </x:c>
      <x:c r="AG51" s="117" t="n">
        <x:f>IF(AND(AG$3&gt;=EDATE($B$41,-MIN(6,'Вводные'!$E$89)),AG$3&lt;$B$41),$B$51/MAX(1,MIN(6,'Вводные'!$E$89)),0)</x:f>
        <x:v>0</x:v>
      </x:c>
      <x:c r="AH51" s="117" t="n">
        <x:f>IF(AND(AH$3&gt;=EDATE($B$41,-MIN(6,'Вводные'!$E$89)),AH$3&lt;$B$41),$B$51/MAX(1,MIN(6,'Вводные'!$E$89)),0)</x:f>
        <x:v>0</x:v>
      </x:c>
      <x:c r="AI51" s="117" t="n">
        <x:f>IF(AND(AI$3&gt;=EDATE($B$41,-MIN(6,'Вводные'!$E$89)),AI$3&lt;$B$41),$B$51/MAX(1,MIN(6,'Вводные'!$E$89)),0)</x:f>
        <x:v>0</x:v>
      </x:c>
      <x:c r="AJ51" s="117" t="n">
        <x:f>IF(AND(AJ$3&gt;=EDATE($B$41,-MIN(6,'Вводные'!$E$89)),AJ$3&lt;$B$41),$B$51/MAX(1,MIN(6,'Вводные'!$E$89)),0)</x:f>
        <x:v>0</x:v>
      </x:c>
      <x:c r="AK51" s="117" t="n">
        <x:f>IF(AND(AK$3&gt;=EDATE($B$41,-MIN(6,'Вводные'!$E$89)),AK$3&lt;$B$41),$B$51/MAX(1,MIN(6,'Вводные'!$E$89)),0)</x:f>
        <x:v>0</x:v>
      </x:c>
      <x:c r="AL51" s="117" t="n">
        <x:f>IF(AND(AL$3&gt;=EDATE($B$41,-MIN(6,'Вводные'!$E$89)),AL$3&lt;$B$41),$B$51/MAX(1,MIN(6,'Вводные'!$E$89)),0)</x:f>
        <x:v>0</x:v>
      </x:c>
      <x:c r="AM51" s="117" t="n">
        <x:f>IF(AND(AM$3&gt;=EDATE($B$41,-MIN(6,'Вводные'!$E$89)),AM$3&lt;$B$41),$B$51/MAX(1,MIN(6,'Вводные'!$E$89)),0)</x:f>
        <x:v>0</x:v>
      </x:c>
      <x:c r="AN51" s="117" t="n">
        <x:f>IF(AND(AN$3&gt;=EDATE($B$41,-MIN(6,'Вводные'!$E$89)),AN$3&lt;$B$41),$B$51/MAX(1,MIN(6,'Вводные'!$E$89)),0)</x:f>
        <x:v>0</x:v>
      </x:c>
      <x:c r="AO51" s="117" t="n">
        <x:f>IF(AND(AO$3&gt;=EDATE($B$41,-MIN(6,'Вводные'!$E$89)),AO$3&lt;$B$41),$B$51/MAX(1,MIN(6,'Вводные'!$E$89)),0)</x:f>
        <x:v>0</x:v>
      </x:c>
      <x:c r="AP51" s="117" t="n">
        <x:f>IF(AND(AP$3&gt;=EDATE($B$41,-MIN(6,'Вводные'!$E$89)),AP$3&lt;$B$41),$B$51/MAX(1,MIN(6,'Вводные'!$E$89)),0)</x:f>
        <x:v>0</x:v>
      </x:c>
      <x:c r="AQ51" s="117" t="n">
        <x:f>IF(AND(AQ$3&gt;=EDATE($B$41,-MIN(6,'Вводные'!$E$89)),AQ$3&lt;$B$41),$B$51/MAX(1,MIN(6,'Вводные'!$E$89)),0)</x:f>
        <x:v>0</x:v>
      </x:c>
      <x:c r="AR51" s="117" t="n">
        <x:f>IF(AND(AR$3&gt;=EDATE($B$41,-MIN(6,'Вводные'!$E$89)),AR$3&lt;$B$41),$B$51/MAX(1,MIN(6,'Вводные'!$E$89)),0)</x:f>
        <x:v>0</x:v>
      </x:c>
      <x:c r="AS51" s="117" t="n">
        <x:f>IF(AND(AS$3&gt;=EDATE($B$41,-MIN(6,'Вводные'!$E$89)),AS$3&lt;$B$41),$B$51/MAX(1,MIN(6,'Вводные'!$E$89)),0)</x:f>
        <x:v>0</x:v>
      </x:c>
      <x:c r="AT51" s="117" t="n">
        <x:f>IF(AND(AT$3&gt;=EDATE($B$41,-MIN(6,'Вводные'!$E$89)),AT$3&lt;$B$41),$B$51/MAX(1,MIN(6,'Вводные'!$E$89)),0)</x:f>
        <x:v>0</x:v>
      </x:c>
      <x:c r="AU51" s="117" t="n">
        <x:f>IF(AND(AU$3&gt;=EDATE($B$41,-MIN(6,'Вводные'!$E$89)),AU$3&lt;$B$41),$B$51/MAX(1,MIN(6,'Вводные'!$E$89)),0)</x:f>
        <x:v>0</x:v>
      </x:c>
      <x:c r="AV51" s="117" t="n">
        <x:f>IF(AND(AV$3&gt;=EDATE($B$41,-MIN(6,'Вводные'!$E$89)),AV$3&lt;$B$41),$B$51/MAX(1,MIN(6,'Вводные'!$E$89)),0)</x:f>
        <x:v>0</x:v>
      </x:c>
      <x:c r="AW51" s="117" t="n">
        <x:f>IF(AND(AW$3&gt;=EDATE($B$41,-MIN(6,'Вводные'!$E$89)),AW$3&lt;$B$41),$B$51/MAX(1,MIN(6,'Вводные'!$E$89)),0)</x:f>
        <x:v>0</x:v>
      </x:c>
      <x:c r="AX51" s="117" t="n">
        <x:f>IF(AND(AX$3&gt;=EDATE($B$41,-MIN(6,'Вводные'!$E$89)),AX$3&lt;$B$41),$B$51/MAX(1,MIN(6,'Вводные'!$E$89)),0)</x:f>
        <x:v>0</x:v>
      </x:c>
      <x:c r="AY51" s="117" t="n">
        <x:f>IF(AND(AY$3&gt;=EDATE($B$41,-MIN(6,'Вводные'!$E$89)),AY$3&lt;$B$41),$B$51/MAX(1,MIN(6,'Вводные'!$E$89)),0)</x:f>
        <x:v>0</x:v>
      </x:c>
      <x:c r="AZ51" s="117" t="n">
        <x:f>IF(AND(AZ$3&gt;=EDATE($B$41,-MIN(6,'Вводные'!$E$89)),AZ$3&lt;$B$41),$B$51/MAX(1,MIN(6,'Вводные'!$E$89)),0)</x:f>
        <x:v>0</x:v>
      </x:c>
      <x:c r="BA51" s="117" t="n">
        <x:f>IF(AND(BA$3&gt;=EDATE($B$41,-MIN(6,'Вводные'!$E$89)),BA$3&lt;$B$41),$B$51/MAX(1,MIN(6,'Вводные'!$E$89)),0)</x:f>
        <x:v>0</x:v>
      </x:c>
      <x:c r="BB51" s="117" t="n">
        <x:f>IF(AND(BB$3&gt;=EDATE($B$41,-MIN(6,'Вводные'!$E$89)),BB$3&lt;$B$41),$B$51/MAX(1,MIN(6,'Вводные'!$E$89)),0)</x:f>
        <x:v>0</x:v>
      </x:c>
      <x:c r="BC51" s="117" t="n">
        <x:f>IF(AND(BC$3&gt;=EDATE($B$41,-MIN(6,'Вводные'!$E$89)),BC$3&lt;$B$41),$B$51/MAX(1,MIN(6,'Вводные'!$E$89)),0)</x:f>
        <x:v>0</x:v>
      </x:c>
      <x:c r="BD51" s="117" t="n">
        <x:f>IF(AND(BD$3&gt;=EDATE($B$41,-MIN(6,'Вводные'!$E$89)),BD$3&lt;$B$41),$B$51/MAX(1,MIN(6,'Вводные'!$E$89)),0)</x:f>
        <x:v>0</x:v>
      </x:c>
      <x:c r="BE51" s="117" t="n">
        <x:f>IF(AND(BE$3&gt;=EDATE($B$41,-MIN(6,'Вводные'!$E$89)),BE$3&lt;$B$41),$B$51/MAX(1,MIN(6,'Вводные'!$E$89)),0)</x:f>
        <x:v>0</x:v>
      </x:c>
      <x:c r="BF51" s="117" t="n">
        <x:f>IF(AND(BF$3&gt;=EDATE($B$41,-MIN(6,'Вводные'!$E$89)),BF$3&lt;$B$41),$B$51/MAX(1,MIN(6,'Вводные'!$E$89)),0)</x:f>
        <x:v>0</x:v>
      </x:c>
      <x:c r="BG51" s="117" t="n">
        <x:f>IF(AND(BG$3&gt;=EDATE($B$41,-MIN(6,'Вводные'!$E$89)),BG$3&lt;$B$41),$B$51/MAX(1,MIN(6,'Вводные'!$E$89)),0)</x:f>
        <x:v>0</x:v>
      </x:c>
      <x:c r="BH51" s="117" t="n">
        <x:f>IF(AND(BH$3&gt;=EDATE($B$41,-MIN(6,'Вводные'!$E$89)),BH$3&lt;$B$41),$B$51/MAX(1,MIN(6,'Вводные'!$E$89)),0)</x:f>
        <x:v>0</x:v>
      </x:c>
      <x:c r="BI51" s="117" t="n">
        <x:f>IF(AND(BI$3&gt;=EDATE($B$41,-MIN(6,'Вводные'!$E$89)),BI$3&lt;$B$41),$B$51/MAX(1,MIN(6,'Вводные'!$E$89)),0)</x:f>
        <x:v>0</x:v>
      </x:c>
      <x:c r="BJ51" s="117" t="n">
        <x:f>IF(AND(BJ$3&gt;=EDATE($B$41,-MIN(6,'Вводные'!$E$89)),BJ$3&lt;$B$41),$B$51/MAX(1,MIN(6,'Вводные'!$E$89)),0)</x:f>
        <x:v>0</x:v>
      </x:c>
      <x:c r="BK51" s="117" t="n">
        <x:f>IF(AND(BK$3&gt;=EDATE($B$41,-MIN(6,'Вводные'!$E$89)),BK$3&lt;$B$41),$B$51/MAX(1,MIN(6,'Вводные'!$E$89)),0)</x:f>
        <x:v>0</x:v>
      </x:c>
      <x:c r="BL51" s="117" t="n">
        <x:f>IF(AND(BL$3&gt;=EDATE($B$41,-MIN(6,'Вводные'!$E$89)),BL$3&lt;$B$41),$B$51/MAX(1,MIN(6,'Вводные'!$E$89)),0)</x:f>
        <x:v>0</x:v>
      </x:c>
      <x:c r="BM51" s="117" t="n">
        <x:f>IF(AND(BM$3&gt;=EDATE($B$41,-MIN(6,'Вводные'!$E$89)),BM$3&lt;$B$41),$B$51/MAX(1,MIN(6,'Вводные'!$E$89)),0)</x:f>
        <x:v>0</x:v>
      </x:c>
      <x:c r="BN51" s="117" t="n">
        <x:f>IF(AND(BN$3&gt;=EDATE($B$41,-MIN(6,'Вводные'!$E$89)),BN$3&lt;$B$41),$B$51/MAX(1,MIN(6,'Вводные'!$E$89)),0)</x:f>
        <x:v>0</x:v>
      </x:c>
      <x:c r="BO51" s="117" t="n">
        <x:f>IF(AND(BO$3&gt;=EDATE($B$41,-MIN(6,'Вводные'!$E$89)),BO$3&lt;$B$41),$B$51/MAX(1,MIN(6,'Вводные'!$E$89)),0)</x:f>
        <x:v>0</x:v>
      </x:c>
      <x:c r="BP51" s="117" t="n">
        <x:f>IF(AND(BP$3&gt;=EDATE($B$41,-MIN(6,'Вводные'!$E$89)),BP$3&lt;$B$41),$B$51/MAX(1,MIN(6,'Вводные'!$E$89)),0)</x:f>
        <x:v>0</x:v>
      </x:c>
      <x:c r="BQ51" s="117" t="n">
        <x:f>IF(AND(BQ$3&gt;=EDATE($B$41,-MIN(6,'Вводные'!$E$89)),BQ$3&lt;$B$41),$B$51/MAX(1,MIN(6,'Вводные'!$E$89)),0)</x:f>
        <x:v>0</x:v>
      </x:c>
      <x:c r="BR51" s="117" t="n">
        <x:f>IF(AND(BR$3&gt;=EDATE($B$41,-MIN(6,'Вводные'!$E$89)),BR$3&lt;$B$41),$B$51/MAX(1,MIN(6,'Вводные'!$E$89)),0)</x:f>
        <x:v>0</x:v>
      </x:c>
      <x:c r="BS51" s="117" t="n">
        <x:f>IF(AND(BS$3&gt;=EDATE($B$41,-MIN(6,'Вводные'!$E$89)),BS$3&lt;$B$41),$B$51/MAX(1,MIN(6,'Вводные'!$E$89)),0)</x:f>
        <x:v>0</x:v>
      </x:c>
      <x:c r="BT51" s="117" t="n">
        <x:f>IF(AND(BT$3&gt;=EDATE($B$41,-MIN(6,'Вводные'!$E$89)),BT$3&lt;$B$41),$B$51/MAX(1,MIN(6,'Вводные'!$E$89)),0)</x:f>
        <x:v>0</x:v>
      </x:c>
      <x:c r="BU51" s="117" t="n">
        <x:f>IF(AND(BU$3&gt;=EDATE($B$41,-MIN(6,'Вводные'!$E$89)),BU$3&lt;$B$41),$B$51/MAX(1,MIN(6,'Вводные'!$E$89)),0)</x:f>
        <x:v>0</x:v>
      </x:c>
      <x:c r="BV51" s="117" t="n">
        <x:f>IF(AND(BV$3&gt;=EDATE($B$41,-MIN(6,'Вводные'!$E$89)),BV$3&lt;$B$41),$B$51/MAX(1,MIN(6,'Вводные'!$E$89)),0)</x:f>
        <x:v>0</x:v>
      </x:c>
      <x:c r="BW51" s="117" t="n">
        <x:f>IF(AND(BW$3&gt;=EDATE($B$41,-MIN(6,'Вводные'!$E$89)),BW$3&lt;$B$41),$B$51/MAX(1,MIN(6,'Вводные'!$E$89)),0)</x:f>
        <x:v>0</x:v>
      </x:c>
      <x:c r="BX51" s="117" t="n">
        <x:f>IF(AND(BX$3&gt;=EDATE($B$41,-MIN(6,'Вводные'!$E$89)),BX$3&lt;$B$41),$B$51/MAX(1,MIN(6,'Вводные'!$E$89)),0)</x:f>
        <x:v>0</x:v>
      </x:c>
      <x:c r="BY51" s="117" t="n">
        <x:f>IF(AND(BY$3&gt;=EDATE($B$41,-MIN(6,'Вводные'!$E$89)),BY$3&lt;$B$41),$B$51/MAX(1,MIN(6,'Вводные'!$E$89)),0)</x:f>
        <x:v>0</x:v>
      </x:c>
      <x:c r="BZ51" s="117" t="n">
        <x:f>IF(AND(BZ$3&gt;=EDATE($B$41,-MIN(6,'Вводные'!$E$89)),BZ$3&lt;$B$41),$B$51/MAX(1,MIN(6,'Вводные'!$E$89)),0)</x:f>
        <x:v>0</x:v>
      </x:c>
      <x:c r="CA51" s="117" t="n">
        <x:f>IF(AND(CA$3&gt;=EDATE($B$41,-MIN(6,'Вводные'!$E$89)),CA$3&lt;$B$41),$B$51/MAX(1,MIN(6,'Вводные'!$E$89)),0)</x:f>
        <x:v>0</x:v>
      </x:c>
      <x:c r="CB51" s="117" t="n">
        <x:f>IF(AND(CB$3&gt;=EDATE($B$41,-MIN(6,'Вводные'!$E$89)),CB$3&lt;$B$41),$B$51/MAX(1,MIN(6,'Вводные'!$E$89)),0)</x:f>
        <x:v>0</x:v>
      </x:c>
      <x:c r="CC51" s="117" t="n">
        <x:f>IF(AND(CC$3&gt;=EDATE($B$41,-MIN(6,'Вводные'!$E$89)),CC$3&lt;$B$41),$B$51/MAX(1,MIN(6,'Вводные'!$E$89)),0)</x:f>
        <x:v>0</x:v>
      </x:c>
      <x:c r="CD51" s="117" t="n">
        <x:f>IF(AND(CD$3&gt;=EDATE($B$41,-MIN(6,'Вводные'!$E$89)),CD$3&lt;$B$41),$B$51/MAX(1,MIN(6,'Вводные'!$E$89)),0)</x:f>
        <x:v>0</x:v>
      </x:c>
      <x:c r="CE51" s="117" t="n">
        <x:f>IF(AND(CE$3&gt;=EDATE($B$41,-MIN(6,'Вводные'!$E$89)),CE$3&lt;$B$41),$B$51/MAX(1,MIN(6,'Вводные'!$E$89)),0)</x:f>
        <x:v>0</x:v>
      </x:c>
      <x:c r="CF51" s="117" t="n">
        <x:f>IF(AND(CF$3&gt;=EDATE($B$41,-MIN(6,'Вводные'!$E$89)),CF$3&lt;$B$41),$B$51/MAX(1,MIN(6,'Вводные'!$E$89)),0)</x:f>
        <x:v>0</x:v>
      </x:c>
      <x:c r="CG51" s="117" t="n">
        <x:f>IF(AND(CG$3&gt;=EDATE($B$41,-MIN(6,'Вводные'!$E$89)),CG$3&lt;$B$41),$B$51/MAX(1,MIN(6,'Вводные'!$E$89)),0)</x:f>
        <x:v>0</x:v>
      </x:c>
      <x:c r="CH51" s="117" t="n">
        <x:f>IF(AND(CH$3&gt;=EDATE($B$41,-MIN(6,'Вводные'!$E$89)),CH$3&lt;$B$41),$B$51/MAX(1,MIN(6,'Вводные'!$E$89)),0)</x:f>
        <x:v>0</x:v>
      </x:c>
      <x:c r="CI51" s="117" t="n">
        <x:f>IF(AND(CI$3&gt;=EDATE($B$41,-MIN(6,'Вводные'!$E$89)),CI$3&lt;$B$41),$B$51/MAX(1,MIN(6,'Вводные'!$E$89)),0)</x:f>
        <x:v>0</x:v>
      </x:c>
      <x:c r="CJ51" s="117" t="n">
        <x:f>IF(AND(CJ$3&gt;=EDATE($B$41,-MIN(6,'Вводные'!$E$89)),CJ$3&lt;$B$41),$B$51/MAX(1,MIN(6,'Вводные'!$E$89)),0)</x:f>
        <x:v>0</x:v>
      </x:c>
      <x:c r="CK51" s="117" t="n">
        <x:f>IF(AND(CK$3&gt;=EDATE($B$41,-MIN(6,'Вводные'!$E$89)),CK$3&lt;$B$41),$B$51/MAX(1,MIN(6,'Вводные'!$E$89)),0)</x:f>
        <x:v>0</x:v>
      </x:c>
      <x:c r="CL51" s="117" t="n">
        <x:f>IF(AND(CL$3&gt;=EDATE($B$41,-MIN(6,'Вводные'!$E$89)),CL$3&lt;$B$41),$B$51/MAX(1,MIN(6,'Вводные'!$E$89)),0)</x:f>
        <x:v>0</x:v>
      </x:c>
      <x:c r="CM51" s="117" t="n">
        <x:f>IF(AND(CM$3&gt;=EDATE($B$41,-MIN(6,'Вводные'!$E$89)),CM$3&lt;$B$41),$B$51/MAX(1,MIN(6,'Вводные'!$E$89)),0)</x:f>
        <x:v>0</x:v>
      </x:c>
      <x:c r="CN51" s="117" t="n">
        <x:f>IF(AND(CN$3&gt;=EDATE($B$41,-MIN(6,'Вводные'!$E$89)),CN$3&lt;$B$41),$B$51/MAX(1,MIN(6,'Вводные'!$E$89)),0)</x:f>
        <x:v>0</x:v>
      </x:c>
      <x:c r="CO51" s="117" t="n">
        <x:f>IF(AND(CO$3&gt;=EDATE($B$41,-MIN(6,'Вводные'!$E$89)),CO$3&lt;$B$41),$B$51/MAX(1,MIN(6,'Вводные'!$E$89)),0)</x:f>
        <x:v>0</x:v>
      </x:c>
      <x:c r="CP51" s="117" t="n">
        <x:f>IF(AND(CP$3&gt;=EDATE($B$41,-MIN(6,'Вводные'!$E$89)),CP$3&lt;$B$41),$B$51/MAX(1,MIN(6,'Вводные'!$E$89)),0)</x:f>
        <x:v>0</x:v>
      </x:c>
      <x:c r="CQ51" s="117" t="n">
        <x:f>IF(AND(CQ$3&gt;=EDATE($B$41,-MIN(6,'Вводные'!$E$89)),CQ$3&lt;$B$41),$B$51/MAX(1,MIN(6,'Вводные'!$E$89)),0)</x:f>
        <x:v>0</x:v>
      </x:c>
      <x:c r="CR51" s="117" t="n">
        <x:f>IF(AND(CR$3&gt;=EDATE($B$41,-MIN(6,'Вводные'!$E$89)),CR$3&lt;$B$41),$B$51/MAX(1,MIN(6,'Вводные'!$E$89)),0)</x:f>
        <x:v>0</x:v>
      </x:c>
      <x:c r="CS51" s="117" t="n">
        <x:f>IF(AND(CS$3&gt;=EDATE($B$41,-MIN(6,'Вводные'!$E$89)),CS$3&lt;$B$41),$B$51/MAX(1,MIN(6,'Вводные'!$E$89)),0)</x:f>
        <x:v>0</x:v>
      </x:c>
      <x:c r="CT51" s="117" t="n">
        <x:f>IF(AND(CT$3&gt;=EDATE($B$41,-MIN(6,'Вводные'!$E$89)),CT$3&lt;$B$41),$B$51/MAX(1,MIN(6,'Вводные'!$E$89)),0)</x:f>
        <x:v>0</x:v>
      </x:c>
      <x:c r="CU51" s="117" t="n">
        <x:f>IF(AND(CU$3&gt;=EDATE($B$41,-MIN(6,'Вводные'!$E$89)),CU$3&lt;$B$41),$B$51/MAX(1,MIN(6,'Вводные'!$E$89)),0)</x:f>
        <x:v>0</x:v>
      </x:c>
      <x:c r="CV51" s="117" t="n">
        <x:f>IF(AND(CV$3&gt;=EDATE($B$41,-MIN(6,'Вводные'!$E$89)),CV$3&lt;$B$41),$B$51/MAX(1,MIN(6,'Вводные'!$E$89)),0)</x:f>
        <x:v>0</x:v>
      </x:c>
      <x:c r="CW51" s="117" t="n">
        <x:f>IF(AND(CW$3&gt;=EDATE($B$41,-MIN(6,'Вводные'!$E$89)),CW$3&lt;$B$41),$B$51/MAX(1,MIN(6,'Вводные'!$E$89)),0)</x:f>
        <x:v>0</x:v>
      </x:c>
      <x:c r="CX51" s="117" t="n">
        <x:f>IF(AND(CX$3&gt;=EDATE($B$41,-MIN(6,'Вводные'!$E$89)),CX$3&lt;$B$41),$B$51/MAX(1,MIN(6,'Вводные'!$E$89)),0)</x:f>
        <x:v>0</x:v>
      </x:c>
      <x:c r="CY51" s="117" t="n">
        <x:f>IF(AND(CY$3&gt;=EDATE($B$41,-MIN(6,'Вводные'!$E$89)),CY$3&lt;$B$41),$B$51/MAX(1,MIN(6,'Вводные'!$E$89)),0)</x:f>
        <x:v>0</x:v>
      </x:c>
      <x:c r="CZ51" s="117" t="n">
        <x:f>IF(AND(CZ$3&gt;=EDATE($B$41,-MIN(6,'Вводные'!$E$89)),CZ$3&lt;$B$41),$B$51/MAX(1,MIN(6,'Вводные'!$E$89)),0)</x:f>
        <x:v>0</x:v>
      </x:c>
      <x:c r="DA51" s="117" t="n">
        <x:f>IF(AND(DA$3&gt;=EDATE($B$41,-MIN(6,'Вводные'!$E$89)),DA$3&lt;$B$41),$B$51/MAX(1,MIN(6,'Вводные'!$E$89)),0)</x:f>
        <x:v>0</x:v>
      </x:c>
      <x:c r="DB51" s="117" t="n">
        <x:f>IF(AND(DB$3&gt;=EDATE($B$41,-MIN(6,'Вводные'!$E$89)),DB$3&lt;$B$41),$B$51/MAX(1,MIN(6,'Вводные'!$E$89)),0)</x:f>
        <x:v>0</x:v>
      </x:c>
      <x:c r="DC51" s="117" t="n">
        <x:f>IF(AND(DC$3&gt;=EDATE($B$41,-MIN(6,'Вводные'!$E$89)),DC$3&lt;$B$41),$B$51/MAX(1,MIN(6,'Вводные'!$E$89)),0)</x:f>
        <x:v>0</x:v>
      </x:c>
      <x:c r="DD51" s="117" t="n">
        <x:f>IF(AND(DD$3&gt;=EDATE($B$41,-MIN(6,'Вводные'!$E$89)),DD$3&lt;$B$41),$B$51/MAX(1,MIN(6,'Вводные'!$E$89)),0)</x:f>
        <x:v>0</x:v>
      </x:c>
      <x:c r="DE51" s="117" t="n">
        <x:f>IF(AND(DE$3&gt;=EDATE($B$41,-MIN(6,'Вводные'!$E$89)),DE$3&lt;$B$41),$B$51/MAX(1,MIN(6,'Вводные'!$E$89)),0)</x:f>
        <x:v>0</x:v>
      </x:c>
      <x:c r="DF51" s="117" t="n">
        <x:f>IF(AND(DF$3&gt;=EDATE($B$41,-MIN(6,'Вводные'!$E$89)),DF$3&lt;$B$41),$B$51/MAX(1,MIN(6,'Вводные'!$E$89)),0)</x:f>
        <x:v>0</x:v>
      </x:c>
      <x:c r="DG51" s="117" t="n">
        <x:f>IF(AND(DG$3&gt;=EDATE($B$41,-MIN(6,'Вводные'!$E$89)),DG$3&lt;$B$41),$B$51/MAX(1,MIN(6,'Вводные'!$E$89)),0)</x:f>
        <x:v>0</x:v>
      </x:c>
      <x:c r="DH51" s="117" t="n">
        <x:f>IF(AND(DH$3&gt;=EDATE($B$41,-MIN(6,'Вводные'!$E$89)),DH$3&lt;$B$41),$B$51/MAX(1,MIN(6,'Вводные'!$E$89)),0)</x:f>
        <x:v>0</x:v>
      </x:c>
      <x:c r="DI51" s="117" t="n">
        <x:f>IF(AND(DI$3&gt;=EDATE($B$41,-MIN(6,'Вводные'!$E$89)),DI$3&lt;$B$41),$B$51/MAX(1,MIN(6,'Вводные'!$E$89)),0)</x:f>
        <x:v>0</x:v>
      </x:c>
      <x:c r="DJ51" s="117" t="n">
        <x:f>IF(AND(DJ$3&gt;=EDATE($B$41,-MIN(6,'Вводные'!$E$89)),DJ$3&lt;$B$41),$B$51/MAX(1,MIN(6,'Вводные'!$E$89)),0)</x:f>
        <x:v>0</x:v>
      </x:c>
      <x:c r="DK51" s="117" t="n">
        <x:f>IF(AND(DK$3&gt;=EDATE($B$41,-MIN(6,'Вводные'!$E$89)),DK$3&lt;$B$41),$B$51/MAX(1,MIN(6,'Вводные'!$E$89)),0)</x:f>
        <x:v>0</x:v>
      </x:c>
      <x:c r="DL51" s="117" t="n">
        <x:f>IF(AND(DL$3&gt;=EDATE($B$41,-MIN(6,'Вводные'!$E$89)),DL$3&lt;$B$41),$B$51/MAX(1,MIN(6,'Вводные'!$E$89)),0)</x:f>
        <x:v>0</x:v>
      </x:c>
      <x:c r="DM51" s="117" t="n">
        <x:f>IF(AND(DM$3&gt;=EDATE($B$41,-MIN(6,'Вводные'!$E$89)),DM$3&lt;$B$41),$B$51/MAX(1,MIN(6,'Вводные'!$E$89)),0)</x:f>
        <x:v>0</x:v>
      </x:c>
      <x:c r="DN51" s="117" t="n">
        <x:f>IF(AND(DN$3&gt;=EDATE($B$41,-MIN(6,'Вводные'!$E$89)),DN$3&lt;$B$41),$B$51/MAX(1,MIN(6,'Вводные'!$E$89)),0)</x:f>
        <x:v>0</x:v>
      </x:c>
      <x:c r="DO51" s="117" t="n">
        <x:f>IF(AND(DO$3&gt;=EDATE($B$41,-MIN(6,'Вводные'!$E$89)),DO$3&lt;$B$41),$B$51/MAX(1,MIN(6,'Вводные'!$E$89)),0)</x:f>
        <x:v>0</x:v>
      </x:c>
      <x:c r="DP51" s="117" t="n">
        <x:f>IF(AND(DP$3&gt;=EDATE($B$41,-MIN(6,'Вводные'!$E$89)),DP$3&lt;$B$41),$B$51/MAX(1,MIN(6,'Вводные'!$E$89)),0)</x:f>
        <x:v>0</x:v>
      </x:c>
      <x:c r="DQ51" s="117" t="n">
        <x:f>IF(AND(DQ$3&gt;=EDATE($B$41,-MIN(6,'Вводные'!$E$89)),DQ$3&lt;$B$41),$B$51/MAX(1,MIN(6,'Вводные'!$E$89)),0)</x:f>
        <x:v>0</x:v>
      </x:c>
      <x:c r="DR51" s="117" t="n">
        <x:f>IF(AND(DR$3&gt;=EDATE($B$41,-MIN(6,'Вводные'!$E$89)),DR$3&lt;$B$41),$B$51/MAX(1,MIN(6,'Вводные'!$E$89)),0)</x:f>
        <x:v>0</x:v>
      </x:c>
      <x:c r="DS51" s="117" t="n">
        <x:f>IF(AND(DS$3&gt;=EDATE($B$41,-MIN(6,'Вводные'!$E$89)),DS$3&lt;$B$41),$B$51/MAX(1,MIN(6,'Вводные'!$E$89)),0)</x:f>
        <x:v>0</x:v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  <x:v>0</x:v>
      </x:c>
      <x:c r="C52" t="str">
        <x:v>млн ₽</x:v>
      </x:c>
      <x:c r="D52" s="117" t="n">
        <x:f>IF(AND(D$3&gt;=EDATE($B$41,-MIN(6,'Вводные'!$E$89)),D$3&lt;$B$41),$B$52/MAX(1,MIN(6,'Вводные'!$E$89)),0)</x:f>
        <x:v>0</x:v>
      </x:c>
      <x:c r="E52" s="117" t="n">
        <x:f>IF(AND(E$3&gt;=EDATE($B$41,-MIN(6,'Вводные'!$E$89)),E$3&lt;$B$41),$B$52/MAX(1,MIN(6,'Вводные'!$E$89)),0)</x:f>
        <x:v>0</x:v>
      </x:c>
      <x:c r="F52" s="117" t="n">
        <x:f>IF(AND(F$3&gt;=EDATE($B$41,-MIN(6,'Вводные'!$E$89)),F$3&lt;$B$41),$B$52/MAX(1,MIN(6,'Вводные'!$E$89)),0)</x:f>
        <x:v>0</x:v>
      </x:c>
      <x:c r="G52" s="117" t="n">
        <x:f>IF(AND(G$3&gt;=EDATE($B$41,-MIN(6,'Вводные'!$E$89)),G$3&lt;$B$41),$B$52/MAX(1,MIN(6,'Вводные'!$E$89)),0)</x:f>
        <x:v>0</x:v>
      </x:c>
      <x:c r="H52" s="117" t="n">
        <x:f>IF(AND(H$3&gt;=EDATE($B$41,-MIN(6,'Вводные'!$E$89)),H$3&lt;$B$41),$B$52/MAX(1,MIN(6,'Вводные'!$E$89)),0)</x:f>
        <x:v>0</x:v>
      </x:c>
      <x:c r="I52" s="117" t="n">
        <x:f>IF(AND(I$3&gt;=EDATE($B$41,-MIN(6,'Вводные'!$E$89)),I$3&lt;$B$41),$B$52/MAX(1,MIN(6,'Вводные'!$E$89)),0)</x:f>
        <x:v>0</x:v>
      </x:c>
      <x:c r="J52" s="117" t="n">
        <x:f>IF(AND(J$3&gt;=EDATE($B$41,-MIN(6,'Вводные'!$E$89)),J$3&lt;$B$41),$B$52/MAX(1,MIN(6,'Вводные'!$E$89)),0)</x:f>
        <x:v>0</x:v>
      </x:c>
      <x:c r="K52" s="117" t="n">
        <x:f>IF(AND(K$3&gt;=EDATE($B$41,-MIN(6,'Вводные'!$E$89)),K$3&lt;$B$41),$B$52/MAX(1,MIN(6,'Вводные'!$E$89)),0)</x:f>
        <x:v>0</x:v>
      </x:c>
      <x:c r="L52" s="117" t="n">
        <x:f>IF(AND(L$3&gt;=EDATE($B$41,-MIN(6,'Вводные'!$E$89)),L$3&lt;$B$41),$B$52/MAX(1,MIN(6,'Вводные'!$E$89)),0)</x:f>
        <x:v>0</x:v>
      </x:c>
      <x:c r="M52" s="117" t="n">
        <x:f>IF(AND(M$3&gt;=EDATE($B$41,-MIN(6,'Вводные'!$E$89)),M$3&lt;$B$41),$B$52/MAX(1,MIN(6,'Вводные'!$E$89)),0)</x:f>
        <x:v>0</x:v>
      </x:c>
      <x:c r="N52" s="117" t="n">
        <x:f>IF(AND(N$3&gt;=EDATE($B$41,-MIN(6,'Вводные'!$E$89)),N$3&lt;$B$41),$B$52/MAX(1,MIN(6,'Вводные'!$E$89)),0)</x:f>
        <x:v>0</x:v>
      </x:c>
      <x:c r="O52" s="117" t="n">
        <x:f>IF(AND(O$3&gt;=EDATE($B$41,-MIN(6,'Вводные'!$E$89)),O$3&lt;$B$41),$B$52/MAX(1,MIN(6,'Вводные'!$E$89)),0)</x:f>
        <x:v>0</x:v>
      </x:c>
      <x:c r="P52" s="117" t="n">
        <x:f>IF(AND(P$3&gt;=EDATE($B$41,-MIN(6,'Вводные'!$E$89)),P$3&lt;$B$41),$B$52/MAX(1,MIN(6,'Вводные'!$E$89)),0)</x:f>
        <x:v>0</x:v>
      </x:c>
      <x:c r="Q52" s="117" t="n">
        <x:f>IF(AND(Q$3&gt;=EDATE($B$41,-MIN(6,'Вводные'!$E$89)),Q$3&lt;$B$41),$B$52/MAX(1,MIN(6,'Вводные'!$E$89)),0)</x:f>
        <x:v>0</x:v>
      </x:c>
      <x:c r="R52" s="117" t="n">
        <x:f>IF(AND(R$3&gt;=EDATE($B$41,-MIN(6,'Вводные'!$E$89)),R$3&lt;$B$41),$B$52/MAX(1,MIN(6,'Вводные'!$E$89)),0)</x:f>
        <x:v>0</x:v>
      </x:c>
      <x:c r="S52" s="117" t="n">
        <x:f>IF(AND(S$3&gt;=EDATE($B$41,-MIN(6,'Вводные'!$E$89)),S$3&lt;$B$41),$B$52/MAX(1,MIN(6,'Вводные'!$E$89)),0)</x:f>
        <x:v>0</x:v>
      </x:c>
      <x:c r="T52" s="117" t="n">
        <x:f>IF(AND(T$3&gt;=EDATE($B$41,-MIN(6,'Вводные'!$E$89)),T$3&lt;$B$41),$B$52/MAX(1,MIN(6,'Вводные'!$E$89)),0)</x:f>
        <x:v>0</x:v>
      </x:c>
      <x:c r="U52" s="117" t="n">
        <x:f>IF(AND(U$3&gt;=EDATE($B$41,-MIN(6,'Вводные'!$E$89)),U$3&lt;$B$41),$B$52/MAX(1,MIN(6,'Вводные'!$E$89)),0)</x:f>
        <x:v>0</x:v>
      </x:c>
      <x:c r="V52" s="117" t="n">
        <x:f>IF(AND(V$3&gt;=EDATE($B$41,-MIN(6,'Вводные'!$E$89)),V$3&lt;$B$41),$B$52/MAX(1,MIN(6,'Вводные'!$E$89)),0)</x:f>
        <x:v>0</x:v>
      </x:c>
      <x:c r="W52" s="117" t="n">
        <x:f>IF(AND(W$3&gt;=EDATE($B$41,-MIN(6,'Вводные'!$E$89)),W$3&lt;$B$41),$B$52/MAX(1,MIN(6,'Вводные'!$E$89)),0)</x:f>
        <x:v>0</x:v>
      </x:c>
      <x:c r="X52" s="117" t="n">
        <x:f>IF(AND(X$3&gt;=EDATE($B$41,-MIN(6,'Вводные'!$E$89)),X$3&lt;$B$41),$B$52/MAX(1,MIN(6,'Вводные'!$E$89)),0)</x:f>
        <x:v>0</x:v>
      </x:c>
      <x:c r="Y52" s="117" t="n">
        <x:f>IF(AND(Y$3&gt;=EDATE($B$41,-MIN(6,'Вводные'!$E$89)),Y$3&lt;$B$41),$B$52/MAX(1,MIN(6,'Вводные'!$E$89)),0)</x:f>
        <x:v>0</x:v>
      </x:c>
      <x:c r="Z52" s="117" t="n">
        <x:f>IF(AND(Z$3&gt;=EDATE($B$41,-MIN(6,'Вводные'!$E$89)),Z$3&lt;$B$41),$B$52/MAX(1,MIN(6,'Вводные'!$E$89)),0)</x:f>
        <x:v>0</x:v>
      </x:c>
      <x:c r="AA52" s="117" t="n">
        <x:f>IF(AND(AA$3&gt;=EDATE($B$41,-MIN(6,'Вводные'!$E$89)),AA$3&lt;$B$41),$B$52/MAX(1,MIN(6,'Вводные'!$E$89)),0)</x:f>
        <x:v>0</x:v>
      </x:c>
      <x:c r="AB52" s="117" t="n">
        <x:f>IF(AND(AB$3&gt;=EDATE($B$41,-MIN(6,'Вводные'!$E$89)),AB$3&lt;$B$41),$B$52/MAX(1,MIN(6,'Вводные'!$E$89)),0)</x:f>
        <x:v>0</x:v>
      </x:c>
      <x:c r="AC52" s="117" t="n">
        <x:f>IF(AND(AC$3&gt;=EDATE($B$41,-MIN(6,'Вводные'!$E$89)),AC$3&lt;$B$41),$B$52/MAX(1,MIN(6,'Вводные'!$E$89)),0)</x:f>
        <x:v>0</x:v>
      </x:c>
      <x:c r="AD52" s="117" t="n">
        <x:f>IF(AND(AD$3&gt;=EDATE($B$41,-MIN(6,'Вводные'!$E$89)),AD$3&lt;$B$41),$B$52/MAX(1,MIN(6,'Вводные'!$E$89)),0)</x:f>
        <x:v>0</x:v>
      </x:c>
      <x:c r="AE52" s="117" t="n">
        <x:f>IF(AND(AE$3&gt;=EDATE($B$41,-MIN(6,'Вводные'!$E$89)),AE$3&lt;$B$41),$B$52/MAX(1,MIN(6,'Вводные'!$E$89)),0)</x:f>
        <x:v>0</x:v>
      </x:c>
      <x:c r="AF52" s="117" t="n">
        <x:f>IF(AND(AF$3&gt;=EDATE($B$41,-MIN(6,'Вводные'!$E$89)),AF$3&lt;$B$41),$B$52/MAX(1,MIN(6,'Вводные'!$E$89)),0)</x:f>
        <x:v>0</x:v>
      </x:c>
      <x:c r="AG52" s="117" t="n">
        <x:f>IF(AND(AG$3&gt;=EDATE($B$41,-MIN(6,'Вводные'!$E$89)),AG$3&lt;$B$41),$B$52/MAX(1,MIN(6,'Вводные'!$E$89)),0)</x:f>
        <x:v>0</x:v>
      </x:c>
      <x:c r="AH52" s="117" t="n">
        <x:f>IF(AND(AH$3&gt;=EDATE($B$41,-MIN(6,'Вводные'!$E$89)),AH$3&lt;$B$41),$B$52/MAX(1,MIN(6,'Вводные'!$E$89)),0)</x:f>
        <x:v>0</x:v>
      </x:c>
      <x:c r="AI52" s="117" t="n">
        <x:f>IF(AND(AI$3&gt;=EDATE($B$41,-MIN(6,'Вводные'!$E$89)),AI$3&lt;$B$41),$B$52/MAX(1,MIN(6,'Вводные'!$E$89)),0)</x:f>
        <x:v>0</x:v>
      </x:c>
      <x:c r="AJ52" s="117" t="n">
        <x:f>IF(AND(AJ$3&gt;=EDATE($B$41,-MIN(6,'Вводные'!$E$89)),AJ$3&lt;$B$41),$B$52/MAX(1,MIN(6,'Вводные'!$E$89)),0)</x:f>
        <x:v>0</x:v>
      </x:c>
      <x:c r="AK52" s="117" t="n">
        <x:f>IF(AND(AK$3&gt;=EDATE($B$41,-MIN(6,'Вводные'!$E$89)),AK$3&lt;$B$41),$B$52/MAX(1,MIN(6,'Вводные'!$E$89)),0)</x:f>
        <x:v>0</x:v>
      </x:c>
      <x:c r="AL52" s="117" t="n">
        <x:f>IF(AND(AL$3&gt;=EDATE($B$41,-MIN(6,'Вводные'!$E$89)),AL$3&lt;$B$41),$B$52/MAX(1,MIN(6,'Вводные'!$E$89)),0)</x:f>
        <x:v>0</x:v>
      </x:c>
      <x:c r="AM52" s="117" t="n">
        <x:f>IF(AND(AM$3&gt;=EDATE($B$41,-MIN(6,'Вводные'!$E$89)),AM$3&lt;$B$41),$B$52/MAX(1,MIN(6,'Вводные'!$E$89)),0)</x:f>
        <x:v>0</x:v>
      </x:c>
      <x:c r="AN52" s="117" t="n">
        <x:f>IF(AND(AN$3&gt;=EDATE($B$41,-MIN(6,'Вводные'!$E$89)),AN$3&lt;$B$41),$B$52/MAX(1,MIN(6,'Вводные'!$E$89)),0)</x:f>
        <x:v>0</x:v>
      </x:c>
      <x:c r="AO52" s="117" t="n">
        <x:f>IF(AND(AO$3&gt;=EDATE($B$41,-MIN(6,'Вводные'!$E$89)),AO$3&lt;$B$41),$B$52/MAX(1,MIN(6,'Вводные'!$E$89)),0)</x:f>
        <x:v>0</x:v>
      </x:c>
      <x:c r="AP52" s="117" t="n">
        <x:f>IF(AND(AP$3&gt;=EDATE($B$41,-MIN(6,'Вводные'!$E$89)),AP$3&lt;$B$41),$B$52/MAX(1,MIN(6,'Вводные'!$E$89)),0)</x:f>
        <x:v>0</x:v>
      </x:c>
      <x:c r="AQ52" s="117" t="n">
        <x:f>IF(AND(AQ$3&gt;=EDATE($B$41,-MIN(6,'Вводные'!$E$89)),AQ$3&lt;$B$41),$B$52/MAX(1,MIN(6,'Вводные'!$E$89)),0)</x:f>
        <x:v>0</x:v>
      </x:c>
      <x:c r="AR52" s="117" t="n">
        <x:f>IF(AND(AR$3&gt;=EDATE($B$41,-MIN(6,'Вводные'!$E$89)),AR$3&lt;$B$41),$B$52/MAX(1,MIN(6,'Вводные'!$E$89)),0)</x:f>
        <x:v>0</x:v>
      </x:c>
      <x:c r="AS52" s="117" t="n">
        <x:f>IF(AND(AS$3&gt;=EDATE($B$41,-MIN(6,'Вводные'!$E$89)),AS$3&lt;$B$41),$B$52/MAX(1,MIN(6,'Вводные'!$E$89)),0)</x:f>
        <x:v>0</x:v>
      </x:c>
      <x:c r="AT52" s="117" t="n">
        <x:f>IF(AND(AT$3&gt;=EDATE($B$41,-MIN(6,'Вводные'!$E$89)),AT$3&lt;$B$41),$B$52/MAX(1,MIN(6,'Вводные'!$E$89)),0)</x:f>
        <x:v>0</x:v>
      </x:c>
      <x:c r="AU52" s="117" t="n">
        <x:f>IF(AND(AU$3&gt;=EDATE($B$41,-MIN(6,'Вводные'!$E$89)),AU$3&lt;$B$41),$B$52/MAX(1,MIN(6,'Вводные'!$E$89)),0)</x:f>
        <x:v>0</x:v>
      </x:c>
      <x:c r="AV52" s="117" t="n">
        <x:f>IF(AND(AV$3&gt;=EDATE($B$41,-MIN(6,'Вводные'!$E$89)),AV$3&lt;$B$41),$B$52/MAX(1,MIN(6,'Вводные'!$E$89)),0)</x:f>
        <x:v>0</x:v>
      </x:c>
      <x:c r="AW52" s="117" t="n">
        <x:f>IF(AND(AW$3&gt;=EDATE($B$41,-MIN(6,'Вводные'!$E$89)),AW$3&lt;$B$41),$B$52/MAX(1,MIN(6,'Вводные'!$E$89)),0)</x:f>
        <x:v>0</x:v>
      </x:c>
      <x:c r="AX52" s="117" t="n">
        <x:f>IF(AND(AX$3&gt;=EDATE($B$41,-MIN(6,'Вводные'!$E$89)),AX$3&lt;$B$41),$B$52/MAX(1,MIN(6,'Вводные'!$E$89)),0)</x:f>
        <x:v>0</x:v>
      </x:c>
      <x:c r="AY52" s="117" t="n">
        <x:f>IF(AND(AY$3&gt;=EDATE($B$41,-MIN(6,'Вводные'!$E$89)),AY$3&lt;$B$41),$B$52/MAX(1,MIN(6,'Вводные'!$E$89)),0)</x:f>
        <x:v>0</x:v>
      </x:c>
      <x:c r="AZ52" s="117" t="n">
        <x:f>IF(AND(AZ$3&gt;=EDATE($B$41,-MIN(6,'Вводные'!$E$89)),AZ$3&lt;$B$41),$B$52/MAX(1,MIN(6,'Вводные'!$E$89)),0)</x:f>
        <x:v>0</x:v>
      </x:c>
      <x:c r="BA52" s="117" t="n">
        <x:f>IF(AND(BA$3&gt;=EDATE($B$41,-MIN(6,'Вводные'!$E$89)),BA$3&lt;$B$41),$B$52/MAX(1,MIN(6,'Вводные'!$E$89)),0)</x:f>
        <x:v>0</x:v>
      </x:c>
      <x:c r="BB52" s="117" t="n">
        <x:f>IF(AND(BB$3&gt;=EDATE($B$41,-MIN(6,'Вводные'!$E$89)),BB$3&lt;$B$41),$B$52/MAX(1,MIN(6,'Вводные'!$E$89)),0)</x:f>
        <x:v>0</x:v>
      </x:c>
      <x:c r="BC52" s="117" t="n">
        <x:f>IF(AND(BC$3&gt;=EDATE($B$41,-MIN(6,'Вводные'!$E$89)),BC$3&lt;$B$41),$B$52/MAX(1,MIN(6,'Вводные'!$E$89)),0)</x:f>
        <x:v>0</x:v>
      </x:c>
      <x:c r="BD52" s="117" t="n">
        <x:f>IF(AND(BD$3&gt;=EDATE($B$41,-MIN(6,'Вводные'!$E$89)),BD$3&lt;$B$41),$B$52/MAX(1,MIN(6,'Вводные'!$E$89)),0)</x:f>
        <x:v>0</x:v>
      </x:c>
      <x:c r="BE52" s="117" t="n">
        <x:f>IF(AND(BE$3&gt;=EDATE($B$41,-MIN(6,'Вводные'!$E$89)),BE$3&lt;$B$41),$B$52/MAX(1,MIN(6,'Вводные'!$E$89)),0)</x:f>
        <x:v>0</x:v>
      </x:c>
      <x:c r="BF52" s="117" t="n">
        <x:f>IF(AND(BF$3&gt;=EDATE($B$41,-MIN(6,'Вводные'!$E$89)),BF$3&lt;$B$41),$B$52/MAX(1,MIN(6,'Вводные'!$E$89)),0)</x:f>
        <x:v>0</x:v>
      </x:c>
      <x:c r="BG52" s="117" t="n">
        <x:f>IF(AND(BG$3&gt;=EDATE($B$41,-MIN(6,'Вводные'!$E$89)),BG$3&lt;$B$41),$B$52/MAX(1,MIN(6,'Вводные'!$E$89)),0)</x:f>
        <x:v>0</x:v>
      </x:c>
      <x:c r="BH52" s="117" t="n">
        <x:f>IF(AND(BH$3&gt;=EDATE($B$41,-MIN(6,'Вводные'!$E$89)),BH$3&lt;$B$41),$B$52/MAX(1,MIN(6,'Вводные'!$E$89)),0)</x:f>
        <x:v>0</x:v>
      </x:c>
      <x:c r="BI52" s="117" t="n">
        <x:f>IF(AND(BI$3&gt;=EDATE($B$41,-MIN(6,'Вводные'!$E$89)),BI$3&lt;$B$41),$B$52/MAX(1,MIN(6,'Вводные'!$E$89)),0)</x:f>
        <x:v>0</x:v>
      </x:c>
      <x:c r="BJ52" s="117" t="n">
        <x:f>IF(AND(BJ$3&gt;=EDATE($B$41,-MIN(6,'Вводные'!$E$89)),BJ$3&lt;$B$41),$B$52/MAX(1,MIN(6,'Вводные'!$E$89)),0)</x:f>
        <x:v>0</x:v>
      </x:c>
      <x:c r="BK52" s="117" t="n">
        <x:f>IF(AND(BK$3&gt;=EDATE($B$41,-MIN(6,'Вводные'!$E$89)),BK$3&lt;$B$41),$B$52/MAX(1,MIN(6,'Вводные'!$E$89)),0)</x:f>
        <x:v>0</x:v>
      </x:c>
      <x:c r="BL52" s="117" t="n">
        <x:f>IF(AND(BL$3&gt;=EDATE($B$41,-MIN(6,'Вводные'!$E$89)),BL$3&lt;$B$41),$B$52/MAX(1,MIN(6,'Вводные'!$E$89)),0)</x:f>
        <x:v>0</x:v>
      </x:c>
      <x:c r="BM52" s="117" t="n">
        <x:f>IF(AND(BM$3&gt;=EDATE($B$41,-MIN(6,'Вводные'!$E$89)),BM$3&lt;$B$41),$B$52/MAX(1,MIN(6,'Вводные'!$E$89)),0)</x:f>
        <x:v>0</x:v>
      </x:c>
      <x:c r="BN52" s="117" t="n">
        <x:f>IF(AND(BN$3&gt;=EDATE($B$41,-MIN(6,'Вводные'!$E$89)),BN$3&lt;$B$41),$B$52/MAX(1,MIN(6,'Вводные'!$E$89)),0)</x:f>
        <x:v>0</x:v>
      </x:c>
      <x:c r="BO52" s="117" t="n">
        <x:f>IF(AND(BO$3&gt;=EDATE($B$41,-MIN(6,'Вводные'!$E$89)),BO$3&lt;$B$41),$B$52/MAX(1,MIN(6,'Вводные'!$E$89)),0)</x:f>
        <x:v>0</x:v>
      </x:c>
      <x:c r="BP52" s="117" t="n">
        <x:f>IF(AND(BP$3&gt;=EDATE($B$41,-MIN(6,'Вводные'!$E$89)),BP$3&lt;$B$41),$B$52/MAX(1,MIN(6,'Вводные'!$E$89)),0)</x:f>
        <x:v>0</x:v>
      </x:c>
      <x:c r="BQ52" s="117" t="n">
        <x:f>IF(AND(BQ$3&gt;=EDATE($B$41,-MIN(6,'Вводные'!$E$89)),BQ$3&lt;$B$41),$B$52/MAX(1,MIN(6,'Вводные'!$E$89)),0)</x:f>
        <x:v>0</x:v>
      </x:c>
      <x:c r="BR52" s="117" t="n">
        <x:f>IF(AND(BR$3&gt;=EDATE($B$41,-MIN(6,'Вводные'!$E$89)),BR$3&lt;$B$41),$B$52/MAX(1,MIN(6,'Вводные'!$E$89)),0)</x:f>
        <x:v>0</x:v>
      </x:c>
      <x:c r="BS52" s="117" t="n">
        <x:f>IF(AND(BS$3&gt;=EDATE($B$41,-MIN(6,'Вводные'!$E$89)),BS$3&lt;$B$41),$B$52/MAX(1,MIN(6,'Вводные'!$E$89)),0)</x:f>
        <x:v>0</x:v>
      </x:c>
      <x:c r="BT52" s="117" t="n">
        <x:f>IF(AND(BT$3&gt;=EDATE($B$41,-MIN(6,'Вводные'!$E$89)),BT$3&lt;$B$41),$B$52/MAX(1,MIN(6,'Вводные'!$E$89)),0)</x:f>
        <x:v>0</x:v>
      </x:c>
      <x:c r="BU52" s="117" t="n">
        <x:f>IF(AND(BU$3&gt;=EDATE($B$41,-MIN(6,'Вводные'!$E$89)),BU$3&lt;$B$41),$B$52/MAX(1,MIN(6,'Вводные'!$E$89)),0)</x:f>
        <x:v>0</x:v>
      </x:c>
      <x:c r="BV52" s="117" t="n">
        <x:f>IF(AND(BV$3&gt;=EDATE($B$41,-MIN(6,'Вводные'!$E$89)),BV$3&lt;$B$41),$B$52/MAX(1,MIN(6,'Вводные'!$E$89)),0)</x:f>
        <x:v>0</x:v>
      </x:c>
      <x:c r="BW52" s="117" t="n">
        <x:f>IF(AND(BW$3&gt;=EDATE($B$41,-MIN(6,'Вводные'!$E$89)),BW$3&lt;$B$41),$B$52/MAX(1,MIN(6,'Вводные'!$E$89)),0)</x:f>
        <x:v>0</x:v>
      </x:c>
      <x:c r="BX52" s="117" t="n">
        <x:f>IF(AND(BX$3&gt;=EDATE($B$41,-MIN(6,'Вводные'!$E$89)),BX$3&lt;$B$41),$B$52/MAX(1,MIN(6,'Вводные'!$E$89)),0)</x:f>
        <x:v>0</x:v>
      </x:c>
      <x:c r="BY52" s="117" t="n">
        <x:f>IF(AND(BY$3&gt;=EDATE($B$41,-MIN(6,'Вводные'!$E$89)),BY$3&lt;$B$41),$B$52/MAX(1,MIN(6,'Вводные'!$E$89)),0)</x:f>
        <x:v>0</x:v>
      </x:c>
      <x:c r="BZ52" s="117" t="n">
        <x:f>IF(AND(BZ$3&gt;=EDATE($B$41,-MIN(6,'Вводные'!$E$89)),BZ$3&lt;$B$41),$B$52/MAX(1,MIN(6,'Вводные'!$E$89)),0)</x:f>
        <x:v>0</x:v>
      </x:c>
      <x:c r="CA52" s="117" t="n">
        <x:f>IF(AND(CA$3&gt;=EDATE($B$41,-MIN(6,'Вводные'!$E$89)),CA$3&lt;$B$41),$B$52/MAX(1,MIN(6,'Вводные'!$E$89)),0)</x:f>
        <x:v>0</x:v>
      </x:c>
      <x:c r="CB52" s="117" t="n">
        <x:f>IF(AND(CB$3&gt;=EDATE($B$41,-MIN(6,'Вводные'!$E$89)),CB$3&lt;$B$41),$B$52/MAX(1,MIN(6,'Вводные'!$E$89)),0)</x:f>
        <x:v>0</x:v>
      </x:c>
      <x:c r="CC52" s="117" t="n">
        <x:f>IF(AND(CC$3&gt;=EDATE($B$41,-MIN(6,'Вводные'!$E$89)),CC$3&lt;$B$41),$B$52/MAX(1,MIN(6,'Вводные'!$E$89)),0)</x:f>
        <x:v>0</x:v>
      </x:c>
      <x:c r="CD52" s="117" t="n">
        <x:f>IF(AND(CD$3&gt;=EDATE($B$41,-MIN(6,'Вводные'!$E$89)),CD$3&lt;$B$41),$B$52/MAX(1,MIN(6,'Вводные'!$E$89)),0)</x:f>
        <x:v>0</x:v>
      </x:c>
      <x:c r="CE52" s="117" t="n">
        <x:f>IF(AND(CE$3&gt;=EDATE($B$41,-MIN(6,'Вводные'!$E$89)),CE$3&lt;$B$41),$B$52/MAX(1,MIN(6,'Вводные'!$E$89)),0)</x:f>
        <x:v>0</x:v>
      </x:c>
      <x:c r="CF52" s="117" t="n">
        <x:f>IF(AND(CF$3&gt;=EDATE($B$41,-MIN(6,'Вводные'!$E$89)),CF$3&lt;$B$41),$B$52/MAX(1,MIN(6,'Вводные'!$E$89)),0)</x:f>
        <x:v>0</x:v>
      </x:c>
      <x:c r="CG52" s="117" t="n">
        <x:f>IF(AND(CG$3&gt;=EDATE($B$41,-MIN(6,'Вводные'!$E$89)),CG$3&lt;$B$41),$B$52/MAX(1,MIN(6,'Вводные'!$E$89)),0)</x:f>
        <x:v>0</x:v>
      </x:c>
      <x:c r="CH52" s="117" t="n">
        <x:f>IF(AND(CH$3&gt;=EDATE($B$41,-MIN(6,'Вводные'!$E$89)),CH$3&lt;$B$41),$B$52/MAX(1,MIN(6,'Вводные'!$E$89)),0)</x:f>
        <x:v>0</x:v>
      </x:c>
      <x:c r="CI52" s="117" t="n">
        <x:f>IF(AND(CI$3&gt;=EDATE($B$41,-MIN(6,'Вводные'!$E$89)),CI$3&lt;$B$41),$B$52/MAX(1,MIN(6,'Вводные'!$E$89)),0)</x:f>
        <x:v>0</x:v>
      </x:c>
      <x:c r="CJ52" s="117" t="n">
        <x:f>IF(AND(CJ$3&gt;=EDATE($B$41,-MIN(6,'Вводные'!$E$89)),CJ$3&lt;$B$41),$B$52/MAX(1,MIN(6,'Вводные'!$E$89)),0)</x:f>
        <x:v>0</x:v>
      </x:c>
      <x:c r="CK52" s="117" t="n">
        <x:f>IF(AND(CK$3&gt;=EDATE($B$41,-MIN(6,'Вводные'!$E$89)),CK$3&lt;$B$41),$B$52/MAX(1,MIN(6,'Вводные'!$E$89)),0)</x:f>
        <x:v>0</x:v>
      </x:c>
      <x:c r="CL52" s="117" t="n">
        <x:f>IF(AND(CL$3&gt;=EDATE($B$41,-MIN(6,'Вводные'!$E$89)),CL$3&lt;$B$41),$B$52/MAX(1,MIN(6,'Вводные'!$E$89)),0)</x:f>
        <x:v>0</x:v>
      </x:c>
      <x:c r="CM52" s="117" t="n">
        <x:f>IF(AND(CM$3&gt;=EDATE($B$41,-MIN(6,'Вводные'!$E$89)),CM$3&lt;$B$41),$B$52/MAX(1,MIN(6,'Вводные'!$E$89)),0)</x:f>
        <x:v>0</x:v>
      </x:c>
      <x:c r="CN52" s="117" t="n">
        <x:f>IF(AND(CN$3&gt;=EDATE($B$41,-MIN(6,'Вводные'!$E$89)),CN$3&lt;$B$41),$B$52/MAX(1,MIN(6,'Вводные'!$E$89)),0)</x:f>
        <x:v>0</x:v>
      </x:c>
      <x:c r="CO52" s="117" t="n">
        <x:f>IF(AND(CO$3&gt;=EDATE($B$41,-MIN(6,'Вводные'!$E$89)),CO$3&lt;$B$41),$B$52/MAX(1,MIN(6,'Вводные'!$E$89)),0)</x:f>
        <x:v>0</x:v>
      </x:c>
      <x:c r="CP52" s="117" t="n">
        <x:f>IF(AND(CP$3&gt;=EDATE($B$41,-MIN(6,'Вводные'!$E$89)),CP$3&lt;$B$41),$B$52/MAX(1,MIN(6,'Вводные'!$E$89)),0)</x:f>
        <x:v>0</x:v>
      </x:c>
      <x:c r="CQ52" s="117" t="n">
        <x:f>IF(AND(CQ$3&gt;=EDATE($B$41,-MIN(6,'Вводные'!$E$89)),CQ$3&lt;$B$41),$B$52/MAX(1,MIN(6,'Вводные'!$E$89)),0)</x:f>
        <x:v>0</x:v>
      </x:c>
      <x:c r="CR52" s="117" t="n">
        <x:f>IF(AND(CR$3&gt;=EDATE($B$41,-MIN(6,'Вводные'!$E$89)),CR$3&lt;$B$41),$B$52/MAX(1,MIN(6,'Вводные'!$E$89)),0)</x:f>
        <x:v>0</x:v>
      </x:c>
      <x:c r="CS52" s="117" t="n">
        <x:f>IF(AND(CS$3&gt;=EDATE($B$41,-MIN(6,'Вводные'!$E$89)),CS$3&lt;$B$41),$B$52/MAX(1,MIN(6,'Вводные'!$E$89)),0)</x:f>
        <x:v>0</x:v>
      </x:c>
      <x:c r="CT52" s="117" t="n">
        <x:f>IF(AND(CT$3&gt;=EDATE($B$41,-MIN(6,'Вводные'!$E$89)),CT$3&lt;$B$41),$B$52/MAX(1,MIN(6,'Вводные'!$E$89)),0)</x:f>
        <x:v>0</x:v>
      </x:c>
      <x:c r="CU52" s="117" t="n">
        <x:f>IF(AND(CU$3&gt;=EDATE($B$41,-MIN(6,'Вводные'!$E$89)),CU$3&lt;$B$41),$B$52/MAX(1,MIN(6,'Вводные'!$E$89)),0)</x:f>
        <x:v>0</x:v>
      </x:c>
      <x:c r="CV52" s="117" t="n">
        <x:f>IF(AND(CV$3&gt;=EDATE($B$41,-MIN(6,'Вводные'!$E$89)),CV$3&lt;$B$41),$B$52/MAX(1,MIN(6,'Вводные'!$E$89)),0)</x:f>
        <x:v>0</x:v>
      </x:c>
      <x:c r="CW52" s="117" t="n">
        <x:f>IF(AND(CW$3&gt;=EDATE($B$41,-MIN(6,'Вводные'!$E$89)),CW$3&lt;$B$41),$B$52/MAX(1,MIN(6,'Вводные'!$E$89)),0)</x:f>
        <x:v>0</x:v>
      </x:c>
      <x:c r="CX52" s="117" t="n">
        <x:f>IF(AND(CX$3&gt;=EDATE($B$41,-MIN(6,'Вводные'!$E$89)),CX$3&lt;$B$41),$B$52/MAX(1,MIN(6,'Вводные'!$E$89)),0)</x:f>
        <x:v>0</x:v>
      </x:c>
      <x:c r="CY52" s="117" t="n">
        <x:f>IF(AND(CY$3&gt;=EDATE($B$41,-MIN(6,'Вводные'!$E$89)),CY$3&lt;$B$41),$B$52/MAX(1,MIN(6,'Вводные'!$E$89)),0)</x:f>
        <x:v>0</x:v>
      </x:c>
      <x:c r="CZ52" s="117" t="n">
        <x:f>IF(AND(CZ$3&gt;=EDATE($B$41,-MIN(6,'Вводные'!$E$89)),CZ$3&lt;$B$41),$B$52/MAX(1,MIN(6,'Вводные'!$E$89)),0)</x:f>
        <x:v>0</x:v>
      </x:c>
      <x:c r="DA52" s="117" t="n">
        <x:f>IF(AND(DA$3&gt;=EDATE($B$41,-MIN(6,'Вводные'!$E$89)),DA$3&lt;$B$41),$B$52/MAX(1,MIN(6,'Вводные'!$E$89)),0)</x:f>
        <x:v>0</x:v>
      </x:c>
      <x:c r="DB52" s="117" t="n">
        <x:f>IF(AND(DB$3&gt;=EDATE($B$41,-MIN(6,'Вводные'!$E$89)),DB$3&lt;$B$41),$B$52/MAX(1,MIN(6,'Вводные'!$E$89)),0)</x:f>
        <x:v>0</x:v>
      </x:c>
      <x:c r="DC52" s="117" t="n">
        <x:f>IF(AND(DC$3&gt;=EDATE($B$41,-MIN(6,'Вводные'!$E$89)),DC$3&lt;$B$41),$B$52/MAX(1,MIN(6,'Вводные'!$E$89)),0)</x:f>
        <x:v>0</x:v>
      </x:c>
      <x:c r="DD52" s="117" t="n">
        <x:f>IF(AND(DD$3&gt;=EDATE($B$41,-MIN(6,'Вводные'!$E$89)),DD$3&lt;$B$41),$B$52/MAX(1,MIN(6,'Вводные'!$E$89)),0)</x:f>
        <x:v>0</x:v>
      </x:c>
      <x:c r="DE52" s="117" t="n">
        <x:f>IF(AND(DE$3&gt;=EDATE($B$41,-MIN(6,'Вводные'!$E$89)),DE$3&lt;$B$41),$B$52/MAX(1,MIN(6,'Вводные'!$E$89)),0)</x:f>
        <x:v>0</x:v>
      </x:c>
      <x:c r="DF52" s="117" t="n">
        <x:f>IF(AND(DF$3&gt;=EDATE($B$41,-MIN(6,'Вводные'!$E$89)),DF$3&lt;$B$41),$B$52/MAX(1,MIN(6,'Вводные'!$E$89)),0)</x:f>
        <x:v>0</x:v>
      </x:c>
      <x:c r="DG52" s="117" t="n">
        <x:f>IF(AND(DG$3&gt;=EDATE($B$41,-MIN(6,'Вводные'!$E$89)),DG$3&lt;$B$41),$B$52/MAX(1,MIN(6,'Вводные'!$E$89)),0)</x:f>
        <x:v>0</x:v>
      </x:c>
      <x:c r="DH52" s="117" t="n">
        <x:f>IF(AND(DH$3&gt;=EDATE($B$41,-MIN(6,'Вводные'!$E$89)),DH$3&lt;$B$41),$B$52/MAX(1,MIN(6,'Вводные'!$E$89)),0)</x:f>
        <x:v>0</x:v>
      </x:c>
      <x:c r="DI52" s="117" t="n">
        <x:f>IF(AND(DI$3&gt;=EDATE($B$41,-MIN(6,'Вводные'!$E$89)),DI$3&lt;$B$41),$B$52/MAX(1,MIN(6,'Вводные'!$E$89)),0)</x:f>
        <x:v>0</x:v>
      </x:c>
      <x:c r="DJ52" s="117" t="n">
        <x:f>IF(AND(DJ$3&gt;=EDATE($B$41,-MIN(6,'Вводные'!$E$89)),DJ$3&lt;$B$41),$B$52/MAX(1,MIN(6,'Вводные'!$E$89)),0)</x:f>
        <x:v>0</x:v>
      </x:c>
      <x:c r="DK52" s="117" t="n">
        <x:f>IF(AND(DK$3&gt;=EDATE($B$41,-MIN(6,'Вводные'!$E$89)),DK$3&lt;$B$41),$B$52/MAX(1,MIN(6,'Вводные'!$E$89)),0)</x:f>
        <x:v>0</x:v>
      </x:c>
      <x:c r="DL52" s="117" t="n">
        <x:f>IF(AND(DL$3&gt;=EDATE($B$41,-MIN(6,'Вводные'!$E$89)),DL$3&lt;$B$41),$B$52/MAX(1,MIN(6,'Вводные'!$E$89)),0)</x:f>
        <x:v>0</x:v>
      </x:c>
      <x:c r="DM52" s="117" t="n">
        <x:f>IF(AND(DM$3&gt;=EDATE($B$41,-MIN(6,'Вводные'!$E$89)),DM$3&lt;$B$41),$B$52/MAX(1,MIN(6,'Вводные'!$E$89)),0)</x:f>
        <x:v>0</x:v>
      </x:c>
      <x:c r="DN52" s="117" t="n">
        <x:f>IF(AND(DN$3&gt;=EDATE($B$41,-MIN(6,'Вводные'!$E$89)),DN$3&lt;$B$41),$B$52/MAX(1,MIN(6,'Вводные'!$E$89)),0)</x:f>
        <x:v>0</x:v>
      </x:c>
      <x:c r="DO52" s="117" t="n">
        <x:f>IF(AND(DO$3&gt;=EDATE($B$41,-MIN(6,'Вводные'!$E$89)),DO$3&lt;$B$41),$B$52/MAX(1,MIN(6,'Вводные'!$E$89)),0)</x:f>
        <x:v>0</x:v>
      </x:c>
      <x:c r="DP52" s="117" t="n">
        <x:f>IF(AND(DP$3&gt;=EDATE($B$41,-MIN(6,'Вводные'!$E$89)),DP$3&lt;$B$41),$B$52/MAX(1,MIN(6,'Вводные'!$E$89)),0)</x:f>
        <x:v>0</x:v>
      </x:c>
      <x:c r="DQ52" s="117" t="n">
        <x:f>IF(AND(DQ$3&gt;=EDATE($B$41,-MIN(6,'Вводные'!$E$89)),DQ$3&lt;$B$41),$B$52/MAX(1,MIN(6,'Вводные'!$E$89)),0)</x:f>
        <x:v>0</x:v>
      </x:c>
      <x:c r="DR52" s="117" t="n">
        <x:f>IF(AND(DR$3&gt;=EDATE($B$41,-MIN(6,'Вводные'!$E$89)),DR$3&lt;$B$41),$B$52/MAX(1,MIN(6,'Вводные'!$E$89)),0)</x:f>
        <x:v>0</x:v>
      </x:c>
      <x:c r="DS52" s="117" t="n">
        <x:f>IF(AND(DS$3&gt;=EDATE($B$41,-MIN(6,'Вводные'!$E$89)),DS$3&lt;$B$41),$B$52/MAX(1,MIN(6,'Вводные'!$E$89)),0)</x:f>
        <x:v>0</x:v>
      </x:c>
    </x:row>
    <x:row r="53">
      <x:c r="A53" t="str">
        <x:v>Авторский надзор</x:v>
      </x:c>
      <x:c r="B53" s="107" t="n">
        <x:f>SUM(B51:B52)*'Вводные'!$B$51</x:f>
        <x:v>0</x:v>
      </x:c>
      <x:c r="C53" t="str">
        <x:v>млн ₽</x:v>
      </x:c>
      <x:c r="D53" s="117" t="n">
        <x:f>$B$53*D47</x:f>
        <x:v>0</x:v>
      </x:c>
      <x:c r="E53" s="117" t="n">
        <x:f>$B$53*E47</x:f>
        <x:v>0</x:v>
      </x:c>
      <x:c r="F53" s="117" t="n">
        <x:f>$B$53*F47</x:f>
        <x:v>0</x:v>
      </x:c>
      <x:c r="G53" s="117" t="n">
        <x:f>$B$53*G47</x:f>
        <x:v>0</x:v>
      </x:c>
      <x:c r="H53" s="117" t="n">
        <x:f>$B$53*H47</x:f>
        <x:v>0</x:v>
      </x:c>
      <x:c r="I53" s="117" t="n">
        <x:f>$B$53*I47</x:f>
        <x:v>0</x:v>
      </x:c>
      <x:c r="J53" s="117" t="n">
        <x:f>$B$53*J47</x:f>
        <x:v>0</x:v>
      </x:c>
      <x:c r="K53" s="117" t="n">
        <x:f>$B$53*K47</x:f>
        <x:v>0</x:v>
      </x:c>
      <x:c r="L53" s="117" t="n">
        <x:f>$B$53*L47</x:f>
        <x:v>0</x:v>
      </x:c>
      <x:c r="M53" s="117" t="n">
        <x:f>$B$53*M47</x:f>
        <x:v>0</x:v>
      </x:c>
      <x:c r="N53" s="117" t="n">
        <x:f>$B$53*N47</x:f>
        <x:v>0</x:v>
      </x:c>
      <x:c r="O53" s="117" t="n">
        <x:f>$B$53*O47</x:f>
        <x:v>0</x:v>
      </x:c>
      <x:c r="P53" s="117" t="n">
        <x:f>$B$53*P47</x:f>
        <x:v>0</x:v>
      </x:c>
      <x:c r="Q53" s="117" t="n">
        <x:f>$B$53*Q47</x:f>
        <x:v>0</x:v>
      </x:c>
      <x:c r="R53" s="117" t="n">
        <x:f>$B$53*R47</x:f>
        <x:v>0</x:v>
      </x:c>
      <x:c r="S53" s="117" t="n">
        <x:f>$B$53*S47</x:f>
        <x:v>0</x:v>
      </x:c>
      <x:c r="T53" s="117" t="n">
        <x:f>$B$53*T47</x:f>
        <x:v>0</x:v>
      </x:c>
      <x:c r="U53" s="117" t="n">
        <x:f>$B$53*U47</x:f>
        <x:v>0</x:v>
      </x:c>
      <x:c r="V53" s="117" t="n">
        <x:f>$B$53*V47</x:f>
        <x:v>0</x:v>
      </x:c>
      <x:c r="W53" s="117" t="n">
        <x:f>$B$53*W47</x:f>
        <x:v>0</x:v>
      </x:c>
      <x:c r="X53" s="117" t="n">
        <x:f>$B$53*X47</x:f>
        <x:v>0</x:v>
      </x:c>
      <x:c r="Y53" s="117" t="n">
        <x:f>$B$53*Y47</x:f>
        <x:v>0</x:v>
      </x:c>
      <x:c r="Z53" s="117" t="n">
        <x:f>$B$53*Z47</x:f>
        <x:v>0</x:v>
      </x:c>
      <x:c r="AA53" s="117" t="n">
        <x:f>$B$53*AA47</x:f>
        <x:v>0</x:v>
      </x:c>
      <x:c r="AB53" s="117" t="n">
        <x:f>$B$53*AB47</x:f>
        <x:v>0</x:v>
      </x:c>
      <x:c r="AC53" s="117" t="n">
        <x:f>$B$53*AC47</x:f>
        <x:v>0</x:v>
      </x:c>
      <x:c r="AD53" s="117" t="n">
        <x:f>$B$53*AD47</x:f>
        <x:v>0</x:v>
      </x:c>
      <x:c r="AE53" s="117" t="n">
        <x:f>$B$53*AE47</x:f>
        <x:v>0</x:v>
      </x:c>
      <x:c r="AF53" s="117" t="n">
        <x:f>$B$53*AF47</x:f>
        <x:v>0</x:v>
      </x:c>
      <x:c r="AG53" s="117" t="n">
        <x:f>$B$53*AG47</x:f>
        <x:v>0</x:v>
      </x:c>
      <x:c r="AH53" s="117" t="n">
        <x:f>$B$53*AH47</x:f>
        <x:v>0</x:v>
      </x:c>
      <x:c r="AI53" s="117" t="n">
        <x:f>$B$53*AI47</x:f>
        <x:v>0</x:v>
      </x:c>
      <x:c r="AJ53" s="117" t="n">
        <x:f>$B$53*AJ47</x:f>
        <x:v>0</x:v>
      </x:c>
      <x:c r="AK53" s="117" t="n">
        <x:f>$B$53*AK47</x:f>
        <x:v>0</x:v>
      </x:c>
      <x:c r="AL53" s="117" t="n">
        <x:f>$B$53*AL47</x:f>
        <x:v>0</x:v>
      </x:c>
      <x:c r="AM53" s="117" t="n">
        <x:f>$B$53*AM47</x:f>
        <x:v>0</x:v>
      </x:c>
      <x:c r="AN53" s="117" t="n">
        <x:f>$B$53*AN47</x:f>
        <x:v>0</x:v>
      </x:c>
      <x:c r="AO53" s="117" t="n">
        <x:f>$B$53*AO47</x:f>
        <x:v>0</x:v>
      </x:c>
      <x:c r="AP53" s="117" t="n">
        <x:f>$B$53*AP47</x:f>
        <x:v>0</x:v>
      </x:c>
      <x:c r="AQ53" s="117" t="n">
        <x:f>$B$53*AQ47</x:f>
        <x:v>0</x:v>
      </x:c>
      <x:c r="AR53" s="117" t="n">
        <x:f>$B$53*AR47</x:f>
        <x:v>0</x:v>
      </x:c>
      <x:c r="AS53" s="117" t="n">
        <x:f>$B$53*AS47</x:f>
        <x:v>0</x:v>
      </x:c>
      <x:c r="AT53" s="117" t="n">
        <x:f>$B$53*AT47</x:f>
        <x:v>0</x:v>
      </x:c>
      <x:c r="AU53" s="117" t="n">
        <x:f>$B$53*AU47</x:f>
        <x:v>0</x:v>
      </x:c>
      <x:c r="AV53" s="117" t="n">
        <x:f>$B$53*AV47</x:f>
        <x:v>0</x:v>
      </x:c>
      <x:c r="AW53" s="117" t="n">
        <x:f>$B$53*AW47</x:f>
        <x:v>0</x:v>
      </x:c>
      <x:c r="AX53" s="117" t="n">
        <x:f>$B$53*AX47</x:f>
        <x:v>0</x:v>
      </x:c>
      <x:c r="AY53" s="117" t="n">
        <x:f>$B$53*AY47</x:f>
        <x:v>0</x:v>
      </x:c>
      <x:c r="AZ53" s="117" t="n">
        <x:f>$B$53*AZ47</x:f>
        <x:v>0</x:v>
      </x:c>
      <x:c r="BA53" s="117" t="n">
        <x:f>$B$53*BA47</x:f>
        <x:v>0</x:v>
      </x:c>
      <x:c r="BB53" s="117" t="n">
        <x:f>$B$53*BB47</x:f>
        <x:v>0</x:v>
      </x:c>
      <x:c r="BC53" s="117" t="n">
        <x:f>$B$53*BC47</x:f>
        <x:v>0</x:v>
      </x:c>
      <x:c r="BD53" s="117" t="n">
        <x:f>$B$53*BD47</x:f>
        <x:v>0</x:v>
      </x:c>
      <x:c r="BE53" s="117" t="n">
        <x:f>$B$53*BE47</x:f>
        <x:v>0</x:v>
      </x:c>
      <x:c r="BF53" s="117" t="n">
        <x:f>$B$53*BF47</x:f>
        <x:v>0</x:v>
      </x:c>
      <x:c r="BG53" s="117" t="n">
        <x:f>$B$53*BG47</x:f>
        <x:v>0</x:v>
      </x:c>
      <x:c r="BH53" s="117" t="n">
        <x:f>$B$53*BH47</x:f>
        <x:v>0</x:v>
      </x:c>
      <x:c r="BI53" s="117" t="n">
        <x:f>$B$53*BI47</x:f>
        <x:v>0</x:v>
      </x:c>
      <x:c r="BJ53" s="117" t="n">
        <x:f>$B$53*BJ47</x:f>
        <x:v>0</x:v>
      </x:c>
      <x:c r="BK53" s="117" t="n">
        <x:f>$B$53*BK47</x:f>
        <x:v>0</x:v>
      </x:c>
      <x:c r="BL53" s="117" t="n">
        <x:f>$B$53*BL47</x:f>
        <x:v>0</x:v>
      </x:c>
      <x:c r="BM53" s="117" t="n">
        <x:f>$B$53*BM47</x:f>
        <x:v>0</x:v>
      </x:c>
      <x:c r="BN53" s="117" t="n">
        <x:f>$B$53*BN47</x:f>
        <x:v>0</x:v>
      </x:c>
      <x:c r="BO53" s="117" t="n">
        <x:f>$B$53*BO47</x:f>
        <x:v>0</x:v>
      </x:c>
      <x:c r="BP53" s="117" t="n">
        <x:f>$B$53*BP47</x:f>
        <x:v>0</x:v>
      </x:c>
      <x:c r="BQ53" s="117" t="n">
        <x:f>$B$53*BQ47</x:f>
        <x:v>0</x:v>
      </x:c>
      <x:c r="BR53" s="117" t="n">
        <x:f>$B$53*BR47</x:f>
        <x:v>0</x:v>
      </x:c>
      <x:c r="BS53" s="117" t="n">
        <x:f>$B$53*BS47</x:f>
        <x:v>0</x:v>
      </x:c>
      <x:c r="BT53" s="117" t="n">
        <x:f>$B$53*BT47</x:f>
        <x:v>0</x:v>
      </x:c>
      <x:c r="BU53" s="117" t="n">
        <x:f>$B$53*BU47</x:f>
        <x:v>0</x:v>
      </x:c>
      <x:c r="BV53" s="117" t="n">
        <x:f>$B$53*BV47</x:f>
        <x:v>0</x:v>
      </x:c>
      <x:c r="BW53" s="117" t="n">
        <x:f>$B$53*BW47</x:f>
        <x:v>0</x:v>
      </x:c>
      <x:c r="BX53" s="117" t="n">
        <x:f>$B$53*BX47</x:f>
        <x:v>0</x:v>
      </x:c>
      <x:c r="BY53" s="117" t="n">
        <x:f>$B$53*BY47</x:f>
        <x:v>0</x:v>
      </x:c>
      <x:c r="BZ53" s="117" t="n">
        <x:f>$B$53*BZ47</x:f>
        <x:v>0</x:v>
      </x:c>
      <x:c r="CA53" s="117" t="n">
        <x:f>$B$53*CA47</x:f>
        <x:v>0</x:v>
      </x:c>
      <x:c r="CB53" s="117" t="n">
        <x:f>$B$53*CB47</x:f>
        <x:v>0</x:v>
      </x:c>
      <x:c r="CC53" s="117" t="n">
        <x:f>$B$53*CC47</x:f>
        <x:v>0</x:v>
      </x:c>
      <x:c r="CD53" s="117" t="n">
        <x:f>$B$53*CD47</x:f>
        <x:v>0</x:v>
      </x:c>
      <x:c r="CE53" s="117" t="n">
        <x:f>$B$53*CE47</x:f>
        <x:v>0</x:v>
      </x:c>
      <x:c r="CF53" s="117" t="n">
        <x:f>$B$53*CF47</x:f>
        <x:v>0</x:v>
      </x:c>
      <x:c r="CG53" s="117" t="n">
        <x:f>$B$53*CG47</x:f>
        <x:v>0</x:v>
      </x:c>
      <x:c r="CH53" s="117" t="n">
        <x:f>$B$53*CH47</x:f>
        <x:v>0</x:v>
      </x:c>
      <x:c r="CI53" s="117" t="n">
        <x:f>$B$53*CI47</x:f>
        <x:v>0</x:v>
      </x:c>
      <x:c r="CJ53" s="117" t="n">
        <x:f>$B$53*CJ47</x:f>
        <x:v>0</x:v>
      </x:c>
      <x:c r="CK53" s="117" t="n">
        <x:f>$B$53*CK47</x:f>
        <x:v>0</x:v>
      </x:c>
      <x:c r="CL53" s="117" t="n">
        <x:f>$B$53*CL47</x:f>
        <x:v>0</x:v>
      </x:c>
      <x:c r="CM53" s="117" t="n">
        <x:f>$B$53*CM47</x:f>
        <x:v>0</x:v>
      </x:c>
      <x:c r="CN53" s="117" t="n">
        <x:f>$B$53*CN47</x:f>
        <x:v>0</x:v>
      </x:c>
      <x:c r="CO53" s="117" t="n">
        <x:f>$B$53*CO47</x:f>
        <x:v>0</x:v>
      </x:c>
      <x:c r="CP53" s="117" t="n">
        <x:f>$B$53*CP47</x:f>
        <x:v>0</x:v>
      </x:c>
      <x:c r="CQ53" s="117" t="n">
        <x:f>$B$53*CQ47</x:f>
        <x:v>0</x:v>
      </x:c>
      <x:c r="CR53" s="117" t="n">
        <x:f>$B$53*CR47</x:f>
        <x:v>0</x:v>
      </x:c>
      <x:c r="CS53" s="117" t="n">
        <x:f>$B$53*CS47</x:f>
        <x:v>0</x:v>
      </x:c>
      <x:c r="CT53" s="117" t="n">
        <x:f>$B$53*CT47</x:f>
        <x:v>0</x:v>
      </x:c>
      <x:c r="CU53" s="117" t="n">
        <x:f>$B$53*CU47</x:f>
        <x:v>0</x:v>
      </x:c>
      <x:c r="CV53" s="117" t="n">
        <x:f>$B$53*CV47</x:f>
        <x:v>0</x:v>
      </x:c>
      <x:c r="CW53" s="117" t="n">
        <x:f>$B$53*CW47</x:f>
        <x:v>0</x:v>
      </x:c>
      <x:c r="CX53" s="117" t="n">
        <x:f>$B$53*CX47</x:f>
        <x:v>0</x:v>
      </x:c>
      <x:c r="CY53" s="117" t="n">
        <x:f>$B$53*CY47</x:f>
        <x:v>0</x:v>
      </x:c>
      <x:c r="CZ53" s="117" t="n">
        <x:f>$B$53*CZ47</x:f>
        <x:v>0</x:v>
      </x:c>
      <x:c r="DA53" s="117" t="n">
        <x:f>$B$53*DA47</x:f>
        <x:v>0</x:v>
      </x:c>
      <x:c r="DB53" s="117" t="n">
        <x:f>$B$53*DB47</x:f>
        <x:v>0</x:v>
      </x:c>
      <x:c r="DC53" s="117" t="n">
        <x:f>$B$53*DC47</x:f>
        <x:v>0</x:v>
      </x:c>
      <x:c r="DD53" s="117" t="n">
        <x:f>$B$53*DD47</x:f>
        <x:v>0</x:v>
      </x:c>
      <x:c r="DE53" s="117" t="n">
        <x:f>$B$53*DE47</x:f>
        <x:v>0</x:v>
      </x:c>
      <x:c r="DF53" s="117" t="n">
        <x:f>$B$53*DF47</x:f>
        <x:v>0</x:v>
      </x:c>
      <x:c r="DG53" s="117" t="n">
        <x:f>$B$53*DG47</x:f>
        <x:v>0</x:v>
      </x:c>
      <x:c r="DH53" s="117" t="n">
        <x:f>$B$53*DH47</x:f>
        <x:v>0</x:v>
      </x:c>
      <x:c r="DI53" s="117" t="n">
        <x:f>$B$53*DI47</x:f>
        <x:v>0</x:v>
      </x:c>
      <x:c r="DJ53" s="117" t="n">
        <x:f>$B$53*DJ47</x:f>
        <x:v>0</x:v>
      </x:c>
      <x:c r="DK53" s="117" t="n">
        <x:f>$B$53*DK47</x:f>
        <x:v>0</x:v>
      </x:c>
      <x:c r="DL53" s="117" t="n">
        <x:f>$B$53*DL47</x:f>
        <x:v>0</x:v>
      </x:c>
      <x:c r="DM53" s="117" t="n">
        <x:f>$B$53*DM47</x:f>
        <x:v>0</x:v>
      </x:c>
      <x:c r="DN53" s="117" t="n">
        <x:f>$B$53*DN47</x:f>
        <x:v>0</x:v>
      </x:c>
      <x:c r="DO53" s="117" t="n">
        <x:f>$B$53*DO47</x:f>
        <x:v>0</x:v>
      </x:c>
      <x:c r="DP53" s="117" t="n">
        <x:f>$B$53*DP47</x:f>
        <x:v>0</x:v>
      </x:c>
      <x:c r="DQ53" s="117" t="n">
        <x:f>$B$53*DQ47</x:f>
        <x:v>0</x:v>
      </x:c>
      <x:c r="DR53" s="117" t="n">
        <x:f>$B$53*DR47</x:f>
        <x:v>0</x:v>
      </x:c>
      <x:c r="DS53" s="117" t="n">
        <x:f>$B$53*DS47</x:f>
        <x:v>0</x:v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  <x:v>0</x:v>
      </x:c>
      <x:c r="C54" t="str">
        <x:v>млн ₽</x:v>
      </x:c>
      <x:c r="D54" s="117" t="n">
        <x:f>IF(AND(D$3&gt;=EDATE($B$41,-MIN(6,'Вводные'!$E$89)),D$3&lt;$B$41),$B$54/MAX(1,MIN(6,'Вводные'!$E$89)),0)</x:f>
        <x:v>0</x:v>
      </x:c>
      <x:c r="E54" s="117" t="n">
        <x:f>IF(AND(E$3&gt;=EDATE($B$41,-MIN(6,'Вводные'!$E$89)),E$3&lt;$B$41),$B$54/MAX(1,MIN(6,'Вводные'!$E$89)),0)</x:f>
        <x:v>0</x:v>
      </x:c>
      <x:c r="F54" s="117" t="n">
        <x:f>IF(AND(F$3&gt;=EDATE($B$41,-MIN(6,'Вводные'!$E$89)),F$3&lt;$B$41),$B$54/MAX(1,MIN(6,'Вводные'!$E$89)),0)</x:f>
        <x:v>0</x:v>
      </x:c>
      <x:c r="G54" s="117" t="n">
        <x:f>IF(AND(G$3&gt;=EDATE($B$41,-MIN(6,'Вводные'!$E$89)),G$3&lt;$B$41),$B$54/MAX(1,MIN(6,'Вводные'!$E$89)),0)</x:f>
        <x:v>0</x:v>
      </x:c>
      <x:c r="H54" s="117" t="n">
        <x:f>IF(AND(H$3&gt;=EDATE($B$41,-MIN(6,'Вводные'!$E$89)),H$3&lt;$B$41),$B$54/MAX(1,MIN(6,'Вводные'!$E$89)),0)</x:f>
        <x:v>0</x:v>
      </x:c>
      <x:c r="I54" s="117" t="n">
        <x:f>IF(AND(I$3&gt;=EDATE($B$41,-MIN(6,'Вводные'!$E$89)),I$3&lt;$B$41),$B$54/MAX(1,MIN(6,'Вводные'!$E$89)),0)</x:f>
        <x:v>0</x:v>
      </x:c>
      <x:c r="J54" s="117" t="n">
        <x:f>IF(AND(J$3&gt;=EDATE($B$41,-MIN(6,'Вводные'!$E$89)),J$3&lt;$B$41),$B$54/MAX(1,MIN(6,'Вводные'!$E$89)),0)</x:f>
        <x:v>0</x:v>
      </x:c>
      <x:c r="K54" s="117" t="n">
        <x:f>IF(AND(K$3&gt;=EDATE($B$41,-MIN(6,'Вводные'!$E$89)),K$3&lt;$B$41),$B$54/MAX(1,MIN(6,'Вводные'!$E$89)),0)</x:f>
        <x:v>0</x:v>
      </x:c>
      <x:c r="L54" s="117" t="n">
        <x:f>IF(AND(L$3&gt;=EDATE($B$41,-MIN(6,'Вводные'!$E$89)),L$3&lt;$B$41),$B$54/MAX(1,MIN(6,'Вводные'!$E$89)),0)</x:f>
        <x:v>0</x:v>
      </x:c>
      <x:c r="M54" s="117" t="n">
        <x:f>IF(AND(M$3&gt;=EDATE($B$41,-MIN(6,'Вводные'!$E$89)),M$3&lt;$B$41),$B$54/MAX(1,MIN(6,'Вводные'!$E$89)),0)</x:f>
        <x:v>0</x:v>
      </x:c>
      <x:c r="N54" s="117" t="n">
        <x:f>IF(AND(N$3&gt;=EDATE($B$41,-MIN(6,'Вводные'!$E$89)),N$3&lt;$B$41),$B$54/MAX(1,MIN(6,'Вводные'!$E$89)),0)</x:f>
        <x:v>0</x:v>
      </x:c>
      <x:c r="O54" s="117" t="n">
        <x:f>IF(AND(O$3&gt;=EDATE($B$41,-MIN(6,'Вводные'!$E$89)),O$3&lt;$B$41),$B$54/MAX(1,MIN(6,'Вводные'!$E$89)),0)</x:f>
        <x:v>0</x:v>
      </x:c>
      <x:c r="P54" s="117" t="n">
        <x:f>IF(AND(P$3&gt;=EDATE($B$41,-MIN(6,'Вводные'!$E$89)),P$3&lt;$B$41),$B$54/MAX(1,MIN(6,'Вводные'!$E$89)),0)</x:f>
        <x:v>0</x:v>
      </x:c>
      <x:c r="Q54" s="117" t="n">
        <x:f>IF(AND(Q$3&gt;=EDATE($B$41,-MIN(6,'Вводные'!$E$89)),Q$3&lt;$B$41),$B$54/MAX(1,MIN(6,'Вводные'!$E$89)),0)</x:f>
        <x:v>0</x:v>
      </x:c>
      <x:c r="R54" s="117" t="n">
        <x:f>IF(AND(R$3&gt;=EDATE($B$41,-MIN(6,'Вводные'!$E$89)),R$3&lt;$B$41),$B$54/MAX(1,MIN(6,'Вводные'!$E$89)),0)</x:f>
        <x:v>0</x:v>
      </x:c>
      <x:c r="S54" s="117" t="n">
        <x:f>IF(AND(S$3&gt;=EDATE($B$41,-MIN(6,'Вводные'!$E$89)),S$3&lt;$B$41),$B$54/MAX(1,MIN(6,'Вводные'!$E$89)),0)</x:f>
        <x:v>0</x:v>
      </x:c>
      <x:c r="T54" s="117" t="n">
        <x:f>IF(AND(T$3&gt;=EDATE($B$41,-MIN(6,'Вводные'!$E$89)),T$3&lt;$B$41),$B$54/MAX(1,MIN(6,'Вводные'!$E$89)),0)</x:f>
        <x:v>0</x:v>
      </x:c>
      <x:c r="U54" s="117" t="n">
        <x:f>IF(AND(U$3&gt;=EDATE($B$41,-MIN(6,'Вводные'!$E$89)),U$3&lt;$B$41),$B$54/MAX(1,MIN(6,'Вводные'!$E$89)),0)</x:f>
        <x:v>0</x:v>
      </x:c>
      <x:c r="V54" s="117" t="n">
        <x:f>IF(AND(V$3&gt;=EDATE($B$41,-MIN(6,'Вводные'!$E$89)),V$3&lt;$B$41),$B$54/MAX(1,MIN(6,'Вводные'!$E$89)),0)</x:f>
        <x:v>0</x:v>
      </x:c>
      <x:c r="W54" s="117" t="n">
        <x:f>IF(AND(W$3&gt;=EDATE($B$41,-MIN(6,'Вводные'!$E$89)),W$3&lt;$B$41),$B$54/MAX(1,MIN(6,'Вводные'!$E$89)),0)</x:f>
        <x:v>0</x:v>
      </x:c>
      <x:c r="X54" s="117" t="n">
        <x:f>IF(AND(X$3&gt;=EDATE($B$41,-MIN(6,'Вводные'!$E$89)),X$3&lt;$B$41),$B$54/MAX(1,MIN(6,'Вводные'!$E$89)),0)</x:f>
        <x:v>0</x:v>
      </x:c>
      <x:c r="Y54" s="117" t="n">
        <x:f>IF(AND(Y$3&gt;=EDATE($B$41,-MIN(6,'Вводные'!$E$89)),Y$3&lt;$B$41),$B$54/MAX(1,MIN(6,'Вводные'!$E$89)),0)</x:f>
        <x:v>0</x:v>
      </x:c>
      <x:c r="Z54" s="117" t="n">
        <x:f>IF(AND(Z$3&gt;=EDATE($B$41,-MIN(6,'Вводные'!$E$89)),Z$3&lt;$B$41),$B$54/MAX(1,MIN(6,'Вводные'!$E$89)),0)</x:f>
        <x:v>0</x:v>
      </x:c>
      <x:c r="AA54" s="117" t="n">
        <x:f>IF(AND(AA$3&gt;=EDATE($B$41,-MIN(6,'Вводные'!$E$89)),AA$3&lt;$B$41),$B$54/MAX(1,MIN(6,'Вводные'!$E$89)),0)</x:f>
        <x:v>0</x:v>
      </x:c>
      <x:c r="AB54" s="117" t="n">
        <x:f>IF(AND(AB$3&gt;=EDATE($B$41,-MIN(6,'Вводные'!$E$89)),AB$3&lt;$B$41),$B$54/MAX(1,MIN(6,'Вводные'!$E$89)),0)</x:f>
        <x:v>0</x:v>
      </x:c>
      <x:c r="AC54" s="117" t="n">
        <x:f>IF(AND(AC$3&gt;=EDATE($B$41,-MIN(6,'Вводные'!$E$89)),AC$3&lt;$B$41),$B$54/MAX(1,MIN(6,'Вводные'!$E$89)),0)</x:f>
        <x:v>0</x:v>
      </x:c>
      <x:c r="AD54" s="117" t="n">
        <x:f>IF(AND(AD$3&gt;=EDATE($B$41,-MIN(6,'Вводные'!$E$89)),AD$3&lt;$B$41),$B$54/MAX(1,MIN(6,'Вводные'!$E$89)),0)</x:f>
        <x:v>0</x:v>
      </x:c>
      <x:c r="AE54" s="117" t="n">
        <x:f>IF(AND(AE$3&gt;=EDATE($B$41,-MIN(6,'Вводные'!$E$89)),AE$3&lt;$B$41),$B$54/MAX(1,MIN(6,'Вводные'!$E$89)),0)</x:f>
        <x:v>0</x:v>
      </x:c>
      <x:c r="AF54" s="117" t="n">
        <x:f>IF(AND(AF$3&gt;=EDATE($B$41,-MIN(6,'Вводные'!$E$89)),AF$3&lt;$B$41),$B$54/MAX(1,MIN(6,'Вводные'!$E$89)),0)</x:f>
        <x:v>0</x:v>
      </x:c>
      <x:c r="AG54" s="117" t="n">
        <x:f>IF(AND(AG$3&gt;=EDATE($B$41,-MIN(6,'Вводные'!$E$89)),AG$3&lt;$B$41),$B$54/MAX(1,MIN(6,'Вводные'!$E$89)),0)</x:f>
        <x:v>0</x:v>
      </x:c>
      <x:c r="AH54" s="117" t="n">
        <x:f>IF(AND(AH$3&gt;=EDATE($B$41,-MIN(6,'Вводные'!$E$89)),AH$3&lt;$B$41),$B$54/MAX(1,MIN(6,'Вводные'!$E$89)),0)</x:f>
        <x:v>0</x:v>
      </x:c>
      <x:c r="AI54" s="117" t="n">
        <x:f>IF(AND(AI$3&gt;=EDATE($B$41,-MIN(6,'Вводные'!$E$89)),AI$3&lt;$B$41),$B$54/MAX(1,MIN(6,'Вводные'!$E$89)),0)</x:f>
        <x:v>0</x:v>
      </x:c>
      <x:c r="AJ54" s="117" t="n">
        <x:f>IF(AND(AJ$3&gt;=EDATE($B$41,-MIN(6,'Вводные'!$E$89)),AJ$3&lt;$B$41),$B$54/MAX(1,MIN(6,'Вводные'!$E$89)),0)</x:f>
        <x:v>0</x:v>
      </x:c>
      <x:c r="AK54" s="117" t="n">
        <x:f>IF(AND(AK$3&gt;=EDATE($B$41,-MIN(6,'Вводные'!$E$89)),AK$3&lt;$B$41),$B$54/MAX(1,MIN(6,'Вводные'!$E$89)),0)</x:f>
        <x:v>0</x:v>
      </x:c>
      <x:c r="AL54" s="117" t="n">
        <x:f>IF(AND(AL$3&gt;=EDATE($B$41,-MIN(6,'Вводные'!$E$89)),AL$3&lt;$B$41),$B$54/MAX(1,MIN(6,'Вводные'!$E$89)),0)</x:f>
        <x:v>0</x:v>
      </x:c>
      <x:c r="AM54" s="117" t="n">
        <x:f>IF(AND(AM$3&gt;=EDATE($B$41,-MIN(6,'Вводные'!$E$89)),AM$3&lt;$B$41),$B$54/MAX(1,MIN(6,'Вводные'!$E$89)),0)</x:f>
        <x:v>0</x:v>
      </x:c>
      <x:c r="AN54" s="117" t="n">
        <x:f>IF(AND(AN$3&gt;=EDATE($B$41,-MIN(6,'Вводные'!$E$89)),AN$3&lt;$B$41),$B$54/MAX(1,MIN(6,'Вводные'!$E$89)),0)</x:f>
        <x:v>0</x:v>
      </x:c>
      <x:c r="AO54" s="117" t="n">
        <x:f>IF(AND(AO$3&gt;=EDATE($B$41,-MIN(6,'Вводные'!$E$89)),AO$3&lt;$B$41),$B$54/MAX(1,MIN(6,'Вводные'!$E$89)),0)</x:f>
        <x:v>0</x:v>
      </x:c>
      <x:c r="AP54" s="117" t="n">
        <x:f>IF(AND(AP$3&gt;=EDATE($B$41,-MIN(6,'Вводные'!$E$89)),AP$3&lt;$B$41),$B$54/MAX(1,MIN(6,'Вводные'!$E$89)),0)</x:f>
        <x:v>0</x:v>
      </x:c>
      <x:c r="AQ54" s="117" t="n">
        <x:f>IF(AND(AQ$3&gt;=EDATE($B$41,-MIN(6,'Вводные'!$E$89)),AQ$3&lt;$B$41),$B$54/MAX(1,MIN(6,'Вводные'!$E$89)),0)</x:f>
        <x:v>0</x:v>
      </x:c>
      <x:c r="AR54" s="117" t="n">
        <x:f>IF(AND(AR$3&gt;=EDATE($B$41,-MIN(6,'Вводные'!$E$89)),AR$3&lt;$B$41),$B$54/MAX(1,MIN(6,'Вводные'!$E$89)),0)</x:f>
        <x:v>0</x:v>
      </x:c>
      <x:c r="AS54" s="117" t="n">
        <x:f>IF(AND(AS$3&gt;=EDATE($B$41,-MIN(6,'Вводные'!$E$89)),AS$3&lt;$B$41),$B$54/MAX(1,MIN(6,'Вводные'!$E$89)),0)</x:f>
        <x:v>0</x:v>
      </x:c>
      <x:c r="AT54" s="117" t="n">
        <x:f>IF(AND(AT$3&gt;=EDATE($B$41,-MIN(6,'Вводные'!$E$89)),AT$3&lt;$B$41),$B$54/MAX(1,MIN(6,'Вводные'!$E$89)),0)</x:f>
        <x:v>0</x:v>
      </x:c>
      <x:c r="AU54" s="117" t="n">
        <x:f>IF(AND(AU$3&gt;=EDATE($B$41,-MIN(6,'Вводные'!$E$89)),AU$3&lt;$B$41),$B$54/MAX(1,MIN(6,'Вводные'!$E$89)),0)</x:f>
        <x:v>0</x:v>
      </x:c>
      <x:c r="AV54" s="117" t="n">
        <x:f>IF(AND(AV$3&gt;=EDATE($B$41,-MIN(6,'Вводные'!$E$89)),AV$3&lt;$B$41),$B$54/MAX(1,MIN(6,'Вводные'!$E$89)),0)</x:f>
        <x:v>0</x:v>
      </x:c>
      <x:c r="AW54" s="117" t="n">
        <x:f>IF(AND(AW$3&gt;=EDATE($B$41,-MIN(6,'Вводные'!$E$89)),AW$3&lt;$B$41),$B$54/MAX(1,MIN(6,'Вводные'!$E$89)),0)</x:f>
        <x:v>0</x:v>
      </x:c>
      <x:c r="AX54" s="117" t="n">
        <x:f>IF(AND(AX$3&gt;=EDATE($B$41,-MIN(6,'Вводные'!$E$89)),AX$3&lt;$B$41),$B$54/MAX(1,MIN(6,'Вводные'!$E$89)),0)</x:f>
        <x:v>0</x:v>
      </x:c>
      <x:c r="AY54" s="117" t="n">
        <x:f>IF(AND(AY$3&gt;=EDATE($B$41,-MIN(6,'Вводные'!$E$89)),AY$3&lt;$B$41),$B$54/MAX(1,MIN(6,'Вводные'!$E$89)),0)</x:f>
        <x:v>0</x:v>
      </x:c>
      <x:c r="AZ54" s="117" t="n">
        <x:f>IF(AND(AZ$3&gt;=EDATE($B$41,-MIN(6,'Вводные'!$E$89)),AZ$3&lt;$B$41),$B$54/MAX(1,MIN(6,'Вводные'!$E$89)),0)</x:f>
        <x:v>0</x:v>
      </x:c>
      <x:c r="BA54" s="117" t="n">
        <x:f>IF(AND(BA$3&gt;=EDATE($B$41,-MIN(6,'Вводные'!$E$89)),BA$3&lt;$B$41),$B$54/MAX(1,MIN(6,'Вводные'!$E$89)),0)</x:f>
        <x:v>0</x:v>
      </x:c>
      <x:c r="BB54" s="117" t="n">
        <x:f>IF(AND(BB$3&gt;=EDATE($B$41,-MIN(6,'Вводные'!$E$89)),BB$3&lt;$B$41),$B$54/MAX(1,MIN(6,'Вводные'!$E$89)),0)</x:f>
        <x:v>0</x:v>
      </x:c>
      <x:c r="BC54" s="117" t="n">
        <x:f>IF(AND(BC$3&gt;=EDATE($B$41,-MIN(6,'Вводные'!$E$89)),BC$3&lt;$B$41),$B$54/MAX(1,MIN(6,'Вводные'!$E$89)),0)</x:f>
        <x:v>0</x:v>
      </x:c>
      <x:c r="BD54" s="117" t="n">
        <x:f>IF(AND(BD$3&gt;=EDATE($B$41,-MIN(6,'Вводные'!$E$89)),BD$3&lt;$B$41),$B$54/MAX(1,MIN(6,'Вводные'!$E$89)),0)</x:f>
        <x:v>0</x:v>
      </x:c>
      <x:c r="BE54" s="117" t="n">
        <x:f>IF(AND(BE$3&gt;=EDATE($B$41,-MIN(6,'Вводные'!$E$89)),BE$3&lt;$B$41),$B$54/MAX(1,MIN(6,'Вводные'!$E$89)),0)</x:f>
        <x:v>0</x:v>
      </x:c>
      <x:c r="BF54" s="117" t="n">
        <x:f>IF(AND(BF$3&gt;=EDATE($B$41,-MIN(6,'Вводные'!$E$89)),BF$3&lt;$B$41),$B$54/MAX(1,MIN(6,'Вводные'!$E$89)),0)</x:f>
        <x:v>0</x:v>
      </x:c>
      <x:c r="BG54" s="117" t="n">
        <x:f>IF(AND(BG$3&gt;=EDATE($B$41,-MIN(6,'Вводные'!$E$89)),BG$3&lt;$B$41),$B$54/MAX(1,MIN(6,'Вводные'!$E$89)),0)</x:f>
        <x:v>0</x:v>
      </x:c>
      <x:c r="BH54" s="117" t="n">
        <x:f>IF(AND(BH$3&gt;=EDATE($B$41,-MIN(6,'Вводные'!$E$89)),BH$3&lt;$B$41),$B$54/MAX(1,MIN(6,'Вводные'!$E$89)),0)</x:f>
        <x:v>0</x:v>
      </x:c>
      <x:c r="BI54" s="117" t="n">
        <x:f>IF(AND(BI$3&gt;=EDATE($B$41,-MIN(6,'Вводные'!$E$89)),BI$3&lt;$B$41),$B$54/MAX(1,MIN(6,'Вводные'!$E$89)),0)</x:f>
        <x:v>0</x:v>
      </x:c>
      <x:c r="BJ54" s="117" t="n">
        <x:f>IF(AND(BJ$3&gt;=EDATE($B$41,-MIN(6,'Вводные'!$E$89)),BJ$3&lt;$B$41),$B$54/MAX(1,MIN(6,'Вводные'!$E$89)),0)</x:f>
        <x:v>0</x:v>
      </x:c>
      <x:c r="BK54" s="117" t="n">
        <x:f>IF(AND(BK$3&gt;=EDATE($B$41,-MIN(6,'Вводные'!$E$89)),BK$3&lt;$B$41),$B$54/MAX(1,MIN(6,'Вводные'!$E$89)),0)</x:f>
        <x:v>0</x:v>
      </x:c>
      <x:c r="BL54" s="117" t="n">
        <x:f>IF(AND(BL$3&gt;=EDATE($B$41,-MIN(6,'Вводные'!$E$89)),BL$3&lt;$B$41),$B$54/MAX(1,MIN(6,'Вводные'!$E$89)),0)</x:f>
        <x:v>0</x:v>
      </x:c>
      <x:c r="BM54" s="117" t="n">
        <x:f>IF(AND(BM$3&gt;=EDATE($B$41,-MIN(6,'Вводные'!$E$89)),BM$3&lt;$B$41),$B$54/MAX(1,MIN(6,'Вводные'!$E$89)),0)</x:f>
        <x:v>0</x:v>
      </x:c>
      <x:c r="BN54" s="117" t="n">
        <x:f>IF(AND(BN$3&gt;=EDATE($B$41,-MIN(6,'Вводные'!$E$89)),BN$3&lt;$B$41),$B$54/MAX(1,MIN(6,'Вводные'!$E$89)),0)</x:f>
        <x:v>0</x:v>
      </x:c>
      <x:c r="BO54" s="117" t="n">
        <x:f>IF(AND(BO$3&gt;=EDATE($B$41,-MIN(6,'Вводные'!$E$89)),BO$3&lt;$B$41),$B$54/MAX(1,MIN(6,'Вводные'!$E$89)),0)</x:f>
        <x:v>0</x:v>
      </x:c>
      <x:c r="BP54" s="117" t="n">
        <x:f>IF(AND(BP$3&gt;=EDATE($B$41,-MIN(6,'Вводные'!$E$89)),BP$3&lt;$B$41),$B$54/MAX(1,MIN(6,'Вводные'!$E$89)),0)</x:f>
        <x:v>0</x:v>
      </x:c>
      <x:c r="BQ54" s="117" t="n">
        <x:f>IF(AND(BQ$3&gt;=EDATE($B$41,-MIN(6,'Вводные'!$E$89)),BQ$3&lt;$B$41),$B$54/MAX(1,MIN(6,'Вводные'!$E$89)),0)</x:f>
        <x:v>0</x:v>
      </x:c>
      <x:c r="BR54" s="117" t="n">
        <x:f>IF(AND(BR$3&gt;=EDATE($B$41,-MIN(6,'Вводные'!$E$89)),BR$3&lt;$B$41),$B$54/MAX(1,MIN(6,'Вводные'!$E$89)),0)</x:f>
        <x:v>0</x:v>
      </x:c>
      <x:c r="BS54" s="117" t="n">
        <x:f>IF(AND(BS$3&gt;=EDATE($B$41,-MIN(6,'Вводные'!$E$89)),BS$3&lt;$B$41),$B$54/MAX(1,MIN(6,'Вводные'!$E$89)),0)</x:f>
        <x:v>0</x:v>
      </x:c>
      <x:c r="BT54" s="117" t="n">
        <x:f>IF(AND(BT$3&gt;=EDATE($B$41,-MIN(6,'Вводные'!$E$89)),BT$3&lt;$B$41),$B$54/MAX(1,MIN(6,'Вводные'!$E$89)),0)</x:f>
        <x:v>0</x:v>
      </x:c>
      <x:c r="BU54" s="117" t="n">
        <x:f>IF(AND(BU$3&gt;=EDATE($B$41,-MIN(6,'Вводные'!$E$89)),BU$3&lt;$B$41),$B$54/MAX(1,MIN(6,'Вводные'!$E$89)),0)</x:f>
        <x:v>0</x:v>
      </x:c>
      <x:c r="BV54" s="117" t="n">
        <x:f>IF(AND(BV$3&gt;=EDATE($B$41,-MIN(6,'Вводные'!$E$89)),BV$3&lt;$B$41),$B$54/MAX(1,MIN(6,'Вводные'!$E$89)),0)</x:f>
        <x:v>0</x:v>
      </x:c>
      <x:c r="BW54" s="117" t="n">
        <x:f>IF(AND(BW$3&gt;=EDATE($B$41,-MIN(6,'Вводные'!$E$89)),BW$3&lt;$B$41),$B$54/MAX(1,MIN(6,'Вводные'!$E$89)),0)</x:f>
        <x:v>0</x:v>
      </x:c>
      <x:c r="BX54" s="117" t="n">
        <x:f>IF(AND(BX$3&gt;=EDATE($B$41,-MIN(6,'Вводные'!$E$89)),BX$3&lt;$B$41),$B$54/MAX(1,MIN(6,'Вводные'!$E$89)),0)</x:f>
        <x:v>0</x:v>
      </x:c>
      <x:c r="BY54" s="117" t="n">
        <x:f>IF(AND(BY$3&gt;=EDATE($B$41,-MIN(6,'Вводные'!$E$89)),BY$3&lt;$B$41),$B$54/MAX(1,MIN(6,'Вводные'!$E$89)),0)</x:f>
        <x:v>0</x:v>
      </x:c>
      <x:c r="BZ54" s="117" t="n">
        <x:f>IF(AND(BZ$3&gt;=EDATE($B$41,-MIN(6,'Вводные'!$E$89)),BZ$3&lt;$B$41),$B$54/MAX(1,MIN(6,'Вводные'!$E$89)),0)</x:f>
        <x:v>0</x:v>
      </x:c>
      <x:c r="CA54" s="117" t="n">
        <x:f>IF(AND(CA$3&gt;=EDATE($B$41,-MIN(6,'Вводные'!$E$89)),CA$3&lt;$B$41),$B$54/MAX(1,MIN(6,'Вводные'!$E$89)),0)</x:f>
        <x:v>0</x:v>
      </x:c>
      <x:c r="CB54" s="117" t="n">
        <x:f>IF(AND(CB$3&gt;=EDATE($B$41,-MIN(6,'Вводные'!$E$89)),CB$3&lt;$B$41),$B$54/MAX(1,MIN(6,'Вводные'!$E$89)),0)</x:f>
        <x:v>0</x:v>
      </x:c>
      <x:c r="CC54" s="117" t="n">
        <x:f>IF(AND(CC$3&gt;=EDATE($B$41,-MIN(6,'Вводные'!$E$89)),CC$3&lt;$B$41),$B$54/MAX(1,MIN(6,'Вводные'!$E$89)),0)</x:f>
        <x:v>0</x:v>
      </x:c>
      <x:c r="CD54" s="117" t="n">
        <x:f>IF(AND(CD$3&gt;=EDATE($B$41,-MIN(6,'Вводные'!$E$89)),CD$3&lt;$B$41),$B$54/MAX(1,MIN(6,'Вводные'!$E$89)),0)</x:f>
        <x:v>0</x:v>
      </x:c>
      <x:c r="CE54" s="117" t="n">
        <x:f>IF(AND(CE$3&gt;=EDATE($B$41,-MIN(6,'Вводные'!$E$89)),CE$3&lt;$B$41),$B$54/MAX(1,MIN(6,'Вводные'!$E$89)),0)</x:f>
        <x:v>0</x:v>
      </x:c>
      <x:c r="CF54" s="117" t="n">
        <x:f>IF(AND(CF$3&gt;=EDATE($B$41,-MIN(6,'Вводные'!$E$89)),CF$3&lt;$B$41),$B$54/MAX(1,MIN(6,'Вводные'!$E$89)),0)</x:f>
        <x:v>0</x:v>
      </x:c>
      <x:c r="CG54" s="117" t="n">
        <x:f>IF(AND(CG$3&gt;=EDATE($B$41,-MIN(6,'Вводные'!$E$89)),CG$3&lt;$B$41),$B$54/MAX(1,MIN(6,'Вводные'!$E$89)),0)</x:f>
        <x:v>0</x:v>
      </x:c>
      <x:c r="CH54" s="117" t="n">
        <x:f>IF(AND(CH$3&gt;=EDATE($B$41,-MIN(6,'Вводные'!$E$89)),CH$3&lt;$B$41),$B$54/MAX(1,MIN(6,'Вводные'!$E$89)),0)</x:f>
        <x:v>0</x:v>
      </x:c>
      <x:c r="CI54" s="117" t="n">
        <x:f>IF(AND(CI$3&gt;=EDATE($B$41,-MIN(6,'Вводные'!$E$89)),CI$3&lt;$B$41),$B$54/MAX(1,MIN(6,'Вводные'!$E$89)),0)</x:f>
        <x:v>0</x:v>
      </x:c>
      <x:c r="CJ54" s="117" t="n">
        <x:f>IF(AND(CJ$3&gt;=EDATE($B$41,-MIN(6,'Вводные'!$E$89)),CJ$3&lt;$B$41),$B$54/MAX(1,MIN(6,'Вводные'!$E$89)),0)</x:f>
        <x:v>0</x:v>
      </x:c>
      <x:c r="CK54" s="117" t="n">
        <x:f>IF(AND(CK$3&gt;=EDATE($B$41,-MIN(6,'Вводные'!$E$89)),CK$3&lt;$B$41),$B$54/MAX(1,MIN(6,'Вводные'!$E$89)),0)</x:f>
        <x:v>0</x:v>
      </x:c>
      <x:c r="CL54" s="117" t="n">
        <x:f>IF(AND(CL$3&gt;=EDATE($B$41,-MIN(6,'Вводные'!$E$89)),CL$3&lt;$B$41),$B$54/MAX(1,MIN(6,'Вводные'!$E$89)),0)</x:f>
        <x:v>0</x:v>
      </x:c>
      <x:c r="CM54" s="117" t="n">
        <x:f>IF(AND(CM$3&gt;=EDATE($B$41,-MIN(6,'Вводные'!$E$89)),CM$3&lt;$B$41),$B$54/MAX(1,MIN(6,'Вводные'!$E$89)),0)</x:f>
        <x:v>0</x:v>
      </x:c>
      <x:c r="CN54" s="117" t="n">
        <x:f>IF(AND(CN$3&gt;=EDATE($B$41,-MIN(6,'Вводные'!$E$89)),CN$3&lt;$B$41),$B$54/MAX(1,MIN(6,'Вводные'!$E$89)),0)</x:f>
        <x:v>0</x:v>
      </x:c>
      <x:c r="CO54" s="117" t="n">
        <x:f>IF(AND(CO$3&gt;=EDATE($B$41,-MIN(6,'Вводные'!$E$89)),CO$3&lt;$B$41),$B$54/MAX(1,MIN(6,'Вводные'!$E$89)),0)</x:f>
        <x:v>0</x:v>
      </x:c>
      <x:c r="CP54" s="117" t="n">
        <x:f>IF(AND(CP$3&gt;=EDATE($B$41,-MIN(6,'Вводные'!$E$89)),CP$3&lt;$B$41),$B$54/MAX(1,MIN(6,'Вводные'!$E$89)),0)</x:f>
        <x:v>0</x:v>
      </x:c>
      <x:c r="CQ54" s="117" t="n">
        <x:f>IF(AND(CQ$3&gt;=EDATE($B$41,-MIN(6,'Вводные'!$E$89)),CQ$3&lt;$B$41),$B$54/MAX(1,MIN(6,'Вводные'!$E$89)),0)</x:f>
        <x:v>0</x:v>
      </x:c>
      <x:c r="CR54" s="117" t="n">
        <x:f>IF(AND(CR$3&gt;=EDATE($B$41,-MIN(6,'Вводные'!$E$89)),CR$3&lt;$B$41),$B$54/MAX(1,MIN(6,'Вводные'!$E$89)),0)</x:f>
        <x:v>0</x:v>
      </x:c>
      <x:c r="CS54" s="117" t="n">
        <x:f>IF(AND(CS$3&gt;=EDATE($B$41,-MIN(6,'Вводные'!$E$89)),CS$3&lt;$B$41),$B$54/MAX(1,MIN(6,'Вводные'!$E$89)),0)</x:f>
        <x:v>0</x:v>
      </x:c>
      <x:c r="CT54" s="117" t="n">
        <x:f>IF(AND(CT$3&gt;=EDATE($B$41,-MIN(6,'Вводные'!$E$89)),CT$3&lt;$B$41),$B$54/MAX(1,MIN(6,'Вводные'!$E$89)),0)</x:f>
        <x:v>0</x:v>
      </x:c>
      <x:c r="CU54" s="117" t="n">
        <x:f>IF(AND(CU$3&gt;=EDATE($B$41,-MIN(6,'Вводные'!$E$89)),CU$3&lt;$B$41),$B$54/MAX(1,MIN(6,'Вводные'!$E$89)),0)</x:f>
        <x:v>0</x:v>
      </x:c>
      <x:c r="CV54" s="117" t="n">
        <x:f>IF(AND(CV$3&gt;=EDATE($B$41,-MIN(6,'Вводные'!$E$89)),CV$3&lt;$B$41),$B$54/MAX(1,MIN(6,'Вводные'!$E$89)),0)</x:f>
        <x:v>0</x:v>
      </x:c>
      <x:c r="CW54" s="117" t="n">
        <x:f>IF(AND(CW$3&gt;=EDATE($B$41,-MIN(6,'Вводные'!$E$89)),CW$3&lt;$B$41),$B$54/MAX(1,MIN(6,'Вводные'!$E$89)),0)</x:f>
        <x:v>0</x:v>
      </x:c>
      <x:c r="CX54" s="117" t="n">
        <x:f>IF(AND(CX$3&gt;=EDATE($B$41,-MIN(6,'Вводные'!$E$89)),CX$3&lt;$B$41),$B$54/MAX(1,MIN(6,'Вводные'!$E$89)),0)</x:f>
        <x:v>0</x:v>
      </x:c>
      <x:c r="CY54" s="117" t="n">
        <x:f>IF(AND(CY$3&gt;=EDATE($B$41,-MIN(6,'Вводные'!$E$89)),CY$3&lt;$B$41),$B$54/MAX(1,MIN(6,'Вводные'!$E$89)),0)</x:f>
        <x:v>0</x:v>
      </x:c>
      <x:c r="CZ54" s="117" t="n">
        <x:f>IF(AND(CZ$3&gt;=EDATE($B$41,-MIN(6,'Вводные'!$E$89)),CZ$3&lt;$B$41),$B$54/MAX(1,MIN(6,'Вводные'!$E$89)),0)</x:f>
        <x:v>0</x:v>
      </x:c>
      <x:c r="DA54" s="117" t="n">
        <x:f>IF(AND(DA$3&gt;=EDATE($B$41,-MIN(6,'Вводные'!$E$89)),DA$3&lt;$B$41),$B$54/MAX(1,MIN(6,'Вводные'!$E$89)),0)</x:f>
        <x:v>0</x:v>
      </x:c>
      <x:c r="DB54" s="117" t="n">
        <x:f>IF(AND(DB$3&gt;=EDATE($B$41,-MIN(6,'Вводные'!$E$89)),DB$3&lt;$B$41),$B$54/MAX(1,MIN(6,'Вводные'!$E$89)),0)</x:f>
        <x:v>0</x:v>
      </x:c>
      <x:c r="DC54" s="117" t="n">
        <x:f>IF(AND(DC$3&gt;=EDATE($B$41,-MIN(6,'Вводные'!$E$89)),DC$3&lt;$B$41),$B$54/MAX(1,MIN(6,'Вводные'!$E$89)),0)</x:f>
        <x:v>0</x:v>
      </x:c>
      <x:c r="DD54" s="117" t="n">
        <x:f>IF(AND(DD$3&gt;=EDATE($B$41,-MIN(6,'Вводные'!$E$89)),DD$3&lt;$B$41),$B$54/MAX(1,MIN(6,'Вводные'!$E$89)),0)</x:f>
        <x:v>0</x:v>
      </x:c>
      <x:c r="DE54" s="117" t="n">
        <x:f>IF(AND(DE$3&gt;=EDATE($B$41,-MIN(6,'Вводные'!$E$89)),DE$3&lt;$B$41),$B$54/MAX(1,MIN(6,'Вводные'!$E$89)),0)</x:f>
        <x:v>0</x:v>
      </x:c>
      <x:c r="DF54" s="117" t="n">
        <x:f>IF(AND(DF$3&gt;=EDATE($B$41,-MIN(6,'Вводные'!$E$89)),DF$3&lt;$B$41),$B$54/MAX(1,MIN(6,'Вводные'!$E$89)),0)</x:f>
        <x:v>0</x:v>
      </x:c>
      <x:c r="DG54" s="117" t="n">
        <x:f>IF(AND(DG$3&gt;=EDATE($B$41,-MIN(6,'Вводные'!$E$89)),DG$3&lt;$B$41),$B$54/MAX(1,MIN(6,'Вводные'!$E$89)),0)</x:f>
        <x:v>0</x:v>
      </x:c>
      <x:c r="DH54" s="117" t="n">
        <x:f>IF(AND(DH$3&gt;=EDATE($B$41,-MIN(6,'Вводные'!$E$89)),DH$3&lt;$B$41),$B$54/MAX(1,MIN(6,'Вводные'!$E$89)),0)</x:f>
        <x:v>0</x:v>
      </x:c>
      <x:c r="DI54" s="117" t="n">
        <x:f>IF(AND(DI$3&gt;=EDATE($B$41,-MIN(6,'Вводные'!$E$89)),DI$3&lt;$B$41),$B$54/MAX(1,MIN(6,'Вводные'!$E$89)),0)</x:f>
        <x:v>0</x:v>
      </x:c>
      <x:c r="DJ54" s="117" t="n">
        <x:f>IF(AND(DJ$3&gt;=EDATE($B$41,-MIN(6,'Вводные'!$E$89)),DJ$3&lt;$B$41),$B$54/MAX(1,MIN(6,'Вводные'!$E$89)),0)</x:f>
        <x:v>0</x:v>
      </x:c>
      <x:c r="DK54" s="117" t="n">
        <x:f>IF(AND(DK$3&gt;=EDATE($B$41,-MIN(6,'Вводные'!$E$89)),DK$3&lt;$B$41),$B$54/MAX(1,MIN(6,'Вводные'!$E$89)),0)</x:f>
        <x:v>0</x:v>
      </x:c>
      <x:c r="DL54" s="117" t="n">
        <x:f>IF(AND(DL$3&gt;=EDATE($B$41,-MIN(6,'Вводные'!$E$89)),DL$3&lt;$B$41),$B$54/MAX(1,MIN(6,'Вводные'!$E$89)),0)</x:f>
        <x:v>0</x:v>
      </x:c>
      <x:c r="DM54" s="117" t="n">
        <x:f>IF(AND(DM$3&gt;=EDATE($B$41,-MIN(6,'Вводные'!$E$89)),DM$3&lt;$B$41),$B$54/MAX(1,MIN(6,'Вводные'!$E$89)),0)</x:f>
        <x:v>0</x:v>
      </x:c>
      <x:c r="DN54" s="117" t="n">
        <x:f>IF(AND(DN$3&gt;=EDATE($B$41,-MIN(6,'Вводные'!$E$89)),DN$3&lt;$B$41),$B$54/MAX(1,MIN(6,'Вводные'!$E$89)),0)</x:f>
        <x:v>0</x:v>
      </x:c>
      <x:c r="DO54" s="117" t="n">
        <x:f>IF(AND(DO$3&gt;=EDATE($B$41,-MIN(6,'Вводные'!$E$89)),DO$3&lt;$B$41),$B$54/MAX(1,MIN(6,'Вводные'!$E$89)),0)</x:f>
        <x:v>0</x:v>
      </x:c>
      <x:c r="DP54" s="117" t="n">
        <x:f>IF(AND(DP$3&gt;=EDATE($B$41,-MIN(6,'Вводные'!$E$89)),DP$3&lt;$B$41),$B$54/MAX(1,MIN(6,'Вводные'!$E$89)),0)</x:f>
        <x:v>0</x:v>
      </x:c>
      <x:c r="DQ54" s="117" t="n">
        <x:f>IF(AND(DQ$3&gt;=EDATE($B$41,-MIN(6,'Вводные'!$E$89)),DQ$3&lt;$B$41),$B$54/MAX(1,MIN(6,'Вводные'!$E$89)),0)</x:f>
        <x:v>0</x:v>
      </x:c>
      <x:c r="DR54" s="117" t="n">
        <x:f>IF(AND(DR$3&gt;=EDATE($B$41,-MIN(6,'Вводные'!$E$89)),DR$3&lt;$B$41),$B$54/MAX(1,MIN(6,'Вводные'!$E$89)),0)</x:f>
        <x:v>0</x:v>
      </x:c>
      <x:c r="DS54" s="117" t="n">
        <x:f>IF(AND(DS$3&gt;=EDATE($B$41,-MIN(6,'Вводные'!$E$89)),DS$3&lt;$B$41),$B$54/MAX(1,MIN(6,'Вводные'!$E$89)),0)</x:f>
        <x:v>0</x:v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  <x:v>0</x:v>
      </x:c>
      <x:c r="C55" t="str">
        <x:v>млн ₽</x:v>
      </x:c>
      <x:c r="D55" s="117" t="n">
        <x:f>$B$55*D47</x:f>
        <x:v>0</x:v>
      </x:c>
      <x:c r="E55" s="117" t="n">
        <x:f>$B$55*E47</x:f>
        <x:v>0</x:v>
      </x:c>
      <x:c r="F55" s="117" t="n">
        <x:f>$B$55*F47</x:f>
        <x:v>0</x:v>
      </x:c>
      <x:c r="G55" s="117" t="n">
        <x:f>$B$55*G47</x:f>
        <x:v>0</x:v>
      </x:c>
      <x:c r="H55" s="117" t="n">
        <x:f>$B$55*H47</x:f>
        <x:v>0</x:v>
      </x:c>
      <x:c r="I55" s="117" t="n">
        <x:f>$B$55*I47</x:f>
        <x:v>0</x:v>
      </x:c>
      <x:c r="J55" s="117" t="n">
        <x:f>$B$55*J47</x:f>
        <x:v>0</x:v>
      </x:c>
      <x:c r="K55" s="117" t="n">
        <x:f>$B$55*K47</x:f>
        <x:v>0</x:v>
      </x:c>
      <x:c r="L55" s="117" t="n">
        <x:f>$B$55*L47</x:f>
        <x:v>0</x:v>
      </x:c>
      <x:c r="M55" s="117" t="n">
        <x:f>$B$55*M47</x:f>
        <x:v>0</x:v>
      </x:c>
      <x:c r="N55" s="117" t="n">
        <x:f>$B$55*N47</x:f>
        <x:v>0</x:v>
      </x:c>
      <x:c r="O55" s="117" t="n">
        <x:f>$B$55*O47</x:f>
        <x:v>0</x:v>
      </x:c>
      <x:c r="P55" s="117" t="n">
        <x:f>$B$55*P47</x:f>
        <x:v>0</x:v>
      </x:c>
      <x:c r="Q55" s="117" t="n">
        <x:f>$B$55*Q47</x:f>
        <x:v>0</x:v>
      </x:c>
      <x:c r="R55" s="117" t="n">
        <x:f>$B$55*R47</x:f>
        <x:v>0</x:v>
      </x:c>
      <x:c r="S55" s="117" t="n">
        <x:f>$B$55*S47</x:f>
        <x:v>0</x:v>
      </x:c>
      <x:c r="T55" s="117" t="n">
        <x:f>$B$55*T47</x:f>
        <x:v>0</x:v>
      </x:c>
      <x:c r="U55" s="117" t="n">
        <x:f>$B$55*U47</x:f>
        <x:v>0</x:v>
      </x:c>
      <x:c r="V55" s="117" t="n">
        <x:f>$B$55*V47</x:f>
        <x:v>0</x:v>
      </x:c>
      <x:c r="W55" s="117" t="n">
        <x:f>$B$55*W47</x:f>
        <x:v>0</x:v>
      </x:c>
      <x:c r="X55" s="117" t="n">
        <x:f>$B$55*X47</x:f>
        <x:v>0</x:v>
      </x:c>
      <x:c r="Y55" s="117" t="n">
        <x:f>$B$55*Y47</x:f>
        <x:v>0</x:v>
      </x:c>
      <x:c r="Z55" s="117" t="n">
        <x:f>$B$55*Z47</x:f>
        <x:v>0</x:v>
      </x:c>
      <x:c r="AA55" s="117" t="n">
        <x:f>$B$55*AA47</x:f>
        <x:v>0</x:v>
      </x:c>
      <x:c r="AB55" s="117" t="n">
        <x:f>$B$55*AB47</x:f>
        <x:v>0</x:v>
      </x:c>
      <x:c r="AC55" s="117" t="n">
        <x:f>$B$55*AC47</x:f>
        <x:v>0</x:v>
      </x:c>
      <x:c r="AD55" s="117" t="n">
        <x:f>$B$55*AD47</x:f>
        <x:v>0</x:v>
      </x:c>
      <x:c r="AE55" s="117" t="n">
        <x:f>$B$55*AE47</x:f>
        <x:v>0</x:v>
      </x:c>
      <x:c r="AF55" s="117" t="n">
        <x:f>$B$55*AF47</x:f>
        <x:v>0</x:v>
      </x:c>
      <x:c r="AG55" s="117" t="n">
        <x:f>$B$55*AG47</x:f>
        <x:v>0</x:v>
      </x:c>
      <x:c r="AH55" s="117" t="n">
        <x:f>$B$55*AH47</x:f>
        <x:v>0</x:v>
      </x:c>
      <x:c r="AI55" s="117" t="n">
        <x:f>$B$55*AI47</x:f>
        <x:v>0</x:v>
      </x:c>
      <x:c r="AJ55" s="117" t="n">
        <x:f>$B$55*AJ47</x:f>
        <x:v>0</x:v>
      </x:c>
      <x:c r="AK55" s="117" t="n">
        <x:f>$B$55*AK47</x:f>
        <x:v>0</x:v>
      </x:c>
      <x:c r="AL55" s="117" t="n">
        <x:f>$B$55*AL47</x:f>
        <x:v>0</x:v>
      </x:c>
      <x:c r="AM55" s="117" t="n">
        <x:f>$B$55*AM47</x:f>
        <x:v>0</x:v>
      </x:c>
      <x:c r="AN55" s="117" t="n">
        <x:f>$B$55*AN47</x:f>
        <x:v>0</x:v>
      </x:c>
      <x:c r="AO55" s="117" t="n">
        <x:f>$B$55*AO47</x:f>
        <x:v>0</x:v>
      </x:c>
      <x:c r="AP55" s="117" t="n">
        <x:f>$B$55*AP47</x:f>
        <x:v>0</x:v>
      </x:c>
      <x:c r="AQ55" s="117" t="n">
        <x:f>$B$55*AQ47</x:f>
        <x:v>0</x:v>
      </x:c>
      <x:c r="AR55" s="117" t="n">
        <x:f>$B$55*AR47</x:f>
        <x:v>0</x:v>
      </x:c>
      <x:c r="AS55" s="117" t="n">
        <x:f>$B$55*AS47</x:f>
        <x:v>0</x:v>
      </x:c>
      <x:c r="AT55" s="117" t="n">
        <x:f>$B$55*AT47</x:f>
        <x:v>0</x:v>
      </x:c>
      <x:c r="AU55" s="117" t="n">
        <x:f>$B$55*AU47</x:f>
        <x:v>0</x:v>
      </x:c>
      <x:c r="AV55" s="117" t="n">
        <x:f>$B$55*AV47</x:f>
        <x:v>0</x:v>
      </x:c>
      <x:c r="AW55" s="117" t="n">
        <x:f>$B$55*AW47</x:f>
        <x:v>0</x:v>
      </x:c>
      <x:c r="AX55" s="117" t="n">
        <x:f>$B$55*AX47</x:f>
        <x:v>0</x:v>
      </x:c>
      <x:c r="AY55" s="117" t="n">
        <x:f>$B$55*AY47</x:f>
        <x:v>0</x:v>
      </x:c>
      <x:c r="AZ55" s="117" t="n">
        <x:f>$B$55*AZ47</x:f>
        <x:v>0</x:v>
      </x:c>
      <x:c r="BA55" s="117" t="n">
        <x:f>$B$55*BA47</x:f>
        <x:v>0</x:v>
      </x:c>
      <x:c r="BB55" s="117" t="n">
        <x:f>$B$55*BB47</x:f>
        <x:v>0</x:v>
      </x:c>
      <x:c r="BC55" s="117" t="n">
        <x:f>$B$55*BC47</x:f>
        <x:v>0</x:v>
      </x:c>
      <x:c r="BD55" s="117" t="n">
        <x:f>$B$55*BD47</x:f>
        <x:v>0</x:v>
      </x:c>
      <x:c r="BE55" s="117" t="n">
        <x:f>$B$55*BE47</x:f>
        <x:v>0</x:v>
      </x:c>
      <x:c r="BF55" s="117" t="n">
        <x:f>$B$55*BF47</x:f>
        <x:v>0</x:v>
      </x:c>
      <x:c r="BG55" s="117" t="n">
        <x:f>$B$55*BG47</x:f>
        <x:v>0</x:v>
      </x:c>
      <x:c r="BH55" s="117" t="n">
        <x:f>$B$55*BH47</x:f>
        <x:v>0</x:v>
      </x:c>
      <x:c r="BI55" s="117" t="n">
        <x:f>$B$55*BI47</x:f>
        <x:v>0</x:v>
      </x:c>
      <x:c r="BJ55" s="117" t="n">
        <x:f>$B$55*BJ47</x:f>
        <x:v>0</x:v>
      </x:c>
      <x:c r="BK55" s="117" t="n">
        <x:f>$B$55*BK47</x:f>
        <x:v>0</x:v>
      </x:c>
      <x:c r="BL55" s="117" t="n">
        <x:f>$B$55*BL47</x:f>
        <x:v>0</x:v>
      </x:c>
      <x:c r="BM55" s="117" t="n">
        <x:f>$B$55*BM47</x:f>
        <x:v>0</x:v>
      </x:c>
      <x:c r="BN55" s="117" t="n">
        <x:f>$B$55*BN47</x:f>
        <x:v>0</x:v>
      </x:c>
      <x:c r="BO55" s="117" t="n">
        <x:f>$B$55*BO47</x:f>
        <x:v>0</x:v>
      </x:c>
      <x:c r="BP55" s="117" t="n">
        <x:f>$B$55*BP47</x:f>
        <x:v>0</x:v>
      </x:c>
      <x:c r="BQ55" s="117" t="n">
        <x:f>$B$55*BQ47</x:f>
        <x:v>0</x:v>
      </x:c>
      <x:c r="BR55" s="117" t="n">
        <x:f>$B$55*BR47</x:f>
        <x:v>0</x:v>
      </x:c>
      <x:c r="BS55" s="117" t="n">
        <x:f>$B$55*BS47</x:f>
        <x:v>0</x:v>
      </x:c>
      <x:c r="BT55" s="117" t="n">
        <x:f>$B$55*BT47</x:f>
        <x:v>0</x:v>
      </x:c>
      <x:c r="BU55" s="117" t="n">
        <x:f>$B$55*BU47</x:f>
        <x:v>0</x:v>
      </x:c>
      <x:c r="BV55" s="117" t="n">
        <x:f>$B$55*BV47</x:f>
        <x:v>0</x:v>
      </x:c>
      <x:c r="BW55" s="117" t="n">
        <x:f>$B$55*BW47</x:f>
        <x:v>0</x:v>
      </x:c>
      <x:c r="BX55" s="117" t="n">
        <x:f>$B$55*BX47</x:f>
        <x:v>0</x:v>
      </x:c>
      <x:c r="BY55" s="117" t="n">
        <x:f>$B$55*BY47</x:f>
        <x:v>0</x:v>
      </x:c>
      <x:c r="BZ55" s="117" t="n">
        <x:f>$B$55*BZ47</x:f>
        <x:v>0</x:v>
      </x:c>
      <x:c r="CA55" s="117" t="n">
        <x:f>$B$55*CA47</x:f>
        <x:v>0</x:v>
      </x:c>
      <x:c r="CB55" s="117" t="n">
        <x:f>$B$55*CB47</x:f>
        <x:v>0</x:v>
      </x:c>
      <x:c r="CC55" s="117" t="n">
        <x:f>$B$55*CC47</x:f>
        <x:v>0</x:v>
      </x:c>
      <x:c r="CD55" s="117" t="n">
        <x:f>$B$55*CD47</x:f>
        <x:v>0</x:v>
      </x:c>
      <x:c r="CE55" s="117" t="n">
        <x:f>$B$55*CE47</x:f>
        <x:v>0</x:v>
      </x:c>
      <x:c r="CF55" s="117" t="n">
        <x:f>$B$55*CF47</x:f>
        <x:v>0</x:v>
      </x:c>
      <x:c r="CG55" s="117" t="n">
        <x:f>$B$55*CG47</x:f>
        <x:v>0</x:v>
      </x:c>
      <x:c r="CH55" s="117" t="n">
        <x:f>$B$55*CH47</x:f>
        <x:v>0</x:v>
      </x:c>
      <x:c r="CI55" s="117" t="n">
        <x:f>$B$55*CI47</x:f>
        <x:v>0</x:v>
      </x:c>
      <x:c r="CJ55" s="117" t="n">
        <x:f>$B$55*CJ47</x:f>
        <x:v>0</x:v>
      </x:c>
      <x:c r="CK55" s="117" t="n">
        <x:f>$B$55*CK47</x:f>
        <x:v>0</x:v>
      </x:c>
      <x:c r="CL55" s="117" t="n">
        <x:f>$B$55*CL47</x:f>
        <x:v>0</x:v>
      </x:c>
      <x:c r="CM55" s="117" t="n">
        <x:f>$B$55*CM47</x:f>
        <x:v>0</x:v>
      </x:c>
      <x:c r="CN55" s="117" t="n">
        <x:f>$B$55*CN47</x:f>
        <x:v>0</x:v>
      </x:c>
      <x:c r="CO55" s="117" t="n">
        <x:f>$B$55*CO47</x:f>
        <x:v>0</x:v>
      </x:c>
      <x:c r="CP55" s="117" t="n">
        <x:f>$B$55*CP47</x:f>
        <x:v>0</x:v>
      </x:c>
      <x:c r="CQ55" s="117" t="n">
        <x:f>$B$55*CQ47</x:f>
        <x:v>0</x:v>
      </x:c>
      <x:c r="CR55" s="117" t="n">
        <x:f>$B$55*CR47</x:f>
        <x:v>0</x:v>
      </x:c>
      <x:c r="CS55" s="117" t="n">
        <x:f>$B$55*CS47</x:f>
        <x:v>0</x:v>
      </x:c>
      <x:c r="CT55" s="117" t="n">
        <x:f>$B$55*CT47</x:f>
        <x:v>0</x:v>
      </x:c>
      <x:c r="CU55" s="117" t="n">
        <x:f>$B$55*CU47</x:f>
        <x:v>0</x:v>
      </x:c>
      <x:c r="CV55" s="117" t="n">
        <x:f>$B$55*CV47</x:f>
        <x:v>0</x:v>
      </x:c>
      <x:c r="CW55" s="117" t="n">
        <x:f>$B$55*CW47</x:f>
        <x:v>0</x:v>
      </x:c>
      <x:c r="CX55" s="117" t="n">
        <x:f>$B$55*CX47</x:f>
        <x:v>0</x:v>
      </x:c>
      <x:c r="CY55" s="117" t="n">
        <x:f>$B$55*CY47</x:f>
        <x:v>0</x:v>
      </x:c>
      <x:c r="CZ55" s="117" t="n">
        <x:f>$B$55*CZ47</x:f>
        <x:v>0</x:v>
      </x:c>
      <x:c r="DA55" s="117" t="n">
        <x:f>$B$55*DA47</x:f>
        <x:v>0</x:v>
      </x:c>
      <x:c r="DB55" s="117" t="n">
        <x:f>$B$55*DB47</x:f>
        <x:v>0</x:v>
      </x:c>
      <x:c r="DC55" s="117" t="n">
        <x:f>$B$55*DC47</x:f>
        <x:v>0</x:v>
      </x:c>
      <x:c r="DD55" s="117" t="n">
        <x:f>$B$55*DD47</x:f>
        <x:v>0</x:v>
      </x:c>
      <x:c r="DE55" s="117" t="n">
        <x:f>$B$55*DE47</x:f>
        <x:v>0</x:v>
      </x:c>
      <x:c r="DF55" s="117" t="n">
        <x:f>$B$55*DF47</x:f>
        <x:v>0</x:v>
      </x:c>
      <x:c r="DG55" s="117" t="n">
        <x:f>$B$55*DG47</x:f>
        <x:v>0</x:v>
      </x:c>
      <x:c r="DH55" s="117" t="n">
        <x:f>$B$55*DH47</x:f>
        <x:v>0</x:v>
      </x:c>
      <x:c r="DI55" s="117" t="n">
        <x:f>$B$55*DI47</x:f>
        <x:v>0</x:v>
      </x:c>
      <x:c r="DJ55" s="117" t="n">
        <x:f>$B$55*DJ47</x:f>
        <x:v>0</x:v>
      </x:c>
      <x:c r="DK55" s="117" t="n">
        <x:f>$B$55*DK47</x:f>
        <x:v>0</x:v>
      </x:c>
      <x:c r="DL55" s="117" t="n">
        <x:f>$B$55*DL47</x:f>
        <x:v>0</x:v>
      </x:c>
      <x:c r="DM55" s="117" t="n">
        <x:f>$B$55*DM47</x:f>
        <x:v>0</x:v>
      </x:c>
      <x:c r="DN55" s="117" t="n">
        <x:f>$B$55*DN47</x:f>
        <x:v>0</x:v>
      </x:c>
      <x:c r="DO55" s="117" t="n">
        <x:f>$B$55*DO47</x:f>
        <x:v>0</x:v>
      </x:c>
      <x:c r="DP55" s="117" t="n">
        <x:f>$B$55*DP47</x:f>
        <x:v>0</x:v>
      </x:c>
      <x:c r="DQ55" s="117" t="n">
        <x:f>$B$55*DQ47</x:f>
        <x:v>0</x:v>
      </x:c>
      <x:c r="DR55" s="117" t="n">
        <x:f>$B$55*DR47</x:f>
        <x:v>0</x:v>
      </x:c>
      <x:c r="DS55" s="117" t="n">
        <x:f>$B$55*DS47</x:f>
        <x:v>0</x:v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  <x:v>0</x:v>
      </x:c>
      <x:c r="C56" t="str">
        <x:v>млн ₽</x:v>
      </x:c>
      <x:c r="D56" s="117" t="n">
        <x:f>$B$56*D47</x:f>
        <x:v>0</x:v>
      </x:c>
      <x:c r="E56" s="117" t="n">
        <x:f>$B$56*E47</x:f>
        <x:v>0</x:v>
      </x:c>
      <x:c r="F56" s="117" t="n">
        <x:f>$B$56*F47</x:f>
        <x:v>0</x:v>
      </x:c>
      <x:c r="G56" s="117" t="n">
        <x:f>$B$56*G47</x:f>
        <x:v>0</x:v>
      </x:c>
      <x:c r="H56" s="117" t="n">
        <x:f>$B$56*H47</x:f>
        <x:v>0</x:v>
      </x:c>
      <x:c r="I56" s="117" t="n">
        <x:f>$B$56*I47</x:f>
        <x:v>0</x:v>
      </x:c>
      <x:c r="J56" s="117" t="n">
        <x:f>$B$56*J47</x:f>
        <x:v>0</x:v>
      </x:c>
      <x:c r="K56" s="117" t="n">
        <x:f>$B$56*K47</x:f>
        <x:v>0</x:v>
      </x:c>
      <x:c r="L56" s="117" t="n">
        <x:f>$B$56*L47</x:f>
        <x:v>0</x:v>
      </x:c>
      <x:c r="M56" s="117" t="n">
        <x:f>$B$56*M47</x:f>
        <x:v>0</x:v>
      </x:c>
      <x:c r="N56" s="117" t="n">
        <x:f>$B$56*N47</x:f>
        <x:v>0</x:v>
      </x:c>
      <x:c r="O56" s="117" t="n">
        <x:f>$B$56*O47</x:f>
        <x:v>0</x:v>
      </x:c>
      <x:c r="P56" s="117" t="n">
        <x:f>$B$56*P47</x:f>
        <x:v>0</x:v>
      </x:c>
      <x:c r="Q56" s="117" t="n">
        <x:f>$B$56*Q47</x:f>
        <x:v>0</x:v>
      </x:c>
      <x:c r="R56" s="117" t="n">
        <x:f>$B$56*R47</x:f>
        <x:v>0</x:v>
      </x:c>
      <x:c r="S56" s="117" t="n">
        <x:f>$B$56*S47</x:f>
        <x:v>0</x:v>
      </x:c>
      <x:c r="T56" s="117" t="n">
        <x:f>$B$56*T47</x:f>
        <x:v>0</x:v>
      </x:c>
      <x:c r="U56" s="117" t="n">
        <x:f>$B$56*U47</x:f>
        <x:v>0</x:v>
      </x:c>
      <x:c r="V56" s="117" t="n">
        <x:f>$B$56*V47</x:f>
        <x:v>0</x:v>
      </x:c>
      <x:c r="W56" s="117" t="n">
        <x:f>$B$56*W47</x:f>
        <x:v>0</x:v>
      </x:c>
      <x:c r="X56" s="117" t="n">
        <x:f>$B$56*X47</x:f>
        <x:v>0</x:v>
      </x:c>
      <x:c r="Y56" s="117" t="n">
        <x:f>$B$56*Y47</x:f>
        <x:v>0</x:v>
      </x:c>
      <x:c r="Z56" s="117" t="n">
        <x:f>$B$56*Z47</x:f>
        <x:v>0</x:v>
      </x:c>
      <x:c r="AA56" s="117" t="n">
        <x:f>$B$56*AA47</x:f>
        <x:v>0</x:v>
      </x:c>
      <x:c r="AB56" s="117" t="n">
        <x:f>$B$56*AB47</x:f>
        <x:v>0</x:v>
      </x:c>
      <x:c r="AC56" s="117" t="n">
        <x:f>$B$56*AC47</x:f>
        <x:v>0</x:v>
      </x:c>
      <x:c r="AD56" s="117" t="n">
        <x:f>$B$56*AD47</x:f>
        <x:v>0</x:v>
      </x:c>
      <x:c r="AE56" s="117" t="n">
        <x:f>$B$56*AE47</x:f>
        <x:v>0</x:v>
      </x:c>
      <x:c r="AF56" s="117" t="n">
        <x:f>$B$56*AF47</x:f>
        <x:v>0</x:v>
      </x:c>
      <x:c r="AG56" s="117" t="n">
        <x:f>$B$56*AG47</x:f>
        <x:v>0</x:v>
      </x:c>
      <x:c r="AH56" s="117" t="n">
        <x:f>$B$56*AH47</x:f>
        <x:v>0</x:v>
      </x:c>
      <x:c r="AI56" s="117" t="n">
        <x:f>$B$56*AI47</x:f>
        <x:v>0</x:v>
      </x:c>
      <x:c r="AJ56" s="117" t="n">
        <x:f>$B$56*AJ47</x:f>
        <x:v>0</x:v>
      </x:c>
      <x:c r="AK56" s="117" t="n">
        <x:f>$B$56*AK47</x:f>
        <x:v>0</x:v>
      </x:c>
      <x:c r="AL56" s="117" t="n">
        <x:f>$B$56*AL47</x:f>
        <x:v>0</x:v>
      </x:c>
      <x:c r="AM56" s="117" t="n">
        <x:f>$B$56*AM47</x:f>
        <x:v>0</x:v>
      </x:c>
      <x:c r="AN56" s="117" t="n">
        <x:f>$B$56*AN47</x:f>
        <x:v>0</x:v>
      </x:c>
      <x:c r="AO56" s="117" t="n">
        <x:f>$B$56*AO47</x:f>
        <x:v>0</x:v>
      </x:c>
      <x:c r="AP56" s="117" t="n">
        <x:f>$B$56*AP47</x:f>
        <x:v>0</x:v>
      </x:c>
      <x:c r="AQ56" s="117" t="n">
        <x:f>$B$56*AQ47</x:f>
        <x:v>0</x:v>
      </x:c>
      <x:c r="AR56" s="117" t="n">
        <x:f>$B$56*AR47</x:f>
        <x:v>0</x:v>
      </x:c>
      <x:c r="AS56" s="117" t="n">
        <x:f>$B$56*AS47</x:f>
        <x:v>0</x:v>
      </x:c>
      <x:c r="AT56" s="117" t="n">
        <x:f>$B$56*AT47</x:f>
        <x:v>0</x:v>
      </x:c>
      <x:c r="AU56" s="117" t="n">
        <x:f>$B$56*AU47</x:f>
        <x:v>0</x:v>
      </x:c>
      <x:c r="AV56" s="117" t="n">
        <x:f>$B$56*AV47</x:f>
        <x:v>0</x:v>
      </x:c>
      <x:c r="AW56" s="117" t="n">
        <x:f>$B$56*AW47</x:f>
        <x:v>0</x:v>
      </x:c>
      <x:c r="AX56" s="117" t="n">
        <x:f>$B$56*AX47</x:f>
        <x:v>0</x:v>
      </x:c>
      <x:c r="AY56" s="117" t="n">
        <x:f>$B$56*AY47</x:f>
        <x:v>0</x:v>
      </x:c>
      <x:c r="AZ56" s="117" t="n">
        <x:f>$B$56*AZ47</x:f>
        <x:v>0</x:v>
      </x:c>
      <x:c r="BA56" s="117" t="n">
        <x:f>$B$56*BA47</x:f>
        <x:v>0</x:v>
      </x:c>
      <x:c r="BB56" s="117" t="n">
        <x:f>$B$56*BB47</x:f>
        <x:v>0</x:v>
      </x:c>
      <x:c r="BC56" s="117" t="n">
        <x:f>$B$56*BC47</x:f>
        <x:v>0</x:v>
      </x:c>
      <x:c r="BD56" s="117" t="n">
        <x:f>$B$56*BD47</x:f>
        <x:v>0</x:v>
      </x:c>
      <x:c r="BE56" s="117" t="n">
        <x:f>$B$56*BE47</x:f>
        <x:v>0</x:v>
      </x:c>
      <x:c r="BF56" s="117" t="n">
        <x:f>$B$56*BF47</x:f>
        <x:v>0</x:v>
      </x:c>
      <x:c r="BG56" s="117" t="n">
        <x:f>$B$56*BG47</x:f>
        <x:v>0</x:v>
      </x:c>
      <x:c r="BH56" s="117" t="n">
        <x:f>$B$56*BH47</x:f>
        <x:v>0</x:v>
      </x:c>
      <x:c r="BI56" s="117" t="n">
        <x:f>$B$56*BI47</x:f>
        <x:v>0</x:v>
      </x:c>
      <x:c r="BJ56" s="117" t="n">
        <x:f>$B$56*BJ47</x:f>
        <x:v>0</x:v>
      </x:c>
      <x:c r="BK56" s="117" t="n">
        <x:f>$B$56*BK47</x:f>
        <x:v>0</x:v>
      </x:c>
      <x:c r="BL56" s="117" t="n">
        <x:f>$B$56*BL47</x:f>
        <x:v>0</x:v>
      </x:c>
      <x:c r="BM56" s="117" t="n">
        <x:f>$B$56*BM47</x:f>
        <x:v>0</x:v>
      </x:c>
      <x:c r="BN56" s="117" t="n">
        <x:f>$B$56*BN47</x:f>
        <x:v>0</x:v>
      </x:c>
      <x:c r="BO56" s="117" t="n">
        <x:f>$B$56*BO47</x:f>
        <x:v>0</x:v>
      </x:c>
      <x:c r="BP56" s="117" t="n">
        <x:f>$B$56*BP47</x:f>
        <x:v>0</x:v>
      </x:c>
      <x:c r="BQ56" s="117" t="n">
        <x:f>$B$56*BQ47</x:f>
        <x:v>0</x:v>
      </x:c>
      <x:c r="BR56" s="117" t="n">
        <x:f>$B$56*BR47</x:f>
        <x:v>0</x:v>
      </x:c>
      <x:c r="BS56" s="117" t="n">
        <x:f>$B$56*BS47</x:f>
        <x:v>0</x:v>
      </x:c>
      <x:c r="BT56" s="117" t="n">
        <x:f>$B$56*BT47</x:f>
        <x:v>0</x:v>
      </x:c>
      <x:c r="BU56" s="117" t="n">
        <x:f>$B$56*BU47</x:f>
        <x:v>0</x:v>
      </x:c>
      <x:c r="BV56" s="117" t="n">
        <x:f>$B$56*BV47</x:f>
        <x:v>0</x:v>
      </x:c>
      <x:c r="BW56" s="117" t="n">
        <x:f>$B$56*BW47</x:f>
        <x:v>0</x:v>
      </x:c>
      <x:c r="BX56" s="117" t="n">
        <x:f>$B$56*BX47</x:f>
        <x:v>0</x:v>
      </x:c>
      <x:c r="BY56" s="117" t="n">
        <x:f>$B$56*BY47</x:f>
        <x:v>0</x:v>
      </x:c>
      <x:c r="BZ56" s="117" t="n">
        <x:f>$B$56*BZ47</x:f>
        <x:v>0</x:v>
      </x:c>
      <x:c r="CA56" s="117" t="n">
        <x:f>$B$56*CA47</x:f>
        <x:v>0</x:v>
      </x:c>
      <x:c r="CB56" s="117" t="n">
        <x:f>$B$56*CB47</x:f>
        <x:v>0</x:v>
      </x:c>
      <x:c r="CC56" s="117" t="n">
        <x:f>$B$56*CC47</x:f>
        <x:v>0</x:v>
      </x:c>
      <x:c r="CD56" s="117" t="n">
        <x:f>$B$56*CD47</x:f>
        <x:v>0</x:v>
      </x:c>
      <x:c r="CE56" s="117" t="n">
        <x:f>$B$56*CE47</x:f>
        <x:v>0</x:v>
      </x:c>
      <x:c r="CF56" s="117" t="n">
        <x:f>$B$56*CF47</x:f>
        <x:v>0</x:v>
      </x:c>
      <x:c r="CG56" s="117" t="n">
        <x:f>$B$56*CG47</x:f>
        <x:v>0</x:v>
      </x:c>
      <x:c r="CH56" s="117" t="n">
        <x:f>$B$56*CH47</x:f>
        <x:v>0</x:v>
      </x:c>
      <x:c r="CI56" s="117" t="n">
        <x:f>$B$56*CI47</x:f>
        <x:v>0</x:v>
      </x:c>
      <x:c r="CJ56" s="117" t="n">
        <x:f>$B$56*CJ47</x:f>
        <x:v>0</x:v>
      </x:c>
      <x:c r="CK56" s="117" t="n">
        <x:f>$B$56*CK47</x:f>
        <x:v>0</x:v>
      </x:c>
      <x:c r="CL56" s="117" t="n">
        <x:f>$B$56*CL47</x:f>
        <x:v>0</x:v>
      </x:c>
      <x:c r="CM56" s="117" t="n">
        <x:f>$B$56*CM47</x:f>
        <x:v>0</x:v>
      </x:c>
      <x:c r="CN56" s="117" t="n">
        <x:f>$B$56*CN47</x:f>
        <x:v>0</x:v>
      </x:c>
      <x:c r="CO56" s="117" t="n">
        <x:f>$B$56*CO47</x:f>
        <x:v>0</x:v>
      </x:c>
      <x:c r="CP56" s="117" t="n">
        <x:f>$B$56*CP47</x:f>
        <x:v>0</x:v>
      </x:c>
      <x:c r="CQ56" s="117" t="n">
        <x:f>$B$56*CQ47</x:f>
        <x:v>0</x:v>
      </x:c>
      <x:c r="CR56" s="117" t="n">
        <x:f>$B$56*CR47</x:f>
        <x:v>0</x:v>
      </x:c>
      <x:c r="CS56" s="117" t="n">
        <x:f>$B$56*CS47</x:f>
        <x:v>0</x:v>
      </x:c>
      <x:c r="CT56" s="117" t="n">
        <x:f>$B$56*CT47</x:f>
        <x:v>0</x:v>
      </x:c>
      <x:c r="CU56" s="117" t="n">
        <x:f>$B$56*CU47</x:f>
        <x:v>0</x:v>
      </x:c>
      <x:c r="CV56" s="117" t="n">
        <x:f>$B$56*CV47</x:f>
        <x:v>0</x:v>
      </x:c>
      <x:c r="CW56" s="117" t="n">
        <x:f>$B$56*CW47</x:f>
        <x:v>0</x:v>
      </x:c>
      <x:c r="CX56" s="117" t="n">
        <x:f>$B$56*CX47</x:f>
        <x:v>0</x:v>
      </x:c>
      <x:c r="CY56" s="117" t="n">
        <x:f>$B$56*CY47</x:f>
        <x:v>0</x:v>
      </x:c>
      <x:c r="CZ56" s="117" t="n">
        <x:f>$B$56*CZ47</x:f>
        <x:v>0</x:v>
      </x:c>
      <x:c r="DA56" s="117" t="n">
        <x:f>$B$56*DA47</x:f>
        <x:v>0</x:v>
      </x:c>
      <x:c r="DB56" s="117" t="n">
        <x:f>$B$56*DB47</x:f>
        <x:v>0</x:v>
      </x:c>
      <x:c r="DC56" s="117" t="n">
        <x:f>$B$56*DC47</x:f>
        <x:v>0</x:v>
      </x:c>
      <x:c r="DD56" s="117" t="n">
        <x:f>$B$56*DD47</x:f>
        <x:v>0</x:v>
      </x:c>
      <x:c r="DE56" s="117" t="n">
        <x:f>$B$56*DE47</x:f>
        <x:v>0</x:v>
      </x:c>
      <x:c r="DF56" s="117" t="n">
        <x:f>$B$56*DF47</x:f>
        <x:v>0</x:v>
      </x:c>
      <x:c r="DG56" s="117" t="n">
        <x:f>$B$56*DG47</x:f>
        <x:v>0</x:v>
      </x:c>
      <x:c r="DH56" s="117" t="n">
        <x:f>$B$56*DH47</x:f>
        <x:v>0</x:v>
      </x:c>
      <x:c r="DI56" s="117" t="n">
        <x:f>$B$56*DI47</x:f>
        <x:v>0</x:v>
      </x:c>
      <x:c r="DJ56" s="117" t="n">
        <x:f>$B$56*DJ47</x:f>
        <x:v>0</x:v>
      </x:c>
      <x:c r="DK56" s="117" t="n">
        <x:f>$B$56*DK47</x:f>
        <x:v>0</x:v>
      </x:c>
      <x:c r="DL56" s="117" t="n">
        <x:f>$B$56*DL47</x:f>
        <x:v>0</x:v>
      </x:c>
      <x:c r="DM56" s="117" t="n">
        <x:f>$B$56*DM47</x:f>
        <x:v>0</x:v>
      </x:c>
      <x:c r="DN56" s="117" t="n">
        <x:f>$B$56*DN47</x:f>
        <x:v>0</x:v>
      </x:c>
      <x:c r="DO56" s="117" t="n">
        <x:f>$B$56*DO47</x:f>
        <x:v>0</x:v>
      </x:c>
      <x:c r="DP56" s="117" t="n">
        <x:f>$B$56*DP47</x:f>
        <x:v>0</x:v>
      </x:c>
      <x:c r="DQ56" s="117" t="n">
        <x:f>$B$56*DQ47</x:f>
        <x:v>0</x:v>
      </x:c>
      <x:c r="DR56" s="117" t="n">
        <x:f>$B$56*DR47</x:f>
        <x:v>0</x:v>
      </x:c>
      <x:c r="DS56" s="117" t="n">
        <x:f>$B$56*DS47</x:f>
        <x:v>0</x:v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  <x:v>0</x:v>
      </x:c>
      <x:c r="C57" t="str">
        <x:v>млн ₽</x:v>
      </x:c>
      <x:c r="D57" s="117" t="n">
        <x:f>$B$57*D47</x:f>
        <x:v>0</x:v>
      </x:c>
      <x:c r="E57" s="117" t="n">
        <x:f>$B$57*E47</x:f>
        <x:v>0</x:v>
      </x:c>
      <x:c r="F57" s="117" t="n">
        <x:f>$B$57*F47</x:f>
        <x:v>0</x:v>
      </x:c>
      <x:c r="G57" s="117" t="n">
        <x:f>$B$57*G47</x:f>
        <x:v>0</x:v>
      </x:c>
      <x:c r="H57" s="117" t="n">
        <x:f>$B$57*H47</x:f>
        <x:v>0</x:v>
      </x:c>
      <x:c r="I57" s="117" t="n">
        <x:f>$B$57*I47</x:f>
        <x:v>0</x:v>
      </x:c>
      <x:c r="J57" s="117" t="n">
        <x:f>$B$57*J47</x:f>
        <x:v>0</x:v>
      </x:c>
      <x:c r="K57" s="117" t="n">
        <x:f>$B$57*K47</x:f>
        <x:v>0</x:v>
      </x:c>
      <x:c r="L57" s="117" t="n">
        <x:f>$B$57*L47</x:f>
        <x:v>0</x:v>
      </x:c>
      <x:c r="M57" s="117" t="n">
        <x:f>$B$57*M47</x:f>
        <x:v>0</x:v>
      </x:c>
      <x:c r="N57" s="117" t="n">
        <x:f>$B$57*N47</x:f>
        <x:v>0</x:v>
      </x:c>
      <x:c r="O57" s="117" t="n">
        <x:f>$B$57*O47</x:f>
        <x:v>0</x:v>
      </x:c>
      <x:c r="P57" s="117" t="n">
        <x:f>$B$57*P47</x:f>
        <x:v>0</x:v>
      </x:c>
      <x:c r="Q57" s="117" t="n">
        <x:f>$B$57*Q47</x:f>
        <x:v>0</x:v>
      </x:c>
      <x:c r="R57" s="117" t="n">
        <x:f>$B$57*R47</x:f>
        <x:v>0</x:v>
      </x:c>
      <x:c r="S57" s="117" t="n">
        <x:f>$B$57*S47</x:f>
        <x:v>0</x:v>
      </x:c>
      <x:c r="T57" s="117" t="n">
        <x:f>$B$57*T47</x:f>
        <x:v>0</x:v>
      </x:c>
      <x:c r="U57" s="117" t="n">
        <x:f>$B$57*U47</x:f>
        <x:v>0</x:v>
      </x:c>
      <x:c r="V57" s="117" t="n">
        <x:f>$B$57*V47</x:f>
        <x:v>0</x:v>
      </x:c>
      <x:c r="W57" s="117" t="n">
        <x:f>$B$57*W47</x:f>
        <x:v>0</x:v>
      </x:c>
      <x:c r="X57" s="117" t="n">
        <x:f>$B$57*X47</x:f>
        <x:v>0</x:v>
      </x:c>
      <x:c r="Y57" s="117" t="n">
        <x:f>$B$57*Y47</x:f>
        <x:v>0</x:v>
      </x:c>
      <x:c r="Z57" s="117" t="n">
        <x:f>$B$57*Z47</x:f>
        <x:v>0</x:v>
      </x:c>
      <x:c r="AA57" s="117" t="n">
        <x:f>$B$57*AA47</x:f>
        <x:v>0</x:v>
      </x:c>
      <x:c r="AB57" s="117" t="n">
        <x:f>$B$57*AB47</x:f>
        <x:v>0</x:v>
      </x:c>
      <x:c r="AC57" s="117" t="n">
        <x:f>$B$57*AC47</x:f>
        <x:v>0</x:v>
      </x:c>
      <x:c r="AD57" s="117" t="n">
        <x:f>$B$57*AD47</x:f>
        <x:v>0</x:v>
      </x:c>
      <x:c r="AE57" s="117" t="n">
        <x:f>$B$57*AE47</x:f>
        <x:v>0</x:v>
      </x:c>
      <x:c r="AF57" s="117" t="n">
        <x:f>$B$57*AF47</x:f>
        <x:v>0</x:v>
      </x:c>
      <x:c r="AG57" s="117" t="n">
        <x:f>$B$57*AG47</x:f>
        <x:v>0</x:v>
      </x:c>
      <x:c r="AH57" s="117" t="n">
        <x:f>$B$57*AH47</x:f>
        <x:v>0</x:v>
      </x:c>
      <x:c r="AI57" s="117" t="n">
        <x:f>$B$57*AI47</x:f>
        <x:v>0</x:v>
      </x:c>
      <x:c r="AJ57" s="117" t="n">
        <x:f>$B$57*AJ47</x:f>
        <x:v>0</x:v>
      </x:c>
      <x:c r="AK57" s="117" t="n">
        <x:f>$B$57*AK47</x:f>
        <x:v>0</x:v>
      </x:c>
      <x:c r="AL57" s="117" t="n">
        <x:f>$B$57*AL47</x:f>
        <x:v>0</x:v>
      </x:c>
      <x:c r="AM57" s="117" t="n">
        <x:f>$B$57*AM47</x:f>
        <x:v>0</x:v>
      </x:c>
      <x:c r="AN57" s="117" t="n">
        <x:f>$B$57*AN47</x:f>
        <x:v>0</x:v>
      </x:c>
      <x:c r="AO57" s="117" t="n">
        <x:f>$B$57*AO47</x:f>
        <x:v>0</x:v>
      </x:c>
      <x:c r="AP57" s="117" t="n">
        <x:f>$B$57*AP47</x:f>
        <x:v>0</x:v>
      </x:c>
      <x:c r="AQ57" s="117" t="n">
        <x:f>$B$57*AQ47</x:f>
        <x:v>0</x:v>
      </x:c>
      <x:c r="AR57" s="117" t="n">
        <x:f>$B$57*AR47</x:f>
        <x:v>0</x:v>
      </x:c>
      <x:c r="AS57" s="117" t="n">
        <x:f>$B$57*AS47</x:f>
        <x:v>0</x:v>
      </x:c>
      <x:c r="AT57" s="117" t="n">
        <x:f>$B$57*AT47</x:f>
        <x:v>0</x:v>
      </x:c>
      <x:c r="AU57" s="117" t="n">
        <x:f>$B$57*AU47</x:f>
        <x:v>0</x:v>
      </x:c>
      <x:c r="AV57" s="117" t="n">
        <x:f>$B$57*AV47</x:f>
        <x:v>0</x:v>
      </x:c>
      <x:c r="AW57" s="117" t="n">
        <x:f>$B$57*AW47</x:f>
        <x:v>0</x:v>
      </x:c>
      <x:c r="AX57" s="117" t="n">
        <x:f>$B$57*AX47</x:f>
        <x:v>0</x:v>
      </x:c>
      <x:c r="AY57" s="117" t="n">
        <x:f>$B$57*AY47</x:f>
        <x:v>0</x:v>
      </x:c>
      <x:c r="AZ57" s="117" t="n">
        <x:f>$B$57*AZ47</x:f>
        <x:v>0</x:v>
      </x:c>
      <x:c r="BA57" s="117" t="n">
        <x:f>$B$57*BA47</x:f>
        <x:v>0</x:v>
      </x:c>
      <x:c r="BB57" s="117" t="n">
        <x:f>$B$57*BB47</x:f>
        <x:v>0</x:v>
      </x:c>
      <x:c r="BC57" s="117" t="n">
        <x:f>$B$57*BC47</x:f>
        <x:v>0</x:v>
      </x:c>
      <x:c r="BD57" s="117" t="n">
        <x:f>$B$57*BD47</x:f>
        <x:v>0</x:v>
      </x:c>
      <x:c r="BE57" s="117" t="n">
        <x:f>$B$57*BE47</x:f>
        <x:v>0</x:v>
      </x:c>
      <x:c r="BF57" s="117" t="n">
        <x:f>$B$57*BF47</x:f>
        <x:v>0</x:v>
      </x:c>
      <x:c r="BG57" s="117" t="n">
        <x:f>$B$57*BG47</x:f>
        <x:v>0</x:v>
      </x:c>
      <x:c r="BH57" s="117" t="n">
        <x:f>$B$57*BH47</x:f>
        <x:v>0</x:v>
      </x:c>
      <x:c r="BI57" s="117" t="n">
        <x:f>$B$57*BI47</x:f>
        <x:v>0</x:v>
      </x:c>
      <x:c r="BJ57" s="117" t="n">
        <x:f>$B$57*BJ47</x:f>
        <x:v>0</x:v>
      </x:c>
      <x:c r="BK57" s="117" t="n">
        <x:f>$B$57*BK47</x:f>
        <x:v>0</x:v>
      </x:c>
      <x:c r="BL57" s="117" t="n">
        <x:f>$B$57*BL47</x:f>
        <x:v>0</x:v>
      </x:c>
      <x:c r="BM57" s="117" t="n">
        <x:f>$B$57*BM47</x:f>
        <x:v>0</x:v>
      </x:c>
      <x:c r="BN57" s="117" t="n">
        <x:f>$B$57*BN47</x:f>
        <x:v>0</x:v>
      </x:c>
      <x:c r="BO57" s="117" t="n">
        <x:f>$B$57*BO47</x:f>
        <x:v>0</x:v>
      </x:c>
      <x:c r="BP57" s="117" t="n">
        <x:f>$B$57*BP47</x:f>
        <x:v>0</x:v>
      </x:c>
      <x:c r="BQ57" s="117" t="n">
        <x:f>$B$57*BQ47</x:f>
        <x:v>0</x:v>
      </x:c>
      <x:c r="BR57" s="117" t="n">
        <x:f>$B$57*BR47</x:f>
        <x:v>0</x:v>
      </x:c>
      <x:c r="BS57" s="117" t="n">
        <x:f>$B$57*BS47</x:f>
        <x:v>0</x:v>
      </x:c>
      <x:c r="BT57" s="117" t="n">
        <x:f>$B$57*BT47</x:f>
        <x:v>0</x:v>
      </x:c>
      <x:c r="BU57" s="117" t="n">
        <x:f>$B$57*BU47</x:f>
        <x:v>0</x:v>
      </x:c>
      <x:c r="BV57" s="117" t="n">
        <x:f>$B$57*BV47</x:f>
        <x:v>0</x:v>
      </x:c>
      <x:c r="BW57" s="117" t="n">
        <x:f>$B$57*BW47</x:f>
        <x:v>0</x:v>
      </x:c>
      <x:c r="BX57" s="117" t="n">
        <x:f>$B$57*BX47</x:f>
        <x:v>0</x:v>
      </x:c>
      <x:c r="BY57" s="117" t="n">
        <x:f>$B$57*BY47</x:f>
        <x:v>0</x:v>
      </x:c>
      <x:c r="BZ57" s="117" t="n">
        <x:f>$B$57*BZ47</x:f>
        <x:v>0</x:v>
      </x:c>
      <x:c r="CA57" s="117" t="n">
        <x:f>$B$57*CA47</x:f>
        <x:v>0</x:v>
      </x:c>
      <x:c r="CB57" s="117" t="n">
        <x:f>$B$57*CB47</x:f>
        <x:v>0</x:v>
      </x:c>
      <x:c r="CC57" s="117" t="n">
        <x:f>$B$57*CC47</x:f>
        <x:v>0</x:v>
      </x:c>
      <x:c r="CD57" s="117" t="n">
        <x:f>$B$57*CD47</x:f>
        <x:v>0</x:v>
      </x:c>
      <x:c r="CE57" s="117" t="n">
        <x:f>$B$57*CE47</x:f>
        <x:v>0</x:v>
      </x:c>
      <x:c r="CF57" s="117" t="n">
        <x:f>$B$57*CF47</x:f>
        <x:v>0</x:v>
      </x:c>
      <x:c r="CG57" s="117" t="n">
        <x:f>$B$57*CG47</x:f>
        <x:v>0</x:v>
      </x:c>
      <x:c r="CH57" s="117" t="n">
        <x:f>$B$57*CH47</x:f>
        <x:v>0</x:v>
      </x:c>
      <x:c r="CI57" s="117" t="n">
        <x:f>$B$57*CI47</x:f>
        <x:v>0</x:v>
      </x:c>
      <x:c r="CJ57" s="117" t="n">
        <x:f>$B$57*CJ47</x:f>
        <x:v>0</x:v>
      </x:c>
      <x:c r="CK57" s="117" t="n">
        <x:f>$B$57*CK47</x:f>
        <x:v>0</x:v>
      </x:c>
      <x:c r="CL57" s="117" t="n">
        <x:f>$B$57*CL47</x:f>
        <x:v>0</x:v>
      </x:c>
      <x:c r="CM57" s="117" t="n">
        <x:f>$B$57*CM47</x:f>
        <x:v>0</x:v>
      </x:c>
      <x:c r="CN57" s="117" t="n">
        <x:f>$B$57*CN47</x:f>
        <x:v>0</x:v>
      </x:c>
      <x:c r="CO57" s="117" t="n">
        <x:f>$B$57*CO47</x:f>
        <x:v>0</x:v>
      </x:c>
      <x:c r="CP57" s="117" t="n">
        <x:f>$B$57*CP47</x:f>
        <x:v>0</x:v>
      </x:c>
      <x:c r="CQ57" s="117" t="n">
        <x:f>$B$57*CQ47</x:f>
        <x:v>0</x:v>
      </x:c>
      <x:c r="CR57" s="117" t="n">
        <x:f>$B$57*CR47</x:f>
        <x:v>0</x:v>
      </x:c>
      <x:c r="CS57" s="117" t="n">
        <x:f>$B$57*CS47</x:f>
        <x:v>0</x:v>
      </x:c>
      <x:c r="CT57" s="117" t="n">
        <x:f>$B$57*CT47</x:f>
        <x:v>0</x:v>
      </x:c>
      <x:c r="CU57" s="117" t="n">
        <x:f>$B$57*CU47</x:f>
        <x:v>0</x:v>
      </x:c>
      <x:c r="CV57" s="117" t="n">
        <x:f>$B$57*CV47</x:f>
        <x:v>0</x:v>
      </x:c>
      <x:c r="CW57" s="117" t="n">
        <x:f>$B$57*CW47</x:f>
        <x:v>0</x:v>
      </x:c>
      <x:c r="CX57" s="117" t="n">
        <x:f>$B$57*CX47</x:f>
        <x:v>0</x:v>
      </x:c>
      <x:c r="CY57" s="117" t="n">
        <x:f>$B$57*CY47</x:f>
        <x:v>0</x:v>
      </x:c>
      <x:c r="CZ57" s="117" t="n">
        <x:f>$B$57*CZ47</x:f>
        <x:v>0</x:v>
      </x:c>
      <x:c r="DA57" s="117" t="n">
        <x:f>$B$57*DA47</x:f>
        <x:v>0</x:v>
      </x:c>
      <x:c r="DB57" s="117" t="n">
        <x:f>$B$57*DB47</x:f>
        <x:v>0</x:v>
      </x:c>
      <x:c r="DC57" s="117" t="n">
        <x:f>$B$57*DC47</x:f>
        <x:v>0</x:v>
      </x:c>
      <x:c r="DD57" s="117" t="n">
        <x:f>$B$57*DD47</x:f>
        <x:v>0</x:v>
      </x:c>
      <x:c r="DE57" s="117" t="n">
        <x:f>$B$57*DE47</x:f>
        <x:v>0</x:v>
      </x:c>
      <x:c r="DF57" s="117" t="n">
        <x:f>$B$57*DF47</x:f>
        <x:v>0</x:v>
      </x:c>
      <x:c r="DG57" s="117" t="n">
        <x:f>$B$57*DG47</x:f>
        <x:v>0</x:v>
      </x:c>
      <x:c r="DH57" s="117" t="n">
        <x:f>$B$57*DH47</x:f>
        <x:v>0</x:v>
      </x:c>
      <x:c r="DI57" s="117" t="n">
        <x:f>$B$57*DI47</x:f>
        <x:v>0</x:v>
      </x:c>
      <x:c r="DJ57" s="117" t="n">
        <x:f>$B$57*DJ47</x:f>
        <x:v>0</x:v>
      </x:c>
      <x:c r="DK57" s="117" t="n">
        <x:f>$B$57*DK47</x:f>
        <x:v>0</x:v>
      </x:c>
      <x:c r="DL57" s="117" t="n">
        <x:f>$B$57*DL47</x:f>
        <x:v>0</x:v>
      </x:c>
      <x:c r="DM57" s="117" t="n">
        <x:f>$B$57*DM47</x:f>
        <x:v>0</x:v>
      </x:c>
      <x:c r="DN57" s="117" t="n">
        <x:f>$B$57*DN47</x:f>
        <x:v>0</x:v>
      </x:c>
      <x:c r="DO57" s="117" t="n">
        <x:f>$B$57*DO47</x:f>
        <x:v>0</x:v>
      </x:c>
      <x:c r="DP57" s="117" t="n">
        <x:f>$B$57*DP47</x:f>
        <x:v>0</x:v>
      </x:c>
      <x:c r="DQ57" s="117" t="n">
        <x:f>$B$57*DQ47</x:f>
        <x:v>0</x:v>
      </x:c>
      <x:c r="DR57" s="117" t="n">
        <x:f>$B$57*DR47</x:f>
        <x:v>0</x:v>
      </x:c>
      <x:c r="DS57" s="117" t="n">
        <x:f>$B$57*DS47</x:f>
        <x:v>0</x:v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  <x:v>0</x:v>
      </x:c>
      <x:c r="C58" t="str">
        <x:v>млн ₽</x:v>
      </x:c>
      <x:c r="D58" s="117" t="n">
        <x:f>IF(AND(D$3&gt;=EDATE($B$42,-3),D$3&lt;$B$42),$B$58/3,0)</x:f>
        <x:v>0</x:v>
      </x:c>
      <x:c r="E58" s="117" t="n">
        <x:f>IF(AND(E$3&gt;=EDATE($B$42,-3),E$3&lt;$B$42),$B$58/3,0)</x:f>
        <x:v>0</x:v>
      </x:c>
      <x:c r="F58" s="117" t="n">
        <x:f>IF(AND(F$3&gt;=EDATE($B$42,-3),F$3&lt;$B$42),$B$58/3,0)</x:f>
        <x:v>0</x:v>
      </x:c>
      <x:c r="G58" s="117" t="n">
        <x:f>IF(AND(G$3&gt;=EDATE($B$42,-3),G$3&lt;$B$42),$B$58/3,0)</x:f>
        <x:v>0</x:v>
      </x:c>
      <x:c r="H58" s="117" t="n">
        <x:f>IF(AND(H$3&gt;=EDATE($B$42,-3),H$3&lt;$B$42),$B$58/3,0)</x:f>
        <x:v>0</x:v>
      </x:c>
      <x:c r="I58" s="117" t="n">
        <x:f>IF(AND(I$3&gt;=EDATE($B$42,-3),I$3&lt;$B$42),$B$58/3,0)</x:f>
        <x:v>0</x:v>
      </x:c>
      <x:c r="J58" s="117" t="n">
        <x:f>IF(AND(J$3&gt;=EDATE($B$42,-3),J$3&lt;$B$42),$B$58/3,0)</x:f>
        <x:v>0</x:v>
      </x:c>
      <x:c r="K58" s="117" t="n">
        <x:f>IF(AND(K$3&gt;=EDATE($B$42,-3),K$3&lt;$B$42),$B$58/3,0)</x:f>
        <x:v>0</x:v>
      </x:c>
      <x:c r="L58" s="117" t="n">
        <x:f>IF(AND(L$3&gt;=EDATE($B$42,-3),L$3&lt;$B$42),$B$58/3,0)</x:f>
        <x:v>0</x:v>
      </x:c>
      <x:c r="M58" s="117" t="n">
        <x:f>IF(AND(M$3&gt;=EDATE($B$42,-3),M$3&lt;$B$42),$B$58/3,0)</x:f>
        <x:v>0</x:v>
      </x:c>
      <x:c r="N58" s="117" t="n">
        <x:f>IF(AND(N$3&gt;=EDATE($B$42,-3),N$3&lt;$B$42),$B$58/3,0)</x:f>
        <x:v>0</x:v>
      </x:c>
      <x:c r="O58" s="117" t="n">
        <x:f>IF(AND(O$3&gt;=EDATE($B$42,-3),O$3&lt;$B$42),$B$58/3,0)</x:f>
        <x:v>0</x:v>
      </x:c>
      <x:c r="P58" s="117" t="n">
        <x:f>IF(AND(P$3&gt;=EDATE($B$42,-3),P$3&lt;$B$42),$B$58/3,0)</x:f>
        <x:v>0</x:v>
      </x:c>
      <x:c r="Q58" s="117" t="n">
        <x:f>IF(AND(Q$3&gt;=EDATE($B$42,-3),Q$3&lt;$B$42),$B$58/3,0)</x:f>
        <x:v>0</x:v>
      </x:c>
      <x:c r="R58" s="117" t="n">
        <x:f>IF(AND(R$3&gt;=EDATE($B$42,-3),R$3&lt;$B$42),$B$58/3,0)</x:f>
        <x:v>0</x:v>
      </x:c>
      <x:c r="S58" s="117" t="n">
        <x:f>IF(AND(S$3&gt;=EDATE($B$42,-3),S$3&lt;$B$42),$B$58/3,0)</x:f>
        <x:v>0</x:v>
      </x:c>
      <x:c r="T58" s="117" t="n">
        <x:f>IF(AND(T$3&gt;=EDATE($B$42,-3),T$3&lt;$B$42),$B$58/3,0)</x:f>
        <x:v>0</x:v>
      </x:c>
      <x:c r="U58" s="117" t="n">
        <x:f>IF(AND(U$3&gt;=EDATE($B$42,-3),U$3&lt;$B$42),$B$58/3,0)</x:f>
        <x:v>0</x:v>
      </x:c>
      <x:c r="V58" s="117" t="n">
        <x:f>IF(AND(V$3&gt;=EDATE($B$42,-3),V$3&lt;$B$42),$B$58/3,0)</x:f>
        <x:v>0</x:v>
      </x:c>
      <x:c r="W58" s="117" t="n">
        <x:f>IF(AND(W$3&gt;=EDATE($B$42,-3),W$3&lt;$B$42),$B$58/3,0)</x:f>
        <x:v>0</x:v>
      </x:c>
      <x:c r="X58" s="117" t="n">
        <x:f>IF(AND(X$3&gt;=EDATE($B$42,-3),X$3&lt;$B$42),$B$58/3,0)</x:f>
        <x:v>0</x:v>
      </x:c>
      <x:c r="Y58" s="117" t="n">
        <x:f>IF(AND(Y$3&gt;=EDATE($B$42,-3),Y$3&lt;$B$42),$B$58/3,0)</x:f>
        <x:v>0</x:v>
      </x:c>
      <x:c r="Z58" s="117" t="n">
        <x:f>IF(AND(Z$3&gt;=EDATE($B$42,-3),Z$3&lt;$B$42),$B$58/3,0)</x:f>
        <x:v>0</x:v>
      </x:c>
      <x:c r="AA58" s="117" t="n">
        <x:f>IF(AND(AA$3&gt;=EDATE($B$42,-3),AA$3&lt;$B$42),$B$58/3,0)</x:f>
        <x:v>0</x:v>
      </x:c>
      <x:c r="AB58" s="117" t="n">
        <x:f>IF(AND(AB$3&gt;=EDATE($B$42,-3),AB$3&lt;$B$42),$B$58/3,0)</x:f>
        <x:v>0</x:v>
      </x:c>
      <x:c r="AC58" s="117" t="n">
        <x:f>IF(AND(AC$3&gt;=EDATE($B$42,-3),AC$3&lt;$B$42),$B$58/3,0)</x:f>
        <x:v>0</x:v>
      </x:c>
      <x:c r="AD58" s="117" t="n">
        <x:f>IF(AND(AD$3&gt;=EDATE($B$42,-3),AD$3&lt;$B$42),$B$58/3,0)</x:f>
        <x:v>0</x:v>
      </x:c>
      <x:c r="AE58" s="117" t="n">
        <x:f>IF(AND(AE$3&gt;=EDATE($B$42,-3),AE$3&lt;$B$42),$B$58/3,0)</x:f>
        <x:v>0</x:v>
      </x:c>
      <x:c r="AF58" s="117" t="n">
        <x:f>IF(AND(AF$3&gt;=EDATE($B$42,-3),AF$3&lt;$B$42),$B$58/3,0)</x:f>
        <x:v>0</x:v>
      </x:c>
      <x:c r="AG58" s="117" t="n">
        <x:f>IF(AND(AG$3&gt;=EDATE($B$42,-3),AG$3&lt;$B$42),$B$58/3,0)</x:f>
        <x:v>0</x:v>
      </x:c>
      <x:c r="AH58" s="117" t="n">
        <x:f>IF(AND(AH$3&gt;=EDATE($B$42,-3),AH$3&lt;$B$42),$B$58/3,0)</x:f>
        <x:v>0</x:v>
      </x:c>
      <x:c r="AI58" s="117" t="n">
        <x:f>IF(AND(AI$3&gt;=EDATE($B$42,-3),AI$3&lt;$B$42),$B$58/3,0)</x:f>
        <x:v>0</x:v>
      </x:c>
      <x:c r="AJ58" s="117" t="n">
        <x:f>IF(AND(AJ$3&gt;=EDATE($B$42,-3),AJ$3&lt;$B$42),$B$58/3,0)</x:f>
        <x:v>0</x:v>
      </x:c>
      <x:c r="AK58" s="117" t="n">
        <x:f>IF(AND(AK$3&gt;=EDATE($B$42,-3),AK$3&lt;$B$42),$B$58/3,0)</x:f>
        <x:v>0</x:v>
      </x:c>
      <x:c r="AL58" s="117" t="n">
        <x:f>IF(AND(AL$3&gt;=EDATE($B$42,-3),AL$3&lt;$B$42),$B$58/3,0)</x:f>
        <x:v>0</x:v>
      </x:c>
      <x:c r="AM58" s="117" t="n">
        <x:f>IF(AND(AM$3&gt;=EDATE($B$42,-3),AM$3&lt;$B$42),$B$58/3,0)</x:f>
        <x:v>0</x:v>
      </x:c>
      <x:c r="AN58" s="117" t="n">
        <x:f>IF(AND(AN$3&gt;=EDATE($B$42,-3),AN$3&lt;$B$42),$B$58/3,0)</x:f>
        <x:v>0</x:v>
      </x:c>
      <x:c r="AO58" s="117" t="n">
        <x:f>IF(AND(AO$3&gt;=EDATE($B$42,-3),AO$3&lt;$B$42),$B$58/3,0)</x:f>
        <x:v>0</x:v>
      </x:c>
      <x:c r="AP58" s="117" t="n">
        <x:f>IF(AND(AP$3&gt;=EDATE($B$42,-3),AP$3&lt;$B$42),$B$58/3,0)</x:f>
        <x:v>0</x:v>
      </x:c>
      <x:c r="AQ58" s="117" t="n">
        <x:f>IF(AND(AQ$3&gt;=EDATE($B$42,-3),AQ$3&lt;$B$42),$B$58/3,0)</x:f>
        <x:v>0</x:v>
      </x:c>
      <x:c r="AR58" s="117" t="n">
        <x:f>IF(AND(AR$3&gt;=EDATE($B$42,-3),AR$3&lt;$B$42),$B$58/3,0)</x:f>
        <x:v>0</x:v>
      </x:c>
      <x:c r="AS58" s="117" t="n">
        <x:f>IF(AND(AS$3&gt;=EDATE($B$42,-3),AS$3&lt;$B$42),$B$58/3,0)</x:f>
        <x:v>0</x:v>
      </x:c>
      <x:c r="AT58" s="117" t="n">
        <x:f>IF(AND(AT$3&gt;=EDATE($B$42,-3),AT$3&lt;$B$42),$B$58/3,0)</x:f>
        <x:v>0</x:v>
      </x:c>
      <x:c r="AU58" s="117" t="n">
        <x:f>IF(AND(AU$3&gt;=EDATE($B$42,-3),AU$3&lt;$B$42),$B$58/3,0)</x:f>
        <x:v>0</x:v>
      </x:c>
      <x:c r="AV58" s="117" t="n">
        <x:f>IF(AND(AV$3&gt;=EDATE($B$42,-3),AV$3&lt;$B$42),$B$58/3,0)</x:f>
        <x:v>0</x:v>
      </x:c>
      <x:c r="AW58" s="117" t="n">
        <x:f>IF(AND(AW$3&gt;=EDATE($B$42,-3),AW$3&lt;$B$42),$B$58/3,0)</x:f>
        <x:v>0</x:v>
      </x:c>
      <x:c r="AX58" s="117" t="n">
        <x:f>IF(AND(AX$3&gt;=EDATE($B$42,-3),AX$3&lt;$B$42),$B$58/3,0)</x:f>
        <x:v>0</x:v>
      </x:c>
      <x:c r="AY58" s="117" t="n">
        <x:f>IF(AND(AY$3&gt;=EDATE($B$42,-3),AY$3&lt;$B$42),$B$58/3,0)</x:f>
        <x:v>0</x:v>
      </x:c>
      <x:c r="AZ58" s="117" t="n">
        <x:f>IF(AND(AZ$3&gt;=EDATE($B$42,-3),AZ$3&lt;$B$42),$B$58/3,0)</x:f>
        <x:v>0</x:v>
      </x:c>
      <x:c r="BA58" s="117" t="n">
        <x:f>IF(AND(BA$3&gt;=EDATE($B$42,-3),BA$3&lt;$B$42),$B$58/3,0)</x:f>
        <x:v>0</x:v>
      </x:c>
      <x:c r="BB58" s="117" t="n">
        <x:f>IF(AND(BB$3&gt;=EDATE($B$42,-3),BB$3&lt;$B$42),$B$58/3,0)</x:f>
        <x:v>0</x:v>
      </x:c>
      <x:c r="BC58" s="117" t="n">
        <x:f>IF(AND(BC$3&gt;=EDATE($B$42,-3),BC$3&lt;$B$42),$B$58/3,0)</x:f>
        <x:v>0</x:v>
      </x:c>
      <x:c r="BD58" s="117" t="n">
        <x:f>IF(AND(BD$3&gt;=EDATE($B$42,-3),BD$3&lt;$B$42),$B$58/3,0)</x:f>
        <x:v>0</x:v>
      </x:c>
      <x:c r="BE58" s="117" t="n">
        <x:f>IF(AND(BE$3&gt;=EDATE($B$42,-3),BE$3&lt;$B$42),$B$58/3,0)</x:f>
        <x:v>0</x:v>
      </x:c>
      <x:c r="BF58" s="117" t="n">
        <x:f>IF(AND(BF$3&gt;=EDATE($B$42,-3),BF$3&lt;$B$42),$B$58/3,0)</x:f>
        <x:v>0</x:v>
      </x:c>
      <x:c r="BG58" s="117" t="n">
        <x:f>IF(AND(BG$3&gt;=EDATE($B$42,-3),BG$3&lt;$B$42),$B$58/3,0)</x:f>
        <x:v>0</x:v>
      </x:c>
      <x:c r="BH58" s="117" t="n">
        <x:f>IF(AND(BH$3&gt;=EDATE($B$42,-3),BH$3&lt;$B$42),$B$58/3,0)</x:f>
        <x:v>0</x:v>
      </x:c>
      <x:c r="BI58" s="117" t="n">
        <x:f>IF(AND(BI$3&gt;=EDATE($B$42,-3),BI$3&lt;$B$42),$B$58/3,0)</x:f>
        <x:v>0</x:v>
      </x:c>
      <x:c r="BJ58" s="117" t="n">
        <x:f>IF(AND(BJ$3&gt;=EDATE($B$42,-3),BJ$3&lt;$B$42),$B$58/3,0)</x:f>
        <x:v>0</x:v>
      </x:c>
      <x:c r="BK58" s="117" t="n">
        <x:f>IF(AND(BK$3&gt;=EDATE($B$42,-3),BK$3&lt;$B$42),$B$58/3,0)</x:f>
        <x:v>0</x:v>
      </x:c>
      <x:c r="BL58" s="117" t="n">
        <x:f>IF(AND(BL$3&gt;=EDATE($B$42,-3),BL$3&lt;$B$42),$B$58/3,0)</x:f>
        <x:v>0</x:v>
      </x:c>
      <x:c r="BM58" s="117" t="n">
        <x:f>IF(AND(BM$3&gt;=EDATE($B$42,-3),BM$3&lt;$B$42),$B$58/3,0)</x:f>
        <x:v>0</x:v>
      </x:c>
      <x:c r="BN58" s="117" t="n">
        <x:f>IF(AND(BN$3&gt;=EDATE($B$42,-3),BN$3&lt;$B$42),$B$58/3,0)</x:f>
        <x:v>0</x:v>
      </x:c>
      <x:c r="BO58" s="117" t="n">
        <x:f>IF(AND(BO$3&gt;=EDATE($B$42,-3),BO$3&lt;$B$42),$B$58/3,0)</x:f>
        <x:v>0</x:v>
      </x:c>
      <x:c r="BP58" s="117" t="n">
        <x:f>IF(AND(BP$3&gt;=EDATE($B$42,-3),BP$3&lt;$B$42),$B$58/3,0)</x:f>
        <x:v>0</x:v>
      </x:c>
      <x:c r="BQ58" s="117" t="n">
        <x:f>IF(AND(BQ$3&gt;=EDATE($B$42,-3),BQ$3&lt;$B$42),$B$58/3,0)</x:f>
        <x:v>0</x:v>
      </x:c>
      <x:c r="BR58" s="117" t="n">
        <x:f>IF(AND(BR$3&gt;=EDATE($B$42,-3),BR$3&lt;$B$42),$B$58/3,0)</x:f>
        <x:v>0</x:v>
      </x:c>
      <x:c r="BS58" s="117" t="n">
        <x:f>IF(AND(BS$3&gt;=EDATE($B$42,-3),BS$3&lt;$B$42),$B$58/3,0)</x:f>
        <x:v>0</x:v>
      </x:c>
      <x:c r="BT58" s="117" t="n">
        <x:f>IF(AND(BT$3&gt;=EDATE($B$42,-3),BT$3&lt;$B$42),$B$58/3,0)</x:f>
        <x:v>0</x:v>
      </x:c>
      <x:c r="BU58" s="117" t="n">
        <x:f>IF(AND(BU$3&gt;=EDATE($B$42,-3),BU$3&lt;$B$42),$B$58/3,0)</x:f>
        <x:v>0</x:v>
      </x:c>
      <x:c r="BV58" s="117" t="n">
        <x:f>IF(AND(BV$3&gt;=EDATE($B$42,-3),BV$3&lt;$B$42),$B$58/3,0)</x:f>
        <x:v>0</x:v>
      </x:c>
      <x:c r="BW58" s="117" t="n">
        <x:f>IF(AND(BW$3&gt;=EDATE($B$42,-3),BW$3&lt;$B$42),$B$58/3,0)</x:f>
        <x:v>0</x:v>
      </x:c>
      <x:c r="BX58" s="117" t="n">
        <x:f>IF(AND(BX$3&gt;=EDATE($B$42,-3),BX$3&lt;$B$42),$B$58/3,0)</x:f>
        <x:v>0</x:v>
      </x:c>
      <x:c r="BY58" s="117" t="n">
        <x:f>IF(AND(BY$3&gt;=EDATE($B$42,-3),BY$3&lt;$B$42),$B$58/3,0)</x:f>
        <x:v>0</x:v>
      </x:c>
      <x:c r="BZ58" s="117" t="n">
        <x:f>IF(AND(BZ$3&gt;=EDATE($B$42,-3),BZ$3&lt;$B$42),$B$58/3,0)</x:f>
        <x:v>0</x:v>
      </x:c>
      <x:c r="CA58" s="117" t="n">
        <x:f>IF(AND(CA$3&gt;=EDATE($B$42,-3),CA$3&lt;$B$42),$B$58/3,0)</x:f>
        <x:v>0</x:v>
      </x:c>
      <x:c r="CB58" s="117" t="n">
        <x:f>IF(AND(CB$3&gt;=EDATE($B$42,-3),CB$3&lt;$B$42),$B$58/3,0)</x:f>
        <x:v>0</x:v>
      </x:c>
      <x:c r="CC58" s="117" t="n">
        <x:f>IF(AND(CC$3&gt;=EDATE($B$42,-3),CC$3&lt;$B$42),$B$58/3,0)</x:f>
        <x:v>0</x:v>
      </x:c>
      <x:c r="CD58" s="117" t="n">
        <x:f>IF(AND(CD$3&gt;=EDATE($B$42,-3),CD$3&lt;$B$42),$B$58/3,0)</x:f>
        <x:v>0</x:v>
      </x:c>
      <x:c r="CE58" s="117" t="n">
        <x:f>IF(AND(CE$3&gt;=EDATE($B$42,-3),CE$3&lt;$B$42),$B$58/3,0)</x:f>
        <x:v>0</x:v>
      </x:c>
      <x:c r="CF58" s="117" t="n">
        <x:f>IF(AND(CF$3&gt;=EDATE($B$42,-3),CF$3&lt;$B$42),$B$58/3,0)</x:f>
        <x:v>0</x:v>
      </x:c>
      <x:c r="CG58" s="117" t="n">
        <x:f>IF(AND(CG$3&gt;=EDATE($B$42,-3),CG$3&lt;$B$42),$B$58/3,0)</x:f>
        <x:v>0</x:v>
      </x:c>
      <x:c r="CH58" s="117" t="n">
        <x:f>IF(AND(CH$3&gt;=EDATE($B$42,-3),CH$3&lt;$B$42),$B$58/3,0)</x:f>
        <x:v>0</x:v>
      </x:c>
      <x:c r="CI58" s="117" t="n">
        <x:f>IF(AND(CI$3&gt;=EDATE($B$42,-3),CI$3&lt;$B$42),$B$58/3,0)</x:f>
        <x:v>0</x:v>
      </x:c>
      <x:c r="CJ58" s="117" t="n">
        <x:f>IF(AND(CJ$3&gt;=EDATE($B$42,-3),CJ$3&lt;$B$42),$B$58/3,0)</x:f>
        <x:v>0</x:v>
      </x:c>
      <x:c r="CK58" s="117" t="n">
        <x:f>IF(AND(CK$3&gt;=EDATE($B$42,-3),CK$3&lt;$B$42),$B$58/3,0)</x:f>
        <x:v>0</x:v>
      </x:c>
      <x:c r="CL58" s="117" t="n">
        <x:f>IF(AND(CL$3&gt;=EDATE($B$42,-3),CL$3&lt;$B$42),$B$58/3,0)</x:f>
        <x:v>0</x:v>
      </x:c>
      <x:c r="CM58" s="117" t="n">
        <x:f>IF(AND(CM$3&gt;=EDATE($B$42,-3),CM$3&lt;$B$42),$B$58/3,0)</x:f>
        <x:v>0</x:v>
      </x:c>
      <x:c r="CN58" s="117" t="n">
        <x:f>IF(AND(CN$3&gt;=EDATE($B$42,-3),CN$3&lt;$B$42),$B$58/3,0)</x:f>
        <x:v>0</x:v>
      </x:c>
      <x:c r="CO58" s="117" t="n">
        <x:f>IF(AND(CO$3&gt;=EDATE($B$42,-3),CO$3&lt;$B$42),$B$58/3,0)</x:f>
        <x:v>0</x:v>
      </x:c>
      <x:c r="CP58" s="117" t="n">
        <x:f>IF(AND(CP$3&gt;=EDATE($B$42,-3),CP$3&lt;$B$42),$B$58/3,0)</x:f>
        <x:v>0</x:v>
      </x:c>
      <x:c r="CQ58" s="117" t="n">
        <x:f>IF(AND(CQ$3&gt;=EDATE($B$42,-3),CQ$3&lt;$B$42),$B$58/3,0)</x:f>
        <x:v>0</x:v>
      </x:c>
      <x:c r="CR58" s="117" t="n">
        <x:f>IF(AND(CR$3&gt;=EDATE($B$42,-3),CR$3&lt;$B$42),$B$58/3,0)</x:f>
        <x:v>0</x:v>
      </x:c>
      <x:c r="CS58" s="117" t="n">
        <x:f>IF(AND(CS$3&gt;=EDATE($B$42,-3),CS$3&lt;$B$42),$B$58/3,0)</x:f>
        <x:v>0</x:v>
      </x:c>
      <x:c r="CT58" s="117" t="n">
        <x:f>IF(AND(CT$3&gt;=EDATE($B$42,-3),CT$3&lt;$B$42),$B$58/3,0)</x:f>
        <x:v>0</x:v>
      </x:c>
      <x:c r="CU58" s="117" t="n">
        <x:f>IF(AND(CU$3&gt;=EDATE($B$42,-3),CU$3&lt;$B$42),$B$58/3,0)</x:f>
        <x:v>0</x:v>
      </x:c>
      <x:c r="CV58" s="117" t="n">
        <x:f>IF(AND(CV$3&gt;=EDATE($B$42,-3),CV$3&lt;$B$42),$B$58/3,0)</x:f>
        <x:v>0</x:v>
      </x:c>
      <x:c r="CW58" s="117" t="n">
        <x:f>IF(AND(CW$3&gt;=EDATE($B$42,-3),CW$3&lt;$B$42),$B$58/3,0)</x:f>
        <x:v>0</x:v>
      </x:c>
      <x:c r="CX58" s="117" t="n">
        <x:f>IF(AND(CX$3&gt;=EDATE($B$42,-3),CX$3&lt;$B$42),$B$58/3,0)</x:f>
        <x:v>0</x:v>
      </x:c>
      <x:c r="CY58" s="117" t="n">
        <x:f>IF(AND(CY$3&gt;=EDATE($B$42,-3),CY$3&lt;$B$42),$B$58/3,0)</x:f>
        <x:v>0</x:v>
      </x:c>
      <x:c r="CZ58" s="117" t="n">
        <x:f>IF(AND(CZ$3&gt;=EDATE($B$42,-3),CZ$3&lt;$B$42),$B$58/3,0)</x:f>
        <x:v>0</x:v>
      </x:c>
      <x:c r="DA58" s="117" t="n">
        <x:f>IF(AND(DA$3&gt;=EDATE($B$42,-3),DA$3&lt;$B$42),$B$58/3,0)</x:f>
        <x:v>0</x:v>
      </x:c>
      <x:c r="DB58" s="117" t="n">
        <x:f>IF(AND(DB$3&gt;=EDATE($B$42,-3),DB$3&lt;$B$42),$B$58/3,0)</x:f>
        <x:v>0</x:v>
      </x:c>
      <x:c r="DC58" s="117" t="n">
        <x:f>IF(AND(DC$3&gt;=EDATE($B$42,-3),DC$3&lt;$B$42),$B$58/3,0)</x:f>
        <x:v>0</x:v>
      </x:c>
      <x:c r="DD58" s="117" t="n">
        <x:f>IF(AND(DD$3&gt;=EDATE($B$42,-3),DD$3&lt;$B$42),$B$58/3,0)</x:f>
        <x:v>0</x:v>
      </x:c>
      <x:c r="DE58" s="117" t="n">
        <x:f>IF(AND(DE$3&gt;=EDATE($B$42,-3),DE$3&lt;$B$42),$B$58/3,0)</x:f>
        <x:v>0</x:v>
      </x:c>
      <x:c r="DF58" s="117" t="n">
        <x:f>IF(AND(DF$3&gt;=EDATE($B$42,-3),DF$3&lt;$B$42),$B$58/3,0)</x:f>
        <x:v>0</x:v>
      </x:c>
      <x:c r="DG58" s="117" t="n">
        <x:f>IF(AND(DG$3&gt;=EDATE($B$42,-3),DG$3&lt;$B$42),$B$58/3,0)</x:f>
        <x:v>0</x:v>
      </x:c>
      <x:c r="DH58" s="117" t="n">
        <x:f>IF(AND(DH$3&gt;=EDATE($B$42,-3),DH$3&lt;$B$42),$B$58/3,0)</x:f>
        <x:v>0</x:v>
      </x:c>
      <x:c r="DI58" s="117" t="n">
        <x:f>IF(AND(DI$3&gt;=EDATE($B$42,-3),DI$3&lt;$B$42),$B$58/3,0)</x:f>
        <x:v>0</x:v>
      </x:c>
      <x:c r="DJ58" s="117" t="n">
        <x:f>IF(AND(DJ$3&gt;=EDATE($B$42,-3),DJ$3&lt;$B$42),$B$58/3,0)</x:f>
        <x:v>0</x:v>
      </x:c>
      <x:c r="DK58" s="117" t="n">
        <x:f>IF(AND(DK$3&gt;=EDATE($B$42,-3),DK$3&lt;$B$42),$B$58/3,0)</x:f>
        <x:v>0</x:v>
      </x:c>
      <x:c r="DL58" s="117" t="n">
        <x:f>IF(AND(DL$3&gt;=EDATE($B$42,-3),DL$3&lt;$B$42),$B$58/3,0)</x:f>
        <x:v>0</x:v>
      </x:c>
      <x:c r="DM58" s="117" t="n">
        <x:f>IF(AND(DM$3&gt;=EDATE($B$42,-3),DM$3&lt;$B$42),$B$58/3,0)</x:f>
        <x:v>0</x:v>
      </x:c>
      <x:c r="DN58" s="117" t="n">
        <x:f>IF(AND(DN$3&gt;=EDATE($B$42,-3),DN$3&lt;$B$42),$B$58/3,0)</x:f>
        <x:v>0</x:v>
      </x:c>
      <x:c r="DO58" s="117" t="n">
        <x:f>IF(AND(DO$3&gt;=EDATE($B$42,-3),DO$3&lt;$B$42),$B$58/3,0)</x:f>
        <x:v>0</x:v>
      </x:c>
      <x:c r="DP58" s="117" t="n">
        <x:f>IF(AND(DP$3&gt;=EDATE($B$42,-3),DP$3&lt;$B$42),$B$58/3,0)</x:f>
        <x:v>0</x:v>
      </x:c>
      <x:c r="DQ58" s="117" t="n">
        <x:f>IF(AND(DQ$3&gt;=EDATE($B$42,-3),DQ$3&lt;$B$42),$B$58/3,0)</x:f>
        <x:v>0</x:v>
      </x:c>
      <x:c r="DR58" s="117" t="n">
        <x:f>IF(AND(DR$3&gt;=EDATE($B$42,-3),DR$3&lt;$B$42),$B$58/3,0)</x:f>
        <x:v>0</x:v>
      </x:c>
      <x:c r="DS58" s="117" t="n">
        <x:f>IF(AND(DS$3&gt;=EDATE($B$42,-3),DS$3&lt;$B$42),$B$58/3,0)</x:f>
        <x:v>0</x:v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  <x:v>0</x:v>
      </x:c>
      <x:c r="C59" t="str">
        <x:v>млн ₽</x:v>
      </x:c>
      <x:c r="D59" s="117" t="n">
        <x:f>IF(AND(D$3&gt;=EDATE($B$42,-3),D$3&lt;$B$42),$B$59/3,0)</x:f>
        <x:v>0</x:v>
      </x:c>
      <x:c r="E59" s="117" t="n">
        <x:f>IF(AND(E$3&gt;=EDATE($B$42,-3),E$3&lt;$B$42),$B$59/3,0)</x:f>
        <x:v>0</x:v>
      </x:c>
      <x:c r="F59" s="117" t="n">
        <x:f>IF(AND(F$3&gt;=EDATE($B$42,-3),F$3&lt;$B$42),$B$59/3,0)</x:f>
        <x:v>0</x:v>
      </x:c>
      <x:c r="G59" s="117" t="n">
        <x:f>IF(AND(G$3&gt;=EDATE($B$42,-3),G$3&lt;$B$42),$B$59/3,0)</x:f>
        <x:v>0</x:v>
      </x:c>
      <x:c r="H59" s="117" t="n">
        <x:f>IF(AND(H$3&gt;=EDATE($B$42,-3),H$3&lt;$B$42),$B$59/3,0)</x:f>
        <x:v>0</x:v>
      </x:c>
      <x:c r="I59" s="117" t="n">
        <x:f>IF(AND(I$3&gt;=EDATE($B$42,-3),I$3&lt;$B$42),$B$59/3,0)</x:f>
        <x:v>0</x:v>
      </x:c>
      <x:c r="J59" s="117" t="n">
        <x:f>IF(AND(J$3&gt;=EDATE($B$42,-3),J$3&lt;$B$42),$B$59/3,0)</x:f>
        <x:v>0</x:v>
      </x:c>
      <x:c r="K59" s="117" t="n">
        <x:f>IF(AND(K$3&gt;=EDATE($B$42,-3),K$3&lt;$B$42),$B$59/3,0)</x:f>
        <x:v>0</x:v>
      </x:c>
      <x:c r="L59" s="117" t="n">
        <x:f>IF(AND(L$3&gt;=EDATE($B$42,-3),L$3&lt;$B$42),$B$59/3,0)</x:f>
        <x:v>0</x:v>
      </x:c>
      <x:c r="M59" s="117" t="n">
        <x:f>IF(AND(M$3&gt;=EDATE($B$42,-3),M$3&lt;$B$42),$B$59/3,0)</x:f>
        <x:v>0</x:v>
      </x:c>
      <x:c r="N59" s="117" t="n">
        <x:f>IF(AND(N$3&gt;=EDATE($B$42,-3),N$3&lt;$B$42),$B$59/3,0)</x:f>
        <x:v>0</x:v>
      </x:c>
      <x:c r="O59" s="117" t="n">
        <x:f>IF(AND(O$3&gt;=EDATE($B$42,-3),O$3&lt;$B$42),$B$59/3,0)</x:f>
        <x:v>0</x:v>
      </x:c>
      <x:c r="P59" s="117" t="n">
        <x:f>IF(AND(P$3&gt;=EDATE($B$42,-3),P$3&lt;$B$42),$B$59/3,0)</x:f>
        <x:v>0</x:v>
      </x:c>
      <x:c r="Q59" s="117" t="n">
        <x:f>IF(AND(Q$3&gt;=EDATE($B$42,-3),Q$3&lt;$B$42),$B$59/3,0)</x:f>
        <x:v>0</x:v>
      </x:c>
      <x:c r="R59" s="117" t="n">
        <x:f>IF(AND(R$3&gt;=EDATE($B$42,-3),R$3&lt;$B$42),$B$59/3,0)</x:f>
        <x:v>0</x:v>
      </x:c>
      <x:c r="S59" s="117" t="n">
        <x:f>IF(AND(S$3&gt;=EDATE($B$42,-3),S$3&lt;$B$42),$B$59/3,0)</x:f>
        <x:v>0</x:v>
      </x:c>
      <x:c r="T59" s="117" t="n">
        <x:f>IF(AND(T$3&gt;=EDATE($B$42,-3),T$3&lt;$B$42),$B$59/3,0)</x:f>
        <x:v>0</x:v>
      </x:c>
      <x:c r="U59" s="117" t="n">
        <x:f>IF(AND(U$3&gt;=EDATE($B$42,-3),U$3&lt;$B$42),$B$59/3,0)</x:f>
        <x:v>0</x:v>
      </x:c>
      <x:c r="V59" s="117" t="n">
        <x:f>IF(AND(V$3&gt;=EDATE($B$42,-3),V$3&lt;$B$42),$B$59/3,0)</x:f>
        <x:v>0</x:v>
      </x:c>
      <x:c r="W59" s="117" t="n">
        <x:f>IF(AND(W$3&gt;=EDATE($B$42,-3),W$3&lt;$B$42),$B$59/3,0)</x:f>
        <x:v>0</x:v>
      </x:c>
      <x:c r="X59" s="117" t="n">
        <x:f>IF(AND(X$3&gt;=EDATE($B$42,-3),X$3&lt;$B$42),$B$59/3,0)</x:f>
        <x:v>0</x:v>
      </x:c>
      <x:c r="Y59" s="117" t="n">
        <x:f>IF(AND(Y$3&gt;=EDATE($B$42,-3),Y$3&lt;$B$42),$B$59/3,0)</x:f>
        <x:v>0</x:v>
      </x:c>
      <x:c r="Z59" s="117" t="n">
        <x:f>IF(AND(Z$3&gt;=EDATE($B$42,-3),Z$3&lt;$B$42),$B$59/3,0)</x:f>
        <x:v>0</x:v>
      </x:c>
      <x:c r="AA59" s="117" t="n">
        <x:f>IF(AND(AA$3&gt;=EDATE($B$42,-3),AA$3&lt;$B$42),$B$59/3,0)</x:f>
        <x:v>0</x:v>
      </x:c>
      <x:c r="AB59" s="117" t="n">
        <x:f>IF(AND(AB$3&gt;=EDATE($B$42,-3),AB$3&lt;$B$42),$B$59/3,0)</x:f>
        <x:v>0</x:v>
      </x:c>
      <x:c r="AC59" s="117" t="n">
        <x:f>IF(AND(AC$3&gt;=EDATE($B$42,-3),AC$3&lt;$B$42),$B$59/3,0)</x:f>
        <x:v>0</x:v>
      </x:c>
      <x:c r="AD59" s="117" t="n">
        <x:f>IF(AND(AD$3&gt;=EDATE($B$42,-3),AD$3&lt;$B$42),$B$59/3,0)</x:f>
        <x:v>0</x:v>
      </x:c>
      <x:c r="AE59" s="117" t="n">
        <x:f>IF(AND(AE$3&gt;=EDATE($B$42,-3),AE$3&lt;$B$42),$B$59/3,0)</x:f>
        <x:v>0</x:v>
      </x:c>
      <x:c r="AF59" s="117" t="n">
        <x:f>IF(AND(AF$3&gt;=EDATE($B$42,-3),AF$3&lt;$B$42),$B$59/3,0)</x:f>
        <x:v>0</x:v>
      </x:c>
      <x:c r="AG59" s="117" t="n">
        <x:f>IF(AND(AG$3&gt;=EDATE($B$42,-3),AG$3&lt;$B$42),$B$59/3,0)</x:f>
        <x:v>0</x:v>
      </x:c>
      <x:c r="AH59" s="117" t="n">
        <x:f>IF(AND(AH$3&gt;=EDATE($B$42,-3),AH$3&lt;$B$42),$B$59/3,0)</x:f>
        <x:v>0</x:v>
      </x:c>
      <x:c r="AI59" s="117" t="n">
        <x:f>IF(AND(AI$3&gt;=EDATE($B$42,-3),AI$3&lt;$B$42),$B$59/3,0)</x:f>
        <x:v>0</x:v>
      </x:c>
      <x:c r="AJ59" s="117" t="n">
        <x:f>IF(AND(AJ$3&gt;=EDATE($B$42,-3),AJ$3&lt;$B$42),$B$59/3,0)</x:f>
        <x:v>0</x:v>
      </x:c>
      <x:c r="AK59" s="117" t="n">
        <x:f>IF(AND(AK$3&gt;=EDATE($B$42,-3),AK$3&lt;$B$42),$B$59/3,0)</x:f>
        <x:v>0</x:v>
      </x:c>
      <x:c r="AL59" s="117" t="n">
        <x:f>IF(AND(AL$3&gt;=EDATE($B$42,-3),AL$3&lt;$B$42),$B$59/3,0)</x:f>
        <x:v>0</x:v>
      </x:c>
      <x:c r="AM59" s="117" t="n">
        <x:f>IF(AND(AM$3&gt;=EDATE($B$42,-3),AM$3&lt;$B$42),$B$59/3,0)</x:f>
        <x:v>0</x:v>
      </x:c>
      <x:c r="AN59" s="117" t="n">
        <x:f>IF(AND(AN$3&gt;=EDATE($B$42,-3),AN$3&lt;$B$42),$B$59/3,0)</x:f>
        <x:v>0</x:v>
      </x:c>
      <x:c r="AO59" s="117" t="n">
        <x:f>IF(AND(AO$3&gt;=EDATE($B$42,-3),AO$3&lt;$B$42),$B$59/3,0)</x:f>
        <x:v>0</x:v>
      </x:c>
      <x:c r="AP59" s="117" t="n">
        <x:f>IF(AND(AP$3&gt;=EDATE($B$42,-3),AP$3&lt;$B$42),$B$59/3,0)</x:f>
        <x:v>0</x:v>
      </x:c>
      <x:c r="AQ59" s="117" t="n">
        <x:f>IF(AND(AQ$3&gt;=EDATE($B$42,-3),AQ$3&lt;$B$42),$B$59/3,0)</x:f>
        <x:v>0</x:v>
      </x:c>
      <x:c r="AR59" s="117" t="n">
        <x:f>IF(AND(AR$3&gt;=EDATE($B$42,-3),AR$3&lt;$B$42),$B$59/3,0)</x:f>
        <x:v>0</x:v>
      </x:c>
      <x:c r="AS59" s="117" t="n">
        <x:f>IF(AND(AS$3&gt;=EDATE($B$42,-3),AS$3&lt;$B$42),$B$59/3,0)</x:f>
        <x:v>0</x:v>
      </x:c>
      <x:c r="AT59" s="117" t="n">
        <x:f>IF(AND(AT$3&gt;=EDATE($B$42,-3),AT$3&lt;$B$42),$B$59/3,0)</x:f>
        <x:v>0</x:v>
      </x:c>
      <x:c r="AU59" s="117" t="n">
        <x:f>IF(AND(AU$3&gt;=EDATE($B$42,-3),AU$3&lt;$B$42),$B$59/3,0)</x:f>
        <x:v>0</x:v>
      </x:c>
      <x:c r="AV59" s="117" t="n">
        <x:f>IF(AND(AV$3&gt;=EDATE($B$42,-3),AV$3&lt;$B$42),$B$59/3,0)</x:f>
        <x:v>0</x:v>
      </x:c>
      <x:c r="AW59" s="117" t="n">
        <x:f>IF(AND(AW$3&gt;=EDATE($B$42,-3),AW$3&lt;$B$42),$B$59/3,0)</x:f>
        <x:v>0</x:v>
      </x:c>
      <x:c r="AX59" s="117" t="n">
        <x:f>IF(AND(AX$3&gt;=EDATE($B$42,-3),AX$3&lt;$B$42),$B$59/3,0)</x:f>
        <x:v>0</x:v>
      </x:c>
      <x:c r="AY59" s="117" t="n">
        <x:f>IF(AND(AY$3&gt;=EDATE($B$42,-3),AY$3&lt;$B$42),$B$59/3,0)</x:f>
        <x:v>0</x:v>
      </x:c>
      <x:c r="AZ59" s="117" t="n">
        <x:f>IF(AND(AZ$3&gt;=EDATE($B$42,-3),AZ$3&lt;$B$42),$B$59/3,0)</x:f>
        <x:v>0</x:v>
      </x:c>
      <x:c r="BA59" s="117" t="n">
        <x:f>IF(AND(BA$3&gt;=EDATE($B$42,-3),BA$3&lt;$B$42),$B$59/3,0)</x:f>
        <x:v>0</x:v>
      </x:c>
      <x:c r="BB59" s="117" t="n">
        <x:f>IF(AND(BB$3&gt;=EDATE($B$42,-3),BB$3&lt;$B$42),$B$59/3,0)</x:f>
        <x:v>0</x:v>
      </x:c>
      <x:c r="BC59" s="117" t="n">
        <x:f>IF(AND(BC$3&gt;=EDATE($B$42,-3),BC$3&lt;$B$42),$B$59/3,0)</x:f>
        <x:v>0</x:v>
      </x:c>
      <x:c r="BD59" s="117" t="n">
        <x:f>IF(AND(BD$3&gt;=EDATE($B$42,-3),BD$3&lt;$B$42),$B$59/3,0)</x:f>
        <x:v>0</x:v>
      </x:c>
      <x:c r="BE59" s="117" t="n">
        <x:f>IF(AND(BE$3&gt;=EDATE($B$42,-3),BE$3&lt;$B$42),$B$59/3,0)</x:f>
        <x:v>0</x:v>
      </x:c>
      <x:c r="BF59" s="117" t="n">
        <x:f>IF(AND(BF$3&gt;=EDATE($B$42,-3),BF$3&lt;$B$42),$B$59/3,0)</x:f>
        <x:v>0</x:v>
      </x:c>
      <x:c r="BG59" s="117" t="n">
        <x:f>IF(AND(BG$3&gt;=EDATE($B$42,-3),BG$3&lt;$B$42),$B$59/3,0)</x:f>
        <x:v>0</x:v>
      </x:c>
      <x:c r="BH59" s="117" t="n">
        <x:f>IF(AND(BH$3&gt;=EDATE($B$42,-3),BH$3&lt;$B$42),$B$59/3,0)</x:f>
        <x:v>0</x:v>
      </x:c>
      <x:c r="BI59" s="117" t="n">
        <x:f>IF(AND(BI$3&gt;=EDATE($B$42,-3),BI$3&lt;$B$42),$B$59/3,0)</x:f>
        <x:v>0</x:v>
      </x:c>
      <x:c r="BJ59" s="117" t="n">
        <x:f>IF(AND(BJ$3&gt;=EDATE($B$42,-3),BJ$3&lt;$B$42),$B$59/3,0)</x:f>
        <x:v>0</x:v>
      </x:c>
      <x:c r="BK59" s="117" t="n">
        <x:f>IF(AND(BK$3&gt;=EDATE($B$42,-3),BK$3&lt;$B$42),$B$59/3,0)</x:f>
        <x:v>0</x:v>
      </x:c>
      <x:c r="BL59" s="117" t="n">
        <x:f>IF(AND(BL$3&gt;=EDATE($B$42,-3),BL$3&lt;$B$42),$B$59/3,0)</x:f>
        <x:v>0</x:v>
      </x:c>
      <x:c r="BM59" s="117" t="n">
        <x:f>IF(AND(BM$3&gt;=EDATE($B$42,-3),BM$3&lt;$B$42),$B$59/3,0)</x:f>
        <x:v>0</x:v>
      </x:c>
      <x:c r="BN59" s="117" t="n">
        <x:f>IF(AND(BN$3&gt;=EDATE($B$42,-3),BN$3&lt;$B$42),$B$59/3,0)</x:f>
        <x:v>0</x:v>
      </x:c>
      <x:c r="BO59" s="117" t="n">
        <x:f>IF(AND(BO$3&gt;=EDATE($B$42,-3),BO$3&lt;$B$42),$B$59/3,0)</x:f>
        <x:v>0</x:v>
      </x:c>
      <x:c r="BP59" s="117" t="n">
        <x:f>IF(AND(BP$3&gt;=EDATE($B$42,-3),BP$3&lt;$B$42),$B$59/3,0)</x:f>
        <x:v>0</x:v>
      </x:c>
      <x:c r="BQ59" s="117" t="n">
        <x:f>IF(AND(BQ$3&gt;=EDATE($B$42,-3),BQ$3&lt;$B$42),$B$59/3,0)</x:f>
        <x:v>0</x:v>
      </x:c>
      <x:c r="BR59" s="117" t="n">
        <x:f>IF(AND(BR$3&gt;=EDATE($B$42,-3),BR$3&lt;$B$42),$B$59/3,0)</x:f>
        <x:v>0</x:v>
      </x:c>
      <x:c r="BS59" s="117" t="n">
        <x:f>IF(AND(BS$3&gt;=EDATE($B$42,-3),BS$3&lt;$B$42),$B$59/3,0)</x:f>
        <x:v>0</x:v>
      </x:c>
      <x:c r="BT59" s="117" t="n">
        <x:f>IF(AND(BT$3&gt;=EDATE($B$42,-3),BT$3&lt;$B$42),$B$59/3,0)</x:f>
        <x:v>0</x:v>
      </x:c>
      <x:c r="BU59" s="117" t="n">
        <x:f>IF(AND(BU$3&gt;=EDATE($B$42,-3),BU$3&lt;$B$42),$B$59/3,0)</x:f>
        <x:v>0</x:v>
      </x:c>
      <x:c r="BV59" s="117" t="n">
        <x:f>IF(AND(BV$3&gt;=EDATE($B$42,-3),BV$3&lt;$B$42),$B$59/3,0)</x:f>
        <x:v>0</x:v>
      </x:c>
      <x:c r="BW59" s="117" t="n">
        <x:f>IF(AND(BW$3&gt;=EDATE($B$42,-3),BW$3&lt;$B$42),$B$59/3,0)</x:f>
        <x:v>0</x:v>
      </x:c>
      <x:c r="BX59" s="117" t="n">
        <x:f>IF(AND(BX$3&gt;=EDATE($B$42,-3),BX$3&lt;$B$42),$B$59/3,0)</x:f>
        <x:v>0</x:v>
      </x:c>
      <x:c r="BY59" s="117" t="n">
        <x:f>IF(AND(BY$3&gt;=EDATE($B$42,-3),BY$3&lt;$B$42),$B$59/3,0)</x:f>
        <x:v>0</x:v>
      </x:c>
      <x:c r="BZ59" s="117" t="n">
        <x:f>IF(AND(BZ$3&gt;=EDATE($B$42,-3),BZ$3&lt;$B$42),$B$59/3,0)</x:f>
        <x:v>0</x:v>
      </x:c>
      <x:c r="CA59" s="117" t="n">
        <x:f>IF(AND(CA$3&gt;=EDATE($B$42,-3),CA$3&lt;$B$42),$B$59/3,0)</x:f>
        <x:v>0</x:v>
      </x:c>
      <x:c r="CB59" s="117" t="n">
        <x:f>IF(AND(CB$3&gt;=EDATE($B$42,-3),CB$3&lt;$B$42),$B$59/3,0)</x:f>
        <x:v>0</x:v>
      </x:c>
      <x:c r="CC59" s="117" t="n">
        <x:f>IF(AND(CC$3&gt;=EDATE($B$42,-3),CC$3&lt;$B$42),$B$59/3,0)</x:f>
        <x:v>0</x:v>
      </x:c>
      <x:c r="CD59" s="117" t="n">
        <x:f>IF(AND(CD$3&gt;=EDATE($B$42,-3),CD$3&lt;$B$42),$B$59/3,0)</x:f>
        <x:v>0</x:v>
      </x:c>
      <x:c r="CE59" s="117" t="n">
        <x:f>IF(AND(CE$3&gt;=EDATE($B$42,-3),CE$3&lt;$B$42),$B$59/3,0)</x:f>
        <x:v>0</x:v>
      </x:c>
      <x:c r="CF59" s="117" t="n">
        <x:f>IF(AND(CF$3&gt;=EDATE($B$42,-3),CF$3&lt;$B$42),$B$59/3,0)</x:f>
        <x:v>0</x:v>
      </x:c>
      <x:c r="CG59" s="117" t="n">
        <x:f>IF(AND(CG$3&gt;=EDATE($B$42,-3),CG$3&lt;$B$42),$B$59/3,0)</x:f>
        <x:v>0</x:v>
      </x:c>
      <x:c r="CH59" s="117" t="n">
        <x:f>IF(AND(CH$3&gt;=EDATE($B$42,-3),CH$3&lt;$B$42),$B$59/3,0)</x:f>
        <x:v>0</x:v>
      </x:c>
      <x:c r="CI59" s="117" t="n">
        <x:f>IF(AND(CI$3&gt;=EDATE($B$42,-3),CI$3&lt;$B$42),$B$59/3,0)</x:f>
        <x:v>0</x:v>
      </x:c>
      <x:c r="CJ59" s="117" t="n">
        <x:f>IF(AND(CJ$3&gt;=EDATE($B$42,-3),CJ$3&lt;$B$42),$B$59/3,0)</x:f>
        <x:v>0</x:v>
      </x:c>
      <x:c r="CK59" s="117" t="n">
        <x:f>IF(AND(CK$3&gt;=EDATE($B$42,-3),CK$3&lt;$B$42),$B$59/3,0)</x:f>
        <x:v>0</x:v>
      </x:c>
      <x:c r="CL59" s="117" t="n">
        <x:f>IF(AND(CL$3&gt;=EDATE($B$42,-3),CL$3&lt;$B$42),$B$59/3,0)</x:f>
        <x:v>0</x:v>
      </x:c>
      <x:c r="CM59" s="117" t="n">
        <x:f>IF(AND(CM$3&gt;=EDATE($B$42,-3),CM$3&lt;$B$42),$B$59/3,0)</x:f>
        <x:v>0</x:v>
      </x:c>
      <x:c r="CN59" s="117" t="n">
        <x:f>IF(AND(CN$3&gt;=EDATE($B$42,-3),CN$3&lt;$B$42),$B$59/3,0)</x:f>
        <x:v>0</x:v>
      </x:c>
      <x:c r="CO59" s="117" t="n">
        <x:f>IF(AND(CO$3&gt;=EDATE($B$42,-3),CO$3&lt;$B$42),$B$59/3,0)</x:f>
        <x:v>0</x:v>
      </x:c>
      <x:c r="CP59" s="117" t="n">
        <x:f>IF(AND(CP$3&gt;=EDATE($B$42,-3),CP$3&lt;$B$42),$B$59/3,0)</x:f>
        <x:v>0</x:v>
      </x:c>
      <x:c r="CQ59" s="117" t="n">
        <x:f>IF(AND(CQ$3&gt;=EDATE($B$42,-3),CQ$3&lt;$B$42),$B$59/3,0)</x:f>
        <x:v>0</x:v>
      </x:c>
      <x:c r="CR59" s="117" t="n">
        <x:f>IF(AND(CR$3&gt;=EDATE($B$42,-3),CR$3&lt;$B$42),$B$59/3,0)</x:f>
        <x:v>0</x:v>
      </x:c>
      <x:c r="CS59" s="117" t="n">
        <x:f>IF(AND(CS$3&gt;=EDATE($B$42,-3),CS$3&lt;$B$42),$B$59/3,0)</x:f>
        <x:v>0</x:v>
      </x:c>
      <x:c r="CT59" s="117" t="n">
        <x:f>IF(AND(CT$3&gt;=EDATE($B$42,-3),CT$3&lt;$B$42),$B$59/3,0)</x:f>
        <x:v>0</x:v>
      </x:c>
      <x:c r="CU59" s="117" t="n">
        <x:f>IF(AND(CU$3&gt;=EDATE($B$42,-3),CU$3&lt;$B$42),$B$59/3,0)</x:f>
        <x:v>0</x:v>
      </x:c>
      <x:c r="CV59" s="117" t="n">
        <x:f>IF(AND(CV$3&gt;=EDATE($B$42,-3),CV$3&lt;$B$42),$B$59/3,0)</x:f>
        <x:v>0</x:v>
      </x:c>
      <x:c r="CW59" s="117" t="n">
        <x:f>IF(AND(CW$3&gt;=EDATE($B$42,-3),CW$3&lt;$B$42),$B$59/3,0)</x:f>
        <x:v>0</x:v>
      </x:c>
      <x:c r="CX59" s="117" t="n">
        <x:f>IF(AND(CX$3&gt;=EDATE($B$42,-3),CX$3&lt;$B$42),$B$59/3,0)</x:f>
        <x:v>0</x:v>
      </x:c>
      <x:c r="CY59" s="117" t="n">
        <x:f>IF(AND(CY$3&gt;=EDATE($B$42,-3),CY$3&lt;$B$42),$B$59/3,0)</x:f>
        <x:v>0</x:v>
      </x:c>
      <x:c r="CZ59" s="117" t="n">
        <x:f>IF(AND(CZ$3&gt;=EDATE($B$42,-3),CZ$3&lt;$B$42),$B$59/3,0)</x:f>
        <x:v>0</x:v>
      </x:c>
      <x:c r="DA59" s="117" t="n">
        <x:f>IF(AND(DA$3&gt;=EDATE($B$42,-3),DA$3&lt;$B$42),$B$59/3,0)</x:f>
        <x:v>0</x:v>
      </x:c>
      <x:c r="DB59" s="117" t="n">
        <x:f>IF(AND(DB$3&gt;=EDATE($B$42,-3),DB$3&lt;$B$42),$B$59/3,0)</x:f>
        <x:v>0</x:v>
      </x:c>
      <x:c r="DC59" s="117" t="n">
        <x:f>IF(AND(DC$3&gt;=EDATE($B$42,-3),DC$3&lt;$B$42),$B$59/3,0)</x:f>
        <x:v>0</x:v>
      </x:c>
      <x:c r="DD59" s="117" t="n">
        <x:f>IF(AND(DD$3&gt;=EDATE($B$42,-3),DD$3&lt;$B$42),$B$59/3,0)</x:f>
        <x:v>0</x:v>
      </x:c>
      <x:c r="DE59" s="117" t="n">
        <x:f>IF(AND(DE$3&gt;=EDATE($B$42,-3),DE$3&lt;$B$42),$B$59/3,0)</x:f>
        <x:v>0</x:v>
      </x:c>
      <x:c r="DF59" s="117" t="n">
        <x:f>IF(AND(DF$3&gt;=EDATE($B$42,-3),DF$3&lt;$B$42),$B$59/3,0)</x:f>
        <x:v>0</x:v>
      </x:c>
      <x:c r="DG59" s="117" t="n">
        <x:f>IF(AND(DG$3&gt;=EDATE($B$42,-3),DG$3&lt;$B$42),$B$59/3,0)</x:f>
        <x:v>0</x:v>
      </x:c>
      <x:c r="DH59" s="117" t="n">
        <x:f>IF(AND(DH$3&gt;=EDATE($B$42,-3),DH$3&lt;$B$42),$B$59/3,0)</x:f>
        <x:v>0</x:v>
      </x:c>
      <x:c r="DI59" s="117" t="n">
        <x:f>IF(AND(DI$3&gt;=EDATE($B$42,-3),DI$3&lt;$B$42),$B$59/3,0)</x:f>
        <x:v>0</x:v>
      </x:c>
      <x:c r="DJ59" s="117" t="n">
        <x:f>IF(AND(DJ$3&gt;=EDATE($B$42,-3),DJ$3&lt;$B$42),$B$59/3,0)</x:f>
        <x:v>0</x:v>
      </x:c>
      <x:c r="DK59" s="117" t="n">
        <x:f>IF(AND(DK$3&gt;=EDATE($B$42,-3),DK$3&lt;$B$42),$B$59/3,0)</x:f>
        <x:v>0</x:v>
      </x:c>
      <x:c r="DL59" s="117" t="n">
        <x:f>IF(AND(DL$3&gt;=EDATE($B$42,-3),DL$3&lt;$B$42),$B$59/3,0)</x:f>
        <x:v>0</x:v>
      </x:c>
      <x:c r="DM59" s="117" t="n">
        <x:f>IF(AND(DM$3&gt;=EDATE($B$42,-3),DM$3&lt;$B$42),$B$59/3,0)</x:f>
        <x:v>0</x:v>
      </x:c>
      <x:c r="DN59" s="117" t="n">
        <x:f>IF(AND(DN$3&gt;=EDATE($B$42,-3),DN$3&lt;$B$42),$B$59/3,0)</x:f>
        <x:v>0</x:v>
      </x:c>
      <x:c r="DO59" s="117" t="n">
        <x:f>IF(AND(DO$3&gt;=EDATE($B$42,-3),DO$3&lt;$B$42),$B$59/3,0)</x:f>
        <x:v>0</x:v>
      </x:c>
      <x:c r="DP59" s="117" t="n">
        <x:f>IF(AND(DP$3&gt;=EDATE($B$42,-3),DP$3&lt;$B$42),$B$59/3,0)</x:f>
        <x:v>0</x:v>
      </x:c>
      <x:c r="DQ59" s="117" t="n">
        <x:f>IF(AND(DQ$3&gt;=EDATE($B$42,-3),DQ$3&lt;$B$42),$B$59/3,0)</x:f>
        <x:v>0</x:v>
      </x:c>
      <x:c r="DR59" s="117" t="n">
        <x:f>IF(AND(DR$3&gt;=EDATE($B$42,-3),DR$3&lt;$B$42),$B$59/3,0)</x:f>
        <x:v>0</x:v>
      </x:c>
      <x:c r="DS59" s="117" t="n">
        <x:f>IF(AND(DS$3&gt;=EDATE($B$42,-3),DS$3&lt;$B$42),$B$59/3,0)</x:f>
        <x:v>0</x:v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  <x:v>0</x:v>
      </x:c>
      <x:c r="C60" t="str">
        <x:v>млн ₽</x:v>
      </x:c>
      <x:c r="D60" s="117" t="n">
        <x:f>$B$60*D47</x:f>
        <x:v>0</x:v>
      </x:c>
      <x:c r="E60" s="117" t="n">
        <x:f>$B$60*E47</x:f>
        <x:v>0</x:v>
      </x:c>
      <x:c r="F60" s="117" t="n">
        <x:f>$B$60*F47</x:f>
        <x:v>0</x:v>
      </x:c>
      <x:c r="G60" s="117" t="n">
        <x:f>$B$60*G47</x:f>
        <x:v>0</x:v>
      </x:c>
      <x:c r="H60" s="117" t="n">
        <x:f>$B$60*H47</x:f>
        <x:v>0</x:v>
      </x:c>
      <x:c r="I60" s="117" t="n">
        <x:f>$B$60*I47</x:f>
        <x:v>0</x:v>
      </x:c>
      <x:c r="J60" s="117" t="n">
        <x:f>$B$60*J47</x:f>
        <x:v>0</x:v>
      </x:c>
      <x:c r="K60" s="117" t="n">
        <x:f>$B$60*K47</x:f>
        <x:v>0</x:v>
      </x:c>
      <x:c r="L60" s="117" t="n">
        <x:f>$B$60*L47</x:f>
        <x:v>0</x:v>
      </x:c>
      <x:c r="M60" s="117" t="n">
        <x:f>$B$60*M47</x:f>
        <x:v>0</x:v>
      </x:c>
      <x:c r="N60" s="117" t="n">
        <x:f>$B$60*N47</x:f>
        <x:v>0</x:v>
      </x:c>
      <x:c r="O60" s="117" t="n">
        <x:f>$B$60*O47</x:f>
        <x:v>0</x:v>
      </x:c>
      <x:c r="P60" s="117" t="n">
        <x:f>$B$60*P47</x:f>
        <x:v>0</x:v>
      </x:c>
      <x:c r="Q60" s="117" t="n">
        <x:f>$B$60*Q47</x:f>
        <x:v>0</x:v>
      </x:c>
      <x:c r="R60" s="117" t="n">
        <x:f>$B$60*R47</x:f>
        <x:v>0</x:v>
      </x:c>
      <x:c r="S60" s="117" t="n">
        <x:f>$B$60*S47</x:f>
        <x:v>0</x:v>
      </x:c>
      <x:c r="T60" s="117" t="n">
        <x:f>$B$60*T47</x:f>
        <x:v>0</x:v>
      </x:c>
      <x:c r="U60" s="117" t="n">
        <x:f>$B$60*U47</x:f>
        <x:v>0</x:v>
      </x:c>
      <x:c r="V60" s="117" t="n">
        <x:f>$B$60*V47</x:f>
        <x:v>0</x:v>
      </x:c>
      <x:c r="W60" s="117" t="n">
        <x:f>$B$60*W47</x:f>
        <x:v>0</x:v>
      </x:c>
      <x:c r="X60" s="117" t="n">
        <x:f>$B$60*X47</x:f>
        <x:v>0</x:v>
      </x:c>
      <x:c r="Y60" s="117" t="n">
        <x:f>$B$60*Y47</x:f>
        <x:v>0</x:v>
      </x:c>
      <x:c r="Z60" s="117" t="n">
        <x:f>$B$60*Z47</x:f>
        <x:v>0</x:v>
      </x:c>
      <x:c r="AA60" s="117" t="n">
        <x:f>$B$60*AA47</x:f>
        <x:v>0</x:v>
      </x:c>
      <x:c r="AB60" s="117" t="n">
        <x:f>$B$60*AB47</x:f>
        <x:v>0</x:v>
      </x:c>
      <x:c r="AC60" s="117" t="n">
        <x:f>$B$60*AC47</x:f>
        <x:v>0</x:v>
      </x:c>
      <x:c r="AD60" s="117" t="n">
        <x:f>$B$60*AD47</x:f>
        <x:v>0</x:v>
      </x:c>
      <x:c r="AE60" s="117" t="n">
        <x:f>$B$60*AE47</x:f>
        <x:v>0</x:v>
      </x:c>
      <x:c r="AF60" s="117" t="n">
        <x:f>$B$60*AF47</x:f>
        <x:v>0</x:v>
      </x:c>
      <x:c r="AG60" s="117" t="n">
        <x:f>$B$60*AG47</x:f>
        <x:v>0</x:v>
      </x:c>
      <x:c r="AH60" s="117" t="n">
        <x:f>$B$60*AH47</x:f>
        <x:v>0</x:v>
      </x:c>
      <x:c r="AI60" s="117" t="n">
        <x:f>$B$60*AI47</x:f>
        <x:v>0</x:v>
      </x:c>
      <x:c r="AJ60" s="117" t="n">
        <x:f>$B$60*AJ47</x:f>
        <x:v>0</x:v>
      </x:c>
      <x:c r="AK60" s="117" t="n">
        <x:f>$B$60*AK47</x:f>
        <x:v>0</x:v>
      </x:c>
      <x:c r="AL60" s="117" t="n">
        <x:f>$B$60*AL47</x:f>
        <x:v>0</x:v>
      </x:c>
      <x:c r="AM60" s="117" t="n">
        <x:f>$B$60*AM47</x:f>
        <x:v>0</x:v>
      </x:c>
      <x:c r="AN60" s="117" t="n">
        <x:f>$B$60*AN47</x:f>
        <x:v>0</x:v>
      </x:c>
      <x:c r="AO60" s="117" t="n">
        <x:f>$B$60*AO47</x:f>
        <x:v>0</x:v>
      </x:c>
      <x:c r="AP60" s="117" t="n">
        <x:f>$B$60*AP47</x:f>
        <x:v>0</x:v>
      </x:c>
      <x:c r="AQ60" s="117" t="n">
        <x:f>$B$60*AQ47</x:f>
        <x:v>0</x:v>
      </x:c>
      <x:c r="AR60" s="117" t="n">
        <x:f>$B$60*AR47</x:f>
        <x:v>0</x:v>
      </x:c>
      <x:c r="AS60" s="117" t="n">
        <x:f>$B$60*AS47</x:f>
        <x:v>0</x:v>
      </x:c>
      <x:c r="AT60" s="117" t="n">
        <x:f>$B$60*AT47</x:f>
        <x:v>0</x:v>
      </x:c>
      <x:c r="AU60" s="117" t="n">
        <x:f>$B$60*AU47</x:f>
        <x:v>0</x:v>
      </x:c>
      <x:c r="AV60" s="117" t="n">
        <x:f>$B$60*AV47</x:f>
        <x:v>0</x:v>
      </x:c>
      <x:c r="AW60" s="117" t="n">
        <x:f>$B$60*AW47</x:f>
        <x:v>0</x:v>
      </x:c>
      <x:c r="AX60" s="117" t="n">
        <x:f>$B$60*AX47</x:f>
        <x:v>0</x:v>
      </x:c>
      <x:c r="AY60" s="117" t="n">
        <x:f>$B$60*AY47</x:f>
        <x:v>0</x:v>
      </x:c>
      <x:c r="AZ60" s="117" t="n">
        <x:f>$B$60*AZ47</x:f>
        <x:v>0</x:v>
      </x:c>
      <x:c r="BA60" s="117" t="n">
        <x:f>$B$60*BA47</x:f>
        <x:v>0</x:v>
      </x:c>
      <x:c r="BB60" s="117" t="n">
        <x:f>$B$60*BB47</x:f>
        <x:v>0</x:v>
      </x:c>
      <x:c r="BC60" s="117" t="n">
        <x:f>$B$60*BC47</x:f>
        <x:v>0</x:v>
      </x:c>
      <x:c r="BD60" s="117" t="n">
        <x:f>$B$60*BD47</x:f>
        <x:v>0</x:v>
      </x:c>
      <x:c r="BE60" s="117" t="n">
        <x:f>$B$60*BE47</x:f>
        <x:v>0</x:v>
      </x:c>
      <x:c r="BF60" s="117" t="n">
        <x:f>$B$60*BF47</x:f>
        <x:v>0</x:v>
      </x:c>
      <x:c r="BG60" s="117" t="n">
        <x:f>$B$60*BG47</x:f>
        <x:v>0</x:v>
      </x:c>
      <x:c r="BH60" s="117" t="n">
        <x:f>$B$60*BH47</x:f>
        <x:v>0</x:v>
      </x:c>
      <x:c r="BI60" s="117" t="n">
        <x:f>$B$60*BI47</x:f>
        <x:v>0</x:v>
      </x:c>
      <x:c r="BJ60" s="117" t="n">
        <x:f>$B$60*BJ47</x:f>
        <x:v>0</x:v>
      </x:c>
      <x:c r="BK60" s="117" t="n">
        <x:f>$B$60*BK47</x:f>
        <x:v>0</x:v>
      </x:c>
      <x:c r="BL60" s="117" t="n">
        <x:f>$B$60*BL47</x:f>
        <x:v>0</x:v>
      </x:c>
      <x:c r="BM60" s="117" t="n">
        <x:f>$B$60*BM47</x:f>
        <x:v>0</x:v>
      </x:c>
      <x:c r="BN60" s="117" t="n">
        <x:f>$B$60*BN47</x:f>
        <x:v>0</x:v>
      </x:c>
      <x:c r="BO60" s="117" t="n">
        <x:f>$B$60*BO47</x:f>
        <x:v>0</x:v>
      </x:c>
      <x:c r="BP60" s="117" t="n">
        <x:f>$B$60*BP47</x:f>
        <x:v>0</x:v>
      </x:c>
      <x:c r="BQ60" s="117" t="n">
        <x:f>$B$60*BQ47</x:f>
        <x:v>0</x:v>
      </x:c>
      <x:c r="BR60" s="117" t="n">
        <x:f>$B$60*BR47</x:f>
        <x:v>0</x:v>
      </x:c>
      <x:c r="BS60" s="117" t="n">
        <x:f>$B$60*BS47</x:f>
        <x:v>0</x:v>
      </x:c>
      <x:c r="BT60" s="117" t="n">
        <x:f>$B$60*BT47</x:f>
        <x:v>0</x:v>
      </x:c>
      <x:c r="BU60" s="117" t="n">
        <x:f>$B$60*BU47</x:f>
        <x:v>0</x:v>
      </x:c>
      <x:c r="BV60" s="117" t="n">
        <x:f>$B$60*BV47</x:f>
        <x:v>0</x:v>
      </x:c>
      <x:c r="BW60" s="117" t="n">
        <x:f>$B$60*BW47</x:f>
        <x:v>0</x:v>
      </x:c>
      <x:c r="BX60" s="117" t="n">
        <x:f>$B$60*BX47</x:f>
        <x:v>0</x:v>
      </x:c>
      <x:c r="BY60" s="117" t="n">
        <x:f>$B$60*BY47</x:f>
        <x:v>0</x:v>
      </x:c>
      <x:c r="BZ60" s="117" t="n">
        <x:f>$B$60*BZ47</x:f>
        <x:v>0</x:v>
      </x:c>
      <x:c r="CA60" s="117" t="n">
        <x:f>$B$60*CA47</x:f>
        <x:v>0</x:v>
      </x:c>
      <x:c r="CB60" s="117" t="n">
        <x:f>$B$60*CB47</x:f>
        <x:v>0</x:v>
      </x:c>
      <x:c r="CC60" s="117" t="n">
        <x:f>$B$60*CC47</x:f>
        <x:v>0</x:v>
      </x:c>
      <x:c r="CD60" s="117" t="n">
        <x:f>$B$60*CD47</x:f>
        <x:v>0</x:v>
      </x:c>
      <x:c r="CE60" s="117" t="n">
        <x:f>$B$60*CE47</x:f>
        <x:v>0</x:v>
      </x:c>
      <x:c r="CF60" s="117" t="n">
        <x:f>$B$60*CF47</x:f>
        <x:v>0</x:v>
      </x:c>
      <x:c r="CG60" s="117" t="n">
        <x:f>$B$60*CG47</x:f>
        <x:v>0</x:v>
      </x:c>
      <x:c r="CH60" s="117" t="n">
        <x:f>$B$60*CH47</x:f>
        <x:v>0</x:v>
      </x:c>
      <x:c r="CI60" s="117" t="n">
        <x:f>$B$60*CI47</x:f>
        <x:v>0</x:v>
      </x:c>
      <x:c r="CJ60" s="117" t="n">
        <x:f>$B$60*CJ47</x:f>
        <x:v>0</x:v>
      </x:c>
      <x:c r="CK60" s="117" t="n">
        <x:f>$B$60*CK47</x:f>
        <x:v>0</x:v>
      </x:c>
      <x:c r="CL60" s="117" t="n">
        <x:f>$B$60*CL47</x:f>
        <x:v>0</x:v>
      </x:c>
      <x:c r="CM60" s="117" t="n">
        <x:f>$B$60*CM47</x:f>
        <x:v>0</x:v>
      </x:c>
      <x:c r="CN60" s="117" t="n">
        <x:f>$B$60*CN47</x:f>
        <x:v>0</x:v>
      </x:c>
      <x:c r="CO60" s="117" t="n">
        <x:f>$B$60*CO47</x:f>
        <x:v>0</x:v>
      </x:c>
      <x:c r="CP60" s="117" t="n">
        <x:f>$B$60*CP47</x:f>
        <x:v>0</x:v>
      </x:c>
      <x:c r="CQ60" s="117" t="n">
        <x:f>$B$60*CQ47</x:f>
        <x:v>0</x:v>
      </x:c>
      <x:c r="CR60" s="117" t="n">
        <x:f>$B$60*CR47</x:f>
        <x:v>0</x:v>
      </x:c>
      <x:c r="CS60" s="117" t="n">
        <x:f>$B$60*CS47</x:f>
        <x:v>0</x:v>
      </x:c>
      <x:c r="CT60" s="117" t="n">
        <x:f>$B$60*CT47</x:f>
        <x:v>0</x:v>
      </x:c>
      <x:c r="CU60" s="117" t="n">
        <x:f>$B$60*CU47</x:f>
        <x:v>0</x:v>
      </x:c>
      <x:c r="CV60" s="117" t="n">
        <x:f>$B$60*CV47</x:f>
        <x:v>0</x:v>
      </x:c>
      <x:c r="CW60" s="117" t="n">
        <x:f>$B$60*CW47</x:f>
        <x:v>0</x:v>
      </x:c>
      <x:c r="CX60" s="117" t="n">
        <x:f>$B$60*CX47</x:f>
        <x:v>0</x:v>
      </x:c>
      <x:c r="CY60" s="117" t="n">
        <x:f>$B$60*CY47</x:f>
        <x:v>0</x:v>
      </x:c>
      <x:c r="CZ60" s="117" t="n">
        <x:f>$B$60*CZ47</x:f>
        <x:v>0</x:v>
      </x:c>
      <x:c r="DA60" s="117" t="n">
        <x:f>$B$60*DA47</x:f>
        <x:v>0</x:v>
      </x:c>
      <x:c r="DB60" s="117" t="n">
        <x:f>$B$60*DB47</x:f>
        <x:v>0</x:v>
      </x:c>
      <x:c r="DC60" s="117" t="n">
        <x:f>$B$60*DC47</x:f>
        <x:v>0</x:v>
      </x:c>
      <x:c r="DD60" s="117" t="n">
        <x:f>$B$60*DD47</x:f>
        <x:v>0</x:v>
      </x:c>
      <x:c r="DE60" s="117" t="n">
        <x:f>$B$60*DE47</x:f>
        <x:v>0</x:v>
      </x:c>
      <x:c r="DF60" s="117" t="n">
        <x:f>$B$60*DF47</x:f>
        <x:v>0</x:v>
      </x:c>
      <x:c r="DG60" s="117" t="n">
        <x:f>$B$60*DG47</x:f>
        <x:v>0</x:v>
      </x:c>
      <x:c r="DH60" s="117" t="n">
        <x:f>$B$60*DH47</x:f>
        <x:v>0</x:v>
      </x:c>
      <x:c r="DI60" s="117" t="n">
        <x:f>$B$60*DI47</x:f>
        <x:v>0</x:v>
      </x:c>
      <x:c r="DJ60" s="117" t="n">
        <x:f>$B$60*DJ47</x:f>
        <x:v>0</x:v>
      </x:c>
      <x:c r="DK60" s="117" t="n">
        <x:f>$B$60*DK47</x:f>
        <x:v>0</x:v>
      </x:c>
      <x:c r="DL60" s="117" t="n">
        <x:f>$B$60*DL47</x:f>
        <x:v>0</x:v>
      </x:c>
      <x:c r="DM60" s="117" t="n">
        <x:f>$B$60*DM47</x:f>
        <x:v>0</x:v>
      </x:c>
      <x:c r="DN60" s="117" t="n">
        <x:f>$B$60*DN47</x:f>
        <x:v>0</x:v>
      </x:c>
      <x:c r="DO60" s="117" t="n">
        <x:f>$B$60*DO47</x:f>
        <x:v>0</x:v>
      </x:c>
      <x:c r="DP60" s="117" t="n">
        <x:f>$B$60*DP47</x:f>
        <x:v>0</x:v>
      </x:c>
      <x:c r="DQ60" s="117" t="n">
        <x:f>$B$60*DQ47</x:f>
        <x:v>0</x:v>
      </x:c>
      <x:c r="DR60" s="117" t="n">
        <x:f>$B$60*DR47</x:f>
        <x:v>0</x:v>
      </x:c>
      <x:c r="DS60" s="117" t="n">
        <x:f>$B$60*DS47</x:f>
        <x:v>0</x:v>
      </x:c>
    </x:row>
    <x:row r="61">
      <x:c r="A61" t="str">
        <x:v>Техзаказчик / стройконтроль</x:v>
      </x:c>
      <x:c r="B61" s="107" t="n">
        <x:f>SUM(B50:B60)*'Вводные'!$B$53</x:f>
        <x:v>0</x:v>
      </x:c>
      <x:c r="C61" t="str">
        <x:v>млн ₽</x:v>
      </x:c>
      <x:c r="D61" s="117" t="n">
        <x:f>$B$61*D47</x:f>
        <x:v>0</x:v>
      </x:c>
      <x:c r="E61" s="117" t="n">
        <x:f>$B$61*E47</x:f>
        <x:v>0</x:v>
      </x:c>
      <x:c r="F61" s="117" t="n">
        <x:f>$B$61*F47</x:f>
        <x:v>0</x:v>
      </x:c>
      <x:c r="G61" s="117" t="n">
        <x:f>$B$61*G47</x:f>
        <x:v>0</x:v>
      </x:c>
      <x:c r="H61" s="117" t="n">
        <x:f>$B$61*H47</x:f>
        <x:v>0</x:v>
      </x:c>
      <x:c r="I61" s="117" t="n">
        <x:f>$B$61*I47</x:f>
        <x:v>0</x:v>
      </x:c>
      <x:c r="J61" s="117" t="n">
        <x:f>$B$61*J47</x:f>
        <x:v>0</x:v>
      </x:c>
      <x:c r="K61" s="117" t="n">
        <x:f>$B$61*K47</x:f>
        <x:v>0</x:v>
      </x:c>
      <x:c r="L61" s="117" t="n">
        <x:f>$B$61*L47</x:f>
        <x:v>0</x:v>
      </x:c>
      <x:c r="M61" s="117" t="n">
        <x:f>$B$61*M47</x:f>
        <x:v>0</x:v>
      </x:c>
      <x:c r="N61" s="117" t="n">
        <x:f>$B$61*N47</x:f>
        <x:v>0</x:v>
      </x:c>
      <x:c r="O61" s="117" t="n">
        <x:f>$B$61*O47</x:f>
        <x:v>0</x:v>
      </x:c>
      <x:c r="P61" s="117" t="n">
        <x:f>$B$61*P47</x:f>
        <x:v>0</x:v>
      </x:c>
      <x:c r="Q61" s="117" t="n">
        <x:f>$B$61*Q47</x:f>
        <x:v>0</x:v>
      </x:c>
      <x:c r="R61" s="117" t="n">
        <x:f>$B$61*R47</x:f>
        <x:v>0</x:v>
      </x:c>
      <x:c r="S61" s="117" t="n">
        <x:f>$B$61*S47</x:f>
        <x:v>0</x:v>
      </x:c>
      <x:c r="T61" s="117" t="n">
        <x:f>$B$61*T47</x:f>
        <x:v>0</x:v>
      </x:c>
      <x:c r="U61" s="117" t="n">
        <x:f>$B$61*U47</x:f>
        <x:v>0</x:v>
      </x:c>
      <x:c r="V61" s="117" t="n">
        <x:f>$B$61*V47</x:f>
        <x:v>0</x:v>
      </x:c>
      <x:c r="W61" s="117" t="n">
        <x:f>$B$61*W47</x:f>
        <x:v>0</x:v>
      </x:c>
      <x:c r="X61" s="117" t="n">
        <x:f>$B$61*X47</x:f>
        <x:v>0</x:v>
      </x:c>
      <x:c r="Y61" s="117" t="n">
        <x:f>$B$61*Y47</x:f>
        <x:v>0</x:v>
      </x:c>
      <x:c r="Z61" s="117" t="n">
        <x:f>$B$61*Z47</x:f>
        <x:v>0</x:v>
      </x:c>
      <x:c r="AA61" s="117" t="n">
        <x:f>$B$61*AA47</x:f>
        <x:v>0</x:v>
      </x:c>
      <x:c r="AB61" s="117" t="n">
        <x:f>$B$61*AB47</x:f>
        <x:v>0</x:v>
      </x:c>
      <x:c r="AC61" s="117" t="n">
        <x:f>$B$61*AC47</x:f>
        <x:v>0</x:v>
      </x:c>
      <x:c r="AD61" s="117" t="n">
        <x:f>$B$61*AD47</x:f>
        <x:v>0</x:v>
      </x:c>
      <x:c r="AE61" s="117" t="n">
        <x:f>$B$61*AE47</x:f>
        <x:v>0</x:v>
      </x:c>
      <x:c r="AF61" s="117" t="n">
        <x:f>$B$61*AF47</x:f>
        <x:v>0</x:v>
      </x:c>
      <x:c r="AG61" s="117" t="n">
        <x:f>$B$61*AG47</x:f>
        <x:v>0</x:v>
      </x:c>
      <x:c r="AH61" s="117" t="n">
        <x:f>$B$61*AH47</x:f>
        <x:v>0</x:v>
      </x:c>
      <x:c r="AI61" s="117" t="n">
        <x:f>$B$61*AI47</x:f>
        <x:v>0</x:v>
      </x:c>
      <x:c r="AJ61" s="117" t="n">
        <x:f>$B$61*AJ47</x:f>
        <x:v>0</x:v>
      </x:c>
      <x:c r="AK61" s="117" t="n">
        <x:f>$B$61*AK47</x:f>
        <x:v>0</x:v>
      </x:c>
      <x:c r="AL61" s="117" t="n">
        <x:f>$B$61*AL47</x:f>
        <x:v>0</x:v>
      </x:c>
      <x:c r="AM61" s="117" t="n">
        <x:f>$B$61*AM47</x:f>
        <x:v>0</x:v>
      </x:c>
      <x:c r="AN61" s="117" t="n">
        <x:f>$B$61*AN47</x:f>
        <x:v>0</x:v>
      </x:c>
      <x:c r="AO61" s="117" t="n">
        <x:f>$B$61*AO47</x:f>
        <x:v>0</x:v>
      </x:c>
      <x:c r="AP61" s="117" t="n">
        <x:f>$B$61*AP47</x:f>
        <x:v>0</x:v>
      </x:c>
      <x:c r="AQ61" s="117" t="n">
        <x:f>$B$61*AQ47</x:f>
        <x:v>0</x:v>
      </x:c>
      <x:c r="AR61" s="117" t="n">
        <x:f>$B$61*AR47</x:f>
        <x:v>0</x:v>
      </x:c>
      <x:c r="AS61" s="117" t="n">
        <x:f>$B$61*AS47</x:f>
        <x:v>0</x:v>
      </x:c>
      <x:c r="AT61" s="117" t="n">
        <x:f>$B$61*AT47</x:f>
        <x:v>0</x:v>
      </x:c>
      <x:c r="AU61" s="117" t="n">
        <x:f>$B$61*AU47</x:f>
        <x:v>0</x:v>
      </x:c>
      <x:c r="AV61" s="117" t="n">
        <x:f>$B$61*AV47</x:f>
        <x:v>0</x:v>
      </x:c>
      <x:c r="AW61" s="117" t="n">
        <x:f>$B$61*AW47</x:f>
        <x:v>0</x:v>
      </x:c>
      <x:c r="AX61" s="117" t="n">
        <x:f>$B$61*AX47</x:f>
        <x:v>0</x:v>
      </x:c>
      <x:c r="AY61" s="117" t="n">
        <x:f>$B$61*AY47</x:f>
        <x:v>0</x:v>
      </x:c>
      <x:c r="AZ61" s="117" t="n">
        <x:f>$B$61*AZ47</x:f>
        <x:v>0</x:v>
      </x:c>
      <x:c r="BA61" s="117" t="n">
        <x:f>$B$61*BA47</x:f>
        <x:v>0</x:v>
      </x:c>
      <x:c r="BB61" s="117" t="n">
        <x:f>$B$61*BB47</x:f>
        <x:v>0</x:v>
      </x:c>
      <x:c r="BC61" s="117" t="n">
        <x:f>$B$61*BC47</x:f>
        <x:v>0</x:v>
      </x:c>
      <x:c r="BD61" s="117" t="n">
        <x:f>$B$61*BD47</x:f>
        <x:v>0</x:v>
      </x:c>
      <x:c r="BE61" s="117" t="n">
        <x:f>$B$61*BE47</x:f>
        <x:v>0</x:v>
      </x:c>
      <x:c r="BF61" s="117" t="n">
        <x:f>$B$61*BF47</x:f>
        <x:v>0</x:v>
      </x:c>
      <x:c r="BG61" s="117" t="n">
        <x:f>$B$61*BG47</x:f>
        <x:v>0</x:v>
      </x:c>
      <x:c r="BH61" s="117" t="n">
        <x:f>$B$61*BH47</x:f>
        <x:v>0</x:v>
      </x:c>
      <x:c r="BI61" s="117" t="n">
        <x:f>$B$61*BI47</x:f>
        <x:v>0</x:v>
      </x:c>
      <x:c r="BJ61" s="117" t="n">
        <x:f>$B$61*BJ47</x:f>
        <x:v>0</x:v>
      </x:c>
      <x:c r="BK61" s="117" t="n">
        <x:f>$B$61*BK47</x:f>
        <x:v>0</x:v>
      </x:c>
      <x:c r="BL61" s="117" t="n">
        <x:f>$B$61*BL47</x:f>
        <x:v>0</x:v>
      </x:c>
      <x:c r="BM61" s="117" t="n">
        <x:f>$B$61*BM47</x:f>
        <x:v>0</x:v>
      </x:c>
      <x:c r="BN61" s="117" t="n">
        <x:f>$B$61*BN47</x:f>
        <x:v>0</x:v>
      </x:c>
      <x:c r="BO61" s="117" t="n">
        <x:f>$B$61*BO47</x:f>
        <x:v>0</x:v>
      </x:c>
      <x:c r="BP61" s="117" t="n">
        <x:f>$B$61*BP47</x:f>
        <x:v>0</x:v>
      </x:c>
      <x:c r="BQ61" s="117" t="n">
        <x:f>$B$61*BQ47</x:f>
        <x:v>0</x:v>
      </x:c>
      <x:c r="BR61" s="117" t="n">
        <x:f>$B$61*BR47</x:f>
        <x:v>0</x:v>
      </x:c>
      <x:c r="BS61" s="117" t="n">
        <x:f>$B$61*BS47</x:f>
        <x:v>0</x:v>
      </x:c>
      <x:c r="BT61" s="117" t="n">
        <x:f>$B$61*BT47</x:f>
        <x:v>0</x:v>
      </x:c>
      <x:c r="BU61" s="117" t="n">
        <x:f>$B$61*BU47</x:f>
        <x:v>0</x:v>
      </x:c>
      <x:c r="BV61" s="117" t="n">
        <x:f>$B$61*BV47</x:f>
        <x:v>0</x:v>
      </x:c>
      <x:c r="BW61" s="117" t="n">
        <x:f>$B$61*BW47</x:f>
        <x:v>0</x:v>
      </x:c>
      <x:c r="BX61" s="117" t="n">
        <x:f>$B$61*BX47</x:f>
        <x:v>0</x:v>
      </x:c>
      <x:c r="BY61" s="117" t="n">
        <x:f>$B$61*BY47</x:f>
        <x:v>0</x:v>
      </x:c>
      <x:c r="BZ61" s="117" t="n">
        <x:f>$B$61*BZ47</x:f>
        <x:v>0</x:v>
      </x:c>
      <x:c r="CA61" s="117" t="n">
        <x:f>$B$61*CA47</x:f>
        <x:v>0</x:v>
      </x:c>
      <x:c r="CB61" s="117" t="n">
        <x:f>$B$61*CB47</x:f>
        <x:v>0</x:v>
      </x:c>
      <x:c r="CC61" s="117" t="n">
        <x:f>$B$61*CC47</x:f>
        <x:v>0</x:v>
      </x:c>
      <x:c r="CD61" s="117" t="n">
        <x:f>$B$61*CD47</x:f>
        <x:v>0</x:v>
      </x:c>
      <x:c r="CE61" s="117" t="n">
        <x:f>$B$61*CE47</x:f>
        <x:v>0</x:v>
      </x:c>
      <x:c r="CF61" s="117" t="n">
        <x:f>$B$61*CF47</x:f>
        <x:v>0</x:v>
      </x:c>
      <x:c r="CG61" s="117" t="n">
        <x:f>$B$61*CG47</x:f>
        <x:v>0</x:v>
      </x:c>
      <x:c r="CH61" s="117" t="n">
        <x:f>$B$61*CH47</x:f>
        <x:v>0</x:v>
      </x:c>
      <x:c r="CI61" s="117" t="n">
        <x:f>$B$61*CI47</x:f>
        <x:v>0</x:v>
      </x:c>
      <x:c r="CJ61" s="117" t="n">
        <x:f>$B$61*CJ47</x:f>
        <x:v>0</x:v>
      </x:c>
      <x:c r="CK61" s="117" t="n">
        <x:f>$B$61*CK47</x:f>
        <x:v>0</x:v>
      </x:c>
      <x:c r="CL61" s="117" t="n">
        <x:f>$B$61*CL47</x:f>
        <x:v>0</x:v>
      </x:c>
      <x:c r="CM61" s="117" t="n">
        <x:f>$B$61*CM47</x:f>
        <x:v>0</x:v>
      </x:c>
      <x:c r="CN61" s="117" t="n">
        <x:f>$B$61*CN47</x:f>
        <x:v>0</x:v>
      </x:c>
      <x:c r="CO61" s="117" t="n">
        <x:f>$B$61*CO47</x:f>
        <x:v>0</x:v>
      </x:c>
      <x:c r="CP61" s="117" t="n">
        <x:f>$B$61*CP47</x:f>
        <x:v>0</x:v>
      </x:c>
      <x:c r="CQ61" s="117" t="n">
        <x:f>$B$61*CQ47</x:f>
        <x:v>0</x:v>
      </x:c>
      <x:c r="CR61" s="117" t="n">
        <x:f>$B$61*CR47</x:f>
        <x:v>0</x:v>
      </x:c>
      <x:c r="CS61" s="117" t="n">
        <x:f>$B$61*CS47</x:f>
        <x:v>0</x:v>
      </x:c>
      <x:c r="CT61" s="117" t="n">
        <x:f>$B$61*CT47</x:f>
        <x:v>0</x:v>
      </x:c>
      <x:c r="CU61" s="117" t="n">
        <x:f>$B$61*CU47</x:f>
        <x:v>0</x:v>
      </x:c>
      <x:c r="CV61" s="117" t="n">
        <x:f>$B$61*CV47</x:f>
        <x:v>0</x:v>
      </x:c>
      <x:c r="CW61" s="117" t="n">
        <x:f>$B$61*CW47</x:f>
        <x:v>0</x:v>
      </x:c>
      <x:c r="CX61" s="117" t="n">
        <x:f>$B$61*CX47</x:f>
        <x:v>0</x:v>
      </x:c>
      <x:c r="CY61" s="117" t="n">
        <x:f>$B$61*CY47</x:f>
        <x:v>0</x:v>
      </x:c>
      <x:c r="CZ61" s="117" t="n">
        <x:f>$B$61*CZ47</x:f>
        <x:v>0</x:v>
      </x:c>
      <x:c r="DA61" s="117" t="n">
        <x:f>$B$61*DA47</x:f>
        <x:v>0</x:v>
      </x:c>
      <x:c r="DB61" s="117" t="n">
        <x:f>$B$61*DB47</x:f>
        <x:v>0</x:v>
      </x:c>
      <x:c r="DC61" s="117" t="n">
        <x:f>$B$61*DC47</x:f>
        <x:v>0</x:v>
      </x:c>
      <x:c r="DD61" s="117" t="n">
        <x:f>$B$61*DD47</x:f>
        <x:v>0</x:v>
      </x:c>
      <x:c r="DE61" s="117" t="n">
        <x:f>$B$61*DE47</x:f>
        <x:v>0</x:v>
      </x:c>
      <x:c r="DF61" s="117" t="n">
        <x:f>$B$61*DF47</x:f>
        <x:v>0</x:v>
      </x:c>
      <x:c r="DG61" s="117" t="n">
        <x:f>$B$61*DG47</x:f>
        <x:v>0</x:v>
      </x:c>
      <x:c r="DH61" s="117" t="n">
        <x:f>$B$61*DH47</x:f>
        <x:v>0</x:v>
      </x:c>
      <x:c r="DI61" s="117" t="n">
        <x:f>$B$61*DI47</x:f>
        <x:v>0</x:v>
      </x:c>
      <x:c r="DJ61" s="117" t="n">
        <x:f>$B$61*DJ47</x:f>
        <x:v>0</x:v>
      </x:c>
      <x:c r="DK61" s="117" t="n">
        <x:f>$B$61*DK47</x:f>
        <x:v>0</x:v>
      </x:c>
      <x:c r="DL61" s="117" t="n">
        <x:f>$B$61*DL47</x:f>
        <x:v>0</x:v>
      </x:c>
      <x:c r="DM61" s="117" t="n">
        <x:f>$B$61*DM47</x:f>
        <x:v>0</x:v>
      </x:c>
      <x:c r="DN61" s="117" t="n">
        <x:f>$B$61*DN47</x:f>
        <x:v>0</x:v>
      </x:c>
      <x:c r="DO61" s="117" t="n">
        <x:f>$B$61*DO47</x:f>
        <x:v>0</x:v>
      </x:c>
      <x:c r="DP61" s="117" t="n">
        <x:f>$B$61*DP47</x:f>
        <x:v>0</x:v>
      </x:c>
      <x:c r="DQ61" s="117" t="n">
        <x:f>$B$61*DQ47</x:f>
        <x:v>0</x:v>
      </x:c>
      <x:c r="DR61" s="117" t="n">
        <x:f>$B$61*DR47</x:f>
        <x:v>0</x:v>
      </x:c>
      <x:c r="DS61" s="117" t="n">
        <x:f>$B$61*DS47</x:f>
        <x:v>0</x:v>
      </x:c>
    </x:row>
    <x:row r="62">
      <x:c r="A62" t="str">
        <x:v>Управление проектом</x:v>
      </x:c>
      <x:c r="B62" s="107" t="n">
        <x:f>SUM(B50:B60)*'Вводные'!$B$52</x:f>
        <x:v>0</x:v>
      </x:c>
      <x:c r="C62" t="str">
        <x:v>млн ₽</x:v>
      </x:c>
      <x:c r="D62" s="117" t="n">
        <x:f>$B$62*D44</x:f>
        <x:v>0</x:v>
      </x:c>
      <x:c r="E62" s="117" t="n">
        <x:f>$B$62*E44</x:f>
        <x:v>0</x:v>
      </x:c>
      <x:c r="F62" s="117" t="n">
        <x:f>$B$62*F44</x:f>
        <x:v>0</x:v>
      </x:c>
      <x:c r="G62" s="117" t="n">
        <x:f>$B$62*G44</x:f>
        <x:v>0</x:v>
      </x:c>
      <x:c r="H62" s="117" t="n">
        <x:f>$B$62*H44</x:f>
        <x:v>0</x:v>
      </x:c>
      <x:c r="I62" s="117" t="n">
        <x:f>$B$62*I44</x:f>
        <x:v>0</x:v>
      </x:c>
      <x:c r="J62" s="117" t="n">
        <x:f>$B$62*J44</x:f>
        <x:v>0</x:v>
      </x:c>
      <x:c r="K62" s="117" t="n">
        <x:f>$B$62*K44</x:f>
        <x:v>0</x:v>
      </x:c>
      <x:c r="L62" s="117" t="n">
        <x:f>$B$62*L44</x:f>
        <x:v>0</x:v>
      </x:c>
      <x:c r="M62" s="117" t="n">
        <x:f>$B$62*M44</x:f>
        <x:v>0</x:v>
      </x:c>
      <x:c r="N62" s="117" t="n">
        <x:f>$B$62*N44</x:f>
        <x:v>0</x:v>
      </x:c>
      <x:c r="O62" s="117" t="n">
        <x:f>$B$62*O44</x:f>
        <x:v>0</x:v>
      </x:c>
      <x:c r="P62" s="117" t="n">
        <x:f>$B$62*P44</x:f>
        <x:v>0</x:v>
      </x:c>
      <x:c r="Q62" s="117" t="n">
        <x:f>$B$62*Q44</x:f>
        <x:v>0</x:v>
      </x:c>
      <x:c r="R62" s="117" t="n">
        <x:f>$B$62*R44</x:f>
        <x:v>0</x:v>
      </x:c>
      <x:c r="S62" s="117" t="n">
        <x:f>$B$62*S44</x:f>
        <x:v>0</x:v>
      </x:c>
      <x:c r="T62" s="117" t="n">
        <x:f>$B$62*T44</x:f>
        <x:v>0</x:v>
      </x:c>
      <x:c r="U62" s="117" t="n">
        <x:f>$B$62*U44</x:f>
        <x:v>0</x:v>
      </x:c>
      <x:c r="V62" s="117" t="n">
        <x:f>$B$62*V44</x:f>
        <x:v>0</x:v>
      </x:c>
      <x:c r="W62" s="117" t="n">
        <x:f>$B$62*W44</x:f>
        <x:v>0</x:v>
      </x:c>
      <x:c r="X62" s="117" t="n">
        <x:f>$B$62*X44</x:f>
        <x:v>0</x:v>
      </x:c>
      <x:c r="Y62" s="117" t="n">
        <x:f>$B$62*Y44</x:f>
        <x:v>0</x:v>
      </x:c>
      <x:c r="Z62" s="117" t="n">
        <x:f>$B$62*Z44</x:f>
        <x:v>0</x:v>
      </x:c>
      <x:c r="AA62" s="117" t="n">
        <x:f>$B$62*AA44</x:f>
        <x:v>0</x:v>
      </x:c>
      <x:c r="AB62" s="117" t="n">
        <x:f>$B$62*AB44</x:f>
        <x:v>0</x:v>
      </x:c>
      <x:c r="AC62" s="117" t="n">
        <x:f>$B$62*AC44</x:f>
        <x:v>0</x:v>
      </x:c>
      <x:c r="AD62" s="117" t="n">
        <x:f>$B$62*AD44</x:f>
        <x:v>0</x:v>
      </x:c>
      <x:c r="AE62" s="117" t="n">
        <x:f>$B$62*AE44</x:f>
        <x:v>0</x:v>
      </x:c>
      <x:c r="AF62" s="117" t="n">
        <x:f>$B$62*AF44</x:f>
        <x:v>0</x:v>
      </x:c>
      <x:c r="AG62" s="117" t="n">
        <x:f>$B$62*AG44</x:f>
        <x:v>0</x:v>
      </x:c>
      <x:c r="AH62" s="117" t="n">
        <x:f>$B$62*AH44</x:f>
        <x:v>0</x:v>
      </x:c>
      <x:c r="AI62" s="117" t="n">
        <x:f>$B$62*AI44</x:f>
        <x:v>0</x:v>
      </x:c>
      <x:c r="AJ62" s="117" t="n">
        <x:f>$B$62*AJ44</x:f>
        <x:v>0</x:v>
      </x:c>
      <x:c r="AK62" s="117" t="n">
        <x:f>$B$62*AK44</x:f>
        <x:v>0</x:v>
      </x:c>
      <x:c r="AL62" s="117" t="n">
        <x:f>$B$62*AL44</x:f>
        <x:v>0</x:v>
      </x:c>
      <x:c r="AM62" s="117" t="n">
        <x:f>$B$62*AM44</x:f>
        <x:v>0</x:v>
      </x:c>
      <x:c r="AN62" s="117" t="n">
        <x:f>$B$62*AN44</x:f>
        <x:v>0</x:v>
      </x:c>
      <x:c r="AO62" s="117" t="n">
        <x:f>$B$62*AO44</x:f>
        <x:v>0</x:v>
      </x:c>
      <x:c r="AP62" s="117" t="n">
        <x:f>$B$62*AP44</x:f>
        <x:v>0</x:v>
      </x:c>
      <x:c r="AQ62" s="117" t="n">
        <x:f>$B$62*AQ44</x:f>
        <x:v>0</x:v>
      </x:c>
      <x:c r="AR62" s="117" t="n">
        <x:f>$B$62*AR44</x:f>
        <x:v>0</x:v>
      </x:c>
      <x:c r="AS62" s="117" t="n">
        <x:f>$B$62*AS44</x:f>
        <x:v>0</x:v>
      </x:c>
      <x:c r="AT62" s="117" t="n">
        <x:f>$B$62*AT44</x:f>
        <x:v>0</x:v>
      </x:c>
      <x:c r="AU62" s="117" t="n">
        <x:f>$B$62*AU44</x:f>
        <x:v>0</x:v>
      </x:c>
      <x:c r="AV62" s="117" t="n">
        <x:f>$B$62*AV44</x:f>
        <x:v>0</x:v>
      </x:c>
      <x:c r="AW62" s="117" t="n">
        <x:f>$B$62*AW44</x:f>
        <x:v>0</x:v>
      </x:c>
      <x:c r="AX62" s="117" t="n">
        <x:f>$B$62*AX44</x:f>
        <x:v>0</x:v>
      </x:c>
      <x:c r="AY62" s="117" t="n">
        <x:f>$B$62*AY44</x:f>
        <x:v>0</x:v>
      </x:c>
      <x:c r="AZ62" s="117" t="n">
        <x:f>$B$62*AZ44</x:f>
        <x:v>0</x:v>
      </x:c>
      <x:c r="BA62" s="117" t="n">
        <x:f>$B$62*BA44</x:f>
        <x:v>0</x:v>
      </x:c>
      <x:c r="BB62" s="117" t="n">
        <x:f>$B$62*BB44</x:f>
        <x:v>0</x:v>
      </x:c>
      <x:c r="BC62" s="117" t="n">
        <x:f>$B$62*BC44</x:f>
        <x:v>0</x:v>
      </x:c>
      <x:c r="BD62" s="117" t="n">
        <x:f>$B$62*BD44</x:f>
        <x:v>0</x:v>
      </x:c>
      <x:c r="BE62" s="117" t="n">
        <x:f>$B$62*BE44</x:f>
        <x:v>0</x:v>
      </x:c>
      <x:c r="BF62" s="117" t="n">
        <x:f>$B$62*BF44</x:f>
        <x:v>0</x:v>
      </x:c>
      <x:c r="BG62" s="117" t="n">
        <x:f>$B$62*BG44</x:f>
        <x:v>0</x:v>
      </x:c>
      <x:c r="BH62" s="117" t="n">
        <x:f>$B$62*BH44</x:f>
        <x:v>0</x:v>
      </x:c>
      <x:c r="BI62" s="117" t="n">
        <x:f>$B$62*BI44</x:f>
        <x:v>0</x:v>
      </x:c>
      <x:c r="BJ62" s="117" t="n">
        <x:f>$B$62*BJ44</x:f>
        <x:v>0</x:v>
      </x:c>
      <x:c r="BK62" s="117" t="n">
        <x:f>$B$62*BK44</x:f>
        <x:v>0</x:v>
      </x:c>
      <x:c r="BL62" s="117" t="n">
        <x:f>$B$62*BL44</x:f>
        <x:v>0</x:v>
      </x:c>
      <x:c r="BM62" s="117" t="n">
        <x:f>$B$62*BM44</x:f>
        <x:v>0</x:v>
      </x:c>
      <x:c r="BN62" s="117" t="n">
        <x:f>$B$62*BN44</x:f>
        <x:v>0</x:v>
      </x:c>
      <x:c r="BO62" s="117" t="n">
        <x:f>$B$62*BO44</x:f>
        <x:v>0</x:v>
      </x:c>
      <x:c r="BP62" s="117" t="n">
        <x:f>$B$62*BP44</x:f>
        <x:v>0</x:v>
      </x:c>
      <x:c r="BQ62" s="117" t="n">
        <x:f>$B$62*BQ44</x:f>
        <x:v>0</x:v>
      </x:c>
      <x:c r="BR62" s="117" t="n">
        <x:f>$B$62*BR44</x:f>
        <x:v>0</x:v>
      </x:c>
      <x:c r="BS62" s="117" t="n">
        <x:f>$B$62*BS44</x:f>
        <x:v>0</x:v>
      </x:c>
      <x:c r="BT62" s="117" t="n">
        <x:f>$B$62*BT44</x:f>
        <x:v>0</x:v>
      </x:c>
      <x:c r="BU62" s="117" t="n">
        <x:f>$B$62*BU44</x:f>
        <x:v>0</x:v>
      </x:c>
      <x:c r="BV62" s="117" t="n">
        <x:f>$B$62*BV44</x:f>
        <x:v>0</x:v>
      </x:c>
      <x:c r="BW62" s="117" t="n">
        <x:f>$B$62*BW44</x:f>
        <x:v>0</x:v>
      </x:c>
      <x:c r="BX62" s="117" t="n">
        <x:f>$B$62*BX44</x:f>
        <x:v>0</x:v>
      </x:c>
      <x:c r="BY62" s="117" t="n">
        <x:f>$B$62*BY44</x:f>
        <x:v>0</x:v>
      </x:c>
      <x:c r="BZ62" s="117" t="n">
        <x:f>$B$62*BZ44</x:f>
        <x:v>0</x:v>
      </x:c>
      <x:c r="CA62" s="117" t="n">
        <x:f>$B$62*CA44</x:f>
        <x:v>0</x:v>
      </x:c>
      <x:c r="CB62" s="117" t="n">
        <x:f>$B$62*CB44</x:f>
        <x:v>0</x:v>
      </x:c>
      <x:c r="CC62" s="117" t="n">
        <x:f>$B$62*CC44</x:f>
        <x:v>0</x:v>
      </x:c>
      <x:c r="CD62" s="117" t="n">
        <x:f>$B$62*CD44</x:f>
        <x:v>0</x:v>
      </x:c>
      <x:c r="CE62" s="117" t="n">
        <x:f>$B$62*CE44</x:f>
        <x:v>0</x:v>
      </x:c>
      <x:c r="CF62" s="117" t="n">
        <x:f>$B$62*CF44</x:f>
        <x:v>0</x:v>
      </x:c>
      <x:c r="CG62" s="117" t="n">
        <x:f>$B$62*CG44</x:f>
        <x:v>0</x:v>
      </x:c>
      <x:c r="CH62" s="117" t="n">
        <x:f>$B$62*CH44</x:f>
        <x:v>0</x:v>
      </x:c>
      <x:c r="CI62" s="117" t="n">
        <x:f>$B$62*CI44</x:f>
        <x:v>0</x:v>
      </x:c>
      <x:c r="CJ62" s="117" t="n">
        <x:f>$B$62*CJ44</x:f>
        <x:v>0</x:v>
      </x:c>
      <x:c r="CK62" s="117" t="n">
        <x:f>$B$62*CK44</x:f>
        <x:v>0</x:v>
      </x:c>
      <x:c r="CL62" s="117" t="n">
        <x:f>$B$62*CL44</x:f>
        <x:v>0</x:v>
      </x:c>
      <x:c r="CM62" s="117" t="n">
        <x:f>$B$62*CM44</x:f>
        <x:v>0</x:v>
      </x:c>
      <x:c r="CN62" s="117" t="n">
        <x:f>$B$62*CN44</x:f>
        <x:v>0</x:v>
      </x:c>
      <x:c r="CO62" s="117" t="n">
        <x:f>$B$62*CO44</x:f>
        <x:v>0</x:v>
      </x:c>
      <x:c r="CP62" s="117" t="n">
        <x:f>$B$62*CP44</x:f>
        <x:v>0</x:v>
      </x:c>
      <x:c r="CQ62" s="117" t="n">
        <x:f>$B$62*CQ44</x:f>
        <x:v>0</x:v>
      </x:c>
      <x:c r="CR62" s="117" t="n">
        <x:f>$B$62*CR44</x:f>
        <x:v>0</x:v>
      </x:c>
      <x:c r="CS62" s="117" t="n">
        <x:f>$B$62*CS44</x:f>
        <x:v>0</x:v>
      </x:c>
      <x:c r="CT62" s="117" t="n">
        <x:f>$B$62*CT44</x:f>
        <x:v>0</x:v>
      </x:c>
      <x:c r="CU62" s="117" t="n">
        <x:f>$B$62*CU44</x:f>
        <x:v>0</x:v>
      </x:c>
      <x:c r="CV62" s="117" t="n">
        <x:f>$B$62*CV44</x:f>
        <x:v>0</x:v>
      </x:c>
      <x:c r="CW62" s="117" t="n">
        <x:f>$B$62*CW44</x:f>
        <x:v>0</x:v>
      </x:c>
      <x:c r="CX62" s="117" t="n">
        <x:f>$B$62*CX44</x:f>
        <x:v>0</x:v>
      </x:c>
      <x:c r="CY62" s="117" t="n">
        <x:f>$B$62*CY44</x:f>
        <x:v>0</x:v>
      </x:c>
      <x:c r="CZ62" s="117" t="n">
        <x:f>$B$62*CZ44</x:f>
        <x:v>0</x:v>
      </x:c>
      <x:c r="DA62" s="117" t="n">
        <x:f>$B$62*DA44</x:f>
        <x:v>0</x:v>
      </x:c>
      <x:c r="DB62" s="117" t="n">
        <x:f>$B$62*DB44</x:f>
        <x:v>0</x:v>
      </x:c>
      <x:c r="DC62" s="117" t="n">
        <x:f>$B$62*DC44</x:f>
        <x:v>0</x:v>
      </x:c>
      <x:c r="DD62" s="117" t="n">
        <x:f>$B$62*DD44</x:f>
        <x:v>0</x:v>
      </x:c>
      <x:c r="DE62" s="117" t="n">
        <x:f>$B$62*DE44</x:f>
        <x:v>0</x:v>
      </x:c>
      <x:c r="DF62" s="117" t="n">
        <x:f>$B$62*DF44</x:f>
        <x:v>0</x:v>
      </x:c>
      <x:c r="DG62" s="117" t="n">
        <x:f>$B$62*DG44</x:f>
        <x:v>0</x:v>
      </x:c>
      <x:c r="DH62" s="117" t="n">
        <x:f>$B$62*DH44</x:f>
        <x:v>0</x:v>
      </x:c>
      <x:c r="DI62" s="117" t="n">
        <x:f>$B$62*DI44</x:f>
        <x:v>0</x:v>
      </x:c>
      <x:c r="DJ62" s="117" t="n">
        <x:f>$B$62*DJ44</x:f>
        <x:v>0</x:v>
      </x:c>
      <x:c r="DK62" s="117" t="n">
        <x:f>$B$62*DK44</x:f>
        <x:v>0</x:v>
      </x:c>
      <x:c r="DL62" s="117" t="n">
        <x:f>$B$62*DL44</x:f>
        <x:v>0</x:v>
      </x:c>
      <x:c r="DM62" s="117" t="n">
        <x:f>$B$62*DM44</x:f>
        <x:v>0</x:v>
      </x:c>
      <x:c r="DN62" s="117" t="n">
        <x:f>$B$62*DN44</x:f>
        <x:v>0</x:v>
      </x:c>
      <x:c r="DO62" s="117" t="n">
        <x:f>$B$62*DO44</x:f>
        <x:v>0</x:v>
      </x:c>
      <x:c r="DP62" s="117" t="n">
        <x:f>$B$62*DP44</x:f>
        <x:v>0</x:v>
      </x:c>
      <x:c r="DQ62" s="117" t="n">
        <x:f>$B$62*DQ44</x:f>
        <x:v>0</x:v>
      </x:c>
      <x:c r="DR62" s="117" t="n">
        <x:f>$B$62*DR44</x:f>
        <x:v>0</x:v>
      </x:c>
      <x:c r="DS62" s="117" t="n">
        <x:f>$B$62*DS44</x:f>
        <x:v>0</x:v>
      </x:c>
    </x:row>
    <x:row r="63">
      <x:c r="A63" t="str">
        <x:v>Вознаграждение генподрядчика</x:v>
      </x:c>
      <x:c r="B63" s="107" t="n">
        <x:f>SUM(B50:B60)*'Вводные'!$B$50</x:f>
        <x:v>0</x:v>
      </x:c>
      <x:c r="C63" t="str">
        <x:v>млн ₽</x:v>
      </x:c>
      <x:c r="D63" s="117" t="n">
        <x:f>$B$63*D47</x:f>
        <x:v>0</x:v>
      </x:c>
      <x:c r="E63" s="117" t="n">
        <x:f>$B$63*E47</x:f>
        <x:v>0</x:v>
      </x:c>
      <x:c r="F63" s="117" t="n">
        <x:f>$B$63*F47</x:f>
        <x:v>0</x:v>
      </x:c>
      <x:c r="G63" s="117" t="n">
        <x:f>$B$63*G47</x:f>
        <x:v>0</x:v>
      </x:c>
      <x:c r="H63" s="117" t="n">
        <x:f>$B$63*H47</x:f>
        <x:v>0</x:v>
      </x:c>
      <x:c r="I63" s="117" t="n">
        <x:f>$B$63*I47</x:f>
        <x:v>0</x:v>
      </x:c>
      <x:c r="J63" s="117" t="n">
        <x:f>$B$63*J47</x:f>
        <x:v>0</x:v>
      </x:c>
      <x:c r="K63" s="117" t="n">
        <x:f>$B$63*K47</x:f>
        <x:v>0</x:v>
      </x:c>
      <x:c r="L63" s="117" t="n">
        <x:f>$B$63*L47</x:f>
        <x:v>0</x:v>
      </x:c>
      <x:c r="M63" s="117" t="n">
        <x:f>$B$63*M47</x:f>
        <x:v>0</x:v>
      </x:c>
      <x:c r="N63" s="117" t="n">
        <x:f>$B$63*N47</x:f>
        <x:v>0</x:v>
      </x:c>
      <x:c r="O63" s="117" t="n">
        <x:f>$B$63*O47</x:f>
        <x:v>0</x:v>
      </x:c>
      <x:c r="P63" s="117" t="n">
        <x:f>$B$63*P47</x:f>
        <x:v>0</x:v>
      </x:c>
      <x:c r="Q63" s="117" t="n">
        <x:f>$B$63*Q47</x:f>
        <x:v>0</x:v>
      </x:c>
      <x:c r="R63" s="117" t="n">
        <x:f>$B$63*R47</x:f>
        <x:v>0</x:v>
      </x:c>
      <x:c r="S63" s="117" t="n">
        <x:f>$B$63*S47</x:f>
        <x:v>0</x:v>
      </x:c>
      <x:c r="T63" s="117" t="n">
        <x:f>$B$63*T47</x:f>
        <x:v>0</x:v>
      </x:c>
      <x:c r="U63" s="117" t="n">
        <x:f>$B$63*U47</x:f>
        <x:v>0</x:v>
      </x:c>
      <x:c r="V63" s="117" t="n">
        <x:f>$B$63*V47</x:f>
        <x:v>0</x:v>
      </x:c>
      <x:c r="W63" s="117" t="n">
        <x:f>$B$63*W47</x:f>
        <x:v>0</x:v>
      </x:c>
      <x:c r="X63" s="117" t="n">
        <x:f>$B$63*X47</x:f>
        <x:v>0</x:v>
      </x:c>
      <x:c r="Y63" s="117" t="n">
        <x:f>$B$63*Y47</x:f>
        <x:v>0</x:v>
      </x:c>
      <x:c r="Z63" s="117" t="n">
        <x:f>$B$63*Z47</x:f>
        <x:v>0</x:v>
      </x:c>
      <x:c r="AA63" s="117" t="n">
        <x:f>$B$63*AA47</x:f>
        <x:v>0</x:v>
      </x:c>
      <x:c r="AB63" s="117" t="n">
        <x:f>$B$63*AB47</x:f>
        <x:v>0</x:v>
      </x:c>
      <x:c r="AC63" s="117" t="n">
        <x:f>$B$63*AC47</x:f>
        <x:v>0</x:v>
      </x:c>
      <x:c r="AD63" s="117" t="n">
        <x:f>$B$63*AD47</x:f>
        <x:v>0</x:v>
      </x:c>
      <x:c r="AE63" s="117" t="n">
        <x:f>$B$63*AE47</x:f>
        <x:v>0</x:v>
      </x:c>
      <x:c r="AF63" s="117" t="n">
        <x:f>$B$63*AF47</x:f>
        <x:v>0</x:v>
      </x:c>
      <x:c r="AG63" s="117" t="n">
        <x:f>$B$63*AG47</x:f>
        <x:v>0</x:v>
      </x:c>
      <x:c r="AH63" s="117" t="n">
        <x:f>$B$63*AH47</x:f>
        <x:v>0</x:v>
      </x:c>
      <x:c r="AI63" s="117" t="n">
        <x:f>$B$63*AI47</x:f>
        <x:v>0</x:v>
      </x:c>
      <x:c r="AJ63" s="117" t="n">
        <x:f>$B$63*AJ47</x:f>
        <x:v>0</x:v>
      </x:c>
      <x:c r="AK63" s="117" t="n">
        <x:f>$B$63*AK47</x:f>
        <x:v>0</x:v>
      </x:c>
      <x:c r="AL63" s="117" t="n">
        <x:f>$B$63*AL47</x:f>
        <x:v>0</x:v>
      </x:c>
      <x:c r="AM63" s="117" t="n">
        <x:f>$B$63*AM47</x:f>
        <x:v>0</x:v>
      </x:c>
      <x:c r="AN63" s="117" t="n">
        <x:f>$B$63*AN47</x:f>
        <x:v>0</x:v>
      </x:c>
      <x:c r="AO63" s="117" t="n">
        <x:f>$B$63*AO47</x:f>
        <x:v>0</x:v>
      </x:c>
      <x:c r="AP63" s="117" t="n">
        <x:f>$B$63*AP47</x:f>
        <x:v>0</x:v>
      </x:c>
      <x:c r="AQ63" s="117" t="n">
        <x:f>$B$63*AQ47</x:f>
        <x:v>0</x:v>
      </x:c>
      <x:c r="AR63" s="117" t="n">
        <x:f>$B$63*AR47</x:f>
        <x:v>0</x:v>
      </x:c>
      <x:c r="AS63" s="117" t="n">
        <x:f>$B$63*AS47</x:f>
        <x:v>0</x:v>
      </x:c>
      <x:c r="AT63" s="117" t="n">
        <x:f>$B$63*AT47</x:f>
        <x:v>0</x:v>
      </x:c>
      <x:c r="AU63" s="117" t="n">
        <x:f>$B$63*AU47</x:f>
        <x:v>0</x:v>
      </x:c>
      <x:c r="AV63" s="117" t="n">
        <x:f>$B$63*AV47</x:f>
        <x:v>0</x:v>
      </x:c>
      <x:c r="AW63" s="117" t="n">
        <x:f>$B$63*AW47</x:f>
        <x:v>0</x:v>
      </x:c>
      <x:c r="AX63" s="117" t="n">
        <x:f>$B$63*AX47</x:f>
        <x:v>0</x:v>
      </x:c>
      <x:c r="AY63" s="117" t="n">
        <x:f>$B$63*AY47</x:f>
        <x:v>0</x:v>
      </x:c>
      <x:c r="AZ63" s="117" t="n">
        <x:f>$B$63*AZ47</x:f>
        <x:v>0</x:v>
      </x:c>
      <x:c r="BA63" s="117" t="n">
        <x:f>$B$63*BA47</x:f>
        <x:v>0</x:v>
      </x:c>
      <x:c r="BB63" s="117" t="n">
        <x:f>$B$63*BB47</x:f>
        <x:v>0</x:v>
      </x:c>
      <x:c r="BC63" s="117" t="n">
        <x:f>$B$63*BC47</x:f>
        <x:v>0</x:v>
      </x:c>
      <x:c r="BD63" s="117" t="n">
        <x:f>$B$63*BD47</x:f>
        <x:v>0</x:v>
      </x:c>
      <x:c r="BE63" s="117" t="n">
        <x:f>$B$63*BE47</x:f>
        <x:v>0</x:v>
      </x:c>
      <x:c r="BF63" s="117" t="n">
        <x:f>$B$63*BF47</x:f>
        <x:v>0</x:v>
      </x:c>
      <x:c r="BG63" s="117" t="n">
        <x:f>$B$63*BG47</x:f>
        <x:v>0</x:v>
      </x:c>
      <x:c r="BH63" s="117" t="n">
        <x:f>$B$63*BH47</x:f>
        <x:v>0</x:v>
      </x:c>
      <x:c r="BI63" s="117" t="n">
        <x:f>$B$63*BI47</x:f>
        <x:v>0</x:v>
      </x:c>
      <x:c r="BJ63" s="117" t="n">
        <x:f>$B$63*BJ47</x:f>
        <x:v>0</x:v>
      </x:c>
      <x:c r="BK63" s="117" t="n">
        <x:f>$B$63*BK47</x:f>
        <x:v>0</x:v>
      </x:c>
      <x:c r="BL63" s="117" t="n">
        <x:f>$B$63*BL47</x:f>
        <x:v>0</x:v>
      </x:c>
      <x:c r="BM63" s="117" t="n">
        <x:f>$B$63*BM47</x:f>
        <x:v>0</x:v>
      </x:c>
      <x:c r="BN63" s="117" t="n">
        <x:f>$B$63*BN47</x:f>
        <x:v>0</x:v>
      </x:c>
      <x:c r="BO63" s="117" t="n">
        <x:f>$B$63*BO47</x:f>
        <x:v>0</x:v>
      </x:c>
      <x:c r="BP63" s="117" t="n">
        <x:f>$B$63*BP47</x:f>
        <x:v>0</x:v>
      </x:c>
      <x:c r="BQ63" s="117" t="n">
        <x:f>$B$63*BQ47</x:f>
        <x:v>0</x:v>
      </x:c>
      <x:c r="BR63" s="117" t="n">
        <x:f>$B$63*BR47</x:f>
        <x:v>0</x:v>
      </x:c>
      <x:c r="BS63" s="117" t="n">
        <x:f>$B$63*BS47</x:f>
        <x:v>0</x:v>
      </x:c>
      <x:c r="BT63" s="117" t="n">
        <x:f>$B$63*BT47</x:f>
        <x:v>0</x:v>
      </x:c>
      <x:c r="BU63" s="117" t="n">
        <x:f>$B$63*BU47</x:f>
        <x:v>0</x:v>
      </x:c>
      <x:c r="BV63" s="117" t="n">
        <x:f>$B$63*BV47</x:f>
        <x:v>0</x:v>
      </x:c>
      <x:c r="BW63" s="117" t="n">
        <x:f>$B$63*BW47</x:f>
        <x:v>0</x:v>
      </x:c>
      <x:c r="BX63" s="117" t="n">
        <x:f>$B$63*BX47</x:f>
        <x:v>0</x:v>
      </x:c>
      <x:c r="BY63" s="117" t="n">
        <x:f>$B$63*BY47</x:f>
        <x:v>0</x:v>
      </x:c>
      <x:c r="BZ63" s="117" t="n">
        <x:f>$B$63*BZ47</x:f>
        <x:v>0</x:v>
      </x:c>
      <x:c r="CA63" s="117" t="n">
        <x:f>$B$63*CA47</x:f>
        <x:v>0</x:v>
      </x:c>
      <x:c r="CB63" s="117" t="n">
        <x:f>$B$63*CB47</x:f>
        <x:v>0</x:v>
      </x:c>
      <x:c r="CC63" s="117" t="n">
        <x:f>$B$63*CC47</x:f>
        <x:v>0</x:v>
      </x:c>
      <x:c r="CD63" s="117" t="n">
        <x:f>$B$63*CD47</x:f>
        <x:v>0</x:v>
      </x:c>
      <x:c r="CE63" s="117" t="n">
        <x:f>$B$63*CE47</x:f>
        <x:v>0</x:v>
      </x:c>
      <x:c r="CF63" s="117" t="n">
        <x:f>$B$63*CF47</x:f>
        <x:v>0</x:v>
      </x:c>
      <x:c r="CG63" s="117" t="n">
        <x:f>$B$63*CG47</x:f>
        <x:v>0</x:v>
      </x:c>
      <x:c r="CH63" s="117" t="n">
        <x:f>$B$63*CH47</x:f>
        <x:v>0</x:v>
      </x:c>
      <x:c r="CI63" s="117" t="n">
        <x:f>$B$63*CI47</x:f>
        <x:v>0</x:v>
      </x:c>
      <x:c r="CJ63" s="117" t="n">
        <x:f>$B$63*CJ47</x:f>
        <x:v>0</x:v>
      </x:c>
      <x:c r="CK63" s="117" t="n">
        <x:f>$B$63*CK47</x:f>
        <x:v>0</x:v>
      </x:c>
      <x:c r="CL63" s="117" t="n">
        <x:f>$B$63*CL47</x:f>
        <x:v>0</x:v>
      </x:c>
      <x:c r="CM63" s="117" t="n">
        <x:f>$B$63*CM47</x:f>
        <x:v>0</x:v>
      </x:c>
      <x:c r="CN63" s="117" t="n">
        <x:f>$B$63*CN47</x:f>
        <x:v>0</x:v>
      </x:c>
      <x:c r="CO63" s="117" t="n">
        <x:f>$B$63*CO47</x:f>
        <x:v>0</x:v>
      </x:c>
      <x:c r="CP63" s="117" t="n">
        <x:f>$B$63*CP47</x:f>
        <x:v>0</x:v>
      </x:c>
      <x:c r="CQ63" s="117" t="n">
        <x:f>$B$63*CQ47</x:f>
        <x:v>0</x:v>
      </x:c>
      <x:c r="CR63" s="117" t="n">
        <x:f>$B$63*CR47</x:f>
        <x:v>0</x:v>
      </x:c>
      <x:c r="CS63" s="117" t="n">
        <x:f>$B$63*CS47</x:f>
        <x:v>0</x:v>
      </x:c>
      <x:c r="CT63" s="117" t="n">
        <x:f>$B$63*CT47</x:f>
        <x:v>0</x:v>
      </x:c>
      <x:c r="CU63" s="117" t="n">
        <x:f>$B$63*CU47</x:f>
        <x:v>0</x:v>
      </x:c>
      <x:c r="CV63" s="117" t="n">
        <x:f>$B$63*CV47</x:f>
        <x:v>0</x:v>
      </x:c>
      <x:c r="CW63" s="117" t="n">
        <x:f>$B$63*CW47</x:f>
        <x:v>0</x:v>
      </x:c>
      <x:c r="CX63" s="117" t="n">
        <x:f>$B$63*CX47</x:f>
        <x:v>0</x:v>
      </x:c>
      <x:c r="CY63" s="117" t="n">
        <x:f>$B$63*CY47</x:f>
        <x:v>0</x:v>
      </x:c>
      <x:c r="CZ63" s="117" t="n">
        <x:f>$B$63*CZ47</x:f>
        <x:v>0</x:v>
      </x:c>
      <x:c r="DA63" s="117" t="n">
        <x:f>$B$63*DA47</x:f>
        <x:v>0</x:v>
      </x:c>
      <x:c r="DB63" s="117" t="n">
        <x:f>$B$63*DB47</x:f>
        <x:v>0</x:v>
      </x:c>
      <x:c r="DC63" s="117" t="n">
        <x:f>$B$63*DC47</x:f>
        <x:v>0</x:v>
      </x:c>
      <x:c r="DD63" s="117" t="n">
        <x:f>$B$63*DD47</x:f>
        <x:v>0</x:v>
      </x:c>
      <x:c r="DE63" s="117" t="n">
        <x:f>$B$63*DE47</x:f>
        <x:v>0</x:v>
      </x:c>
      <x:c r="DF63" s="117" t="n">
        <x:f>$B$63*DF47</x:f>
        <x:v>0</x:v>
      </x:c>
      <x:c r="DG63" s="117" t="n">
        <x:f>$B$63*DG47</x:f>
        <x:v>0</x:v>
      </x:c>
      <x:c r="DH63" s="117" t="n">
        <x:f>$B$63*DH47</x:f>
        <x:v>0</x:v>
      </x:c>
      <x:c r="DI63" s="117" t="n">
        <x:f>$B$63*DI47</x:f>
        <x:v>0</x:v>
      </x:c>
      <x:c r="DJ63" s="117" t="n">
        <x:f>$B$63*DJ47</x:f>
        <x:v>0</x:v>
      </x:c>
      <x:c r="DK63" s="117" t="n">
        <x:f>$B$63*DK47</x:f>
        <x:v>0</x:v>
      </x:c>
      <x:c r="DL63" s="117" t="n">
        <x:f>$B$63*DL47</x:f>
        <x:v>0</x:v>
      </x:c>
      <x:c r="DM63" s="117" t="n">
        <x:f>$B$63*DM47</x:f>
        <x:v>0</x:v>
      </x:c>
      <x:c r="DN63" s="117" t="n">
        <x:f>$B$63*DN47</x:f>
        <x:v>0</x:v>
      </x:c>
      <x:c r="DO63" s="117" t="n">
        <x:f>$B$63*DO47</x:f>
        <x:v>0</x:v>
      </x:c>
      <x:c r="DP63" s="117" t="n">
        <x:f>$B$63*DP47</x:f>
        <x:v>0</x:v>
      </x:c>
      <x:c r="DQ63" s="117" t="n">
        <x:f>$B$63*DQ47</x:f>
        <x:v>0</x:v>
      </x:c>
      <x:c r="DR63" s="117" t="n">
        <x:f>$B$63*DR47</x:f>
        <x:v>0</x:v>
      </x:c>
      <x:c r="DS63" s="117" t="n">
        <x:f>$B$63*DS47</x:f>
        <x:v>0</x:v>
      </x:c>
    </x:row>
    <x:row r="64">
      <x:c r="A64" t="str">
        <x:v>Резерв</x:v>
      </x:c>
      <x:c r="B64" s="107" t="n">
        <x:f>(SUM(B49:B63)+B65)*'Вводные'!$B$54</x:f>
        <x:v>0</x:v>
      </x:c>
      <x:c r="C64" t="str">
        <x:v>млн ₽</x:v>
      </x:c>
      <x:c r="D64" s="117" t="n">
        <x:f>$B$64*D47</x:f>
        <x:v>0</x:v>
      </x:c>
      <x:c r="E64" s="117" t="n">
        <x:f>$B$64*E47</x:f>
        <x:v>0</x:v>
      </x:c>
      <x:c r="F64" s="117" t="n">
        <x:f>$B$64*F47</x:f>
        <x:v>0</x:v>
      </x:c>
      <x:c r="G64" s="117" t="n">
        <x:f>$B$64*G47</x:f>
        <x:v>0</x:v>
      </x:c>
      <x:c r="H64" s="117" t="n">
        <x:f>$B$64*H47</x:f>
        <x:v>0</x:v>
      </x:c>
      <x:c r="I64" s="117" t="n">
        <x:f>$B$64*I47</x:f>
        <x:v>0</x:v>
      </x:c>
      <x:c r="J64" s="117" t="n">
        <x:f>$B$64*J47</x:f>
        <x:v>0</x:v>
      </x:c>
      <x:c r="K64" s="117" t="n">
        <x:f>$B$64*K47</x:f>
        <x:v>0</x:v>
      </x:c>
      <x:c r="L64" s="117" t="n">
        <x:f>$B$64*L47</x:f>
        <x:v>0</x:v>
      </x:c>
      <x:c r="M64" s="117" t="n">
        <x:f>$B$64*M47</x:f>
        <x:v>0</x:v>
      </x:c>
      <x:c r="N64" s="117" t="n">
        <x:f>$B$64*N47</x:f>
        <x:v>0</x:v>
      </x:c>
      <x:c r="O64" s="117" t="n">
        <x:f>$B$64*O47</x:f>
        <x:v>0</x:v>
      </x:c>
      <x:c r="P64" s="117" t="n">
        <x:f>$B$64*P47</x:f>
        <x:v>0</x:v>
      </x:c>
      <x:c r="Q64" s="117" t="n">
        <x:f>$B$64*Q47</x:f>
        <x:v>0</x:v>
      </x:c>
      <x:c r="R64" s="117" t="n">
        <x:f>$B$64*R47</x:f>
        <x:v>0</x:v>
      </x:c>
      <x:c r="S64" s="117" t="n">
        <x:f>$B$64*S47</x:f>
        <x:v>0</x:v>
      </x:c>
      <x:c r="T64" s="117" t="n">
        <x:f>$B$64*T47</x:f>
        <x:v>0</x:v>
      </x:c>
      <x:c r="U64" s="117" t="n">
        <x:f>$B$64*U47</x:f>
        <x:v>0</x:v>
      </x:c>
      <x:c r="V64" s="117" t="n">
        <x:f>$B$64*V47</x:f>
        <x:v>0</x:v>
      </x:c>
      <x:c r="W64" s="117" t="n">
        <x:f>$B$64*W47</x:f>
        <x:v>0</x:v>
      </x:c>
      <x:c r="X64" s="117" t="n">
        <x:f>$B$64*X47</x:f>
        <x:v>0</x:v>
      </x:c>
      <x:c r="Y64" s="117" t="n">
        <x:f>$B$64*Y47</x:f>
        <x:v>0</x:v>
      </x:c>
      <x:c r="Z64" s="117" t="n">
        <x:f>$B$64*Z47</x:f>
        <x:v>0</x:v>
      </x:c>
      <x:c r="AA64" s="117" t="n">
        <x:f>$B$64*AA47</x:f>
        <x:v>0</x:v>
      </x:c>
      <x:c r="AB64" s="117" t="n">
        <x:f>$B$64*AB47</x:f>
        <x:v>0</x:v>
      </x:c>
      <x:c r="AC64" s="117" t="n">
        <x:f>$B$64*AC47</x:f>
        <x:v>0</x:v>
      </x:c>
      <x:c r="AD64" s="117" t="n">
        <x:f>$B$64*AD47</x:f>
        <x:v>0</x:v>
      </x:c>
      <x:c r="AE64" s="117" t="n">
        <x:f>$B$64*AE47</x:f>
        <x:v>0</x:v>
      </x:c>
      <x:c r="AF64" s="117" t="n">
        <x:f>$B$64*AF47</x:f>
        <x:v>0</x:v>
      </x:c>
      <x:c r="AG64" s="117" t="n">
        <x:f>$B$64*AG47</x:f>
        <x:v>0</x:v>
      </x:c>
      <x:c r="AH64" s="117" t="n">
        <x:f>$B$64*AH47</x:f>
        <x:v>0</x:v>
      </x:c>
      <x:c r="AI64" s="117" t="n">
        <x:f>$B$64*AI47</x:f>
        <x:v>0</x:v>
      </x:c>
      <x:c r="AJ64" s="117" t="n">
        <x:f>$B$64*AJ47</x:f>
        <x:v>0</x:v>
      </x:c>
      <x:c r="AK64" s="117" t="n">
        <x:f>$B$64*AK47</x:f>
        <x:v>0</x:v>
      </x:c>
      <x:c r="AL64" s="117" t="n">
        <x:f>$B$64*AL47</x:f>
        <x:v>0</x:v>
      </x:c>
      <x:c r="AM64" s="117" t="n">
        <x:f>$B$64*AM47</x:f>
        <x:v>0</x:v>
      </x:c>
      <x:c r="AN64" s="117" t="n">
        <x:f>$B$64*AN47</x:f>
        <x:v>0</x:v>
      </x:c>
      <x:c r="AO64" s="117" t="n">
        <x:f>$B$64*AO47</x:f>
        <x:v>0</x:v>
      </x:c>
      <x:c r="AP64" s="117" t="n">
        <x:f>$B$64*AP47</x:f>
        <x:v>0</x:v>
      </x:c>
      <x:c r="AQ64" s="117" t="n">
        <x:f>$B$64*AQ47</x:f>
        <x:v>0</x:v>
      </x:c>
      <x:c r="AR64" s="117" t="n">
        <x:f>$B$64*AR47</x:f>
        <x:v>0</x:v>
      </x:c>
      <x:c r="AS64" s="117" t="n">
        <x:f>$B$64*AS47</x:f>
        <x:v>0</x:v>
      </x:c>
      <x:c r="AT64" s="117" t="n">
        <x:f>$B$64*AT47</x:f>
        <x:v>0</x:v>
      </x:c>
      <x:c r="AU64" s="117" t="n">
        <x:f>$B$64*AU47</x:f>
        <x:v>0</x:v>
      </x:c>
      <x:c r="AV64" s="117" t="n">
        <x:f>$B$64*AV47</x:f>
        <x:v>0</x:v>
      </x:c>
      <x:c r="AW64" s="117" t="n">
        <x:f>$B$64*AW47</x:f>
        <x:v>0</x:v>
      </x:c>
      <x:c r="AX64" s="117" t="n">
        <x:f>$B$64*AX47</x:f>
        <x:v>0</x:v>
      </x:c>
      <x:c r="AY64" s="117" t="n">
        <x:f>$B$64*AY47</x:f>
        <x:v>0</x:v>
      </x:c>
      <x:c r="AZ64" s="117" t="n">
        <x:f>$B$64*AZ47</x:f>
        <x:v>0</x:v>
      </x:c>
      <x:c r="BA64" s="117" t="n">
        <x:f>$B$64*BA47</x:f>
        <x:v>0</x:v>
      </x:c>
      <x:c r="BB64" s="117" t="n">
        <x:f>$B$64*BB47</x:f>
        <x:v>0</x:v>
      </x:c>
      <x:c r="BC64" s="117" t="n">
        <x:f>$B$64*BC47</x:f>
        <x:v>0</x:v>
      </x:c>
      <x:c r="BD64" s="117" t="n">
        <x:f>$B$64*BD47</x:f>
        <x:v>0</x:v>
      </x:c>
      <x:c r="BE64" s="117" t="n">
        <x:f>$B$64*BE47</x:f>
        <x:v>0</x:v>
      </x:c>
      <x:c r="BF64" s="117" t="n">
        <x:f>$B$64*BF47</x:f>
        <x:v>0</x:v>
      </x:c>
      <x:c r="BG64" s="117" t="n">
        <x:f>$B$64*BG47</x:f>
        <x:v>0</x:v>
      </x:c>
      <x:c r="BH64" s="117" t="n">
        <x:f>$B$64*BH47</x:f>
        <x:v>0</x:v>
      </x:c>
      <x:c r="BI64" s="117" t="n">
        <x:f>$B$64*BI47</x:f>
        <x:v>0</x:v>
      </x:c>
      <x:c r="BJ64" s="117" t="n">
        <x:f>$B$64*BJ47</x:f>
        <x:v>0</x:v>
      </x:c>
      <x:c r="BK64" s="117" t="n">
        <x:f>$B$64*BK47</x:f>
        <x:v>0</x:v>
      </x:c>
      <x:c r="BL64" s="117" t="n">
        <x:f>$B$64*BL47</x:f>
        <x:v>0</x:v>
      </x:c>
      <x:c r="BM64" s="117" t="n">
        <x:f>$B$64*BM47</x:f>
        <x:v>0</x:v>
      </x:c>
      <x:c r="BN64" s="117" t="n">
        <x:f>$B$64*BN47</x:f>
        <x:v>0</x:v>
      </x:c>
      <x:c r="BO64" s="117" t="n">
        <x:f>$B$64*BO47</x:f>
        <x:v>0</x:v>
      </x:c>
      <x:c r="BP64" s="117" t="n">
        <x:f>$B$64*BP47</x:f>
        <x:v>0</x:v>
      </x:c>
      <x:c r="BQ64" s="117" t="n">
        <x:f>$B$64*BQ47</x:f>
        <x:v>0</x:v>
      </x:c>
      <x:c r="BR64" s="117" t="n">
        <x:f>$B$64*BR47</x:f>
        <x:v>0</x:v>
      </x:c>
      <x:c r="BS64" s="117" t="n">
        <x:f>$B$64*BS47</x:f>
        <x:v>0</x:v>
      </x:c>
      <x:c r="BT64" s="117" t="n">
        <x:f>$B$64*BT47</x:f>
        <x:v>0</x:v>
      </x:c>
      <x:c r="BU64" s="117" t="n">
        <x:f>$B$64*BU47</x:f>
        <x:v>0</x:v>
      </x:c>
      <x:c r="BV64" s="117" t="n">
        <x:f>$B$64*BV47</x:f>
        <x:v>0</x:v>
      </x:c>
      <x:c r="BW64" s="117" t="n">
        <x:f>$B$64*BW47</x:f>
        <x:v>0</x:v>
      </x:c>
      <x:c r="BX64" s="117" t="n">
        <x:f>$B$64*BX47</x:f>
        <x:v>0</x:v>
      </x:c>
      <x:c r="BY64" s="117" t="n">
        <x:f>$B$64*BY47</x:f>
        <x:v>0</x:v>
      </x:c>
      <x:c r="BZ64" s="117" t="n">
        <x:f>$B$64*BZ47</x:f>
        <x:v>0</x:v>
      </x:c>
      <x:c r="CA64" s="117" t="n">
        <x:f>$B$64*CA47</x:f>
        <x:v>0</x:v>
      </x:c>
      <x:c r="CB64" s="117" t="n">
        <x:f>$B$64*CB47</x:f>
        <x:v>0</x:v>
      </x:c>
      <x:c r="CC64" s="117" t="n">
        <x:f>$B$64*CC47</x:f>
        <x:v>0</x:v>
      </x:c>
      <x:c r="CD64" s="117" t="n">
        <x:f>$B$64*CD47</x:f>
        <x:v>0</x:v>
      </x:c>
      <x:c r="CE64" s="117" t="n">
        <x:f>$B$64*CE47</x:f>
        <x:v>0</x:v>
      </x:c>
      <x:c r="CF64" s="117" t="n">
        <x:f>$B$64*CF47</x:f>
        <x:v>0</x:v>
      </x:c>
      <x:c r="CG64" s="117" t="n">
        <x:f>$B$64*CG47</x:f>
        <x:v>0</x:v>
      </x:c>
      <x:c r="CH64" s="117" t="n">
        <x:f>$B$64*CH47</x:f>
        <x:v>0</x:v>
      </x:c>
      <x:c r="CI64" s="117" t="n">
        <x:f>$B$64*CI47</x:f>
        <x:v>0</x:v>
      </x:c>
      <x:c r="CJ64" s="117" t="n">
        <x:f>$B$64*CJ47</x:f>
        <x:v>0</x:v>
      </x:c>
      <x:c r="CK64" s="117" t="n">
        <x:f>$B$64*CK47</x:f>
        <x:v>0</x:v>
      </x:c>
      <x:c r="CL64" s="117" t="n">
        <x:f>$B$64*CL47</x:f>
        <x:v>0</x:v>
      </x:c>
      <x:c r="CM64" s="117" t="n">
        <x:f>$B$64*CM47</x:f>
        <x:v>0</x:v>
      </x:c>
      <x:c r="CN64" s="117" t="n">
        <x:f>$B$64*CN47</x:f>
        <x:v>0</x:v>
      </x:c>
      <x:c r="CO64" s="117" t="n">
        <x:f>$B$64*CO47</x:f>
        <x:v>0</x:v>
      </x:c>
      <x:c r="CP64" s="117" t="n">
        <x:f>$B$64*CP47</x:f>
        <x:v>0</x:v>
      </x:c>
      <x:c r="CQ64" s="117" t="n">
        <x:f>$B$64*CQ47</x:f>
        <x:v>0</x:v>
      </x:c>
      <x:c r="CR64" s="117" t="n">
        <x:f>$B$64*CR47</x:f>
        <x:v>0</x:v>
      </x:c>
      <x:c r="CS64" s="117" t="n">
        <x:f>$B$64*CS47</x:f>
        <x:v>0</x:v>
      </x:c>
      <x:c r="CT64" s="117" t="n">
        <x:f>$B$64*CT47</x:f>
        <x:v>0</x:v>
      </x:c>
      <x:c r="CU64" s="117" t="n">
        <x:f>$B$64*CU47</x:f>
        <x:v>0</x:v>
      </x:c>
      <x:c r="CV64" s="117" t="n">
        <x:f>$B$64*CV47</x:f>
        <x:v>0</x:v>
      </x:c>
      <x:c r="CW64" s="117" t="n">
        <x:f>$B$64*CW47</x:f>
        <x:v>0</x:v>
      </x:c>
      <x:c r="CX64" s="117" t="n">
        <x:f>$B$64*CX47</x:f>
        <x:v>0</x:v>
      </x:c>
      <x:c r="CY64" s="117" t="n">
        <x:f>$B$64*CY47</x:f>
        <x:v>0</x:v>
      </x:c>
      <x:c r="CZ64" s="117" t="n">
        <x:f>$B$64*CZ47</x:f>
        <x:v>0</x:v>
      </x:c>
      <x:c r="DA64" s="117" t="n">
        <x:f>$B$64*DA47</x:f>
        <x:v>0</x:v>
      </x:c>
      <x:c r="DB64" s="117" t="n">
        <x:f>$B$64*DB47</x:f>
        <x:v>0</x:v>
      </x:c>
      <x:c r="DC64" s="117" t="n">
        <x:f>$B$64*DC47</x:f>
        <x:v>0</x:v>
      </x:c>
      <x:c r="DD64" s="117" t="n">
        <x:f>$B$64*DD47</x:f>
        <x:v>0</x:v>
      </x:c>
      <x:c r="DE64" s="117" t="n">
        <x:f>$B$64*DE47</x:f>
        <x:v>0</x:v>
      </x:c>
      <x:c r="DF64" s="117" t="n">
        <x:f>$B$64*DF47</x:f>
        <x:v>0</x:v>
      </x:c>
      <x:c r="DG64" s="117" t="n">
        <x:f>$B$64*DG47</x:f>
        <x:v>0</x:v>
      </x:c>
      <x:c r="DH64" s="117" t="n">
        <x:f>$B$64*DH47</x:f>
        <x:v>0</x:v>
      </x:c>
      <x:c r="DI64" s="117" t="n">
        <x:f>$B$64*DI47</x:f>
        <x:v>0</x:v>
      </x:c>
      <x:c r="DJ64" s="117" t="n">
        <x:f>$B$64*DJ47</x:f>
        <x:v>0</x:v>
      </x:c>
      <x:c r="DK64" s="117" t="n">
        <x:f>$B$64*DK47</x:f>
        <x:v>0</x:v>
      </x:c>
      <x:c r="DL64" s="117" t="n">
        <x:f>$B$64*DL47</x:f>
        <x:v>0</x:v>
      </x:c>
      <x:c r="DM64" s="117" t="n">
        <x:f>$B$64*DM47</x:f>
        <x:v>0</x:v>
      </x:c>
      <x:c r="DN64" s="117" t="n">
        <x:f>$B$64*DN47</x:f>
        <x:v>0</x:v>
      </x:c>
      <x:c r="DO64" s="117" t="n">
        <x:f>$B$64*DO47</x:f>
        <x:v>0</x:v>
      </x:c>
      <x:c r="DP64" s="117" t="n">
        <x:f>$B$64*DP47</x:f>
        <x:v>0</x:v>
      </x:c>
      <x:c r="DQ64" s="117" t="n">
        <x:f>$B$64*DQ47</x:f>
        <x:v>0</x:v>
      </x:c>
      <x:c r="DR64" s="117" t="n">
        <x:f>$B$64*DR47</x:f>
        <x:v>0</x:v>
      </x:c>
      <x:c r="DS64" s="117" t="n">
        <x:f>$B$64*DS47</x:f>
        <x:v>0</x:v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  <x:v>0</x:v>
      </x:c>
      <x:c r="C65" t="str">
        <x:v>млн ₽</x:v>
      </x:c>
      <x:c r="D65" s="117" t="n">
        <x:f>IF(AND(YEAR(D$3)=YEAR('Вводные'!$B$18),MONTH(D$3)=MONTH('Вводные'!$B$18)),$B$65,0)</x:f>
        <x:v>0</x:v>
      </x:c>
      <x:c r="E65" s="117" t="n">
        <x:f>IF(AND(YEAR(E$3)=YEAR('Вводные'!$B$18),MONTH(E$3)=MONTH('Вводные'!$B$18)),$B$65,0)</x:f>
        <x:v>0</x:v>
      </x:c>
      <x:c r="F65" s="117" t="n">
        <x:f>IF(AND(YEAR(F$3)=YEAR('Вводные'!$B$18),MONTH(F$3)=MONTH('Вводные'!$B$18)),$B$65,0)</x:f>
        <x:v>0</x:v>
      </x:c>
      <x:c r="G65" s="117" t="n">
        <x:f>IF(AND(YEAR(G$3)=YEAR('Вводные'!$B$18),MONTH(G$3)=MONTH('Вводные'!$B$18)),$B$65,0)</x:f>
        <x:v>0</x:v>
      </x:c>
      <x:c r="H65" s="117" t="n">
        <x:f>IF(AND(YEAR(H$3)=YEAR('Вводные'!$B$18),MONTH(H$3)=MONTH('Вводные'!$B$18)),$B$65,0)</x:f>
        <x:v>0</x:v>
      </x:c>
      <x:c r="I65" s="117" t="n">
        <x:f>IF(AND(YEAR(I$3)=YEAR('Вводные'!$B$18),MONTH(I$3)=MONTH('Вводные'!$B$18)),$B$65,0)</x:f>
        <x:v>0</x:v>
      </x:c>
      <x:c r="J65" s="117" t="n">
        <x:f>IF(AND(YEAR(J$3)=YEAR('Вводные'!$B$18),MONTH(J$3)=MONTH('Вводные'!$B$18)),$B$65,0)</x:f>
        <x:v>0</x:v>
      </x:c>
      <x:c r="K65" s="117" t="n">
        <x:f>IF(AND(YEAR(K$3)=YEAR('Вводные'!$B$18),MONTH(K$3)=MONTH('Вводные'!$B$18)),$B$65,0)</x:f>
        <x:v>0</x:v>
      </x:c>
      <x:c r="L65" s="117" t="n">
        <x:f>IF(AND(YEAR(L$3)=YEAR('Вводные'!$B$18),MONTH(L$3)=MONTH('Вводные'!$B$18)),$B$65,0)</x:f>
        <x:v>0</x:v>
      </x:c>
      <x:c r="M65" s="117" t="n">
        <x:f>IF(AND(YEAR(M$3)=YEAR('Вводные'!$B$18),MONTH(M$3)=MONTH('Вводные'!$B$18)),$B$65,0)</x:f>
        <x:v>0</x:v>
      </x:c>
      <x:c r="N65" s="117" t="n">
        <x:f>IF(AND(YEAR(N$3)=YEAR('Вводные'!$B$18),MONTH(N$3)=MONTH('Вводные'!$B$18)),$B$65,0)</x:f>
        <x:v>0</x:v>
      </x:c>
      <x:c r="O65" s="117" t="n">
        <x:f>IF(AND(YEAR(O$3)=YEAR('Вводные'!$B$18),MONTH(O$3)=MONTH('Вводные'!$B$18)),$B$65,0)</x:f>
        <x:v>0</x:v>
      </x:c>
      <x:c r="P65" s="117" t="n">
        <x:f>IF(AND(YEAR(P$3)=YEAR('Вводные'!$B$18),MONTH(P$3)=MONTH('Вводные'!$B$18)),$B$65,0)</x:f>
        <x:v>0</x:v>
      </x:c>
      <x:c r="Q65" s="117" t="n">
        <x:f>IF(AND(YEAR(Q$3)=YEAR('Вводные'!$B$18),MONTH(Q$3)=MONTH('Вводные'!$B$18)),$B$65,0)</x:f>
        <x:v>0</x:v>
      </x:c>
      <x:c r="R65" s="117" t="n">
        <x:f>IF(AND(YEAR(R$3)=YEAR('Вводные'!$B$18),MONTH(R$3)=MONTH('Вводные'!$B$18)),$B$65,0)</x:f>
        <x:v>0</x:v>
      </x:c>
      <x:c r="S65" s="117" t="n">
        <x:f>IF(AND(YEAR(S$3)=YEAR('Вводные'!$B$18),MONTH(S$3)=MONTH('Вводные'!$B$18)),$B$65,0)</x:f>
        <x:v>0</x:v>
      </x:c>
      <x:c r="T65" s="117" t="n">
        <x:f>IF(AND(YEAR(T$3)=YEAR('Вводные'!$B$18),MONTH(T$3)=MONTH('Вводные'!$B$18)),$B$65,0)</x:f>
        <x:v>0</x:v>
      </x:c>
      <x:c r="U65" s="117" t="n">
        <x:f>IF(AND(YEAR(U$3)=YEAR('Вводные'!$B$18),MONTH(U$3)=MONTH('Вводные'!$B$18)),$B$65,0)</x:f>
        <x:v>0</x:v>
      </x:c>
      <x:c r="V65" s="117" t="n">
        <x:f>IF(AND(YEAR(V$3)=YEAR('Вводные'!$B$18),MONTH(V$3)=MONTH('Вводные'!$B$18)),$B$65,0)</x:f>
        <x:v>0</x:v>
      </x:c>
      <x:c r="W65" s="117" t="n">
        <x:f>IF(AND(YEAR(W$3)=YEAR('Вводные'!$B$18),MONTH(W$3)=MONTH('Вводные'!$B$18)),$B$65,0)</x:f>
        <x:v>0</x:v>
      </x:c>
      <x:c r="X65" s="117" t="n">
        <x:f>IF(AND(YEAR(X$3)=YEAR('Вводные'!$B$18),MONTH(X$3)=MONTH('Вводные'!$B$18)),$B$65,0)</x:f>
        <x:v>0</x:v>
      </x:c>
      <x:c r="Y65" s="117" t="n">
        <x:f>IF(AND(YEAR(Y$3)=YEAR('Вводные'!$B$18),MONTH(Y$3)=MONTH('Вводные'!$B$18)),$B$65,0)</x:f>
        <x:v>0</x:v>
      </x:c>
      <x:c r="Z65" s="117" t="n">
        <x:f>IF(AND(YEAR(Z$3)=YEAR('Вводные'!$B$18),MONTH(Z$3)=MONTH('Вводные'!$B$18)),$B$65,0)</x:f>
        <x:v>0</x:v>
      </x:c>
      <x:c r="AA65" s="117" t="n">
        <x:f>IF(AND(YEAR(AA$3)=YEAR('Вводные'!$B$18),MONTH(AA$3)=MONTH('Вводные'!$B$18)),$B$65,0)</x:f>
        <x:v>0</x:v>
      </x:c>
      <x:c r="AB65" s="117" t="n">
        <x:f>IF(AND(YEAR(AB$3)=YEAR('Вводные'!$B$18),MONTH(AB$3)=MONTH('Вводные'!$B$18)),$B$65,0)</x:f>
        <x:v>0</x:v>
      </x:c>
      <x:c r="AC65" s="117" t="n">
        <x:f>IF(AND(YEAR(AC$3)=YEAR('Вводные'!$B$18),MONTH(AC$3)=MONTH('Вводные'!$B$18)),$B$65,0)</x:f>
        <x:v>0</x:v>
      </x:c>
      <x:c r="AD65" s="117" t="n">
        <x:f>IF(AND(YEAR(AD$3)=YEAR('Вводные'!$B$18),MONTH(AD$3)=MONTH('Вводные'!$B$18)),$B$65,0)</x:f>
        <x:v>0</x:v>
      </x:c>
      <x:c r="AE65" s="117" t="n">
        <x:f>IF(AND(YEAR(AE$3)=YEAR('Вводные'!$B$18),MONTH(AE$3)=MONTH('Вводные'!$B$18)),$B$65,0)</x:f>
        <x:v>0</x:v>
      </x:c>
      <x:c r="AF65" s="117" t="n">
        <x:f>IF(AND(YEAR(AF$3)=YEAR('Вводные'!$B$18),MONTH(AF$3)=MONTH('Вводные'!$B$18)),$B$65,0)</x:f>
        <x:v>0</x:v>
      </x:c>
      <x:c r="AG65" s="117" t="n">
        <x:f>IF(AND(YEAR(AG$3)=YEAR('Вводные'!$B$18),MONTH(AG$3)=MONTH('Вводные'!$B$18)),$B$65,0)</x:f>
        <x:v>0</x:v>
      </x:c>
      <x:c r="AH65" s="117" t="n">
        <x:f>IF(AND(YEAR(AH$3)=YEAR('Вводные'!$B$18),MONTH(AH$3)=MONTH('Вводные'!$B$18)),$B$65,0)</x:f>
        <x:v>0</x:v>
      </x:c>
      <x:c r="AI65" s="117" t="n">
        <x:f>IF(AND(YEAR(AI$3)=YEAR('Вводные'!$B$18),MONTH(AI$3)=MONTH('Вводные'!$B$18)),$B$65,0)</x:f>
        <x:v>0</x:v>
      </x:c>
      <x:c r="AJ65" s="117" t="n">
        <x:f>IF(AND(YEAR(AJ$3)=YEAR('Вводные'!$B$18),MONTH(AJ$3)=MONTH('Вводные'!$B$18)),$B$65,0)</x:f>
        <x:v>0</x:v>
      </x:c>
      <x:c r="AK65" s="117" t="n">
        <x:f>IF(AND(YEAR(AK$3)=YEAR('Вводные'!$B$18),MONTH(AK$3)=MONTH('Вводные'!$B$18)),$B$65,0)</x:f>
        <x:v>0</x:v>
      </x:c>
      <x:c r="AL65" s="117" t="n">
        <x:f>IF(AND(YEAR(AL$3)=YEAR('Вводные'!$B$18),MONTH(AL$3)=MONTH('Вводные'!$B$18)),$B$65,0)</x:f>
        <x:v>0</x:v>
      </x:c>
      <x:c r="AM65" s="117" t="n">
        <x:f>IF(AND(YEAR(AM$3)=YEAR('Вводные'!$B$18),MONTH(AM$3)=MONTH('Вводные'!$B$18)),$B$65,0)</x:f>
        <x:v>0</x:v>
      </x:c>
      <x:c r="AN65" s="117" t="n">
        <x:f>IF(AND(YEAR(AN$3)=YEAR('Вводные'!$B$18),MONTH(AN$3)=MONTH('Вводные'!$B$18)),$B$65,0)</x:f>
        <x:v>0</x:v>
      </x:c>
      <x:c r="AO65" s="117" t="n">
        <x:f>IF(AND(YEAR(AO$3)=YEAR('Вводные'!$B$18),MONTH(AO$3)=MONTH('Вводные'!$B$18)),$B$65,0)</x:f>
        <x:v>0</x:v>
      </x:c>
      <x:c r="AP65" s="117" t="n">
        <x:f>IF(AND(YEAR(AP$3)=YEAR('Вводные'!$B$18),MONTH(AP$3)=MONTH('Вводные'!$B$18)),$B$65,0)</x:f>
        <x:v>0</x:v>
      </x:c>
      <x:c r="AQ65" s="117" t="n">
        <x:f>IF(AND(YEAR(AQ$3)=YEAR('Вводные'!$B$18),MONTH(AQ$3)=MONTH('Вводные'!$B$18)),$B$65,0)</x:f>
        <x:v>0</x:v>
      </x:c>
      <x:c r="AR65" s="117" t="n">
        <x:f>IF(AND(YEAR(AR$3)=YEAR('Вводные'!$B$18),MONTH(AR$3)=MONTH('Вводные'!$B$18)),$B$65,0)</x:f>
        <x:v>0</x:v>
      </x:c>
      <x:c r="AS65" s="117" t="n">
        <x:f>IF(AND(YEAR(AS$3)=YEAR('Вводные'!$B$18),MONTH(AS$3)=MONTH('Вводные'!$B$18)),$B$65,0)</x:f>
        <x:v>0</x:v>
      </x:c>
      <x:c r="AT65" s="117" t="n">
        <x:f>IF(AND(YEAR(AT$3)=YEAR('Вводные'!$B$18),MONTH(AT$3)=MONTH('Вводные'!$B$18)),$B$65,0)</x:f>
        <x:v>0</x:v>
      </x:c>
      <x:c r="AU65" s="117" t="n">
        <x:f>IF(AND(YEAR(AU$3)=YEAR('Вводные'!$B$18),MONTH(AU$3)=MONTH('Вводные'!$B$18)),$B$65,0)</x:f>
        <x:v>0</x:v>
      </x:c>
      <x:c r="AV65" s="117" t="n">
        <x:f>IF(AND(YEAR(AV$3)=YEAR('Вводные'!$B$18),MONTH(AV$3)=MONTH('Вводные'!$B$18)),$B$65,0)</x:f>
        <x:v>0</x:v>
      </x:c>
      <x:c r="AW65" s="117" t="n">
        <x:f>IF(AND(YEAR(AW$3)=YEAR('Вводные'!$B$18),MONTH(AW$3)=MONTH('Вводные'!$B$18)),$B$65,0)</x:f>
        <x:v>0</x:v>
      </x:c>
      <x:c r="AX65" s="117" t="n">
        <x:f>IF(AND(YEAR(AX$3)=YEAR('Вводные'!$B$18),MONTH(AX$3)=MONTH('Вводные'!$B$18)),$B$65,0)</x:f>
        <x:v>0</x:v>
      </x:c>
      <x:c r="AY65" s="117" t="n">
        <x:f>IF(AND(YEAR(AY$3)=YEAR('Вводные'!$B$18),MONTH(AY$3)=MONTH('Вводные'!$B$18)),$B$65,0)</x:f>
        <x:v>0</x:v>
      </x:c>
      <x:c r="AZ65" s="117" t="n">
        <x:f>IF(AND(YEAR(AZ$3)=YEAR('Вводные'!$B$18),MONTH(AZ$3)=MONTH('Вводные'!$B$18)),$B$65,0)</x:f>
        <x:v>0</x:v>
      </x:c>
      <x:c r="BA65" s="117" t="n">
        <x:f>IF(AND(YEAR(BA$3)=YEAR('Вводные'!$B$18),MONTH(BA$3)=MONTH('Вводные'!$B$18)),$B$65,0)</x:f>
        <x:v>0</x:v>
      </x:c>
      <x:c r="BB65" s="117" t="n">
        <x:f>IF(AND(YEAR(BB$3)=YEAR('Вводные'!$B$18),MONTH(BB$3)=MONTH('Вводные'!$B$18)),$B$65,0)</x:f>
        <x:v>0</x:v>
      </x:c>
      <x:c r="BC65" s="117" t="n">
        <x:f>IF(AND(YEAR(BC$3)=YEAR('Вводные'!$B$18),MONTH(BC$3)=MONTH('Вводные'!$B$18)),$B$65,0)</x:f>
        <x:v>0</x:v>
      </x:c>
      <x:c r="BD65" s="117" t="n">
        <x:f>IF(AND(YEAR(BD$3)=YEAR('Вводные'!$B$18),MONTH(BD$3)=MONTH('Вводные'!$B$18)),$B$65,0)</x:f>
        <x:v>0</x:v>
      </x:c>
      <x:c r="BE65" s="117" t="n">
        <x:f>IF(AND(YEAR(BE$3)=YEAR('Вводные'!$B$18),MONTH(BE$3)=MONTH('Вводные'!$B$18)),$B$65,0)</x:f>
        <x:v>0</x:v>
      </x:c>
      <x:c r="BF65" s="117" t="n">
        <x:f>IF(AND(YEAR(BF$3)=YEAR('Вводные'!$B$18),MONTH(BF$3)=MONTH('Вводные'!$B$18)),$B$65,0)</x:f>
        <x:v>0</x:v>
      </x:c>
      <x:c r="BG65" s="117" t="n">
        <x:f>IF(AND(YEAR(BG$3)=YEAR('Вводные'!$B$18),MONTH(BG$3)=MONTH('Вводные'!$B$18)),$B$65,0)</x:f>
        <x:v>0</x:v>
      </x:c>
      <x:c r="BH65" s="117" t="n">
        <x:f>IF(AND(YEAR(BH$3)=YEAR('Вводные'!$B$18),MONTH(BH$3)=MONTH('Вводные'!$B$18)),$B$65,0)</x:f>
        <x:v>0</x:v>
      </x:c>
      <x:c r="BI65" s="117" t="n">
        <x:f>IF(AND(YEAR(BI$3)=YEAR('Вводные'!$B$18),MONTH(BI$3)=MONTH('Вводные'!$B$18)),$B$65,0)</x:f>
        <x:v>0</x:v>
      </x:c>
      <x:c r="BJ65" s="117" t="n">
        <x:f>IF(AND(YEAR(BJ$3)=YEAR('Вводные'!$B$18),MONTH(BJ$3)=MONTH('Вводные'!$B$18)),$B$65,0)</x:f>
        <x:v>0</x:v>
      </x:c>
      <x:c r="BK65" s="117" t="n">
        <x:f>IF(AND(YEAR(BK$3)=YEAR('Вводные'!$B$18),MONTH(BK$3)=MONTH('Вводные'!$B$18)),$B$65,0)</x:f>
        <x:v>0</x:v>
      </x:c>
      <x:c r="BL65" s="117" t="n">
        <x:f>IF(AND(YEAR(BL$3)=YEAR('Вводные'!$B$18),MONTH(BL$3)=MONTH('Вводные'!$B$18)),$B$65,0)</x:f>
        <x:v>0</x:v>
      </x:c>
      <x:c r="BM65" s="117" t="n">
        <x:f>IF(AND(YEAR(BM$3)=YEAR('Вводные'!$B$18),MONTH(BM$3)=MONTH('Вводные'!$B$18)),$B$65,0)</x:f>
        <x:v>0</x:v>
      </x:c>
      <x:c r="BN65" s="117" t="n">
        <x:f>IF(AND(YEAR(BN$3)=YEAR('Вводные'!$B$18),MONTH(BN$3)=MONTH('Вводные'!$B$18)),$B$65,0)</x:f>
        <x:v>0</x:v>
      </x:c>
      <x:c r="BO65" s="117" t="n">
        <x:f>IF(AND(YEAR(BO$3)=YEAR('Вводные'!$B$18),MONTH(BO$3)=MONTH('Вводные'!$B$18)),$B$65,0)</x:f>
        <x:v>0</x:v>
      </x:c>
      <x:c r="BP65" s="117" t="n">
        <x:f>IF(AND(YEAR(BP$3)=YEAR('Вводные'!$B$18),MONTH(BP$3)=MONTH('Вводные'!$B$18)),$B$65,0)</x:f>
        <x:v>0</x:v>
      </x:c>
      <x:c r="BQ65" s="117" t="n">
        <x:f>IF(AND(YEAR(BQ$3)=YEAR('Вводные'!$B$18),MONTH(BQ$3)=MONTH('Вводные'!$B$18)),$B$65,0)</x:f>
        <x:v>0</x:v>
      </x:c>
      <x:c r="BR65" s="117" t="n">
        <x:f>IF(AND(YEAR(BR$3)=YEAR('Вводные'!$B$18),MONTH(BR$3)=MONTH('Вводные'!$B$18)),$B$65,0)</x:f>
        <x:v>0</x:v>
      </x:c>
      <x:c r="BS65" s="117" t="n">
        <x:f>IF(AND(YEAR(BS$3)=YEAR('Вводные'!$B$18),MONTH(BS$3)=MONTH('Вводные'!$B$18)),$B$65,0)</x:f>
        <x:v>0</x:v>
      </x:c>
      <x:c r="BT65" s="117" t="n">
        <x:f>IF(AND(YEAR(BT$3)=YEAR('Вводные'!$B$18),MONTH(BT$3)=MONTH('Вводные'!$B$18)),$B$65,0)</x:f>
        <x:v>0</x:v>
      </x:c>
      <x:c r="BU65" s="117" t="n">
        <x:f>IF(AND(YEAR(BU$3)=YEAR('Вводные'!$B$18),MONTH(BU$3)=MONTH('Вводные'!$B$18)),$B$65,0)</x:f>
        <x:v>0</x:v>
      </x:c>
      <x:c r="BV65" s="117" t="n">
        <x:f>IF(AND(YEAR(BV$3)=YEAR('Вводные'!$B$18),MONTH(BV$3)=MONTH('Вводные'!$B$18)),$B$65,0)</x:f>
        <x:v>0</x:v>
      </x:c>
      <x:c r="BW65" s="117" t="n">
        <x:f>IF(AND(YEAR(BW$3)=YEAR('Вводные'!$B$18),MONTH(BW$3)=MONTH('Вводные'!$B$18)),$B$65,0)</x:f>
        <x:v>0</x:v>
      </x:c>
      <x:c r="BX65" s="117" t="n">
        <x:f>IF(AND(YEAR(BX$3)=YEAR('Вводные'!$B$18),MONTH(BX$3)=MONTH('Вводные'!$B$18)),$B$65,0)</x:f>
        <x:v>0</x:v>
      </x:c>
      <x:c r="BY65" s="117" t="n">
        <x:f>IF(AND(YEAR(BY$3)=YEAR('Вводные'!$B$18),MONTH(BY$3)=MONTH('Вводные'!$B$18)),$B$65,0)</x:f>
        <x:v>0</x:v>
      </x:c>
      <x:c r="BZ65" s="117" t="n">
        <x:f>IF(AND(YEAR(BZ$3)=YEAR('Вводные'!$B$18),MONTH(BZ$3)=MONTH('Вводные'!$B$18)),$B$65,0)</x:f>
        <x:v>0</x:v>
      </x:c>
      <x:c r="CA65" s="117" t="n">
        <x:f>IF(AND(YEAR(CA$3)=YEAR('Вводные'!$B$18),MONTH(CA$3)=MONTH('Вводные'!$B$18)),$B$65,0)</x:f>
        <x:v>0</x:v>
      </x:c>
      <x:c r="CB65" s="117" t="n">
        <x:f>IF(AND(YEAR(CB$3)=YEAR('Вводные'!$B$18),MONTH(CB$3)=MONTH('Вводные'!$B$18)),$B$65,0)</x:f>
        <x:v>0</x:v>
      </x:c>
      <x:c r="CC65" s="117" t="n">
        <x:f>IF(AND(YEAR(CC$3)=YEAR('Вводные'!$B$18),MONTH(CC$3)=MONTH('Вводные'!$B$18)),$B$65,0)</x:f>
        <x:v>0</x:v>
      </x:c>
      <x:c r="CD65" s="117" t="n">
        <x:f>IF(AND(YEAR(CD$3)=YEAR('Вводные'!$B$18),MONTH(CD$3)=MONTH('Вводные'!$B$18)),$B$65,0)</x:f>
        <x:v>0</x:v>
      </x:c>
      <x:c r="CE65" s="117" t="n">
        <x:f>IF(AND(YEAR(CE$3)=YEAR('Вводные'!$B$18),MONTH(CE$3)=MONTH('Вводные'!$B$18)),$B$65,0)</x:f>
        <x:v>0</x:v>
      </x:c>
      <x:c r="CF65" s="117" t="n">
        <x:f>IF(AND(YEAR(CF$3)=YEAR('Вводные'!$B$18),MONTH(CF$3)=MONTH('Вводные'!$B$18)),$B$65,0)</x:f>
        <x:v>0</x:v>
      </x:c>
      <x:c r="CG65" s="117" t="n">
        <x:f>IF(AND(YEAR(CG$3)=YEAR('Вводные'!$B$18),MONTH(CG$3)=MONTH('Вводные'!$B$18)),$B$65,0)</x:f>
        <x:v>0</x:v>
      </x:c>
      <x:c r="CH65" s="117" t="n">
        <x:f>IF(AND(YEAR(CH$3)=YEAR('Вводные'!$B$18),MONTH(CH$3)=MONTH('Вводные'!$B$18)),$B$65,0)</x:f>
        <x:v>0</x:v>
      </x:c>
      <x:c r="CI65" s="117" t="n">
        <x:f>IF(AND(YEAR(CI$3)=YEAR('Вводные'!$B$18),MONTH(CI$3)=MONTH('Вводные'!$B$18)),$B$65,0)</x:f>
        <x:v>0</x:v>
      </x:c>
      <x:c r="CJ65" s="117" t="n">
        <x:f>IF(AND(YEAR(CJ$3)=YEAR('Вводные'!$B$18),MONTH(CJ$3)=MONTH('Вводные'!$B$18)),$B$65,0)</x:f>
        <x:v>0</x:v>
      </x:c>
      <x:c r="CK65" s="117" t="n">
        <x:f>IF(AND(YEAR(CK$3)=YEAR('Вводные'!$B$18),MONTH(CK$3)=MONTH('Вводные'!$B$18)),$B$65,0)</x:f>
        <x:v>0</x:v>
      </x:c>
      <x:c r="CL65" s="117" t="n">
        <x:f>IF(AND(YEAR(CL$3)=YEAR('Вводные'!$B$18),MONTH(CL$3)=MONTH('Вводные'!$B$18)),$B$65,0)</x:f>
        <x:v>0</x:v>
      </x:c>
      <x:c r="CM65" s="117" t="n">
        <x:f>IF(AND(YEAR(CM$3)=YEAR('Вводные'!$B$18),MONTH(CM$3)=MONTH('Вводные'!$B$18)),$B$65,0)</x:f>
        <x:v>0</x:v>
      </x:c>
      <x:c r="CN65" s="117" t="n">
        <x:f>IF(AND(YEAR(CN$3)=YEAR('Вводные'!$B$18),MONTH(CN$3)=MONTH('Вводные'!$B$18)),$B$65,0)</x:f>
        <x:v>0</x:v>
      </x:c>
      <x:c r="CO65" s="117" t="n">
        <x:f>IF(AND(YEAR(CO$3)=YEAR('Вводные'!$B$18),MONTH(CO$3)=MONTH('Вводные'!$B$18)),$B$65,0)</x:f>
        <x:v>0</x:v>
      </x:c>
      <x:c r="CP65" s="117" t="n">
        <x:f>IF(AND(YEAR(CP$3)=YEAR('Вводные'!$B$18),MONTH(CP$3)=MONTH('Вводные'!$B$18)),$B$65,0)</x:f>
        <x:v>0</x:v>
      </x:c>
      <x:c r="CQ65" s="117" t="n">
        <x:f>IF(AND(YEAR(CQ$3)=YEAR('Вводные'!$B$18),MONTH(CQ$3)=MONTH('Вводные'!$B$18)),$B$65,0)</x:f>
        <x:v>0</x:v>
      </x:c>
      <x:c r="CR65" s="117" t="n">
        <x:f>IF(AND(YEAR(CR$3)=YEAR('Вводные'!$B$18),MONTH(CR$3)=MONTH('Вводные'!$B$18)),$B$65,0)</x:f>
        <x:v>0</x:v>
      </x:c>
      <x:c r="CS65" s="117" t="n">
        <x:f>IF(AND(YEAR(CS$3)=YEAR('Вводные'!$B$18),MONTH(CS$3)=MONTH('Вводные'!$B$18)),$B$65,0)</x:f>
        <x:v>0</x:v>
      </x:c>
      <x:c r="CT65" s="117" t="n">
        <x:f>IF(AND(YEAR(CT$3)=YEAR('Вводные'!$B$18),MONTH(CT$3)=MONTH('Вводные'!$B$18)),$B$65,0)</x:f>
        <x:v>0</x:v>
      </x:c>
      <x:c r="CU65" s="117" t="n">
        <x:f>IF(AND(YEAR(CU$3)=YEAR('Вводные'!$B$18),MONTH(CU$3)=MONTH('Вводные'!$B$18)),$B$65,0)</x:f>
        <x:v>0</x:v>
      </x:c>
      <x:c r="CV65" s="117" t="n">
        <x:f>IF(AND(YEAR(CV$3)=YEAR('Вводные'!$B$18),MONTH(CV$3)=MONTH('Вводные'!$B$18)),$B$65,0)</x:f>
        <x:v>0</x:v>
      </x:c>
      <x:c r="CW65" s="117" t="n">
        <x:f>IF(AND(YEAR(CW$3)=YEAR('Вводные'!$B$18),MONTH(CW$3)=MONTH('Вводные'!$B$18)),$B$65,0)</x:f>
        <x:v>0</x:v>
      </x:c>
      <x:c r="CX65" s="117" t="n">
        <x:f>IF(AND(YEAR(CX$3)=YEAR('Вводные'!$B$18),MONTH(CX$3)=MONTH('Вводные'!$B$18)),$B$65,0)</x:f>
        <x:v>0</x:v>
      </x:c>
      <x:c r="CY65" s="117" t="n">
        <x:f>IF(AND(YEAR(CY$3)=YEAR('Вводные'!$B$18),MONTH(CY$3)=MONTH('Вводные'!$B$18)),$B$65,0)</x:f>
        <x:v>0</x:v>
      </x:c>
      <x:c r="CZ65" s="117" t="n">
        <x:f>IF(AND(YEAR(CZ$3)=YEAR('Вводные'!$B$18),MONTH(CZ$3)=MONTH('Вводные'!$B$18)),$B$65,0)</x:f>
        <x:v>0</x:v>
      </x:c>
      <x:c r="DA65" s="117" t="n">
        <x:f>IF(AND(YEAR(DA$3)=YEAR('Вводные'!$B$18),MONTH(DA$3)=MONTH('Вводные'!$B$18)),$B$65,0)</x:f>
        <x:v>0</x:v>
      </x:c>
      <x:c r="DB65" s="117" t="n">
        <x:f>IF(AND(YEAR(DB$3)=YEAR('Вводные'!$B$18),MONTH(DB$3)=MONTH('Вводные'!$B$18)),$B$65,0)</x:f>
        <x:v>0</x:v>
      </x:c>
      <x:c r="DC65" s="117" t="n">
        <x:f>IF(AND(YEAR(DC$3)=YEAR('Вводные'!$B$18),MONTH(DC$3)=MONTH('Вводные'!$B$18)),$B$65,0)</x:f>
        <x:v>0</x:v>
      </x:c>
      <x:c r="DD65" s="117" t="n">
        <x:f>IF(AND(YEAR(DD$3)=YEAR('Вводные'!$B$18),MONTH(DD$3)=MONTH('Вводные'!$B$18)),$B$65,0)</x:f>
        <x:v>0</x:v>
      </x:c>
      <x:c r="DE65" s="117" t="n">
        <x:f>IF(AND(YEAR(DE$3)=YEAR('Вводные'!$B$18),MONTH(DE$3)=MONTH('Вводные'!$B$18)),$B$65,0)</x:f>
        <x:v>0</x:v>
      </x:c>
      <x:c r="DF65" s="117" t="n">
        <x:f>IF(AND(YEAR(DF$3)=YEAR('Вводные'!$B$18),MONTH(DF$3)=MONTH('Вводные'!$B$18)),$B$65,0)</x:f>
        <x:v>0</x:v>
      </x:c>
      <x:c r="DG65" s="117" t="n">
        <x:f>IF(AND(YEAR(DG$3)=YEAR('Вводные'!$B$18),MONTH(DG$3)=MONTH('Вводные'!$B$18)),$B$65,0)</x:f>
        <x:v>0</x:v>
      </x:c>
      <x:c r="DH65" s="117" t="n">
        <x:f>IF(AND(YEAR(DH$3)=YEAR('Вводные'!$B$18),MONTH(DH$3)=MONTH('Вводные'!$B$18)),$B$65,0)</x:f>
        <x:v>0</x:v>
      </x:c>
      <x:c r="DI65" s="117" t="n">
        <x:f>IF(AND(YEAR(DI$3)=YEAR('Вводные'!$B$18),MONTH(DI$3)=MONTH('Вводные'!$B$18)),$B$65,0)</x:f>
        <x:v>0</x:v>
      </x:c>
      <x:c r="DJ65" s="117" t="n">
        <x:f>IF(AND(YEAR(DJ$3)=YEAR('Вводные'!$B$18),MONTH(DJ$3)=MONTH('Вводные'!$B$18)),$B$65,0)</x:f>
        <x:v>0</x:v>
      </x:c>
      <x:c r="DK65" s="117" t="n">
        <x:f>IF(AND(YEAR(DK$3)=YEAR('Вводные'!$B$18),MONTH(DK$3)=MONTH('Вводные'!$B$18)),$B$65,0)</x:f>
        <x:v>0</x:v>
      </x:c>
      <x:c r="DL65" s="117" t="n">
        <x:f>IF(AND(YEAR(DL$3)=YEAR('Вводные'!$B$18),MONTH(DL$3)=MONTH('Вводные'!$B$18)),$B$65,0)</x:f>
        <x:v>0</x:v>
      </x:c>
      <x:c r="DM65" s="117" t="n">
        <x:f>IF(AND(YEAR(DM$3)=YEAR('Вводные'!$B$18),MONTH(DM$3)=MONTH('Вводные'!$B$18)),$B$65,0)</x:f>
        <x:v>0</x:v>
      </x:c>
      <x:c r="DN65" s="117" t="n">
        <x:f>IF(AND(YEAR(DN$3)=YEAR('Вводные'!$B$18),MONTH(DN$3)=MONTH('Вводные'!$B$18)),$B$65,0)</x:f>
        <x:v>0</x:v>
      </x:c>
      <x:c r="DO65" s="117" t="n">
        <x:f>IF(AND(YEAR(DO$3)=YEAR('Вводные'!$B$18),MONTH(DO$3)=MONTH('Вводные'!$B$18)),$B$65,0)</x:f>
        <x:v>0</x:v>
      </x:c>
      <x:c r="DP65" s="117" t="n">
        <x:f>IF(AND(YEAR(DP$3)=YEAR('Вводные'!$B$18),MONTH(DP$3)=MONTH('Вводные'!$B$18)),$B$65,0)</x:f>
        <x:v>0</x:v>
      </x:c>
      <x:c r="DQ65" s="117" t="n">
        <x:f>IF(AND(YEAR(DQ$3)=YEAR('Вводные'!$B$18),MONTH(DQ$3)=MONTH('Вводные'!$B$18)),$B$65,0)</x:f>
        <x:v>0</x:v>
      </x:c>
      <x:c r="DR65" s="117" t="n">
        <x:f>IF(AND(YEAR(DR$3)=YEAR('Вводные'!$B$18),MONTH(DR$3)=MONTH('Вводные'!$B$18)),$B$65,0)</x:f>
        <x:v>0</x:v>
      </x:c>
      <x:c r="DS65" s="117" t="n">
        <x:f>IF(AND(YEAR(DS$3)=YEAR('Вводные'!$B$18),MONTH(DS$3)=MONTH('Вводные'!$B$18)),$B$65,0)</x:f>
        <x:v>0</x:v>
      </x:c>
    </x:row>
    <x:row r="66">
      <x:c r="A66" s="113" t="str">
        <x:v>CAPEX ВСЕГО</x:v>
      </x:c>
      <x:c r="B66" s="113" t="n">
        <x:f>SUM(D66:DS66)</x:f>
        <x:v>0</x:v>
      </x:c>
      <x:c r="C66" s="113" t="str">
        <x:v>млн ₽</x:v>
      </x:c>
      <x:c r="D66" s="120" t="n">
        <x:f>SUM(D48:D65)+'ОБЪЕКТЫ'!D104</x:f>
        <x:v>0</x:v>
      </x:c>
      <x:c r="E66" s="120" t="n">
        <x:f>SUM(E48:E65)+'ОБЪЕКТЫ'!E104</x:f>
        <x:v>0</x:v>
      </x:c>
      <x:c r="F66" s="120" t="n">
        <x:f>SUM(F48:F65)+'ОБЪЕКТЫ'!F104</x:f>
        <x:v>0</x:v>
      </x:c>
      <x:c r="G66" s="120" t="n">
        <x:f>SUM(G48:G65)+'ОБЪЕКТЫ'!G104</x:f>
        <x:v>0</x:v>
      </x:c>
      <x:c r="H66" s="120" t="n">
        <x:f>SUM(H48:H65)+'ОБЪЕКТЫ'!H104</x:f>
        <x:v>0</x:v>
      </x:c>
      <x:c r="I66" s="120" t="n">
        <x:f>SUM(I48:I65)+'ОБЪЕКТЫ'!I104</x:f>
        <x:v>0</x:v>
      </x:c>
      <x:c r="J66" s="120" t="n">
        <x:f>SUM(J48:J65)+'ОБЪЕКТЫ'!J104</x:f>
        <x:v>0</x:v>
      </x:c>
      <x:c r="K66" s="120" t="n">
        <x:f>SUM(K48:K65)+'ОБЪЕКТЫ'!K104</x:f>
        <x:v>0</x:v>
      </x:c>
      <x:c r="L66" s="120" t="n">
        <x:f>SUM(L48:L65)+'ОБЪЕКТЫ'!L104</x:f>
        <x:v>0</x:v>
      </x:c>
      <x:c r="M66" s="120" t="n">
        <x:f>SUM(M48:M65)+'ОБЪЕКТЫ'!M104</x:f>
        <x:v>0</x:v>
      </x:c>
      <x:c r="N66" s="120" t="n">
        <x:f>SUM(N48:N65)+'ОБЪЕКТЫ'!N104</x:f>
        <x:v>0</x:v>
      </x:c>
      <x:c r="O66" s="120" t="n">
        <x:f>SUM(O48:O65)+'ОБЪЕКТЫ'!O104</x:f>
        <x:v>0</x:v>
      </x:c>
      <x:c r="P66" s="120" t="n">
        <x:f>SUM(P48:P65)+'ОБЪЕКТЫ'!P104</x:f>
        <x:v>0</x:v>
      </x:c>
      <x:c r="Q66" s="120" t="n">
        <x:f>SUM(Q48:Q65)+'ОБЪЕКТЫ'!Q104</x:f>
        <x:v>0</x:v>
      </x:c>
      <x:c r="R66" s="120" t="n">
        <x:f>SUM(R48:R65)+'ОБЪЕКТЫ'!R104</x:f>
        <x:v>0</x:v>
      </x:c>
      <x:c r="S66" s="120" t="n">
        <x:f>SUM(S48:S65)+'ОБЪЕКТЫ'!S104</x:f>
        <x:v>0</x:v>
      </x:c>
      <x:c r="T66" s="120" t="n">
        <x:f>SUM(T48:T65)+'ОБЪЕКТЫ'!T104</x:f>
        <x:v>0</x:v>
      </x:c>
      <x:c r="U66" s="120" t="n">
        <x:f>SUM(U48:U65)+'ОБЪЕКТЫ'!U104</x:f>
        <x:v>0</x:v>
      </x:c>
      <x:c r="V66" s="120" t="n">
        <x:f>SUM(V48:V65)+'ОБЪЕКТЫ'!V104</x:f>
        <x:v>0</x:v>
      </x:c>
      <x:c r="W66" s="120" t="n">
        <x:f>SUM(W48:W65)+'ОБЪЕКТЫ'!W104</x:f>
        <x:v>0</x:v>
      </x:c>
      <x:c r="X66" s="120" t="n">
        <x:f>SUM(X48:X65)+'ОБЪЕКТЫ'!X104</x:f>
        <x:v>0</x:v>
      </x:c>
      <x:c r="Y66" s="120" t="n">
        <x:f>SUM(Y48:Y65)+'ОБЪЕКТЫ'!Y104</x:f>
        <x:v>0</x:v>
      </x:c>
      <x:c r="Z66" s="120" t="n">
        <x:f>SUM(Z48:Z65)+'ОБЪЕКТЫ'!Z104</x:f>
        <x:v>0</x:v>
      </x:c>
      <x:c r="AA66" s="120" t="n">
        <x:f>SUM(AA48:AA65)+'ОБЪЕКТЫ'!AA104</x:f>
        <x:v>0</x:v>
      </x:c>
      <x:c r="AB66" s="120" t="n">
        <x:f>SUM(AB48:AB65)+'ОБЪЕКТЫ'!AB104</x:f>
        <x:v>0</x:v>
      </x:c>
      <x:c r="AC66" s="120" t="n">
        <x:f>SUM(AC48:AC65)+'ОБЪЕКТЫ'!AC104</x:f>
        <x:v>0</x:v>
      </x:c>
      <x:c r="AD66" s="120" t="n">
        <x:f>SUM(AD48:AD65)+'ОБЪЕКТЫ'!AD104</x:f>
        <x:v>0</x:v>
      </x:c>
      <x:c r="AE66" s="120" t="n">
        <x:f>SUM(AE48:AE65)+'ОБЪЕКТЫ'!AE104</x:f>
        <x:v>0</x:v>
      </x:c>
      <x:c r="AF66" s="120" t="n">
        <x:f>SUM(AF48:AF65)+'ОБЪЕКТЫ'!AF104</x:f>
        <x:v>0</x:v>
      </x:c>
      <x:c r="AG66" s="120" t="n">
        <x:f>SUM(AG48:AG65)+'ОБЪЕКТЫ'!AG104</x:f>
        <x:v>0</x:v>
      </x:c>
      <x:c r="AH66" s="120" t="n">
        <x:f>SUM(AH48:AH65)+'ОБЪЕКТЫ'!AH104</x:f>
        <x:v>0</x:v>
      </x:c>
      <x:c r="AI66" s="120" t="n">
        <x:f>SUM(AI48:AI65)+'ОБЪЕКТЫ'!AI104</x:f>
        <x:v>0</x:v>
      </x:c>
      <x:c r="AJ66" s="120" t="n">
        <x:f>SUM(AJ48:AJ65)+'ОБЪЕКТЫ'!AJ104</x:f>
        <x:v>0</x:v>
      </x:c>
      <x:c r="AK66" s="120" t="n">
        <x:f>SUM(AK48:AK65)+'ОБЪЕКТЫ'!AK104</x:f>
        <x:v>0</x:v>
      </x:c>
      <x:c r="AL66" s="120" t="n">
        <x:f>SUM(AL48:AL65)+'ОБЪЕКТЫ'!AL104</x:f>
        <x:v>0</x:v>
      </x:c>
      <x:c r="AM66" s="120" t="n">
        <x:f>SUM(AM48:AM65)+'ОБЪЕКТЫ'!AM104</x:f>
        <x:v>0</x:v>
      </x:c>
      <x:c r="AN66" s="120" t="n">
        <x:f>SUM(AN48:AN65)+'ОБЪЕКТЫ'!AN104</x:f>
        <x:v>0</x:v>
      </x:c>
      <x:c r="AO66" s="120" t="n">
        <x:f>SUM(AO48:AO65)+'ОБЪЕКТЫ'!AO104</x:f>
        <x:v>0</x:v>
      </x:c>
      <x:c r="AP66" s="120" t="n">
        <x:f>SUM(AP48:AP65)+'ОБЪЕКТЫ'!AP104</x:f>
        <x:v>0</x:v>
      </x:c>
      <x:c r="AQ66" s="120" t="n">
        <x:f>SUM(AQ48:AQ65)+'ОБЪЕКТЫ'!AQ104</x:f>
        <x:v>0</x:v>
      </x:c>
      <x:c r="AR66" s="120" t="n">
        <x:f>SUM(AR48:AR65)+'ОБЪЕКТЫ'!AR104</x:f>
        <x:v>0</x:v>
      </x:c>
      <x:c r="AS66" s="120" t="n">
        <x:f>SUM(AS48:AS65)+'ОБЪЕКТЫ'!AS104</x:f>
        <x:v>0</x:v>
      </x:c>
      <x:c r="AT66" s="120" t="n">
        <x:f>SUM(AT48:AT65)+'ОБЪЕКТЫ'!AT104</x:f>
        <x:v>0</x:v>
      </x:c>
      <x:c r="AU66" s="120" t="n">
        <x:f>SUM(AU48:AU65)+'ОБЪЕКТЫ'!AU104</x:f>
        <x:v>0</x:v>
      </x:c>
      <x:c r="AV66" s="120" t="n">
        <x:f>SUM(AV48:AV65)+'ОБЪЕКТЫ'!AV104</x:f>
        <x:v>0</x:v>
      </x:c>
      <x:c r="AW66" s="120" t="n">
        <x:f>SUM(AW48:AW65)+'ОБЪЕКТЫ'!AW104</x:f>
        <x:v>0</x:v>
      </x:c>
      <x:c r="AX66" s="120" t="n">
        <x:f>SUM(AX48:AX65)+'ОБЪЕКТЫ'!AX104</x:f>
        <x:v>0</x:v>
      </x:c>
      <x:c r="AY66" s="120" t="n">
        <x:f>SUM(AY48:AY65)+'ОБЪЕКТЫ'!AY104</x:f>
        <x:v>0</x:v>
      </x:c>
      <x:c r="AZ66" s="120" t="n">
        <x:f>SUM(AZ48:AZ65)+'ОБЪЕКТЫ'!AZ104</x:f>
        <x:v>0</x:v>
      </x:c>
      <x:c r="BA66" s="120" t="n">
        <x:f>SUM(BA48:BA65)+'ОБЪЕКТЫ'!BA104</x:f>
        <x:v>0</x:v>
      </x:c>
      <x:c r="BB66" s="120" t="n">
        <x:f>SUM(BB48:BB65)+'ОБЪЕКТЫ'!BB104</x:f>
        <x:v>0</x:v>
      </x:c>
      <x:c r="BC66" s="120" t="n">
        <x:f>SUM(BC48:BC65)+'ОБЪЕКТЫ'!BC104</x:f>
        <x:v>0</x:v>
      </x:c>
      <x:c r="BD66" s="120" t="n">
        <x:f>SUM(BD48:BD65)+'ОБЪЕКТЫ'!BD104</x:f>
        <x:v>0</x:v>
      </x:c>
      <x:c r="BE66" s="120" t="n">
        <x:f>SUM(BE48:BE65)+'ОБЪЕКТЫ'!BE104</x:f>
        <x:v>0</x:v>
      </x:c>
      <x:c r="BF66" s="120" t="n">
        <x:f>SUM(BF48:BF65)+'ОБЪЕКТЫ'!BF104</x:f>
        <x:v>0</x:v>
      </x:c>
      <x:c r="BG66" s="120" t="n">
        <x:f>SUM(BG48:BG65)+'ОБЪЕКТЫ'!BG104</x:f>
        <x:v>0</x:v>
      </x:c>
      <x:c r="BH66" s="120" t="n">
        <x:f>SUM(BH48:BH65)+'ОБЪЕКТЫ'!BH104</x:f>
        <x:v>0</x:v>
      </x:c>
      <x:c r="BI66" s="120" t="n">
        <x:f>SUM(BI48:BI65)+'ОБЪЕКТЫ'!BI104</x:f>
        <x:v>0</x:v>
      </x:c>
      <x:c r="BJ66" s="120" t="n">
        <x:f>SUM(BJ48:BJ65)+'ОБЪЕКТЫ'!BJ104</x:f>
        <x:v>0</x:v>
      </x:c>
      <x:c r="BK66" s="120" t="n">
        <x:f>SUM(BK48:BK65)+'ОБЪЕКТЫ'!BK104</x:f>
        <x:v>0</x:v>
      </x:c>
      <x:c r="BL66" s="120" t="n">
        <x:f>SUM(BL48:BL65)+'ОБЪЕКТЫ'!BL104</x:f>
        <x:v>0</x:v>
      </x:c>
      <x:c r="BM66" s="120" t="n">
        <x:f>SUM(BM48:BM65)+'ОБЪЕКТЫ'!BM104</x:f>
        <x:v>0</x:v>
      </x:c>
      <x:c r="BN66" s="120" t="n">
        <x:f>SUM(BN48:BN65)+'ОБЪЕКТЫ'!BN104</x:f>
        <x:v>0</x:v>
      </x:c>
      <x:c r="BO66" s="120" t="n">
        <x:f>SUM(BO48:BO65)+'ОБЪЕКТЫ'!BO104</x:f>
        <x:v>0</x:v>
      </x:c>
      <x:c r="BP66" s="120" t="n">
        <x:f>SUM(BP48:BP65)+'ОБЪЕКТЫ'!BP104</x:f>
        <x:v>0</x:v>
      </x:c>
      <x:c r="BQ66" s="120" t="n">
        <x:f>SUM(BQ48:BQ65)+'ОБЪЕКТЫ'!BQ104</x:f>
        <x:v>0</x:v>
      </x:c>
      <x:c r="BR66" s="120" t="n">
        <x:f>SUM(BR48:BR65)+'ОБЪЕКТЫ'!BR104</x:f>
        <x:v>0</x:v>
      </x:c>
      <x:c r="BS66" s="120" t="n">
        <x:f>SUM(BS48:BS65)+'ОБЪЕКТЫ'!BS104</x:f>
        <x:v>0</x:v>
      </x:c>
      <x:c r="BT66" s="120" t="n">
        <x:f>SUM(BT48:BT65)+'ОБЪЕКТЫ'!BT104</x:f>
        <x:v>0</x:v>
      </x:c>
      <x:c r="BU66" s="120" t="n">
        <x:f>SUM(BU48:BU65)+'ОБЪЕКТЫ'!BU104</x:f>
        <x:v>0</x:v>
      </x:c>
      <x:c r="BV66" s="120" t="n">
        <x:f>SUM(BV48:BV65)+'ОБЪЕКТЫ'!BV104</x:f>
        <x:v>0</x:v>
      </x:c>
      <x:c r="BW66" s="120" t="n">
        <x:f>SUM(BW48:BW65)+'ОБЪЕКТЫ'!BW104</x:f>
        <x:v>0</x:v>
      </x:c>
      <x:c r="BX66" s="120" t="n">
        <x:f>SUM(BX48:BX65)+'ОБЪЕКТЫ'!BX104</x:f>
        <x:v>0</x:v>
      </x:c>
      <x:c r="BY66" s="120" t="n">
        <x:f>SUM(BY48:BY65)+'ОБЪЕКТЫ'!BY104</x:f>
        <x:v>0</x:v>
      </x:c>
      <x:c r="BZ66" s="120" t="n">
        <x:f>SUM(BZ48:BZ65)+'ОБЪЕКТЫ'!BZ104</x:f>
        <x:v>0</x:v>
      </x:c>
      <x:c r="CA66" s="120" t="n">
        <x:f>SUM(CA48:CA65)+'ОБЪЕКТЫ'!CA104</x:f>
        <x:v>0</x:v>
      </x:c>
      <x:c r="CB66" s="120" t="n">
        <x:f>SUM(CB48:CB65)+'ОБЪЕКТЫ'!CB104</x:f>
        <x:v>0</x:v>
      </x:c>
      <x:c r="CC66" s="120" t="n">
        <x:f>SUM(CC48:CC65)+'ОБЪЕКТЫ'!CC104</x:f>
        <x:v>0</x:v>
      </x:c>
      <x:c r="CD66" s="120" t="n">
        <x:f>SUM(CD48:CD65)+'ОБЪЕКТЫ'!CD104</x:f>
        <x:v>0</x:v>
      </x:c>
      <x:c r="CE66" s="120" t="n">
        <x:f>SUM(CE48:CE65)+'ОБЪЕКТЫ'!CE104</x:f>
        <x:v>0</x:v>
      </x:c>
      <x:c r="CF66" s="120" t="n">
        <x:f>SUM(CF48:CF65)+'ОБЪЕКТЫ'!CF104</x:f>
        <x:v>0</x:v>
      </x:c>
      <x:c r="CG66" s="120" t="n">
        <x:f>SUM(CG48:CG65)+'ОБЪЕКТЫ'!CG104</x:f>
        <x:v>0</x:v>
      </x:c>
      <x:c r="CH66" s="120" t="n">
        <x:f>SUM(CH48:CH65)+'ОБЪЕКТЫ'!CH104</x:f>
        <x:v>0</x:v>
      </x:c>
      <x:c r="CI66" s="120" t="n">
        <x:f>SUM(CI48:CI65)+'ОБЪЕКТЫ'!CI104</x:f>
        <x:v>0</x:v>
      </x:c>
      <x:c r="CJ66" s="120" t="n">
        <x:f>SUM(CJ48:CJ65)+'ОБЪЕКТЫ'!CJ104</x:f>
        <x:v>0</x:v>
      </x:c>
      <x:c r="CK66" s="120" t="n">
        <x:f>SUM(CK48:CK65)+'ОБЪЕКТЫ'!CK104</x:f>
        <x:v>0</x:v>
      </x:c>
      <x:c r="CL66" s="120" t="n">
        <x:f>SUM(CL48:CL65)+'ОБЪЕКТЫ'!CL104</x:f>
        <x:v>0</x:v>
      </x:c>
      <x:c r="CM66" s="120" t="n">
        <x:f>SUM(CM48:CM65)+'ОБЪЕКТЫ'!CM104</x:f>
        <x:v>0</x:v>
      </x:c>
      <x:c r="CN66" s="120" t="n">
        <x:f>SUM(CN48:CN65)+'ОБЪЕКТЫ'!CN104</x:f>
        <x:v>0</x:v>
      </x:c>
      <x:c r="CO66" s="120" t="n">
        <x:f>SUM(CO48:CO65)+'ОБЪЕКТЫ'!CO104</x:f>
        <x:v>0</x:v>
      </x:c>
      <x:c r="CP66" s="120" t="n">
        <x:f>SUM(CP48:CP65)+'ОБЪЕКТЫ'!CP104</x:f>
        <x:v>0</x:v>
      </x:c>
      <x:c r="CQ66" s="120" t="n">
        <x:f>SUM(CQ48:CQ65)+'ОБЪЕКТЫ'!CQ104</x:f>
        <x:v>0</x:v>
      </x:c>
      <x:c r="CR66" s="120" t="n">
        <x:f>SUM(CR48:CR65)+'ОБЪЕКТЫ'!CR104</x:f>
        <x:v>0</x:v>
      </x:c>
      <x:c r="CS66" s="120" t="n">
        <x:f>SUM(CS48:CS65)+'ОБЪЕКТЫ'!CS104</x:f>
        <x:v>0</x:v>
      </x:c>
      <x:c r="CT66" s="120" t="n">
        <x:f>SUM(CT48:CT65)+'ОБЪЕКТЫ'!CT104</x:f>
        <x:v>0</x:v>
      </x:c>
      <x:c r="CU66" s="120" t="n">
        <x:f>SUM(CU48:CU65)+'ОБЪЕКТЫ'!CU104</x:f>
        <x:v>0</x:v>
      </x:c>
      <x:c r="CV66" s="120" t="n">
        <x:f>SUM(CV48:CV65)+'ОБЪЕКТЫ'!CV104</x:f>
        <x:v>0</x:v>
      </x:c>
      <x:c r="CW66" s="120" t="n">
        <x:f>SUM(CW48:CW65)+'ОБЪЕКТЫ'!CW104</x:f>
        <x:v>0</x:v>
      </x:c>
      <x:c r="CX66" s="120" t="n">
        <x:f>SUM(CX48:CX65)+'ОБЪЕКТЫ'!CX104</x:f>
        <x:v>0</x:v>
      </x:c>
      <x:c r="CY66" s="120" t="n">
        <x:f>SUM(CY48:CY65)+'ОБЪЕКТЫ'!CY104</x:f>
        <x:v>0</x:v>
      </x:c>
      <x:c r="CZ66" s="120" t="n">
        <x:f>SUM(CZ48:CZ65)+'ОБЪЕКТЫ'!CZ104</x:f>
        <x:v>0</x:v>
      </x:c>
      <x:c r="DA66" s="120" t="n">
        <x:f>SUM(DA48:DA65)+'ОБЪЕКТЫ'!DA104</x:f>
        <x:v>0</x:v>
      </x:c>
      <x:c r="DB66" s="120" t="n">
        <x:f>SUM(DB48:DB65)+'ОБЪЕКТЫ'!DB104</x:f>
        <x:v>0</x:v>
      </x:c>
      <x:c r="DC66" s="120" t="n">
        <x:f>SUM(DC48:DC65)+'ОБЪЕКТЫ'!DC104</x:f>
        <x:v>0</x:v>
      </x:c>
      <x:c r="DD66" s="120" t="n">
        <x:f>SUM(DD48:DD65)+'ОБЪЕКТЫ'!DD104</x:f>
        <x:v>0</x:v>
      </x:c>
      <x:c r="DE66" s="120" t="n">
        <x:f>SUM(DE48:DE65)+'ОБЪЕКТЫ'!DE104</x:f>
        <x:v>0</x:v>
      </x:c>
      <x:c r="DF66" s="120" t="n">
        <x:f>SUM(DF48:DF65)+'ОБЪЕКТЫ'!DF104</x:f>
        <x:v>0</x:v>
      </x:c>
      <x:c r="DG66" s="120" t="n">
        <x:f>SUM(DG48:DG65)+'ОБЪЕКТЫ'!DG104</x:f>
        <x:v>0</x:v>
      </x:c>
      <x:c r="DH66" s="120" t="n">
        <x:f>SUM(DH48:DH65)+'ОБЪЕКТЫ'!DH104</x:f>
        <x:v>0</x:v>
      </x:c>
      <x:c r="DI66" s="120" t="n">
        <x:f>SUM(DI48:DI65)+'ОБЪЕКТЫ'!DI104</x:f>
        <x:v>0</x:v>
      </x:c>
      <x:c r="DJ66" s="120" t="n">
        <x:f>SUM(DJ48:DJ65)+'ОБЪЕКТЫ'!DJ104</x:f>
        <x:v>0</x:v>
      </x:c>
      <x:c r="DK66" s="120" t="n">
        <x:f>SUM(DK48:DK65)+'ОБЪЕКТЫ'!DK104</x:f>
        <x:v>0</x:v>
      </x:c>
      <x:c r="DL66" s="120" t="n">
        <x:f>SUM(DL48:DL65)+'ОБЪЕКТЫ'!DL104</x:f>
        <x:v>0</x:v>
      </x:c>
      <x:c r="DM66" s="120" t="n">
        <x:f>SUM(DM48:DM65)+'ОБЪЕКТЫ'!DM104</x:f>
        <x:v>0</x:v>
      </x:c>
      <x:c r="DN66" s="120" t="n">
        <x:f>SUM(DN48:DN65)+'ОБЪЕКТЫ'!DN104</x:f>
        <x:v>0</x:v>
      </x:c>
      <x:c r="DO66" s="120" t="n">
        <x:f>SUM(DO48:DO65)+'ОБЪЕКТЫ'!DO104</x:f>
        <x:v>0</x:v>
      </x:c>
      <x:c r="DP66" s="120" t="n">
        <x:f>SUM(DP48:DP65)+'ОБЪЕКТЫ'!DP104</x:f>
        <x:v>0</x:v>
      </x:c>
      <x:c r="DQ66" s="120" t="n">
        <x:f>SUM(DQ48:DQ65)+'ОБЪЕКТЫ'!DQ104</x:f>
        <x:v>0</x:v>
      </x:c>
      <x:c r="DR66" s="120" t="n">
        <x:f>SUM(DR48:DR65)+'ОБЪЕКТЫ'!DR104</x:f>
        <x:v>0</x:v>
      </x:c>
      <x:c r="DS66" s="120" t="n">
        <x:f>SUM(DS48:DS65)+'ОБЪЕКТЫ'!DS104</x:f>
        <x:v>0</x:v>
      </x:c>
    </x:row>
    <x:row r="67">
      <x:c r="A67" t="str">
        <x:v>Маркетинг</x:v>
      </x:c>
      <x:c r="B67" s="107" t="n">
        <x:f>SUM(D67:DS67)</x:f>
        <x:v>0</x:v>
      </x:c>
      <x:c r="C67" t="str">
        <x:v>млн ₽</x:v>
      </x:c>
      <x:c r="D67" s="117" t="n">
        <x:f>'Продажи'!D49*'Вводные'!$B$19+'ОБЪЕКТЫ'!D105</x:f>
        <x:v>0</x:v>
      </x:c>
      <x:c r="E67" s="117" t="n">
        <x:f>'Продажи'!E49*'Вводные'!$B$19+'ОБЪЕКТЫ'!E105</x:f>
        <x:v>0</x:v>
      </x:c>
      <x:c r="F67" s="117" t="n">
        <x:f>'Продажи'!F49*'Вводные'!$B$19+'ОБЪЕКТЫ'!F105</x:f>
        <x:v>0</x:v>
      </x:c>
      <x:c r="G67" s="117" t="n">
        <x:f>'Продажи'!G49*'Вводные'!$B$19+'ОБЪЕКТЫ'!G105</x:f>
        <x:v>0</x:v>
      </x:c>
      <x:c r="H67" s="117" t="n">
        <x:f>'Продажи'!H49*'Вводные'!$B$19+'ОБЪЕКТЫ'!H105</x:f>
        <x:v>0</x:v>
      </x:c>
      <x:c r="I67" s="117" t="n">
        <x:f>'Продажи'!I49*'Вводные'!$B$19+'ОБЪЕКТЫ'!I105</x:f>
        <x:v>0</x:v>
      </x:c>
      <x:c r="J67" s="117" t="n">
        <x:f>'Продажи'!J49*'Вводные'!$B$19+'ОБЪЕКТЫ'!J105</x:f>
        <x:v>0</x:v>
      </x:c>
      <x:c r="K67" s="117" t="n">
        <x:f>'Продажи'!K49*'Вводные'!$B$19+'ОБЪЕКТЫ'!K105</x:f>
        <x:v>0</x:v>
      </x:c>
      <x:c r="L67" s="117" t="n">
        <x:f>'Продажи'!L49*'Вводные'!$B$19+'ОБЪЕКТЫ'!L105</x:f>
        <x:v>0</x:v>
      </x:c>
      <x:c r="M67" s="117" t="n">
        <x:f>'Продажи'!M49*'Вводные'!$B$19+'ОБЪЕКТЫ'!M105</x:f>
        <x:v>0</x:v>
      </x:c>
      <x:c r="N67" s="117" t="n">
        <x:f>'Продажи'!N49*'Вводные'!$B$19+'ОБЪЕКТЫ'!N105</x:f>
        <x:v>0</x:v>
      </x:c>
      <x:c r="O67" s="117" t="n">
        <x:f>'Продажи'!O49*'Вводные'!$B$19+'ОБЪЕКТЫ'!O105</x:f>
        <x:v>0</x:v>
      </x:c>
      <x:c r="P67" s="117" t="n">
        <x:f>'Продажи'!P49*'Вводные'!$B$19+'ОБЪЕКТЫ'!P105</x:f>
        <x:v>0</x:v>
      </x:c>
      <x:c r="Q67" s="117" t="n">
        <x:f>'Продажи'!Q49*'Вводные'!$B$19+'ОБЪЕКТЫ'!Q105</x:f>
        <x:v>0</x:v>
      </x:c>
      <x:c r="R67" s="117" t="n">
        <x:f>'Продажи'!R49*'Вводные'!$B$19+'ОБЪЕКТЫ'!R105</x:f>
        <x:v>0</x:v>
      </x:c>
      <x:c r="S67" s="117" t="n">
        <x:f>'Продажи'!S49*'Вводные'!$B$19+'ОБЪЕКТЫ'!S105</x:f>
        <x:v>0</x:v>
      </x:c>
      <x:c r="T67" s="117" t="n">
        <x:f>'Продажи'!T49*'Вводные'!$B$19+'ОБЪЕКТЫ'!T105</x:f>
        <x:v>0</x:v>
      </x:c>
      <x:c r="U67" s="117" t="n">
        <x:f>'Продажи'!U49*'Вводные'!$B$19+'ОБЪЕКТЫ'!U105</x:f>
        <x:v>0</x:v>
      </x:c>
      <x:c r="V67" s="117" t="n">
        <x:f>'Продажи'!V49*'Вводные'!$B$19+'ОБЪЕКТЫ'!V105</x:f>
        <x:v>0</x:v>
      </x:c>
      <x:c r="W67" s="117" t="n">
        <x:f>'Продажи'!W49*'Вводные'!$B$19+'ОБЪЕКТЫ'!W105</x:f>
        <x:v>0</x:v>
      </x:c>
      <x:c r="X67" s="117" t="n">
        <x:f>'Продажи'!X49*'Вводные'!$B$19+'ОБЪЕКТЫ'!X105</x:f>
        <x:v>0</x:v>
      </x:c>
      <x:c r="Y67" s="117" t="n">
        <x:f>'Продажи'!Y49*'Вводные'!$B$19+'ОБЪЕКТЫ'!Y105</x:f>
        <x:v>0</x:v>
      </x:c>
      <x:c r="Z67" s="117" t="n">
        <x:f>'Продажи'!Z49*'Вводные'!$B$19+'ОБЪЕКТЫ'!Z105</x:f>
        <x:v>0</x:v>
      </x:c>
      <x:c r="AA67" s="117" t="n">
        <x:f>'Продажи'!AA49*'Вводные'!$B$19+'ОБЪЕКТЫ'!AA105</x:f>
        <x:v>0</x:v>
      </x:c>
      <x:c r="AB67" s="117" t="n">
        <x:f>'Продажи'!AB49*'Вводные'!$B$19+'ОБЪЕКТЫ'!AB105</x:f>
        <x:v>0</x:v>
      </x:c>
      <x:c r="AC67" s="117" t="n">
        <x:f>'Продажи'!AC49*'Вводные'!$B$19+'ОБЪЕКТЫ'!AC105</x:f>
        <x:v>0</x:v>
      </x:c>
      <x:c r="AD67" s="117" t="n">
        <x:f>'Продажи'!AD49*'Вводные'!$B$19+'ОБЪЕКТЫ'!AD105</x:f>
        <x:v>0</x:v>
      </x:c>
      <x:c r="AE67" s="117" t="n">
        <x:f>'Продажи'!AE49*'Вводные'!$B$19+'ОБЪЕКТЫ'!AE105</x:f>
        <x:v>0</x:v>
      </x:c>
      <x:c r="AF67" s="117" t="n">
        <x:f>'Продажи'!AF49*'Вводные'!$B$19+'ОБЪЕКТЫ'!AF105</x:f>
        <x:v>0</x:v>
      </x:c>
      <x:c r="AG67" s="117" t="n">
        <x:f>'Продажи'!AG49*'Вводные'!$B$19+'ОБЪЕКТЫ'!AG105</x:f>
        <x:v>0</x:v>
      </x:c>
      <x:c r="AH67" s="117" t="n">
        <x:f>'Продажи'!AH49*'Вводные'!$B$19+'ОБЪЕКТЫ'!AH105</x:f>
        <x:v>0</x:v>
      </x:c>
      <x:c r="AI67" s="117" t="n">
        <x:f>'Продажи'!AI49*'Вводные'!$B$19+'ОБЪЕКТЫ'!AI105</x:f>
        <x:v>0</x:v>
      </x:c>
      <x:c r="AJ67" s="117" t="n">
        <x:f>'Продажи'!AJ49*'Вводные'!$B$19+'ОБЪЕКТЫ'!AJ105</x:f>
        <x:v>0</x:v>
      </x:c>
      <x:c r="AK67" s="117" t="n">
        <x:f>'Продажи'!AK49*'Вводные'!$B$19+'ОБЪЕКТЫ'!AK105</x:f>
        <x:v>0</x:v>
      </x:c>
      <x:c r="AL67" s="117" t="n">
        <x:f>'Продажи'!AL49*'Вводные'!$B$19+'ОБЪЕКТЫ'!AL105</x:f>
        <x:v>0</x:v>
      </x:c>
      <x:c r="AM67" s="117" t="n">
        <x:f>'Продажи'!AM49*'Вводные'!$B$19+'ОБЪЕКТЫ'!AM105</x:f>
        <x:v>0</x:v>
      </x:c>
      <x:c r="AN67" s="117" t="n">
        <x:f>'Продажи'!AN49*'Вводные'!$B$19+'ОБЪЕКТЫ'!AN105</x:f>
        <x:v>0</x:v>
      </x:c>
      <x:c r="AO67" s="117" t="n">
        <x:f>'Продажи'!AO49*'Вводные'!$B$19+'ОБЪЕКТЫ'!AO105</x:f>
        <x:v>0</x:v>
      </x:c>
      <x:c r="AP67" s="117" t="n">
        <x:f>'Продажи'!AP49*'Вводные'!$B$19+'ОБЪЕКТЫ'!AP105</x:f>
        <x:v>0</x:v>
      </x:c>
      <x:c r="AQ67" s="117" t="n">
        <x:f>'Продажи'!AQ49*'Вводные'!$B$19+'ОБЪЕКТЫ'!AQ105</x:f>
        <x:v>0</x:v>
      </x:c>
      <x:c r="AR67" s="117" t="n">
        <x:f>'Продажи'!AR49*'Вводные'!$B$19+'ОБЪЕКТЫ'!AR105</x:f>
        <x:v>0</x:v>
      </x:c>
      <x:c r="AS67" s="117" t="n">
        <x:f>'Продажи'!AS49*'Вводные'!$B$19+'ОБЪЕКТЫ'!AS105</x:f>
        <x:v>0</x:v>
      </x:c>
      <x:c r="AT67" s="117" t="n">
        <x:f>'Продажи'!AT49*'Вводные'!$B$19+'ОБЪЕКТЫ'!AT105</x:f>
        <x:v>0</x:v>
      </x:c>
      <x:c r="AU67" s="117" t="n">
        <x:f>'Продажи'!AU49*'Вводные'!$B$19+'ОБЪЕКТЫ'!AU105</x:f>
        <x:v>0</x:v>
      </x:c>
      <x:c r="AV67" s="117" t="n">
        <x:f>'Продажи'!AV49*'Вводные'!$B$19+'ОБЪЕКТЫ'!AV105</x:f>
        <x:v>0</x:v>
      </x:c>
      <x:c r="AW67" s="117" t="n">
        <x:f>'Продажи'!AW49*'Вводные'!$B$19+'ОБЪЕКТЫ'!AW105</x:f>
        <x:v>0</x:v>
      </x:c>
      <x:c r="AX67" s="117" t="n">
        <x:f>'Продажи'!AX49*'Вводные'!$B$19+'ОБЪЕКТЫ'!AX105</x:f>
        <x:v>0</x:v>
      </x:c>
      <x:c r="AY67" s="117" t="n">
        <x:f>'Продажи'!AY49*'Вводные'!$B$19+'ОБЪЕКТЫ'!AY105</x:f>
        <x:v>0</x:v>
      </x:c>
      <x:c r="AZ67" s="117" t="n">
        <x:f>'Продажи'!AZ49*'Вводные'!$B$19+'ОБЪЕКТЫ'!AZ105</x:f>
        <x:v>0</x:v>
      </x:c>
      <x:c r="BA67" s="117" t="n">
        <x:f>'Продажи'!BA49*'Вводные'!$B$19+'ОБЪЕКТЫ'!BA105</x:f>
        <x:v>0</x:v>
      </x:c>
      <x:c r="BB67" s="117" t="n">
        <x:f>'Продажи'!BB49*'Вводные'!$B$19+'ОБЪЕКТЫ'!BB105</x:f>
        <x:v>0</x:v>
      </x:c>
      <x:c r="BC67" s="117" t="n">
        <x:f>'Продажи'!BC49*'Вводные'!$B$19+'ОБЪЕКТЫ'!BC105</x:f>
        <x:v>0</x:v>
      </x:c>
      <x:c r="BD67" s="117" t="n">
        <x:f>'Продажи'!BD49*'Вводные'!$B$19+'ОБЪЕКТЫ'!BD105</x:f>
        <x:v>0</x:v>
      </x:c>
      <x:c r="BE67" s="117" t="n">
        <x:f>'Продажи'!BE49*'Вводные'!$B$19+'ОБЪЕКТЫ'!BE105</x:f>
        <x:v>0</x:v>
      </x:c>
      <x:c r="BF67" s="117" t="n">
        <x:f>'Продажи'!BF49*'Вводные'!$B$19+'ОБЪЕКТЫ'!BF105</x:f>
        <x:v>0</x:v>
      </x:c>
      <x:c r="BG67" s="117" t="n">
        <x:f>'Продажи'!BG49*'Вводные'!$B$19+'ОБЪЕКТЫ'!BG105</x:f>
        <x:v>0</x:v>
      </x:c>
      <x:c r="BH67" s="117" t="n">
        <x:f>'Продажи'!BH49*'Вводные'!$B$19+'ОБЪЕКТЫ'!BH105</x:f>
        <x:v>0</x:v>
      </x:c>
      <x:c r="BI67" s="117" t="n">
        <x:f>'Продажи'!BI49*'Вводные'!$B$19+'ОБЪЕКТЫ'!BI105</x:f>
        <x:v>0</x:v>
      </x:c>
      <x:c r="BJ67" s="117" t="n">
        <x:f>'Продажи'!BJ49*'Вводные'!$B$19+'ОБЪЕКТЫ'!BJ105</x:f>
        <x:v>0</x:v>
      </x:c>
      <x:c r="BK67" s="117" t="n">
        <x:f>'Продажи'!BK49*'Вводные'!$B$19+'ОБЪЕКТЫ'!BK105</x:f>
        <x:v>0</x:v>
      </x:c>
      <x:c r="BL67" s="117" t="n">
        <x:f>'Продажи'!BL49*'Вводные'!$B$19+'ОБЪЕКТЫ'!BL105</x:f>
        <x:v>0</x:v>
      </x:c>
      <x:c r="BM67" s="117" t="n">
        <x:f>'Продажи'!BM49*'Вводные'!$B$19+'ОБЪЕКТЫ'!BM105</x:f>
        <x:v>0</x:v>
      </x:c>
      <x:c r="BN67" s="117" t="n">
        <x:f>'Продажи'!BN49*'Вводные'!$B$19+'ОБЪЕКТЫ'!BN105</x:f>
        <x:v>0</x:v>
      </x:c>
      <x:c r="BO67" s="117" t="n">
        <x:f>'Продажи'!BO49*'Вводные'!$B$19+'ОБЪЕКТЫ'!BO105</x:f>
        <x:v>0</x:v>
      </x:c>
      <x:c r="BP67" s="117" t="n">
        <x:f>'Продажи'!BP49*'Вводные'!$B$19+'ОБЪЕКТЫ'!BP105</x:f>
        <x:v>0</x:v>
      </x:c>
      <x:c r="BQ67" s="117" t="n">
        <x:f>'Продажи'!BQ49*'Вводные'!$B$19+'ОБЪЕКТЫ'!BQ105</x:f>
        <x:v>0</x:v>
      </x:c>
      <x:c r="BR67" s="117" t="n">
        <x:f>'Продажи'!BR49*'Вводные'!$B$19+'ОБЪЕКТЫ'!BR105</x:f>
        <x:v>0</x:v>
      </x:c>
      <x:c r="BS67" s="117" t="n">
        <x:f>'Продажи'!BS49*'Вводные'!$B$19+'ОБЪЕКТЫ'!BS105</x:f>
        <x:v>0</x:v>
      </x:c>
      <x:c r="BT67" s="117" t="n">
        <x:f>'Продажи'!BT49*'Вводные'!$B$19+'ОБЪЕКТЫ'!BT105</x:f>
        <x:v>0</x:v>
      </x:c>
      <x:c r="BU67" s="117" t="n">
        <x:f>'Продажи'!BU49*'Вводные'!$B$19+'ОБЪЕКТЫ'!BU105</x:f>
        <x:v>0</x:v>
      </x:c>
      <x:c r="BV67" s="117" t="n">
        <x:f>'Продажи'!BV49*'Вводные'!$B$19+'ОБЪЕКТЫ'!BV105</x:f>
        <x:v>0</x:v>
      </x:c>
      <x:c r="BW67" s="117" t="n">
        <x:f>'Продажи'!BW49*'Вводные'!$B$19+'ОБЪЕКТЫ'!BW105</x:f>
        <x:v>0</x:v>
      </x:c>
      <x:c r="BX67" s="117" t="n">
        <x:f>'Продажи'!BX49*'Вводные'!$B$19+'ОБЪЕКТЫ'!BX105</x:f>
        <x:v>0</x:v>
      </x:c>
      <x:c r="BY67" s="117" t="n">
        <x:f>'Продажи'!BY49*'Вводные'!$B$19+'ОБЪЕКТЫ'!BY105</x:f>
        <x:v>0</x:v>
      </x:c>
      <x:c r="BZ67" s="117" t="n">
        <x:f>'Продажи'!BZ49*'Вводные'!$B$19+'ОБЪЕКТЫ'!BZ105</x:f>
        <x:v>0</x:v>
      </x:c>
      <x:c r="CA67" s="117" t="n">
        <x:f>'Продажи'!CA49*'Вводные'!$B$19+'ОБЪЕКТЫ'!CA105</x:f>
        <x:v>0</x:v>
      </x:c>
      <x:c r="CB67" s="117" t="n">
        <x:f>'Продажи'!CB49*'Вводные'!$B$19+'ОБЪЕКТЫ'!CB105</x:f>
        <x:v>0</x:v>
      </x:c>
      <x:c r="CC67" s="117" t="n">
        <x:f>'Продажи'!CC49*'Вводные'!$B$19+'ОБЪЕКТЫ'!CC105</x:f>
        <x:v>0</x:v>
      </x:c>
      <x:c r="CD67" s="117" t="n">
        <x:f>'Продажи'!CD49*'Вводные'!$B$19+'ОБЪЕКТЫ'!CD105</x:f>
        <x:v>0</x:v>
      </x:c>
      <x:c r="CE67" s="117" t="n">
        <x:f>'Продажи'!CE49*'Вводные'!$B$19+'ОБЪЕКТЫ'!CE105</x:f>
        <x:v>0</x:v>
      </x:c>
      <x:c r="CF67" s="117" t="n">
        <x:f>'Продажи'!CF49*'Вводные'!$B$19+'ОБЪЕКТЫ'!CF105</x:f>
        <x:v>0</x:v>
      </x:c>
      <x:c r="CG67" s="117" t="n">
        <x:f>'Продажи'!CG49*'Вводные'!$B$19+'ОБЪЕКТЫ'!CG105</x:f>
        <x:v>0</x:v>
      </x:c>
      <x:c r="CH67" s="117" t="n">
        <x:f>'Продажи'!CH49*'Вводные'!$B$19+'ОБЪЕКТЫ'!CH105</x:f>
        <x:v>0</x:v>
      </x:c>
      <x:c r="CI67" s="117" t="n">
        <x:f>'Продажи'!CI49*'Вводные'!$B$19+'ОБЪЕКТЫ'!CI105</x:f>
        <x:v>0</x:v>
      </x:c>
      <x:c r="CJ67" s="117" t="n">
        <x:f>'Продажи'!CJ49*'Вводные'!$B$19+'ОБЪЕКТЫ'!CJ105</x:f>
        <x:v>0</x:v>
      </x:c>
      <x:c r="CK67" s="117" t="n">
        <x:f>'Продажи'!CK49*'Вводные'!$B$19+'ОБЪЕКТЫ'!CK105</x:f>
        <x:v>0</x:v>
      </x:c>
      <x:c r="CL67" s="117" t="n">
        <x:f>'Продажи'!CL49*'Вводные'!$B$19+'ОБЪЕКТЫ'!CL105</x:f>
        <x:v>0</x:v>
      </x:c>
      <x:c r="CM67" s="117" t="n">
        <x:f>'Продажи'!CM49*'Вводные'!$B$19+'ОБЪЕКТЫ'!CM105</x:f>
        <x:v>0</x:v>
      </x:c>
      <x:c r="CN67" s="117" t="n">
        <x:f>'Продажи'!CN49*'Вводные'!$B$19+'ОБЪЕКТЫ'!CN105</x:f>
        <x:v>0</x:v>
      </x:c>
      <x:c r="CO67" s="117" t="n">
        <x:f>'Продажи'!CO49*'Вводные'!$B$19+'ОБЪЕКТЫ'!CO105</x:f>
        <x:v>0</x:v>
      </x:c>
      <x:c r="CP67" s="117" t="n">
        <x:f>'Продажи'!CP49*'Вводные'!$B$19+'ОБЪЕКТЫ'!CP105</x:f>
        <x:v>0</x:v>
      </x:c>
      <x:c r="CQ67" s="117" t="n">
        <x:f>'Продажи'!CQ49*'Вводные'!$B$19+'ОБЪЕКТЫ'!CQ105</x:f>
        <x:v>0</x:v>
      </x:c>
      <x:c r="CR67" s="117" t="n">
        <x:f>'Продажи'!CR49*'Вводные'!$B$19+'ОБЪЕКТЫ'!CR105</x:f>
        <x:v>0</x:v>
      </x:c>
      <x:c r="CS67" s="117" t="n">
        <x:f>'Продажи'!CS49*'Вводные'!$B$19+'ОБЪЕКТЫ'!CS105</x:f>
        <x:v>0</x:v>
      </x:c>
      <x:c r="CT67" s="117" t="n">
        <x:f>'Продажи'!CT49*'Вводные'!$B$19+'ОБЪЕКТЫ'!CT105</x:f>
        <x:v>0</x:v>
      </x:c>
      <x:c r="CU67" s="117" t="n">
        <x:f>'Продажи'!CU49*'Вводные'!$B$19+'ОБЪЕКТЫ'!CU105</x:f>
        <x:v>0</x:v>
      </x:c>
      <x:c r="CV67" s="117" t="n">
        <x:f>'Продажи'!CV49*'Вводные'!$B$19+'ОБЪЕКТЫ'!CV105</x:f>
        <x:v>0</x:v>
      </x:c>
      <x:c r="CW67" s="117" t="n">
        <x:f>'Продажи'!CW49*'Вводные'!$B$19+'ОБЪЕКТЫ'!CW105</x:f>
        <x:v>0</x:v>
      </x:c>
      <x:c r="CX67" s="117" t="n">
        <x:f>'Продажи'!CX49*'Вводные'!$B$19+'ОБЪЕКТЫ'!CX105</x:f>
        <x:v>0</x:v>
      </x:c>
      <x:c r="CY67" s="117" t="n">
        <x:f>'Продажи'!CY49*'Вводные'!$B$19+'ОБЪЕКТЫ'!CY105</x:f>
        <x:v>0</x:v>
      </x:c>
      <x:c r="CZ67" s="117" t="n">
        <x:f>'Продажи'!CZ49*'Вводные'!$B$19+'ОБЪЕКТЫ'!CZ105</x:f>
        <x:v>0</x:v>
      </x:c>
      <x:c r="DA67" s="117" t="n">
        <x:f>'Продажи'!DA49*'Вводные'!$B$19+'ОБЪЕКТЫ'!DA105</x:f>
        <x:v>0</x:v>
      </x:c>
      <x:c r="DB67" s="117" t="n">
        <x:f>'Продажи'!DB49*'Вводные'!$B$19+'ОБЪЕКТЫ'!DB105</x:f>
        <x:v>0</x:v>
      </x:c>
      <x:c r="DC67" s="117" t="n">
        <x:f>'Продажи'!DC49*'Вводные'!$B$19+'ОБЪЕКТЫ'!DC105</x:f>
        <x:v>0</x:v>
      </x:c>
      <x:c r="DD67" s="117" t="n">
        <x:f>'Продажи'!DD49*'Вводные'!$B$19+'ОБЪЕКТЫ'!DD105</x:f>
        <x:v>0</x:v>
      </x:c>
      <x:c r="DE67" s="117" t="n">
        <x:f>'Продажи'!DE49*'Вводные'!$B$19+'ОБЪЕКТЫ'!DE105</x:f>
        <x:v>0</x:v>
      </x:c>
      <x:c r="DF67" s="117" t="n">
        <x:f>'Продажи'!DF49*'Вводные'!$B$19+'ОБЪЕКТЫ'!DF105</x:f>
        <x:v>0</x:v>
      </x:c>
      <x:c r="DG67" s="117" t="n">
        <x:f>'Продажи'!DG49*'Вводные'!$B$19+'ОБЪЕКТЫ'!DG105</x:f>
        <x:v>0</x:v>
      </x:c>
      <x:c r="DH67" s="117" t="n">
        <x:f>'Продажи'!DH49*'Вводные'!$B$19+'ОБЪЕКТЫ'!DH105</x:f>
        <x:v>0</x:v>
      </x:c>
      <x:c r="DI67" s="117" t="n">
        <x:f>'Продажи'!DI49*'Вводные'!$B$19+'ОБЪЕКТЫ'!DI105</x:f>
        <x:v>0</x:v>
      </x:c>
      <x:c r="DJ67" s="117" t="n">
        <x:f>'Продажи'!DJ49*'Вводные'!$B$19+'ОБЪЕКТЫ'!DJ105</x:f>
        <x:v>0</x:v>
      </x:c>
      <x:c r="DK67" s="117" t="n">
        <x:f>'Продажи'!DK49*'Вводные'!$B$19+'ОБЪЕКТЫ'!DK105</x:f>
        <x:v>0</x:v>
      </x:c>
      <x:c r="DL67" s="117" t="n">
        <x:f>'Продажи'!DL49*'Вводные'!$B$19+'ОБЪЕКТЫ'!DL105</x:f>
        <x:v>0</x:v>
      </x:c>
      <x:c r="DM67" s="117" t="n">
        <x:f>'Продажи'!DM49*'Вводные'!$B$19+'ОБЪЕКТЫ'!DM105</x:f>
        <x:v>0</x:v>
      </x:c>
      <x:c r="DN67" s="117" t="n">
        <x:f>'Продажи'!DN49*'Вводные'!$B$19+'ОБЪЕКТЫ'!DN105</x:f>
        <x:v>0</x:v>
      </x:c>
      <x:c r="DO67" s="117" t="n">
        <x:f>'Продажи'!DO49*'Вводные'!$B$19+'ОБЪЕКТЫ'!DO105</x:f>
        <x:v>0</x:v>
      </x:c>
      <x:c r="DP67" s="117" t="n">
        <x:f>'Продажи'!DP49*'Вводные'!$B$19+'ОБЪЕКТЫ'!DP105</x:f>
        <x:v>0</x:v>
      </x:c>
      <x:c r="DQ67" s="117" t="n">
        <x:f>'Продажи'!DQ49*'Вводные'!$B$19+'ОБЪЕКТЫ'!DQ105</x:f>
        <x:v>0</x:v>
      </x:c>
      <x:c r="DR67" s="117" t="n">
        <x:f>'Продажи'!DR49*'Вводные'!$B$19+'ОБЪЕКТЫ'!DR105</x:f>
        <x:v>0</x:v>
      </x:c>
      <x:c r="DS67" s="117" t="n">
        <x:f>'Продажи'!DS49*'Вводные'!$B$19+'ОБЪЕКТЫ'!DS105</x:f>
        <x:v>0</x:v>
      </x:c>
    </x:row>
    <x:row r="68">
      <x:c r="A68" t="str">
        <x:v>Расходы на продажи</x:v>
      </x:c>
      <x:c r="B68" s="107" t="n">
        <x:f>SUM(D68:DS68)</x:f>
        <x:v>0</x:v>
      </x:c>
      <x:c r="C68" t="str">
        <x:v>млн ₽</x:v>
      </x:c>
      <x:c r="D68" s="117" t="n">
        <x:f>'Продажи'!D49*'Вводные'!$B$20+'ОБЪЕКТЫ'!D106</x:f>
        <x:v>0</x:v>
      </x:c>
      <x:c r="E68" s="117" t="n">
        <x:f>'Продажи'!E49*'Вводные'!$B$20+'ОБЪЕКТЫ'!E106</x:f>
        <x:v>0</x:v>
      </x:c>
      <x:c r="F68" s="117" t="n">
        <x:f>'Продажи'!F49*'Вводные'!$B$20+'ОБЪЕКТЫ'!F106</x:f>
        <x:v>0</x:v>
      </x:c>
      <x:c r="G68" s="117" t="n">
        <x:f>'Продажи'!G49*'Вводные'!$B$20+'ОБЪЕКТЫ'!G106</x:f>
        <x:v>0</x:v>
      </x:c>
      <x:c r="H68" s="117" t="n">
        <x:f>'Продажи'!H49*'Вводные'!$B$20+'ОБЪЕКТЫ'!H106</x:f>
        <x:v>0</x:v>
      </x:c>
      <x:c r="I68" s="117" t="n">
        <x:f>'Продажи'!I49*'Вводные'!$B$20+'ОБЪЕКТЫ'!I106</x:f>
        <x:v>0</x:v>
      </x:c>
      <x:c r="J68" s="117" t="n">
        <x:f>'Продажи'!J49*'Вводные'!$B$20+'ОБЪЕКТЫ'!J106</x:f>
        <x:v>0</x:v>
      </x:c>
      <x:c r="K68" s="117" t="n">
        <x:f>'Продажи'!K49*'Вводные'!$B$20+'ОБЪЕКТЫ'!K106</x:f>
        <x:v>0</x:v>
      </x:c>
      <x:c r="L68" s="117" t="n">
        <x:f>'Продажи'!L49*'Вводные'!$B$20+'ОБЪЕКТЫ'!L106</x:f>
        <x:v>0</x:v>
      </x:c>
      <x:c r="M68" s="117" t="n">
        <x:f>'Продажи'!M49*'Вводные'!$B$20+'ОБЪЕКТЫ'!M106</x:f>
        <x:v>0</x:v>
      </x:c>
      <x:c r="N68" s="117" t="n">
        <x:f>'Продажи'!N49*'Вводные'!$B$20+'ОБЪЕКТЫ'!N106</x:f>
        <x:v>0</x:v>
      </x:c>
      <x:c r="O68" s="117" t="n">
        <x:f>'Продажи'!O49*'Вводные'!$B$20+'ОБЪЕКТЫ'!O106</x:f>
        <x:v>0</x:v>
      </x:c>
      <x:c r="P68" s="117" t="n">
        <x:f>'Продажи'!P49*'Вводные'!$B$20+'ОБЪЕКТЫ'!P106</x:f>
        <x:v>0</x:v>
      </x:c>
      <x:c r="Q68" s="117" t="n">
        <x:f>'Продажи'!Q49*'Вводные'!$B$20+'ОБЪЕКТЫ'!Q106</x:f>
        <x:v>0</x:v>
      </x:c>
      <x:c r="R68" s="117" t="n">
        <x:f>'Продажи'!R49*'Вводные'!$B$20+'ОБЪЕКТЫ'!R106</x:f>
        <x:v>0</x:v>
      </x:c>
      <x:c r="S68" s="117" t="n">
        <x:f>'Продажи'!S49*'Вводные'!$B$20+'ОБЪЕКТЫ'!S106</x:f>
        <x:v>0</x:v>
      </x:c>
      <x:c r="T68" s="117" t="n">
        <x:f>'Продажи'!T49*'Вводные'!$B$20+'ОБЪЕКТЫ'!T106</x:f>
        <x:v>0</x:v>
      </x:c>
      <x:c r="U68" s="117" t="n">
        <x:f>'Продажи'!U49*'Вводные'!$B$20+'ОБЪЕКТЫ'!U106</x:f>
        <x:v>0</x:v>
      </x:c>
      <x:c r="V68" s="117" t="n">
        <x:f>'Продажи'!V49*'Вводные'!$B$20+'ОБЪЕКТЫ'!V106</x:f>
        <x:v>0</x:v>
      </x:c>
      <x:c r="W68" s="117" t="n">
        <x:f>'Продажи'!W49*'Вводные'!$B$20+'ОБЪЕКТЫ'!W106</x:f>
        <x:v>0</x:v>
      </x:c>
      <x:c r="X68" s="117" t="n">
        <x:f>'Продажи'!X49*'Вводные'!$B$20+'ОБЪЕКТЫ'!X106</x:f>
        <x:v>0</x:v>
      </x:c>
      <x:c r="Y68" s="117" t="n">
        <x:f>'Продажи'!Y49*'Вводные'!$B$20+'ОБЪЕКТЫ'!Y106</x:f>
        <x:v>0</x:v>
      </x:c>
      <x:c r="Z68" s="117" t="n">
        <x:f>'Продажи'!Z49*'Вводные'!$B$20+'ОБЪЕКТЫ'!Z106</x:f>
        <x:v>0</x:v>
      </x:c>
      <x:c r="AA68" s="117" t="n">
        <x:f>'Продажи'!AA49*'Вводные'!$B$20+'ОБЪЕКТЫ'!AA106</x:f>
        <x:v>0</x:v>
      </x:c>
      <x:c r="AB68" s="117" t="n">
        <x:f>'Продажи'!AB49*'Вводные'!$B$20+'ОБЪЕКТЫ'!AB106</x:f>
        <x:v>0</x:v>
      </x:c>
      <x:c r="AC68" s="117" t="n">
        <x:f>'Продажи'!AC49*'Вводные'!$B$20+'ОБЪЕКТЫ'!AC106</x:f>
        <x:v>0</x:v>
      </x:c>
      <x:c r="AD68" s="117" t="n">
        <x:f>'Продажи'!AD49*'Вводные'!$B$20+'ОБЪЕКТЫ'!AD106</x:f>
        <x:v>0</x:v>
      </x:c>
      <x:c r="AE68" s="117" t="n">
        <x:f>'Продажи'!AE49*'Вводные'!$B$20+'ОБЪЕКТЫ'!AE106</x:f>
        <x:v>0</x:v>
      </x:c>
      <x:c r="AF68" s="117" t="n">
        <x:f>'Продажи'!AF49*'Вводные'!$B$20+'ОБЪЕКТЫ'!AF106</x:f>
        <x:v>0</x:v>
      </x:c>
      <x:c r="AG68" s="117" t="n">
        <x:f>'Продажи'!AG49*'Вводные'!$B$20+'ОБЪЕКТЫ'!AG106</x:f>
        <x:v>0</x:v>
      </x:c>
      <x:c r="AH68" s="117" t="n">
        <x:f>'Продажи'!AH49*'Вводные'!$B$20+'ОБЪЕКТЫ'!AH106</x:f>
        <x:v>0</x:v>
      </x:c>
      <x:c r="AI68" s="117" t="n">
        <x:f>'Продажи'!AI49*'Вводные'!$B$20+'ОБЪЕКТЫ'!AI106</x:f>
        <x:v>0</x:v>
      </x:c>
      <x:c r="AJ68" s="117" t="n">
        <x:f>'Продажи'!AJ49*'Вводные'!$B$20+'ОБЪЕКТЫ'!AJ106</x:f>
        <x:v>0</x:v>
      </x:c>
      <x:c r="AK68" s="117" t="n">
        <x:f>'Продажи'!AK49*'Вводные'!$B$20+'ОБЪЕКТЫ'!AK106</x:f>
        <x:v>0</x:v>
      </x:c>
      <x:c r="AL68" s="117" t="n">
        <x:f>'Продажи'!AL49*'Вводные'!$B$20+'ОБЪЕКТЫ'!AL106</x:f>
        <x:v>0</x:v>
      </x:c>
      <x:c r="AM68" s="117" t="n">
        <x:f>'Продажи'!AM49*'Вводные'!$B$20+'ОБЪЕКТЫ'!AM106</x:f>
        <x:v>0</x:v>
      </x:c>
      <x:c r="AN68" s="117" t="n">
        <x:f>'Продажи'!AN49*'Вводные'!$B$20+'ОБЪЕКТЫ'!AN106</x:f>
        <x:v>0</x:v>
      </x:c>
      <x:c r="AO68" s="117" t="n">
        <x:f>'Продажи'!AO49*'Вводные'!$B$20+'ОБЪЕКТЫ'!AO106</x:f>
        <x:v>0</x:v>
      </x:c>
      <x:c r="AP68" s="117" t="n">
        <x:f>'Продажи'!AP49*'Вводные'!$B$20+'ОБЪЕКТЫ'!AP106</x:f>
        <x:v>0</x:v>
      </x:c>
      <x:c r="AQ68" s="117" t="n">
        <x:f>'Продажи'!AQ49*'Вводные'!$B$20+'ОБЪЕКТЫ'!AQ106</x:f>
        <x:v>0</x:v>
      </x:c>
      <x:c r="AR68" s="117" t="n">
        <x:f>'Продажи'!AR49*'Вводные'!$B$20+'ОБЪЕКТЫ'!AR106</x:f>
        <x:v>0</x:v>
      </x:c>
      <x:c r="AS68" s="117" t="n">
        <x:f>'Продажи'!AS49*'Вводные'!$B$20+'ОБЪЕКТЫ'!AS106</x:f>
        <x:v>0</x:v>
      </x:c>
      <x:c r="AT68" s="117" t="n">
        <x:f>'Продажи'!AT49*'Вводные'!$B$20+'ОБЪЕКТЫ'!AT106</x:f>
        <x:v>0</x:v>
      </x:c>
      <x:c r="AU68" s="117" t="n">
        <x:f>'Продажи'!AU49*'Вводные'!$B$20+'ОБЪЕКТЫ'!AU106</x:f>
        <x:v>0</x:v>
      </x:c>
      <x:c r="AV68" s="117" t="n">
        <x:f>'Продажи'!AV49*'Вводные'!$B$20+'ОБЪЕКТЫ'!AV106</x:f>
        <x:v>0</x:v>
      </x:c>
      <x:c r="AW68" s="117" t="n">
        <x:f>'Продажи'!AW49*'Вводные'!$B$20+'ОБЪЕКТЫ'!AW106</x:f>
        <x:v>0</x:v>
      </x:c>
      <x:c r="AX68" s="117" t="n">
        <x:f>'Продажи'!AX49*'Вводные'!$B$20+'ОБЪЕКТЫ'!AX106</x:f>
        <x:v>0</x:v>
      </x:c>
      <x:c r="AY68" s="117" t="n">
        <x:f>'Продажи'!AY49*'Вводные'!$B$20+'ОБЪЕКТЫ'!AY106</x:f>
        <x:v>0</x:v>
      </x:c>
      <x:c r="AZ68" s="117" t="n">
        <x:f>'Продажи'!AZ49*'Вводные'!$B$20+'ОБЪЕКТЫ'!AZ106</x:f>
        <x:v>0</x:v>
      </x:c>
      <x:c r="BA68" s="117" t="n">
        <x:f>'Продажи'!BA49*'Вводные'!$B$20+'ОБЪЕКТЫ'!BA106</x:f>
        <x:v>0</x:v>
      </x:c>
      <x:c r="BB68" s="117" t="n">
        <x:f>'Продажи'!BB49*'Вводные'!$B$20+'ОБЪЕКТЫ'!BB106</x:f>
        <x:v>0</x:v>
      </x:c>
      <x:c r="BC68" s="117" t="n">
        <x:f>'Продажи'!BC49*'Вводные'!$B$20+'ОБЪЕКТЫ'!BC106</x:f>
        <x:v>0</x:v>
      </x:c>
      <x:c r="BD68" s="117" t="n">
        <x:f>'Продажи'!BD49*'Вводные'!$B$20+'ОБЪЕКТЫ'!BD106</x:f>
        <x:v>0</x:v>
      </x:c>
      <x:c r="BE68" s="117" t="n">
        <x:f>'Продажи'!BE49*'Вводные'!$B$20+'ОБЪЕКТЫ'!BE106</x:f>
        <x:v>0</x:v>
      </x:c>
      <x:c r="BF68" s="117" t="n">
        <x:f>'Продажи'!BF49*'Вводные'!$B$20+'ОБЪЕКТЫ'!BF106</x:f>
        <x:v>0</x:v>
      </x:c>
      <x:c r="BG68" s="117" t="n">
        <x:f>'Продажи'!BG49*'Вводные'!$B$20+'ОБЪЕКТЫ'!BG106</x:f>
        <x:v>0</x:v>
      </x:c>
      <x:c r="BH68" s="117" t="n">
        <x:f>'Продажи'!BH49*'Вводные'!$B$20+'ОБЪЕКТЫ'!BH106</x:f>
        <x:v>0</x:v>
      </x:c>
      <x:c r="BI68" s="117" t="n">
        <x:f>'Продажи'!BI49*'Вводные'!$B$20+'ОБЪЕКТЫ'!BI106</x:f>
        <x:v>0</x:v>
      </x:c>
      <x:c r="BJ68" s="117" t="n">
        <x:f>'Продажи'!BJ49*'Вводные'!$B$20+'ОБЪЕКТЫ'!BJ106</x:f>
        <x:v>0</x:v>
      </x:c>
      <x:c r="BK68" s="117" t="n">
        <x:f>'Продажи'!BK49*'Вводные'!$B$20+'ОБЪЕКТЫ'!BK106</x:f>
        <x:v>0</x:v>
      </x:c>
      <x:c r="BL68" s="117" t="n">
        <x:f>'Продажи'!BL49*'Вводные'!$B$20+'ОБЪЕКТЫ'!BL106</x:f>
        <x:v>0</x:v>
      </x:c>
      <x:c r="BM68" s="117" t="n">
        <x:f>'Продажи'!BM49*'Вводные'!$B$20+'ОБЪЕКТЫ'!BM106</x:f>
        <x:v>0</x:v>
      </x:c>
      <x:c r="BN68" s="117" t="n">
        <x:f>'Продажи'!BN49*'Вводные'!$B$20+'ОБЪЕКТЫ'!BN106</x:f>
        <x:v>0</x:v>
      </x:c>
      <x:c r="BO68" s="117" t="n">
        <x:f>'Продажи'!BO49*'Вводные'!$B$20+'ОБЪЕКТЫ'!BO106</x:f>
        <x:v>0</x:v>
      </x:c>
      <x:c r="BP68" s="117" t="n">
        <x:f>'Продажи'!BP49*'Вводные'!$B$20+'ОБЪЕКТЫ'!BP106</x:f>
        <x:v>0</x:v>
      </x:c>
      <x:c r="BQ68" s="117" t="n">
        <x:f>'Продажи'!BQ49*'Вводные'!$B$20+'ОБЪЕКТЫ'!BQ106</x:f>
        <x:v>0</x:v>
      </x:c>
      <x:c r="BR68" s="117" t="n">
        <x:f>'Продажи'!BR49*'Вводные'!$B$20+'ОБЪЕКТЫ'!BR106</x:f>
        <x:v>0</x:v>
      </x:c>
      <x:c r="BS68" s="117" t="n">
        <x:f>'Продажи'!BS49*'Вводные'!$B$20+'ОБЪЕКТЫ'!BS106</x:f>
        <x:v>0</x:v>
      </x:c>
      <x:c r="BT68" s="117" t="n">
        <x:f>'Продажи'!BT49*'Вводные'!$B$20+'ОБЪЕКТЫ'!BT106</x:f>
        <x:v>0</x:v>
      </x:c>
      <x:c r="BU68" s="117" t="n">
        <x:f>'Продажи'!BU49*'Вводные'!$B$20+'ОБЪЕКТЫ'!BU106</x:f>
        <x:v>0</x:v>
      </x:c>
      <x:c r="BV68" s="117" t="n">
        <x:f>'Продажи'!BV49*'Вводные'!$B$20+'ОБЪЕКТЫ'!BV106</x:f>
        <x:v>0</x:v>
      </x:c>
      <x:c r="BW68" s="117" t="n">
        <x:f>'Продажи'!BW49*'Вводные'!$B$20+'ОБЪЕКТЫ'!BW106</x:f>
        <x:v>0</x:v>
      </x:c>
      <x:c r="BX68" s="117" t="n">
        <x:f>'Продажи'!BX49*'Вводные'!$B$20+'ОБЪЕКТЫ'!BX106</x:f>
        <x:v>0</x:v>
      </x:c>
      <x:c r="BY68" s="117" t="n">
        <x:f>'Продажи'!BY49*'Вводные'!$B$20+'ОБЪЕКТЫ'!BY106</x:f>
        <x:v>0</x:v>
      </x:c>
      <x:c r="BZ68" s="117" t="n">
        <x:f>'Продажи'!BZ49*'Вводные'!$B$20+'ОБЪЕКТЫ'!BZ106</x:f>
        <x:v>0</x:v>
      </x:c>
      <x:c r="CA68" s="117" t="n">
        <x:f>'Продажи'!CA49*'Вводные'!$B$20+'ОБЪЕКТЫ'!CA106</x:f>
        <x:v>0</x:v>
      </x:c>
      <x:c r="CB68" s="117" t="n">
        <x:f>'Продажи'!CB49*'Вводные'!$B$20+'ОБЪЕКТЫ'!CB106</x:f>
        <x:v>0</x:v>
      </x:c>
      <x:c r="CC68" s="117" t="n">
        <x:f>'Продажи'!CC49*'Вводные'!$B$20+'ОБЪЕКТЫ'!CC106</x:f>
        <x:v>0</x:v>
      </x:c>
      <x:c r="CD68" s="117" t="n">
        <x:f>'Продажи'!CD49*'Вводные'!$B$20+'ОБЪЕКТЫ'!CD106</x:f>
        <x:v>0</x:v>
      </x:c>
      <x:c r="CE68" s="117" t="n">
        <x:f>'Продажи'!CE49*'Вводные'!$B$20+'ОБЪЕКТЫ'!CE106</x:f>
        <x:v>0</x:v>
      </x:c>
      <x:c r="CF68" s="117" t="n">
        <x:f>'Продажи'!CF49*'Вводные'!$B$20+'ОБЪЕКТЫ'!CF106</x:f>
        <x:v>0</x:v>
      </x:c>
      <x:c r="CG68" s="117" t="n">
        <x:f>'Продажи'!CG49*'Вводные'!$B$20+'ОБЪЕКТЫ'!CG106</x:f>
        <x:v>0</x:v>
      </x:c>
      <x:c r="CH68" s="117" t="n">
        <x:f>'Продажи'!CH49*'Вводные'!$B$20+'ОБЪЕКТЫ'!CH106</x:f>
        <x:v>0</x:v>
      </x:c>
      <x:c r="CI68" s="117" t="n">
        <x:f>'Продажи'!CI49*'Вводные'!$B$20+'ОБЪЕКТЫ'!CI106</x:f>
        <x:v>0</x:v>
      </x:c>
      <x:c r="CJ68" s="117" t="n">
        <x:f>'Продажи'!CJ49*'Вводные'!$B$20+'ОБЪЕКТЫ'!CJ106</x:f>
        <x:v>0</x:v>
      </x:c>
      <x:c r="CK68" s="117" t="n">
        <x:f>'Продажи'!CK49*'Вводные'!$B$20+'ОБЪЕКТЫ'!CK106</x:f>
        <x:v>0</x:v>
      </x:c>
      <x:c r="CL68" s="117" t="n">
        <x:f>'Продажи'!CL49*'Вводные'!$B$20+'ОБЪЕКТЫ'!CL106</x:f>
        <x:v>0</x:v>
      </x:c>
      <x:c r="CM68" s="117" t="n">
        <x:f>'Продажи'!CM49*'Вводные'!$B$20+'ОБЪЕКТЫ'!CM106</x:f>
        <x:v>0</x:v>
      </x:c>
      <x:c r="CN68" s="117" t="n">
        <x:f>'Продажи'!CN49*'Вводные'!$B$20+'ОБЪЕКТЫ'!CN106</x:f>
        <x:v>0</x:v>
      </x:c>
      <x:c r="CO68" s="117" t="n">
        <x:f>'Продажи'!CO49*'Вводные'!$B$20+'ОБЪЕКТЫ'!CO106</x:f>
        <x:v>0</x:v>
      </x:c>
      <x:c r="CP68" s="117" t="n">
        <x:f>'Продажи'!CP49*'Вводные'!$B$20+'ОБЪЕКТЫ'!CP106</x:f>
        <x:v>0</x:v>
      </x:c>
      <x:c r="CQ68" s="117" t="n">
        <x:f>'Продажи'!CQ49*'Вводные'!$B$20+'ОБЪЕКТЫ'!CQ106</x:f>
        <x:v>0</x:v>
      </x:c>
      <x:c r="CR68" s="117" t="n">
        <x:f>'Продажи'!CR49*'Вводные'!$B$20+'ОБЪЕКТЫ'!CR106</x:f>
        <x:v>0</x:v>
      </x:c>
      <x:c r="CS68" s="117" t="n">
        <x:f>'Продажи'!CS49*'Вводные'!$B$20+'ОБЪЕКТЫ'!CS106</x:f>
        <x:v>0</x:v>
      </x:c>
      <x:c r="CT68" s="117" t="n">
        <x:f>'Продажи'!CT49*'Вводные'!$B$20+'ОБЪЕКТЫ'!CT106</x:f>
        <x:v>0</x:v>
      </x:c>
      <x:c r="CU68" s="117" t="n">
        <x:f>'Продажи'!CU49*'Вводные'!$B$20+'ОБЪЕКТЫ'!CU106</x:f>
        <x:v>0</x:v>
      </x:c>
      <x:c r="CV68" s="117" t="n">
        <x:f>'Продажи'!CV49*'Вводные'!$B$20+'ОБЪЕКТЫ'!CV106</x:f>
        <x:v>0</x:v>
      </x:c>
      <x:c r="CW68" s="117" t="n">
        <x:f>'Продажи'!CW49*'Вводные'!$B$20+'ОБЪЕКТЫ'!CW106</x:f>
        <x:v>0</x:v>
      </x:c>
      <x:c r="CX68" s="117" t="n">
        <x:f>'Продажи'!CX49*'Вводные'!$B$20+'ОБЪЕКТЫ'!CX106</x:f>
        <x:v>0</x:v>
      </x:c>
      <x:c r="CY68" s="117" t="n">
        <x:f>'Продажи'!CY49*'Вводные'!$B$20+'ОБЪЕКТЫ'!CY106</x:f>
        <x:v>0</x:v>
      </x:c>
      <x:c r="CZ68" s="117" t="n">
        <x:f>'Продажи'!CZ49*'Вводные'!$B$20+'ОБЪЕКТЫ'!CZ106</x:f>
        <x:v>0</x:v>
      </x:c>
      <x:c r="DA68" s="117" t="n">
        <x:f>'Продажи'!DA49*'Вводные'!$B$20+'ОБЪЕКТЫ'!DA106</x:f>
        <x:v>0</x:v>
      </x:c>
      <x:c r="DB68" s="117" t="n">
        <x:f>'Продажи'!DB49*'Вводные'!$B$20+'ОБЪЕКТЫ'!DB106</x:f>
        <x:v>0</x:v>
      </x:c>
      <x:c r="DC68" s="117" t="n">
        <x:f>'Продажи'!DC49*'Вводные'!$B$20+'ОБЪЕКТЫ'!DC106</x:f>
        <x:v>0</x:v>
      </x:c>
      <x:c r="DD68" s="117" t="n">
        <x:f>'Продажи'!DD49*'Вводные'!$B$20+'ОБЪЕКТЫ'!DD106</x:f>
        <x:v>0</x:v>
      </x:c>
      <x:c r="DE68" s="117" t="n">
        <x:f>'Продажи'!DE49*'Вводные'!$B$20+'ОБЪЕКТЫ'!DE106</x:f>
        <x:v>0</x:v>
      </x:c>
      <x:c r="DF68" s="117" t="n">
        <x:f>'Продажи'!DF49*'Вводные'!$B$20+'ОБЪЕКТЫ'!DF106</x:f>
        <x:v>0</x:v>
      </x:c>
      <x:c r="DG68" s="117" t="n">
        <x:f>'Продажи'!DG49*'Вводные'!$B$20+'ОБЪЕКТЫ'!DG106</x:f>
        <x:v>0</x:v>
      </x:c>
      <x:c r="DH68" s="117" t="n">
        <x:f>'Продажи'!DH49*'Вводные'!$B$20+'ОБЪЕКТЫ'!DH106</x:f>
        <x:v>0</x:v>
      </x:c>
      <x:c r="DI68" s="117" t="n">
        <x:f>'Продажи'!DI49*'Вводные'!$B$20+'ОБЪЕКТЫ'!DI106</x:f>
        <x:v>0</x:v>
      </x:c>
      <x:c r="DJ68" s="117" t="n">
        <x:f>'Продажи'!DJ49*'Вводные'!$B$20+'ОБЪЕКТЫ'!DJ106</x:f>
        <x:v>0</x:v>
      </x:c>
      <x:c r="DK68" s="117" t="n">
        <x:f>'Продажи'!DK49*'Вводные'!$B$20+'ОБЪЕКТЫ'!DK106</x:f>
        <x:v>0</x:v>
      </x:c>
      <x:c r="DL68" s="117" t="n">
        <x:f>'Продажи'!DL49*'Вводные'!$B$20+'ОБЪЕКТЫ'!DL106</x:f>
        <x:v>0</x:v>
      </x:c>
      <x:c r="DM68" s="117" t="n">
        <x:f>'Продажи'!DM49*'Вводные'!$B$20+'ОБЪЕКТЫ'!DM106</x:f>
        <x:v>0</x:v>
      </x:c>
      <x:c r="DN68" s="117" t="n">
        <x:f>'Продажи'!DN49*'Вводные'!$B$20+'ОБЪЕКТЫ'!DN106</x:f>
        <x:v>0</x:v>
      </x:c>
      <x:c r="DO68" s="117" t="n">
        <x:f>'Продажи'!DO49*'Вводные'!$B$20+'ОБЪЕКТЫ'!DO106</x:f>
        <x:v>0</x:v>
      </x:c>
      <x:c r="DP68" s="117" t="n">
        <x:f>'Продажи'!DP49*'Вводные'!$B$20+'ОБЪЕКТЫ'!DP106</x:f>
        <x:v>0</x:v>
      </x:c>
      <x:c r="DQ68" s="117" t="n">
        <x:f>'Продажи'!DQ49*'Вводные'!$B$20+'ОБЪЕКТЫ'!DQ106</x:f>
        <x:v>0</x:v>
      </x:c>
      <x:c r="DR68" s="117" t="n">
        <x:f>'Продажи'!DR49*'Вводные'!$B$20+'ОБЪЕКТЫ'!DR106</x:f>
        <x:v>0</x:v>
      </x:c>
      <x:c r="DS68" s="117" t="n">
        <x:f>'Продажи'!DS49*'Вводные'!$B$20+'ОБЪЕКТЫ'!DS106</x:f>
        <x:v>0</x:v>
      </x:c>
    </x:row>
    <x:row r="69">
      <x:c r="A69" s="113" t="str">
        <x:v>РАСХОДЫ ПРОЕКТА ВСЕГО</x:v>
      </x:c>
      <x:c r="B69" s="113" t="n">
        <x:f>SUM(D69:DS69)</x:f>
        <x:v>0</x:v>
      </x:c>
      <x:c r="C69" s="113" t="str">
        <x:v>млн ₽</x:v>
      </x:c>
      <x:c r="D69" s="120" t="n">
        <x:f>SUM(D66:D68)</x:f>
        <x:v>0</x:v>
      </x:c>
      <x:c r="E69" s="120" t="n">
        <x:f>SUM(E66:E68)</x:f>
        <x:v>0</x:v>
      </x:c>
      <x:c r="F69" s="120" t="n">
        <x:f>SUM(F66:F68)</x:f>
        <x:v>0</x:v>
      </x:c>
      <x:c r="G69" s="120" t="n">
        <x:f>SUM(G66:G68)</x:f>
        <x:v>0</x:v>
      </x:c>
      <x:c r="H69" s="120" t="n">
        <x:f>SUM(H66:H68)</x:f>
        <x:v>0</x:v>
      </x:c>
      <x:c r="I69" s="120" t="n">
        <x:f>SUM(I66:I68)</x:f>
        <x:v>0</x:v>
      </x:c>
      <x:c r="J69" s="120" t="n">
        <x:f>SUM(J66:J68)</x:f>
        <x:v>0</x:v>
      </x:c>
      <x:c r="K69" s="120" t="n">
        <x:f>SUM(K66:K68)</x:f>
        <x:v>0</x:v>
      </x:c>
      <x:c r="L69" s="120" t="n">
        <x:f>SUM(L66:L68)</x:f>
        <x:v>0</x:v>
      </x:c>
      <x:c r="M69" s="120" t="n">
        <x:f>SUM(M66:M68)</x:f>
        <x:v>0</x:v>
      </x:c>
      <x:c r="N69" s="120" t="n">
        <x:f>SUM(N66:N68)</x:f>
        <x:v>0</x:v>
      </x:c>
      <x:c r="O69" s="120" t="n">
        <x:f>SUM(O66:O68)</x:f>
        <x:v>0</x:v>
      </x:c>
      <x:c r="P69" s="120" t="n">
        <x:f>SUM(P66:P68)</x:f>
        <x:v>0</x:v>
      </x:c>
      <x:c r="Q69" s="120" t="n">
        <x:f>SUM(Q66:Q68)</x:f>
        <x:v>0</x:v>
      </x:c>
      <x:c r="R69" s="120" t="n">
        <x:f>SUM(R66:R68)</x:f>
        <x:v>0</x:v>
      </x:c>
      <x:c r="S69" s="120" t="n">
        <x:f>SUM(S66:S68)</x:f>
        <x:v>0</x:v>
      </x:c>
      <x:c r="T69" s="120" t="n">
        <x:f>SUM(T66:T68)</x:f>
        <x:v>0</x:v>
      </x:c>
      <x:c r="U69" s="120" t="n">
        <x:f>SUM(U66:U68)</x:f>
        <x:v>0</x:v>
      </x:c>
      <x:c r="V69" s="120" t="n">
        <x:f>SUM(V66:V68)</x:f>
        <x:v>0</x:v>
      </x:c>
      <x:c r="W69" s="120" t="n">
        <x:f>SUM(W66:W68)</x:f>
        <x:v>0</x:v>
      </x:c>
      <x:c r="X69" s="120" t="n">
        <x:f>SUM(X66:X68)</x:f>
        <x:v>0</x:v>
      </x:c>
      <x:c r="Y69" s="120" t="n">
        <x:f>SUM(Y66:Y68)</x:f>
        <x:v>0</x:v>
      </x:c>
      <x:c r="Z69" s="120" t="n">
        <x:f>SUM(Z66:Z68)</x:f>
        <x:v>0</x:v>
      </x:c>
      <x:c r="AA69" s="120" t="n">
        <x:f>SUM(AA66:AA68)</x:f>
        <x:v>0</x:v>
      </x:c>
      <x:c r="AB69" s="120" t="n">
        <x:f>SUM(AB66:AB68)</x:f>
        <x:v>0</x:v>
      </x:c>
      <x:c r="AC69" s="120" t="n">
        <x:f>SUM(AC66:AC68)</x:f>
        <x:v>0</x:v>
      </x:c>
      <x:c r="AD69" s="120" t="n">
        <x:f>SUM(AD66:AD68)</x:f>
        <x:v>0</x:v>
      </x:c>
      <x:c r="AE69" s="120" t="n">
        <x:f>SUM(AE66:AE68)</x:f>
        <x:v>0</x:v>
      </x:c>
      <x:c r="AF69" s="120" t="n">
        <x:f>SUM(AF66:AF68)</x:f>
        <x:v>0</x:v>
      </x:c>
      <x:c r="AG69" s="120" t="n">
        <x:f>SUM(AG66:AG68)</x:f>
        <x:v>0</x:v>
      </x:c>
      <x:c r="AH69" s="120" t="n">
        <x:f>SUM(AH66:AH68)</x:f>
        <x:v>0</x:v>
      </x:c>
      <x:c r="AI69" s="120" t="n">
        <x:f>SUM(AI66:AI68)</x:f>
        <x:v>0</x:v>
      </x:c>
      <x:c r="AJ69" s="120" t="n">
        <x:f>SUM(AJ66:AJ68)</x:f>
        <x:v>0</x:v>
      </x:c>
      <x:c r="AK69" s="120" t="n">
        <x:f>SUM(AK66:AK68)</x:f>
        <x:v>0</x:v>
      </x:c>
      <x:c r="AL69" s="120" t="n">
        <x:f>SUM(AL66:AL68)</x:f>
        <x:v>0</x:v>
      </x:c>
      <x:c r="AM69" s="120" t="n">
        <x:f>SUM(AM66:AM68)</x:f>
        <x:v>0</x:v>
      </x:c>
      <x:c r="AN69" s="120" t="n">
        <x:f>SUM(AN66:AN68)</x:f>
        <x:v>0</x:v>
      </x:c>
      <x:c r="AO69" s="120" t="n">
        <x:f>SUM(AO66:AO68)</x:f>
        <x:v>0</x:v>
      </x:c>
      <x:c r="AP69" s="120" t="n">
        <x:f>SUM(AP66:AP68)</x:f>
        <x:v>0</x:v>
      </x:c>
      <x:c r="AQ69" s="120" t="n">
        <x:f>SUM(AQ66:AQ68)</x:f>
        <x:v>0</x:v>
      </x:c>
      <x:c r="AR69" s="120" t="n">
        <x:f>SUM(AR66:AR68)</x:f>
        <x:v>0</x:v>
      </x:c>
      <x:c r="AS69" s="120" t="n">
        <x:f>SUM(AS66:AS68)</x:f>
        <x:v>0</x:v>
      </x:c>
      <x:c r="AT69" s="120" t="n">
        <x:f>SUM(AT66:AT68)</x:f>
        <x:v>0</x:v>
      </x:c>
      <x:c r="AU69" s="120" t="n">
        <x:f>SUM(AU66:AU68)</x:f>
        <x:v>0</x:v>
      </x:c>
      <x:c r="AV69" s="120" t="n">
        <x:f>SUM(AV66:AV68)</x:f>
        <x:v>0</x:v>
      </x:c>
      <x:c r="AW69" s="120" t="n">
        <x:f>SUM(AW66:AW68)</x:f>
        <x:v>0</x:v>
      </x:c>
      <x:c r="AX69" s="120" t="n">
        <x:f>SUM(AX66:AX68)</x:f>
        <x:v>0</x:v>
      </x:c>
      <x:c r="AY69" s="120" t="n">
        <x:f>SUM(AY66:AY68)</x:f>
        <x:v>0</x:v>
      </x:c>
      <x:c r="AZ69" s="120" t="n">
        <x:f>SUM(AZ66:AZ68)</x:f>
        <x:v>0</x:v>
      </x:c>
      <x:c r="BA69" s="120" t="n">
        <x:f>SUM(BA66:BA68)</x:f>
        <x:v>0</x:v>
      </x:c>
      <x:c r="BB69" s="120" t="n">
        <x:f>SUM(BB66:BB68)</x:f>
        <x:v>0</x:v>
      </x:c>
      <x:c r="BC69" s="120" t="n">
        <x:f>SUM(BC66:BC68)</x:f>
        <x:v>0</x:v>
      </x:c>
      <x:c r="BD69" s="120" t="n">
        <x:f>SUM(BD66:BD68)</x:f>
        <x:v>0</x:v>
      </x:c>
      <x:c r="BE69" s="120" t="n">
        <x:f>SUM(BE66:BE68)</x:f>
        <x:v>0</x:v>
      </x:c>
      <x:c r="BF69" s="120" t="n">
        <x:f>SUM(BF66:BF68)</x:f>
        <x:v>0</x:v>
      </x:c>
      <x:c r="BG69" s="120" t="n">
        <x:f>SUM(BG66:BG68)</x:f>
        <x:v>0</x:v>
      </x:c>
      <x:c r="BH69" s="120" t="n">
        <x:f>SUM(BH66:BH68)</x:f>
        <x:v>0</x:v>
      </x:c>
      <x:c r="BI69" s="120" t="n">
        <x:f>SUM(BI66:BI68)</x:f>
        <x:v>0</x:v>
      </x:c>
      <x:c r="BJ69" s="120" t="n">
        <x:f>SUM(BJ66:BJ68)</x:f>
        <x:v>0</x:v>
      </x:c>
      <x:c r="BK69" s="120" t="n">
        <x:f>SUM(BK66:BK68)</x:f>
        <x:v>0</x:v>
      </x:c>
      <x:c r="BL69" s="120" t="n">
        <x:f>SUM(BL66:BL68)</x:f>
        <x:v>0</x:v>
      </x:c>
      <x:c r="BM69" s="120" t="n">
        <x:f>SUM(BM66:BM68)</x:f>
        <x:v>0</x:v>
      </x:c>
      <x:c r="BN69" s="120" t="n">
        <x:f>SUM(BN66:BN68)</x:f>
        <x:v>0</x:v>
      </x:c>
      <x:c r="BO69" s="120" t="n">
        <x:f>SUM(BO66:BO68)</x:f>
        <x:v>0</x:v>
      </x:c>
      <x:c r="BP69" s="120" t="n">
        <x:f>SUM(BP66:BP68)</x:f>
        <x:v>0</x:v>
      </x:c>
      <x:c r="BQ69" s="120" t="n">
        <x:f>SUM(BQ66:BQ68)</x:f>
        <x:v>0</x:v>
      </x:c>
      <x:c r="BR69" s="120" t="n">
        <x:f>SUM(BR66:BR68)</x:f>
        <x:v>0</x:v>
      </x:c>
      <x:c r="BS69" s="120" t="n">
        <x:f>SUM(BS66:BS68)</x:f>
        <x:v>0</x:v>
      </x:c>
      <x:c r="BT69" s="120" t="n">
        <x:f>SUM(BT66:BT68)</x:f>
        <x:v>0</x:v>
      </x:c>
      <x:c r="BU69" s="120" t="n">
        <x:f>SUM(BU66:BU68)</x:f>
        <x:v>0</x:v>
      </x:c>
      <x:c r="BV69" s="120" t="n">
        <x:f>SUM(BV66:BV68)</x:f>
        <x:v>0</x:v>
      </x:c>
      <x:c r="BW69" s="120" t="n">
        <x:f>SUM(BW66:BW68)</x:f>
        <x:v>0</x:v>
      </x:c>
      <x:c r="BX69" s="120" t="n">
        <x:f>SUM(BX66:BX68)</x:f>
        <x:v>0</x:v>
      </x:c>
      <x:c r="BY69" s="120" t="n">
        <x:f>SUM(BY66:BY68)</x:f>
        <x:v>0</x:v>
      </x:c>
      <x:c r="BZ69" s="120" t="n">
        <x:f>SUM(BZ66:BZ68)</x:f>
        <x:v>0</x:v>
      </x:c>
      <x:c r="CA69" s="120" t="n">
        <x:f>SUM(CA66:CA68)</x:f>
        <x:v>0</x:v>
      </x:c>
      <x:c r="CB69" s="120" t="n">
        <x:f>SUM(CB66:CB68)</x:f>
        <x:v>0</x:v>
      </x:c>
      <x:c r="CC69" s="120" t="n">
        <x:f>SUM(CC66:CC68)</x:f>
        <x:v>0</x:v>
      </x:c>
      <x:c r="CD69" s="120" t="n">
        <x:f>SUM(CD66:CD68)</x:f>
        <x:v>0</x:v>
      </x:c>
      <x:c r="CE69" s="120" t="n">
        <x:f>SUM(CE66:CE68)</x:f>
        <x:v>0</x:v>
      </x:c>
      <x:c r="CF69" s="120" t="n">
        <x:f>SUM(CF66:CF68)</x:f>
        <x:v>0</x:v>
      </x:c>
      <x:c r="CG69" s="120" t="n">
        <x:f>SUM(CG66:CG68)</x:f>
        <x:v>0</x:v>
      </x:c>
      <x:c r="CH69" s="120" t="n">
        <x:f>SUM(CH66:CH68)</x:f>
        <x:v>0</x:v>
      </x:c>
      <x:c r="CI69" s="120" t="n">
        <x:f>SUM(CI66:CI68)</x:f>
        <x:v>0</x:v>
      </x:c>
      <x:c r="CJ69" s="120" t="n">
        <x:f>SUM(CJ66:CJ68)</x:f>
        <x:v>0</x:v>
      </x:c>
      <x:c r="CK69" s="120" t="n">
        <x:f>SUM(CK66:CK68)</x:f>
        <x:v>0</x:v>
      </x:c>
      <x:c r="CL69" s="120" t="n">
        <x:f>SUM(CL66:CL68)</x:f>
        <x:v>0</x:v>
      </x:c>
      <x:c r="CM69" s="120" t="n">
        <x:f>SUM(CM66:CM68)</x:f>
        <x:v>0</x:v>
      </x:c>
      <x:c r="CN69" s="120" t="n">
        <x:f>SUM(CN66:CN68)</x:f>
        <x:v>0</x:v>
      </x:c>
      <x:c r="CO69" s="120" t="n">
        <x:f>SUM(CO66:CO68)</x:f>
        <x:v>0</x:v>
      </x:c>
      <x:c r="CP69" s="120" t="n">
        <x:f>SUM(CP66:CP68)</x:f>
        <x:v>0</x:v>
      </x:c>
      <x:c r="CQ69" s="120" t="n">
        <x:f>SUM(CQ66:CQ68)</x:f>
        <x:v>0</x:v>
      </x:c>
      <x:c r="CR69" s="120" t="n">
        <x:f>SUM(CR66:CR68)</x:f>
        <x:v>0</x:v>
      </x:c>
      <x:c r="CS69" s="120" t="n">
        <x:f>SUM(CS66:CS68)</x:f>
        <x:v>0</x:v>
      </x:c>
      <x:c r="CT69" s="120" t="n">
        <x:f>SUM(CT66:CT68)</x:f>
        <x:v>0</x:v>
      </x:c>
      <x:c r="CU69" s="120" t="n">
        <x:f>SUM(CU66:CU68)</x:f>
        <x:v>0</x:v>
      </x:c>
      <x:c r="CV69" s="120" t="n">
        <x:f>SUM(CV66:CV68)</x:f>
        <x:v>0</x:v>
      </x:c>
      <x:c r="CW69" s="120" t="n">
        <x:f>SUM(CW66:CW68)</x:f>
        <x:v>0</x:v>
      </x:c>
      <x:c r="CX69" s="120" t="n">
        <x:f>SUM(CX66:CX68)</x:f>
        <x:v>0</x:v>
      </x:c>
      <x:c r="CY69" s="120" t="n">
        <x:f>SUM(CY66:CY68)</x:f>
        <x:v>0</x:v>
      </x:c>
      <x:c r="CZ69" s="120" t="n">
        <x:f>SUM(CZ66:CZ68)</x:f>
        <x:v>0</x:v>
      </x:c>
      <x:c r="DA69" s="120" t="n">
        <x:f>SUM(DA66:DA68)</x:f>
        <x:v>0</x:v>
      </x:c>
      <x:c r="DB69" s="120" t="n">
        <x:f>SUM(DB66:DB68)</x:f>
        <x:v>0</x:v>
      </x:c>
      <x:c r="DC69" s="120" t="n">
        <x:f>SUM(DC66:DC68)</x:f>
        <x:v>0</x:v>
      </x:c>
      <x:c r="DD69" s="120" t="n">
        <x:f>SUM(DD66:DD68)</x:f>
        <x:v>0</x:v>
      </x:c>
      <x:c r="DE69" s="120" t="n">
        <x:f>SUM(DE66:DE68)</x:f>
        <x:v>0</x:v>
      </x:c>
      <x:c r="DF69" s="120" t="n">
        <x:f>SUM(DF66:DF68)</x:f>
        <x:v>0</x:v>
      </x:c>
      <x:c r="DG69" s="120" t="n">
        <x:f>SUM(DG66:DG68)</x:f>
        <x:v>0</x:v>
      </x:c>
      <x:c r="DH69" s="120" t="n">
        <x:f>SUM(DH66:DH68)</x:f>
        <x:v>0</x:v>
      </x:c>
      <x:c r="DI69" s="120" t="n">
        <x:f>SUM(DI66:DI68)</x:f>
        <x:v>0</x:v>
      </x:c>
      <x:c r="DJ69" s="120" t="n">
        <x:f>SUM(DJ66:DJ68)</x:f>
        <x:v>0</x:v>
      </x:c>
      <x:c r="DK69" s="120" t="n">
        <x:f>SUM(DK66:DK68)</x:f>
        <x:v>0</x:v>
      </x:c>
      <x:c r="DL69" s="120" t="n">
        <x:f>SUM(DL66:DL68)</x:f>
        <x:v>0</x:v>
      </x:c>
      <x:c r="DM69" s="120" t="n">
        <x:f>SUM(DM66:DM68)</x:f>
        <x:v>0</x:v>
      </x:c>
      <x:c r="DN69" s="120" t="n">
        <x:f>SUM(DN66:DN68)</x:f>
        <x:v>0</x:v>
      </x:c>
      <x:c r="DO69" s="120" t="n">
        <x:f>SUM(DO66:DO68)</x:f>
        <x:v>0</x:v>
      </x:c>
      <x:c r="DP69" s="120" t="n">
        <x:f>SUM(DP66:DP68)</x:f>
        <x:v>0</x:v>
      </x:c>
      <x:c r="DQ69" s="120" t="n">
        <x:f>SUM(DQ66:DQ68)</x:f>
        <x:v>0</x:v>
      </x:c>
      <x:c r="DR69" s="120" t="n">
        <x:f>SUM(DR66:DR68)</x:f>
        <x:v>0</x:v>
      </x:c>
      <x:c r="DS69" s="120" t="n">
        <x:f>SUM(DS66:DS68)</x:f>
        <x:v>0</x:v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  <x:v>48396</x:v>
      </x:c>
      <x:c r="C75" t="str">
        <x:v>дата</x:v>
      </x:c>
    </x:row>
    <x:row r="76">
      <x:c r="A76" t="str">
        <x:v>РВЭ</x:v>
      </x:c>
      <x:c r="B76" s="106" t="n">
        <x:f>EDATE(B75,'Вводные'!$F$90)</x:f>
        <x:v>49126</x:v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  <x:v>0</x:v>
      </x:c>
      <x:c r="E77" t="n">
        <x:f>--AND(E$3&gt;=EDATE($B$75,-'Вводные'!$E$90),E$3&lt;$B$76,'Вводные'!$B$90="Да")</x:f>
        <x:v>0</x:v>
      </x:c>
      <x:c r="F77" t="n">
        <x:f>--AND(F$3&gt;=EDATE($B$75,-'Вводные'!$E$90),F$3&lt;$B$76,'Вводные'!$B$90="Да")</x:f>
        <x:v>0</x:v>
      </x:c>
      <x:c r="G77" t="n">
        <x:f>--AND(G$3&gt;=EDATE($B$75,-'Вводные'!$E$90),G$3&lt;$B$76,'Вводные'!$B$90="Да")</x:f>
        <x:v>0</x:v>
      </x:c>
      <x:c r="H77" t="n">
        <x:f>--AND(H$3&gt;=EDATE($B$75,-'Вводные'!$E$90),H$3&lt;$B$76,'Вводные'!$B$90="Да")</x:f>
        <x:v>0</x:v>
      </x:c>
      <x:c r="I77" t="n">
        <x:f>--AND(I$3&gt;=EDATE($B$75,-'Вводные'!$E$90),I$3&lt;$B$76,'Вводные'!$B$90="Да")</x:f>
        <x:v>0</x:v>
      </x:c>
      <x:c r="J77" t="n">
        <x:f>--AND(J$3&gt;=EDATE($B$75,-'Вводные'!$E$90),J$3&lt;$B$76,'Вводные'!$B$90="Да")</x:f>
        <x:v>0</x:v>
      </x:c>
      <x:c r="K77" t="n">
        <x:f>--AND(K$3&gt;=EDATE($B$75,-'Вводные'!$E$90),K$3&lt;$B$76,'Вводные'!$B$90="Да")</x:f>
        <x:v>0</x:v>
      </x:c>
      <x:c r="L77" t="n">
        <x:f>--AND(L$3&gt;=EDATE($B$75,-'Вводные'!$E$90),L$3&lt;$B$76,'Вводные'!$B$90="Да")</x:f>
        <x:v>0</x:v>
      </x:c>
      <x:c r="M77" t="n">
        <x:f>--AND(M$3&gt;=EDATE($B$75,-'Вводные'!$E$90),M$3&lt;$B$76,'Вводные'!$B$90="Да")</x:f>
        <x:v>0</x:v>
      </x:c>
      <x:c r="N77" t="n">
        <x:f>--AND(N$3&gt;=EDATE($B$75,-'Вводные'!$E$90),N$3&lt;$B$76,'Вводные'!$B$90="Да")</x:f>
        <x:v>0</x:v>
      </x:c>
      <x:c r="O77" t="n">
        <x:f>--AND(O$3&gt;=EDATE($B$75,-'Вводные'!$E$90),O$3&lt;$B$76,'Вводные'!$B$90="Да")</x:f>
        <x:v>0</x:v>
      </x:c>
      <x:c r="P77" t="n">
        <x:f>--AND(P$3&gt;=EDATE($B$75,-'Вводные'!$E$90),P$3&lt;$B$76,'Вводные'!$B$90="Да")</x:f>
        <x:v>0</x:v>
      </x:c>
      <x:c r="Q77" t="n">
        <x:f>--AND(Q$3&gt;=EDATE($B$75,-'Вводные'!$E$90),Q$3&lt;$B$76,'Вводные'!$B$90="Да")</x:f>
        <x:v>0</x:v>
      </x:c>
      <x:c r="R77" t="n">
        <x:f>--AND(R$3&gt;=EDATE($B$75,-'Вводные'!$E$90),R$3&lt;$B$76,'Вводные'!$B$90="Да")</x:f>
        <x:v>0</x:v>
      </x:c>
      <x:c r="S77" t="n">
        <x:f>--AND(S$3&gt;=EDATE($B$75,-'Вводные'!$E$90),S$3&lt;$B$76,'Вводные'!$B$90="Да")</x:f>
        <x:v>0</x:v>
      </x:c>
      <x:c r="T77" t="n">
        <x:f>--AND(T$3&gt;=EDATE($B$75,-'Вводные'!$E$90),T$3&lt;$B$76,'Вводные'!$B$90="Да")</x:f>
        <x:v>0</x:v>
      </x:c>
      <x:c r="U77" t="n">
        <x:f>--AND(U$3&gt;=EDATE($B$75,-'Вводные'!$E$90),U$3&lt;$B$76,'Вводные'!$B$90="Да")</x:f>
        <x:v>0</x:v>
      </x:c>
      <x:c r="V77" t="n">
        <x:f>--AND(V$3&gt;=EDATE($B$75,-'Вводные'!$E$90),V$3&lt;$B$76,'Вводные'!$B$90="Да")</x:f>
        <x:v>0</x:v>
      </x:c>
      <x:c r="W77" t="n">
        <x:f>--AND(W$3&gt;=EDATE($B$75,-'Вводные'!$E$90),W$3&lt;$B$76,'Вводные'!$B$90="Да")</x:f>
        <x:v>0</x:v>
      </x:c>
      <x:c r="X77" t="n">
        <x:f>--AND(X$3&gt;=EDATE($B$75,-'Вводные'!$E$90),X$3&lt;$B$76,'Вводные'!$B$90="Да")</x:f>
        <x:v>0</x:v>
      </x:c>
      <x:c r="Y77" t="n">
        <x:f>--AND(Y$3&gt;=EDATE($B$75,-'Вводные'!$E$90),Y$3&lt;$B$76,'Вводные'!$B$90="Да")</x:f>
        <x:v>0</x:v>
      </x:c>
      <x:c r="Z77" t="n">
        <x:f>--AND(Z$3&gt;=EDATE($B$75,-'Вводные'!$E$90),Z$3&lt;$B$76,'Вводные'!$B$90="Да")</x:f>
        <x:v>0</x:v>
      </x:c>
      <x:c r="AA77" t="n">
        <x:f>--AND(AA$3&gt;=EDATE($B$75,-'Вводные'!$E$90),AA$3&lt;$B$76,'Вводные'!$B$90="Да")</x:f>
        <x:v>0</x:v>
      </x:c>
      <x:c r="AB77" t="n">
        <x:f>--AND(AB$3&gt;=EDATE($B$75,-'Вводные'!$E$90),AB$3&lt;$B$76,'Вводные'!$B$90="Да")</x:f>
        <x:v>0</x:v>
      </x:c>
      <x:c r="AC77" t="n">
        <x:f>--AND(AC$3&gt;=EDATE($B$75,-'Вводные'!$E$90),AC$3&lt;$B$76,'Вводные'!$B$90="Да")</x:f>
        <x:v>0</x:v>
      </x:c>
      <x:c r="AD77" t="n">
        <x:f>--AND(AD$3&gt;=EDATE($B$75,-'Вводные'!$E$90),AD$3&lt;$B$76,'Вводные'!$B$90="Да")</x:f>
        <x:v>0</x:v>
      </x:c>
      <x:c r="AE77" t="n">
        <x:f>--AND(AE$3&gt;=EDATE($B$75,-'Вводные'!$E$90),AE$3&lt;$B$76,'Вводные'!$B$90="Да")</x:f>
        <x:v>0</x:v>
      </x:c>
      <x:c r="AF77" t="n">
        <x:f>--AND(AF$3&gt;=EDATE($B$75,-'Вводные'!$E$90),AF$3&lt;$B$76,'Вводные'!$B$90="Да")</x:f>
        <x:v>0</x:v>
      </x:c>
      <x:c r="AG77" t="n">
        <x:f>--AND(AG$3&gt;=EDATE($B$75,-'Вводные'!$E$90),AG$3&lt;$B$76,'Вводные'!$B$90="Да")</x:f>
        <x:v>0</x:v>
      </x:c>
      <x:c r="AH77" t="n">
        <x:f>--AND(AH$3&gt;=EDATE($B$75,-'Вводные'!$E$90),AH$3&lt;$B$76,'Вводные'!$B$90="Да")</x:f>
        <x:v>0</x:v>
      </x:c>
      <x:c r="AI77" t="n">
        <x:f>--AND(AI$3&gt;=EDATE($B$75,-'Вводные'!$E$90),AI$3&lt;$B$76,'Вводные'!$B$90="Да")</x:f>
        <x:v>0</x:v>
      </x:c>
      <x:c r="AJ77" t="n">
        <x:f>--AND(AJ$3&gt;=EDATE($B$75,-'Вводные'!$E$90),AJ$3&lt;$B$76,'Вводные'!$B$90="Да")</x:f>
        <x:v>0</x:v>
      </x:c>
      <x:c r="AK77" t="n">
        <x:f>--AND(AK$3&gt;=EDATE($B$75,-'Вводные'!$E$90),AK$3&lt;$B$76,'Вводные'!$B$90="Да")</x:f>
        <x:v>0</x:v>
      </x:c>
      <x:c r="AL77" t="n">
        <x:f>--AND(AL$3&gt;=EDATE($B$75,-'Вводные'!$E$90),AL$3&lt;$B$76,'Вводные'!$B$90="Да")</x:f>
        <x:v>0</x:v>
      </x:c>
      <x:c r="AM77" t="n">
        <x:f>--AND(AM$3&gt;=EDATE($B$75,-'Вводные'!$E$90),AM$3&lt;$B$76,'Вводные'!$B$90="Да")</x:f>
        <x:v>0</x:v>
      </x:c>
      <x:c r="AN77" t="n">
        <x:f>--AND(AN$3&gt;=EDATE($B$75,-'Вводные'!$E$90),AN$3&lt;$B$76,'Вводные'!$B$90="Да")</x:f>
        <x:v>0</x:v>
      </x:c>
      <x:c r="AO77" t="n">
        <x:f>--AND(AO$3&gt;=EDATE($B$75,-'Вводные'!$E$90),AO$3&lt;$B$76,'Вводные'!$B$90="Да")</x:f>
        <x:v>0</x:v>
      </x:c>
      <x:c r="AP77" t="n">
        <x:f>--AND(AP$3&gt;=EDATE($B$75,-'Вводные'!$E$90),AP$3&lt;$B$76,'Вводные'!$B$90="Да")</x:f>
        <x:v>0</x:v>
      </x:c>
      <x:c r="AQ77" t="n">
        <x:f>--AND(AQ$3&gt;=EDATE($B$75,-'Вводные'!$E$90),AQ$3&lt;$B$76,'Вводные'!$B$90="Да")</x:f>
        <x:v>0</x:v>
      </x:c>
      <x:c r="AR77" t="n">
        <x:f>--AND(AR$3&gt;=EDATE($B$75,-'Вводные'!$E$90),AR$3&lt;$B$76,'Вводные'!$B$90="Да")</x:f>
        <x:v>0</x:v>
      </x:c>
      <x:c r="AS77" t="n">
        <x:f>--AND(AS$3&gt;=EDATE($B$75,-'Вводные'!$E$90),AS$3&lt;$B$76,'Вводные'!$B$90="Да")</x:f>
        <x:v>0</x:v>
      </x:c>
      <x:c r="AT77" t="n">
        <x:f>--AND(AT$3&gt;=EDATE($B$75,-'Вводные'!$E$90),AT$3&lt;$B$76,'Вводные'!$B$90="Да")</x:f>
        <x:v>0</x:v>
      </x:c>
      <x:c r="AU77" t="n">
        <x:f>--AND(AU$3&gt;=EDATE($B$75,-'Вводные'!$E$90),AU$3&lt;$B$76,'Вводные'!$B$90="Да")</x:f>
        <x:v>0</x:v>
      </x:c>
      <x:c r="AV77" t="n">
        <x:f>--AND(AV$3&gt;=EDATE($B$75,-'Вводные'!$E$90),AV$3&lt;$B$76,'Вводные'!$B$90="Да")</x:f>
        <x:v>0</x:v>
      </x:c>
      <x:c r="AW77" t="n">
        <x:f>--AND(AW$3&gt;=EDATE($B$75,-'Вводные'!$E$90),AW$3&lt;$B$76,'Вводные'!$B$90="Да")</x:f>
        <x:v>0</x:v>
      </x:c>
      <x:c r="AX77" t="n">
        <x:f>--AND(AX$3&gt;=EDATE($B$75,-'Вводные'!$E$90),AX$3&lt;$B$76,'Вводные'!$B$90="Да")</x:f>
        <x:v>0</x:v>
      </x:c>
      <x:c r="AY77" t="n">
        <x:f>--AND(AY$3&gt;=EDATE($B$75,-'Вводные'!$E$90),AY$3&lt;$B$76,'Вводные'!$B$90="Да")</x:f>
        <x:v>0</x:v>
      </x:c>
      <x:c r="AZ77" t="n">
        <x:f>--AND(AZ$3&gt;=EDATE($B$75,-'Вводные'!$E$90),AZ$3&lt;$B$76,'Вводные'!$B$90="Да")</x:f>
        <x:v>0</x:v>
      </x:c>
      <x:c r="BA77" t="n">
        <x:f>--AND(BA$3&gt;=EDATE($B$75,-'Вводные'!$E$90),BA$3&lt;$B$76,'Вводные'!$B$90="Да")</x:f>
        <x:v>0</x:v>
      </x:c>
      <x:c r="BB77" t="n">
        <x:f>--AND(BB$3&gt;=EDATE($B$75,-'Вводные'!$E$90),BB$3&lt;$B$76,'Вводные'!$B$90="Да")</x:f>
        <x:v>0</x:v>
      </x:c>
      <x:c r="BC77" t="n">
        <x:f>--AND(BC$3&gt;=EDATE($B$75,-'Вводные'!$E$90),BC$3&lt;$B$76,'Вводные'!$B$90="Да")</x:f>
        <x:v>0</x:v>
      </x:c>
      <x:c r="BD77" t="n">
        <x:f>--AND(BD$3&gt;=EDATE($B$75,-'Вводные'!$E$90),BD$3&lt;$B$76,'Вводные'!$B$90="Да")</x:f>
        <x:v>0</x:v>
      </x:c>
      <x:c r="BE77" t="n">
        <x:f>--AND(BE$3&gt;=EDATE($B$75,-'Вводные'!$E$90),BE$3&lt;$B$76,'Вводные'!$B$90="Да")</x:f>
        <x:v>0</x:v>
      </x:c>
      <x:c r="BF77" t="n">
        <x:f>--AND(BF$3&gt;=EDATE($B$75,-'Вводные'!$E$90),BF$3&lt;$B$76,'Вводные'!$B$90="Да")</x:f>
        <x:v>0</x:v>
      </x:c>
      <x:c r="BG77" t="n">
        <x:f>--AND(BG$3&gt;=EDATE($B$75,-'Вводные'!$E$90),BG$3&lt;$B$76,'Вводные'!$B$90="Да")</x:f>
        <x:v>0</x:v>
      </x:c>
      <x:c r="BH77" t="n">
        <x:f>--AND(BH$3&gt;=EDATE($B$75,-'Вводные'!$E$90),BH$3&lt;$B$76,'Вводные'!$B$90="Да")</x:f>
        <x:v>0</x:v>
      </x:c>
      <x:c r="BI77" t="n">
        <x:f>--AND(BI$3&gt;=EDATE($B$75,-'Вводные'!$E$90),BI$3&lt;$B$76,'Вводные'!$B$90="Да")</x:f>
        <x:v>0</x:v>
      </x:c>
      <x:c r="BJ77" t="n">
        <x:f>--AND(BJ$3&gt;=EDATE($B$75,-'Вводные'!$E$90),BJ$3&lt;$B$76,'Вводные'!$B$90="Да")</x:f>
        <x:v>0</x:v>
      </x:c>
      <x:c r="BK77" t="n">
        <x:f>--AND(BK$3&gt;=EDATE($B$75,-'Вводные'!$E$90),BK$3&lt;$B$76,'Вводные'!$B$90="Да")</x:f>
        <x:v>0</x:v>
      </x:c>
      <x:c r="BL77" t="n">
        <x:f>--AND(BL$3&gt;=EDATE($B$75,-'Вводные'!$E$90),BL$3&lt;$B$76,'Вводные'!$B$90="Да")</x:f>
        <x:v>0</x:v>
      </x:c>
      <x:c r="BM77" t="n">
        <x:f>--AND(BM$3&gt;=EDATE($B$75,-'Вводные'!$E$90),BM$3&lt;$B$76,'Вводные'!$B$90="Да")</x:f>
        <x:v>0</x:v>
      </x:c>
      <x:c r="BN77" t="n">
        <x:f>--AND(BN$3&gt;=EDATE($B$75,-'Вводные'!$E$90),BN$3&lt;$B$76,'Вводные'!$B$90="Да")</x:f>
        <x:v>0</x:v>
      </x:c>
      <x:c r="BO77" t="n">
        <x:f>--AND(BO$3&gt;=EDATE($B$75,-'Вводные'!$E$90),BO$3&lt;$B$76,'Вводные'!$B$90="Да")</x:f>
        <x:v>0</x:v>
      </x:c>
      <x:c r="BP77" t="n">
        <x:f>--AND(BP$3&gt;=EDATE($B$75,-'Вводные'!$E$90),BP$3&lt;$B$76,'Вводные'!$B$90="Да")</x:f>
        <x:v>0</x:v>
      </x:c>
      <x:c r="BQ77" t="n">
        <x:f>--AND(BQ$3&gt;=EDATE($B$75,-'Вводные'!$E$90),BQ$3&lt;$B$76,'Вводные'!$B$90="Да")</x:f>
        <x:v>0</x:v>
      </x:c>
      <x:c r="BR77" t="n">
        <x:f>--AND(BR$3&gt;=EDATE($B$75,-'Вводные'!$E$90),BR$3&lt;$B$76,'Вводные'!$B$90="Да")</x:f>
        <x:v>0</x:v>
      </x:c>
      <x:c r="BS77" t="n">
        <x:f>--AND(BS$3&gt;=EDATE($B$75,-'Вводные'!$E$90),BS$3&lt;$B$76,'Вводные'!$B$90="Да")</x:f>
        <x:v>0</x:v>
      </x:c>
      <x:c r="BT77" t="n">
        <x:f>--AND(BT$3&gt;=EDATE($B$75,-'Вводные'!$E$90),BT$3&lt;$B$76,'Вводные'!$B$90="Да")</x:f>
        <x:v>0</x:v>
      </x:c>
      <x:c r="BU77" t="n">
        <x:f>--AND(BU$3&gt;=EDATE($B$75,-'Вводные'!$E$90),BU$3&lt;$B$76,'Вводные'!$B$90="Да")</x:f>
        <x:v>0</x:v>
      </x:c>
      <x:c r="BV77" t="n">
        <x:f>--AND(BV$3&gt;=EDATE($B$75,-'Вводные'!$E$90),BV$3&lt;$B$76,'Вводные'!$B$90="Да")</x:f>
        <x:v>0</x:v>
      </x:c>
      <x:c r="BW77" t="n">
        <x:f>--AND(BW$3&gt;=EDATE($B$75,-'Вводные'!$E$90),BW$3&lt;$B$76,'Вводные'!$B$90="Да")</x:f>
        <x:v>0</x:v>
      </x:c>
      <x:c r="BX77" t="n">
        <x:f>--AND(BX$3&gt;=EDATE($B$75,-'Вводные'!$E$90),BX$3&lt;$B$76,'Вводные'!$B$90="Да")</x:f>
        <x:v>0</x:v>
      </x:c>
      <x:c r="BY77" t="n">
        <x:f>--AND(BY$3&gt;=EDATE($B$75,-'Вводные'!$E$90),BY$3&lt;$B$76,'Вводные'!$B$90="Да")</x:f>
        <x:v>0</x:v>
      </x:c>
      <x:c r="BZ77" t="n">
        <x:f>--AND(BZ$3&gt;=EDATE($B$75,-'Вводные'!$E$90),BZ$3&lt;$B$76,'Вводные'!$B$90="Да")</x:f>
        <x:v>0</x:v>
      </x:c>
      <x:c r="CA77" t="n">
        <x:f>--AND(CA$3&gt;=EDATE($B$75,-'Вводные'!$E$90),CA$3&lt;$B$76,'Вводные'!$B$90="Да")</x:f>
        <x:v>0</x:v>
      </x:c>
      <x:c r="CB77" t="n">
        <x:f>--AND(CB$3&gt;=EDATE($B$75,-'Вводные'!$E$90),CB$3&lt;$B$76,'Вводные'!$B$90="Да")</x:f>
        <x:v>0</x:v>
      </x:c>
      <x:c r="CC77" t="n">
        <x:f>--AND(CC$3&gt;=EDATE($B$75,-'Вводные'!$E$90),CC$3&lt;$B$76,'Вводные'!$B$90="Да")</x:f>
        <x:v>0</x:v>
      </x:c>
      <x:c r="CD77" t="n">
        <x:f>--AND(CD$3&gt;=EDATE($B$75,-'Вводные'!$E$90),CD$3&lt;$B$76,'Вводные'!$B$90="Да")</x:f>
        <x:v>0</x:v>
      </x:c>
      <x:c r="CE77" t="n">
        <x:f>--AND(CE$3&gt;=EDATE($B$75,-'Вводные'!$E$90),CE$3&lt;$B$76,'Вводные'!$B$90="Да")</x:f>
        <x:v>0</x:v>
      </x:c>
      <x:c r="CF77" t="n">
        <x:f>--AND(CF$3&gt;=EDATE($B$75,-'Вводные'!$E$90),CF$3&lt;$B$76,'Вводные'!$B$90="Да")</x:f>
        <x:v>0</x:v>
      </x:c>
      <x:c r="CG77" t="n">
        <x:f>--AND(CG$3&gt;=EDATE($B$75,-'Вводные'!$E$90),CG$3&lt;$B$76,'Вводные'!$B$90="Да")</x:f>
        <x:v>0</x:v>
      </x:c>
      <x:c r="CH77" t="n">
        <x:f>--AND(CH$3&gt;=EDATE($B$75,-'Вводные'!$E$90),CH$3&lt;$B$76,'Вводные'!$B$90="Да")</x:f>
        <x:v>0</x:v>
      </x:c>
      <x:c r="CI77" t="n">
        <x:f>--AND(CI$3&gt;=EDATE($B$75,-'Вводные'!$E$90),CI$3&lt;$B$76,'Вводные'!$B$90="Да")</x:f>
        <x:v>0</x:v>
      </x:c>
      <x:c r="CJ77" t="n">
        <x:f>--AND(CJ$3&gt;=EDATE($B$75,-'Вводные'!$E$90),CJ$3&lt;$B$76,'Вводные'!$B$90="Да")</x:f>
        <x:v>0</x:v>
      </x:c>
      <x:c r="CK77" t="n">
        <x:f>--AND(CK$3&gt;=EDATE($B$75,-'Вводные'!$E$90),CK$3&lt;$B$76,'Вводные'!$B$90="Да")</x:f>
        <x:v>0</x:v>
      </x:c>
      <x:c r="CL77" t="n">
        <x:f>--AND(CL$3&gt;=EDATE($B$75,-'Вводные'!$E$90),CL$3&lt;$B$76,'Вводные'!$B$90="Да")</x:f>
        <x:v>0</x:v>
      </x:c>
      <x:c r="CM77" t="n">
        <x:f>--AND(CM$3&gt;=EDATE($B$75,-'Вводные'!$E$90),CM$3&lt;$B$76,'Вводные'!$B$90="Да")</x:f>
        <x:v>0</x:v>
      </x:c>
      <x:c r="CN77" t="n">
        <x:f>--AND(CN$3&gt;=EDATE($B$75,-'Вводные'!$E$90),CN$3&lt;$B$76,'Вводные'!$B$90="Да")</x:f>
        <x:v>0</x:v>
      </x:c>
      <x:c r="CO77" t="n">
        <x:f>--AND(CO$3&gt;=EDATE($B$75,-'Вводные'!$E$90),CO$3&lt;$B$76,'Вводные'!$B$90="Да")</x:f>
        <x:v>0</x:v>
      </x:c>
      <x:c r="CP77" t="n">
        <x:f>--AND(CP$3&gt;=EDATE($B$75,-'Вводные'!$E$90),CP$3&lt;$B$76,'Вводные'!$B$90="Да")</x:f>
        <x:v>0</x:v>
      </x:c>
      <x:c r="CQ77" t="n">
        <x:f>--AND(CQ$3&gt;=EDATE($B$75,-'Вводные'!$E$90),CQ$3&lt;$B$76,'Вводные'!$B$90="Да")</x:f>
        <x:v>0</x:v>
      </x:c>
      <x:c r="CR77" t="n">
        <x:f>--AND(CR$3&gt;=EDATE($B$75,-'Вводные'!$E$90),CR$3&lt;$B$76,'Вводные'!$B$90="Да")</x:f>
        <x:v>0</x:v>
      </x:c>
      <x:c r="CS77" t="n">
        <x:f>--AND(CS$3&gt;=EDATE($B$75,-'Вводные'!$E$90),CS$3&lt;$B$76,'Вводные'!$B$90="Да")</x:f>
        <x:v>0</x:v>
      </x:c>
      <x:c r="CT77" t="n">
        <x:f>--AND(CT$3&gt;=EDATE($B$75,-'Вводные'!$E$90),CT$3&lt;$B$76,'Вводные'!$B$90="Да")</x:f>
        <x:v>0</x:v>
      </x:c>
      <x:c r="CU77" t="n">
        <x:f>--AND(CU$3&gt;=EDATE($B$75,-'Вводные'!$E$90),CU$3&lt;$B$76,'Вводные'!$B$90="Да")</x:f>
        <x:v>0</x:v>
      </x:c>
      <x:c r="CV77" t="n">
        <x:f>--AND(CV$3&gt;=EDATE($B$75,-'Вводные'!$E$90),CV$3&lt;$B$76,'Вводные'!$B$90="Да")</x:f>
        <x:v>0</x:v>
      </x:c>
      <x:c r="CW77" t="n">
        <x:f>--AND(CW$3&gt;=EDATE($B$75,-'Вводные'!$E$90),CW$3&lt;$B$76,'Вводные'!$B$90="Да")</x:f>
        <x:v>0</x:v>
      </x:c>
      <x:c r="CX77" t="n">
        <x:f>--AND(CX$3&gt;=EDATE($B$75,-'Вводные'!$E$90),CX$3&lt;$B$76,'Вводные'!$B$90="Да")</x:f>
        <x:v>0</x:v>
      </x:c>
      <x:c r="CY77" t="n">
        <x:f>--AND(CY$3&gt;=EDATE($B$75,-'Вводные'!$E$90),CY$3&lt;$B$76,'Вводные'!$B$90="Да")</x:f>
        <x:v>0</x:v>
      </x:c>
      <x:c r="CZ77" t="n">
        <x:f>--AND(CZ$3&gt;=EDATE($B$75,-'Вводные'!$E$90),CZ$3&lt;$B$76,'Вводные'!$B$90="Да")</x:f>
        <x:v>0</x:v>
      </x:c>
      <x:c r="DA77" t="n">
        <x:f>--AND(DA$3&gt;=EDATE($B$75,-'Вводные'!$E$90),DA$3&lt;$B$76,'Вводные'!$B$90="Да")</x:f>
        <x:v>0</x:v>
      </x:c>
      <x:c r="DB77" t="n">
        <x:f>--AND(DB$3&gt;=EDATE($B$75,-'Вводные'!$E$90),DB$3&lt;$B$76,'Вводные'!$B$90="Да")</x:f>
        <x:v>0</x:v>
      </x:c>
      <x:c r="DC77" t="n">
        <x:f>--AND(DC$3&gt;=EDATE($B$75,-'Вводные'!$E$90),DC$3&lt;$B$76,'Вводные'!$B$90="Да")</x:f>
        <x:v>0</x:v>
      </x:c>
      <x:c r="DD77" t="n">
        <x:f>--AND(DD$3&gt;=EDATE($B$75,-'Вводные'!$E$90),DD$3&lt;$B$76,'Вводные'!$B$90="Да")</x:f>
        <x:v>0</x:v>
      </x:c>
      <x:c r="DE77" t="n">
        <x:f>--AND(DE$3&gt;=EDATE($B$75,-'Вводные'!$E$90),DE$3&lt;$B$76,'Вводные'!$B$90="Да")</x:f>
        <x:v>0</x:v>
      </x:c>
      <x:c r="DF77" t="n">
        <x:f>--AND(DF$3&gt;=EDATE($B$75,-'Вводные'!$E$90),DF$3&lt;$B$76,'Вводные'!$B$90="Да")</x:f>
        <x:v>0</x:v>
      </x:c>
      <x:c r="DG77" t="n">
        <x:f>--AND(DG$3&gt;=EDATE($B$75,-'Вводные'!$E$90),DG$3&lt;$B$76,'Вводные'!$B$90="Да")</x:f>
        <x:v>0</x:v>
      </x:c>
      <x:c r="DH77" t="n">
        <x:f>--AND(DH$3&gt;=EDATE($B$75,-'Вводные'!$E$90),DH$3&lt;$B$76,'Вводные'!$B$90="Да")</x:f>
        <x:v>0</x:v>
      </x:c>
      <x:c r="DI77" t="n">
        <x:f>--AND(DI$3&gt;=EDATE($B$75,-'Вводные'!$E$90),DI$3&lt;$B$76,'Вводные'!$B$90="Да")</x:f>
        <x:v>0</x:v>
      </x:c>
      <x:c r="DJ77" t="n">
        <x:f>--AND(DJ$3&gt;=EDATE($B$75,-'Вводные'!$E$90),DJ$3&lt;$B$76,'Вводные'!$B$90="Да")</x:f>
        <x:v>0</x:v>
      </x:c>
      <x:c r="DK77" t="n">
        <x:f>--AND(DK$3&gt;=EDATE($B$75,-'Вводные'!$E$90),DK$3&lt;$B$76,'Вводные'!$B$90="Да")</x:f>
        <x:v>0</x:v>
      </x:c>
      <x:c r="DL77" t="n">
        <x:f>--AND(DL$3&gt;=EDATE($B$75,-'Вводные'!$E$90),DL$3&lt;$B$76,'Вводные'!$B$90="Да")</x:f>
        <x:v>0</x:v>
      </x:c>
      <x:c r="DM77" t="n">
        <x:f>--AND(DM$3&gt;=EDATE($B$75,-'Вводные'!$E$90),DM$3&lt;$B$76,'Вводные'!$B$90="Да")</x:f>
        <x:v>0</x:v>
      </x:c>
      <x:c r="DN77" t="n">
        <x:f>--AND(DN$3&gt;=EDATE($B$75,-'Вводные'!$E$90),DN$3&lt;$B$76,'Вводные'!$B$90="Да")</x:f>
        <x:v>0</x:v>
      </x:c>
      <x:c r="DO77" t="n">
        <x:f>--AND(DO$3&gt;=EDATE($B$75,-'Вводные'!$E$90),DO$3&lt;$B$76,'Вводные'!$B$90="Да")</x:f>
        <x:v>0</x:v>
      </x:c>
      <x:c r="DP77" t="n">
        <x:f>--AND(DP$3&gt;=EDATE($B$75,-'Вводные'!$E$90),DP$3&lt;$B$76,'Вводные'!$B$90="Да")</x:f>
        <x:v>0</x:v>
      </x:c>
      <x:c r="DQ77" t="n">
        <x:f>--AND(DQ$3&gt;=EDATE($B$75,-'Вводные'!$E$90),DQ$3&lt;$B$76,'Вводные'!$B$90="Да")</x:f>
        <x:v>0</x:v>
      </x:c>
      <x:c r="DR77" t="n">
        <x:f>--AND(DR$3&gt;=EDATE($B$75,-'Вводные'!$E$90),DR$3&lt;$B$76,'Вводные'!$B$90="Да")</x:f>
        <x:v>0</x:v>
      </x:c>
      <x:c r="DS77" t="n">
        <x:f>--AND(DS$3&gt;=EDATE($B$75,-'Вводные'!$E$90),DS$3&lt;$B$76,'Вводные'!$B$90="Да")</x:f>
        <x:v>0</x:v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  <x:v>0</x:v>
      </x:c>
      <x:c r="E78" s="35" t="n">
        <x:f>IFERROR(E77/SUM($D77:$DS77),0)</x:f>
        <x:v>0</x:v>
      </x:c>
      <x:c r="F78" s="35" t="n">
        <x:f>IFERROR(F77/SUM($D77:$DS77),0)</x:f>
        <x:v>0</x:v>
      </x:c>
      <x:c r="G78" s="35" t="n">
        <x:f>IFERROR(G77/SUM($D77:$DS77),0)</x:f>
        <x:v>0</x:v>
      </x:c>
      <x:c r="H78" s="35" t="n">
        <x:f>IFERROR(H77/SUM($D77:$DS77),0)</x:f>
        <x:v>0</x:v>
      </x:c>
      <x:c r="I78" s="35" t="n">
        <x:f>IFERROR(I77/SUM($D77:$DS77),0)</x:f>
        <x:v>0</x:v>
      </x:c>
      <x:c r="J78" s="35" t="n">
        <x:f>IFERROR(J77/SUM($D77:$DS77),0)</x:f>
        <x:v>0</x:v>
      </x:c>
      <x:c r="K78" s="35" t="n">
        <x:f>IFERROR(K77/SUM($D77:$DS77),0)</x:f>
        <x:v>0</x:v>
      </x:c>
      <x:c r="L78" s="35" t="n">
        <x:f>IFERROR(L77/SUM($D77:$DS77),0)</x:f>
        <x:v>0</x:v>
      </x:c>
      <x:c r="M78" s="35" t="n">
        <x:f>IFERROR(M77/SUM($D77:$DS77),0)</x:f>
        <x:v>0</x:v>
      </x:c>
      <x:c r="N78" s="35" t="n">
        <x:f>IFERROR(N77/SUM($D77:$DS77),0)</x:f>
        <x:v>0</x:v>
      </x:c>
      <x:c r="O78" s="35" t="n">
        <x:f>IFERROR(O77/SUM($D77:$DS77),0)</x:f>
        <x:v>0</x:v>
      </x:c>
      <x:c r="P78" s="35" t="n">
        <x:f>IFERROR(P77/SUM($D77:$DS77),0)</x:f>
        <x:v>0</x:v>
      </x:c>
      <x:c r="Q78" s="35" t="n">
        <x:f>IFERROR(Q77/SUM($D77:$DS77),0)</x:f>
        <x:v>0</x:v>
      </x:c>
      <x:c r="R78" s="35" t="n">
        <x:f>IFERROR(R77/SUM($D77:$DS77),0)</x:f>
        <x:v>0</x:v>
      </x:c>
      <x:c r="S78" s="35" t="n">
        <x:f>IFERROR(S77/SUM($D77:$DS77),0)</x:f>
        <x:v>0</x:v>
      </x:c>
      <x:c r="T78" s="35" t="n">
        <x:f>IFERROR(T77/SUM($D77:$DS77),0)</x:f>
        <x:v>0</x:v>
      </x:c>
      <x:c r="U78" s="35" t="n">
        <x:f>IFERROR(U77/SUM($D77:$DS77),0)</x:f>
        <x:v>0</x:v>
      </x:c>
      <x:c r="V78" s="35" t="n">
        <x:f>IFERROR(V77/SUM($D77:$DS77),0)</x:f>
        <x:v>0</x:v>
      </x:c>
      <x:c r="W78" s="35" t="n">
        <x:f>IFERROR(W77/SUM($D77:$DS77),0)</x:f>
        <x:v>0</x:v>
      </x:c>
      <x:c r="X78" s="35" t="n">
        <x:f>IFERROR(X77/SUM($D77:$DS77),0)</x:f>
        <x:v>0</x:v>
      </x:c>
      <x:c r="Y78" s="35" t="n">
        <x:f>IFERROR(Y77/SUM($D77:$DS77),0)</x:f>
        <x:v>0</x:v>
      </x:c>
      <x:c r="Z78" s="35" t="n">
        <x:f>IFERROR(Z77/SUM($D77:$DS77),0)</x:f>
        <x:v>0</x:v>
      </x:c>
      <x:c r="AA78" s="35" t="n">
        <x:f>IFERROR(AA77/SUM($D77:$DS77),0)</x:f>
        <x:v>0</x:v>
      </x:c>
      <x:c r="AB78" s="35" t="n">
        <x:f>IFERROR(AB77/SUM($D77:$DS77),0)</x:f>
        <x:v>0</x:v>
      </x:c>
      <x:c r="AC78" s="35" t="n">
        <x:f>IFERROR(AC77/SUM($D77:$DS77),0)</x:f>
        <x:v>0</x:v>
      </x:c>
      <x:c r="AD78" s="35" t="n">
        <x:f>IFERROR(AD77/SUM($D77:$DS77),0)</x:f>
        <x:v>0</x:v>
      </x:c>
      <x:c r="AE78" s="35" t="n">
        <x:f>IFERROR(AE77/SUM($D77:$DS77),0)</x:f>
        <x:v>0</x:v>
      </x:c>
      <x:c r="AF78" s="35" t="n">
        <x:f>IFERROR(AF77/SUM($D77:$DS77),0)</x:f>
        <x:v>0</x:v>
      </x:c>
      <x:c r="AG78" s="35" t="n">
        <x:f>IFERROR(AG77/SUM($D77:$DS77),0)</x:f>
        <x:v>0</x:v>
      </x:c>
      <x:c r="AH78" s="35" t="n">
        <x:f>IFERROR(AH77/SUM($D77:$DS77),0)</x:f>
        <x:v>0</x:v>
      </x:c>
      <x:c r="AI78" s="35" t="n">
        <x:f>IFERROR(AI77/SUM($D77:$DS77),0)</x:f>
        <x:v>0</x:v>
      </x:c>
      <x:c r="AJ78" s="35" t="n">
        <x:f>IFERROR(AJ77/SUM($D77:$DS77),0)</x:f>
        <x:v>0</x:v>
      </x:c>
      <x:c r="AK78" s="35" t="n">
        <x:f>IFERROR(AK77/SUM($D77:$DS77),0)</x:f>
        <x:v>0</x:v>
      </x:c>
      <x:c r="AL78" s="35" t="n">
        <x:f>IFERROR(AL77/SUM($D77:$DS77),0)</x:f>
        <x:v>0</x:v>
      </x:c>
      <x:c r="AM78" s="35" t="n">
        <x:f>IFERROR(AM77/SUM($D77:$DS77),0)</x:f>
        <x:v>0</x:v>
      </x:c>
      <x:c r="AN78" s="35" t="n">
        <x:f>IFERROR(AN77/SUM($D77:$DS77),0)</x:f>
        <x:v>0</x:v>
      </x:c>
      <x:c r="AO78" s="35" t="n">
        <x:f>IFERROR(AO77/SUM($D77:$DS77),0)</x:f>
        <x:v>0</x:v>
      </x:c>
      <x:c r="AP78" s="35" t="n">
        <x:f>IFERROR(AP77/SUM($D77:$DS77),0)</x:f>
        <x:v>0</x:v>
      </x:c>
      <x:c r="AQ78" s="35" t="n">
        <x:f>IFERROR(AQ77/SUM($D77:$DS77),0)</x:f>
        <x:v>0</x:v>
      </x:c>
      <x:c r="AR78" s="35" t="n">
        <x:f>IFERROR(AR77/SUM($D77:$DS77),0)</x:f>
        <x:v>0</x:v>
      </x:c>
      <x:c r="AS78" s="35" t="n">
        <x:f>IFERROR(AS77/SUM($D77:$DS77),0)</x:f>
        <x:v>0</x:v>
      </x:c>
      <x:c r="AT78" s="35" t="n">
        <x:f>IFERROR(AT77/SUM($D77:$DS77),0)</x:f>
        <x:v>0</x:v>
      </x:c>
      <x:c r="AU78" s="35" t="n">
        <x:f>IFERROR(AU77/SUM($D77:$DS77),0)</x:f>
        <x:v>0</x:v>
      </x:c>
      <x:c r="AV78" s="35" t="n">
        <x:f>IFERROR(AV77/SUM($D77:$DS77),0)</x:f>
        <x:v>0</x:v>
      </x:c>
      <x:c r="AW78" s="35" t="n">
        <x:f>IFERROR(AW77/SUM($D77:$DS77),0)</x:f>
        <x:v>0</x:v>
      </x:c>
      <x:c r="AX78" s="35" t="n">
        <x:f>IFERROR(AX77/SUM($D77:$DS77),0)</x:f>
        <x:v>0</x:v>
      </x:c>
      <x:c r="AY78" s="35" t="n">
        <x:f>IFERROR(AY77/SUM($D77:$DS77),0)</x:f>
        <x:v>0</x:v>
      </x:c>
      <x:c r="AZ78" s="35" t="n">
        <x:f>IFERROR(AZ77/SUM($D77:$DS77),0)</x:f>
        <x:v>0</x:v>
      </x:c>
      <x:c r="BA78" s="35" t="n">
        <x:f>IFERROR(BA77/SUM($D77:$DS77),0)</x:f>
        <x:v>0</x:v>
      </x:c>
      <x:c r="BB78" s="35" t="n">
        <x:f>IFERROR(BB77/SUM($D77:$DS77),0)</x:f>
        <x:v>0</x:v>
      </x:c>
      <x:c r="BC78" s="35" t="n">
        <x:f>IFERROR(BC77/SUM($D77:$DS77),0)</x:f>
        <x:v>0</x:v>
      </x:c>
      <x:c r="BD78" s="35" t="n">
        <x:f>IFERROR(BD77/SUM($D77:$DS77),0)</x:f>
        <x:v>0</x:v>
      </x:c>
      <x:c r="BE78" s="35" t="n">
        <x:f>IFERROR(BE77/SUM($D77:$DS77),0)</x:f>
        <x:v>0</x:v>
      </x:c>
      <x:c r="BF78" s="35" t="n">
        <x:f>IFERROR(BF77/SUM($D77:$DS77),0)</x:f>
        <x:v>0</x:v>
      </x:c>
      <x:c r="BG78" s="35" t="n">
        <x:f>IFERROR(BG77/SUM($D77:$DS77),0)</x:f>
        <x:v>0</x:v>
      </x:c>
      <x:c r="BH78" s="35" t="n">
        <x:f>IFERROR(BH77/SUM($D77:$DS77),0)</x:f>
        <x:v>0</x:v>
      </x:c>
      <x:c r="BI78" s="35" t="n">
        <x:f>IFERROR(BI77/SUM($D77:$DS77),0)</x:f>
        <x:v>0</x:v>
      </x:c>
      <x:c r="BJ78" s="35" t="n">
        <x:f>IFERROR(BJ77/SUM($D77:$DS77),0)</x:f>
        <x:v>0</x:v>
      </x:c>
      <x:c r="BK78" s="35" t="n">
        <x:f>IFERROR(BK77/SUM($D77:$DS77),0)</x:f>
        <x:v>0</x:v>
      </x:c>
      <x:c r="BL78" s="35" t="n">
        <x:f>IFERROR(BL77/SUM($D77:$DS77),0)</x:f>
        <x:v>0</x:v>
      </x:c>
      <x:c r="BM78" s="35" t="n">
        <x:f>IFERROR(BM77/SUM($D77:$DS77),0)</x:f>
        <x:v>0</x:v>
      </x:c>
      <x:c r="BN78" s="35" t="n">
        <x:f>IFERROR(BN77/SUM($D77:$DS77),0)</x:f>
        <x:v>0</x:v>
      </x:c>
      <x:c r="BO78" s="35" t="n">
        <x:f>IFERROR(BO77/SUM($D77:$DS77),0)</x:f>
        <x:v>0</x:v>
      </x:c>
      <x:c r="BP78" s="35" t="n">
        <x:f>IFERROR(BP77/SUM($D77:$DS77),0)</x:f>
        <x:v>0</x:v>
      </x:c>
      <x:c r="BQ78" s="35" t="n">
        <x:f>IFERROR(BQ77/SUM($D77:$DS77),0)</x:f>
        <x:v>0</x:v>
      </x:c>
      <x:c r="BR78" s="35" t="n">
        <x:f>IFERROR(BR77/SUM($D77:$DS77),0)</x:f>
        <x:v>0</x:v>
      </x:c>
      <x:c r="BS78" s="35" t="n">
        <x:f>IFERROR(BS77/SUM($D77:$DS77),0)</x:f>
        <x:v>0</x:v>
      </x:c>
      <x:c r="BT78" s="35" t="n">
        <x:f>IFERROR(BT77/SUM($D77:$DS77),0)</x:f>
        <x:v>0</x:v>
      </x:c>
      <x:c r="BU78" s="35" t="n">
        <x:f>IFERROR(BU77/SUM($D77:$DS77),0)</x:f>
        <x:v>0</x:v>
      </x:c>
      <x:c r="BV78" s="35" t="n">
        <x:f>IFERROR(BV77/SUM($D77:$DS77),0)</x:f>
        <x:v>0</x:v>
      </x:c>
      <x:c r="BW78" s="35" t="n">
        <x:f>IFERROR(BW77/SUM($D77:$DS77),0)</x:f>
        <x:v>0</x:v>
      </x:c>
      <x:c r="BX78" s="35" t="n">
        <x:f>IFERROR(BX77/SUM($D77:$DS77),0)</x:f>
        <x:v>0</x:v>
      </x:c>
      <x:c r="BY78" s="35" t="n">
        <x:f>IFERROR(BY77/SUM($D77:$DS77),0)</x:f>
        <x:v>0</x:v>
      </x:c>
      <x:c r="BZ78" s="35" t="n">
        <x:f>IFERROR(BZ77/SUM($D77:$DS77),0)</x:f>
        <x:v>0</x:v>
      </x:c>
      <x:c r="CA78" s="35" t="n">
        <x:f>IFERROR(CA77/SUM($D77:$DS77),0)</x:f>
        <x:v>0</x:v>
      </x:c>
      <x:c r="CB78" s="35" t="n">
        <x:f>IFERROR(CB77/SUM($D77:$DS77),0)</x:f>
        <x:v>0</x:v>
      </x:c>
      <x:c r="CC78" s="35" t="n">
        <x:f>IFERROR(CC77/SUM($D77:$DS77),0)</x:f>
        <x:v>0</x:v>
      </x:c>
      <x:c r="CD78" s="35" t="n">
        <x:f>IFERROR(CD77/SUM($D77:$DS77),0)</x:f>
        <x:v>0</x:v>
      </x:c>
      <x:c r="CE78" s="35" t="n">
        <x:f>IFERROR(CE77/SUM($D77:$DS77),0)</x:f>
        <x:v>0</x:v>
      </x:c>
      <x:c r="CF78" s="35" t="n">
        <x:f>IFERROR(CF77/SUM($D77:$DS77),0)</x:f>
        <x:v>0</x:v>
      </x:c>
      <x:c r="CG78" s="35" t="n">
        <x:f>IFERROR(CG77/SUM($D77:$DS77),0)</x:f>
        <x:v>0</x:v>
      </x:c>
      <x:c r="CH78" s="35" t="n">
        <x:f>IFERROR(CH77/SUM($D77:$DS77),0)</x:f>
        <x:v>0</x:v>
      </x:c>
      <x:c r="CI78" s="35" t="n">
        <x:f>IFERROR(CI77/SUM($D77:$DS77),0)</x:f>
        <x:v>0</x:v>
      </x:c>
      <x:c r="CJ78" s="35" t="n">
        <x:f>IFERROR(CJ77/SUM($D77:$DS77),0)</x:f>
        <x:v>0</x:v>
      </x:c>
      <x:c r="CK78" s="35" t="n">
        <x:f>IFERROR(CK77/SUM($D77:$DS77),0)</x:f>
        <x:v>0</x:v>
      </x:c>
      <x:c r="CL78" s="35" t="n">
        <x:f>IFERROR(CL77/SUM($D77:$DS77),0)</x:f>
        <x:v>0</x:v>
      </x:c>
      <x:c r="CM78" s="35" t="n">
        <x:f>IFERROR(CM77/SUM($D77:$DS77),0)</x:f>
        <x:v>0</x:v>
      </x:c>
      <x:c r="CN78" s="35" t="n">
        <x:f>IFERROR(CN77/SUM($D77:$DS77),0)</x:f>
        <x:v>0</x:v>
      </x:c>
      <x:c r="CO78" s="35" t="n">
        <x:f>IFERROR(CO77/SUM($D77:$DS77),0)</x:f>
        <x:v>0</x:v>
      </x:c>
      <x:c r="CP78" s="35" t="n">
        <x:f>IFERROR(CP77/SUM($D77:$DS77),0)</x:f>
        <x:v>0</x:v>
      </x:c>
      <x:c r="CQ78" s="35" t="n">
        <x:f>IFERROR(CQ77/SUM($D77:$DS77),0)</x:f>
        <x:v>0</x:v>
      </x:c>
      <x:c r="CR78" s="35" t="n">
        <x:f>IFERROR(CR77/SUM($D77:$DS77),0)</x:f>
        <x:v>0</x:v>
      </x:c>
      <x:c r="CS78" s="35" t="n">
        <x:f>IFERROR(CS77/SUM($D77:$DS77),0)</x:f>
        <x:v>0</x:v>
      </x:c>
      <x:c r="CT78" s="35" t="n">
        <x:f>IFERROR(CT77/SUM($D77:$DS77),0)</x:f>
        <x:v>0</x:v>
      </x:c>
      <x:c r="CU78" s="35" t="n">
        <x:f>IFERROR(CU77/SUM($D77:$DS77),0)</x:f>
        <x:v>0</x:v>
      </x:c>
      <x:c r="CV78" s="35" t="n">
        <x:f>IFERROR(CV77/SUM($D77:$DS77),0)</x:f>
        <x:v>0</x:v>
      </x:c>
      <x:c r="CW78" s="35" t="n">
        <x:f>IFERROR(CW77/SUM($D77:$DS77),0)</x:f>
        <x:v>0</x:v>
      </x:c>
      <x:c r="CX78" s="35" t="n">
        <x:f>IFERROR(CX77/SUM($D77:$DS77),0)</x:f>
        <x:v>0</x:v>
      </x:c>
      <x:c r="CY78" s="35" t="n">
        <x:f>IFERROR(CY77/SUM($D77:$DS77),0)</x:f>
        <x:v>0</x:v>
      </x:c>
      <x:c r="CZ78" s="35" t="n">
        <x:f>IFERROR(CZ77/SUM($D77:$DS77),0)</x:f>
        <x:v>0</x:v>
      </x:c>
      <x:c r="DA78" s="35" t="n">
        <x:f>IFERROR(DA77/SUM($D77:$DS77),0)</x:f>
        <x:v>0</x:v>
      </x:c>
      <x:c r="DB78" s="35" t="n">
        <x:f>IFERROR(DB77/SUM($D77:$DS77),0)</x:f>
        <x:v>0</x:v>
      </x:c>
      <x:c r="DC78" s="35" t="n">
        <x:f>IFERROR(DC77/SUM($D77:$DS77),0)</x:f>
        <x:v>0</x:v>
      </x:c>
      <x:c r="DD78" s="35" t="n">
        <x:f>IFERROR(DD77/SUM($D77:$DS77),0)</x:f>
        <x:v>0</x:v>
      </x:c>
      <x:c r="DE78" s="35" t="n">
        <x:f>IFERROR(DE77/SUM($D77:$DS77),0)</x:f>
        <x:v>0</x:v>
      </x:c>
      <x:c r="DF78" s="35" t="n">
        <x:f>IFERROR(DF77/SUM($D77:$DS77),0)</x:f>
        <x:v>0</x:v>
      </x:c>
      <x:c r="DG78" s="35" t="n">
        <x:f>IFERROR(DG77/SUM($D77:$DS77),0)</x:f>
        <x:v>0</x:v>
      </x:c>
      <x:c r="DH78" s="35" t="n">
        <x:f>IFERROR(DH77/SUM($D77:$DS77),0)</x:f>
        <x:v>0</x:v>
      </x:c>
      <x:c r="DI78" s="35" t="n">
        <x:f>IFERROR(DI77/SUM($D77:$DS77),0)</x:f>
        <x:v>0</x:v>
      </x:c>
      <x:c r="DJ78" s="35" t="n">
        <x:f>IFERROR(DJ77/SUM($D77:$DS77),0)</x:f>
        <x:v>0</x:v>
      </x:c>
      <x:c r="DK78" s="35" t="n">
        <x:f>IFERROR(DK77/SUM($D77:$DS77),0)</x:f>
        <x:v>0</x:v>
      </x:c>
      <x:c r="DL78" s="35" t="n">
        <x:f>IFERROR(DL77/SUM($D77:$DS77),0)</x:f>
        <x:v>0</x:v>
      </x:c>
      <x:c r="DM78" s="35" t="n">
        <x:f>IFERROR(DM77/SUM($D77:$DS77),0)</x:f>
        <x:v>0</x:v>
      </x:c>
      <x:c r="DN78" s="35" t="n">
        <x:f>IFERROR(DN77/SUM($D77:$DS77),0)</x:f>
        <x:v>0</x:v>
      </x:c>
      <x:c r="DO78" s="35" t="n">
        <x:f>IFERROR(DO77/SUM($D77:$DS77),0)</x:f>
        <x:v>0</x:v>
      </x:c>
      <x:c r="DP78" s="35" t="n">
        <x:f>IFERROR(DP77/SUM($D77:$DS77),0)</x:f>
        <x:v>0</x:v>
      </x:c>
      <x:c r="DQ78" s="35" t="n">
        <x:f>IFERROR(DQ77/SUM($D77:$DS77),0)</x:f>
        <x:v>0</x:v>
      </x:c>
      <x:c r="DR78" s="35" t="n">
        <x:f>IFERROR(DR77/SUM($D77:$DS77),0)</x:f>
        <x:v>0</x:v>
      </x:c>
      <x:c r="DS78" s="35" t="n">
        <x:f>IFERROR(DS77/SUM($D77:$DS77),0)</x:f>
        <x:v>0</x:v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  <x:v>0</x:v>
      </x:c>
      <x:c r="E79" s="35" t="n">
        <x:f>--AND(E$3&gt;=$B$75,E$3&lt;$B$76,'Вводные'!$B$90="Да")</x:f>
        <x:v>0</x:v>
      </x:c>
      <x:c r="F79" s="35" t="n">
        <x:f>--AND(F$3&gt;=$B$75,F$3&lt;$B$76,'Вводные'!$B$90="Да")</x:f>
        <x:v>0</x:v>
      </x:c>
      <x:c r="G79" s="35" t="n">
        <x:f>--AND(G$3&gt;=$B$75,G$3&lt;$B$76,'Вводные'!$B$90="Да")</x:f>
        <x:v>0</x:v>
      </x:c>
      <x:c r="H79" s="35" t="n">
        <x:f>--AND(H$3&gt;=$B$75,H$3&lt;$B$76,'Вводные'!$B$90="Да")</x:f>
        <x:v>0</x:v>
      </x:c>
      <x:c r="I79" s="35" t="n">
        <x:f>--AND(I$3&gt;=$B$75,I$3&lt;$B$76,'Вводные'!$B$90="Да")</x:f>
        <x:v>0</x:v>
      </x:c>
      <x:c r="J79" s="35" t="n">
        <x:f>--AND(J$3&gt;=$B$75,J$3&lt;$B$76,'Вводные'!$B$90="Да")</x:f>
        <x:v>0</x:v>
      </x:c>
      <x:c r="K79" s="35" t="n">
        <x:f>--AND(K$3&gt;=$B$75,K$3&lt;$B$76,'Вводные'!$B$90="Да")</x:f>
        <x:v>0</x:v>
      </x:c>
      <x:c r="L79" s="35" t="n">
        <x:f>--AND(L$3&gt;=$B$75,L$3&lt;$B$76,'Вводные'!$B$90="Да")</x:f>
        <x:v>0</x:v>
      </x:c>
      <x:c r="M79" s="35" t="n">
        <x:f>--AND(M$3&gt;=$B$75,M$3&lt;$B$76,'Вводные'!$B$90="Да")</x:f>
        <x:v>0</x:v>
      </x:c>
      <x:c r="N79" s="35" t="n">
        <x:f>--AND(N$3&gt;=$B$75,N$3&lt;$B$76,'Вводные'!$B$90="Да")</x:f>
        <x:v>0</x:v>
      </x:c>
      <x:c r="O79" s="35" t="n">
        <x:f>--AND(O$3&gt;=$B$75,O$3&lt;$B$76,'Вводные'!$B$90="Да")</x:f>
        <x:v>0</x:v>
      </x:c>
      <x:c r="P79" s="35" t="n">
        <x:f>--AND(P$3&gt;=$B$75,P$3&lt;$B$76,'Вводные'!$B$90="Да")</x:f>
        <x:v>0</x:v>
      </x:c>
      <x:c r="Q79" s="35" t="n">
        <x:f>--AND(Q$3&gt;=$B$75,Q$3&lt;$B$76,'Вводные'!$B$90="Да")</x:f>
        <x:v>0</x:v>
      </x:c>
      <x:c r="R79" s="35" t="n">
        <x:f>--AND(R$3&gt;=$B$75,R$3&lt;$B$76,'Вводные'!$B$90="Да")</x:f>
        <x:v>0</x:v>
      </x:c>
      <x:c r="S79" s="35" t="n">
        <x:f>--AND(S$3&gt;=$B$75,S$3&lt;$B$76,'Вводные'!$B$90="Да")</x:f>
        <x:v>0</x:v>
      </x:c>
      <x:c r="T79" s="35" t="n">
        <x:f>--AND(T$3&gt;=$B$75,T$3&lt;$B$76,'Вводные'!$B$90="Да")</x:f>
        <x:v>0</x:v>
      </x:c>
      <x:c r="U79" s="35" t="n">
        <x:f>--AND(U$3&gt;=$B$75,U$3&lt;$B$76,'Вводные'!$B$90="Да")</x:f>
        <x:v>0</x:v>
      </x:c>
      <x:c r="V79" s="35" t="n">
        <x:f>--AND(V$3&gt;=$B$75,V$3&lt;$B$76,'Вводные'!$B$90="Да")</x:f>
        <x:v>0</x:v>
      </x:c>
      <x:c r="W79" s="35" t="n">
        <x:f>--AND(W$3&gt;=$B$75,W$3&lt;$B$76,'Вводные'!$B$90="Да")</x:f>
        <x:v>0</x:v>
      </x:c>
      <x:c r="X79" s="35" t="n">
        <x:f>--AND(X$3&gt;=$B$75,X$3&lt;$B$76,'Вводные'!$B$90="Да")</x:f>
        <x:v>0</x:v>
      </x:c>
      <x:c r="Y79" s="35" t="n">
        <x:f>--AND(Y$3&gt;=$B$75,Y$3&lt;$B$76,'Вводные'!$B$90="Да")</x:f>
        <x:v>0</x:v>
      </x:c>
      <x:c r="Z79" s="35" t="n">
        <x:f>--AND(Z$3&gt;=$B$75,Z$3&lt;$B$76,'Вводные'!$B$90="Да")</x:f>
        <x:v>0</x:v>
      </x:c>
      <x:c r="AA79" s="35" t="n">
        <x:f>--AND(AA$3&gt;=$B$75,AA$3&lt;$B$76,'Вводные'!$B$90="Да")</x:f>
        <x:v>0</x:v>
      </x:c>
      <x:c r="AB79" s="35" t="n">
        <x:f>--AND(AB$3&gt;=$B$75,AB$3&lt;$B$76,'Вводные'!$B$90="Да")</x:f>
        <x:v>0</x:v>
      </x:c>
      <x:c r="AC79" s="35" t="n">
        <x:f>--AND(AC$3&gt;=$B$75,AC$3&lt;$B$76,'Вводные'!$B$90="Да")</x:f>
        <x:v>0</x:v>
      </x:c>
      <x:c r="AD79" s="35" t="n">
        <x:f>--AND(AD$3&gt;=$B$75,AD$3&lt;$B$76,'Вводные'!$B$90="Да")</x:f>
        <x:v>0</x:v>
      </x:c>
      <x:c r="AE79" s="35" t="n">
        <x:f>--AND(AE$3&gt;=$B$75,AE$3&lt;$B$76,'Вводные'!$B$90="Да")</x:f>
        <x:v>0</x:v>
      </x:c>
      <x:c r="AF79" s="35" t="n">
        <x:f>--AND(AF$3&gt;=$B$75,AF$3&lt;$B$76,'Вводные'!$B$90="Да")</x:f>
        <x:v>0</x:v>
      </x:c>
      <x:c r="AG79" s="35" t="n">
        <x:f>--AND(AG$3&gt;=$B$75,AG$3&lt;$B$76,'Вводные'!$B$90="Да")</x:f>
        <x:v>0</x:v>
      </x:c>
      <x:c r="AH79" s="35" t="n">
        <x:f>--AND(AH$3&gt;=$B$75,AH$3&lt;$B$76,'Вводные'!$B$90="Да")</x:f>
        <x:v>0</x:v>
      </x:c>
      <x:c r="AI79" s="35" t="n">
        <x:f>--AND(AI$3&gt;=$B$75,AI$3&lt;$B$76,'Вводные'!$B$90="Да")</x:f>
        <x:v>0</x:v>
      </x:c>
      <x:c r="AJ79" s="35" t="n">
        <x:f>--AND(AJ$3&gt;=$B$75,AJ$3&lt;$B$76,'Вводные'!$B$90="Да")</x:f>
        <x:v>0</x:v>
      </x:c>
      <x:c r="AK79" s="35" t="n">
        <x:f>--AND(AK$3&gt;=$B$75,AK$3&lt;$B$76,'Вводные'!$B$90="Да")</x:f>
        <x:v>0</x:v>
      </x:c>
      <x:c r="AL79" s="35" t="n">
        <x:f>--AND(AL$3&gt;=$B$75,AL$3&lt;$B$76,'Вводные'!$B$90="Да")</x:f>
        <x:v>0</x:v>
      </x:c>
      <x:c r="AM79" s="35" t="n">
        <x:f>--AND(AM$3&gt;=$B$75,AM$3&lt;$B$76,'Вводные'!$B$90="Да")</x:f>
        <x:v>0</x:v>
      </x:c>
      <x:c r="AN79" s="35" t="n">
        <x:f>--AND(AN$3&gt;=$B$75,AN$3&lt;$B$76,'Вводные'!$B$90="Да")</x:f>
        <x:v>0</x:v>
      </x:c>
      <x:c r="AO79" s="35" t="n">
        <x:f>--AND(AO$3&gt;=$B$75,AO$3&lt;$B$76,'Вводные'!$B$90="Да")</x:f>
        <x:v>0</x:v>
      </x:c>
      <x:c r="AP79" s="35" t="n">
        <x:f>--AND(AP$3&gt;=$B$75,AP$3&lt;$B$76,'Вводные'!$B$90="Да")</x:f>
        <x:v>0</x:v>
      </x:c>
      <x:c r="AQ79" s="35" t="n">
        <x:f>--AND(AQ$3&gt;=$B$75,AQ$3&lt;$B$76,'Вводные'!$B$90="Да")</x:f>
        <x:v>0</x:v>
      </x:c>
      <x:c r="AR79" s="35" t="n">
        <x:f>--AND(AR$3&gt;=$B$75,AR$3&lt;$B$76,'Вводные'!$B$90="Да")</x:f>
        <x:v>0</x:v>
      </x:c>
      <x:c r="AS79" s="35" t="n">
        <x:f>--AND(AS$3&gt;=$B$75,AS$3&lt;$B$76,'Вводные'!$B$90="Да")</x:f>
        <x:v>0</x:v>
      </x:c>
      <x:c r="AT79" s="35" t="n">
        <x:f>--AND(AT$3&gt;=$B$75,AT$3&lt;$B$76,'Вводные'!$B$90="Да")</x:f>
        <x:v>0</x:v>
      </x:c>
      <x:c r="AU79" s="35" t="n">
        <x:f>--AND(AU$3&gt;=$B$75,AU$3&lt;$B$76,'Вводные'!$B$90="Да")</x:f>
        <x:v>0</x:v>
      </x:c>
      <x:c r="AV79" s="35" t="n">
        <x:f>--AND(AV$3&gt;=$B$75,AV$3&lt;$B$76,'Вводные'!$B$90="Да")</x:f>
        <x:v>0</x:v>
      </x:c>
      <x:c r="AW79" s="35" t="n">
        <x:f>--AND(AW$3&gt;=$B$75,AW$3&lt;$B$76,'Вводные'!$B$90="Да")</x:f>
        <x:v>0</x:v>
      </x:c>
      <x:c r="AX79" s="35" t="n">
        <x:f>--AND(AX$3&gt;=$B$75,AX$3&lt;$B$76,'Вводные'!$B$90="Да")</x:f>
        <x:v>0</x:v>
      </x:c>
      <x:c r="AY79" s="35" t="n">
        <x:f>--AND(AY$3&gt;=$B$75,AY$3&lt;$B$76,'Вводные'!$B$90="Да")</x:f>
        <x:v>0</x:v>
      </x:c>
      <x:c r="AZ79" s="35" t="n">
        <x:f>--AND(AZ$3&gt;=$B$75,AZ$3&lt;$B$76,'Вводные'!$B$90="Да")</x:f>
        <x:v>0</x:v>
      </x:c>
      <x:c r="BA79" s="35" t="n">
        <x:f>--AND(BA$3&gt;=$B$75,BA$3&lt;$B$76,'Вводные'!$B$90="Да")</x:f>
        <x:v>0</x:v>
      </x:c>
      <x:c r="BB79" s="35" t="n">
        <x:f>--AND(BB$3&gt;=$B$75,BB$3&lt;$B$76,'Вводные'!$B$90="Да")</x:f>
        <x:v>0</x:v>
      </x:c>
      <x:c r="BC79" s="35" t="n">
        <x:f>--AND(BC$3&gt;=$B$75,BC$3&lt;$B$76,'Вводные'!$B$90="Да")</x:f>
        <x:v>0</x:v>
      </x:c>
      <x:c r="BD79" s="35" t="n">
        <x:f>--AND(BD$3&gt;=$B$75,BD$3&lt;$B$76,'Вводные'!$B$90="Да")</x:f>
        <x:v>0</x:v>
      </x:c>
      <x:c r="BE79" s="35" t="n">
        <x:f>--AND(BE$3&gt;=$B$75,BE$3&lt;$B$76,'Вводные'!$B$90="Да")</x:f>
        <x:v>0</x:v>
      </x:c>
      <x:c r="BF79" s="35" t="n">
        <x:f>--AND(BF$3&gt;=$B$75,BF$3&lt;$B$76,'Вводные'!$B$90="Да")</x:f>
        <x:v>0</x:v>
      </x:c>
      <x:c r="BG79" s="35" t="n">
        <x:f>--AND(BG$3&gt;=$B$75,BG$3&lt;$B$76,'Вводные'!$B$90="Да")</x:f>
        <x:v>0</x:v>
      </x:c>
      <x:c r="BH79" s="35" t="n">
        <x:f>--AND(BH$3&gt;=$B$75,BH$3&lt;$B$76,'Вводные'!$B$90="Да")</x:f>
        <x:v>0</x:v>
      </x:c>
      <x:c r="BI79" s="35" t="n">
        <x:f>--AND(BI$3&gt;=$B$75,BI$3&lt;$B$76,'Вводные'!$B$90="Да")</x:f>
        <x:v>0</x:v>
      </x:c>
      <x:c r="BJ79" s="35" t="n">
        <x:f>--AND(BJ$3&gt;=$B$75,BJ$3&lt;$B$76,'Вводные'!$B$90="Да")</x:f>
        <x:v>0</x:v>
      </x:c>
      <x:c r="BK79" s="35" t="n">
        <x:f>--AND(BK$3&gt;=$B$75,BK$3&lt;$B$76,'Вводные'!$B$90="Да")</x:f>
        <x:v>0</x:v>
      </x:c>
      <x:c r="BL79" s="35" t="n">
        <x:f>--AND(BL$3&gt;=$B$75,BL$3&lt;$B$76,'Вводные'!$B$90="Да")</x:f>
        <x:v>0</x:v>
      </x:c>
      <x:c r="BM79" s="35" t="n">
        <x:f>--AND(BM$3&gt;=$B$75,BM$3&lt;$B$76,'Вводные'!$B$90="Да")</x:f>
        <x:v>0</x:v>
      </x:c>
      <x:c r="BN79" s="35" t="n">
        <x:f>--AND(BN$3&gt;=$B$75,BN$3&lt;$B$76,'Вводные'!$B$90="Да")</x:f>
        <x:v>0</x:v>
      </x:c>
      <x:c r="BO79" s="35" t="n">
        <x:f>--AND(BO$3&gt;=$B$75,BO$3&lt;$B$76,'Вводные'!$B$90="Да")</x:f>
        <x:v>0</x:v>
      </x:c>
      <x:c r="BP79" s="35" t="n">
        <x:f>--AND(BP$3&gt;=$B$75,BP$3&lt;$B$76,'Вводные'!$B$90="Да")</x:f>
        <x:v>0</x:v>
      </x:c>
      <x:c r="BQ79" s="35" t="n">
        <x:f>--AND(BQ$3&gt;=$B$75,BQ$3&lt;$B$76,'Вводные'!$B$90="Да")</x:f>
        <x:v>0</x:v>
      </x:c>
      <x:c r="BR79" s="35" t="n">
        <x:f>--AND(BR$3&gt;=$B$75,BR$3&lt;$B$76,'Вводные'!$B$90="Да")</x:f>
        <x:v>0</x:v>
      </x:c>
      <x:c r="BS79" s="35" t="n">
        <x:f>--AND(BS$3&gt;=$B$75,BS$3&lt;$B$76,'Вводные'!$B$90="Да")</x:f>
        <x:v>0</x:v>
      </x:c>
      <x:c r="BT79" s="35" t="n">
        <x:f>--AND(BT$3&gt;=$B$75,BT$3&lt;$B$76,'Вводные'!$B$90="Да")</x:f>
        <x:v>0</x:v>
      </x:c>
      <x:c r="BU79" s="35" t="n">
        <x:f>--AND(BU$3&gt;=$B$75,BU$3&lt;$B$76,'Вводные'!$B$90="Да")</x:f>
        <x:v>0</x:v>
      </x:c>
      <x:c r="BV79" s="35" t="n">
        <x:f>--AND(BV$3&gt;=$B$75,BV$3&lt;$B$76,'Вводные'!$B$90="Да")</x:f>
        <x:v>0</x:v>
      </x:c>
      <x:c r="BW79" s="35" t="n">
        <x:f>--AND(BW$3&gt;=$B$75,BW$3&lt;$B$76,'Вводные'!$B$90="Да")</x:f>
        <x:v>0</x:v>
      </x:c>
      <x:c r="BX79" s="35" t="n">
        <x:f>--AND(BX$3&gt;=$B$75,BX$3&lt;$B$76,'Вводные'!$B$90="Да")</x:f>
        <x:v>0</x:v>
      </x:c>
      <x:c r="BY79" s="35" t="n">
        <x:f>--AND(BY$3&gt;=$B$75,BY$3&lt;$B$76,'Вводные'!$B$90="Да")</x:f>
        <x:v>0</x:v>
      </x:c>
      <x:c r="BZ79" s="35" t="n">
        <x:f>--AND(BZ$3&gt;=$B$75,BZ$3&lt;$B$76,'Вводные'!$B$90="Да")</x:f>
        <x:v>0</x:v>
      </x:c>
      <x:c r="CA79" s="35" t="n">
        <x:f>--AND(CA$3&gt;=$B$75,CA$3&lt;$B$76,'Вводные'!$B$90="Да")</x:f>
        <x:v>0</x:v>
      </x:c>
      <x:c r="CB79" s="35" t="n">
        <x:f>--AND(CB$3&gt;=$B$75,CB$3&lt;$B$76,'Вводные'!$B$90="Да")</x:f>
        <x:v>0</x:v>
      </x:c>
      <x:c r="CC79" s="35" t="n">
        <x:f>--AND(CC$3&gt;=$B$75,CC$3&lt;$B$76,'Вводные'!$B$90="Да")</x:f>
        <x:v>0</x:v>
      </x:c>
      <x:c r="CD79" s="35" t="n">
        <x:f>--AND(CD$3&gt;=$B$75,CD$3&lt;$B$76,'Вводные'!$B$90="Да")</x:f>
        <x:v>0</x:v>
      </x:c>
      <x:c r="CE79" s="35" t="n">
        <x:f>--AND(CE$3&gt;=$B$75,CE$3&lt;$B$76,'Вводные'!$B$90="Да")</x:f>
        <x:v>0</x:v>
      </x:c>
      <x:c r="CF79" s="35" t="n">
        <x:f>--AND(CF$3&gt;=$B$75,CF$3&lt;$B$76,'Вводные'!$B$90="Да")</x:f>
        <x:v>0</x:v>
      </x:c>
      <x:c r="CG79" s="35" t="n">
        <x:f>--AND(CG$3&gt;=$B$75,CG$3&lt;$B$76,'Вводные'!$B$90="Да")</x:f>
        <x:v>0</x:v>
      </x:c>
      <x:c r="CH79" s="35" t="n">
        <x:f>--AND(CH$3&gt;=$B$75,CH$3&lt;$B$76,'Вводные'!$B$90="Да")</x:f>
        <x:v>0</x:v>
      </x:c>
      <x:c r="CI79" s="35" t="n">
        <x:f>--AND(CI$3&gt;=$B$75,CI$3&lt;$B$76,'Вводные'!$B$90="Да")</x:f>
        <x:v>0</x:v>
      </x:c>
      <x:c r="CJ79" s="35" t="n">
        <x:f>--AND(CJ$3&gt;=$B$75,CJ$3&lt;$B$76,'Вводные'!$B$90="Да")</x:f>
        <x:v>0</x:v>
      </x:c>
      <x:c r="CK79" s="35" t="n">
        <x:f>--AND(CK$3&gt;=$B$75,CK$3&lt;$B$76,'Вводные'!$B$90="Да")</x:f>
        <x:v>0</x:v>
      </x:c>
      <x:c r="CL79" s="35" t="n">
        <x:f>--AND(CL$3&gt;=$B$75,CL$3&lt;$B$76,'Вводные'!$B$90="Да")</x:f>
        <x:v>0</x:v>
      </x:c>
      <x:c r="CM79" s="35" t="n">
        <x:f>--AND(CM$3&gt;=$B$75,CM$3&lt;$B$76,'Вводные'!$B$90="Да")</x:f>
        <x:v>0</x:v>
      </x:c>
      <x:c r="CN79" s="35" t="n">
        <x:f>--AND(CN$3&gt;=$B$75,CN$3&lt;$B$76,'Вводные'!$B$90="Да")</x:f>
        <x:v>0</x:v>
      </x:c>
      <x:c r="CO79" s="35" t="n">
        <x:f>--AND(CO$3&gt;=$B$75,CO$3&lt;$B$76,'Вводные'!$B$90="Да")</x:f>
        <x:v>0</x:v>
      </x:c>
      <x:c r="CP79" s="35" t="n">
        <x:f>--AND(CP$3&gt;=$B$75,CP$3&lt;$B$76,'Вводные'!$B$90="Да")</x:f>
        <x:v>0</x:v>
      </x:c>
      <x:c r="CQ79" s="35" t="n">
        <x:f>--AND(CQ$3&gt;=$B$75,CQ$3&lt;$B$76,'Вводные'!$B$90="Да")</x:f>
        <x:v>0</x:v>
      </x:c>
      <x:c r="CR79" s="35" t="n">
        <x:f>--AND(CR$3&gt;=$B$75,CR$3&lt;$B$76,'Вводные'!$B$90="Да")</x:f>
        <x:v>0</x:v>
      </x:c>
      <x:c r="CS79" s="35" t="n">
        <x:f>--AND(CS$3&gt;=$B$75,CS$3&lt;$B$76,'Вводные'!$B$90="Да")</x:f>
        <x:v>0</x:v>
      </x:c>
      <x:c r="CT79" s="35" t="n">
        <x:f>--AND(CT$3&gt;=$B$75,CT$3&lt;$B$76,'Вводные'!$B$90="Да")</x:f>
        <x:v>0</x:v>
      </x:c>
      <x:c r="CU79" s="35" t="n">
        <x:f>--AND(CU$3&gt;=$B$75,CU$3&lt;$B$76,'Вводные'!$B$90="Да")</x:f>
        <x:v>0</x:v>
      </x:c>
      <x:c r="CV79" s="35" t="n">
        <x:f>--AND(CV$3&gt;=$B$75,CV$3&lt;$B$76,'Вводные'!$B$90="Да")</x:f>
        <x:v>0</x:v>
      </x:c>
      <x:c r="CW79" s="35" t="n">
        <x:f>--AND(CW$3&gt;=$B$75,CW$3&lt;$B$76,'Вводные'!$B$90="Да")</x:f>
        <x:v>0</x:v>
      </x:c>
      <x:c r="CX79" s="35" t="n">
        <x:f>--AND(CX$3&gt;=$B$75,CX$3&lt;$B$76,'Вводные'!$B$90="Да")</x:f>
        <x:v>0</x:v>
      </x:c>
      <x:c r="CY79" s="35" t="n">
        <x:f>--AND(CY$3&gt;=$B$75,CY$3&lt;$B$76,'Вводные'!$B$90="Да")</x:f>
        <x:v>0</x:v>
      </x:c>
      <x:c r="CZ79" s="35" t="n">
        <x:f>--AND(CZ$3&gt;=$B$75,CZ$3&lt;$B$76,'Вводные'!$B$90="Да")</x:f>
        <x:v>0</x:v>
      </x:c>
      <x:c r="DA79" s="35" t="n">
        <x:f>--AND(DA$3&gt;=$B$75,DA$3&lt;$B$76,'Вводные'!$B$90="Да")</x:f>
        <x:v>0</x:v>
      </x:c>
      <x:c r="DB79" s="35" t="n">
        <x:f>--AND(DB$3&gt;=$B$75,DB$3&lt;$B$76,'Вводные'!$B$90="Да")</x:f>
        <x:v>0</x:v>
      </x:c>
      <x:c r="DC79" s="35" t="n">
        <x:f>--AND(DC$3&gt;=$B$75,DC$3&lt;$B$76,'Вводные'!$B$90="Да")</x:f>
        <x:v>0</x:v>
      </x:c>
      <x:c r="DD79" s="35" t="n">
        <x:f>--AND(DD$3&gt;=$B$75,DD$3&lt;$B$76,'Вводные'!$B$90="Да")</x:f>
        <x:v>0</x:v>
      </x:c>
      <x:c r="DE79" s="35" t="n">
        <x:f>--AND(DE$3&gt;=$B$75,DE$3&lt;$B$76,'Вводные'!$B$90="Да")</x:f>
        <x:v>0</x:v>
      </x:c>
      <x:c r="DF79" s="35" t="n">
        <x:f>--AND(DF$3&gt;=$B$75,DF$3&lt;$B$76,'Вводные'!$B$90="Да")</x:f>
        <x:v>0</x:v>
      </x:c>
      <x:c r="DG79" s="35" t="n">
        <x:f>--AND(DG$3&gt;=$B$75,DG$3&lt;$B$76,'Вводные'!$B$90="Да")</x:f>
        <x:v>0</x:v>
      </x:c>
      <x:c r="DH79" s="35" t="n">
        <x:f>--AND(DH$3&gt;=$B$75,DH$3&lt;$B$76,'Вводные'!$B$90="Да")</x:f>
        <x:v>0</x:v>
      </x:c>
      <x:c r="DI79" s="35" t="n">
        <x:f>--AND(DI$3&gt;=$B$75,DI$3&lt;$B$76,'Вводные'!$B$90="Да")</x:f>
        <x:v>0</x:v>
      </x:c>
      <x:c r="DJ79" s="35" t="n">
        <x:f>--AND(DJ$3&gt;=$B$75,DJ$3&lt;$B$76,'Вводные'!$B$90="Да")</x:f>
        <x:v>0</x:v>
      </x:c>
      <x:c r="DK79" s="35" t="n">
        <x:f>--AND(DK$3&gt;=$B$75,DK$3&lt;$B$76,'Вводные'!$B$90="Да")</x:f>
        <x:v>0</x:v>
      </x:c>
      <x:c r="DL79" s="35" t="n">
        <x:f>--AND(DL$3&gt;=$B$75,DL$3&lt;$B$76,'Вводные'!$B$90="Да")</x:f>
        <x:v>0</x:v>
      </x:c>
      <x:c r="DM79" s="35" t="n">
        <x:f>--AND(DM$3&gt;=$B$75,DM$3&lt;$B$76,'Вводные'!$B$90="Да")</x:f>
        <x:v>0</x:v>
      </x:c>
      <x:c r="DN79" s="35" t="n">
        <x:f>--AND(DN$3&gt;=$B$75,DN$3&lt;$B$76,'Вводные'!$B$90="Да")</x:f>
        <x:v>0</x:v>
      </x:c>
      <x:c r="DO79" s="35" t="n">
        <x:f>--AND(DO$3&gt;=$B$75,DO$3&lt;$B$76,'Вводные'!$B$90="Да")</x:f>
        <x:v>0</x:v>
      </x:c>
      <x:c r="DP79" s="35" t="n">
        <x:f>--AND(DP$3&gt;=$B$75,DP$3&lt;$B$76,'Вводные'!$B$90="Да")</x:f>
        <x:v>0</x:v>
      </x:c>
      <x:c r="DQ79" s="35" t="n">
        <x:f>--AND(DQ$3&gt;=$B$75,DQ$3&lt;$B$76,'Вводные'!$B$90="Да")</x:f>
        <x:v>0</x:v>
      </x:c>
      <x:c r="DR79" s="35" t="n">
        <x:f>--AND(DR$3&gt;=$B$75,DR$3&lt;$B$76,'Вводные'!$B$90="Да")</x:f>
        <x:v>0</x:v>
      </x:c>
      <x:c r="DS79" s="35" t="n">
        <x:f>--AND(DS$3&gt;=$B$75,DS$3&lt;$B$76,'Вводные'!$B$90="Да")</x:f>
        <x:v>0</x:v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  <x:v>0</x:v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  <x:v>0</x:v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  <x:v>0</x:v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  <x:v>0</x:v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  <x:v>0</x:v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  <x:v>0</x:v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  <x:v>0</x:v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  <x:v>0</x:v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  <x:v>0</x:v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  <x:v>0</x:v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  <x:v>0</x:v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  <x:v>0</x:v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  <x:v>0</x:v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  <x:v>0</x:v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  <x:v>0</x:v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  <x:v>0</x:v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  <x:v>0</x:v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  <x:v>0</x:v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  <x:v>0</x:v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  <x:v>0</x:v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  <x:v>0</x:v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  <x:v>0</x:v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  <x:v>0</x:v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  <x:v>0</x:v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  <x:v>0</x:v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  <x:v>0</x:v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  <x:v>0</x:v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  <x:v>0</x:v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  <x:v>0</x:v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  <x:v>0</x:v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  <x:v>0</x:v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  <x:v>0</x:v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  <x:v>0</x:v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  <x:v>0</x:v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  <x:v>0</x:v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  <x:v>0</x:v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  <x:v>0</x:v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  <x:v>0</x:v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  <x:v>0</x:v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  <x:v>0</x:v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  <x:v>0</x:v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  <x:v>0</x:v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  <x:v>0</x:v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  <x:v>0</x:v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  <x:v>0</x:v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  <x:v>0</x:v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  <x:v>0</x:v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  <x:v>0</x:v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  <x:v>0</x:v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  <x:v>0</x:v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  <x:v>0</x:v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  <x:v>0</x:v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  <x:v>0</x:v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  <x:v>0</x:v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  <x:v>0</x:v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  <x:v>0</x:v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  <x:v>0</x:v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  <x:v>0</x:v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  <x:v>0</x:v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  <x:v>0</x:v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  <x:v>0</x:v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  <x:v>0</x:v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  <x:v>0</x:v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  <x:v>0</x:v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  <x:v>0</x:v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  <x:v>0</x:v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  <x:v>0</x:v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  <x:v>0</x:v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  <x:v>0</x:v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  <x:v>0</x:v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  <x:v>0</x:v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  <x:v>0</x:v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  <x:v>0</x:v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  <x:v>0</x:v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  <x:v>0</x:v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  <x:v>0</x:v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  <x:v>0</x:v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  <x:v>0</x:v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  <x:v>0</x:v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  <x:v>0</x:v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  <x:v>0</x:v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  <x:v>0</x:v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  <x:v>0</x:v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  <x:v>0</x:v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  <x:v>0</x:v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  <x:v>0</x:v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  <x:v>0</x:v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  <x:v>0</x:v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  <x:v>0</x:v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  <x:v>0</x:v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  <x:v>0</x:v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  <x:v>0</x:v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  <x:v>0</x:v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  <x:v>0</x:v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  <x:v>0</x:v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  <x:v>0</x:v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  <x:v>0</x:v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  <x:v>0</x:v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  <x:v>0</x:v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  <x:v>0</x:v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  <x:v>0</x:v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  <x:v>0</x:v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  <x:v>0</x:v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  <x:v>0</x:v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  <x:v>0</x:v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  <x:v>0</x:v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  <x:v>0</x:v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  <x:v>0</x:v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  <x:v>0</x:v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  <x:v>0</x:v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  <x:v>0</x:v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  <x:v>0</x:v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  <x:v>0</x:v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  <x:v>0</x:v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  <x:v>0</x:v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  <x:v>0</x:v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  <x:v>0</x:v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  <x:v>0</x:v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  <x:v>0</x:v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  <x:v>0</x:v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  <x:v>0</x:v>
      </x:c>
      <x:c r="E81" s="35" t="n">
        <x:f>IFERROR(E80/SUM($D80:$DS80),0)</x:f>
        <x:v>0</x:v>
      </x:c>
      <x:c r="F81" s="35" t="n">
        <x:f>IFERROR(F80/SUM($D80:$DS80),0)</x:f>
        <x:v>0</x:v>
      </x:c>
      <x:c r="G81" s="35" t="n">
        <x:f>IFERROR(G80/SUM($D80:$DS80),0)</x:f>
        <x:v>0</x:v>
      </x:c>
      <x:c r="H81" s="35" t="n">
        <x:f>IFERROR(H80/SUM($D80:$DS80),0)</x:f>
        <x:v>0</x:v>
      </x:c>
      <x:c r="I81" s="35" t="n">
        <x:f>IFERROR(I80/SUM($D80:$DS80),0)</x:f>
        <x:v>0</x:v>
      </x:c>
      <x:c r="J81" s="35" t="n">
        <x:f>IFERROR(J80/SUM($D80:$DS80),0)</x:f>
        <x:v>0</x:v>
      </x:c>
      <x:c r="K81" s="35" t="n">
        <x:f>IFERROR(K80/SUM($D80:$DS80),0)</x:f>
        <x:v>0</x:v>
      </x:c>
      <x:c r="L81" s="35" t="n">
        <x:f>IFERROR(L80/SUM($D80:$DS80),0)</x:f>
        <x:v>0</x:v>
      </x:c>
      <x:c r="M81" s="35" t="n">
        <x:f>IFERROR(M80/SUM($D80:$DS80),0)</x:f>
        <x:v>0</x:v>
      </x:c>
      <x:c r="N81" s="35" t="n">
        <x:f>IFERROR(N80/SUM($D80:$DS80),0)</x:f>
        <x:v>0</x:v>
      </x:c>
      <x:c r="O81" s="35" t="n">
        <x:f>IFERROR(O80/SUM($D80:$DS80),0)</x:f>
        <x:v>0</x:v>
      </x:c>
      <x:c r="P81" s="35" t="n">
        <x:f>IFERROR(P80/SUM($D80:$DS80),0)</x:f>
        <x:v>0</x:v>
      </x:c>
      <x:c r="Q81" s="35" t="n">
        <x:f>IFERROR(Q80/SUM($D80:$DS80),0)</x:f>
        <x:v>0</x:v>
      </x:c>
      <x:c r="R81" s="35" t="n">
        <x:f>IFERROR(R80/SUM($D80:$DS80),0)</x:f>
        <x:v>0</x:v>
      </x:c>
      <x:c r="S81" s="35" t="n">
        <x:f>IFERROR(S80/SUM($D80:$DS80),0)</x:f>
        <x:v>0</x:v>
      </x:c>
      <x:c r="T81" s="35" t="n">
        <x:f>IFERROR(T80/SUM($D80:$DS80),0)</x:f>
        <x:v>0</x:v>
      </x:c>
      <x:c r="U81" s="35" t="n">
        <x:f>IFERROR(U80/SUM($D80:$DS80),0)</x:f>
        <x:v>0</x:v>
      </x:c>
      <x:c r="V81" s="35" t="n">
        <x:f>IFERROR(V80/SUM($D80:$DS80),0)</x:f>
        <x:v>0</x:v>
      </x:c>
      <x:c r="W81" s="35" t="n">
        <x:f>IFERROR(W80/SUM($D80:$DS80),0)</x:f>
        <x:v>0</x:v>
      </x:c>
      <x:c r="X81" s="35" t="n">
        <x:f>IFERROR(X80/SUM($D80:$DS80),0)</x:f>
        <x:v>0</x:v>
      </x:c>
      <x:c r="Y81" s="35" t="n">
        <x:f>IFERROR(Y80/SUM($D80:$DS80),0)</x:f>
        <x:v>0</x:v>
      </x:c>
      <x:c r="Z81" s="35" t="n">
        <x:f>IFERROR(Z80/SUM($D80:$DS80),0)</x:f>
        <x:v>0</x:v>
      </x:c>
      <x:c r="AA81" s="35" t="n">
        <x:f>IFERROR(AA80/SUM($D80:$DS80),0)</x:f>
        <x:v>0</x:v>
      </x:c>
      <x:c r="AB81" s="35" t="n">
        <x:f>IFERROR(AB80/SUM($D80:$DS80),0)</x:f>
        <x:v>0</x:v>
      </x:c>
      <x:c r="AC81" s="35" t="n">
        <x:f>IFERROR(AC80/SUM($D80:$DS80),0)</x:f>
        <x:v>0</x:v>
      </x:c>
      <x:c r="AD81" s="35" t="n">
        <x:f>IFERROR(AD80/SUM($D80:$DS80),0)</x:f>
        <x:v>0</x:v>
      </x:c>
      <x:c r="AE81" s="35" t="n">
        <x:f>IFERROR(AE80/SUM($D80:$DS80),0)</x:f>
        <x:v>0</x:v>
      </x:c>
      <x:c r="AF81" s="35" t="n">
        <x:f>IFERROR(AF80/SUM($D80:$DS80),0)</x:f>
        <x:v>0</x:v>
      </x:c>
      <x:c r="AG81" s="35" t="n">
        <x:f>IFERROR(AG80/SUM($D80:$DS80),0)</x:f>
        <x:v>0</x:v>
      </x:c>
      <x:c r="AH81" s="35" t="n">
        <x:f>IFERROR(AH80/SUM($D80:$DS80),0)</x:f>
        <x:v>0</x:v>
      </x:c>
      <x:c r="AI81" s="35" t="n">
        <x:f>IFERROR(AI80/SUM($D80:$DS80),0)</x:f>
        <x:v>0</x:v>
      </x:c>
      <x:c r="AJ81" s="35" t="n">
        <x:f>IFERROR(AJ80/SUM($D80:$DS80),0)</x:f>
        <x:v>0</x:v>
      </x:c>
      <x:c r="AK81" s="35" t="n">
        <x:f>IFERROR(AK80/SUM($D80:$DS80),0)</x:f>
        <x:v>0</x:v>
      </x:c>
      <x:c r="AL81" s="35" t="n">
        <x:f>IFERROR(AL80/SUM($D80:$DS80),0)</x:f>
        <x:v>0</x:v>
      </x:c>
      <x:c r="AM81" s="35" t="n">
        <x:f>IFERROR(AM80/SUM($D80:$DS80),0)</x:f>
        <x:v>0</x:v>
      </x:c>
      <x:c r="AN81" s="35" t="n">
        <x:f>IFERROR(AN80/SUM($D80:$DS80),0)</x:f>
        <x:v>0</x:v>
      </x:c>
      <x:c r="AO81" s="35" t="n">
        <x:f>IFERROR(AO80/SUM($D80:$DS80),0)</x:f>
        <x:v>0</x:v>
      </x:c>
      <x:c r="AP81" s="35" t="n">
        <x:f>IFERROR(AP80/SUM($D80:$DS80),0)</x:f>
        <x:v>0</x:v>
      </x:c>
      <x:c r="AQ81" s="35" t="n">
        <x:f>IFERROR(AQ80/SUM($D80:$DS80),0)</x:f>
        <x:v>0</x:v>
      </x:c>
      <x:c r="AR81" s="35" t="n">
        <x:f>IFERROR(AR80/SUM($D80:$DS80),0)</x:f>
        <x:v>0</x:v>
      </x:c>
      <x:c r="AS81" s="35" t="n">
        <x:f>IFERROR(AS80/SUM($D80:$DS80),0)</x:f>
        <x:v>0</x:v>
      </x:c>
      <x:c r="AT81" s="35" t="n">
        <x:f>IFERROR(AT80/SUM($D80:$DS80),0)</x:f>
        <x:v>0</x:v>
      </x:c>
      <x:c r="AU81" s="35" t="n">
        <x:f>IFERROR(AU80/SUM($D80:$DS80),0)</x:f>
        <x:v>0</x:v>
      </x:c>
      <x:c r="AV81" s="35" t="n">
        <x:f>IFERROR(AV80/SUM($D80:$DS80),0)</x:f>
        <x:v>0</x:v>
      </x:c>
      <x:c r="AW81" s="35" t="n">
        <x:f>IFERROR(AW80/SUM($D80:$DS80),0)</x:f>
        <x:v>0</x:v>
      </x:c>
      <x:c r="AX81" s="35" t="n">
        <x:f>IFERROR(AX80/SUM($D80:$DS80),0)</x:f>
        <x:v>0</x:v>
      </x:c>
      <x:c r="AY81" s="35" t="n">
        <x:f>IFERROR(AY80/SUM($D80:$DS80),0)</x:f>
        <x:v>0</x:v>
      </x:c>
      <x:c r="AZ81" s="35" t="n">
        <x:f>IFERROR(AZ80/SUM($D80:$DS80),0)</x:f>
        <x:v>0</x:v>
      </x:c>
      <x:c r="BA81" s="35" t="n">
        <x:f>IFERROR(BA80/SUM($D80:$DS80),0)</x:f>
        <x:v>0</x:v>
      </x:c>
      <x:c r="BB81" s="35" t="n">
        <x:f>IFERROR(BB80/SUM($D80:$DS80),0)</x:f>
        <x:v>0</x:v>
      </x:c>
      <x:c r="BC81" s="35" t="n">
        <x:f>IFERROR(BC80/SUM($D80:$DS80),0)</x:f>
        <x:v>0</x:v>
      </x:c>
      <x:c r="BD81" s="35" t="n">
        <x:f>IFERROR(BD80/SUM($D80:$DS80),0)</x:f>
        <x:v>0</x:v>
      </x:c>
      <x:c r="BE81" s="35" t="n">
        <x:f>IFERROR(BE80/SUM($D80:$DS80),0)</x:f>
        <x:v>0</x:v>
      </x:c>
      <x:c r="BF81" s="35" t="n">
        <x:f>IFERROR(BF80/SUM($D80:$DS80),0)</x:f>
        <x:v>0</x:v>
      </x:c>
      <x:c r="BG81" s="35" t="n">
        <x:f>IFERROR(BG80/SUM($D80:$DS80),0)</x:f>
        <x:v>0</x:v>
      </x:c>
      <x:c r="BH81" s="35" t="n">
        <x:f>IFERROR(BH80/SUM($D80:$DS80),0)</x:f>
        <x:v>0</x:v>
      </x:c>
      <x:c r="BI81" s="35" t="n">
        <x:f>IFERROR(BI80/SUM($D80:$DS80),0)</x:f>
        <x:v>0</x:v>
      </x:c>
      <x:c r="BJ81" s="35" t="n">
        <x:f>IFERROR(BJ80/SUM($D80:$DS80),0)</x:f>
        <x:v>0</x:v>
      </x:c>
      <x:c r="BK81" s="35" t="n">
        <x:f>IFERROR(BK80/SUM($D80:$DS80),0)</x:f>
        <x:v>0</x:v>
      </x:c>
      <x:c r="BL81" s="35" t="n">
        <x:f>IFERROR(BL80/SUM($D80:$DS80),0)</x:f>
        <x:v>0</x:v>
      </x:c>
      <x:c r="BM81" s="35" t="n">
        <x:f>IFERROR(BM80/SUM($D80:$DS80),0)</x:f>
        <x:v>0</x:v>
      </x:c>
      <x:c r="BN81" s="35" t="n">
        <x:f>IFERROR(BN80/SUM($D80:$DS80),0)</x:f>
        <x:v>0</x:v>
      </x:c>
      <x:c r="BO81" s="35" t="n">
        <x:f>IFERROR(BO80/SUM($D80:$DS80),0)</x:f>
        <x:v>0</x:v>
      </x:c>
      <x:c r="BP81" s="35" t="n">
        <x:f>IFERROR(BP80/SUM($D80:$DS80),0)</x:f>
        <x:v>0</x:v>
      </x:c>
      <x:c r="BQ81" s="35" t="n">
        <x:f>IFERROR(BQ80/SUM($D80:$DS80),0)</x:f>
        <x:v>0</x:v>
      </x:c>
      <x:c r="BR81" s="35" t="n">
        <x:f>IFERROR(BR80/SUM($D80:$DS80),0)</x:f>
        <x:v>0</x:v>
      </x:c>
      <x:c r="BS81" s="35" t="n">
        <x:f>IFERROR(BS80/SUM($D80:$DS80),0)</x:f>
        <x:v>0</x:v>
      </x:c>
      <x:c r="BT81" s="35" t="n">
        <x:f>IFERROR(BT80/SUM($D80:$DS80),0)</x:f>
        <x:v>0</x:v>
      </x:c>
      <x:c r="BU81" s="35" t="n">
        <x:f>IFERROR(BU80/SUM($D80:$DS80),0)</x:f>
        <x:v>0</x:v>
      </x:c>
      <x:c r="BV81" s="35" t="n">
        <x:f>IFERROR(BV80/SUM($D80:$DS80),0)</x:f>
        <x:v>0</x:v>
      </x:c>
      <x:c r="BW81" s="35" t="n">
        <x:f>IFERROR(BW80/SUM($D80:$DS80),0)</x:f>
        <x:v>0</x:v>
      </x:c>
      <x:c r="BX81" s="35" t="n">
        <x:f>IFERROR(BX80/SUM($D80:$DS80),0)</x:f>
        <x:v>0</x:v>
      </x:c>
      <x:c r="BY81" s="35" t="n">
        <x:f>IFERROR(BY80/SUM($D80:$DS80),0)</x:f>
        <x:v>0</x:v>
      </x:c>
      <x:c r="BZ81" s="35" t="n">
        <x:f>IFERROR(BZ80/SUM($D80:$DS80),0)</x:f>
        <x:v>0</x:v>
      </x:c>
      <x:c r="CA81" s="35" t="n">
        <x:f>IFERROR(CA80/SUM($D80:$DS80),0)</x:f>
        <x:v>0</x:v>
      </x:c>
      <x:c r="CB81" s="35" t="n">
        <x:f>IFERROR(CB80/SUM($D80:$DS80),0)</x:f>
        <x:v>0</x:v>
      </x:c>
      <x:c r="CC81" s="35" t="n">
        <x:f>IFERROR(CC80/SUM($D80:$DS80),0)</x:f>
        <x:v>0</x:v>
      </x:c>
      <x:c r="CD81" s="35" t="n">
        <x:f>IFERROR(CD80/SUM($D80:$DS80),0)</x:f>
        <x:v>0</x:v>
      </x:c>
      <x:c r="CE81" s="35" t="n">
        <x:f>IFERROR(CE80/SUM($D80:$DS80),0)</x:f>
        <x:v>0</x:v>
      </x:c>
      <x:c r="CF81" s="35" t="n">
        <x:f>IFERROR(CF80/SUM($D80:$DS80),0)</x:f>
        <x:v>0</x:v>
      </x:c>
      <x:c r="CG81" s="35" t="n">
        <x:f>IFERROR(CG80/SUM($D80:$DS80),0)</x:f>
        <x:v>0</x:v>
      </x:c>
      <x:c r="CH81" s="35" t="n">
        <x:f>IFERROR(CH80/SUM($D80:$DS80),0)</x:f>
        <x:v>0</x:v>
      </x:c>
      <x:c r="CI81" s="35" t="n">
        <x:f>IFERROR(CI80/SUM($D80:$DS80),0)</x:f>
        <x:v>0</x:v>
      </x:c>
      <x:c r="CJ81" s="35" t="n">
        <x:f>IFERROR(CJ80/SUM($D80:$DS80),0)</x:f>
        <x:v>0</x:v>
      </x:c>
      <x:c r="CK81" s="35" t="n">
        <x:f>IFERROR(CK80/SUM($D80:$DS80),0)</x:f>
        <x:v>0</x:v>
      </x:c>
      <x:c r="CL81" s="35" t="n">
        <x:f>IFERROR(CL80/SUM($D80:$DS80),0)</x:f>
        <x:v>0</x:v>
      </x:c>
      <x:c r="CM81" s="35" t="n">
        <x:f>IFERROR(CM80/SUM($D80:$DS80),0)</x:f>
        <x:v>0</x:v>
      </x:c>
      <x:c r="CN81" s="35" t="n">
        <x:f>IFERROR(CN80/SUM($D80:$DS80),0)</x:f>
        <x:v>0</x:v>
      </x:c>
      <x:c r="CO81" s="35" t="n">
        <x:f>IFERROR(CO80/SUM($D80:$DS80),0)</x:f>
        <x:v>0</x:v>
      </x:c>
      <x:c r="CP81" s="35" t="n">
        <x:f>IFERROR(CP80/SUM($D80:$DS80),0)</x:f>
        <x:v>0</x:v>
      </x:c>
      <x:c r="CQ81" s="35" t="n">
        <x:f>IFERROR(CQ80/SUM($D80:$DS80),0)</x:f>
        <x:v>0</x:v>
      </x:c>
      <x:c r="CR81" s="35" t="n">
        <x:f>IFERROR(CR80/SUM($D80:$DS80),0)</x:f>
        <x:v>0</x:v>
      </x:c>
      <x:c r="CS81" s="35" t="n">
        <x:f>IFERROR(CS80/SUM($D80:$DS80),0)</x:f>
        <x:v>0</x:v>
      </x:c>
      <x:c r="CT81" s="35" t="n">
        <x:f>IFERROR(CT80/SUM($D80:$DS80),0)</x:f>
        <x:v>0</x:v>
      </x:c>
      <x:c r="CU81" s="35" t="n">
        <x:f>IFERROR(CU80/SUM($D80:$DS80),0)</x:f>
        <x:v>0</x:v>
      </x:c>
      <x:c r="CV81" s="35" t="n">
        <x:f>IFERROR(CV80/SUM($D80:$DS80),0)</x:f>
        <x:v>0</x:v>
      </x:c>
      <x:c r="CW81" s="35" t="n">
        <x:f>IFERROR(CW80/SUM($D80:$DS80),0)</x:f>
        <x:v>0</x:v>
      </x:c>
      <x:c r="CX81" s="35" t="n">
        <x:f>IFERROR(CX80/SUM($D80:$DS80),0)</x:f>
        <x:v>0</x:v>
      </x:c>
      <x:c r="CY81" s="35" t="n">
        <x:f>IFERROR(CY80/SUM($D80:$DS80),0)</x:f>
        <x:v>0</x:v>
      </x:c>
      <x:c r="CZ81" s="35" t="n">
        <x:f>IFERROR(CZ80/SUM($D80:$DS80),0)</x:f>
        <x:v>0</x:v>
      </x:c>
      <x:c r="DA81" s="35" t="n">
        <x:f>IFERROR(DA80/SUM($D80:$DS80),0)</x:f>
        <x:v>0</x:v>
      </x:c>
      <x:c r="DB81" s="35" t="n">
        <x:f>IFERROR(DB80/SUM($D80:$DS80),0)</x:f>
        <x:v>0</x:v>
      </x:c>
      <x:c r="DC81" s="35" t="n">
        <x:f>IFERROR(DC80/SUM($D80:$DS80),0)</x:f>
        <x:v>0</x:v>
      </x:c>
      <x:c r="DD81" s="35" t="n">
        <x:f>IFERROR(DD80/SUM($D80:$DS80),0)</x:f>
        <x:v>0</x:v>
      </x:c>
      <x:c r="DE81" s="35" t="n">
        <x:f>IFERROR(DE80/SUM($D80:$DS80),0)</x:f>
        <x:v>0</x:v>
      </x:c>
      <x:c r="DF81" s="35" t="n">
        <x:f>IFERROR(DF80/SUM($D80:$DS80),0)</x:f>
        <x:v>0</x:v>
      </x:c>
      <x:c r="DG81" s="35" t="n">
        <x:f>IFERROR(DG80/SUM($D80:$DS80),0)</x:f>
        <x:v>0</x:v>
      </x:c>
      <x:c r="DH81" s="35" t="n">
        <x:f>IFERROR(DH80/SUM($D80:$DS80),0)</x:f>
        <x:v>0</x:v>
      </x:c>
      <x:c r="DI81" s="35" t="n">
        <x:f>IFERROR(DI80/SUM($D80:$DS80),0)</x:f>
        <x:v>0</x:v>
      </x:c>
      <x:c r="DJ81" s="35" t="n">
        <x:f>IFERROR(DJ80/SUM($D80:$DS80),0)</x:f>
        <x:v>0</x:v>
      </x:c>
      <x:c r="DK81" s="35" t="n">
        <x:f>IFERROR(DK80/SUM($D80:$DS80),0)</x:f>
        <x:v>0</x:v>
      </x:c>
      <x:c r="DL81" s="35" t="n">
        <x:f>IFERROR(DL80/SUM($D80:$DS80),0)</x:f>
        <x:v>0</x:v>
      </x:c>
      <x:c r="DM81" s="35" t="n">
        <x:f>IFERROR(DM80/SUM($D80:$DS80),0)</x:f>
        <x:v>0</x:v>
      </x:c>
      <x:c r="DN81" s="35" t="n">
        <x:f>IFERROR(DN80/SUM($D80:$DS80),0)</x:f>
        <x:v>0</x:v>
      </x:c>
      <x:c r="DO81" s="35" t="n">
        <x:f>IFERROR(DO80/SUM($D80:$DS80),0)</x:f>
        <x:v>0</x:v>
      </x:c>
      <x:c r="DP81" s="35" t="n">
        <x:f>IFERROR(DP80/SUM($D80:$DS80),0)</x:f>
        <x:v>0</x:v>
      </x:c>
      <x:c r="DQ81" s="35" t="n">
        <x:f>IFERROR(DQ80/SUM($D80:$DS80),0)</x:f>
        <x:v>0</x:v>
      </x:c>
      <x:c r="DR81" s="35" t="n">
        <x:f>IFERROR(DR80/SUM($D80:$DS80),0)</x:f>
        <x:v>0</x:v>
      </x:c>
      <x:c r="DS81" s="35" t="n">
        <x:f>IFERROR(DS80/SUM($D80:$DS80),0)</x:f>
        <x:v>0</x:v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  <x:v>0</x:v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  <x:v>0</x:v>
      </x:c>
      <x:c r="E82" s="117" t="n">
        <x:f>IF(AND(YEAR(E$3)=YEAR(EDATE('Вводные'!$D$90,'Вводные'!$H$9)),MONTH(E$3)=MONTH(EDATE('Вводные'!$D$90,'Вводные'!$H$9))),$B$82,0)</x:f>
        <x:v>0</x:v>
      </x:c>
      <x:c r="F82" s="117" t="n">
        <x:f>IF(AND(YEAR(F$3)=YEAR(EDATE('Вводные'!$D$90,'Вводные'!$H$9)),MONTH(F$3)=MONTH(EDATE('Вводные'!$D$90,'Вводные'!$H$9))),$B$82,0)</x:f>
        <x:v>0</x:v>
      </x:c>
      <x:c r="G82" s="117" t="n">
        <x:f>IF(AND(YEAR(G$3)=YEAR(EDATE('Вводные'!$D$90,'Вводные'!$H$9)),MONTH(G$3)=MONTH(EDATE('Вводные'!$D$90,'Вводные'!$H$9))),$B$82,0)</x:f>
        <x:v>0</x:v>
      </x:c>
      <x:c r="H82" s="117" t="n">
        <x:f>IF(AND(YEAR(H$3)=YEAR(EDATE('Вводные'!$D$90,'Вводные'!$H$9)),MONTH(H$3)=MONTH(EDATE('Вводные'!$D$90,'Вводные'!$H$9))),$B$82,0)</x:f>
        <x:v>0</x:v>
      </x:c>
      <x:c r="I82" s="117" t="n">
        <x:f>IF(AND(YEAR(I$3)=YEAR(EDATE('Вводные'!$D$90,'Вводные'!$H$9)),MONTH(I$3)=MONTH(EDATE('Вводные'!$D$90,'Вводные'!$H$9))),$B$82,0)</x:f>
        <x:v>0</x:v>
      </x:c>
      <x:c r="J82" s="117" t="n">
        <x:f>IF(AND(YEAR(J$3)=YEAR(EDATE('Вводные'!$D$90,'Вводные'!$H$9)),MONTH(J$3)=MONTH(EDATE('Вводные'!$D$90,'Вводные'!$H$9))),$B$82,0)</x:f>
        <x:v>0</x:v>
      </x:c>
      <x:c r="K82" s="117" t="n">
        <x:f>IF(AND(YEAR(K$3)=YEAR(EDATE('Вводные'!$D$90,'Вводные'!$H$9)),MONTH(K$3)=MONTH(EDATE('Вводные'!$D$90,'Вводные'!$H$9))),$B$82,0)</x:f>
        <x:v>0</x:v>
      </x:c>
      <x:c r="L82" s="117" t="n">
        <x:f>IF(AND(YEAR(L$3)=YEAR(EDATE('Вводные'!$D$90,'Вводные'!$H$9)),MONTH(L$3)=MONTH(EDATE('Вводные'!$D$90,'Вводные'!$H$9))),$B$82,0)</x:f>
        <x:v>0</x:v>
      </x:c>
      <x:c r="M82" s="117" t="n">
        <x:f>IF(AND(YEAR(M$3)=YEAR(EDATE('Вводные'!$D$90,'Вводные'!$H$9)),MONTH(M$3)=MONTH(EDATE('Вводные'!$D$90,'Вводные'!$H$9))),$B$82,0)</x:f>
        <x:v>0</x:v>
      </x:c>
      <x:c r="N82" s="117" t="n">
        <x:f>IF(AND(YEAR(N$3)=YEAR(EDATE('Вводные'!$D$90,'Вводные'!$H$9)),MONTH(N$3)=MONTH(EDATE('Вводные'!$D$90,'Вводные'!$H$9))),$B$82,0)</x:f>
        <x:v>0</x:v>
      </x:c>
      <x:c r="O82" s="117" t="n">
        <x:f>IF(AND(YEAR(O$3)=YEAR(EDATE('Вводные'!$D$90,'Вводные'!$H$9)),MONTH(O$3)=MONTH(EDATE('Вводные'!$D$90,'Вводные'!$H$9))),$B$82,0)</x:f>
        <x:v>0</x:v>
      </x:c>
      <x:c r="P82" s="117" t="n">
        <x:f>IF(AND(YEAR(P$3)=YEAR(EDATE('Вводные'!$D$90,'Вводные'!$H$9)),MONTH(P$3)=MONTH(EDATE('Вводные'!$D$90,'Вводные'!$H$9))),$B$82,0)</x:f>
        <x:v>0</x:v>
      </x:c>
      <x:c r="Q82" s="117" t="n">
        <x:f>IF(AND(YEAR(Q$3)=YEAR(EDATE('Вводные'!$D$90,'Вводные'!$H$9)),MONTH(Q$3)=MONTH(EDATE('Вводные'!$D$90,'Вводные'!$H$9))),$B$82,0)</x:f>
        <x:v>0</x:v>
      </x:c>
      <x:c r="R82" s="117" t="n">
        <x:f>IF(AND(YEAR(R$3)=YEAR(EDATE('Вводные'!$D$90,'Вводные'!$H$9)),MONTH(R$3)=MONTH(EDATE('Вводные'!$D$90,'Вводные'!$H$9))),$B$82,0)</x:f>
        <x:v>0</x:v>
      </x:c>
      <x:c r="S82" s="117" t="n">
        <x:f>IF(AND(YEAR(S$3)=YEAR(EDATE('Вводные'!$D$90,'Вводные'!$H$9)),MONTH(S$3)=MONTH(EDATE('Вводные'!$D$90,'Вводные'!$H$9))),$B$82,0)</x:f>
        <x:v>0</x:v>
      </x:c>
      <x:c r="T82" s="117" t="n">
        <x:f>IF(AND(YEAR(T$3)=YEAR(EDATE('Вводные'!$D$90,'Вводные'!$H$9)),MONTH(T$3)=MONTH(EDATE('Вводные'!$D$90,'Вводные'!$H$9))),$B$82,0)</x:f>
        <x:v>0</x:v>
      </x:c>
      <x:c r="U82" s="117" t="n">
        <x:f>IF(AND(YEAR(U$3)=YEAR(EDATE('Вводные'!$D$90,'Вводные'!$H$9)),MONTH(U$3)=MONTH(EDATE('Вводные'!$D$90,'Вводные'!$H$9))),$B$82,0)</x:f>
        <x:v>0</x:v>
      </x:c>
      <x:c r="V82" s="117" t="n">
        <x:f>IF(AND(YEAR(V$3)=YEAR(EDATE('Вводные'!$D$90,'Вводные'!$H$9)),MONTH(V$3)=MONTH(EDATE('Вводные'!$D$90,'Вводные'!$H$9))),$B$82,0)</x:f>
        <x:v>0</x:v>
      </x:c>
      <x:c r="W82" s="117" t="n">
        <x:f>IF(AND(YEAR(W$3)=YEAR(EDATE('Вводные'!$D$90,'Вводные'!$H$9)),MONTH(W$3)=MONTH(EDATE('Вводные'!$D$90,'Вводные'!$H$9))),$B$82,0)</x:f>
        <x:v>0</x:v>
      </x:c>
      <x:c r="X82" s="117" t="n">
        <x:f>IF(AND(YEAR(X$3)=YEAR(EDATE('Вводные'!$D$90,'Вводные'!$H$9)),MONTH(X$3)=MONTH(EDATE('Вводные'!$D$90,'Вводные'!$H$9))),$B$82,0)</x:f>
        <x:v>0</x:v>
      </x:c>
      <x:c r="Y82" s="117" t="n">
        <x:f>IF(AND(YEAR(Y$3)=YEAR(EDATE('Вводные'!$D$90,'Вводные'!$H$9)),MONTH(Y$3)=MONTH(EDATE('Вводные'!$D$90,'Вводные'!$H$9))),$B$82,0)</x:f>
        <x:v>0</x:v>
      </x:c>
      <x:c r="Z82" s="117" t="n">
        <x:f>IF(AND(YEAR(Z$3)=YEAR(EDATE('Вводные'!$D$90,'Вводные'!$H$9)),MONTH(Z$3)=MONTH(EDATE('Вводные'!$D$90,'Вводные'!$H$9))),$B$82,0)</x:f>
        <x:v>0</x:v>
      </x:c>
      <x:c r="AA82" s="117" t="n">
        <x:f>IF(AND(YEAR(AA$3)=YEAR(EDATE('Вводные'!$D$90,'Вводные'!$H$9)),MONTH(AA$3)=MONTH(EDATE('Вводные'!$D$90,'Вводные'!$H$9))),$B$82,0)</x:f>
        <x:v>0</x:v>
      </x:c>
      <x:c r="AB82" s="117" t="n">
        <x:f>IF(AND(YEAR(AB$3)=YEAR(EDATE('Вводные'!$D$90,'Вводные'!$H$9)),MONTH(AB$3)=MONTH(EDATE('Вводные'!$D$90,'Вводные'!$H$9))),$B$82,0)</x:f>
        <x:v>0</x:v>
      </x:c>
      <x:c r="AC82" s="117" t="n">
        <x:f>IF(AND(YEAR(AC$3)=YEAR(EDATE('Вводные'!$D$90,'Вводные'!$H$9)),MONTH(AC$3)=MONTH(EDATE('Вводные'!$D$90,'Вводные'!$H$9))),$B$82,0)</x:f>
        <x:v>0</x:v>
      </x:c>
      <x:c r="AD82" s="117" t="n">
        <x:f>IF(AND(YEAR(AD$3)=YEAR(EDATE('Вводные'!$D$90,'Вводные'!$H$9)),MONTH(AD$3)=MONTH(EDATE('Вводные'!$D$90,'Вводные'!$H$9))),$B$82,0)</x:f>
        <x:v>0</x:v>
      </x:c>
      <x:c r="AE82" s="117" t="n">
        <x:f>IF(AND(YEAR(AE$3)=YEAR(EDATE('Вводные'!$D$90,'Вводные'!$H$9)),MONTH(AE$3)=MONTH(EDATE('Вводные'!$D$90,'Вводные'!$H$9))),$B$82,0)</x:f>
        <x:v>0</x:v>
      </x:c>
      <x:c r="AF82" s="117" t="n">
        <x:f>IF(AND(YEAR(AF$3)=YEAR(EDATE('Вводные'!$D$90,'Вводные'!$H$9)),MONTH(AF$3)=MONTH(EDATE('Вводные'!$D$90,'Вводные'!$H$9))),$B$82,0)</x:f>
        <x:v>0</x:v>
      </x:c>
      <x:c r="AG82" s="117" t="n">
        <x:f>IF(AND(YEAR(AG$3)=YEAR(EDATE('Вводные'!$D$90,'Вводные'!$H$9)),MONTH(AG$3)=MONTH(EDATE('Вводные'!$D$90,'Вводные'!$H$9))),$B$82,0)</x:f>
        <x:v>0</x:v>
      </x:c>
      <x:c r="AH82" s="117" t="n">
        <x:f>IF(AND(YEAR(AH$3)=YEAR(EDATE('Вводные'!$D$90,'Вводные'!$H$9)),MONTH(AH$3)=MONTH(EDATE('Вводные'!$D$90,'Вводные'!$H$9))),$B$82,0)</x:f>
        <x:v>0</x:v>
      </x:c>
      <x:c r="AI82" s="117" t="n">
        <x:f>IF(AND(YEAR(AI$3)=YEAR(EDATE('Вводные'!$D$90,'Вводные'!$H$9)),MONTH(AI$3)=MONTH(EDATE('Вводные'!$D$90,'Вводные'!$H$9))),$B$82,0)</x:f>
        <x:v>0</x:v>
      </x:c>
      <x:c r="AJ82" s="117" t="n">
        <x:f>IF(AND(YEAR(AJ$3)=YEAR(EDATE('Вводные'!$D$90,'Вводные'!$H$9)),MONTH(AJ$3)=MONTH(EDATE('Вводные'!$D$90,'Вводные'!$H$9))),$B$82,0)</x:f>
        <x:v>0</x:v>
      </x:c>
      <x:c r="AK82" s="117" t="n">
        <x:f>IF(AND(YEAR(AK$3)=YEAR(EDATE('Вводные'!$D$90,'Вводные'!$H$9)),MONTH(AK$3)=MONTH(EDATE('Вводные'!$D$90,'Вводные'!$H$9))),$B$82,0)</x:f>
        <x:v>0</x:v>
      </x:c>
      <x:c r="AL82" s="117" t="n">
        <x:f>IF(AND(YEAR(AL$3)=YEAR(EDATE('Вводные'!$D$90,'Вводные'!$H$9)),MONTH(AL$3)=MONTH(EDATE('Вводные'!$D$90,'Вводные'!$H$9))),$B$82,0)</x:f>
        <x:v>0</x:v>
      </x:c>
      <x:c r="AM82" s="117" t="n">
        <x:f>IF(AND(YEAR(AM$3)=YEAR(EDATE('Вводные'!$D$90,'Вводные'!$H$9)),MONTH(AM$3)=MONTH(EDATE('Вводные'!$D$90,'Вводные'!$H$9))),$B$82,0)</x:f>
        <x:v>0</x:v>
      </x:c>
      <x:c r="AN82" s="117" t="n">
        <x:f>IF(AND(YEAR(AN$3)=YEAR(EDATE('Вводные'!$D$90,'Вводные'!$H$9)),MONTH(AN$3)=MONTH(EDATE('Вводные'!$D$90,'Вводные'!$H$9))),$B$82,0)</x:f>
        <x:v>0</x:v>
      </x:c>
      <x:c r="AO82" s="117" t="n">
        <x:f>IF(AND(YEAR(AO$3)=YEAR(EDATE('Вводные'!$D$90,'Вводные'!$H$9)),MONTH(AO$3)=MONTH(EDATE('Вводные'!$D$90,'Вводные'!$H$9))),$B$82,0)</x:f>
        <x:v>0</x:v>
      </x:c>
      <x:c r="AP82" s="117" t="n">
        <x:f>IF(AND(YEAR(AP$3)=YEAR(EDATE('Вводные'!$D$90,'Вводные'!$H$9)),MONTH(AP$3)=MONTH(EDATE('Вводные'!$D$90,'Вводные'!$H$9))),$B$82,0)</x:f>
        <x:v>0</x:v>
      </x:c>
      <x:c r="AQ82" s="117" t="n">
        <x:f>IF(AND(YEAR(AQ$3)=YEAR(EDATE('Вводные'!$D$90,'Вводные'!$H$9)),MONTH(AQ$3)=MONTH(EDATE('Вводные'!$D$90,'Вводные'!$H$9))),$B$82,0)</x:f>
        <x:v>0</x:v>
      </x:c>
      <x:c r="AR82" s="117" t="n">
        <x:f>IF(AND(YEAR(AR$3)=YEAR(EDATE('Вводные'!$D$90,'Вводные'!$H$9)),MONTH(AR$3)=MONTH(EDATE('Вводные'!$D$90,'Вводные'!$H$9))),$B$82,0)</x:f>
        <x:v>0</x:v>
      </x:c>
      <x:c r="AS82" s="117" t="n">
        <x:f>IF(AND(YEAR(AS$3)=YEAR(EDATE('Вводные'!$D$90,'Вводные'!$H$9)),MONTH(AS$3)=MONTH(EDATE('Вводные'!$D$90,'Вводные'!$H$9))),$B$82,0)</x:f>
        <x:v>0</x:v>
      </x:c>
      <x:c r="AT82" s="117" t="n">
        <x:f>IF(AND(YEAR(AT$3)=YEAR(EDATE('Вводные'!$D$90,'Вводные'!$H$9)),MONTH(AT$3)=MONTH(EDATE('Вводные'!$D$90,'Вводные'!$H$9))),$B$82,0)</x:f>
        <x:v>0</x:v>
      </x:c>
      <x:c r="AU82" s="117" t="n">
        <x:f>IF(AND(YEAR(AU$3)=YEAR(EDATE('Вводные'!$D$90,'Вводные'!$H$9)),MONTH(AU$3)=MONTH(EDATE('Вводные'!$D$90,'Вводные'!$H$9))),$B$82,0)</x:f>
        <x:v>0</x:v>
      </x:c>
      <x:c r="AV82" s="117" t="n">
        <x:f>IF(AND(YEAR(AV$3)=YEAR(EDATE('Вводные'!$D$90,'Вводные'!$H$9)),MONTH(AV$3)=MONTH(EDATE('Вводные'!$D$90,'Вводные'!$H$9))),$B$82,0)</x:f>
        <x:v>0</x:v>
      </x:c>
      <x:c r="AW82" s="117" t="n">
        <x:f>IF(AND(YEAR(AW$3)=YEAR(EDATE('Вводные'!$D$90,'Вводные'!$H$9)),MONTH(AW$3)=MONTH(EDATE('Вводные'!$D$90,'Вводные'!$H$9))),$B$82,0)</x:f>
        <x:v>0</x:v>
      </x:c>
      <x:c r="AX82" s="117" t="n">
        <x:f>IF(AND(YEAR(AX$3)=YEAR(EDATE('Вводные'!$D$90,'Вводные'!$H$9)),MONTH(AX$3)=MONTH(EDATE('Вводные'!$D$90,'Вводные'!$H$9))),$B$82,0)</x:f>
        <x:v>0</x:v>
      </x:c>
      <x:c r="AY82" s="117" t="n">
        <x:f>IF(AND(YEAR(AY$3)=YEAR(EDATE('Вводные'!$D$90,'Вводные'!$H$9)),MONTH(AY$3)=MONTH(EDATE('Вводные'!$D$90,'Вводные'!$H$9))),$B$82,0)</x:f>
        <x:v>0</x:v>
      </x:c>
      <x:c r="AZ82" s="117" t="n">
        <x:f>IF(AND(YEAR(AZ$3)=YEAR(EDATE('Вводные'!$D$90,'Вводные'!$H$9)),MONTH(AZ$3)=MONTH(EDATE('Вводные'!$D$90,'Вводные'!$H$9))),$B$82,0)</x:f>
        <x:v>0</x:v>
      </x:c>
      <x:c r="BA82" s="117" t="n">
        <x:f>IF(AND(YEAR(BA$3)=YEAR(EDATE('Вводные'!$D$90,'Вводные'!$H$9)),MONTH(BA$3)=MONTH(EDATE('Вводные'!$D$90,'Вводные'!$H$9))),$B$82,0)</x:f>
        <x:v>0</x:v>
      </x:c>
      <x:c r="BB82" s="117" t="n">
        <x:f>IF(AND(YEAR(BB$3)=YEAR(EDATE('Вводные'!$D$90,'Вводные'!$H$9)),MONTH(BB$3)=MONTH(EDATE('Вводные'!$D$90,'Вводные'!$H$9))),$B$82,0)</x:f>
        <x:v>0</x:v>
      </x:c>
      <x:c r="BC82" s="117" t="n">
        <x:f>IF(AND(YEAR(BC$3)=YEAR(EDATE('Вводные'!$D$90,'Вводные'!$H$9)),MONTH(BC$3)=MONTH(EDATE('Вводные'!$D$90,'Вводные'!$H$9))),$B$82,0)</x:f>
        <x:v>0</x:v>
      </x:c>
      <x:c r="BD82" s="117" t="n">
        <x:f>IF(AND(YEAR(BD$3)=YEAR(EDATE('Вводные'!$D$90,'Вводные'!$H$9)),MONTH(BD$3)=MONTH(EDATE('Вводные'!$D$90,'Вводные'!$H$9))),$B$82,0)</x:f>
        <x:v>0</x:v>
      </x:c>
      <x:c r="BE82" s="117" t="n">
        <x:f>IF(AND(YEAR(BE$3)=YEAR(EDATE('Вводные'!$D$90,'Вводные'!$H$9)),MONTH(BE$3)=MONTH(EDATE('Вводные'!$D$90,'Вводные'!$H$9))),$B$82,0)</x:f>
        <x:v>0</x:v>
      </x:c>
      <x:c r="BF82" s="117" t="n">
        <x:f>IF(AND(YEAR(BF$3)=YEAR(EDATE('Вводные'!$D$90,'Вводные'!$H$9)),MONTH(BF$3)=MONTH(EDATE('Вводные'!$D$90,'Вводные'!$H$9))),$B$82,0)</x:f>
        <x:v>0</x:v>
      </x:c>
      <x:c r="BG82" s="117" t="n">
        <x:f>IF(AND(YEAR(BG$3)=YEAR(EDATE('Вводные'!$D$90,'Вводные'!$H$9)),MONTH(BG$3)=MONTH(EDATE('Вводные'!$D$90,'Вводные'!$H$9))),$B$82,0)</x:f>
        <x:v>0</x:v>
      </x:c>
      <x:c r="BH82" s="117" t="n">
        <x:f>IF(AND(YEAR(BH$3)=YEAR(EDATE('Вводные'!$D$90,'Вводные'!$H$9)),MONTH(BH$3)=MONTH(EDATE('Вводные'!$D$90,'Вводные'!$H$9))),$B$82,0)</x:f>
        <x:v>0</x:v>
      </x:c>
      <x:c r="BI82" s="117" t="n">
        <x:f>IF(AND(YEAR(BI$3)=YEAR(EDATE('Вводные'!$D$90,'Вводные'!$H$9)),MONTH(BI$3)=MONTH(EDATE('Вводные'!$D$90,'Вводные'!$H$9))),$B$82,0)</x:f>
        <x:v>0</x:v>
      </x:c>
      <x:c r="BJ82" s="117" t="n">
        <x:f>IF(AND(YEAR(BJ$3)=YEAR(EDATE('Вводные'!$D$90,'Вводные'!$H$9)),MONTH(BJ$3)=MONTH(EDATE('Вводные'!$D$90,'Вводные'!$H$9))),$B$82,0)</x:f>
        <x:v>0</x:v>
      </x:c>
      <x:c r="BK82" s="117" t="n">
        <x:f>IF(AND(YEAR(BK$3)=YEAR(EDATE('Вводные'!$D$90,'Вводные'!$H$9)),MONTH(BK$3)=MONTH(EDATE('Вводные'!$D$90,'Вводные'!$H$9))),$B$82,0)</x:f>
        <x:v>0</x:v>
      </x:c>
      <x:c r="BL82" s="117" t="n">
        <x:f>IF(AND(YEAR(BL$3)=YEAR(EDATE('Вводные'!$D$90,'Вводные'!$H$9)),MONTH(BL$3)=MONTH(EDATE('Вводные'!$D$90,'Вводные'!$H$9))),$B$82,0)</x:f>
        <x:v>0</x:v>
      </x:c>
      <x:c r="BM82" s="117" t="n">
        <x:f>IF(AND(YEAR(BM$3)=YEAR(EDATE('Вводные'!$D$90,'Вводные'!$H$9)),MONTH(BM$3)=MONTH(EDATE('Вводные'!$D$90,'Вводные'!$H$9))),$B$82,0)</x:f>
        <x:v>0</x:v>
      </x:c>
      <x:c r="BN82" s="117" t="n">
        <x:f>IF(AND(YEAR(BN$3)=YEAR(EDATE('Вводные'!$D$90,'Вводные'!$H$9)),MONTH(BN$3)=MONTH(EDATE('Вводные'!$D$90,'Вводные'!$H$9))),$B$82,0)</x:f>
        <x:v>0</x:v>
      </x:c>
      <x:c r="BO82" s="117" t="n">
        <x:f>IF(AND(YEAR(BO$3)=YEAR(EDATE('Вводные'!$D$90,'Вводные'!$H$9)),MONTH(BO$3)=MONTH(EDATE('Вводные'!$D$90,'Вводные'!$H$9))),$B$82,0)</x:f>
        <x:v>0</x:v>
      </x:c>
      <x:c r="BP82" s="117" t="n">
        <x:f>IF(AND(YEAR(BP$3)=YEAR(EDATE('Вводные'!$D$90,'Вводные'!$H$9)),MONTH(BP$3)=MONTH(EDATE('Вводные'!$D$90,'Вводные'!$H$9))),$B$82,0)</x:f>
        <x:v>0</x:v>
      </x:c>
      <x:c r="BQ82" s="117" t="n">
        <x:f>IF(AND(YEAR(BQ$3)=YEAR(EDATE('Вводные'!$D$90,'Вводные'!$H$9)),MONTH(BQ$3)=MONTH(EDATE('Вводные'!$D$90,'Вводные'!$H$9))),$B$82,0)</x:f>
        <x:v>0</x:v>
      </x:c>
      <x:c r="BR82" s="117" t="n">
        <x:f>IF(AND(YEAR(BR$3)=YEAR(EDATE('Вводные'!$D$90,'Вводные'!$H$9)),MONTH(BR$3)=MONTH(EDATE('Вводные'!$D$90,'Вводные'!$H$9))),$B$82,0)</x:f>
        <x:v>0</x:v>
      </x:c>
      <x:c r="BS82" s="117" t="n">
        <x:f>IF(AND(YEAR(BS$3)=YEAR(EDATE('Вводные'!$D$90,'Вводные'!$H$9)),MONTH(BS$3)=MONTH(EDATE('Вводные'!$D$90,'Вводные'!$H$9))),$B$82,0)</x:f>
        <x:v>0</x:v>
      </x:c>
      <x:c r="BT82" s="117" t="n">
        <x:f>IF(AND(YEAR(BT$3)=YEAR(EDATE('Вводные'!$D$90,'Вводные'!$H$9)),MONTH(BT$3)=MONTH(EDATE('Вводные'!$D$90,'Вводные'!$H$9))),$B$82,0)</x:f>
        <x:v>0</x:v>
      </x:c>
      <x:c r="BU82" s="117" t="n">
        <x:f>IF(AND(YEAR(BU$3)=YEAR(EDATE('Вводные'!$D$90,'Вводные'!$H$9)),MONTH(BU$3)=MONTH(EDATE('Вводные'!$D$90,'Вводные'!$H$9))),$B$82,0)</x:f>
        <x:v>0</x:v>
      </x:c>
      <x:c r="BV82" s="117" t="n">
        <x:f>IF(AND(YEAR(BV$3)=YEAR(EDATE('Вводные'!$D$90,'Вводные'!$H$9)),MONTH(BV$3)=MONTH(EDATE('Вводные'!$D$90,'Вводные'!$H$9))),$B$82,0)</x:f>
        <x:v>0</x:v>
      </x:c>
      <x:c r="BW82" s="117" t="n">
        <x:f>IF(AND(YEAR(BW$3)=YEAR(EDATE('Вводные'!$D$90,'Вводные'!$H$9)),MONTH(BW$3)=MONTH(EDATE('Вводные'!$D$90,'Вводные'!$H$9))),$B$82,0)</x:f>
        <x:v>0</x:v>
      </x:c>
      <x:c r="BX82" s="117" t="n">
        <x:f>IF(AND(YEAR(BX$3)=YEAR(EDATE('Вводные'!$D$90,'Вводные'!$H$9)),MONTH(BX$3)=MONTH(EDATE('Вводные'!$D$90,'Вводные'!$H$9))),$B$82,0)</x:f>
        <x:v>0</x:v>
      </x:c>
      <x:c r="BY82" s="117" t="n">
        <x:f>IF(AND(YEAR(BY$3)=YEAR(EDATE('Вводные'!$D$90,'Вводные'!$H$9)),MONTH(BY$3)=MONTH(EDATE('Вводные'!$D$90,'Вводные'!$H$9))),$B$82,0)</x:f>
        <x:v>0</x:v>
      </x:c>
      <x:c r="BZ82" s="117" t="n">
        <x:f>IF(AND(YEAR(BZ$3)=YEAR(EDATE('Вводные'!$D$90,'Вводные'!$H$9)),MONTH(BZ$3)=MONTH(EDATE('Вводные'!$D$90,'Вводные'!$H$9))),$B$82,0)</x:f>
        <x:v>0</x:v>
      </x:c>
      <x:c r="CA82" s="117" t="n">
        <x:f>IF(AND(YEAR(CA$3)=YEAR(EDATE('Вводные'!$D$90,'Вводные'!$H$9)),MONTH(CA$3)=MONTH(EDATE('Вводные'!$D$90,'Вводные'!$H$9))),$B$82,0)</x:f>
        <x:v>0</x:v>
      </x:c>
      <x:c r="CB82" s="117" t="n">
        <x:f>IF(AND(YEAR(CB$3)=YEAR(EDATE('Вводные'!$D$90,'Вводные'!$H$9)),MONTH(CB$3)=MONTH(EDATE('Вводные'!$D$90,'Вводные'!$H$9))),$B$82,0)</x:f>
        <x:v>0</x:v>
      </x:c>
      <x:c r="CC82" s="117" t="n">
        <x:f>IF(AND(YEAR(CC$3)=YEAR(EDATE('Вводные'!$D$90,'Вводные'!$H$9)),MONTH(CC$3)=MONTH(EDATE('Вводные'!$D$90,'Вводные'!$H$9))),$B$82,0)</x:f>
        <x:v>0</x:v>
      </x:c>
      <x:c r="CD82" s="117" t="n">
        <x:f>IF(AND(YEAR(CD$3)=YEAR(EDATE('Вводные'!$D$90,'Вводные'!$H$9)),MONTH(CD$3)=MONTH(EDATE('Вводные'!$D$90,'Вводные'!$H$9))),$B$82,0)</x:f>
        <x:v>0</x:v>
      </x:c>
      <x:c r="CE82" s="117" t="n">
        <x:f>IF(AND(YEAR(CE$3)=YEAR(EDATE('Вводные'!$D$90,'Вводные'!$H$9)),MONTH(CE$3)=MONTH(EDATE('Вводные'!$D$90,'Вводные'!$H$9))),$B$82,0)</x:f>
        <x:v>0</x:v>
      </x:c>
      <x:c r="CF82" s="117" t="n">
        <x:f>IF(AND(YEAR(CF$3)=YEAR(EDATE('Вводные'!$D$90,'Вводные'!$H$9)),MONTH(CF$3)=MONTH(EDATE('Вводные'!$D$90,'Вводные'!$H$9))),$B$82,0)</x:f>
        <x:v>0</x:v>
      </x:c>
      <x:c r="CG82" s="117" t="n">
        <x:f>IF(AND(YEAR(CG$3)=YEAR(EDATE('Вводные'!$D$90,'Вводные'!$H$9)),MONTH(CG$3)=MONTH(EDATE('Вводные'!$D$90,'Вводные'!$H$9))),$B$82,0)</x:f>
        <x:v>0</x:v>
      </x:c>
      <x:c r="CH82" s="117" t="n">
        <x:f>IF(AND(YEAR(CH$3)=YEAR(EDATE('Вводные'!$D$90,'Вводные'!$H$9)),MONTH(CH$3)=MONTH(EDATE('Вводные'!$D$90,'Вводные'!$H$9))),$B$82,0)</x:f>
        <x:v>0</x:v>
      </x:c>
      <x:c r="CI82" s="117" t="n">
        <x:f>IF(AND(YEAR(CI$3)=YEAR(EDATE('Вводные'!$D$90,'Вводные'!$H$9)),MONTH(CI$3)=MONTH(EDATE('Вводные'!$D$90,'Вводные'!$H$9))),$B$82,0)</x:f>
        <x:v>0</x:v>
      </x:c>
      <x:c r="CJ82" s="117" t="n">
        <x:f>IF(AND(YEAR(CJ$3)=YEAR(EDATE('Вводные'!$D$90,'Вводные'!$H$9)),MONTH(CJ$3)=MONTH(EDATE('Вводные'!$D$90,'Вводные'!$H$9))),$B$82,0)</x:f>
        <x:v>0</x:v>
      </x:c>
      <x:c r="CK82" s="117" t="n">
        <x:f>IF(AND(YEAR(CK$3)=YEAR(EDATE('Вводные'!$D$90,'Вводные'!$H$9)),MONTH(CK$3)=MONTH(EDATE('Вводные'!$D$90,'Вводные'!$H$9))),$B$82,0)</x:f>
        <x:v>0</x:v>
      </x:c>
      <x:c r="CL82" s="117" t="n">
        <x:f>IF(AND(YEAR(CL$3)=YEAR(EDATE('Вводные'!$D$90,'Вводные'!$H$9)),MONTH(CL$3)=MONTH(EDATE('Вводные'!$D$90,'Вводные'!$H$9))),$B$82,0)</x:f>
        <x:v>0</x:v>
      </x:c>
      <x:c r="CM82" s="117" t="n">
        <x:f>IF(AND(YEAR(CM$3)=YEAR(EDATE('Вводные'!$D$90,'Вводные'!$H$9)),MONTH(CM$3)=MONTH(EDATE('Вводные'!$D$90,'Вводные'!$H$9))),$B$82,0)</x:f>
        <x:v>0</x:v>
      </x:c>
      <x:c r="CN82" s="117" t="n">
        <x:f>IF(AND(YEAR(CN$3)=YEAR(EDATE('Вводные'!$D$90,'Вводные'!$H$9)),MONTH(CN$3)=MONTH(EDATE('Вводные'!$D$90,'Вводные'!$H$9))),$B$82,0)</x:f>
        <x:v>0</x:v>
      </x:c>
      <x:c r="CO82" s="117" t="n">
        <x:f>IF(AND(YEAR(CO$3)=YEAR(EDATE('Вводные'!$D$90,'Вводные'!$H$9)),MONTH(CO$3)=MONTH(EDATE('Вводные'!$D$90,'Вводные'!$H$9))),$B$82,0)</x:f>
        <x:v>0</x:v>
      </x:c>
      <x:c r="CP82" s="117" t="n">
        <x:f>IF(AND(YEAR(CP$3)=YEAR(EDATE('Вводные'!$D$90,'Вводные'!$H$9)),MONTH(CP$3)=MONTH(EDATE('Вводные'!$D$90,'Вводные'!$H$9))),$B$82,0)</x:f>
        <x:v>0</x:v>
      </x:c>
      <x:c r="CQ82" s="117" t="n">
        <x:f>IF(AND(YEAR(CQ$3)=YEAR(EDATE('Вводные'!$D$90,'Вводные'!$H$9)),MONTH(CQ$3)=MONTH(EDATE('Вводные'!$D$90,'Вводные'!$H$9))),$B$82,0)</x:f>
        <x:v>0</x:v>
      </x:c>
      <x:c r="CR82" s="117" t="n">
        <x:f>IF(AND(YEAR(CR$3)=YEAR(EDATE('Вводные'!$D$90,'Вводные'!$H$9)),MONTH(CR$3)=MONTH(EDATE('Вводные'!$D$90,'Вводные'!$H$9))),$B$82,0)</x:f>
        <x:v>0</x:v>
      </x:c>
      <x:c r="CS82" s="117" t="n">
        <x:f>IF(AND(YEAR(CS$3)=YEAR(EDATE('Вводные'!$D$90,'Вводные'!$H$9)),MONTH(CS$3)=MONTH(EDATE('Вводные'!$D$90,'Вводные'!$H$9))),$B$82,0)</x:f>
        <x:v>0</x:v>
      </x:c>
      <x:c r="CT82" s="117" t="n">
        <x:f>IF(AND(YEAR(CT$3)=YEAR(EDATE('Вводные'!$D$90,'Вводные'!$H$9)),MONTH(CT$3)=MONTH(EDATE('Вводные'!$D$90,'Вводные'!$H$9))),$B$82,0)</x:f>
        <x:v>0</x:v>
      </x:c>
      <x:c r="CU82" s="117" t="n">
        <x:f>IF(AND(YEAR(CU$3)=YEAR(EDATE('Вводные'!$D$90,'Вводные'!$H$9)),MONTH(CU$3)=MONTH(EDATE('Вводные'!$D$90,'Вводные'!$H$9))),$B$82,0)</x:f>
        <x:v>0</x:v>
      </x:c>
      <x:c r="CV82" s="117" t="n">
        <x:f>IF(AND(YEAR(CV$3)=YEAR(EDATE('Вводные'!$D$90,'Вводные'!$H$9)),MONTH(CV$3)=MONTH(EDATE('Вводные'!$D$90,'Вводные'!$H$9))),$B$82,0)</x:f>
        <x:v>0</x:v>
      </x:c>
      <x:c r="CW82" s="117" t="n">
        <x:f>IF(AND(YEAR(CW$3)=YEAR(EDATE('Вводные'!$D$90,'Вводные'!$H$9)),MONTH(CW$3)=MONTH(EDATE('Вводные'!$D$90,'Вводные'!$H$9))),$B$82,0)</x:f>
        <x:v>0</x:v>
      </x:c>
      <x:c r="CX82" s="117" t="n">
        <x:f>IF(AND(YEAR(CX$3)=YEAR(EDATE('Вводные'!$D$90,'Вводные'!$H$9)),MONTH(CX$3)=MONTH(EDATE('Вводные'!$D$90,'Вводные'!$H$9))),$B$82,0)</x:f>
        <x:v>0</x:v>
      </x:c>
      <x:c r="CY82" s="117" t="n">
        <x:f>IF(AND(YEAR(CY$3)=YEAR(EDATE('Вводные'!$D$90,'Вводные'!$H$9)),MONTH(CY$3)=MONTH(EDATE('Вводные'!$D$90,'Вводные'!$H$9))),$B$82,0)</x:f>
        <x:v>0</x:v>
      </x:c>
      <x:c r="CZ82" s="117" t="n">
        <x:f>IF(AND(YEAR(CZ$3)=YEAR(EDATE('Вводные'!$D$90,'Вводные'!$H$9)),MONTH(CZ$3)=MONTH(EDATE('Вводные'!$D$90,'Вводные'!$H$9))),$B$82,0)</x:f>
        <x:v>0</x:v>
      </x:c>
      <x:c r="DA82" s="117" t="n">
        <x:f>IF(AND(YEAR(DA$3)=YEAR(EDATE('Вводные'!$D$90,'Вводные'!$H$9)),MONTH(DA$3)=MONTH(EDATE('Вводные'!$D$90,'Вводные'!$H$9))),$B$82,0)</x:f>
        <x:v>0</x:v>
      </x:c>
      <x:c r="DB82" s="117" t="n">
        <x:f>IF(AND(YEAR(DB$3)=YEAR(EDATE('Вводные'!$D$90,'Вводные'!$H$9)),MONTH(DB$3)=MONTH(EDATE('Вводные'!$D$90,'Вводные'!$H$9))),$B$82,0)</x:f>
        <x:v>0</x:v>
      </x:c>
      <x:c r="DC82" s="117" t="n">
        <x:f>IF(AND(YEAR(DC$3)=YEAR(EDATE('Вводные'!$D$90,'Вводные'!$H$9)),MONTH(DC$3)=MONTH(EDATE('Вводные'!$D$90,'Вводные'!$H$9))),$B$82,0)</x:f>
        <x:v>0</x:v>
      </x:c>
      <x:c r="DD82" s="117" t="n">
        <x:f>IF(AND(YEAR(DD$3)=YEAR(EDATE('Вводные'!$D$90,'Вводные'!$H$9)),MONTH(DD$3)=MONTH(EDATE('Вводные'!$D$90,'Вводные'!$H$9))),$B$82,0)</x:f>
        <x:v>0</x:v>
      </x:c>
      <x:c r="DE82" s="117" t="n">
        <x:f>IF(AND(YEAR(DE$3)=YEAR(EDATE('Вводные'!$D$90,'Вводные'!$H$9)),MONTH(DE$3)=MONTH(EDATE('Вводные'!$D$90,'Вводные'!$H$9))),$B$82,0)</x:f>
        <x:v>0</x:v>
      </x:c>
      <x:c r="DF82" s="117" t="n">
        <x:f>IF(AND(YEAR(DF$3)=YEAR(EDATE('Вводные'!$D$90,'Вводные'!$H$9)),MONTH(DF$3)=MONTH(EDATE('Вводные'!$D$90,'Вводные'!$H$9))),$B$82,0)</x:f>
        <x:v>0</x:v>
      </x:c>
      <x:c r="DG82" s="117" t="n">
        <x:f>IF(AND(YEAR(DG$3)=YEAR(EDATE('Вводные'!$D$90,'Вводные'!$H$9)),MONTH(DG$3)=MONTH(EDATE('Вводные'!$D$90,'Вводные'!$H$9))),$B$82,0)</x:f>
        <x:v>0</x:v>
      </x:c>
      <x:c r="DH82" s="117" t="n">
        <x:f>IF(AND(YEAR(DH$3)=YEAR(EDATE('Вводные'!$D$90,'Вводные'!$H$9)),MONTH(DH$3)=MONTH(EDATE('Вводные'!$D$90,'Вводные'!$H$9))),$B$82,0)</x:f>
        <x:v>0</x:v>
      </x:c>
      <x:c r="DI82" s="117" t="n">
        <x:f>IF(AND(YEAR(DI$3)=YEAR(EDATE('Вводные'!$D$90,'Вводные'!$H$9)),MONTH(DI$3)=MONTH(EDATE('Вводные'!$D$90,'Вводные'!$H$9))),$B$82,0)</x:f>
        <x:v>0</x:v>
      </x:c>
      <x:c r="DJ82" s="117" t="n">
        <x:f>IF(AND(YEAR(DJ$3)=YEAR(EDATE('Вводные'!$D$90,'Вводные'!$H$9)),MONTH(DJ$3)=MONTH(EDATE('Вводные'!$D$90,'Вводные'!$H$9))),$B$82,0)</x:f>
        <x:v>0</x:v>
      </x:c>
      <x:c r="DK82" s="117" t="n">
        <x:f>IF(AND(YEAR(DK$3)=YEAR(EDATE('Вводные'!$D$90,'Вводные'!$H$9)),MONTH(DK$3)=MONTH(EDATE('Вводные'!$D$90,'Вводные'!$H$9))),$B$82,0)</x:f>
        <x:v>0</x:v>
      </x:c>
      <x:c r="DL82" s="117" t="n">
        <x:f>IF(AND(YEAR(DL$3)=YEAR(EDATE('Вводные'!$D$90,'Вводные'!$H$9)),MONTH(DL$3)=MONTH(EDATE('Вводные'!$D$90,'Вводные'!$H$9))),$B$82,0)</x:f>
        <x:v>0</x:v>
      </x:c>
      <x:c r="DM82" s="117" t="n">
        <x:f>IF(AND(YEAR(DM$3)=YEAR(EDATE('Вводные'!$D$90,'Вводные'!$H$9)),MONTH(DM$3)=MONTH(EDATE('Вводные'!$D$90,'Вводные'!$H$9))),$B$82,0)</x:f>
        <x:v>0</x:v>
      </x:c>
      <x:c r="DN82" s="117" t="n">
        <x:f>IF(AND(YEAR(DN$3)=YEAR(EDATE('Вводные'!$D$90,'Вводные'!$H$9)),MONTH(DN$3)=MONTH(EDATE('Вводные'!$D$90,'Вводные'!$H$9))),$B$82,0)</x:f>
        <x:v>0</x:v>
      </x:c>
      <x:c r="DO82" s="117" t="n">
        <x:f>IF(AND(YEAR(DO$3)=YEAR(EDATE('Вводные'!$D$90,'Вводные'!$H$9)),MONTH(DO$3)=MONTH(EDATE('Вводные'!$D$90,'Вводные'!$H$9))),$B$82,0)</x:f>
        <x:v>0</x:v>
      </x:c>
      <x:c r="DP82" s="117" t="n">
        <x:f>IF(AND(YEAR(DP$3)=YEAR(EDATE('Вводные'!$D$90,'Вводные'!$H$9)),MONTH(DP$3)=MONTH(EDATE('Вводные'!$D$90,'Вводные'!$H$9))),$B$82,0)</x:f>
        <x:v>0</x:v>
      </x:c>
      <x:c r="DQ82" s="117" t="n">
        <x:f>IF(AND(YEAR(DQ$3)=YEAR(EDATE('Вводные'!$D$90,'Вводные'!$H$9)),MONTH(DQ$3)=MONTH(EDATE('Вводные'!$D$90,'Вводные'!$H$9))),$B$82,0)</x:f>
        <x:v>0</x:v>
      </x:c>
      <x:c r="DR82" s="117" t="n">
        <x:f>IF(AND(YEAR(DR$3)=YEAR(EDATE('Вводные'!$D$90,'Вводные'!$H$9)),MONTH(DR$3)=MONTH(EDATE('Вводные'!$D$90,'Вводные'!$H$9))),$B$82,0)</x:f>
        <x:v>0</x:v>
      </x:c>
      <x:c r="DS82" s="117" t="n">
        <x:f>IF(AND(YEAR(DS$3)=YEAR(EDATE('Вводные'!$D$90,'Вводные'!$H$9)),MONTH(DS$3)=MONTH(EDATE('Вводные'!$D$90,'Вводные'!$H$9))),$B$82,0)</x:f>
        <x:v>0</x:v>
      </x:c>
    </x:row>
    <x:row r="83">
      <x:c r="A83" t="str">
        <x:v>Плата за ВРИ</x:v>
      </x:c>
      <x:c r="B83" s="107" t="n">
        <x:f>SUM('ВРИ'!D41:DS41)</x:f>
        <x:v>0</x:v>
      </x:c>
      <x:c r="C83" t="str">
        <x:v>млн ₽</x:v>
      </x:c>
      <x:c r="D83" s="117" t="n">
        <x:f>'ВРИ'!D41</x:f>
        <x:v>0</x:v>
      </x:c>
      <x:c r="E83" s="117" t="n">
        <x:f>'ВРИ'!E41</x:f>
        <x:v>0</x:v>
      </x:c>
      <x:c r="F83" s="117" t="n">
        <x:f>'ВРИ'!F41</x:f>
        <x:v>0</x:v>
      </x:c>
      <x:c r="G83" s="117" t="n">
        <x:f>'ВРИ'!G41</x:f>
        <x:v>0</x:v>
      </x:c>
      <x:c r="H83" s="117" t="n">
        <x:f>'ВРИ'!H41</x:f>
        <x:v>0</x:v>
      </x:c>
      <x:c r="I83" s="117" t="n">
        <x:f>'ВРИ'!I41</x:f>
        <x:v>0</x:v>
      </x:c>
      <x:c r="J83" s="117" t="n">
        <x:f>'ВРИ'!J41</x:f>
        <x:v>0</x:v>
      </x:c>
      <x:c r="K83" s="117" t="n">
        <x:f>'ВРИ'!K41</x:f>
        <x:v>0</x:v>
      </x:c>
      <x:c r="L83" s="117" t="n">
        <x:f>'ВРИ'!L41</x:f>
        <x:v>0</x:v>
      </x:c>
      <x:c r="M83" s="117" t="n">
        <x:f>'ВРИ'!M41</x:f>
        <x:v>0</x:v>
      </x:c>
      <x:c r="N83" s="117" t="n">
        <x:f>'ВРИ'!N41</x:f>
        <x:v>0</x:v>
      </x:c>
      <x:c r="O83" s="117" t="n">
        <x:f>'ВРИ'!O41</x:f>
        <x:v>0</x:v>
      </x:c>
      <x:c r="P83" s="117" t="n">
        <x:f>'ВРИ'!P41</x:f>
        <x:v>0</x:v>
      </x:c>
      <x:c r="Q83" s="117" t="n">
        <x:f>'ВРИ'!Q41</x:f>
        <x:v>0</x:v>
      </x:c>
      <x:c r="R83" s="117" t="n">
        <x:f>'ВРИ'!R41</x:f>
        <x:v>0</x:v>
      </x:c>
      <x:c r="S83" s="117" t="n">
        <x:f>'ВРИ'!S41</x:f>
        <x:v>0</x:v>
      </x:c>
      <x:c r="T83" s="117" t="n">
        <x:f>'ВРИ'!T41</x:f>
        <x:v>0</x:v>
      </x:c>
      <x:c r="U83" s="117" t="n">
        <x:f>'ВРИ'!U41</x:f>
        <x:v>0</x:v>
      </x:c>
      <x:c r="V83" s="117" t="n">
        <x:f>'ВРИ'!V41</x:f>
        <x:v>0</x:v>
      </x:c>
      <x:c r="W83" s="117" t="n">
        <x:f>'ВРИ'!W41</x:f>
        <x:v>0</x:v>
      </x:c>
      <x:c r="X83" s="117" t="n">
        <x:f>'ВРИ'!X41</x:f>
        <x:v>0</x:v>
      </x:c>
      <x:c r="Y83" s="117" t="n">
        <x:f>'ВРИ'!Y41</x:f>
        <x:v>0</x:v>
      </x:c>
      <x:c r="Z83" s="117" t="n">
        <x:f>'ВРИ'!Z41</x:f>
        <x:v>0</x:v>
      </x:c>
      <x:c r="AA83" s="117" t="n">
        <x:f>'ВРИ'!AA41</x:f>
        <x:v>0</x:v>
      </x:c>
      <x:c r="AB83" s="117" t="n">
        <x:f>'ВРИ'!AB41</x:f>
        <x:v>0</x:v>
      </x:c>
      <x:c r="AC83" s="117" t="n">
        <x:f>'ВРИ'!AC41</x:f>
        <x:v>0</x:v>
      </x:c>
      <x:c r="AD83" s="117" t="n">
        <x:f>'ВРИ'!AD41</x:f>
        <x:v>0</x:v>
      </x:c>
      <x:c r="AE83" s="117" t="n">
        <x:f>'ВРИ'!AE41</x:f>
        <x:v>0</x:v>
      </x:c>
      <x:c r="AF83" s="117" t="n">
        <x:f>'ВРИ'!AF41</x:f>
        <x:v>0</x:v>
      </x:c>
      <x:c r="AG83" s="117" t="n">
        <x:f>'ВРИ'!AG41</x:f>
        <x:v>0</x:v>
      </x:c>
      <x:c r="AH83" s="117" t="n">
        <x:f>'ВРИ'!AH41</x:f>
        <x:v>0</x:v>
      </x:c>
      <x:c r="AI83" s="117" t="n">
        <x:f>'ВРИ'!AI41</x:f>
        <x:v>0</x:v>
      </x:c>
      <x:c r="AJ83" s="117" t="n">
        <x:f>'ВРИ'!AJ41</x:f>
        <x:v>0</x:v>
      </x:c>
      <x:c r="AK83" s="117" t="n">
        <x:f>'ВРИ'!AK41</x:f>
        <x:v>0</x:v>
      </x:c>
      <x:c r="AL83" s="117" t="n">
        <x:f>'ВРИ'!AL41</x:f>
        <x:v>0</x:v>
      </x:c>
      <x:c r="AM83" s="117" t="n">
        <x:f>'ВРИ'!AM41</x:f>
        <x:v>0</x:v>
      </x:c>
      <x:c r="AN83" s="117" t="n">
        <x:f>'ВРИ'!AN41</x:f>
        <x:v>0</x:v>
      </x:c>
      <x:c r="AO83" s="117" t="n">
        <x:f>'ВРИ'!AO41</x:f>
        <x:v>0</x:v>
      </x:c>
      <x:c r="AP83" s="117" t="n">
        <x:f>'ВРИ'!AP41</x:f>
        <x:v>0</x:v>
      </x:c>
      <x:c r="AQ83" s="117" t="n">
        <x:f>'ВРИ'!AQ41</x:f>
        <x:v>0</x:v>
      </x:c>
      <x:c r="AR83" s="117" t="n">
        <x:f>'ВРИ'!AR41</x:f>
        <x:v>0</x:v>
      </x:c>
      <x:c r="AS83" s="117" t="n">
        <x:f>'ВРИ'!AS41</x:f>
        <x:v>0</x:v>
      </x:c>
      <x:c r="AT83" s="117" t="n">
        <x:f>'ВРИ'!AT41</x:f>
        <x:v>0</x:v>
      </x:c>
      <x:c r="AU83" s="117" t="n">
        <x:f>'ВРИ'!AU41</x:f>
        <x:v>0</x:v>
      </x:c>
      <x:c r="AV83" s="117" t="n">
        <x:f>'ВРИ'!AV41</x:f>
        <x:v>0</x:v>
      </x:c>
      <x:c r="AW83" s="117" t="n">
        <x:f>'ВРИ'!AW41</x:f>
        <x:v>0</x:v>
      </x:c>
      <x:c r="AX83" s="117" t="n">
        <x:f>'ВРИ'!AX41</x:f>
        <x:v>0</x:v>
      </x:c>
      <x:c r="AY83" s="117" t="n">
        <x:f>'ВРИ'!AY41</x:f>
        <x:v>0</x:v>
      </x:c>
      <x:c r="AZ83" s="117" t="n">
        <x:f>'ВРИ'!AZ41</x:f>
        <x:v>0</x:v>
      </x:c>
      <x:c r="BA83" s="117" t="n">
        <x:f>'ВРИ'!BA41</x:f>
        <x:v>0</x:v>
      </x:c>
      <x:c r="BB83" s="117" t="n">
        <x:f>'ВРИ'!BB41</x:f>
        <x:v>0</x:v>
      </x:c>
      <x:c r="BC83" s="117" t="n">
        <x:f>'ВРИ'!BC41</x:f>
        <x:v>0</x:v>
      </x:c>
      <x:c r="BD83" s="117" t="n">
        <x:f>'ВРИ'!BD41</x:f>
        <x:v>0</x:v>
      </x:c>
      <x:c r="BE83" s="117" t="n">
        <x:f>'ВРИ'!BE41</x:f>
        <x:v>0</x:v>
      </x:c>
      <x:c r="BF83" s="117" t="n">
        <x:f>'ВРИ'!BF41</x:f>
        <x:v>0</x:v>
      </x:c>
      <x:c r="BG83" s="117" t="n">
        <x:f>'ВРИ'!BG41</x:f>
        <x:v>0</x:v>
      </x:c>
      <x:c r="BH83" s="117" t="n">
        <x:f>'ВРИ'!BH41</x:f>
        <x:v>0</x:v>
      </x:c>
      <x:c r="BI83" s="117" t="n">
        <x:f>'ВРИ'!BI41</x:f>
        <x:v>0</x:v>
      </x:c>
      <x:c r="BJ83" s="117" t="n">
        <x:f>'ВРИ'!BJ41</x:f>
        <x:v>0</x:v>
      </x:c>
      <x:c r="BK83" s="117" t="n">
        <x:f>'ВРИ'!BK41</x:f>
        <x:v>0</x:v>
      </x:c>
      <x:c r="BL83" s="117" t="n">
        <x:f>'ВРИ'!BL41</x:f>
        <x:v>0</x:v>
      </x:c>
      <x:c r="BM83" s="117" t="n">
        <x:f>'ВРИ'!BM41</x:f>
        <x:v>0</x:v>
      </x:c>
      <x:c r="BN83" s="117" t="n">
        <x:f>'ВРИ'!BN41</x:f>
        <x:v>0</x:v>
      </x:c>
      <x:c r="BO83" s="117" t="n">
        <x:f>'ВРИ'!BO41</x:f>
        <x:v>0</x:v>
      </x:c>
      <x:c r="BP83" s="117" t="n">
        <x:f>'ВРИ'!BP41</x:f>
        <x:v>0</x:v>
      </x:c>
      <x:c r="BQ83" s="117" t="n">
        <x:f>'ВРИ'!BQ41</x:f>
        <x:v>0</x:v>
      </x:c>
      <x:c r="BR83" s="117" t="n">
        <x:f>'ВРИ'!BR41</x:f>
        <x:v>0</x:v>
      </x:c>
      <x:c r="BS83" s="117" t="n">
        <x:f>'ВРИ'!BS41</x:f>
        <x:v>0</x:v>
      </x:c>
      <x:c r="BT83" s="117" t="n">
        <x:f>'ВРИ'!BT41</x:f>
        <x:v>0</x:v>
      </x:c>
      <x:c r="BU83" s="117" t="n">
        <x:f>'ВРИ'!BU41</x:f>
        <x:v>0</x:v>
      </x:c>
      <x:c r="BV83" s="117" t="n">
        <x:f>'ВРИ'!BV41</x:f>
        <x:v>0</x:v>
      </x:c>
      <x:c r="BW83" s="117" t="n">
        <x:f>'ВРИ'!BW41</x:f>
        <x:v>0</x:v>
      </x:c>
      <x:c r="BX83" s="117" t="n">
        <x:f>'ВРИ'!BX41</x:f>
        <x:v>0</x:v>
      </x:c>
      <x:c r="BY83" s="117" t="n">
        <x:f>'ВРИ'!BY41</x:f>
        <x:v>0</x:v>
      </x:c>
      <x:c r="BZ83" s="117" t="n">
        <x:f>'ВРИ'!BZ41</x:f>
        <x:v>0</x:v>
      </x:c>
      <x:c r="CA83" s="117" t="n">
        <x:f>'ВРИ'!CA41</x:f>
        <x:v>0</x:v>
      </x:c>
      <x:c r="CB83" s="117" t="n">
        <x:f>'ВРИ'!CB41</x:f>
        <x:v>0</x:v>
      </x:c>
      <x:c r="CC83" s="117" t="n">
        <x:f>'ВРИ'!CC41</x:f>
        <x:v>0</x:v>
      </x:c>
      <x:c r="CD83" s="117" t="n">
        <x:f>'ВРИ'!CD41</x:f>
        <x:v>0</x:v>
      </x:c>
      <x:c r="CE83" s="117" t="n">
        <x:f>'ВРИ'!CE41</x:f>
        <x:v>0</x:v>
      </x:c>
      <x:c r="CF83" s="117" t="n">
        <x:f>'ВРИ'!CF41</x:f>
        <x:v>0</x:v>
      </x:c>
      <x:c r="CG83" s="117" t="n">
        <x:f>'ВРИ'!CG41</x:f>
        <x:v>0</x:v>
      </x:c>
      <x:c r="CH83" s="117" t="n">
        <x:f>'ВРИ'!CH41</x:f>
        <x:v>0</x:v>
      </x:c>
      <x:c r="CI83" s="117" t="n">
        <x:f>'ВРИ'!CI41</x:f>
        <x:v>0</x:v>
      </x:c>
      <x:c r="CJ83" s="117" t="n">
        <x:f>'ВРИ'!CJ41</x:f>
        <x:v>0</x:v>
      </x:c>
      <x:c r="CK83" s="117" t="n">
        <x:f>'ВРИ'!CK41</x:f>
        <x:v>0</x:v>
      </x:c>
      <x:c r="CL83" s="117" t="n">
        <x:f>'ВРИ'!CL41</x:f>
        <x:v>0</x:v>
      </x:c>
      <x:c r="CM83" s="117" t="n">
        <x:f>'ВРИ'!CM41</x:f>
        <x:v>0</x:v>
      </x:c>
      <x:c r="CN83" s="117" t="n">
        <x:f>'ВРИ'!CN41</x:f>
        <x:v>0</x:v>
      </x:c>
      <x:c r="CO83" s="117" t="n">
        <x:f>'ВРИ'!CO41</x:f>
        <x:v>0</x:v>
      </x:c>
      <x:c r="CP83" s="117" t="n">
        <x:f>'ВРИ'!CP41</x:f>
        <x:v>0</x:v>
      </x:c>
      <x:c r="CQ83" s="117" t="n">
        <x:f>'ВРИ'!CQ41</x:f>
        <x:v>0</x:v>
      </x:c>
      <x:c r="CR83" s="117" t="n">
        <x:f>'ВРИ'!CR41</x:f>
        <x:v>0</x:v>
      </x:c>
      <x:c r="CS83" s="117" t="n">
        <x:f>'ВРИ'!CS41</x:f>
        <x:v>0</x:v>
      </x:c>
      <x:c r="CT83" s="117" t="n">
        <x:f>'ВРИ'!CT41</x:f>
        <x:v>0</x:v>
      </x:c>
      <x:c r="CU83" s="117" t="n">
        <x:f>'ВРИ'!CU41</x:f>
        <x:v>0</x:v>
      </x:c>
      <x:c r="CV83" s="117" t="n">
        <x:f>'ВРИ'!CV41</x:f>
        <x:v>0</x:v>
      </x:c>
      <x:c r="CW83" s="117" t="n">
        <x:f>'ВРИ'!CW41</x:f>
        <x:v>0</x:v>
      </x:c>
      <x:c r="CX83" s="117" t="n">
        <x:f>'ВРИ'!CX41</x:f>
        <x:v>0</x:v>
      </x:c>
      <x:c r="CY83" s="117" t="n">
        <x:f>'ВРИ'!CY41</x:f>
        <x:v>0</x:v>
      </x:c>
      <x:c r="CZ83" s="117" t="n">
        <x:f>'ВРИ'!CZ41</x:f>
        <x:v>0</x:v>
      </x:c>
      <x:c r="DA83" s="117" t="n">
        <x:f>'ВРИ'!DA41</x:f>
        <x:v>0</x:v>
      </x:c>
      <x:c r="DB83" s="117" t="n">
        <x:f>'ВРИ'!DB41</x:f>
        <x:v>0</x:v>
      </x:c>
      <x:c r="DC83" s="117" t="n">
        <x:f>'ВРИ'!DC41</x:f>
        <x:v>0</x:v>
      </x:c>
      <x:c r="DD83" s="117" t="n">
        <x:f>'ВРИ'!DD41</x:f>
        <x:v>0</x:v>
      </x:c>
      <x:c r="DE83" s="117" t="n">
        <x:f>'ВРИ'!DE41</x:f>
        <x:v>0</x:v>
      </x:c>
      <x:c r="DF83" s="117" t="n">
        <x:f>'ВРИ'!DF41</x:f>
        <x:v>0</x:v>
      </x:c>
      <x:c r="DG83" s="117" t="n">
        <x:f>'ВРИ'!DG41</x:f>
        <x:v>0</x:v>
      </x:c>
      <x:c r="DH83" s="117" t="n">
        <x:f>'ВРИ'!DH41</x:f>
        <x:v>0</x:v>
      </x:c>
      <x:c r="DI83" s="117" t="n">
        <x:f>'ВРИ'!DI41</x:f>
        <x:v>0</x:v>
      </x:c>
      <x:c r="DJ83" s="117" t="n">
        <x:f>'ВРИ'!DJ41</x:f>
        <x:v>0</x:v>
      </x:c>
      <x:c r="DK83" s="117" t="n">
        <x:f>'ВРИ'!DK41</x:f>
        <x:v>0</x:v>
      </x:c>
      <x:c r="DL83" s="117" t="n">
        <x:f>'ВРИ'!DL41</x:f>
        <x:v>0</x:v>
      </x:c>
      <x:c r="DM83" s="117" t="n">
        <x:f>'ВРИ'!DM41</x:f>
        <x:v>0</x:v>
      </x:c>
      <x:c r="DN83" s="117" t="n">
        <x:f>'ВРИ'!DN41</x:f>
        <x:v>0</x:v>
      </x:c>
      <x:c r="DO83" s="117" t="n">
        <x:f>'ВРИ'!DO41</x:f>
        <x:v>0</x:v>
      </x:c>
      <x:c r="DP83" s="117" t="n">
        <x:f>'ВРИ'!DP41</x:f>
        <x:v>0</x:v>
      </x:c>
      <x:c r="DQ83" s="117" t="n">
        <x:f>'ВРИ'!DQ41</x:f>
        <x:v>0</x:v>
      </x:c>
      <x:c r="DR83" s="117" t="n">
        <x:f>'ВРИ'!DR41</x:f>
        <x:v>0</x:v>
      </x:c>
      <x:c r="DS83" s="117" t="n">
        <x:f>'ВРИ'!DS41</x:f>
        <x:v>0</x:v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  <x:v>0</x:v>
      </x:c>
      <x:c r="C84" t="str">
        <x:v>млн ₽</x:v>
      </x:c>
      <x:c r="D84" s="117" t="n">
        <x:f>IF(AND(D$3&gt;=EDATE($B$75,-'Вводные'!$E$90),D$3&lt;$B$75),$B$84/MAX(1,'Вводные'!$E$90),0)</x:f>
        <x:v>0</x:v>
      </x:c>
      <x:c r="E84" s="117" t="n">
        <x:f>IF(AND(E$3&gt;=EDATE($B$75,-'Вводные'!$E$90),E$3&lt;$B$75),$B$84/MAX(1,'Вводные'!$E$90),0)</x:f>
        <x:v>0</x:v>
      </x:c>
      <x:c r="F84" s="117" t="n">
        <x:f>IF(AND(F$3&gt;=EDATE($B$75,-'Вводные'!$E$90),F$3&lt;$B$75),$B$84/MAX(1,'Вводные'!$E$90),0)</x:f>
        <x:v>0</x:v>
      </x:c>
      <x:c r="G84" s="117" t="n">
        <x:f>IF(AND(G$3&gt;=EDATE($B$75,-'Вводные'!$E$90),G$3&lt;$B$75),$B$84/MAX(1,'Вводные'!$E$90),0)</x:f>
        <x:v>0</x:v>
      </x:c>
      <x:c r="H84" s="117" t="n">
        <x:f>IF(AND(H$3&gt;=EDATE($B$75,-'Вводные'!$E$90),H$3&lt;$B$75),$B$84/MAX(1,'Вводные'!$E$90),0)</x:f>
        <x:v>0</x:v>
      </x:c>
      <x:c r="I84" s="117" t="n">
        <x:f>IF(AND(I$3&gt;=EDATE($B$75,-'Вводные'!$E$90),I$3&lt;$B$75),$B$84/MAX(1,'Вводные'!$E$90),0)</x:f>
        <x:v>0</x:v>
      </x:c>
      <x:c r="J84" s="117" t="n">
        <x:f>IF(AND(J$3&gt;=EDATE($B$75,-'Вводные'!$E$90),J$3&lt;$B$75),$B$84/MAX(1,'Вводные'!$E$90),0)</x:f>
        <x:v>0</x:v>
      </x:c>
      <x:c r="K84" s="117" t="n">
        <x:f>IF(AND(K$3&gt;=EDATE($B$75,-'Вводные'!$E$90),K$3&lt;$B$75),$B$84/MAX(1,'Вводные'!$E$90),0)</x:f>
        <x:v>0</x:v>
      </x:c>
      <x:c r="L84" s="117" t="n">
        <x:f>IF(AND(L$3&gt;=EDATE($B$75,-'Вводные'!$E$90),L$3&lt;$B$75),$B$84/MAX(1,'Вводные'!$E$90),0)</x:f>
        <x:v>0</x:v>
      </x:c>
      <x:c r="M84" s="117" t="n">
        <x:f>IF(AND(M$3&gt;=EDATE($B$75,-'Вводные'!$E$90),M$3&lt;$B$75),$B$84/MAX(1,'Вводные'!$E$90),0)</x:f>
        <x:v>0</x:v>
      </x:c>
      <x:c r="N84" s="117" t="n">
        <x:f>IF(AND(N$3&gt;=EDATE($B$75,-'Вводные'!$E$90),N$3&lt;$B$75),$B$84/MAX(1,'Вводные'!$E$90),0)</x:f>
        <x:v>0</x:v>
      </x:c>
      <x:c r="O84" s="117" t="n">
        <x:f>IF(AND(O$3&gt;=EDATE($B$75,-'Вводные'!$E$90),O$3&lt;$B$75),$B$84/MAX(1,'Вводные'!$E$90),0)</x:f>
        <x:v>0</x:v>
      </x:c>
      <x:c r="P84" s="117" t="n">
        <x:f>IF(AND(P$3&gt;=EDATE($B$75,-'Вводные'!$E$90),P$3&lt;$B$75),$B$84/MAX(1,'Вводные'!$E$90),0)</x:f>
        <x:v>0</x:v>
      </x:c>
      <x:c r="Q84" s="117" t="n">
        <x:f>IF(AND(Q$3&gt;=EDATE($B$75,-'Вводные'!$E$90),Q$3&lt;$B$75),$B$84/MAX(1,'Вводные'!$E$90),0)</x:f>
        <x:v>0</x:v>
      </x:c>
      <x:c r="R84" s="117" t="n">
        <x:f>IF(AND(R$3&gt;=EDATE($B$75,-'Вводные'!$E$90),R$3&lt;$B$75),$B$84/MAX(1,'Вводные'!$E$90),0)</x:f>
        <x:v>0</x:v>
      </x:c>
      <x:c r="S84" s="117" t="n">
        <x:f>IF(AND(S$3&gt;=EDATE($B$75,-'Вводные'!$E$90),S$3&lt;$B$75),$B$84/MAX(1,'Вводные'!$E$90),0)</x:f>
        <x:v>0</x:v>
      </x:c>
      <x:c r="T84" s="117" t="n">
        <x:f>IF(AND(T$3&gt;=EDATE($B$75,-'Вводные'!$E$90),T$3&lt;$B$75),$B$84/MAX(1,'Вводные'!$E$90),0)</x:f>
        <x:v>0</x:v>
      </x:c>
      <x:c r="U84" s="117" t="n">
        <x:f>IF(AND(U$3&gt;=EDATE($B$75,-'Вводные'!$E$90),U$3&lt;$B$75),$B$84/MAX(1,'Вводные'!$E$90),0)</x:f>
        <x:v>0</x:v>
      </x:c>
      <x:c r="V84" s="117" t="n">
        <x:f>IF(AND(V$3&gt;=EDATE($B$75,-'Вводные'!$E$90),V$3&lt;$B$75),$B$84/MAX(1,'Вводные'!$E$90),0)</x:f>
        <x:v>0</x:v>
      </x:c>
      <x:c r="W84" s="117" t="n">
        <x:f>IF(AND(W$3&gt;=EDATE($B$75,-'Вводные'!$E$90),W$3&lt;$B$75),$B$84/MAX(1,'Вводные'!$E$90),0)</x:f>
        <x:v>0</x:v>
      </x:c>
      <x:c r="X84" s="117" t="n">
        <x:f>IF(AND(X$3&gt;=EDATE($B$75,-'Вводные'!$E$90),X$3&lt;$B$75),$B$84/MAX(1,'Вводные'!$E$90),0)</x:f>
        <x:v>0</x:v>
      </x:c>
      <x:c r="Y84" s="117" t="n">
        <x:f>IF(AND(Y$3&gt;=EDATE($B$75,-'Вводные'!$E$90),Y$3&lt;$B$75),$B$84/MAX(1,'Вводные'!$E$90),0)</x:f>
        <x:v>0</x:v>
      </x:c>
      <x:c r="Z84" s="117" t="n">
        <x:f>IF(AND(Z$3&gt;=EDATE($B$75,-'Вводные'!$E$90),Z$3&lt;$B$75),$B$84/MAX(1,'Вводные'!$E$90),0)</x:f>
        <x:v>0</x:v>
      </x:c>
      <x:c r="AA84" s="117" t="n">
        <x:f>IF(AND(AA$3&gt;=EDATE($B$75,-'Вводные'!$E$90),AA$3&lt;$B$75),$B$84/MAX(1,'Вводные'!$E$90),0)</x:f>
        <x:v>0</x:v>
      </x:c>
      <x:c r="AB84" s="117" t="n">
        <x:f>IF(AND(AB$3&gt;=EDATE($B$75,-'Вводные'!$E$90),AB$3&lt;$B$75),$B$84/MAX(1,'Вводные'!$E$90),0)</x:f>
        <x:v>0</x:v>
      </x:c>
      <x:c r="AC84" s="117" t="n">
        <x:f>IF(AND(AC$3&gt;=EDATE($B$75,-'Вводные'!$E$90),AC$3&lt;$B$75),$B$84/MAX(1,'Вводные'!$E$90),0)</x:f>
        <x:v>0</x:v>
      </x:c>
      <x:c r="AD84" s="117" t="n">
        <x:f>IF(AND(AD$3&gt;=EDATE($B$75,-'Вводные'!$E$90),AD$3&lt;$B$75),$B$84/MAX(1,'Вводные'!$E$90),0)</x:f>
        <x:v>0</x:v>
      </x:c>
      <x:c r="AE84" s="117" t="n">
        <x:f>IF(AND(AE$3&gt;=EDATE($B$75,-'Вводные'!$E$90),AE$3&lt;$B$75),$B$84/MAX(1,'Вводные'!$E$90),0)</x:f>
        <x:v>0</x:v>
      </x:c>
      <x:c r="AF84" s="117" t="n">
        <x:f>IF(AND(AF$3&gt;=EDATE($B$75,-'Вводные'!$E$90),AF$3&lt;$B$75),$B$84/MAX(1,'Вводные'!$E$90),0)</x:f>
        <x:v>0</x:v>
      </x:c>
      <x:c r="AG84" s="117" t="n">
        <x:f>IF(AND(AG$3&gt;=EDATE($B$75,-'Вводные'!$E$90),AG$3&lt;$B$75),$B$84/MAX(1,'Вводные'!$E$90),0)</x:f>
        <x:v>0</x:v>
      </x:c>
      <x:c r="AH84" s="117" t="n">
        <x:f>IF(AND(AH$3&gt;=EDATE($B$75,-'Вводные'!$E$90),AH$3&lt;$B$75),$B$84/MAX(1,'Вводные'!$E$90),0)</x:f>
        <x:v>0</x:v>
      </x:c>
      <x:c r="AI84" s="117" t="n">
        <x:f>IF(AND(AI$3&gt;=EDATE($B$75,-'Вводные'!$E$90),AI$3&lt;$B$75),$B$84/MAX(1,'Вводные'!$E$90),0)</x:f>
        <x:v>0</x:v>
      </x:c>
      <x:c r="AJ84" s="117" t="n">
        <x:f>IF(AND(AJ$3&gt;=EDATE($B$75,-'Вводные'!$E$90),AJ$3&lt;$B$75),$B$84/MAX(1,'Вводные'!$E$90),0)</x:f>
        <x:v>0</x:v>
      </x:c>
      <x:c r="AK84" s="117" t="n">
        <x:f>IF(AND(AK$3&gt;=EDATE($B$75,-'Вводные'!$E$90),AK$3&lt;$B$75),$B$84/MAX(1,'Вводные'!$E$90),0)</x:f>
        <x:v>0</x:v>
      </x:c>
      <x:c r="AL84" s="117" t="n">
        <x:f>IF(AND(AL$3&gt;=EDATE($B$75,-'Вводные'!$E$90),AL$3&lt;$B$75),$B$84/MAX(1,'Вводные'!$E$90),0)</x:f>
        <x:v>0</x:v>
      </x:c>
      <x:c r="AM84" s="117" t="n">
        <x:f>IF(AND(AM$3&gt;=EDATE($B$75,-'Вводные'!$E$90),AM$3&lt;$B$75),$B$84/MAX(1,'Вводные'!$E$90),0)</x:f>
        <x:v>0</x:v>
      </x:c>
      <x:c r="AN84" s="117" t="n">
        <x:f>IF(AND(AN$3&gt;=EDATE($B$75,-'Вводные'!$E$90),AN$3&lt;$B$75),$B$84/MAX(1,'Вводные'!$E$90),0)</x:f>
        <x:v>0</x:v>
      </x:c>
      <x:c r="AO84" s="117" t="n">
        <x:f>IF(AND(AO$3&gt;=EDATE($B$75,-'Вводные'!$E$90),AO$3&lt;$B$75),$B$84/MAX(1,'Вводные'!$E$90),0)</x:f>
        <x:v>0</x:v>
      </x:c>
      <x:c r="AP84" s="117" t="n">
        <x:f>IF(AND(AP$3&gt;=EDATE($B$75,-'Вводные'!$E$90),AP$3&lt;$B$75),$B$84/MAX(1,'Вводные'!$E$90),0)</x:f>
        <x:v>0</x:v>
      </x:c>
      <x:c r="AQ84" s="117" t="n">
        <x:f>IF(AND(AQ$3&gt;=EDATE($B$75,-'Вводные'!$E$90),AQ$3&lt;$B$75),$B$84/MAX(1,'Вводные'!$E$90),0)</x:f>
        <x:v>0</x:v>
      </x:c>
      <x:c r="AR84" s="117" t="n">
        <x:f>IF(AND(AR$3&gt;=EDATE($B$75,-'Вводные'!$E$90),AR$3&lt;$B$75),$B$84/MAX(1,'Вводные'!$E$90),0)</x:f>
        <x:v>0</x:v>
      </x:c>
      <x:c r="AS84" s="117" t="n">
        <x:f>IF(AND(AS$3&gt;=EDATE($B$75,-'Вводные'!$E$90),AS$3&lt;$B$75),$B$84/MAX(1,'Вводные'!$E$90),0)</x:f>
        <x:v>0</x:v>
      </x:c>
      <x:c r="AT84" s="117" t="n">
        <x:f>IF(AND(AT$3&gt;=EDATE($B$75,-'Вводные'!$E$90),AT$3&lt;$B$75),$B$84/MAX(1,'Вводные'!$E$90),0)</x:f>
        <x:v>0</x:v>
      </x:c>
      <x:c r="AU84" s="117" t="n">
        <x:f>IF(AND(AU$3&gt;=EDATE($B$75,-'Вводные'!$E$90),AU$3&lt;$B$75),$B$84/MAX(1,'Вводные'!$E$90),0)</x:f>
        <x:v>0</x:v>
      </x:c>
      <x:c r="AV84" s="117" t="n">
        <x:f>IF(AND(AV$3&gt;=EDATE($B$75,-'Вводные'!$E$90),AV$3&lt;$B$75),$B$84/MAX(1,'Вводные'!$E$90),0)</x:f>
        <x:v>0</x:v>
      </x:c>
      <x:c r="AW84" s="117" t="n">
        <x:f>IF(AND(AW$3&gt;=EDATE($B$75,-'Вводные'!$E$90),AW$3&lt;$B$75),$B$84/MAX(1,'Вводные'!$E$90),0)</x:f>
        <x:v>0</x:v>
      </x:c>
      <x:c r="AX84" s="117" t="n">
        <x:f>IF(AND(AX$3&gt;=EDATE($B$75,-'Вводные'!$E$90),AX$3&lt;$B$75),$B$84/MAX(1,'Вводные'!$E$90),0)</x:f>
        <x:v>0</x:v>
      </x:c>
      <x:c r="AY84" s="117" t="n">
        <x:f>IF(AND(AY$3&gt;=EDATE($B$75,-'Вводные'!$E$90),AY$3&lt;$B$75),$B$84/MAX(1,'Вводные'!$E$90),0)</x:f>
        <x:v>0</x:v>
      </x:c>
      <x:c r="AZ84" s="117" t="n">
        <x:f>IF(AND(AZ$3&gt;=EDATE($B$75,-'Вводные'!$E$90),AZ$3&lt;$B$75),$B$84/MAX(1,'Вводные'!$E$90),0)</x:f>
        <x:v>0</x:v>
      </x:c>
      <x:c r="BA84" s="117" t="n">
        <x:f>IF(AND(BA$3&gt;=EDATE($B$75,-'Вводные'!$E$90),BA$3&lt;$B$75),$B$84/MAX(1,'Вводные'!$E$90),0)</x:f>
        <x:v>0</x:v>
      </x:c>
      <x:c r="BB84" s="117" t="n">
        <x:f>IF(AND(BB$3&gt;=EDATE($B$75,-'Вводные'!$E$90),BB$3&lt;$B$75),$B$84/MAX(1,'Вводные'!$E$90),0)</x:f>
        <x:v>0</x:v>
      </x:c>
      <x:c r="BC84" s="117" t="n">
        <x:f>IF(AND(BC$3&gt;=EDATE($B$75,-'Вводные'!$E$90),BC$3&lt;$B$75),$B$84/MAX(1,'Вводные'!$E$90),0)</x:f>
        <x:v>0</x:v>
      </x:c>
      <x:c r="BD84" s="117" t="n">
        <x:f>IF(AND(BD$3&gt;=EDATE($B$75,-'Вводные'!$E$90),BD$3&lt;$B$75),$B$84/MAX(1,'Вводные'!$E$90),0)</x:f>
        <x:v>0</x:v>
      </x:c>
      <x:c r="BE84" s="117" t="n">
        <x:f>IF(AND(BE$3&gt;=EDATE($B$75,-'Вводные'!$E$90),BE$3&lt;$B$75),$B$84/MAX(1,'Вводные'!$E$90),0)</x:f>
        <x:v>0</x:v>
      </x:c>
      <x:c r="BF84" s="117" t="n">
        <x:f>IF(AND(BF$3&gt;=EDATE($B$75,-'Вводные'!$E$90),BF$3&lt;$B$75),$B$84/MAX(1,'Вводные'!$E$90),0)</x:f>
        <x:v>0</x:v>
      </x:c>
      <x:c r="BG84" s="117" t="n">
        <x:f>IF(AND(BG$3&gt;=EDATE($B$75,-'Вводные'!$E$90),BG$3&lt;$B$75),$B$84/MAX(1,'Вводные'!$E$90),0)</x:f>
        <x:v>0</x:v>
      </x:c>
      <x:c r="BH84" s="117" t="n">
        <x:f>IF(AND(BH$3&gt;=EDATE($B$75,-'Вводные'!$E$90),BH$3&lt;$B$75),$B$84/MAX(1,'Вводные'!$E$90),0)</x:f>
        <x:v>0</x:v>
      </x:c>
      <x:c r="BI84" s="117" t="n">
        <x:f>IF(AND(BI$3&gt;=EDATE($B$75,-'Вводные'!$E$90),BI$3&lt;$B$75),$B$84/MAX(1,'Вводные'!$E$90),0)</x:f>
        <x:v>0</x:v>
      </x:c>
      <x:c r="BJ84" s="117" t="n">
        <x:f>IF(AND(BJ$3&gt;=EDATE($B$75,-'Вводные'!$E$90),BJ$3&lt;$B$75),$B$84/MAX(1,'Вводные'!$E$90),0)</x:f>
        <x:v>0</x:v>
      </x:c>
      <x:c r="BK84" s="117" t="n">
        <x:f>IF(AND(BK$3&gt;=EDATE($B$75,-'Вводные'!$E$90),BK$3&lt;$B$75),$B$84/MAX(1,'Вводные'!$E$90),0)</x:f>
        <x:v>0</x:v>
      </x:c>
      <x:c r="BL84" s="117" t="n">
        <x:f>IF(AND(BL$3&gt;=EDATE($B$75,-'Вводные'!$E$90),BL$3&lt;$B$75),$B$84/MAX(1,'Вводные'!$E$90),0)</x:f>
        <x:v>0</x:v>
      </x:c>
      <x:c r="BM84" s="117" t="n">
        <x:f>IF(AND(BM$3&gt;=EDATE($B$75,-'Вводные'!$E$90),BM$3&lt;$B$75),$B$84/MAX(1,'Вводные'!$E$90),0)</x:f>
        <x:v>0</x:v>
      </x:c>
      <x:c r="BN84" s="117" t="n">
        <x:f>IF(AND(BN$3&gt;=EDATE($B$75,-'Вводные'!$E$90),BN$3&lt;$B$75),$B$84/MAX(1,'Вводные'!$E$90),0)</x:f>
        <x:v>0</x:v>
      </x:c>
      <x:c r="BO84" s="117" t="n">
        <x:f>IF(AND(BO$3&gt;=EDATE($B$75,-'Вводные'!$E$90),BO$3&lt;$B$75),$B$84/MAX(1,'Вводные'!$E$90),0)</x:f>
        <x:v>0</x:v>
      </x:c>
      <x:c r="BP84" s="117" t="n">
        <x:f>IF(AND(BP$3&gt;=EDATE($B$75,-'Вводные'!$E$90),BP$3&lt;$B$75),$B$84/MAX(1,'Вводные'!$E$90),0)</x:f>
        <x:v>0</x:v>
      </x:c>
      <x:c r="BQ84" s="117" t="n">
        <x:f>IF(AND(BQ$3&gt;=EDATE($B$75,-'Вводные'!$E$90),BQ$3&lt;$B$75),$B$84/MAX(1,'Вводные'!$E$90),0)</x:f>
        <x:v>0</x:v>
      </x:c>
      <x:c r="BR84" s="117" t="n">
        <x:f>IF(AND(BR$3&gt;=EDATE($B$75,-'Вводные'!$E$90),BR$3&lt;$B$75),$B$84/MAX(1,'Вводные'!$E$90),0)</x:f>
        <x:v>0</x:v>
      </x:c>
      <x:c r="BS84" s="117" t="n">
        <x:f>IF(AND(BS$3&gt;=EDATE($B$75,-'Вводные'!$E$90),BS$3&lt;$B$75),$B$84/MAX(1,'Вводные'!$E$90),0)</x:f>
        <x:v>0</x:v>
      </x:c>
      <x:c r="BT84" s="117" t="n">
        <x:f>IF(AND(BT$3&gt;=EDATE($B$75,-'Вводные'!$E$90),BT$3&lt;$B$75),$B$84/MAX(1,'Вводные'!$E$90),0)</x:f>
        <x:v>0</x:v>
      </x:c>
      <x:c r="BU84" s="117" t="n">
        <x:f>IF(AND(BU$3&gt;=EDATE($B$75,-'Вводные'!$E$90),BU$3&lt;$B$75),$B$84/MAX(1,'Вводные'!$E$90),0)</x:f>
        <x:v>0</x:v>
      </x:c>
      <x:c r="BV84" s="117" t="n">
        <x:f>IF(AND(BV$3&gt;=EDATE($B$75,-'Вводные'!$E$90),BV$3&lt;$B$75),$B$84/MAX(1,'Вводные'!$E$90),0)</x:f>
        <x:v>0</x:v>
      </x:c>
      <x:c r="BW84" s="117" t="n">
        <x:f>IF(AND(BW$3&gt;=EDATE($B$75,-'Вводные'!$E$90),BW$3&lt;$B$75),$B$84/MAX(1,'Вводные'!$E$90),0)</x:f>
        <x:v>0</x:v>
      </x:c>
      <x:c r="BX84" s="117" t="n">
        <x:f>IF(AND(BX$3&gt;=EDATE($B$75,-'Вводные'!$E$90),BX$3&lt;$B$75),$B$84/MAX(1,'Вводные'!$E$90),0)</x:f>
        <x:v>0</x:v>
      </x:c>
      <x:c r="BY84" s="117" t="n">
        <x:f>IF(AND(BY$3&gt;=EDATE($B$75,-'Вводные'!$E$90),BY$3&lt;$B$75),$B$84/MAX(1,'Вводные'!$E$90),0)</x:f>
        <x:v>0</x:v>
      </x:c>
      <x:c r="BZ84" s="117" t="n">
        <x:f>IF(AND(BZ$3&gt;=EDATE($B$75,-'Вводные'!$E$90),BZ$3&lt;$B$75),$B$84/MAX(1,'Вводные'!$E$90),0)</x:f>
        <x:v>0</x:v>
      </x:c>
      <x:c r="CA84" s="117" t="n">
        <x:f>IF(AND(CA$3&gt;=EDATE($B$75,-'Вводные'!$E$90),CA$3&lt;$B$75),$B$84/MAX(1,'Вводные'!$E$90),0)</x:f>
        <x:v>0</x:v>
      </x:c>
      <x:c r="CB84" s="117" t="n">
        <x:f>IF(AND(CB$3&gt;=EDATE($B$75,-'Вводные'!$E$90),CB$3&lt;$B$75),$B$84/MAX(1,'Вводные'!$E$90),0)</x:f>
        <x:v>0</x:v>
      </x:c>
      <x:c r="CC84" s="117" t="n">
        <x:f>IF(AND(CC$3&gt;=EDATE($B$75,-'Вводные'!$E$90),CC$3&lt;$B$75),$B$84/MAX(1,'Вводные'!$E$90),0)</x:f>
        <x:v>0</x:v>
      </x:c>
      <x:c r="CD84" s="117" t="n">
        <x:f>IF(AND(CD$3&gt;=EDATE($B$75,-'Вводные'!$E$90),CD$3&lt;$B$75),$B$84/MAX(1,'Вводные'!$E$90),0)</x:f>
        <x:v>0</x:v>
      </x:c>
      <x:c r="CE84" s="117" t="n">
        <x:f>IF(AND(CE$3&gt;=EDATE($B$75,-'Вводные'!$E$90),CE$3&lt;$B$75),$B$84/MAX(1,'Вводные'!$E$90),0)</x:f>
        <x:v>0</x:v>
      </x:c>
      <x:c r="CF84" s="117" t="n">
        <x:f>IF(AND(CF$3&gt;=EDATE($B$75,-'Вводные'!$E$90),CF$3&lt;$B$75),$B$84/MAX(1,'Вводные'!$E$90),0)</x:f>
        <x:v>0</x:v>
      </x:c>
      <x:c r="CG84" s="117" t="n">
        <x:f>IF(AND(CG$3&gt;=EDATE($B$75,-'Вводные'!$E$90),CG$3&lt;$B$75),$B$84/MAX(1,'Вводные'!$E$90),0)</x:f>
        <x:v>0</x:v>
      </x:c>
      <x:c r="CH84" s="117" t="n">
        <x:f>IF(AND(CH$3&gt;=EDATE($B$75,-'Вводные'!$E$90),CH$3&lt;$B$75),$B$84/MAX(1,'Вводные'!$E$90),0)</x:f>
        <x:v>0</x:v>
      </x:c>
      <x:c r="CI84" s="117" t="n">
        <x:f>IF(AND(CI$3&gt;=EDATE($B$75,-'Вводные'!$E$90),CI$3&lt;$B$75),$B$84/MAX(1,'Вводные'!$E$90),0)</x:f>
        <x:v>0</x:v>
      </x:c>
      <x:c r="CJ84" s="117" t="n">
        <x:f>IF(AND(CJ$3&gt;=EDATE($B$75,-'Вводные'!$E$90),CJ$3&lt;$B$75),$B$84/MAX(1,'Вводные'!$E$90),0)</x:f>
        <x:v>0</x:v>
      </x:c>
      <x:c r="CK84" s="117" t="n">
        <x:f>IF(AND(CK$3&gt;=EDATE($B$75,-'Вводные'!$E$90),CK$3&lt;$B$75),$B$84/MAX(1,'Вводные'!$E$90),0)</x:f>
        <x:v>0</x:v>
      </x:c>
      <x:c r="CL84" s="117" t="n">
        <x:f>IF(AND(CL$3&gt;=EDATE($B$75,-'Вводные'!$E$90),CL$3&lt;$B$75),$B$84/MAX(1,'Вводные'!$E$90),0)</x:f>
        <x:v>0</x:v>
      </x:c>
      <x:c r="CM84" s="117" t="n">
        <x:f>IF(AND(CM$3&gt;=EDATE($B$75,-'Вводные'!$E$90),CM$3&lt;$B$75),$B$84/MAX(1,'Вводные'!$E$90),0)</x:f>
        <x:v>0</x:v>
      </x:c>
      <x:c r="CN84" s="117" t="n">
        <x:f>IF(AND(CN$3&gt;=EDATE($B$75,-'Вводные'!$E$90),CN$3&lt;$B$75),$B$84/MAX(1,'Вводные'!$E$90),0)</x:f>
        <x:v>0</x:v>
      </x:c>
      <x:c r="CO84" s="117" t="n">
        <x:f>IF(AND(CO$3&gt;=EDATE($B$75,-'Вводные'!$E$90),CO$3&lt;$B$75),$B$84/MAX(1,'Вводные'!$E$90),0)</x:f>
        <x:v>0</x:v>
      </x:c>
      <x:c r="CP84" s="117" t="n">
        <x:f>IF(AND(CP$3&gt;=EDATE($B$75,-'Вводные'!$E$90),CP$3&lt;$B$75),$B$84/MAX(1,'Вводные'!$E$90),0)</x:f>
        <x:v>0</x:v>
      </x:c>
      <x:c r="CQ84" s="117" t="n">
        <x:f>IF(AND(CQ$3&gt;=EDATE($B$75,-'Вводные'!$E$90),CQ$3&lt;$B$75),$B$84/MAX(1,'Вводные'!$E$90),0)</x:f>
        <x:v>0</x:v>
      </x:c>
      <x:c r="CR84" s="117" t="n">
        <x:f>IF(AND(CR$3&gt;=EDATE($B$75,-'Вводные'!$E$90),CR$3&lt;$B$75),$B$84/MAX(1,'Вводные'!$E$90),0)</x:f>
        <x:v>0</x:v>
      </x:c>
      <x:c r="CS84" s="117" t="n">
        <x:f>IF(AND(CS$3&gt;=EDATE($B$75,-'Вводные'!$E$90),CS$3&lt;$B$75),$B$84/MAX(1,'Вводные'!$E$90),0)</x:f>
        <x:v>0</x:v>
      </x:c>
      <x:c r="CT84" s="117" t="n">
        <x:f>IF(AND(CT$3&gt;=EDATE($B$75,-'Вводные'!$E$90),CT$3&lt;$B$75),$B$84/MAX(1,'Вводные'!$E$90),0)</x:f>
        <x:v>0</x:v>
      </x:c>
      <x:c r="CU84" s="117" t="n">
        <x:f>IF(AND(CU$3&gt;=EDATE($B$75,-'Вводные'!$E$90),CU$3&lt;$B$75),$B$84/MAX(1,'Вводные'!$E$90),0)</x:f>
        <x:v>0</x:v>
      </x:c>
      <x:c r="CV84" s="117" t="n">
        <x:f>IF(AND(CV$3&gt;=EDATE($B$75,-'Вводные'!$E$90),CV$3&lt;$B$75),$B$84/MAX(1,'Вводные'!$E$90),0)</x:f>
        <x:v>0</x:v>
      </x:c>
      <x:c r="CW84" s="117" t="n">
        <x:f>IF(AND(CW$3&gt;=EDATE($B$75,-'Вводные'!$E$90),CW$3&lt;$B$75),$B$84/MAX(1,'Вводные'!$E$90),0)</x:f>
        <x:v>0</x:v>
      </x:c>
      <x:c r="CX84" s="117" t="n">
        <x:f>IF(AND(CX$3&gt;=EDATE($B$75,-'Вводные'!$E$90),CX$3&lt;$B$75),$B$84/MAX(1,'Вводные'!$E$90),0)</x:f>
        <x:v>0</x:v>
      </x:c>
      <x:c r="CY84" s="117" t="n">
        <x:f>IF(AND(CY$3&gt;=EDATE($B$75,-'Вводные'!$E$90),CY$3&lt;$B$75),$B$84/MAX(1,'Вводные'!$E$90),0)</x:f>
        <x:v>0</x:v>
      </x:c>
      <x:c r="CZ84" s="117" t="n">
        <x:f>IF(AND(CZ$3&gt;=EDATE($B$75,-'Вводные'!$E$90),CZ$3&lt;$B$75),$B$84/MAX(1,'Вводные'!$E$90),0)</x:f>
        <x:v>0</x:v>
      </x:c>
      <x:c r="DA84" s="117" t="n">
        <x:f>IF(AND(DA$3&gt;=EDATE($B$75,-'Вводные'!$E$90),DA$3&lt;$B$75),$B$84/MAX(1,'Вводные'!$E$90),0)</x:f>
        <x:v>0</x:v>
      </x:c>
      <x:c r="DB84" s="117" t="n">
        <x:f>IF(AND(DB$3&gt;=EDATE($B$75,-'Вводные'!$E$90),DB$3&lt;$B$75),$B$84/MAX(1,'Вводные'!$E$90),0)</x:f>
        <x:v>0</x:v>
      </x:c>
      <x:c r="DC84" s="117" t="n">
        <x:f>IF(AND(DC$3&gt;=EDATE($B$75,-'Вводные'!$E$90),DC$3&lt;$B$75),$B$84/MAX(1,'Вводные'!$E$90),0)</x:f>
        <x:v>0</x:v>
      </x:c>
      <x:c r="DD84" s="117" t="n">
        <x:f>IF(AND(DD$3&gt;=EDATE($B$75,-'Вводные'!$E$90),DD$3&lt;$B$75),$B$84/MAX(1,'Вводные'!$E$90),0)</x:f>
        <x:v>0</x:v>
      </x:c>
      <x:c r="DE84" s="117" t="n">
        <x:f>IF(AND(DE$3&gt;=EDATE($B$75,-'Вводные'!$E$90),DE$3&lt;$B$75),$B$84/MAX(1,'Вводные'!$E$90),0)</x:f>
        <x:v>0</x:v>
      </x:c>
      <x:c r="DF84" s="117" t="n">
        <x:f>IF(AND(DF$3&gt;=EDATE($B$75,-'Вводные'!$E$90),DF$3&lt;$B$75),$B$84/MAX(1,'Вводные'!$E$90),0)</x:f>
        <x:v>0</x:v>
      </x:c>
      <x:c r="DG84" s="117" t="n">
        <x:f>IF(AND(DG$3&gt;=EDATE($B$75,-'Вводные'!$E$90),DG$3&lt;$B$75),$B$84/MAX(1,'Вводные'!$E$90),0)</x:f>
        <x:v>0</x:v>
      </x:c>
      <x:c r="DH84" s="117" t="n">
        <x:f>IF(AND(DH$3&gt;=EDATE($B$75,-'Вводные'!$E$90),DH$3&lt;$B$75),$B$84/MAX(1,'Вводные'!$E$90),0)</x:f>
        <x:v>0</x:v>
      </x:c>
      <x:c r="DI84" s="117" t="n">
        <x:f>IF(AND(DI$3&gt;=EDATE($B$75,-'Вводные'!$E$90),DI$3&lt;$B$75),$B$84/MAX(1,'Вводные'!$E$90),0)</x:f>
        <x:v>0</x:v>
      </x:c>
      <x:c r="DJ84" s="117" t="n">
        <x:f>IF(AND(DJ$3&gt;=EDATE($B$75,-'Вводные'!$E$90),DJ$3&lt;$B$75),$B$84/MAX(1,'Вводные'!$E$90),0)</x:f>
        <x:v>0</x:v>
      </x:c>
      <x:c r="DK84" s="117" t="n">
        <x:f>IF(AND(DK$3&gt;=EDATE($B$75,-'Вводные'!$E$90),DK$3&lt;$B$75),$B$84/MAX(1,'Вводные'!$E$90),0)</x:f>
        <x:v>0</x:v>
      </x:c>
      <x:c r="DL84" s="117" t="n">
        <x:f>IF(AND(DL$3&gt;=EDATE($B$75,-'Вводные'!$E$90),DL$3&lt;$B$75),$B$84/MAX(1,'Вводные'!$E$90),0)</x:f>
        <x:v>0</x:v>
      </x:c>
      <x:c r="DM84" s="117" t="n">
        <x:f>IF(AND(DM$3&gt;=EDATE($B$75,-'Вводные'!$E$90),DM$3&lt;$B$75),$B$84/MAX(1,'Вводные'!$E$90),0)</x:f>
        <x:v>0</x:v>
      </x:c>
      <x:c r="DN84" s="117" t="n">
        <x:f>IF(AND(DN$3&gt;=EDATE($B$75,-'Вводные'!$E$90),DN$3&lt;$B$75),$B$84/MAX(1,'Вводные'!$E$90),0)</x:f>
        <x:v>0</x:v>
      </x:c>
      <x:c r="DO84" s="117" t="n">
        <x:f>IF(AND(DO$3&gt;=EDATE($B$75,-'Вводные'!$E$90),DO$3&lt;$B$75),$B$84/MAX(1,'Вводные'!$E$90),0)</x:f>
        <x:v>0</x:v>
      </x:c>
      <x:c r="DP84" s="117" t="n">
        <x:f>IF(AND(DP$3&gt;=EDATE($B$75,-'Вводные'!$E$90),DP$3&lt;$B$75),$B$84/MAX(1,'Вводные'!$E$90),0)</x:f>
        <x:v>0</x:v>
      </x:c>
      <x:c r="DQ84" s="117" t="n">
        <x:f>IF(AND(DQ$3&gt;=EDATE($B$75,-'Вводные'!$E$90),DQ$3&lt;$B$75),$B$84/MAX(1,'Вводные'!$E$90),0)</x:f>
        <x:v>0</x:v>
      </x:c>
      <x:c r="DR84" s="117" t="n">
        <x:f>IF(AND(DR$3&gt;=EDATE($B$75,-'Вводные'!$E$90),DR$3&lt;$B$75),$B$84/MAX(1,'Вводные'!$E$90),0)</x:f>
        <x:v>0</x:v>
      </x:c>
      <x:c r="DS84" s="117" t="n">
        <x:f>IF(AND(DS$3&gt;=EDATE($B$75,-'Вводные'!$E$90),DS$3&lt;$B$75),$B$84/MAX(1,'Вводные'!$E$90),0)</x:f>
        <x:v>0</x:v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  <x:v>0</x:v>
      </x:c>
      <x:c r="C85" t="str">
        <x:v>млн ₽</x:v>
      </x:c>
      <x:c r="D85" s="117" t="n">
        <x:f>IF(AND(D$3&gt;=EDATE($B$75,-MIN(6,'Вводные'!$E$90)),D$3&lt;$B$75),$B$85/MAX(1,MIN(6,'Вводные'!$E$90)),0)</x:f>
        <x:v>0</x:v>
      </x:c>
      <x:c r="E85" s="117" t="n">
        <x:f>IF(AND(E$3&gt;=EDATE($B$75,-MIN(6,'Вводные'!$E$90)),E$3&lt;$B$75),$B$85/MAX(1,MIN(6,'Вводные'!$E$90)),0)</x:f>
        <x:v>0</x:v>
      </x:c>
      <x:c r="F85" s="117" t="n">
        <x:f>IF(AND(F$3&gt;=EDATE($B$75,-MIN(6,'Вводные'!$E$90)),F$3&lt;$B$75),$B$85/MAX(1,MIN(6,'Вводные'!$E$90)),0)</x:f>
        <x:v>0</x:v>
      </x:c>
      <x:c r="G85" s="117" t="n">
        <x:f>IF(AND(G$3&gt;=EDATE($B$75,-MIN(6,'Вводные'!$E$90)),G$3&lt;$B$75),$B$85/MAX(1,MIN(6,'Вводные'!$E$90)),0)</x:f>
        <x:v>0</x:v>
      </x:c>
      <x:c r="H85" s="117" t="n">
        <x:f>IF(AND(H$3&gt;=EDATE($B$75,-MIN(6,'Вводные'!$E$90)),H$3&lt;$B$75),$B$85/MAX(1,MIN(6,'Вводные'!$E$90)),0)</x:f>
        <x:v>0</x:v>
      </x:c>
      <x:c r="I85" s="117" t="n">
        <x:f>IF(AND(I$3&gt;=EDATE($B$75,-MIN(6,'Вводные'!$E$90)),I$3&lt;$B$75),$B$85/MAX(1,MIN(6,'Вводные'!$E$90)),0)</x:f>
        <x:v>0</x:v>
      </x:c>
      <x:c r="J85" s="117" t="n">
        <x:f>IF(AND(J$3&gt;=EDATE($B$75,-MIN(6,'Вводные'!$E$90)),J$3&lt;$B$75),$B$85/MAX(1,MIN(6,'Вводные'!$E$90)),0)</x:f>
        <x:v>0</x:v>
      </x:c>
      <x:c r="K85" s="117" t="n">
        <x:f>IF(AND(K$3&gt;=EDATE($B$75,-MIN(6,'Вводные'!$E$90)),K$3&lt;$B$75),$B$85/MAX(1,MIN(6,'Вводные'!$E$90)),0)</x:f>
        <x:v>0</x:v>
      </x:c>
      <x:c r="L85" s="117" t="n">
        <x:f>IF(AND(L$3&gt;=EDATE($B$75,-MIN(6,'Вводные'!$E$90)),L$3&lt;$B$75),$B$85/MAX(1,MIN(6,'Вводные'!$E$90)),0)</x:f>
        <x:v>0</x:v>
      </x:c>
      <x:c r="M85" s="117" t="n">
        <x:f>IF(AND(M$3&gt;=EDATE($B$75,-MIN(6,'Вводные'!$E$90)),M$3&lt;$B$75),$B$85/MAX(1,MIN(6,'Вводные'!$E$90)),0)</x:f>
        <x:v>0</x:v>
      </x:c>
      <x:c r="N85" s="117" t="n">
        <x:f>IF(AND(N$3&gt;=EDATE($B$75,-MIN(6,'Вводные'!$E$90)),N$3&lt;$B$75),$B$85/MAX(1,MIN(6,'Вводные'!$E$90)),0)</x:f>
        <x:v>0</x:v>
      </x:c>
      <x:c r="O85" s="117" t="n">
        <x:f>IF(AND(O$3&gt;=EDATE($B$75,-MIN(6,'Вводные'!$E$90)),O$3&lt;$B$75),$B$85/MAX(1,MIN(6,'Вводные'!$E$90)),0)</x:f>
        <x:v>0</x:v>
      </x:c>
      <x:c r="P85" s="117" t="n">
        <x:f>IF(AND(P$3&gt;=EDATE($B$75,-MIN(6,'Вводные'!$E$90)),P$3&lt;$B$75),$B$85/MAX(1,MIN(6,'Вводные'!$E$90)),0)</x:f>
        <x:v>0</x:v>
      </x:c>
      <x:c r="Q85" s="117" t="n">
        <x:f>IF(AND(Q$3&gt;=EDATE($B$75,-MIN(6,'Вводные'!$E$90)),Q$3&lt;$B$75),$B$85/MAX(1,MIN(6,'Вводные'!$E$90)),0)</x:f>
        <x:v>0</x:v>
      </x:c>
      <x:c r="R85" s="117" t="n">
        <x:f>IF(AND(R$3&gt;=EDATE($B$75,-MIN(6,'Вводные'!$E$90)),R$3&lt;$B$75),$B$85/MAX(1,MIN(6,'Вводные'!$E$90)),0)</x:f>
        <x:v>0</x:v>
      </x:c>
      <x:c r="S85" s="117" t="n">
        <x:f>IF(AND(S$3&gt;=EDATE($B$75,-MIN(6,'Вводные'!$E$90)),S$3&lt;$B$75),$B$85/MAX(1,MIN(6,'Вводные'!$E$90)),0)</x:f>
        <x:v>0</x:v>
      </x:c>
      <x:c r="T85" s="117" t="n">
        <x:f>IF(AND(T$3&gt;=EDATE($B$75,-MIN(6,'Вводные'!$E$90)),T$3&lt;$B$75),$B$85/MAX(1,MIN(6,'Вводные'!$E$90)),0)</x:f>
        <x:v>0</x:v>
      </x:c>
      <x:c r="U85" s="117" t="n">
        <x:f>IF(AND(U$3&gt;=EDATE($B$75,-MIN(6,'Вводные'!$E$90)),U$3&lt;$B$75),$B$85/MAX(1,MIN(6,'Вводные'!$E$90)),0)</x:f>
        <x:v>0</x:v>
      </x:c>
      <x:c r="V85" s="117" t="n">
        <x:f>IF(AND(V$3&gt;=EDATE($B$75,-MIN(6,'Вводные'!$E$90)),V$3&lt;$B$75),$B$85/MAX(1,MIN(6,'Вводные'!$E$90)),0)</x:f>
        <x:v>0</x:v>
      </x:c>
      <x:c r="W85" s="117" t="n">
        <x:f>IF(AND(W$3&gt;=EDATE($B$75,-MIN(6,'Вводные'!$E$90)),W$3&lt;$B$75),$B$85/MAX(1,MIN(6,'Вводные'!$E$90)),0)</x:f>
        <x:v>0</x:v>
      </x:c>
      <x:c r="X85" s="117" t="n">
        <x:f>IF(AND(X$3&gt;=EDATE($B$75,-MIN(6,'Вводные'!$E$90)),X$3&lt;$B$75),$B$85/MAX(1,MIN(6,'Вводные'!$E$90)),0)</x:f>
        <x:v>0</x:v>
      </x:c>
      <x:c r="Y85" s="117" t="n">
        <x:f>IF(AND(Y$3&gt;=EDATE($B$75,-MIN(6,'Вводные'!$E$90)),Y$3&lt;$B$75),$B$85/MAX(1,MIN(6,'Вводные'!$E$90)),0)</x:f>
        <x:v>0</x:v>
      </x:c>
      <x:c r="Z85" s="117" t="n">
        <x:f>IF(AND(Z$3&gt;=EDATE($B$75,-MIN(6,'Вводные'!$E$90)),Z$3&lt;$B$75),$B$85/MAX(1,MIN(6,'Вводные'!$E$90)),0)</x:f>
        <x:v>0</x:v>
      </x:c>
      <x:c r="AA85" s="117" t="n">
        <x:f>IF(AND(AA$3&gt;=EDATE($B$75,-MIN(6,'Вводные'!$E$90)),AA$3&lt;$B$75),$B$85/MAX(1,MIN(6,'Вводные'!$E$90)),0)</x:f>
        <x:v>0</x:v>
      </x:c>
      <x:c r="AB85" s="117" t="n">
        <x:f>IF(AND(AB$3&gt;=EDATE($B$75,-MIN(6,'Вводные'!$E$90)),AB$3&lt;$B$75),$B$85/MAX(1,MIN(6,'Вводные'!$E$90)),0)</x:f>
        <x:v>0</x:v>
      </x:c>
      <x:c r="AC85" s="117" t="n">
        <x:f>IF(AND(AC$3&gt;=EDATE($B$75,-MIN(6,'Вводные'!$E$90)),AC$3&lt;$B$75),$B$85/MAX(1,MIN(6,'Вводные'!$E$90)),0)</x:f>
        <x:v>0</x:v>
      </x:c>
      <x:c r="AD85" s="117" t="n">
        <x:f>IF(AND(AD$3&gt;=EDATE($B$75,-MIN(6,'Вводные'!$E$90)),AD$3&lt;$B$75),$B$85/MAX(1,MIN(6,'Вводные'!$E$90)),0)</x:f>
        <x:v>0</x:v>
      </x:c>
      <x:c r="AE85" s="117" t="n">
        <x:f>IF(AND(AE$3&gt;=EDATE($B$75,-MIN(6,'Вводные'!$E$90)),AE$3&lt;$B$75),$B$85/MAX(1,MIN(6,'Вводные'!$E$90)),0)</x:f>
        <x:v>0</x:v>
      </x:c>
      <x:c r="AF85" s="117" t="n">
        <x:f>IF(AND(AF$3&gt;=EDATE($B$75,-MIN(6,'Вводные'!$E$90)),AF$3&lt;$B$75),$B$85/MAX(1,MIN(6,'Вводные'!$E$90)),0)</x:f>
        <x:v>0</x:v>
      </x:c>
      <x:c r="AG85" s="117" t="n">
        <x:f>IF(AND(AG$3&gt;=EDATE($B$75,-MIN(6,'Вводные'!$E$90)),AG$3&lt;$B$75),$B$85/MAX(1,MIN(6,'Вводные'!$E$90)),0)</x:f>
        <x:v>0</x:v>
      </x:c>
      <x:c r="AH85" s="117" t="n">
        <x:f>IF(AND(AH$3&gt;=EDATE($B$75,-MIN(6,'Вводные'!$E$90)),AH$3&lt;$B$75),$B$85/MAX(1,MIN(6,'Вводные'!$E$90)),0)</x:f>
        <x:v>0</x:v>
      </x:c>
      <x:c r="AI85" s="117" t="n">
        <x:f>IF(AND(AI$3&gt;=EDATE($B$75,-MIN(6,'Вводные'!$E$90)),AI$3&lt;$B$75),$B$85/MAX(1,MIN(6,'Вводные'!$E$90)),0)</x:f>
        <x:v>0</x:v>
      </x:c>
      <x:c r="AJ85" s="117" t="n">
        <x:f>IF(AND(AJ$3&gt;=EDATE($B$75,-MIN(6,'Вводные'!$E$90)),AJ$3&lt;$B$75),$B$85/MAX(1,MIN(6,'Вводные'!$E$90)),0)</x:f>
        <x:v>0</x:v>
      </x:c>
      <x:c r="AK85" s="117" t="n">
        <x:f>IF(AND(AK$3&gt;=EDATE($B$75,-MIN(6,'Вводные'!$E$90)),AK$3&lt;$B$75),$B$85/MAX(1,MIN(6,'Вводные'!$E$90)),0)</x:f>
        <x:v>0</x:v>
      </x:c>
      <x:c r="AL85" s="117" t="n">
        <x:f>IF(AND(AL$3&gt;=EDATE($B$75,-MIN(6,'Вводные'!$E$90)),AL$3&lt;$B$75),$B$85/MAX(1,MIN(6,'Вводные'!$E$90)),0)</x:f>
        <x:v>0</x:v>
      </x:c>
      <x:c r="AM85" s="117" t="n">
        <x:f>IF(AND(AM$3&gt;=EDATE($B$75,-MIN(6,'Вводные'!$E$90)),AM$3&lt;$B$75),$B$85/MAX(1,MIN(6,'Вводные'!$E$90)),0)</x:f>
        <x:v>0</x:v>
      </x:c>
      <x:c r="AN85" s="117" t="n">
        <x:f>IF(AND(AN$3&gt;=EDATE($B$75,-MIN(6,'Вводные'!$E$90)),AN$3&lt;$B$75),$B$85/MAX(1,MIN(6,'Вводные'!$E$90)),0)</x:f>
        <x:v>0</x:v>
      </x:c>
      <x:c r="AO85" s="117" t="n">
        <x:f>IF(AND(AO$3&gt;=EDATE($B$75,-MIN(6,'Вводные'!$E$90)),AO$3&lt;$B$75),$B$85/MAX(1,MIN(6,'Вводные'!$E$90)),0)</x:f>
        <x:v>0</x:v>
      </x:c>
      <x:c r="AP85" s="117" t="n">
        <x:f>IF(AND(AP$3&gt;=EDATE($B$75,-MIN(6,'Вводные'!$E$90)),AP$3&lt;$B$75),$B$85/MAX(1,MIN(6,'Вводные'!$E$90)),0)</x:f>
        <x:v>0</x:v>
      </x:c>
      <x:c r="AQ85" s="117" t="n">
        <x:f>IF(AND(AQ$3&gt;=EDATE($B$75,-MIN(6,'Вводные'!$E$90)),AQ$3&lt;$B$75),$B$85/MAX(1,MIN(6,'Вводные'!$E$90)),0)</x:f>
        <x:v>0</x:v>
      </x:c>
      <x:c r="AR85" s="117" t="n">
        <x:f>IF(AND(AR$3&gt;=EDATE($B$75,-MIN(6,'Вводные'!$E$90)),AR$3&lt;$B$75),$B$85/MAX(1,MIN(6,'Вводные'!$E$90)),0)</x:f>
        <x:v>0</x:v>
      </x:c>
      <x:c r="AS85" s="117" t="n">
        <x:f>IF(AND(AS$3&gt;=EDATE($B$75,-MIN(6,'Вводные'!$E$90)),AS$3&lt;$B$75),$B$85/MAX(1,MIN(6,'Вводные'!$E$90)),0)</x:f>
        <x:v>0</x:v>
      </x:c>
      <x:c r="AT85" s="117" t="n">
        <x:f>IF(AND(AT$3&gt;=EDATE($B$75,-MIN(6,'Вводные'!$E$90)),AT$3&lt;$B$75),$B$85/MAX(1,MIN(6,'Вводные'!$E$90)),0)</x:f>
        <x:v>0</x:v>
      </x:c>
      <x:c r="AU85" s="117" t="n">
        <x:f>IF(AND(AU$3&gt;=EDATE($B$75,-MIN(6,'Вводные'!$E$90)),AU$3&lt;$B$75),$B$85/MAX(1,MIN(6,'Вводные'!$E$90)),0)</x:f>
        <x:v>0</x:v>
      </x:c>
      <x:c r="AV85" s="117" t="n">
        <x:f>IF(AND(AV$3&gt;=EDATE($B$75,-MIN(6,'Вводные'!$E$90)),AV$3&lt;$B$75),$B$85/MAX(1,MIN(6,'Вводные'!$E$90)),0)</x:f>
        <x:v>0</x:v>
      </x:c>
      <x:c r="AW85" s="117" t="n">
        <x:f>IF(AND(AW$3&gt;=EDATE($B$75,-MIN(6,'Вводные'!$E$90)),AW$3&lt;$B$75),$B$85/MAX(1,MIN(6,'Вводные'!$E$90)),0)</x:f>
        <x:v>0</x:v>
      </x:c>
      <x:c r="AX85" s="117" t="n">
        <x:f>IF(AND(AX$3&gt;=EDATE($B$75,-MIN(6,'Вводные'!$E$90)),AX$3&lt;$B$75),$B$85/MAX(1,MIN(6,'Вводные'!$E$90)),0)</x:f>
        <x:v>0</x:v>
      </x:c>
      <x:c r="AY85" s="117" t="n">
        <x:f>IF(AND(AY$3&gt;=EDATE($B$75,-MIN(6,'Вводные'!$E$90)),AY$3&lt;$B$75),$B$85/MAX(1,MIN(6,'Вводные'!$E$90)),0)</x:f>
        <x:v>0</x:v>
      </x:c>
      <x:c r="AZ85" s="117" t="n">
        <x:f>IF(AND(AZ$3&gt;=EDATE($B$75,-MIN(6,'Вводные'!$E$90)),AZ$3&lt;$B$75),$B$85/MAX(1,MIN(6,'Вводные'!$E$90)),0)</x:f>
        <x:v>0</x:v>
      </x:c>
      <x:c r="BA85" s="117" t="n">
        <x:f>IF(AND(BA$3&gt;=EDATE($B$75,-MIN(6,'Вводные'!$E$90)),BA$3&lt;$B$75),$B$85/MAX(1,MIN(6,'Вводные'!$E$90)),0)</x:f>
        <x:v>0</x:v>
      </x:c>
      <x:c r="BB85" s="117" t="n">
        <x:f>IF(AND(BB$3&gt;=EDATE($B$75,-MIN(6,'Вводные'!$E$90)),BB$3&lt;$B$75),$B$85/MAX(1,MIN(6,'Вводные'!$E$90)),0)</x:f>
        <x:v>0</x:v>
      </x:c>
      <x:c r="BC85" s="117" t="n">
        <x:f>IF(AND(BC$3&gt;=EDATE($B$75,-MIN(6,'Вводные'!$E$90)),BC$3&lt;$B$75),$B$85/MAX(1,MIN(6,'Вводные'!$E$90)),0)</x:f>
        <x:v>0</x:v>
      </x:c>
      <x:c r="BD85" s="117" t="n">
        <x:f>IF(AND(BD$3&gt;=EDATE($B$75,-MIN(6,'Вводные'!$E$90)),BD$3&lt;$B$75),$B$85/MAX(1,MIN(6,'Вводные'!$E$90)),0)</x:f>
        <x:v>0</x:v>
      </x:c>
      <x:c r="BE85" s="117" t="n">
        <x:f>IF(AND(BE$3&gt;=EDATE($B$75,-MIN(6,'Вводные'!$E$90)),BE$3&lt;$B$75),$B$85/MAX(1,MIN(6,'Вводные'!$E$90)),0)</x:f>
        <x:v>0</x:v>
      </x:c>
      <x:c r="BF85" s="117" t="n">
        <x:f>IF(AND(BF$3&gt;=EDATE($B$75,-MIN(6,'Вводные'!$E$90)),BF$3&lt;$B$75),$B$85/MAX(1,MIN(6,'Вводные'!$E$90)),0)</x:f>
        <x:v>0</x:v>
      </x:c>
      <x:c r="BG85" s="117" t="n">
        <x:f>IF(AND(BG$3&gt;=EDATE($B$75,-MIN(6,'Вводные'!$E$90)),BG$3&lt;$B$75),$B$85/MAX(1,MIN(6,'Вводные'!$E$90)),0)</x:f>
        <x:v>0</x:v>
      </x:c>
      <x:c r="BH85" s="117" t="n">
        <x:f>IF(AND(BH$3&gt;=EDATE($B$75,-MIN(6,'Вводные'!$E$90)),BH$3&lt;$B$75),$B$85/MAX(1,MIN(6,'Вводные'!$E$90)),0)</x:f>
        <x:v>0</x:v>
      </x:c>
      <x:c r="BI85" s="117" t="n">
        <x:f>IF(AND(BI$3&gt;=EDATE($B$75,-MIN(6,'Вводные'!$E$90)),BI$3&lt;$B$75),$B$85/MAX(1,MIN(6,'Вводные'!$E$90)),0)</x:f>
        <x:v>0</x:v>
      </x:c>
      <x:c r="BJ85" s="117" t="n">
        <x:f>IF(AND(BJ$3&gt;=EDATE($B$75,-MIN(6,'Вводные'!$E$90)),BJ$3&lt;$B$75),$B$85/MAX(1,MIN(6,'Вводные'!$E$90)),0)</x:f>
        <x:v>0</x:v>
      </x:c>
      <x:c r="BK85" s="117" t="n">
        <x:f>IF(AND(BK$3&gt;=EDATE($B$75,-MIN(6,'Вводные'!$E$90)),BK$3&lt;$B$75),$B$85/MAX(1,MIN(6,'Вводные'!$E$90)),0)</x:f>
        <x:v>0</x:v>
      </x:c>
      <x:c r="BL85" s="117" t="n">
        <x:f>IF(AND(BL$3&gt;=EDATE($B$75,-MIN(6,'Вводные'!$E$90)),BL$3&lt;$B$75),$B$85/MAX(1,MIN(6,'Вводные'!$E$90)),0)</x:f>
        <x:v>0</x:v>
      </x:c>
      <x:c r="BM85" s="117" t="n">
        <x:f>IF(AND(BM$3&gt;=EDATE($B$75,-MIN(6,'Вводные'!$E$90)),BM$3&lt;$B$75),$B$85/MAX(1,MIN(6,'Вводные'!$E$90)),0)</x:f>
        <x:v>0</x:v>
      </x:c>
      <x:c r="BN85" s="117" t="n">
        <x:f>IF(AND(BN$3&gt;=EDATE($B$75,-MIN(6,'Вводные'!$E$90)),BN$3&lt;$B$75),$B$85/MAX(1,MIN(6,'Вводные'!$E$90)),0)</x:f>
        <x:v>0</x:v>
      </x:c>
      <x:c r="BO85" s="117" t="n">
        <x:f>IF(AND(BO$3&gt;=EDATE($B$75,-MIN(6,'Вводные'!$E$90)),BO$3&lt;$B$75),$B$85/MAX(1,MIN(6,'Вводные'!$E$90)),0)</x:f>
        <x:v>0</x:v>
      </x:c>
      <x:c r="BP85" s="117" t="n">
        <x:f>IF(AND(BP$3&gt;=EDATE($B$75,-MIN(6,'Вводные'!$E$90)),BP$3&lt;$B$75),$B$85/MAX(1,MIN(6,'Вводные'!$E$90)),0)</x:f>
        <x:v>0</x:v>
      </x:c>
      <x:c r="BQ85" s="117" t="n">
        <x:f>IF(AND(BQ$3&gt;=EDATE($B$75,-MIN(6,'Вводные'!$E$90)),BQ$3&lt;$B$75),$B$85/MAX(1,MIN(6,'Вводные'!$E$90)),0)</x:f>
        <x:v>0</x:v>
      </x:c>
      <x:c r="BR85" s="117" t="n">
        <x:f>IF(AND(BR$3&gt;=EDATE($B$75,-MIN(6,'Вводные'!$E$90)),BR$3&lt;$B$75),$B$85/MAX(1,MIN(6,'Вводные'!$E$90)),0)</x:f>
        <x:v>0</x:v>
      </x:c>
      <x:c r="BS85" s="117" t="n">
        <x:f>IF(AND(BS$3&gt;=EDATE($B$75,-MIN(6,'Вводные'!$E$90)),BS$3&lt;$B$75),$B$85/MAX(1,MIN(6,'Вводные'!$E$90)),0)</x:f>
        <x:v>0</x:v>
      </x:c>
      <x:c r="BT85" s="117" t="n">
        <x:f>IF(AND(BT$3&gt;=EDATE($B$75,-MIN(6,'Вводные'!$E$90)),BT$3&lt;$B$75),$B$85/MAX(1,MIN(6,'Вводные'!$E$90)),0)</x:f>
        <x:v>0</x:v>
      </x:c>
      <x:c r="BU85" s="117" t="n">
        <x:f>IF(AND(BU$3&gt;=EDATE($B$75,-MIN(6,'Вводные'!$E$90)),BU$3&lt;$B$75),$B$85/MAX(1,MIN(6,'Вводные'!$E$90)),0)</x:f>
        <x:v>0</x:v>
      </x:c>
      <x:c r="BV85" s="117" t="n">
        <x:f>IF(AND(BV$3&gt;=EDATE($B$75,-MIN(6,'Вводные'!$E$90)),BV$3&lt;$B$75),$B$85/MAX(1,MIN(6,'Вводные'!$E$90)),0)</x:f>
        <x:v>0</x:v>
      </x:c>
      <x:c r="BW85" s="117" t="n">
        <x:f>IF(AND(BW$3&gt;=EDATE($B$75,-MIN(6,'Вводные'!$E$90)),BW$3&lt;$B$75),$B$85/MAX(1,MIN(6,'Вводные'!$E$90)),0)</x:f>
        <x:v>0</x:v>
      </x:c>
      <x:c r="BX85" s="117" t="n">
        <x:f>IF(AND(BX$3&gt;=EDATE($B$75,-MIN(6,'Вводные'!$E$90)),BX$3&lt;$B$75),$B$85/MAX(1,MIN(6,'Вводные'!$E$90)),0)</x:f>
        <x:v>0</x:v>
      </x:c>
      <x:c r="BY85" s="117" t="n">
        <x:f>IF(AND(BY$3&gt;=EDATE($B$75,-MIN(6,'Вводные'!$E$90)),BY$3&lt;$B$75),$B$85/MAX(1,MIN(6,'Вводные'!$E$90)),0)</x:f>
        <x:v>0</x:v>
      </x:c>
      <x:c r="BZ85" s="117" t="n">
        <x:f>IF(AND(BZ$3&gt;=EDATE($B$75,-MIN(6,'Вводные'!$E$90)),BZ$3&lt;$B$75),$B$85/MAX(1,MIN(6,'Вводные'!$E$90)),0)</x:f>
        <x:v>0</x:v>
      </x:c>
      <x:c r="CA85" s="117" t="n">
        <x:f>IF(AND(CA$3&gt;=EDATE($B$75,-MIN(6,'Вводные'!$E$90)),CA$3&lt;$B$75),$B$85/MAX(1,MIN(6,'Вводные'!$E$90)),0)</x:f>
        <x:v>0</x:v>
      </x:c>
      <x:c r="CB85" s="117" t="n">
        <x:f>IF(AND(CB$3&gt;=EDATE($B$75,-MIN(6,'Вводные'!$E$90)),CB$3&lt;$B$75),$B$85/MAX(1,MIN(6,'Вводные'!$E$90)),0)</x:f>
        <x:v>0</x:v>
      </x:c>
      <x:c r="CC85" s="117" t="n">
        <x:f>IF(AND(CC$3&gt;=EDATE($B$75,-MIN(6,'Вводные'!$E$90)),CC$3&lt;$B$75),$B$85/MAX(1,MIN(6,'Вводные'!$E$90)),0)</x:f>
        <x:v>0</x:v>
      </x:c>
      <x:c r="CD85" s="117" t="n">
        <x:f>IF(AND(CD$3&gt;=EDATE($B$75,-MIN(6,'Вводные'!$E$90)),CD$3&lt;$B$75),$B$85/MAX(1,MIN(6,'Вводные'!$E$90)),0)</x:f>
        <x:v>0</x:v>
      </x:c>
      <x:c r="CE85" s="117" t="n">
        <x:f>IF(AND(CE$3&gt;=EDATE($B$75,-MIN(6,'Вводные'!$E$90)),CE$3&lt;$B$75),$B$85/MAX(1,MIN(6,'Вводные'!$E$90)),0)</x:f>
        <x:v>0</x:v>
      </x:c>
      <x:c r="CF85" s="117" t="n">
        <x:f>IF(AND(CF$3&gt;=EDATE($B$75,-MIN(6,'Вводные'!$E$90)),CF$3&lt;$B$75),$B$85/MAX(1,MIN(6,'Вводные'!$E$90)),0)</x:f>
        <x:v>0</x:v>
      </x:c>
      <x:c r="CG85" s="117" t="n">
        <x:f>IF(AND(CG$3&gt;=EDATE($B$75,-MIN(6,'Вводные'!$E$90)),CG$3&lt;$B$75),$B$85/MAX(1,MIN(6,'Вводные'!$E$90)),0)</x:f>
        <x:v>0</x:v>
      </x:c>
      <x:c r="CH85" s="117" t="n">
        <x:f>IF(AND(CH$3&gt;=EDATE($B$75,-MIN(6,'Вводные'!$E$90)),CH$3&lt;$B$75),$B$85/MAX(1,MIN(6,'Вводные'!$E$90)),0)</x:f>
        <x:v>0</x:v>
      </x:c>
      <x:c r="CI85" s="117" t="n">
        <x:f>IF(AND(CI$3&gt;=EDATE($B$75,-MIN(6,'Вводные'!$E$90)),CI$3&lt;$B$75),$B$85/MAX(1,MIN(6,'Вводные'!$E$90)),0)</x:f>
        <x:v>0</x:v>
      </x:c>
      <x:c r="CJ85" s="117" t="n">
        <x:f>IF(AND(CJ$3&gt;=EDATE($B$75,-MIN(6,'Вводные'!$E$90)),CJ$3&lt;$B$75),$B$85/MAX(1,MIN(6,'Вводные'!$E$90)),0)</x:f>
        <x:v>0</x:v>
      </x:c>
      <x:c r="CK85" s="117" t="n">
        <x:f>IF(AND(CK$3&gt;=EDATE($B$75,-MIN(6,'Вводные'!$E$90)),CK$3&lt;$B$75),$B$85/MAX(1,MIN(6,'Вводные'!$E$90)),0)</x:f>
        <x:v>0</x:v>
      </x:c>
      <x:c r="CL85" s="117" t="n">
        <x:f>IF(AND(CL$3&gt;=EDATE($B$75,-MIN(6,'Вводные'!$E$90)),CL$3&lt;$B$75),$B$85/MAX(1,MIN(6,'Вводные'!$E$90)),0)</x:f>
        <x:v>0</x:v>
      </x:c>
      <x:c r="CM85" s="117" t="n">
        <x:f>IF(AND(CM$3&gt;=EDATE($B$75,-MIN(6,'Вводные'!$E$90)),CM$3&lt;$B$75),$B$85/MAX(1,MIN(6,'Вводные'!$E$90)),0)</x:f>
        <x:v>0</x:v>
      </x:c>
      <x:c r="CN85" s="117" t="n">
        <x:f>IF(AND(CN$3&gt;=EDATE($B$75,-MIN(6,'Вводные'!$E$90)),CN$3&lt;$B$75),$B$85/MAX(1,MIN(6,'Вводные'!$E$90)),0)</x:f>
        <x:v>0</x:v>
      </x:c>
      <x:c r="CO85" s="117" t="n">
        <x:f>IF(AND(CO$3&gt;=EDATE($B$75,-MIN(6,'Вводные'!$E$90)),CO$3&lt;$B$75),$B$85/MAX(1,MIN(6,'Вводные'!$E$90)),0)</x:f>
        <x:v>0</x:v>
      </x:c>
      <x:c r="CP85" s="117" t="n">
        <x:f>IF(AND(CP$3&gt;=EDATE($B$75,-MIN(6,'Вводные'!$E$90)),CP$3&lt;$B$75),$B$85/MAX(1,MIN(6,'Вводные'!$E$90)),0)</x:f>
        <x:v>0</x:v>
      </x:c>
      <x:c r="CQ85" s="117" t="n">
        <x:f>IF(AND(CQ$3&gt;=EDATE($B$75,-MIN(6,'Вводные'!$E$90)),CQ$3&lt;$B$75),$B$85/MAX(1,MIN(6,'Вводные'!$E$90)),0)</x:f>
        <x:v>0</x:v>
      </x:c>
      <x:c r="CR85" s="117" t="n">
        <x:f>IF(AND(CR$3&gt;=EDATE($B$75,-MIN(6,'Вводные'!$E$90)),CR$3&lt;$B$75),$B$85/MAX(1,MIN(6,'Вводные'!$E$90)),0)</x:f>
        <x:v>0</x:v>
      </x:c>
      <x:c r="CS85" s="117" t="n">
        <x:f>IF(AND(CS$3&gt;=EDATE($B$75,-MIN(6,'Вводные'!$E$90)),CS$3&lt;$B$75),$B$85/MAX(1,MIN(6,'Вводные'!$E$90)),0)</x:f>
        <x:v>0</x:v>
      </x:c>
      <x:c r="CT85" s="117" t="n">
        <x:f>IF(AND(CT$3&gt;=EDATE($B$75,-MIN(6,'Вводные'!$E$90)),CT$3&lt;$B$75),$B$85/MAX(1,MIN(6,'Вводные'!$E$90)),0)</x:f>
        <x:v>0</x:v>
      </x:c>
      <x:c r="CU85" s="117" t="n">
        <x:f>IF(AND(CU$3&gt;=EDATE($B$75,-MIN(6,'Вводные'!$E$90)),CU$3&lt;$B$75),$B$85/MAX(1,MIN(6,'Вводные'!$E$90)),0)</x:f>
        <x:v>0</x:v>
      </x:c>
      <x:c r="CV85" s="117" t="n">
        <x:f>IF(AND(CV$3&gt;=EDATE($B$75,-MIN(6,'Вводные'!$E$90)),CV$3&lt;$B$75),$B$85/MAX(1,MIN(6,'Вводные'!$E$90)),0)</x:f>
        <x:v>0</x:v>
      </x:c>
      <x:c r="CW85" s="117" t="n">
        <x:f>IF(AND(CW$3&gt;=EDATE($B$75,-MIN(6,'Вводные'!$E$90)),CW$3&lt;$B$75),$B$85/MAX(1,MIN(6,'Вводные'!$E$90)),0)</x:f>
        <x:v>0</x:v>
      </x:c>
      <x:c r="CX85" s="117" t="n">
        <x:f>IF(AND(CX$3&gt;=EDATE($B$75,-MIN(6,'Вводные'!$E$90)),CX$3&lt;$B$75),$B$85/MAX(1,MIN(6,'Вводные'!$E$90)),0)</x:f>
        <x:v>0</x:v>
      </x:c>
      <x:c r="CY85" s="117" t="n">
        <x:f>IF(AND(CY$3&gt;=EDATE($B$75,-MIN(6,'Вводные'!$E$90)),CY$3&lt;$B$75),$B$85/MAX(1,MIN(6,'Вводные'!$E$90)),0)</x:f>
        <x:v>0</x:v>
      </x:c>
      <x:c r="CZ85" s="117" t="n">
        <x:f>IF(AND(CZ$3&gt;=EDATE($B$75,-MIN(6,'Вводные'!$E$90)),CZ$3&lt;$B$75),$B$85/MAX(1,MIN(6,'Вводные'!$E$90)),0)</x:f>
        <x:v>0</x:v>
      </x:c>
      <x:c r="DA85" s="117" t="n">
        <x:f>IF(AND(DA$3&gt;=EDATE($B$75,-MIN(6,'Вводные'!$E$90)),DA$3&lt;$B$75),$B$85/MAX(1,MIN(6,'Вводные'!$E$90)),0)</x:f>
        <x:v>0</x:v>
      </x:c>
      <x:c r="DB85" s="117" t="n">
        <x:f>IF(AND(DB$3&gt;=EDATE($B$75,-MIN(6,'Вводные'!$E$90)),DB$3&lt;$B$75),$B$85/MAX(1,MIN(6,'Вводные'!$E$90)),0)</x:f>
        <x:v>0</x:v>
      </x:c>
      <x:c r="DC85" s="117" t="n">
        <x:f>IF(AND(DC$3&gt;=EDATE($B$75,-MIN(6,'Вводные'!$E$90)),DC$3&lt;$B$75),$B$85/MAX(1,MIN(6,'Вводные'!$E$90)),0)</x:f>
        <x:v>0</x:v>
      </x:c>
      <x:c r="DD85" s="117" t="n">
        <x:f>IF(AND(DD$3&gt;=EDATE($B$75,-MIN(6,'Вводные'!$E$90)),DD$3&lt;$B$75),$B$85/MAX(1,MIN(6,'Вводные'!$E$90)),0)</x:f>
        <x:v>0</x:v>
      </x:c>
      <x:c r="DE85" s="117" t="n">
        <x:f>IF(AND(DE$3&gt;=EDATE($B$75,-MIN(6,'Вводные'!$E$90)),DE$3&lt;$B$75),$B$85/MAX(1,MIN(6,'Вводные'!$E$90)),0)</x:f>
        <x:v>0</x:v>
      </x:c>
      <x:c r="DF85" s="117" t="n">
        <x:f>IF(AND(DF$3&gt;=EDATE($B$75,-MIN(6,'Вводные'!$E$90)),DF$3&lt;$B$75),$B$85/MAX(1,MIN(6,'Вводные'!$E$90)),0)</x:f>
        <x:v>0</x:v>
      </x:c>
      <x:c r="DG85" s="117" t="n">
        <x:f>IF(AND(DG$3&gt;=EDATE($B$75,-MIN(6,'Вводные'!$E$90)),DG$3&lt;$B$75),$B$85/MAX(1,MIN(6,'Вводные'!$E$90)),0)</x:f>
        <x:v>0</x:v>
      </x:c>
      <x:c r="DH85" s="117" t="n">
        <x:f>IF(AND(DH$3&gt;=EDATE($B$75,-MIN(6,'Вводные'!$E$90)),DH$3&lt;$B$75),$B$85/MAX(1,MIN(6,'Вводные'!$E$90)),0)</x:f>
        <x:v>0</x:v>
      </x:c>
      <x:c r="DI85" s="117" t="n">
        <x:f>IF(AND(DI$3&gt;=EDATE($B$75,-MIN(6,'Вводные'!$E$90)),DI$3&lt;$B$75),$B$85/MAX(1,MIN(6,'Вводные'!$E$90)),0)</x:f>
        <x:v>0</x:v>
      </x:c>
      <x:c r="DJ85" s="117" t="n">
        <x:f>IF(AND(DJ$3&gt;=EDATE($B$75,-MIN(6,'Вводные'!$E$90)),DJ$3&lt;$B$75),$B$85/MAX(1,MIN(6,'Вводные'!$E$90)),0)</x:f>
        <x:v>0</x:v>
      </x:c>
      <x:c r="DK85" s="117" t="n">
        <x:f>IF(AND(DK$3&gt;=EDATE($B$75,-MIN(6,'Вводные'!$E$90)),DK$3&lt;$B$75),$B$85/MAX(1,MIN(6,'Вводные'!$E$90)),0)</x:f>
        <x:v>0</x:v>
      </x:c>
      <x:c r="DL85" s="117" t="n">
        <x:f>IF(AND(DL$3&gt;=EDATE($B$75,-MIN(6,'Вводные'!$E$90)),DL$3&lt;$B$75),$B$85/MAX(1,MIN(6,'Вводные'!$E$90)),0)</x:f>
        <x:v>0</x:v>
      </x:c>
      <x:c r="DM85" s="117" t="n">
        <x:f>IF(AND(DM$3&gt;=EDATE($B$75,-MIN(6,'Вводные'!$E$90)),DM$3&lt;$B$75),$B$85/MAX(1,MIN(6,'Вводные'!$E$90)),0)</x:f>
        <x:v>0</x:v>
      </x:c>
      <x:c r="DN85" s="117" t="n">
        <x:f>IF(AND(DN$3&gt;=EDATE($B$75,-MIN(6,'Вводные'!$E$90)),DN$3&lt;$B$75),$B$85/MAX(1,MIN(6,'Вводные'!$E$90)),0)</x:f>
        <x:v>0</x:v>
      </x:c>
      <x:c r="DO85" s="117" t="n">
        <x:f>IF(AND(DO$3&gt;=EDATE($B$75,-MIN(6,'Вводные'!$E$90)),DO$3&lt;$B$75),$B$85/MAX(1,MIN(6,'Вводные'!$E$90)),0)</x:f>
        <x:v>0</x:v>
      </x:c>
      <x:c r="DP85" s="117" t="n">
        <x:f>IF(AND(DP$3&gt;=EDATE($B$75,-MIN(6,'Вводные'!$E$90)),DP$3&lt;$B$75),$B$85/MAX(1,MIN(6,'Вводные'!$E$90)),0)</x:f>
        <x:v>0</x:v>
      </x:c>
      <x:c r="DQ85" s="117" t="n">
        <x:f>IF(AND(DQ$3&gt;=EDATE($B$75,-MIN(6,'Вводные'!$E$90)),DQ$3&lt;$B$75),$B$85/MAX(1,MIN(6,'Вводные'!$E$90)),0)</x:f>
        <x:v>0</x:v>
      </x:c>
      <x:c r="DR85" s="117" t="n">
        <x:f>IF(AND(DR$3&gt;=EDATE($B$75,-MIN(6,'Вводные'!$E$90)),DR$3&lt;$B$75),$B$85/MAX(1,MIN(6,'Вводные'!$E$90)),0)</x:f>
        <x:v>0</x:v>
      </x:c>
      <x:c r="DS85" s="117" t="n">
        <x:f>IF(AND(DS$3&gt;=EDATE($B$75,-MIN(6,'Вводные'!$E$90)),DS$3&lt;$B$75),$B$85/MAX(1,MIN(6,'Вводные'!$E$90)),0)</x:f>
        <x:v>0</x:v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  <x:v>0</x:v>
      </x:c>
      <x:c r="C86" t="str">
        <x:v>млн ₽</x:v>
      </x:c>
      <x:c r="D86" s="117" t="n">
        <x:f>IF(AND(D$3&gt;=EDATE($B$75,-MIN(6,'Вводные'!$E$90)),D$3&lt;$B$75),$B$86/MAX(1,MIN(6,'Вводные'!$E$90)),0)</x:f>
        <x:v>0</x:v>
      </x:c>
      <x:c r="E86" s="117" t="n">
        <x:f>IF(AND(E$3&gt;=EDATE($B$75,-MIN(6,'Вводные'!$E$90)),E$3&lt;$B$75),$B$86/MAX(1,MIN(6,'Вводные'!$E$90)),0)</x:f>
        <x:v>0</x:v>
      </x:c>
      <x:c r="F86" s="117" t="n">
        <x:f>IF(AND(F$3&gt;=EDATE($B$75,-MIN(6,'Вводные'!$E$90)),F$3&lt;$B$75),$B$86/MAX(1,MIN(6,'Вводные'!$E$90)),0)</x:f>
        <x:v>0</x:v>
      </x:c>
      <x:c r="G86" s="117" t="n">
        <x:f>IF(AND(G$3&gt;=EDATE($B$75,-MIN(6,'Вводные'!$E$90)),G$3&lt;$B$75),$B$86/MAX(1,MIN(6,'Вводные'!$E$90)),0)</x:f>
        <x:v>0</x:v>
      </x:c>
      <x:c r="H86" s="117" t="n">
        <x:f>IF(AND(H$3&gt;=EDATE($B$75,-MIN(6,'Вводные'!$E$90)),H$3&lt;$B$75),$B$86/MAX(1,MIN(6,'Вводные'!$E$90)),0)</x:f>
        <x:v>0</x:v>
      </x:c>
      <x:c r="I86" s="117" t="n">
        <x:f>IF(AND(I$3&gt;=EDATE($B$75,-MIN(6,'Вводные'!$E$90)),I$3&lt;$B$75),$B$86/MAX(1,MIN(6,'Вводные'!$E$90)),0)</x:f>
        <x:v>0</x:v>
      </x:c>
      <x:c r="J86" s="117" t="n">
        <x:f>IF(AND(J$3&gt;=EDATE($B$75,-MIN(6,'Вводные'!$E$90)),J$3&lt;$B$75),$B$86/MAX(1,MIN(6,'Вводные'!$E$90)),0)</x:f>
        <x:v>0</x:v>
      </x:c>
      <x:c r="K86" s="117" t="n">
        <x:f>IF(AND(K$3&gt;=EDATE($B$75,-MIN(6,'Вводные'!$E$90)),K$3&lt;$B$75),$B$86/MAX(1,MIN(6,'Вводные'!$E$90)),0)</x:f>
        <x:v>0</x:v>
      </x:c>
      <x:c r="L86" s="117" t="n">
        <x:f>IF(AND(L$3&gt;=EDATE($B$75,-MIN(6,'Вводные'!$E$90)),L$3&lt;$B$75),$B$86/MAX(1,MIN(6,'Вводные'!$E$90)),0)</x:f>
        <x:v>0</x:v>
      </x:c>
      <x:c r="M86" s="117" t="n">
        <x:f>IF(AND(M$3&gt;=EDATE($B$75,-MIN(6,'Вводные'!$E$90)),M$3&lt;$B$75),$B$86/MAX(1,MIN(6,'Вводные'!$E$90)),0)</x:f>
        <x:v>0</x:v>
      </x:c>
      <x:c r="N86" s="117" t="n">
        <x:f>IF(AND(N$3&gt;=EDATE($B$75,-MIN(6,'Вводные'!$E$90)),N$3&lt;$B$75),$B$86/MAX(1,MIN(6,'Вводные'!$E$90)),0)</x:f>
        <x:v>0</x:v>
      </x:c>
      <x:c r="O86" s="117" t="n">
        <x:f>IF(AND(O$3&gt;=EDATE($B$75,-MIN(6,'Вводные'!$E$90)),O$3&lt;$B$75),$B$86/MAX(1,MIN(6,'Вводные'!$E$90)),0)</x:f>
        <x:v>0</x:v>
      </x:c>
      <x:c r="P86" s="117" t="n">
        <x:f>IF(AND(P$3&gt;=EDATE($B$75,-MIN(6,'Вводные'!$E$90)),P$3&lt;$B$75),$B$86/MAX(1,MIN(6,'Вводные'!$E$90)),0)</x:f>
        <x:v>0</x:v>
      </x:c>
      <x:c r="Q86" s="117" t="n">
        <x:f>IF(AND(Q$3&gt;=EDATE($B$75,-MIN(6,'Вводные'!$E$90)),Q$3&lt;$B$75),$B$86/MAX(1,MIN(6,'Вводные'!$E$90)),0)</x:f>
        <x:v>0</x:v>
      </x:c>
      <x:c r="R86" s="117" t="n">
        <x:f>IF(AND(R$3&gt;=EDATE($B$75,-MIN(6,'Вводные'!$E$90)),R$3&lt;$B$75),$B$86/MAX(1,MIN(6,'Вводные'!$E$90)),0)</x:f>
        <x:v>0</x:v>
      </x:c>
      <x:c r="S86" s="117" t="n">
        <x:f>IF(AND(S$3&gt;=EDATE($B$75,-MIN(6,'Вводные'!$E$90)),S$3&lt;$B$75),$B$86/MAX(1,MIN(6,'Вводные'!$E$90)),0)</x:f>
        <x:v>0</x:v>
      </x:c>
      <x:c r="T86" s="117" t="n">
        <x:f>IF(AND(T$3&gt;=EDATE($B$75,-MIN(6,'Вводные'!$E$90)),T$3&lt;$B$75),$B$86/MAX(1,MIN(6,'Вводные'!$E$90)),0)</x:f>
        <x:v>0</x:v>
      </x:c>
      <x:c r="U86" s="117" t="n">
        <x:f>IF(AND(U$3&gt;=EDATE($B$75,-MIN(6,'Вводные'!$E$90)),U$3&lt;$B$75),$B$86/MAX(1,MIN(6,'Вводные'!$E$90)),0)</x:f>
        <x:v>0</x:v>
      </x:c>
      <x:c r="V86" s="117" t="n">
        <x:f>IF(AND(V$3&gt;=EDATE($B$75,-MIN(6,'Вводные'!$E$90)),V$3&lt;$B$75),$B$86/MAX(1,MIN(6,'Вводные'!$E$90)),0)</x:f>
        <x:v>0</x:v>
      </x:c>
      <x:c r="W86" s="117" t="n">
        <x:f>IF(AND(W$3&gt;=EDATE($B$75,-MIN(6,'Вводные'!$E$90)),W$3&lt;$B$75),$B$86/MAX(1,MIN(6,'Вводные'!$E$90)),0)</x:f>
        <x:v>0</x:v>
      </x:c>
      <x:c r="X86" s="117" t="n">
        <x:f>IF(AND(X$3&gt;=EDATE($B$75,-MIN(6,'Вводные'!$E$90)),X$3&lt;$B$75),$B$86/MAX(1,MIN(6,'Вводные'!$E$90)),0)</x:f>
        <x:v>0</x:v>
      </x:c>
      <x:c r="Y86" s="117" t="n">
        <x:f>IF(AND(Y$3&gt;=EDATE($B$75,-MIN(6,'Вводные'!$E$90)),Y$3&lt;$B$75),$B$86/MAX(1,MIN(6,'Вводные'!$E$90)),0)</x:f>
        <x:v>0</x:v>
      </x:c>
      <x:c r="Z86" s="117" t="n">
        <x:f>IF(AND(Z$3&gt;=EDATE($B$75,-MIN(6,'Вводные'!$E$90)),Z$3&lt;$B$75),$B$86/MAX(1,MIN(6,'Вводные'!$E$90)),0)</x:f>
        <x:v>0</x:v>
      </x:c>
      <x:c r="AA86" s="117" t="n">
        <x:f>IF(AND(AA$3&gt;=EDATE($B$75,-MIN(6,'Вводные'!$E$90)),AA$3&lt;$B$75),$B$86/MAX(1,MIN(6,'Вводные'!$E$90)),0)</x:f>
        <x:v>0</x:v>
      </x:c>
      <x:c r="AB86" s="117" t="n">
        <x:f>IF(AND(AB$3&gt;=EDATE($B$75,-MIN(6,'Вводные'!$E$90)),AB$3&lt;$B$75),$B$86/MAX(1,MIN(6,'Вводные'!$E$90)),0)</x:f>
        <x:v>0</x:v>
      </x:c>
      <x:c r="AC86" s="117" t="n">
        <x:f>IF(AND(AC$3&gt;=EDATE($B$75,-MIN(6,'Вводные'!$E$90)),AC$3&lt;$B$75),$B$86/MAX(1,MIN(6,'Вводные'!$E$90)),0)</x:f>
        <x:v>0</x:v>
      </x:c>
      <x:c r="AD86" s="117" t="n">
        <x:f>IF(AND(AD$3&gt;=EDATE($B$75,-MIN(6,'Вводные'!$E$90)),AD$3&lt;$B$75),$B$86/MAX(1,MIN(6,'Вводные'!$E$90)),0)</x:f>
        <x:v>0</x:v>
      </x:c>
      <x:c r="AE86" s="117" t="n">
        <x:f>IF(AND(AE$3&gt;=EDATE($B$75,-MIN(6,'Вводные'!$E$90)),AE$3&lt;$B$75),$B$86/MAX(1,MIN(6,'Вводные'!$E$90)),0)</x:f>
        <x:v>0</x:v>
      </x:c>
      <x:c r="AF86" s="117" t="n">
        <x:f>IF(AND(AF$3&gt;=EDATE($B$75,-MIN(6,'Вводные'!$E$90)),AF$3&lt;$B$75),$B$86/MAX(1,MIN(6,'Вводные'!$E$90)),0)</x:f>
        <x:v>0</x:v>
      </x:c>
      <x:c r="AG86" s="117" t="n">
        <x:f>IF(AND(AG$3&gt;=EDATE($B$75,-MIN(6,'Вводные'!$E$90)),AG$3&lt;$B$75),$B$86/MAX(1,MIN(6,'Вводные'!$E$90)),0)</x:f>
        <x:v>0</x:v>
      </x:c>
      <x:c r="AH86" s="117" t="n">
        <x:f>IF(AND(AH$3&gt;=EDATE($B$75,-MIN(6,'Вводные'!$E$90)),AH$3&lt;$B$75),$B$86/MAX(1,MIN(6,'Вводные'!$E$90)),0)</x:f>
        <x:v>0</x:v>
      </x:c>
      <x:c r="AI86" s="117" t="n">
        <x:f>IF(AND(AI$3&gt;=EDATE($B$75,-MIN(6,'Вводные'!$E$90)),AI$3&lt;$B$75),$B$86/MAX(1,MIN(6,'Вводные'!$E$90)),0)</x:f>
        <x:v>0</x:v>
      </x:c>
      <x:c r="AJ86" s="117" t="n">
        <x:f>IF(AND(AJ$3&gt;=EDATE($B$75,-MIN(6,'Вводные'!$E$90)),AJ$3&lt;$B$75),$B$86/MAX(1,MIN(6,'Вводные'!$E$90)),0)</x:f>
        <x:v>0</x:v>
      </x:c>
      <x:c r="AK86" s="117" t="n">
        <x:f>IF(AND(AK$3&gt;=EDATE($B$75,-MIN(6,'Вводные'!$E$90)),AK$3&lt;$B$75),$B$86/MAX(1,MIN(6,'Вводные'!$E$90)),0)</x:f>
        <x:v>0</x:v>
      </x:c>
      <x:c r="AL86" s="117" t="n">
        <x:f>IF(AND(AL$3&gt;=EDATE($B$75,-MIN(6,'Вводные'!$E$90)),AL$3&lt;$B$75),$B$86/MAX(1,MIN(6,'Вводные'!$E$90)),0)</x:f>
        <x:v>0</x:v>
      </x:c>
      <x:c r="AM86" s="117" t="n">
        <x:f>IF(AND(AM$3&gt;=EDATE($B$75,-MIN(6,'Вводные'!$E$90)),AM$3&lt;$B$75),$B$86/MAX(1,MIN(6,'Вводные'!$E$90)),0)</x:f>
        <x:v>0</x:v>
      </x:c>
      <x:c r="AN86" s="117" t="n">
        <x:f>IF(AND(AN$3&gt;=EDATE($B$75,-MIN(6,'Вводные'!$E$90)),AN$3&lt;$B$75),$B$86/MAX(1,MIN(6,'Вводные'!$E$90)),0)</x:f>
        <x:v>0</x:v>
      </x:c>
      <x:c r="AO86" s="117" t="n">
        <x:f>IF(AND(AO$3&gt;=EDATE($B$75,-MIN(6,'Вводные'!$E$90)),AO$3&lt;$B$75),$B$86/MAX(1,MIN(6,'Вводные'!$E$90)),0)</x:f>
        <x:v>0</x:v>
      </x:c>
      <x:c r="AP86" s="117" t="n">
        <x:f>IF(AND(AP$3&gt;=EDATE($B$75,-MIN(6,'Вводные'!$E$90)),AP$3&lt;$B$75),$B$86/MAX(1,MIN(6,'Вводные'!$E$90)),0)</x:f>
        <x:v>0</x:v>
      </x:c>
      <x:c r="AQ86" s="117" t="n">
        <x:f>IF(AND(AQ$3&gt;=EDATE($B$75,-MIN(6,'Вводные'!$E$90)),AQ$3&lt;$B$75),$B$86/MAX(1,MIN(6,'Вводные'!$E$90)),0)</x:f>
        <x:v>0</x:v>
      </x:c>
      <x:c r="AR86" s="117" t="n">
        <x:f>IF(AND(AR$3&gt;=EDATE($B$75,-MIN(6,'Вводные'!$E$90)),AR$3&lt;$B$75),$B$86/MAX(1,MIN(6,'Вводные'!$E$90)),0)</x:f>
        <x:v>0</x:v>
      </x:c>
      <x:c r="AS86" s="117" t="n">
        <x:f>IF(AND(AS$3&gt;=EDATE($B$75,-MIN(6,'Вводные'!$E$90)),AS$3&lt;$B$75),$B$86/MAX(1,MIN(6,'Вводные'!$E$90)),0)</x:f>
        <x:v>0</x:v>
      </x:c>
      <x:c r="AT86" s="117" t="n">
        <x:f>IF(AND(AT$3&gt;=EDATE($B$75,-MIN(6,'Вводные'!$E$90)),AT$3&lt;$B$75),$B$86/MAX(1,MIN(6,'Вводные'!$E$90)),0)</x:f>
        <x:v>0</x:v>
      </x:c>
      <x:c r="AU86" s="117" t="n">
        <x:f>IF(AND(AU$3&gt;=EDATE($B$75,-MIN(6,'Вводные'!$E$90)),AU$3&lt;$B$75),$B$86/MAX(1,MIN(6,'Вводные'!$E$90)),0)</x:f>
        <x:v>0</x:v>
      </x:c>
      <x:c r="AV86" s="117" t="n">
        <x:f>IF(AND(AV$3&gt;=EDATE($B$75,-MIN(6,'Вводные'!$E$90)),AV$3&lt;$B$75),$B$86/MAX(1,MIN(6,'Вводные'!$E$90)),0)</x:f>
        <x:v>0</x:v>
      </x:c>
      <x:c r="AW86" s="117" t="n">
        <x:f>IF(AND(AW$3&gt;=EDATE($B$75,-MIN(6,'Вводные'!$E$90)),AW$3&lt;$B$75),$B$86/MAX(1,MIN(6,'Вводные'!$E$90)),0)</x:f>
        <x:v>0</x:v>
      </x:c>
      <x:c r="AX86" s="117" t="n">
        <x:f>IF(AND(AX$3&gt;=EDATE($B$75,-MIN(6,'Вводные'!$E$90)),AX$3&lt;$B$75),$B$86/MAX(1,MIN(6,'Вводные'!$E$90)),0)</x:f>
        <x:v>0</x:v>
      </x:c>
      <x:c r="AY86" s="117" t="n">
        <x:f>IF(AND(AY$3&gt;=EDATE($B$75,-MIN(6,'Вводные'!$E$90)),AY$3&lt;$B$75),$B$86/MAX(1,MIN(6,'Вводные'!$E$90)),0)</x:f>
        <x:v>0</x:v>
      </x:c>
      <x:c r="AZ86" s="117" t="n">
        <x:f>IF(AND(AZ$3&gt;=EDATE($B$75,-MIN(6,'Вводные'!$E$90)),AZ$3&lt;$B$75),$B$86/MAX(1,MIN(6,'Вводные'!$E$90)),0)</x:f>
        <x:v>0</x:v>
      </x:c>
      <x:c r="BA86" s="117" t="n">
        <x:f>IF(AND(BA$3&gt;=EDATE($B$75,-MIN(6,'Вводные'!$E$90)),BA$3&lt;$B$75),$B$86/MAX(1,MIN(6,'Вводные'!$E$90)),0)</x:f>
        <x:v>0</x:v>
      </x:c>
      <x:c r="BB86" s="117" t="n">
        <x:f>IF(AND(BB$3&gt;=EDATE($B$75,-MIN(6,'Вводные'!$E$90)),BB$3&lt;$B$75),$B$86/MAX(1,MIN(6,'Вводные'!$E$90)),0)</x:f>
        <x:v>0</x:v>
      </x:c>
      <x:c r="BC86" s="117" t="n">
        <x:f>IF(AND(BC$3&gt;=EDATE($B$75,-MIN(6,'Вводные'!$E$90)),BC$3&lt;$B$75),$B$86/MAX(1,MIN(6,'Вводные'!$E$90)),0)</x:f>
        <x:v>0</x:v>
      </x:c>
      <x:c r="BD86" s="117" t="n">
        <x:f>IF(AND(BD$3&gt;=EDATE($B$75,-MIN(6,'Вводные'!$E$90)),BD$3&lt;$B$75),$B$86/MAX(1,MIN(6,'Вводные'!$E$90)),0)</x:f>
        <x:v>0</x:v>
      </x:c>
      <x:c r="BE86" s="117" t="n">
        <x:f>IF(AND(BE$3&gt;=EDATE($B$75,-MIN(6,'Вводные'!$E$90)),BE$3&lt;$B$75),$B$86/MAX(1,MIN(6,'Вводные'!$E$90)),0)</x:f>
        <x:v>0</x:v>
      </x:c>
      <x:c r="BF86" s="117" t="n">
        <x:f>IF(AND(BF$3&gt;=EDATE($B$75,-MIN(6,'Вводные'!$E$90)),BF$3&lt;$B$75),$B$86/MAX(1,MIN(6,'Вводные'!$E$90)),0)</x:f>
        <x:v>0</x:v>
      </x:c>
      <x:c r="BG86" s="117" t="n">
        <x:f>IF(AND(BG$3&gt;=EDATE($B$75,-MIN(6,'Вводные'!$E$90)),BG$3&lt;$B$75),$B$86/MAX(1,MIN(6,'Вводные'!$E$90)),0)</x:f>
        <x:v>0</x:v>
      </x:c>
      <x:c r="BH86" s="117" t="n">
        <x:f>IF(AND(BH$3&gt;=EDATE($B$75,-MIN(6,'Вводные'!$E$90)),BH$3&lt;$B$75),$B$86/MAX(1,MIN(6,'Вводные'!$E$90)),0)</x:f>
        <x:v>0</x:v>
      </x:c>
      <x:c r="BI86" s="117" t="n">
        <x:f>IF(AND(BI$3&gt;=EDATE($B$75,-MIN(6,'Вводные'!$E$90)),BI$3&lt;$B$75),$B$86/MAX(1,MIN(6,'Вводные'!$E$90)),0)</x:f>
        <x:v>0</x:v>
      </x:c>
      <x:c r="BJ86" s="117" t="n">
        <x:f>IF(AND(BJ$3&gt;=EDATE($B$75,-MIN(6,'Вводные'!$E$90)),BJ$3&lt;$B$75),$B$86/MAX(1,MIN(6,'Вводные'!$E$90)),0)</x:f>
        <x:v>0</x:v>
      </x:c>
      <x:c r="BK86" s="117" t="n">
        <x:f>IF(AND(BK$3&gt;=EDATE($B$75,-MIN(6,'Вводные'!$E$90)),BK$3&lt;$B$75),$B$86/MAX(1,MIN(6,'Вводные'!$E$90)),0)</x:f>
        <x:v>0</x:v>
      </x:c>
      <x:c r="BL86" s="117" t="n">
        <x:f>IF(AND(BL$3&gt;=EDATE($B$75,-MIN(6,'Вводные'!$E$90)),BL$3&lt;$B$75),$B$86/MAX(1,MIN(6,'Вводные'!$E$90)),0)</x:f>
        <x:v>0</x:v>
      </x:c>
      <x:c r="BM86" s="117" t="n">
        <x:f>IF(AND(BM$3&gt;=EDATE($B$75,-MIN(6,'Вводные'!$E$90)),BM$3&lt;$B$75),$B$86/MAX(1,MIN(6,'Вводные'!$E$90)),0)</x:f>
        <x:v>0</x:v>
      </x:c>
      <x:c r="BN86" s="117" t="n">
        <x:f>IF(AND(BN$3&gt;=EDATE($B$75,-MIN(6,'Вводные'!$E$90)),BN$3&lt;$B$75),$B$86/MAX(1,MIN(6,'Вводные'!$E$90)),0)</x:f>
        <x:v>0</x:v>
      </x:c>
      <x:c r="BO86" s="117" t="n">
        <x:f>IF(AND(BO$3&gt;=EDATE($B$75,-MIN(6,'Вводные'!$E$90)),BO$3&lt;$B$75),$B$86/MAX(1,MIN(6,'Вводные'!$E$90)),0)</x:f>
        <x:v>0</x:v>
      </x:c>
      <x:c r="BP86" s="117" t="n">
        <x:f>IF(AND(BP$3&gt;=EDATE($B$75,-MIN(6,'Вводные'!$E$90)),BP$3&lt;$B$75),$B$86/MAX(1,MIN(6,'Вводные'!$E$90)),0)</x:f>
        <x:v>0</x:v>
      </x:c>
      <x:c r="BQ86" s="117" t="n">
        <x:f>IF(AND(BQ$3&gt;=EDATE($B$75,-MIN(6,'Вводные'!$E$90)),BQ$3&lt;$B$75),$B$86/MAX(1,MIN(6,'Вводные'!$E$90)),0)</x:f>
        <x:v>0</x:v>
      </x:c>
      <x:c r="BR86" s="117" t="n">
        <x:f>IF(AND(BR$3&gt;=EDATE($B$75,-MIN(6,'Вводные'!$E$90)),BR$3&lt;$B$75),$B$86/MAX(1,MIN(6,'Вводные'!$E$90)),0)</x:f>
        <x:v>0</x:v>
      </x:c>
      <x:c r="BS86" s="117" t="n">
        <x:f>IF(AND(BS$3&gt;=EDATE($B$75,-MIN(6,'Вводные'!$E$90)),BS$3&lt;$B$75),$B$86/MAX(1,MIN(6,'Вводные'!$E$90)),0)</x:f>
        <x:v>0</x:v>
      </x:c>
      <x:c r="BT86" s="117" t="n">
        <x:f>IF(AND(BT$3&gt;=EDATE($B$75,-MIN(6,'Вводные'!$E$90)),BT$3&lt;$B$75),$B$86/MAX(1,MIN(6,'Вводные'!$E$90)),0)</x:f>
        <x:v>0</x:v>
      </x:c>
      <x:c r="BU86" s="117" t="n">
        <x:f>IF(AND(BU$3&gt;=EDATE($B$75,-MIN(6,'Вводные'!$E$90)),BU$3&lt;$B$75),$B$86/MAX(1,MIN(6,'Вводные'!$E$90)),0)</x:f>
        <x:v>0</x:v>
      </x:c>
      <x:c r="BV86" s="117" t="n">
        <x:f>IF(AND(BV$3&gt;=EDATE($B$75,-MIN(6,'Вводные'!$E$90)),BV$3&lt;$B$75),$B$86/MAX(1,MIN(6,'Вводные'!$E$90)),0)</x:f>
        <x:v>0</x:v>
      </x:c>
      <x:c r="BW86" s="117" t="n">
        <x:f>IF(AND(BW$3&gt;=EDATE($B$75,-MIN(6,'Вводные'!$E$90)),BW$3&lt;$B$75),$B$86/MAX(1,MIN(6,'Вводные'!$E$90)),0)</x:f>
        <x:v>0</x:v>
      </x:c>
      <x:c r="BX86" s="117" t="n">
        <x:f>IF(AND(BX$3&gt;=EDATE($B$75,-MIN(6,'Вводные'!$E$90)),BX$3&lt;$B$75),$B$86/MAX(1,MIN(6,'Вводные'!$E$90)),0)</x:f>
        <x:v>0</x:v>
      </x:c>
      <x:c r="BY86" s="117" t="n">
        <x:f>IF(AND(BY$3&gt;=EDATE($B$75,-MIN(6,'Вводные'!$E$90)),BY$3&lt;$B$75),$B$86/MAX(1,MIN(6,'Вводные'!$E$90)),0)</x:f>
        <x:v>0</x:v>
      </x:c>
      <x:c r="BZ86" s="117" t="n">
        <x:f>IF(AND(BZ$3&gt;=EDATE($B$75,-MIN(6,'Вводные'!$E$90)),BZ$3&lt;$B$75),$B$86/MAX(1,MIN(6,'Вводные'!$E$90)),0)</x:f>
        <x:v>0</x:v>
      </x:c>
      <x:c r="CA86" s="117" t="n">
        <x:f>IF(AND(CA$3&gt;=EDATE($B$75,-MIN(6,'Вводные'!$E$90)),CA$3&lt;$B$75),$B$86/MAX(1,MIN(6,'Вводные'!$E$90)),0)</x:f>
        <x:v>0</x:v>
      </x:c>
      <x:c r="CB86" s="117" t="n">
        <x:f>IF(AND(CB$3&gt;=EDATE($B$75,-MIN(6,'Вводные'!$E$90)),CB$3&lt;$B$75),$B$86/MAX(1,MIN(6,'Вводные'!$E$90)),0)</x:f>
        <x:v>0</x:v>
      </x:c>
      <x:c r="CC86" s="117" t="n">
        <x:f>IF(AND(CC$3&gt;=EDATE($B$75,-MIN(6,'Вводные'!$E$90)),CC$3&lt;$B$75),$B$86/MAX(1,MIN(6,'Вводные'!$E$90)),0)</x:f>
        <x:v>0</x:v>
      </x:c>
      <x:c r="CD86" s="117" t="n">
        <x:f>IF(AND(CD$3&gt;=EDATE($B$75,-MIN(6,'Вводные'!$E$90)),CD$3&lt;$B$75),$B$86/MAX(1,MIN(6,'Вводные'!$E$90)),0)</x:f>
        <x:v>0</x:v>
      </x:c>
      <x:c r="CE86" s="117" t="n">
        <x:f>IF(AND(CE$3&gt;=EDATE($B$75,-MIN(6,'Вводные'!$E$90)),CE$3&lt;$B$75),$B$86/MAX(1,MIN(6,'Вводные'!$E$90)),0)</x:f>
        <x:v>0</x:v>
      </x:c>
      <x:c r="CF86" s="117" t="n">
        <x:f>IF(AND(CF$3&gt;=EDATE($B$75,-MIN(6,'Вводные'!$E$90)),CF$3&lt;$B$75),$B$86/MAX(1,MIN(6,'Вводные'!$E$90)),0)</x:f>
        <x:v>0</x:v>
      </x:c>
      <x:c r="CG86" s="117" t="n">
        <x:f>IF(AND(CG$3&gt;=EDATE($B$75,-MIN(6,'Вводные'!$E$90)),CG$3&lt;$B$75),$B$86/MAX(1,MIN(6,'Вводные'!$E$90)),0)</x:f>
        <x:v>0</x:v>
      </x:c>
      <x:c r="CH86" s="117" t="n">
        <x:f>IF(AND(CH$3&gt;=EDATE($B$75,-MIN(6,'Вводные'!$E$90)),CH$3&lt;$B$75),$B$86/MAX(1,MIN(6,'Вводные'!$E$90)),0)</x:f>
        <x:v>0</x:v>
      </x:c>
      <x:c r="CI86" s="117" t="n">
        <x:f>IF(AND(CI$3&gt;=EDATE($B$75,-MIN(6,'Вводные'!$E$90)),CI$3&lt;$B$75),$B$86/MAX(1,MIN(6,'Вводные'!$E$90)),0)</x:f>
        <x:v>0</x:v>
      </x:c>
      <x:c r="CJ86" s="117" t="n">
        <x:f>IF(AND(CJ$3&gt;=EDATE($B$75,-MIN(6,'Вводные'!$E$90)),CJ$3&lt;$B$75),$B$86/MAX(1,MIN(6,'Вводные'!$E$90)),0)</x:f>
        <x:v>0</x:v>
      </x:c>
      <x:c r="CK86" s="117" t="n">
        <x:f>IF(AND(CK$3&gt;=EDATE($B$75,-MIN(6,'Вводные'!$E$90)),CK$3&lt;$B$75),$B$86/MAX(1,MIN(6,'Вводные'!$E$90)),0)</x:f>
        <x:v>0</x:v>
      </x:c>
      <x:c r="CL86" s="117" t="n">
        <x:f>IF(AND(CL$3&gt;=EDATE($B$75,-MIN(6,'Вводные'!$E$90)),CL$3&lt;$B$75),$B$86/MAX(1,MIN(6,'Вводные'!$E$90)),0)</x:f>
        <x:v>0</x:v>
      </x:c>
      <x:c r="CM86" s="117" t="n">
        <x:f>IF(AND(CM$3&gt;=EDATE($B$75,-MIN(6,'Вводные'!$E$90)),CM$3&lt;$B$75),$B$86/MAX(1,MIN(6,'Вводные'!$E$90)),0)</x:f>
        <x:v>0</x:v>
      </x:c>
      <x:c r="CN86" s="117" t="n">
        <x:f>IF(AND(CN$3&gt;=EDATE($B$75,-MIN(6,'Вводные'!$E$90)),CN$3&lt;$B$75),$B$86/MAX(1,MIN(6,'Вводные'!$E$90)),0)</x:f>
        <x:v>0</x:v>
      </x:c>
      <x:c r="CO86" s="117" t="n">
        <x:f>IF(AND(CO$3&gt;=EDATE($B$75,-MIN(6,'Вводные'!$E$90)),CO$3&lt;$B$75),$B$86/MAX(1,MIN(6,'Вводные'!$E$90)),0)</x:f>
        <x:v>0</x:v>
      </x:c>
      <x:c r="CP86" s="117" t="n">
        <x:f>IF(AND(CP$3&gt;=EDATE($B$75,-MIN(6,'Вводные'!$E$90)),CP$3&lt;$B$75),$B$86/MAX(1,MIN(6,'Вводные'!$E$90)),0)</x:f>
        <x:v>0</x:v>
      </x:c>
      <x:c r="CQ86" s="117" t="n">
        <x:f>IF(AND(CQ$3&gt;=EDATE($B$75,-MIN(6,'Вводные'!$E$90)),CQ$3&lt;$B$75),$B$86/MAX(1,MIN(6,'Вводные'!$E$90)),0)</x:f>
        <x:v>0</x:v>
      </x:c>
      <x:c r="CR86" s="117" t="n">
        <x:f>IF(AND(CR$3&gt;=EDATE($B$75,-MIN(6,'Вводные'!$E$90)),CR$3&lt;$B$75),$B$86/MAX(1,MIN(6,'Вводные'!$E$90)),0)</x:f>
        <x:v>0</x:v>
      </x:c>
      <x:c r="CS86" s="117" t="n">
        <x:f>IF(AND(CS$3&gt;=EDATE($B$75,-MIN(6,'Вводные'!$E$90)),CS$3&lt;$B$75),$B$86/MAX(1,MIN(6,'Вводные'!$E$90)),0)</x:f>
        <x:v>0</x:v>
      </x:c>
      <x:c r="CT86" s="117" t="n">
        <x:f>IF(AND(CT$3&gt;=EDATE($B$75,-MIN(6,'Вводные'!$E$90)),CT$3&lt;$B$75),$B$86/MAX(1,MIN(6,'Вводные'!$E$90)),0)</x:f>
        <x:v>0</x:v>
      </x:c>
      <x:c r="CU86" s="117" t="n">
        <x:f>IF(AND(CU$3&gt;=EDATE($B$75,-MIN(6,'Вводные'!$E$90)),CU$3&lt;$B$75),$B$86/MAX(1,MIN(6,'Вводные'!$E$90)),0)</x:f>
        <x:v>0</x:v>
      </x:c>
      <x:c r="CV86" s="117" t="n">
        <x:f>IF(AND(CV$3&gt;=EDATE($B$75,-MIN(6,'Вводные'!$E$90)),CV$3&lt;$B$75),$B$86/MAX(1,MIN(6,'Вводные'!$E$90)),0)</x:f>
        <x:v>0</x:v>
      </x:c>
      <x:c r="CW86" s="117" t="n">
        <x:f>IF(AND(CW$3&gt;=EDATE($B$75,-MIN(6,'Вводные'!$E$90)),CW$3&lt;$B$75),$B$86/MAX(1,MIN(6,'Вводные'!$E$90)),0)</x:f>
        <x:v>0</x:v>
      </x:c>
      <x:c r="CX86" s="117" t="n">
        <x:f>IF(AND(CX$3&gt;=EDATE($B$75,-MIN(6,'Вводные'!$E$90)),CX$3&lt;$B$75),$B$86/MAX(1,MIN(6,'Вводные'!$E$90)),0)</x:f>
        <x:v>0</x:v>
      </x:c>
      <x:c r="CY86" s="117" t="n">
        <x:f>IF(AND(CY$3&gt;=EDATE($B$75,-MIN(6,'Вводные'!$E$90)),CY$3&lt;$B$75),$B$86/MAX(1,MIN(6,'Вводные'!$E$90)),0)</x:f>
        <x:v>0</x:v>
      </x:c>
      <x:c r="CZ86" s="117" t="n">
        <x:f>IF(AND(CZ$3&gt;=EDATE($B$75,-MIN(6,'Вводные'!$E$90)),CZ$3&lt;$B$75),$B$86/MAX(1,MIN(6,'Вводные'!$E$90)),0)</x:f>
        <x:v>0</x:v>
      </x:c>
      <x:c r="DA86" s="117" t="n">
        <x:f>IF(AND(DA$3&gt;=EDATE($B$75,-MIN(6,'Вводные'!$E$90)),DA$3&lt;$B$75),$B$86/MAX(1,MIN(6,'Вводные'!$E$90)),0)</x:f>
        <x:v>0</x:v>
      </x:c>
      <x:c r="DB86" s="117" t="n">
        <x:f>IF(AND(DB$3&gt;=EDATE($B$75,-MIN(6,'Вводные'!$E$90)),DB$3&lt;$B$75),$B$86/MAX(1,MIN(6,'Вводные'!$E$90)),0)</x:f>
        <x:v>0</x:v>
      </x:c>
      <x:c r="DC86" s="117" t="n">
        <x:f>IF(AND(DC$3&gt;=EDATE($B$75,-MIN(6,'Вводные'!$E$90)),DC$3&lt;$B$75),$B$86/MAX(1,MIN(6,'Вводные'!$E$90)),0)</x:f>
        <x:v>0</x:v>
      </x:c>
      <x:c r="DD86" s="117" t="n">
        <x:f>IF(AND(DD$3&gt;=EDATE($B$75,-MIN(6,'Вводные'!$E$90)),DD$3&lt;$B$75),$B$86/MAX(1,MIN(6,'Вводные'!$E$90)),0)</x:f>
        <x:v>0</x:v>
      </x:c>
      <x:c r="DE86" s="117" t="n">
        <x:f>IF(AND(DE$3&gt;=EDATE($B$75,-MIN(6,'Вводные'!$E$90)),DE$3&lt;$B$75),$B$86/MAX(1,MIN(6,'Вводные'!$E$90)),0)</x:f>
        <x:v>0</x:v>
      </x:c>
      <x:c r="DF86" s="117" t="n">
        <x:f>IF(AND(DF$3&gt;=EDATE($B$75,-MIN(6,'Вводные'!$E$90)),DF$3&lt;$B$75),$B$86/MAX(1,MIN(6,'Вводные'!$E$90)),0)</x:f>
        <x:v>0</x:v>
      </x:c>
      <x:c r="DG86" s="117" t="n">
        <x:f>IF(AND(DG$3&gt;=EDATE($B$75,-MIN(6,'Вводные'!$E$90)),DG$3&lt;$B$75),$B$86/MAX(1,MIN(6,'Вводные'!$E$90)),0)</x:f>
        <x:v>0</x:v>
      </x:c>
      <x:c r="DH86" s="117" t="n">
        <x:f>IF(AND(DH$3&gt;=EDATE($B$75,-MIN(6,'Вводные'!$E$90)),DH$3&lt;$B$75),$B$86/MAX(1,MIN(6,'Вводные'!$E$90)),0)</x:f>
        <x:v>0</x:v>
      </x:c>
      <x:c r="DI86" s="117" t="n">
        <x:f>IF(AND(DI$3&gt;=EDATE($B$75,-MIN(6,'Вводные'!$E$90)),DI$3&lt;$B$75),$B$86/MAX(1,MIN(6,'Вводные'!$E$90)),0)</x:f>
        <x:v>0</x:v>
      </x:c>
      <x:c r="DJ86" s="117" t="n">
        <x:f>IF(AND(DJ$3&gt;=EDATE($B$75,-MIN(6,'Вводные'!$E$90)),DJ$3&lt;$B$75),$B$86/MAX(1,MIN(6,'Вводные'!$E$90)),0)</x:f>
        <x:v>0</x:v>
      </x:c>
      <x:c r="DK86" s="117" t="n">
        <x:f>IF(AND(DK$3&gt;=EDATE($B$75,-MIN(6,'Вводные'!$E$90)),DK$3&lt;$B$75),$B$86/MAX(1,MIN(6,'Вводные'!$E$90)),0)</x:f>
        <x:v>0</x:v>
      </x:c>
      <x:c r="DL86" s="117" t="n">
        <x:f>IF(AND(DL$3&gt;=EDATE($B$75,-MIN(6,'Вводные'!$E$90)),DL$3&lt;$B$75),$B$86/MAX(1,MIN(6,'Вводные'!$E$90)),0)</x:f>
        <x:v>0</x:v>
      </x:c>
      <x:c r="DM86" s="117" t="n">
        <x:f>IF(AND(DM$3&gt;=EDATE($B$75,-MIN(6,'Вводные'!$E$90)),DM$3&lt;$B$75),$B$86/MAX(1,MIN(6,'Вводные'!$E$90)),0)</x:f>
        <x:v>0</x:v>
      </x:c>
      <x:c r="DN86" s="117" t="n">
        <x:f>IF(AND(DN$3&gt;=EDATE($B$75,-MIN(6,'Вводные'!$E$90)),DN$3&lt;$B$75),$B$86/MAX(1,MIN(6,'Вводные'!$E$90)),0)</x:f>
        <x:v>0</x:v>
      </x:c>
      <x:c r="DO86" s="117" t="n">
        <x:f>IF(AND(DO$3&gt;=EDATE($B$75,-MIN(6,'Вводные'!$E$90)),DO$3&lt;$B$75),$B$86/MAX(1,MIN(6,'Вводные'!$E$90)),0)</x:f>
        <x:v>0</x:v>
      </x:c>
      <x:c r="DP86" s="117" t="n">
        <x:f>IF(AND(DP$3&gt;=EDATE($B$75,-MIN(6,'Вводные'!$E$90)),DP$3&lt;$B$75),$B$86/MAX(1,MIN(6,'Вводные'!$E$90)),0)</x:f>
        <x:v>0</x:v>
      </x:c>
      <x:c r="DQ86" s="117" t="n">
        <x:f>IF(AND(DQ$3&gt;=EDATE($B$75,-MIN(6,'Вводные'!$E$90)),DQ$3&lt;$B$75),$B$86/MAX(1,MIN(6,'Вводные'!$E$90)),0)</x:f>
        <x:v>0</x:v>
      </x:c>
      <x:c r="DR86" s="117" t="n">
        <x:f>IF(AND(DR$3&gt;=EDATE($B$75,-MIN(6,'Вводные'!$E$90)),DR$3&lt;$B$75),$B$86/MAX(1,MIN(6,'Вводные'!$E$90)),0)</x:f>
        <x:v>0</x:v>
      </x:c>
      <x:c r="DS86" s="117" t="n">
        <x:f>IF(AND(DS$3&gt;=EDATE($B$75,-MIN(6,'Вводные'!$E$90)),DS$3&lt;$B$75),$B$86/MAX(1,MIN(6,'Вводные'!$E$90)),0)</x:f>
        <x:v>0</x:v>
      </x:c>
    </x:row>
    <x:row r="87">
      <x:c r="A87" t="str">
        <x:v>Авторский надзор</x:v>
      </x:c>
      <x:c r="B87" s="107" t="n">
        <x:f>SUM(B85:B86)*'Вводные'!$B$51</x:f>
        <x:v>0</x:v>
      </x:c>
      <x:c r="C87" t="str">
        <x:v>млн ₽</x:v>
      </x:c>
      <x:c r="D87" s="117" t="n">
        <x:f>$B$87*D81</x:f>
        <x:v>0</x:v>
      </x:c>
      <x:c r="E87" s="117" t="n">
        <x:f>$B$87*E81</x:f>
        <x:v>0</x:v>
      </x:c>
      <x:c r="F87" s="117" t="n">
        <x:f>$B$87*F81</x:f>
        <x:v>0</x:v>
      </x:c>
      <x:c r="G87" s="117" t="n">
        <x:f>$B$87*G81</x:f>
        <x:v>0</x:v>
      </x:c>
      <x:c r="H87" s="117" t="n">
        <x:f>$B$87*H81</x:f>
        <x:v>0</x:v>
      </x:c>
      <x:c r="I87" s="117" t="n">
        <x:f>$B$87*I81</x:f>
        <x:v>0</x:v>
      </x:c>
      <x:c r="J87" s="117" t="n">
        <x:f>$B$87*J81</x:f>
        <x:v>0</x:v>
      </x:c>
      <x:c r="K87" s="117" t="n">
        <x:f>$B$87*K81</x:f>
        <x:v>0</x:v>
      </x:c>
      <x:c r="L87" s="117" t="n">
        <x:f>$B$87*L81</x:f>
        <x:v>0</x:v>
      </x:c>
      <x:c r="M87" s="117" t="n">
        <x:f>$B$87*M81</x:f>
        <x:v>0</x:v>
      </x:c>
      <x:c r="N87" s="117" t="n">
        <x:f>$B$87*N81</x:f>
        <x:v>0</x:v>
      </x:c>
      <x:c r="O87" s="117" t="n">
        <x:f>$B$87*O81</x:f>
        <x:v>0</x:v>
      </x:c>
      <x:c r="P87" s="117" t="n">
        <x:f>$B$87*P81</x:f>
        <x:v>0</x:v>
      </x:c>
      <x:c r="Q87" s="117" t="n">
        <x:f>$B$87*Q81</x:f>
        <x:v>0</x:v>
      </x:c>
      <x:c r="R87" s="117" t="n">
        <x:f>$B$87*R81</x:f>
        <x:v>0</x:v>
      </x:c>
      <x:c r="S87" s="117" t="n">
        <x:f>$B$87*S81</x:f>
        <x:v>0</x:v>
      </x:c>
      <x:c r="T87" s="117" t="n">
        <x:f>$B$87*T81</x:f>
        <x:v>0</x:v>
      </x:c>
      <x:c r="U87" s="117" t="n">
        <x:f>$B$87*U81</x:f>
        <x:v>0</x:v>
      </x:c>
      <x:c r="V87" s="117" t="n">
        <x:f>$B$87*V81</x:f>
        <x:v>0</x:v>
      </x:c>
      <x:c r="W87" s="117" t="n">
        <x:f>$B$87*W81</x:f>
        <x:v>0</x:v>
      </x:c>
      <x:c r="X87" s="117" t="n">
        <x:f>$B$87*X81</x:f>
        <x:v>0</x:v>
      </x:c>
      <x:c r="Y87" s="117" t="n">
        <x:f>$B$87*Y81</x:f>
        <x:v>0</x:v>
      </x:c>
      <x:c r="Z87" s="117" t="n">
        <x:f>$B$87*Z81</x:f>
        <x:v>0</x:v>
      </x:c>
      <x:c r="AA87" s="117" t="n">
        <x:f>$B$87*AA81</x:f>
        <x:v>0</x:v>
      </x:c>
      <x:c r="AB87" s="117" t="n">
        <x:f>$B$87*AB81</x:f>
        <x:v>0</x:v>
      </x:c>
      <x:c r="AC87" s="117" t="n">
        <x:f>$B$87*AC81</x:f>
        <x:v>0</x:v>
      </x:c>
      <x:c r="AD87" s="117" t="n">
        <x:f>$B$87*AD81</x:f>
        <x:v>0</x:v>
      </x:c>
      <x:c r="AE87" s="117" t="n">
        <x:f>$B$87*AE81</x:f>
        <x:v>0</x:v>
      </x:c>
      <x:c r="AF87" s="117" t="n">
        <x:f>$B$87*AF81</x:f>
        <x:v>0</x:v>
      </x:c>
      <x:c r="AG87" s="117" t="n">
        <x:f>$B$87*AG81</x:f>
        <x:v>0</x:v>
      </x:c>
      <x:c r="AH87" s="117" t="n">
        <x:f>$B$87*AH81</x:f>
        <x:v>0</x:v>
      </x:c>
      <x:c r="AI87" s="117" t="n">
        <x:f>$B$87*AI81</x:f>
        <x:v>0</x:v>
      </x:c>
      <x:c r="AJ87" s="117" t="n">
        <x:f>$B$87*AJ81</x:f>
        <x:v>0</x:v>
      </x:c>
      <x:c r="AK87" s="117" t="n">
        <x:f>$B$87*AK81</x:f>
        <x:v>0</x:v>
      </x:c>
      <x:c r="AL87" s="117" t="n">
        <x:f>$B$87*AL81</x:f>
        <x:v>0</x:v>
      </x:c>
      <x:c r="AM87" s="117" t="n">
        <x:f>$B$87*AM81</x:f>
        <x:v>0</x:v>
      </x:c>
      <x:c r="AN87" s="117" t="n">
        <x:f>$B$87*AN81</x:f>
        <x:v>0</x:v>
      </x:c>
      <x:c r="AO87" s="117" t="n">
        <x:f>$B$87*AO81</x:f>
        <x:v>0</x:v>
      </x:c>
      <x:c r="AP87" s="117" t="n">
        <x:f>$B$87*AP81</x:f>
        <x:v>0</x:v>
      </x:c>
      <x:c r="AQ87" s="117" t="n">
        <x:f>$B$87*AQ81</x:f>
        <x:v>0</x:v>
      </x:c>
      <x:c r="AR87" s="117" t="n">
        <x:f>$B$87*AR81</x:f>
        <x:v>0</x:v>
      </x:c>
      <x:c r="AS87" s="117" t="n">
        <x:f>$B$87*AS81</x:f>
        <x:v>0</x:v>
      </x:c>
      <x:c r="AT87" s="117" t="n">
        <x:f>$B$87*AT81</x:f>
        <x:v>0</x:v>
      </x:c>
      <x:c r="AU87" s="117" t="n">
        <x:f>$B$87*AU81</x:f>
        <x:v>0</x:v>
      </x:c>
      <x:c r="AV87" s="117" t="n">
        <x:f>$B$87*AV81</x:f>
        <x:v>0</x:v>
      </x:c>
      <x:c r="AW87" s="117" t="n">
        <x:f>$B$87*AW81</x:f>
        <x:v>0</x:v>
      </x:c>
      <x:c r="AX87" s="117" t="n">
        <x:f>$B$87*AX81</x:f>
        <x:v>0</x:v>
      </x:c>
      <x:c r="AY87" s="117" t="n">
        <x:f>$B$87*AY81</x:f>
        <x:v>0</x:v>
      </x:c>
      <x:c r="AZ87" s="117" t="n">
        <x:f>$B$87*AZ81</x:f>
        <x:v>0</x:v>
      </x:c>
      <x:c r="BA87" s="117" t="n">
        <x:f>$B$87*BA81</x:f>
        <x:v>0</x:v>
      </x:c>
      <x:c r="BB87" s="117" t="n">
        <x:f>$B$87*BB81</x:f>
        <x:v>0</x:v>
      </x:c>
      <x:c r="BC87" s="117" t="n">
        <x:f>$B$87*BC81</x:f>
        <x:v>0</x:v>
      </x:c>
      <x:c r="BD87" s="117" t="n">
        <x:f>$B$87*BD81</x:f>
        <x:v>0</x:v>
      </x:c>
      <x:c r="BE87" s="117" t="n">
        <x:f>$B$87*BE81</x:f>
        <x:v>0</x:v>
      </x:c>
      <x:c r="BF87" s="117" t="n">
        <x:f>$B$87*BF81</x:f>
        <x:v>0</x:v>
      </x:c>
      <x:c r="BG87" s="117" t="n">
        <x:f>$B$87*BG81</x:f>
        <x:v>0</x:v>
      </x:c>
      <x:c r="BH87" s="117" t="n">
        <x:f>$B$87*BH81</x:f>
        <x:v>0</x:v>
      </x:c>
      <x:c r="BI87" s="117" t="n">
        <x:f>$B$87*BI81</x:f>
        <x:v>0</x:v>
      </x:c>
      <x:c r="BJ87" s="117" t="n">
        <x:f>$B$87*BJ81</x:f>
        <x:v>0</x:v>
      </x:c>
      <x:c r="BK87" s="117" t="n">
        <x:f>$B$87*BK81</x:f>
        <x:v>0</x:v>
      </x:c>
      <x:c r="BL87" s="117" t="n">
        <x:f>$B$87*BL81</x:f>
        <x:v>0</x:v>
      </x:c>
      <x:c r="BM87" s="117" t="n">
        <x:f>$B$87*BM81</x:f>
        <x:v>0</x:v>
      </x:c>
      <x:c r="BN87" s="117" t="n">
        <x:f>$B$87*BN81</x:f>
        <x:v>0</x:v>
      </x:c>
      <x:c r="BO87" s="117" t="n">
        <x:f>$B$87*BO81</x:f>
        <x:v>0</x:v>
      </x:c>
      <x:c r="BP87" s="117" t="n">
        <x:f>$B$87*BP81</x:f>
        <x:v>0</x:v>
      </x:c>
      <x:c r="BQ87" s="117" t="n">
        <x:f>$B$87*BQ81</x:f>
        <x:v>0</x:v>
      </x:c>
      <x:c r="BR87" s="117" t="n">
        <x:f>$B$87*BR81</x:f>
        <x:v>0</x:v>
      </x:c>
      <x:c r="BS87" s="117" t="n">
        <x:f>$B$87*BS81</x:f>
        <x:v>0</x:v>
      </x:c>
      <x:c r="BT87" s="117" t="n">
        <x:f>$B$87*BT81</x:f>
        <x:v>0</x:v>
      </x:c>
      <x:c r="BU87" s="117" t="n">
        <x:f>$B$87*BU81</x:f>
        <x:v>0</x:v>
      </x:c>
      <x:c r="BV87" s="117" t="n">
        <x:f>$B$87*BV81</x:f>
        <x:v>0</x:v>
      </x:c>
      <x:c r="BW87" s="117" t="n">
        <x:f>$B$87*BW81</x:f>
        <x:v>0</x:v>
      </x:c>
      <x:c r="BX87" s="117" t="n">
        <x:f>$B$87*BX81</x:f>
        <x:v>0</x:v>
      </x:c>
      <x:c r="BY87" s="117" t="n">
        <x:f>$B$87*BY81</x:f>
        <x:v>0</x:v>
      </x:c>
      <x:c r="BZ87" s="117" t="n">
        <x:f>$B$87*BZ81</x:f>
        <x:v>0</x:v>
      </x:c>
      <x:c r="CA87" s="117" t="n">
        <x:f>$B$87*CA81</x:f>
        <x:v>0</x:v>
      </x:c>
      <x:c r="CB87" s="117" t="n">
        <x:f>$B$87*CB81</x:f>
        <x:v>0</x:v>
      </x:c>
      <x:c r="CC87" s="117" t="n">
        <x:f>$B$87*CC81</x:f>
        <x:v>0</x:v>
      </x:c>
      <x:c r="CD87" s="117" t="n">
        <x:f>$B$87*CD81</x:f>
        <x:v>0</x:v>
      </x:c>
      <x:c r="CE87" s="117" t="n">
        <x:f>$B$87*CE81</x:f>
        <x:v>0</x:v>
      </x:c>
      <x:c r="CF87" s="117" t="n">
        <x:f>$B$87*CF81</x:f>
        <x:v>0</x:v>
      </x:c>
      <x:c r="CG87" s="117" t="n">
        <x:f>$B$87*CG81</x:f>
        <x:v>0</x:v>
      </x:c>
      <x:c r="CH87" s="117" t="n">
        <x:f>$B$87*CH81</x:f>
        <x:v>0</x:v>
      </x:c>
      <x:c r="CI87" s="117" t="n">
        <x:f>$B$87*CI81</x:f>
        <x:v>0</x:v>
      </x:c>
      <x:c r="CJ87" s="117" t="n">
        <x:f>$B$87*CJ81</x:f>
        <x:v>0</x:v>
      </x:c>
      <x:c r="CK87" s="117" t="n">
        <x:f>$B$87*CK81</x:f>
        <x:v>0</x:v>
      </x:c>
      <x:c r="CL87" s="117" t="n">
        <x:f>$B$87*CL81</x:f>
        <x:v>0</x:v>
      </x:c>
      <x:c r="CM87" s="117" t="n">
        <x:f>$B$87*CM81</x:f>
        <x:v>0</x:v>
      </x:c>
      <x:c r="CN87" s="117" t="n">
        <x:f>$B$87*CN81</x:f>
        <x:v>0</x:v>
      </x:c>
      <x:c r="CO87" s="117" t="n">
        <x:f>$B$87*CO81</x:f>
        <x:v>0</x:v>
      </x:c>
      <x:c r="CP87" s="117" t="n">
        <x:f>$B$87*CP81</x:f>
        <x:v>0</x:v>
      </x:c>
      <x:c r="CQ87" s="117" t="n">
        <x:f>$B$87*CQ81</x:f>
        <x:v>0</x:v>
      </x:c>
      <x:c r="CR87" s="117" t="n">
        <x:f>$B$87*CR81</x:f>
        <x:v>0</x:v>
      </x:c>
      <x:c r="CS87" s="117" t="n">
        <x:f>$B$87*CS81</x:f>
        <x:v>0</x:v>
      </x:c>
      <x:c r="CT87" s="117" t="n">
        <x:f>$B$87*CT81</x:f>
        <x:v>0</x:v>
      </x:c>
      <x:c r="CU87" s="117" t="n">
        <x:f>$B$87*CU81</x:f>
        <x:v>0</x:v>
      </x:c>
      <x:c r="CV87" s="117" t="n">
        <x:f>$B$87*CV81</x:f>
        <x:v>0</x:v>
      </x:c>
      <x:c r="CW87" s="117" t="n">
        <x:f>$B$87*CW81</x:f>
        <x:v>0</x:v>
      </x:c>
      <x:c r="CX87" s="117" t="n">
        <x:f>$B$87*CX81</x:f>
        <x:v>0</x:v>
      </x:c>
      <x:c r="CY87" s="117" t="n">
        <x:f>$B$87*CY81</x:f>
        <x:v>0</x:v>
      </x:c>
      <x:c r="CZ87" s="117" t="n">
        <x:f>$B$87*CZ81</x:f>
        <x:v>0</x:v>
      </x:c>
      <x:c r="DA87" s="117" t="n">
        <x:f>$B$87*DA81</x:f>
        <x:v>0</x:v>
      </x:c>
      <x:c r="DB87" s="117" t="n">
        <x:f>$B$87*DB81</x:f>
        <x:v>0</x:v>
      </x:c>
      <x:c r="DC87" s="117" t="n">
        <x:f>$B$87*DC81</x:f>
        <x:v>0</x:v>
      </x:c>
      <x:c r="DD87" s="117" t="n">
        <x:f>$B$87*DD81</x:f>
        <x:v>0</x:v>
      </x:c>
      <x:c r="DE87" s="117" t="n">
        <x:f>$B$87*DE81</x:f>
        <x:v>0</x:v>
      </x:c>
      <x:c r="DF87" s="117" t="n">
        <x:f>$B$87*DF81</x:f>
        <x:v>0</x:v>
      </x:c>
      <x:c r="DG87" s="117" t="n">
        <x:f>$B$87*DG81</x:f>
        <x:v>0</x:v>
      </x:c>
      <x:c r="DH87" s="117" t="n">
        <x:f>$B$87*DH81</x:f>
        <x:v>0</x:v>
      </x:c>
      <x:c r="DI87" s="117" t="n">
        <x:f>$B$87*DI81</x:f>
        <x:v>0</x:v>
      </x:c>
      <x:c r="DJ87" s="117" t="n">
        <x:f>$B$87*DJ81</x:f>
        <x:v>0</x:v>
      </x:c>
      <x:c r="DK87" s="117" t="n">
        <x:f>$B$87*DK81</x:f>
        <x:v>0</x:v>
      </x:c>
      <x:c r="DL87" s="117" t="n">
        <x:f>$B$87*DL81</x:f>
        <x:v>0</x:v>
      </x:c>
      <x:c r="DM87" s="117" t="n">
        <x:f>$B$87*DM81</x:f>
        <x:v>0</x:v>
      </x:c>
      <x:c r="DN87" s="117" t="n">
        <x:f>$B$87*DN81</x:f>
        <x:v>0</x:v>
      </x:c>
      <x:c r="DO87" s="117" t="n">
        <x:f>$B$87*DO81</x:f>
        <x:v>0</x:v>
      </x:c>
      <x:c r="DP87" s="117" t="n">
        <x:f>$B$87*DP81</x:f>
        <x:v>0</x:v>
      </x:c>
      <x:c r="DQ87" s="117" t="n">
        <x:f>$B$87*DQ81</x:f>
        <x:v>0</x:v>
      </x:c>
      <x:c r="DR87" s="117" t="n">
        <x:f>$B$87*DR81</x:f>
        <x:v>0</x:v>
      </x:c>
      <x:c r="DS87" s="117" t="n">
        <x:f>$B$87*DS81</x:f>
        <x:v>0</x:v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  <x:v>0</x:v>
      </x:c>
      <x:c r="C88" t="str">
        <x:v>млн ₽</x:v>
      </x:c>
      <x:c r="D88" s="117" t="n">
        <x:f>IF(AND(D$3&gt;=EDATE($B$75,-MIN(6,'Вводные'!$E$90)),D$3&lt;$B$75),$B$88/MAX(1,MIN(6,'Вводные'!$E$90)),0)</x:f>
        <x:v>0</x:v>
      </x:c>
      <x:c r="E88" s="117" t="n">
        <x:f>IF(AND(E$3&gt;=EDATE($B$75,-MIN(6,'Вводные'!$E$90)),E$3&lt;$B$75),$B$88/MAX(1,MIN(6,'Вводные'!$E$90)),0)</x:f>
        <x:v>0</x:v>
      </x:c>
      <x:c r="F88" s="117" t="n">
        <x:f>IF(AND(F$3&gt;=EDATE($B$75,-MIN(6,'Вводные'!$E$90)),F$3&lt;$B$75),$B$88/MAX(1,MIN(6,'Вводные'!$E$90)),0)</x:f>
        <x:v>0</x:v>
      </x:c>
      <x:c r="G88" s="117" t="n">
        <x:f>IF(AND(G$3&gt;=EDATE($B$75,-MIN(6,'Вводные'!$E$90)),G$3&lt;$B$75),$B$88/MAX(1,MIN(6,'Вводные'!$E$90)),0)</x:f>
        <x:v>0</x:v>
      </x:c>
      <x:c r="H88" s="117" t="n">
        <x:f>IF(AND(H$3&gt;=EDATE($B$75,-MIN(6,'Вводные'!$E$90)),H$3&lt;$B$75),$B$88/MAX(1,MIN(6,'Вводные'!$E$90)),0)</x:f>
        <x:v>0</x:v>
      </x:c>
      <x:c r="I88" s="117" t="n">
        <x:f>IF(AND(I$3&gt;=EDATE($B$75,-MIN(6,'Вводные'!$E$90)),I$3&lt;$B$75),$B$88/MAX(1,MIN(6,'Вводные'!$E$90)),0)</x:f>
        <x:v>0</x:v>
      </x:c>
      <x:c r="J88" s="117" t="n">
        <x:f>IF(AND(J$3&gt;=EDATE($B$75,-MIN(6,'Вводные'!$E$90)),J$3&lt;$B$75),$B$88/MAX(1,MIN(6,'Вводные'!$E$90)),0)</x:f>
        <x:v>0</x:v>
      </x:c>
      <x:c r="K88" s="117" t="n">
        <x:f>IF(AND(K$3&gt;=EDATE($B$75,-MIN(6,'Вводные'!$E$90)),K$3&lt;$B$75),$B$88/MAX(1,MIN(6,'Вводные'!$E$90)),0)</x:f>
        <x:v>0</x:v>
      </x:c>
      <x:c r="L88" s="117" t="n">
        <x:f>IF(AND(L$3&gt;=EDATE($B$75,-MIN(6,'Вводные'!$E$90)),L$3&lt;$B$75),$B$88/MAX(1,MIN(6,'Вводные'!$E$90)),0)</x:f>
        <x:v>0</x:v>
      </x:c>
      <x:c r="M88" s="117" t="n">
        <x:f>IF(AND(M$3&gt;=EDATE($B$75,-MIN(6,'Вводные'!$E$90)),M$3&lt;$B$75),$B$88/MAX(1,MIN(6,'Вводные'!$E$90)),0)</x:f>
        <x:v>0</x:v>
      </x:c>
      <x:c r="N88" s="117" t="n">
        <x:f>IF(AND(N$3&gt;=EDATE($B$75,-MIN(6,'Вводные'!$E$90)),N$3&lt;$B$75),$B$88/MAX(1,MIN(6,'Вводные'!$E$90)),0)</x:f>
        <x:v>0</x:v>
      </x:c>
      <x:c r="O88" s="117" t="n">
        <x:f>IF(AND(O$3&gt;=EDATE($B$75,-MIN(6,'Вводные'!$E$90)),O$3&lt;$B$75),$B$88/MAX(1,MIN(6,'Вводные'!$E$90)),0)</x:f>
        <x:v>0</x:v>
      </x:c>
      <x:c r="P88" s="117" t="n">
        <x:f>IF(AND(P$3&gt;=EDATE($B$75,-MIN(6,'Вводные'!$E$90)),P$3&lt;$B$75),$B$88/MAX(1,MIN(6,'Вводные'!$E$90)),0)</x:f>
        <x:v>0</x:v>
      </x:c>
      <x:c r="Q88" s="117" t="n">
        <x:f>IF(AND(Q$3&gt;=EDATE($B$75,-MIN(6,'Вводные'!$E$90)),Q$3&lt;$B$75),$B$88/MAX(1,MIN(6,'Вводные'!$E$90)),0)</x:f>
        <x:v>0</x:v>
      </x:c>
      <x:c r="R88" s="117" t="n">
        <x:f>IF(AND(R$3&gt;=EDATE($B$75,-MIN(6,'Вводные'!$E$90)),R$3&lt;$B$75),$B$88/MAX(1,MIN(6,'Вводные'!$E$90)),0)</x:f>
        <x:v>0</x:v>
      </x:c>
      <x:c r="S88" s="117" t="n">
        <x:f>IF(AND(S$3&gt;=EDATE($B$75,-MIN(6,'Вводные'!$E$90)),S$3&lt;$B$75),$B$88/MAX(1,MIN(6,'Вводные'!$E$90)),0)</x:f>
        <x:v>0</x:v>
      </x:c>
      <x:c r="T88" s="117" t="n">
        <x:f>IF(AND(T$3&gt;=EDATE($B$75,-MIN(6,'Вводные'!$E$90)),T$3&lt;$B$75),$B$88/MAX(1,MIN(6,'Вводные'!$E$90)),0)</x:f>
        <x:v>0</x:v>
      </x:c>
      <x:c r="U88" s="117" t="n">
        <x:f>IF(AND(U$3&gt;=EDATE($B$75,-MIN(6,'Вводные'!$E$90)),U$3&lt;$B$75),$B$88/MAX(1,MIN(6,'Вводные'!$E$90)),0)</x:f>
        <x:v>0</x:v>
      </x:c>
      <x:c r="V88" s="117" t="n">
        <x:f>IF(AND(V$3&gt;=EDATE($B$75,-MIN(6,'Вводные'!$E$90)),V$3&lt;$B$75),$B$88/MAX(1,MIN(6,'Вводные'!$E$90)),0)</x:f>
        <x:v>0</x:v>
      </x:c>
      <x:c r="W88" s="117" t="n">
        <x:f>IF(AND(W$3&gt;=EDATE($B$75,-MIN(6,'Вводные'!$E$90)),W$3&lt;$B$75),$B$88/MAX(1,MIN(6,'Вводные'!$E$90)),0)</x:f>
        <x:v>0</x:v>
      </x:c>
      <x:c r="X88" s="117" t="n">
        <x:f>IF(AND(X$3&gt;=EDATE($B$75,-MIN(6,'Вводные'!$E$90)),X$3&lt;$B$75),$B$88/MAX(1,MIN(6,'Вводные'!$E$90)),0)</x:f>
        <x:v>0</x:v>
      </x:c>
      <x:c r="Y88" s="117" t="n">
        <x:f>IF(AND(Y$3&gt;=EDATE($B$75,-MIN(6,'Вводные'!$E$90)),Y$3&lt;$B$75),$B$88/MAX(1,MIN(6,'Вводные'!$E$90)),0)</x:f>
        <x:v>0</x:v>
      </x:c>
      <x:c r="Z88" s="117" t="n">
        <x:f>IF(AND(Z$3&gt;=EDATE($B$75,-MIN(6,'Вводные'!$E$90)),Z$3&lt;$B$75),$B$88/MAX(1,MIN(6,'Вводные'!$E$90)),0)</x:f>
        <x:v>0</x:v>
      </x:c>
      <x:c r="AA88" s="117" t="n">
        <x:f>IF(AND(AA$3&gt;=EDATE($B$75,-MIN(6,'Вводные'!$E$90)),AA$3&lt;$B$75),$B$88/MAX(1,MIN(6,'Вводные'!$E$90)),0)</x:f>
        <x:v>0</x:v>
      </x:c>
      <x:c r="AB88" s="117" t="n">
        <x:f>IF(AND(AB$3&gt;=EDATE($B$75,-MIN(6,'Вводные'!$E$90)),AB$3&lt;$B$75),$B$88/MAX(1,MIN(6,'Вводные'!$E$90)),0)</x:f>
        <x:v>0</x:v>
      </x:c>
      <x:c r="AC88" s="117" t="n">
        <x:f>IF(AND(AC$3&gt;=EDATE($B$75,-MIN(6,'Вводные'!$E$90)),AC$3&lt;$B$75),$B$88/MAX(1,MIN(6,'Вводные'!$E$90)),0)</x:f>
        <x:v>0</x:v>
      </x:c>
      <x:c r="AD88" s="117" t="n">
        <x:f>IF(AND(AD$3&gt;=EDATE($B$75,-MIN(6,'Вводные'!$E$90)),AD$3&lt;$B$75),$B$88/MAX(1,MIN(6,'Вводные'!$E$90)),0)</x:f>
        <x:v>0</x:v>
      </x:c>
      <x:c r="AE88" s="117" t="n">
        <x:f>IF(AND(AE$3&gt;=EDATE($B$75,-MIN(6,'Вводные'!$E$90)),AE$3&lt;$B$75),$B$88/MAX(1,MIN(6,'Вводные'!$E$90)),0)</x:f>
        <x:v>0</x:v>
      </x:c>
      <x:c r="AF88" s="117" t="n">
        <x:f>IF(AND(AF$3&gt;=EDATE($B$75,-MIN(6,'Вводные'!$E$90)),AF$3&lt;$B$75),$B$88/MAX(1,MIN(6,'Вводные'!$E$90)),0)</x:f>
        <x:v>0</x:v>
      </x:c>
      <x:c r="AG88" s="117" t="n">
        <x:f>IF(AND(AG$3&gt;=EDATE($B$75,-MIN(6,'Вводные'!$E$90)),AG$3&lt;$B$75),$B$88/MAX(1,MIN(6,'Вводные'!$E$90)),0)</x:f>
        <x:v>0</x:v>
      </x:c>
      <x:c r="AH88" s="117" t="n">
        <x:f>IF(AND(AH$3&gt;=EDATE($B$75,-MIN(6,'Вводные'!$E$90)),AH$3&lt;$B$75),$B$88/MAX(1,MIN(6,'Вводные'!$E$90)),0)</x:f>
        <x:v>0</x:v>
      </x:c>
      <x:c r="AI88" s="117" t="n">
        <x:f>IF(AND(AI$3&gt;=EDATE($B$75,-MIN(6,'Вводные'!$E$90)),AI$3&lt;$B$75),$B$88/MAX(1,MIN(6,'Вводные'!$E$90)),0)</x:f>
        <x:v>0</x:v>
      </x:c>
      <x:c r="AJ88" s="117" t="n">
        <x:f>IF(AND(AJ$3&gt;=EDATE($B$75,-MIN(6,'Вводные'!$E$90)),AJ$3&lt;$B$75),$B$88/MAX(1,MIN(6,'Вводные'!$E$90)),0)</x:f>
        <x:v>0</x:v>
      </x:c>
      <x:c r="AK88" s="117" t="n">
        <x:f>IF(AND(AK$3&gt;=EDATE($B$75,-MIN(6,'Вводные'!$E$90)),AK$3&lt;$B$75),$B$88/MAX(1,MIN(6,'Вводные'!$E$90)),0)</x:f>
        <x:v>0</x:v>
      </x:c>
      <x:c r="AL88" s="117" t="n">
        <x:f>IF(AND(AL$3&gt;=EDATE($B$75,-MIN(6,'Вводные'!$E$90)),AL$3&lt;$B$75),$B$88/MAX(1,MIN(6,'Вводные'!$E$90)),0)</x:f>
        <x:v>0</x:v>
      </x:c>
      <x:c r="AM88" s="117" t="n">
        <x:f>IF(AND(AM$3&gt;=EDATE($B$75,-MIN(6,'Вводные'!$E$90)),AM$3&lt;$B$75),$B$88/MAX(1,MIN(6,'Вводные'!$E$90)),0)</x:f>
        <x:v>0</x:v>
      </x:c>
      <x:c r="AN88" s="117" t="n">
        <x:f>IF(AND(AN$3&gt;=EDATE($B$75,-MIN(6,'Вводные'!$E$90)),AN$3&lt;$B$75),$B$88/MAX(1,MIN(6,'Вводные'!$E$90)),0)</x:f>
        <x:v>0</x:v>
      </x:c>
      <x:c r="AO88" s="117" t="n">
        <x:f>IF(AND(AO$3&gt;=EDATE($B$75,-MIN(6,'Вводные'!$E$90)),AO$3&lt;$B$75),$B$88/MAX(1,MIN(6,'Вводные'!$E$90)),0)</x:f>
        <x:v>0</x:v>
      </x:c>
      <x:c r="AP88" s="117" t="n">
        <x:f>IF(AND(AP$3&gt;=EDATE($B$75,-MIN(6,'Вводные'!$E$90)),AP$3&lt;$B$75),$B$88/MAX(1,MIN(6,'Вводные'!$E$90)),0)</x:f>
        <x:v>0</x:v>
      </x:c>
      <x:c r="AQ88" s="117" t="n">
        <x:f>IF(AND(AQ$3&gt;=EDATE($B$75,-MIN(6,'Вводные'!$E$90)),AQ$3&lt;$B$75),$B$88/MAX(1,MIN(6,'Вводные'!$E$90)),0)</x:f>
        <x:v>0</x:v>
      </x:c>
      <x:c r="AR88" s="117" t="n">
        <x:f>IF(AND(AR$3&gt;=EDATE($B$75,-MIN(6,'Вводные'!$E$90)),AR$3&lt;$B$75),$B$88/MAX(1,MIN(6,'Вводные'!$E$90)),0)</x:f>
        <x:v>0</x:v>
      </x:c>
      <x:c r="AS88" s="117" t="n">
        <x:f>IF(AND(AS$3&gt;=EDATE($B$75,-MIN(6,'Вводные'!$E$90)),AS$3&lt;$B$75),$B$88/MAX(1,MIN(6,'Вводные'!$E$90)),0)</x:f>
        <x:v>0</x:v>
      </x:c>
      <x:c r="AT88" s="117" t="n">
        <x:f>IF(AND(AT$3&gt;=EDATE($B$75,-MIN(6,'Вводные'!$E$90)),AT$3&lt;$B$75),$B$88/MAX(1,MIN(6,'Вводные'!$E$90)),0)</x:f>
        <x:v>0</x:v>
      </x:c>
      <x:c r="AU88" s="117" t="n">
        <x:f>IF(AND(AU$3&gt;=EDATE($B$75,-MIN(6,'Вводные'!$E$90)),AU$3&lt;$B$75),$B$88/MAX(1,MIN(6,'Вводные'!$E$90)),0)</x:f>
        <x:v>0</x:v>
      </x:c>
      <x:c r="AV88" s="117" t="n">
        <x:f>IF(AND(AV$3&gt;=EDATE($B$75,-MIN(6,'Вводные'!$E$90)),AV$3&lt;$B$75),$B$88/MAX(1,MIN(6,'Вводные'!$E$90)),0)</x:f>
        <x:v>0</x:v>
      </x:c>
      <x:c r="AW88" s="117" t="n">
        <x:f>IF(AND(AW$3&gt;=EDATE($B$75,-MIN(6,'Вводные'!$E$90)),AW$3&lt;$B$75),$B$88/MAX(1,MIN(6,'Вводные'!$E$90)),0)</x:f>
        <x:v>0</x:v>
      </x:c>
      <x:c r="AX88" s="117" t="n">
        <x:f>IF(AND(AX$3&gt;=EDATE($B$75,-MIN(6,'Вводные'!$E$90)),AX$3&lt;$B$75),$B$88/MAX(1,MIN(6,'Вводные'!$E$90)),0)</x:f>
        <x:v>0</x:v>
      </x:c>
      <x:c r="AY88" s="117" t="n">
        <x:f>IF(AND(AY$3&gt;=EDATE($B$75,-MIN(6,'Вводные'!$E$90)),AY$3&lt;$B$75),$B$88/MAX(1,MIN(6,'Вводные'!$E$90)),0)</x:f>
        <x:v>0</x:v>
      </x:c>
      <x:c r="AZ88" s="117" t="n">
        <x:f>IF(AND(AZ$3&gt;=EDATE($B$75,-MIN(6,'Вводные'!$E$90)),AZ$3&lt;$B$75),$B$88/MAX(1,MIN(6,'Вводные'!$E$90)),0)</x:f>
        <x:v>0</x:v>
      </x:c>
      <x:c r="BA88" s="117" t="n">
        <x:f>IF(AND(BA$3&gt;=EDATE($B$75,-MIN(6,'Вводные'!$E$90)),BA$3&lt;$B$75),$B$88/MAX(1,MIN(6,'Вводные'!$E$90)),0)</x:f>
        <x:v>0</x:v>
      </x:c>
      <x:c r="BB88" s="117" t="n">
        <x:f>IF(AND(BB$3&gt;=EDATE($B$75,-MIN(6,'Вводные'!$E$90)),BB$3&lt;$B$75),$B$88/MAX(1,MIN(6,'Вводные'!$E$90)),0)</x:f>
        <x:v>0</x:v>
      </x:c>
      <x:c r="BC88" s="117" t="n">
        <x:f>IF(AND(BC$3&gt;=EDATE($B$75,-MIN(6,'Вводные'!$E$90)),BC$3&lt;$B$75),$B$88/MAX(1,MIN(6,'Вводные'!$E$90)),0)</x:f>
        <x:v>0</x:v>
      </x:c>
      <x:c r="BD88" s="117" t="n">
        <x:f>IF(AND(BD$3&gt;=EDATE($B$75,-MIN(6,'Вводные'!$E$90)),BD$3&lt;$B$75),$B$88/MAX(1,MIN(6,'Вводные'!$E$90)),0)</x:f>
        <x:v>0</x:v>
      </x:c>
      <x:c r="BE88" s="117" t="n">
        <x:f>IF(AND(BE$3&gt;=EDATE($B$75,-MIN(6,'Вводные'!$E$90)),BE$3&lt;$B$75),$B$88/MAX(1,MIN(6,'Вводные'!$E$90)),0)</x:f>
        <x:v>0</x:v>
      </x:c>
      <x:c r="BF88" s="117" t="n">
        <x:f>IF(AND(BF$3&gt;=EDATE($B$75,-MIN(6,'Вводные'!$E$90)),BF$3&lt;$B$75),$B$88/MAX(1,MIN(6,'Вводные'!$E$90)),0)</x:f>
        <x:v>0</x:v>
      </x:c>
      <x:c r="BG88" s="117" t="n">
        <x:f>IF(AND(BG$3&gt;=EDATE($B$75,-MIN(6,'Вводные'!$E$90)),BG$3&lt;$B$75),$B$88/MAX(1,MIN(6,'Вводные'!$E$90)),0)</x:f>
        <x:v>0</x:v>
      </x:c>
      <x:c r="BH88" s="117" t="n">
        <x:f>IF(AND(BH$3&gt;=EDATE($B$75,-MIN(6,'Вводные'!$E$90)),BH$3&lt;$B$75),$B$88/MAX(1,MIN(6,'Вводные'!$E$90)),0)</x:f>
        <x:v>0</x:v>
      </x:c>
      <x:c r="BI88" s="117" t="n">
        <x:f>IF(AND(BI$3&gt;=EDATE($B$75,-MIN(6,'Вводные'!$E$90)),BI$3&lt;$B$75),$B$88/MAX(1,MIN(6,'Вводные'!$E$90)),0)</x:f>
        <x:v>0</x:v>
      </x:c>
      <x:c r="BJ88" s="117" t="n">
        <x:f>IF(AND(BJ$3&gt;=EDATE($B$75,-MIN(6,'Вводные'!$E$90)),BJ$3&lt;$B$75),$B$88/MAX(1,MIN(6,'Вводные'!$E$90)),0)</x:f>
        <x:v>0</x:v>
      </x:c>
      <x:c r="BK88" s="117" t="n">
        <x:f>IF(AND(BK$3&gt;=EDATE($B$75,-MIN(6,'Вводные'!$E$90)),BK$3&lt;$B$75),$B$88/MAX(1,MIN(6,'Вводные'!$E$90)),0)</x:f>
        <x:v>0</x:v>
      </x:c>
      <x:c r="BL88" s="117" t="n">
        <x:f>IF(AND(BL$3&gt;=EDATE($B$75,-MIN(6,'Вводные'!$E$90)),BL$3&lt;$B$75),$B$88/MAX(1,MIN(6,'Вводные'!$E$90)),0)</x:f>
        <x:v>0</x:v>
      </x:c>
      <x:c r="BM88" s="117" t="n">
        <x:f>IF(AND(BM$3&gt;=EDATE($B$75,-MIN(6,'Вводные'!$E$90)),BM$3&lt;$B$75),$B$88/MAX(1,MIN(6,'Вводные'!$E$90)),0)</x:f>
        <x:v>0</x:v>
      </x:c>
      <x:c r="BN88" s="117" t="n">
        <x:f>IF(AND(BN$3&gt;=EDATE($B$75,-MIN(6,'Вводные'!$E$90)),BN$3&lt;$B$75),$B$88/MAX(1,MIN(6,'Вводные'!$E$90)),0)</x:f>
        <x:v>0</x:v>
      </x:c>
      <x:c r="BO88" s="117" t="n">
        <x:f>IF(AND(BO$3&gt;=EDATE($B$75,-MIN(6,'Вводные'!$E$90)),BO$3&lt;$B$75),$B$88/MAX(1,MIN(6,'Вводные'!$E$90)),0)</x:f>
        <x:v>0</x:v>
      </x:c>
      <x:c r="BP88" s="117" t="n">
        <x:f>IF(AND(BP$3&gt;=EDATE($B$75,-MIN(6,'Вводные'!$E$90)),BP$3&lt;$B$75),$B$88/MAX(1,MIN(6,'Вводные'!$E$90)),0)</x:f>
        <x:v>0</x:v>
      </x:c>
      <x:c r="BQ88" s="117" t="n">
        <x:f>IF(AND(BQ$3&gt;=EDATE($B$75,-MIN(6,'Вводные'!$E$90)),BQ$3&lt;$B$75),$B$88/MAX(1,MIN(6,'Вводные'!$E$90)),0)</x:f>
        <x:v>0</x:v>
      </x:c>
      <x:c r="BR88" s="117" t="n">
        <x:f>IF(AND(BR$3&gt;=EDATE($B$75,-MIN(6,'Вводные'!$E$90)),BR$3&lt;$B$75),$B$88/MAX(1,MIN(6,'Вводные'!$E$90)),0)</x:f>
        <x:v>0</x:v>
      </x:c>
      <x:c r="BS88" s="117" t="n">
        <x:f>IF(AND(BS$3&gt;=EDATE($B$75,-MIN(6,'Вводные'!$E$90)),BS$3&lt;$B$75),$B$88/MAX(1,MIN(6,'Вводные'!$E$90)),0)</x:f>
        <x:v>0</x:v>
      </x:c>
      <x:c r="BT88" s="117" t="n">
        <x:f>IF(AND(BT$3&gt;=EDATE($B$75,-MIN(6,'Вводные'!$E$90)),BT$3&lt;$B$75),$B$88/MAX(1,MIN(6,'Вводные'!$E$90)),0)</x:f>
        <x:v>0</x:v>
      </x:c>
      <x:c r="BU88" s="117" t="n">
        <x:f>IF(AND(BU$3&gt;=EDATE($B$75,-MIN(6,'Вводные'!$E$90)),BU$3&lt;$B$75),$B$88/MAX(1,MIN(6,'Вводные'!$E$90)),0)</x:f>
        <x:v>0</x:v>
      </x:c>
      <x:c r="BV88" s="117" t="n">
        <x:f>IF(AND(BV$3&gt;=EDATE($B$75,-MIN(6,'Вводные'!$E$90)),BV$3&lt;$B$75),$B$88/MAX(1,MIN(6,'Вводные'!$E$90)),0)</x:f>
        <x:v>0</x:v>
      </x:c>
      <x:c r="BW88" s="117" t="n">
        <x:f>IF(AND(BW$3&gt;=EDATE($B$75,-MIN(6,'Вводные'!$E$90)),BW$3&lt;$B$75),$B$88/MAX(1,MIN(6,'Вводные'!$E$90)),0)</x:f>
        <x:v>0</x:v>
      </x:c>
      <x:c r="BX88" s="117" t="n">
        <x:f>IF(AND(BX$3&gt;=EDATE($B$75,-MIN(6,'Вводные'!$E$90)),BX$3&lt;$B$75),$B$88/MAX(1,MIN(6,'Вводные'!$E$90)),0)</x:f>
        <x:v>0</x:v>
      </x:c>
      <x:c r="BY88" s="117" t="n">
        <x:f>IF(AND(BY$3&gt;=EDATE($B$75,-MIN(6,'Вводные'!$E$90)),BY$3&lt;$B$75),$B$88/MAX(1,MIN(6,'Вводные'!$E$90)),0)</x:f>
        <x:v>0</x:v>
      </x:c>
      <x:c r="BZ88" s="117" t="n">
        <x:f>IF(AND(BZ$3&gt;=EDATE($B$75,-MIN(6,'Вводные'!$E$90)),BZ$3&lt;$B$75),$B$88/MAX(1,MIN(6,'Вводные'!$E$90)),0)</x:f>
        <x:v>0</x:v>
      </x:c>
      <x:c r="CA88" s="117" t="n">
        <x:f>IF(AND(CA$3&gt;=EDATE($B$75,-MIN(6,'Вводные'!$E$90)),CA$3&lt;$B$75),$B$88/MAX(1,MIN(6,'Вводные'!$E$90)),0)</x:f>
        <x:v>0</x:v>
      </x:c>
      <x:c r="CB88" s="117" t="n">
        <x:f>IF(AND(CB$3&gt;=EDATE($B$75,-MIN(6,'Вводные'!$E$90)),CB$3&lt;$B$75),$B$88/MAX(1,MIN(6,'Вводные'!$E$90)),0)</x:f>
        <x:v>0</x:v>
      </x:c>
      <x:c r="CC88" s="117" t="n">
        <x:f>IF(AND(CC$3&gt;=EDATE($B$75,-MIN(6,'Вводные'!$E$90)),CC$3&lt;$B$75),$B$88/MAX(1,MIN(6,'Вводные'!$E$90)),0)</x:f>
        <x:v>0</x:v>
      </x:c>
      <x:c r="CD88" s="117" t="n">
        <x:f>IF(AND(CD$3&gt;=EDATE($B$75,-MIN(6,'Вводные'!$E$90)),CD$3&lt;$B$75),$B$88/MAX(1,MIN(6,'Вводные'!$E$90)),0)</x:f>
        <x:v>0</x:v>
      </x:c>
      <x:c r="CE88" s="117" t="n">
        <x:f>IF(AND(CE$3&gt;=EDATE($B$75,-MIN(6,'Вводные'!$E$90)),CE$3&lt;$B$75),$B$88/MAX(1,MIN(6,'Вводные'!$E$90)),0)</x:f>
        <x:v>0</x:v>
      </x:c>
      <x:c r="CF88" s="117" t="n">
        <x:f>IF(AND(CF$3&gt;=EDATE($B$75,-MIN(6,'Вводные'!$E$90)),CF$3&lt;$B$75),$B$88/MAX(1,MIN(6,'Вводные'!$E$90)),0)</x:f>
        <x:v>0</x:v>
      </x:c>
      <x:c r="CG88" s="117" t="n">
        <x:f>IF(AND(CG$3&gt;=EDATE($B$75,-MIN(6,'Вводные'!$E$90)),CG$3&lt;$B$75),$B$88/MAX(1,MIN(6,'Вводные'!$E$90)),0)</x:f>
        <x:v>0</x:v>
      </x:c>
      <x:c r="CH88" s="117" t="n">
        <x:f>IF(AND(CH$3&gt;=EDATE($B$75,-MIN(6,'Вводные'!$E$90)),CH$3&lt;$B$75),$B$88/MAX(1,MIN(6,'Вводные'!$E$90)),0)</x:f>
        <x:v>0</x:v>
      </x:c>
      <x:c r="CI88" s="117" t="n">
        <x:f>IF(AND(CI$3&gt;=EDATE($B$75,-MIN(6,'Вводные'!$E$90)),CI$3&lt;$B$75),$B$88/MAX(1,MIN(6,'Вводные'!$E$90)),0)</x:f>
        <x:v>0</x:v>
      </x:c>
      <x:c r="CJ88" s="117" t="n">
        <x:f>IF(AND(CJ$3&gt;=EDATE($B$75,-MIN(6,'Вводные'!$E$90)),CJ$3&lt;$B$75),$B$88/MAX(1,MIN(6,'Вводные'!$E$90)),0)</x:f>
        <x:v>0</x:v>
      </x:c>
      <x:c r="CK88" s="117" t="n">
        <x:f>IF(AND(CK$3&gt;=EDATE($B$75,-MIN(6,'Вводные'!$E$90)),CK$3&lt;$B$75),$B$88/MAX(1,MIN(6,'Вводные'!$E$90)),0)</x:f>
        <x:v>0</x:v>
      </x:c>
      <x:c r="CL88" s="117" t="n">
        <x:f>IF(AND(CL$3&gt;=EDATE($B$75,-MIN(6,'Вводные'!$E$90)),CL$3&lt;$B$75),$B$88/MAX(1,MIN(6,'Вводные'!$E$90)),0)</x:f>
        <x:v>0</x:v>
      </x:c>
      <x:c r="CM88" s="117" t="n">
        <x:f>IF(AND(CM$3&gt;=EDATE($B$75,-MIN(6,'Вводные'!$E$90)),CM$3&lt;$B$75),$B$88/MAX(1,MIN(6,'Вводные'!$E$90)),0)</x:f>
        <x:v>0</x:v>
      </x:c>
      <x:c r="CN88" s="117" t="n">
        <x:f>IF(AND(CN$3&gt;=EDATE($B$75,-MIN(6,'Вводные'!$E$90)),CN$3&lt;$B$75),$B$88/MAX(1,MIN(6,'Вводные'!$E$90)),0)</x:f>
        <x:v>0</x:v>
      </x:c>
      <x:c r="CO88" s="117" t="n">
        <x:f>IF(AND(CO$3&gt;=EDATE($B$75,-MIN(6,'Вводные'!$E$90)),CO$3&lt;$B$75),$B$88/MAX(1,MIN(6,'Вводные'!$E$90)),0)</x:f>
        <x:v>0</x:v>
      </x:c>
      <x:c r="CP88" s="117" t="n">
        <x:f>IF(AND(CP$3&gt;=EDATE($B$75,-MIN(6,'Вводные'!$E$90)),CP$3&lt;$B$75),$B$88/MAX(1,MIN(6,'Вводные'!$E$90)),0)</x:f>
        <x:v>0</x:v>
      </x:c>
      <x:c r="CQ88" s="117" t="n">
        <x:f>IF(AND(CQ$3&gt;=EDATE($B$75,-MIN(6,'Вводные'!$E$90)),CQ$3&lt;$B$75),$B$88/MAX(1,MIN(6,'Вводные'!$E$90)),0)</x:f>
        <x:v>0</x:v>
      </x:c>
      <x:c r="CR88" s="117" t="n">
        <x:f>IF(AND(CR$3&gt;=EDATE($B$75,-MIN(6,'Вводные'!$E$90)),CR$3&lt;$B$75),$B$88/MAX(1,MIN(6,'Вводные'!$E$90)),0)</x:f>
        <x:v>0</x:v>
      </x:c>
      <x:c r="CS88" s="117" t="n">
        <x:f>IF(AND(CS$3&gt;=EDATE($B$75,-MIN(6,'Вводные'!$E$90)),CS$3&lt;$B$75),$B$88/MAX(1,MIN(6,'Вводные'!$E$90)),0)</x:f>
        <x:v>0</x:v>
      </x:c>
      <x:c r="CT88" s="117" t="n">
        <x:f>IF(AND(CT$3&gt;=EDATE($B$75,-MIN(6,'Вводные'!$E$90)),CT$3&lt;$B$75),$B$88/MAX(1,MIN(6,'Вводные'!$E$90)),0)</x:f>
        <x:v>0</x:v>
      </x:c>
      <x:c r="CU88" s="117" t="n">
        <x:f>IF(AND(CU$3&gt;=EDATE($B$75,-MIN(6,'Вводные'!$E$90)),CU$3&lt;$B$75),$B$88/MAX(1,MIN(6,'Вводные'!$E$90)),0)</x:f>
        <x:v>0</x:v>
      </x:c>
      <x:c r="CV88" s="117" t="n">
        <x:f>IF(AND(CV$3&gt;=EDATE($B$75,-MIN(6,'Вводные'!$E$90)),CV$3&lt;$B$75),$B$88/MAX(1,MIN(6,'Вводные'!$E$90)),0)</x:f>
        <x:v>0</x:v>
      </x:c>
      <x:c r="CW88" s="117" t="n">
        <x:f>IF(AND(CW$3&gt;=EDATE($B$75,-MIN(6,'Вводные'!$E$90)),CW$3&lt;$B$75),$B$88/MAX(1,MIN(6,'Вводные'!$E$90)),0)</x:f>
        <x:v>0</x:v>
      </x:c>
      <x:c r="CX88" s="117" t="n">
        <x:f>IF(AND(CX$3&gt;=EDATE($B$75,-MIN(6,'Вводные'!$E$90)),CX$3&lt;$B$75),$B$88/MAX(1,MIN(6,'Вводные'!$E$90)),0)</x:f>
        <x:v>0</x:v>
      </x:c>
      <x:c r="CY88" s="117" t="n">
        <x:f>IF(AND(CY$3&gt;=EDATE($B$75,-MIN(6,'Вводные'!$E$90)),CY$3&lt;$B$75),$B$88/MAX(1,MIN(6,'Вводные'!$E$90)),0)</x:f>
        <x:v>0</x:v>
      </x:c>
      <x:c r="CZ88" s="117" t="n">
        <x:f>IF(AND(CZ$3&gt;=EDATE($B$75,-MIN(6,'Вводные'!$E$90)),CZ$3&lt;$B$75),$B$88/MAX(1,MIN(6,'Вводные'!$E$90)),0)</x:f>
        <x:v>0</x:v>
      </x:c>
      <x:c r="DA88" s="117" t="n">
        <x:f>IF(AND(DA$3&gt;=EDATE($B$75,-MIN(6,'Вводные'!$E$90)),DA$3&lt;$B$75),$B$88/MAX(1,MIN(6,'Вводные'!$E$90)),0)</x:f>
        <x:v>0</x:v>
      </x:c>
      <x:c r="DB88" s="117" t="n">
        <x:f>IF(AND(DB$3&gt;=EDATE($B$75,-MIN(6,'Вводные'!$E$90)),DB$3&lt;$B$75),$B$88/MAX(1,MIN(6,'Вводные'!$E$90)),0)</x:f>
        <x:v>0</x:v>
      </x:c>
      <x:c r="DC88" s="117" t="n">
        <x:f>IF(AND(DC$3&gt;=EDATE($B$75,-MIN(6,'Вводные'!$E$90)),DC$3&lt;$B$75),$B$88/MAX(1,MIN(6,'Вводные'!$E$90)),0)</x:f>
        <x:v>0</x:v>
      </x:c>
      <x:c r="DD88" s="117" t="n">
        <x:f>IF(AND(DD$3&gt;=EDATE($B$75,-MIN(6,'Вводные'!$E$90)),DD$3&lt;$B$75),$B$88/MAX(1,MIN(6,'Вводные'!$E$90)),0)</x:f>
        <x:v>0</x:v>
      </x:c>
      <x:c r="DE88" s="117" t="n">
        <x:f>IF(AND(DE$3&gt;=EDATE($B$75,-MIN(6,'Вводные'!$E$90)),DE$3&lt;$B$75),$B$88/MAX(1,MIN(6,'Вводные'!$E$90)),0)</x:f>
        <x:v>0</x:v>
      </x:c>
      <x:c r="DF88" s="117" t="n">
        <x:f>IF(AND(DF$3&gt;=EDATE($B$75,-MIN(6,'Вводные'!$E$90)),DF$3&lt;$B$75),$B$88/MAX(1,MIN(6,'Вводные'!$E$90)),0)</x:f>
        <x:v>0</x:v>
      </x:c>
      <x:c r="DG88" s="117" t="n">
        <x:f>IF(AND(DG$3&gt;=EDATE($B$75,-MIN(6,'Вводные'!$E$90)),DG$3&lt;$B$75),$B$88/MAX(1,MIN(6,'Вводные'!$E$90)),0)</x:f>
        <x:v>0</x:v>
      </x:c>
      <x:c r="DH88" s="117" t="n">
        <x:f>IF(AND(DH$3&gt;=EDATE($B$75,-MIN(6,'Вводные'!$E$90)),DH$3&lt;$B$75),$B$88/MAX(1,MIN(6,'Вводные'!$E$90)),0)</x:f>
        <x:v>0</x:v>
      </x:c>
      <x:c r="DI88" s="117" t="n">
        <x:f>IF(AND(DI$3&gt;=EDATE($B$75,-MIN(6,'Вводные'!$E$90)),DI$3&lt;$B$75),$B$88/MAX(1,MIN(6,'Вводные'!$E$90)),0)</x:f>
        <x:v>0</x:v>
      </x:c>
      <x:c r="DJ88" s="117" t="n">
        <x:f>IF(AND(DJ$3&gt;=EDATE($B$75,-MIN(6,'Вводные'!$E$90)),DJ$3&lt;$B$75),$B$88/MAX(1,MIN(6,'Вводные'!$E$90)),0)</x:f>
        <x:v>0</x:v>
      </x:c>
      <x:c r="DK88" s="117" t="n">
        <x:f>IF(AND(DK$3&gt;=EDATE($B$75,-MIN(6,'Вводные'!$E$90)),DK$3&lt;$B$75),$B$88/MAX(1,MIN(6,'Вводные'!$E$90)),0)</x:f>
        <x:v>0</x:v>
      </x:c>
      <x:c r="DL88" s="117" t="n">
        <x:f>IF(AND(DL$3&gt;=EDATE($B$75,-MIN(6,'Вводные'!$E$90)),DL$3&lt;$B$75),$B$88/MAX(1,MIN(6,'Вводные'!$E$90)),0)</x:f>
        <x:v>0</x:v>
      </x:c>
      <x:c r="DM88" s="117" t="n">
        <x:f>IF(AND(DM$3&gt;=EDATE($B$75,-MIN(6,'Вводные'!$E$90)),DM$3&lt;$B$75),$B$88/MAX(1,MIN(6,'Вводные'!$E$90)),0)</x:f>
        <x:v>0</x:v>
      </x:c>
      <x:c r="DN88" s="117" t="n">
        <x:f>IF(AND(DN$3&gt;=EDATE($B$75,-MIN(6,'Вводные'!$E$90)),DN$3&lt;$B$75),$B$88/MAX(1,MIN(6,'Вводные'!$E$90)),0)</x:f>
        <x:v>0</x:v>
      </x:c>
      <x:c r="DO88" s="117" t="n">
        <x:f>IF(AND(DO$3&gt;=EDATE($B$75,-MIN(6,'Вводные'!$E$90)),DO$3&lt;$B$75),$B$88/MAX(1,MIN(6,'Вводные'!$E$90)),0)</x:f>
        <x:v>0</x:v>
      </x:c>
      <x:c r="DP88" s="117" t="n">
        <x:f>IF(AND(DP$3&gt;=EDATE($B$75,-MIN(6,'Вводные'!$E$90)),DP$3&lt;$B$75),$B$88/MAX(1,MIN(6,'Вводные'!$E$90)),0)</x:f>
        <x:v>0</x:v>
      </x:c>
      <x:c r="DQ88" s="117" t="n">
        <x:f>IF(AND(DQ$3&gt;=EDATE($B$75,-MIN(6,'Вводные'!$E$90)),DQ$3&lt;$B$75),$B$88/MAX(1,MIN(6,'Вводные'!$E$90)),0)</x:f>
        <x:v>0</x:v>
      </x:c>
      <x:c r="DR88" s="117" t="n">
        <x:f>IF(AND(DR$3&gt;=EDATE($B$75,-MIN(6,'Вводные'!$E$90)),DR$3&lt;$B$75),$B$88/MAX(1,MIN(6,'Вводные'!$E$90)),0)</x:f>
        <x:v>0</x:v>
      </x:c>
      <x:c r="DS88" s="117" t="n">
        <x:f>IF(AND(DS$3&gt;=EDATE($B$75,-MIN(6,'Вводные'!$E$90)),DS$3&lt;$B$75),$B$88/MAX(1,MIN(6,'Вводные'!$E$90)),0)</x:f>
        <x:v>0</x:v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  <x:v>0</x:v>
      </x:c>
      <x:c r="C89" t="str">
        <x:v>млн ₽</x:v>
      </x:c>
      <x:c r="D89" s="117" t="n">
        <x:f>$B$89*D81</x:f>
        <x:v>0</x:v>
      </x:c>
      <x:c r="E89" s="117" t="n">
        <x:f>$B$89*E81</x:f>
        <x:v>0</x:v>
      </x:c>
      <x:c r="F89" s="117" t="n">
        <x:f>$B$89*F81</x:f>
        <x:v>0</x:v>
      </x:c>
      <x:c r="G89" s="117" t="n">
        <x:f>$B$89*G81</x:f>
        <x:v>0</x:v>
      </x:c>
      <x:c r="H89" s="117" t="n">
        <x:f>$B$89*H81</x:f>
        <x:v>0</x:v>
      </x:c>
      <x:c r="I89" s="117" t="n">
        <x:f>$B$89*I81</x:f>
        <x:v>0</x:v>
      </x:c>
      <x:c r="J89" s="117" t="n">
        <x:f>$B$89*J81</x:f>
        <x:v>0</x:v>
      </x:c>
      <x:c r="K89" s="117" t="n">
        <x:f>$B$89*K81</x:f>
        <x:v>0</x:v>
      </x:c>
      <x:c r="L89" s="117" t="n">
        <x:f>$B$89*L81</x:f>
        <x:v>0</x:v>
      </x:c>
      <x:c r="M89" s="117" t="n">
        <x:f>$B$89*M81</x:f>
        <x:v>0</x:v>
      </x:c>
      <x:c r="N89" s="117" t="n">
        <x:f>$B$89*N81</x:f>
        <x:v>0</x:v>
      </x:c>
      <x:c r="O89" s="117" t="n">
        <x:f>$B$89*O81</x:f>
        <x:v>0</x:v>
      </x:c>
      <x:c r="P89" s="117" t="n">
        <x:f>$B$89*P81</x:f>
        <x:v>0</x:v>
      </x:c>
      <x:c r="Q89" s="117" t="n">
        <x:f>$B$89*Q81</x:f>
        <x:v>0</x:v>
      </x:c>
      <x:c r="R89" s="117" t="n">
        <x:f>$B$89*R81</x:f>
        <x:v>0</x:v>
      </x:c>
      <x:c r="S89" s="117" t="n">
        <x:f>$B$89*S81</x:f>
        <x:v>0</x:v>
      </x:c>
      <x:c r="T89" s="117" t="n">
        <x:f>$B$89*T81</x:f>
        <x:v>0</x:v>
      </x:c>
      <x:c r="U89" s="117" t="n">
        <x:f>$B$89*U81</x:f>
        <x:v>0</x:v>
      </x:c>
      <x:c r="V89" s="117" t="n">
        <x:f>$B$89*V81</x:f>
        <x:v>0</x:v>
      </x:c>
      <x:c r="W89" s="117" t="n">
        <x:f>$B$89*W81</x:f>
        <x:v>0</x:v>
      </x:c>
      <x:c r="X89" s="117" t="n">
        <x:f>$B$89*X81</x:f>
        <x:v>0</x:v>
      </x:c>
      <x:c r="Y89" s="117" t="n">
        <x:f>$B$89*Y81</x:f>
        <x:v>0</x:v>
      </x:c>
      <x:c r="Z89" s="117" t="n">
        <x:f>$B$89*Z81</x:f>
        <x:v>0</x:v>
      </x:c>
      <x:c r="AA89" s="117" t="n">
        <x:f>$B$89*AA81</x:f>
        <x:v>0</x:v>
      </x:c>
      <x:c r="AB89" s="117" t="n">
        <x:f>$B$89*AB81</x:f>
        <x:v>0</x:v>
      </x:c>
      <x:c r="AC89" s="117" t="n">
        <x:f>$B$89*AC81</x:f>
        <x:v>0</x:v>
      </x:c>
      <x:c r="AD89" s="117" t="n">
        <x:f>$B$89*AD81</x:f>
        <x:v>0</x:v>
      </x:c>
      <x:c r="AE89" s="117" t="n">
        <x:f>$B$89*AE81</x:f>
        <x:v>0</x:v>
      </x:c>
      <x:c r="AF89" s="117" t="n">
        <x:f>$B$89*AF81</x:f>
        <x:v>0</x:v>
      </x:c>
      <x:c r="AG89" s="117" t="n">
        <x:f>$B$89*AG81</x:f>
        <x:v>0</x:v>
      </x:c>
      <x:c r="AH89" s="117" t="n">
        <x:f>$B$89*AH81</x:f>
        <x:v>0</x:v>
      </x:c>
      <x:c r="AI89" s="117" t="n">
        <x:f>$B$89*AI81</x:f>
        <x:v>0</x:v>
      </x:c>
      <x:c r="AJ89" s="117" t="n">
        <x:f>$B$89*AJ81</x:f>
        <x:v>0</x:v>
      </x:c>
      <x:c r="AK89" s="117" t="n">
        <x:f>$B$89*AK81</x:f>
        <x:v>0</x:v>
      </x:c>
      <x:c r="AL89" s="117" t="n">
        <x:f>$B$89*AL81</x:f>
        <x:v>0</x:v>
      </x:c>
      <x:c r="AM89" s="117" t="n">
        <x:f>$B$89*AM81</x:f>
        <x:v>0</x:v>
      </x:c>
      <x:c r="AN89" s="117" t="n">
        <x:f>$B$89*AN81</x:f>
        <x:v>0</x:v>
      </x:c>
      <x:c r="AO89" s="117" t="n">
        <x:f>$B$89*AO81</x:f>
        <x:v>0</x:v>
      </x:c>
      <x:c r="AP89" s="117" t="n">
        <x:f>$B$89*AP81</x:f>
        <x:v>0</x:v>
      </x:c>
      <x:c r="AQ89" s="117" t="n">
        <x:f>$B$89*AQ81</x:f>
        <x:v>0</x:v>
      </x:c>
      <x:c r="AR89" s="117" t="n">
        <x:f>$B$89*AR81</x:f>
        <x:v>0</x:v>
      </x:c>
      <x:c r="AS89" s="117" t="n">
        <x:f>$B$89*AS81</x:f>
        <x:v>0</x:v>
      </x:c>
      <x:c r="AT89" s="117" t="n">
        <x:f>$B$89*AT81</x:f>
        <x:v>0</x:v>
      </x:c>
      <x:c r="AU89" s="117" t="n">
        <x:f>$B$89*AU81</x:f>
        <x:v>0</x:v>
      </x:c>
      <x:c r="AV89" s="117" t="n">
        <x:f>$B$89*AV81</x:f>
        <x:v>0</x:v>
      </x:c>
      <x:c r="AW89" s="117" t="n">
        <x:f>$B$89*AW81</x:f>
        <x:v>0</x:v>
      </x:c>
      <x:c r="AX89" s="117" t="n">
        <x:f>$B$89*AX81</x:f>
        <x:v>0</x:v>
      </x:c>
      <x:c r="AY89" s="117" t="n">
        <x:f>$B$89*AY81</x:f>
        <x:v>0</x:v>
      </x:c>
      <x:c r="AZ89" s="117" t="n">
        <x:f>$B$89*AZ81</x:f>
        <x:v>0</x:v>
      </x:c>
      <x:c r="BA89" s="117" t="n">
        <x:f>$B$89*BA81</x:f>
        <x:v>0</x:v>
      </x:c>
      <x:c r="BB89" s="117" t="n">
        <x:f>$B$89*BB81</x:f>
        <x:v>0</x:v>
      </x:c>
      <x:c r="BC89" s="117" t="n">
        <x:f>$B$89*BC81</x:f>
        <x:v>0</x:v>
      </x:c>
      <x:c r="BD89" s="117" t="n">
        <x:f>$B$89*BD81</x:f>
        <x:v>0</x:v>
      </x:c>
      <x:c r="BE89" s="117" t="n">
        <x:f>$B$89*BE81</x:f>
        <x:v>0</x:v>
      </x:c>
      <x:c r="BF89" s="117" t="n">
        <x:f>$B$89*BF81</x:f>
        <x:v>0</x:v>
      </x:c>
      <x:c r="BG89" s="117" t="n">
        <x:f>$B$89*BG81</x:f>
        <x:v>0</x:v>
      </x:c>
      <x:c r="BH89" s="117" t="n">
        <x:f>$B$89*BH81</x:f>
        <x:v>0</x:v>
      </x:c>
      <x:c r="BI89" s="117" t="n">
        <x:f>$B$89*BI81</x:f>
        <x:v>0</x:v>
      </x:c>
      <x:c r="BJ89" s="117" t="n">
        <x:f>$B$89*BJ81</x:f>
        <x:v>0</x:v>
      </x:c>
      <x:c r="BK89" s="117" t="n">
        <x:f>$B$89*BK81</x:f>
        <x:v>0</x:v>
      </x:c>
      <x:c r="BL89" s="117" t="n">
        <x:f>$B$89*BL81</x:f>
        <x:v>0</x:v>
      </x:c>
      <x:c r="BM89" s="117" t="n">
        <x:f>$B$89*BM81</x:f>
        <x:v>0</x:v>
      </x:c>
      <x:c r="BN89" s="117" t="n">
        <x:f>$B$89*BN81</x:f>
        <x:v>0</x:v>
      </x:c>
      <x:c r="BO89" s="117" t="n">
        <x:f>$B$89*BO81</x:f>
        <x:v>0</x:v>
      </x:c>
      <x:c r="BP89" s="117" t="n">
        <x:f>$B$89*BP81</x:f>
        <x:v>0</x:v>
      </x:c>
      <x:c r="BQ89" s="117" t="n">
        <x:f>$B$89*BQ81</x:f>
        <x:v>0</x:v>
      </x:c>
      <x:c r="BR89" s="117" t="n">
        <x:f>$B$89*BR81</x:f>
        <x:v>0</x:v>
      </x:c>
      <x:c r="BS89" s="117" t="n">
        <x:f>$B$89*BS81</x:f>
        <x:v>0</x:v>
      </x:c>
      <x:c r="BT89" s="117" t="n">
        <x:f>$B$89*BT81</x:f>
        <x:v>0</x:v>
      </x:c>
      <x:c r="BU89" s="117" t="n">
        <x:f>$B$89*BU81</x:f>
        <x:v>0</x:v>
      </x:c>
      <x:c r="BV89" s="117" t="n">
        <x:f>$B$89*BV81</x:f>
        <x:v>0</x:v>
      </x:c>
      <x:c r="BW89" s="117" t="n">
        <x:f>$B$89*BW81</x:f>
        <x:v>0</x:v>
      </x:c>
      <x:c r="BX89" s="117" t="n">
        <x:f>$B$89*BX81</x:f>
        <x:v>0</x:v>
      </x:c>
      <x:c r="BY89" s="117" t="n">
        <x:f>$B$89*BY81</x:f>
        <x:v>0</x:v>
      </x:c>
      <x:c r="BZ89" s="117" t="n">
        <x:f>$B$89*BZ81</x:f>
        <x:v>0</x:v>
      </x:c>
      <x:c r="CA89" s="117" t="n">
        <x:f>$B$89*CA81</x:f>
        <x:v>0</x:v>
      </x:c>
      <x:c r="CB89" s="117" t="n">
        <x:f>$B$89*CB81</x:f>
        <x:v>0</x:v>
      </x:c>
      <x:c r="CC89" s="117" t="n">
        <x:f>$B$89*CC81</x:f>
        <x:v>0</x:v>
      </x:c>
      <x:c r="CD89" s="117" t="n">
        <x:f>$B$89*CD81</x:f>
        <x:v>0</x:v>
      </x:c>
      <x:c r="CE89" s="117" t="n">
        <x:f>$B$89*CE81</x:f>
        <x:v>0</x:v>
      </x:c>
      <x:c r="CF89" s="117" t="n">
        <x:f>$B$89*CF81</x:f>
        <x:v>0</x:v>
      </x:c>
      <x:c r="CG89" s="117" t="n">
        <x:f>$B$89*CG81</x:f>
        <x:v>0</x:v>
      </x:c>
      <x:c r="CH89" s="117" t="n">
        <x:f>$B$89*CH81</x:f>
        <x:v>0</x:v>
      </x:c>
      <x:c r="CI89" s="117" t="n">
        <x:f>$B$89*CI81</x:f>
        <x:v>0</x:v>
      </x:c>
      <x:c r="CJ89" s="117" t="n">
        <x:f>$B$89*CJ81</x:f>
        <x:v>0</x:v>
      </x:c>
      <x:c r="CK89" s="117" t="n">
        <x:f>$B$89*CK81</x:f>
        <x:v>0</x:v>
      </x:c>
      <x:c r="CL89" s="117" t="n">
        <x:f>$B$89*CL81</x:f>
        <x:v>0</x:v>
      </x:c>
      <x:c r="CM89" s="117" t="n">
        <x:f>$B$89*CM81</x:f>
        <x:v>0</x:v>
      </x:c>
      <x:c r="CN89" s="117" t="n">
        <x:f>$B$89*CN81</x:f>
        <x:v>0</x:v>
      </x:c>
      <x:c r="CO89" s="117" t="n">
        <x:f>$B$89*CO81</x:f>
        <x:v>0</x:v>
      </x:c>
      <x:c r="CP89" s="117" t="n">
        <x:f>$B$89*CP81</x:f>
        <x:v>0</x:v>
      </x:c>
      <x:c r="CQ89" s="117" t="n">
        <x:f>$B$89*CQ81</x:f>
        <x:v>0</x:v>
      </x:c>
      <x:c r="CR89" s="117" t="n">
        <x:f>$B$89*CR81</x:f>
        <x:v>0</x:v>
      </x:c>
      <x:c r="CS89" s="117" t="n">
        <x:f>$B$89*CS81</x:f>
        <x:v>0</x:v>
      </x:c>
      <x:c r="CT89" s="117" t="n">
        <x:f>$B$89*CT81</x:f>
        <x:v>0</x:v>
      </x:c>
      <x:c r="CU89" s="117" t="n">
        <x:f>$B$89*CU81</x:f>
        <x:v>0</x:v>
      </x:c>
      <x:c r="CV89" s="117" t="n">
        <x:f>$B$89*CV81</x:f>
        <x:v>0</x:v>
      </x:c>
      <x:c r="CW89" s="117" t="n">
        <x:f>$B$89*CW81</x:f>
        <x:v>0</x:v>
      </x:c>
      <x:c r="CX89" s="117" t="n">
        <x:f>$B$89*CX81</x:f>
        <x:v>0</x:v>
      </x:c>
      <x:c r="CY89" s="117" t="n">
        <x:f>$B$89*CY81</x:f>
        <x:v>0</x:v>
      </x:c>
      <x:c r="CZ89" s="117" t="n">
        <x:f>$B$89*CZ81</x:f>
        <x:v>0</x:v>
      </x:c>
      <x:c r="DA89" s="117" t="n">
        <x:f>$B$89*DA81</x:f>
        <x:v>0</x:v>
      </x:c>
      <x:c r="DB89" s="117" t="n">
        <x:f>$B$89*DB81</x:f>
        <x:v>0</x:v>
      </x:c>
      <x:c r="DC89" s="117" t="n">
        <x:f>$B$89*DC81</x:f>
        <x:v>0</x:v>
      </x:c>
      <x:c r="DD89" s="117" t="n">
        <x:f>$B$89*DD81</x:f>
        <x:v>0</x:v>
      </x:c>
      <x:c r="DE89" s="117" t="n">
        <x:f>$B$89*DE81</x:f>
        <x:v>0</x:v>
      </x:c>
      <x:c r="DF89" s="117" t="n">
        <x:f>$B$89*DF81</x:f>
        <x:v>0</x:v>
      </x:c>
      <x:c r="DG89" s="117" t="n">
        <x:f>$B$89*DG81</x:f>
        <x:v>0</x:v>
      </x:c>
      <x:c r="DH89" s="117" t="n">
        <x:f>$B$89*DH81</x:f>
        <x:v>0</x:v>
      </x:c>
      <x:c r="DI89" s="117" t="n">
        <x:f>$B$89*DI81</x:f>
        <x:v>0</x:v>
      </x:c>
      <x:c r="DJ89" s="117" t="n">
        <x:f>$B$89*DJ81</x:f>
        <x:v>0</x:v>
      </x:c>
      <x:c r="DK89" s="117" t="n">
        <x:f>$B$89*DK81</x:f>
        <x:v>0</x:v>
      </x:c>
      <x:c r="DL89" s="117" t="n">
        <x:f>$B$89*DL81</x:f>
        <x:v>0</x:v>
      </x:c>
      <x:c r="DM89" s="117" t="n">
        <x:f>$B$89*DM81</x:f>
        <x:v>0</x:v>
      </x:c>
      <x:c r="DN89" s="117" t="n">
        <x:f>$B$89*DN81</x:f>
        <x:v>0</x:v>
      </x:c>
      <x:c r="DO89" s="117" t="n">
        <x:f>$B$89*DO81</x:f>
        <x:v>0</x:v>
      </x:c>
      <x:c r="DP89" s="117" t="n">
        <x:f>$B$89*DP81</x:f>
        <x:v>0</x:v>
      </x:c>
      <x:c r="DQ89" s="117" t="n">
        <x:f>$B$89*DQ81</x:f>
        <x:v>0</x:v>
      </x:c>
      <x:c r="DR89" s="117" t="n">
        <x:f>$B$89*DR81</x:f>
        <x:v>0</x:v>
      </x:c>
      <x:c r="DS89" s="117" t="n">
        <x:f>$B$89*DS81</x:f>
        <x:v>0</x:v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  <x:v>0</x:v>
      </x:c>
      <x:c r="C90" t="str">
        <x:v>млн ₽</x:v>
      </x:c>
      <x:c r="D90" s="117" t="n">
        <x:f>$B$90*D81</x:f>
        <x:v>0</x:v>
      </x:c>
      <x:c r="E90" s="117" t="n">
        <x:f>$B$90*E81</x:f>
        <x:v>0</x:v>
      </x:c>
      <x:c r="F90" s="117" t="n">
        <x:f>$B$90*F81</x:f>
        <x:v>0</x:v>
      </x:c>
      <x:c r="G90" s="117" t="n">
        <x:f>$B$90*G81</x:f>
        <x:v>0</x:v>
      </x:c>
      <x:c r="H90" s="117" t="n">
        <x:f>$B$90*H81</x:f>
        <x:v>0</x:v>
      </x:c>
      <x:c r="I90" s="117" t="n">
        <x:f>$B$90*I81</x:f>
        <x:v>0</x:v>
      </x:c>
      <x:c r="J90" s="117" t="n">
        <x:f>$B$90*J81</x:f>
        <x:v>0</x:v>
      </x:c>
      <x:c r="K90" s="117" t="n">
        <x:f>$B$90*K81</x:f>
        <x:v>0</x:v>
      </x:c>
      <x:c r="L90" s="117" t="n">
        <x:f>$B$90*L81</x:f>
        <x:v>0</x:v>
      </x:c>
      <x:c r="M90" s="117" t="n">
        <x:f>$B$90*M81</x:f>
        <x:v>0</x:v>
      </x:c>
      <x:c r="N90" s="117" t="n">
        <x:f>$B$90*N81</x:f>
        <x:v>0</x:v>
      </x:c>
      <x:c r="O90" s="117" t="n">
        <x:f>$B$90*O81</x:f>
        <x:v>0</x:v>
      </x:c>
      <x:c r="P90" s="117" t="n">
        <x:f>$B$90*P81</x:f>
        <x:v>0</x:v>
      </x:c>
      <x:c r="Q90" s="117" t="n">
        <x:f>$B$90*Q81</x:f>
        <x:v>0</x:v>
      </x:c>
      <x:c r="R90" s="117" t="n">
        <x:f>$B$90*R81</x:f>
        <x:v>0</x:v>
      </x:c>
      <x:c r="S90" s="117" t="n">
        <x:f>$B$90*S81</x:f>
        <x:v>0</x:v>
      </x:c>
      <x:c r="T90" s="117" t="n">
        <x:f>$B$90*T81</x:f>
        <x:v>0</x:v>
      </x:c>
      <x:c r="U90" s="117" t="n">
        <x:f>$B$90*U81</x:f>
        <x:v>0</x:v>
      </x:c>
      <x:c r="V90" s="117" t="n">
        <x:f>$B$90*V81</x:f>
        <x:v>0</x:v>
      </x:c>
      <x:c r="W90" s="117" t="n">
        <x:f>$B$90*W81</x:f>
        <x:v>0</x:v>
      </x:c>
      <x:c r="X90" s="117" t="n">
        <x:f>$B$90*X81</x:f>
        <x:v>0</x:v>
      </x:c>
      <x:c r="Y90" s="117" t="n">
        <x:f>$B$90*Y81</x:f>
        <x:v>0</x:v>
      </x:c>
      <x:c r="Z90" s="117" t="n">
        <x:f>$B$90*Z81</x:f>
        <x:v>0</x:v>
      </x:c>
      <x:c r="AA90" s="117" t="n">
        <x:f>$B$90*AA81</x:f>
        <x:v>0</x:v>
      </x:c>
      <x:c r="AB90" s="117" t="n">
        <x:f>$B$90*AB81</x:f>
        <x:v>0</x:v>
      </x:c>
      <x:c r="AC90" s="117" t="n">
        <x:f>$B$90*AC81</x:f>
        <x:v>0</x:v>
      </x:c>
      <x:c r="AD90" s="117" t="n">
        <x:f>$B$90*AD81</x:f>
        <x:v>0</x:v>
      </x:c>
      <x:c r="AE90" s="117" t="n">
        <x:f>$B$90*AE81</x:f>
        <x:v>0</x:v>
      </x:c>
      <x:c r="AF90" s="117" t="n">
        <x:f>$B$90*AF81</x:f>
        <x:v>0</x:v>
      </x:c>
      <x:c r="AG90" s="117" t="n">
        <x:f>$B$90*AG81</x:f>
        <x:v>0</x:v>
      </x:c>
      <x:c r="AH90" s="117" t="n">
        <x:f>$B$90*AH81</x:f>
        <x:v>0</x:v>
      </x:c>
      <x:c r="AI90" s="117" t="n">
        <x:f>$B$90*AI81</x:f>
        <x:v>0</x:v>
      </x:c>
      <x:c r="AJ90" s="117" t="n">
        <x:f>$B$90*AJ81</x:f>
        <x:v>0</x:v>
      </x:c>
      <x:c r="AK90" s="117" t="n">
        <x:f>$B$90*AK81</x:f>
        <x:v>0</x:v>
      </x:c>
      <x:c r="AL90" s="117" t="n">
        <x:f>$B$90*AL81</x:f>
        <x:v>0</x:v>
      </x:c>
      <x:c r="AM90" s="117" t="n">
        <x:f>$B$90*AM81</x:f>
        <x:v>0</x:v>
      </x:c>
      <x:c r="AN90" s="117" t="n">
        <x:f>$B$90*AN81</x:f>
        <x:v>0</x:v>
      </x:c>
      <x:c r="AO90" s="117" t="n">
        <x:f>$B$90*AO81</x:f>
        <x:v>0</x:v>
      </x:c>
      <x:c r="AP90" s="117" t="n">
        <x:f>$B$90*AP81</x:f>
        <x:v>0</x:v>
      </x:c>
      <x:c r="AQ90" s="117" t="n">
        <x:f>$B$90*AQ81</x:f>
        <x:v>0</x:v>
      </x:c>
      <x:c r="AR90" s="117" t="n">
        <x:f>$B$90*AR81</x:f>
        <x:v>0</x:v>
      </x:c>
      <x:c r="AS90" s="117" t="n">
        <x:f>$B$90*AS81</x:f>
        <x:v>0</x:v>
      </x:c>
      <x:c r="AT90" s="117" t="n">
        <x:f>$B$90*AT81</x:f>
        <x:v>0</x:v>
      </x:c>
      <x:c r="AU90" s="117" t="n">
        <x:f>$B$90*AU81</x:f>
        <x:v>0</x:v>
      </x:c>
      <x:c r="AV90" s="117" t="n">
        <x:f>$B$90*AV81</x:f>
        <x:v>0</x:v>
      </x:c>
      <x:c r="AW90" s="117" t="n">
        <x:f>$B$90*AW81</x:f>
        <x:v>0</x:v>
      </x:c>
      <x:c r="AX90" s="117" t="n">
        <x:f>$B$90*AX81</x:f>
        <x:v>0</x:v>
      </x:c>
      <x:c r="AY90" s="117" t="n">
        <x:f>$B$90*AY81</x:f>
        <x:v>0</x:v>
      </x:c>
      <x:c r="AZ90" s="117" t="n">
        <x:f>$B$90*AZ81</x:f>
        <x:v>0</x:v>
      </x:c>
      <x:c r="BA90" s="117" t="n">
        <x:f>$B$90*BA81</x:f>
        <x:v>0</x:v>
      </x:c>
      <x:c r="BB90" s="117" t="n">
        <x:f>$B$90*BB81</x:f>
        <x:v>0</x:v>
      </x:c>
      <x:c r="BC90" s="117" t="n">
        <x:f>$B$90*BC81</x:f>
        <x:v>0</x:v>
      </x:c>
      <x:c r="BD90" s="117" t="n">
        <x:f>$B$90*BD81</x:f>
        <x:v>0</x:v>
      </x:c>
      <x:c r="BE90" s="117" t="n">
        <x:f>$B$90*BE81</x:f>
        <x:v>0</x:v>
      </x:c>
      <x:c r="BF90" s="117" t="n">
        <x:f>$B$90*BF81</x:f>
        <x:v>0</x:v>
      </x:c>
      <x:c r="BG90" s="117" t="n">
        <x:f>$B$90*BG81</x:f>
        <x:v>0</x:v>
      </x:c>
      <x:c r="BH90" s="117" t="n">
        <x:f>$B$90*BH81</x:f>
        <x:v>0</x:v>
      </x:c>
      <x:c r="BI90" s="117" t="n">
        <x:f>$B$90*BI81</x:f>
        <x:v>0</x:v>
      </x:c>
      <x:c r="BJ90" s="117" t="n">
        <x:f>$B$90*BJ81</x:f>
        <x:v>0</x:v>
      </x:c>
      <x:c r="BK90" s="117" t="n">
        <x:f>$B$90*BK81</x:f>
        <x:v>0</x:v>
      </x:c>
      <x:c r="BL90" s="117" t="n">
        <x:f>$B$90*BL81</x:f>
        <x:v>0</x:v>
      </x:c>
      <x:c r="BM90" s="117" t="n">
        <x:f>$B$90*BM81</x:f>
        <x:v>0</x:v>
      </x:c>
      <x:c r="BN90" s="117" t="n">
        <x:f>$B$90*BN81</x:f>
        <x:v>0</x:v>
      </x:c>
      <x:c r="BO90" s="117" t="n">
        <x:f>$B$90*BO81</x:f>
        <x:v>0</x:v>
      </x:c>
      <x:c r="BP90" s="117" t="n">
        <x:f>$B$90*BP81</x:f>
        <x:v>0</x:v>
      </x:c>
      <x:c r="BQ90" s="117" t="n">
        <x:f>$B$90*BQ81</x:f>
        <x:v>0</x:v>
      </x:c>
      <x:c r="BR90" s="117" t="n">
        <x:f>$B$90*BR81</x:f>
        <x:v>0</x:v>
      </x:c>
      <x:c r="BS90" s="117" t="n">
        <x:f>$B$90*BS81</x:f>
        <x:v>0</x:v>
      </x:c>
      <x:c r="BT90" s="117" t="n">
        <x:f>$B$90*BT81</x:f>
        <x:v>0</x:v>
      </x:c>
      <x:c r="BU90" s="117" t="n">
        <x:f>$B$90*BU81</x:f>
        <x:v>0</x:v>
      </x:c>
      <x:c r="BV90" s="117" t="n">
        <x:f>$B$90*BV81</x:f>
        <x:v>0</x:v>
      </x:c>
      <x:c r="BW90" s="117" t="n">
        <x:f>$B$90*BW81</x:f>
        <x:v>0</x:v>
      </x:c>
      <x:c r="BX90" s="117" t="n">
        <x:f>$B$90*BX81</x:f>
        <x:v>0</x:v>
      </x:c>
      <x:c r="BY90" s="117" t="n">
        <x:f>$B$90*BY81</x:f>
        <x:v>0</x:v>
      </x:c>
      <x:c r="BZ90" s="117" t="n">
        <x:f>$B$90*BZ81</x:f>
        <x:v>0</x:v>
      </x:c>
      <x:c r="CA90" s="117" t="n">
        <x:f>$B$90*CA81</x:f>
        <x:v>0</x:v>
      </x:c>
      <x:c r="CB90" s="117" t="n">
        <x:f>$B$90*CB81</x:f>
        <x:v>0</x:v>
      </x:c>
      <x:c r="CC90" s="117" t="n">
        <x:f>$B$90*CC81</x:f>
        <x:v>0</x:v>
      </x:c>
      <x:c r="CD90" s="117" t="n">
        <x:f>$B$90*CD81</x:f>
        <x:v>0</x:v>
      </x:c>
      <x:c r="CE90" s="117" t="n">
        <x:f>$B$90*CE81</x:f>
        <x:v>0</x:v>
      </x:c>
      <x:c r="CF90" s="117" t="n">
        <x:f>$B$90*CF81</x:f>
        <x:v>0</x:v>
      </x:c>
      <x:c r="CG90" s="117" t="n">
        <x:f>$B$90*CG81</x:f>
        <x:v>0</x:v>
      </x:c>
      <x:c r="CH90" s="117" t="n">
        <x:f>$B$90*CH81</x:f>
        <x:v>0</x:v>
      </x:c>
      <x:c r="CI90" s="117" t="n">
        <x:f>$B$90*CI81</x:f>
        <x:v>0</x:v>
      </x:c>
      <x:c r="CJ90" s="117" t="n">
        <x:f>$B$90*CJ81</x:f>
        <x:v>0</x:v>
      </x:c>
      <x:c r="CK90" s="117" t="n">
        <x:f>$B$90*CK81</x:f>
        <x:v>0</x:v>
      </x:c>
      <x:c r="CL90" s="117" t="n">
        <x:f>$B$90*CL81</x:f>
        <x:v>0</x:v>
      </x:c>
      <x:c r="CM90" s="117" t="n">
        <x:f>$B$90*CM81</x:f>
        <x:v>0</x:v>
      </x:c>
      <x:c r="CN90" s="117" t="n">
        <x:f>$B$90*CN81</x:f>
        <x:v>0</x:v>
      </x:c>
      <x:c r="CO90" s="117" t="n">
        <x:f>$B$90*CO81</x:f>
        <x:v>0</x:v>
      </x:c>
      <x:c r="CP90" s="117" t="n">
        <x:f>$B$90*CP81</x:f>
        <x:v>0</x:v>
      </x:c>
      <x:c r="CQ90" s="117" t="n">
        <x:f>$B$90*CQ81</x:f>
        <x:v>0</x:v>
      </x:c>
      <x:c r="CR90" s="117" t="n">
        <x:f>$B$90*CR81</x:f>
        <x:v>0</x:v>
      </x:c>
      <x:c r="CS90" s="117" t="n">
        <x:f>$B$90*CS81</x:f>
        <x:v>0</x:v>
      </x:c>
      <x:c r="CT90" s="117" t="n">
        <x:f>$B$90*CT81</x:f>
        <x:v>0</x:v>
      </x:c>
      <x:c r="CU90" s="117" t="n">
        <x:f>$B$90*CU81</x:f>
        <x:v>0</x:v>
      </x:c>
      <x:c r="CV90" s="117" t="n">
        <x:f>$B$90*CV81</x:f>
        <x:v>0</x:v>
      </x:c>
      <x:c r="CW90" s="117" t="n">
        <x:f>$B$90*CW81</x:f>
        <x:v>0</x:v>
      </x:c>
      <x:c r="CX90" s="117" t="n">
        <x:f>$B$90*CX81</x:f>
        <x:v>0</x:v>
      </x:c>
      <x:c r="CY90" s="117" t="n">
        <x:f>$B$90*CY81</x:f>
        <x:v>0</x:v>
      </x:c>
      <x:c r="CZ90" s="117" t="n">
        <x:f>$B$90*CZ81</x:f>
        <x:v>0</x:v>
      </x:c>
      <x:c r="DA90" s="117" t="n">
        <x:f>$B$90*DA81</x:f>
        <x:v>0</x:v>
      </x:c>
      <x:c r="DB90" s="117" t="n">
        <x:f>$B$90*DB81</x:f>
        <x:v>0</x:v>
      </x:c>
      <x:c r="DC90" s="117" t="n">
        <x:f>$B$90*DC81</x:f>
        <x:v>0</x:v>
      </x:c>
      <x:c r="DD90" s="117" t="n">
        <x:f>$B$90*DD81</x:f>
        <x:v>0</x:v>
      </x:c>
      <x:c r="DE90" s="117" t="n">
        <x:f>$B$90*DE81</x:f>
        <x:v>0</x:v>
      </x:c>
      <x:c r="DF90" s="117" t="n">
        <x:f>$B$90*DF81</x:f>
        <x:v>0</x:v>
      </x:c>
      <x:c r="DG90" s="117" t="n">
        <x:f>$B$90*DG81</x:f>
        <x:v>0</x:v>
      </x:c>
      <x:c r="DH90" s="117" t="n">
        <x:f>$B$90*DH81</x:f>
        <x:v>0</x:v>
      </x:c>
      <x:c r="DI90" s="117" t="n">
        <x:f>$B$90*DI81</x:f>
        <x:v>0</x:v>
      </x:c>
      <x:c r="DJ90" s="117" t="n">
        <x:f>$B$90*DJ81</x:f>
        <x:v>0</x:v>
      </x:c>
      <x:c r="DK90" s="117" t="n">
        <x:f>$B$90*DK81</x:f>
        <x:v>0</x:v>
      </x:c>
      <x:c r="DL90" s="117" t="n">
        <x:f>$B$90*DL81</x:f>
        <x:v>0</x:v>
      </x:c>
      <x:c r="DM90" s="117" t="n">
        <x:f>$B$90*DM81</x:f>
        <x:v>0</x:v>
      </x:c>
      <x:c r="DN90" s="117" t="n">
        <x:f>$B$90*DN81</x:f>
        <x:v>0</x:v>
      </x:c>
      <x:c r="DO90" s="117" t="n">
        <x:f>$B$90*DO81</x:f>
        <x:v>0</x:v>
      </x:c>
      <x:c r="DP90" s="117" t="n">
        <x:f>$B$90*DP81</x:f>
        <x:v>0</x:v>
      </x:c>
      <x:c r="DQ90" s="117" t="n">
        <x:f>$B$90*DQ81</x:f>
        <x:v>0</x:v>
      </x:c>
      <x:c r="DR90" s="117" t="n">
        <x:f>$B$90*DR81</x:f>
        <x:v>0</x:v>
      </x:c>
      <x:c r="DS90" s="117" t="n">
        <x:f>$B$90*DS81</x:f>
        <x:v>0</x:v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  <x:v>0</x:v>
      </x:c>
      <x:c r="C91" t="str">
        <x:v>млн ₽</x:v>
      </x:c>
      <x:c r="D91" s="117" t="n">
        <x:f>$B$91*D81</x:f>
        <x:v>0</x:v>
      </x:c>
      <x:c r="E91" s="117" t="n">
        <x:f>$B$91*E81</x:f>
        <x:v>0</x:v>
      </x:c>
      <x:c r="F91" s="117" t="n">
        <x:f>$B$91*F81</x:f>
        <x:v>0</x:v>
      </x:c>
      <x:c r="G91" s="117" t="n">
        <x:f>$B$91*G81</x:f>
        <x:v>0</x:v>
      </x:c>
      <x:c r="H91" s="117" t="n">
        <x:f>$B$91*H81</x:f>
        <x:v>0</x:v>
      </x:c>
      <x:c r="I91" s="117" t="n">
        <x:f>$B$91*I81</x:f>
        <x:v>0</x:v>
      </x:c>
      <x:c r="J91" s="117" t="n">
        <x:f>$B$91*J81</x:f>
        <x:v>0</x:v>
      </x:c>
      <x:c r="K91" s="117" t="n">
        <x:f>$B$91*K81</x:f>
        <x:v>0</x:v>
      </x:c>
      <x:c r="L91" s="117" t="n">
        <x:f>$B$91*L81</x:f>
        <x:v>0</x:v>
      </x:c>
      <x:c r="M91" s="117" t="n">
        <x:f>$B$91*M81</x:f>
        <x:v>0</x:v>
      </x:c>
      <x:c r="N91" s="117" t="n">
        <x:f>$B$91*N81</x:f>
        <x:v>0</x:v>
      </x:c>
      <x:c r="O91" s="117" t="n">
        <x:f>$B$91*O81</x:f>
        <x:v>0</x:v>
      </x:c>
      <x:c r="P91" s="117" t="n">
        <x:f>$B$91*P81</x:f>
        <x:v>0</x:v>
      </x:c>
      <x:c r="Q91" s="117" t="n">
        <x:f>$B$91*Q81</x:f>
        <x:v>0</x:v>
      </x:c>
      <x:c r="R91" s="117" t="n">
        <x:f>$B$91*R81</x:f>
        <x:v>0</x:v>
      </x:c>
      <x:c r="S91" s="117" t="n">
        <x:f>$B$91*S81</x:f>
        <x:v>0</x:v>
      </x:c>
      <x:c r="T91" s="117" t="n">
        <x:f>$B$91*T81</x:f>
        <x:v>0</x:v>
      </x:c>
      <x:c r="U91" s="117" t="n">
        <x:f>$B$91*U81</x:f>
        <x:v>0</x:v>
      </x:c>
      <x:c r="V91" s="117" t="n">
        <x:f>$B$91*V81</x:f>
        <x:v>0</x:v>
      </x:c>
      <x:c r="W91" s="117" t="n">
        <x:f>$B$91*W81</x:f>
        <x:v>0</x:v>
      </x:c>
      <x:c r="X91" s="117" t="n">
        <x:f>$B$91*X81</x:f>
        <x:v>0</x:v>
      </x:c>
      <x:c r="Y91" s="117" t="n">
        <x:f>$B$91*Y81</x:f>
        <x:v>0</x:v>
      </x:c>
      <x:c r="Z91" s="117" t="n">
        <x:f>$B$91*Z81</x:f>
        <x:v>0</x:v>
      </x:c>
      <x:c r="AA91" s="117" t="n">
        <x:f>$B$91*AA81</x:f>
        <x:v>0</x:v>
      </x:c>
      <x:c r="AB91" s="117" t="n">
        <x:f>$B$91*AB81</x:f>
        <x:v>0</x:v>
      </x:c>
      <x:c r="AC91" s="117" t="n">
        <x:f>$B$91*AC81</x:f>
        <x:v>0</x:v>
      </x:c>
      <x:c r="AD91" s="117" t="n">
        <x:f>$B$91*AD81</x:f>
        <x:v>0</x:v>
      </x:c>
      <x:c r="AE91" s="117" t="n">
        <x:f>$B$91*AE81</x:f>
        <x:v>0</x:v>
      </x:c>
      <x:c r="AF91" s="117" t="n">
        <x:f>$B$91*AF81</x:f>
        <x:v>0</x:v>
      </x:c>
      <x:c r="AG91" s="117" t="n">
        <x:f>$B$91*AG81</x:f>
        <x:v>0</x:v>
      </x:c>
      <x:c r="AH91" s="117" t="n">
        <x:f>$B$91*AH81</x:f>
        <x:v>0</x:v>
      </x:c>
      <x:c r="AI91" s="117" t="n">
        <x:f>$B$91*AI81</x:f>
        <x:v>0</x:v>
      </x:c>
      <x:c r="AJ91" s="117" t="n">
        <x:f>$B$91*AJ81</x:f>
        <x:v>0</x:v>
      </x:c>
      <x:c r="AK91" s="117" t="n">
        <x:f>$B$91*AK81</x:f>
        <x:v>0</x:v>
      </x:c>
      <x:c r="AL91" s="117" t="n">
        <x:f>$B$91*AL81</x:f>
        <x:v>0</x:v>
      </x:c>
      <x:c r="AM91" s="117" t="n">
        <x:f>$B$91*AM81</x:f>
        <x:v>0</x:v>
      </x:c>
      <x:c r="AN91" s="117" t="n">
        <x:f>$B$91*AN81</x:f>
        <x:v>0</x:v>
      </x:c>
      <x:c r="AO91" s="117" t="n">
        <x:f>$B$91*AO81</x:f>
        <x:v>0</x:v>
      </x:c>
      <x:c r="AP91" s="117" t="n">
        <x:f>$B$91*AP81</x:f>
        <x:v>0</x:v>
      </x:c>
      <x:c r="AQ91" s="117" t="n">
        <x:f>$B$91*AQ81</x:f>
        <x:v>0</x:v>
      </x:c>
      <x:c r="AR91" s="117" t="n">
        <x:f>$B$91*AR81</x:f>
        <x:v>0</x:v>
      </x:c>
      <x:c r="AS91" s="117" t="n">
        <x:f>$B$91*AS81</x:f>
        <x:v>0</x:v>
      </x:c>
      <x:c r="AT91" s="117" t="n">
        <x:f>$B$91*AT81</x:f>
        <x:v>0</x:v>
      </x:c>
      <x:c r="AU91" s="117" t="n">
        <x:f>$B$91*AU81</x:f>
        <x:v>0</x:v>
      </x:c>
      <x:c r="AV91" s="117" t="n">
        <x:f>$B$91*AV81</x:f>
        <x:v>0</x:v>
      </x:c>
      <x:c r="AW91" s="117" t="n">
        <x:f>$B$91*AW81</x:f>
        <x:v>0</x:v>
      </x:c>
      <x:c r="AX91" s="117" t="n">
        <x:f>$B$91*AX81</x:f>
        <x:v>0</x:v>
      </x:c>
      <x:c r="AY91" s="117" t="n">
        <x:f>$B$91*AY81</x:f>
        <x:v>0</x:v>
      </x:c>
      <x:c r="AZ91" s="117" t="n">
        <x:f>$B$91*AZ81</x:f>
        <x:v>0</x:v>
      </x:c>
      <x:c r="BA91" s="117" t="n">
        <x:f>$B$91*BA81</x:f>
        <x:v>0</x:v>
      </x:c>
      <x:c r="BB91" s="117" t="n">
        <x:f>$B$91*BB81</x:f>
        <x:v>0</x:v>
      </x:c>
      <x:c r="BC91" s="117" t="n">
        <x:f>$B$91*BC81</x:f>
        <x:v>0</x:v>
      </x:c>
      <x:c r="BD91" s="117" t="n">
        <x:f>$B$91*BD81</x:f>
        <x:v>0</x:v>
      </x:c>
      <x:c r="BE91" s="117" t="n">
        <x:f>$B$91*BE81</x:f>
        <x:v>0</x:v>
      </x:c>
      <x:c r="BF91" s="117" t="n">
        <x:f>$B$91*BF81</x:f>
        <x:v>0</x:v>
      </x:c>
      <x:c r="BG91" s="117" t="n">
        <x:f>$B$91*BG81</x:f>
        <x:v>0</x:v>
      </x:c>
      <x:c r="BH91" s="117" t="n">
        <x:f>$B$91*BH81</x:f>
        <x:v>0</x:v>
      </x:c>
      <x:c r="BI91" s="117" t="n">
        <x:f>$B$91*BI81</x:f>
        <x:v>0</x:v>
      </x:c>
      <x:c r="BJ91" s="117" t="n">
        <x:f>$B$91*BJ81</x:f>
        <x:v>0</x:v>
      </x:c>
      <x:c r="BK91" s="117" t="n">
        <x:f>$B$91*BK81</x:f>
        <x:v>0</x:v>
      </x:c>
      <x:c r="BL91" s="117" t="n">
        <x:f>$B$91*BL81</x:f>
        <x:v>0</x:v>
      </x:c>
      <x:c r="BM91" s="117" t="n">
        <x:f>$B$91*BM81</x:f>
        <x:v>0</x:v>
      </x:c>
      <x:c r="BN91" s="117" t="n">
        <x:f>$B$91*BN81</x:f>
        <x:v>0</x:v>
      </x:c>
      <x:c r="BO91" s="117" t="n">
        <x:f>$B$91*BO81</x:f>
        <x:v>0</x:v>
      </x:c>
      <x:c r="BP91" s="117" t="n">
        <x:f>$B$91*BP81</x:f>
        <x:v>0</x:v>
      </x:c>
      <x:c r="BQ91" s="117" t="n">
        <x:f>$B$91*BQ81</x:f>
        <x:v>0</x:v>
      </x:c>
      <x:c r="BR91" s="117" t="n">
        <x:f>$B$91*BR81</x:f>
        <x:v>0</x:v>
      </x:c>
      <x:c r="BS91" s="117" t="n">
        <x:f>$B$91*BS81</x:f>
        <x:v>0</x:v>
      </x:c>
      <x:c r="BT91" s="117" t="n">
        <x:f>$B$91*BT81</x:f>
        <x:v>0</x:v>
      </x:c>
      <x:c r="BU91" s="117" t="n">
        <x:f>$B$91*BU81</x:f>
        <x:v>0</x:v>
      </x:c>
      <x:c r="BV91" s="117" t="n">
        <x:f>$B$91*BV81</x:f>
        <x:v>0</x:v>
      </x:c>
      <x:c r="BW91" s="117" t="n">
        <x:f>$B$91*BW81</x:f>
        <x:v>0</x:v>
      </x:c>
      <x:c r="BX91" s="117" t="n">
        <x:f>$B$91*BX81</x:f>
        <x:v>0</x:v>
      </x:c>
      <x:c r="BY91" s="117" t="n">
        <x:f>$B$91*BY81</x:f>
        <x:v>0</x:v>
      </x:c>
      <x:c r="BZ91" s="117" t="n">
        <x:f>$B$91*BZ81</x:f>
        <x:v>0</x:v>
      </x:c>
      <x:c r="CA91" s="117" t="n">
        <x:f>$B$91*CA81</x:f>
        <x:v>0</x:v>
      </x:c>
      <x:c r="CB91" s="117" t="n">
        <x:f>$B$91*CB81</x:f>
        <x:v>0</x:v>
      </x:c>
      <x:c r="CC91" s="117" t="n">
        <x:f>$B$91*CC81</x:f>
        <x:v>0</x:v>
      </x:c>
      <x:c r="CD91" s="117" t="n">
        <x:f>$B$91*CD81</x:f>
        <x:v>0</x:v>
      </x:c>
      <x:c r="CE91" s="117" t="n">
        <x:f>$B$91*CE81</x:f>
        <x:v>0</x:v>
      </x:c>
      <x:c r="CF91" s="117" t="n">
        <x:f>$B$91*CF81</x:f>
        <x:v>0</x:v>
      </x:c>
      <x:c r="CG91" s="117" t="n">
        <x:f>$B$91*CG81</x:f>
        <x:v>0</x:v>
      </x:c>
      <x:c r="CH91" s="117" t="n">
        <x:f>$B$91*CH81</x:f>
        <x:v>0</x:v>
      </x:c>
      <x:c r="CI91" s="117" t="n">
        <x:f>$B$91*CI81</x:f>
        <x:v>0</x:v>
      </x:c>
      <x:c r="CJ91" s="117" t="n">
        <x:f>$B$91*CJ81</x:f>
        <x:v>0</x:v>
      </x:c>
      <x:c r="CK91" s="117" t="n">
        <x:f>$B$91*CK81</x:f>
        <x:v>0</x:v>
      </x:c>
      <x:c r="CL91" s="117" t="n">
        <x:f>$B$91*CL81</x:f>
        <x:v>0</x:v>
      </x:c>
      <x:c r="CM91" s="117" t="n">
        <x:f>$B$91*CM81</x:f>
        <x:v>0</x:v>
      </x:c>
      <x:c r="CN91" s="117" t="n">
        <x:f>$B$91*CN81</x:f>
        <x:v>0</x:v>
      </x:c>
      <x:c r="CO91" s="117" t="n">
        <x:f>$B$91*CO81</x:f>
        <x:v>0</x:v>
      </x:c>
      <x:c r="CP91" s="117" t="n">
        <x:f>$B$91*CP81</x:f>
        <x:v>0</x:v>
      </x:c>
      <x:c r="CQ91" s="117" t="n">
        <x:f>$B$91*CQ81</x:f>
        <x:v>0</x:v>
      </x:c>
      <x:c r="CR91" s="117" t="n">
        <x:f>$B$91*CR81</x:f>
        <x:v>0</x:v>
      </x:c>
      <x:c r="CS91" s="117" t="n">
        <x:f>$B$91*CS81</x:f>
        <x:v>0</x:v>
      </x:c>
      <x:c r="CT91" s="117" t="n">
        <x:f>$B$91*CT81</x:f>
        <x:v>0</x:v>
      </x:c>
      <x:c r="CU91" s="117" t="n">
        <x:f>$B$91*CU81</x:f>
        <x:v>0</x:v>
      </x:c>
      <x:c r="CV91" s="117" t="n">
        <x:f>$B$91*CV81</x:f>
        <x:v>0</x:v>
      </x:c>
      <x:c r="CW91" s="117" t="n">
        <x:f>$B$91*CW81</x:f>
        <x:v>0</x:v>
      </x:c>
      <x:c r="CX91" s="117" t="n">
        <x:f>$B$91*CX81</x:f>
        <x:v>0</x:v>
      </x:c>
      <x:c r="CY91" s="117" t="n">
        <x:f>$B$91*CY81</x:f>
        <x:v>0</x:v>
      </x:c>
      <x:c r="CZ91" s="117" t="n">
        <x:f>$B$91*CZ81</x:f>
        <x:v>0</x:v>
      </x:c>
      <x:c r="DA91" s="117" t="n">
        <x:f>$B$91*DA81</x:f>
        <x:v>0</x:v>
      </x:c>
      <x:c r="DB91" s="117" t="n">
        <x:f>$B$91*DB81</x:f>
        <x:v>0</x:v>
      </x:c>
      <x:c r="DC91" s="117" t="n">
        <x:f>$B$91*DC81</x:f>
        <x:v>0</x:v>
      </x:c>
      <x:c r="DD91" s="117" t="n">
        <x:f>$B$91*DD81</x:f>
        <x:v>0</x:v>
      </x:c>
      <x:c r="DE91" s="117" t="n">
        <x:f>$B$91*DE81</x:f>
        <x:v>0</x:v>
      </x:c>
      <x:c r="DF91" s="117" t="n">
        <x:f>$B$91*DF81</x:f>
        <x:v>0</x:v>
      </x:c>
      <x:c r="DG91" s="117" t="n">
        <x:f>$B$91*DG81</x:f>
        <x:v>0</x:v>
      </x:c>
      <x:c r="DH91" s="117" t="n">
        <x:f>$B$91*DH81</x:f>
        <x:v>0</x:v>
      </x:c>
      <x:c r="DI91" s="117" t="n">
        <x:f>$B$91*DI81</x:f>
        <x:v>0</x:v>
      </x:c>
      <x:c r="DJ91" s="117" t="n">
        <x:f>$B$91*DJ81</x:f>
        <x:v>0</x:v>
      </x:c>
      <x:c r="DK91" s="117" t="n">
        <x:f>$B$91*DK81</x:f>
        <x:v>0</x:v>
      </x:c>
      <x:c r="DL91" s="117" t="n">
        <x:f>$B$91*DL81</x:f>
        <x:v>0</x:v>
      </x:c>
      <x:c r="DM91" s="117" t="n">
        <x:f>$B$91*DM81</x:f>
        <x:v>0</x:v>
      </x:c>
      <x:c r="DN91" s="117" t="n">
        <x:f>$B$91*DN81</x:f>
        <x:v>0</x:v>
      </x:c>
      <x:c r="DO91" s="117" t="n">
        <x:f>$B$91*DO81</x:f>
        <x:v>0</x:v>
      </x:c>
      <x:c r="DP91" s="117" t="n">
        <x:f>$B$91*DP81</x:f>
        <x:v>0</x:v>
      </x:c>
      <x:c r="DQ91" s="117" t="n">
        <x:f>$B$91*DQ81</x:f>
        <x:v>0</x:v>
      </x:c>
      <x:c r="DR91" s="117" t="n">
        <x:f>$B$91*DR81</x:f>
        <x:v>0</x:v>
      </x:c>
      <x:c r="DS91" s="117" t="n">
        <x:f>$B$91*DS81</x:f>
        <x:v>0</x:v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  <x:v>0</x:v>
      </x:c>
      <x:c r="C92" t="str">
        <x:v>млн ₽</x:v>
      </x:c>
      <x:c r="D92" s="117" t="n">
        <x:f>IF(AND(D$3&gt;=EDATE($B$76,-3),D$3&lt;$B$76),$B$92/3,0)</x:f>
        <x:v>0</x:v>
      </x:c>
      <x:c r="E92" s="117" t="n">
        <x:f>IF(AND(E$3&gt;=EDATE($B$76,-3),E$3&lt;$B$76),$B$92/3,0)</x:f>
        <x:v>0</x:v>
      </x:c>
      <x:c r="F92" s="117" t="n">
        <x:f>IF(AND(F$3&gt;=EDATE($B$76,-3),F$3&lt;$B$76),$B$92/3,0)</x:f>
        <x:v>0</x:v>
      </x:c>
      <x:c r="G92" s="117" t="n">
        <x:f>IF(AND(G$3&gt;=EDATE($B$76,-3),G$3&lt;$B$76),$B$92/3,0)</x:f>
        <x:v>0</x:v>
      </x:c>
      <x:c r="H92" s="117" t="n">
        <x:f>IF(AND(H$3&gt;=EDATE($B$76,-3),H$3&lt;$B$76),$B$92/3,0)</x:f>
        <x:v>0</x:v>
      </x:c>
      <x:c r="I92" s="117" t="n">
        <x:f>IF(AND(I$3&gt;=EDATE($B$76,-3),I$3&lt;$B$76),$B$92/3,0)</x:f>
        <x:v>0</x:v>
      </x:c>
      <x:c r="J92" s="117" t="n">
        <x:f>IF(AND(J$3&gt;=EDATE($B$76,-3),J$3&lt;$B$76),$B$92/3,0)</x:f>
        <x:v>0</x:v>
      </x:c>
      <x:c r="K92" s="117" t="n">
        <x:f>IF(AND(K$3&gt;=EDATE($B$76,-3),K$3&lt;$B$76),$B$92/3,0)</x:f>
        <x:v>0</x:v>
      </x:c>
      <x:c r="L92" s="117" t="n">
        <x:f>IF(AND(L$3&gt;=EDATE($B$76,-3),L$3&lt;$B$76),$B$92/3,0)</x:f>
        <x:v>0</x:v>
      </x:c>
      <x:c r="M92" s="117" t="n">
        <x:f>IF(AND(M$3&gt;=EDATE($B$76,-3),M$3&lt;$B$76),$B$92/3,0)</x:f>
        <x:v>0</x:v>
      </x:c>
      <x:c r="N92" s="117" t="n">
        <x:f>IF(AND(N$3&gt;=EDATE($B$76,-3),N$3&lt;$B$76),$B$92/3,0)</x:f>
        <x:v>0</x:v>
      </x:c>
      <x:c r="O92" s="117" t="n">
        <x:f>IF(AND(O$3&gt;=EDATE($B$76,-3),O$3&lt;$B$76),$B$92/3,0)</x:f>
        <x:v>0</x:v>
      </x:c>
      <x:c r="P92" s="117" t="n">
        <x:f>IF(AND(P$3&gt;=EDATE($B$76,-3),P$3&lt;$B$76),$B$92/3,0)</x:f>
        <x:v>0</x:v>
      </x:c>
      <x:c r="Q92" s="117" t="n">
        <x:f>IF(AND(Q$3&gt;=EDATE($B$76,-3),Q$3&lt;$B$76),$B$92/3,0)</x:f>
        <x:v>0</x:v>
      </x:c>
      <x:c r="R92" s="117" t="n">
        <x:f>IF(AND(R$3&gt;=EDATE($B$76,-3),R$3&lt;$B$76),$B$92/3,0)</x:f>
        <x:v>0</x:v>
      </x:c>
      <x:c r="S92" s="117" t="n">
        <x:f>IF(AND(S$3&gt;=EDATE($B$76,-3),S$3&lt;$B$76),$B$92/3,0)</x:f>
        <x:v>0</x:v>
      </x:c>
      <x:c r="T92" s="117" t="n">
        <x:f>IF(AND(T$3&gt;=EDATE($B$76,-3),T$3&lt;$B$76),$B$92/3,0)</x:f>
        <x:v>0</x:v>
      </x:c>
      <x:c r="U92" s="117" t="n">
        <x:f>IF(AND(U$3&gt;=EDATE($B$76,-3),U$3&lt;$B$76),$B$92/3,0)</x:f>
        <x:v>0</x:v>
      </x:c>
      <x:c r="V92" s="117" t="n">
        <x:f>IF(AND(V$3&gt;=EDATE($B$76,-3),V$3&lt;$B$76),$B$92/3,0)</x:f>
        <x:v>0</x:v>
      </x:c>
      <x:c r="W92" s="117" t="n">
        <x:f>IF(AND(W$3&gt;=EDATE($B$76,-3),W$3&lt;$B$76),$B$92/3,0)</x:f>
        <x:v>0</x:v>
      </x:c>
      <x:c r="X92" s="117" t="n">
        <x:f>IF(AND(X$3&gt;=EDATE($B$76,-3),X$3&lt;$B$76),$B$92/3,0)</x:f>
        <x:v>0</x:v>
      </x:c>
      <x:c r="Y92" s="117" t="n">
        <x:f>IF(AND(Y$3&gt;=EDATE($B$76,-3),Y$3&lt;$B$76),$B$92/3,0)</x:f>
        <x:v>0</x:v>
      </x:c>
      <x:c r="Z92" s="117" t="n">
        <x:f>IF(AND(Z$3&gt;=EDATE($B$76,-3),Z$3&lt;$B$76),$B$92/3,0)</x:f>
        <x:v>0</x:v>
      </x:c>
      <x:c r="AA92" s="117" t="n">
        <x:f>IF(AND(AA$3&gt;=EDATE($B$76,-3),AA$3&lt;$B$76),$B$92/3,0)</x:f>
        <x:v>0</x:v>
      </x:c>
      <x:c r="AB92" s="117" t="n">
        <x:f>IF(AND(AB$3&gt;=EDATE($B$76,-3),AB$3&lt;$B$76),$B$92/3,0)</x:f>
        <x:v>0</x:v>
      </x:c>
      <x:c r="AC92" s="117" t="n">
        <x:f>IF(AND(AC$3&gt;=EDATE($B$76,-3),AC$3&lt;$B$76),$B$92/3,0)</x:f>
        <x:v>0</x:v>
      </x:c>
      <x:c r="AD92" s="117" t="n">
        <x:f>IF(AND(AD$3&gt;=EDATE($B$76,-3),AD$3&lt;$B$76),$B$92/3,0)</x:f>
        <x:v>0</x:v>
      </x:c>
      <x:c r="AE92" s="117" t="n">
        <x:f>IF(AND(AE$3&gt;=EDATE($B$76,-3),AE$3&lt;$B$76),$B$92/3,0)</x:f>
        <x:v>0</x:v>
      </x:c>
      <x:c r="AF92" s="117" t="n">
        <x:f>IF(AND(AF$3&gt;=EDATE($B$76,-3),AF$3&lt;$B$76),$B$92/3,0)</x:f>
        <x:v>0</x:v>
      </x:c>
      <x:c r="AG92" s="117" t="n">
        <x:f>IF(AND(AG$3&gt;=EDATE($B$76,-3),AG$3&lt;$B$76),$B$92/3,0)</x:f>
        <x:v>0</x:v>
      </x:c>
      <x:c r="AH92" s="117" t="n">
        <x:f>IF(AND(AH$3&gt;=EDATE($B$76,-3),AH$3&lt;$B$76),$B$92/3,0)</x:f>
        <x:v>0</x:v>
      </x:c>
      <x:c r="AI92" s="117" t="n">
        <x:f>IF(AND(AI$3&gt;=EDATE($B$76,-3),AI$3&lt;$B$76),$B$92/3,0)</x:f>
        <x:v>0</x:v>
      </x:c>
      <x:c r="AJ92" s="117" t="n">
        <x:f>IF(AND(AJ$3&gt;=EDATE($B$76,-3),AJ$3&lt;$B$76),$B$92/3,0)</x:f>
        <x:v>0</x:v>
      </x:c>
      <x:c r="AK92" s="117" t="n">
        <x:f>IF(AND(AK$3&gt;=EDATE($B$76,-3),AK$3&lt;$B$76),$B$92/3,0)</x:f>
        <x:v>0</x:v>
      </x:c>
      <x:c r="AL92" s="117" t="n">
        <x:f>IF(AND(AL$3&gt;=EDATE($B$76,-3),AL$3&lt;$B$76),$B$92/3,0)</x:f>
        <x:v>0</x:v>
      </x:c>
      <x:c r="AM92" s="117" t="n">
        <x:f>IF(AND(AM$3&gt;=EDATE($B$76,-3),AM$3&lt;$B$76),$B$92/3,0)</x:f>
        <x:v>0</x:v>
      </x:c>
      <x:c r="AN92" s="117" t="n">
        <x:f>IF(AND(AN$3&gt;=EDATE($B$76,-3),AN$3&lt;$B$76),$B$92/3,0)</x:f>
        <x:v>0</x:v>
      </x:c>
      <x:c r="AO92" s="117" t="n">
        <x:f>IF(AND(AO$3&gt;=EDATE($B$76,-3),AO$3&lt;$B$76),$B$92/3,0)</x:f>
        <x:v>0</x:v>
      </x:c>
      <x:c r="AP92" s="117" t="n">
        <x:f>IF(AND(AP$3&gt;=EDATE($B$76,-3),AP$3&lt;$B$76),$B$92/3,0)</x:f>
        <x:v>0</x:v>
      </x:c>
      <x:c r="AQ92" s="117" t="n">
        <x:f>IF(AND(AQ$3&gt;=EDATE($B$76,-3),AQ$3&lt;$B$76),$B$92/3,0)</x:f>
        <x:v>0</x:v>
      </x:c>
      <x:c r="AR92" s="117" t="n">
        <x:f>IF(AND(AR$3&gt;=EDATE($B$76,-3),AR$3&lt;$B$76),$B$92/3,0)</x:f>
        <x:v>0</x:v>
      </x:c>
      <x:c r="AS92" s="117" t="n">
        <x:f>IF(AND(AS$3&gt;=EDATE($B$76,-3),AS$3&lt;$B$76),$B$92/3,0)</x:f>
        <x:v>0</x:v>
      </x:c>
      <x:c r="AT92" s="117" t="n">
        <x:f>IF(AND(AT$3&gt;=EDATE($B$76,-3),AT$3&lt;$B$76),$B$92/3,0)</x:f>
        <x:v>0</x:v>
      </x:c>
      <x:c r="AU92" s="117" t="n">
        <x:f>IF(AND(AU$3&gt;=EDATE($B$76,-3),AU$3&lt;$B$76),$B$92/3,0)</x:f>
        <x:v>0</x:v>
      </x:c>
      <x:c r="AV92" s="117" t="n">
        <x:f>IF(AND(AV$3&gt;=EDATE($B$76,-3),AV$3&lt;$B$76),$B$92/3,0)</x:f>
        <x:v>0</x:v>
      </x:c>
      <x:c r="AW92" s="117" t="n">
        <x:f>IF(AND(AW$3&gt;=EDATE($B$76,-3),AW$3&lt;$B$76),$B$92/3,0)</x:f>
        <x:v>0</x:v>
      </x:c>
      <x:c r="AX92" s="117" t="n">
        <x:f>IF(AND(AX$3&gt;=EDATE($B$76,-3),AX$3&lt;$B$76),$B$92/3,0)</x:f>
        <x:v>0</x:v>
      </x:c>
      <x:c r="AY92" s="117" t="n">
        <x:f>IF(AND(AY$3&gt;=EDATE($B$76,-3),AY$3&lt;$B$76),$B$92/3,0)</x:f>
        <x:v>0</x:v>
      </x:c>
      <x:c r="AZ92" s="117" t="n">
        <x:f>IF(AND(AZ$3&gt;=EDATE($B$76,-3),AZ$3&lt;$B$76),$B$92/3,0)</x:f>
        <x:v>0</x:v>
      </x:c>
      <x:c r="BA92" s="117" t="n">
        <x:f>IF(AND(BA$3&gt;=EDATE($B$76,-3),BA$3&lt;$B$76),$B$92/3,0)</x:f>
        <x:v>0</x:v>
      </x:c>
      <x:c r="BB92" s="117" t="n">
        <x:f>IF(AND(BB$3&gt;=EDATE($B$76,-3),BB$3&lt;$B$76),$B$92/3,0)</x:f>
        <x:v>0</x:v>
      </x:c>
      <x:c r="BC92" s="117" t="n">
        <x:f>IF(AND(BC$3&gt;=EDATE($B$76,-3),BC$3&lt;$B$76),$B$92/3,0)</x:f>
        <x:v>0</x:v>
      </x:c>
      <x:c r="BD92" s="117" t="n">
        <x:f>IF(AND(BD$3&gt;=EDATE($B$76,-3),BD$3&lt;$B$76),$B$92/3,0)</x:f>
        <x:v>0</x:v>
      </x:c>
      <x:c r="BE92" s="117" t="n">
        <x:f>IF(AND(BE$3&gt;=EDATE($B$76,-3),BE$3&lt;$B$76),$B$92/3,0)</x:f>
        <x:v>0</x:v>
      </x:c>
      <x:c r="BF92" s="117" t="n">
        <x:f>IF(AND(BF$3&gt;=EDATE($B$76,-3),BF$3&lt;$B$76),$B$92/3,0)</x:f>
        <x:v>0</x:v>
      </x:c>
      <x:c r="BG92" s="117" t="n">
        <x:f>IF(AND(BG$3&gt;=EDATE($B$76,-3),BG$3&lt;$B$76),$B$92/3,0)</x:f>
        <x:v>0</x:v>
      </x:c>
      <x:c r="BH92" s="117" t="n">
        <x:f>IF(AND(BH$3&gt;=EDATE($B$76,-3),BH$3&lt;$B$76),$B$92/3,0)</x:f>
        <x:v>0</x:v>
      </x:c>
      <x:c r="BI92" s="117" t="n">
        <x:f>IF(AND(BI$3&gt;=EDATE($B$76,-3),BI$3&lt;$B$76),$B$92/3,0)</x:f>
        <x:v>0</x:v>
      </x:c>
      <x:c r="BJ92" s="117" t="n">
        <x:f>IF(AND(BJ$3&gt;=EDATE($B$76,-3),BJ$3&lt;$B$76),$B$92/3,0)</x:f>
        <x:v>0</x:v>
      </x:c>
      <x:c r="BK92" s="117" t="n">
        <x:f>IF(AND(BK$3&gt;=EDATE($B$76,-3),BK$3&lt;$B$76),$B$92/3,0)</x:f>
        <x:v>0</x:v>
      </x:c>
      <x:c r="BL92" s="117" t="n">
        <x:f>IF(AND(BL$3&gt;=EDATE($B$76,-3),BL$3&lt;$B$76),$B$92/3,0)</x:f>
        <x:v>0</x:v>
      </x:c>
      <x:c r="BM92" s="117" t="n">
        <x:f>IF(AND(BM$3&gt;=EDATE($B$76,-3),BM$3&lt;$B$76),$B$92/3,0)</x:f>
        <x:v>0</x:v>
      </x:c>
      <x:c r="BN92" s="117" t="n">
        <x:f>IF(AND(BN$3&gt;=EDATE($B$76,-3),BN$3&lt;$B$76),$B$92/3,0)</x:f>
        <x:v>0</x:v>
      </x:c>
      <x:c r="BO92" s="117" t="n">
        <x:f>IF(AND(BO$3&gt;=EDATE($B$76,-3),BO$3&lt;$B$76),$B$92/3,0)</x:f>
        <x:v>0</x:v>
      </x:c>
      <x:c r="BP92" s="117" t="n">
        <x:f>IF(AND(BP$3&gt;=EDATE($B$76,-3),BP$3&lt;$B$76),$B$92/3,0)</x:f>
        <x:v>0</x:v>
      </x:c>
      <x:c r="BQ92" s="117" t="n">
        <x:f>IF(AND(BQ$3&gt;=EDATE($B$76,-3),BQ$3&lt;$B$76),$B$92/3,0)</x:f>
        <x:v>0</x:v>
      </x:c>
      <x:c r="BR92" s="117" t="n">
        <x:f>IF(AND(BR$3&gt;=EDATE($B$76,-3),BR$3&lt;$B$76),$B$92/3,0)</x:f>
        <x:v>0</x:v>
      </x:c>
      <x:c r="BS92" s="117" t="n">
        <x:f>IF(AND(BS$3&gt;=EDATE($B$76,-3),BS$3&lt;$B$76),$B$92/3,0)</x:f>
        <x:v>0</x:v>
      </x:c>
      <x:c r="BT92" s="117" t="n">
        <x:f>IF(AND(BT$3&gt;=EDATE($B$76,-3),BT$3&lt;$B$76),$B$92/3,0)</x:f>
        <x:v>0</x:v>
      </x:c>
      <x:c r="BU92" s="117" t="n">
        <x:f>IF(AND(BU$3&gt;=EDATE($B$76,-3),BU$3&lt;$B$76),$B$92/3,0)</x:f>
        <x:v>0</x:v>
      </x:c>
      <x:c r="BV92" s="117" t="n">
        <x:f>IF(AND(BV$3&gt;=EDATE($B$76,-3),BV$3&lt;$B$76),$B$92/3,0)</x:f>
        <x:v>0</x:v>
      </x:c>
      <x:c r="BW92" s="117" t="n">
        <x:f>IF(AND(BW$3&gt;=EDATE($B$76,-3),BW$3&lt;$B$76),$B$92/3,0)</x:f>
        <x:v>0</x:v>
      </x:c>
      <x:c r="BX92" s="117" t="n">
        <x:f>IF(AND(BX$3&gt;=EDATE($B$76,-3),BX$3&lt;$B$76),$B$92/3,0)</x:f>
        <x:v>0</x:v>
      </x:c>
      <x:c r="BY92" s="117" t="n">
        <x:f>IF(AND(BY$3&gt;=EDATE($B$76,-3),BY$3&lt;$B$76),$B$92/3,0)</x:f>
        <x:v>0</x:v>
      </x:c>
      <x:c r="BZ92" s="117" t="n">
        <x:f>IF(AND(BZ$3&gt;=EDATE($B$76,-3),BZ$3&lt;$B$76),$B$92/3,0)</x:f>
        <x:v>0</x:v>
      </x:c>
      <x:c r="CA92" s="117" t="n">
        <x:f>IF(AND(CA$3&gt;=EDATE($B$76,-3),CA$3&lt;$B$76),$B$92/3,0)</x:f>
        <x:v>0</x:v>
      </x:c>
      <x:c r="CB92" s="117" t="n">
        <x:f>IF(AND(CB$3&gt;=EDATE($B$76,-3),CB$3&lt;$B$76),$B$92/3,0)</x:f>
        <x:v>0</x:v>
      </x:c>
      <x:c r="CC92" s="117" t="n">
        <x:f>IF(AND(CC$3&gt;=EDATE($B$76,-3),CC$3&lt;$B$76),$B$92/3,0)</x:f>
        <x:v>0</x:v>
      </x:c>
      <x:c r="CD92" s="117" t="n">
        <x:f>IF(AND(CD$3&gt;=EDATE($B$76,-3),CD$3&lt;$B$76),$B$92/3,0)</x:f>
        <x:v>0</x:v>
      </x:c>
      <x:c r="CE92" s="117" t="n">
        <x:f>IF(AND(CE$3&gt;=EDATE($B$76,-3),CE$3&lt;$B$76),$B$92/3,0)</x:f>
        <x:v>0</x:v>
      </x:c>
      <x:c r="CF92" s="117" t="n">
        <x:f>IF(AND(CF$3&gt;=EDATE($B$76,-3),CF$3&lt;$B$76),$B$92/3,0)</x:f>
        <x:v>0</x:v>
      </x:c>
      <x:c r="CG92" s="117" t="n">
        <x:f>IF(AND(CG$3&gt;=EDATE($B$76,-3),CG$3&lt;$B$76),$B$92/3,0)</x:f>
        <x:v>0</x:v>
      </x:c>
      <x:c r="CH92" s="117" t="n">
        <x:f>IF(AND(CH$3&gt;=EDATE($B$76,-3),CH$3&lt;$B$76),$B$92/3,0)</x:f>
        <x:v>0</x:v>
      </x:c>
      <x:c r="CI92" s="117" t="n">
        <x:f>IF(AND(CI$3&gt;=EDATE($B$76,-3),CI$3&lt;$B$76),$B$92/3,0)</x:f>
        <x:v>0</x:v>
      </x:c>
      <x:c r="CJ92" s="117" t="n">
        <x:f>IF(AND(CJ$3&gt;=EDATE($B$76,-3),CJ$3&lt;$B$76),$B$92/3,0)</x:f>
        <x:v>0</x:v>
      </x:c>
      <x:c r="CK92" s="117" t="n">
        <x:f>IF(AND(CK$3&gt;=EDATE($B$76,-3),CK$3&lt;$B$76),$B$92/3,0)</x:f>
        <x:v>0</x:v>
      </x:c>
      <x:c r="CL92" s="117" t="n">
        <x:f>IF(AND(CL$3&gt;=EDATE($B$76,-3),CL$3&lt;$B$76),$B$92/3,0)</x:f>
        <x:v>0</x:v>
      </x:c>
      <x:c r="CM92" s="117" t="n">
        <x:f>IF(AND(CM$3&gt;=EDATE($B$76,-3),CM$3&lt;$B$76),$B$92/3,0)</x:f>
        <x:v>0</x:v>
      </x:c>
      <x:c r="CN92" s="117" t="n">
        <x:f>IF(AND(CN$3&gt;=EDATE($B$76,-3),CN$3&lt;$B$76),$B$92/3,0)</x:f>
        <x:v>0</x:v>
      </x:c>
      <x:c r="CO92" s="117" t="n">
        <x:f>IF(AND(CO$3&gt;=EDATE($B$76,-3),CO$3&lt;$B$76),$B$92/3,0)</x:f>
        <x:v>0</x:v>
      </x:c>
      <x:c r="CP92" s="117" t="n">
        <x:f>IF(AND(CP$3&gt;=EDATE($B$76,-3),CP$3&lt;$B$76),$B$92/3,0)</x:f>
        <x:v>0</x:v>
      </x:c>
      <x:c r="CQ92" s="117" t="n">
        <x:f>IF(AND(CQ$3&gt;=EDATE($B$76,-3),CQ$3&lt;$B$76),$B$92/3,0)</x:f>
        <x:v>0</x:v>
      </x:c>
      <x:c r="CR92" s="117" t="n">
        <x:f>IF(AND(CR$3&gt;=EDATE($B$76,-3),CR$3&lt;$B$76),$B$92/3,0)</x:f>
        <x:v>0</x:v>
      </x:c>
      <x:c r="CS92" s="117" t="n">
        <x:f>IF(AND(CS$3&gt;=EDATE($B$76,-3),CS$3&lt;$B$76),$B$92/3,0)</x:f>
        <x:v>0</x:v>
      </x:c>
      <x:c r="CT92" s="117" t="n">
        <x:f>IF(AND(CT$3&gt;=EDATE($B$76,-3),CT$3&lt;$B$76),$B$92/3,0)</x:f>
        <x:v>0</x:v>
      </x:c>
      <x:c r="CU92" s="117" t="n">
        <x:f>IF(AND(CU$3&gt;=EDATE($B$76,-3),CU$3&lt;$B$76),$B$92/3,0)</x:f>
        <x:v>0</x:v>
      </x:c>
      <x:c r="CV92" s="117" t="n">
        <x:f>IF(AND(CV$3&gt;=EDATE($B$76,-3),CV$3&lt;$B$76),$B$92/3,0)</x:f>
        <x:v>0</x:v>
      </x:c>
      <x:c r="CW92" s="117" t="n">
        <x:f>IF(AND(CW$3&gt;=EDATE($B$76,-3),CW$3&lt;$B$76),$B$92/3,0)</x:f>
        <x:v>0</x:v>
      </x:c>
      <x:c r="CX92" s="117" t="n">
        <x:f>IF(AND(CX$3&gt;=EDATE($B$76,-3),CX$3&lt;$B$76),$B$92/3,0)</x:f>
        <x:v>0</x:v>
      </x:c>
      <x:c r="CY92" s="117" t="n">
        <x:f>IF(AND(CY$3&gt;=EDATE($B$76,-3),CY$3&lt;$B$76),$B$92/3,0)</x:f>
        <x:v>0</x:v>
      </x:c>
      <x:c r="CZ92" s="117" t="n">
        <x:f>IF(AND(CZ$3&gt;=EDATE($B$76,-3),CZ$3&lt;$B$76),$B$92/3,0)</x:f>
        <x:v>0</x:v>
      </x:c>
      <x:c r="DA92" s="117" t="n">
        <x:f>IF(AND(DA$3&gt;=EDATE($B$76,-3),DA$3&lt;$B$76),$B$92/3,0)</x:f>
        <x:v>0</x:v>
      </x:c>
      <x:c r="DB92" s="117" t="n">
        <x:f>IF(AND(DB$3&gt;=EDATE($B$76,-3),DB$3&lt;$B$76),$B$92/3,0)</x:f>
        <x:v>0</x:v>
      </x:c>
      <x:c r="DC92" s="117" t="n">
        <x:f>IF(AND(DC$3&gt;=EDATE($B$76,-3),DC$3&lt;$B$76),$B$92/3,0)</x:f>
        <x:v>0</x:v>
      </x:c>
      <x:c r="DD92" s="117" t="n">
        <x:f>IF(AND(DD$3&gt;=EDATE($B$76,-3),DD$3&lt;$B$76),$B$92/3,0)</x:f>
        <x:v>0</x:v>
      </x:c>
      <x:c r="DE92" s="117" t="n">
        <x:f>IF(AND(DE$3&gt;=EDATE($B$76,-3),DE$3&lt;$B$76),$B$92/3,0)</x:f>
        <x:v>0</x:v>
      </x:c>
      <x:c r="DF92" s="117" t="n">
        <x:f>IF(AND(DF$3&gt;=EDATE($B$76,-3),DF$3&lt;$B$76),$B$92/3,0)</x:f>
        <x:v>0</x:v>
      </x:c>
      <x:c r="DG92" s="117" t="n">
        <x:f>IF(AND(DG$3&gt;=EDATE($B$76,-3),DG$3&lt;$B$76),$B$92/3,0)</x:f>
        <x:v>0</x:v>
      </x:c>
      <x:c r="DH92" s="117" t="n">
        <x:f>IF(AND(DH$3&gt;=EDATE($B$76,-3),DH$3&lt;$B$76),$B$92/3,0)</x:f>
        <x:v>0</x:v>
      </x:c>
      <x:c r="DI92" s="117" t="n">
        <x:f>IF(AND(DI$3&gt;=EDATE($B$76,-3),DI$3&lt;$B$76),$B$92/3,0)</x:f>
        <x:v>0</x:v>
      </x:c>
      <x:c r="DJ92" s="117" t="n">
        <x:f>IF(AND(DJ$3&gt;=EDATE($B$76,-3),DJ$3&lt;$B$76),$B$92/3,0)</x:f>
        <x:v>0</x:v>
      </x:c>
      <x:c r="DK92" s="117" t="n">
        <x:f>IF(AND(DK$3&gt;=EDATE($B$76,-3),DK$3&lt;$B$76),$B$92/3,0)</x:f>
        <x:v>0</x:v>
      </x:c>
      <x:c r="DL92" s="117" t="n">
        <x:f>IF(AND(DL$3&gt;=EDATE($B$76,-3),DL$3&lt;$B$76),$B$92/3,0)</x:f>
        <x:v>0</x:v>
      </x:c>
      <x:c r="DM92" s="117" t="n">
        <x:f>IF(AND(DM$3&gt;=EDATE($B$76,-3),DM$3&lt;$B$76),$B$92/3,0)</x:f>
        <x:v>0</x:v>
      </x:c>
      <x:c r="DN92" s="117" t="n">
        <x:f>IF(AND(DN$3&gt;=EDATE($B$76,-3),DN$3&lt;$B$76),$B$92/3,0)</x:f>
        <x:v>0</x:v>
      </x:c>
      <x:c r="DO92" s="117" t="n">
        <x:f>IF(AND(DO$3&gt;=EDATE($B$76,-3),DO$3&lt;$B$76),$B$92/3,0)</x:f>
        <x:v>0</x:v>
      </x:c>
      <x:c r="DP92" s="117" t="n">
        <x:f>IF(AND(DP$3&gt;=EDATE($B$76,-3),DP$3&lt;$B$76),$B$92/3,0)</x:f>
        <x:v>0</x:v>
      </x:c>
      <x:c r="DQ92" s="117" t="n">
        <x:f>IF(AND(DQ$3&gt;=EDATE($B$76,-3),DQ$3&lt;$B$76),$B$92/3,0)</x:f>
        <x:v>0</x:v>
      </x:c>
      <x:c r="DR92" s="117" t="n">
        <x:f>IF(AND(DR$3&gt;=EDATE($B$76,-3),DR$3&lt;$B$76),$B$92/3,0)</x:f>
        <x:v>0</x:v>
      </x:c>
      <x:c r="DS92" s="117" t="n">
        <x:f>IF(AND(DS$3&gt;=EDATE($B$76,-3),DS$3&lt;$B$76),$B$92/3,0)</x:f>
        <x:v>0</x:v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  <x:v>0</x:v>
      </x:c>
      <x:c r="C93" t="str">
        <x:v>млн ₽</x:v>
      </x:c>
      <x:c r="D93" s="117" t="n">
        <x:f>IF(AND(D$3&gt;=EDATE($B$76,-3),D$3&lt;$B$76),$B$93/3,0)</x:f>
        <x:v>0</x:v>
      </x:c>
      <x:c r="E93" s="117" t="n">
        <x:f>IF(AND(E$3&gt;=EDATE($B$76,-3),E$3&lt;$B$76),$B$93/3,0)</x:f>
        <x:v>0</x:v>
      </x:c>
      <x:c r="F93" s="117" t="n">
        <x:f>IF(AND(F$3&gt;=EDATE($B$76,-3),F$3&lt;$B$76),$B$93/3,0)</x:f>
        <x:v>0</x:v>
      </x:c>
      <x:c r="G93" s="117" t="n">
        <x:f>IF(AND(G$3&gt;=EDATE($B$76,-3),G$3&lt;$B$76),$B$93/3,0)</x:f>
        <x:v>0</x:v>
      </x:c>
      <x:c r="H93" s="117" t="n">
        <x:f>IF(AND(H$3&gt;=EDATE($B$76,-3),H$3&lt;$B$76),$B$93/3,0)</x:f>
        <x:v>0</x:v>
      </x:c>
      <x:c r="I93" s="117" t="n">
        <x:f>IF(AND(I$3&gt;=EDATE($B$76,-3),I$3&lt;$B$76),$B$93/3,0)</x:f>
        <x:v>0</x:v>
      </x:c>
      <x:c r="J93" s="117" t="n">
        <x:f>IF(AND(J$3&gt;=EDATE($B$76,-3),J$3&lt;$B$76),$B$93/3,0)</x:f>
        <x:v>0</x:v>
      </x:c>
      <x:c r="K93" s="117" t="n">
        <x:f>IF(AND(K$3&gt;=EDATE($B$76,-3),K$3&lt;$B$76),$B$93/3,0)</x:f>
        <x:v>0</x:v>
      </x:c>
      <x:c r="L93" s="117" t="n">
        <x:f>IF(AND(L$3&gt;=EDATE($B$76,-3),L$3&lt;$B$76),$B$93/3,0)</x:f>
        <x:v>0</x:v>
      </x:c>
      <x:c r="M93" s="117" t="n">
        <x:f>IF(AND(M$3&gt;=EDATE($B$76,-3),M$3&lt;$B$76),$B$93/3,0)</x:f>
        <x:v>0</x:v>
      </x:c>
      <x:c r="N93" s="117" t="n">
        <x:f>IF(AND(N$3&gt;=EDATE($B$76,-3),N$3&lt;$B$76),$B$93/3,0)</x:f>
        <x:v>0</x:v>
      </x:c>
      <x:c r="O93" s="117" t="n">
        <x:f>IF(AND(O$3&gt;=EDATE($B$76,-3),O$3&lt;$B$76),$B$93/3,0)</x:f>
        <x:v>0</x:v>
      </x:c>
      <x:c r="P93" s="117" t="n">
        <x:f>IF(AND(P$3&gt;=EDATE($B$76,-3),P$3&lt;$B$76),$B$93/3,0)</x:f>
        <x:v>0</x:v>
      </x:c>
      <x:c r="Q93" s="117" t="n">
        <x:f>IF(AND(Q$3&gt;=EDATE($B$76,-3),Q$3&lt;$B$76),$B$93/3,0)</x:f>
        <x:v>0</x:v>
      </x:c>
      <x:c r="R93" s="117" t="n">
        <x:f>IF(AND(R$3&gt;=EDATE($B$76,-3),R$3&lt;$B$76),$B$93/3,0)</x:f>
        <x:v>0</x:v>
      </x:c>
      <x:c r="S93" s="117" t="n">
        <x:f>IF(AND(S$3&gt;=EDATE($B$76,-3),S$3&lt;$B$76),$B$93/3,0)</x:f>
        <x:v>0</x:v>
      </x:c>
      <x:c r="T93" s="117" t="n">
        <x:f>IF(AND(T$3&gt;=EDATE($B$76,-3),T$3&lt;$B$76),$B$93/3,0)</x:f>
        <x:v>0</x:v>
      </x:c>
      <x:c r="U93" s="117" t="n">
        <x:f>IF(AND(U$3&gt;=EDATE($B$76,-3),U$3&lt;$B$76),$B$93/3,0)</x:f>
        <x:v>0</x:v>
      </x:c>
      <x:c r="V93" s="117" t="n">
        <x:f>IF(AND(V$3&gt;=EDATE($B$76,-3),V$3&lt;$B$76),$B$93/3,0)</x:f>
        <x:v>0</x:v>
      </x:c>
      <x:c r="W93" s="117" t="n">
        <x:f>IF(AND(W$3&gt;=EDATE($B$76,-3),W$3&lt;$B$76),$B$93/3,0)</x:f>
        <x:v>0</x:v>
      </x:c>
      <x:c r="X93" s="117" t="n">
        <x:f>IF(AND(X$3&gt;=EDATE($B$76,-3),X$3&lt;$B$76),$B$93/3,0)</x:f>
        <x:v>0</x:v>
      </x:c>
      <x:c r="Y93" s="117" t="n">
        <x:f>IF(AND(Y$3&gt;=EDATE($B$76,-3),Y$3&lt;$B$76),$B$93/3,0)</x:f>
        <x:v>0</x:v>
      </x:c>
      <x:c r="Z93" s="117" t="n">
        <x:f>IF(AND(Z$3&gt;=EDATE($B$76,-3),Z$3&lt;$B$76),$B$93/3,0)</x:f>
        <x:v>0</x:v>
      </x:c>
      <x:c r="AA93" s="117" t="n">
        <x:f>IF(AND(AA$3&gt;=EDATE($B$76,-3),AA$3&lt;$B$76),$B$93/3,0)</x:f>
        <x:v>0</x:v>
      </x:c>
      <x:c r="AB93" s="117" t="n">
        <x:f>IF(AND(AB$3&gt;=EDATE($B$76,-3),AB$3&lt;$B$76),$B$93/3,0)</x:f>
        <x:v>0</x:v>
      </x:c>
      <x:c r="AC93" s="117" t="n">
        <x:f>IF(AND(AC$3&gt;=EDATE($B$76,-3),AC$3&lt;$B$76),$B$93/3,0)</x:f>
        <x:v>0</x:v>
      </x:c>
      <x:c r="AD93" s="117" t="n">
        <x:f>IF(AND(AD$3&gt;=EDATE($B$76,-3),AD$3&lt;$B$76),$B$93/3,0)</x:f>
        <x:v>0</x:v>
      </x:c>
      <x:c r="AE93" s="117" t="n">
        <x:f>IF(AND(AE$3&gt;=EDATE($B$76,-3),AE$3&lt;$B$76),$B$93/3,0)</x:f>
        <x:v>0</x:v>
      </x:c>
      <x:c r="AF93" s="117" t="n">
        <x:f>IF(AND(AF$3&gt;=EDATE($B$76,-3),AF$3&lt;$B$76),$B$93/3,0)</x:f>
        <x:v>0</x:v>
      </x:c>
      <x:c r="AG93" s="117" t="n">
        <x:f>IF(AND(AG$3&gt;=EDATE($B$76,-3),AG$3&lt;$B$76),$B$93/3,0)</x:f>
        <x:v>0</x:v>
      </x:c>
      <x:c r="AH93" s="117" t="n">
        <x:f>IF(AND(AH$3&gt;=EDATE($B$76,-3),AH$3&lt;$B$76),$B$93/3,0)</x:f>
        <x:v>0</x:v>
      </x:c>
      <x:c r="AI93" s="117" t="n">
        <x:f>IF(AND(AI$3&gt;=EDATE($B$76,-3),AI$3&lt;$B$76),$B$93/3,0)</x:f>
        <x:v>0</x:v>
      </x:c>
      <x:c r="AJ93" s="117" t="n">
        <x:f>IF(AND(AJ$3&gt;=EDATE($B$76,-3),AJ$3&lt;$B$76),$B$93/3,0)</x:f>
        <x:v>0</x:v>
      </x:c>
      <x:c r="AK93" s="117" t="n">
        <x:f>IF(AND(AK$3&gt;=EDATE($B$76,-3),AK$3&lt;$B$76),$B$93/3,0)</x:f>
        <x:v>0</x:v>
      </x:c>
      <x:c r="AL93" s="117" t="n">
        <x:f>IF(AND(AL$3&gt;=EDATE($B$76,-3),AL$3&lt;$B$76),$B$93/3,0)</x:f>
        <x:v>0</x:v>
      </x:c>
      <x:c r="AM93" s="117" t="n">
        <x:f>IF(AND(AM$3&gt;=EDATE($B$76,-3),AM$3&lt;$B$76),$B$93/3,0)</x:f>
        <x:v>0</x:v>
      </x:c>
      <x:c r="AN93" s="117" t="n">
        <x:f>IF(AND(AN$3&gt;=EDATE($B$76,-3),AN$3&lt;$B$76),$B$93/3,0)</x:f>
        <x:v>0</x:v>
      </x:c>
      <x:c r="AO93" s="117" t="n">
        <x:f>IF(AND(AO$3&gt;=EDATE($B$76,-3),AO$3&lt;$B$76),$B$93/3,0)</x:f>
        <x:v>0</x:v>
      </x:c>
      <x:c r="AP93" s="117" t="n">
        <x:f>IF(AND(AP$3&gt;=EDATE($B$76,-3),AP$3&lt;$B$76),$B$93/3,0)</x:f>
        <x:v>0</x:v>
      </x:c>
      <x:c r="AQ93" s="117" t="n">
        <x:f>IF(AND(AQ$3&gt;=EDATE($B$76,-3),AQ$3&lt;$B$76),$B$93/3,0)</x:f>
        <x:v>0</x:v>
      </x:c>
      <x:c r="AR93" s="117" t="n">
        <x:f>IF(AND(AR$3&gt;=EDATE($B$76,-3),AR$3&lt;$B$76),$B$93/3,0)</x:f>
        <x:v>0</x:v>
      </x:c>
      <x:c r="AS93" s="117" t="n">
        <x:f>IF(AND(AS$3&gt;=EDATE($B$76,-3),AS$3&lt;$B$76),$B$93/3,0)</x:f>
        <x:v>0</x:v>
      </x:c>
      <x:c r="AT93" s="117" t="n">
        <x:f>IF(AND(AT$3&gt;=EDATE($B$76,-3),AT$3&lt;$B$76),$B$93/3,0)</x:f>
        <x:v>0</x:v>
      </x:c>
      <x:c r="AU93" s="117" t="n">
        <x:f>IF(AND(AU$3&gt;=EDATE($B$76,-3),AU$3&lt;$B$76),$B$93/3,0)</x:f>
        <x:v>0</x:v>
      </x:c>
      <x:c r="AV93" s="117" t="n">
        <x:f>IF(AND(AV$3&gt;=EDATE($B$76,-3),AV$3&lt;$B$76),$B$93/3,0)</x:f>
        <x:v>0</x:v>
      </x:c>
      <x:c r="AW93" s="117" t="n">
        <x:f>IF(AND(AW$3&gt;=EDATE($B$76,-3),AW$3&lt;$B$76),$B$93/3,0)</x:f>
        <x:v>0</x:v>
      </x:c>
      <x:c r="AX93" s="117" t="n">
        <x:f>IF(AND(AX$3&gt;=EDATE($B$76,-3),AX$3&lt;$B$76),$B$93/3,0)</x:f>
        <x:v>0</x:v>
      </x:c>
      <x:c r="AY93" s="117" t="n">
        <x:f>IF(AND(AY$3&gt;=EDATE($B$76,-3),AY$3&lt;$B$76),$B$93/3,0)</x:f>
        <x:v>0</x:v>
      </x:c>
      <x:c r="AZ93" s="117" t="n">
        <x:f>IF(AND(AZ$3&gt;=EDATE($B$76,-3),AZ$3&lt;$B$76),$B$93/3,0)</x:f>
        <x:v>0</x:v>
      </x:c>
      <x:c r="BA93" s="117" t="n">
        <x:f>IF(AND(BA$3&gt;=EDATE($B$76,-3),BA$3&lt;$B$76),$B$93/3,0)</x:f>
        <x:v>0</x:v>
      </x:c>
      <x:c r="BB93" s="117" t="n">
        <x:f>IF(AND(BB$3&gt;=EDATE($B$76,-3),BB$3&lt;$B$76),$B$93/3,0)</x:f>
        <x:v>0</x:v>
      </x:c>
      <x:c r="BC93" s="117" t="n">
        <x:f>IF(AND(BC$3&gt;=EDATE($B$76,-3),BC$3&lt;$B$76),$B$93/3,0)</x:f>
        <x:v>0</x:v>
      </x:c>
      <x:c r="BD93" s="117" t="n">
        <x:f>IF(AND(BD$3&gt;=EDATE($B$76,-3),BD$3&lt;$B$76),$B$93/3,0)</x:f>
        <x:v>0</x:v>
      </x:c>
      <x:c r="BE93" s="117" t="n">
        <x:f>IF(AND(BE$3&gt;=EDATE($B$76,-3),BE$3&lt;$B$76),$B$93/3,0)</x:f>
        <x:v>0</x:v>
      </x:c>
      <x:c r="BF93" s="117" t="n">
        <x:f>IF(AND(BF$3&gt;=EDATE($B$76,-3),BF$3&lt;$B$76),$B$93/3,0)</x:f>
        <x:v>0</x:v>
      </x:c>
      <x:c r="BG93" s="117" t="n">
        <x:f>IF(AND(BG$3&gt;=EDATE($B$76,-3),BG$3&lt;$B$76),$B$93/3,0)</x:f>
        <x:v>0</x:v>
      </x:c>
      <x:c r="BH93" s="117" t="n">
        <x:f>IF(AND(BH$3&gt;=EDATE($B$76,-3),BH$3&lt;$B$76),$B$93/3,0)</x:f>
        <x:v>0</x:v>
      </x:c>
      <x:c r="BI93" s="117" t="n">
        <x:f>IF(AND(BI$3&gt;=EDATE($B$76,-3),BI$3&lt;$B$76),$B$93/3,0)</x:f>
        <x:v>0</x:v>
      </x:c>
      <x:c r="BJ93" s="117" t="n">
        <x:f>IF(AND(BJ$3&gt;=EDATE($B$76,-3),BJ$3&lt;$B$76),$B$93/3,0)</x:f>
        <x:v>0</x:v>
      </x:c>
      <x:c r="BK93" s="117" t="n">
        <x:f>IF(AND(BK$3&gt;=EDATE($B$76,-3),BK$3&lt;$B$76),$B$93/3,0)</x:f>
        <x:v>0</x:v>
      </x:c>
      <x:c r="BL93" s="117" t="n">
        <x:f>IF(AND(BL$3&gt;=EDATE($B$76,-3),BL$3&lt;$B$76),$B$93/3,0)</x:f>
        <x:v>0</x:v>
      </x:c>
      <x:c r="BM93" s="117" t="n">
        <x:f>IF(AND(BM$3&gt;=EDATE($B$76,-3),BM$3&lt;$B$76),$B$93/3,0)</x:f>
        <x:v>0</x:v>
      </x:c>
      <x:c r="BN93" s="117" t="n">
        <x:f>IF(AND(BN$3&gt;=EDATE($B$76,-3),BN$3&lt;$B$76),$B$93/3,0)</x:f>
        <x:v>0</x:v>
      </x:c>
      <x:c r="BO93" s="117" t="n">
        <x:f>IF(AND(BO$3&gt;=EDATE($B$76,-3),BO$3&lt;$B$76),$B$93/3,0)</x:f>
        <x:v>0</x:v>
      </x:c>
      <x:c r="BP93" s="117" t="n">
        <x:f>IF(AND(BP$3&gt;=EDATE($B$76,-3),BP$3&lt;$B$76),$B$93/3,0)</x:f>
        <x:v>0</x:v>
      </x:c>
      <x:c r="BQ93" s="117" t="n">
        <x:f>IF(AND(BQ$3&gt;=EDATE($B$76,-3),BQ$3&lt;$B$76),$B$93/3,0)</x:f>
        <x:v>0</x:v>
      </x:c>
      <x:c r="BR93" s="117" t="n">
        <x:f>IF(AND(BR$3&gt;=EDATE($B$76,-3),BR$3&lt;$B$76),$B$93/3,0)</x:f>
        <x:v>0</x:v>
      </x:c>
      <x:c r="BS93" s="117" t="n">
        <x:f>IF(AND(BS$3&gt;=EDATE($B$76,-3),BS$3&lt;$B$76),$B$93/3,0)</x:f>
        <x:v>0</x:v>
      </x:c>
      <x:c r="BT93" s="117" t="n">
        <x:f>IF(AND(BT$3&gt;=EDATE($B$76,-3),BT$3&lt;$B$76),$B$93/3,0)</x:f>
        <x:v>0</x:v>
      </x:c>
      <x:c r="BU93" s="117" t="n">
        <x:f>IF(AND(BU$3&gt;=EDATE($B$76,-3),BU$3&lt;$B$76),$B$93/3,0)</x:f>
        <x:v>0</x:v>
      </x:c>
      <x:c r="BV93" s="117" t="n">
        <x:f>IF(AND(BV$3&gt;=EDATE($B$76,-3),BV$3&lt;$B$76),$B$93/3,0)</x:f>
        <x:v>0</x:v>
      </x:c>
      <x:c r="BW93" s="117" t="n">
        <x:f>IF(AND(BW$3&gt;=EDATE($B$76,-3),BW$3&lt;$B$76),$B$93/3,0)</x:f>
        <x:v>0</x:v>
      </x:c>
      <x:c r="BX93" s="117" t="n">
        <x:f>IF(AND(BX$3&gt;=EDATE($B$76,-3),BX$3&lt;$B$76),$B$93/3,0)</x:f>
        <x:v>0</x:v>
      </x:c>
      <x:c r="BY93" s="117" t="n">
        <x:f>IF(AND(BY$3&gt;=EDATE($B$76,-3),BY$3&lt;$B$76),$B$93/3,0)</x:f>
        <x:v>0</x:v>
      </x:c>
      <x:c r="BZ93" s="117" t="n">
        <x:f>IF(AND(BZ$3&gt;=EDATE($B$76,-3),BZ$3&lt;$B$76),$B$93/3,0)</x:f>
        <x:v>0</x:v>
      </x:c>
      <x:c r="CA93" s="117" t="n">
        <x:f>IF(AND(CA$3&gt;=EDATE($B$76,-3),CA$3&lt;$B$76),$B$93/3,0)</x:f>
        <x:v>0</x:v>
      </x:c>
      <x:c r="CB93" s="117" t="n">
        <x:f>IF(AND(CB$3&gt;=EDATE($B$76,-3),CB$3&lt;$B$76),$B$93/3,0)</x:f>
        <x:v>0</x:v>
      </x:c>
      <x:c r="CC93" s="117" t="n">
        <x:f>IF(AND(CC$3&gt;=EDATE($B$76,-3),CC$3&lt;$B$76),$B$93/3,0)</x:f>
        <x:v>0</x:v>
      </x:c>
      <x:c r="CD93" s="117" t="n">
        <x:f>IF(AND(CD$3&gt;=EDATE($B$76,-3),CD$3&lt;$B$76),$B$93/3,0)</x:f>
        <x:v>0</x:v>
      </x:c>
      <x:c r="CE93" s="117" t="n">
        <x:f>IF(AND(CE$3&gt;=EDATE($B$76,-3),CE$3&lt;$B$76),$B$93/3,0)</x:f>
        <x:v>0</x:v>
      </x:c>
      <x:c r="CF93" s="117" t="n">
        <x:f>IF(AND(CF$3&gt;=EDATE($B$76,-3),CF$3&lt;$B$76),$B$93/3,0)</x:f>
        <x:v>0</x:v>
      </x:c>
      <x:c r="CG93" s="117" t="n">
        <x:f>IF(AND(CG$3&gt;=EDATE($B$76,-3),CG$3&lt;$B$76),$B$93/3,0)</x:f>
        <x:v>0</x:v>
      </x:c>
      <x:c r="CH93" s="117" t="n">
        <x:f>IF(AND(CH$3&gt;=EDATE($B$76,-3),CH$3&lt;$B$76),$B$93/3,0)</x:f>
        <x:v>0</x:v>
      </x:c>
      <x:c r="CI93" s="117" t="n">
        <x:f>IF(AND(CI$3&gt;=EDATE($B$76,-3),CI$3&lt;$B$76),$B$93/3,0)</x:f>
        <x:v>0</x:v>
      </x:c>
      <x:c r="CJ93" s="117" t="n">
        <x:f>IF(AND(CJ$3&gt;=EDATE($B$76,-3),CJ$3&lt;$B$76),$B$93/3,0)</x:f>
        <x:v>0</x:v>
      </x:c>
      <x:c r="CK93" s="117" t="n">
        <x:f>IF(AND(CK$3&gt;=EDATE($B$76,-3),CK$3&lt;$B$76),$B$93/3,0)</x:f>
        <x:v>0</x:v>
      </x:c>
      <x:c r="CL93" s="117" t="n">
        <x:f>IF(AND(CL$3&gt;=EDATE($B$76,-3),CL$3&lt;$B$76),$B$93/3,0)</x:f>
        <x:v>0</x:v>
      </x:c>
      <x:c r="CM93" s="117" t="n">
        <x:f>IF(AND(CM$3&gt;=EDATE($B$76,-3),CM$3&lt;$B$76),$B$93/3,0)</x:f>
        <x:v>0</x:v>
      </x:c>
      <x:c r="CN93" s="117" t="n">
        <x:f>IF(AND(CN$3&gt;=EDATE($B$76,-3),CN$3&lt;$B$76),$B$93/3,0)</x:f>
        <x:v>0</x:v>
      </x:c>
      <x:c r="CO93" s="117" t="n">
        <x:f>IF(AND(CO$3&gt;=EDATE($B$76,-3),CO$3&lt;$B$76),$B$93/3,0)</x:f>
        <x:v>0</x:v>
      </x:c>
      <x:c r="CP93" s="117" t="n">
        <x:f>IF(AND(CP$3&gt;=EDATE($B$76,-3),CP$3&lt;$B$76),$B$93/3,0)</x:f>
        <x:v>0</x:v>
      </x:c>
      <x:c r="CQ93" s="117" t="n">
        <x:f>IF(AND(CQ$3&gt;=EDATE($B$76,-3),CQ$3&lt;$B$76),$B$93/3,0)</x:f>
        <x:v>0</x:v>
      </x:c>
      <x:c r="CR93" s="117" t="n">
        <x:f>IF(AND(CR$3&gt;=EDATE($B$76,-3),CR$3&lt;$B$76),$B$93/3,0)</x:f>
        <x:v>0</x:v>
      </x:c>
      <x:c r="CS93" s="117" t="n">
        <x:f>IF(AND(CS$3&gt;=EDATE($B$76,-3),CS$3&lt;$B$76),$B$93/3,0)</x:f>
        <x:v>0</x:v>
      </x:c>
      <x:c r="CT93" s="117" t="n">
        <x:f>IF(AND(CT$3&gt;=EDATE($B$76,-3),CT$3&lt;$B$76),$B$93/3,0)</x:f>
        <x:v>0</x:v>
      </x:c>
      <x:c r="CU93" s="117" t="n">
        <x:f>IF(AND(CU$3&gt;=EDATE($B$76,-3),CU$3&lt;$B$76),$B$93/3,0)</x:f>
        <x:v>0</x:v>
      </x:c>
      <x:c r="CV93" s="117" t="n">
        <x:f>IF(AND(CV$3&gt;=EDATE($B$76,-3),CV$3&lt;$B$76),$B$93/3,0)</x:f>
        <x:v>0</x:v>
      </x:c>
      <x:c r="CW93" s="117" t="n">
        <x:f>IF(AND(CW$3&gt;=EDATE($B$76,-3),CW$3&lt;$B$76),$B$93/3,0)</x:f>
        <x:v>0</x:v>
      </x:c>
      <x:c r="CX93" s="117" t="n">
        <x:f>IF(AND(CX$3&gt;=EDATE($B$76,-3),CX$3&lt;$B$76),$B$93/3,0)</x:f>
        <x:v>0</x:v>
      </x:c>
      <x:c r="CY93" s="117" t="n">
        <x:f>IF(AND(CY$3&gt;=EDATE($B$76,-3),CY$3&lt;$B$76),$B$93/3,0)</x:f>
        <x:v>0</x:v>
      </x:c>
      <x:c r="CZ93" s="117" t="n">
        <x:f>IF(AND(CZ$3&gt;=EDATE($B$76,-3),CZ$3&lt;$B$76),$B$93/3,0)</x:f>
        <x:v>0</x:v>
      </x:c>
      <x:c r="DA93" s="117" t="n">
        <x:f>IF(AND(DA$3&gt;=EDATE($B$76,-3),DA$3&lt;$B$76),$B$93/3,0)</x:f>
        <x:v>0</x:v>
      </x:c>
      <x:c r="DB93" s="117" t="n">
        <x:f>IF(AND(DB$3&gt;=EDATE($B$76,-3),DB$3&lt;$B$76),$B$93/3,0)</x:f>
        <x:v>0</x:v>
      </x:c>
      <x:c r="DC93" s="117" t="n">
        <x:f>IF(AND(DC$3&gt;=EDATE($B$76,-3),DC$3&lt;$B$76),$B$93/3,0)</x:f>
        <x:v>0</x:v>
      </x:c>
      <x:c r="DD93" s="117" t="n">
        <x:f>IF(AND(DD$3&gt;=EDATE($B$76,-3),DD$3&lt;$B$76),$B$93/3,0)</x:f>
        <x:v>0</x:v>
      </x:c>
      <x:c r="DE93" s="117" t="n">
        <x:f>IF(AND(DE$3&gt;=EDATE($B$76,-3),DE$3&lt;$B$76),$B$93/3,0)</x:f>
        <x:v>0</x:v>
      </x:c>
      <x:c r="DF93" s="117" t="n">
        <x:f>IF(AND(DF$3&gt;=EDATE($B$76,-3),DF$3&lt;$B$76),$B$93/3,0)</x:f>
        <x:v>0</x:v>
      </x:c>
      <x:c r="DG93" s="117" t="n">
        <x:f>IF(AND(DG$3&gt;=EDATE($B$76,-3),DG$3&lt;$B$76),$B$93/3,0)</x:f>
        <x:v>0</x:v>
      </x:c>
      <x:c r="DH93" s="117" t="n">
        <x:f>IF(AND(DH$3&gt;=EDATE($B$76,-3),DH$3&lt;$B$76),$B$93/3,0)</x:f>
        <x:v>0</x:v>
      </x:c>
      <x:c r="DI93" s="117" t="n">
        <x:f>IF(AND(DI$3&gt;=EDATE($B$76,-3),DI$3&lt;$B$76),$B$93/3,0)</x:f>
        <x:v>0</x:v>
      </x:c>
      <x:c r="DJ93" s="117" t="n">
        <x:f>IF(AND(DJ$3&gt;=EDATE($B$76,-3),DJ$3&lt;$B$76),$B$93/3,0)</x:f>
        <x:v>0</x:v>
      </x:c>
      <x:c r="DK93" s="117" t="n">
        <x:f>IF(AND(DK$3&gt;=EDATE($B$76,-3),DK$3&lt;$B$76),$B$93/3,0)</x:f>
        <x:v>0</x:v>
      </x:c>
      <x:c r="DL93" s="117" t="n">
        <x:f>IF(AND(DL$3&gt;=EDATE($B$76,-3),DL$3&lt;$B$76),$B$93/3,0)</x:f>
        <x:v>0</x:v>
      </x:c>
      <x:c r="DM93" s="117" t="n">
        <x:f>IF(AND(DM$3&gt;=EDATE($B$76,-3),DM$3&lt;$B$76),$B$93/3,0)</x:f>
        <x:v>0</x:v>
      </x:c>
      <x:c r="DN93" s="117" t="n">
        <x:f>IF(AND(DN$3&gt;=EDATE($B$76,-3),DN$3&lt;$B$76),$B$93/3,0)</x:f>
        <x:v>0</x:v>
      </x:c>
      <x:c r="DO93" s="117" t="n">
        <x:f>IF(AND(DO$3&gt;=EDATE($B$76,-3),DO$3&lt;$B$76),$B$93/3,0)</x:f>
        <x:v>0</x:v>
      </x:c>
      <x:c r="DP93" s="117" t="n">
        <x:f>IF(AND(DP$3&gt;=EDATE($B$76,-3),DP$3&lt;$B$76),$B$93/3,0)</x:f>
        <x:v>0</x:v>
      </x:c>
      <x:c r="DQ93" s="117" t="n">
        <x:f>IF(AND(DQ$3&gt;=EDATE($B$76,-3),DQ$3&lt;$B$76),$B$93/3,0)</x:f>
        <x:v>0</x:v>
      </x:c>
      <x:c r="DR93" s="117" t="n">
        <x:f>IF(AND(DR$3&gt;=EDATE($B$76,-3),DR$3&lt;$B$76),$B$93/3,0)</x:f>
        <x:v>0</x:v>
      </x:c>
      <x:c r="DS93" s="117" t="n">
        <x:f>IF(AND(DS$3&gt;=EDATE($B$76,-3),DS$3&lt;$B$76),$B$93/3,0)</x:f>
        <x:v>0</x:v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  <x:v>0</x:v>
      </x:c>
      <x:c r="C94" t="str">
        <x:v>млн ₽</x:v>
      </x:c>
      <x:c r="D94" s="117" t="n">
        <x:f>$B$94*D81</x:f>
        <x:v>0</x:v>
      </x:c>
      <x:c r="E94" s="117" t="n">
        <x:f>$B$94*E81</x:f>
        <x:v>0</x:v>
      </x:c>
      <x:c r="F94" s="117" t="n">
        <x:f>$B$94*F81</x:f>
        <x:v>0</x:v>
      </x:c>
      <x:c r="G94" s="117" t="n">
        <x:f>$B$94*G81</x:f>
        <x:v>0</x:v>
      </x:c>
      <x:c r="H94" s="117" t="n">
        <x:f>$B$94*H81</x:f>
        <x:v>0</x:v>
      </x:c>
      <x:c r="I94" s="117" t="n">
        <x:f>$B$94*I81</x:f>
        <x:v>0</x:v>
      </x:c>
      <x:c r="J94" s="117" t="n">
        <x:f>$B$94*J81</x:f>
        <x:v>0</x:v>
      </x:c>
      <x:c r="K94" s="117" t="n">
        <x:f>$B$94*K81</x:f>
        <x:v>0</x:v>
      </x:c>
      <x:c r="L94" s="117" t="n">
        <x:f>$B$94*L81</x:f>
        <x:v>0</x:v>
      </x:c>
      <x:c r="M94" s="117" t="n">
        <x:f>$B$94*M81</x:f>
        <x:v>0</x:v>
      </x:c>
      <x:c r="N94" s="117" t="n">
        <x:f>$B$94*N81</x:f>
        <x:v>0</x:v>
      </x:c>
      <x:c r="O94" s="117" t="n">
        <x:f>$B$94*O81</x:f>
        <x:v>0</x:v>
      </x:c>
      <x:c r="P94" s="117" t="n">
        <x:f>$B$94*P81</x:f>
        <x:v>0</x:v>
      </x:c>
      <x:c r="Q94" s="117" t="n">
        <x:f>$B$94*Q81</x:f>
        <x:v>0</x:v>
      </x:c>
      <x:c r="R94" s="117" t="n">
        <x:f>$B$94*R81</x:f>
        <x:v>0</x:v>
      </x:c>
      <x:c r="S94" s="117" t="n">
        <x:f>$B$94*S81</x:f>
        <x:v>0</x:v>
      </x:c>
      <x:c r="T94" s="117" t="n">
        <x:f>$B$94*T81</x:f>
        <x:v>0</x:v>
      </x:c>
      <x:c r="U94" s="117" t="n">
        <x:f>$B$94*U81</x:f>
        <x:v>0</x:v>
      </x:c>
      <x:c r="V94" s="117" t="n">
        <x:f>$B$94*V81</x:f>
        <x:v>0</x:v>
      </x:c>
      <x:c r="W94" s="117" t="n">
        <x:f>$B$94*W81</x:f>
        <x:v>0</x:v>
      </x:c>
      <x:c r="X94" s="117" t="n">
        <x:f>$B$94*X81</x:f>
        <x:v>0</x:v>
      </x:c>
      <x:c r="Y94" s="117" t="n">
        <x:f>$B$94*Y81</x:f>
        <x:v>0</x:v>
      </x:c>
      <x:c r="Z94" s="117" t="n">
        <x:f>$B$94*Z81</x:f>
        <x:v>0</x:v>
      </x:c>
      <x:c r="AA94" s="117" t="n">
        <x:f>$B$94*AA81</x:f>
        <x:v>0</x:v>
      </x:c>
      <x:c r="AB94" s="117" t="n">
        <x:f>$B$94*AB81</x:f>
        <x:v>0</x:v>
      </x:c>
      <x:c r="AC94" s="117" t="n">
        <x:f>$B$94*AC81</x:f>
        <x:v>0</x:v>
      </x:c>
      <x:c r="AD94" s="117" t="n">
        <x:f>$B$94*AD81</x:f>
        <x:v>0</x:v>
      </x:c>
      <x:c r="AE94" s="117" t="n">
        <x:f>$B$94*AE81</x:f>
        <x:v>0</x:v>
      </x:c>
      <x:c r="AF94" s="117" t="n">
        <x:f>$B$94*AF81</x:f>
        <x:v>0</x:v>
      </x:c>
      <x:c r="AG94" s="117" t="n">
        <x:f>$B$94*AG81</x:f>
        <x:v>0</x:v>
      </x:c>
      <x:c r="AH94" s="117" t="n">
        <x:f>$B$94*AH81</x:f>
        <x:v>0</x:v>
      </x:c>
      <x:c r="AI94" s="117" t="n">
        <x:f>$B$94*AI81</x:f>
        <x:v>0</x:v>
      </x:c>
      <x:c r="AJ94" s="117" t="n">
        <x:f>$B$94*AJ81</x:f>
        <x:v>0</x:v>
      </x:c>
      <x:c r="AK94" s="117" t="n">
        <x:f>$B$94*AK81</x:f>
        <x:v>0</x:v>
      </x:c>
      <x:c r="AL94" s="117" t="n">
        <x:f>$B$94*AL81</x:f>
        <x:v>0</x:v>
      </x:c>
      <x:c r="AM94" s="117" t="n">
        <x:f>$B$94*AM81</x:f>
        <x:v>0</x:v>
      </x:c>
      <x:c r="AN94" s="117" t="n">
        <x:f>$B$94*AN81</x:f>
        <x:v>0</x:v>
      </x:c>
      <x:c r="AO94" s="117" t="n">
        <x:f>$B$94*AO81</x:f>
        <x:v>0</x:v>
      </x:c>
      <x:c r="AP94" s="117" t="n">
        <x:f>$B$94*AP81</x:f>
        <x:v>0</x:v>
      </x:c>
      <x:c r="AQ94" s="117" t="n">
        <x:f>$B$94*AQ81</x:f>
        <x:v>0</x:v>
      </x:c>
      <x:c r="AR94" s="117" t="n">
        <x:f>$B$94*AR81</x:f>
        <x:v>0</x:v>
      </x:c>
      <x:c r="AS94" s="117" t="n">
        <x:f>$B$94*AS81</x:f>
        <x:v>0</x:v>
      </x:c>
      <x:c r="AT94" s="117" t="n">
        <x:f>$B$94*AT81</x:f>
        <x:v>0</x:v>
      </x:c>
      <x:c r="AU94" s="117" t="n">
        <x:f>$B$94*AU81</x:f>
        <x:v>0</x:v>
      </x:c>
      <x:c r="AV94" s="117" t="n">
        <x:f>$B$94*AV81</x:f>
        <x:v>0</x:v>
      </x:c>
      <x:c r="AW94" s="117" t="n">
        <x:f>$B$94*AW81</x:f>
        <x:v>0</x:v>
      </x:c>
      <x:c r="AX94" s="117" t="n">
        <x:f>$B$94*AX81</x:f>
        <x:v>0</x:v>
      </x:c>
      <x:c r="AY94" s="117" t="n">
        <x:f>$B$94*AY81</x:f>
        <x:v>0</x:v>
      </x:c>
      <x:c r="AZ94" s="117" t="n">
        <x:f>$B$94*AZ81</x:f>
        <x:v>0</x:v>
      </x:c>
      <x:c r="BA94" s="117" t="n">
        <x:f>$B$94*BA81</x:f>
        <x:v>0</x:v>
      </x:c>
      <x:c r="BB94" s="117" t="n">
        <x:f>$B$94*BB81</x:f>
        <x:v>0</x:v>
      </x:c>
      <x:c r="BC94" s="117" t="n">
        <x:f>$B$94*BC81</x:f>
        <x:v>0</x:v>
      </x:c>
      <x:c r="BD94" s="117" t="n">
        <x:f>$B$94*BD81</x:f>
        <x:v>0</x:v>
      </x:c>
      <x:c r="BE94" s="117" t="n">
        <x:f>$B$94*BE81</x:f>
        <x:v>0</x:v>
      </x:c>
      <x:c r="BF94" s="117" t="n">
        <x:f>$B$94*BF81</x:f>
        <x:v>0</x:v>
      </x:c>
      <x:c r="BG94" s="117" t="n">
        <x:f>$B$94*BG81</x:f>
        <x:v>0</x:v>
      </x:c>
      <x:c r="BH94" s="117" t="n">
        <x:f>$B$94*BH81</x:f>
        <x:v>0</x:v>
      </x:c>
      <x:c r="BI94" s="117" t="n">
        <x:f>$B$94*BI81</x:f>
        <x:v>0</x:v>
      </x:c>
      <x:c r="BJ94" s="117" t="n">
        <x:f>$B$94*BJ81</x:f>
        <x:v>0</x:v>
      </x:c>
      <x:c r="BK94" s="117" t="n">
        <x:f>$B$94*BK81</x:f>
        <x:v>0</x:v>
      </x:c>
      <x:c r="BL94" s="117" t="n">
        <x:f>$B$94*BL81</x:f>
        <x:v>0</x:v>
      </x:c>
      <x:c r="BM94" s="117" t="n">
        <x:f>$B$94*BM81</x:f>
        <x:v>0</x:v>
      </x:c>
      <x:c r="BN94" s="117" t="n">
        <x:f>$B$94*BN81</x:f>
        <x:v>0</x:v>
      </x:c>
      <x:c r="BO94" s="117" t="n">
        <x:f>$B$94*BO81</x:f>
        <x:v>0</x:v>
      </x:c>
      <x:c r="BP94" s="117" t="n">
        <x:f>$B$94*BP81</x:f>
        <x:v>0</x:v>
      </x:c>
      <x:c r="BQ94" s="117" t="n">
        <x:f>$B$94*BQ81</x:f>
        <x:v>0</x:v>
      </x:c>
      <x:c r="BR94" s="117" t="n">
        <x:f>$B$94*BR81</x:f>
        <x:v>0</x:v>
      </x:c>
      <x:c r="BS94" s="117" t="n">
        <x:f>$B$94*BS81</x:f>
        <x:v>0</x:v>
      </x:c>
      <x:c r="BT94" s="117" t="n">
        <x:f>$B$94*BT81</x:f>
        <x:v>0</x:v>
      </x:c>
      <x:c r="BU94" s="117" t="n">
        <x:f>$B$94*BU81</x:f>
        <x:v>0</x:v>
      </x:c>
      <x:c r="BV94" s="117" t="n">
        <x:f>$B$94*BV81</x:f>
        <x:v>0</x:v>
      </x:c>
      <x:c r="BW94" s="117" t="n">
        <x:f>$B$94*BW81</x:f>
        <x:v>0</x:v>
      </x:c>
      <x:c r="BX94" s="117" t="n">
        <x:f>$B$94*BX81</x:f>
        <x:v>0</x:v>
      </x:c>
      <x:c r="BY94" s="117" t="n">
        <x:f>$B$94*BY81</x:f>
        <x:v>0</x:v>
      </x:c>
      <x:c r="BZ94" s="117" t="n">
        <x:f>$B$94*BZ81</x:f>
        <x:v>0</x:v>
      </x:c>
      <x:c r="CA94" s="117" t="n">
        <x:f>$B$94*CA81</x:f>
        <x:v>0</x:v>
      </x:c>
      <x:c r="CB94" s="117" t="n">
        <x:f>$B$94*CB81</x:f>
        <x:v>0</x:v>
      </x:c>
      <x:c r="CC94" s="117" t="n">
        <x:f>$B$94*CC81</x:f>
        <x:v>0</x:v>
      </x:c>
      <x:c r="CD94" s="117" t="n">
        <x:f>$B$94*CD81</x:f>
        <x:v>0</x:v>
      </x:c>
      <x:c r="CE94" s="117" t="n">
        <x:f>$B$94*CE81</x:f>
        <x:v>0</x:v>
      </x:c>
      <x:c r="CF94" s="117" t="n">
        <x:f>$B$94*CF81</x:f>
        <x:v>0</x:v>
      </x:c>
      <x:c r="CG94" s="117" t="n">
        <x:f>$B$94*CG81</x:f>
        <x:v>0</x:v>
      </x:c>
      <x:c r="CH94" s="117" t="n">
        <x:f>$B$94*CH81</x:f>
        <x:v>0</x:v>
      </x:c>
      <x:c r="CI94" s="117" t="n">
        <x:f>$B$94*CI81</x:f>
        <x:v>0</x:v>
      </x:c>
      <x:c r="CJ94" s="117" t="n">
        <x:f>$B$94*CJ81</x:f>
        <x:v>0</x:v>
      </x:c>
      <x:c r="CK94" s="117" t="n">
        <x:f>$B$94*CK81</x:f>
        <x:v>0</x:v>
      </x:c>
      <x:c r="CL94" s="117" t="n">
        <x:f>$B$94*CL81</x:f>
        <x:v>0</x:v>
      </x:c>
      <x:c r="CM94" s="117" t="n">
        <x:f>$B$94*CM81</x:f>
        <x:v>0</x:v>
      </x:c>
      <x:c r="CN94" s="117" t="n">
        <x:f>$B$94*CN81</x:f>
        <x:v>0</x:v>
      </x:c>
      <x:c r="CO94" s="117" t="n">
        <x:f>$B$94*CO81</x:f>
        <x:v>0</x:v>
      </x:c>
      <x:c r="CP94" s="117" t="n">
        <x:f>$B$94*CP81</x:f>
        <x:v>0</x:v>
      </x:c>
      <x:c r="CQ94" s="117" t="n">
        <x:f>$B$94*CQ81</x:f>
        <x:v>0</x:v>
      </x:c>
      <x:c r="CR94" s="117" t="n">
        <x:f>$B$94*CR81</x:f>
        <x:v>0</x:v>
      </x:c>
      <x:c r="CS94" s="117" t="n">
        <x:f>$B$94*CS81</x:f>
        <x:v>0</x:v>
      </x:c>
      <x:c r="CT94" s="117" t="n">
        <x:f>$B$94*CT81</x:f>
        <x:v>0</x:v>
      </x:c>
      <x:c r="CU94" s="117" t="n">
        <x:f>$B$94*CU81</x:f>
        <x:v>0</x:v>
      </x:c>
      <x:c r="CV94" s="117" t="n">
        <x:f>$B$94*CV81</x:f>
        <x:v>0</x:v>
      </x:c>
      <x:c r="CW94" s="117" t="n">
        <x:f>$B$94*CW81</x:f>
        <x:v>0</x:v>
      </x:c>
      <x:c r="CX94" s="117" t="n">
        <x:f>$B$94*CX81</x:f>
        <x:v>0</x:v>
      </x:c>
      <x:c r="CY94" s="117" t="n">
        <x:f>$B$94*CY81</x:f>
        <x:v>0</x:v>
      </x:c>
      <x:c r="CZ94" s="117" t="n">
        <x:f>$B$94*CZ81</x:f>
        <x:v>0</x:v>
      </x:c>
      <x:c r="DA94" s="117" t="n">
        <x:f>$B$94*DA81</x:f>
        <x:v>0</x:v>
      </x:c>
      <x:c r="DB94" s="117" t="n">
        <x:f>$B$94*DB81</x:f>
        <x:v>0</x:v>
      </x:c>
      <x:c r="DC94" s="117" t="n">
        <x:f>$B$94*DC81</x:f>
        <x:v>0</x:v>
      </x:c>
      <x:c r="DD94" s="117" t="n">
        <x:f>$B$94*DD81</x:f>
        <x:v>0</x:v>
      </x:c>
      <x:c r="DE94" s="117" t="n">
        <x:f>$B$94*DE81</x:f>
        <x:v>0</x:v>
      </x:c>
      <x:c r="DF94" s="117" t="n">
        <x:f>$B$94*DF81</x:f>
        <x:v>0</x:v>
      </x:c>
      <x:c r="DG94" s="117" t="n">
        <x:f>$B$94*DG81</x:f>
        <x:v>0</x:v>
      </x:c>
      <x:c r="DH94" s="117" t="n">
        <x:f>$B$94*DH81</x:f>
        <x:v>0</x:v>
      </x:c>
      <x:c r="DI94" s="117" t="n">
        <x:f>$B$94*DI81</x:f>
        <x:v>0</x:v>
      </x:c>
      <x:c r="DJ94" s="117" t="n">
        <x:f>$B$94*DJ81</x:f>
        <x:v>0</x:v>
      </x:c>
      <x:c r="DK94" s="117" t="n">
        <x:f>$B$94*DK81</x:f>
        <x:v>0</x:v>
      </x:c>
      <x:c r="DL94" s="117" t="n">
        <x:f>$B$94*DL81</x:f>
        <x:v>0</x:v>
      </x:c>
      <x:c r="DM94" s="117" t="n">
        <x:f>$B$94*DM81</x:f>
        <x:v>0</x:v>
      </x:c>
      <x:c r="DN94" s="117" t="n">
        <x:f>$B$94*DN81</x:f>
        <x:v>0</x:v>
      </x:c>
      <x:c r="DO94" s="117" t="n">
        <x:f>$B$94*DO81</x:f>
        <x:v>0</x:v>
      </x:c>
      <x:c r="DP94" s="117" t="n">
        <x:f>$B$94*DP81</x:f>
        <x:v>0</x:v>
      </x:c>
      <x:c r="DQ94" s="117" t="n">
        <x:f>$B$94*DQ81</x:f>
        <x:v>0</x:v>
      </x:c>
      <x:c r="DR94" s="117" t="n">
        <x:f>$B$94*DR81</x:f>
        <x:v>0</x:v>
      </x:c>
      <x:c r="DS94" s="117" t="n">
        <x:f>$B$94*DS81</x:f>
        <x:v>0</x:v>
      </x:c>
    </x:row>
    <x:row r="95">
      <x:c r="A95" t="str">
        <x:v>Техзаказчик / стройконтроль</x:v>
      </x:c>
      <x:c r="B95" s="107" t="n">
        <x:f>SUM(B84:B94)*'Вводные'!$B$53</x:f>
        <x:v>0</x:v>
      </x:c>
      <x:c r="C95" t="str">
        <x:v>млн ₽</x:v>
      </x:c>
      <x:c r="D95" s="117" t="n">
        <x:f>$B$95*D81</x:f>
        <x:v>0</x:v>
      </x:c>
      <x:c r="E95" s="117" t="n">
        <x:f>$B$95*E81</x:f>
        <x:v>0</x:v>
      </x:c>
      <x:c r="F95" s="117" t="n">
        <x:f>$B$95*F81</x:f>
        <x:v>0</x:v>
      </x:c>
      <x:c r="G95" s="117" t="n">
        <x:f>$B$95*G81</x:f>
        <x:v>0</x:v>
      </x:c>
      <x:c r="H95" s="117" t="n">
        <x:f>$B$95*H81</x:f>
        <x:v>0</x:v>
      </x:c>
      <x:c r="I95" s="117" t="n">
        <x:f>$B$95*I81</x:f>
        <x:v>0</x:v>
      </x:c>
      <x:c r="J95" s="117" t="n">
        <x:f>$B$95*J81</x:f>
        <x:v>0</x:v>
      </x:c>
      <x:c r="K95" s="117" t="n">
        <x:f>$B$95*K81</x:f>
        <x:v>0</x:v>
      </x:c>
      <x:c r="L95" s="117" t="n">
        <x:f>$B$95*L81</x:f>
        <x:v>0</x:v>
      </x:c>
      <x:c r="M95" s="117" t="n">
        <x:f>$B$95*M81</x:f>
        <x:v>0</x:v>
      </x:c>
      <x:c r="N95" s="117" t="n">
        <x:f>$B$95*N81</x:f>
        <x:v>0</x:v>
      </x:c>
      <x:c r="O95" s="117" t="n">
        <x:f>$B$95*O81</x:f>
        <x:v>0</x:v>
      </x:c>
      <x:c r="P95" s="117" t="n">
        <x:f>$B$95*P81</x:f>
        <x:v>0</x:v>
      </x:c>
      <x:c r="Q95" s="117" t="n">
        <x:f>$B$95*Q81</x:f>
        <x:v>0</x:v>
      </x:c>
      <x:c r="R95" s="117" t="n">
        <x:f>$B$95*R81</x:f>
        <x:v>0</x:v>
      </x:c>
      <x:c r="S95" s="117" t="n">
        <x:f>$B$95*S81</x:f>
        <x:v>0</x:v>
      </x:c>
      <x:c r="T95" s="117" t="n">
        <x:f>$B$95*T81</x:f>
        <x:v>0</x:v>
      </x:c>
      <x:c r="U95" s="117" t="n">
        <x:f>$B$95*U81</x:f>
        <x:v>0</x:v>
      </x:c>
      <x:c r="V95" s="117" t="n">
        <x:f>$B$95*V81</x:f>
        <x:v>0</x:v>
      </x:c>
      <x:c r="W95" s="117" t="n">
        <x:f>$B$95*W81</x:f>
        <x:v>0</x:v>
      </x:c>
      <x:c r="X95" s="117" t="n">
        <x:f>$B$95*X81</x:f>
        <x:v>0</x:v>
      </x:c>
      <x:c r="Y95" s="117" t="n">
        <x:f>$B$95*Y81</x:f>
        <x:v>0</x:v>
      </x:c>
      <x:c r="Z95" s="117" t="n">
        <x:f>$B$95*Z81</x:f>
        <x:v>0</x:v>
      </x:c>
      <x:c r="AA95" s="117" t="n">
        <x:f>$B$95*AA81</x:f>
        <x:v>0</x:v>
      </x:c>
      <x:c r="AB95" s="117" t="n">
        <x:f>$B$95*AB81</x:f>
        <x:v>0</x:v>
      </x:c>
      <x:c r="AC95" s="117" t="n">
        <x:f>$B$95*AC81</x:f>
        <x:v>0</x:v>
      </x:c>
      <x:c r="AD95" s="117" t="n">
        <x:f>$B$95*AD81</x:f>
        <x:v>0</x:v>
      </x:c>
      <x:c r="AE95" s="117" t="n">
        <x:f>$B$95*AE81</x:f>
        <x:v>0</x:v>
      </x:c>
      <x:c r="AF95" s="117" t="n">
        <x:f>$B$95*AF81</x:f>
        <x:v>0</x:v>
      </x:c>
      <x:c r="AG95" s="117" t="n">
        <x:f>$B$95*AG81</x:f>
        <x:v>0</x:v>
      </x:c>
      <x:c r="AH95" s="117" t="n">
        <x:f>$B$95*AH81</x:f>
        <x:v>0</x:v>
      </x:c>
      <x:c r="AI95" s="117" t="n">
        <x:f>$B$95*AI81</x:f>
        <x:v>0</x:v>
      </x:c>
      <x:c r="AJ95" s="117" t="n">
        <x:f>$B$95*AJ81</x:f>
        <x:v>0</x:v>
      </x:c>
      <x:c r="AK95" s="117" t="n">
        <x:f>$B$95*AK81</x:f>
        <x:v>0</x:v>
      </x:c>
      <x:c r="AL95" s="117" t="n">
        <x:f>$B$95*AL81</x:f>
        <x:v>0</x:v>
      </x:c>
      <x:c r="AM95" s="117" t="n">
        <x:f>$B$95*AM81</x:f>
        <x:v>0</x:v>
      </x:c>
      <x:c r="AN95" s="117" t="n">
        <x:f>$B$95*AN81</x:f>
        <x:v>0</x:v>
      </x:c>
      <x:c r="AO95" s="117" t="n">
        <x:f>$B$95*AO81</x:f>
        <x:v>0</x:v>
      </x:c>
      <x:c r="AP95" s="117" t="n">
        <x:f>$B$95*AP81</x:f>
        <x:v>0</x:v>
      </x:c>
      <x:c r="AQ95" s="117" t="n">
        <x:f>$B$95*AQ81</x:f>
        <x:v>0</x:v>
      </x:c>
      <x:c r="AR95" s="117" t="n">
        <x:f>$B$95*AR81</x:f>
        <x:v>0</x:v>
      </x:c>
      <x:c r="AS95" s="117" t="n">
        <x:f>$B$95*AS81</x:f>
        <x:v>0</x:v>
      </x:c>
      <x:c r="AT95" s="117" t="n">
        <x:f>$B$95*AT81</x:f>
        <x:v>0</x:v>
      </x:c>
      <x:c r="AU95" s="117" t="n">
        <x:f>$B$95*AU81</x:f>
        <x:v>0</x:v>
      </x:c>
      <x:c r="AV95" s="117" t="n">
        <x:f>$B$95*AV81</x:f>
        <x:v>0</x:v>
      </x:c>
      <x:c r="AW95" s="117" t="n">
        <x:f>$B$95*AW81</x:f>
        <x:v>0</x:v>
      </x:c>
      <x:c r="AX95" s="117" t="n">
        <x:f>$B$95*AX81</x:f>
        <x:v>0</x:v>
      </x:c>
      <x:c r="AY95" s="117" t="n">
        <x:f>$B$95*AY81</x:f>
        <x:v>0</x:v>
      </x:c>
      <x:c r="AZ95" s="117" t="n">
        <x:f>$B$95*AZ81</x:f>
        <x:v>0</x:v>
      </x:c>
      <x:c r="BA95" s="117" t="n">
        <x:f>$B$95*BA81</x:f>
        <x:v>0</x:v>
      </x:c>
      <x:c r="BB95" s="117" t="n">
        <x:f>$B$95*BB81</x:f>
        <x:v>0</x:v>
      </x:c>
      <x:c r="BC95" s="117" t="n">
        <x:f>$B$95*BC81</x:f>
        <x:v>0</x:v>
      </x:c>
      <x:c r="BD95" s="117" t="n">
        <x:f>$B$95*BD81</x:f>
        <x:v>0</x:v>
      </x:c>
      <x:c r="BE95" s="117" t="n">
        <x:f>$B$95*BE81</x:f>
        <x:v>0</x:v>
      </x:c>
      <x:c r="BF95" s="117" t="n">
        <x:f>$B$95*BF81</x:f>
        <x:v>0</x:v>
      </x:c>
      <x:c r="BG95" s="117" t="n">
        <x:f>$B$95*BG81</x:f>
        <x:v>0</x:v>
      </x:c>
      <x:c r="BH95" s="117" t="n">
        <x:f>$B$95*BH81</x:f>
        <x:v>0</x:v>
      </x:c>
      <x:c r="BI95" s="117" t="n">
        <x:f>$B$95*BI81</x:f>
        <x:v>0</x:v>
      </x:c>
      <x:c r="BJ95" s="117" t="n">
        <x:f>$B$95*BJ81</x:f>
        <x:v>0</x:v>
      </x:c>
      <x:c r="BK95" s="117" t="n">
        <x:f>$B$95*BK81</x:f>
        <x:v>0</x:v>
      </x:c>
      <x:c r="BL95" s="117" t="n">
        <x:f>$B$95*BL81</x:f>
        <x:v>0</x:v>
      </x:c>
      <x:c r="BM95" s="117" t="n">
        <x:f>$B$95*BM81</x:f>
        <x:v>0</x:v>
      </x:c>
      <x:c r="BN95" s="117" t="n">
        <x:f>$B$95*BN81</x:f>
        <x:v>0</x:v>
      </x:c>
      <x:c r="BO95" s="117" t="n">
        <x:f>$B$95*BO81</x:f>
        <x:v>0</x:v>
      </x:c>
      <x:c r="BP95" s="117" t="n">
        <x:f>$B$95*BP81</x:f>
        <x:v>0</x:v>
      </x:c>
      <x:c r="BQ95" s="117" t="n">
        <x:f>$B$95*BQ81</x:f>
        <x:v>0</x:v>
      </x:c>
      <x:c r="BR95" s="117" t="n">
        <x:f>$B$95*BR81</x:f>
        <x:v>0</x:v>
      </x:c>
      <x:c r="BS95" s="117" t="n">
        <x:f>$B$95*BS81</x:f>
        <x:v>0</x:v>
      </x:c>
      <x:c r="BT95" s="117" t="n">
        <x:f>$B$95*BT81</x:f>
        <x:v>0</x:v>
      </x:c>
      <x:c r="BU95" s="117" t="n">
        <x:f>$B$95*BU81</x:f>
        <x:v>0</x:v>
      </x:c>
      <x:c r="BV95" s="117" t="n">
        <x:f>$B$95*BV81</x:f>
        <x:v>0</x:v>
      </x:c>
      <x:c r="BW95" s="117" t="n">
        <x:f>$B$95*BW81</x:f>
        <x:v>0</x:v>
      </x:c>
      <x:c r="BX95" s="117" t="n">
        <x:f>$B$95*BX81</x:f>
        <x:v>0</x:v>
      </x:c>
      <x:c r="BY95" s="117" t="n">
        <x:f>$B$95*BY81</x:f>
        <x:v>0</x:v>
      </x:c>
      <x:c r="BZ95" s="117" t="n">
        <x:f>$B$95*BZ81</x:f>
        <x:v>0</x:v>
      </x:c>
      <x:c r="CA95" s="117" t="n">
        <x:f>$B$95*CA81</x:f>
        <x:v>0</x:v>
      </x:c>
      <x:c r="CB95" s="117" t="n">
        <x:f>$B$95*CB81</x:f>
        <x:v>0</x:v>
      </x:c>
      <x:c r="CC95" s="117" t="n">
        <x:f>$B$95*CC81</x:f>
        <x:v>0</x:v>
      </x:c>
      <x:c r="CD95" s="117" t="n">
        <x:f>$B$95*CD81</x:f>
        <x:v>0</x:v>
      </x:c>
      <x:c r="CE95" s="117" t="n">
        <x:f>$B$95*CE81</x:f>
        <x:v>0</x:v>
      </x:c>
      <x:c r="CF95" s="117" t="n">
        <x:f>$B$95*CF81</x:f>
        <x:v>0</x:v>
      </x:c>
      <x:c r="CG95" s="117" t="n">
        <x:f>$B$95*CG81</x:f>
        <x:v>0</x:v>
      </x:c>
      <x:c r="CH95" s="117" t="n">
        <x:f>$B$95*CH81</x:f>
        <x:v>0</x:v>
      </x:c>
      <x:c r="CI95" s="117" t="n">
        <x:f>$B$95*CI81</x:f>
        <x:v>0</x:v>
      </x:c>
      <x:c r="CJ95" s="117" t="n">
        <x:f>$B$95*CJ81</x:f>
        <x:v>0</x:v>
      </x:c>
      <x:c r="CK95" s="117" t="n">
        <x:f>$B$95*CK81</x:f>
        <x:v>0</x:v>
      </x:c>
      <x:c r="CL95" s="117" t="n">
        <x:f>$B$95*CL81</x:f>
        <x:v>0</x:v>
      </x:c>
      <x:c r="CM95" s="117" t="n">
        <x:f>$B$95*CM81</x:f>
        <x:v>0</x:v>
      </x:c>
      <x:c r="CN95" s="117" t="n">
        <x:f>$B$95*CN81</x:f>
        <x:v>0</x:v>
      </x:c>
      <x:c r="CO95" s="117" t="n">
        <x:f>$B$95*CO81</x:f>
        <x:v>0</x:v>
      </x:c>
      <x:c r="CP95" s="117" t="n">
        <x:f>$B$95*CP81</x:f>
        <x:v>0</x:v>
      </x:c>
      <x:c r="CQ95" s="117" t="n">
        <x:f>$B$95*CQ81</x:f>
        <x:v>0</x:v>
      </x:c>
      <x:c r="CR95" s="117" t="n">
        <x:f>$B$95*CR81</x:f>
        <x:v>0</x:v>
      </x:c>
      <x:c r="CS95" s="117" t="n">
        <x:f>$B$95*CS81</x:f>
        <x:v>0</x:v>
      </x:c>
      <x:c r="CT95" s="117" t="n">
        <x:f>$B$95*CT81</x:f>
        <x:v>0</x:v>
      </x:c>
      <x:c r="CU95" s="117" t="n">
        <x:f>$B$95*CU81</x:f>
        <x:v>0</x:v>
      </x:c>
      <x:c r="CV95" s="117" t="n">
        <x:f>$B$95*CV81</x:f>
        <x:v>0</x:v>
      </x:c>
      <x:c r="CW95" s="117" t="n">
        <x:f>$B$95*CW81</x:f>
        <x:v>0</x:v>
      </x:c>
      <x:c r="CX95" s="117" t="n">
        <x:f>$B$95*CX81</x:f>
        <x:v>0</x:v>
      </x:c>
      <x:c r="CY95" s="117" t="n">
        <x:f>$B$95*CY81</x:f>
        <x:v>0</x:v>
      </x:c>
      <x:c r="CZ95" s="117" t="n">
        <x:f>$B$95*CZ81</x:f>
        <x:v>0</x:v>
      </x:c>
      <x:c r="DA95" s="117" t="n">
        <x:f>$B$95*DA81</x:f>
        <x:v>0</x:v>
      </x:c>
      <x:c r="DB95" s="117" t="n">
        <x:f>$B$95*DB81</x:f>
        <x:v>0</x:v>
      </x:c>
      <x:c r="DC95" s="117" t="n">
        <x:f>$B$95*DC81</x:f>
        <x:v>0</x:v>
      </x:c>
      <x:c r="DD95" s="117" t="n">
        <x:f>$B$95*DD81</x:f>
        <x:v>0</x:v>
      </x:c>
      <x:c r="DE95" s="117" t="n">
        <x:f>$B$95*DE81</x:f>
        <x:v>0</x:v>
      </x:c>
      <x:c r="DF95" s="117" t="n">
        <x:f>$B$95*DF81</x:f>
        <x:v>0</x:v>
      </x:c>
      <x:c r="DG95" s="117" t="n">
        <x:f>$B$95*DG81</x:f>
        <x:v>0</x:v>
      </x:c>
      <x:c r="DH95" s="117" t="n">
        <x:f>$B$95*DH81</x:f>
        <x:v>0</x:v>
      </x:c>
      <x:c r="DI95" s="117" t="n">
        <x:f>$B$95*DI81</x:f>
        <x:v>0</x:v>
      </x:c>
      <x:c r="DJ95" s="117" t="n">
        <x:f>$B$95*DJ81</x:f>
        <x:v>0</x:v>
      </x:c>
      <x:c r="DK95" s="117" t="n">
        <x:f>$B$95*DK81</x:f>
        <x:v>0</x:v>
      </x:c>
      <x:c r="DL95" s="117" t="n">
        <x:f>$B$95*DL81</x:f>
        <x:v>0</x:v>
      </x:c>
      <x:c r="DM95" s="117" t="n">
        <x:f>$B$95*DM81</x:f>
        <x:v>0</x:v>
      </x:c>
      <x:c r="DN95" s="117" t="n">
        <x:f>$B$95*DN81</x:f>
        <x:v>0</x:v>
      </x:c>
      <x:c r="DO95" s="117" t="n">
        <x:f>$B$95*DO81</x:f>
        <x:v>0</x:v>
      </x:c>
      <x:c r="DP95" s="117" t="n">
        <x:f>$B$95*DP81</x:f>
        <x:v>0</x:v>
      </x:c>
      <x:c r="DQ95" s="117" t="n">
        <x:f>$B$95*DQ81</x:f>
        <x:v>0</x:v>
      </x:c>
      <x:c r="DR95" s="117" t="n">
        <x:f>$B$95*DR81</x:f>
        <x:v>0</x:v>
      </x:c>
      <x:c r="DS95" s="117" t="n">
        <x:f>$B$95*DS81</x:f>
        <x:v>0</x:v>
      </x:c>
    </x:row>
    <x:row r="96">
      <x:c r="A96" t="str">
        <x:v>Управление проектом</x:v>
      </x:c>
      <x:c r="B96" s="107" t="n">
        <x:f>SUM(B84:B94)*'Вводные'!$B$52</x:f>
        <x:v>0</x:v>
      </x:c>
      <x:c r="C96" t="str">
        <x:v>млн ₽</x:v>
      </x:c>
      <x:c r="D96" s="117" t="n">
        <x:f>$B$96*D78</x:f>
        <x:v>0</x:v>
      </x:c>
      <x:c r="E96" s="117" t="n">
        <x:f>$B$96*E78</x:f>
        <x:v>0</x:v>
      </x:c>
      <x:c r="F96" s="117" t="n">
        <x:f>$B$96*F78</x:f>
        <x:v>0</x:v>
      </x:c>
      <x:c r="G96" s="117" t="n">
        <x:f>$B$96*G78</x:f>
        <x:v>0</x:v>
      </x:c>
      <x:c r="H96" s="117" t="n">
        <x:f>$B$96*H78</x:f>
        <x:v>0</x:v>
      </x:c>
      <x:c r="I96" s="117" t="n">
        <x:f>$B$96*I78</x:f>
        <x:v>0</x:v>
      </x:c>
      <x:c r="J96" s="117" t="n">
        <x:f>$B$96*J78</x:f>
        <x:v>0</x:v>
      </x:c>
      <x:c r="K96" s="117" t="n">
        <x:f>$B$96*K78</x:f>
        <x:v>0</x:v>
      </x:c>
      <x:c r="L96" s="117" t="n">
        <x:f>$B$96*L78</x:f>
        <x:v>0</x:v>
      </x:c>
      <x:c r="M96" s="117" t="n">
        <x:f>$B$96*M78</x:f>
        <x:v>0</x:v>
      </x:c>
      <x:c r="N96" s="117" t="n">
        <x:f>$B$96*N78</x:f>
        <x:v>0</x:v>
      </x:c>
      <x:c r="O96" s="117" t="n">
        <x:f>$B$96*O78</x:f>
        <x:v>0</x:v>
      </x:c>
      <x:c r="P96" s="117" t="n">
        <x:f>$B$96*P78</x:f>
        <x:v>0</x:v>
      </x:c>
      <x:c r="Q96" s="117" t="n">
        <x:f>$B$96*Q78</x:f>
        <x:v>0</x:v>
      </x:c>
      <x:c r="R96" s="117" t="n">
        <x:f>$B$96*R78</x:f>
        <x:v>0</x:v>
      </x:c>
      <x:c r="S96" s="117" t="n">
        <x:f>$B$96*S78</x:f>
        <x:v>0</x:v>
      </x:c>
      <x:c r="T96" s="117" t="n">
        <x:f>$B$96*T78</x:f>
        <x:v>0</x:v>
      </x:c>
      <x:c r="U96" s="117" t="n">
        <x:f>$B$96*U78</x:f>
        <x:v>0</x:v>
      </x:c>
      <x:c r="V96" s="117" t="n">
        <x:f>$B$96*V78</x:f>
        <x:v>0</x:v>
      </x:c>
      <x:c r="W96" s="117" t="n">
        <x:f>$B$96*W78</x:f>
        <x:v>0</x:v>
      </x:c>
      <x:c r="X96" s="117" t="n">
        <x:f>$B$96*X78</x:f>
        <x:v>0</x:v>
      </x:c>
      <x:c r="Y96" s="117" t="n">
        <x:f>$B$96*Y78</x:f>
        <x:v>0</x:v>
      </x:c>
      <x:c r="Z96" s="117" t="n">
        <x:f>$B$96*Z78</x:f>
        <x:v>0</x:v>
      </x:c>
      <x:c r="AA96" s="117" t="n">
        <x:f>$B$96*AA78</x:f>
        <x:v>0</x:v>
      </x:c>
      <x:c r="AB96" s="117" t="n">
        <x:f>$B$96*AB78</x:f>
        <x:v>0</x:v>
      </x:c>
      <x:c r="AC96" s="117" t="n">
        <x:f>$B$96*AC78</x:f>
        <x:v>0</x:v>
      </x:c>
      <x:c r="AD96" s="117" t="n">
        <x:f>$B$96*AD78</x:f>
        <x:v>0</x:v>
      </x:c>
      <x:c r="AE96" s="117" t="n">
        <x:f>$B$96*AE78</x:f>
        <x:v>0</x:v>
      </x:c>
      <x:c r="AF96" s="117" t="n">
        <x:f>$B$96*AF78</x:f>
        <x:v>0</x:v>
      </x:c>
      <x:c r="AG96" s="117" t="n">
        <x:f>$B$96*AG78</x:f>
        <x:v>0</x:v>
      </x:c>
      <x:c r="AH96" s="117" t="n">
        <x:f>$B$96*AH78</x:f>
        <x:v>0</x:v>
      </x:c>
      <x:c r="AI96" s="117" t="n">
        <x:f>$B$96*AI78</x:f>
        <x:v>0</x:v>
      </x:c>
      <x:c r="AJ96" s="117" t="n">
        <x:f>$B$96*AJ78</x:f>
        <x:v>0</x:v>
      </x:c>
      <x:c r="AK96" s="117" t="n">
        <x:f>$B$96*AK78</x:f>
        <x:v>0</x:v>
      </x:c>
      <x:c r="AL96" s="117" t="n">
        <x:f>$B$96*AL78</x:f>
        <x:v>0</x:v>
      </x:c>
      <x:c r="AM96" s="117" t="n">
        <x:f>$B$96*AM78</x:f>
        <x:v>0</x:v>
      </x:c>
      <x:c r="AN96" s="117" t="n">
        <x:f>$B$96*AN78</x:f>
        <x:v>0</x:v>
      </x:c>
      <x:c r="AO96" s="117" t="n">
        <x:f>$B$96*AO78</x:f>
        <x:v>0</x:v>
      </x:c>
      <x:c r="AP96" s="117" t="n">
        <x:f>$B$96*AP78</x:f>
        <x:v>0</x:v>
      </x:c>
      <x:c r="AQ96" s="117" t="n">
        <x:f>$B$96*AQ78</x:f>
        <x:v>0</x:v>
      </x:c>
      <x:c r="AR96" s="117" t="n">
        <x:f>$B$96*AR78</x:f>
        <x:v>0</x:v>
      </x:c>
      <x:c r="AS96" s="117" t="n">
        <x:f>$B$96*AS78</x:f>
        <x:v>0</x:v>
      </x:c>
      <x:c r="AT96" s="117" t="n">
        <x:f>$B$96*AT78</x:f>
        <x:v>0</x:v>
      </x:c>
      <x:c r="AU96" s="117" t="n">
        <x:f>$B$96*AU78</x:f>
        <x:v>0</x:v>
      </x:c>
      <x:c r="AV96" s="117" t="n">
        <x:f>$B$96*AV78</x:f>
        <x:v>0</x:v>
      </x:c>
      <x:c r="AW96" s="117" t="n">
        <x:f>$B$96*AW78</x:f>
        <x:v>0</x:v>
      </x:c>
      <x:c r="AX96" s="117" t="n">
        <x:f>$B$96*AX78</x:f>
        <x:v>0</x:v>
      </x:c>
      <x:c r="AY96" s="117" t="n">
        <x:f>$B$96*AY78</x:f>
        <x:v>0</x:v>
      </x:c>
      <x:c r="AZ96" s="117" t="n">
        <x:f>$B$96*AZ78</x:f>
        <x:v>0</x:v>
      </x:c>
      <x:c r="BA96" s="117" t="n">
        <x:f>$B$96*BA78</x:f>
        <x:v>0</x:v>
      </x:c>
      <x:c r="BB96" s="117" t="n">
        <x:f>$B$96*BB78</x:f>
        <x:v>0</x:v>
      </x:c>
      <x:c r="BC96" s="117" t="n">
        <x:f>$B$96*BC78</x:f>
        <x:v>0</x:v>
      </x:c>
      <x:c r="BD96" s="117" t="n">
        <x:f>$B$96*BD78</x:f>
        <x:v>0</x:v>
      </x:c>
      <x:c r="BE96" s="117" t="n">
        <x:f>$B$96*BE78</x:f>
        <x:v>0</x:v>
      </x:c>
      <x:c r="BF96" s="117" t="n">
        <x:f>$B$96*BF78</x:f>
        <x:v>0</x:v>
      </x:c>
      <x:c r="BG96" s="117" t="n">
        <x:f>$B$96*BG78</x:f>
        <x:v>0</x:v>
      </x:c>
      <x:c r="BH96" s="117" t="n">
        <x:f>$B$96*BH78</x:f>
        <x:v>0</x:v>
      </x:c>
      <x:c r="BI96" s="117" t="n">
        <x:f>$B$96*BI78</x:f>
        <x:v>0</x:v>
      </x:c>
      <x:c r="BJ96" s="117" t="n">
        <x:f>$B$96*BJ78</x:f>
        <x:v>0</x:v>
      </x:c>
      <x:c r="BK96" s="117" t="n">
        <x:f>$B$96*BK78</x:f>
        <x:v>0</x:v>
      </x:c>
      <x:c r="BL96" s="117" t="n">
        <x:f>$B$96*BL78</x:f>
        <x:v>0</x:v>
      </x:c>
      <x:c r="BM96" s="117" t="n">
        <x:f>$B$96*BM78</x:f>
        <x:v>0</x:v>
      </x:c>
      <x:c r="BN96" s="117" t="n">
        <x:f>$B$96*BN78</x:f>
        <x:v>0</x:v>
      </x:c>
      <x:c r="BO96" s="117" t="n">
        <x:f>$B$96*BO78</x:f>
        <x:v>0</x:v>
      </x:c>
      <x:c r="BP96" s="117" t="n">
        <x:f>$B$96*BP78</x:f>
        <x:v>0</x:v>
      </x:c>
      <x:c r="BQ96" s="117" t="n">
        <x:f>$B$96*BQ78</x:f>
        <x:v>0</x:v>
      </x:c>
      <x:c r="BR96" s="117" t="n">
        <x:f>$B$96*BR78</x:f>
        <x:v>0</x:v>
      </x:c>
      <x:c r="BS96" s="117" t="n">
        <x:f>$B$96*BS78</x:f>
        <x:v>0</x:v>
      </x:c>
      <x:c r="BT96" s="117" t="n">
        <x:f>$B$96*BT78</x:f>
        <x:v>0</x:v>
      </x:c>
      <x:c r="BU96" s="117" t="n">
        <x:f>$B$96*BU78</x:f>
        <x:v>0</x:v>
      </x:c>
      <x:c r="BV96" s="117" t="n">
        <x:f>$B$96*BV78</x:f>
        <x:v>0</x:v>
      </x:c>
      <x:c r="BW96" s="117" t="n">
        <x:f>$B$96*BW78</x:f>
        <x:v>0</x:v>
      </x:c>
      <x:c r="BX96" s="117" t="n">
        <x:f>$B$96*BX78</x:f>
        <x:v>0</x:v>
      </x:c>
      <x:c r="BY96" s="117" t="n">
        <x:f>$B$96*BY78</x:f>
        <x:v>0</x:v>
      </x:c>
      <x:c r="BZ96" s="117" t="n">
        <x:f>$B$96*BZ78</x:f>
        <x:v>0</x:v>
      </x:c>
      <x:c r="CA96" s="117" t="n">
        <x:f>$B$96*CA78</x:f>
        <x:v>0</x:v>
      </x:c>
      <x:c r="CB96" s="117" t="n">
        <x:f>$B$96*CB78</x:f>
        <x:v>0</x:v>
      </x:c>
      <x:c r="CC96" s="117" t="n">
        <x:f>$B$96*CC78</x:f>
        <x:v>0</x:v>
      </x:c>
      <x:c r="CD96" s="117" t="n">
        <x:f>$B$96*CD78</x:f>
        <x:v>0</x:v>
      </x:c>
      <x:c r="CE96" s="117" t="n">
        <x:f>$B$96*CE78</x:f>
        <x:v>0</x:v>
      </x:c>
      <x:c r="CF96" s="117" t="n">
        <x:f>$B$96*CF78</x:f>
        <x:v>0</x:v>
      </x:c>
      <x:c r="CG96" s="117" t="n">
        <x:f>$B$96*CG78</x:f>
        <x:v>0</x:v>
      </x:c>
      <x:c r="CH96" s="117" t="n">
        <x:f>$B$96*CH78</x:f>
        <x:v>0</x:v>
      </x:c>
      <x:c r="CI96" s="117" t="n">
        <x:f>$B$96*CI78</x:f>
        <x:v>0</x:v>
      </x:c>
      <x:c r="CJ96" s="117" t="n">
        <x:f>$B$96*CJ78</x:f>
        <x:v>0</x:v>
      </x:c>
      <x:c r="CK96" s="117" t="n">
        <x:f>$B$96*CK78</x:f>
        <x:v>0</x:v>
      </x:c>
      <x:c r="CL96" s="117" t="n">
        <x:f>$B$96*CL78</x:f>
        <x:v>0</x:v>
      </x:c>
      <x:c r="CM96" s="117" t="n">
        <x:f>$B$96*CM78</x:f>
        <x:v>0</x:v>
      </x:c>
      <x:c r="CN96" s="117" t="n">
        <x:f>$B$96*CN78</x:f>
        <x:v>0</x:v>
      </x:c>
      <x:c r="CO96" s="117" t="n">
        <x:f>$B$96*CO78</x:f>
        <x:v>0</x:v>
      </x:c>
      <x:c r="CP96" s="117" t="n">
        <x:f>$B$96*CP78</x:f>
        <x:v>0</x:v>
      </x:c>
      <x:c r="CQ96" s="117" t="n">
        <x:f>$B$96*CQ78</x:f>
        <x:v>0</x:v>
      </x:c>
      <x:c r="CR96" s="117" t="n">
        <x:f>$B$96*CR78</x:f>
        <x:v>0</x:v>
      </x:c>
      <x:c r="CS96" s="117" t="n">
        <x:f>$B$96*CS78</x:f>
        <x:v>0</x:v>
      </x:c>
      <x:c r="CT96" s="117" t="n">
        <x:f>$B$96*CT78</x:f>
        <x:v>0</x:v>
      </x:c>
      <x:c r="CU96" s="117" t="n">
        <x:f>$B$96*CU78</x:f>
        <x:v>0</x:v>
      </x:c>
      <x:c r="CV96" s="117" t="n">
        <x:f>$B$96*CV78</x:f>
        <x:v>0</x:v>
      </x:c>
      <x:c r="CW96" s="117" t="n">
        <x:f>$B$96*CW78</x:f>
        <x:v>0</x:v>
      </x:c>
      <x:c r="CX96" s="117" t="n">
        <x:f>$B$96*CX78</x:f>
        <x:v>0</x:v>
      </x:c>
      <x:c r="CY96" s="117" t="n">
        <x:f>$B$96*CY78</x:f>
        <x:v>0</x:v>
      </x:c>
      <x:c r="CZ96" s="117" t="n">
        <x:f>$B$96*CZ78</x:f>
        <x:v>0</x:v>
      </x:c>
      <x:c r="DA96" s="117" t="n">
        <x:f>$B$96*DA78</x:f>
        <x:v>0</x:v>
      </x:c>
      <x:c r="DB96" s="117" t="n">
        <x:f>$B$96*DB78</x:f>
        <x:v>0</x:v>
      </x:c>
      <x:c r="DC96" s="117" t="n">
        <x:f>$B$96*DC78</x:f>
        <x:v>0</x:v>
      </x:c>
      <x:c r="DD96" s="117" t="n">
        <x:f>$B$96*DD78</x:f>
        <x:v>0</x:v>
      </x:c>
      <x:c r="DE96" s="117" t="n">
        <x:f>$B$96*DE78</x:f>
        <x:v>0</x:v>
      </x:c>
      <x:c r="DF96" s="117" t="n">
        <x:f>$B$96*DF78</x:f>
        <x:v>0</x:v>
      </x:c>
      <x:c r="DG96" s="117" t="n">
        <x:f>$B$96*DG78</x:f>
        <x:v>0</x:v>
      </x:c>
      <x:c r="DH96" s="117" t="n">
        <x:f>$B$96*DH78</x:f>
        <x:v>0</x:v>
      </x:c>
      <x:c r="DI96" s="117" t="n">
        <x:f>$B$96*DI78</x:f>
        <x:v>0</x:v>
      </x:c>
      <x:c r="DJ96" s="117" t="n">
        <x:f>$B$96*DJ78</x:f>
        <x:v>0</x:v>
      </x:c>
      <x:c r="DK96" s="117" t="n">
        <x:f>$B$96*DK78</x:f>
        <x:v>0</x:v>
      </x:c>
      <x:c r="DL96" s="117" t="n">
        <x:f>$B$96*DL78</x:f>
        <x:v>0</x:v>
      </x:c>
      <x:c r="DM96" s="117" t="n">
        <x:f>$B$96*DM78</x:f>
        <x:v>0</x:v>
      </x:c>
      <x:c r="DN96" s="117" t="n">
        <x:f>$B$96*DN78</x:f>
        <x:v>0</x:v>
      </x:c>
      <x:c r="DO96" s="117" t="n">
        <x:f>$B$96*DO78</x:f>
        <x:v>0</x:v>
      </x:c>
      <x:c r="DP96" s="117" t="n">
        <x:f>$B$96*DP78</x:f>
        <x:v>0</x:v>
      </x:c>
      <x:c r="DQ96" s="117" t="n">
        <x:f>$B$96*DQ78</x:f>
        <x:v>0</x:v>
      </x:c>
      <x:c r="DR96" s="117" t="n">
        <x:f>$B$96*DR78</x:f>
        <x:v>0</x:v>
      </x:c>
      <x:c r="DS96" s="117" t="n">
        <x:f>$B$96*DS78</x:f>
        <x:v>0</x:v>
      </x:c>
    </x:row>
    <x:row r="97">
      <x:c r="A97" t="str">
        <x:v>Вознаграждение генподрядчика</x:v>
      </x:c>
      <x:c r="B97" s="107" t="n">
        <x:f>SUM(B84:B94)*'Вводные'!$B$50</x:f>
        <x:v>0</x:v>
      </x:c>
      <x:c r="C97" t="str">
        <x:v>млн ₽</x:v>
      </x:c>
      <x:c r="D97" s="117" t="n">
        <x:f>$B$97*D81</x:f>
        <x:v>0</x:v>
      </x:c>
      <x:c r="E97" s="117" t="n">
        <x:f>$B$97*E81</x:f>
        <x:v>0</x:v>
      </x:c>
      <x:c r="F97" s="117" t="n">
        <x:f>$B$97*F81</x:f>
        <x:v>0</x:v>
      </x:c>
      <x:c r="G97" s="117" t="n">
        <x:f>$B$97*G81</x:f>
        <x:v>0</x:v>
      </x:c>
      <x:c r="H97" s="117" t="n">
        <x:f>$B$97*H81</x:f>
        <x:v>0</x:v>
      </x:c>
      <x:c r="I97" s="117" t="n">
        <x:f>$B$97*I81</x:f>
        <x:v>0</x:v>
      </x:c>
      <x:c r="J97" s="117" t="n">
        <x:f>$B$97*J81</x:f>
        <x:v>0</x:v>
      </x:c>
      <x:c r="K97" s="117" t="n">
        <x:f>$B$97*K81</x:f>
        <x:v>0</x:v>
      </x:c>
      <x:c r="L97" s="117" t="n">
        <x:f>$B$97*L81</x:f>
        <x:v>0</x:v>
      </x:c>
      <x:c r="M97" s="117" t="n">
        <x:f>$B$97*M81</x:f>
        <x:v>0</x:v>
      </x:c>
      <x:c r="N97" s="117" t="n">
        <x:f>$B$97*N81</x:f>
        <x:v>0</x:v>
      </x:c>
      <x:c r="O97" s="117" t="n">
        <x:f>$B$97*O81</x:f>
        <x:v>0</x:v>
      </x:c>
      <x:c r="P97" s="117" t="n">
        <x:f>$B$97*P81</x:f>
        <x:v>0</x:v>
      </x:c>
      <x:c r="Q97" s="117" t="n">
        <x:f>$B$97*Q81</x:f>
        <x:v>0</x:v>
      </x:c>
      <x:c r="R97" s="117" t="n">
        <x:f>$B$97*R81</x:f>
        <x:v>0</x:v>
      </x:c>
      <x:c r="S97" s="117" t="n">
        <x:f>$B$97*S81</x:f>
        <x:v>0</x:v>
      </x:c>
      <x:c r="T97" s="117" t="n">
        <x:f>$B$97*T81</x:f>
        <x:v>0</x:v>
      </x:c>
      <x:c r="U97" s="117" t="n">
        <x:f>$B$97*U81</x:f>
        <x:v>0</x:v>
      </x:c>
      <x:c r="V97" s="117" t="n">
        <x:f>$B$97*V81</x:f>
        <x:v>0</x:v>
      </x:c>
      <x:c r="W97" s="117" t="n">
        <x:f>$B$97*W81</x:f>
        <x:v>0</x:v>
      </x:c>
      <x:c r="X97" s="117" t="n">
        <x:f>$B$97*X81</x:f>
        <x:v>0</x:v>
      </x:c>
      <x:c r="Y97" s="117" t="n">
        <x:f>$B$97*Y81</x:f>
        <x:v>0</x:v>
      </x:c>
      <x:c r="Z97" s="117" t="n">
        <x:f>$B$97*Z81</x:f>
        <x:v>0</x:v>
      </x:c>
      <x:c r="AA97" s="117" t="n">
        <x:f>$B$97*AA81</x:f>
        <x:v>0</x:v>
      </x:c>
      <x:c r="AB97" s="117" t="n">
        <x:f>$B$97*AB81</x:f>
        <x:v>0</x:v>
      </x:c>
      <x:c r="AC97" s="117" t="n">
        <x:f>$B$97*AC81</x:f>
        <x:v>0</x:v>
      </x:c>
      <x:c r="AD97" s="117" t="n">
        <x:f>$B$97*AD81</x:f>
        <x:v>0</x:v>
      </x:c>
      <x:c r="AE97" s="117" t="n">
        <x:f>$B$97*AE81</x:f>
        <x:v>0</x:v>
      </x:c>
      <x:c r="AF97" s="117" t="n">
        <x:f>$B$97*AF81</x:f>
        <x:v>0</x:v>
      </x:c>
      <x:c r="AG97" s="117" t="n">
        <x:f>$B$97*AG81</x:f>
        <x:v>0</x:v>
      </x:c>
      <x:c r="AH97" s="117" t="n">
        <x:f>$B$97*AH81</x:f>
        <x:v>0</x:v>
      </x:c>
      <x:c r="AI97" s="117" t="n">
        <x:f>$B$97*AI81</x:f>
        <x:v>0</x:v>
      </x:c>
      <x:c r="AJ97" s="117" t="n">
        <x:f>$B$97*AJ81</x:f>
        <x:v>0</x:v>
      </x:c>
      <x:c r="AK97" s="117" t="n">
        <x:f>$B$97*AK81</x:f>
        <x:v>0</x:v>
      </x:c>
      <x:c r="AL97" s="117" t="n">
        <x:f>$B$97*AL81</x:f>
        <x:v>0</x:v>
      </x:c>
      <x:c r="AM97" s="117" t="n">
        <x:f>$B$97*AM81</x:f>
        <x:v>0</x:v>
      </x:c>
      <x:c r="AN97" s="117" t="n">
        <x:f>$B$97*AN81</x:f>
        <x:v>0</x:v>
      </x:c>
      <x:c r="AO97" s="117" t="n">
        <x:f>$B$97*AO81</x:f>
        <x:v>0</x:v>
      </x:c>
      <x:c r="AP97" s="117" t="n">
        <x:f>$B$97*AP81</x:f>
        <x:v>0</x:v>
      </x:c>
      <x:c r="AQ97" s="117" t="n">
        <x:f>$B$97*AQ81</x:f>
        <x:v>0</x:v>
      </x:c>
      <x:c r="AR97" s="117" t="n">
        <x:f>$B$97*AR81</x:f>
        <x:v>0</x:v>
      </x:c>
      <x:c r="AS97" s="117" t="n">
        <x:f>$B$97*AS81</x:f>
        <x:v>0</x:v>
      </x:c>
      <x:c r="AT97" s="117" t="n">
        <x:f>$B$97*AT81</x:f>
        <x:v>0</x:v>
      </x:c>
      <x:c r="AU97" s="117" t="n">
        <x:f>$B$97*AU81</x:f>
        <x:v>0</x:v>
      </x:c>
      <x:c r="AV97" s="117" t="n">
        <x:f>$B$97*AV81</x:f>
        <x:v>0</x:v>
      </x:c>
      <x:c r="AW97" s="117" t="n">
        <x:f>$B$97*AW81</x:f>
        <x:v>0</x:v>
      </x:c>
      <x:c r="AX97" s="117" t="n">
        <x:f>$B$97*AX81</x:f>
        <x:v>0</x:v>
      </x:c>
      <x:c r="AY97" s="117" t="n">
        <x:f>$B$97*AY81</x:f>
        <x:v>0</x:v>
      </x:c>
      <x:c r="AZ97" s="117" t="n">
        <x:f>$B$97*AZ81</x:f>
        <x:v>0</x:v>
      </x:c>
      <x:c r="BA97" s="117" t="n">
        <x:f>$B$97*BA81</x:f>
        <x:v>0</x:v>
      </x:c>
      <x:c r="BB97" s="117" t="n">
        <x:f>$B$97*BB81</x:f>
        <x:v>0</x:v>
      </x:c>
      <x:c r="BC97" s="117" t="n">
        <x:f>$B$97*BC81</x:f>
        <x:v>0</x:v>
      </x:c>
      <x:c r="BD97" s="117" t="n">
        <x:f>$B$97*BD81</x:f>
        <x:v>0</x:v>
      </x:c>
      <x:c r="BE97" s="117" t="n">
        <x:f>$B$97*BE81</x:f>
        <x:v>0</x:v>
      </x:c>
      <x:c r="BF97" s="117" t="n">
        <x:f>$B$97*BF81</x:f>
        <x:v>0</x:v>
      </x:c>
      <x:c r="BG97" s="117" t="n">
        <x:f>$B$97*BG81</x:f>
        <x:v>0</x:v>
      </x:c>
      <x:c r="BH97" s="117" t="n">
        <x:f>$B$97*BH81</x:f>
        <x:v>0</x:v>
      </x:c>
      <x:c r="BI97" s="117" t="n">
        <x:f>$B$97*BI81</x:f>
        <x:v>0</x:v>
      </x:c>
      <x:c r="BJ97" s="117" t="n">
        <x:f>$B$97*BJ81</x:f>
        <x:v>0</x:v>
      </x:c>
      <x:c r="BK97" s="117" t="n">
        <x:f>$B$97*BK81</x:f>
        <x:v>0</x:v>
      </x:c>
      <x:c r="BL97" s="117" t="n">
        <x:f>$B$97*BL81</x:f>
        <x:v>0</x:v>
      </x:c>
      <x:c r="BM97" s="117" t="n">
        <x:f>$B$97*BM81</x:f>
        <x:v>0</x:v>
      </x:c>
      <x:c r="BN97" s="117" t="n">
        <x:f>$B$97*BN81</x:f>
        <x:v>0</x:v>
      </x:c>
      <x:c r="BO97" s="117" t="n">
        <x:f>$B$97*BO81</x:f>
        <x:v>0</x:v>
      </x:c>
      <x:c r="BP97" s="117" t="n">
        <x:f>$B$97*BP81</x:f>
        <x:v>0</x:v>
      </x:c>
      <x:c r="BQ97" s="117" t="n">
        <x:f>$B$97*BQ81</x:f>
        <x:v>0</x:v>
      </x:c>
      <x:c r="BR97" s="117" t="n">
        <x:f>$B$97*BR81</x:f>
        <x:v>0</x:v>
      </x:c>
      <x:c r="BS97" s="117" t="n">
        <x:f>$B$97*BS81</x:f>
        <x:v>0</x:v>
      </x:c>
      <x:c r="BT97" s="117" t="n">
        <x:f>$B$97*BT81</x:f>
        <x:v>0</x:v>
      </x:c>
      <x:c r="BU97" s="117" t="n">
        <x:f>$B$97*BU81</x:f>
        <x:v>0</x:v>
      </x:c>
      <x:c r="BV97" s="117" t="n">
        <x:f>$B$97*BV81</x:f>
        <x:v>0</x:v>
      </x:c>
      <x:c r="BW97" s="117" t="n">
        <x:f>$B$97*BW81</x:f>
        <x:v>0</x:v>
      </x:c>
      <x:c r="BX97" s="117" t="n">
        <x:f>$B$97*BX81</x:f>
        <x:v>0</x:v>
      </x:c>
      <x:c r="BY97" s="117" t="n">
        <x:f>$B$97*BY81</x:f>
        <x:v>0</x:v>
      </x:c>
      <x:c r="BZ97" s="117" t="n">
        <x:f>$B$97*BZ81</x:f>
        <x:v>0</x:v>
      </x:c>
      <x:c r="CA97" s="117" t="n">
        <x:f>$B$97*CA81</x:f>
        <x:v>0</x:v>
      </x:c>
      <x:c r="CB97" s="117" t="n">
        <x:f>$B$97*CB81</x:f>
        <x:v>0</x:v>
      </x:c>
      <x:c r="CC97" s="117" t="n">
        <x:f>$B$97*CC81</x:f>
        <x:v>0</x:v>
      </x:c>
      <x:c r="CD97" s="117" t="n">
        <x:f>$B$97*CD81</x:f>
        <x:v>0</x:v>
      </x:c>
      <x:c r="CE97" s="117" t="n">
        <x:f>$B$97*CE81</x:f>
        <x:v>0</x:v>
      </x:c>
      <x:c r="CF97" s="117" t="n">
        <x:f>$B$97*CF81</x:f>
        <x:v>0</x:v>
      </x:c>
      <x:c r="CG97" s="117" t="n">
        <x:f>$B$97*CG81</x:f>
        <x:v>0</x:v>
      </x:c>
      <x:c r="CH97" s="117" t="n">
        <x:f>$B$97*CH81</x:f>
        <x:v>0</x:v>
      </x:c>
      <x:c r="CI97" s="117" t="n">
        <x:f>$B$97*CI81</x:f>
        <x:v>0</x:v>
      </x:c>
      <x:c r="CJ97" s="117" t="n">
        <x:f>$B$97*CJ81</x:f>
        <x:v>0</x:v>
      </x:c>
      <x:c r="CK97" s="117" t="n">
        <x:f>$B$97*CK81</x:f>
        <x:v>0</x:v>
      </x:c>
      <x:c r="CL97" s="117" t="n">
        <x:f>$B$97*CL81</x:f>
        <x:v>0</x:v>
      </x:c>
      <x:c r="CM97" s="117" t="n">
        <x:f>$B$97*CM81</x:f>
        <x:v>0</x:v>
      </x:c>
      <x:c r="CN97" s="117" t="n">
        <x:f>$B$97*CN81</x:f>
        <x:v>0</x:v>
      </x:c>
      <x:c r="CO97" s="117" t="n">
        <x:f>$B$97*CO81</x:f>
        <x:v>0</x:v>
      </x:c>
      <x:c r="CP97" s="117" t="n">
        <x:f>$B$97*CP81</x:f>
        <x:v>0</x:v>
      </x:c>
      <x:c r="CQ97" s="117" t="n">
        <x:f>$B$97*CQ81</x:f>
        <x:v>0</x:v>
      </x:c>
      <x:c r="CR97" s="117" t="n">
        <x:f>$B$97*CR81</x:f>
        <x:v>0</x:v>
      </x:c>
      <x:c r="CS97" s="117" t="n">
        <x:f>$B$97*CS81</x:f>
        <x:v>0</x:v>
      </x:c>
      <x:c r="CT97" s="117" t="n">
        <x:f>$B$97*CT81</x:f>
        <x:v>0</x:v>
      </x:c>
      <x:c r="CU97" s="117" t="n">
        <x:f>$B$97*CU81</x:f>
        <x:v>0</x:v>
      </x:c>
      <x:c r="CV97" s="117" t="n">
        <x:f>$B$97*CV81</x:f>
        <x:v>0</x:v>
      </x:c>
      <x:c r="CW97" s="117" t="n">
        <x:f>$B$97*CW81</x:f>
        <x:v>0</x:v>
      </x:c>
      <x:c r="CX97" s="117" t="n">
        <x:f>$B$97*CX81</x:f>
        <x:v>0</x:v>
      </x:c>
      <x:c r="CY97" s="117" t="n">
        <x:f>$B$97*CY81</x:f>
        <x:v>0</x:v>
      </x:c>
      <x:c r="CZ97" s="117" t="n">
        <x:f>$B$97*CZ81</x:f>
        <x:v>0</x:v>
      </x:c>
      <x:c r="DA97" s="117" t="n">
        <x:f>$B$97*DA81</x:f>
        <x:v>0</x:v>
      </x:c>
      <x:c r="DB97" s="117" t="n">
        <x:f>$B$97*DB81</x:f>
        <x:v>0</x:v>
      </x:c>
      <x:c r="DC97" s="117" t="n">
        <x:f>$B$97*DC81</x:f>
        <x:v>0</x:v>
      </x:c>
      <x:c r="DD97" s="117" t="n">
        <x:f>$B$97*DD81</x:f>
        <x:v>0</x:v>
      </x:c>
      <x:c r="DE97" s="117" t="n">
        <x:f>$B$97*DE81</x:f>
        <x:v>0</x:v>
      </x:c>
      <x:c r="DF97" s="117" t="n">
        <x:f>$B$97*DF81</x:f>
        <x:v>0</x:v>
      </x:c>
      <x:c r="DG97" s="117" t="n">
        <x:f>$B$97*DG81</x:f>
        <x:v>0</x:v>
      </x:c>
      <x:c r="DH97" s="117" t="n">
        <x:f>$B$97*DH81</x:f>
        <x:v>0</x:v>
      </x:c>
      <x:c r="DI97" s="117" t="n">
        <x:f>$B$97*DI81</x:f>
        <x:v>0</x:v>
      </x:c>
      <x:c r="DJ97" s="117" t="n">
        <x:f>$B$97*DJ81</x:f>
        <x:v>0</x:v>
      </x:c>
      <x:c r="DK97" s="117" t="n">
        <x:f>$B$97*DK81</x:f>
        <x:v>0</x:v>
      </x:c>
      <x:c r="DL97" s="117" t="n">
        <x:f>$B$97*DL81</x:f>
        <x:v>0</x:v>
      </x:c>
      <x:c r="DM97" s="117" t="n">
        <x:f>$B$97*DM81</x:f>
        <x:v>0</x:v>
      </x:c>
      <x:c r="DN97" s="117" t="n">
        <x:f>$B$97*DN81</x:f>
        <x:v>0</x:v>
      </x:c>
      <x:c r="DO97" s="117" t="n">
        <x:f>$B$97*DO81</x:f>
        <x:v>0</x:v>
      </x:c>
      <x:c r="DP97" s="117" t="n">
        <x:f>$B$97*DP81</x:f>
        <x:v>0</x:v>
      </x:c>
      <x:c r="DQ97" s="117" t="n">
        <x:f>$B$97*DQ81</x:f>
        <x:v>0</x:v>
      </x:c>
      <x:c r="DR97" s="117" t="n">
        <x:f>$B$97*DR81</x:f>
        <x:v>0</x:v>
      </x:c>
      <x:c r="DS97" s="117" t="n">
        <x:f>$B$97*DS81</x:f>
        <x:v>0</x:v>
      </x:c>
    </x:row>
    <x:row r="98">
      <x:c r="A98" t="str">
        <x:v>Резерв</x:v>
      </x:c>
      <x:c r="B98" s="107" t="n">
        <x:f>(SUM(B83:B97)+B99)*'Вводные'!$B$54</x:f>
        <x:v>0</x:v>
      </x:c>
      <x:c r="C98" t="str">
        <x:v>млн ₽</x:v>
      </x:c>
      <x:c r="D98" s="117" t="n">
        <x:f>$B$98*D81</x:f>
        <x:v>0</x:v>
      </x:c>
      <x:c r="E98" s="117" t="n">
        <x:f>$B$98*E81</x:f>
        <x:v>0</x:v>
      </x:c>
      <x:c r="F98" s="117" t="n">
        <x:f>$B$98*F81</x:f>
        <x:v>0</x:v>
      </x:c>
      <x:c r="G98" s="117" t="n">
        <x:f>$B$98*G81</x:f>
        <x:v>0</x:v>
      </x:c>
      <x:c r="H98" s="117" t="n">
        <x:f>$B$98*H81</x:f>
        <x:v>0</x:v>
      </x:c>
      <x:c r="I98" s="117" t="n">
        <x:f>$B$98*I81</x:f>
        <x:v>0</x:v>
      </x:c>
      <x:c r="J98" s="117" t="n">
        <x:f>$B$98*J81</x:f>
        <x:v>0</x:v>
      </x:c>
      <x:c r="K98" s="117" t="n">
        <x:f>$B$98*K81</x:f>
        <x:v>0</x:v>
      </x:c>
      <x:c r="L98" s="117" t="n">
        <x:f>$B$98*L81</x:f>
        <x:v>0</x:v>
      </x:c>
      <x:c r="M98" s="117" t="n">
        <x:f>$B$98*M81</x:f>
        <x:v>0</x:v>
      </x:c>
      <x:c r="N98" s="117" t="n">
        <x:f>$B$98*N81</x:f>
        <x:v>0</x:v>
      </x:c>
      <x:c r="O98" s="117" t="n">
        <x:f>$B$98*O81</x:f>
        <x:v>0</x:v>
      </x:c>
      <x:c r="P98" s="117" t="n">
        <x:f>$B$98*P81</x:f>
        <x:v>0</x:v>
      </x:c>
      <x:c r="Q98" s="117" t="n">
        <x:f>$B$98*Q81</x:f>
        <x:v>0</x:v>
      </x:c>
      <x:c r="R98" s="117" t="n">
        <x:f>$B$98*R81</x:f>
        <x:v>0</x:v>
      </x:c>
      <x:c r="S98" s="117" t="n">
        <x:f>$B$98*S81</x:f>
        <x:v>0</x:v>
      </x:c>
      <x:c r="T98" s="117" t="n">
        <x:f>$B$98*T81</x:f>
        <x:v>0</x:v>
      </x:c>
      <x:c r="U98" s="117" t="n">
        <x:f>$B$98*U81</x:f>
        <x:v>0</x:v>
      </x:c>
      <x:c r="V98" s="117" t="n">
        <x:f>$B$98*V81</x:f>
        <x:v>0</x:v>
      </x:c>
      <x:c r="W98" s="117" t="n">
        <x:f>$B$98*W81</x:f>
        <x:v>0</x:v>
      </x:c>
      <x:c r="X98" s="117" t="n">
        <x:f>$B$98*X81</x:f>
        <x:v>0</x:v>
      </x:c>
      <x:c r="Y98" s="117" t="n">
        <x:f>$B$98*Y81</x:f>
        <x:v>0</x:v>
      </x:c>
      <x:c r="Z98" s="117" t="n">
        <x:f>$B$98*Z81</x:f>
        <x:v>0</x:v>
      </x:c>
      <x:c r="AA98" s="117" t="n">
        <x:f>$B$98*AA81</x:f>
        <x:v>0</x:v>
      </x:c>
      <x:c r="AB98" s="117" t="n">
        <x:f>$B$98*AB81</x:f>
        <x:v>0</x:v>
      </x:c>
      <x:c r="AC98" s="117" t="n">
        <x:f>$B$98*AC81</x:f>
        <x:v>0</x:v>
      </x:c>
      <x:c r="AD98" s="117" t="n">
        <x:f>$B$98*AD81</x:f>
        <x:v>0</x:v>
      </x:c>
      <x:c r="AE98" s="117" t="n">
        <x:f>$B$98*AE81</x:f>
        <x:v>0</x:v>
      </x:c>
      <x:c r="AF98" s="117" t="n">
        <x:f>$B$98*AF81</x:f>
        <x:v>0</x:v>
      </x:c>
      <x:c r="AG98" s="117" t="n">
        <x:f>$B$98*AG81</x:f>
        <x:v>0</x:v>
      </x:c>
      <x:c r="AH98" s="117" t="n">
        <x:f>$B$98*AH81</x:f>
        <x:v>0</x:v>
      </x:c>
      <x:c r="AI98" s="117" t="n">
        <x:f>$B$98*AI81</x:f>
        <x:v>0</x:v>
      </x:c>
      <x:c r="AJ98" s="117" t="n">
        <x:f>$B$98*AJ81</x:f>
        <x:v>0</x:v>
      </x:c>
      <x:c r="AK98" s="117" t="n">
        <x:f>$B$98*AK81</x:f>
        <x:v>0</x:v>
      </x:c>
      <x:c r="AL98" s="117" t="n">
        <x:f>$B$98*AL81</x:f>
        <x:v>0</x:v>
      </x:c>
      <x:c r="AM98" s="117" t="n">
        <x:f>$B$98*AM81</x:f>
        <x:v>0</x:v>
      </x:c>
      <x:c r="AN98" s="117" t="n">
        <x:f>$B$98*AN81</x:f>
        <x:v>0</x:v>
      </x:c>
      <x:c r="AO98" s="117" t="n">
        <x:f>$B$98*AO81</x:f>
        <x:v>0</x:v>
      </x:c>
      <x:c r="AP98" s="117" t="n">
        <x:f>$B$98*AP81</x:f>
        <x:v>0</x:v>
      </x:c>
      <x:c r="AQ98" s="117" t="n">
        <x:f>$B$98*AQ81</x:f>
        <x:v>0</x:v>
      </x:c>
      <x:c r="AR98" s="117" t="n">
        <x:f>$B$98*AR81</x:f>
        <x:v>0</x:v>
      </x:c>
      <x:c r="AS98" s="117" t="n">
        <x:f>$B$98*AS81</x:f>
        <x:v>0</x:v>
      </x:c>
      <x:c r="AT98" s="117" t="n">
        <x:f>$B$98*AT81</x:f>
        <x:v>0</x:v>
      </x:c>
      <x:c r="AU98" s="117" t="n">
        <x:f>$B$98*AU81</x:f>
        <x:v>0</x:v>
      </x:c>
      <x:c r="AV98" s="117" t="n">
        <x:f>$B$98*AV81</x:f>
        <x:v>0</x:v>
      </x:c>
      <x:c r="AW98" s="117" t="n">
        <x:f>$B$98*AW81</x:f>
        <x:v>0</x:v>
      </x:c>
      <x:c r="AX98" s="117" t="n">
        <x:f>$B$98*AX81</x:f>
        <x:v>0</x:v>
      </x:c>
      <x:c r="AY98" s="117" t="n">
        <x:f>$B$98*AY81</x:f>
        <x:v>0</x:v>
      </x:c>
      <x:c r="AZ98" s="117" t="n">
        <x:f>$B$98*AZ81</x:f>
        <x:v>0</x:v>
      </x:c>
      <x:c r="BA98" s="117" t="n">
        <x:f>$B$98*BA81</x:f>
        <x:v>0</x:v>
      </x:c>
      <x:c r="BB98" s="117" t="n">
        <x:f>$B$98*BB81</x:f>
        <x:v>0</x:v>
      </x:c>
      <x:c r="BC98" s="117" t="n">
        <x:f>$B$98*BC81</x:f>
        <x:v>0</x:v>
      </x:c>
      <x:c r="BD98" s="117" t="n">
        <x:f>$B$98*BD81</x:f>
        <x:v>0</x:v>
      </x:c>
      <x:c r="BE98" s="117" t="n">
        <x:f>$B$98*BE81</x:f>
        <x:v>0</x:v>
      </x:c>
      <x:c r="BF98" s="117" t="n">
        <x:f>$B$98*BF81</x:f>
        <x:v>0</x:v>
      </x:c>
      <x:c r="BG98" s="117" t="n">
        <x:f>$B$98*BG81</x:f>
        <x:v>0</x:v>
      </x:c>
      <x:c r="BH98" s="117" t="n">
        <x:f>$B$98*BH81</x:f>
        <x:v>0</x:v>
      </x:c>
      <x:c r="BI98" s="117" t="n">
        <x:f>$B$98*BI81</x:f>
        <x:v>0</x:v>
      </x:c>
      <x:c r="BJ98" s="117" t="n">
        <x:f>$B$98*BJ81</x:f>
        <x:v>0</x:v>
      </x:c>
      <x:c r="BK98" s="117" t="n">
        <x:f>$B$98*BK81</x:f>
        <x:v>0</x:v>
      </x:c>
      <x:c r="BL98" s="117" t="n">
        <x:f>$B$98*BL81</x:f>
        <x:v>0</x:v>
      </x:c>
      <x:c r="BM98" s="117" t="n">
        <x:f>$B$98*BM81</x:f>
        <x:v>0</x:v>
      </x:c>
      <x:c r="BN98" s="117" t="n">
        <x:f>$B$98*BN81</x:f>
        <x:v>0</x:v>
      </x:c>
      <x:c r="BO98" s="117" t="n">
        <x:f>$B$98*BO81</x:f>
        <x:v>0</x:v>
      </x:c>
      <x:c r="BP98" s="117" t="n">
        <x:f>$B$98*BP81</x:f>
        <x:v>0</x:v>
      </x:c>
      <x:c r="BQ98" s="117" t="n">
        <x:f>$B$98*BQ81</x:f>
        <x:v>0</x:v>
      </x:c>
      <x:c r="BR98" s="117" t="n">
        <x:f>$B$98*BR81</x:f>
        <x:v>0</x:v>
      </x:c>
      <x:c r="BS98" s="117" t="n">
        <x:f>$B$98*BS81</x:f>
        <x:v>0</x:v>
      </x:c>
      <x:c r="BT98" s="117" t="n">
        <x:f>$B$98*BT81</x:f>
        <x:v>0</x:v>
      </x:c>
      <x:c r="BU98" s="117" t="n">
        <x:f>$B$98*BU81</x:f>
        <x:v>0</x:v>
      </x:c>
      <x:c r="BV98" s="117" t="n">
        <x:f>$B$98*BV81</x:f>
        <x:v>0</x:v>
      </x:c>
      <x:c r="BW98" s="117" t="n">
        <x:f>$B$98*BW81</x:f>
        <x:v>0</x:v>
      </x:c>
      <x:c r="BX98" s="117" t="n">
        <x:f>$B$98*BX81</x:f>
        <x:v>0</x:v>
      </x:c>
      <x:c r="BY98" s="117" t="n">
        <x:f>$B$98*BY81</x:f>
        <x:v>0</x:v>
      </x:c>
      <x:c r="BZ98" s="117" t="n">
        <x:f>$B$98*BZ81</x:f>
        <x:v>0</x:v>
      </x:c>
      <x:c r="CA98" s="117" t="n">
        <x:f>$B$98*CA81</x:f>
        <x:v>0</x:v>
      </x:c>
      <x:c r="CB98" s="117" t="n">
        <x:f>$B$98*CB81</x:f>
        <x:v>0</x:v>
      </x:c>
      <x:c r="CC98" s="117" t="n">
        <x:f>$B$98*CC81</x:f>
        <x:v>0</x:v>
      </x:c>
      <x:c r="CD98" s="117" t="n">
        <x:f>$B$98*CD81</x:f>
        <x:v>0</x:v>
      </x:c>
      <x:c r="CE98" s="117" t="n">
        <x:f>$B$98*CE81</x:f>
        <x:v>0</x:v>
      </x:c>
      <x:c r="CF98" s="117" t="n">
        <x:f>$B$98*CF81</x:f>
        <x:v>0</x:v>
      </x:c>
      <x:c r="CG98" s="117" t="n">
        <x:f>$B$98*CG81</x:f>
        <x:v>0</x:v>
      </x:c>
      <x:c r="CH98" s="117" t="n">
        <x:f>$B$98*CH81</x:f>
        <x:v>0</x:v>
      </x:c>
      <x:c r="CI98" s="117" t="n">
        <x:f>$B$98*CI81</x:f>
        <x:v>0</x:v>
      </x:c>
      <x:c r="CJ98" s="117" t="n">
        <x:f>$B$98*CJ81</x:f>
        <x:v>0</x:v>
      </x:c>
      <x:c r="CK98" s="117" t="n">
        <x:f>$B$98*CK81</x:f>
        <x:v>0</x:v>
      </x:c>
      <x:c r="CL98" s="117" t="n">
        <x:f>$B$98*CL81</x:f>
        <x:v>0</x:v>
      </x:c>
      <x:c r="CM98" s="117" t="n">
        <x:f>$B$98*CM81</x:f>
        <x:v>0</x:v>
      </x:c>
      <x:c r="CN98" s="117" t="n">
        <x:f>$B$98*CN81</x:f>
        <x:v>0</x:v>
      </x:c>
      <x:c r="CO98" s="117" t="n">
        <x:f>$B$98*CO81</x:f>
        <x:v>0</x:v>
      </x:c>
      <x:c r="CP98" s="117" t="n">
        <x:f>$B$98*CP81</x:f>
        <x:v>0</x:v>
      </x:c>
      <x:c r="CQ98" s="117" t="n">
        <x:f>$B$98*CQ81</x:f>
        <x:v>0</x:v>
      </x:c>
      <x:c r="CR98" s="117" t="n">
        <x:f>$B$98*CR81</x:f>
        <x:v>0</x:v>
      </x:c>
      <x:c r="CS98" s="117" t="n">
        <x:f>$B$98*CS81</x:f>
        <x:v>0</x:v>
      </x:c>
      <x:c r="CT98" s="117" t="n">
        <x:f>$B$98*CT81</x:f>
        <x:v>0</x:v>
      </x:c>
      <x:c r="CU98" s="117" t="n">
        <x:f>$B$98*CU81</x:f>
        <x:v>0</x:v>
      </x:c>
      <x:c r="CV98" s="117" t="n">
        <x:f>$B$98*CV81</x:f>
        <x:v>0</x:v>
      </x:c>
      <x:c r="CW98" s="117" t="n">
        <x:f>$B$98*CW81</x:f>
        <x:v>0</x:v>
      </x:c>
      <x:c r="CX98" s="117" t="n">
        <x:f>$B$98*CX81</x:f>
        <x:v>0</x:v>
      </x:c>
      <x:c r="CY98" s="117" t="n">
        <x:f>$B$98*CY81</x:f>
        <x:v>0</x:v>
      </x:c>
      <x:c r="CZ98" s="117" t="n">
        <x:f>$B$98*CZ81</x:f>
        <x:v>0</x:v>
      </x:c>
      <x:c r="DA98" s="117" t="n">
        <x:f>$B$98*DA81</x:f>
        <x:v>0</x:v>
      </x:c>
      <x:c r="DB98" s="117" t="n">
        <x:f>$B$98*DB81</x:f>
        <x:v>0</x:v>
      </x:c>
      <x:c r="DC98" s="117" t="n">
        <x:f>$B$98*DC81</x:f>
        <x:v>0</x:v>
      </x:c>
      <x:c r="DD98" s="117" t="n">
        <x:f>$B$98*DD81</x:f>
        <x:v>0</x:v>
      </x:c>
      <x:c r="DE98" s="117" t="n">
        <x:f>$B$98*DE81</x:f>
        <x:v>0</x:v>
      </x:c>
      <x:c r="DF98" s="117" t="n">
        <x:f>$B$98*DF81</x:f>
        <x:v>0</x:v>
      </x:c>
      <x:c r="DG98" s="117" t="n">
        <x:f>$B$98*DG81</x:f>
        <x:v>0</x:v>
      </x:c>
      <x:c r="DH98" s="117" t="n">
        <x:f>$B$98*DH81</x:f>
        <x:v>0</x:v>
      </x:c>
      <x:c r="DI98" s="117" t="n">
        <x:f>$B$98*DI81</x:f>
        <x:v>0</x:v>
      </x:c>
      <x:c r="DJ98" s="117" t="n">
        <x:f>$B$98*DJ81</x:f>
        <x:v>0</x:v>
      </x:c>
      <x:c r="DK98" s="117" t="n">
        <x:f>$B$98*DK81</x:f>
        <x:v>0</x:v>
      </x:c>
      <x:c r="DL98" s="117" t="n">
        <x:f>$B$98*DL81</x:f>
        <x:v>0</x:v>
      </x:c>
      <x:c r="DM98" s="117" t="n">
        <x:f>$B$98*DM81</x:f>
        <x:v>0</x:v>
      </x:c>
      <x:c r="DN98" s="117" t="n">
        <x:f>$B$98*DN81</x:f>
        <x:v>0</x:v>
      </x:c>
      <x:c r="DO98" s="117" t="n">
        <x:f>$B$98*DO81</x:f>
        <x:v>0</x:v>
      </x:c>
      <x:c r="DP98" s="117" t="n">
        <x:f>$B$98*DP81</x:f>
        <x:v>0</x:v>
      </x:c>
      <x:c r="DQ98" s="117" t="n">
        <x:f>$B$98*DQ81</x:f>
        <x:v>0</x:v>
      </x:c>
      <x:c r="DR98" s="117" t="n">
        <x:f>$B$98*DR81</x:f>
        <x:v>0</x:v>
      </x:c>
      <x:c r="DS98" s="117" t="n">
        <x:f>$B$98*DS81</x:f>
        <x:v>0</x:v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  <x:v>0</x:v>
      </x:c>
      <x:c r="C99" t="str">
        <x:v>млн ₽</x:v>
      </x:c>
      <x:c r="D99" s="117" t="n">
        <x:f>IF(AND(YEAR(D$3)=YEAR('Вводные'!$B$18),MONTH(D$3)=MONTH('Вводные'!$B$18)),$B$99,0)</x:f>
        <x:v>0</x:v>
      </x:c>
      <x:c r="E99" s="117" t="n">
        <x:f>IF(AND(YEAR(E$3)=YEAR('Вводные'!$B$18),MONTH(E$3)=MONTH('Вводные'!$B$18)),$B$99,0)</x:f>
        <x:v>0</x:v>
      </x:c>
      <x:c r="F99" s="117" t="n">
        <x:f>IF(AND(YEAR(F$3)=YEAR('Вводные'!$B$18),MONTH(F$3)=MONTH('Вводные'!$B$18)),$B$99,0)</x:f>
        <x:v>0</x:v>
      </x:c>
      <x:c r="G99" s="117" t="n">
        <x:f>IF(AND(YEAR(G$3)=YEAR('Вводные'!$B$18),MONTH(G$3)=MONTH('Вводные'!$B$18)),$B$99,0)</x:f>
        <x:v>0</x:v>
      </x:c>
      <x:c r="H99" s="117" t="n">
        <x:f>IF(AND(YEAR(H$3)=YEAR('Вводные'!$B$18),MONTH(H$3)=MONTH('Вводные'!$B$18)),$B$99,0)</x:f>
        <x:v>0</x:v>
      </x:c>
      <x:c r="I99" s="117" t="n">
        <x:f>IF(AND(YEAR(I$3)=YEAR('Вводные'!$B$18),MONTH(I$3)=MONTH('Вводные'!$B$18)),$B$99,0)</x:f>
        <x:v>0</x:v>
      </x:c>
      <x:c r="J99" s="117" t="n">
        <x:f>IF(AND(YEAR(J$3)=YEAR('Вводные'!$B$18),MONTH(J$3)=MONTH('Вводные'!$B$18)),$B$99,0)</x:f>
        <x:v>0</x:v>
      </x:c>
      <x:c r="K99" s="117" t="n">
        <x:f>IF(AND(YEAR(K$3)=YEAR('Вводные'!$B$18),MONTH(K$3)=MONTH('Вводные'!$B$18)),$B$99,0)</x:f>
        <x:v>0</x:v>
      </x:c>
      <x:c r="L99" s="117" t="n">
        <x:f>IF(AND(YEAR(L$3)=YEAR('Вводные'!$B$18),MONTH(L$3)=MONTH('Вводные'!$B$18)),$B$99,0)</x:f>
        <x:v>0</x:v>
      </x:c>
      <x:c r="M99" s="117" t="n">
        <x:f>IF(AND(YEAR(M$3)=YEAR('Вводные'!$B$18),MONTH(M$3)=MONTH('Вводные'!$B$18)),$B$99,0)</x:f>
        <x:v>0</x:v>
      </x:c>
      <x:c r="N99" s="117" t="n">
        <x:f>IF(AND(YEAR(N$3)=YEAR('Вводные'!$B$18),MONTH(N$3)=MONTH('Вводные'!$B$18)),$B$99,0)</x:f>
        <x:v>0</x:v>
      </x:c>
      <x:c r="O99" s="117" t="n">
        <x:f>IF(AND(YEAR(O$3)=YEAR('Вводные'!$B$18),MONTH(O$3)=MONTH('Вводные'!$B$18)),$B$99,0)</x:f>
        <x:v>0</x:v>
      </x:c>
      <x:c r="P99" s="117" t="n">
        <x:f>IF(AND(YEAR(P$3)=YEAR('Вводные'!$B$18),MONTH(P$3)=MONTH('Вводные'!$B$18)),$B$99,0)</x:f>
        <x:v>0</x:v>
      </x:c>
      <x:c r="Q99" s="117" t="n">
        <x:f>IF(AND(YEAR(Q$3)=YEAR('Вводные'!$B$18),MONTH(Q$3)=MONTH('Вводные'!$B$18)),$B$99,0)</x:f>
        <x:v>0</x:v>
      </x:c>
      <x:c r="R99" s="117" t="n">
        <x:f>IF(AND(YEAR(R$3)=YEAR('Вводные'!$B$18),MONTH(R$3)=MONTH('Вводные'!$B$18)),$B$99,0)</x:f>
        <x:v>0</x:v>
      </x:c>
      <x:c r="S99" s="117" t="n">
        <x:f>IF(AND(YEAR(S$3)=YEAR('Вводные'!$B$18),MONTH(S$3)=MONTH('Вводные'!$B$18)),$B$99,0)</x:f>
        <x:v>0</x:v>
      </x:c>
      <x:c r="T99" s="117" t="n">
        <x:f>IF(AND(YEAR(T$3)=YEAR('Вводные'!$B$18),MONTH(T$3)=MONTH('Вводные'!$B$18)),$B$99,0)</x:f>
        <x:v>0</x:v>
      </x:c>
      <x:c r="U99" s="117" t="n">
        <x:f>IF(AND(YEAR(U$3)=YEAR('Вводные'!$B$18),MONTH(U$3)=MONTH('Вводные'!$B$18)),$B$99,0)</x:f>
        <x:v>0</x:v>
      </x:c>
      <x:c r="V99" s="117" t="n">
        <x:f>IF(AND(YEAR(V$3)=YEAR('Вводные'!$B$18),MONTH(V$3)=MONTH('Вводные'!$B$18)),$B$99,0)</x:f>
        <x:v>0</x:v>
      </x:c>
      <x:c r="W99" s="117" t="n">
        <x:f>IF(AND(YEAR(W$3)=YEAR('Вводные'!$B$18),MONTH(W$3)=MONTH('Вводные'!$B$18)),$B$99,0)</x:f>
        <x:v>0</x:v>
      </x:c>
      <x:c r="X99" s="117" t="n">
        <x:f>IF(AND(YEAR(X$3)=YEAR('Вводные'!$B$18),MONTH(X$3)=MONTH('Вводные'!$B$18)),$B$99,0)</x:f>
        <x:v>0</x:v>
      </x:c>
      <x:c r="Y99" s="117" t="n">
        <x:f>IF(AND(YEAR(Y$3)=YEAR('Вводные'!$B$18),MONTH(Y$3)=MONTH('Вводные'!$B$18)),$B$99,0)</x:f>
        <x:v>0</x:v>
      </x:c>
      <x:c r="Z99" s="117" t="n">
        <x:f>IF(AND(YEAR(Z$3)=YEAR('Вводные'!$B$18),MONTH(Z$3)=MONTH('Вводные'!$B$18)),$B$99,0)</x:f>
        <x:v>0</x:v>
      </x:c>
      <x:c r="AA99" s="117" t="n">
        <x:f>IF(AND(YEAR(AA$3)=YEAR('Вводные'!$B$18),MONTH(AA$3)=MONTH('Вводные'!$B$18)),$B$99,0)</x:f>
        <x:v>0</x:v>
      </x:c>
      <x:c r="AB99" s="117" t="n">
        <x:f>IF(AND(YEAR(AB$3)=YEAR('Вводные'!$B$18),MONTH(AB$3)=MONTH('Вводные'!$B$18)),$B$99,0)</x:f>
        <x:v>0</x:v>
      </x:c>
      <x:c r="AC99" s="117" t="n">
        <x:f>IF(AND(YEAR(AC$3)=YEAR('Вводные'!$B$18),MONTH(AC$3)=MONTH('Вводные'!$B$18)),$B$99,0)</x:f>
        <x:v>0</x:v>
      </x:c>
      <x:c r="AD99" s="117" t="n">
        <x:f>IF(AND(YEAR(AD$3)=YEAR('Вводные'!$B$18),MONTH(AD$3)=MONTH('Вводные'!$B$18)),$B$99,0)</x:f>
        <x:v>0</x:v>
      </x:c>
      <x:c r="AE99" s="117" t="n">
        <x:f>IF(AND(YEAR(AE$3)=YEAR('Вводные'!$B$18),MONTH(AE$3)=MONTH('Вводные'!$B$18)),$B$99,0)</x:f>
        <x:v>0</x:v>
      </x:c>
      <x:c r="AF99" s="117" t="n">
        <x:f>IF(AND(YEAR(AF$3)=YEAR('Вводные'!$B$18),MONTH(AF$3)=MONTH('Вводные'!$B$18)),$B$99,0)</x:f>
        <x:v>0</x:v>
      </x:c>
      <x:c r="AG99" s="117" t="n">
        <x:f>IF(AND(YEAR(AG$3)=YEAR('Вводные'!$B$18),MONTH(AG$3)=MONTH('Вводные'!$B$18)),$B$99,0)</x:f>
        <x:v>0</x:v>
      </x:c>
      <x:c r="AH99" s="117" t="n">
        <x:f>IF(AND(YEAR(AH$3)=YEAR('Вводные'!$B$18),MONTH(AH$3)=MONTH('Вводные'!$B$18)),$B$99,0)</x:f>
        <x:v>0</x:v>
      </x:c>
      <x:c r="AI99" s="117" t="n">
        <x:f>IF(AND(YEAR(AI$3)=YEAR('Вводные'!$B$18),MONTH(AI$3)=MONTH('Вводные'!$B$18)),$B$99,0)</x:f>
        <x:v>0</x:v>
      </x:c>
      <x:c r="AJ99" s="117" t="n">
        <x:f>IF(AND(YEAR(AJ$3)=YEAR('Вводные'!$B$18),MONTH(AJ$3)=MONTH('Вводные'!$B$18)),$B$99,0)</x:f>
        <x:v>0</x:v>
      </x:c>
      <x:c r="AK99" s="117" t="n">
        <x:f>IF(AND(YEAR(AK$3)=YEAR('Вводные'!$B$18),MONTH(AK$3)=MONTH('Вводные'!$B$18)),$B$99,0)</x:f>
        <x:v>0</x:v>
      </x:c>
      <x:c r="AL99" s="117" t="n">
        <x:f>IF(AND(YEAR(AL$3)=YEAR('Вводные'!$B$18),MONTH(AL$3)=MONTH('Вводные'!$B$18)),$B$99,0)</x:f>
        <x:v>0</x:v>
      </x:c>
      <x:c r="AM99" s="117" t="n">
        <x:f>IF(AND(YEAR(AM$3)=YEAR('Вводные'!$B$18),MONTH(AM$3)=MONTH('Вводные'!$B$18)),$B$99,0)</x:f>
        <x:v>0</x:v>
      </x:c>
      <x:c r="AN99" s="117" t="n">
        <x:f>IF(AND(YEAR(AN$3)=YEAR('Вводные'!$B$18),MONTH(AN$3)=MONTH('Вводные'!$B$18)),$B$99,0)</x:f>
        <x:v>0</x:v>
      </x:c>
      <x:c r="AO99" s="117" t="n">
        <x:f>IF(AND(YEAR(AO$3)=YEAR('Вводные'!$B$18),MONTH(AO$3)=MONTH('Вводные'!$B$18)),$B$99,0)</x:f>
        <x:v>0</x:v>
      </x:c>
      <x:c r="AP99" s="117" t="n">
        <x:f>IF(AND(YEAR(AP$3)=YEAR('Вводные'!$B$18),MONTH(AP$3)=MONTH('Вводные'!$B$18)),$B$99,0)</x:f>
        <x:v>0</x:v>
      </x:c>
      <x:c r="AQ99" s="117" t="n">
        <x:f>IF(AND(YEAR(AQ$3)=YEAR('Вводные'!$B$18),MONTH(AQ$3)=MONTH('Вводные'!$B$18)),$B$99,0)</x:f>
        <x:v>0</x:v>
      </x:c>
      <x:c r="AR99" s="117" t="n">
        <x:f>IF(AND(YEAR(AR$3)=YEAR('Вводные'!$B$18),MONTH(AR$3)=MONTH('Вводные'!$B$18)),$B$99,0)</x:f>
        <x:v>0</x:v>
      </x:c>
      <x:c r="AS99" s="117" t="n">
        <x:f>IF(AND(YEAR(AS$3)=YEAR('Вводные'!$B$18),MONTH(AS$3)=MONTH('Вводные'!$B$18)),$B$99,0)</x:f>
        <x:v>0</x:v>
      </x:c>
      <x:c r="AT99" s="117" t="n">
        <x:f>IF(AND(YEAR(AT$3)=YEAR('Вводные'!$B$18),MONTH(AT$3)=MONTH('Вводные'!$B$18)),$B$99,0)</x:f>
        <x:v>0</x:v>
      </x:c>
      <x:c r="AU99" s="117" t="n">
        <x:f>IF(AND(YEAR(AU$3)=YEAR('Вводные'!$B$18),MONTH(AU$3)=MONTH('Вводные'!$B$18)),$B$99,0)</x:f>
        <x:v>0</x:v>
      </x:c>
      <x:c r="AV99" s="117" t="n">
        <x:f>IF(AND(YEAR(AV$3)=YEAR('Вводные'!$B$18),MONTH(AV$3)=MONTH('Вводные'!$B$18)),$B$99,0)</x:f>
        <x:v>0</x:v>
      </x:c>
      <x:c r="AW99" s="117" t="n">
        <x:f>IF(AND(YEAR(AW$3)=YEAR('Вводные'!$B$18),MONTH(AW$3)=MONTH('Вводные'!$B$18)),$B$99,0)</x:f>
        <x:v>0</x:v>
      </x:c>
      <x:c r="AX99" s="117" t="n">
        <x:f>IF(AND(YEAR(AX$3)=YEAR('Вводные'!$B$18),MONTH(AX$3)=MONTH('Вводные'!$B$18)),$B$99,0)</x:f>
        <x:v>0</x:v>
      </x:c>
      <x:c r="AY99" s="117" t="n">
        <x:f>IF(AND(YEAR(AY$3)=YEAR('Вводные'!$B$18),MONTH(AY$3)=MONTH('Вводные'!$B$18)),$B$99,0)</x:f>
        <x:v>0</x:v>
      </x:c>
      <x:c r="AZ99" s="117" t="n">
        <x:f>IF(AND(YEAR(AZ$3)=YEAR('Вводные'!$B$18),MONTH(AZ$3)=MONTH('Вводные'!$B$18)),$B$99,0)</x:f>
        <x:v>0</x:v>
      </x:c>
      <x:c r="BA99" s="117" t="n">
        <x:f>IF(AND(YEAR(BA$3)=YEAR('Вводные'!$B$18),MONTH(BA$3)=MONTH('Вводные'!$B$18)),$B$99,0)</x:f>
        <x:v>0</x:v>
      </x:c>
      <x:c r="BB99" s="117" t="n">
        <x:f>IF(AND(YEAR(BB$3)=YEAR('Вводные'!$B$18),MONTH(BB$3)=MONTH('Вводные'!$B$18)),$B$99,0)</x:f>
        <x:v>0</x:v>
      </x:c>
      <x:c r="BC99" s="117" t="n">
        <x:f>IF(AND(YEAR(BC$3)=YEAR('Вводные'!$B$18),MONTH(BC$3)=MONTH('Вводные'!$B$18)),$B$99,0)</x:f>
        <x:v>0</x:v>
      </x:c>
      <x:c r="BD99" s="117" t="n">
        <x:f>IF(AND(YEAR(BD$3)=YEAR('Вводные'!$B$18),MONTH(BD$3)=MONTH('Вводные'!$B$18)),$B$99,0)</x:f>
        <x:v>0</x:v>
      </x:c>
      <x:c r="BE99" s="117" t="n">
        <x:f>IF(AND(YEAR(BE$3)=YEAR('Вводные'!$B$18),MONTH(BE$3)=MONTH('Вводные'!$B$18)),$B$99,0)</x:f>
        <x:v>0</x:v>
      </x:c>
      <x:c r="BF99" s="117" t="n">
        <x:f>IF(AND(YEAR(BF$3)=YEAR('Вводные'!$B$18),MONTH(BF$3)=MONTH('Вводные'!$B$18)),$B$99,0)</x:f>
        <x:v>0</x:v>
      </x:c>
      <x:c r="BG99" s="117" t="n">
        <x:f>IF(AND(YEAR(BG$3)=YEAR('Вводные'!$B$18),MONTH(BG$3)=MONTH('Вводные'!$B$18)),$B$99,0)</x:f>
        <x:v>0</x:v>
      </x:c>
      <x:c r="BH99" s="117" t="n">
        <x:f>IF(AND(YEAR(BH$3)=YEAR('Вводные'!$B$18),MONTH(BH$3)=MONTH('Вводные'!$B$18)),$B$99,0)</x:f>
        <x:v>0</x:v>
      </x:c>
      <x:c r="BI99" s="117" t="n">
        <x:f>IF(AND(YEAR(BI$3)=YEAR('Вводные'!$B$18),MONTH(BI$3)=MONTH('Вводные'!$B$18)),$B$99,0)</x:f>
        <x:v>0</x:v>
      </x:c>
      <x:c r="BJ99" s="117" t="n">
        <x:f>IF(AND(YEAR(BJ$3)=YEAR('Вводные'!$B$18),MONTH(BJ$3)=MONTH('Вводные'!$B$18)),$B$99,0)</x:f>
        <x:v>0</x:v>
      </x:c>
      <x:c r="BK99" s="117" t="n">
        <x:f>IF(AND(YEAR(BK$3)=YEAR('Вводные'!$B$18),MONTH(BK$3)=MONTH('Вводные'!$B$18)),$B$99,0)</x:f>
        <x:v>0</x:v>
      </x:c>
      <x:c r="BL99" s="117" t="n">
        <x:f>IF(AND(YEAR(BL$3)=YEAR('Вводные'!$B$18),MONTH(BL$3)=MONTH('Вводные'!$B$18)),$B$99,0)</x:f>
        <x:v>0</x:v>
      </x:c>
      <x:c r="BM99" s="117" t="n">
        <x:f>IF(AND(YEAR(BM$3)=YEAR('Вводные'!$B$18),MONTH(BM$3)=MONTH('Вводные'!$B$18)),$B$99,0)</x:f>
        <x:v>0</x:v>
      </x:c>
      <x:c r="BN99" s="117" t="n">
        <x:f>IF(AND(YEAR(BN$3)=YEAR('Вводные'!$B$18),MONTH(BN$3)=MONTH('Вводные'!$B$18)),$B$99,0)</x:f>
        <x:v>0</x:v>
      </x:c>
      <x:c r="BO99" s="117" t="n">
        <x:f>IF(AND(YEAR(BO$3)=YEAR('Вводные'!$B$18),MONTH(BO$3)=MONTH('Вводные'!$B$18)),$B$99,0)</x:f>
        <x:v>0</x:v>
      </x:c>
      <x:c r="BP99" s="117" t="n">
        <x:f>IF(AND(YEAR(BP$3)=YEAR('Вводные'!$B$18),MONTH(BP$3)=MONTH('Вводные'!$B$18)),$B$99,0)</x:f>
        <x:v>0</x:v>
      </x:c>
      <x:c r="BQ99" s="117" t="n">
        <x:f>IF(AND(YEAR(BQ$3)=YEAR('Вводные'!$B$18),MONTH(BQ$3)=MONTH('Вводные'!$B$18)),$B$99,0)</x:f>
        <x:v>0</x:v>
      </x:c>
      <x:c r="BR99" s="117" t="n">
        <x:f>IF(AND(YEAR(BR$3)=YEAR('Вводные'!$B$18),MONTH(BR$3)=MONTH('Вводные'!$B$18)),$B$99,0)</x:f>
        <x:v>0</x:v>
      </x:c>
      <x:c r="BS99" s="117" t="n">
        <x:f>IF(AND(YEAR(BS$3)=YEAR('Вводные'!$B$18),MONTH(BS$3)=MONTH('Вводные'!$B$18)),$B$99,0)</x:f>
        <x:v>0</x:v>
      </x:c>
      <x:c r="BT99" s="117" t="n">
        <x:f>IF(AND(YEAR(BT$3)=YEAR('Вводные'!$B$18),MONTH(BT$3)=MONTH('Вводные'!$B$18)),$B$99,0)</x:f>
        <x:v>0</x:v>
      </x:c>
      <x:c r="BU99" s="117" t="n">
        <x:f>IF(AND(YEAR(BU$3)=YEAR('Вводные'!$B$18),MONTH(BU$3)=MONTH('Вводные'!$B$18)),$B$99,0)</x:f>
        <x:v>0</x:v>
      </x:c>
      <x:c r="BV99" s="117" t="n">
        <x:f>IF(AND(YEAR(BV$3)=YEAR('Вводные'!$B$18),MONTH(BV$3)=MONTH('Вводные'!$B$18)),$B$99,0)</x:f>
        <x:v>0</x:v>
      </x:c>
      <x:c r="BW99" s="117" t="n">
        <x:f>IF(AND(YEAR(BW$3)=YEAR('Вводные'!$B$18),MONTH(BW$3)=MONTH('Вводные'!$B$18)),$B$99,0)</x:f>
        <x:v>0</x:v>
      </x:c>
      <x:c r="BX99" s="117" t="n">
        <x:f>IF(AND(YEAR(BX$3)=YEAR('Вводные'!$B$18),MONTH(BX$3)=MONTH('Вводные'!$B$18)),$B$99,0)</x:f>
        <x:v>0</x:v>
      </x:c>
      <x:c r="BY99" s="117" t="n">
        <x:f>IF(AND(YEAR(BY$3)=YEAR('Вводные'!$B$18),MONTH(BY$3)=MONTH('Вводные'!$B$18)),$B$99,0)</x:f>
        <x:v>0</x:v>
      </x:c>
      <x:c r="BZ99" s="117" t="n">
        <x:f>IF(AND(YEAR(BZ$3)=YEAR('Вводные'!$B$18),MONTH(BZ$3)=MONTH('Вводные'!$B$18)),$B$99,0)</x:f>
        <x:v>0</x:v>
      </x:c>
      <x:c r="CA99" s="117" t="n">
        <x:f>IF(AND(YEAR(CA$3)=YEAR('Вводные'!$B$18),MONTH(CA$3)=MONTH('Вводные'!$B$18)),$B$99,0)</x:f>
        <x:v>0</x:v>
      </x:c>
      <x:c r="CB99" s="117" t="n">
        <x:f>IF(AND(YEAR(CB$3)=YEAR('Вводные'!$B$18),MONTH(CB$3)=MONTH('Вводные'!$B$18)),$B$99,0)</x:f>
        <x:v>0</x:v>
      </x:c>
      <x:c r="CC99" s="117" t="n">
        <x:f>IF(AND(YEAR(CC$3)=YEAR('Вводные'!$B$18),MONTH(CC$3)=MONTH('Вводные'!$B$18)),$B$99,0)</x:f>
        <x:v>0</x:v>
      </x:c>
      <x:c r="CD99" s="117" t="n">
        <x:f>IF(AND(YEAR(CD$3)=YEAR('Вводные'!$B$18),MONTH(CD$3)=MONTH('Вводные'!$B$18)),$B$99,0)</x:f>
        <x:v>0</x:v>
      </x:c>
      <x:c r="CE99" s="117" t="n">
        <x:f>IF(AND(YEAR(CE$3)=YEAR('Вводные'!$B$18),MONTH(CE$3)=MONTH('Вводные'!$B$18)),$B$99,0)</x:f>
        <x:v>0</x:v>
      </x:c>
      <x:c r="CF99" s="117" t="n">
        <x:f>IF(AND(YEAR(CF$3)=YEAR('Вводные'!$B$18),MONTH(CF$3)=MONTH('Вводные'!$B$18)),$B$99,0)</x:f>
        <x:v>0</x:v>
      </x:c>
      <x:c r="CG99" s="117" t="n">
        <x:f>IF(AND(YEAR(CG$3)=YEAR('Вводные'!$B$18),MONTH(CG$3)=MONTH('Вводные'!$B$18)),$B$99,0)</x:f>
        <x:v>0</x:v>
      </x:c>
      <x:c r="CH99" s="117" t="n">
        <x:f>IF(AND(YEAR(CH$3)=YEAR('Вводные'!$B$18),MONTH(CH$3)=MONTH('Вводные'!$B$18)),$B$99,0)</x:f>
        <x:v>0</x:v>
      </x:c>
      <x:c r="CI99" s="117" t="n">
        <x:f>IF(AND(YEAR(CI$3)=YEAR('Вводные'!$B$18),MONTH(CI$3)=MONTH('Вводные'!$B$18)),$B$99,0)</x:f>
        <x:v>0</x:v>
      </x:c>
      <x:c r="CJ99" s="117" t="n">
        <x:f>IF(AND(YEAR(CJ$3)=YEAR('Вводные'!$B$18),MONTH(CJ$3)=MONTH('Вводные'!$B$18)),$B$99,0)</x:f>
        <x:v>0</x:v>
      </x:c>
      <x:c r="CK99" s="117" t="n">
        <x:f>IF(AND(YEAR(CK$3)=YEAR('Вводные'!$B$18),MONTH(CK$3)=MONTH('Вводные'!$B$18)),$B$99,0)</x:f>
        <x:v>0</x:v>
      </x:c>
      <x:c r="CL99" s="117" t="n">
        <x:f>IF(AND(YEAR(CL$3)=YEAR('Вводные'!$B$18),MONTH(CL$3)=MONTH('Вводные'!$B$18)),$B$99,0)</x:f>
        <x:v>0</x:v>
      </x:c>
      <x:c r="CM99" s="117" t="n">
        <x:f>IF(AND(YEAR(CM$3)=YEAR('Вводные'!$B$18),MONTH(CM$3)=MONTH('Вводные'!$B$18)),$B$99,0)</x:f>
        <x:v>0</x:v>
      </x:c>
      <x:c r="CN99" s="117" t="n">
        <x:f>IF(AND(YEAR(CN$3)=YEAR('Вводные'!$B$18),MONTH(CN$3)=MONTH('Вводные'!$B$18)),$B$99,0)</x:f>
        <x:v>0</x:v>
      </x:c>
      <x:c r="CO99" s="117" t="n">
        <x:f>IF(AND(YEAR(CO$3)=YEAR('Вводные'!$B$18),MONTH(CO$3)=MONTH('Вводные'!$B$18)),$B$99,0)</x:f>
        <x:v>0</x:v>
      </x:c>
      <x:c r="CP99" s="117" t="n">
        <x:f>IF(AND(YEAR(CP$3)=YEAR('Вводные'!$B$18),MONTH(CP$3)=MONTH('Вводные'!$B$18)),$B$99,0)</x:f>
        <x:v>0</x:v>
      </x:c>
      <x:c r="CQ99" s="117" t="n">
        <x:f>IF(AND(YEAR(CQ$3)=YEAR('Вводные'!$B$18),MONTH(CQ$3)=MONTH('Вводные'!$B$18)),$B$99,0)</x:f>
        <x:v>0</x:v>
      </x:c>
      <x:c r="CR99" s="117" t="n">
        <x:f>IF(AND(YEAR(CR$3)=YEAR('Вводные'!$B$18),MONTH(CR$3)=MONTH('Вводные'!$B$18)),$B$99,0)</x:f>
        <x:v>0</x:v>
      </x:c>
      <x:c r="CS99" s="117" t="n">
        <x:f>IF(AND(YEAR(CS$3)=YEAR('Вводные'!$B$18),MONTH(CS$3)=MONTH('Вводные'!$B$18)),$B$99,0)</x:f>
        <x:v>0</x:v>
      </x:c>
      <x:c r="CT99" s="117" t="n">
        <x:f>IF(AND(YEAR(CT$3)=YEAR('Вводные'!$B$18),MONTH(CT$3)=MONTH('Вводные'!$B$18)),$B$99,0)</x:f>
        <x:v>0</x:v>
      </x:c>
      <x:c r="CU99" s="117" t="n">
        <x:f>IF(AND(YEAR(CU$3)=YEAR('Вводные'!$B$18),MONTH(CU$3)=MONTH('Вводные'!$B$18)),$B$99,0)</x:f>
        <x:v>0</x:v>
      </x:c>
      <x:c r="CV99" s="117" t="n">
        <x:f>IF(AND(YEAR(CV$3)=YEAR('Вводные'!$B$18),MONTH(CV$3)=MONTH('Вводные'!$B$18)),$B$99,0)</x:f>
        <x:v>0</x:v>
      </x:c>
      <x:c r="CW99" s="117" t="n">
        <x:f>IF(AND(YEAR(CW$3)=YEAR('Вводные'!$B$18),MONTH(CW$3)=MONTH('Вводные'!$B$18)),$B$99,0)</x:f>
        <x:v>0</x:v>
      </x:c>
      <x:c r="CX99" s="117" t="n">
        <x:f>IF(AND(YEAR(CX$3)=YEAR('Вводные'!$B$18),MONTH(CX$3)=MONTH('Вводные'!$B$18)),$B$99,0)</x:f>
        <x:v>0</x:v>
      </x:c>
      <x:c r="CY99" s="117" t="n">
        <x:f>IF(AND(YEAR(CY$3)=YEAR('Вводные'!$B$18),MONTH(CY$3)=MONTH('Вводные'!$B$18)),$B$99,0)</x:f>
        <x:v>0</x:v>
      </x:c>
      <x:c r="CZ99" s="117" t="n">
        <x:f>IF(AND(YEAR(CZ$3)=YEAR('Вводные'!$B$18),MONTH(CZ$3)=MONTH('Вводные'!$B$18)),$B$99,0)</x:f>
        <x:v>0</x:v>
      </x:c>
      <x:c r="DA99" s="117" t="n">
        <x:f>IF(AND(YEAR(DA$3)=YEAR('Вводные'!$B$18),MONTH(DA$3)=MONTH('Вводные'!$B$18)),$B$99,0)</x:f>
        <x:v>0</x:v>
      </x:c>
      <x:c r="DB99" s="117" t="n">
        <x:f>IF(AND(YEAR(DB$3)=YEAR('Вводные'!$B$18),MONTH(DB$3)=MONTH('Вводные'!$B$18)),$B$99,0)</x:f>
        <x:v>0</x:v>
      </x:c>
      <x:c r="DC99" s="117" t="n">
        <x:f>IF(AND(YEAR(DC$3)=YEAR('Вводные'!$B$18),MONTH(DC$3)=MONTH('Вводные'!$B$18)),$B$99,0)</x:f>
        <x:v>0</x:v>
      </x:c>
      <x:c r="DD99" s="117" t="n">
        <x:f>IF(AND(YEAR(DD$3)=YEAR('Вводные'!$B$18),MONTH(DD$3)=MONTH('Вводные'!$B$18)),$B$99,0)</x:f>
        <x:v>0</x:v>
      </x:c>
      <x:c r="DE99" s="117" t="n">
        <x:f>IF(AND(YEAR(DE$3)=YEAR('Вводные'!$B$18),MONTH(DE$3)=MONTH('Вводные'!$B$18)),$B$99,0)</x:f>
        <x:v>0</x:v>
      </x:c>
      <x:c r="DF99" s="117" t="n">
        <x:f>IF(AND(YEAR(DF$3)=YEAR('Вводные'!$B$18),MONTH(DF$3)=MONTH('Вводные'!$B$18)),$B$99,0)</x:f>
        <x:v>0</x:v>
      </x:c>
      <x:c r="DG99" s="117" t="n">
        <x:f>IF(AND(YEAR(DG$3)=YEAR('Вводные'!$B$18),MONTH(DG$3)=MONTH('Вводные'!$B$18)),$B$99,0)</x:f>
        <x:v>0</x:v>
      </x:c>
      <x:c r="DH99" s="117" t="n">
        <x:f>IF(AND(YEAR(DH$3)=YEAR('Вводные'!$B$18),MONTH(DH$3)=MONTH('Вводные'!$B$18)),$B$99,0)</x:f>
        <x:v>0</x:v>
      </x:c>
      <x:c r="DI99" s="117" t="n">
        <x:f>IF(AND(YEAR(DI$3)=YEAR('Вводные'!$B$18),MONTH(DI$3)=MONTH('Вводные'!$B$18)),$B$99,0)</x:f>
        <x:v>0</x:v>
      </x:c>
      <x:c r="DJ99" s="117" t="n">
        <x:f>IF(AND(YEAR(DJ$3)=YEAR('Вводные'!$B$18),MONTH(DJ$3)=MONTH('Вводные'!$B$18)),$B$99,0)</x:f>
        <x:v>0</x:v>
      </x:c>
      <x:c r="DK99" s="117" t="n">
        <x:f>IF(AND(YEAR(DK$3)=YEAR('Вводные'!$B$18),MONTH(DK$3)=MONTH('Вводные'!$B$18)),$B$99,0)</x:f>
        <x:v>0</x:v>
      </x:c>
      <x:c r="DL99" s="117" t="n">
        <x:f>IF(AND(YEAR(DL$3)=YEAR('Вводные'!$B$18),MONTH(DL$3)=MONTH('Вводные'!$B$18)),$B$99,0)</x:f>
        <x:v>0</x:v>
      </x:c>
      <x:c r="DM99" s="117" t="n">
        <x:f>IF(AND(YEAR(DM$3)=YEAR('Вводные'!$B$18),MONTH(DM$3)=MONTH('Вводные'!$B$18)),$B$99,0)</x:f>
        <x:v>0</x:v>
      </x:c>
      <x:c r="DN99" s="117" t="n">
        <x:f>IF(AND(YEAR(DN$3)=YEAR('Вводные'!$B$18),MONTH(DN$3)=MONTH('Вводные'!$B$18)),$B$99,0)</x:f>
        <x:v>0</x:v>
      </x:c>
      <x:c r="DO99" s="117" t="n">
        <x:f>IF(AND(YEAR(DO$3)=YEAR('Вводные'!$B$18),MONTH(DO$3)=MONTH('Вводные'!$B$18)),$B$99,0)</x:f>
        <x:v>0</x:v>
      </x:c>
      <x:c r="DP99" s="117" t="n">
        <x:f>IF(AND(YEAR(DP$3)=YEAR('Вводные'!$B$18),MONTH(DP$3)=MONTH('Вводные'!$B$18)),$B$99,0)</x:f>
        <x:v>0</x:v>
      </x:c>
      <x:c r="DQ99" s="117" t="n">
        <x:f>IF(AND(YEAR(DQ$3)=YEAR('Вводные'!$B$18),MONTH(DQ$3)=MONTH('Вводные'!$B$18)),$B$99,0)</x:f>
        <x:v>0</x:v>
      </x:c>
      <x:c r="DR99" s="117" t="n">
        <x:f>IF(AND(YEAR(DR$3)=YEAR('Вводные'!$B$18),MONTH(DR$3)=MONTH('Вводные'!$B$18)),$B$99,0)</x:f>
        <x:v>0</x:v>
      </x:c>
      <x:c r="DS99" s="117" t="n">
        <x:f>IF(AND(YEAR(DS$3)=YEAR('Вводные'!$B$18),MONTH(DS$3)=MONTH('Вводные'!$B$18)),$B$99,0)</x:f>
        <x:v>0</x:v>
      </x:c>
    </x:row>
    <x:row r="100">
      <x:c r="A100" s="113" t="str">
        <x:v>CAPEX ВСЕГО</x:v>
      </x:c>
      <x:c r="B100" s="113" t="n">
        <x:f>SUM(D100:DS100)</x:f>
        <x:v>0</x:v>
      </x:c>
      <x:c r="C100" s="113" t="str">
        <x:v>млн ₽</x:v>
      </x:c>
      <x:c r="D100" s="120" t="n">
        <x:f>SUM(D82:D99)+'ОБЪЕКТЫ'!D112</x:f>
        <x:v>0</x:v>
      </x:c>
      <x:c r="E100" s="120" t="n">
        <x:f>SUM(E82:E99)+'ОБЪЕКТЫ'!E112</x:f>
        <x:v>0</x:v>
      </x:c>
      <x:c r="F100" s="120" t="n">
        <x:f>SUM(F82:F99)+'ОБЪЕКТЫ'!F112</x:f>
        <x:v>0</x:v>
      </x:c>
      <x:c r="G100" s="120" t="n">
        <x:f>SUM(G82:G99)+'ОБЪЕКТЫ'!G112</x:f>
        <x:v>0</x:v>
      </x:c>
      <x:c r="H100" s="120" t="n">
        <x:f>SUM(H82:H99)+'ОБЪЕКТЫ'!H112</x:f>
        <x:v>0</x:v>
      </x:c>
      <x:c r="I100" s="120" t="n">
        <x:f>SUM(I82:I99)+'ОБЪЕКТЫ'!I112</x:f>
        <x:v>0</x:v>
      </x:c>
      <x:c r="J100" s="120" t="n">
        <x:f>SUM(J82:J99)+'ОБЪЕКТЫ'!J112</x:f>
        <x:v>0</x:v>
      </x:c>
      <x:c r="K100" s="120" t="n">
        <x:f>SUM(K82:K99)+'ОБЪЕКТЫ'!K112</x:f>
        <x:v>0</x:v>
      </x:c>
      <x:c r="L100" s="120" t="n">
        <x:f>SUM(L82:L99)+'ОБЪЕКТЫ'!L112</x:f>
        <x:v>0</x:v>
      </x:c>
      <x:c r="M100" s="120" t="n">
        <x:f>SUM(M82:M99)+'ОБЪЕКТЫ'!M112</x:f>
        <x:v>0</x:v>
      </x:c>
      <x:c r="N100" s="120" t="n">
        <x:f>SUM(N82:N99)+'ОБЪЕКТЫ'!N112</x:f>
        <x:v>0</x:v>
      </x:c>
      <x:c r="O100" s="120" t="n">
        <x:f>SUM(O82:O99)+'ОБЪЕКТЫ'!O112</x:f>
        <x:v>0</x:v>
      </x:c>
      <x:c r="P100" s="120" t="n">
        <x:f>SUM(P82:P99)+'ОБЪЕКТЫ'!P112</x:f>
        <x:v>0</x:v>
      </x:c>
      <x:c r="Q100" s="120" t="n">
        <x:f>SUM(Q82:Q99)+'ОБЪЕКТЫ'!Q112</x:f>
        <x:v>0</x:v>
      </x:c>
      <x:c r="R100" s="120" t="n">
        <x:f>SUM(R82:R99)+'ОБЪЕКТЫ'!R112</x:f>
        <x:v>0</x:v>
      </x:c>
      <x:c r="S100" s="120" t="n">
        <x:f>SUM(S82:S99)+'ОБЪЕКТЫ'!S112</x:f>
        <x:v>0</x:v>
      </x:c>
      <x:c r="T100" s="120" t="n">
        <x:f>SUM(T82:T99)+'ОБЪЕКТЫ'!T112</x:f>
        <x:v>0</x:v>
      </x:c>
      <x:c r="U100" s="120" t="n">
        <x:f>SUM(U82:U99)+'ОБЪЕКТЫ'!U112</x:f>
        <x:v>0</x:v>
      </x:c>
      <x:c r="V100" s="120" t="n">
        <x:f>SUM(V82:V99)+'ОБЪЕКТЫ'!V112</x:f>
        <x:v>0</x:v>
      </x:c>
      <x:c r="W100" s="120" t="n">
        <x:f>SUM(W82:W99)+'ОБЪЕКТЫ'!W112</x:f>
        <x:v>0</x:v>
      </x:c>
      <x:c r="X100" s="120" t="n">
        <x:f>SUM(X82:X99)+'ОБЪЕКТЫ'!X112</x:f>
        <x:v>0</x:v>
      </x:c>
      <x:c r="Y100" s="120" t="n">
        <x:f>SUM(Y82:Y99)+'ОБЪЕКТЫ'!Y112</x:f>
        <x:v>0</x:v>
      </x:c>
      <x:c r="Z100" s="120" t="n">
        <x:f>SUM(Z82:Z99)+'ОБЪЕКТЫ'!Z112</x:f>
        <x:v>0</x:v>
      </x:c>
      <x:c r="AA100" s="120" t="n">
        <x:f>SUM(AA82:AA99)+'ОБЪЕКТЫ'!AA112</x:f>
        <x:v>0</x:v>
      </x:c>
      <x:c r="AB100" s="120" t="n">
        <x:f>SUM(AB82:AB99)+'ОБЪЕКТЫ'!AB112</x:f>
        <x:v>0</x:v>
      </x:c>
      <x:c r="AC100" s="120" t="n">
        <x:f>SUM(AC82:AC99)+'ОБЪЕКТЫ'!AC112</x:f>
        <x:v>0</x:v>
      </x:c>
      <x:c r="AD100" s="120" t="n">
        <x:f>SUM(AD82:AD99)+'ОБЪЕКТЫ'!AD112</x:f>
        <x:v>0</x:v>
      </x:c>
      <x:c r="AE100" s="120" t="n">
        <x:f>SUM(AE82:AE99)+'ОБЪЕКТЫ'!AE112</x:f>
        <x:v>0</x:v>
      </x:c>
      <x:c r="AF100" s="120" t="n">
        <x:f>SUM(AF82:AF99)+'ОБЪЕКТЫ'!AF112</x:f>
        <x:v>0</x:v>
      </x:c>
      <x:c r="AG100" s="120" t="n">
        <x:f>SUM(AG82:AG99)+'ОБЪЕКТЫ'!AG112</x:f>
        <x:v>0</x:v>
      </x:c>
      <x:c r="AH100" s="120" t="n">
        <x:f>SUM(AH82:AH99)+'ОБЪЕКТЫ'!AH112</x:f>
        <x:v>0</x:v>
      </x:c>
      <x:c r="AI100" s="120" t="n">
        <x:f>SUM(AI82:AI99)+'ОБЪЕКТЫ'!AI112</x:f>
        <x:v>0</x:v>
      </x:c>
      <x:c r="AJ100" s="120" t="n">
        <x:f>SUM(AJ82:AJ99)+'ОБЪЕКТЫ'!AJ112</x:f>
        <x:v>0</x:v>
      </x:c>
      <x:c r="AK100" s="120" t="n">
        <x:f>SUM(AK82:AK99)+'ОБЪЕКТЫ'!AK112</x:f>
        <x:v>0</x:v>
      </x:c>
      <x:c r="AL100" s="120" t="n">
        <x:f>SUM(AL82:AL99)+'ОБЪЕКТЫ'!AL112</x:f>
        <x:v>0</x:v>
      </x:c>
      <x:c r="AM100" s="120" t="n">
        <x:f>SUM(AM82:AM99)+'ОБЪЕКТЫ'!AM112</x:f>
        <x:v>0</x:v>
      </x:c>
      <x:c r="AN100" s="120" t="n">
        <x:f>SUM(AN82:AN99)+'ОБЪЕКТЫ'!AN112</x:f>
        <x:v>0</x:v>
      </x:c>
      <x:c r="AO100" s="120" t="n">
        <x:f>SUM(AO82:AO99)+'ОБЪЕКТЫ'!AO112</x:f>
        <x:v>0</x:v>
      </x:c>
      <x:c r="AP100" s="120" t="n">
        <x:f>SUM(AP82:AP99)+'ОБЪЕКТЫ'!AP112</x:f>
        <x:v>0</x:v>
      </x:c>
      <x:c r="AQ100" s="120" t="n">
        <x:f>SUM(AQ82:AQ99)+'ОБЪЕКТЫ'!AQ112</x:f>
        <x:v>0</x:v>
      </x:c>
      <x:c r="AR100" s="120" t="n">
        <x:f>SUM(AR82:AR99)+'ОБЪЕКТЫ'!AR112</x:f>
        <x:v>0</x:v>
      </x:c>
      <x:c r="AS100" s="120" t="n">
        <x:f>SUM(AS82:AS99)+'ОБЪЕКТЫ'!AS112</x:f>
        <x:v>0</x:v>
      </x:c>
      <x:c r="AT100" s="120" t="n">
        <x:f>SUM(AT82:AT99)+'ОБЪЕКТЫ'!AT112</x:f>
        <x:v>0</x:v>
      </x:c>
      <x:c r="AU100" s="120" t="n">
        <x:f>SUM(AU82:AU99)+'ОБЪЕКТЫ'!AU112</x:f>
        <x:v>0</x:v>
      </x:c>
      <x:c r="AV100" s="120" t="n">
        <x:f>SUM(AV82:AV99)+'ОБЪЕКТЫ'!AV112</x:f>
        <x:v>0</x:v>
      </x:c>
      <x:c r="AW100" s="120" t="n">
        <x:f>SUM(AW82:AW99)+'ОБЪЕКТЫ'!AW112</x:f>
        <x:v>0</x:v>
      </x:c>
      <x:c r="AX100" s="120" t="n">
        <x:f>SUM(AX82:AX99)+'ОБЪЕКТЫ'!AX112</x:f>
        <x:v>0</x:v>
      </x:c>
      <x:c r="AY100" s="120" t="n">
        <x:f>SUM(AY82:AY99)+'ОБЪЕКТЫ'!AY112</x:f>
        <x:v>0</x:v>
      </x:c>
      <x:c r="AZ100" s="120" t="n">
        <x:f>SUM(AZ82:AZ99)+'ОБЪЕКТЫ'!AZ112</x:f>
        <x:v>0</x:v>
      </x:c>
      <x:c r="BA100" s="120" t="n">
        <x:f>SUM(BA82:BA99)+'ОБЪЕКТЫ'!BA112</x:f>
        <x:v>0</x:v>
      </x:c>
      <x:c r="BB100" s="120" t="n">
        <x:f>SUM(BB82:BB99)+'ОБЪЕКТЫ'!BB112</x:f>
        <x:v>0</x:v>
      </x:c>
      <x:c r="BC100" s="120" t="n">
        <x:f>SUM(BC82:BC99)+'ОБЪЕКТЫ'!BC112</x:f>
        <x:v>0</x:v>
      </x:c>
      <x:c r="BD100" s="120" t="n">
        <x:f>SUM(BD82:BD99)+'ОБЪЕКТЫ'!BD112</x:f>
        <x:v>0</x:v>
      </x:c>
      <x:c r="BE100" s="120" t="n">
        <x:f>SUM(BE82:BE99)+'ОБЪЕКТЫ'!BE112</x:f>
        <x:v>0</x:v>
      </x:c>
      <x:c r="BF100" s="120" t="n">
        <x:f>SUM(BF82:BF99)+'ОБЪЕКТЫ'!BF112</x:f>
        <x:v>0</x:v>
      </x:c>
      <x:c r="BG100" s="120" t="n">
        <x:f>SUM(BG82:BG99)+'ОБЪЕКТЫ'!BG112</x:f>
        <x:v>0</x:v>
      </x:c>
      <x:c r="BH100" s="120" t="n">
        <x:f>SUM(BH82:BH99)+'ОБЪЕКТЫ'!BH112</x:f>
        <x:v>0</x:v>
      </x:c>
      <x:c r="BI100" s="120" t="n">
        <x:f>SUM(BI82:BI99)+'ОБЪЕКТЫ'!BI112</x:f>
        <x:v>0</x:v>
      </x:c>
      <x:c r="BJ100" s="120" t="n">
        <x:f>SUM(BJ82:BJ99)+'ОБЪЕКТЫ'!BJ112</x:f>
        <x:v>0</x:v>
      </x:c>
      <x:c r="BK100" s="120" t="n">
        <x:f>SUM(BK82:BK99)+'ОБЪЕКТЫ'!BK112</x:f>
        <x:v>0</x:v>
      </x:c>
      <x:c r="BL100" s="120" t="n">
        <x:f>SUM(BL82:BL99)+'ОБЪЕКТЫ'!BL112</x:f>
        <x:v>0</x:v>
      </x:c>
      <x:c r="BM100" s="120" t="n">
        <x:f>SUM(BM82:BM99)+'ОБЪЕКТЫ'!BM112</x:f>
        <x:v>0</x:v>
      </x:c>
      <x:c r="BN100" s="120" t="n">
        <x:f>SUM(BN82:BN99)+'ОБЪЕКТЫ'!BN112</x:f>
        <x:v>0</x:v>
      </x:c>
      <x:c r="BO100" s="120" t="n">
        <x:f>SUM(BO82:BO99)+'ОБЪЕКТЫ'!BO112</x:f>
        <x:v>0</x:v>
      </x:c>
      <x:c r="BP100" s="120" t="n">
        <x:f>SUM(BP82:BP99)+'ОБЪЕКТЫ'!BP112</x:f>
        <x:v>0</x:v>
      </x:c>
      <x:c r="BQ100" s="120" t="n">
        <x:f>SUM(BQ82:BQ99)+'ОБЪЕКТЫ'!BQ112</x:f>
        <x:v>0</x:v>
      </x:c>
      <x:c r="BR100" s="120" t="n">
        <x:f>SUM(BR82:BR99)+'ОБЪЕКТЫ'!BR112</x:f>
        <x:v>0</x:v>
      </x:c>
      <x:c r="BS100" s="120" t="n">
        <x:f>SUM(BS82:BS99)+'ОБЪЕКТЫ'!BS112</x:f>
        <x:v>0</x:v>
      </x:c>
      <x:c r="BT100" s="120" t="n">
        <x:f>SUM(BT82:BT99)+'ОБЪЕКТЫ'!BT112</x:f>
        <x:v>0</x:v>
      </x:c>
      <x:c r="BU100" s="120" t="n">
        <x:f>SUM(BU82:BU99)+'ОБЪЕКТЫ'!BU112</x:f>
        <x:v>0</x:v>
      </x:c>
      <x:c r="BV100" s="120" t="n">
        <x:f>SUM(BV82:BV99)+'ОБЪЕКТЫ'!BV112</x:f>
        <x:v>0</x:v>
      </x:c>
      <x:c r="BW100" s="120" t="n">
        <x:f>SUM(BW82:BW99)+'ОБЪЕКТЫ'!BW112</x:f>
        <x:v>0</x:v>
      </x:c>
      <x:c r="BX100" s="120" t="n">
        <x:f>SUM(BX82:BX99)+'ОБЪЕКТЫ'!BX112</x:f>
        <x:v>0</x:v>
      </x:c>
      <x:c r="BY100" s="120" t="n">
        <x:f>SUM(BY82:BY99)+'ОБЪЕКТЫ'!BY112</x:f>
        <x:v>0</x:v>
      </x:c>
      <x:c r="BZ100" s="120" t="n">
        <x:f>SUM(BZ82:BZ99)+'ОБЪЕКТЫ'!BZ112</x:f>
        <x:v>0</x:v>
      </x:c>
      <x:c r="CA100" s="120" t="n">
        <x:f>SUM(CA82:CA99)+'ОБЪЕКТЫ'!CA112</x:f>
        <x:v>0</x:v>
      </x:c>
      <x:c r="CB100" s="120" t="n">
        <x:f>SUM(CB82:CB99)+'ОБЪЕКТЫ'!CB112</x:f>
        <x:v>0</x:v>
      </x:c>
      <x:c r="CC100" s="120" t="n">
        <x:f>SUM(CC82:CC99)+'ОБЪЕКТЫ'!CC112</x:f>
        <x:v>0</x:v>
      </x:c>
      <x:c r="CD100" s="120" t="n">
        <x:f>SUM(CD82:CD99)+'ОБЪЕКТЫ'!CD112</x:f>
        <x:v>0</x:v>
      </x:c>
      <x:c r="CE100" s="120" t="n">
        <x:f>SUM(CE82:CE99)+'ОБЪЕКТЫ'!CE112</x:f>
        <x:v>0</x:v>
      </x:c>
      <x:c r="CF100" s="120" t="n">
        <x:f>SUM(CF82:CF99)+'ОБЪЕКТЫ'!CF112</x:f>
        <x:v>0</x:v>
      </x:c>
      <x:c r="CG100" s="120" t="n">
        <x:f>SUM(CG82:CG99)+'ОБЪЕКТЫ'!CG112</x:f>
        <x:v>0</x:v>
      </x:c>
      <x:c r="CH100" s="120" t="n">
        <x:f>SUM(CH82:CH99)+'ОБЪЕКТЫ'!CH112</x:f>
        <x:v>0</x:v>
      </x:c>
      <x:c r="CI100" s="120" t="n">
        <x:f>SUM(CI82:CI99)+'ОБЪЕКТЫ'!CI112</x:f>
        <x:v>0</x:v>
      </x:c>
      <x:c r="CJ100" s="120" t="n">
        <x:f>SUM(CJ82:CJ99)+'ОБЪЕКТЫ'!CJ112</x:f>
        <x:v>0</x:v>
      </x:c>
      <x:c r="CK100" s="120" t="n">
        <x:f>SUM(CK82:CK99)+'ОБЪЕКТЫ'!CK112</x:f>
        <x:v>0</x:v>
      </x:c>
      <x:c r="CL100" s="120" t="n">
        <x:f>SUM(CL82:CL99)+'ОБЪЕКТЫ'!CL112</x:f>
        <x:v>0</x:v>
      </x:c>
      <x:c r="CM100" s="120" t="n">
        <x:f>SUM(CM82:CM99)+'ОБЪЕКТЫ'!CM112</x:f>
        <x:v>0</x:v>
      </x:c>
      <x:c r="CN100" s="120" t="n">
        <x:f>SUM(CN82:CN99)+'ОБЪЕКТЫ'!CN112</x:f>
        <x:v>0</x:v>
      </x:c>
      <x:c r="CO100" s="120" t="n">
        <x:f>SUM(CO82:CO99)+'ОБЪЕКТЫ'!CO112</x:f>
        <x:v>0</x:v>
      </x:c>
      <x:c r="CP100" s="120" t="n">
        <x:f>SUM(CP82:CP99)+'ОБЪЕКТЫ'!CP112</x:f>
        <x:v>0</x:v>
      </x:c>
      <x:c r="CQ100" s="120" t="n">
        <x:f>SUM(CQ82:CQ99)+'ОБЪЕКТЫ'!CQ112</x:f>
        <x:v>0</x:v>
      </x:c>
      <x:c r="CR100" s="120" t="n">
        <x:f>SUM(CR82:CR99)+'ОБЪЕКТЫ'!CR112</x:f>
        <x:v>0</x:v>
      </x:c>
      <x:c r="CS100" s="120" t="n">
        <x:f>SUM(CS82:CS99)+'ОБЪЕКТЫ'!CS112</x:f>
        <x:v>0</x:v>
      </x:c>
      <x:c r="CT100" s="120" t="n">
        <x:f>SUM(CT82:CT99)+'ОБЪЕКТЫ'!CT112</x:f>
        <x:v>0</x:v>
      </x:c>
      <x:c r="CU100" s="120" t="n">
        <x:f>SUM(CU82:CU99)+'ОБЪЕКТЫ'!CU112</x:f>
        <x:v>0</x:v>
      </x:c>
      <x:c r="CV100" s="120" t="n">
        <x:f>SUM(CV82:CV99)+'ОБЪЕКТЫ'!CV112</x:f>
        <x:v>0</x:v>
      </x:c>
      <x:c r="CW100" s="120" t="n">
        <x:f>SUM(CW82:CW99)+'ОБЪЕКТЫ'!CW112</x:f>
        <x:v>0</x:v>
      </x:c>
      <x:c r="CX100" s="120" t="n">
        <x:f>SUM(CX82:CX99)+'ОБЪЕКТЫ'!CX112</x:f>
        <x:v>0</x:v>
      </x:c>
      <x:c r="CY100" s="120" t="n">
        <x:f>SUM(CY82:CY99)+'ОБЪЕКТЫ'!CY112</x:f>
        <x:v>0</x:v>
      </x:c>
      <x:c r="CZ100" s="120" t="n">
        <x:f>SUM(CZ82:CZ99)+'ОБЪЕКТЫ'!CZ112</x:f>
        <x:v>0</x:v>
      </x:c>
      <x:c r="DA100" s="120" t="n">
        <x:f>SUM(DA82:DA99)+'ОБЪЕКТЫ'!DA112</x:f>
        <x:v>0</x:v>
      </x:c>
      <x:c r="DB100" s="120" t="n">
        <x:f>SUM(DB82:DB99)+'ОБЪЕКТЫ'!DB112</x:f>
        <x:v>0</x:v>
      </x:c>
      <x:c r="DC100" s="120" t="n">
        <x:f>SUM(DC82:DC99)+'ОБЪЕКТЫ'!DC112</x:f>
        <x:v>0</x:v>
      </x:c>
      <x:c r="DD100" s="120" t="n">
        <x:f>SUM(DD82:DD99)+'ОБЪЕКТЫ'!DD112</x:f>
        <x:v>0</x:v>
      </x:c>
      <x:c r="DE100" s="120" t="n">
        <x:f>SUM(DE82:DE99)+'ОБЪЕКТЫ'!DE112</x:f>
        <x:v>0</x:v>
      </x:c>
      <x:c r="DF100" s="120" t="n">
        <x:f>SUM(DF82:DF99)+'ОБЪЕКТЫ'!DF112</x:f>
        <x:v>0</x:v>
      </x:c>
      <x:c r="DG100" s="120" t="n">
        <x:f>SUM(DG82:DG99)+'ОБЪЕКТЫ'!DG112</x:f>
        <x:v>0</x:v>
      </x:c>
      <x:c r="DH100" s="120" t="n">
        <x:f>SUM(DH82:DH99)+'ОБЪЕКТЫ'!DH112</x:f>
        <x:v>0</x:v>
      </x:c>
      <x:c r="DI100" s="120" t="n">
        <x:f>SUM(DI82:DI99)+'ОБЪЕКТЫ'!DI112</x:f>
        <x:v>0</x:v>
      </x:c>
      <x:c r="DJ100" s="120" t="n">
        <x:f>SUM(DJ82:DJ99)+'ОБЪЕКТЫ'!DJ112</x:f>
        <x:v>0</x:v>
      </x:c>
      <x:c r="DK100" s="120" t="n">
        <x:f>SUM(DK82:DK99)+'ОБЪЕКТЫ'!DK112</x:f>
        <x:v>0</x:v>
      </x:c>
      <x:c r="DL100" s="120" t="n">
        <x:f>SUM(DL82:DL99)+'ОБЪЕКТЫ'!DL112</x:f>
        <x:v>0</x:v>
      </x:c>
      <x:c r="DM100" s="120" t="n">
        <x:f>SUM(DM82:DM99)+'ОБЪЕКТЫ'!DM112</x:f>
        <x:v>0</x:v>
      </x:c>
      <x:c r="DN100" s="120" t="n">
        <x:f>SUM(DN82:DN99)+'ОБЪЕКТЫ'!DN112</x:f>
        <x:v>0</x:v>
      </x:c>
      <x:c r="DO100" s="120" t="n">
        <x:f>SUM(DO82:DO99)+'ОБЪЕКТЫ'!DO112</x:f>
        <x:v>0</x:v>
      </x:c>
      <x:c r="DP100" s="120" t="n">
        <x:f>SUM(DP82:DP99)+'ОБЪЕКТЫ'!DP112</x:f>
        <x:v>0</x:v>
      </x:c>
      <x:c r="DQ100" s="120" t="n">
        <x:f>SUM(DQ82:DQ99)+'ОБЪЕКТЫ'!DQ112</x:f>
        <x:v>0</x:v>
      </x:c>
      <x:c r="DR100" s="120" t="n">
        <x:f>SUM(DR82:DR99)+'ОБЪЕКТЫ'!DR112</x:f>
        <x:v>0</x:v>
      </x:c>
      <x:c r="DS100" s="120" t="n">
        <x:f>SUM(DS82:DS99)+'ОБЪЕКТЫ'!DS112</x:f>
        <x:v>0</x:v>
      </x:c>
    </x:row>
    <x:row r="101">
      <x:c r="A101" t="str">
        <x:v>Маркетинг</x:v>
      </x:c>
      <x:c r="B101" s="107" t="n">
        <x:f>SUM(D101:DS101)</x:f>
        <x:v>0</x:v>
      </x:c>
      <x:c r="C101" t="str">
        <x:v>млн ₽</x:v>
      </x:c>
      <x:c r="D101" s="117" t="n">
        <x:f>'Продажи'!D72*'Вводные'!$B$19+'ОБЪЕКТЫ'!D113</x:f>
        <x:v>0</x:v>
      </x:c>
      <x:c r="E101" s="117" t="n">
        <x:f>'Продажи'!E72*'Вводные'!$B$19+'ОБЪЕКТЫ'!E113</x:f>
        <x:v>0</x:v>
      </x:c>
      <x:c r="F101" s="117" t="n">
        <x:f>'Продажи'!F72*'Вводные'!$B$19+'ОБЪЕКТЫ'!F113</x:f>
        <x:v>0</x:v>
      </x:c>
      <x:c r="G101" s="117" t="n">
        <x:f>'Продажи'!G72*'Вводные'!$B$19+'ОБЪЕКТЫ'!G113</x:f>
        <x:v>0</x:v>
      </x:c>
      <x:c r="H101" s="117" t="n">
        <x:f>'Продажи'!H72*'Вводные'!$B$19+'ОБЪЕКТЫ'!H113</x:f>
        <x:v>0</x:v>
      </x:c>
      <x:c r="I101" s="117" t="n">
        <x:f>'Продажи'!I72*'Вводные'!$B$19+'ОБЪЕКТЫ'!I113</x:f>
        <x:v>0</x:v>
      </x:c>
      <x:c r="J101" s="117" t="n">
        <x:f>'Продажи'!J72*'Вводные'!$B$19+'ОБЪЕКТЫ'!J113</x:f>
        <x:v>0</x:v>
      </x:c>
      <x:c r="K101" s="117" t="n">
        <x:f>'Продажи'!K72*'Вводные'!$B$19+'ОБЪЕКТЫ'!K113</x:f>
        <x:v>0</x:v>
      </x:c>
      <x:c r="L101" s="117" t="n">
        <x:f>'Продажи'!L72*'Вводные'!$B$19+'ОБЪЕКТЫ'!L113</x:f>
        <x:v>0</x:v>
      </x:c>
      <x:c r="M101" s="117" t="n">
        <x:f>'Продажи'!M72*'Вводные'!$B$19+'ОБЪЕКТЫ'!M113</x:f>
        <x:v>0</x:v>
      </x:c>
      <x:c r="N101" s="117" t="n">
        <x:f>'Продажи'!N72*'Вводные'!$B$19+'ОБЪЕКТЫ'!N113</x:f>
        <x:v>0</x:v>
      </x:c>
      <x:c r="O101" s="117" t="n">
        <x:f>'Продажи'!O72*'Вводные'!$B$19+'ОБЪЕКТЫ'!O113</x:f>
        <x:v>0</x:v>
      </x:c>
      <x:c r="P101" s="117" t="n">
        <x:f>'Продажи'!P72*'Вводные'!$B$19+'ОБЪЕКТЫ'!P113</x:f>
        <x:v>0</x:v>
      </x:c>
      <x:c r="Q101" s="117" t="n">
        <x:f>'Продажи'!Q72*'Вводные'!$B$19+'ОБЪЕКТЫ'!Q113</x:f>
        <x:v>0</x:v>
      </x:c>
      <x:c r="R101" s="117" t="n">
        <x:f>'Продажи'!R72*'Вводные'!$B$19+'ОБЪЕКТЫ'!R113</x:f>
        <x:v>0</x:v>
      </x:c>
      <x:c r="S101" s="117" t="n">
        <x:f>'Продажи'!S72*'Вводные'!$B$19+'ОБЪЕКТЫ'!S113</x:f>
        <x:v>0</x:v>
      </x:c>
      <x:c r="T101" s="117" t="n">
        <x:f>'Продажи'!T72*'Вводные'!$B$19+'ОБЪЕКТЫ'!T113</x:f>
        <x:v>0</x:v>
      </x:c>
      <x:c r="U101" s="117" t="n">
        <x:f>'Продажи'!U72*'Вводные'!$B$19+'ОБЪЕКТЫ'!U113</x:f>
        <x:v>0</x:v>
      </x:c>
      <x:c r="V101" s="117" t="n">
        <x:f>'Продажи'!V72*'Вводные'!$B$19+'ОБЪЕКТЫ'!V113</x:f>
        <x:v>0</x:v>
      </x:c>
      <x:c r="W101" s="117" t="n">
        <x:f>'Продажи'!W72*'Вводные'!$B$19+'ОБЪЕКТЫ'!W113</x:f>
        <x:v>0</x:v>
      </x:c>
      <x:c r="X101" s="117" t="n">
        <x:f>'Продажи'!X72*'Вводные'!$B$19+'ОБЪЕКТЫ'!X113</x:f>
        <x:v>0</x:v>
      </x:c>
      <x:c r="Y101" s="117" t="n">
        <x:f>'Продажи'!Y72*'Вводные'!$B$19+'ОБЪЕКТЫ'!Y113</x:f>
        <x:v>0</x:v>
      </x:c>
      <x:c r="Z101" s="117" t="n">
        <x:f>'Продажи'!Z72*'Вводные'!$B$19+'ОБЪЕКТЫ'!Z113</x:f>
        <x:v>0</x:v>
      </x:c>
      <x:c r="AA101" s="117" t="n">
        <x:f>'Продажи'!AA72*'Вводные'!$B$19+'ОБЪЕКТЫ'!AA113</x:f>
        <x:v>0</x:v>
      </x:c>
      <x:c r="AB101" s="117" t="n">
        <x:f>'Продажи'!AB72*'Вводные'!$B$19+'ОБЪЕКТЫ'!AB113</x:f>
        <x:v>0</x:v>
      </x:c>
      <x:c r="AC101" s="117" t="n">
        <x:f>'Продажи'!AC72*'Вводные'!$B$19+'ОБЪЕКТЫ'!AC113</x:f>
        <x:v>0</x:v>
      </x:c>
      <x:c r="AD101" s="117" t="n">
        <x:f>'Продажи'!AD72*'Вводные'!$B$19+'ОБЪЕКТЫ'!AD113</x:f>
        <x:v>0</x:v>
      </x:c>
      <x:c r="AE101" s="117" t="n">
        <x:f>'Продажи'!AE72*'Вводные'!$B$19+'ОБЪЕКТЫ'!AE113</x:f>
        <x:v>0</x:v>
      </x:c>
      <x:c r="AF101" s="117" t="n">
        <x:f>'Продажи'!AF72*'Вводные'!$B$19+'ОБЪЕКТЫ'!AF113</x:f>
        <x:v>0</x:v>
      </x:c>
      <x:c r="AG101" s="117" t="n">
        <x:f>'Продажи'!AG72*'Вводные'!$B$19+'ОБЪЕКТЫ'!AG113</x:f>
        <x:v>0</x:v>
      </x:c>
      <x:c r="AH101" s="117" t="n">
        <x:f>'Продажи'!AH72*'Вводные'!$B$19+'ОБЪЕКТЫ'!AH113</x:f>
        <x:v>0</x:v>
      </x:c>
      <x:c r="AI101" s="117" t="n">
        <x:f>'Продажи'!AI72*'Вводные'!$B$19+'ОБЪЕКТЫ'!AI113</x:f>
        <x:v>0</x:v>
      </x:c>
      <x:c r="AJ101" s="117" t="n">
        <x:f>'Продажи'!AJ72*'Вводные'!$B$19+'ОБЪЕКТЫ'!AJ113</x:f>
        <x:v>0</x:v>
      </x:c>
      <x:c r="AK101" s="117" t="n">
        <x:f>'Продажи'!AK72*'Вводные'!$B$19+'ОБЪЕКТЫ'!AK113</x:f>
        <x:v>0</x:v>
      </x:c>
      <x:c r="AL101" s="117" t="n">
        <x:f>'Продажи'!AL72*'Вводные'!$B$19+'ОБЪЕКТЫ'!AL113</x:f>
        <x:v>0</x:v>
      </x:c>
      <x:c r="AM101" s="117" t="n">
        <x:f>'Продажи'!AM72*'Вводные'!$B$19+'ОБЪЕКТЫ'!AM113</x:f>
        <x:v>0</x:v>
      </x:c>
      <x:c r="AN101" s="117" t="n">
        <x:f>'Продажи'!AN72*'Вводные'!$B$19+'ОБЪЕКТЫ'!AN113</x:f>
        <x:v>0</x:v>
      </x:c>
      <x:c r="AO101" s="117" t="n">
        <x:f>'Продажи'!AO72*'Вводные'!$B$19+'ОБЪЕКТЫ'!AO113</x:f>
        <x:v>0</x:v>
      </x:c>
      <x:c r="AP101" s="117" t="n">
        <x:f>'Продажи'!AP72*'Вводные'!$B$19+'ОБЪЕКТЫ'!AP113</x:f>
        <x:v>0</x:v>
      </x:c>
      <x:c r="AQ101" s="117" t="n">
        <x:f>'Продажи'!AQ72*'Вводные'!$B$19+'ОБЪЕКТЫ'!AQ113</x:f>
        <x:v>0</x:v>
      </x:c>
      <x:c r="AR101" s="117" t="n">
        <x:f>'Продажи'!AR72*'Вводные'!$B$19+'ОБЪЕКТЫ'!AR113</x:f>
        <x:v>0</x:v>
      </x:c>
      <x:c r="AS101" s="117" t="n">
        <x:f>'Продажи'!AS72*'Вводные'!$B$19+'ОБЪЕКТЫ'!AS113</x:f>
        <x:v>0</x:v>
      </x:c>
      <x:c r="AT101" s="117" t="n">
        <x:f>'Продажи'!AT72*'Вводные'!$B$19+'ОБЪЕКТЫ'!AT113</x:f>
        <x:v>0</x:v>
      </x:c>
      <x:c r="AU101" s="117" t="n">
        <x:f>'Продажи'!AU72*'Вводные'!$B$19+'ОБЪЕКТЫ'!AU113</x:f>
        <x:v>0</x:v>
      </x:c>
      <x:c r="AV101" s="117" t="n">
        <x:f>'Продажи'!AV72*'Вводные'!$B$19+'ОБЪЕКТЫ'!AV113</x:f>
        <x:v>0</x:v>
      </x:c>
      <x:c r="AW101" s="117" t="n">
        <x:f>'Продажи'!AW72*'Вводные'!$B$19+'ОБЪЕКТЫ'!AW113</x:f>
        <x:v>0</x:v>
      </x:c>
      <x:c r="AX101" s="117" t="n">
        <x:f>'Продажи'!AX72*'Вводные'!$B$19+'ОБЪЕКТЫ'!AX113</x:f>
        <x:v>0</x:v>
      </x:c>
      <x:c r="AY101" s="117" t="n">
        <x:f>'Продажи'!AY72*'Вводные'!$B$19+'ОБЪЕКТЫ'!AY113</x:f>
        <x:v>0</x:v>
      </x:c>
      <x:c r="AZ101" s="117" t="n">
        <x:f>'Продажи'!AZ72*'Вводные'!$B$19+'ОБЪЕКТЫ'!AZ113</x:f>
        <x:v>0</x:v>
      </x:c>
      <x:c r="BA101" s="117" t="n">
        <x:f>'Продажи'!BA72*'Вводные'!$B$19+'ОБЪЕКТЫ'!BA113</x:f>
        <x:v>0</x:v>
      </x:c>
      <x:c r="BB101" s="117" t="n">
        <x:f>'Продажи'!BB72*'Вводные'!$B$19+'ОБЪЕКТЫ'!BB113</x:f>
        <x:v>0</x:v>
      </x:c>
      <x:c r="BC101" s="117" t="n">
        <x:f>'Продажи'!BC72*'Вводные'!$B$19+'ОБЪЕКТЫ'!BC113</x:f>
        <x:v>0</x:v>
      </x:c>
      <x:c r="BD101" s="117" t="n">
        <x:f>'Продажи'!BD72*'Вводные'!$B$19+'ОБЪЕКТЫ'!BD113</x:f>
        <x:v>0</x:v>
      </x:c>
      <x:c r="BE101" s="117" t="n">
        <x:f>'Продажи'!BE72*'Вводные'!$B$19+'ОБЪЕКТЫ'!BE113</x:f>
        <x:v>0</x:v>
      </x:c>
      <x:c r="BF101" s="117" t="n">
        <x:f>'Продажи'!BF72*'Вводные'!$B$19+'ОБЪЕКТЫ'!BF113</x:f>
        <x:v>0</x:v>
      </x:c>
      <x:c r="BG101" s="117" t="n">
        <x:f>'Продажи'!BG72*'Вводные'!$B$19+'ОБЪЕКТЫ'!BG113</x:f>
        <x:v>0</x:v>
      </x:c>
      <x:c r="BH101" s="117" t="n">
        <x:f>'Продажи'!BH72*'Вводные'!$B$19+'ОБЪЕКТЫ'!BH113</x:f>
        <x:v>0</x:v>
      </x:c>
      <x:c r="BI101" s="117" t="n">
        <x:f>'Продажи'!BI72*'Вводные'!$B$19+'ОБЪЕКТЫ'!BI113</x:f>
        <x:v>0</x:v>
      </x:c>
      <x:c r="BJ101" s="117" t="n">
        <x:f>'Продажи'!BJ72*'Вводные'!$B$19+'ОБЪЕКТЫ'!BJ113</x:f>
        <x:v>0</x:v>
      </x:c>
      <x:c r="BK101" s="117" t="n">
        <x:f>'Продажи'!BK72*'Вводные'!$B$19+'ОБЪЕКТЫ'!BK113</x:f>
        <x:v>0</x:v>
      </x:c>
      <x:c r="BL101" s="117" t="n">
        <x:f>'Продажи'!BL72*'Вводные'!$B$19+'ОБЪЕКТЫ'!BL113</x:f>
        <x:v>0</x:v>
      </x:c>
      <x:c r="BM101" s="117" t="n">
        <x:f>'Продажи'!BM72*'Вводные'!$B$19+'ОБЪЕКТЫ'!BM113</x:f>
        <x:v>0</x:v>
      </x:c>
      <x:c r="BN101" s="117" t="n">
        <x:f>'Продажи'!BN72*'Вводные'!$B$19+'ОБЪЕКТЫ'!BN113</x:f>
        <x:v>0</x:v>
      </x:c>
      <x:c r="BO101" s="117" t="n">
        <x:f>'Продажи'!BO72*'Вводные'!$B$19+'ОБЪЕКТЫ'!BO113</x:f>
        <x:v>0</x:v>
      </x:c>
      <x:c r="BP101" s="117" t="n">
        <x:f>'Продажи'!BP72*'Вводные'!$B$19+'ОБЪЕКТЫ'!BP113</x:f>
        <x:v>0</x:v>
      </x:c>
      <x:c r="BQ101" s="117" t="n">
        <x:f>'Продажи'!BQ72*'Вводные'!$B$19+'ОБЪЕКТЫ'!BQ113</x:f>
        <x:v>0</x:v>
      </x:c>
      <x:c r="BR101" s="117" t="n">
        <x:f>'Продажи'!BR72*'Вводные'!$B$19+'ОБЪЕКТЫ'!BR113</x:f>
        <x:v>0</x:v>
      </x:c>
      <x:c r="BS101" s="117" t="n">
        <x:f>'Продажи'!BS72*'Вводные'!$B$19+'ОБЪЕКТЫ'!BS113</x:f>
        <x:v>0</x:v>
      </x:c>
      <x:c r="BT101" s="117" t="n">
        <x:f>'Продажи'!BT72*'Вводные'!$B$19+'ОБЪЕКТЫ'!BT113</x:f>
        <x:v>0</x:v>
      </x:c>
      <x:c r="BU101" s="117" t="n">
        <x:f>'Продажи'!BU72*'Вводные'!$B$19+'ОБЪЕКТЫ'!BU113</x:f>
        <x:v>0</x:v>
      </x:c>
      <x:c r="BV101" s="117" t="n">
        <x:f>'Продажи'!BV72*'Вводные'!$B$19+'ОБЪЕКТЫ'!BV113</x:f>
        <x:v>0</x:v>
      </x:c>
      <x:c r="BW101" s="117" t="n">
        <x:f>'Продажи'!BW72*'Вводные'!$B$19+'ОБЪЕКТЫ'!BW113</x:f>
        <x:v>0</x:v>
      </x:c>
      <x:c r="BX101" s="117" t="n">
        <x:f>'Продажи'!BX72*'Вводные'!$B$19+'ОБЪЕКТЫ'!BX113</x:f>
        <x:v>0</x:v>
      </x:c>
      <x:c r="BY101" s="117" t="n">
        <x:f>'Продажи'!BY72*'Вводные'!$B$19+'ОБЪЕКТЫ'!BY113</x:f>
        <x:v>0</x:v>
      </x:c>
      <x:c r="BZ101" s="117" t="n">
        <x:f>'Продажи'!BZ72*'Вводные'!$B$19+'ОБЪЕКТЫ'!BZ113</x:f>
        <x:v>0</x:v>
      </x:c>
      <x:c r="CA101" s="117" t="n">
        <x:f>'Продажи'!CA72*'Вводные'!$B$19+'ОБЪЕКТЫ'!CA113</x:f>
        <x:v>0</x:v>
      </x:c>
      <x:c r="CB101" s="117" t="n">
        <x:f>'Продажи'!CB72*'Вводные'!$B$19+'ОБЪЕКТЫ'!CB113</x:f>
        <x:v>0</x:v>
      </x:c>
      <x:c r="CC101" s="117" t="n">
        <x:f>'Продажи'!CC72*'Вводные'!$B$19+'ОБЪЕКТЫ'!CC113</x:f>
        <x:v>0</x:v>
      </x:c>
      <x:c r="CD101" s="117" t="n">
        <x:f>'Продажи'!CD72*'Вводные'!$B$19+'ОБЪЕКТЫ'!CD113</x:f>
        <x:v>0</x:v>
      </x:c>
      <x:c r="CE101" s="117" t="n">
        <x:f>'Продажи'!CE72*'Вводные'!$B$19+'ОБЪЕКТЫ'!CE113</x:f>
        <x:v>0</x:v>
      </x:c>
      <x:c r="CF101" s="117" t="n">
        <x:f>'Продажи'!CF72*'Вводные'!$B$19+'ОБЪЕКТЫ'!CF113</x:f>
        <x:v>0</x:v>
      </x:c>
      <x:c r="CG101" s="117" t="n">
        <x:f>'Продажи'!CG72*'Вводные'!$B$19+'ОБЪЕКТЫ'!CG113</x:f>
        <x:v>0</x:v>
      </x:c>
      <x:c r="CH101" s="117" t="n">
        <x:f>'Продажи'!CH72*'Вводные'!$B$19+'ОБЪЕКТЫ'!CH113</x:f>
        <x:v>0</x:v>
      </x:c>
      <x:c r="CI101" s="117" t="n">
        <x:f>'Продажи'!CI72*'Вводные'!$B$19+'ОБЪЕКТЫ'!CI113</x:f>
        <x:v>0</x:v>
      </x:c>
      <x:c r="CJ101" s="117" t="n">
        <x:f>'Продажи'!CJ72*'Вводные'!$B$19+'ОБЪЕКТЫ'!CJ113</x:f>
        <x:v>0</x:v>
      </x:c>
      <x:c r="CK101" s="117" t="n">
        <x:f>'Продажи'!CK72*'Вводные'!$B$19+'ОБЪЕКТЫ'!CK113</x:f>
        <x:v>0</x:v>
      </x:c>
      <x:c r="CL101" s="117" t="n">
        <x:f>'Продажи'!CL72*'Вводные'!$B$19+'ОБЪЕКТЫ'!CL113</x:f>
        <x:v>0</x:v>
      </x:c>
      <x:c r="CM101" s="117" t="n">
        <x:f>'Продажи'!CM72*'Вводные'!$B$19+'ОБЪЕКТЫ'!CM113</x:f>
        <x:v>0</x:v>
      </x:c>
      <x:c r="CN101" s="117" t="n">
        <x:f>'Продажи'!CN72*'Вводные'!$B$19+'ОБЪЕКТЫ'!CN113</x:f>
        <x:v>0</x:v>
      </x:c>
      <x:c r="CO101" s="117" t="n">
        <x:f>'Продажи'!CO72*'Вводные'!$B$19+'ОБЪЕКТЫ'!CO113</x:f>
        <x:v>0</x:v>
      </x:c>
      <x:c r="CP101" s="117" t="n">
        <x:f>'Продажи'!CP72*'Вводные'!$B$19+'ОБЪЕКТЫ'!CP113</x:f>
        <x:v>0</x:v>
      </x:c>
      <x:c r="CQ101" s="117" t="n">
        <x:f>'Продажи'!CQ72*'Вводные'!$B$19+'ОБЪЕКТЫ'!CQ113</x:f>
        <x:v>0</x:v>
      </x:c>
      <x:c r="CR101" s="117" t="n">
        <x:f>'Продажи'!CR72*'Вводные'!$B$19+'ОБЪЕКТЫ'!CR113</x:f>
        <x:v>0</x:v>
      </x:c>
      <x:c r="CS101" s="117" t="n">
        <x:f>'Продажи'!CS72*'Вводные'!$B$19+'ОБЪЕКТЫ'!CS113</x:f>
        <x:v>0</x:v>
      </x:c>
      <x:c r="CT101" s="117" t="n">
        <x:f>'Продажи'!CT72*'Вводные'!$B$19+'ОБЪЕКТЫ'!CT113</x:f>
        <x:v>0</x:v>
      </x:c>
      <x:c r="CU101" s="117" t="n">
        <x:f>'Продажи'!CU72*'Вводные'!$B$19+'ОБЪЕКТЫ'!CU113</x:f>
        <x:v>0</x:v>
      </x:c>
      <x:c r="CV101" s="117" t="n">
        <x:f>'Продажи'!CV72*'Вводные'!$B$19+'ОБЪЕКТЫ'!CV113</x:f>
        <x:v>0</x:v>
      </x:c>
      <x:c r="CW101" s="117" t="n">
        <x:f>'Продажи'!CW72*'Вводные'!$B$19+'ОБЪЕКТЫ'!CW113</x:f>
        <x:v>0</x:v>
      </x:c>
      <x:c r="CX101" s="117" t="n">
        <x:f>'Продажи'!CX72*'Вводные'!$B$19+'ОБЪЕКТЫ'!CX113</x:f>
        <x:v>0</x:v>
      </x:c>
      <x:c r="CY101" s="117" t="n">
        <x:f>'Продажи'!CY72*'Вводные'!$B$19+'ОБЪЕКТЫ'!CY113</x:f>
        <x:v>0</x:v>
      </x:c>
      <x:c r="CZ101" s="117" t="n">
        <x:f>'Продажи'!CZ72*'Вводные'!$B$19+'ОБЪЕКТЫ'!CZ113</x:f>
        <x:v>0</x:v>
      </x:c>
      <x:c r="DA101" s="117" t="n">
        <x:f>'Продажи'!DA72*'Вводные'!$B$19+'ОБЪЕКТЫ'!DA113</x:f>
        <x:v>0</x:v>
      </x:c>
      <x:c r="DB101" s="117" t="n">
        <x:f>'Продажи'!DB72*'Вводные'!$B$19+'ОБЪЕКТЫ'!DB113</x:f>
        <x:v>0</x:v>
      </x:c>
      <x:c r="DC101" s="117" t="n">
        <x:f>'Продажи'!DC72*'Вводные'!$B$19+'ОБЪЕКТЫ'!DC113</x:f>
        <x:v>0</x:v>
      </x:c>
      <x:c r="DD101" s="117" t="n">
        <x:f>'Продажи'!DD72*'Вводные'!$B$19+'ОБЪЕКТЫ'!DD113</x:f>
        <x:v>0</x:v>
      </x:c>
      <x:c r="DE101" s="117" t="n">
        <x:f>'Продажи'!DE72*'Вводные'!$B$19+'ОБЪЕКТЫ'!DE113</x:f>
        <x:v>0</x:v>
      </x:c>
      <x:c r="DF101" s="117" t="n">
        <x:f>'Продажи'!DF72*'Вводные'!$B$19+'ОБЪЕКТЫ'!DF113</x:f>
        <x:v>0</x:v>
      </x:c>
      <x:c r="DG101" s="117" t="n">
        <x:f>'Продажи'!DG72*'Вводные'!$B$19+'ОБЪЕКТЫ'!DG113</x:f>
        <x:v>0</x:v>
      </x:c>
      <x:c r="DH101" s="117" t="n">
        <x:f>'Продажи'!DH72*'Вводные'!$B$19+'ОБЪЕКТЫ'!DH113</x:f>
        <x:v>0</x:v>
      </x:c>
      <x:c r="DI101" s="117" t="n">
        <x:f>'Продажи'!DI72*'Вводные'!$B$19+'ОБЪЕКТЫ'!DI113</x:f>
        <x:v>0</x:v>
      </x:c>
      <x:c r="DJ101" s="117" t="n">
        <x:f>'Продажи'!DJ72*'Вводные'!$B$19+'ОБЪЕКТЫ'!DJ113</x:f>
        <x:v>0</x:v>
      </x:c>
      <x:c r="DK101" s="117" t="n">
        <x:f>'Продажи'!DK72*'Вводные'!$B$19+'ОБЪЕКТЫ'!DK113</x:f>
        <x:v>0</x:v>
      </x:c>
      <x:c r="DL101" s="117" t="n">
        <x:f>'Продажи'!DL72*'Вводные'!$B$19+'ОБЪЕКТЫ'!DL113</x:f>
        <x:v>0</x:v>
      </x:c>
      <x:c r="DM101" s="117" t="n">
        <x:f>'Продажи'!DM72*'Вводные'!$B$19+'ОБЪЕКТЫ'!DM113</x:f>
        <x:v>0</x:v>
      </x:c>
      <x:c r="DN101" s="117" t="n">
        <x:f>'Продажи'!DN72*'Вводные'!$B$19+'ОБЪЕКТЫ'!DN113</x:f>
        <x:v>0</x:v>
      </x:c>
      <x:c r="DO101" s="117" t="n">
        <x:f>'Продажи'!DO72*'Вводные'!$B$19+'ОБЪЕКТЫ'!DO113</x:f>
        <x:v>0</x:v>
      </x:c>
      <x:c r="DP101" s="117" t="n">
        <x:f>'Продажи'!DP72*'Вводные'!$B$19+'ОБЪЕКТЫ'!DP113</x:f>
        <x:v>0</x:v>
      </x:c>
      <x:c r="DQ101" s="117" t="n">
        <x:f>'Продажи'!DQ72*'Вводные'!$B$19+'ОБЪЕКТЫ'!DQ113</x:f>
        <x:v>0</x:v>
      </x:c>
      <x:c r="DR101" s="117" t="n">
        <x:f>'Продажи'!DR72*'Вводные'!$B$19+'ОБЪЕКТЫ'!DR113</x:f>
        <x:v>0</x:v>
      </x:c>
      <x:c r="DS101" s="117" t="n">
        <x:f>'Продажи'!DS72*'Вводные'!$B$19+'ОБЪЕКТЫ'!DS113</x:f>
        <x:v>0</x:v>
      </x:c>
    </x:row>
    <x:row r="102">
      <x:c r="A102" t="str">
        <x:v>Расходы на продажи</x:v>
      </x:c>
      <x:c r="B102" s="107" t="n">
        <x:f>SUM(D102:DS102)</x:f>
        <x:v>0</x:v>
      </x:c>
      <x:c r="C102" t="str">
        <x:v>млн ₽</x:v>
      </x:c>
      <x:c r="D102" s="117" t="n">
        <x:f>'Продажи'!D72*'Вводные'!$B$20+'ОБЪЕКТЫ'!D114</x:f>
        <x:v>0</x:v>
      </x:c>
      <x:c r="E102" s="117" t="n">
        <x:f>'Продажи'!E72*'Вводные'!$B$20+'ОБЪЕКТЫ'!E114</x:f>
        <x:v>0</x:v>
      </x:c>
      <x:c r="F102" s="117" t="n">
        <x:f>'Продажи'!F72*'Вводные'!$B$20+'ОБЪЕКТЫ'!F114</x:f>
        <x:v>0</x:v>
      </x:c>
      <x:c r="G102" s="117" t="n">
        <x:f>'Продажи'!G72*'Вводные'!$B$20+'ОБЪЕКТЫ'!G114</x:f>
        <x:v>0</x:v>
      </x:c>
      <x:c r="H102" s="117" t="n">
        <x:f>'Продажи'!H72*'Вводные'!$B$20+'ОБЪЕКТЫ'!H114</x:f>
        <x:v>0</x:v>
      </x:c>
      <x:c r="I102" s="117" t="n">
        <x:f>'Продажи'!I72*'Вводные'!$B$20+'ОБЪЕКТЫ'!I114</x:f>
        <x:v>0</x:v>
      </x:c>
      <x:c r="J102" s="117" t="n">
        <x:f>'Продажи'!J72*'Вводные'!$B$20+'ОБЪЕКТЫ'!J114</x:f>
        <x:v>0</x:v>
      </x:c>
      <x:c r="K102" s="117" t="n">
        <x:f>'Продажи'!K72*'Вводные'!$B$20+'ОБЪЕКТЫ'!K114</x:f>
        <x:v>0</x:v>
      </x:c>
      <x:c r="L102" s="117" t="n">
        <x:f>'Продажи'!L72*'Вводные'!$B$20+'ОБЪЕКТЫ'!L114</x:f>
        <x:v>0</x:v>
      </x:c>
      <x:c r="M102" s="117" t="n">
        <x:f>'Продажи'!M72*'Вводные'!$B$20+'ОБЪЕКТЫ'!M114</x:f>
        <x:v>0</x:v>
      </x:c>
      <x:c r="N102" s="117" t="n">
        <x:f>'Продажи'!N72*'Вводные'!$B$20+'ОБЪЕКТЫ'!N114</x:f>
        <x:v>0</x:v>
      </x:c>
      <x:c r="O102" s="117" t="n">
        <x:f>'Продажи'!O72*'Вводные'!$B$20+'ОБЪЕКТЫ'!O114</x:f>
        <x:v>0</x:v>
      </x:c>
      <x:c r="P102" s="117" t="n">
        <x:f>'Продажи'!P72*'Вводные'!$B$20+'ОБЪЕКТЫ'!P114</x:f>
        <x:v>0</x:v>
      </x:c>
      <x:c r="Q102" s="117" t="n">
        <x:f>'Продажи'!Q72*'Вводные'!$B$20+'ОБЪЕКТЫ'!Q114</x:f>
        <x:v>0</x:v>
      </x:c>
      <x:c r="R102" s="117" t="n">
        <x:f>'Продажи'!R72*'Вводные'!$B$20+'ОБЪЕКТЫ'!R114</x:f>
        <x:v>0</x:v>
      </x:c>
      <x:c r="S102" s="117" t="n">
        <x:f>'Продажи'!S72*'Вводные'!$B$20+'ОБЪЕКТЫ'!S114</x:f>
        <x:v>0</x:v>
      </x:c>
      <x:c r="T102" s="117" t="n">
        <x:f>'Продажи'!T72*'Вводные'!$B$20+'ОБЪЕКТЫ'!T114</x:f>
        <x:v>0</x:v>
      </x:c>
      <x:c r="U102" s="117" t="n">
        <x:f>'Продажи'!U72*'Вводные'!$B$20+'ОБЪЕКТЫ'!U114</x:f>
        <x:v>0</x:v>
      </x:c>
      <x:c r="V102" s="117" t="n">
        <x:f>'Продажи'!V72*'Вводные'!$B$20+'ОБЪЕКТЫ'!V114</x:f>
        <x:v>0</x:v>
      </x:c>
      <x:c r="W102" s="117" t="n">
        <x:f>'Продажи'!W72*'Вводные'!$B$20+'ОБЪЕКТЫ'!W114</x:f>
        <x:v>0</x:v>
      </x:c>
      <x:c r="X102" s="117" t="n">
        <x:f>'Продажи'!X72*'Вводные'!$B$20+'ОБЪЕКТЫ'!X114</x:f>
        <x:v>0</x:v>
      </x:c>
      <x:c r="Y102" s="117" t="n">
        <x:f>'Продажи'!Y72*'Вводные'!$B$20+'ОБЪЕКТЫ'!Y114</x:f>
        <x:v>0</x:v>
      </x:c>
      <x:c r="Z102" s="117" t="n">
        <x:f>'Продажи'!Z72*'Вводные'!$B$20+'ОБЪЕКТЫ'!Z114</x:f>
        <x:v>0</x:v>
      </x:c>
      <x:c r="AA102" s="117" t="n">
        <x:f>'Продажи'!AA72*'Вводные'!$B$20+'ОБЪЕКТЫ'!AA114</x:f>
        <x:v>0</x:v>
      </x:c>
      <x:c r="AB102" s="117" t="n">
        <x:f>'Продажи'!AB72*'Вводные'!$B$20+'ОБЪЕКТЫ'!AB114</x:f>
        <x:v>0</x:v>
      </x:c>
      <x:c r="AC102" s="117" t="n">
        <x:f>'Продажи'!AC72*'Вводные'!$B$20+'ОБЪЕКТЫ'!AC114</x:f>
        <x:v>0</x:v>
      </x:c>
      <x:c r="AD102" s="117" t="n">
        <x:f>'Продажи'!AD72*'Вводные'!$B$20+'ОБЪЕКТЫ'!AD114</x:f>
        <x:v>0</x:v>
      </x:c>
      <x:c r="AE102" s="117" t="n">
        <x:f>'Продажи'!AE72*'Вводные'!$B$20+'ОБЪЕКТЫ'!AE114</x:f>
        <x:v>0</x:v>
      </x:c>
      <x:c r="AF102" s="117" t="n">
        <x:f>'Продажи'!AF72*'Вводные'!$B$20+'ОБЪЕКТЫ'!AF114</x:f>
        <x:v>0</x:v>
      </x:c>
      <x:c r="AG102" s="117" t="n">
        <x:f>'Продажи'!AG72*'Вводные'!$B$20+'ОБЪЕКТЫ'!AG114</x:f>
        <x:v>0</x:v>
      </x:c>
      <x:c r="AH102" s="117" t="n">
        <x:f>'Продажи'!AH72*'Вводные'!$B$20+'ОБЪЕКТЫ'!AH114</x:f>
        <x:v>0</x:v>
      </x:c>
      <x:c r="AI102" s="117" t="n">
        <x:f>'Продажи'!AI72*'Вводные'!$B$20+'ОБЪЕКТЫ'!AI114</x:f>
        <x:v>0</x:v>
      </x:c>
      <x:c r="AJ102" s="117" t="n">
        <x:f>'Продажи'!AJ72*'Вводные'!$B$20+'ОБЪЕКТЫ'!AJ114</x:f>
        <x:v>0</x:v>
      </x:c>
      <x:c r="AK102" s="117" t="n">
        <x:f>'Продажи'!AK72*'Вводные'!$B$20+'ОБЪЕКТЫ'!AK114</x:f>
        <x:v>0</x:v>
      </x:c>
      <x:c r="AL102" s="117" t="n">
        <x:f>'Продажи'!AL72*'Вводные'!$B$20+'ОБЪЕКТЫ'!AL114</x:f>
        <x:v>0</x:v>
      </x:c>
      <x:c r="AM102" s="117" t="n">
        <x:f>'Продажи'!AM72*'Вводные'!$B$20+'ОБЪЕКТЫ'!AM114</x:f>
        <x:v>0</x:v>
      </x:c>
      <x:c r="AN102" s="117" t="n">
        <x:f>'Продажи'!AN72*'Вводные'!$B$20+'ОБЪЕКТЫ'!AN114</x:f>
        <x:v>0</x:v>
      </x:c>
      <x:c r="AO102" s="117" t="n">
        <x:f>'Продажи'!AO72*'Вводные'!$B$20+'ОБЪЕКТЫ'!AO114</x:f>
        <x:v>0</x:v>
      </x:c>
      <x:c r="AP102" s="117" t="n">
        <x:f>'Продажи'!AP72*'Вводные'!$B$20+'ОБЪЕКТЫ'!AP114</x:f>
        <x:v>0</x:v>
      </x:c>
      <x:c r="AQ102" s="117" t="n">
        <x:f>'Продажи'!AQ72*'Вводные'!$B$20+'ОБЪЕКТЫ'!AQ114</x:f>
        <x:v>0</x:v>
      </x:c>
      <x:c r="AR102" s="117" t="n">
        <x:f>'Продажи'!AR72*'Вводные'!$B$20+'ОБЪЕКТЫ'!AR114</x:f>
        <x:v>0</x:v>
      </x:c>
      <x:c r="AS102" s="117" t="n">
        <x:f>'Продажи'!AS72*'Вводные'!$B$20+'ОБЪЕКТЫ'!AS114</x:f>
        <x:v>0</x:v>
      </x:c>
      <x:c r="AT102" s="117" t="n">
        <x:f>'Продажи'!AT72*'Вводные'!$B$20+'ОБЪЕКТЫ'!AT114</x:f>
        <x:v>0</x:v>
      </x:c>
      <x:c r="AU102" s="117" t="n">
        <x:f>'Продажи'!AU72*'Вводные'!$B$20+'ОБЪЕКТЫ'!AU114</x:f>
        <x:v>0</x:v>
      </x:c>
      <x:c r="AV102" s="117" t="n">
        <x:f>'Продажи'!AV72*'Вводные'!$B$20+'ОБЪЕКТЫ'!AV114</x:f>
        <x:v>0</x:v>
      </x:c>
      <x:c r="AW102" s="117" t="n">
        <x:f>'Продажи'!AW72*'Вводные'!$B$20+'ОБЪЕКТЫ'!AW114</x:f>
        <x:v>0</x:v>
      </x:c>
      <x:c r="AX102" s="117" t="n">
        <x:f>'Продажи'!AX72*'Вводные'!$B$20+'ОБЪЕКТЫ'!AX114</x:f>
        <x:v>0</x:v>
      </x:c>
      <x:c r="AY102" s="117" t="n">
        <x:f>'Продажи'!AY72*'Вводные'!$B$20+'ОБЪЕКТЫ'!AY114</x:f>
        <x:v>0</x:v>
      </x:c>
      <x:c r="AZ102" s="117" t="n">
        <x:f>'Продажи'!AZ72*'Вводные'!$B$20+'ОБЪЕКТЫ'!AZ114</x:f>
        <x:v>0</x:v>
      </x:c>
      <x:c r="BA102" s="117" t="n">
        <x:f>'Продажи'!BA72*'Вводные'!$B$20+'ОБЪЕКТЫ'!BA114</x:f>
        <x:v>0</x:v>
      </x:c>
      <x:c r="BB102" s="117" t="n">
        <x:f>'Продажи'!BB72*'Вводные'!$B$20+'ОБЪЕКТЫ'!BB114</x:f>
        <x:v>0</x:v>
      </x:c>
      <x:c r="BC102" s="117" t="n">
        <x:f>'Продажи'!BC72*'Вводные'!$B$20+'ОБЪЕКТЫ'!BC114</x:f>
        <x:v>0</x:v>
      </x:c>
      <x:c r="BD102" s="117" t="n">
        <x:f>'Продажи'!BD72*'Вводные'!$B$20+'ОБЪЕКТЫ'!BD114</x:f>
        <x:v>0</x:v>
      </x:c>
      <x:c r="BE102" s="117" t="n">
        <x:f>'Продажи'!BE72*'Вводные'!$B$20+'ОБЪЕКТЫ'!BE114</x:f>
        <x:v>0</x:v>
      </x:c>
      <x:c r="BF102" s="117" t="n">
        <x:f>'Продажи'!BF72*'Вводные'!$B$20+'ОБЪЕКТЫ'!BF114</x:f>
        <x:v>0</x:v>
      </x:c>
      <x:c r="BG102" s="117" t="n">
        <x:f>'Продажи'!BG72*'Вводные'!$B$20+'ОБЪЕКТЫ'!BG114</x:f>
        <x:v>0</x:v>
      </x:c>
      <x:c r="BH102" s="117" t="n">
        <x:f>'Продажи'!BH72*'Вводные'!$B$20+'ОБЪЕКТЫ'!BH114</x:f>
        <x:v>0</x:v>
      </x:c>
      <x:c r="BI102" s="117" t="n">
        <x:f>'Продажи'!BI72*'Вводные'!$B$20+'ОБЪЕКТЫ'!BI114</x:f>
        <x:v>0</x:v>
      </x:c>
      <x:c r="BJ102" s="117" t="n">
        <x:f>'Продажи'!BJ72*'Вводные'!$B$20+'ОБЪЕКТЫ'!BJ114</x:f>
        <x:v>0</x:v>
      </x:c>
      <x:c r="BK102" s="117" t="n">
        <x:f>'Продажи'!BK72*'Вводные'!$B$20+'ОБЪЕКТЫ'!BK114</x:f>
        <x:v>0</x:v>
      </x:c>
      <x:c r="BL102" s="117" t="n">
        <x:f>'Продажи'!BL72*'Вводные'!$B$20+'ОБЪЕКТЫ'!BL114</x:f>
        <x:v>0</x:v>
      </x:c>
      <x:c r="BM102" s="117" t="n">
        <x:f>'Продажи'!BM72*'Вводные'!$B$20+'ОБЪЕКТЫ'!BM114</x:f>
        <x:v>0</x:v>
      </x:c>
      <x:c r="BN102" s="117" t="n">
        <x:f>'Продажи'!BN72*'Вводные'!$B$20+'ОБЪЕКТЫ'!BN114</x:f>
        <x:v>0</x:v>
      </x:c>
      <x:c r="BO102" s="117" t="n">
        <x:f>'Продажи'!BO72*'Вводные'!$B$20+'ОБЪЕКТЫ'!BO114</x:f>
        <x:v>0</x:v>
      </x:c>
      <x:c r="BP102" s="117" t="n">
        <x:f>'Продажи'!BP72*'Вводные'!$B$20+'ОБЪЕКТЫ'!BP114</x:f>
        <x:v>0</x:v>
      </x:c>
      <x:c r="BQ102" s="117" t="n">
        <x:f>'Продажи'!BQ72*'Вводные'!$B$20+'ОБЪЕКТЫ'!BQ114</x:f>
        <x:v>0</x:v>
      </x:c>
      <x:c r="BR102" s="117" t="n">
        <x:f>'Продажи'!BR72*'Вводные'!$B$20+'ОБЪЕКТЫ'!BR114</x:f>
        <x:v>0</x:v>
      </x:c>
      <x:c r="BS102" s="117" t="n">
        <x:f>'Продажи'!BS72*'Вводные'!$B$20+'ОБЪЕКТЫ'!BS114</x:f>
        <x:v>0</x:v>
      </x:c>
      <x:c r="BT102" s="117" t="n">
        <x:f>'Продажи'!BT72*'Вводные'!$B$20+'ОБЪЕКТЫ'!BT114</x:f>
        <x:v>0</x:v>
      </x:c>
      <x:c r="BU102" s="117" t="n">
        <x:f>'Продажи'!BU72*'Вводные'!$B$20+'ОБЪЕКТЫ'!BU114</x:f>
        <x:v>0</x:v>
      </x:c>
      <x:c r="BV102" s="117" t="n">
        <x:f>'Продажи'!BV72*'Вводные'!$B$20+'ОБЪЕКТЫ'!BV114</x:f>
        <x:v>0</x:v>
      </x:c>
      <x:c r="BW102" s="117" t="n">
        <x:f>'Продажи'!BW72*'Вводные'!$B$20+'ОБЪЕКТЫ'!BW114</x:f>
        <x:v>0</x:v>
      </x:c>
      <x:c r="BX102" s="117" t="n">
        <x:f>'Продажи'!BX72*'Вводные'!$B$20+'ОБЪЕКТЫ'!BX114</x:f>
        <x:v>0</x:v>
      </x:c>
      <x:c r="BY102" s="117" t="n">
        <x:f>'Продажи'!BY72*'Вводные'!$B$20+'ОБЪЕКТЫ'!BY114</x:f>
        <x:v>0</x:v>
      </x:c>
      <x:c r="BZ102" s="117" t="n">
        <x:f>'Продажи'!BZ72*'Вводные'!$B$20+'ОБЪЕКТЫ'!BZ114</x:f>
        <x:v>0</x:v>
      </x:c>
      <x:c r="CA102" s="117" t="n">
        <x:f>'Продажи'!CA72*'Вводные'!$B$20+'ОБЪЕКТЫ'!CA114</x:f>
        <x:v>0</x:v>
      </x:c>
      <x:c r="CB102" s="117" t="n">
        <x:f>'Продажи'!CB72*'Вводные'!$B$20+'ОБЪЕКТЫ'!CB114</x:f>
        <x:v>0</x:v>
      </x:c>
      <x:c r="CC102" s="117" t="n">
        <x:f>'Продажи'!CC72*'Вводные'!$B$20+'ОБЪЕКТЫ'!CC114</x:f>
        <x:v>0</x:v>
      </x:c>
      <x:c r="CD102" s="117" t="n">
        <x:f>'Продажи'!CD72*'Вводные'!$B$20+'ОБЪЕКТЫ'!CD114</x:f>
        <x:v>0</x:v>
      </x:c>
      <x:c r="CE102" s="117" t="n">
        <x:f>'Продажи'!CE72*'Вводные'!$B$20+'ОБЪЕКТЫ'!CE114</x:f>
        <x:v>0</x:v>
      </x:c>
      <x:c r="CF102" s="117" t="n">
        <x:f>'Продажи'!CF72*'Вводные'!$B$20+'ОБЪЕКТЫ'!CF114</x:f>
        <x:v>0</x:v>
      </x:c>
      <x:c r="CG102" s="117" t="n">
        <x:f>'Продажи'!CG72*'Вводные'!$B$20+'ОБЪЕКТЫ'!CG114</x:f>
        <x:v>0</x:v>
      </x:c>
      <x:c r="CH102" s="117" t="n">
        <x:f>'Продажи'!CH72*'Вводные'!$B$20+'ОБЪЕКТЫ'!CH114</x:f>
        <x:v>0</x:v>
      </x:c>
      <x:c r="CI102" s="117" t="n">
        <x:f>'Продажи'!CI72*'Вводные'!$B$20+'ОБЪЕКТЫ'!CI114</x:f>
        <x:v>0</x:v>
      </x:c>
      <x:c r="CJ102" s="117" t="n">
        <x:f>'Продажи'!CJ72*'Вводные'!$B$20+'ОБЪЕКТЫ'!CJ114</x:f>
        <x:v>0</x:v>
      </x:c>
      <x:c r="CK102" s="117" t="n">
        <x:f>'Продажи'!CK72*'Вводные'!$B$20+'ОБЪЕКТЫ'!CK114</x:f>
        <x:v>0</x:v>
      </x:c>
      <x:c r="CL102" s="117" t="n">
        <x:f>'Продажи'!CL72*'Вводные'!$B$20+'ОБЪЕКТЫ'!CL114</x:f>
        <x:v>0</x:v>
      </x:c>
      <x:c r="CM102" s="117" t="n">
        <x:f>'Продажи'!CM72*'Вводные'!$B$20+'ОБЪЕКТЫ'!CM114</x:f>
        <x:v>0</x:v>
      </x:c>
      <x:c r="CN102" s="117" t="n">
        <x:f>'Продажи'!CN72*'Вводные'!$B$20+'ОБЪЕКТЫ'!CN114</x:f>
        <x:v>0</x:v>
      </x:c>
      <x:c r="CO102" s="117" t="n">
        <x:f>'Продажи'!CO72*'Вводные'!$B$20+'ОБЪЕКТЫ'!CO114</x:f>
        <x:v>0</x:v>
      </x:c>
      <x:c r="CP102" s="117" t="n">
        <x:f>'Продажи'!CP72*'Вводные'!$B$20+'ОБЪЕКТЫ'!CP114</x:f>
        <x:v>0</x:v>
      </x:c>
      <x:c r="CQ102" s="117" t="n">
        <x:f>'Продажи'!CQ72*'Вводные'!$B$20+'ОБЪЕКТЫ'!CQ114</x:f>
        <x:v>0</x:v>
      </x:c>
      <x:c r="CR102" s="117" t="n">
        <x:f>'Продажи'!CR72*'Вводные'!$B$20+'ОБЪЕКТЫ'!CR114</x:f>
        <x:v>0</x:v>
      </x:c>
      <x:c r="CS102" s="117" t="n">
        <x:f>'Продажи'!CS72*'Вводные'!$B$20+'ОБЪЕКТЫ'!CS114</x:f>
        <x:v>0</x:v>
      </x:c>
      <x:c r="CT102" s="117" t="n">
        <x:f>'Продажи'!CT72*'Вводные'!$B$20+'ОБЪЕКТЫ'!CT114</x:f>
        <x:v>0</x:v>
      </x:c>
      <x:c r="CU102" s="117" t="n">
        <x:f>'Продажи'!CU72*'Вводные'!$B$20+'ОБЪЕКТЫ'!CU114</x:f>
        <x:v>0</x:v>
      </x:c>
      <x:c r="CV102" s="117" t="n">
        <x:f>'Продажи'!CV72*'Вводные'!$B$20+'ОБЪЕКТЫ'!CV114</x:f>
        <x:v>0</x:v>
      </x:c>
      <x:c r="CW102" s="117" t="n">
        <x:f>'Продажи'!CW72*'Вводные'!$B$20+'ОБЪЕКТЫ'!CW114</x:f>
        <x:v>0</x:v>
      </x:c>
      <x:c r="CX102" s="117" t="n">
        <x:f>'Продажи'!CX72*'Вводные'!$B$20+'ОБЪЕКТЫ'!CX114</x:f>
        <x:v>0</x:v>
      </x:c>
      <x:c r="CY102" s="117" t="n">
        <x:f>'Продажи'!CY72*'Вводные'!$B$20+'ОБЪЕКТЫ'!CY114</x:f>
        <x:v>0</x:v>
      </x:c>
      <x:c r="CZ102" s="117" t="n">
        <x:f>'Продажи'!CZ72*'Вводные'!$B$20+'ОБЪЕКТЫ'!CZ114</x:f>
        <x:v>0</x:v>
      </x:c>
      <x:c r="DA102" s="117" t="n">
        <x:f>'Продажи'!DA72*'Вводные'!$B$20+'ОБЪЕКТЫ'!DA114</x:f>
        <x:v>0</x:v>
      </x:c>
      <x:c r="DB102" s="117" t="n">
        <x:f>'Продажи'!DB72*'Вводные'!$B$20+'ОБЪЕКТЫ'!DB114</x:f>
        <x:v>0</x:v>
      </x:c>
      <x:c r="DC102" s="117" t="n">
        <x:f>'Продажи'!DC72*'Вводные'!$B$20+'ОБЪЕКТЫ'!DC114</x:f>
        <x:v>0</x:v>
      </x:c>
      <x:c r="DD102" s="117" t="n">
        <x:f>'Продажи'!DD72*'Вводные'!$B$20+'ОБЪЕКТЫ'!DD114</x:f>
        <x:v>0</x:v>
      </x:c>
      <x:c r="DE102" s="117" t="n">
        <x:f>'Продажи'!DE72*'Вводные'!$B$20+'ОБЪЕКТЫ'!DE114</x:f>
        <x:v>0</x:v>
      </x:c>
      <x:c r="DF102" s="117" t="n">
        <x:f>'Продажи'!DF72*'Вводные'!$B$20+'ОБЪЕКТЫ'!DF114</x:f>
        <x:v>0</x:v>
      </x:c>
      <x:c r="DG102" s="117" t="n">
        <x:f>'Продажи'!DG72*'Вводные'!$B$20+'ОБЪЕКТЫ'!DG114</x:f>
        <x:v>0</x:v>
      </x:c>
      <x:c r="DH102" s="117" t="n">
        <x:f>'Продажи'!DH72*'Вводные'!$B$20+'ОБЪЕКТЫ'!DH114</x:f>
        <x:v>0</x:v>
      </x:c>
      <x:c r="DI102" s="117" t="n">
        <x:f>'Продажи'!DI72*'Вводные'!$B$20+'ОБЪЕКТЫ'!DI114</x:f>
        <x:v>0</x:v>
      </x:c>
      <x:c r="DJ102" s="117" t="n">
        <x:f>'Продажи'!DJ72*'Вводные'!$B$20+'ОБЪЕКТЫ'!DJ114</x:f>
        <x:v>0</x:v>
      </x:c>
      <x:c r="DK102" s="117" t="n">
        <x:f>'Продажи'!DK72*'Вводные'!$B$20+'ОБЪЕКТЫ'!DK114</x:f>
        <x:v>0</x:v>
      </x:c>
      <x:c r="DL102" s="117" t="n">
        <x:f>'Продажи'!DL72*'Вводные'!$B$20+'ОБЪЕКТЫ'!DL114</x:f>
        <x:v>0</x:v>
      </x:c>
      <x:c r="DM102" s="117" t="n">
        <x:f>'Продажи'!DM72*'Вводные'!$B$20+'ОБЪЕКТЫ'!DM114</x:f>
        <x:v>0</x:v>
      </x:c>
      <x:c r="DN102" s="117" t="n">
        <x:f>'Продажи'!DN72*'Вводные'!$B$20+'ОБЪЕКТЫ'!DN114</x:f>
        <x:v>0</x:v>
      </x:c>
      <x:c r="DO102" s="117" t="n">
        <x:f>'Продажи'!DO72*'Вводные'!$B$20+'ОБЪЕКТЫ'!DO114</x:f>
        <x:v>0</x:v>
      </x:c>
      <x:c r="DP102" s="117" t="n">
        <x:f>'Продажи'!DP72*'Вводные'!$B$20+'ОБЪЕКТЫ'!DP114</x:f>
        <x:v>0</x:v>
      </x:c>
      <x:c r="DQ102" s="117" t="n">
        <x:f>'Продажи'!DQ72*'Вводные'!$B$20+'ОБЪЕКТЫ'!DQ114</x:f>
        <x:v>0</x:v>
      </x:c>
      <x:c r="DR102" s="117" t="n">
        <x:f>'Продажи'!DR72*'Вводные'!$B$20+'ОБЪЕКТЫ'!DR114</x:f>
        <x:v>0</x:v>
      </x:c>
      <x:c r="DS102" s="117" t="n">
        <x:f>'Продажи'!DS72*'Вводные'!$B$20+'ОБЪЕКТЫ'!DS114</x:f>
        <x:v>0</x:v>
      </x:c>
    </x:row>
    <x:row r="103">
      <x:c r="A103" s="113" t="str">
        <x:v>РАСХОДЫ ПРОЕКТА ВСЕГО</x:v>
      </x:c>
      <x:c r="B103" s="113" t="n">
        <x:f>SUM(D103:DS103)</x:f>
        <x:v>0</x:v>
      </x:c>
      <x:c r="C103" s="113" t="str">
        <x:v>млн ₽</x:v>
      </x:c>
      <x:c r="D103" s="120" t="n">
        <x:f>SUM(D100:D102)</x:f>
        <x:v>0</x:v>
      </x:c>
      <x:c r="E103" s="120" t="n">
        <x:f>SUM(E100:E102)</x:f>
        <x:v>0</x:v>
      </x:c>
      <x:c r="F103" s="120" t="n">
        <x:f>SUM(F100:F102)</x:f>
        <x:v>0</x:v>
      </x:c>
      <x:c r="G103" s="120" t="n">
        <x:f>SUM(G100:G102)</x:f>
        <x:v>0</x:v>
      </x:c>
      <x:c r="H103" s="120" t="n">
        <x:f>SUM(H100:H102)</x:f>
        <x:v>0</x:v>
      </x:c>
      <x:c r="I103" s="120" t="n">
        <x:f>SUM(I100:I102)</x:f>
        <x:v>0</x:v>
      </x:c>
      <x:c r="J103" s="120" t="n">
        <x:f>SUM(J100:J102)</x:f>
        <x:v>0</x:v>
      </x:c>
      <x:c r="K103" s="120" t="n">
        <x:f>SUM(K100:K102)</x:f>
        <x:v>0</x:v>
      </x:c>
      <x:c r="L103" s="120" t="n">
        <x:f>SUM(L100:L102)</x:f>
        <x:v>0</x:v>
      </x:c>
      <x:c r="M103" s="120" t="n">
        <x:f>SUM(M100:M102)</x:f>
        <x:v>0</x:v>
      </x:c>
      <x:c r="N103" s="120" t="n">
        <x:f>SUM(N100:N102)</x:f>
        <x:v>0</x:v>
      </x:c>
      <x:c r="O103" s="120" t="n">
        <x:f>SUM(O100:O102)</x:f>
        <x:v>0</x:v>
      </x:c>
      <x:c r="P103" s="120" t="n">
        <x:f>SUM(P100:P102)</x:f>
        <x:v>0</x:v>
      </x:c>
      <x:c r="Q103" s="120" t="n">
        <x:f>SUM(Q100:Q102)</x:f>
        <x:v>0</x:v>
      </x:c>
      <x:c r="R103" s="120" t="n">
        <x:f>SUM(R100:R102)</x:f>
        <x:v>0</x:v>
      </x:c>
      <x:c r="S103" s="120" t="n">
        <x:f>SUM(S100:S102)</x:f>
        <x:v>0</x:v>
      </x:c>
      <x:c r="T103" s="120" t="n">
        <x:f>SUM(T100:T102)</x:f>
        <x:v>0</x:v>
      </x:c>
      <x:c r="U103" s="120" t="n">
        <x:f>SUM(U100:U102)</x:f>
        <x:v>0</x:v>
      </x:c>
      <x:c r="V103" s="120" t="n">
        <x:f>SUM(V100:V102)</x:f>
        <x:v>0</x:v>
      </x:c>
      <x:c r="W103" s="120" t="n">
        <x:f>SUM(W100:W102)</x:f>
        <x:v>0</x:v>
      </x:c>
      <x:c r="X103" s="120" t="n">
        <x:f>SUM(X100:X102)</x:f>
        <x:v>0</x:v>
      </x:c>
      <x:c r="Y103" s="120" t="n">
        <x:f>SUM(Y100:Y102)</x:f>
        <x:v>0</x:v>
      </x:c>
      <x:c r="Z103" s="120" t="n">
        <x:f>SUM(Z100:Z102)</x:f>
        <x:v>0</x:v>
      </x:c>
      <x:c r="AA103" s="120" t="n">
        <x:f>SUM(AA100:AA102)</x:f>
        <x:v>0</x:v>
      </x:c>
      <x:c r="AB103" s="120" t="n">
        <x:f>SUM(AB100:AB102)</x:f>
        <x:v>0</x:v>
      </x:c>
      <x:c r="AC103" s="120" t="n">
        <x:f>SUM(AC100:AC102)</x:f>
        <x:v>0</x:v>
      </x:c>
      <x:c r="AD103" s="120" t="n">
        <x:f>SUM(AD100:AD102)</x:f>
        <x:v>0</x:v>
      </x:c>
      <x:c r="AE103" s="120" t="n">
        <x:f>SUM(AE100:AE102)</x:f>
        <x:v>0</x:v>
      </x:c>
      <x:c r="AF103" s="120" t="n">
        <x:f>SUM(AF100:AF102)</x:f>
        <x:v>0</x:v>
      </x:c>
      <x:c r="AG103" s="120" t="n">
        <x:f>SUM(AG100:AG102)</x:f>
        <x:v>0</x:v>
      </x:c>
      <x:c r="AH103" s="120" t="n">
        <x:f>SUM(AH100:AH102)</x:f>
        <x:v>0</x:v>
      </x:c>
      <x:c r="AI103" s="120" t="n">
        <x:f>SUM(AI100:AI102)</x:f>
        <x:v>0</x:v>
      </x:c>
      <x:c r="AJ103" s="120" t="n">
        <x:f>SUM(AJ100:AJ102)</x:f>
        <x:v>0</x:v>
      </x:c>
      <x:c r="AK103" s="120" t="n">
        <x:f>SUM(AK100:AK102)</x:f>
        <x:v>0</x:v>
      </x:c>
      <x:c r="AL103" s="120" t="n">
        <x:f>SUM(AL100:AL102)</x:f>
        <x:v>0</x:v>
      </x:c>
      <x:c r="AM103" s="120" t="n">
        <x:f>SUM(AM100:AM102)</x:f>
        <x:v>0</x:v>
      </x:c>
      <x:c r="AN103" s="120" t="n">
        <x:f>SUM(AN100:AN102)</x:f>
        <x:v>0</x:v>
      </x:c>
      <x:c r="AO103" s="120" t="n">
        <x:f>SUM(AO100:AO102)</x:f>
        <x:v>0</x:v>
      </x:c>
      <x:c r="AP103" s="120" t="n">
        <x:f>SUM(AP100:AP102)</x:f>
        <x:v>0</x:v>
      </x:c>
      <x:c r="AQ103" s="120" t="n">
        <x:f>SUM(AQ100:AQ102)</x:f>
        <x:v>0</x:v>
      </x:c>
      <x:c r="AR103" s="120" t="n">
        <x:f>SUM(AR100:AR102)</x:f>
        <x:v>0</x:v>
      </x:c>
      <x:c r="AS103" s="120" t="n">
        <x:f>SUM(AS100:AS102)</x:f>
        <x:v>0</x:v>
      </x:c>
      <x:c r="AT103" s="120" t="n">
        <x:f>SUM(AT100:AT102)</x:f>
        <x:v>0</x:v>
      </x:c>
      <x:c r="AU103" s="120" t="n">
        <x:f>SUM(AU100:AU102)</x:f>
        <x:v>0</x:v>
      </x:c>
      <x:c r="AV103" s="120" t="n">
        <x:f>SUM(AV100:AV102)</x:f>
        <x:v>0</x:v>
      </x:c>
      <x:c r="AW103" s="120" t="n">
        <x:f>SUM(AW100:AW102)</x:f>
        <x:v>0</x:v>
      </x:c>
      <x:c r="AX103" s="120" t="n">
        <x:f>SUM(AX100:AX102)</x:f>
        <x:v>0</x:v>
      </x:c>
      <x:c r="AY103" s="120" t="n">
        <x:f>SUM(AY100:AY102)</x:f>
        <x:v>0</x:v>
      </x:c>
      <x:c r="AZ103" s="120" t="n">
        <x:f>SUM(AZ100:AZ102)</x:f>
        <x:v>0</x:v>
      </x:c>
      <x:c r="BA103" s="120" t="n">
        <x:f>SUM(BA100:BA102)</x:f>
        <x:v>0</x:v>
      </x:c>
      <x:c r="BB103" s="120" t="n">
        <x:f>SUM(BB100:BB102)</x:f>
        <x:v>0</x:v>
      </x:c>
      <x:c r="BC103" s="120" t="n">
        <x:f>SUM(BC100:BC102)</x:f>
        <x:v>0</x:v>
      </x:c>
      <x:c r="BD103" s="120" t="n">
        <x:f>SUM(BD100:BD102)</x:f>
        <x:v>0</x:v>
      </x:c>
      <x:c r="BE103" s="120" t="n">
        <x:f>SUM(BE100:BE102)</x:f>
        <x:v>0</x:v>
      </x:c>
      <x:c r="BF103" s="120" t="n">
        <x:f>SUM(BF100:BF102)</x:f>
        <x:v>0</x:v>
      </x:c>
      <x:c r="BG103" s="120" t="n">
        <x:f>SUM(BG100:BG102)</x:f>
        <x:v>0</x:v>
      </x:c>
      <x:c r="BH103" s="120" t="n">
        <x:f>SUM(BH100:BH102)</x:f>
        <x:v>0</x:v>
      </x:c>
      <x:c r="BI103" s="120" t="n">
        <x:f>SUM(BI100:BI102)</x:f>
        <x:v>0</x:v>
      </x:c>
      <x:c r="BJ103" s="120" t="n">
        <x:f>SUM(BJ100:BJ102)</x:f>
        <x:v>0</x:v>
      </x:c>
      <x:c r="BK103" s="120" t="n">
        <x:f>SUM(BK100:BK102)</x:f>
        <x:v>0</x:v>
      </x:c>
      <x:c r="BL103" s="120" t="n">
        <x:f>SUM(BL100:BL102)</x:f>
        <x:v>0</x:v>
      </x:c>
      <x:c r="BM103" s="120" t="n">
        <x:f>SUM(BM100:BM102)</x:f>
        <x:v>0</x:v>
      </x:c>
      <x:c r="BN103" s="120" t="n">
        <x:f>SUM(BN100:BN102)</x:f>
        <x:v>0</x:v>
      </x:c>
      <x:c r="BO103" s="120" t="n">
        <x:f>SUM(BO100:BO102)</x:f>
        <x:v>0</x:v>
      </x:c>
      <x:c r="BP103" s="120" t="n">
        <x:f>SUM(BP100:BP102)</x:f>
        <x:v>0</x:v>
      </x:c>
      <x:c r="BQ103" s="120" t="n">
        <x:f>SUM(BQ100:BQ102)</x:f>
        <x:v>0</x:v>
      </x:c>
      <x:c r="BR103" s="120" t="n">
        <x:f>SUM(BR100:BR102)</x:f>
        <x:v>0</x:v>
      </x:c>
      <x:c r="BS103" s="120" t="n">
        <x:f>SUM(BS100:BS102)</x:f>
        <x:v>0</x:v>
      </x:c>
      <x:c r="BT103" s="120" t="n">
        <x:f>SUM(BT100:BT102)</x:f>
        <x:v>0</x:v>
      </x:c>
      <x:c r="BU103" s="120" t="n">
        <x:f>SUM(BU100:BU102)</x:f>
        <x:v>0</x:v>
      </x:c>
      <x:c r="BV103" s="120" t="n">
        <x:f>SUM(BV100:BV102)</x:f>
        <x:v>0</x:v>
      </x:c>
      <x:c r="BW103" s="120" t="n">
        <x:f>SUM(BW100:BW102)</x:f>
        <x:v>0</x:v>
      </x:c>
      <x:c r="BX103" s="120" t="n">
        <x:f>SUM(BX100:BX102)</x:f>
        <x:v>0</x:v>
      </x:c>
      <x:c r="BY103" s="120" t="n">
        <x:f>SUM(BY100:BY102)</x:f>
        <x:v>0</x:v>
      </x:c>
      <x:c r="BZ103" s="120" t="n">
        <x:f>SUM(BZ100:BZ102)</x:f>
        <x:v>0</x:v>
      </x:c>
      <x:c r="CA103" s="120" t="n">
        <x:f>SUM(CA100:CA102)</x:f>
        <x:v>0</x:v>
      </x:c>
      <x:c r="CB103" s="120" t="n">
        <x:f>SUM(CB100:CB102)</x:f>
        <x:v>0</x:v>
      </x:c>
      <x:c r="CC103" s="120" t="n">
        <x:f>SUM(CC100:CC102)</x:f>
        <x:v>0</x:v>
      </x:c>
      <x:c r="CD103" s="120" t="n">
        <x:f>SUM(CD100:CD102)</x:f>
        <x:v>0</x:v>
      </x:c>
      <x:c r="CE103" s="120" t="n">
        <x:f>SUM(CE100:CE102)</x:f>
        <x:v>0</x:v>
      </x:c>
      <x:c r="CF103" s="120" t="n">
        <x:f>SUM(CF100:CF102)</x:f>
        <x:v>0</x:v>
      </x:c>
      <x:c r="CG103" s="120" t="n">
        <x:f>SUM(CG100:CG102)</x:f>
        <x:v>0</x:v>
      </x:c>
      <x:c r="CH103" s="120" t="n">
        <x:f>SUM(CH100:CH102)</x:f>
        <x:v>0</x:v>
      </x:c>
      <x:c r="CI103" s="120" t="n">
        <x:f>SUM(CI100:CI102)</x:f>
        <x:v>0</x:v>
      </x:c>
      <x:c r="CJ103" s="120" t="n">
        <x:f>SUM(CJ100:CJ102)</x:f>
        <x:v>0</x:v>
      </x:c>
      <x:c r="CK103" s="120" t="n">
        <x:f>SUM(CK100:CK102)</x:f>
        <x:v>0</x:v>
      </x:c>
      <x:c r="CL103" s="120" t="n">
        <x:f>SUM(CL100:CL102)</x:f>
        <x:v>0</x:v>
      </x:c>
      <x:c r="CM103" s="120" t="n">
        <x:f>SUM(CM100:CM102)</x:f>
        <x:v>0</x:v>
      </x:c>
      <x:c r="CN103" s="120" t="n">
        <x:f>SUM(CN100:CN102)</x:f>
        <x:v>0</x:v>
      </x:c>
      <x:c r="CO103" s="120" t="n">
        <x:f>SUM(CO100:CO102)</x:f>
        <x:v>0</x:v>
      </x:c>
      <x:c r="CP103" s="120" t="n">
        <x:f>SUM(CP100:CP102)</x:f>
        <x:v>0</x:v>
      </x:c>
      <x:c r="CQ103" s="120" t="n">
        <x:f>SUM(CQ100:CQ102)</x:f>
        <x:v>0</x:v>
      </x:c>
      <x:c r="CR103" s="120" t="n">
        <x:f>SUM(CR100:CR102)</x:f>
        <x:v>0</x:v>
      </x:c>
      <x:c r="CS103" s="120" t="n">
        <x:f>SUM(CS100:CS102)</x:f>
        <x:v>0</x:v>
      </x:c>
      <x:c r="CT103" s="120" t="n">
        <x:f>SUM(CT100:CT102)</x:f>
        <x:v>0</x:v>
      </x:c>
      <x:c r="CU103" s="120" t="n">
        <x:f>SUM(CU100:CU102)</x:f>
        <x:v>0</x:v>
      </x:c>
      <x:c r="CV103" s="120" t="n">
        <x:f>SUM(CV100:CV102)</x:f>
        <x:v>0</x:v>
      </x:c>
      <x:c r="CW103" s="120" t="n">
        <x:f>SUM(CW100:CW102)</x:f>
        <x:v>0</x:v>
      </x:c>
      <x:c r="CX103" s="120" t="n">
        <x:f>SUM(CX100:CX102)</x:f>
        <x:v>0</x:v>
      </x:c>
      <x:c r="CY103" s="120" t="n">
        <x:f>SUM(CY100:CY102)</x:f>
        <x:v>0</x:v>
      </x:c>
      <x:c r="CZ103" s="120" t="n">
        <x:f>SUM(CZ100:CZ102)</x:f>
        <x:v>0</x:v>
      </x:c>
      <x:c r="DA103" s="120" t="n">
        <x:f>SUM(DA100:DA102)</x:f>
        <x:v>0</x:v>
      </x:c>
      <x:c r="DB103" s="120" t="n">
        <x:f>SUM(DB100:DB102)</x:f>
        <x:v>0</x:v>
      </x:c>
      <x:c r="DC103" s="120" t="n">
        <x:f>SUM(DC100:DC102)</x:f>
        <x:v>0</x:v>
      </x:c>
      <x:c r="DD103" s="120" t="n">
        <x:f>SUM(DD100:DD102)</x:f>
        <x:v>0</x:v>
      </x:c>
      <x:c r="DE103" s="120" t="n">
        <x:f>SUM(DE100:DE102)</x:f>
        <x:v>0</x:v>
      </x:c>
      <x:c r="DF103" s="120" t="n">
        <x:f>SUM(DF100:DF102)</x:f>
        <x:v>0</x:v>
      </x:c>
      <x:c r="DG103" s="120" t="n">
        <x:f>SUM(DG100:DG102)</x:f>
        <x:v>0</x:v>
      </x:c>
      <x:c r="DH103" s="120" t="n">
        <x:f>SUM(DH100:DH102)</x:f>
        <x:v>0</x:v>
      </x:c>
      <x:c r="DI103" s="120" t="n">
        <x:f>SUM(DI100:DI102)</x:f>
        <x:v>0</x:v>
      </x:c>
      <x:c r="DJ103" s="120" t="n">
        <x:f>SUM(DJ100:DJ102)</x:f>
        <x:v>0</x:v>
      </x:c>
      <x:c r="DK103" s="120" t="n">
        <x:f>SUM(DK100:DK102)</x:f>
        <x:v>0</x:v>
      </x:c>
      <x:c r="DL103" s="120" t="n">
        <x:f>SUM(DL100:DL102)</x:f>
        <x:v>0</x:v>
      </x:c>
      <x:c r="DM103" s="120" t="n">
        <x:f>SUM(DM100:DM102)</x:f>
        <x:v>0</x:v>
      </x:c>
      <x:c r="DN103" s="120" t="n">
        <x:f>SUM(DN100:DN102)</x:f>
        <x:v>0</x:v>
      </x:c>
      <x:c r="DO103" s="120" t="n">
        <x:f>SUM(DO100:DO102)</x:f>
        <x:v>0</x:v>
      </x:c>
      <x:c r="DP103" s="120" t="n">
        <x:f>SUM(DP100:DP102)</x:f>
        <x:v>0</x:v>
      </x:c>
      <x:c r="DQ103" s="120" t="n">
        <x:f>SUM(DQ100:DQ102)</x:f>
        <x:v>0</x:v>
      </x:c>
      <x:c r="DR103" s="120" t="n">
        <x:f>SUM(DR100:DR102)</x:f>
        <x:v>0</x:v>
      </x:c>
      <x:c r="DS103" s="120" t="n">
        <x:f>SUM(DS100:DS102)</x:f>
        <x:v>0</x:v>
      </x:c>
    </x:row>
  </x:sheetData>
  <x:mergeCells>
    <x:mergeCell ref="A1:DS1"/>
    <x:mergeCell ref="A6:DS6"/>
    <x:mergeCell ref="A40:DS40"/>
    <x:mergeCell ref="A74:DS7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--('Вводные'!$B$88="Да")</x:f>
        <x:v>1</x:v>
      </x:c>
      <x:c r="C5" t="str">
        <x:v>0/1</x:v>
      </x:c>
      <x:c r="D5" t="n">
        <x:f>$B$5</x:f>
        <x:v>1</x:v>
      </x:c>
      <x:c r="E5" t="n">
        <x:f>$B$5</x:f>
        <x:v>1</x:v>
      </x:c>
      <x:c r="F5" t="n">
        <x:f>$B$5</x:f>
        <x:v>1</x:v>
      </x:c>
      <x:c r="G5" t="n">
        <x:f>$B$5</x:f>
        <x:v>1</x:v>
      </x:c>
      <x:c r="H5" t="n">
        <x:f>$B$5</x:f>
        <x:v>1</x:v>
      </x:c>
      <x:c r="I5" t="n">
        <x:f>$B$5</x:f>
        <x:v>1</x:v>
      </x:c>
      <x:c r="J5" t="n">
        <x:f>$B$5</x:f>
        <x:v>1</x:v>
      </x:c>
      <x:c r="K5" t="n">
        <x:f>$B$5</x:f>
        <x:v>1</x:v>
      </x:c>
      <x:c r="L5" t="n">
        <x:f>$B$5</x:f>
        <x:v>1</x:v>
      </x:c>
      <x:c r="M5" t="n">
        <x:f>$B$5</x:f>
        <x:v>1</x:v>
      </x:c>
      <x:c r="N5" t="n">
        <x:f>$B$5</x:f>
        <x:v>1</x:v>
      </x:c>
      <x:c r="O5" t="n">
        <x:f>$B$5</x:f>
        <x:v>1</x:v>
      </x:c>
      <x:c r="P5" t="n">
        <x:f>$B$5</x:f>
        <x:v>1</x:v>
      </x:c>
      <x:c r="Q5" t="n">
        <x:f>$B$5</x:f>
        <x:v>1</x:v>
      </x:c>
      <x:c r="R5" t="n">
        <x:f>$B$5</x:f>
        <x:v>1</x:v>
      </x:c>
      <x:c r="S5" t="n">
        <x:f>$B$5</x:f>
        <x:v>1</x:v>
      </x:c>
      <x:c r="T5" t="n">
        <x:f>$B$5</x:f>
        <x:v>1</x:v>
      </x:c>
      <x:c r="U5" t="n">
        <x:f>$B$5</x:f>
        <x:v>1</x:v>
      </x:c>
      <x:c r="V5" t="n">
        <x:f>$B$5</x:f>
        <x:v>1</x:v>
      </x:c>
      <x:c r="W5" t="n">
        <x:f>$B$5</x:f>
        <x:v>1</x:v>
      </x:c>
      <x:c r="X5" t="n">
        <x:f>$B$5</x:f>
        <x:v>1</x:v>
      </x:c>
      <x:c r="Y5" t="n">
        <x:f>$B$5</x:f>
        <x:v>1</x:v>
      </x:c>
      <x:c r="Z5" t="n">
        <x:f>$B$5</x:f>
        <x:v>1</x:v>
      </x:c>
      <x:c r="AA5" t="n">
        <x:f>$B$5</x:f>
        <x:v>1</x:v>
      </x:c>
      <x:c r="AB5" t="n">
        <x:f>$B$5</x:f>
        <x:v>1</x:v>
      </x:c>
      <x:c r="AC5" t="n">
        <x:f>$B$5</x:f>
        <x:v>1</x:v>
      </x:c>
      <x:c r="AD5" t="n">
        <x:f>$B$5</x:f>
        <x:v>1</x:v>
      </x:c>
      <x:c r="AE5" t="n">
        <x:f>$B$5</x:f>
        <x:v>1</x:v>
      </x:c>
      <x:c r="AF5" t="n">
        <x:f>$B$5</x:f>
        <x:v>1</x:v>
      </x:c>
      <x:c r="AG5" t="n">
        <x:f>$B$5</x:f>
        <x:v>1</x:v>
      </x:c>
      <x:c r="AH5" t="n">
        <x:f>$B$5</x:f>
        <x:v>1</x:v>
      </x:c>
      <x:c r="AI5" t="n">
        <x:f>$B$5</x:f>
        <x:v>1</x:v>
      </x:c>
      <x:c r="AJ5" t="n">
        <x:f>$B$5</x:f>
        <x:v>1</x:v>
      </x:c>
      <x:c r="AK5" t="n">
        <x:f>$B$5</x:f>
        <x:v>1</x:v>
      </x:c>
      <x:c r="AL5" t="n">
        <x:f>$B$5</x:f>
        <x:v>1</x:v>
      </x:c>
      <x:c r="AM5" t="n">
        <x:f>$B$5</x:f>
        <x:v>1</x:v>
      </x:c>
      <x:c r="AN5" t="n">
        <x:f>$B$5</x:f>
        <x:v>1</x:v>
      </x:c>
      <x:c r="AO5" t="n">
        <x:f>$B$5</x:f>
        <x:v>1</x:v>
      </x:c>
      <x:c r="AP5" t="n">
        <x:f>$B$5</x:f>
        <x:v>1</x:v>
      </x:c>
      <x:c r="AQ5" t="n">
        <x:f>$B$5</x:f>
        <x:v>1</x:v>
      </x:c>
      <x:c r="AR5" t="n">
        <x:f>$B$5</x:f>
        <x:v>1</x:v>
      </x:c>
      <x:c r="AS5" t="n">
        <x:f>$B$5</x:f>
        <x:v>1</x:v>
      </x:c>
      <x:c r="AT5" t="n">
        <x:f>$B$5</x:f>
        <x:v>1</x:v>
      </x:c>
      <x:c r="AU5" t="n">
        <x:f>$B$5</x:f>
        <x:v>1</x:v>
      </x:c>
      <x:c r="AV5" t="n">
        <x:f>$B$5</x:f>
        <x:v>1</x:v>
      </x:c>
      <x:c r="AW5" t="n">
        <x:f>$B$5</x:f>
        <x:v>1</x:v>
      </x:c>
      <x:c r="AX5" t="n">
        <x:f>$B$5</x:f>
        <x:v>1</x:v>
      </x:c>
      <x:c r="AY5" t="n">
        <x:f>$B$5</x:f>
        <x:v>1</x:v>
      </x:c>
      <x:c r="AZ5" t="n">
        <x:f>$B$5</x:f>
        <x:v>1</x:v>
      </x:c>
      <x:c r="BA5" t="n">
        <x:f>$B$5</x:f>
        <x:v>1</x:v>
      </x:c>
      <x:c r="BB5" t="n">
        <x:f>$B$5</x:f>
        <x:v>1</x:v>
      </x:c>
      <x:c r="BC5" t="n">
        <x:f>$B$5</x:f>
        <x:v>1</x:v>
      </x:c>
      <x:c r="BD5" t="n">
        <x:f>$B$5</x:f>
        <x:v>1</x:v>
      </x:c>
      <x:c r="BE5" t="n">
        <x:f>$B$5</x:f>
        <x:v>1</x:v>
      </x:c>
      <x:c r="BF5" t="n">
        <x:f>$B$5</x:f>
        <x:v>1</x:v>
      </x:c>
      <x:c r="BG5" t="n">
        <x:f>$B$5</x:f>
        <x:v>1</x:v>
      </x:c>
      <x:c r="BH5" t="n">
        <x:f>$B$5</x:f>
        <x:v>1</x:v>
      </x:c>
      <x:c r="BI5" t="n">
        <x:f>$B$5</x:f>
        <x:v>1</x:v>
      </x:c>
      <x:c r="BJ5" t="n">
        <x:f>$B$5</x:f>
        <x:v>1</x:v>
      </x:c>
      <x:c r="BK5" t="n">
        <x:f>$B$5</x:f>
        <x:v>1</x:v>
      </x:c>
      <x:c r="BL5" t="n">
        <x:f>$B$5</x:f>
        <x:v>1</x:v>
      </x:c>
      <x:c r="BM5" t="n">
        <x:f>$B$5</x:f>
        <x:v>1</x:v>
      </x:c>
      <x:c r="BN5" t="n">
        <x:f>$B$5</x:f>
        <x:v>1</x:v>
      </x:c>
      <x:c r="BO5" t="n">
        <x:f>$B$5</x:f>
        <x:v>1</x:v>
      </x:c>
      <x:c r="BP5" t="n">
        <x:f>$B$5</x:f>
        <x:v>1</x:v>
      </x:c>
      <x:c r="BQ5" t="n">
        <x:f>$B$5</x:f>
        <x:v>1</x:v>
      </x:c>
      <x:c r="BR5" t="n">
        <x:f>$B$5</x:f>
        <x:v>1</x:v>
      </x:c>
      <x:c r="BS5" t="n">
        <x:f>$B$5</x:f>
        <x:v>1</x:v>
      </x:c>
      <x:c r="BT5" t="n">
        <x:f>$B$5</x:f>
        <x:v>1</x:v>
      </x:c>
      <x:c r="BU5" t="n">
        <x:f>$B$5</x:f>
        <x:v>1</x:v>
      </x:c>
      <x:c r="BV5" t="n">
        <x:f>$B$5</x:f>
        <x:v>1</x:v>
      </x:c>
      <x:c r="BW5" t="n">
        <x:f>$B$5</x:f>
        <x:v>1</x:v>
      </x:c>
      <x:c r="BX5" t="n">
        <x:f>$B$5</x:f>
        <x:v>1</x:v>
      </x:c>
      <x:c r="BY5" t="n">
        <x:f>$B$5</x:f>
        <x:v>1</x:v>
      </x:c>
      <x:c r="BZ5" t="n">
        <x:f>$B$5</x:f>
        <x:v>1</x:v>
      </x:c>
      <x:c r="CA5" t="n">
        <x:f>$B$5</x:f>
        <x:v>1</x:v>
      </x:c>
      <x:c r="CB5" t="n">
        <x:f>$B$5</x:f>
        <x:v>1</x:v>
      </x:c>
      <x:c r="CC5" t="n">
        <x:f>$B$5</x:f>
        <x:v>1</x:v>
      </x:c>
      <x:c r="CD5" t="n">
        <x:f>$B$5</x:f>
        <x:v>1</x:v>
      </x:c>
      <x:c r="CE5" t="n">
        <x:f>$B$5</x:f>
        <x:v>1</x:v>
      </x:c>
      <x:c r="CF5" t="n">
        <x:f>$B$5</x:f>
        <x:v>1</x:v>
      </x:c>
      <x:c r="CG5" t="n">
        <x:f>$B$5</x:f>
        <x:v>1</x:v>
      </x:c>
      <x:c r="CH5" t="n">
        <x:f>$B$5</x:f>
        <x:v>1</x:v>
      </x:c>
      <x:c r="CI5" t="n">
        <x:f>$B$5</x:f>
        <x:v>1</x:v>
      </x:c>
      <x:c r="CJ5" t="n">
        <x:f>$B$5</x:f>
        <x:v>1</x:v>
      </x:c>
      <x:c r="CK5" t="n">
        <x:f>$B$5</x:f>
        <x:v>1</x:v>
      </x:c>
      <x:c r="CL5" t="n">
        <x:f>$B$5</x:f>
        <x:v>1</x:v>
      </x:c>
      <x:c r="CM5" t="n">
        <x:f>$B$5</x:f>
        <x:v>1</x:v>
      </x:c>
      <x:c r="CN5" t="n">
        <x:f>$B$5</x:f>
        <x:v>1</x:v>
      </x:c>
      <x:c r="CO5" t="n">
        <x:f>$B$5</x:f>
        <x:v>1</x:v>
      </x:c>
      <x:c r="CP5" t="n">
        <x:f>$B$5</x:f>
        <x:v>1</x:v>
      </x:c>
      <x:c r="CQ5" t="n">
        <x:f>$B$5</x:f>
        <x:v>1</x:v>
      </x:c>
      <x:c r="CR5" t="n">
        <x:f>$B$5</x:f>
        <x:v>1</x:v>
      </x:c>
      <x:c r="CS5" t="n">
        <x:f>$B$5</x:f>
        <x:v>1</x:v>
      </x:c>
      <x:c r="CT5" t="n">
        <x:f>$B$5</x:f>
        <x:v>1</x:v>
      </x:c>
      <x:c r="CU5" t="n">
        <x:f>$B$5</x:f>
        <x:v>1</x:v>
      </x:c>
      <x:c r="CV5" t="n">
        <x:f>$B$5</x:f>
        <x:v>1</x:v>
      </x:c>
      <x:c r="CW5" t="n">
        <x:f>$B$5</x:f>
        <x:v>1</x:v>
      </x:c>
      <x:c r="CX5" t="n">
        <x:f>$B$5</x:f>
        <x:v>1</x:v>
      </x:c>
      <x:c r="CY5" t="n">
        <x:f>$B$5</x:f>
        <x:v>1</x:v>
      </x:c>
      <x:c r="CZ5" t="n">
        <x:f>$B$5</x:f>
        <x:v>1</x:v>
      </x:c>
      <x:c r="DA5" t="n">
        <x:f>$B$5</x:f>
        <x:v>1</x:v>
      </x:c>
      <x:c r="DB5" t="n">
        <x:f>$B$5</x:f>
        <x:v>1</x:v>
      </x:c>
      <x:c r="DC5" t="n">
        <x:f>$B$5</x:f>
        <x:v>1</x:v>
      </x:c>
      <x:c r="DD5" t="n">
        <x:f>$B$5</x:f>
        <x:v>1</x:v>
      </x:c>
      <x:c r="DE5" t="n">
        <x:f>$B$5</x:f>
        <x:v>1</x:v>
      </x:c>
      <x:c r="DF5" t="n">
        <x:f>$B$5</x:f>
        <x:v>1</x:v>
      </x:c>
      <x:c r="DG5" t="n">
        <x:f>$B$5</x:f>
        <x:v>1</x:v>
      </x:c>
      <x:c r="DH5" t="n">
        <x:f>$B$5</x:f>
        <x:v>1</x:v>
      </x:c>
      <x:c r="DI5" t="n">
        <x:f>$B$5</x:f>
        <x:v>1</x:v>
      </x:c>
      <x:c r="DJ5" t="n">
        <x:f>$B$5</x:f>
        <x:v>1</x:v>
      </x:c>
      <x:c r="DK5" t="n">
        <x:f>$B$5</x:f>
        <x:v>1</x:v>
      </x:c>
      <x:c r="DL5" t="n">
        <x:f>$B$5</x:f>
        <x:v>1</x:v>
      </x:c>
      <x:c r="DM5" t="n">
        <x:f>$B$5</x:f>
        <x:v>1</x:v>
      </x:c>
      <x:c r="DN5" t="n">
        <x:f>$B$5</x:f>
        <x:v>1</x:v>
      </x:c>
      <x:c r="DO5" t="n">
        <x:f>$B$5</x:f>
        <x:v>1</x:v>
      </x:c>
      <x:c r="DP5" t="n">
        <x:f>$B$5</x:f>
        <x:v>1</x:v>
      </x:c>
      <x:c r="DQ5" t="n">
        <x:f>$B$5</x:f>
        <x:v>1</x:v>
      </x:c>
      <x:c r="DR5" t="n">
        <x:f>$B$5</x:f>
        <x:v>1</x:v>
      </x:c>
      <x:c r="DS5" t="n">
        <x:f>$B$5</x:f>
        <x:v>1</x:v>
      </x:c>
    </x:row>
    <x:row r="6">
      <x:c r="A6" t="str">
        <x:v>Начало очереди</x:v>
      </x:c>
      <x:c r="B6" s="106" t="n">
        <x:f>EDATE('Вводные'!$D$88,'Вводные'!$H$9)</x:f>
        <x:v>46388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  <x:v>46935</x:v>
      </x:c>
      <x:c r="C7" t="str">
        <x:v>дата</x:v>
      </x:c>
    </x:row>
    <x:row r="8">
      <x:c r="A8" t="str">
        <x:v>РВЭ</x:v>
      </x:c>
      <x:c r="B8" s="106" t="n">
        <x:f>EDATE(B7,'Вводные'!$F$88)</x:f>
        <x:v>47665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12743.009317800295</x:v>
      </x:c>
      <x:c r="C10" t="str">
        <x:v>млн ₽</x:v>
      </x:c>
      <x:c r="D10" s="117" t="n">
        <x:f>'Продажи'!D26+'ОБЪЕКТЫ'!D92</x:f>
        <x:v>0</x:v>
      </x:c>
      <x:c r="E10" s="117" t="n">
        <x:f>'Продажи'!E26+'ОБЪЕКТЫ'!E92</x:f>
        <x:v>0</x:v>
      </x:c>
      <x:c r="F10" s="117" t="n">
        <x:f>'Продажи'!F26+'ОБЪЕКТЫ'!F92</x:f>
        <x:v>0</x:v>
      </x:c>
      <x:c r="G10" s="117" t="n">
        <x:f>'Продажи'!G26+'ОБЪЕКТЫ'!G92</x:f>
        <x:v>0</x:v>
      </x:c>
      <x:c r="H10" s="117" t="n">
        <x:f>'Продажи'!H26+'ОБЪЕКТЫ'!H92</x:f>
        <x:v>0</x:v>
      </x:c>
      <x:c r="I10" s="117" t="n">
        <x:f>'Продажи'!I26+'ОБЪЕКТЫ'!I92</x:f>
        <x:v>0</x:v>
      </x:c>
      <x:c r="J10" s="117" t="n">
        <x:f>'Продажи'!J26+'ОБЪЕКТЫ'!J92</x:f>
        <x:v>0</x:v>
      </x:c>
      <x:c r="K10" s="117" t="n">
        <x:f>'Продажи'!K26+'ОБЪЕКТЫ'!K92</x:f>
        <x:v>0</x:v>
      </x:c>
      <x:c r="L10" s="117" t="n">
        <x:f>'Продажи'!L26+'ОБЪЕКТЫ'!L92</x:f>
        <x:v>0</x:v>
      </x:c>
      <x:c r="M10" s="117" t="n">
        <x:f>'Продажи'!M26+'ОБЪЕКТЫ'!M92</x:f>
        <x:v>0</x:v>
      </x:c>
      <x:c r="N10" s="117" t="n">
        <x:f>'Продажи'!N26+'ОБЪЕКТЫ'!N92</x:f>
        <x:v>0</x:v>
      </x:c>
      <x:c r="O10" s="117" t="n">
        <x:f>'Продажи'!O26+'ОБЪЕКТЫ'!O92</x:f>
        <x:v>0</x:v>
      </x:c>
      <x:c r="P10" s="117" t="n">
        <x:f>'Продажи'!P26+'ОБЪЕКТЫ'!P92</x:f>
        <x:v>0</x:v>
      </x:c>
      <x:c r="Q10" s="117" t="n">
        <x:f>'Продажи'!Q26+'ОБЪЕКТЫ'!Q92</x:f>
        <x:v>0</x:v>
      </x:c>
      <x:c r="R10" s="117" t="n">
        <x:f>'Продажи'!R26+'ОБЪЕКТЫ'!R92</x:f>
        <x:v>0</x:v>
      </x:c>
      <x:c r="S10" s="117" t="n">
        <x:f>'Продажи'!S26+'ОБЪЕКТЫ'!S92</x:f>
        <x:v>0</x:v>
      </x:c>
      <x:c r="T10" s="117" t="n">
        <x:f>'Продажи'!T26+'ОБЪЕКТЫ'!T92</x:f>
        <x:v>0</x:v>
      </x:c>
      <x:c r="U10" s="117" t="n">
        <x:f>'Продажи'!U26+'ОБЪЕКТЫ'!U92</x:f>
        <x:v>0</x:v>
      </x:c>
      <x:c r="V10" s="117" t="n">
        <x:f>'Продажи'!V26+'ОБЪЕКТЫ'!V92</x:f>
        <x:v>294.3833179708191</x:v>
      </x:c>
      <x:c r="W10" s="117" t="n">
        <x:f>'Продажи'!W26+'ОБЪЕКТЫ'!W92</x:f>
        <x:v>301.78705841778515</x:v>
      </x:c>
      <x:c r="X10" s="117" t="n">
        <x:f>'Продажи'!X26+'ОБЪЕКТЫ'!X92</x:f>
        <x:v>363.9729446317558</x:v>
      </x:c>
      <x:c r="Y10" s="117" t="n">
        <x:f>'Продажи'!Y26+'ОБЪЕКТЫ'!Y92</x:f>
        <x:v>373.1268641892445</x:v>
      </x:c>
      <x:c r="Z10" s="117" t="n">
        <x:f>'Продажи'!Z26+'ОБЪЕКТЫ'!Z92</x:f>
        <x:v>382.5110048236039</x:v>
      </x:c>
      <x:c r="AA10" s="117" t="n">
        <x:f>'Продажи'!AA26+'ОБЪЕКТЫ'!AA92</x:f>
        <x:v>392.13115659491757</x:v>
      </x:c>
      <x:c r="AB10" s="117" t="n">
        <x:f>'Продажи'!AB26+'ОБЪЕКТЫ'!AB92</x:f>
        <x:v>341.69426690578774</x:v>
      </x:c>
      <x:c r="AC10" s="117" t="n">
        <x:f>'Продажи'!AC26+'ОБЪЕКТЫ'!AC92</x:f>
        <x:v>412.1033855511392</x:v>
      </x:c>
      <x:c r="AD10" s="117" t="n">
        <x:f>'Продажи'!AD26+'ОБЪЕКТЫ'!AD92</x:f>
        <x:v>422.46778569775034</x:v>
      </x:c>
      <x:c r="AE10" s="117" t="n">
        <x:f>'Продажи'!AE26+'ОБЪЕКТЫ'!AE92</x:f>
        <x:v>433.0928505080485</x:v>
      </x:c>
      <x:c r="AF10" s="117" t="n">
        <x:f>'Продажи'!AF26+'ОБЪЕКТЫ'!AF92</x:f>
        <x:v>377.3873653435772</x:v>
      </x:c>
      <x:c r="AG10" s="117" t="n">
        <x:f>'Продажи'!AG26+'ОБЪЕКТЫ'!AG92</x:f>
        <x:v>386.87865758196796</x:v>
      </x:c>
      <x:c r="AH10" s="117" t="n">
        <x:f>'Продажи'!AH26+'ОБЪЕКТЫ'!AH92</x:f>
        <x:v>396.60865582015447</x:v>
      </x:c>
      <x:c r="AI10" s="117" t="n">
        <x:f>'Продажи'!AI26+'ОБЪЕКТЫ'!AI92</x:f>
        <x:v>406.58336351403125</x:v>
      </x:c>
      <x:c r="AJ10" s="117" t="n">
        <x:f>'Продажи'!AJ26+'ОБЪЕКТЫ'!AJ92</x:f>
        <x:v>490.36345306636366</x:v>
      </x:c>
      <x:c r="AK10" s="117" t="n">
        <x:f>'Продажи'!AK26+'ОБЪЕКТЫ'!AK92</x:f>
        <x:v>502.6960939109828</x:v>
      </x:c>
      <x:c r="AL10" s="117" t="n">
        <x:f>'Продажи'!AL26+'ОБЪЕКТЫ'!AL92</x:f>
        <x:v>515.338900672844</x:v>
      </x:c>
      <x:c r="AM10" s="117" t="n">
        <x:f>'Продажи'!AM26+'ОБЪЕКТЫ'!AM92</x:f>
        <x:v>528.2996740247659</x:v>
      </x:c>
      <x:c r="AN10" s="117" t="n">
        <x:f>'Продажи'!AN26+'ОБЪЕКТЫ'!AN92</x:f>
        <x:v>460.3484492025153</x:v>
      </x:c>
      <x:c r="AO10" s="117" t="n">
        <x:f>'Продажи'!AO26+'ОБЪЕКТЫ'!AO92</x:f>
        <x:v>555.2073090587747</x:v>
      </x:c>
      <x:c r="AP10" s="117" t="n">
        <x:f>'Продажи'!AP26+'ОБЪЕКТЫ'!AP92</x:f>
        <x:v>569.1707728816029</x:v>
      </x:c>
      <x:c r="AQ10" s="117" t="n">
        <x:f>'Продажи'!AQ26+'ОБЪЕКТЫ'!AQ92</x:f>
        <x:v>583.4854178195754</x:v>
      </x:c>
      <x:c r="AR10" s="117" t="n">
        <x:f>'Продажи'!AR26+'ОБЪЕКТЫ'!AR92</x:f>
        <x:v>508.43606466607696</x:v>
      </x:c>
      <x:c r="AS10" s="117" t="n">
        <x:f>'Продажи'!AS26+'ОБЪЕКТЫ'!AS92</x:f>
        <x:v>521.2232316924286</x:v>
      </x:c>
      <x:c r="AT10" s="117" t="n">
        <x:f>'Продажи'!AT26+'ОБЪЕКТЫ'!AT92</x:f>
        <x:v>320.9546856127561</x:v>
      </x:c>
      <x:c r="AU10" s="117" t="n">
        <x:f>'Продажи'!AU26+'ОБЪЕКТЫ'!AU92</x:f>
        <x:v>324.9746430500558</x:v>
      </x:c>
      <x:c r="AV10" s="117" t="n">
        <x:f>'Продажи'!AV26+'ОБЪЕКТЫ'!AV92</x:f>
        <x:v>387.1117064167739</x:v>
      </x:c>
      <x:c r="AW10" s="117" t="n">
        <x:f>'Продажи'!AW26+'ОБЪЕКТЫ'!AW92</x:f>
        <x:v>391.96028053964403</x:v>
      </x:c>
      <x:c r="AX10" s="117" t="n">
        <x:f>'Продажи'!AX26+'ОБЪЕКТЫ'!AX92</x:f>
        <x:v>396.869583053403</x:v>
      </x:c>
      <x:c r="AY10" s="117" t="n">
        <x:f>'Продажи'!AY26+'ОБЪЕКТЫ'!AY92</x:f>
        <x:v>401.84037458114693</x:v>
      </x:c>
      <x:c r="AZ10" s="117" t="n">
        <x:f>'Продажи'!AZ26+'ОБЪЕКТЫ'!AZ92</x:f>
        <x:v>0</x:v>
      </x:c>
      <x:c r="BA10" s="117" t="n">
        <x:f>'Продажи'!BA26+'ОБЪЕКТЫ'!BA92</x:f>
        <x:v>0</x:v>
      </x:c>
      <x:c r="BB10" s="117" t="n">
        <x:f>'Продажи'!BB26+'ОБЪЕКТЫ'!BB92</x:f>
        <x:v>0</x:v>
      </x:c>
      <x:c r="BC10" s="117" t="n">
        <x:f>'Продажи'!BC26+'ОБЪЕКТЫ'!BC92</x:f>
        <x:v>0</x:v>
      </x:c>
      <x:c r="BD10" s="117" t="n">
        <x:f>'Продажи'!BD26+'ОБЪЕКТЫ'!BD92</x:f>
        <x:v>0</x:v>
      </x:c>
      <x:c r="BE10" s="117" t="n">
        <x:f>'Продажи'!BE26+'ОБЪЕКТЫ'!BE92</x:f>
        <x:v>0</x:v>
      </x:c>
      <x:c r="BF10" s="117" t="n">
        <x:f>'Продажи'!BF26+'ОБЪЕКТЫ'!BF92</x:f>
        <x:v>0</x:v>
      </x:c>
      <x:c r="BG10" s="117" t="n">
        <x:f>'Продажи'!BG26+'ОБЪЕКТЫ'!BG92</x:f>
        <x:v>0</x:v>
      </x:c>
      <x:c r="BH10" s="117" t="n">
        <x:f>'Продажи'!BH26+'ОБЪЕКТЫ'!BH92</x:f>
        <x:v>0</x:v>
      </x:c>
      <x:c r="BI10" s="117" t="n">
        <x:f>'Продажи'!BI26+'ОБЪЕКТЫ'!BI92</x:f>
        <x:v>0</x:v>
      </x:c>
      <x:c r="BJ10" s="117" t="n">
        <x:f>'Продажи'!BJ26+'ОБЪЕКТЫ'!BJ92</x:f>
        <x:v>0</x:v>
      </x:c>
      <x:c r="BK10" s="117" t="n">
        <x:f>'Продажи'!BK26+'ОБЪЕКТЫ'!BK92</x:f>
        <x:v>0</x:v>
      </x:c>
      <x:c r="BL10" s="117" t="n">
        <x:f>'Продажи'!BL26+'ОБЪЕКТЫ'!BL92</x:f>
        <x:v>0</x:v>
      </x:c>
      <x:c r="BM10" s="117" t="n">
        <x:f>'Продажи'!BM26+'ОБЪЕКТЫ'!BM92</x:f>
        <x:v>0</x:v>
      </x:c>
      <x:c r="BN10" s="117" t="n">
        <x:f>'Продажи'!BN26+'ОБЪЕКТЫ'!BN92</x:f>
        <x:v>0</x:v>
      </x:c>
      <x:c r="BO10" s="117" t="n">
        <x:f>'Продажи'!BO26+'ОБЪЕКТЫ'!BO92</x:f>
        <x:v>0</x:v>
      </x:c>
      <x:c r="BP10" s="117" t="n">
        <x:f>'Продажи'!BP26+'ОБЪЕКТЫ'!BP92</x:f>
        <x:v>0</x:v>
      </x:c>
      <x:c r="BQ10" s="117" t="n">
        <x:f>'Продажи'!BQ26+'ОБЪЕКТЫ'!BQ92</x:f>
        <x:v>0</x:v>
      </x:c>
      <x:c r="BR10" s="117" t="n">
        <x:f>'Продажи'!BR26+'ОБЪЕКТЫ'!BR92</x:f>
        <x:v>0</x:v>
      </x:c>
      <x:c r="BS10" s="117" t="n">
        <x:f>'Продажи'!BS26+'ОБЪЕКТЫ'!BS92</x:f>
        <x:v>0</x:v>
      </x:c>
      <x:c r="BT10" s="117" t="n">
        <x:f>'Продажи'!BT26+'ОБЪЕКТЫ'!BT92</x:f>
        <x:v>0</x:v>
      </x:c>
      <x:c r="BU10" s="117" t="n">
        <x:f>'Продажи'!BU26+'ОБЪЕКТЫ'!BU92</x:f>
        <x:v>0</x:v>
      </x:c>
      <x:c r="BV10" s="117" t="n">
        <x:f>'Продажи'!BV26+'ОБЪЕКТЫ'!BV92</x:f>
        <x:v>0</x:v>
      </x:c>
      <x:c r="BW10" s="117" t="n">
        <x:f>'Продажи'!BW26+'ОБЪЕКТЫ'!BW92</x:f>
        <x:v>0</x:v>
      </x:c>
      <x:c r="BX10" s="117" t="n">
        <x:f>'Продажи'!BX26+'ОБЪЕКТЫ'!BX92</x:f>
        <x:v>0</x:v>
      </x:c>
      <x:c r="BY10" s="117" t="n">
        <x:f>'Продажи'!BY26+'ОБЪЕКТЫ'!BY92</x:f>
        <x:v>0</x:v>
      </x:c>
      <x:c r="BZ10" s="117" t="n">
        <x:f>'Продажи'!BZ26+'ОБЪЕКТЫ'!BZ92</x:f>
        <x:v>0</x:v>
      </x:c>
      <x:c r="CA10" s="117" t="n">
        <x:f>'Продажи'!CA26+'ОБЪЕКТЫ'!CA92</x:f>
        <x:v>0</x:v>
      </x:c>
      <x:c r="CB10" s="117" t="n">
        <x:f>'Продажи'!CB26+'ОБЪЕКТЫ'!CB92</x:f>
        <x:v>0</x:v>
      </x:c>
      <x:c r="CC10" s="117" t="n">
        <x:f>'Продажи'!CC26+'ОБЪЕКТЫ'!CC92</x:f>
        <x:v>0</x:v>
      </x:c>
      <x:c r="CD10" s="117" t="n">
        <x:f>'Продажи'!CD26+'ОБЪЕКТЫ'!CD92</x:f>
        <x:v>0</x:v>
      </x:c>
      <x:c r="CE10" s="117" t="n">
        <x:f>'Продажи'!CE26+'ОБЪЕКТЫ'!CE92</x:f>
        <x:v>0</x:v>
      </x:c>
      <x:c r="CF10" s="117" t="n">
        <x:f>'Продажи'!CF26+'ОБЪЕКТЫ'!CF92</x:f>
        <x:v>0</x:v>
      </x:c>
      <x:c r="CG10" s="117" t="n">
        <x:f>'Продажи'!CG26+'ОБЪЕКТЫ'!CG92</x:f>
        <x:v>0</x:v>
      </x:c>
      <x:c r="CH10" s="117" t="n">
        <x:f>'Продажи'!CH26+'ОБЪЕКТЫ'!CH92</x:f>
        <x:v>0</x:v>
      </x:c>
      <x:c r="CI10" s="117" t="n">
        <x:f>'Продажи'!CI26+'ОБЪЕКТЫ'!CI92</x:f>
        <x:v>0</x:v>
      </x:c>
      <x:c r="CJ10" s="117" t="n">
        <x:f>'Продажи'!CJ26+'ОБЪЕКТЫ'!CJ92</x:f>
        <x:v>0</x:v>
      </x:c>
      <x:c r="CK10" s="117" t="n">
        <x:f>'Продажи'!CK26+'ОБЪЕКТЫ'!CK92</x:f>
        <x:v>0</x:v>
      </x:c>
      <x:c r="CL10" s="117" t="n">
        <x:f>'Продажи'!CL26+'ОБЪЕКТЫ'!CL92</x:f>
        <x:v>0</x:v>
      </x:c>
      <x:c r="CM10" s="117" t="n">
        <x:f>'Продажи'!CM26+'ОБЪЕКТЫ'!CM92</x:f>
        <x:v>0</x:v>
      </x:c>
      <x:c r="CN10" s="117" t="n">
        <x:f>'Продажи'!CN26+'ОБЪЕКТЫ'!CN92</x:f>
        <x:v>0</x:v>
      </x:c>
      <x:c r="CO10" s="117" t="n">
        <x:f>'Продажи'!CO26+'ОБЪЕКТЫ'!CO92</x:f>
        <x:v>0</x:v>
      </x:c>
      <x:c r="CP10" s="117" t="n">
        <x:f>'Продажи'!CP26+'ОБЪЕКТЫ'!CP92</x:f>
        <x:v>0</x:v>
      </x:c>
      <x:c r="CQ10" s="117" t="n">
        <x:f>'Продажи'!CQ26+'ОБЪЕКТЫ'!CQ92</x:f>
        <x:v>0</x:v>
      </x:c>
      <x:c r="CR10" s="117" t="n">
        <x:f>'Продажи'!CR26+'ОБЪЕКТЫ'!CR92</x:f>
        <x:v>0</x:v>
      </x:c>
      <x:c r="CS10" s="117" t="n">
        <x:f>'Продажи'!CS26+'ОБЪЕКТЫ'!CS92</x:f>
        <x:v>0</x:v>
      </x:c>
      <x:c r="CT10" s="117" t="n">
        <x:f>'Продажи'!CT26+'ОБЪЕКТЫ'!CT92</x:f>
        <x:v>0</x:v>
      </x:c>
      <x:c r="CU10" s="117" t="n">
        <x:f>'Продажи'!CU26+'ОБЪЕКТЫ'!CU92</x:f>
        <x:v>0</x:v>
      </x:c>
      <x:c r="CV10" s="117" t="n">
        <x:f>'Продажи'!CV26+'ОБЪЕКТЫ'!CV92</x:f>
        <x:v>0</x:v>
      </x:c>
      <x:c r="CW10" s="117" t="n">
        <x:f>'Продажи'!CW26+'ОБЪЕКТЫ'!CW92</x:f>
        <x:v>0</x:v>
      </x:c>
      <x:c r="CX10" s="117" t="n">
        <x:f>'Продажи'!CX26+'ОБЪЕКТЫ'!CX92</x:f>
        <x:v>0</x:v>
      </x:c>
      <x:c r="CY10" s="117" t="n">
        <x:f>'Продажи'!CY26+'ОБЪЕКТЫ'!CY92</x:f>
        <x:v>0</x:v>
      </x:c>
      <x:c r="CZ10" s="117" t="n">
        <x:f>'Продажи'!CZ26+'ОБЪЕКТЫ'!CZ92</x:f>
        <x:v>0</x:v>
      </x:c>
      <x:c r="DA10" s="117" t="n">
        <x:f>'Продажи'!DA26+'ОБЪЕКТЫ'!DA92</x:f>
        <x:v>0</x:v>
      </x:c>
      <x:c r="DB10" s="117" t="n">
        <x:f>'Продажи'!DB26+'ОБЪЕКТЫ'!DB92</x:f>
        <x:v>0</x:v>
      </x:c>
      <x:c r="DC10" s="117" t="n">
        <x:f>'Продажи'!DC26+'ОБЪЕКТЫ'!DC92</x:f>
        <x:v>0</x:v>
      </x:c>
      <x:c r="DD10" s="117" t="n">
        <x:f>'Продажи'!DD26+'ОБЪЕКТЫ'!DD92</x:f>
        <x:v>0</x:v>
      </x:c>
      <x:c r="DE10" s="117" t="n">
        <x:f>'Продажи'!DE26+'ОБЪЕКТЫ'!DE92</x:f>
        <x:v>0</x:v>
      </x:c>
      <x:c r="DF10" s="117" t="n">
        <x:f>'Продажи'!DF26+'ОБЪЕКТЫ'!DF92</x:f>
        <x:v>0</x:v>
      </x:c>
      <x:c r="DG10" s="117" t="n">
        <x:f>'Продажи'!DG26+'ОБЪЕКТЫ'!DG92</x:f>
        <x:v>0</x:v>
      </x:c>
      <x:c r="DH10" s="117" t="n">
        <x:f>'Продажи'!DH26+'ОБЪЕКТЫ'!DH92</x:f>
        <x:v>0</x:v>
      </x:c>
      <x:c r="DI10" s="117" t="n">
        <x:f>'Продажи'!DI26+'ОБЪЕКТЫ'!DI92</x:f>
        <x:v>0</x:v>
      </x:c>
      <x:c r="DJ10" s="117" t="n">
        <x:f>'Продажи'!DJ26+'ОБЪЕКТЫ'!DJ92</x:f>
        <x:v>0</x:v>
      </x:c>
      <x:c r="DK10" s="117" t="n">
        <x:f>'Продажи'!DK26+'ОБЪЕКТЫ'!DK92</x:f>
        <x:v>0</x:v>
      </x:c>
      <x:c r="DL10" s="117" t="n">
        <x:f>'Продажи'!DL26+'ОБЪЕКТЫ'!DL92</x:f>
        <x:v>0</x:v>
      </x:c>
      <x:c r="DM10" s="117" t="n">
        <x:f>'Продажи'!DM26+'ОБЪЕКТЫ'!DM92</x:f>
        <x:v>0</x:v>
      </x:c>
      <x:c r="DN10" s="117" t="n">
        <x:f>'Продажи'!DN26+'ОБЪЕКТЫ'!DN92</x:f>
        <x:v>0</x:v>
      </x:c>
      <x:c r="DO10" s="117" t="n">
        <x:f>'Продажи'!DO26+'ОБЪЕКТЫ'!DO92</x:f>
        <x:v>0</x:v>
      </x:c>
      <x:c r="DP10" s="117" t="n">
        <x:f>'Продажи'!DP26+'ОБЪЕКТЫ'!DP92</x:f>
        <x:v>0</x:v>
      </x:c>
      <x:c r="DQ10" s="117" t="n">
        <x:f>'Продажи'!DQ26+'ОБЪЕКТЫ'!DQ92</x:f>
        <x:v>0</x:v>
      </x:c>
      <x:c r="DR10" s="117" t="n">
        <x:f>'Продажи'!DR26+'ОБЪЕКТЫ'!DR92</x:f>
        <x:v>0</x:v>
      </x:c>
      <x:c r="DS10" s="117" t="n">
        <x:f>'Продажи'!DS26+'ОБЪЕКТЫ'!DS92</x:f>
        <x:v>0</x:v>
      </x:c>
    </x:row>
    <x:row r="11">
      <x:c r="A11" t="str">
        <x:v>Поступления на эскроу</x:v>
      </x:c>
      <x:c r="B11" t="n">
        <x:f>SUM(D11:DS11)</x:f>
        <x:v>10519.298044546515</x:v>
      </x:c>
      <x:c r="C11" t="str">
        <x:v>млн ₽</x:v>
      </x:c>
      <x:c r="D11" s="117" t="n">
        <x:f>IF(D$3&lt;$B$8,'Продажи'!D26,0)+'ОБЪЕКТЫ'!D93</x:f>
        <x:v>0</x:v>
      </x:c>
      <x:c r="E11" s="117" t="n">
        <x:f>IF(E$3&lt;$B$8,'Продажи'!E26,0)+'ОБЪЕКТЫ'!E93</x:f>
        <x:v>0</x:v>
      </x:c>
      <x:c r="F11" s="117" t="n">
        <x:f>IF(F$3&lt;$B$8,'Продажи'!F26,0)+'ОБЪЕКТЫ'!F93</x:f>
        <x:v>0</x:v>
      </x:c>
      <x:c r="G11" s="117" t="n">
        <x:f>IF(G$3&lt;$B$8,'Продажи'!G26,0)+'ОБЪЕКТЫ'!G93</x:f>
        <x:v>0</x:v>
      </x:c>
      <x:c r="H11" s="117" t="n">
        <x:f>IF(H$3&lt;$B$8,'Продажи'!H26,0)+'ОБЪЕКТЫ'!H93</x:f>
        <x:v>0</x:v>
      </x:c>
      <x:c r="I11" s="117" t="n">
        <x:f>IF(I$3&lt;$B$8,'Продажи'!I26,0)+'ОБЪЕКТЫ'!I93</x:f>
        <x:v>0</x:v>
      </x:c>
      <x:c r="J11" s="117" t="n">
        <x:f>IF(J$3&lt;$B$8,'Продажи'!J26,0)+'ОБЪЕКТЫ'!J93</x:f>
        <x:v>0</x:v>
      </x:c>
      <x:c r="K11" s="117" t="n">
        <x:f>IF(K$3&lt;$B$8,'Продажи'!K26,0)+'ОБЪЕКТЫ'!K93</x:f>
        <x:v>0</x:v>
      </x:c>
      <x:c r="L11" s="117" t="n">
        <x:f>IF(L$3&lt;$B$8,'Продажи'!L26,0)+'ОБЪЕКТЫ'!L93</x:f>
        <x:v>0</x:v>
      </x:c>
      <x:c r="M11" s="117" t="n">
        <x:f>IF(M$3&lt;$B$8,'Продажи'!M26,0)+'ОБЪЕКТЫ'!M93</x:f>
        <x:v>0</x:v>
      </x:c>
      <x:c r="N11" s="117" t="n">
        <x:f>IF(N$3&lt;$B$8,'Продажи'!N26,0)+'ОБЪЕКТЫ'!N93</x:f>
        <x:v>0</x:v>
      </x:c>
      <x:c r="O11" s="117" t="n">
        <x:f>IF(O$3&lt;$B$8,'Продажи'!O26,0)+'ОБЪЕКТЫ'!O93</x:f>
        <x:v>0</x:v>
      </x:c>
      <x:c r="P11" s="117" t="n">
        <x:f>IF(P$3&lt;$B$8,'Продажи'!P26,0)+'ОБЪЕКТЫ'!P93</x:f>
        <x:v>0</x:v>
      </x:c>
      <x:c r="Q11" s="117" t="n">
        <x:f>IF(Q$3&lt;$B$8,'Продажи'!Q26,0)+'ОБЪЕКТЫ'!Q93</x:f>
        <x:v>0</x:v>
      </x:c>
      <x:c r="R11" s="117" t="n">
        <x:f>IF(R$3&lt;$B$8,'Продажи'!R26,0)+'ОБЪЕКТЫ'!R93</x:f>
        <x:v>0</x:v>
      </x:c>
      <x:c r="S11" s="117" t="n">
        <x:f>IF(S$3&lt;$B$8,'Продажи'!S26,0)+'ОБЪЕКТЫ'!S93</x:f>
        <x:v>0</x:v>
      </x:c>
      <x:c r="T11" s="117" t="n">
        <x:f>IF(T$3&lt;$B$8,'Продажи'!T26,0)+'ОБЪЕКТЫ'!T93</x:f>
        <x:v>0</x:v>
      </x:c>
      <x:c r="U11" s="117" t="n">
        <x:f>IF(U$3&lt;$B$8,'Продажи'!U26,0)+'ОБЪЕКТЫ'!U93</x:f>
        <x:v>0</x:v>
      </x:c>
      <x:c r="V11" s="117" t="n">
        <x:f>IF(V$3&lt;$B$8,'Продажи'!V26,0)+'ОБЪЕКТЫ'!V93</x:f>
        <x:v>294.3833179708191</x:v>
      </x:c>
      <x:c r="W11" s="117" t="n">
        <x:f>IF(W$3&lt;$B$8,'Продажи'!W26,0)+'ОБЪЕКТЫ'!W93</x:f>
        <x:v>301.78705841778515</x:v>
      </x:c>
      <x:c r="X11" s="117" t="n">
        <x:f>IF(X$3&lt;$B$8,'Продажи'!X26,0)+'ОБЪЕКТЫ'!X93</x:f>
        <x:v>363.9729446317558</x:v>
      </x:c>
      <x:c r="Y11" s="117" t="n">
        <x:f>IF(Y$3&lt;$B$8,'Продажи'!Y26,0)+'ОБЪЕКТЫ'!Y93</x:f>
        <x:v>373.1268641892445</x:v>
      </x:c>
      <x:c r="Z11" s="117" t="n">
        <x:f>IF(Z$3&lt;$B$8,'Продажи'!Z26,0)+'ОБЪЕКТЫ'!Z93</x:f>
        <x:v>382.5110048236039</x:v>
      </x:c>
      <x:c r="AA11" s="117" t="n">
        <x:f>IF(AA$3&lt;$B$8,'Продажи'!AA26,0)+'ОБЪЕКТЫ'!AA93</x:f>
        <x:v>392.13115659491757</x:v>
      </x:c>
      <x:c r="AB11" s="117" t="n">
        <x:f>IF(AB$3&lt;$B$8,'Продажи'!AB26,0)+'ОБЪЕКТЫ'!AB93</x:f>
        <x:v>341.69426690578774</x:v>
      </x:c>
      <x:c r="AC11" s="117" t="n">
        <x:f>IF(AC$3&lt;$B$8,'Продажи'!AC26,0)+'ОБЪЕКТЫ'!AC93</x:f>
        <x:v>412.1033855511392</x:v>
      </x:c>
      <x:c r="AD11" s="117" t="n">
        <x:f>IF(AD$3&lt;$B$8,'Продажи'!AD26,0)+'ОБЪЕКТЫ'!AD93</x:f>
        <x:v>422.46778569775034</x:v>
      </x:c>
      <x:c r="AE11" s="117" t="n">
        <x:f>IF(AE$3&lt;$B$8,'Продажи'!AE26,0)+'ОБЪЕКТЫ'!AE93</x:f>
        <x:v>433.0928505080485</x:v>
      </x:c>
      <x:c r="AF11" s="117" t="n">
        <x:f>IF(AF$3&lt;$B$8,'Продажи'!AF26,0)+'ОБЪЕКТЫ'!AF93</x:f>
        <x:v>377.3873653435772</x:v>
      </x:c>
      <x:c r="AG11" s="117" t="n">
        <x:f>IF(AG$3&lt;$B$8,'Продажи'!AG26,0)+'ОБЪЕКТЫ'!AG93</x:f>
        <x:v>386.87865758196796</x:v>
      </x:c>
      <x:c r="AH11" s="117" t="n">
        <x:f>IF(AH$3&lt;$B$8,'Продажи'!AH26,0)+'ОБЪЕКТЫ'!AH93</x:f>
        <x:v>396.60865582015447</x:v>
      </x:c>
      <x:c r="AI11" s="117" t="n">
        <x:f>IF(AI$3&lt;$B$8,'Продажи'!AI26,0)+'ОБЪЕКТЫ'!AI93</x:f>
        <x:v>406.58336351403125</x:v>
      </x:c>
      <x:c r="AJ11" s="117" t="n">
        <x:f>IF(AJ$3&lt;$B$8,'Продажи'!AJ26,0)+'ОБЪЕКТЫ'!AJ93</x:f>
        <x:v>490.36345306636366</x:v>
      </x:c>
      <x:c r="AK11" s="117" t="n">
        <x:f>IF(AK$3&lt;$B$8,'Продажи'!AK26,0)+'ОБЪЕКТЫ'!AK93</x:f>
        <x:v>502.6960939109828</x:v>
      </x:c>
      <x:c r="AL11" s="117" t="n">
        <x:f>IF(AL$3&lt;$B$8,'Продажи'!AL26,0)+'ОБЪЕКТЫ'!AL93</x:f>
        <x:v>515.338900672844</x:v>
      </x:c>
      <x:c r="AM11" s="117" t="n">
        <x:f>IF(AM$3&lt;$B$8,'Продажи'!AM26,0)+'ОБЪЕКТЫ'!AM93</x:f>
        <x:v>528.2996740247659</x:v>
      </x:c>
      <x:c r="AN11" s="117" t="n">
        <x:f>IF(AN$3&lt;$B$8,'Продажи'!AN26,0)+'ОБЪЕКТЫ'!AN93</x:f>
        <x:v>460.3484492025153</x:v>
      </x:c>
      <x:c r="AO11" s="117" t="n">
        <x:f>IF(AO$3&lt;$B$8,'Продажи'!AO26,0)+'ОБЪЕКТЫ'!AO93</x:f>
        <x:v>555.2073090587747</x:v>
      </x:c>
      <x:c r="AP11" s="117" t="n">
        <x:f>IF(AP$3&lt;$B$8,'Продажи'!AP26,0)+'ОБЪЕКТЫ'!AP93</x:f>
        <x:v>569.1707728816029</x:v>
      </x:c>
      <x:c r="AQ11" s="117" t="n">
        <x:f>IF(AQ$3&lt;$B$8,'Продажи'!AQ26,0)+'ОБЪЕКТЫ'!AQ93</x:f>
        <x:v>583.4854178195754</x:v>
      </x:c>
      <x:c r="AR11" s="117" t="n">
        <x:f>IF(AR$3&lt;$B$8,'Продажи'!AR26,0)+'ОБЪЕКТЫ'!AR93</x:f>
        <x:v>508.43606466607696</x:v>
      </x:c>
      <x:c r="AS11" s="117" t="n">
        <x:f>IF(AS$3&lt;$B$8,'Продажи'!AS26,0)+'ОБЪЕКТЫ'!AS93</x:f>
        <x:v>521.2232316924286</x:v>
      </x:c>
      <x:c r="AT11" s="117" t="n">
        <x:f>IF(AT$3&lt;$B$8,'Продажи'!AT26,0)+'ОБЪЕКТЫ'!AT93</x:f>
        <x:v>0</x:v>
      </x:c>
      <x:c r="AU11" s="117" t="n">
        <x:f>IF(AU$3&lt;$B$8,'Продажи'!AU26,0)+'ОБЪЕКТЫ'!AU93</x:f>
        <x:v>0</x:v>
      </x:c>
      <x:c r="AV11" s="117" t="n">
        <x:f>IF(AV$3&lt;$B$8,'Продажи'!AV26,0)+'ОБЪЕКТЫ'!AV93</x:f>
        <x:v>0</x:v>
      </x:c>
      <x:c r="AW11" s="117" t="n">
        <x:f>IF(AW$3&lt;$B$8,'Продажи'!AW26,0)+'ОБЪЕКТЫ'!AW93</x:f>
        <x:v>0</x:v>
      </x:c>
      <x:c r="AX11" s="117" t="n">
        <x:f>IF(AX$3&lt;$B$8,'Продажи'!AX26,0)+'ОБЪЕКТЫ'!AX93</x:f>
        <x:v>0</x:v>
      </x:c>
      <x:c r="AY11" s="117" t="n">
        <x:f>IF(AY$3&lt;$B$8,'Продажи'!AY26,0)+'ОБЪЕКТЫ'!AY93</x:f>
        <x:v>0</x:v>
      </x:c>
      <x:c r="AZ11" s="117" t="n">
        <x:f>IF(AZ$3&lt;$B$8,'Продажи'!AZ26,0)+'ОБЪЕКТЫ'!AZ93</x:f>
        <x:v>0</x:v>
      </x:c>
      <x:c r="BA11" s="117" t="n">
        <x:f>IF(BA$3&lt;$B$8,'Продажи'!BA26,0)+'ОБЪЕКТЫ'!BA93</x:f>
        <x:v>0</x:v>
      </x:c>
      <x:c r="BB11" s="117" t="n">
        <x:f>IF(BB$3&lt;$B$8,'Продажи'!BB26,0)+'ОБЪЕКТЫ'!BB93</x:f>
        <x:v>0</x:v>
      </x:c>
      <x:c r="BC11" s="117" t="n">
        <x:f>IF(BC$3&lt;$B$8,'Продажи'!BC26,0)+'ОБЪЕКТЫ'!BC93</x:f>
        <x:v>0</x:v>
      </x:c>
      <x:c r="BD11" s="117" t="n">
        <x:f>IF(BD$3&lt;$B$8,'Продажи'!BD26,0)+'ОБЪЕКТЫ'!BD93</x:f>
        <x:v>0</x:v>
      </x:c>
      <x:c r="BE11" s="117" t="n">
        <x:f>IF(BE$3&lt;$B$8,'Продажи'!BE26,0)+'ОБЪЕКТЫ'!BE93</x:f>
        <x:v>0</x:v>
      </x:c>
      <x:c r="BF11" s="117" t="n">
        <x:f>IF(BF$3&lt;$B$8,'Продажи'!BF26,0)+'ОБЪЕКТЫ'!BF93</x:f>
        <x:v>0</x:v>
      </x:c>
      <x:c r="BG11" s="117" t="n">
        <x:f>IF(BG$3&lt;$B$8,'Продажи'!BG26,0)+'ОБЪЕКТЫ'!BG93</x:f>
        <x:v>0</x:v>
      </x:c>
      <x:c r="BH11" s="117" t="n">
        <x:f>IF(BH$3&lt;$B$8,'Продажи'!BH26,0)+'ОБЪЕКТЫ'!BH93</x:f>
        <x:v>0</x:v>
      </x:c>
      <x:c r="BI11" s="117" t="n">
        <x:f>IF(BI$3&lt;$B$8,'Продажи'!BI26,0)+'ОБЪЕКТЫ'!BI93</x:f>
        <x:v>0</x:v>
      </x:c>
      <x:c r="BJ11" s="117" t="n">
        <x:f>IF(BJ$3&lt;$B$8,'Продажи'!BJ26,0)+'ОБЪЕКТЫ'!BJ93</x:f>
        <x:v>0</x:v>
      </x:c>
      <x:c r="BK11" s="117" t="n">
        <x:f>IF(BK$3&lt;$B$8,'Продажи'!BK26,0)+'ОБЪЕКТЫ'!BK93</x:f>
        <x:v>0</x:v>
      </x:c>
      <x:c r="BL11" s="117" t="n">
        <x:f>IF(BL$3&lt;$B$8,'Продажи'!BL26,0)+'ОБЪЕКТЫ'!BL93</x:f>
        <x:v>0</x:v>
      </x:c>
      <x:c r="BM11" s="117" t="n">
        <x:f>IF(BM$3&lt;$B$8,'Продажи'!BM26,0)+'ОБЪЕКТЫ'!BM93</x:f>
        <x:v>0</x:v>
      </x:c>
      <x:c r="BN11" s="117" t="n">
        <x:f>IF(BN$3&lt;$B$8,'Продажи'!BN26,0)+'ОБЪЕКТЫ'!BN93</x:f>
        <x:v>0</x:v>
      </x:c>
      <x:c r="BO11" s="117" t="n">
        <x:f>IF(BO$3&lt;$B$8,'Продажи'!BO26,0)+'ОБЪЕКТЫ'!BO93</x:f>
        <x:v>0</x:v>
      </x:c>
      <x:c r="BP11" s="117" t="n">
        <x:f>IF(BP$3&lt;$B$8,'Продажи'!BP26,0)+'ОБЪЕКТЫ'!BP93</x:f>
        <x:v>0</x:v>
      </x:c>
      <x:c r="BQ11" s="117" t="n">
        <x:f>IF(BQ$3&lt;$B$8,'Продажи'!BQ26,0)+'ОБЪЕКТЫ'!BQ93</x:f>
        <x:v>0</x:v>
      </x:c>
      <x:c r="BR11" s="117" t="n">
        <x:f>IF(BR$3&lt;$B$8,'Продажи'!BR26,0)+'ОБЪЕКТЫ'!BR93</x:f>
        <x:v>0</x:v>
      </x:c>
      <x:c r="BS11" s="117" t="n">
        <x:f>IF(BS$3&lt;$B$8,'Продажи'!BS26,0)+'ОБЪЕКТЫ'!BS93</x:f>
        <x:v>0</x:v>
      </x:c>
      <x:c r="BT11" s="117" t="n">
        <x:f>IF(BT$3&lt;$B$8,'Продажи'!BT26,0)+'ОБЪЕКТЫ'!BT93</x:f>
        <x:v>0</x:v>
      </x:c>
      <x:c r="BU11" s="117" t="n">
        <x:f>IF(BU$3&lt;$B$8,'Продажи'!BU26,0)+'ОБЪЕКТЫ'!BU93</x:f>
        <x:v>0</x:v>
      </x:c>
      <x:c r="BV11" s="117" t="n">
        <x:f>IF(BV$3&lt;$B$8,'Продажи'!BV26,0)+'ОБЪЕКТЫ'!BV93</x:f>
        <x:v>0</x:v>
      </x:c>
      <x:c r="BW11" s="117" t="n">
        <x:f>IF(BW$3&lt;$B$8,'Продажи'!BW26,0)+'ОБЪЕКТЫ'!BW93</x:f>
        <x:v>0</x:v>
      </x:c>
      <x:c r="BX11" s="117" t="n">
        <x:f>IF(BX$3&lt;$B$8,'Продажи'!BX26,0)+'ОБЪЕКТЫ'!BX93</x:f>
        <x:v>0</x:v>
      </x:c>
      <x:c r="BY11" s="117" t="n">
        <x:f>IF(BY$3&lt;$B$8,'Продажи'!BY26,0)+'ОБЪЕКТЫ'!BY93</x:f>
        <x:v>0</x:v>
      </x:c>
      <x:c r="BZ11" s="117" t="n">
        <x:f>IF(BZ$3&lt;$B$8,'Продажи'!BZ26,0)+'ОБЪЕКТЫ'!BZ93</x:f>
        <x:v>0</x:v>
      </x:c>
      <x:c r="CA11" s="117" t="n">
        <x:f>IF(CA$3&lt;$B$8,'Продажи'!CA26,0)+'ОБЪЕКТЫ'!CA93</x:f>
        <x:v>0</x:v>
      </x:c>
      <x:c r="CB11" s="117" t="n">
        <x:f>IF(CB$3&lt;$B$8,'Продажи'!CB26,0)+'ОБЪЕКТЫ'!CB93</x:f>
        <x:v>0</x:v>
      </x:c>
      <x:c r="CC11" s="117" t="n">
        <x:f>IF(CC$3&lt;$B$8,'Продажи'!CC26,0)+'ОБЪЕКТЫ'!CC93</x:f>
        <x:v>0</x:v>
      </x:c>
      <x:c r="CD11" s="117" t="n">
        <x:f>IF(CD$3&lt;$B$8,'Продажи'!CD26,0)+'ОБЪЕКТЫ'!CD93</x:f>
        <x:v>0</x:v>
      </x:c>
      <x:c r="CE11" s="117" t="n">
        <x:f>IF(CE$3&lt;$B$8,'Продажи'!CE26,0)+'ОБЪЕКТЫ'!CE93</x:f>
        <x:v>0</x:v>
      </x:c>
      <x:c r="CF11" s="117" t="n">
        <x:f>IF(CF$3&lt;$B$8,'Продажи'!CF26,0)+'ОБЪЕКТЫ'!CF93</x:f>
        <x:v>0</x:v>
      </x:c>
      <x:c r="CG11" s="117" t="n">
        <x:f>IF(CG$3&lt;$B$8,'Продажи'!CG26,0)+'ОБЪЕКТЫ'!CG93</x:f>
        <x:v>0</x:v>
      </x:c>
      <x:c r="CH11" s="117" t="n">
        <x:f>IF(CH$3&lt;$B$8,'Продажи'!CH26,0)+'ОБЪЕКТЫ'!CH93</x:f>
        <x:v>0</x:v>
      </x:c>
      <x:c r="CI11" s="117" t="n">
        <x:f>IF(CI$3&lt;$B$8,'Продажи'!CI26,0)+'ОБЪЕКТЫ'!CI93</x:f>
        <x:v>0</x:v>
      </x:c>
      <x:c r="CJ11" s="117" t="n">
        <x:f>IF(CJ$3&lt;$B$8,'Продажи'!CJ26,0)+'ОБЪЕКТЫ'!CJ93</x:f>
        <x:v>0</x:v>
      </x:c>
      <x:c r="CK11" s="117" t="n">
        <x:f>IF(CK$3&lt;$B$8,'Продажи'!CK26,0)+'ОБЪЕКТЫ'!CK93</x:f>
        <x:v>0</x:v>
      </x:c>
      <x:c r="CL11" s="117" t="n">
        <x:f>IF(CL$3&lt;$B$8,'Продажи'!CL26,0)+'ОБЪЕКТЫ'!CL93</x:f>
        <x:v>0</x:v>
      </x:c>
      <x:c r="CM11" s="117" t="n">
        <x:f>IF(CM$3&lt;$B$8,'Продажи'!CM26,0)+'ОБЪЕКТЫ'!CM93</x:f>
        <x:v>0</x:v>
      </x:c>
      <x:c r="CN11" s="117" t="n">
        <x:f>IF(CN$3&lt;$B$8,'Продажи'!CN26,0)+'ОБЪЕКТЫ'!CN93</x:f>
        <x:v>0</x:v>
      </x:c>
      <x:c r="CO11" s="117" t="n">
        <x:f>IF(CO$3&lt;$B$8,'Продажи'!CO26,0)+'ОБЪЕКТЫ'!CO93</x:f>
        <x:v>0</x:v>
      </x:c>
      <x:c r="CP11" s="117" t="n">
        <x:f>IF(CP$3&lt;$B$8,'Продажи'!CP26,0)+'ОБЪЕКТЫ'!CP93</x:f>
        <x:v>0</x:v>
      </x:c>
      <x:c r="CQ11" s="117" t="n">
        <x:f>IF(CQ$3&lt;$B$8,'Продажи'!CQ26,0)+'ОБЪЕКТЫ'!CQ93</x:f>
        <x:v>0</x:v>
      </x:c>
      <x:c r="CR11" s="117" t="n">
        <x:f>IF(CR$3&lt;$B$8,'Продажи'!CR26,0)+'ОБЪЕКТЫ'!CR93</x:f>
        <x:v>0</x:v>
      </x:c>
      <x:c r="CS11" s="117" t="n">
        <x:f>IF(CS$3&lt;$B$8,'Продажи'!CS26,0)+'ОБЪЕКТЫ'!CS93</x:f>
        <x:v>0</x:v>
      </x:c>
      <x:c r="CT11" s="117" t="n">
        <x:f>IF(CT$3&lt;$B$8,'Продажи'!CT26,0)+'ОБЪЕКТЫ'!CT93</x:f>
        <x:v>0</x:v>
      </x:c>
      <x:c r="CU11" s="117" t="n">
        <x:f>IF(CU$3&lt;$B$8,'Продажи'!CU26,0)+'ОБЪЕКТЫ'!CU93</x:f>
        <x:v>0</x:v>
      </x:c>
      <x:c r="CV11" s="117" t="n">
        <x:f>IF(CV$3&lt;$B$8,'Продажи'!CV26,0)+'ОБЪЕКТЫ'!CV93</x:f>
        <x:v>0</x:v>
      </x:c>
      <x:c r="CW11" s="117" t="n">
        <x:f>IF(CW$3&lt;$B$8,'Продажи'!CW26,0)+'ОБЪЕКТЫ'!CW93</x:f>
        <x:v>0</x:v>
      </x:c>
      <x:c r="CX11" s="117" t="n">
        <x:f>IF(CX$3&lt;$B$8,'Продажи'!CX26,0)+'ОБЪЕКТЫ'!CX93</x:f>
        <x:v>0</x:v>
      </x:c>
      <x:c r="CY11" s="117" t="n">
        <x:f>IF(CY$3&lt;$B$8,'Продажи'!CY26,0)+'ОБЪЕКТЫ'!CY93</x:f>
        <x:v>0</x:v>
      </x:c>
      <x:c r="CZ11" s="117" t="n">
        <x:f>IF(CZ$3&lt;$B$8,'Продажи'!CZ26,0)+'ОБЪЕКТЫ'!CZ93</x:f>
        <x:v>0</x:v>
      </x:c>
      <x:c r="DA11" s="117" t="n">
        <x:f>IF(DA$3&lt;$B$8,'Продажи'!DA26,0)+'ОБЪЕКТЫ'!DA93</x:f>
        <x:v>0</x:v>
      </x:c>
      <x:c r="DB11" s="117" t="n">
        <x:f>IF(DB$3&lt;$B$8,'Продажи'!DB26,0)+'ОБЪЕКТЫ'!DB93</x:f>
        <x:v>0</x:v>
      </x:c>
      <x:c r="DC11" s="117" t="n">
        <x:f>IF(DC$3&lt;$B$8,'Продажи'!DC26,0)+'ОБЪЕКТЫ'!DC93</x:f>
        <x:v>0</x:v>
      </x:c>
      <x:c r="DD11" s="117" t="n">
        <x:f>IF(DD$3&lt;$B$8,'Продажи'!DD26,0)+'ОБЪЕКТЫ'!DD93</x:f>
        <x:v>0</x:v>
      </x:c>
      <x:c r="DE11" s="117" t="n">
        <x:f>IF(DE$3&lt;$B$8,'Продажи'!DE26,0)+'ОБЪЕКТЫ'!DE93</x:f>
        <x:v>0</x:v>
      </x:c>
      <x:c r="DF11" s="117" t="n">
        <x:f>IF(DF$3&lt;$B$8,'Продажи'!DF26,0)+'ОБЪЕКТЫ'!DF93</x:f>
        <x:v>0</x:v>
      </x:c>
      <x:c r="DG11" s="117" t="n">
        <x:f>IF(DG$3&lt;$B$8,'Продажи'!DG26,0)+'ОБЪЕКТЫ'!DG93</x:f>
        <x:v>0</x:v>
      </x:c>
      <x:c r="DH11" s="117" t="n">
        <x:f>IF(DH$3&lt;$B$8,'Продажи'!DH26,0)+'ОБЪЕКТЫ'!DH93</x:f>
        <x:v>0</x:v>
      </x:c>
      <x:c r="DI11" s="117" t="n">
        <x:f>IF(DI$3&lt;$B$8,'Продажи'!DI26,0)+'ОБЪЕКТЫ'!DI93</x:f>
        <x:v>0</x:v>
      </x:c>
      <x:c r="DJ11" s="117" t="n">
        <x:f>IF(DJ$3&lt;$B$8,'Продажи'!DJ26,0)+'ОБЪЕКТЫ'!DJ93</x:f>
        <x:v>0</x:v>
      </x:c>
      <x:c r="DK11" s="117" t="n">
        <x:f>IF(DK$3&lt;$B$8,'Продажи'!DK26,0)+'ОБЪЕКТЫ'!DK93</x:f>
        <x:v>0</x:v>
      </x:c>
      <x:c r="DL11" s="117" t="n">
        <x:f>IF(DL$3&lt;$B$8,'Продажи'!DL26,0)+'ОБЪЕКТЫ'!DL93</x:f>
        <x:v>0</x:v>
      </x:c>
      <x:c r="DM11" s="117" t="n">
        <x:f>IF(DM$3&lt;$B$8,'Продажи'!DM26,0)+'ОБЪЕКТЫ'!DM93</x:f>
        <x:v>0</x:v>
      </x:c>
      <x:c r="DN11" s="117" t="n">
        <x:f>IF(DN$3&lt;$B$8,'Продажи'!DN26,0)+'ОБЪЕКТЫ'!DN93</x:f>
        <x:v>0</x:v>
      </x:c>
      <x:c r="DO11" s="117" t="n">
        <x:f>IF(DO$3&lt;$B$8,'Продажи'!DO26,0)+'ОБЪЕКТЫ'!DO93</x:f>
        <x:v>0</x:v>
      </x:c>
      <x:c r="DP11" s="117" t="n">
        <x:f>IF(DP$3&lt;$B$8,'Продажи'!DP26,0)+'ОБЪЕКТЫ'!DP93</x:f>
        <x:v>0</x:v>
      </x:c>
      <x:c r="DQ11" s="117" t="n">
        <x:f>IF(DQ$3&lt;$B$8,'Продажи'!DQ26,0)+'ОБЪЕКТЫ'!DQ93</x:f>
        <x:v>0</x:v>
      </x:c>
      <x:c r="DR11" s="117" t="n">
        <x:f>IF(DR$3&lt;$B$8,'Продажи'!DR26,0)+'ОБЪЕКТЫ'!DR93</x:f>
        <x:v>0</x:v>
      </x:c>
      <x:c r="DS11" s="117" t="n">
        <x:f>IF(DS$3&lt;$B$8,'Продажи'!DS26,0)+'ОБЪЕКТЫ'!DS93</x:f>
        <x:v>0</x:v>
      </x:c>
    </x:row>
    <x:row r="12">
      <x:c r="A12" t="str">
        <x:v>Прямые поступления после РВЭ</x:v>
      </x:c>
      <x:c r="B12" t="n">
        <x:f>SUM(D12:DS12)</x:f>
        <x:v>2223.71127325378</x:v>
      </x:c>
      <x:c r="C12" t="str">
        <x:v>млн ₽</x:v>
      </x:c>
      <x:c r="D12" s="117" t="n">
        <x:f>IF(D$3&gt;=$B$8,'Продажи'!D26,0)+'ОБЪЕКТЫ'!D94</x:f>
        <x:v>0</x:v>
      </x:c>
      <x:c r="E12" s="117" t="n">
        <x:f>IF(E$3&gt;=$B$8,'Продажи'!E26,0)+'ОБЪЕКТЫ'!E94</x:f>
        <x:v>0</x:v>
      </x:c>
      <x:c r="F12" s="117" t="n">
        <x:f>IF(F$3&gt;=$B$8,'Продажи'!F26,0)+'ОБЪЕКТЫ'!F94</x:f>
        <x:v>0</x:v>
      </x:c>
      <x:c r="G12" s="117" t="n">
        <x:f>IF(G$3&gt;=$B$8,'Продажи'!G26,0)+'ОБЪЕКТЫ'!G94</x:f>
        <x:v>0</x:v>
      </x:c>
      <x:c r="H12" s="117" t="n">
        <x:f>IF(H$3&gt;=$B$8,'Продажи'!H26,0)+'ОБЪЕКТЫ'!H94</x:f>
        <x:v>0</x:v>
      </x:c>
      <x:c r="I12" s="117" t="n">
        <x:f>IF(I$3&gt;=$B$8,'Продажи'!I26,0)+'ОБЪЕКТЫ'!I94</x:f>
        <x:v>0</x:v>
      </x:c>
      <x:c r="J12" s="117" t="n">
        <x:f>IF(J$3&gt;=$B$8,'Продажи'!J26,0)+'ОБЪЕКТЫ'!J94</x:f>
        <x:v>0</x:v>
      </x:c>
      <x:c r="K12" s="117" t="n">
        <x:f>IF(K$3&gt;=$B$8,'Продажи'!K26,0)+'ОБЪЕКТЫ'!K94</x:f>
        <x:v>0</x:v>
      </x:c>
      <x:c r="L12" s="117" t="n">
        <x:f>IF(L$3&gt;=$B$8,'Продажи'!L26,0)+'ОБЪЕКТЫ'!L94</x:f>
        <x:v>0</x:v>
      </x:c>
      <x:c r="M12" s="117" t="n">
        <x:f>IF(M$3&gt;=$B$8,'Продажи'!M26,0)+'ОБЪЕКТЫ'!M94</x:f>
        <x:v>0</x:v>
      </x:c>
      <x:c r="N12" s="117" t="n">
        <x:f>IF(N$3&gt;=$B$8,'Продажи'!N26,0)+'ОБЪЕКТЫ'!N94</x:f>
        <x:v>0</x:v>
      </x:c>
      <x:c r="O12" s="117" t="n">
        <x:f>IF(O$3&gt;=$B$8,'Продажи'!O26,0)+'ОБЪЕКТЫ'!O94</x:f>
        <x:v>0</x:v>
      </x:c>
      <x:c r="P12" s="117" t="n">
        <x:f>IF(P$3&gt;=$B$8,'Продажи'!P26,0)+'ОБЪЕКТЫ'!P94</x:f>
        <x:v>0</x:v>
      </x:c>
      <x:c r="Q12" s="117" t="n">
        <x:f>IF(Q$3&gt;=$B$8,'Продажи'!Q26,0)+'ОБЪЕКТЫ'!Q94</x:f>
        <x:v>0</x:v>
      </x:c>
      <x:c r="R12" s="117" t="n">
        <x:f>IF(R$3&gt;=$B$8,'Продажи'!R26,0)+'ОБЪЕКТЫ'!R94</x:f>
        <x:v>0</x:v>
      </x:c>
      <x:c r="S12" s="117" t="n">
        <x:f>IF(S$3&gt;=$B$8,'Продажи'!S26,0)+'ОБЪЕКТЫ'!S94</x:f>
        <x:v>0</x:v>
      </x:c>
      <x:c r="T12" s="117" t="n">
        <x:f>IF(T$3&gt;=$B$8,'Продажи'!T26,0)+'ОБЪЕКТЫ'!T94</x:f>
        <x:v>0</x:v>
      </x:c>
      <x:c r="U12" s="117" t="n">
        <x:f>IF(U$3&gt;=$B$8,'Продажи'!U26,0)+'ОБЪЕКТЫ'!U94</x:f>
        <x:v>0</x:v>
      </x:c>
      <x:c r="V12" s="117" t="n">
        <x:f>IF(V$3&gt;=$B$8,'Продажи'!V26,0)+'ОБЪЕКТЫ'!V94</x:f>
        <x:v>0</x:v>
      </x:c>
      <x:c r="W12" s="117" t="n">
        <x:f>IF(W$3&gt;=$B$8,'Продажи'!W26,0)+'ОБЪЕКТЫ'!W94</x:f>
        <x:v>0</x:v>
      </x:c>
      <x:c r="X12" s="117" t="n">
        <x:f>IF(X$3&gt;=$B$8,'Продажи'!X26,0)+'ОБЪЕКТЫ'!X94</x:f>
        <x:v>0</x:v>
      </x:c>
      <x:c r="Y12" s="117" t="n">
        <x:f>IF(Y$3&gt;=$B$8,'Продажи'!Y26,0)+'ОБЪЕКТЫ'!Y94</x:f>
        <x:v>0</x:v>
      </x:c>
      <x:c r="Z12" s="117" t="n">
        <x:f>IF(Z$3&gt;=$B$8,'Продажи'!Z26,0)+'ОБЪЕКТЫ'!Z94</x:f>
        <x:v>0</x:v>
      </x:c>
      <x:c r="AA12" s="117" t="n">
        <x:f>IF(AA$3&gt;=$B$8,'Продажи'!AA26,0)+'ОБЪЕКТЫ'!AA94</x:f>
        <x:v>0</x:v>
      </x:c>
      <x:c r="AB12" s="117" t="n">
        <x:f>IF(AB$3&gt;=$B$8,'Продажи'!AB26,0)+'ОБЪЕКТЫ'!AB94</x:f>
        <x:v>0</x:v>
      </x:c>
      <x:c r="AC12" s="117" t="n">
        <x:f>IF(AC$3&gt;=$B$8,'Продажи'!AC26,0)+'ОБЪЕКТЫ'!AC94</x:f>
        <x:v>0</x:v>
      </x:c>
      <x:c r="AD12" s="117" t="n">
        <x:f>IF(AD$3&gt;=$B$8,'Продажи'!AD26,0)+'ОБЪЕКТЫ'!AD94</x:f>
        <x:v>0</x:v>
      </x:c>
      <x:c r="AE12" s="117" t="n">
        <x:f>IF(AE$3&gt;=$B$8,'Продажи'!AE26,0)+'ОБЪЕКТЫ'!AE94</x:f>
        <x:v>0</x:v>
      </x:c>
      <x:c r="AF12" s="117" t="n">
        <x:f>IF(AF$3&gt;=$B$8,'Продажи'!AF26,0)+'ОБЪЕКТЫ'!AF94</x:f>
        <x:v>0</x:v>
      </x:c>
      <x:c r="AG12" s="117" t="n">
        <x:f>IF(AG$3&gt;=$B$8,'Продажи'!AG26,0)+'ОБЪЕКТЫ'!AG94</x:f>
        <x:v>0</x:v>
      </x:c>
      <x:c r="AH12" s="117" t="n">
        <x:f>IF(AH$3&gt;=$B$8,'Продажи'!AH26,0)+'ОБЪЕКТЫ'!AH94</x:f>
        <x:v>0</x:v>
      </x:c>
      <x:c r="AI12" s="117" t="n">
        <x:f>IF(AI$3&gt;=$B$8,'Продажи'!AI26,0)+'ОБЪЕКТЫ'!AI94</x:f>
        <x:v>0</x:v>
      </x:c>
      <x:c r="AJ12" s="117" t="n">
        <x:f>IF(AJ$3&gt;=$B$8,'Продажи'!AJ26,0)+'ОБЪЕКТЫ'!AJ94</x:f>
        <x:v>0</x:v>
      </x:c>
      <x:c r="AK12" s="117" t="n">
        <x:f>IF(AK$3&gt;=$B$8,'Продажи'!AK26,0)+'ОБЪЕКТЫ'!AK94</x:f>
        <x:v>0</x:v>
      </x:c>
      <x:c r="AL12" s="117" t="n">
        <x:f>IF(AL$3&gt;=$B$8,'Продажи'!AL26,0)+'ОБЪЕКТЫ'!AL94</x:f>
        <x:v>0</x:v>
      </x:c>
      <x:c r="AM12" s="117" t="n">
        <x:f>IF(AM$3&gt;=$B$8,'Продажи'!AM26,0)+'ОБЪЕКТЫ'!AM94</x:f>
        <x:v>0</x:v>
      </x:c>
      <x:c r="AN12" s="117" t="n">
        <x:f>IF(AN$3&gt;=$B$8,'Продажи'!AN26,0)+'ОБЪЕКТЫ'!AN94</x:f>
        <x:v>0</x:v>
      </x:c>
      <x:c r="AO12" s="117" t="n">
        <x:f>IF(AO$3&gt;=$B$8,'Продажи'!AO26,0)+'ОБЪЕКТЫ'!AO94</x:f>
        <x:v>0</x:v>
      </x:c>
      <x:c r="AP12" s="117" t="n">
        <x:f>IF(AP$3&gt;=$B$8,'Продажи'!AP26,0)+'ОБЪЕКТЫ'!AP94</x:f>
        <x:v>0</x:v>
      </x:c>
      <x:c r="AQ12" s="117" t="n">
        <x:f>IF(AQ$3&gt;=$B$8,'Продажи'!AQ26,0)+'ОБЪЕКТЫ'!AQ94</x:f>
        <x:v>0</x:v>
      </x:c>
      <x:c r="AR12" s="117" t="n">
        <x:f>IF(AR$3&gt;=$B$8,'Продажи'!AR26,0)+'ОБЪЕКТЫ'!AR94</x:f>
        <x:v>0</x:v>
      </x:c>
      <x:c r="AS12" s="117" t="n">
        <x:f>IF(AS$3&gt;=$B$8,'Продажи'!AS26,0)+'ОБЪЕКТЫ'!AS94</x:f>
        <x:v>0</x:v>
      </x:c>
      <x:c r="AT12" s="117" t="n">
        <x:f>IF(AT$3&gt;=$B$8,'Продажи'!AT26,0)+'ОБЪЕКТЫ'!AT94</x:f>
        <x:v>320.9546856127561</x:v>
      </x:c>
      <x:c r="AU12" s="117" t="n">
        <x:f>IF(AU$3&gt;=$B$8,'Продажи'!AU26,0)+'ОБЪЕКТЫ'!AU94</x:f>
        <x:v>324.9746430500558</x:v>
      </x:c>
      <x:c r="AV12" s="117" t="n">
        <x:f>IF(AV$3&gt;=$B$8,'Продажи'!AV26,0)+'ОБЪЕКТЫ'!AV94</x:f>
        <x:v>387.1117064167739</x:v>
      </x:c>
      <x:c r="AW12" s="117" t="n">
        <x:f>IF(AW$3&gt;=$B$8,'Продажи'!AW26,0)+'ОБЪЕКТЫ'!AW94</x:f>
        <x:v>391.96028053964403</x:v>
      </x:c>
      <x:c r="AX12" s="117" t="n">
        <x:f>IF(AX$3&gt;=$B$8,'Продажи'!AX26,0)+'ОБЪЕКТЫ'!AX94</x:f>
        <x:v>396.869583053403</x:v>
      </x:c>
      <x:c r="AY12" s="117" t="n">
        <x:f>IF(AY$3&gt;=$B$8,'Продажи'!AY26,0)+'ОБЪЕКТЫ'!AY94</x:f>
        <x:v>401.84037458114693</x:v>
      </x:c>
      <x:c r="AZ12" s="117" t="n">
        <x:f>IF(AZ$3&gt;=$B$8,'Продажи'!AZ26,0)+'ОБЪЕКТЫ'!AZ94</x:f>
        <x:v>0</x:v>
      </x:c>
      <x:c r="BA12" s="117" t="n">
        <x:f>IF(BA$3&gt;=$B$8,'Продажи'!BA26,0)+'ОБЪЕКТЫ'!BA94</x:f>
        <x:v>0</x:v>
      </x:c>
      <x:c r="BB12" s="117" t="n">
        <x:f>IF(BB$3&gt;=$B$8,'Продажи'!BB26,0)+'ОБЪЕКТЫ'!BB94</x:f>
        <x:v>0</x:v>
      </x:c>
      <x:c r="BC12" s="117" t="n">
        <x:f>IF(BC$3&gt;=$B$8,'Продажи'!BC26,0)+'ОБЪЕКТЫ'!BC94</x:f>
        <x:v>0</x:v>
      </x:c>
      <x:c r="BD12" s="117" t="n">
        <x:f>IF(BD$3&gt;=$B$8,'Продажи'!BD26,0)+'ОБЪЕКТЫ'!BD94</x:f>
        <x:v>0</x:v>
      </x:c>
      <x:c r="BE12" s="117" t="n">
        <x:f>IF(BE$3&gt;=$B$8,'Продажи'!BE26,0)+'ОБЪЕКТЫ'!BE94</x:f>
        <x:v>0</x:v>
      </x:c>
      <x:c r="BF12" s="117" t="n">
        <x:f>IF(BF$3&gt;=$B$8,'Продажи'!BF26,0)+'ОБЪЕКТЫ'!BF94</x:f>
        <x:v>0</x:v>
      </x:c>
      <x:c r="BG12" s="117" t="n">
        <x:f>IF(BG$3&gt;=$B$8,'Продажи'!BG26,0)+'ОБЪЕКТЫ'!BG94</x:f>
        <x:v>0</x:v>
      </x:c>
      <x:c r="BH12" s="117" t="n">
        <x:f>IF(BH$3&gt;=$B$8,'Продажи'!BH26,0)+'ОБЪЕКТЫ'!BH94</x:f>
        <x:v>0</x:v>
      </x:c>
      <x:c r="BI12" s="117" t="n">
        <x:f>IF(BI$3&gt;=$B$8,'Продажи'!BI26,0)+'ОБЪЕКТЫ'!BI94</x:f>
        <x:v>0</x:v>
      </x:c>
      <x:c r="BJ12" s="117" t="n">
        <x:f>IF(BJ$3&gt;=$B$8,'Продажи'!BJ26,0)+'ОБЪЕКТЫ'!BJ94</x:f>
        <x:v>0</x:v>
      </x:c>
      <x:c r="BK12" s="117" t="n">
        <x:f>IF(BK$3&gt;=$B$8,'Продажи'!BK26,0)+'ОБЪЕКТЫ'!BK94</x:f>
        <x:v>0</x:v>
      </x:c>
      <x:c r="BL12" s="117" t="n">
        <x:f>IF(BL$3&gt;=$B$8,'Продажи'!BL26,0)+'ОБЪЕКТЫ'!BL94</x:f>
        <x:v>0</x:v>
      </x:c>
      <x:c r="BM12" s="117" t="n">
        <x:f>IF(BM$3&gt;=$B$8,'Продажи'!BM26,0)+'ОБЪЕКТЫ'!BM94</x:f>
        <x:v>0</x:v>
      </x:c>
      <x:c r="BN12" s="117" t="n">
        <x:f>IF(BN$3&gt;=$B$8,'Продажи'!BN26,0)+'ОБЪЕКТЫ'!BN94</x:f>
        <x:v>0</x:v>
      </x:c>
      <x:c r="BO12" s="117" t="n">
        <x:f>IF(BO$3&gt;=$B$8,'Продажи'!BO26,0)+'ОБЪЕКТЫ'!BO94</x:f>
        <x:v>0</x:v>
      </x:c>
      <x:c r="BP12" s="117" t="n">
        <x:f>IF(BP$3&gt;=$B$8,'Продажи'!BP26,0)+'ОБЪЕКТЫ'!BP94</x:f>
        <x:v>0</x:v>
      </x:c>
      <x:c r="BQ12" s="117" t="n">
        <x:f>IF(BQ$3&gt;=$B$8,'Продажи'!BQ26,0)+'ОБЪЕКТЫ'!BQ94</x:f>
        <x:v>0</x:v>
      </x:c>
      <x:c r="BR12" s="117" t="n">
        <x:f>IF(BR$3&gt;=$B$8,'Продажи'!BR26,0)+'ОБЪЕКТЫ'!BR94</x:f>
        <x:v>0</x:v>
      </x:c>
      <x:c r="BS12" s="117" t="n">
        <x:f>IF(BS$3&gt;=$B$8,'Продажи'!BS26,0)+'ОБЪЕКТЫ'!BS94</x:f>
        <x:v>0</x:v>
      </x:c>
      <x:c r="BT12" s="117" t="n">
        <x:f>IF(BT$3&gt;=$B$8,'Продажи'!BT26,0)+'ОБЪЕКТЫ'!BT94</x:f>
        <x:v>0</x:v>
      </x:c>
      <x:c r="BU12" s="117" t="n">
        <x:f>IF(BU$3&gt;=$B$8,'Продажи'!BU26,0)+'ОБЪЕКТЫ'!BU94</x:f>
        <x:v>0</x:v>
      </x:c>
      <x:c r="BV12" s="117" t="n">
        <x:f>IF(BV$3&gt;=$B$8,'Продажи'!BV26,0)+'ОБЪЕКТЫ'!BV94</x:f>
        <x:v>0</x:v>
      </x:c>
      <x:c r="BW12" s="117" t="n">
        <x:f>IF(BW$3&gt;=$B$8,'Продажи'!BW26,0)+'ОБЪЕКТЫ'!BW94</x:f>
        <x:v>0</x:v>
      </x:c>
      <x:c r="BX12" s="117" t="n">
        <x:f>IF(BX$3&gt;=$B$8,'Продажи'!BX26,0)+'ОБЪЕКТЫ'!BX94</x:f>
        <x:v>0</x:v>
      </x:c>
      <x:c r="BY12" s="117" t="n">
        <x:f>IF(BY$3&gt;=$B$8,'Продажи'!BY26,0)+'ОБЪЕКТЫ'!BY94</x:f>
        <x:v>0</x:v>
      </x:c>
      <x:c r="BZ12" s="117" t="n">
        <x:f>IF(BZ$3&gt;=$B$8,'Продажи'!BZ26,0)+'ОБЪЕКТЫ'!BZ94</x:f>
        <x:v>0</x:v>
      </x:c>
      <x:c r="CA12" s="117" t="n">
        <x:f>IF(CA$3&gt;=$B$8,'Продажи'!CA26,0)+'ОБЪЕКТЫ'!CA94</x:f>
        <x:v>0</x:v>
      </x:c>
      <x:c r="CB12" s="117" t="n">
        <x:f>IF(CB$3&gt;=$B$8,'Продажи'!CB26,0)+'ОБЪЕКТЫ'!CB94</x:f>
        <x:v>0</x:v>
      </x:c>
      <x:c r="CC12" s="117" t="n">
        <x:f>IF(CC$3&gt;=$B$8,'Продажи'!CC26,0)+'ОБЪЕКТЫ'!CC94</x:f>
        <x:v>0</x:v>
      </x:c>
      <x:c r="CD12" s="117" t="n">
        <x:f>IF(CD$3&gt;=$B$8,'Продажи'!CD26,0)+'ОБЪЕКТЫ'!CD94</x:f>
        <x:v>0</x:v>
      </x:c>
      <x:c r="CE12" s="117" t="n">
        <x:f>IF(CE$3&gt;=$B$8,'Продажи'!CE26,0)+'ОБЪЕКТЫ'!CE94</x:f>
        <x:v>0</x:v>
      </x:c>
      <x:c r="CF12" s="117" t="n">
        <x:f>IF(CF$3&gt;=$B$8,'Продажи'!CF26,0)+'ОБЪЕКТЫ'!CF94</x:f>
        <x:v>0</x:v>
      </x:c>
      <x:c r="CG12" s="117" t="n">
        <x:f>IF(CG$3&gt;=$B$8,'Продажи'!CG26,0)+'ОБЪЕКТЫ'!CG94</x:f>
        <x:v>0</x:v>
      </x:c>
      <x:c r="CH12" s="117" t="n">
        <x:f>IF(CH$3&gt;=$B$8,'Продажи'!CH26,0)+'ОБЪЕКТЫ'!CH94</x:f>
        <x:v>0</x:v>
      </x:c>
      <x:c r="CI12" s="117" t="n">
        <x:f>IF(CI$3&gt;=$B$8,'Продажи'!CI26,0)+'ОБЪЕКТЫ'!CI94</x:f>
        <x:v>0</x:v>
      </x:c>
      <x:c r="CJ12" s="117" t="n">
        <x:f>IF(CJ$3&gt;=$B$8,'Продажи'!CJ26,0)+'ОБЪЕКТЫ'!CJ94</x:f>
        <x:v>0</x:v>
      </x:c>
      <x:c r="CK12" s="117" t="n">
        <x:f>IF(CK$3&gt;=$B$8,'Продажи'!CK26,0)+'ОБЪЕКТЫ'!CK94</x:f>
        <x:v>0</x:v>
      </x:c>
      <x:c r="CL12" s="117" t="n">
        <x:f>IF(CL$3&gt;=$B$8,'Продажи'!CL26,0)+'ОБЪЕКТЫ'!CL94</x:f>
        <x:v>0</x:v>
      </x:c>
      <x:c r="CM12" s="117" t="n">
        <x:f>IF(CM$3&gt;=$B$8,'Продажи'!CM26,0)+'ОБЪЕКТЫ'!CM94</x:f>
        <x:v>0</x:v>
      </x:c>
      <x:c r="CN12" s="117" t="n">
        <x:f>IF(CN$3&gt;=$B$8,'Продажи'!CN26,0)+'ОБЪЕКТЫ'!CN94</x:f>
        <x:v>0</x:v>
      </x:c>
      <x:c r="CO12" s="117" t="n">
        <x:f>IF(CO$3&gt;=$B$8,'Продажи'!CO26,0)+'ОБЪЕКТЫ'!CO94</x:f>
        <x:v>0</x:v>
      </x:c>
      <x:c r="CP12" s="117" t="n">
        <x:f>IF(CP$3&gt;=$B$8,'Продажи'!CP26,0)+'ОБЪЕКТЫ'!CP94</x:f>
        <x:v>0</x:v>
      </x:c>
      <x:c r="CQ12" s="117" t="n">
        <x:f>IF(CQ$3&gt;=$B$8,'Продажи'!CQ26,0)+'ОБЪЕКТЫ'!CQ94</x:f>
        <x:v>0</x:v>
      </x:c>
      <x:c r="CR12" s="117" t="n">
        <x:f>IF(CR$3&gt;=$B$8,'Продажи'!CR26,0)+'ОБЪЕКТЫ'!CR94</x:f>
        <x:v>0</x:v>
      </x:c>
      <x:c r="CS12" s="117" t="n">
        <x:f>IF(CS$3&gt;=$B$8,'Продажи'!CS26,0)+'ОБЪЕКТЫ'!CS94</x:f>
        <x:v>0</x:v>
      </x:c>
      <x:c r="CT12" s="117" t="n">
        <x:f>IF(CT$3&gt;=$B$8,'Продажи'!CT26,0)+'ОБЪЕКТЫ'!CT94</x:f>
        <x:v>0</x:v>
      </x:c>
      <x:c r="CU12" s="117" t="n">
        <x:f>IF(CU$3&gt;=$B$8,'Продажи'!CU26,0)+'ОБЪЕКТЫ'!CU94</x:f>
        <x:v>0</x:v>
      </x:c>
      <x:c r="CV12" s="117" t="n">
        <x:f>IF(CV$3&gt;=$B$8,'Продажи'!CV26,0)+'ОБЪЕКТЫ'!CV94</x:f>
        <x:v>0</x:v>
      </x:c>
      <x:c r="CW12" s="117" t="n">
        <x:f>IF(CW$3&gt;=$B$8,'Продажи'!CW26,0)+'ОБЪЕКТЫ'!CW94</x:f>
        <x:v>0</x:v>
      </x:c>
      <x:c r="CX12" s="117" t="n">
        <x:f>IF(CX$3&gt;=$B$8,'Продажи'!CX26,0)+'ОБЪЕКТЫ'!CX94</x:f>
        <x:v>0</x:v>
      </x:c>
      <x:c r="CY12" s="117" t="n">
        <x:f>IF(CY$3&gt;=$B$8,'Продажи'!CY26,0)+'ОБЪЕКТЫ'!CY94</x:f>
        <x:v>0</x:v>
      </x:c>
      <x:c r="CZ12" s="117" t="n">
        <x:f>IF(CZ$3&gt;=$B$8,'Продажи'!CZ26,0)+'ОБЪЕКТЫ'!CZ94</x:f>
        <x:v>0</x:v>
      </x:c>
      <x:c r="DA12" s="117" t="n">
        <x:f>IF(DA$3&gt;=$B$8,'Продажи'!DA26,0)+'ОБЪЕКТЫ'!DA94</x:f>
        <x:v>0</x:v>
      </x:c>
      <x:c r="DB12" s="117" t="n">
        <x:f>IF(DB$3&gt;=$B$8,'Продажи'!DB26,0)+'ОБЪЕКТЫ'!DB94</x:f>
        <x:v>0</x:v>
      </x:c>
      <x:c r="DC12" s="117" t="n">
        <x:f>IF(DC$3&gt;=$B$8,'Продажи'!DC26,0)+'ОБЪЕКТЫ'!DC94</x:f>
        <x:v>0</x:v>
      </x:c>
      <x:c r="DD12" s="117" t="n">
        <x:f>IF(DD$3&gt;=$B$8,'Продажи'!DD26,0)+'ОБЪЕКТЫ'!DD94</x:f>
        <x:v>0</x:v>
      </x:c>
      <x:c r="DE12" s="117" t="n">
        <x:f>IF(DE$3&gt;=$B$8,'Продажи'!DE26,0)+'ОБЪЕКТЫ'!DE94</x:f>
        <x:v>0</x:v>
      </x:c>
      <x:c r="DF12" s="117" t="n">
        <x:f>IF(DF$3&gt;=$B$8,'Продажи'!DF26,0)+'ОБЪЕКТЫ'!DF94</x:f>
        <x:v>0</x:v>
      </x:c>
      <x:c r="DG12" s="117" t="n">
        <x:f>IF(DG$3&gt;=$B$8,'Продажи'!DG26,0)+'ОБЪЕКТЫ'!DG94</x:f>
        <x:v>0</x:v>
      </x:c>
      <x:c r="DH12" s="117" t="n">
        <x:f>IF(DH$3&gt;=$B$8,'Продажи'!DH26,0)+'ОБЪЕКТЫ'!DH94</x:f>
        <x:v>0</x:v>
      </x:c>
      <x:c r="DI12" s="117" t="n">
        <x:f>IF(DI$3&gt;=$B$8,'Продажи'!DI26,0)+'ОБЪЕКТЫ'!DI94</x:f>
        <x:v>0</x:v>
      </x:c>
      <x:c r="DJ12" s="117" t="n">
        <x:f>IF(DJ$3&gt;=$B$8,'Продажи'!DJ26,0)+'ОБЪЕКТЫ'!DJ94</x:f>
        <x:v>0</x:v>
      </x:c>
      <x:c r="DK12" s="117" t="n">
        <x:f>IF(DK$3&gt;=$B$8,'Продажи'!DK26,0)+'ОБЪЕКТЫ'!DK94</x:f>
        <x:v>0</x:v>
      </x:c>
      <x:c r="DL12" s="117" t="n">
        <x:f>IF(DL$3&gt;=$B$8,'Продажи'!DL26,0)+'ОБЪЕКТЫ'!DL94</x:f>
        <x:v>0</x:v>
      </x:c>
      <x:c r="DM12" s="117" t="n">
        <x:f>IF(DM$3&gt;=$B$8,'Продажи'!DM26,0)+'ОБЪЕКТЫ'!DM94</x:f>
        <x:v>0</x:v>
      </x:c>
      <x:c r="DN12" s="117" t="n">
        <x:f>IF(DN$3&gt;=$B$8,'Продажи'!DN26,0)+'ОБЪЕКТЫ'!DN94</x:f>
        <x:v>0</x:v>
      </x:c>
      <x:c r="DO12" s="117" t="n">
        <x:f>IF(DO$3&gt;=$B$8,'Продажи'!DO26,0)+'ОБЪЕКТЫ'!DO94</x:f>
        <x:v>0</x:v>
      </x:c>
      <x:c r="DP12" s="117" t="n">
        <x:f>IF(DP$3&gt;=$B$8,'Продажи'!DP26,0)+'ОБЪЕКТЫ'!DP94</x:f>
        <x:v>0</x:v>
      </x:c>
      <x:c r="DQ12" s="117" t="n">
        <x:f>IF(DQ$3&gt;=$B$8,'Продажи'!DQ26,0)+'ОБЪЕКТЫ'!DQ94</x:f>
        <x:v>0</x:v>
      </x:c>
      <x:c r="DR12" s="117" t="n">
        <x:f>IF(DR$3&gt;=$B$8,'Продажи'!DR26,0)+'ОБЪЕКТЫ'!DR94</x:f>
        <x:v>0</x:v>
      </x:c>
      <x:c r="DS12" s="117" t="n">
        <x:f>IF(DS$3&gt;=$B$8,'Продажи'!DS26,0)+'ОБЪЕКТЫ'!DS94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294.3833179708191</x:v>
      </x:c>
      <x:c r="X13" s="117" t="n">
        <x:f>W15</x:f>
        <x:v>596.1703763886043</x:v>
      </x:c>
      <x:c r="Y13" s="117" t="n">
        <x:f>X15</x:f>
        <x:v>960.1433210203601</x:v>
      </x:c>
      <x:c r="Z13" s="117" t="n">
        <x:f>Y15</x:f>
        <x:v>1333.2701852096045</x:v>
      </x:c>
      <x:c r="AA13" s="117" t="n">
        <x:f>Z15</x:f>
        <x:v>1715.7811900332085</x:v>
      </x:c>
      <x:c r="AB13" s="117" t="n">
        <x:f>AA15</x:f>
        <x:v>2107.912346628126</x:v>
      </x:c>
      <x:c r="AC13" s="117" t="n">
        <x:f>AB15</x:f>
        <x:v>2449.606613533914</x:v>
      </x:c>
      <x:c r="AD13" s="117" t="n">
        <x:f>AC15</x:f>
        <x:v>2861.709999085053</x:v>
      </x:c>
      <x:c r="AE13" s="117" t="n">
        <x:f>AD15</x:f>
        <x:v>3284.1777847828034</x:v>
      </x:c>
      <x:c r="AF13" s="117" t="n">
        <x:f>AE15</x:f>
        <x:v>3717.2706352908517</x:v>
      </x:c>
      <x:c r="AG13" s="117" t="n">
        <x:f>AF15</x:f>
        <x:v>4094.658000634429</x:v>
      </x:c>
      <x:c r="AH13" s="117" t="n">
        <x:f>AG15</x:f>
        <x:v>4481.536658216397</x:v>
      </x:c>
      <x:c r="AI13" s="117" t="n">
        <x:f>AH15</x:f>
        <x:v>4878.145314036551</x:v>
      </x:c>
      <x:c r="AJ13" s="117" t="n">
        <x:f>AI15</x:f>
        <x:v>5284.728677550583</x:v>
      </x:c>
      <x:c r="AK13" s="117" t="n">
        <x:f>AJ15</x:f>
        <x:v>5775.092130616947</x:v>
      </x:c>
      <x:c r="AL13" s="117" t="n">
        <x:f>AK15</x:f>
        <x:v>6277.78822452793</x:v>
      </x:c>
      <x:c r="AM13" s="117" t="n">
        <x:f>AL15</x:f>
        <x:v>6793.127125200774</x:v>
      </x:c>
      <x:c r="AN13" s="117" t="n">
        <x:f>AM15</x:f>
        <x:v>7321.426799225539</x:v>
      </x:c>
      <x:c r="AO13" s="117" t="n">
        <x:f>AN15</x:f>
        <x:v>7781.7752484280545</x:v>
      </x:c>
      <x:c r="AP13" s="117" t="n">
        <x:f>AO15</x:f>
        <x:v>8336.98255748683</x:v>
      </x:c>
      <x:c r="AQ13" s="117" t="n">
        <x:f>AP15</x:f>
        <x:v>8906.153330368434</x:v>
      </x:c>
      <x:c r="AR13" s="117" t="n">
        <x:f>AQ15</x:f>
        <x:v>9489.638748188008</x:v>
      </x:c>
      <x:c r="AS13" s="117" t="n">
        <x:f>AR15</x:f>
        <x:v>9998.074812854085</x:v>
      </x:c>
      <x:c r="AT13" s="117" t="n">
        <x:f>AS15</x:f>
        <x:v>10519.298044546515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10519.298044546515</x:v>
      </x:c>
      <x:c r="C14" t="str">
        <x:v>млн ₽</x:v>
      </x:c>
      <x:c r="D14" s="117" t="n">
        <x:f>0+'ОБЪЕКТЫ'!D95</x:f>
        <x:v>0</x:v>
      </x:c>
      <x:c r="E14" s="117" t="n">
        <x:f>IF(AND(YEAR(E$3)=YEAR($B$8),MONTH(E$3)=MONTH($B$8)),SUM('Продажи'!$D$26:'Продажи'!D$26),0)+'ОБЪЕКТЫ'!E95</x:f>
        <x:v>0</x:v>
      </x:c>
      <x:c r="F14" s="117" t="n">
        <x:f>IF(AND(YEAR(F$3)=YEAR($B$8),MONTH(F$3)=MONTH($B$8)),SUM('Продажи'!$D$26:'Продажи'!E$26),0)+'ОБЪЕКТЫ'!F95</x:f>
        <x:v>0</x:v>
      </x:c>
      <x:c r="G14" s="117" t="n">
        <x:f>IF(AND(YEAR(G$3)=YEAR($B$8),MONTH(G$3)=MONTH($B$8)),SUM('Продажи'!$D$26:'Продажи'!F$26),0)+'ОБЪЕКТЫ'!G95</x:f>
        <x:v>0</x:v>
      </x:c>
      <x:c r="H14" s="117" t="n">
        <x:f>IF(AND(YEAR(H$3)=YEAR($B$8),MONTH(H$3)=MONTH($B$8)),SUM('Продажи'!$D$26:'Продажи'!G$26),0)+'ОБЪЕКТЫ'!H95</x:f>
        <x:v>0</x:v>
      </x:c>
      <x:c r="I14" s="117" t="n">
        <x:f>IF(AND(YEAR(I$3)=YEAR($B$8),MONTH(I$3)=MONTH($B$8)),SUM('Продажи'!$D$26:'Продажи'!H$26),0)+'ОБЪЕКТЫ'!I95</x:f>
        <x:v>0</x:v>
      </x:c>
      <x:c r="J14" s="117" t="n">
        <x:f>IF(AND(YEAR(J$3)=YEAR($B$8),MONTH(J$3)=MONTH($B$8)),SUM('Продажи'!$D$26:'Продажи'!I$26),0)+'ОБЪЕКТЫ'!J95</x:f>
        <x:v>0</x:v>
      </x:c>
      <x:c r="K14" s="117" t="n">
        <x:f>IF(AND(YEAR(K$3)=YEAR($B$8),MONTH(K$3)=MONTH($B$8)),SUM('Продажи'!$D$26:'Продажи'!J$26),0)+'ОБЪЕКТЫ'!K95</x:f>
        <x:v>0</x:v>
      </x:c>
      <x:c r="L14" s="117" t="n">
        <x:f>IF(AND(YEAR(L$3)=YEAR($B$8),MONTH(L$3)=MONTH($B$8)),SUM('Продажи'!$D$26:'Продажи'!K$26),0)+'ОБЪЕКТЫ'!L95</x:f>
        <x:v>0</x:v>
      </x:c>
      <x:c r="M14" s="117" t="n">
        <x:f>IF(AND(YEAR(M$3)=YEAR($B$8),MONTH(M$3)=MONTH($B$8)),SUM('Продажи'!$D$26:'Продажи'!L$26),0)+'ОБЪЕКТЫ'!M95</x:f>
        <x:v>0</x:v>
      </x:c>
      <x:c r="N14" s="117" t="n">
        <x:f>IF(AND(YEAR(N$3)=YEAR($B$8),MONTH(N$3)=MONTH($B$8)),SUM('Продажи'!$D$26:'Продажи'!M$26),0)+'ОБЪЕКТЫ'!N95</x:f>
        <x:v>0</x:v>
      </x:c>
      <x:c r="O14" s="117" t="n">
        <x:f>IF(AND(YEAR(O$3)=YEAR($B$8),MONTH(O$3)=MONTH($B$8)),SUM('Продажи'!$D$26:'Продажи'!N$26),0)+'ОБЪЕКТЫ'!O95</x:f>
        <x:v>0</x:v>
      </x:c>
      <x:c r="P14" s="117" t="n">
        <x:f>IF(AND(YEAR(P$3)=YEAR($B$8),MONTH(P$3)=MONTH($B$8)),SUM('Продажи'!$D$26:'Продажи'!O$26),0)+'ОБЪЕКТЫ'!P95</x:f>
        <x:v>0</x:v>
      </x:c>
      <x:c r="Q14" s="117" t="n">
        <x:f>IF(AND(YEAR(Q$3)=YEAR($B$8),MONTH(Q$3)=MONTH($B$8)),SUM('Продажи'!$D$26:'Продажи'!P$26),0)+'ОБЪЕКТЫ'!Q95</x:f>
        <x:v>0</x:v>
      </x:c>
      <x:c r="R14" s="117" t="n">
        <x:f>IF(AND(YEAR(R$3)=YEAR($B$8),MONTH(R$3)=MONTH($B$8)),SUM('Продажи'!$D$26:'Продажи'!Q$26),0)+'ОБЪЕКТЫ'!R95</x:f>
        <x:v>0</x:v>
      </x:c>
      <x:c r="S14" s="117" t="n">
        <x:f>IF(AND(YEAR(S$3)=YEAR($B$8),MONTH(S$3)=MONTH($B$8)),SUM('Продажи'!$D$26:'Продажи'!R$26),0)+'ОБЪЕКТЫ'!S95</x:f>
        <x:v>0</x:v>
      </x:c>
      <x:c r="T14" s="117" t="n">
        <x:f>IF(AND(YEAR(T$3)=YEAR($B$8),MONTH(T$3)=MONTH($B$8)),SUM('Продажи'!$D$26:'Продажи'!S$26),0)+'ОБЪЕКТЫ'!T95</x:f>
        <x:v>0</x:v>
      </x:c>
      <x:c r="U14" s="117" t="n">
        <x:f>IF(AND(YEAR(U$3)=YEAR($B$8),MONTH(U$3)=MONTH($B$8)),SUM('Продажи'!$D$26:'Продажи'!T$26),0)+'ОБЪЕКТЫ'!U95</x:f>
        <x:v>0</x:v>
      </x:c>
      <x:c r="V14" s="117" t="n">
        <x:f>IF(AND(YEAR(V$3)=YEAR($B$8),MONTH(V$3)=MONTH($B$8)),SUM('Продажи'!$D$26:'Продажи'!U$26),0)+'ОБЪЕКТЫ'!V95</x:f>
        <x:v>0</x:v>
      </x:c>
      <x:c r="W14" s="117" t="n">
        <x:f>IF(AND(YEAR(W$3)=YEAR($B$8),MONTH(W$3)=MONTH($B$8)),SUM('Продажи'!$D$26:'Продажи'!V$26),0)+'ОБЪЕКТЫ'!W95</x:f>
        <x:v>0</x:v>
      </x:c>
      <x:c r="X14" s="117" t="n">
        <x:f>IF(AND(YEAR(X$3)=YEAR($B$8),MONTH(X$3)=MONTH($B$8)),SUM('Продажи'!$D$26:'Продажи'!W$26),0)+'ОБЪЕКТЫ'!X95</x:f>
        <x:v>0</x:v>
      </x:c>
      <x:c r="Y14" s="117" t="n">
        <x:f>IF(AND(YEAR(Y$3)=YEAR($B$8),MONTH(Y$3)=MONTH($B$8)),SUM('Продажи'!$D$26:'Продажи'!X$26),0)+'ОБЪЕКТЫ'!Y95</x:f>
        <x:v>0</x:v>
      </x:c>
      <x:c r="Z14" s="117" t="n">
        <x:f>IF(AND(YEAR(Z$3)=YEAR($B$8),MONTH(Z$3)=MONTH($B$8)),SUM('Продажи'!$D$26:'Продажи'!Y$26),0)+'ОБЪЕКТЫ'!Z95</x:f>
        <x:v>0</x:v>
      </x:c>
      <x:c r="AA14" s="117" t="n">
        <x:f>IF(AND(YEAR(AA$3)=YEAR($B$8),MONTH(AA$3)=MONTH($B$8)),SUM('Продажи'!$D$26:'Продажи'!Z$26),0)+'ОБЪЕКТЫ'!AA95</x:f>
        <x:v>0</x:v>
      </x:c>
      <x:c r="AB14" s="117" t="n">
        <x:f>IF(AND(YEAR(AB$3)=YEAR($B$8),MONTH(AB$3)=MONTH($B$8)),SUM('Продажи'!$D$26:'Продажи'!AA$26),0)+'ОБЪЕКТЫ'!AB95</x:f>
        <x:v>0</x:v>
      </x:c>
      <x:c r="AC14" s="117" t="n">
        <x:f>IF(AND(YEAR(AC$3)=YEAR($B$8),MONTH(AC$3)=MONTH($B$8)),SUM('Продажи'!$D$26:'Продажи'!AB$26),0)+'ОБЪЕКТЫ'!AC95</x:f>
        <x:v>0</x:v>
      </x:c>
      <x:c r="AD14" s="117" t="n">
        <x:f>IF(AND(YEAR(AD$3)=YEAR($B$8),MONTH(AD$3)=MONTH($B$8)),SUM('Продажи'!$D$26:'Продажи'!AC$26),0)+'ОБЪЕКТЫ'!AD95</x:f>
        <x:v>0</x:v>
      </x:c>
      <x:c r="AE14" s="117" t="n">
        <x:f>IF(AND(YEAR(AE$3)=YEAR($B$8),MONTH(AE$3)=MONTH($B$8)),SUM('Продажи'!$D$26:'Продажи'!AD$26),0)+'ОБЪЕКТЫ'!AE95</x:f>
        <x:v>0</x:v>
      </x:c>
      <x:c r="AF14" s="117" t="n">
        <x:f>IF(AND(YEAR(AF$3)=YEAR($B$8),MONTH(AF$3)=MONTH($B$8)),SUM('Продажи'!$D$26:'Продажи'!AE$26),0)+'ОБЪЕКТЫ'!AF95</x:f>
        <x:v>0</x:v>
      </x:c>
      <x:c r="AG14" s="117" t="n">
        <x:f>IF(AND(YEAR(AG$3)=YEAR($B$8),MONTH(AG$3)=MONTH($B$8)),SUM('Продажи'!$D$26:'Продажи'!AF$26),0)+'ОБЪЕКТЫ'!AG95</x:f>
        <x:v>0</x:v>
      </x:c>
      <x:c r="AH14" s="117" t="n">
        <x:f>IF(AND(YEAR(AH$3)=YEAR($B$8),MONTH(AH$3)=MONTH($B$8)),SUM('Продажи'!$D$26:'Продажи'!AG$26),0)+'ОБЪЕКТЫ'!AH95</x:f>
        <x:v>0</x:v>
      </x:c>
      <x:c r="AI14" s="117" t="n">
        <x:f>IF(AND(YEAR(AI$3)=YEAR($B$8),MONTH(AI$3)=MONTH($B$8)),SUM('Продажи'!$D$26:'Продажи'!AH$26),0)+'ОБЪЕКТЫ'!AI95</x:f>
        <x:v>0</x:v>
      </x:c>
      <x:c r="AJ14" s="117" t="n">
        <x:f>IF(AND(YEAR(AJ$3)=YEAR($B$8),MONTH(AJ$3)=MONTH($B$8)),SUM('Продажи'!$D$26:'Продажи'!AI$26),0)+'ОБЪЕКТЫ'!AJ95</x:f>
        <x:v>0</x:v>
      </x:c>
      <x:c r="AK14" s="117" t="n">
        <x:f>IF(AND(YEAR(AK$3)=YEAR($B$8),MONTH(AK$3)=MONTH($B$8)),SUM('Продажи'!$D$26:'Продажи'!AJ$26),0)+'ОБЪЕКТЫ'!AK95</x:f>
        <x:v>0</x:v>
      </x:c>
      <x:c r="AL14" s="117" t="n">
        <x:f>IF(AND(YEAR(AL$3)=YEAR($B$8),MONTH(AL$3)=MONTH($B$8)),SUM('Продажи'!$D$26:'Продажи'!AK$26),0)+'ОБЪЕКТЫ'!AL95</x:f>
        <x:v>0</x:v>
      </x:c>
      <x:c r="AM14" s="117" t="n">
        <x:f>IF(AND(YEAR(AM$3)=YEAR($B$8),MONTH(AM$3)=MONTH($B$8)),SUM('Продажи'!$D$26:'Продажи'!AL$26),0)+'ОБЪЕКТЫ'!AM95</x:f>
        <x:v>0</x:v>
      </x:c>
      <x:c r="AN14" s="117" t="n">
        <x:f>IF(AND(YEAR(AN$3)=YEAR($B$8),MONTH(AN$3)=MONTH($B$8)),SUM('Продажи'!$D$26:'Продажи'!AM$26),0)+'ОБЪЕКТЫ'!AN95</x:f>
        <x:v>0</x:v>
      </x:c>
      <x:c r="AO14" s="117" t="n">
        <x:f>IF(AND(YEAR(AO$3)=YEAR($B$8),MONTH(AO$3)=MONTH($B$8)),SUM('Продажи'!$D$26:'Продажи'!AN$26),0)+'ОБЪЕКТЫ'!AO95</x:f>
        <x:v>0</x:v>
      </x:c>
      <x:c r="AP14" s="117" t="n">
        <x:f>IF(AND(YEAR(AP$3)=YEAR($B$8),MONTH(AP$3)=MONTH($B$8)),SUM('Продажи'!$D$26:'Продажи'!AO$26),0)+'ОБЪЕКТЫ'!AP95</x:f>
        <x:v>0</x:v>
      </x:c>
      <x:c r="AQ14" s="117" t="n">
        <x:f>IF(AND(YEAR(AQ$3)=YEAR($B$8),MONTH(AQ$3)=MONTH($B$8)),SUM('Продажи'!$D$26:'Продажи'!AP$26),0)+'ОБЪЕКТЫ'!AQ95</x:f>
        <x:v>0</x:v>
      </x:c>
      <x:c r="AR14" s="117" t="n">
        <x:f>IF(AND(YEAR(AR$3)=YEAR($B$8),MONTH(AR$3)=MONTH($B$8)),SUM('Продажи'!$D$26:'Продажи'!AQ$26),0)+'ОБЪЕКТЫ'!AR95</x:f>
        <x:v>0</x:v>
      </x:c>
      <x:c r="AS14" s="117" t="n">
        <x:f>IF(AND(YEAR(AS$3)=YEAR($B$8),MONTH(AS$3)=MONTH($B$8)),SUM('Продажи'!$D$26:'Продажи'!AR$26),0)+'ОБЪЕКТЫ'!AS95</x:f>
        <x:v>0</x:v>
      </x:c>
      <x:c r="AT14" s="117" t="n">
        <x:f>IF(AND(YEAR(AT$3)=YEAR($B$8),MONTH(AT$3)=MONTH($B$8)),SUM('Продажи'!$D$26:'Продажи'!AS$26),0)+'ОБЪЕКТЫ'!AT95</x:f>
        <x:v>10519.298044546515</x:v>
      </x:c>
      <x:c r="AU14" s="117" t="n">
        <x:f>IF(AND(YEAR(AU$3)=YEAR($B$8),MONTH(AU$3)=MONTH($B$8)),SUM('Продажи'!$D$26:'Продажи'!AT$26),0)+'ОБЪЕКТЫ'!AU95</x:f>
        <x:v>0</x:v>
      </x:c>
      <x:c r="AV14" s="117" t="n">
        <x:f>IF(AND(YEAR(AV$3)=YEAR($B$8),MONTH(AV$3)=MONTH($B$8)),SUM('Продажи'!$D$26:'Продажи'!AU$26),0)+'ОБЪЕКТЫ'!AV95</x:f>
        <x:v>0</x:v>
      </x:c>
      <x:c r="AW14" s="117" t="n">
        <x:f>IF(AND(YEAR(AW$3)=YEAR($B$8),MONTH(AW$3)=MONTH($B$8)),SUM('Продажи'!$D$26:'Продажи'!AV$26),0)+'ОБЪЕКТЫ'!AW95</x:f>
        <x:v>0</x:v>
      </x:c>
      <x:c r="AX14" s="117" t="n">
        <x:f>IF(AND(YEAR(AX$3)=YEAR($B$8),MONTH(AX$3)=MONTH($B$8)),SUM('Продажи'!$D$26:'Продажи'!AW$26),0)+'ОБЪЕКТЫ'!AX95</x:f>
        <x:v>0</x:v>
      </x:c>
      <x:c r="AY14" s="117" t="n">
        <x:f>IF(AND(YEAR(AY$3)=YEAR($B$8),MONTH(AY$3)=MONTH($B$8)),SUM('Продажи'!$D$26:'Продажи'!AX$26),0)+'ОБЪЕКТЫ'!AY95</x:f>
        <x:v>0</x:v>
      </x:c>
      <x:c r="AZ14" s="117" t="n">
        <x:f>IF(AND(YEAR(AZ$3)=YEAR($B$8),MONTH(AZ$3)=MONTH($B$8)),SUM('Продажи'!$D$26:'Продажи'!AY$26),0)+'ОБЪЕКТЫ'!AZ95</x:f>
        <x:v>0</x:v>
      </x:c>
      <x:c r="BA14" s="117" t="n">
        <x:f>IF(AND(YEAR(BA$3)=YEAR($B$8),MONTH(BA$3)=MONTH($B$8)),SUM('Продажи'!$D$26:'Продажи'!AZ$26),0)+'ОБЪЕКТЫ'!BA95</x:f>
        <x:v>0</x:v>
      </x:c>
      <x:c r="BB14" s="117" t="n">
        <x:f>IF(AND(YEAR(BB$3)=YEAR($B$8),MONTH(BB$3)=MONTH($B$8)),SUM('Продажи'!$D$26:'Продажи'!BA$26),0)+'ОБЪЕКТЫ'!BB95</x:f>
        <x:v>0</x:v>
      </x:c>
      <x:c r="BC14" s="117" t="n">
        <x:f>IF(AND(YEAR(BC$3)=YEAR($B$8),MONTH(BC$3)=MONTH($B$8)),SUM('Продажи'!$D$26:'Продажи'!BB$26),0)+'ОБЪЕКТЫ'!BC95</x:f>
        <x:v>0</x:v>
      </x:c>
      <x:c r="BD14" s="117" t="n">
        <x:f>IF(AND(YEAR(BD$3)=YEAR($B$8),MONTH(BD$3)=MONTH($B$8)),SUM('Продажи'!$D$26:'Продажи'!BC$26),0)+'ОБЪЕКТЫ'!BD95</x:f>
        <x:v>0</x:v>
      </x:c>
      <x:c r="BE14" s="117" t="n">
        <x:f>IF(AND(YEAR(BE$3)=YEAR($B$8),MONTH(BE$3)=MONTH($B$8)),SUM('Продажи'!$D$26:'Продажи'!BD$26),0)+'ОБЪЕКТЫ'!BE95</x:f>
        <x:v>0</x:v>
      </x:c>
      <x:c r="BF14" s="117" t="n">
        <x:f>IF(AND(YEAR(BF$3)=YEAR($B$8),MONTH(BF$3)=MONTH($B$8)),SUM('Продажи'!$D$26:'Продажи'!BE$26),0)+'ОБЪЕКТЫ'!BF95</x:f>
        <x:v>0</x:v>
      </x:c>
      <x:c r="BG14" s="117" t="n">
        <x:f>IF(AND(YEAR(BG$3)=YEAR($B$8),MONTH(BG$3)=MONTH($B$8)),SUM('Продажи'!$D$26:'Продажи'!BF$26),0)+'ОБЪЕКТЫ'!BG95</x:f>
        <x:v>0</x:v>
      </x:c>
      <x:c r="BH14" s="117" t="n">
        <x:f>IF(AND(YEAR(BH$3)=YEAR($B$8),MONTH(BH$3)=MONTH($B$8)),SUM('Продажи'!$D$26:'Продажи'!BG$26),0)+'ОБЪЕКТЫ'!BH95</x:f>
        <x:v>0</x:v>
      </x:c>
      <x:c r="BI14" s="117" t="n">
        <x:f>IF(AND(YEAR(BI$3)=YEAR($B$8),MONTH(BI$3)=MONTH($B$8)),SUM('Продажи'!$D$26:'Продажи'!BH$26),0)+'ОБЪЕКТЫ'!BI95</x:f>
        <x:v>0</x:v>
      </x:c>
      <x:c r="BJ14" s="117" t="n">
        <x:f>IF(AND(YEAR(BJ$3)=YEAR($B$8),MONTH(BJ$3)=MONTH($B$8)),SUM('Продажи'!$D$26:'Продажи'!BI$26),0)+'ОБЪЕКТЫ'!BJ95</x:f>
        <x:v>0</x:v>
      </x:c>
      <x:c r="BK14" s="117" t="n">
        <x:f>IF(AND(YEAR(BK$3)=YEAR($B$8),MONTH(BK$3)=MONTH($B$8)),SUM('Продажи'!$D$26:'Продажи'!BJ$26),0)+'ОБЪЕКТЫ'!BK95</x:f>
        <x:v>0</x:v>
      </x:c>
      <x:c r="BL14" s="117" t="n">
        <x:f>IF(AND(YEAR(BL$3)=YEAR($B$8),MONTH(BL$3)=MONTH($B$8)),SUM('Продажи'!$D$26:'Продажи'!BK$26),0)+'ОБЪЕКТЫ'!BL95</x:f>
        <x:v>0</x:v>
      </x:c>
      <x:c r="BM14" s="117" t="n">
        <x:f>IF(AND(YEAR(BM$3)=YEAR($B$8),MONTH(BM$3)=MONTH($B$8)),SUM('Продажи'!$D$26:'Продажи'!BL$26),0)+'ОБЪЕКТЫ'!BM95</x:f>
        <x:v>0</x:v>
      </x:c>
      <x:c r="BN14" s="117" t="n">
        <x:f>IF(AND(YEAR(BN$3)=YEAR($B$8),MONTH(BN$3)=MONTH($B$8)),SUM('Продажи'!$D$26:'Продажи'!BM$26),0)+'ОБЪЕКТЫ'!BN95</x:f>
        <x:v>0</x:v>
      </x:c>
      <x:c r="BO14" s="117" t="n">
        <x:f>IF(AND(YEAR(BO$3)=YEAR($B$8),MONTH(BO$3)=MONTH($B$8)),SUM('Продажи'!$D$26:'Продажи'!BN$26),0)+'ОБЪЕКТЫ'!BO95</x:f>
        <x:v>0</x:v>
      </x:c>
      <x:c r="BP14" s="117" t="n">
        <x:f>IF(AND(YEAR(BP$3)=YEAR($B$8),MONTH(BP$3)=MONTH($B$8)),SUM('Продажи'!$D$26:'Продажи'!BO$26),0)+'ОБЪЕКТЫ'!BP95</x:f>
        <x:v>0</x:v>
      </x:c>
      <x:c r="BQ14" s="117" t="n">
        <x:f>IF(AND(YEAR(BQ$3)=YEAR($B$8),MONTH(BQ$3)=MONTH($B$8)),SUM('Продажи'!$D$26:'Продажи'!BP$26),0)+'ОБЪЕКТЫ'!BQ95</x:f>
        <x:v>0</x:v>
      </x:c>
      <x:c r="BR14" s="117" t="n">
        <x:f>IF(AND(YEAR(BR$3)=YEAR($B$8),MONTH(BR$3)=MONTH($B$8)),SUM('Продажи'!$D$26:'Продажи'!BQ$26),0)+'ОБЪЕКТЫ'!BR95</x:f>
        <x:v>0</x:v>
      </x:c>
      <x:c r="BS14" s="117" t="n">
        <x:f>IF(AND(YEAR(BS$3)=YEAR($B$8),MONTH(BS$3)=MONTH($B$8)),SUM('Продажи'!$D$26:'Продажи'!BR$26),0)+'ОБЪЕКТЫ'!BS95</x:f>
        <x:v>0</x:v>
      </x:c>
      <x:c r="BT14" s="117" t="n">
        <x:f>IF(AND(YEAR(BT$3)=YEAR($B$8),MONTH(BT$3)=MONTH($B$8)),SUM('Продажи'!$D$26:'Продажи'!BS$26),0)+'ОБЪЕКТЫ'!BT95</x:f>
        <x:v>0</x:v>
      </x:c>
      <x:c r="BU14" s="117" t="n">
        <x:f>IF(AND(YEAR(BU$3)=YEAR($B$8),MONTH(BU$3)=MONTH($B$8)),SUM('Продажи'!$D$26:'Продажи'!BT$26),0)+'ОБЪЕКТЫ'!BU95</x:f>
        <x:v>0</x:v>
      </x:c>
      <x:c r="BV14" s="117" t="n">
        <x:f>IF(AND(YEAR(BV$3)=YEAR($B$8),MONTH(BV$3)=MONTH($B$8)),SUM('Продажи'!$D$26:'Продажи'!BU$26),0)+'ОБЪЕКТЫ'!BV95</x:f>
        <x:v>0</x:v>
      </x:c>
      <x:c r="BW14" s="117" t="n">
        <x:f>IF(AND(YEAR(BW$3)=YEAR($B$8),MONTH(BW$3)=MONTH($B$8)),SUM('Продажи'!$D$26:'Продажи'!BV$26),0)+'ОБЪЕКТЫ'!BW95</x:f>
        <x:v>0</x:v>
      </x:c>
      <x:c r="BX14" s="117" t="n">
        <x:f>IF(AND(YEAR(BX$3)=YEAR($B$8),MONTH(BX$3)=MONTH($B$8)),SUM('Продажи'!$D$26:'Продажи'!BW$26),0)+'ОБЪЕКТЫ'!BX95</x:f>
        <x:v>0</x:v>
      </x:c>
      <x:c r="BY14" s="117" t="n">
        <x:f>IF(AND(YEAR(BY$3)=YEAR($B$8),MONTH(BY$3)=MONTH($B$8)),SUM('Продажи'!$D$26:'Продажи'!BX$26),0)+'ОБЪЕКТЫ'!BY95</x:f>
        <x:v>0</x:v>
      </x:c>
      <x:c r="BZ14" s="117" t="n">
        <x:f>IF(AND(YEAR(BZ$3)=YEAR($B$8),MONTH(BZ$3)=MONTH($B$8)),SUM('Продажи'!$D$26:'Продажи'!BY$26),0)+'ОБЪЕКТЫ'!BZ95</x:f>
        <x:v>0</x:v>
      </x:c>
      <x:c r="CA14" s="117" t="n">
        <x:f>IF(AND(YEAR(CA$3)=YEAR($B$8),MONTH(CA$3)=MONTH($B$8)),SUM('Продажи'!$D$26:'Продажи'!BZ$26),0)+'ОБЪЕКТЫ'!CA95</x:f>
        <x:v>0</x:v>
      </x:c>
      <x:c r="CB14" s="117" t="n">
        <x:f>IF(AND(YEAR(CB$3)=YEAR($B$8),MONTH(CB$3)=MONTH($B$8)),SUM('Продажи'!$D$26:'Продажи'!CA$26),0)+'ОБЪЕКТЫ'!CB95</x:f>
        <x:v>0</x:v>
      </x:c>
      <x:c r="CC14" s="117" t="n">
        <x:f>IF(AND(YEAR(CC$3)=YEAR($B$8),MONTH(CC$3)=MONTH($B$8)),SUM('Продажи'!$D$26:'Продажи'!CB$26),0)+'ОБЪЕКТЫ'!CC95</x:f>
        <x:v>0</x:v>
      </x:c>
      <x:c r="CD14" s="117" t="n">
        <x:f>IF(AND(YEAR(CD$3)=YEAR($B$8),MONTH(CD$3)=MONTH($B$8)),SUM('Продажи'!$D$26:'Продажи'!CC$26),0)+'ОБЪЕКТЫ'!CD95</x:f>
        <x:v>0</x:v>
      </x:c>
      <x:c r="CE14" s="117" t="n">
        <x:f>IF(AND(YEAR(CE$3)=YEAR($B$8),MONTH(CE$3)=MONTH($B$8)),SUM('Продажи'!$D$26:'Продажи'!CD$26),0)+'ОБЪЕКТЫ'!CE95</x:f>
        <x:v>0</x:v>
      </x:c>
      <x:c r="CF14" s="117" t="n">
        <x:f>IF(AND(YEAR(CF$3)=YEAR($B$8),MONTH(CF$3)=MONTH($B$8)),SUM('Продажи'!$D$26:'Продажи'!CE$26),0)+'ОБЪЕКТЫ'!CF95</x:f>
        <x:v>0</x:v>
      </x:c>
      <x:c r="CG14" s="117" t="n">
        <x:f>IF(AND(YEAR(CG$3)=YEAR($B$8),MONTH(CG$3)=MONTH($B$8)),SUM('Продажи'!$D$26:'Продажи'!CF$26),0)+'ОБЪЕКТЫ'!CG95</x:f>
        <x:v>0</x:v>
      </x:c>
      <x:c r="CH14" s="117" t="n">
        <x:f>IF(AND(YEAR(CH$3)=YEAR($B$8),MONTH(CH$3)=MONTH($B$8)),SUM('Продажи'!$D$26:'Продажи'!CG$26),0)+'ОБЪЕКТЫ'!CH95</x:f>
        <x:v>0</x:v>
      </x:c>
      <x:c r="CI14" s="117" t="n">
        <x:f>IF(AND(YEAR(CI$3)=YEAR($B$8),MONTH(CI$3)=MONTH($B$8)),SUM('Продажи'!$D$26:'Продажи'!CH$26),0)+'ОБЪЕКТЫ'!CI95</x:f>
        <x:v>0</x:v>
      </x:c>
      <x:c r="CJ14" s="117" t="n">
        <x:f>IF(AND(YEAR(CJ$3)=YEAR($B$8),MONTH(CJ$3)=MONTH($B$8)),SUM('Продажи'!$D$26:'Продажи'!CI$26),0)+'ОБЪЕКТЫ'!CJ95</x:f>
        <x:v>0</x:v>
      </x:c>
      <x:c r="CK14" s="117" t="n">
        <x:f>IF(AND(YEAR(CK$3)=YEAR($B$8),MONTH(CK$3)=MONTH($B$8)),SUM('Продажи'!$D$26:'Продажи'!CJ$26),0)+'ОБЪЕКТЫ'!CK95</x:f>
        <x:v>0</x:v>
      </x:c>
      <x:c r="CL14" s="117" t="n">
        <x:f>IF(AND(YEAR(CL$3)=YEAR($B$8),MONTH(CL$3)=MONTH($B$8)),SUM('Продажи'!$D$26:'Продажи'!CK$26),0)+'ОБЪЕКТЫ'!CL95</x:f>
        <x:v>0</x:v>
      </x:c>
      <x:c r="CM14" s="117" t="n">
        <x:f>IF(AND(YEAR(CM$3)=YEAR($B$8),MONTH(CM$3)=MONTH($B$8)),SUM('Продажи'!$D$26:'Продажи'!CL$26),0)+'ОБЪЕКТЫ'!CM95</x:f>
        <x:v>0</x:v>
      </x:c>
      <x:c r="CN14" s="117" t="n">
        <x:f>IF(AND(YEAR(CN$3)=YEAR($B$8),MONTH(CN$3)=MONTH($B$8)),SUM('Продажи'!$D$26:'Продажи'!CM$26),0)+'ОБЪЕКТЫ'!CN95</x:f>
        <x:v>0</x:v>
      </x:c>
      <x:c r="CO14" s="117" t="n">
        <x:f>IF(AND(YEAR(CO$3)=YEAR($B$8),MONTH(CO$3)=MONTH($B$8)),SUM('Продажи'!$D$26:'Продажи'!CN$26),0)+'ОБЪЕКТЫ'!CO95</x:f>
        <x:v>0</x:v>
      </x:c>
      <x:c r="CP14" s="117" t="n">
        <x:f>IF(AND(YEAR(CP$3)=YEAR($B$8),MONTH(CP$3)=MONTH($B$8)),SUM('Продажи'!$D$26:'Продажи'!CO$26),0)+'ОБЪЕКТЫ'!CP95</x:f>
        <x:v>0</x:v>
      </x:c>
      <x:c r="CQ14" s="117" t="n">
        <x:f>IF(AND(YEAR(CQ$3)=YEAR($B$8),MONTH(CQ$3)=MONTH($B$8)),SUM('Продажи'!$D$26:'Продажи'!CP$26),0)+'ОБЪЕКТЫ'!CQ95</x:f>
        <x:v>0</x:v>
      </x:c>
      <x:c r="CR14" s="117" t="n">
        <x:f>IF(AND(YEAR(CR$3)=YEAR($B$8),MONTH(CR$3)=MONTH($B$8)),SUM('Продажи'!$D$26:'Продажи'!CQ$26),0)+'ОБЪЕКТЫ'!CR95</x:f>
        <x:v>0</x:v>
      </x:c>
      <x:c r="CS14" s="117" t="n">
        <x:f>IF(AND(YEAR(CS$3)=YEAR($B$8),MONTH(CS$3)=MONTH($B$8)),SUM('Продажи'!$D$26:'Продажи'!CR$26),0)+'ОБЪЕКТЫ'!CS95</x:f>
        <x:v>0</x:v>
      </x:c>
      <x:c r="CT14" s="117" t="n">
        <x:f>IF(AND(YEAR(CT$3)=YEAR($B$8),MONTH(CT$3)=MONTH($B$8)),SUM('Продажи'!$D$26:'Продажи'!CS$26),0)+'ОБЪЕКТЫ'!CT95</x:f>
        <x:v>0</x:v>
      </x:c>
      <x:c r="CU14" s="117" t="n">
        <x:f>IF(AND(YEAR(CU$3)=YEAR($B$8),MONTH(CU$3)=MONTH($B$8)),SUM('Продажи'!$D$26:'Продажи'!CT$26),0)+'ОБЪЕКТЫ'!CU95</x:f>
        <x:v>0</x:v>
      </x:c>
      <x:c r="CV14" s="117" t="n">
        <x:f>IF(AND(YEAR(CV$3)=YEAR($B$8),MONTH(CV$3)=MONTH($B$8)),SUM('Продажи'!$D$26:'Продажи'!CU$26),0)+'ОБЪЕКТЫ'!CV95</x:f>
        <x:v>0</x:v>
      </x:c>
      <x:c r="CW14" s="117" t="n">
        <x:f>IF(AND(YEAR(CW$3)=YEAR($B$8),MONTH(CW$3)=MONTH($B$8)),SUM('Продажи'!$D$26:'Продажи'!CV$26),0)+'ОБЪЕКТЫ'!CW95</x:f>
        <x:v>0</x:v>
      </x:c>
      <x:c r="CX14" s="117" t="n">
        <x:f>IF(AND(YEAR(CX$3)=YEAR($B$8),MONTH(CX$3)=MONTH($B$8)),SUM('Продажи'!$D$26:'Продажи'!CW$26),0)+'ОБЪЕКТЫ'!CX95</x:f>
        <x:v>0</x:v>
      </x:c>
      <x:c r="CY14" s="117" t="n">
        <x:f>IF(AND(YEAR(CY$3)=YEAR($B$8),MONTH(CY$3)=MONTH($B$8)),SUM('Продажи'!$D$26:'Продажи'!CX$26),0)+'ОБЪЕКТЫ'!CY95</x:f>
        <x:v>0</x:v>
      </x:c>
      <x:c r="CZ14" s="117" t="n">
        <x:f>IF(AND(YEAR(CZ$3)=YEAR($B$8),MONTH(CZ$3)=MONTH($B$8)),SUM('Продажи'!$D$26:'Продажи'!CY$26),0)+'ОБЪЕКТЫ'!CZ95</x:f>
        <x:v>0</x:v>
      </x:c>
      <x:c r="DA14" s="117" t="n">
        <x:f>IF(AND(YEAR(DA$3)=YEAR($B$8),MONTH(DA$3)=MONTH($B$8)),SUM('Продажи'!$D$26:'Продажи'!CZ$26),0)+'ОБЪЕКТЫ'!DA95</x:f>
        <x:v>0</x:v>
      </x:c>
      <x:c r="DB14" s="117" t="n">
        <x:f>IF(AND(YEAR(DB$3)=YEAR($B$8),MONTH(DB$3)=MONTH($B$8)),SUM('Продажи'!$D$26:'Продажи'!DA$26),0)+'ОБЪЕКТЫ'!DB95</x:f>
        <x:v>0</x:v>
      </x:c>
      <x:c r="DC14" s="117" t="n">
        <x:f>IF(AND(YEAR(DC$3)=YEAR($B$8),MONTH(DC$3)=MONTH($B$8)),SUM('Продажи'!$D$26:'Продажи'!DB$26),0)+'ОБЪЕКТЫ'!DC95</x:f>
        <x:v>0</x:v>
      </x:c>
      <x:c r="DD14" s="117" t="n">
        <x:f>IF(AND(YEAR(DD$3)=YEAR($B$8),MONTH(DD$3)=MONTH($B$8)),SUM('Продажи'!$D$26:'Продажи'!DC$26),0)+'ОБЪЕКТЫ'!DD95</x:f>
        <x:v>0</x:v>
      </x:c>
      <x:c r="DE14" s="117" t="n">
        <x:f>IF(AND(YEAR(DE$3)=YEAR($B$8),MONTH(DE$3)=MONTH($B$8)),SUM('Продажи'!$D$26:'Продажи'!DD$26),0)+'ОБЪЕКТЫ'!DE95</x:f>
        <x:v>0</x:v>
      </x:c>
      <x:c r="DF14" s="117" t="n">
        <x:f>IF(AND(YEAR(DF$3)=YEAR($B$8),MONTH(DF$3)=MONTH($B$8)),SUM('Продажи'!$D$26:'Продажи'!DE$26),0)+'ОБЪЕКТЫ'!DF95</x:f>
        <x:v>0</x:v>
      </x:c>
      <x:c r="DG14" s="117" t="n">
        <x:f>IF(AND(YEAR(DG$3)=YEAR($B$8),MONTH(DG$3)=MONTH($B$8)),SUM('Продажи'!$D$26:'Продажи'!DF$26),0)+'ОБЪЕКТЫ'!DG95</x:f>
        <x:v>0</x:v>
      </x:c>
      <x:c r="DH14" s="117" t="n">
        <x:f>IF(AND(YEAR(DH$3)=YEAR($B$8),MONTH(DH$3)=MONTH($B$8)),SUM('Продажи'!$D$26:'Продажи'!DG$26),0)+'ОБЪЕКТЫ'!DH95</x:f>
        <x:v>0</x:v>
      </x:c>
      <x:c r="DI14" s="117" t="n">
        <x:f>IF(AND(YEAR(DI$3)=YEAR($B$8),MONTH(DI$3)=MONTH($B$8)),SUM('Продажи'!$D$26:'Продажи'!DH$26),0)+'ОБЪЕКТЫ'!DI95</x:f>
        <x:v>0</x:v>
      </x:c>
      <x:c r="DJ14" s="117" t="n">
        <x:f>IF(AND(YEAR(DJ$3)=YEAR($B$8),MONTH(DJ$3)=MONTH($B$8)),SUM('Продажи'!$D$26:'Продажи'!DI$26),0)+'ОБЪЕКТЫ'!DJ95</x:f>
        <x:v>0</x:v>
      </x:c>
      <x:c r="DK14" s="117" t="n">
        <x:f>IF(AND(YEAR(DK$3)=YEAR($B$8),MONTH(DK$3)=MONTH($B$8)),SUM('Продажи'!$D$26:'Продажи'!DJ$26),0)+'ОБЪЕКТЫ'!DK95</x:f>
        <x:v>0</x:v>
      </x:c>
      <x:c r="DL14" s="117" t="n">
        <x:f>IF(AND(YEAR(DL$3)=YEAR($B$8),MONTH(DL$3)=MONTH($B$8)),SUM('Продажи'!$D$26:'Продажи'!DK$26),0)+'ОБЪЕКТЫ'!DL95</x:f>
        <x:v>0</x:v>
      </x:c>
      <x:c r="DM14" s="117" t="n">
        <x:f>IF(AND(YEAR(DM$3)=YEAR($B$8),MONTH(DM$3)=MONTH($B$8)),SUM('Продажи'!$D$26:'Продажи'!DL$26),0)+'ОБЪЕКТЫ'!DM95</x:f>
        <x:v>0</x:v>
      </x:c>
      <x:c r="DN14" s="117" t="n">
        <x:f>IF(AND(YEAR(DN$3)=YEAR($B$8),MONTH(DN$3)=MONTH($B$8)),SUM('Продажи'!$D$26:'Продажи'!DM$26),0)+'ОБЪЕКТЫ'!DN95</x:f>
        <x:v>0</x:v>
      </x:c>
      <x:c r="DO14" s="117" t="n">
        <x:f>IF(AND(YEAR(DO$3)=YEAR($B$8),MONTH(DO$3)=MONTH($B$8)),SUM('Продажи'!$D$26:'Продажи'!DN$26),0)+'ОБЪЕКТЫ'!DO95</x:f>
        <x:v>0</x:v>
      </x:c>
      <x:c r="DP14" s="117" t="n">
        <x:f>IF(AND(YEAR(DP$3)=YEAR($B$8),MONTH(DP$3)=MONTH($B$8)),SUM('Продажи'!$D$26:'Продажи'!DO$26),0)+'ОБЪЕКТЫ'!DP95</x:f>
        <x:v>0</x:v>
      </x:c>
      <x:c r="DQ14" s="117" t="n">
        <x:f>IF(AND(YEAR(DQ$3)=YEAR($B$8),MONTH(DQ$3)=MONTH($B$8)),SUM('Продажи'!$D$26:'Продажи'!DP$26),0)+'ОБЪЕКТЫ'!DQ95</x:f>
        <x:v>0</x:v>
      </x:c>
      <x:c r="DR14" s="117" t="n">
        <x:f>IF(AND(YEAR(DR$3)=YEAR($B$8),MONTH(DR$3)=MONTH($B$8)),SUM('Продажи'!$D$26:'Продажи'!DQ$26),0)+'ОБЪЕКТЫ'!DR95</x:f>
        <x:v>0</x:v>
      </x:c>
      <x:c r="DS14" s="117" t="n">
        <x:f>IF(AND(YEAR(DS$3)=YEAR($B$8),MONTH(DS$3)=MONTH($B$8)),SUM('Продажи'!$D$26:'Продажи'!DR$26),0)+'ОБЪЕКТЫ'!DS95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294.3833179708191</x:v>
      </x:c>
      <x:c r="W15" s="117" t="n">
        <x:f>MAX(0,W13+W11-W14)</x:f>
        <x:v>596.1703763886043</x:v>
      </x:c>
      <x:c r="X15" s="117" t="n">
        <x:f>MAX(0,X13+X11-X14)</x:f>
        <x:v>960.1433210203601</x:v>
      </x:c>
      <x:c r="Y15" s="117" t="n">
        <x:f>MAX(0,Y13+Y11-Y14)</x:f>
        <x:v>1333.2701852096045</x:v>
      </x:c>
      <x:c r="Z15" s="117" t="n">
        <x:f>MAX(0,Z13+Z11-Z14)</x:f>
        <x:v>1715.7811900332085</x:v>
      </x:c>
      <x:c r="AA15" s="117" t="n">
        <x:f>MAX(0,AA13+AA11-AA14)</x:f>
        <x:v>2107.912346628126</x:v>
      </x:c>
      <x:c r="AB15" s="117" t="n">
        <x:f>MAX(0,AB13+AB11-AB14)</x:f>
        <x:v>2449.606613533914</x:v>
      </x:c>
      <x:c r="AC15" s="117" t="n">
        <x:f>MAX(0,AC13+AC11-AC14)</x:f>
        <x:v>2861.709999085053</x:v>
      </x:c>
      <x:c r="AD15" s="117" t="n">
        <x:f>MAX(0,AD13+AD11-AD14)</x:f>
        <x:v>3284.1777847828034</x:v>
      </x:c>
      <x:c r="AE15" s="117" t="n">
        <x:f>MAX(0,AE13+AE11-AE14)</x:f>
        <x:v>3717.2706352908517</x:v>
      </x:c>
      <x:c r="AF15" s="117" t="n">
        <x:f>MAX(0,AF13+AF11-AF14)</x:f>
        <x:v>4094.658000634429</x:v>
      </x:c>
      <x:c r="AG15" s="117" t="n">
        <x:f>MAX(0,AG13+AG11-AG14)</x:f>
        <x:v>4481.536658216397</x:v>
      </x:c>
      <x:c r="AH15" s="117" t="n">
        <x:f>MAX(0,AH13+AH11-AH14)</x:f>
        <x:v>4878.145314036551</x:v>
      </x:c>
      <x:c r="AI15" s="117" t="n">
        <x:f>MAX(0,AI13+AI11-AI14)</x:f>
        <x:v>5284.728677550583</x:v>
      </x:c>
      <x:c r="AJ15" s="117" t="n">
        <x:f>MAX(0,AJ13+AJ11-AJ14)</x:f>
        <x:v>5775.092130616947</x:v>
      </x:c>
      <x:c r="AK15" s="117" t="n">
        <x:f>MAX(0,AK13+AK11-AK14)</x:f>
        <x:v>6277.78822452793</x:v>
      </x:c>
      <x:c r="AL15" s="117" t="n">
        <x:f>MAX(0,AL13+AL11-AL14)</x:f>
        <x:v>6793.127125200774</x:v>
      </x:c>
      <x:c r="AM15" s="117" t="n">
        <x:f>MAX(0,AM13+AM11-AM14)</x:f>
        <x:v>7321.426799225539</x:v>
      </x:c>
      <x:c r="AN15" s="117" t="n">
        <x:f>MAX(0,AN13+AN11-AN14)</x:f>
        <x:v>7781.7752484280545</x:v>
      </x:c>
      <x:c r="AO15" s="117" t="n">
        <x:f>MAX(0,AO13+AO11-AO14)</x:f>
        <x:v>8336.98255748683</x:v>
      </x:c>
      <x:c r="AP15" s="117" t="n">
        <x:f>MAX(0,AP13+AP11-AP14)</x:f>
        <x:v>8906.153330368434</x:v>
      </x:c>
      <x:c r="AQ15" s="117" t="n">
        <x:f>MAX(0,AQ13+AQ11-AQ14)</x:f>
        <x:v>9489.638748188008</x:v>
      </x:c>
      <x:c r="AR15" s="117" t="n">
        <x:f>MAX(0,AR13+AR11-AR14)</x:f>
        <x:v>9998.074812854085</x:v>
      </x:c>
      <x:c r="AS15" s="117" t="n">
        <x:f>MAX(0,AS13+AS11-AS14)</x:f>
        <x:v>10519.298044546515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9387.564534250003</x:v>
      </x:c>
      <x:c r="C17" t="str">
        <x:v>млн ₽</x:v>
      </x:c>
      <x:c r="D17" s="117" t="n">
        <x:f>'CAPEX'!D32</x:f>
        <x:v>707.9807307539683</x:v>
      </x:c>
      <x:c r="E17" s="117" t="n">
        <x:f>'CAPEX'!E32</x:f>
        <x:v>7.980730753968252</x:v>
      </x:c>
      <x:c r="F17" s="117" t="n">
        <x:f>'CAPEX'!F32</x:f>
        <x:v>7.980730753968252</x:v>
      </x:c>
      <x:c r="G17" s="117" t="n">
        <x:f>'CAPEX'!G32</x:f>
        <x:v>7.980730753968252</x:v>
      </x:c>
      <x:c r="H17" s="117" t="n">
        <x:f>'CAPEX'!H32</x:f>
        <x:v>7.980730753968252</x:v>
      </x:c>
      <x:c r="I17" s="117" t="n">
        <x:f>'CAPEX'!I32</x:f>
        <x:v>7.980730753968252</x:v>
      </x:c>
      <x:c r="J17" s="117" t="n">
        <x:f>'CAPEX'!J32</x:f>
        <x:v>7.980730753968252</x:v>
      </x:c>
      <x:c r="K17" s="117" t="n">
        <x:f>'CAPEX'!K32</x:f>
        <x:v>7.980730753968252</x:v>
      </x:c>
      <x:c r="L17" s="117" t="n">
        <x:f>'CAPEX'!L32</x:f>
        <x:v>7.980730753968252</x:v>
      </x:c>
      <x:c r="M17" s="117" t="n">
        <x:f>'CAPEX'!M32</x:f>
        <x:v>7.980730753968252</x:v>
      </x:c>
      <x:c r="N17" s="117" t="n">
        <x:f>'CAPEX'!N32</x:f>
        <x:v>7.980730753968252</x:v>
      </x:c>
      <x:c r="O17" s="117" t="n">
        <x:f>'CAPEX'!O32</x:f>
        <x:v>7.980730753968252</x:v>
      </x:c>
      <x:c r="P17" s="117" t="n">
        <x:f>'CAPEX'!P32</x:f>
        <x:v>33.94773075396826</x:v>
      </x:c>
      <x:c r="Q17" s="117" t="n">
        <x:f>'CAPEX'!Q32</x:f>
        <x:v>33.94773075396826</x:v>
      </x:c>
      <x:c r="R17" s="117" t="n">
        <x:f>'CAPEX'!R32</x:f>
        <x:v>33.94773075396826</x:v>
      </x:c>
      <x:c r="S17" s="117" t="n">
        <x:f>'CAPEX'!S32</x:f>
        <x:v>33.94773075396826</x:v>
      </x:c>
      <x:c r="T17" s="117" t="n">
        <x:f>'CAPEX'!T32</x:f>
        <x:v>33.94773075396826</x:v>
      </x:c>
      <x:c r="U17" s="117" t="n">
        <x:f>'CAPEX'!U32</x:f>
        <x:v>1882.1547307539681</x:v>
      </x:c>
      <x:c r="V17" s="117" t="n">
        <x:f>'CAPEX'!V32</x:f>
        <x:v>159.6656321653981</x:v>
      </x:c>
      <x:c r="W17" s="117" t="n">
        <x:f>'CAPEX'!W32</x:f>
        <x:v>159.6656321653981</x:v>
      </x:c>
      <x:c r="X17" s="117" t="n">
        <x:f>'CAPEX'!X32</x:f>
        <x:v>159.6656321653981</x:v>
      </x:c>
      <x:c r="Y17" s="117" t="n">
        <x:f>'CAPEX'!Y32</x:f>
        <x:v>159.6656321653981</x:v>
      </x:c>
      <x:c r="Z17" s="117" t="n">
        <x:f>'CAPEX'!Z32</x:f>
        <x:v>312.7931446879391</x:v>
      </x:c>
      <x:c r="AA17" s="117" t="n">
        <x:f>'CAPEX'!AA32</x:f>
        <x:v>312.7931446879391</x:v>
      </x:c>
      <x:c r="AB17" s="117" t="n">
        <x:f>'CAPEX'!AB32</x:f>
        <x:v>312.7931446879391</x:v>
      </x:c>
      <x:c r="AC17" s="117" t="n">
        <x:f>'CAPEX'!AC32</x:f>
        <x:v>312.7931446879391</x:v>
      </x:c>
      <x:c r="AD17" s="117" t="n">
        <x:f>'CAPEX'!AD32</x:f>
        <x:v>312.7931446879391</x:v>
      </x:c>
      <x:c r="AE17" s="117" t="n">
        <x:f>'CAPEX'!AE32</x:f>
        <x:v>312.7931446879391</x:v>
      </x:c>
      <x:c r="AF17" s="117" t="n">
        <x:f>'CAPEX'!AF32</x:f>
        <x:v>312.7931446879391</x:v>
      </x:c>
      <x:c r="AG17" s="117" t="n">
        <x:f>'CAPEX'!AG32</x:f>
        <x:v>312.7931446879391</x:v>
      </x:c>
      <x:c r="AH17" s="117" t="n">
        <x:f>'CAPEX'!AH32</x:f>
        <x:v>312.7931446879391</x:v>
      </x:c>
      <x:c r="AI17" s="117" t="n">
        <x:f>'CAPEX'!AI32</x:f>
        <x:v>312.7931446879391</x:v>
      </x:c>
      <x:c r="AJ17" s="117" t="n">
        <x:f>'CAPEX'!AJ32</x:f>
        <x:v>312.7931446879391</x:v>
      </x:c>
      <x:c r="AK17" s="117" t="n">
        <x:f>'CAPEX'!AK32</x:f>
        <x:v>312.7931446879391</x:v>
      </x:c>
      <x:c r="AL17" s="117" t="n">
        <x:f>'CAPEX'!AL32</x:f>
        <x:v>312.7931446879391</x:v>
      </x:c>
      <x:c r="AM17" s="117" t="n">
        <x:f>'CAPEX'!AM32</x:f>
        <x:v>312.7931446879391</x:v>
      </x:c>
      <x:c r="AN17" s="117" t="n">
        <x:f>'CAPEX'!AN32</x:f>
        <x:v>312.7931446879391</x:v>
      </x:c>
      <x:c r="AO17" s="117" t="n">
        <x:f>'CAPEX'!AO32</x:f>
        <x:v>210.70813633957846</x:v>
      </x:c>
      <x:c r="AP17" s="117" t="n">
        <x:f>'CAPEX'!AP32</x:f>
        <x:v>210.70813633957846</x:v>
      </x:c>
      <x:c r="AQ17" s="117" t="n">
        <x:f>'CAPEX'!AQ32</x:f>
        <x:v>262.6421363395785</x:v>
      </x:c>
      <x:c r="AR17" s="117" t="n">
        <x:f>'CAPEX'!AR32</x:f>
        <x:v>262.6421363395785</x:v>
      </x:c>
      <x:c r="AS17" s="117" t="n">
        <x:f>'CAPEX'!AS32</x:f>
        <x:v>262.6421363395785</x:v>
      </x:c>
      <x:c r="AT17" s="117" t="n">
        <x:f>'CAPEX'!AT32</x:f>
        <x:v>0</x:v>
      </x:c>
      <x:c r="AU17" s="117" t="n">
        <x:f>'CAPEX'!AU32</x:f>
        <x:v>0</x:v>
      </x:c>
      <x:c r="AV17" s="117" t="n">
        <x:f>'CAPEX'!AV32</x:f>
        <x:v>0</x:v>
      </x:c>
      <x:c r="AW17" s="117" t="n">
        <x:f>'CAPEX'!AW32</x:f>
        <x:v>0</x:v>
      </x:c>
      <x:c r="AX17" s="117" t="n">
        <x:f>'CAPEX'!AX32</x:f>
        <x:v>0</x:v>
      </x:c>
      <x:c r="AY17" s="117" t="n">
        <x:f>'CAPEX'!AY32</x:f>
        <x:v>0</x:v>
      </x:c>
      <x:c r="AZ17" s="117" t="n">
        <x:f>'CAPEX'!AZ32</x:f>
        <x:v>0</x:v>
      </x:c>
      <x:c r="BA17" s="117" t="n">
        <x:f>'CAPEX'!BA32</x:f>
        <x:v>0</x:v>
      </x:c>
      <x:c r="BB17" s="117" t="n">
        <x:f>'CAPEX'!BB32</x:f>
        <x:v>0</x:v>
      </x:c>
      <x:c r="BC17" s="117" t="n">
        <x:f>'CAPEX'!BC32</x:f>
        <x:v>0</x:v>
      </x:c>
      <x:c r="BD17" s="117" t="n">
        <x:f>'CAPEX'!BD32</x:f>
        <x:v>0</x:v>
      </x:c>
      <x:c r="BE17" s="117" t="n">
        <x:f>'CAPEX'!BE32</x:f>
        <x:v>0</x:v>
      </x:c>
      <x:c r="BF17" s="117" t="n">
        <x:f>'CAPEX'!BF32</x:f>
        <x:v>0</x:v>
      </x:c>
      <x:c r="BG17" s="117" t="n">
        <x:f>'CAPEX'!BG32</x:f>
        <x:v>0</x:v>
      </x:c>
      <x:c r="BH17" s="117" t="n">
        <x:f>'CAPEX'!BH32</x:f>
        <x:v>0</x:v>
      </x:c>
      <x:c r="BI17" s="117" t="n">
        <x:f>'CAPEX'!BI32</x:f>
        <x:v>0</x:v>
      </x:c>
      <x:c r="BJ17" s="117" t="n">
        <x:f>'CAPEX'!BJ32</x:f>
        <x:v>0</x:v>
      </x:c>
      <x:c r="BK17" s="117" t="n">
        <x:f>'CAPEX'!BK32</x:f>
        <x:v>0</x:v>
      </x:c>
      <x:c r="BL17" s="117" t="n">
        <x:f>'CAPEX'!BL32</x:f>
        <x:v>0</x:v>
      </x:c>
      <x:c r="BM17" s="117" t="n">
        <x:f>'CAPEX'!BM32</x:f>
        <x:v>0</x:v>
      </x:c>
      <x:c r="BN17" s="117" t="n">
        <x:f>'CAPEX'!BN32</x:f>
        <x:v>0</x:v>
      </x:c>
      <x:c r="BO17" s="117" t="n">
        <x:f>'CAPEX'!BO32</x:f>
        <x:v>0</x:v>
      </x:c>
      <x:c r="BP17" s="117" t="n">
        <x:f>'CAPEX'!BP32</x:f>
        <x:v>0</x:v>
      </x:c>
      <x:c r="BQ17" s="117" t="n">
        <x:f>'CAPEX'!BQ32</x:f>
        <x:v>0</x:v>
      </x:c>
      <x:c r="BR17" s="117" t="n">
        <x:f>'CAPEX'!BR32</x:f>
        <x:v>0</x:v>
      </x:c>
      <x:c r="BS17" s="117" t="n">
        <x:f>'CAPEX'!BS32</x:f>
        <x:v>0</x:v>
      </x:c>
      <x:c r="BT17" s="117" t="n">
        <x:f>'CAPEX'!BT32</x:f>
        <x:v>0</x:v>
      </x:c>
      <x:c r="BU17" s="117" t="n">
        <x:f>'CAPEX'!BU32</x:f>
        <x:v>0</x:v>
      </x:c>
      <x:c r="BV17" s="117" t="n">
        <x:f>'CAPEX'!BV32</x:f>
        <x:v>0</x:v>
      </x:c>
      <x:c r="BW17" s="117" t="n">
        <x:f>'CAPEX'!BW32</x:f>
        <x:v>0</x:v>
      </x:c>
      <x:c r="BX17" s="117" t="n">
        <x:f>'CAPEX'!BX32</x:f>
        <x:v>0</x:v>
      </x:c>
      <x:c r="BY17" s="117" t="n">
        <x:f>'CAPEX'!BY32</x:f>
        <x:v>0</x:v>
      </x:c>
      <x:c r="BZ17" s="117" t="n">
        <x:f>'CAPEX'!BZ32</x:f>
        <x:v>0</x:v>
      </x:c>
      <x:c r="CA17" s="117" t="n">
        <x:f>'CAPEX'!CA32</x:f>
        <x:v>0</x:v>
      </x:c>
      <x:c r="CB17" s="117" t="n">
        <x:f>'CAPEX'!CB32</x:f>
        <x:v>0</x:v>
      </x:c>
      <x:c r="CC17" s="117" t="n">
        <x:f>'CAPEX'!CC32</x:f>
        <x:v>0</x:v>
      </x:c>
      <x:c r="CD17" s="117" t="n">
        <x:f>'CAPEX'!CD32</x:f>
        <x:v>0</x:v>
      </x:c>
      <x:c r="CE17" s="117" t="n">
        <x:f>'CAPEX'!CE32</x:f>
        <x:v>0</x:v>
      </x:c>
      <x:c r="CF17" s="117" t="n">
        <x:f>'CAPEX'!CF32</x:f>
        <x:v>0</x:v>
      </x:c>
      <x:c r="CG17" s="117" t="n">
        <x:f>'CAPEX'!CG32</x:f>
        <x:v>0</x:v>
      </x:c>
      <x:c r="CH17" s="117" t="n">
        <x:f>'CAPEX'!CH32</x:f>
        <x:v>0</x:v>
      </x:c>
      <x:c r="CI17" s="117" t="n">
        <x:f>'CAPEX'!CI32</x:f>
        <x:v>0</x:v>
      </x:c>
      <x:c r="CJ17" s="117" t="n">
        <x:f>'CAPEX'!CJ32</x:f>
        <x:v>0</x:v>
      </x:c>
      <x:c r="CK17" s="117" t="n">
        <x:f>'CAPEX'!CK32</x:f>
        <x:v>0</x:v>
      </x:c>
      <x:c r="CL17" s="117" t="n">
        <x:f>'CAPEX'!CL32</x:f>
        <x:v>0</x:v>
      </x:c>
      <x:c r="CM17" s="117" t="n">
        <x:f>'CAPEX'!CM32</x:f>
        <x:v>0</x:v>
      </x:c>
      <x:c r="CN17" s="117" t="n">
        <x:f>'CAPEX'!CN32</x:f>
        <x:v>0</x:v>
      </x:c>
      <x:c r="CO17" s="117" t="n">
        <x:f>'CAPEX'!CO32</x:f>
        <x:v>0</x:v>
      </x:c>
      <x:c r="CP17" s="117" t="n">
        <x:f>'CAPEX'!CP32</x:f>
        <x:v>0</x:v>
      </x:c>
      <x:c r="CQ17" s="117" t="n">
        <x:f>'CAPEX'!CQ32</x:f>
        <x:v>0</x:v>
      </x:c>
      <x:c r="CR17" s="117" t="n">
        <x:f>'CAPEX'!CR32</x:f>
        <x:v>0</x:v>
      </x:c>
      <x:c r="CS17" s="117" t="n">
        <x:f>'CAPEX'!CS32</x:f>
        <x:v>0</x:v>
      </x:c>
      <x:c r="CT17" s="117" t="n">
        <x:f>'CAPEX'!CT32</x:f>
        <x:v>0</x:v>
      </x:c>
      <x:c r="CU17" s="117" t="n">
        <x:f>'CAPEX'!CU32</x:f>
        <x:v>0</x:v>
      </x:c>
      <x:c r="CV17" s="117" t="n">
        <x:f>'CAPEX'!CV32</x:f>
        <x:v>0</x:v>
      </x:c>
      <x:c r="CW17" s="117" t="n">
        <x:f>'CAPEX'!CW32</x:f>
        <x:v>0</x:v>
      </x:c>
      <x:c r="CX17" s="117" t="n">
        <x:f>'CAPEX'!CX32</x:f>
        <x:v>0</x:v>
      </x:c>
      <x:c r="CY17" s="117" t="n">
        <x:f>'CAPEX'!CY32</x:f>
        <x:v>0</x:v>
      </x:c>
      <x:c r="CZ17" s="117" t="n">
        <x:f>'CAPEX'!CZ32</x:f>
        <x:v>0</x:v>
      </x:c>
      <x:c r="DA17" s="117" t="n">
        <x:f>'CAPEX'!DA32</x:f>
        <x:v>0</x:v>
      </x:c>
      <x:c r="DB17" s="117" t="n">
        <x:f>'CAPEX'!DB32</x:f>
        <x:v>0</x:v>
      </x:c>
      <x:c r="DC17" s="117" t="n">
        <x:f>'CAPEX'!DC32</x:f>
        <x:v>0</x:v>
      </x:c>
      <x:c r="DD17" s="117" t="n">
        <x:f>'CAPEX'!DD32</x:f>
        <x:v>0</x:v>
      </x:c>
      <x:c r="DE17" s="117" t="n">
        <x:f>'CAPEX'!DE32</x:f>
        <x:v>0</x:v>
      </x:c>
      <x:c r="DF17" s="117" t="n">
        <x:f>'CAPEX'!DF32</x:f>
        <x:v>0</x:v>
      </x:c>
      <x:c r="DG17" s="117" t="n">
        <x:f>'CAPEX'!DG32</x:f>
        <x:v>0</x:v>
      </x:c>
      <x:c r="DH17" s="117" t="n">
        <x:f>'CAPEX'!DH32</x:f>
        <x:v>0</x:v>
      </x:c>
      <x:c r="DI17" s="117" t="n">
        <x:f>'CAPEX'!DI32</x:f>
        <x:v>0</x:v>
      </x:c>
      <x:c r="DJ17" s="117" t="n">
        <x:f>'CAPEX'!DJ32</x:f>
        <x:v>0</x:v>
      </x:c>
      <x:c r="DK17" s="117" t="n">
        <x:f>'CAPEX'!DK32</x:f>
        <x:v>0</x:v>
      </x:c>
      <x:c r="DL17" s="117" t="n">
        <x:f>'CAPEX'!DL32</x:f>
        <x:v>0</x:v>
      </x:c>
      <x:c r="DM17" s="117" t="n">
        <x:f>'CAPEX'!DM32</x:f>
        <x:v>0</x:v>
      </x:c>
      <x:c r="DN17" s="117" t="n">
        <x:f>'CAPEX'!DN32</x:f>
        <x:v>0</x:v>
      </x:c>
      <x:c r="DO17" s="117" t="n">
        <x:f>'CAPEX'!DO32</x:f>
        <x:v>0</x:v>
      </x:c>
      <x:c r="DP17" s="117" t="n">
        <x:f>'CAPEX'!DP32</x:f>
        <x:v>0</x:v>
      </x:c>
      <x:c r="DQ17" s="117" t="n">
        <x:f>'CAPEX'!DQ32</x:f>
        <x:v>0</x:v>
      </x:c>
      <x:c r="DR17" s="117" t="n">
        <x:f>'CAPEX'!DR32</x:f>
        <x:v>0</x:v>
      </x:c>
      <x:c r="DS17" s="117" t="n">
        <x:f>'CAPEX'!DS32</x:f>
        <x:v>0</x:v>
      </x:c>
    </x:row>
    <x:row r="18">
      <x:c r="A18" t="str">
        <x:v>Маркетинг</x:v>
      </x:c>
      <x:c r="B18" t="n">
        <x:f>SUM(D18:DS18)</x:f>
        <x:v>382.2902795340088</x:v>
      </x:c>
      <x:c r="C18" t="str">
        <x:v>млн ₽</x:v>
      </x:c>
      <x:c r="D18" s="117" t="n">
        <x:f>'CAPEX'!D33</x:f>
        <x:v>0</x:v>
      </x:c>
      <x:c r="E18" s="117" t="n">
        <x:f>'CAPEX'!E33</x:f>
        <x:v>0</x:v>
      </x:c>
      <x:c r="F18" s="117" t="n">
        <x:f>'CAPEX'!F33</x:f>
        <x:v>0</x:v>
      </x:c>
      <x:c r="G18" s="117" t="n">
        <x:f>'CAPEX'!G33</x:f>
        <x:v>0</x:v>
      </x:c>
      <x:c r="H18" s="117" t="n">
        <x:f>'CAPEX'!H33</x:f>
        <x:v>0</x:v>
      </x:c>
      <x:c r="I18" s="117" t="n">
        <x:f>'CAPEX'!I33</x:f>
        <x:v>0</x:v>
      </x:c>
      <x:c r="J18" s="117" t="n">
        <x:f>'CAPEX'!J33</x:f>
        <x:v>0</x:v>
      </x:c>
      <x:c r="K18" s="117" t="n">
        <x:f>'CAPEX'!K33</x:f>
        <x:v>0</x:v>
      </x:c>
      <x:c r="L18" s="117" t="n">
        <x:f>'CAPEX'!L33</x:f>
        <x:v>0</x:v>
      </x:c>
      <x:c r="M18" s="117" t="n">
        <x:f>'CAPEX'!M33</x:f>
        <x:v>0</x:v>
      </x:c>
      <x:c r="N18" s="117" t="n">
        <x:f>'CAPEX'!N33</x:f>
        <x:v>0</x:v>
      </x:c>
      <x:c r="O18" s="117" t="n">
        <x:f>'CAPEX'!O33</x:f>
        <x:v>0</x:v>
      </x:c>
      <x:c r="P18" s="117" t="n">
        <x:f>'CAPEX'!P33</x:f>
        <x:v>0</x:v>
      </x:c>
      <x:c r="Q18" s="117" t="n">
        <x:f>'CAPEX'!Q33</x:f>
        <x:v>0</x:v>
      </x:c>
      <x:c r="R18" s="117" t="n">
        <x:f>'CAPEX'!R33</x:f>
        <x:v>0</x:v>
      </x:c>
      <x:c r="S18" s="117" t="n">
        <x:f>'CAPEX'!S33</x:f>
        <x:v>0</x:v>
      </x:c>
      <x:c r="T18" s="117" t="n">
        <x:f>'CAPEX'!T33</x:f>
        <x:v>0</x:v>
      </x:c>
      <x:c r="U18" s="117" t="n">
        <x:f>'CAPEX'!U33</x:f>
        <x:v>0</x:v>
      </x:c>
      <x:c r="V18" s="117" t="n">
        <x:f>'CAPEX'!V33</x:f>
        <x:v>8.831499539124573</x:v>
      </x:c>
      <x:c r="W18" s="117" t="n">
        <x:f>'CAPEX'!W33</x:f>
        <x:v>9.053611752533554</x:v>
      </x:c>
      <x:c r="X18" s="117" t="n">
        <x:f>'CAPEX'!X33</x:f>
        <x:v>10.919188338952674</x:v>
      </x:c>
      <x:c r="Y18" s="117" t="n">
        <x:f>'CAPEX'!Y33</x:f>
        <x:v>11.193805925677335</x:v>
      </x:c>
      <x:c r="Z18" s="117" t="n">
        <x:f>'CAPEX'!Z33</x:f>
        <x:v>11.475330144708117</x:v>
      </x:c>
      <x:c r="AA18" s="117" t="n">
        <x:f>'CAPEX'!AA33</x:f>
        <x:v>11.763934697847526</x:v>
      </x:c>
      <x:c r="AB18" s="117" t="n">
        <x:f>'CAPEX'!AB33</x:f>
        <x:v>10.250828007173633</x:v>
      </x:c>
      <x:c r="AC18" s="117" t="n">
        <x:f>'CAPEX'!AC33</x:f>
        <x:v>12.363101566534175</x:v>
      </x:c>
      <x:c r="AD18" s="117" t="n">
        <x:f>'CAPEX'!AD33</x:f>
        <x:v>12.67403357093251</x:v>
      </x:c>
      <x:c r="AE18" s="117" t="n">
        <x:f>'CAPEX'!AE33</x:f>
        <x:v>12.992785515241454</x:v>
      </x:c>
      <x:c r="AF18" s="117" t="n">
        <x:f>'CAPEX'!AF33</x:f>
        <x:v>11.321620960307316</x:v>
      </x:c>
      <x:c r="AG18" s="117" t="n">
        <x:f>'CAPEX'!AG33</x:f>
        <x:v>11.606359727459038</x:v>
      </x:c>
      <x:c r="AH18" s="117" t="n">
        <x:f>'CAPEX'!AH33</x:f>
        <x:v>11.898259674604633</x:v>
      </x:c>
      <x:c r="AI18" s="117" t="n">
        <x:f>'CAPEX'!AI33</x:f>
        <x:v>12.197500905420936</x:v>
      </x:c>
      <x:c r="AJ18" s="117" t="n">
        <x:f>'CAPEX'!AJ33</x:f>
        <x:v>14.71090359199091</x:v>
      </x:c>
      <x:c r="AK18" s="117" t="n">
        <x:f>'CAPEX'!AK33</x:f>
        <x:v>15.080882817329485</x:v>
      </x:c>
      <x:c r="AL18" s="117" t="n">
        <x:f>'CAPEX'!AL33</x:f>
        <x:v>15.46016702018532</x:v>
      </x:c>
      <x:c r="AM18" s="117" t="n">
        <x:f>'CAPEX'!AM33</x:f>
        <x:v>15.848990220742975</x:v>
      </x:c>
      <x:c r="AN18" s="117" t="n">
        <x:f>'CAPEX'!AN33</x:f>
        <x:v>13.810453476075459</x:v>
      </x:c>
      <x:c r="AO18" s="117" t="n">
        <x:f>'CAPEX'!AO33</x:f>
        <x:v>16.65621927176324</x:v>
      </x:c>
      <x:c r="AP18" s="117" t="n">
        <x:f>'CAPEX'!AP33</x:f>
        <x:v>17.07512318644809</x:v>
      </x:c>
      <x:c r="AQ18" s="117" t="n">
        <x:f>'CAPEX'!AQ33</x:f>
        <x:v>17.50456253458726</x:v>
      </x:c>
      <x:c r="AR18" s="117" t="n">
        <x:f>'CAPEX'!AR33</x:f>
        <x:v>15.253081939982309</x:v>
      </x:c>
      <x:c r="AS18" s="117" t="n">
        <x:f>'CAPEX'!AS33</x:f>
        <x:v>15.636696950772858</x:v>
      </x:c>
      <x:c r="AT18" s="117" t="n">
        <x:f>'CAPEX'!AT33</x:f>
        <x:v>9.628640568382684</x:v>
      </x:c>
      <x:c r="AU18" s="117" t="n">
        <x:f>'CAPEX'!AU33</x:f>
        <x:v>9.749239291501674</x:v>
      </x:c>
      <x:c r="AV18" s="117" t="n">
        <x:f>'CAPEX'!AV33</x:f>
        <x:v>11.613351192503217</x:v>
      </x:c>
      <x:c r="AW18" s="117" t="n">
        <x:f>'CAPEX'!AW33</x:f>
        <x:v>11.758808416189321</x:v>
      </x:c>
      <x:c r="AX18" s="117" t="n">
        <x:f>'CAPEX'!AX33</x:f>
        <x:v>11.90608749160209</x:v>
      </x:c>
      <x:c r="AY18" s="117" t="n">
        <x:f>'CAPEX'!AY33</x:f>
        <x:v>12.055211237434408</x:v>
      </x:c>
      <x:c r="AZ18" s="117" t="n">
        <x:f>'CAPEX'!AZ33</x:f>
        <x:v>0</x:v>
      </x:c>
      <x:c r="BA18" s="117" t="n">
        <x:f>'CAPEX'!BA33</x:f>
        <x:v>0</x:v>
      </x:c>
      <x:c r="BB18" s="117" t="n">
        <x:f>'CAPEX'!BB33</x:f>
        <x:v>0</x:v>
      </x:c>
      <x:c r="BC18" s="117" t="n">
        <x:f>'CAPEX'!BC33</x:f>
        <x:v>0</x:v>
      </x:c>
      <x:c r="BD18" s="117" t="n">
        <x:f>'CAPEX'!BD33</x:f>
        <x:v>0</x:v>
      </x:c>
      <x:c r="BE18" s="117" t="n">
        <x:f>'CAPEX'!BE33</x:f>
        <x:v>0</x:v>
      </x:c>
      <x:c r="BF18" s="117" t="n">
        <x:f>'CAPEX'!BF33</x:f>
        <x:v>0</x:v>
      </x:c>
      <x:c r="BG18" s="117" t="n">
        <x:f>'CAPEX'!BG33</x:f>
        <x:v>0</x:v>
      </x:c>
      <x:c r="BH18" s="117" t="n">
        <x:f>'CAPEX'!BH33</x:f>
        <x:v>0</x:v>
      </x:c>
      <x:c r="BI18" s="117" t="n">
        <x:f>'CAPEX'!BI33</x:f>
        <x:v>0</x:v>
      </x:c>
      <x:c r="BJ18" s="117" t="n">
        <x:f>'CAPEX'!BJ33</x:f>
        <x:v>0</x:v>
      </x:c>
      <x:c r="BK18" s="117" t="n">
        <x:f>'CAPEX'!BK33</x:f>
        <x:v>0</x:v>
      </x:c>
      <x:c r="BL18" s="117" t="n">
        <x:f>'CAPEX'!BL33</x:f>
        <x:v>0</x:v>
      </x:c>
      <x:c r="BM18" s="117" t="n">
        <x:f>'CAPEX'!BM33</x:f>
        <x:v>0</x:v>
      </x:c>
      <x:c r="BN18" s="117" t="n">
        <x:f>'CAPEX'!BN33</x:f>
        <x:v>0</x:v>
      </x:c>
      <x:c r="BO18" s="117" t="n">
        <x:f>'CAPEX'!BO33</x:f>
        <x:v>0</x:v>
      </x:c>
      <x:c r="BP18" s="117" t="n">
        <x:f>'CAPEX'!BP33</x:f>
        <x:v>0</x:v>
      </x:c>
      <x:c r="BQ18" s="117" t="n">
        <x:f>'CAPEX'!BQ33</x:f>
        <x:v>0</x:v>
      </x:c>
      <x:c r="BR18" s="117" t="n">
        <x:f>'CAPEX'!BR33</x:f>
        <x:v>0</x:v>
      </x:c>
      <x:c r="BS18" s="117" t="n">
        <x:f>'CAPEX'!BS33</x:f>
        <x:v>0</x:v>
      </x:c>
      <x:c r="BT18" s="117" t="n">
        <x:f>'CAPEX'!BT33</x:f>
        <x:v>0</x:v>
      </x:c>
      <x:c r="BU18" s="117" t="n">
        <x:f>'CAPEX'!BU33</x:f>
        <x:v>0</x:v>
      </x:c>
      <x:c r="BV18" s="117" t="n">
        <x:f>'CAPEX'!BV33</x:f>
        <x:v>0</x:v>
      </x:c>
      <x:c r="BW18" s="117" t="n">
        <x:f>'CAPEX'!BW33</x:f>
        <x:v>0</x:v>
      </x:c>
      <x:c r="BX18" s="117" t="n">
        <x:f>'CAPEX'!BX33</x:f>
        <x:v>0</x:v>
      </x:c>
      <x:c r="BY18" s="117" t="n">
        <x:f>'CAPEX'!BY33</x:f>
        <x:v>0</x:v>
      </x:c>
      <x:c r="BZ18" s="117" t="n">
        <x:f>'CAPEX'!BZ33</x:f>
        <x:v>0</x:v>
      </x:c>
      <x:c r="CA18" s="117" t="n">
        <x:f>'CAPEX'!CA33</x:f>
        <x:v>0</x:v>
      </x:c>
      <x:c r="CB18" s="117" t="n">
        <x:f>'CAPEX'!CB33</x:f>
        <x:v>0</x:v>
      </x:c>
      <x:c r="CC18" s="117" t="n">
        <x:f>'CAPEX'!CC33</x:f>
        <x:v>0</x:v>
      </x:c>
      <x:c r="CD18" s="117" t="n">
        <x:f>'CAPEX'!CD33</x:f>
        <x:v>0</x:v>
      </x:c>
      <x:c r="CE18" s="117" t="n">
        <x:f>'CAPEX'!CE33</x:f>
        <x:v>0</x:v>
      </x:c>
      <x:c r="CF18" s="117" t="n">
        <x:f>'CAPEX'!CF33</x:f>
        <x:v>0</x:v>
      </x:c>
      <x:c r="CG18" s="117" t="n">
        <x:f>'CAPEX'!CG33</x:f>
        <x:v>0</x:v>
      </x:c>
      <x:c r="CH18" s="117" t="n">
        <x:f>'CAPEX'!CH33</x:f>
        <x:v>0</x:v>
      </x:c>
      <x:c r="CI18" s="117" t="n">
        <x:f>'CAPEX'!CI33</x:f>
        <x:v>0</x:v>
      </x:c>
      <x:c r="CJ18" s="117" t="n">
        <x:f>'CAPEX'!CJ33</x:f>
        <x:v>0</x:v>
      </x:c>
      <x:c r="CK18" s="117" t="n">
        <x:f>'CAPEX'!CK33</x:f>
        <x:v>0</x:v>
      </x:c>
      <x:c r="CL18" s="117" t="n">
        <x:f>'CAPEX'!CL33</x:f>
        <x:v>0</x:v>
      </x:c>
      <x:c r="CM18" s="117" t="n">
        <x:f>'CAPEX'!CM33</x:f>
        <x:v>0</x:v>
      </x:c>
      <x:c r="CN18" s="117" t="n">
        <x:f>'CAPEX'!CN33</x:f>
        <x:v>0</x:v>
      </x:c>
      <x:c r="CO18" s="117" t="n">
        <x:f>'CAPEX'!CO33</x:f>
        <x:v>0</x:v>
      </x:c>
      <x:c r="CP18" s="117" t="n">
        <x:f>'CAPEX'!CP33</x:f>
        <x:v>0</x:v>
      </x:c>
      <x:c r="CQ18" s="117" t="n">
        <x:f>'CAPEX'!CQ33</x:f>
        <x:v>0</x:v>
      </x:c>
      <x:c r="CR18" s="117" t="n">
        <x:f>'CAPEX'!CR33</x:f>
        <x:v>0</x:v>
      </x:c>
      <x:c r="CS18" s="117" t="n">
        <x:f>'CAPEX'!CS33</x:f>
        <x:v>0</x:v>
      </x:c>
      <x:c r="CT18" s="117" t="n">
        <x:f>'CAPEX'!CT33</x:f>
        <x:v>0</x:v>
      </x:c>
      <x:c r="CU18" s="117" t="n">
        <x:f>'CAPEX'!CU33</x:f>
        <x:v>0</x:v>
      </x:c>
      <x:c r="CV18" s="117" t="n">
        <x:f>'CAPEX'!CV33</x:f>
        <x:v>0</x:v>
      </x:c>
      <x:c r="CW18" s="117" t="n">
        <x:f>'CAPEX'!CW33</x:f>
        <x:v>0</x:v>
      </x:c>
      <x:c r="CX18" s="117" t="n">
        <x:f>'CAPEX'!CX33</x:f>
        <x:v>0</x:v>
      </x:c>
      <x:c r="CY18" s="117" t="n">
        <x:f>'CAPEX'!CY33</x:f>
        <x:v>0</x:v>
      </x:c>
      <x:c r="CZ18" s="117" t="n">
        <x:f>'CAPEX'!CZ33</x:f>
        <x:v>0</x:v>
      </x:c>
      <x:c r="DA18" s="117" t="n">
        <x:f>'CAPEX'!DA33</x:f>
        <x:v>0</x:v>
      </x:c>
      <x:c r="DB18" s="117" t="n">
        <x:f>'CAPEX'!DB33</x:f>
        <x:v>0</x:v>
      </x:c>
      <x:c r="DC18" s="117" t="n">
        <x:f>'CAPEX'!DC33</x:f>
        <x:v>0</x:v>
      </x:c>
      <x:c r="DD18" s="117" t="n">
        <x:f>'CAPEX'!DD33</x:f>
        <x:v>0</x:v>
      </x:c>
      <x:c r="DE18" s="117" t="n">
        <x:f>'CAPEX'!DE33</x:f>
        <x:v>0</x:v>
      </x:c>
      <x:c r="DF18" s="117" t="n">
        <x:f>'CAPEX'!DF33</x:f>
        <x:v>0</x:v>
      </x:c>
      <x:c r="DG18" s="117" t="n">
        <x:f>'CAPEX'!DG33</x:f>
        <x:v>0</x:v>
      </x:c>
      <x:c r="DH18" s="117" t="n">
        <x:f>'CAPEX'!DH33</x:f>
        <x:v>0</x:v>
      </x:c>
      <x:c r="DI18" s="117" t="n">
        <x:f>'CAPEX'!DI33</x:f>
        <x:v>0</x:v>
      </x:c>
      <x:c r="DJ18" s="117" t="n">
        <x:f>'CAPEX'!DJ33</x:f>
        <x:v>0</x:v>
      </x:c>
      <x:c r="DK18" s="117" t="n">
        <x:f>'CAPEX'!DK33</x:f>
        <x:v>0</x:v>
      </x:c>
      <x:c r="DL18" s="117" t="n">
        <x:f>'CAPEX'!DL33</x:f>
        <x:v>0</x:v>
      </x:c>
      <x:c r="DM18" s="117" t="n">
        <x:f>'CAPEX'!DM33</x:f>
        <x:v>0</x:v>
      </x:c>
      <x:c r="DN18" s="117" t="n">
        <x:f>'CAPEX'!DN33</x:f>
        <x:v>0</x:v>
      </x:c>
      <x:c r="DO18" s="117" t="n">
        <x:f>'CAPEX'!DO33</x:f>
        <x:v>0</x:v>
      </x:c>
      <x:c r="DP18" s="117" t="n">
        <x:f>'CAPEX'!DP33</x:f>
        <x:v>0</x:v>
      </x:c>
      <x:c r="DQ18" s="117" t="n">
        <x:f>'CAPEX'!DQ33</x:f>
        <x:v>0</x:v>
      </x:c>
      <x:c r="DR18" s="117" t="n">
        <x:f>'CAPEX'!DR33</x:f>
        <x:v>0</x:v>
      </x:c>
      <x:c r="DS18" s="117" t="n">
        <x:f>'CAPEX'!DS33</x:f>
        <x:v>0</x:v>
      </x:c>
    </x:row>
    <x:row r="19">
      <x:c r="A19" t="str">
        <x:v>Расходы на продажи</x:v>
      </x:c>
      <x:c r="B19" t="n">
        <x:f>SUM(D19:DS19)</x:f>
        <x:v>509.7203727120117</x:v>
      </x:c>
      <x:c r="C19" t="str">
        <x:v>млн ₽</x:v>
      </x:c>
      <x:c r="D19" s="117" t="n">
        <x:f>'CAPEX'!D34</x:f>
        <x:v>0</x:v>
      </x:c>
      <x:c r="E19" s="117" t="n">
        <x:f>'CAPEX'!E34</x:f>
        <x:v>0</x:v>
      </x:c>
      <x:c r="F19" s="117" t="n">
        <x:f>'CAPEX'!F34</x:f>
        <x:v>0</x:v>
      </x:c>
      <x:c r="G19" s="117" t="n">
        <x:f>'CAPEX'!G34</x:f>
        <x:v>0</x:v>
      </x:c>
      <x:c r="H19" s="117" t="n">
        <x:f>'CAPEX'!H34</x:f>
        <x:v>0</x:v>
      </x:c>
      <x:c r="I19" s="117" t="n">
        <x:f>'CAPEX'!I34</x:f>
        <x:v>0</x:v>
      </x:c>
      <x:c r="J19" s="117" t="n">
        <x:f>'CAPEX'!J34</x:f>
        <x:v>0</x:v>
      </x:c>
      <x:c r="K19" s="117" t="n">
        <x:f>'CAPEX'!K34</x:f>
        <x:v>0</x:v>
      </x:c>
      <x:c r="L19" s="117" t="n">
        <x:f>'CAPEX'!L34</x:f>
        <x:v>0</x:v>
      </x:c>
      <x:c r="M19" s="117" t="n">
        <x:f>'CAPEX'!M34</x:f>
        <x:v>0</x:v>
      </x:c>
      <x:c r="N19" s="117" t="n">
        <x:f>'CAPEX'!N34</x:f>
        <x:v>0</x:v>
      </x:c>
      <x:c r="O19" s="117" t="n">
        <x:f>'CAPEX'!O34</x:f>
        <x:v>0</x:v>
      </x:c>
      <x:c r="P19" s="117" t="n">
        <x:f>'CAPEX'!P34</x:f>
        <x:v>0</x:v>
      </x:c>
      <x:c r="Q19" s="117" t="n">
        <x:f>'CAPEX'!Q34</x:f>
        <x:v>0</x:v>
      </x:c>
      <x:c r="R19" s="117" t="n">
        <x:f>'CAPEX'!R34</x:f>
        <x:v>0</x:v>
      </x:c>
      <x:c r="S19" s="117" t="n">
        <x:f>'CAPEX'!S34</x:f>
        <x:v>0</x:v>
      </x:c>
      <x:c r="T19" s="117" t="n">
        <x:f>'CAPEX'!T34</x:f>
        <x:v>0</x:v>
      </x:c>
      <x:c r="U19" s="117" t="n">
        <x:f>'CAPEX'!U34</x:f>
        <x:v>0</x:v>
      </x:c>
      <x:c r="V19" s="117" t="n">
        <x:f>'CAPEX'!V34</x:f>
        <x:v>11.775332718832765</x:v>
      </x:c>
      <x:c r="W19" s="117" t="n">
        <x:f>'CAPEX'!W34</x:f>
        <x:v>12.071482336711407</x:v>
      </x:c>
      <x:c r="X19" s="117" t="n">
        <x:f>'CAPEX'!X34</x:f>
        <x:v>14.558917785270232</x:v>
      </x:c>
      <x:c r="Y19" s="117" t="n">
        <x:f>'CAPEX'!Y34</x:f>
        <x:v>14.92507456756978</x:v>
      </x:c>
      <x:c r="Z19" s="117" t="n">
        <x:f>'CAPEX'!Z34</x:f>
        <x:v>15.300440192944157</x:v>
      </x:c>
      <x:c r="AA19" s="117" t="n">
        <x:f>'CAPEX'!AA34</x:f>
        <x:v>15.685246263796703</x:v>
      </x:c>
      <x:c r="AB19" s="117" t="n">
        <x:f>'CAPEX'!AB34</x:f>
        <x:v>13.66777067623151</x:v>
      </x:c>
      <x:c r="AC19" s="117" t="n">
        <x:f>'CAPEX'!AC34</x:f>
        <x:v>16.48413542204557</x:v>
      </x:c>
      <x:c r="AD19" s="117" t="n">
        <x:f>'CAPEX'!AD34</x:f>
        <x:v>16.898711427910015</x:v>
      </x:c>
      <x:c r="AE19" s="117" t="n">
        <x:f>'CAPEX'!AE34</x:f>
        <x:v>17.32371402032194</x:v>
      </x:c>
      <x:c r="AF19" s="117" t="n">
        <x:f>'CAPEX'!AF34</x:f>
        <x:v>15.095494613743087</x:v>
      </x:c>
      <x:c r="AG19" s="117" t="n">
        <x:f>'CAPEX'!AG34</x:f>
        <x:v>15.475146303278718</x:v>
      </x:c>
      <x:c r="AH19" s="117" t="n">
        <x:f>'CAPEX'!AH34</x:f>
        <x:v>15.864346232806179</x:v>
      </x:c>
      <x:c r="AI19" s="117" t="n">
        <x:f>'CAPEX'!AI34</x:f>
        <x:v>16.26333454056125</x:v>
      </x:c>
      <x:c r="AJ19" s="117" t="n">
        <x:f>'CAPEX'!AJ34</x:f>
        <x:v>19.614538122654547</x:v>
      </x:c>
      <x:c r="AK19" s="117" t="n">
        <x:f>'CAPEX'!AK34</x:f>
        <x:v>20.107843756439312</x:v>
      </x:c>
      <x:c r="AL19" s="117" t="n">
        <x:f>'CAPEX'!AL34</x:f>
        <x:v>20.613556026913763</x:v>
      </x:c>
      <x:c r="AM19" s="117" t="n">
        <x:f>'CAPEX'!AM34</x:f>
        <x:v>21.131986960990634</x:v>
      </x:c>
      <x:c r="AN19" s="117" t="n">
        <x:f>'CAPEX'!AN34</x:f>
        <x:v>18.413937968100612</x:v>
      </x:c>
      <x:c r="AO19" s="117" t="n">
        <x:f>'CAPEX'!AO34</x:f>
        <x:v>22.20829236235099</x:v>
      </x:c>
      <x:c r="AP19" s="117" t="n">
        <x:f>'CAPEX'!AP34</x:f>
        <x:v>22.76683091526412</x:v>
      </x:c>
      <x:c r="AQ19" s="117" t="n">
        <x:f>'CAPEX'!AQ34</x:f>
        <x:v>23.339416712783017</x:v>
      </x:c>
      <x:c r="AR19" s="117" t="n">
        <x:f>'CAPEX'!AR34</x:f>
        <x:v>20.33744258664308</x:v>
      </x:c>
      <x:c r="AS19" s="117" t="n">
        <x:f>'CAPEX'!AS34</x:f>
        <x:v>20.848929267697144</x:v>
      </x:c>
      <x:c r="AT19" s="117" t="n">
        <x:f>'CAPEX'!AT34</x:f>
        <x:v>12.838187424510245</x:v>
      </x:c>
      <x:c r="AU19" s="117" t="n">
        <x:f>'CAPEX'!AU34</x:f>
        <x:v>12.998985722002233</x:v>
      </x:c>
      <x:c r="AV19" s="117" t="n">
        <x:f>'CAPEX'!AV34</x:f>
        <x:v>15.484468256670958</x:v>
      </x:c>
      <x:c r="AW19" s="117" t="n">
        <x:f>'CAPEX'!AW34</x:f>
        <x:v>15.678411221585762</x:v>
      </x:c>
      <x:c r="AX19" s="117" t="n">
        <x:f>'CAPEX'!AX34</x:f>
        <x:v>15.874783322136121</x:v>
      </x:c>
      <x:c r="AY19" s="117" t="n">
        <x:f>'CAPEX'!AY34</x:f>
        <x:v>16.07361498324588</x:v>
      </x:c>
      <x:c r="AZ19" s="117" t="n">
        <x:f>'CAPEX'!AZ34</x:f>
        <x:v>0</x:v>
      </x:c>
      <x:c r="BA19" s="117" t="n">
        <x:f>'CAPEX'!BA34</x:f>
        <x:v>0</x:v>
      </x:c>
      <x:c r="BB19" s="117" t="n">
        <x:f>'CAPEX'!BB34</x:f>
        <x:v>0</x:v>
      </x:c>
      <x:c r="BC19" s="117" t="n">
        <x:f>'CAPEX'!BC34</x:f>
        <x:v>0</x:v>
      </x:c>
      <x:c r="BD19" s="117" t="n">
        <x:f>'CAPEX'!BD34</x:f>
        <x:v>0</x:v>
      </x:c>
      <x:c r="BE19" s="117" t="n">
        <x:f>'CAPEX'!BE34</x:f>
        <x:v>0</x:v>
      </x:c>
      <x:c r="BF19" s="117" t="n">
        <x:f>'CAPEX'!BF34</x:f>
        <x:v>0</x:v>
      </x:c>
      <x:c r="BG19" s="117" t="n">
        <x:f>'CAPEX'!BG34</x:f>
        <x:v>0</x:v>
      </x:c>
      <x:c r="BH19" s="117" t="n">
        <x:f>'CAPEX'!BH34</x:f>
        <x:v>0</x:v>
      </x:c>
      <x:c r="BI19" s="117" t="n">
        <x:f>'CAPEX'!BI34</x:f>
        <x:v>0</x:v>
      </x:c>
      <x:c r="BJ19" s="117" t="n">
        <x:f>'CAPEX'!BJ34</x:f>
        <x:v>0</x:v>
      </x:c>
      <x:c r="BK19" s="117" t="n">
        <x:f>'CAPEX'!BK34</x:f>
        <x:v>0</x:v>
      </x:c>
      <x:c r="BL19" s="117" t="n">
        <x:f>'CAPEX'!BL34</x:f>
        <x:v>0</x:v>
      </x:c>
      <x:c r="BM19" s="117" t="n">
        <x:f>'CAPEX'!BM34</x:f>
        <x:v>0</x:v>
      </x:c>
      <x:c r="BN19" s="117" t="n">
        <x:f>'CAPEX'!BN34</x:f>
        <x:v>0</x:v>
      </x:c>
      <x:c r="BO19" s="117" t="n">
        <x:f>'CAPEX'!BO34</x:f>
        <x:v>0</x:v>
      </x:c>
      <x:c r="BP19" s="117" t="n">
        <x:f>'CAPEX'!BP34</x:f>
        <x:v>0</x:v>
      </x:c>
      <x:c r="BQ19" s="117" t="n">
        <x:f>'CAPEX'!BQ34</x:f>
        <x:v>0</x:v>
      </x:c>
      <x:c r="BR19" s="117" t="n">
        <x:f>'CAPEX'!BR34</x:f>
        <x:v>0</x:v>
      </x:c>
      <x:c r="BS19" s="117" t="n">
        <x:f>'CAPEX'!BS34</x:f>
        <x:v>0</x:v>
      </x:c>
      <x:c r="BT19" s="117" t="n">
        <x:f>'CAPEX'!BT34</x:f>
        <x:v>0</x:v>
      </x:c>
      <x:c r="BU19" s="117" t="n">
        <x:f>'CAPEX'!BU34</x:f>
        <x:v>0</x:v>
      </x:c>
      <x:c r="BV19" s="117" t="n">
        <x:f>'CAPEX'!BV34</x:f>
        <x:v>0</x:v>
      </x:c>
      <x:c r="BW19" s="117" t="n">
        <x:f>'CAPEX'!BW34</x:f>
        <x:v>0</x:v>
      </x:c>
      <x:c r="BX19" s="117" t="n">
        <x:f>'CAPEX'!BX34</x:f>
        <x:v>0</x:v>
      </x:c>
      <x:c r="BY19" s="117" t="n">
        <x:f>'CAPEX'!BY34</x:f>
        <x:v>0</x:v>
      </x:c>
      <x:c r="BZ19" s="117" t="n">
        <x:f>'CAPEX'!BZ34</x:f>
        <x:v>0</x:v>
      </x:c>
      <x:c r="CA19" s="117" t="n">
        <x:f>'CAPEX'!CA34</x:f>
        <x:v>0</x:v>
      </x:c>
      <x:c r="CB19" s="117" t="n">
        <x:f>'CAPEX'!CB34</x:f>
        <x:v>0</x:v>
      </x:c>
      <x:c r="CC19" s="117" t="n">
        <x:f>'CAPEX'!CC34</x:f>
        <x:v>0</x:v>
      </x:c>
      <x:c r="CD19" s="117" t="n">
        <x:f>'CAPEX'!CD34</x:f>
        <x:v>0</x:v>
      </x:c>
      <x:c r="CE19" s="117" t="n">
        <x:f>'CAPEX'!CE34</x:f>
        <x:v>0</x:v>
      </x:c>
      <x:c r="CF19" s="117" t="n">
        <x:f>'CAPEX'!CF34</x:f>
        <x:v>0</x:v>
      </x:c>
      <x:c r="CG19" s="117" t="n">
        <x:f>'CAPEX'!CG34</x:f>
        <x:v>0</x:v>
      </x:c>
      <x:c r="CH19" s="117" t="n">
        <x:f>'CAPEX'!CH34</x:f>
        <x:v>0</x:v>
      </x:c>
      <x:c r="CI19" s="117" t="n">
        <x:f>'CAPEX'!CI34</x:f>
        <x:v>0</x:v>
      </x:c>
      <x:c r="CJ19" s="117" t="n">
        <x:f>'CAPEX'!CJ34</x:f>
        <x:v>0</x:v>
      </x:c>
      <x:c r="CK19" s="117" t="n">
        <x:f>'CAPEX'!CK34</x:f>
        <x:v>0</x:v>
      </x:c>
      <x:c r="CL19" s="117" t="n">
        <x:f>'CAPEX'!CL34</x:f>
        <x:v>0</x:v>
      </x:c>
      <x:c r="CM19" s="117" t="n">
        <x:f>'CAPEX'!CM34</x:f>
        <x:v>0</x:v>
      </x:c>
      <x:c r="CN19" s="117" t="n">
        <x:f>'CAPEX'!CN34</x:f>
        <x:v>0</x:v>
      </x:c>
      <x:c r="CO19" s="117" t="n">
        <x:f>'CAPEX'!CO34</x:f>
        <x:v>0</x:v>
      </x:c>
      <x:c r="CP19" s="117" t="n">
        <x:f>'CAPEX'!CP34</x:f>
        <x:v>0</x:v>
      </x:c>
      <x:c r="CQ19" s="117" t="n">
        <x:f>'CAPEX'!CQ34</x:f>
        <x:v>0</x:v>
      </x:c>
      <x:c r="CR19" s="117" t="n">
        <x:f>'CAPEX'!CR34</x:f>
        <x:v>0</x:v>
      </x:c>
      <x:c r="CS19" s="117" t="n">
        <x:f>'CAPEX'!CS34</x:f>
        <x:v>0</x:v>
      </x:c>
      <x:c r="CT19" s="117" t="n">
        <x:f>'CAPEX'!CT34</x:f>
        <x:v>0</x:v>
      </x:c>
      <x:c r="CU19" s="117" t="n">
        <x:f>'CAPEX'!CU34</x:f>
        <x:v>0</x:v>
      </x:c>
      <x:c r="CV19" s="117" t="n">
        <x:f>'CAPEX'!CV34</x:f>
        <x:v>0</x:v>
      </x:c>
      <x:c r="CW19" s="117" t="n">
        <x:f>'CAPEX'!CW34</x:f>
        <x:v>0</x:v>
      </x:c>
      <x:c r="CX19" s="117" t="n">
        <x:f>'CAPEX'!CX34</x:f>
        <x:v>0</x:v>
      </x:c>
      <x:c r="CY19" s="117" t="n">
        <x:f>'CAPEX'!CY34</x:f>
        <x:v>0</x:v>
      </x:c>
      <x:c r="CZ19" s="117" t="n">
        <x:f>'CAPEX'!CZ34</x:f>
        <x:v>0</x:v>
      </x:c>
      <x:c r="DA19" s="117" t="n">
        <x:f>'CAPEX'!DA34</x:f>
        <x:v>0</x:v>
      </x:c>
      <x:c r="DB19" s="117" t="n">
        <x:f>'CAPEX'!DB34</x:f>
        <x:v>0</x:v>
      </x:c>
      <x:c r="DC19" s="117" t="n">
        <x:f>'CAPEX'!DC34</x:f>
        <x:v>0</x:v>
      </x:c>
      <x:c r="DD19" s="117" t="n">
        <x:f>'CAPEX'!DD34</x:f>
        <x:v>0</x:v>
      </x:c>
      <x:c r="DE19" s="117" t="n">
        <x:f>'CAPEX'!DE34</x:f>
        <x:v>0</x:v>
      </x:c>
      <x:c r="DF19" s="117" t="n">
        <x:f>'CAPEX'!DF34</x:f>
        <x:v>0</x:v>
      </x:c>
      <x:c r="DG19" s="117" t="n">
        <x:f>'CAPEX'!DG34</x:f>
        <x:v>0</x:v>
      </x:c>
      <x:c r="DH19" s="117" t="n">
        <x:f>'CAPEX'!DH34</x:f>
        <x:v>0</x:v>
      </x:c>
      <x:c r="DI19" s="117" t="n">
        <x:f>'CAPEX'!DI34</x:f>
        <x:v>0</x:v>
      </x:c>
      <x:c r="DJ19" s="117" t="n">
        <x:f>'CAPEX'!DJ34</x:f>
        <x:v>0</x:v>
      </x:c>
      <x:c r="DK19" s="117" t="n">
        <x:f>'CAPEX'!DK34</x:f>
        <x:v>0</x:v>
      </x:c>
      <x:c r="DL19" s="117" t="n">
        <x:f>'CAPEX'!DL34</x:f>
        <x:v>0</x:v>
      </x:c>
      <x:c r="DM19" s="117" t="n">
        <x:f>'CAPEX'!DM34</x:f>
        <x:v>0</x:v>
      </x:c>
      <x:c r="DN19" s="117" t="n">
        <x:f>'CAPEX'!DN34</x:f>
        <x:v>0</x:v>
      </x:c>
      <x:c r="DO19" s="117" t="n">
        <x:f>'CAPEX'!DO34</x:f>
        <x:v>0</x:v>
      </x:c>
      <x:c r="DP19" s="117" t="n">
        <x:f>'CAPEX'!DP34</x:f>
        <x:v>0</x:v>
      </x:c>
      <x:c r="DQ19" s="117" t="n">
        <x:f>'CAPEX'!DQ34</x:f>
        <x:v>0</x:v>
      </x:c>
      <x:c r="DR19" s="117" t="n">
        <x:f>'CAPEX'!DR34</x:f>
        <x:v>0</x:v>
      </x:c>
      <x:c r="DS19" s="117" t="n">
        <x:f>'CAPEX'!DS34</x:f>
        <x:v>0</x:v>
      </x:c>
    </x:row>
    <x:row r="20">
      <x:c r="A20" s="113" t="str">
        <x:v>Расходы проекта всего</x:v>
      </x:c>
      <x:c r="B20" s="113" t="n">
        <x:f>SUM(D20:DS20)</x:f>
        <x:v>10279.575186496022</x:v>
      </x:c>
      <x:c r="C20" s="113" t="str">
        <x:v>млн ₽</x:v>
      </x:c>
      <x:c r="D20" s="120" t="n">
        <x:f>SUM(D17:D19)</x:f>
        <x:v>707.9807307539683</x:v>
      </x:c>
      <x:c r="E20" s="120" t="n">
        <x:f>SUM(E17:E19)</x:f>
        <x:v>7.980730753968252</x:v>
      </x:c>
      <x:c r="F20" s="120" t="n">
        <x:f>SUM(F17:F19)</x:f>
        <x:v>7.980730753968252</x:v>
      </x:c>
      <x:c r="G20" s="120" t="n">
        <x:f>SUM(G17:G19)</x:f>
        <x:v>7.980730753968252</x:v>
      </x:c>
      <x:c r="H20" s="120" t="n">
        <x:f>SUM(H17:H19)</x:f>
        <x:v>7.980730753968252</x:v>
      </x:c>
      <x:c r="I20" s="120" t="n">
        <x:f>SUM(I17:I19)</x:f>
        <x:v>7.980730753968252</x:v>
      </x:c>
      <x:c r="J20" s="120" t="n">
        <x:f>SUM(J17:J19)</x:f>
        <x:v>7.980730753968252</x:v>
      </x:c>
      <x:c r="K20" s="120" t="n">
        <x:f>SUM(K17:K19)</x:f>
        <x:v>7.980730753968252</x:v>
      </x:c>
      <x:c r="L20" s="120" t="n">
        <x:f>SUM(L17:L19)</x:f>
        <x:v>7.980730753968252</x:v>
      </x:c>
      <x:c r="M20" s="120" t="n">
        <x:f>SUM(M17:M19)</x:f>
        <x:v>7.980730753968252</x:v>
      </x:c>
      <x:c r="N20" s="120" t="n">
        <x:f>SUM(N17:N19)</x:f>
        <x:v>7.980730753968252</x:v>
      </x:c>
      <x:c r="O20" s="120" t="n">
        <x:f>SUM(O17:O19)</x:f>
        <x:v>7.980730753968252</x:v>
      </x:c>
      <x:c r="P20" s="120" t="n">
        <x:f>SUM(P17:P19)</x:f>
        <x:v>33.94773075396826</x:v>
      </x:c>
      <x:c r="Q20" s="120" t="n">
        <x:f>SUM(Q17:Q19)</x:f>
        <x:v>33.94773075396826</x:v>
      </x:c>
      <x:c r="R20" s="120" t="n">
        <x:f>SUM(R17:R19)</x:f>
        <x:v>33.94773075396826</x:v>
      </x:c>
      <x:c r="S20" s="120" t="n">
        <x:f>SUM(S17:S19)</x:f>
        <x:v>33.94773075396826</x:v>
      </x:c>
      <x:c r="T20" s="120" t="n">
        <x:f>SUM(T17:T19)</x:f>
        <x:v>33.94773075396826</x:v>
      </x:c>
      <x:c r="U20" s="120" t="n">
        <x:f>SUM(U17:U19)</x:f>
        <x:v>1882.1547307539681</x:v>
      </x:c>
      <x:c r="V20" s="120" t="n">
        <x:f>SUM(V17:V19)</x:f>
        <x:v>180.27246442335544</x:v>
      </x:c>
      <x:c r="W20" s="120" t="n">
        <x:f>SUM(W17:W19)</x:f>
        <x:v>180.79072625464306</x:v>
      </x:c>
      <x:c r="X20" s="120" t="n">
        <x:f>SUM(X17:X19)</x:f>
        <x:v>185.143738289621</x:v>
      </x:c>
      <x:c r="Y20" s="120" t="n">
        <x:f>SUM(Y17:Y19)</x:f>
        <x:v>185.7845126586452</x:v>
      </x:c>
      <x:c r="Z20" s="120" t="n">
        <x:f>SUM(Z17:Z19)</x:f>
        <x:v>339.56891502559137</x:v>
      </x:c>
      <x:c r="AA20" s="120" t="n">
        <x:f>SUM(AA17:AA19)</x:f>
        <x:v>340.24232564958334</x:v>
      </x:c>
      <x:c r="AB20" s="120" t="n">
        <x:f>SUM(AB17:AB19)</x:f>
        <x:v>336.71174337134426</x:v>
      </x:c>
      <x:c r="AC20" s="120" t="n">
        <x:f>SUM(AC17:AC19)</x:f>
        <x:v>341.6403816765188</x:v>
      </x:c>
      <x:c r="AD20" s="120" t="n">
        <x:f>SUM(AD17:AD19)</x:f>
        <x:v>342.36588968678166</x:v>
      </x:c>
      <x:c r="AE20" s="120" t="n">
        <x:f>SUM(AE17:AE19)</x:f>
        <x:v>343.10964422350247</x:v>
      </x:c>
      <x:c r="AF20" s="120" t="n">
        <x:f>SUM(AF17:AF19)</x:f>
        <x:v>339.2102602619895</x:v>
      </x:c>
      <x:c r="AG20" s="120" t="n">
        <x:f>SUM(AG17:AG19)</x:f>
        <x:v>339.8746507186769</x:v>
      </x:c>
      <x:c r="AH20" s="120" t="n">
        <x:f>SUM(AH17:AH19)</x:f>
        <x:v>340.5557505953499</x:v>
      </x:c>
      <x:c r="AI20" s="120" t="n">
        <x:f>SUM(AI17:AI19)</x:f>
        <x:v>341.2539801339213</x:v>
      </x:c>
      <x:c r="AJ20" s="120" t="n">
        <x:f>SUM(AJ17:AJ19)</x:f>
        <x:v>347.1185864025846</x:v>
      </x:c>
      <x:c r="AK20" s="120" t="n">
        <x:f>SUM(AK17:AK19)</x:f>
        <x:v>347.9818712617079</x:v>
      </x:c>
      <x:c r="AL20" s="120" t="n">
        <x:f>SUM(AL17:AL19)</x:f>
        <x:v>348.8668677350382</x:v>
      </x:c>
      <x:c r="AM20" s="120" t="n">
        <x:f>SUM(AM17:AM19)</x:f>
        <x:v>349.7741218696727</x:v>
      </x:c>
      <x:c r="AN20" s="120" t="n">
        <x:f>SUM(AN17:AN19)</x:f>
        <x:v>345.0175361321152</x:v>
      </x:c>
      <x:c r="AO20" s="120" t="n">
        <x:f>SUM(AO17:AO19)</x:f>
        <x:v>249.57264797369268</x:v>
      </x:c>
      <x:c r="AP20" s="120" t="n">
        <x:f>SUM(AP17:AP19)</x:f>
        <x:v>250.55009044129065</x:v>
      </x:c>
      <x:c r="AQ20" s="120" t="n">
        <x:f>SUM(AQ17:AQ19)</x:f>
        <x:v>303.48611558694876</x:v>
      </x:c>
      <x:c r="AR20" s="120" t="n">
        <x:f>SUM(AR17:AR19)</x:f>
        <x:v>298.2326608662039</x:v>
      </x:c>
      <x:c r="AS20" s="120" t="n">
        <x:f>SUM(AS17:AS19)</x:f>
        <x:v>299.1277625580485</x:v>
      </x:c>
      <x:c r="AT20" s="120" t="n">
        <x:f>SUM(AT17:AT19)</x:f>
        <x:v>22.46682799289293</x:v>
      </x:c>
      <x:c r="AU20" s="120" t="n">
        <x:f>SUM(AU17:AU19)</x:f>
        <x:v>22.748225013503905</x:v>
      </x:c>
      <x:c r="AV20" s="120" t="n">
        <x:f>SUM(AV17:AV19)</x:f>
        <x:v>27.097819449174175</x:v>
      </x:c>
      <x:c r="AW20" s="120" t="n">
        <x:f>SUM(AW17:AW19)</x:f>
        <x:v>27.437219637775083</x:v>
      </x:c>
      <x:c r="AX20" s="120" t="n">
        <x:f>SUM(AX17:AX19)</x:f>
        <x:v>27.78087081373821</x:v>
      </x:c>
      <x:c r="AY20" s="120" t="n">
        <x:f>SUM(AY17:AY19)</x:f>
        <x:v>28.12882622068029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-707.9807307539683</x:v>
      </x:c>
      <x:c r="E22" s="117" t="n">
        <x:f>E10-E20-E32-E42-E43</x:f>
        <x:v>-19.65749627855627</x:v>
      </x:c>
      <x:c r="F22" s="117" t="n">
        <x:f>F10-F20-F32-F42-F43</x:f>
        <x:v>-19.66482404941027</x:v>
      </x:c>
      <x:c r="G22" s="117" t="n">
        <x:f>G10-G20-G32-G42-G43</x:f>
        <x:v>-19.669380733196924</x:v>
      </x:c>
      <x:c r="H22" s="117" t="n">
        <x:f>H10-H20-H32-H42-H43</x:f>
        <x:v>-19.671166329916225</x:v>
      </x:c>
      <x:c r="I22" s="117" t="n">
        <x:f>I10-I20-I32-I42-I43</x:f>
        <x:v>-19.670180839568175</x:v>
      </x:c>
      <x:c r="J22" s="117" t="n">
        <x:f>J10-J20-J32-J42-J43</x:f>
        <x:v>-19.666424262152773</x:v>
      </x:c>
      <x:c r="K22" s="117" t="n">
        <x:f>K10-K20-K32-K42-K43</x:f>
        <x:v>-19.659896597670027</x:v>
      </x:c>
      <x:c r="L22" s="117" t="n">
        <x:f>L10-L20-L32-L42-L43</x:f>
        <x:v>-19.65059784611993</x:v>
      </x:c>
      <x:c r="M22" s="117" t="n">
        <x:f>M10-M20-M32-M42-M43</x:f>
        <x:v>-19.63852800750248</x:v>
      </x:c>
      <x:c r="N22" s="117" t="n">
        <x:f>N10-N20-N32-N42-N43</x:f>
        <x:v>-19.62368708181768</x:v>
      </x:c>
      <x:c r="O22" s="117" t="n">
        <x:f>O10-O20-O32-O42-O43</x:f>
        <x:v>-19.606075069065533</x:v>
      </x:c>
      <x:c r="P22" s="117" t="n">
        <x:f>P10-P20-P32-P42-P43</x:f>
        <x:v>-45.552691969246034</x:v>
      </x:c>
      <x:c r="Q22" s="117" t="n">
        <x:f>Q10-Q20-Q32-Q42-Q43</x:f>
        <x:v>-45.903715039303634</x:v>
      </x:c>
      <x:c r="R22" s="117" t="n">
        <x:f>R10-R20-R32-R42-R43</x:f>
        <x:v>-46.242950702849434</x:v>
      </x:c>
      <x:c r="S22" s="117" t="n">
        <x:f>S10-S20-S32-S42-S43</x:f>
        <x:v>-46.57039895988344</x:v>
      </x:c>
      <x:c r="T22" s="117" t="n">
        <x:f>T10-T20-T32-T42-T43</x:f>
        <x:v>-46.88605981040565</x:v>
      </x:c>
      <x:c r="U22" s="117" t="n">
        <x:f>U10-U20-U32-U42-U43</x:f>
        <x:v>-1895.396933254416</x:v>
      </x:c>
      <x:c r="V22" s="117" t="n">
        <x:f>V10-V20-V32-V42-V43</x:f>
        <x:v>19.865428551183918</x:v>
      </x:c>
      <x:c r="W22" s="117" t="n">
        <x:f>W10-W20-W32-W42-W43</x:f>
        <x:v>83.44355298753126</x:v>
      </x:c>
      <x:c r="X22" s="117" t="n">
        <x:f>X10-X20-X32-X42-X43</x:f>
        <x:v>142.63899568746032</x:v>
      </x:c>
      <x:c r="Y22" s="117" t="n">
        <x:f>Y10-Y20-Y32-Y42-Y43</x:f>
        <x:v>152.47510169889486</x:v>
      </x:c>
      <x:c r="Z22" s="117" t="n">
        <x:f>Z10-Z20-Z32-Z42-Z43</x:f>
        <x:v>9.399004094053979</x:v>
      </x:c>
      <x:c r="AA22" s="117" t="n">
        <x:f>AA10-AA20-AA32-AA42-AA43</x:f>
        <x:v>17.982726489589886</x:v>
      </x:c>
      <x:c r="AB22" s="117" t="n">
        <x:f>AB10-AB20-AB32-AB42-AB43</x:f>
        <x:v>-29.6904224058377</x:v>
      </x:c>
      <x:c r="AC22" s="117" t="n">
        <x:f>AC10-AC20-AC32-AC42-AC43</x:f>
        <x:v>35.23312277278316</x:v>
      </x:c>
      <x:c r="AD22" s="117" t="n">
        <x:f>AD10-AD20-AD32-AD42-AD43</x:f>
        <x:v>44.33941916703566</x:v>
      </x:c>
      <x:c r="AE22" s="117" t="n">
        <x:f>AE10-AE20-AE32-AE42-AE43</x:f>
        <x:v>53.759962014483236</x:v>
      </x:c>
      <x:c r="AF22" s="117" t="n">
        <x:f>AF10-AF20-AF32-AF42-AF43</x:f>
        <x:v>1.0672449058471019</x:v>
      </x:c>
      <x:c r="AG22" s="117" t="n">
        <x:f>AG10-AG20-AG32-AG42-AG43</x:f>
        <x:v>9.120958799910357</x:v>
      </x:c>
      <x:c r="AH22" s="117" t="n">
        <x:f>AH10-AH20-AH32-AH42-AH43</x:f>
        <x:v>17.462446697289362</x:v>
      </x:c>
      <x:c r="AI22" s="117" t="n">
        <x:f>AI10-AI20-AI32-AI42-AI43</x:f>
        <x:v>26.09894611416701</x:v>
      </x:c>
      <x:c r="AJ22" s="117" t="n">
        <x:f>AJ10-AJ20-AJ32-AJ42-AJ43</x:f>
        <x:v>103.99523717771638</x:v>
      </x:c>
      <x:c r="AK22" s="117" t="n">
        <x:f>AK10-AK20-AK32-AK42-AK43</x:f>
        <x:v>115.47436251484991</x:v>
      </x:c>
      <x:c r="AL22" s="117" t="n">
        <x:f>AL10-AL20-AL32-AL42-AL43</x:f>
        <x:v>127.32741095309197</x:v>
      </x:c>
      <x:c r="AM22" s="117" t="n">
        <x:f>AM10-AM20-AM32-AM42-AM43</x:f>
        <x:v>139.5637866584355</x:v>
      </x:c>
      <x:c r="AN22" s="117" t="n">
        <x:f>AN10-AN20-AN32-AN42-AN43</x:f>
        <x:v>76.03254128917321</x:v>
      </x:c>
      <x:c r="AO22" s="117" t="n">
        <x:f>AO10-AO20-AO32-AO42-AO43</x:f>
        <x:v>266.76265414703136</x:v>
      </x:c>
      <x:c r="AP22" s="117" t="n">
        <x:f>AP10-AP20-AP32-AP42-AP43</x:f>
        <x:v>281.31375261249195</x:v>
      </x:c>
      <x:c r="AQ22" s="117" t="n">
        <x:f>AQ10-AQ20-AQ32-AQ42-AQ43</x:f>
        <x:v>244.16703378584796</x:v>
      </x:c>
      <x:c r="AR22" s="117" t="n">
        <x:f>AR10-AR20-AR32-AR42-AR43</x:f>
        <x:v>173.3595149678045</x:v>
      </x:c>
      <x:c r="AS22" s="117" t="n">
        <x:f>AS10-AS20-AS32-AS42-AS43</x:f>
        <x:v>184.2574714327575</x:v>
      </x:c>
      <x:c r="AT22" s="117" t="n">
        <x:f>AT10-AT20-AT32-AT42-AT43</x:f>
        <x:v>182.83785761986314</x:v>
      </x:c>
      <x:c r="AU22" s="117" t="n">
        <x:f>AU10-AU20-AU32-AU42-AU43</x:f>
        <x:v>297.9430847032186</x:v>
      </x:c>
      <x:c r="AV22" s="117" t="n">
        <x:f>AV10-AV20-AV32-AV42-AV43</x:f>
        <x:v>355.7305536342664</x:v>
      </x:c>
      <x:c r="AW22" s="117" t="n">
        <x:f>AW10-AW20-AW32-AW42-AW43</x:f>
        <x:v>360.2397275685356</x:v>
      </x:c>
      <x:c r="AX22" s="117" t="n">
        <x:f>AX10-AX20-AX32-AX42-AX43</x:f>
        <x:v>364.80537890633144</x:v>
      </x:c>
      <x:c r="AY22" s="117" t="n">
        <x:f>AY10-AY20-AY32-AY42-AY43</x:f>
        <x:v>369.42821502713326</x:v>
      </x:c>
      <x:c r="AZ22" s="117" t="n">
        <x:f>AZ10-AZ20-AZ32-AZ42-AZ43</x:f>
        <x:v>-4.283333333333333</x:v>
      </x:c>
      <x:c r="BA22" s="117" t="n">
        <x:f>BA10-BA20-BA32-BA42-BA43</x:f>
        <x:v>-4.283333333333333</x:v>
      </x:c>
      <x:c r="BB22" s="117" t="n">
        <x:f>BB10-BB20-BB32-BB42-BB43</x:f>
        <x:v>-4.283333333333333</x:v>
      </x:c>
      <x:c r="BC22" s="117" t="n">
        <x:f>BC10-BC20-BC32-BC42-BC43</x:f>
        <x:v>-4.283333333333333</x:v>
      </x:c>
      <x:c r="BD22" s="117" t="n">
        <x:f>BD10-BD20-BD32-BD42-BD43</x:f>
        <x:v>-4.283333333333333</x:v>
      </x:c>
      <x:c r="BE22" s="117" t="n">
        <x:f>BE10-BE20-BE32-BE42-BE43</x:f>
        <x:v>-4.283333333333333</x:v>
      </x:c>
      <x:c r="BF22" s="117" t="n">
        <x:f>BF10-BF20-BF32-BF42-BF43</x:f>
        <x:v>-4.283333333333333</x:v>
      </x:c>
      <x:c r="BG22" s="117" t="n">
        <x:f>BG10-BG20-BG32-BG42-BG43</x:f>
        <x:v>-4.283333333333333</x:v>
      </x:c>
      <x:c r="BH22" s="117" t="n">
        <x:f>BH10-BH20-BH32-BH42-BH43</x:f>
        <x:v>-4.283333333333333</x:v>
      </x:c>
      <x:c r="BI22" s="117" t="n">
        <x:f>BI10-BI20-BI32-BI42-BI43</x:f>
        <x:v>-4.283333333333333</x:v>
      </x:c>
      <x:c r="BJ22" s="117" t="n">
        <x:f>BJ10-BJ20-BJ32-BJ42-BJ43</x:f>
        <x:v>-4.283333333333333</x:v>
      </x:c>
      <x:c r="BK22" s="117" t="n">
        <x:f>BK10-BK20-BK32-BK42-BK43</x:f>
        <x:v>-4.283333333333333</x:v>
      </x:c>
      <x:c r="BL22" s="117" t="n">
        <x:f>BL10-BL20-BL32-BL42-BL43</x:f>
        <x:v>-4.283333333333333</x:v>
      </x:c>
      <x:c r="BM22" s="117" t="n">
        <x:f>BM10-BM20-BM32-BM42-BM43</x:f>
        <x:v>-4.283333333333333</x:v>
      </x:c>
      <x:c r="BN22" s="117" t="n">
        <x:f>BN10-BN20-BN32-BN42-BN43</x:f>
        <x:v>-4.283333333333333</x:v>
      </x:c>
      <x:c r="BO22" s="117" t="n">
        <x:f>BO10-BO20-BO32-BO42-BO43</x:f>
        <x:v>-4.283333333333333</x:v>
      </x:c>
      <x:c r="BP22" s="117" t="n">
        <x:f>BP10-BP20-BP32-BP42-BP43</x:f>
        <x:v>-4.283333333333333</x:v>
      </x:c>
      <x:c r="BQ22" s="117" t="n">
        <x:f>BQ10-BQ20-BQ32-BQ42-BQ43</x:f>
        <x:v>-4.283333333333333</x:v>
      </x:c>
      <x:c r="BR22" s="117" t="n">
        <x:f>BR10-BR20-BR32-BR42-BR43</x:f>
        <x:v>-4.283333333333333</x:v>
      </x:c>
      <x:c r="BS22" s="117" t="n">
        <x:f>BS10-BS20-BS32-BS42-BS43</x:f>
        <x:v>-4.283333333333333</x:v>
      </x:c>
      <x:c r="BT22" s="117" t="n">
        <x:f>BT10-BT20-BT32-BT42-BT43</x:f>
        <x:v>-4.283333333333333</x:v>
      </x:c>
      <x:c r="BU22" s="117" t="n">
        <x:f>BU10-BU20-BU32-BU42-BU43</x:f>
        <x:v>-4.283333333333333</x:v>
      </x:c>
      <x:c r="BV22" s="117" t="n">
        <x:f>BV10-BV20-BV32-BV42-BV43</x:f>
        <x:v>-4.283333333333333</x:v>
      </x:c>
      <x:c r="BW22" s="117" t="n">
        <x:f>BW10-BW20-BW32-BW42-BW43</x:f>
        <x:v>-4.283333333333333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-707.9807307539683</x:v>
      </x:c>
      <x:c r="E23" s="117" t="n">
        <x:f>D23+E22</x:f>
        <x:v>-727.6382270325246</x:v>
      </x:c>
      <x:c r="F23" s="117" t="n">
        <x:f>E23+F22</x:f>
        <x:v>-747.3030510819349</x:v>
      </x:c>
      <x:c r="G23" s="117" t="n">
        <x:f>F23+G22</x:f>
        <x:v>-766.9724318151318</x:v>
      </x:c>
      <x:c r="H23" s="117" t="n">
        <x:f>G23+H22</x:f>
        <x:v>-786.643598145048</x:v>
      </x:c>
      <x:c r="I23" s="117" t="n">
        <x:f>H23+I22</x:f>
        <x:v>-806.3137789846162</x:v>
      </x:c>
      <x:c r="J23" s="117" t="n">
        <x:f>I23+J22</x:f>
        <x:v>-825.980203246769</x:v>
      </x:c>
      <x:c r="K23" s="117" t="n">
        <x:f>J23+K22</x:f>
        <x:v>-845.640099844439</x:v>
      </x:c>
      <x:c r="L23" s="117" t="n">
        <x:f>K23+L22</x:f>
        <x:v>-865.2906976905589</x:v>
      </x:c>
      <x:c r="M23" s="117" t="n">
        <x:f>L23+M22</x:f>
        <x:v>-884.9292256980614</x:v>
      </x:c>
      <x:c r="N23" s="117" t="n">
        <x:f>M23+N22</x:f>
        <x:v>-904.5529127798791</x:v>
      </x:c>
      <x:c r="O23" s="117" t="n">
        <x:f>N23+O22</x:f>
        <x:v>-924.1589878489447</x:v>
      </x:c>
      <x:c r="P23" s="117" t="n">
        <x:f>O23+P22</x:f>
        <x:v>-969.7116798181906</x:v>
      </x:c>
      <x:c r="Q23" s="117" t="n">
        <x:f>P23+Q22</x:f>
        <x:v>-1015.6153948574943</x:v>
      </x:c>
      <x:c r="R23" s="117" t="n">
        <x:f>Q23+R22</x:f>
        <x:v>-1061.8583455603437</x:v>
      </x:c>
      <x:c r="S23" s="117" t="n">
        <x:f>R23+S22</x:f>
        <x:v>-1108.4287445202272</x:v>
      </x:c>
      <x:c r="T23" s="117" t="n">
        <x:f>S23+T22</x:f>
        <x:v>-1155.3148043306328</x:v>
      </x:c>
      <x:c r="U23" s="117" t="n">
        <x:f>T23+U22</x:f>
        <x:v>-3050.7117375850485</x:v>
      </x:c>
      <x:c r="V23" s="117" t="n">
        <x:f>U23+V22</x:f>
        <x:v>-3030.8463090338646</x:v>
      </x:c>
      <x:c r="W23" s="117" t="n">
        <x:f>V23+W22</x:f>
        <x:v>-2947.4027560463333</x:v>
      </x:c>
      <x:c r="X23" s="117" t="n">
        <x:f>W23+X22</x:f>
        <x:v>-2804.763760358873</x:v>
      </x:c>
      <x:c r="Y23" s="117" t="n">
        <x:f>X23+Y22</x:f>
        <x:v>-2652.288658659978</x:v>
      </x:c>
      <x:c r="Z23" s="117" t="n">
        <x:f>Y23+Z22</x:f>
        <x:v>-2642.889654565924</x:v>
      </x:c>
      <x:c r="AA23" s="117" t="n">
        <x:f>Z23+AA22</x:f>
        <x:v>-2624.906928076334</x:v>
      </x:c>
      <x:c r="AB23" s="117" t="n">
        <x:f>AA23+AB22</x:f>
        <x:v>-2654.597350482172</x:v>
      </x:c>
      <x:c r="AC23" s="117" t="n">
        <x:f>AB23+AC22</x:f>
        <x:v>-2619.3642277093886</x:v>
      </x:c>
      <x:c r="AD23" s="117" t="n">
        <x:f>AC23+AD22</x:f>
        <x:v>-2575.0248085423527</x:v>
      </x:c>
      <x:c r="AE23" s="117" t="n">
        <x:f>AD23+AE22</x:f>
        <x:v>-2521.2648465278694</x:v>
      </x:c>
      <x:c r="AF23" s="117" t="n">
        <x:f>AE23+AF22</x:f>
        <x:v>-2520.1976016220224</x:v>
      </x:c>
      <x:c r="AG23" s="117" t="n">
        <x:f>AF23+AG22</x:f>
        <x:v>-2511.076642822112</x:v>
      </x:c>
      <x:c r="AH23" s="117" t="n">
        <x:f>AG23+AH22</x:f>
        <x:v>-2493.6141961248222</x:v>
      </x:c>
      <x:c r="AI23" s="117" t="n">
        <x:f>AH23+AI22</x:f>
        <x:v>-2467.515250010655</x:v>
      </x:c>
      <x:c r="AJ23" s="117" t="n">
        <x:f>AI23+AJ22</x:f>
        <x:v>-2363.520012832939</x:v>
      </x:c>
      <x:c r="AK23" s="117" t="n">
        <x:f>AJ23+AK22</x:f>
        <x:v>-2248.045650318089</x:v>
      </x:c>
      <x:c r="AL23" s="117" t="n">
        <x:f>AK23+AL22</x:f>
        <x:v>-2120.718239364997</x:v>
      </x:c>
      <x:c r="AM23" s="117" t="n">
        <x:f>AL23+AM22</x:f>
        <x:v>-1981.1544527065614</x:v>
      </x:c>
      <x:c r="AN23" s="117" t="n">
        <x:f>AM23+AN22</x:f>
        <x:v>-1905.1219114173882</x:v>
      </x:c>
      <x:c r="AO23" s="117" t="n">
        <x:f>AN23+AO22</x:f>
        <x:v>-1638.359257270357</x:v>
      </x:c>
      <x:c r="AP23" s="117" t="n">
        <x:f>AO23+AP22</x:f>
        <x:v>-1357.045504657865</x:v>
      </x:c>
      <x:c r="AQ23" s="117" t="n">
        <x:f>AP23+AQ22</x:f>
        <x:v>-1112.878470872017</x:v>
      </x:c>
      <x:c r="AR23" s="117" t="n">
        <x:f>AQ23+AR22</x:f>
        <x:v>-939.5189559042126</x:v>
      </x:c>
      <x:c r="AS23" s="117" t="n">
        <x:f>AR23+AS22</x:f>
        <x:v>-755.2614844714551</x:v>
      </x:c>
      <x:c r="AT23" s="117" t="n">
        <x:f>AS23+AT22</x:f>
        <x:v>-572.423626851592</x:v>
      </x:c>
      <x:c r="AU23" s="117" t="n">
        <x:f>AT23+AU22</x:f>
        <x:v>-274.4805421483734</x:v>
      </x:c>
      <x:c r="AV23" s="117" t="n">
        <x:f>AU23+AV22</x:f>
        <x:v>81.25001148589303</x:v>
      </x:c>
      <x:c r="AW23" s="117" t="n">
        <x:f>AV23+AW22</x:f>
        <x:v>441.48973905442864</x:v>
      </x:c>
      <x:c r="AX23" s="117" t="n">
        <x:f>AW23+AX22</x:f>
        <x:v>806.2951179607601</x:v>
      </x:c>
      <x:c r="AY23" s="117" t="n">
        <x:f>AX23+AY22</x:f>
        <x:v>1175.7233329878934</x:v>
      </x:c>
      <x:c r="AZ23" s="117" t="n">
        <x:f>AY23+AZ22</x:f>
        <x:v>1171.43999965456</x:v>
      </x:c>
      <x:c r="BA23" s="117" t="n">
        <x:f>AZ23+BA22</x:f>
        <x:v>1167.1566663212268</x:v>
      </x:c>
      <x:c r="BB23" s="117" t="n">
        <x:f>BA23+BB22</x:f>
        <x:v>1162.8733329878935</x:v>
      </x:c>
      <x:c r="BC23" s="117" t="n">
        <x:f>BB23+BC22</x:f>
        <x:v>1158.5899996545602</x:v>
      </x:c>
      <x:c r="BD23" s="117" t="n">
        <x:f>BC23+BD22</x:f>
        <x:v>1154.3066663212269</x:v>
      </x:c>
      <x:c r="BE23" s="117" t="n">
        <x:f>BD23+BE22</x:f>
        <x:v>1150.0233329878936</x:v>
      </x:c>
      <x:c r="BF23" s="117" t="n">
        <x:f>BE23+BF22</x:f>
        <x:v>1145.7399996545603</x:v>
      </x:c>
      <x:c r="BG23" s="117" t="n">
        <x:f>BF23+BG22</x:f>
        <x:v>1141.456666321227</x:v>
      </x:c>
      <x:c r="BH23" s="117" t="n">
        <x:f>BG23+BH22</x:f>
        <x:v>1137.1733329878937</x:v>
      </x:c>
      <x:c r="BI23" s="117" t="n">
        <x:f>BH23+BI22</x:f>
        <x:v>1132.8899996545604</x:v>
      </x:c>
      <x:c r="BJ23" s="117" t="n">
        <x:f>BI23+BJ22</x:f>
        <x:v>1128.606666321227</x:v>
      </x:c>
      <x:c r="BK23" s="117" t="n">
        <x:f>BJ23+BK22</x:f>
        <x:v>1124.3233329878938</x:v>
      </x:c>
      <x:c r="BL23" s="117" t="n">
        <x:f>BK23+BL22</x:f>
        <x:v>1120.0399996545605</x:v>
      </x:c>
      <x:c r="BM23" s="117" t="n">
        <x:f>BL23+BM22</x:f>
        <x:v>1115.7566663212272</x:v>
      </x:c>
      <x:c r="BN23" s="117" t="n">
        <x:f>BM23+BN22</x:f>
        <x:v>1111.4733329878939</x:v>
      </x:c>
      <x:c r="BO23" s="117" t="n">
        <x:f>BN23+BO22</x:f>
        <x:v>1107.1899996545606</x:v>
      </x:c>
      <x:c r="BP23" s="117" t="n">
        <x:f>BO23+BP22</x:f>
        <x:v>1102.9066663212272</x:v>
      </x:c>
      <x:c r="BQ23" s="117" t="n">
        <x:f>BP23+BQ22</x:f>
        <x:v>1098.623332987894</x:v>
      </x:c>
      <x:c r="BR23" s="117" t="n">
        <x:f>BQ23+BR22</x:f>
        <x:v>1094.3399996545606</x:v>
      </x:c>
      <x:c r="BS23" s="117" t="n">
        <x:f>BR23+BS22</x:f>
        <x:v>1090.0566663212273</x:v>
      </x:c>
      <x:c r="BT23" s="117" t="n">
        <x:f>BS23+BT22</x:f>
        <x:v>1085.773332987894</x:v>
      </x:c>
      <x:c r="BU23" s="117" t="n">
        <x:f>BT23+BU22</x:f>
        <x:v>1081.4899996545607</x:v>
      </x:c>
      <x:c r="BV23" s="117" t="n">
        <x:f>BU23+BV22</x:f>
        <x:v>1077.2066663212274</x:v>
      </x:c>
      <x:c r="BW23" s="117" t="n">
        <x:f>BV23+BW22</x:f>
        <x:v>1072.9233329878941</x:v>
      </x:c>
      <x:c r="BX23" s="117" t="n">
        <x:f>BW23+BX22</x:f>
        <x:v>1072.9233329878941</x:v>
      </x:c>
      <x:c r="BY23" s="117" t="n">
        <x:f>BX23+BY22</x:f>
        <x:v>1072.9233329878941</x:v>
      </x:c>
      <x:c r="BZ23" s="117" t="n">
        <x:f>BY23+BZ22</x:f>
        <x:v>1072.9233329878941</x:v>
      </x:c>
      <x:c r="CA23" s="117" t="n">
        <x:f>BZ23+CA22</x:f>
        <x:v>1072.9233329878941</x:v>
      </x:c>
      <x:c r="CB23" s="117" t="n">
        <x:f>CA23+CB22</x:f>
        <x:v>1072.9233329878941</x:v>
      </x:c>
      <x:c r="CC23" s="117" t="n">
        <x:f>CB23+CC22</x:f>
        <x:v>1072.9233329878941</x:v>
      </x:c>
      <x:c r="CD23" s="117" t="n">
        <x:f>CC23+CD22</x:f>
        <x:v>1072.9233329878941</x:v>
      </x:c>
      <x:c r="CE23" s="117" t="n">
        <x:f>CD23+CE22</x:f>
        <x:v>1072.9233329878941</x:v>
      </x:c>
      <x:c r="CF23" s="117" t="n">
        <x:f>CE23+CF22</x:f>
        <x:v>1072.9233329878941</x:v>
      </x:c>
      <x:c r="CG23" s="117" t="n">
        <x:f>CF23+CG22</x:f>
        <x:v>1072.9233329878941</x:v>
      </x:c>
      <x:c r="CH23" s="117" t="n">
        <x:f>CG23+CH22</x:f>
        <x:v>1072.9233329878941</x:v>
      </x:c>
      <x:c r="CI23" s="117" t="n">
        <x:f>CH23+CI22</x:f>
        <x:v>1072.9233329878941</x:v>
      </x:c>
      <x:c r="CJ23" s="117" t="n">
        <x:f>CI23+CJ22</x:f>
        <x:v>1072.9233329878941</x:v>
      </x:c>
      <x:c r="CK23" s="117" t="n">
        <x:f>CJ23+CK22</x:f>
        <x:v>1072.9233329878941</x:v>
      </x:c>
      <x:c r="CL23" s="117" t="n">
        <x:f>CK23+CL22</x:f>
        <x:v>1072.9233329878941</x:v>
      </x:c>
      <x:c r="CM23" s="117" t="n">
        <x:f>CL23+CM22</x:f>
        <x:v>1072.9233329878941</x:v>
      </x:c>
      <x:c r="CN23" s="117" t="n">
        <x:f>CM23+CN22</x:f>
        <x:v>1072.9233329878941</x:v>
      </x:c>
      <x:c r="CO23" s="117" t="n">
        <x:f>CN23+CO22</x:f>
        <x:v>1072.9233329878941</x:v>
      </x:c>
      <x:c r="CP23" s="117" t="n">
        <x:f>CO23+CP22</x:f>
        <x:v>1072.9233329878941</x:v>
      </x:c>
      <x:c r="CQ23" s="117" t="n">
        <x:f>CP23+CQ22</x:f>
        <x:v>1072.9233329878941</x:v>
      </x:c>
      <x:c r="CR23" s="117" t="n">
        <x:f>CQ23+CR22</x:f>
        <x:v>1072.9233329878941</x:v>
      </x:c>
      <x:c r="CS23" s="117" t="n">
        <x:f>CR23+CS22</x:f>
        <x:v>1072.9233329878941</x:v>
      </x:c>
      <x:c r="CT23" s="117" t="n">
        <x:f>CS23+CT22</x:f>
        <x:v>1072.9233329878941</x:v>
      </x:c>
      <x:c r="CU23" s="117" t="n">
        <x:f>CT23+CU22</x:f>
        <x:v>1072.9233329878941</x:v>
      </x:c>
      <x:c r="CV23" s="117" t="n">
        <x:f>CU23+CV22</x:f>
        <x:v>1072.9233329878941</x:v>
      </x:c>
      <x:c r="CW23" s="117" t="n">
        <x:f>CV23+CW22</x:f>
        <x:v>1072.9233329878941</x:v>
      </x:c>
      <x:c r="CX23" s="117" t="n">
        <x:f>CW23+CX22</x:f>
        <x:v>1072.9233329878941</x:v>
      </x:c>
      <x:c r="CY23" s="117" t="n">
        <x:f>CX23+CY22</x:f>
        <x:v>1072.9233329878941</x:v>
      </x:c>
      <x:c r="CZ23" s="117" t="n">
        <x:f>CY23+CZ22</x:f>
        <x:v>1072.9233329878941</x:v>
      </x:c>
      <x:c r="DA23" s="117" t="n">
        <x:f>CZ23+DA22</x:f>
        <x:v>1072.9233329878941</x:v>
      </x:c>
      <x:c r="DB23" s="117" t="n">
        <x:f>DA23+DB22</x:f>
        <x:v>1072.9233329878941</x:v>
      </x:c>
      <x:c r="DC23" s="117" t="n">
        <x:f>DB23+DC22</x:f>
        <x:v>1072.9233329878941</x:v>
      </x:c>
      <x:c r="DD23" s="117" t="n">
        <x:f>DC23+DD22</x:f>
        <x:v>1072.9233329878941</x:v>
      </x:c>
      <x:c r="DE23" s="117" t="n">
        <x:f>DD23+DE22</x:f>
        <x:v>1072.9233329878941</x:v>
      </x:c>
      <x:c r="DF23" s="117" t="n">
        <x:f>DE23+DF22</x:f>
        <x:v>1072.9233329878941</x:v>
      </x:c>
      <x:c r="DG23" s="117" t="n">
        <x:f>DF23+DG22</x:f>
        <x:v>1072.9233329878941</x:v>
      </x:c>
      <x:c r="DH23" s="117" t="n">
        <x:f>DG23+DH22</x:f>
        <x:v>1072.9233329878941</x:v>
      </x:c>
      <x:c r="DI23" s="117" t="n">
        <x:f>DH23+DI22</x:f>
        <x:v>1072.9233329878941</x:v>
      </x:c>
      <x:c r="DJ23" s="117" t="n">
        <x:f>DI23+DJ22</x:f>
        <x:v>1072.9233329878941</x:v>
      </x:c>
      <x:c r="DK23" s="117" t="n">
        <x:f>DJ23+DK22</x:f>
        <x:v>1072.9233329878941</x:v>
      </x:c>
      <x:c r="DL23" s="117" t="n">
        <x:f>DK23+DL22</x:f>
        <x:v>1072.9233329878941</x:v>
      </x:c>
      <x:c r="DM23" s="117" t="n">
        <x:f>DL23+DM22</x:f>
        <x:v>1072.9233329878941</x:v>
      </x:c>
      <x:c r="DN23" s="117" t="n">
        <x:f>DM23+DN22</x:f>
        <x:v>1072.9233329878941</x:v>
      </x:c>
      <x:c r="DO23" s="117" t="n">
        <x:f>DN23+DO22</x:f>
        <x:v>1072.9233329878941</x:v>
      </x:c>
      <x:c r="DP23" s="117" t="n">
        <x:f>DO23+DP22</x:f>
        <x:v>1072.9233329878941</x:v>
      </x:c>
      <x:c r="DQ23" s="117" t="n">
        <x:f>DP23+DQ22</x:f>
        <x:v>1072.9233329878941</x:v>
      </x:c>
      <x:c r="DR23" s="117" t="n">
        <x:f>DQ23+DR22</x:f>
        <x:v>1072.9233329878941</x:v>
      </x:c>
      <x:c r="DS23" s="117" t="n">
        <x:f>DR23+DS22</x:f>
        <x:v>1072.9233329878941</x:v>
      </x:c>
    </x:row>
    <x:row r="24">
      <x:c r="A24" t="str">
        <x:v>Налог на прибыль</x:v>
      </x:c>
      <x:c r="B24" t="n">
        <x:f>SUM(D24:DS24)</x:f>
        <x:v>293.93083324697335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20.312502871473257</x:v>
      </x:c>
      <x:c r="AW24" s="117" t="n">
        <x:f>IF(AW$3&gt;=$B$8,MAX(0,MAX(0,AW23)*'Вводные'!$B$21-AV25),0)</x:f>
        <x:v>90.0599318921339</x:v>
      </x:c>
      <x:c r="AX24" s="117" t="n">
        <x:f>IF(AX$3&gt;=$B$8,MAX(0,MAX(0,AX23)*'Вводные'!$B$21-AW25),0)</x:f>
        <x:v>91.20134472658286</x:v>
      </x:c>
      <x:c r="AY24" s="117" t="n">
        <x:f>IF(AY$3&gt;=$B$8,MAX(0,MAX(0,AY23)*'Вводные'!$B$21-AX25),0)</x:f>
        <x:v>92.35705375678333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293.93083324697335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20.312502871473257</x:v>
      </x:c>
      <x:c r="AW25" s="117" t="n">
        <x:f>AV25+AW24</x:f>
        <x:v>110.37243476360716</x:v>
      </x:c>
      <x:c r="AX25" s="117" t="n">
        <x:f>AW25+AX24</x:f>
        <x:v>201.57377949019002</x:v>
      </x:c>
      <x:c r="AY25" s="117" t="n">
        <x:f>AX25+AY24</x:f>
        <x:v>293.93083324697335</x:v>
      </x:c>
      <x:c r="AZ25" s="117" t="n">
        <x:f>AY25+AZ24</x:f>
        <x:v>293.93083324697335</x:v>
      </x:c>
      <x:c r="BA25" s="117" t="n">
        <x:f>AZ25+BA24</x:f>
        <x:v>293.93083324697335</x:v>
      </x:c>
      <x:c r="BB25" s="117" t="n">
        <x:f>BA25+BB24</x:f>
        <x:v>293.93083324697335</x:v>
      </x:c>
      <x:c r="BC25" s="117" t="n">
        <x:f>BB25+BC24</x:f>
        <x:v>293.93083324697335</x:v>
      </x:c>
      <x:c r="BD25" s="117" t="n">
        <x:f>BC25+BD24</x:f>
        <x:v>293.93083324697335</x:v>
      </x:c>
      <x:c r="BE25" s="117" t="n">
        <x:f>BD25+BE24</x:f>
        <x:v>293.93083324697335</x:v>
      </x:c>
      <x:c r="BF25" s="117" t="n">
        <x:f>BE25+BF24</x:f>
        <x:v>293.93083324697335</x:v>
      </x:c>
      <x:c r="BG25" s="117" t="n">
        <x:f>BF25+BG24</x:f>
        <x:v>293.93083324697335</x:v>
      </x:c>
      <x:c r="BH25" s="117" t="n">
        <x:f>BG25+BH24</x:f>
        <x:v>293.93083324697335</x:v>
      </x:c>
      <x:c r="BI25" s="117" t="n">
        <x:f>BH25+BI24</x:f>
        <x:v>293.93083324697335</x:v>
      </x:c>
      <x:c r="BJ25" s="117" t="n">
        <x:f>BI25+BJ24</x:f>
        <x:v>293.93083324697335</x:v>
      </x:c>
      <x:c r="BK25" s="117" t="n">
        <x:f>BJ25+BK24</x:f>
        <x:v>293.93083324697335</x:v>
      </x:c>
      <x:c r="BL25" s="117" t="n">
        <x:f>BK25+BL24</x:f>
        <x:v>293.93083324697335</x:v>
      </x:c>
      <x:c r="BM25" s="117" t="n">
        <x:f>BL25+BM24</x:f>
        <x:v>293.93083324697335</x:v>
      </x:c>
      <x:c r="BN25" s="117" t="n">
        <x:f>BM25+BN24</x:f>
        <x:v>293.93083324697335</x:v>
      </x:c>
      <x:c r="BO25" s="117" t="n">
        <x:f>BN25+BO24</x:f>
        <x:v>293.93083324697335</x:v>
      </x:c>
      <x:c r="BP25" s="117" t="n">
        <x:f>BO25+BP24</x:f>
        <x:v>293.93083324697335</x:v>
      </x:c>
      <x:c r="BQ25" s="117" t="n">
        <x:f>BP25+BQ24</x:f>
        <x:v>293.93083324697335</x:v>
      </x:c>
      <x:c r="BR25" s="117" t="n">
        <x:f>BQ25+BR24</x:f>
        <x:v>293.93083324697335</x:v>
      </x:c>
      <x:c r="BS25" s="117" t="n">
        <x:f>BR25+BS24</x:f>
        <x:v>293.93083324697335</x:v>
      </x:c>
      <x:c r="BT25" s="117" t="n">
        <x:f>BS25+BT24</x:f>
        <x:v>293.93083324697335</x:v>
      </x:c>
      <x:c r="BU25" s="117" t="n">
        <x:f>BT25+BU24</x:f>
        <x:v>293.93083324697335</x:v>
      </x:c>
      <x:c r="BV25" s="117" t="n">
        <x:f>BU25+BV24</x:f>
        <x:v>293.93083324697335</x:v>
      </x:c>
      <x:c r="BW25" s="117" t="n">
        <x:f>BV25+BW24</x:f>
        <x:v>293.93083324697335</x:v>
      </x:c>
      <x:c r="BX25" s="117" t="n">
        <x:f>BW25+BX24</x:f>
        <x:v>293.93083324697335</x:v>
      </x:c>
      <x:c r="BY25" s="117" t="n">
        <x:f>BX25+BY24</x:f>
        <x:v>293.93083324697335</x:v>
      </x:c>
      <x:c r="BZ25" s="117" t="n">
        <x:f>BY25+BZ24</x:f>
        <x:v>293.93083324697335</x:v>
      </x:c>
      <x:c r="CA25" s="117" t="n">
        <x:f>BZ25+CA24</x:f>
        <x:v>293.93083324697335</x:v>
      </x:c>
      <x:c r="CB25" s="117" t="n">
        <x:f>CA25+CB24</x:f>
        <x:v>293.93083324697335</x:v>
      </x:c>
      <x:c r="CC25" s="117" t="n">
        <x:f>CB25+CC24</x:f>
        <x:v>293.93083324697335</x:v>
      </x:c>
      <x:c r="CD25" s="117" t="n">
        <x:f>CC25+CD24</x:f>
        <x:v>293.93083324697335</x:v>
      </x:c>
      <x:c r="CE25" s="117" t="n">
        <x:f>CD25+CE24</x:f>
        <x:v>293.93083324697335</x:v>
      </x:c>
      <x:c r="CF25" s="117" t="n">
        <x:f>CE25+CF24</x:f>
        <x:v>293.93083324697335</x:v>
      </x:c>
      <x:c r="CG25" s="117" t="n">
        <x:f>CF25+CG24</x:f>
        <x:v>293.93083324697335</x:v>
      </x:c>
      <x:c r="CH25" s="117" t="n">
        <x:f>CG25+CH24</x:f>
        <x:v>293.93083324697335</x:v>
      </x:c>
      <x:c r="CI25" s="117" t="n">
        <x:f>CH25+CI24</x:f>
        <x:v>293.93083324697335</x:v>
      </x:c>
      <x:c r="CJ25" s="117" t="n">
        <x:f>CI25+CJ24</x:f>
        <x:v>293.93083324697335</x:v>
      </x:c>
      <x:c r="CK25" s="117" t="n">
        <x:f>CJ25+CK24</x:f>
        <x:v>293.93083324697335</x:v>
      </x:c>
      <x:c r="CL25" s="117" t="n">
        <x:f>CK25+CL24</x:f>
        <x:v>293.93083324697335</x:v>
      </x:c>
      <x:c r="CM25" s="117" t="n">
        <x:f>CL25+CM24</x:f>
        <x:v>293.93083324697335</x:v>
      </x:c>
      <x:c r="CN25" s="117" t="n">
        <x:f>CM25+CN24</x:f>
        <x:v>293.93083324697335</x:v>
      </x:c>
      <x:c r="CO25" s="117" t="n">
        <x:f>CN25+CO24</x:f>
        <x:v>293.93083324697335</x:v>
      </x:c>
      <x:c r="CP25" s="117" t="n">
        <x:f>CO25+CP24</x:f>
        <x:v>293.93083324697335</x:v>
      </x:c>
      <x:c r="CQ25" s="117" t="n">
        <x:f>CP25+CQ24</x:f>
        <x:v>293.93083324697335</x:v>
      </x:c>
      <x:c r="CR25" s="117" t="n">
        <x:f>CQ25+CR24</x:f>
        <x:v>293.93083324697335</x:v>
      </x:c>
      <x:c r="CS25" s="117" t="n">
        <x:f>CR25+CS24</x:f>
        <x:v>293.93083324697335</x:v>
      </x:c>
      <x:c r="CT25" s="117" t="n">
        <x:f>CS25+CT24</x:f>
        <x:v>293.93083324697335</x:v>
      </x:c>
      <x:c r="CU25" s="117" t="n">
        <x:f>CT25+CU24</x:f>
        <x:v>293.93083324697335</x:v>
      </x:c>
      <x:c r="CV25" s="117" t="n">
        <x:f>CU25+CV24</x:f>
        <x:v>293.93083324697335</x:v>
      </x:c>
      <x:c r="CW25" s="117" t="n">
        <x:f>CV25+CW24</x:f>
        <x:v>293.93083324697335</x:v>
      </x:c>
      <x:c r="CX25" s="117" t="n">
        <x:f>CW25+CX24</x:f>
        <x:v>293.93083324697335</x:v>
      </x:c>
      <x:c r="CY25" s="117" t="n">
        <x:f>CX25+CY24</x:f>
        <x:v>293.93083324697335</x:v>
      </x:c>
      <x:c r="CZ25" s="117" t="n">
        <x:f>CY25+CZ24</x:f>
        <x:v>293.93083324697335</x:v>
      </x:c>
      <x:c r="DA25" s="117" t="n">
        <x:f>CZ25+DA24</x:f>
        <x:v>293.93083324697335</x:v>
      </x:c>
      <x:c r="DB25" s="117" t="n">
        <x:f>DA25+DB24</x:f>
        <x:v>293.93083324697335</x:v>
      </x:c>
      <x:c r="DC25" s="117" t="n">
        <x:f>DB25+DC24</x:f>
        <x:v>293.93083324697335</x:v>
      </x:c>
      <x:c r="DD25" s="117" t="n">
        <x:f>DC25+DD24</x:f>
        <x:v>293.93083324697335</x:v>
      </x:c>
      <x:c r="DE25" s="117" t="n">
        <x:f>DD25+DE24</x:f>
        <x:v>293.93083324697335</x:v>
      </x:c>
      <x:c r="DF25" s="117" t="n">
        <x:f>DE25+DF24</x:f>
        <x:v>293.93083324697335</x:v>
      </x:c>
      <x:c r="DG25" s="117" t="n">
        <x:f>DF25+DG24</x:f>
        <x:v>293.93083324697335</x:v>
      </x:c>
      <x:c r="DH25" s="117" t="n">
        <x:f>DG25+DH24</x:f>
        <x:v>293.93083324697335</x:v>
      </x:c>
      <x:c r="DI25" s="117" t="n">
        <x:f>DH25+DI24</x:f>
        <x:v>293.93083324697335</x:v>
      </x:c>
      <x:c r="DJ25" s="117" t="n">
        <x:f>DI25+DJ24</x:f>
        <x:v>293.93083324697335</x:v>
      </x:c>
      <x:c r="DK25" s="117" t="n">
        <x:f>DJ25+DK24</x:f>
        <x:v>293.93083324697335</x:v>
      </x:c>
      <x:c r="DL25" s="117" t="n">
        <x:f>DK25+DL24</x:f>
        <x:v>293.93083324697335</x:v>
      </x:c>
      <x:c r="DM25" s="117" t="n">
        <x:f>DL25+DM24</x:f>
        <x:v>293.93083324697335</x:v>
      </x:c>
      <x:c r="DN25" s="117" t="n">
        <x:f>DM25+DN24</x:f>
        <x:v>293.93083324697335</x:v>
      </x:c>
      <x:c r="DO25" s="117" t="n">
        <x:f>DN25+DO24</x:f>
        <x:v>293.93083324697335</x:v>
      </x:c>
      <x:c r="DP25" s="117" t="n">
        <x:f>DO25+DP24</x:f>
        <x:v>293.93083324697335</x:v>
      </x:c>
      <x:c r="DQ25" s="117" t="n">
        <x:f>DP25+DQ24</x:f>
        <x:v>293.93083324697335</x:v>
      </x:c>
      <x:c r="DR25" s="117" t="n">
        <x:f>DQ25+DR24</x:f>
        <x:v>293.93083324697335</x:v>
      </x:c>
      <x:c r="DS25" s="117" t="n">
        <x:f>DR25+DS24</x:f>
        <x:v>293.93083324697335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12743.009317800295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10840.25273015927</x:v>
      </x:c>
      <x:c r="AU27" s="117" t="n">
        <x:f>SUM(AU14,AU12)</x:f>
        <x:v>324.9746430500558</x:v>
      </x:c>
      <x:c r="AV27" s="117" t="n">
        <x:f>SUM(AV14,AV12)</x:f>
        <x:v>387.1117064167739</x:v>
      </x:c>
      <x:c r="AW27" s="117" t="n">
        <x:f>SUM(AW14,AW12)</x:f>
        <x:v>391.96028053964403</x:v>
      </x:c>
      <x:c r="AX27" s="117" t="n">
        <x:f>SUM(AX14,AX12)</x:f>
        <x:v>396.869583053403</x:v>
      </x:c>
      <x:c r="AY27" s="117" t="n">
        <x:f>SUM(AY14,AY12)</x:f>
        <x:v>401.84037458114693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2169.503298057299</x:v>
      </x:c>
      <x:c r="C28" s="113" t="str">
        <x:v>млн ₽</x:v>
      </x:c>
      <x:c r="D28" s="120" t="n">
        <x:f>D27-D20-D24</x:f>
        <x:v>-707.9807307539683</x:v>
      </x:c>
      <x:c r="E28" s="120" t="n">
        <x:f>E27-E20-E24</x:f>
        <x:v>-7.980730753968252</x:v>
      </x:c>
      <x:c r="F28" s="120" t="n">
        <x:f>F27-F20-F24</x:f>
        <x:v>-7.980730753968252</x:v>
      </x:c>
      <x:c r="G28" s="120" t="n">
        <x:f>G27-G20-G24</x:f>
        <x:v>-7.980730753968252</x:v>
      </x:c>
      <x:c r="H28" s="120" t="n">
        <x:f>H27-H20-H24</x:f>
        <x:v>-7.980730753968252</x:v>
      </x:c>
      <x:c r="I28" s="120" t="n">
        <x:f>I27-I20-I24</x:f>
        <x:v>-7.980730753968252</x:v>
      </x:c>
      <x:c r="J28" s="120" t="n">
        <x:f>J27-J20-J24</x:f>
        <x:v>-7.980730753968252</x:v>
      </x:c>
      <x:c r="K28" s="120" t="n">
        <x:f>K27-K20-K24</x:f>
        <x:v>-7.980730753968252</x:v>
      </x:c>
      <x:c r="L28" s="120" t="n">
        <x:f>L27-L20-L24</x:f>
        <x:v>-7.980730753968252</x:v>
      </x:c>
      <x:c r="M28" s="120" t="n">
        <x:f>M27-M20-M24</x:f>
        <x:v>-7.980730753968252</x:v>
      </x:c>
      <x:c r="N28" s="120" t="n">
        <x:f>N27-N20-N24</x:f>
        <x:v>-7.980730753968252</x:v>
      </x:c>
      <x:c r="O28" s="120" t="n">
        <x:f>O27-O20-O24</x:f>
        <x:v>-7.980730753968252</x:v>
      </x:c>
      <x:c r="P28" s="120" t="n">
        <x:f>P27-P20-P24</x:f>
        <x:v>-33.94773075396826</x:v>
      </x:c>
      <x:c r="Q28" s="120" t="n">
        <x:f>Q27-Q20-Q24</x:f>
        <x:v>-33.94773075396826</x:v>
      </x:c>
      <x:c r="R28" s="120" t="n">
        <x:f>R27-R20-R24</x:f>
        <x:v>-33.94773075396826</x:v>
      </x:c>
      <x:c r="S28" s="120" t="n">
        <x:f>S27-S20-S24</x:f>
        <x:v>-33.94773075396826</x:v>
      </x:c>
      <x:c r="T28" s="120" t="n">
        <x:f>T27-T20-T24</x:f>
        <x:v>-33.94773075396826</x:v>
      </x:c>
      <x:c r="U28" s="120" t="n">
        <x:f>U27-U20-U24</x:f>
        <x:v>-1882.1547307539681</x:v>
      </x:c>
      <x:c r="V28" s="120" t="n">
        <x:f>V27-V20-V24</x:f>
        <x:v>-180.27246442335544</x:v>
      </x:c>
      <x:c r="W28" s="120" t="n">
        <x:f>W27-W20-W24</x:f>
        <x:v>-180.79072625464306</x:v>
      </x:c>
      <x:c r="X28" s="120" t="n">
        <x:f>X27-X20-X24</x:f>
        <x:v>-185.143738289621</x:v>
      </x:c>
      <x:c r="Y28" s="120" t="n">
        <x:f>Y27-Y20-Y24</x:f>
        <x:v>-185.7845126586452</x:v>
      </x:c>
      <x:c r="Z28" s="120" t="n">
        <x:f>Z27-Z20-Z24</x:f>
        <x:v>-339.56891502559137</x:v>
      </x:c>
      <x:c r="AA28" s="120" t="n">
        <x:f>AA27-AA20-AA24</x:f>
        <x:v>-340.24232564958334</x:v>
      </x:c>
      <x:c r="AB28" s="120" t="n">
        <x:f>AB27-AB20-AB24</x:f>
        <x:v>-336.71174337134426</x:v>
      </x:c>
      <x:c r="AC28" s="120" t="n">
        <x:f>AC27-AC20-AC24</x:f>
        <x:v>-341.6403816765188</x:v>
      </x:c>
      <x:c r="AD28" s="120" t="n">
        <x:f>AD27-AD20-AD24</x:f>
        <x:v>-342.36588968678166</x:v>
      </x:c>
      <x:c r="AE28" s="120" t="n">
        <x:f>AE27-AE20-AE24</x:f>
        <x:v>-343.10964422350247</x:v>
      </x:c>
      <x:c r="AF28" s="120" t="n">
        <x:f>AF27-AF20-AF24</x:f>
        <x:v>-339.2102602619895</x:v>
      </x:c>
      <x:c r="AG28" s="120" t="n">
        <x:f>AG27-AG20-AG24</x:f>
        <x:v>-339.8746507186769</x:v>
      </x:c>
      <x:c r="AH28" s="120" t="n">
        <x:f>AH27-AH20-AH24</x:f>
        <x:v>-340.5557505953499</x:v>
      </x:c>
      <x:c r="AI28" s="120" t="n">
        <x:f>AI27-AI20-AI24</x:f>
        <x:v>-341.2539801339213</x:v>
      </x:c>
      <x:c r="AJ28" s="120" t="n">
        <x:f>AJ27-AJ20-AJ24</x:f>
        <x:v>-347.1185864025846</x:v>
      </x:c>
      <x:c r="AK28" s="120" t="n">
        <x:f>AK27-AK20-AK24</x:f>
        <x:v>-347.9818712617079</x:v>
      </x:c>
      <x:c r="AL28" s="120" t="n">
        <x:f>AL27-AL20-AL24</x:f>
        <x:v>-348.8668677350382</x:v>
      </x:c>
      <x:c r="AM28" s="120" t="n">
        <x:f>AM27-AM20-AM24</x:f>
        <x:v>-349.7741218696727</x:v>
      </x:c>
      <x:c r="AN28" s="120" t="n">
        <x:f>AN27-AN20-AN24</x:f>
        <x:v>-345.0175361321152</x:v>
      </x:c>
      <x:c r="AO28" s="120" t="n">
        <x:f>AO27-AO20-AO24</x:f>
        <x:v>-249.57264797369268</x:v>
      </x:c>
      <x:c r="AP28" s="120" t="n">
        <x:f>AP27-AP20-AP24</x:f>
        <x:v>-250.55009044129065</x:v>
      </x:c>
      <x:c r="AQ28" s="120" t="n">
        <x:f>AQ27-AQ20-AQ24</x:f>
        <x:v>-303.48611558694876</x:v>
      </x:c>
      <x:c r="AR28" s="120" t="n">
        <x:f>AR27-AR20-AR24</x:f>
        <x:v>-298.2326608662039</x:v>
      </x:c>
      <x:c r="AS28" s="120" t="n">
        <x:f>AS27-AS20-AS24</x:f>
        <x:v>-299.1277625580485</x:v>
      </x:c>
      <x:c r="AT28" s="120" t="n">
        <x:f>AT27-AT20-AT24</x:f>
        <x:v>10817.785902166377</x:v>
      </x:c>
      <x:c r="AU28" s="120" t="n">
        <x:f>AU27-AU20-AU24</x:f>
        <x:v>302.22641803655193</x:v>
      </x:c>
      <x:c r="AV28" s="120" t="n">
        <x:f>AV27-AV20-AV24</x:f>
        <x:v>339.7013840961265</x:v>
      </x:c>
      <x:c r="AW28" s="120" t="n">
        <x:f>AW27-AW20-AW24</x:f>
        <x:v>274.4631290097351</x:v>
      </x:c>
      <x:c r="AX28" s="120" t="n">
        <x:f>AX27-AX20-AX24</x:f>
        <x:v>277.8873675130819</x:v>
      </x:c>
      <x:c r="AY28" s="120" t="n">
        <x:f>AY27-AY20-AY24</x:f>
        <x:v>281.3544946036833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707.9807307539683</x:v>
      </x:c>
      <x:c r="F30" s="117" t="n">
        <x:f>E36</x:f>
        <x:v>727.6382270325246</x:v>
      </x:c>
      <x:c r="G30" s="117" t="n">
        <x:f>F36</x:f>
        <x:v>747.3030510819349</x:v>
      </x:c>
      <x:c r="H30" s="117" t="n">
        <x:f>G36</x:f>
        <x:v>766.9724318151318</x:v>
      </x:c>
      <x:c r="I30" s="117" t="n">
        <x:f>H36</x:f>
        <x:v>786.643598145048</x:v>
      </x:c>
      <x:c r="J30" s="117" t="n">
        <x:f>I36</x:f>
        <x:v>806.3137789846162</x:v>
      </x:c>
      <x:c r="K30" s="117" t="n">
        <x:f>J36</x:f>
        <x:v>825.980203246769</x:v>
      </x:c>
      <x:c r="L30" s="117" t="n">
        <x:f>K36</x:f>
        <x:v>845.640099844439</x:v>
      </x:c>
      <x:c r="M30" s="117" t="n">
        <x:f>L36</x:f>
        <x:v>865.2906976905589</x:v>
      </x:c>
      <x:c r="N30" s="117" t="n">
        <x:f>M36</x:f>
        <x:v>884.9292256980614</x:v>
      </x:c>
      <x:c r="O30" s="117" t="n">
        <x:f>N36</x:f>
        <x:v>904.5529127798791</x:v>
      </x:c>
      <x:c r="P30" s="117" t="n">
        <x:f>O36</x:f>
        <x:v>924.1589878489447</x:v>
      </x:c>
      <x:c r="Q30" s="117" t="n">
        <x:f>P36</x:f>
        <x:v>969.7116798181906</x:v>
      </x:c>
      <x:c r="R30" s="117" t="n">
        <x:f>Q36</x:f>
        <x:v>1015.6153948574943</x:v>
      </x:c>
      <x:c r="S30" s="117" t="n">
        <x:f>R36</x:f>
        <x:v>1061.8583455603437</x:v>
      </x:c>
      <x:c r="T30" s="117" t="n">
        <x:f>S36</x:f>
        <x:v>1108.4287445202272</x:v>
      </x:c>
      <x:c r="U30" s="117" t="n">
        <x:f>T36</x:f>
        <x:v>1155.3148043306328</x:v>
      </x:c>
      <x:c r="V30" s="117" t="n">
        <x:f>U36</x:f>
        <x:v>3050.711737585049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0.18020833333333336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241.61167567656668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707.9807307539683</x:v>
      </x:c>
      <x:c r="E33" s="117" t="n">
        <x:f>IF(E$3&lt;$B$7,MAX(0,E20+E24+IF('Вводные'!$B$31="Оплата капиталом",E32,0)-E27),0)</x:f>
        <x:v>7.980730753968252</x:v>
      </x:c>
      <x:c r="F33" s="117" t="n">
        <x:f>IF(F$3&lt;$B$7,MAX(0,F20+F24+IF('Вводные'!$B$31="Оплата капиталом",F32,0)-F27),0)</x:f>
        <x:v>7.980730753968252</x:v>
      </x:c>
      <x:c r="G33" s="117" t="n">
        <x:f>IF(G$3&lt;$B$7,MAX(0,G20+G24+IF('Вводные'!$B$31="Оплата капиталом",G32,0)-G27),0)</x:f>
        <x:v>7.980730753968252</x:v>
      </x:c>
      <x:c r="H33" s="117" t="n">
        <x:f>IF(H$3&lt;$B$7,MAX(0,H20+H24+IF('Вводные'!$B$31="Оплата капиталом",H32,0)-H27),0)</x:f>
        <x:v>7.980730753968252</x:v>
      </x:c>
      <x:c r="I33" s="117" t="n">
        <x:f>IF(I$3&lt;$B$7,MAX(0,I20+I24+IF('Вводные'!$B$31="Оплата капиталом",I32,0)-I27),0)</x:f>
        <x:v>7.980730753968252</x:v>
      </x:c>
      <x:c r="J33" s="117" t="n">
        <x:f>IF(J$3&lt;$B$7,MAX(0,J20+J24+IF('Вводные'!$B$31="Оплата капиталом",J32,0)-J27),0)</x:f>
        <x:v>7.980730753968252</x:v>
      </x:c>
      <x:c r="K33" s="117" t="n">
        <x:f>IF(K$3&lt;$B$7,MAX(0,K20+K24+IF('Вводные'!$B$31="Оплата капиталом",K32,0)-K27),0)</x:f>
        <x:v>7.980730753968252</x:v>
      </x:c>
      <x:c r="L33" s="117" t="n">
        <x:f>IF(L$3&lt;$B$7,MAX(0,L20+L24+IF('Вводные'!$B$31="Оплата капиталом",L32,0)-L27),0)</x:f>
        <x:v>7.980730753968252</x:v>
      </x:c>
      <x:c r="M33" s="117" t="n">
        <x:f>IF(M$3&lt;$B$7,MAX(0,M20+M24+IF('Вводные'!$B$31="Оплата капиталом",M32,0)-M27),0)</x:f>
        <x:v>7.980730753968252</x:v>
      </x:c>
      <x:c r="N33" s="117" t="n">
        <x:f>IF(N$3&lt;$B$7,MAX(0,N20+N24+IF('Вводные'!$B$31="Оплата капиталом",N32,0)-N27),0)</x:f>
        <x:v>7.980730753968252</x:v>
      </x:c>
      <x:c r="O33" s="117" t="n">
        <x:f>IF(O$3&lt;$B$7,MAX(0,O20+O24+IF('Вводные'!$B$31="Оплата капиталом",O32,0)-O27),0)</x:f>
        <x:v>7.980730753968252</x:v>
      </x:c>
      <x:c r="P33" s="117" t="n">
        <x:f>IF(P$3&lt;$B$7,MAX(0,P20+P24+IF('Вводные'!$B$31="Оплата капиталом",P32,0)-P27),0)</x:f>
        <x:v>33.94773075396826</x:v>
      </x:c>
      <x:c r="Q33" s="117" t="n">
        <x:f>IF(Q$3&lt;$B$7,MAX(0,Q20+Q24+IF('Вводные'!$B$31="Оплата капиталом",Q32,0)-Q27),0)</x:f>
        <x:v>33.94773075396826</x:v>
      </x:c>
      <x:c r="R33" s="117" t="n">
        <x:f>IF(R$3&lt;$B$7,MAX(0,R20+R24+IF('Вводные'!$B$31="Оплата капиталом",R32,0)-R27),0)</x:f>
        <x:v>33.94773075396826</x:v>
      </x:c>
      <x:c r="S33" s="117" t="n">
        <x:f>IF(S$3&lt;$B$7,MAX(0,S20+S24+IF('Вводные'!$B$31="Оплата капиталом",S32,0)-S27),0)</x:f>
        <x:v>33.94773075396826</x:v>
      </x:c>
      <x:c r="T33" s="117" t="n">
        <x:f>IF(T$3&lt;$B$7,MAX(0,T20+T24+IF('Вводные'!$B$31="Оплата капиталом",T32,0)-T27),0)</x:f>
        <x:v>33.94773075396826</x:v>
      </x:c>
      <x:c r="U33" s="117" t="n">
        <x:f>IF(U$3&lt;$B$7,MAX(0,U20+U24+IF('Вводные'!$B$31="Оплата капиталом",U32,0)-U27),0)</x:f>
        <x:v>1882.1547307539681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2847.6621535714285</x:v>
      </x:c>
      <x:c r="C34" t="str">
        <x:v>млн ₽</x:v>
      </x:c>
      <x:c r="D34" s="117" t="n">
        <x:f>MIN(MAX(0,'Вводные'!$B$24*'Вводные'!$U$88-D30),D33)</x:f>
        <x:v>707.9807307539683</x:v>
      </x:c>
      <x:c r="E34" s="117" t="n">
        <x:f>MIN(MAX(0,'Вводные'!$B$24*'Вводные'!$U$88-E30),E33)</x:f>
        <x:v>7.980730753968252</x:v>
      </x:c>
      <x:c r="F34" s="117" t="n">
        <x:f>MIN(MAX(0,'Вводные'!$B$24*'Вводные'!$U$88-F30),F33)</x:f>
        <x:v>7.980730753968252</x:v>
      </x:c>
      <x:c r="G34" s="117" t="n">
        <x:f>MIN(MAX(0,'Вводные'!$B$24*'Вводные'!$U$88-G30),G33)</x:f>
        <x:v>7.980730753968252</x:v>
      </x:c>
      <x:c r="H34" s="117" t="n">
        <x:f>MIN(MAX(0,'Вводные'!$B$24*'Вводные'!$U$88-H30),H33)</x:f>
        <x:v>7.980730753968252</x:v>
      </x:c>
      <x:c r="I34" s="117" t="n">
        <x:f>MIN(MAX(0,'Вводные'!$B$24*'Вводные'!$U$88-I30),I33)</x:f>
        <x:v>7.980730753968252</x:v>
      </x:c>
      <x:c r="J34" s="117" t="n">
        <x:f>MIN(MAX(0,'Вводные'!$B$24*'Вводные'!$U$88-J30),J33)</x:f>
        <x:v>7.980730753968252</x:v>
      </x:c>
      <x:c r="K34" s="117" t="n">
        <x:f>MIN(MAX(0,'Вводные'!$B$24*'Вводные'!$U$88-K30),K33)</x:f>
        <x:v>7.980730753968252</x:v>
      </x:c>
      <x:c r="L34" s="117" t="n">
        <x:f>MIN(MAX(0,'Вводные'!$B$24*'Вводные'!$U$88-L30),L33)</x:f>
        <x:v>7.980730753968252</x:v>
      </x:c>
      <x:c r="M34" s="117" t="n">
        <x:f>MIN(MAX(0,'Вводные'!$B$24*'Вводные'!$U$88-M30),M33)</x:f>
        <x:v>7.980730753968252</x:v>
      </x:c>
      <x:c r="N34" s="117" t="n">
        <x:f>MIN(MAX(0,'Вводные'!$B$24*'Вводные'!$U$88-N30),N33)</x:f>
        <x:v>7.980730753968252</x:v>
      </x:c>
      <x:c r="O34" s="117" t="n">
        <x:f>MIN(MAX(0,'Вводные'!$B$24*'Вводные'!$U$88-O30),O33)</x:f>
        <x:v>7.980730753968252</x:v>
      </x:c>
      <x:c r="P34" s="117" t="n">
        <x:f>MIN(MAX(0,'Вводные'!$B$24*'Вводные'!$U$88-P30),P33)</x:f>
        <x:v>33.94773075396826</x:v>
      </x:c>
      <x:c r="Q34" s="117" t="n">
        <x:f>MIN(MAX(0,'Вводные'!$B$24*'Вводные'!$U$88-Q30),Q33)</x:f>
        <x:v>33.94773075396826</x:v>
      </x:c>
      <x:c r="R34" s="117" t="n">
        <x:f>MIN(MAX(0,'Вводные'!$B$24*'Вводные'!$U$88-R30),R33)</x:f>
        <x:v>33.94773075396826</x:v>
      </x:c>
      <x:c r="S34" s="117" t="n">
        <x:f>MIN(MAX(0,'Вводные'!$B$24*'Вводные'!$U$88-S30),S33)</x:f>
        <x:v>33.94773075396826</x:v>
      </x:c>
      <x:c r="T34" s="117" t="n">
        <x:f>MIN(MAX(0,'Вводные'!$B$24*'Вводные'!$U$88-T30),T33)</x:f>
        <x:v>33.94773075396826</x:v>
      </x:c>
      <x:c r="U34" s="117" t="n">
        <x:f>MIN(MAX(0,'Вводные'!$B$24*'Вводные'!$U$88-U30),U33)</x:f>
        <x:v>1882.1547307539681</x:v>
      </x:c>
      <x:c r="V34" s="117" t="n">
        <x:f>MIN(MAX(0,'Вводные'!$B$24*'Вводные'!$U$88-V30),V33)</x:f>
        <x:v>0</x:v>
      </x:c>
      <x:c r="W34" s="117" t="n">
        <x:f>MIN(MAX(0,'Вводные'!$B$24*'Вводные'!$U$88-W30),W33)</x:f>
        <x:v>0</x:v>
      </x:c>
      <x:c r="X34" s="117" t="n">
        <x:f>MIN(MAX(0,'Вводные'!$B$24*'Вводные'!$U$88-X30),X33)</x:f>
        <x:v>0</x:v>
      </x:c>
      <x:c r="Y34" s="117" t="n">
        <x:f>MIN(MAX(0,'Вводные'!$B$24*'Вводные'!$U$88-Y30),Y33)</x:f>
        <x:v>0</x:v>
      </x:c>
      <x:c r="Z34" s="117" t="n">
        <x:f>MIN(MAX(0,'Вводные'!$B$24*'Вводные'!$U$88-Z30),Z33)</x:f>
        <x:v>0</x:v>
      </x:c>
      <x:c r="AA34" s="117" t="n">
        <x:f>MIN(MAX(0,'Вводные'!$B$24*'Вводные'!$U$88-AA30),AA33)</x:f>
        <x:v>0</x:v>
      </x:c>
      <x:c r="AB34" s="117" t="n">
        <x:f>MIN(MAX(0,'Вводные'!$B$24*'Вводные'!$U$88-AB30),AB33)</x:f>
        <x:v>0</x:v>
      </x:c>
      <x:c r="AC34" s="117" t="n">
        <x:f>MIN(MAX(0,'Вводные'!$B$24*'Вводные'!$U$88-AC30),AC33)</x:f>
        <x:v>0</x:v>
      </x:c>
      <x:c r="AD34" s="117" t="n">
        <x:f>MIN(MAX(0,'Вводные'!$B$24*'Вводные'!$U$88-AD30),AD33)</x:f>
        <x:v>0</x:v>
      </x:c>
      <x:c r="AE34" s="117" t="n">
        <x:f>MIN(MAX(0,'Вводные'!$B$24*'Вводные'!$U$88-AE30),AE33)</x:f>
        <x:v>0</x:v>
      </x:c>
      <x:c r="AF34" s="117" t="n">
        <x:f>MIN(MAX(0,'Вводные'!$B$24*'Вводные'!$U$88-AF30),AF33)</x:f>
        <x:v>0</x:v>
      </x:c>
      <x:c r="AG34" s="117" t="n">
        <x:f>MIN(MAX(0,'Вводные'!$B$24*'Вводные'!$U$88-AG30),AG33)</x:f>
        <x:v>0</x:v>
      </x:c>
      <x:c r="AH34" s="117" t="n">
        <x:f>MIN(MAX(0,'Вводные'!$B$24*'Вводные'!$U$88-AH30),AH33)</x:f>
        <x:v>0</x:v>
      </x:c>
      <x:c r="AI34" s="117" t="n">
        <x:f>MIN(MAX(0,'Вводные'!$B$24*'Вводные'!$U$88-AI30),AI33)</x:f>
        <x:v>0</x:v>
      </x:c>
      <x:c r="AJ34" s="117" t="n">
        <x:f>MIN(MAX(0,'Вводные'!$B$24*'Вводные'!$U$88-AJ30),AJ33)</x:f>
        <x:v>0</x:v>
      </x:c>
      <x:c r="AK34" s="117" t="n">
        <x:f>MIN(MAX(0,'Вводные'!$B$24*'Вводные'!$U$88-AK30),AK33)</x:f>
        <x:v>0</x:v>
      </x:c>
      <x:c r="AL34" s="117" t="n">
        <x:f>MIN(MAX(0,'Вводные'!$B$24*'Вводные'!$U$88-AL30),AL33)</x:f>
        <x:v>0</x:v>
      </x:c>
      <x:c r="AM34" s="117" t="n">
        <x:f>MIN(MAX(0,'Вводные'!$B$24*'Вводные'!$U$88-AM30),AM33)</x:f>
        <x:v>0</x:v>
      </x:c>
      <x:c r="AN34" s="117" t="n">
        <x:f>MIN(MAX(0,'Вводные'!$B$24*'Вводные'!$U$88-AN30),AN33)</x:f>
        <x:v>0</x:v>
      </x:c>
      <x:c r="AO34" s="117" t="n">
        <x:f>MIN(MAX(0,'Вводные'!$B$24*'Вводные'!$U$88-AO30),AO33)</x:f>
        <x:v>0</x:v>
      </x:c>
      <x:c r="AP34" s="117" t="n">
        <x:f>MIN(MAX(0,'Вводные'!$B$24*'Вводные'!$U$88-AP30),AP33)</x:f>
        <x:v>0</x:v>
      </x:c>
      <x:c r="AQ34" s="117" t="n">
        <x:f>MIN(MAX(0,'Вводные'!$B$24*'Вводные'!$U$88-AQ30),AQ33)</x:f>
        <x:v>0</x:v>
      </x:c>
      <x:c r="AR34" s="117" t="n">
        <x:f>MIN(MAX(0,'Вводные'!$B$24*'Вводные'!$U$88-AR30),AR33)</x:f>
        <x:v>0</x:v>
      </x:c>
      <x:c r="AS34" s="117" t="n">
        <x:f>MIN(MAX(0,'Вводные'!$B$24*'Вводные'!$U$88-AS30),AS33)</x:f>
        <x:v>0</x:v>
      </x:c>
      <x:c r="AT34" s="117" t="n">
        <x:f>MIN(MAX(0,'Вводные'!$B$24*'Вводные'!$U$88-AT30),AT33)</x:f>
        <x:v>0</x:v>
      </x:c>
      <x:c r="AU34" s="117" t="n">
        <x:f>MIN(MAX(0,'Вводные'!$B$24*'Вводные'!$U$88-AU30),AU33)</x:f>
        <x:v>0</x:v>
      </x:c>
      <x:c r="AV34" s="117" t="n">
        <x:f>MIN(MAX(0,'Вводные'!$B$24*'Вводные'!$U$88-AV30),AV33)</x:f>
        <x:v>0</x:v>
      </x:c>
      <x:c r="AW34" s="117" t="n">
        <x:f>MIN(MAX(0,'Вводные'!$B$24*'Вводные'!$U$88-AW30),AW33)</x:f>
        <x:v>0</x:v>
      </x:c>
      <x:c r="AX34" s="117" t="n">
        <x:f>MIN(MAX(0,'Вводные'!$B$24*'Вводные'!$U$88-AX30),AX33)</x:f>
        <x:v>0</x:v>
      </x:c>
      <x:c r="AY34" s="117" t="n">
        <x:f>MIN(MAX(0,'Вводные'!$B$24*'Вводные'!$U$88-AY30),AY33)</x:f>
        <x:v>0</x:v>
      </x:c>
      <x:c r="AZ34" s="117" t="n">
        <x:f>MIN(MAX(0,'Вводные'!$B$24*'Вводные'!$U$88-AZ30),AZ33)</x:f>
        <x:v>0</x:v>
      </x:c>
      <x:c r="BA34" s="117" t="n">
        <x:f>MIN(MAX(0,'Вводные'!$B$24*'Вводные'!$U$88-BA30),BA33)</x:f>
        <x:v>0</x:v>
      </x:c>
      <x:c r="BB34" s="117" t="n">
        <x:f>MIN(MAX(0,'Вводные'!$B$24*'Вводные'!$U$88-BB30),BB33)</x:f>
        <x:v>0</x:v>
      </x:c>
      <x:c r="BC34" s="117" t="n">
        <x:f>MIN(MAX(0,'Вводные'!$B$24*'Вводные'!$U$88-BC30),BC33)</x:f>
        <x:v>0</x:v>
      </x:c>
      <x:c r="BD34" s="117" t="n">
        <x:f>MIN(MAX(0,'Вводные'!$B$24*'Вводные'!$U$88-BD30),BD33)</x:f>
        <x:v>0</x:v>
      </x:c>
      <x:c r="BE34" s="117" t="n">
        <x:f>MIN(MAX(0,'Вводные'!$B$24*'Вводные'!$U$88-BE30),BE33)</x:f>
        <x:v>0</x:v>
      </x:c>
      <x:c r="BF34" s="117" t="n">
        <x:f>MIN(MAX(0,'Вводные'!$B$24*'Вводные'!$U$88-BF30),BF33)</x:f>
        <x:v>0</x:v>
      </x:c>
      <x:c r="BG34" s="117" t="n">
        <x:f>MIN(MAX(0,'Вводные'!$B$24*'Вводные'!$U$88-BG30),BG33)</x:f>
        <x:v>0</x:v>
      </x:c>
      <x:c r="BH34" s="117" t="n">
        <x:f>MIN(MAX(0,'Вводные'!$B$24*'Вводные'!$U$88-BH30),BH33)</x:f>
        <x:v>0</x:v>
      </x:c>
      <x:c r="BI34" s="117" t="n">
        <x:f>MIN(MAX(0,'Вводные'!$B$24*'Вводные'!$U$88-BI30),BI33)</x:f>
        <x:v>0</x:v>
      </x:c>
      <x:c r="BJ34" s="117" t="n">
        <x:f>MIN(MAX(0,'Вводные'!$B$24*'Вводные'!$U$88-BJ30),BJ33)</x:f>
        <x:v>0</x:v>
      </x:c>
      <x:c r="BK34" s="117" t="n">
        <x:f>MIN(MAX(0,'Вводные'!$B$24*'Вводные'!$U$88-BK30),BK33)</x:f>
        <x:v>0</x:v>
      </x:c>
      <x:c r="BL34" s="117" t="n">
        <x:f>MIN(MAX(0,'Вводные'!$B$24*'Вводные'!$U$88-BL30),BL33)</x:f>
        <x:v>0</x:v>
      </x:c>
      <x:c r="BM34" s="117" t="n">
        <x:f>MIN(MAX(0,'Вводные'!$B$24*'Вводные'!$U$88-BM30),BM33)</x:f>
        <x:v>0</x:v>
      </x:c>
      <x:c r="BN34" s="117" t="n">
        <x:f>MIN(MAX(0,'Вводные'!$B$24*'Вводные'!$U$88-BN30),BN33)</x:f>
        <x:v>0</x:v>
      </x:c>
      <x:c r="BO34" s="117" t="n">
        <x:f>MIN(MAX(0,'Вводные'!$B$24*'Вводные'!$U$88-BO30),BO33)</x:f>
        <x:v>0</x:v>
      </x:c>
      <x:c r="BP34" s="117" t="n">
        <x:f>MIN(MAX(0,'Вводные'!$B$24*'Вводные'!$U$88-BP30),BP33)</x:f>
        <x:v>0</x:v>
      </x:c>
      <x:c r="BQ34" s="117" t="n">
        <x:f>MIN(MAX(0,'Вводные'!$B$24*'Вводные'!$U$88-BQ30),BQ33)</x:f>
        <x:v>0</x:v>
      </x:c>
      <x:c r="BR34" s="117" t="n">
        <x:f>MIN(MAX(0,'Вводные'!$B$24*'Вводные'!$U$88-BR30),BR33)</x:f>
        <x:v>0</x:v>
      </x:c>
      <x:c r="BS34" s="117" t="n">
        <x:f>MIN(MAX(0,'Вводные'!$B$24*'Вводные'!$U$88-BS30),BS33)</x:f>
        <x:v>0</x:v>
      </x:c>
      <x:c r="BT34" s="117" t="n">
        <x:f>MIN(MAX(0,'Вводные'!$B$24*'Вводные'!$U$88-BT30),BT33)</x:f>
        <x:v>0</x:v>
      </x:c>
      <x:c r="BU34" s="117" t="n">
        <x:f>MIN(MAX(0,'Вводные'!$B$24*'Вводные'!$U$88-BU30),BU33)</x:f>
        <x:v>0</x:v>
      </x:c>
      <x:c r="BV34" s="117" t="n">
        <x:f>MIN(MAX(0,'Вводные'!$B$24*'Вводные'!$U$88-BV30),BV33)</x:f>
        <x:v>0</x:v>
      </x:c>
      <x:c r="BW34" s="117" t="n">
        <x:f>MIN(MAX(0,'Вводные'!$B$24*'Вводные'!$U$88-BW30),BW33)</x:f>
        <x:v>0</x:v>
      </x:c>
      <x:c r="BX34" s="117" t="n">
        <x:f>MIN(MAX(0,'Вводные'!$B$24*'Вводные'!$U$88-BX30),BX33)</x:f>
        <x:v>0</x:v>
      </x:c>
      <x:c r="BY34" s="117" t="n">
        <x:f>MIN(MAX(0,'Вводные'!$B$24*'Вводные'!$U$88-BY30),BY33)</x:f>
        <x:v>0</x:v>
      </x:c>
      <x:c r="BZ34" s="117" t="n">
        <x:f>MIN(MAX(0,'Вводные'!$B$24*'Вводные'!$U$88-BZ30),BZ33)</x:f>
        <x:v>0</x:v>
      </x:c>
      <x:c r="CA34" s="117" t="n">
        <x:f>MIN(MAX(0,'Вводные'!$B$24*'Вводные'!$U$88-CA30),CA33)</x:f>
        <x:v>0</x:v>
      </x:c>
      <x:c r="CB34" s="117" t="n">
        <x:f>MIN(MAX(0,'Вводные'!$B$24*'Вводные'!$U$88-CB30),CB33)</x:f>
        <x:v>0</x:v>
      </x:c>
      <x:c r="CC34" s="117" t="n">
        <x:f>MIN(MAX(0,'Вводные'!$B$24*'Вводные'!$U$88-CC30),CC33)</x:f>
        <x:v>0</x:v>
      </x:c>
      <x:c r="CD34" s="117" t="n">
        <x:f>MIN(MAX(0,'Вводные'!$B$24*'Вводные'!$U$88-CD30),CD33)</x:f>
        <x:v>0</x:v>
      </x:c>
      <x:c r="CE34" s="117" t="n">
        <x:f>MIN(MAX(0,'Вводные'!$B$24*'Вводные'!$U$88-CE30),CE33)</x:f>
        <x:v>0</x:v>
      </x:c>
      <x:c r="CF34" s="117" t="n">
        <x:f>MIN(MAX(0,'Вводные'!$B$24*'Вводные'!$U$88-CF30),CF33)</x:f>
        <x:v>0</x:v>
      </x:c>
      <x:c r="CG34" s="117" t="n">
        <x:f>MIN(MAX(0,'Вводные'!$B$24*'Вводные'!$U$88-CG30),CG33)</x:f>
        <x:v>0</x:v>
      </x:c>
      <x:c r="CH34" s="117" t="n">
        <x:f>MIN(MAX(0,'Вводные'!$B$24*'Вводные'!$U$88-CH30),CH33)</x:f>
        <x:v>0</x:v>
      </x:c>
      <x:c r="CI34" s="117" t="n">
        <x:f>MIN(MAX(0,'Вводные'!$B$24*'Вводные'!$U$88-CI30),CI33)</x:f>
        <x:v>0</x:v>
      </x:c>
      <x:c r="CJ34" s="117" t="n">
        <x:f>MIN(MAX(0,'Вводные'!$B$24*'Вводные'!$U$88-CJ30),CJ33)</x:f>
        <x:v>0</x:v>
      </x:c>
      <x:c r="CK34" s="117" t="n">
        <x:f>MIN(MAX(0,'Вводные'!$B$24*'Вводные'!$U$88-CK30),CK33)</x:f>
        <x:v>0</x:v>
      </x:c>
      <x:c r="CL34" s="117" t="n">
        <x:f>MIN(MAX(0,'Вводные'!$B$24*'Вводные'!$U$88-CL30),CL33)</x:f>
        <x:v>0</x:v>
      </x:c>
      <x:c r="CM34" s="117" t="n">
        <x:f>MIN(MAX(0,'Вводные'!$B$24*'Вводные'!$U$88-CM30),CM33)</x:f>
        <x:v>0</x:v>
      </x:c>
      <x:c r="CN34" s="117" t="n">
        <x:f>MIN(MAX(0,'Вводные'!$B$24*'Вводные'!$U$88-CN30),CN33)</x:f>
        <x:v>0</x:v>
      </x:c>
      <x:c r="CO34" s="117" t="n">
        <x:f>MIN(MAX(0,'Вводные'!$B$24*'Вводные'!$U$88-CO30),CO33)</x:f>
        <x:v>0</x:v>
      </x:c>
      <x:c r="CP34" s="117" t="n">
        <x:f>MIN(MAX(0,'Вводные'!$B$24*'Вводные'!$U$88-CP30),CP33)</x:f>
        <x:v>0</x:v>
      </x:c>
      <x:c r="CQ34" s="117" t="n">
        <x:f>MIN(MAX(0,'Вводные'!$B$24*'Вводные'!$U$88-CQ30),CQ33)</x:f>
        <x:v>0</x:v>
      </x:c>
      <x:c r="CR34" s="117" t="n">
        <x:f>MIN(MAX(0,'Вводные'!$B$24*'Вводные'!$U$88-CR30),CR33)</x:f>
        <x:v>0</x:v>
      </x:c>
      <x:c r="CS34" s="117" t="n">
        <x:f>MIN(MAX(0,'Вводные'!$B$24*'Вводные'!$U$88-CS30),CS33)</x:f>
        <x:v>0</x:v>
      </x:c>
      <x:c r="CT34" s="117" t="n">
        <x:f>MIN(MAX(0,'Вводные'!$B$24*'Вводные'!$U$88-CT30),CT33)</x:f>
        <x:v>0</x:v>
      </x:c>
      <x:c r="CU34" s="117" t="n">
        <x:f>MIN(MAX(0,'Вводные'!$B$24*'Вводные'!$U$88-CU30),CU33)</x:f>
        <x:v>0</x:v>
      </x:c>
      <x:c r="CV34" s="117" t="n">
        <x:f>MIN(MAX(0,'Вводные'!$B$24*'Вводные'!$U$88-CV30),CV33)</x:f>
        <x:v>0</x:v>
      </x:c>
      <x:c r="CW34" s="117" t="n">
        <x:f>MIN(MAX(0,'Вводные'!$B$24*'Вводные'!$U$88-CW30),CW33)</x:f>
        <x:v>0</x:v>
      </x:c>
      <x:c r="CX34" s="117" t="n">
        <x:f>MIN(MAX(0,'Вводные'!$B$24*'Вводные'!$U$88-CX30),CX33)</x:f>
        <x:v>0</x:v>
      </x:c>
      <x:c r="CY34" s="117" t="n">
        <x:f>MIN(MAX(0,'Вводные'!$B$24*'Вводные'!$U$88-CY30),CY33)</x:f>
        <x:v>0</x:v>
      </x:c>
      <x:c r="CZ34" s="117" t="n">
        <x:f>MIN(MAX(0,'Вводные'!$B$24*'Вводные'!$U$88-CZ30),CZ33)</x:f>
        <x:v>0</x:v>
      </x:c>
      <x:c r="DA34" s="117" t="n">
        <x:f>MIN(MAX(0,'Вводные'!$B$24*'Вводные'!$U$88-DA30),DA33)</x:f>
        <x:v>0</x:v>
      </x:c>
      <x:c r="DB34" s="117" t="n">
        <x:f>MIN(MAX(0,'Вводные'!$B$24*'Вводные'!$U$88-DB30),DB33)</x:f>
        <x:v>0</x:v>
      </x:c>
      <x:c r="DC34" s="117" t="n">
        <x:f>MIN(MAX(0,'Вводные'!$B$24*'Вводные'!$U$88-DC30),DC33)</x:f>
        <x:v>0</x:v>
      </x:c>
      <x:c r="DD34" s="117" t="n">
        <x:f>MIN(MAX(0,'Вводные'!$B$24*'Вводные'!$U$88-DD30),DD33)</x:f>
        <x:v>0</x:v>
      </x:c>
      <x:c r="DE34" s="117" t="n">
        <x:f>MIN(MAX(0,'Вводные'!$B$24*'Вводные'!$U$88-DE30),DE33)</x:f>
        <x:v>0</x:v>
      </x:c>
      <x:c r="DF34" s="117" t="n">
        <x:f>MIN(MAX(0,'Вводные'!$B$24*'Вводные'!$U$88-DF30),DF33)</x:f>
        <x:v>0</x:v>
      </x:c>
      <x:c r="DG34" s="117" t="n">
        <x:f>MIN(MAX(0,'Вводные'!$B$24*'Вводные'!$U$88-DG30),DG33)</x:f>
        <x:v>0</x:v>
      </x:c>
      <x:c r="DH34" s="117" t="n">
        <x:f>MIN(MAX(0,'Вводные'!$B$24*'Вводные'!$U$88-DH30),DH33)</x:f>
        <x:v>0</x:v>
      </x:c>
      <x:c r="DI34" s="117" t="n">
        <x:f>MIN(MAX(0,'Вводные'!$B$24*'Вводные'!$U$88-DI30),DI33)</x:f>
        <x:v>0</x:v>
      </x:c>
      <x:c r="DJ34" s="117" t="n">
        <x:f>MIN(MAX(0,'Вводные'!$B$24*'Вводные'!$U$88-DJ30),DJ33)</x:f>
        <x:v>0</x:v>
      </x:c>
      <x:c r="DK34" s="117" t="n">
        <x:f>MIN(MAX(0,'Вводные'!$B$24*'Вводные'!$U$88-DK30),DK33)</x:f>
        <x:v>0</x:v>
      </x:c>
      <x:c r="DL34" s="117" t="n">
        <x:f>MIN(MAX(0,'Вводные'!$B$24*'Вводные'!$U$88-DL30),DL33)</x:f>
        <x:v>0</x:v>
      </x:c>
      <x:c r="DM34" s="117" t="n">
        <x:f>MIN(MAX(0,'Вводные'!$B$24*'Вводные'!$U$88-DM30),DM33)</x:f>
        <x:v>0</x:v>
      </x:c>
      <x:c r="DN34" s="117" t="n">
        <x:f>MIN(MAX(0,'Вводные'!$B$24*'Вводные'!$U$88-DN30),DN33)</x:f>
        <x:v>0</x:v>
      </x:c>
      <x:c r="DO34" s="117" t="n">
        <x:f>MIN(MAX(0,'Вводные'!$B$24*'Вводные'!$U$88-DO30),DO33)</x:f>
        <x:v>0</x:v>
      </x:c>
      <x:c r="DP34" s="117" t="n">
        <x:f>MIN(MAX(0,'Вводные'!$B$24*'Вводные'!$U$88-DP30),DP33)</x:f>
        <x:v>0</x:v>
      </x:c>
      <x:c r="DQ34" s="117" t="n">
        <x:f>MIN(MAX(0,'Вводные'!$B$24*'Вводные'!$U$88-DQ30),DQ33)</x:f>
        <x:v>0</x:v>
      </x:c>
      <x:c r="DR34" s="117" t="n">
        <x:f>MIN(MAX(0,'Вводные'!$B$24*'Вводные'!$U$88-DR30),DR33)</x:f>
        <x:v>0</x:v>
      </x:c>
      <x:c r="DS34" s="117" t="n">
        <x:f>MIN(MAX(0,'Вводные'!$B$24*'Вводные'!$U$88-DS30),DS33)</x:f>
        <x:v>0</x:v>
      </x:c>
    </x:row>
    <x:row r="35">
      <x:c r="A35" t="str">
        <x:v>БРИДЖ — погашение</x:v>
      </x:c>
      <x:c r="B35" t="n">
        <x:f>SUM(D35:DS35)</x:f>
        <x:v>3089.2738292479953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3089.2738292479953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707.9807307539683</x:v>
      </x:c>
      <x:c r="E36" s="120" t="n">
        <x:f>MAX(0,E30+E34+IF('Вводные'!$B$31="Капитализация в ПФ",E32,0)-E35)</x:f>
        <x:v>727.6382270325246</x:v>
      </x:c>
      <x:c r="F36" s="120" t="n">
        <x:f>MAX(0,F30+F34+IF('Вводные'!$B$31="Капитализация в ПФ",F32,0)-F35)</x:f>
        <x:v>747.3030510819349</x:v>
      </x:c>
      <x:c r="G36" s="120" t="n">
        <x:f>MAX(0,G30+G34+IF('Вводные'!$B$31="Капитализация в ПФ",G32,0)-G35)</x:f>
        <x:v>766.9724318151318</x:v>
      </x:c>
      <x:c r="H36" s="120" t="n">
        <x:f>MAX(0,H30+H34+IF('Вводные'!$B$31="Капитализация в ПФ",H32,0)-H35)</x:f>
        <x:v>786.643598145048</x:v>
      </x:c>
      <x:c r="I36" s="120" t="n">
        <x:f>MAX(0,I30+I34+IF('Вводные'!$B$31="Капитализация в ПФ",I32,0)-I35)</x:f>
        <x:v>806.3137789846162</x:v>
      </x:c>
      <x:c r="J36" s="120" t="n">
        <x:f>MAX(0,J30+J34+IF('Вводные'!$B$31="Капитализация в ПФ",J32,0)-J35)</x:f>
        <x:v>825.980203246769</x:v>
      </x:c>
      <x:c r="K36" s="120" t="n">
        <x:f>MAX(0,K30+K34+IF('Вводные'!$B$31="Капитализация в ПФ",K32,0)-K35)</x:f>
        <x:v>845.640099844439</x:v>
      </x:c>
      <x:c r="L36" s="120" t="n">
        <x:f>MAX(0,L30+L34+IF('Вводные'!$B$31="Капитализация в ПФ",L32,0)-L35)</x:f>
        <x:v>865.2906976905589</x:v>
      </x:c>
      <x:c r="M36" s="120" t="n">
        <x:f>MAX(0,M30+M34+IF('Вводные'!$B$31="Капитализация в ПФ",M32,0)-M35)</x:f>
        <x:v>884.9292256980614</x:v>
      </x:c>
      <x:c r="N36" s="120" t="n">
        <x:f>MAX(0,N30+N34+IF('Вводные'!$B$31="Капитализация в ПФ",N32,0)-N35)</x:f>
        <x:v>904.5529127798791</x:v>
      </x:c>
      <x:c r="O36" s="120" t="n">
        <x:f>MAX(0,O30+O34+IF('Вводные'!$B$31="Капитализация в ПФ",O32,0)-O35)</x:f>
        <x:v>924.1589878489447</x:v>
      </x:c>
      <x:c r="P36" s="120" t="n">
        <x:f>MAX(0,P30+P34+IF('Вводные'!$B$31="Капитализация в ПФ",P32,0)-P35)</x:f>
        <x:v>969.7116798181906</x:v>
      </x:c>
      <x:c r="Q36" s="120" t="n">
        <x:f>MAX(0,Q30+Q34+IF('Вводные'!$B$31="Капитализация в ПФ",Q32,0)-Q35)</x:f>
        <x:v>1015.6153948574943</x:v>
      </x:c>
      <x:c r="R36" s="120" t="n">
        <x:f>MAX(0,R30+R34+IF('Вводные'!$B$31="Капитализация в ПФ",R32,0)-R35)</x:f>
        <x:v>1061.8583455603437</x:v>
      </x:c>
      <x:c r="S36" s="120" t="n">
        <x:f>MAX(0,S30+S34+IF('Вводные'!$B$31="Капитализация в ПФ",S32,0)-S35)</x:f>
        <x:v>1108.4287445202272</x:v>
      </x:c>
      <x:c r="T36" s="120" t="n">
        <x:f>MAX(0,T30+T34+IF('Вводные'!$B$31="Капитализация в ПФ",T32,0)-T35)</x:f>
        <x:v>1155.3148043306328</x:v>
      </x:c>
      <x:c r="U36" s="120" t="n">
        <x:f>MAX(0,U30+U34+IF('Вводные'!$B$31="Капитализация в ПФ",U32,0)-U35)</x:f>
        <x:v>3050.711737585049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3269.5462936713507</x:v>
      </x:c>
      <x:c r="X38" s="117" t="n">
        <x:f>W47</x:f>
        <x:v>3450.337019925994</x:v>
      </x:c>
      <x:c r="Y38" s="117" t="n">
        <x:f>X47</x:f>
        <x:v>3635.480758215615</x:v>
      </x:c>
      <x:c r="Z38" s="117" t="n">
        <x:f>Y47</x:f>
        <x:v>3821.2652708742603</x:v>
      </x:c>
      <x:c r="AA38" s="117" t="n">
        <x:f>Z47</x:f>
        <x:v>4160.834185899852</x:v>
      </x:c>
      <x:c r="AB38" s="117" t="n">
        <x:f>AA47</x:f>
        <x:v>4501.076511549435</x:v>
      </x:c>
      <x:c r="AC38" s="117" t="n">
        <x:f>AB47</x:f>
        <x:v>4837.788254920779</x:v>
      </x:c>
      <x:c r="AD38" s="117" t="n">
        <x:f>AC47</x:f>
        <x:v>5179.428636597298</x:v>
      </x:c>
      <x:c r="AE38" s="117" t="n">
        <x:f>AD47</x:f>
        <x:v>5521.794526284079</x:v>
      </x:c>
      <x:c r="AF38" s="117" t="n">
        <x:f>AE47</x:f>
        <x:v>5864.9041705075815</x:v>
      </x:c>
      <x:c r="AG38" s="117" t="n">
        <x:f>AF47</x:f>
        <x:v>6204.114430769571</x:v>
      </x:c>
      <x:c r="AH38" s="117" t="n">
        <x:f>AG47</x:f>
        <x:v>6543.989081488248</x:v>
      </x:c>
      <x:c r="AI38" s="117" t="n">
        <x:f>AH47</x:f>
        <x:v>6884.5448320835985</x:v>
      </x:c>
      <x:c r="AJ38" s="117" t="n">
        <x:f>AI47</x:f>
        <x:v>7225.79881221752</x:v>
      </x:c>
      <x:c r="AK38" s="117" t="n">
        <x:f>AJ47</x:f>
        <x:v>7572.917398620105</x:v>
      </x:c>
      <x:c r="AL38" s="117" t="n">
        <x:f>AK47</x:f>
        <x:v>7920.899269881813</x:v>
      </x:c>
      <x:c r="AM38" s="117" t="n">
        <x:f>AL47</x:f>
        <x:v>8269.76613761685</x:v>
      </x:c>
      <x:c r="AN38" s="117" t="n">
        <x:f>AM47</x:f>
        <x:v>8619.540259486523</x:v>
      </x:c>
      <x:c r="AO38" s="117" t="n">
        <x:f>AN47</x:f>
        <x:v>8964.557795618637</x:v>
      </x:c>
      <x:c r="AP38" s="117" t="n">
        <x:f>AO47</x:f>
        <x:v>9214.13044359233</x:v>
      </x:c>
      <x:c r="AQ38" s="117" t="n">
        <x:f>AP47</x:f>
        <x:v>9464.680534033621</x:v>
      </x:c>
      <x:c r="AR38" s="117" t="n">
        <x:f>AQ47</x:f>
        <x:v>9768.16664962057</x:v>
      </x:c>
      <x:c r="AS38" s="117" t="n">
        <x:f>AR47</x:f>
        <x:v>10066.399310486775</x:v>
      </x:c>
      <x:c r="AT38" s="117" t="n">
        <x:f>AS47</x:f>
        <x:v>10280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0.07467094922821023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0.045</x:v>
      </x:c>
      <x:c r="W41" s="121" t="n">
        <x:f>W39*(1-MIN(1,W40))+'Вводные'!$B$28*MIN(1,W40)</x:f>
        <x:v>0.1271066515804043</x:v>
      </x:c>
      <x:c r="X41" s="121" t="n">
        <x:f>X39*(1-MIN(1,X40))+'Вводные'!$B$28*MIN(1,X40)</x:f>
        <x:v>0.11596960257647704</x:v>
      </x:c>
      <x:c r="Y41" s="121" t="n">
        <x:f>Y39*(1-MIN(1,Y40))+'Вводные'!$B$28*MIN(1,Y40)</x:f>
        <x:v>0.10595143459391854</x:v>
      </x:c>
      <x:c r="Z41" s="121" t="n">
        <x:f>Z39*(1-MIN(1,Z40))+'Вводные'!$B$28*MIN(1,Z40)</x:f>
        <x:v>0.0968850180655402</x:v>
      </x:c>
      <x:c r="AA41" s="121" t="n">
        <x:f>AA39*(1-MIN(1,AA40))+'Вводные'!$B$28*MIN(1,AA40)</x:f>
        <x:v>0.09043316978925825</x:v>
      </x:c>
      <x:c r="AB41" s="121" t="n">
        <x:f>AB39*(1-MIN(1,AB40))+'Вводные'!$B$28*MIN(1,AB40)</x:f>
        <x:v>0.08601958505873958</x:v>
      </x:c>
      <x:c r="AC41" s="121" t="n">
        <x:f>AC39*(1-MIN(1,AC40))+'Вводные'!$B$28*MIN(1,AC40)</x:f>
        <x:v>0.08176205605822401</x:v>
      </x:c>
      <x:c r="AD41" s="121" t="n">
        <x:f>AD39*(1-MIN(1,AD40))+'Вводные'!$B$28*MIN(1,AD40)</x:f>
        <x:v>0.0779327013906624</x:v>
      </x:c>
      <x:c r="AE41" s="121" t="n">
        <x:f>AE39*(1-MIN(1,AE40))+'Вводные'!$B$28*MIN(1,AE40)</x:f>
        <x:v>0.0744120234674294</x:v>
      </x:c>
      <x:c r="AF41" s="121" t="n">
        <x:f>AF39*(1-MIN(1,AF40))+'Вводные'!$B$28*MIN(1,AF40)</x:f>
        <x:v>0.0721653467229278</x:v>
      </x:c>
      <x:c r="AG41" s="121" t="n">
        <x:f>AG39*(1-MIN(1,AG40))+'Вводные'!$B$28*MIN(1,AG40)</x:f>
        <x:v>0.06998857834744276</x:v>
      </x:c>
      <x:c r="AH41" s="121" t="n">
        <x:f>AH39*(1-MIN(1,AH40))+'Вводные'!$B$28*MIN(1,AH40)</x:f>
        <x:v>0.067910481237624</x:v>
      </x:c>
      <x:c r="AI41" s="121" t="n">
        <x:f>AI39*(1-MIN(1,AI40))+'Вводные'!$B$28*MIN(1,AI40)</x:f>
        <x:v>0.06591401209808014</x:v>
      </x:c>
      <x:c r="AJ41" s="121" t="n">
        <x:f>AJ39*(1-MIN(1,AJ40))+'Вводные'!$B$28*MIN(1,AJ40)</x:f>
        <x:v>0.06306908893218728</x:v>
      </x:c>
      <x:c r="AK41" s="121" t="n">
        <x:f>AK39*(1-MIN(1,AK40))+'Вводные'!$B$28*MIN(1,AK40)</x:f>
        <x:v>0.06039190506548176</x:v>
      </x:c>
      <x:c r="AL41" s="121" t="n">
        <x:f>AL39*(1-MIN(1,AL40))+'Вводные'!$B$28*MIN(1,AL40)</x:f>
        <x:v>0.05781413758248791</x:v>
      </x:c>
      <x:c r="AM41" s="121" t="n">
        <x:f>AM39*(1-MIN(1,AM40))+'Вводные'!$B$28*MIN(1,AM40)</x:f>
        <x:v>0.05532079251515739</x:v>
      </x:c>
      <x:c r="AN41" s="121" t="n">
        <x:f>AN39*(1-MIN(1,AN40))+'Вводные'!$B$28*MIN(1,AN40)</x:f>
        <x:v>0.05374743300981505</x:v>
      </x:c>
      <x:c r="AO41" s="121" t="n">
        <x:f>AO39*(1-MIN(1,AO40))+'Вводные'!$B$28*MIN(1,AO40)</x:f>
        <x:v>0.05130056414600481</x:v>
      </x:c>
      <x:c r="AP41" s="121" t="n">
        <x:f>AP39*(1-MIN(1,AP40))+'Вводные'!$B$28*MIN(1,AP40)</x:f>
        <x:v>0.04800819923918337</x:v>
      </x:c>
      <x:c r="AQ41" s="121" t="n">
        <x:f>AQ39*(1-MIN(1,AQ40))+'Вводные'!$B$28*MIN(1,AQ40)</x:f>
        <x:v>0.045</x:v>
      </x:c>
      <x:c r="AR41" s="121" t="n">
        <x:f>AR39*(1-MIN(1,AR40))+'Вводные'!$B$28*MIN(1,AR40)</x:f>
        <x:v>0.045</x:v>
      </x:c>
      <x:c r="AS41" s="121" t="n">
        <x:f>AS39*(1-MIN(1,AS40))+'Вводные'!$B$28*MIN(1,AS40)</x:f>
        <x:v>0.045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933.3832728831311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34.631756797973885</x:v>
      </x:c>
      <x:c r="X42" s="117" t="n">
        <x:f>IF(X38&gt;0,X38*X41/12,0)</x:f>
        <x:v>33.3445177463103</x:v>
      </x:c>
      <x:c r="Y42" s="117" t="n">
        <x:f>IF(Y38&gt;0,Y38*Y41/12,0)</x:f>
        <x:v>32.09870014762759</x:v>
      </x:c>
      <x:c r="Z42" s="117" t="n">
        <x:f>IF(Z38&gt;0,Z38*Z41/12,0)</x:f>
        <x:v>30.85194623348951</x:v>
      </x:c>
      <x:c r="AA42" s="117" t="n">
        <x:f>IF(AA38&gt;0,AA38*AA41/12,0)</x:f>
        <x:v>31.35645203320262</x:v>
      </x:c>
      <x:c r="AB42" s="117" t="n">
        <x:f>IF(AB38&gt;0,AB38*AB41/12,0)</x:f>
        <x:v>32.265061153426785</x:v>
      </x:c>
      <x:c r="AC42" s="117" t="n">
        <x:f>IF(AC38&gt;0,AC38*AC41/12,0)</x:f>
        <x:v>32.962292874720866</x:v>
      </x:c>
      <x:c r="AD42" s="117" t="n">
        <x:f>IF(AD38&gt;0,AD38*AD41/12,0)</x:f>
        <x:v>33.63723877584857</x:v>
      </x:c>
      <x:c r="AE42" s="117" t="n">
        <x:f>IF(AE38&gt;0,AE38*AE41/12,0)</x:f>
        <x:v>34.24065865601451</x:v>
      </x:c>
      <x:c r="AF42" s="117" t="n">
        <x:f>IF(AF38&gt;0,AF38*AF41/12,0)</x:f>
        <x:v>35.270236913452074</x:v>
      </x:c>
      <x:c r="AG42" s="117" t="n">
        <x:f>IF(AG38&gt;0,AG38*AG41/12,0)</x:f>
        <x:v>36.1847624095347</x:v>
      </x:c>
      <x:c r="AH42" s="117" t="n">
        <x:f>IF(AH38&gt;0,AH38*AH41/12,0)</x:f>
        <x:v>37.033787311468664</x:v>
      </x:c>
      <x:c r="AI42" s="117" t="n">
        <x:f>IF(AI38&gt;0,AI38*AI41/12,0)</x:f>
        <x:v>37.815664279311115</x:v>
      </x:c>
      <x:c r="AJ42" s="117" t="n">
        <x:f>IF(AJ38&gt;0,AJ38*AJ41/12,0)</x:f>
        <x:v>37.97704565782</x:v>
      </x:c>
      <x:c r="AK42" s="117" t="n">
        <x:f>IF(AK38&gt;0,AK38*AK41/12,0)</x:f>
        <x:v>38.11190905051671</x:v>
      </x:c>
      <x:c r="AL42" s="117" t="n">
        <x:f>IF(AL38&gt;0,AL38*AL41/12,0)</x:f>
        <x:v>38.1616633471646</x:v>
      </x:c>
      <x:c r="AM42" s="117" t="n">
        <x:f>IF(AM38&gt;0,AM38*AM41/12,0)</x:f>
        <x:v>38.12416805399803</x:v>
      </x:c>
      <x:c r="AN42" s="117" t="n">
        <x:f>IF(AN38&gt;0,AN38*AN41/12,0)</x:f>
        <x:v>38.60651355601298</x:v>
      </x:c>
      <x:c r="AO42" s="117" t="n">
        <x:f>IF(AO38&gt;0,AO38*AO41/12,0)</x:f>
        <x:v>38.32390601955845</x:v>
      </x:c>
      <x:c r="AP42" s="117" t="n">
        <x:f>IF(AP38&gt;0,AP38*AP41/12,0)</x:f>
        <x:v>36.86281751265047</x:v>
      </x:c>
      <x:c r="AQ42" s="117" t="n">
        <x:f>IF(AQ38&gt;0,AQ38*AQ41/12,0)</x:f>
        <x:v>35.49255200262608</x:v>
      </x:c>
      <x:c r="AR42" s="117" t="n">
        <x:f>IF(AR38&gt;0,AR38*AR41/12,0)</x:f>
        <x:v>36.63062493607714</x:v>
      </x:c>
      <x:c r="AS42" s="117" t="n">
        <x:f>IF(AS38&gt;0,AS38*AS41/12,0)</x:f>
        <x:v>37.74899741432541</x:v>
      </x:c>
      <x:c r="AT42" s="117" t="n">
        <x:f>IF(AT38&gt;0,AT38*AT41/12,0)</x:f>
        <x:v>115.65000000000002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215.5158497566823</x:v>
      </x:c>
      <x:c r="C43" t="str">
        <x:v>млн ₽</x:v>
      </x:c>
      <x:c r="D43" s="117" t="n">
        <x:f>IF(AND(OR(D38&gt;0,D$3&lt;=$B$8),D$3&gt;=$B$7,D$3&lt;EDATE($B$8,'Вводные'!$H$88)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OR(E38&gt;0,E$3&lt;=$B$8),E$3&gt;=$B$7,E$3&lt;EDATE($B$8,'Вводные'!$H$88)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OR(F38&gt;0,F$3&lt;=$B$8),F$3&gt;=$B$7,F$3&lt;EDATE($B$8,'Вводные'!$H$88)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OR(G38&gt;0,G$3&lt;=$B$8),G$3&gt;=$B$7,G$3&lt;EDATE($B$8,'Вводные'!$H$88)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OR(H38&gt;0,H$3&lt;=$B$8),H$3&gt;=$B$7,H$3&lt;EDATE($B$8,'Вводные'!$H$88)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OR(I38&gt;0,I$3&lt;=$B$8),I$3&gt;=$B$7,I$3&lt;EDATE($B$8,'Вводные'!$H$88)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OR(J38&gt;0,J$3&lt;=$B$8),J$3&gt;=$B$7,J$3&lt;EDATE($B$8,'Вводные'!$H$88)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OR(K38&gt;0,K$3&lt;=$B$8),K$3&gt;=$B$7,K$3&lt;EDATE($B$8,'Вводные'!$H$88)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OR(L38&gt;0,L$3&lt;=$B$8),L$3&gt;=$B$7,L$3&lt;EDATE($B$8,'Вводные'!$H$88)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OR(M38&gt;0,M$3&lt;=$B$8),M$3&gt;=$B$7,M$3&lt;EDATE($B$8,'Вводные'!$H$88)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OR(N38&gt;0,N$3&lt;=$B$8),N$3&gt;=$B$7,N$3&lt;EDATE($B$8,'Вводные'!$H$88)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R(O38&gt;0,O$3&lt;=$B$8),O$3&gt;=$B$7,O$3&lt;EDATE($B$8,'Вводные'!$H$88)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OR(P38&gt;0,P$3&lt;=$B$8),P$3&gt;=$B$7,P$3&lt;EDATE($B$8,'Вводные'!$H$88)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OR(Q38&gt;0,Q$3&lt;=$B$8),Q$3&gt;=$B$7,Q$3&lt;EDATE($B$8,'Вводные'!$H$88)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OR(R38&gt;0,R$3&lt;=$B$8),R$3&gt;=$B$7,R$3&lt;EDATE($B$8,'Вводные'!$H$88)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OR(S38&gt;0,S$3&lt;=$B$8),S$3&gt;=$B$7,S$3&lt;EDATE($B$8,'Вводные'!$H$88)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OR(T38&gt;0,T$3&lt;=$B$8),T$3&gt;=$B$7,T$3&lt;EDATE($B$8,'Вводные'!$H$88)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OR(U38&gt;0,U$3&lt;=$B$8),U$3&gt;=$B$7,U$3&lt;EDATE($B$8,'Вводные'!$H$88)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OR(V38&gt;0,V$3&lt;=$B$8),V$3&gt;=$B$7,V$3&lt;EDATE($B$8,'Вводные'!$H$88)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OR(W38&gt;0,W$3&lt;=$B$8),W$3&gt;=$B$7,W$3&lt;EDATE($B$8,'Вводные'!$H$88)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OR(X38&gt;0,X$3&lt;=$B$8),X$3&gt;=$B$7,X$3&lt;EDATE($B$8,'Вводные'!$H$88)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OR(Y38&gt;0,Y$3&lt;=$B$8),Y$3&gt;=$B$7,Y$3&lt;EDATE($B$8,'Вводные'!$H$88)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OR(Z38&gt;0,Z$3&lt;=$B$8),Z$3&gt;=$B$7,Z$3&lt;EDATE($B$8,'Вводные'!$H$88)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OR(AA38&gt;0,AA$3&lt;=$B$8),AA$3&gt;=$B$7,AA$3&lt;EDATE($B$8,'Вводные'!$H$88)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OR(AB38&gt;0,AB$3&lt;=$B$8),AB$3&gt;=$B$7,AB$3&lt;EDATE($B$8,'Вводные'!$H$88)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OR(AC38&gt;0,AC$3&lt;=$B$8),AC$3&gt;=$B$7,AC$3&lt;EDATE($B$8,'Вводные'!$H$88)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OR(AD38&gt;0,AD$3&lt;=$B$8),AD$3&gt;=$B$7,AD$3&lt;EDATE($B$8,'Вводные'!$H$88)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OR(AE38&gt;0,AE$3&lt;=$B$8),AE$3&gt;=$B$7,AE$3&lt;EDATE($B$8,'Вводные'!$H$88)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OR(AF38&gt;0,AF$3&lt;=$B$8),AF$3&gt;=$B$7,AF$3&lt;EDATE($B$8,'Вводные'!$H$88)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OR(AG38&gt;0,AG$3&lt;=$B$8),AG$3&gt;=$B$7,AG$3&lt;EDATE($B$8,'Вводные'!$H$88)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OR(AH38&gt;0,AH$3&lt;=$B$8),AH$3&gt;=$B$7,AH$3&lt;EDATE($B$8,'Вводные'!$H$88)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OR(AI38&gt;0,AI$3&lt;=$B$8),AI$3&gt;=$B$7,AI$3&lt;EDATE($B$8,'Вводные'!$H$88)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OR(AJ38&gt;0,AJ$3&lt;=$B$8),AJ$3&gt;=$B$7,AJ$3&lt;EDATE($B$8,'Вводные'!$H$88)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OR(AK38&gt;0,AK$3&lt;=$B$8),AK$3&gt;=$B$7,AK$3&lt;EDATE($B$8,'Вводные'!$H$88)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OR(AL38&gt;0,AL$3&lt;=$B$8),AL$3&gt;=$B$7,AL$3&lt;EDATE($B$8,'Вводные'!$H$88)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OR(AM38&gt;0,AM$3&lt;=$B$8),AM$3&gt;=$B$7,AM$3&lt;EDATE($B$8,'Вводные'!$H$88)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OR(AN38&gt;0,AN$3&lt;=$B$8),AN$3&gt;=$B$7,AN$3&lt;EDATE($B$8,'Вводные'!$H$88)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OR(AO38&gt;0,AO$3&lt;=$B$8),AO$3&gt;=$B$7,AO$3&lt;EDATE($B$8,'Вводные'!$H$88)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OR(AP38&gt;0,AP$3&lt;=$B$8),AP$3&gt;=$B$7,AP$3&lt;EDATE($B$8,'Вводные'!$H$88)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OR(AQ38&gt;0,AQ$3&lt;=$B$8),AQ$3&gt;=$B$7,AQ$3&lt;EDATE($B$8,'Вводные'!$H$88)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OR(AR38&gt;0,AR$3&lt;=$B$8),AR$3&gt;=$B$7,AR$3&lt;EDATE($B$8,'Вводные'!$H$88)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OR(AS38&gt;0,AS$3&lt;=$B$8),AS$3&gt;=$B$7,AS$3&lt;EDATE($B$8,'Вводные'!$H$88)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OR(AT38&gt;0,AT$3&lt;=$B$8),AT$3&gt;=$B$7,AT$3&lt;EDATE($B$8,'Вводные'!$H$88)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OR(AU38&gt;0,AU$3&lt;=$B$8),AU$3&gt;=$B$7,AU$3&lt;EDATE($B$8,'Вводные'!$H$88)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OR(AV38&gt;0,AV$3&lt;=$B$8),AV$3&gt;=$B$7,AV$3&lt;EDATE($B$8,'Вводные'!$H$88)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OR(AW38&gt;0,AW$3&lt;=$B$8),AW$3&gt;=$B$7,AW$3&lt;EDATE($B$8,'Вводные'!$H$88)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OR(AX38&gt;0,AX$3&lt;=$B$8),AX$3&gt;=$B$7,AX$3&lt;EDATE($B$8,'Вводные'!$H$88)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OR(AY38&gt;0,AY$3&lt;=$B$8),AY$3&gt;=$B$7,AY$3&lt;EDATE($B$8,'Вводные'!$H$88)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OR(AZ38&gt;0,AZ$3&lt;=$B$8),AZ$3&gt;=$B$7,AZ$3&lt;EDATE($B$8,'Вводные'!$H$88)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OR(BA38&gt;0,BA$3&lt;=$B$8),BA$3&gt;=$B$7,BA$3&lt;EDATE($B$8,'Вводные'!$H$88)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OR(BB38&gt;0,BB$3&lt;=$B$8),BB$3&gt;=$B$7,BB$3&lt;EDATE($B$8,'Вводные'!$H$88)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OR(BC38&gt;0,BC$3&lt;=$B$8),BC$3&gt;=$B$7,BC$3&lt;EDATE($B$8,'Вводные'!$H$88)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OR(BD38&gt;0,BD$3&lt;=$B$8),BD$3&gt;=$B$7,BD$3&lt;EDATE($B$8,'Вводные'!$H$88)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OR(BE38&gt;0,BE$3&lt;=$B$8),BE$3&gt;=$B$7,BE$3&lt;EDATE($B$8,'Вводные'!$H$88)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OR(BF38&gt;0,BF$3&lt;=$B$8),BF$3&gt;=$B$7,BF$3&lt;EDATE($B$8,'Вводные'!$H$88)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OR(BG38&gt;0,BG$3&lt;=$B$8),BG$3&gt;=$B$7,BG$3&lt;EDATE($B$8,'Вводные'!$H$88)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OR(BH38&gt;0,BH$3&lt;=$B$8),BH$3&gt;=$B$7,BH$3&lt;EDATE($B$8,'Вводные'!$H$88)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OR(BI38&gt;0,BI$3&lt;=$B$8),BI$3&gt;=$B$7,BI$3&lt;EDATE($B$8,'Вводные'!$H$88)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OR(BJ38&gt;0,BJ$3&lt;=$B$8),BJ$3&gt;=$B$7,BJ$3&lt;EDATE($B$8,'Вводные'!$H$88)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OR(BK38&gt;0,BK$3&lt;=$B$8),BK$3&gt;=$B$7,BK$3&lt;EDATE($B$8,'Вводные'!$H$88)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OR(BL38&gt;0,BL$3&lt;=$B$8),BL$3&gt;=$B$7,BL$3&lt;EDATE($B$8,'Вводные'!$H$88)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OR(BM38&gt;0,BM$3&lt;=$B$8),BM$3&gt;=$B$7,BM$3&lt;EDATE($B$8,'Вводные'!$H$88)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OR(BN38&gt;0,BN$3&lt;=$B$8),BN$3&gt;=$B$7,BN$3&lt;EDATE($B$8,'Вводные'!$H$88)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OR(BO38&gt;0,BO$3&lt;=$B$8),BO$3&gt;=$B$7,BO$3&lt;EDATE($B$8,'Вводные'!$H$88)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OR(BP38&gt;0,BP$3&lt;=$B$8),BP$3&gt;=$B$7,BP$3&lt;EDATE($B$8,'Вводные'!$H$88)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OR(BQ38&gt;0,BQ$3&lt;=$B$8),BQ$3&gt;=$B$7,BQ$3&lt;EDATE($B$8,'Вводные'!$H$88)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OR(BR38&gt;0,BR$3&lt;=$B$8),BR$3&gt;=$B$7,BR$3&lt;EDATE($B$8,'Вводные'!$H$88)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OR(BS38&gt;0,BS$3&lt;=$B$8),BS$3&gt;=$B$7,BS$3&lt;EDATE($B$8,'Вводные'!$H$88)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OR(BT38&gt;0,BT$3&lt;=$B$8),BT$3&gt;=$B$7,BT$3&lt;EDATE($B$8,'Вводные'!$H$88)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OR(BU38&gt;0,BU$3&lt;=$B$8),BU$3&gt;=$B$7,BU$3&lt;EDATE($B$8,'Вводные'!$H$88)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OR(BV38&gt;0,BV$3&lt;=$B$8),BV$3&gt;=$B$7,BV$3&lt;EDATE($B$8,'Вводные'!$H$88)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OR(BW38&gt;0,BW$3&lt;=$B$8),BW$3&gt;=$B$7,BW$3&lt;EDATE($B$8,'Вводные'!$H$88)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OR(BX38&gt;0,BX$3&lt;=$B$8),BX$3&gt;=$B$7,BX$3&lt;EDATE($B$8,'Вводные'!$H$88)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OR(BY38&gt;0,BY$3&lt;=$B$8),BY$3&gt;=$B$7,BY$3&lt;EDATE($B$8,'Вводные'!$H$88)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OR(BZ38&gt;0,BZ$3&lt;=$B$8),BZ$3&gt;=$B$7,BZ$3&lt;EDATE($B$8,'Вводные'!$H$88)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OR(CA38&gt;0,CA$3&lt;=$B$8),CA$3&gt;=$B$7,CA$3&lt;EDATE($B$8,'Вводные'!$H$88)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OR(CB38&gt;0,CB$3&lt;=$B$8),CB$3&gt;=$B$7,CB$3&lt;EDATE($B$8,'Вводные'!$H$88)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OR(CC38&gt;0,CC$3&lt;=$B$8),CC$3&gt;=$B$7,CC$3&lt;EDATE($B$8,'Вводные'!$H$88)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OR(CD38&gt;0,CD$3&lt;=$B$8),CD$3&gt;=$B$7,CD$3&lt;EDATE($B$8,'Вводные'!$H$88)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OR(CE38&gt;0,CE$3&lt;=$B$8),CE$3&gt;=$B$7,CE$3&lt;EDATE($B$8,'Вводные'!$H$88)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OR(CF38&gt;0,CF$3&lt;=$B$8),CF$3&gt;=$B$7,CF$3&lt;EDATE($B$8,'Вводные'!$H$88)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OR(CG38&gt;0,CG$3&lt;=$B$8),CG$3&gt;=$B$7,CG$3&lt;EDATE($B$8,'Вводные'!$H$88)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OR(CH38&gt;0,CH$3&lt;=$B$8),CH$3&gt;=$B$7,CH$3&lt;EDATE($B$8,'Вводные'!$H$88)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OR(CI38&gt;0,CI$3&lt;=$B$8),CI$3&gt;=$B$7,CI$3&lt;EDATE($B$8,'Вводные'!$H$88)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OR(CJ38&gt;0,CJ$3&lt;=$B$8),CJ$3&gt;=$B$7,CJ$3&lt;EDATE($B$8,'Вводные'!$H$88)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OR(CK38&gt;0,CK$3&lt;=$B$8),CK$3&gt;=$B$7,CK$3&lt;EDATE($B$8,'Вводные'!$H$88)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OR(CL38&gt;0,CL$3&lt;=$B$8),CL$3&gt;=$B$7,CL$3&lt;EDATE($B$8,'Вводные'!$H$88)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OR(CM38&gt;0,CM$3&lt;=$B$8),CM$3&gt;=$B$7,CM$3&lt;EDATE($B$8,'Вводные'!$H$88)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OR(CN38&gt;0,CN$3&lt;=$B$8),CN$3&gt;=$B$7,CN$3&lt;EDATE($B$8,'Вводные'!$H$88)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OR(CO38&gt;0,CO$3&lt;=$B$8),CO$3&gt;=$B$7,CO$3&lt;EDATE($B$8,'Вводные'!$H$88)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OR(CP38&gt;0,CP$3&lt;=$B$8),CP$3&gt;=$B$7,CP$3&lt;EDATE($B$8,'Вводные'!$H$88)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OR(CQ38&gt;0,CQ$3&lt;=$B$8),CQ$3&gt;=$B$7,CQ$3&lt;EDATE($B$8,'Вводные'!$H$88)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OR(CR38&gt;0,CR$3&lt;=$B$8),CR$3&gt;=$B$7,CR$3&lt;EDATE($B$8,'Вводные'!$H$88)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OR(CS38&gt;0,CS$3&lt;=$B$8),CS$3&gt;=$B$7,CS$3&lt;EDATE($B$8,'Вводные'!$H$88)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OR(CT38&gt;0,CT$3&lt;=$B$8),CT$3&gt;=$B$7,CT$3&lt;EDATE($B$8,'Вводные'!$H$88)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OR(CU38&gt;0,CU$3&lt;=$B$8),CU$3&gt;=$B$7,CU$3&lt;EDATE($B$8,'Вводные'!$H$88)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OR(CV38&gt;0,CV$3&lt;=$B$8),CV$3&gt;=$B$7,CV$3&lt;EDATE($B$8,'Вводные'!$H$88)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OR(CW38&gt;0,CW$3&lt;=$B$8),CW$3&gt;=$B$7,CW$3&lt;EDATE($B$8,'Вводные'!$H$88)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OR(CX38&gt;0,CX$3&lt;=$B$8),CX$3&gt;=$B$7,CX$3&lt;EDATE($B$8,'Вводные'!$H$88)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OR(CY38&gt;0,CY$3&lt;=$B$8),CY$3&gt;=$B$7,CY$3&lt;EDATE($B$8,'Вводные'!$H$88)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OR(CZ38&gt;0,CZ$3&lt;=$B$8),CZ$3&gt;=$B$7,CZ$3&lt;EDATE($B$8,'Вводные'!$H$88)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OR(DA38&gt;0,DA$3&lt;=$B$8),DA$3&gt;=$B$7,DA$3&lt;EDATE($B$8,'Вводные'!$H$88)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OR(DB38&gt;0,DB$3&lt;=$B$8),DB$3&gt;=$B$7,DB$3&lt;EDATE($B$8,'Вводные'!$H$88)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OR(DC38&gt;0,DC$3&lt;=$B$8),DC$3&gt;=$B$7,DC$3&lt;EDATE($B$8,'Вводные'!$H$88)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OR(DD38&gt;0,DD$3&lt;=$B$8),DD$3&gt;=$B$7,DD$3&lt;EDATE($B$8,'Вводные'!$H$88)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OR(DE38&gt;0,DE$3&lt;=$B$8),DE$3&gt;=$B$7,DE$3&lt;EDATE($B$8,'Вводные'!$H$88)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OR(DF38&gt;0,DF$3&lt;=$B$8),DF$3&gt;=$B$7,DF$3&lt;EDATE($B$8,'Вводные'!$H$88)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OR(DG38&gt;0,DG$3&lt;=$B$8),DG$3&gt;=$B$7,DG$3&lt;EDATE($B$8,'Вводные'!$H$88)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OR(DH38&gt;0,DH$3&lt;=$B$8),DH$3&gt;=$B$7,DH$3&lt;EDATE($B$8,'Вводные'!$H$88)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OR(DI38&gt;0,DI$3&lt;=$B$8),DI$3&gt;=$B$7,DI$3&lt;EDATE($B$8,'Вводные'!$H$88)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OR(DJ38&gt;0,DJ$3&lt;=$B$8),DJ$3&gt;=$B$7,DJ$3&lt;EDATE($B$8,'Вводные'!$H$88)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OR(DK38&gt;0,DK$3&lt;=$B$8),DK$3&gt;=$B$7,DK$3&lt;EDATE($B$8,'Вводные'!$H$88)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OR(DL38&gt;0,DL$3&lt;=$B$8),DL$3&gt;=$B$7,DL$3&lt;EDATE($B$8,'Вводные'!$H$88)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OR(DM38&gt;0,DM$3&lt;=$B$8),DM$3&gt;=$B$7,DM$3&lt;EDATE($B$8,'Вводные'!$H$88)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OR(DN38&gt;0,DN$3&lt;=$B$8),DN$3&gt;=$B$7,DN$3&lt;EDATE($B$8,'Вводные'!$H$88)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OR(DO38&gt;0,DO$3&lt;=$B$8),DO$3&gt;=$B$7,DO$3&lt;EDATE($B$8,'Вводные'!$H$88)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OR(DP38&gt;0,DP$3&lt;=$B$8),DP$3&gt;=$B$7,DP$3&lt;EDATE($B$8,'Вводные'!$H$88)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OR(DQ38&gt;0,DQ$3&lt;=$B$8),DQ$3&gt;=$B$7,DQ$3&lt;EDATE($B$8,'Вводные'!$H$88)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OR(DR38&gt;0,DR$3&lt;=$B$8),DR$3&gt;=$B$7,DR$3&lt;EDATE($B$8,'Вводные'!$H$88)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OR(DS38&gt;0,DS$3&lt;=$B$8),DS$3&gt;=$B$7,DS$3&lt;EDATE($B$8,'Вводные'!$H$88)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3269.5462936713507</x:v>
      </x:c>
      <x:c r="W44" s="117" t="n">
        <x:f>IF(W$3&gt;=$B$7,MAX(0,W20+W24+W35-W27),0)</x:f>
        <x:v>180.79072625464306</x:v>
      </x:c>
      <x:c r="X44" s="117" t="n">
        <x:f>IF(X$3&gt;=$B$7,MAX(0,X20+X24+X35-X27),0)</x:f>
        <x:v>185.143738289621</x:v>
      </x:c>
      <x:c r="Y44" s="117" t="n">
        <x:f>IF(Y$3&gt;=$B$7,MAX(0,Y20+Y24+Y35-Y27),0)</x:f>
        <x:v>185.7845126586452</x:v>
      </x:c>
      <x:c r="Z44" s="117" t="n">
        <x:f>IF(Z$3&gt;=$B$7,MAX(0,Z20+Z24+Z35-Z27),0)</x:f>
        <x:v>339.56891502559137</x:v>
      </x:c>
      <x:c r="AA44" s="117" t="n">
        <x:f>IF(AA$3&gt;=$B$7,MAX(0,AA20+AA24+AA35-AA27),0)</x:f>
        <x:v>340.24232564958334</x:v>
      </x:c>
      <x:c r="AB44" s="117" t="n">
        <x:f>IF(AB$3&gt;=$B$7,MAX(0,AB20+AB24+AB35-AB27),0)</x:f>
        <x:v>336.71174337134426</x:v>
      </x:c>
      <x:c r="AC44" s="117" t="n">
        <x:f>IF(AC$3&gt;=$B$7,MAX(0,AC20+AC24+AC35-AC27),0)</x:f>
        <x:v>341.6403816765188</x:v>
      </x:c>
      <x:c r="AD44" s="117" t="n">
        <x:f>IF(AD$3&gt;=$B$7,MAX(0,AD20+AD24+AD35-AD27),0)</x:f>
        <x:v>342.36588968678166</x:v>
      </x:c>
      <x:c r="AE44" s="117" t="n">
        <x:f>IF(AE$3&gt;=$B$7,MAX(0,AE20+AE24+AE35-AE27),0)</x:f>
        <x:v>343.10964422350247</x:v>
      </x:c>
      <x:c r="AF44" s="117" t="n">
        <x:f>IF(AF$3&gt;=$B$7,MAX(0,AF20+AF24+AF35-AF27),0)</x:f>
        <x:v>339.2102602619895</x:v>
      </x:c>
      <x:c r="AG44" s="117" t="n">
        <x:f>IF(AG$3&gt;=$B$7,MAX(0,AG20+AG24+AG35-AG27),0)</x:f>
        <x:v>339.8746507186769</x:v>
      </x:c>
      <x:c r="AH44" s="117" t="n">
        <x:f>IF(AH$3&gt;=$B$7,MAX(0,AH20+AH24+AH35-AH27),0)</x:f>
        <x:v>340.5557505953499</x:v>
      </x:c>
      <x:c r="AI44" s="117" t="n">
        <x:f>IF(AI$3&gt;=$B$7,MAX(0,AI20+AI24+AI35-AI27),0)</x:f>
        <x:v>341.2539801339213</x:v>
      </x:c>
      <x:c r="AJ44" s="117" t="n">
        <x:f>IF(AJ$3&gt;=$B$7,MAX(0,AJ20+AJ24+AJ35-AJ27),0)</x:f>
        <x:v>347.1185864025846</x:v>
      </x:c>
      <x:c r="AK44" s="117" t="n">
        <x:f>IF(AK$3&gt;=$B$7,MAX(0,AK20+AK24+AK35-AK27),0)</x:f>
        <x:v>347.9818712617079</x:v>
      </x:c>
      <x:c r="AL44" s="117" t="n">
        <x:f>IF(AL$3&gt;=$B$7,MAX(0,AL20+AL24+AL35-AL27),0)</x:f>
        <x:v>348.8668677350382</x:v>
      </x:c>
      <x:c r="AM44" s="117" t="n">
        <x:f>IF(AM$3&gt;=$B$7,MAX(0,AM20+AM24+AM35-AM27),0)</x:f>
        <x:v>349.7741218696727</x:v>
      </x:c>
      <x:c r="AN44" s="117" t="n">
        <x:f>IF(AN$3&gt;=$B$7,MAX(0,AN20+AN24+AN35-AN27),0)</x:f>
        <x:v>345.0175361321152</x:v>
      </x:c>
      <x:c r="AO44" s="117" t="n">
        <x:f>IF(AO$3&gt;=$B$7,MAX(0,AO20+AO24+AO35-AO27),0)</x:f>
        <x:v>249.57264797369268</x:v>
      </x:c>
      <x:c r="AP44" s="117" t="n">
        <x:f>IF(AP$3&gt;=$B$7,MAX(0,AP20+AP24+AP35-AP27),0)</x:f>
        <x:v>250.55009044129065</x:v>
      </x:c>
      <x:c r="AQ44" s="117" t="n">
        <x:f>IF(AQ$3&gt;=$B$7,MAX(0,AQ20+AQ24+AQ35-AQ27),0)</x:f>
        <x:v>303.48611558694876</x:v>
      </x:c>
      <x:c r="AR44" s="117" t="n">
        <x:f>IF(AR$3&gt;=$B$7,MAX(0,AR20+AR24+AR35-AR27),0)</x:f>
        <x:v>298.2326608662039</x:v>
      </x:c>
      <x:c r="AS44" s="117" t="n">
        <x:f>IF(AS$3&gt;=$B$7,MAX(0,AS20+AS24+AS35-AS27),0)</x:f>
        <x:v>299.1277625580485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10280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10280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1097.3595290179696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1876.3520287588894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778.9924997409198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-55.683333333333394</x:v>
      </x:c>
      <x:c r="W51" s="120" t="n">
        <x:f>W50-W49</x:f>
        <x:v>-37.55277917561082</x:v>
      </x:c>
      <x:c r="X51" s="120" t="n">
        <x:f>X50-X49</x:f>
        <x:v>-36.19021065467447</x:v>
      </x:c>
      <x:c r="Y51" s="120" t="n">
        <x:f>Y50-Y49</x:f>
        <x:v>-34.86724983170441</x:v>
      </x:c>
      <x:c r="Z51" s="120" t="n">
        <x:f>Z50-Z49</x:f>
        <x:v>-33.54308570395858</x:v>
      </x:c>
      <x:c r="AA51" s="120" t="n">
        <x:f>AA50-AA49</x:f>
        <x:v>-33.906104455744355</x:v>
      </x:c>
      <x:c r="AB51" s="120" t="n">
        <x:f>AB50-AB49</x:f>
        <x:v>-34.67294594028124</x:v>
      </x:c>
      <x:c r="AC51" s="120" t="n">
        <x:f>AC50-AC49</x:f>
        <x:v>-35.22988110183718</x:v>
      </x:c>
      <x:c r="AD51" s="120" t="n">
        <x:f>AD50-AD49</x:f>
        <x:v>-35.76247684393303</x:v>
      </x:c>
      <x:c r="AE51" s="120" t="n">
        <x:f>AE50-AE49</x:f>
        <x:v>-36.223244270062764</x:v>
      </x:c>
      <x:c r="AF51" s="120" t="n">
        <x:f>AF50-AF49</x:f>
        <x:v>-37.10986017574061</x:v>
      </x:c>
      <x:c r="AG51" s="120" t="n">
        <x:f>AG50-AG49</x:f>
        <x:v>-37.88304806338073</x:v>
      </x:c>
      <x:c r="AH51" s="120" t="n">
        <x:f>AH50-AH49</x:f>
        <x:v>-38.59045852751518</x:v>
      </x:c>
      <x:c r="AI51" s="120" t="n">
        <x:f>AI50-AI49</x:f>
        <x:v>-39.23043726594295</x:v>
      </x:c>
      <x:c r="AJ51" s="120" t="n">
        <x:f>AJ50-AJ49</x:f>
        <x:v>-39.2496294860627</x:v>
      </x:c>
      <x:c r="AK51" s="120" t="n">
        <x:f>AK50-AK49</x:f>
        <x:v>-39.23986013442499</x:v>
      </x:c>
      <x:c r="AL51" s="120" t="n">
        <x:f>AL50-AL49</x:f>
        <x:v>-39.144621984713865</x:v>
      </x:c>
      <x:c r="AM51" s="120" t="n">
        <x:f>AM50-AM49</x:f>
        <x:v>-38.96176549665768</x:v>
      </x:c>
      <x:c r="AN51" s="120" t="n">
        <x:f>AN50-AN49</x:f>
        <x:v>-39.29837178122693</x:v>
      </x:c>
      <x:c r="AO51" s="120" t="n">
        <x:f>AO50-AO49</x:f>
        <x:v>-38.8720069380507</x:v>
      </x:c>
      <x:c r="AP51" s="120" t="n">
        <x:f>AP50-AP49</x:f>
        <x:v>-37.30692982782034</x:v>
      </x:c>
      <x:c r="AQ51" s="120" t="n">
        <x:f>AQ50-AQ49</x:f>
        <x:v>-35.832268446778755</x:v>
      </x:c>
      <x:c r="AR51" s="120" t="n">
        <x:f>AR50-AR49</x:f>
        <x:v>-36.84388883206856</x:v>
      </x:c>
      <x:c r="AS51" s="120" t="n">
        <x:f>AS50-AS49</x:f>
        <x:v>-123.36507074644607</x:v>
      </x:c>
      <x:c r="AT51" s="120" t="n">
        <x:f>AT50-AT49</x:f>
        <x:v>422.1359021663775</x:v>
      </x:c>
      <x:c r="AU51" s="120" t="n">
        <x:f>AU50-AU49</x:f>
        <x:v>297.9430847032186</x:v>
      </x:c>
      <x:c r="AV51" s="120" t="n">
        <x:f>AV50-AV49</x:f>
        <x:v>335.41805076279314</x:v>
      </x:c>
      <x:c r="AW51" s="120" t="n">
        <x:f>AW50-AW49</x:f>
        <x:v>270.17979567640174</x:v>
      </x:c>
      <x:c r="AX51" s="120" t="n">
        <x:f>AX50-AX49</x:f>
        <x:v>273.60403417974857</x:v>
      </x:c>
      <x:c r="AY51" s="120" t="n">
        <x:f>AY50-AY49</x:f>
        <x:v>277.07116127034993</x:v>
      </x:c>
      <x:c r="AZ51" s="120" t="n">
        <x:f>AZ50-AZ49</x:f>
        <x:v>-4.283333333333333</x:v>
      </x:c>
      <x:c r="BA51" s="120" t="n">
        <x:f>BA50-BA49</x:f>
        <x:v>-4.283333333333333</x:v>
      </x:c>
      <x:c r="BB51" s="120" t="n">
        <x:f>BB50-BB49</x:f>
        <x:v>-4.283333333333333</x:v>
      </x:c>
      <x:c r="BC51" s="120" t="n">
        <x:f>BC50-BC49</x:f>
        <x:v>-4.283333333333333</x:v>
      </x:c>
      <x:c r="BD51" s="120" t="n">
        <x:f>BD50-BD49</x:f>
        <x:v>-4.283333333333333</x:v>
      </x:c>
      <x:c r="BE51" s="120" t="n">
        <x:f>BE50-BE49</x:f>
        <x:v>-4.283333333333333</x:v>
      </x:c>
      <x:c r="BF51" s="120" t="n">
        <x:f>BF50-BF49</x:f>
        <x:v>-4.283333333333333</x:v>
      </x:c>
      <x:c r="BG51" s="120" t="n">
        <x:f>BG50-BG49</x:f>
        <x:v>-4.283333333333333</x:v>
      </x:c>
      <x:c r="BH51" s="120" t="n">
        <x:f>BH50-BH49</x:f>
        <x:v>-4.283333333333333</x:v>
      </x:c>
      <x:c r="BI51" s="120" t="n">
        <x:f>BI50-BI49</x:f>
        <x:v>-4.283333333333333</x:v>
      </x:c>
      <x:c r="BJ51" s="120" t="n">
        <x:f>BJ50-BJ49</x:f>
        <x:v>-4.283333333333333</x:v>
      </x:c>
      <x:c r="BK51" s="120" t="n">
        <x:f>BK50-BK49</x:f>
        <x:v>-4.283333333333333</x:v>
      </x:c>
      <x:c r="BL51" s="120" t="n">
        <x:f>BL50-BL49</x:f>
        <x:v>-4.283333333333333</x:v>
      </x:c>
      <x:c r="BM51" s="120" t="n">
        <x:f>BM50-BM49</x:f>
        <x:v>-4.283333333333333</x:v>
      </x:c>
      <x:c r="BN51" s="120" t="n">
        <x:f>BN50-BN49</x:f>
        <x:v>-4.283333333333333</x:v>
      </x:c>
      <x:c r="BO51" s="120" t="n">
        <x:f>BO50-BO49</x:f>
        <x:v>-4.283333333333333</x:v>
      </x:c>
      <x:c r="BP51" s="120" t="n">
        <x:f>BP50-BP49</x:f>
        <x:v>-4.283333333333333</x:v>
      </x:c>
      <x:c r="BQ51" s="120" t="n">
        <x:f>BQ50-BQ49</x:f>
        <x:v>-4.283333333333333</x:v>
      </x:c>
      <x:c r="BR51" s="120" t="n">
        <x:f>BR50-BR49</x:f>
        <x:v>-4.283333333333333</x:v>
      </x:c>
      <x:c r="BS51" s="120" t="n">
        <x:f>BS50-BS49</x:f>
        <x:v>-4.283333333333333</x:v>
      </x:c>
      <x:c r="BT51" s="120" t="n">
        <x:f>BT50-BT49</x:f>
        <x:v>-4.283333333333333</x:v>
      </x:c>
      <x:c r="BU51" s="120" t="n">
        <x:f>BU50-BU49</x:f>
        <x:v>-4.283333333333333</x:v>
      </x:c>
      <x:c r="BV51" s="120" t="n">
        <x:f>BV50-BV49</x:f>
        <x:v>-4.283333333333333</x:v>
      </x:c>
      <x:c r="BW51" s="120" t="n">
        <x:f>BW50-BW49</x:f>
        <x:v>-4.283333333333333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778.9924997409198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-55.683333333333394</x:v>
      </x:c>
      <x:c r="W52" s="117" t="n">
        <x:f>V52+W51</x:f>
        <x:v>-93.23611250894422</x:v>
      </x:c>
      <x:c r="X52" s="117" t="n">
        <x:f>W52+X51</x:f>
        <x:v>-129.4263231636187</x:v>
      </x:c>
      <x:c r="Y52" s="117" t="n">
        <x:f>X52+Y51</x:f>
        <x:v>-164.2935729953231</x:v>
      </x:c>
      <x:c r="Z52" s="117" t="n">
        <x:f>Y52+Z51</x:f>
        <x:v>-197.83665869928168</x:v>
      </x:c>
      <x:c r="AA52" s="117" t="n">
        <x:f>Z52+AA51</x:f>
        <x:v>-231.74276315502604</x:v>
      </x:c>
      <x:c r="AB52" s="117" t="n">
        <x:f>AA52+AB51</x:f>
        <x:v>-266.4157090953073</x:v>
      </x:c>
      <x:c r="AC52" s="117" t="n">
        <x:f>AB52+AC51</x:f>
        <x:v>-301.6455901971445</x:v>
      </x:c>
      <x:c r="AD52" s="117" t="n">
        <x:f>AC52+AD51</x:f>
        <x:v>-337.4080670410775</x:v>
      </x:c>
      <x:c r="AE52" s="117" t="n">
        <x:f>AD52+AE51</x:f>
        <x:v>-373.6313113111403</x:v>
      </x:c>
      <x:c r="AF52" s="117" t="n">
        <x:f>AE52+AF51</x:f>
        <x:v>-410.7411714868809</x:v>
      </x:c>
      <x:c r="AG52" s="117" t="n">
        <x:f>AF52+AG51</x:f>
        <x:v>-448.6242195502616</x:v>
      </x:c>
      <x:c r="AH52" s="117" t="n">
        <x:f>AG52+AH51</x:f>
        <x:v>-487.2146780777768</x:v>
      </x:c>
      <x:c r="AI52" s="117" t="n">
        <x:f>AH52+AI51</x:f>
        <x:v>-526.4451153437197</x:v>
      </x:c>
      <x:c r="AJ52" s="117" t="n">
        <x:f>AI52+AJ51</x:f>
        <x:v>-565.6947448297824</x:v>
      </x:c>
      <x:c r="AK52" s="117" t="n">
        <x:f>AJ52+AK51</x:f>
        <x:v>-604.9346049642074</x:v>
      </x:c>
      <x:c r="AL52" s="117" t="n">
        <x:f>AK52+AL51</x:f>
        <x:v>-644.0792269489214</x:v>
      </x:c>
      <x:c r="AM52" s="117" t="n">
        <x:f>AL52+AM51</x:f>
        <x:v>-683.040992445579</x:v>
      </x:c>
      <x:c r="AN52" s="117" t="n">
        <x:f>AM52+AN51</x:f>
        <x:v>-722.339364226806</x:v>
      </x:c>
      <x:c r="AO52" s="117" t="n">
        <x:f>AN52+AO51</x:f>
        <x:v>-761.2113711648567</x:v>
      </x:c>
      <x:c r="AP52" s="117" t="n">
        <x:f>AO52+AP51</x:f>
        <x:v>-798.518300992677</x:v>
      </x:c>
      <x:c r="AQ52" s="117" t="n">
        <x:f>AP52+AQ51</x:f>
        <x:v>-834.3505694394557</x:v>
      </x:c>
      <x:c r="AR52" s="117" t="n">
        <x:f>AQ52+AR51</x:f>
        <x:v>-871.1944582715244</x:v>
      </x:c>
      <x:c r="AS52" s="117" t="n">
        <x:f>AR52+AS51</x:f>
        <x:v>-994.5595290179704</x:v>
      </x:c>
      <x:c r="AT52" s="117" t="n">
        <x:f>AS52+AT51</x:f>
        <x:v>-572.4236268515929</x:v>
      </x:c>
      <x:c r="AU52" s="117" t="n">
        <x:f>AT52+AU51</x:f>
        <x:v>-274.4805421483743</x:v>
      </x:c>
      <x:c r="AV52" s="117" t="n">
        <x:f>AU52+AV51</x:f>
        <x:v>60.937508614418846</x:v>
      </x:c>
      <x:c r="AW52" s="117" t="n">
        <x:f>AV52+AW51</x:f>
        <x:v>331.1173042908206</x:v>
      </x:c>
      <x:c r="AX52" s="117" t="n">
        <x:f>AW52+AX51</x:f>
        <x:v>604.7213384705692</x:v>
      </x:c>
      <x:c r="AY52" s="117" t="n">
        <x:f>AX52+AY51</x:f>
        <x:v>881.7924997409191</x:v>
      </x:c>
      <x:c r="AZ52" s="117" t="n">
        <x:f>AY52+AZ51</x:f>
        <x:v>877.5091664075858</x:v>
      </x:c>
      <x:c r="BA52" s="117" t="n">
        <x:f>AZ52+BA51</x:f>
        <x:v>873.2258330742525</x:v>
      </x:c>
      <x:c r="BB52" s="117" t="n">
        <x:f>BA52+BB51</x:f>
        <x:v>868.9424997409192</x:v>
      </x:c>
      <x:c r="BC52" s="117" t="n">
        <x:f>BB52+BC51</x:f>
        <x:v>864.6591664075859</x:v>
      </x:c>
      <x:c r="BD52" s="117" t="n">
        <x:f>BC52+BD51</x:f>
        <x:v>860.3758330742526</x:v>
      </x:c>
      <x:c r="BE52" s="117" t="n">
        <x:f>BD52+BE51</x:f>
        <x:v>856.0924997409193</x:v>
      </x:c>
      <x:c r="BF52" s="117" t="n">
        <x:f>BE52+BF51</x:f>
        <x:v>851.809166407586</x:v>
      </x:c>
      <x:c r="BG52" s="117" t="n">
        <x:f>BF52+BG51</x:f>
        <x:v>847.5258330742527</x:v>
      </x:c>
      <x:c r="BH52" s="117" t="n">
        <x:f>BG52+BH51</x:f>
        <x:v>843.2424997409194</x:v>
      </x:c>
      <x:c r="BI52" s="117" t="n">
        <x:f>BH52+BI51</x:f>
        <x:v>838.959166407586</x:v>
      </x:c>
      <x:c r="BJ52" s="117" t="n">
        <x:f>BI52+BJ51</x:f>
        <x:v>834.6758330742528</x:v>
      </x:c>
      <x:c r="BK52" s="117" t="n">
        <x:f>BJ52+BK51</x:f>
        <x:v>830.3924997409194</x:v>
      </x:c>
      <x:c r="BL52" s="117" t="n">
        <x:f>BK52+BL51</x:f>
        <x:v>826.1091664075861</x:v>
      </x:c>
      <x:c r="BM52" s="117" t="n">
        <x:f>BL52+BM51</x:f>
        <x:v>821.8258330742528</x:v>
      </x:c>
      <x:c r="BN52" s="117" t="n">
        <x:f>BM52+BN51</x:f>
        <x:v>817.5424997409195</x:v>
      </x:c>
      <x:c r="BO52" s="117" t="n">
        <x:f>BN52+BO51</x:f>
        <x:v>813.2591664075862</x:v>
      </x:c>
      <x:c r="BP52" s="117" t="n">
        <x:f>BO52+BP51</x:f>
        <x:v>808.9758330742529</x:v>
      </x:c>
      <x:c r="BQ52" s="117" t="n">
        <x:f>BP52+BQ51</x:f>
        <x:v>804.6924997409196</x:v>
      </x:c>
      <x:c r="BR52" s="117" t="n">
        <x:f>BQ52+BR51</x:f>
        <x:v>800.4091664075863</x:v>
      </x:c>
      <x:c r="BS52" s="117" t="n">
        <x:f>BR52+BS51</x:f>
        <x:v>796.125833074253</x:v>
      </x:c>
      <x:c r="BT52" s="117" t="n">
        <x:f>BS52+BT51</x:f>
        <x:v>791.8424997409197</x:v>
      </x:c>
      <x:c r="BU52" s="117" t="n">
        <x:f>BT52+BU51</x:f>
        <x:v>787.5591664075864</x:v>
      </x:c>
      <x:c r="BV52" s="117" t="n">
        <x:f>BU52+BV51</x:f>
        <x:v>783.2758330742531</x:v>
      </x:c>
      <x:c r="BW52" s="117" t="n">
        <x:f>BV52+BW51</x:f>
        <x:v>778.9924997409198</x:v>
      </x:c>
      <x:c r="BX52" s="117" t="n">
        <x:f>BW52+BX51</x:f>
        <x:v>778.9924997409198</x:v>
      </x:c>
      <x:c r="BY52" s="117" t="n">
        <x:f>BX52+BY51</x:f>
        <x:v>778.9924997409198</x:v>
      </x:c>
      <x:c r="BZ52" s="117" t="n">
        <x:f>BY52+BZ51</x:f>
        <x:v>778.9924997409198</x:v>
      </x:c>
      <x:c r="CA52" s="117" t="n">
        <x:f>BZ52+CA51</x:f>
        <x:v>778.9924997409198</x:v>
      </x:c>
      <x:c r="CB52" s="117" t="n">
        <x:f>CA52+CB51</x:f>
        <x:v>778.9924997409198</x:v>
      </x:c>
      <x:c r="CC52" s="117" t="n">
        <x:f>CB52+CC51</x:f>
        <x:v>778.9924997409198</x:v>
      </x:c>
      <x:c r="CD52" s="117" t="n">
        <x:f>CC52+CD51</x:f>
        <x:v>778.9924997409198</x:v>
      </x:c>
      <x:c r="CE52" s="117" t="n">
        <x:f>CD52+CE51</x:f>
        <x:v>778.9924997409198</x:v>
      </x:c>
      <x:c r="CF52" s="117" t="n">
        <x:f>CE52+CF51</x:f>
        <x:v>778.9924997409198</x:v>
      </x:c>
      <x:c r="CG52" s="117" t="n">
        <x:f>CF52+CG51</x:f>
        <x:v>778.9924997409198</x:v>
      </x:c>
      <x:c r="CH52" s="117" t="n">
        <x:f>CG52+CH51</x:f>
        <x:v>778.9924997409198</x:v>
      </x:c>
      <x:c r="CI52" s="117" t="n">
        <x:f>CH52+CI51</x:f>
        <x:v>778.9924997409198</x:v>
      </x:c>
      <x:c r="CJ52" s="117" t="n">
        <x:f>CI52+CJ51</x:f>
        <x:v>778.9924997409198</x:v>
      </x:c>
      <x:c r="CK52" s="117" t="n">
        <x:f>CJ52+CK51</x:f>
        <x:v>778.9924997409198</x:v>
      </x:c>
      <x:c r="CL52" s="117" t="n">
        <x:f>CK52+CL51</x:f>
        <x:v>778.9924997409198</x:v>
      </x:c>
      <x:c r="CM52" s="117" t="n">
        <x:f>CL52+CM51</x:f>
        <x:v>778.9924997409198</x:v>
      </x:c>
      <x:c r="CN52" s="117" t="n">
        <x:f>CM52+CN51</x:f>
        <x:v>778.9924997409198</x:v>
      </x:c>
      <x:c r="CO52" s="117" t="n">
        <x:f>CN52+CO51</x:f>
        <x:v>778.9924997409198</x:v>
      </x:c>
      <x:c r="CP52" s="117" t="n">
        <x:f>CO52+CP51</x:f>
        <x:v>778.9924997409198</x:v>
      </x:c>
      <x:c r="CQ52" s="117" t="n">
        <x:f>CP52+CQ51</x:f>
        <x:v>778.9924997409198</x:v>
      </x:c>
      <x:c r="CR52" s="117" t="n">
        <x:f>CQ52+CR51</x:f>
        <x:v>778.9924997409198</x:v>
      </x:c>
      <x:c r="CS52" s="117" t="n">
        <x:f>CR52+CS51</x:f>
        <x:v>778.9924997409198</x:v>
      </x:c>
      <x:c r="CT52" s="117" t="n">
        <x:f>CS52+CT51</x:f>
        <x:v>778.9924997409198</x:v>
      </x:c>
      <x:c r="CU52" s="117" t="n">
        <x:f>CT52+CU51</x:f>
        <x:v>778.9924997409198</x:v>
      </x:c>
      <x:c r="CV52" s="117" t="n">
        <x:f>CU52+CV51</x:f>
        <x:v>778.9924997409198</x:v>
      </x:c>
      <x:c r="CW52" s="117" t="n">
        <x:f>CV52+CW51</x:f>
        <x:v>778.9924997409198</x:v>
      </x:c>
      <x:c r="CX52" s="117" t="n">
        <x:f>CW52+CX51</x:f>
        <x:v>778.9924997409198</x:v>
      </x:c>
      <x:c r="CY52" s="117" t="n">
        <x:f>CX52+CY51</x:f>
        <x:v>778.9924997409198</x:v>
      </x:c>
      <x:c r="CZ52" s="117" t="n">
        <x:f>CY52+CZ51</x:f>
        <x:v>778.9924997409198</x:v>
      </x:c>
      <x:c r="DA52" s="117" t="n">
        <x:f>CZ52+DA51</x:f>
        <x:v>778.9924997409198</x:v>
      </x:c>
      <x:c r="DB52" s="117" t="n">
        <x:f>DA52+DB51</x:f>
        <x:v>778.9924997409198</x:v>
      </x:c>
      <x:c r="DC52" s="117" t="n">
        <x:f>DB52+DC51</x:f>
        <x:v>778.9924997409198</x:v>
      </x:c>
      <x:c r="DD52" s="117" t="n">
        <x:f>DC52+DD51</x:f>
        <x:v>778.9924997409198</x:v>
      </x:c>
      <x:c r="DE52" s="117" t="n">
        <x:f>DD52+DE51</x:f>
        <x:v>778.9924997409198</x:v>
      </x:c>
      <x:c r="DF52" s="117" t="n">
        <x:f>DE52+DF51</x:f>
        <x:v>778.9924997409198</x:v>
      </x:c>
      <x:c r="DG52" s="117" t="n">
        <x:f>DF52+DG51</x:f>
        <x:v>778.9924997409198</x:v>
      </x:c>
      <x:c r="DH52" s="117" t="n">
        <x:f>DG52+DH51</x:f>
        <x:v>778.9924997409198</x:v>
      </x:c>
      <x:c r="DI52" s="117" t="n">
        <x:f>DH52+DI51</x:f>
        <x:v>778.9924997409198</x:v>
      </x:c>
      <x:c r="DJ52" s="117" t="n">
        <x:f>DI52+DJ51</x:f>
        <x:v>778.9924997409198</x:v>
      </x:c>
      <x:c r="DK52" s="117" t="n">
        <x:f>DJ52+DK51</x:f>
        <x:v>778.9924997409198</x:v>
      </x:c>
      <x:c r="DL52" s="117" t="n">
        <x:f>DK52+DL51</x:f>
        <x:v>778.9924997409198</x:v>
      </x:c>
      <x:c r="DM52" s="117" t="n">
        <x:f>DL52+DM51</x:f>
        <x:v>778.9924997409198</x:v>
      </x:c>
      <x:c r="DN52" s="117" t="n">
        <x:f>DM52+DN51</x:f>
        <x:v>778.9924997409198</x:v>
      </x:c>
      <x:c r="DO52" s="117" t="n">
        <x:f>DN52+DO51</x:f>
        <x:v>778.9924997409198</x:v>
      </x:c>
      <x:c r="DP52" s="117" t="n">
        <x:f>DO52+DP51</x:f>
        <x:v>778.9924997409198</x:v>
      </x:c>
      <x:c r="DQ52" s="117" t="n">
        <x:f>DP52+DQ51</x:f>
        <x:v>778.9924997409198</x:v>
      </x:c>
      <x:c r="DR52" s="117" t="n">
        <x:f>DQ52+DR51</x:f>
        <x:v>778.9924997409198</x:v>
      </x:c>
      <x:c r="DS52" s="117" t="n">
        <x:f>DR52+DS51</x:f>
        <x:v>778.9924997409198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2169.503298057299</x:v>
      </x:c>
      <x:c r="C54" s="113" t="str">
        <x:v>млн ₽</x:v>
      </x:c>
      <x:c r="D54" s="120" t="n">
        <x:f>D27-D20-D24</x:f>
        <x:v>-707.9807307539683</x:v>
      </x:c>
      <x:c r="E54" s="120" t="n">
        <x:f>E27-E20-E24</x:f>
        <x:v>-7.980730753968252</x:v>
      </x:c>
      <x:c r="F54" s="120" t="n">
        <x:f>F27-F20-F24</x:f>
        <x:v>-7.980730753968252</x:v>
      </x:c>
      <x:c r="G54" s="120" t="n">
        <x:f>G27-G20-G24</x:f>
        <x:v>-7.980730753968252</x:v>
      </x:c>
      <x:c r="H54" s="120" t="n">
        <x:f>H27-H20-H24</x:f>
        <x:v>-7.980730753968252</x:v>
      </x:c>
      <x:c r="I54" s="120" t="n">
        <x:f>I27-I20-I24</x:f>
        <x:v>-7.980730753968252</x:v>
      </x:c>
      <x:c r="J54" s="120" t="n">
        <x:f>J27-J20-J24</x:f>
        <x:v>-7.980730753968252</x:v>
      </x:c>
      <x:c r="K54" s="120" t="n">
        <x:f>K27-K20-K24</x:f>
        <x:v>-7.980730753968252</x:v>
      </x:c>
      <x:c r="L54" s="120" t="n">
        <x:f>L27-L20-L24</x:f>
        <x:v>-7.980730753968252</x:v>
      </x:c>
      <x:c r="M54" s="120" t="n">
        <x:f>M27-M20-M24</x:f>
        <x:v>-7.980730753968252</x:v>
      </x:c>
      <x:c r="N54" s="120" t="n">
        <x:f>N27-N20-N24</x:f>
        <x:v>-7.980730753968252</x:v>
      </x:c>
      <x:c r="O54" s="120" t="n">
        <x:f>O27-O20-O24</x:f>
        <x:v>-7.980730753968252</x:v>
      </x:c>
      <x:c r="P54" s="120" t="n">
        <x:f>P27-P20-P24</x:f>
        <x:v>-33.94773075396826</x:v>
      </x:c>
      <x:c r="Q54" s="120" t="n">
        <x:f>Q27-Q20-Q24</x:f>
        <x:v>-33.94773075396826</x:v>
      </x:c>
      <x:c r="R54" s="120" t="n">
        <x:f>R27-R20-R24</x:f>
        <x:v>-33.94773075396826</x:v>
      </x:c>
      <x:c r="S54" s="120" t="n">
        <x:f>S27-S20-S24</x:f>
        <x:v>-33.94773075396826</x:v>
      </x:c>
      <x:c r="T54" s="120" t="n">
        <x:f>T27-T20-T24</x:f>
        <x:v>-33.94773075396826</x:v>
      </x:c>
      <x:c r="U54" s="120" t="n">
        <x:f>U27-U20-U24</x:f>
        <x:v>-1882.1547307539681</x:v>
      </x:c>
      <x:c r="V54" s="120" t="n">
        <x:f>V27-V20-V24</x:f>
        <x:v>-180.27246442335544</x:v>
      </x:c>
      <x:c r="W54" s="120" t="n">
        <x:f>W27-W20-W24</x:f>
        <x:v>-180.79072625464306</x:v>
      </x:c>
      <x:c r="X54" s="120" t="n">
        <x:f>X27-X20-X24</x:f>
        <x:v>-185.143738289621</x:v>
      </x:c>
      <x:c r="Y54" s="120" t="n">
        <x:f>Y27-Y20-Y24</x:f>
        <x:v>-185.7845126586452</x:v>
      </x:c>
      <x:c r="Z54" s="120" t="n">
        <x:f>Z27-Z20-Z24</x:f>
        <x:v>-339.56891502559137</x:v>
      </x:c>
      <x:c r="AA54" s="120" t="n">
        <x:f>AA27-AA20-AA24</x:f>
        <x:v>-340.24232564958334</x:v>
      </x:c>
      <x:c r="AB54" s="120" t="n">
        <x:f>AB27-AB20-AB24</x:f>
        <x:v>-336.71174337134426</x:v>
      </x:c>
      <x:c r="AC54" s="120" t="n">
        <x:f>AC27-AC20-AC24</x:f>
        <x:v>-341.6403816765188</x:v>
      </x:c>
      <x:c r="AD54" s="120" t="n">
        <x:f>AD27-AD20-AD24</x:f>
        <x:v>-342.36588968678166</x:v>
      </x:c>
      <x:c r="AE54" s="120" t="n">
        <x:f>AE27-AE20-AE24</x:f>
        <x:v>-343.10964422350247</x:v>
      </x:c>
      <x:c r="AF54" s="120" t="n">
        <x:f>AF27-AF20-AF24</x:f>
        <x:v>-339.2102602619895</x:v>
      </x:c>
      <x:c r="AG54" s="120" t="n">
        <x:f>AG27-AG20-AG24</x:f>
        <x:v>-339.8746507186769</x:v>
      </x:c>
      <x:c r="AH54" s="120" t="n">
        <x:f>AH27-AH20-AH24</x:f>
        <x:v>-340.5557505953499</x:v>
      </x:c>
      <x:c r="AI54" s="120" t="n">
        <x:f>AI27-AI20-AI24</x:f>
        <x:v>-341.2539801339213</x:v>
      </x:c>
      <x:c r="AJ54" s="120" t="n">
        <x:f>AJ27-AJ20-AJ24</x:f>
        <x:v>-347.1185864025846</x:v>
      </x:c>
      <x:c r="AK54" s="120" t="n">
        <x:f>AK27-AK20-AK24</x:f>
        <x:v>-347.9818712617079</x:v>
      </x:c>
      <x:c r="AL54" s="120" t="n">
        <x:f>AL27-AL20-AL24</x:f>
        <x:v>-348.8668677350382</x:v>
      </x:c>
      <x:c r="AM54" s="120" t="n">
        <x:f>AM27-AM20-AM24</x:f>
        <x:v>-349.7741218696727</x:v>
      </x:c>
      <x:c r="AN54" s="120" t="n">
        <x:f>AN27-AN20-AN24</x:f>
        <x:v>-345.0175361321152</x:v>
      </x:c>
      <x:c r="AO54" s="120" t="n">
        <x:f>AO27-AO20-AO24</x:f>
        <x:v>-249.57264797369268</x:v>
      </x:c>
      <x:c r="AP54" s="120" t="n">
        <x:f>AP27-AP20-AP24</x:f>
        <x:v>-250.55009044129065</x:v>
      </x:c>
      <x:c r="AQ54" s="120" t="n">
        <x:f>AQ27-AQ20-AQ24</x:f>
        <x:v>-303.48611558694876</x:v>
      </x:c>
      <x:c r="AR54" s="120" t="n">
        <x:f>AR27-AR20-AR24</x:f>
        <x:v>-298.2326608662039</x:v>
      </x:c>
      <x:c r="AS54" s="120" t="n">
        <x:f>AS27-AS20-AS24</x:f>
        <x:v>-299.1277625580485</x:v>
      </x:c>
      <x:c r="AT54" s="120" t="n">
        <x:f>AT27-AT20-AT24</x:f>
        <x:v>10817.785902166377</x:v>
      </x:c>
      <x:c r="AU54" s="120" t="n">
        <x:f>AU27-AU20-AU24</x:f>
        <x:v>302.22641803655193</x:v>
      </x:c>
      <x:c r="AV54" s="120" t="n">
        <x:f>AV27-AV20-AV24</x:f>
        <x:v>339.7013840961265</x:v>
      </x:c>
      <x:c r="AW54" s="120" t="n">
        <x:f>AW27-AW20-AW24</x:f>
        <x:v>274.4631290097351</x:v>
      </x:c>
      <x:c r="AX54" s="120" t="n">
        <x:f>AX27-AX20-AX24</x:f>
        <x:v>277.8873675130819</x:v>
      </x:c>
      <x:c r="AY54" s="120" t="n">
        <x:f>AY27-AY20-AY24</x:f>
        <x:v>281.3544946036833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2169.503298057299</x:v>
      </x:c>
      <x:c r="C55" t="str">
        <x:v>млн ₽</x:v>
      </x:c>
      <x:c r="D55" s="117" t="n">
        <x:f>D54</x:f>
        <x:v>-707.9807307539683</x:v>
      </x:c>
      <x:c r="E55" s="117" t="n">
        <x:f>D55+E54</x:f>
        <x:v>-715.9614615079365</x:v>
      </x:c>
      <x:c r="F55" s="117" t="n">
        <x:f>E55+F54</x:f>
        <x:v>-723.9421922619048</x:v>
      </x:c>
      <x:c r="G55" s="117" t="n">
        <x:f>F55+G54</x:f>
        <x:v>-731.922923015873</x:v>
      </x:c>
      <x:c r="H55" s="117" t="n">
        <x:f>G55+H54</x:f>
        <x:v>-739.9036537698413</x:v>
      </x:c>
      <x:c r="I55" s="117" t="n">
        <x:f>H55+I54</x:f>
        <x:v>-747.8843845238096</x:v>
      </x:c>
      <x:c r="J55" s="117" t="n">
        <x:f>I55+J54</x:f>
        <x:v>-755.8651152777778</x:v>
      </x:c>
      <x:c r="K55" s="117" t="n">
        <x:f>J55+K54</x:f>
        <x:v>-763.8458460317461</x:v>
      </x:c>
      <x:c r="L55" s="117" t="n">
        <x:f>K55+L54</x:f>
        <x:v>-771.8265767857143</x:v>
      </x:c>
      <x:c r="M55" s="117" t="n">
        <x:f>L55+M54</x:f>
        <x:v>-779.8073075396826</x:v>
      </x:c>
      <x:c r="N55" s="117" t="n">
        <x:f>M55+N54</x:f>
        <x:v>-787.7880382936509</x:v>
      </x:c>
      <x:c r="O55" s="117" t="n">
        <x:f>N55+O54</x:f>
        <x:v>-795.7687690476191</x:v>
      </x:c>
      <x:c r="P55" s="117" t="n">
        <x:f>O55+P54</x:f>
        <x:v>-829.7164998015874</x:v>
      </x:c>
      <x:c r="Q55" s="117" t="n">
        <x:f>P55+Q54</x:f>
        <x:v>-863.6642305555556</x:v>
      </x:c>
      <x:c r="R55" s="117" t="n">
        <x:f>Q55+R54</x:f>
        <x:v>-897.6119613095238</x:v>
      </x:c>
      <x:c r="S55" s="117" t="n">
        <x:f>R55+S54</x:f>
        <x:v>-931.5596920634921</x:v>
      </x:c>
      <x:c r="T55" s="117" t="n">
        <x:f>S55+T54</x:f>
        <x:v>-965.5074228174603</x:v>
      </x:c>
      <x:c r="U55" s="117" t="n">
        <x:f>T55+U54</x:f>
        <x:v>-2847.6621535714285</x:v>
      </x:c>
      <x:c r="V55" s="117" t="n">
        <x:f>U55+V54</x:f>
        <x:v>-3027.934617994784</x:v>
      </x:c>
      <x:c r="W55" s="117" t="n">
        <x:f>V55+W54</x:f>
        <x:v>-3208.725344249427</x:v>
      </x:c>
      <x:c r="X55" s="117" t="n">
        <x:f>W55+X54</x:f>
        <x:v>-3393.869082539048</x:v>
      </x:c>
      <x:c r="Y55" s="117" t="n">
        <x:f>X55+Y54</x:f>
        <x:v>-3579.6535951976934</x:v>
      </x:c>
      <x:c r="Z55" s="117" t="n">
        <x:f>Y55+Z54</x:f>
        <x:v>-3919.2225102232846</x:v>
      </x:c>
      <x:c r="AA55" s="117" t="n">
        <x:f>Z55+AA54</x:f>
        <x:v>-4259.464835872868</x:v>
      </x:c>
      <x:c r="AB55" s="117" t="n">
        <x:f>AA55+AB54</x:f>
        <x:v>-4596.176579244213</x:v>
      </x:c>
      <x:c r="AC55" s="117" t="n">
        <x:f>AB55+AC54</x:f>
        <x:v>-4937.816960920732</x:v>
      </x:c>
      <x:c r="AD55" s="117" t="n">
        <x:f>AC55+AD54</x:f>
        <x:v>-5280.1828506075135</x:v>
      </x:c>
      <x:c r="AE55" s="117" t="n">
        <x:f>AD55+AE54</x:f>
        <x:v>-5623.292494831016</x:v>
      </x:c>
      <x:c r="AF55" s="117" t="n">
        <x:f>AE55+AF54</x:f>
        <x:v>-5962.502755093005</x:v>
      </x:c>
      <x:c r="AG55" s="117" t="n">
        <x:f>AF55+AG54</x:f>
        <x:v>-6302.377405811682</x:v>
      </x:c>
      <x:c r="AH55" s="117" t="n">
        <x:f>AG55+AH54</x:f>
        <x:v>-6642.933156407033</x:v>
      </x:c>
      <x:c r="AI55" s="117" t="n">
        <x:f>AH55+AI54</x:f>
        <x:v>-6984.187136540954</x:v>
      </x:c>
      <x:c r="AJ55" s="117" t="n">
        <x:f>AI55+AJ54</x:f>
        <x:v>-7331.305722943539</x:v>
      </x:c>
      <x:c r="AK55" s="117" t="n">
        <x:f>AJ55+AK54</x:f>
        <x:v>-7679.287594205247</x:v>
      </x:c>
      <x:c r="AL55" s="117" t="n">
        <x:f>AK55+AL54</x:f>
        <x:v>-8028.154461940285</x:v>
      </x:c>
      <x:c r="AM55" s="117" t="n">
        <x:f>AL55+AM54</x:f>
        <x:v>-8377.928583809957</x:v>
      </x:c>
      <x:c r="AN55" s="117" t="n">
        <x:f>AM55+AN54</x:f>
        <x:v>-8722.946119942071</x:v>
      </x:c>
      <x:c r="AO55" s="117" t="n">
        <x:f>AN55+AO54</x:f>
        <x:v>-8972.518767915764</x:v>
      </x:c>
      <x:c r="AP55" s="117" t="n">
        <x:f>AO55+AP54</x:f>
        <x:v>-9223.068858357055</x:v>
      </x:c>
      <x:c r="AQ55" s="117" t="n">
        <x:f>AP55+AQ54</x:f>
        <x:v>-9526.554973944005</x:v>
      </x:c>
      <x:c r="AR55" s="117" t="n">
        <x:f>AQ55+AR54</x:f>
        <x:v>-9824.787634810209</x:v>
      </x:c>
      <x:c r="AS55" s="117" t="n">
        <x:f>AR55+AS54</x:f>
        <x:v>-10123.915397368257</x:v>
      </x:c>
      <x:c r="AT55" s="117" t="n">
        <x:f>AS55+AT54</x:f>
        <x:v>693.8705047981202</x:v>
      </x:c>
      <x:c r="AU55" s="117" t="n">
        <x:f>AT55+AU54</x:f>
        <x:v>996.0969228346721</x:v>
      </x:c>
      <x:c r="AV55" s="117" t="n">
        <x:f>AU55+AV54</x:f>
        <x:v>1335.7983069307986</x:v>
      </x:c>
      <x:c r="AW55" s="117" t="n">
        <x:f>AV55+AW54</x:f>
        <x:v>1610.2614359405338</x:v>
      </x:c>
      <x:c r="AX55" s="117" t="n">
        <x:f>AW55+AX54</x:f>
        <x:v>1888.1488034536158</x:v>
      </x:c>
      <x:c r="AY55" s="117" t="n">
        <x:f>AX55+AY54</x:f>
        <x:v>2169.503298057299</x:v>
      </x:c>
      <x:c r="AZ55" s="117" t="n">
        <x:f>AY55+AZ54</x:f>
        <x:v>2169.503298057299</x:v>
      </x:c>
      <x:c r="BA55" s="117" t="n">
        <x:f>AZ55+BA54</x:f>
        <x:v>2169.503298057299</x:v>
      </x:c>
      <x:c r="BB55" s="117" t="n">
        <x:f>BA55+BB54</x:f>
        <x:v>2169.503298057299</x:v>
      </x:c>
      <x:c r="BC55" s="117" t="n">
        <x:f>BB55+BC54</x:f>
        <x:v>2169.503298057299</x:v>
      </x:c>
      <x:c r="BD55" s="117" t="n">
        <x:f>BC55+BD54</x:f>
        <x:v>2169.503298057299</x:v>
      </x:c>
      <x:c r="BE55" s="117" t="n">
        <x:f>BD55+BE54</x:f>
        <x:v>2169.503298057299</x:v>
      </x:c>
      <x:c r="BF55" s="117" t="n">
        <x:f>BE55+BF54</x:f>
        <x:v>2169.503298057299</x:v>
      </x:c>
      <x:c r="BG55" s="117" t="n">
        <x:f>BF55+BG54</x:f>
        <x:v>2169.503298057299</x:v>
      </x:c>
      <x:c r="BH55" s="117" t="n">
        <x:f>BG55+BH54</x:f>
        <x:v>2169.503298057299</x:v>
      </x:c>
      <x:c r="BI55" s="117" t="n">
        <x:f>BH55+BI54</x:f>
        <x:v>2169.503298057299</x:v>
      </x:c>
      <x:c r="BJ55" s="117" t="n">
        <x:f>BI55+BJ54</x:f>
        <x:v>2169.503298057299</x:v>
      </x:c>
      <x:c r="BK55" s="117" t="n">
        <x:f>BJ55+BK54</x:f>
        <x:v>2169.503298057299</x:v>
      </x:c>
      <x:c r="BL55" s="117" t="n">
        <x:f>BK55+BL54</x:f>
        <x:v>2169.503298057299</x:v>
      </x:c>
      <x:c r="BM55" s="117" t="n">
        <x:f>BL55+BM54</x:f>
        <x:v>2169.503298057299</x:v>
      </x:c>
      <x:c r="BN55" s="117" t="n">
        <x:f>BM55+BN54</x:f>
        <x:v>2169.503298057299</x:v>
      </x:c>
      <x:c r="BO55" s="117" t="n">
        <x:f>BN55+BO54</x:f>
        <x:v>2169.503298057299</x:v>
      </x:c>
      <x:c r="BP55" s="117" t="n">
        <x:f>BO55+BP54</x:f>
        <x:v>2169.503298057299</x:v>
      </x:c>
      <x:c r="BQ55" s="117" t="n">
        <x:f>BP55+BQ54</x:f>
        <x:v>2169.503298057299</x:v>
      </x:c>
      <x:c r="BR55" s="117" t="n">
        <x:f>BQ55+BR54</x:f>
        <x:v>2169.503298057299</x:v>
      </x:c>
      <x:c r="BS55" s="117" t="n">
        <x:f>BR55+BS54</x:f>
        <x:v>2169.503298057299</x:v>
      </x:c>
      <x:c r="BT55" s="117" t="n">
        <x:f>BS55+BT54</x:f>
        <x:v>2169.503298057299</x:v>
      </x:c>
      <x:c r="BU55" s="117" t="n">
        <x:f>BT55+BU54</x:f>
        <x:v>2169.503298057299</x:v>
      </x:c>
      <x:c r="BV55" s="117" t="n">
        <x:f>BU55+BV54</x:f>
        <x:v>2169.503298057299</x:v>
      </x:c>
      <x:c r="BW55" s="117" t="n">
        <x:f>BV55+BW54</x:f>
        <x:v>2169.503298057299</x:v>
      </x:c>
      <x:c r="BX55" s="117" t="n">
        <x:f>BW55+BX54</x:f>
        <x:v>2169.503298057299</x:v>
      </x:c>
      <x:c r="BY55" s="117" t="n">
        <x:f>BX55+BY54</x:f>
        <x:v>2169.503298057299</x:v>
      </x:c>
      <x:c r="BZ55" s="117" t="n">
        <x:f>BY55+BZ54</x:f>
        <x:v>2169.503298057299</x:v>
      </x:c>
      <x:c r="CA55" s="117" t="n">
        <x:f>BZ55+CA54</x:f>
        <x:v>2169.503298057299</x:v>
      </x:c>
      <x:c r="CB55" s="117" t="n">
        <x:f>CA55+CB54</x:f>
        <x:v>2169.503298057299</x:v>
      </x:c>
      <x:c r="CC55" s="117" t="n">
        <x:f>CB55+CC54</x:f>
        <x:v>2169.503298057299</x:v>
      </x:c>
      <x:c r="CD55" s="117" t="n">
        <x:f>CC55+CD54</x:f>
        <x:v>2169.503298057299</x:v>
      </x:c>
      <x:c r="CE55" s="117" t="n">
        <x:f>CD55+CE54</x:f>
        <x:v>2169.503298057299</x:v>
      </x:c>
      <x:c r="CF55" s="117" t="n">
        <x:f>CE55+CF54</x:f>
        <x:v>2169.503298057299</x:v>
      </x:c>
      <x:c r="CG55" s="117" t="n">
        <x:f>CF55+CG54</x:f>
        <x:v>2169.503298057299</x:v>
      </x:c>
      <x:c r="CH55" s="117" t="n">
        <x:f>CG55+CH54</x:f>
        <x:v>2169.503298057299</x:v>
      </x:c>
      <x:c r="CI55" s="117" t="n">
        <x:f>CH55+CI54</x:f>
        <x:v>2169.503298057299</x:v>
      </x:c>
      <x:c r="CJ55" s="117" t="n">
        <x:f>CI55+CJ54</x:f>
        <x:v>2169.503298057299</x:v>
      </x:c>
      <x:c r="CK55" s="117" t="n">
        <x:f>CJ55+CK54</x:f>
        <x:v>2169.503298057299</x:v>
      </x:c>
      <x:c r="CL55" s="117" t="n">
        <x:f>CK55+CL54</x:f>
        <x:v>2169.503298057299</x:v>
      </x:c>
      <x:c r="CM55" s="117" t="n">
        <x:f>CL55+CM54</x:f>
        <x:v>2169.503298057299</x:v>
      </x:c>
      <x:c r="CN55" s="117" t="n">
        <x:f>CM55+CN54</x:f>
        <x:v>2169.503298057299</x:v>
      </x:c>
      <x:c r="CO55" s="117" t="n">
        <x:f>CN55+CO54</x:f>
        <x:v>2169.503298057299</x:v>
      </x:c>
      <x:c r="CP55" s="117" t="n">
        <x:f>CO55+CP54</x:f>
        <x:v>2169.503298057299</x:v>
      </x:c>
      <x:c r="CQ55" s="117" t="n">
        <x:f>CP55+CQ54</x:f>
        <x:v>2169.503298057299</x:v>
      </x:c>
      <x:c r="CR55" s="117" t="n">
        <x:f>CQ55+CR54</x:f>
        <x:v>2169.503298057299</x:v>
      </x:c>
      <x:c r="CS55" s="117" t="n">
        <x:f>CR55+CS54</x:f>
        <x:v>2169.503298057299</x:v>
      </x:c>
      <x:c r="CT55" s="117" t="n">
        <x:f>CS55+CT54</x:f>
        <x:v>2169.503298057299</x:v>
      </x:c>
      <x:c r="CU55" s="117" t="n">
        <x:f>CT55+CU54</x:f>
        <x:v>2169.503298057299</x:v>
      </x:c>
      <x:c r="CV55" s="117" t="n">
        <x:f>CU55+CV54</x:f>
        <x:v>2169.503298057299</x:v>
      </x:c>
      <x:c r="CW55" s="117" t="n">
        <x:f>CV55+CW54</x:f>
        <x:v>2169.503298057299</x:v>
      </x:c>
      <x:c r="CX55" s="117" t="n">
        <x:f>CW55+CX54</x:f>
        <x:v>2169.503298057299</x:v>
      </x:c>
      <x:c r="CY55" s="117" t="n">
        <x:f>CX55+CY54</x:f>
        <x:v>2169.503298057299</x:v>
      </x:c>
      <x:c r="CZ55" s="117" t="n">
        <x:f>CY55+CZ54</x:f>
        <x:v>2169.503298057299</x:v>
      </x:c>
      <x:c r="DA55" s="117" t="n">
        <x:f>CZ55+DA54</x:f>
        <x:v>2169.503298057299</x:v>
      </x:c>
      <x:c r="DB55" s="117" t="n">
        <x:f>DA55+DB54</x:f>
        <x:v>2169.503298057299</x:v>
      </x:c>
      <x:c r="DC55" s="117" t="n">
        <x:f>DB55+DC54</x:f>
        <x:v>2169.503298057299</x:v>
      </x:c>
      <x:c r="DD55" s="117" t="n">
        <x:f>DC55+DD54</x:f>
        <x:v>2169.503298057299</x:v>
      </x:c>
      <x:c r="DE55" s="117" t="n">
        <x:f>DD55+DE54</x:f>
        <x:v>2169.503298057299</x:v>
      </x:c>
      <x:c r="DF55" s="117" t="n">
        <x:f>DE55+DF54</x:f>
        <x:v>2169.503298057299</x:v>
      </x:c>
      <x:c r="DG55" s="117" t="n">
        <x:f>DF55+DG54</x:f>
        <x:v>2169.503298057299</x:v>
      </x:c>
      <x:c r="DH55" s="117" t="n">
        <x:f>DG55+DH54</x:f>
        <x:v>2169.503298057299</x:v>
      </x:c>
      <x:c r="DI55" s="117" t="n">
        <x:f>DH55+DI54</x:f>
        <x:v>2169.503298057299</x:v>
      </x:c>
      <x:c r="DJ55" s="117" t="n">
        <x:f>DI55+DJ54</x:f>
        <x:v>2169.503298057299</x:v>
      </x:c>
      <x:c r="DK55" s="117" t="n">
        <x:f>DJ55+DK54</x:f>
        <x:v>2169.503298057299</x:v>
      </x:c>
      <x:c r="DL55" s="117" t="n">
        <x:f>DK55+DL54</x:f>
        <x:v>2169.503298057299</x:v>
      </x:c>
      <x:c r="DM55" s="117" t="n">
        <x:f>DL55+DM54</x:f>
        <x:v>2169.503298057299</x:v>
      </x:c>
      <x:c r="DN55" s="117" t="n">
        <x:f>DM55+DN54</x:f>
        <x:v>2169.503298057299</x:v>
      </x:c>
      <x:c r="DO55" s="117" t="n">
        <x:f>DN55+DO54</x:f>
        <x:v>2169.503298057299</x:v>
      </x:c>
      <x:c r="DP55" s="117" t="n">
        <x:f>DO55+DP54</x:f>
        <x:v>2169.503298057299</x:v>
      </x:c>
      <x:c r="DQ55" s="117" t="n">
        <x:f>DP55+DQ54</x:f>
        <x:v>2169.503298057299</x:v>
      </x:c>
      <x:c r="DR55" s="117" t="n">
        <x:f>DQ55+DR54</x:f>
        <x:v>2169.503298057299</x:v>
      </x:c>
      <x:c r="DS55" s="117" t="n">
        <x:f>DR55+DS54</x:f>
        <x:v>2169.503298057299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5.062616992290714e-14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  <x:v>12743.009317800295</x:v>
      </x:c>
      <x:c r="C67" s="99" t="str">
        <x:v>млн ₽</x:v>
      </x:c>
    </x:row>
    <x:row r="68">
      <x:c r="A68" s="99" t="str">
        <x:v>CAPEX</x:v>
      </x:c>
      <x:c r="B68" s="116" t="n">
        <x:f>B17</x:f>
        <x:v>9387.564534250003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892.0106522460205</x:v>
      </x:c>
      <x:c r="C69" s="99" t="str">
        <x:v>млн ₽</x:v>
      </x:c>
    </x:row>
    <x:row r="70">
      <x:c r="A70" s="99" t="str">
        <x:v>EBITDA</x:v>
      </x:c>
      <x:c r="B70" s="116" t="n">
        <x:f>B10-B20</x:f>
        <x:v>2463.4341313042733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241.61167567656668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933.3832728831311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215.5158497566823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1390.51079831638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1072.9233329878932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293.93083324697335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778.9924997409198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1097.3595290179696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1876.3520287588894</x:v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258.32826669165195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3050.711737585049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10280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10519.298044546515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--('Вводные'!$B$89="Да")</x:f>
        <x:v>0</x:v>
      </x:c>
      <x:c r="C5" t="str">
        <x:v>0/1</x:v>
      </x:c>
      <x:c r="D5" t="n">
        <x:f>$B$5</x:f>
        <x:v>0</x:v>
      </x:c>
      <x:c r="E5" t="n">
        <x:f>$B$5</x:f>
        <x:v>0</x:v>
      </x:c>
      <x:c r="F5" t="n">
        <x:f>$B$5</x:f>
        <x:v>0</x:v>
      </x:c>
      <x:c r="G5" t="n">
        <x:f>$B$5</x:f>
        <x:v>0</x:v>
      </x:c>
      <x:c r="H5" t="n">
        <x:f>$B$5</x:f>
        <x:v>0</x:v>
      </x:c>
      <x:c r="I5" t="n">
        <x:f>$B$5</x:f>
        <x:v>0</x:v>
      </x:c>
      <x:c r="J5" t="n">
        <x:f>$B$5</x:f>
        <x:v>0</x:v>
      </x:c>
      <x:c r="K5" t="n">
        <x:f>$B$5</x:f>
        <x:v>0</x:v>
      </x:c>
      <x:c r="L5" t="n">
        <x:f>$B$5</x:f>
        <x:v>0</x:v>
      </x:c>
      <x:c r="M5" t="n">
        <x:f>$B$5</x:f>
        <x:v>0</x:v>
      </x:c>
      <x:c r="N5" t="n">
        <x:f>$B$5</x:f>
        <x:v>0</x:v>
      </x:c>
      <x:c r="O5" t="n">
        <x:f>$B$5</x:f>
        <x:v>0</x:v>
      </x:c>
      <x:c r="P5" t="n">
        <x:f>$B$5</x:f>
        <x:v>0</x:v>
      </x:c>
      <x:c r="Q5" t="n">
        <x:f>$B$5</x:f>
        <x:v>0</x:v>
      </x:c>
      <x:c r="R5" t="n">
        <x:f>$B$5</x:f>
        <x:v>0</x:v>
      </x:c>
      <x:c r="S5" t="n">
        <x:f>$B$5</x:f>
        <x:v>0</x:v>
      </x:c>
      <x:c r="T5" t="n">
        <x:f>$B$5</x:f>
        <x:v>0</x:v>
      </x:c>
      <x:c r="U5" t="n">
        <x:f>$B$5</x:f>
        <x:v>0</x:v>
      </x:c>
      <x:c r="V5" t="n">
        <x:f>$B$5</x:f>
        <x:v>0</x:v>
      </x:c>
      <x:c r="W5" t="n">
        <x:f>$B$5</x:f>
        <x:v>0</x:v>
      </x:c>
      <x:c r="X5" t="n">
        <x:f>$B$5</x:f>
        <x:v>0</x:v>
      </x:c>
      <x:c r="Y5" t="n">
        <x:f>$B$5</x:f>
        <x:v>0</x:v>
      </x:c>
      <x:c r="Z5" t="n">
        <x:f>$B$5</x:f>
        <x:v>0</x:v>
      </x:c>
      <x:c r="AA5" t="n">
        <x:f>$B$5</x:f>
        <x:v>0</x:v>
      </x:c>
      <x:c r="AB5" t="n">
        <x:f>$B$5</x:f>
        <x:v>0</x:v>
      </x:c>
      <x:c r="AC5" t="n">
        <x:f>$B$5</x:f>
        <x:v>0</x:v>
      </x:c>
      <x:c r="AD5" t="n">
        <x:f>$B$5</x:f>
        <x:v>0</x:v>
      </x:c>
      <x:c r="AE5" t="n">
        <x:f>$B$5</x:f>
        <x:v>0</x:v>
      </x:c>
      <x:c r="AF5" t="n">
        <x:f>$B$5</x:f>
        <x:v>0</x:v>
      </x:c>
      <x:c r="AG5" t="n">
        <x:f>$B$5</x:f>
        <x:v>0</x:v>
      </x:c>
      <x:c r="AH5" t="n">
        <x:f>$B$5</x:f>
        <x:v>0</x:v>
      </x:c>
      <x:c r="AI5" t="n">
        <x:f>$B$5</x:f>
        <x:v>0</x:v>
      </x:c>
      <x:c r="AJ5" t="n">
        <x:f>$B$5</x:f>
        <x:v>0</x:v>
      </x:c>
      <x:c r="AK5" t="n">
        <x:f>$B$5</x:f>
        <x:v>0</x:v>
      </x:c>
      <x:c r="AL5" t="n">
        <x:f>$B$5</x:f>
        <x:v>0</x:v>
      </x:c>
      <x:c r="AM5" t="n">
        <x:f>$B$5</x:f>
        <x:v>0</x:v>
      </x:c>
      <x:c r="AN5" t="n">
        <x:f>$B$5</x:f>
        <x:v>0</x:v>
      </x:c>
      <x:c r="AO5" t="n">
        <x:f>$B$5</x:f>
        <x:v>0</x:v>
      </x:c>
      <x:c r="AP5" t="n">
        <x:f>$B$5</x:f>
        <x:v>0</x:v>
      </x:c>
      <x:c r="AQ5" t="n">
        <x:f>$B$5</x:f>
        <x:v>0</x:v>
      </x:c>
      <x:c r="AR5" t="n">
        <x:f>$B$5</x:f>
        <x:v>0</x:v>
      </x:c>
      <x:c r="AS5" t="n">
        <x:f>$B$5</x:f>
        <x:v>0</x:v>
      </x:c>
      <x:c r="AT5" t="n">
        <x:f>$B$5</x:f>
        <x:v>0</x:v>
      </x:c>
      <x:c r="AU5" t="n">
        <x:f>$B$5</x:f>
        <x:v>0</x:v>
      </x:c>
      <x:c r="AV5" t="n">
        <x:f>$B$5</x:f>
        <x:v>0</x:v>
      </x:c>
      <x:c r="AW5" t="n">
        <x:f>$B$5</x:f>
        <x:v>0</x:v>
      </x:c>
      <x:c r="AX5" t="n">
        <x:f>$B$5</x:f>
        <x:v>0</x:v>
      </x:c>
      <x:c r="AY5" t="n">
        <x:f>$B$5</x:f>
        <x:v>0</x:v>
      </x:c>
      <x:c r="AZ5" t="n">
        <x:f>$B$5</x:f>
        <x:v>0</x:v>
      </x:c>
      <x:c r="BA5" t="n">
        <x:f>$B$5</x:f>
        <x:v>0</x:v>
      </x:c>
      <x:c r="BB5" t="n">
        <x:f>$B$5</x:f>
        <x:v>0</x:v>
      </x:c>
      <x:c r="BC5" t="n">
        <x:f>$B$5</x:f>
        <x:v>0</x:v>
      </x:c>
      <x:c r="BD5" t="n">
        <x:f>$B$5</x:f>
        <x:v>0</x:v>
      </x:c>
      <x:c r="BE5" t="n">
        <x:f>$B$5</x:f>
        <x:v>0</x:v>
      </x:c>
      <x:c r="BF5" t="n">
        <x:f>$B$5</x:f>
        <x:v>0</x:v>
      </x:c>
      <x:c r="BG5" t="n">
        <x:f>$B$5</x:f>
        <x:v>0</x:v>
      </x:c>
      <x:c r="BH5" t="n">
        <x:f>$B$5</x:f>
        <x:v>0</x:v>
      </x:c>
      <x:c r="BI5" t="n">
        <x:f>$B$5</x:f>
        <x:v>0</x:v>
      </x:c>
      <x:c r="BJ5" t="n">
        <x:f>$B$5</x:f>
        <x:v>0</x:v>
      </x:c>
      <x:c r="BK5" t="n">
        <x:f>$B$5</x:f>
        <x:v>0</x:v>
      </x:c>
      <x:c r="BL5" t="n">
        <x:f>$B$5</x:f>
        <x:v>0</x:v>
      </x:c>
      <x:c r="BM5" t="n">
        <x:f>$B$5</x:f>
        <x:v>0</x:v>
      </x:c>
      <x:c r="BN5" t="n">
        <x:f>$B$5</x:f>
        <x:v>0</x:v>
      </x:c>
      <x:c r="BO5" t="n">
        <x:f>$B$5</x:f>
        <x:v>0</x:v>
      </x:c>
      <x:c r="BP5" t="n">
        <x:f>$B$5</x:f>
        <x:v>0</x:v>
      </x:c>
      <x:c r="BQ5" t="n">
        <x:f>$B$5</x:f>
        <x:v>0</x:v>
      </x:c>
      <x:c r="BR5" t="n">
        <x:f>$B$5</x:f>
        <x:v>0</x:v>
      </x:c>
      <x:c r="BS5" t="n">
        <x:f>$B$5</x:f>
        <x:v>0</x:v>
      </x:c>
      <x:c r="BT5" t="n">
        <x:f>$B$5</x:f>
        <x:v>0</x:v>
      </x:c>
      <x:c r="BU5" t="n">
        <x:f>$B$5</x:f>
        <x:v>0</x:v>
      </x:c>
      <x:c r="BV5" t="n">
        <x:f>$B$5</x:f>
        <x:v>0</x:v>
      </x:c>
      <x:c r="BW5" t="n">
        <x:f>$B$5</x:f>
        <x:v>0</x:v>
      </x:c>
      <x:c r="BX5" t="n">
        <x:f>$B$5</x:f>
        <x:v>0</x:v>
      </x:c>
      <x:c r="BY5" t="n">
        <x:f>$B$5</x:f>
        <x:v>0</x:v>
      </x:c>
      <x:c r="BZ5" t="n">
        <x:f>$B$5</x:f>
        <x:v>0</x:v>
      </x:c>
      <x:c r="CA5" t="n">
        <x:f>$B$5</x:f>
        <x:v>0</x:v>
      </x:c>
      <x:c r="CB5" t="n">
        <x:f>$B$5</x:f>
        <x:v>0</x:v>
      </x:c>
      <x:c r="CC5" t="n">
        <x:f>$B$5</x:f>
        <x:v>0</x:v>
      </x:c>
      <x:c r="CD5" t="n">
        <x:f>$B$5</x:f>
        <x:v>0</x:v>
      </x:c>
      <x:c r="CE5" t="n">
        <x:f>$B$5</x:f>
        <x:v>0</x:v>
      </x:c>
      <x:c r="CF5" t="n">
        <x:f>$B$5</x:f>
        <x:v>0</x:v>
      </x:c>
      <x:c r="CG5" t="n">
        <x:f>$B$5</x:f>
        <x:v>0</x:v>
      </x:c>
      <x:c r="CH5" t="n">
        <x:f>$B$5</x:f>
        <x:v>0</x:v>
      </x:c>
      <x:c r="CI5" t="n">
        <x:f>$B$5</x:f>
        <x:v>0</x:v>
      </x:c>
      <x:c r="CJ5" t="n">
        <x:f>$B$5</x:f>
        <x:v>0</x:v>
      </x:c>
      <x:c r="CK5" t="n">
        <x:f>$B$5</x:f>
        <x:v>0</x:v>
      </x:c>
      <x:c r="CL5" t="n">
        <x:f>$B$5</x:f>
        <x:v>0</x:v>
      </x:c>
      <x:c r="CM5" t="n">
        <x:f>$B$5</x:f>
        <x:v>0</x:v>
      </x:c>
      <x:c r="CN5" t="n">
        <x:f>$B$5</x:f>
        <x:v>0</x:v>
      </x:c>
      <x:c r="CO5" t="n">
        <x:f>$B$5</x:f>
        <x:v>0</x:v>
      </x:c>
      <x:c r="CP5" t="n">
        <x:f>$B$5</x:f>
        <x:v>0</x:v>
      </x:c>
      <x:c r="CQ5" t="n">
        <x:f>$B$5</x:f>
        <x:v>0</x:v>
      </x:c>
      <x:c r="CR5" t="n">
        <x:f>$B$5</x:f>
        <x:v>0</x:v>
      </x:c>
      <x:c r="CS5" t="n">
        <x:f>$B$5</x:f>
        <x:v>0</x:v>
      </x:c>
      <x:c r="CT5" t="n">
        <x:f>$B$5</x:f>
        <x:v>0</x:v>
      </x:c>
      <x:c r="CU5" t="n">
        <x:f>$B$5</x:f>
        <x:v>0</x:v>
      </x:c>
      <x:c r="CV5" t="n">
        <x:f>$B$5</x:f>
        <x:v>0</x:v>
      </x:c>
      <x:c r="CW5" t="n">
        <x:f>$B$5</x:f>
        <x:v>0</x:v>
      </x:c>
      <x:c r="CX5" t="n">
        <x:f>$B$5</x:f>
        <x:v>0</x:v>
      </x:c>
      <x:c r="CY5" t="n">
        <x:f>$B$5</x:f>
        <x:v>0</x:v>
      </x:c>
      <x:c r="CZ5" t="n">
        <x:f>$B$5</x:f>
        <x:v>0</x:v>
      </x:c>
      <x:c r="DA5" t="n">
        <x:f>$B$5</x:f>
        <x:v>0</x:v>
      </x:c>
      <x:c r="DB5" t="n">
        <x:f>$B$5</x:f>
        <x:v>0</x:v>
      </x:c>
      <x:c r="DC5" t="n">
        <x:f>$B$5</x:f>
        <x:v>0</x:v>
      </x:c>
      <x:c r="DD5" t="n">
        <x:f>$B$5</x:f>
        <x:v>0</x:v>
      </x:c>
      <x:c r="DE5" t="n">
        <x:f>$B$5</x:f>
        <x:v>0</x:v>
      </x:c>
      <x:c r="DF5" t="n">
        <x:f>$B$5</x:f>
        <x:v>0</x:v>
      </x:c>
      <x:c r="DG5" t="n">
        <x:f>$B$5</x:f>
        <x:v>0</x:v>
      </x:c>
      <x:c r="DH5" t="n">
        <x:f>$B$5</x:f>
        <x:v>0</x:v>
      </x:c>
      <x:c r="DI5" t="n">
        <x:f>$B$5</x:f>
        <x:v>0</x:v>
      </x:c>
      <x:c r="DJ5" t="n">
        <x:f>$B$5</x:f>
        <x:v>0</x:v>
      </x:c>
      <x:c r="DK5" t="n">
        <x:f>$B$5</x:f>
        <x:v>0</x:v>
      </x:c>
      <x:c r="DL5" t="n">
        <x:f>$B$5</x:f>
        <x:v>0</x:v>
      </x:c>
      <x:c r="DM5" t="n">
        <x:f>$B$5</x:f>
        <x:v>0</x:v>
      </x:c>
      <x:c r="DN5" t="n">
        <x:f>$B$5</x:f>
        <x:v>0</x:v>
      </x:c>
      <x:c r="DO5" t="n">
        <x:f>$B$5</x:f>
        <x:v>0</x:v>
      </x:c>
      <x:c r="DP5" t="n">
        <x:f>$B$5</x:f>
        <x:v>0</x:v>
      </x:c>
      <x:c r="DQ5" t="n">
        <x:f>$B$5</x:f>
        <x:v>0</x:v>
      </x:c>
      <x:c r="DR5" t="n">
        <x:f>$B$5</x:f>
        <x:v>0</x:v>
      </x:c>
      <x:c r="DS5" t="n">
        <x:f>$B$5</x:f>
        <x:v>0</x:v>
      </x:c>
    </x:row>
    <x:row r="6">
      <x:c r="A6" t="str">
        <x:v>Начало очереди</x:v>
      </x:c>
      <x:c r="B6" s="106" t="n">
        <x:f>EDATE('Вводные'!$D$89,'Вводные'!$H$9)</x:f>
        <x:v>47119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  <x:v>47665</x:v>
      </x:c>
      <x:c r="C7" t="str">
        <x:v>дата</x:v>
      </x:c>
    </x:row>
    <x:row r="8">
      <x:c r="A8" t="str">
        <x:v>РВЭ</x:v>
      </x:c>
      <x:c r="B8" s="106" t="n">
        <x:f>EDATE(B7,'Вводные'!$F$89)</x:f>
        <x:v>48396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0</x:v>
      </x:c>
      <x:c r="C10" t="str">
        <x:v>млн ₽</x:v>
      </x:c>
      <x:c r="D10" s="117" t="n">
        <x:f>'Продажи'!D49+'ОБЪЕКТЫ'!D100</x:f>
        <x:v>0</x:v>
      </x:c>
      <x:c r="E10" s="117" t="n">
        <x:f>'Продажи'!E49+'ОБЪЕКТЫ'!E100</x:f>
        <x:v>0</x:v>
      </x:c>
      <x:c r="F10" s="117" t="n">
        <x:f>'Продажи'!F49+'ОБЪЕКТЫ'!F100</x:f>
        <x:v>0</x:v>
      </x:c>
      <x:c r="G10" s="117" t="n">
        <x:f>'Продажи'!G49+'ОБЪЕКТЫ'!G100</x:f>
        <x:v>0</x:v>
      </x:c>
      <x:c r="H10" s="117" t="n">
        <x:f>'Продажи'!H49+'ОБЪЕКТЫ'!H100</x:f>
        <x:v>0</x:v>
      </x:c>
      <x:c r="I10" s="117" t="n">
        <x:f>'Продажи'!I49+'ОБЪЕКТЫ'!I100</x:f>
        <x:v>0</x:v>
      </x:c>
      <x:c r="J10" s="117" t="n">
        <x:f>'Продажи'!J49+'ОБЪЕКТЫ'!J100</x:f>
        <x:v>0</x:v>
      </x:c>
      <x:c r="K10" s="117" t="n">
        <x:f>'Продажи'!K49+'ОБЪЕКТЫ'!K100</x:f>
        <x:v>0</x:v>
      </x:c>
      <x:c r="L10" s="117" t="n">
        <x:f>'Продажи'!L49+'ОБЪЕКТЫ'!L100</x:f>
        <x:v>0</x:v>
      </x:c>
      <x:c r="M10" s="117" t="n">
        <x:f>'Продажи'!M49+'ОБЪЕКТЫ'!M100</x:f>
        <x:v>0</x:v>
      </x:c>
      <x:c r="N10" s="117" t="n">
        <x:f>'Продажи'!N49+'ОБЪЕКТЫ'!N100</x:f>
        <x:v>0</x:v>
      </x:c>
      <x:c r="O10" s="117" t="n">
        <x:f>'Продажи'!O49+'ОБЪЕКТЫ'!O100</x:f>
        <x:v>0</x:v>
      </x:c>
      <x:c r="P10" s="117" t="n">
        <x:f>'Продажи'!P49+'ОБЪЕКТЫ'!P100</x:f>
        <x:v>0</x:v>
      </x:c>
      <x:c r="Q10" s="117" t="n">
        <x:f>'Продажи'!Q49+'ОБЪЕКТЫ'!Q100</x:f>
        <x:v>0</x:v>
      </x:c>
      <x:c r="R10" s="117" t="n">
        <x:f>'Продажи'!R49+'ОБЪЕКТЫ'!R100</x:f>
        <x:v>0</x:v>
      </x:c>
      <x:c r="S10" s="117" t="n">
        <x:f>'Продажи'!S49+'ОБЪЕКТЫ'!S100</x:f>
        <x:v>0</x:v>
      </x:c>
      <x:c r="T10" s="117" t="n">
        <x:f>'Продажи'!T49+'ОБЪЕКТЫ'!T100</x:f>
        <x:v>0</x:v>
      </x:c>
      <x:c r="U10" s="117" t="n">
        <x:f>'Продажи'!U49+'ОБЪЕКТЫ'!U100</x:f>
        <x:v>0</x:v>
      </x:c>
      <x:c r="V10" s="117" t="n">
        <x:f>'Продажи'!V49+'ОБЪЕКТЫ'!V100</x:f>
        <x:v>0</x:v>
      </x:c>
      <x:c r="W10" s="117" t="n">
        <x:f>'Продажи'!W49+'ОБЪЕКТЫ'!W100</x:f>
        <x:v>0</x:v>
      </x:c>
      <x:c r="X10" s="117" t="n">
        <x:f>'Продажи'!X49+'ОБЪЕКТЫ'!X100</x:f>
        <x:v>0</x:v>
      </x:c>
      <x:c r="Y10" s="117" t="n">
        <x:f>'Продажи'!Y49+'ОБЪЕКТЫ'!Y100</x:f>
        <x:v>0</x:v>
      </x:c>
      <x:c r="Z10" s="117" t="n">
        <x:f>'Продажи'!Z49+'ОБЪЕКТЫ'!Z100</x:f>
        <x:v>0</x:v>
      </x:c>
      <x:c r="AA10" s="117" t="n">
        <x:f>'Продажи'!AA49+'ОБЪЕКТЫ'!AA100</x:f>
        <x:v>0</x:v>
      </x:c>
      <x:c r="AB10" s="117" t="n">
        <x:f>'Продажи'!AB49+'ОБЪЕКТЫ'!AB100</x:f>
        <x:v>0</x:v>
      </x:c>
      <x:c r="AC10" s="117" t="n">
        <x:f>'Продажи'!AC49+'ОБЪЕКТЫ'!AC100</x:f>
        <x:v>0</x:v>
      </x:c>
      <x:c r="AD10" s="117" t="n">
        <x:f>'Продажи'!AD49+'ОБЪЕКТЫ'!AD100</x:f>
        <x:v>0</x:v>
      </x:c>
      <x:c r="AE10" s="117" t="n">
        <x:f>'Продажи'!AE49+'ОБЪЕКТЫ'!AE100</x:f>
        <x:v>0</x:v>
      </x:c>
      <x:c r="AF10" s="117" t="n">
        <x:f>'Продажи'!AF49+'ОБЪЕКТЫ'!AF100</x:f>
        <x:v>0</x:v>
      </x:c>
      <x:c r="AG10" s="117" t="n">
        <x:f>'Продажи'!AG49+'ОБЪЕКТЫ'!AG100</x:f>
        <x:v>0</x:v>
      </x:c>
      <x:c r="AH10" s="117" t="n">
        <x:f>'Продажи'!AH49+'ОБЪЕКТЫ'!AH100</x:f>
        <x:v>0</x:v>
      </x:c>
      <x:c r="AI10" s="117" t="n">
        <x:f>'Продажи'!AI49+'ОБЪЕКТЫ'!AI100</x:f>
        <x:v>0</x:v>
      </x:c>
      <x:c r="AJ10" s="117" t="n">
        <x:f>'Продажи'!AJ49+'ОБЪЕКТЫ'!AJ100</x:f>
        <x:v>0</x:v>
      </x:c>
      <x:c r="AK10" s="117" t="n">
        <x:f>'Продажи'!AK49+'ОБЪЕКТЫ'!AK100</x:f>
        <x:v>0</x:v>
      </x:c>
      <x:c r="AL10" s="117" t="n">
        <x:f>'Продажи'!AL49+'ОБЪЕКТЫ'!AL100</x:f>
        <x:v>0</x:v>
      </x:c>
      <x:c r="AM10" s="117" t="n">
        <x:f>'Продажи'!AM49+'ОБЪЕКТЫ'!AM100</x:f>
        <x:v>0</x:v>
      </x:c>
      <x:c r="AN10" s="117" t="n">
        <x:f>'Продажи'!AN49+'ОБЪЕКТЫ'!AN100</x:f>
        <x:v>0</x:v>
      </x:c>
      <x:c r="AO10" s="117" t="n">
        <x:f>'Продажи'!AO49+'ОБЪЕКТЫ'!AO100</x:f>
        <x:v>0</x:v>
      </x:c>
      <x:c r="AP10" s="117" t="n">
        <x:f>'Продажи'!AP49+'ОБЪЕКТЫ'!AP100</x:f>
        <x:v>0</x:v>
      </x:c>
      <x:c r="AQ10" s="117" t="n">
        <x:f>'Продажи'!AQ49+'ОБЪЕКТЫ'!AQ100</x:f>
        <x:v>0</x:v>
      </x:c>
      <x:c r="AR10" s="117" t="n">
        <x:f>'Продажи'!AR49+'ОБЪЕКТЫ'!AR100</x:f>
        <x:v>0</x:v>
      </x:c>
      <x:c r="AS10" s="117" t="n">
        <x:f>'Продажи'!AS49+'ОБЪЕКТЫ'!AS100</x:f>
        <x:v>0</x:v>
      </x:c>
      <x:c r="AT10" s="117" t="n">
        <x:f>'Продажи'!AT49+'ОБЪЕКТЫ'!AT100</x:f>
        <x:v>0</x:v>
      </x:c>
      <x:c r="AU10" s="117" t="n">
        <x:f>'Продажи'!AU49+'ОБЪЕКТЫ'!AU100</x:f>
        <x:v>0</x:v>
      </x:c>
      <x:c r="AV10" s="117" t="n">
        <x:f>'Продажи'!AV49+'ОБЪЕКТЫ'!AV100</x:f>
        <x:v>0</x:v>
      </x:c>
      <x:c r="AW10" s="117" t="n">
        <x:f>'Продажи'!AW49+'ОБЪЕКТЫ'!AW100</x:f>
        <x:v>0</x:v>
      </x:c>
      <x:c r="AX10" s="117" t="n">
        <x:f>'Продажи'!AX49+'ОБЪЕКТЫ'!AX100</x:f>
        <x:v>0</x:v>
      </x:c>
      <x:c r="AY10" s="117" t="n">
        <x:f>'Продажи'!AY49+'ОБЪЕКТЫ'!AY100</x:f>
        <x:v>0</x:v>
      </x:c>
      <x:c r="AZ10" s="117" t="n">
        <x:f>'Продажи'!AZ49+'ОБЪЕКТЫ'!AZ100</x:f>
        <x:v>0</x:v>
      </x:c>
      <x:c r="BA10" s="117" t="n">
        <x:f>'Продажи'!BA49+'ОБЪЕКТЫ'!BA100</x:f>
        <x:v>0</x:v>
      </x:c>
      <x:c r="BB10" s="117" t="n">
        <x:f>'Продажи'!BB49+'ОБЪЕКТЫ'!BB100</x:f>
        <x:v>0</x:v>
      </x:c>
      <x:c r="BC10" s="117" t="n">
        <x:f>'Продажи'!BC49+'ОБЪЕКТЫ'!BC100</x:f>
        <x:v>0</x:v>
      </x:c>
      <x:c r="BD10" s="117" t="n">
        <x:f>'Продажи'!BD49+'ОБЪЕКТЫ'!BD100</x:f>
        <x:v>0</x:v>
      </x:c>
      <x:c r="BE10" s="117" t="n">
        <x:f>'Продажи'!BE49+'ОБЪЕКТЫ'!BE100</x:f>
        <x:v>0</x:v>
      </x:c>
      <x:c r="BF10" s="117" t="n">
        <x:f>'Продажи'!BF49+'ОБЪЕКТЫ'!BF100</x:f>
        <x:v>0</x:v>
      </x:c>
      <x:c r="BG10" s="117" t="n">
        <x:f>'Продажи'!BG49+'ОБЪЕКТЫ'!BG100</x:f>
        <x:v>0</x:v>
      </x:c>
      <x:c r="BH10" s="117" t="n">
        <x:f>'Продажи'!BH49+'ОБЪЕКТЫ'!BH100</x:f>
        <x:v>0</x:v>
      </x:c>
      <x:c r="BI10" s="117" t="n">
        <x:f>'Продажи'!BI49+'ОБЪЕКТЫ'!BI100</x:f>
        <x:v>0</x:v>
      </x:c>
      <x:c r="BJ10" s="117" t="n">
        <x:f>'Продажи'!BJ49+'ОБЪЕКТЫ'!BJ100</x:f>
        <x:v>0</x:v>
      </x:c>
      <x:c r="BK10" s="117" t="n">
        <x:f>'Продажи'!BK49+'ОБЪЕКТЫ'!BK100</x:f>
        <x:v>0</x:v>
      </x:c>
      <x:c r="BL10" s="117" t="n">
        <x:f>'Продажи'!BL49+'ОБЪЕКТЫ'!BL100</x:f>
        <x:v>0</x:v>
      </x:c>
      <x:c r="BM10" s="117" t="n">
        <x:f>'Продажи'!BM49+'ОБЪЕКТЫ'!BM100</x:f>
        <x:v>0</x:v>
      </x:c>
      <x:c r="BN10" s="117" t="n">
        <x:f>'Продажи'!BN49+'ОБЪЕКТЫ'!BN100</x:f>
        <x:v>0</x:v>
      </x:c>
      <x:c r="BO10" s="117" t="n">
        <x:f>'Продажи'!BO49+'ОБЪЕКТЫ'!BO100</x:f>
        <x:v>0</x:v>
      </x:c>
      <x:c r="BP10" s="117" t="n">
        <x:f>'Продажи'!BP49+'ОБЪЕКТЫ'!BP100</x:f>
        <x:v>0</x:v>
      </x:c>
      <x:c r="BQ10" s="117" t="n">
        <x:f>'Продажи'!BQ49+'ОБЪЕКТЫ'!BQ100</x:f>
        <x:v>0</x:v>
      </x:c>
      <x:c r="BR10" s="117" t="n">
        <x:f>'Продажи'!BR49+'ОБЪЕКТЫ'!BR100</x:f>
        <x:v>0</x:v>
      </x:c>
      <x:c r="BS10" s="117" t="n">
        <x:f>'Продажи'!BS49+'ОБЪЕКТЫ'!BS100</x:f>
        <x:v>0</x:v>
      </x:c>
      <x:c r="BT10" s="117" t="n">
        <x:f>'Продажи'!BT49+'ОБЪЕКТЫ'!BT100</x:f>
        <x:v>0</x:v>
      </x:c>
      <x:c r="BU10" s="117" t="n">
        <x:f>'Продажи'!BU49+'ОБЪЕКТЫ'!BU100</x:f>
        <x:v>0</x:v>
      </x:c>
      <x:c r="BV10" s="117" t="n">
        <x:f>'Продажи'!BV49+'ОБЪЕКТЫ'!BV100</x:f>
        <x:v>0</x:v>
      </x:c>
      <x:c r="BW10" s="117" t="n">
        <x:f>'Продажи'!BW49+'ОБЪЕКТЫ'!BW100</x:f>
        <x:v>0</x:v>
      </x:c>
      <x:c r="BX10" s="117" t="n">
        <x:f>'Продажи'!BX49+'ОБЪЕКТЫ'!BX100</x:f>
        <x:v>0</x:v>
      </x:c>
      <x:c r="BY10" s="117" t="n">
        <x:f>'Продажи'!BY49+'ОБЪЕКТЫ'!BY100</x:f>
        <x:v>0</x:v>
      </x:c>
      <x:c r="BZ10" s="117" t="n">
        <x:f>'Продажи'!BZ49+'ОБЪЕКТЫ'!BZ100</x:f>
        <x:v>0</x:v>
      </x:c>
      <x:c r="CA10" s="117" t="n">
        <x:f>'Продажи'!CA49+'ОБЪЕКТЫ'!CA100</x:f>
        <x:v>0</x:v>
      </x:c>
      <x:c r="CB10" s="117" t="n">
        <x:f>'Продажи'!CB49+'ОБЪЕКТЫ'!CB100</x:f>
        <x:v>0</x:v>
      </x:c>
      <x:c r="CC10" s="117" t="n">
        <x:f>'Продажи'!CC49+'ОБЪЕКТЫ'!CC100</x:f>
        <x:v>0</x:v>
      </x:c>
      <x:c r="CD10" s="117" t="n">
        <x:f>'Продажи'!CD49+'ОБЪЕКТЫ'!CD100</x:f>
        <x:v>0</x:v>
      </x:c>
      <x:c r="CE10" s="117" t="n">
        <x:f>'Продажи'!CE49+'ОБЪЕКТЫ'!CE100</x:f>
        <x:v>0</x:v>
      </x:c>
      <x:c r="CF10" s="117" t="n">
        <x:f>'Продажи'!CF49+'ОБЪЕКТЫ'!CF100</x:f>
        <x:v>0</x:v>
      </x:c>
      <x:c r="CG10" s="117" t="n">
        <x:f>'Продажи'!CG49+'ОБЪЕКТЫ'!CG100</x:f>
        <x:v>0</x:v>
      </x:c>
      <x:c r="CH10" s="117" t="n">
        <x:f>'Продажи'!CH49+'ОБЪЕКТЫ'!CH100</x:f>
        <x:v>0</x:v>
      </x:c>
      <x:c r="CI10" s="117" t="n">
        <x:f>'Продажи'!CI49+'ОБЪЕКТЫ'!CI100</x:f>
        <x:v>0</x:v>
      </x:c>
      <x:c r="CJ10" s="117" t="n">
        <x:f>'Продажи'!CJ49+'ОБЪЕКТЫ'!CJ100</x:f>
        <x:v>0</x:v>
      </x:c>
      <x:c r="CK10" s="117" t="n">
        <x:f>'Продажи'!CK49+'ОБЪЕКТЫ'!CK100</x:f>
        <x:v>0</x:v>
      </x:c>
      <x:c r="CL10" s="117" t="n">
        <x:f>'Продажи'!CL49+'ОБЪЕКТЫ'!CL100</x:f>
        <x:v>0</x:v>
      </x:c>
      <x:c r="CM10" s="117" t="n">
        <x:f>'Продажи'!CM49+'ОБЪЕКТЫ'!CM100</x:f>
        <x:v>0</x:v>
      </x:c>
      <x:c r="CN10" s="117" t="n">
        <x:f>'Продажи'!CN49+'ОБЪЕКТЫ'!CN100</x:f>
        <x:v>0</x:v>
      </x:c>
      <x:c r="CO10" s="117" t="n">
        <x:f>'Продажи'!CO49+'ОБЪЕКТЫ'!CO100</x:f>
        <x:v>0</x:v>
      </x:c>
      <x:c r="CP10" s="117" t="n">
        <x:f>'Продажи'!CP49+'ОБЪЕКТЫ'!CP100</x:f>
        <x:v>0</x:v>
      </x:c>
      <x:c r="CQ10" s="117" t="n">
        <x:f>'Продажи'!CQ49+'ОБЪЕКТЫ'!CQ100</x:f>
        <x:v>0</x:v>
      </x:c>
      <x:c r="CR10" s="117" t="n">
        <x:f>'Продажи'!CR49+'ОБЪЕКТЫ'!CR100</x:f>
        <x:v>0</x:v>
      </x:c>
      <x:c r="CS10" s="117" t="n">
        <x:f>'Продажи'!CS49+'ОБЪЕКТЫ'!CS100</x:f>
        <x:v>0</x:v>
      </x:c>
      <x:c r="CT10" s="117" t="n">
        <x:f>'Продажи'!CT49+'ОБЪЕКТЫ'!CT100</x:f>
        <x:v>0</x:v>
      </x:c>
      <x:c r="CU10" s="117" t="n">
        <x:f>'Продажи'!CU49+'ОБЪЕКТЫ'!CU100</x:f>
        <x:v>0</x:v>
      </x:c>
      <x:c r="CV10" s="117" t="n">
        <x:f>'Продажи'!CV49+'ОБЪЕКТЫ'!CV100</x:f>
        <x:v>0</x:v>
      </x:c>
      <x:c r="CW10" s="117" t="n">
        <x:f>'Продажи'!CW49+'ОБЪЕКТЫ'!CW100</x:f>
        <x:v>0</x:v>
      </x:c>
      <x:c r="CX10" s="117" t="n">
        <x:f>'Продажи'!CX49+'ОБЪЕКТЫ'!CX100</x:f>
        <x:v>0</x:v>
      </x:c>
      <x:c r="CY10" s="117" t="n">
        <x:f>'Продажи'!CY49+'ОБЪЕКТЫ'!CY100</x:f>
        <x:v>0</x:v>
      </x:c>
      <x:c r="CZ10" s="117" t="n">
        <x:f>'Продажи'!CZ49+'ОБЪЕКТЫ'!CZ100</x:f>
        <x:v>0</x:v>
      </x:c>
      <x:c r="DA10" s="117" t="n">
        <x:f>'Продажи'!DA49+'ОБЪЕКТЫ'!DA100</x:f>
        <x:v>0</x:v>
      </x:c>
      <x:c r="DB10" s="117" t="n">
        <x:f>'Продажи'!DB49+'ОБЪЕКТЫ'!DB100</x:f>
        <x:v>0</x:v>
      </x:c>
      <x:c r="DC10" s="117" t="n">
        <x:f>'Продажи'!DC49+'ОБЪЕКТЫ'!DC100</x:f>
        <x:v>0</x:v>
      </x:c>
      <x:c r="DD10" s="117" t="n">
        <x:f>'Продажи'!DD49+'ОБЪЕКТЫ'!DD100</x:f>
        <x:v>0</x:v>
      </x:c>
      <x:c r="DE10" s="117" t="n">
        <x:f>'Продажи'!DE49+'ОБЪЕКТЫ'!DE100</x:f>
        <x:v>0</x:v>
      </x:c>
      <x:c r="DF10" s="117" t="n">
        <x:f>'Продажи'!DF49+'ОБЪЕКТЫ'!DF100</x:f>
        <x:v>0</x:v>
      </x:c>
      <x:c r="DG10" s="117" t="n">
        <x:f>'Продажи'!DG49+'ОБЪЕКТЫ'!DG100</x:f>
        <x:v>0</x:v>
      </x:c>
      <x:c r="DH10" s="117" t="n">
        <x:f>'Продажи'!DH49+'ОБЪЕКТЫ'!DH100</x:f>
        <x:v>0</x:v>
      </x:c>
      <x:c r="DI10" s="117" t="n">
        <x:f>'Продажи'!DI49+'ОБЪЕКТЫ'!DI100</x:f>
        <x:v>0</x:v>
      </x:c>
      <x:c r="DJ10" s="117" t="n">
        <x:f>'Продажи'!DJ49+'ОБЪЕКТЫ'!DJ100</x:f>
        <x:v>0</x:v>
      </x:c>
      <x:c r="DK10" s="117" t="n">
        <x:f>'Продажи'!DK49+'ОБЪЕКТЫ'!DK100</x:f>
        <x:v>0</x:v>
      </x:c>
      <x:c r="DL10" s="117" t="n">
        <x:f>'Продажи'!DL49+'ОБЪЕКТЫ'!DL100</x:f>
        <x:v>0</x:v>
      </x:c>
      <x:c r="DM10" s="117" t="n">
        <x:f>'Продажи'!DM49+'ОБЪЕКТЫ'!DM100</x:f>
        <x:v>0</x:v>
      </x:c>
      <x:c r="DN10" s="117" t="n">
        <x:f>'Продажи'!DN49+'ОБЪЕКТЫ'!DN100</x:f>
        <x:v>0</x:v>
      </x:c>
      <x:c r="DO10" s="117" t="n">
        <x:f>'Продажи'!DO49+'ОБЪЕКТЫ'!DO100</x:f>
        <x:v>0</x:v>
      </x:c>
      <x:c r="DP10" s="117" t="n">
        <x:f>'Продажи'!DP49+'ОБЪЕКТЫ'!DP100</x:f>
        <x:v>0</x:v>
      </x:c>
      <x:c r="DQ10" s="117" t="n">
        <x:f>'Продажи'!DQ49+'ОБЪЕКТЫ'!DQ100</x:f>
        <x:v>0</x:v>
      </x:c>
      <x:c r="DR10" s="117" t="n">
        <x:f>'Продажи'!DR49+'ОБЪЕКТЫ'!DR100</x:f>
        <x:v>0</x:v>
      </x:c>
      <x:c r="DS10" s="117" t="n">
        <x:f>'Продажи'!DS49+'ОБЪЕКТЫ'!DS100</x:f>
        <x:v>0</x:v>
      </x:c>
    </x:row>
    <x:row r="11">
      <x:c r="A11" t="str">
        <x:v>Поступления на эскроу</x:v>
      </x:c>
      <x:c r="B11" t="n">
        <x:f>SUM(D11:DS11)</x:f>
        <x:v>0</x:v>
      </x:c>
      <x:c r="C11" t="str">
        <x:v>млн ₽</x:v>
      </x:c>
      <x:c r="D11" s="117" t="n">
        <x:f>IF(D$3&lt;$B$8,'Продажи'!D49,0)+'ОБЪЕКТЫ'!D101</x:f>
        <x:v>0</x:v>
      </x:c>
      <x:c r="E11" s="117" t="n">
        <x:f>IF(E$3&lt;$B$8,'Продажи'!E49,0)+'ОБЪЕКТЫ'!E101</x:f>
        <x:v>0</x:v>
      </x:c>
      <x:c r="F11" s="117" t="n">
        <x:f>IF(F$3&lt;$B$8,'Продажи'!F49,0)+'ОБЪЕКТЫ'!F101</x:f>
        <x:v>0</x:v>
      </x:c>
      <x:c r="G11" s="117" t="n">
        <x:f>IF(G$3&lt;$B$8,'Продажи'!G49,0)+'ОБЪЕКТЫ'!G101</x:f>
        <x:v>0</x:v>
      </x:c>
      <x:c r="H11" s="117" t="n">
        <x:f>IF(H$3&lt;$B$8,'Продажи'!H49,0)+'ОБЪЕКТЫ'!H101</x:f>
        <x:v>0</x:v>
      </x:c>
      <x:c r="I11" s="117" t="n">
        <x:f>IF(I$3&lt;$B$8,'Продажи'!I49,0)+'ОБЪЕКТЫ'!I101</x:f>
        <x:v>0</x:v>
      </x:c>
      <x:c r="J11" s="117" t="n">
        <x:f>IF(J$3&lt;$B$8,'Продажи'!J49,0)+'ОБЪЕКТЫ'!J101</x:f>
        <x:v>0</x:v>
      </x:c>
      <x:c r="K11" s="117" t="n">
        <x:f>IF(K$3&lt;$B$8,'Продажи'!K49,0)+'ОБЪЕКТЫ'!K101</x:f>
        <x:v>0</x:v>
      </x:c>
      <x:c r="L11" s="117" t="n">
        <x:f>IF(L$3&lt;$B$8,'Продажи'!L49,0)+'ОБЪЕКТЫ'!L101</x:f>
        <x:v>0</x:v>
      </x:c>
      <x:c r="M11" s="117" t="n">
        <x:f>IF(M$3&lt;$B$8,'Продажи'!M49,0)+'ОБЪЕКТЫ'!M101</x:f>
        <x:v>0</x:v>
      </x:c>
      <x:c r="N11" s="117" t="n">
        <x:f>IF(N$3&lt;$B$8,'Продажи'!N49,0)+'ОБЪЕКТЫ'!N101</x:f>
        <x:v>0</x:v>
      </x:c>
      <x:c r="O11" s="117" t="n">
        <x:f>IF(O$3&lt;$B$8,'Продажи'!O49,0)+'ОБЪЕКТЫ'!O101</x:f>
        <x:v>0</x:v>
      </x:c>
      <x:c r="P11" s="117" t="n">
        <x:f>IF(P$3&lt;$B$8,'Продажи'!P49,0)+'ОБЪЕКТЫ'!P101</x:f>
        <x:v>0</x:v>
      </x:c>
      <x:c r="Q11" s="117" t="n">
        <x:f>IF(Q$3&lt;$B$8,'Продажи'!Q49,0)+'ОБЪЕКТЫ'!Q101</x:f>
        <x:v>0</x:v>
      </x:c>
      <x:c r="R11" s="117" t="n">
        <x:f>IF(R$3&lt;$B$8,'Продажи'!R49,0)+'ОБЪЕКТЫ'!R101</x:f>
        <x:v>0</x:v>
      </x:c>
      <x:c r="S11" s="117" t="n">
        <x:f>IF(S$3&lt;$B$8,'Продажи'!S49,0)+'ОБЪЕКТЫ'!S101</x:f>
        <x:v>0</x:v>
      </x:c>
      <x:c r="T11" s="117" t="n">
        <x:f>IF(T$3&lt;$B$8,'Продажи'!T49,0)+'ОБЪЕКТЫ'!T101</x:f>
        <x:v>0</x:v>
      </x:c>
      <x:c r="U11" s="117" t="n">
        <x:f>IF(U$3&lt;$B$8,'Продажи'!U49,0)+'ОБЪЕКТЫ'!U101</x:f>
        <x:v>0</x:v>
      </x:c>
      <x:c r="V11" s="117" t="n">
        <x:f>IF(V$3&lt;$B$8,'Продажи'!V49,0)+'ОБЪЕКТЫ'!V101</x:f>
        <x:v>0</x:v>
      </x:c>
      <x:c r="W11" s="117" t="n">
        <x:f>IF(W$3&lt;$B$8,'Продажи'!W49,0)+'ОБЪЕКТЫ'!W101</x:f>
        <x:v>0</x:v>
      </x:c>
      <x:c r="X11" s="117" t="n">
        <x:f>IF(X$3&lt;$B$8,'Продажи'!X49,0)+'ОБЪЕКТЫ'!X101</x:f>
        <x:v>0</x:v>
      </x:c>
      <x:c r="Y11" s="117" t="n">
        <x:f>IF(Y$3&lt;$B$8,'Продажи'!Y49,0)+'ОБЪЕКТЫ'!Y101</x:f>
        <x:v>0</x:v>
      </x:c>
      <x:c r="Z11" s="117" t="n">
        <x:f>IF(Z$3&lt;$B$8,'Продажи'!Z49,0)+'ОБЪЕКТЫ'!Z101</x:f>
        <x:v>0</x:v>
      </x:c>
      <x:c r="AA11" s="117" t="n">
        <x:f>IF(AA$3&lt;$B$8,'Продажи'!AA49,0)+'ОБЪЕКТЫ'!AA101</x:f>
        <x:v>0</x:v>
      </x:c>
      <x:c r="AB11" s="117" t="n">
        <x:f>IF(AB$3&lt;$B$8,'Продажи'!AB49,0)+'ОБЪЕКТЫ'!AB101</x:f>
        <x:v>0</x:v>
      </x:c>
      <x:c r="AC11" s="117" t="n">
        <x:f>IF(AC$3&lt;$B$8,'Продажи'!AC49,0)+'ОБЪЕКТЫ'!AC101</x:f>
        <x:v>0</x:v>
      </x:c>
      <x:c r="AD11" s="117" t="n">
        <x:f>IF(AD$3&lt;$B$8,'Продажи'!AD49,0)+'ОБЪЕКТЫ'!AD101</x:f>
        <x:v>0</x:v>
      </x:c>
      <x:c r="AE11" s="117" t="n">
        <x:f>IF(AE$3&lt;$B$8,'Продажи'!AE49,0)+'ОБЪЕКТЫ'!AE101</x:f>
        <x:v>0</x:v>
      </x:c>
      <x:c r="AF11" s="117" t="n">
        <x:f>IF(AF$3&lt;$B$8,'Продажи'!AF49,0)+'ОБЪЕКТЫ'!AF101</x:f>
        <x:v>0</x:v>
      </x:c>
      <x:c r="AG11" s="117" t="n">
        <x:f>IF(AG$3&lt;$B$8,'Продажи'!AG49,0)+'ОБЪЕКТЫ'!AG101</x:f>
        <x:v>0</x:v>
      </x:c>
      <x:c r="AH11" s="117" t="n">
        <x:f>IF(AH$3&lt;$B$8,'Продажи'!AH49,0)+'ОБЪЕКТЫ'!AH101</x:f>
        <x:v>0</x:v>
      </x:c>
      <x:c r="AI11" s="117" t="n">
        <x:f>IF(AI$3&lt;$B$8,'Продажи'!AI49,0)+'ОБЪЕКТЫ'!AI101</x:f>
        <x:v>0</x:v>
      </x:c>
      <x:c r="AJ11" s="117" t="n">
        <x:f>IF(AJ$3&lt;$B$8,'Продажи'!AJ49,0)+'ОБЪЕКТЫ'!AJ101</x:f>
        <x:v>0</x:v>
      </x:c>
      <x:c r="AK11" s="117" t="n">
        <x:f>IF(AK$3&lt;$B$8,'Продажи'!AK49,0)+'ОБЪЕКТЫ'!AK101</x:f>
        <x:v>0</x:v>
      </x:c>
      <x:c r="AL11" s="117" t="n">
        <x:f>IF(AL$3&lt;$B$8,'Продажи'!AL49,0)+'ОБЪЕКТЫ'!AL101</x:f>
        <x:v>0</x:v>
      </x:c>
      <x:c r="AM11" s="117" t="n">
        <x:f>IF(AM$3&lt;$B$8,'Продажи'!AM49,0)+'ОБЪЕКТЫ'!AM101</x:f>
        <x:v>0</x:v>
      </x:c>
      <x:c r="AN11" s="117" t="n">
        <x:f>IF(AN$3&lt;$B$8,'Продажи'!AN49,0)+'ОБЪЕКТЫ'!AN101</x:f>
        <x:v>0</x:v>
      </x:c>
      <x:c r="AO11" s="117" t="n">
        <x:f>IF(AO$3&lt;$B$8,'Продажи'!AO49,0)+'ОБЪЕКТЫ'!AO101</x:f>
        <x:v>0</x:v>
      </x:c>
      <x:c r="AP11" s="117" t="n">
        <x:f>IF(AP$3&lt;$B$8,'Продажи'!AP49,0)+'ОБЪЕКТЫ'!AP101</x:f>
        <x:v>0</x:v>
      </x:c>
      <x:c r="AQ11" s="117" t="n">
        <x:f>IF(AQ$3&lt;$B$8,'Продажи'!AQ49,0)+'ОБЪЕКТЫ'!AQ101</x:f>
        <x:v>0</x:v>
      </x:c>
      <x:c r="AR11" s="117" t="n">
        <x:f>IF(AR$3&lt;$B$8,'Продажи'!AR49,0)+'ОБЪЕКТЫ'!AR101</x:f>
        <x:v>0</x:v>
      </x:c>
      <x:c r="AS11" s="117" t="n">
        <x:f>IF(AS$3&lt;$B$8,'Продажи'!AS49,0)+'ОБЪЕКТЫ'!AS101</x:f>
        <x:v>0</x:v>
      </x:c>
      <x:c r="AT11" s="117" t="n">
        <x:f>IF(AT$3&lt;$B$8,'Продажи'!AT49,0)+'ОБЪЕКТЫ'!AT101</x:f>
        <x:v>0</x:v>
      </x:c>
      <x:c r="AU11" s="117" t="n">
        <x:f>IF(AU$3&lt;$B$8,'Продажи'!AU49,0)+'ОБЪЕКТЫ'!AU101</x:f>
        <x:v>0</x:v>
      </x:c>
      <x:c r="AV11" s="117" t="n">
        <x:f>IF(AV$3&lt;$B$8,'Продажи'!AV49,0)+'ОБЪЕКТЫ'!AV101</x:f>
        <x:v>0</x:v>
      </x:c>
      <x:c r="AW11" s="117" t="n">
        <x:f>IF(AW$3&lt;$B$8,'Продажи'!AW49,0)+'ОБЪЕКТЫ'!AW101</x:f>
        <x:v>0</x:v>
      </x:c>
      <x:c r="AX11" s="117" t="n">
        <x:f>IF(AX$3&lt;$B$8,'Продажи'!AX49,0)+'ОБЪЕКТЫ'!AX101</x:f>
        <x:v>0</x:v>
      </x:c>
      <x:c r="AY11" s="117" t="n">
        <x:f>IF(AY$3&lt;$B$8,'Продажи'!AY49,0)+'ОБЪЕКТЫ'!AY101</x:f>
        <x:v>0</x:v>
      </x:c>
      <x:c r="AZ11" s="117" t="n">
        <x:f>IF(AZ$3&lt;$B$8,'Продажи'!AZ49,0)+'ОБЪЕКТЫ'!AZ101</x:f>
        <x:v>0</x:v>
      </x:c>
      <x:c r="BA11" s="117" t="n">
        <x:f>IF(BA$3&lt;$B$8,'Продажи'!BA49,0)+'ОБЪЕКТЫ'!BA101</x:f>
        <x:v>0</x:v>
      </x:c>
      <x:c r="BB11" s="117" t="n">
        <x:f>IF(BB$3&lt;$B$8,'Продажи'!BB49,0)+'ОБЪЕКТЫ'!BB101</x:f>
        <x:v>0</x:v>
      </x:c>
      <x:c r="BC11" s="117" t="n">
        <x:f>IF(BC$3&lt;$B$8,'Продажи'!BC49,0)+'ОБЪЕКТЫ'!BC101</x:f>
        <x:v>0</x:v>
      </x:c>
      <x:c r="BD11" s="117" t="n">
        <x:f>IF(BD$3&lt;$B$8,'Продажи'!BD49,0)+'ОБЪЕКТЫ'!BD101</x:f>
        <x:v>0</x:v>
      </x:c>
      <x:c r="BE11" s="117" t="n">
        <x:f>IF(BE$3&lt;$B$8,'Продажи'!BE49,0)+'ОБЪЕКТЫ'!BE101</x:f>
        <x:v>0</x:v>
      </x:c>
      <x:c r="BF11" s="117" t="n">
        <x:f>IF(BF$3&lt;$B$8,'Продажи'!BF49,0)+'ОБЪЕКТЫ'!BF101</x:f>
        <x:v>0</x:v>
      </x:c>
      <x:c r="BG11" s="117" t="n">
        <x:f>IF(BG$3&lt;$B$8,'Продажи'!BG49,0)+'ОБЪЕКТЫ'!BG101</x:f>
        <x:v>0</x:v>
      </x:c>
      <x:c r="BH11" s="117" t="n">
        <x:f>IF(BH$3&lt;$B$8,'Продажи'!BH49,0)+'ОБЪЕКТЫ'!BH101</x:f>
        <x:v>0</x:v>
      </x:c>
      <x:c r="BI11" s="117" t="n">
        <x:f>IF(BI$3&lt;$B$8,'Продажи'!BI49,0)+'ОБЪЕКТЫ'!BI101</x:f>
        <x:v>0</x:v>
      </x:c>
      <x:c r="BJ11" s="117" t="n">
        <x:f>IF(BJ$3&lt;$B$8,'Продажи'!BJ49,0)+'ОБЪЕКТЫ'!BJ101</x:f>
        <x:v>0</x:v>
      </x:c>
      <x:c r="BK11" s="117" t="n">
        <x:f>IF(BK$3&lt;$B$8,'Продажи'!BK49,0)+'ОБЪЕКТЫ'!BK101</x:f>
        <x:v>0</x:v>
      </x:c>
      <x:c r="BL11" s="117" t="n">
        <x:f>IF(BL$3&lt;$B$8,'Продажи'!BL49,0)+'ОБЪЕКТЫ'!BL101</x:f>
        <x:v>0</x:v>
      </x:c>
      <x:c r="BM11" s="117" t="n">
        <x:f>IF(BM$3&lt;$B$8,'Продажи'!BM49,0)+'ОБЪЕКТЫ'!BM101</x:f>
        <x:v>0</x:v>
      </x:c>
      <x:c r="BN11" s="117" t="n">
        <x:f>IF(BN$3&lt;$B$8,'Продажи'!BN49,0)+'ОБЪЕКТЫ'!BN101</x:f>
        <x:v>0</x:v>
      </x:c>
      <x:c r="BO11" s="117" t="n">
        <x:f>IF(BO$3&lt;$B$8,'Продажи'!BO49,0)+'ОБЪЕКТЫ'!BO101</x:f>
        <x:v>0</x:v>
      </x:c>
      <x:c r="BP11" s="117" t="n">
        <x:f>IF(BP$3&lt;$B$8,'Продажи'!BP49,0)+'ОБЪЕКТЫ'!BP101</x:f>
        <x:v>0</x:v>
      </x:c>
      <x:c r="BQ11" s="117" t="n">
        <x:f>IF(BQ$3&lt;$B$8,'Продажи'!BQ49,0)+'ОБЪЕКТЫ'!BQ101</x:f>
        <x:v>0</x:v>
      </x:c>
      <x:c r="BR11" s="117" t="n">
        <x:f>IF(BR$3&lt;$B$8,'Продажи'!BR49,0)+'ОБЪЕКТЫ'!BR101</x:f>
        <x:v>0</x:v>
      </x:c>
      <x:c r="BS11" s="117" t="n">
        <x:f>IF(BS$3&lt;$B$8,'Продажи'!BS49,0)+'ОБЪЕКТЫ'!BS101</x:f>
        <x:v>0</x:v>
      </x:c>
      <x:c r="BT11" s="117" t="n">
        <x:f>IF(BT$3&lt;$B$8,'Продажи'!BT49,0)+'ОБЪЕКТЫ'!BT101</x:f>
        <x:v>0</x:v>
      </x:c>
      <x:c r="BU11" s="117" t="n">
        <x:f>IF(BU$3&lt;$B$8,'Продажи'!BU49,0)+'ОБЪЕКТЫ'!BU101</x:f>
        <x:v>0</x:v>
      </x:c>
      <x:c r="BV11" s="117" t="n">
        <x:f>IF(BV$3&lt;$B$8,'Продажи'!BV49,0)+'ОБЪЕКТЫ'!BV101</x:f>
        <x:v>0</x:v>
      </x:c>
      <x:c r="BW11" s="117" t="n">
        <x:f>IF(BW$3&lt;$B$8,'Продажи'!BW49,0)+'ОБЪЕКТЫ'!BW101</x:f>
        <x:v>0</x:v>
      </x:c>
      <x:c r="BX11" s="117" t="n">
        <x:f>IF(BX$3&lt;$B$8,'Продажи'!BX49,0)+'ОБЪЕКТЫ'!BX101</x:f>
        <x:v>0</x:v>
      </x:c>
      <x:c r="BY11" s="117" t="n">
        <x:f>IF(BY$3&lt;$B$8,'Продажи'!BY49,0)+'ОБЪЕКТЫ'!BY101</x:f>
        <x:v>0</x:v>
      </x:c>
      <x:c r="BZ11" s="117" t="n">
        <x:f>IF(BZ$3&lt;$B$8,'Продажи'!BZ49,0)+'ОБЪЕКТЫ'!BZ101</x:f>
        <x:v>0</x:v>
      </x:c>
      <x:c r="CA11" s="117" t="n">
        <x:f>IF(CA$3&lt;$B$8,'Продажи'!CA49,0)+'ОБЪЕКТЫ'!CA101</x:f>
        <x:v>0</x:v>
      </x:c>
      <x:c r="CB11" s="117" t="n">
        <x:f>IF(CB$3&lt;$B$8,'Продажи'!CB49,0)+'ОБЪЕКТЫ'!CB101</x:f>
        <x:v>0</x:v>
      </x:c>
      <x:c r="CC11" s="117" t="n">
        <x:f>IF(CC$3&lt;$B$8,'Продажи'!CC49,0)+'ОБЪЕКТЫ'!CC101</x:f>
        <x:v>0</x:v>
      </x:c>
      <x:c r="CD11" s="117" t="n">
        <x:f>IF(CD$3&lt;$B$8,'Продажи'!CD49,0)+'ОБЪЕКТЫ'!CD101</x:f>
        <x:v>0</x:v>
      </x:c>
      <x:c r="CE11" s="117" t="n">
        <x:f>IF(CE$3&lt;$B$8,'Продажи'!CE49,0)+'ОБЪЕКТЫ'!CE101</x:f>
        <x:v>0</x:v>
      </x:c>
      <x:c r="CF11" s="117" t="n">
        <x:f>IF(CF$3&lt;$B$8,'Продажи'!CF49,0)+'ОБЪЕКТЫ'!CF101</x:f>
        <x:v>0</x:v>
      </x:c>
      <x:c r="CG11" s="117" t="n">
        <x:f>IF(CG$3&lt;$B$8,'Продажи'!CG49,0)+'ОБЪЕКТЫ'!CG101</x:f>
        <x:v>0</x:v>
      </x:c>
      <x:c r="CH11" s="117" t="n">
        <x:f>IF(CH$3&lt;$B$8,'Продажи'!CH49,0)+'ОБЪЕКТЫ'!CH101</x:f>
        <x:v>0</x:v>
      </x:c>
      <x:c r="CI11" s="117" t="n">
        <x:f>IF(CI$3&lt;$B$8,'Продажи'!CI49,0)+'ОБЪЕКТЫ'!CI101</x:f>
        <x:v>0</x:v>
      </x:c>
      <x:c r="CJ11" s="117" t="n">
        <x:f>IF(CJ$3&lt;$B$8,'Продажи'!CJ49,0)+'ОБЪЕКТЫ'!CJ101</x:f>
        <x:v>0</x:v>
      </x:c>
      <x:c r="CK11" s="117" t="n">
        <x:f>IF(CK$3&lt;$B$8,'Продажи'!CK49,0)+'ОБЪЕКТЫ'!CK101</x:f>
        <x:v>0</x:v>
      </x:c>
      <x:c r="CL11" s="117" t="n">
        <x:f>IF(CL$3&lt;$B$8,'Продажи'!CL49,0)+'ОБЪЕКТЫ'!CL101</x:f>
        <x:v>0</x:v>
      </x:c>
      <x:c r="CM11" s="117" t="n">
        <x:f>IF(CM$3&lt;$B$8,'Продажи'!CM49,0)+'ОБЪЕКТЫ'!CM101</x:f>
        <x:v>0</x:v>
      </x:c>
      <x:c r="CN11" s="117" t="n">
        <x:f>IF(CN$3&lt;$B$8,'Продажи'!CN49,0)+'ОБЪЕКТЫ'!CN101</x:f>
        <x:v>0</x:v>
      </x:c>
      <x:c r="CO11" s="117" t="n">
        <x:f>IF(CO$3&lt;$B$8,'Продажи'!CO49,0)+'ОБЪЕКТЫ'!CO101</x:f>
        <x:v>0</x:v>
      </x:c>
      <x:c r="CP11" s="117" t="n">
        <x:f>IF(CP$3&lt;$B$8,'Продажи'!CP49,0)+'ОБЪЕКТЫ'!CP101</x:f>
        <x:v>0</x:v>
      </x:c>
      <x:c r="CQ11" s="117" t="n">
        <x:f>IF(CQ$3&lt;$B$8,'Продажи'!CQ49,0)+'ОБЪЕКТЫ'!CQ101</x:f>
        <x:v>0</x:v>
      </x:c>
      <x:c r="CR11" s="117" t="n">
        <x:f>IF(CR$3&lt;$B$8,'Продажи'!CR49,0)+'ОБЪЕКТЫ'!CR101</x:f>
        <x:v>0</x:v>
      </x:c>
      <x:c r="CS11" s="117" t="n">
        <x:f>IF(CS$3&lt;$B$8,'Продажи'!CS49,0)+'ОБЪЕКТЫ'!CS101</x:f>
        <x:v>0</x:v>
      </x:c>
      <x:c r="CT11" s="117" t="n">
        <x:f>IF(CT$3&lt;$B$8,'Продажи'!CT49,0)+'ОБЪЕКТЫ'!CT101</x:f>
        <x:v>0</x:v>
      </x:c>
      <x:c r="CU11" s="117" t="n">
        <x:f>IF(CU$3&lt;$B$8,'Продажи'!CU49,0)+'ОБЪЕКТЫ'!CU101</x:f>
        <x:v>0</x:v>
      </x:c>
      <x:c r="CV11" s="117" t="n">
        <x:f>IF(CV$3&lt;$B$8,'Продажи'!CV49,0)+'ОБЪЕКТЫ'!CV101</x:f>
        <x:v>0</x:v>
      </x:c>
      <x:c r="CW11" s="117" t="n">
        <x:f>IF(CW$3&lt;$B$8,'Продажи'!CW49,0)+'ОБЪЕКТЫ'!CW101</x:f>
        <x:v>0</x:v>
      </x:c>
      <x:c r="CX11" s="117" t="n">
        <x:f>IF(CX$3&lt;$B$8,'Продажи'!CX49,0)+'ОБЪЕКТЫ'!CX101</x:f>
        <x:v>0</x:v>
      </x:c>
      <x:c r="CY11" s="117" t="n">
        <x:f>IF(CY$3&lt;$B$8,'Продажи'!CY49,0)+'ОБЪЕКТЫ'!CY101</x:f>
        <x:v>0</x:v>
      </x:c>
      <x:c r="CZ11" s="117" t="n">
        <x:f>IF(CZ$3&lt;$B$8,'Продажи'!CZ49,0)+'ОБЪЕКТЫ'!CZ101</x:f>
        <x:v>0</x:v>
      </x:c>
      <x:c r="DA11" s="117" t="n">
        <x:f>IF(DA$3&lt;$B$8,'Продажи'!DA49,0)+'ОБЪЕКТЫ'!DA101</x:f>
        <x:v>0</x:v>
      </x:c>
      <x:c r="DB11" s="117" t="n">
        <x:f>IF(DB$3&lt;$B$8,'Продажи'!DB49,0)+'ОБЪЕКТЫ'!DB101</x:f>
        <x:v>0</x:v>
      </x:c>
      <x:c r="DC11" s="117" t="n">
        <x:f>IF(DC$3&lt;$B$8,'Продажи'!DC49,0)+'ОБЪЕКТЫ'!DC101</x:f>
        <x:v>0</x:v>
      </x:c>
      <x:c r="DD11" s="117" t="n">
        <x:f>IF(DD$3&lt;$B$8,'Продажи'!DD49,0)+'ОБЪЕКТЫ'!DD101</x:f>
        <x:v>0</x:v>
      </x:c>
      <x:c r="DE11" s="117" t="n">
        <x:f>IF(DE$3&lt;$B$8,'Продажи'!DE49,0)+'ОБЪЕКТЫ'!DE101</x:f>
        <x:v>0</x:v>
      </x:c>
      <x:c r="DF11" s="117" t="n">
        <x:f>IF(DF$3&lt;$B$8,'Продажи'!DF49,0)+'ОБЪЕКТЫ'!DF101</x:f>
        <x:v>0</x:v>
      </x:c>
      <x:c r="DG11" s="117" t="n">
        <x:f>IF(DG$3&lt;$B$8,'Продажи'!DG49,0)+'ОБЪЕКТЫ'!DG101</x:f>
        <x:v>0</x:v>
      </x:c>
      <x:c r="DH11" s="117" t="n">
        <x:f>IF(DH$3&lt;$B$8,'Продажи'!DH49,0)+'ОБЪЕКТЫ'!DH101</x:f>
        <x:v>0</x:v>
      </x:c>
      <x:c r="DI11" s="117" t="n">
        <x:f>IF(DI$3&lt;$B$8,'Продажи'!DI49,0)+'ОБЪЕКТЫ'!DI101</x:f>
        <x:v>0</x:v>
      </x:c>
      <x:c r="DJ11" s="117" t="n">
        <x:f>IF(DJ$3&lt;$B$8,'Продажи'!DJ49,0)+'ОБЪЕКТЫ'!DJ101</x:f>
        <x:v>0</x:v>
      </x:c>
      <x:c r="DK11" s="117" t="n">
        <x:f>IF(DK$3&lt;$B$8,'Продажи'!DK49,0)+'ОБЪЕКТЫ'!DK101</x:f>
        <x:v>0</x:v>
      </x:c>
      <x:c r="DL11" s="117" t="n">
        <x:f>IF(DL$3&lt;$B$8,'Продажи'!DL49,0)+'ОБЪЕКТЫ'!DL101</x:f>
        <x:v>0</x:v>
      </x:c>
      <x:c r="DM11" s="117" t="n">
        <x:f>IF(DM$3&lt;$B$8,'Продажи'!DM49,0)+'ОБЪЕКТЫ'!DM101</x:f>
        <x:v>0</x:v>
      </x:c>
      <x:c r="DN11" s="117" t="n">
        <x:f>IF(DN$3&lt;$B$8,'Продажи'!DN49,0)+'ОБЪЕКТЫ'!DN101</x:f>
        <x:v>0</x:v>
      </x:c>
      <x:c r="DO11" s="117" t="n">
        <x:f>IF(DO$3&lt;$B$8,'Продажи'!DO49,0)+'ОБЪЕКТЫ'!DO101</x:f>
        <x:v>0</x:v>
      </x:c>
      <x:c r="DP11" s="117" t="n">
        <x:f>IF(DP$3&lt;$B$8,'Продажи'!DP49,0)+'ОБЪЕКТЫ'!DP101</x:f>
        <x:v>0</x:v>
      </x:c>
      <x:c r="DQ11" s="117" t="n">
        <x:f>IF(DQ$3&lt;$B$8,'Продажи'!DQ49,0)+'ОБЪЕКТЫ'!DQ101</x:f>
        <x:v>0</x:v>
      </x:c>
      <x:c r="DR11" s="117" t="n">
        <x:f>IF(DR$3&lt;$B$8,'Продажи'!DR49,0)+'ОБЪЕКТЫ'!DR101</x:f>
        <x:v>0</x:v>
      </x:c>
      <x:c r="DS11" s="117" t="n">
        <x:f>IF(DS$3&lt;$B$8,'Продажи'!DS49,0)+'ОБЪЕКТЫ'!DS101</x:f>
        <x:v>0</x:v>
      </x:c>
    </x:row>
    <x:row r="12">
      <x:c r="A12" t="str">
        <x:v>Прямые поступления после РВЭ</x:v>
      </x:c>
      <x:c r="B12" t="n">
        <x:f>SUM(D12:DS12)</x:f>
        <x:v>0</x:v>
      </x:c>
      <x:c r="C12" t="str">
        <x:v>млн ₽</x:v>
      </x:c>
      <x:c r="D12" s="117" t="n">
        <x:f>IF(D$3&gt;=$B$8,'Продажи'!D49,0)+'ОБЪЕКТЫ'!D102</x:f>
        <x:v>0</x:v>
      </x:c>
      <x:c r="E12" s="117" t="n">
        <x:f>IF(E$3&gt;=$B$8,'Продажи'!E49,0)+'ОБЪЕКТЫ'!E102</x:f>
        <x:v>0</x:v>
      </x:c>
      <x:c r="F12" s="117" t="n">
        <x:f>IF(F$3&gt;=$B$8,'Продажи'!F49,0)+'ОБЪЕКТЫ'!F102</x:f>
        <x:v>0</x:v>
      </x:c>
      <x:c r="G12" s="117" t="n">
        <x:f>IF(G$3&gt;=$B$8,'Продажи'!G49,0)+'ОБЪЕКТЫ'!G102</x:f>
        <x:v>0</x:v>
      </x:c>
      <x:c r="H12" s="117" t="n">
        <x:f>IF(H$3&gt;=$B$8,'Продажи'!H49,0)+'ОБЪЕКТЫ'!H102</x:f>
        <x:v>0</x:v>
      </x:c>
      <x:c r="I12" s="117" t="n">
        <x:f>IF(I$3&gt;=$B$8,'Продажи'!I49,0)+'ОБЪЕКТЫ'!I102</x:f>
        <x:v>0</x:v>
      </x:c>
      <x:c r="J12" s="117" t="n">
        <x:f>IF(J$3&gt;=$B$8,'Продажи'!J49,0)+'ОБЪЕКТЫ'!J102</x:f>
        <x:v>0</x:v>
      </x:c>
      <x:c r="K12" s="117" t="n">
        <x:f>IF(K$3&gt;=$B$8,'Продажи'!K49,0)+'ОБЪЕКТЫ'!K102</x:f>
        <x:v>0</x:v>
      </x:c>
      <x:c r="L12" s="117" t="n">
        <x:f>IF(L$3&gt;=$B$8,'Продажи'!L49,0)+'ОБЪЕКТЫ'!L102</x:f>
        <x:v>0</x:v>
      </x:c>
      <x:c r="M12" s="117" t="n">
        <x:f>IF(M$3&gt;=$B$8,'Продажи'!M49,0)+'ОБЪЕКТЫ'!M102</x:f>
        <x:v>0</x:v>
      </x:c>
      <x:c r="N12" s="117" t="n">
        <x:f>IF(N$3&gt;=$B$8,'Продажи'!N49,0)+'ОБЪЕКТЫ'!N102</x:f>
        <x:v>0</x:v>
      </x:c>
      <x:c r="O12" s="117" t="n">
        <x:f>IF(O$3&gt;=$B$8,'Продажи'!O49,0)+'ОБЪЕКТЫ'!O102</x:f>
        <x:v>0</x:v>
      </x:c>
      <x:c r="P12" s="117" t="n">
        <x:f>IF(P$3&gt;=$B$8,'Продажи'!P49,0)+'ОБЪЕКТЫ'!P102</x:f>
        <x:v>0</x:v>
      </x:c>
      <x:c r="Q12" s="117" t="n">
        <x:f>IF(Q$3&gt;=$B$8,'Продажи'!Q49,0)+'ОБЪЕКТЫ'!Q102</x:f>
        <x:v>0</x:v>
      </x:c>
      <x:c r="R12" s="117" t="n">
        <x:f>IF(R$3&gt;=$B$8,'Продажи'!R49,0)+'ОБЪЕКТЫ'!R102</x:f>
        <x:v>0</x:v>
      </x:c>
      <x:c r="S12" s="117" t="n">
        <x:f>IF(S$3&gt;=$B$8,'Продажи'!S49,0)+'ОБЪЕКТЫ'!S102</x:f>
        <x:v>0</x:v>
      </x:c>
      <x:c r="T12" s="117" t="n">
        <x:f>IF(T$3&gt;=$B$8,'Продажи'!T49,0)+'ОБЪЕКТЫ'!T102</x:f>
        <x:v>0</x:v>
      </x:c>
      <x:c r="U12" s="117" t="n">
        <x:f>IF(U$3&gt;=$B$8,'Продажи'!U49,0)+'ОБЪЕКТЫ'!U102</x:f>
        <x:v>0</x:v>
      </x:c>
      <x:c r="V12" s="117" t="n">
        <x:f>IF(V$3&gt;=$B$8,'Продажи'!V49,0)+'ОБЪЕКТЫ'!V102</x:f>
        <x:v>0</x:v>
      </x:c>
      <x:c r="W12" s="117" t="n">
        <x:f>IF(W$3&gt;=$B$8,'Продажи'!W49,0)+'ОБЪЕКТЫ'!W102</x:f>
        <x:v>0</x:v>
      </x:c>
      <x:c r="X12" s="117" t="n">
        <x:f>IF(X$3&gt;=$B$8,'Продажи'!X49,0)+'ОБЪЕКТЫ'!X102</x:f>
        <x:v>0</x:v>
      </x:c>
      <x:c r="Y12" s="117" t="n">
        <x:f>IF(Y$3&gt;=$B$8,'Продажи'!Y49,0)+'ОБЪЕКТЫ'!Y102</x:f>
        <x:v>0</x:v>
      </x:c>
      <x:c r="Z12" s="117" t="n">
        <x:f>IF(Z$3&gt;=$B$8,'Продажи'!Z49,0)+'ОБЪЕКТЫ'!Z102</x:f>
        <x:v>0</x:v>
      </x:c>
      <x:c r="AA12" s="117" t="n">
        <x:f>IF(AA$3&gt;=$B$8,'Продажи'!AA49,0)+'ОБЪЕКТЫ'!AA102</x:f>
        <x:v>0</x:v>
      </x:c>
      <x:c r="AB12" s="117" t="n">
        <x:f>IF(AB$3&gt;=$B$8,'Продажи'!AB49,0)+'ОБЪЕКТЫ'!AB102</x:f>
        <x:v>0</x:v>
      </x:c>
      <x:c r="AC12" s="117" t="n">
        <x:f>IF(AC$3&gt;=$B$8,'Продажи'!AC49,0)+'ОБЪЕКТЫ'!AC102</x:f>
        <x:v>0</x:v>
      </x:c>
      <x:c r="AD12" s="117" t="n">
        <x:f>IF(AD$3&gt;=$B$8,'Продажи'!AD49,0)+'ОБЪЕКТЫ'!AD102</x:f>
        <x:v>0</x:v>
      </x:c>
      <x:c r="AE12" s="117" t="n">
        <x:f>IF(AE$3&gt;=$B$8,'Продажи'!AE49,0)+'ОБЪЕКТЫ'!AE102</x:f>
        <x:v>0</x:v>
      </x:c>
      <x:c r="AF12" s="117" t="n">
        <x:f>IF(AF$3&gt;=$B$8,'Продажи'!AF49,0)+'ОБЪЕКТЫ'!AF102</x:f>
        <x:v>0</x:v>
      </x:c>
      <x:c r="AG12" s="117" t="n">
        <x:f>IF(AG$3&gt;=$B$8,'Продажи'!AG49,0)+'ОБЪЕКТЫ'!AG102</x:f>
        <x:v>0</x:v>
      </x:c>
      <x:c r="AH12" s="117" t="n">
        <x:f>IF(AH$3&gt;=$B$8,'Продажи'!AH49,0)+'ОБЪЕКТЫ'!AH102</x:f>
        <x:v>0</x:v>
      </x:c>
      <x:c r="AI12" s="117" t="n">
        <x:f>IF(AI$3&gt;=$B$8,'Продажи'!AI49,0)+'ОБЪЕКТЫ'!AI102</x:f>
        <x:v>0</x:v>
      </x:c>
      <x:c r="AJ12" s="117" t="n">
        <x:f>IF(AJ$3&gt;=$B$8,'Продажи'!AJ49,0)+'ОБЪЕКТЫ'!AJ102</x:f>
        <x:v>0</x:v>
      </x:c>
      <x:c r="AK12" s="117" t="n">
        <x:f>IF(AK$3&gt;=$B$8,'Продажи'!AK49,0)+'ОБЪЕКТЫ'!AK102</x:f>
        <x:v>0</x:v>
      </x:c>
      <x:c r="AL12" s="117" t="n">
        <x:f>IF(AL$3&gt;=$B$8,'Продажи'!AL49,0)+'ОБЪЕКТЫ'!AL102</x:f>
        <x:v>0</x:v>
      </x:c>
      <x:c r="AM12" s="117" t="n">
        <x:f>IF(AM$3&gt;=$B$8,'Продажи'!AM49,0)+'ОБЪЕКТЫ'!AM102</x:f>
        <x:v>0</x:v>
      </x:c>
      <x:c r="AN12" s="117" t="n">
        <x:f>IF(AN$3&gt;=$B$8,'Продажи'!AN49,0)+'ОБЪЕКТЫ'!AN102</x:f>
        <x:v>0</x:v>
      </x:c>
      <x:c r="AO12" s="117" t="n">
        <x:f>IF(AO$3&gt;=$B$8,'Продажи'!AO49,0)+'ОБЪЕКТЫ'!AO102</x:f>
        <x:v>0</x:v>
      </x:c>
      <x:c r="AP12" s="117" t="n">
        <x:f>IF(AP$3&gt;=$B$8,'Продажи'!AP49,0)+'ОБЪЕКТЫ'!AP102</x:f>
        <x:v>0</x:v>
      </x:c>
      <x:c r="AQ12" s="117" t="n">
        <x:f>IF(AQ$3&gt;=$B$8,'Продажи'!AQ49,0)+'ОБЪЕКТЫ'!AQ102</x:f>
        <x:v>0</x:v>
      </x:c>
      <x:c r="AR12" s="117" t="n">
        <x:f>IF(AR$3&gt;=$B$8,'Продажи'!AR49,0)+'ОБЪЕКТЫ'!AR102</x:f>
        <x:v>0</x:v>
      </x:c>
      <x:c r="AS12" s="117" t="n">
        <x:f>IF(AS$3&gt;=$B$8,'Продажи'!AS49,0)+'ОБЪЕКТЫ'!AS102</x:f>
        <x:v>0</x:v>
      </x:c>
      <x:c r="AT12" s="117" t="n">
        <x:f>IF(AT$3&gt;=$B$8,'Продажи'!AT49,0)+'ОБЪЕКТЫ'!AT102</x:f>
        <x:v>0</x:v>
      </x:c>
      <x:c r="AU12" s="117" t="n">
        <x:f>IF(AU$3&gt;=$B$8,'Продажи'!AU49,0)+'ОБЪЕКТЫ'!AU102</x:f>
        <x:v>0</x:v>
      </x:c>
      <x:c r="AV12" s="117" t="n">
        <x:f>IF(AV$3&gt;=$B$8,'Продажи'!AV49,0)+'ОБЪЕКТЫ'!AV102</x:f>
        <x:v>0</x:v>
      </x:c>
      <x:c r="AW12" s="117" t="n">
        <x:f>IF(AW$3&gt;=$B$8,'Продажи'!AW49,0)+'ОБЪЕКТЫ'!AW102</x:f>
        <x:v>0</x:v>
      </x:c>
      <x:c r="AX12" s="117" t="n">
        <x:f>IF(AX$3&gt;=$B$8,'Продажи'!AX49,0)+'ОБЪЕКТЫ'!AX102</x:f>
        <x:v>0</x:v>
      </x:c>
      <x:c r="AY12" s="117" t="n">
        <x:f>IF(AY$3&gt;=$B$8,'Продажи'!AY49,0)+'ОБЪЕКТЫ'!AY102</x:f>
        <x:v>0</x:v>
      </x:c>
      <x:c r="AZ12" s="117" t="n">
        <x:f>IF(AZ$3&gt;=$B$8,'Продажи'!AZ49,0)+'ОБЪЕКТЫ'!AZ102</x:f>
        <x:v>0</x:v>
      </x:c>
      <x:c r="BA12" s="117" t="n">
        <x:f>IF(BA$3&gt;=$B$8,'Продажи'!BA49,0)+'ОБЪЕКТЫ'!BA102</x:f>
        <x:v>0</x:v>
      </x:c>
      <x:c r="BB12" s="117" t="n">
        <x:f>IF(BB$3&gt;=$B$8,'Продажи'!BB49,0)+'ОБЪЕКТЫ'!BB102</x:f>
        <x:v>0</x:v>
      </x:c>
      <x:c r="BC12" s="117" t="n">
        <x:f>IF(BC$3&gt;=$B$8,'Продажи'!BC49,0)+'ОБЪЕКТЫ'!BC102</x:f>
        <x:v>0</x:v>
      </x:c>
      <x:c r="BD12" s="117" t="n">
        <x:f>IF(BD$3&gt;=$B$8,'Продажи'!BD49,0)+'ОБЪЕКТЫ'!BD102</x:f>
        <x:v>0</x:v>
      </x:c>
      <x:c r="BE12" s="117" t="n">
        <x:f>IF(BE$3&gt;=$B$8,'Продажи'!BE49,0)+'ОБЪЕКТЫ'!BE102</x:f>
        <x:v>0</x:v>
      </x:c>
      <x:c r="BF12" s="117" t="n">
        <x:f>IF(BF$3&gt;=$B$8,'Продажи'!BF49,0)+'ОБЪЕКТЫ'!BF102</x:f>
        <x:v>0</x:v>
      </x:c>
      <x:c r="BG12" s="117" t="n">
        <x:f>IF(BG$3&gt;=$B$8,'Продажи'!BG49,0)+'ОБЪЕКТЫ'!BG102</x:f>
        <x:v>0</x:v>
      </x:c>
      <x:c r="BH12" s="117" t="n">
        <x:f>IF(BH$3&gt;=$B$8,'Продажи'!BH49,0)+'ОБЪЕКТЫ'!BH102</x:f>
        <x:v>0</x:v>
      </x:c>
      <x:c r="BI12" s="117" t="n">
        <x:f>IF(BI$3&gt;=$B$8,'Продажи'!BI49,0)+'ОБЪЕКТЫ'!BI102</x:f>
        <x:v>0</x:v>
      </x:c>
      <x:c r="BJ12" s="117" t="n">
        <x:f>IF(BJ$3&gt;=$B$8,'Продажи'!BJ49,0)+'ОБЪЕКТЫ'!BJ102</x:f>
        <x:v>0</x:v>
      </x:c>
      <x:c r="BK12" s="117" t="n">
        <x:f>IF(BK$3&gt;=$B$8,'Продажи'!BK49,0)+'ОБЪЕКТЫ'!BK102</x:f>
        <x:v>0</x:v>
      </x:c>
      <x:c r="BL12" s="117" t="n">
        <x:f>IF(BL$3&gt;=$B$8,'Продажи'!BL49,0)+'ОБЪЕКТЫ'!BL102</x:f>
        <x:v>0</x:v>
      </x:c>
      <x:c r="BM12" s="117" t="n">
        <x:f>IF(BM$3&gt;=$B$8,'Продажи'!BM49,0)+'ОБЪЕКТЫ'!BM102</x:f>
        <x:v>0</x:v>
      </x:c>
      <x:c r="BN12" s="117" t="n">
        <x:f>IF(BN$3&gt;=$B$8,'Продажи'!BN49,0)+'ОБЪЕКТЫ'!BN102</x:f>
        <x:v>0</x:v>
      </x:c>
      <x:c r="BO12" s="117" t="n">
        <x:f>IF(BO$3&gt;=$B$8,'Продажи'!BO49,0)+'ОБЪЕКТЫ'!BO102</x:f>
        <x:v>0</x:v>
      </x:c>
      <x:c r="BP12" s="117" t="n">
        <x:f>IF(BP$3&gt;=$B$8,'Продажи'!BP49,0)+'ОБЪЕКТЫ'!BP102</x:f>
        <x:v>0</x:v>
      </x:c>
      <x:c r="BQ12" s="117" t="n">
        <x:f>IF(BQ$3&gt;=$B$8,'Продажи'!BQ49,0)+'ОБЪЕКТЫ'!BQ102</x:f>
        <x:v>0</x:v>
      </x:c>
      <x:c r="BR12" s="117" t="n">
        <x:f>IF(BR$3&gt;=$B$8,'Продажи'!BR49,0)+'ОБЪЕКТЫ'!BR102</x:f>
        <x:v>0</x:v>
      </x:c>
      <x:c r="BS12" s="117" t="n">
        <x:f>IF(BS$3&gt;=$B$8,'Продажи'!BS49,0)+'ОБЪЕКТЫ'!BS102</x:f>
        <x:v>0</x:v>
      </x:c>
      <x:c r="BT12" s="117" t="n">
        <x:f>IF(BT$3&gt;=$B$8,'Продажи'!BT49,0)+'ОБЪЕКТЫ'!BT102</x:f>
        <x:v>0</x:v>
      </x:c>
      <x:c r="BU12" s="117" t="n">
        <x:f>IF(BU$3&gt;=$B$8,'Продажи'!BU49,0)+'ОБЪЕКТЫ'!BU102</x:f>
        <x:v>0</x:v>
      </x:c>
      <x:c r="BV12" s="117" t="n">
        <x:f>IF(BV$3&gt;=$B$8,'Продажи'!BV49,0)+'ОБЪЕКТЫ'!BV102</x:f>
        <x:v>0</x:v>
      </x:c>
      <x:c r="BW12" s="117" t="n">
        <x:f>IF(BW$3&gt;=$B$8,'Продажи'!BW49,0)+'ОБЪЕКТЫ'!BW102</x:f>
        <x:v>0</x:v>
      </x:c>
      <x:c r="BX12" s="117" t="n">
        <x:f>IF(BX$3&gt;=$B$8,'Продажи'!BX49,0)+'ОБЪЕКТЫ'!BX102</x:f>
        <x:v>0</x:v>
      </x:c>
      <x:c r="BY12" s="117" t="n">
        <x:f>IF(BY$3&gt;=$B$8,'Продажи'!BY49,0)+'ОБЪЕКТЫ'!BY102</x:f>
        <x:v>0</x:v>
      </x:c>
      <x:c r="BZ12" s="117" t="n">
        <x:f>IF(BZ$3&gt;=$B$8,'Продажи'!BZ49,0)+'ОБЪЕКТЫ'!BZ102</x:f>
        <x:v>0</x:v>
      </x:c>
      <x:c r="CA12" s="117" t="n">
        <x:f>IF(CA$3&gt;=$B$8,'Продажи'!CA49,0)+'ОБЪЕКТЫ'!CA102</x:f>
        <x:v>0</x:v>
      </x:c>
      <x:c r="CB12" s="117" t="n">
        <x:f>IF(CB$3&gt;=$B$8,'Продажи'!CB49,0)+'ОБЪЕКТЫ'!CB102</x:f>
        <x:v>0</x:v>
      </x:c>
      <x:c r="CC12" s="117" t="n">
        <x:f>IF(CC$3&gt;=$B$8,'Продажи'!CC49,0)+'ОБЪЕКТЫ'!CC102</x:f>
        <x:v>0</x:v>
      </x:c>
      <x:c r="CD12" s="117" t="n">
        <x:f>IF(CD$3&gt;=$B$8,'Продажи'!CD49,0)+'ОБЪЕКТЫ'!CD102</x:f>
        <x:v>0</x:v>
      </x:c>
      <x:c r="CE12" s="117" t="n">
        <x:f>IF(CE$3&gt;=$B$8,'Продажи'!CE49,0)+'ОБЪЕКТЫ'!CE102</x:f>
        <x:v>0</x:v>
      </x:c>
      <x:c r="CF12" s="117" t="n">
        <x:f>IF(CF$3&gt;=$B$8,'Продажи'!CF49,0)+'ОБЪЕКТЫ'!CF102</x:f>
        <x:v>0</x:v>
      </x:c>
      <x:c r="CG12" s="117" t="n">
        <x:f>IF(CG$3&gt;=$B$8,'Продажи'!CG49,0)+'ОБЪЕКТЫ'!CG102</x:f>
        <x:v>0</x:v>
      </x:c>
      <x:c r="CH12" s="117" t="n">
        <x:f>IF(CH$3&gt;=$B$8,'Продажи'!CH49,0)+'ОБЪЕКТЫ'!CH102</x:f>
        <x:v>0</x:v>
      </x:c>
      <x:c r="CI12" s="117" t="n">
        <x:f>IF(CI$3&gt;=$B$8,'Продажи'!CI49,0)+'ОБЪЕКТЫ'!CI102</x:f>
        <x:v>0</x:v>
      </x:c>
      <x:c r="CJ12" s="117" t="n">
        <x:f>IF(CJ$3&gt;=$B$8,'Продажи'!CJ49,0)+'ОБЪЕКТЫ'!CJ102</x:f>
        <x:v>0</x:v>
      </x:c>
      <x:c r="CK12" s="117" t="n">
        <x:f>IF(CK$3&gt;=$B$8,'Продажи'!CK49,0)+'ОБЪЕКТЫ'!CK102</x:f>
        <x:v>0</x:v>
      </x:c>
      <x:c r="CL12" s="117" t="n">
        <x:f>IF(CL$3&gt;=$B$8,'Продажи'!CL49,0)+'ОБЪЕКТЫ'!CL102</x:f>
        <x:v>0</x:v>
      </x:c>
      <x:c r="CM12" s="117" t="n">
        <x:f>IF(CM$3&gt;=$B$8,'Продажи'!CM49,0)+'ОБЪЕКТЫ'!CM102</x:f>
        <x:v>0</x:v>
      </x:c>
      <x:c r="CN12" s="117" t="n">
        <x:f>IF(CN$3&gt;=$B$8,'Продажи'!CN49,0)+'ОБЪЕКТЫ'!CN102</x:f>
        <x:v>0</x:v>
      </x:c>
      <x:c r="CO12" s="117" t="n">
        <x:f>IF(CO$3&gt;=$B$8,'Продажи'!CO49,0)+'ОБЪЕКТЫ'!CO102</x:f>
        <x:v>0</x:v>
      </x:c>
      <x:c r="CP12" s="117" t="n">
        <x:f>IF(CP$3&gt;=$B$8,'Продажи'!CP49,0)+'ОБЪЕКТЫ'!CP102</x:f>
        <x:v>0</x:v>
      </x:c>
      <x:c r="CQ12" s="117" t="n">
        <x:f>IF(CQ$3&gt;=$B$8,'Продажи'!CQ49,0)+'ОБЪЕКТЫ'!CQ102</x:f>
        <x:v>0</x:v>
      </x:c>
      <x:c r="CR12" s="117" t="n">
        <x:f>IF(CR$3&gt;=$B$8,'Продажи'!CR49,0)+'ОБЪЕКТЫ'!CR102</x:f>
        <x:v>0</x:v>
      </x:c>
      <x:c r="CS12" s="117" t="n">
        <x:f>IF(CS$3&gt;=$B$8,'Продажи'!CS49,0)+'ОБЪЕКТЫ'!CS102</x:f>
        <x:v>0</x:v>
      </x:c>
      <x:c r="CT12" s="117" t="n">
        <x:f>IF(CT$3&gt;=$B$8,'Продажи'!CT49,0)+'ОБЪЕКТЫ'!CT102</x:f>
        <x:v>0</x:v>
      </x:c>
      <x:c r="CU12" s="117" t="n">
        <x:f>IF(CU$3&gt;=$B$8,'Продажи'!CU49,0)+'ОБЪЕКТЫ'!CU102</x:f>
        <x:v>0</x:v>
      </x:c>
      <x:c r="CV12" s="117" t="n">
        <x:f>IF(CV$3&gt;=$B$8,'Продажи'!CV49,0)+'ОБЪЕКТЫ'!CV102</x:f>
        <x:v>0</x:v>
      </x:c>
      <x:c r="CW12" s="117" t="n">
        <x:f>IF(CW$3&gt;=$B$8,'Продажи'!CW49,0)+'ОБЪЕКТЫ'!CW102</x:f>
        <x:v>0</x:v>
      </x:c>
      <x:c r="CX12" s="117" t="n">
        <x:f>IF(CX$3&gt;=$B$8,'Продажи'!CX49,0)+'ОБЪЕКТЫ'!CX102</x:f>
        <x:v>0</x:v>
      </x:c>
      <x:c r="CY12" s="117" t="n">
        <x:f>IF(CY$3&gt;=$B$8,'Продажи'!CY49,0)+'ОБЪЕКТЫ'!CY102</x:f>
        <x:v>0</x:v>
      </x:c>
      <x:c r="CZ12" s="117" t="n">
        <x:f>IF(CZ$3&gt;=$B$8,'Продажи'!CZ49,0)+'ОБЪЕКТЫ'!CZ102</x:f>
        <x:v>0</x:v>
      </x:c>
      <x:c r="DA12" s="117" t="n">
        <x:f>IF(DA$3&gt;=$B$8,'Продажи'!DA49,0)+'ОБЪЕКТЫ'!DA102</x:f>
        <x:v>0</x:v>
      </x:c>
      <x:c r="DB12" s="117" t="n">
        <x:f>IF(DB$3&gt;=$B$8,'Продажи'!DB49,0)+'ОБЪЕКТЫ'!DB102</x:f>
        <x:v>0</x:v>
      </x:c>
      <x:c r="DC12" s="117" t="n">
        <x:f>IF(DC$3&gt;=$B$8,'Продажи'!DC49,0)+'ОБЪЕКТЫ'!DC102</x:f>
        <x:v>0</x:v>
      </x:c>
      <x:c r="DD12" s="117" t="n">
        <x:f>IF(DD$3&gt;=$B$8,'Продажи'!DD49,0)+'ОБЪЕКТЫ'!DD102</x:f>
        <x:v>0</x:v>
      </x:c>
      <x:c r="DE12" s="117" t="n">
        <x:f>IF(DE$3&gt;=$B$8,'Продажи'!DE49,0)+'ОБЪЕКТЫ'!DE102</x:f>
        <x:v>0</x:v>
      </x:c>
      <x:c r="DF12" s="117" t="n">
        <x:f>IF(DF$3&gt;=$B$8,'Продажи'!DF49,0)+'ОБЪЕКТЫ'!DF102</x:f>
        <x:v>0</x:v>
      </x:c>
      <x:c r="DG12" s="117" t="n">
        <x:f>IF(DG$3&gt;=$B$8,'Продажи'!DG49,0)+'ОБЪЕКТЫ'!DG102</x:f>
        <x:v>0</x:v>
      </x:c>
      <x:c r="DH12" s="117" t="n">
        <x:f>IF(DH$3&gt;=$B$8,'Продажи'!DH49,0)+'ОБЪЕКТЫ'!DH102</x:f>
        <x:v>0</x:v>
      </x:c>
      <x:c r="DI12" s="117" t="n">
        <x:f>IF(DI$3&gt;=$B$8,'Продажи'!DI49,0)+'ОБЪЕКТЫ'!DI102</x:f>
        <x:v>0</x:v>
      </x:c>
      <x:c r="DJ12" s="117" t="n">
        <x:f>IF(DJ$3&gt;=$B$8,'Продажи'!DJ49,0)+'ОБЪЕКТЫ'!DJ102</x:f>
        <x:v>0</x:v>
      </x:c>
      <x:c r="DK12" s="117" t="n">
        <x:f>IF(DK$3&gt;=$B$8,'Продажи'!DK49,0)+'ОБЪЕКТЫ'!DK102</x:f>
        <x:v>0</x:v>
      </x:c>
      <x:c r="DL12" s="117" t="n">
        <x:f>IF(DL$3&gt;=$B$8,'Продажи'!DL49,0)+'ОБЪЕКТЫ'!DL102</x:f>
        <x:v>0</x:v>
      </x:c>
      <x:c r="DM12" s="117" t="n">
        <x:f>IF(DM$3&gt;=$B$8,'Продажи'!DM49,0)+'ОБЪЕКТЫ'!DM102</x:f>
        <x:v>0</x:v>
      </x:c>
      <x:c r="DN12" s="117" t="n">
        <x:f>IF(DN$3&gt;=$B$8,'Продажи'!DN49,0)+'ОБЪЕКТЫ'!DN102</x:f>
        <x:v>0</x:v>
      </x:c>
      <x:c r="DO12" s="117" t="n">
        <x:f>IF(DO$3&gt;=$B$8,'Продажи'!DO49,0)+'ОБЪЕКТЫ'!DO102</x:f>
        <x:v>0</x:v>
      </x:c>
      <x:c r="DP12" s="117" t="n">
        <x:f>IF(DP$3&gt;=$B$8,'Продажи'!DP49,0)+'ОБЪЕКТЫ'!DP102</x:f>
        <x:v>0</x:v>
      </x:c>
      <x:c r="DQ12" s="117" t="n">
        <x:f>IF(DQ$3&gt;=$B$8,'Продажи'!DQ49,0)+'ОБЪЕКТЫ'!DQ102</x:f>
        <x:v>0</x:v>
      </x:c>
      <x:c r="DR12" s="117" t="n">
        <x:f>IF(DR$3&gt;=$B$8,'Продажи'!DR49,0)+'ОБЪЕКТЫ'!DR102</x:f>
        <x:v>0</x:v>
      </x:c>
      <x:c r="DS12" s="117" t="n">
        <x:f>IF(DS$3&gt;=$B$8,'Продажи'!DS49,0)+'ОБЪЕКТЫ'!DS102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0</x:v>
      </x:c>
      <x:c r="X13" s="117" t="n">
        <x:f>W15</x:f>
        <x:v>0</x:v>
      </x:c>
      <x:c r="Y13" s="117" t="n">
        <x:f>X15</x:f>
        <x:v>0</x:v>
      </x:c>
      <x:c r="Z13" s="117" t="n">
        <x:f>Y15</x:f>
        <x:v>0</x:v>
      </x:c>
      <x:c r="AA13" s="117" t="n">
        <x:f>Z15</x:f>
        <x:v>0</x:v>
      </x:c>
      <x:c r="AB13" s="117" t="n">
        <x:f>AA15</x:f>
        <x:v>0</x:v>
      </x:c>
      <x:c r="AC13" s="117" t="n">
        <x:f>AB15</x:f>
        <x:v>0</x:v>
      </x:c>
      <x:c r="AD13" s="117" t="n">
        <x:f>AC15</x:f>
        <x:v>0</x:v>
      </x:c>
      <x:c r="AE13" s="117" t="n">
        <x:f>AD15</x:f>
        <x:v>0</x:v>
      </x:c>
      <x:c r="AF13" s="117" t="n">
        <x:f>AE15</x:f>
        <x:v>0</x:v>
      </x:c>
      <x:c r="AG13" s="117" t="n">
        <x:f>AF15</x:f>
        <x:v>0</x:v>
      </x:c>
      <x:c r="AH13" s="117" t="n">
        <x:f>AG15</x:f>
        <x:v>0</x:v>
      </x:c>
      <x:c r="AI13" s="117" t="n">
        <x:f>AH15</x:f>
        <x:v>0</x:v>
      </x:c>
      <x:c r="AJ13" s="117" t="n">
        <x:f>AI15</x:f>
        <x:v>0</x:v>
      </x:c>
      <x:c r="AK13" s="117" t="n">
        <x:f>AJ15</x:f>
        <x:v>0</x:v>
      </x:c>
      <x:c r="AL13" s="117" t="n">
        <x:f>AK15</x:f>
        <x:v>0</x:v>
      </x:c>
      <x:c r="AM13" s="117" t="n">
        <x:f>AL15</x:f>
        <x:v>0</x:v>
      </x:c>
      <x:c r="AN13" s="117" t="n">
        <x:f>AM15</x:f>
        <x:v>0</x:v>
      </x:c>
      <x:c r="AO13" s="117" t="n">
        <x:f>AN15</x:f>
        <x:v>0</x:v>
      </x:c>
      <x:c r="AP13" s="117" t="n">
        <x:f>AO15</x:f>
        <x:v>0</x:v>
      </x:c>
      <x:c r="AQ13" s="117" t="n">
        <x:f>AP15</x:f>
        <x:v>0</x:v>
      </x:c>
      <x:c r="AR13" s="117" t="n">
        <x:f>AQ15</x:f>
        <x:v>0</x:v>
      </x:c>
      <x:c r="AS13" s="117" t="n">
        <x:f>AR15</x:f>
        <x:v>0</x:v>
      </x:c>
      <x:c r="AT13" s="117" t="n">
        <x:f>AS15</x:f>
        <x:v>0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0</x:v>
      </x:c>
      <x:c r="C14" t="str">
        <x:v>млн ₽</x:v>
      </x:c>
      <x:c r="D14" s="117" t="n">
        <x:f>0+'ОБЪЕКТЫ'!D103</x:f>
        <x:v>0</x:v>
      </x:c>
      <x:c r="E14" s="117" t="n">
        <x:f>IF(AND(YEAR(E$3)=YEAR($B$8),MONTH(E$3)=MONTH($B$8)),SUM('Продажи'!$D$49:'Продажи'!D$49),0)+'ОБЪЕКТЫ'!E103</x:f>
        <x:v>0</x:v>
      </x:c>
      <x:c r="F14" s="117" t="n">
        <x:f>IF(AND(YEAR(F$3)=YEAR($B$8),MONTH(F$3)=MONTH($B$8)),SUM('Продажи'!$D$49:'Продажи'!E$49),0)+'ОБЪЕКТЫ'!F103</x:f>
        <x:v>0</x:v>
      </x:c>
      <x:c r="G14" s="117" t="n">
        <x:f>IF(AND(YEAR(G$3)=YEAR($B$8),MONTH(G$3)=MONTH($B$8)),SUM('Продажи'!$D$49:'Продажи'!F$49),0)+'ОБЪЕКТЫ'!G103</x:f>
        <x:v>0</x:v>
      </x:c>
      <x:c r="H14" s="117" t="n">
        <x:f>IF(AND(YEAR(H$3)=YEAR($B$8),MONTH(H$3)=MONTH($B$8)),SUM('Продажи'!$D$49:'Продажи'!G$49),0)+'ОБЪЕКТЫ'!H103</x:f>
        <x:v>0</x:v>
      </x:c>
      <x:c r="I14" s="117" t="n">
        <x:f>IF(AND(YEAR(I$3)=YEAR($B$8),MONTH(I$3)=MONTH($B$8)),SUM('Продажи'!$D$49:'Продажи'!H$49),0)+'ОБЪЕКТЫ'!I103</x:f>
        <x:v>0</x:v>
      </x:c>
      <x:c r="J14" s="117" t="n">
        <x:f>IF(AND(YEAR(J$3)=YEAR($B$8),MONTH(J$3)=MONTH($B$8)),SUM('Продажи'!$D$49:'Продажи'!I$49),0)+'ОБЪЕКТЫ'!J103</x:f>
        <x:v>0</x:v>
      </x:c>
      <x:c r="K14" s="117" t="n">
        <x:f>IF(AND(YEAR(K$3)=YEAR($B$8),MONTH(K$3)=MONTH($B$8)),SUM('Продажи'!$D$49:'Продажи'!J$49),0)+'ОБЪЕКТЫ'!K103</x:f>
        <x:v>0</x:v>
      </x:c>
      <x:c r="L14" s="117" t="n">
        <x:f>IF(AND(YEAR(L$3)=YEAR($B$8),MONTH(L$3)=MONTH($B$8)),SUM('Продажи'!$D$49:'Продажи'!K$49),0)+'ОБЪЕКТЫ'!L103</x:f>
        <x:v>0</x:v>
      </x:c>
      <x:c r="M14" s="117" t="n">
        <x:f>IF(AND(YEAR(M$3)=YEAR($B$8),MONTH(M$3)=MONTH($B$8)),SUM('Продажи'!$D$49:'Продажи'!L$49),0)+'ОБЪЕКТЫ'!M103</x:f>
        <x:v>0</x:v>
      </x:c>
      <x:c r="N14" s="117" t="n">
        <x:f>IF(AND(YEAR(N$3)=YEAR($B$8),MONTH(N$3)=MONTH($B$8)),SUM('Продажи'!$D$49:'Продажи'!M$49),0)+'ОБЪЕКТЫ'!N103</x:f>
        <x:v>0</x:v>
      </x:c>
      <x:c r="O14" s="117" t="n">
        <x:f>IF(AND(YEAR(O$3)=YEAR($B$8),MONTH(O$3)=MONTH($B$8)),SUM('Продажи'!$D$49:'Продажи'!N$49),0)+'ОБЪЕКТЫ'!O103</x:f>
        <x:v>0</x:v>
      </x:c>
      <x:c r="P14" s="117" t="n">
        <x:f>IF(AND(YEAR(P$3)=YEAR($B$8),MONTH(P$3)=MONTH($B$8)),SUM('Продажи'!$D$49:'Продажи'!O$49),0)+'ОБЪЕКТЫ'!P103</x:f>
        <x:v>0</x:v>
      </x:c>
      <x:c r="Q14" s="117" t="n">
        <x:f>IF(AND(YEAR(Q$3)=YEAR($B$8),MONTH(Q$3)=MONTH($B$8)),SUM('Продажи'!$D$49:'Продажи'!P$49),0)+'ОБЪЕКТЫ'!Q103</x:f>
        <x:v>0</x:v>
      </x:c>
      <x:c r="R14" s="117" t="n">
        <x:f>IF(AND(YEAR(R$3)=YEAR($B$8),MONTH(R$3)=MONTH($B$8)),SUM('Продажи'!$D$49:'Продажи'!Q$49),0)+'ОБЪЕКТЫ'!R103</x:f>
        <x:v>0</x:v>
      </x:c>
      <x:c r="S14" s="117" t="n">
        <x:f>IF(AND(YEAR(S$3)=YEAR($B$8),MONTH(S$3)=MONTH($B$8)),SUM('Продажи'!$D$49:'Продажи'!R$49),0)+'ОБЪЕКТЫ'!S103</x:f>
        <x:v>0</x:v>
      </x:c>
      <x:c r="T14" s="117" t="n">
        <x:f>IF(AND(YEAR(T$3)=YEAR($B$8),MONTH(T$3)=MONTH($B$8)),SUM('Продажи'!$D$49:'Продажи'!S$49),0)+'ОБЪЕКТЫ'!T103</x:f>
        <x:v>0</x:v>
      </x:c>
      <x:c r="U14" s="117" t="n">
        <x:f>IF(AND(YEAR(U$3)=YEAR($B$8),MONTH(U$3)=MONTH($B$8)),SUM('Продажи'!$D$49:'Продажи'!T$49),0)+'ОБЪЕКТЫ'!U103</x:f>
        <x:v>0</x:v>
      </x:c>
      <x:c r="V14" s="117" t="n">
        <x:f>IF(AND(YEAR(V$3)=YEAR($B$8),MONTH(V$3)=MONTH($B$8)),SUM('Продажи'!$D$49:'Продажи'!U$49),0)+'ОБЪЕКТЫ'!V103</x:f>
        <x:v>0</x:v>
      </x:c>
      <x:c r="W14" s="117" t="n">
        <x:f>IF(AND(YEAR(W$3)=YEAR($B$8),MONTH(W$3)=MONTH($B$8)),SUM('Продажи'!$D$49:'Продажи'!V$49),0)+'ОБЪЕКТЫ'!W103</x:f>
        <x:v>0</x:v>
      </x:c>
      <x:c r="X14" s="117" t="n">
        <x:f>IF(AND(YEAR(X$3)=YEAR($B$8),MONTH(X$3)=MONTH($B$8)),SUM('Продажи'!$D$49:'Продажи'!W$49),0)+'ОБЪЕКТЫ'!X103</x:f>
        <x:v>0</x:v>
      </x:c>
      <x:c r="Y14" s="117" t="n">
        <x:f>IF(AND(YEAR(Y$3)=YEAR($B$8),MONTH(Y$3)=MONTH($B$8)),SUM('Продажи'!$D$49:'Продажи'!X$49),0)+'ОБЪЕКТЫ'!Y103</x:f>
        <x:v>0</x:v>
      </x:c>
      <x:c r="Z14" s="117" t="n">
        <x:f>IF(AND(YEAR(Z$3)=YEAR($B$8),MONTH(Z$3)=MONTH($B$8)),SUM('Продажи'!$D$49:'Продажи'!Y$49),0)+'ОБЪЕКТЫ'!Z103</x:f>
        <x:v>0</x:v>
      </x:c>
      <x:c r="AA14" s="117" t="n">
        <x:f>IF(AND(YEAR(AA$3)=YEAR($B$8),MONTH(AA$3)=MONTH($B$8)),SUM('Продажи'!$D$49:'Продажи'!Z$49),0)+'ОБЪЕКТЫ'!AA103</x:f>
        <x:v>0</x:v>
      </x:c>
      <x:c r="AB14" s="117" t="n">
        <x:f>IF(AND(YEAR(AB$3)=YEAR($B$8),MONTH(AB$3)=MONTH($B$8)),SUM('Продажи'!$D$49:'Продажи'!AA$49),0)+'ОБЪЕКТЫ'!AB103</x:f>
        <x:v>0</x:v>
      </x:c>
      <x:c r="AC14" s="117" t="n">
        <x:f>IF(AND(YEAR(AC$3)=YEAR($B$8),MONTH(AC$3)=MONTH($B$8)),SUM('Продажи'!$D$49:'Продажи'!AB$49),0)+'ОБЪЕКТЫ'!AC103</x:f>
        <x:v>0</x:v>
      </x:c>
      <x:c r="AD14" s="117" t="n">
        <x:f>IF(AND(YEAR(AD$3)=YEAR($B$8),MONTH(AD$3)=MONTH($B$8)),SUM('Продажи'!$D$49:'Продажи'!AC$49),0)+'ОБЪЕКТЫ'!AD103</x:f>
        <x:v>0</x:v>
      </x:c>
      <x:c r="AE14" s="117" t="n">
        <x:f>IF(AND(YEAR(AE$3)=YEAR($B$8),MONTH(AE$3)=MONTH($B$8)),SUM('Продажи'!$D$49:'Продажи'!AD$49),0)+'ОБЪЕКТЫ'!AE103</x:f>
        <x:v>0</x:v>
      </x:c>
      <x:c r="AF14" s="117" t="n">
        <x:f>IF(AND(YEAR(AF$3)=YEAR($B$8),MONTH(AF$3)=MONTH($B$8)),SUM('Продажи'!$D$49:'Продажи'!AE$49),0)+'ОБЪЕКТЫ'!AF103</x:f>
        <x:v>0</x:v>
      </x:c>
      <x:c r="AG14" s="117" t="n">
        <x:f>IF(AND(YEAR(AG$3)=YEAR($B$8),MONTH(AG$3)=MONTH($B$8)),SUM('Продажи'!$D$49:'Продажи'!AF$49),0)+'ОБЪЕКТЫ'!AG103</x:f>
        <x:v>0</x:v>
      </x:c>
      <x:c r="AH14" s="117" t="n">
        <x:f>IF(AND(YEAR(AH$3)=YEAR($B$8),MONTH(AH$3)=MONTH($B$8)),SUM('Продажи'!$D$49:'Продажи'!AG$49),0)+'ОБЪЕКТЫ'!AH103</x:f>
        <x:v>0</x:v>
      </x:c>
      <x:c r="AI14" s="117" t="n">
        <x:f>IF(AND(YEAR(AI$3)=YEAR($B$8),MONTH(AI$3)=MONTH($B$8)),SUM('Продажи'!$D$49:'Продажи'!AH$49),0)+'ОБЪЕКТЫ'!AI103</x:f>
        <x:v>0</x:v>
      </x:c>
      <x:c r="AJ14" s="117" t="n">
        <x:f>IF(AND(YEAR(AJ$3)=YEAR($B$8),MONTH(AJ$3)=MONTH($B$8)),SUM('Продажи'!$D$49:'Продажи'!AI$49),0)+'ОБЪЕКТЫ'!AJ103</x:f>
        <x:v>0</x:v>
      </x:c>
      <x:c r="AK14" s="117" t="n">
        <x:f>IF(AND(YEAR(AK$3)=YEAR($B$8),MONTH(AK$3)=MONTH($B$8)),SUM('Продажи'!$D$49:'Продажи'!AJ$49),0)+'ОБЪЕКТЫ'!AK103</x:f>
        <x:v>0</x:v>
      </x:c>
      <x:c r="AL14" s="117" t="n">
        <x:f>IF(AND(YEAR(AL$3)=YEAR($B$8),MONTH(AL$3)=MONTH($B$8)),SUM('Продажи'!$D$49:'Продажи'!AK$49),0)+'ОБЪЕКТЫ'!AL103</x:f>
        <x:v>0</x:v>
      </x:c>
      <x:c r="AM14" s="117" t="n">
        <x:f>IF(AND(YEAR(AM$3)=YEAR($B$8),MONTH(AM$3)=MONTH($B$8)),SUM('Продажи'!$D$49:'Продажи'!AL$49),0)+'ОБЪЕКТЫ'!AM103</x:f>
        <x:v>0</x:v>
      </x:c>
      <x:c r="AN14" s="117" t="n">
        <x:f>IF(AND(YEAR(AN$3)=YEAR($B$8),MONTH(AN$3)=MONTH($B$8)),SUM('Продажи'!$D$49:'Продажи'!AM$49),0)+'ОБЪЕКТЫ'!AN103</x:f>
        <x:v>0</x:v>
      </x:c>
      <x:c r="AO14" s="117" t="n">
        <x:f>IF(AND(YEAR(AO$3)=YEAR($B$8),MONTH(AO$3)=MONTH($B$8)),SUM('Продажи'!$D$49:'Продажи'!AN$49),0)+'ОБЪЕКТЫ'!AO103</x:f>
        <x:v>0</x:v>
      </x:c>
      <x:c r="AP14" s="117" t="n">
        <x:f>IF(AND(YEAR(AP$3)=YEAR($B$8),MONTH(AP$3)=MONTH($B$8)),SUM('Продажи'!$D$49:'Продажи'!AO$49),0)+'ОБЪЕКТЫ'!AP103</x:f>
        <x:v>0</x:v>
      </x:c>
      <x:c r="AQ14" s="117" t="n">
        <x:f>IF(AND(YEAR(AQ$3)=YEAR($B$8),MONTH(AQ$3)=MONTH($B$8)),SUM('Продажи'!$D$49:'Продажи'!AP$49),0)+'ОБЪЕКТЫ'!AQ103</x:f>
        <x:v>0</x:v>
      </x:c>
      <x:c r="AR14" s="117" t="n">
        <x:f>IF(AND(YEAR(AR$3)=YEAR($B$8),MONTH(AR$3)=MONTH($B$8)),SUM('Продажи'!$D$49:'Продажи'!AQ$49),0)+'ОБЪЕКТЫ'!AR103</x:f>
        <x:v>0</x:v>
      </x:c>
      <x:c r="AS14" s="117" t="n">
        <x:f>IF(AND(YEAR(AS$3)=YEAR($B$8),MONTH(AS$3)=MONTH($B$8)),SUM('Продажи'!$D$49:'Продажи'!AR$49),0)+'ОБЪЕКТЫ'!AS103</x:f>
        <x:v>0</x:v>
      </x:c>
      <x:c r="AT14" s="117" t="n">
        <x:f>IF(AND(YEAR(AT$3)=YEAR($B$8),MONTH(AT$3)=MONTH($B$8)),SUM('Продажи'!$D$49:'Продажи'!AS$49),0)+'ОБЪЕКТЫ'!AT103</x:f>
        <x:v>0</x:v>
      </x:c>
      <x:c r="AU14" s="117" t="n">
        <x:f>IF(AND(YEAR(AU$3)=YEAR($B$8),MONTH(AU$3)=MONTH($B$8)),SUM('Продажи'!$D$49:'Продажи'!AT$49),0)+'ОБЪЕКТЫ'!AU103</x:f>
        <x:v>0</x:v>
      </x:c>
      <x:c r="AV14" s="117" t="n">
        <x:f>IF(AND(YEAR(AV$3)=YEAR($B$8),MONTH(AV$3)=MONTH($B$8)),SUM('Продажи'!$D$49:'Продажи'!AU$49),0)+'ОБЪЕКТЫ'!AV103</x:f>
        <x:v>0</x:v>
      </x:c>
      <x:c r="AW14" s="117" t="n">
        <x:f>IF(AND(YEAR(AW$3)=YEAR($B$8),MONTH(AW$3)=MONTH($B$8)),SUM('Продажи'!$D$49:'Продажи'!AV$49),0)+'ОБЪЕКТЫ'!AW103</x:f>
        <x:v>0</x:v>
      </x:c>
      <x:c r="AX14" s="117" t="n">
        <x:f>IF(AND(YEAR(AX$3)=YEAR($B$8),MONTH(AX$3)=MONTH($B$8)),SUM('Продажи'!$D$49:'Продажи'!AW$49),0)+'ОБЪЕКТЫ'!AX103</x:f>
        <x:v>0</x:v>
      </x:c>
      <x:c r="AY14" s="117" t="n">
        <x:f>IF(AND(YEAR(AY$3)=YEAR($B$8),MONTH(AY$3)=MONTH($B$8)),SUM('Продажи'!$D$49:'Продажи'!AX$49),0)+'ОБЪЕКТЫ'!AY103</x:f>
        <x:v>0</x:v>
      </x:c>
      <x:c r="AZ14" s="117" t="n">
        <x:f>IF(AND(YEAR(AZ$3)=YEAR($B$8),MONTH(AZ$3)=MONTH($B$8)),SUM('Продажи'!$D$49:'Продажи'!AY$49),0)+'ОБЪЕКТЫ'!AZ103</x:f>
        <x:v>0</x:v>
      </x:c>
      <x:c r="BA14" s="117" t="n">
        <x:f>IF(AND(YEAR(BA$3)=YEAR($B$8),MONTH(BA$3)=MONTH($B$8)),SUM('Продажи'!$D$49:'Продажи'!AZ$49),0)+'ОБЪЕКТЫ'!BA103</x:f>
        <x:v>0</x:v>
      </x:c>
      <x:c r="BB14" s="117" t="n">
        <x:f>IF(AND(YEAR(BB$3)=YEAR($B$8),MONTH(BB$3)=MONTH($B$8)),SUM('Продажи'!$D$49:'Продажи'!BA$49),0)+'ОБЪЕКТЫ'!BB103</x:f>
        <x:v>0</x:v>
      </x:c>
      <x:c r="BC14" s="117" t="n">
        <x:f>IF(AND(YEAR(BC$3)=YEAR($B$8),MONTH(BC$3)=MONTH($B$8)),SUM('Продажи'!$D$49:'Продажи'!BB$49),0)+'ОБЪЕКТЫ'!BC103</x:f>
        <x:v>0</x:v>
      </x:c>
      <x:c r="BD14" s="117" t="n">
        <x:f>IF(AND(YEAR(BD$3)=YEAR($B$8),MONTH(BD$3)=MONTH($B$8)),SUM('Продажи'!$D$49:'Продажи'!BC$49),0)+'ОБЪЕКТЫ'!BD103</x:f>
        <x:v>0</x:v>
      </x:c>
      <x:c r="BE14" s="117" t="n">
        <x:f>IF(AND(YEAR(BE$3)=YEAR($B$8),MONTH(BE$3)=MONTH($B$8)),SUM('Продажи'!$D$49:'Продажи'!BD$49),0)+'ОБЪЕКТЫ'!BE103</x:f>
        <x:v>0</x:v>
      </x:c>
      <x:c r="BF14" s="117" t="n">
        <x:f>IF(AND(YEAR(BF$3)=YEAR($B$8),MONTH(BF$3)=MONTH($B$8)),SUM('Продажи'!$D$49:'Продажи'!BE$49),0)+'ОБЪЕКТЫ'!BF103</x:f>
        <x:v>0</x:v>
      </x:c>
      <x:c r="BG14" s="117" t="n">
        <x:f>IF(AND(YEAR(BG$3)=YEAR($B$8),MONTH(BG$3)=MONTH($B$8)),SUM('Продажи'!$D$49:'Продажи'!BF$49),0)+'ОБЪЕКТЫ'!BG103</x:f>
        <x:v>0</x:v>
      </x:c>
      <x:c r="BH14" s="117" t="n">
        <x:f>IF(AND(YEAR(BH$3)=YEAR($B$8),MONTH(BH$3)=MONTH($B$8)),SUM('Продажи'!$D$49:'Продажи'!BG$49),0)+'ОБЪЕКТЫ'!BH103</x:f>
        <x:v>0</x:v>
      </x:c>
      <x:c r="BI14" s="117" t="n">
        <x:f>IF(AND(YEAR(BI$3)=YEAR($B$8),MONTH(BI$3)=MONTH($B$8)),SUM('Продажи'!$D$49:'Продажи'!BH$49),0)+'ОБЪЕКТЫ'!BI103</x:f>
        <x:v>0</x:v>
      </x:c>
      <x:c r="BJ14" s="117" t="n">
        <x:f>IF(AND(YEAR(BJ$3)=YEAR($B$8),MONTH(BJ$3)=MONTH($B$8)),SUM('Продажи'!$D$49:'Продажи'!BI$49),0)+'ОБЪЕКТЫ'!BJ103</x:f>
        <x:v>0</x:v>
      </x:c>
      <x:c r="BK14" s="117" t="n">
        <x:f>IF(AND(YEAR(BK$3)=YEAR($B$8),MONTH(BK$3)=MONTH($B$8)),SUM('Продажи'!$D$49:'Продажи'!BJ$49),0)+'ОБЪЕКТЫ'!BK103</x:f>
        <x:v>0</x:v>
      </x:c>
      <x:c r="BL14" s="117" t="n">
        <x:f>IF(AND(YEAR(BL$3)=YEAR($B$8),MONTH(BL$3)=MONTH($B$8)),SUM('Продажи'!$D$49:'Продажи'!BK$49),0)+'ОБЪЕКТЫ'!BL103</x:f>
        <x:v>0</x:v>
      </x:c>
      <x:c r="BM14" s="117" t="n">
        <x:f>IF(AND(YEAR(BM$3)=YEAR($B$8),MONTH(BM$3)=MONTH($B$8)),SUM('Продажи'!$D$49:'Продажи'!BL$49),0)+'ОБЪЕКТЫ'!BM103</x:f>
        <x:v>0</x:v>
      </x:c>
      <x:c r="BN14" s="117" t="n">
        <x:f>IF(AND(YEAR(BN$3)=YEAR($B$8),MONTH(BN$3)=MONTH($B$8)),SUM('Продажи'!$D$49:'Продажи'!BM$49),0)+'ОБЪЕКТЫ'!BN103</x:f>
        <x:v>0</x:v>
      </x:c>
      <x:c r="BO14" s="117" t="n">
        <x:f>IF(AND(YEAR(BO$3)=YEAR($B$8),MONTH(BO$3)=MONTH($B$8)),SUM('Продажи'!$D$49:'Продажи'!BN$49),0)+'ОБЪЕКТЫ'!BO103</x:f>
        <x:v>0</x:v>
      </x:c>
      <x:c r="BP14" s="117" t="n">
        <x:f>IF(AND(YEAR(BP$3)=YEAR($B$8),MONTH(BP$3)=MONTH($B$8)),SUM('Продажи'!$D$49:'Продажи'!BO$49),0)+'ОБЪЕКТЫ'!BP103</x:f>
        <x:v>0</x:v>
      </x:c>
      <x:c r="BQ14" s="117" t="n">
        <x:f>IF(AND(YEAR(BQ$3)=YEAR($B$8),MONTH(BQ$3)=MONTH($B$8)),SUM('Продажи'!$D$49:'Продажи'!BP$49),0)+'ОБЪЕКТЫ'!BQ103</x:f>
        <x:v>0</x:v>
      </x:c>
      <x:c r="BR14" s="117" t="n">
        <x:f>IF(AND(YEAR(BR$3)=YEAR($B$8),MONTH(BR$3)=MONTH($B$8)),SUM('Продажи'!$D$49:'Продажи'!BQ$49),0)+'ОБЪЕКТЫ'!BR103</x:f>
        <x:v>0</x:v>
      </x:c>
      <x:c r="BS14" s="117" t="n">
        <x:f>IF(AND(YEAR(BS$3)=YEAR($B$8),MONTH(BS$3)=MONTH($B$8)),SUM('Продажи'!$D$49:'Продажи'!BR$49),0)+'ОБЪЕКТЫ'!BS103</x:f>
        <x:v>0</x:v>
      </x:c>
      <x:c r="BT14" s="117" t="n">
        <x:f>IF(AND(YEAR(BT$3)=YEAR($B$8),MONTH(BT$3)=MONTH($B$8)),SUM('Продажи'!$D$49:'Продажи'!BS$49),0)+'ОБЪЕКТЫ'!BT103</x:f>
        <x:v>0</x:v>
      </x:c>
      <x:c r="BU14" s="117" t="n">
        <x:f>IF(AND(YEAR(BU$3)=YEAR($B$8),MONTH(BU$3)=MONTH($B$8)),SUM('Продажи'!$D$49:'Продажи'!BT$49),0)+'ОБЪЕКТЫ'!BU103</x:f>
        <x:v>0</x:v>
      </x:c>
      <x:c r="BV14" s="117" t="n">
        <x:f>IF(AND(YEAR(BV$3)=YEAR($B$8),MONTH(BV$3)=MONTH($B$8)),SUM('Продажи'!$D$49:'Продажи'!BU$49),0)+'ОБЪЕКТЫ'!BV103</x:f>
        <x:v>0</x:v>
      </x:c>
      <x:c r="BW14" s="117" t="n">
        <x:f>IF(AND(YEAR(BW$3)=YEAR($B$8),MONTH(BW$3)=MONTH($B$8)),SUM('Продажи'!$D$49:'Продажи'!BV$49),0)+'ОБЪЕКТЫ'!BW103</x:f>
        <x:v>0</x:v>
      </x:c>
      <x:c r="BX14" s="117" t="n">
        <x:f>IF(AND(YEAR(BX$3)=YEAR($B$8),MONTH(BX$3)=MONTH($B$8)),SUM('Продажи'!$D$49:'Продажи'!BW$49),0)+'ОБЪЕКТЫ'!BX103</x:f>
        <x:v>0</x:v>
      </x:c>
      <x:c r="BY14" s="117" t="n">
        <x:f>IF(AND(YEAR(BY$3)=YEAR($B$8),MONTH(BY$3)=MONTH($B$8)),SUM('Продажи'!$D$49:'Продажи'!BX$49),0)+'ОБЪЕКТЫ'!BY103</x:f>
        <x:v>0</x:v>
      </x:c>
      <x:c r="BZ14" s="117" t="n">
        <x:f>IF(AND(YEAR(BZ$3)=YEAR($B$8),MONTH(BZ$3)=MONTH($B$8)),SUM('Продажи'!$D$49:'Продажи'!BY$49),0)+'ОБЪЕКТЫ'!BZ103</x:f>
        <x:v>0</x:v>
      </x:c>
      <x:c r="CA14" s="117" t="n">
        <x:f>IF(AND(YEAR(CA$3)=YEAR($B$8),MONTH(CA$3)=MONTH($B$8)),SUM('Продажи'!$D$49:'Продажи'!BZ$49),0)+'ОБЪЕКТЫ'!CA103</x:f>
        <x:v>0</x:v>
      </x:c>
      <x:c r="CB14" s="117" t="n">
        <x:f>IF(AND(YEAR(CB$3)=YEAR($B$8),MONTH(CB$3)=MONTH($B$8)),SUM('Продажи'!$D$49:'Продажи'!CA$49),0)+'ОБЪЕКТЫ'!CB103</x:f>
        <x:v>0</x:v>
      </x:c>
      <x:c r="CC14" s="117" t="n">
        <x:f>IF(AND(YEAR(CC$3)=YEAR($B$8),MONTH(CC$3)=MONTH($B$8)),SUM('Продажи'!$D$49:'Продажи'!CB$49),0)+'ОБЪЕКТЫ'!CC103</x:f>
        <x:v>0</x:v>
      </x:c>
      <x:c r="CD14" s="117" t="n">
        <x:f>IF(AND(YEAR(CD$3)=YEAR($B$8),MONTH(CD$3)=MONTH($B$8)),SUM('Продажи'!$D$49:'Продажи'!CC$49),0)+'ОБЪЕКТЫ'!CD103</x:f>
        <x:v>0</x:v>
      </x:c>
      <x:c r="CE14" s="117" t="n">
        <x:f>IF(AND(YEAR(CE$3)=YEAR($B$8),MONTH(CE$3)=MONTH($B$8)),SUM('Продажи'!$D$49:'Продажи'!CD$49),0)+'ОБЪЕКТЫ'!CE103</x:f>
        <x:v>0</x:v>
      </x:c>
      <x:c r="CF14" s="117" t="n">
        <x:f>IF(AND(YEAR(CF$3)=YEAR($B$8),MONTH(CF$3)=MONTH($B$8)),SUM('Продажи'!$D$49:'Продажи'!CE$49),0)+'ОБЪЕКТЫ'!CF103</x:f>
        <x:v>0</x:v>
      </x:c>
      <x:c r="CG14" s="117" t="n">
        <x:f>IF(AND(YEAR(CG$3)=YEAR($B$8),MONTH(CG$3)=MONTH($B$8)),SUM('Продажи'!$D$49:'Продажи'!CF$49),0)+'ОБЪЕКТЫ'!CG103</x:f>
        <x:v>0</x:v>
      </x:c>
      <x:c r="CH14" s="117" t="n">
        <x:f>IF(AND(YEAR(CH$3)=YEAR($B$8),MONTH(CH$3)=MONTH($B$8)),SUM('Продажи'!$D$49:'Продажи'!CG$49),0)+'ОБЪЕКТЫ'!CH103</x:f>
        <x:v>0</x:v>
      </x:c>
      <x:c r="CI14" s="117" t="n">
        <x:f>IF(AND(YEAR(CI$3)=YEAR($B$8),MONTH(CI$3)=MONTH($B$8)),SUM('Продажи'!$D$49:'Продажи'!CH$49),0)+'ОБЪЕКТЫ'!CI103</x:f>
        <x:v>0</x:v>
      </x:c>
      <x:c r="CJ14" s="117" t="n">
        <x:f>IF(AND(YEAR(CJ$3)=YEAR($B$8),MONTH(CJ$3)=MONTH($B$8)),SUM('Продажи'!$D$49:'Продажи'!CI$49),0)+'ОБЪЕКТЫ'!CJ103</x:f>
        <x:v>0</x:v>
      </x:c>
      <x:c r="CK14" s="117" t="n">
        <x:f>IF(AND(YEAR(CK$3)=YEAR($B$8),MONTH(CK$3)=MONTH($B$8)),SUM('Продажи'!$D$49:'Продажи'!CJ$49),0)+'ОБЪЕКТЫ'!CK103</x:f>
        <x:v>0</x:v>
      </x:c>
      <x:c r="CL14" s="117" t="n">
        <x:f>IF(AND(YEAR(CL$3)=YEAR($B$8),MONTH(CL$3)=MONTH($B$8)),SUM('Продажи'!$D$49:'Продажи'!CK$49),0)+'ОБЪЕКТЫ'!CL103</x:f>
        <x:v>0</x:v>
      </x:c>
      <x:c r="CM14" s="117" t="n">
        <x:f>IF(AND(YEAR(CM$3)=YEAR($B$8),MONTH(CM$3)=MONTH($B$8)),SUM('Продажи'!$D$49:'Продажи'!CL$49),0)+'ОБЪЕКТЫ'!CM103</x:f>
        <x:v>0</x:v>
      </x:c>
      <x:c r="CN14" s="117" t="n">
        <x:f>IF(AND(YEAR(CN$3)=YEAR($B$8),MONTH(CN$3)=MONTH($B$8)),SUM('Продажи'!$D$49:'Продажи'!CM$49),0)+'ОБЪЕКТЫ'!CN103</x:f>
        <x:v>0</x:v>
      </x:c>
      <x:c r="CO14" s="117" t="n">
        <x:f>IF(AND(YEAR(CO$3)=YEAR($B$8),MONTH(CO$3)=MONTH($B$8)),SUM('Продажи'!$D$49:'Продажи'!CN$49),0)+'ОБЪЕКТЫ'!CO103</x:f>
        <x:v>0</x:v>
      </x:c>
      <x:c r="CP14" s="117" t="n">
        <x:f>IF(AND(YEAR(CP$3)=YEAR($B$8),MONTH(CP$3)=MONTH($B$8)),SUM('Продажи'!$D$49:'Продажи'!CO$49),0)+'ОБЪЕКТЫ'!CP103</x:f>
        <x:v>0</x:v>
      </x:c>
      <x:c r="CQ14" s="117" t="n">
        <x:f>IF(AND(YEAR(CQ$3)=YEAR($B$8),MONTH(CQ$3)=MONTH($B$8)),SUM('Продажи'!$D$49:'Продажи'!CP$49),0)+'ОБЪЕКТЫ'!CQ103</x:f>
        <x:v>0</x:v>
      </x:c>
      <x:c r="CR14" s="117" t="n">
        <x:f>IF(AND(YEAR(CR$3)=YEAR($B$8),MONTH(CR$3)=MONTH($B$8)),SUM('Продажи'!$D$49:'Продажи'!CQ$49),0)+'ОБЪЕКТЫ'!CR103</x:f>
        <x:v>0</x:v>
      </x:c>
      <x:c r="CS14" s="117" t="n">
        <x:f>IF(AND(YEAR(CS$3)=YEAR($B$8),MONTH(CS$3)=MONTH($B$8)),SUM('Продажи'!$D$49:'Продажи'!CR$49),0)+'ОБЪЕКТЫ'!CS103</x:f>
        <x:v>0</x:v>
      </x:c>
      <x:c r="CT14" s="117" t="n">
        <x:f>IF(AND(YEAR(CT$3)=YEAR($B$8),MONTH(CT$3)=MONTH($B$8)),SUM('Продажи'!$D$49:'Продажи'!CS$49),0)+'ОБЪЕКТЫ'!CT103</x:f>
        <x:v>0</x:v>
      </x:c>
      <x:c r="CU14" s="117" t="n">
        <x:f>IF(AND(YEAR(CU$3)=YEAR($B$8),MONTH(CU$3)=MONTH($B$8)),SUM('Продажи'!$D$49:'Продажи'!CT$49),0)+'ОБЪЕКТЫ'!CU103</x:f>
        <x:v>0</x:v>
      </x:c>
      <x:c r="CV14" s="117" t="n">
        <x:f>IF(AND(YEAR(CV$3)=YEAR($B$8),MONTH(CV$3)=MONTH($B$8)),SUM('Продажи'!$D$49:'Продажи'!CU$49),0)+'ОБЪЕКТЫ'!CV103</x:f>
        <x:v>0</x:v>
      </x:c>
      <x:c r="CW14" s="117" t="n">
        <x:f>IF(AND(YEAR(CW$3)=YEAR($B$8),MONTH(CW$3)=MONTH($B$8)),SUM('Продажи'!$D$49:'Продажи'!CV$49),0)+'ОБЪЕКТЫ'!CW103</x:f>
        <x:v>0</x:v>
      </x:c>
      <x:c r="CX14" s="117" t="n">
        <x:f>IF(AND(YEAR(CX$3)=YEAR($B$8),MONTH(CX$3)=MONTH($B$8)),SUM('Продажи'!$D$49:'Продажи'!CW$49),0)+'ОБЪЕКТЫ'!CX103</x:f>
        <x:v>0</x:v>
      </x:c>
      <x:c r="CY14" s="117" t="n">
        <x:f>IF(AND(YEAR(CY$3)=YEAR($B$8),MONTH(CY$3)=MONTH($B$8)),SUM('Продажи'!$D$49:'Продажи'!CX$49),0)+'ОБЪЕКТЫ'!CY103</x:f>
        <x:v>0</x:v>
      </x:c>
      <x:c r="CZ14" s="117" t="n">
        <x:f>IF(AND(YEAR(CZ$3)=YEAR($B$8),MONTH(CZ$3)=MONTH($B$8)),SUM('Продажи'!$D$49:'Продажи'!CY$49),0)+'ОБЪЕКТЫ'!CZ103</x:f>
        <x:v>0</x:v>
      </x:c>
      <x:c r="DA14" s="117" t="n">
        <x:f>IF(AND(YEAR(DA$3)=YEAR($B$8),MONTH(DA$3)=MONTH($B$8)),SUM('Продажи'!$D$49:'Продажи'!CZ$49),0)+'ОБЪЕКТЫ'!DA103</x:f>
        <x:v>0</x:v>
      </x:c>
      <x:c r="DB14" s="117" t="n">
        <x:f>IF(AND(YEAR(DB$3)=YEAR($B$8),MONTH(DB$3)=MONTH($B$8)),SUM('Продажи'!$D$49:'Продажи'!DA$49),0)+'ОБЪЕКТЫ'!DB103</x:f>
        <x:v>0</x:v>
      </x:c>
      <x:c r="DC14" s="117" t="n">
        <x:f>IF(AND(YEAR(DC$3)=YEAR($B$8),MONTH(DC$3)=MONTH($B$8)),SUM('Продажи'!$D$49:'Продажи'!DB$49),0)+'ОБЪЕКТЫ'!DC103</x:f>
        <x:v>0</x:v>
      </x:c>
      <x:c r="DD14" s="117" t="n">
        <x:f>IF(AND(YEAR(DD$3)=YEAR($B$8),MONTH(DD$3)=MONTH($B$8)),SUM('Продажи'!$D$49:'Продажи'!DC$49),0)+'ОБЪЕКТЫ'!DD103</x:f>
        <x:v>0</x:v>
      </x:c>
      <x:c r="DE14" s="117" t="n">
        <x:f>IF(AND(YEAR(DE$3)=YEAR($B$8),MONTH(DE$3)=MONTH($B$8)),SUM('Продажи'!$D$49:'Продажи'!DD$49),0)+'ОБЪЕКТЫ'!DE103</x:f>
        <x:v>0</x:v>
      </x:c>
      <x:c r="DF14" s="117" t="n">
        <x:f>IF(AND(YEAR(DF$3)=YEAR($B$8),MONTH(DF$3)=MONTH($B$8)),SUM('Продажи'!$D$49:'Продажи'!DE$49),0)+'ОБЪЕКТЫ'!DF103</x:f>
        <x:v>0</x:v>
      </x:c>
      <x:c r="DG14" s="117" t="n">
        <x:f>IF(AND(YEAR(DG$3)=YEAR($B$8),MONTH(DG$3)=MONTH($B$8)),SUM('Продажи'!$D$49:'Продажи'!DF$49),0)+'ОБЪЕКТЫ'!DG103</x:f>
        <x:v>0</x:v>
      </x:c>
      <x:c r="DH14" s="117" t="n">
        <x:f>IF(AND(YEAR(DH$3)=YEAR($B$8),MONTH(DH$3)=MONTH($B$8)),SUM('Продажи'!$D$49:'Продажи'!DG$49),0)+'ОБЪЕКТЫ'!DH103</x:f>
        <x:v>0</x:v>
      </x:c>
      <x:c r="DI14" s="117" t="n">
        <x:f>IF(AND(YEAR(DI$3)=YEAR($B$8),MONTH(DI$3)=MONTH($B$8)),SUM('Продажи'!$D$49:'Продажи'!DH$49),0)+'ОБЪЕКТЫ'!DI103</x:f>
        <x:v>0</x:v>
      </x:c>
      <x:c r="DJ14" s="117" t="n">
        <x:f>IF(AND(YEAR(DJ$3)=YEAR($B$8),MONTH(DJ$3)=MONTH($B$8)),SUM('Продажи'!$D$49:'Продажи'!DI$49),0)+'ОБЪЕКТЫ'!DJ103</x:f>
        <x:v>0</x:v>
      </x:c>
      <x:c r="DK14" s="117" t="n">
        <x:f>IF(AND(YEAR(DK$3)=YEAR($B$8),MONTH(DK$3)=MONTH($B$8)),SUM('Продажи'!$D$49:'Продажи'!DJ$49),0)+'ОБЪЕКТЫ'!DK103</x:f>
        <x:v>0</x:v>
      </x:c>
      <x:c r="DL14" s="117" t="n">
        <x:f>IF(AND(YEAR(DL$3)=YEAR($B$8),MONTH(DL$3)=MONTH($B$8)),SUM('Продажи'!$D$49:'Продажи'!DK$49),0)+'ОБЪЕКТЫ'!DL103</x:f>
        <x:v>0</x:v>
      </x:c>
      <x:c r="DM14" s="117" t="n">
        <x:f>IF(AND(YEAR(DM$3)=YEAR($B$8),MONTH(DM$3)=MONTH($B$8)),SUM('Продажи'!$D$49:'Продажи'!DL$49),0)+'ОБЪЕКТЫ'!DM103</x:f>
        <x:v>0</x:v>
      </x:c>
      <x:c r="DN14" s="117" t="n">
        <x:f>IF(AND(YEAR(DN$3)=YEAR($B$8),MONTH(DN$3)=MONTH($B$8)),SUM('Продажи'!$D$49:'Продажи'!DM$49),0)+'ОБЪЕКТЫ'!DN103</x:f>
        <x:v>0</x:v>
      </x:c>
      <x:c r="DO14" s="117" t="n">
        <x:f>IF(AND(YEAR(DO$3)=YEAR($B$8),MONTH(DO$3)=MONTH($B$8)),SUM('Продажи'!$D$49:'Продажи'!DN$49),0)+'ОБЪЕКТЫ'!DO103</x:f>
        <x:v>0</x:v>
      </x:c>
      <x:c r="DP14" s="117" t="n">
        <x:f>IF(AND(YEAR(DP$3)=YEAR($B$8),MONTH(DP$3)=MONTH($B$8)),SUM('Продажи'!$D$49:'Продажи'!DO$49),0)+'ОБЪЕКТЫ'!DP103</x:f>
        <x:v>0</x:v>
      </x:c>
      <x:c r="DQ14" s="117" t="n">
        <x:f>IF(AND(YEAR(DQ$3)=YEAR($B$8),MONTH(DQ$3)=MONTH($B$8)),SUM('Продажи'!$D$49:'Продажи'!DP$49),0)+'ОБЪЕКТЫ'!DQ103</x:f>
        <x:v>0</x:v>
      </x:c>
      <x:c r="DR14" s="117" t="n">
        <x:f>IF(AND(YEAR(DR$3)=YEAR($B$8),MONTH(DR$3)=MONTH($B$8)),SUM('Продажи'!$D$49:'Продажи'!DQ$49),0)+'ОБЪЕКТЫ'!DR103</x:f>
        <x:v>0</x:v>
      </x:c>
      <x:c r="DS14" s="117" t="n">
        <x:f>IF(AND(YEAR(DS$3)=YEAR($B$8),MONTH(DS$3)=MONTH($B$8)),SUM('Продажи'!$D$49:'Продажи'!DR$49),0)+'ОБЪЕКТЫ'!DS103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0</x:v>
      </x:c>
      <x:c r="W15" s="117" t="n">
        <x:f>MAX(0,W13+W11-W14)</x:f>
        <x:v>0</x:v>
      </x:c>
      <x:c r="X15" s="117" t="n">
        <x:f>MAX(0,X13+X11-X14)</x:f>
        <x:v>0</x:v>
      </x:c>
      <x:c r="Y15" s="117" t="n">
        <x:f>MAX(0,Y13+Y11-Y14)</x:f>
        <x:v>0</x:v>
      </x:c>
      <x:c r="Z15" s="117" t="n">
        <x:f>MAX(0,Z13+Z11-Z14)</x:f>
        <x:v>0</x:v>
      </x:c>
      <x:c r="AA15" s="117" t="n">
        <x:f>MAX(0,AA13+AA11-AA14)</x:f>
        <x:v>0</x:v>
      </x:c>
      <x:c r="AB15" s="117" t="n">
        <x:f>MAX(0,AB13+AB11-AB14)</x:f>
        <x:v>0</x:v>
      </x:c>
      <x:c r="AC15" s="117" t="n">
        <x:f>MAX(0,AC13+AC11-AC14)</x:f>
        <x:v>0</x:v>
      </x:c>
      <x:c r="AD15" s="117" t="n">
        <x:f>MAX(0,AD13+AD11-AD14)</x:f>
        <x:v>0</x:v>
      </x:c>
      <x:c r="AE15" s="117" t="n">
        <x:f>MAX(0,AE13+AE11-AE14)</x:f>
        <x:v>0</x:v>
      </x:c>
      <x:c r="AF15" s="117" t="n">
        <x:f>MAX(0,AF13+AF11-AF14)</x:f>
        <x:v>0</x:v>
      </x:c>
      <x:c r="AG15" s="117" t="n">
        <x:f>MAX(0,AG13+AG11-AG14)</x:f>
        <x:v>0</x:v>
      </x:c>
      <x:c r="AH15" s="117" t="n">
        <x:f>MAX(0,AH13+AH11-AH14)</x:f>
        <x:v>0</x:v>
      </x:c>
      <x:c r="AI15" s="117" t="n">
        <x:f>MAX(0,AI13+AI11-AI14)</x:f>
        <x:v>0</x:v>
      </x:c>
      <x:c r="AJ15" s="117" t="n">
        <x:f>MAX(0,AJ13+AJ11-AJ14)</x:f>
        <x:v>0</x:v>
      </x:c>
      <x:c r="AK15" s="117" t="n">
        <x:f>MAX(0,AK13+AK11-AK14)</x:f>
        <x:v>0</x:v>
      </x:c>
      <x:c r="AL15" s="117" t="n">
        <x:f>MAX(0,AL13+AL11-AL14)</x:f>
        <x:v>0</x:v>
      </x:c>
      <x:c r="AM15" s="117" t="n">
        <x:f>MAX(0,AM13+AM11-AM14)</x:f>
        <x:v>0</x:v>
      </x:c>
      <x:c r="AN15" s="117" t="n">
        <x:f>MAX(0,AN13+AN11-AN14)</x:f>
        <x:v>0</x:v>
      </x:c>
      <x:c r="AO15" s="117" t="n">
        <x:f>MAX(0,AO13+AO11-AO14)</x:f>
        <x:v>0</x:v>
      </x:c>
      <x:c r="AP15" s="117" t="n">
        <x:f>MAX(0,AP13+AP11-AP14)</x:f>
        <x:v>0</x:v>
      </x:c>
      <x:c r="AQ15" s="117" t="n">
        <x:f>MAX(0,AQ13+AQ11-AQ14)</x:f>
        <x:v>0</x:v>
      </x:c>
      <x:c r="AR15" s="117" t="n">
        <x:f>MAX(0,AR13+AR11-AR14)</x:f>
        <x:v>0</x:v>
      </x:c>
      <x:c r="AS15" s="117" t="n">
        <x:f>MAX(0,AS13+AS11-AS14)</x:f>
        <x:v>0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0</x:v>
      </x:c>
      <x:c r="C17" t="str">
        <x:v>млн ₽</x:v>
      </x:c>
      <x:c r="D17" s="117" t="n">
        <x:f>'CAPEX'!D66</x:f>
        <x:v>0</x:v>
      </x:c>
      <x:c r="E17" s="117" t="n">
        <x:f>'CAPEX'!E66</x:f>
        <x:v>0</x:v>
      </x:c>
      <x:c r="F17" s="117" t="n">
        <x:f>'CAPEX'!F66</x:f>
        <x:v>0</x:v>
      </x:c>
      <x:c r="G17" s="117" t="n">
        <x:f>'CAPEX'!G66</x:f>
        <x:v>0</x:v>
      </x:c>
      <x:c r="H17" s="117" t="n">
        <x:f>'CAPEX'!H66</x:f>
        <x:v>0</x:v>
      </x:c>
      <x:c r="I17" s="117" t="n">
        <x:f>'CAPEX'!I66</x:f>
        <x:v>0</x:v>
      </x:c>
      <x:c r="J17" s="117" t="n">
        <x:f>'CAPEX'!J66</x:f>
        <x:v>0</x:v>
      </x:c>
      <x:c r="K17" s="117" t="n">
        <x:f>'CAPEX'!K66</x:f>
        <x:v>0</x:v>
      </x:c>
      <x:c r="L17" s="117" t="n">
        <x:f>'CAPEX'!L66</x:f>
        <x:v>0</x:v>
      </x:c>
      <x:c r="M17" s="117" t="n">
        <x:f>'CAPEX'!M66</x:f>
        <x:v>0</x:v>
      </x:c>
      <x:c r="N17" s="117" t="n">
        <x:f>'CAPEX'!N66</x:f>
        <x:v>0</x:v>
      </x:c>
      <x:c r="O17" s="117" t="n">
        <x:f>'CAPEX'!O66</x:f>
        <x:v>0</x:v>
      </x:c>
      <x:c r="P17" s="117" t="n">
        <x:f>'CAPEX'!P66</x:f>
        <x:v>0</x:v>
      </x:c>
      <x:c r="Q17" s="117" t="n">
        <x:f>'CAPEX'!Q66</x:f>
        <x:v>0</x:v>
      </x:c>
      <x:c r="R17" s="117" t="n">
        <x:f>'CAPEX'!R66</x:f>
        <x:v>0</x:v>
      </x:c>
      <x:c r="S17" s="117" t="n">
        <x:f>'CAPEX'!S66</x:f>
        <x:v>0</x:v>
      </x:c>
      <x:c r="T17" s="117" t="n">
        <x:f>'CAPEX'!T66</x:f>
        <x:v>0</x:v>
      </x:c>
      <x:c r="U17" s="117" t="n">
        <x:f>'CAPEX'!U66</x:f>
        <x:v>0</x:v>
      </x:c>
      <x:c r="V17" s="117" t="n">
        <x:f>'CAPEX'!V66</x:f>
        <x:v>0</x:v>
      </x:c>
      <x:c r="W17" s="117" t="n">
        <x:f>'CAPEX'!W66</x:f>
        <x:v>0</x:v>
      </x:c>
      <x:c r="X17" s="117" t="n">
        <x:f>'CAPEX'!X66</x:f>
        <x:v>0</x:v>
      </x:c>
      <x:c r="Y17" s="117" t="n">
        <x:f>'CAPEX'!Y66</x:f>
        <x:v>0</x:v>
      </x:c>
      <x:c r="Z17" s="117" t="n">
        <x:f>'CAPEX'!Z66</x:f>
        <x:v>0</x:v>
      </x:c>
      <x:c r="AA17" s="117" t="n">
        <x:f>'CAPEX'!AA66</x:f>
        <x:v>0</x:v>
      </x:c>
      <x:c r="AB17" s="117" t="n">
        <x:f>'CAPEX'!AB66</x:f>
        <x:v>0</x:v>
      </x:c>
      <x:c r="AC17" s="117" t="n">
        <x:f>'CAPEX'!AC66</x:f>
        <x:v>0</x:v>
      </x:c>
      <x:c r="AD17" s="117" t="n">
        <x:f>'CAPEX'!AD66</x:f>
        <x:v>0</x:v>
      </x:c>
      <x:c r="AE17" s="117" t="n">
        <x:f>'CAPEX'!AE66</x:f>
        <x:v>0</x:v>
      </x:c>
      <x:c r="AF17" s="117" t="n">
        <x:f>'CAPEX'!AF66</x:f>
        <x:v>0</x:v>
      </x:c>
      <x:c r="AG17" s="117" t="n">
        <x:f>'CAPEX'!AG66</x:f>
        <x:v>0</x:v>
      </x:c>
      <x:c r="AH17" s="117" t="n">
        <x:f>'CAPEX'!AH66</x:f>
        <x:v>0</x:v>
      </x:c>
      <x:c r="AI17" s="117" t="n">
        <x:f>'CAPEX'!AI66</x:f>
        <x:v>0</x:v>
      </x:c>
      <x:c r="AJ17" s="117" t="n">
        <x:f>'CAPEX'!AJ66</x:f>
        <x:v>0</x:v>
      </x:c>
      <x:c r="AK17" s="117" t="n">
        <x:f>'CAPEX'!AK66</x:f>
        <x:v>0</x:v>
      </x:c>
      <x:c r="AL17" s="117" t="n">
        <x:f>'CAPEX'!AL66</x:f>
        <x:v>0</x:v>
      </x:c>
      <x:c r="AM17" s="117" t="n">
        <x:f>'CAPEX'!AM66</x:f>
        <x:v>0</x:v>
      </x:c>
      <x:c r="AN17" s="117" t="n">
        <x:f>'CAPEX'!AN66</x:f>
        <x:v>0</x:v>
      </x:c>
      <x:c r="AO17" s="117" t="n">
        <x:f>'CAPEX'!AO66</x:f>
        <x:v>0</x:v>
      </x:c>
      <x:c r="AP17" s="117" t="n">
        <x:f>'CAPEX'!AP66</x:f>
        <x:v>0</x:v>
      </x:c>
      <x:c r="AQ17" s="117" t="n">
        <x:f>'CAPEX'!AQ66</x:f>
        <x:v>0</x:v>
      </x:c>
      <x:c r="AR17" s="117" t="n">
        <x:f>'CAPEX'!AR66</x:f>
        <x:v>0</x:v>
      </x:c>
      <x:c r="AS17" s="117" t="n">
        <x:f>'CAPEX'!AS66</x:f>
        <x:v>0</x:v>
      </x:c>
      <x:c r="AT17" s="117" t="n">
        <x:f>'CAPEX'!AT66</x:f>
        <x:v>0</x:v>
      </x:c>
      <x:c r="AU17" s="117" t="n">
        <x:f>'CAPEX'!AU66</x:f>
        <x:v>0</x:v>
      </x:c>
      <x:c r="AV17" s="117" t="n">
        <x:f>'CAPEX'!AV66</x:f>
        <x:v>0</x:v>
      </x:c>
      <x:c r="AW17" s="117" t="n">
        <x:f>'CAPEX'!AW66</x:f>
        <x:v>0</x:v>
      </x:c>
      <x:c r="AX17" s="117" t="n">
        <x:f>'CAPEX'!AX66</x:f>
        <x:v>0</x:v>
      </x:c>
      <x:c r="AY17" s="117" t="n">
        <x:f>'CAPEX'!AY66</x:f>
        <x:v>0</x:v>
      </x:c>
      <x:c r="AZ17" s="117" t="n">
        <x:f>'CAPEX'!AZ66</x:f>
        <x:v>0</x:v>
      </x:c>
      <x:c r="BA17" s="117" t="n">
        <x:f>'CAPEX'!BA66</x:f>
        <x:v>0</x:v>
      </x:c>
      <x:c r="BB17" s="117" t="n">
        <x:f>'CAPEX'!BB66</x:f>
        <x:v>0</x:v>
      </x:c>
      <x:c r="BC17" s="117" t="n">
        <x:f>'CAPEX'!BC66</x:f>
        <x:v>0</x:v>
      </x:c>
      <x:c r="BD17" s="117" t="n">
        <x:f>'CAPEX'!BD66</x:f>
        <x:v>0</x:v>
      </x:c>
      <x:c r="BE17" s="117" t="n">
        <x:f>'CAPEX'!BE66</x:f>
        <x:v>0</x:v>
      </x:c>
      <x:c r="BF17" s="117" t="n">
        <x:f>'CAPEX'!BF66</x:f>
        <x:v>0</x:v>
      </x:c>
      <x:c r="BG17" s="117" t="n">
        <x:f>'CAPEX'!BG66</x:f>
        <x:v>0</x:v>
      </x:c>
      <x:c r="BH17" s="117" t="n">
        <x:f>'CAPEX'!BH66</x:f>
        <x:v>0</x:v>
      </x:c>
      <x:c r="BI17" s="117" t="n">
        <x:f>'CAPEX'!BI66</x:f>
        <x:v>0</x:v>
      </x:c>
      <x:c r="BJ17" s="117" t="n">
        <x:f>'CAPEX'!BJ66</x:f>
        <x:v>0</x:v>
      </x:c>
      <x:c r="BK17" s="117" t="n">
        <x:f>'CAPEX'!BK66</x:f>
        <x:v>0</x:v>
      </x:c>
      <x:c r="BL17" s="117" t="n">
        <x:f>'CAPEX'!BL66</x:f>
        <x:v>0</x:v>
      </x:c>
      <x:c r="BM17" s="117" t="n">
        <x:f>'CAPEX'!BM66</x:f>
        <x:v>0</x:v>
      </x:c>
      <x:c r="BN17" s="117" t="n">
        <x:f>'CAPEX'!BN66</x:f>
        <x:v>0</x:v>
      </x:c>
      <x:c r="BO17" s="117" t="n">
        <x:f>'CAPEX'!BO66</x:f>
        <x:v>0</x:v>
      </x:c>
      <x:c r="BP17" s="117" t="n">
        <x:f>'CAPEX'!BP66</x:f>
        <x:v>0</x:v>
      </x:c>
      <x:c r="BQ17" s="117" t="n">
        <x:f>'CAPEX'!BQ66</x:f>
        <x:v>0</x:v>
      </x:c>
      <x:c r="BR17" s="117" t="n">
        <x:f>'CAPEX'!BR66</x:f>
        <x:v>0</x:v>
      </x:c>
      <x:c r="BS17" s="117" t="n">
        <x:f>'CAPEX'!BS66</x:f>
        <x:v>0</x:v>
      </x:c>
      <x:c r="BT17" s="117" t="n">
        <x:f>'CAPEX'!BT66</x:f>
        <x:v>0</x:v>
      </x:c>
      <x:c r="BU17" s="117" t="n">
        <x:f>'CAPEX'!BU66</x:f>
        <x:v>0</x:v>
      </x:c>
      <x:c r="BV17" s="117" t="n">
        <x:f>'CAPEX'!BV66</x:f>
        <x:v>0</x:v>
      </x:c>
      <x:c r="BW17" s="117" t="n">
        <x:f>'CAPEX'!BW66</x:f>
        <x:v>0</x:v>
      </x:c>
      <x:c r="BX17" s="117" t="n">
        <x:f>'CAPEX'!BX66</x:f>
        <x:v>0</x:v>
      </x:c>
      <x:c r="BY17" s="117" t="n">
        <x:f>'CAPEX'!BY66</x:f>
        <x:v>0</x:v>
      </x:c>
      <x:c r="BZ17" s="117" t="n">
        <x:f>'CAPEX'!BZ66</x:f>
        <x:v>0</x:v>
      </x:c>
      <x:c r="CA17" s="117" t="n">
        <x:f>'CAPEX'!CA66</x:f>
        <x:v>0</x:v>
      </x:c>
      <x:c r="CB17" s="117" t="n">
        <x:f>'CAPEX'!CB66</x:f>
        <x:v>0</x:v>
      </x:c>
      <x:c r="CC17" s="117" t="n">
        <x:f>'CAPEX'!CC66</x:f>
        <x:v>0</x:v>
      </x:c>
      <x:c r="CD17" s="117" t="n">
        <x:f>'CAPEX'!CD66</x:f>
        <x:v>0</x:v>
      </x:c>
      <x:c r="CE17" s="117" t="n">
        <x:f>'CAPEX'!CE66</x:f>
        <x:v>0</x:v>
      </x:c>
      <x:c r="CF17" s="117" t="n">
        <x:f>'CAPEX'!CF66</x:f>
        <x:v>0</x:v>
      </x:c>
      <x:c r="CG17" s="117" t="n">
        <x:f>'CAPEX'!CG66</x:f>
        <x:v>0</x:v>
      </x:c>
      <x:c r="CH17" s="117" t="n">
        <x:f>'CAPEX'!CH66</x:f>
        <x:v>0</x:v>
      </x:c>
      <x:c r="CI17" s="117" t="n">
        <x:f>'CAPEX'!CI66</x:f>
        <x:v>0</x:v>
      </x:c>
      <x:c r="CJ17" s="117" t="n">
        <x:f>'CAPEX'!CJ66</x:f>
        <x:v>0</x:v>
      </x:c>
      <x:c r="CK17" s="117" t="n">
        <x:f>'CAPEX'!CK66</x:f>
        <x:v>0</x:v>
      </x:c>
      <x:c r="CL17" s="117" t="n">
        <x:f>'CAPEX'!CL66</x:f>
        <x:v>0</x:v>
      </x:c>
      <x:c r="CM17" s="117" t="n">
        <x:f>'CAPEX'!CM66</x:f>
        <x:v>0</x:v>
      </x:c>
      <x:c r="CN17" s="117" t="n">
        <x:f>'CAPEX'!CN66</x:f>
        <x:v>0</x:v>
      </x:c>
      <x:c r="CO17" s="117" t="n">
        <x:f>'CAPEX'!CO66</x:f>
        <x:v>0</x:v>
      </x:c>
      <x:c r="CP17" s="117" t="n">
        <x:f>'CAPEX'!CP66</x:f>
        <x:v>0</x:v>
      </x:c>
      <x:c r="CQ17" s="117" t="n">
        <x:f>'CAPEX'!CQ66</x:f>
        <x:v>0</x:v>
      </x:c>
      <x:c r="CR17" s="117" t="n">
        <x:f>'CAPEX'!CR66</x:f>
        <x:v>0</x:v>
      </x:c>
      <x:c r="CS17" s="117" t="n">
        <x:f>'CAPEX'!CS66</x:f>
        <x:v>0</x:v>
      </x:c>
      <x:c r="CT17" s="117" t="n">
        <x:f>'CAPEX'!CT66</x:f>
        <x:v>0</x:v>
      </x:c>
      <x:c r="CU17" s="117" t="n">
        <x:f>'CAPEX'!CU66</x:f>
        <x:v>0</x:v>
      </x:c>
      <x:c r="CV17" s="117" t="n">
        <x:f>'CAPEX'!CV66</x:f>
        <x:v>0</x:v>
      </x:c>
      <x:c r="CW17" s="117" t="n">
        <x:f>'CAPEX'!CW66</x:f>
        <x:v>0</x:v>
      </x:c>
      <x:c r="CX17" s="117" t="n">
        <x:f>'CAPEX'!CX66</x:f>
        <x:v>0</x:v>
      </x:c>
      <x:c r="CY17" s="117" t="n">
        <x:f>'CAPEX'!CY66</x:f>
        <x:v>0</x:v>
      </x:c>
      <x:c r="CZ17" s="117" t="n">
        <x:f>'CAPEX'!CZ66</x:f>
        <x:v>0</x:v>
      </x:c>
      <x:c r="DA17" s="117" t="n">
        <x:f>'CAPEX'!DA66</x:f>
        <x:v>0</x:v>
      </x:c>
      <x:c r="DB17" s="117" t="n">
        <x:f>'CAPEX'!DB66</x:f>
        <x:v>0</x:v>
      </x:c>
      <x:c r="DC17" s="117" t="n">
        <x:f>'CAPEX'!DC66</x:f>
        <x:v>0</x:v>
      </x:c>
      <x:c r="DD17" s="117" t="n">
        <x:f>'CAPEX'!DD66</x:f>
        <x:v>0</x:v>
      </x:c>
      <x:c r="DE17" s="117" t="n">
        <x:f>'CAPEX'!DE66</x:f>
        <x:v>0</x:v>
      </x:c>
      <x:c r="DF17" s="117" t="n">
        <x:f>'CAPEX'!DF66</x:f>
        <x:v>0</x:v>
      </x:c>
      <x:c r="DG17" s="117" t="n">
        <x:f>'CAPEX'!DG66</x:f>
        <x:v>0</x:v>
      </x:c>
      <x:c r="DH17" s="117" t="n">
        <x:f>'CAPEX'!DH66</x:f>
        <x:v>0</x:v>
      </x:c>
      <x:c r="DI17" s="117" t="n">
        <x:f>'CAPEX'!DI66</x:f>
        <x:v>0</x:v>
      </x:c>
      <x:c r="DJ17" s="117" t="n">
        <x:f>'CAPEX'!DJ66</x:f>
        <x:v>0</x:v>
      </x:c>
      <x:c r="DK17" s="117" t="n">
        <x:f>'CAPEX'!DK66</x:f>
        <x:v>0</x:v>
      </x:c>
      <x:c r="DL17" s="117" t="n">
        <x:f>'CAPEX'!DL66</x:f>
        <x:v>0</x:v>
      </x:c>
      <x:c r="DM17" s="117" t="n">
        <x:f>'CAPEX'!DM66</x:f>
        <x:v>0</x:v>
      </x:c>
      <x:c r="DN17" s="117" t="n">
        <x:f>'CAPEX'!DN66</x:f>
        <x:v>0</x:v>
      </x:c>
      <x:c r="DO17" s="117" t="n">
        <x:f>'CAPEX'!DO66</x:f>
        <x:v>0</x:v>
      </x:c>
      <x:c r="DP17" s="117" t="n">
        <x:f>'CAPEX'!DP66</x:f>
        <x:v>0</x:v>
      </x:c>
      <x:c r="DQ17" s="117" t="n">
        <x:f>'CAPEX'!DQ66</x:f>
        <x:v>0</x:v>
      </x:c>
      <x:c r="DR17" s="117" t="n">
        <x:f>'CAPEX'!DR66</x:f>
        <x:v>0</x:v>
      </x:c>
      <x:c r="DS17" s="117" t="n">
        <x:f>'CAPEX'!DS66</x:f>
        <x:v>0</x:v>
      </x:c>
    </x:row>
    <x:row r="18">
      <x:c r="A18" t="str">
        <x:v>Маркетинг</x:v>
      </x:c>
      <x:c r="B18" t="n">
        <x:f>SUM(D18:DS18)</x:f>
        <x:v>0</x:v>
      </x:c>
      <x:c r="C18" t="str">
        <x:v>млн ₽</x:v>
      </x:c>
      <x:c r="D18" s="117" t="n">
        <x:f>'CAPEX'!D67</x:f>
        <x:v>0</x:v>
      </x:c>
      <x:c r="E18" s="117" t="n">
        <x:f>'CAPEX'!E67</x:f>
        <x:v>0</x:v>
      </x:c>
      <x:c r="F18" s="117" t="n">
        <x:f>'CAPEX'!F67</x:f>
        <x:v>0</x:v>
      </x:c>
      <x:c r="G18" s="117" t="n">
        <x:f>'CAPEX'!G67</x:f>
        <x:v>0</x:v>
      </x:c>
      <x:c r="H18" s="117" t="n">
        <x:f>'CAPEX'!H67</x:f>
        <x:v>0</x:v>
      </x:c>
      <x:c r="I18" s="117" t="n">
        <x:f>'CAPEX'!I67</x:f>
        <x:v>0</x:v>
      </x:c>
      <x:c r="J18" s="117" t="n">
        <x:f>'CAPEX'!J67</x:f>
        <x:v>0</x:v>
      </x:c>
      <x:c r="K18" s="117" t="n">
        <x:f>'CAPEX'!K67</x:f>
        <x:v>0</x:v>
      </x:c>
      <x:c r="L18" s="117" t="n">
        <x:f>'CAPEX'!L67</x:f>
        <x:v>0</x:v>
      </x:c>
      <x:c r="M18" s="117" t="n">
        <x:f>'CAPEX'!M67</x:f>
        <x:v>0</x:v>
      </x:c>
      <x:c r="N18" s="117" t="n">
        <x:f>'CAPEX'!N67</x:f>
        <x:v>0</x:v>
      </x:c>
      <x:c r="O18" s="117" t="n">
        <x:f>'CAPEX'!O67</x:f>
        <x:v>0</x:v>
      </x:c>
      <x:c r="P18" s="117" t="n">
        <x:f>'CAPEX'!P67</x:f>
        <x:v>0</x:v>
      </x:c>
      <x:c r="Q18" s="117" t="n">
        <x:f>'CAPEX'!Q67</x:f>
        <x:v>0</x:v>
      </x:c>
      <x:c r="R18" s="117" t="n">
        <x:f>'CAPEX'!R67</x:f>
        <x:v>0</x:v>
      </x:c>
      <x:c r="S18" s="117" t="n">
        <x:f>'CAPEX'!S67</x:f>
        <x:v>0</x:v>
      </x:c>
      <x:c r="T18" s="117" t="n">
        <x:f>'CAPEX'!T67</x:f>
        <x:v>0</x:v>
      </x:c>
      <x:c r="U18" s="117" t="n">
        <x:f>'CAPEX'!U67</x:f>
        <x:v>0</x:v>
      </x:c>
      <x:c r="V18" s="117" t="n">
        <x:f>'CAPEX'!V67</x:f>
        <x:v>0</x:v>
      </x:c>
      <x:c r="W18" s="117" t="n">
        <x:f>'CAPEX'!W67</x:f>
        <x:v>0</x:v>
      </x:c>
      <x:c r="X18" s="117" t="n">
        <x:f>'CAPEX'!X67</x:f>
        <x:v>0</x:v>
      </x:c>
      <x:c r="Y18" s="117" t="n">
        <x:f>'CAPEX'!Y67</x:f>
        <x:v>0</x:v>
      </x:c>
      <x:c r="Z18" s="117" t="n">
        <x:f>'CAPEX'!Z67</x:f>
        <x:v>0</x:v>
      </x:c>
      <x:c r="AA18" s="117" t="n">
        <x:f>'CAPEX'!AA67</x:f>
        <x:v>0</x:v>
      </x:c>
      <x:c r="AB18" s="117" t="n">
        <x:f>'CAPEX'!AB67</x:f>
        <x:v>0</x:v>
      </x:c>
      <x:c r="AC18" s="117" t="n">
        <x:f>'CAPEX'!AC67</x:f>
        <x:v>0</x:v>
      </x:c>
      <x:c r="AD18" s="117" t="n">
        <x:f>'CAPEX'!AD67</x:f>
        <x:v>0</x:v>
      </x:c>
      <x:c r="AE18" s="117" t="n">
        <x:f>'CAPEX'!AE67</x:f>
        <x:v>0</x:v>
      </x:c>
      <x:c r="AF18" s="117" t="n">
        <x:f>'CAPEX'!AF67</x:f>
        <x:v>0</x:v>
      </x:c>
      <x:c r="AG18" s="117" t="n">
        <x:f>'CAPEX'!AG67</x:f>
        <x:v>0</x:v>
      </x:c>
      <x:c r="AH18" s="117" t="n">
        <x:f>'CAPEX'!AH67</x:f>
        <x:v>0</x:v>
      </x:c>
      <x:c r="AI18" s="117" t="n">
        <x:f>'CAPEX'!AI67</x:f>
        <x:v>0</x:v>
      </x:c>
      <x:c r="AJ18" s="117" t="n">
        <x:f>'CAPEX'!AJ67</x:f>
        <x:v>0</x:v>
      </x:c>
      <x:c r="AK18" s="117" t="n">
        <x:f>'CAPEX'!AK67</x:f>
        <x:v>0</x:v>
      </x:c>
      <x:c r="AL18" s="117" t="n">
        <x:f>'CAPEX'!AL67</x:f>
        <x:v>0</x:v>
      </x:c>
      <x:c r="AM18" s="117" t="n">
        <x:f>'CAPEX'!AM67</x:f>
        <x:v>0</x:v>
      </x:c>
      <x:c r="AN18" s="117" t="n">
        <x:f>'CAPEX'!AN67</x:f>
        <x:v>0</x:v>
      </x:c>
      <x:c r="AO18" s="117" t="n">
        <x:f>'CAPEX'!AO67</x:f>
        <x:v>0</x:v>
      </x:c>
      <x:c r="AP18" s="117" t="n">
        <x:f>'CAPEX'!AP67</x:f>
        <x:v>0</x:v>
      </x:c>
      <x:c r="AQ18" s="117" t="n">
        <x:f>'CAPEX'!AQ67</x:f>
        <x:v>0</x:v>
      </x:c>
      <x:c r="AR18" s="117" t="n">
        <x:f>'CAPEX'!AR67</x:f>
        <x:v>0</x:v>
      </x:c>
      <x:c r="AS18" s="117" t="n">
        <x:f>'CAPEX'!AS67</x:f>
        <x:v>0</x:v>
      </x:c>
      <x:c r="AT18" s="117" t="n">
        <x:f>'CAPEX'!AT67</x:f>
        <x:v>0</x:v>
      </x:c>
      <x:c r="AU18" s="117" t="n">
        <x:f>'CAPEX'!AU67</x:f>
        <x:v>0</x:v>
      </x:c>
      <x:c r="AV18" s="117" t="n">
        <x:f>'CAPEX'!AV67</x:f>
        <x:v>0</x:v>
      </x:c>
      <x:c r="AW18" s="117" t="n">
        <x:f>'CAPEX'!AW67</x:f>
        <x:v>0</x:v>
      </x:c>
      <x:c r="AX18" s="117" t="n">
        <x:f>'CAPEX'!AX67</x:f>
        <x:v>0</x:v>
      </x:c>
      <x:c r="AY18" s="117" t="n">
        <x:f>'CAPEX'!AY67</x:f>
        <x:v>0</x:v>
      </x:c>
      <x:c r="AZ18" s="117" t="n">
        <x:f>'CAPEX'!AZ67</x:f>
        <x:v>0</x:v>
      </x:c>
      <x:c r="BA18" s="117" t="n">
        <x:f>'CAPEX'!BA67</x:f>
        <x:v>0</x:v>
      </x:c>
      <x:c r="BB18" s="117" t="n">
        <x:f>'CAPEX'!BB67</x:f>
        <x:v>0</x:v>
      </x:c>
      <x:c r="BC18" s="117" t="n">
        <x:f>'CAPEX'!BC67</x:f>
        <x:v>0</x:v>
      </x:c>
      <x:c r="BD18" s="117" t="n">
        <x:f>'CAPEX'!BD67</x:f>
        <x:v>0</x:v>
      </x:c>
      <x:c r="BE18" s="117" t="n">
        <x:f>'CAPEX'!BE67</x:f>
        <x:v>0</x:v>
      </x:c>
      <x:c r="BF18" s="117" t="n">
        <x:f>'CAPEX'!BF67</x:f>
        <x:v>0</x:v>
      </x:c>
      <x:c r="BG18" s="117" t="n">
        <x:f>'CAPEX'!BG67</x:f>
        <x:v>0</x:v>
      </x:c>
      <x:c r="BH18" s="117" t="n">
        <x:f>'CAPEX'!BH67</x:f>
        <x:v>0</x:v>
      </x:c>
      <x:c r="BI18" s="117" t="n">
        <x:f>'CAPEX'!BI67</x:f>
        <x:v>0</x:v>
      </x:c>
      <x:c r="BJ18" s="117" t="n">
        <x:f>'CAPEX'!BJ67</x:f>
        <x:v>0</x:v>
      </x:c>
      <x:c r="BK18" s="117" t="n">
        <x:f>'CAPEX'!BK67</x:f>
        <x:v>0</x:v>
      </x:c>
      <x:c r="BL18" s="117" t="n">
        <x:f>'CAPEX'!BL67</x:f>
        <x:v>0</x:v>
      </x:c>
      <x:c r="BM18" s="117" t="n">
        <x:f>'CAPEX'!BM67</x:f>
        <x:v>0</x:v>
      </x:c>
      <x:c r="BN18" s="117" t="n">
        <x:f>'CAPEX'!BN67</x:f>
        <x:v>0</x:v>
      </x:c>
      <x:c r="BO18" s="117" t="n">
        <x:f>'CAPEX'!BO67</x:f>
        <x:v>0</x:v>
      </x:c>
      <x:c r="BP18" s="117" t="n">
        <x:f>'CAPEX'!BP67</x:f>
        <x:v>0</x:v>
      </x:c>
      <x:c r="BQ18" s="117" t="n">
        <x:f>'CAPEX'!BQ67</x:f>
        <x:v>0</x:v>
      </x:c>
      <x:c r="BR18" s="117" t="n">
        <x:f>'CAPEX'!BR67</x:f>
        <x:v>0</x:v>
      </x:c>
      <x:c r="BS18" s="117" t="n">
        <x:f>'CAPEX'!BS67</x:f>
        <x:v>0</x:v>
      </x:c>
      <x:c r="BT18" s="117" t="n">
        <x:f>'CAPEX'!BT67</x:f>
        <x:v>0</x:v>
      </x:c>
      <x:c r="BU18" s="117" t="n">
        <x:f>'CAPEX'!BU67</x:f>
        <x:v>0</x:v>
      </x:c>
      <x:c r="BV18" s="117" t="n">
        <x:f>'CAPEX'!BV67</x:f>
        <x:v>0</x:v>
      </x:c>
      <x:c r="BW18" s="117" t="n">
        <x:f>'CAPEX'!BW67</x:f>
        <x:v>0</x:v>
      </x:c>
      <x:c r="BX18" s="117" t="n">
        <x:f>'CAPEX'!BX67</x:f>
        <x:v>0</x:v>
      </x:c>
      <x:c r="BY18" s="117" t="n">
        <x:f>'CAPEX'!BY67</x:f>
        <x:v>0</x:v>
      </x:c>
      <x:c r="BZ18" s="117" t="n">
        <x:f>'CAPEX'!BZ67</x:f>
        <x:v>0</x:v>
      </x:c>
      <x:c r="CA18" s="117" t="n">
        <x:f>'CAPEX'!CA67</x:f>
        <x:v>0</x:v>
      </x:c>
      <x:c r="CB18" s="117" t="n">
        <x:f>'CAPEX'!CB67</x:f>
        <x:v>0</x:v>
      </x:c>
      <x:c r="CC18" s="117" t="n">
        <x:f>'CAPEX'!CC67</x:f>
        <x:v>0</x:v>
      </x:c>
      <x:c r="CD18" s="117" t="n">
        <x:f>'CAPEX'!CD67</x:f>
        <x:v>0</x:v>
      </x:c>
      <x:c r="CE18" s="117" t="n">
        <x:f>'CAPEX'!CE67</x:f>
        <x:v>0</x:v>
      </x:c>
      <x:c r="CF18" s="117" t="n">
        <x:f>'CAPEX'!CF67</x:f>
        <x:v>0</x:v>
      </x:c>
      <x:c r="CG18" s="117" t="n">
        <x:f>'CAPEX'!CG67</x:f>
        <x:v>0</x:v>
      </x:c>
      <x:c r="CH18" s="117" t="n">
        <x:f>'CAPEX'!CH67</x:f>
        <x:v>0</x:v>
      </x:c>
      <x:c r="CI18" s="117" t="n">
        <x:f>'CAPEX'!CI67</x:f>
        <x:v>0</x:v>
      </x:c>
      <x:c r="CJ18" s="117" t="n">
        <x:f>'CAPEX'!CJ67</x:f>
        <x:v>0</x:v>
      </x:c>
      <x:c r="CK18" s="117" t="n">
        <x:f>'CAPEX'!CK67</x:f>
        <x:v>0</x:v>
      </x:c>
      <x:c r="CL18" s="117" t="n">
        <x:f>'CAPEX'!CL67</x:f>
        <x:v>0</x:v>
      </x:c>
      <x:c r="CM18" s="117" t="n">
        <x:f>'CAPEX'!CM67</x:f>
        <x:v>0</x:v>
      </x:c>
      <x:c r="CN18" s="117" t="n">
        <x:f>'CAPEX'!CN67</x:f>
        <x:v>0</x:v>
      </x:c>
      <x:c r="CO18" s="117" t="n">
        <x:f>'CAPEX'!CO67</x:f>
        <x:v>0</x:v>
      </x:c>
      <x:c r="CP18" s="117" t="n">
        <x:f>'CAPEX'!CP67</x:f>
        <x:v>0</x:v>
      </x:c>
      <x:c r="CQ18" s="117" t="n">
        <x:f>'CAPEX'!CQ67</x:f>
        <x:v>0</x:v>
      </x:c>
      <x:c r="CR18" s="117" t="n">
        <x:f>'CAPEX'!CR67</x:f>
        <x:v>0</x:v>
      </x:c>
      <x:c r="CS18" s="117" t="n">
        <x:f>'CAPEX'!CS67</x:f>
        <x:v>0</x:v>
      </x:c>
      <x:c r="CT18" s="117" t="n">
        <x:f>'CAPEX'!CT67</x:f>
        <x:v>0</x:v>
      </x:c>
      <x:c r="CU18" s="117" t="n">
        <x:f>'CAPEX'!CU67</x:f>
        <x:v>0</x:v>
      </x:c>
      <x:c r="CV18" s="117" t="n">
        <x:f>'CAPEX'!CV67</x:f>
        <x:v>0</x:v>
      </x:c>
      <x:c r="CW18" s="117" t="n">
        <x:f>'CAPEX'!CW67</x:f>
        <x:v>0</x:v>
      </x:c>
      <x:c r="CX18" s="117" t="n">
        <x:f>'CAPEX'!CX67</x:f>
        <x:v>0</x:v>
      </x:c>
      <x:c r="CY18" s="117" t="n">
        <x:f>'CAPEX'!CY67</x:f>
        <x:v>0</x:v>
      </x:c>
      <x:c r="CZ18" s="117" t="n">
        <x:f>'CAPEX'!CZ67</x:f>
        <x:v>0</x:v>
      </x:c>
      <x:c r="DA18" s="117" t="n">
        <x:f>'CAPEX'!DA67</x:f>
        <x:v>0</x:v>
      </x:c>
      <x:c r="DB18" s="117" t="n">
        <x:f>'CAPEX'!DB67</x:f>
        <x:v>0</x:v>
      </x:c>
      <x:c r="DC18" s="117" t="n">
        <x:f>'CAPEX'!DC67</x:f>
        <x:v>0</x:v>
      </x:c>
      <x:c r="DD18" s="117" t="n">
        <x:f>'CAPEX'!DD67</x:f>
        <x:v>0</x:v>
      </x:c>
      <x:c r="DE18" s="117" t="n">
        <x:f>'CAPEX'!DE67</x:f>
        <x:v>0</x:v>
      </x:c>
      <x:c r="DF18" s="117" t="n">
        <x:f>'CAPEX'!DF67</x:f>
        <x:v>0</x:v>
      </x:c>
      <x:c r="DG18" s="117" t="n">
        <x:f>'CAPEX'!DG67</x:f>
        <x:v>0</x:v>
      </x:c>
      <x:c r="DH18" s="117" t="n">
        <x:f>'CAPEX'!DH67</x:f>
        <x:v>0</x:v>
      </x:c>
      <x:c r="DI18" s="117" t="n">
        <x:f>'CAPEX'!DI67</x:f>
        <x:v>0</x:v>
      </x:c>
      <x:c r="DJ18" s="117" t="n">
        <x:f>'CAPEX'!DJ67</x:f>
        <x:v>0</x:v>
      </x:c>
      <x:c r="DK18" s="117" t="n">
        <x:f>'CAPEX'!DK67</x:f>
        <x:v>0</x:v>
      </x:c>
      <x:c r="DL18" s="117" t="n">
        <x:f>'CAPEX'!DL67</x:f>
        <x:v>0</x:v>
      </x:c>
      <x:c r="DM18" s="117" t="n">
        <x:f>'CAPEX'!DM67</x:f>
        <x:v>0</x:v>
      </x:c>
      <x:c r="DN18" s="117" t="n">
        <x:f>'CAPEX'!DN67</x:f>
        <x:v>0</x:v>
      </x:c>
      <x:c r="DO18" s="117" t="n">
        <x:f>'CAPEX'!DO67</x:f>
        <x:v>0</x:v>
      </x:c>
      <x:c r="DP18" s="117" t="n">
        <x:f>'CAPEX'!DP67</x:f>
        <x:v>0</x:v>
      </x:c>
      <x:c r="DQ18" s="117" t="n">
        <x:f>'CAPEX'!DQ67</x:f>
        <x:v>0</x:v>
      </x:c>
      <x:c r="DR18" s="117" t="n">
        <x:f>'CAPEX'!DR67</x:f>
        <x:v>0</x:v>
      </x:c>
      <x:c r="DS18" s="117" t="n">
        <x:f>'CAPEX'!DS67</x:f>
        <x:v>0</x:v>
      </x:c>
    </x:row>
    <x:row r="19">
      <x:c r="A19" t="str">
        <x:v>Расходы на продажи</x:v>
      </x:c>
      <x:c r="B19" t="n">
        <x:f>SUM(D19:DS19)</x:f>
        <x:v>0</x:v>
      </x:c>
      <x:c r="C19" t="str">
        <x:v>млн ₽</x:v>
      </x:c>
      <x:c r="D19" s="117" t="n">
        <x:f>'CAPEX'!D68</x:f>
        <x:v>0</x:v>
      </x:c>
      <x:c r="E19" s="117" t="n">
        <x:f>'CAPEX'!E68</x:f>
        <x:v>0</x:v>
      </x:c>
      <x:c r="F19" s="117" t="n">
        <x:f>'CAPEX'!F68</x:f>
        <x:v>0</x:v>
      </x:c>
      <x:c r="G19" s="117" t="n">
        <x:f>'CAPEX'!G68</x:f>
        <x:v>0</x:v>
      </x:c>
      <x:c r="H19" s="117" t="n">
        <x:f>'CAPEX'!H68</x:f>
        <x:v>0</x:v>
      </x:c>
      <x:c r="I19" s="117" t="n">
        <x:f>'CAPEX'!I68</x:f>
        <x:v>0</x:v>
      </x:c>
      <x:c r="J19" s="117" t="n">
        <x:f>'CAPEX'!J68</x:f>
        <x:v>0</x:v>
      </x:c>
      <x:c r="K19" s="117" t="n">
        <x:f>'CAPEX'!K68</x:f>
        <x:v>0</x:v>
      </x:c>
      <x:c r="L19" s="117" t="n">
        <x:f>'CAPEX'!L68</x:f>
        <x:v>0</x:v>
      </x:c>
      <x:c r="M19" s="117" t="n">
        <x:f>'CAPEX'!M68</x:f>
        <x:v>0</x:v>
      </x:c>
      <x:c r="N19" s="117" t="n">
        <x:f>'CAPEX'!N68</x:f>
        <x:v>0</x:v>
      </x:c>
      <x:c r="O19" s="117" t="n">
        <x:f>'CAPEX'!O68</x:f>
        <x:v>0</x:v>
      </x:c>
      <x:c r="P19" s="117" t="n">
        <x:f>'CAPEX'!P68</x:f>
        <x:v>0</x:v>
      </x:c>
      <x:c r="Q19" s="117" t="n">
        <x:f>'CAPEX'!Q68</x:f>
        <x:v>0</x:v>
      </x:c>
      <x:c r="R19" s="117" t="n">
        <x:f>'CAPEX'!R68</x:f>
        <x:v>0</x:v>
      </x:c>
      <x:c r="S19" s="117" t="n">
        <x:f>'CAPEX'!S68</x:f>
        <x:v>0</x:v>
      </x:c>
      <x:c r="T19" s="117" t="n">
        <x:f>'CAPEX'!T68</x:f>
        <x:v>0</x:v>
      </x:c>
      <x:c r="U19" s="117" t="n">
        <x:f>'CAPEX'!U68</x:f>
        <x:v>0</x:v>
      </x:c>
      <x:c r="V19" s="117" t="n">
        <x:f>'CAPEX'!V68</x:f>
        <x:v>0</x:v>
      </x:c>
      <x:c r="W19" s="117" t="n">
        <x:f>'CAPEX'!W68</x:f>
        <x:v>0</x:v>
      </x:c>
      <x:c r="X19" s="117" t="n">
        <x:f>'CAPEX'!X68</x:f>
        <x:v>0</x:v>
      </x:c>
      <x:c r="Y19" s="117" t="n">
        <x:f>'CAPEX'!Y68</x:f>
        <x:v>0</x:v>
      </x:c>
      <x:c r="Z19" s="117" t="n">
        <x:f>'CAPEX'!Z68</x:f>
        <x:v>0</x:v>
      </x:c>
      <x:c r="AA19" s="117" t="n">
        <x:f>'CAPEX'!AA68</x:f>
        <x:v>0</x:v>
      </x:c>
      <x:c r="AB19" s="117" t="n">
        <x:f>'CAPEX'!AB68</x:f>
        <x:v>0</x:v>
      </x:c>
      <x:c r="AC19" s="117" t="n">
        <x:f>'CAPEX'!AC68</x:f>
        <x:v>0</x:v>
      </x:c>
      <x:c r="AD19" s="117" t="n">
        <x:f>'CAPEX'!AD68</x:f>
        <x:v>0</x:v>
      </x:c>
      <x:c r="AE19" s="117" t="n">
        <x:f>'CAPEX'!AE68</x:f>
        <x:v>0</x:v>
      </x:c>
      <x:c r="AF19" s="117" t="n">
        <x:f>'CAPEX'!AF68</x:f>
        <x:v>0</x:v>
      </x:c>
      <x:c r="AG19" s="117" t="n">
        <x:f>'CAPEX'!AG68</x:f>
        <x:v>0</x:v>
      </x:c>
      <x:c r="AH19" s="117" t="n">
        <x:f>'CAPEX'!AH68</x:f>
        <x:v>0</x:v>
      </x:c>
      <x:c r="AI19" s="117" t="n">
        <x:f>'CAPEX'!AI68</x:f>
        <x:v>0</x:v>
      </x:c>
      <x:c r="AJ19" s="117" t="n">
        <x:f>'CAPEX'!AJ68</x:f>
        <x:v>0</x:v>
      </x:c>
      <x:c r="AK19" s="117" t="n">
        <x:f>'CAPEX'!AK68</x:f>
        <x:v>0</x:v>
      </x:c>
      <x:c r="AL19" s="117" t="n">
        <x:f>'CAPEX'!AL68</x:f>
        <x:v>0</x:v>
      </x:c>
      <x:c r="AM19" s="117" t="n">
        <x:f>'CAPEX'!AM68</x:f>
        <x:v>0</x:v>
      </x:c>
      <x:c r="AN19" s="117" t="n">
        <x:f>'CAPEX'!AN68</x:f>
        <x:v>0</x:v>
      </x:c>
      <x:c r="AO19" s="117" t="n">
        <x:f>'CAPEX'!AO68</x:f>
        <x:v>0</x:v>
      </x:c>
      <x:c r="AP19" s="117" t="n">
        <x:f>'CAPEX'!AP68</x:f>
        <x:v>0</x:v>
      </x:c>
      <x:c r="AQ19" s="117" t="n">
        <x:f>'CAPEX'!AQ68</x:f>
        <x:v>0</x:v>
      </x:c>
      <x:c r="AR19" s="117" t="n">
        <x:f>'CAPEX'!AR68</x:f>
        <x:v>0</x:v>
      </x:c>
      <x:c r="AS19" s="117" t="n">
        <x:f>'CAPEX'!AS68</x:f>
        <x:v>0</x:v>
      </x:c>
      <x:c r="AT19" s="117" t="n">
        <x:f>'CAPEX'!AT68</x:f>
        <x:v>0</x:v>
      </x:c>
      <x:c r="AU19" s="117" t="n">
        <x:f>'CAPEX'!AU68</x:f>
        <x:v>0</x:v>
      </x:c>
      <x:c r="AV19" s="117" t="n">
        <x:f>'CAPEX'!AV68</x:f>
        <x:v>0</x:v>
      </x:c>
      <x:c r="AW19" s="117" t="n">
        <x:f>'CAPEX'!AW68</x:f>
        <x:v>0</x:v>
      </x:c>
      <x:c r="AX19" s="117" t="n">
        <x:f>'CAPEX'!AX68</x:f>
        <x:v>0</x:v>
      </x:c>
      <x:c r="AY19" s="117" t="n">
        <x:f>'CAPEX'!AY68</x:f>
        <x:v>0</x:v>
      </x:c>
      <x:c r="AZ19" s="117" t="n">
        <x:f>'CAPEX'!AZ68</x:f>
        <x:v>0</x:v>
      </x:c>
      <x:c r="BA19" s="117" t="n">
        <x:f>'CAPEX'!BA68</x:f>
        <x:v>0</x:v>
      </x:c>
      <x:c r="BB19" s="117" t="n">
        <x:f>'CAPEX'!BB68</x:f>
        <x:v>0</x:v>
      </x:c>
      <x:c r="BC19" s="117" t="n">
        <x:f>'CAPEX'!BC68</x:f>
        <x:v>0</x:v>
      </x:c>
      <x:c r="BD19" s="117" t="n">
        <x:f>'CAPEX'!BD68</x:f>
        <x:v>0</x:v>
      </x:c>
      <x:c r="BE19" s="117" t="n">
        <x:f>'CAPEX'!BE68</x:f>
        <x:v>0</x:v>
      </x:c>
      <x:c r="BF19" s="117" t="n">
        <x:f>'CAPEX'!BF68</x:f>
        <x:v>0</x:v>
      </x:c>
      <x:c r="BG19" s="117" t="n">
        <x:f>'CAPEX'!BG68</x:f>
        <x:v>0</x:v>
      </x:c>
      <x:c r="BH19" s="117" t="n">
        <x:f>'CAPEX'!BH68</x:f>
        <x:v>0</x:v>
      </x:c>
      <x:c r="BI19" s="117" t="n">
        <x:f>'CAPEX'!BI68</x:f>
        <x:v>0</x:v>
      </x:c>
      <x:c r="BJ19" s="117" t="n">
        <x:f>'CAPEX'!BJ68</x:f>
        <x:v>0</x:v>
      </x:c>
      <x:c r="BK19" s="117" t="n">
        <x:f>'CAPEX'!BK68</x:f>
        <x:v>0</x:v>
      </x:c>
      <x:c r="BL19" s="117" t="n">
        <x:f>'CAPEX'!BL68</x:f>
        <x:v>0</x:v>
      </x:c>
      <x:c r="BM19" s="117" t="n">
        <x:f>'CAPEX'!BM68</x:f>
        <x:v>0</x:v>
      </x:c>
      <x:c r="BN19" s="117" t="n">
        <x:f>'CAPEX'!BN68</x:f>
        <x:v>0</x:v>
      </x:c>
      <x:c r="BO19" s="117" t="n">
        <x:f>'CAPEX'!BO68</x:f>
        <x:v>0</x:v>
      </x:c>
      <x:c r="BP19" s="117" t="n">
        <x:f>'CAPEX'!BP68</x:f>
        <x:v>0</x:v>
      </x:c>
      <x:c r="BQ19" s="117" t="n">
        <x:f>'CAPEX'!BQ68</x:f>
        <x:v>0</x:v>
      </x:c>
      <x:c r="BR19" s="117" t="n">
        <x:f>'CAPEX'!BR68</x:f>
        <x:v>0</x:v>
      </x:c>
      <x:c r="BS19" s="117" t="n">
        <x:f>'CAPEX'!BS68</x:f>
        <x:v>0</x:v>
      </x:c>
      <x:c r="BT19" s="117" t="n">
        <x:f>'CAPEX'!BT68</x:f>
        <x:v>0</x:v>
      </x:c>
      <x:c r="BU19" s="117" t="n">
        <x:f>'CAPEX'!BU68</x:f>
        <x:v>0</x:v>
      </x:c>
      <x:c r="BV19" s="117" t="n">
        <x:f>'CAPEX'!BV68</x:f>
        <x:v>0</x:v>
      </x:c>
      <x:c r="BW19" s="117" t="n">
        <x:f>'CAPEX'!BW68</x:f>
        <x:v>0</x:v>
      </x:c>
      <x:c r="BX19" s="117" t="n">
        <x:f>'CAPEX'!BX68</x:f>
        <x:v>0</x:v>
      </x:c>
      <x:c r="BY19" s="117" t="n">
        <x:f>'CAPEX'!BY68</x:f>
        <x:v>0</x:v>
      </x:c>
      <x:c r="BZ19" s="117" t="n">
        <x:f>'CAPEX'!BZ68</x:f>
        <x:v>0</x:v>
      </x:c>
      <x:c r="CA19" s="117" t="n">
        <x:f>'CAPEX'!CA68</x:f>
        <x:v>0</x:v>
      </x:c>
      <x:c r="CB19" s="117" t="n">
        <x:f>'CAPEX'!CB68</x:f>
        <x:v>0</x:v>
      </x:c>
      <x:c r="CC19" s="117" t="n">
        <x:f>'CAPEX'!CC68</x:f>
        <x:v>0</x:v>
      </x:c>
      <x:c r="CD19" s="117" t="n">
        <x:f>'CAPEX'!CD68</x:f>
        <x:v>0</x:v>
      </x:c>
      <x:c r="CE19" s="117" t="n">
        <x:f>'CAPEX'!CE68</x:f>
        <x:v>0</x:v>
      </x:c>
      <x:c r="CF19" s="117" t="n">
        <x:f>'CAPEX'!CF68</x:f>
        <x:v>0</x:v>
      </x:c>
      <x:c r="CG19" s="117" t="n">
        <x:f>'CAPEX'!CG68</x:f>
        <x:v>0</x:v>
      </x:c>
      <x:c r="CH19" s="117" t="n">
        <x:f>'CAPEX'!CH68</x:f>
        <x:v>0</x:v>
      </x:c>
      <x:c r="CI19" s="117" t="n">
        <x:f>'CAPEX'!CI68</x:f>
        <x:v>0</x:v>
      </x:c>
      <x:c r="CJ19" s="117" t="n">
        <x:f>'CAPEX'!CJ68</x:f>
        <x:v>0</x:v>
      </x:c>
      <x:c r="CK19" s="117" t="n">
        <x:f>'CAPEX'!CK68</x:f>
        <x:v>0</x:v>
      </x:c>
      <x:c r="CL19" s="117" t="n">
        <x:f>'CAPEX'!CL68</x:f>
        <x:v>0</x:v>
      </x:c>
      <x:c r="CM19" s="117" t="n">
        <x:f>'CAPEX'!CM68</x:f>
        <x:v>0</x:v>
      </x:c>
      <x:c r="CN19" s="117" t="n">
        <x:f>'CAPEX'!CN68</x:f>
        <x:v>0</x:v>
      </x:c>
      <x:c r="CO19" s="117" t="n">
        <x:f>'CAPEX'!CO68</x:f>
        <x:v>0</x:v>
      </x:c>
      <x:c r="CP19" s="117" t="n">
        <x:f>'CAPEX'!CP68</x:f>
        <x:v>0</x:v>
      </x:c>
      <x:c r="CQ19" s="117" t="n">
        <x:f>'CAPEX'!CQ68</x:f>
        <x:v>0</x:v>
      </x:c>
      <x:c r="CR19" s="117" t="n">
        <x:f>'CAPEX'!CR68</x:f>
        <x:v>0</x:v>
      </x:c>
      <x:c r="CS19" s="117" t="n">
        <x:f>'CAPEX'!CS68</x:f>
        <x:v>0</x:v>
      </x:c>
      <x:c r="CT19" s="117" t="n">
        <x:f>'CAPEX'!CT68</x:f>
        <x:v>0</x:v>
      </x:c>
      <x:c r="CU19" s="117" t="n">
        <x:f>'CAPEX'!CU68</x:f>
        <x:v>0</x:v>
      </x:c>
      <x:c r="CV19" s="117" t="n">
        <x:f>'CAPEX'!CV68</x:f>
        <x:v>0</x:v>
      </x:c>
      <x:c r="CW19" s="117" t="n">
        <x:f>'CAPEX'!CW68</x:f>
        <x:v>0</x:v>
      </x:c>
      <x:c r="CX19" s="117" t="n">
        <x:f>'CAPEX'!CX68</x:f>
        <x:v>0</x:v>
      </x:c>
      <x:c r="CY19" s="117" t="n">
        <x:f>'CAPEX'!CY68</x:f>
        <x:v>0</x:v>
      </x:c>
      <x:c r="CZ19" s="117" t="n">
        <x:f>'CAPEX'!CZ68</x:f>
        <x:v>0</x:v>
      </x:c>
      <x:c r="DA19" s="117" t="n">
        <x:f>'CAPEX'!DA68</x:f>
        <x:v>0</x:v>
      </x:c>
      <x:c r="DB19" s="117" t="n">
        <x:f>'CAPEX'!DB68</x:f>
        <x:v>0</x:v>
      </x:c>
      <x:c r="DC19" s="117" t="n">
        <x:f>'CAPEX'!DC68</x:f>
        <x:v>0</x:v>
      </x:c>
      <x:c r="DD19" s="117" t="n">
        <x:f>'CAPEX'!DD68</x:f>
        <x:v>0</x:v>
      </x:c>
      <x:c r="DE19" s="117" t="n">
        <x:f>'CAPEX'!DE68</x:f>
        <x:v>0</x:v>
      </x:c>
      <x:c r="DF19" s="117" t="n">
        <x:f>'CAPEX'!DF68</x:f>
        <x:v>0</x:v>
      </x:c>
      <x:c r="DG19" s="117" t="n">
        <x:f>'CAPEX'!DG68</x:f>
        <x:v>0</x:v>
      </x:c>
      <x:c r="DH19" s="117" t="n">
        <x:f>'CAPEX'!DH68</x:f>
        <x:v>0</x:v>
      </x:c>
      <x:c r="DI19" s="117" t="n">
        <x:f>'CAPEX'!DI68</x:f>
        <x:v>0</x:v>
      </x:c>
      <x:c r="DJ19" s="117" t="n">
        <x:f>'CAPEX'!DJ68</x:f>
        <x:v>0</x:v>
      </x:c>
      <x:c r="DK19" s="117" t="n">
        <x:f>'CAPEX'!DK68</x:f>
        <x:v>0</x:v>
      </x:c>
      <x:c r="DL19" s="117" t="n">
        <x:f>'CAPEX'!DL68</x:f>
        <x:v>0</x:v>
      </x:c>
      <x:c r="DM19" s="117" t="n">
        <x:f>'CAPEX'!DM68</x:f>
        <x:v>0</x:v>
      </x:c>
      <x:c r="DN19" s="117" t="n">
        <x:f>'CAPEX'!DN68</x:f>
        <x:v>0</x:v>
      </x:c>
      <x:c r="DO19" s="117" t="n">
        <x:f>'CAPEX'!DO68</x:f>
        <x:v>0</x:v>
      </x:c>
      <x:c r="DP19" s="117" t="n">
        <x:f>'CAPEX'!DP68</x:f>
        <x:v>0</x:v>
      </x:c>
      <x:c r="DQ19" s="117" t="n">
        <x:f>'CAPEX'!DQ68</x:f>
        <x:v>0</x:v>
      </x:c>
      <x:c r="DR19" s="117" t="n">
        <x:f>'CAPEX'!DR68</x:f>
        <x:v>0</x:v>
      </x:c>
      <x:c r="DS19" s="117" t="n">
        <x:f>'CAPEX'!DS68</x:f>
        <x:v>0</x:v>
      </x:c>
    </x:row>
    <x:row r="20">
      <x:c r="A20" s="113" t="str">
        <x:v>Расходы проекта всего</x:v>
      </x:c>
      <x:c r="B20" s="113" t="n">
        <x:f>SUM(D20:DS20)</x:f>
        <x:v>0</x:v>
      </x:c>
      <x:c r="C20" s="113" t="str">
        <x:v>млн ₽</x:v>
      </x:c>
      <x:c r="D20" s="120" t="n">
        <x:f>SUM(D17:D19)</x:f>
        <x:v>0</x:v>
      </x:c>
      <x:c r="E20" s="120" t="n">
        <x:f>SUM(E17:E19)</x:f>
        <x:v>0</x:v>
      </x:c>
      <x:c r="F20" s="120" t="n">
        <x:f>SUM(F17:F19)</x:f>
        <x:v>0</x:v>
      </x:c>
      <x:c r="G20" s="120" t="n">
        <x:f>SUM(G17:G19)</x:f>
        <x:v>0</x:v>
      </x:c>
      <x:c r="H20" s="120" t="n">
        <x:f>SUM(H17:H19)</x:f>
        <x:v>0</x:v>
      </x:c>
      <x:c r="I20" s="120" t="n">
        <x:f>SUM(I17:I19)</x:f>
        <x:v>0</x:v>
      </x:c>
      <x:c r="J20" s="120" t="n">
        <x:f>SUM(J17:J19)</x:f>
        <x:v>0</x:v>
      </x:c>
      <x:c r="K20" s="120" t="n">
        <x:f>SUM(K17:K19)</x:f>
        <x:v>0</x:v>
      </x:c>
      <x:c r="L20" s="120" t="n">
        <x:f>SUM(L17:L19)</x:f>
        <x:v>0</x:v>
      </x:c>
      <x:c r="M20" s="120" t="n">
        <x:f>SUM(M17:M19)</x:f>
        <x:v>0</x:v>
      </x:c>
      <x:c r="N20" s="120" t="n">
        <x:f>SUM(N17:N19)</x:f>
        <x:v>0</x:v>
      </x:c>
      <x:c r="O20" s="120" t="n">
        <x:f>SUM(O17:O19)</x:f>
        <x:v>0</x:v>
      </x:c>
      <x:c r="P20" s="120" t="n">
        <x:f>SUM(P17:P19)</x:f>
        <x:v>0</x:v>
      </x:c>
      <x:c r="Q20" s="120" t="n">
        <x:f>SUM(Q17:Q19)</x:f>
        <x:v>0</x:v>
      </x:c>
      <x:c r="R20" s="120" t="n">
        <x:f>SUM(R17:R19)</x:f>
        <x:v>0</x:v>
      </x:c>
      <x:c r="S20" s="120" t="n">
        <x:f>SUM(S17:S19)</x:f>
        <x:v>0</x:v>
      </x:c>
      <x:c r="T20" s="120" t="n">
        <x:f>SUM(T17:T19)</x:f>
        <x:v>0</x:v>
      </x:c>
      <x:c r="U20" s="120" t="n">
        <x:f>SUM(U17:U19)</x:f>
        <x:v>0</x:v>
      </x:c>
      <x:c r="V20" s="120" t="n">
        <x:f>SUM(V17:V19)</x:f>
        <x:v>0</x:v>
      </x:c>
      <x:c r="W20" s="120" t="n">
        <x:f>SUM(W17:W19)</x:f>
        <x:v>0</x:v>
      </x:c>
      <x:c r="X20" s="120" t="n">
        <x:f>SUM(X17:X19)</x:f>
        <x:v>0</x:v>
      </x:c>
      <x:c r="Y20" s="120" t="n">
        <x:f>SUM(Y17:Y19)</x:f>
        <x:v>0</x:v>
      </x:c>
      <x:c r="Z20" s="120" t="n">
        <x:f>SUM(Z17:Z19)</x:f>
        <x:v>0</x:v>
      </x:c>
      <x:c r="AA20" s="120" t="n">
        <x:f>SUM(AA17:AA19)</x:f>
        <x:v>0</x:v>
      </x:c>
      <x:c r="AB20" s="120" t="n">
        <x:f>SUM(AB17:AB19)</x:f>
        <x:v>0</x:v>
      </x:c>
      <x:c r="AC20" s="120" t="n">
        <x:f>SUM(AC17:AC19)</x:f>
        <x:v>0</x:v>
      </x:c>
      <x:c r="AD20" s="120" t="n">
        <x:f>SUM(AD17:AD19)</x:f>
        <x:v>0</x:v>
      </x:c>
      <x:c r="AE20" s="120" t="n">
        <x:f>SUM(AE17:AE19)</x:f>
        <x:v>0</x:v>
      </x:c>
      <x:c r="AF20" s="120" t="n">
        <x:f>SUM(AF17:AF19)</x:f>
        <x:v>0</x:v>
      </x:c>
      <x:c r="AG20" s="120" t="n">
        <x:f>SUM(AG17:AG19)</x:f>
        <x:v>0</x:v>
      </x:c>
      <x:c r="AH20" s="120" t="n">
        <x:f>SUM(AH17:AH19)</x:f>
        <x:v>0</x:v>
      </x:c>
      <x:c r="AI20" s="120" t="n">
        <x:f>SUM(AI17:AI19)</x:f>
        <x:v>0</x:v>
      </x:c>
      <x:c r="AJ20" s="120" t="n">
        <x:f>SUM(AJ17:AJ19)</x:f>
        <x:v>0</x:v>
      </x:c>
      <x:c r="AK20" s="120" t="n">
        <x:f>SUM(AK17:AK19)</x:f>
        <x:v>0</x:v>
      </x:c>
      <x:c r="AL20" s="120" t="n">
        <x:f>SUM(AL17:AL19)</x:f>
        <x:v>0</x:v>
      </x:c>
      <x:c r="AM20" s="120" t="n">
        <x:f>SUM(AM17:AM19)</x:f>
        <x:v>0</x:v>
      </x:c>
      <x:c r="AN20" s="120" t="n">
        <x:f>SUM(AN17:AN19)</x:f>
        <x:v>0</x:v>
      </x:c>
      <x:c r="AO20" s="120" t="n">
        <x:f>SUM(AO17:AO19)</x:f>
        <x:v>0</x:v>
      </x:c>
      <x:c r="AP20" s="120" t="n">
        <x:f>SUM(AP17:AP19)</x:f>
        <x:v>0</x:v>
      </x:c>
      <x:c r="AQ20" s="120" t="n">
        <x:f>SUM(AQ17:AQ19)</x:f>
        <x:v>0</x:v>
      </x:c>
      <x:c r="AR20" s="120" t="n">
        <x:f>SUM(AR17:AR19)</x:f>
        <x:v>0</x:v>
      </x:c>
      <x:c r="AS20" s="120" t="n">
        <x:f>SUM(AS17:AS19)</x:f>
        <x:v>0</x:v>
      </x:c>
      <x:c r="AT20" s="120" t="n">
        <x:f>SUM(AT17:AT19)</x:f>
        <x:v>0</x:v>
      </x:c>
      <x:c r="AU20" s="120" t="n">
        <x:f>SUM(AU17:AU19)</x:f>
        <x:v>0</x:v>
      </x:c>
      <x:c r="AV20" s="120" t="n">
        <x:f>SUM(AV17:AV19)</x:f>
        <x:v>0</x:v>
      </x:c>
      <x:c r="AW20" s="120" t="n">
        <x:f>SUM(AW17:AW19)</x:f>
        <x:v>0</x:v>
      </x:c>
      <x:c r="AX20" s="120" t="n">
        <x:f>SUM(AX17:AX19)</x:f>
        <x:v>0</x:v>
      </x:c>
      <x:c r="AY20" s="120" t="n">
        <x:f>SUM(AY17:AY19)</x:f>
        <x:v>0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0</x:v>
      </x:c>
      <x:c r="E22" s="117" t="n">
        <x:f>E10-E20-E32-E42-E43</x:f>
        <x:v>0</x:v>
      </x:c>
      <x:c r="F22" s="117" t="n">
        <x:f>F10-F20-F32-F42-F43</x:f>
        <x:v>0</x:v>
      </x:c>
      <x:c r="G22" s="117" t="n">
        <x:f>G10-G20-G32-G42-G43</x:f>
        <x:v>0</x:v>
      </x:c>
      <x:c r="H22" s="117" t="n">
        <x:f>H10-H20-H32-H42-H43</x:f>
        <x:v>0</x:v>
      </x:c>
      <x:c r="I22" s="117" t="n">
        <x:f>I10-I20-I32-I42-I43</x:f>
        <x:v>0</x:v>
      </x:c>
      <x:c r="J22" s="117" t="n">
        <x:f>J10-J20-J32-J42-J43</x:f>
        <x:v>0</x:v>
      </x:c>
      <x:c r="K22" s="117" t="n">
        <x:f>K10-K20-K32-K42-K43</x:f>
        <x:v>0</x:v>
      </x:c>
      <x:c r="L22" s="117" t="n">
        <x:f>L10-L20-L32-L42-L43</x:f>
        <x:v>0</x:v>
      </x:c>
      <x:c r="M22" s="117" t="n">
        <x:f>M10-M20-M32-M42-M43</x:f>
        <x:v>0</x:v>
      </x:c>
      <x:c r="N22" s="117" t="n">
        <x:f>N10-N20-N32-N42-N43</x:f>
        <x:v>0</x:v>
      </x:c>
      <x:c r="O22" s="117" t="n">
        <x:f>O10-O20-O32-O42-O43</x:f>
        <x:v>0</x:v>
      </x:c>
      <x:c r="P22" s="117" t="n">
        <x:f>P10-P20-P32-P42-P43</x:f>
        <x:v>0</x:v>
      </x:c>
      <x:c r="Q22" s="117" t="n">
        <x:f>Q10-Q20-Q32-Q42-Q43</x:f>
        <x:v>0</x:v>
      </x:c>
      <x:c r="R22" s="117" t="n">
        <x:f>R10-R20-R32-R42-R43</x:f>
        <x:v>0</x:v>
      </x:c>
      <x:c r="S22" s="117" t="n">
        <x:f>S10-S20-S32-S42-S43</x:f>
        <x:v>0</x:v>
      </x:c>
      <x:c r="T22" s="117" t="n">
        <x:f>T10-T20-T32-T42-T43</x:f>
        <x:v>0</x:v>
      </x:c>
      <x:c r="U22" s="117" t="n">
        <x:f>U10-U20-U32-U42-U43</x:f>
        <x:v>0</x:v>
      </x:c>
      <x:c r="V22" s="117" t="n">
        <x:f>V10-V20-V32-V42-V43</x:f>
        <x:v>0</x:v>
      </x:c>
      <x:c r="W22" s="117" t="n">
        <x:f>W10-W20-W32-W42-W43</x:f>
        <x:v>0</x:v>
      </x:c>
      <x:c r="X22" s="117" t="n">
        <x:f>X10-X20-X32-X42-X43</x:f>
        <x:v>0</x:v>
      </x:c>
      <x:c r="Y22" s="117" t="n">
        <x:f>Y10-Y20-Y32-Y42-Y43</x:f>
        <x:v>0</x:v>
      </x:c>
      <x:c r="Z22" s="117" t="n">
        <x:f>Z10-Z20-Z32-Z42-Z43</x:f>
        <x:v>0</x:v>
      </x:c>
      <x:c r="AA22" s="117" t="n">
        <x:f>AA10-AA20-AA32-AA42-AA43</x:f>
        <x:v>0</x:v>
      </x:c>
      <x:c r="AB22" s="117" t="n">
        <x:f>AB10-AB20-AB32-AB42-AB43</x:f>
        <x:v>0</x:v>
      </x:c>
      <x:c r="AC22" s="117" t="n">
        <x:f>AC10-AC20-AC32-AC42-AC43</x:f>
        <x:v>0</x:v>
      </x:c>
      <x:c r="AD22" s="117" t="n">
        <x:f>AD10-AD20-AD32-AD42-AD43</x:f>
        <x:v>0</x:v>
      </x:c>
      <x:c r="AE22" s="117" t="n">
        <x:f>AE10-AE20-AE32-AE42-AE43</x:f>
        <x:v>0</x:v>
      </x:c>
      <x:c r="AF22" s="117" t="n">
        <x:f>AF10-AF20-AF32-AF42-AF43</x:f>
        <x:v>0</x:v>
      </x:c>
      <x:c r="AG22" s="117" t="n">
        <x:f>AG10-AG20-AG32-AG42-AG43</x:f>
        <x:v>0</x:v>
      </x:c>
      <x:c r="AH22" s="117" t="n">
        <x:f>AH10-AH20-AH32-AH42-AH43</x:f>
        <x:v>0</x:v>
      </x:c>
      <x:c r="AI22" s="117" t="n">
        <x:f>AI10-AI20-AI32-AI42-AI43</x:f>
        <x:v>0</x:v>
      </x:c>
      <x:c r="AJ22" s="117" t="n">
        <x:f>AJ10-AJ20-AJ32-AJ42-AJ43</x:f>
        <x:v>0</x:v>
      </x:c>
      <x:c r="AK22" s="117" t="n">
        <x:f>AK10-AK20-AK32-AK42-AK43</x:f>
        <x:v>0</x:v>
      </x:c>
      <x:c r="AL22" s="117" t="n">
        <x:f>AL10-AL20-AL32-AL42-AL43</x:f>
        <x:v>0</x:v>
      </x:c>
      <x:c r="AM22" s="117" t="n">
        <x:f>AM10-AM20-AM32-AM42-AM43</x:f>
        <x:v>0</x:v>
      </x:c>
      <x:c r="AN22" s="117" t="n">
        <x:f>AN10-AN20-AN32-AN42-AN43</x:f>
        <x:v>0</x:v>
      </x:c>
      <x:c r="AO22" s="117" t="n">
        <x:f>AO10-AO20-AO32-AO42-AO43</x:f>
        <x:v>0</x:v>
      </x:c>
      <x:c r="AP22" s="117" t="n">
        <x:f>AP10-AP20-AP32-AP42-AP43</x:f>
        <x:v>0</x:v>
      </x:c>
      <x:c r="AQ22" s="117" t="n">
        <x:f>AQ10-AQ20-AQ32-AQ42-AQ43</x:f>
        <x:v>0</x:v>
      </x:c>
      <x:c r="AR22" s="117" t="n">
        <x:f>AR10-AR20-AR32-AR42-AR43</x:f>
        <x:v>0</x:v>
      </x:c>
      <x:c r="AS22" s="117" t="n">
        <x:f>AS10-AS20-AS32-AS42-AS43</x:f>
        <x:v>0</x:v>
      </x:c>
      <x:c r="AT22" s="117" t="n">
        <x:f>AT10-AT20-AT32-AT42-AT43</x:f>
        <x:v>0</x:v>
      </x:c>
      <x:c r="AU22" s="117" t="n">
        <x:f>AU10-AU20-AU32-AU42-AU43</x:f>
        <x:v>0</x:v>
      </x:c>
      <x:c r="AV22" s="117" t="n">
        <x:f>AV10-AV20-AV32-AV42-AV43</x:f>
        <x:v>0</x:v>
      </x:c>
      <x:c r="AW22" s="117" t="n">
        <x:f>AW10-AW20-AW32-AW42-AW43</x:f>
        <x:v>0</x:v>
      </x:c>
      <x:c r="AX22" s="117" t="n">
        <x:f>AX10-AX20-AX32-AX42-AX43</x:f>
        <x:v>0</x:v>
      </x:c>
      <x:c r="AY22" s="117" t="n">
        <x:f>AY10-AY20-AY32-AY42-AY43</x:f>
        <x:v>0</x:v>
      </x:c>
      <x:c r="AZ22" s="117" t="n">
        <x:f>AZ10-AZ20-AZ32-AZ42-AZ43</x:f>
        <x:v>0</x:v>
      </x:c>
      <x:c r="BA22" s="117" t="n">
        <x:f>BA10-BA20-BA32-BA42-BA43</x:f>
        <x:v>0</x:v>
      </x:c>
      <x:c r="BB22" s="117" t="n">
        <x:f>BB10-BB20-BB32-BB42-BB43</x:f>
        <x:v>0</x:v>
      </x:c>
      <x:c r="BC22" s="117" t="n">
        <x:f>BC10-BC20-BC32-BC42-BC43</x:f>
        <x:v>0</x:v>
      </x:c>
      <x:c r="BD22" s="117" t="n">
        <x:f>BD10-BD20-BD32-BD42-BD43</x:f>
        <x:v>0</x:v>
      </x:c>
      <x:c r="BE22" s="117" t="n">
        <x:f>BE10-BE20-BE32-BE42-BE43</x:f>
        <x:v>0</x:v>
      </x:c>
      <x:c r="BF22" s="117" t="n">
        <x:f>BF10-BF20-BF32-BF42-BF43</x:f>
        <x:v>0</x:v>
      </x:c>
      <x:c r="BG22" s="117" t="n">
        <x:f>BG10-BG20-BG32-BG42-BG43</x:f>
        <x:v>0</x:v>
      </x:c>
      <x:c r="BH22" s="117" t="n">
        <x:f>BH10-BH20-BH32-BH42-BH43</x:f>
        <x:v>0</x:v>
      </x:c>
      <x:c r="BI22" s="117" t="n">
        <x:f>BI10-BI20-BI32-BI42-BI43</x:f>
        <x:v>0</x:v>
      </x:c>
      <x:c r="BJ22" s="117" t="n">
        <x:f>BJ10-BJ20-BJ32-BJ42-BJ43</x:f>
        <x:v>0</x:v>
      </x:c>
      <x:c r="BK22" s="117" t="n">
        <x:f>BK10-BK20-BK32-BK42-BK43</x:f>
        <x:v>0</x:v>
      </x:c>
      <x:c r="BL22" s="117" t="n">
        <x:f>BL10-BL20-BL32-BL42-BL43</x:f>
        <x:v>0</x:v>
      </x:c>
      <x:c r="BM22" s="117" t="n">
        <x:f>BM10-BM20-BM32-BM42-BM43</x:f>
        <x:v>0</x:v>
      </x:c>
      <x:c r="BN22" s="117" t="n">
        <x:f>BN10-BN20-BN32-BN42-BN43</x:f>
        <x:v>0</x:v>
      </x:c>
      <x:c r="BO22" s="117" t="n">
        <x:f>BO10-BO20-BO32-BO42-BO43</x:f>
        <x:v>0</x:v>
      </x:c>
      <x:c r="BP22" s="117" t="n">
        <x:f>BP10-BP20-BP32-BP42-BP43</x:f>
        <x:v>0</x:v>
      </x:c>
      <x:c r="BQ22" s="117" t="n">
        <x:f>BQ10-BQ20-BQ32-BQ42-BQ43</x:f>
        <x:v>0</x:v>
      </x:c>
      <x:c r="BR22" s="117" t="n">
        <x:f>BR10-BR20-BR32-BR42-BR43</x:f>
        <x:v>0</x:v>
      </x:c>
      <x:c r="BS22" s="117" t="n">
        <x:f>BS10-BS20-BS32-BS42-BS43</x:f>
        <x:v>0</x:v>
      </x:c>
      <x:c r="BT22" s="117" t="n">
        <x:f>BT10-BT20-BT32-BT42-BT43</x:f>
        <x:v>0</x:v>
      </x:c>
      <x:c r="BU22" s="117" t="n">
        <x:f>BU10-BU20-BU32-BU42-BU43</x:f>
        <x:v>0</x:v>
      </x:c>
      <x:c r="BV22" s="117" t="n">
        <x:f>BV10-BV20-BV32-BV42-BV43</x:f>
        <x:v>0</x:v>
      </x:c>
      <x:c r="BW22" s="117" t="n">
        <x:f>BW10-BW20-BW32-BW42-BW43</x:f>
        <x:v>0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0</x:v>
      </x:c>
      <x:c r="E23" s="117" t="n">
        <x:f>D23+E22</x:f>
        <x:v>0</x:v>
      </x:c>
      <x:c r="F23" s="117" t="n">
        <x:f>E23+F22</x:f>
        <x:v>0</x:v>
      </x:c>
      <x:c r="G23" s="117" t="n">
        <x:f>F23+G22</x:f>
        <x:v>0</x:v>
      </x:c>
      <x:c r="H23" s="117" t="n">
        <x:f>G23+H22</x:f>
        <x:v>0</x:v>
      </x:c>
      <x:c r="I23" s="117" t="n">
        <x:f>H23+I22</x:f>
        <x:v>0</x:v>
      </x:c>
      <x:c r="J23" s="117" t="n">
        <x:f>I23+J22</x:f>
        <x:v>0</x:v>
      </x:c>
      <x:c r="K23" s="117" t="n">
        <x:f>J23+K22</x:f>
        <x:v>0</x:v>
      </x:c>
      <x:c r="L23" s="117" t="n">
        <x:f>K23+L22</x:f>
        <x:v>0</x:v>
      </x:c>
      <x:c r="M23" s="117" t="n">
        <x:f>L23+M22</x:f>
        <x:v>0</x:v>
      </x:c>
      <x:c r="N23" s="117" t="n">
        <x:f>M23+N22</x:f>
        <x:v>0</x:v>
      </x:c>
      <x:c r="O23" s="117" t="n">
        <x:f>N23+O22</x:f>
        <x:v>0</x:v>
      </x:c>
      <x:c r="P23" s="117" t="n">
        <x:f>O23+P22</x:f>
        <x:v>0</x:v>
      </x:c>
      <x:c r="Q23" s="117" t="n">
        <x:f>P23+Q22</x:f>
        <x:v>0</x:v>
      </x:c>
      <x:c r="R23" s="117" t="n">
        <x:f>Q23+R22</x:f>
        <x:v>0</x:v>
      </x:c>
      <x:c r="S23" s="117" t="n">
        <x:f>R23+S22</x:f>
        <x:v>0</x:v>
      </x:c>
      <x:c r="T23" s="117" t="n">
        <x:f>S23+T22</x:f>
        <x:v>0</x:v>
      </x:c>
      <x:c r="U23" s="117" t="n">
        <x:f>T23+U22</x:f>
        <x:v>0</x:v>
      </x:c>
      <x:c r="V23" s="117" t="n">
        <x:f>U23+V22</x:f>
        <x:v>0</x:v>
      </x:c>
      <x:c r="W23" s="117" t="n">
        <x:f>V23+W22</x:f>
        <x:v>0</x:v>
      </x:c>
      <x:c r="X23" s="117" t="n">
        <x:f>W23+X22</x:f>
        <x:v>0</x:v>
      </x:c>
      <x:c r="Y23" s="117" t="n">
        <x:f>X23+Y22</x:f>
        <x:v>0</x:v>
      </x:c>
      <x:c r="Z23" s="117" t="n">
        <x:f>Y23+Z22</x:f>
        <x:v>0</x:v>
      </x:c>
      <x:c r="AA23" s="117" t="n">
        <x:f>Z23+AA22</x:f>
        <x:v>0</x:v>
      </x:c>
      <x:c r="AB23" s="117" t="n">
        <x:f>AA23+AB22</x:f>
        <x:v>0</x:v>
      </x:c>
      <x:c r="AC23" s="117" t="n">
        <x:f>AB23+AC22</x:f>
        <x:v>0</x:v>
      </x:c>
      <x:c r="AD23" s="117" t="n">
        <x:f>AC23+AD22</x:f>
        <x:v>0</x:v>
      </x:c>
      <x:c r="AE23" s="117" t="n">
        <x:f>AD23+AE22</x:f>
        <x:v>0</x:v>
      </x:c>
      <x:c r="AF23" s="117" t="n">
        <x:f>AE23+AF22</x:f>
        <x:v>0</x:v>
      </x:c>
      <x:c r="AG23" s="117" t="n">
        <x:f>AF23+AG22</x:f>
        <x:v>0</x:v>
      </x:c>
      <x:c r="AH23" s="117" t="n">
        <x:f>AG23+AH22</x:f>
        <x:v>0</x:v>
      </x:c>
      <x:c r="AI23" s="117" t="n">
        <x:f>AH23+AI22</x:f>
        <x:v>0</x:v>
      </x:c>
      <x:c r="AJ23" s="117" t="n">
        <x:f>AI23+AJ22</x:f>
        <x:v>0</x:v>
      </x:c>
      <x:c r="AK23" s="117" t="n">
        <x:f>AJ23+AK22</x:f>
        <x:v>0</x:v>
      </x:c>
      <x:c r="AL23" s="117" t="n">
        <x:f>AK23+AL22</x:f>
        <x:v>0</x:v>
      </x:c>
      <x:c r="AM23" s="117" t="n">
        <x:f>AL23+AM22</x:f>
        <x:v>0</x:v>
      </x:c>
      <x:c r="AN23" s="117" t="n">
        <x:f>AM23+AN22</x:f>
        <x:v>0</x:v>
      </x:c>
      <x:c r="AO23" s="117" t="n">
        <x:f>AN23+AO22</x:f>
        <x:v>0</x:v>
      </x:c>
      <x:c r="AP23" s="117" t="n">
        <x:f>AO23+AP22</x:f>
        <x:v>0</x:v>
      </x:c>
      <x:c r="AQ23" s="117" t="n">
        <x:f>AP23+AQ22</x:f>
        <x:v>0</x:v>
      </x:c>
      <x:c r="AR23" s="117" t="n">
        <x:f>AQ23+AR22</x:f>
        <x:v>0</x:v>
      </x:c>
      <x:c r="AS23" s="117" t="n">
        <x:f>AR23+AS22</x:f>
        <x:v>0</x:v>
      </x:c>
      <x:c r="AT23" s="117" t="n">
        <x:f>AS23+AT22</x:f>
        <x:v>0</x:v>
      </x:c>
      <x:c r="AU23" s="117" t="n">
        <x:f>AT23+AU22</x:f>
        <x:v>0</x:v>
      </x:c>
      <x:c r="AV23" s="117" t="n">
        <x:f>AU23+AV22</x:f>
        <x:v>0</x:v>
      </x:c>
      <x:c r="AW23" s="117" t="n">
        <x:f>AV23+AW22</x:f>
        <x:v>0</x:v>
      </x:c>
      <x:c r="AX23" s="117" t="n">
        <x:f>AW23+AX22</x:f>
        <x:v>0</x:v>
      </x:c>
      <x:c r="AY23" s="117" t="n">
        <x:f>AX23+AY22</x:f>
        <x:v>0</x:v>
      </x:c>
      <x:c r="AZ23" s="117" t="n">
        <x:f>AY23+AZ22</x:f>
        <x:v>0</x:v>
      </x:c>
      <x:c r="BA23" s="117" t="n">
        <x:f>AZ23+BA22</x:f>
        <x:v>0</x:v>
      </x:c>
      <x:c r="BB23" s="117" t="n">
        <x:f>BA23+BB22</x:f>
        <x:v>0</x:v>
      </x:c>
      <x:c r="BC23" s="117" t="n">
        <x:f>BB23+BC22</x:f>
        <x:v>0</x:v>
      </x:c>
      <x:c r="BD23" s="117" t="n">
        <x:f>BC23+BD22</x:f>
        <x:v>0</x:v>
      </x:c>
      <x:c r="BE23" s="117" t="n">
        <x:f>BD23+BE22</x:f>
        <x:v>0</x:v>
      </x:c>
      <x:c r="BF23" s="117" t="n">
        <x:f>BE23+BF22</x:f>
        <x:v>0</x:v>
      </x:c>
      <x:c r="BG23" s="117" t="n">
        <x:f>BF23+BG22</x:f>
        <x:v>0</x:v>
      </x:c>
      <x:c r="BH23" s="117" t="n">
        <x:f>BG23+BH22</x:f>
        <x:v>0</x:v>
      </x:c>
      <x:c r="BI23" s="117" t="n">
        <x:f>BH23+BI22</x:f>
        <x:v>0</x:v>
      </x:c>
      <x:c r="BJ23" s="117" t="n">
        <x:f>BI23+BJ22</x:f>
        <x:v>0</x:v>
      </x:c>
      <x:c r="BK23" s="117" t="n">
        <x:f>BJ23+BK22</x:f>
        <x:v>0</x:v>
      </x:c>
      <x:c r="BL23" s="117" t="n">
        <x:f>BK23+BL22</x:f>
        <x:v>0</x:v>
      </x:c>
      <x:c r="BM23" s="117" t="n">
        <x:f>BL23+BM22</x:f>
        <x:v>0</x:v>
      </x:c>
      <x:c r="BN23" s="117" t="n">
        <x:f>BM23+BN22</x:f>
        <x:v>0</x:v>
      </x:c>
      <x:c r="BO23" s="117" t="n">
        <x:f>BN23+BO22</x:f>
        <x:v>0</x:v>
      </x:c>
      <x:c r="BP23" s="117" t="n">
        <x:f>BO23+BP22</x:f>
        <x:v>0</x:v>
      </x:c>
      <x:c r="BQ23" s="117" t="n">
        <x:f>BP23+BQ22</x:f>
        <x:v>0</x:v>
      </x:c>
      <x:c r="BR23" s="117" t="n">
        <x:f>BQ23+BR22</x:f>
        <x:v>0</x:v>
      </x:c>
      <x:c r="BS23" s="117" t="n">
        <x:f>BR23+BS22</x:f>
        <x:v>0</x:v>
      </x:c>
      <x:c r="BT23" s="117" t="n">
        <x:f>BS23+BT22</x:f>
        <x:v>0</x:v>
      </x:c>
      <x:c r="BU23" s="117" t="n">
        <x:f>BT23+BU22</x:f>
        <x:v>0</x:v>
      </x:c>
      <x:c r="BV23" s="117" t="n">
        <x:f>BU23+BV22</x:f>
        <x:v>0</x:v>
      </x:c>
      <x:c r="BW23" s="117" t="n">
        <x:f>BV23+BW22</x:f>
        <x:v>0</x:v>
      </x:c>
      <x:c r="BX23" s="117" t="n">
        <x:f>BW23+BX22</x:f>
        <x:v>0</x:v>
      </x:c>
      <x:c r="BY23" s="117" t="n">
        <x:f>BX23+BY22</x:f>
        <x:v>0</x:v>
      </x:c>
      <x:c r="BZ23" s="117" t="n">
        <x:f>BY23+BZ22</x:f>
        <x:v>0</x:v>
      </x:c>
      <x:c r="CA23" s="117" t="n">
        <x:f>BZ23+CA22</x:f>
        <x:v>0</x:v>
      </x:c>
      <x:c r="CB23" s="117" t="n">
        <x:f>CA23+CB22</x:f>
        <x:v>0</x:v>
      </x:c>
      <x:c r="CC23" s="117" t="n">
        <x:f>CB23+CC22</x:f>
        <x:v>0</x:v>
      </x:c>
      <x:c r="CD23" s="117" t="n">
        <x:f>CC23+CD22</x:f>
        <x:v>0</x:v>
      </x:c>
      <x:c r="CE23" s="117" t="n">
        <x:f>CD23+CE22</x:f>
        <x:v>0</x:v>
      </x:c>
      <x:c r="CF23" s="117" t="n">
        <x:f>CE23+CF22</x:f>
        <x:v>0</x:v>
      </x:c>
      <x:c r="CG23" s="117" t="n">
        <x:f>CF23+CG22</x:f>
        <x:v>0</x:v>
      </x:c>
      <x:c r="CH23" s="117" t="n">
        <x:f>CG23+CH22</x:f>
        <x:v>0</x:v>
      </x:c>
      <x:c r="CI23" s="117" t="n">
        <x:f>CH23+CI22</x:f>
        <x:v>0</x:v>
      </x:c>
      <x:c r="CJ23" s="117" t="n">
        <x:f>CI23+CJ22</x:f>
        <x:v>0</x:v>
      </x:c>
      <x:c r="CK23" s="117" t="n">
        <x:f>CJ23+CK22</x:f>
        <x:v>0</x:v>
      </x:c>
      <x:c r="CL23" s="117" t="n">
        <x:f>CK23+CL22</x:f>
        <x:v>0</x:v>
      </x:c>
      <x:c r="CM23" s="117" t="n">
        <x:f>CL23+CM22</x:f>
        <x:v>0</x:v>
      </x:c>
      <x:c r="CN23" s="117" t="n">
        <x:f>CM23+CN22</x:f>
        <x:v>0</x:v>
      </x:c>
      <x:c r="CO23" s="117" t="n">
        <x:f>CN23+CO22</x:f>
        <x:v>0</x:v>
      </x:c>
      <x:c r="CP23" s="117" t="n">
        <x:f>CO23+CP22</x:f>
        <x:v>0</x:v>
      </x:c>
      <x:c r="CQ23" s="117" t="n">
        <x:f>CP23+CQ22</x:f>
        <x:v>0</x:v>
      </x:c>
      <x:c r="CR23" s="117" t="n">
        <x:f>CQ23+CR22</x:f>
        <x:v>0</x:v>
      </x:c>
      <x:c r="CS23" s="117" t="n">
        <x:f>CR23+CS22</x:f>
        <x:v>0</x:v>
      </x:c>
      <x:c r="CT23" s="117" t="n">
        <x:f>CS23+CT22</x:f>
        <x:v>0</x:v>
      </x:c>
      <x:c r="CU23" s="117" t="n">
        <x:f>CT23+CU22</x:f>
        <x:v>0</x:v>
      </x:c>
      <x:c r="CV23" s="117" t="n">
        <x:f>CU23+CV22</x:f>
        <x:v>0</x:v>
      </x:c>
      <x:c r="CW23" s="117" t="n">
        <x:f>CV23+CW22</x:f>
        <x:v>0</x:v>
      </x:c>
      <x:c r="CX23" s="117" t="n">
        <x:f>CW23+CX22</x:f>
        <x:v>0</x:v>
      </x:c>
      <x:c r="CY23" s="117" t="n">
        <x:f>CX23+CY22</x:f>
        <x:v>0</x:v>
      </x:c>
      <x:c r="CZ23" s="117" t="n">
        <x:f>CY23+CZ22</x:f>
        <x:v>0</x:v>
      </x:c>
      <x:c r="DA23" s="117" t="n">
        <x:f>CZ23+DA22</x:f>
        <x:v>0</x:v>
      </x:c>
      <x:c r="DB23" s="117" t="n">
        <x:f>DA23+DB22</x:f>
        <x:v>0</x:v>
      </x:c>
      <x:c r="DC23" s="117" t="n">
        <x:f>DB23+DC22</x:f>
        <x:v>0</x:v>
      </x:c>
      <x:c r="DD23" s="117" t="n">
        <x:f>DC23+DD22</x:f>
        <x:v>0</x:v>
      </x:c>
      <x:c r="DE23" s="117" t="n">
        <x:f>DD23+DE22</x:f>
        <x:v>0</x:v>
      </x:c>
      <x:c r="DF23" s="117" t="n">
        <x:f>DE23+DF22</x:f>
        <x:v>0</x:v>
      </x:c>
      <x:c r="DG23" s="117" t="n">
        <x:f>DF23+DG22</x:f>
        <x:v>0</x:v>
      </x:c>
      <x:c r="DH23" s="117" t="n">
        <x:f>DG23+DH22</x:f>
        <x:v>0</x:v>
      </x:c>
      <x:c r="DI23" s="117" t="n">
        <x:f>DH23+DI22</x:f>
        <x:v>0</x:v>
      </x:c>
      <x:c r="DJ23" s="117" t="n">
        <x:f>DI23+DJ22</x:f>
        <x:v>0</x:v>
      </x:c>
      <x:c r="DK23" s="117" t="n">
        <x:f>DJ23+DK22</x:f>
        <x:v>0</x:v>
      </x:c>
      <x:c r="DL23" s="117" t="n">
        <x:f>DK23+DL22</x:f>
        <x:v>0</x:v>
      </x:c>
      <x:c r="DM23" s="117" t="n">
        <x:f>DL23+DM22</x:f>
        <x:v>0</x:v>
      </x:c>
      <x:c r="DN23" s="117" t="n">
        <x:f>DM23+DN22</x:f>
        <x:v>0</x:v>
      </x:c>
      <x:c r="DO23" s="117" t="n">
        <x:f>DN23+DO22</x:f>
        <x:v>0</x:v>
      </x:c>
      <x:c r="DP23" s="117" t="n">
        <x:f>DO23+DP22</x:f>
        <x:v>0</x:v>
      </x:c>
      <x:c r="DQ23" s="117" t="n">
        <x:f>DP23+DQ22</x:f>
        <x:v>0</x:v>
      </x:c>
      <x:c r="DR23" s="117" t="n">
        <x:f>DQ23+DR22</x:f>
        <x:v>0</x:v>
      </x:c>
      <x:c r="DS23" s="117" t="n">
        <x:f>DR23+DS22</x:f>
        <x:v>0</x:v>
      </x:c>
    </x:row>
    <x:row r="24">
      <x:c r="A24" t="str">
        <x:v>Налог на прибыль</x:v>
      </x:c>
      <x:c r="B24" t="n">
        <x:f>SUM(D24:DS24)</x:f>
        <x:v>0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0</x:v>
      </x:c>
      <x:c r="AW24" s="117" t="n">
        <x:f>IF(AW$3&gt;=$B$8,MAX(0,MAX(0,AW23)*'Вводные'!$B$21-AV25),0)</x:f>
        <x:v>0</x:v>
      </x:c>
      <x:c r="AX24" s="117" t="n">
        <x:f>IF(AX$3&gt;=$B$8,MAX(0,MAX(0,AX23)*'Вводные'!$B$21-AW25),0)</x:f>
        <x:v>0</x:v>
      </x:c>
      <x:c r="AY24" s="117" t="n">
        <x:f>IF(AY$3&gt;=$B$8,MAX(0,MAX(0,AY23)*'Вводные'!$B$21-AX25),0)</x:f>
        <x:v>0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0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0</x:v>
      </x:c>
      <x:c r="AW25" s="117" t="n">
        <x:f>AV25+AW24</x:f>
        <x:v>0</x:v>
      </x:c>
      <x:c r="AX25" s="117" t="n">
        <x:f>AW25+AX24</x:f>
        <x:v>0</x:v>
      </x:c>
      <x:c r="AY25" s="117" t="n">
        <x:f>AX25+AY24</x:f>
        <x:v>0</x:v>
      </x:c>
      <x:c r="AZ25" s="117" t="n">
        <x:f>AY25+AZ24</x:f>
        <x:v>0</x:v>
      </x:c>
      <x:c r="BA25" s="117" t="n">
        <x:f>AZ25+BA24</x:f>
        <x:v>0</x:v>
      </x:c>
      <x:c r="BB25" s="117" t="n">
        <x:f>BA25+BB24</x:f>
        <x:v>0</x:v>
      </x:c>
      <x:c r="BC25" s="117" t="n">
        <x:f>BB25+BC24</x:f>
        <x:v>0</x:v>
      </x:c>
      <x:c r="BD25" s="117" t="n">
        <x:f>BC25+BD24</x:f>
        <x:v>0</x:v>
      </x:c>
      <x:c r="BE25" s="117" t="n">
        <x:f>BD25+BE24</x:f>
        <x:v>0</x:v>
      </x:c>
      <x:c r="BF25" s="117" t="n">
        <x:f>BE25+BF24</x:f>
        <x:v>0</x:v>
      </x:c>
      <x:c r="BG25" s="117" t="n">
        <x:f>BF25+BG24</x:f>
        <x:v>0</x:v>
      </x:c>
      <x:c r="BH25" s="117" t="n">
        <x:f>BG25+BH24</x:f>
        <x:v>0</x:v>
      </x:c>
      <x:c r="BI25" s="117" t="n">
        <x:f>BH25+BI24</x:f>
        <x:v>0</x:v>
      </x:c>
      <x:c r="BJ25" s="117" t="n">
        <x:f>BI25+BJ24</x:f>
        <x:v>0</x:v>
      </x:c>
      <x:c r="BK25" s="117" t="n">
        <x:f>BJ25+BK24</x:f>
        <x:v>0</x:v>
      </x:c>
      <x:c r="BL25" s="117" t="n">
        <x:f>BK25+BL24</x:f>
        <x:v>0</x:v>
      </x:c>
      <x:c r="BM25" s="117" t="n">
        <x:f>BL25+BM24</x:f>
        <x:v>0</x:v>
      </x:c>
      <x:c r="BN25" s="117" t="n">
        <x:f>BM25+BN24</x:f>
        <x:v>0</x:v>
      </x:c>
      <x:c r="BO25" s="117" t="n">
        <x:f>BN25+BO24</x:f>
        <x:v>0</x:v>
      </x:c>
      <x:c r="BP25" s="117" t="n">
        <x:f>BO25+BP24</x:f>
        <x:v>0</x:v>
      </x:c>
      <x:c r="BQ25" s="117" t="n">
        <x:f>BP25+BQ24</x:f>
        <x:v>0</x:v>
      </x:c>
      <x:c r="BR25" s="117" t="n">
        <x:f>BQ25+BR24</x:f>
        <x:v>0</x:v>
      </x:c>
      <x:c r="BS25" s="117" t="n">
        <x:f>BR25+BS24</x:f>
        <x:v>0</x:v>
      </x:c>
      <x:c r="BT25" s="117" t="n">
        <x:f>BS25+BT24</x:f>
        <x:v>0</x:v>
      </x:c>
      <x:c r="BU25" s="117" t="n">
        <x:f>BT25+BU24</x:f>
        <x:v>0</x:v>
      </x:c>
      <x:c r="BV25" s="117" t="n">
        <x:f>BU25+BV24</x:f>
        <x:v>0</x:v>
      </x:c>
      <x:c r="BW25" s="117" t="n">
        <x:f>BV25+BW24</x:f>
        <x:v>0</x:v>
      </x:c>
      <x:c r="BX25" s="117" t="n">
        <x:f>BW25+BX24</x:f>
        <x:v>0</x:v>
      </x:c>
      <x:c r="BY25" s="117" t="n">
        <x:f>BX25+BY24</x:f>
        <x:v>0</x:v>
      </x:c>
      <x:c r="BZ25" s="117" t="n">
        <x:f>BY25+BZ24</x:f>
        <x:v>0</x:v>
      </x:c>
      <x:c r="CA25" s="117" t="n">
        <x:f>BZ25+CA24</x:f>
        <x:v>0</x:v>
      </x:c>
      <x:c r="CB25" s="117" t="n">
        <x:f>CA25+CB24</x:f>
        <x:v>0</x:v>
      </x:c>
      <x:c r="CC25" s="117" t="n">
        <x:f>CB25+CC24</x:f>
        <x:v>0</x:v>
      </x:c>
      <x:c r="CD25" s="117" t="n">
        <x:f>CC25+CD24</x:f>
        <x:v>0</x:v>
      </x:c>
      <x:c r="CE25" s="117" t="n">
        <x:f>CD25+CE24</x:f>
        <x:v>0</x:v>
      </x:c>
      <x:c r="CF25" s="117" t="n">
        <x:f>CE25+CF24</x:f>
        <x:v>0</x:v>
      </x:c>
      <x:c r="CG25" s="117" t="n">
        <x:f>CF25+CG24</x:f>
        <x:v>0</x:v>
      </x:c>
      <x:c r="CH25" s="117" t="n">
        <x:f>CG25+CH24</x:f>
        <x:v>0</x:v>
      </x:c>
      <x:c r="CI25" s="117" t="n">
        <x:f>CH25+CI24</x:f>
        <x:v>0</x:v>
      </x:c>
      <x:c r="CJ25" s="117" t="n">
        <x:f>CI25+CJ24</x:f>
        <x:v>0</x:v>
      </x:c>
      <x:c r="CK25" s="117" t="n">
        <x:f>CJ25+CK24</x:f>
        <x:v>0</x:v>
      </x:c>
      <x:c r="CL25" s="117" t="n">
        <x:f>CK25+CL24</x:f>
        <x:v>0</x:v>
      </x:c>
      <x:c r="CM25" s="117" t="n">
        <x:f>CL25+CM24</x:f>
        <x:v>0</x:v>
      </x:c>
      <x:c r="CN25" s="117" t="n">
        <x:f>CM25+CN24</x:f>
        <x:v>0</x:v>
      </x:c>
      <x:c r="CO25" s="117" t="n">
        <x:f>CN25+CO24</x:f>
        <x:v>0</x:v>
      </x:c>
      <x:c r="CP25" s="117" t="n">
        <x:f>CO25+CP24</x:f>
        <x:v>0</x:v>
      </x:c>
      <x:c r="CQ25" s="117" t="n">
        <x:f>CP25+CQ24</x:f>
        <x:v>0</x:v>
      </x:c>
      <x:c r="CR25" s="117" t="n">
        <x:f>CQ25+CR24</x:f>
        <x:v>0</x:v>
      </x:c>
      <x:c r="CS25" s="117" t="n">
        <x:f>CR25+CS24</x:f>
        <x:v>0</x:v>
      </x:c>
      <x:c r="CT25" s="117" t="n">
        <x:f>CS25+CT24</x:f>
        <x:v>0</x:v>
      </x:c>
      <x:c r="CU25" s="117" t="n">
        <x:f>CT25+CU24</x:f>
        <x:v>0</x:v>
      </x:c>
      <x:c r="CV25" s="117" t="n">
        <x:f>CU25+CV24</x:f>
        <x:v>0</x:v>
      </x:c>
      <x:c r="CW25" s="117" t="n">
        <x:f>CV25+CW24</x:f>
        <x:v>0</x:v>
      </x:c>
      <x:c r="CX25" s="117" t="n">
        <x:f>CW25+CX24</x:f>
        <x:v>0</x:v>
      </x:c>
      <x:c r="CY25" s="117" t="n">
        <x:f>CX25+CY24</x:f>
        <x:v>0</x:v>
      </x:c>
      <x:c r="CZ25" s="117" t="n">
        <x:f>CY25+CZ24</x:f>
        <x:v>0</x:v>
      </x:c>
      <x:c r="DA25" s="117" t="n">
        <x:f>CZ25+DA24</x:f>
        <x:v>0</x:v>
      </x:c>
      <x:c r="DB25" s="117" t="n">
        <x:f>DA25+DB24</x:f>
        <x:v>0</x:v>
      </x:c>
      <x:c r="DC25" s="117" t="n">
        <x:f>DB25+DC24</x:f>
        <x:v>0</x:v>
      </x:c>
      <x:c r="DD25" s="117" t="n">
        <x:f>DC25+DD24</x:f>
        <x:v>0</x:v>
      </x:c>
      <x:c r="DE25" s="117" t="n">
        <x:f>DD25+DE24</x:f>
        <x:v>0</x:v>
      </x:c>
      <x:c r="DF25" s="117" t="n">
        <x:f>DE25+DF24</x:f>
        <x:v>0</x:v>
      </x:c>
      <x:c r="DG25" s="117" t="n">
        <x:f>DF25+DG24</x:f>
        <x:v>0</x:v>
      </x:c>
      <x:c r="DH25" s="117" t="n">
        <x:f>DG25+DH24</x:f>
        <x:v>0</x:v>
      </x:c>
      <x:c r="DI25" s="117" t="n">
        <x:f>DH25+DI24</x:f>
        <x:v>0</x:v>
      </x:c>
      <x:c r="DJ25" s="117" t="n">
        <x:f>DI25+DJ24</x:f>
        <x:v>0</x:v>
      </x:c>
      <x:c r="DK25" s="117" t="n">
        <x:f>DJ25+DK24</x:f>
        <x:v>0</x:v>
      </x:c>
      <x:c r="DL25" s="117" t="n">
        <x:f>DK25+DL24</x:f>
        <x:v>0</x:v>
      </x:c>
      <x:c r="DM25" s="117" t="n">
        <x:f>DL25+DM24</x:f>
        <x:v>0</x:v>
      </x:c>
      <x:c r="DN25" s="117" t="n">
        <x:f>DM25+DN24</x:f>
        <x:v>0</x:v>
      </x:c>
      <x:c r="DO25" s="117" t="n">
        <x:f>DN25+DO24</x:f>
        <x:v>0</x:v>
      </x:c>
      <x:c r="DP25" s="117" t="n">
        <x:f>DO25+DP24</x:f>
        <x:v>0</x:v>
      </x:c>
      <x:c r="DQ25" s="117" t="n">
        <x:f>DP25+DQ24</x:f>
        <x:v>0</x:v>
      </x:c>
      <x:c r="DR25" s="117" t="n">
        <x:f>DQ25+DR24</x:f>
        <x:v>0</x:v>
      </x:c>
      <x:c r="DS25" s="117" t="n">
        <x:f>DR25+DS24</x:f>
        <x:v>0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0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0</x:v>
      </x:c>
      <x:c r="AU27" s="117" t="n">
        <x:f>SUM(AU14,AU12)</x:f>
        <x:v>0</x:v>
      </x:c>
      <x:c r="AV27" s="117" t="n">
        <x:f>SUM(AV14,AV12)</x:f>
        <x:v>0</x:v>
      </x:c>
      <x:c r="AW27" s="117" t="n">
        <x:f>SUM(AW14,AW12)</x:f>
        <x:v>0</x:v>
      </x:c>
      <x:c r="AX27" s="117" t="n">
        <x:f>SUM(AX14,AX12)</x:f>
        <x:v>0</x:v>
      </x:c>
      <x:c r="AY27" s="117" t="n">
        <x:f>SUM(AY14,AY12)</x:f>
        <x:v>0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0</x:v>
      </x:c>
      <x:c r="C28" s="113" t="str">
        <x:v>млн ₽</x:v>
      </x:c>
      <x:c r="D28" s="120" t="n">
        <x:f>D27-D20-D24</x:f>
        <x:v>0</x:v>
      </x:c>
      <x:c r="E28" s="120" t="n">
        <x:f>E27-E20-E24</x:f>
        <x:v>0</x:v>
      </x:c>
      <x:c r="F28" s="120" t="n">
        <x:f>F27-F20-F24</x:f>
        <x:v>0</x:v>
      </x:c>
      <x:c r="G28" s="120" t="n">
        <x:f>G27-G20-G24</x:f>
        <x:v>0</x:v>
      </x:c>
      <x:c r="H28" s="120" t="n">
        <x:f>H27-H20-H24</x:f>
        <x:v>0</x:v>
      </x:c>
      <x:c r="I28" s="120" t="n">
        <x:f>I27-I20-I24</x:f>
        <x:v>0</x:v>
      </x:c>
      <x:c r="J28" s="120" t="n">
        <x:f>J27-J20-J24</x:f>
        <x:v>0</x:v>
      </x:c>
      <x:c r="K28" s="120" t="n">
        <x:f>K27-K20-K24</x:f>
        <x:v>0</x:v>
      </x:c>
      <x:c r="L28" s="120" t="n">
        <x:f>L27-L20-L24</x:f>
        <x:v>0</x:v>
      </x:c>
      <x:c r="M28" s="120" t="n">
        <x:f>M27-M20-M24</x:f>
        <x:v>0</x:v>
      </x:c>
      <x:c r="N28" s="120" t="n">
        <x:f>N27-N20-N24</x:f>
        <x:v>0</x:v>
      </x:c>
      <x:c r="O28" s="120" t="n">
        <x:f>O27-O20-O24</x:f>
        <x:v>0</x:v>
      </x:c>
      <x:c r="P28" s="120" t="n">
        <x:f>P27-P20-P24</x:f>
        <x:v>0</x:v>
      </x:c>
      <x:c r="Q28" s="120" t="n">
        <x:f>Q27-Q20-Q24</x:f>
        <x:v>0</x:v>
      </x:c>
      <x:c r="R28" s="120" t="n">
        <x:f>R27-R20-R24</x:f>
        <x:v>0</x:v>
      </x:c>
      <x:c r="S28" s="120" t="n">
        <x:f>S27-S20-S24</x:f>
        <x:v>0</x:v>
      </x:c>
      <x:c r="T28" s="120" t="n">
        <x:f>T27-T20-T24</x:f>
        <x:v>0</x:v>
      </x:c>
      <x:c r="U28" s="120" t="n">
        <x:f>U27-U20-U24</x:f>
        <x:v>0</x:v>
      </x:c>
      <x:c r="V28" s="120" t="n">
        <x:f>V27-V20-V24</x:f>
        <x:v>0</x:v>
      </x:c>
      <x:c r="W28" s="120" t="n">
        <x:f>W27-W20-W24</x:f>
        <x:v>0</x:v>
      </x:c>
      <x:c r="X28" s="120" t="n">
        <x:f>X27-X20-X24</x:f>
        <x:v>0</x:v>
      </x:c>
      <x:c r="Y28" s="120" t="n">
        <x:f>Y27-Y20-Y24</x:f>
        <x:v>0</x:v>
      </x:c>
      <x:c r="Z28" s="120" t="n">
        <x:f>Z27-Z20-Z24</x:f>
        <x:v>0</x:v>
      </x:c>
      <x:c r="AA28" s="120" t="n">
        <x:f>AA27-AA20-AA24</x:f>
        <x:v>0</x:v>
      </x:c>
      <x:c r="AB28" s="120" t="n">
        <x:f>AB27-AB20-AB24</x:f>
        <x:v>0</x:v>
      </x:c>
      <x:c r="AC28" s="120" t="n">
        <x:f>AC27-AC20-AC24</x:f>
        <x:v>0</x:v>
      </x:c>
      <x:c r="AD28" s="120" t="n">
        <x:f>AD27-AD20-AD24</x:f>
        <x:v>0</x:v>
      </x:c>
      <x:c r="AE28" s="120" t="n">
        <x:f>AE27-AE20-AE24</x:f>
        <x:v>0</x:v>
      </x:c>
      <x:c r="AF28" s="120" t="n">
        <x:f>AF27-AF20-AF24</x:f>
        <x:v>0</x:v>
      </x:c>
      <x:c r="AG28" s="120" t="n">
        <x:f>AG27-AG20-AG24</x:f>
        <x:v>0</x:v>
      </x:c>
      <x:c r="AH28" s="120" t="n">
        <x:f>AH27-AH20-AH24</x:f>
        <x:v>0</x:v>
      </x:c>
      <x:c r="AI28" s="120" t="n">
        <x:f>AI27-AI20-AI24</x:f>
        <x:v>0</x:v>
      </x:c>
      <x:c r="AJ28" s="120" t="n">
        <x:f>AJ27-AJ20-AJ24</x:f>
        <x:v>0</x:v>
      </x:c>
      <x:c r="AK28" s="120" t="n">
        <x:f>AK27-AK20-AK24</x:f>
        <x:v>0</x:v>
      </x:c>
      <x:c r="AL28" s="120" t="n">
        <x:f>AL27-AL20-AL24</x:f>
        <x:v>0</x:v>
      </x:c>
      <x:c r="AM28" s="120" t="n">
        <x:f>AM27-AM20-AM24</x:f>
        <x:v>0</x:v>
      </x:c>
      <x:c r="AN28" s="120" t="n">
        <x:f>AN27-AN20-AN24</x:f>
        <x:v>0</x:v>
      </x:c>
      <x:c r="AO28" s="120" t="n">
        <x:f>AO27-AO20-AO24</x:f>
        <x:v>0</x:v>
      </x:c>
      <x:c r="AP28" s="120" t="n">
        <x:f>AP27-AP20-AP24</x:f>
        <x:v>0</x:v>
      </x:c>
      <x:c r="AQ28" s="120" t="n">
        <x:f>AQ27-AQ20-AQ24</x:f>
        <x:v>0</x:v>
      </x:c>
      <x:c r="AR28" s="120" t="n">
        <x:f>AR27-AR20-AR24</x:f>
        <x:v>0</x:v>
      </x:c>
      <x:c r="AS28" s="120" t="n">
        <x:f>AS27-AS20-AS24</x:f>
        <x:v>0</x:v>
      </x:c>
      <x:c r="AT28" s="120" t="n">
        <x:f>AT27-AT20-AT24</x:f>
        <x:v>0</x:v>
      </x:c>
      <x:c r="AU28" s="120" t="n">
        <x:f>AU27-AU20-AU24</x:f>
        <x:v>0</x:v>
      </x:c>
      <x:c r="AV28" s="120" t="n">
        <x:f>AV27-AV20-AV24</x:f>
        <x:v>0</x:v>
      </x:c>
      <x:c r="AW28" s="120" t="n">
        <x:f>AW27-AW20-AW24</x:f>
        <x:v>0</x:v>
      </x:c>
      <x:c r="AX28" s="120" t="n">
        <x:f>AX27-AX20-AX24</x:f>
        <x:v>0</x:v>
      </x:c>
      <x:c r="AY28" s="120" t="n">
        <x:f>AY27-AY20-AY24</x:f>
        <x:v>0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0</x:v>
      </x:c>
      <x:c r="F30" s="117" t="n">
        <x:f>E36</x:f>
        <x:v>0</x:v>
      </x:c>
      <x:c r="G30" s="117" t="n">
        <x:f>F36</x:f>
        <x:v>0</x:v>
      </x:c>
      <x:c r="H30" s="117" t="n">
        <x:f>G36</x:f>
        <x:v>0</x:v>
      </x:c>
      <x:c r="I30" s="117" t="n">
        <x:f>H36</x:f>
        <x:v>0</x:v>
      </x:c>
      <x:c r="J30" s="117" t="n">
        <x:f>I36</x:f>
        <x:v>0</x:v>
      </x:c>
      <x:c r="K30" s="117" t="n">
        <x:f>J36</x:f>
        <x:v>0</x:v>
      </x:c>
      <x:c r="L30" s="117" t="n">
        <x:f>K36</x:f>
        <x:v>0</x:v>
      </x:c>
      <x:c r="M30" s="117" t="n">
        <x:f>L36</x:f>
        <x:v>0</x:v>
      </x:c>
      <x:c r="N30" s="117" t="n">
        <x:f>M36</x:f>
        <x:v>0</x:v>
      </x:c>
      <x:c r="O30" s="117" t="n">
        <x:f>N36</x:f>
        <x:v>0</x:v>
      </x:c>
      <x:c r="P30" s="117" t="n">
        <x:f>O36</x:f>
        <x:v>0</x:v>
      </x:c>
      <x:c r="Q30" s="117" t="n">
        <x:f>P36</x:f>
        <x:v>0</x:v>
      </x:c>
      <x:c r="R30" s="117" t="n">
        <x:f>Q36</x:f>
        <x:v>0</x:v>
      </x:c>
      <x:c r="S30" s="117" t="n">
        <x:f>R36</x:f>
        <x:v>0</x:v>
      </x:c>
      <x:c r="T30" s="117" t="n">
        <x:f>S36</x:f>
        <x:v>0</x:v>
      </x:c>
      <x:c r="U30" s="117" t="n">
        <x:f>T36</x:f>
        <x:v>0</x:v>
      </x:c>
      <x:c r="V30" s="117" t="n">
        <x:f>U36</x:f>
        <x:v>0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0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0</x:v>
      </x:c>
      <x:c r="E33" s="117" t="n">
        <x:f>IF(E$3&lt;$B$7,MAX(0,E20+E24+IF('Вводные'!$B$31="Оплата капиталом",E32,0)-E27),0)</x:f>
        <x:v>0</x:v>
      </x:c>
      <x:c r="F33" s="117" t="n">
        <x:f>IF(F$3&lt;$B$7,MAX(0,F20+F24+IF('Вводные'!$B$31="Оплата капиталом",F32,0)-F27),0)</x:f>
        <x:v>0</x:v>
      </x:c>
      <x:c r="G33" s="117" t="n">
        <x:f>IF(G$3&lt;$B$7,MAX(0,G20+G24+IF('Вводные'!$B$31="Оплата капиталом",G32,0)-G27),0)</x:f>
        <x:v>0</x:v>
      </x:c>
      <x:c r="H33" s="117" t="n">
        <x:f>IF(H$3&lt;$B$7,MAX(0,H20+H24+IF('Вводные'!$B$31="Оплата капиталом",H32,0)-H27),0)</x:f>
        <x:v>0</x:v>
      </x:c>
      <x:c r="I33" s="117" t="n">
        <x:f>IF(I$3&lt;$B$7,MAX(0,I20+I24+IF('Вводные'!$B$31="Оплата капиталом",I32,0)-I27),0)</x:f>
        <x:v>0</x:v>
      </x:c>
      <x:c r="J33" s="117" t="n">
        <x:f>IF(J$3&lt;$B$7,MAX(0,J20+J24+IF('Вводные'!$B$31="Оплата капиталом",J32,0)-J27),0)</x:f>
        <x:v>0</x:v>
      </x:c>
      <x:c r="K33" s="117" t="n">
        <x:f>IF(K$3&lt;$B$7,MAX(0,K20+K24+IF('Вводные'!$B$31="Оплата капиталом",K32,0)-K27),0)</x:f>
        <x:v>0</x:v>
      </x:c>
      <x:c r="L33" s="117" t="n">
        <x:f>IF(L$3&lt;$B$7,MAX(0,L20+L24+IF('Вводные'!$B$31="Оплата капиталом",L32,0)-L27),0)</x:f>
        <x:v>0</x:v>
      </x:c>
      <x:c r="M33" s="117" t="n">
        <x:f>IF(M$3&lt;$B$7,MAX(0,M20+M24+IF('Вводные'!$B$31="Оплата капиталом",M32,0)-M27),0)</x:f>
        <x:v>0</x:v>
      </x:c>
      <x:c r="N33" s="117" t="n">
        <x:f>IF(N$3&lt;$B$7,MAX(0,N20+N24+IF('Вводные'!$B$31="Оплата капиталом",N32,0)-N27),0)</x:f>
        <x:v>0</x:v>
      </x:c>
      <x:c r="O33" s="117" t="n">
        <x:f>IF(O$3&lt;$B$7,MAX(0,O20+O24+IF('Вводные'!$B$31="Оплата капиталом",O32,0)-O27),0)</x:f>
        <x:v>0</x:v>
      </x:c>
      <x:c r="P33" s="117" t="n">
        <x:f>IF(P$3&lt;$B$7,MAX(0,P20+P24+IF('Вводные'!$B$31="Оплата капиталом",P32,0)-P27),0)</x:f>
        <x:v>0</x:v>
      </x:c>
      <x:c r="Q33" s="117" t="n">
        <x:f>IF(Q$3&lt;$B$7,MAX(0,Q20+Q24+IF('Вводные'!$B$31="Оплата капиталом",Q32,0)-Q27),0)</x:f>
        <x:v>0</x:v>
      </x:c>
      <x:c r="R33" s="117" t="n">
        <x:f>IF(R$3&lt;$B$7,MAX(0,R20+R24+IF('Вводные'!$B$31="Оплата капиталом",R32,0)-R27),0)</x:f>
        <x:v>0</x:v>
      </x:c>
      <x:c r="S33" s="117" t="n">
        <x:f>IF(S$3&lt;$B$7,MAX(0,S20+S24+IF('Вводные'!$B$31="Оплата капиталом",S32,0)-S27),0)</x:f>
        <x:v>0</x:v>
      </x:c>
      <x:c r="T33" s="117" t="n">
        <x:f>IF(T$3&lt;$B$7,MAX(0,T20+T24+IF('Вводные'!$B$31="Оплата капиталом",T32,0)-T27),0)</x:f>
        <x:v>0</x:v>
      </x:c>
      <x:c r="U33" s="117" t="n">
        <x:f>IF(U$3&lt;$B$7,MAX(0,U20+U24+IF('Вводные'!$B$31="Оплата капиталом",U32,0)-U27),0)</x:f>
        <x:v>0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0</x:v>
      </x:c>
      <x:c r="C34" t="str">
        <x:v>млн ₽</x:v>
      </x:c>
      <x:c r="D34" s="117" t="n">
        <x:f>MIN(MAX(0,'Вводные'!$B$24*'Вводные'!$U$89-D30),D33)</x:f>
        <x:v>0</x:v>
      </x:c>
      <x:c r="E34" s="117" t="n">
        <x:f>MIN(MAX(0,'Вводные'!$B$24*'Вводные'!$U$89-E30),E33)</x:f>
        <x:v>0</x:v>
      </x:c>
      <x:c r="F34" s="117" t="n">
        <x:f>MIN(MAX(0,'Вводные'!$B$24*'Вводные'!$U$89-F30),F33)</x:f>
        <x:v>0</x:v>
      </x:c>
      <x:c r="G34" s="117" t="n">
        <x:f>MIN(MAX(0,'Вводные'!$B$24*'Вводные'!$U$89-G30),G33)</x:f>
        <x:v>0</x:v>
      </x:c>
      <x:c r="H34" s="117" t="n">
        <x:f>MIN(MAX(0,'Вводные'!$B$24*'Вводные'!$U$89-H30),H33)</x:f>
        <x:v>0</x:v>
      </x:c>
      <x:c r="I34" s="117" t="n">
        <x:f>MIN(MAX(0,'Вводные'!$B$24*'Вводные'!$U$89-I30),I33)</x:f>
        <x:v>0</x:v>
      </x:c>
      <x:c r="J34" s="117" t="n">
        <x:f>MIN(MAX(0,'Вводные'!$B$24*'Вводные'!$U$89-J30),J33)</x:f>
        <x:v>0</x:v>
      </x:c>
      <x:c r="K34" s="117" t="n">
        <x:f>MIN(MAX(0,'Вводные'!$B$24*'Вводные'!$U$89-K30),K33)</x:f>
        <x:v>0</x:v>
      </x:c>
      <x:c r="L34" s="117" t="n">
        <x:f>MIN(MAX(0,'Вводные'!$B$24*'Вводные'!$U$89-L30),L33)</x:f>
        <x:v>0</x:v>
      </x:c>
      <x:c r="M34" s="117" t="n">
        <x:f>MIN(MAX(0,'Вводные'!$B$24*'Вводные'!$U$89-M30),M33)</x:f>
        <x:v>0</x:v>
      </x:c>
      <x:c r="N34" s="117" t="n">
        <x:f>MIN(MAX(0,'Вводные'!$B$24*'Вводные'!$U$89-N30),N33)</x:f>
        <x:v>0</x:v>
      </x:c>
      <x:c r="O34" s="117" t="n">
        <x:f>MIN(MAX(0,'Вводные'!$B$24*'Вводные'!$U$89-O30),O33)</x:f>
        <x:v>0</x:v>
      </x:c>
      <x:c r="P34" s="117" t="n">
        <x:f>MIN(MAX(0,'Вводные'!$B$24*'Вводные'!$U$89-P30),P33)</x:f>
        <x:v>0</x:v>
      </x:c>
      <x:c r="Q34" s="117" t="n">
        <x:f>MIN(MAX(0,'Вводные'!$B$24*'Вводные'!$U$89-Q30),Q33)</x:f>
        <x:v>0</x:v>
      </x:c>
      <x:c r="R34" s="117" t="n">
        <x:f>MIN(MAX(0,'Вводные'!$B$24*'Вводные'!$U$89-R30),R33)</x:f>
        <x:v>0</x:v>
      </x:c>
      <x:c r="S34" s="117" t="n">
        <x:f>MIN(MAX(0,'Вводные'!$B$24*'Вводные'!$U$89-S30),S33)</x:f>
        <x:v>0</x:v>
      </x:c>
      <x:c r="T34" s="117" t="n">
        <x:f>MIN(MAX(0,'Вводные'!$B$24*'Вводные'!$U$89-T30),T33)</x:f>
        <x:v>0</x:v>
      </x:c>
      <x:c r="U34" s="117" t="n">
        <x:f>MIN(MAX(0,'Вводные'!$B$24*'Вводные'!$U$89-U30),U33)</x:f>
        <x:v>0</x:v>
      </x:c>
      <x:c r="V34" s="117" t="n">
        <x:f>MIN(MAX(0,'Вводные'!$B$24*'Вводные'!$U$89-V30),V33)</x:f>
        <x:v>0</x:v>
      </x:c>
      <x:c r="W34" s="117" t="n">
        <x:f>MIN(MAX(0,'Вводные'!$B$24*'Вводные'!$U$89-W30),W33)</x:f>
        <x:v>0</x:v>
      </x:c>
      <x:c r="X34" s="117" t="n">
        <x:f>MIN(MAX(0,'Вводные'!$B$24*'Вводные'!$U$89-X30),X33)</x:f>
        <x:v>0</x:v>
      </x:c>
      <x:c r="Y34" s="117" t="n">
        <x:f>MIN(MAX(0,'Вводные'!$B$24*'Вводные'!$U$89-Y30),Y33)</x:f>
        <x:v>0</x:v>
      </x:c>
      <x:c r="Z34" s="117" t="n">
        <x:f>MIN(MAX(0,'Вводные'!$B$24*'Вводные'!$U$89-Z30),Z33)</x:f>
        <x:v>0</x:v>
      </x:c>
      <x:c r="AA34" s="117" t="n">
        <x:f>MIN(MAX(0,'Вводные'!$B$24*'Вводные'!$U$89-AA30),AA33)</x:f>
        <x:v>0</x:v>
      </x:c>
      <x:c r="AB34" s="117" t="n">
        <x:f>MIN(MAX(0,'Вводные'!$B$24*'Вводные'!$U$89-AB30),AB33)</x:f>
        <x:v>0</x:v>
      </x:c>
      <x:c r="AC34" s="117" t="n">
        <x:f>MIN(MAX(0,'Вводные'!$B$24*'Вводные'!$U$89-AC30),AC33)</x:f>
        <x:v>0</x:v>
      </x:c>
      <x:c r="AD34" s="117" t="n">
        <x:f>MIN(MAX(0,'Вводные'!$B$24*'Вводные'!$U$89-AD30),AD33)</x:f>
        <x:v>0</x:v>
      </x:c>
      <x:c r="AE34" s="117" t="n">
        <x:f>MIN(MAX(0,'Вводные'!$B$24*'Вводные'!$U$89-AE30),AE33)</x:f>
        <x:v>0</x:v>
      </x:c>
      <x:c r="AF34" s="117" t="n">
        <x:f>MIN(MAX(0,'Вводные'!$B$24*'Вводные'!$U$89-AF30),AF33)</x:f>
        <x:v>0</x:v>
      </x:c>
      <x:c r="AG34" s="117" t="n">
        <x:f>MIN(MAX(0,'Вводные'!$B$24*'Вводные'!$U$89-AG30),AG33)</x:f>
        <x:v>0</x:v>
      </x:c>
      <x:c r="AH34" s="117" t="n">
        <x:f>MIN(MAX(0,'Вводные'!$B$24*'Вводные'!$U$89-AH30),AH33)</x:f>
        <x:v>0</x:v>
      </x:c>
      <x:c r="AI34" s="117" t="n">
        <x:f>MIN(MAX(0,'Вводные'!$B$24*'Вводные'!$U$89-AI30),AI33)</x:f>
        <x:v>0</x:v>
      </x:c>
      <x:c r="AJ34" s="117" t="n">
        <x:f>MIN(MAX(0,'Вводные'!$B$24*'Вводные'!$U$89-AJ30),AJ33)</x:f>
        <x:v>0</x:v>
      </x:c>
      <x:c r="AK34" s="117" t="n">
        <x:f>MIN(MAX(0,'Вводные'!$B$24*'Вводные'!$U$89-AK30),AK33)</x:f>
        <x:v>0</x:v>
      </x:c>
      <x:c r="AL34" s="117" t="n">
        <x:f>MIN(MAX(0,'Вводные'!$B$24*'Вводные'!$U$89-AL30),AL33)</x:f>
        <x:v>0</x:v>
      </x:c>
      <x:c r="AM34" s="117" t="n">
        <x:f>MIN(MAX(0,'Вводные'!$B$24*'Вводные'!$U$89-AM30),AM33)</x:f>
        <x:v>0</x:v>
      </x:c>
      <x:c r="AN34" s="117" t="n">
        <x:f>MIN(MAX(0,'Вводные'!$B$24*'Вводные'!$U$89-AN30),AN33)</x:f>
        <x:v>0</x:v>
      </x:c>
      <x:c r="AO34" s="117" t="n">
        <x:f>MIN(MAX(0,'Вводные'!$B$24*'Вводные'!$U$89-AO30),AO33)</x:f>
        <x:v>0</x:v>
      </x:c>
      <x:c r="AP34" s="117" t="n">
        <x:f>MIN(MAX(0,'Вводные'!$B$24*'Вводные'!$U$89-AP30),AP33)</x:f>
        <x:v>0</x:v>
      </x:c>
      <x:c r="AQ34" s="117" t="n">
        <x:f>MIN(MAX(0,'Вводные'!$B$24*'Вводные'!$U$89-AQ30),AQ33)</x:f>
        <x:v>0</x:v>
      </x:c>
      <x:c r="AR34" s="117" t="n">
        <x:f>MIN(MAX(0,'Вводные'!$B$24*'Вводные'!$U$89-AR30),AR33)</x:f>
        <x:v>0</x:v>
      </x:c>
      <x:c r="AS34" s="117" t="n">
        <x:f>MIN(MAX(0,'Вводные'!$B$24*'Вводные'!$U$89-AS30),AS33)</x:f>
        <x:v>0</x:v>
      </x:c>
      <x:c r="AT34" s="117" t="n">
        <x:f>MIN(MAX(0,'Вводные'!$B$24*'Вводные'!$U$89-AT30),AT33)</x:f>
        <x:v>0</x:v>
      </x:c>
      <x:c r="AU34" s="117" t="n">
        <x:f>MIN(MAX(0,'Вводные'!$B$24*'Вводные'!$U$89-AU30),AU33)</x:f>
        <x:v>0</x:v>
      </x:c>
      <x:c r="AV34" s="117" t="n">
        <x:f>MIN(MAX(0,'Вводные'!$B$24*'Вводные'!$U$89-AV30),AV33)</x:f>
        <x:v>0</x:v>
      </x:c>
      <x:c r="AW34" s="117" t="n">
        <x:f>MIN(MAX(0,'Вводные'!$B$24*'Вводные'!$U$89-AW30),AW33)</x:f>
        <x:v>0</x:v>
      </x:c>
      <x:c r="AX34" s="117" t="n">
        <x:f>MIN(MAX(0,'Вводные'!$B$24*'Вводные'!$U$89-AX30),AX33)</x:f>
        <x:v>0</x:v>
      </x:c>
      <x:c r="AY34" s="117" t="n">
        <x:f>MIN(MAX(0,'Вводные'!$B$24*'Вводные'!$U$89-AY30),AY33)</x:f>
        <x:v>0</x:v>
      </x:c>
      <x:c r="AZ34" s="117" t="n">
        <x:f>MIN(MAX(0,'Вводные'!$B$24*'Вводные'!$U$89-AZ30),AZ33)</x:f>
        <x:v>0</x:v>
      </x:c>
      <x:c r="BA34" s="117" t="n">
        <x:f>MIN(MAX(0,'Вводные'!$B$24*'Вводные'!$U$89-BA30),BA33)</x:f>
        <x:v>0</x:v>
      </x:c>
      <x:c r="BB34" s="117" t="n">
        <x:f>MIN(MAX(0,'Вводные'!$B$24*'Вводные'!$U$89-BB30),BB33)</x:f>
        <x:v>0</x:v>
      </x:c>
      <x:c r="BC34" s="117" t="n">
        <x:f>MIN(MAX(0,'Вводные'!$B$24*'Вводные'!$U$89-BC30),BC33)</x:f>
        <x:v>0</x:v>
      </x:c>
      <x:c r="BD34" s="117" t="n">
        <x:f>MIN(MAX(0,'Вводные'!$B$24*'Вводные'!$U$89-BD30),BD33)</x:f>
        <x:v>0</x:v>
      </x:c>
      <x:c r="BE34" s="117" t="n">
        <x:f>MIN(MAX(0,'Вводные'!$B$24*'Вводные'!$U$89-BE30),BE33)</x:f>
        <x:v>0</x:v>
      </x:c>
      <x:c r="BF34" s="117" t="n">
        <x:f>MIN(MAX(0,'Вводные'!$B$24*'Вводные'!$U$89-BF30),BF33)</x:f>
        <x:v>0</x:v>
      </x:c>
      <x:c r="BG34" s="117" t="n">
        <x:f>MIN(MAX(0,'Вводные'!$B$24*'Вводные'!$U$89-BG30),BG33)</x:f>
        <x:v>0</x:v>
      </x:c>
      <x:c r="BH34" s="117" t="n">
        <x:f>MIN(MAX(0,'Вводные'!$B$24*'Вводные'!$U$89-BH30),BH33)</x:f>
        <x:v>0</x:v>
      </x:c>
      <x:c r="BI34" s="117" t="n">
        <x:f>MIN(MAX(0,'Вводные'!$B$24*'Вводные'!$U$89-BI30),BI33)</x:f>
        <x:v>0</x:v>
      </x:c>
      <x:c r="BJ34" s="117" t="n">
        <x:f>MIN(MAX(0,'Вводные'!$B$24*'Вводные'!$U$89-BJ30),BJ33)</x:f>
        <x:v>0</x:v>
      </x:c>
      <x:c r="BK34" s="117" t="n">
        <x:f>MIN(MAX(0,'Вводные'!$B$24*'Вводные'!$U$89-BK30),BK33)</x:f>
        <x:v>0</x:v>
      </x:c>
      <x:c r="BL34" s="117" t="n">
        <x:f>MIN(MAX(0,'Вводные'!$B$24*'Вводные'!$U$89-BL30),BL33)</x:f>
        <x:v>0</x:v>
      </x:c>
      <x:c r="BM34" s="117" t="n">
        <x:f>MIN(MAX(0,'Вводные'!$B$24*'Вводные'!$U$89-BM30),BM33)</x:f>
        <x:v>0</x:v>
      </x:c>
      <x:c r="BN34" s="117" t="n">
        <x:f>MIN(MAX(0,'Вводные'!$B$24*'Вводные'!$U$89-BN30),BN33)</x:f>
        <x:v>0</x:v>
      </x:c>
      <x:c r="BO34" s="117" t="n">
        <x:f>MIN(MAX(0,'Вводные'!$B$24*'Вводные'!$U$89-BO30),BO33)</x:f>
        <x:v>0</x:v>
      </x:c>
      <x:c r="BP34" s="117" t="n">
        <x:f>MIN(MAX(0,'Вводные'!$B$24*'Вводные'!$U$89-BP30),BP33)</x:f>
        <x:v>0</x:v>
      </x:c>
      <x:c r="BQ34" s="117" t="n">
        <x:f>MIN(MAX(0,'Вводные'!$B$24*'Вводные'!$U$89-BQ30),BQ33)</x:f>
        <x:v>0</x:v>
      </x:c>
      <x:c r="BR34" s="117" t="n">
        <x:f>MIN(MAX(0,'Вводные'!$B$24*'Вводные'!$U$89-BR30),BR33)</x:f>
        <x:v>0</x:v>
      </x:c>
      <x:c r="BS34" s="117" t="n">
        <x:f>MIN(MAX(0,'Вводные'!$B$24*'Вводные'!$U$89-BS30),BS33)</x:f>
        <x:v>0</x:v>
      </x:c>
      <x:c r="BT34" s="117" t="n">
        <x:f>MIN(MAX(0,'Вводные'!$B$24*'Вводные'!$U$89-BT30),BT33)</x:f>
        <x:v>0</x:v>
      </x:c>
      <x:c r="BU34" s="117" t="n">
        <x:f>MIN(MAX(0,'Вводные'!$B$24*'Вводные'!$U$89-BU30),BU33)</x:f>
        <x:v>0</x:v>
      </x:c>
      <x:c r="BV34" s="117" t="n">
        <x:f>MIN(MAX(0,'Вводные'!$B$24*'Вводные'!$U$89-BV30),BV33)</x:f>
        <x:v>0</x:v>
      </x:c>
      <x:c r="BW34" s="117" t="n">
        <x:f>MIN(MAX(0,'Вводные'!$B$24*'Вводные'!$U$89-BW30),BW33)</x:f>
        <x:v>0</x:v>
      </x:c>
      <x:c r="BX34" s="117" t="n">
        <x:f>MIN(MAX(0,'Вводные'!$B$24*'Вводные'!$U$89-BX30),BX33)</x:f>
        <x:v>0</x:v>
      </x:c>
      <x:c r="BY34" s="117" t="n">
        <x:f>MIN(MAX(0,'Вводные'!$B$24*'Вводные'!$U$89-BY30),BY33)</x:f>
        <x:v>0</x:v>
      </x:c>
      <x:c r="BZ34" s="117" t="n">
        <x:f>MIN(MAX(0,'Вводные'!$B$24*'Вводные'!$U$89-BZ30),BZ33)</x:f>
        <x:v>0</x:v>
      </x:c>
      <x:c r="CA34" s="117" t="n">
        <x:f>MIN(MAX(0,'Вводные'!$B$24*'Вводные'!$U$89-CA30),CA33)</x:f>
        <x:v>0</x:v>
      </x:c>
      <x:c r="CB34" s="117" t="n">
        <x:f>MIN(MAX(0,'Вводные'!$B$24*'Вводные'!$U$89-CB30),CB33)</x:f>
        <x:v>0</x:v>
      </x:c>
      <x:c r="CC34" s="117" t="n">
        <x:f>MIN(MAX(0,'Вводные'!$B$24*'Вводные'!$U$89-CC30),CC33)</x:f>
        <x:v>0</x:v>
      </x:c>
      <x:c r="CD34" s="117" t="n">
        <x:f>MIN(MAX(0,'Вводные'!$B$24*'Вводные'!$U$89-CD30),CD33)</x:f>
        <x:v>0</x:v>
      </x:c>
      <x:c r="CE34" s="117" t="n">
        <x:f>MIN(MAX(0,'Вводные'!$B$24*'Вводные'!$U$89-CE30),CE33)</x:f>
        <x:v>0</x:v>
      </x:c>
      <x:c r="CF34" s="117" t="n">
        <x:f>MIN(MAX(0,'Вводные'!$B$24*'Вводные'!$U$89-CF30),CF33)</x:f>
        <x:v>0</x:v>
      </x:c>
      <x:c r="CG34" s="117" t="n">
        <x:f>MIN(MAX(0,'Вводные'!$B$24*'Вводные'!$U$89-CG30),CG33)</x:f>
        <x:v>0</x:v>
      </x:c>
      <x:c r="CH34" s="117" t="n">
        <x:f>MIN(MAX(0,'Вводные'!$B$24*'Вводные'!$U$89-CH30),CH33)</x:f>
        <x:v>0</x:v>
      </x:c>
      <x:c r="CI34" s="117" t="n">
        <x:f>MIN(MAX(0,'Вводные'!$B$24*'Вводные'!$U$89-CI30),CI33)</x:f>
        <x:v>0</x:v>
      </x:c>
      <x:c r="CJ34" s="117" t="n">
        <x:f>MIN(MAX(0,'Вводные'!$B$24*'Вводные'!$U$89-CJ30),CJ33)</x:f>
        <x:v>0</x:v>
      </x:c>
      <x:c r="CK34" s="117" t="n">
        <x:f>MIN(MAX(0,'Вводные'!$B$24*'Вводные'!$U$89-CK30),CK33)</x:f>
        <x:v>0</x:v>
      </x:c>
      <x:c r="CL34" s="117" t="n">
        <x:f>MIN(MAX(0,'Вводные'!$B$24*'Вводные'!$U$89-CL30),CL33)</x:f>
        <x:v>0</x:v>
      </x:c>
      <x:c r="CM34" s="117" t="n">
        <x:f>MIN(MAX(0,'Вводные'!$B$24*'Вводные'!$U$89-CM30),CM33)</x:f>
        <x:v>0</x:v>
      </x:c>
      <x:c r="CN34" s="117" t="n">
        <x:f>MIN(MAX(0,'Вводные'!$B$24*'Вводные'!$U$89-CN30),CN33)</x:f>
        <x:v>0</x:v>
      </x:c>
      <x:c r="CO34" s="117" t="n">
        <x:f>MIN(MAX(0,'Вводные'!$B$24*'Вводные'!$U$89-CO30),CO33)</x:f>
        <x:v>0</x:v>
      </x:c>
      <x:c r="CP34" s="117" t="n">
        <x:f>MIN(MAX(0,'Вводные'!$B$24*'Вводные'!$U$89-CP30),CP33)</x:f>
        <x:v>0</x:v>
      </x:c>
      <x:c r="CQ34" s="117" t="n">
        <x:f>MIN(MAX(0,'Вводные'!$B$24*'Вводные'!$U$89-CQ30),CQ33)</x:f>
        <x:v>0</x:v>
      </x:c>
      <x:c r="CR34" s="117" t="n">
        <x:f>MIN(MAX(0,'Вводные'!$B$24*'Вводные'!$U$89-CR30),CR33)</x:f>
        <x:v>0</x:v>
      </x:c>
      <x:c r="CS34" s="117" t="n">
        <x:f>MIN(MAX(0,'Вводные'!$B$24*'Вводные'!$U$89-CS30),CS33)</x:f>
        <x:v>0</x:v>
      </x:c>
      <x:c r="CT34" s="117" t="n">
        <x:f>MIN(MAX(0,'Вводные'!$B$24*'Вводные'!$U$89-CT30),CT33)</x:f>
        <x:v>0</x:v>
      </x:c>
      <x:c r="CU34" s="117" t="n">
        <x:f>MIN(MAX(0,'Вводные'!$B$24*'Вводные'!$U$89-CU30),CU33)</x:f>
        <x:v>0</x:v>
      </x:c>
      <x:c r="CV34" s="117" t="n">
        <x:f>MIN(MAX(0,'Вводные'!$B$24*'Вводные'!$U$89-CV30),CV33)</x:f>
        <x:v>0</x:v>
      </x:c>
      <x:c r="CW34" s="117" t="n">
        <x:f>MIN(MAX(0,'Вводные'!$B$24*'Вводные'!$U$89-CW30),CW33)</x:f>
        <x:v>0</x:v>
      </x:c>
      <x:c r="CX34" s="117" t="n">
        <x:f>MIN(MAX(0,'Вводные'!$B$24*'Вводные'!$U$89-CX30),CX33)</x:f>
        <x:v>0</x:v>
      </x:c>
      <x:c r="CY34" s="117" t="n">
        <x:f>MIN(MAX(0,'Вводные'!$B$24*'Вводные'!$U$89-CY30),CY33)</x:f>
        <x:v>0</x:v>
      </x:c>
      <x:c r="CZ34" s="117" t="n">
        <x:f>MIN(MAX(0,'Вводные'!$B$24*'Вводные'!$U$89-CZ30),CZ33)</x:f>
        <x:v>0</x:v>
      </x:c>
      <x:c r="DA34" s="117" t="n">
        <x:f>MIN(MAX(0,'Вводные'!$B$24*'Вводные'!$U$89-DA30),DA33)</x:f>
        <x:v>0</x:v>
      </x:c>
      <x:c r="DB34" s="117" t="n">
        <x:f>MIN(MAX(0,'Вводные'!$B$24*'Вводные'!$U$89-DB30),DB33)</x:f>
        <x:v>0</x:v>
      </x:c>
      <x:c r="DC34" s="117" t="n">
        <x:f>MIN(MAX(0,'Вводные'!$B$24*'Вводные'!$U$89-DC30),DC33)</x:f>
        <x:v>0</x:v>
      </x:c>
      <x:c r="DD34" s="117" t="n">
        <x:f>MIN(MAX(0,'Вводные'!$B$24*'Вводные'!$U$89-DD30),DD33)</x:f>
        <x:v>0</x:v>
      </x:c>
      <x:c r="DE34" s="117" t="n">
        <x:f>MIN(MAX(0,'Вводные'!$B$24*'Вводные'!$U$89-DE30),DE33)</x:f>
        <x:v>0</x:v>
      </x:c>
      <x:c r="DF34" s="117" t="n">
        <x:f>MIN(MAX(0,'Вводные'!$B$24*'Вводные'!$U$89-DF30),DF33)</x:f>
        <x:v>0</x:v>
      </x:c>
      <x:c r="DG34" s="117" t="n">
        <x:f>MIN(MAX(0,'Вводные'!$B$24*'Вводные'!$U$89-DG30),DG33)</x:f>
        <x:v>0</x:v>
      </x:c>
      <x:c r="DH34" s="117" t="n">
        <x:f>MIN(MAX(0,'Вводные'!$B$24*'Вводные'!$U$89-DH30),DH33)</x:f>
        <x:v>0</x:v>
      </x:c>
      <x:c r="DI34" s="117" t="n">
        <x:f>MIN(MAX(0,'Вводные'!$B$24*'Вводные'!$U$89-DI30),DI33)</x:f>
        <x:v>0</x:v>
      </x:c>
      <x:c r="DJ34" s="117" t="n">
        <x:f>MIN(MAX(0,'Вводные'!$B$24*'Вводные'!$U$89-DJ30),DJ33)</x:f>
        <x:v>0</x:v>
      </x:c>
      <x:c r="DK34" s="117" t="n">
        <x:f>MIN(MAX(0,'Вводные'!$B$24*'Вводные'!$U$89-DK30),DK33)</x:f>
        <x:v>0</x:v>
      </x:c>
      <x:c r="DL34" s="117" t="n">
        <x:f>MIN(MAX(0,'Вводные'!$B$24*'Вводные'!$U$89-DL30),DL33)</x:f>
        <x:v>0</x:v>
      </x:c>
      <x:c r="DM34" s="117" t="n">
        <x:f>MIN(MAX(0,'Вводные'!$B$24*'Вводные'!$U$89-DM30),DM33)</x:f>
        <x:v>0</x:v>
      </x:c>
      <x:c r="DN34" s="117" t="n">
        <x:f>MIN(MAX(0,'Вводные'!$B$24*'Вводные'!$U$89-DN30),DN33)</x:f>
        <x:v>0</x:v>
      </x:c>
      <x:c r="DO34" s="117" t="n">
        <x:f>MIN(MAX(0,'Вводные'!$B$24*'Вводные'!$U$89-DO30),DO33)</x:f>
        <x:v>0</x:v>
      </x:c>
      <x:c r="DP34" s="117" t="n">
        <x:f>MIN(MAX(0,'Вводные'!$B$24*'Вводные'!$U$89-DP30),DP33)</x:f>
        <x:v>0</x:v>
      </x:c>
      <x:c r="DQ34" s="117" t="n">
        <x:f>MIN(MAX(0,'Вводные'!$B$24*'Вводные'!$U$89-DQ30),DQ33)</x:f>
        <x:v>0</x:v>
      </x:c>
      <x:c r="DR34" s="117" t="n">
        <x:f>MIN(MAX(0,'Вводные'!$B$24*'Вводные'!$U$89-DR30),DR33)</x:f>
        <x:v>0</x:v>
      </x:c>
      <x:c r="DS34" s="117" t="n">
        <x:f>MIN(MAX(0,'Вводные'!$B$24*'Вводные'!$U$89-DS30),DS33)</x:f>
        <x:v>0</x:v>
      </x:c>
    </x:row>
    <x:row r="35">
      <x:c r="A35" t="str">
        <x:v>БРИДЖ — погашение</x:v>
      </x:c>
      <x:c r="B35" t="n">
        <x:f>SUM(D35:DS35)</x:f>
        <x:v>0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0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0</x:v>
      </x:c>
      <x:c r="E36" s="120" t="n">
        <x:f>MAX(0,E30+E34+IF('Вводные'!$B$31="Капитализация в ПФ",E32,0)-E35)</x:f>
        <x:v>0</x:v>
      </x:c>
      <x:c r="F36" s="120" t="n">
        <x:f>MAX(0,F30+F34+IF('Вводные'!$B$31="Капитализация в ПФ",F32,0)-F35)</x:f>
        <x:v>0</x:v>
      </x:c>
      <x:c r="G36" s="120" t="n">
        <x:f>MAX(0,G30+G34+IF('Вводные'!$B$31="Капитализация в ПФ",G32,0)-G35)</x:f>
        <x:v>0</x:v>
      </x:c>
      <x:c r="H36" s="120" t="n">
        <x:f>MAX(0,H30+H34+IF('Вводные'!$B$31="Капитализация в ПФ",H32,0)-H35)</x:f>
        <x:v>0</x:v>
      </x:c>
      <x:c r="I36" s="120" t="n">
        <x:f>MAX(0,I30+I34+IF('Вводные'!$B$31="Капитализация в ПФ",I32,0)-I35)</x:f>
        <x:v>0</x:v>
      </x:c>
      <x:c r="J36" s="120" t="n">
        <x:f>MAX(0,J30+J34+IF('Вводные'!$B$31="Капитализация в ПФ",J32,0)-J35)</x:f>
        <x:v>0</x:v>
      </x:c>
      <x:c r="K36" s="120" t="n">
        <x:f>MAX(0,K30+K34+IF('Вводные'!$B$31="Капитализация в ПФ",K32,0)-K35)</x:f>
        <x:v>0</x:v>
      </x:c>
      <x:c r="L36" s="120" t="n">
        <x:f>MAX(0,L30+L34+IF('Вводные'!$B$31="Капитализация в ПФ",L32,0)-L35)</x:f>
        <x:v>0</x:v>
      </x:c>
      <x:c r="M36" s="120" t="n">
        <x:f>MAX(0,M30+M34+IF('Вводные'!$B$31="Капитализация в ПФ",M32,0)-M35)</x:f>
        <x:v>0</x:v>
      </x:c>
      <x:c r="N36" s="120" t="n">
        <x:f>MAX(0,N30+N34+IF('Вводные'!$B$31="Капитализация в ПФ",N32,0)-N35)</x:f>
        <x:v>0</x:v>
      </x:c>
      <x:c r="O36" s="120" t="n">
        <x:f>MAX(0,O30+O34+IF('Вводные'!$B$31="Капитализация в ПФ",O32,0)-O35)</x:f>
        <x:v>0</x:v>
      </x:c>
      <x:c r="P36" s="120" t="n">
        <x:f>MAX(0,P30+P34+IF('Вводные'!$B$31="Капитализация в ПФ",P32,0)-P35)</x:f>
        <x:v>0</x:v>
      </x:c>
      <x:c r="Q36" s="120" t="n">
        <x:f>MAX(0,Q30+Q34+IF('Вводные'!$B$31="Капитализация в ПФ",Q32,0)-Q35)</x:f>
        <x:v>0</x:v>
      </x:c>
      <x:c r="R36" s="120" t="n">
        <x:f>MAX(0,R30+R34+IF('Вводные'!$B$31="Капитализация в ПФ",R32,0)-R35)</x:f>
        <x:v>0</x:v>
      </x:c>
      <x:c r="S36" s="120" t="n">
        <x:f>MAX(0,S30+S34+IF('Вводные'!$B$31="Капитализация в ПФ",S32,0)-S35)</x:f>
        <x:v>0</x:v>
      </x:c>
      <x:c r="T36" s="120" t="n">
        <x:f>MAX(0,T30+T34+IF('Вводные'!$B$31="Капитализация в ПФ",T32,0)-T35)</x:f>
        <x:v>0</x:v>
      </x:c>
      <x:c r="U36" s="120" t="n">
        <x:f>MAX(0,U30+U34+IF('Вводные'!$B$31="Капитализация в ПФ",U32,0)-U35)</x:f>
        <x:v>0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0</x:v>
      </x:c>
      <x:c r="X38" s="117" t="n">
        <x:f>W47</x:f>
        <x:v>0</x:v>
      </x:c>
      <x:c r="Y38" s="117" t="n">
        <x:f>X47</x:f>
        <x:v>0</x:v>
      </x:c>
      <x:c r="Z38" s="117" t="n">
        <x:f>Y47</x:f>
        <x:v>0</x:v>
      </x:c>
      <x:c r="AA38" s="117" t="n">
        <x:f>Z47</x:f>
        <x:v>0</x:v>
      </x:c>
      <x:c r="AB38" s="117" t="n">
        <x:f>AA47</x:f>
        <x:v>0</x:v>
      </x:c>
      <x:c r="AC38" s="117" t="n">
        <x:f>AB47</x:f>
        <x:v>0</x:v>
      </x:c>
      <x:c r="AD38" s="117" t="n">
        <x:f>AC47</x:f>
        <x:v>0</x:v>
      </x:c>
      <x:c r="AE38" s="117" t="n">
        <x:f>AD47</x:f>
        <x:v>0</x:v>
      </x:c>
      <x:c r="AF38" s="117" t="n">
        <x:f>AE47</x:f>
        <x:v>0</x:v>
      </x:c>
      <x:c r="AG38" s="117" t="n">
        <x:f>AF47</x:f>
        <x:v>0</x:v>
      </x:c>
      <x:c r="AH38" s="117" t="n">
        <x:f>AG47</x:f>
        <x:v>0</x:v>
      </x:c>
      <x:c r="AI38" s="117" t="n">
        <x:f>AH47</x:f>
        <x:v>0</x:v>
      </x:c>
      <x:c r="AJ38" s="117" t="n">
        <x:f>AI47</x:f>
        <x:v>0</x:v>
      </x:c>
      <x:c r="AK38" s="117" t="n">
        <x:f>AJ47</x:f>
        <x:v>0</x:v>
      </x:c>
      <x:c r="AL38" s="117" t="n">
        <x:f>AK47</x:f>
        <x:v>0</x:v>
      </x:c>
      <x:c r="AM38" s="117" t="n">
        <x:f>AL47</x:f>
        <x:v>0</x:v>
      </x:c>
      <x:c r="AN38" s="117" t="n">
        <x:f>AM47</x:f>
        <x:v>0</x:v>
      </x:c>
      <x:c r="AO38" s="117" t="n">
        <x:f>AN47</x:f>
        <x:v>0</x:v>
      </x:c>
      <x:c r="AP38" s="117" t="n">
        <x:f>AO47</x:f>
        <x:v>0</x:v>
      </x:c>
      <x:c r="AQ38" s="117" t="n">
        <x:f>AP47</x:f>
        <x:v>0</x:v>
      </x:c>
      <x:c r="AR38" s="117" t="n">
        <x:f>AQ47</x:f>
        <x:v>0</x:v>
      </x:c>
      <x:c r="AS38" s="117" t="n">
        <x:f>AR47</x:f>
        <x:v>0</x:v>
      </x:c>
      <x:c r="AT38" s="117" t="n">
        <x:f>AS47</x:f>
        <x:v>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0.14750000000000002</x:v>
      </x:c>
      <x:c r="W41" s="121" t="n">
        <x:f>W39*(1-MIN(1,W40))+'Вводные'!$B$28*MIN(1,W40)</x:f>
        <x:v>0.14541666666666667</x:v>
      </x:c>
      <x:c r="X41" s="121" t="n">
        <x:f>X39*(1-MIN(1,X40))+'Вводные'!$B$28*MIN(1,X40)</x:f>
        <x:v>0.1433333333333333</x:v>
      </x:c>
      <x:c r="Y41" s="121" t="n">
        <x:f>Y39*(1-MIN(1,Y40))+'Вводные'!$B$28*MIN(1,Y40)</x:f>
        <x:v>0.14125</x:v>
      </x:c>
      <x:c r="Z41" s="121" t="n">
        <x:f>Z39*(1-MIN(1,Z40))+'Вводные'!$B$28*MIN(1,Z40)</x:f>
        <x:v>0.13916666666666666</x:v>
      </x:c>
      <x:c r="AA41" s="121" t="n">
        <x:f>AA39*(1-MIN(1,AA40))+'Вводные'!$B$28*MIN(1,AA40)</x:f>
        <x:v>0.13708333333333333</x:v>
      </x:c>
      <x:c r="AB41" s="121" t="n">
        <x:f>AB39*(1-MIN(1,AB40))+'Вводные'!$B$28*MIN(1,AB40)</x:f>
        <x:v>0.135</x:v>
      </x:c>
      <x:c r="AC41" s="121" t="n">
        <x:f>AC39*(1-MIN(1,AC40))+'Вводные'!$B$28*MIN(1,AC40)</x:f>
        <x:v>0.135</x:v>
      </x:c>
      <x:c r="AD41" s="121" t="n">
        <x:f>AD39*(1-MIN(1,AD40))+'Вводные'!$B$28*MIN(1,AD40)</x:f>
        <x:v>0.135</x:v>
      </x:c>
      <x:c r="AE41" s="121" t="n">
        <x:f>AE39*(1-MIN(1,AE40))+'Вводные'!$B$28*MIN(1,AE40)</x:f>
        <x:v>0.135</x:v>
      </x:c>
      <x:c r="AF41" s="121" t="n">
        <x:f>AF39*(1-MIN(1,AF40))+'Вводные'!$B$28*MIN(1,AF40)</x:f>
        <x:v>0.135</x:v>
      </x:c>
      <x:c r="AG41" s="121" t="n">
        <x:f>AG39*(1-MIN(1,AG40))+'Вводные'!$B$28*MIN(1,AG40)</x:f>
        <x:v>0.135</x:v>
      </x:c>
      <x:c r="AH41" s="121" t="n">
        <x:f>AH39*(1-MIN(1,AH40))+'Вводные'!$B$28*MIN(1,AH40)</x:f>
        <x:v>0.135</x:v>
      </x:c>
      <x:c r="AI41" s="121" t="n">
        <x:f>AI39*(1-MIN(1,AI40))+'Вводные'!$B$28*MIN(1,AI40)</x:f>
        <x:v>0.135</x:v>
      </x:c>
      <x:c r="AJ41" s="121" t="n">
        <x:f>AJ39*(1-MIN(1,AJ40))+'Вводные'!$B$28*MIN(1,AJ40)</x:f>
        <x:v>0.135</x:v>
      </x:c>
      <x:c r="AK41" s="121" t="n">
        <x:f>AK39*(1-MIN(1,AK40))+'Вводные'!$B$28*MIN(1,AK40)</x:f>
        <x:v>0.135</x:v>
      </x:c>
      <x:c r="AL41" s="121" t="n">
        <x:f>AL39*(1-MIN(1,AL40))+'Вводные'!$B$28*MIN(1,AL40)</x:f>
        <x:v>0.135</x:v>
      </x:c>
      <x:c r="AM41" s="121" t="n">
        <x:f>AM39*(1-MIN(1,AM40))+'Вводные'!$B$28*MIN(1,AM40)</x:f>
        <x:v>0.135</x:v>
      </x:c>
      <x:c r="AN41" s="121" t="n">
        <x:f>AN39*(1-MIN(1,AN40))+'Вводные'!$B$28*MIN(1,AN40)</x:f>
        <x:v>0.135</x:v>
      </x:c>
      <x:c r="AO41" s="121" t="n">
        <x:f>AO39*(1-MIN(1,AO40))+'Вводные'!$B$28*MIN(1,AO40)</x:f>
        <x:v>0.135</x:v>
      </x:c>
      <x:c r="AP41" s="121" t="n">
        <x:f>AP39*(1-MIN(1,AP40))+'Вводные'!$B$28*MIN(1,AP40)</x:f>
        <x:v>0.135</x:v>
      </x:c>
      <x:c r="AQ41" s="121" t="n">
        <x:f>AQ39*(1-MIN(1,AQ40))+'Вводные'!$B$28*MIN(1,AQ40)</x:f>
        <x:v>0.135</x:v>
      </x:c>
      <x:c r="AR41" s="121" t="n">
        <x:f>AR39*(1-MIN(1,AR40))+'Вводные'!$B$28*MIN(1,AR40)</x:f>
        <x:v>0.135</x:v>
      </x:c>
      <x:c r="AS41" s="121" t="n">
        <x:f>AS39*(1-MIN(1,AS40))+'Вводные'!$B$28*MIN(1,AS40)</x:f>
        <x:v>0.135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0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0</x:v>
      </x:c>
      <x:c r="X42" s="117" t="n">
        <x:f>IF(X38&gt;0,X38*X41/12,0)</x:f>
        <x:v>0</x:v>
      </x:c>
      <x:c r="Y42" s="117" t="n">
        <x:f>IF(Y38&gt;0,Y38*Y41/12,0)</x:f>
        <x:v>0</x:v>
      </x:c>
      <x:c r="Z42" s="117" t="n">
        <x:f>IF(Z38&gt;0,Z38*Z41/12,0)</x:f>
        <x:v>0</x:v>
      </x:c>
      <x:c r="AA42" s="117" t="n">
        <x:f>IF(AA38&gt;0,AA38*AA41/12,0)</x:f>
        <x:v>0</x:v>
      </x:c>
      <x:c r="AB42" s="117" t="n">
        <x:f>IF(AB38&gt;0,AB38*AB41/12,0)</x:f>
        <x:v>0</x:v>
      </x:c>
      <x:c r="AC42" s="117" t="n">
        <x:f>IF(AC38&gt;0,AC38*AC41/12,0)</x:f>
        <x:v>0</x:v>
      </x:c>
      <x:c r="AD42" s="117" t="n">
        <x:f>IF(AD38&gt;0,AD38*AD41/12,0)</x:f>
        <x:v>0</x:v>
      </x:c>
      <x:c r="AE42" s="117" t="n">
        <x:f>IF(AE38&gt;0,AE38*AE41/12,0)</x:f>
        <x:v>0</x:v>
      </x:c>
      <x:c r="AF42" s="117" t="n">
        <x:f>IF(AF38&gt;0,AF38*AF41/12,0)</x:f>
        <x:v>0</x:v>
      </x:c>
      <x:c r="AG42" s="117" t="n">
        <x:f>IF(AG38&gt;0,AG38*AG41/12,0)</x:f>
        <x:v>0</x:v>
      </x:c>
      <x:c r="AH42" s="117" t="n">
        <x:f>IF(AH38&gt;0,AH38*AH41/12,0)</x:f>
        <x:v>0</x:v>
      </x:c>
      <x:c r="AI42" s="117" t="n">
        <x:f>IF(AI38&gt;0,AI38*AI41/12,0)</x:f>
        <x:v>0</x:v>
      </x:c>
      <x:c r="AJ42" s="117" t="n">
        <x:f>IF(AJ38&gt;0,AJ38*AJ41/12,0)</x:f>
        <x:v>0</x:v>
      </x:c>
      <x:c r="AK42" s="117" t="n">
        <x:f>IF(AK38&gt;0,AK38*AK41/12,0)</x:f>
        <x:v>0</x:v>
      </x:c>
      <x:c r="AL42" s="117" t="n">
        <x:f>IF(AL38&gt;0,AL38*AL41/12,0)</x:f>
        <x:v>0</x:v>
      </x:c>
      <x:c r="AM42" s="117" t="n">
        <x:f>IF(AM38&gt;0,AM38*AM41/12,0)</x:f>
        <x:v>0</x:v>
      </x:c>
      <x:c r="AN42" s="117" t="n">
        <x:f>IF(AN38&gt;0,AN38*AN41/12,0)</x:f>
        <x:v>0</x:v>
      </x:c>
      <x:c r="AO42" s="117" t="n">
        <x:f>IF(AO38&gt;0,AO38*AO41/12,0)</x:f>
        <x:v>0</x:v>
      </x:c>
      <x:c r="AP42" s="117" t="n">
        <x:f>IF(AP38&gt;0,AP38*AP41/12,0)</x:f>
        <x:v>0</x:v>
      </x:c>
      <x:c r="AQ42" s="117" t="n">
        <x:f>IF(AQ38&gt;0,AQ38*AQ41/12,0)</x:f>
        <x:v>0</x:v>
      </x:c>
      <x:c r="AR42" s="117" t="n">
        <x:f>IF(AR38&gt;0,AR38*AR41/12,0)</x:f>
        <x:v>0</x:v>
      </x:c>
      <x:c r="AS42" s="117" t="n">
        <x:f>IF(AS38&gt;0,AS38*AS41/12,0)</x:f>
        <x:v>0</x:v>
      </x:c>
      <x:c r="AT42" s="117" t="n">
        <x:f>IF(AT38&gt;0,AT38*AT41/12,0)</x:f>
        <x:v>0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0</x:v>
      </x:c>
      <x:c r="C43" t="str">
        <x:v>млн ₽</x:v>
      </x:c>
      <x:c r="D43" s="117" t="n">
        <x:f>IF(AND(OR(D38&gt;0,D$3&lt;=$B$8),D$3&gt;=$B$7,D$3&lt;EDATE($B$8,'Вводные'!$H$89)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OR(E38&gt;0,E$3&lt;=$B$8),E$3&gt;=$B$7,E$3&lt;EDATE($B$8,'Вводные'!$H$89)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OR(F38&gt;0,F$3&lt;=$B$8),F$3&gt;=$B$7,F$3&lt;EDATE($B$8,'Вводные'!$H$89)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OR(G38&gt;0,G$3&lt;=$B$8),G$3&gt;=$B$7,G$3&lt;EDATE($B$8,'Вводные'!$H$89)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OR(H38&gt;0,H$3&lt;=$B$8),H$3&gt;=$B$7,H$3&lt;EDATE($B$8,'Вводные'!$H$89)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OR(I38&gt;0,I$3&lt;=$B$8),I$3&gt;=$B$7,I$3&lt;EDATE($B$8,'Вводные'!$H$89)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OR(J38&gt;0,J$3&lt;=$B$8),J$3&gt;=$B$7,J$3&lt;EDATE($B$8,'Вводные'!$H$89)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OR(K38&gt;0,K$3&lt;=$B$8),K$3&gt;=$B$7,K$3&lt;EDATE($B$8,'Вводные'!$H$89)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OR(L38&gt;0,L$3&lt;=$B$8),L$3&gt;=$B$7,L$3&lt;EDATE($B$8,'Вводные'!$H$89)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OR(M38&gt;0,M$3&lt;=$B$8),M$3&gt;=$B$7,M$3&lt;EDATE($B$8,'Вводные'!$H$89)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OR(N38&gt;0,N$3&lt;=$B$8),N$3&gt;=$B$7,N$3&lt;EDATE($B$8,'Вводные'!$H$89)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R(O38&gt;0,O$3&lt;=$B$8),O$3&gt;=$B$7,O$3&lt;EDATE($B$8,'Вводные'!$H$89)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OR(P38&gt;0,P$3&lt;=$B$8),P$3&gt;=$B$7,P$3&lt;EDATE($B$8,'Вводные'!$H$89)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OR(Q38&gt;0,Q$3&lt;=$B$8),Q$3&gt;=$B$7,Q$3&lt;EDATE($B$8,'Вводные'!$H$89)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OR(R38&gt;0,R$3&lt;=$B$8),R$3&gt;=$B$7,R$3&lt;EDATE($B$8,'Вводные'!$H$89)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OR(S38&gt;0,S$3&lt;=$B$8),S$3&gt;=$B$7,S$3&lt;EDATE($B$8,'Вводные'!$H$89)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OR(T38&gt;0,T$3&lt;=$B$8),T$3&gt;=$B$7,T$3&lt;EDATE($B$8,'Вводные'!$H$89)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OR(U38&gt;0,U$3&lt;=$B$8),U$3&gt;=$B$7,U$3&lt;EDATE($B$8,'Вводные'!$H$89)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OR(V38&gt;0,V$3&lt;=$B$8),V$3&gt;=$B$7,V$3&lt;EDATE($B$8,'Вводные'!$H$89)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OR(W38&gt;0,W$3&lt;=$B$8),W$3&gt;=$B$7,W$3&lt;EDATE($B$8,'Вводные'!$H$89)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OR(X38&gt;0,X$3&lt;=$B$8),X$3&gt;=$B$7,X$3&lt;EDATE($B$8,'Вводные'!$H$89)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OR(Y38&gt;0,Y$3&lt;=$B$8),Y$3&gt;=$B$7,Y$3&lt;EDATE($B$8,'Вводные'!$H$89)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OR(Z38&gt;0,Z$3&lt;=$B$8),Z$3&gt;=$B$7,Z$3&lt;EDATE($B$8,'Вводные'!$H$89)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OR(AA38&gt;0,AA$3&lt;=$B$8),AA$3&gt;=$B$7,AA$3&lt;EDATE($B$8,'Вводные'!$H$89)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OR(AB38&gt;0,AB$3&lt;=$B$8),AB$3&gt;=$B$7,AB$3&lt;EDATE($B$8,'Вводные'!$H$89)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OR(AC38&gt;0,AC$3&lt;=$B$8),AC$3&gt;=$B$7,AC$3&lt;EDATE($B$8,'Вводные'!$H$89)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OR(AD38&gt;0,AD$3&lt;=$B$8),AD$3&gt;=$B$7,AD$3&lt;EDATE($B$8,'Вводные'!$H$89)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OR(AE38&gt;0,AE$3&lt;=$B$8),AE$3&gt;=$B$7,AE$3&lt;EDATE($B$8,'Вводные'!$H$89)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OR(AF38&gt;0,AF$3&lt;=$B$8),AF$3&gt;=$B$7,AF$3&lt;EDATE($B$8,'Вводные'!$H$89)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OR(AG38&gt;0,AG$3&lt;=$B$8),AG$3&gt;=$B$7,AG$3&lt;EDATE($B$8,'Вводные'!$H$89)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OR(AH38&gt;0,AH$3&lt;=$B$8),AH$3&gt;=$B$7,AH$3&lt;EDATE($B$8,'Вводные'!$H$89)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OR(AI38&gt;0,AI$3&lt;=$B$8),AI$3&gt;=$B$7,AI$3&lt;EDATE($B$8,'Вводные'!$H$89)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OR(AJ38&gt;0,AJ$3&lt;=$B$8),AJ$3&gt;=$B$7,AJ$3&lt;EDATE($B$8,'Вводные'!$H$89)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OR(AK38&gt;0,AK$3&lt;=$B$8),AK$3&gt;=$B$7,AK$3&lt;EDATE($B$8,'Вводные'!$H$89)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OR(AL38&gt;0,AL$3&lt;=$B$8),AL$3&gt;=$B$7,AL$3&lt;EDATE($B$8,'Вводные'!$H$89)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OR(AM38&gt;0,AM$3&lt;=$B$8),AM$3&gt;=$B$7,AM$3&lt;EDATE($B$8,'Вводные'!$H$89)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OR(AN38&gt;0,AN$3&lt;=$B$8),AN$3&gt;=$B$7,AN$3&lt;EDATE($B$8,'Вводные'!$H$89)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OR(AO38&gt;0,AO$3&lt;=$B$8),AO$3&gt;=$B$7,AO$3&lt;EDATE($B$8,'Вводные'!$H$89)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OR(AP38&gt;0,AP$3&lt;=$B$8),AP$3&gt;=$B$7,AP$3&lt;EDATE($B$8,'Вводные'!$H$89)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OR(AQ38&gt;0,AQ$3&lt;=$B$8),AQ$3&gt;=$B$7,AQ$3&lt;EDATE($B$8,'Вводные'!$H$89)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OR(AR38&gt;0,AR$3&lt;=$B$8),AR$3&gt;=$B$7,AR$3&lt;EDATE($B$8,'Вводные'!$H$89)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OR(AS38&gt;0,AS$3&lt;=$B$8),AS$3&gt;=$B$7,AS$3&lt;EDATE($B$8,'Вводные'!$H$89)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OR(AT38&gt;0,AT$3&lt;=$B$8),AT$3&gt;=$B$7,AT$3&lt;EDATE($B$8,'Вводные'!$H$89)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OR(AU38&gt;0,AU$3&lt;=$B$8),AU$3&gt;=$B$7,AU$3&lt;EDATE($B$8,'Вводные'!$H$89)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OR(AV38&gt;0,AV$3&lt;=$B$8),AV$3&gt;=$B$7,AV$3&lt;EDATE($B$8,'Вводные'!$H$89)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OR(AW38&gt;0,AW$3&lt;=$B$8),AW$3&gt;=$B$7,AW$3&lt;EDATE($B$8,'Вводные'!$H$89)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OR(AX38&gt;0,AX$3&lt;=$B$8),AX$3&gt;=$B$7,AX$3&lt;EDATE($B$8,'Вводные'!$H$89)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OR(AY38&gt;0,AY$3&lt;=$B$8),AY$3&gt;=$B$7,AY$3&lt;EDATE($B$8,'Вводные'!$H$89)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OR(AZ38&gt;0,AZ$3&lt;=$B$8),AZ$3&gt;=$B$7,AZ$3&lt;EDATE($B$8,'Вводные'!$H$89)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OR(BA38&gt;0,BA$3&lt;=$B$8),BA$3&gt;=$B$7,BA$3&lt;EDATE($B$8,'Вводные'!$H$89)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OR(BB38&gt;0,BB$3&lt;=$B$8),BB$3&gt;=$B$7,BB$3&lt;EDATE($B$8,'Вводные'!$H$89)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OR(BC38&gt;0,BC$3&lt;=$B$8),BC$3&gt;=$B$7,BC$3&lt;EDATE($B$8,'Вводные'!$H$89)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OR(BD38&gt;0,BD$3&lt;=$B$8),BD$3&gt;=$B$7,BD$3&lt;EDATE($B$8,'Вводные'!$H$89)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OR(BE38&gt;0,BE$3&lt;=$B$8),BE$3&gt;=$B$7,BE$3&lt;EDATE($B$8,'Вводные'!$H$89)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OR(BF38&gt;0,BF$3&lt;=$B$8),BF$3&gt;=$B$7,BF$3&lt;EDATE($B$8,'Вводные'!$H$89)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OR(BG38&gt;0,BG$3&lt;=$B$8),BG$3&gt;=$B$7,BG$3&lt;EDATE($B$8,'Вводные'!$H$89)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OR(BH38&gt;0,BH$3&lt;=$B$8),BH$3&gt;=$B$7,BH$3&lt;EDATE($B$8,'Вводные'!$H$89)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OR(BI38&gt;0,BI$3&lt;=$B$8),BI$3&gt;=$B$7,BI$3&lt;EDATE($B$8,'Вводные'!$H$89)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OR(BJ38&gt;0,BJ$3&lt;=$B$8),BJ$3&gt;=$B$7,BJ$3&lt;EDATE($B$8,'Вводные'!$H$89)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OR(BK38&gt;0,BK$3&lt;=$B$8),BK$3&gt;=$B$7,BK$3&lt;EDATE($B$8,'Вводные'!$H$89)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OR(BL38&gt;0,BL$3&lt;=$B$8),BL$3&gt;=$B$7,BL$3&lt;EDATE($B$8,'Вводные'!$H$89)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OR(BM38&gt;0,BM$3&lt;=$B$8),BM$3&gt;=$B$7,BM$3&lt;EDATE($B$8,'Вводные'!$H$89)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OR(BN38&gt;0,BN$3&lt;=$B$8),BN$3&gt;=$B$7,BN$3&lt;EDATE($B$8,'Вводные'!$H$89)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OR(BO38&gt;0,BO$3&lt;=$B$8),BO$3&gt;=$B$7,BO$3&lt;EDATE($B$8,'Вводные'!$H$89)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OR(BP38&gt;0,BP$3&lt;=$B$8),BP$3&gt;=$B$7,BP$3&lt;EDATE($B$8,'Вводные'!$H$89)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OR(BQ38&gt;0,BQ$3&lt;=$B$8),BQ$3&gt;=$B$7,BQ$3&lt;EDATE($B$8,'Вводные'!$H$89)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OR(BR38&gt;0,BR$3&lt;=$B$8),BR$3&gt;=$B$7,BR$3&lt;EDATE($B$8,'Вводные'!$H$89)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OR(BS38&gt;0,BS$3&lt;=$B$8),BS$3&gt;=$B$7,BS$3&lt;EDATE($B$8,'Вводные'!$H$89)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OR(BT38&gt;0,BT$3&lt;=$B$8),BT$3&gt;=$B$7,BT$3&lt;EDATE($B$8,'Вводные'!$H$89)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OR(BU38&gt;0,BU$3&lt;=$B$8),BU$3&gt;=$B$7,BU$3&lt;EDATE($B$8,'Вводные'!$H$89)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OR(BV38&gt;0,BV$3&lt;=$B$8),BV$3&gt;=$B$7,BV$3&lt;EDATE($B$8,'Вводные'!$H$89)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OR(BW38&gt;0,BW$3&lt;=$B$8),BW$3&gt;=$B$7,BW$3&lt;EDATE($B$8,'Вводные'!$H$89)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OR(BX38&gt;0,BX$3&lt;=$B$8),BX$3&gt;=$B$7,BX$3&lt;EDATE($B$8,'Вводные'!$H$89)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OR(BY38&gt;0,BY$3&lt;=$B$8),BY$3&gt;=$B$7,BY$3&lt;EDATE($B$8,'Вводные'!$H$89)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OR(BZ38&gt;0,BZ$3&lt;=$B$8),BZ$3&gt;=$B$7,BZ$3&lt;EDATE($B$8,'Вводные'!$H$89)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OR(CA38&gt;0,CA$3&lt;=$B$8),CA$3&gt;=$B$7,CA$3&lt;EDATE($B$8,'Вводные'!$H$89)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OR(CB38&gt;0,CB$3&lt;=$B$8),CB$3&gt;=$B$7,CB$3&lt;EDATE($B$8,'Вводные'!$H$89)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OR(CC38&gt;0,CC$3&lt;=$B$8),CC$3&gt;=$B$7,CC$3&lt;EDATE($B$8,'Вводные'!$H$89)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OR(CD38&gt;0,CD$3&lt;=$B$8),CD$3&gt;=$B$7,CD$3&lt;EDATE($B$8,'Вводные'!$H$89)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OR(CE38&gt;0,CE$3&lt;=$B$8),CE$3&gt;=$B$7,CE$3&lt;EDATE($B$8,'Вводные'!$H$89)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OR(CF38&gt;0,CF$3&lt;=$B$8),CF$3&gt;=$B$7,CF$3&lt;EDATE($B$8,'Вводные'!$H$89)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OR(CG38&gt;0,CG$3&lt;=$B$8),CG$3&gt;=$B$7,CG$3&lt;EDATE($B$8,'Вводные'!$H$89)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OR(CH38&gt;0,CH$3&lt;=$B$8),CH$3&gt;=$B$7,CH$3&lt;EDATE($B$8,'Вводные'!$H$89)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OR(CI38&gt;0,CI$3&lt;=$B$8),CI$3&gt;=$B$7,CI$3&lt;EDATE($B$8,'Вводные'!$H$89)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OR(CJ38&gt;0,CJ$3&lt;=$B$8),CJ$3&gt;=$B$7,CJ$3&lt;EDATE($B$8,'Вводные'!$H$89)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OR(CK38&gt;0,CK$3&lt;=$B$8),CK$3&gt;=$B$7,CK$3&lt;EDATE($B$8,'Вводные'!$H$89)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OR(CL38&gt;0,CL$3&lt;=$B$8),CL$3&gt;=$B$7,CL$3&lt;EDATE($B$8,'Вводные'!$H$89)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OR(CM38&gt;0,CM$3&lt;=$B$8),CM$3&gt;=$B$7,CM$3&lt;EDATE($B$8,'Вводные'!$H$89)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OR(CN38&gt;0,CN$3&lt;=$B$8),CN$3&gt;=$B$7,CN$3&lt;EDATE($B$8,'Вводные'!$H$89)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OR(CO38&gt;0,CO$3&lt;=$B$8),CO$3&gt;=$B$7,CO$3&lt;EDATE($B$8,'Вводные'!$H$89)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OR(CP38&gt;0,CP$3&lt;=$B$8),CP$3&gt;=$B$7,CP$3&lt;EDATE($B$8,'Вводные'!$H$89)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OR(CQ38&gt;0,CQ$3&lt;=$B$8),CQ$3&gt;=$B$7,CQ$3&lt;EDATE($B$8,'Вводные'!$H$89)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OR(CR38&gt;0,CR$3&lt;=$B$8),CR$3&gt;=$B$7,CR$3&lt;EDATE($B$8,'Вводные'!$H$89)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OR(CS38&gt;0,CS$3&lt;=$B$8),CS$3&gt;=$B$7,CS$3&lt;EDATE($B$8,'Вводные'!$H$89)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OR(CT38&gt;0,CT$3&lt;=$B$8),CT$3&gt;=$B$7,CT$3&lt;EDATE($B$8,'Вводные'!$H$89)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OR(CU38&gt;0,CU$3&lt;=$B$8),CU$3&gt;=$B$7,CU$3&lt;EDATE($B$8,'Вводные'!$H$89)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OR(CV38&gt;0,CV$3&lt;=$B$8),CV$3&gt;=$B$7,CV$3&lt;EDATE($B$8,'Вводные'!$H$89)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OR(CW38&gt;0,CW$3&lt;=$B$8),CW$3&gt;=$B$7,CW$3&lt;EDATE($B$8,'Вводные'!$H$89)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OR(CX38&gt;0,CX$3&lt;=$B$8),CX$3&gt;=$B$7,CX$3&lt;EDATE($B$8,'Вводные'!$H$89)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OR(CY38&gt;0,CY$3&lt;=$B$8),CY$3&gt;=$B$7,CY$3&lt;EDATE($B$8,'Вводные'!$H$89)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OR(CZ38&gt;0,CZ$3&lt;=$B$8),CZ$3&gt;=$B$7,CZ$3&lt;EDATE($B$8,'Вводные'!$H$89)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OR(DA38&gt;0,DA$3&lt;=$B$8),DA$3&gt;=$B$7,DA$3&lt;EDATE($B$8,'Вводные'!$H$89)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OR(DB38&gt;0,DB$3&lt;=$B$8),DB$3&gt;=$B$7,DB$3&lt;EDATE($B$8,'Вводные'!$H$89)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OR(DC38&gt;0,DC$3&lt;=$B$8),DC$3&gt;=$B$7,DC$3&lt;EDATE($B$8,'Вводные'!$H$89)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OR(DD38&gt;0,DD$3&lt;=$B$8),DD$3&gt;=$B$7,DD$3&lt;EDATE($B$8,'Вводные'!$H$89)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OR(DE38&gt;0,DE$3&lt;=$B$8),DE$3&gt;=$B$7,DE$3&lt;EDATE($B$8,'Вводные'!$H$89)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OR(DF38&gt;0,DF$3&lt;=$B$8),DF$3&gt;=$B$7,DF$3&lt;EDATE($B$8,'Вводные'!$H$89)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OR(DG38&gt;0,DG$3&lt;=$B$8),DG$3&gt;=$B$7,DG$3&lt;EDATE($B$8,'Вводные'!$H$89)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OR(DH38&gt;0,DH$3&lt;=$B$8),DH$3&gt;=$B$7,DH$3&lt;EDATE($B$8,'Вводные'!$H$89)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OR(DI38&gt;0,DI$3&lt;=$B$8),DI$3&gt;=$B$7,DI$3&lt;EDATE($B$8,'Вводные'!$H$89)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OR(DJ38&gt;0,DJ$3&lt;=$B$8),DJ$3&gt;=$B$7,DJ$3&lt;EDATE($B$8,'Вводные'!$H$89)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OR(DK38&gt;0,DK$3&lt;=$B$8),DK$3&gt;=$B$7,DK$3&lt;EDATE($B$8,'Вводные'!$H$89)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OR(DL38&gt;0,DL$3&lt;=$B$8),DL$3&gt;=$B$7,DL$3&lt;EDATE($B$8,'Вводные'!$H$89)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OR(DM38&gt;0,DM$3&lt;=$B$8),DM$3&gt;=$B$7,DM$3&lt;EDATE($B$8,'Вводные'!$H$89)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OR(DN38&gt;0,DN$3&lt;=$B$8),DN$3&gt;=$B$7,DN$3&lt;EDATE($B$8,'Вводные'!$H$89)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OR(DO38&gt;0,DO$3&lt;=$B$8),DO$3&gt;=$B$7,DO$3&lt;EDATE($B$8,'Вводные'!$H$89)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OR(DP38&gt;0,DP$3&lt;=$B$8),DP$3&gt;=$B$7,DP$3&lt;EDATE($B$8,'Вводные'!$H$89)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OR(DQ38&gt;0,DQ$3&lt;=$B$8),DQ$3&gt;=$B$7,DQ$3&lt;EDATE($B$8,'Вводные'!$H$89)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OR(DR38&gt;0,DR$3&lt;=$B$8),DR$3&gt;=$B$7,DR$3&lt;EDATE($B$8,'Вводные'!$H$89)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OR(DS38&gt;0,DS$3&lt;=$B$8),DS$3&gt;=$B$7,DS$3&lt;EDATE($B$8,'Вводные'!$H$89)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0</x:v>
      </x:c>
      <x:c r="W44" s="117" t="n">
        <x:f>IF(W$3&gt;=$B$7,MAX(0,W20+W24+W35-W27),0)</x:f>
        <x:v>0</x:v>
      </x:c>
      <x:c r="X44" s="117" t="n">
        <x:f>IF(X$3&gt;=$B$7,MAX(0,X20+X24+X35-X27),0)</x:f>
        <x:v>0</x:v>
      </x:c>
      <x:c r="Y44" s="117" t="n">
        <x:f>IF(Y$3&gt;=$B$7,MAX(0,Y20+Y24+Y35-Y27),0)</x:f>
        <x:v>0</x:v>
      </x:c>
      <x:c r="Z44" s="117" t="n">
        <x:f>IF(Z$3&gt;=$B$7,MAX(0,Z20+Z24+Z35-Z27),0)</x:f>
        <x:v>0</x:v>
      </x:c>
      <x:c r="AA44" s="117" t="n">
        <x:f>IF(AA$3&gt;=$B$7,MAX(0,AA20+AA24+AA35-AA27),0)</x:f>
        <x:v>0</x:v>
      </x:c>
      <x:c r="AB44" s="117" t="n">
        <x:f>IF(AB$3&gt;=$B$7,MAX(0,AB20+AB24+AB35-AB27),0)</x:f>
        <x:v>0</x:v>
      </x:c>
      <x:c r="AC44" s="117" t="n">
        <x:f>IF(AC$3&gt;=$B$7,MAX(0,AC20+AC24+AC35-AC27),0)</x:f>
        <x:v>0</x:v>
      </x:c>
      <x:c r="AD44" s="117" t="n">
        <x:f>IF(AD$3&gt;=$B$7,MAX(0,AD20+AD24+AD35-AD27),0)</x:f>
        <x:v>0</x:v>
      </x:c>
      <x:c r="AE44" s="117" t="n">
        <x:f>IF(AE$3&gt;=$B$7,MAX(0,AE20+AE24+AE35-AE27),0)</x:f>
        <x:v>0</x:v>
      </x:c>
      <x:c r="AF44" s="117" t="n">
        <x:f>IF(AF$3&gt;=$B$7,MAX(0,AF20+AF24+AF35-AF27),0)</x:f>
        <x:v>0</x:v>
      </x:c>
      <x:c r="AG44" s="117" t="n">
        <x:f>IF(AG$3&gt;=$B$7,MAX(0,AG20+AG24+AG35-AG27),0)</x:f>
        <x:v>0</x:v>
      </x:c>
      <x:c r="AH44" s="117" t="n">
        <x:f>IF(AH$3&gt;=$B$7,MAX(0,AH20+AH24+AH35-AH27),0)</x:f>
        <x:v>0</x:v>
      </x:c>
      <x:c r="AI44" s="117" t="n">
        <x:f>IF(AI$3&gt;=$B$7,MAX(0,AI20+AI24+AI35-AI27),0)</x:f>
        <x:v>0</x:v>
      </x:c>
      <x:c r="AJ44" s="117" t="n">
        <x:f>IF(AJ$3&gt;=$B$7,MAX(0,AJ20+AJ24+AJ35-AJ27),0)</x:f>
        <x:v>0</x:v>
      </x:c>
      <x:c r="AK44" s="117" t="n">
        <x:f>IF(AK$3&gt;=$B$7,MAX(0,AK20+AK24+AK35-AK27),0)</x:f>
        <x:v>0</x:v>
      </x:c>
      <x:c r="AL44" s="117" t="n">
        <x:f>IF(AL$3&gt;=$B$7,MAX(0,AL20+AL24+AL35-AL27),0)</x:f>
        <x:v>0</x:v>
      </x:c>
      <x:c r="AM44" s="117" t="n">
        <x:f>IF(AM$3&gt;=$B$7,MAX(0,AM20+AM24+AM35-AM27),0)</x:f>
        <x:v>0</x:v>
      </x:c>
      <x:c r="AN44" s="117" t="n">
        <x:f>IF(AN$3&gt;=$B$7,MAX(0,AN20+AN24+AN35-AN27),0)</x:f>
        <x:v>0</x:v>
      </x:c>
      <x:c r="AO44" s="117" t="n">
        <x:f>IF(AO$3&gt;=$B$7,MAX(0,AO20+AO24+AO35-AO27),0)</x:f>
        <x:v>0</x:v>
      </x:c>
      <x:c r="AP44" s="117" t="n">
        <x:f>IF(AP$3&gt;=$B$7,MAX(0,AP20+AP24+AP35-AP27),0)</x:f>
        <x:v>0</x:v>
      </x:c>
      <x:c r="AQ44" s="117" t="n">
        <x:f>IF(AQ$3&gt;=$B$7,MAX(0,AQ20+AQ24+AQ35-AQ27),0)</x:f>
        <x:v>0</x:v>
      </x:c>
      <x:c r="AR44" s="117" t="n">
        <x:f>IF(AR$3&gt;=$B$7,MAX(0,AR20+AR24+AR35-AR27),0)</x:f>
        <x:v>0</x:v>
      </x:c>
      <x:c r="AS44" s="117" t="n">
        <x:f>IF(AS$3&gt;=$B$7,MAX(0,AS20+AS24+AS35-AS27),0)</x:f>
        <x:v>0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0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0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0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0</x:v>
      </x:c>
      <x:c r="W51" s="120" t="n">
        <x:f>W50-W49</x:f>
        <x:v>0</x:v>
      </x:c>
      <x:c r="X51" s="120" t="n">
        <x:f>X50-X49</x:f>
        <x:v>0</x:v>
      </x:c>
      <x:c r="Y51" s="120" t="n">
        <x:f>Y50-Y49</x:f>
        <x:v>0</x:v>
      </x:c>
      <x:c r="Z51" s="120" t="n">
        <x:f>Z50-Z49</x:f>
        <x:v>0</x:v>
      </x:c>
      <x:c r="AA51" s="120" t="n">
        <x:f>AA50-AA49</x:f>
        <x:v>0</x:v>
      </x:c>
      <x:c r="AB51" s="120" t="n">
        <x:f>AB50-AB49</x:f>
        <x:v>0</x:v>
      </x:c>
      <x:c r="AC51" s="120" t="n">
        <x:f>AC50-AC49</x:f>
        <x:v>0</x:v>
      </x:c>
      <x:c r="AD51" s="120" t="n">
        <x:f>AD50-AD49</x:f>
        <x:v>0</x:v>
      </x:c>
      <x:c r="AE51" s="120" t="n">
        <x:f>AE50-AE49</x:f>
        <x:v>0</x:v>
      </x:c>
      <x:c r="AF51" s="120" t="n">
        <x:f>AF50-AF49</x:f>
        <x:v>0</x:v>
      </x:c>
      <x:c r="AG51" s="120" t="n">
        <x:f>AG50-AG49</x:f>
        <x:v>0</x:v>
      </x:c>
      <x:c r="AH51" s="120" t="n">
        <x:f>AH50-AH49</x:f>
        <x:v>0</x:v>
      </x:c>
      <x:c r="AI51" s="120" t="n">
        <x:f>AI50-AI49</x:f>
        <x:v>0</x:v>
      </x:c>
      <x:c r="AJ51" s="120" t="n">
        <x:f>AJ50-AJ49</x:f>
        <x:v>0</x:v>
      </x:c>
      <x:c r="AK51" s="120" t="n">
        <x:f>AK50-AK49</x:f>
        <x:v>0</x:v>
      </x:c>
      <x:c r="AL51" s="120" t="n">
        <x:f>AL50-AL49</x:f>
        <x:v>0</x:v>
      </x:c>
      <x:c r="AM51" s="120" t="n">
        <x:f>AM50-AM49</x:f>
        <x:v>0</x:v>
      </x:c>
      <x:c r="AN51" s="120" t="n">
        <x:f>AN50-AN49</x:f>
        <x:v>0</x:v>
      </x:c>
      <x:c r="AO51" s="120" t="n">
        <x:f>AO50-AO49</x:f>
        <x:v>0</x:v>
      </x:c>
      <x:c r="AP51" s="120" t="n">
        <x:f>AP50-AP49</x:f>
        <x:v>0</x:v>
      </x:c>
      <x:c r="AQ51" s="120" t="n">
        <x:f>AQ50-AQ49</x:f>
        <x:v>0</x:v>
      </x:c>
      <x:c r="AR51" s="120" t="n">
        <x:f>AR50-AR49</x:f>
        <x:v>0</x:v>
      </x:c>
      <x:c r="AS51" s="120" t="n">
        <x:f>AS50-AS49</x:f>
        <x:v>0</x:v>
      </x:c>
      <x:c r="AT51" s="120" t="n">
        <x:f>AT50-AT49</x:f>
        <x:v>0</x:v>
      </x:c>
      <x:c r="AU51" s="120" t="n">
        <x:f>AU50-AU49</x:f>
        <x:v>0</x:v>
      </x:c>
      <x:c r="AV51" s="120" t="n">
        <x:f>AV50-AV49</x:f>
        <x:v>0</x:v>
      </x:c>
      <x:c r="AW51" s="120" t="n">
        <x:f>AW50-AW49</x:f>
        <x:v>0</x:v>
      </x:c>
      <x:c r="AX51" s="120" t="n">
        <x:f>AX50-AX49</x:f>
        <x:v>0</x:v>
      </x:c>
      <x:c r="AY51" s="120" t="n">
        <x:f>AY50-AY49</x:f>
        <x:v>0</x:v>
      </x:c>
      <x:c r="AZ51" s="120" t="n">
        <x:f>AZ50-AZ49</x:f>
        <x:v>0</x:v>
      </x:c>
      <x:c r="BA51" s="120" t="n">
        <x:f>BA50-BA49</x:f>
        <x:v>0</x:v>
      </x:c>
      <x:c r="BB51" s="120" t="n">
        <x:f>BB50-BB49</x:f>
        <x:v>0</x:v>
      </x:c>
      <x:c r="BC51" s="120" t="n">
        <x:f>BC50-BC49</x:f>
        <x:v>0</x:v>
      </x:c>
      <x:c r="BD51" s="120" t="n">
        <x:f>BD50-BD49</x:f>
        <x:v>0</x:v>
      </x:c>
      <x:c r="BE51" s="120" t="n">
        <x:f>BE50-BE49</x:f>
        <x:v>0</x:v>
      </x:c>
      <x:c r="BF51" s="120" t="n">
        <x:f>BF50-BF49</x:f>
        <x:v>0</x:v>
      </x:c>
      <x:c r="BG51" s="120" t="n">
        <x:f>BG50-BG49</x:f>
        <x:v>0</x:v>
      </x:c>
      <x:c r="BH51" s="120" t="n">
        <x:f>BH50-BH49</x:f>
        <x:v>0</x:v>
      </x:c>
      <x:c r="BI51" s="120" t="n">
        <x:f>BI50-BI49</x:f>
        <x:v>0</x:v>
      </x:c>
      <x:c r="BJ51" s="120" t="n">
        <x:f>BJ50-BJ49</x:f>
        <x:v>0</x:v>
      </x:c>
      <x:c r="BK51" s="120" t="n">
        <x:f>BK50-BK49</x:f>
        <x:v>0</x:v>
      </x:c>
      <x:c r="BL51" s="120" t="n">
        <x:f>BL50-BL49</x:f>
        <x:v>0</x:v>
      </x:c>
      <x:c r="BM51" s="120" t="n">
        <x:f>BM50-BM49</x:f>
        <x:v>0</x:v>
      </x:c>
      <x:c r="BN51" s="120" t="n">
        <x:f>BN50-BN49</x:f>
        <x:v>0</x:v>
      </x:c>
      <x:c r="BO51" s="120" t="n">
        <x:f>BO50-BO49</x:f>
        <x:v>0</x:v>
      </x:c>
      <x:c r="BP51" s="120" t="n">
        <x:f>BP50-BP49</x:f>
        <x:v>0</x:v>
      </x:c>
      <x:c r="BQ51" s="120" t="n">
        <x:f>BQ50-BQ49</x:f>
        <x:v>0</x:v>
      </x:c>
      <x:c r="BR51" s="120" t="n">
        <x:f>BR50-BR49</x:f>
        <x:v>0</x:v>
      </x:c>
      <x:c r="BS51" s="120" t="n">
        <x:f>BS50-BS49</x:f>
        <x:v>0</x:v>
      </x:c>
      <x:c r="BT51" s="120" t="n">
        <x:f>BT50-BT49</x:f>
        <x:v>0</x:v>
      </x:c>
      <x:c r="BU51" s="120" t="n">
        <x:f>BU50-BU49</x:f>
        <x:v>0</x:v>
      </x:c>
      <x:c r="BV51" s="120" t="n">
        <x:f>BV50-BV49</x:f>
        <x:v>0</x:v>
      </x:c>
      <x:c r="BW51" s="120" t="n">
        <x:f>BW50-BW49</x:f>
        <x:v>0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0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0</x:v>
      </x:c>
      <x:c r="W52" s="117" t="n">
        <x:f>V52+W51</x:f>
        <x:v>0</x:v>
      </x:c>
      <x:c r="X52" s="117" t="n">
        <x:f>W52+X51</x:f>
        <x:v>0</x:v>
      </x:c>
      <x:c r="Y52" s="117" t="n">
        <x:f>X52+Y51</x:f>
        <x:v>0</x:v>
      </x:c>
      <x:c r="Z52" s="117" t="n">
        <x:f>Y52+Z51</x:f>
        <x:v>0</x:v>
      </x:c>
      <x:c r="AA52" s="117" t="n">
        <x:f>Z52+AA51</x:f>
        <x:v>0</x:v>
      </x:c>
      <x:c r="AB52" s="117" t="n">
        <x:f>AA52+AB51</x:f>
        <x:v>0</x:v>
      </x:c>
      <x:c r="AC52" s="117" t="n">
        <x:f>AB52+AC51</x:f>
        <x:v>0</x:v>
      </x:c>
      <x:c r="AD52" s="117" t="n">
        <x:f>AC52+AD51</x:f>
        <x:v>0</x:v>
      </x:c>
      <x:c r="AE52" s="117" t="n">
        <x:f>AD52+AE51</x:f>
        <x:v>0</x:v>
      </x:c>
      <x:c r="AF52" s="117" t="n">
        <x:f>AE52+AF51</x:f>
        <x:v>0</x:v>
      </x:c>
      <x:c r="AG52" s="117" t="n">
        <x:f>AF52+AG51</x:f>
        <x:v>0</x:v>
      </x:c>
      <x:c r="AH52" s="117" t="n">
        <x:f>AG52+AH51</x:f>
        <x:v>0</x:v>
      </x:c>
      <x:c r="AI52" s="117" t="n">
        <x:f>AH52+AI51</x:f>
        <x:v>0</x:v>
      </x:c>
      <x:c r="AJ52" s="117" t="n">
        <x:f>AI52+AJ51</x:f>
        <x:v>0</x:v>
      </x:c>
      <x:c r="AK52" s="117" t="n">
        <x:f>AJ52+AK51</x:f>
        <x:v>0</x:v>
      </x:c>
      <x:c r="AL52" s="117" t="n">
        <x:f>AK52+AL51</x:f>
        <x:v>0</x:v>
      </x:c>
      <x:c r="AM52" s="117" t="n">
        <x:f>AL52+AM51</x:f>
        <x:v>0</x:v>
      </x:c>
      <x:c r="AN52" s="117" t="n">
        <x:f>AM52+AN51</x:f>
        <x:v>0</x:v>
      </x:c>
      <x:c r="AO52" s="117" t="n">
        <x:f>AN52+AO51</x:f>
        <x:v>0</x:v>
      </x:c>
      <x:c r="AP52" s="117" t="n">
        <x:f>AO52+AP51</x:f>
        <x:v>0</x:v>
      </x:c>
      <x:c r="AQ52" s="117" t="n">
        <x:f>AP52+AQ51</x:f>
        <x:v>0</x:v>
      </x:c>
      <x:c r="AR52" s="117" t="n">
        <x:f>AQ52+AR51</x:f>
        <x:v>0</x:v>
      </x:c>
      <x:c r="AS52" s="117" t="n">
        <x:f>AR52+AS51</x:f>
        <x:v>0</x:v>
      </x:c>
      <x:c r="AT52" s="117" t="n">
        <x:f>AS52+AT51</x:f>
        <x:v>0</x:v>
      </x:c>
      <x:c r="AU52" s="117" t="n">
        <x:f>AT52+AU51</x:f>
        <x:v>0</x:v>
      </x:c>
      <x:c r="AV52" s="117" t="n">
        <x:f>AU52+AV51</x:f>
        <x:v>0</x:v>
      </x:c>
      <x:c r="AW52" s="117" t="n">
        <x:f>AV52+AW51</x:f>
        <x:v>0</x:v>
      </x:c>
      <x:c r="AX52" s="117" t="n">
        <x:f>AW52+AX51</x:f>
        <x:v>0</x:v>
      </x:c>
      <x:c r="AY52" s="117" t="n">
        <x:f>AX52+AY51</x:f>
        <x:v>0</x:v>
      </x:c>
      <x:c r="AZ52" s="117" t="n">
        <x:f>AY52+AZ51</x:f>
        <x:v>0</x:v>
      </x:c>
      <x:c r="BA52" s="117" t="n">
        <x:f>AZ52+BA51</x:f>
        <x:v>0</x:v>
      </x:c>
      <x:c r="BB52" s="117" t="n">
        <x:f>BA52+BB51</x:f>
        <x:v>0</x:v>
      </x:c>
      <x:c r="BC52" s="117" t="n">
        <x:f>BB52+BC51</x:f>
        <x:v>0</x:v>
      </x:c>
      <x:c r="BD52" s="117" t="n">
        <x:f>BC52+BD51</x:f>
        <x:v>0</x:v>
      </x:c>
      <x:c r="BE52" s="117" t="n">
        <x:f>BD52+BE51</x:f>
        <x:v>0</x:v>
      </x:c>
      <x:c r="BF52" s="117" t="n">
        <x:f>BE52+BF51</x:f>
        <x:v>0</x:v>
      </x:c>
      <x:c r="BG52" s="117" t="n">
        <x:f>BF52+BG51</x:f>
        <x:v>0</x:v>
      </x:c>
      <x:c r="BH52" s="117" t="n">
        <x:f>BG52+BH51</x:f>
        <x:v>0</x:v>
      </x:c>
      <x:c r="BI52" s="117" t="n">
        <x:f>BH52+BI51</x:f>
        <x:v>0</x:v>
      </x:c>
      <x:c r="BJ52" s="117" t="n">
        <x:f>BI52+BJ51</x:f>
        <x:v>0</x:v>
      </x:c>
      <x:c r="BK52" s="117" t="n">
        <x:f>BJ52+BK51</x:f>
        <x:v>0</x:v>
      </x:c>
      <x:c r="BL52" s="117" t="n">
        <x:f>BK52+BL51</x:f>
        <x:v>0</x:v>
      </x:c>
      <x:c r="BM52" s="117" t="n">
        <x:f>BL52+BM51</x:f>
        <x:v>0</x:v>
      </x:c>
      <x:c r="BN52" s="117" t="n">
        <x:f>BM52+BN51</x:f>
        <x:v>0</x:v>
      </x:c>
      <x:c r="BO52" s="117" t="n">
        <x:f>BN52+BO51</x:f>
        <x:v>0</x:v>
      </x:c>
      <x:c r="BP52" s="117" t="n">
        <x:f>BO52+BP51</x:f>
        <x:v>0</x:v>
      </x:c>
      <x:c r="BQ52" s="117" t="n">
        <x:f>BP52+BQ51</x:f>
        <x:v>0</x:v>
      </x:c>
      <x:c r="BR52" s="117" t="n">
        <x:f>BQ52+BR51</x:f>
        <x:v>0</x:v>
      </x:c>
      <x:c r="BS52" s="117" t="n">
        <x:f>BR52+BS51</x:f>
        <x:v>0</x:v>
      </x:c>
      <x:c r="BT52" s="117" t="n">
        <x:f>BS52+BT51</x:f>
        <x:v>0</x:v>
      </x:c>
      <x:c r="BU52" s="117" t="n">
        <x:f>BT52+BU51</x:f>
        <x:v>0</x:v>
      </x:c>
      <x:c r="BV52" s="117" t="n">
        <x:f>BU52+BV51</x:f>
        <x:v>0</x:v>
      </x:c>
      <x:c r="BW52" s="117" t="n">
        <x:f>BV52+BW51</x:f>
        <x:v>0</x:v>
      </x:c>
      <x:c r="BX52" s="117" t="n">
        <x:f>BW52+BX51</x:f>
        <x:v>0</x:v>
      </x:c>
      <x:c r="BY52" s="117" t="n">
        <x:f>BX52+BY51</x:f>
        <x:v>0</x:v>
      </x:c>
      <x:c r="BZ52" s="117" t="n">
        <x:f>BY52+BZ51</x:f>
        <x:v>0</x:v>
      </x:c>
      <x:c r="CA52" s="117" t="n">
        <x:f>BZ52+CA51</x:f>
        <x:v>0</x:v>
      </x:c>
      <x:c r="CB52" s="117" t="n">
        <x:f>CA52+CB51</x:f>
        <x:v>0</x:v>
      </x:c>
      <x:c r="CC52" s="117" t="n">
        <x:f>CB52+CC51</x:f>
        <x:v>0</x:v>
      </x:c>
      <x:c r="CD52" s="117" t="n">
        <x:f>CC52+CD51</x:f>
        <x:v>0</x:v>
      </x:c>
      <x:c r="CE52" s="117" t="n">
        <x:f>CD52+CE51</x:f>
        <x:v>0</x:v>
      </x:c>
      <x:c r="CF52" s="117" t="n">
        <x:f>CE52+CF51</x:f>
        <x:v>0</x:v>
      </x:c>
      <x:c r="CG52" s="117" t="n">
        <x:f>CF52+CG51</x:f>
        <x:v>0</x:v>
      </x:c>
      <x:c r="CH52" s="117" t="n">
        <x:f>CG52+CH51</x:f>
        <x:v>0</x:v>
      </x:c>
      <x:c r="CI52" s="117" t="n">
        <x:f>CH52+CI51</x:f>
        <x:v>0</x:v>
      </x:c>
      <x:c r="CJ52" s="117" t="n">
        <x:f>CI52+CJ51</x:f>
        <x:v>0</x:v>
      </x:c>
      <x:c r="CK52" s="117" t="n">
        <x:f>CJ52+CK51</x:f>
        <x:v>0</x:v>
      </x:c>
      <x:c r="CL52" s="117" t="n">
        <x:f>CK52+CL51</x:f>
        <x:v>0</x:v>
      </x:c>
      <x:c r="CM52" s="117" t="n">
        <x:f>CL52+CM51</x:f>
        <x:v>0</x:v>
      </x:c>
      <x:c r="CN52" s="117" t="n">
        <x:f>CM52+CN51</x:f>
        <x:v>0</x:v>
      </x:c>
      <x:c r="CO52" s="117" t="n">
        <x:f>CN52+CO51</x:f>
        <x:v>0</x:v>
      </x:c>
      <x:c r="CP52" s="117" t="n">
        <x:f>CO52+CP51</x:f>
        <x:v>0</x:v>
      </x:c>
      <x:c r="CQ52" s="117" t="n">
        <x:f>CP52+CQ51</x:f>
        <x:v>0</x:v>
      </x:c>
      <x:c r="CR52" s="117" t="n">
        <x:f>CQ52+CR51</x:f>
        <x:v>0</x:v>
      </x:c>
      <x:c r="CS52" s="117" t="n">
        <x:f>CR52+CS51</x:f>
        <x:v>0</x:v>
      </x:c>
      <x:c r="CT52" s="117" t="n">
        <x:f>CS52+CT51</x:f>
        <x:v>0</x:v>
      </x:c>
      <x:c r="CU52" s="117" t="n">
        <x:f>CT52+CU51</x:f>
        <x:v>0</x:v>
      </x:c>
      <x:c r="CV52" s="117" t="n">
        <x:f>CU52+CV51</x:f>
        <x:v>0</x:v>
      </x:c>
      <x:c r="CW52" s="117" t="n">
        <x:f>CV52+CW51</x:f>
        <x:v>0</x:v>
      </x:c>
      <x:c r="CX52" s="117" t="n">
        <x:f>CW52+CX51</x:f>
        <x:v>0</x:v>
      </x:c>
      <x:c r="CY52" s="117" t="n">
        <x:f>CX52+CY51</x:f>
        <x:v>0</x:v>
      </x:c>
      <x:c r="CZ52" s="117" t="n">
        <x:f>CY52+CZ51</x:f>
        <x:v>0</x:v>
      </x:c>
      <x:c r="DA52" s="117" t="n">
        <x:f>CZ52+DA51</x:f>
        <x:v>0</x:v>
      </x:c>
      <x:c r="DB52" s="117" t="n">
        <x:f>DA52+DB51</x:f>
        <x:v>0</x:v>
      </x:c>
      <x:c r="DC52" s="117" t="n">
        <x:f>DB52+DC51</x:f>
        <x:v>0</x:v>
      </x:c>
      <x:c r="DD52" s="117" t="n">
        <x:f>DC52+DD51</x:f>
        <x:v>0</x:v>
      </x:c>
      <x:c r="DE52" s="117" t="n">
        <x:f>DD52+DE51</x:f>
        <x:v>0</x:v>
      </x:c>
      <x:c r="DF52" s="117" t="n">
        <x:f>DE52+DF51</x:f>
        <x:v>0</x:v>
      </x:c>
      <x:c r="DG52" s="117" t="n">
        <x:f>DF52+DG51</x:f>
        <x:v>0</x:v>
      </x:c>
      <x:c r="DH52" s="117" t="n">
        <x:f>DG52+DH51</x:f>
        <x:v>0</x:v>
      </x:c>
      <x:c r="DI52" s="117" t="n">
        <x:f>DH52+DI51</x:f>
        <x:v>0</x:v>
      </x:c>
      <x:c r="DJ52" s="117" t="n">
        <x:f>DI52+DJ51</x:f>
        <x:v>0</x:v>
      </x:c>
      <x:c r="DK52" s="117" t="n">
        <x:f>DJ52+DK51</x:f>
        <x:v>0</x:v>
      </x:c>
      <x:c r="DL52" s="117" t="n">
        <x:f>DK52+DL51</x:f>
        <x:v>0</x:v>
      </x:c>
      <x:c r="DM52" s="117" t="n">
        <x:f>DL52+DM51</x:f>
        <x:v>0</x:v>
      </x:c>
      <x:c r="DN52" s="117" t="n">
        <x:f>DM52+DN51</x:f>
        <x:v>0</x:v>
      </x:c>
      <x:c r="DO52" s="117" t="n">
        <x:f>DN52+DO51</x:f>
        <x:v>0</x:v>
      </x:c>
      <x:c r="DP52" s="117" t="n">
        <x:f>DO52+DP51</x:f>
        <x:v>0</x:v>
      </x:c>
      <x:c r="DQ52" s="117" t="n">
        <x:f>DP52+DQ51</x:f>
        <x:v>0</x:v>
      </x:c>
      <x:c r="DR52" s="117" t="n">
        <x:f>DQ52+DR51</x:f>
        <x:v>0</x:v>
      </x:c>
      <x:c r="DS52" s="117" t="n">
        <x:f>DR52+DS51</x:f>
        <x:v>0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0</x:v>
      </x:c>
      <x:c r="C54" s="113" t="str">
        <x:v>млн ₽</x:v>
      </x:c>
      <x:c r="D54" s="120" t="n">
        <x:f>D27-D20-D24</x:f>
        <x:v>0</x:v>
      </x:c>
      <x:c r="E54" s="120" t="n">
        <x:f>E27-E20-E24</x:f>
        <x:v>0</x:v>
      </x:c>
      <x:c r="F54" s="120" t="n">
        <x:f>F27-F20-F24</x:f>
        <x:v>0</x:v>
      </x:c>
      <x:c r="G54" s="120" t="n">
        <x:f>G27-G20-G24</x:f>
        <x:v>0</x:v>
      </x:c>
      <x:c r="H54" s="120" t="n">
        <x:f>H27-H20-H24</x:f>
        <x:v>0</x:v>
      </x:c>
      <x:c r="I54" s="120" t="n">
        <x:f>I27-I20-I24</x:f>
        <x:v>0</x:v>
      </x:c>
      <x:c r="J54" s="120" t="n">
        <x:f>J27-J20-J24</x:f>
        <x:v>0</x:v>
      </x:c>
      <x:c r="K54" s="120" t="n">
        <x:f>K27-K20-K24</x:f>
        <x:v>0</x:v>
      </x:c>
      <x:c r="L54" s="120" t="n">
        <x:f>L27-L20-L24</x:f>
        <x:v>0</x:v>
      </x:c>
      <x:c r="M54" s="120" t="n">
        <x:f>M27-M20-M24</x:f>
        <x:v>0</x:v>
      </x:c>
      <x:c r="N54" s="120" t="n">
        <x:f>N27-N20-N24</x:f>
        <x:v>0</x:v>
      </x:c>
      <x:c r="O54" s="120" t="n">
        <x:f>O27-O20-O24</x:f>
        <x:v>0</x:v>
      </x:c>
      <x:c r="P54" s="120" t="n">
        <x:f>P27-P20-P24</x:f>
        <x:v>0</x:v>
      </x:c>
      <x:c r="Q54" s="120" t="n">
        <x:f>Q27-Q20-Q24</x:f>
        <x:v>0</x:v>
      </x:c>
      <x:c r="R54" s="120" t="n">
        <x:f>R27-R20-R24</x:f>
        <x:v>0</x:v>
      </x:c>
      <x:c r="S54" s="120" t="n">
        <x:f>S27-S20-S24</x:f>
        <x:v>0</x:v>
      </x:c>
      <x:c r="T54" s="120" t="n">
        <x:f>T27-T20-T24</x:f>
        <x:v>0</x:v>
      </x:c>
      <x:c r="U54" s="120" t="n">
        <x:f>U27-U20-U24</x:f>
        <x:v>0</x:v>
      </x:c>
      <x:c r="V54" s="120" t="n">
        <x:f>V27-V20-V24</x:f>
        <x:v>0</x:v>
      </x:c>
      <x:c r="W54" s="120" t="n">
        <x:f>W27-W20-W24</x:f>
        <x:v>0</x:v>
      </x:c>
      <x:c r="X54" s="120" t="n">
        <x:f>X27-X20-X24</x:f>
        <x:v>0</x:v>
      </x:c>
      <x:c r="Y54" s="120" t="n">
        <x:f>Y27-Y20-Y24</x:f>
        <x:v>0</x:v>
      </x:c>
      <x:c r="Z54" s="120" t="n">
        <x:f>Z27-Z20-Z24</x:f>
        <x:v>0</x:v>
      </x:c>
      <x:c r="AA54" s="120" t="n">
        <x:f>AA27-AA20-AA24</x:f>
        <x:v>0</x:v>
      </x:c>
      <x:c r="AB54" s="120" t="n">
        <x:f>AB27-AB20-AB24</x:f>
        <x:v>0</x:v>
      </x:c>
      <x:c r="AC54" s="120" t="n">
        <x:f>AC27-AC20-AC24</x:f>
        <x:v>0</x:v>
      </x:c>
      <x:c r="AD54" s="120" t="n">
        <x:f>AD27-AD20-AD24</x:f>
        <x:v>0</x:v>
      </x:c>
      <x:c r="AE54" s="120" t="n">
        <x:f>AE27-AE20-AE24</x:f>
        <x:v>0</x:v>
      </x:c>
      <x:c r="AF54" s="120" t="n">
        <x:f>AF27-AF20-AF24</x:f>
        <x:v>0</x:v>
      </x:c>
      <x:c r="AG54" s="120" t="n">
        <x:f>AG27-AG20-AG24</x:f>
        <x:v>0</x:v>
      </x:c>
      <x:c r="AH54" s="120" t="n">
        <x:f>AH27-AH20-AH24</x:f>
        <x:v>0</x:v>
      </x:c>
      <x:c r="AI54" s="120" t="n">
        <x:f>AI27-AI20-AI24</x:f>
        <x:v>0</x:v>
      </x:c>
      <x:c r="AJ54" s="120" t="n">
        <x:f>AJ27-AJ20-AJ24</x:f>
        <x:v>0</x:v>
      </x:c>
      <x:c r="AK54" s="120" t="n">
        <x:f>AK27-AK20-AK24</x:f>
        <x:v>0</x:v>
      </x:c>
      <x:c r="AL54" s="120" t="n">
        <x:f>AL27-AL20-AL24</x:f>
        <x:v>0</x:v>
      </x:c>
      <x:c r="AM54" s="120" t="n">
        <x:f>AM27-AM20-AM24</x:f>
        <x:v>0</x:v>
      </x:c>
      <x:c r="AN54" s="120" t="n">
        <x:f>AN27-AN20-AN24</x:f>
        <x:v>0</x:v>
      </x:c>
      <x:c r="AO54" s="120" t="n">
        <x:f>AO27-AO20-AO24</x:f>
        <x:v>0</x:v>
      </x:c>
      <x:c r="AP54" s="120" t="n">
        <x:f>AP27-AP20-AP24</x:f>
        <x:v>0</x:v>
      </x:c>
      <x:c r="AQ54" s="120" t="n">
        <x:f>AQ27-AQ20-AQ24</x:f>
        <x:v>0</x:v>
      </x:c>
      <x:c r="AR54" s="120" t="n">
        <x:f>AR27-AR20-AR24</x:f>
        <x:v>0</x:v>
      </x:c>
      <x:c r="AS54" s="120" t="n">
        <x:f>AS27-AS20-AS24</x:f>
        <x:v>0</x:v>
      </x:c>
      <x:c r="AT54" s="120" t="n">
        <x:f>AT27-AT20-AT24</x:f>
        <x:v>0</x:v>
      </x:c>
      <x:c r="AU54" s="120" t="n">
        <x:f>AU27-AU20-AU24</x:f>
        <x:v>0</x:v>
      </x:c>
      <x:c r="AV54" s="120" t="n">
        <x:f>AV27-AV20-AV24</x:f>
        <x:v>0</x:v>
      </x:c>
      <x:c r="AW54" s="120" t="n">
        <x:f>AW27-AW20-AW24</x:f>
        <x:v>0</x:v>
      </x:c>
      <x:c r="AX54" s="120" t="n">
        <x:f>AX27-AX20-AX24</x:f>
        <x:v>0</x:v>
      </x:c>
      <x:c r="AY54" s="120" t="n">
        <x:f>AY27-AY20-AY24</x:f>
        <x:v>0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0</x:v>
      </x:c>
      <x:c r="C55" t="str">
        <x:v>млн ₽</x:v>
      </x:c>
      <x:c r="D55" s="117" t="n">
        <x:f>D54</x:f>
        <x:v>0</x:v>
      </x:c>
      <x:c r="E55" s="117" t="n">
        <x:f>D55+E54</x:f>
        <x:v>0</x:v>
      </x:c>
      <x:c r="F55" s="117" t="n">
        <x:f>E55+F54</x:f>
        <x:v>0</x:v>
      </x:c>
      <x:c r="G55" s="117" t="n">
        <x:f>F55+G54</x:f>
        <x:v>0</x:v>
      </x:c>
      <x:c r="H55" s="117" t="n">
        <x:f>G55+H54</x:f>
        <x:v>0</x:v>
      </x:c>
      <x:c r="I55" s="117" t="n">
        <x:f>H55+I54</x:f>
        <x:v>0</x:v>
      </x:c>
      <x:c r="J55" s="117" t="n">
        <x:f>I55+J54</x:f>
        <x:v>0</x:v>
      </x:c>
      <x:c r="K55" s="117" t="n">
        <x:f>J55+K54</x:f>
        <x:v>0</x:v>
      </x:c>
      <x:c r="L55" s="117" t="n">
        <x:f>K55+L54</x:f>
        <x:v>0</x:v>
      </x:c>
      <x:c r="M55" s="117" t="n">
        <x:f>L55+M54</x:f>
        <x:v>0</x:v>
      </x:c>
      <x:c r="N55" s="117" t="n">
        <x:f>M55+N54</x:f>
        <x:v>0</x:v>
      </x:c>
      <x:c r="O55" s="117" t="n">
        <x:f>N55+O54</x:f>
        <x:v>0</x:v>
      </x:c>
      <x:c r="P55" s="117" t="n">
        <x:f>O55+P54</x:f>
        <x:v>0</x:v>
      </x:c>
      <x:c r="Q55" s="117" t="n">
        <x:f>P55+Q54</x:f>
        <x:v>0</x:v>
      </x:c>
      <x:c r="R55" s="117" t="n">
        <x:f>Q55+R54</x:f>
        <x:v>0</x:v>
      </x:c>
      <x:c r="S55" s="117" t="n">
        <x:f>R55+S54</x:f>
        <x:v>0</x:v>
      </x:c>
      <x:c r="T55" s="117" t="n">
        <x:f>S55+T54</x:f>
        <x:v>0</x:v>
      </x:c>
      <x:c r="U55" s="117" t="n">
        <x:f>T55+U54</x:f>
        <x:v>0</x:v>
      </x:c>
      <x:c r="V55" s="117" t="n">
        <x:f>U55+V54</x:f>
        <x:v>0</x:v>
      </x:c>
      <x:c r="W55" s="117" t="n">
        <x:f>V55+W54</x:f>
        <x:v>0</x:v>
      </x:c>
      <x:c r="X55" s="117" t="n">
        <x:f>W55+X54</x:f>
        <x:v>0</x:v>
      </x:c>
      <x:c r="Y55" s="117" t="n">
        <x:f>X55+Y54</x:f>
        <x:v>0</x:v>
      </x:c>
      <x:c r="Z55" s="117" t="n">
        <x:f>Y55+Z54</x:f>
        <x:v>0</x:v>
      </x:c>
      <x:c r="AA55" s="117" t="n">
        <x:f>Z55+AA54</x:f>
        <x:v>0</x:v>
      </x:c>
      <x:c r="AB55" s="117" t="n">
        <x:f>AA55+AB54</x:f>
        <x:v>0</x:v>
      </x:c>
      <x:c r="AC55" s="117" t="n">
        <x:f>AB55+AC54</x:f>
        <x:v>0</x:v>
      </x:c>
      <x:c r="AD55" s="117" t="n">
        <x:f>AC55+AD54</x:f>
        <x:v>0</x:v>
      </x:c>
      <x:c r="AE55" s="117" t="n">
        <x:f>AD55+AE54</x:f>
        <x:v>0</x:v>
      </x:c>
      <x:c r="AF55" s="117" t="n">
        <x:f>AE55+AF54</x:f>
        <x:v>0</x:v>
      </x:c>
      <x:c r="AG55" s="117" t="n">
        <x:f>AF55+AG54</x:f>
        <x:v>0</x:v>
      </x:c>
      <x:c r="AH55" s="117" t="n">
        <x:f>AG55+AH54</x:f>
        <x:v>0</x:v>
      </x:c>
      <x:c r="AI55" s="117" t="n">
        <x:f>AH55+AI54</x:f>
        <x:v>0</x:v>
      </x:c>
      <x:c r="AJ55" s="117" t="n">
        <x:f>AI55+AJ54</x:f>
        <x:v>0</x:v>
      </x:c>
      <x:c r="AK55" s="117" t="n">
        <x:f>AJ55+AK54</x:f>
        <x:v>0</x:v>
      </x:c>
      <x:c r="AL55" s="117" t="n">
        <x:f>AK55+AL54</x:f>
        <x:v>0</x:v>
      </x:c>
      <x:c r="AM55" s="117" t="n">
        <x:f>AL55+AM54</x:f>
        <x:v>0</x:v>
      </x:c>
      <x:c r="AN55" s="117" t="n">
        <x:f>AM55+AN54</x:f>
        <x:v>0</x:v>
      </x:c>
      <x:c r="AO55" s="117" t="n">
        <x:f>AN55+AO54</x:f>
        <x:v>0</x:v>
      </x:c>
      <x:c r="AP55" s="117" t="n">
        <x:f>AO55+AP54</x:f>
        <x:v>0</x:v>
      </x:c>
      <x:c r="AQ55" s="117" t="n">
        <x:f>AP55+AQ54</x:f>
        <x:v>0</x:v>
      </x:c>
      <x:c r="AR55" s="117" t="n">
        <x:f>AQ55+AR54</x:f>
        <x:v>0</x:v>
      </x:c>
      <x:c r="AS55" s="117" t="n">
        <x:f>AR55+AS54</x:f>
        <x:v>0</x:v>
      </x:c>
      <x:c r="AT55" s="117" t="n">
        <x:f>AS55+AT54</x:f>
        <x:v>0</x:v>
      </x:c>
      <x:c r="AU55" s="117" t="n">
        <x:f>AT55+AU54</x:f>
        <x:v>0</x:v>
      </x:c>
      <x:c r="AV55" s="117" t="n">
        <x:f>AU55+AV54</x:f>
        <x:v>0</x:v>
      </x:c>
      <x:c r="AW55" s="117" t="n">
        <x:f>AV55+AW54</x:f>
        <x:v>0</x:v>
      </x:c>
      <x:c r="AX55" s="117" t="n">
        <x:f>AW55+AX54</x:f>
        <x:v>0</x:v>
      </x:c>
      <x:c r="AY55" s="117" t="n">
        <x:f>AX55+AY54</x:f>
        <x:v>0</x:v>
      </x:c>
      <x:c r="AZ55" s="117" t="n">
        <x:f>AY55+AZ54</x:f>
        <x:v>0</x:v>
      </x:c>
      <x:c r="BA55" s="117" t="n">
        <x:f>AZ55+BA54</x:f>
        <x:v>0</x:v>
      </x:c>
      <x:c r="BB55" s="117" t="n">
        <x:f>BA55+BB54</x:f>
        <x:v>0</x:v>
      </x:c>
      <x:c r="BC55" s="117" t="n">
        <x:f>BB55+BC54</x:f>
        <x:v>0</x:v>
      </x:c>
      <x:c r="BD55" s="117" t="n">
        <x:f>BC55+BD54</x:f>
        <x:v>0</x:v>
      </x:c>
      <x:c r="BE55" s="117" t="n">
        <x:f>BD55+BE54</x:f>
        <x:v>0</x:v>
      </x:c>
      <x:c r="BF55" s="117" t="n">
        <x:f>BE55+BF54</x:f>
        <x:v>0</x:v>
      </x:c>
      <x:c r="BG55" s="117" t="n">
        <x:f>BF55+BG54</x:f>
        <x:v>0</x:v>
      </x:c>
      <x:c r="BH55" s="117" t="n">
        <x:f>BG55+BH54</x:f>
        <x:v>0</x:v>
      </x:c>
      <x:c r="BI55" s="117" t="n">
        <x:f>BH55+BI54</x:f>
        <x:v>0</x:v>
      </x:c>
      <x:c r="BJ55" s="117" t="n">
        <x:f>BI55+BJ54</x:f>
        <x:v>0</x:v>
      </x:c>
      <x:c r="BK55" s="117" t="n">
        <x:f>BJ55+BK54</x:f>
        <x:v>0</x:v>
      </x:c>
      <x:c r="BL55" s="117" t="n">
        <x:f>BK55+BL54</x:f>
        <x:v>0</x:v>
      </x:c>
      <x:c r="BM55" s="117" t="n">
        <x:f>BL55+BM54</x:f>
        <x:v>0</x:v>
      </x:c>
      <x:c r="BN55" s="117" t="n">
        <x:f>BM55+BN54</x:f>
        <x:v>0</x:v>
      </x:c>
      <x:c r="BO55" s="117" t="n">
        <x:f>BN55+BO54</x:f>
        <x:v>0</x:v>
      </x:c>
      <x:c r="BP55" s="117" t="n">
        <x:f>BO55+BP54</x:f>
        <x:v>0</x:v>
      </x:c>
      <x:c r="BQ55" s="117" t="n">
        <x:f>BP55+BQ54</x:f>
        <x:v>0</x:v>
      </x:c>
      <x:c r="BR55" s="117" t="n">
        <x:f>BQ55+BR54</x:f>
        <x:v>0</x:v>
      </x:c>
      <x:c r="BS55" s="117" t="n">
        <x:f>BR55+BS54</x:f>
        <x:v>0</x:v>
      </x:c>
      <x:c r="BT55" s="117" t="n">
        <x:f>BS55+BT54</x:f>
        <x:v>0</x:v>
      </x:c>
      <x:c r="BU55" s="117" t="n">
        <x:f>BT55+BU54</x:f>
        <x:v>0</x:v>
      </x:c>
      <x:c r="BV55" s="117" t="n">
        <x:f>BU55+BV54</x:f>
        <x:v>0</x:v>
      </x:c>
      <x:c r="BW55" s="117" t="n">
        <x:f>BV55+BW54</x:f>
        <x:v>0</x:v>
      </x:c>
      <x:c r="BX55" s="117" t="n">
        <x:f>BW55+BX54</x:f>
        <x:v>0</x:v>
      </x:c>
      <x:c r="BY55" s="117" t="n">
        <x:f>BX55+BY54</x:f>
        <x:v>0</x:v>
      </x:c>
      <x:c r="BZ55" s="117" t="n">
        <x:f>BY55+BZ54</x:f>
        <x:v>0</x:v>
      </x:c>
      <x:c r="CA55" s="117" t="n">
        <x:f>BZ55+CA54</x:f>
        <x:v>0</x:v>
      </x:c>
      <x:c r="CB55" s="117" t="n">
        <x:f>CA55+CB54</x:f>
        <x:v>0</x:v>
      </x:c>
      <x:c r="CC55" s="117" t="n">
        <x:f>CB55+CC54</x:f>
        <x:v>0</x:v>
      </x:c>
      <x:c r="CD55" s="117" t="n">
        <x:f>CC55+CD54</x:f>
        <x:v>0</x:v>
      </x:c>
      <x:c r="CE55" s="117" t="n">
        <x:f>CD55+CE54</x:f>
        <x:v>0</x:v>
      </x:c>
      <x:c r="CF55" s="117" t="n">
        <x:f>CE55+CF54</x:f>
        <x:v>0</x:v>
      </x:c>
      <x:c r="CG55" s="117" t="n">
        <x:f>CF55+CG54</x:f>
        <x:v>0</x:v>
      </x:c>
      <x:c r="CH55" s="117" t="n">
        <x:f>CG55+CH54</x:f>
        <x:v>0</x:v>
      </x:c>
      <x:c r="CI55" s="117" t="n">
        <x:f>CH55+CI54</x:f>
        <x:v>0</x:v>
      </x:c>
      <x:c r="CJ55" s="117" t="n">
        <x:f>CI55+CJ54</x:f>
        <x:v>0</x:v>
      </x:c>
      <x:c r="CK55" s="117" t="n">
        <x:f>CJ55+CK54</x:f>
        <x:v>0</x:v>
      </x:c>
      <x:c r="CL55" s="117" t="n">
        <x:f>CK55+CL54</x:f>
        <x:v>0</x:v>
      </x:c>
      <x:c r="CM55" s="117" t="n">
        <x:f>CL55+CM54</x:f>
        <x:v>0</x:v>
      </x:c>
      <x:c r="CN55" s="117" t="n">
        <x:f>CM55+CN54</x:f>
        <x:v>0</x:v>
      </x:c>
      <x:c r="CO55" s="117" t="n">
        <x:f>CN55+CO54</x:f>
        <x:v>0</x:v>
      </x:c>
      <x:c r="CP55" s="117" t="n">
        <x:f>CO55+CP54</x:f>
        <x:v>0</x:v>
      </x:c>
      <x:c r="CQ55" s="117" t="n">
        <x:f>CP55+CQ54</x:f>
        <x:v>0</x:v>
      </x:c>
      <x:c r="CR55" s="117" t="n">
        <x:f>CQ55+CR54</x:f>
        <x:v>0</x:v>
      </x:c>
      <x:c r="CS55" s="117" t="n">
        <x:f>CR55+CS54</x:f>
        <x:v>0</x:v>
      </x:c>
      <x:c r="CT55" s="117" t="n">
        <x:f>CS55+CT54</x:f>
        <x:v>0</x:v>
      </x:c>
      <x:c r="CU55" s="117" t="n">
        <x:f>CT55+CU54</x:f>
        <x:v>0</x:v>
      </x:c>
      <x:c r="CV55" s="117" t="n">
        <x:f>CU55+CV54</x:f>
        <x:v>0</x:v>
      </x:c>
      <x:c r="CW55" s="117" t="n">
        <x:f>CV55+CW54</x:f>
        <x:v>0</x:v>
      </x:c>
      <x:c r="CX55" s="117" t="n">
        <x:f>CW55+CX54</x:f>
        <x:v>0</x:v>
      </x:c>
      <x:c r="CY55" s="117" t="n">
        <x:f>CX55+CY54</x:f>
        <x:v>0</x:v>
      </x:c>
      <x:c r="CZ55" s="117" t="n">
        <x:f>CY55+CZ54</x:f>
        <x:v>0</x:v>
      </x:c>
      <x:c r="DA55" s="117" t="n">
        <x:f>CZ55+DA54</x:f>
        <x:v>0</x:v>
      </x:c>
      <x:c r="DB55" s="117" t="n">
        <x:f>DA55+DB54</x:f>
        <x:v>0</x:v>
      </x:c>
      <x:c r="DC55" s="117" t="n">
        <x:f>DB55+DC54</x:f>
        <x:v>0</x:v>
      </x:c>
      <x:c r="DD55" s="117" t="n">
        <x:f>DC55+DD54</x:f>
        <x:v>0</x:v>
      </x:c>
      <x:c r="DE55" s="117" t="n">
        <x:f>DD55+DE54</x:f>
        <x:v>0</x:v>
      </x:c>
      <x:c r="DF55" s="117" t="n">
        <x:f>DE55+DF54</x:f>
        <x:v>0</x:v>
      </x:c>
      <x:c r="DG55" s="117" t="n">
        <x:f>DF55+DG54</x:f>
        <x:v>0</x:v>
      </x:c>
      <x:c r="DH55" s="117" t="n">
        <x:f>DG55+DH54</x:f>
        <x:v>0</x:v>
      </x:c>
      <x:c r="DI55" s="117" t="n">
        <x:f>DH55+DI54</x:f>
        <x:v>0</x:v>
      </x:c>
      <x:c r="DJ55" s="117" t="n">
        <x:f>DI55+DJ54</x:f>
        <x:v>0</x:v>
      </x:c>
      <x:c r="DK55" s="117" t="n">
        <x:f>DJ55+DK54</x:f>
        <x:v>0</x:v>
      </x:c>
      <x:c r="DL55" s="117" t="n">
        <x:f>DK55+DL54</x:f>
        <x:v>0</x:v>
      </x:c>
      <x:c r="DM55" s="117" t="n">
        <x:f>DL55+DM54</x:f>
        <x:v>0</x:v>
      </x:c>
      <x:c r="DN55" s="117" t="n">
        <x:f>DM55+DN54</x:f>
        <x:v>0</x:v>
      </x:c>
      <x:c r="DO55" s="117" t="n">
        <x:f>DN55+DO54</x:f>
        <x:v>0</x:v>
      </x:c>
      <x:c r="DP55" s="117" t="n">
        <x:f>DO55+DP54</x:f>
        <x:v>0</x:v>
      </x:c>
      <x:c r="DQ55" s="117" t="n">
        <x:f>DP55+DQ54</x:f>
        <x:v>0</x:v>
      </x:c>
      <x:c r="DR55" s="117" t="n">
        <x:f>DQ55+DR54</x:f>
        <x:v>0</x:v>
      </x:c>
      <x:c r="DS55" s="117" t="n">
        <x:f>DR55+DS54</x:f>
        <x:v>0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0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  <x:v>0</x:v>
      </x:c>
      <x:c r="C67" s="99" t="str">
        <x:v>млн ₽</x:v>
      </x:c>
    </x:row>
    <x:row r="68">
      <x:c r="A68" s="99" t="str">
        <x:v>CAPEX</x:v>
      </x:c>
      <x:c r="B68" s="116" t="n">
        <x:f>B17</x:f>
        <x:v>0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0</x:v>
      </x:c>
      <x:c r="C69" s="99" t="str">
        <x:v>млн ₽</x:v>
      </x:c>
    </x:row>
    <x:row r="70">
      <x:c r="A70" s="99" t="str">
        <x:v>EBITDA</x:v>
      </x:c>
      <x:c r="B70" s="116" t="n">
        <x:f>B10-B20</x:f>
        <x:v>0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0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0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0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0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0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0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0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0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0</x:v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0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0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0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--('Вводные'!$B$90="Да")</x:f>
        <x:v>0</x:v>
      </x:c>
      <x:c r="C5" t="str">
        <x:v>0/1</x:v>
      </x:c>
      <x:c r="D5" t="n">
        <x:f>$B$5</x:f>
        <x:v>0</x:v>
      </x:c>
      <x:c r="E5" t="n">
        <x:f>$B$5</x:f>
        <x:v>0</x:v>
      </x:c>
      <x:c r="F5" t="n">
        <x:f>$B$5</x:f>
        <x:v>0</x:v>
      </x:c>
      <x:c r="G5" t="n">
        <x:f>$B$5</x:f>
        <x:v>0</x:v>
      </x:c>
      <x:c r="H5" t="n">
        <x:f>$B$5</x:f>
        <x:v>0</x:v>
      </x:c>
      <x:c r="I5" t="n">
        <x:f>$B$5</x:f>
        <x:v>0</x:v>
      </x:c>
      <x:c r="J5" t="n">
        <x:f>$B$5</x:f>
        <x:v>0</x:v>
      </x:c>
      <x:c r="K5" t="n">
        <x:f>$B$5</x:f>
        <x:v>0</x:v>
      </x:c>
      <x:c r="L5" t="n">
        <x:f>$B$5</x:f>
        <x:v>0</x:v>
      </x:c>
      <x:c r="M5" t="n">
        <x:f>$B$5</x:f>
        <x:v>0</x:v>
      </x:c>
      <x:c r="N5" t="n">
        <x:f>$B$5</x:f>
        <x:v>0</x:v>
      </x:c>
      <x:c r="O5" t="n">
        <x:f>$B$5</x:f>
        <x:v>0</x:v>
      </x:c>
      <x:c r="P5" t="n">
        <x:f>$B$5</x:f>
        <x:v>0</x:v>
      </x:c>
      <x:c r="Q5" t="n">
        <x:f>$B$5</x:f>
        <x:v>0</x:v>
      </x:c>
      <x:c r="R5" t="n">
        <x:f>$B$5</x:f>
        <x:v>0</x:v>
      </x:c>
      <x:c r="S5" t="n">
        <x:f>$B$5</x:f>
        <x:v>0</x:v>
      </x:c>
      <x:c r="T5" t="n">
        <x:f>$B$5</x:f>
        <x:v>0</x:v>
      </x:c>
      <x:c r="U5" t="n">
        <x:f>$B$5</x:f>
        <x:v>0</x:v>
      </x:c>
      <x:c r="V5" t="n">
        <x:f>$B$5</x:f>
        <x:v>0</x:v>
      </x:c>
      <x:c r="W5" t="n">
        <x:f>$B$5</x:f>
        <x:v>0</x:v>
      </x:c>
      <x:c r="X5" t="n">
        <x:f>$B$5</x:f>
        <x:v>0</x:v>
      </x:c>
      <x:c r="Y5" t="n">
        <x:f>$B$5</x:f>
        <x:v>0</x:v>
      </x:c>
      <x:c r="Z5" t="n">
        <x:f>$B$5</x:f>
        <x:v>0</x:v>
      </x:c>
      <x:c r="AA5" t="n">
        <x:f>$B$5</x:f>
        <x:v>0</x:v>
      </x:c>
      <x:c r="AB5" t="n">
        <x:f>$B$5</x:f>
        <x:v>0</x:v>
      </x:c>
      <x:c r="AC5" t="n">
        <x:f>$B$5</x:f>
        <x:v>0</x:v>
      </x:c>
      <x:c r="AD5" t="n">
        <x:f>$B$5</x:f>
        <x:v>0</x:v>
      </x:c>
      <x:c r="AE5" t="n">
        <x:f>$B$5</x:f>
        <x:v>0</x:v>
      </x:c>
      <x:c r="AF5" t="n">
        <x:f>$B$5</x:f>
        <x:v>0</x:v>
      </x:c>
      <x:c r="AG5" t="n">
        <x:f>$B$5</x:f>
        <x:v>0</x:v>
      </x:c>
      <x:c r="AH5" t="n">
        <x:f>$B$5</x:f>
        <x:v>0</x:v>
      </x:c>
      <x:c r="AI5" t="n">
        <x:f>$B$5</x:f>
        <x:v>0</x:v>
      </x:c>
      <x:c r="AJ5" t="n">
        <x:f>$B$5</x:f>
        <x:v>0</x:v>
      </x:c>
      <x:c r="AK5" t="n">
        <x:f>$B$5</x:f>
        <x:v>0</x:v>
      </x:c>
      <x:c r="AL5" t="n">
        <x:f>$B$5</x:f>
        <x:v>0</x:v>
      </x:c>
      <x:c r="AM5" t="n">
        <x:f>$B$5</x:f>
        <x:v>0</x:v>
      </x:c>
      <x:c r="AN5" t="n">
        <x:f>$B$5</x:f>
        <x:v>0</x:v>
      </x:c>
      <x:c r="AO5" t="n">
        <x:f>$B$5</x:f>
        <x:v>0</x:v>
      </x:c>
      <x:c r="AP5" t="n">
        <x:f>$B$5</x:f>
        <x:v>0</x:v>
      </x:c>
      <x:c r="AQ5" t="n">
        <x:f>$B$5</x:f>
        <x:v>0</x:v>
      </x:c>
      <x:c r="AR5" t="n">
        <x:f>$B$5</x:f>
        <x:v>0</x:v>
      </x:c>
      <x:c r="AS5" t="n">
        <x:f>$B$5</x:f>
        <x:v>0</x:v>
      </x:c>
      <x:c r="AT5" t="n">
        <x:f>$B$5</x:f>
        <x:v>0</x:v>
      </x:c>
      <x:c r="AU5" t="n">
        <x:f>$B$5</x:f>
        <x:v>0</x:v>
      </x:c>
      <x:c r="AV5" t="n">
        <x:f>$B$5</x:f>
        <x:v>0</x:v>
      </x:c>
      <x:c r="AW5" t="n">
        <x:f>$B$5</x:f>
        <x:v>0</x:v>
      </x:c>
      <x:c r="AX5" t="n">
        <x:f>$B$5</x:f>
        <x:v>0</x:v>
      </x:c>
      <x:c r="AY5" t="n">
        <x:f>$B$5</x:f>
        <x:v>0</x:v>
      </x:c>
      <x:c r="AZ5" t="n">
        <x:f>$B$5</x:f>
        <x:v>0</x:v>
      </x:c>
      <x:c r="BA5" t="n">
        <x:f>$B$5</x:f>
        <x:v>0</x:v>
      </x:c>
      <x:c r="BB5" t="n">
        <x:f>$B$5</x:f>
        <x:v>0</x:v>
      </x:c>
      <x:c r="BC5" t="n">
        <x:f>$B$5</x:f>
        <x:v>0</x:v>
      </x:c>
      <x:c r="BD5" t="n">
        <x:f>$B$5</x:f>
        <x:v>0</x:v>
      </x:c>
      <x:c r="BE5" t="n">
        <x:f>$B$5</x:f>
        <x:v>0</x:v>
      </x:c>
      <x:c r="BF5" t="n">
        <x:f>$B$5</x:f>
        <x:v>0</x:v>
      </x:c>
      <x:c r="BG5" t="n">
        <x:f>$B$5</x:f>
        <x:v>0</x:v>
      </x:c>
      <x:c r="BH5" t="n">
        <x:f>$B$5</x:f>
        <x:v>0</x:v>
      </x:c>
      <x:c r="BI5" t="n">
        <x:f>$B$5</x:f>
        <x:v>0</x:v>
      </x:c>
      <x:c r="BJ5" t="n">
        <x:f>$B$5</x:f>
        <x:v>0</x:v>
      </x:c>
      <x:c r="BK5" t="n">
        <x:f>$B$5</x:f>
        <x:v>0</x:v>
      </x:c>
      <x:c r="BL5" t="n">
        <x:f>$B$5</x:f>
        <x:v>0</x:v>
      </x:c>
      <x:c r="BM5" t="n">
        <x:f>$B$5</x:f>
        <x:v>0</x:v>
      </x:c>
      <x:c r="BN5" t="n">
        <x:f>$B$5</x:f>
        <x:v>0</x:v>
      </x:c>
      <x:c r="BO5" t="n">
        <x:f>$B$5</x:f>
        <x:v>0</x:v>
      </x:c>
      <x:c r="BP5" t="n">
        <x:f>$B$5</x:f>
        <x:v>0</x:v>
      </x:c>
      <x:c r="BQ5" t="n">
        <x:f>$B$5</x:f>
        <x:v>0</x:v>
      </x:c>
      <x:c r="BR5" t="n">
        <x:f>$B$5</x:f>
        <x:v>0</x:v>
      </x:c>
      <x:c r="BS5" t="n">
        <x:f>$B$5</x:f>
        <x:v>0</x:v>
      </x:c>
      <x:c r="BT5" t="n">
        <x:f>$B$5</x:f>
        <x:v>0</x:v>
      </x:c>
      <x:c r="BU5" t="n">
        <x:f>$B$5</x:f>
        <x:v>0</x:v>
      </x:c>
      <x:c r="BV5" t="n">
        <x:f>$B$5</x:f>
        <x:v>0</x:v>
      </x:c>
      <x:c r="BW5" t="n">
        <x:f>$B$5</x:f>
        <x:v>0</x:v>
      </x:c>
      <x:c r="BX5" t="n">
        <x:f>$B$5</x:f>
        <x:v>0</x:v>
      </x:c>
      <x:c r="BY5" t="n">
        <x:f>$B$5</x:f>
        <x:v>0</x:v>
      </x:c>
      <x:c r="BZ5" t="n">
        <x:f>$B$5</x:f>
        <x:v>0</x:v>
      </x:c>
      <x:c r="CA5" t="n">
        <x:f>$B$5</x:f>
        <x:v>0</x:v>
      </x:c>
      <x:c r="CB5" t="n">
        <x:f>$B$5</x:f>
        <x:v>0</x:v>
      </x:c>
      <x:c r="CC5" t="n">
        <x:f>$B$5</x:f>
        <x:v>0</x:v>
      </x:c>
      <x:c r="CD5" t="n">
        <x:f>$B$5</x:f>
        <x:v>0</x:v>
      </x:c>
      <x:c r="CE5" t="n">
        <x:f>$B$5</x:f>
        <x:v>0</x:v>
      </x:c>
      <x:c r="CF5" t="n">
        <x:f>$B$5</x:f>
        <x:v>0</x:v>
      </x:c>
      <x:c r="CG5" t="n">
        <x:f>$B$5</x:f>
        <x:v>0</x:v>
      </x:c>
      <x:c r="CH5" t="n">
        <x:f>$B$5</x:f>
        <x:v>0</x:v>
      </x:c>
      <x:c r="CI5" t="n">
        <x:f>$B$5</x:f>
        <x:v>0</x:v>
      </x:c>
      <x:c r="CJ5" t="n">
        <x:f>$B$5</x:f>
        <x:v>0</x:v>
      </x:c>
      <x:c r="CK5" t="n">
        <x:f>$B$5</x:f>
        <x:v>0</x:v>
      </x:c>
      <x:c r="CL5" t="n">
        <x:f>$B$5</x:f>
        <x:v>0</x:v>
      </x:c>
      <x:c r="CM5" t="n">
        <x:f>$B$5</x:f>
        <x:v>0</x:v>
      </x:c>
      <x:c r="CN5" t="n">
        <x:f>$B$5</x:f>
        <x:v>0</x:v>
      </x:c>
      <x:c r="CO5" t="n">
        <x:f>$B$5</x:f>
        <x:v>0</x:v>
      </x:c>
      <x:c r="CP5" t="n">
        <x:f>$B$5</x:f>
        <x:v>0</x:v>
      </x:c>
      <x:c r="CQ5" t="n">
        <x:f>$B$5</x:f>
        <x:v>0</x:v>
      </x:c>
      <x:c r="CR5" t="n">
        <x:f>$B$5</x:f>
        <x:v>0</x:v>
      </x:c>
      <x:c r="CS5" t="n">
        <x:f>$B$5</x:f>
        <x:v>0</x:v>
      </x:c>
      <x:c r="CT5" t="n">
        <x:f>$B$5</x:f>
        <x:v>0</x:v>
      </x:c>
      <x:c r="CU5" t="n">
        <x:f>$B$5</x:f>
        <x:v>0</x:v>
      </x:c>
      <x:c r="CV5" t="n">
        <x:f>$B$5</x:f>
        <x:v>0</x:v>
      </x:c>
      <x:c r="CW5" t="n">
        <x:f>$B$5</x:f>
        <x:v>0</x:v>
      </x:c>
      <x:c r="CX5" t="n">
        <x:f>$B$5</x:f>
        <x:v>0</x:v>
      </x:c>
      <x:c r="CY5" t="n">
        <x:f>$B$5</x:f>
        <x:v>0</x:v>
      </x:c>
      <x:c r="CZ5" t="n">
        <x:f>$B$5</x:f>
        <x:v>0</x:v>
      </x:c>
      <x:c r="DA5" t="n">
        <x:f>$B$5</x:f>
        <x:v>0</x:v>
      </x:c>
      <x:c r="DB5" t="n">
        <x:f>$B$5</x:f>
        <x:v>0</x:v>
      </x:c>
      <x:c r="DC5" t="n">
        <x:f>$B$5</x:f>
        <x:v>0</x:v>
      </x:c>
      <x:c r="DD5" t="n">
        <x:f>$B$5</x:f>
        <x:v>0</x:v>
      </x:c>
      <x:c r="DE5" t="n">
        <x:f>$B$5</x:f>
        <x:v>0</x:v>
      </x:c>
      <x:c r="DF5" t="n">
        <x:f>$B$5</x:f>
        <x:v>0</x:v>
      </x:c>
      <x:c r="DG5" t="n">
        <x:f>$B$5</x:f>
        <x:v>0</x:v>
      </x:c>
      <x:c r="DH5" t="n">
        <x:f>$B$5</x:f>
        <x:v>0</x:v>
      </x:c>
      <x:c r="DI5" t="n">
        <x:f>$B$5</x:f>
        <x:v>0</x:v>
      </x:c>
      <x:c r="DJ5" t="n">
        <x:f>$B$5</x:f>
        <x:v>0</x:v>
      </x:c>
      <x:c r="DK5" t="n">
        <x:f>$B$5</x:f>
        <x:v>0</x:v>
      </x:c>
      <x:c r="DL5" t="n">
        <x:f>$B$5</x:f>
        <x:v>0</x:v>
      </x:c>
      <x:c r="DM5" t="n">
        <x:f>$B$5</x:f>
        <x:v>0</x:v>
      </x:c>
      <x:c r="DN5" t="n">
        <x:f>$B$5</x:f>
        <x:v>0</x:v>
      </x:c>
      <x:c r="DO5" t="n">
        <x:f>$B$5</x:f>
        <x:v>0</x:v>
      </x:c>
      <x:c r="DP5" t="n">
        <x:f>$B$5</x:f>
        <x:v>0</x:v>
      </x:c>
      <x:c r="DQ5" t="n">
        <x:f>$B$5</x:f>
        <x:v>0</x:v>
      </x:c>
      <x:c r="DR5" t="n">
        <x:f>$B$5</x:f>
        <x:v>0</x:v>
      </x:c>
      <x:c r="DS5" t="n">
        <x:f>$B$5</x:f>
        <x:v>0</x:v>
      </x:c>
    </x:row>
    <x:row r="6">
      <x:c r="A6" t="str">
        <x:v>Начало очереди</x:v>
      </x:c>
      <x:c r="B6" s="106" t="n">
        <x:f>EDATE('Вводные'!$D$90,'Вводные'!$H$9)</x:f>
        <x:v>47849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  <x:v>48396</x:v>
      </x:c>
      <x:c r="C7" t="str">
        <x:v>дата</x:v>
      </x:c>
    </x:row>
    <x:row r="8">
      <x:c r="A8" t="str">
        <x:v>РВЭ</x:v>
      </x:c>
      <x:c r="B8" s="106" t="n">
        <x:f>EDATE(B7,'Вводные'!$F$90)</x:f>
        <x:v>49126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0</x:v>
      </x:c>
      <x:c r="C10" t="str">
        <x:v>млн ₽</x:v>
      </x:c>
      <x:c r="D10" s="117" t="n">
        <x:f>'Продажи'!D72+'ОБЪЕКТЫ'!D108</x:f>
        <x:v>0</x:v>
      </x:c>
      <x:c r="E10" s="117" t="n">
        <x:f>'Продажи'!E72+'ОБЪЕКТЫ'!E108</x:f>
        <x:v>0</x:v>
      </x:c>
      <x:c r="F10" s="117" t="n">
        <x:f>'Продажи'!F72+'ОБЪЕКТЫ'!F108</x:f>
        <x:v>0</x:v>
      </x:c>
      <x:c r="G10" s="117" t="n">
        <x:f>'Продажи'!G72+'ОБЪЕКТЫ'!G108</x:f>
        <x:v>0</x:v>
      </x:c>
      <x:c r="H10" s="117" t="n">
        <x:f>'Продажи'!H72+'ОБЪЕКТЫ'!H108</x:f>
        <x:v>0</x:v>
      </x:c>
      <x:c r="I10" s="117" t="n">
        <x:f>'Продажи'!I72+'ОБЪЕКТЫ'!I108</x:f>
        <x:v>0</x:v>
      </x:c>
      <x:c r="J10" s="117" t="n">
        <x:f>'Продажи'!J72+'ОБЪЕКТЫ'!J108</x:f>
        <x:v>0</x:v>
      </x:c>
      <x:c r="K10" s="117" t="n">
        <x:f>'Продажи'!K72+'ОБЪЕКТЫ'!K108</x:f>
        <x:v>0</x:v>
      </x:c>
      <x:c r="L10" s="117" t="n">
        <x:f>'Продажи'!L72+'ОБЪЕКТЫ'!L108</x:f>
        <x:v>0</x:v>
      </x:c>
      <x:c r="M10" s="117" t="n">
        <x:f>'Продажи'!M72+'ОБЪЕКТЫ'!M108</x:f>
        <x:v>0</x:v>
      </x:c>
      <x:c r="N10" s="117" t="n">
        <x:f>'Продажи'!N72+'ОБЪЕКТЫ'!N108</x:f>
        <x:v>0</x:v>
      </x:c>
      <x:c r="O10" s="117" t="n">
        <x:f>'Продажи'!O72+'ОБЪЕКТЫ'!O108</x:f>
        <x:v>0</x:v>
      </x:c>
      <x:c r="P10" s="117" t="n">
        <x:f>'Продажи'!P72+'ОБЪЕКТЫ'!P108</x:f>
        <x:v>0</x:v>
      </x:c>
      <x:c r="Q10" s="117" t="n">
        <x:f>'Продажи'!Q72+'ОБЪЕКТЫ'!Q108</x:f>
        <x:v>0</x:v>
      </x:c>
      <x:c r="R10" s="117" t="n">
        <x:f>'Продажи'!R72+'ОБЪЕКТЫ'!R108</x:f>
        <x:v>0</x:v>
      </x:c>
      <x:c r="S10" s="117" t="n">
        <x:f>'Продажи'!S72+'ОБЪЕКТЫ'!S108</x:f>
        <x:v>0</x:v>
      </x:c>
      <x:c r="T10" s="117" t="n">
        <x:f>'Продажи'!T72+'ОБЪЕКТЫ'!T108</x:f>
        <x:v>0</x:v>
      </x:c>
      <x:c r="U10" s="117" t="n">
        <x:f>'Продажи'!U72+'ОБЪЕКТЫ'!U108</x:f>
        <x:v>0</x:v>
      </x:c>
      <x:c r="V10" s="117" t="n">
        <x:f>'Продажи'!V72+'ОБЪЕКТЫ'!V108</x:f>
        <x:v>0</x:v>
      </x:c>
      <x:c r="W10" s="117" t="n">
        <x:f>'Продажи'!W72+'ОБЪЕКТЫ'!W108</x:f>
        <x:v>0</x:v>
      </x:c>
      <x:c r="X10" s="117" t="n">
        <x:f>'Продажи'!X72+'ОБЪЕКТЫ'!X108</x:f>
        <x:v>0</x:v>
      </x:c>
      <x:c r="Y10" s="117" t="n">
        <x:f>'Продажи'!Y72+'ОБЪЕКТЫ'!Y108</x:f>
        <x:v>0</x:v>
      </x:c>
      <x:c r="Z10" s="117" t="n">
        <x:f>'Продажи'!Z72+'ОБЪЕКТЫ'!Z108</x:f>
        <x:v>0</x:v>
      </x:c>
      <x:c r="AA10" s="117" t="n">
        <x:f>'Продажи'!AA72+'ОБЪЕКТЫ'!AA108</x:f>
        <x:v>0</x:v>
      </x:c>
      <x:c r="AB10" s="117" t="n">
        <x:f>'Продажи'!AB72+'ОБЪЕКТЫ'!AB108</x:f>
        <x:v>0</x:v>
      </x:c>
      <x:c r="AC10" s="117" t="n">
        <x:f>'Продажи'!AC72+'ОБЪЕКТЫ'!AC108</x:f>
        <x:v>0</x:v>
      </x:c>
      <x:c r="AD10" s="117" t="n">
        <x:f>'Продажи'!AD72+'ОБЪЕКТЫ'!AD108</x:f>
        <x:v>0</x:v>
      </x:c>
      <x:c r="AE10" s="117" t="n">
        <x:f>'Продажи'!AE72+'ОБЪЕКТЫ'!AE108</x:f>
        <x:v>0</x:v>
      </x:c>
      <x:c r="AF10" s="117" t="n">
        <x:f>'Продажи'!AF72+'ОБЪЕКТЫ'!AF108</x:f>
        <x:v>0</x:v>
      </x:c>
      <x:c r="AG10" s="117" t="n">
        <x:f>'Продажи'!AG72+'ОБЪЕКТЫ'!AG108</x:f>
        <x:v>0</x:v>
      </x:c>
      <x:c r="AH10" s="117" t="n">
        <x:f>'Продажи'!AH72+'ОБЪЕКТЫ'!AH108</x:f>
        <x:v>0</x:v>
      </x:c>
      <x:c r="AI10" s="117" t="n">
        <x:f>'Продажи'!AI72+'ОБЪЕКТЫ'!AI108</x:f>
        <x:v>0</x:v>
      </x:c>
      <x:c r="AJ10" s="117" t="n">
        <x:f>'Продажи'!AJ72+'ОБЪЕКТЫ'!AJ108</x:f>
        <x:v>0</x:v>
      </x:c>
      <x:c r="AK10" s="117" t="n">
        <x:f>'Продажи'!AK72+'ОБЪЕКТЫ'!AK108</x:f>
        <x:v>0</x:v>
      </x:c>
      <x:c r="AL10" s="117" t="n">
        <x:f>'Продажи'!AL72+'ОБЪЕКТЫ'!AL108</x:f>
        <x:v>0</x:v>
      </x:c>
      <x:c r="AM10" s="117" t="n">
        <x:f>'Продажи'!AM72+'ОБЪЕКТЫ'!AM108</x:f>
        <x:v>0</x:v>
      </x:c>
      <x:c r="AN10" s="117" t="n">
        <x:f>'Продажи'!AN72+'ОБЪЕКТЫ'!AN108</x:f>
        <x:v>0</x:v>
      </x:c>
      <x:c r="AO10" s="117" t="n">
        <x:f>'Продажи'!AO72+'ОБЪЕКТЫ'!AO108</x:f>
        <x:v>0</x:v>
      </x:c>
      <x:c r="AP10" s="117" t="n">
        <x:f>'Продажи'!AP72+'ОБЪЕКТЫ'!AP108</x:f>
        <x:v>0</x:v>
      </x:c>
      <x:c r="AQ10" s="117" t="n">
        <x:f>'Продажи'!AQ72+'ОБЪЕКТЫ'!AQ108</x:f>
        <x:v>0</x:v>
      </x:c>
      <x:c r="AR10" s="117" t="n">
        <x:f>'Продажи'!AR72+'ОБЪЕКТЫ'!AR108</x:f>
        <x:v>0</x:v>
      </x:c>
      <x:c r="AS10" s="117" t="n">
        <x:f>'Продажи'!AS72+'ОБЪЕКТЫ'!AS108</x:f>
        <x:v>0</x:v>
      </x:c>
      <x:c r="AT10" s="117" t="n">
        <x:f>'Продажи'!AT72+'ОБЪЕКТЫ'!AT108</x:f>
        <x:v>0</x:v>
      </x:c>
      <x:c r="AU10" s="117" t="n">
        <x:f>'Продажи'!AU72+'ОБЪЕКТЫ'!AU108</x:f>
        <x:v>0</x:v>
      </x:c>
      <x:c r="AV10" s="117" t="n">
        <x:f>'Продажи'!AV72+'ОБЪЕКТЫ'!AV108</x:f>
        <x:v>0</x:v>
      </x:c>
      <x:c r="AW10" s="117" t="n">
        <x:f>'Продажи'!AW72+'ОБЪЕКТЫ'!AW108</x:f>
        <x:v>0</x:v>
      </x:c>
      <x:c r="AX10" s="117" t="n">
        <x:f>'Продажи'!AX72+'ОБЪЕКТЫ'!AX108</x:f>
        <x:v>0</x:v>
      </x:c>
      <x:c r="AY10" s="117" t="n">
        <x:f>'Продажи'!AY72+'ОБЪЕКТЫ'!AY108</x:f>
        <x:v>0</x:v>
      </x:c>
      <x:c r="AZ10" s="117" t="n">
        <x:f>'Продажи'!AZ72+'ОБЪЕКТЫ'!AZ108</x:f>
        <x:v>0</x:v>
      </x:c>
      <x:c r="BA10" s="117" t="n">
        <x:f>'Продажи'!BA72+'ОБЪЕКТЫ'!BA108</x:f>
        <x:v>0</x:v>
      </x:c>
      <x:c r="BB10" s="117" t="n">
        <x:f>'Продажи'!BB72+'ОБЪЕКТЫ'!BB108</x:f>
        <x:v>0</x:v>
      </x:c>
      <x:c r="BC10" s="117" t="n">
        <x:f>'Продажи'!BC72+'ОБЪЕКТЫ'!BC108</x:f>
        <x:v>0</x:v>
      </x:c>
      <x:c r="BD10" s="117" t="n">
        <x:f>'Продажи'!BD72+'ОБЪЕКТЫ'!BD108</x:f>
        <x:v>0</x:v>
      </x:c>
      <x:c r="BE10" s="117" t="n">
        <x:f>'Продажи'!BE72+'ОБЪЕКТЫ'!BE108</x:f>
        <x:v>0</x:v>
      </x:c>
      <x:c r="BF10" s="117" t="n">
        <x:f>'Продажи'!BF72+'ОБЪЕКТЫ'!BF108</x:f>
        <x:v>0</x:v>
      </x:c>
      <x:c r="BG10" s="117" t="n">
        <x:f>'Продажи'!BG72+'ОБЪЕКТЫ'!BG108</x:f>
        <x:v>0</x:v>
      </x:c>
      <x:c r="BH10" s="117" t="n">
        <x:f>'Продажи'!BH72+'ОБЪЕКТЫ'!BH108</x:f>
        <x:v>0</x:v>
      </x:c>
      <x:c r="BI10" s="117" t="n">
        <x:f>'Продажи'!BI72+'ОБЪЕКТЫ'!BI108</x:f>
        <x:v>0</x:v>
      </x:c>
      <x:c r="BJ10" s="117" t="n">
        <x:f>'Продажи'!BJ72+'ОБЪЕКТЫ'!BJ108</x:f>
        <x:v>0</x:v>
      </x:c>
      <x:c r="BK10" s="117" t="n">
        <x:f>'Продажи'!BK72+'ОБЪЕКТЫ'!BK108</x:f>
        <x:v>0</x:v>
      </x:c>
      <x:c r="BL10" s="117" t="n">
        <x:f>'Продажи'!BL72+'ОБЪЕКТЫ'!BL108</x:f>
        <x:v>0</x:v>
      </x:c>
      <x:c r="BM10" s="117" t="n">
        <x:f>'Продажи'!BM72+'ОБЪЕКТЫ'!BM108</x:f>
        <x:v>0</x:v>
      </x:c>
      <x:c r="BN10" s="117" t="n">
        <x:f>'Продажи'!BN72+'ОБЪЕКТЫ'!BN108</x:f>
        <x:v>0</x:v>
      </x:c>
      <x:c r="BO10" s="117" t="n">
        <x:f>'Продажи'!BO72+'ОБЪЕКТЫ'!BO108</x:f>
        <x:v>0</x:v>
      </x:c>
      <x:c r="BP10" s="117" t="n">
        <x:f>'Продажи'!BP72+'ОБЪЕКТЫ'!BP108</x:f>
        <x:v>0</x:v>
      </x:c>
      <x:c r="BQ10" s="117" t="n">
        <x:f>'Продажи'!BQ72+'ОБЪЕКТЫ'!BQ108</x:f>
        <x:v>0</x:v>
      </x:c>
      <x:c r="BR10" s="117" t="n">
        <x:f>'Продажи'!BR72+'ОБЪЕКТЫ'!BR108</x:f>
        <x:v>0</x:v>
      </x:c>
      <x:c r="BS10" s="117" t="n">
        <x:f>'Продажи'!BS72+'ОБЪЕКТЫ'!BS108</x:f>
        <x:v>0</x:v>
      </x:c>
      <x:c r="BT10" s="117" t="n">
        <x:f>'Продажи'!BT72+'ОБЪЕКТЫ'!BT108</x:f>
        <x:v>0</x:v>
      </x:c>
      <x:c r="BU10" s="117" t="n">
        <x:f>'Продажи'!BU72+'ОБЪЕКТЫ'!BU108</x:f>
        <x:v>0</x:v>
      </x:c>
      <x:c r="BV10" s="117" t="n">
        <x:f>'Продажи'!BV72+'ОБЪЕКТЫ'!BV108</x:f>
        <x:v>0</x:v>
      </x:c>
      <x:c r="BW10" s="117" t="n">
        <x:f>'Продажи'!BW72+'ОБЪЕКТЫ'!BW108</x:f>
        <x:v>0</x:v>
      </x:c>
      <x:c r="BX10" s="117" t="n">
        <x:f>'Продажи'!BX72+'ОБЪЕКТЫ'!BX108</x:f>
        <x:v>0</x:v>
      </x:c>
      <x:c r="BY10" s="117" t="n">
        <x:f>'Продажи'!BY72+'ОБЪЕКТЫ'!BY108</x:f>
        <x:v>0</x:v>
      </x:c>
      <x:c r="BZ10" s="117" t="n">
        <x:f>'Продажи'!BZ72+'ОБЪЕКТЫ'!BZ108</x:f>
        <x:v>0</x:v>
      </x:c>
      <x:c r="CA10" s="117" t="n">
        <x:f>'Продажи'!CA72+'ОБЪЕКТЫ'!CA108</x:f>
        <x:v>0</x:v>
      </x:c>
      <x:c r="CB10" s="117" t="n">
        <x:f>'Продажи'!CB72+'ОБЪЕКТЫ'!CB108</x:f>
        <x:v>0</x:v>
      </x:c>
      <x:c r="CC10" s="117" t="n">
        <x:f>'Продажи'!CC72+'ОБЪЕКТЫ'!CC108</x:f>
        <x:v>0</x:v>
      </x:c>
      <x:c r="CD10" s="117" t="n">
        <x:f>'Продажи'!CD72+'ОБЪЕКТЫ'!CD108</x:f>
        <x:v>0</x:v>
      </x:c>
      <x:c r="CE10" s="117" t="n">
        <x:f>'Продажи'!CE72+'ОБЪЕКТЫ'!CE108</x:f>
        <x:v>0</x:v>
      </x:c>
      <x:c r="CF10" s="117" t="n">
        <x:f>'Продажи'!CF72+'ОБЪЕКТЫ'!CF108</x:f>
        <x:v>0</x:v>
      </x:c>
      <x:c r="CG10" s="117" t="n">
        <x:f>'Продажи'!CG72+'ОБЪЕКТЫ'!CG108</x:f>
        <x:v>0</x:v>
      </x:c>
      <x:c r="CH10" s="117" t="n">
        <x:f>'Продажи'!CH72+'ОБЪЕКТЫ'!CH108</x:f>
        <x:v>0</x:v>
      </x:c>
      <x:c r="CI10" s="117" t="n">
        <x:f>'Продажи'!CI72+'ОБЪЕКТЫ'!CI108</x:f>
        <x:v>0</x:v>
      </x:c>
      <x:c r="CJ10" s="117" t="n">
        <x:f>'Продажи'!CJ72+'ОБЪЕКТЫ'!CJ108</x:f>
        <x:v>0</x:v>
      </x:c>
      <x:c r="CK10" s="117" t="n">
        <x:f>'Продажи'!CK72+'ОБЪЕКТЫ'!CK108</x:f>
        <x:v>0</x:v>
      </x:c>
      <x:c r="CL10" s="117" t="n">
        <x:f>'Продажи'!CL72+'ОБЪЕКТЫ'!CL108</x:f>
        <x:v>0</x:v>
      </x:c>
      <x:c r="CM10" s="117" t="n">
        <x:f>'Продажи'!CM72+'ОБЪЕКТЫ'!CM108</x:f>
        <x:v>0</x:v>
      </x:c>
      <x:c r="CN10" s="117" t="n">
        <x:f>'Продажи'!CN72+'ОБЪЕКТЫ'!CN108</x:f>
        <x:v>0</x:v>
      </x:c>
      <x:c r="CO10" s="117" t="n">
        <x:f>'Продажи'!CO72+'ОБЪЕКТЫ'!CO108</x:f>
        <x:v>0</x:v>
      </x:c>
      <x:c r="CP10" s="117" t="n">
        <x:f>'Продажи'!CP72+'ОБЪЕКТЫ'!CP108</x:f>
        <x:v>0</x:v>
      </x:c>
      <x:c r="CQ10" s="117" t="n">
        <x:f>'Продажи'!CQ72+'ОБЪЕКТЫ'!CQ108</x:f>
        <x:v>0</x:v>
      </x:c>
      <x:c r="CR10" s="117" t="n">
        <x:f>'Продажи'!CR72+'ОБЪЕКТЫ'!CR108</x:f>
        <x:v>0</x:v>
      </x:c>
      <x:c r="CS10" s="117" t="n">
        <x:f>'Продажи'!CS72+'ОБЪЕКТЫ'!CS108</x:f>
        <x:v>0</x:v>
      </x:c>
      <x:c r="CT10" s="117" t="n">
        <x:f>'Продажи'!CT72+'ОБЪЕКТЫ'!CT108</x:f>
        <x:v>0</x:v>
      </x:c>
      <x:c r="CU10" s="117" t="n">
        <x:f>'Продажи'!CU72+'ОБЪЕКТЫ'!CU108</x:f>
        <x:v>0</x:v>
      </x:c>
      <x:c r="CV10" s="117" t="n">
        <x:f>'Продажи'!CV72+'ОБЪЕКТЫ'!CV108</x:f>
        <x:v>0</x:v>
      </x:c>
      <x:c r="CW10" s="117" t="n">
        <x:f>'Продажи'!CW72+'ОБЪЕКТЫ'!CW108</x:f>
        <x:v>0</x:v>
      </x:c>
      <x:c r="CX10" s="117" t="n">
        <x:f>'Продажи'!CX72+'ОБЪЕКТЫ'!CX108</x:f>
        <x:v>0</x:v>
      </x:c>
      <x:c r="CY10" s="117" t="n">
        <x:f>'Продажи'!CY72+'ОБЪЕКТЫ'!CY108</x:f>
        <x:v>0</x:v>
      </x:c>
      <x:c r="CZ10" s="117" t="n">
        <x:f>'Продажи'!CZ72+'ОБЪЕКТЫ'!CZ108</x:f>
        <x:v>0</x:v>
      </x:c>
      <x:c r="DA10" s="117" t="n">
        <x:f>'Продажи'!DA72+'ОБЪЕКТЫ'!DA108</x:f>
        <x:v>0</x:v>
      </x:c>
      <x:c r="DB10" s="117" t="n">
        <x:f>'Продажи'!DB72+'ОБЪЕКТЫ'!DB108</x:f>
        <x:v>0</x:v>
      </x:c>
      <x:c r="DC10" s="117" t="n">
        <x:f>'Продажи'!DC72+'ОБЪЕКТЫ'!DC108</x:f>
        <x:v>0</x:v>
      </x:c>
      <x:c r="DD10" s="117" t="n">
        <x:f>'Продажи'!DD72+'ОБЪЕКТЫ'!DD108</x:f>
        <x:v>0</x:v>
      </x:c>
      <x:c r="DE10" s="117" t="n">
        <x:f>'Продажи'!DE72+'ОБЪЕКТЫ'!DE108</x:f>
        <x:v>0</x:v>
      </x:c>
      <x:c r="DF10" s="117" t="n">
        <x:f>'Продажи'!DF72+'ОБЪЕКТЫ'!DF108</x:f>
        <x:v>0</x:v>
      </x:c>
      <x:c r="DG10" s="117" t="n">
        <x:f>'Продажи'!DG72+'ОБЪЕКТЫ'!DG108</x:f>
        <x:v>0</x:v>
      </x:c>
      <x:c r="DH10" s="117" t="n">
        <x:f>'Продажи'!DH72+'ОБЪЕКТЫ'!DH108</x:f>
        <x:v>0</x:v>
      </x:c>
      <x:c r="DI10" s="117" t="n">
        <x:f>'Продажи'!DI72+'ОБЪЕКТЫ'!DI108</x:f>
        <x:v>0</x:v>
      </x:c>
      <x:c r="DJ10" s="117" t="n">
        <x:f>'Продажи'!DJ72+'ОБЪЕКТЫ'!DJ108</x:f>
        <x:v>0</x:v>
      </x:c>
      <x:c r="DK10" s="117" t="n">
        <x:f>'Продажи'!DK72+'ОБЪЕКТЫ'!DK108</x:f>
        <x:v>0</x:v>
      </x:c>
      <x:c r="DL10" s="117" t="n">
        <x:f>'Продажи'!DL72+'ОБЪЕКТЫ'!DL108</x:f>
        <x:v>0</x:v>
      </x:c>
      <x:c r="DM10" s="117" t="n">
        <x:f>'Продажи'!DM72+'ОБЪЕКТЫ'!DM108</x:f>
        <x:v>0</x:v>
      </x:c>
      <x:c r="DN10" s="117" t="n">
        <x:f>'Продажи'!DN72+'ОБЪЕКТЫ'!DN108</x:f>
        <x:v>0</x:v>
      </x:c>
      <x:c r="DO10" s="117" t="n">
        <x:f>'Продажи'!DO72+'ОБЪЕКТЫ'!DO108</x:f>
        <x:v>0</x:v>
      </x:c>
      <x:c r="DP10" s="117" t="n">
        <x:f>'Продажи'!DP72+'ОБЪЕКТЫ'!DP108</x:f>
        <x:v>0</x:v>
      </x:c>
      <x:c r="DQ10" s="117" t="n">
        <x:f>'Продажи'!DQ72+'ОБЪЕКТЫ'!DQ108</x:f>
        <x:v>0</x:v>
      </x:c>
      <x:c r="DR10" s="117" t="n">
        <x:f>'Продажи'!DR72+'ОБЪЕКТЫ'!DR108</x:f>
        <x:v>0</x:v>
      </x:c>
      <x:c r="DS10" s="117" t="n">
        <x:f>'Продажи'!DS72+'ОБЪЕКТЫ'!DS108</x:f>
        <x:v>0</x:v>
      </x:c>
    </x:row>
    <x:row r="11">
      <x:c r="A11" t="str">
        <x:v>Поступления на эскроу</x:v>
      </x:c>
      <x:c r="B11" t="n">
        <x:f>SUM(D11:DS11)</x:f>
        <x:v>0</x:v>
      </x:c>
      <x:c r="C11" t="str">
        <x:v>млн ₽</x:v>
      </x:c>
      <x:c r="D11" s="117" t="n">
        <x:f>IF(D$3&lt;$B$8,'Продажи'!D72,0)+'ОБЪЕКТЫ'!D109</x:f>
        <x:v>0</x:v>
      </x:c>
      <x:c r="E11" s="117" t="n">
        <x:f>IF(E$3&lt;$B$8,'Продажи'!E72,0)+'ОБЪЕКТЫ'!E109</x:f>
        <x:v>0</x:v>
      </x:c>
      <x:c r="F11" s="117" t="n">
        <x:f>IF(F$3&lt;$B$8,'Продажи'!F72,0)+'ОБЪЕКТЫ'!F109</x:f>
        <x:v>0</x:v>
      </x:c>
      <x:c r="G11" s="117" t="n">
        <x:f>IF(G$3&lt;$B$8,'Продажи'!G72,0)+'ОБЪЕКТЫ'!G109</x:f>
        <x:v>0</x:v>
      </x:c>
      <x:c r="H11" s="117" t="n">
        <x:f>IF(H$3&lt;$B$8,'Продажи'!H72,0)+'ОБЪЕКТЫ'!H109</x:f>
        <x:v>0</x:v>
      </x:c>
      <x:c r="I11" s="117" t="n">
        <x:f>IF(I$3&lt;$B$8,'Продажи'!I72,0)+'ОБЪЕКТЫ'!I109</x:f>
        <x:v>0</x:v>
      </x:c>
      <x:c r="J11" s="117" t="n">
        <x:f>IF(J$3&lt;$B$8,'Продажи'!J72,0)+'ОБЪЕКТЫ'!J109</x:f>
        <x:v>0</x:v>
      </x:c>
      <x:c r="K11" s="117" t="n">
        <x:f>IF(K$3&lt;$B$8,'Продажи'!K72,0)+'ОБЪЕКТЫ'!K109</x:f>
        <x:v>0</x:v>
      </x:c>
      <x:c r="L11" s="117" t="n">
        <x:f>IF(L$3&lt;$B$8,'Продажи'!L72,0)+'ОБЪЕКТЫ'!L109</x:f>
        <x:v>0</x:v>
      </x:c>
      <x:c r="M11" s="117" t="n">
        <x:f>IF(M$3&lt;$B$8,'Продажи'!M72,0)+'ОБЪЕКТЫ'!M109</x:f>
        <x:v>0</x:v>
      </x:c>
      <x:c r="N11" s="117" t="n">
        <x:f>IF(N$3&lt;$B$8,'Продажи'!N72,0)+'ОБЪЕКТЫ'!N109</x:f>
        <x:v>0</x:v>
      </x:c>
      <x:c r="O11" s="117" t="n">
        <x:f>IF(O$3&lt;$B$8,'Продажи'!O72,0)+'ОБЪЕКТЫ'!O109</x:f>
        <x:v>0</x:v>
      </x:c>
      <x:c r="P11" s="117" t="n">
        <x:f>IF(P$3&lt;$B$8,'Продажи'!P72,0)+'ОБЪЕКТЫ'!P109</x:f>
        <x:v>0</x:v>
      </x:c>
      <x:c r="Q11" s="117" t="n">
        <x:f>IF(Q$3&lt;$B$8,'Продажи'!Q72,0)+'ОБЪЕКТЫ'!Q109</x:f>
        <x:v>0</x:v>
      </x:c>
      <x:c r="R11" s="117" t="n">
        <x:f>IF(R$3&lt;$B$8,'Продажи'!R72,0)+'ОБЪЕКТЫ'!R109</x:f>
        <x:v>0</x:v>
      </x:c>
      <x:c r="S11" s="117" t="n">
        <x:f>IF(S$3&lt;$B$8,'Продажи'!S72,0)+'ОБЪЕКТЫ'!S109</x:f>
        <x:v>0</x:v>
      </x:c>
      <x:c r="T11" s="117" t="n">
        <x:f>IF(T$3&lt;$B$8,'Продажи'!T72,0)+'ОБЪЕКТЫ'!T109</x:f>
        <x:v>0</x:v>
      </x:c>
      <x:c r="U11" s="117" t="n">
        <x:f>IF(U$3&lt;$B$8,'Продажи'!U72,0)+'ОБЪЕКТЫ'!U109</x:f>
        <x:v>0</x:v>
      </x:c>
      <x:c r="V11" s="117" t="n">
        <x:f>IF(V$3&lt;$B$8,'Продажи'!V72,0)+'ОБЪЕКТЫ'!V109</x:f>
        <x:v>0</x:v>
      </x:c>
      <x:c r="W11" s="117" t="n">
        <x:f>IF(W$3&lt;$B$8,'Продажи'!W72,0)+'ОБЪЕКТЫ'!W109</x:f>
        <x:v>0</x:v>
      </x:c>
      <x:c r="X11" s="117" t="n">
        <x:f>IF(X$3&lt;$B$8,'Продажи'!X72,0)+'ОБЪЕКТЫ'!X109</x:f>
        <x:v>0</x:v>
      </x:c>
      <x:c r="Y11" s="117" t="n">
        <x:f>IF(Y$3&lt;$B$8,'Продажи'!Y72,0)+'ОБЪЕКТЫ'!Y109</x:f>
        <x:v>0</x:v>
      </x:c>
      <x:c r="Z11" s="117" t="n">
        <x:f>IF(Z$3&lt;$B$8,'Продажи'!Z72,0)+'ОБЪЕКТЫ'!Z109</x:f>
        <x:v>0</x:v>
      </x:c>
      <x:c r="AA11" s="117" t="n">
        <x:f>IF(AA$3&lt;$B$8,'Продажи'!AA72,0)+'ОБЪЕКТЫ'!AA109</x:f>
        <x:v>0</x:v>
      </x:c>
      <x:c r="AB11" s="117" t="n">
        <x:f>IF(AB$3&lt;$B$8,'Продажи'!AB72,0)+'ОБЪЕКТЫ'!AB109</x:f>
        <x:v>0</x:v>
      </x:c>
      <x:c r="AC11" s="117" t="n">
        <x:f>IF(AC$3&lt;$B$8,'Продажи'!AC72,0)+'ОБЪЕКТЫ'!AC109</x:f>
        <x:v>0</x:v>
      </x:c>
      <x:c r="AD11" s="117" t="n">
        <x:f>IF(AD$3&lt;$B$8,'Продажи'!AD72,0)+'ОБЪЕКТЫ'!AD109</x:f>
        <x:v>0</x:v>
      </x:c>
      <x:c r="AE11" s="117" t="n">
        <x:f>IF(AE$3&lt;$B$8,'Продажи'!AE72,0)+'ОБЪЕКТЫ'!AE109</x:f>
        <x:v>0</x:v>
      </x:c>
      <x:c r="AF11" s="117" t="n">
        <x:f>IF(AF$3&lt;$B$8,'Продажи'!AF72,0)+'ОБЪЕКТЫ'!AF109</x:f>
        <x:v>0</x:v>
      </x:c>
      <x:c r="AG11" s="117" t="n">
        <x:f>IF(AG$3&lt;$B$8,'Продажи'!AG72,0)+'ОБЪЕКТЫ'!AG109</x:f>
        <x:v>0</x:v>
      </x:c>
      <x:c r="AH11" s="117" t="n">
        <x:f>IF(AH$3&lt;$B$8,'Продажи'!AH72,0)+'ОБЪЕКТЫ'!AH109</x:f>
        <x:v>0</x:v>
      </x:c>
      <x:c r="AI11" s="117" t="n">
        <x:f>IF(AI$3&lt;$B$8,'Продажи'!AI72,0)+'ОБЪЕКТЫ'!AI109</x:f>
        <x:v>0</x:v>
      </x:c>
      <x:c r="AJ11" s="117" t="n">
        <x:f>IF(AJ$3&lt;$B$8,'Продажи'!AJ72,0)+'ОБЪЕКТЫ'!AJ109</x:f>
        <x:v>0</x:v>
      </x:c>
      <x:c r="AK11" s="117" t="n">
        <x:f>IF(AK$3&lt;$B$8,'Продажи'!AK72,0)+'ОБЪЕКТЫ'!AK109</x:f>
        <x:v>0</x:v>
      </x:c>
      <x:c r="AL11" s="117" t="n">
        <x:f>IF(AL$3&lt;$B$8,'Продажи'!AL72,0)+'ОБЪЕКТЫ'!AL109</x:f>
        <x:v>0</x:v>
      </x:c>
      <x:c r="AM11" s="117" t="n">
        <x:f>IF(AM$3&lt;$B$8,'Продажи'!AM72,0)+'ОБЪЕКТЫ'!AM109</x:f>
        <x:v>0</x:v>
      </x:c>
      <x:c r="AN11" s="117" t="n">
        <x:f>IF(AN$3&lt;$B$8,'Продажи'!AN72,0)+'ОБЪЕКТЫ'!AN109</x:f>
        <x:v>0</x:v>
      </x:c>
      <x:c r="AO11" s="117" t="n">
        <x:f>IF(AO$3&lt;$B$8,'Продажи'!AO72,0)+'ОБЪЕКТЫ'!AO109</x:f>
        <x:v>0</x:v>
      </x:c>
      <x:c r="AP11" s="117" t="n">
        <x:f>IF(AP$3&lt;$B$8,'Продажи'!AP72,0)+'ОБЪЕКТЫ'!AP109</x:f>
        <x:v>0</x:v>
      </x:c>
      <x:c r="AQ11" s="117" t="n">
        <x:f>IF(AQ$3&lt;$B$8,'Продажи'!AQ72,0)+'ОБЪЕКТЫ'!AQ109</x:f>
        <x:v>0</x:v>
      </x:c>
      <x:c r="AR11" s="117" t="n">
        <x:f>IF(AR$3&lt;$B$8,'Продажи'!AR72,0)+'ОБЪЕКТЫ'!AR109</x:f>
        <x:v>0</x:v>
      </x:c>
      <x:c r="AS11" s="117" t="n">
        <x:f>IF(AS$3&lt;$B$8,'Продажи'!AS72,0)+'ОБЪЕКТЫ'!AS109</x:f>
        <x:v>0</x:v>
      </x:c>
      <x:c r="AT11" s="117" t="n">
        <x:f>IF(AT$3&lt;$B$8,'Продажи'!AT72,0)+'ОБЪЕКТЫ'!AT109</x:f>
        <x:v>0</x:v>
      </x:c>
      <x:c r="AU11" s="117" t="n">
        <x:f>IF(AU$3&lt;$B$8,'Продажи'!AU72,0)+'ОБЪЕКТЫ'!AU109</x:f>
        <x:v>0</x:v>
      </x:c>
      <x:c r="AV11" s="117" t="n">
        <x:f>IF(AV$3&lt;$B$8,'Продажи'!AV72,0)+'ОБЪЕКТЫ'!AV109</x:f>
        <x:v>0</x:v>
      </x:c>
      <x:c r="AW11" s="117" t="n">
        <x:f>IF(AW$3&lt;$B$8,'Продажи'!AW72,0)+'ОБЪЕКТЫ'!AW109</x:f>
        <x:v>0</x:v>
      </x:c>
      <x:c r="AX11" s="117" t="n">
        <x:f>IF(AX$3&lt;$B$8,'Продажи'!AX72,0)+'ОБЪЕКТЫ'!AX109</x:f>
        <x:v>0</x:v>
      </x:c>
      <x:c r="AY11" s="117" t="n">
        <x:f>IF(AY$3&lt;$B$8,'Продажи'!AY72,0)+'ОБЪЕКТЫ'!AY109</x:f>
        <x:v>0</x:v>
      </x:c>
      <x:c r="AZ11" s="117" t="n">
        <x:f>IF(AZ$3&lt;$B$8,'Продажи'!AZ72,0)+'ОБЪЕКТЫ'!AZ109</x:f>
        <x:v>0</x:v>
      </x:c>
      <x:c r="BA11" s="117" t="n">
        <x:f>IF(BA$3&lt;$B$8,'Продажи'!BA72,0)+'ОБЪЕКТЫ'!BA109</x:f>
        <x:v>0</x:v>
      </x:c>
      <x:c r="BB11" s="117" t="n">
        <x:f>IF(BB$3&lt;$B$8,'Продажи'!BB72,0)+'ОБЪЕКТЫ'!BB109</x:f>
        <x:v>0</x:v>
      </x:c>
      <x:c r="BC11" s="117" t="n">
        <x:f>IF(BC$3&lt;$B$8,'Продажи'!BC72,0)+'ОБЪЕКТЫ'!BC109</x:f>
        <x:v>0</x:v>
      </x:c>
      <x:c r="BD11" s="117" t="n">
        <x:f>IF(BD$3&lt;$B$8,'Продажи'!BD72,0)+'ОБЪЕКТЫ'!BD109</x:f>
        <x:v>0</x:v>
      </x:c>
      <x:c r="BE11" s="117" t="n">
        <x:f>IF(BE$3&lt;$B$8,'Продажи'!BE72,0)+'ОБЪЕКТЫ'!BE109</x:f>
        <x:v>0</x:v>
      </x:c>
      <x:c r="BF11" s="117" t="n">
        <x:f>IF(BF$3&lt;$B$8,'Продажи'!BF72,0)+'ОБЪЕКТЫ'!BF109</x:f>
        <x:v>0</x:v>
      </x:c>
      <x:c r="BG11" s="117" t="n">
        <x:f>IF(BG$3&lt;$B$8,'Продажи'!BG72,0)+'ОБЪЕКТЫ'!BG109</x:f>
        <x:v>0</x:v>
      </x:c>
      <x:c r="BH11" s="117" t="n">
        <x:f>IF(BH$3&lt;$B$8,'Продажи'!BH72,0)+'ОБЪЕКТЫ'!BH109</x:f>
        <x:v>0</x:v>
      </x:c>
      <x:c r="BI11" s="117" t="n">
        <x:f>IF(BI$3&lt;$B$8,'Продажи'!BI72,0)+'ОБЪЕКТЫ'!BI109</x:f>
        <x:v>0</x:v>
      </x:c>
      <x:c r="BJ11" s="117" t="n">
        <x:f>IF(BJ$3&lt;$B$8,'Продажи'!BJ72,0)+'ОБЪЕКТЫ'!BJ109</x:f>
        <x:v>0</x:v>
      </x:c>
      <x:c r="BK11" s="117" t="n">
        <x:f>IF(BK$3&lt;$B$8,'Продажи'!BK72,0)+'ОБЪЕКТЫ'!BK109</x:f>
        <x:v>0</x:v>
      </x:c>
      <x:c r="BL11" s="117" t="n">
        <x:f>IF(BL$3&lt;$B$8,'Продажи'!BL72,0)+'ОБЪЕКТЫ'!BL109</x:f>
        <x:v>0</x:v>
      </x:c>
      <x:c r="BM11" s="117" t="n">
        <x:f>IF(BM$3&lt;$B$8,'Продажи'!BM72,0)+'ОБЪЕКТЫ'!BM109</x:f>
        <x:v>0</x:v>
      </x:c>
      <x:c r="BN11" s="117" t="n">
        <x:f>IF(BN$3&lt;$B$8,'Продажи'!BN72,0)+'ОБЪЕКТЫ'!BN109</x:f>
        <x:v>0</x:v>
      </x:c>
      <x:c r="BO11" s="117" t="n">
        <x:f>IF(BO$3&lt;$B$8,'Продажи'!BO72,0)+'ОБЪЕКТЫ'!BO109</x:f>
        <x:v>0</x:v>
      </x:c>
      <x:c r="BP11" s="117" t="n">
        <x:f>IF(BP$3&lt;$B$8,'Продажи'!BP72,0)+'ОБЪЕКТЫ'!BP109</x:f>
        <x:v>0</x:v>
      </x:c>
      <x:c r="BQ11" s="117" t="n">
        <x:f>IF(BQ$3&lt;$B$8,'Продажи'!BQ72,0)+'ОБЪЕКТЫ'!BQ109</x:f>
        <x:v>0</x:v>
      </x:c>
      <x:c r="BR11" s="117" t="n">
        <x:f>IF(BR$3&lt;$B$8,'Продажи'!BR72,0)+'ОБЪЕКТЫ'!BR109</x:f>
        <x:v>0</x:v>
      </x:c>
      <x:c r="BS11" s="117" t="n">
        <x:f>IF(BS$3&lt;$B$8,'Продажи'!BS72,0)+'ОБЪЕКТЫ'!BS109</x:f>
        <x:v>0</x:v>
      </x:c>
      <x:c r="BT11" s="117" t="n">
        <x:f>IF(BT$3&lt;$B$8,'Продажи'!BT72,0)+'ОБЪЕКТЫ'!BT109</x:f>
        <x:v>0</x:v>
      </x:c>
      <x:c r="BU11" s="117" t="n">
        <x:f>IF(BU$3&lt;$B$8,'Продажи'!BU72,0)+'ОБЪЕКТЫ'!BU109</x:f>
        <x:v>0</x:v>
      </x:c>
      <x:c r="BV11" s="117" t="n">
        <x:f>IF(BV$3&lt;$B$8,'Продажи'!BV72,0)+'ОБЪЕКТЫ'!BV109</x:f>
        <x:v>0</x:v>
      </x:c>
      <x:c r="BW11" s="117" t="n">
        <x:f>IF(BW$3&lt;$B$8,'Продажи'!BW72,0)+'ОБЪЕКТЫ'!BW109</x:f>
        <x:v>0</x:v>
      </x:c>
      <x:c r="BX11" s="117" t="n">
        <x:f>IF(BX$3&lt;$B$8,'Продажи'!BX72,0)+'ОБЪЕКТЫ'!BX109</x:f>
        <x:v>0</x:v>
      </x:c>
      <x:c r="BY11" s="117" t="n">
        <x:f>IF(BY$3&lt;$B$8,'Продажи'!BY72,0)+'ОБЪЕКТЫ'!BY109</x:f>
        <x:v>0</x:v>
      </x:c>
      <x:c r="BZ11" s="117" t="n">
        <x:f>IF(BZ$3&lt;$B$8,'Продажи'!BZ72,0)+'ОБЪЕКТЫ'!BZ109</x:f>
        <x:v>0</x:v>
      </x:c>
      <x:c r="CA11" s="117" t="n">
        <x:f>IF(CA$3&lt;$B$8,'Продажи'!CA72,0)+'ОБЪЕКТЫ'!CA109</x:f>
        <x:v>0</x:v>
      </x:c>
      <x:c r="CB11" s="117" t="n">
        <x:f>IF(CB$3&lt;$B$8,'Продажи'!CB72,0)+'ОБЪЕКТЫ'!CB109</x:f>
        <x:v>0</x:v>
      </x:c>
      <x:c r="CC11" s="117" t="n">
        <x:f>IF(CC$3&lt;$B$8,'Продажи'!CC72,0)+'ОБЪЕКТЫ'!CC109</x:f>
        <x:v>0</x:v>
      </x:c>
      <x:c r="CD11" s="117" t="n">
        <x:f>IF(CD$3&lt;$B$8,'Продажи'!CD72,0)+'ОБЪЕКТЫ'!CD109</x:f>
        <x:v>0</x:v>
      </x:c>
      <x:c r="CE11" s="117" t="n">
        <x:f>IF(CE$3&lt;$B$8,'Продажи'!CE72,0)+'ОБЪЕКТЫ'!CE109</x:f>
        <x:v>0</x:v>
      </x:c>
      <x:c r="CF11" s="117" t="n">
        <x:f>IF(CF$3&lt;$B$8,'Продажи'!CF72,0)+'ОБЪЕКТЫ'!CF109</x:f>
        <x:v>0</x:v>
      </x:c>
      <x:c r="CG11" s="117" t="n">
        <x:f>IF(CG$3&lt;$B$8,'Продажи'!CG72,0)+'ОБЪЕКТЫ'!CG109</x:f>
        <x:v>0</x:v>
      </x:c>
      <x:c r="CH11" s="117" t="n">
        <x:f>IF(CH$3&lt;$B$8,'Продажи'!CH72,0)+'ОБЪЕКТЫ'!CH109</x:f>
        <x:v>0</x:v>
      </x:c>
      <x:c r="CI11" s="117" t="n">
        <x:f>IF(CI$3&lt;$B$8,'Продажи'!CI72,0)+'ОБЪЕКТЫ'!CI109</x:f>
        <x:v>0</x:v>
      </x:c>
      <x:c r="CJ11" s="117" t="n">
        <x:f>IF(CJ$3&lt;$B$8,'Продажи'!CJ72,0)+'ОБЪЕКТЫ'!CJ109</x:f>
        <x:v>0</x:v>
      </x:c>
      <x:c r="CK11" s="117" t="n">
        <x:f>IF(CK$3&lt;$B$8,'Продажи'!CK72,0)+'ОБЪЕКТЫ'!CK109</x:f>
        <x:v>0</x:v>
      </x:c>
      <x:c r="CL11" s="117" t="n">
        <x:f>IF(CL$3&lt;$B$8,'Продажи'!CL72,0)+'ОБЪЕКТЫ'!CL109</x:f>
        <x:v>0</x:v>
      </x:c>
      <x:c r="CM11" s="117" t="n">
        <x:f>IF(CM$3&lt;$B$8,'Продажи'!CM72,0)+'ОБЪЕКТЫ'!CM109</x:f>
        <x:v>0</x:v>
      </x:c>
      <x:c r="CN11" s="117" t="n">
        <x:f>IF(CN$3&lt;$B$8,'Продажи'!CN72,0)+'ОБЪЕКТЫ'!CN109</x:f>
        <x:v>0</x:v>
      </x:c>
      <x:c r="CO11" s="117" t="n">
        <x:f>IF(CO$3&lt;$B$8,'Продажи'!CO72,0)+'ОБЪЕКТЫ'!CO109</x:f>
        <x:v>0</x:v>
      </x:c>
      <x:c r="CP11" s="117" t="n">
        <x:f>IF(CP$3&lt;$B$8,'Продажи'!CP72,0)+'ОБЪЕКТЫ'!CP109</x:f>
        <x:v>0</x:v>
      </x:c>
      <x:c r="CQ11" s="117" t="n">
        <x:f>IF(CQ$3&lt;$B$8,'Продажи'!CQ72,0)+'ОБЪЕКТЫ'!CQ109</x:f>
        <x:v>0</x:v>
      </x:c>
      <x:c r="CR11" s="117" t="n">
        <x:f>IF(CR$3&lt;$B$8,'Продажи'!CR72,0)+'ОБЪЕКТЫ'!CR109</x:f>
        <x:v>0</x:v>
      </x:c>
      <x:c r="CS11" s="117" t="n">
        <x:f>IF(CS$3&lt;$B$8,'Продажи'!CS72,0)+'ОБЪЕКТЫ'!CS109</x:f>
        <x:v>0</x:v>
      </x:c>
      <x:c r="CT11" s="117" t="n">
        <x:f>IF(CT$3&lt;$B$8,'Продажи'!CT72,0)+'ОБЪЕКТЫ'!CT109</x:f>
        <x:v>0</x:v>
      </x:c>
      <x:c r="CU11" s="117" t="n">
        <x:f>IF(CU$3&lt;$B$8,'Продажи'!CU72,0)+'ОБЪЕКТЫ'!CU109</x:f>
        <x:v>0</x:v>
      </x:c>
      <x:c r="CV11" s="117" t="n">
        <x:f>IF(CV$3&lt;$B$8,'Продажи'!CV72,0)+'ОБЪЕКТЫ'!CV109</x:f>
        <x:v>0</x:v>
      </x:c>
      <x:c r="CW11" s="117" t="n">
        <x:f>IF(CW$3&lt;$B$8,'Продажи'!CW72,0)+'ОБЪЕКТЫ'!CW109</x:f>
        <x:v>0</x:v>
      </x:c>
      <x:c r="CX11" s="117" t="n">
        <x:f>IF(CX$3&lt;$B$8,'Продажи'!CX72,0)+'ОБЪЕКТЫ'!CX109</x:f>
        <x:v>0</x:v>
      </x:c>
      <x:c r="CY11" s="117" t="n">
        <x:f>IF(CY$3&lt;$B$8,'Продажи'!CY72,0)+'ОБЪЕКТЫ'!CY109</x:f>
        <x:v>0</x:v>
      </x:c>
      <x:c r="CZ11" s="117" t="n">
        <x:f>IF(CZ$3&lt;$B$8,'Продажи'!CZ72,0)+'ОБЪЕКТЫ'!CZ109</x:f>
        <x:v>0</x:v>
      </x:c>
      <x:c r="DA11" s="117" t="n">
        <x:f>IF(DA$3&lt;$B$8,'Продажи'!DA72,0)+'ОБЪЕКТЫ'!DA109</x:f>
        <x:v>0</x:v>
      </x:c>
      <x:c r="DB11" s="117" t="n">
        <x:f>IF(DB$3&lt;$B$8,'Продажи'!DB72,0)+'ОБЪЕКТЫ'!DB109</x:f>
        <x:v>0</x:v>
      </x:c>
      <x:c r="DC11" s="117" t="n">
        <x:f>IF(DC$3&lt;$B$8,'Продажи'!DC72,0)+'ОБЪЕКТЫ'!DC109</x:f>
        <x:v>0</x:v>
      </x:c>
      <x:c r="DD11" s="117" t="n">
        <x:f>IF(DD$3&lt;$B$8,'Продажи'!DD72,0)+'ОБЪЕКТЫ'!DD109</x:f>
        <x:v>0</x:v>
      </x:c>
      <x:c r="DE11" s="117" t="n">
        <x:f>IF(DE$3&lt;$B$8,'Продажи'!DE72,0)+'ОБЪЕКТЫ'!DE109</x:f>
        <x:v>0</x:v>
      </x:c>
      <x:c r="DF11" s="117" t="n">
        <x:f>IF(DF$3&lt;$B$8,'Продажи'!DF72,0)+'ОБЪЕКТЫ'!DF109</x:f>
        <x:v>0</x:v>
      </x:c>
      <x:c r="DG11" s="117" t="n">
        <x:f>IF(DG$3&lt;$B$8,'Продажи'!DG72,0)+'ОБЪЕКТЫ'!DG109</x:f>
        <x:v>0</x:v>
      </x:c>
      <x:c r="DH11" s="117" t="n">
        <x:f>IF(DH$3&lt;$B$8,'Продажи'!DH72,0)+'ОБЪЕКТЫ'!DH109</x:f>
        <x:v>0</x:v>
      </x:c>
      <x:c r="DI11" s="117" t="n">
        <x:f>IF(DI$3&lt;$B$8,'Продажи'!DI72,0)+'ОБЪЕКТЫ'!DI109</x:f>
        <x:v>0</x:v>
      </x:c>
      <x:c r="DJ11" s="117" t="n">
        <x:f>IF(DJ$3&lt;$B$8,'Продажи'!DJ72,0)+'ОБЪЕКТЫ'!DJ109</x:f>
        <x:v>0</x:v>
      </x:c>
      <x:c r="DK11" s="117" t="n">
        <x:f>IF(DK$3&lt;$B$8,'Продажи'!DK72,0)+'ОБЪЕКТЫ'!DK109</x:f>
        <x:v>0</x:v>
      </x:c>
      <x:c r="DL11" s="117" t="n">
        <x:f>IF(DL$3&lt;$B$8,'Продажи'!DL72,0)+'ОБЪЕКТЫ'!DL109</x:f>
        <x:v>0</x:v>
      </x:c>
      <x:c r="DM11" s="117" t="n">
        <x:f>IF(DM$3&lt;$B$8,'Продажи'!DM72,0)+'ОБЪЕКТЫ'!DM109</x:f>
        <x:v>0</x:v>
      </x:c>
      <x:c r="DN11" s="117" t="n">
        <x:f>IF(DN$3&lt;$B$8,'Продажи'!DN72,0)+'ОБЪЕКТЫ'!DN109</x:f>
        <x:v>0</x:v>
      </x:c>
      <x:c r="DO11" s="117" t="n">
        <x:f>IF(DO$3&lt;$B$8,'Продажи'!DO72,0)+'ОБЪЕКТЫ'!DO109</x:f>
        <x:v>0</x:v>
      </x:c>
      <x:c r="DP11" s="117" t="n">
        <x:f>IF(DP$3&lt;$B$8,'Продажи'!DP72,0)+'ОБЪЕКТЫ'!DP109</x:f>
        <x:v>0</x:v>
      </x:c>
      <x:c r="DQ11" s="117" t="n">
        <x:f>IF(DQ$3&lt;$B$8,'Продажи'!DQ72,0)+'ОБЪЕКТЫ'!DQ109</x:f>
        <x:v>0</x:v>
      </x:c>
      <x:c r="DR11" s="117" t="n">
        <x:f>IF(DR$3&lt;$B$8,'Продажи'!DR72,0)+'ОБЪЕКТЫ'!DR109</x:f>
        <x:v>0</x:v>
      </x:c>
      <x:c r="DS11" s="117" t="n">
        <x:f>IF(DS$3&lt;$B$8,'Продажи'!DS72,0)+'ОБЪЕКТЫ'!DS109</x:f>
        <x:v>0</x:v>
      </x:c>
    </x:row>
    <x:row r="12">
      <x:c r="A12" t="str">
        <x:v>Прямые поступления после РВЭ</x:v>
      </x:c>
      <x:c r="B12" t="n">
        <x:f>SUM(D12:DS12)</x:f>
        <x:v>0</x:v>
      </x:c>
      <x:c r="C12" t="str">
        <x:v>млн ₽</x:v>
      </x:c>
      <x:c r="D12" s="117" t="n">
        <x:f>IF(D$3&gt;=$B$8,'Продажи'!D72,0)+'ОБЪЕКТЫ'!D110</x:f>
        <x:v>0</x:v>
      </x:c>
      <x:c r="E12" s="117" t="n">
        <x:f>IF(E$3&gt;=$B$8,'Продажи'!E72,0)+'ОБЪЕКТЫ'!E110</x:f>
        <x:v>0</x:v>
      </x:c>
      <x:c r="F12" s="117" t="n">
        <x:f>IF(F$3&gt;=$B$8,'Продажи'!F72,0)+'ОБЪЕКТЫ'!F110</x:f>
        <x:v>0</x:v>
      </x:c>
      <x:c r="G12" s="117" t="n">
        <x:f>IF(G$3&gt;=$B$8,'Продажи'!G72,0)+'ОБЪЕКТЫ'!G110</x:f>
        <x:v>0</x:v>
      </x:c>
      <x:c r="H12" s="117" t="n">
        <x:f>IF(H$3&gt;=$B$8,'Продажи'!H72,0)+'ОБЪЕКТЫ'!H110</x:f>
        <x:v>0</x:v>
      </x:c>
      <x:c r="I12" s="117" t="n">
        <x:f>IF(I$3&gt;=$B$8,'Продажи'!I72,0)+'ОБЪЕКТЫ'!I110</x:f>
        <x:v>0</x:v>
      </x:c>
      <x:c r="J12" s="117" t="n">
        <x:f>IF(J$3&gt;=$B$8,'Продажи'!J72,0)+'ОБЪЕКТЫ'!J110</x:f>
        <x:v>0</x:v>
      </x:c>
      <x:c r="K12" s="117" t="n">
        <x:f>IF(K$3&gt;=$B$8,'Продажи'!K72,0)+'ОБЪЕКТЫ'!K110</x:f>
        <x:v>0</x:v>
      </x:c>
      <x:c r="L12" s="117" t="n">
        <x:f>IF(L$3&gt;=$B$8,'Продажи'!L72,0)+'ОБЪЕКТЫ'!L110</x:f>
        <x:v>0</x:v>
      </x:c>
      <x:c r="M12" s="117" t="n">
        <x:f>IF(M$3&gt;=$B$8,'Продажи'!M72,0)+'ОБЪЕКТЫ'!M110</x:f>
        <x:v>0</x:v>
      </x:c>
      <x:c r="N12" s="117" t="n">
        <x:f>IF(N$3&gt;=$B$8,'Продажи'!N72,0)+'ОБЪЕКТЫ'!N110</x:f>
        <x:v>0</x:v>
      </x:c>
      <x:c r="O12" s="117" t="n">
        <x:f>IF(O$3&gt;=$B$8,'Продажи'!O72,0)+'ОБЪЕКТЫ'!O110</x:f>
        <x:v>0</x:v>
      </x:c>
      <x:c r="P12" s="117" t="n">
        <x:f>IF(P$3&gt;=$B$8,'Продажи'!P72,0)+'ОБЪЕКТЫ'!P110</x:f>
        <x:v>0</x:v>
      </x:c>
      <x:c r="Q12" s="117" t="n">
        <x:f>IF(Q$3&gt;=$B$8,'Продажи'!Q72,0)+'ОБЪЕКТЫ'!Q110</x:f>
        <x:v>0</x:v>
      </x:c>
      <x:c r="R12" s="117" t="n">
        <x:f>IF(R$3&gt;=$B$8,'Продажи'!R72,0)+'ОБЪЕКТЫ'!R110</x:f>
        <x:v>0</x:v>
      </x:c>
      <x:c r="S12" s="117" t="n">
        <x:f>IF(S$3&gt;=$B$8,'Продажи'!S72,0)+'ОБЪЕКТЫ'!S110</x:f>
        <x:v>0</x:v>
      </x:c>
      <x:c r="T12" s="117" t="n">
        <x:f>IF(T$3&gt;=$B$8,'Продажи'!T72,0)+'ОБЪЕКТЫ'!T110</x:f>
        <x:v>0</x:v>
      </x:c>
      <x:c r="U12" s="117" t="n">
        <x:f>IF(U$3&gt;=$B$8,'Продажи'!U72,0)+'ОБЪЕКТЫ'!U110</x:f>
        <x:v>0</x:v>
      </x:c>
      <x:c r="V12" s="117" t="n">
        <x:f>IF(V$3&gt;=$B$8,'Продажи'!V72,0)+'ОБЪЕКТЫ'!V110</x:f>
        <x:v>0</x:v>
      </x:c>
      <x:c r="W12" s="117" t="n">
        <x:f>IF(W$3&gt;=$B$8,'Продажи'!W72,0)+'ОБЪЕКТЫ'!W110</x:f>
        <x:v>0</x:v>
      </x:c>
      <x:c r="X12" s="117" t="n">
        <x:f>IF(X$3&gt;=$B$8,'Продажи'!X72,0)+'ОБЪЕКТЫ'!X110</x:f>
        <x:v>0</x:v>
      </x:c>
      <x:c r="Y12" s="117" t="n">
        <x:f>IF(Y$3&gt;=$B$8,'Продажи'!Y72,0)+'ОБЪЕКТЫ'!Y110</x:f>
        <x:v>0</x:v>
      </x:c>
      <x:c r="Z12" s="117" t="n">
        <x:f>IF(Z$3&gt;=$B$8,'Продажи'!Z72,0)+'ОБЪЕКТЫ'!Z110</x:f>
        <x:v>0</x:v>
      </x:c>
      <x:c r="AA12" s="117" t="n">
        <x:f>IF(AA$3&gt;=$B$8,'Продажи'!AA72,0)+'ОБЪЕКТЫ'!AA110</x:f>
        <x:v>0</x:v>
      </x:c>
      <x:c r="AB12" s="117" t="n">
        <x:f>IF(AB$3&gt;=$B$8,'Продажи'!AB72,0)+'ОБЪЕКТЫ'!AB110</x:f>
        <x:v>0</x:v>
      </x:c>
      <x:c r="AC12" s="117" t="n">
        <x:f>IF(AC$3&gt;=$B$8,'Продажи'!AC72,0)+'ОБЪЕКТЫ'!AC110</x:f>
        <x:v>0</x:v>
      </x:c>
      <x:c r="AD12" s="117" t="n">
        <x:f>IF(AD$3&gt;=$B$8,'Продажи'!AD72,0)+'ОБЪЕКТЫ'!AD110</x:f>
        <x:v>0</x:v>
      </x:c>
      <x:c r="AE12" s="117" t="n">
        <x:f>IF(AE$3&gt;=$B$8,'Продажи'!AE72,0)+'ОБЪЕКТЫ'!AE110</x:f>
        <x:v>0</x:v>
      </x:c>
      <x:c r="AF12" s="117" t="n">
        <x:f>IF(AF$3&gt;=$B$8,'Продажи'!AF72,0)+'ОБЪЕКТЫ'!AF110</x:f>
        <x:v>0</x:v>
      </x:c>
      <x:c r="AG12" s="117" t="n">
        <x:f>IF(AG$3&gt;=$B$8,'Продажи'!AG72,0)+'ОБЪЕКТЫ'!AG110</x:f>
        <x:v>0</x:v>
      </x:c>
      <x:c r="AH12" s="117" t="n">
        <x:f>IF(AH$3&gt;=$B$8,'Продажи'!AH72,0)+'ОБЪЕКТЫ'!AH110</x:f>
        <x:v>0</x:v>
      </x:c>
      <x:c r="AI12" s="117" t="n">
        <x:f>IF(AI$3&gt;=$B$8,'Продажи'!AI72,0)+'ОБЪЕКТЫ'!AI110</x:f>
        <x:v>0</x:v>
      </x:c>
      <x:c r="AJ12" s="117" t="n">
        <x:f>IF(AJ$3&gt;=$B$8,'Продажи'!AJ72,0)+'ОБЪЕКТЫ'!AJ110</x:f>
        <x:v>0</x:v>
      </x:c>
      <x:c r="AK12" s="117" t="n">
        <x:f>IF(AK$3&gt;=$B$8,'Продажи'!AK72,0)+'ОБЪЕКТЫ'!AK110</x:f>
        <x:v>0</x:v>
      </x:c>
      <x:c r="AL12" s="117" t="n">
        <x:f>IF(AL$3&gt;=$B$8,'Продажи'!AL72,0)+'ОБЪЕКТЫ'!AL110</x:f>
        <x:v>0</x:v>
      </x:c>
      <x:c r="AM12" s="117" t="n">
        <x:f>IF(AM$3&gt;=$B$8,'Продажи'!AM72,0)+'ОБЪЕКТЫ'!AM110</x:f>
        <x:v>0</x:v>
      </x:c>
      <x:c r="AN12" s="117" t="n">
        <x:f>IF(AN$3&gt;=$B$8,'Продажи'!AN72,0)+'ОБЪЕКТЫ'!AN110</x:f>
        <x:v>0</x:v>
      </x:c>
      <x:c r="AO12" s="117" t="n">
        <x:f>IF(AO$3&gt;=$B$8,'Продажи'!AO72,0)+'ОБЪЕКТЫ'!AO110</x:f>
        <x:v>0</x:v>
      </x:c>
      <x:c r="AP12" s="117" t="n">
        <x:f>IF(AP$3&gt;=$B$8,'Продажи'!AP72,0)+'ОБЪЕКТЫ'!AP110</x:f>
        <x:v>0</x:v>
      </x:c>
      <x:c r="AQ12" s="117" t="n">
        <x:f>IF(AQ$3&gt;=$B$8,'Продажи'!AQ72,0)+'ОБЪЕКТЫ'!AQ110</x:f>
        <x:v>0</x:v>
      </x:c>
      <x:c r="AR12" s="117" t="n">
        <x:f>IF(AR$3&gt;=$B$8,'Продажи'!AR72,0)+'ОБЪЕКТЫ'!AR110</x:f>
        <x:v>0</x:v>
      </x:c>
      <x:c r="AS12" s="117" t="n">
        <x:f>IF(AS$3&gt;=$B$8,'Продажи'!AS72,0)+'ОБЪЕКТЫ'!AS110</x:f>
        <x:v>0</x:v>
      </x:c>
      <x:c r="AT12" s="117" t="n">
        <x:f>IF(AT$3&gt;=$B$8,'Продажи'!AT72,0)+'ОБЪЕКТЫ'!AT110</x:f>
        <x:v>0</x:v>
      </x:c>
      <x:c r="AU12" s="117" t="n">
        <x:f>IF(AU$3&gt;=$B$8,'Продажи'!AU72,0)+'ОБЪЕКТЫ'!AU110</x:f>
        <x:v>0</x:v>
      </x:c>
      <x:c r="AV12" s="117" t="n">
        <x:f>IF(AV$3&gt;=$B$8,'Продажи'!AV72,0)+'ОБЪЕКТЫ'!AV110</x:f>
        <x:v>0</x:v>
      </x:c>
      <x:c r="AW12" s="117" t="n">
        <x:f>IF(AW$3&gt;=$B$8,'Продажи'!AW72,0)+'ОБЪЕКТЫ'!AW110</x:f>
        <x:v>0</x:v>
      </x:c>
      <x:c r="AX12" s="117" t="n">
        <x:f>IF(AX$3&gt;=$B$8,'Продажи'!AX72,0)+'ОБЪЕКТЫ'!AX110</x:f>
        <x:v>0</x:v>
      </x:c>
      <x:c r="AY12" s="117" t="n">
        <x:f>IF(AY$3&gt;=$B$8,'Продажи'!AY72,0)+'ОБЪЕКТЫ'!AY110</x:f>
        <x:v>0</x:v>
      </x:c>
      <x:c r="AZ12" s="117" t="n">
        <x:f>IF(AZ$3&gt;=$B$8,'Продажи'!AZ72,0)+'ОБЪЕКТЫ'!AZ110</x:f>
        <x:v>0</x:v>
      </x:c>
      <x:c r="BA12" s="117" t="n">
        <x:f>IF(BA$3&gt;=$B$8,'Продажи'!BA72,0)+'ОБЪЕКТЫ'!BA110</x:f>
        <x:v>0</x:v>
      </x:c>
      <x:c r="BB12" s="117" t="n">
        <x:f>IF(BB$3&gt;=$B$8,'Продажи'!BB72,0)+'ОБЪЕКТЫ'!BB110</x:f>
        <x:v>0</x:v>
      </x:c>
      <x:c r="BC12" s="117" t="n">
        <x:f>IF(BC$3&gt;=$B$8,'Продажи'!BC72,0)+'ОБЪЕКТЫ'!BC110</x:f>
        <x:v>0</x:v>
      </x:c>
      <x:c r="BD12" s="117" t="n">
        <x:f>IF(BD$3&gt;=$B$8,'Продажи'!BD72,0)+'ОБЪЕКТЫ'!BD110</x:f>
        <x:v>0</x:v>
      </x:c>
      <x:c r="BE12" s="117" t="n">
        <x:f>IF(BE$3&gt;=$B$8,'Продажи'!BE72,0)+'ОБЪЕКТЫ'!BE110</x:f>
        <x:v>0</x:v>
      </x:c>
      <x:c r="BF12" s="117" t="n">
        <x:f>IF(BF$3&gt;=$B$8,'Продажи'!BF72,0)+'ОБЪЕКТЫ'!BF110</x:f>
        <x:v>0</x:v>
      </x:c>
      <x:c r="BG12" s="117" t="n">
        <x:f>IF(BG$3&gt;=$B$8,'Продажи'!BG72,0)+'ОБЪЕКТЫ'!BG110</x:f>
        <x:v>0</x:v>
      </x:c>
      <x:c r="BH12" s="117" t="n">
        <x:f>IF(BH$3&gt;=$B$8,'Продажи'!BH72,0)+'ОБЪЕКТЫ'!BH110</x:f>
        <x:v>0</x:v>
      </x:c>
      <x:c r="BI12" s="117" t="n">
        <x:f>IF(BI$3&gt;=$B$8,'Продажи'!BI72,0)+'ОБЪЕКТЫ'!BI110</x:f>
        <x:v>0</x:v>
      </x:c>
      <x:c r="BJ12" s="117" t="n">
        <x:f>IF(BJ$3&gt;=$B$8,'Продажи'!BJ72,0)+'ОБЪЕКТЫ'!BJ110</x:f>
        <x:v>0</x:v>
      </x:c>
      <x:c r="BK12" s="117" t="n">
        <x:f>IF(BK$3&gt;=$B$8,'Продажи'!BK72,0)+'ОБЪЕКТЫ'!BK110</x:f>
        <x:v>0</x:v>
      </x:c>
      <x:c r="BL12" s="117" t="n">
        <x:f>IF(BL$3&gt;=$B$8,'Продажи'!BL72,0)+'ОБЪЕКТЫ'!BL110</x:f>
        <x:v>0</x:v>
      </x:c>
      <x:c r="BM12" s="117" t="n">
        <x:f>IF(BM$3&gt;=$B$8,'Продажи'!BM72,0)+'ОБЪЕКТЫ'!BM110</x:f>
        <x:v>0</x:v>
      </x:c>
      <x:c r="BN12" s="117" t="n">
        <x:f>IF(BN$3&gt;=$B$8,'Продажи'!BN72,0)+'ОБЪЕКТЫ'!BN110</x:f>
        <x:v>0</x:v>
      </x:c>
      <x:c r="BO12" s="117" t="n">
        <x:f>IF(BO$3&gt;=$B$8,'Продажи'!BO72,0)+'ОБЪЕКТЫ'!BO110</x:f>
        <x:v>0</x:v>
      </x:c>
      <x:c r="BP12" s="117" t="n">
        <x:f>IF(BP$3&gt;=$B$8,'Продажи'!BP72,0)+'ОБЪЕКТЫ'!BP110</x:f>
        <x:v>0</x:v>
      </x:c>
      <x:c r="BQ12" s="117" t="n">
        <x:f>IF(BQ$3&gt;=$B$8,'Продажи'!BQ72,0)+'ОБЪЕКТЫ'!BQ110</x:f>
        <x:v>0</x:v>
      </x:c>
      <x:c r="BR12" s="117" t="n">
        <x:f>IF(BR$3&gt;=$B$8,'Продажи'!BR72,0)+'ОБЪЕКТЫ'!BR110</x:f>
        <x:v>0</x:v>
      </x:c>
      <x:c r="BS12" s="117" t="n">
        <x:f>IF(BS$3&gt;=$B$8,'Продажи'!BS72,0)+'ОБЪЕКТЫ'!BS110</x:f>
        <x:v>0</x:v>
      </x:c>
      <x:c r="BT12" s="117" t="n">
        <x:f>IF(BT$3&gt;=$B$8,'Продажи'!BT72,0)+'ОБЪЕКТЫ'!BT110</x:f>
        <x:v>0</x:v>
      </x:c>
      <x:c r="BU12" s="117" t="n">
        <x:f>IF(BU$3&gt;=$B$8,'Продажи'!BU72,0)+'ОБЪЕКТЫ'!BU110</x:f>
        <x:v>0</x:v>
      </x:c>
      <x:c r="BV12" s="117" t="n">
        <x:f>IF(BV$3&gt;=$B$8,'Продажи'!BV72,0)+'ОБЪЕКТЫ'!BV110</x:f>
        <x:v>0</x:v>
      </x:c>
      <x:c r="BW12" s="117" t="n">
        <x:f>IF(BW$3&gt;=$B$8,'Продажи'!BW72,0)+'ОБЪЕКТЫ'!BW110</x:f>
        <x:v>0</x:v>
      </x:c>
      <x:c r="BX12" s="117" t="n">
        <x:f>IF(BX$3&gt;=$B$8,'Продажи'!BX72,0)+'ОБЪЕКТЫ'!BX110</x:f>
        <x:v>0</x:v>
      </x:c>
      <x:c r="BY12" s="117" t="n">
        <x:f>IF(BY$3&gt;=$B$8,'Продажи'!BY72,0)+'ОБЪЕКТЫ'!BY110</x:f>
        <x:v>0</x:v>
      </x:c>
      <x:c r="BZ12" s="117" t="n">
        <x:f>IF(BZ$3&gt;=$B$8,'Продажи'!BZ72,0)+'ОБЪЕКТЫ'!BZ110</x:f>
        <x:v>0</x:v>
      </x:c>
      <x:c r="CA12" s="117" t="n">
        <x:f>IF(CA$3&gt;=$B$8,'Продажи'!CA72,0)+'ОБЪЕКТЫ'!CA110</x:f>
        <x:v>0</x:v>
      </x:c>
      <x:c r="CB12" s="117" t="n">
        <x:f>IF(CB$3&gt;=$B$8,'Продажи'!CB72,0)+'ОБЪЕКТЫ'!CB110</x:f>
        <x:v>0</x:v>
      </x:c>
      <x:c r="CC12" s="117" t="n">
        <x:f>IF(CC$3&gt;=$B$8,'Продажи'!CC72,0)+'ОБЪЕКТЫ'!CC110</x:f>
        <x:v>0</x:v>
      </x:c>
      <x:c r="CD12" s="117" t="n">
        <x:f>IF(CD$3&gt;=$B$8,'Продажи'!CD72,0)+'ОБЪЕКТЫ'!CD110</x:f>
        <x:v>0</x:v>
      </x:c>
      <x:c r="CE12" s="117" t="n">
        <x:f>IF(CE$3&gt;=$B$8,'Продажи'!CE72,0)+'ОБЪЕКТЫ'!CE110</x:f>
        <x:v>0</x:v>
      </x:c>
      <x:c r="CF12" s="117" t="n">
        <x:f>IF(CF$3&gt;=$B$8,'Продажи'!CF72,0)+'ОБЪЕКТЫ'!CF110</x:f>
        <x:v>0</x:v>
      </x:c>
      <x:c r="CG12" s="117" t="n">
        <x:f>IF(CG$3&gt;=$B$8,'Продажи'!CG72,0)+'ОБЪЕКТЫ'!CG110</x:f>
        <x:v>0</x:v>
      </x:c>
      <x:c r="CH12" s="117" t="n">
        <x:f>IF(CH$3&gt;=$B$8,'Продажи'!CH72,0)+'ОБЪЕКТЫ'!CH110</x:f>
        <x:v>0</x:v>
      </x:c>
      <x:c r="CI12" s="117" t="n">
        <x:f>IF(CI$3&gt;=$B$8,'Продажи'!CI72,0)+'ОБЪЕКТЫ'!CI110</x:f>
        <x:v>0</x:v>
      </x:c>
      <x:c r="CJ12" s="117" t="n">
        <x:f>IF(CJ$3&gt;=$B$8,'Продажи'!CJ72,0)+'ОБЪЕКТЫ'!CJ110</x:f>
        <x:v>0</x:v>
      </x:c>
      <x:c r="CK12" s="117" t="n">
        <x:f>IF(CK$3&gt;=$B$8,'Продажи'!CK72,0)+'ОБЪЕКТЫ'!CK110</x:f>
        <x:v>0</x:v>
      </x:c>
      <x:c r="CL12" s="117" t="n">
        <x:f>IF(CL$3&gt;=$B$8,'Продажи'!CL72,0)+'ОБЪЕКТЫ'!CL110</x:f>
        <x:v>0</x:v>
      </x:c>
      <x:c r="CM12" s="117" t="n">
        <x:f>IF(CM$3&gt;=$B$8,'Продажи'!CM72,0)+'ОБЪЕКТЫ'!CM110</x:f>
        <x:v>0</x:v>
      </x:c>
      <x:c r="CN12" s="117" t="n">
        <x:f>IF(CN$3&gt;=$B$8,'Продажи'!CN72,0)+'ОБЪЕКТЫ'!CN110</x:f>
        <x:v>0</x:v>
      </x:c>
      <x:c r="CO12" s="117" t="n">
        <x:f>IF(CO$3&gt;=$B$8,'Продажи'!CO72,0)+'ОБЪЕКТЫ'!CO110</x:f>
        <x:v>0</x:v>
      </x:c>
      <x:c r="CP12" s="117" t="n">
        <x:f>IF(CP$3&gt;=$B$8,'Продажи'!CP72,0)+'ОБЪЕКТЫ'!CP110</x:f>
        <x:v>0</x:v>
      </x:c>
      <x:c r="CQ12" s="117" t="n">
        <x:f>IF(CQ$3&gt;=$B$8,'Продажи'!CQ72,0)+'ОБЪЕКТЫ'!CQ110</x:f>
        <x:v>0</x:v>
      </x:c>
      <x:c r="CR12" s="117" t="n">
        <x:f>IF(CR$3&gt;=$B$8,'Продажи'!CR72,0)+'ОБЪЕКТЫ'!CR110</x:f>
        <x:v>0</x:v>
      </x:c>
      <x:c r="CS12" s="117" t="n">
        <x:f>IF(CS$3&gt;=$B$8,'Продажи'!CS72,0)+'ОБЪЕКТЫ'!CS110</x:f>
        <x:v>0</x:v>
      </x:c>
      <x:c r="CT12" s="117" t="n">
        <x:f>IF(CT$3&gt;=$B$8,'Продажи'!CT72,0)+'ОБЪЕКТЫ'!CT110</x:f>
        <x:v>0</x:v>
      </x:c>
      <x:c r="CU12" s="117" t="n">
        <x:f>IF(CU$3&gt;=$B$8,'Продажи'!CU72,0)+'ОБЪЕКТЫ'!CU110</x:f>
        <x:v>0</x:v>
      </x:c>
      <x:c r="CV12" s="117" t="n">
        <x:f>IF(CV$3&gt;=$B$8,'Продажи'!CV72,0)+'ОБЪЕКТЫ'!CV110</x:f>
        <x:v>0</x:v>
      </x:c>
      <x:c r="CW12" s="117" t="n">
        <x:f>IF(CW$3&gt;=$B$8,'Продажи'!CW72,0)+'ОБЪЕКТЫ'!CW110</x:f>
        <x:v>0</x:v>
      </x:c>
      <x:c r="CX12" s="117" t="n">
        <x:f>IF(CX$3&gt;=$B$8,'Продажи'!CX72,0)+'ОБЪЕКТЫ'!CX110</x:f>
        <x:v>0</x:v>
      </x:c>
      <x:c r="CY12" s="117" t="n">
        <x:f>IF(CY$3&gt;=$B$8,'Продажи'!CY72,0)+'ОБЪЕКТЫ'!CY110</x:f>
        <x:v>0</x:v>
      </x:c>
      <x:c r="CZ12" s="117" t="n">
        <x:f>IF(CZ$3&gt;=$B$8,'Продажи'!CZ72,0)+'ОБЪЕКТЫ'!CZ110</x:f>
        <x:v>0</x:v>
      </x:c>
      <x:c r="DA12" s="117" t="n">
        <x:f>IF(DA$3&gt;=$B$8,'Продажи'!DA72,0)+'ОБЪЕКТЫ'!DA110</x:f>
        <x:v>0</x:v>
      </x:c>
      <x:c r="DB12" s="117" t="n">
        <x:f>IF(DB$3&gt;=$B$8,'Продажи'!DB72,0)+'ОБЪЕКТЫ'!DB110</x:f>
        <x:v>0</x:v>
      </x:c>
      <x:c r="DC12" s="117" t="n">
        <x:f>IF(DC$3&gt;=$B$8,'Продажи'!DC72,0)+'ОБЪЕКТЫ'!DC110</x:f>
        <x:v>0</x:v>
      </x:c>
      <x:c r="DD12" s="117" t="n">
        <x:f>IF(DD$3&gt;=$B$8,'Продажи'!DD72,0)+'ОБЪЕКТЫ'!DD110</x:f>
        <x:v>0</x:v>
      </x:c>
      <x:c r="DE12" s="117" t="n">
        <x:f>IF(DE$3&gt;=$B$8,'Продажи'!DE72,0)+'ОБЪЕКТЫ'!DE110</x:f>
        <x:v>0</x:v>
      </x:c>
      <x:c r="DF12" s="117" t="n">
        <x:f>IF(DF$3&gt;=$B$8,'Продажи'!DF72,0)+'ОБЪЕКТЫ'!DF110</x:f>
        <x:v>0</x:v>
      </x:c>
      <x:c r="DG12" s="117" t="n">
        <x:f>IF(DG$3&gt;=$B$8,'Продажи'!DG72,0)+'ОБЪЕКТЫ'!DG110</x:f>
        <x:v>0</x:v>
      </x:c>
      <x:c r="DH12" s="117" t="n">
        <x:f>IF(DH$3&gt;=$B$8,'Продажи'!DH72,0)+'ОБЪЕКТЫ'!DH110</x:f>
        <x:v>0</x:v>
      </x:c>
      <x:c r="DI12" s="117" t="n">
        <x:f>IF(DI$3&gt;=$B$8,'Продажи'!DI72,0)+'ОБЪЕКТЫ'!DI110</x:f>
        <x:v>0</x:v>
      </x:c>
      <x:c r="DJ12" s="117" t="n">
        <x:f>IF(DJ$3&gt;=$B$8,'Продажи'!DJ72,0)+'ОБЪЕКТЫ'!DJ110</x:f>
        <x:v>0</x:v>
      </x:c>
      <x:c r="DK12" s="117" t="n">
        <x:f>IF(DK$3&gt;=$B$8,'Продажи'!DK72,0)+'ОБЪЕКТЫ'!DK110</x:f>
        <x:v>0</x:v>
      </x:c>
      <x:c r="DL12" s="117" t="n">
        <x:f>IF(DL$3&gt;=$B$8,'Продажи'!DL72,0)+'ОБЪЕКТЫ'!DL110</x:f>
        <x:v>0</x:v>
      </x:c>
      <x:c r="DM12" s="117" t="n">
        <x:f>IF(DM$3&gt;=$B$8,'Продажи'!DM72,0)+'ОБЪЕКТЫ'!DM110</x:f>
        <x:v>0</x:v>
      </x:c>
      <x:c r="DN12" s="117" t="n">
        <x:f>IF(DN$3&gt;=$B$8,'Продажи'!DN72,0)+'ОБЪЕКТЫ'!DN110</x:f>
        <x:v>0</x:v>
      </x:c>
      <x:c r="DO12" s="117" t="n">
        <x:f>IF(DO$3&gt;=$B$8,'Продажи'!DO72,0)+'ОБЪЕКТЫ'!DO110</x:f>
        <x:v>0</x:v>
      </x:c>
      <x:c r="DP12" s="117" t="n">
        <x:f>IF(DP$3&gt;=$B$8,'Продажи'!DP72,0)+'ОБЪЕКТЫ'!DP110</x:f>
        <x:v>0</x:v>
      </x:c>
      <x:c r="DQ12" s="117" t="n">
        <x:f>IF(DQ$3&gt;=$B$8,'Продажи'!DQ72,0)+'ОБЪЕКТЫ'!DQ110</x:f>
        <x:v>0</x:v>
      </x:c>
      <x:c r="DR12" s="117" t="n">
        <x:f>IF(DR$3&gt;=$B$8,'Продажи'!DR72,0)+'ОБЪЕКТЫ'!DR110</x:f>
        <x:v>0</x:v>
      </x:c>
      <x:c r="DS12" s="117" t="n">
        <x:f>IF(DS$3&gt;=$B$8,'Продажи'!DS72,0)+'ОБЪЕКТЫ'!DS110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0</x:v>
      </x:c>
      <x:c r="X13" s="117" t="n">
        <x:f>W15</x:f>
        <x:v>0</x:v>
      </x:c>
      <x:c r="Y13" s="117" t="n">
        <x:f>X15</x:f>
        <x:v>0</x:v>
      </x:c>
      <x:c r="Z13" s="117" t="n">
        <x:f>Y15</x:f>
        <x:v>0</x:v>
      </x:c>
      <x:c r="AA13" s="117" t="n">
        <x:f>Z15</x:f>
        <x:v>0</x:v>
      </x:c>
      <x:c r="AB13" s="117" t="n">
        <x:f>AA15</x:f>
        <x:v>0</x:v>
      </x:c>
      <x:c r="AC13" s="117" t="n">
        <x:f>AB15</x:f>
        <x:v>0</x:v>
      </x:c>
      <x:c r="AD13" s="117" t="n">
        <x:f>AC15</x:f>
        <x:v>0</x:v>
      </x:c>
      <x:c r="AE13" s="117" t="n">
        <x:f>AD15</x:f>
        <x:v>0</x:v>
      </x:c>
      <x:c r="AF13" s="117" t="n">
        <x:f>AE15</x:f>
        <x:v>0</x:v>
      </x:c>
      <x:c r="AG13" s="117" t="n">
        <x:f>AF15</x:f>
        <x:v>0</x:v>
      </x:c>
      <x:c r="AH13" s="117" t="n">
        <x:f>AG15</x:f>
        <x:v>0</x:v>
      </x:c>
      <x:c r="AI13" s="117" t="n">
        <x:f>AH15</x:f>
        <x:v>0</x:v>
      </x:c>
      <x:c r="AJ13" s="117" t="n">
        <x:f>AI15</x:f>
        <x:v>0</x:v>
      </x:c>
      <x:c r="AK13" s="117" t="n">
        <x:f>AJ15</x:f>
        <x:v>0</x:v>
      </x:c>
      <x:c r="AL13" s="117" t="n">
        <x:f>AK15</x:f>
        <x:v>0</x:v>
      </x:c>
      <x:c r="AM13" s="117" t="n">
        <x:f>AL15</x:f>
        <x:v>0</x:v>
      </x:c>
      <x:c r="AN13" s="117" t="n">
        <x:f>AM15</x:f>
        <x:v>0</x:v>
      </x:c>
      <x:c r="AO13" s="117" t="n">
        <x:f>AN15</x:f>
        <x:v>0</x:v>
      </x:c>
      <x:c r="AP13" s="117" t="n">
        <x:f>AO15</x:f>
        <x:v>0</x:v>
      </x:c>
      <x:c r="AQ13" s="117" t="n">
        <x:f>AP15</x:f>
        <x:v>0</x:v>
      </x:c>
      <x:c r="AR13" s="117" t="n">
        <x:f>AQ15</x:f>
        <x:v>0</x:v>
      </x:c>
      <x:c r="AS13" s="117" t="n">
        <x:f>AR15</x:f>
        <x:v>0</x:v>
      </x:c>
      <x:c r="AT13" s="117" t="n">
        <x:f>AS15</x:f>
        <x:v>0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0</x:v>
      </x:c>
      <x:c r="C14" t="str">
        <x:v>млн ₽</x:v>
      </x:c>
      <x:c r="D14" s="117" t="n">
        <x:f>0+'ОБЪЕКТЫ'!D111</x:f>
        <x:v>0</x:v>
      </x:c>
      <x:c r="E14" s="117" t="n">
        <x:f>IF(AND(YEAR(E$3)=YEAR($B$8),MONTH(E$3)=MONTH($B$8)),SUM('Продажи'!$D$72:'Продажи'!D$72),0)+'ОБЪЕКТЫ'!E111</x:f>
        <x:v>0</x:v>
      </x:c>
      <x:c r="F14" s="117" t="n">
        <x:f>IF(AND(YEAR(F$3)=YEAR($B$8),MONTH(F$3)=MONTH($B$8)),SUM('Продажи'!$D$72:'Продажи'!E$72),0)+'ОБЪЕКТЫ'!F111</x:f>
        <x:v>0</x:v>
      </x:c>
      <x:c r="G14" s="117" t="n">
        <x:f>IF(AND(YEAR(G$3)=YEAR($B$8),MONTH(G$3)=MONTH($B$8)),SUM('Продажи'!$D$72:'Продажи'!F$72),0)+'ОБЪЕКТЫ'!G111</x:f>
        <x:v>0</x:v>
      </x:c>
      <x:c r="H14" s="117" t="n">
        <x:f>IF(AND(YEAR(H$3)=YEAR($B$8),MONTH(H$3)=MONTH($B$8)),SUM('Продажи'!$D$72:'Продажи'!G$72),0)+'ОБЪЕКТЫ'!H111</x:f>
        <x:v>0</x:v>
      </x:c>
      <x:c r="I14" s="117" t="n">
        <x:f>IF(AND(YEAR(I$3)=YEAR($B$8),MONTH(I$3)=MONTH($B$8)),SUM('Продажи'!$D$72:'Продажи'!H$72),0)+'ОБЪЕКТЫ'!I111</x:f>
        <x:v>0</x:v>
      </x:c>
      <x:c r="J14" s="117" t="n">
        <x:f>IF(AND(YEAR(J$3)=YEAR($B$8),MONTH(J$3)=MONTH($B$8)),SUM('Продажи'!$D$72:'Продажи'!I$72),0)+'ОБЪЕКТЫ'!J111</x:f>
        <x:v>0</x:v>
      </x:c>
      <x:c r="K14" s="117" t="n">
        <x:f>IF(AND(YEAR(K$3)=YEAR($B$8),MONTH(K$3)=MONTH($B$8)),SUM('Продажи'!$D$72:'Продажи'!J$72),0)+'ОБЪЕКТЫ'!K111</x:f>
        <x:v>0</x:v>
      </x:c>
      <x:c r="L14" s="117" t="n">
        <x:f>IF(AND(YEAR(L$3)=YEAR($B$8),MONTH(L$3)=MONTH($B$8)),SUM('Продажи'!$D$72:'Продажи'!K$72),0)+'ОБЪЕКТЫ'!L111</x:f>
        <x:v>0</x:v>
      </x:c>
      <x:c r="M14" s="117" t="n">
        <x:f>IF(AND(YEAR(M$3)=YEAR($B$8),MONTH(M$3)=MONTH($B$8)),SUM('Продажи'!$D$72:'Продажи'!L$72),0)+'ОБЪЕКТЫ'!M111</x:f>
        <x:v>0</x:v>
      </x:c>
      <x:c r="N14" s="117" t="n">
        <x:f>IF(AND(YEAR(N$3)=YEAR($B$8),MONTH(N$3)=MONTH($B$8)),SUM('Продажи'!$D$72:'Продажи'!M$72),0)+'ОБЪЕКТЫ'!N111</x:f>
        <x:v>0</x:v>
      </x:c>
      <x:c r="O14" s="117" t="n">
        <x:f>IF(AND(YEAR(O$3)=YEAR($B$8),MONTH(O$3)=MONTH($B$8)),SUM('Продажи'!$D$72:'Продажи'!N$72),0)+'ОБЪЕКТЫ'!O111</x:f>
        <x:v>0</x:v>
      </x:c>
      <x:c r="P14" s="117" t="n">
        <x:f>IF(AND(YEAR(P$3)=YEAR($B$8),MONTH(P$3)=MONTH($B$8)),SUM('Продажи'!$D$72:'Продажи'!O$72),0)+'ОБЪЕКТЫ'!P111</x:f>
        <x:v>0</x:v>
      </x:c>
      <x:c r="Q14" s="117" t="n">
        <x:f>IF(AND(YEAR(Q$3)=YEAR($B$8),MONTH(Q$3)=MONTH($B$8)),SUM('Продажи'!$D$72:'Продажи'!P$72),0)+'ОБЪЕКТЫ'!Q111</x:f>
        <x:v>0</x:v>
      </x:c>
      <x:c r="R14" s="117" t="n">
        <x:f>IF(AND(YEAR(R$3)=YEAR($B$8),MONTH(R$3)=MONTH($B$8)),SUM('Продажи'!$D$72:'Продажи'!Q$72),0)+'ОБЪЕКТЫ'!R111</x:f>
        <x:v>0</x:v>
      </x:c>
      <x:c r="S14" s="117" t="n">
        <x:f>IF(AND(YEAR(S$3)=YEAR($B$8),MONTH(S$3)=MONTH($B$8)),SUM('Продажи'!$D$72:'Продажи'!R$72),0)+'ОБЪЕКТЫ'!S111</x:f>
        <x:v>0</x:v>
      </x:c>
      <x:c r="T14" s="117" t="n">
        <x:f>IF(AND(YEAR(T$3)=YEAR($B$8),MONTH(T$3)=MONTH($B$8)),SUM('Продажи'!$D$72:'Продажи'!S$72),0)+'ОБЪЕКТЫ'!T111</x:f>
        <x:v>0</x:v>
      </x:c>
      <x:c r="U14" s="117" t="n">
        <x:f>IF(AND(YEAR(U$3)=YEAR($B$8),MONTH(U$3)=MONTH($B$8)),SUM('Продажи'!$D$72:'Продажи'!T$72),0)+'ОБЪЕКТЫ'!U111</x:f>
        <x:v>0</x:v>
      </x:c>
      <x:c r="V14" s="117" t="n">
        <x:f>IF(AND(YEAR(V$3)=YEAR($B$8),MONTH(V$3)=MONTH($B$8)),SUM('Продажи'!$D$72:'Продажи'!U$72),0)+'ОБЪЕКТЫ'!V111</x:f>
        <x:v>0</x:v>
      </x:c>
      <x:c r="W14" s="117" t="n">
        <x:f>IF(AND(YEAR(W$3)=YEAR($B$8),MONTH(W$3)=MONTH($B$8)),SUM('Продажи'!$D$72:'Продажи'!V$72),0)+'ОБЪЕКТЫ'!W111</x:f>
        <x:v>0</x:v>
      </x:c>
      <x:c r="X14" s="117" t="n">
        <x:f>IF(AND(YEAR(X$3)=YEAR($B$8),MONTH(X$3)=MONTH($B$8)),SUM('Продажи'!$D$72:'Продажи'!W$72),0)+'ОБЪЕКТЫ'!X111</x:f>
        <x:v>0</x:v>
      </x:c>
      <x:c r="Y14" s="117" t="n">
        <x:f>IF(AND(YEAR(Y$3)=YEAR($B$8),MONTH(Y$3)=MONTH($B$8)),SUM('Продажи'!$D$72:'Продажи'!X$72),0)+'ОБЪЕКТЫ'!Y111</x:f>
        <x:v>0</x:v>
      </x:c>
      <x:c r="Z14" s="117" t="n">
        <x:f>IF(AND(YEAR(Z$3)=YEAR($B$8),MONTH(Z$3)=MONTH($B$8)),SUM('Продажи'!$D$72:'Продажи'!Y$72),0)+'ОБЪЕКТЫ'!Z111</x:f>
        <x:v>0</x:v>
      </x:c>
      <x:c r="AA14" s="117" t="n">
        <x:f>IF(AND(YEAR(AA$3)=YEAR($B$8),MONTH(AA$3)=MONTH($B$8)),SUM('Продажи'!$D$72:'Продажи'!Z$72),0)+'ОБЪЕКТЫ'!AA111</x:f>
        <x:v>0</x:v>
      </x:c>
      <x:c r="AB14" s="117" t="n">
        <x:f>IF(AND(YEAR(AB$3)=YEAR($B$8),MONTH(AB$3)=MONTH($B$8)),SUM('Продажи'!$D$72:'Продажи'!AA$72),0)+'ОБЪЕКТЫ'!AB111</x:f>
        <x:v>0</x:v>
      </x:c>
      <x:c r="AC14" s="117" t="n">
        <x:f>IF(AND(YEAR(AC$3)=YEAR($B$8),MONTH(AC$3)=MONTH($B$8)),SUM('Продажи'!$D$72:'Продажи'!AB$72),0)+'ОБЪЕКТЫ'!AC111</x:f>
        <x:v>0</x:v>
      </x:c>
      <x:c r="AD14" s="117" t="n">
        <x:f>IF(AND(YEAR(AD$3)=YEAR($B$8),MONTH(AD$3)=MONTH($B$8)),SUM('Продажи'!$D$72:'Продажи'!AC$72),0)+'ОБЪЕКТЫ'!AD111</x:f>
        <x:v>0</x:v>
      </x:c>
      <x:c r="AE14" s="117" t="n">
        <x:f>IF(AND(YEAR(AE$3)=YEAR($B$8),MONTH(AE$3)=MONTH($B$8)),SUM('Продажи'!$D$72:'Продажи'!AD$72),0)+'ОБЪЕКТЫ'!AE111</x:f>
        <x:v>0</x:v>
      </x:c>
      <x:c r="AF14" s="117" t="n">
        <x:f>IF(AND(YEAR(AF$3)=YEAR($B$8),MONTH(AF$3)=MONTH($B$8)),SUM('Продажи'!$D$72:'Продажи'!AE$72),0)+'ОБЪЕКТЫ'!AF111</x:f>
        <x:v>0</x:v>
      </x:c>
      <x:c r="AG14" s="117" t="n">
        <x:f>IF(AND(YEAR(AG$3)=YEAR($B$8),MONTH(AG$3)=MONTH($B$8)),SUM('Продажи'!$D$72:'Продажи'!AF$72),0)+'ОБЪЕКТЫ'!AG111</x:f>
        <x:v>0</x:v>
      </x:c>
      <x:c r="AH14" s="117" t="n">
        <x:f>IF(AND(YEAR(AH$3)=YEAR($B$8),MONTH(AH$3)=MONTH($B$8)),SUM('Продажи'!$D$72:'Продажи'!AG$72),0)+'ОБЪЕКТЫ'!AH111</x:f>
        <x:v>0</x:v>
      </x:c>
      <x:c r="AI14" s="117" t="n">
        <x:f>IF(AND(YEAR(AI$3)=YEAR($B$8),MONTH(AI$3)=MONTH($B$8)),SUM('Продажи'!$D$72:'Продажи'!AH$72),0)+'ОБЪЕКТЫ'!AI111</x:f>
        <x:v>0</x:v>
      </x:c>
      <x:c r="AJ14" s="117" t="n">
        <x:f>IF(AND(YEAR(AJ$3)=YEAR($B$8),MONTH(AJ$3)=MONTH($B$8)),SUM('Продажи'!$D$72:'Продажи'!AI$72),0)+'ОБЪЕКТЫ'!AJ111</x:f>
        <x:v>0</x:v>
      </x:c>
      <x:c r="AK14" s="117" t="n">
        <x:f>IF(AND(YEAR(AK$3)=YEAR($B$8),MONTH(AK$3)=MONTH($B$8)),SUM('Продажи'!$D$72:'Продажи'!AJ$72),0)+'ОБЪЕКТЫ'!AK111</x:f>
        <x:v>0</x:v>
      </x:c>
      <x:c r="AL14" s="117" t="n">
        <x:f>IF(AND(YEAR(AL$3)=YEAR($B$8),MONTH(AL$3)=MONTH($B$8)),SUM('Продажи'!$D$72:'Продажи'!AK$72),0)+'ОБЪЕКТЫ'!AL111</x:f>
        <x:v>0</x:v>
      </x:c>
      <x:c r="AM14" s="117" t="n">
        <x:f>IF(AND(YEAR(AM$3)=YEAR($B$8),MONTH(AM$3)=MONTH($B$8)),SUM('Продажи'!$D$72:'Продажи'!AL$72),0)+'ОБЪЕКТЫ'!AM111</x:f>
        <x:v>0</x:v>
      </x:c>
      <x:c r="AN14" s="117" t="n">
        <x:f>IF(AND(YEAR(AN$3)=YEAR($B$8),MONTH(AN$3)=MONTH($B$8)),SUM('Продажи'!$D$72:'Продажи'!AM$72),0)+'ОБЪЕКТЫ'!AN111</x:f>
        <x:v>0</x:v>
      </x:c>
      <x:c r="AO14" s="117" t="n">
        <x:f>IF(AND(YEAR(AO$3)=YEAR($B$8),MONTH(AO$3)=MONTH($B$8)),SUM('Продажи'!$D$72:'Продажи'!AN$72),0)+'ОБЪЕКТЫ'!AO111</x:f>
        <x:v>0</x:v>
      </x:c>
      <x:c r="AP14" s="117" t="n">
        <x:f>IF(AND(YEAR(AP$3)=YEAR($B$8),MONTH(AP$3)=MONTH($B$8)),SUM('Продажи'!$D$72:'Продажи'!AO$72),0)+'ОБЪЕКТЫ'!AP111</x:f>
        <x:v>0</x:v>
      </x:c>
      <x:c r="AQ14" s="117" t="n">
        <x:f>IF(AND(YEAR(AQ$3)=YEAR($B$8),MONTH(AQ$3)=MONTH($B$8)),SUM('Продажи'!$D$72:'Продажи'!AP$72),0)+'ОБЪЕКТЫ'!AQ111</x:f>
        <x:v>0</x:v>
      </x:c>
      <x:c r="AR14" s="117" t="n">
        <x:f>IF(AND(YEAR(AR$3)=YEAR($B$8),MONTH(AR$3)=MONTH($B$8)),SUM('Продажи'!$D$72:'Продажи'!AQ$72),0)+'ОБЪЕКТЫ'!AR111</x:f>
        <x:v>0</x:v>
      </x:c>
      <x:c r="AS14" s="117" t="n">
        <x:f>IF(AND(YEAR(AS$3)=YEAR($B$8),MONTH(AS$3)=MONTH($B$8)),SUM('Продажи'!$D$72:'Продажи'!AR$72),0)+'ОБЪЕКТЫ'!AS111</x:f>
        <x:v>0</x:v>
      </x:c>
      <x:c r="AT14" s="117" t="n">
        <x:f>IF(AND(YEAR(AT$3)=YEAR($B$8),MONTH(AT$3)=MONTH($B$8)),SUM('Продажи'!$D$72:'Продажи'!AS$72),0)+'ОБЪЕКТЫ'!AT111</x:f>
        <x:v>0</x:v>
      </x:c>
      <x:c r="AU14" s="117" t="n">
        <x:f>IF(AND(YEAR(AU$3)=YEAR($B$8),MONTH(AU$3)=MONTH($B$8)),SUM('Продажи'!$D$72:'Продажи'!AT$72),0)+'ОБЪЕКТЫ'!AU111</x:f>
        <x:v>0</x:v>
      </x:c>
      <x:c r="AV14" s="117" t="n">
        <x:f>IF(AND(YEAR(AV$3)=YEAR($B$8),MONTH(AV$3)=MONTH($B$8)),SUM('Продажи'!$D$72:'Продажи'!AU$72),0)+'ОБЪЕКТЫ'!AV111</x:f>
        <x:v>0</x:v>
      </x:c>
      <x:c r="AW14" s="117" t="n">
        <x:f>IF(AND(YEAR(AW$3)=YEAR($B$8),MONTH(AW$3)=MONTH($B$8)),SUM('Продажи'!$D$72:'Продажи'!AV$72),0)+'ОБЪЕКТЫ'!AW111</x:f>
        <x:v>0</x:v>
      </x:c>
      <x:c r="AX14" s="117" t="n">
        <x:f>IF(AND(YEAR(AX$3)=YEAR($B$8),MONTH(AX$3)=MONTH($B$8)),SUM('Продажи'!$D$72:'Продажи'!AW$72),0)+'ОБЪЕКТЫ'!AX111</x:f>
        <x:v>0</x:v>
      </x:c>
      <x:c r="AY14" s="117" t="n">
        <x:f>IF(AND(YEAR(AY$3)=YEAR($B$8),MONTH(AY$3)=MONTH($B$8)),SUM('Продажи'!$D$72:'Продажи'!AX$72),0)+'ОБЪЕКТЫ'!AY111</x:f>
        <x:v>0</x:v>
      </x:c>
      <x:c r="AZ14" s="117" t="n">
        <x:f>IF(AND(YEAR(AZ$3)=YEAR($B$8),MONTH(AZ$3)=MONTH($B$8)),SUM('Продажи'!$D$72:'Продажи'!AY$72),0)+'ОБЪЕКТЫ'!AZ111</x:f>
        <x:v>0</x:v>
      </x:c>
      <x:c r="BA14" s="117" t="n">
        <x:f>IF(AND(YEAR(BA$3)=YEAR($B$8),MONTH(BA$3)=MONTH($B$8)),SUM('Продажи'!$D$72:'Продажи'!AZ$72),0)+'ОБЪЕКТЫ'!BA111</x:f>
        <x:v>0</x:v>
      </x:c>
      <x:c r="BB14" s="117" t="n">
        <x:f>IF(AND(YEAR(BB$3)=YEAR($B$8),MONTH(BB$3)=MONTH($B$8)),SUM('Продажи'!$D$72:'Продажи'!BA$72),0)+'ОБЪЕКТЫ'!BB111</x:f>
        <x:v>0</x:v>
      </x:c>
      <x:c r="BC14" s="117" t="n">
        <x:f>IF(AND(YEAR(BC$3)=YEAR($B$8),MONTH(BC$3)=MONTH($B$8)),SUM('Продажи'!$D$72:'Продажи'!BB$72),0)+'ОБЪЕКТЫ'!BC111</x:f>
        <x:v>0</x:v>
      </x:c>
      <x:c r="BD14" s="117" t="n">
        <x:f>IF(AND(YEAR(BD$3)=YEAR($B$8),MONTH(BD$3)=MONTH($B$8)),SUM('Продажи'!$D$72:'Продажи'!BC$72),0)+'ОБЪЕКТЫ'!BD111</x:f>
        <x:v>0</x:v>
      </x:c>
      <x:c r="BE14" s="117" t="n">
        <x:f>IF(AND(YEAR(BE$3)=YEAR($B$8),MONTH(BE$3)=MONTH($B$8)),SUM('Продажи'!$D$72:'Продажи'!BD$72),0)+'ОБЪЕКТЫ'!BE111</x:f>
        <x:v>0</x:v>
      </x:c>
      <x:c r="BF14" s="117" t="n">
        <x:f>IF(AND(YEAR(BF$3)=YEAR($B$8),MONTH(BF$3)=MONTH($B$8)),SUM('Продажи'!$D$72:'Продажи'!BE$72),0)+'ОБЪЕКТЫ'!BF111</x:f>
        <x:v>0</x:v>
      </x:c>
      <x:c r="BG14" s="117" t="n">
        <x:f>IF(AND(YEAR(BG$3)=YEAR($B$8),MONTH(BG$3)=MONTH($B$8)),SUM('Продажи'!$D$72:'Продажи'!BF$72),0)+'ОБЪЕКТЫ'!BG111</x:f>
        <x:v>0</x:v>
      </x:c>
      <x:c r="BH14" s="117" t="n">
        <x:f>IF(AND(YEAR(BH$3)=YEAR($B$8),MONTH(BH$3)=MONTH($B$8)),SUM('Продажи'!$D$72:'Продажи'!BG$72),0)+'ОБЪЕКТЫ'!BH111</x:f>
        <x:v>0</x:v>
      </x:c>
      <x:c r="BI14" s="117" t="n">
        <x:f>IF(AND(YEAR(BI$3)=YEAR($B$8),MONTH(BI$3)=MONTH($B$8)),SUM('Продажи'!$D$72:'Продажи'!BH$72),0)+'ОБЪЕКТЫ'!BI111</x:f>
        <x:v>0</x:v>
      </x:c>
      <x:c r="BJ14" s="117" t="n">
        <x:f>IF(AND(YEAR(BJ$3)=YEAR($B$8),MONTH(BJ$3)=MONTH($B$8)),SUM('Продажи'!$D$72:'Продажи'!BI$72),0)+'ОБЪЕКТЫ'!BJ111</x:f>
        <x:v>0</x:v>
      </x:c>
      <x:c r="BK14" s="117" t="n">
        <x:f>IF(AND(YEAR(BK$3)=YEAR($B$8),MONTH(BK$3)=MONTH($B$8)),SUM('Продажи'!$D$72:'Продажи'!BJ$72),0)+'ОБЪЕКТЫ'!BK111</x:f>
        <x:v>0</x:v>
      </x:c>
      <x:c r="BL14" s="117" t="n">
        <x:f>IF(AND(YEAR(BL$3)=YEAR($B$8),MONTH(BL$3)=MONTH($B$8)),SUM('Продажи'!$D$72:'Продажи'!BK$72),0)+'ОБЪЕКТЫ'!BL111</x:f>
        <x:v>0</x:v>
      </x:c>
      <x:c r="BM14" s="117" t="n">
        <x:f>IF(AND(YEAR(BM$3)=YEAR($B$8),MONTH(BM$3)=MONTH($B$8)),SUM('Продажи'!$D$72:'Продажи'!BL$72),0)+'ОБЪЕКТЫ'!BM111</x:f>
        <x:v>0</x:v>
      </x:c>
      <x:c r="BN14" s="117" t="n">
        <x:f>IF(AND(YEAR(BN$3)=YEAR($B$8),MONTH(BN$3)=MONTH($B$8)),SUM('Продажи'!$D$72:'Продажи'!BM$72),0)+'ОБЪЕКТЫ'!BN111</x:f>
        <x:v>0</x:v>
      </x:c>
      <x:c r="BO14" s="117" t="n">
        <x:f>IF(AND(YEAR(BO$3)=YEAR($B$8),MONTH(BO$3)=MONTH($B$8)),SUM('Продажи'!$D$72:'Продажи'!BN$72),0)+'ОБЪЕКТЫ'!BO111</x:f>
        <x:v>0</x:v>
      </x:c>
      <x:c r="BP14" s="117" t="n">
        <x:f>IF(AND(YEAR(BP$3)=YEAR($B$8),MONTH(BP$3)=MONTH($B$8)),SUM('Продажи'!$D$72:'Продажи'!BO$72),0)+'ОБЪЕКТЫ'!BP111</x:f>
        <x:v>0</x:v>
      </x:c>
      <x:c r="BQ14" s="117" t="n">
        <x:f>IF(AND(YEAR(BQ$3)=YEAR($B$8),MONTH(BQ$3)=MONTH($B$8)),SUM('Продажи'!$D$72:'Продажи'!BP$72),0)+'ОБЪЕКТЫ'!BQ111</x:f>
        <x:v>0</x:v>
      </x:c>
      <x:c r="BR14" s="117" t="n">
        <x:f>IF(AND(YEAR(BR$3)=YEAR($B$8),MONTH(BR$3)=MONTH($B$8)),SUM('Продажи'!$D$72:'Продажи'!BQ$72),0)+'ОБЪЕКТЫ'!BR111</x:f>
        <x:v>0</x:v>
      </x:c>
      <x:c r="BS14" s="117" t="n">
        <x:f>IF(AND(YEAR(BS$3)=YEAR($B$8),MONTH(BS$3)=MONTH($B$8)),SUM('Продажи'!$D$72:'Продажи'!BR$72),0)+'ОБЪЕКТЫ'!BS111</x:f>
        <x:v>0</x:v>
      </x:c>
      <x:c r="BT14" s="117" t="n">
        <x:f>IF(AND(YEAR(BT$3)=YEAR($B$8),MONTH(BT$3)=MONTH($B$8)),SUM('Продажи'!$D$72:'Продажи'!BS$72),0)+'ОБЪЕКТЫ'!BT111</x:f>
        <x:v>0</x:v>
      </x:c>
      <x:c r="BU14" s="117" t="n">
        <x:f>IF(AND(YEAR(BU$3)=YEAR($B$8),MONTH(BU$3)=MONTH($B$8)),SUM('Продажи'!$D$72:'Продажи'!BT$72),0)+'ОБЪЕКТЫ'!BU111</x:f>
        <x:v>0</x:v>
      </x:c>
      <x:c r="BV14" s="117" t="n">
        <x:f>IF(AND(YEAR(BV$3)=YEAR($B$8),MONTH(BV$3)=MONTH($B$8)),SUM('Продажи'!$D$72:'Продажи'!BU$72),0)+'ОБЪЕКТЫ'!BV111</x:f>
        <x:v>0</x:v>
      </x:c>
      <x:c r="BW14" s="117" t="n">
        <x:f>IF(AND(YEAR(BW$3)=YEAR($B$8),MONTH(BW$3)=MONTH($B$8)),SUM('Продажи'!$D$72:'Продажи'!BV$72),0)+'ОБЪЕКТЫ'!BW111</x:f>
        <x:v>0</x:v>
      </x:c>
      <x:c r="BX14" s="117" t="n">
        <x:f>IF(AND(YEAR(BX$3)=YEAR($B$8),MONTH(BX$3)=MONTH($B$8)),SUM('Продажи'!$D$72:'Продажи'!BW$72),0)+'ОБЪЕКТЫ'!BX111</x:f>
        <x:v>0</x:v>
      </x:c>
      <x:c r="BY14" s="117" t="n">
        <x:f>IF(AND(YEAR(BY$3)=YEAR($B$8),MONTH(BY$3)=MONTH($B$8)),SUM('Продажи'!$D$72:'Продажи'!BX$72),0)+'ОБЪЕКТЫ'!BY111</x:f>
        <x:v>0</x:v>
      </x:c>
      <x:c r="BZ14" s="117" t="n">
        <x:f>IF(AND(YEAR(BZ$3)=YEAR($B$8),MONTH(BZ$3)=MONTH($B$8)),SUM('Продажи'!$D$72:'Продажи'!BY$72),0)+'ОБЪЕКТЫ'!BZ111</x:f>
        <x:v>0</x:v>
      </x:c>
      <x:c r="CA14" s="117" t="n">
        <x:f>IF(AND(YEAR(CA$3)=YEAR($B$8),MONTH(CA$3)=MONTH($B$8)),SUM('Продажи'!$D$72:'Продажи'!BZ$72),0)+'ОБЪЕКТЫ'!CA111</x:f>
        <x:v>0</x:v>
      </x:c>
      <x:c r="CB14" s="117" t="n">
        <x:f>IF(AND(YEAR(CB$3)=YEAR($B$8),MONTH(CB$3)=MONTH($B$8)),SUM('Продажи'!$D$72:'Продажи'!CA$72),0)+'ОБЪЕКТЫ'!CB111</x:f>
        <x:v>0</x:v>
      </x:c>
      <x:c r="CC14" s="117" t="n">
        <x:f>IF(AND(YEAR(CC$3)=YEAR($B$8),MONTH(CC$3)=MONTH($B$8)),SUM('Продажи'!$D$72:'Продажи'!CB$72),0)+'ОБЪЕКТЫ'!CC111</x:f>
        <x:v>0</x:v>
      </x:c>
      <x:c r="CD14" s="117" t="n">
        <x:f>IF(AND(YEAR(CD$3)=YEAR($B$8),MONTH(CD$3)=MONTH($B$8)),SUM('Продажи'!$D$72:'Продажи'!CC$72),0)+'ОБЪЕКТЫ'!CD111</x:f>
        <x:v>0</x:v>
      </x:c>
      <x:c r="CE14" s="117" t="n">
        <x:f>IF(AND(YEAR(CE$3)=YEAR($B$8),MONTH(CE$3)=MONTH($B$8)),SUM('Продажи'!$D$72:'Продажи'!CD$72),0)+'ОБЪЕКТЫ'!CE111</x:f>
        <x:v>0</x:v>
      </x:c>
      <x:c r="CF14" s="117" t="n">
        <x:f>IF(AND(YEAR(CF$3)=YEAR($B$8),MONTH(CF$3)=MONTH($B$8)),SUM('Продажи'!$D$72:'Продажи'!CE$72),0)+'ОБЪЕКТЫ'!CF111</x:f>
        <x:v>0</x:v>
      </x:c>
      <x:c r="CG14" s="117" t="n">
        <x:f>IF(AND(YEAR(CG$3)=YEAR($B$8),MONTH(CG$3)=MONTH($B$8)),SUM('Продажи'!$D$72:'Продажи'!CF$72),0)+'ОБЪЕКТЫ'!CG111</x:f>
        <x:v>0</x:v>
      </x:c>
      <x:c r="CH14" s="117" t="n">
        <x:f>IF(AND(YEAR(CH$3)=YEAR($B$8),MONTH(CH$3)=MONTH($B$8)),SUM('Продажи'!$D$72:'Продажи'!CG$72),0)+'ОБЪЕКТЫ'!CH111</x:f>
        <x:v>0</x:v>
      </x:c>
      <x:c r="CI14" s="117" t="n">
        <x:f>IF(AND(YEAR(CI$3)=YEAR($B$8),MONTH(CI$3)=MONTH($B$8)),SUM('Продажи'!$D$72:'Продажи'!CH$72),0)+'ОБЪЕКТЫ'!CI111</x:f>
        <x:v>0</x:v>
      </x:c>
      <x:c r="CJ14" s="117" t="n">
        <x:f>IF(AND(YEAR(CJ$3)=YEAR($B$8),MONTH(CJ$3)=MONTH($B$8)),SUM('Продажи'!$D$72:'Продажи'!CI$72),0)+'ОБЪЕКТЫ'!CJ111</x:f>
        <x:v>0</x:v>
      </x:c>
      <x:c r="CK14" s="117" t="n">
        <x:f>IF(AND(YEAR(CK$3)=YEAR($B$8),MONTH(CK$3)=MONTH($B$8)),SUM('Продажи'!$D$72:'Продажи'!CJ$72),0)+'ОБЪЕКТЫ'!CK111</x:f>
        <x:v>0</x:v>
      </x:c>
      <x:c r="CL14" s="117" t="n">
        <x:f>IF(AND(YEAR(CL$3)=YEAR($B$8),MONTH(CL$3)=MONTH($B$8)),SUM('Продажи'!$D$72:'Продажи'!CK$72),0)+'ОБЪЕКТЫ'!CL111</x:f>
        <x:v>0</x:v>
      </x:c>
      <x:c r="CM14" s="117" t="n">
        <x:f>IF(AND(YEAR(CM$3)=YEAR($B$8),MONTH(CM$3)=MONTH($B$8)),SUM('Продажи'!$D$72:'Продажи'!CL$72),0)+'ОБЪЕКТЫ'!CM111</x:f>
        <x:v>0</x:v>
      </x:c>
      <x:c r="CN14" s="117" t="n">
        <x:f>IF(AND(YEAR(CN$3)=YEAR($B$8),MONTH(CN$3)=MONTH($B$8)),SUM('Продажи'!$D$72:'Продажи'!CM$72),0)+'ОБЪЕКТЫ'!CN111</x:f>
        <x:v>0</x:v>
      </x:c>
      <x:c r="CO14" s="117" t="n">
        <x:f>IF(AND(YEAR(CO$3)=YEAR($B$8),MONTH(CO$3)=MONTH($B$8)),SUM('Продажи'!$D$72:'Продажи'!CN$72),0)+'ОБЪЕКТЫ'!CO111</x:f>
        <x:v>0</x:v>
      </x:c>
      <x:c r="CP14" s="117" t="n">
        <x:f>IF(AND(YEAR(CP$3)=YEAR($B$8),MONTH(CP$3)=MONTH($B$8)),SUM('Продажи'!$D$72:'Продажи'!CO$72),0)+'ОБЪЕКТЫ'!CP111</x:f>
        <x:v>0</x:v>
      </x:c>
      <x:c r="CQ14" s="117" t="n">
        <x:f>IF(AND(YEAR(CQ$3)=YEAR($B$8),MONTH(CQ$3)=MONTH($B$8)),SUM('Продажи'!$D$72:'Продажи'!CP$72),0)+'ОБЪЕКТЫ'!CQ111</x:f>
        <x:v>0</x:v>
      </x:c>
      <x:c r="CR14" s="117" t="n">
        <x:f>IF(AND(YEAR(CR$3)=YEAR($B$8),MONTH(CR$3)=MONTH($B$8)),SUM('Продажи'!$D$72:'Продажи'!CQ$72),0)+'ОБЪЕКТЫ'!CR111</x:f>
        <x:v>0</x:v>
      </x:c>
      <x:c r="CS14" s="117" t="n">
        <x:f>IF(AND(YEAR(CS$3)=YEAR($B$8),MONTH(CS$3)=MONTH($B$8)),SUM('Продажи'!$D$72:'Продажи'!CR$72),0)+'ОБЪЕКТЫ'!CS111</x:f>
        <x:v>0</x:v>
      </x:c>
      <x:c r="CT14" s="117" t="n">
        <x:f>IF(AND(YEAR(CT$3)=YEAR($B$8),MONTH(CT$3)=MONTH($B$8)),SUM('Продажи'!$D$72:'Продажи'!CS$72),0)+'ОБЪЕКТЫ'!CT111</x:f>
        <x:v>0</x:v>
      </x:c>
      <x:c r="CU14" s="117" t="n">
        <x:f>IF(AND(YEAR(CU$3)=YEAR($B$8),MONTH(CU$3)=MONTH($B$8)),SUM('Продажи'!$D$72:'Продажи'!CT$72),0)+'ОБЪЕКТЫ'!CU111</x:f>
        <x:v>0</x:v>
      </x:c>
      <x:c r="CV14" s="117" t="n">
        <x:f>IF(AND(YEAR(CV$3)=YEAR($B$8),MONTH(CV$3)=MONTH($B$8)),SUM('Продажи'!$D$72:'Продажи'!CU$72),0)+'ОБЪЕКТЫ'!CV111</x:f>
        <x:v>0</x:v>
      </x:c>
      <x:c r="CW14" s="117" t="n">
        <x:f>IF(AND(YEAR(CW$3)=YEAR($B$8),MONTH(CW$3)=MONTH($B$8)),SUM('Продажи'!$D$72:'Продажи'!CV$72),0)+'ОБЪЕКТЫ'!CW111</x:f>
        <x:v>0</x:v>
      </x:c>
      <x:c r="CX14" s="117" t="n">
        <x:f>IF(AND(YEAR(CX$3)=YEAR($B$8),MONTH(CX$3)=MONTH($B$8)),SUM('Продажи'!$D$72:'Продажи'!CW$72),0)+'ОБЪЕКТЫ'!CX111</x:f>
        <x:v>0</x:v>
      </x:c>
      <x:c r="CY14" s="117" t="n">
        <x:f>IF(AND(YEAR(CY$3)=YEAR($B$8),MONTH(CY$3)=MONTH($B$8)),SUM('Продажи'!$D$72:'Продажи'!CX$72),0)+'ОБЪЕКТЫ'!CY111</x:f>
        <x:v>0</x:v>
      </x:c>
      <x:c r="CZ14" s="117" t="n">
        <x:f>IF(AND(YEAR(CZ$3)=YEAR($B$8),MONTH(CZ$3)=MONTH($B$8)),SUM('Продажи'!$D$72:'Продажи'!CY$72),0)+'ОБЪЕКТЫ'!CZ111</x:f>
        <x:v>0</x:v>
      </x:c>
      <x:c r="DA14" s="117" t="n">
        <x:f>IF(AND(YEAR(DA$3)=YEAR($B$8),MONTH(DA$3)=MONTH($B$8)),SUM('Продажи'!$D$72:'Продажи'!CZ$72),0)+'ОБЪЕКТЫ'!DA111</x:f>
        <x:v>0</x:v>
      </x:c>
      <x:c r="DB14" s="117" t="n">
        <x:f>IF(AND(YEAR(DB$3)=YEAR($B$8),MONTH(DB$3)=MONTH($B$8)),SUM('Продажи'!$D$72:'Продажи'!DA$72),0)+'ОБЪЕКТЫ'!DB111</x:f>
        <x:v>0</x:v>
      </x:c>
      <x:c r="DC14" s="117" t="n">
        <x:f>IF(AND(YEAR(DC$3)=YEAR($B$8),MONTH(DC$3)=MONTH($B$8)),SUM('Продажи'!$D$72:'Продажи'!DB$72),0)+'ОБЪЕКТЫ'!DC111</x:f>
        <x:v>0</x:v>
      </x:c>
      <x:c r="DD14" s="117" t="n">
        <x:f>IF(AND(YEAR(DD$3)=YEAR($B$8),MONTH(DD$3)=MONTH($B$8)),SUM('Продажи'!$D$72:'Продажи'!DC$72),0)+'ОБЪЕКТЫ'!DD111</x:f>
        <x:v>0</x:v>
      </x:c>
      <x:c r="DE14" s="117" t="n">
        <x:f>IF(AND(YEAR(DE$3)=YEAR($B$8),MONTH(DE$3)=MONTH($B$8)),SUM('Продажи'!$D$72:'Продажи'!DD$72),0)+'ОБЪЕКТЫ'!DE111</x:f>
        <x:v>0</x:v>
      </x:c>
      <x:c r="DF14" s="117" t="n">
        <x:f>IF(AND(YEAR(DF$3)=YEAR($B$8),MONTH(DF$3)=MONTH($B$8)),SUM('Продажи'!$D$72:'Продажи'!DE$72),0)+'ОБЪЕКТЫ'!DF111</x:f>
        <x:v>0</x:v>
      </x:c>
      <x:c r="DG14" s="117" t="n">
        <x:f>IF(AND(YEAR(DG$3)=YEAR($B$8),MONTH(DG$3)=MONTH($B$8)),SUM('Продажи'!$D$72:'Продажи'!DF$72),0)+'ОБЪЕКТЫ'!DG111</x:f>
        <x:v>0</x:v>
      </x:c>
      <x:c r="DH14" s="117" t="n">
        <x:f>IF(AND(YEAR(DH$3)=YEAR($B$8),MONTH(DH$3)=MONTH($B$8)),SUM('Продажи'!$D$72:'Продажи'!DG$72),0)+'ОБЪЕКТЫ'!DH111</x:f>
        <x:v>0</x:v>
      </x:c>
      <x:c r="DI14" s="117" t="n">
        <x:f>IF(AND(YEAR(DI$3)=YEAR($B$8),MONTH(DI$3)=MONTH($B$8)),SUM('Продажи'!$D$72:'Продажи'!DH$72),0)+'ОБЪЕКТЫ'!DI111</x:f>
        <x:v>0</x:v>
      </x:c>
      <x:c r="DJ14" s="117" t="n">
        <x:f>IF(AND(YEAR(DJ$3)=YEAR($B$8),MONTH(DJ$3)=MONTH($B$8)),SUM('Продажи'!$D$72:'Продажи'!DI$72),0)+'ОБЪЕКТЫ'!DJ111</x:f>
        <x:v>0</x:v>
      </x:c>
      <x:c r="DK14" s="117" t="n">
        <x:f>IF(AND(YEAR(DK$3)=YEAR($B$8),MONTH(DK$3)=MONTH($B$8)),SUM('Продажи'!$D$72:'Продажи'!DJ$72),0)+'ОБЪЕКТЫ'!DK111</x:f>
        <x:v>0</x:v>
      </x:c>
      <x:c r="DL14" s="117" t="n">
        <x:f>IF(AND(YEAR(DL$3)=YEAR($B$8),MONTH(DL$3)=MONTH($B$8)),SUM('Продажи'!$D$72:'Продажи'!DK$72),0)+'ОБЪЕКТЫ'!DL111</x:f>
        <x:v>0</x:v>
      </x:c>
      <x:c r="DM14" s="117" t="n">
        <x:f>IF(AND(YEAR(DM$3)=YEAR($B$8),MONTH(DM$3)=MONTH($B$8)),SUM('Продажи'!$D$72:'Продажи'!DL$72),0)+'ОБЪЕКТЫ'!DM111</x:f>
        <x:v>0</x:v>
      </x:c>
      <x:c r="DN14" s="117" t="n">
        <x:f>IF(AND(YEAR(DN$3)=YEAR($B$8),MONTH(DN$3)=MONTH($B$8)),SUM('Продажи'!$D$72:'Продажи'!DM$72),0)+'ОБЪЕКТЫ'!DN111</x:f>
        <x:v>0</x:v>
      </x:c>
      <x:c r="DO14" s="117" t="n">
        <x:f>IF(AND(YEAR(DO$3)=YEAR($B$8),MONTH(DO$3)=MONTH($B$8)),SUM('Продажи'!$D$72:'Продажи'!DN$72),0)+'ОБЪЕКТЫ'!DO111</x:f>
        <x:v>0</x:v>
      </x:c>
      <x:c r="DP14" s="117" t="n">
        <x:f>IF(AND(YEAR(DP$3)=YEAR($B$8),MONTH(DP$3)=MONTH($B$8)),SUM('Продажи'!$D$72:'Продажи'!DO$72),0)+'ОБЪЕКТЫ'!DP111</x:f>
        <x:v>0</x:v>
      </x:c>
      <x:c r="DQ14" s="117" t="n">
        <x:f>IF(AND(YEAR(DQ$3)=YEAR($B$8),MONTH(DQ$3)=MONTH($B$8)),SUM('Продажи'!$D$72:'Продажи'!DP$72),0)+'ОБЪЕКТЫ'!DQ111</x:f>
        <x:v>0</x:v>
      </x:c>
      <x:c r="DR14" s="117" t="n">
        <x:f>IF(AND(YEAR(DR$3)=YEAR($B$8),MONTH(DR$3)=MONTH($B$8)),SUM('Продажи'!$D$72:'Продажи'!DQ$72),0)+'ОБЪЕКТЫ'!DR111</x:f>
        <x:v>0</x:v>
      </x:c>
      <x:c r="DS14" s="117" t="n">
        <x:f>IF(AND(YEAR(DS$3)=YEAR($B$8),MONTH(DS$3)=MONTH($B$8)),SUM('Продажи'!$D$72:'Продажи'!DR$72),0)+'ОБЪЕКТЫ'!DS111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0</x:v>
      </x:c>
      <x:c r="W15" s="117" t="n">
        <x:f>MAX(0,W13+W11-W14)</x:f>
        <x:v>0</x:v>
      </x:c>
      <x:c r="X15" s="117" t="n">
        <x:f>MAX(0,X13+X11-X14)</x:f>
        <x:v>0</x:v>
      </x:c>
      <x:c r="Y15" s="117" t="n">
        <x:f>MAX(0,Y13+Y11-Y14)</x:f>
        <x:v>0</x:v>
      </x:c>
      <x:c r="Z15" s="117" t="n">
        <x:f>MAX(0,Z13+Z11-Z14)</x:f>
        <x:v>0</x:v>
      </x:c>
      <x:c r="AA15" s="117" t="n">
        <x:f>MAX(0,AA13+AA11-AA14)</x:f>
        <x:v>0</x:v>
      </x:c>
      <x:c r="AB15" s="117" t="n">
        <x:f>MAX(0,AB13+AB11-AB14)</x:f>
        <x:v>0</x:v>
      </x:c>
      <x:c r="AC15" s="117" t="n">
        <x:f>MAX(0,AC13+AC11-AC14)</x:f>
        <x:v>0</x:v>
      </x:c>
      <x:c r="AD15" s="117" t="n">
        <x:f>MAX(0,AD13+AD11-AD14)</x:f>
        <x:v>0</x:v>
      </x:c>
      <x:c r="AE15" s="117" t="n">
        <x:f>MAX(0,AE13+AE11-AE14)</x:f>
        <x:v>0</x:v>
      </x:c>
      <x:c r="AF15" s="117" t="n">
        <x:f>MAX(0,AF13+AF11-AF14)</x:f>
        <x:v>0</x:v>
      </x:c>
      <x:c r="AG15" s="117" t="n">
        <x:f>MAX(0,AG13+AG11-AG14)</x:f>
        <x:v>0</x:v>
      </x:c>
      <x:c r="AH15" s="117" t="n">
        <x:f>MAX(0,AH13+AH11-AH14)</x:f>
        <x:v>0</x:v>
      </x:c>
      <x:c r="AI15" s="117" t="n">
        <x:f>MAX(0,AI13+AI11-AI14)</x:f>
        <x:v>0</x:v>
      </x:c>
      <x:c r="AJ15" s="117" t="n">
        <x:f>MAX(0,AJ13+AJ11-AJ14)</x:f>
        <x:v>0</x:v>
      </x:c>
      <x:c r="AK15" s="117" t="n">
        <x:f>MAX(0,AK13+AK11-AK14)</x:f>
        <x:v>0</x:v>
      </x:c>
      <x:c r="AL15" s="117" t="n">
        <x:f>MAX(0,AL13+AL11-AL14)</x:f>
        <x:v>0</x:v>
      </x:c>
      <x:c r="AM15" s="117" t="n">
        <x:f>MAX(0,AM13+AM11-AM14)</x:f>
        <x:v>0</x:v>
      </x:c>
      <x:c r="AN15" s="117" t="n">
        <x:f>MAX(0,AN13+AN11-AN14)</x:f>
        <x:v>0</x:v>
      </x:c>
      <x:c r="AO15" s="117" t="n">
        <x:f>MAX(0,AO13+AO11-AO14)</x:f>
        <x:v>0</x:v>
      </x:c>
      <x:c r="AP15" s="117" t="n">
        <x:f>MAX(0,AP13+AP11-AP14)</x:f>
        <x:v>0</x:v>
      </x:c>
      <x:c r="AQ15" s="117" t="n">
        <x:f>MAX(0,AQ13+AQ11-AQ14)</x:f>
        <x:v>0</x:v>
      </x:c>
      <x:c r="AR15" s="117" t="n">
        <x:f>MAX(0,AR13+AR11-AR14)</x:f>
        <x:v>0</x:v>
      </x:c>
      <x:c r="AS15" s="117" t="n">
        <x:f>MAX(0,AS13+AS11-AS14)</x:f>
        <x:v>0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0</x:v>
      </x:c>
      <x:c r="C17" t="str">
        <x:v>млн ₽</x:v>
      </x:c>
      <x:c r="D17" s="117" t="n">
        <x:f>'CAPEX'!D100</x:f>
        <x:v>0</x:v>
      </x:c>
      <x:c r="E17" s="117" t="n">
        <x:f>'CAPEX'!E100</x:f>
        <x:v>0</x:v>
      </x:c>
      <x:c r="F17" s="117" t="n">
        <x:f>'CAPEX'!F100</x:f>
        <x:v>0</x:v>
      </x:c>
      <x:c r="G17" s="117" t="n">
        <x:f>'CAPEX'!G100</x:f>
        <x:v>0</x:v>
      </x:c>
      <x:c r="H17" s="117" t="n">
        <x:f>'CAPEX'!H100</x:f>
        <x:v>0</x:v>
      </x:c>
      <x:c r="I17" s="117" t="n">
        <x:f>'CAPEX'!I100</x:f>
        <x:v>0</x:v>
      </x:c>
      <x:c r="J17" s="117" t="n">
        <x:f>'CAPEX'!J100</x:f>
        <x:v>0</x:v>
      </x:c>
      <x:c r="K17" s="117" t="n">
        <x:f>'CAPEX'!K100</x:f>
        <x:v>0</x:v>
      </x:c>
      <x:c r="L17" s="117" t="n">
        <x:f>'CAPEX'!L100</x:f>
        <x:v>0</x:v>
      </x:c>
      <x:c r="M17" s="117" t="n">
        <x:f>'CAPEX'!M100</x:f>
        <x:v>0</x:v>
      </x:c>
      <x:c r="N17" s="117" t="n">
        <x:f>'CAPEX'!N100</x:f>
        <x:v>0</x:v>
      </x:c>
      <x:c r="O17" s="117" t="n">
        <x:f>'CAPEX'!O100</x:f>
        <x:v>0</x:v>
      </x:c>
      <x:c r="P17" s="117" t="n">
        <x:f>'CAPEX'!P100</x:f>
        <x:v>0</x:v>
      </x:c>
      <x:c r="Q17" s="117" t="n">
        <x:f>'CAPEX'!Q100</x:f>
        <x:v>0</x:v>
      </x:c>
      <x:c r="R17" s="117" t="n">
        <x:f>'CAPEX'!R100</x:f>
        <x:v>0</x:v>
      </x:c>
      <x:c r="S17" s="117" t="n">
        <x:f>'CAPEX'!S100</x:f>
        <x:v>0</x:v>
      </x:c>
      <x:c r="T17" s="117" t="n">
        <x:f>'CAPEX'!T100</x:f>
        <x:v>0</x:v>
      </x:c>
      <x:c r="U17" s="117" t="n">
        <x:f>'CAPEX'!U100</x:f>
        <x:v>0</x:v>
      </x:c>
      <x:c r="V17" s="117" t="n">
        <x:f>'CAPEX'!V100</x:f>
        <x:v>0</x:v>
      </x:c>
      <x:c r="W17" s="117" t="n">
        <x:f>'CAPEX'!W100</x:f>
        <x:v>0</x:v>
      </x:c>
      <x:c r="X17" s="117" t="n">
        <x:f>'CAPEX'!X100</x:f>
        <x:v>0</x:v>
      </x:c>
      <x:c r="Y17" s="117" t="n">
        <x:f>'CAPEX'!Y100</x:f>
        <x:v>0</x:v>
      </x:c>
      <x:c r="Z17" s="117" t="n">
        <x:f>'CAPEX'!Z100</x:f>
        <x:v>0</x:v>
      </x:c>
      <x:c r="AA17" s="117" t="n">
        <x:f>'CAPEX'!AA100</x:f>
        <x:v>0</x:v>
      </x:c>
      <x:c r="AB17" s="117" t="n">
        <x:f>'CAPEX'!AB100</x:f>
        <x:v>0</x:v>
      </x:c>
      <x:c r="AC17" s="117" t="n">
        <x:f>'CAPEX'!AC100</x:f>
        <x:v>0</x:v>
      </x:c>
      <x:c r="AD17" s="117" t="n">
        <x:f>'CAPEX'!AD100</x:f>
        <x:v>0</x:v>
      </x:c>
      <x:c r="AE17" s="117" t="n">
        <x:f>'CAPEX'!AE100</x:f>
        <x:v>0</x:v>
      </x:c>
      <x:c r="AF17" s="117" t="n">
        <x:f>'CAPEX'!AF100</x:f>
        <x:v>0</x:v>
      </x:c>
      <x:c r="AG17" s="117" t="n">
        <x:f>'CAPEX'!AG100</x:f>
        <x:v>0</x:v>
      </x:c>
      <x:c r="AH17" s="117" t="n">
        <x:f>'CAPEX'!AH100</x:f>
        <x:v>0</x:v>
      </x:c>
      <x:c r="AI17" s="117" t="n">
        <x:f>'CAPEX'!AI100</x:f>
        <x:v>0</x:v>
      </x:c>
      <x:c r="AJ17" s="117" t="n">
        <x:f>'CAPEX'!AJ100</x:f>
        <x:v>0</x:v>
      </x:c>
      <x:c r="AK17" s="117" t="n">
        <x:f>'CAPEX'!AK100</x:f>
        <x:v>0</x:v>
      </x:c>
      <x:c r="AL17" s="117" t="n">
        <x:f>'CAPEX'!AL100</x:f>
        <x:v>0</x:v>
      </x:c>
      <x:c r="AM17" s="117" t="n">
        <x:f>'CAPEX'!AM100</x:f>
        <x:v>0</x:v>
      </x:c>
      <x:c r="AN17" s="117" t="n">
        <x:f>'CAPEX'!AN100</x:f>
        <x:v>0</x:v>
      </x:c>
      <x:c r="AO17" s="117" t="n">
        <x:f>'CAPEX'!AO100</x:f>
        <x:v>0</x:v>
      </x:c>
      <x:c r="AP17" s="117" t="n">
        <x:f>'CAPEX'!AP100</x:f>
        <x:v>0</x:v>
      </x:c>
      <x:c r="AQ17" s="117" t="n">
        <x:f>'CAPEX'!AQ100</x:f>
        <x:v>0</x:v>
      </x:c>
      <x:c r="AR17" s="117" t="n">
        <x:f>'CAPEX'!AR100</x:f>
        <x:v>0</x:v>
      </x:c>
      <x:c r="AS17" s="117" t="n">
        <x:f>'CAPEX'!AS100</x:f>
        <x:v>0</x:v>
      </x:c>
      <x:c r="AT17" s="117" t="n">
        <x:f>'CAPEX'!AT100</x:f>
        <x:v>0</x:v>
      </x:c>
      <x:c r="AU17" s="117" t="n">
        <x:f>'CAPEX'!AU100</x:f>
        <x:v>0</x:v>
      </x:c>
      <x:c r="AV17" s="117" t="n">
        <x:f>'CAPEX'!AV100</x:f>
        <x:v>0</x:v>
      </x:c>
      <x:c r="AW17" s="117" t="n">
        <x:f>'CAPEX'!AW100</x:f>
        <x:v>0</x:v>
      </x:c>
      <x:c r="AX17" s="117" t="n">
        <x:f>'CAPEX'!AX100</x:f>
        <x:v>0</x:v>
      </x:c>
      <x:c r="AY17" s="117" t="n">
        <x:f>'CAPEX'!AY100</x:f>
        <x:v>0</x:v>
      </x:c>
      <x:c r="AZ17" s="117" t="n">
        <x:f>'CAPEX'!AZ100</x:f>
        <x:v>0</x:v>
      </x:c>
      <x:c r="BA17" s="117" t="n">
        <x:f>'CAPEX'!BA100</x:f>
        <x:v>0</x:v>
      </x:c>
      <x:c r="BB17" s="117" t="n">
        <x:f>'CAPEX'!BB100</x:f>
        <x:v>0</x:v>
      </x:c>
      <x:c r="BC17" s="117" t="n">
        <x:f>'CAPEX'!BC100</x:f>
        <x:v>0</x:v>
      </x:c>
      <x:c r="BD17" s="117" t="n">
        <x:f>'CAPEX'!BD100</x:f>
        <x:v>0</x:v>
      </x:c>
      <x:c r="BE17" s="117" t="n">
        <x:f>'CAPEX'!BE100</x:f>
        <x:v>0</x:v>
      </x:c>
      <x:c r="BF17" s="117" t="n">
        <x:f>'CAPEX'!BF100</x:f>
        <x:v>0</x:v>
      </x:c>
      <x:c r="BG17" s="117" t="n">
        <x:f>'CAPEX'!BG100</x:f>
        <x:v>0</x:v>
      </x:c>
      <x:c r="BH17" s="117" t="n">
        <x:f>'CAPEX'!BH100</x:f>
        <x:v>0</x:v>
      </x:c>
      <x:c r="BI17" s="117" t="n">
        <x:f>'CAPEX'!BI100</x:f>
        <x:v>0</x:v>
      </x:c>
      <x:c r="BJ17" s="117" t="n">
        <x:f>'CAPEX'!BJ100</x:f>
        <x:v>0</x:v>
      </x:c>
      <x:c r="BK17" s="117" t="n">
        <x:f>'CAPEX'!BK100</x:f>
        <x:v>0</x:v>
      </x:c>
      <x:c r="BL17" s="117" t="n">
        <x:f>'CAPEX'!BL100</x:f>
        <x:v>0</x:v>
      </x:c>
      <x:c r="BM17" s="117" t="n">
        <x:f>'CAPEX'!BM100</x:f>
        <x:v>0</x:v>
      </x:c>
      <x:c r="BN17" s="117" t="n">
        <x:f>'CAPEX'!BN100</x:f>
        <x:v>0</x:v>
      </x:c>
      <x:c r="BO17" s="117" t="n">
        <x:f>'CAPEX'!BO100</x:f>
        <x:v>0</x:v>
      </x:c>
      <x:c r="BP17" s="117" t="n">
        <x:f>'CAPEX'!BP100</x:f>
        <x:v>0</x:v>
      </x:c>
      <x:c r="BQ17" s="117" t="n">
        <x:f>'CAPEX'!BQ100</x:f>
        <x:v>0</x:v>
      </x:c>
      <x:c r="BR17" s="117" t="n">
        <x:f>'CAPEX'!BR100</x:f>
        <x:v>0</x:v>
      </x:c>
      <x:c r="BS17" s="117" t="n">
        <x:f>'CAPEX'!BS100</x:f>
        <x:v>0</x:v>
      </x:c>
      <x:c r="BT17" s="117" t="n">
        <x:f>'CAPEX'!BT100</x:f>
        <x:v>0</x:v>
      </x:c>
      <x:c r="BU17" s="117" t="n">
        <x:f>'CAPEX'!BU100</x:f>
        <x:v>0</x:v>
      </x:c>
      <x:c r="BV17" s="117" t="n">
        <x:f>'CAPEX'!BV100</x:f>
        <x:v>0</x:v>
      </x:c>
      <x:c r="BW17" s="117" t="n">
        <x:f>'CAPEX'!BW100</x:f>
        <x:v>0</x:v>
      </x:c>
      <x:c r="BX17" s="117" t="n">
        <x:f>'CAPEX'!BX100</x:f>
        <x:v>0</x:v>
      </x:c>
      <x:c r="BY17" s="117" t="n">
        <x:f>'CAPEX'!BY100</x:f>
        <x:v>0</x:v>
      </x:c>
      <x:c r="BZ17" s="117" t="n">
        <x:f>'CAPEX'!BZ100</x:f>
        <x:v>0</x:v>
      </x:c>
      <x:c r="CA17" s="117" t="n">
        <x:f>'CAPEX'!CA100</x:f>
        <x:v>0</x:v>
      </x:c>
      <x:c r="CB17" s="117" t="n">
        <x:f>'CAPEX'!CB100</x:f>
        <x:v>0</x:v>
      </x:c>
      <x:c r="CC17" s="117" t="n">
        <x:f>'CAPEX'!CC100</x:f>
        <x:v>0</x:v>
      </x:c>
      <x:c r="CD17" s="117" t="n">
        <x:f>'CAPEX'!CD100</x:f>
        <x:v>0</x:v>
      </x:c>
      <x:c r="CE17" s="117" t="n">
        <x:f>'CAPEX'!CE100</x:f>
        <x:v>0</x:v>
      </x:c>
      <x:c r="CF17" s="117" t="n">
        <x:f>'CAPEX'!CF100</x:f>
        <x:v>0</x:v>
      </x:c>
      <x:c r="CG17" s="117" t="n">
        <x:f>'CAPEX'!CG100</x:f>
        <x:v>0</x:v>
      </x:c>
      <x:c r="CH17" s="117" t="n">
        <x:f>'CAPEX'!CH100</x:f>
        <x:v>0</x:v>
      </x:c>
      <x:c r="CI17" s="117" t="n">
        <x:f>'CAPEX'!CI100</x:f>
        <x:v>0</x:v>
      </x:c>
      <x:c r="CJ17" s="117" t="n">
        <x:f>'CAPEX'!CJ100</x:f>
        <x:v>0</x:v>
      </x:c>
      <x:c r="CK17" s="117" t="n">
        <x:f>'CAPEX'!CK100</x:f>
        <x:v>0</x:v>
      </x:c>
      <x:c r="CL17" s="117" t="n">
        <x:f>'CAPEX'!CL100</x:f>
        <x:v>0</x:v>
      </x:c>
      <x:c r="CM17" s="117" t="n">
        <x:f>'CAPEX'!CM100</x:f>
        <x:v>0</x:v>
      </x:c>
      <x:c r="CN17" s="117" t="n">
        <x:f>'CAPEX'!CN100</x:f>
        <x:v>0</x:v>
      </x:c>
      <x:c r="CO17" s="117" t="n">
        <x:f>'CAPEX'!CO100</x:f>
        <x:v>0</x:v>
      </x:c>
      <x:c r="CP17" s="117" t="n">
        <x:f>'CAPEX'!CP100</x:f>
        <x:v>0</x:v>
      </x:c>
      <x:c r="CQ17" s="117" t="n">
        <x:f>'CAPEX'!CQ100</x:f>
        <x:v>0</x:v>
      </x:c>
      <x:c r="CR17" s="117" t="n">
        <x:f>'CAPEX'!CR100</x:f>
        <x:v>0</x:v>
      </x:c>
      <x:c r="CS17" s="117" t="n">
        <x:f>'CAPEX'!CS100</x:f>
        <x:v>0</x:v>
      </x:c>
      <x:c r="CT17" s="117" t="n">
        <x:f>'CAPEX'!CT100</x:f>
        <x:v>0</x:v>
      </x:c>
      <x:c r="CU17" s="117" t="n">
        <x:f>'CAPEX'!CU100</x:f>
        <x:v>0</x:v>
      </x:c>
      <x:c r="CV17" s="117" t="n">
        <x:f>'CAPEX'!CV100</x:f>
        <x:v>0</x:v>
      </x:c>
      <x:c r="CW17" s="117" t="n">
        <x:f>'CAPEX'!CW100</x:f>
        <x:v>0</x:v>
      </x:c>
      <x:c r="CX17" s="117" t="n">
        <x:f>'CAPEX'!CX100</x:f>
        <x:v>0</x:v>
      </x:c>
      <x:c r="CY17" s="117" t="n">
        <x:f>'CAPEX'!CY100</x:f>
        <x:v>0</x:v>
      </x:c>
      <x:c r="CZ17" s="117" t="n">
        <x:f>'CAPEX'!CZ100</x:f>
        <x:v>0</x:v>
      </x:c>
      <x:c r="DA17" s="117" t="n">
        <x:f>'CAPEX'!DA100</x:f>
        <x:v>0</x:v>
      </x:c>
      <x:c r="DB17" s="117" t="n">
        <x:f>'CAPEX'!DB100</x:f>
        <x:v>0</x:v>
      </x:c>
      <x:c r="DC17" s="117" t="n">
        <x:f>'CAPEX'!DC100</x:f>
        <x:v>0</x:v>
      </x:c>
      <x:c r="DD17" s="117" t="n">
        <x:f>'CAPEX'!DD100</x:f>
        <x:v>0</x:v>
      </x:c>
      <x:c r="DE17" s="117" t="n">
        <x:f>'CAPEX'!DE100</x:f>
        <x:v>0</x:v>
      </x:c>
      <x:c r="DF17" s="117" t="n">
        <x:f>'CAPEX'!DF100</x:f>
        <x:v>0</x:v>
      </x:c>
      <x:c r="DG17" s="117" t="n">
        <x:f>'CAPEX'!DG100</x:f>
        <x:v>0</x:v>
      </x:c>
      <x:c r="DH17" s="117" t="n">
        <x:f>'CAPEX'!DH100</x:f>
        <x:v>0</x:v>
      </x:c>
      <x:c r="DI17" s="117" t="n">
        <x:f>'CAPEX'!DI100</x:f>
        <x:v>0</x:v>
      </x:c>
      <x:c r="DJ17" s="117" t="n">
        <x:f>'CAPEX'!DJ100</x:f>
        <x:v>0</x:v>
      </x:c>
      <x:c r="DK17" s="117" t="n">
        <x:f>'CAPEX'!DK100</x:f>
        <x:v>0</x:v>
      </x:c>
      <x:c r="DL17" s="117" t="n">
        <x:f>'CAPEX'!DL100</x:f>
        <x:v>0</x:v>
      </x:c>
      <x:c r="DM17" s="117" t="n">
        <x:f>'CAPEX'!DM100</x:f>
        <x:v>0</x:v>
      </x:c>
      <x:c r="DN17" s="117" t="n">
        <x:f>'CAPEX'!DN100</x:f>
        <x:v>0</x:v>
      </x:c>
      <x:c r="DO17" s="117" t="n">
        <x:f>'CAPEX'!DO100</x:f>
        <x:v>0</x:v>
      </x:c>
      <x:c r="DP17" s="117" t="n">
        <x:f>'CAPEX'!DP100</x:f>
        <x:v>0</x:v>
      </x:c>
      <x:c r="DQ17" s="117" t="n">
        <x:f>'CAPEX'!DQ100</x:f>
        <x:v>0</x:v>
      </x:c>
      <x:c r="DR17" s="117" t="n">
        <x:f>'CAPEX'!DR100</x:f>
        <x:v>0</x:v>
      </x:c>
      <x:c r="DS17" s="117" t="n">
        <x:f>'CAPEX'!DS100</x:f>
        <x:v>0</x:v>
      </x:c>
    </x:row>
    <x:row r="18">
      <x:c r="A18" t="str">
        <x:v>Маркетинг</x:v>
      </x:c>
      <x:c r="B18" t="n">
        <x:f>SUM(D18:DS18)</x:f>
        <x:v>0</x:v>
      </x:c>
      <x:c r="C18" t="str">
        <x:v>млн ₽</x:v>
      </x:c>
      <x:c r="D18" s="117" t="n">
        <x:f>'CAPEX'!D101</x:f>
        <x:v>0</x:v>
      </x:c>
      <x:c r="E18" s="117" t="n">
        <x:f>'CAPEX'!E101</x:f>
        <x:v>0</x:v>
      </x:c>
      <x:c r="F18" s="117" t="n">
        <x:f>'CAPEX'!F101</x:f>
        <x:v>0</x:v>
      </x:c>
      <x:c r="G18" s="117" t="n">
        <x:f>'CAPEX'!G101</x:f>
        <x:v>0</x:v>
      </x:c>
      <x:c r="H18" s="117" t="n">
        <x:f>'CAPEX'!H101</x:f>
        <x:v>0</x:v>
      </x:c>
      <x:c r="I18" s="117" t="n">
        <x:f>'CAPEX'!I101</x:f>
        <x:v>0</x:v>
      </x:c>
      <x:c r="J18" s="117" t="n">
        <x:f>'CAPEX'!J101</x:f>
        <x:v>0</x:v>
      </x:c>
      <x:c r="K18" s="117" t="n">
        <x:f>'CAPEX'!K101</x:f>
        <x:v>0</x:v>
      </x:c>
      <x:c r="L18" s="117" t="n">
        <x:f>'CAPEX'!L101</x:f>
        <x:v>0</x:v>
      </x:c>
      <x:c r="M18" s="117" t="n">
        <x:f>'CAPEX'!M101</x:f>
        <x:v>0</x:v>
      </x:c>
      <x:c r="N18" s="117" t="n">
        <x:f>'CAPEX'!N101</x:f>
        <x:v>0</x:v>
      </x:c>
      <x:c r="O18" s="117" t="n">
        <x:f>'CAPEX'!O101</x:f>
        <x:v>0</x:v>
      </x:c>
      <x:c r="P18" s="117" t="n">
        <x:f>'CAPEX'!P101</x:f>
        <x:v>0</x:v>
      </x:c>
      <x:c r="Q18" s="117" t="n">
        <x:f>'CAPEX'!Q101</x:f>
        <x:v>0</x:v>
      </x:c>
      <x:c r="R18" s="117" t="n">
        <x:f>'CAPEX'!R101</x:f>
        <x:v>0</x:v>
      </x:c>
      <x:c r="S18" s="117" t="n">
        <x:f>'CAPEX'!S101</x:f>
        <x:v>0</x:v>
      </x:c>
      <x:c r="T18" s="117" t="n">
        <x:f>'CAPEX'!T101</x:f>
        <x:v>0</x:v>
      </x:c>
      <x:c r="U18" s="117" t="n">
        <x:f>'CAPEX'!U101</x:f>
        <x:v>0</x:v>
      </x:c>
      <x:c r="V18" s="117" t="n">
        <x:f>'CAPEX'!V101</x:f>
        <x:v>0</x:v>
      </x:c>
      <x:c r="W18" s="117" t="n">
        <x:f>'CAPEX'!W101</x:f>
        <x:v>0</x:v>
      </x:c>
      <x:c r="X18" s="117" t="n">
        <x:f>'CAPEX'!X101</x:f>
        <x:v>0</x:v>
      </x:c>
      <x:c r="Y18" s="117" t="n">
        <x:f>'CAPEX'!Y101</x:f>
        <x:v>0</x:v>
      </x:c>
      <x:c r="Z18" s="117" t="n">
        <x:f>'CAPEX'!Z101</x:f>
        <x:v>0</x:v>
      </x:c>
      <x:c r="AA18" s="117" t="n">
        <x:f>'CAPEX'!AA101</x:f>
        <x:v>0</x:v>
      </x:c>
      <x:c r="AB18" s="117" t="n">
        <x:f>'CAPEX'!AB101</x:f>
        <x:v>0</x:v>
      </x:c>
      <x:c r="AC18" s="117" t="n">
        <x:f>'CAPEX'!AC101</x:f>
        <x:v>0</x:v>
      </x:c>
      <x:c r="AD18" s="117" t="n">
        <x:f>'CAPEX'!AD101</x:f>
        <x:v>0</x:v>
      </x:c>
      <x:c r="AE18" s="117" t="n">
        <x:f>'CAPEX'!AE101</x:f>
        <x:v>0</x:v>
      </x:c>
      <x:c r="AF18" s="117" t="n">
        <x:f>'CAPEX'!AF101</x:f>
        <x:v>0</x:v>
      </x:c>
      <x:c r="AG18" s="117" t="n">
        <x:f>'CAPEX'!AG101</x:f>
        <x:v>0</x:v>
      </x:c>
      <x:c r="AH18" s="117" t="n">
        <x:f>'CAPEX'!AH101</x:f>
        <x:v>0</x:v>
      </x:c>
      <x:c r="AI18" s="117" t="n">
        <x:f>'CAPEX'!AI101</x:f>
        <x:v>0</x:v>
      </x:c>
      <x:c r="AJ18" s="117" t="n">
        <x:f>'CAPEX'!AJ101</x:f>
        <x:v>0</x:v>
      </x:c>
      <x:c r="AK18" s="117" t="n">
        <x:f>'CAPEX'!AK101</x:f>
        <x:v>0</x:v>
      </x:c>
      <x:c r="AL18" s="117" t="n">
        <x:f>'CAPEX'!AL101</x:f>
        <x:v>0</x:v>
      </x:c>
      <x:c r="AM18" s="117" t="n">
        <x:f>'CAPEX'!AM101</x:f>
        <x:v>0</x:v>
      </x:c>
      <x:c r="AN18" s="117" t="n">
        <x:f>'CAPEX'!AN101</x:f>
        <x:v>0</x:v>
      </x:c>
      <x:c r="AO18" s="117" t="n">
        <x:f>'CAPEX'!AO101</x:f>
        <x:v>0</x:v>
      </x:c>
      <x:c r="AP18" s="117" t="n">
        <x:f>'CAPEX'!AP101</x:f>
        <x:v>0</x:v>
      </x:c>
      <x:c r="AQ18" s="117" t="n">
        <x:f>'CAPEX'!AQ101</x:f>
        <x:v>0</x:v>
      </x:c>
      <x:c r="AR18" s="117" t="n">
        <x:f>'CAPEX'!AR101</x:f>
        <x:v>0</x:v>
      </x:c>
      <x:c r="AS18" s="117" t="n">
        <x:f>'CAPEX'!AS101</x:f>
        <x:v>0</x:v>
      </x:c>
      <x:c r="AT18" s="117" t="n">
        <x:f>'CAPEX'!AT101</x:f>
        <x:v>0</x:v>
      </x:c>
      <x:c r="AU18" s="117" t="n">
        <x:f>'CAPEX'!AU101</x:f>
        <x:v>0</x:v>
      </x:c>
      <x:c r="AV18" s="117" t="n">
        <x:f>'CAPEX'!AV101</x:f>
        <x:v>0</x:v>
      </x:c>
      <x:c r="AW18" s="117" t="n">
        <x:f>'CAPEX'!AW101</x:f>
        <x:v>0</x:v>
      </x:c>
      <x:c r="AX18" s="117" t="n">
        <x:f>'CAPEX'!AX101</x:f>
        <x:v>0</x:v>
      </x:c>
      <x:c r="AY18" s="117" t="n">
        <x:f>'CAPEX'!AY101</x:f>
        <x:v>0</x:v>
      </x:c>
      <x:c r="AZ18" s="117" t="n">
        <x:f>'CAPEX'!AZ101</x:f>
        <x:v>0</x:v>
      </x:c>
      <x:c r="BA18" s="117" t="n">
        <x:f>'CAPEX'!BA101</x:f>
        <x:v>0</x:v>
      </x:c>
      <x:c r="BB18" s="117" t="n">
        <x:f>'CAPEX'!BB101</x:f>
        <x:v>0</x:v>
      </x:c>
      <x:c r="BC18" s="117" t="n">
        <x:f>'CAPEX'!BC101</x:f>
        <x:v>0</x:v>
      </x:c>
      <x:c r="BD18" s="117" t="n">
        <x:f>'CAPEX'!BD101</x:f>
        <x:v>0</x:v>
      </x:c>
      <x:c r="BE18" s="117" t="n">
        <x:f>'CAPEX'!BE101</x:f>
        <x:v>0</x:v>
      </x:c>
      <x:c r="BF18" s="117" t="n">
        <x:f>'CAPEX'!BF101</x:f>
        <x:v>0</x:v>
      </x:c>
      <x:c r="BG18" s="117" t="n">
        <x:f>'CAPEX'!BG101</x:f>
        <x:v>0</x:v>
      </x:c>
      <x:c r="BH18" s="117" t="n">
        <x:f>'CAPEX'!BH101</x:f>
        <x:v>0</x:v>
      </x:c>
      <x:c r="BI18" s="117" t="n">
        <x:f>'CAPEX'!BI101</x:f>
        <x:v>0</x:v>
      </x:c>
      <x:c r="BJ18" s="117" t="n">
        <x:f>'CAPEX'!BJ101</x:f>
        <x:v>0</x:v>
      </x:c>
      <x:c r="BK18" s="117" t="n">
        <x:f>'CAPEX'!BK101</x:f>
        <x:v>0</x:v>
      </x:c>
      <x:c r="BL18" s="117" t="n">
        <x:f>'CAPEX'!BL101</x:f>
        <x:v>0</x:v>
      </x:c>
      <x:c r="BM18" s="117" t="n">
        <x:f>'CAPEX'!BM101</x:f>
        <x:v>0</x:v>
      </x:c>
      <x:c r="BN18" s="117" t="n">
        <x:f>'CAPEX'!BN101</x:f>
        <x:v>0</x:v>
      </x:c>
      <x:c r="BO18" s="117" t="n">
        <x:f>'CAPEX'!BO101</x:f>
        <x:v>0</x:v>
      </x:c>
      <x:c r="BP18" s="117" t="n">
        <x:f>'CAPEX'!BP101</x:f>
        <x:v>0</x:v>
      </x:c>
      <x:c r="BQ18" s="117" t="n">
        <x:f>'CAPEX'!BQ101</x:f>
        <x:v>0</x:v>
      </x:c>
      <x:c r="BR18" s="117" t="n">
        <x:f>'CAPEX'!BR101</x:f>
        <x:v>0</x:v>
      </x:c>
      <x:c r="BS18" s="117" t="n">
        <x:f>'CAPEX'!BS101</x:f>
        <x:v>0</x:v>
      </x:c>
      <x:c r="BT18" s="117" t="n">
        <x:f>'CAPEX'!BT101</x:f>
        <x:v>0</x:v>
      </x:c>
      <x:c r="BU18" s="117" t="n">
        <x:f>'CAPEX'!BU101</x:f>
        <x:v>0</x:v>
      </x:c>
      <x:c r="BV18" s="117" t="n">
        <x:f>'CAPEX'!BV101</x:f>
        <x:v>0</x:v>
      </x:c>
      <x:c r="BW18" s="117" t="n">
        <x:f>'CAPEX'!BW101</x:f>
        <x:v>0</x:v>
      </x:c>
      <x:c r="BX18" s="117" t="n">
        <x:f>'CAPEX'!BX101</x:f>
        <x:v>0</x:v>
      </x:c>
      <x:c r="BY18" s="117" t="n">
        <x:f>'CAPEX'!BY101</x:f>
        <x:v>0</x:v>
      </x:c>
      <x:c r="BZ18" s="117" t="n">
        <x:f>'CAPEX'!BZ101</x:f>
        <x:v>0</x:v>
      </x:c>
      <x:c r="CA18" s="117" t="n">
        <x:f>'CAPEX'!CA101</x:f>
        <x:v>0</x:v>
      </x:c>
      <x:c r="CB18" s="117" t="n">
        <x:f>'CAPEX'!CB101</x:f>
        <x:v>0</x:v>
      </x:c>
      <x:c r="CC18" s="117" t="n">
        <x:f>'CAPEX'!CC101</x:f>
        <x:v>0</x:v>
      </x:c>
      <x:c r="CD18" s="117" t="n">
        <x:f>'CAPEX'!CD101</x:f>
        <x:v>0</x:v>
      </x:c>
      <x:c r="CE18" s="117" t="n">
        <x:f>'CAPEX'!CE101</x:f>
        <x:v>0</x:v>
      </x:c>
      <x:c r="CF18" s="117" t="n">
        <x:f>'CAPEX'!CF101</x:f>
        <x:v>0</x:v>
      </x:c>
      <x:c r="CG18" s="117" t="n">
        <x:f>'CAPEX'!CG101</x:f>
        <x:v>0</x:v>
      </x:c>
      <x:c r="CH18" s="117" t="n">
        <x:f>'CAPEX'!CH101</x:f>
        <x:v>0</x:v>
      </x:c>
      <x:c r="CI18" s="117" t="n">
        <x:f>'CAPEX'!CI101</x:f>
        <x:v>0</x:v>
      </x:c>
      <x:c r="CJ18" s="117" t="n">
        <x:f>'CAPEX'!CJ101</x:f>
        <x:v>0</x:v>
      </x:c>
      <x:c r="CK18" s="117" t="n">
        <x:f>'CAPEX'!CK101</x:f>
        <x:v>0</x:v>
      </x:c>
      <x:c r="CL18" s="117" t="n">
        <x:f>'CAPEX'!CL101</x:f>
        <x:v>0</x:v>
      </x:c>
      <x:c r="CM18" s="117" t="n">
        <x:f>'CAPEX'!CM101</x:f>
        <x:v>0</x:v>
      </x:c>
      <x:c r="CN18" s="117" t="n">
        <x:f>'CAPEX'!CN101</x:f>
        <x:v>0</x:v>
      </x:c>
      <x:c r="CO18" s="117" t="n">
        <x:f>'CAPEX'!CO101</x:f>
        <x:v>0</x:v>
      </x:c>
      <x:c r="CP18" s="117" t="n">
        <x:f>'CAPEX'!CP101</x:f>
        <x:v>0</x:v>
      </x:c>
      <x:c r="CQ18" s="117" t="n">
        <x:f>'CAPEX'!CQ101</x:f>
        <x:v>0</x:v>
      </x:c>
      <x:c r="CR18" s="117" t="n">
        <x:f>'CAPEX'!CR101</x:f>
        <x:v>0</x:v>
      </x:c>
      <x:c r="CS18" s="117" t="n">
        <x:f>'CAPEX'!CS101</x:f>
        <x:v>0</x:v>
      </x:c>
      <x:c r="CT18" s="117" t="n">
        <x:f>'CAPEX'!CT101</x:f>
        <x:v>0</x:v>
      </x:c>
      <x:c r="CU18" s="117" t="n">
        <x:f>'CAPEX'!CU101</x:f>
        <x:v>0</x:v>
      </x:c>
      <x:c r="CV18" s="117" t="n">
        <x:f>'CAPEX'!CV101</x:f>
        <x:v>0</x:v>
      </x:c>
      <x:c r="CW18" s="117" t="n">
        <x:f>'CAPEX'!CW101</x:f>
        <x:v>0</x:v>
      </x:c>
      <x:c r="CX18" s="117" t="n">
        <x:f>'CAPEX'!CX101</x:f>
        <x:v>0</x:v>
      </x:c>
      <x:c r="CY18" s="117" t="n">
        <x:f>'CAPEX'!CY101</x:f>
        <x:v>0</x:v>
      </x:c>
      <x:c r="CZ18" s="117" t="n">
        <x:f>'CAPEX'!CZ101</x:f>
        <x:v>0</x:v>
      </x:c>
      <x:c r="DA18" s="117" t="n">
        <x:f>'CAPEX'!DA101</x:f>
        <x:v>0</x:v>
      </x:c>
      <x:c r="DB18" s="117" t="n">
        <x:f>'CAPEX'!DB101</x:f>
        <x:v>0</x:v>
      </x:c>
      <x:c r="DC18" s="117" t="n">
        <x:f>'CAPEX'!DC101</x:f>
        <x:v>0</x:v>
      </x:c>
      <x:c r="DD18" s="117" t="n">
        <x:f>'CAPEX'!DD101</x:f>
        <x:v>0</x:v>
      </x:c>
      <x:c r="DE18" s="117" t="n">
        <x:f>'CAPEX'!DE101</x:f>
        <x:v>0</x:v>
      </x:c>
      <x:c r="DF18" s="117" t="n">
        <x:f>'CAPEX'!DF101</x:f>
        <x:v>0</x:v>
      </x:c>
      <x:c r="DG18" s="117" t="n">
        <x:f>'CAPEX'!DG101</x:f>
        <x:v>0</x:v>
      </x:c>
      <x:c r="DH18" s="117" t="n">
        <x:f>'CAPEX'!DH101</x:f>
        <x:v>0</x:v>
      </x:c>
      <x:c r="DI18" s="117" t="n">
        <x:f>'CAPEX'!DI101</x:f>
        <x:v>0</x:v>
      </x:c>
      <x:c r="DJ18" s="117" t="n">
        <x:f>'CAPEX'!DJ101</x:f>
        <x:v>0</x:v>
      </x:c>
      <x:c r="DK18" s="117" t="n">
        <x:f>'CAPEX'!DK101</x:f>
        <x:v>0</x:v>
      </x:c>
      <x:c r="DL18" s="117" t="n">
        <x:f>'CAPEX'!DL101</x:f>
        <x:v>0</x:v>
      </x:c>
      <x:c r="DM18" s="117" t="n">
        <x:f>'CAPEX'!DM101</x:f>
        <x:v>0</x:v>
      </x:c>
      <x:c r="DN18" s="117" t="n">
        <x:f>'CAPEX'!DN101</x:f>
        <x:v>0</x:v>
      </x:c>
      <x:c r="DO18" s="117" t="n">
        <x:f>'CAPEX'!DO101</x:f>
        <x:v>0</x:v>
      </x:c>
      <x:c r="DP18" s="117" t="n">
        <x:f>'CAPEX'!DP101</x:f>
        <x:v>0</x:v>
      </x:c>
      <x:c r="DQ18" s="117" t="n">
        <x:f>'CAPEX'!DQ101</x:f>
        <x:v>0</x:v>
      </x:c>
      <x:c r="DR18" s="117" t="n">
        <x:f>'CAPEX'!DR101</x:f>
        <x:v>0</x:v>
      </x:c>
      <x:c r="DS18" s="117" t="n">
        <x:f>'CAPEX'!DS101</x:f>
        <x:v>0</x:v>
      </x:c>
    </x:row>
    <x:row r="19">
      <x:c r="A19" t="str">
        <x:v>Расходы на продажи</x:v>
      </x:c>
      <x:c r="B19" t="n">
        <x:f>SUM(D19:DS19)</x:f>
        <x:v>0</x:v>
      </x:c>
      <x:c r="C19" t="str">
        <x:v>млн ₽</x:v>
      </x:c>
      <x:c r="D19" s="117" t="n">
        <x:f>'CAPEX'!D102</x:f>
        <x:v>0</x:v>
      </x:c>
      <x:c r="E19" s="117" t="n">
        <x:f>'CAPEX'!E102</x:f>
        <x:v>0</x:v>
      </x:c>
      <x:c r="F19" s="117" t="n">
        <x:f>'CAPEX'!F102</x:f>
        <x:v>0</x:v>
      </x:c>
      <x:c r="G19" s="117" t="n">
        <x:f>'CAPEX'!G102</x:f>
        <x:v>0</x:v>
      </x:c>
      <x:c r="H19" s="117" t="n">
        <x:f>'CAPEX'!H102</x:f>
        <x:v>0</x:v>
      </x:c>
      <x:c r="I19" s="117" t="n">
        <x:f>'CAPEX'!I102</x:f>
        <x:v>0</x:v>
      </x:c>
      <x:c r="J19" s="117" t="n">
        <x:f>'CAPEX'!J102</x:f>
        <x:v>0</x:v>
      </x:c>
      <x:c r="K19" s="117" t="n">
        <x:f>'CAPEX'!K102</x:f>
        <x:v>0</x:v>
      </x:c>
      <x:c r="L19" s="117" t="n">
        <x:f>'CAPEX'!L102</x:f>
        <x:v>0</x:v>
      </x:c>
      <x:c r="M19" s="117" t="n">
        <x:f>'CAPEX'!M102</x:f>
        <x:v>0</x:v>
      </x:c>
      <x:c r="N19" s="117" t="n">
        <x:f>'CAPEX'!N102</x:f>
        <x:v>0</x:v>
      </x:c>
      <x:c r="O19" s="117" t="n">
        <x:f>'CAPEX'!O102</x:f>
        <x:v>0</x:v>
      </x:c>
      <x:c r="P19" s="117" t="n">
        <x:f>'CAPEX'!P102</x:f>
        <x:v>0</x:v>
      </x:c>
      <x:c r="Q19" s="117" t="n">
        <x:f>'CAPEX'!Q102</x:f>
        <x:v>0</x:v>
      </x:c>
      <x:c r="R19" s="117" t="n">
        <x:f>'CAPEX'!R102</x:f>
        <x:v>0</x:v>
      </x:c>
      <x:c r="S19" s="117" t="n">
        <x:f>'CAPEX'!S102</x:f>
        <x:v>0</x:v>
      </x:c>
      <x:c r="T19" s="117" t="n">
        <x:f>'CAPEX'!T102</x:f>
        <x:v>0</x:v>
      </x:c>
      <x:c r="U19" s="117" t="n">
        <x:f>'CAPEX'!U102</x:f>
        <x:v>0</x:v>
      </x:c>
      <x:c r="V19" s="117" t="n">
        <x:f>'CAPEX'!V102</x:f>
        <x:v>0</x:v>
      </x:c>
      <x:c r="W19" s="117" t="n">
        <x:f>'CAPEX'!W102</x:f>
        <x:v>0</x:v>
      </x:c>
      <x:c r="X19" s="117" t="n">
        <x:f>'CAPEX'!X102</x:f>
        <x:v>0</x:v>
      </x:c>
      <x:c r="Y19" s="117" t="n">
        <x:f>'CAPEX'!Y102</x:f>
        <x:v>0</x:v>
      </x:c>
      <x:c r="Z19" s="117" t="n">
        <x:f>'CAPEX'!Z102</x:f>
        <x:v>0</x:v>
      </x:c>
      <x:c r="AA19" s="117" t="n">
        <x:f>'CAPEX'!AA102</x:f>
        <x:v>0</x:v>
      </x:c>
      <x:c r="AB19" s="117" t="n">
        <x:f>'CAPEX'!AB102</x:f>
        <x:v>0</x:v>
      </x:c>
      <x:c r="AC19" s="117" t="n">
        <x:f>'CAPEX'!AC102</x:f>
        <x:v>0</x:v>
      </x:c>
      <x:c r="AD19" s="117" t="n">
        <x:f>'CAPEX'!AD102</x:f>
        <x:v>0</x:v>
      </x:c>
      <x:c r="AE19" s="117" t="n">
        <x:f>'CAPEX'!AE102</x:f>
        <x:v>0</x:v>
      </x:c>
      <x:c r="AF19" s="117" t="n">
        <x:f>'CAPEX'!AF102</x:f>
        <x:v>0</x:v>
      </x:c>
      <x:c r="AG19" s="117" t="n">
        <x:f>'CAPEX'!AG102</x:f>
        <x:v>0</x:v>
      </x:c>
      <x:c r="AH19" s="117" t="n">
        <x:f>'CAPEX'!AH102</x:f>
        <x:v>0</x:v>
      </x:c>
      <x:c r="AI19" s="117" t="n">
        <x:f>'CAPEX'!AI102</x:f>
        <x:v>0</x:v>
      </x:c>
      <x:c r="AJ19" s="117" t="n">
        <x:f>'CAPEX'!AJ102</x:f>
        <x:v>0</x:v>
      </x:c>
      <x:c r="AK19" s="117" t="n">
        <x:f>'CAPEX'!AK102</x:f>
        <x:v>0</x:v>
      </x:c>
      <x:c r="AL19" s="117" t="n">
        <x:f>'CAPEX'!AL102</x:f>
        <x:v>0</x:v>
      </x:c>
      <x:c r="AM19" s="117" t="n">
        <x:f>'CAPEX'!AM102</x:f>
        <x:v>0</x:v>
      </x:c>
      <x:c r="AN19" s="117" t="n">
        <x:f>'CAPEX'!AN102</x:f>
        <x:v>0</x:v>
      </x:c>
      <x:c r="AO19" s="117" t="n">
        <x:f>'CAPEX'!AO102</x:f>
        <x:v>0</x:v>
      </x:c>
      <x:c r="AP19" s="117" t="n">
        <x:f>'CAPEX'!AP102</x:f>
        <x:v>0</x:v>
      </x:c>
      <x:c r="AQ19" s="117" t="n">
        <x:f>'CAPEX'!AQ102</x:f>
        <x:v>0</x:v>
      </x:c>
      <x:c r="AR19" s="117" t="n">
        <x:f>'CAPEX'!AR102</x:f>
        <x:v>0</x:v>
      </x:c>
      <x:c r="AS19" s="117" t="n">
        <x:f>'CAPEX'!AS102</x:f>
        <x:v>0</x:v>
      </x:c>
      <x:c r="AT19" s="117" t="n">
        <x:f>'CAPEX'!AT102</x:f>
        <x:v>0</x:v>
      </x:c>
      <x:c r="AU19" s="117" t="n">
        <x:f>'CAPEX'!AU102</x:f>
        <x:v>0</x:v>
      </x:c>
      <x:c r="AV19" s="117" t="n">
        <x:f>'CAPEX'!AV102</x:f>
        <x:v>0</x:v>
      </x:c>
      <x:c r="AW19" s="117" t="n">
        <x:f>'CAPEX'!AW102</x:f>
        <x:v>0</x:v>
      </x:c>
      <x:c r="AX19" s="117" t="n">
        <x:f>'CAPEX'!AX102</x:f>
        <x:v>0</x:v>
      </x:c>
      <x:c r="AY19" s="117" t="n">
        <x:f>'CAPEX'!AY102</x:f>
        <x:v>0</x:v>
      </x:c>
      <x:c r="AZ19" s="117" t="n">
        <x:f>'CAPEX'!AZ102</x:f>
        <x:v>0</x:v>
      </x:c>
      <x:c r="BA19" s="117" t="n">
        <x:f>'CAPEX'!BA102</x:f>
        <x:v>0</x:v>
      </x:c>
      <x:c r="BB19" s="117" t="n">
        <x:f>'CAPEX'!BB102</x:f>
        <x:v>0</x:v>
      </x:c>
      <x:c r="BC19" s="117" t="n">
        <x:f>'CAPEX'!BC102</x:f>
        <x:v>0</x:v>
      </x:c>
      <x:c r="BD19" s="117" t="n">
        <x:f>'CAPEX'!BD102</x:f>
        <x:v>0</x:v>
      </x:c>
      <x:c r="BE19" s="117" t="n">
        <x:f>'CAPEX'!BE102</x:f>
        <x:v>0</x:v>
      </x:c>
      <x:c r="BF19" s="117" t="n">
        <x:f>'CAPEX'!BF102</x:f>
        <x:v>0</x:v>
      </x:c>
      <x:c r="BG19" s="117" t="n">
        <x:f>'CAPEX'!BG102</x:f>
        <x:v>0</x:v>
      </x:c>
      <x:c r="BH19" s="117" t="n">
        <x:f>'CAPEX'!BH102</x:f>
        <x:v>0</x:v>
      </x:c>
      <x:c r="BI19" s="117" t="n">
        <x:f>'CAPEX'!BI102</x:f>
        <x:v>0</x:v>
      </x:c>
      <x:c r="BJ19" s="117" t="n">
        <x:f>'CAPEX'!BJ102</x:f>
        <x:v>0</x:v>
      </x:c>
      <x:c r="BK19" s="117" t="n">
        <x:f>'CAPEX'!BK102</x:f>
        <x:v>0</x:v>
      </x:c>
      <x:c r="BL19" s="117" t="n">
        <x:f>'CAPEX'!BL102</x:f>
        <x:v>0</x:v>
      </x:c>
      <x:c r="BM19" s="117" t="n">
        <x:f>'CAPEX'!BM102</x:f>
        <x:v>0</x:v>
      </x:c>
      <x:c r="BN19" s="117" t="n">
        <x:f>'CAPEX'!BN102</x:f>
        <x:v>0</x:v>
      </x:c>
      <x:c r="BO19" s="117" t="n">
        <x:f>'CAPEX'!BO102</x:f>
        <x:v>0</x:v>
      </x:c>
      <x:c r="BP19" s="117" t="n">
        <x:f>'CAPEX'!BP102</x:f>
        <x:v>0</x:v>
      </x:c>
      <x:c r="BQ19" s="117" t="n">
        <x:f>'CAPEX'!BQ102</x:f>
        <x:v>0</x:v>
      </x:c>
      <x:c r="BR19" s="117" t="n">
        <x:f>'CAPEX'!BR102</x:f>
        <x:v>0</x:v>
      </x:c>
      <x:c r="BS19" s="117" t="n">
        <x:f>'CAPEX'!BS102</x:f>
        <x:v>0</x:v>
      </x:c>
      <x:c r="BT19" s="117" t="n">
        <x:f>'CAPEX'!BT102</x:f>
        <x:v>0</x:v>
      </x:c>
      <x:c r="BU19" s="117" t="n">
        <x:f>'CAPEX'!BU102</x:f>
        <x:v>0</x:v>
      </x:c>
      <x:c r="BV19" s="117" t="n">
        <x:f>'CAPEX'!BV102</x:f>
        <x:v>0</x:v>
      </x:c>
      <x:c r="BW19" s="117" t="n">
        <x:f>'CAPEX'!BW102</x:f>
        <x:v>0</x:v>
      </x:c>
      <x:c r="BX19" s="117" t="n">
        <x:f>'CAPEX'!BX102</x:f>
        <x:v>0</x:v>
      </x:c>
      <x:c r="BY19" s="117" t="n">
        <x:f>'CAPEX'!BY102</x:f>
        <x:v>0</x:v>
      </x:c>
      <x:c r="BZ19" s="117" t="n">
        <x:f>'CAPEX'!BZ102</x:f>
        <x:v>0</x:v>
      </x:c>
      <x:c r="CA19" s="117" t="n">
        <x:f>'CAPEX'!CA102</x:f>
        <x:v>0</x:v>
      </x:c>
      <x:c r="CB19" s="117" t="n">
        <x:f>'CAPEX'!CB102</x:f>
        <x:v>0</x:v>
      </x:c>
      <x:c r="CC19" s="117" t="n">
        <x:f>'CAPEX'!CC102</x:f>
        <x:v>0</x:v>
      </x:c>
      <x:c r="CD19" s="117" t="n">
        <x:f>'CAPEX'!CD102</x:f>
        <x:v>0</x:v>
      </x:c>
      <x:c r="CE19" s="117" t="n">
        <x:f>'CAPEX'!CE102</x:f>
        <x:v>0</x:v>
      </x:c>
      <x:c r="CF19" s="117" t="n">
        <x:f>'CAPEX'!CF102</x:f>
        <x:v>0</x:v>
      </x:c>
      <x:c r="CG19" s="117" t="n">
        <x:f>'CAPEX'!CG102</x:f>
        <x:v>0</x:v>
      </x:c>
      <x:c r="CH19" s="117" t="n">
        <x:f>'CAPEX'!CH102</x:f>
        <x:v>0</x:v>
      </x:c>
      <x:c r="CI19" s="117" t="n">
        <x:f>'CAPEX'!CI102</x:f>
        <x:v>0</x:v>
      </x:c>
      <x:c r="CJ19" s="117" t="n">
        <x:f>'CAPEX'!CJ102</x:f>
        <x:v>0</x:v>
      </x:c>
      <x:c r="CK19" s="117" t="n">
        <x:f>'CAPEX'!CK102</x:f>
        <x:v>0</x:v>
      </x:c>
      <x:c r="CL19" s="117" t="n">
        <x:f>'CAPEX'!CL102</x:f>
        <x:v>0</x:v>
      </x:c>
      <x:c r="CM19" s="117" t="n">
        <x:f>'CAPEX'!CM102</x:f>
        <x:v>0</x:v>
      </x:c>
      <x:c r="CN19" s="117" t="n">
        <x:f>'CAPEX'!CN102</x:f>
        <x:v>0</x:v>
      </x:c>
      <x:c r="CO19" s="117" t="n">
        <x:f>'CAPEX'!CO102</x:f>
        <x:v>0</x:v>
      </x:c>
      <x:c r="CP19" s="117" t="n">
        <x:f>'CAPEX'!CP102</x:f>
        <x:v>0</x:v>
      </x:c>
      <x:c r="CQ19" s="117" t="n">
        <x:f>'CAPEX'!CQ102</x:f>
        <x:v>0</x:v>
      </x:c>
      <x:c r="CR19" s="117" t="n">
        <x:f>'CAPEX'!CR102</x:f>
        <x:v>0</x:v>
      </x:c>
      <x:c r="CS19" s="117" t="n">
        <x:f>'CAPEX'!CS102</x:f>
        <x:v>0</x:v>
      </x:c>
      <x:c r="CT19" s="117" t="n">
        <x:f>'CAPEX'!CT102</x:f>
        <x:v>0</x:v>
      </x:c>
      <x:c r="CU19" s="117" t="n">
        <x:f>'CAPEX'!CU102</x:f>
        <x:v>0</x:v>
      </x:c>
      <x:c r="CV19" s="117" t="n">
        <x:f>'CAPEX'!CV102</x:f>
        <x:v>0</x:v>
      </x:c>
      <x:c r="CW19" s="117" t="n">
        <x:f>'CAPEX'!CW102</x:f>
        <x:v>0</x:v>
      </x:c>
      <x:c r="CX19" s="117" t="n">
        <x:f>'CAPEX'!CX102</x:f>
        <x:v>0</x:v>
      </x:c>
      <x:c r="CY19" s="117" t="n">
        <x:f>'CAPEX'!CY102</x:f>
        <x:v>0</x:v>
      </x:c>
      <x:c r="CZ19" s="117" t="n">
        <x:f>'CAPEX'!CZ102</x:f>
        <x:v>0</x:v>
      </x:c>
      <x:c r="DA19" s="117" t="n">
        <x:f>'CAPEX'!DA102</x:f>
        <x:v>0</x:v>
      </x:c>
      <x:c r="DB19" s="117" t="n">
        <x:f>'CAPEX'!DB102</x:f>
        <x:v>0</x:v>
      </x:c>
      <x:c r="DC19" s="117" t="n">
        <x:f>'CAPEX'!DC102</x:f>
        <x:v>0</x:v>
      </x:c>
      <x:c r="DD19" s="117" t="n">
        <x:f>'CAPEX'!DD102</x:f>
        <x:v>0</x:v>
      </x:c>
      <x:c r="DE19" s="117" t="n">
        <x:f>'CAPEX'!DE102</x:f>
        <x:v>0</x:v>
      </x:c>
      <x:c r="DF19" s="117" t="n">
        <x:f>'CAPEX'!DF102</x:f>
        <x:v>0</x:v>
      </x:c>
      <x:c r="DG19" s="117" t="n">
        <x:f>'CAPEX'!DG102</x:f>
        <x:v>0</x:v>
      </x:c>
      <x:c r="DH19" s="117" t="n">
        <x:f>'CAPEX'!DH102</x:f>
        <x:v>0</x:v>
      </x:c>
      <x:c r="DI19" s="117" t="n">
        <x:f>'CAPEX'!DI102</x:f>
        <x:v>0</x:v>
      </x:c>
      <x:c r="DJ19" s="117" t="n">
        <x:f>'CAPEX'!DJ102</x:f>
        <x:v>0</x:v>
      </x:c>
      <x:c r="DK19" s="117" t="n">
        <x:f>'CAPEX'!DK102</x:f>
        <x:v>0</x:v>
      </x:c>
      <x:c r="DL19" s="117" t="n">
        <x:f>'CAPEX'!DL102</x:f>
        <x:v>0</x:v>
      </x:c>
      <x:c r="DM19" s="117" t="n">
        <x:f>'CAPEX'!DM102</x:f>
        <x:v>0</x:v>
      </x:c>
      <x:c r="DN19" s="117" t="n">
        <x:f>'CAPEX'!DN102</x:f>
        <x:v>0</x:v>
      </x:c>
      <x:c r="DO19" s="117" t="n">
        <x:f>'CAPEX'!DO102</x:f>
        <x:v>0</x:v>
      </x:c>
      <x:c r="DP19" s="117" t="n">
        <x:f>'CAPEX'!DP102</x:f>
        <x:v>0</x:v>
      </x:c>
      <x:c r="DQ19" s="117" t="n">
        <x:f>'CAPEX'!DQ102</x:f>
        <x:v>0</x:v>
      </x:c>
      <x:c r="DR19" s="117" t="n">
        <x:f>'CAPEX'!DR102</x:f>
        <x:v>0</x:v>
      </x:c>
      <x:c r="DS19" s="117" t="n">
        <x:f>'CAPEX'!DS102</x:f>
        <x:v>0</x:v>
      </x:c>
    </x:row>
    <x:row r="20">
      <x:c r="A20" s="113" t="str">
        <x:v>Расходы проекта всего</x:v>
      </x:c>
      <x:c r="B20" s="113" t="n">
        <x:f>SUM(D20:DS20)</x:f>
        <x:v>0</x:v>
      </x:c>
      <x:c r="C20" s="113" t="str">
        <x:v>млн ₽</x:v>
      </x:c>
      <x:c r="D20" s="120" t="n">
        <x:f>SUM(D17:D19)</x:f>
        <x:v>0</x:v>
      </x:c>
      <x:c r="E20" s="120" t="n">
        <x:f>SUM(E17:E19)</x:f>
        <x:v>0</x:v>
      </x:c>
      <x:c r="F20" s="120" t="n">
        <x:f>SUM(F17:F19)</x:f>
        <x:v>0</x:v>
      </x:c>
      <x:c r="G20" s="120" t="n">
        <x:f>SUM(G17:G19)</x:f>
        <x:v>0</x:v>
      </x:c>
      <x:c r="H20" s="120" t="n">
        <x:f>SUM(H17:H19)</x:f>
        <x:v>0</x:v>
      </x:c>
      <x:c r="I20" s="120" t="n">
        <x:f>SUM(I17:I19)</x:f>
        <x:v>0</x:v>
      </x:c>
      <x:c r="J20" s="120" t="n">
        <x:f>SUM(J17:J19)</x:f>
        <x:v>0</x:v>
      </x:c>
      <x:c r="K20" s="120" t="n">
        <x:f>SUM(K17:K19)</x:f>
        <x:v>0</x:v>
      </x:c>
      <x:c r="L20" s="120" t="n">
        <x:f>SUM(L17:L19)</x:f>
        <x:v>0</x:v>
      </x:c>
      <x:c r="M20" s="120" t="n">
        <x:f>SUM(M17:M19)</x:f>
        <x:v>0</x:v>
      </x:c>
      <x:c r="N20" s="120" t="n">
        <x:f>SUM(N17:N19)</x:f>
        <x:v>0</x:v>
      </x:c>
      <x:c r="O20" s="120" t="n">
        <x:f>SUM(O17:O19)</x:f>
        <x:v>0</x:v>
      </x:c>
      <x:c r="P20" s="120" t="n">
        <x:f>SUM(P17:P19)</x:f>
        <x:v>0</x:v>
      </x:c>
      <x:c r="Q20" s="120" t="n">
        <x:f>SUM(Q17:Q19)</x:f>
        <x:v>0</x:v>
      </x:c>
      <x:c r="R20" s="120" t="n">
        <x:f>SUM(R17:R19)</x:f>
        <x:v>0</x:v>
      </x:c>
      <x:c r="S20" s="120" t="n">
        <x:f>SUM(S17:S19)</x:f>
        <x:v>0</x:v>
      </x:c>
      <x:c r="T20" s="120" t="n">
        <x:f>SUM(T17:T19)</x:f>
        <x:v>0</x:v>
      </x:c>
      <x:c r="U20" s="120" t="n">
        <x:f>SUM(U17:U19)</x:f>
        <x:v>0</x:v>
      </x:c>
      <x:c r="V20" s="120" t="n">
        <x:f>SUM(V17:V19)</x:f>
        <x:v>0</x:v>
      </x:c>
      <x:c r="W20" s="120" t="n">
        <x:f>SUM(W17:W19)</x:f>
        <x:v>0</x:v>
      </x:c>
      <x:c r="X20" s="120" t="n">
        <x:f>SUM(X17:X19)</x:f>
        <x:v>0</x:v>
      </x:c>
      <x:c r="Y20" s="120" t="n">
        <x:f>SUM(Y17:Y19)</x:f>
        <x:v>0</x:v>
      </x:c>
      <x:c r="Z20" s="120" t="n">
        <x:f>SUM(Z17:Z19)</x:f>
        <x:v>0</x:v>
      </x:c>
      <x:c r="AA20" s="120" t="n">
        <x:f>SUM(AA17:AA19)</x:f>
        <x:v>0</x:v>
      </x:c>
      <x:c r="AB20" s="120" t="n">
        <x:f>SUM(AB17:AB19)</x:f>
        <x:v>0</x:v>
      </x:c>
      <x:c r="AC20" s="120" t="n">
        <x:f>SUM(AC17:AC19)</x:f>
        <x:v>0</x:v>
      </x:c>
      <x:c r="AD20" s="120" t="n">
        <x:f>SUM(AD17:AD19)</x:f>
        <x:v>0</x:v>
      </x:c>
      <x:c r="AE20" s="120" t="n">
        <x:f>SUM(AE17:AE19)</x:f>
        <x:v>0</x:v>
      </x:c>
      <x:c r="AF20" s="120" t="n">
        <x:f>SUM(AF17:AF19)</x:f>
        <x:v>0</x:v>
      </x:c>
      <x:c r="AG20" s="120" t="n">
        <x:f>SUM(AG17:AG19)</x:f>
        <x:v>0</x:v>
      </x:c>
      <x:c r="AH20" s="120" t="n">
        <x:f>SUM(AH17:AH19)</x:f>
        <x:v>0</x:v>
      </x:c>
      <x:c r="AI20" s="120" t="n">
        <x:f>SUM(AI17:AI19)</x:f>
        <x:v>0</x:v>
      </x:c>
      <x:c r="AJ20" s="120" t="n">
        <x:f>SUM(AJ17:AJ19)</x:f>
        <x:v>0</x:v>
      </x:c>
      <x:c r="AK20" s="120" t="n">
        <x:f>SUM(AK17:AK19)</x:f>
        <x:v>0</x:v>
      </x:c>
      <x:c r="AL20" s="120" t="n">
        <x:f>SUM(AL17:AL19)</x:f>
        <x:v>0</x:v>
      </x:c>
      <x:c r="AM20" s="120" t="n">
        <x:f>SUM(AM17:AM19)</x:f>
        <x:v>0</x:v>
      </x:c>
      <x:c r="AN20" s="120" t="n">
        <x:f>SUM(AN17:AN19)</x:f>
        <x:v>0</x:v>
      </x:c>
      <x:c r="AO20" s="120" t="n">
        <x:f>SUM(AO17:AO19)</x:f>
        <x:v>0</x:v>
      </x:c>
      <x:c r="AP20" s="120" t="n">
        <x:f>SUM(AP17:AP19)</x:f>
        <x:v>0</x:v>
      </x:c>
      <x:c r="AQ20" s="120" t="n">
        <x:f>SUM(AQ17:AQ19)</x:f>
        <x:v>0</x:v>
      </x:c>
      <x:c r="AR20" s="120" t="n">
        <x:f>SUM(AR17:AR19)</x:f>
        <x:v>0</x:v>
      </x:c>
      <x:c r="AS20" s="120" t="n">
        <x:f>SUM(AS17:AS19)</x:f>
        <x:v>0</x:v>
      </x:c>
      <x:c r="AT20" s="120" t="n">
        <x:f>SUM(AT17:AT19)</x:f>
        <x:v>0</x:v>
      </x:c>
      <x:c r="AU20" s="120" t="n">
        <x:f>SUM(AU17:AU19)</x:f>
        <x:v>0</x:v>
      </x:c>
      <x:c r="AV20" s="120" t="n">
        <x:f>SUM(AV17:AV19)</x:f>
        <x:v>0</x:v>
      </x:c>
      <x:c r="AW20" s="120" t="n">
        <x:f>SUM(AW17:AW19)</x:f>
        <x:v>0</x:v>
      </x:c>
      <x:c r="AX20" s="120" t="n">
        <x:f>SUM(AX17:AX19)</x:f>
        <x:v>0</x:v>
      </x:c>
      <x:c r="AY20" s="120" t="n">
        <x:f>SUM(AY17:AY19)</x:f>
        <x:v>0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0</x:v>
      </x:c>
      <x:c r="E22" s="117" t="n">
        <x:f>E10-E20-E32-E42-E43</x:f>
        <x:v>0</x:v>
      </x:c>
      <x:c r="F22" s="117" t="n">
        <x:f>F10-F20-F32-F42-F43</x:f>
        <x:v>0</x:v>
      </x:c>
      <x:c r="G22" s="117" t="n">
        <x:f>G10-G20-G32-G42-G43</x:f>
        <x:v>0</x:v>
      </x:c>
      <x:c r="H22" s="117" t="n">
        <x:f>H10-H20-H32-H42-H43</x:f>
        <x:v>0</x:v>
      </x:c>
      <x:c r="I22" s="117" t="n">
        <x:f>I10-I20-I32-I42-I43</x:f>
        <x:v>0</x:v>
      </x:c>
      <x:c r="J22" s="117" t="n">
        <x:f>J10-J20-J32-J42-J43</x:f>
        <x:v>0</x:v>
      </x:c>
      <x:c r="K22" s="117" t="n">
        <x:f>K10-K20-K32-K42-K43</x:f>
        <x:v>0</x:v>
      </x:c>
      <x:c r="L22" s="117" t="n">
        <x:f>L10-L20-L32-L42-L43</x:f>
        <x:v>0</x:v>
      </x:c>
      <x:c r="M22" s="117" t="n">
        <x:f>M10-M20-M32-M42-M43</x:f>
        <x:v>0</x:v>
      </x:c>
      <x:c r="N22" s="117" t="n">
        <x:f>N10-N20-N32-N42-N43</x:f>
        <x:v>0</x:v>
      </x:c>
      <x:c r="O22" s="117" t="n">
        <x:f>O10-O20-O32-O42-O43</x:f>
        <x:v>0</x:v>
      </x:c>
      <x:c r="P22" s="117" t="n">
        <x:f>P10-P20-P32-P42-P43</x:f>
        <x:v>0</x:v>
      </x:c>
      <x:c r="Q22" s="117" t="n">
        <x:f>Q10-Q20-Q32-Q42-Q43</x:f>
        <x:v>0</x:v>
      </x:c>
      <x:c r="R22" s="117" t="n">
        <x:f>R10-R20-R32-R42-R43</x:f>
        <x:v>0</x:v>
      </x:c>
      <x:c r="S22" s="117" t="n">
        <x:f>S10-S20-S32-S42-S43</x:f>
        <x:v>0</x:v>
      </x:c>
      <x:c r="T22" s="117" t="n">
        <x:f>T10-T20-T32-T42-T43</x:f>
        <x:v>0</x:v>
      </x:c>
      <x:c r="U22" s="117" t="n">
        <x:f>U10-U20-U32-U42-U43</x:f>
        <x:v>0</x:v>
      </x:c>
      <x:c r="V22" s="117" t="n">
        <x:f>V10-V20-V32-V42-V43</x:f>
        <x:v>0</x:v>
      </x:c>
      <x:c r="W22" s="117" t="n">
        <x:f>W10-W20-W32-W42-W43</x:f>
        <x:v>0</x:v>
      </x:c>
      <x:c r="X22" s="117" t="n">
        <x:f>X10-X20-X32-X42-X43</x:f>
        <x:v>0</x:v>
      </x:c>
      <x:c r="Y22" s="117" t="n">
        <x:f>Y10-Y20-Y32-Y42-Y43</x:f>
        <x:v>0</x:v>
      </x:c>
      <x:c r="Z22" s="117" t="n">
        <x:f>Z10-Z20-Z32-Z42-Z43</x:f>
        <x:v>0</x:v>
      </x:c>
      <x:c r="AA22" s="117" t="n">
        <x:f>AA10-AA20-AA32-AA42-AA43</x:f>
        <x:v>0</x:v>
      </x:c>
      <x:c r="AB22" s="117" t="n">
        <x:f>AB10-AB20-AB32-AB42-AB43</x:f>
        <x:v>0</x:v>
      </x:c>
      <x:c r="AC22" s="117" t="n">
        <x:f>AC10-AC20-AC32-AC42-AC43</x:f>
        <x:v>0</x:v>
      </x:c>
      <x:c r="AD22" s="117" t="n">
        <x:f>AD10-AD20-AD32-AD42-AD43</x:f>
        <x:v>0</x:v>
      </x:c>
      <x:c r="AE22" s="117" t="n">
        <x:f>AE10-AE20-AE32-AE42-AE43</x:f>
        <x:v>0</x:v>
      </x:c>
      <x:c r="AF22" s="117" t="n">
        <x:f>AF10-AF20-AF32-AF42-AF43</x:f>
        <x:v>0</x:v>
      </x:c>
      <x:c r="AG22" s="117" t="n">
        <x:f>AG10-AG20-AG32-AG42-AG43</x:f>
        <x:v>0</x:v>
      </x:c>
      <x:c r="AH22" s="117" t="n">
        <x:f>AH10-AH20-AH32-AH42-AH43</x:f>
        <x:v>0</x:v>
      </x:c>
      <x:c r="AI22" s="117" t="n">
        <x:f>AI10-AI20-AI32-AI42-AI43</x:f>
        <x:v>0</x:v>
      </x:c>
      <x:c r="AJ22" s="117" t="n">
        <x:f>AJ10-AJ20-AJ32-AJ42-AJ43</x:f>
        <x:v>0</x:v>
      </x:c>
      <x:c r="AK22" s="117" t="n">
        <x:f>AK10-AK20-AK32-AK42-AK43</x:f>
        <x:v>0</x:v>
      </x:c>
      <x:c r="AL22" s="117" t="n">
        <x:f>AL10-AL20-AL32-AL42-AL43</x:f>
        <x:v>0</x:v>
      </x:c>
      <x:c r="AM22" s="117" t="n">
        <x:f>AM10-AM20-AM32-AM42-AM43</x:f>
        <x:v>0</x:v>
      </x:c>
      <x:c r="AN22" s="117" t="n">
        <x:f>AN10-AN20-AN32-AN42-AN43</x:f>
        <x:v>0</x:v>
      </x:c>
      <x:c r="AO22" s="117" t="n">
        <x:f>AO10-AO20-AO32-AO42-AO43</x:f>
        <x:v>0</x:v>
      </x:c>
      <x:c r="AP22" s="117" t="n">
        <x:f>AP10-AP20-AP32-AP42-AP43</x:f>
        <x:v>0</x:v>
      </x:c>
      <x:c r="AQ22" s="117" t="n">
        <x:f>AQ10-AQ20-AQ32-AQ42-AQ43</x:f>
        <x:v>0</x:v>
      </x:c>
      <x:c r="AR22" s="117" t="n">
        <x:f>AR10-AR20-AR32-AR42-AR43</x:f>
        <x:v>0</x:v>
      </x:c>
      <x:c r="AS22" s="117" t="n">
        <x:f>AS10-AS20-AS32-AS42-AS43</x:f>
        <x:v>0</x:v>
      </x:c>
      <x:c r="AT22" s="117" t="n">
        <x:f>AT10-AT20-AT32-AT42-AT43</x:f>
        <x:v>0</x:v>
      </x:c>
      <x:c r="AU22" s="117" t="n">
        <x:f>AU10-AU20-AU32-AU42-AU43</x:f>
        <x:v>0</x:v>
      </x:c>
      <x:c r="AV22" s="117" t="n">
        <x:f>AV10-AV20-AV32-AV42-AV43</x:f>
        <x:v>0</x:v>
      </x:c>
      <x:c r="AW22" s="117" t="n">
        <x:f>AW10-AW20-AW32-AW42-AW43</x:f>
        <x:v>0</x:v>
      </x:c>
      <x:c r="AX22" s="117" t="n">
        <x:f>AX10-AX20-AX32-AX42-AX43</x:f>
        <x:v>0</x:v>
      </x:c>
      <x:c r="AY22" s="117" t="n">
        <x:f>AY10-AY20-AY32-AY42-AY43</x:f>
        <x:v>0</x:v>
      </x:c>
      <x:c r="AZ22" s="117" t="n">
        <x:f>AZ10-AZ20-AZ32-AZ42-AZ43</x:f>
        <x:v>0</x:v>
      </x:c>
      <x:c r="BA22" s="117" t="n">
        <x:f>BA10-BA20-BA32-BA42-BA43</x:f>
        <x:v>0</x:v>
      </x:c>
      <x:c r="BB22" s="117" t="n">
        <x:f>BB10-BB20-BB32-BB42-BB43</x:f>
        <x:v>0</x:v>
      </x:c>
      <x:c r="BC22" s="117" t="n">
        <x:f>BC10-BC20-BC32-BC42-BC43</x:f>
        <x:v>0</x:v>
      </x:c>
      <x:c r="BD22" s="117" t="n">
        <x:f>BD10-BD20-BD32-BD42-BD43</x:f>
        <x:v>0</x:v>
      </x:c>
      <x:c r="BE22" s="117" t="n">
        <x:f>BE10-BE20-BE32-BE42-BE43</x:f>
        <x:v>0</x:v>
      </x:c>
      <x:c r="BF22" s="117" t="n">
        <x:f>BF10-BF20-BF32-BF42-BF43</x:f>
        <x:v>0</x:v>
      </x:c>
      <x:c r="BG22" s="117" t="n">
        <x:f>BG10-BG20-BG32-BG42-BG43</x:f>
        <x:v>0</x:v>
      </x:c>
      <x:c r="BH22" s="117" t="n">
        <x:f>BH10-BH20-BH32-BH42-BH43</x:f>
        <x:v>0</x:v>
      </x:c>
      <x:c r="BI22" s="117" t="n">
        <x:f>BI10-BI20-BI32-BI42-BI43</x:f>
        <x:v>0</x:v>
      </x:c>
      <x:c r="BJ22" s="117" t="n">
        <x:f>BJ10-BJ20-BJ32-BJ42-BJ43</x:f>
        <x:v>0</x:v>
      </x:c>
      <x:c r="BK22" s="117" t="n">
        <x:f>BK10-BK20-BK32-BK42-BK43</x:f>
        <x:v>0</x:v>
      </x:c>
      <x:c r="BL22" s="117" t="n">
        <x:f>BL10-BL20-BL32-BL42-BL43</x:f>
        <x:v>0</x:v>
      </x:c>
      <x:c r="BM22" s="117" t="n">
        <x:f>BM10-BM20-BM32-BM42-BM43</x:f>
        <x:v>0</x:v>
      </x:c>
      <x:c r="BN22" s="117" t="n">
        <x:f>BN10-BN20-BN32-BN42-BN43</x:f>
        <x:v>0</x:v>
      </x:c>
      <x:c r="BO22" s="117" t="n">
        <x:f>BO10-BO20-BO32-BO42-BO43</x:f>
        <x:v>0</x:v>
      </x:c>
      <x:c r="BP22" s="117" t="n">
        <x:f>BP10-BP20-BP32-BP42-BP43</x:f>
        <x:v>0</x:v>
      </x:c>
      <x:c r="BQ22" s="117" t="n">
        <x:f>BQ10-BQ20-BQ32-BQ42-BQ43</x:f>
        <x:v>0</x:v>
      </x:c>
      <x:c r="BR22" s="117" t="n">
        <x:f>BR10-BR20-BR32-BR42-BR43</x:f>
        <x:v>0</x:v>
      </x:c>
      <x:c r="BS22" s="117" t="n">
        <x:f>BS10-BS20-BS32-BS42-BS43</x:f>
        <x:v>0</x:v>
      </x:c>
      <x:c r="BT22" s="117" t="n">
        <x:f>BT10-BT20-BT32-BT42-BT43</x:f>
        <x:v>0</x:v>
      </x:c>
      <x:c r="BU22" s="117" t="n">
        <x:f>BU10-BU20-BU32-BU42-BU43</x:f>
        <x:v>0</x:v>
      </x:c>
      <x:c r="BV22" s="117" t="n">
        <x:f>BV10-BV20-BV32-BV42-BV43</x:f>
        <x:v>0</x:v>
      </x:c>
      <x:c r="BW22" s="117" t="n">
        <x:f>BW10-BW20-BW32-BW42-BW43</x:f>
        <x:v>0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0</x:v>
      </x:c>
      <x:c r="E23" s="117" t="n">
        <x:f>D23+E22</x:f>
        <x:v>0</x:v>
      </x:c>
      <x:c r="F23" s="117" t="n">
        <x:f>E23+F22</x:f>
        <x:v>0</x:v>
      </x:c>
      <x:c r="G23" s="117" t="n">
        <x:f>F23+G22</x:f>
        <x:v>0</x:v>
      </x:c>
      <x:c r="H23" s="117" t="n">
        <x:f>G23+H22</x:f>
        <x:v>0</x:v>
      </x:c>
      <x:c r="I23" s="117" t="n">
        <x:f>H23+I22</x:f>
        <x:v>0</x:v>
      </x:c>
      <x:c r="J23" s="117" t="n">
        <x:f>I23+J22</x:f>
        <x:v>0</x:v>
      </x:c>
      <x:c r="K23" s="117" t="n">
        <x:f>J23+K22</x:f>
        <x:v>0</x:v>
      </x:c>
      <x:c r="L23" s="117" t="n">
        <x:f>K23+L22</x:f>
        <x:v>0</x:v>
      </x:c>
      <x:c r="M23" s="117" t="n">
        <x:f>L23+M22</x:f>
        <x:v>0</x:v>
      </x:c>
      <x:c r="N23" s="117" t="n">
        <x:f>M23+N22</x:f>
        <x:v>0</x:v>
      </x:c>
      <x:c r="O23" s="117" t="n">
        <x:f>N23+O22</x:f>
        <x:v>0</x:v>
      </x:c>
      <x:c r="P23" s="117" t="n">
        <x:f>O23+P22</x:f>
        <x:v>0</x:v>
      </x:c>
      <x:c r="Q23" s="117" t="n">
        <x:f>P23+Q22</x:f>
        <x:v>0</x:v>
      </x:c>
      <x:c r="R23" s="117" t="n">
        <x:f>Q23+R22</x:f>
        <x:v>0</x:v>
      </x:c>
      <x:c r="S23" s="117" t="n">
        <x:f>R23+S22</x:f>
        <x:v>0</x:v>
      </x:c>
      <x:c r="T23" s="117" t="n">
        <x:f>S23+T22</x:f>
        <x:v>0</x:v>
      </x:c>
      <x:c r="U23" s="117" t="n">
        <x:f>T23+U22</x:f>
        <x:v>0</x:v>
      </x:c>
      <x:c r="V23" s="117" t="n">
        <x:f>U23+V22</x:f>
        <x:v>0</x:v>
      </x:c>
      <x:c r="W23" s="117" t="n">
        <x:f>V23+W22</x:f>
        <x:v>0</x:v>
      </x:c>
      <x:c r="X23" s="117" t="n">
        <x:f>W23+X22</x:f>
        <x:v>0</x:v>
      </x:c>
      <x:c r="Y23" s="117" t="n">
        <x:f>X23+Y22</x:f>
        <x:v>0</x:v>
      </x:c>
      <x:c r="Z23" s="117" t="n">
        <x:f>Y23+Z22</x:f>
        <x:v>0</x:v>
      </x:c>
      <x:c r="AA23" s="117" t="n">
        <x:f>Z23+AA22</x:f>
        <x:v>0</x:v>
      </x:c>
      <x:c r="AB23" s="117" t="n">
        <x:f>AA23+AB22</x:f>
        <x:v>0</x:v>
      </x:c>
      <x:c r="AC23" s="117" t="n">
        <x:f>AB23+AC22</x:f>
        <x:v>0</x:v>
      </x:c>
      <x:c r="AD23" s="117" t="n">
        <x:f>AC23+AD22</x:f>
        <x:v>0</x:v>
      </x:c>
      <x:c r="AE23" s="117" t="n">
        <x:f>AD23+AE22</x:f>
        <x:v>0</x:v>
      </x:c>
      <x:c r="AF23" s="117" t="n">
        <x:f>AE23+AF22</x:f>
        <x:v>0</x:v>
      </x:c>
      <x:c r="AG23" s="117" t="n">
        <x:f>AF23+AG22</x:f>
        <x:v>0</x:v>
      </x:c>
      <x:c r="AH23" s="117" t="n">
        <x:f>AG23+AH22</x:f>
        <x:v>0</x:v>
      </x:c>
      <x:c r="AI23" s="117" t="n">
        <x:f>AH23+AI22</x:f>
        <x:v>0</x:v>
      </x:c>
      <x:c r="AJ23" s="117" t="n">
        <x:f>AI23+AJ22</x:f>
        <x:v>0</x:v>
      </x:c>
      <x:c r="AK23" s="117" t="n">
        <x:f>AJ23+AK22</x:f>
        <x:v>0</x:v>
      </x:c>
      <x:c r="AL23" s="117" t="n">
        <x:f>AK23+AL22</x:f>
        <x:v>0</x:v>
      </x:c>
      <x:c r="AM23" s="117" t="n">
        <x:f>AL23+AM22</x:f>
        <x:v>0</x:v>
      </x:c>
      <x:c r="AN23" s="117" t="n">
        <x:f>AM23+AN22</x:f>
        <x:v>0</x:v>
      </x:c>
      <x:c r="AO23" s="117" t="n">
        <x:f>AN23+AO22</x:f>
        <x:v>0</x:v>
      </x:c>
      <x:c r="AP23" s="117" t="n">
        <x:f>AO23+AP22</x:f>
        <x:v>0</x:v>
      </x:c>
      <x:c r="AQ23" s="117" t="n">
        <x:f>AP23+AQ22</x:f>
        <x:v>0</x:v>
      </x:c>
      <x:c r="AR23" s="117" t="n">
        <x:f>AQ23+AR22</x:f>
        <x:v>0</x:v>
      </x:c>
      <x:c r="AS23" s="117" t="n">
        <x:f>AR23+AS22</x:f>
        <x:v>0</x:v>
      </x:c>
      <x:c r="AT23" s="117" t="n">
        <x:f>AS23+AT22</x:f>
        <x:v>0</x:v>
      </x:c>
      <x:c r="AU23" s="117" t="n">
        <x:f>AT23+AU22</x:f>
        <x:v>0</x:v>
      </x:c>
      <x:c r="AV23" s="117" t="n">
        <x:f>AU23+AV22</x:f>
        <x:v>0</x:v>
      </x:c>
      <x:c r="AW23" s="117" t="n">
        <x:f>AV23+AW22</x:f>
        <x:v>0</x:v>
      </x:c>
      <x:c r="AX23" s="117" t="n">
        <x:f>AW23+AX22</x:f>
        <x:v>0</x:v>
      </x:c>
      <x:c r="AY23" s="117" t="n">
        <x:f>AX23+AY22</x:f>
        <x:v>0</x:v>
      </x:c>
      <x:c r="AZ23" s="117" t="n">
        <x:f>AY23+AZ22</x:f>
        <x:v>0</x:v>
      </x:c>
      <x:c r="BA23" s="117" t="n">
        <x:f>AZ23+BA22</x:f>
        <x:v>0</x:v>
      </x:c>
      <x:c r="BB23" s="117" t="n">
        <x:f>BA23+BB22</x:f>
        <x:v>0</x:v>
      </x:c>
      <x:c r="BC23" s="117" t="n">
        <x:f>BB23+BC22</x:f>
        <x:v>0</x:v>
      </x:c>
      <x:c r="BD23" s="117" t="n">
        <x:f>BC23+BD22</x:f>
        <x:v>0</x:v>
      </x:c>
      <x:c r="BE23" s="117" t="n">
        <x:f>BD23+BE22</x:f>
        <x:v>0</x:v>
      </x:c>
      <x:c r="BF23" s="117" t="n">
        <x:f>BE23+BF22</x:f>
        <x:v>0</x:v>
      </x:c>
      <x:c r="BG23" s="117" t="n">
        <x:f>BF23+BG22</x:f>
        <x:v>0</x:v>
      </x:c>
      <x:c r="BH23" s="117" t="n">
        <x:f>BG23+BH22</x:f>
        <x:v>0</x:v>
      </x:c>
      <x:c r="BI23" s="117" t="n">
        <x:f>BH23+BI22</x:f>
        <x:v>0</x:v>
      </x:c>
      <x:c r="BJ23" s="117" t="n">
        <x:f>BI23+BJ22</x:f>
        <x:v>0</x:v>
      </x:c>
      <x:c r="BK23" s="117" t="n">
        <x:f>BJ23+BK22</x:f>
        <x:v>0</x:v>
      </x:c>
      <x:c r="BL23" s="117" t="n">
        <x:f>BK23+BL22</x:f>
        <x:v>0</x:v>
      </x:c>
      <x:c r="BM23" s="117" t="n">
        <x:f>BL23+BM22</x:f>
        <x:v>0</x:v>
      </x:c>
      <x:c r="BN23" s="117" t="n">
        <x:f>BM23+BN22</x:f>
        <x:v>0</x:v>
      </x:c>
      <x:c r="BO23" s="117" t="n">
        <x:f>BN23+BO22</x:f>
        <x:v>0</x:v>
      </x:c>
      <x:c r="BP23" s="117" t="n">
        <x:f>BO23+BP22</x:f>
        <x:v>0</x:v>
      </x:c>
      <x:c r="BQ23" s="117" t="n">
        <x:f>BP23+BQ22</x:f>
        <x:v>0</x:v>
      </x:c>
      <x:c r="BR23" s="117" t="n">
        <x:f>BQ23+BR22</x:f>
        <x:v>0</x:v>
      </x:c>
      <x:c r="BS23" s="117" t="n">
        <x:f>BR23+BS22</x:f>
        <x:v>0</x:v>
      </x:c>
      <x:c r="BT23" s="117" t="n">
        <x:f>BS23+BT22</x:f>
        <x:v>0</x:v>
      </x:c>
      <x:c r="BU23" s="117" t="n">
        <x:f>BT23+BU22</x:f>
        <x:v>0</x:v>
      </x:c>
      <x:c r="BV23" s="117" t="n">
        <x:f>BU23+BV22</x:f>
        <x:v>0</x:v>
      </x:c>
      <x:c r="BW23" s="117" t="n">
        <x:f>BV23+BW22</x:f>
        <x:v>0</x:v>
      </x:c>
      <x:c r="BX23" s="117" t="n">
        <x:f>BW23+BX22</x:f>
        <x:v>0</x:v>
      </x:c>
      <x:c r="BY23" s="117" t="n">
        <x:f>BX23+BY22</x:f>
        <x:v>0</x:v>
      </x:c>
      <x:c r="BZ23" s="117" t="n">
        <x:f>BY23+BZ22</x:f>
        <x:v>0</x:v>
      </x:c>
      <x:c r="CA23" s="117" t="n">
        <x:f>BZ23+CA22</x:f>
        <x:v>0</x:v>
      </x:c>
      <x:c r="CB23" s="117" t="n">
        <x:f>CA23+CB22</x:f>
        <x:v>0</x:v>
      </x:c>
      <x:c r="CC23" s="117" t="n">
        <x:f>CB23+CC22</x:f>
        <x:v>0</x:v>
      </x:c>
      <x:c r="CD23" s="117" t="n">
        <x:f>CC23+CD22</x:f>
        <x:v>0</x:v>
      </x:c>
      <x:c r="CE23" s="117" t="n">
        <x:f>CD23+CE22</x:f>
        <x:v>0</x:v>
      </x:c>
      <x:c r="CF23" s="117" t="n">
        <x:f>CE23+CF22</x:f>
        <x:v>0</x:v>
      </x:c>
      <x:c r="CG23" s="117" t="n">
        <x:f>CF23+CG22</x:f>
        <x:v>0</x:v>
      </x:c>
      <x:c r="CH23" s="117" t="n">
        <x:f>CG23+CH22</x:f>
        <x:v>0</x:v>
      </x:c>
      <x:c r="CI23" s="117" t="n">
        <x:f>CH23+CI22</x:f>
        <x:v>0</x:v>
      </x:c>
      <x:c r="CJ23" s="117" t="n">
        <x:f>CI23+CJ22</x:f>
        <x:v>0</x:v>
      </x:c>
      <x:c r="CK23" s="117" t="n">
        <x:f>CJ23+CK22</x:f>
        <x:v>0</x:v>
      </x:c>
      <x:c r="CL23" s="117" t="n">
        <x:f>CK23+CL22</x:f>
        <x:v>0</x:v>
      </x:c>
      <x:c r="CM23" s="117" t="n">
        <x:f>CL23+CM22</x:f>
        <x:v>0</x:v>
      </x:c>
      <x:c r="CN23" s="117" t="n">
        <x:f>CM23+CN22</x:f>
        <x:v>0</x:v>
      </x:c>
      <x:c r="CO23" s="117" t="n">
        <x:f>CN23+CO22</x:f>
        <x:v>0</x:v>
      </x:c>
      <x:c r="CP23" s="117" t="n">
        <x:f>CO23+CP22</x:f>
        <x:v>0</x:v>
      </x:c>
      <x:c r="CQ23" s="117" t="n">
        <x:f>CP23+CQ22</x:f>
        <x:v>0</x:v>
      </x:c>
      <x:c r="CR23" s="117" t="n">
        <x:f>CQ23+CR22</x:f>
        <x:v>0</x:v>
      </x:c>
      <x:c r="CS23" s="117" t="n">
        <x:f>CR23+CS22</x:f>
        <x:v>0</x:v>
      </x:c>
      <x:c r="CT23" s="117" t="n">
        <x:f>CS23+CT22</x:f>
        <x:v>0</x:v>
      </x:c>
      <x:c r="CU23" s="117" t="n">
        <x:f>CT23+CU22</x:f>
        <x:v>0</x:v>
      </x:c>
      <x:c r="CV23" s="117" t="n">
        <x:f>CU23+CV22</x:f>
        <x:v>0</x:v>
      </x:c>
      <x:c r="CW23" s="117" t="n">
        <x:f>CV23+CW22</x:f>
        <x:v>0</x:v>
      </x:c>
      <x:c r="CX23" s="117" t="n">
        <x:f>CW23+CX22</x:f>
        <x:v>0</x:v>
      </x:c>
      <x:c r="CY23" s="117" t="n">
        <x:f>CX23+CY22</x:f>
        <x:v>0</x:v>
      </x:c>
      <x:c r="CZ23" s="117" t="n">
        <x:f>CY23+CZ22</x:f>
        <x:v>0</x:v>
      </x:c>
      <x:c r="DA23" s="117" t="n">
        <x:f>CZ23+DA22</x:f>
        <x:v>0</x:v>
      </x:c>
      <x:c r="DB23" s="117" t="n">
        <x:f>DA23+DB22</x:f>
        <x:v>0</x:v>
      </x:c>
      <x:c r="DC23" s="117" t="n">
        <x:f>DB23+DC22</x:f>
        <x:v>0</x:v>
      </x:c>
      <x:c r="DD23" s="117" t="n">
        <x:f>DC23+DD22</x:f>
        <x:v>0</x:v>
      </x:c>
      <x:c r="DE23" s="117" t="n">
        <x:f>DD23+DE22</x:f>
        <x:v>0</x:v>
      </x:c>
      <x:c r="DF23" s="117" t="n">
        <x:f>DE23+DF22</x:f>
        <x:v>0</x:v>
      </x:c>
      <x:c r="DG23" s="117" t="n">
        <x:f>DF23+DG22</x:f>
        <x:v>0</x:v>
      </x:c>
      <x:c r="DH23" s="117" t="n">
        <x:f>DG23+DH22</x:f>
        <x:v>0</x:v>
      </x:c>
      <x:c r="DI23" s="117" t="n">
        <x:f>DH23+DI22</x:f>
        <x:v>0</x:v>
      </x:c>
      <x:c r="DJ23" s="117" t="n">
        <x:f>DI23+DJ22</x:f>
        <x:v>0</x:v>
      </x:c>
      <x:c r="DK23" s="117" t="n">
        <x:f>DJ23+DK22</x:f>
        <x:v>0</x:v>
      </x:c>
      <x:c r="DL23" s="117" t="n">
        <x:f>DK23+DL22</x:f>
        <x:v>0</x:v>
      </x:c>
      <x:c r="DM23" s="117" t="n">
        <x:f>DL23+DM22</x:f>
        <x:v>0</x:v>
      </x:c>
      <x:c r="DN23" s="117" t="n">
        <x:f>DM23+DN22</x:f>
        <x:v>0</x:v>
      </x:c>
      <x:c r="DO23" s="117" t="n">
        <x:f>DN23+DO22</x:f>
        <x:v>0</x:v>
      </x:c>
      <x:c r="DP23" s="117" t="n">
        <x:f>DO23+DP22</x:f>
        <x:v>0</x:v>
      </x:c>
      <x:c r="DQ23" s="117" t="n">
        <x:f>DP23+DQ22</x:f>
        <x:v>0</x:v>
      </x:c>
      <x:c r="DR23" s="117" t="n">
        <x:f>DQ23+DR22</x:f>
        <x:v>0</x:v>
      </x:c>
      <x:c r="DS23" s="117" t="n">
        <x:f>DR23+DS22</x:f>
        <x:v>0</x:v>
      </x:c>
    </x:row>
    <x:row r="24">
      <x:c r="A24" t="str">
        <x:v>Налог на прибыль</x:v>
      </x:c>
      <x:c r="B24" t="n">
        <x:f>SUM(D24:DS24)</x:f>
        <x:v>0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0</x:v>
      </x:c>
      <x:c r="AW24" s="117" t="n">
        <x:f>IF(AW$3&gt;=$B$8,MAX(0,MAX(0,AW23)*'Вводные'!$B$21-AV25),0)</x:f>
        <x:v>0</x:v>
      </x:c>
      <x:c r="AX24" s="117" t="n">
        <x:f>IF(AX$3&gt;=$B$8,MAX(0,MAX(0,AX23)*'Вводные'!$B$21-AW25),0)</x:f>
        <x:v>0</x:v>
      </x:c>
      <x:c r="AY24" s="117" t="n">
        <x:f>IF(AY$3&gt;=$B$8,MAX(0,MAX(0,AY23)*'Вводные'!$B$21-AX25),0)</x:f>
        <x:v>0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0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0</x:v>
      </x:c>
      <x:c r="AW25" s="117" t="n">
        <x:f>AV25+AW24</x:f>
        <x:v>0</x:v>
      </x:c>
      <x:c r="AX25" s="117" t="n">
        <x:f>AW25+AX24</x:f>
        <x:v>0</x:v>
      </x:c>
      <x:c r="AY25" s="117" t="n">
        <x:f>AX25+AY24</x:f>
        <x:v>0</x:v>
      </x:c>
      <x:c r="AZ25" s="117" t="n">
        <x:f>AY25+AZ24</x:f>
        <x:v>0</x:v>
      </x:c>
      <x:c r="BA25" s="117" t="n">
        <x:f>AZ25+BA24</x:f>
        <x:v>0</x:v>
      </x:c>
      <x:c r="BB25" s="117" t="n">
        <x:f>BA25+BB24</x:f>
        <x:v>0</x:v>
      </x:c>
      <x:c r="BC25" s="117" t="n">
        <x:f>BB25+BC24</x:f>
        <x:v>0</x:v>
      </x:c>
      <x:c r="BD25" s="117" t="n">
        <x:f>BC25+BD24</x:f>
        <x:v>0</x:v>
      </x:c>
      <x:c r="BE25" s="117" t="n">
        <x:f>BD25+BE24</x:f>
        <x:v>0</x:v>
      </x:c>
      <x:c r="BF25" s="117" t="n">
        <x:f>BE25+BF24</x:f>
        <x:v>0</x:v>
      </x:c>
      <x:c r="BG25" s="117" t="n">
        <x:f>BF25+BG24</x:f>
        <x:v>0</x:v>
      </x:c>
      <x:c r="BH25" s="117" t="n">
        <x:f>BG25+BH24</x:f>
        <x:v>0</x:v>
      </x:c>
      <x:c r="BI25" s="117" t="n">
        <x:f>BH25+BI24</x:f>
        <x:v>0</x:v>
      </x:c>
      <x:c r="BJ25" s="117" t="n">
        <x:f>BI25+BJ24</x:f>
        <x:v>0</x:v>
      </x:c>
      <x:c r="BK25" s="117" t="n">
        <x:f>BJ25+BK24</x:f>
        <x:v>0</x:v>
      </x:c>
      <x:c r="BL25" s="117" t="n">
        <x:f>BK25+BL24</x:f>
        <x:v>0</x:v>
      </x:c>
      <x:c r="BM25" s="117" t="n">
        <x:f>BL25+BM24</x:f>
        <x:v>0</x:v>
      </x:c>
      <x:c r="BN25" s="117" t="n">
        <x:f>BM25+BN24</x:f>
        <x:v>0</x:v>
      </x:c>
      <x:c r="BO25" s="117" t="n">
        <x:f>BN25+BO24</x:f>
        <x:v>0</x:v>
      </x:c>
      <x:c r="BP25" s="117" t="n">
        <x:f>BO25+BP24</x:f>
        <x:v>0</x:v>
      </x:c>
      <x:c r="BQ25" s="117" t="n">
        <x:f>BP25+BQ24</x:f>
        <x:v>0</x:v>
      </x:c>
      <x:c r="BR25" s="117" t="n">
        <x:f>BQ25+BR24</x:f>
        <x:v>0</x:v>
      </x:c>
      <x:c r="BS25" s="117" t="n">
        <x:f>BR25+BS24</x:f>
        <x:v>0</x:v>
      </x:c>
      <x:c r="BT25" s="117" t="n">
        <x:f>BS25+BT24</x:f>
        <x:v>0</x:v>
      </x:c>
      <x:c r="BU25" s="117" t="n">
        <x:f>BT25+BU24</x:f>
        <x:v>0</x:v>
      </x:c>
      <x:c r="BV25" s="117" t="n">
        <x:f>BU25+BV24</x:f>
        <x:v>0</x:v>
      </x:c>
      <x:c r="BW25" s="117" t="n">
        <x:f>BV25+BW24</x:f>
        <x:v>0</x:v>
      </x:c>
      <x:c r="BX25" s="117" t="n">
        <x:f>BW25+BX24</x:f>
        <x:v>0</x:v>
      </x:c>
      <x:c r="BY25" s="117" t="n">
        <x:f>BX25+BY24</x:f>
        <x:v>0</x:v>
      </x:c>
      <x:c r="BZ25" s="117" t="n">
        <x:f>BY25+BZ24</x:f>
        <x:v>0</x:v>
      </x:c>
      <x:c r="CA25" s="117" t="n">
        <x:f>BZ25+CA24</x:f>
        <x:v>0</x:v>
      </x:c>
      <x:c r="CB25" s="117" t="n">
        <x:f>CA25+CB24</x:f>
        <x:v>0</x:v>
      </x:c>
      <x:c r="CC25" s="117" t="n">
        <x:f>CB25+CC24</x:f>
        <x:v>0</x:v>
      </x:c>
      <x:c r="CD25" s="117" t="n">
        <x:f>CC25+CD24</x:f>
        <x:v>0</x:v>
      </x:c>
      <x:c r="CE25" s="117" t="n">
        <x:f>CD25+CE24</x:f>
        <x:v>0</x:v>
      </x:c>
      <x:c r="CF25" s="117" t="n">
        <x:f>CE25+CF24</x:f>
        <x:v>0</x:v>
      </x:c>
      <x:c r="CG25" s="117" t="n">
        <x:f>CF25+CG24</x:f>
        <x:v>0</x:v>
      </x:c>
      <x:c r="CH25" s="117" t="n">
        <x:f>CG25+CH24</x:f>
        <x:v>0</x:v>
      </x:c>
      <x:c r="CI25" s="117" t="n">
        <x:f>CH25+CI24</x:f>
        <x:v>0</x:v>
      </x:c>
      <x:c r="CJ25" s="117" t="n">
        <x:f>CI25+CJ24</x:f>
        <x:v>0</x:v>
      </x:c>
      <x:c r="CK25" s="117" t="n">
        <x:f>CJ25+CK24</x:f>
        <x:v>0</x:v>
      </x:c>
      <x:c r="CL25" s="117" t="n">
        <x:f>CK25+CL24</x:f>
        <x:v>0</x:v>
      </x:c>
      <x:c r="CM25" s="117" t="n">
        <x:f>CL25+CM24</x:f>
        <x:v>0</x:v>
      </x:c>
      <x:c r="CN25" s="117" t="n">
        <x:f>CM25+CN24</x:f>
        <x:v>0</x:v>
      </x:c>
      <x:c r="CO25" s="117" t="n">
        <x:f>CN25+CO24</x:f>
        <x:v>0</x:v>
      </x:c>
      <x:c r="CP25" s="117" t="n">
        <x:f>CO25+CP24</x:f>
        <x:v>0</x:v>
      </x:c>
      <x:c r="CQ25" s="117" t="n">
        <x:f>CP25+CQ24</x:f>
        <x:v>0</x:v>
      </x:c>
      <x:c r="CR25" s="117" t="n">
        <x:f>CQ25+CR24</x:f>
        <x:v>0</x:v>
      </x:c>
      <x:c r="CS25" s="117" t="n">
        <x:f>CR25+CS24</x:f>
        <x:v>0</x:v>
      </x:c>
      <x:c r="CT25" s="117" t="n">
        <x:f>CS25+CT24</x:f>
        <x:v>0</x:v>
      </x:c>
      <x:c r="CU25" s="117" t="n">
        <x:f>CT25+CU24</x:f>
        <x:v>0</x:v>
      </x:c>
      <x:c r="CV25" s="117" t="n">
        <x:f>CU25+CV24</x:f>
        <x:v>0</x:v>
      </x:c>
      <x:c r="CW25" s="117" t="n">
        <x:f>CV25+CW24</x:f>
        <x:v>0</x:v>
      </x:c>
      <x:c r="CX25" s="117" t="n">
        <x:f>CW25+CX24</x:f>
        <x:v>0</x:v>
      </x:c>
      <x:c r="CY25" s="117" t="n">
        <x:f>CX25+CY24</x:f>
        <x:v>0</x:v>
      </x:c>
      <x:c r="CZ25" s="117" t="n">
        <x:f>CY25+CZ24</x:f>
        <x:v>0</x:v>
      </x:c>
      <x:c r="DA25" s="117" t="n">
        <x:f>CZ25+DA24</x:f>
        <x:v>0</x:v>
      </x:c>
      <x:c r="DB25" s="117" t="n">
        <x:f>DA25+DB24</x:f>
        <x:v>0</x:v>
      </x:c>
      <x:c r="DC25" s="117" t="n">
        <x:f>DB25+DC24</x:f>
        <x:v>0</x:v>
      </x:c>
      <x:c r="DD25" s="117" t="n">
        <x:f>DC25+DD24</x:f>
        <x:v>0</x:v>
      </x:c>
      <x:c r="DE25" s="117" t="n">
        <x:f>DD25+DE24</x:f>
        <x:v>0</x:v>
      </x:c>
      <x:c r="DF25" s="117" t="n">
        <x:f>DE25+DF24</x:f>
        <x:v>0</x:v>
      </x:c>
      <x:c r="DG25" s="117" t="n">
        <x:f>DF25+DG24</x:f>
        <x:v>0</x:v>
      </x:c>
      <x:c r="DH25" s="117" t="n">
        <x:f>DG25+DH24</x:f>
        <x:v>0</x:v>
      </x:c>
      <x:c r="DI25" s="117" t="n">
        <x:f>DH25+DI24</x:f>
        <x:v>0</x:v>
      </x:c>
      <x:c r="DJ25" s="117" t="n">
        <x:f>DI25+DJ24</x:f>
        <x:v>0</x:v>
      </x:c>
      <x:c r="DK25" s="117" t="n">
        <x:f>DJ25+DK24</x:f>
        <x:v>0</x:v>
      </x:c>
      <x:c r="DL25" s="117" t="n">
        <x:f>DK25+DL24</x:f>
        <x:v>0</x:v>
      </x:c>
      <x:c r="DM25" s="117" t="n">
        <x:f>DL25+DM24</x:f>
        <x:v>0</x:v>
      </x:c>
      <x:c r="DN25" s="117" t="n">
        <x:f>DM25+DN24</x:f>
        <x:v>0</x:v>
      </x:c>
      <x:c r="DO25" s="117" t="n">
        <x:f>DN25+DO24</x:f>
        <x:v>0</x:v>
      </x:c>
      <x:c r="DP25" s="117" t="n">
        <x:f>DO25+DP24</x:f>
        <x:v>0</x:v>
      </x:c>
      <x:c r="DQ25" s="117" t="n">
        <x:f>DP25+DQ24</x:f>
        <x:v>0</x:v>
      </x:c>
      <x:c r="DR25" s="117" t="n">
        <x:f>DQ25+DR24</x:f>
        <x:v>0</x:v>
      </x:c>
      <x:c r="DS25" s="117" t="n">
        <x:f>DR25+DS24</x:f>
        <x:v>0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0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0</x:v>
      </x:c>
      <x:c r="AU27" s="117" t="n">
        <x:f>SUM(AU14,AU12)</x:f>
        <x:v>0</x:v>
      </x:c>
      <x:c r="AV27" s="117" t="n">
        <x:f>SUM(AV14,AV12)</x:f>
        <x:v>0</x:v>
      </x:c>
      <x:c r="AW27" s="117" t="n">
        <x:f>SUM(AW14,AW12)</x:f>
        <x:v>0</x:v>
      </x:c>
      <x:c r="AX27" s="117" t="n">
        <x:f>SUM(AX14,AX12)</x:f>
        <x:v>0</x:v>
      </x:c>
      <x:c r="AY27" s="117" t="n">
        <x:f>SUM(AY14,AY12)</x:f>
        <x:v>0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0</x:v>
      </x:c>
      <x:c r="C28" s="113" t="str">
        <x:v>млн ₽</x:v>
      </x:c>
      <x:c r="D28" s="120" t="n">
        <x:f>D27-D20-D24</x:f>
        <x:v>0</x:v>
      </x:c>
      <x:c r="E28" s="120" t="n">
        <x:f>E27-E20-E24</x:f>
        <x:v>0</x:v>
      </x:c>
      <x:c r="F28" s="120" t="n">
        <x:f>F27-F20-F24</x:f>
        <x:v>0</x:v>
      </x:c>
      <x:c r="G28" s="120" t="n">
        <x:f>G27-G20-G24</x:f>
        <x:v>0</x:v>
      </x:c>
      <x:c r="H28" s="120" t="n">
        <x:f>H27-H20-H24</x:f>
        <x:v>0</x:v>
      </x:c>
      <x:c r="I28" s="120" t="n">
        <x:f>I27-I20-I24</x:f>
        <x:v>0</x:v>
      </x:c>
      <x:c r="J28" s="120" t="n">
        <x:f>J27-J20-J24</x:f>
        <x:v>0</x:v>
      </x:c>
      <x:c r="K28" s="120" t="n">
        <x:f>K27-K20-K24</x:f>
        <x:v>0</x:v>
      </x:c>
      <x:c r="L28" s="120" t="n">
        <x:f>L27-L20-L24</x:f>
        <x:v>0</x:v>
      </x:c>
      <x:c r="M28" s="120" t="n">
        <x:f>M27-M20-M24</x:f>
        <x:v>0</x:v>
      </x:c>
      <x:c r="N28" s="120" t="n">
        <x:f>N27-N20-N24</x:f>
        <x:v>0</x:v>
      </x:c>
      <x:c r="O28" s="120" t="n">
        <x:f>O27-O20-O24</x:f>
        <x:v>0</x:v>
      </x:c>
      <x:c r="P28" s="120" t="n">
        <x:f>P27-P20-P24</x:f>
        <x:v>0</x:v>
      </x:c>
      <x:c r="Q28" s="120" t="n">
        <x:f>Q27-Q20-Q24</x:f>
        <x:v>0</x:v>
      </x:c>
      <x:c r="R28" s="120" t="n">
        <x:f>R27-R20-R24</x:f>
        <x:v>0</x:v>
      </x:c>
      <x:c r="S28" s="120" t="n">
        <x:f>S27-S20-S24</x:f>
        <x:v>0</x:v>
      </x:c>
      <x:c r="T28" s="120" t="n">
        <x:f>T27-T20-T24</x:f>
        <x:v>0</x:v>
      </x:c>
      <x:c r="U28" s="120" t="n">
        <x:f>U27-U20-U24</x:f>
        <x:v>0</x:v>
      </x:c>
      <x:c r="V28" s="120" t="n">
        <x:f>V27-V20-V24</x:f>
        <x:v>0</x:v>
      </x:c>
      <x:c r="W28" s="120" t="n">
        <x:f>W27-W20-W24</x:f>
        <x:v>0</x:v>
      </x:c>
      <x:c r="X28" s="120" t="n">
        <x:f>X27-X20-X24</x:f>
        <x:v>0</x:v>
      </x:c>
      <x:c r="Y28" s="120" t="n">
        <x:f>Y27-Y20-Y24</x:f>
        <x:v>0</x:v>
      </x:c>
      <x:c r="Z28" s="120" t="n">
        <x:f>Z27-Z20-Z24</x:f>
        <x:v>0</x:v>
      </x:c>
      <x:c r="AA28" s="120" t="n">
        <x:f>AA27-AA20-AA24</x:f>
        <x:v>0</x:v>
      </x:c>
      <x:c r="AB28" s="120" t="n">
        <x:f>AB27-AB20-AB24</x:f>
        <x:v>0</x:v>
      </x:c>
      <x:c r="AC28" s="120" t="n">
        <x:f>AC27-AC20-AC24</x:f>
        <x:v>0</x:v>
      </x:c>
      <x:c r="AD28" s="120" t="n">
        <x:f>AD27-AD20-AD24</x:f>
        <x:v>0</x:v>
      </x:c>
      <x:c r="AE28" s="120" t="n">
        <x:f>AE27-AE20-AE24</x:f>
        <x:v>0</x:v>
      </x:c>
      <x:c r="AF28" s="120" t="n">
        <x:f>AF27-AF20-AF24</x:f>
        <x:v>0</x:v>
      </x:c>
      <x:c r="AG28" s="120" t="n">
        <x:f>AG27-AG20-AG24</x:f>
        <x:v>0</x:v>
      </x:c>
      <x:c r="AH28" s="120" t="n">
        <x:f>AH27-AH20-AH24</x:f>
        <x:v>0</x:v>
      </x:c>
      <x:c r="AI28" s="120" t="n">
        <x:f>AI27-AI20-AI24</x:f>
        <x:v>0</x:v>
      </x:c>
      <x:c r="AJ28" s="120" t="n">
        <x:f>AJ27-AJ20-AJ24</x:f>
        <x:v>0</x:v>
      </x:c>
      <x:c r="AK28" s="120" t="n">
        <x:f>AK27-AK20-AK24</x:f>
        <x:v>0</x:v>
      </x:c>
      <x:c r="AL28" s="120" t="n">
        <x:f>AL27-AL20-AL24</x:f>
        <x:v>0</x:v>
      </x:c>
      <x:c r="AM28" s="120" t="n">
        <x:f>AM27-AM20-AM24</x:f>
        <x:v>0</x:v>
      </x:c>
      <x:c r="AN28" s="120" t="n">
        <x:f>AN27-AN20-AN24</x:f>
        <x:v>0</x:v>
      </x:c>
      <x:c r="AO28" s="120" t="n">
        <x:f>AO27-AO20-AO24</x:f>
        <x:v>0</x:v>
      </x:c>
      <x:c r="AP28" s="120" t="n">
        <x:f>AP27-AP20-AP24</x:f>
        <x:v>0</x:v>
      </x:c>
      <x:c r="AQ28" s="120" t="n">
        <x:f>AQ27-AQ20-AQ24</x:f>
        <x:v>0</x:v>
      </x:c>
      <x:c r="AR28" s="120" t="n">
        <x:f>AR27-AR20-AR24</x:f>
        <x:v>0</x:v>
      </x:c>
      <x:c r="AS28" s="120" t="n">
        <x:f>AS27-AS20-AS24</x:f>
        <x:v>0</x:v>
      </x:c>
      <x:c r="AT28" s="120" t="n">
        <x:f>AT27-AT20-AT24</x:f>
        <x:v>0</x:v>
      </x:c>
      <x:c r="AU28" s="120" t="n">
        <x:f>AU27-AU20-AU24</x:f>
        <x:v>0</x:v>
      </x:c>
      <x:c r="AV28" s="120" t="n">
        <x:f>AV27-AV20-AV24</x:f>
        <x:v>0</x:v>
      </x:c>
      <x:c r="AW28" s="120" t="n">
        <x:f>AW27-AW20-AW24</x:f>
        <x:v>0</x:v>
      </x:c>
      <x:c r="AX28" s="120" t="n">
        <x:f>AX27-AX20-AX24</x:f>
        <x:v>0</x:v>
      </x:c>
      <x:c r="AY28" s="120" t="n">
        <x:f>AY27-AY20-AY24</x:f>
        <x:v>0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0</x:v>
      </x:c>
      <x:c r="F30" s="117" t="n">
        <x:f>E36</x:f>
        <x:v>0</x:v>
      </x:c>
      <x:c r="G30" s="117" t="n">
        <x:f>F36</x:f>
        <x:v>0</x:v>
      </x:c>
      <x:c r="H30" s="117" t="n">
        <x:f>G36</x:f>
        <x:v>0</x:v>
      </x:c>
      <x:c r="I30" s="117" t="n">
        <x:f>H36</x:f>
        <x:v>0</x:v>
      </x:c>
      <x:c r="J30" s="117" t="n">
        <x:f>I36</x:f>
        <x:v>0</x:v>
      </x:c>
      <x:c r="K30" s="117" t="n">
        <x:f>J36</x:f>
        <x:v>0</x:v>
      </x:c>
      <x:c r="L30" s="117" t="n">
        <x:f>K36</x:f>
        <x:v>0</x:v>
      </x:c>
      <x:c r="M30" s="117" t="n">
        <x:f>L36</x:f>
        <x:v>0</x:v>
      </x:c>
      <x:c r="N30" s="117" t="n">
        <x:f>M36</x:f>
        <x:v>0</x:v>
      </x:c>
      <x:c r="O30" s="117" t="n">
        <x:f>N36</x:f>
        <x:v>0</x:v>
      </x:c>
      <x:c r="P30" s="117" t="n">
        <x:f>O36</x:f>
        <x:v>0</x:v>
      </x:c>
      <x:c r="Q30" s="117" t="n">
        <x:f>P36</x:f>
        <x:v>0</x:v>
      </x:c>
      <x:c r="R30" s="117" t="n">
        <x:f>Q36</x:f>
        <x:v>0</x:v>
      </x:c>
      <x:c r="S30" s="117" t="n">
        <x:f>R36</x:f>
        <x:v>0</x:v>
      </x:c>
      <x:c r="T30" s="117" t="n">
        <x:f>S36</x:f>
        <x:v>0</x:v>
      </x:c>
      <x:c r="U30" s="117" t="n">
        <x:f>T36</x:f>
        <x:v>0</x:v>
      </x:c>
      <x:c r="V30" s="117" t="n">
        <x:f>U36</x:f>
        <x:v>0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0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0</x:v>
      </x:c>
      <x:c r="E33" s="117" t="n">
        <x:f>IF(E$3&lt;$B$7,MAX(0,E20+E24+IF('Вводные'!$B$31="Оплата капиталом",E32,0)-E27),0)</x:f>
        <x:v>0</x:v>
      </x:c>
      <x:c r="F33" s="117" t="n">
        <x:f>IF(F$3&lt;$B$7,MAX(0,F20+F24+IF('Вводные'!$B$31="Оплата капиталом",F32,0)-F27),0)</x:f>
        <x:v>0</x:v>
      </x:c>
      <x:c r="G33" s="117" t="n">
        <x:f>IF(G$3&lt;$B$7,MAX(0,G20+G24+IF('Вводные'!$B$31="Оплата капиталом",G32,0)-G27),0)</x:f>
        <x:v>0</x:v>
      </x:c>
      <x:c r="H33" s="117" t="n">
        <x:f>IF(H$3&lt;$B$7,MAX(0,H20+H24+IF('Вводные'!$B$31="Оплата капиталом",H32,0)-H27),0)</x:f>
        <x:v>0</x:v>
      </x:c>
      <x:c r="I33" s="117" t="n">
        <x:f>IF(I$3&lt;$B$7,MAX(0,I20+I24+IF('Вводные'!$B$31="Оплата капиталом",I32,0)-I27),0)</x:f>
        <x:v>0</x:v>
      </x:c>
      <x:c r="J33" s="117" t="n">
        <x:f>IF(J$3&lt;$B$7,MAX(0,J20+J24+IF('Вводные'!$B$31="Оплата капиталом",J32,0)-J27),0)</x:f>
        <x:v>0</x:v>
      </x:c>
      <x:c r="K33" s="117" t="n">
        <x:f>IF(K$3&lt;$B$7,MAX(0,K20+K24+IF('Вводные'!$B$31="Оплата капиталом",K32,0)-K27),0)</x:f>
        <x:v>0</x:v>
      </x:c>
      <x:c r="L33" s="117" t="n">
        <x:f>IF(L$3&lt;$B$7,MAX(0,L20+L24+IF('Вводные'!$B$31="Оплата капиталом",L32,0)-L27),0)</x:f>
        <x:v>0</x:v>
      </x:c>
      <x:c r="M33" s="117" t="n">
        <x:f>IF(M$3&lt;$B$7,MAX(0,M20+M24+IF('Вводные'!$B$31="Оплата капиталом",M32,0)-M27),0)</x:f>
        <x:v>0</x:v>
      </x:c>
      <x:c r="N33" s="117" t="n">
        <x:f>IF(N$3&lt;$B$7,MAX(0,N20+N24+IF('Вводные'!$B$31="Оплата капиталом",N32,0)-N27),0)</x:f>
        <x:v>0</x:v>
      </x:c>
      <x:c r="O33" s="117" t="n">
        <x:f>IF(O$3&lt;$B$7,MAX(0,O20+O24+IF('Вводные'!$B$31="Оплата капиталом",O32,0)-O27),0)</x:f>
        <x:v>0</x:v>
      </x:c>
      <x:c r="P33" s="117" t="n">
        <x:f>IF(P$3&lt;$B$7,MAX(0,P20+P24+IF('Вводные'!$B$31="Оплата капиталом",P32,0)-P27),0)</x:f>
        <x:v>0</x:v>
      </x:c>
      <x:c r="Q33" s="117" t="n">
        <x:f>IF(Q$3&lt;$B$7,MAX(0,Q20+Q24+IF('Вводные'!$B$31="Оплата капиталом",Q32,0)-Q27),0)</x:f>
        <x:v>0</x:v>
      </x:c>
      <x:c r="R33" s="117" t="n">
        <x:f>IF(R$3&lt;$B$7,MAX(0,R20+R24+IF('Вводные'!$B$31="Оплата капиталом",R32,0)-R27),0)</x:f>
        <x:v>0</x:v>
      </x:c>
      <x:c r="S33" s="117" t="n">
        <x:f>IF(S$3&lt;$B$7,MAX(0,S20+S24+IF('Вводные'!$B$31="Оплата капиталом",S32,0)-S27),0)</x:f>
        <x:v>0</x:v>
      </x:c>
      <x:c r="T33" s="117" t="n">
        <x:f>IF(T$3&lt;$B$7,MAX(0,T20+T24+IF('Вводные'!$B$31="Оплата капиталом",T32,0)-T27),0)</x:f>
        <x:v>0</x:v>
      </x:c>
      <x:c r="U33" s="117" t="n">
        <x:f>IF(U$3&lt;$B$7,MAX(0,U20+U24+IF('Вводные'!$B$31="Оплата капиталом",U32,0)-U27),0)</x:f>
        <x:v>0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0</x:v>
      </x:c>
      <x:c r="C34" t="str">
        <x:v>млн ₽</x:v>
      </x:c>
      <x:c r="D34" s="117" t="n">
        <x:f>MIN(MAX(0,'Вводные'!$B$24*'Вводные'!$U$90-D30),D33)</x:f>
        <x:v>0</x:v>
      </x:c>
      <x:c r="E34" s="117" t="n">
        <x:f>MIN(MAX(0,'Вводные'!$B$24*'Вводные'!$U$90-E30),E33)</x:f>
        <x:v>0</x:v>
      </x:c>
      <x:c r="F34" s="117" t="n">
        <x:f>MIN(MAX(0,'Вводные'!$B$24*'Вводные'!$U$90-F30),F33)</x:f>
        <x:v>0</x:v>
      </x:c>
      <x:c r="G34" s="117" t="n">
        <x:f>MIN(MAX(0,'Вводные'!$B$24*'Вводные'!$U$90-G30),G33)</x:f>
        <x:v>0</x:v>
      </x:c>
      <x:c r="H34" s="117" t="n">
        <x:f>MIN(MAX(0,'Вводные'!$B$24*'Вводные'!$U$90-H30),H33)</x:f>
        <x:v>0</x:v>
      </x:c>
      <x:c r="I34" s="117" t="n">
        <x:f>MIN(MAX(0,'Вводные'!$B$24*'Вводные'!$U$90-I30),I33)</x:f>
        <x:v>0</x:v>
      </x:c>
      <x:c r="J34" s="117" t="n">
        <x:f>MIN(MAX(0,'Вводные'!$B$24*'Вводные'!$U$90-J30),J33)</x:f>
        <x:v>0</x:v>
      </x:c>
      <x:c r="K34" s="117" t="n">
        <x:f>MIN(MAX(0,'Вводные'!$B$24*'Вводные'!$U$90-K30),K33)</x:f>
        <x:v>0</x:v>
      </x:c>
      <x:c r="L34" s="117" t="n">
        <x:f>MIN(MAX(0,'Вводные'!$B$24*'Вводные'!$U$90-L30),L33)</x:f>
        <x:v>0</x:v>
      </x:c>
      <x:c r="M34" s="117" t="n">
        <x:f>MIN(MAX(0,'Вводные'!$B$24*'Вводные'!$U$90-M30),M33)</x:f>
        <x:v>0</x:v>
      </x:c>
      <x:c r="N34" s="117" t="n">
        <x:f>MIN(MAX(0,'Вводные'!$B$24*'Вводные'!$U$90-N30),N33)</x:f>
        <x:v>0</x:v>
      </x:c>
      <x:c r="O34" s="117" t="n">
        <x:f>MIN(MAX(0,'Вводные'!$B$24*'Вводные'!$U$90-O30),O33)</x:f>
        <x:v>0</x:v>
      </x:c>
      <x:c r="P34" s="117" t="n">
        <x:f>MIN(MAX(0,'Вводные'!$B$24*'Вводные'!$U$90-P30),P33)</x:f>
        <x:v>0</x:v>
      </x:c>
      <x:c r="Q34" s="117" t="n">
        <x:f>MIN(MAX(0,'Вводные'!$B$24*'Вводные'!$U$90-Q30),Q33)</x:f>
        <x:v>0</x:v>
      </x:c>
      <x:c r="R34" s="117" t="n">
        <x:f>MIN(MAX(0,'Вводные'!$B$24*'Вводные'!$U$90-R30),R33)</x:f>
        <x:v>0</x:v>
      </x:c>
      <x:c r="S34" s="117" t="n">
        <x:f>MIN(MAX(0,'Вводные'!$B$24*'Вводные'!$U$90-S30),S33)</x:f>
        <x:v>0</x:v>
      </x:c>
      <x:c r="T34" s="117" t="n">
        <x:f>MIN(MAX(0,'Вводные'!$B$24*'Вводные'!$U$90-T30),T33)</x:f>
        <x:v>0</x:v>
      </x:c>
      <x:c r="U34" s="117" t="n">
        <x:f>MIN(MAX(0,'Вводные'!$B$24*'Вводные'!$U$90-U30),U33)</x:f>
        <x:v>0</x:v>
      </x:c>
      <x:c r="V34" s="117" t="n">
        <x:f>MIN(MAX(0,'Вводные'!$B$24*'Вводные'!$U$90-V30),V33)</x:f>
        <x:v>0</x:v>
      </x:c>
      <x:c r="W34" s="117" t="n">
        <x:f>MIN(MAX(0,'Вводные'!$B$24*'Вводные'!$U$90-W30),W33)</x:f>
        <x:v>0</x:v>
      </x:c>
      <x:c r="X34" s="117" t="n">
        <x:f>MIN(MAX(0,'Вводные'!$B$24*'Вводные'!$U$90-X30),X33)</x:f>
        <x:v>0</x:v>
      </x:c>
      <x:c r="Y34" s="117" t="n">
        <x:f>MIN(MAX(0,'Вводные'!$B$24*'Вводные'!$U$90-Y30),Y33)</x:f>
        <x:v>0</x:v>
      </x:c>
      <x:c r="Z34" s="117" t="n">
        <x:f>MIN(MAX(0,'Вводные'!$B$24*'Вводные'!$U$90-Z30),Z33)</x:f>
        <x:v>0</x:v>
      </x:c>
      <x:c r="AA34" s="117" t="n">
        <x:f>MIN(MAX(0,'Вводные'!$B$24*'Вводные'!$U$90-AA30),AA33)</x:f>
        <x:v>0</x:v>
      </x:c>
      <x:c r="AB34" s="117" t="n">
        <x:f>MIN(MAX(0,'Вводные'!$B$24*'Вводные'!$U$90-AB30),AB33)</x:f>
        <x:v>0</x:v>
      </x:c>
      <x:c r="AC34" s="117" t="n">
        <x:f>MIN(MAX(0,'Вводные'!$B$24*'Вводные'!$U$90-AC30),AC33)</x:f>
        <x:v>0</x:v>
      </x:c>
      <x:c r="AD34" s="117" t="n">
        <x:f>MIN(MAX(0,'Вводные'!$B$24*'Вводные'!$U$90-AD30),AD33)</x:f>
        <x:v>0</x:v>
      </x:c>
      <x:c r="AE34" s="117" t="n">
        <x:f>MIN(MAX(0,'Вводные'!$B$24*'Вводные'!$U$90-AE30),AE33)</x:f>
        <x:v>0</x:v>
      </x:c>
      <x:c r="AF34" s="117" t="n">
        <x:f>MIN(MAX(0,'Вводные'!$B$24*'Вводные'!$U$90-AF30),AF33)</x:f>
        <x:v>0</x:v>
      </x:c>
      <x:c r="AG34" s="117" t="n">
        <x:f>MIN(MAX(0,'Вводные'!$B$24*'Вводные'!$U$90-AG30),AG33)</x:f>
        <x:v>0</x:v>
      </x:c>
      <x:c r="AH34" s="117" t="n">
        <x:f>MIN(MAX(0,'Вводные'!$B$24*'Вводные'!$U$90-AH30),AH33)</x:f>
        <x:v>0</x:v>
      </x:c>
      <x:c r="AI34" s="117" t="n">
        <x:f>MIN(MAX(0,'Вводные'!$B$24*'Вводные'!$U$90-AI30),AI33)</x:f>
        <x:v>0</x:v>
      </x:c>
      <x:c r="AJ34" s="117" t="n">
        <x:f>MIN(MAX(0,'Вводные'!$B$24*'Вводные'!$U$90-AJ30),AJ33)</x:f>
        <x:v>0</x:v>
      </x:c>
      <x:c r="AK34" s="117" t="n">
        <x:f>MIN(MAX(0,'Вводные'!$B$24*'Вводные'!$U$90-AK30),AK33)</x:f>
        <x:v>0</x:v>
      </x:c>
      <x:c r="AL34" s="117" t="n">
        <x:f>MIN(MAX(0,'Вводные'!$B$24*'Вводные'!$U$90-AL30),AL33)</x:f>
        <x:v>0</x:v>
      </x:c>
      <x:c r="AM34" s="117" t="n">
        <x:f>MIN(MAX(0,'Вводные'!$B$24*'Вводные'!$U$90-AM30),AM33)</x:f>
        <x:v>0</x:v>
      </x:c>
      <x:c r="AN34" s="117" t="n">
        <x:f>MIN(MAX(0,'Вводные'!$B$24*'Вводные'!$U$90-AN30),AN33)</x:f>
        <x:v>0</x:v>
      </x:c>
      <x:c r="AO34" s="117" t="n">
        <x:f>MIN(MAX(0,'Вводные'!$B$24*'Вводные'!$U$90-AO30),AO33)</x:f>
        <x:v>0</x:v>
      </x:c>
      <x:c r="AP34" s="117" t="n">
        <x:f>MIN(MAX(0,'Вводные'!$B$24*'Вводные'!$U$90-AP30),AP33)</x:f>
        <x:v>0</x:v>
      </x:c>
      <x:c r="AQ34" s="117" t="n">
        <x:f>MIN(MAX(0,'Вводные'!$B$24*'Вводные'!$U$90-AQ30),AQ33)</x:f>
        <x:v>0</x:v>
      </x:c>
      <x:c r="AR34" s="117" t="n">
        <x:f>MIN(MAX(0,'Вводные'!$B$24*'Вводные'!$U$90-AR30),AR33)</x:f>
        <x:v>0</x:v>
      </x:c>
      <x:c r="AS34" s="117" t="n">
        <x:f>MIN(MAX(0,'Вводные'!$B$24*'Вводные'!$U$90-AS30),AS33)</x:f>
        <x:v>0</x:v>
      </x:c>
      <x:c r="AT34" s="117" t="n">
        <x:f>MIN(MAX(0,'Вводные'!$B$24*'Вводные'!$U$90-AT30),AT33)</x:f>
        <x:v>0</x:v>
      </x:c>
      <x:c r="AU34" s="117" t="n">
        <x:f>MIN(MAX(0,'Вводные'!$B$24*'Вводные'!$U$90-AU30),AU33)</x:f>
        <x:v>0</x:v>
      </x:c>
      <x:c r="AV34" s="117" t="n">
        <x:f>MIN(MAX(0,'Вводные'!$B$24*'Вводные'!$U$90-AV30),AV33)</x:f>
        <x:v>0</x:v>
      </x:c>
      <x:c r="AW34" s="117" t="n">
        <x:f>MIN(MAX(0,'Вводные'!$B$24*'Вводные'!$U$90-AW30),AW33)</x:f>
        <x:v>0</x:v>
      </x:c>
      <x:c r="AX34" s="117" t="n">
        <x:f>MIN(MAX(0,'Вводные'!$B$24*'Вводные'!$U$90-AX30),AX33)</x:f>
        <x:v>0</x:v>
      </x:c>
      <x:c r="AY34" s="117" t="n">
        <x:f>MIN(MAX(0,'Вводные'!$B$24*'Вводные'!$U$90-AY30),AY33)</x:f>
        <x:v>0</x:v>
      </x:c>
      <x:c r="AZ34" s="117" t="n">
        <x:f>MIN(MAX(0,'Вводные'!$B$24*'Вводные'!$U$90-AZ30),AZ33)</x:f>
        <x:v>0</x:v>
      </x:c>
      <x:c r="BA34" s="117" t="n">
        <x:f>MIN(MAX(0,'Вводные'!$B$24*'Вводные'!$U$90-BA30),BA33)</x:f>
        <x:v>0</x:v>
      </x:c>
      <x:c r="BB34" s="117" t="n">
        <x:f>MIN(MAX(0,'Вводные'!$B$24*'Вводные'!$U$90-BB30),BB33)</x:f>
        <x:v>0</x:v>
      </x:c>
      <x:c r="BC34" s="117" t="n">
        <x:f>MIN(MAX(0,'Вводные'!$B$24*'Вводные'!$U$90-BC30),BC33)</x:f>
        <x:v>0</x:v>
      </x:c>
      <x:c r="BD34" s="117" t="n">
        <x:f>MIN(MAX(0,'Вводные'!$B$24*'Вводные'!$U$90-BD30),BD33)</x:f>
        <x:v>0</x:v>
      </x:c>
      <x:c r="BE34" s="117" t="n">
        <x:f>MIN(MAX(0,'Вводные'!$B$24*'Вводные'!$U$90-BE30),BE33)</x:f>
        <x:v>0</x:v>
      </x:c>
      <x:c r="BF34" s="117" t="n">
        <x:f>MIN(MAX(0,'Вводные'!$B$24*'Вводные'!$U$90-BF30),BF33)</x:f>
        <x:v>0</x:v>
      </x:c>
      <x:c r="BG34" s="117" t="n">
        <x:f>MIN(MAX(0,'Вводные'!$B$24*'Вводные'!$U$90-BG30),BG33)</x:f>
        <x:v>0</x:v>
      </x:c>
      <x:c r="BH34" s="117" t="n">
        <x:f>MIN(MAX(0,'Вводные'!$B$24*'Вводные'!$U$90-BH30),BH33)</x:f>
        <x:v>0</x:v>
      </x:c>
      <x:c r="BI34" s="117" t="n">
        <x:f>MIN(MAX(0,'Вводные'!$B$24*'Вводные'!$U$90-BI30),BI33)</x:f>
        <x:v>0</x:v>
      </x:c>
      <x:c r="BJ34" s="117" t="n">
        <x:f>MIN(MAX(0,'Вводные'!$B$24*'Вводные'!$U$90-BJ30),BJ33)</x:f>
        <x:v>0</x:v>
      </x:c>
      <x:c r="BK34" s="117" t="n">
        <x:f>MIN(MAX(0,'Вводные'!$B$24*'Вводные'!$U$90-BK30),BK33)</x:f>
        <x:v>0</x:v>
      </x:c>
      <x:c r="BL34" s="117" t="n">
        <x:f>MIN(MAX(0,'Вводные'!$B$24*'Вводные'!$U$90-BL30),BL33)</x:f>
        <x:v>0</x:v>
      </x:c>
      <x:c r="BM34" s="117" t="n">
        <x:f>MIN(MAX(0,'Вводные'!$B$24*'Вводные'!$U$90-BM30),BM33)</x:f>
        <x:v>0</x:v>
      </x:c>
      <x:c r="BN34" s="117" t="n">
        <x:f>MIN(MAX(0,'Вводные'!$B$24*'Вводные'!$U$90-BN30),BN33)</x:f>
        <x:v>0</x:v>
      </x:c>
      <x:c r="BO34" s="117" t="n">
        <x:f>MIN(MAX(0,'Вводные'!$B$24*'Вводные'!$U$90-BO30),BO33)</x:f>
        <x:v>0</x:v>
      </x:c>
      <x:c r="BP34" s="117" t="n">
        <x:f>MIN(MAX(0,'Вводные'!$B$24*'Вводные'!$U$90-BP30),BP33)</x:f>
        <x:v>0</x:v>
      </x:c>
      <x:c r="BQ34" s="117" t="n">
        <x:f>MIN(MAX(0,'Вводные'!$B$24*'Вводные'!$U$90-BQ30),BQ33)</x:f>
        <x:v>0</x:v>
      </x:c>
      <x:c r="BR34" s="117" t="n">
        <x:f>MIN(MAX(0,'Вводные'!$B$24*'Вводные'!$U$90-BR30),BR33)</x:f>
        <x:v>0</x:v>
      </x:c>
      <x:c r="BS34" s="117" t="n">
        <x:f>MIN(MAX(0,'Вводные'!$B$24*'Вводные'!$U$90-BS30),BS33)</x:f>
        <x:v>0</x:v>
      </x:c>
      <x:c r="BT34" s="117" t="n">
        <x:f>MIN(MAX(0,'Вводные'!$B$24*'Вводные'!$U$90-BT30),BT33)</x:f>
        <x:v>0</x:v>
      </x:c>
      <x:c r="BU34" s="117" t="n">
        <x:f>MIN(MAX(0,'Вводные'!$B$24*'Вводные'!$U$90-BU30),BU33)</x:f>
        <x:v>0</x:v>
      </x:c>
      <x:c r="BV34" s="117" t="n">
        <x:f>MIN(MAX(0,'Вводные'!$B$24*'Вводные'!$U$90-BV30),BV33)</x:f>
        <x:v>0</x:v>
      </x:c>
      <x:c r="BW34" s="117" t="n">
        <x:f>MIN(MAX(0,'Вводные'!$B$24*'Вводные'!$U$90-BW30),BW33)</x:f>
        <x:v>0</x:v>
      </x:c>
      <x:c r="BX34" s="117" t="n">
        <x:f>MIN(MAX(0,'Вводные'!$B$24*'Вводные'!$U$90-BX30),BX33)</x:f>
        <x:v>0</x:v>
      </x:c>
      <x:c r="BY34" s="117" t="n">
        <x:f>MIN(MAX(0,'Вводные'!$B$24*'Вводные'!$U$90-BY30),BY33)</x:f>
        <x:v>0</x:v>
      </x:c>
      <x:c r="BZ34" s="117" t="n">
        <x:f>MIN(MAX(0,'Вводные'!$B$24*'Вводные'!$U$90-BZ30),BZ33)</x:f>
        <x:v>0</x:v>
      </x:c>
      <x:c r="CA34" s="117" t="n">
        <x:f>MIN(MAX(0,'Вводные'!$B$24*'Вводные'!$U$90-CA30),CA33)</x:f>
        <x:v>0</x:v>
      </x:c>
      <x:c r="CB34" s="117" t="n">
        <x:f>MIN(MAX(0,'Вводные'!$B$24*'Вводные'!$U$90-CB30),CB33)</x:f>
        <x:v>0</x:v>
      </x:c>
      <x:c r="CC34" s="117" t="n">
        <x:f>MIN(MAX(0,'Вводные'!$B$24*'Вводные'!$U$90-CC30),CC33)</x:f>
        <x:v>0</x:v>
      </x:c>
      <x:c r="CD34" s="117" t="n">
        <x:f>MIN(MAX(0,'Вводные'!$B$24*'Вводные'!$U$90-CD30),CD33)</x:f>
        <x:v>0</x:v>
      </x:c>
      <x:c r="CE34" s="117" t="n">
        <x:f>MIN(MAX(0,'Вводные'!$B$24*'Вводные'!$U$90-CE30),CE33)</x:f>
        <x:v>0</x:v>
      </x:c>
      <x:c r="CF34" s="117" t="n">
        <x:f>MIN(MAX(0,'Вводные'!$B$24*'Вводные'!$U$90-CF30),CF33)</x:f>
        <x:v>0</x:v>
      </x:c>
      <x:c r="CG34" s="117" t="n">
        <x:f>MIN(MAX(0,'Вводные'!$B$24*'Вводные'!$U$90-CG30),CG33)</x:f>
        <x:v>0</x:v>
      </x:c>
      <x:c r="CH34" s="117" t="n">
        <x:f>MIN(MAX(0,'Вводные'!$B$24*'Вводные'!$U$90-CH30),CH33)</x:f>
        <x:v>0</x:v>
      </x:c>
      <x:c r="CI34" s="117" t="n">
        <x:f>MIN(MAX(0,'Вводные'!$B$24*'Вводные'!$U$90-CI30),CI33)</x:f>
        <x:v>0</x:v>
      </x:c>
      <x:c r="CJ34" s="117" t="n">
        <x:f>MIN(MAX(0,'Вводные'!$B$24*'Вводные'!$U$90-CJ30),CJ33)</x:f>
        <x:v>0</x:v>
      </x:c>
      <x:c r="CK34" s="117" t="n">
        <x:f>MIN(MAX(0,'Вводные'!$B$24*'Вводные'!$U$90-CK30),CK33)</x:f>
        <x:v>0</x:v>
      </x:c>
      <x:c r="CL34" s="117" t="n">
        <x:f>MIN(MAX(0,'Вводные'!$B$24*'Вводные'!$U$90-CL30),CL33)</x:f>
        <x:v>0</x:v>
      </x:c>
      <x:c r="CM34" s="117" t="n">
        <x:f>MIN(MAX(0,'Вводные'!$B$24*'Вводные'!$U$90-CM30),CM33)</x:f>
        <x:v>0</x:v>
      </x:c>
      <x:c r="CN34" s="117" t="n">
        <x:f>MIN(MAX(0,'Вводные'!$B$24*'Вводные'!$U$90-CN30),CN33)</x:f>
        <x:v>0</x:v>
      </x:c>
      <x:c r="CO34" s="117" t="n">
        <x:f>MIN(MAX(0,'Вводные'!$B$24*'Вводные'!$U$90-CO30),CO33)</x:f>
        <x:v>0</x:v>
      </x:c>
      <x:c r="CP34" s="117" t="n">
        <x:f>MIN(MAX(0,'Вводные'!$B$24*'Вводные'!$U$90-CP30),CP33)</x:f>
        <x:v>0</x:v>
      </x:c>
      <x:c r="CQ34" s="117" t="n">
        <x:f>MIN(MAX(0,'Вводные'!$B$24*'Вводные'!$U$90-CQ30),CQ33)</x:f>
        <x:v>0</x:v>
      </x:c>
      <x:c r="CR34" s="117" t="n">
        <x:f>MIN(MAX(0,'Вводные'!$B$24*'Вводные'!$U$90-CR30),CR33)</x:f>
        <x:v>0</x:v>
      </x:c>
      <x:c r="CS34" s="117" t="n">
        <x:f>MIN(MAX(0,'Вводные'!$B$24*'Вводные'!$U$90-CS30),CS33)</x:f>
        <x:v>0</x:v>
      </x:c>
      <x:c r="CT34" s="117" t="n">
        <x:f>MIN(MAX(0,'Вводные'!$B$24*'Вводные'!$U$90-CT30),CT33)</x:f>
        <x:v>0</x:v>
      </x:c>
      <x:c r="CU34" s="117" t="n">
        <x:f>MIN(MAX(0,'Вводные'!$B$24*'Вводные'!$U$90-CU30),CU33)</x:f>
        <x:v>0</x:v>
      </x:c>
      <x:c r="CV34" s="117" t="n">
        <x:f>MIN(MAX(0,'Вводные'!$B$24*'Вводные'!$U$90-CV30),CV33)</x:f>
        <x:v>0</x:v>
      </x:c>
      <x:c r="CW34" s="117" t="n">
        <x:f>MIN(MAX(0,'Вводные'!$B$24*'Вводные'!$U$90-CW30),CW33)</x:f>
        <x:v>0</x:v>
      </x:c>
      <x:c r="CX34" s="117" t="n">
        <x:f>MIN(MAX(0,'Вводные'!$B$24*'Вводные'!$U$90-CX30),CX33)</x:f>
        <x:v>0</x:v>
      </x:c>
      <x:c r="CY34" s="117" t="n">
        <x:f>MIN(MAX(0,'Вводные'!$B$24*'Вводные'!$U$90-CY30),CY33)</x:f>
        <x:v>0</x:v>
      </x:c>
      <x:c r="CZ34" s="117" t="n">
        <x:f>MIN(MAX(0,'Вводные'!$B$24*'Вводные'!$U$90-CZ30),CZ33)</x:f>
        <x:v>0</x:v>
      </x:c>
      <x:c r="DA34" s="117" t="n">
        <x:f>MIN(MAX(0,'Вводные'!$B$24*'Вводные'!$U$90-DA30),DA33)</x:f>
        <x:v>0</x:v>
      </x:c>
      <x:c r="DB34" s="117" t="n">
        <x:f>MIN(MAX(0,'Вводные'!$B$24*'Вводные'!$U$90-DB30),DB33)</x:f>
        <x:v>0</x:v>
      </x:c>
      <x:c r="DC34" s="117" t="n">
        <x:f>MIN(MAX(0,'Вводные'!$B$24*'Вводные'!$U$90-DC30),DC33)</x:f>
        <x:v>0</x:v>
      </x:c>
      <x:c r="DD34" s="117" t="n">
        <x:f>MIN(MAX(0,'Вводные'!$B$24*'Вводные'!$U$90-DD30),DD33)</x:f>
        <x:v>0</x:v>
      </x:c>
      <x:c r="DE34" s="117" t="n">
        <x:f>MIN(MAX(0,'Вводные'!$B$24*'Вводные'!$U$90-DE30),DE33)</x:f>
        <x:v>0</x:v>
      </x:c>
      <x:c r="DF34" s="117" t="n">
        <x:f>MIN(MAX(0,'Вводные'!$B$24*'Вводные'!$U$90-DF30),DF33)</x:f>
        <x:v>0</x:v>
      </x:c>
      <x:c r="DG34" s="117" t="n">
        <x:f>MIN(MAX(0,'Вводные'!$B$24*'Вводные'!$U$90-DG30),DG33)</x:f>
        <x:v>0</x:v>
      </x:c>
      <x:c r="DH34" s="117" t="n">
        <x:f>MIN(MAX(0,'Вводные'!$B$24*'Вводные'!$U$90-DH30),DH33)</x:f>
        <x:v>0</x:v>
      </x:c>
      <x:c r="DI34" s="117" t="n">
        <x:f>MIN(MAX(0,'Вводные'!$B$24*'Вводные'!$U$90-DI30),DI33)</x:f>
        <x:v>0</x:v>
      </x:c>
      <x:c r="DJ34" s="117" t="n">
        <x:f>MIN(MAX(0,'Вводные'!$B$24*'Вводные'!$U$90-DJ30),DJ33)</x:f>
        <x:v>0</x:v>
      </x:c>
      <x:c r="DK34" s="117" t="n">
        <x:f>MIN(MAX(0,'Вводные'!$B$24*'Вводные'!$U$90-DK30),DK33)</x:f>
        <x:v>0</x:v>
      </x:c>
      <x:c r="DL34" s="117" t="n">
        <x:f>MIN(MAX(0,'Вводные'!$B$24*'Вводные'!$U$90-DL30),DL33)</x:f>
        <x:v>0</x:v>
      </x:c>
      <x:c r="DM34" s="117" t="n">
        <x:f>MIN(MAX(0,'Вводные'!$B$24*'Вводные'!$U$90-DM30),DM33)</x:f>
        <x:v>0</x:v>
      </x:c>
      <x:c r="DN34" s="117" t="n">
        <x:f>MIN(MAX(0,'Вводные'!$B$24*'Вводные'!$U$90-DN30),DN33)</x:f>
        <x:v>0</x:v>
      </x:c>
      <x:c r="DO34" s="117" t="n">
        <x:f>MIN(MAX(0,'Вводные'!$B$24*'Вводные'!$U$90-DO30),DO33)</x:f>
        <x:v>0</x:v>
      </x:c>
      <x:c r="DP34" s="117" t="n">
        <x:f>MIN(MAX(0,'Вводные'!$B$24*'Вводные'!$U$90-DP30),DP33)</x:f>
        <x:v>0</x:v>
      </x:c>
      <x:c r="DQ34" s="117" t="n">
        <x:f>MIN(MAX(0,'Вводные'!$B$24*'Вводные'!$U$90-DQ30),DQ33)</x:f>
        <x:v>0</x:v>
      </x:c>
      <x:c r="DR34" s="117" t="n">
        <x:f>MIN(MAX(0,'Вводные'!$B$24*'Вводные'!$U$90-DR30),DR33)</x:f>
        <x:v>0</x:v>
      </x:c>
      <x:c r="DS34" s="117" t="n">
        <x:f>MIN(MAX(0,'Вводные'!$B$24*'Вводные'!$U$90-DS30),DS33)</x:f>
        <x:v>0</x:v>
      </x:c>
    </x:row>
    <x:row r="35">
      <x:c r="A35" t="str">
        <x:v>БРИДЖ — погашение</x:v>
      </x:c>
      <x:c r="B35" t="n">
        <x:f>SUM(D35:DS35)</x:f>
        <x:v>0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0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0</x:v>
      </x:c>
      <x:c r="E36" s="120" t="n">
        <x:f>MAX(0,E30+E34+IF('Вводные'!$B$31="Капитализация в ПФ",E32,0)-E35)</x:f>
        <x:v>0</x:v>
      </x:c>
      <x:c r="F36" s="120" t="n">
        <x:f>MAX(0,F30+F34+IF('Вводные'!$B$31="Капитализация в ПФ",F32,0)-F35)</x:f>
        <x:v>0</x:v>
      </x:c>
      <x:c r="G36" s="120" t="n">
        <x:f>MAX(0,G30+G34+IF('Вводные'!$B$31="Капитализация в ПФ",G32,0)-G35)</x:f>
        <x:v>0</x:v>
      </x:c>
      <x:c r="H36" s="120" t="n">
        <x:f>MAX(0,H30+H34+IF('Вводные'!$B$31="Капитализация в ПФ",H32,0)-H35)</x:f>
        <x:v>0</x:v>
      </x:c>
      <x:c r="I36" s="120" t="n">
        <x:f>MAX(0,I30+I34+IF('Вводные'!$B$31="Капитализация в ПФ",I32,0)-I35)</x:f>
        <x:v>0</x:v>
      </x:c>
      <x:c r="J36" s="120" t="n">
        <x:f>MAX(0,J30+J34+IF('Вводные'!$B$31="Капитализация в ПФ",J32,0)-J35)</x:f>
        <x:v>0</x:v>
      </x:c>
      <x:c r="K36" s="120" t="n">
        <x:f>MAX(0,K30+K34+IF('Вводные'!$B$31="Капитализация в ПФ",K32,0)-K35)</x:f>
        <x:v>0</x:v>
      </x:c>
      <x:c r="L36" s="120" t="n">
        <x:f>MAX(0,L30+L34+IF('Вводные'!$B$31="Капитализация в ПФ",L32,0)-L35)</x:f>
        <x:v>0</x:v>
      </x:c>
      <x:c r="M36" s="120" t="n">
        <x:f>MAX(0,M30+M34+IF('Вводные'!$B$31="Капитализация в ПФ",M32,0)-M35)</x:f>
        <x:v>0</x:v>
      </x:c>
      <x:c r="N36" s="120" t="n">
        <x:f>MAX(0,N30+N34+IF('Вводные'!$B$31="Капитализация в ПФ",N32,0)-N35)</x:f>
        <x:v>0</x:v>
      </x:c>
      <x:c r="O36" s="120" t="n">
        <x:f>MAX(0,O30+O34+IF('Вводные'!$B$31="Капитализация в ПФ",O32,0)-O35)</x:f>
        <x:v>0</x:v>
      </x:c>
      <x:c r="P36" s="120" t="n">
        <x:f>MAX(0,P30+P34+IF('Вводные'!$B$31="Капитализация в ПФ",P32,0)-P35)</x:f>
        <x:v>0</x:v>
      </x:c>
      <x:c r="Q36" s="120" t="n">
        <x:f>MAX(0,Q30+Q34+IF('Вводные'!$B$31="Капитализация в ПФ",Q32,0)-Q35)</x:f>
        <x:v>0</x:v>
      </x:c>
      <x:c r="R36" s="120" t="n">
        <x:f>MAX(0,R30+R34+IF('Вводные'!$B$31="Капитализация в ПФ",R32,0)-R35)</x:f>
        <x:v>0</x:v>
      </x:c>
      <x:c r="S36" s="120" t="n">
        <x:f>MAX(0,S30+S34+IF('Вводные'!$B$31="Капитализация в ПФ",S32,0)-S35)</x:f>
        <x:v>0</x:v>
      </x:c>
      <x:c r="T36" s="120" t="n">
        <x:f>MAX(0,T30+T34+IF('Вводные'!$B$31="Капитализация в ПФ",T32,0)-T35)</x:f>
        <x:v>0</x:v>
      </x:c>
      <x:c r="U36" s="120" t="n">
        <x:f>MAX(0,U30+U34+IF('Вводные'!$B$31="Капитализация в ПФ",U32,0)-U35)</x:f>
        <x:v>0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0</x:v>
      </x:c>
      <x:c r="X38" s="117" t="n">
        <x:f>W47</x:f>
        <x:v>0</x:v>
      </x:c>
      <x:c r="Y38" s="117" t="n">
        <x:f>X47</x:f>
        <x:v>0</x:v>
      </x:c>
      <x:c r="Z38" s="117" t="n">
        <x:f>Y47</x:f>
        <x:v>0</x:v>
      </x:c>
      <x:c r="AA38" s="117" t="n">
        <x:f>Z47</x:f>
        <x:v>0</x:v>
      </x:c>
      <x:c r="AB38" s="117" t="n">
        <x:f>AA47</x:f>
        <x:v>0</x:v>
      </x:c>
      <x:c r="AC38" s="117" t="n">
        <x:f>AB47</x:f>
        <x:v>0</x:v>
      </x:c>
      <x:c r="AD38" s="117" t="n">
        <x:f>AC47</x:f>
        <x:v>0</x:v>
      </x:c>
      <x:c r="AE38" s="117" t="n">
        <x:f>AD47</x:f>
        <x:v>0</x:v>
      </x:c>
      <x:c r="AF38" s="117" t="n">
        <x:f>AE47</x:f>
        <x:v>0</x:v>
      </x:c>
      <x:c r="AG38" s="117" t="n">
        <x:f>AF47</x:f>
        <x:v>0</x:v>
      </x:c>
      <x:c r="AH38" s="117" t="n">
        <x:f>AG47</x:f>
        <x:v>0</x:v>
      </x:c>
      <x:c r="AI38" s="117" t="n">
        <x:f>AH47</x:f>
        <x:v>0</x:v>
      </x:c>
      <x:c r="AJ38" s="117" t="n">
        <x:f>AI47</x:f>
        <x:v>0</x:v>
      </x:c>
      <x:c r="AK38" s="117" t="n">
        <x:f>AJ47</x:f>
        <x:v>0</x:v>
      </x:c>
      <x:c r="AL38" s="117" t="n">
        <x:f>AK47</x:f>
        <x:v>0</x:v>
      </x:c>
      <x:c r="AM38" s="117" t="n">
        <x:f>AL47</x:f>
        <x:v>0</x:v>
      </x:c>
      <x:c r="AN38" s="117" t="n">
        <x:f>AM47</x:f>
        <x:v>0</x:v>
      </x:c>
      <x:c r="AO38" s="117" t="n">
        <x:f>AN47</x:f>
        <x:v>0</x:v>
      </x:c>
      <x:c r="AP38" s="117" t="n">
        <x:f>AO47</x:f>
        <x:v>0</x:v>
      </x:c>
      <x:c r="AQ38" s="117" t="n">
        <x:f>AP47</x:f>
        <x:v>0</x:v>
      </x:c>
      <x:c r="AR38" s="117" t="n">
        <x:f>AQ47</x:f>
        <x:v>0</x:v>
      </x:c>
      <x:c r="AS38" s="117" t="n">
        <x:f>AR47</x:f>
        <x:v>0</x:v>
      </x:c>
      <x:c r="AT38" s="117" t="n">
        <x:f>AS47</x:f>
        <x:v>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0.14750000000000002</x:v>
      </x:c>
      <x:c r="W41" s="121" t="n">
        <x:f>W39*(1-MIN(1,W40))+'Вводные'!$B$28*MIN(1,W40)</x:f>
        <x:v>0.14541666666666667</x:v>
      </x:c>
      <x:c r="X41" s="121" t="n">
        <x:f>X39*(1-MIN(1,X40))+'Вводные'!$B$28*MIN(1,X40)</x:f>
        <x:v>0.1433333333333333</x:v>
      </x:c>
      <x:c r="Y41" s="121" t="n">
        <x:f>Y39*(1-MIN(1,Y40))+'Вводные'!$B$28*MIN(1,Y40)</x:f>
        <x:v>0.14125</x:v>
      </x:c>
      <x:c r="Z41" s="121" t="n">
        <x:f>Z39*(1-MIN(1,Z40))+'Вводные'!$B$28*MIN(1,Z40)</x:f>
        <x:v>0.13916666666666666</x:v>
      </x:c>
      <x:c r="AA41" s="121" t="n">
        <x:f>AA39*(1-MIN(1,AA40))+'Вводные'!$B$28*MIN(1,AA40)</x:f>
        <x:v>0.13708333333333333</x:v>
      </x:c>
      <x:c r="AB41" s="121" t="n">
        <x:f>AB39*(1-MIN(1,AB40))+'Вводные'!$B$28*MIN(1,AB40)</x:f>
        <x:v>0.135</x:v>
      </x:c>
      <x:c r="AC41" s="121" t="n">
        <x:f>AC39*(1-MIN(1,AC40))+'Вводные'!$B$28*MIN(1,AC40)</x:f>
        <x:v>0.135</x:v>
      </x:c>
      <x:c r="AD41" s="121" t="n">
        <x:f>AD39*(1-MIN(1,AD40))+'Вводные'!$B$28*MIN(1,AD40)</x:f>
        <x:v>0.135</x:v>
      </x:c>
      <x:c r="AE41" s="121" t="n">
        <x:f>AE39*(1-MIN(1,AE40))+'Вводные'!$B$28*MIN(1,AE40)</x:f>
        <x:v>0.135</x:v>
      </x:c>
      <x:c r="AF41" s="121" t="n">
        <x:f>AF39*(1-MIN(1,AF40))+'Вводные'!$B$28*MIN(1,AF40)</x:f>
        <x:v>0.135</x:v>
      </x:c>
      <x:c r="AG41" s="121" t="n">
        <x:f>AG39*(1-MIN(1,AG40))+'Вводные'!$B$28*MIN(1,AG40)</x:f>
        <x:v>0.135</x:v>
      </x:c>
      <x:c r="AH41" s="121" t="n">
        <x:f>AH39*(1-MIN(1,AH40))+'Вводные'!$B$28*MIN(1,AH40)</x:f>
        <x:v>0.135</x:v>
      </x:c>
      <x:c r="AI41" s="121" t="n">
        <x:f>AI39*(1-MIN(1,AI40))+'Вводные'!$B$28*MIN(1,AI40)</x:f>
        <x:v>0.135</x:v>
      </x:c>
      <x:c r="AJ41" s="121" t="n">
        <x:f>AJ39*(1-MIN(1,AJ40))+'Вводные'!$B$28*MIN(1,AJ40)</x:f>
        <x:v>0.135</x:v>
      </x:c>
      <x:c r="AK41" s="121" t="n">
        <x:f>AK39*(1-MIN(1,AK40))+'Вводные'!$B$28*MIN(1,AK40)</x:f>
        <x:v>0.135</x:v>
      </x:c>
      <x:c r="AL41" s="121" t="n">
        <x:f>AL39*(1-MIN(1,AL40))+'Вводные'!$B$28*MIN(1,AL40)</x:f>
        <x:v>0.135</x:v>
      </x:c>
      <x:c r="AM41" s="121" t="n">
        <x:f>AM39*(1-MIN(1,AM40))+'Вводные'!$B$28*MIN(1,AM40)</x:f>
        <x:v>0.135</x:v>
      </x:c>
      <x:c r="AN41" s="121" t="n">
        <x:f>AN39*(1-MIN(1,AN40))+'Вводные'!$B$28*MIN(1,AN40)</x:f>
        <x:v>0.135</x:v>
      </x:c>
      <x:c r="AO41" s="121" t="n">
        <x:f>AO39*(1-MIN(1,AO40))+'Вводные'!$B$28*MIN(1,AO40)</x:f>
        <x:v>0.135</x:v>
      </x:c>
      <x:c r="AP41" s="121" t="n">
        <x:f>AP39*(1-MIN(1,AP40))+'Вводные'!$B$28*MIN(1,AP40)</x:f>
        <x:v>0.135</x:v>
      </x:c>
      <x:c r="AQ41" s="121" t="n">
        <x:f>AQ39*(1-MIN(1,AQ40))+'Вводные'!$B$28*MIN(1,AQ40)</x:f>
        <x:v>0.135</x:v>
      </x:c>
      <x:c r="AR41" s="121" t="n">
        <x:f>AR39*(1-MIN(1,AR40))+'Вводные'!$B$28*MIN(1,AR40)</x:f>
        <x:v>0.135</x:v>
      </x:c>
      <x:c r="AS41" s="121" t="n">
        <x:f>AS39*(1-MIN(1,AS40))+'Вводные'!$B$28*MIN(1,AS40)</x:f>
        <x:v>0.135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0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0</x:v>
      </x:c>
      <x:c r="X42" s="117" t="n">
        <x:f>IF(X38&gt;0,X38*X41/12,0)</x:f>
        <x:v>0</x:v>
      </x:c>
      <x:c r="Y42" s="117" t="n">
        <x:f>IF(Y38&gt;0,Y38*Y41/12,0)</x:f>
        <x:v>0</x:v>
      </x:c>
      <x:c r="Z42" s="117" t="n">
        <x:f>IF(Z38&gt;0,Z38*Z41/12,0)</x:f>
        <x:v>0</x:v>
      </x:c>
      <x:c r="AA42" s="117" t="n">
        <x:f>IF(AA38&gt;0,AA38*AA41/12,0)</x:f>
        <x:v>0</x:v>
      </x:c>
      <x:c r="AB42" s="117" t="n">
        <x:f>IF(AB38&gt;0,AB38*AB41/12,0)</x:f>
        <x:v>0</x:v>
      </x:c>
      <x:c r="AC42" s="117" t="n">
        <x:f>IF(AC38&gt;0,AC38*AC41/12,0)</x:f>
        <x:v>0</x:v>
      </x:c>
      <x:c r="AD42" s="117" t="n">
        <x:f>IF(AD38&gt;0,AD38*AD41/12,0)</x:f>
        <x:v>0</x:v>
      </x:c>
      <x:c r="AE42" s="117" t="n">
        <x:f>IF(AE38&gt;0,AE38*AE41/12,0)</x:f>
        <x:v>0</x:v>
      </x:c>
      <x:c r="AF42" s="117" t="n">
        <x:f>IF(AF38&gt;0,AF38*AF41/12,0)</x:f>
        <x:v>0</x:v>
      </x:c>
      <x:c r="AG42" s="117" t="n">
        <x:f>IF(AG38&gt;0,AG38*AG41/12,0)</x:f>
        <x:v>0</x:v>
      </x:c>
      <x:c r="AH42" s="117" t="n">
        <x:f>IF(AH38&gt;0,AH38*AH41/12,0)</x:f>
        <x:v>0</x:v>
      </x:c>
      <x:c r="AI42" s="117" t="n">
        <x:f>IF(AI38&gt;0,AI38*AI41/12,0)</x:f>
        <x:v>0</x:v>
      </x:c>
      <x:c r="AJ42" s="117" t="n">
        <x:f>IF(AJ38&gt;0,AJ38*AJ41/12,0)</x:f>
        <x:v>0</x:v>
      </x:c>
      <x:c r="AK42" s="117" t="n">
        <x:f>IF(AK38&gt;0,AK38*AK41/12,0)</x:f>
        <x:v>0</x:v>
      </x:c>
      <x:c r="AL42" s="117" t="n">
        <x:f>IF(AL38&gt;0,AL38*AL41/12,0)</x:f>
        <x:v>0</x:v>
      </x:c>
      <x:c r="AM42" s="117" t="n">
        <x:f>IF(AM38&gt;0,AM38*AM41/12,0)</x:f>
        <x:v>0</x:v>
      </x:c>
      <x:c r="AN42" s="117" t="n">
        <x:f>IF(AN38&gt;0,AN38*AN41/12,0)</x:f>
        <x:v>0</x:v>
      </x:c>
      <x:c r="AO42" s="117" t="n">
        <x:f>IF(AO38&gt;0,AO38*AO41/12,0)</x:f>
        <x:v>0</x:v>
      </x:c>
      <x:c r="AP42" s="117" t="n">
        <x:f>IF(AP38&gt;0,AP38*AP41/12,0)</x:f>
        <x:v>0</x:v>
      </x:c>
      <x:c r="AQ42" s="117" t="n">
        <x:f>IF(AQ38&gt;0,AQ38*AQ41/12,0)</x:f>
        <x:v>0</x:v>
      </x:c>
      <x:c r="AR42" s="117" t="n">
        <x:f>IF(AR38&gt;0,AR38*AR41/12,0)</x:f>
        <x:v>0</x:v>
      </x:c>
      <x:c r="AS42" s="117" t="n">
        <x:f>IF(AS38&gt;0,AS38*AS41/12,0)</x:f>
        <x:v>0</x:v>
      </x:c>
      <x:c r="AT42" s="117" t="n">
        <x:f>IF(AT38&gt;0,AT38*AT41/12,0)</x:f>
        <x:v>0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0</x:v>
      </x:c>
      <x:c r="C43" t="str">
        <x:v>млн ₽</x:v>
      </x:c>
      <x:c r="D43" s="117" t="n">
        <x:f>IF(AND(OR(D38&gt;0,D$3&lt;=$B$8),D$3&gt;=$B$7,D$3&lt;EDATE($B$8,'Вводные'!$H$90)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OR(E38&gt;0,E$3&lt;=$B$8),E$3&gt;=$B$7,E$3&lt;EDATE($B$8,'Вводные'!$H$90)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OR(F38&gt;0,F$3&lt;=$B$8),F$3&gt;=$B$7,F$3&lt;EDATE($B$8,'Вводные'!$H$90)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OR(G38&gt;0,G$3&lt;=$B$8),G$3&gt;=$B$7,G$3&lt;EDATE($B$8,'Вводные'!$H$90)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OR(H38&gt;0,H$3&lt;=$B$8),H$3&gt;=$B$7,H$3&lt;EDATE($B$8,'Вводные'!$H$90)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OR(I38&gt;0,I$3&lt;=$B$8),I$3&gt;=$B$7,I$3&lt;EDATE($B$8,'Вводные'!$H$90)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OR(J38&gt;0,J$3&lt;=$B$8),J$3&gt;=$B$7,J$3&lt;EDATE($B$8,'Вводные'!$H$90)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OR(K38&gt;0,K$3&lt;=$B$8),K$3&gt;=$B$7,K$3&lt;EDATE($B$8,'Вводные'!$H$90)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OR(L38&gt;0,L$3&lt;=$B$8),L$3&gt;=$B$7,L$3&lt;EDATE($B$8,'Вводные'!$H$90)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OR(M38&gt;0,M$3&lt;=$B$8),M$3&gt;=$B$7,M$3&lt;EDATE($B$8,'Вводные'!$H$90)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OR(N38&gt;0,N$3&lt;=$B$8),N$3&gt;=$B$7,N$3&lt;EDATE($B$8,'Вводные'!$H$90)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R(O38&gt;0,O$3&lt;=$B$8),O$3&gt;=$B$7,O$3&lt;EDATE($B$8,'Вводные'!$H$90)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OR(P38&gt;0,P$3&lt;=$B$8),P$3&gt;=$B$7,P$3&lt;EDATE($B$8,'Вводные'!$H$90)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OR(Q38&gt;0,Q$3&lt;=$B$8),Q$3&gt;=$B$7,Q$3&lt;EDATE($B$8,'Вводные'!$H$90)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OR(R38&gt;0,R$3&lt;=$B$8),R$3&gt;=$B$7,R$3&lt;EDATE($B$8,'Вводные'!$H$90)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OR(S38&gt;0,S$3&lt;=$B$8),S$3&gt;=$B$7,S$3&lt;EDATE($B$8,'Вводные'!$H$90)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OR(T38&gt;0,T$3&lt;=$B$8),T$3&gt;=$B$7,T$3&lt;EDATE($B$8,'Вводные'!$H$90)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OR(U38&gt;0,U$3&lt;=$B$8),U$3&gt;=$B$7,U$3&lt;EDATE($B$8,'Вводные'!$H$90)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OR(V38&gt;0,V$3&lt;=$B$8),V$3&gt;=$B$7,V$3&lt;EDATE($B$8,'Вводные'!$H$90)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OR(W38&gt;0,W$3&lt;=$B$8),W$3&gt;=$B$7,W$3&lt;EDATE($B$8,'Вводные'!$H$90)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OR(X38&gt;0,X$3&lt;=$B$8),X$3&gt;=$B$7,X$3&lt;EDATE($B$8,'Вводные'!$H$90)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OR(Y38&gt;0,Y$3&lt;=$B$8),Y$3&gt;=$B$7,Y$3&lt;EDATE($B$8,'Вводные'!$H$90)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OR(Z38&gt;0,Z$3&lt;=$B$8),Z$3&gt;=$B$7,Z$3&lt;EDATE($B$8,'Вводные'!$H$90)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OR(AA38&gt;0,AA$3&lt;=$B$8),AA$3&gt;=$B$7,AA$3&lt;EDATE($B$8,'Вводные'!$H$90)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OR(AB38&gt;0,AB$3&lt;=$B$8),AB$3&gt;=$B$7,AB$3&lt;EDATE($B$8,'Вводные'!$H$90)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OR(AC38&gt;0,AC$3&lt;=$B$8),AC$3&gt;=$B$7,AC$3&lt;EDATE($B$8,'Вводные'!$H$90)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OR(AD38&gt;0,AD$3&lt;=$B$8),AD$3&gt;=$B$7,AD$3&lt;EDATE($B$8,'Вводные'!$H$90)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OR(AE38&gt;0,AE$3&lt;=$B$8),AE$3&gt;=$B$7,AE$3&lt;EDATE($B$8,'Вводные'!$H$90)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OR(AF38&gt;0,AF$3&lt;=$B$8),AF$3&gt;=$B$7,AF$3&lt;EDATE($B$8,'Вводные'!$H$90)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OR(AG38&gt;0,AG$3&lt;=$B$8),AG$3&gt;=$B$7,AG$3&lt;EDATE($B$8,'Вводные'!$H$90)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OR(AH38&gt;0,AH$3&lt;=$B$8),AH$3&gt;=$B$7,AH$3&lt;EDATE($B$8,'Вводные'!$H$90)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OR(AI38&gt;0,AI$3&lt;=$B$8),AI$3&gt;=$B$7,AI$3&lt;EDATE($B$8,'Вводные'!$H$90)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OR(AJ38&gt;0,AJ$3&lt;=$B$8),AJ$3&gt;=$B$7,AJ$3&lt;EDATE($B$8,'Вводные'!$H$90)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OR(AK38&gt;0,AK$3&lt;=$B$8),AK$3&gt;=$B$7,AK$3&lt;EDATE($B$8,'Вводные'!$H$90)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OR(AL38&gt;0,AL$3&lt;=$B$8),AL$3&gt;=$B$7,AL$3&lt;EDATE($B$8,'Вводные'!$H$90)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OR(AM38&gt;0,AM$3&lt;=$B$8),AM$3&gt;=$B$7,AM$3&lt;EDATE($B$8,'Вводные'!$H$90)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OR(AN38&gt;0,AN$3&lt;=$B$8),AN$3&gt;=$B$7,AN$3&lt;EDATE($B$8,'Вводные'!$H$90)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OR(AO38&gt;0,AO$3&lt;=$B$8),AO$3&gt;=$B$7,AO$3&lt;EDATE($B$8,'Вводные'!$H$90)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OR(AP38&gt;0,AP$3&lt;=$B$8),AP$3&gt;=$B$7,AP$3&lt;EDATE($B$8,'Вводные'!$H$90)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OR(AQ38&gt;0,AQ$3&lt;=$B$8),AQ$3&gt;=$B$7,AQ$3&lt;EDATE($B$8,'Вводные'!$H$90)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OR(AR38&gt;0,AR$3&lt;=$B$8),AR$3&gt;=$B$7,AR$3&lt;EDATE($B$8,'Вводные'!$H$90)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OR(AS38&gt;0,AS$3&lt;=$B$8),AS$3&gt;=$B$7,AS$3&lt;EDATE($B$8,'Вводные'!$H$90)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OR(AT38&gt;0,AT$3&lt;=$B$8),AT$3&gt;=$B$7,AT$3&lt;EDATE($B$8,'Вводные'!$H$90)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OR(AU38&gt;0,AU$3&lt;=$B$8),AU$3&gt;=$B$7,AU$3&lt;EDATE($B$8,'Вводные'!$H$90)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OR(AV38&gt;0,AV$3&lt;=$B$8),AV$3&gt;=$B$7,AV$3&lt;EDATE($B$8,'Вводные'!$H$90)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OR(AW38&gt;0,AW$3&lt;=$B$8),AW$3&gt;=$B$7,AW$3&lt;EDATE($B$8,'Вводные'!$H$90)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OR(AX38&gt;0,AX$3&lt;=$B$8),AX$3&gt;=$B$7,AX$3&lt;EDATE($B$8,'Вводные'!$H$90)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OR(AY38&gt;0,AY$3&lt;=$B$8),AY$3&gt;=$B$7,AY$3&lt;EDATE($B$8,'Вводные'!$H$90)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OR(AZ38&gt;0,AZ$3&lt;=$B$8),AZ$3&gt;=$B$7,AZ$3&lt;EDATE($B$8,'Вводные'!$H$90)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OR(BA38&gt;0,BA$3&lt;=$B$8),BA$3&gt;=$B$7,BA$3&lt;EDATE($B$8,'Вводные'!$H$90)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OR(BB38&gt;0,BB$3&lt;=$B$8),BB$3&gt;=$B$7,BB$3&lt;EDATE($B$8,'Вводные'!$H$90)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OR(BC38&gt;0,BC$3&lt;=$B$8),BC$3&gt;=$B$7,BC$3&lt;EDATE($B$8,'Вводные'!$H$90)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OR(BD38&gt;0,BD$3&lt;=$B$8),BD$3&gt;=$B$7,BD$3&lt;EDATE($B$8,'Вводные'!$H$90)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OR(BE38&gt;0,BE$3&lt;=$B$8),BE$3&gt;=$B$7,BE$3&lt;EDATE($B$8,'Вводные'!$H$90)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OR(BF38&gt;0,BF$3&lt;=$B$8),BF$3&gt;=$B$7,BF$3&lt;EDATE($B$8,'Вводные'!$H$90)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OR(BG38&gt;0,BG$3&lt;=$B$8),BG$3&gt;=$B$7,BG$3&lt;EDATE($B$8,'Вводные'!$H$90)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OR(BH38&gt;0,BH$3&lt;=$B$8),BH$3&gt;=$B$7,BH$3&lt;EDATE($B$8,'Вводные'!$H$90)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OR(BI38&gt;0,BI$3&lt;=$B$8),BI$3&gt;=$B$7,BI$3&lt;EDATE($B$8,'Вводные'!$H$90)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OR(BJ38&gt;0,BJ$3&lt;=$B$8),BJ$3&gt;=$B$7,BJ$3&lt;EDATE($B$8,'Вводные'!$H$90)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OR(BK38&gt;0,BK$3&lt;=$B$8),BK$3&gt;=$B$7,BK$3&lt;EDATE($B$8,'Вводные'!$H$90)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OR(BL38&gt;0,BL$3&lt;=$B$8),BL$3&gt;=$B$7,BL$3&lt;EDATE($B$8,'Вводные'!$H$90)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OR(BM38&gt;0,BM$3&lt;=$B$8),BM$3&gt;=$B$7,BM$3&lt;EDATE($B$8,'Вводные'!$H$90)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OR(BN38&gt;0,BN$3&lt;=$B$8),BN$3&gt;=$B$7,BN$3&lt;EDATE($B$8,'Вводные'!$H$90)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OR(BO38&gt;0,BO$3&lt;=$B$8),BO$3&gt;=$B$7,BO$3&lt;EDATE($B$8,'Вводные'!$H$90)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OR(BP38&gt;0,BP$3&lt;=$B$8),BP$3&gt;=$B$7,BP$3&lt;EDATE($B$8,'Вводные'!$H$90)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OR(BQ38&gt;0,BQ$3&lt;=$B$8),BQ$3&gt;=$B$7,BQ$3&lt;EDATE($B$8,'Вводные'!$H$90)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OR(BR38&gt;0,BR$3&lt;=$B$8),BR$3&gt;=$B$7,BR$3&lt;EDATE($B$8,'Вводные'!$H$90)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OR(BS38&gt;0,BS$3&lt;=$B$8),BS$3&gt;=$B$7,BS$3&lt;EDATE($B$8,'Вводные'!$H$90)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OR(BT38&gt;0,BT$3&lt;=$B$8),BT$3&gt;=$B$7,BT$3&lt;EDATE($B$8,'Вводные'!$H$90)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OR(BU38&gt;0,BU$3&lt;=$B$8),BU$3&gt;=$B$7,BU$3&lt;EDATE($B$8,'Вводные'!$H$90)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OR(BV38&gt;0,BV$3&lt;=$B$8),BV$3&gt;=$B$7,BV$3&lt;EDATE($B$8,'Вводные'!$H$90)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OR(BW38&gt;0,BW$3&lt;=$B$8),BW$3&gt;=$B$7,BW$3&lt;EDATE($B$8,'Вводные'!$H$90)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OR(BX38&gt;0,BX$3&lt;=$B$8),BX$3&gt;=$B$7,BX$3&lt;EDATE($B$8,'Вводные'!$H$90)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OR(BY38&gt;0,BY$3&lt;=$B$8),BY$3&gt;=$B$7,BY$3&lt;EDATE($B$8,'Вводные'!$H$90)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OR(BZ38&gt;0,BZ$3&lt;=$B$8),BZ$3&gt;=$B$7,BZ$3&lt;EDATE($B$8,'Вводные'!$H$90)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OR(CA38&gt;0,CA$3&lt;=$B$8),CA$3&gt;=$B$7,CA$3&lt;EDATE($B$8,'Вводные'!$H$90)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OR(CB38&gt;0,CB$3&lt;=$B$8),CB$3&gt;=$B$7,CB$3&lt;EDATE($B$8,'Вводные'!$H$90)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OR(CC38&gt;0,CC$3&lt;=$B$8),CC$3&gt;=$B$7,CC$3&lt;EDATE($B$8,'Вводные'!$H$90)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OR(CD38&gt;0,CD$3&lt;=$B$8),CD$3&gt;=$B$7,CD$3&lt;EDATE($B$8,'Вводные'!$H$90)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OR(CE38&gt;0,CE$3&lt;=$B$8),CE$3&gt;=$B$7,CE$3&lt;EDATE($B$8,'Вводные'!$H$90)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OR(CF38&gt;0,CF$3&lt;=$B$8),CF$3&gt;=$B$7,CF$3&lt;EDATE($B$8,'Вводные'!$H$90)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OR(CG38&gt;0,CG$3&lt;=$B$8),CG$3&gt;=$B$7,CG$3&lt;EDATE($B$8,'Вводные'!$H$90)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OR(CH38&gt;0,CH$3&lt;=$B$8),CH$3&gt;=$B$7,CH$3&lt;EDATE($B$8,'Вводные'!$H$90)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OR(CI38&gt;0,CI$3&lt;=$B$8),CI$3&gt;=$B$7,CI$3&lt;EDATE($B$8,'Вводные'!$H$90)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OR(CJ38&gt;0,CJ$3&lt;=$B$8),CJ$3&gt;=$B$7,CJ$3&lt;EDATE($B$8,'Вводные'!$H$90)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OR(CK38&gt;0,CK$3&lt;=$B$8),CK$3&gt;=$B$7,CK$3&lt;EDATE($B$8,'Вводные'!$H$90)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OR(CL38&gt;0,CL$3&lt;=$B$8),CL$3&gt;=$B$7,CL$3&lt;EDATE($B$8,'Вводные'!$H$90)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OR(CM38&gt;0,CM$3&lt;=$B$8),CM$3&gt;=$B$7,CM$3&lt;EDATE($B$8,'Вводные'!$H$90)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OR(CN38&gt;0,CN$3&lt;=$B$8),CN$3&gt;=$B$7,CN$3&lt;EDATE($B$8,'Вводные'!$H$90)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OR(CO38&gt;0,CO$3&lt;=$B$8),CO$3&gt;=$B$7,CO$3&lt;EDATE($B$8,'Вводные'!$H$90)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OR(CP38&gt;0,CP$3&lt;=$B$8),CP$3&gt;=$B$7,CP$3&lt;EDATE($B$8,'Вводные'!$H$90)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OR(CQ38&gt;0,CQ$3&lt;=$B$8),CQ$3&gt;=$B$7,CQ$3&lt;EDATE($B$8,'Вводные'!$H$90)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OR(CR38&gt;0,CR$3&lt;=$B$8),CR$3&gt;=$B$7,CR$3&lt;EDATE($B$8,'Вводные'!$H$90)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OR(CS38&gt;0,CS$3&lt;=$B$8),CS$3&gt;=$B$7,CS$3&lt;EDATE($B$8,'Вводные'!$H$90)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OR(CT38&gt;0,CT$3&lt;=$B$8),CT$3&gt;=$B$7,CT$3&lt;EDATE($B$8,'Вводные'!$H$90)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OR(CU38&gt;0,CU$3&lt;=$B$8),CU$3&gt;=$B$7,CU$3&lt;EDATE($B$8,'Вводные'!$H$90)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OR(CV38&gt;0,CV$3&lt;=$B$8),CV$3&gt;=$B$7,CV$3&lt;EDATE($B$8,'Вводные'!$H$90)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OR(CW38&gt;0,CW$3&lt;=$B$8),CW$3&gt;=$B$7,CW$3&lt;EDATE($B$8,'Вводные'!$H$90)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OR(CX38&gt;0,CX$3&lt;=$B$8),CX$3&gt;=$B$7,CX$3&lt;EDATE($B$8,'Вводные'!$H$90)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OR(CY38&gt;0,CY$3&lt;=$B$8),CY$3&gt;=$B$7,CY$3&lt;EDATE($B$8,'Вводные'!$H$90)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OR(CZ38&gt;0,CZ$3&lt;=$B$8),CZ$3&gt;=$B$7,CZ$3&lt;EDATE($B$8,'Вводные'!$H$90)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OR(DA38&gt;0,DA$3&lt;=$B$8),DA$3&gt;=$B$7,DA$3&lt;EDATE($B$8,'Вводные'!$H$90)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OR(DB38&gt;0,DB$3&lt;=$B$8),DB$3&gt;=$B$7,DB$3&lt;EDATE($B$8,'Вводные'!$H$90)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OR(DC38&gt;0,DC$3&lt;=$B$8),DC$3&gt;=$B$7,DC$3&lt;EDATE($B$8,'Вводные'!$H$90)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OR(DD38&gt;0,DD$3&lt;=$B$8),DD$3&gt;=$B$7,DD$3&lt;EDATE($B$8,'Вводные'!$H$90)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OR(DE38&gt;0,DE$3&lt;=$B$8),DE$3&gt;=$B$7,DE$3&lt;EDATE($B$8,'Вводные'!$H$90)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OR(DF38&gt;0,DF$3&lt;=$B$8),DF$3&gt;=$B$7,DF$3&lt;EDATE($B$8,'Вводные'!$H$90)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OR(DG38&gt;0,DG$3&lt;=$B$8),DG$3&gt;=$B$7,DG$3&lt;EDATE($B$8,'Вводные'!$H$90)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OR(DH38&gt;0,DH$3&lt;=$B$8),DH$3&gt;=$B$7,DH$3&lt;EDATE($B$8,'Вводные'!$H$90)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OR(DI38&gt;0,DI$3&lt;=$B$8),DI$3&gt;=$B$7,DI$3&lt;EDATE($B$8,'Вводные'!$H$90)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OR(DJ38&gt;0,DJ$3&lt;=$B$8),DJ$3&gt;=$B$7,DJ$3&lt;EDATE($B$8,'Вводные'!$H$90)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OR(DK38&gt;0,DK$3&lt;=$B$8),DK$3&gt;=$B$7,DK$3&lt;EDATE($B$8,'Вводные'!$H$90)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OR(DL38&gt;0,DL$3&lt;=$B$8),DL$3&gt;=$B$7,DL$3&lt;EDATE($B$8,'Вводные'!$H$90)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OR(DM38&gt;0,DM$3&lt;=$B$8),DM$3&gt;=$B$7,DM$3&lt;EDATE($B$8,'Вводные'!$H$90)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OR(DN38&gt;0,DN$3&lt;=$B$8),DN$3&gt;=$B$7,DN$3&lt;EDATE($B$8,'Вводные'!$H$90)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OR(DO38&gt;0,DO$3&lt;=$B$8),DO$3&gt;=$B$7,DO$3&lt;EDATE($B$8,'Вводные'!$H$90)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OR(DP38&gt;0,DP$3&lt;=$B$8),DP$3&gt;=$B$7,DP$3&lt;EDATE($B$8,'Вводные'!$H$90)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OR(DQ38&gt;0,DQ$3&lt;=$B$8),DQ$3&gt;=$B$7,DQ$3&lt;EDATE($B$8,'Вводные'!$H$90)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OR(DR38&gt;0,DR$3&lt;=$B$8),DR$3&gt;=$B$7,DR$3&lt;EDATE($B$8,'Вводные'!$H$90)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OR(DS38&gt;0,DS$3&lt;=$B$8),DS$3&gt;=$B$7,DS$3&lt;EDATE($B$8,'Вводные'!$H$90)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0</x:v>
      </x:c>
      <x:c r="W44" s="117" t="n">
        <x:f>IF(W$3&gt;=$B$7,MAX(0,W20+W24+W35-W27),0)</x:f>
        <x:v>0</x:v>
      </x:c>
      <x:c r="X44" s="117" t="n">
        <x:f>IF(X$3&gt;=$B$7,MAX(0,X20+X24+X35-X27),0)</x:f>
        <x:v>0</x:v>
      </x:c>
      <x:c r="Y44" s="117" t="n">
        <x:f>IF(Y$3&gt;=$B$7,MAX(0,Y20+Y24+Y35-Y27),0)</x:f>
        <x:v>0</x:v>
      </x:c>
      <x:c r="Z44" s="117" t="n">
        <x:f>IF(Z$3&gt;=$B$7,MAX(0,Z20+Z24+Z35-Z27),0)</x:f>
        <x:v>0</x:v>
      </x:c>
      <x:c r="AA44" s="117" t="n">
        <x:f>IF(AA$3&gt;=$B$7,MAX(0,AA20+AA24+AA35-AA27),0)</x:f>
        <x:v>0</x:v>
      </x:c>
      <x:c r="AB44" s="117" t="n">
        <x:f>IF(AB$3&gt;=$B$7,MAX(0,AB20+AB24+AB35-AB27),0)</x:f>
        <x:v>0</x:v>
      </x:c>
      <x:c r="AC44" s="117" t="n">
        <x:f>IF(AC$3&gt;=$B$7,MAX(0,AC20+AC24+AC35-AC27),0)</x:f>
        <x:v>0</x:v>
      </x:c>
      <x:c r="AD44" s="117" t="n">
        <x:f>IF(AD$3&gt;=$B$7,MAX(0,AD20+AD24+AD35-AD27),0)</x:f>
        <x:v>0</x:v>
      </x:c>
      <x:c r="AE44" s="117" t="n">
        <x:f>IF(AE$3&gt;=$B$7,MAX(0,AE20+AE24+AE35-AE27),0)</x:f>
        <x:v>0</x:v>
      </x:c>
      <x:c r="AF44" s="117" t="n">
        <x:f>IF(AF$3&gt;=$B$7,MAX(0,AF20+AF24+AF35-AF27),0)</x:f>
        <x:v>0</x:v>
      </x:c>
      <x:c r="AG44" s="117" t="n">
        <x:f>IF(AG$3&gt;=$B$7,MAX(0,AG20+AG24+AG35-AG27),0)</x:f>
        <x:v>0</x:v>
      </x:c>
      <x:c r="AH44" s="117" t="n">
        <x:f>IF(AH$3&gt;=$B$7,MAX(0,AH20+AH24+AH35-AH27),0)</x:f>
        <x:v>0</x:v>
      </x:c>
      <x:c r="AI44" s="117" t="n">
        <x:f>IF(AI$3&gt;=$B$7,MAX(0,AI20+AI24+AI35-AI27),0)</x:f>
        <x:v>0</x:v>
      </x:c>
      <x:c r="AJ44" s="117" t="n">
        <x:f>IF(AJ$3&gt;=$B$7,MAX(0,AJ20+AJ24+AJ35-AJ27),0)</x:f>
        <x:v>0</x:v>
      </x:c>
      <x:c r="AK44" s="117" t="n">
        <x:f>IF(AK$3&gt;=$B$7,MAX(0,AK20+AK24+AK35-AK27),0)</x:f>
        <x:v>0</x:v>
      </x:c>
      <x:c r="AL44" s="117" t="n">
        <x:f>IF(AL$3&gt;=$B$7,MAX(0,AL20+AL24+AL35-AL27),0)</x:f>
        <x:v>0</x:v>
      </x:c>
      <x:c r="AM44" s="117" t="n">
        <x:f>IF(AM$3&gt;=$B$7,MAX(0,AM20+AM24+AM35-AM27),0)</x:f>
        <x:v>0</x:v>
      </x:c>
      <x:c r="AN44" s="117" t="n">
        <x:f>IF(AN$3&gt;=$B$7,MAX(0,AN20+AN24+AN35-AN27),0)</x:f>
        <x:v>0</x:v>
      </x:c>
      <x:c r="AO44" s="117" t="n">
        <x:f>IF(AO$3&gt;=$B$7,MAX(0,AO20+AO24+AO35-AO27),0)</x:f>
        <x:v>0</x:v>
      </x:c>
      <x:c r="AP44" s="117" t="n">
        <x:f>IF(AP$3&gt;=$B$7,MAX(0,AP20+AP24+AP35-AP27),0)</x:f>
        <x:v>0</x:v>
      </x:c>
      <x:c r="AQ44" s="117" t="n">
        <x:f>IF(AQ$3&gt;=$B$7,MAX(0,AQ20+AQ24+AQ35-AQ27),0)</x:f>
        <x:v>0</x:v>
      </x:c>
      <x:c r="AR44" s="117" t="n">
        <x:f>IF(AR$3&gt;=$B$7,MAX(0,AR20+AR24+AR35-AR27),0)</x:f>
        <x:v>0</x:v>
      </x:c>
      <x:c r="AS44" s="117" t="n">
        <x:f>IF(AS$3&gt;=$B$7,MAX(0,AS20+AS24+AS35-AS27),0)</x:f>
        <x:v>0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0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0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0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0</x:v>
      </x:c>
      <x:c r="W51" s="120" t="n">
        <x:f>W50-W49</x:f>
        <x:v>0</x:v>
      </x:c>
      <x:c r="X51" s="120" t="n">
        <x:f>X50-X49</x:f>
        <x:v>0</x:v>
      </x:c>
      <x:c r="Y51" s="120" t="n">
        <x:f>Y50-Y49</x:f>
        <x:v>0</x:v>
      </x:c>
      <x:c r="Z51" s="120" t="n">
        <x:f>Z50-Z49</x:f>
        <x:v>0</x:v>
      </x:c>
      <x:c r="AA51" s="120" t="n">
        <x:f>AA50-AA49</x:f>
        <x:v>0</x:v>
      </x:c>
      <x:c r="AB51" s="120" t="n">
        <x:f>AB50-AB49</x:f>
        <x:v>0</x:v>
      </x:c>
      <x:c r="AC51" s="120" t="n">
        <x:f>AC50-AC49</x:f>
        <x:v>0</x:v>
      </x:c>
      <x:c r="AD51" s="120" t="n">
        <x:f>AD50-AD49</x:f>
        <x:v>0</x:v>
      </x:c>
      <x:c r="AE51" s="120" t="n">
        <x:f>AE50-AE49</x:f>
        <x:v>0</x:v>
      </x:c>
      <x:c r="AF51" s="120" t="n">
        <x:f>AF50-AF49</x:f>
        <x:v>0</x:v>
      </x:c>
      <x:c r="AG51" s="120" t="n">
        <x:f>AG50-AG49</x:f>
        <x:v>0</x:v>
      </x:c>
      <x:c r="AH51" s="120" t="n">
        <x:f>AH50-AH49</x:f>
        <x:v>0</x:v>
      </x:c>
      <x:c r="AI51" s="120" t="n">
        <x:f>AI50-AI49</x:f>
        <x:v>0</x:v>
      </x:c>
      <x:c r="AJ51" s="120" t="n">
        <x:f>AJ50-AJ49</x:f>
        <x:v>0</x:v>
      </x:c>
      <x:c r="AK51" s="120" t="n">
        <x:f>AK50-AK49</x:f>
        <x:v>0</x:v>
      </x:c>
      <x:c r="AL51" s="120" t="n">
        <x:f>AL50-AL49</x:f>
        <x:v>0</x:v>
      </x:c>
      <x:c r="AM51" s="120" t="n">
        <x:f>AM50-AM49</x:f>
        <x:v>0</x:v>
      </x:c>
      <x:c r="AN51" s="120" t="n">
        <x:f>AN50-AN49</x:f>
        <x:v>0</x:v>
      </x:c>
      <x:c r="AO51" s="120" t="n">
        <x:f>AO50-AO49</x:f>
        <x:v>0</x:v>
      </x:c>
      <x:c r="AP51" s="120" t="n">
        <x:f>AP50-AP49</x:f>
        <x:v>0</x:v>
      </x:c>
      <x:c r="AQ51" s="120" t="n">
        <x:f>AQ50-AQ49</x:f>
        <x:v>0</x:v>
      </x:c>
      <x:c r="AR51" s="120" t="n">
        <x:f>AR50-AR49</x:f>
        <x:v>0</x:v>
      </x:c>
      <x:c r="AS51" s="120" t="n">
        <x:f>AS50-AS49</x:f>
        <x:v>0</x:v>
      </x:c>
      <x:c r="AT51" s="120" t="n">
        <x:f>AT50-AT49</x:f>
        <x:v>0</x:v>
      </x:c>
      <x:c r="AU51" s="120" t="n">
        <x:f>AU50-AU49</x:f>
        <x:v>0</x:v>
      </x:c>
      <x:c r="AV51" s="120" t="n">
        <x:f>AV50-AV49</x:f>
        <x:v>0</x:v>
      </x:c>
      <x:c r="AW51" s="120" t="n">
        <x:f>AW50-AW49</x:f>
        <x:v>0</x:v>
      </x:c>
      <x:c r="AX51" s="120" t="n">
        <x:f>AX50-AX49</x:f>
        <x:v>0</x:v>
      </x:c>
      <x:c r="AY51" s="120" t="n">
        <x:f>AY50-AY49</x:f>
        <x:v>0</x:v>
      </x:c>
      <x:c r="AZ51" s="120" t="n">
        <x:f>AZ50-AZ49</x:f>
        <x:v>0</x:v>
      </x:c>
      <x:c r="BA51" s="120" t="n">
        <x:f>BA50-BA49</x:f>
        <x:v>0</x:v>
      </x:c>
      <x:c r="BB51" s="120" t="n">
        <x:f>BB50-BB49</x:f>
        <x:v>0</x:v>
      </x:c>
      <x:c r="BC51" s="120" t="n">
        <x:f>BC50-BC49</x:f>
        <x:v>0</x:v>
      </x:c>
      <x:c r="BD51" s="120" t="n">
        <x:f>BD50-BD49</x:f>
        <x:v>0</x:v>
      </x:c>
      <x:c r="BE51" s="120" t="n">
        <x:f>BE50-BE49</x:f>
        <x:v>0</x:v>
      </x:c>
      <x:c r="BF51" s="120" t="n">
        <x:f>BF50-BF49</x:f>
        <x:v>0</x:v>
      </x:c>
      <x:c r="BG51" s="120" t="n">
        <x:f>BG50-BG49</x:f>
        <x:v>0</x:v>
      </x:c>
      <x:c r="BH51" s="120" t="n">
        <x:f>BH50-BH49</x:f>
        <x:v>0</x:v>
      </x:c>
      <x:c r="BI51" s="120" t="n">
        <x:f>BI50-BI49</x:f>
        <x:v>0</x:v>
      </x:c>
      <x:c r="BJ51" s="120" t="n">
        <x:f>BJ50-BJ49</x:f>
        <x:v>0</x:v>
      </x:c>
      <x:c r="BK51" s="120" t="n">
        <x:f>BK50-BK49</x:f>
        <x:v>0</x:v>
      </x:c>
      <x:c r="BL51" s="120" t="n">
        <x:f>BL50-BL49</x:f>
        <x:v>0</x:v>
      </x:c>
      <x:c r="BM51" s="120" t="n">
        <x:f>BM50-BM49</x:f>
        <x:v>0</x:v>
      </x:c>
      <x:c r="BN51" s="120" t="n">
        <x:f>BN50-BN49</x:f>
        <x:v>0</x:v>
      </x:c>
      <x:c r="BO51" s="120" t="n">
        <x:f>BO50-BO49</x:f>
        <x:v>0</x:v>
      </x:c>
      <x:c r="BP51" s="120" t="n">
        <x:f>BP50-BP49</x:f>
        <x:v>0</x:v>
      </x:c>
      <x:c r="BQ51" s="120" t="n">
        <x:f>BQ50-BQ49</x:f>
        <x:v>0</x:v>
      </x:c>
      <x:c r="BR51" s="120" t="n">
        <x:f>BR50-BR49</x:f>
        <x:v>0</x:v>
      </x:c>
      <x:c r="BS51" s="120" t="n">
        <x:f>BS50-BS49</x:f>
        <x:v>0</x:v>
      </x:c>
      <x:c r="BT51" s="120" t="n">
        <x:f>BT50-BT49</x:f>
        <x:v>0</x:v>
      </x:c>
      <x:c r="BU51" s="120" t="n">
        <x:f>BU50-BU49</x:f>
        <x:v>0</x:v>
      </x:c>
      <x:c r="BV51" s="120" t="n">
        <x:f>BV50-BV49</x:f>
        <x:v>0</x:v>
      </x:c>
      <x:c r="BW51" s="120" t="n">
        <x:f>BW50-BW49</x:f>
        <x:v>0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0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0</x:v>
      </x:c>
      <x:c r="W52" s="117" t="n">
        <x:f>V52+W51</x:f>
        <x:v>0</x:v>
      </x:c>
      <x:c r="X52" s="117" t="n">
        <x:f>W52+X51</x:f>
        <x:v>0</x:v>
      </x:c>
      <x:c r="Y52" s="117" t="n">
        <x:f>X52+Y51</x:f>
        <x:v>0</x:v>
      </x:c>
      <x:c r="Z52" s="117" t="n">
        <x:f>Y52+Z51</x:f>
        <x:v>0</x:v>
      </x:c>
      <x:c r="AA52" s="117" t="n">
        <x:f>Z52+AA51</x:f>
        <x:v>0</x:v>
      </x:c>
      <x:c r="AB52" s="117" t="n">
        <x:f>AA52+AB51</x:f>
        <x:v>0</x:v>
      </x:c>
      <x:c r="AC52" s="117" t="n">
        <x:f>AB52+AC51</x:f>
        <x:v>0</x:v>
      </x:c>
      <x:c r="AD52" s="117" t="n">
        <x:f>AC52+AD51</x:f>
        <x:v>0</x:v>
      </x:c>
      <x:c r="AE52" s="117" t="n">
        <x:f>AD52+AE51</x:f>
        <x:v>0</x:v>
      </x:c>
      <x:c r="AF52" s="117" t="n">
        <x:f>AE52+AF51</x:f>
        <x:v>0</x:v>
      </x:c>
      <x:c r="AG52" s="117" t="n">
        <x:f>AF52+AG51</x:f>
        <x:v>0</x:v>
      </x:c>
      <x:c r="AH52" s="117" t="n">
        <x:f>AG52+AH51</x:f>
        <x:v>0</x:v>
      </x:c>
      <x:c r="AI52" s="117" t="n">
        <x:f>AH52+AI51</x:f>
        <x:v>0</x:v>
      </x:c>
      <x:c r="AJ52" s="117" t="n">
        <x:f>AI52+AJ51</x:f>
        <x:v>0</x:v>
      </x:c>
      <x:c r="AK52" s="117" t="n">
        <x:f>AJ52+AK51</x:f>
        <x:v>0</x:v>
      </x:c>
      <x:c r="AL52" s="117" t="n">
        <x:f>AK52+AL51</x:f>
        <x:v>0</x:v>
      </x:c>
      <x:c r="AM52" s="117" t="n">
        <x:f>AL52+AM51</x:f>
        <x:v>0</x:v>
      </x:c>
      <x:c r="AN52" s="117" t="n">
        <x:f>AM52+AN51</x:f>
        <x:v>0</x:v>
      </x:c>
      <x:c r="AO52" s="117" t="n">
        <x:f>AN52+AO51</x:f>
        <x:v>0</x:v>
      </x:c>
      <x:c r="AP52" s="117" t="n">
        <x:f>AO52+AP51</x:f>
        <x:v>0</x:v>
      </x:c>
      <x:c r="AQ52" s="117" t="n">
        <x:f>AP52+AQ51</x:f>
        <x:v>0</x:v>
      </x:c>
      <x:c r="AR52" s="117" t="n">
        <x:f>AQ52+AR51</x:f>
        <x:v>0</x:v>
      </x:c>
      <x:c r="AS52" s="117" t="n">
        <x:f>AR52+AS51</x:f>
        <x:v>0</x:v>
      </x:c>
      <x:c r="AT52" s="117" t="n">
        <x:f>AS52+AT51</x:f>
        <x:v>0</x:v>
      </x:c>
      <x:c r="AU52" s="117" t="n">
        <x:f>AT52+AU51</x:f>
        <x:v>0</x:v>
      </x:c>
      <x:c r="AV52" s="117" t="n">
        <x:f>AU52+AV51</x:f>
        <x:v>0</x:v>
      </x:c>
      <x:c r="AW52" s="117" t="n">
        <x:f>AV52+AW51</x:f>
        <x:v>0</x:v>
      </x:c>
      <x:c r="AX52" s="117" t="n">
        <x:f>AW52+AX51</x:f>
        <x:v>0</x:v>
      </x:c>
      <x:c r="AY52" s="117" t="n">
        <x:f>AX52+AY51</x:f>
        <x:v>0</x:v>
      </x:c>
      <x:c r="AZ52" s="117" t="n">
        <x:f>AY52+AZ51</x:f>
        <x:v>0</x:v>
      </x:c>
      <x:c r="BA52" s="117" t="n">
        <x:f>AZ52+BA51</x:f>
        <x:v>0</x:v>
      </x:c>
      <x:c r="BB52" s="117" t="n">
        <x:f>BA52+BB51</x:f>
        <x:v>0</x:v>
      </x:c>
      <x:c r="BC52" s="117" t="n">
        <x:f>BB52+BC51</x:f>
        <x:v>0</x:v>
      </x:c>
      <x:c r="BD52" s="117" t="n">
        <x:f>BC52+BD51</x:f>
        <x:v>0</x:v>
      </x:c>
      <x:c r="BE52" s="117" t="n">
        <x:f>BD52+BE51</x:f>
        <x:v>0</x:v>
      </x:c>
      <x:c r="BF52" s="117" t="n">
        <x:f>BE52+BF51</x:f>
        <x:v>0</x:v>
      </x:c>
      <x:c r="BG52" s="117" t="n">
        <x:f>BF52+BG51</x:f>
        <x:v>0</x:v>
      </x:c>
      <x:c r="BH52" s="117" t="n">
        <x:f>BG52+BH51</x:f>
        <x:v>0</x:v>
      </x:c>
      <x:c r="BI52" s="117" t="n">
        <x:f>BH52+BI51</x:f>
        <x:v>0</x:v>
      </x:c>
      <x:c r="BJ52" s="117" t="n">
        <x:f>BI52+BJ51</x:f>
        <x:v>0</x:v>
      </x:c>
      <x:c r="BK52" s="117" t="n">
        <x:f>BJ52+BK51</x:f>
        <x:v>0</x:v>
      </x:c>
      <x:c r="BL52" s="117" t="n">
        <x:f>BK52+BL51</x:f>
        <x:v>0</x:v>
      </x:c>
      <x:c r="BM52" s="117" t="n">
        <x:f>BL52+BM51</x:f>
        <x:v>0</x:v>
      </x:c>
      <x:c r="BN52" s="117" t="n">
        <x:f>BM52+BN51</x:f>
        <x:v>0</x:v>
      </x:c>
      <x:c r="BO52" s="117" t="n">
        <x:f>BN52+BO51</x:f>
        <x:v>0</x:v>
      </x:c>
      <x:c r="BP52" s="117" t="n">
        <x:f>BO52+BP51</x:f>
        <x:v>0</x:v>
      </x:c>
      <x:c r="BQ52" s="117" t="n">
        <x:f>BP52+BQ51</x:f>
        <x:v>0</x:v>
      </x:c>
      <x:c r="BR52" s="117" t="n">
        <x:f>BQ52+BR51</x:f>
        <x:v>0</x:v>
      </x:c>
      <x:c r="BS52" s="117" t="n">
        <x:f>BR52+BS51</x:f>
        <x:v>0</x:v>
      </x:c>
      <x:c r="BT52" s="117" t="n">
        <x:f>BS52+BT51</x:f>
        <x:v>0</x:v>
      </x:c>
      <x:c r="BU52" s="117" t="n">
        <x:f>BT52+BU51</x:f>
        <x:v>0</x:v>
      </x:c>
      <x:c r="BV52" s="117" t="n">
        <x:f>BU52+BV51</x:f>
        <x:v>0</x:v>
      </x:c>
      <x:c r="BW52" s="117" t="n">
        <x:f>BV52+BW51</x:f>
        <x:v>0</x:v>
      </x:c>
      <x:c r="BX52" s="117" t="n">
        <x:f>BW52+BX51</x:f>
        <x:v>0</x:v>
      </x:c>
      <x:c r="BY52" s="117" t="n">
        <x:f>BX52+BY51</x:f>
        <x:v>0</x:v>
      </x:c>
      <x:c r="BZ52" s="117" t="n">
        <x:f>BY52+BZ51</x:f>
        <x:v>0</x:v>
      </x:c>
      <x:c r="CA52" s="117" t="n">
        <x:f>BZ52+CA51</x:f>
        <x:v>0</x:v>
      </x:c>
      <x:c r="CB52" s="117" t="n">
        <x:f>CA52+CB51</x:f>
        <x:v>0</x:v>
      </x:c>
      <x:c r="CC52" s="117" t="n">
        <x:f>CB52+CC51</x:f>
        <x:v>0</x:v>
      </x:c>
      <x:c r="CD52" s="117" t="n">
        <x:f>CC52+CD51</x:f>
        <x:v>0</x:v>
      </x:c>
      <x:c r="CE52" s="117" t="n">
        <x:f>CD52+CE51</x:f>
        <x:v>0</x:v>
      </x:c>
      <x:c r="CF52" s="117" t="n">
        <x:f>CE52+CF51</x:f>
        <x:v>0</x:v>
      </x:c>
      <x:c r="CG52" s="117" t="n">
        <x:f>CF52+CG51</x:f>
        <x:v>0</x:v>
      </x:c>
      <x:c r="CH52" s="117" t="n">
        <x:f>CG52+CH51</x:f>
        <x:v>0</x:v>
      </x:c>
      <x:c r="CI52" s="117" t="n">
        <x:f>CH52+CI51</x:f>
        <x:v>0</x:v>
      </x:c>
      <x:c r="CJ52" s="117" t="n">
        <x:f>CI52+CJ51</x:f>
        <x:v>0</x:v>
      </x:c>
      <x:c r="CK52" s="117" t="n">
        <x:f>CJ52+CK51</x:f>
        <x:v>0</x:v>
      </x:c>
      <x:c r="CL52" s="117" t="n">
        <x:f>CK52+CL51</x:f>
        <x:v>0</x:v>
      </x:c>
      <x:c r="CM52" s="117" t="n">
        <x:f>CL52+CM51</x:f>
        <x:v>0</x:v>
      </x:c>
      <x:c r="CN52" s="117" t="n">
        <x:f>CM52+CN51</x:f>
        <x:v>0</x:v>
      </x:c>
      <x:c r="CO52" s="117" t="n">
        <x:f>CN52+CO51</x:f>
        <x:v>0</x:v>
      </x:c>
      <x:c r="CP52" s="117" t="n">
        <x:f>CO52+CP51</x:f>
        <x:v>0</x:v>
      </x:c>
      <x:c r="CQ52" s="117" t="n">
        <x:f>CP52+CQ51</x:f>
        <x:v>0</x:v>
      </x:c>
      <x:c r="CR52" s="117" t="n">
        <x:f>CQ52+CR51</x:f>
        <x:v>0</x:v>
      </x:c>
      <x:c r="CS52" s="117" t="n">
        <x:f>CR52+CS51</x:f>
        <x:v>0</x:v>
      </x:c>
      <x:c r="CT52" s="117" t="n">
        <x:f>CS52+CT51</x:f>
        <x:v>0</x:v>
      </x:c>
      <x:c r="CU52" s="117" t="n">
        <x:f>CT52+CU51</x:f>
        <x:v>0</x:v>
      </x:c>
      <x:c r="CV52" s="117" t="n">
        <x:f>CU52+CV51</x:f>
        <x:v>0</x:v>
      </x:c>
      <x:c r="CW52" s="117" t="n">
        <x:f>CV52+CW51</x:f>
        <x:v>0</x:v>
      </x:c>
      <x:c r="CX52" s="117" t="n">
        <x:f>CW52+CX51</x:f>
        <x:v>0</x:v>
      </x:c>
      <x:c r="CY52" s="117" t="n">
        <x:f>CX52+CY51</x:f>
        <x:v>0</x:v>
      </x:c>
      <x:c r="CZ52" s="117" t="n">
        <x:f>CY52+CZ51</x:f>
        <x:v>0</x:v>
      </x:c>
      <x:c r="DA52" s="117" t="n">
        <x:f>CZ52+DA51</x:f>
        <x:v>0</x:v>
      </x:c>
      <x:c r="DB52" s="117" t="n">
        <x:f>DA52+DB51</x:f>
        <x:v>0</x:v>
      </x:c>
      <x:c r="DC52" s="117" t="n">
        <x:f>DB52+DC51</x:f>
        <x:v>0</x:v>
      </x:c>
      <x:c r="DD52" s="117" t="n">
        <x:f>DC52+DD51</x:f>
        <x:v>0</x:v>
      </x:c>
      <x:c r="DE52" s="117" t="n">
        <x:f>DD52+DE51</x:f>
        <x:v>0</x:v>
      </x:c>
      <x:c r="DF52" s="117" t="n">
        <x:f>DE52+DF51</x:f>
        <x:v>0</x:v>
      </x:c>
      <x:c r="DG52" s="117" t="n">
        <x:f>DF52+DG51</x:f>
        <x:v>0</x:v>
      </x:c>
      <x:c r="DH52" s="117" t="n">
        <x:f>DG52+DH51</x:f>
        <x:v>0</x:v>
      </x:c>
      <x:c r="DI52" s="117" t="n">
        <x:f>DH52+DI51</x:f>
        <x:v>0</x:v>
      </x:c>
      <x:c r="DJ52" s="117" t="n">
        <x:f>DI52+DJ51</x:f>
        <x:v>0</x:v>
      </x:c>
      <x:c r="DK52" s="117" t="n">
        <x:f>DJ52+DK51</x:f>
        <x:v>0</x:v>
      </x:c>
      <x:c r="DL52" s="117" t="n">
        <x:f>DK52+DL51</x:f>
        <x:v>0</x:v>
      </x:c>
      <x:c r="DM52" s="117" t="n">
        <x:f>DL52+DM51</x:f>
        <x:v>0</x:v>
      </x:c>
      <x:c r="DN52" s="117" t="n">
        <x:f>DM52+DN51</x:f>
        <x:v>0</x:v>
      </x:c>
      <x:c r="DO52" s="117" t="n">
        <x:f>DN52+DO51</x:f>
        <x:v>0</x:v>
      </x:c>
      <x:c r="DP52" s="117" t="n">
        <x:f>DO52+DP51</x:f>
        <x:v>0</x:v>
      </x:c>
      <x:c r="DQ52" s="117" t="n">
        <x:f>DP52+DQ51</x:f>
        <x:v>0</x:v>
      </x:c>
      <x:c r="DR52" s="117" t="n">
        <x:f>DQ52+DR51</x:f>
        <x:v>0</x:v>
      </x:c>
      <x:c r="DS52" s="117" t="n">
        <x:f>DR52+DS51</x:f>
        <x:v>0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0</x:v>
      </x:c>
      <x:c r="C54" s="113" t="str">
        <x:v>млн ₽</x:v>
      </x:c>
      <x:c r="D54" s="120" t="n">
        <x:f>D27-D20-D24</x:f>
        <x:v>0</x:v>
      </x:c>
      <x:c r="E54" s="120" t="n">
        <x:f>E27-E20-E24</x:f>
        <x:v>0</x:v>
      </x:c>
      <x:c r="F54" s="120" t="n">
        <x:f>F27-F20-F24</x:f>
        <x:v>0</x:v>
      </x:c>
      <x:c r="G54" s="120" t="n">
        <x:f>G27-G20-G24</x:f>
        <x:v>0</x:v>
      </x:c>
      <x:c r="H54" s="120" t="n">
        <x:f>H27-H20-H24</x:f>
        <x:v>0</x:v>
      </x:c>
      <x:c r="I54" s="120" t="n">
        <x:f>I27-I20-I24</x:f>
        <x:v>0</x:v>
      </x:c>
      <x:c r="J54" s="120" t="n">
        <x:f>J27-J20-J24</x:f>
        <x:v>0</x:v>
      </x:c>
      <x:c r="K54" s="120" t="n">
        <x:f>K27-K20-K24</x:f>
        <x:v>0</x:v>
      </x:c>
      <x:c r="L54" s="120" t="n">
        <x:f>L27-L20-L24</x:f>
        <x:v>0</x:v>
      </x:c>
      <x:c r="M54" s="120" t="n">
        <x:f>M27-M20-M24</x:f>
        <x:v>0</x:v>
      </x:c>
      <x:c r="N54" s="120" t="n">
        <x:f>N27-N20-N24</x:f>
        <x:v>0</x:v>
      </x:c>
      <x:c r="O54" s="120" t="n">
        <x:f>O27-O20-O24</x:f>
        <x:v>0</x:v>
      </x:c>
      <x:c r="P54" s="120" t="n">
        <x:f>P27-P20-P24</x:f>
        <x:v>0</x:v>
      </x:c>
      <x:c r="Q54" s="120" t="n">
        <x:f>Q27-Q20-Q24</x:f>
        <x:v>0</x:v>
      </x:c>
      <x:c r="R54" s="120" t="n">
        <x:f>R27-R20-R24</x:f>
        <x:v>0</x:v>
      </x:c>
      <x:c r="S54" s="120" t="n">
        <x:f>S27-S20-S24</x:f>
        <x:v>0</x:v>
      </x:c>
      <x:c r="T54" s="120" t="n">
        <x:f>T27-T20-T24</x:f>
        <x:v>0</x:v>
      </x:c>
      <x:c r="U54" s="120" t="n">
        <x:f>U27-U20-U24</x:f>
        <x:v>0</x:v>
      </x:c>
      <x:c r="V54" s="120" t="n">
        <x:f>V27-V20-V24</x:f>
        <x:v>0</x:v>
      </x:c>
      <x:c r="W54" s="120" t="n">
        <x:f>W27-W20-W24</x:f>
        <x:v>0</x:v>
      </x:c>
      <x:c r="X54" s="120" t="n">
        <x:f>X27-X20-X24</x:f>
        <x:v>0</x:v>
      </x:c>
      <x:c r="Y54" s="120" t="n">
        <x:f>Y27-Y20-Y24</x:f>
        <x:v>0</x:v>
      </x:c>
      <x:c r="Z54" s="120" t="n">
        <x:f>Z27-Z20-Z24</x:f>
        <x:v>0</x:v>
      </x:c>
      <x:c r="AA54" s="120" t="n">
        <x:f>AA27-AA20-AA24</x:f>
        <x:v>0</x:v>
      </x:c>
      <x:c r="AB54" s="120" t="n">
        <x:f>AB27-AB20-AB24</x:f>
        <x:v>0</x:v>
      </x:c>
      <x:c r="AC54" s="120" t="n">
        <x:f>AC27-AC20-AC24</x:f>
        <x:v>0</x:v>
      </x:c>
      <x:c r="AD54" s="120" t="n">
        <x:f>AD27-AD20-AD24</x:f>
        <x:v>0</x:v>
      </x:c>
      <x:c r="AE54" s="120" t="n">
        <x:f>AE27-AE20-AE24</x:f>
        <x:v>0</x:v>
      </x:c>
      <x:c r="AF54" s="120" t="n">
        <x:f>AF27-AF20-AF24</x:f>
        <x:v>0</x:v>
      </x:c>
      <x:c r="AG54" s="120" t="n">
        <x:f>AG27-AG20-AG24</x:f>
        <x:v>0</x:v>
      </x:c>
      <x:c r="AH54" s="120" t="n">
        <x:f>AH27-AH20-AH24</x:f>
        <x:v>0</x:v>
      </x:c>
      <x:c r="AI54" s="120" t="n">
        <x:f>AI27-AI20-AI24</x:f>
        <x:v>0</x:v>
      </x:c>
      <x:c r="AJ54" s="120" t="n">
        <x:f>AJ27-AJ20-AJ24</x:f>
        <x:v>0</x:v>
      </x:c>
      <x:c r="AK54" s="120" t="n">
        <x:f>AK27-AK20-AK24</x:f>
        <x:v>0</x:v>
      </x:c>
      <x:c r="AL54" s="120" t="n">
        <x:f>AL27-AL20-AL24</x:f>
        <x:v>0</x:v>
      </x:c>
      <x:c r="AM54" s="120" t="n">
        <x:f>AM27-AM20-AM24</x:f>
        <x:v>0</x:v>
      </x:c>
      <x:c r="AN54" s="120" t="n">
        <x:f>AN27-AN20-AN24</x:f>
        <x:v>0</x:v>
      </x:c>
      <x:c r="AO54" s="120" t="n">
        <x:f>AO27-AO20-AO24</x:f>
        <x:v>0</x:v>
      </x:c>
      <x:c r="AP54" s="120" t="n">
        <x:f>AP27-AP20-AP24</x:f>
        <x:v>0</x:v>
      </x:c>
      <x:c r="AQ54" s="120" t="n">
        <x:f>AQ27-AQ20-AQ24</x:f>
        <x:v>0</x:v>
      </x:c>
      <x:c r="AR54" s="120" t="n">
        <x:f>AR27-AR20-AR24</x:f>
        <x:v>0</x:v>
      </x:c>
      <x:c r="AS54" s="120" t="n">
        <x:f>AS27-AS20-AS24</x:f>
        <x:v>0</x:v>
      </x:c>
      <x:c r="AT54" s="120" t="n">
        <x:f>AT27-AT20-AT24</x:f>
        <x:v>0</x:v>
      </x:c>
      <x:c r="AU54" s="120" t="n">
        <x:f>AU27-AU20-AU24</x:f>
        <x:v>0</x:v>
      </x:c>
      <x:c r="AV54" s="120" t="n">
        <x:f>AV27-AV20-AV24</x:f>
        <x:v>0</x:v>
      </x:c>
      <x:c r="AW54" s="120" t="n">
        <x:f>AW27-AW20-AW24</x:f>
        <x:v>0</x:v>
      </x:c>
      <x:c r="AX54" s="120" t="n">
        <x:f>AX27-AX20-AX24</x:f>
        <x:v>0</x:v>
      </x:c>
      <x:c r="AY54" s="120" t="n">
        <x:f>AY27-AY20-AY24</x:f>
        <x:v>0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0</x:v>
      </x:c>
      <x:c r="C55" t="str">
        <x:v>млн ₽</x:v>
      </x:c>
      <x:c r="D55" s="117" t="n">
        <x:f>D54</x:f>
        <x:v>0</x:v>
      </x:c>
      <x:c r="E55" s="117" t="n">
        <x:f>D55+E54</x:f>
        <x:v>0</x:v>
      </x:c>
      <x:c r="F55" s="117" t="n">
        <x:f>E55+F54</x:f>
        <x:v>0</x:v>
      </x:c>
      <x:c r="G55" s="117" t="n">
        <x:f>F55+G54</x:f>
        <x:v>0</x:v>
      </x:c>
      <x:c r="H55" s="117" t="n">
        <x:f>G55+H54</x:f>
        <x:v>0</x:v>
      </x:c>
      <x:c r="I55" s="117" t="n">
        <x:f>H55+I54</x:f>
        <x:v>0</x:v>
      </x:c>
      <x:c r="J55" s="117" t="n">
        <x:f>I55+J54</x:f>
        <x:v>0</x:v>
      </x:c>
      <x:c r="K55" s="117" t="n">
        <x:f>J55+K54</x:f>
        <x:v>0</x:v>
      </x:c>
      <x:c r="L55" s="117" t="n">
        <x:f>K55+L54</x:f>
        <x:v>0</x:v>
      </x:c>
      <x:c r="M55" s="117" t="n">
        <x:f>L55+M54</x:f>
        <x:v>0</x:v>
      </x:c>
      <x:c r="N55" s="117" t="n">
        <x:f>M55+N54</x:f>
        <x:v>0</x:v>
      </x:c>
      <x:c r="O55" s="117" t="n">
        <x:f>N55+O54</x:f>
        <x:v>0</x:v>
      </x:c>
      <x:c r="P55" s="117" t="n">
        <x:f>O55+P54</x:f>
        <x:v>0</x:v>
      </x:c>
      <x:c r="Q55" s="117" t="n">
        <x:f>P55+Q54</x:f>
        <x:v>0</x:v>
      </x:c>
      <x:c r="R55" s="117" t="n">
        <x:f>Q55+R54</x:f>
        <x:v>0</x:v>
      </x:c>
      <x:c r="S55" s="117" t="n">
        <x:f>R55+S54</x:f>
        <x:v>0</x:v>
      </x:c>
      <x:c r="T55" s="117" t="n">
        <x:f>S55+T54</x:f>
        <x:v>0</x:v>
      </x:c>
      <x:c r="U55" s="117" t="n">
        <x:f>T55+U54</x:f>
        <x:v>0</x:v>
      </x:c>
      <x:c r="V55" s="117" t="n">
        <x:f>U55+V54</x:f>
        <x:v>0</x:v>
      </x:c>
      <x:c r="W55" s="117" t="n">
        <x:f>V55+W54</x:f>
        <x:v>0</x:v>
      </x:c>
      <x:c r="X55" s="117" t="n">
        <x:f>W55+X54</x:f>
        <x:v>0</x:v>
      </x:c>
      <x:c r="Y55" s="117" t="n">
        <x:f>X55+Y54</x:f>
        <x:v>0</x:v>
      </x:c>
      <x:c r="Z55" s="117" t="n">
        <x:f>Y55+Z54</x:f>
        <x:v>0</x:v>
      </x:c>
      <x:c r="AA55" s="117" t="n">
        <x:f>Z55+AA54</x:f>
        <x:v>0</x:v>
      </x:c>
      <x:c r="AB55" s="117" t="n">
        <x:f>AA55+AB54</x:f>
        <x:v>0</x:v>
      </x:c>
      <x:c r="AC55" s="117" t="n">
        <x:f>AB55+AC54</x:f>
        <x:v>0</x:v>
      </x:c>
      <x:c r="AD55" s="117" t="n">
        <x:f>AC55+AD54</x:f>
        <x:v>0</x:v>
      </x:c>
      <x:c r="AE55" s="117" t="n">
        <x:f>AD55+AE54</x:f>
        <x:v>0</x:v>
      </x:c>
      <x:c r="AF55" s="117" t="n">
        <x:f>AE55+AF54</x:f>
        <x:v>0</x:v>
      </x:c>
      <x:c r="AG55" s="117" t="n">
        <x:f>AF55+AG54</x:f>
        <x:v>0</x:v>
      </x:c>
      <x:c r="AH55" s="117" t="n">
        <x:f>AG55+AH54</x:f>
        <x:v>0</x:v>
      </x:c>
      <x:c r="AI55" s="117" t="n">
        <x:f>AH55+AI54</x:f>
        <x:v>0</x:v>
      </x:c>
      <x:c r="AJ55" s="117" t="n">
        <x:f>AI55+AJ54</x:f>
        <x:v>0</x:v>
      </x:c>
      <x:c r="AK55" s="117" t="n">
        <x:f>AJ55+AK54</x:f>
        <x:v>0</x:v>
      </x:c>
      <x:c r="AL55" s="117" t="n">
        <x:f>AK55+AL54</x:f>
        <x:v>0</x:v>
      </x:c>
      <x:c r="AM55" s="117" t="n">
        <x:f>AL55+AM54</x:f>
        <x:v>0</x:v>
      </x:c>
      <x:c r="AN55" s="117" t="n">
        <x:f>AM55+AN54</x:f>
        <x:v>0</x:v>
      </x:c>
      <x:c r="AO55" s="117" t="n">
        <x:f>AN55+AO54</x:f>
        <x:v>0</x:v>
      </x:c>
      <x:c r="AP55" s="117" t="n">
        <x:f>AO55+AP54</x:f>
        <x:v>0</x:v>
      </x:c>
      <x:c r="AQ55" s="117" t="n">
        <x:f>AP55+AQ54</x:f>
        <x:v>0</x:v>
      </x:c>
      <x:c r="AR55" s="117" t="n">
        <x:f>AQ55+AR54</x:f>
        <x:v>0</x:v>
      </x:c>
      <x:c r="AS55" s="117" t="n">
        <x:f>AR55+AS54</x:f>
        <x:v>0</x:v>
      </x:c>
      <x:c r="AT55" s="117" t="n">
        <x:f>AS55+AT54</x:f>
        <x:v>0</x:v>
      </x:c>
      <x:c r="AU55" s="117" t="n">
        <x:f>AT55+AU54</x:f>
        <x:v>0</x:v>
      </x:c>
      <x:c r="AV55" s="117" t="n">
        <x:f>AU55+AV54</x:f>
        <x:v>0</x:v>
      </x:c>
      <x:c r="AW55" s="117" t="n">
        <x:f>AV55+AW54</x:f>
        <x:v>0</x:v>
      </x:c>
      <x:c r="AX55" s="117" t="n">
        <x:f>AW55+AX54</x:f>
        <x:v>0</x:v>
      </x:c>
      <x:c r="AY55" s="117" t="n">
        <x:f>AX55+AY54</x:f>
        <x:v>0</x:v>
      </x:c>
      <x:c r="AZ55" s="117" t="n">
        <x:f>AY55+AZ54</x:f>
        <x:v>0</x:v>
      </x:c>
      <x:c r="BA55" s="117" t="n">
        <x:f>AZ55+BA54</x:f>
        <x:v>0</x:v>
      </x:c>
      <x:c r="BB55" s="117" t="n">
        <x:f>BA55+BB54</x:f>
        <x:v>0</x:v>
      </x:c>
      <x:c r="BC55" s="117" t="n">
        <x:f>BB55+BC54</x:f>
        <x:v>0</x:v>
      </x:c>
      <x:c r="BD55" s="117" t="n">
        <x:f>BC55+BD54</x:f>
        <x:v>0</x:v>
      </x:c>
      <x:c r="BE55" s="117" t="n">
        <x:f>BD55+BE54</x:f>
        <x:v>0</x:v>
      </x:c>
      <x:c r="BF55" s="117" t="n">
        <x:f>BE55+BF54</x:f>
        <x:v>0</x:v>
      </x:c>
      <x:c r="BG55" s="117" t="n">
        <x:f>BF55+BG54</x:f>
        <x:v>0</x:v>
      </x:c>
      <x:c r="BH55" s="117" t="n">
        <x:f>BG55+BH54</x:f>
        <x:v>0</x:v>
      </x:c>
      <x:c r="BI55" s="117" t="n">
        <x:f>BH55+BI54</x:f>
        <x:v>0</x:v>
      </x:c>
      <x:c r="BJ55" s="117" t="n">
        <x:f>BI55+BJ54</x:f>
        <x:v>0</x:v>
      </x:c>
      <x:c r="BK55" s="117" t="n">
        <x:f>BJ55+BK54</x:f>
        <x:v>0</x:v>
      </x:c>
      <x:c r="BL55" s="117" t="n">
        <x:f>BK55+BL54</x:f>
        <x:v>0</x:v>
      </x:c>
      <x:c r="BM55" s="117" t="n">
        <x:f>BL55+BM54</x:f>
        <x:v>0</x:v>
      </x:c>
      <x:c r="BN55" s="117" t="n">
        <x:f>BM55+BN54</x:f>
        <x:v>0</x:v>
      </x:c>
      <x:c r="BO55" s="117" t="n">
        <x:f>BN55+BO54</x:f>
        <x:v>0</x:v>
      </x:c>
      <x:c r="BP55" s="117" t="n">
        <x:f>BO55+BP54</x:f>
        <x:v>0</x:v>
      </x:c>
      <x:c r="BQ55" s="117" t="n">
        <x:f>BP55+BQ54</x:f>
        <x:v>0</x:v>
      </x:c>
      <x:c r="BR55" s="117" t="n">
        <x:f>BQ55+BR54</x:f>
        <x:v>0</x:v>
      </x:c>
      <x:c r="BS55" s="117" t="n">
        <x:f>BR55+BS54</x:f>
        <x:v>0</x:v>
      </x:c>
      <x:c r="BT55" s="117" t="n">
        <x:f>BS55+BT54</x:f>
        <x:v>0</x:v>
      </x:c>
      <x:c r="BU55" s="117" t="n">
        <x:f>BT55+BU54</x:f>
        <x:v>0</x:v>
      </x:c>
      <x:c r="BV55" s="117" t="n">
        <x:f>BU55+BV54</x:f>
        <x:v>0</x:v>
      </x:c>
      <x:c r="BW55" s="117" t="n">
        <x:f>BV55+BW54</x:f>
        <x:v>0</x:v>
      </x:c>
      <x:c r="BX55" s="117" t="n">
        <x:f>BW55+BX54</x:f>
        <x:v>0</x:v>
      </x:c>
      <x:c r="BY55" s="117" t="n">
        <x:f>BX55+BY54</x:f>
        <x:v>0</x:v>
      </x:c>
      <x:c r="BZ55" s="117" t="n">
        <x:f>BY55+BZ54</x:f>
        <x:v>0</x:v>
      </x:c>
      <x:c r="CA55" s="117" t="n">
        <x:f>BZ55+CA54</x:f>
        <x:v>0</x:v>
      </x:c>
      <x:c r="CB55" s="117" t="n">
        <x:f>CA55+CB54</x:f>
        <x:v>0</x:v>
      </x:c>
      <x:c r="CC55" s="117" t="n">
        <x:f>CB55+CC54</x:f>
        <x:v>0</x:v>
      </x:c>
      <x:c r="CD55" s="117" t="n">
        <x:f>CC55+CD54</x:f>
        <x:v>0</x:v>
      </x:c>
      <x:c r="CE55" s="117" t="n">
        <x:f>CD55+CE54</x:f>
        <x:v>0</x:v>
      </x:c>
      <x:c r="CF55" s="117" t="n">
        <x:f>CE55+CF54</x:f>
        <x:v>0</x:v>
      </x:c>
      <x:c r="CG55" s="117" t="n">
        <x:f>CF55+CG54</x:f>
        <x:v>0</x:v>
      </x:c>
      <x:c r="CH55" s="117" t="n">
        <x:f>CG55+CH54</x:f>
        <x:v>0</x:v>
      </x:c>
      <x:c r="CI55" s="117" t="n">
        <x:f>CH55+CI54</x:f>
        <x:v>0</x:v>
      </x:c>
      <x:c r="CJ55" s="117" t="n">
        <x:f>CI55+CJ54</x:f>
        <x:v>0</x:v>
      </x:c>
      <x:c r="CK55" s="117" t="n">
        <x:f>CJ55+CK54</x:f>
        <x:v>0</x:v>
      </x:c>
      <x:c r="CL55" s="117" t="n">
        <x:f>CK55+CL54</x:f>
        <x:v>0</x:v>
      </x:c>
      <x:c r="CM55" s="117" t="n">
        <x:f>CL55+CM54</x:f>
        <x:v>0</x:v>
      </x:c>
      <x:c r="CN55" s="117" t="n">
        <x:f>CM55+CN54</x:f>
        <x:v>0</x:v>
      </x:c>
      <x:c r="CO55" s="117" t="n">
        <x:f>CN55+CO54</x:f>
        <x:v>0</x:v>
      </x:c>
      <x:c r="CP55" s="117" t="n">
        <x:f>CO55+CP54</x:f>
        <x:v>0</x:v>
      </x:c>
      <x:c r="CQ55" s="117" t="n">
        <x:f>CP55+CQ54</x:f>
        <x:v>0</x:v>
      </x:c>
      <x:c r="CR55" s="117" t="n">
        <x:f>CQ55+CR54</x:f>
        <x:v>0</x:v>
      </x:c>
      <x:c r="CS55" s="117" t="n">
        <x:f>CR55+CS54</x:f>
        <x:v>0</x:v>
      </x:c>
      <x:c r="CT55" s="117" t="n">
        <x:f>CS55+CT54</x:f>
        <x:v>0</x:v>
      </x:c>
      <x:c r="CU55" s="117" t="n">
        <x:f>CT55+CU54</x:f>
        <x:v>0</x:v>
      </x:c>
      <x:c r="CV55" s="117" t="n">
        <x:f>CU55+CV54</x:f>
        <x:v>0</x:v>
      </x:c>
      <x:c r="CW55" s="117" t="n">
        <x:f>CV55+CW54</x:f>
        <x:v>0</x:v>
      </x:c>
      <x:c r="CX55" s="117" t="n">
        <x:f>CW55+CX54</x:f>
        <x:v>0</x:v>
      </x:c>
      <x:c r="CY55" s="117" t="n">
        <x:f>CX55+CY54</x:f>
        <x:v>0</x:v>
      </x:c>
      <x:c r="CZ55" s="117" t="n">
        <x:f>CY55+CZ54</x:f>
        <x:v>0</x:v>
      </x:c>
      <x:c r="DA55" s="117" t="n">
        <x:f>CZ55+DA54</x:f>
        <x:v>0</x:v>
      </x:c>
      <x:c r="DB55" s="117" t="n">
        <x:f>DA55+DB54</x:f>
        <x:v>0</x:v>
      </x:c>
      <x:c r="DC55" s="117" t="n">
        <x:f>DB55+DC54</x:f>
        <x:v>0</x:v>
      </x:c>
      <x:c r="DD55" s="117" t="n">
        <x:f>DC55+DD54</x:f>
        <x:v>0</x:v>
      </x:c>
      <x:c r="DE55" s="117" t="n">
        <x:f>DD55+DE54</x:f>
        <x:v>0</x:v>
      </x:c>
      <x:c r="DF55" s="117" t="n">
        <x:f>DE55+DF54</x:f>
        <x:v>0</x:v>
      </x:c>
      <x:c r="DG55" s="117" t="n">
        <x:f>DF55+DG54</x:f>
        <x:v>0</x:v>
      </x:c>
      <x:c r="DH55" s="117" t="n">
        <x:f>DG55+DH54</x:f>
        <x:v>0</x:v>
      </x:c>
      <x:c r="DI55" s="117" t="n">
        <x:f>DH55+DI54</x:f>
        <x:v>0</x:v>
      </x:c>
      <x:c r="DJ55" s="117" t="n">
        <x:f>DI55+DJ54</x:f>
        <x:v>0</x:v>
      </x:c>
      <x:c r="DK55" s="117" t="n">
        <x:f>DJ55+DK54</x:f>
        <x:v>0</x:v>
      </x:c>
      <x:c r="DL55" s="117" t="n">
        <x:f>DK55+DL54</x:f>
        <x:v>0</x:v>
      </x:c>
      <x:c r="DM55" s="117" t="n">
        <x:f>DL55+DM54</x:f>
        <x:v>0</x:v>
      </x:c>
      <x:c r="DN55" s="117" t="n">
        <x:f>DM55+DN54</x:f>
        <x:v>0</x:v>
      </x:c>
      <x:c r="DO55" s="117" t="n">
        <x:f>DN55+DO54</x:f>
        <x:v>0</x:v>
      </x:c>
      <x:c r="DP55" s="117" t="n">
        <x:f>DO55+DP54</x:f>
        <x:v>0</x:v>
      </x:c>
      <x:c r="DQ55" s="117" t="n">
        <x:f>DP55+DQ54</x:f>
        <x:v>0</x:v>
      </x:c>
      <x:c r="DR55" s="117" t="n">
        <x:f>DQ55+DR54</x:f>
        <x:v>0</x:v>
      </x:c>
      <x:c r="DS55" s="117" t="n">
        <x:f>DR55+DS54</x:f>
        <x:v>0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0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  <x:v>0</x:v>
      </x:c>
      <x:c r="C67" s="99" t="str">
        <x:v>млн ₽</x:v>
      </x:c>
    </x:row>
    <x:row r="68">
      <x:c r="A68" s="99" t="str">
        <x:v>CAPEX</x:v>
      </x:c>
      <x:c r="B68" s="116" t="n">
        <x:f>B17</x:f>
        <x:v>0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0</x:v>
      </x:c>
      <x:c r="C69" s="99" t="str">
        <x:v>млн ₽</x:v>
      </x:c>
    </x:row>
    <x:row r="70">
      <x:c r="A70" s="99" t="str">
        <x:v>EBITDA</x:v>
      </x:c>
      <x:c r="B70" s="116" t="n">
        <x:f>B10-B20</x:f>
        <x:v>0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0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0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0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0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0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0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0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0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0</x:v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0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0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0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>
      <x:c r="A6" t="str">
        <x:v>Продажи по договорам</x:v>
      </x:c>
      <x:c r="B6" t="n">
        <x:f>SUM(D6:DS6)</x:f>
        <x:v>12743.009317800295</x:v>
      </x:c>
      <x:c r="C6" t="str">
        <x:v>млн ₽</x:v>
      </x:c>
      <x:c r="D6" s="117" t="n">
        <x:f>SUM('CF_1'!D10,'CF_2'!D10,'CF_3'!D10)</x:f>
        <x:v>0</x:v>
      </x:c>
      <x:c r="E6" s="117" t="n">
        <x:f>SUM('CF_1'!E10,'CF_2'!E10,'CF_3'!E10)</x:f>
        <x:v>0</x:v>
      </x:c>
      <x:c r="F6" s="117" t="n">
        <x:f>SUM('CF_1'!F10,'CF_2'!F10,'CF_3'!F10)</x:f>
        <x:v>0</x:v>
      </x:c>
      <x:c r="G6" s="117" t="n">
        <x:f>SUM('CF_1'!G10,'CF_2'!G10,'CF_3'!G10)</x:f>
        <x:v>0</x:v>
      </x:c>
      <x:c r="H6" s="117" t="n">
        <x:f>SUM('CF_1'!H10,'CF_2'!H10,'CF_3'!H10)</x:f>
        <x:v>0</x:v>
      </x:c>
      <x:c r="I6" s="117" t="n">
        <x:f>SUM('CF_1'!I10,'CF_2'!I10,'CF_3'!I10)</x:f>
        <x:v>0</x:v>
      </x:c>
      <x:c r="J6" s="117" t="n">
        <x:f>SUM('CF_1'!J10,'CF_2'!J10,'CF_3'!J10)</x:f>
        <x:v>0</x:v>
      </x:c>
      <x:c r="K6" s="117" t="n">
        <x:f>SUM('CF_1'!K10,'CF_2'!K10,'CF_3'!K10)</x:f>
        <x:v>0</x:v>
      </x:c>
      <x:c r="L6" s="117" t="n">
        <x:f>SUM('CF_1'!L10,'CF_2'!L10,'CF_3'!L10)</x:f>
        <x:v>0</x:v>
      </x:c>
      <x:c r="M6" s="117" t="n">
        <x:f>SUM('CF_1'!M10,'CF_2'!M10,'CF_3'!M10)</x:f>
        <x:v>0</x:v>
      </x:c>
      <x:c r="N6" s="117" t="n">
        <x:f>SUM('CF_1'!N10,'CF_2'!N10,'CF_3'!N10)</x:f>
        <x:v>0</x:v>
      </x:c>
      <x:c r="O6" s="117" t="n">
        <x:f>SUM('CF_1'!O10,'CF_2'!O10,'CF_3'!O10)</x:f>
        <x:v>0</x:v>
      </x:c>
      <x:c r="P6" s="117" t="n">
        <x:f>SUM('CF_1'!P10,'CF_2'!P10,'CF_3'!P10)</x:f>
        <x:v>0</x:v>
      </x:c>
      <x:c r="Q6" s="117" t="n">
        <x:f>SUM('CF_1'!Q10,'CF_2'!Q10,'CF_3'!Q10)</x:f>
        <x:v>0</x:v>
      </x:c>
      <x:c r="R6" s="117" t="n">
        <x:f>SUM('CF_1'!R10,'CF_2'!R10,'CF_3'!R10)</x:f>
        <x:v>0</x:v>
      </x:c>
      <x:c r="S6" s="117" t="n">
        <x:f>SUM('CF_1'!S10,'CF_2'!S10,'CF_3'!S10)</x:f>
        <x:v>0</x:v>
      </x:c>
      <x:c r="T6" s="117" t="n">
        <x:f>SUM('CF_1'!T10,'CF_2'!T10,'CF_3'!T10)</x:f>
        <x:v>0</x:v>
      </x:c>
      <x:c r="U6" s="117" t="n">
        <x:f>SUM('CF_1'!U10,'CF_2'!U10,'CF_3'!U10)</x:f>
        <x:v>0</x:v>
      </x:c>
      <x:c r="V6" s="117" t="n">
        <x:f>SUM('CF_1'!V10,'CF_2'!V10,'CF_3'!V10)</x:f>
        <x:v>294.3833179708191</x:v>
      </x:c>
      <x:c r="W6" s="117" t="n">
        <x:f>SUM('CF_1'!W10,'CF_2'!W10,'CF_3'!W10)</x:f>
        <x:v>301.78705841778515</x:v>
      </x:c>
      <x:c r="X6" s="117" t="n">
        <x:f>SUM('CF_1'!X10,'CF_2'!X10,'CF_3'!X10)</x:f>
        <x:v>363.9729446317558</x:v>
      </x:c>
      <x:c r="Y6" s="117" t="n">
        <x:f>SUM('CF_1'!Y10,'CF_2'!Y10,'CF_3'!Y10)</x:f>
        <x:v>373.1268641892445</x:v>
      </x:c>
      <x:c r="Z6" s="117" t="n">
        <x:f>SUM('CF_1'!Z10,'CF_2'!Z10,'CF_3'!Z10)</x:f>
        <x:v>382.5110048236039</x:v>
      </x:c>
      <x:c r="AA6" s="117" t="n">
        <x:f>SUM('CF_1'!AA10,'CF_2'!AA10,'CF_3'!AA10)</x:f>
        <x:v>392.13115659491757</x:v>
      </x:c>
      <x:c r="AB6" s="117" t="n">
        <x:f>SUM('CF_1'!AB10,'CF_2'!AB10,'CF_3'!AB10)</x:f>
        <x:v>341.69426690578774</x:v>
      </x:c>
      <x:c r="AC6" s="117" t="n">
        <x:f>SUM('CF_1'!AC10,'CF_2'!AC10,'CF_3'!AC10)</x:f>
        <x:v>412.1033855511392</x:v>
      </x:c>
      <x:c r="AD6" s="117" t="n">
        <x:f>SUM('CF_1'!AD10,'CF_2'!AD10,'CF_3'!AD10)</x:f>
        <x:v>422.46778569775034</x:v>
      </x:c>
      <x:c r="AE6" s="117" t="n">
        <x:f>SUM('CF_1'!AE10,'CF_2'!AE10,'CF_3'!AE10)</x:f>
        <x:v>433.0928505080485</x:v>
      </x:c>
      <x:c r="AF6" s="117" t="n">
        <x:f>SUM('CF_1'!AF10,'CF_2'!AF10,'CF_3'!AF10)</x:f>
        <x:v>377.3873653435772</x:v>
      </x:c>
      <x:c r="AG6" s="117" t="n">
        <x:f>SUM('CF_1'!AG10,'CF_2'!AG10,'CF_3'!AG10)</x:f>
        <x:v>386.87865758196796</x:v>
      </x:c>
      <x:c r="AH6" s="117" t="n">
        <x:f>SUM('CF_1'!AH10,'CF_2'!AH10,'CF_3'!AH10)</x:f>
        <x:v>396.60865582015447</x:v>
      </x:c>
      <x:c r="AI6" s="117" t="n">
        <x:f>SUM('CF_1'!AI10,'CF_2'!AI10,'CF_3'!AI10)</x:f>
        <x:v>406.58336351403125</x:v>
      </x:c>
      <x:c r="AJ6" s="117" t="n">
        <x:f>SUM('CF_1'!AJ10,'CF_2'!AJ10,'CF_3'!AJ10)</x:f>
        <x:v>490.36345306636366</x:v>
      </x:c>
      <x:c r="AK6" s="117" t="n">
        <x:f>SUM('CF_1'!AK10,'CF_2'!AK10,'CF_3'!AK10)</x:f>
        <x:v>502.6960939109828</x:v>
      </x:c>
      <x:c r="AL6" s="117" t="n">
        <x:f>SUM('CF_1'!AL10,'CF_2'!AL10,'CF_3'!AL10)</x:f>
        <x:v>515.338900672844</x:v>
      </x:c>
      <x:c r="AM6" s="117" t="n">
        <x:f>SUM('CF_1'!AM10,'CF_2'!AM10,'CF_3'!AM10)</x:f>
        <x:v>528.2996740247659</x:v>
      </x:c>
      <x:c r="AN6" s="117" t="n">
        <x:f>SUM('CF_1'!AN10,'CF_2'!AN10,'CF_3'!AN10)</x:f>
        <x:v>460.3484492025153</x:v>
      </x:c>
      <x:c r="AO6" s="117" t="n">
        <x:f>SUM('CF_1'!AO10,'CF_2'!AO10,'CF_3'!AO10)</x:f>
        <x:v>555.2073090587747</x:v>
      </x:c>
      <x:c r="AP6" s="117" t="n">
        <x:f>SUM('CF_1'!AP10,'CF_2'!AP10,'CF_3'!AP10)</x:f>
        <x:v>569.1707728816029</x:v>
      </x:c>
      <x:c r="AQ6" s="117" t="n">
        <x:f>SUM('CF_1'!AQ10,'CF_2'!AQ10,'CF_3'!AQ10)</x:f>
        <x:v>583.4854178195754</x:v>
      </x:c>
      <x:c r="AR6" s="117" t="n">
        <x:f>SUM('CF_1'!AR10,'CF_2'!AR10,'CF_3'!AR10)</x:f>
        <x:v>508.43606466607696</x:v>
      </x:c>
      <x:c r="AS6" s="117" t="n">
        <x:f>SUM('CF_1'!AS10,'CF_2'!AS10,'CF_3'!AS10)</x:f>
        <x:v>521.2232316924286</x:v>
      </x:c>
      <x:c r="AT6" s="117" t="n">
        <x:f>SUM('CF_1'!AT10,'CF_2'!AT10,'CF_3'!AT10)</x:f>
        <x:v>320.9546856127561</x:v>
      </x:c>
      <x:c r="AU6" s="117" t="n">
        <x:f>SUM('CF_1'!AU10,'CF_2'!AU10,'CF_3'!AU10)</x:f>
        <x:v>324.9746430500558</x:v>
      </x:c>
      <x:c r="AV6" s="117" t="n">
        <x:f>SUM('CF_1'!AV10,'CF_2'!AV10,'CF_3'!AV10)</x:f>
        <x:v>387.1117064167739</x:v>
      </x:c>
      <x:c r="AW6" s="117" t="n">
        <x:f>SUM('CF_1'!AW10,'CF_2'!AW10,'CF_3'!AW10)</x:f>
        <x:v>391.96028053964403</x:v>
      </x:c>
      <x:c r="AX6" s="117" t="n">
        <x:f>SUM('CF_1'!AX10,'CF_2'!AX10,'CF_3'!AX10)</x:f>
        <x:v>396.869583053403</x:v>
      </x:c>
      <x:c r="AY6" s="117" t="n">
        <x:f>SUM('CF_1'!AY10,'CF_2'!AY10,'CF_3'!AY10)</x:f>
        <x:v>401.84037458114693</x:v>
      </x:c>
      <x:c r="AZ6" s="117" t="n">
        <x:f>SUM('CF_1'!AZ10,'CF_2'!AZ10,'CF_3'!AZ10)</x:f>
        <x:v>0</x:v>
      </x:c>
      <x:c r="BA6" s="117" t="n">
        <x:f>SUM('CF_1'!BA10,'CF_2'!BA10,'CF_3'!BA10)</x:f>
        <x:v>0</x:v>
      </x:c>
      <x:c r="BB6" s="117" t="n">
        <x:f>SUM('CF_1'!BB10,'CF_2'!BB10,'CF_3'!BB10)</x:f>
        <x:v>0</x:v>
      </x:c>
      <x:c r="BC6" s="117" t="n">
        <x:f>SUM('CF_1'!BC10,'CF_2'!BC10,'CF_3'!BC10)</x:f>
        <x:v>0</x:v>
      </x:c>
      <x:c r="BD6" s="117" t="n">
        <x:f>SUM('CF_1'!BD10,'CF_2'!BD10,'CF_3'!BD10)</x:f>
        <x:v>0</x:v>
      </x:c>
      <x:c r="BE6" s="117" t="n">
        <x:f>SUM('CF_1'!BE10,'CF_2'!BE10,'CF_3'!BE10)</x:f>
        <x:v>0</x:v>
      </x:c>
      <x:c r="BF6" s="117" t="n">
        <x:f>SUM('CF_1'!BF10,'CF_2'!BF10,'CF_3'!BF10)</x:f>
        <x:v>0</x:v>
      </x:c>
      <x:c r="BG6" s="117" t="n">
        <x:f>SUM('CF_1'!BG10,'CF_2'!BG10,'CF_3'!BG10)</x:f>
        <x:v>0</x:v>
      </x:c>
      <x:c r="BH6" s="117" t="n">
        <x:f>SUM('CF_1'!BH10,'CF_2'!BH10,'CF_3'!BH10)</x:f>
        <x:v>0</x:v>
      </x:c>
      <x:c r="BI6" s="117" t="n">
        <x:f>SUM('CF_1'!BI10,'CF_2'!BI10,'CF_3'!BI10)</x:f>
        <x:v>0</x:v>
      </x:c>
      <x:c r="BJ6" s="117" t="n">
        <x:f>SUM('CF_1'!BJ10,'CF_2'!BJ10,'CF_3'!BJ10)</x:f>
        <x:v>0</x:v>
      </x:c>
      <x:c r="BK6" s="117" t="n">
        <x:f>SUM('CF_1'!BK10,'CF_2'!BK10,'CF_3'!BK10)</x:f>
        <x:v>0</x:v>
      </x:c>
      <x:c r="BL6" s="117" t="n">
        <x:f>SUM('CF_1'!BL10,'CF_2'!BL10,'CF_3'!BL10)</x:f>
        <x:v>0</x:v>
      </x:c>
      <x:c r="BM6" s="117" t="n">
        <x:f>SUM('CF_1'!BM10,'CF_2'!BM10,'CF_3'!BM10)</x:f>
        <x:v>0</x:v>
      </x:c>
      <x:c r="BN6" s="117" t="n">
        <x:f>SUM('CF_1'!BN10,'CF_2'!BN10,'CF_3'!BN10)</x:f>
        <x:v>0</x:v>
      </x:c>
      <x:c r="BO6" s="117" t="n">
        <x:f>SUM('CF_1'!BO10,'CF_2'!BO10,'CF_3'!BO10)</x:f>
        <x:v>0</x:v>
      </x:c>
      <x:c r="BP6" s="117" t="n">
        <x:f>SUM('CF_1'!BP10,'CF_2'!BP10,'CF_3'!BP10)</x:f>
        <x:v>0</x:v>
      </x:c>
      <x:c r="BQ6" s="117" t="n">
        <x:f>SUM('CF_1'!BQ10,'CF_2'!BQ10,'CF_3'!BQ10)</x:f>
        <x:v>0</x:v>
      </x:c>
      <x:c r="BR6" s="117" t="n">
        <x:f>SUM('CF_1'!BR10,'CF_2'!BR10,'CF_3'!BR10)</x:f>
        <x:v>0</x:v>
      </x:c>
      <x:c r="BS6" s="117" t="n">
        <x:f>SUM('CF_1'!BS10,'CF_2'!BS10,'CF_3'!BS10)</x:f>
        <x:v>0</x:v>
      </x:c>
      <x:c r="BT6" s="117" t="n">
        <x:f>SUM('CF_1'!BT10,'CF_2'!BT10,'CF_3'!BT10)</x:f>
        <x:v>0</x:v>
      </x:c>
      <x:c r="BU6" s="117" t="n">
        <x:f>SUM('CF_1'!BU10,'CF_2'!BU10,'CF_3'!BU10)</x:f>
        <x:v>0</x:v>
      </x:c>
      <x:c r="BV6" s="117" t="n">
        <x:f>SUM('CF_1'!BV10,'CF_2'!BV10,'CF_3'!BV10)</x:f>
        <x:v>0</x:v>
      </x:c>
      <x:c r="BW6" s="117" t="n">
        <x:f>SUM('CF_1'!BW10,'CF_2'!BW10,'CF_3'!BW10)</x:f>
        <x:v>0</x:v>
      </x:c>
      <x:c r="BX6" s="117" t="n">
        <x:f>SUM('CF_1'!BX10,'CF_2'!BX10,'CF_3'!BX10)</x:f>
        <x:v>0</x:v>
      </x:c>
      <x:c r="BY6" s="117" t="n">
        <x:f>SUM('CF_1'!BY10,'CF_2'!BY10,'CF_3'!BY10)</x:f>
        <x:v>0</x:v>
      </x:c>
      <x:c r="BZ6" s="117" t="n">
        <x:f>SUM('CF_1'!BZ10,'CF_2'!BZ10,'CF_3'!BZ10)</x:f>
        <x:v>0</x:v>
      </x:c>
      <x:c r="CA6" s="117" t="n">
        <x:f>SUM('CF_1'!CA10,'CF_2'!CA10,'CF_3'!CA10)</x:f>
        <x:v>0</x:v>
      </x:c>
      <x:c r="CB6" s="117" t="n">
        <x:f>SUM('CF_1'!CB10,'CF_2'!CB10,'CF_3'!CB10)</x:f>
        <x:v>0</x:v>
      </x:c>
      <x:c r="CC6" s="117" t="n">
        <x:f>SUM('CF_1'!CC10,'CF_2'!CC10,'CF_3'!CC10)</x:f>
        <x:v>0</x:v>
      </x:c>
      <x:c r="CD6" s="117" t="n">
        <x:f>SUM('CF_1'!CD10,'CF_2'!CD10,'CF_3'!CD10)</x:f>
        <x:v>0</x:v>
      </x:c>
      <x:c r="CE6" s="117" t="n">
        <x:f>SUM('CF_1'!CE10,'CF_2'!CE10,'CF_3'!CE10)</x:f>
        <x:v>0</x:v>
      </x:c>
      <x:c r="CF6" s="117" t="n">
        <x:f>SUM('CF_1'!CF10,'CF_2'!CF10,'CF_3'!CF10)</x:f>
        <x:v>0</x:v>
      </x:c>
      <x:c r="CG6" s="117" t="n">
        <x:f>SUM('CF_1'!CG10,'CF_2'!CG10,'CF_3'!CG10)</x:f>
        <x:v>0</x:v>
      </x:c>
      <x:c r="CH6" s="117" t="n">
        <x:f>SUM('CF_1'!CH10,'CF_2'!CH10,'CF_3'!CH10)</x:f>
        <x:v>0</x:v>
      </x:c>
      <x:c r="CI6" s="117" t="n">
        <x:f>SUM('CF_1'!CI10,'CF_2'!CI10,'CF_3'!CI10)</x:f>
        <x:v>0</x:v>
      </x:c>
      <x:c r="CJ6" s="117" t="n">
        <x:f>SUM('CF_1'!CJ10,'CF_2'!CJ10,'CF_3'!CJ10)</x:f>
        <x:v>0</x:v>
      </x:c>
      <x:c r="CK6" s="117" t="n">
        <x:f>SUM('CF_1'!CK10,'CF_2'!CK10,'CF_3'!CK10)</x:f>
        <x:v>0</x:v>
      </x:c>
      <x:c r="CL6" s="117" t="n">
        <x:f>SUM('CF_1'!CL10,'CF_2'!CL10,'CF_3'!CL10)</x:f>
        <x:v>0</x:v>
      </x:c>
      <x:c r="CM6" s="117" t="n">
        <x:f>SUM('CF_1'!CM10,'CF_2'!CM10,'CF_3'!CM10)</x:f>
        <x:v>0</x:v>
      </x:c>
      <x:c r="CN6" s="117" t="n">
        <x:f>SUM('CF_1'!CN10,'CF_2'!CN10,'CF_3'!CN10)</x:f>
        <x:v>0</x:v>
      </x:c>
      <x:c r="CO6" s="117" t="n">
        <x:f>SUM('CF_1'!CO10,'CF_2'!CO10,'CF_3'!CO10)</x:f>
        <x:v>0</x:v>
      </x:c>
      <x:c r="CP6" s="117" t="n">
        <x:f>SUM('CF_1'!CP10,'CF_2'!CP10,'CF_3'!CP10)</x:f>
        <x:v>0</x:v>
      </x:c>
      <x:c r="CQ6" s="117" t="n">
        <x:f>SUM('CF_1'!CQ10,'CF_2'!CQ10,'CF_3'!CQ10)</x:f>
        <x:v>0</x:v>
      </x:c>
      <x:c r="CR6" s="117" t="n">
        <x:f>SUM('CF_1'!CR10,'CF_2'!CR10,'CF_3'!CR10)</x:f>
        <x:v>0</x:v>
      </x:c>
      <x:c r="CS6" s="117" t="n">
        <x:f>SUM('CF_1'!CS10,'CF_2'!CS10,'CF_3'!CS10)</x:f>
        <x:v>0</x:v>
      </x:c>
      <x:c r="CT6" s="117" t="n">
        <x:f>SUM('CF_1'!CT10,'CF_2'!CT10,'CF_3'!CT10)</x:f>
        <x:v>0</x:v>
      </x:c>
      <x:c r="CU6" s="117" t="n">
        <x:f>SUM('CF_1'!CU10,'CF_2'!CU10,'CF_3'!CU10)</x:f>
        <x:v>0</x:v>
      </x:c>
      <x:c r="CV6" s="117" t="n">
        <x:f>SUM('CF_1'!CV10,'CF_2'!CV10,'CF_3'!CV10)</x:f>
        <x:v>0</x:v>
      </x:c>
      <x:c r="CW6" s="117" t="n">
        <x:f>SUM('CF_1'!CW10,'CF_2'!CW10,'CF_3'!CW10)</x:f>
        <x:v>0</x:v>
      </x:c>
      <x:c r="CX6" s="117" t="n">
        <x:f>SUM('CF_1'!CX10,'CF_2'!CX10,'CF_3'!CX10)</x:f>
        <x:v>0</x:v>
      </x:c>
      <x:c r="CY6" s="117" t="n">
        <x:f>SUM('CF_1'!CY10,'CF_2'!CY10,'CF_3'!CY10)</x:f>
        <x:v>0</x:v>
      </x:c>
      <x:c r="CZ6" s="117" t="n">
        <x:f>SUM('CF_1'!CZ10,'CF_2'!CZ10,'CF_3'!CZ10)</x:f>
        <x:v>0</x:v>
      </x:c>
      <x:c r="DA6" s="117" t="n">
        <x:f>SUM('CF_1'!DA10,'CF_2'!DA10,'CF_3'!DA10)</x:f>
        <x:v>0</x:v>
      </x:c>
      <x:c r="DB6" s="117" t="n">
        <x:f>SUM('CF_1'!DB10,'CF_2'!DB10,'CF_3'!DB10)</x:f>
        <x:v>0</x:v>
      </x:c>
      <x:c r="DC6" s="117" t="n">
        <x:f>SUM('CF_1'!DC10,'CF_2'!DC10,'CF_3'!DC10)</x:f>
        <x:v>0</x:v>
      </x:c>
      <x:c r="DD6" s="117" t="n">
        <x:f>SUM('CF_1'!DD10,'CF_2'!DD10,'CF_3'!DD10)</x:f>
        <x:v>0</x:v>
      </x:c>
      <x:c r="DE6" s="117" t="n">
        <x:f>SUM('CF_1'!DE10,'CF_2'!DE10,'CF_3'!DE10)</x:f>
        <x:v>0</x:v>
      </x:c>
      <x:c r="DF6" s="117" t="n">
        <x:f>SUM('CF_1'!DF10,'CF_2'!DF10,'CF_3'!DF10)</x:f>
        <x:v>0</x:v>
      </x:c>
      <x:c r="DG6" s="117" t="n">
        <x:f>SUM('CF_1'!DG10,'CF_2'!DG10,'CF_3'!DG10)</x:f>
        <x:v>0</x:v>
      </x:c>
      <x:c r="DH6" s="117" t="n">
        <x:f>SUM('CF_1'!DH10,'CF_2'!DH10,'CF_3'!DH10)</x:f>
        <x:v>0</x:v>
      </x:c>
      <x:c r="DI6" s="117" t="n">
        <x:f>SUM('CF_1'!DI10,'CF_2'!DI10,'CF_3'!DI10)</x:f>
        <x:v>0</x:v>
      </x:c>
      <x:c r="DJ6" s="117" t="n">
        <x:f>SUM('CF_1'!DJ10,'CF_2'!DJ10,'CF_3'!DJ10)</x:f>
        <x:v>0</x:v>
      </x:c>
      <x:c r="DK6" s="117" t="n">
        <x:f>SUM('CF_1'!DK10,'CF_2'!DK10,'CF_3'!DK10)</x:f>
        <x:v>0</x:v>
      </x:c>
      <x:c r="DL6" s="117" t="n">
        <x:f>SUM('CF_1'!DL10,'CF_2'!DL10,'CF_3'!DL10)</x:f>
        <x:v>0</x:v>
      </x:c>
      <x:c r="DM6" s="117" t="n">
        <x:f>SUM('CF_1'!DM10,'CF_2'!DM10,'CF_3'!DM10)</x:f>
        <x:v>0</x:v>
      </x:c>
      <x:c r="DN6" s="117" t="n">
        <x:f>SUM('CF_1'!DN10,'CF_2'!DN10,'CF_3'!DN10)</x:f>
        <x:v>0</x:v>
      </x:c>
      <x:c r="DO6" s="117" t="n">
        <x:f>SUM('CF_1'!DO10,'CF_2'!DO10,'CF_3'!DO10)</x:f>
        <x:v>0</x:v>
      </x:c>
      <x:c r="DP6" s="117" t="n">
        <x:f>SUM('CF_1'!DP10,'CF_2'!DP10,'CF_3'!DP10)</x:f>
        <x:v>0</x:v>
      </x:c>
      <x:c r="DQ6" s="117" t="n">
        <x:f>SUM('CF_1'!DQ10,'CF_2'!DQ10,'CF_3'!DQ10)</x:f>
        <x:v>0</x:v>
      </x:c>
      <x:c r="DR6" s="117" t="n">
        <x:f>SUM('CF_1'!DR10,'CF_2'!DR10,'CF_3'!DR10)</x:f>
        <x:v>0</x:v>
      </x:c>
      <x:c r="DS6" s="117" t="n">
        <x:f>SUM('CF_1'!DS10,'CF_2'!DS10,'CF_3'!DS10)</x:f>
        <x:v>0</x:v>
      </x:c>
    </x:row>
    <x:row r="7">
      <x:c r="A7" t="str">
        <x:v>Поступления на эскроу</x:v>
      </x:c>
      <x:c r="B7" t="n">
        <x:f>SUM(D7:DS7)</x:f>
        <x:v>10519.298044546515</x:v>
      </x:c>
      <x:c r="C7" t="str">
        <x:v>млн ₽</x:v>
      </x:c>
      <x:c r="D7" s="117" t="n">
        <x:f>SUM('CF_1'!D11,'CF_2'!D11,'CF_3'!D11)</x:f>
        <x:v>0</x:v>
      </x:c>
      <x:c r="E7" s="117" t="n">
        <x:f>SUM('CF_1'!E11,'CF_2'!E11,'CF_3'!E11)</x:f>
        <x:v>0</x:v>
      </x:c>
      <x:c r="F7" s="117" t="n">
        <x:f>SUM('CF_1'!F11,'CF_2'!F11,'CF_3'!F11)</x:f>
        <x:v>0</x:v>
      </x:c>
      <x:c r="G7" s="117" t="n">
        <x:f>SUM('CF_1'!G11,'CF_2'!G11,'CF_3'!G11)</x:f>
        <x:v>0</x:v>
      </x:c>
      <x:c r="H7" s="117" t="n">
        <x:f>SUM('CF_1'!H11,'CF_2'!H11,'CF_3'!H11)</x:f>
        <x:v>0</x:v>
      </x:c>
      <x:c r="I7" s="117" t="n">
        <x:f>SUM('CF_1'!I11,'CF_2'!I11,'CF_3'!I11)</x:f>
        <x:v>0</x:v>
      </x:c>
      <x:c r="J7" s="117" t="n">
        <x:f>SUM('CF_1'!J11,'CF_2'!J11,'CF_3'!J11)</x:f>
        <x:v>0</x:v>
      </x:c>
      <x:c r="K7" s="117" t="n">
        <x:f>SUM('CF_1'!K11,'CF_2'!K11,'CF_3'!K11)</x:f>
        <x:v>0</x:v>
      </x:c>
      <x:c r="L7" s="117" t="n">
        <x:f>SUM('CF_1'!L11,'CF_2'!L11,'CF_3'!L11)</x:f>
        <x:v>0</x:v>
      </x:c>
      <x:c r="M7" s="117" t="n">
        <x:f>SUM('CF_1'!M11,'CF_2'!M11,'CF_3'!M11)</x:f>
        <x:v>0</x:v>
      </x:c>
      <x:c r="N7" s="117" t="n">
        <x:f>SUM('CF_1'!N11,'CF_2'!N11,'CF_3'!N11)</x:f>
        <x:v>0</x:v>
      </x:c>
      <x:c r="O7" s="117" t="n">
        <x:f>SUM('CF_1'!O11,'CF_2'!O11,'CF_3'!O11)</x:f>
        <x:v>0</x:v>
      </x:c>
      <x:c r="P7" s="117" t="n">
        <x:f>SUM('CF_1'!P11,'CF_2'!P11,'CF_3'!P11)</x:f>
        <x:v>0</x:v>
      </x:c>
      <x:c r="Q7" s="117" t="n">
        <x:f>SUM('CF_1'!Q11,'CF_2'!Q11,'CF_3'!Q11)</x:f>
        <x:v>0</x:v>
      </x:c>
      <x:c r="R7" s="117" t="n">
        <x:f>SUM('CF_1'!R11,'CF_2'!R11,'CF_3'!R11)</x:f>
        <x:v>0</x:v>
      </x:c>
      <x:c r="S7" s="117" t="n">
        <x:f>SUM('CF_1'!S11,'CF_2'!S11,'CF_3'!S11)</x:f>
        <x:v>0</x:v>
      </x:c>
      <x:c r="T7" s="117" t="n">
        <x:f>SUM('CF_1'!T11,'CF_2'!T11,'CF_3'!T11)</x:f>
        <x:v>0</x:v>
      </x:c>
      <x:c r="U7" s="117" t="n">
        <x:f>SUM('CF_1'!U11,'CF_2'!U11,'CF_3'!U11)</x:f>
        <x:v>0</x:v>
      </x:c>
      <x:c r="V7" s="117" t="n">
        <x:f>SUM('CF_1'!V11,'CF_2'!V11,'CF_3'!V11)</x:f>
        <x:v>294.3833179708191</x:v>
      </x:c>
      <x:c r="W7" s="117" t="n">
        <x:f>SUM('CF_1'!W11,'CF_2'!W11,'CF_3'!W11)</x:f>
        <x:v>301.78705841778515</x:v>
      </x:c>
      <x:c r="X7" s="117" t="n">
        <x:f>SUM('CF_1'!X11,'CF_2'!X11,'CF_3'!X11)</x:f>
        <x:v>363.9729446317558</x:v>
      </x:c>
      <x:c r="Y7" s="117" t="n">
        <x:f>SUM('CF_1'!Y11,'CF_2'!Y11,'CF_3'!Y11)</x:f>
        <x:v>373.1268641892445</x:v>
      </x:c>
      <x:c r="Z7" s="117" t="n">
        <x:f>SUM('CF_1'!Z11,'CF_2'!Z11,'CF_3'!Z11)</x:f>
        <x:v>382.5110048236039</x:v>
      </x:c>
      <x:c r="AA7" s="117" t="n">
        <x:f>SUM('CF_1'!AA11,'CF_2'!AA11,'CF_3'!AA11)</x:f>
        <x:v>392.13115659491757</x:v>
      </x:c>
      <x:c r="AB7" s="117" t="n">
        <x:f>SUM('CF_1'!AB11,'CF_2'!AB11,'CF_3'!AB11)</x:f>
        <x:v>341.69426690578774</x:v>
      </x:c>
      <x:c r="AC7" s="117" t="n">
        <x:f>SUM('CF_1'!AC11,'CF_2'!AC11,'CF_3'!AC11)</x:f>
        <x:v>412.1033855511392</x:v>
      </x:c>
      <x:c r="AD7" s="117" t="n">
        <x:f>SUM('CF_1'!AD11,'CF_2'!AD11,'CF_3'!AD11)</x:f>
        <x:v>422.46778569775034</x:v>
      </x:c>
      <x:c r="AE7" s="117" t="n">
        <x:f>SUM('CF_1'!AE11,'CF_2'!AE11,'CF_3'!AE11)</x:f>
        <x:v>433.0928505080485</x:v>
      </x:c>
      <x:c r="AF7" s="117" t="n">
        <x:f>SUM('CF_1'!AF11,'CF_2'!AF11,'CF_3'!AF11)</x:f>
        <x:v>377.3873653435772</x:v>
      </x:c>
      <x:c r="AG7" s="117" t="n">
        <x:f>SUM('CF_1'!AG11,'CF_2'!AG11,'CF_3'!AG11)</x:f>
        <x:v>386.87865758196796</x:v>
      </x:c>
      <x:c r="AH7" s="117" t="n">
        <x:f>SUM('CF_1'!AH11,'CF_2'!AH11,'CF_3'!AH11)</x:f>
        <x:v>396.60865582015447</x:v>
      </x:c>
      <x:c r="AI7" s="117" t="n">
        <x:f>SUM('CF_1'!AI11,'CF_2'!AI11,'CF_3'!AI11)</x:f>
        <x:v>406.58336351403125</x:v>
      </x:c>
      <x:c r="AJ7" s="117" t="n">
        <x:f>SUM('CF_1'!AJ11,'CF_2'!AJ11,'CF_3'!AJ11)</x:f>
        <x:v>490.36345306636366</x:v>
      </x:c>
      <x:c r="AK7" s="117" t="n">
        <x:f>SUM('CF_1'!AK11,'CF_2'!AK11,'CF_3'!AK11)</x:f>
        <x:v>502.6960939109828</x:v>
      </x:c>
      <x:c r="AL7" s="117" t="n">
        <x:f>SUM('CF_1'!AL11,'CF_2'!AL11,'CF_3'!AL11)</x:f>
        <x:v>515.338900672844</x:v>
      </x:c>
      <x:c r="AM7" s="117" t="n">
        <x:f>SUM('CF_1'!AM11,'CF_2'!AM11,'CF_3'!AM11)</x:f>
        <x:v>528.2996740247659</x:v>
      </x:c>
      <x:c r="AN7" s="117" t="n">
        <x:f>SUM('CF_1'!AN11,'CF_2'!AN11,'CF_3'!AN11)</x:f>
        <x:v>460.3484492025153</x:v>
      </x:c>
      <x:c r="AO7" s="117" t="n">
        <x:f>SUM('CF_1'!AO11,'CF_2'!AO11,'CF_3'!AO11)</x:f>
        <x:v>555.2073090587747</x:v>
      </x:c>
      <x:c r="AP7" s="117" t="n">
        <x:f>SUM('CF_1'!AP11,'CF_2'!AP11,'CF_3'!AP11)</x:f>
        <x:v>569.1707728816029</x:v>
      </x:c>
      <x:c r="AQ7" s="117" t="n">
        <x:f>SUM('CF_1'!AQ11,'CF_2'!AQ11,'CF_3'!AQ11)</x:f>
        <x:v>583.4854178195754</x:v>
      </x:c>
      <x:c r="AR7" s="117" t="n">
        <x:f>SUM('CF_1'!AR11,'CF_2'!AR11,'CF_3'!AR11)</x:f>
        <x:v>508.43606466607696</x:v>
      </x:c>
      <x:c r="AS7" s="117" t="n">
        <x:f>SUM('CF_1'!AS11,'CF_2'!AS11,'CF_3'!AS11)</x:f>
        <x:v>521.2232316924286</x:v>
      </x:c>
      <x:c r="AT7" s="117" t="n">
        <x:f>SUM('CF_1'!AT11,'CF_2'!AT11,'CF_3'!AT11)</x:f>
        <x:v>0</x:v>
      </x:c>
      <x:c r="AU7" s="117" t="n">
        <x:f>SUM('CF_1'!AU11,'CF_2'!AU11,'CF_3'!AU11)</x:f>
        <x:v>0</x:v>
      </x:c>
      <x:c r="AV7" s="117" t="n">
        <x:f>SUM('CF_1'!AV11,'CF_2'!AV11,'CF_3'!AV11)</x:f>
        <x:v>0</x:v>
      </x:c>
      <x:c r="AW7" s="117" t="n">
        <x:f>SUM('CF_1'!AW11,'CF_2'!AW11,'CF_3'!AW11)</x:f>
        <x:v>0</x:v>
      </x:c>
      <x:c r="AX7" s="117" t="n">
        <x:f>SUM('CF_1'!AX11,'CF_2'!AX11,'CF_3'!AX11)</x:f>
        <x:v>0</x:v>
      </x:c>
      <x:c r="AY7" s="117" t="n">
        <x:f>SUM('CF_1'!AY11,'CF_2'!AY11,'CF_3'!AY11)</x:f>
        <x:v>0</x:v>
      </x:c>
      <x:c r="AZ7" s="117" t="n">
        <x:f>SUM('CF_1'!AZ11,'CF_2'!AZ11,'CF_3'!AZ11)</x:f>
        <x:v>0</x:v>
      </x:c>
      <x:c r="BA7" s="117" t="n">
        <x:f>SUM('CF_1'!BA11,'CF_2'!BA11,'CF_3'!BA11)</x:f>
        <x:v>0</x:v>
      </x:c>
      <x:c r="BB7" s="117" t="n">
        <x:f>SUM('CF_1'!BB11,'CF_2'!BB11,'CF_3'!BB11)</x:f>
        <x:v>0</x:v>
      </x:c>
      <x:c r="BC7" s="117" t="n">
        <x:f>SUM('CF_1'!BC11,'CF_2'!BC11,'CF_3'!BC11)</x:f>
        <x:v>0</x:v>
      </x:c>
      <x:c r="BD7" s="117" t="n">
        <x:f>SUM('CF_1'!BD11,'CF_2'!BD11,'CF_3'!BD11)</x:f>
        <x:v>0</x:v>
      </x:c>
      <x:c r="BE7" s="117" t="n">
        <x:f>SUM('CF_1'!BE11,'CF_2'!BE11,'CF_3'!BE11)</x:f>
        <x:v>0</x:v>
      </x:c>
      <x:c r="BF7" s="117" t="n">
        <x:f>SUM('CF_1'!BF11,'CF_2'!BF11,'CF_3'!BF11)</x:f>
        <x:v>0</x:v>
      </x:c>
      <x:c r="BG7" s="117" t="n">
        <x:f>SUM('CF_1'!BG11,'CF_2'!BG11,'CF_3'!BG11)</x:f>
        <x:v>0</x:v>
      </x:c>
      <x:c r="BH7" s="117" t="n">
        <x:f>SUM('CF_1'!BH11,'CF_2'!BH11,'CF_3'!BH11)</x:f>
        <x:v>0</x:v>
      </x:c>
      <x:c r="BI7" s="117" t="n">
        <x:f>SUM('CF_1'!BI11,'CF_2'!BI11,'CF_3'!BI11)</x:f>
        <x:v>0</x:v>
      </x:c>
      <x:c r="BJ7" s="117" t="n">
        <x:f>SUM('CF_1'!BJ11,'CF_2'!BJ11,'CF_3'!BJ11)</x:f>
        <x:v>0</x:v>
      </x:c>
      <x:c r="BK7" s="117" t="n">
        <x:f>SUM('CF_1'!BK11,'CF_2'!BK11,'CF_3'!BK11)</x:f>
        <x:v>0</x:v>
      </x:c>
      <x:c r="BL7" s="117" t="n">
        <x:f>SUM('CF_1'!BL11,'CF_2'!BL11,'CF_3'!BL11)</x:f>
        <x:v>0</x:v>
      </x:c>
      <x:c r="BM7" s="117" t="n">
        <x:f>SUM('CF_1'!BM11,'CF_2'!BM11,'CF_3'!BM11)</x:f>
        <x:v>0</x:v>
      </x:c>
      <x:c r="BN7" s="117" t="n">
        <x:f>SUM('CF_1'!BN11,'CF_2'!BN11,'CF_3'!BN11)</x:f>
        <x:v>0</x:v>
      </x:c>
      <x:c r="BO7" s="117" t="n">
        <x:f>SUM('CF_1'!BO11,'CF_2'!BO11,'CF_3'!BO11)</x:f>
        <x:v>0</x:v>
      </x:c>
      <x:c r="BP7" s="117" t="n">
        <x:f>SUM('CF_1'!BP11,'CF_2'!BP11,'CF_3'!BP11)</x:f>
        <x:v>0</x:v>
      </x:c>
      <x:c r="BQ7" s="117" t="n">
        <x:f>SUM('CF_1'!BQ11,'CF_2'!BQ11,'CF_3'!BQ11)</x:f>
        <x:v>0</x:v>
      </x:c>
      <x:c r="BR7" s="117" t="n">
        <x:f>SUM('CF_1'!BR11,'CF_2'!BR11,'CF_3'!BR11)</x:f>
        <x:v>0</x:v>
      </x:c>
      <x:c r="BS7" s="117" t="n">
        <x:f>SUM('CF_1'!BS11,'CF_2'!BS11,'CF_3'!BS11)</x:f>
        <x:v>0</x:v>
      </x:c>
      <x:c r="BT7" s="117" t="n">
        <x:f>SUM('CF_1'!BT11,'CF_2'!BT11,'CF_3'!BT11)</x:f>
        <x:v>0</x:v>
      </x:c>
      <x:c r="BU7" s="117" t="n">
        <x:f>SUM('CF_1'!BU11,'CF_2'!BU11,'CF_3'!BU11)</x:f>
        <x:v>0</x:v>
      </x:c>
      <x:c r="BV7" s="117" t="n">
        <x:f>SUM('CF_1'!BV11,'CF_2'!BV11,'CF_3'!BV11)</x:f>
        <x:v>0</x:v>
      </x:c>
      <x:c r="BW7" s="117" t="n">
        <x:f>SUM('CF_1'!BW11,'CF_2'!BW11,'CF_3'!BW11)</x:f>
        <x:v>0</x:v>
      </x:c>
      <x:c r="BX7" s="117" t="n">
        <x:f>SUM('CF_1'!BX11,'CF_2'!BX11,'CF_3'!BX11)</x:f>
        <x:v>0</x:v>
      </x:c>
      <x:c r="BY7" s="117" t="n">
        <x:f>SUM('CF_1'!BY11,'CF_2'!BY11,'CF_3'!BY11)</x:f>
        <x:v>0</x:v>
      </x:c>
      <x:c r="BZ7" s="117" t="n">
        <x:f>SUM('CF_1'!BZ11,'CF_2'!BZ11,'CF_3'!BZ11)</x:f>
        <x:v>0</x:v>
      </x:c>
      <x:c r="CA7" s="117" t="n">
        <x:f>SUM('CF_1'!CA11,'CF_2'!CA11,'CF_3'!CA11)</x:f>
        <x:v>0</x:v>
      </x:c>
      <x:c r="CB7" s="117" t="n">
        <x:f>SUM('CF_1'!CB11,'CF_2'!CB11,'CF_3'!CB11)</x:f>
        <x:v>0</x:v>
      </x:c>
      <x:c r="CC7" s="117" t="n">
        <x:f>SUM('CF_1'!CC11,'CF_2'!CC11,'CF_3'!CC11)</x:f>
        <x:v>0</x:v>
      </x:c>
      <x:c r="CD7" s="117" t="n">
        <x:f>SUM('CF_1'!CD11,'CF_2'!CD11,'CF_3'!CD11)</x:f>
        <x:v>0</x:v>
      </x:c>
      <x:c r="CE7" s="117" t="n">
        <x:f>SUM('CF_1'!CE11,'CF_2'!CE11,'CF_3'!CE11)</x:f>
        <x:v>0</x:v>
      </x:c>
      <x:c r="CF7" s="117" t="n">
        <x:f>SUM('CF_1'!CF11,'CF_2'!CF11,'CF_3'!CF11)</x:f>
        <x:v>0</x:v>
      </x:c>
      <x:c r="CG7" s="117" t="n">
        <x:f>SUM('CF_1'!CG11,'CF_2'!CG11,'CF_3'!CG11)</x:f>
        <x:v>0</x:v>
      </x:c>
      <x:c r="CH7" s="117" t="n">
        <x:f>SUM('CF_1'!CH11,'CF_2'!CH11,'CF_3'!CH11)</x:f>
        <x:v>0</x:v>
      </x:c>
      <x:c r="CI7" s="117" t="n">
        <x:f>SUM('CF_1'!CI11,'CF_2'!CI11,'CF_3'!CI11)</x:f>
        <x:v>0</x:v>
      </x:c>
      <x:c r="CJ7" s="117" t="n">
        <x:f>SUM('CF_1'!CJ11,'CF_2'!CJ11,'CF_3'!CJ11)</x:f>
        <x:v>0</x:v>
      </x:c>
      <x:c r="CK7" s="117" t="n">
        <x:f>SUM('CF_1'!CK11,'CF_2'!CK11,'CF_3'!CK11)</x:f>
        <x:v>0</x:v>
      </x:c>
      <x:c r="CL7" s="117" t="n">
        <x:f>SUM('CF_1'!CL11,'CF_2'!CL11,'CF_3'!CL11)</x:f>
        <x:v>0</x:v>
      </x:c>
      <x:c r="CM7" s="117" t="n">
        <x:f>SUM('CF_1'!CM11,'CF_2'!CM11,'CF_3'!CM11)</x:f>
        <x:v>0</x:v>
      </x:c>
      <x:c r="CN7" s="117" t="n">
        <x:f>SUM('CF_1'!CN11,'CF_2'!CN11,'CF_3'!CN11)</x:f>
        <x:v>0</x:v>
      </x:c>
      <x:c r="CO7" s="117" t="n">
        <x:f>SUM('CF_1'!CO11,'CF_2'!CO11,'CF_3'!CO11)</x:f>
        <x:v>0</x:v>
      </x:c>
      <x:c r="CP7" s="117" t="n">
        <x:f>SUM('CF_1'!CP11,'CF_2'!CP11,'CF_3'!CP11)</x:f>
        <x:v>0</x:v>
      </x:c>
      <x:c r="CQ7" s="117" t="n">
        <x:f>SUM('CF_1'!CQ11,'CF_2'!CQ11,'CF_3'!CQ11)</x:f>
        <x:v>0</x:v>
      </x:c>
      <x:c r="CR7" s="117" t="n">
        <x:f>SUM('CF_1'!CR11,'CF_2'!CR11,'CF_3'!CR11)</x:f>
        <x:v>0</x:v>
      </x:c>
      <x:c r="CS7" s="117" t="n">
        <x:f>SUM('CF_1'!CS11,'CF_2'!CS11,'CF_3'!CS11)</x:f>
        <x:v>0</x:v>
      </x:c>
      <x:c r="CT7" s="117" t="n">
        <x:f>SUM('CF_1'!CT11,'CF_2'!CT11,'CF_3'!CT11)</x:f>
        <x:v>0</x:v>
      </x:c>
      <x:c r="CU7" s="117" t="n">
        <x:f>SUM('CF_1'!CU11,'CF_2'!CU11,'CF_3'!CU11)</x:f>
        <x:v>0</x:v>
      </x:c>
      <x:c r="CV7" s="117" t="n">
        <x:f>SUM('CF_1'!CV11,'CF_2'!CV11,'CF_3'!CV11)</x:f>
        <x:v>0</x:v>
      </x:c>
      <x:c r="CW7" s="117" t="n">
        <x:f>SUM('CF_1'!CW11,'CF_2'!CW11,'CF_3'!CW11)</x:f>
        <x:v>0</x:v>
      </x:c>
      <x:c r="CX7" s="117" t="n">
        <x:f>SUM('CF_1'!CX11,'CF_2'!CX11,'CF_3'!CX11)</x:f>
        <x:v>0</x:v>
      </x:c>
      <x:c r="CY7" s="117" t="n">
        <x:f>SUM('CF_1'!CY11,'CF_2'!CY11,'CF_3'!CY11)</x:f>
        <x:v>0</x:v>
      </x:c>
      <x:c r="CZ7" s="117" t="n">
        <x:f>SUM('CF_1'!CZ11,'CF_2'!CZ11,'CF_3'!CZ11)</x:f>
        <x:v>0</x:v>
      </x:c>
      <x:c r="DA7" s="117" t="n">
        <x:f>SUM('CF_1'!DA11,'CF_2'!DA11,'CF_3'!DA11)</x:f>
        <x:v>0</x:v>
      </x:c>
      <x:c r="DB7" s="117" t="n">
        <x:f>SUM('CF_1'!DB11,'CF_2'!DB11,'CF_3'!DB11)</x:f>
        <x:v>0</x:v>
      </x:c>
      <x:c r="DC7" s="117" t="n">
        <x:f>SUM('CF_1'!DC11,'CF_2'!DC11,'CF_3'!DC11)</x:f>
        <x:v>0</x:v>
      </x:c>
      <x:c r="DD7" s="117" t="n">
        <x:f>SUM('CF_1'!DD11,'CF_2'!DD11,'CF_3'!DD11)</x:f>
        <x:v>0</x:v>
      </x:c>
      <x:c r="DE7" s="117" t="n">
        <x:f>SUM('CF_1'!DE11,'CF_2'!DE11,'CF_3'!DE11)</x:f>
        <x:v>0</x:v>
      </x:c>
      <x:c r="DF7" s="117" t="n">
        <x:f>SUM('CF_1'!DF11,'CF_2'!DF11,'CF_3'!DF11)</x:f>
        <x:v>0</x:v>
      </x:c>
      <x:c r="DG7" s="117" t="n">
        <x:f>SUM('CF_1'!DG11,'CF_2'!DG11,'CF_3'!DG11)</x:f>
        <x:v>0</x:v>
      </x:c>
      <x:c r="DH7" s="117" t="n">
        <x:f>SUM('CF_1'!DH11,'CF_2'!DH11,'CF_3'!DH11)</x:f>
        <x:v>0</x:v>
      </x:c>
      <x:c r="DI7" s="117" t="n">
        <x:f>SUM('CF_1'!DI11,'CF_2'!DI11,'CF_3'!DI11)</x:f>
        <x:v>0</x:v>
      </x:c>
      <x:c r="DJ7" s="117" t="n">
        <x:f>SUM('CF_1'!DJ11,'CF_2'!DJ11,'CF_3'!DJ11)</x:f>
        <x:v>0</x:v>
      </x:c>
      <x:c r="DK7" s="117" t="n">
        <x:f>SUM('CF_1'!DK11,'CF_2'!DK11,'CF_3'!DK11)</x:f>
        <x:v>0</x:v>
      </x:c>
      <x:c r="DL7" s="117" t="n">
        <x:f>SUM('CF_1'!DL11,'CF_2'!DL11,'CF_3'!DL11)</x:f>
        <x:v>0</x:v>
      </x:c>
      <x:c r="DM7" s="117" t="n">
        <x:f>SUM('CF_1'!DM11,'CF_2'!DM11,'CF_3'!DM11)</x:f>
        <x:v>0</x:v>
      </x:c>
      <x:c r="DN7" s="117" t="n">
        <x:f>SUM('CF_1'!DN11,'CF_2'!DN11,'CF_3'!DN11)</x:f>
        <x:v>0</x:v>
      </x:c>
      <x:c r="DO7" s="117" t="n">
        <x:f>SUM('CF_1'!DO11,'CF_2'!DO11,'CF_3'!DO11)</x:f>
        <x:v>0</x:v>
      </x:c>
      <x:c r="DP7" s="117" t="n">
        <x:f>SUM('CF_1'!DP11,'CF_2'!DP11,'CF_3'!DP11)</x:f>
        <x:v>0</x:v>
      </x:c>
      <x:c r="DQ7" s="117" t="n">
        <x:f>SUM('CF_1'!DQ11,'CF_2'!DQ11,'CF_3'!DQ11)</x:f>
        <x:v>0</x:v>
      </x:c>
      <x:c r="DR7" s="117" t="n">
        <x:f>SUM('CF_1'!DR11,'CF_2'!DR11,'CF_3'!DR11)</x:f>
        <x:v>0</x:v>
      </x:c>
      <x:c r="DS7" s="117" t="n">
        <x:f>SUM('CF_1'!DS11,'CF_2'!DS11,'CF_3'!DS11)</x:f>
        <x:v>0</x:v>
      </x:c>
    </x:row>
    <x:row r="8">
      <x:c r="A8" t="str">
        <x:v>Раскрытие эскроу</x:v>
      </x:c>
      <x:c r="B8" t="n">
        <x:f>SUM(D8:DS8)</x:f>
        <x:v>10519.298044546515</x:v>
      </x:c>
      <x:c r="C8" t="str">
        <x:v>млн ₽</x:v>
      </x:c>
      <x:c r="D8" s="117" t="n">
        <x:f>SUM('CF_1'!D14,'CF_2'!D14,'CF_3'!D14)</x:f>
        <x:v>0</x:v>
      </x:c>
      <x:c r="E8" s="117" t="n">
        <x:f>SUM('CF_1'!E14,'CF_2'!E14,'CF_3'!E14)</x:f>
        <x:v>0</x:v>
      </x:c>
      <x:c r="F8" s="117" t="n">
        <x:f>SUM('CF_1'!F14,'CF_2'!F14,'CF_3'!F14)</x:f>
        <x:v>0</x:v>
      </x:c>
      <x:c r="G8" s="117" t="n">
        <x:f>SUM('CF_1'!G14,'CF_2'!G14,'CF_3'!G14)</x:f>
        <x:v>0</x:v>
      </x:c>
      <x:c r="H8" s="117" t="n">
        <x:f>SUM('CF_1'!H14,'CF_2'!H14,'CF_3'!H14)</x:f>
        <x:v>0</x:v>
      </x:c>
      <x:c r="I8" s="117" t="n">
        <x:f>SUM('CF_1'!I14,'CF_2'!I14,'CF_3'!I14)</x:f>
        <x:v>0</x:v>
      </x:c>
      <x:c r="J8" s="117" t="n">
        <x:f>SUM('CF_1'!J14,'CF_2'!J14,'CF_3'!J14)</x:f>
        <x:v>0</x:v>
      </x:c>
      <x:c r="K8" s="117" t="n">
        <x:f>SUM('CF_1'!K14,'CF_2'!K14,'CF_3'!K14)</x:f>
        <x:v>0</x:v>
      </x:c>
      <x:c r="L8" s="117" t="n">
        <x:f>SUM('CF_1'!L14,'CF_2'!L14,'CF_3'!L14)</x:f>
        <x:v>0</x:v>
      </x:c>
      <x:c r="M8" s="117" t="n">
        <x:f>SUM('CF_1'!M14,'CF_2'!M14,'CF_3'!M14)</x:f>
        <x:v>0</x:v>
      </x:c>
      <x:c r="N8" s="117" t="n">
        <x:f>SUM('CF_1'!N14,'CF_2'!N14,'CF_3'!N14)</x:f>
        <x:v>0</x:v>
      </x:c>
      <x:c r="O8" s="117" t="n">
        <x:f>SUM('CF_1'!O14,'CF_2'!O14,'CF_3'!O14)</x:f>
        <x:v>0</x:v>
      </x:c>
      <x:c r="P8" s="117" t="n">
        <x:f>SUM('CF_1'!P14,'CF_2'!P14,'CF_3'!P14)</x:f>
        <x:v>0</x:v>
      </x:c>
      <x:c r="Q8" s="117" t="n">
        <x:f>SUM('CF_1'!Q14,'CF_2'!Q14,'CF_3'!Q14)</x:f>
        <x:v>0</x:v>
      </x:c>
      <x:c r="R8" s="117" t="n">
        <x:f>SUM('CF_1'!R14,'CF_2'!R14,'CF_3'!R14)</x:f>
        <x:v>0</x:v>
      </x:c>
      <x:c r="S8" s="117" t="n">
        <x:f>SUM('CF_1'!S14,'CF_2'!S14,'CF_3'!S14)</x:f>
        <x:v>0</x:v>
      </x:c>
      <x:c r="T8" s="117" t="n">
        <x:f>SUM('CF_1'!T14,'CF_2'!T14,'CF_3'!T14)</x:f>
        <x:v>0</x:v>
      </x:c>
      <x:c r="U8" s="117" t="n">
        <x:f>SUM('CF_1'!U14,'CF_2'!U14,'CF_3'!U14)</x:f>
        <x:v>0</x:v>
      </x:c>
      <x:c r="V8" s="117" t="n">
        <x:f>SUM('CF_1'!V14,'CF_2'!V14,'CF_3'!V14)</x:f>
        <x:v>0</x:v>
      </x:c>
      <x:c r="W8" s="117" t="n">
        <x:f>SUM('CF_1'!W14,'CF_2'!W14,'CF_3'!W14)</x:f>
        <x:v>0</x:v>
      </x:c>
      <x:c r="X8" s="117" t="n">
        <x:f>SUM('CF_1'!X14,'CF_2'!X14,'CF_3'!X14)</x:f>
        <x:v>0</x:v>
      </x:c>
      <x:c r="Y8" s="117" t="n">
        <x:f>SUM('CF_1'!Y14,'CF_2'!Y14,'CF_3'!Y14)</x:f>
        <x:v>0</x:v>
      </x:c>
      <x:c r="Z8" s="117" t="n">
        <x:f>SUM('CF_1'!Z14,'CF_2'!Z14,'CF_3'!Z14)</x:f>
        <x:v>0</x:v>
      </x:c>
      <x:c r="AA8" s="117" t="n">
        <x:f>SUM('CF_1'!AA14,'CF_2'!AA14,'CF_3'!AA14)</x:f>
        <x:v>0</x:v>
      </x:c>
      <x:c r="AB8" s="117" t="n">
        <x:f>SUM('CF_1'!AB14,'CF_2'!AB14,'CF_3'!AB14)</x:f>
        <x:v>0</x:v>
      </x:c>
      <x:c r="AC8" s="117" t="n">
        <x:f>SUM('CF_1'!AC14,'CF_2'!AC14,'CF_3'!AC14)</x:f>
        <x:v>0</x:v>
      </x:c>
      <x:c r="AD8" s="117" t="n">
        <x:f>SUM('CF_1'!AD14,'CF_2'!AD14,'CF_3'!AD14)</x:f>
        <x:v>0</x:v>
      </x:c>
      <x:c r="AE8" s="117" t="n">
        <x:f>SUM('CF_1'!AE14,'CF_2'!AE14,'CF_3'!AE14)</x:f>
        <x:v>0</x:v>
      </x:c>
      <x:c r="AF8" s="117" t="n">
        <x:f>SUM('CF_1'!AF14,'CF_2'!AF14,'CF_3'!AF14)</x:f>
        <x:v>0</x:v>
      </x:c>
      <x:c r="AG8" s="117" t="n">
        <x:f>SUM('CF_1'!AG14,'CF_2'!AG14,'CF_3'!AG14)</x:f>
        <x:v>0</x:v>
      </x:c>
      <x:c r="AH8" s="117" t="n">
        <x:f>SUM('CF_1'!AH14,'CF_2'!AH14,'CF_3'!AH14)</x:f>
        <x:v>0</x:v>
      </x:c>
      <x:c r="AI8" s="117" t="n">
        <x:f>SUM('CF_1'!AI14,'CF_2'!AI14,'CF_3'!AI14)</x:f>
        <x:v>0</x:v>
      </x:c>
      <x:c r="AJ8" s="117" t="n">
        <x:f>SUM('CF_1'!AJ14,'CF_2'!AJ14,'CF_3'!AJ14)</x:f>
        <x:v>0</x:v>
      </x:c>
      <x:c r="AK8" s="117" t="n">
        <x:f>SUM('CF_1'!AK14,'CF_2'!AK14,'CF_3'!AK14)</x:f>
        <x:v>0</x:v>
      </x:c>
      <x:c r="AL8" s="117" t="n">
        <x:f>SUM('CF_1'!AL14,'CF_2'!AL14,'CF_3'!AL14)</x:f>
        <x:v>0</x:v>
      </x:c>
      <x:c r="AM8" s="117" t="n">
        <x:f>SUM('CF_1'!AM14,'CF_2'!AM14,'CF_3'!AM14)</x:f>
        <x:v>0</x:v>
      </x:c>
      <x:c r="AN8" s="117" t="n">
        <x:f>SUM('CF_1'!AN14,'CF_2'!AN14,'CF_3'!AN14)</x:f>
        <x:v>0</x:v>
      </x:c>
      <x:c r="AO8" s="117" t="n">
        <x:f>SUM('CF_1'!AO14,'CF_2'!AO14,'CF_3'!AO14)</x:f>
        <x:v>0</x:v>
      </x:c>
      <x:c r="AP8" s="117" t="n">
        <x:f>SUM('CF_1'!AP14,'CF_2'!AP14,'CF_3'!AP14)</x:f>
        <x:v>0</x:v>
      </x:c>
      <x:c r="AQ8" s="117" t="n">
        <x:f>SUM('CF_1'!AQ14,'CF_2'!AQ14,'CF_3'!AQ14)</x:f>
        <x:v>0</x:v>
      </x:c>
      <x:c r="AR8" s="117" t="n">
        <x:f>SUM('CF_1'!AR14,'CF_2'!AR14,'CF_3'!AR14)</x:f>
        <x:v>0</x:v>
      </x:c>
      <x:c r="AS8" s="117" t="n">
        <x:f>SUM('CF_1'!AS14,'CF_2'!AS14,'CF_3'!AS14)</x:f>
        <x:v>0</x:v>
      </x:c>
      <x:c r="AT8" s="117" t="n">
        <x:f>SUM('CF_1'!AT14,'CF_2'!AT14,'CF_3'!AT14)</x:f>
        <x:v>10519.298044546515</x:v>
      </x:c>
      <x:c r="AU8" s="117" t="n">
        <x:f>SUM('CF_1'!AU14,'CF_2'!AU14,'CF_3'!AU14)</x:f>
        <x:v>0</x:v>
      </x:c>
      <x:c r="AV8" s="117" t="n">
        <x:f>SUM('CF_1'!AV14,'CF_2'!AV14,'CF_3'!AV14)</x:f>
        <x:v>0</x:v>
      </x:c>
      <x:c r="AW8" s="117" t="n">
        <x:f>SUM('CF_1'!AW14,'CF_2'!AW14,'CF_3'!AW14)</x:f>
        <x:v>0</x:v>
      </x:c>
      <x:c r="AX8" s="117" t="n">
        <x:f>SUM('CF_1'!AX14,'CF_2'!AX14,'CF_3'!AX14)</x:f>
        <x:v>0</x:v>
      </x:c>
      <x:c r="AY8" s="117" t="n">
        <x:f>SUM('CF_1'!AY14,'CF_2'!AY14,'CF_3'!AY14)</x:f>
        <x:v>0</x:v>
      </x:c>
      <x:c r="AZ8" s="117" t="n">
        <x:f>SUM('CF_1'!AZ14,'CF_2'!AZ14,'CF_3'!AZ14)</x:f>
        <x:v>0</x:v>
      </x:c>
      <x:c r="BA8" s="117" t="n">
        <x:f>SUM('CF_1'!BA14,'CF_2'!BA14,'CF_3'!BA14)</x:f>
        <x:v>0</x:v>
      </x:c>
      <x:c r="BB8" s="117" t="n">
        <x:f>SUM('CF_1'!BB14,'CF_2'!BB14,'CF_3'!BB14)</x:f>
        <x:v>0</x:v>
      </x:c>
      <x:c r="BC8" s="117" t="n">
        <x:f>SUM('CF_1'!BC14,'CF_2'!BC14,'CF_3'!BC14)</x:f>
        <x:v>0</x:v>
      </x:c>
      <x:c r="BD8" s="117" t="n">
        <x:f>SUM('CF_1'!BD14,'CF_2'!BD14,'CF_3'!BD14)</x:f>
        <x:v>0</x:v>
      </x:c>
      <x:c r="BE8" s="117" t="n">
        <x:f>SUM('CF_1'!BE14,'CF_2'!BE14,'CF_3'!BE14)</x:f>
        <x:v>0</x:v>
      </x:c>
      <x:c r="BF8" s="117" t="n">
        <x:f>SUM('CF_1'!BF14,'CF_2'!BF14,'CF_3'!BF14)</x:f>
        <x:v>0</x:v>
      </x:c>
      <x:c r="BG8" s="117" t="n">
        <x:f>SUM('CF_1'!BG14,'CF_2'!BG14,'CF_3'!BG14)</x:f>
        <x:v>0</x:v>
      </x:c>
      <x:c r="BH8" s="117" t="n">
        <x:f>SUM('CF_1'!BH14,'CF_2'!BH14,'CF_3'!BH14)</x:f>
        <x:v>0</x:v>
      </x:c>
      <x:c r="BI8" s="117" t="n">
        <x:f>SUM('CF_1'!BI14,'CF_2'!BI14,'CF_3'!BI14)</x:f>
        <x:v>0</x:v>
      </x:c>
      <x:c r="BJ8" s="117" t="n">
        <x:f>SUM('CF_1'!BJ14,'CF_2'!BJ14,'CF_3'!BJ14)</x:f>
        <x:v>0</x:v>
      </x:c>
      <x:c r="BK8" s="117" t="n">
        <x:f>SUM('CF_1'!BK14,'CF_2'!BK14,'CF_3'!BK14)</x:f>
        <x:v>0</x:v>
      </x:c>
      <x:c r="BL8" s="117" t="n">
        <x:f>SUM('CF_1'!BL14,'CF_2'!BL14,'CF_3'!BL14)</x:f>
        <x:v>0</x:v>
      </x:c>
      <x:c r="BM8" s="117" t="n">
        <x:f>SUM('CF_1'!BM14,'CF_2'!BM14,'CF_3'!BM14)</x:f>
        <x:v>0</x:v>
      </x:c>
      <x:c r="BN8" s="117" t="n">
        <x:f>SUM('CF_1'!BN14,'CF_2'!BN14,'CF_3'!BN14)</x:f>
        <x:v>0</x:v>
      </x:c>
      <x:c r="BO8" s="117" t="n">
        <x:f>SUM('CF_1'!BO14,'CF_2'!BO14,'CF_3'!BO14)</x:f>
        <x:v>0</x:v>
      </x:c>
      <x:c r="BP8" s="117" t="n">
        <x:f>SUM('CF_1'!BP14,'CF_2'!BP14,'CF_3'!BP14)</x:f>
        <x:v>0</x:v>
      </x:c>
      <x:c r="BQ8" s="117" t="n">
        <x:f>SUM('CF_1'!BQ14,'CF_2'!BQ14,'CF_3'!BQ14)</x:f>
        <x:v>0</x:v>
      </x:c>
      <x:c r="BR8" s="117" t="n">
        <x:f>SUM('CF_1'!BR14,'CF_2'!BR14,'CF_3'!BR14)</x:f>
        <x:v>0</x:v>
      </x:c>
      <x:c r="BS8" s="117" t="n">
        <x:f>SUM('CF_1'!BS14,'CF_2'!BS14,'CF_3'!BS14)</x:f>
        <x:v>0</x:v>
      </x:c>
      <x:c r="BT8" s="117" t="n">
        <x:f>SUM('CF_1'!BT14,'CF_2'!BT14,'CF_3'!BT14)</x:f>
        <x:v>0</x:v>
      </x:c>
      <x:c r="BU8" s="117" t="n">
        <x:f>SUM('CF_1'!BU14,'CF_2'!BU14,'CF_3'!BU14)</x:f>
        <x:v>0</x:v>
      </x:c>
      <x:c r="BV8" s="117" t="n">
        <x:f>SUM('CF_1'!BV14,'CF_2'!BV14,'CF_3'!BV14)</x:f>
        <x:v>0</x:v>
      </x:c>
      <x:c r="BW8" s="117" t="n">
        <x:f>SUM('CF_1'!BW14,'CF_2'!BW14,'CF_3'!BW14)</x:f>
        <x:v>0</x:v>
      </x:c>
      <x:c r="BX8" s="117" t="n">
        <x:f>SUM('CF_1'!BX14,'CF_2'!BX14,'CF_3'!BX14)</x:f>
        <x:v>0</x:v>
      </x:c>
      <x:c r="BY8" s="117" t="n">
        <x:f>SUM('CF_1'!BY14,'CF_2'!BY14,'CF_3'!BY14)</x:f>
        <x:v>0</x:v>
      </x:c>
      <x:c r="BZ8" s="117" t="n">
        <x:f>SUM('CF_1'!BZ14,'CF_2'!BZ14,'CF_3'!BZ14)</x:f>
        <x:v>0</x:v>
      </x:c>
      <x:c r="CA8" s="117" t="n">
        <x:f>SUM('CF_1'!CA14,'CF_2'!CA14,'CF_3'!CA14)</x:f>
        <x:v>0</x:v>
      </x:c>
      <x:c r="CB8" s="117" t="n">
        <x:f>SUM('CF_1'!CB14,'CF_2'!CB14,'CF_3'!CB14)</x:f>
        <x:v>0</x:v>
      </x:c>
      <x:c r="CC8" s="117" t="n">
        <x:f>SUM('CF_1'!CC14,'CF_2'!CC14,'CF_3'!CC14)</x:f>
        <x:v>0</x:v>
      </x:c>
      <x:c r="CD8" s="117" t="n">
        <x:f>SUM('CF_1'!CD14,'CF_2'!CD14,'CF_3'!CD14)</x:f>
        <x:v>0</x:v>
      </x:c>
      <x:c r="CE8" s="117" t="n">
        <x:f>SUM('CF_1'!CE14,'CF_2'!CE14,'CF_3'!CE14)</x:f>
        <x:v>0</x:v>
      </x:c>
      <x:c r="CF8" s="117" t="n">
        <x:f>SUM('CF_1'!CF14,'CF_2'!CF14,'CF_3'!CF14)</x:f>
        <x:v>0</x:v>
      </x:c>
      <x:c r="CG8" s="117" t="n">
        <x:f>SUM('CF_1'!CG14,'CF_2'!CG14,'CF_3'!CG14)</x:f>
        <x:v>0</x:v>
      </x:c>
      <x:c r="CH8" s="117" t="n">
        <x:f>SUM('CF_1'!CH14,'CF_2'!CH14,'CF_3'!CH14)</x:f>
        <x:v>0</x:v>
      </x:c>
      <x:c r="CI8" s="117" t="n">
        <x:f>SUM('CF_1'!CI14,'CF_2'!CI14,'CF_3'!CI14)</x:f>
        <x:v>0</x:v>
      </x:c>
      <x:c r="CJ8" s="117" t="n">
        <x:f>SUM('CF_1'!CJ14,'CF_2'!CJ14,'CF_3'!CJ14)</x:f>
        <x:v>0</x:v>
      </x:c>
      <x:c r="CK8" s="117" t="n">
        <x:f>SUM('CF_1'!CK14,'CF_2'!CK14,'CF_3'!CK14)</x:f>
        <x:v>0</x:v>
      </x:c>
      <x:c r="CL8" s="117" t="n">
        <x:f>SUM('CF_1'!CL14,'CF_2'!CL14,'CF_3'!CL14)</x:f>
        <x:v>0</x:v>
      </x:c>
      <x:c r="CM8" s="117" t="n">
        <x:f>SUM('CF_1'!CM14,'CF_2'!CM14,'CF_3'!CM14)</x:f>
        <x:v>0</x:v>
      </x:c>
      <x:c r="CN8" s="117" t="n">
        <x:f>SUM('CF_1'!CN14,'CF_2'!CN14,'CF_3'!CN14)</x:f>
        <x:v>0</x:v>
      </x:c>
      <x:c r="CO8" s="117" t="n">
        <x:f>SUM('CF_1'!CO14,'CF_2'!CO14,'CF_3'!CO14)</x:f>
        <x:v>0</x:v>
      </x:c>
      <x:c r="CP8" s="117" t="n">
        <x:f>SUM('CF_1'!CP14,'CF_2'!CP14,'CF_3'!CP14)</x:f>
        <x:v>0</x:v>
      </x:c>
      <x:c r="CQ8" s="117" t="n">
        <x:f>SUM('CF_1'!CQ14,'CF_2'!CQ14,'CF_3'!CQ14)</x:f>
        <x:v>0</x:v>
      </x:c>
      <x:c r="CR8" s="117" t="n">
        <x:f>SUM('CF_1'!CR14,'CF_2'!CR14,'CF_3'!CR14)</x:f>
        <x:v>0</x:v>
      </x:c>
      <x:c r="CS8" s="117" t="n">
        <x:f>SUM('CF_1'!CS14,'CF_2'!CS14,'CF_3'!CS14)</x:f>
        <x:v>0</x:v>
      </x:c>
      <x:c r="CT8" s="117" t="n">
        <x:f>SUM('CF_1'!CT14,'CF_2'!CT14,'CF_3'!CT14)</x:f>
        <x:v>0</x:v>
      </x:c>
      <x:c r="CU8" s="117" t="n">
        <x:f>SUM('CF_1'!CU14,'CF_2'!CU14,'CF_3'!CU14)</x:f>
        <x:v>0</x:v>
      </x:c>
      <x:c r="CV8" s="117" t="n">
        <x:f>SUM('CF_1'!CV14,'CF_2'!CV14,'CF_3'!CV14)</x:f>
        <x:v>0</x:v>
      </x:c>
      <x:c r="CW8" s="117" t="n">
        <x:f>SUM('CF_1'!CW14,'CF_2'!CW14,'CF_3'!CW14)</x:f>
        <x:v>0</x:v>
      </x:c>
      <x:c r="CX8" s="117" t="n">
        <x:f>SUM('CF_1'!CX14,'CF_2'!CX14,'CF_3'!CX14)</x:f>
        <x:v>0</x:v>
      </x:c>
      <x:c r="CY8" s="117" t="n">
        <x:f>SUM('CF_1'!CY14,'CF_2'!CY14,'CF_3'!CY14)</x:f>
        <x:v>0</x:v>
      </x:c>
      <x:c r="CZ8" s="117" t="n">
        <x:f>SUM('CF_1'!CZ14,'CF_2'!CZ14,'CF_3'!CZ14)</x:f>
        <x:v>0</x:v>
      </x:c>
      <x:c r="DA8" s="117" t="n">
        <x:f>SUM('CF_1'!DA14,'CF_2'!DA14,'CF_3'!DA14)</x:f>
        <x:v>0</x:v>
      </x:c>
      <x:c r="DB8" s="117" t="n">
        <x:f>SUM('CF_1'!DB14,'CF_2'!DB14,'CF_3'!DB14)</x:f>
        <x:v>0</x:v>
      </x:c>
      <x:c r="DC8" s="117" t="n">
        <x:f>SUM('CF_1'!DC14,'CF_2'!DC14,'CF_3'!DC14)</x:f>
        <x:v>0</x:v>
      </x:c>
      <x:c r="DD8" s="117" t="n">
        <x:f>SUM('CF_1'!DD14,'CF_2'!DD14,'CF_3'!DD14)</x:f>
        <x:v>0</x:v>
      </x:c>
      <x:c r="DE8" s="117" t="n">
        <x:f>SUM('CF_1'!DE14,'CF_2'!DE14,'CF_3'!DE14)</x:f>
        <x:v>0</x:v>
      </x:c>
      <x:c r="DF8" s="117" t="n">
        <x:f>SUM('CF_1'!DF14,'CF_2'!DF14,'CF_3'!DF14)</x:f>
        <x:v>0</x:v>
      </x:c>
      <x:c r="DG8" s="117" t="n">
        <x:f>SUM('CF_1'!DG14,'CF_2'!DG14,'CF_3'!DG14)</x:f>
        <x:v>0</x:v>
      </x:c>
      <x:c r="DH8" s="117" t="n">
        <x:f>SUM('CF_1'!DH14,'CF_2'!DH14,'CF_3'!DH14)</x:f>
        <x:v>0</x:v>
      </x:c>
      <x:c r="DI8" s="117" t="n">
        <x:f>SUM('CF_1'!DI14,'CF_2'!DI14,'CF_3'!DI14)</x:f>
        <x:v>0</x:v>
      </x:c>
      <x:c r="DJ8" s="117" t="n">
        <x:f>SUM('CF_1'!DJ14,'CF_2'!DJ14,'CF_3'!DJ14)</x:f>
        <x:v>0</x:v>
      </x:c>
      <x:c r="DK8" s="117" t="n">
        <x:f>SUM('CF_1'!DK14,'CF_2'!DK14,'CF_3'!DK14)</x:f>
        <x:v>0</x:v>
      </x:c>
      <x:c r="DL8" s="117" t="n">
        <x:f>SUM('CF_1'!DL14,'CF_2'!DL14,'CF_3'!DL14)</x:f>
        <x:v>0</x:v>
      </x:c>
      <x:c r="DM8" s="117" t="n">
        <x:f>SUM('CF_1'!DM14,'CF_2'!DM14,'CF_3'!DM14)</x:f>
        <x:v>0</x:v>
      </x:c>
      <x:c r="DN8" s="117" t="n">
        <x:f>SUM('CF_1'!DN14,'CF_2'!DN14,'CF_3'!DN14)</x:f>
        <x:v>0</x:v>
      </x:c>
      <x:c r="DO8" s="117" t="n">
        <x:f>SUM('CF_1'!DO14,'CF_2'!DO14,'CF_3'!DO14)</x:f>
        <x:v>0</x:v>
      </x:c>
      <x:c r="DP8" s="117" t="n">
        <x:f>SUM('CF_1'!DP14,'CF_2'!DP14,'CF_3'!DP14)</x:f>
        <x:v>0</x:v>
      </x:c>
      <x:c r="DQ8" s="117" t="n">
        <x:f>SUM('CF_1'!DQ14,'CF_2'!DQ14,'CF_3'!DQ14)</x:f>
        <x:v>0</x:v>
      </x:c>
      <x:c r="DR8" s="117" t="n">
        <x:f>SUM('CF_1'!DR14,'CF_2'!DR14,'CF_3'!DR14)</x:f>
        <x:v>0</x:v>
      </x:c>
      <x:c r="DS8" s="117" t="n">
        <x:f>SUM('CF_1'!DS14,'CF_2'!DS14,'CF_3'!DS14)</x:f>
        <x:v>0</x:v>
      </x:c>
    </x:row>
    <x:row r="9">
      <x:c r="A9" t="str">
        <x:v>Эскроу на конец</x:v>
      </x:c>
      <x:c r="B9" t="n">
        <x:f>DS9</x:f>
        <x:v>0</x:v>
      </x:c>
      <x:c r="C9" t="str">
        <x:v>млн ₽</x:v>
      </x:c>
      <x:c r="D9" s="117" t="n">
        <x:f>SUM('CF_1'!D15,'CF_2'!D15,'CF_3'!D15)</x:f>
        <x:v>0</x:v>
      </x:c>
      <x:c r="E9" s="117" t="n">
        <x:f>SUM('CF_1'!E15,'CF_2'!E15,'CF_3'!E15)</x:f>
        <x:v>0</x:v>
      </x:c>
      <x:c r="F9" s="117" t="n">
        <x:f>SUM('CF_1'!F15,'CF_2'!F15,'CF_3'!F15)</x:f>
        <x:v>0</x:v>
      </x:c>
      <x:c r="G9" s="117" t="n">
        <x:f>SUM('CF_1'!G15,'CF_2'!G15,'CF_3'!G15)</x:f>
        <x:v>0</x:v>
      </x:c>
      <x:c r="H9" s="117" t="n">
        <x:f>SUM('CF_1'!H15,'CF_2'!H15,'CF_3'!H15)</x:f>
        <x:v>0</x:v>
      </x:c>
      <x:c r="I9" s="117" t="n">
        <x:f>SUM('CF_1'!I15,'CF_2'!I15,'CF_3'!I15)</x:f>
        <x:v>0</x:v>
      </x:c>
      <x:c r="J9" s="117" t="n">
        <x:f>SUM('CF_1'!J15,'CF_2'!J15,'CF_3'!J15)</x:f>
        <x:v>0</x:v>
      </x:c>
      <x:c r="K9" s="117" t="n">
        <x:f>SUM('CF_1'!K15,'CF_2'!K15,'CF_3'!K15)</x:f>
        <x:v>0</x:v>
      </x:c>
      <x:c r="L9" s="117" t="n">
        <x:f>SUM('CF_1'!L15,'CF_2'!L15,'CF_3'!L15)</x:f>
        <x:v>0</x:v>
      </x:c>
      <x:c r="M9" s="117" t="n">
        <x:f>SUM('CF_1'!M15,'CF_2'!M15,'CF_3'!M15)</x:f>
        <x:v>0</x:v>
      </x:c>
      <x:c r="N9" s="117" t="n">
        <x:f>SUM('CF_1'!N15,'CF_2'!N15,'CF_3'!N15)</x:f>
        <x:v>0</x:v>
      </x:c>
      <x:c r="O9" s="117" t="n">
        <x:f>SUM('CF_1'!O15,'CF_2'!O15,'CF_3'!O15)</x:f>
        <x:v>0</x:v>
      </x:c>
      <x:c r="P9" s="117" t="n">
        <x:f>SUM('CF_1'!P15,'CF_2'!P15,'CF_3'!P15)</x:f>
        <x:v>0</x:v>
      </x:c>
      <x:c r="Q9" s="117" t="n">
        <x:f>SUM('CF_1'!Q15,'CF_2'!Q15,'CF_3'!Q15)</x:f>
        <x:v>0</x:v>
      </x:c>
      <x:c r="R9" s="117" t="n">
        <x:f>SUM('CF_1'!R15,'CF_2'!R15,'CF_3'!R15)</x:f>
        <x:v>0</x:v>
      </x:c>
      <x:c r="S9" s="117" t="n">
        <x:f>SUM('CF_1'!S15,'CF_2'!S15,'CF_3'!S15)</x:f>
        <x:v>0</x:v>
      </x:c>
      <x:c r="T9" s="117" t="n">
        <x:f>SUM('CF_1'!T15,'CF_2'!T15,'CF_3'!T15)</x:f>
        <x:v>0</x:v>
      </x:c>
      <x:c r="U9" s="117" t="n">
        <x:f>SUM('CF_1'!U15,'CF_2'!U15,'CF_3'!U15)</x:f>
        <x:v>0</x:v>
      </x:c>
      <x:c r="V9" s="117" t="n">
        <x:f>SUM('CF_1'!V15,'CF_2'!V15,'CF_3'!V15)</x:f>
        <x:v>294.3833179708191</x:v>
      </x:c>
      <x:c r="W9" s="117" t="n">
        <x:f>SUM('CF_1'!W15,'CF_2'!W15,'CF_3'!W15)</x:f>
        <x:v>596.1703763886043</x:v>
      </x:c>
      <x:c r="X9" s="117" t="n">
        <x:f>SUM('CF_1'!X15,'CF_2'!X15,'CF_3'!X15)</x:f>
        <x:v>960.1433210203601</x:v>
      </x:c>
      <x:c r="Y9" s="117" t="n">
        <x:f>SUM('CF_1'!Y15,'CF_2'!Y15,'CF_3'!Y15)</x:f>
        <x:v>1333.2701852096045</x:v>
      </x:c>
      <x:c r="Z9" s="117" t="n">
        <x:f>SUM('CF_1'!Z15,'CF_2'!Z15,'CF_3'!Z15)</x:f>
        <x:v>1715.7811900332085</x:v>
      </x:c>
      <x:c r="AA9" s="117" t="n">
        <x:f>SUM('CF_1'!AA15,'CF_2'!AA15,'CF_3'!AA15)</x:f>
        <x:v>2107.912346628126</x:v>
      </x:c>
      <x:c r="AB9" s="117" t="n">
        <x:f>SUM('CF_1'!AB15,'CF_2'!AB15,'CF_3'!AB15)</x:f>
        <x:v>2449.606613533914</x:v>
      </x:c>
      <x:c r="AC9" s="117" t="n">
        <x:f>SUM('CF_1'!AC15,'CF_2'!AC15,'CF_3'!AC15)</x:f>
        <x:v>2861.709999085053</x:v>
      </x:c>
      <x:c r="AD9" s="117" t="n">
        <x:f>SUM('CF_1'!AD15,'CF_2'!AD15,'CF_3'!AD15)</x:f>
        <x:v>3284.1777847828034</x:v>
      </x:c>
      <x:c r="AE9" s="117" t="n">
        <x:f>SUM('CF_1'!AE15,'CF_2'!AE15,'CF_3'!AE15)</x:f>
        <x:v>3717.2706352908517</x:v>
      </x:c>
      <x:c r="AF9" s="117" t="n">
        <x:f>SUM('CF_1'!AF15,'CF_2'!AF15,'CF_3'!AF15)</x:f>
        <x:v>4094.658000634429</x:v>
      </x:c>
      <x:c r="AG9" s="117" t="n">
        <x:f>SUM('CF_1'!AG15,'CF_2'!AG15,'CF_3'!AG15)</x:f>
        <x:v>4481.536658216397</x:v>
      </x:c>
      <x:c r="AH9" s="117" t="n">
        <x:f>SUM('CF_1'!AH15,'CF_2'!AH15,'CF_3'!AH15)</x:f>
        <x:v>4878.145314036551</x:v>
      </x:c>
      <x:c r="AI9" s="117" t="n">
        <x:f>SUM('CF_1'!AI15,'CF_2'!AI15,'CF_3'!AI15)</x:f>
        <x:v>5284.728677550583</x:v>
      </x:c>
      <x:c r="AJ9" s="117" t="n">
        <x:f>SUM('CF_1'!AJ15,'CF_2'!AJ15,'CF_3'!AJ15)</x:f>
        <x:v>5775.092130616947</x:v>
      </x:c>
      <x:c r="AK9" s="117" t="n">
        <x:f>SUM('CF_1'!AK15,'CF_2'!AK15,'CF_3'!AK15)</x:f>
        <x:v>6277.78822452793</x:v>
      </x:c>
      <x:c r="AL9" s="117" t="n">
        <x:f>SUM('CF_1'!AL15,'CF_2'!AL15,'CF_3'!AL15)</x:f>
        <x:v>6793.127125200774</x:v>
      </x:c>
      <x:c r="AM9" s="117" t="n">
        <x:f>SUM('CF_1'!AM15,'CF_2'!AM15,'CF_3'!AM15)</x:f>
        <x:v>7321.426799225539</x:v>
      </x:c>
      <x:c r="AN9" s="117" t="n">
        <x:f>SUM('CF_1'!AN15,'CF_2'!AN15,'CF_3'!AN15)</x:f>
        <x:v>7781.7752484280545</x:v>
      </x:c>
      <x:c r="AO9" s="117" t="n">
        <x:f>SUM('CF_1'!AO15,'CF_2'!AO15,'CF_3'!AO15)</x:f>
        <x:v>8336.98255748683</x:v>
      </x:c>
      <x:c r="AP9" s="117" t="n">
        <x:f>SUM('CF_1'!AP15,'CF_2'!AP15,'CF_3'!AP15)</x:f>
        <x:v>8906.153330368434</x:v>
      </x:c>
      <x:c r="AQ9" s="117" t="n">
        <x:f>SUM('CF_1'!AQ15,'CF_2'!AQ15,'CF_3'!AQ15)</x:f>
        <x:v>9489.638748188008</x:v>
      </x:c>
      <x:c r="AR9" s="117" t="n">
        <x:f>SUM('CF_1'!AR15,'CF_2'!AR15,'CF_3'!AR15)</x:f>
        <x:v>9998.074812854085</x:v>
      </x:c>
      <x:c r="AS9" s="117" t="n">
        <x:f>SUM('CF_1'!AS15,'CF_2'!AS15,'CF_3'!AS15)</x:f>
        <x:v>10519.298044546515</x:v>
      </x:c>
      <x:c r="AT9" s="117" t="n">
        <x:f>SUM('CF_1'!AT15,'CF_2'!AT15,'CF_3'!AT15)</x:f>
        <x:v>0</x:v>
      </x:c>
      <x:c r="AU9" s="117" t="n">
        <x:f>SUM('CF_1'!AU15,'CF_2'!AU15,'CF_3'!AU15)</x:f>
        <x:v>0</x:v>
      </x:c>
      <x:c r="AV9" s="117" t="n">
        <x:f>SUM('CF_1'!AV15,'CF_2'!AV15,'CF_3'!AV15)</x:f>
        <x:v>0</x:v>
      </x:c>
      <x:c r="AW9" s="117" t="n">
        <x:f>SUM('CF_1'!AW15,'CF_2'!AW15,'CF_3'!AW15)</x:f>
        <x:v>0</x:v>
      </x:c>
      <x:c r="AX9" s="117" t="n">
        <x:f>SUM('CF_1'!AX15,'CF_2'!AX15,'CF_3'!AX15)</x:f>
        <x:v>0</x:v>
      </x:c>
      <x:c r="AY9" s="117" t="n">
        <x:f>SUM('CF_1'!AY15,'CF_2'!AY15,'CF_3'!AY15)</x:f>
        <x:v>0</x:v>
      </x:c>
      <x:c r="AZ9" s="117" t="n">
        <x:f>SUM('CF_1'!AZ15,'CF_2'!AZ15,'CF_3'!AZ15)</x:f>
        <x:v>0</x:v>
      </x:c>
      <x:c r="BA9" s="117" t="n">
        <x:f>SUM('CF_1'!BA15,'CF_2'!BA15,'CF_3'!BA15)</x:f>
        <x:v>0</x:v>
      </x:c>
      <x:c r="BB9" s="117" t="n">
        <x:f>SUM('CF_1'!BB15,'CF_2'!BB15,'CF_3'!BB15)</x:f>
        <x:v>0</x:v>
      </x:c>
      <x:c r="BC9" s="117" t="n">
        <x:f>SUM('CF_1'!BC15,'CF_2'!BC15,'CF_3'!BC15)</x:f>
        <x:v>0</x:v>
      </x:c>
      <x:c r="BD9" s="117" t="n">
        <x:f>SUM('CF_1'!BD15,'CF_2'!BD15,'CF_3'!BD15)</x:f>
        <x:v>0</x:v>
      </x:c>
      <x:c r="BE9" s="117" t="n">
        <x:f>SUM('CF_1'!BE15,'CF_2'!BE15,'CF_3'!BE15)</x:f>
        <x:v>0</x:v>
      </x:c>
      <x:c r="BF9" s="117" t="n">
        <x:f>SUM('CF_1'!BF15,'CF_2'!BF15,'CF_3'!BF15)</x:f>
        <x:v>0</x:v>
      </x:c>
      <x:c r="BG9" s="117" t="n">
        <x:f>SUM('CF_1'!BG15,'CF_2'!BG15,'CF_3'!BG15)</x:f>
        <x:v>0</x:v>
      </x:c>
      <x:c r="BH9" s="117" t="n">
        <x:f>SUM('CF_1'!BH15,'CF_2'!BH15,'CF_3'!BH15)</x:f>
        <x:v>0</x:v>
      </x:c>
      <x:c r="BI9" s="117" t="n">
        <x:f>SUM('CF_1'!BI15,'CF_2'!BI15,'CF_3'!BI15)</x:f>
        <x:v>0</x:v>
      </x:c>
      <x:c r="BJ9" s="117" t="n">
        <x:f>SUM('CF_1'!BJ15,'CF_2'!BJ15,'CF_3'!BJ15)</x:f>
        <x:v>0</x:v>
      </x:c>
      <x:c r="BK9" s="117" t="n">
        <x:f>SUM('CF_1'!BK15,'CF_2'!BK15,'CF_3'!BK15)</x:f>
        <x:v>0</x:v>
      </x:c>
      <x:c r="BL9" s="117" t="n">
        <x:f>SUM('CF_1'!BL15,'CF_2'!BL15,'CF_3'!BL15)</x:f>
        <x:v>0</x:v>
      </x:c>
      <x:c r="BM9" s="117" t="n">
        <x:f>SUM('CF_1'!BM15,'CF_2'!BM15,'CF_3'!BM15)</x:f>
        <x:v>0</x:v>
      </x:c>
      <x:c r="BN9" s="117" t="n">
        <x:f>SUM('CF_1'!BN15,'CF_2'!BN15,'CF_3'!BN15)</x:f>
        <x:v>0</x:v>
      </x:c>
      <x:c r="BO9" s="117" t="n">
        <x:f>SUM('CF_1'!BO15,'CF_2'!BO15,'CF_3'!BO15)</x:f>
        <x:v>0</x:v>
      </x:c>
      <x:c r="BP9" s="117" t="n">
        <x:f>SUM('CF_1'!BP15,'CF_2'!BP15,'CF_3'!BP15)</x:f>
        <x:v>0</x:v>
      </x:c>
      <x:c r="BQ9" s="117" t="n">
        <x:f>SUM('CF_1'!BQ15,'CF_2'!BQ15,'CF_3'!BQ15)</x:f>
        <x:v>0</x:v>
      </x:c>
      <x:c r="BR9" s="117" t="n">
        <x:f>SUM('CF_1'!BR15,'CF_2'!BR15,'CF_3'!BR15)</x:f>
        <x:v>0</x:v>
      </x:c>
      <x:c r="BS9" s="117" t="n">
        <x:f>SUM('CF_1'!BS15,'CF_2'!BS15,'CF_3'!BS15)</x:f>
        <x:v>0</x:v>
      </x:c>
      <x:c r="BT9" s="117" t="n">
        <x:f>SUM('CF_1'!BT15,'CF_2'!BT15,'CF_3'!BT15)</x:f>
        <x:v>0</x:v>
      </x:c>
      <x:c r="BU9" s="117" t="n">
        <x:f>SUM('CF_1'!BU15,'CF_2'!BU15,'CF_3'!BU15)</x:f>
        <x:v>0</x:v>
      </x:c>
      <x:c r="BV9" s="117" t="n">
        <x:f>SUM('CF_1'!BV15,'CF_2'!BV15,'CF_3'!BV15)</x:f>
        <x:v>0</x:v>
      </x:c>
      <x:c r="BW9" s="117" t="n">
        <x:f>SUM('CF_1'!BW15,'CF_2'!BW15,'CF_3'!BW15)</x:f>
        <x:v>0</x:v>
      </x:c>
      <x:c r="BX9" s="117" t="n">
        <x:f>SUM('CF_1'!BX15,'CF_2'!BX15,'CF_3'!BX15)</x:f>
        <x:v>0</x:v>
      </x:c>
      <x:c r="BY9" s="117" t="n">
        <x:f>SUM('CF_1'!BY15,'CF_2'!BY15,'CF_3'!BY15)</x:f>
        <x:v>0</x:v>
      </x:c>
      <x:c r="BZ9" s="117" t="n">
        <x:f>SUM('CF_1'!BZ15,'CF_2'!BZ15,'CF_3'!BZ15)</x:f>
        <x:v>0</x:v>
      </x:c>
      <x:c r="CA9" s="117" t="n">
        <x:f>SUM('CF_1'!CA15,'CF_2'!CA15,'CF_3'!CA15)</x:f>
        <x:v>0</x:v>
      </x:c>
      <x:c r="CB9" s="117" t="n">
        <x:f>SUM('CF_1'!CB15,'CF_2'!CB15,'CF_3'!CB15)</x:f>
        <x:v>0</x:v>
      </x:c>
      <x:c r="CC9" s="117" t="n">
        <x:f>SUM('CF_1'!CC15,'CF_2'!CC15,'CF_3'!CC15)</x:f>
        <x:v>0</x:v>
      </x:c>
      <x:c r="CD9" s="117" t="n">
        <x:f>SUM('CF_1'!CD15,'CF_2'!CD15,'CF_3'!CD15)</x:f>
        <x:v>0</x:v>
      </x:c>
      <x:c r="CE9" s="117" t="n">
        <x:f>SUM('CF_1'!CE15,'CF_2'!CE15,'CF_3'!CE15)</x:f>
        <x:v>0</x:v>
      </x:c>
      <x:c r="CF9" s="117" t="n">
        <x:f>SUM('CF_1'!CF15,'CF_2'!CF15,'CF_3'!CF15)</x:f>
        <x:v>0</x:v>
      </x:c>
      <x:c r="CG9" s="117" t="n">
        <x:f>SUM('CF_1'!CG15,'CF_2'!CG15,'CF_3'!CG15)</x:f>
        <x:v>0</x:v>
      </x:c>
      <x:c r="CH9" s="117" t="n">
        <x:f>SUM('CF_1'!CH15,'CF_2'!CH15,'CF_3'!CH15)</x:f>
        <x:v>0</x:v>
      </x:c>
      <x:c r="CI9" s="117" t="n">
        <x:f>SUM('CF_1'!CI15,'CF_2'!CI15,'CF_3'!CI15)</x:f>
        <x:v>0</x:v>
      </x:c>
      <x:c r="CJ9" s="117" t="n">
        <x:f>SUM('CF_1'!CJ15,'CF_2'!CJ15,'CF_3'!CJ15)</x:f>
        <x:v>0</x:v>
      </x:c>
      <x:c r="CK9" s="117" t="n">
        <x:f>SUM('CF_1'!CK15,'CF_2'!CK15,'CF_3'!CK15)</x:f>
        <x:v>0</x:v>
      </x:c>
      <x:c r="CL9" s="117" t="n">
        <x:f>SUM('CF_1'!CL15,'CF_2'!CL15,'CF_3'!CL15)</x:f>
        <x:v>0</x:v>
      </x:c>
      <x:c r="CM9" s="117" t="n">
        <x:f>SUM('CF_1'!CM15,'CF_2'!CM15,'CF_3'!CM15)</x:f>
        <x:v>0</x:v>
      </x:c>
      <x:c r="CN9" s="117" t="n">
        <x:f>SUM('CF_1'!CN15,'CF_2'!CN15,'CF_3'!CN15)</x:f>
        <x:v>0</x:v>
      </x:c>
      <x:c r="CO9" s="117" t="n">
        <x:f>SUM('CF_1'!CO15,'CF_2'!CO15,'CF_3'!CO15)</x:f>
        <x:v>0</x:v>
      </x:c>
      <x:c r="CP9" s="117" t="n">
        <x:f>SUM('CF_1'!CP15,'CF_2'!CP15,'CF_3'!CP15)</x:f>
        <x:v>0</x:v>
      </x:c>
      <x:c r="CQ9" s="117" t="n">
        <x:f>SUM('CF_1'!CQ15,'CF_2'!CQ15,'CF_3'!CQ15)</x:f>
        <x:v>0</x:v>
      </x:c>
      <x:c r="CR9" s="117" t="n">
        <x:f>SUM('CF_1'!CR15,'CF_2'!CR15,'CF_3'!CR15)</x:f>
        <x:v>0</x:v>
      </x:c>
      <x:c r="CS9" s="117" t="n">
        <x:f>SUM('CF_1'!CS15,'CF_2'!CS15,'CF_3'!CS15)</x:f>
        <x:v>0</x:v>
      </x:c>
      <x:c r="CT9" s="117" t="n">
        <x:f>SUM('CF_1'!CT15,'CF_2'!CT15,'CF_3'!CT15)</x:f>
        <x:v>0</x:v>
      </x:c>
      <x:c r="CU9" s="117" t="n">
        <x:f>SUM('CF_1'!CU15,'CF_2'!CU15,'CF_3'!CU15)</x:f>
        <x:v>0</x:v>
      </x:c>
      <x:c r="CV9" s="117" t="n">
        <x:f>SUM('CF_1'!CV15,'CF_2'!CV15,'CF_3'!CV15)</x:f>
        <x:v>0</x:v>
      </x:c>
      <x:c r="CW9" s="117" t="n">
        <x:f>SUM('CF_1'!CW15,'CF_2'!CW15,'CF_3'!CW15)</x:f>
        <x:v>0</x:v>
      </x:c>
      <x:c r="CX9" s="117" t="n">
        <x:f>SUM('CF_1'!CX15,'CF_2'!CX15,'CF_3'!CX15)</x:f>
        <x:v>0</x:v>
      </x:c>
      <x:c r="CY9" s="117" t="n">
        <x:f>SUM('CF_1'!CY15,'CF_2'!CY15,'CF_3'!CY15)</x:f>
        <x:v>0</x:v>
      </x:c>
      <x:c r="CZ9" s="117" t="n">
        <x:f>SUM('CF_1'!CZ15,'CF_2'!CZ15,'CF_3'!CZ15)</x:f>
        <x:v>0</x:v>
      </x:c>
      <x:c r="DA9" s="117" t="n">
        <x:f>SUM('CF_1'!DA15,'CF_2'!DA15,'CF_3'!DA15)</x:f>
        <x:v>0</x:v>
      </x:c>
      <x:c r="DB9" s="117" t="n">
        <x:f>SUM('CF_1'!DB15,'CF_2'!DB15,'CF_3'!DB15)</x:f>
        <x:v>0</x:v>
      </x:c>
      <x:c r="DC9" s="117" t="n">
        <x:f>SUM('CF_1'!DC15,'CF_2'!DC15,'CF_3'!DC15)</x:f>
        <x:v>0</x:v>
      </x:c>
      <x:c r="DD9" s="117" t="n">
        <x:f>SUM('CF_1'!DD15,'CF_2'!DD15,'CF_3'!DD15)</x:f>
        <x:v>0</x:v>
      </x:c>
      <x:c r="DE9" s="117" t="n">
        <x:f>SUM('CF_1'!DE15,'CF_2'!DE15,'CF_3'!DE15)</x:f>
        <x:v>0</x:v>
      </x:c>
      <x:c r="DF9" s="117" t="n">
        <x:f>SUM('CF_1'!DF15,'CF_2'!DF15,'CF_3'!DF15)</x:f>
        <x:v>0</x:v>
      </x:c>
      <x:c r="DG9" s="117" t="n">
        <x:f>SUM('CF_1'!DG15,'CF_2'!DG15,'CF_3'!DG15)</x:f>
        <x:v>0</x:v>
      </x:c>
      <x:c r="DH9" s="117" t="n">
        <x:f>SUM('CF_1'!DH15,'CF_2'!DH15,'CF_3'!DH15)</x:f>
        <x:v>0</x:v>
      </x:c>
      <x:c r="DI9" s="117" t="n">
        <x:f>SUM('CF_1'!DI15,'CF_2'!DI15,'CF_3'!DI15)</x:f>
        <x:v>0</x:v>
      </x:c>
      <x:c r="DJ9" s="117" t="n">
        <x:f>SUM('CF_1'!DJ15,'CF_2'!DJ15,'CF_3'!DJ15)</x:f>
        <x:v>0</x:v>
      </x:c>
      <x:c r="DK9" s="117" t="n">
        <x:f>SUM('CF_1'!DK15,'CF_2'!DK15,'CF_3'!DK15)</x:f>
        <x:v>0</x:v>
      </x:c>
      <x:c r="DL9" s="117" t="n">
        <x:f>SUM('CF_1'!DL15,'CF_2'!DL15,'CF_3'!DL15)</x:f>
        <x:v>0</x:v>
      </x:c>
      <x:c r="DM9" s="117" t="n">
        <x:f>SUM('CF_1'!DM15,'CF_2'!DM15,'CF_3'!DM15)</x:f>
        <x:v>0</x:v>
      </x:c>
      <x:c r="DN9" s="117" t="n">
        <x:f>SUM('CF_1'!DN15,'CF_2'!DN15,'CF_3'!DN15)</x:f>
        <x:v>0</x:v>
      </x:c>
      <x:c r="DO9" s="117" t="n">
        <x:f>SUM('CF_1'!DO15,'CF_2'!DO15,'CF_3'!DO15)</x:f>
        <x:v>0</x:v>
      </x:c>
      <x:c r="DP9" s="117" t="n">
        <x:f>SUM('CF_1'!DP15,'CF_2'!DP15,'CF_3'!DP15)</x:f>
        <x:v>0</x:v>
      </x:c>
      <x:c r="DQ9" s="117" t="n">
        <x:f>SUM('CF_1'!DQ15,'CF_2'!DQ15,'CF_3'!DQ15)</x:f>
        <x:v>0</x:v>
      </x:c>
      <x:c r="DR9" s="117" t="n">
        <x:f>SUM('CF_1'!DR15,'CF_2'!DR15,'CF_3'!DR15)</x:f>
        <x:v>0</x:v>
      </x:c>
      <x:c r="DS9" s="117" t="n">
        <x:f>SUM('CF_1'!DS15,'CF_2'!DS15,'CF_3'!DS15)</x:f>
        <x:v>0</x:v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  <x:v>9387.564534250003</x:v>
      </x:c>
      <x:c r="C11" t="str">
        <x:v>млн ₽</x:v>
      </x:c>
      <x:c r="D11" s="117" t="n">
        <x:f>SUM('CF_1'!D17,'CF_2'!D17,'CF_3'!D17)</x:f>
        <x:v>707.9807307539683</x:v>
      </x:c>
      <x:c r="E11" s="117" t="n">
        <x:f>SUM('CF_1'!E17,'CF_2'!E17,'CF_3'!E17)</x:f>
        <x:v>7.980730753968252</x:v>
      </x:c>
      <x:c r="F11" s="117" t="n">
        <x:f>SUM('CF_1'!F17,'CF_2'!F17,'CF_3'!F17)</x:f>
        <x:v>7.980730753968252</x:v>
      </x:c>
      <x:c r="G11" s="117" t="n">
        <x:f>SUM('CF_1'!G17,'CF_2'!G17,'CF_3'!G17)</x:f>
        <x:v>7.980730753968252</x:v>
      </x:c>
      <x:c r="H11" s="117" t="n">
        <x:f>SUM('CF_1'!H17,'CF_2'!H17,'CF_3'!H17)</x:f>
        <x:v>7.980730753968252</x:v>
      </x:c>
      <x:c r="I11" s="117" t="n">
        <x:f>SUM('CF_1'!I17,'CF_2'!I17,'CF_3'!I17)</x:f>
        <x:v>7.980730753968252</x:v>
      </x:c>
      <x:c r="J11" s="117" t="n">
        <x:f>SUM('CF_1'!J17,'CF_2'!J17,'CF_3'!J17)</x:f>
        <x:v>7.980730753968252</x:v>
      </x:c>
      <x:c r="K11" s="117" t="n">
        <x:f>SUM('CF_1'!K17,'CF_2'!K17,'CF_3'!K17)</x:f>
        <x:v>7.980730753968252</x:v>
      </x:c>
      <x:c r="L11" s="117" t="n">
        <x:f>SUM('CF_1'!L17,'CF_2'!L17,'CF_3'!L17)</x:f>
        <x:v>7.980730753968252</x:v>
      </x:c>
      <x:c r="M11" s="117" t="n">
        <x:f>SUM('CF_1'!M17,'CF_2'!M17,'CF_3'!M17)</x:f>
        <x:v>7.980730753968252</x:v>
      </x:c>
      <x:c r="N11" s="117" t="n">
        <x:f>SUM('CF_1'!N17,'CF_2'!N17,'CF_3'!N17)</x:f>
        <x:v>7.980730753968252</x:v>
      </x:c>
      <x:c r="O11" s="117" t="n">
        <x:f>SUM('CF_1'!O17,'CF_2'!O17,'CF_3'!O17)</x:f>
        <x:v>7.980730753968252</x:v>
      </x:c>
      <x:c r="P11" s="117" t="n">
        <x:f>SUM('CF_1'!P17,'CF_2'!P17,'CF_3'!P17)</x:f>
        <x:v>33.94773075396826</x:v>
      </x:c>
      <x:c r="Q11" s="117" t="n">
        <x:f>SUM('CF_1'!Q17,'CF_2'!Q17,'CF_3'!Q17)</x:f>
        <x:v>33.94773075396826</x:v>
      </x:c>
      <x:c r="R11" s="117" t="n">
        <x:f>SUM('CF_1'!R17,'CF_2'!R17,'CF_3'!R17)</x:f>
        <x:v>33.94773075396826</x:v>
      </x:c>
      <x:c r="S11" s="117" t="n">
        <x:f>SUM('CF_1'!S17,'CF_2'!S17,'CF_3'!S17)</x:f>
        <x:v>33.94773075396826</x:v>
      </x:c>
      <x:c r="T11" s="117" t="n">
        <x:f>SUM('CF_1'!T17,'CF_2'!T17,'CF_3'!T17)</x:f>
        <x:v>33.94773075396826</x:v>
      </x:c>
      <x:c r="U11" s="117" t="n">
        <x:f>SUM('CF_1'!U17,'CF_2'!U17,'CF_3'!U17)</x:f>
        <x:v>1882.1547307539681</x:v>
      </x:c>
      <x:c r="V11" s="117" t="n">
        <x:f>SUM('CF_1'!V17,'CF_2'!V17,'CF_3'!V17)</x:f>
        <x:v>159.6656321653981</x:v>
      </x:c>
      <x:c r="W11" s="117" t="n">
        <x:f>SUM('CF_1'!W17,'CF_2'!W17,'CF_3'!W17)</x:f>
        <x:v>159.6656321653981</x:v>
      </x:c>
      <x:c r="X11" s="117" t="n">
        <x:f>SUM('CF_1'!X17,'CF_2'!X17,'CF_3'!X17)</x:f>
        <x:v>159.6656321653981</x:v>
      </x:c>
      <x:c r="Y11" s="117" t="n">
        <x:f>SUM('CF_1'!Y17,'CF_2'!Y17,'CF_3'!Y17)</x:f>
        <x:v>159.6656321653981</x:v>
      </x:c>
      <x:c r="Z11" s="117" t="n">
        <x:f>SUM('CF_1'!Z17,'CF_2'!Z17,'CF_3'!Z17)</x:f>
        <x:v>312.7931446879391</x:v>
      </x:c>
      <x:c r="AA11" s="117" t="n">
        <x:f>SUM('CF_1'!AA17,'CF_2'!AA17,'CF_3'!AA17)</x:f>
        <x:v>312.7931446879391</x:v>
      </x:c>
      <x:c r="AB11" s="117" t="n">
        <x:f>SUM('CF_1'!AB17,'CF_2'!AB17,'CF_3'!AB17)</x:f>
        <x:v>312.7931446879391</x:v>
      </x:c>
      <x:c r="AC11" s="117" t="n">
        <x:f>SUM('CF_1'!AC17,'CF_2'!AC17,'CF_3'!AC17)</x:f>
        <x:v>312.7931446879391</x:v>
      </x:c>
      <x:c r="AD11" s="117" t="n">
        <x:f>SUM('CF_1'!AD17,'CF_2'!AD17,'CF_3'!AD17)</x:f>
        <x:v>312.7931446879391</x:v>
      </x:c>
      <x:c r="AE11" s="117" t="n">
        <x:f>SUM('CF_1'!AE17,'CF_2'!AE17,'CF_3'!AE17)</x:f>
        <x:v>312.7931446879391</x:v>
      </x:c>
      <x:c r="AF11" s="117" t="n">
        <x:f>SUM('CF_1'!AF17,'CF_2'!AF17,'CF_3'!AF17)</x:f>
        <x:v>312.7931446879391</x:v>
      </x:c>
      <x:c r="AG11" s="117" t="n">
        <x:f>SUM('CF_1'!AG17,'CF_2'!AG17,'CF_3'!AG17)</x:f>
        <x:v>312.7931446879391</x:v>
      </x:c>
      <x:c r="AH11" s="117" t="n">
        <x:f>SUM('CF_1'!AH17,'CF_2'!AH17,'CF_3'!AH17)</x:f>
        <x:v>312.7931446879391</x:v>
      </x:c>
      <x:c r="AI11" s="117" t="n">
        <x:f>SUM('CF_1'!AI17,'CF_2'!AI17,'CF_3'!AI17)</x:f>
        <x:v>312.7931446879391</x:v>
      </x:c>
      <x:c r="AJ11" s="117" t="n">
        <x:f>SUM('CF_1'!AJ17,'CF_2'!AJ17,'CF_3'!AJ17)</x:f>
        <x:v>312.7931446879391</x:v>
      </x:c>
      <x:c r="AK11" s="117" t="n">
        <x:f>SUM('CF_1'!AK17,'CF_2'!AK17,'CF_3'!AK17)</x:f>
        <x:v>312.7931446879391</x:v>
      </x:c>
      <x:c r="AL11" s="117" t="n">
        <x:f>SUM('CF_1'!AL17,'CF_2'!AL17,'CF_3'!AL17)</x:f>
        <x:v>312.7931446879391</x:v>
      </x:c>
      <x:c r="AM11" s="117" t="n">
        <x:f>SUM('CF_1'!AM17,'CF_2'!AM17,'CF_3'!AM17)</x:f>
        <x:v>312.7931446879391</x:v>
      </x:c>
      <x:c r="AN11" s="117" t="n">
        <x:f>SUM('CF_1'!AN17,'CF_2'!AN17,'CF_3'!AN17)</x:f>
        <x:v>312.7931446879391</x:v>
      </x:c>
      <x:c r="AO11" s="117" t="n">
        <x:f>SUM('CF_1'!AO17,'CF_2'!AO17,'CF_3'!AO17)</x:f>
        <x:v>210.70813633957846</x:v>
      </x:c>
      <x:c r="AP11" s="117" t="n">
        <x:f>SUM('CF_1'!AP17,'CF_2'!AP17,'CF_3'!AP17)</x:f>
        <x:v>210.70813633957846</x:v>
      </x:c>
      <x:c r="AQ11" s="117" t="n">
        <x:f>SUM('CF_1'!AQ17,'CF_2'!AQ17,'CF_3'!AQ17)</x:f>
        <x:v>262.6421363395785</x:v>
      </x:c>
      <x:c r="AR11" s="117" t="n">
        <x:f>SUM('CF_1'!AR17,'CF_2'!AR17,'CF_3'!AR17)</x:f>
        <x:v>262.6421363395785</x:v>
      </x:c>
      <x:c r="AS11" s="117" t="n">
        <x:f>SUM('CF_1'!AS17,'CF_2'!AS17,'CF_3'!AS17)</x:f>
        <x:v>262.6421363395785</x:v>
      </x:c>
      <x:c r="AT11" s="117" t="n">
        <x:f>SUM('CF_1'!AT17,'CF_2'!AT17,'CF_3'!AT17)</x:f>
        <x:v>0</x:v>
      </x:c>
      <x:c r="AU11" s="117" t="n">
        <x:f>SUM('CF_1'!AU17,'CF_2'!AU17,'CF_3'!AU17)</x:f>
        <x:v>0</x:v>
      </x:c>
      <x:c r="AV11" s="117" t="n">
        <x:f>SUM('CF_1'!AV17,'CF_2'!AV17,'CF_3'!AV17)</x:f>
        <x:v>0</x:v>
      </x:c>
      <x:c r="AW11" s="117" t="n">
        <x:f>SUM('CF_1'!AW17,'CF_2'!AW17,'CF_3'!AW17)</x:f>
        <x:v>0</x:v>
      </x:c>
      <x:c r="AX11" s="117" t="n">
        <x:f>SUM('CF_1'!AX17,'CF_2'!AX17,'CF_3'!AX17)</x:f>
        <x:v>0</x:v>
      </x:c>
      <x:c r="AY11" s="117" t="n">
        <x:f>SUM('CF_1'!AY17,'CF_2'!AY17,'CF_3'!AY17)</x:f>
        <x:v>0</x:v>
      </x:c>
      <x:c r="AZ11" s="117" t="n">
        <x:f>SUM('CF_1'!AZ17,'CF_2'!AZ17,'CF_3'!AZ17)</x:f>
        <x:v>0</x:v>
      </x:c>
      <x:c r="BA11" s="117" t="n">
        <x:f>SUM('CF_1'!BA17,'CF_2'!BA17,'CF_3'!BA17)</x:f>
        <x:v>0</x:v>
      </x:c>
      <x:c r="BB11" s="117" t="n">
        <x:f>SUM('CF_1'!BB17,'CF_2'!BB17,'CF_3'!BB17)</x:f>
        <x:v>0</x:v>
      </x:c>
      <x:c r="BC11" s="117" t="n">
        <x:f>SUM('CF_1'!BC17,'CF_2'!BC17,'CF_3'!BC17)</x:f>
        <x:v>0</x:v>
      </x:c>
      <x:c r="BD11" s="117" t="n">
        <x:f>SUM('CF_1'!BD17,'CF_2'!BD17,'CF_3'!BD17)</x:f>
        <x:v>0</x:v>
      </x:c>
      <x:c r="BE11" s="117" t="n">
        <x:f>SUM('CF_1'!BE17,'CF_2'!BE17,'CF_3'!BE17)</x:f>
        <x:v>0</x:v>
      </x:c>
      <x:c r="BF11" s="117" t="n">
        <x:f>SUM('CF_1'!BF17,'CF_2'!BF17,'CF_3'!BF17)</x:f>
        <x:v>0</x:v>
      </x:c>
      <x:c r="BG11" s="117" t="n">
        <x:f>SUM('CF_1'!BG17,'CF_2'!BG17,'CF_3'!BG17)</x:f>
        <x:v>0</x:v>
      </x:c>
      <x:c r="BH11" s="117" t="n">
        <x:f>SUM('CF_1'!BH17,'CF_2'!BH17,'CF_3'!BH17)</x:f>
        <x:v>0</x:v>
      </x:c>
      <x:c r="BI11" s="117" t="n">
        <x:f>SUM('CF_1'!BI17,'CF_2'!BI17,'CF_3'!BI17)</x:f>
        <x:v>0</x:v>
      </x:c>
      <x:c r="BJ11" s="117" t="n">
        <x:f>SUM('CF_1'!BJ17,'CF_2'!BJ17,'CF_3'!BJ17)</x:f>
        <x:v>0</x:v>
      </x:c>
      <x:c r="BK11" s="117" t="n">
        <x:f>SUM('CF_1'!BK17,'CF_2'!BK17,'CF_3'!BK17)</x:f>
        <x:v>0</x:v>
      </x:c>
      <x:c r="BL11" s="117" t="n">
        <x:f>SUM('CF_1'!BL17,'CF_2'!BL17,'CF_3'!BL17)</x:f>
        <x:v>0</x:v>
      </x:c>
      <x:c r="BM11" s="117" t="n">
        <x:f>SUM('CF_1'!BM17,'CF_2'!BM17,'CF_3'!BM17)</x:f>
        <x:v>0</x:v>
      </x:c>
      <x:c r="BN11" s="117" t="n">
        <x:f>SUM('CF_1'!BN17,'CF_2'!BN17,'CF_3'!BN17)</x:f>
        <x:v>0</x:v>
      </x:c>
      <x:c r="BO11" s="117" t="n">
        <x:f>SUM('CF_1'!BO17,'CF_2'!BO17,'CF_3'!BO17)</x:f>
        <x:v>0</x:v>
      </x:c>
      <x:c r="BP11" s="117" t="n">
        <x:f>SUM('CF_1'!BP17,'CF_2'!BP17,'CF_3'!BP17)</x:f>
        <x:v>0</x:v>
      </x:c>
      <x:c r="BQ11" s="117" t="n">
        <x:f>SUM('CF_1'!BQ17,'CF_2'!BQ17,'CF_3'!BQ17)</x:f>
        <x:v>0</x:v>
      </x:c>
      <x:c r="BR11" s="117" t="n">
        <x:f>SUM('CF_1'!BR17,'CF_2'!BR17,'CF_3'!BR17)</x:f>
        <x:v>0</x:v>
      </x:c>
      <x:c r="BS11" s="117" t="n">
        <x:f>SUM('CF_1'!BS17,'CF_2'!BS17,'CF_3'!BS17)</x:f>
        <x:v>0</x:v>
      </x:c>
      <x:c r="BT11" s="117" t="n">
        <x:f>SUM('CF_1'!BT17,'CF_2'!BT17,'CF_3'!BT17)</x:f>
        <x:v>0</x:v>
      </x:c>
      <x:c r="BU11" s="117" t="n">
        <x:f>SUM('CF_1'!BU17,'CF_2'!BU17,'CF_3'!BU17)</x:f>
        <x:v>0</x:v>
      </x:c>
      <x:c r="BV11" s="117" t="n">
        <x:f>SUM('CF_1'!BV17,'CF_2'!BV17,'CF_3'!BV17)</x:f>
        <x:v>0</x:v>
      </x:c>
      <x:c r="BW11" s="117" t="n">
        <x:f>SUM('CF_1'!BW17,'CF_2'!BW17,'CF_3'!BW17)</x:f>
        <x:v>0</x:v>
      </x:c>
      <x:c r="BX11" s="117" t="n">
        <x:f>SUM('CF_1'!BX17,'CF_2'!BX17,'CF_3'!BX17)</x:f>
        <x:v>0</x:v>
      </x:c>
      <x:c r="BY11" s="117" t="n">
        <x:f>SUM('CF_1'!BY17,'CF_2'!BY17,'CF_3'!BY17)</x:f>
        <x:v>0</x:v>
      </x:c>
      <x:c r="BZ11" s="117" t="n">
        <x:f>SUM('CF_1'!BZ17,'CF_2'!BZ17,'CF_3'!BZ17)</x:f>
        <x:v>0</x:v>
      </x:c>
      <x:c r="CA11" s="117" t="n">
        <x:f>SUM('CF_1'!CA17,'CF_2'!CA17,'CF_3'!CA17)</x:f>
        <x:v>0</x:v>
      </x:c>
      <x:c r="CB11" s="117" t="n">
        <x:f>SUM('CF_1'!CB17,'CF_2'!CB17,'CF_3'!CB17)</x:f>
        <x:v>0</x:v>
      </x:c>
      <x:c r="CC11" s="117" t="n">
        <x:f>SUM('CF_1'!CC17,'CF_2'!CC17,'CF_3'!CC17)</x:f>
        <x:v>0</x:v>
      </x:c>
      <x:c r="CD11" s="117" t="n">
        <x:f>SUM('CF_1'!CD17,'CF_2'!CD17,'CF_3'!CD17)</x:f>
        <x:v>0</x:v>
      </x:c>
      <x:c r="CE11" s="117" t="n">
        <x:f>SUM('CF_1'!CE17,'CF_2'!CE17,'CF_3'!CE17)</x:f>
        <x:v>0</x:v>
      </x:c>
      <x:c r="CF11" s="117" t="n">
        <x:f>SUM('CF_1'!CF17,'CF_2'!CF17,'CF_3'!CF17)</x:f>
        <x:v>0</x:v>
      </x:c>
      <x:c r="CG11" s="117" t="n">
        <x:f>SUM('CF_1'!CG17,'CF_2'!CG17,'CF_3'!CG17)</x:f>
        <x:v>0</x:v>
      </x:c>
      <x:c r="CH11" s="117" t="n">
        <x:f>SUM('CF_1'!CH17,'CF_2'!CH17,'CF_3'!CH17)</x:f>
        <x:v>0</x:v>
      </x:c>
      <x:c r="CI11" s="117" t="n">
        <x:f>SUM('CF_1'!CI17,'CF_2'!CI17,'CF_3'!CI17)</x:f>
        <x:v>0</x:v>
      </x:c>
      <x:c r="CJ11" s="117" t="n">
        <x:f>SUM('CF_1'!CJ17,'CF_2'!CJ17,'CF_3'!CJ17)</x:f>
        <x:v>0</x:v>
      </x:c>
      <x:c r="CK11" s="117" t="n">
        <x:f>SUM('CF_1'!CK17,'CF_2'!CK17,'CF_3'!CK17)</x:f>
        <x:v>0</x:v>
      </x:c>
      <x:c r="CL11" s="117" t="n">
        <x:f>SUM('CF_1'!CL17,'CF_2'!CL17,'CF_3'!CL17)</x:f>
        <x:v>0</x:v>
      </x:c>
      <x:c r="CM11" s="117" t="n">
        <x:f>SUM('CF_1'!CM17,'CF_2'!CM17,'CF_3'!CM17)</x:f>
        <x:v>0</x:v>
      </x:c>
      <x:c r="CN11" s="117" t="n">
        <x:f>SUM('CF_1'!CN17,'CF_2'!CN17,'CF_3'!CN17)</x:f>
        <x:v>0</x:v>
      </x:c>
      <x:c r="CO11" s="117" t="n">
        <x:f>SUM('CF_1'!CO17,'CF_2'!CO17,'CF_3'!CO17)</x:f>
        <x:v>0</x:v>
      </x:c>
      <x:c r="CP11" s="117" t="n">
        <x:f>SUM('CF_1'!CP17,'CF_2'!CP17,'CF_3'!CP17)</x:f>
        <x:v>0</x:v>
      </x:c>
      <x:c r="CQ11" s="117" t="n">
        <x:f>SUM('CF_1'!CQ17,'CF_2'!CQ17,'CF_3'!CQ17)</x:f>
        <x:v>0</x:v>
      </x:c>
      <x:c r="CR11" s="117" t="n">
        <x:f>SUM('CF_1'!CR17,'CF_2'!CR17,'CF_3'!CR17)</x:f>
        <x:v>0</x:v>
      </x:c>
      <x:c r="CS11" s="117" t="n">
        <x:f>SUM('CF_1'!CS17,'CF_2'!CS17,'CF_3'!CS17)</x:f>
        <x:v>0</x:v>
      </x:c>
      <x:c r="CT11" s="117" t="n">
        <x:f>SUM('CF_1'!CT17,'CF_2'!CT17,'CF_3'!CT17)</x:f>
        <x:v>0</x:v>
      </x:c>
      <x:c r="CU11" s="117" t="n">
        <x:f>SUM('CF_1'!CU17,'CF_2'!CU17,'CF_3'!CU17)</x:f>
        <x:v>0</x:v>
      </x:c>
      <x:c r="CV11" s="117" t="n">
        <x:f>SUM('CF_1'!CV17,'CF_2'!CV17,'CF_3'!CV17)</x:f>
        <x:v>0</x:v>
      </x:c>
      <x:c r="CW11" s="117" t="n">
        <x:f>SUM('CF_1'!CW17,'CF_2'!CW17,'CF_3'!CW17)</x:f>
        <x:v>0</x:v>
      </x:c>
      <x:c r="CX11" s="117" t="n">
        <x:f>SUM('CF_1'!CX17,'CF_2'!CX17,'CF_3'!CX17)</x:f>
        <x:v>0</x:v>
      </x:c>
      <x:c r="CY11" s="117" t="n">
        <x:f>SUM('CF_1'!CY17,'CF_2'!CY17,'CF_3'!CY17)</x:f>
        <x:v>0</x:v>
      </x:c>
      <x:c r="CZ11" s="117" t="n">
        <x:f>SUM('CF_1'!CZ17,'CF_2'!CZ17,'CF_3'!CZ17)</x:f>
        <x:v>0</x:v>
      </x:c>
      <x:c r="DA11" s="117" t="n">
        <x:f>SUM('CF_1'!DA17,'CF_2'!DA17,'CF_3'!DA17)</x:f>
        <x:v>0</x:v>
      </x:c>
      <x:c r="DB11" s="117" t="n">
        <x:f>SUM('CF_1'!DB17,'CF_2'!DB17,'CF_3'!DB17)</x:f>
        <x:v>0</x:v>
      </x:c>
      <x:c r="DC11" s="117" t="n">
        <x:f>SUM('CF_1'!DC17,'CF_2'!DC17,'CF_3'!DC17)</x:f>
        <x:v>0</x:v>
      </x:c>
      <x:c r="DD11" s="117" t="n">
        <x:f>SUM('CF_1'!DD17,'CF_2'!DD17,'CF_3'!DD17)</x:f>
        <x:v>0</x:v>
      </x:c>
      <x:c r="DE11" s="117" t="n">
        <x:f>SUM('CF_1'!DE17,'CF_2'!DE17,'CF_3'!DE17)</x:f>
        <x:v>0</x:v>
      </x:c>
      <x:c r="DF11" s="117" t="n">
        <x:f>SUM('CF_1'!DF17,'CF_2'!DF17,'CF_3'!DF17)</x:f>
        <x:v>0</x:v>
      </x:c>
      <x:c r="DG11" s="117" t="n">
        <x:f>SUM('CF_1'!DG17,'CF_2'!DG17,'CF_3'!DG17)</x:f>
        <x:v>0</x:v>
      </x:c>
      <x:c r="DH11" s="117" t="n">
        <x:f>SUM('CF_1'!DH17,'CF_2'!DH17,'CF_3'!DH17)</x:f>
        <x:v>0</x:v>
      </x:c>
      <x:c r="DI11" s="117" t="n">
        <x:f>SUM('CF_1'!DI17,'CF_2'!DI17,'CF_3'!DI17)</x:f>
        <x:v>0</x:v>
      </x:c>
      <x:c r="DJ11" s="117" t="n">
        <x:f>SUM('CF_1'!DJ17,'CF_2'!DJ17,'CF_3'!DJ17)</x:f>
        <x:v>0</x:v>
      </x:c>
      <x:c r="DK11" s="117" t="n">
        <x:f>SUM('CF_1'!DK17,'CF_2'!DK17,'CF_3'!DK17)</x:f>
        <x:v>0</x:v>
      </x:c>
      <x:c r="DL11" s="117" t="n">
        <x:f>SUM('CF_1'!DL17,'CF_2'!DL17,'CF_3'!DL17)</x:f>
        <x:v>0</x:v>
      </x:c>
      <x:c r="DM11" s="117" t="n">
        <x:f>SUM('CF_1'!DM17,'CF_2'!DM17,'CF_3'!DM17)</x:f>
        <x:v>0</x:v>
      </x:c>
      <x:c r="DN11" s="117" t="n">
        <x:f>SUM('CF_1'!DN17,'CF_2'!DN17,'CF_3'!DN17)</x:f>
        <x:v>0</x:v>
      </x:c>
      <x:c r="DO11" s="117" t="n">
        <x:f>SUM('CF_1'!DO17,'CF_2'!DO17,'CF_3'!DO17)</x:f>
        <x:v>0</x:v>
      </x:c>
      <x:c r="DP11" s="117" t="n">
        <x:f>SUM('CF_1'!DP17,'CF_2'!DP17,'CF_3'!DP17)</x:f>
        <x:v>0</x:v>
      </x:c>
      <x:c r="DQ11" s="117" t="n">
        <x:f>SUM('CF_1'!DQ17,'CF_2'!DQ17,'CF_3'!DQ17)</x:f>
        <x:v>0</x:v>
      </x:c>
      <x:c r="DR11" s="117" t="n">
        <x:f>SUM('CF_1'!DR17,'CF_2'!DR17,'CF_3'!DR17)</x:f>
        <x:v>0</x:v>
      </x:c>
      <x:c r="DS11" s="117" t="n">
        <x:f>SUM('CF_1'!DS17,'CF_2'!DS17,'CF_3'!DS17)</x:f>
        <x:v>0</x:v>
      </x:c>
    </x:row>
    <x:row r="12">
      <x:c r="A12" t="str">
        <x:v>Коммерческие расходы</x:v>
      </x:c>
      <x:c r="B12" t="n">
        <x:f>SUM(D12:DS12)</x:f>
        <x:v>892.0106522460204</x:v>
      </x:c>
      <x:c r="C12" t="str">
        <x:v>млн ₽</x:v>
      </x:c>
      <x:c r="D12" s="117" t="n">
        <x:f>SUM('CF_1'!D18+'CF_1'!D19,'CF_2'!D18+'CF_2'!D19,'CF_3'!D18+'CF_3'!D19)</x:f>
        <x:v>0</x:v>
      </x:c>
      <x:c r="E12" s="117" t="n">
        <x:f>SUM('CF_1'!E18+'CF_1'!E19,'CF_2'!E18+'CF_2'!E19,'CF_3'!E18+'CF_3'!E19)</x:f>
        <x:v>0</x:v>
      </x:c>
      <x:c r="F12" s="117" t="n">
        <x:f>SUM('CF_1'!F18+'CF_1'!F19,'CF_2'!F18+'CF_2'!F19,'CF_3'!F18+'CF_3'!F19)</x:f>
        <x:v>0</x:v>
      </x:c>
      <x:c r="G12" s="117" t="n">
        <x:f>SUM('CF_1'!G18+'CF_1'!G19,'CF_2'!G18+'CF_2'!G19,'CF_3'!G18+'CF_3'!G19)</x:f>
        <x:v>0</x:v>
      </x:c>
      <x:c r="H12" s="117" t="n">
        <x:f>SUM('CF_1'!H18+'CF_1'!H19,'CF_2'!H18+'CF_2'!H19,'CF_3'!H18+'CF_3'!H19)</x:f>
        <x:v>0</x:v>
      </x:c>
      <x:c r="I12" s="117" t="n">
        <x:f>SUM('CF_1'!I18+'CF_1'!I19,'CF_2'!I18+'CF_2'!I19,'CF_3'!I18+'CF_3'!I19)</x:f>
        <x:v>0</x:v>
      </x:c>
      <x:c r="J12" s="117" t="n">
        <x:f>SUM('CF_1'!J18+'CF_1'!J19,'CF_2'!J18+'CF_2'!J19,'CF_3'!J18+'CF_3'!J19)</x:f>
        <x:v>0</x:v>
      </x:c>
      <x:c r="K12" s="117" t="n">
        <x:f>SUM('CF_1'!K18+'CF_1'!K19,'CF_2'!K18+'CF_2'!K19,'CF_3'!K18+'CF_3'!K19)</x:f>
        <x:v>0</x:v>
      </x:c>
      <x:c r="L12" s="117" t="n">
        <x:f>SUM('CF_1'!L18+'CF_1'!L19,'CF_2'!L18+'CF_2'!L19,'CF_3'!L18+'CF_3'!L19)</x:f>
        <x:v>0</x:v>
      </x:c>
      <x:c r="M12" s="117" t="n">
        <x:f>SUM('CF_1'!M18+'CF_1'!M19,'CF_2'!M18+'CF_2'!M19,'CF_3'!M18+'CF_3'!M19)</x:f>
        <x:v>0</x:v>
      </x:c>
      <x:c r="N12" s="117" t="n">
        <x:f>SUM('CF_1'!N18+'CF_1'!N19,'CF_2'!N18+'CF_2'!N19,'CF_3'!N18+'CF_3'!N19)</x:f>
        <x:v>0</x:v>
      </x:c>
      <x:c r="O12" s="117" t="n">
        <x:f>SUM('CF_1'!O18+'CF_1'!O19,'CF_2'!O18+'CF_2'!O19,'CF_3'!O18+'CF_3'!O19)</x:f>
        <x:v>0</x:v>
      </x:c>
      <x:c r="P12" s="117" t="n">
        <x:f>SUM('CF_1'!P18+'CF_1'!P19,'CF_2'!P18+'CF_2'!P19,'CF_3'!P18+'CF_3'!P19)</x:f>
        <x:v>0</x:v>
      </x:c>
      <x:c r="Q12" s="117" t="n">
        <x:f>SUM('CF_1'!Q18+'CF_1'!Q19,'CF_2'!Q18+'CF_2'!Q19,'CF_3'!Q18+'CF_3'!Q19)</x:f>
        <x:v>0</x:v>
      </x:c>
      <x:c r="R12" s="117" t="n">
        <x:f>SUM('CF_1'!R18+'CF_1'!R19,'CF_2'!R18+'CF_2'!R19,'CF_3'!R18+'CF_3'!R19)</x:f>
        <x:v>0</x:v>
      </x:c>
      <x:c r="S12" s="117" t="n">
        <x:f>SUM('CF_1'!S18+'CF_1'!S19,'CF_2'!S18+'CF_2'!S19,'CF_3'!S18+'CF_3'!S19)</x:f>
        <x:v>0</x:v>
      </x:c>
      <x:c r="T12" s="117" t="n">
        <x:f>SUM('CF_1'!T18+'CF_1'!T19,'CF_2'!T18+'CF_2'!T19,'CF_3'!T18+'CF_3'!T19)</x:f>
        <x:v>0</x:v>
      </x:c>
      <x:c r="U12" s="117" t="n">
        <x:f>SUM('CF_1'!U18+'CF_1'!U19,'CF_2'!U18+'CF_2'!U19,'CF_3'!U18+'CF_3'!U19)</x:f>
        <x:v>0</x:v>
      </x:c>
      <x:c r="V12" s="117" t="n">
        <x:f>SUM('CF_1'!V18+'CF_1'!V19,'CF_2'!V18+'CF_2'!V19,'CF_3'!V18+'CF_3'!V19)</x:f>
        <x:v>20.606832257957336</x:v>
      </x:c>
      <x:c r="W12" s="117" t="n">
        <x:f>SUM('CF_1'!W18+'CF_1'!W19,'CF_2'!W18+'CF_2'!W19,'CF_3'!W18+'CF_3'!W19)</x:f>
        <x:v>21.12509408924496</x:v>
      </x:c>
      <x:c r="X12" s="117" t="n">
        <x:f>SUM('CF_1'!X18+'CF_1'!X19,'CF_2'!X18+'CF_2'!X19,'CF_3'!X18+'CF_3'!X19)</x:f>
        <x:v>25.478106124222904</x:v>
      </x:c>
      <x:c r="Y12" s="117" t="n">
        <x:f>SUM('CF_1'!Y18+'CF_1'!Y19,'CF_2'!Y18+'CF_2'!Y19,'CF_3'!Y18+'CF_3'!Y19)</x:f>
        <x:v>26.118880493247115</x:v>
      </x:c>
      <x:c r="Z12" s="117" t="n">
        <x:f>SUM('CF_1'!Z18+'CF_1'!Z19,'CF_2'!Z18+'CF_2'!Z19,'CF_3'!Z18+'CF_3'!Z19)</x:f>
        <x:v>26.775770337652276</x:v>
      </x:c>
      <x:c r="AA12" s="117" t="n">
        <x:f>SUM('CF_1'!AA18+'CF_1'!AA19,'CF_2'!AA18+'CF_2'!AA19,'CF_3'!AA18+'CF_3'!AA19)</x:f>
        <x:v>27.44918096164423</x:v>
      </x:c>
      <x:c r="AB12" s="117" t="n">
        <x:f>SUM('CF_1'!AB18+'CF_1'!AB19,'CF_2'!AB18+'CF_2'!AB19,'CF_3'!AB18+'CF_3'!AB19)</x:f>
        <x:v>23.918598683405143</x:v>
      </x:c>
      <x:c r="AC12" s="117" t="n">
        <x:f>SUM('CF_1'!AC18+'CF_1'!AC19,'CF_2'!AC18+'CF_2'!AC19,'CF_3'!AC18+'CF_3'!AC19)</x:f>
        <x:v>28.847236988579745</x:v>
      </x:c>
      <x:c r="AD12" s="117" t="n">
        <x:f>SUM('CF_1'!AD18+'CF_1'!AD19,'CF_2'!AD18+'CF_2'!AD19,'CF_3'!AD18+'CF_3'!AD19)</x:f>
        <x:v>29.572744998842524</x:v>
      </x:c>
      <x:c r="AE12" s="117" t="n">
        <x:f>SUM('CF_1'!AE18+'CF_1'!AE19,'CF_2'!AE18+'CF_2'!AE19,'CF_3'!AE18+'CF_3'!AE19)</x:f>
        <x:v>30.316499535563395</x:v>
      </x:c>
      <x:c r="AF12" s="117" t="n">
        <x:f>SUM('CF_1'!AF18+'CF_1'!AF19,'CF_2'!AF18+'CF_2'!AF19,'CF_3'!AF18+'CF_3'!AF19)</x:f>
        <x:v>26.417115574050403</x:v>
      </x:c>
      <x:c r="AG12" s="117" t="n">
        <x:f>SUM('CF_1'!AG18+'CF_1'!AG19,'CF_2'!AG18+'CF_2'!AG19,'CF_3'!AG18+'CF_3'!AG19)</x:f>
        <x:v>27.081506030737756</x:v>
      </x:c>
      <x:c r="AH12" s="117" t="n">
        <x:f>SUM('CF_1'!AH18+'CF_1'!AH19,'CF_2'!AH18+'CF_2'!AH19,'CF_3'!AH18+'CF_3'!AH19)</x:f>
        <x:v>27.762605907410812</x:v>
      </x:c>
      <x:c r="AI12" s="117" t="n">
        <x:f>SUM('CF_1'!AI18+'CF_1'!AI19,'CF_2'!AI18+'CF_2'!AI19,'CF_3'!AI18+'CF_3'!AI19)</x:f>
        <x:v>28.460835445982184</x:v>
      </x:c>
      <x:c r="AJ12" s="117" t="n">
        <x:f>SUM('CF_1'!AJ18+'CF_1'!AJ19,'CF_2'!AJ18+'CF_2'!AJ19,'CF_3'!AJ18+'CF_3'!AJ19)</x:f>
        <x:v>34.32544171464546</x:v>
      </x:c>
      <x:c r="AK12" s="117" t="n">
        <x:f>SUM('CF_1'!AK18+'CF_1'!AK19,'CF_2'!AK18+'CF_2'!AK19,'CF_3'!AK18+'CF_3'!AK19)</x:f>
        <x:v>35.1887265737688</x:v>
      </x:c>
      <x:c r="AL12" s="117" t="n">
        <x:f>SUM('CF_1'!AL18+'CF_1'!AL19,'CF_2'!AL18+'CF_2'!AL19,'CF_3'!AL18+'CF_3'!AL19)</x:f>
        <x:v>36.07372304709908</x:v>
      </x:c>
      <x:c r="AM12" s="117" t="n">
        <x:f>SUM('CF_1'!AM18+'CF_1'!AM19,'CF_2'!AM18+'CF_2'!AM19,'CF_3'!AM18+'CF_3'!AM19)</x:f>
        <x:v>36.98097718173361</x:v>
      </x:c>
      <x:c r="AN12" s="117" t="n">
        <x:f>SUM('CF_1'!AN18+'CF_1'!AN19,'CF_2'!AN18+'CF_2'!AN19,'CF_3'!AN18+'CF_3'!AN19)</x:f>
        <x:v>32.22439144417607</x:v>
      </x:c>
      <x:c r="AO12" s="117" t="n">
        <x:f>SUM('CF_1'!AO18+'CF_1'!AO19,'CF_2'!AO18+'CF_2'!AO19,'CF_3'!AO18+'CF_3'!AO19)</x:f>
        <x:v>38.86451163411423</x:v>
      </x:c>
      <x:c r="AP12" s="117" t="n">
        <x:f>SUM('CF_1'!AP18+'CF_1'!AP19,'CF_2'!AP18+'CF_2'!AP19,'CF_3'!AP18+'CF_3'!AP19)</x:f>
        <x:v>39.841954101712204</x:v>
      </x:c>
      <x:c r="AQ12" s="117" t="n">
        <x:f>SUM('CF_1'!AQ18+'CF_1'!AQ19,'CF_2'!AQ18+'CF_2'!AQ19,'CF_3'!AQ18+'CF_3'!AQ19)</x:f>
        <x:v>40.84397924737028</x:v>
      </x:c>
      <x:c r="AR12" s="117" t="n">
        <x:f>SUM('CF_1'!AR18+'CF_1'!AR19,'CF_2'!AR18+'CF_2'!AR19,'CF_3'!AR18+'CF_3'!AR19)</x:f>
        <x:v>35.59052452662539</x:v>
      </x:c>
      <x:c r="AS12" s="117" t="n">
        <x:f>SUM('CF_1'!AS18+'CF_1'!AS19,'CF_2'!AS18+'CF_2'!AS19,'CF_3'!AS18+'CF_3'!AS19)</x:f>
        <x:v>36.48562621847</x:v>
      </x:c>
      <x:c r="AT12" s="117" t="n">
        <x:f>SUM('CF_1'!AT18+'CF_1'!AT19,'CF_2'!AT18+'CF_2'!AT19,'CF_3'!AT18+'CF_3'!AT19)</x:f>
        <x:v>22.46682799289293</x:v>
      </x:c>
      <x:c r="AU12" s="117" t="n">
        <x:f>SUM('CF_1'!AU18+'CF_1'!AU19,'CF_2'!AU18+'CF_2'!AU19,'CF_3'!AU18+'CF_3'!AU19)</x:f>
        <x:v>22.748225013503905</x:v>
      </x:c>
      <x:c r="AV12" s="117" t="n">
        <x:f>SUM('CF_1'!AV18+'CF_1'!AV19,'CF_2'!AV18+'CF_2'!AV19,'CF_3'!AV18+'CF_3'!AV19)</x:f>
        <x:v>27.097819449174175</x:v>
      </x:c>
      <x:c r="AW12" s="117" t="n">
        <x:f>SUM('CF_1'!AW18+'CF_1'!AW19,'CF_2'!AW18+'CF_2'!AW19,'CF_3'!AW18+'CF_3'!AW19)</x:f>
        <x:v>27.437219637775083</x:v>
      </x:c>
      <x:c r="AX12" s="117" t="n">
        <x:f>SUM('CF_1'!AX18+'CF_1'!AX19,'CF_2'!AX18+'CF_2'!AX19,'CF_3'!AX18+'CF_3'!AX19)</x:f>
        <x:v>27.78087081373821</x:v>
      </x:c>
      <x:c r="AY12" s="117" t="n">
        <x:f>SUM('CF_1'!AY18+'CF_1'!AY19,'CF_2'!AY18+'CF_2'!AY19,'CF_3'!AY18+'CF_3'!AY19)</x:f>
        <x:v>28.12882622068029</x:v>
      </x:c>
      <x:c r="AZ12" s="117" t="n">
        <x:f>SUM('CF_1'!AZ18+'CF_1'!AZ19,'CF_2'!AZ18+'CF_2'!AZ19,'CF_3'!AZ18+'CF_3'!AZ19)</x:f>
        <x:v>0</x:v>
      </x:c>
      <x:c r="BA12" s="117" t="n">
        <x:f>SUM('CF_1'!BA18+'CF_1'!BA19,'CF_2'!BA18+'CF_2'!BA19,'CF_3'!BA18+'CF_3'!BA19)</x:f>
        <x:v>0</x:v>
      </x:c>
      <x:c r="BB12" s="117" t="n">
        <x:f>SUM('CF_1'!BB18+'CF_1'!BB19,'CF_2'!BB18+'CF_2'!BB19,'CF_3'!BB18+'CF_3'!BB19)</x:f>
        <x:v>0</x:v>
      </x:c>
      <x:c r="BC12" s="117" t="n">
        <x:f>SUM('CF_1'!BC18+'CF_1'!BC19,'CF_2'!BC18+'CF_2'!BC19,'CF_3'!BC18+'CF_3'!BC19)</x:f>
        <x:v>0</x:v>
      </x:c>
      <x:c r="BD12" s="117" t="n">
        <x:f>SUM('CF_1'!BD18+'CF_1'!BD19,'CF_2'!BD18+'CF_2'!BD19,'CF_3'!BD18+'CF_3'!BD19)</x:f>
        <x:v>0</x:v>
      </x:c>
      <x:c r="BE12" s="117" t="n">
        <x:f>SUM('CF_1'!BE18+'CF_1'!BE19,'CF_2'!BE18+'CF_2'!BE19,'CF_3'!BE18+'CF_3'!BE19)</x:f>
        <x:v>0</x:v>
      </x:c>
      <x:c r="BF12" s="117" t="n">
        <x:f>SUM('CF_1'!BF18+'CF_1'!BF19,'CF_2'!BF18+'CF_2'!BF19,'CF_3'!BF18+'CF_3'!BF19)</x:f>
        <x:v>0</x:v>
      </x:c>
      <x:c r="BG12" s="117" t="n">
        <x:f>SUM('CF_1'!BG18+'CF_1'!BG19,'CF_2'!BG18+'CF_2'!BG19,'CF_3'!BG18+'CF_3'!BG19)</x:f>
        <x:v>0</x:v>
      </x:c>
      <x:c r="BH12" s="117" t="n">
        <x:f>SUM('CF_1'!BH18+'CF_1'!BH19,'CF_2'!BH18+'CF_2'!BH19,'CF_3'!BH18+'CF_3'!BH19)</x:f>
        <x:v>0</x:v>
      </x:c>
      <x:c r="BI12" s="117" t="n">
        <x:f>SUM('CF_1'!BI18+'CF_1'!BI19,'CF_2'!BI18+'CF_2'!BI19,'CF_3'!BI18+'CF_3'!BI19)</x:f>
        <x:v>0</x:v>
      </x:c>
      <x:c r="BJ12" s="117" t="n">
        <x:f>SUM('CF_1'!BJ18+'CF_1'!BJ19,'CF_2'!BJ18+'CF_2'!BJ19,'CF_3'!BJ18+'CF_3'!BJ19)</x:f>
        <x:v>0</x:v>
      </x:c>
      <x:c r="BK12" s="117" t="n">
        <x:f>SUM('CF_1'!BK18+'CF_1'!BK19,'CF_2'!BK18+'CF_2'!BK19,'CF_3'!BK18+'CF_3'!BK19)</x:f>
        <x:v>0</x:v>
      </x:c>
      <x:c r="BL12" s="117" t="n">
        <x:f>SUM('CF_1'!BL18+'CF_1'!BL19,'CF_2'!BL18+'CF_2'!BL19,'CF_3'!BL18+'CF_3'!BL19)</x:f>
        <x:v>0</x:v>
      </x:c>
      <x:c r="BM12" s="117" t="n">
        <x:f>SUM('CF_1'!BM18+'CF_1'!BM19,'CF_2'!BM18+'CF_2'!BM19,'CF_3'!BM18+'CF_3'!BM19)</x:f>
        <x:v>0</x:v>
      </x:c>
      <x:c r="BN12" s="117" t="n">
        <x:f>SUM('CF_1'!BN18+'CF_1'!BN19,'CF_2'!BN18+'CF_2'!BN19,'CF_3'!BN18+'CF_3'!BN19)</x:f>
        <x:v>0</x:v>
      </x:c>
      <x:c r="BO12" s="117" t="n">
        <x:f>SUM('CF_1'!BO18+'CF_1'!BO19,'CF_2'!BO18+'CF_2'!BO19,'CF_3'!BO18+'CF_3'!BO19)</x:f>
        <x:v>0</x:v>
      </x:c>
      <x:c r="BP12" s="117" t="n">
        <x:f>SUM('CF_1'!BP18+'CF_1'!BP19,'CF_2'!BP18+'CF_2'!BP19,'CF_3'!BP18+'CF_3'!BP19)</x:f>
        <x:v>0</x:v>
      </x:c>
      <x:c r="BQ12" s="117" t="n">
        <x:f>SUM('CF_1'!BQ18+'CF_1'!BQ19,'CF_2'!BQ18+'CF_2'!BQ19,'CF_3'!BQ18+'CF_3'!BQ19)</x:f>
        <x:v>0</x:v>
      </x:c>
      <x:c r="BR12" s="117" t="n">
        <x:f>SUM('CF_1'!BR18+'CF_1'!BR19,'CF_2'!BR18+'CF_2'!BR19,'CF_3'!BR18+'CF_3'!BR19)</x:f>
        <x:v>0</x:v>
      </x:c>
      <x:c r="BS12" s="117" t="n">
        <x:f>SUM('CF_1'!BS18+'CF_1'!BS19,'CF_2'!BS18+'CF_2'!BS19,'CF_3'!BS18+'CF_3'!BS19)</x:f>
        <x:v>0</x:v>
      </x:c>
      <x:c r="BT12" s="117" t="n">
        <x:f>SUM('CF_1'!BT18+'CF_1'!BT19,'CF_2'!BT18+'CF_2'!BT19,'CF_3'!BT18+'CF_3'!BT19)</x:f>
        <x:v>0</x:v>
      </x:c>
      <x:c r="BU12" s="117" t="n">
        <x:f>SUM('CF_1'!BU18+'CF_1'!BU19,'CF_2'!BU18+'CF_2'!BU19,'CF_3'!BU18+'CF_3'!BU19)</x:f>
        <x:v>0</x:v>
      </x:c>
      <x:c r="BV12" s="117" t="n">
        <x:f>SUM('CF_1'!BV18+'CF_1'!BV19,'CF_2'!BV18+'CF_2'!BV19,'CF_3'!BV18+'CF_3'!BV19)</x:f>
        <x:v>0</x:v>
      </x:c>
      <x:c r="BW12" s="117" t="n">
        <x:f>SUM('CF_1'!BW18+'CF_1'!BW19,'CF_2'!BW18+'CF_2'!BW19,'CF_3'!BW18+'CF_3'!BW19)</x:f>
        <x:v>0</x:v>
      </x:c>
      <x:c r="BX12" s="117" t="n">
        <x:f>SUM('CF_1'!BX18+'CF_1'!BX19,'CF_2'!BX18+'CF_2'!BX19,'CF_3'!BX18+'CF_3'!BX19)</x:f>
        <x:v>0</x:v>
      </x:c>
      <x:c r="BY12" s="117" t="n">
        <x:f>SUM('CF_1'!BY18+'CF_1'!BY19,'CF_2'!BY18+'CF_2'!BY19,'CF_3'!BY18+'CF_3'!BY19)</x:f>
        <x:v>0</x:v>
      </x:c>
      <x:c r="BZ12" s="117" t="n">
        <x:f>SUM('CF_1'!BZ18+'CF_1'!BZ19,'CF_2'!BZ18+'CF_2'!BZ19,'CF_3'!BZ18+'CF_3'!BZ19)</x:f>
        <x:v>0</x:v>
      </x:c>
      <x:c r="CA12" s="117" t="n">
        <x:f>SUM('CF_1'!CA18+'CF_1'!CA19,'CF_2'!CA18+'CF_2'!CA19,'CF_3'!CA18+'CF_3'!CA19)</x:f>
        <x:v>0</x:v>
      </x:c>
      <x:c r="CB12" s="117" t="n">
        <x:f>SUM('CF_1'!CB18+'CF_1'!CB19,'CF_2'!CB18+'CF_2'!CB19,'CF_3'!CB18+'CF_3'!CB19)</x:f>
        <x:v>0</x:v>
      </x:c>
      <x:c r="CC12" s="117" t="n">
        <x:f>SUM('CF_1'!CC18+'CF_1'!CC19,'CF_2'!CC18+'CF_2'!CC19,'CF_3'!CC18+'CF_3'!CC19)</x:f>
        <x:v>0</x:v>
      </x:c>
      <x:c r="CD12" s="117" t="n">
        <x:f>SUM('CF_1'!CD18+'CF_1'!CD19,'CF_2'!CD18+'CF_2'!CD19,'CF_3'!CD18+'CF_3'!CD19)</x:f>
        <x:v>0</x:v>
      </x:c>
      <x:c r="CE12" s="117" t="n">
        <x:f>SUM('CF_1'!CE18+'CF_1'!CE19,'CF_2'!CE18+'CF_2'!CE19,'CF_3'!CE18+'CF_3'!CE19)</x:f>
        <x:v>0</x:v>
      </x:c>
      <x:c r="CF12" s="117" t="n">
        <x:f>SUM('CF_1'!CF18+'CF_1'!CF19,'CF_2'!CF18+'CF_2'!CF19,'CF_3'!CF18+'CF_3'!CF19)</x:f>
        <x:v>0</x:v>
      </x:c>
      <x:c r="CG12" s="117" t="n">
        <x:f>SUM('CF_1'!CG18+'CF_1'!CG19,'CF_2'!CG18+'CF_2'!CG19,'CF_3'!CG18+'CF_3'!CG19)</x:f>
        <x:v>0</x:v>
      </x:c>
      <x:c r="CH12" s="117" t="n">
        <x:f>SUM('CF_1'!CH18+'CF_1'!CH19,'CF_2'!CH18+'CF_2'!CH19,'CF_3'!CH18+'CF_3'!CH19)</x:f>
        <x:v>0</x:v>
      </x:c>
      <x:c r="CI12" s="117" t="n">
        <x:f>SUM('CF_1'!CI18+'CF_1'!CI19,'CF_2'!CI18+'CF_2'!CI19,'CF_3'!CI18+'CF_3'!CI19)</x:f>
        <x:v>0</x:v>
      </x:c>
      <x:c r="CJ12" s="117" t="n">
        <x:f>SUM('CF_1'!CJ18+'CF_1'!CJ19,'CF_2'!CJ18+'CF_2'!CJ19,'CF_3'!CJ18+'CF_3'!CJ19)</x:f>
        <x:v>0</x:v>
      </x:c>
      <x:c r="CK12" s="117" t="n">
        <x:f>SUM('CF_1'!CK18+'CF_1'!CK19,'CF_2'!CK18+'CF_2'!CK19,'CF_3'!CK18+'CF_3'!CK19)</x:f>
        <x:v>0</x:v>
      </x:c>
      <x:c r="CL12" s="117" t="n">
        <x:f>SUM('CF_1'!CL18+'CF_1'!CL19,'CF_2'!CL18+'CF_2'!CL19,'CF_3'!CL18+'CF_3'!CL19)</x:f>
        <x:v>0</x:v>
      </x:c>
      <x:c r="CM12" s="117" t="n">
        <x:f>SUM('CF_1'!CM18+'CF_1'!CM19,'CF_2'!CM18+'CF_2'!CM19,'CF_3'!CM18+'CF_3'!CM19)</x:f>
        <x:v>0</x:v>
      </x:c>
      <x:c r="CN12" s="117" t="n">
        <x:f>SUM('CF_1'!CN18+'CF_1'!CN19,'CF_2'!CN18+'CF_2'!CN19,'CF_3'!CN18+'CF_3'!CN19)</x:f>
        <x:v>0</x:v>
      </x:c>
      <x:c r="CO12" s="117" t="n">
        <x:f>SUM('CF_1'!CO18+'CF_1'!CO19,'CF_2'!CO18+'CF_2'!CO19,'CF_3'!CO18+'CF_3'!CO19)</x:f>
        <x:v>0</x:v>
      </x:c>
      <x:c r="CP12" s="117" t="n">
        <x:f>SUM('CF_1'!CP18+'CF_1'!CP19,'CF_2'!CP18+'CF_2'!CP19,'CF_3'!CP18+'CF_3'!CP19)</x:f>
        <x:v>0</x:v>
      </x:c>
      <x:c r="CQ12" s="117" t="n">
        <x:f>SUM('CF_1'!CQ18+'CF_1'!CQ19,'CF_2'!CQ18+'CF_2'!CQ19,'CF_3'!CQ18+'CF_3'!CQ19)</x:f>
        <x:v>0</x:v>
      </x:c>
      <x:c r="CR12" s="117" t="n">
        <x:f>SUM('CF_1'!CR18+'CF_1'!CR19,'CF_2'!CR18+'CF_2'!CR19,'CF_3'!CR18+'CF_3'!CR19)</x:f>
        <x:v>0</x:v>
      </x:c>
      <x:c r="CS12" s="117" t="n">
        <x:f>SUM('CF_1'!CS18+'CF_1'!CS19,'CF_2'!CS18+'CF_2'!CS19,'CF_3'!CS18+'CF_3'!CS19)</x:f>
        <x:v>0</x:v>
      </x:c>
      <x:c r="CT12" s="117" t="n">
        <x:f>SUM('CF_1'!CT18+'CF_1'!CT19,'CF_2'!CT18+'CF_2'!CT19,'CF_3'!CT18+'CF_3'!CT19)</x:f>
        <x:v>0</x:v>
      </x:c>
      <x:c r="CU12" s="117" t="n">
        <x:f>SUM('CF_1'!CU18+'CF_1'!CU19,'CF_2'!CU18+'CF_2'!CU19,'CF_3'!CU18+'CF_3'!CU19)</x:f>
        <x:v>0</x:v>
      </x:c>
      <x:c r="CV12" s="117" t="n">
        <x:f>SUM('CF_1'!CV18+'CF_1'!CV19,'CF_2'!CV18+'CF_2'!CV19,'CF_3'!CV18+'CF_3'!CV19)</x:f>
        <x:v>0</x:v>
      </x:c>
      <x:c r="CW12" s="117" t="n">
        <x:f>SUM('CF_1'!CW18+'CF_1'!CW19,'CF_2'!CW18+'CF_2'!CW19,'CF_3'!CW18+'CF_3'!CW19)</x:f>
        <x:v>0</x:v>
      </x:c>
      <x:c r="CX12" s="117" t="n">
        <x:f>SUM('CF_1'!CX18+'CF_1'!CX19,'CF_2'!CX18+'CF_2'!CX19,'CF_3'!CX18+'CF_3'!CX19)</x:f>
        <x:v>0</x:v>
      </x:c>
      <x:c r="CY12" s="117" t="n">
        <x:f>SUM('CF_1'!CY18+'CF_1'!CY19,'CF_2'!CY18+'CF_2'!CY19,'CF_3'!CY18+'CF_3'!CY19)</x:f>
        <x:v>0</x:v>
      </x:c>
      <x:c r="CZ12" s="117" t="n">
        <x:f>SUM('CF_1'!CZ18+'CF_1'!CZ19,'CF_2'!CZ18+'CF_2'!CZ19,'CF_3'!CZ18+'CF_3'!CZ19)</x:f>
        <x:v>0</x:v>
      </x:c>
      <x:c r="DA12" s="117" t="n">
        <x:f>SUM('CF_1'!DA18+'CF_1'!DA19,'CF_2'!DA18+'CF_2'!DA19,'CF_3'!DA18+'CF_3'!DA19)</x:f>
        <x:v>0</x:v>
      </x:c>
      <x:c r="DB12" s="117" t="n">
        <x:f>SUM('CF_1'!DB18+'CF_1'!DB19,'CF_2'!DB18+'CF_2'!DB19,'CF_3'!DB18+'CF_3'!DB19)</x:f>
        <x:v>0</x:v>
      </x:c>
      <x:c r="DC12" s="117" t="n">
        <x:f>SUM('CF_1'!DC18+'CF_1'!DC19,'CF_2'!DC18+'CF_2'!DC19,'CF_3'!DC18+'CF_3'!DC19)</x:f>
        <x:v>0</x:v>
      </x:c>
      <x:c r="DD12" s="117" t="n">
        <x:f>SUM('CF_1'!DD18+'CF_1'!DD19,'CF_2'!DD18+'CF_2'!DD19,'CF_3'!DD18+'CF_3'!DD19)</x:f>
        <x:v>0</x:v>
      </x:c>
      <x:c r="DE12" s="117" t="n">
        <x:f>SUM('CF_1'!DE18+'CF_1'!DE19,'CF_2'!DE18+'CF_2'!DE19,'CF_3'!DE18+'CF_3'!DE19)</x:f>
        <x:v>0</x:v>
      </x:c>
      <x:c r="DF12" s="117" t="n">
        <x:f>SUM('CF_1'!DF18+'CF_1'!DF19,'CF_2'!DF18+'CF_2'!DF19,'CF_3'!DF18+'CF_3'!DF19)</x:f>
        <x:v>0</x:v>
      </x:c>
      <x:c r="DG12" s="117" t="n">
        <x:f>SUM('CF_1'!DG18+'CF_1'!DG19,'CF_2'!DG18+'CF_2'!DG19,'CF_3'!DG18+'CF_3'!DG19)</x:f>
        <x:v>0</x:v>
      </x:c>
      <x:c r="DH12" s="117" t="n">
        <x:f>SUM('CF_1'!DH18+'CF_1'!DH19,'CF_2'!DH18+'CF_2'!DH19,'CF_3'!DH18+'CF_3'!DH19)</x:f>
        <x:v>0</x:v>
      </x:c>
      <x:c r="DI12" s="117" t="n">
        <x:f>SUM('CF_1'!DI18+'CF_1'!DI19,'CF_2'!DI18+'CF_2'!DI19,'CF_3'!DI18+'CF_3'!DI19)</x:f>
        <x:v>0</x:v>
      </x:c>
      <x:c r="DJ12" s="117" t="n">
        <x:f>SUM('CF_1'!DJ18+'CF_1'!DJ19,'CF_2'!DJ18+'CF_2'!DJ19,'CF_3'!DJ18+'CF_3'!DJ19)</x:f>
        <x:v>0</x:v>
      </x:c>
      <x:c r="DK12" s="117" t="n">
        <x:f>SUM('CF_1'!DK18+'CF_1'!DK19,'CF_2'!DK18+'CF_2'!DK19,'CF_3'!DK18+'CF_3'!DK19)</x:f>
        <x:v>0</x:v>
      </x:c>
      <x:c r="DL12" s="117" t="n">
        <x:f>SUM('CF_1'!DL18+'CF_1'!DL19,'CF_2'!DL18+'CF_2'!DL19,'CF_3'!DL18+'CF_3'!DL19)</x:f>
        <x:v>0</x:v>
      </x:c>
      <x:c r="DM12" s="117" t="n">
        <x:f>SUM('CF_1'!DM18+'CF_1'!DM19,'CF_2'!DM18+'CF_2'!DM19,'CF_3'!DM18+'CF_3'!DM19)</x:f>
        <x:v>0</x:v>
      </x:c>
      <x:c r="DN12" s="117" t="n">
        <x:f>SUM('CF_1'!DN18+'CF_1'!DN19,'CF_2'!DN18+'CF_2'!DN19,'CF_3'!DN18+'CF_3'!DN19)</x:f>
        <x:v>0</x:v>
      </x:c>
      <x:c r="DO12" s="117" t="n">
        <x:f>SUM('CF_1'!DO18+'CF_1'!DO19,'CF_2'!DO18+'CF_2'!DO19,'CF_3'!DO18+'CF_3'!DO19)</x:f>
        <x:v>0</x:v>
      </x:c>
      <x:c r="DP12" s="117" t="n">
        <x:f>SUM('CF_1'!DP18+'CF_1'!DP19,'CF_2'!DP18+'CF_2'!DP19,'CF_3'!DP18+'CF_3'!DP19)</x:f>
        <x:v>0</x:v>
      </x:c>
      <x:c r="DQ12" s="117" t="n">
        <x:f>SUM('CF_1'!DQ18+'CF_1'!DQ19,'CF_2'!DQ18+'CF_2'!DQ19,'CF_3'!DQ18+'CF_3'!DQ19)</x:f>
        <x:v>0</x:v>
      </x:c>
      <x:c r="DR12" s="117" t="n">
        <x:f>SUM('CF_1'!DR18+'CF_1'!DR19,'CF_2'!DR18+'CF_2'!DR19,'CF_3'!DR18+'CF_3'!DR19)</x:f>
        <x:v>0</x:v>
      </x:c>
      <x:c r="DS12" s="117" t="n">
        <x:f>SUM('CF_1'!DS18+'CF_1'!DS19,'CF_2'!DS18+'CF_2'!DS19,'CF_3'!DS18+'CF_3'!DS19)</x:f>
        <x:v>0</x:v>
      </x:c>
    </x:row>
    <x:row r="13">
      <x:c r="A13" s="113" t="str">
        <x:v>Расходы проекта всего</x:v>
      </x:c>
      <x:c r="B13" s="113" t="n">
        <x:f>SUM(D13:DS13)</x:f>
        <x:v>10279.575186496022</x:v>
      </x:c>
      <x:c r="C13" s="113" t="str">
        <x:v>млн ₽</x:v>
      </x:c>
      <x:c r="D13" s="120" t="n">
        <x:f>SUM('CF_1'!D20,'CF_2'!D20,'CF_3'!D20)</x:f>
        <x:v>707.9807307539683</x:v>
      </x:c>
      <x:c r="E13" s="120" t="n">
        <x:f>SUM('CF_1'!E20,'CF_2'!E20,'CF_3'!E20)</x:f>
        <x:v>7.980730753968252</x:v>
      </x:c>
      <x:c r="F13" s="120" t="n">
        <x:f>SUM('CF_1'!F20,'CF_2'!F20,'CF_3'!F20)</x:f>
        <x:v>7.980730753968252</x:v>
      </x:c>
      <x:c r="G13" s="120" t="n">
        <x:f>SUM('CF_1'!G20,'CF_2'!G20,'CF_3'!G20)</x:f>
        <x:v>7.980730753968252</x:v>
      </x:c>
      <x:c r="H13" s="120" t="n">
        <x:f>SUM('CF_1'!H20,'CF_2'!H20,'CF_3'!H20)</x:f>
        <x:v>7.980730753968252</x:v>
      </x:c>
      <x:c r="I13" s="120" t="n">
        <x:f>SUM('CF_1'!I20,'CF_2'!I20,'CF_3'!I20)</x:f>
        <x:v>7.980730753968252</x:v>
      </x:c>
      <x:c r="J13" s="120" t="n">
        <x:f>SUM('CF_1'!J20,'CF_2'!J20,'CF_3'!J20)</x:f>
        <x:v>7.980730753968252</x:v>
      </x:c>
      <x:c r="K13" s="120" t="n">
        <x:f>SUM('CF_1'!K20,'CF_2'!K20,'CF_3'!K20)</x:f>
        <x:v>7.980730753968252</x:v>
      </x:c>
      <x:c r="L13" s="120" t="n">
        <x:f>SUM('CF_1'!L20,'CF_2'!L20,'CF_3'!L20)</x:f>
        <x:v>7.980730753968252</x:v>
      </x:c>
      <x:c r="M13" s="120" t="n">
        <x:f>SUM('CF_1'!M20,'CF_2'!M20,'CF_3'!M20)</x:f>
        <x:v>7.980730753968252</x:v>
      </x:c>
      <x:c r="N13" s="120" t="n">
        <x:f>SUM('CF_1'!N20,'CF_2'!N20,'CF_3'!N20)</x:f>
        <x:v>7.980730753968252</x:v>
      </x:c>
      <x:c r="O13" s="120" t="n">
        <x:f>SUM('CF_1'!O20,'CF_2'!O20,'CF_3'!O20)</x:f>
        <x:v>7.980730753968252</x:v>
      </x:c>
      <x:c r="P13" s="120" t="n">
        <x:f>SUM('CF_1'!P20,'CF_2'!P20,'CF_3'!P20)</x:f>
        <x:v>33.94773075396826</x:v>
      </x:c>
      <x:c r="Q13" s="120" t="n">
        <x:f>SUM('CF_1'!Q20,'CF_2'!Q20,'CF_3'!Q20)</x:f>
        <x:v>33.94773075396826</x:v>
      </x:c>
      <x:c r="R13" s="120" t="n">
        <x:f>SUM('CF_1'!R20,'CF_2'!R20,'CF_3'!R20)</x:f>
        <x:v>33.94773075396826</x:v>
      </x:c>
      <x:c r="S13" s="120" t="n">
        <x:f>SUM('CF_1'!S20,'CF_2'!S20,'CF_3'!S20)</x:f>
        <x:v>33.94773075396826</x:v>
      </x:c>
      <x:c r="T13" s="120" t="n">
        <x:f>SUM('CF_1'!T20,'CF_2'!T20,'CF_3'!T20)</x:f>
        <x:v>33.94773075396826</x:v>
      </x:c>
      <x:c r="U13" s="120" t="n">
        <x:f>SUM('CF_1'!U20,'CF_2'!U20,'CF_3'!U20)</x:f>
        <x:v>1882.1547307539681</x:v>
      </x:c>
      <x:c r="V13" s="120" t="n">
        <x:f>SUM('CF_1'!V20,'CF_2'!V20,'CF_3'!V20)</x:f>
        <x:v>180.27246442335544</x:v>
      </x:c>
      <x:c r="W13" s="120" t="n">
        <x:f>SUM('CF_1'!W20,'CF_2'!W20,'CF_3'!W20)</x:f>
        <x:v>180.79072625464306</x:v>
      </x:c>
      <x:c r="X13" s="120" t="n">
        <x:f>SUM('CF_1'!X20,'CF_2'!X20,'CF_3'!X20)</x:f>
        <x:v>185.143738289621</x:v>
      </x:c>
      <x:c r="Y13" s="120" t="n">
        <x:f>SUM('CF_1'!Y20,'CF_2'!Y20,'CF_3'!Y20)</x:f>
        <x:v>185.7845126586452</x:v>
      </x:c>
      <x:c r="Z13" s="120" t="n">
        <x:f>SUM('CF_1'!Z20,'CF_2'!Z20,'CF_3'!Z20)</x:f>
        <x:v>339.56891502559137</x:v>
      </x:c>
      <x:c r="AA13" s="120" t="n">
        <x:f>SUM('CF_1'!AA20,'CF_2'!AA20,'CF_3'!AA20)</x:f>
        <x:v>340.24232564958334</x:v>
      </x:c>
      <x:c r="AB13" s="120" t="n">
        <x:f>SUM('CF_1'!AB20,'CF_2'!AB20,'CF_3'!AB20)</x:f>
        <x:v>336.71174337134426</x:v>
      </x:c>
      <x:c r="AC13" s="120" t="n">
        <x:f>SUM('CF_1'!AC20,'CF_2'!AC20,'CF_3'!AC20)</x:f>
        <x:v>341.6403816765188</x:v>
      </x:c>
      <x:c r="AD13" s="120" t="n">
        <x:f>SUM('CF_1'!AD20,'CF_2'!AD20,'CF_3'!AD20)</x:f>
        <x:v>342.36588968678166</x:v>
      </x:c>
      <x:c r="AE13" s="120" t="n">
        <x:f>SUM('CF_1'!AE20,'CF_2'!AE20,'CF_3'!AE20)</x:f>
        <x:v>343.10964422350247</x:v>
      </x:c>
      <x:c r="AF13" s="120" t="n">
        <x:f>SUM('CF_1'!AF20,'CF_2'!AF20,'CF_3'!AF20)</x:f>
        <x:v>339.2102602619895</x:v>
      </x:c>
      <x:c r="AG13" s="120" t="n">
        <x:f>SUM('CF_1'!AG20,'CF_2'!AG20,'CF_3'!AG20)</x:f>
        <x:v>339.8746507186769</x:v>
      </x:c>
      <x:c r="AH13" s="120" t="n">
        <x:f>SUM('CF_1'!AH20,'CF_2'!AH20,'CF_3'!AH20)</x:f>
        <x:v>340.5557505953499</x:v>
      </x:c>
      <x:c r="AI13" s="120" t="n">
        <x:f>SUM('CF_1'!AI20,'CF_2'!AI20,'CF_3'!AI20)</x:f>
        <x:v>341.2539801339213</x:v>
      </x:c>
      <x:c r="AJ13" s="120" t="n">
        <x:f>SUM('CF_1'!AJ20,'CF_2'!AJ20,'CF_3'!AJ20)</x:f>
        <x:v>347.1185864025846</x:v>
      </x:c>
      <x:c r="AK13" s="120" t="n">
        <x:f>SUM('CF_1'!AK20,'CF_2'!AK20,'CF_3'!AK20)</x:f>
        <x:v>347.9818712617079</x:v>
      </x:c>
      <x:c r="AL13" s="120" t="n">
        <x:f>SUM('CF_1'!AL20,'CF_2'!AL20,'CF_3'!AL20)</x:f>
        <x:v>348.8668677350382</x:v>
      </x:c>
      <x:c r="AM13" s="120" t="n">
        <x:f>SUM('CF_1'!AM20,'CF_2'!AM20,'CF_3'!AM20)</x:f>
        <x:v>349.7741218696727</x:v>
      </x:c>
      <x:c r="AN13" s="120" t="n">
        <x:f>SUM('CF_1'!AN20,'CF_2'!AN20,'CF_3'!AN20)</x:f>
        <x:v>345.0175361321152</x:v>
      </x:c>
      <x:c r="AO13" s="120" t="n">
        <x:f>SUM('CF_1'!AO20,'CF_2'!AO20,'CF_3'!AO20)</x:f>
        <x:v>249.57264797369268</x:v>
      </x:c>
      <x:c r="AP13" s="120" t="n">
        <x:f>SUM('CF_1'!AP20,'CF_2'!AP20,'CF_3'!AP20)</x:f>
        <x:v>250.55009044129065</x:v>
      </x:c>
      <x:c r="AQ13" s="120" t="n">
        <x:f>SUM('CF_1'!AQ20,'CF_2'!AQ20,'CF_3'!AQ20)</x:f>
        <x:v>303.48611558694876</x:v>
      </x:c>
      <x:c r="AR13" s="120" t="n">
        <x:f>SUM('CF_1'!AR20,'CF_2'!AR20,'CF_3'!AR20)</x:f>
        <x:v>298.2326608662039</x:v>
      </x:c>
      <x:c r="AS13" s="120" t="n">
        <x:f>SUM('CF_1'!AS20,'CF_2'!AS20,'CF_3'!AS20)</x:f>
        <x:v>299.1277625580485</x:v>
      </x:c>
      <x:c r="AT13" s="120" t="n">
        <x:f>SUM('CF_1'!AT20,'CF_2'!AT20,'CF_3'!AT20)</x:f>
        <x:v>22.46682799289293</x:v>
      </x:c>
      <x:c r="AU13" s="120" t="n">
        <x:f>SUM('CF_1'!AU20,'CF_2'!AU20,'CF_3'!AU20)</x:f>
        <x:v>22.748225013503905</x:v>
      </x:c>
      <x:c r="AV13" s="120" t="n">
        <x:f>SUM('CF_1'!AV20,'CF_2'!AV20,'CF_3'!AV20)</x:f>
        <x:v>27.097819449174175</x:v>
      </x:c>
      <x:c r="AW13" s="120" t="n">
        <x:f>SUM('CF_1'!AW20,'CF_2'!AW20,'CF_3'!AW20)</x:f>
        <x:v>27.437219637775083</x:v>
      </x:c>
      <x:c r="AX13" s="120" t="n">
        <x:f>SUM('CF_1'!AX20,'CF_2'!AX20,'CF_3'!AX20)</x:f>
        <x:v>27.78087081373821</x:v>
      </x:c>
      <x:c r="AY13" s="120" t="n">
        <x:f>SUM('CF_1'!AY20,'CF_2'!AY20,'CF_3'!AY20)</x:f>
        <x:v>28.12882622068029</x:v>
      </x:c>
      <x:c r="AZ13" s="120" t="n">
        <x:f>SUM('CF_1'!AZ20,'CF_2'!AZ20,'CF_3'!AZ20)</x:f>
        <x:v>0</x:v>
      </x:c>
      <x:c r="BA13" s="120" t="n">
        <x:f>SUM('CF_1'!BA20,'CF_2'!BA20,'CF_3'!BA20)</x:f>
        <x:v>0</x:v>
      </x:c>
      <x:c r="BB13" s="120" t="n">
        <x:f>SUM('CF_1'!BB20,'CF_2'!BB20,'CF_3'!BB20)</x:f>
        <x:v>0</x:v>
      </x:c>
      <x:c r="BC13" s="120" t="n">
        <x:f>SUM('CF_1'!BC20,'CF_2'!BC20,'CF_3'!BC20)</x:f>
        <x:v>0</x:v>
      </x:c>
      <x:c r="BD13" s="120" t="n">
        <x:f>SUM('CF_1'!BD20,'CF_2'!BD20,'CF_3'!BD20)</x:f>
        <x:v>0</x:v>
      </x:c>
      <x:c r="BE13" s="120" t="n">
        <x:f>SUM('CF_1'!BE20,'CF_2'!BE20,'CF_3'!BE20)</x:f>
        <x:v>0</x:v>
      </x:c>
      <x:c r="BF13" s="120" t="n">
        <x:f>SUM('CF_1'!BF20,'CF_2'!BF20,'CF_3'!BF20)</x:f>
        <x:v>0</x:v>
      </x:c>
      <x:c r="BG13" s="120" t="n">
        <x:f>SUM('CF_1'!BG20,'CF_2'!BG20,'CF_3'!BG20)</x:f>
        <x:v>0</x:v>
      </x:c>
      <x:c r="BH13" s="120" t="n">
        <x:f>SUM('CF_1'!BH20,'CF_2'!BH20,'CF_3'!BH20)</x:f>
        <x:v>0</x:v>
      </x:c>
      <x:c r="BI13" s="120" t="n">
        <x:f>SUM('CF_1'!BI20,'CF_2'!BI20,'CF_3'!BI20)</x:f>
        <x:v>0</x:v>
      </x:c>
      <x:c r="BJ13" s="120" t="n">
        <x:f>SUM('CF_1'!BJ20,'CF_2'!BJ20,'CF_3'!BJ20)</x:f>
        <x:v>0</x:v>
      </x:c>
      <x:c r="BK13" s="120" t="n">
        <x:f>SUM('CF_1'!BK20,'CF_2'!BK20,'CF_3'!BK20)</x:f>
        <x:v>0</x:v>
      </x:c>
      <x:c r="BL13" s="120" t="n">
        <x:f>SUM('CF_1'!BL20,'CF_2'!BL20,'CF_3'!BL20)</x:f>
        <x:v>0</x:v>
      </x:c>
      <x:c r="BM13" s="120" t="n">
        <x:f>SUM('CF_1'!BM20,'CF_2'!BM20,'CF_3'!BM20)</x:f>
        <x:v>0</x:v>
      </x:c>
      <x:c r="BN13" s="120" t="n">
        <x:f>SUM('CF_1'!BN20,'CF_2'!BN20,'CF_3'!BN20)</x:f>
        <x:v>0</x:v>
      </x:c>
      <x:c r="BO13" s="120" t="n">
        <x:f>SUM('CF_1'!BO20,'CF_2'!BO20,'CF_3'!BO20)</x:f>
        <x:v>0</x:v>
      </x:c>
      <x:c r="BP13" s="120" t="n">
        <x:f>SUM('CF_1'!BP20,'CF_2'!BP20,'CF_3'!BP20)</x:f>
        <x:v>0</x:v>
      </x:c>
      <x:c r="BQ13" s="120" t="n">
        <x:f>SUM('CF_1'!BQ20,'CF_2'!BQ20,'CF_3'!BQ20)</x:f>
        <x:v>0</x:v>
      </x:c>
      <x:c r="BR13" s="120" t="n">
        <x:f>SUM('CF_1'!BR20,'CF_2'!BR20,'CF_3'!BR20)</x:f>
        <x:v>0</x:v>
      </x:c>
      <x:c r="BS13" s="120" t="n">
        <x:f>SUM('CF_1'!BS20,'CF_2'!BS20,'CF_3'!BS20)</x:f>
        <x:v>0</x:v>
      </x:c>
      <x:c r="BT13" s="120" t="n">
        <x:f>SUM('CF_1'!BT20,'CF_2'!BT20,'CF_3'!BT20)</x:f>
        <x:v>0</x:v>
      </x:c>
      <x:c r="BU13" s="120" t="n">
        <x:f>SUM('CF_1'!BU20,'CF_2'!BU20,'CF_3'!BU20)</x:f>
        <x:v>0</x:v>
      </x:c>
      <x:c r="BV13" s="120" t="n">
        <x:f>SUM('CF_1'!BV20,'CF_2'!BV20,'CF_3'!BV20)</x:f>
        <x:v>0</x:v>
      </x:c>
      <x:c r="BW13" s="120" t="n">
        <x:f>SUM('CF_1'!BW20,'CF_2'!BW20,'CF_3'!BW20)</x:f>
        <x:v>0</x:v>
      </x:c>
      <x:c r="BX13" s="120" t="n">
        <x:f>SUM('CF_1'!BX20,'CF_2'!BX20,'CF_3'!BX20)</x:f>
        <x:v>0</x:v>
      </x:c>
      <x:c r="BY13" s="120" t="n">
        <x:f>SUM('CF_1'!BY20,'CF_2'!BY20,'CF_3'!BY20)</x:f>
        <x:v>0</x:v>
      </x:c>
      <x:c r="BZ13" s="120" t="n">
        <x:f>SUM('CF_1'!BZ20,'CF_2'!BZ20,'CF_3'!BZ20)</x:f>
        <x:v>0</x:v>
      </x:c>
      <x:c r="CA13" s="120" t="n">
        <x:f>SUM('CF_1'!CA20,'CF_2'!CA20,'CF_3'!CA20)</x:f>
        <x:v>0</x:v>
      </x:c>
      <x:c r="CB13" s="120" t="n">
        <x:f>SUM('CF_1'!CB20,'CF_2'!CB20,'CF_3'!CB20)</x:f>
        <x:v>0</x:v>
      </x:c>
      <x:c r="CC13" s="120" t="n">
        <x:f>SUM('CF_1'!CC20,'CF_2'!CC20,'CF_3'!CC20)</x:f>
        <x:v>0</x:v>
      </x:c>
      <x:c r="CD13" s="120" t="n">
        <x:f>SUM('CF_1'!CD20,'CF_2'!CD20,'CF_3'!CD20)</x:f>
        <x:v>0</x:v>
      </x:c>
      <x:c r="CE13" s="120" t="n">
        <x:f>SUM('CF_1'!CE20,'CF_2'!CE20,'CF_3'!CE20)</x:f>
        <x:v>0</x:v>
      </x:c>
      <x:c r="CF13" s="120" t="n">
        <x:f>SUM('CF_1'!CF20,'CF_2'!CF20,'CF_3'!CF20)</x:f>
        <x:v>0</x:v>
      </x:c>
      <x:c r="CG13" s="120" t="n">
        <x:f>SUM('CF_1'!CG20,'CF_2'!CG20,'CF_3'!CG20)</x:f>
        <x:v>0</x:v>
      </x:c>
      <x:c r="CH13" s="120" t="n">
        <x:f>SUM('CF_1'!CH20,'CF_2'!CH20,'CF_3'!CH20)</x:f>
        <x:v>0</x:v>
      </x:c>
      <x:c r="CI13" s="120" t="n">
        <x:f>SUM('CF_1'!CI20,'CF_2'!CI20,'CF_3'!CI20)</x:f>
        <x:v>0</x:v>
      </x:c>
      <x:c r="CJ13" s="120" t="n">
        <x:f>SUM('CF_1'!CJ20,'CF_2'!CJ20,'CF_3'!CJ20)</x:f>
        <x:v>0</x:v>
      </x:c>
      <x:c r="CK13" s="120" t="n">
        <x:f>SUM('CF_1'!CK20,'CF_2'!CK20,'CF_3'!CK20)</x:f>
        <x:v>0</x:v>
      </x:c>
      <x:c r="CL13" s="120" t="n">
        <x:f>SUM('CF_1'!CL20,'CF_2'!CL20,'CF_3'!CL20)</x:f>
        <x:v>0</x:v>
      </x:c>
      <x:c r="CM13" s="120" t="n">
        <x:f>SUM('CF_1'!CM20,'CF_2'!CM20,'CF_3'!CM20)</x:f>
        <x:v>0</x:v>
      </x:c>
      <x:c r="CN13" s="120" t="n">
        <x:f>SUM('CF_1'!CN20,'CF_2'!CN20,'CF_3'!CN20)</x:f>
        <x:v>0</x:v>
      </x:c>
      <x:c r="CO13" s="120" t="n">
        <x:f>SUM('CF_1'!CO20,'CF_2'!CO20,'CF_3'!CO20)</x:f>
        <x:v>0</x:v>
      </x:c>
      <x:c r="CP13" s="120" t="n">
        <x:f>SUM('CF_1'!CP20,'CF_2'!CP20,'CF_3'!CP20)</x:f>
        <x:v>0</x:v>
      </x:c>
      <x:c r="CQ13" s="120" t="n">
        <x:f>SUM('CF_1'!CQ20,'CF_2'!CQ20,'CF_3'!CQ20)</x:f>
        <x:v>0</x:v>
      </x:c>
      <x:c r="CR13" s="120" t="n">
        <x:f>SUM('CF_1'!CR20,'CF_2'!CR20,'CF_3'!CR20)</x:f>
        <x:v>0</x:v>
      </x:c>
      <x:c r="CS13" s="120" t="n">
        <x:f>SUM('CF_1'!CS20,'CF_2'!CS20,'CF_3'!CS20)</x:f>
        <x:v>0</x:v>
      </x:c>
      <x:c r="CT13" s="120" t="n">
        <x:f>SUM('CF_1'!CT20,'CF_2'!CT20,'CF_3'!CT20)</x:f>
        <x:v>0</x:v>
      </x:c>
      <x:c r="CU13" s="120" t="n">
        <x:f>SUM('CF_1'!CU20,'CF_2'!CU20,'CF_3'!CU20)</x:f>
        <x:v>0</x:v>
      </x:c>
      <x:c r="CV13" s="120" t="n">
        <x:f>SUM('CF_1'!CV20,'CF_2'!CV20,'CF_3'!CV20)</x:f>
        <x:v>0</x:v>
      </x:c>
      <x:c r="CW13" s="120" t="n">
        <x:f>SUM('CF_1'!CW20,'CF_2'!CW20,'CF_3'!CW20)</x:f>
        <x:v>0</x:v>
      </x:c>
      <x:c r="CX13" s="120" t="n">
        <x:f>SUM('CF_1'!CX20,'CF_2'!CX20,'CF_3'!CX20)</x:f>
        <x:v>0</x:v>
      </x:c>
      <x:c r="CY13" s="120" t="n">
        <x:f>SUM('CF_1'!CY20,'CF_2'!CY20,'CF_3'!CY20)</x:f>
        <x:v>0</x:v>
      </x:c>
      <x:c r="CZ13" s="120" t="n">
        <x:f>SUM('CF_1'!CZ20,'CF_2'!CZ20,'CF_3'!CZ20)</x:f>
        <x:v>0</x:v>
      </x:c>
      <x:c r="DA13" s="120" t="n">
        <x:f>SUM('CF_1'!DA20,'CF_2'!DA20,'CF_3'!DA20)</x:f>
        <x:v>0</x:v>
      </x:c>
      <x:c r="DB13" s="120" t="n">
        <x:f>SUM('CF_1'!DB20,'CF_2'!DB20,'CF_3'!DB20)</x:f>
        <x:v>0</x:v>
      </x:c>
      <x:c r="DC13" s="120" t="n">
        <x:f>SUM('CF_1'!DC20,'CF_2'!DC20,'CF_3'!DC20)</x:f>
        <x:v>0</x:v>
      </x:c>
      <x:c r="DD13" s="120" t="n">
        <x:f>SUM('CF_1'!DD20,'CF_2'!DD20,'CF_3'!DD20)</x:f>
        <x:v>0</x:v>
      </x:c>
      <x:c r="DE13" s="120" t="n">
        <x:f>SUM('CF_1'!DE20,'CF_2'!DE20,'CF_3'!DE20)</x:f>
        <x:v>0</x:v>
      </x:c>
      <x:c r="DF13" s="120" t="n">
        <x:f>SUM('CF_1'!DF20,'CF_2'!DF20,'CF_3'!DF20)</x:f>
        <x:v>0</x:v>
      </x:c>
      <x:c r="DG13" s="120" t="n">
        <x:f>SUM('CF_1'!DG20,'CF_2'!DG20,'CF_3'!DG20)</x:f>
        <x:v>0</x:v>
      </x:c>
      <x:c r="DH13" s="120" t="n">
        <x:f>SUM('CF_1'!DH20,'CF_2'!DH20,'CF_3'!DH20)</x:f>
        <x:v>0</x:v>
      </x:c>
      <x:c r="DI13" s="120" t="n">
        <x:f>SUM('CF_1'!DI20,'CF_2'!DI20,'CF_3'!DI20)</x:f>
        <x:v>0</x:v>
      </x:c>
      <x:c r="DJ13" s="120" t="n">
        <x:f>SUM('CF_1'!DJ20,'CF_2'!DJ20,'CF_3'!DJ20)</x:f>
        <x:v>0</x:v>
      </x:c>
      <x:c r="DK13" s="120" t="n">
        <x:f>SUM('CF_1'!DK20,'CF_2'!DK20,'CF_3'!DK20)</x:f>
        <x:v>0</x:v>
      </x:c>
      <x:c r="DL13" s="120" t="n">
        <x:f>SUM('CF_1'!DL20,'CF_2'!DL20,'CF_3'!DL20)</x:f>
        <x:v>0</x:v>
      </x:c>
      <x:c r="DM13" s="120" t="n">
        <x:f>SUM('CF_1'!DM20,'CF_2'!DM20,'CF_3'!DM20)</x:f>
        <x:v>0</x:v>
      </x:c>
      <x:c r="DN13" s="120" t="n">
        <x:f>SUM('CF_1'!DN20,'CF_2'!DN20,'CF_3'!DN20)</x:f>
        <x:v>0</x:v>
      </x:c>
      <x:c r="DO13" s="120" t="n">
        <x:f>SUM('CF_1'!DO20,'CF_2'!DO20,'CF_3'!DO20)</x:f>
        <x:v>0</x:v>
      </x:c>
      <x:c r="DP13" s="120" t="n">
        <x:f>SUM('CF_1'!DP20,'CF_2'!DP20,'CF_3'!DP20)</x:f>
        <x:v>0</x:v>
      </x:c>
      <x:c r="DQ13" s="120" t="n">
        <x:f>SUM('CF_1'!DQ20,'CF_2'!DQ20,'CF_3'!DQ20)</x:f>
        <x:v>0</x:v>
      </x:c>
      <x:c r="DR13" s="120" t="n">
        <x:f>SUM('CF_1'!DR20,'CF_2'!DR20,'CF_3'!DR20)</x:f>
        <x:v>0</x:v>
      </x:c>
      <x:c r="DS13" s="120" t="n">
        <x:f>SUM('CF_1'!DS20,'CF_2'!DS20,'CF_3'!DS20)</x:f>
        <x:v>0</x:v>
      </x:c>
    </x:row>
    <x:row r="14">
      <x:c r="A14" t="str">
        <x:v>Налог на прибыль</x:v>
      </x:c>
      <x:c r="B14" t="n">
        <x:f>SUM(D14:DS14)</x:f>
        <x:v>293.93083324697335</x:v>
      </x:c>
      <x:c r="C14" t="str">
        <x:v>млн ₽</x:v>
      </x:c>
      <x:c r="D14" s="117" t="n">
        <x:f>SUM('CF_1'!D24,'CF_2'!D24,'CF_3'!D24)</x:f>
        <x:v>0</x:v>
      </x:c>
      <x:c r="E14" s="117" t="n">
        <x:f>SUM('CF_1'!E24,'CF_2'!E24,'CF_3'!E24)</x:f>
        <x:v>0</x:v>
      </x:c>
      <x:c r="F14" s="117" t="n">
        <x:f>SUM('CF_1'!F24,'CF_2'!F24,'CF_3'!F24)</x:f>
        <x:v>0</x:v>
      </x:c>
      <x:c r="G14" s="117" t="n">
        <x:f>SUM('CF_1'!G24,'CF_2'!G24,'CF_3'!G24)</x:f>
        <x:v>0</x:v>
      </x:c>
      <x:c r="H14" s="117" t="n">
        <x:f>SUM('CF_1'!H24,'CF_2'!H24,'CF_3'!H24)</x:f>
        <x:v>0</x:v>
      </x:c>
      <x:c r="I14" s="117" t="n">
        <x:f>SUM('CF_1'!I24,'CF_2'!I24,'CF_3'!I24)</x:f>
        <x:v>0</x:v>
      </x:c>
      <x:c r="J14" s="117" t="n">
        <x:f>SUM('CF_1'!J24,'CF_2'!J24,'CF_3'!J24)</x:f>
        <x:v>0</x:v>
      </x:c>
      <x:c r="K14" s="117" t="n">
        <x:f>SUM('CF_1'!K24,'CF_2'!K24,'CF_3'!K24)</x:f>
        <x:v>0</x:v>
      </x:c>
      <x:c r="L14" s="117" t="n">
        <x:f>SUM('CF_1'!L24,'CF_2'!L24,'CF_3'!L24)</x:f>
        <x:v>0</x:v>
      </x:c>
      <x:c r="M14" s="117" t="n">
        <x:f>SUM('CF_1'!M24,'CF_2'!M24,'CF_3'!M24)</x:f>
        <x:v>0</x:v>
      </x:c>
      <x:c r="N14" s="117" t="n">
        <x:f>SUM('CF_1'!N24,'CF_2'!N24,'CF_3'!N24)</x:f>
        <x:v>0</x:v>
      </x:c>
      <x:c r="O14" s="117" t="n">
        <x:f>SUM('CF_1'!O24,'CF_2'!O24,'CF_3'!O24)</x:f>
        <x:v>0</x:v>
      </x:c>
      <x:c r="P14" s="117" t="n">
        <x:f>SUM('CF_1'!P24,'CF_2'!P24,'CF_3'!P24)</x:f>
        <x:v>0</x:v>
      </x:c>
      <x:c r="Q14" s="117" t="n">
        <x:f>SUM('CF_1'!Q24,'CF_2'!Q24,'CF_3'!Q24)</x:f>
        <x:v>0</x:v>
      </x:c>
      <x:c r="R14" s="117" t="n">
        <x:f>SUM('CF_1'!R24,'CF_2'!R24,'CF_3'!R24)</x:f>
        <x:v>0</x:v>
      </x:c>
      <x:c r="S14" s="117" t="n">
        <x:f>SUM('CF_1'!S24,'CF_2'!S24,'CF_3'!S24)</x:f>
        <x:v>0</x:v>
      </x:c>
      <x:c r="T14" s="117" t="n">
        <x:f>SUM('CF_1'!T24,'CF_2'!T24,'CF_3'!T24)</x:f>
        <x:v>0</x:v>
      </x:c>
      <x:c r="U14" s="117" t="n">
        <x:f>SUM('CF_1'!U24,'CF_2'!U24,'CF_3'!U24)</x:f>
        <x:v>0</x:v>
      </x:c>
      <x:c r="V14" s="117" t="n">
        <x:f>SUM('CF_1'!V24,'CF_2'!V24,'CF_3'!V24)</x:f>
        <x:v>0</x:v>
      </x:c>
      <x:c r="W14" s="117" t="n">
        <x:f>SUM('CF_1'!W24,'CF_2'!W24,'CF_3'!W24)</x:f>
        <x:v>0</x:v>
      </x:c>
      <x:c r="X14" s="117" t="n">
        <x:f>SUM('CF_1'!X24,'CF_2'!X24,'CF_3'!X24)</x:f>
        <x:v>0</x:v>
      </x:c>
      <x:c r="Y14" s="117" t="n">
        <x:f>SUM('CF_1'!Y24,'CF_2'!Y24,'CF_3'!Y24)</x:f>
        <x:v>0</x:v>
      </x:c>
      <x:c r="Z14" s="117" t="n">
        <x:f>SUM('CF_1'!Z24,'CF_2'!Z24,'CF_3'!Z24)</x:f>
        <x:v>0</x:v>
      </x:c>
      <x:c r="AA14" s="117" t="n">
        <x:f>SUM('CF_1'!AA24,'CF_2'!AA24,'CF_3'!AA24)</x:f>
        <x:v>0</x:v>
      </x:c>
      <x:c r="AB14" s="117" t="n">
        <x:f>SUM('CF_1'!AB24,'CF_2'!AB24,'CF_3'!AB24)</x:f>
        <x:v>0</x:v>
      </x:c>
      <x:c r="AC14" s="117" t="n">
        <x:f>SUM('CF_1'!AC24,'CF_2'!AC24,'CF_3'!AC24)</x:f>
        <x:v>0</x:v>
      </x:c>
      <x:c r="AD14" s="117" t="n">
        <x:f>SUM('CF_1'!AD24,'CF_2'!AD24,'CF_3'!AD24)</x:f>
        <x:v>0</x:v>
      </x:c>
      <x:c r="AE14" s="117" t="n">
        <x:f>SUM('CF_1'!AE24,'CF_2'!AE24,'CF_3'!AE24)</x:f>
        <x:v>0</x:v>
      </x:c>
      <x:c r="AF14" s="117" t="n">
        <x:f>SUM('CF_1'!AF24,'CF_2'!AF24,'CF_3'!AF24)</x:f>
        <x:v>0</x:v>
      </x:c>
      <x:c r="AG14" s="117" t="n">
        <x:f>SUM('CF_1'!AG24,'CF_2'!AG24,'CF_3'!AG24)</x:f>
        <x:v>0</x:v>
      </x:c>
      <x:c r="AH14" s="117" t="n">
        <x:f>SUM('CF_1'!AH24,'CF_2'!AH24,'CF_3'!AH24)</x:f>
        <x:v>0</x:v>
      </x:c>
      <x:c r="AI14" s="117" t="n">
        <x:f>SUM('CF_1'!AI24,'CF_2'!AI24,'CF_3'!AI24)</x:f>
        <x:v>0</x:v>
      </x:c>
      <x:c r="AJ14" s="117" t="n">
        <x:f>SUM('CF_1'!AJ24,'CF_2'!AJ24,'CF_3'!AJ24)</x:f>
        <x:v>0</x:v>
      </x:c>
      <x:c r="AK14" s="117" t="n">
        <x:f>SUM('CF_1'!AK24,'CF_2'!AK24,'CF_3'!AK24)</x:f>
        <x:v>0</x:v>
      </x:c>
      <x:c r="AL14" s="117" t="n">
        <x:f>SUM('CF_1'!AL24,'CF_2'!AL24,'CF_3'!AL24)</x:f>
        <x:v>0</x:v>
      </x:c>
      <x:c r="AM14" s="117" t="n">
        <x:f>SUM('CF_1'!AM24,'CF_2'!AM24,'CF_3'!AM24)</x:f>
        <x:v>0</x:v>
      </x:c>
      <x:c r="AN14" s="117" t="n">
        <x:f>SUM('CF_1'!AN24,'CF_2'!AN24,'CF_3'!AN24)</x:f>
        <x:v>0</x:v>
      </x:c>
      <x:c r="AO14" s="117" t="n">
        <x:f>SUM('CF_1'!AO24,'CF_2'!AO24,'CF_3'!AO24)</x:f>
        <x:v>0</x:v>
      </x:c>
      <x:c r="AP14" s="117" t="n">
        <x:f>SUM('CF_1'!AP24,'CF_2'!AP24,'CF_3'!AP24)</x:f>
        <x:v>0</x:v>
      </x:c>
      <x:c r="AQ14" s="117" t="n">
        <x:f>SUM('CF_1'!AQ24,'CF_2'!AQ24,'CF_3'!AQ24)</x:f>
        <x:v>0</x:v>
      </x:c>
      <x:c r="AR14" s="117" t="n">
        <x:f>SUM('CF_1'!AR24,'CF_2'!AR24,'CF_3'!AR24)</x:f>
        <x:v>0</x:v>
      </x:c>
      <x:c r="AS14" s="117" t="n">
        <x:f>SUM('CF_1'!AS24,'CF_2'!AS24,'CF_3'!AS24)</x:f>
        <x:v>0</x:v>
      </x:c>
      <x:c r="AT14" s="117" t="n">
        <x:f>SUM('CF_1'!AT24,'CF_2'!AT24,'CF_3'!AT24)</x:f>
        <x:v>0</x:v>
      </x:c>
      <x:c r="AU14" s="117" t="n">
        <x:f>SUM('CF_1'!AU24,'CF_2'!AU24,'CF_3'!AU24)</x:f>
        <x:v>0</x:v>
      </x:c>
      <x:c r="AV14" s="117" t="n">
        <x:f>SUM('CF_1'!AV24,'CF_2'!AV24,'CF_3'!AV24)</x:f>
        <x:v>20.312502871473257</x:v>
      </x:c>
      <x:c r="AW14" s="117" t="n">
        <x:f>SUM('CF_1'!AW24,'CF_2'!AW24,'CF_3'!AW24)</x:f>
        <x:v>90.0599318921339</x:v>
      </x:c>
      <x:c r="AX14" s="117" t="n">
        <x:f>SUM('CF_1'!AX24,'CF_2'!AX24,'CF_3'!AX24)</x:f>
        <x:v>91.20134472658286</x:v>
      </x:c>
      <x:c r="AY14" s="117" t="n">
        <x:f>SUM('CF_1'!AY24,'CF_2'!AY24,'CF_3'!AY24)</x:f>
        <x:v>92.35705375678333</x:v>
      </x:c>
      <x:c r="AZ14" s="117" t="n">
        <x:f>SUM('CF_1'!AZ24,'CF_2'!AZ24,'CF_3'!AZ24)</x:f>
        <x:v>0</x:v>
      </x:c>
      <x:c r="BA14" s="117" t="n">
        <x:f>SUM('CF_1'!BA24,'CF_2'!BA24,'CF_3'!BA24)</x:f>
        <x:v>0</x:v>
      </x:c>
      <x:c r="BB14" s="117" t="n">
        <x:f>SUM('CF_1'!BB24,'CF_2'!BB24,'CF_3'!BB24)</x:f>
        <x:v>0</x:v>
      </x:c>
      <x:c r="BC14" s="117" t="n">
        <x:f>SUM('CF_1'!BC24,'CF_2'!BC24,'CF_3'!BC24)</x:f>
        <x:v>0</x:v>
      </x:c>
      <x:c r="BD14" s="117" t="n">
        <x:f>SUM('CF_1'!BD24,'CF_2'!BD24,'CF_3'!BD24)</x:f>
        <x:v>0</x:v>
      </x:c>
      <x:c r="BE14" s="117" t="n">
        <x:f>SUM('CF_1'!BE24,'CF_2'!BE24,'CF_3'!BE24)</x:f>
        <x:v>0</x:v>
      </x:c>
      <x:c r="BF14" s="117" t="n">
        <x:f>SUM('CF_1'!BF24,'CF_2'!BF24,'CF_3'!BF24)</x:f>
        <x:v>0</x:v>
      </x:c>
      <x:c r="BG14" s="117" t="n">
        <x:f>SUM('CF_1'!BG24,'CF_2'!BG24,'CF_3'!BG24)</x:f>
        <x:v>0</x:v>
      </x:c>
      <x:c r="BH14" s="117" t="n">
        <x:f>SUM('CF_1'!BH24,'CF_2'!BH24,'CF_3'!BH24)</x:f>
        <x:v>0</x:v>
      </x:c>
      <x:c r="BI14" s="117" t="n">
        <x:f>SUM('CF_1'!BI24,'CF_2'!BI24,'CF_3'!BI24)</x:f>
        <x:v>0</x:v>
      </x:c>
      <x:c r="BJ14" s="117" t="n">
        <x:f>SUM('CF_1'!BJ24,'CF_2'!BJ24,'CF_3'!BJ24)</x:f>
        <x:v>0</x:v>
      </x:c>
      <x:c r="BK14" s="117" t="n">
        <x:f>SUM('CF_1'!BK24,'CF_2'!BK24,'CF_3'!BK24)</x:f>
        <x:v>0</x:v>
      </x:c>
      <x:c r="BL14" s="117" t="n">
        <x:f>SUM('CF_1'!BL24,'CF_2'!BL24,'CF_3'!BL24)</x:f>
        <x:v>0</x:v>
      </x:c>
      <x:c r="BM14" s="117" t="n">
        <x:f>SUM('CF_1'!BM24,'CF_2'!BM24,'CF_3'!BM24)</x:f>
        <x:v>0</x:v>
      </x:c>
      <x:c r="BN14" s="117" t="n">
        <x:f>SUM('CF_1'!BN24,'CF_2'!BN24,'CF_3'!BN24)</x:f>
        <x:v>0</x:v>
      </x:c>
      <x:c r="BO14" s="117" t="n">
        <x:f>SUM('CF_1'!BO24,'CF_2'!BO24,'CF_3'!BO24)</x:f>
        <x:v>0</x:v>
      </x:c>
      <x:c r="BP14" s="117" t="n">
        <x:f>SUM('CF_1'!BP24,'CF_2'!BP24,'CF_3'!BP24)</x:f>
        <x:v>0</x:v>
      </x:c>
      <x:c r="BQ14" s="117" t="n">
        <x:f>SUM('CF_1'!BQ24,'CF_2'!BQ24,'CF_3'!BQ24)</x:f>
        <x:v>0</x:v>
      </x:c>
      <x:c r="BR14" s="117" t="n">
        <x:f>SUM('CF_1'!BR24,'CF_2'!BR24,'CF_3'!BR24)</x:f>
        <x:v>0</x:v>
      </x:c>
      <x:c r="BS14" s="117" t="n">
        <x:f>SUM('CF_1'!BS24,'CF_2'!BS24,'CF_3'!BS24)</x:f>
        <x:v>0</x:v>
      </x:c>
      <x:c r="BT14" s="117" t="n">
        <x:f>SUM('CF_1'!BT24,'CF_2'!BT24,'CF_3'!BT24)</x:f>
        <x:v>0</x:v>
      </x:c>
      <x:c r="BU14" s="117" t="n">
        <x:f>SUM('CF_1'!BU24,'CF_2'!BU24,'CF_3'!BU24)</x:f>
        <x:v>0</x:v>
      </x:c>
      <x:c r="BV14" s="117" t="n">
        <x:f>SUM('CF_1'!BV24,'CF_2'!BV24,'CF_3'!BV24)</x:f>
        <x:v>0</x:v>
      </x:c>
      <x:c r="BW14" s="117" t="n">
        <x:f>SUM('CF_1'!BW24,'CF_2'!BW24,'CF_3'!BW24)</x:f>
        <x:v>0</x:v>
      </x:c>
      <x:c r="BX14" s="117" t="n">
        <x:f>SUM('CF_1'!BX24,'CF_2'!BX24,'CF_3'!BX24)</x:f>
        <x:v>0</x:v>
      </x:c>
      <x:c r="BY14" s="117" t="n">
        <x:f>SUM('CF_1'!BY24,'CF_2'!BY24,'CF_3'!BY24)</x:f>
        <x:v>0</x:v>
      </x:c>
      <x:c r="BZ14" s="117" t="n">
        <x:f>SUM('CF_1'!BZ24,'CF_2'!BZ24,'CF_3'!BZ24)</x:f>
        <x:v>0</x:v>
      </x:c>
      <x:c r="CA14" s="117" t="n">
        <x:f>SUM('CF_1'!CA24,'CF_2'!CA24,'CF_3'!CA24)</x:f>
        <x:v>0</x:v>
      </x:c>
      <x:c r="CB14" s="117" t="n">
        <x:f>SUM('CF_1'!CB24,'CF_2'!CB24,'CF_3'!CB24)</x:f>
        <x:v>0</x:v>
      </x:c>
      <x:c r="CC14" s="117" t="n">
        <x:f>SUM('CF_1'!CC24,'CF_2'!CC24,'CF_3'!CC24)</x:f>
        <x:v>0</x:v>
      </x:c>
      <x:c r="CD14" s="117" t="n">
        <x:f>SUM('CF_1'!CD24,'CF_2'!CD24,'CF_3'!CD24)</x:f>
        <x:v>0</x:v>
      </x:c>
      <x:c r="CE14" s="117" t="n">
        <x:f>SUM('CF_1'!CE24,'CF_2'!CE24,'CF_3'!CE24)</x:f>
        <x:v>0</x:v>
      </x:c>
      <x:c r="CF14" s="117" t="n">
        <x:f>SUM('CF_1'!CF24,'CF_2'!CF24,'CF_3'!CF24)</x:f>
        <x:v>0</x:v>
      </x:c>
      <x:c r="CG14" s="117" t="n">
        <x:f>SUM('CF_1'!CG24,'CF_2'!CG24,'CF_3'!CG24)</x:f>
        <x:v>0</x:v>
      </x:c>
      <x:c r="CH14" s="117" t="n">
        <x:f>SUM('CF_1'!CH24,'CF_2'!CH24,'CF_3'!CH24)</x:f>
        <x:v>0</x:v>
      </x:c>
      <x:c r="CI14" s="117" t="n">
        <x:f>SUM('CF_1'!CI24,'CF_2'!CI24,'CF_3'!CI24)</x:f>
        <x:v>0</x:v>
      </x:c>
      <x:c r="CJ14" s="117" t="n">
        <x:f>SUM('CF_1'!CJ24,'CF_2'!CJ24,'CF_3'!CJ24)</x:f>
        <x:v>0</x:v>
      </x:c>
      <x:c r="CK14" s="117" t="n">
        <x:f>SUM('CF_1'!CK24,'CF_2'!CK24,'CF_3'!CK24)</x:f>
        <x:v>0</x:v>
      </x:c>
      <x:c r="CL14" s="117" t="n">
        <x:f>SUM('CF_1'!CL24,'CF_2'!CL24,'CF_3'!CL24)</x:f>
        <x:v>0</x:v>
      </x:c>
      <x:c r="CM14" s="117" t="n">
        <x:f>SUM('CF_1'!CM24,'CF_2'!CM24,'CF_3'!CM24)</x:f>
        <x:v>0</x:v>
      </x:c>
      <x:c r="CN14" s="117" t="n">
        <x:f>SUM('CF_1'!CN24,'CF_2'!CN24,'CF_3'!CN24)</x:f>
        <x:v>0</x:v>
      </x:c>
      <x:c r="CO14" s="117" t="n">
        <x:f>SUM('CF_1'!CO24,'CF_2'!CO24,'CF_3'!CO24)</x:f>
        <x:v>0</x:v>
      </x:c>
      <x:c r="CP14" s="117" t="n">
        <x:f>SUM('CF_1'!CP24,'CF_2'!CP24,'CF_3'!CP24)</x:f>
        <x:v>0</x:v>
      </x:c>
      <x:c r="CQ14" s="117" t="n">
        <x:f>SUM('CF_1'!CQ24,'CF_2'!CQ24,'CF_3'!CQ24)</x:f>
        <x:v>0</x:v>
      </x:c>
      <x:c r="CR14" s="117" t="n">
        <x:f>SUM('CF_1'!CR24,'CF_2'!CR24,'CF_3'!CR24)</x:f>
        <x:v>0</x:v>
      </x:c>
      <x:c r="CS14" s="117" t="n">
        <x:f>SUM('CF_1'!CS24,'CF_2'!CS24,'CF_3'!CS24)</x:f>
        <x:v>0</x:v>
      </x:c>
      <x:c r="CT14" s="117" t="n">
        <x:f>SUM('CF_1'!CT24,'CF_2'!CT24,'CF_3'!CT24)</x:f>
        <x:v>0</x:v>
      </x:c>
      <x:c r="CU14" s="117" t="n">
        <x:f>SUM('CF_1'!CU24,'CF_2'!CU24,'CF_3'!CU24)</x:f>
        <x:v>0</x:v>
      </x:c>
      <x:c r="CV14" s="117" t="n">
        <x:f>SUM('CF_1'!CV24,'CF_2'!CV24,'CF_3'!CV24)</x:f>
        <x:v>0</x:v>
      </x:c>
      <x:c r="CW14" s="117" t="n">
        <x:f>SUM('CF_1'!CW24,'CF_2'!CW24,'CF_3'!CW24)</x:f>
        <x:v>0</x:v>
      </x:c>
      <x:c r="CX14" s="117" t="n">
        <x:f>SUM('CF_1'!CX24,'CF_2'!CX24,'CF_3'!CX24)</x:f>
        <x:v>0</x:v>
      </x:c>
      <x:c r="CY14" s="117" t="n">
        <x:f>SUM('CF_1'!CY24,'CF_2'!CY24,'CF_3'!CY24)</x:f>
        <x:v>0</x:v>
      </x:c>
      <x:c r="CZ14" s="117" t="n">
        <x:f>SUM('CF_1'!CZ24,'CF_2'!CZ24,'CF_3'!CZ24)</x:f>
        <x:v>0</x:v>
      </x:c>
      <x:c r="DA14" s="117" t="n">
        <x:f>SUM('CF_1'!DA24,'CF_2'!DA24,'CF_3'!DA24)</x:f>
        <x:v>0</x:v>
      </x:c>
      <x:c r="DB14" s="117" t="n">
        <x:f>SUM('CF_1'!DB24,'CF_2'!DB24,'CF_3'!DB24)</x:f>
        <x:v>0</x:v>
      </x:c>
      <x:c r="DC14" s="117" t="n">
        <x:f>SUM('CF_1'!DC24,'CF_2'!DC24,'CF_3'!DC24)</x:f>
        <x:v>0</x:v>
      </x:c>
      <x:c r="DD14" s="117" t="n">
        <x:f>SUM('CF_1'!DD24,'CF_2'!DD24,'CF_3'!DD24)</x:f>
        <x:v>0</x:v>
      </x:c>
      <x:c r="DE14" s="117" t="n">
        <x:f>SUM('CF_1'!DE24,'CF_2'!DE24,'CF_3'!DE24)</x:f>
        <x:v>0</x:v>
      </x:c>
      <x:c r="DF14" s="117" t="n">
        <x:f>SUM('CF_1'!DF24,'CF_2'!DF24,'CF_3'!DF24)</x:f>
        <x:v>0</x:v>
      </x:c>
      <x:c r="DG14" s="117" t="n">
        <x:f>SUM('CF_1'!DG24,'CF_2'!DG24,'CF_3'!DG24)</x:f>
        <x:v>0</x:v>
      </x:c>
      <x:c r="DH14" s="117" t="n">
        <x:f>SUM('CF_1'!DH24,'CF_2'!DH24,'CF_3'!DH24)</x:f>
        <x:v>0</x:v>
      </x:c>
      <x:c r="DI14" s="117" t="n">
        <x:f>SUM('CF_1'!DI24,'CF_2'!DI24,'CF_3'!DI24)</x:f>
        <x:v>0</x:v>
      </x:c>
      <x:c r="DJ14" s="117" t="n">
        <x:f>SUM('CF_1'!DJ24,'CF_2'!DJ24,'CF_3'!DJ24)</x:f>
        <x:v>0</x:v>
      </x:c>
      <x:c r="DK14" s="117" t="n">
        <x:f>SUM('CF_1'!DK24,'CF_2'!DK24,'CF_3'!DK24)</x:f>
        <x:v>0</x:v>
      </x:c>
      <x:c r="DL14" s="117" t="n">
        <x:f>SUM('CF_1'!DL24,'CF_2'!DL24,'CF_3'!DL24)</x:f>
        <x:v>0</x:v>
      </x:c>
      <x:c r="DM14" s="117" t="n">
        <x:f>SUM('CF_1'!DM24,'CF_2'!DM24,'CF_3'!DM24)</x:f>
        <x:v>0</x:v>
      </x:c>
      <x:c r="DN14" s="117" t="n">
        <x:f>SUM('CF_1'!DN24,'CF_2'!DN24,'CF_3'!DN24)</x:f>
        <x:v>0</x:v>
      </x:c>
      <x:c r="DO14" s="117" t="n">
        <x:f>SUM('CF_1'!DO24,'CF_2'!DO24,'CF_3'!DO24)</x:f>
        <x:v>0</x:v>
      </x:c>
      <x:c r="DP14" s="117" t="n">
        <x:f>SUM('CF_1'!DP24,'CF_2'!DP24,'CF_3'!DP24)</x:f>
        <x:v>0</x:v>
      </x:c>
      <x:c r="DQ14" s="117" t="n">
        <x:f>SUM('CF_1'!DQ24,'CF_2'!DQ24,'CF_3'!DQ24)</x:f>
        <x:v>0</x:v>
      </x:c>
      <x:c r="DR14" s="117" t="n">
        <x:f>SUM('CF_1'!DR24,'CF_2'!DR24,'CF_3'!DR24)</x:f>
        <x:v>0</x:v>
      </x:c>
      <x:c r="DS14" s="117" t="n">
        <x:f>SUM('CF_1'!DS24,'CF_2'!DS24,'CF_3'!DS24)</x:f>
        <x:v>0</x:v>
      </x:c>
    </x:row>
    <x:row r="15">
      <x:c r="A15" s="113" t="str">
        <x:v>CFADS</x:v>
      </x:c>
      <x:c r="B15" s="113" t="n">
        <x:f>SUM(D15:DS15)</x:f>
        <x:v>2169.503298057299</x:v>
      </x:c>
      <x:c r="C15" s="113" t="str">
        <x:v>млн ₽</x:v>
      </x:c>
      <x:c r="D15" s="120" t="n">
        <x:f>SUM('CF_1'!D28,'CF_2'!D28,'CF_3'!D28)</x:f>
        <x:v>-707.9807307539683</x:v>
      </x:c>
      <x:c r="E15" s="120" t="n">
        <x:f>SUM('CF_1'!E28,'CF_2'!E28,'CF_3'!E28)</x:f>
        <x:v>-7.980730753968252</x:v>
      </x:c>
      <x:c r="F15" s="120" t="n">
        <x:f>SUM('CF_1'!F28,'CF_2'!F28,'CF_3'!F28)</x:f>
        <x:v>-7.980730753968252</x:v>
      </x:c>
      <x:c r="G15" s="120" t="n">
        <x:f>SUM('CF_1'!G28,'CF_2'!G28,'CF_3'!G28)</x:f>
        <x:v>-7.980730753968252</x:v>
      </x:c>
      <x:c r="H15" s="120" t="n">
        <x:f>SUM('CF_1'!H28,'CF_2'!H28,'CF_3'!H28)</x:f>
        <x:v>-7.980730753968252</x:v>
      </x:c>
      <x:c r="I15" s="120" t="n">
        <x:f>SUM('CF_1'!I28,'CF_2'!I28,'CF_3'!I28)</x:f>
        <x:v>-7.980730753968252</x:v>
      </x:c>
      <x:c r="J15" s="120" t="n">
        <x:f>SUM('CF_1'!J28,'CF_2'!J28,'CF_3'!J28)</x:f>
        <x:v>-7.980730753968252</x:v>
      </x:c>
      <x:c r="K15" s="120" t="n">
        <x:f>SUM('CF_1'!K28,'CF_2'!K28,'CF_3'!K28)</x:f>
        <x:v>-7.980730753968252</x:v>
      </x:c>
      <x:c r="L15" s="120" t="n">
        <x:f>SUM('CF_1'!L28,'CF_2'!L28,'CF_3'!L28)</x:f>
        <x:v>-7.980730753968252</x:v>
      </x:c>
      <x:c r="M15" s="120" t="n">
        <x:f>SUM('CF_1'!M28,'CF_2'!M28,'CF_3'!M28)</x:f>
        <x:v>-7.980730753968252</x:v>
      </x:c>
      <x:c r="N15" s="120" t="n">
        <x:f>SUM('CF_1'!N28,'CF_2'!N28,'CF_3'!N28)</x:f>
        <x:v>-7.980730753968252</x:v>
      </x:c>
      <x:c r="O15" s="120" t="n">
        <x:f>SUM('CF_1'!O28,'CF_2'!O28,'CF_3'!O28)</x:f>
        <x:v>-7.980730753968252</x:v>
      </x:c>
      <x:c r="P15" s="120" t="n">
        <x:f>SUM('CF_1'!P28,'CF_2'!P28,'CF_3'!P28)</x:f>
        <x:v>-33.94773075396826</x:v>
      </x:c>
      <x:c r="Q15" s="120" t="n">
        <x:f>SUM('CF_1'!Q28,'CF_2'!Q28,'CF_3'!Q28)</x:f>
        <x:v>-33.94773075396826</x:v>
      </x:c>
      <x:c r="R15" s="120" t="n">
        <x:f>SUM('CF_1'!R28,'CF_2'!R28,'CF_3'!R28)</x:f>
        <x:v>-33.94773075396826</x:v>
      </x:c>
      <x:c r="S15" s="120" t="n">
        <x:f>SUM('CF_1'!S28,'CF_2'!S28,'CF_3'!S28)</x:f>
        <x:v>-33.94773075396826</x:v>
      </x:c>
      <x:c r="T15" s="120" t="n">
        <x:f>SUM('CF_1'!T28,'CF_2'!T28,'CF_3'!T28)</x:f>
        <x:v>-33.94773075396826</x:v>
      </x:c>
      <x:c r="U15" s="120" t="n">
        <x:f>SUM('CF_1'!U28,'CF_2'!U28,'CF_3'!U28)</x:f>
        <x:v>-1882.1547307539681</x:v>
      </x:c>
      <x:c r="V15" s="120" t="n">
        <x:f>SUM('CF_1'!V28,'CF_2'!V28,'CF_3'!V28)</x:f>
        <x:v>-180.27246442335544</x:v>
      </x:c>
      <x:c r="W15" s="120" t="n">
        <x:f>SUM('CF_1'!W28,'CF_2'!W28,'CF_3'!W28)</x:f>
        <x:v>-180.79072625464306</x:v>
      </x:c>
      <x:c r="X15" s="120" t="n">
        <x:f>SUM('CF_1'!X28,'CF_2'!X28,'CF_3'!X28)</x:f>
        <x:v>-185.143738289621</x:v>
      </x:c>
      <x:c r="Y15" s="120" t="n">
        <x:f>SUM('CF_1'!Y28,'CF_2'!Y28,'CF_3'!Y28)</x:f>
        <x:v>-185.7845126586452</x:v>
      </x:c>
      <x:c r="Z15" s="120" t="n">
        <x:f>SUM('CF_1'!Z28,'CF_2'!Z28,'CF_3'!Z28)</x:f>
        <x:v>-339.56891502559137</x:v>
      </x:c>
      <x:c r="AA15" s="120" t="n">
        <x:f>SUM('CF_1'!AA28,'CF_2'!AA28,'CF_3'!AA28)</x:f>
        <x:v>-340.24232564958334</x:v>
      </x:c>
      <x:c r="AB15" s="120" t="n">
        <x:f>SUM('CF_1'!AB28,'CF_2'!AB28,'CF_3'!AB28)</x:f>
        <x:v>-336.71174337134426</x:v>
      </x:c>
      <x:c r="AC15" s="120" t="n">
        <x:f>SUM('CF_1'!AC28,'CF_2'!AC28,'CF_3'!AC28)</x:f>
        <x:v>-341.6403816765188</x:v>
      </x:c>
      <x:c r="AD15" s="120" t="n">
        <x:f>SUM('CF_1'!AD28,'CF_2'!AD28,'CF_3'!AD28)</x:f>
        <x:v>-342.36588968678166</x:v>
      </x:c>
      <x:c r="AE15" s="120" t="n">
        <x:f>SUM('CF_1'!AE28,'CF_2'!AE28,'CF_3'!AE28)</x:f>
        <x:v>-343.10964422350247</x:v>
      </x:c>
      <x:c r="AF15" s="120" t="n">
        <x:f>SUM('CF_1'!AF28,'CF_2'!AF28,'CF_3'!AF28)</x:f>
        <x:v>-339.2102602619895</x:v>
      </x:c>
      <x:c r="AG15" s="120" t="n">
        <x:f>SUM('CF_1'!AG28,'CF_2'!AG28,'CF_3'!AG28)</x:f>
        <x:v>-339.8746507186769</x:v>
      </x:c>
      <x:c r="AH15" s="120" t="n">
        <x:f>SUM('CF_1'!AH28,'CF_2'!AH28,'CF_3'!AH28)</x:f>
        <x:v>-340.5557505953499</x:v>
      </x:c>
      <x:c r="AI15" s="120" t="n">
        <x:f>SUM('CF_1'!AI28,'CF_2'!AI28,'CF_3'!AI28)</x:f>
        <x:v>-341.2539801339213</x:v>
      </x:c>
      <x:c r="AJ15" s="120" t="n">
        <x:f>SUM('CF_1'!AJ28,'CF_2'!AJ28,'CF_3'!AJ28)</x:f>
        <x:v>-347.1185864025846</x:v>
      </x:c>
      <x:c r="AK15" s="120" t="n">
        <x:f>SUM('CF_1'!AK28,'CF_2'!AK28,'CF_3'!AK28)</x:f>
        <x:v>-347.9818712617079</x:v>
      </x:c>
      <x:c r="AL15" s="120" t="n">
        <x:f>SUM('CF_1'!AL28,'CF_2'!AL28,'CF_3'!AL28)</x:f>
        <x:v>-348.8668677350382</x:v>
      </x:c>
      <x:c r="AM15" s="120" t="n">
        <x:f>SUM('CF_1'!AM28,'CF_2'!AM28,'CF_3'!AM28)</x:f>
        <x:v>-349.7741218696727</x:v>
      </x:c>
      <x:c r="AN15" s="120" t="n">
        <x:f>SUM('CF_1'!AN28,'CF_2'!AN28,'CF_3'!AN28)</x:f>
        <x:v>-345.0175361321152</x:v>
      </x:c>
      <x:c r="AO15" s="120" t="n">
        <x:f>SUM('CF_1'!AO28,'CF_2'!AO28,'CF_3'!AO28)</x:f>
        <x:v>-249.57264797369268</x:v>
      </x:c>
      <x:c r="AP15" s="120" t="n">
        <x:f>SUM('CF_1'!AP28,'CF_2'!AP28,'CF_3'!AP28)</x:f>
        <x:v>-250.55009044129065</x:v>
      </x:c>
      <x:c r="AQ15" s="120" t="n">
        <x:f>SUM('CF_1'!AQ28,'CF_2'!AQ28,'CF_3'!AQ28)</x:f>
        <x:v>-303.48611558694876</x:v>
      </x:c>
      <x:c r="AR15" s="120" t="n">
        <x:f>SUM('CF_1'!AR28,'CF_2'!AR28,'CF_3'!AR28)</x:f>
        <x:v>-298.2326608662039</x:v>
      </x:c>
      <x:c r="AS15" s="120" t="n">
        <x:f>SUM('CF_1'!AS28,'CF_2'!AS28,'CF_3'!AS28)</x:f>
        <x:v>-299.1277625580485</x:v>
      </x:c>
      <x:c r="AT15" s="120" t="n">
        <x:f>SUM('CF_1'!AT28,'CF_2'!AT28,'CF_3'!AT28)</x:f>
        <x:v>10817.785902166377</x:v>
      </x:c>
      <x:c r="AU15" s="120" t="n">
        <x:f>SUM('CF_1'!AU28,'CF_2'!AU28,'CF_3'!AU28)</x:f>
        <x:v>302.22641803655193</x:v>
      </x:c>
      <x:c r="AV15" s="120" t="n">
        <x:f>SUM('CF_1'!AV28,'CF_2'!AV28,'CF_3'!AV28)</x:f>
        <x:v>339.7013840961265</x:v>
      </x:c>
      <x:c r="AW15" s="120" t="n">
        <x:f>SUM('CF_1'!AW28,'CF_2'!AW28,'CF_3'!AW28)</x:f>
        <x:v>274.4631290097351</x:v>
      </x:c>
      <x:c r="AX15" s="120" t="n">
        <x:f>SUM('CF_1'!AX28,'CF_2'!AX28,'CF_3'!AX28)</x:f>
        <x:v>277.8873675130819</x:v>
      </x:c>
      <x:c r="AY15" s="120" t="n">
        <x:f>SUM('CF_1'!AY28,'CF_2'!AY28,'CF_3'!AY28)</x:f>
        <x:v>281.3544946036833</x:v>
      </x:c>
      <x:c r="AZ15" s="120" t="n">
        <x:f>SUM('CF_1'!AZ28,'CF_2'!AZ28,'CF_3'!AZ28)</x:f>
        <x:v>0</x:v>
      </x:c>
      <x:c r="BA15" s="120" t="n">
        <x:f>SUM('CF_1'!BA28,'CF_2'!BA28,'CF_3'!BA28)</x:f>
        <x:v>0</x:v>
      </x:c>
      <x:c r="BB15" s="120" t="n">
        <x:f>SUM('CF_1'!BB28,'CF_2'!BB28,'CF_3'!BB28)</x:f>
        <x:v>0</x:v>
      </x:c>
      <x:c r="BC15" s="120" t="n">
        <x:f>SUM('CF_1'!BC28,'CF_2'!BC28,'CF_3'!BC28)</x:f>
        <x:v>0</x:v>
      </x:c>
      <x:c r="BD15" s="120" t="n">
        <x:f>SUM('CF_1'!BD28,'CF_2'!BD28,'CF_3'!BD28)</x:f>
        <x:v>0</x:v>
      </x:c>
      <x:c r="BE15" s="120" t="n">
        <x:f>SUM('CF_1'!BE28,'CF_2'!BE28,'CF_3'!BE28)</x:f>
        <x:v>0</x:v>
      </x:c>
      <x:c r="BF15" s="120" t="n">
        <x:f>SUM('CF_1'!BF28,'CF_2'!BF28,'CF_3'!BF28)</x:f>
        <x:v>0</x:v>
      </x:c>
      <x:c r="BG15" s="120" t="n">
        <x:f>SUM('CF_1'!BG28,'CF_2'!BG28,'CF_3'!BG28)</x:f>
        <x:v>0</x:v>
      </x:c>
      <x:c r="BH15" s="120" t="n">
        <x:f>SUM('CF_1'!BH28,'CF_2'!BH28,'CF_3'!BH28)</x:f>
        <x:v>0</x:v>
      </x:c>
      <x:c r="BI15" s="120" t="n">
        <x:f>SUM('CF_1'!BI28,'CF_2'!BI28,'CF_3'!BI28)</x:f>
        <x:v>0</x:v>
      </x:c>
      <x:c r="BJ15" s="120" t="n">
        <x:f>SUM('CF_1'!BJ28,'CF_2'!BJ28,'CF_3'!BJ28)</x:f>
        <x:v>0</x:v>
      </x:c>
      <x:c r="BK15" s="120" t="n">
        <x:f>SUM('CF_1'!BK28,'CF_2'!BK28,'CF_3'!BK28)</x:f>
        <x:v>0</x:v>
      </x:c>
      <x:c r="BL15" s="120" t="n">
        <x:f>SUM('CF_1'!BL28,'CF_2'!BL28,'CF_3'!BL28)</x:f>
        <x:v>0</x:v>
      </x:c>
      <x:c r="BM15" s="120" t="n">
        <x:f>SUM('CF_1'!BM28,'CF_2'!BM28,'CF_3'!BM28)</x:f>
        <x:v>0</x:v>
      </x:c>
      <x:c r="BN15" s="120" t="n">
        <x:f>SUM('CF_1'!BN28,'CF_2'!BN28,'CF_3'!BN28)</x:f>
        <x:v>0</x:v>
      </x:c>
      <x:c r="BO15" s="120" t="n">
        <x:f>SUM('CF_1'!BO28,'CF_2'!BO28,'CF_3'!BO28)</x:f>
        <x:v>0</x:v>
      </x:c>
      <x:c r="BP15" s="120" t="n">
        <x:f>SUM('CF_1'!BP28,'CF_2'!BP28,'CF_3'!BP28)</x:f>
        <x:v>0</x:v>
      </x:c>
      <x:c r="BQ15" s="120" t="n">
        <x:f>SUM('CF_1'!BQ28,'CF_2'!BQ28,'CF_3'!BQ28)</x:f>
        <x:v>0</x:v>
      </x:c>
      <x:c r="BR15" s="120" t="n">
        <x:f>SUM('CF_1'!BR28,'CF_2'!BR28,'CF_3'!BR28)</x:f>
        <x:v>0</x:v>
      </x:c>
      <x:c r="BS15" s="120" t="n">
        <x:f>SUM('CF_1'!BS28,'CF_2'!BS28,'CF_3'!BS28)</x:f>
        <x:v>0</x:v>
      </x:c>
      <x:c r="BT15" s="120" t="n">
        <x:f>SUM('CF_1'!BT28,'CF_2'!BT28,'CF_3'!BT28)</x:f>
        <x:v>0</x:v>
      </x:c>
      <x:c r="BU15" s="120" t="n">
        <x:f>SUM('CF_1'!BU28,'CF_2'!BU28,'CF_3'!BU28)</x:f>
        <x:v>0</x:v>
      </x:c>
      <x:c r="BV15" s="120" t="n">
        <x:f>SUM('CF_1'!BV28,'CF_2'!BV28,'CF_3'!BV28)</x:f>
        <x:v>0</x:v>
      </x:c>
      <x:c r="BW15" s="120" t="n">
        <x:f>SUM('CF_1'!BW28,'CF_2'!BW28,'CF_3'!BW28)</x:f>
        <x:v>0</x:v>
      </x:c>
      <x:c r="BX15" s="120" t="n">
        <x:f>SUM('CF_1'!BX28,'CF_2'!BX28,'CF_3'!BX28)</x:f>
        <x:v>0</x:v>
      </x:c>
      <x:c r="BY15" s="120" t="n">
        <x:f>SUM('CF_1'!BY28,'CF_2'!BY28,'CF_3'!BY28)</x:f>
        <x:v>0</x:v>
      </x:c>
      <x:c r="BZ15" s="120" t="n">
        <x:f>SUM('CF_1'!BZ28,'CF_2'!BZ28,'CF_3'!BZ28)</x:f>
        <x:v>0</x:v>
      </x:c>
      <x:c r="CA15" s="120" t="n">
        <x:f>SUM('CF_1'!CA28,'CF_2'!CA28,'CF_3'!CA28)</x:f>
        <x:v>0</x:v>
      </x:c>
      <x:c r="CB15" s="120" t="n">
        <x:f>SUM('CF_1'!CB28,'CF_2'!CB28,'CF_3'!CB28)</x:f>
        <x:v>0</x:v>
      </x:c>
      <x:c r="CC15" s="120" t="n">
        <x:f>SUM('CF_1'!CC28,'CF_2'!CC28,'CF_3'!CC28)</x:f>
        <x:v>0</x:v>
      </x:c>
      <x:c r="CD15" s="120" t="n">
        <x:f>SUM('CF_1'!CD28,'CF_2'!CD28,'CF_3'!CD28)</x:f>
        <x:v>0</x:v>
      </x:c>
      <x:c r="CE15" s="120" t="n">
        <x:f>SUM('CF_1'!CE28,'CF_2'!CE28,'CF_3'!CE28)</x:f>
        <x:v>0</x:v>
      </x:c>
      <x:c r="CF15" s="120" t="n">
        <x:f>SUM('CF_1'!CF28,'CF_2'!CF28,'CF_3'!CF28)</x:f>
        <x:v>0</x:v>
      </x:c>
      <x:c r="CG15" s="120" t="n">
        <x:f>SUM('CF_1'!CG28,'CF_2'!CG28,'CF_3'!CG28)</x:f>
        <x:v>0</x:v>
      </x:c>
      <x:c r="CH15" s="120" t="n">
        <x:f>SUM('CF_1'!CH28,'CF_2'!CH28,'CF_3'!CH28)</x:f>
        <x:v>0</x:v>
      </x:c>
      <x:c r="CI15" s="120" t="n">
        <x:f>SUM('CF_1'!CI28,'CF_2'!CI28,'CF_3'!CI28)</x:f>
        <x:v>0</x:v>
      </x:c>
      <x:c r="CJ15" s="120" t="n">
        <x:f>SUM('CF_1'!CJ28,'CF_2'!CJ28,'CF_3'!CJ28)</x:f>
        <x:v>0</x:v>
      </x:c>
      <x:c r="CK15" s="120" t="n">
        <x:f>SUM('CF_1'!CK28,'CF_2'!CK28,'CF_3'!CK28)</x:f>
        <x:v>0</x:v>
      </x:c>
      <x:c r="CL15" s="120" t="n">
        <x:f>SUM('CF_1'!CL28,'CF_2'!CL28,'CF_3'!CL28)</x:f>
        <x:v>0</x:v>
      </x:c>
      <x:c r="CM15" s="120" t="n">
        <x:f>SUM('CF_1'!CM28,'CF_2'!CM28,'CF_3'!CM28)</x:f>
        <x:v>0</x:v>
      </x:c>
      <x:c r="CN15" s="120" t="n">
        <x:f>SUM('CF_1'!CN28,'CF_2'!CN28,'CF_3'!CN28)</x:f>
        <x:v>0</x:v>
      </x:c>
      <x:c r="CO15" s="120" t="n">
        <x:f>SUM('CF_1'!CO28,'CF_2'!CO28,'CF_3'!CO28)</x:f>
        <x:v>0</x:v>
      </x:c>
      <x:c r="CP15" s="120" t="n">
        <x:f>SUM('CF_1'!CP28,'CF_2'!CP28,'CF_3'!CP28)</x:f>
        <x:v>0</x:v>
      </x:c>
      <x:c r="CQ15" s="120" t="n">
        <x:f>SUM('CF_1'!CQ28,'CF_2'!CQ28,'CF_3'!CQ28)</x:f>
        <x:v>0</x:v>
      </x:c>
      <x:c r="CR15" s="120" t="n">
        <x:f>SUM('CF_1'!CR28,'CF_2'!CR28,'CF_3'!CR28)</x:f>
        <x:v>0</x:v>
      </x:c>
      <x:c r="CS15" s="120" t="n">
        <x:f>SUM('CF_1'!CS28,'CF_2'!CS28,'CF_3'!CS28)</x:f>
        <x:v>0</x:v>
      </x:c>
      <x:c r="CT15" s="120" t="n">
        <x:f>SUM('CF_1'!CT28,'CF_2'!CT28,'CF_3'!CT28)</x:f>
        <x:v>0</x:v>
      </x:c>
      <x:c r="CU15" s="120" t="n">
        <x:f>SUM('CF_1'!CU28,'CF_2'!CU28,'CF_3'!CU28)</x:f>
        <x:v>0</x:v>
      </x:c>
      <x:c r="CV15" s="120" t="n">
        <x:f>SUM('CF_1'!CV28,'CF_2'!CV28,'CF_3'!CV28)</x:f>
        <x:v>0</x:v>
      </x:c>
      <x:c r="CW15" s="120" t="n">
        <x:f>SUM('CF_1'!CW28,'CF_2'!CW28,'CF_3'!CW28)</x:f>
        <x:v>0</x:v>
      </x:c>
      <x:c r="CX15" s="120" t="n">
        <x:f>SUM('CF_1'!CX28,'CF_2'!CX28,'CF_3'!CX28)</x:f>
        <x:v>0</x:v>
      </x:c>
      <x:c r="CY15" s="120" t="n">
        <x:f>SUM('CF_1'!CY28,'CF_2'!CY28,'CF_3'!CY28)</x:f>
        <x:v>0</x:v>
      </x:c>
      <x:c r="CZ15" s="120" t="n">
        <x:f>SUM('CF_1'!CZ28,'CF_2'!CZ28,'CF_3'!CZ28)</x:f>
        <x:v>0</x:v>
      </x:c>
      <x:c r="DA15" s="120" t="n">
        <x:f>SUM('CF_1'!DA28,'CF_2'!DA28,'CF_3'!DA28)</x:f>
        <x:v>0</x:v>
      </x:c>
      <x:c r="DB15" s="120" t="n">
        <x:f>SUM('CF_1'!DB28,'CF_2'!DB28,'CF_3'!DB28)</x:f>
        <x:v>0</x:v>
      </x:c>
      <x:c r="DC15" s="120" t="n">
        <x:f>SUM('CF_1'!DC28,'CF_2'!DC28,'CF_3'!DC28)</x:f>
        <x:v>0</x:v>
      </x:c>
      <x:c r="DD15" s="120" t="n">
        <x:f>SUM('CF_1'!DD28,'CF_2'!DD28,'CF_3'!DD28)</x:f>
        <x:v>0</x:v>
      </x:c>
      <x:c r="DE15" s="120" t="n">
        <x:f>SUM('CF_1'!DE28,'CF_2'!DE28,'CF_3'!DE28)</x:f>
        <x:v>0</x:v>
      </x:c>
      <x:c r="DF15" s="120" t="n">
        <x:f>SUM('CF_1'!DF28,'CF_2'!DF28,'CF_3'!DF28)</x:f>
        <x:v>0</x:v>
      </x:c>
      <x:c r="DG15" s="120" t="n">
        <x:f>SUM('CF_1'!DG28,'CF_2'!DG28,'CF_3'!DG28)</x:f>
        <x:v>0</x:v>
      </x:c>
      <x:c r="DH15" s="120" t="n">
        <x:f>SUM('CF_1'!DH28,'CF_2'!DH28,'CF_3'!DH28)</x:f>
        <x:v>0</x:v>
      </x:c>
      <x:c r="DI15" s="120" t="n">
        <x:f>SUM('CF_1'!DI28,'CF_2'!DI28,'CF_3'!DI28)</x:f>
        <x:v>0</x:v>
      </x:c>
      <x:c r="DJ15" s="120" t="n">
        <x:f>SUM('CF_1'!DJ28,'CF_2'!DJ28,'CF_3'!DJ28)</x:f>
        <x:v>0</x:v>
      </x:c>
      <x:c r="DK15" s="120" t="n">
        <x:f>SUM('CF_1'!DK28,'CF_2'!DK28,'CF_3'!DK28)</x:f>
        <x:v>0</x:v>
      </x:c>
      <x:c r="DL15" s="120" t="n">
        <x:f>SUM('CF_1'!DL28,'CF_2'!DL28,'CF_3'!DL28)</x:f>
        <x:v>0</x:v>
      </x:c>
      <x:c r="DM15" s="120" t="n">
        <x:f>SUM('CF_1'!DM28,'CF_2'!DM28,'CF_3'!DM28)</x:f>
        <x:v>0</x:v>
      </x:c>
      <x:c r="DN15" s="120" t="n">
        <x:f>SUM('CF_1'!DN28,'CF_2'!DN28,'CF_3'!DN28)</x:f>
        <x:v>0</x:v>
      </x:c>
      <x:c r="DO15" s="120" t="n">
        <x:f>SUM('CF_1'!DO28,'CF_2'!DO28,'CF_3'!DO28)</x:f>
        <x:v>0</x:v>
      </x:c>
      <x:c r="DP15" s="120" t="n">
        <x:f>SUM('CF_1'!DP28,'CF_2'!DP28,'CF_3'!DP28)</x:f>
        <x:v>0</x:v>
      </x:c>
      <x:c r="DQ15" s="120" t="n">
        <x:f>SUM('CF_1'!DQ28,'CF_2'!DQ28,'CF_3'!DQ28)</x:f>
        <x:v>0</x:v>
      </x:c>
      <x:c r="DR15" s="120" t="n">
        <x:f>SUM('CF_1'!DR28,'CF_2'!DR28,'CF_3'!DR28)</x:f>
        <x:v>0</x:v>
      </x:c>
      <x:c r="DS15" s="120" t="n">
        <x:f>SUM('CF_1'!DS28,'CF_2'!DS28,'CF_3'!DS28)</x:f>
        <x:v>0</x:v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  <x:v>0</x:v>
      </x:c>
      <x:c r="C17" t="str">
        <x:v>млн ₽</x:v>
      </x:c>
      <x:c r="D17" s="117" t="n">
        <x:f>SUM('CF_1'!D36,'CF_2'!D36,'CF_3'!D36)</x:f>
        <x:v>707.9807307539683</x:v>
      </x:c>
      <x:c r="E17" s="117" t="n">
        <x:f>SUM('CF_1'!E36,'CF_2'!E36,'CF_3'!E36)</x:f>
        <x:v>727.6382270325246</x:v>
      </x:c>
      <x:c r="F17" s="117" t="n">
        <x:f>SUM('CF_1'!F36,'CF_2'!F36,'CF_3'!F36)</x:f>
        <x:v>747.3030510819349</x:v>
      </x:c>
      <x:c r="G17" s="117" t="n">
        <x:f>SUM('CF_1'!G36,'CF_2'!G36,'CF_3'!G36)</x:f>
        <x:v>766.9724318151318</x:v>
      </x:c>
      <x:c r="H17" s="117" t="n">
        <x:f>SUM('CF_1'!H36,'CF_2'!H36,'CF_3'!H36)</x:f>
        <x:v>786.643598145048</x:v>
      </x:c>
      <x:c r="I17" s="117" t="n">
        <x:f>SUM('CF_1'!I36,'CF_2'!I36,'CF_3'!I36)</x:f>
        <x:v>806.3137789846162</x:v>
      </x:c>
      <x:c r="J17" s="117" t="n">
        <x:f>SUM('CF_1'!J36,'CF_2'!J36,'CF_3'!J36)</x:f>
        <x:v>825.980203246769</x:v>
      </x:c>
      <x:c r="K17" s="117" t="n">
        <x:f>SUM('CF_1'!K36,'CF_2'!K36,'CF_3'!K36)</x:f>
        <x:v>845.640099844439</x:v>
      </x:c>
      <x:c r="L17" s="117" t="n">
        <x:f>SUM('CF_1'!L36,'CF_2'!L36,'CF_3'!L36)</x:f>
        <x:v>865.2906976905589</x:v>
      </x:c>
      <x:c r="M17" s="117" t="n">
        <x:f>SUM('CF_1'!M36,'CF_2'!M36,'CF_3'!M36)</x:f>
        <x:v>884.9292256980614</x:v>
      </x:c>
      <x:c r="N17" s="117" t="n">
        <x:f>SUM('CF_1'!N36,'CF_2'!N36,'CF_3'!N36)</x:f>
        <x:v>904.5529127798791</x:v>
      </x:c>
      <x:c r="O17" s="117" t="n">
        <x:f>SUM('CF_1'!O36,'CF_2'!O36,'CF_3'!O36)</x:f>
        <x:v>924.1589878489447</x:v>
      </x:c>
      <x:c r="P17" s="117" t="n">
        <x:f>SUM('CF_1'!P36,'CF_2'!P36,'CF_3'!P36)</x:f>
        <x:v>969.7116798181906</x:v>
      </x:c>
      <x:c r="Q17" s="117" t="n">
        <x:f>SUM('CF_1'!Q36,'CF_2'!Q36,'CF_3'!Q36)</x:f>
        <x:v>1015.6153948574943</x:v>
      </x:c>
      <x:c r="R17" s="117" t="n">
        <x:f>SUM('CF_1'!R36,'CF_2'!R36,'CF_3'!R36)</x:f>
        <x:v>1061.8583455603437</x:v>
      </x:c>
      <x:c r="S17" s="117" t="n">
        <x:f>SUM('CF_1'!S36,'CF_2'!S36,'CF_3'!S36)</x:f>
        <x:v>1108.4287445202272</x:v>
      </x:c>
      <x:c r="T17" s="117" t="n">
        <x:f>SUM('CF_1'!T36,'CF_2'!T36,'CF_3'!T36)</x:f>
        <x:v>1155.3148043306328</x:v>
      </x:c>
      <x:c r="U17" s="117" t="n">
        <x:f>SUM('CF_1'!U36,'CF_2'!U36,'CF_3'!U36)</x:f>
        <x:v>3050.711737585049</x:v>
      </x:c>
      <x:c r="V17" s="117" t="n">
        <x:f>SUM('CF_1'!V36,'CF_2'!V36,'CF_3'!V36)</x:f>
        <x:v>0</x:v>
      </x:c>
      <x:c r="W17" s="117" t="n">
        <x:f>SUM('CF_1'!W36,'CF_2'!W36,'CF_3'!W36)</x:f>
        <x:v>0</x:v>
      </x:c>
      <x:c r="X17" s="117" t="n">
        <x:f>SUM('CF_1'!X36,'CF_2'!X36,'CF_3'!X36)</x:f>
        <x:v>0</x:v>
      </x:c>
      <x:c r="Y17" s="117" t="n">
        <x:f>SUM('CF_1'!Y36,'CF_2'!Y36,'CF_3'!Y36)</x:f>
        <x:v>0</x:v>
      </x:c>
      <x:c r="Z17" s="117" t="n">
        <x:f>SUM('CF_1'!Z36,'CF_2'!Z36,'CF_3'!Z36)</x:f>
        <x:v>0</x:v>
      </x:c>
      <x:c r="AA17" s="117" t="n">
        <x:f>SUM('CF_1'!AA36,'CF_2'!AA36,'CF_3'!AA36)</x:f>
        <x:v>0</x:v>
      </x:c>
      <x:c r="AB17" s="117" t="n">
        <x:f>SUM('CF_1'!AB36,'CF_2'!AB36,'CF_3'!AB36)</x:f>
        <x:v>0</x:v>
      </x:c>
      <x:c r="AC17" s="117" t="n">
        <x:f>SUM('CF_1'!AC36,'CF_2'!AC36,'CF_3'!AC36)</x:f>
        <x:v>0</x:v>
      </x:c>
      <x:c r="AD17" s="117" t="n">
        <x:f>SUM('CF_1'!AD36,'CF_2'!AD36,'CF_3'!AD36)</x:f>
        <x:v>0</x:v>
      </x:c>
      <x:c r="AE17" s="117" t="n">
        <x:f>SUM('CF_1'!AE36,'CF_2'!AE36,'CF_3'!AE36)</x:f>
        <x:v>0</x:v>
      </x:c>
      <x:c r="AF17" s="117" t="n">
        <x:f>SUM('CF_1'!AF36,'CF_2'!AF36,'CF_3'!AF36)</x:f>
        <x:v>0</x:v>
      </x:c>
      <x:c r="AG17" s="117" t="n">
        <x:f>SUM('CF_1'!AG36,'CF_2'!AG36,'CF_3'!AG36)</x:f>
        <x:v>0</x:v>
      </x:c>
      <x:c r="AH17" s="117" t="n">
        <x:f>SUM('CF_1'!AH36,'CF_2'!AH36,'CF_3'!AH36)</x:f>
        <x:v>0</x:v>
      </x:c>
      <x:c r="AI17" s="117" t="n">
        <x:f>SUM('CF_1'!AI36,'CF_2'!AI36,'CF_3'!AI36)</x:f>
        <x:v>0</x:v>
      </x:c>
      <x:c r="AJ17" s="117" t="n">
        <x:f>SUM('CF_1'!AJ36,'CF_2'!AJ36,'CF_3'!AJ36)</x:f>
        <x:v>0</x:v>
      </x:c>
      <x:c r="AK17" s="117" t="n">
        <x:f>SUM('CF_1'!AK36,'CF_2'!AK36,'CF_3'!AK36)</x:f>
        <x:v>0</x:v>
      </x:c>
      <x:c r="AL17" s="117" t="n">
        <x:f>SUM('CF_1'!AL36,'CF_2'!AL36,'CF_3'!AL36)</x:f>
        <x:v>0</x:v>
      </x:c>
      <x:c r="AM17" s="117" t="n">
        <x:f>SUM('CF_1'!AM36,'CF_2'!AM36,'CF_3'!AM36)</x:f>
        <x:v>0</x:v>
      </x:c>
      <x:c r="AN17" s="117" t="n">
        <x:f>SUM('CF_1'!AN36,'CF_2'!AN36,'CF_3'!AN36)</x:f>
        <x:v>0</x:v>
      </x:c>
      <x:c r="AO17" s="117" t="n">
        <x:f>SUM('CF_1'!AO36,'CF_2'!AO36,'CF_3'!AO36)</x:f>
        <x:v>0</x:v>
      </x:c>
      <x:c r="AP17" s="117" t="n">
        <x:f>SUM('CF_1'!AP36,'CF_2'!AP36,'CF_3'!AP36)</x:f>
        <x:v>0</x:v>
      </x:c>
      <x:c r="AQ17" s="117" t="n">
        <x:f>SUM('CF_1'!AQ36,'CF_2'!AQ36,'CF_3'!AQ36)</x:f>
        <x:v>0</x:v>
      </x:c>
      <x:c r="AR17" s="117" t="n">
        <x:f>SUM('CF_1'!AR36,'CF_2'!AR36,'CF_3'!AR36)</x:f>
        <x:v>0</x:v>
      </x:c>
      <x:c r="AS17" s="117" t="n">
        <x:f>SUM('CF_1'!AS36,'CF_2'!AS36,'CF_3'!AS36)</x:f>
        <x:v>0</x:v>
      </x:c>
      <x:c r="AT17" s="117" t="n">
        <x:f>SUM('CF_1'!AT36,'CF_2'!AT36,'CF_3'!AT36)</x:f>
        <x:v>0</x:v>
      </x:c>
      <x:c r="AU17" s="117" t="n">
        <x:f>SUM('CF_1'!AU36,'CF_2'!AU36,'CF_3'!AU36)</x:f>
        <x:v>0</x:v>
      </x:c>
      <x:c r="AV17" s="117" t="n">
        <x:f>SUM('CF_1'!AV36,'CF_2'!AV36,'CF_3'!AV36)</x:f>
        <x:v>0</x:v>
      </x:c>
      <x:c r="AW17" s="117" t="n">
        <x:f>SUM('CF_1'!AW36,'CF_2'!AW36,'CF_3'!AW36)</x:f>
        <x:v>0</x:v>
      </x:c>
      <x:c r="AX17" s="117" t="n">
        <x:f>SUM('CF_1'!AX36,'CF_2'!AX36,'CF_3'!AX36)</x:f>
        <x:v>0</x:v>
      </x:c>
      <x:c r="AY17" s="117" t="n">
        <x:f>SUM('CF_1'!AY36,'CF_2'!AY36,'CF_3'!AY36)</x:f>
        <x:v>0</x:v>
      </x:c>
      <x:c r="AZ17" s="117" t="n">
        <x:f>SUM('CF_1'!AZ36,'CF_2'!AZ36,'CF_3'!AZ36)</x:f>
        <x:v>0</x:v>
      </x:c>
      <x:c r="BA17" s="117" t="n">
        <x:f>SUM('CF_1'!BA36,'CF_2'!BA36,'CF_3'!BA36)</x:f>
        <x:v>0</x:v>
      </x:c>
      <x:c r="BB17" s="117" t="n">
        <x:f>SUM('CF_1'!BB36,'CF_2'!BB36,'CF_3'!BB36)</x:f>
        <x:v>0</x:v>
      </x:c>
      <x:c r="BC17" s="117" t="n">
        <x:f>SUM('CF_1'!BC36,'CF_2'!BC36,'CF_3'!BC36)</x:f>
        <x:v>0</x:v>
      </x:c>
      <x:c r="BD17" s="117" t="n">
        <x:f>SUM('CF_1'!BD36,'CF_2'!BD36,'CF_3'!BD36)</x:f>
        <x:v>0</x:v>
      </x:c>
      <x:c r="BE17" s="117" t="n">
        <x:f>SUM('CF_1'!BE36,'CF_2'!BE36,'CF_3'!BE36)</x:f>
        <x:v>0</x:v>
      </x:c>
      <x:c r="BF17" s="117" t="n">
        <x:f>SUM('CF_1'!BF36,'CF_2'!BF36,'CF_3'!BF36)</x:f>
        <x:v>0</x:v>
      </x:c>
      <x:c r="BG17" s="117" t="n">
        <x:f>SUM('CF_1'!BG36,'CF_2'!BG36,'CF_3'!BG36)</x:f>
        <x:v>0</x:v>
      </x:c>
      <x:c r="BH17" s="117" t="n">
        <x:f>SUM('CF_1'!BH36,'CF_2'!BH36,'CF_3'!BH36)</x:f>
        <x:v>0</x:v>
      </x:c>
      <x:c r="BI17" s="117" t="n">
        <x:f>SUM('CF_1'!BI36,'CF_2'!BI36,'CF_3'!BI36)</x:f>
        <x:v>0</x:v>
      </x:c>
      <x:c r="BJ17" s="117" t="n">
        <x:f>SUM('CF_1'!BJ36,'CF_2'!BJ36,'CF_3'!BJ36)</x:f>
        <x:v>0</x:v>
      </x:c>
      <x:c r="BK17" s="117" t="n">
        <x:f>SUM('CF_1'!BK36,'CF_2'!BK36,'CF_3'!BK36)</x:f>
        <x:v>0</x:v>
      </x:c>
      <x:c r="BL17" s="117" t="n">
        <x:f>SUM('CF_1'!BL36,'CF_2'!BL36,'CF_3'!BL36)</x:f>
        <x:v>0</x:v>
      </x:c>
      <x:c r="BM17" s="117" t="n">
        <x:f>SUM('CF_1'!BM36,'CF_2'!BM36,'CF_3'!BM36)</x:f>
        <x:v>0</x:v>
      </x:c>
      <x:c r="BN17" s="117" t="n">
        <x:f>SUM('CF_1'!BN36,'CF_2'!BN36,'CF_3'!BN36)</x:f>
        <x:v>0</x:v>
      </x:c>
      <x:c r="BO17" s="117" t="n">
        <x:f>SUM('CF_1'!BO36,'CF_2'!BO36,'CF_3'!BO36)</x:f>
        <x:v>0</x:v>
      </x:c>
      <x:c r="BP17" s="117" t="n">
        <x:f>SUM('CF_1'!BP36,'CF_2'!BP36,'CF_3'!BP36)</x:f>
        <x:v>0</x:v>
      </x:c>
      <x:c r="BQ17" s="117" t="n">
        <x:f>SUM('CF_1'!BQ36,'CF_2'!BQ36,'CF_3'!BQ36)</x:f>
        <x:v>0</x:v>
      </x:c>
      <x:c r="BR17" s="117" t="n">
        <x:f>SUM('CF_1'!BR36,'CF_2'!BR36,'CF_3'!BR36)</x:f>
        <x:v>0</x:v>
      </x:c>
      <x:c r="BS17" s="117" t="n">
        <x:f>SUM('CF_1'!BS36,'CF_2'!BS36,'CF_3'!BS36)</x:f>
        <x:v>0</x:v>
      </x:c>
      <x:c r="BT17" s="117" t="n">
        <x:f>SUM('CF_1'!BT36,'CF_2'!BT36,'CF_3'!BT36)</x:f>
        <x:v>0</x:v>
      </x:c>
      <x:c r="BU17" s="117" t="n">
        <x:f>SUM('CF_1'!BU36,'CF_2'!BU36,'CF_3'!BU36)</x:f>
        <x:v>0</x:v>
      </x:c>
      <x:c r="BV17" s="117" t="n">
        <x:f>SUM('CF_1'!BV36,'CF_2'!BV36,'CF_3'!BV36)</x:f>
        <x:v>0</x:v>
      </x:c>
      <x:c r="BW17" s="117" t="n">
        <x:f>SUM('CF_1'!BW36,'CF_2'!BW36,'CF_3'!BW36)</x:f>
        <x:v>0</x:v>
      </x:c>
      <x:c r="BX17" s="117" t="n">
        <x:f>SUM('CF_1'!BX36,'CF_2'!BX36,'CF_3'!BX36)</x:f>
        <x:v>0</x:v>
      </x:c>
      <x:c r="BY17" s="117" t="n">
        <x:f>SUM('CF_1'!BY36,'CF_2'!BY36,'CF_3'!BY36)</x:f>
        <x:v>0</x:v>
      </x:c>
      <x:c r="BZ17" s="117" t="n">
        <x:f>SUM('CF_1'!BZ36,'CF_2'!BZ36,'CF_3'!BZ36)</x:f>
        <x:v>0</x:v>
      </x:c>
      <x:c r="CA17" s="117" t="n">
        <x:f>SUM('CF_1'!CA36,'CF_2'!CA36,'CF_3'!CA36)</x:f>
        <x:v>0</x:v>
      </x:c>
      <x:c r="CB17" s="117" t="n">
        <x:f>SUM('CF_1'!CB36,'CF_2'!CB36,'CF_3'!CB36)</x:f>
        <x:v>0</x:v>
      </x:c>
      <x:c r="CC17" s="117" t="n">
        <x:f>SUM('CF_1'!CC36,'CF_2'!CC36,'CF_3'!CC36)</x:f>
        <x:v>0</x:v>
      </x:c>
      <x:c r="CD17" s="117" t="n">
        <x:f>SUM('CF_1'!CD36,'CF_2'!CD36,'CF_3'!CD36)</x:f>
        <x:v>0</x:v>
      </x:c>
      <x:c r="CE17" s="117" t="n">
        <x:f>SUM('CF_1'!CE36,'CF_2'!CE36,'CF_3'!CE36)</x:f>
        <x:v>0</x:v>
      </x:c>
      <x:c r="CF17" s="117" t="n">
        <x:f>SUM('CF_1'!CF36,'CF_2'!CF36,'CF_3'!CF36)</x:f>
        <x:v>0</x:v>
      </x:c>
      <x:c r="CG17" s="117" t="n">
        <x:f>SUM('CF_1'!CG36,'CF_2'!CG36,'CF_3'!CG36)</x:f>
        <x:v>0</x:v>
      </x:c>
      <x:c r="CH17" s="117" t="n">
        <x:f>SUM('CF_1'!CH36,'CF_2'!CH36,'CF_3'!CH36)</x:f>
        <x:v>0</x:v>
      </x:c>
      <x:c r="CI17" s="117" t="n">
        <x:f>SUM('CF_1'!CI36,'CF_2'!CI36,'CF_3'!CI36)</x:f>
        <x:v>0</x:v>
      </x:c>
      <x:c r="CJ17" s="117" t="n">
        <x:f>SUM('CF_1'!CJ36,'CF_2'!CJ36,'CF_3'!CJ36)</x:f>
        <x:v>0</x:v>
      </x:c>
      <x:c r="CK17" s="117" t="n">
        <x:f>SUM('CF_1'!CK36,'CF_2'!CK36,'CF_3'!CK36)</x:f>
        <x:v>0</x:v>
      </x:c>
      <x:c r="CL17" s="117" t="n">
        <x:f>SUM('CF_1'!CL36,'CF_2'!CL36,'CF_3'!CL36)</x:f>
        <x:v>0</x:v>
      </x:c>
      <x:c r="CM17" s="117" t="n">
        <x:f>SUM('CF_1'!CM36,'CF_2'!CM36,'CF_3'!CM36)</x:f>
        <x:v>0</x:v>
      </x:c>
      <x:c r="CN17" s="117" t="n">
        <x:f>SUM('CF_1'!CN36,'CF_2'!CN36,'CF_3'!CN36)</x:f>
        <x:v>0</x:v>
      </x:c>
      <x:c r="CO17" s="117" t="n">
        <x:f>SUM('CF_1'!CO36,'CF_2'!CO36,'CF_3'!CO36)</x:f>
        <x:v>0</x:v>
      </x:c>
      <x:c r="CP17" s="117" t="n">
        <x:f>SUM('CF_1'!CP36,'CF_2'!CP36,'CF_3'!CP36)</x:f>
        <x:v>0</x:v>
      </x:c>
      <x:c r="CQ17" s="117" t="n">
        <x:f>SUM('CF_1'!CQ36,'CF_2'!CQ36,'CF_3'!CQ36)</x:f>
        <x:v>0</x:v>
      </x:c>
      <x:c r="CR17" s="117" t="n">
        <x:f>SUM('CF_1'!CR36,'CF_2'!CR36,'CF_3'!CR36)</x:f>
        <x:v>0</x:v>
      </x:c>
      <x:c r="CS17" s="117" t="n">
        <x:f>SUM('CF_1'!CS36,'CF_2'!CS36,'CF_3'!CS36)</x:f>
        <x:v>0</x:v>
      </x:c>
      <x:c r="CT17" s="117" t="n">
        <x:f>SUM('CF_1'!CT36,'CF_2'!CT36,'CF_3'!CT36)</x:f>
        <x:v>0</x:v>
      </x:c>
      <x:c r="CU17" s="117" t="n">
        <x:f>SUM('CF_1'!CU36,'CF_2'!CU36,'CF_3'!CU36)</x:f>
        <x:v>0</x:v>
      </x:c>
      <x:c r="CV17" s="117" t="n">
        <x:f>SUM('CF_1'!CV36,'CF_2'!CV36,'CF_3'!CV36)</x:f>
        <x:v>0</x:v>
      </x:c>
      <x:c r="CW17" s="117" t="n">
        <x:f>SUM('CF_1'!CW36,'CF_2'!CW36,'CF_3'!CW36)</x:f>
        <x:v>0</x:v>
      </x:c>
      <x:c r="CX17" s="117" t="n">
        <x:f>SUM('CF_1'!CX36,'CF_2'!CX36,'CF_3'!CX36)</x:f>
        <x:v>0</x:v>
      </x:c>
      <x:c r="CY17" s="117" t="n">
        <x:f>SUM('CF_1'!CY36,'CF_2'!CY36,'CF_3'!CY36)</x:f>
        <x:v>0</x:v>
      </x:c>
      <x:c r="CZ17" s="117" t="n">
        <x:f>SUM('CF_1'!CZ36,'CF_2'!CZ36,'CF_3'!CZ36)</x:f>
        <x:v>0</x:v>
      </x:c>
      <x:c r="DA17" s="117" t="n">
        <x:f>SUM('CF_1'!DA36,'CF_2'!DA36,'CF_3'!DA36)</x:f>
        <x:v>0</x:v>
      </x:c>
      <x:c r="DB17" s="117" t="n">
        <x:f>SUM('CF_1'!DB36,'CF_2'!DB36,'CF_3'!DB36)</x:f>
        <x:v>0</x:v>
      </x:c>
      <x:c r="DC17" s="117" t="n">
        <x:f>SUM('CF_1'!DC36,'CF_2'!DC36,'CF_3'!DC36)</x:f>
        <x:v>0</x:v>
      </x:c>
      <x:c r="DD17" s="117" t="n">
        <x:f>SUM('CF_1'!DD36,'CF_2'!DD36,'CF_3'!DD36)</x:f>
        <x:v>0</x:v>
      </x:c>
      <x:c r="DE17" s="117" t="n">
        <x:f>SUM('CF_1'!DE36,'CF_2'!DE36,'CF_3'!DE36)</x:f>
        <x:v>0</x:v>
      </x:c>
      <x:c r="DF17" s="117" t="n">
        <x:f>SUM('CF_1'!DF36,'CF_2'!DF36,'CF_3'!DF36)</x:f>
        <x:v>0</x:v>
      </x:c>
      <x:c r="DG17" s="117" t="n">
        <x:f>SUM('CF_1'!DG36,'CF_2'!DG36,'CF_3'!DG36)</x:f>
        <x:v>0</x:v>
      </x:c>
      <x:c r="DH17" s="117" t="n">
        <x:f>SUM('CF_1'!DH36,'CF_2'!DH36,'CF_3'!DH36)</x:f>
        <x:v>0</x:v>
      </x:c>
      <x:c r="DI17" s="117" t="n">
        <x:f>SUM('CF_1'!DI36,'CF_2'!DI36,'CF_3'!DI36)</x:f>
        <x:v>0</x:v>
      </x:c>
      <x:c r="DJ17" s="117" t="n">
        <x:f>SUM('CF_1'!DJ36,'CF_2'!DJ36,'CF_3'!DJ36)</x:f>
        <x:v>0</x:v>
      </x:c>
      <x:c r="DK17" s="117" t="n">
        <x:f>SUM('CF_1'!DK36,'CF_2'!DK36,'CF_3'!DK36)</x:f>
        <x:v>0</x:v>
      </x:c>
      <x:c r="DL17" s="117" t="n">
        <x:f>SUM('CF_1'!DL36,'CF_2'!DL36,'CF_3'!DL36)</x:f>
        <x:v>0</x:v>
      </x:c>
      <x:c r="DM17" s="117" t="n">
        <x:f>SUM('CF_1'!DM36,'CF_2'!DM36,'CF_3'!DM36)</x:f>
        <x:v>0</x:v>
      </x:c>
      <x:c r="DN17" s="117" t="n">
        <x:f>SUM('CF_1'!DN36,'CF_2'!DN36,'CF_3'!DN36)</x:f>
        <x:v>0</x:v>
      </x:c>
      <x:c r="DO17" s="117" t="n">
        <x:f>SUM('CF_1'!DO36,'CF_2'!DO36,'CF_3'!DO36)</x:f>
        <x:v>0</x:v>
      </x:c>
      <x:c r="DP17" s="117" t="n">
        <x:f>SUM('CF_1'!DP36,'CF_2'!DP36,'CF_3'!DP36)</x:f>
        <x:v>0</x:v>
      </x:c>
      <x:c r="DQ17" s="117" t="n">
        <x:f>SUM('CF_1'!DQ36,'CF_2'!DQ36,'CF_3'!DQ36)</x:f>
        <x:v>0</x:v>
      </x:c>
      <x:c r="DR17" s="117" t="n">
        <x:f>SUM('CF_1'!DR36,'CF_2'!DR36,'CF_3'!DR36)</x:f>
        <x:v>0</x:v>
      </x:c>
      <x:c r="DS17" s="117" t="n">
        <x:f>SUM('CF_1'!DS36,'CF_2'!DS36,'CF_3'!DS36)</x:f>
        <x:v>0</x:v>
      </x:c>
    </x:row>
    <x:row r="18">
      <x:c r="A18" t="str">
        <x:v>Долг ПФ</x:v>
      </x:c>
      <x:c r="B18" t="n">
        <x:f>DS18</x:f>
        <x:v>0</x:v>
      </x:c>
      <x:c r="C18" t="str">
        <x:v>млн ₽</x:v>
      </x:c>
      <x:c r="D18" s="117" t="n">
        <x:f>SUM('CF_1'!D47,'CF_2'!D47,'CF_3'!D47)</x:f>
        <x:v>0</x:v>
      </x:c>
      <x:c r="E18" s="117" t="n">
        <x:f>SUM('CF_1'!E47,'CF_2'!E47,'CF_3'!E47)</x:f>
        <x:v>0</x:v>
      </x:c>
      <x:c r="F18" s="117" t="n">
        <x:f>SUM('CF_1'!F47,'CF_2'!F47,'CF_3'!F47)</x:f>
        <x:v>0</x:v>
      </x:c>
      <x:c r="G18" s="117" t="n">
        <x:f>SUM('CF_1'!G47,'CF_2'!G47,'CF_3'!G47)</x:f>
        <x:v>0</x:v>
      </x:c>
      <x:c r="H18" s="117" t="n">
        <x:f>SUM('CF_1'!H47,'CF_2'!H47,'CF_3'!H47)</x:f>
        <x:v>0</x:v>
      </x:c>
      <x:c r="I18" s="117" t="n">
        <x:f>SUM('CF_1'!I47,'CF_2'!I47,'CF_3'!I47)</x:f>
        <x:v>0</x:v>
      </x:c>
      <x:c r="J18" s="117" t="n">
        <x:f>SUM('CF_1'!J47,'CF_2'!J47,'CF_3'!J47)</x:f>
        <x:v>0</x:v>
      </x:c>
      <x:c r="K18" s="117" t="n">
        <x:f>SUM('CF_1'!K47,'CF_2'!K47,'CF_3'!K47)</x:f>
        <x:v>0</x:v>
      </x:c>
      <x:c r="L18" s="117" t="n">
        <x:f>SUM('CF_1'!L47,'CF_2'!L47,'CF_3'!L47)</x:f>
        <x:v>0</x:v>
      </x:c>
      <x:c r="M18" s="117" t="n">
        <x:f>SUM('CF_1'!M47,'CF_2'!M47,'CF_3'!M47)</x:f>
        <x:v>0</x:v>
      </x:c>
      <x:c r="N18" s="117" t="n">
        <x:f>SUM('CF_1'!N47,'CF_2'!N47,'CF_3'!N47)</x:f>
        <x:v>0</x:v>
      </x:c>
      <x:c r="O18" s="117" t="n">
        <x:f>SUM('CF_1'!O47,'CF_2'!O47,'CF_3'!O47)</x:f>
        <x:v>0</x:v>
      </x:c>
      <x:c r="P18" s="117" t="n">
        <x:f>SUM('CF_1'!P47,'CF_2'!P47,'CF_3'!P47)</x:f>
        <x:v>0</x:v>
      </x:c>
      <x:c r="Q18" s="117" t="n">
        <x:f>SUM('CF_1'!Q47,'CF_2'!Q47,'CF_3'!Q47)</x:f>
        <x:v>0</x:v>
      </x:c>
      <x:c r="R18" s="117" t="n">
        <x:f>SUM('CF_1'!R47,'CF_2'!R47,'CF_3'!R47)</x:f>
        <x:v>0</x:v>
      </x:c>
      <x:c r="S18" s="117" t="n">
        <x:f>SUM('CF_1'!S47,'CF_2'!S47,'CF_3'!S47)</x:f>
        <x:v>0</x:v>
      </x:c>
      <x:c r="T18" s="117" t="n">
        <x:f>SUM('CF_1'!T47,'CF_2'!T47,'CF_3'!T47)</x:f>
        <x:v>0</x:v>
      </x:c>
      <x:c r="U18" s="117" t="n">
        <x:f>SUM('CF_1'!U47,'CF_2'!U47,'CF_3'!U47)</x:f>
        <x:v>0</x:v>
      </x:c>
      <x:c r="V18" s="117" t="n">
        <x:f>SUM('CF_1'!V47,'CF_2'!V47,'CF_3'!V47)</x:f>
        <x:v>3269.5462936713507</x:v>
      </x:c>
      <x:c r="W18" s="117" t="n">
        <x:f>SUM('CF_1'!W47,'CF_2'!W47,'CF_3'!W47)</x:f>
        <x:v>3450.337019925994</x:v>
      </x:c>
      <x:c r="X18" s="117" t="n">
        <x:f>SUM('CF_1'!X47,'CF_2'!X47,'CF_3'!X47)</x:f>
        <x:v>3635.480758215615</x:v>
      </x:c>
      <x:c r="Y18" s="117" t="n">
        <x:f>SUM('CF_1'!Y47,'CF_2'!Y47,'CF_3'!Y47)</x:f>
        <x:v>3821.2652708742603</x:v>
      </x:c>
      <x:c r="Z18" s="117" t="n">
        <x:f>SUM('CF_1'!Z47,'CF_2'!Z47,'CF_3'!Z47)</x:f>
        <x:v>4160.834185899852</x:v>
      </x:c>
      <x:c r="AA18" s="117" t="n">
        <x:f>SUM('CF_1'!AA47,'CF_2'!AA47,'CF_3'!AA47)</x:f>
        <x:v>4501.076511549435</x:v>
      </x:c>
      <x:c r="AB18" s="117" t="n">
        <x:f>SUM('CF_1'!AB47,'CF_2'!AB47,'CF_3'!AB47)</x:f>
        <x:v>4837.788254920779</x:v>
      </x:c>
      <x:c r="AC18" s="117" t="n">
        <x:f>SUM('CF_1'!AC47,'CF_2'!AC47,'CF_3'!AC47)</x:f>
        <x:v>5179.428636597298</x:v>
      </x:c>
      <x:c r="AD18" s="117" t="n">
        <x:f>SUM('CF_1'!AD47,'CF_2'!AD47,'CF_3'!AD47)</x:f>
        <x:v>5521.794526284079</x:v>
      </x:c>
      <x:c r="AE18" s="117" t="n">
        <x:f>SUM('CF_1'!AE47,'CF_2'!AE47,'CF_3'!AE47)</x:f>
        <x:v>5864.9041705075815</x:v>
      </x:c>
      <x:c r="AF18" s="117" t="n">
        <x:f>SUM('CF_1'!AF47,'CF_2'!AF47,'CF_3'!AF47)</x:f>
        <x:v>6204.114430769571</x:v>
      </x:c>
      <x:c r="AG18" s="117" t="n">
        <x:f>SUM('CF_1'!AG47,'CF_2'!AG47,'CF_3'!AG47)</x:f>
        <x:v>6543.989081488248</x:v>
      </x:c>
      <x:c r="AH18" s="117" t="n">
        <x:f>SUM('CF_1'!AH47,'CF_2'!AH47,'CF_3'!AH47)</x:f>
        <x:v>6884.5448320835985</x:v>
      </x:c>
      <x:c r="AI18" s="117" t="n">
        <x:f>SUM('CF_1'!AI47,'CF_2'!AI47,'CF_3'!AI47)</x:f>
        <x:v>7225.79881221752</x:v>
      </x:c>
      <x:c r="AJ18" s="117" t="n">
        <x:f>SUM('CF_1'!AJ47,'CF_2'!AJ47,'CF_3'!AJ47)</x:f>
        <x:v>7572.917398620105</x:v>
      </x:c>
      <x:c r="AK18" s="117" t="n">
        <x:f>SUM('CF_1'!AK47,'CF_2'!AK47,'CF_3'!AK47)</x:f>
        <x:v>7920.899269881813</x:v>
      </x:c>
      <x:c r="AL18" s="117" t="n">
        <x:f>SUM('CF_1'!AL47,'CF_2'!AL47,'CF_3'!AL47)</x:f>
        <x:v>8269.76613761685</x:v>
      </x:c>
      <x:c r="AM18" s="117" t="n">
        <x:f>SUM('CF_1'!AM47,'CF_2'!AM47,'CF_3'!AM47)</x:f>
        <x:v>8619.540259486523</x:v>
      </x:c>
      <x:c r="AN18" s="117" t="n">
        <x:f>SUM('CF_1'!AN47,'CF_2'!AN47,'CF_3'!AN47)</x:f>
        <x:v>8964.557795618637</x:v>
      </x:c>
      <x:c r="AO18" s="117" t="n">
        <x:f>SUM('CF_1'!AO47,'CF_2'!AO47,'CF_3'!AO47)</x:f>
        <x:v>9214.13044359233</x:v>
      </x:c>
      <x:c r="AP18" s="117" t="n">
        <x:f>SUM('CF_1'!AP47,'CF_2'!AP47,'CF_3'!AP47)</x:f>
        <x:v>9464.680534033621</x:v>
      </x:c>
      <x:c r="AQ18" s="117" t="n">
        <x:f>SUM('CF_1'!AQ47,'CF_2'!AQ47,'CF_3'!AQ47)</x:f>
        <x:v>9768.16664962057</x:v>
      </x:c>
      <x:c r="AR18" s="117" t="n">
        <x:f>SUM('CF_1'!AR47,'CF_2'!AR47,'CF_3'!AR47)</x:f>
        <x:v>10066.399310486775</x:v>
      </x:c>
      <x:c r="AS18" s="117" t="n">
        <x:f>SUM('CF_1'!AS47,'CF_2'!AS47,'CF_3'!AS47)</x:f>
        <x:v>10280</x:v>
      </x:c>
      <x:c r="AT18" s="117" t="n">
        <x:f>SUM('CF_1'!AT47,'CF_2'!AT47,'CF_3'!AT47)</x:f>
        <x:v>0</x:v>
      </x:c>
      <x:c r="AU18" s="117" t="n">
        <x:f>SUM('CF_1'!AU47,'CF_2'!AU47,'CF_3'!AU47)</x:f>
        <x:v>0</x:v>
      </x:c>
      <x:c r="AV18" s="117" t="n">
        <x:f>SUM('CF_1'!AV47,'CF_2'!AV47,'CF_3'!AV47)</x:f>
        <x:v>0</x:v>
      </x:c>
      <x:c r="AW18" s="117" t="n">
        <x:f>SUM('CF_1'!AW47,'CF_2'!AW47,'CF_3'!AW47)</x:f>
        <x:v>0</x:v>
      </x:c>
      <x:c r="AX18" s="117" t="n">
        <x:f>SUM('CF_1'!AX47,'CF_2'!AX47,'CF_3'!AX47)</x:f>
        <x:v>0</x:v>
      </x:c>
      <x:c r="AY18" s="117" t="n">
        <x:f>SUM('CF_1'!AY47,'CF_2'!AY47,'CF_3'!AY47)</x:f>
        <x:v>0</x:v>
      </x:c>
      <x:c r="AZ18" s="117" t="n">
        <x:f>SUM('CF_1'!AZ47,'CF_2'!AZ47,'CF_3'!AZ47)</x:f>
        <x:v>0</x:v>
      </x:c>
      <x:c r="BA18" s="117" t="n">
        <x:f>SUM('CF_1'!BA47,'CF_2'!BA47,'CF_3'!BA47)</x:f>
        <x:v>0</x:v>
      </x:c>
      <x:c r="BB18" s="117" t="n">
        <x:f>SUM('CF_1'!BB47,'CF_2'!BB47,'CF_3'!BB47)</x:f>
        <x:v>0</x:v>
      </x:c>
      <x:c r="BC18" s="117" t="n">
        <x:f>SUM('CF_1'!BC47,'CF_2'!BC47,'CF_3'!BC47)</x:f>
        <x:v>0</x:v>
      </x:c>
      <x:c r="BD18" s="117" t="n">
        <x:f>SUM('CF_1'!BD47,'CF_2'!BD47,'CF_3'!BD47)</x:f>
        <x:v>0</x:v>
      </x:c>
      <x:c r="BE18" s="117" t="n">
        <x:f>SUM('CF_1'!BE47,'CF_2'!BE47,'CF_3'!BE47)</x:f>
        <x:v>0</x:v>
      </x:c>
      <x:c r="BF18" s="117" t="n">
        <x:f>SUM('CF_1'!BF47,'CF_2'!BF47,'CF_3'!BF47)</x:f>
        <x:v>0</x:v>
      </x:c>
      <x:c r="BG18" s="117" t="n">
        <x:f>SUM('CF_1'!BG47,'CF_2'!BG47,'CF_3'!BG47)</x:f>
        <x:v>0</x:v>
      </x:c>
      <x:c r="BH18" s="117" t="n">
        <x:f>SUM('CF_1'!BH47,'CF_2'!BH47,'CF_3'!BH47)</x:f>
        <x:v>0</x:v>
      </x:c>
      <x:c r="BI18" s="117" t="n">
        <x:f>SUM('CF_1'!BI47,'CF_2'!BI47,'CF_3'!BI47)</x:f>
        <x:v>0</x:v>
      </x:c>
      <x:c r="BJ18" s="117" t="n">
        <x:f>SUM('CF_1'!BJ47,'CF_2'!BJ47,'CF_3'!BJ47)</x:f>
        <x:v>0</x:v>
      </x:c>
      <x:c r="BK18" s="117" t="n">
        <x:f>SUM('CF_1'!BK47,'CF_2'!BK47,'CF_3'!BK47)</x:f>
        <x:v>0</x:v>
      </x:c>
      <x:c r="BL18" s="117" t="n">
        <x:f>SUM('CF_1'!BL47,'CF_2'!BL47,'CF_3'!BL47)</x:f>
        <x:v>0</x:v>
      </x:c>
      <x:c r="BM18" s="117" t="n">
        <x:f>SUM('CF_1'!BM47,'CF_2'!BM47,'CF_3'!BM47)</x:f>
        <x:v>0</x:v>
      </x:c>
      <x:c r="BN18" s="117" t="n">
        <x:f>SUM('CF_1'!BN47,'CF_2'!BN47,'CF_3'!BN47)</x:f>
        <x:v>0</x:v>
      </x:c>
      <x:c r="BO18" s="117" t="n">
        <x:f>SUM('CF_1'!BO47,'CF_2'!BO47,'CF_3'!BO47)</x:f>
        <x:v>0</x:v>
      </x:c>
      <x:c r="BP18" s="117" t="n">
        <x:f>SUM('CF_1'!BP47,'CF_2'!BP47,'CF_3'!BP47)</x:f>
        <x:v>0</x:v>
      </x:c>
      <x:c r="BQ18" s="117" t="n">
        <x:f>SUM('CF_1'!BQ47,'CF_2'!BQ47,'CF_3'!BQ47)</x:f>
        <x:v>0</x:v>
      </x:c>
      <x:c r="BR18" s="117" t="n">
        <x:f>SUM('CF_1'!BR47,'CF_2'!BR47,'CF_3'!BR47)</x:f>
        <x:v>0</x:v>
      </x:c>
      <x:c r="BS18" s="117" t="n">
        <x:f>SUM('CF_1'!BS47,'CF_2'!BS47,'CF_3'!BS47)</x:f>
        <x:v>0</x:v>
      </x:c>
      <x:c r="BT18" s="117" t="n">
        <x:f>SUM('CF_1'!BT47,'CF_2'!BT47,'CF_3'!BT47)</x:f>
        <x:v>0</x:v>
      </x:c>
      <x:c r="BU18" s="117" t="n">
        <x:f>SUM('CF_1'!BU47,'CF_2'!BU47,'CF_3'!BU47)</x:f>
        <x:v>0</x:v>
      </x:c>
      <x:c r="BV18" s="117" t="n">
        <x:f>SUM('CF_1'!BV47,'CF_2'!BV47,'CF_3'!BV47)</x:f>
        <x:v>0</x:v>
      </x:c>
      <x:c r="BW18" s="117" t="n">
        <x:f>SUM('CF_1'!BW47,'CF_2'!BW47,'CF_3'!BW47)</x:f>
        <x:v>0</x:v>
      </x:c>
      <x:c r="BX18" s="117" t="n">
        <x:f>SUM('CF_1'!BX47,'CF_2'!BX47,'CF_3'!BX47)</x:f>
        <x:v>0</x:v>
      </x:c>
      <x:c r="BY18" s="117" t="n">
        <x:f>SUM('CF_1'!BY47,'CF_2'!BY47,'CF_3'!BY47)</x:f>
        <x:v>0</x:v>
      </x:c>
      <x:c r="BZ18" s="117" t="n">
        <x:f>SUM('CF_1'!BZ47,'CF_2'!BZ47,'CF_3'!BZ47)</x:f>
        <x:v>0</x:v>
      </x:c>
      <x:c r="CA18" s="117" t="n">
        <x:f>SUM('CF_1'!CA47,'CF_2'!CA47,'CF_3'!CA47)</x:f>
        <x:v>0</x:v>
      </x:c>
      <x:c r="CB18" s="117" t="n">
        <x:f>SUM('CF_1'!CB47,'CF_2'!CB47,'CF_3'!CB47)</x:f>
        <x:v>0</x:v>
      </x:c>
      <x:c r="CC18" s="117" t="n">
        <x:f>SUM('CF_1'!CC47,'CF_2'!CC47,'CF_3'!CC47)</x:f>
        <x:v>0</x:v>
      </x:c>
      <x:c r="CD18" s="117" t="n">
        <x:f>SUM('CF_1'!CD47,'CF_2'!CD47,'CF_3'!CD47)</x:f>
        <x:v>0</x:v>
      </x:c>
      <x:c r="CE18" s="117" t="n">
        <x:f>SUM('CF_1'!CE47,'CF_2'!CE47,'CF_3'!CE47)</x:f>
        <x:v>0</x:v>
      </x:c>
      <x:c r="CF18" s="117" t="n">
        <x:f>SUM('CF_1'!CF47,'CF_2'!CF47,'CF_3'!CF47)</x:f>
        <x:v>0</x:v>
      </x:c>
      <x:c r="CG18" s="117" t="n">
        <x:f>SUM('CF_1'!CG47,'CF_2'!CG47,'CF_3'!CG47)</x:f>
        <x:v>0</x:v>
      </x:c>
      <x:c r="CH18" s="117" t="n">
        <x:f>SUM('CF_1'!CH47,'CF_2'!CH47,'CF_3'!CH47)</x:f>
        <x:v>0</x:v>
      </x:c>
      <x:c r="CI18" s="117" t="n">
        <x:f>SUM('CF_1'!CI47,'CF_2'!CI47,'CF_3'!CI47)</x:f>
        <x:v>0</x:v>
      </x:c>
      <x:c r="CJ18" s="117" t="n">
        <x:f>SUM('CF_1'!CJ47,'CF_2'!CJ47,'CF_3'!CJ47)</x:f>
        <x:v>0</x:v>
      </x:c>
      <x:c r="CK18" s="117" t="n">
        <x:f>SUM('CF_1'!CK47,'CF_2'!CK47,'CF_3'!CK47)</x:f>
        <x:v>0</x:v>
      </x:c>
      <x:c r="CL18" s="117" t="n">
        <x:f>SUM('CF_1'!CL47,'CF_2'!CL47,'CF_3'!CL47)</x:f>
        <x:v>0</x:v>
      </x:c>
      <x:c r="CM18" s="117" t="n">
        <x:f>SUM('CF_1'!CM47,'CF_2'!CM47,'CF_3'!CM47)</x:f>
        <x:v>0</x:v>
      </x:c>
      <x:c r="CN18" s="117" t="n">
        <x:f>SUM('CF_1'!CN47,'CF_2'!CN47,'CF_3'!CN47)</x:f>
        <x:v>0</x:v>
      </x:c>
      <x:c r="CO18" s="117" t="n">
        <x:f>SUM('CF_1'!CO47,'CF_2'!CO47,'CF_3'!CO47)</x:f>
        <x:v>0</x:v>
      </x:c>
      <x:c r="CP18" s="117" t="n">
        <x:f>SUM('CF_1'!CP47,'CF_2'!CP47,'CF_3'!CP47)</x:f>
        <x:v>0</x:v>
      </x:c>
      <x:c r="CQ18" s="117" t="n">
        <x:f>SUM('CF_1'!CQ47,'CF_2'!CQ47,'CF_3'!CQ47)</x:f>
        <x:v>0</x:v>
      </x:c>
      <x:c r="CR18" s="117" t="n">
        <x:f>SUM('CF_1'!CR47,'CF_2'!CR47,'CF_3'!CR47)</x:f>
        <x:v>0</x:v>
      </x:c>
      <x:c r="CS18" s="117" t="n">
        <x:f>SUM('CF_1'!CS47,'CF_2'!CS47,'CF_3'!CS47)</x:f>
        <x:v>0</x:v>
      </x:c>
      <x:c r="CT18" s="117" t="n">
        <x:f>SUM('CF_1'!CT47,'CF_2'!CT47,'CF_3'!CT47)</x:f>
        <x:v>0</x:v>
      </x:c>
      <x:c r="CU18" s="117" t="n">
        <x:f>SUM('CF_1'!CU47,'CF_2'!CU47,'CF_3'!CU47)</x:f>
        <x:v>0</x:v>
      </x:c>
      <x:c r="CV18" s="117" t="n">
        <x:f>SUM('CF_1'!CV47,'CF_2'!CV47,'CF_3'!CV47)</x:f>
        <x:v>0</x:v>
      </x:c>
      <x:c r="CW18" s="117" t="n">
        <x:f>SUM('CF_1'!CW47,'CF_2'!CW47,'CF_3'!CW47)</x:f>
        <x:v>0</x:v>
      </x:c>
      <x:c r="CX18" s="117" t="n">
        <x:f>SUM('CF_1'!CX47,'CF_2'!CX47,'CF_3'!CX47)</x:f>
        <x:v>0</x:v>
      </x:c>
      <x:c r="CY18" s="117" t="n">
        <x:f>SUM('CF_1'!CY47,'CF_2'!CY47,'CF_3'!CY47)</x:f>
        <x:v>0</x:v>
      </x:c>
      <x:c r="CZ18" s="117" t="n">
        <x:f>SUM('CF_1'!CZ47,'CF_2'!CZ47,'CF_3'!CZ47)</x:f>
        <x:v>0</x:v>
      </x:c>
      <x:c r="DA18" s="117" t="n">
        <x:f>SUM('CF_1'!DA47,'CF_2'!DA47,'CF_3'!DA47)</x:f>
        <x:v>0</x:v>
      </x:c>
      <x:c r="DB18" s="117" t="n">
        <x:f>SUM('CF_1'!DB47,'CF_2'!DB47,'CF_3'!DB47)</x:f>
        <x:v>0</x:v>
      </x:c>
      <x:c r="DC18" s="117" t="n">
        <x:f>SUM('CF_1'!DC47,'CF_2'!DC47,'CF_3'!DC47)</x:f>
        <x:v>0</x:v>
      </x:c>
      <x:c r="DD18" s="117" t="n">
        <x:f>SUM('CF_1'!DD47,'CF_2'!DD47,'CF_3'!DD47)</x:f>
        <x:v>0</x:v>
      </x:c>
      <x:c r="DE18" s="117" t="n">
        <x:f>SUM('CF_1'!DE47,'CF_2'!DE47,'CF_3'!DE47)</x:f>
        <x:v>0</x:v>
      </x:c>
      <x:c r="DF18" s="117" t="n">
        <x:f>SUM('CF_1'!DF47,'CF_2'!DF47,'CF_3'!DF47)</x:f>
        <x:v>0</x:v>
      </x:c>
      <x:c r="DG18" s="117" t="n">
        <x:f>SUM('CF_1'!DG47,'CF_2'!DG47,'CF_3'!DG47)</x:f>
        <x:v>0</x:v>
      </x:c>
      <x:c r="DH18" s="117" t="n">
        <x:f>SUM('CF_1'!DH47,'CF_2'!DH47,'CF_3'!DH47)</x:f>
        <x:v>0</x:v>
      </x:c>
      <x:c r="DI18" s="117" t="n">
        <x:f>SUM('CF_1'!DI47,'CF_2'!DI47,'CF_3'!DI47)</x:f>
        <x:v>0</x:v>
      </x:c>
      <x:c r="DJ18" s="117" t="n">
        <x:f>SUM('CF_1'!DJ47,'CF_2'!DJ47,'CF_3'!DJ47)</x:f>
        <x:v>0</x:v>
      </x:c>
      <x:c r="DK18" s="117" t="n">
        <x:f>SUM('CF_1'!DK47,'CF_2'!DK47,'CF_3'!DK47)</x:f>
        <x:v>0</x:v>
      </x:c>
      <x:c r="DL18" s="117" t="n">
        <x:f>SUM('CF_1'!DL47,'CF_2'!DL47,'CF_3'!DL47)</x:f>
        <x:v>0</x:v>
      </x:c>
      <x:c r="DM18" s="117" t="n">
        <x:f>SUM('CF_1'!DM47,'CF_2'!DM47,'CF_3'!DM47)</x:f>
        <x:v>0</x:v>
      </x:c>
      <x:c r="DN18" s="117" t="n">
        <x:f>SUM('CF_1'!DN47,'CF_2'!DN47,'CF_3'!DN47)</x:f>
        <x:v>0</x:v>
      </x:c>
      <x:c r="DO18" s="117" t="n">
        <x:f>SUM('CF_1'!DO47,'CF_2'!DO47,'CF_3'!DO47)</x:f>
        <x:v>0</x:v>
      </x:c>
      <x:c r="DP18" s="117" t="n">
        <x:f>SUM('CF_1'!DP47,'CF_2'!DP47,'CF_3'!DP47)</x:f>
        <x:v>0</x:v>
      </x:c>
      <x:c r="DQ18" s="117" t="n">
        <x:f>SUM('CF_1'!DQ47,'CF_2'!DQ47,'CF_3'!DQ47)</x:f>
        <x:v>0</x:v>
      </x:c>
      <x:c r="DR18" s="117" t="n">
        <x:f>SUM('CF_1'!DR47,'CF_2'!DR47,'CF_3'!DR47)</x:f>
        <x:v>0</x:v>
      </x:c>
      <x:c r="DS18" s="117" t="n">
        <x:f>SUM('CF_1'!DS47,'CF_2'!DS47,'CF_3'!DS47)</x:f>
        <x:v>0</x:v>
      </x:c>
    </x:row>
    <x:row r="19">
      <x:c r="A19" s="113" t="str">
        <x:v>Долг всего</x:v>
      </x:c>
      <x:c r="B19" s="113" t="n">
        <x:f>DS19</x:f>
        <x:v>0</x:v>
      </x:c>
      <x:c r="C19" s="113" t="str">
        <x:v>млн ₽</x:v>
      </x:c>
      <x:c r="D19" s="120" t="n">
        <x:f>SUM(D17:D18)</x:f>
        <x:v>707.9807307539683</x:v>
      </x:c>
      <x:c r="E19" s="120" t="n">
        <x:f>SUM(E17:E18)</x:f>
        <x:v>727.6382270325246</x:v>
      </x:c>
      <x:c r="F19" s="120" t="n">
        <x:f>SUM(F17:F18)</x:f>
        <x:v>747.3030510819349</x:v>
      </x:c>
      <x:c r="G19" s="120" t="n">
        <x:f>SUM(G17:G18)</x:f>
        <x:v>766.9724318151318</x:v>
      </x:c>
      <x:c r="H19" s="120" t="n">
        <x:f>SUM(H17:H18)</x:f>
        <x:v>786.643598145048</x:v>
      </x:c>
      <x:c r="I19" s="120" t="n">
        <x:f>SUM(I17:I18)</x:f>
        <x:v>806.3137789846162</x:v>
      </x:c>
      <x:c r="J19" s="120" t="n">
        <x:f>SUM(J17:J18)</x:f>
        <x:v>825.980203246769</x:v>
      </x:c>
      <x:c r="K19" s="120" t="n">
        <x:f>SUM(K17:K18)</x:f>
        <x:v>845.640099844439</x:v>
      </x:c>
      <x:c r="L19" s="120" t="n">
        <x:f>SUM(L17:L18)</x:f>
        <x:v>865.2906976905589</x:v>
      </x:c>
      <x:c r="M19" s="120" t="n">
        <x:f>SUM(M17:M18)</x:f>
        <x:v>884.9292256980614</x:v>
      </x:c>
      <x:c r="N19" s="120" t="n">
        <x:f>SUM(N17:N18)</x:f>
        <x:v>904.5529127798791</x:v>
      </x:c>
      <x:c r="O19" s="120" t="n">
        <x:f>SUM(O17:O18)</x:f>
        <x:v>924.1589878489447</x:v>
      </x:c>
      <x:c r="P19" s="120" t="n">
        <x:f>SUM(P17:P18)</x:f>
        <x:v>969.7116798181906</x:v>
      </x:c>
      <x:c r="Q19" s="120" t="n">
        <x:f>SUM(Q17:Q18)</x:f>
        <x:v>1015.6153948574943</x:v>
      </x:c>
      <x:c r="R19" s="120" t="n">
        <x:f>SUM(R17:R18)</x:f>
        <x:v>1061.8583455603437</x:v>
      </x:c>
      <x:c r="S19" s="120" t="n">
        <x:f>SUM(S17:S18)</x:f>
        <x:v>1108.4287445202272</x:v>
      </x:c>
      <x:c r="T19" s="120" t="n">
        <x:f>SUM(T17:T18)</x:f>
        <x:v>1155.3148043306328</x:v>
      </x:c>
      <x:c r="U19" s="120" t="n">
        <x:f>SUM(U17:U18)</x:f>
        <x:v>3050.711737585049</x:v>
      </x:c>
      <x:c r="V19" s="120" t="n">
        <x:f>SUM(V17:V18)</x:f>
        <x:v>3269.5462936713507</x:v>
      </x:c>
      <x:c r="W19" s="120" t="n">
        <x:f>SUM(W17:W18)</x:f>
        <x:v>3450.337019925994</x:v>
      </x:c>
      <x:c r="X19" s="120" t="n">
        <x:f>SUM(X17:X18)</x:f>
        <x:v>3635.480758215615</x:v>
      </x:c>
      <x:c r="Y19" s="120" t="n">
        <x:f>SUM(Y17:Y18)</x:f>
        <x:v>3821.2652708742603</x:v>
      </x:c>
      <x:c r="Z19" s="120" t="n">
        <x:f>SUM(Z17:Z18)</x:f>
        <x:v>4160.834185899852</x:v>
      </x:c>
      <x:c r="AA19" s="120" t="n">
        <x:f>SUM(AA17:AA18)</x:f>
        <x:v>4501.076511549435</x:v>
      </x:c>
      <x:c r="AB19" s="120" t="n">
        <x:f>SUM(AB17:AB18)</x:f>
        <x:v>4837.788254920779</x:v>
      </x:c>
      <x:c r="AC19" s="120" t="n">
        <x:f>SUM(AC17:AC18)</x:f>
        <x:v>5179.428636597298</x:v>
      </x:c>
      <x:c r="AD19" s="120" t="n">
        <x:f>SUM(AD17:AD18)</x:f>
        <x:v>5521.794526284079</x:v>
      </x:c>
      <x:c r="AE19" s="120" t="n">
        <x:f>SUM(AE17:AE18)</x:f>
        <x:v>5864.9041705075815</x:v>
      </x:c>
      <x:c r="AF19" s="120" t="n">
        <x:f>SUM(AF17:AF18)</x:f>
        <x:v>6204.114430769571</x:v>
      </x:c>
      <x:c r="AG19" s="120" t="n">
        <x:f>SUM(AG17:AG18)</x:f>
        <x:v>6543.989081488248</x:v>
      </x:c>
      <x:c r="AH19" s="120" t="n">
        <x:f>SUM(AH17:AH18)</x:f>
        <x:v>6884.5448320835985</x:v>
      </x:c>
      <x:c r="AI19" s="120" t="n">
        <x:f>SUM(AI17:AI18)</x:f>
        <x:v>7225.79881221752</x:v>
      </x:c>
      <x:c r="AJ19" s="120" t="n">
        <x:f>SUM(AJ17:AJ18)</x:f>
        <x:v>7572.917398620105</x:v>
      </x:c>
      <x:c r="AK19" s="120" t="n">
        <x:f>SUM(AK17:AK18)</x:f>
        <x:v>7920.899269881813</x:v>
      </x:c>
      <x:c r="AL19" s="120" t="n">
        <x:f>SUM(AL17:AL18)</x:f>
        <x:v>8269.76613761685</x:v>
      </x:c>
      <x:c r="AM19" s="120" t="n">
        <x:f>SUM(AM17:AM18)</x:f>
        <x:v>8619.540259486523</x:v>
      </x:c>
      <x:c r="AN19" s="120" t="n">
        <x:f>SUM(AN17:AN18)</x:f>
        <x:v>8964.557795618637</x:v>
      </x:c>
      <x:c r="AO19" s="120" t="n">
        <x:f>SUM(AO17:AO18)</x:f>
        <x:v>9214.13044359233</x:v>
      </x:c>
      <x:c r="AP19" s="120" t="n">
        <x:f>SUM(AP17:AP18)</x:f>
        <x:v>9464.680534033621</x:v>
      </x:c>
      <x:c r="AQ19" s="120" t="n">
        <x:f>SUM(AQ17:AQ18)</x:f>
        <x:v>9768.16664962057</x:v>
      </x:c>
      <x:c r="AR19" s="120" t="n">
        <x:f>SUM(AR17:AR18)</x:f>
        <x:v>10066.399310486775</x:v>
      </x:c>
      <x:c r="AS19" s="120" t="n">
        <x:f>SUM(AS17:AS18)</x:f>
        <x:v>10280</x:v>
      </x:c>
      <x:c r="AT19" s="120" t="n">
        <x:f>SUM(AT17:AT18)</x:f>
        <x:v>0</x:v>
      </x:c>
      <x:c r="AU19" s="120" t="n">
        <x:f>SUM(AU17:AU18)</x:f>
        <x:v>0</x:v>
      </x:c>
      <x:c r="AV19" s="120" t="n">
        <x:f>SUM(AV17:AV18)</x:f>
        <x:v>0</x:v>
      </x:c>
      <x:c r="AW19" s="120" t="n">
        <x:f>SUM(AW17:AW18)</x:f>
        <x:v>0</x:v>
      </x:c>
      <x:c r="AX19" s="120" t="n">
        <x:f>SUM(AX17:AX18)</x:f>
        <x:v>0</x:v>
      </x:c>
      <x:c r="AY19" s="120" t="n">
        <x:f>SUM(AY17:AY18)</x:f>
        <x:v>0</x:v>
      </x:c>
      <x:c r="AZ19" s="120" t="n">
        <x:f>SUM(AZ17:AZ18)</x:f>
        <x:v>0</x:v>
      </x:c>
      <x:c r="BA19" s="120" t="n">
        <x:f>SUM(BA17:BA18)</x:f>
        <x:v>0</x:v>
      </x:c>
      <x:c r="BB19" s="120" t="n">
        <x:f>SUM(BB17:BB18)</x:f>
        <x:v>0</x:v>
      </x:c>
      <x:c r="BC19" s="120" t="n">
        <x:f>SUM(BC17:BC18)</x:f>
        <x:v>0</x:v>
      </x:c>
      <x:c r="BD19" s="120" t="n">
        <x:f>SUM(BD17:BD18)</x:f>
        <x:v>0</x:v>
      </x:c>
      <x:c r="BE19" s="120" t="n">
        <x:f>SUM(BE17:BE18)</x:f>
        <x:v>0</x:v>
      </x:c>
      <x:c r="BF19" s="120" t="n">
        <x:f>SUM(BF17:BF18)</x:f>
        <x:v>0</x:v>
      </x:c>
      <x:c r="BG19" s="120" t="n">
        <x:f>SUM(BG17:BG18)</x:f>
        <x:v>0</x:v>
      </x:c>
      <x:c r="BH19" s="120" t="n">
        <x:f>SUM(BH17:BH18)</x:f>
        <x:v>0</x:v>
      </x:c>
      <x:c r="BI19" s="120" t="n">
        <x:f>SUM(BI17:BI18)</x:f>
        <x:v>0</x:v>
      </x:c>
      <x:c r="BJ19" s="120" t="n">
        <x:f>SUM(BJ17:BJ18)</x:f>
        <x:v>0</x:v>
      </x:c>
      <x:c r="BK19" s="120" t="n">
        <x:f>SUM(BK17:BK18)</x:f>
        <x:v>0</x:v>
      </x:c>
      <x:c r="BL19" s="120" t="n">
        <x:f>SUM(BL17:BL18)</x:f>
        <x:v>0</x:v>
      </x:c>
      <x:c r="BM19" s="120" t="n">
        <x:f>SUM(BM17:BM18)</x:f>
        <x:v>0</x:v>
      </x:c>
      <x:c r="BN19" s="120" t="n">
        <x:f>SUM(BN17:BN18)</x:f>
        <x:v>0</x:v>
      </x:c>
      <x:c r="BO19" s="120" t="n">
        <x:f>SUM(BO17:BO18)</x:f>
        <x:v>0</x:v>
      </x:c>
      <x:c r="BP19" s="120" t="n">
        <x:f>SUM(BP17:BP18)</x:f>
        <x:v>0</x:v>
      </x:c>
      <x:c r="BQ19" s="120" t="n">
        <x:f>SUM(BQ17:BQ18)</x:f>
        <x:v>0</x:v>
      </x:c>
      <x:c r="BR19" s="120" t="n">
        <x:f>SUM(BR17:BR18)</x:f>
        <x:v>0</x:v>
      </x:c>
      <x:c r="BS19" s="120" t="n">
        <x:f>SUM(BS17:BS18)</x:f>
        <x:v>0</x:v>
      </x:c>
      <x:c r="BT19" s="120" t="n">
        <x:f>SUM(BT17:BT18)</x:f>
        <x:v>0</x:v>
      </x:c>
      <x:c r="BU19" s="120" t="n">
        <x:f>SUM(BU17:BU18)</x:f>
        <x:v>0</x:v>
      </x:c>
      <x:c r="BV19" s="120" t="n">
        <x:f>SUM(BV17:BV18)</x:f>
        <x:v>0</x:v>
      </x:c>
      <x:c r="BW19" s="120" t="n">
        <x:f>SUM(BW17:BW18)</x:f>
        <x:v>0</x:v>
      </x:c>
      <x:c r="BX19" s="120" t="n">
        <x:f>SUM(BX17:BX18)</x:f>
        <x:v>0</x:v>
      </x:c>
      <x:c r="BY19" s="120" t="n">
        <x:f>SUM(BY17:BY18)</x:f>
        <x:v>0</x:v>
      </x:c>
      <x:c r="BZ19" s="120" t="n">
        <x:f>SUM(BZ17:BZ18)</x:f>
        <x:v>0</x:v>
      </x:c>
      <x:c r="CA19" s="120" t="n">
        <x:f>SUM(CA17:CA18)</x:f>
        <x:v>0</x:v>
      </x:c>
      <x:c r="CB19" s="120" t="n">
        <x:f>SUM(CB17:CB18)</x:f>
        <x:v>0</x:v>
      </x:c>
      <x:c r="CC19" s="120" t="n">
        <x:f>SUM(CC17:CC18)</x:f>
        <x:v>0</x:v>
      </x:c>
      <x:c r="CD19" s="120" t="n">
        <x:f>SUM(CD17:CD18)</x:f>
        <x:v>0</x:v>
      </x:c>
      <x:c r="CE19" s="120" t="n">
        <x:f>SUM(CE17:CE18)</x:f>
        <x:v>0</x:v>
      </x:c>
      <x:c r="CF19" s="120" t="n">
        <x:f>SUM(CF17:CF18)</x:f>
        <x:v>0</x:v>
      </x:c>
      <x:c r="CG19" s="120" t="n">
        <x:f>SUM(CG17:CG18)</x:f>
        <x:v>0</x:v>
      </x:c>
      <x:c r="CH19" s="120" t="n">
        <x:f>SUM(CH17:CH18)</x:f>
        <x:v>0</x:v>
      </x:c>
      <x:c r="CI19" s="120" t="n">
        <x:f>SUM(CI17:CI18)</x:f>
        <x:v>0</x:v>
      </x:c>
      <x:c r="CJ19" s="120" t="n">
        <x:f>SUM(CJ17:CJ18)</x:f>
        <x:v>0</x:v>
      </x:c>
      <x:c r="CK19" s="120" t="n">
        <x:f>SUM(CK17:CK18)</x:f>
        <x:v>0</x:v>
      </x:c>
      <x:c r="CL19" s="120" t="n">
        <x:f>SUM(CL17:CL18)</x:f>
        <x:v>0</x:v>
      </x:c>
      <x:c r="CM19" s="120" t="n">
        <x:f>SUM(CM17:CM18)</x:f>
        <x:v>0</x:v>
      </x:c>
      <x:c r="CN19" s="120" t="n">
        <x:f>SUM(CN17:CN18)</x:f>
        <x:v>0</x:v>
      </x:c>
      <x:c r="CO19" s="120" t="n">
        <x:f>SUM(CO17:CO18)</x:f>
        <x:v>0</x:v>
      </x:c>
      <x:c r="CP19" s="120" t="n">
        <x:f>SUM(CP17:CP18)</x:f>
        <x:v>0</x:v>
      </x:c>
      <x:c r="CQ19" s="120" t="n">
        <x:f>SUM(CQ17:CQ18)</x:f>
        <x:v>0</x:v>
      </x:c>
      <x:c r="CR19" s="120" t="n">
        <x:f>SUM(CR17:CR18)</x:f>
        <x:v>0</x:v>
      </x:c>
      <x:c r="CS19" s="120" t="n">
        <x:f>SUM(CS17:CS18)</x:f>
        <x:v>0</x:v>
      </x:c>
      <x:c r="CT19" s="120" t="n">
        <x:f>SUM(CT17:CT18)</x:f>
        <x:v>0</x:v>
      </x:c>
      <x:c r="CU19" s="120" t="n">
        <x:f>SUM(CU17:CU18)</x:f>
        <x:v>0</x:v>
      </x:c>
      <x:c r="CV19" s="120" t="n">
        <x:f>SUM(CV17:CV18)</x:f>
        <x:v>0</x:v>
      </x:c>
      <x:c r="CW19" s="120" t="n">
        <x:f>SUM(CW17:CW18)</x:f>
        <x:v>0</x:v>
      </x:c>
      <x:c r="CX19" s="120" t="n">
        <x:f>SUM(CX17:CX18)</x:f>
        <x:v>0</x:v>
      </x:c>
      <x:c r="CY19" s="120" t="n">
        <x:f>SUM(CY17:CY18)</x:f>
        <x:v>0</x:v>
      </x:c>
      <x:c r="CZ19" s="120" t="n">
        <x:f>SUM(CZ17:CZ18)</x:f>
        <x:v>0</x:v>
      </x:c>
      <x:c r="DA19" s="120" t="n">
        <x:f>SUM(DA17:DA18)</x:f>
        <x:v>0</x:v>
      </x:c>
      <x:c r="DB19" s="120" t="n">
        <x:f>SUM(DB17:DB18)</x:f>
        <x:v>0</x:v>
      </x:c>
      <x:c r="DC19" s="120" t="n">
        <x:f>SUM(DC17:DC18)</x:f>
        <x:v>0</x:v>
      </x:c>
      <x:c r="DD19" s="120" t="n">
        <x:f>SUM(DD17:DD18)</x:f>
        <x:v>0</x:v>
      </x:c>
      <x:c r="DE19" s="120" t="n">
        <x:f>SUM(DE17:DE18)</x:f>
        <x:v>0</x:v>
      </x:c>
      <x:c r="DF19" s="120" t="n">
        <x:f>SUM(DF17:DF18)</x:f>
        <x:v>0</x:v>
      </x:c>
      <x:c r="DG19" s="120" t="n">
        <x:f>SUM(DG17:DG18)</x:f>
        <x:v>0</x:v>
      </x:c>
      <x:c r="DH19" s="120" t="n">
        <x:f>SUM(DH17:DH18)</x:f>
        <x:v>0</x:v>
      </x:c>
      <x:c r="DI19" s="120" t="n">
        <x:f>SUM(DI17:DI18)</x:f>
        <x:v>0</x:v>
      </x:c>
      <x:c r="DJ19" s="120" t="n">
        <x:f>SUM(DJ17:DJ18)</x:f>
        <x:v>0</x:v>
      </x:c>
      <x:c r="DK19" s="120" t="n">
        <x:f>SUM(DK17:DK18)</x:f>
        <x:v>0</x:v>
      </x:c>
      <x:c r="DL19" s="120" t="n">
        <x:f>SUM(DL17:DL18)</x:f>
        <x:v>0</x:v>
      </x:c>
      <x:c r="DM19" s="120" t="n">
        <x:f>SUM(DM17:DM18)</x:f>
        <x:v>0</x:v>
      </x:c>
      <x:c r="DN19" s="120" t="n">
        <x:f>SUM(DN17:DN18)</x:f>
        <x:v>0</x:v>
      </x:c>
      <x:c r="DO19" s="120" t="n">
        <x:f>SUM(DO17:DO18)</x:f>
        <x:v>0</x:v>
      </x:c>
      <x:c r="DP19" s="120" t="n">
        <x:f>SUM(DP17:DP18)</x:f>
        <x:v>0</x:v>
      </x:c>
      <x:c r="DQ19" s="120" t="n">
        <x:f>SUM(DQ17:DQ18)</x:f>
        <x:v>0</x:v>
      </x:c>
      <x:c r="DR19" s="120" t="n">
        <x:f>SUM(DR17:DR18)</x:f>
        <x:v>0</x:v>
      </x:c>
      <x:c r="DS19" s="120" t="n">
        <x:f>SUM(DS17:DS18)</x:f>
        <x:v>0</x:v>
      </x:c>
    </x:row>
    <x:row r="20">
      <x:c r="A20" t="str">
        <x:v>Проценты</x:v>
      </x:c>
      <x:c r="B20" t="n">
        <x:f>SUM(D20:DS20)</x:f>
        <x:v>1174.9949485596978</x:v>
      </x:c>
      <x:c r="C20" t="str">
        <x:v>млн ₽</x:v>
      </x:c>
      <x:c r="D20" s="117" t="n">
        <x:f>SUM('CF_1'!D32+'CF_1'!D42,'CF_2'!D32+'CF_2'!D42,'CF_3'!D32+'CF_3'!D42)</x:f>
        <x:v>0</x:v>
      </x:c>
      <x:c r="E20" s="117" t="n">
        <x:f>SUM('CF_1'!E32+'CF_1'!E42,'CF_2'!E32+'CF_2'!E42,'CF_3'!E32+'CF_3'!E42)</x:f>
        <x:v>11.676765524588019</x:v>
      </x:c>
      <x:c r="F20" s="117" t="n">
        <x:f>SUM('CF_1'!F32+'CF_1'!F42,'CF_2'!F32+'CF_2'!F42,'CF_3'!F32+'CF_3'!F42)</x:f>
        <x:v>11.68409329544202</x:v>
      </x:c>
      <x:c r="G20" s="117" t="n">
        <x:f>SUM('CF_1'!G32+'CF_1'!G42,'CF_2'!G32+'CF_2'!G42,'CF_3'!G32+'CF_3'!G42)</x:f>
        <x:v>11.688649979228671</x:v>
      </x:c>
      <x:c r="H20" s="117" t="n">
        <x:f>SUM('CF_1'!H32+'CF_1'!H42,'CF_2'!H32+'CF_2'!H42,'CF_3'!H32+'CF_3'!H42)</x:f>
        <x:v>11.690435575947973</x:v>
      </x:c>
      <x:c r="I20" s="117" t="n">
        <x:f>SUM('CF_1'!I32+'CF_1'!I42,'CF_2'!I32+'CF_2'!I42,'CF_3'!I32+'CF_3'!I42)</x:f>
        <x:v>11.689450085599923</x:v>
      </x:c>
      <x:c r="J20" s="117" t="n">
        <x:f>SUM('CF_1'!J32+'CF_1'!J42,'CF_2'!J32+'CF_2'!J42,'CF_3'!J32+'CF_3'!J42)</x:f>
        <x:v>11.685693508184523</x:v>
      </x:c>
      <x:c r="K20" s="117" t="n">
        <x:f>SUM('CF_1'!K32+'CF_1'!K42,'CF_2'!K32+'CF_2'!K42,'CF_3'!K32+'CF_3'!K42)</x:f>
        <x:v>11.679165843701776</x:v>
      </x:c>
      <x:c r="L20" s="117" t="n">
        <x:f>SUM('CF_1'!L32+'CF_1'!L42,'CF_2'!L32+'CF_2'!L42,'CF_3'!L32+'CF_3'!L42)</x:f>
        <x:v>11.669867092151677</x:v>
      </x:c>
      <x:c r="M20" s="117" t="n">
        <x:f>SUM('CF_1'!M32+'CF_1'!M42,'CF_2'!M32+'CF_2'!M42,'CF_3'!M32+'CF_3'!M42)</x:f>
        <x:v>11.657797253534229</x:v>
      </x:c>
      <x:c r="N20" s="117" t="n">
        <x:f>SUM('CF_1'!N32+'CF_1'!N42,'CF_2'!N32+'CF_2'!N42,'CF_3'!N32+'CF_3'!N42)</x:f>
        <x:v>11.642956327849427</x:v>
      </x:c>
      <x:c r="O20" s="117" t="n">
        <x:f>SUM('CF_1'!O32+'CF_1'!O42,'CF_2'!O32+'CF_2'!O42,'CF_3'!O32+'CF_3'!O42)</x:f>
        <x:v>11.62534431509728</x:v>
      </x:c>
      <x:c r="P20" s="117" t="n">
        <x:f>SUM('CF_1'!P32+'CF_1'!P42,'CF_2'!P32+'CF_2'!P42,'CF_3'!P32+'CF_3'!P42)</x:f>
        <x:v>11.604961215277777</x:v>
      </x:c>
      <x:c r="Q20" s="117" t="n">
        <x:f>SUM('CF_1'!Q32+'CF_1'!Q42,'CF_2'!Q32+'CF_2'!Q42,'CF_3'!Q32+'CF_3'!Q42)</x:f>
        <x:v>11.955984285335374</x:v>
      </x:c>
      <x:c r="R20" s="117" t="n">
        <x:f>SUM('CF_1'!R32+'CF_1'!R42,'CF_2'!R32+'CF_2'!R42,'CF_3'!R32+'CF_3'!R42)</x:f>
        <x:v>12.295219948881174</x:v>
      </x:c>
      <x:c r="S20" s="117" t="n">
        <x:f>SUM('CF_1'!S32+'CF_1'!S42,'CF_2'!S32+'CF_2'!S42,'CF_3'!S32+'CF_3'!S42)</x:f>
        <x:v>12.622668205915181</x:v>
      </x:c>
      <x:c r="T20" s="117" t="n">
        <x:f>SUM('CF_1'!T32+'CF_1'!T42,'CF_2'!T32+'CF_2'!T42,'CF_3'!T32+'CF_3'!T42)</x:f>
        <x:v>12.938329056437391</x:v>
      </x:c>
      <x:c r="U20" s="117" t="n">
        <x:f>SUM('CF_1'!U32+'CF_1'!U42,'CF_2'!U32+'CF_2'!U42,'CF_3'!U32+'CF_3'!U42)</x:f>
        <x:v>13.242202500447808</x:v>
      </x:c>
      <x:c r="V20" s="117" t="n">
        <x:f>SUM('CF_1'!V32+'CF_1'!V42,'CF_2'!V32+'CF_2'!V42,'CF_3'!V32+'CF_3'!V42)</x:f>
        <x:v>38.56209166294643</x:v>
      </x:c>
      <x:c r="W20" s="117" t="n">
        <x:f>SUM('CF_1'!W32+'CF_1'!W42,'CF_2'!W32+'CF_2'!W42,'CF_3'!W32+'CF_3'!W42)</x:f>
        <x:v>34.631756797973885</x:v>
      </x:c>
      <x:c r="X20" s="117" t="n">
        <x:f>SUM('CF_1'!X32+'CF_1'!X42,'CF_2'!X32+'CF_2'!X42,'CF_3'!X32+'CF_3'!X42)</x:f>
        <x:v>33.3445177463103</x:v>
      </x:c>
      <x:c r="Y20" s="117" t="n">
        <x:f>SUM('CF_1'!Y32+'CF_1'!Y42,'CF_2'!Y32+'CF_2'!Y42,'CF_3'!Y32+'CF_3'!Y42)</x:f>
        <x:v>32.09870014762759</x:v>
      </x:c>
      <x:c r="Z20" s="117" t="n">
        <x:f>SUM('CF_1'!Z32+'CF_1'!Z42,'CF_2'!Z32+'CF_2'!Z42,'CF_3'!Z32+'CF_3'!Z42)</x:f>
        <x:v>30.85194623348951</x:v>
      </x:c>
      <x:c r="AA20" s="117" t="n">
        <x:f>SUM('CF_1'!AA32+'CF_1'!AA42,'CF_2'!AA32+'CF_2'!AA42,'CF_3'!AA32+'CF_3'!AA42)</x:f>
        <x:v>31.35645203320262</x:v>
      </x:c>
      <x:c r="AB20" s="117" t="n">
        <x:f>SUM('CF_1'!AB32+'CF_1'!AB42,'CF_2'!AB32+'CF_2'!AB42,'CF_3'!AB32+'CF_3'!AB42)</x:f>
        <x:v>32.265061153426785</x:v>
      </x:c>
      <x:c r="AC20" s="117" t="n">
        <x:f>SUM('CF_1'!AC32+'CF_1'!AC42,'CF_2'!AC32+'CF_2'!AC42,'CF_3'!AC32+'CF_3'!AC42)</x:f>
        <x:v>32.962292874720866</x:v>
      </x:c>
      <x:c r="AD20" s="117" t="n">
        <x:f>SUM('CF_1'!AD32+'CF_1'!AD42,'CF_2'!AD32+'CF_2'!AD42,'CF_3'!AD32+'CF_3'!AD42)</x:f>
        <x:v>33.63723877584857</x:v>
      </x:c>
      <x:c r="AE20" s="117" t="n">
        <x:f>SUM('CF_1'!AE32+'CF_1'!AE42,'CF_2'!AE32+'CF_2'!AE42,'CF_3'!AE32+'CF_3'!AE42)</x:f>
        <x:v>34.24065865601451</x:v>
      </x:c>
      <x:c r="AF20" s="117" t="n">
        <x:f>SUM('CF_1'!AF32+'CF_1'!AF42,'CF_2'!AF32+'CF_2'!AF42,'CF_3'!AF32+'CF_3'!AF42)</x:f>
        <x:v>35.270236913452074</x:v>
      </x:c>
      <x:c r="AG20" s="117" t="n">
        <x:f>SUM('CF_1'!AG32+'CF_1'!AG42,'CF_2'!AG32+'CF_2'!AG42,'CF_3'!AG32+'CF_3'!AG42)</x:f>
        <x:v>36.1847624095347</x:v>
      </x:c>
      <x:c r="AH20" s="117" t="n">
        <x:f>SUM('CF_1'!AH32+'CF_1'!AH42,'CF_2'!AH32+'CF_2'!AH42,'CF_3'!AH32+'CF_3'!AH42)</x:f>
        <x:v>37.033787311468664</x:v>
      </x:c>
      <x:c r="AI20" s="117" t="n">
        <x:f>SUM('CF_1'!AI32+'CF_1'!AI42,'CF_2'!AI32+'CF_2'!AI42,'CF_3'!AI32+'CF_3'!AI42)</x:f>
        <x:v>37.815664279311115</x:v>
      </x:c>
      <x:c r="AJ20" s="117" t="n">
        <x:f>SUM('CF_1'!AJ32+'CF_1'!AJ42,'CF_2'!AJ32+'CF_2'!AJ42,'CF_3'!AJ32+'CF_3'!AJ42)</x:f>
        <x:v>37.97704565782</x:v>
      </x:c>
      <x:c r="AK20" s="117" t="n">
        <x:f>SUM('CF_1'!AK32+'CF_1'!AK42,'CF_2'!AK32+'CF_2'!AK42,'CF_3'!AK32+'CF_3'!AK42)</x:f>
        <x:v>38.11190905051671</x:v>
      </x:c>
      <x:c r="AL20" s="117" t="n">
        <x:f>SUM('CF_1'!AL32+'CF_1'!AL42,'CF_2'!AL32+'CF_2'!AL42,'CF_3'!AL32+'CF_3'!AL42)</x:f>
        <x:v>38.1616633471646</x:v>
      </x:c>
      <x:c r="AM20" s="117" t="n">
        <x:f>SUM('CF_1'!AM32+'CF_1'!AM42,'CF_2'!AM32+'CF_2'!AM42,'CF_3'!AM32+'CF_3'!AM42)</x:f>
        <x:v>38.12416805399803</x:v>
      </x:c>
      <x:c r="AN20" s="117" t="n">
        <x:f>SUM('CF_1'!AN32+'CF_1'!AN42,'CF_2'!AN32+'CF_2'!AN42,'CF_3'!AN32+'CF_3'!AN42)</x:f>
        <x:v>38.60651355601298</x:v>
      </x:c>
      <x:c r="AO20" s="117" t="n">
        <x:f>SUM('CF_1'!AO32+'CF_1'!AO42,'CF_2'!AO32+'CF_2'!AO42,'CF_3'!AO32+'CF_3'!AO42)</x:f>
        <x:v>38.32390601955845</x:v>
      </x:c>
      <x:c r="AP20" s="117" t="n">
        <x:f>SUM('CF_1'!AP32+'CF_1'!AP42,'CF_2'!AP32+'CF_2'!AP42,'CF_3'!AP32+'CF_3'!AP42)</x:f>
        <x:v>36.86281751265047</x:v>
      </x:c>
      <x:c r="AQ20" s="117" t="n">
        <x:f>SUM('CF_1'!AQ32+'CF_1'!AQ42,'CF_2'!AQ32+'CF_2'!AQ42,'CF_3'!AQ32+'CF_3'!AQ42)</x:f>
        <x:v>35.49255200262608</x:v>
      </x:c>
      <x:c r="AR20" s="117" t="n">
        <x:f>SUM('CF_1'!AR32+'CF_1'!AR42,'CF_2'!AR32+'CF_2'!AR42,'CF_3'!AR32+'CF_3'!AR42)</x:f>
        <x:v>36.63062493607714</x:v>
      </x:c>
      <x:c r="AS20" s="117" t="n">
        <x:f>SUM('CF_1'!AS32+'CF_1'!AS42,'CF_2'!AS32+'CF_2'!AS42,'CF_3'!AS32+'CF_3'!AS42)</x:f>
        <x:v>37.74899741432541</x:v>
      </x:c>
      <x:c r="AT20" s="117" t="n">
        <x:f>SUM('CF_1'!AT32+'CF_1'!AT42,'CF_2'!AT32+'CF_2'!AT42,'CF_3'!AT32+'CF_3'!AT42)</x:f>
        <x:v>115.65000000000002</x:v>
      </x:c>
      <x:c r="AU20" s="117" t="n">
        <x:f>SUM('CF_1'!AU32+'CF_1'!AU42,'CF_2'!AU32+'CF_2'!AU42,'CF_3'!AU32+'CF_3'!AU42)</x:f>
        <x:v>0</x:v>
      </x:c>
      <x:c r="AV20" s="117" t="n">
        <x:f>SUM('CF_1'!AV32+'CF_1'!AV42,'CF_2'!AV32+'CF_2'!AV42,'CF_3'!AV32+'CF_3'!AV42)</x:f>
        <x:v>0</x:v>
      </x:c>
      <x:c r="AW20" s="117" t="n">
        <x:f>SUM('CF_1'!AW32+'CF_1'!AW42,'CF_2'!AW32+'CF_2'!AW42,'CF_3'!AW32+'CF_3'!AW42)</x:f>
        <x:v>0</x:v>
      </x:c>
      <x:c r="AX20" s="117" t="n">
        <x:f>SUM('CF_1'!AX32+'CF_1'!AX42,'CF_2'!AX32+'CF_2'!AX42,'CF_3'!AX32+'CF_3'!AX42)</x:f>
        <x:v>0</x:v>
      </x:c>
      <x:c r="AY20" s="117" t="n">
        <x:f>SUM('CF_1'!AY32+'CF_1'!AY42,'CF_2'!AY32+'CF_2'!AY42,'CF_3'!AY32+'CF_3'!AY42)</x:f>
        <x:v>0</x:v>
      </x:c>
      <x:c r="AZ20" s="117" t="n">
        <x:f>SUM('CF_1'!AZ32+'CF_1'!AZ42,'CF_2'!AZ32+'CF_2'!AZ42,'CF_3'!AZ32+'CF_3'!AZ42)</x:f>
        <x:v>0</x:v>
      </x:c>
      <x:c r="BA20" s="117" t="n">
        <x:f>SUM('CF_1'!BA32+'CF_1'!BA42,'CF_2'!BA32+'CF_2'!BA42,'CF_3'!BA32+'CF_3'!BA42)</x:f>
        <x:v>0</x:v>
      </x:c>
      <x:c r="BB20" s="117" t="n">
        <x:f>SUM('CF_1'!BB32+'CF_1'!BB42,'CF_2'!BB32+'CF_2'!BB42,'CF_3'!BB32+'CF_3'!BB42)</x:f>
        <x:v>0</x:v>
      </x:c>
      <x:c r="BC20" s="117" t="n">
        <x:f>SUM('CF_1'!BC32+'CF_1'!BC42,'CF_2'!BC32+'CF_2'!BC42,'CF_3'!BC32+'CF_3'!BC42)</x:f>
        <x:v>0</x:v>
      </x:c>
      <x:c r="BD20" s="117" t="n">
        <x:f>SUM('CF_1'!BD32+'CF_1'!BD42,'CF_2'!BD32+'CF_2'!BD42,'CF_3'!BD32+'CF_3'!BD42)</x:f>
        <x:v>0</x:v>
      </x:c>
      <x:c r="BE20" s="117" t="n">
        <x:f>SUM('CF_1'!BE32+'CF_1'!BE42,'CF_2'!BE32+'CF_2'!BE42,'CF_3'!BE32+'CF_3'!BE42)</x:f>
        <x:v>0</x:v>
      </x:c>
      <x:c r="BF20" s="117" t="n">
        <x:f>SUM('CF_1'!BF32+'CF_1'!BF42,'CF_2'!BF32+'CF_2'!BF42,'CF_3'!BF32+'CF_3'!BF42)</x:f>
        <x:v>0</x:v>
      </x:c>
      <x:c r="BG20" s="117" t="n">
        <x:f>SUM('CF_1'!BG32+'CF_1'!BG42,'CF_2'!BG32+'CF_2'!BG42,'CF_3'!BG32+'CF_3'!BG42)</x:f>
        <x:v>0</x:v>
      </x:c>
      <x:c r="BH20" s="117" t="n">
        <x:f>SUM('CF_1'!BH32+'CF_1'!BH42,'CF_2'!BH32+'CF_2'!BH42,'CF_3'!BH32+'CF_3'!BH42)</x:f>
        <x:v>0</x:v>
      </x:c>
      <x:c r="BI20" s="117" t="n">
        <x:f>SUM('CF_1'!BI32+'CF_1'!BI42,'CF_2'!BI32+'CF_2'!BI42,'CF_3'!BI32+'CF_3'!BI42)</x:f>
        <x:v>0</x:v>
      </x:c>
      <x:c r="BJ20" s="117" t="n">
        <x:f>SUM('CF_1'!BJ32+'CF_1'!BJ42,'CF_2'!BJ32+'CF_2'!BJ42,'CF_3'!BJ32+'CF_3'!BJ42)</x:f>
        <x:v>0</x:v>
      </x:c>
      <x:c r="BK20" s="117" t="n">
        <x:f>SUM('CF_1'!BK32+'CF_1'!BK42,'CF_2'!BK32+'CF_2'!BK42,'CF_3'!BK32+'CF_3'!BK42)</x:f>
        <x:v>0</x:v>
      </x:c>
      <x:c r="BL20" s="117" t="n">
        <x:f>SUM('CF_1'!BL32+'CF_1'!BL42,'CF_2'!BL32+'CF_2'!BL42,'CF_3'!BL32+'CF_3'!BL42)</x:f>
        <x:v>0</x:v>
      </x:c>
      <x:c r="BM20" s="117" t="n">
        <x:f>SUM('CF_1'!BM32+'CF_1'!BM42,'CF_2'!BM32+'CF_2'!BM42,'CF_3'!BM32+'CF_3'!BM42)</x:f>
        <x:v>0</x:v>
      </x:c>
      <x:c r="BN20" s="117" t="n">
        <x:f>SUM('CF_1'!BN32+'CF_1'!BN42,'CF_2'!BN32+'CF_2'!BN42,'CF_3'!BN32+'CF_3'!BN42)</x:f>
        <x:v>0</x:v>
      </x:c>
      <x:c r="BO20" s="117" t="n">
        <x:f>SUM('CF_1'!BO32+'CF_1'!BO42,'CF_2'!BO32+'CF_2'!BO42,'CF_3'!BO32+'CF_3'!BO42)</x:f>
        <x:v>0</x:v>
      </x:c>
      <x:c r="BP20" s="117" t="n">
        <x:f>SUM('CF_1'!BP32+'CF_1'!BP42,'CF_2'!BP32+'CF_2'!BP42,'CF_3'!BP32+'CF_3'!BP42)</x:f>
        <x:v>0</x:v>
      </x:c>
      <x:c r="BQ20" s="117" t="n">
        <x:f>SUM('CF_1'!BQ32+'CF_1'!BQ42,'CF_2'!BQ32+'CF_2'!BQ42,'CF_3'!BQ32+'CF_3'!BQ42)</x:f>
        <x:v>0</x:v>
      </x:c>
      <x:c r="BR20" s="117" t="n">
        <x:f>SUM('CF_1'!BR32+'CF_1'!BR42,'CF_2'!BR32+'CF_2'!BR42,'CF_3'!BR32+'CF_3'!BR42)</x:f>
        <x:v>0</x:v>
      </x:c>
      <x:c r="BS20" s="117" t="n">
        <x:f>SUM('CF_1'!BS32+'CF_1'!BS42,'CF_2'!BS32+'CF_2'!BS42,'CF_3'!BS32+'CF_3'!BS42)</x:f>
        <x:v>0</x:v>
      </x:c>
      <x:c r="BT20" s="117" t="n">
        <x:f>SUM('CF_1'!BT32+'CF_1'!BT42,'CF_2'!BT32+'CF_2'!BT42,'CF_3'!BT32+'CF_3'!BT42)</x:f>
        <x:v>0</x:v>
      </x:c>
      <x:c r="BU20" s="117" t="n">
        <x:f>SUM('CF_1'!BU32+'CF_1'!BU42,'CF_2'!BU32+'CF_2'!BU42,'CF_3'!BU32+'CF_3'!BU42)</x:f>
        <x:v>0</x:v>
      </x:c>
      <x:c r="BV20" s="117" t="n">
        <x:f>SUM('CF_1'!BV32+'CF_1'!BV42,'CF_2'!BV32+'CF_2'!BV42,'CF_3'!BV32+'CF_3'!BV42)</x:f>
        <x:v>0</x:v>
      </x:c>
      <x:c r="BW20" s="117" t="n">
        <x:f>SUM('CF_1'!BW32+'CF_1'!BW42,'CF_2'!BW32+'CF_2'!BW42,'CF_3'!BW32+'CF_3'!BW42)</x:f>
        <x:v>0</x:v>
      </x:c>
      <x:c r="BX20" s="117" t="n">
        <x:f>SUM('CF_1'!BX32+'CF_1'!BX42,'CF_2'!BX32+'CF_2'!BX42,'CF_3'!BX32+'CF_3'!BX42)</x:f>
        <x:v>0</x:v>
      </x:c>
      <x:c r="BY20" s="117" t="n">
        <x:f>SUM('CF_1'!BY32+'CF_1'!BY42,'CF_2'!BY32+'CF_2'!BY42,'CF_3'!BY32+'CF_3'!BY42)</x:f>
        <x:v>0</x:v>
      </x:c>
      <x:c r="BZ20" s="117" t="n">
        <x:f>SUM('CF_1'!BZ32+'CF_1'!BZ42,'CF_2'!BZ32+'CF_2'!BZ42,'CF_3'!BZ32+'CF_3'!BZ42)</x:f>
        <x:v>0</x:v>
      </x:c>
      <x:c r="CA20" s="117" t="n">
        <x:f>SUM('CF_1'!CA32+'CF_1'!CA42,'CF_2'!CA32+'CF_2'!CA42,'CF_3'!CA32+'CF_3'!CA42)</x:f>
        <x:v>0</x:v>
      </x:c>
      <x:c r="CB20" s="117" t="n">
        <x:f>SUM('CF_1'!CB32+'CF_1'!CB42,'CF_2'!CB32+'CF_2'!CB42,'CF_3'!CB32+'CF_3'!CB42)</x:f>
        <x:v>0</x:v>
      </x:c>
      <x:c r="CC20" s="117" t="n">
        <x:f>SUM('CF_1'!CC32+'CF_1'!CC42,'CF_2'!CC32+'CF_2'!CC42,'CF_3'!CC32+'CF_3'!CC42)</x:f>
        <x:v>0</x:v>
      </x:c>
      <x:c r="CD20" s="117" t="n">
        <x:f>SUM('CF_1'!CD32+'CF_1'!CD42,'CF_2'!CD32+'CF_2'!CD42,'CF_3'!CD32+'CF_3'!CD42)</x:f>
        <x:v>0</x:v>
      </x:c>
      <x:c r="CE20" s="117" t="n">
        <x:f>SUM('CF_1'!CE32+'CF_1'!CE42,'CF_2'!CE32+'CF_2'!CE42,'CF_3'!CE32+'CF_3'!CE42)</x:f>
        <x:v>0</x:v>
      </x:c>
      <x:c r="CF20" s="117" t="n">
        <x:f>SUM('CF_1'!CF32+'CF_1'!CF42,'CF_2'!CF32+'CF_2'!CF42,'CF_3'!CF32+'CF_3'!CF42)</x:f>
        <x:v>0</x:v>
      </x:c>
      <x:c r="CG20" s="117" t="n">
        <x:f>SUM('CF_1'!CG32+'CF_1'!CG42,'CF_2'!CG32+'CF_2'!CG42,'CF_3'!CG32+'CF_3'!CG42)</x:f>
        <x:v>0</x:v>
      </x:c>
      <x:c r="CH20" s="117" t="n">
        <x:f>SUM('CF_1'!CH32+'CF_1'!CH42,'CF_2'!CH32+'CF_2'!CH42,'CF_3'!CH32+'CF_3'!CH42)</x:f>
        <x:v>0</x:v>
      </x:c>
      <x:c r="CI20" s="117" t="n">
        <x:f>SUM('CF_1'!CI32+'CF_1'!CI42,'CF_2'!CI32+'CF_2'!CI42,'CF_3'!CI32+'CF_3'!CI42)</x:f>
        <x:v>0</x:v>
      </x:c>
      <x:c r="CJ20" s="117" t="n">
        <x:f>SUM('CF_1'!CJ32+'CF_1'!CJ42,'CF_2'!CJ32+'CF_2'!CJ42,'CF_3'!CJ32+'CF_3'!CJ42)</x:f>
        <x:v>0</x:v>
      </x:c>
      <x:c r="CK20" s="117" t="n">
        <x:f>SUM('CF_1'!CK32+'CF_1'!CK42,'CF_2'!CK32+'CF_2'!CK42,'CF_3'!CK32+'CF_3'!CK42)</x:f>
        <x:v>0</x:v>
      </x:c>
      <x:c r="CL20" s="117" t="n">
        <x:f>SUM('CF_1'!CL32+'CF_1'!CL42,'CF_2'!CL32+'CF_2'!CL42,'CF_3'!CL32+'CF_3'!CL42)</x:f>
        <x:v>0</x:v>
      </x:c>
      <x:c r="CM20" s="117" t="n">
        <x:f>SUM('CF_1'!CM32+'CF_1'!CM42,'CF_2'!CM32+'CF_2'!CM42,'CF_3'!CM32+'CF_3'!CM42)</x:f>
        <x:v>0</x:v>
      </x:c>
      <x:c r="CN20" s="117" t="n">
        <x:f>SUM('CF_1'!CN32+'CF_1'!CN42,'CF_2'!CN32+'CF_2'!CN42,'CF_3'!CN32+'CF_3'!CN42)</x:f>
        <x:v>0</x:v>
      </x:c>
      <x:c r="CO20" s="117" t="n">
        <x:f>SUM('CF_1'!CO32+'CF_1'!CO42,'CF_2'!CO32+'CF_2'!CO42,'CF_3'!CO32+'CF_3'!CO42)</x:f>
        <x:v>0</x:v>
      </x:c>
      <x:c r="CP20" s="117" t="n">
        <x:f>SUM('CF_1'!CP32+'CF_1'!CP42,'CF_2'!CP32+'CF_2'!CP42,'CF_3'!CP32+'CF_3'!CP42)</x:f>
        <x:v>0</x:v>
      </x:c>
      <x:c r="CQ20" s="117" t="n">
        <x:f>SUM('CF_1'!CQ32+'CF_1'!CQ42,'CF_2'!CQ32+'CF_2'!CQ42,'CF_3'!CQ32+'CF_3'!CQ42)</x:f>
        <x:v>0</x:v>
      </x:c>
      <x:c r="CR20" s="117" t="n">
        <x:f>SUM('CF_1'!CR32+'CF_1'!CR42,'CF_2'!CR32+'CF_2'!CR42,'CF_3'!CR32+'CF_3'!CR42)</x:f>
        <x:v>0</x:v>
      </x:c>
      <x:c r="CS20" s="117" t="n">
        <x:f>SUM('CF_1'!CS32+'CF_1'!CS42,'CF_2'!CS32+'CF_2'!CS42,'CF_3'!CS32+'CF_3'!CS42)</x:f>
        <x:v>0</x:v>
      </x:c>
      <x:c r="CT20" s="117" t="n">
        <x:f>SUM('CF_1'!CT32+'CF_1'!CT42,'CF_2'!CT32+'CF_2'!CT42,'CF_3'!CT32+'CF_3'!CT42)</x:f>
        <x:v>0</x:v>
      </x:c>
      <x:c r="CU20" s="117" t="n">
        <x:f>SUM('CF_1'!CU32+'CF_1'!CU42,'CF_2'!CU32+'CF_2'!CU42,'CF_3'!CU32+'CF_3'!CU42)</x:f>
        <x:v>0</x:v>
      </x:c>
      <x:c r="CV20" s="117" t="n">
        <x:f>SUM('CF_1'!CV32+'CF_1'!CV42,'CF_2'!CV32+'CF_2'!CV42,'CF_3'!CV32+'CF_3'!CV42)</x:f>
        <x:v>0</x:v>
      </x:c>
      <x:c r="CW20" s="117" t="n">
        <x:f>SUM('CF_1'!CW32+'CF_1'!CW42,'CF_2'!CW32+'CF_2'!CW42,'CF_3'!CW32+'CF_3'!CW42)</x:f>
        <x:v>0</x:v>
      </x:c>
      <x:c r="CX20" s="117" t="n">
        <x:f>SUM('CF_1'!CX32+'CF_1'!CX42,'CF_2'!CX32+'CF_2'!CX42,'CF_3'!CX32+'CF_3'!CX42)</x:f>
        <x:v>0</x:v>
      </x:c>
      <x:c r="CY20" s="117" t="n">
        <x:f>SUM('CF_1'!CY32+'CF_1'!CY42,'CF_2'!CY32+'CF_2'!CY42,'CF_3'!CY32+'CF_3'!CY42)</x:f>
        <x:v>0</x:v>
      </x:c>
      <x:c r="CZ20" s="117" t="n">
        <x:f>SUM('CF_1'!CZ32+'CF_1'!CZ42,'CF_2'!CZ32+'CF_2'!CZ42,'CF_3'!CZ32+'CF_3'!CZ42)</x:f>
        <x:v>0</x:v>
      </x:c>
      <x:c r="DA20" s="117" t="n">
        <x:f>SUM('CF_1'!DA32+'CF_1'!DA42,'CF_2'!DA32+'CF_2'!DA42,'CF_3'!DA32+'CF_3'!DA42)</x:f>
        <x:v>0</x:v>
      </x:c>
      <x:c r="DB20" s="117" t="n">
        <x:f>SUM('CF_1'!DB32+'CF_1'!DB42,'CF_2'!DB32+'CF_2'!DB42,'CF_3'!DB32+'CF_3'!DB42)</x:f>
        <x:v>0</x:v>
      </x:c>
      <x:c r="DC20" s="117" t="n">
        <x:f>SUM('CF_1'!DC32+'CF_1'!DC42,'CF_2'!DC32+'CF_2'!DC42,'CF_3'!DC32+'CF_3'!DC42)</x:f>
        <x:v>0</x:v>
      </x:c>
      <x:c r="DD20" s="117" t="n">
        <x:f>SUM('CF_1'!DD32+'CF_1'!DD42,'CF_2'!DD32+'CF_2'!DD42,'CF_3'!DD32+'CF_3'!DD42)</x:f>
        <x:v>0</x:v>
      </x:c>
      <x:c r="DE20" s="117" t="n">
        <x:f>SUM('CF_1'!DE32+'CF_1'!DE42,'CF_2'!DE32+'CF_2'!DE42,'CF_3'!DE32+'CF_3'!DE42)</x:f>
        <x:v>0</x:v>
      </x:c>
      <x:c r="DF20" s="117" t="n">
        <x:f>SUM('CF_1'!DF32+'CF_1'!DF42,'CF_2'!DF32+'CF_2'!DF42,'CF_3'!DF32+'CF_3'!DF42)</x:f>
        <x:v>0</x:v>
      </x:c>
      <x:c r="DG20" s="117" t="n">
        <x:f>SUM('CF_1'!DG32+'CF_1'!DG42,'CF_2'!DG32+'CF_2'!DG42,'CF_3'!DG32+'CF_3'!DG42)</x:f>
        <x:v>0</x:v>
      </x:c>
      <x:c r="DH20" s="117" t="n">
        <x:f>SUM('CF_1'!DH32+'CF_1'!DH42,'CF_2'!DH32+'CF_2'!DH42,'CF_3'!DH32+'CF_3'!DH42)</x:f>
        <x:v>0</x:v>
      </x:c>
      <x:c r="DI20" s="117" t="n">
        <x:f>SUM('CF_1'!DI32+'CF_1'!DI42,'CF_2'!DI32+'CF_2'!DI42,'CF_3'!DI32+'CF_3'!DI42)</x:f>
        <x:v>0</x:v>
      </x:c>
      <x:c r="DJ20" s="117" t="n">
        <x:f>SUM('CF_1'!DJ32+'CF_1'!DJ42,'CF_2'!DJ32+'CF_2'!DJ42,'CF_3'!DJ32+'CF_3'!DJ42)</x:f>
        <x:v>0</x:v>
      </x:c>
      <x:c r="DK20" s="117" t="n">
        <x:f>SUM('CF_1'!DK32+'CF_1'!DK42,'CF_2'!DK32+'CF_2'!DK42,'CF_3'!DK32+'CF_3'!DK42)</x:f>
        <x:v>0</x:v>
      </x:c>
      <x:c r="DL20" s="117" t="n">
        <x:f>SUM('CF_1'!DL32+'CF_1'!DL42,'CF_2'!DL32+'CF_2'!DL42,'CF_3'!DL32+'CF_3'!DL42)</x:f>
        <x:v>0</x:v>
      </x:c>
      <x:c r="DM20" s="117" t="n">
        <x:f>SUM('CF_1'!DM32+'CF_1'!DM42,'CF_2'!DM32+'CF_2'!DM42,'CF_3'!DM32+'CF_3'!DM42)</x:f>
        <x:v>0</x:v>
      </x:c>
      <x:c r="DN20" s="117" t="n">
        <x:f>SUM('CF_1'!DN32+'CF_1'!DN42,'CF_2'!DN32+'CF_2'!DN42,'CF_3'!DN32+'CF_3'!DN42)</x:f>
        <x:v>0</x:v>
      </x:c>
      <x:c r="DO20" s="117" t="n">
        <x:f>SUM('CF_1'!DO32+'CF_1'!DO42,'CF_2'!DO32+'CF_2'!DO42,'CF_3'!DO32+'CF_3'!DO42)</x:f>
        <x:v>0</x:v>
      </x:c>
      <x:c r="DP20" s="117" t="n">
        <x:f>SUM('CF_1'!DP32+'CF_1'!DP42,'CF_2'!DP32+'CF_2'!DP42,'CF_3'!DP32+'CF_3'!DP42)</x:f>
        <x:v>0</x:v>
      </x:c>
      <x:c r="DQ20" s="117" t="n">
        <x:f>SUM('CF_1'!DQ32+'CF_1'!DQ42,'CF_2'!DQ32+'CF_2'!DQ42,'CF_3'!DQ32+'CF_3'!DQ42)</x:f>
        <x:v>0</x:v>
      </x:c>
      <x:c r="DR20" s="117" t="n">
        <x:f>SUM('CF_1'!DR32+'CF_1'!DR42,'CF_2'!DR32+'CF_2'!DR42,'CF_3'!DR32+'CF_3'!DR42)</x:f>
        <x:v>0</x:v>
      </x:c>
      <x:c r="DS20" s="117" t="n">
        <x:f>SUM('CF_1'!DS32+'CF_1'!DS42,'CF_2'!DS32+'CF_2'!DS42,'CF_3'!DS32+'CF_3'!DS42)</x:f>
        <x:v>0</x:v>
      </x:c>
    </x:row>
    <x:row r="21">
      <x:c r="A21" t="str">
        <x:v>Комиссии</x:v>
      </x:c>
      <x:c r="B21" t="n">
        <x:f>SUM(D21:DS21)</x:f>
        <x:v>215.5158497566823</x:v>
      </x:c>
      <x:c r="C21" t="str">
        <x:v>млн ₽</x:v>
      </x:c>
      <x:c r="D21" s="117" t="n">
        <x:f>SUM('CF_1'!D43,'CF_2'!D43,'CF_3'!D43)</x:f>
        <x:v>0</x:v>
      </x:c>
      <x:c r="E21" s="117" t="n">
        <x:f>SUM('CF_1'!E43,'CF_2'!E43,'CF_3'!E43)</x:f>
        <x:v>0</x:v>
      </x:c>
      <x:c r="F21" s="117" t="n">
        <x:f>SUM('CF_1'!F43,'CF_2'!F43,'CF_3'!F43)</x:f>
        <x:v>0</x:v>
      </x:c>
      <x:c r="G21" s="117" t="n">
        <x:f>SUM('CF_1'!G43,'CF_2'!G43,'CF_3'!G43)</x:f>
        <x:v>0</x:v>
      </x:c>
      <x:c r="H21" s="117" t="n">
        <x:f>SUM('CF_1'!H43,'CF_2'!H43,'CF_3'!H43)</x:f>
        <x:v>0</x:v>
      </x:c>
      <x:c r="I21" s="117" t="n">
        <x:f>SUM('CF_1'!I43,'CF_2'!I43,'CF_3'!I43)</x:f>
        <x:v>0</x:v>
      </x:c>
      <x:c r="J21" s="117" t="n">
        <x:f>SUM('CF_1'!J43,'CF_2'!J43,'CF_3'!J43)</x:f>
        <x:v>0</x:v>
      </x:c>
      <x:c r="K21" s="117" t="n">
        <x:f>SUM('CF_1'!K43,'CF_2'!K43,'CF_3'!K43)</x:f>
        <x:v>0</x:v>
      </x:c>
      <x:c r="L21" s="117" t="n">
        <x:f>SUM('CF_1'!L43,'CF_2'!L43,'CF_3'!L43)</x:f>
        <x:v>0</x:v>
      </x:c>
      <x:c r="M21" s="117" t="n">
        <x:f>SUM('CF_1'!M43,'CF_2'!M43,'CF_3'!M43)</x:f>
        <x:v>0</x:v>
      </x:c>
      <x:c r="N21" s="117" t="n">
        <x:f>SUM('CF_1'!N43,'CF_2'!N43,'CF_3'!N43)</x:f>
        <x:v>0</x:v>
      </x:c>
      <x:c r="O21" s="117" t="n">
        <x:f>SUM('CF_1'!O43,'CF_2'!O43,'CF_3'!O43)</x:f>
        <x:v>0</x:v>
      </x:c>
      <x:c r="P21" s="117" t="n">
        <x:f>SUM('CF_1'!P43,'CF_2'!P43,'CF_3'!P43)</x:f>
        <x:v>0</x:v>
      </x:c>
      <x:c r="Q21" s="117" t="n">
        <x:f>SUM('CF_1'!Q43,'CF_2'!Q43,'CF_3'!Q43)</x:f>
        <x:v>0</x:v>
      </x:c>
      <x:c r="R21" s="117" t="n">
        <x:f>SUM('CF_1'!R43,'CF_2'!R43,'CF_3'!R43)</x:f>
        <x:v>0</x:v>
      </x:c>
      <x:c r="S21" s="117" t="n">
        <x:f>SUM('CF_1'!S43,'CF_2'!S43,'CF_3'!S43)</x:f>
        <x:v>0</x:v>
      </x:c>
      <x:c r="T21" s="117" t="n">
        <x:f>SUM('CF_1'!T43,'CF_2'!T43,'CF_3'!T43)</x:f>
        <x:v>0</x:v>
      </x:c>
      <x:c r="U21" s="117" t="n">
        <x:f>SUM('CF_1'!U43,'CF_2'!U43,'CF_3'!U43)</x:f>
        <x:v>0</x:v>
      </x:c>
      <x:c r="V21" s="117" t="n">
        <x:f>SUM('CF_1'!V43,'CF_2'!V43,'CF_3'!V43)</x:f>
        <x:v>55.68333333333333</x:v>
      </x:c>
      <x:c r="W21" s="117" t="n">
        <x:f>SUM('CF_1'!W43,'CF_2'!W43,'CF_3'!W43)</x:f>
        <x:v>2.9210223776369375</x:v>
      </x:c>
      <x:c r="X21" s="117" t="n">
        <x:f>SUM('CF_1'!X43,'CF_2'!X43,'CF_3'!X43)</x:f>
        <x:v>2.8456929083641693</x:v>
      </x:c>
      <x:c r="Y21" s="117" t="n">
        <x:f>SUM('CF_1'!Y43,'CF_2'!Y43,'CF_3'!Y43)</x:f>
        <x:v>2.768549684076827</x:v>
      </x:c>
      <x:c r="Z21" s="117" t="n">
        <x:f>SUM('CF_1'!Z43,'CF_2'!Z43,'CF_3'!Z43)</x:f>
        <x:v>2.6911394704690577</x:v>
      </x:c>
      <x:c r="AA21" s="117" t="n">
        <x:f>SUM('CF_1'!AA43,'CF_2'!AA43,'CF_3'!AA43)</x:f>
        <x:v>2.5496524225417283</x:v>
      </x:c>
      <x:c r="AB21" s="117" t="n">
        <x:f>SUM('CF_1'!AB43,'CF_2'!AB43,'CF_3'!AB43)</x:f>
        <x:v>2.407884786854402</x:v>
      </x:c>
      <x:c r="AC21" s="117" t="n">
        <x:f>SUM('CF_1'!AC43,'CF_2'!AC43,'CF_3'!AC43)</x:f>
        <x:v>2.267588227116342</x:v>
      </x:c>
      <x:c r="AD21" s="117" t="n">
        <x:f>SUM('CF_1'!AD43,'CF_2'!AD43,'CF_3'!AD43)</x:f>
        <x:v>2.1252380680844594</x:v>
      </x:c>
      <x:c r="AE21" s="117" t="n">
        <x:f>SUM('CF_1'!AE43,'CF_2'!AE43,'CF_3'!AE43)</x:f>
        <x:v>1.9825856140483002</x:v>
      </x:c>
      <x:c r="AF21" s="117" t="n">
        <x:f>SUM('CF_1'!AF43,'CF_2'!AF43,'CF_3'!AF43)</x:f>
        <x:v>1.8396232622885078</x:v>
      </x:c>
      <x:c r="AG21" s="117" t="n">
        <x:f>SUM('CF_1'!AG43,'CF_2'!AG43,'CF_3'!AG43)</x:f>
        <x:v>1.698285653846012</x:v>
      </x:c>
      <x:c r="AH21" s="117" t="n">
        <x:f>SUM('CF_1'!AH43,'CF_2'!AH43,'CF_3'!AH43)</x:f>
        <x:v>1.5566712160465632</x:v>
      </x:c>
      <x:c r="AI21" s="117" t="n">
        <x:f>SUM('CF_1'!AI43,'CF_2'!AI43,'CF_3'!AI43)</x:f>
        <x:v>1.414772986631834</x:v>
      </x:c>
      <x:c r="AJ21" s="117" t="n">
        <x:f>SUM('CF_1'!AJ43,'CF_2'!AJ43,'CF_3'!AJ43)</x:f>
        <x:v>1.2725838282427</x:v>
      </x:c>
      <x:c r="AK21" s="117" t="n">
        <x:f>SUM('CF_1'!AK43,'CF_2'!AK43,'CF_3'!AK43)</x:f>
        <x:v>1.1279510839082896</x:v>
      </x:c>
      <x:c r="AL21" s="117" t="n">
        <x:f>SUM('CF_1'!AL43,'CF_2'!AL43,'CF_3'!AL43)</x:f>
        <x:v>0.9829586375492446</x:v>
      </x:c>
      <x:c r="AM21" s="117" t="n">
        <x:f>SUM('CF_1'!AM43,'CF_2'!AM43,'CF_3'!AM43)</x:f>
        <x:v>0.8375974426596455</x:v>
      </x:c>
      <x:c r="AN21" s="117" t="n">
        <x:f>SUM('CF_1'!AN43,'CF_2'!AN43,'CF_3'!AN43)</x:f>
        <x:v>0.6918582252139488</x:v>
      </x:c>
      <x:c r="AO21" s="117" t="n">
        <x:f>SUM('CF_1'!AO43,'CF_2'!AO43,'CF_3'!AO43)</x:f>
        <x:v>0.5481009184922345</x:v>
      </x:c>
      <x:c r="AP21" s="117" t="n">
        <x:f>SUM('CF_1'!AP43,'CF_2'!AP43,'CF_3'!AP43)</x:f>
        <x:v>0.44411231516986244</x:v>
      </x:c>
      <x:c r="AQ21" s="117" t="n">
        <x:f>SUM('CF_1'!AQ43,'CF_2'!AQ43,'CF_3'!AQ43)</x:f>
        <x:v>0.3397164441526577</x:v>
      </x:c>
      <x:c r="AR21" s="117" t="n">
        <x:f>SUM('CF_1'!AR43,'CF_2'!AR43,'CF_3'!AR43)</x:f>
        <x:v>0.21326389599142884</x:v>
      </x:c>
      <x:c r="AS21" s="117" t="n">
        <x:f>SUM('CF_1'!AS43,'CF_2'!AS43,'CF_3'!AS43)</x:f>
        <x:v>0.08900028729717709</x:v>
      </x:c>
      <x:c r="AT21" s="117" t="n">
        <x:f>SUM('CF_1'!AT43,'CF_2'!AT43,'CF_3'!AT43)</x:f>
        <x:v>0</x:v>
      </x:c>
      <x:c r="AU21" s="117" t="n">
        <x:f>SUM('CF_1'!AU43,'CF_2'!AU43,'CF_3'!AU43)</x:f>
        <x:v>4.283333333333333</x:v>
      </x:c>
      <x:c r="AV21" s="117" t="n">
        <x:f>SUM('CF_1'!AV43,'CF_2'!AV43,'CF_3'!AV43)</x:f>
        <x:v>4.283333333333333</x:v>
      </x:c>
      <x:c r="AW21" s="117" t="n">
        <x:f>SUM('CF_1'!AW43,'CF_2'!AW43,'CF_3'!AW43)</x:f>
        <x:v>4.283333333333333</x:v>
      </x:c>
      <x:c r="AX21" s="117" t="n">
        <x:f>SUM('CF_1'!AX43,'CF_2'!AX43,'CF_3'!AX43)</x:f>
        <x:v>4.283333333333333</x:v>
      </x:c>
      <x:c r="AY21" s="117" t="n">
        <x:f>SUM('CF_1'!AY43,'CF_2'!AY43,'CF_3'!AY43)</x:f>
        <x:v>4.283333333333333</x:v>
      </x:c>
      <x:c r="AZ21" s="117" t="n">
        <x:f>SUM('CF_1'!AZ43,'CF_2'!AZ43,'CF_3'!AZ43)</x:f>
        <x:v>4.283333333333333</x:v>
      </x:c>
      <x:c r="BA21" s="117" t="n">
        <x:f>SUM('CF_1'!BA43,'CF_2'!BA43,'CF_3'!BA43)</x:f>
        <x:v>4.283333333333333</x:v>
      </x:c>
      <x:c r="BB21" s="117" t="n">
        <x:f>SUM('CF_1'!BB43,'CF_2'!BB43,'CF_3'!BB43)</x:f>
        <x:v>4.283333333333333</x:v>
      </x:c>
      <x:c r="BC21" s="117" t="n">
        <x:f>SUM('CF_1'!BC43,'CF_2'!BC43,'CF_3'!BC43)</x:f>
        <x:v>4.283333333333333</x:v>
      </x:c>
      <x:c r="BD21" s="117" t="n">
        <x:f>SUM('CF_1'!BD43,'CF_2'!BD43,'CF_3'!BD43)</x:f>
        <x:v>4.283333333333333</x:v>
      </x:c>
      <x:c r="BE21" s="117" t="n">
        <x:f>SUM('CF_1'!BE43,'CF_2'!BE43,'CF_3'!BE43)</x:f>
        <x:v>4.283333333333333</x:v>
      </x:c>
      <x:c r="BF21" s="117" t="n">
        <x:f>SUM('CF_1'!BF43,'CF_2'!BF43,'CF_3'!BF43)</x:f>
        <x:v>4.283333333333333</x:v>
      </x:c>
      <x:c r="BG21" s="117" t="n">
        <x:f>SUM('CF_1'!BG43,'CF_2'!BG43,'CF_3'!BG43)</x:f>
        <x:v>4.283333333333333</x:v>
      </x:c>
      <x:c r="BH21" s="117" t="n">
        <x:f>SUM('CF_1'!BH43,'CF_2'!BH43,'CF_3'!BH43)</x:f>
        <x:v>4.283333333333333</x:v>
      </x:c>
      <x:c r="BI21" s="117" t="n">
        <x:f>SUM('CF_1'!BI43,'CF_2'!BI43,'CF_3'!BI43)</x:f>
        <x:v>4.283333333333333</x:v>
      </x:c>
      <x:c r="BJ21" s="117" t="n">
        <x:f>SUM('CF_1'!BJ43,'CF_2'!BJ43,'CF_3'!BJ43)</x:f>
        <x:v>4.283333333333333</x:v>
      </x:c>
      <x:c r="BK21" s="117" t="n">
        <x:f>SUM('CF_1'!BK43,'CF_2'!BK43,'CF_3'!BK43)</x:f>
        <x:v>4.283333333333333</x:v>
      </x:c>
      <x:c r="BL21" s="117" t="n">
        <x:f>SUM('CF_1'!BL43,'CF_2'!BL43,'CF_3'!BL43)</x:f>
        <x:v>4.283333333333333</x:v>
      </x:c>
      <x:c r="BM21" s="117" t="n">
        <x:f>SUM('CF_1'!BM43,'CF_2'!BM43,'CF_3'!BM43)</x:f>
        <x:v>4.283333333333333</x:v>
      </x:c>
      <x:c r="BN21" s="117" t="n">
        <x:f>SUM('CF_1'!BN43,'CF_2'!BN43,'CF_3'!BN43)</x:f>
        <x:v>4.283333333333333</x:v>
      </x:c>
      <x:c r="BO21" s="117" t="n">
        <x:f>SUM('CF_1'!BO43,'CF_2'!BO43,'CF_3'!BO43)</x:f>
        <x:v>4.283333333333333</x:v>
      </x:c>
      <x:c r="BP21" s="117" t="n">
        <x:f>SUM('CF_1'!BP43,'CF_2'!BP43,'CF_3'!BP43)</x:f>
        <x:v>4.283333333333333</x:v>
      </x:c>
      <x:c r="BQ21" s="117" t="n">
        <x:f>SUM('CF_1'!BQ43,'CF_2'!BQ43,'CF_3'!BQ43)</x:f>
        <x:v>4.283333333333333</x:v>
      </x:c>
      <x:c r="BR21" s="117" t="n">
        <x:f>SUM('CF_1'!BR43,'CF_2'!BR43,'CF_3'!BR43)</x:f>
        <x:v>4.283333333333333</x:v>
      </x:c>
      <x:c r="BS21" s="117" t="n">
        <x:f>SUM('CF_1'!BS43,'CF_2'!BS43,'CF_3'!BS43)</x:f>
        <x:v>4.283333333333333</x:v>
      </x:c>
      <x:c r="BT21" s="117" t="n">
        <x:f>SUM('CF_1'!BT43,'CF_2'!BT43,'CF_3'!BT43)</x:f>
        <x:v>4.283333333333333</x:v>
      </x:c>
      <x:c r="BU21" s="117" t="n">
        <x:f>SUM('CF_1'!BU43,'CF_2'!BU43,'CF_3'!BU43)</x:f>
        <x:v>4.283333333333333</x:v>
      </x:c>
      <x:c r="BV21" s="117" t="n">
        <x:f>SUM('CF_1'!BV43,'CF_2'!BV43,'CF_3'!BV43)</x:f>
        <x:v>4.283333333333333</x:v>
      </x:c>
      <x:c r="BW21" s="117" t="n">
        <x:f>SUM('CF_1'!BW43,'CF_2'!BW43,'CF_3'!BW43)</x:f>
        <x:v>4.283333333333333</x:v>
      </x:c>
      <x:c r="BX21" s="117" t="n">
        <x:f>SUM('CF_1'!BX43,'CF_2'!BX43,'CF_3'!BX43)</x:f>
        <x:v>0</x:v>
      </x:c>
      <x:c r="BY21" s="117" t="n">
        <x:f>SUM('CF_1'!BY43,'CF_2'!BY43,'CF_3'!BY43)</x:f>
        <x:v>0</x:v>
      </x:c>
      <x:c r="BZ21" s="117" t="n">
        <x:f>SUM('CF_1'!BZ43,'CF_2'!BZ43,'CF_3'!BZ43)</x:f>
        <x:v>0</x:v>
      </x:c>
      <x:c r="CA21" s="117" t="n">
        <x:f>SUM('CF_1'!CA43,'CF_2'!CA43,'CF_3'!CA43)</x:f>
        <x:v>0</x:v>
      </x:c>
      <x:c r="CB21" s="117" t="n">
        <x:f>SUM('CF_1'!CB43,'CF_2'!CB43,'CF_3'!CB43)</x:f>
        <x:v>0</x:v>
      </x:c>
      <x:c r="CC21" s="117" t="n">
        <x:f>SUM('CF_1'!CC43,'CF_2'!CC43,'CF_3'!CC43)</x:f>
        <x:v>0</x:v>
      </x:c>
      <x:c r="CD21" s="117" t="n">
        <x:f>SUM('CF_1'!CD43,'CF_2'!CD43,'CF_3'!CD43)</x:f>
        <x:v>0</x:v>
      </x:c>
      <x:c r="CE21" s="117" t="n">
        <x:f>SUM('CF_1'!CE43,'CF_2'!CE43,'CF_3'!CE43)</x:f>
        <x:v>0</x:v>
      </x:c>
      <x:c r="CF21" s="117" t="n">
        <x:f>SUM('CF_1'!CF43,'CF_2'!CF43,'CF_3'!CF43)</x:f>
        <x:v>0</x:v>
      </x:c>
      <x:c r="CG21" s="117" t="n">
        <x:f>SUM('CF_1'!CG43,'CF_2'!CG43,'CF_3'!CG43)</x:f>
        <x:v>0</x:v>
      </x:c>
      <x:c r="CH21" s="117" t="n">
        <x:f>SUM('CF_1'!CH43,'CF_2'!CH43,'CF_3'!CH43)</x:f>
        <x:v>0</x:v>
      </x:c>
      <x:c r="CI21" s="117" t="n">
        <x:f>SUM('CF_1'!CI43,'CF_2'!CI43,'CF_3'!CI43)</x:f>
        <x:v>0</x:v>
      </x:c>
      <x:c r="CJ21" s="117" t="n">
        <x:f>SUM('CF_1'!CJ43,'CF_2'!CJ43,'CF_3'!CJ43)</x:f>
        <x:v>0</x:v>
      </x:c>
      <x:c r="CK21" s="117" t="n">
        <x:f>SUM('CF_1'!CK43,'CF_2'!CK43,'CF_3'!CK43)</x:f>
        <x:v>0</x:v>
      </x:c>
      <x:c r="CL21" s="117" t="n">
        <x:f>SUM('CF_1'!CL43,'CF_2'!CL43,'CF_3'!CL43)</x:f>
        <x:v>0</x:v>
      </x:c>
      <x:c r="CM21" s="117" t="n">
        <x:f>SUM('CF_1'!CM43,'CF_2'!CM43,'CF_3'!CM43)</x:f>
        <x:v>0</x:v>
      </x:c>
      <x:c r="CN21" s="117" t="n">
        <x:f>SUM('CF_1'!CN43,'CF_2'!CN43,'CF_3'!CN43)</x:f>
        <x:v>0</x:v>
      </x:c>
      <x:c r="CO21" s="117" t="n">
        <x:f>SUM('CF_1'!CO43,'CF_2'!CO43,'CF_3'!CO43)</x:f>
        <x:v>0</x:v>
      </x:c>
      <x:c r="CP21" s="117" t="n">
        <x:f>SUM('CF_1'!CP43,'CF_2'!CP43,'CF_3'!CP43)</x:f>
        <x:v>0</x:v>
      </x:c>
      <x:c r="CQ21" s="117" t="n">
        <x:f>SUM('CF_1'!CQ43,'CF_2'!CQ43,'CF_3'!CQ43)</x:f>
        <x:v>0</x:v>
      </x:c>
      <x:c r="CR21" s="117" t="n">
        <x:f>SUM('CF_1'!CR43,'CF_2'!CR43,'CF_3'!CR43)</x:f>
        <x:v>0</x:v>
      </x:c>
      <x:c r="CS21" s="117" t="n">
        <x:f>SUM('CF_1'!CS43,'CF_2'!CS43,'CF_3'!CS43)</x:f>
        <x:v>0</x:v>
      </x:c>
      <x:c r="CT21" s="117" t="n">
        <x:f>SUM('CF_1'!CT43,'CF_2'!CT43,'CF_3'!CT43)</x:f>
        <x:v>0</x:v>
      </x:c>
      <x:c r="CU21" s="117" t="n">
        <x:f>SUM('CF_1'!CU43,'CF_2'!CU43,'CF_3'!CU43)</x:f>
        <x:v>0</x:v>
      </x:c>
      <x:c r="CV21" s="117" t="n">
        <x:f>SUM('CF_1'!CV43,'CF_2'!CV43,'CF_3'!CV43)</x:f>
        <x:v>0</x:v>
      </x:c>
      <x:c r="CW21" s="117" t="n">
        <x:f>SUM('CF_1'!CW43,'CF_2'!CW43,'CF_3'!CW43)</x:f>
        <x:v>0</x:v>
      </x:c>
      <x:c r="CX21" s="117" t="n">
        <x:f>SUM('CF_1'!CX43,'CF_2'!CX43,'CF_3'!CX43)</x:f>
        <x:v>0</x:v>
      </x:c>
      <x:c r="CY21" s="117" t="n">
        <x:f>SUM('CF_1'!CY43,'CF_2'!CY43,'CF_3'!CY43)</x:f>
        <x:v>0</x:v>
      </x:c>
      <x:c r="CZ21" s="117" t="n">
        <x:f>SUM('CF_1'!CZ43,'CF_2'!CZ43,'CF_3'!CZ43)</x:f>
        <x:v>0</x:v>
      </x:c>
      <x:c r="DA21" s="117" t="n">
        <x:f>SUM('CF_1'!DA43,'CF_2'!DA43,'CF_3'!DA43)</x:f>
        <x:v>0</x:v>
      </x:c>
      <x:c r="DB21" s="117" t="n">
        <x:f>SUM('CF_1'!DB43,'CF_2'!DB43,'CF_3'!DB43)</x:f>
        <x:v>0</x:v>
      </x:c>
      <x:c r="DC21" s="117" t="n">
        <x:f>SUM('CF_1'!DC43,'CF_2'!DC43,'CF_3'!DC43)</x:f>
        <x:v>0</x:v>
      </x:c>
      <x:c r="DD21" s="117" t="n">
        <x:f>SUM('CF_1'!DD43,'CF_2'!DD43,'CF_3'!DD43)</x:f>
        <x:v>0</x:v>
      </x:c>
      <x:c r="DE21" s="117" t="n">
        <x:f>SUM('CF_1'!DE43,'CF_2'!DE43,'CF_3'!DE43)</x:f>
        <x:v>0</x:v>
      </x:c>
      <x:c r="DF21" s="117" t="n">
        <x:f>SUM('CF_1'!DF43,'CF_2'!DF43,'CF_3'!DF43)</x:f>
        <x:v>0</x:v>
      </x:c>
      <x:c r="DG21" s="117" t="n">
        <x:f>SUM('CF_1'!DG43,'CF_2'!DG43,'CF_3'!DG43)</x:f>
        <x:v>0</x:v>
      </x:c>
      <x:c r="DH21" s="117" t="n">
        <x:f>SUM('CF_1'!DH43,'CF_2'!DH43,'CF_3'!DH43)</x:f>
        <x:v>0</x:v>
      </x:c>
      <x:c r="DI21" s="117" t="n">
        <x:f>SUM('CF_1'!DI43,'CF_2'!DI43,'CF_3'!DI43)</x:f>
        <x:v>0</x:v>
      </x:c>
      <x:c r="DJ21" s="117" t="n">
        <x:f>SUM('CF_1'!DJ43,'CF_2'!DJ43,'CF_3'!DJ43)</x:f>
        <x:v>0</x:v>
      </x:c>
      <x:c r="DK21" s="117" t="n">
        <x:f>SUM('CF_1'!DK43,'CF_2'!DK43,'CF_3'!DK43)</x:f>
        <x:v>0</x:v>
      </x:c>
      <x:c r="DL21" s="117" t="n">
        <x:f>SUM('CF_1'!DL43,'CF_2'!DL43,'CF_3'!DL43)</x:f>
        <x:v>0</x:v>
      </x:c>
      <x:c r="DM21" s="117" t="n">
        <x:f>SUM('CF_1'!DM43,'CF_2'!DM43,'CF_3'!DM43)</x:f>
        <x:v>0</x:v>
      </x:c>
      <x:c r="DN21" s="117" t="n">
        <x:f>SUM('CF_1'!DN43,'CF_2'!DN43,'CF_3'!DN43)</x:f>
        <x:v>0</x:v>
      </x:c>
      <x:c r="DO21" s="117" t="n">
        <x:f>SUM('CF_1'!DO43,'CF_2'!DO43,'CF_3'!DO43)</x:f>
        <x:v>0</x:v>
      </x:c>
      <x:c r="DP21" s="117" t="n">
        <x:f>SUM('CF_1'!DP43,'CF_2'!DP43,'CF_3'!DP43)</x:f>
        <x:v>0</x:v>
      </x:c>
      <x:c r="DQ21" s="117" t="n">
        <x:f>SUM('CF_1'!DQ43,'CF_2'!DQ43,'CF_3'!DQ43)</x:f>
        <x:v>0</x:v>
      </x:c>
      <x:c r="DR21" s="117" t="n">
        <x:f>SUM('CF_1'!DR43,'CF_2'!DR43,'CF_3'!DR43)</x:f>
        <x:v>0</x:v>
      </x:c>
      <x:c r="DS21" s="117" t="n">
        <x:f>SUM('CF_1'!DS43,'CF_2'!DS43,'CF_3'!DS43)</x:f>
        <x:v>0</x:v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  <x:v>1097.3595290179696</x:v>
      </x:c>
      <x:c r="C23" t="str">
        <x:v>млн ₽</x:v>
      </x:c>
      <x:c r="D23" s="117" t="n">
        <x:f>SUM('CF_1'!D49,'CF_2'!D49,'CF_3'!D49)</x:f>
        <x:v>0</x:v>
      </x:c>
      <x:c r="E23" s="117" t="n">
        <x:f>SUM('CF_1'!E49,'CF_2'!E49,'CF_3'!E49)</x:f>
        <x:v>0</x:v>
      </x:c>
      <x:c r="F23" s="117" t="n">
        <x:f>SUM('CF_1'!F49,'CF_2'!F49,'CF_3'!F49)</x:f>
        <x:v>0</x:v>
      </x:c>
      <x:c r="G23" s="117" t="n">
        <x:f>SUM('CF_1'!G49,'CF_2'!G49,'CF_3'!G49)</x:f>
        <x:v>0</x:v>
      </x:c>
      <x:c r="H23" s="117" t="n">
        <x:f>SUM('CF_1'!H49,'CF_2'!H49,'CF_3'!H49)</x:f>
        <x:v>0</x:v>
      </x:c>
      <x:c r="I23" s="117" t="n">
        <x:f>SUM('CF_1'!I49,'CF_2'!I49,'CF_3'!I49)</x:f>
        <x:v>0</x:v>
      </x:c>
      <x:c r="J23" s="117" t="n">
        <x:f>SUM('CF_1'!J49,'CF_2'!J49,'CF_3'!J49)</x:f>
        <x:v>0</x:v>
      </x:c>
      <x:c r="K23" s="117" t="n">
        <x:f>SUM('CF_1'!K49,'CF_2'!K49,'CF_3'!K49)</x:f>
        <x:v>0</x:v>
      </x:c>
      <x:c r="L23" s="117" t="n">
        <x:f>SUM('CF_1'!L49,'CF_2'!L49,'CF_3'!L49)</x:f>
        <x:v>0</x:v>
      </x:c>
      <x:c r="M23" s="117" t="n">
        <x:f>SUM('CF_1'!M49,'CF_2'!M49,'CF_3'!M49)</x:f>
        <x:v>0</x:v>
      </x:c>
      <x:c r="N23" s="117" t="n">
        <x:f>SUM('CF_1'!N49,'CF_2'!N49,'CF_3'!N49)</x:f>
        <x:v>0</x:v>
      </x:c>
      <x:c r="O23" s="117" t="n">
        <x:f>SUM('CF_1'!O49,'CF_2'!O49,'CF_3'!O49)</x:f>
        <x:v>0</x:v>
      </x:c>
      <x:c r="P23" s="117" t="n">
        <x:f>SUM('CF_1'!P49,'CF_2'!P49,'CF_3'!P49)</x:f>
        <x:v>0</x:v>
      </x:c>
      <x:c r="Q23" s="117" t="n">
        <x:f>SUM('CF_1'!Q49,'CF_2'!Q49,'CF_3'!Q49)</x:f>
        <x:v>0</x:v>
      </x:c>
      <x:c r="R23" s="117" t="n">
        <x:f>SUM('CF_1'!R49,'CF_2'!R49,'CF_3'!R49)</x:f>
        <x:v>0</x:v>
      </x:c>
      <x:c r="S23" s="117" t="n">
        <x:f>SUM('CF_1'!S49,'CF_2'!S49,'CF_3'!S49)</x:f>
        <x:v>0</x:v>
      </x:c>
      <x:c r="T23" s="117" t="n">
        <x:f>SUM('CF_1'!T49,'CF_2'!T49,'CF_3'!T49)</x:f>
        <x:v>0</x:v>
      </x:c>
      <x:c r="U23" s="117" t="n">
        <x:f>SUM('CF_1'!U49,'CF_2'!U49,'CF_3'!U49)</x:f>
        <x:v>0</x:v>
      </x:c>
      <x:c r="V23" s="117" t="n">
        <x:f>SUM('CF_1'!V49,'CF_2'!V49,'CF_3'!V49)</x:f>
        <x:v>55.683333333333394</x:v>
      </x:c>
      <x:c r="W23" s="117" t="n">
        <x:f>SUM('CF_1'!W49,'CF_2'!W49,'CF_3'!W49)</x:f>
        <x:v>37.55277917561082</x:v>
      </x:c>
      <x:c r="X23" s="117" t="n">
        <x:f>SUM('CF_1'!X49,'CF_2'!X49,'CF_3'!X49)</x:f>
        <x:v>36.19021065467447</x:v>
      </x:c>
      <x:c r="Y23" s="117" t="n">
        <x:f>SUM('CF_1'!Y49,'CF_2'!Y49,'CF_3'!Y49)</x:f>
        <x:v>34.86724983170441</x:v>
      </x:c>
      <x:c r="Z23" s="117" t="n">
        <x:f>SUM('CF_1'!Z49,'CF_2'!Z49,'CF_3'!Z49)</x:f>
        <x:v>33.54308570395858</x:v>
      </x:c>
      <x:c r="AA23" s="117" t="n">
        <x:f>SUM('CF_1'!AA49,'CF_2'!AA49,'CF_3'!AA49)</x:f>
        <x:v>33.906104455744355</x:v>
      </x:c>
      <x:c r="AB23" s="117" t="n">
        <x:f>SUM('CF_1'!AB49,'CF_2'!AB49,'CF_3'!AB49)</x:f>
        <x:v>34.67294594028124</x:v>
      </x:c>
      <x:c r="AC23" s="117" t="n">
        <x:f>SUM('CF_1'!AC49,'CF_2'!AC49,'CF_3'!AC49)</x:f>
        <x:v>35.22988110183718</x:v>
      </x:c>
      <x:c r="AD23" s="117" t="n">
        <x:f>SUM('CF_1'!AD49,'CF_2'!AD49,'CF_3'!AD49)</x:f>
        <x:v>35.76247684393303</x:v>
      </x:c>
      <x:c r="AE23" s="117" t="n">
        <x:f>SUM('CF_1'!AE49,'CF_2'!AE49,'CF_3'!AE49)</x:f>
        <x:v>36.223244270062764</x:v>
      </x:c>
      <x:c r="AF23" s="117" t="n">
        <x:f>SUM('CF_1'!AF49,'CF_2'!AF49,'CF_3'!AF49)</x:f>
        <x:v>37.10986017574061</x:v>
      </x:c>
      <x:c r="AG23" s="117" t="n">
        <x:f>SUM('CF_1'!AG49,'CF_2'!AG49,'CF_3'!AG49)</x:f>
        <x:v>37.88304806338073</x:v>
      </x:c>
      <x:c r="AH23" s="117" t="n">
        <x:f>SUM('CF_1'!AH49,'CF_2'!AH49,'CF_3'!AH49)</x:f>
        <x:v>38.59045852751518</x:v>
      </x:c>
      <x:c r="AI23" s="117" t="n">
        <x:f>SUM('CF_1'!AI49,'CF_2'!AI49,'CF_3'!AI49)</x:f>
        <x:v>39.23043726594295</x:v>
      </x:c>
      <x:c r="AJ23" s="117" t="n">
        <x:f>SUM('CF_1'!AJ49,'CF_2'!AJ49,'CF_3'!AJ49)</x:f>
        <x:v>39.2496294860627</x:v>
      </x:c>
      <x:c r="AK23" s="117" t="n">
        <x:f>SUM('CF_1'!AK49,'CF_2'!AK49,'CF_3'!AK49)</x:f>
        <x:v>39.23986013442499</x:v>
      </x:c>
      <x:c r="AL23" s="117" t="n">
        <x:f>SUM('CF_1'!AL49,'CF_2'!AL49,'CF_3'!AL49)</x:f>
        <x:v>39.144621984713865</x:v>
      </x:c>
      <x:c r="AM23" s="117" t="n">
        <x:f>SUM('CF_1'!AM49,'CF_2'!AM49,'CF_3'!AM49)</x:f>
        <x:v>38.96176549665768</x:v>
      </x:c>
      <x:c r="AN23" s="117" t="n">
        <x:f>SUM('CF_1'!AN49,'CF_2'!AN49,'CF_3'!AN49)</x:f>
        <x:v>39.29837178122693</x:v>
      </x:c>
      <x:c r="AO23" s="117" t="n">
        <x:f>SUM('CF_1'!AO49,'CF_2'!AO49,'CF_3'!AO49)</x:f>
        <x:v>38.8720069380507</x:v>
      </x:c>
      <x:c r="AP23" s="117" t="n">
        <x:f>SUM('CF_1'!AP49,'CF_2'!AP49,'CF_3'!AP49)</x:f>
        <x:v>37.30692982782034</x:v>
      </x:c>
      <x:c r="AQ23" s="117" t="n">
        <x:f>SUM('CF_1'!AQ49,'CF_2'!AQ49,'CF_3'!AQ49)</x:f>
        <x:v>35.832268446778755</x:v>
      </x:c>
      <x:c r="AR23" s="117" t="n">
        <x:f>SUM('CF_1'!AR49,'CF_2'!AR49,'CF_3'!AR49)</x:f>
        <x:v>36.84388883206856</x:v>
      </x:c>
      <x:c r="AS23" s="117" t="n">
        <x:f>SUM('CF_1'!AS49,'CF_2'!AS49,'CF_3'!AS49)</x:f>
        <x:v>123.36507074644607</x:v>
      </x:c>
      <x:c r="AT23" s="117" t="n">
        <x:f>SUM('CF_1'!AT49,'CF_2'!AT49,'CF_3'!AT49)</x:f>
        <x:v>0</x:v>
      </x:c>
      <x:c r="AU23" s="117" t="n">
        <x:f>SUM('CF_1'!AU49,'CF_2'!AU49,'CF_3'!AU49)</x:f>
        <x:v>0</x:v>
      </x:c>
      <x:c r="AV23" s="117" t="n">
        <x:f>SUM('CF_1'!AV49,'CF_2'!AV49,'CF_3'!AV49)</x:f>
        <x:v>0</x:v>
      </x:c>
      <x:c r="AW23" s="117" t="n">
        <x:f>SUM('CF_1'!AW49,'CF_2'!AW49,'CF_3'!AW49)</x:f>
        <x:v>0</x:v>
      </x:c>
      <x:c r="AX23" s="117" t="n">
        <x:f>SUM('CF_1'!AX49,'CF_2'!AX49,'CF_3'!AX49)</x:f>
        <x:v>0</x:v>
      </x:c>
      <x:c r="AY23" s="117" t="n">
        <x:f>SUM('CF_1'!AY49,'CF_2'!AY49,'CF_3'!AY49)</x:f>
        <x:v>0</x:v>
      </x:c>
      <x:c r="AZ23" s="117" t="n">
        <x:f>SUM('CF_1'!AZ49,'CF_2'!AZ49,'CF_3'!AZ49)</x:f>
        <x:v>4.283333333333333</x:v>
      </x:c>
      <x:c r="BA23" s="117" t="n">
        <x:f>SUM('CF_1'!BA49,'CF_2'!BA49,'CF_3'!BA49)</x:f>
        <x:v>4.283333333333333</x:v>
      </x:c>
      <x:c r="BB23" s="117" t="n">
        <x:f>SUM('CF_1'!BB49,'CF_2'!BB49,'CF_3'!BB49)</x:f>
        <x:v>4.283333333333333</x:v>
      </x:c>
      <x:c r="BC23" s="117" t="n">
        <x:f>SUM('CF_1'!BC49,'CF_2'!BC49,'CF_3'!BC49)</x:f>
        <x:v>4.283333333333333</x:v>
      </x:c>
      <x:c r="BD23" s="117" t="n">
        <x:f>SUM('CF_1'!BD49,'CF_2'!BD49,'CF_3'!BD49)</x:f>
        <x:v>4.283333333333333</x:v>
      </x:c>
      <x:c r="BE23" s="117" t="n">
        <x:f>SUM('CF_1'!BE49,'CF_2'!BE49,'CF_3'!BE49)</x:f>
        <x:v>4.283333333333333</x:v>
      </x:c>
      <x:c r="BF23" s="117" t="n">
        <x:f>SUM('CF_1'!BF49,'CF_2'!BF49,'CF_3'!BF49)</x:f>
        <x:v>4.283333333333333</x:v>
      </x:c>
      <x:c r="BG23" s="117" t="n">
        <x:f>SUM('CF_1'!BG49,'CF_2'!BG49,'CF_3'!BG49)</x:f>
        <x:v>4.283333333333333</x:v>
      </x:c>
      <x:c r="BH23" s="117" t="n">
        <x:f>SUM('CF_1'!BH49,'CF_2'!BH49,'CF_3'!BH49)</x:f>
        <x:v>4.283333333333333</x:v>
      </x:c>
      <x:c r="BI23" s="117" t="n">
        <x:f>SUM('CF_1'!BI49,'CF_2'!BI49,'CF_3'!BI49)</x:f>
        <x:v>4.283333333333333</x:v>
      </x:c>
      <x:c r="BJ23" s="117" t="n">
        <x:f>SUM('CF_1'!BJ49,'CF_2'!BJ49,'CF_3'!BJ49)</x:f>
        <x:v>4.283333333333333</x:v>
      </x:c>
      <x:c r="BK23" s="117" t="n">
        <x:f>SUM('CF_1'!BK49,'CF_2'!BK49,'CF_3'!BK49)</x:f>
        <x:v>4.283333333333333</x:v>
      </x:c>
      <x:c r="BL23" s="117" t="n">
        <x:f>SUM('CF_1'!BL49,'CF_2'!BL49,'CF_3'!BL49)</x:f>
        <x:v>4.283333333333333</x:v>
      </x:c>
      <x:c r="BM23" s="117" t="n">
        <x:f>SUM('CF_1'!BM49,'CF_2'!BM49,'CF_3'!BM49)</x:f>
        <x:v>4.283333333333333</x:v>
      </x:c>
      <x:c r="BN23" s="117" t="n">
        <x:f>SUM('CF_1'!BN49,'CF_2'!BN49,'CF_3'!BN49)</x:f>
        <x:v>4.283333333333333</x:v>
      </x:c>
      <x:c r="BO23" s="117" t="n">
        <x:f>SUM('CF_1'!BO49,'CF_2'!BO49,'CF_3'!BO49)</x:f>
        <x:v>4.283333333333333</x:v>
      </x:c>
      <x:c r="BP23" s="117" t="n">
        <x:f>SUM('CF_1'!BP49,'CF_2'!BP49,'CF_3'!BP49)</x:f>
        <x:v>4.283333333333333</x:v>
      </x:c>
      <x:c r="BQ23" s="117" t="n">
        <x:f>SUM('CF_1'!BQ49,'CF_2'!BQ49,'CF_3'!BQ49)</x:f>
        <x:v>4.283333333333333</x:v>
      </x:c>
      <x:c r="BR23" s="117" t="n">
        <x:f>SUM('CF_1'!BR49,'CF_2'!BR49,'CF_3'!BR49)</x:f>
        <x:v>4.283333333333333</x:v>
      </x:c>
      <x:c r="BS23" s="117" t="n">
        <x:f>SUM('CF_1'!BS49,'CF_2'!BS49,'CF_3'!BS49)</x:f>
        <x:v>4.283333333333333</x:v>
      </x:c>
      <x:c r="BT23" s="117" t="n">
        <x:f>SUM('CF_1'!BT49,'CF_2'!BT49,'CF_3'!BT49)</x:f>
        <x:v>4.283333333333333</x:v>
      </x:c>
      <x:c r="BU23" s="117" t="n">
        <x:f>SUM('CF_1'!BU49,'CF_2'!BU49,'CF_3'!BU49)</x:f>
        <x:v>4.283333333333333</x:v>
      </x:c>
      <x:c r="BV23" s="117" t="n">
        <x:f>SUM('CF_1'!BV49,'CF_2'!BV49,'CF_3'!BV49)</x:f>
        <x:v>4.283333333333333</x:v>
      </x:c>
      <x:c r="BW23" s="117" t="n">
        <x:f>SUM('CF_1'!BW49,'CF_2'!BW49,'CF_3'!BW49)</x:f>
        <x:v>4.283333333333333</x:v>
      </x:c>
      <x:c r="BX23" s="117" t="n">
        <x:f>SUM('CF_1'!BX49,'CF_2'!BX49,'CF_3'!BX49)</x:f>
        <x:v>0</x:v>
      </x:c>
      <x:c r="BY23" s="117" t="n">
        <x:f>SUM('CF_1'!BY49,'CF_2'!BY49,'CF_3'!BY49)</x:f>
        <x:v>0</x:v>
      </x:c>
      <x:c r="BZ23" s="117" t="n">
        <x:f>SUM('CF_1'!BZ49,'CF_2'!BZ49,'CF_3'!BZ49)</x:f>
        <x:v>0</x:v>
      </x:c>
      <x:c r="CA23" s="117" t="n">
        <x:f>SUM('CF_1'!CA49,'CF_2'!CA49,'CF_3'!CA49)</x:f>
        <x:v>0</x:v>
      </x:c>
      <x:c r="CB23" s="117" t="n">
        <x:f>SUM('CF_1'!CB49,'CF_2'!CB49,'CF_3'!CB49)</x:f>
        <x:v>0</x:v>
      </x:c>
      <x:c r="CC23" s="117" t="n">
        <x:f>SUM('CF_1'!CC49,'CF_2'!CC49,'CF_3'!CC49)</x:f>
        <x:v>0</x:v>
      </x:c>
      <x:c r="CD23" s="117" t="n">
        <x:f>SUM('CF_1'!CD49,'CF_2'!CD49,'CF_3'!CD49)</x:f>
        <x:v>0</x:v>
      </x:c>
      <x:c r="CE23" s="117" t="n">
        <x:f>SUM('CF_1'!CE49,'CF_2'!CE49,'CF_3'!CE49)</x:f>
        <x:v>0</x:v>
      </x:c>
      <x:c r="CF23" s="117" t="n">
        <x:f>SUM('CF_1'!CF49,'CF_2'!CF49,'CF_3'!CF49)</x:f>
        <x:v>0</x:v>
      </x:c>
      <x:c r="CG23" s="117" t="n">
        <x:f>SUM('CF_1'!CG49,'CF_2'!CG49,'CF_3'!CG49)</x:f>
        <x:v>0</x:v>
      </x:c>
      <x:c r="CH23" s="117" t="n">
        <x:f>SUM('CF_1'!CH49,'CF_2'!CH49,'CF_3'!CH49)</x:f>
        <x:v>0</x:v>
      </x:c>
      <x:c r="CI23" s="117" t="n">
        <x:f>SUM('CF_1'!CI49,'CF_2'!CI49,'CF_3'!CI49)</x:f>
        <x:v>0</x:v>
      </x:c>
      <x:c r="CJ23" s="117" t="n">
        <x:f>SUM('CF_1'!CJ49,'CF_2'!CJ49,'CF_3'!CJ49)</x:f>
        <x:v>0</x:v>
      </x:c>
      <x:c r="CK23" s="117" t="n">
        <x:f>SUM('CF_1'!CK49,'CF_2'!CK49,'CF_3'!CK49)</x:f>
        <x:v>0</x:v>
      </x:c>
      <x:c r="CL23" s="117" t="n">
        <x:f>SUM('CF_1'!CL49,'CF_2'!CL49,'CF_3'!CL49)</x:f>
        <x:v>0</x:v>
      </x:c>
      <x:c r="CM23" s="117" t="n">
        <x:f>SUM('CF_1'!CM49,'CF_2'!CM49,'CF_3'!CM49)</x:f>
        <x:v>0</x:v>
      </x:c>
      <x:c r="CN23" s="117" t="n">
        <x:f>SUM('CF_1'!CN49,'CF_2'!CN49,'CF_3'!CN49)</x:f>
        <x:v>0</x:v>
      </x:c>
      <x:c r="CO23" s="117" t="n">
        <x:f>SUM('CF_1'!CO49,'CF_2'!CO49,'CF_3'!CO49)</x:f>
        <x:v>0</x:v>
      </x:c>
      <x:c r="CP23" s="117" t="n">
        <x:f>SUM('CF_1'!CP49,'CF_2'!CP49,'CF_3'!CP49)</x:f>
        <x:v>0</x:v>
      </x:c>
      <x:c r="CQ23" s="117" t="n">
        <x:f>SUM('CF_1'!CQ49,'CF_2'!CQ49,'CF_3'!CQ49)</x:f>
        <x:v>0</x:v>
      </x:c>
      <x:c r="CR23" s="117" t="n">
        <x:f>SUM('CF_1'!CR49,'CF_2'!CR49,'CF_3'!CR49)</x:f>
        <x:v>0</x:v>
      </x:c>
      <x:c r="CS23" s="117" t="n">
        <x:f>SUM('CF_1'!CS49,'CF_2'!CS49,'CF_3'!CS49)</x:f>
        <x:v>0</x:v>
      </x:c>
      <x:c r="CT23" s="117" t="n">
        <x:f>SUM('CF_1'!CT49,'CF_2'!CT49,'CF_3'!CT49)</x:f>
        <x:v>0</x:v>
      </x:c>
      <x:c r="CU23" s="117" t="n">
        <x:f>SUM('CF_1'!CU49,'CF_2'!CU49,'CF_3'!CU49)</x:f>
        <x:v>0</x:v>
      </x:c>
      <x:c r="CV23" s="117" t="n">
        <x:f>SUM('CF_1'!CV49,'CF_2'!CV49,'CF_3'!CV49)</x:f>
        <x:v>0</x:v>
      </x:c>
      <x:c r="CW23" s="117" t="n">
        <x:f>SUM('CF_1'!CW49,'CF_2'!CW49,'CF_3'!CW49)</x:f>
        <x:v>0</x:v>
      </x:c>
      <x:c r="CX23" s="117" t="n">
        <x:f>SUM('CF_1'!CX49,'CF_2'!CX49,'CF_3'!CX49)</x:f>
        <x:v>0</x:v>
      </x:c>
      <x:c r="CY23" s="117" t="n">
        <x:f>SUM('CF_1'!CY49,'CF_2'!CY49,'CF_3'!CY49)</x:f>
        <x:v>0</x:v>
      </x:c>
      <x:c r="CZ23" s="117" t="n">
        <x:f>SUM('CF_1'!CZ49,'CF_2'!CZ49,'CF_3'!CZ49)</x:f>
        <x:v>0</x:v>
      </x:c>
      <x:c r="DA23" s="117" t="n">
        <x:f>SUM('CF_1'!DA49,'CF_2'!DA49,'CF_3'!DA49)</x:f>
        <x:v>0</x:v>
      </x:c>
      <x:c r="DB23" s="117" t="n">
        <x:f>SUM('CF_1'!DB49,'CF_2'!DB49,'CF_3'!DB49)</x:f>
        <x:v>0</x:v>
      </x:c>
      <x:c r="DC23" s="117" t="n">
        <x:f>SUM('CF_1'!DC49,'CF_2'!DC49,'CF_3'!DC49)</x:f>
        <x:v>0</x:v>
      </x:c>
      <x:c r="DD23" s="117" t="n">
        <x:f>SUM('CF_1'!DD49,'CF_2'!DD49,'CF_3'!DD49)</x:f>
        <x:v>0</x:v>
      </x:c>
      <x:c r="DE23" s="117" t="n">
        <x:f>SUM('CF_1'!DE49,'CF_2'!DE49,'CF_3'!DE49)</x:f>
        <x:v>0</x:v>
      </x:c>
      <x:c r="DF23" s="117" t="n">
        <x:f>SUM('CF_1'!DF49,'CF_2'!DF49,'CF_3'!DF49)</x:f>
        <x:v>0</x:v>
      </x:c>
      <x:c r="DG23" s="117" t="n">
        <x:f>SUM('CF_1'!DG49,'CF_2'!DG49,'CF_3'!DG49)</x:f>
        <x:v>0</x:v>
      </x:c>
      <x:c r="DH23" s="117" t="n">
        <x:f>SUM('CF_1'!DH49,'CF_2'!DH49,'CF_3'!DH49)</x:f>
        <x:v>0</x:v>
      </x:c>
      <x:c r="DI23" s="117" t="n">
        <x:f>SUM('CF_1'!DI49,'CF_2'!DI49,'CF_3'!DI49)</x:f>
        <x:v>0</x:v>
      </x:c>
      <x:c r="DJ23" s="117" t="n">
        <x:f>SUM('CF_1'!DJ49,'CF_2'!DJ49,'CF_3'!DJ49)</x:f>
        <x:v>0</x:v>
      </x:c>
      <x:c r="DK23" s="117" t="n">
        <x:f>SUM('CF_1'!DK49,'CF_2'!DK49,'CF_3'!DK49)</x:f>
        <x:v>0</x:v>
      </x:c>
      <x:c r="DL23" s="117" t="n">
        <x:f>SUM('CF_1'!DL49,'CF_2'!DL49,'CF_3'!DL49)</x:f>
        <x:v>0</x:v>
      </x:c>
      <x:c r="DM23" s="117" t="n">
        <x:f>SUM('CF_1'!DM49,'CF_2'!DM49,'CF_3'!DM49)</x:f>
        <x:v>0</x:v>
      </x:c>
      <x:c r="DN23" s="117" t="n">
        <x:f>SUM('CF_1'!DN49,'CF_2'!DN49,'CF_3'!DN49)</x:f>
        <x:v>0</x:v>
      </x:c>
      <x:c r="DO23" s="117" t="n">
        <x:f>SUM('CF_1'!DO49,'CF_2'!DO49,'CF_3'!DO49)</x:f>
        <x:v>0</x:v>
      </x:c>
      <x:c r="DP23" s="117" t="n">
        <x:f>SUM('CF_1'!DP49,'CF_2'!DP49,'CF_3'!DP49)</x:f>
        <x:v>0</x:v>
      </x:c>
      <x:c r="DQ23" s="117" t="n">
        <x:f>SUM('CF_1'!DQ49,'CF_2'!DQ49,'CF_3'!DQ49)</x:f>
        <x:v>0</x:v>
      </x:c>
      <x:c r="DR23" s="117" t="n">
        <x:f>SUM('CF_1'!DR49,'CF_2'!DR49,'CF_3'!DR49)</x:f>
        <x:v>0</x:v>
      </x:c>
      <x:c r="DS23" s="117" t="n">
        <x:f>SUM('CF_1'!DS49,'CF_2'!DS49,'CF_3'!DS49)</x:f>
        <x:v>0</x:v>
      </x:c>
    </x:row>
    <x:row r="24">
      <x:c r="A24" t="str">
        <x:v>Распределение собственнику</x:v>
      </x:c>
      <x:c r="B24" t="n">
        <x:f>SUM(D24:DS24)</x:f>
        <x:v>1876.3520287588894</x:v>
      </x:c>
      <x:c r="C24" t="str">
        <x:v>млн ₽</x:v>
      </x:c>
      <x:c r="D24" s="117" t="n">
        <x:f>SUM('CF_1'!D50,'CF_2'!D50,'CF_3'!D50)</x:f>
        <x:v>0</x:v>
      </x:c>
      <x:c r="E24" s="117" t="n">
        <x:f>SUM('CF_1'!E50,'CF_2'!E50,'CF_3'!E50)</x:f>
        <x:v>0</x:v>
      </x:c>
      <x:c r="F24" s="117" t="n">
        <x:f>SUM('CF_1'!F50,'CF_2'!F50,'CF_3'!F50)</x:f>
        <x:v>0</x:v>
      </x:c>
      <x:c r="G24" s="117" t="n">
        <x:f>SUM('CF_1'!G50,'CF_2'!G50,'CF_3'!G50)</x:f>
        <x:v>0</x:v>
      </x:c>
      <x:c r="H24" s="117" t="n">
        <x:f>SUM('CF_1'!H50,'CF_2'!H50,'CF_3'!H50)</x:f>
        <x:v>0</x:v>
      </x:c>
      <x:c r="I24" s="117" t="n">
        <x:f>SUM('CF_1'!I50,'CF_2'!I50,'CF_3'!I50)</x:f>
        <x:v>0</x:v>
      </x:c>
      <x:c r="J24" s="117" t="n">
        <x:f>SUM('CF_1'!J50,'CF_2'!J50,'CF_3'!J50)</x:f>
        <x:v>0</x:v>
      </x:c>
      <x:c r="K24" s="117" t="n">
        <x:f>SUM('CF_1'!K50,'CF_2'!K50,'CF_3'!K50)</x:f>
        <x:v>0</x:v>
      </x:c>
      <x:c r="L24" s="117" t="n">
        <x:f>SUM('CF_1'!L50,'CF_2'!L50,'CF_3'!L50)</x:f>
        <x:v>0</x:v>
      </x:c>
      <x:c r="M24" s="117" t="n">
        <x:f>SUM('CF_1'!M50,'CF_2'!M50,'CF_3'!M50)</x:f>
        <x:v>0</x:v>
      </x:c>
      <x:c r="N24" s="117" t="n">
        <x:f>SUM('CF_1'!N50,'CF_2'!N50,'CF_3'!N50)</x:f>
        <x:v>0</x:v>
      </x:c>
      <x:c r="O24" s="117" t="n">
        <x:f>SUM('CF_1'!O50,'CF_2'!O50,'CF_3'!O50)</x:f>
        <x:v>0</x:v>
      </x:c>
      <x:c r="P24" s="117" t="n">
        <x:f>SUM('CF_1'!P50,'CF_2'!P50,'CF_3'!P50)</x:f>
        <x:v>0</x:v>
      </x:c>
      <x:c r="Q24" s="117" t="n">
        <x:f>SUM('CF_1'!Q50,'CF_2'!Q50,'CF_3'!Q50)</x:f>
        <x:v>0</x:v>
      </x:c>
      <x:c r="R24" s="117" t="n">
        <x:f>SUM('CF_1'!R50,'CF_2'!R50,'CF_3'!R50)</x:f>
        <x:v>0</x:v>
      </x:c>
      <x:c r="S24" s="117" t="n">
        <x:f>SUM('CF_1'!S50,'CF_2'!S50,'CF_3'!S50)</x:f>
        <x:v>0</x:v>
      </x:c>
      <x:c r="T24" s="117" t="n">
        <x:f>SUM('CF_1'!T50,'CF_2'!T50,'CF_3'!T50)</x:f>
        <x:v>0</x:v>
      </x:c>
      <x:c r="U24" s="117" t="n">
        <x:f>SUM('CF_1'!U50,'CF_2'!U50,'CF_3'!U50)</x:f>
        <x:v>0</x:v>
      </x:c>
      <x:c r="V24" s="117" t="n">
        <x:f>SUM('CF_1'!V50,'CF_2'!V50,'CF_3'!V50)</x:f>
        <x:v>0</x:v>
      </x:c>
      <x:c r="W24" s="117" t="n">
        <x:f>SUM('CF_1'!W50,'CF_2'!W50,'CF_3'!W50)</x:f>
        <x:v>0</x:v>
      </x:c>
      <x:c r="X24" s="117" t="n">
        <x:f>SUM('CF_1'!X50,'CF_2'!X50,'CF_3'!X50)</x:f>
        <x:v>0</x:v>
      </x:c>
      <x:c r="Y24" s="117" t="n">
        <x:f>SUM('CF_1'!Y50,'CF_2'!Y50,'CF_3'!Y50)</x:f>
        <x:v>0</x:v>
      </x:c>
      <x:c r="Z24" s="117" t="n">
        <x:f>SUM('CF_1'!Z50,'CF_2'!Z50,'CF_3'!Z50)</x:f>
        <x:v>0</x:v>
      </x:c>
      <x:c r="AA24" s="117" t="n">
        <x:f>SUM('CF_1'!AA50,'CF_2'!AA50,'CF_3'!AA50)</x:f>
        <x:v>0</x:v>
      </x:c>
      <x:c r="AB24" s="117" t="n">
        <x:f>SUM('CF_1'!AB50,'CF_2'!AB50,'CF_3'!AB50)</x:f>
        <x:v>0</x:v>
      </x:c>
      <x:c r="AC24" s="117" t="n">
        <x:f>SUM('CF_1'!AC50,'CF_2'!AC50,'CF_3'!AC50)</x:f>
        <x:v>0</x:v>
      </x:c>
      <x:c r="AD24" s="117" t="n">
        <x:f>SUM('CF_1'!AD50,'CF_2'!AD50,'CF_3'!AD50)</x:f>
        <x:v>0</x:v>
      </x:c>
      <x:c r="AE24" s="117" t="n">
        <x:f>SUM('CF_1'!AE50,'CF_2'!AE50,'CF_3'!AE50)</x:f>
        <x:v>0</x:v>
      </x:c>
      <x:c r="AF24" s="117" t="n">
        <x:f>SUM('CF_1'!AF50,'CF_2'!AF50,'CF_3'!AF50)</x:f>
        <x:v>0</x:v>
      </x:c>
      <x:c r="AG24" s="117" t="n">
        <x:f>SUM('CF_1'!AG50,'CF_2'!AG50,'CF_3'!AG50)</x:f>
        <x:v>0</x:v>
      </x:c>
      <x:c r="AH24" s="117" t="n">
        <x:f>SUM('CF_1'!AH50,'CF_2'!AH50,'CF_3'!AH50)</x:f>
        <x:v>0</x:v>
      </x:c>
      <x:c r="AI24" s="117" t="n">
        <x:f>SUM('CF_1'!AI50,'CF_2'!AI50,'CF_3'!AI50)</x:f>
        <x:v>0</x:v>
      </x:c>
      <x:c r="AJ24" s="117" t="n">
        <x:f>SUM('CF_1'!AJ50,'CF_2'!AJ50,'CF_3'!AJ50)</x:f>
        <x:v>0</x:v>
      </x:c>
      <x:c r="AK24" s="117" t="n">
        <x:f>SUM('CF_1'!AK50,'CF_2'!AK50,'CF_3'!AK50)</x:f>
        <x:v>0</x:v>
      </x:c>
      <x:c r="AL24" s="117" t="n">
        <x:f>SUM('CF_1'!AL50,'CF_2'!AL50,'CF_3'!AL50)</x:f>
        <x:v>0</x:v>
      </x:c>
      <x:c r="AM24" s="117" t="n">
        <x:f>SUM('CF_1'!AM50,'CF_2'!AM50,'CF_3'!AM50)</x:f>
        <x:v>0</x:v>
      </x:c>
      <x:c r="AN24" s="117" t="n">
        <x:f>SUM('CF_1'!AN50,'CF_2'!AN50,'CF_3'!AN50)</x:f>
        <x:v>0</x:v>
      </x:c>
      <x:c r="AO24" s="117" t="n">
        <x:f>SUM('CF_1'!AO50,'CF_2'!AO50,'CF_3'!AO50)</x:f>
        <x:v>0</x:v>
      </x:c>
      <x:c r="AP24" s="117" t="n">
        <x:f>SUM('CF_1'!AP50,'CF_2'!AP50,'CF_3'!AP50)</x:f>
        <x:v>0</x:v>
      </x:c>
      <x:c r="AQ24" s="117" t="n">
        <x:f>SUM('CF_1'!AQ50,'CF_2'!AQ50,'CF_3'!AQ50)</x:f>
        <x:v>0</x:v>
      </x:c>
      <x:c r="AR24" s="117" t="n">
        <x:f>SUM('CF_1'!AR50,'CF_2'!AR50,'CF_3'!AR50)</x:f>
        <x:v>0</x:v>
      </x:c>
      <x:c r="AS24" s="117" t="n">
        <x:f>SUM('CF_1'!AS50,'CF_2'!AS50,'CF_3'!AS50)</x:f>
        <x:v>0</x:v>
      </x:c>
      <x:c r="AT24" s="117" t="n">
        <x:f>SUM('CF_1'!AT50,'CF_2'!AT50,'CF_3'!AT50)</x:f>
        <x:v>422.1359021663775</x:v>
      </x:c>
      <x:c r="AU24" s="117" t="n">
        <x:f>SUM('CF_1'!AU50,'CF_2'!AU50,'CF_3'!AU50)</x:f>
        <x:v>297.9430847032186</x:v>
      </x:c>
      <x:c r="AV24" s="117" t="n">
        <x:f>SUM('CF_1'!AV50,'CF_2'!AV50,'CF_3'!AV50)</x:f>
        <x:v>335.41805076279314</x:v>
      </x:c>
      <x:c r="AW24" s="117" t="n">
        <x:f>SUM('CF_1'!AW50,'CF_2'!AW50,'CF_3'!AW50)</x:f>
        <x:v>270.17979567640174</x:v>
      </x:c>
      <x:c r="AX24" s="117" t="n">
        <x:f>SUM('CF_1'!AX50,'CF_2'!AX50,'CF_3'!AX50)</x:f>
        <x:v>273.60403417974857</x:v>
      </x:c>
      <x:c r="AY24" s="117" t="n">
        <x:f>SUM('CF_1'!AY50,'CF_2'!AY50,'CF_3'!AY50)</x:f>
        <x:v>277.07116127034993</x:v>
      </x:c>
      <x:c r="AZ24" s="117" t="n">
        <x:f>SUM('CF_1'!AZ50,'CF_2'!AZ50,'CF_3'!AZ50)</x:f>
        <x:v>0</x:v>
      </x:c>
      <x:c r="BA24" s="117" t="n">
        <x:f>SUM('CF_1'!BA50,'CF_2'!BA50,'CF_3'!BA50)</x:f>
        <x:v>0</x:v>
      </x:c>
      <x:c r="BB24" s="117" t="n">
        <x:f>SUM('CF_1'!BB50,'CF_2'!BB50,'CF_3'!BB50)</x:f>
        <x:v>0</x:v>
      </x:c>
      <x:c r="BC24" s="117" t="n">
        <x:f>SUM('CF_1'!BC50,'CF_2'!BC50,'CF_3'!BC50)</x:f>
        <x:v>0</x:v>
      </x:c>
      <x:c r="BD24" s="117" t="n">
        <x:f>SUM('CF_1'!BD50,'CF_2'!BD50,'CF_3'!BD50)</x:f>
        <x:v>0</x:v>
      </x:c>
      <x:c r="BE24" s="117" t="n">
        <x:f>SUM('CF_1'!BE50,'CF_2'!BE50,'CF_3'!BE50)</x:f>
        <x:v>0</x:v>
      </x:c>
      <x:c r="BF24" s="117" t="n">
        <x:f>SUM('CF_1'!BF50,'CF_2'!BF50,'CF_3'!BF50)</x:f>
        <x:v>0</x:v>
      </x:c>
      <x:c r="BG24" s="117" t="n">
        <x:f>SUM('CF_1'!BG50,'CF_2'!BG50,'CF_3'!BG50)</x:f>
        <x:v>0</x:v>
      </x:c>
      <x:c r="BH24" s="117" t="n">
        <x:f>SUM('CF_1'!BH50,'CF_2'!BH50,'CF_3'!BH50)</x:f>
        <x:v>0</x:v>
      </x:c>
      <x:c r="BI24" s="117" t="n">
        <x:f>SUM('CF_1'!BI50,'CF_2'!BI50,'CF_3'!BI50)</x:f>
        <x:v>0</x:v>
      </x:c>
      <x:c r="BJ24" s="117" t="n">
        <x:f>SUM('CF_1'!BJ50,'CF_2'!BJ50,'CF_3'!BJ50)</x:f>
        <x:v>0</x:v>
      </x:c>
      <x:c r="BK24" s="117" t="n">
        <x:f>SUM('CF_1'!BK50,'CF_2'!BK50,'CF_3'!BK50)</x:f>
        <x:v>0</x:v>
      </x:c>
      <x:c r="BL24" s="117" t="n">
        <x:f>SUM('CF_1'!BL50,'CF_2'!BL50,'CF_3'!BL50)</x:f>
        <x:v>0</x:v>
      </x:c>
      <x:c r="BM24" s="117" t="n">
        <x:f>SUM('CF_1'!BM50,'CF_2'!BM50,'CF_3'!BM50)</x:f>
        <x:v>0</x:v>
      </x:c>
      <x:c r="BN24" s="117" t="n">
        <x:f>SUM('CF_1'!BN50,'CF_2'!BN50,'CF_3'!BN50)</x:f>
        <x:v>0</x:v>
      </x:c>
      <x:c r="BO24" s="117" t="n">
        <x:f>SUM('CF_1'!BO50,'CF_2'!BO50,'CF_3'!BO50)</x:f>
        <x:v>0</x:v>
      </x:c>
      <x:c r="BP24" s="117" t="n">
        <x:f>SUM('CF_1'!BP50,'CF_2'!BP50,'CF_3'!BP50)</x:f>
        <x:v>0</x:v>
      </x:c>
      <x:c r="BQ24" s="117" t="n">
        <x:f>SUM('CF_1'!BQ50,'CF_2'!BQ50,'CF_3'!BQ50)</x:f>
        <x:v>0</x:v>
      </x:c>
      <x:c r="BR24" s="117" t="n">
        <x:f>SUM('CF_1'!BR50,'CF_2'!BR50,'CF_3'!BR50)</x:f>
        <x:v>0</x:v>
      </x:c>
      <x:c r="BS24" s="117" t="n">
        <x:f>SUM('CF_1'!BS50,'CF_2'!BS50,'CF_3'!BS50)</x:f>
        <x:v>0</x:v>
      </x:c>
      <x:c r="BT24" s="117" t="n">
        <x:f>SUM('CF_1'!BT50,'CF_2'!BT50,'CF_3'!BT50)</x:f>
        <x:v>0</x:v>
      </x:c>
      <x:c r="BU24" s="117" t="n">
        <x:f>SUM('CF_1'!BU50,'CF_2'!BU50,'CF_3'!BU50)</x:f>
        <x:v>0</x:v>
      </x:c>
      <x:c r="BV24" s="117" t="n">
        <x:f>SUM('CF_1'!BV50,'CF_2'!BV50,'CF_3'!BV50)</x:f>
        <x:v>0</x:v>
      </x:c>
      <x:c r="BW24" s="117" t="n">
        <x:f>SUM('CF_1'!BW50,'CF_2'!BW50,'CF_3'!BW50)</x:f>
        <x:v>0</x:v>
      </x:c>
      <x:c r="BX24" s="117" t="n">
        <x:f>SUM('CF_1'!BX50,'CF_2'!BX50,'CF_3'!BX50)</x:f>
        <x:v>0</x:v>
      </x:c>
      <x:c r="BY24" s="117" t="n">
        <x:f>SUM('CF_1'!BY50,'CF_2'!BY50,'CF_3'!BY50)</x:f>
        <x:v>0</x:v>
      </x:c>
      <x:c r="BZ24" s="117" t="n">
        <x:f>SUM('CF_1'!BZ50,'CF_2'!BZ50,'CF_3'!BZ50)</x:f>
        <x:v>0</x:v>
      </x:c>
      <x:c r="CA24" s="117" t="n">
        <x:f>SUM('CF_1'!CA50,'CF_2'!CA50,'CF_3'!CA50)</x:f>
        <x:v>0</x:v>
      </x:c>
      <x:c r="CB24" s="117" t="n">
        <x:f>SUM('CF_1'!CB50,'CF_2'!CB50,'CF_3'!CB50)</x:f>
        <x:v>0</x:v>
      </x:c>
      <x:c r="CC24" s="117" t="n">
        <x:f>SUM('CF_1'!CC50,'CF_2'!CC50,'CF_3'!CC50)</x:f>
        <x:v>0</x:v>
      </x:c>
      <x:c r="CD24" s="117" t="n">
        <x:f>SUM('CF_1'!CD50,'CF_2'!CD50,'CF_3'!CD50)</x:f>
        <x:v>0</x:v>
      </x:c>
      <x:c r="CE24" s="117" t="n">
        <x:f>SUM('CF_1'!CE50,'CF_2'!CE50,'CF_3'!CE50)</x:f>
        <x:v>0</x:v>
      </x:c>
      <x:c r="CF24" s="117" t="n">
        <x:f>SUM('CF_1'!CF50,'CF_2'!CF50,'CF_3'!CF50)</x:f>
        <x:v>0</x:v>
      </x:c>
      <x:c r="CG24" s="117" t="n">
        <x:f>SUM('CF_1'!CG50,'CF_2'!CG50,'CF_3'!CG50)</x:f>
        <x:v>0</x:v>
      </x:c>
      <x:c r="CH24" s="117" t="n">
        <x:f>SUM('CF_1'!CH50,'CF_2'!CH50,'CF_3'!CH50)</x:f>
        <x:v>0</x:v>
      </x:c>
      <x:c r="CI24" s="117" t="n">
        <x:f>SUM('CF_1'!CI50,'CF_2'!CI50,'CF_3'!CI50)</x:f>
        <x:v>0</x:v>
      </x:c>
      <x:c r="CJ24" s="117" t="n">
        <x:f>SUM('CF_1'!CJ50,'CF_2'!CJ50,'CF_3'!CJ50)</x:f>
        <x:v>0</x:v>
      </x:c>
      <x:c r="CK24" s="117" t="n">
        <x:f>SUM('CF_1'!CK50,'CF_2'!CK50,'CF_3'!CK50)</x:f>
        <x:v>0</x:v>
      </x:c>
      <x:c r="CL24" s="117" t="n">
        <x:f>SUM('CF_1'!CL50,'CF_2'!CL50,'CF_3'!CL50)</x:f>
        <x:v>0</x:v>
      </x:c>
      <x:c r="CM24" s="117" t="n">
        <x:f>SUM('CF_1'!CM50,'CF_2'!CM50,'CF_3'!CM50)</x:f>
        <x:v>0</x:v>
      </x:c>
      <x:c r="CN24" s="117" t="n">
        <x:f>SUM('CF_1'!CN50,'CF_2'!CN50,'CF_3'!CN50)</x:f>
        <x:v>0</x:v>
      </x:c>
      <x:c r="CO24" s="117" t="n">
        <x:f>SUM('CF_1'!CO50,'CF_2'!CO50,'CF_3'!CO50)</x:f>
        <x:v>0</x:v>
      </x:c>
      <x:c r="CP24" s="117" t="n">
        <x:f>SUM('CF_1'!CP50,'CF_2'!CP50,'CF_3'!CP50)</x:f>
        <x:v>0</x:v>
      </x:c>
      <x:c r="CQ24" s="117" t="n">
        <x:f>SUM('CF_1'!CQ50,'CF_2'!CQ50,'CF_3'!CQ50)</x:f>
        <x:v>0</x:v>
      </x:c>
      <x:c r="CR24" s="117" t="n">
        <x:f>SUM('CF_1'!CR50,'CF_2'!CR50,'CF_3'!CR50)</x:f>
        <x:v>0</x:v>
      </x:c>
      <x:c r="CS24" s="117" t="n">
        <x:f>SUM('CF_1'!CS50,'CF_2'!CS50,'CF_3'!CS50)</x:f>
        <x:v>0</x:v>
      </x:c>
      <x:c r="CT24" s="117" t="n">
        <x:f>SUM('CF_1'!CT50,'CF_2'!CT50,'CF_3'!CT50)</x:f>
        <x:v>0</x:v>
      </x:c>
      <x:c r="CU24" s="117" t="n">
        <x:f>SUM('CF_1'!CU50,'CF_2'!CU50,'CF_3'!CU50)</x:f>
        <x:v>0</x:v>
      </x:c>
      <x:c r="CV24" s="117" t="n">
        <x:f>SUM('CF_1'!CV50,'CF_2'!CV50,'CF_3'!CV50)</x:f>
        <x:v>0</x:v>
      </x:c>
      <x:c r="CW24" s="117" t="n">
        <x:f>SUM('CF_1'!CW50,'CF_2'!CW50,'CF_3'!CW50)</x:f>
        <x:v>0</x:v>
      </x:c>
      <x:c r="CX24" s="117" t="n">
        <x:f>SUM('CF_1'!CX50,'CF_2'!CX50,'CF_3'!CX50)</x:f>
        <x:v>0</x:v>
      </x:c>
      <x:c r="CY24" s="117" t="n">
        <x:f>SUM('CF_1'!CY50,'CF_2'!CY50,'CF_3'!CY50)</x:f>
        <x:v>0</x:v>
      </x:c>
      <x:c r="CZ24" s="117" t="n">
        <x:f>SUM('CF_1'!CZ50,'CF_2'!CZ50,'CF_3'!CZ50)</x:f>
        <x:v>0</x:v>
      </x:c>
      <x:c r="DA24" s="117" t="n">
        <x:f>SUM('CF_1'!DA50,'CF_2'!DA50,'CF_3'!DA50)</x:f>
        <x:v>0</x:v>
      </x:c>
      <x:c r="DB24" s="117" t="n">
        <x:f>SUM('CF_1'!DB50,'CF_2'!DB50,'CF_3'!DB50)</x:f>
        <x:v>0</x:v>
      </x:c>
      <x:c r="DC24" s="117" t="n">
        <x:f>SUM('CF_1'!DC50,'CF_2'!DC50,'CF_3'!DC50)</x:f>
        <x:v>0</x:v>
      </x:c>
      <x:c r="DD24" s="117" t="n">
        <x:f>SUM('CF_1'!DD50,'CF_2'!DD50,'CF_3'!DD50)</x:f>
        <x:v>0</x:v>
      </x:c>
      <x:c r="DE24" s="117" t="n">
        <x:f>SUM('CF_1'!DE50,'CF_2'!DE50,'CF_3'!DE50)</x:f>
        <x:v>0</x:v>
      </x:c>
      <x:c r="DF24" s="117" t="n">
        <x:f>SUM('CF_1'!DF50,'CF_2'!DF50,'CF_3'!DF50)</x:f>
        <x:v>0</x:v>
      </x:c>
      <x:c r="DG24" s="117" t="n">
        <x:f>SUM('CF_1'!DG50,'CF_2'!DG50,'CF_3'!DG50)</x:f>
        <x:v>0</x:v>
      </x:c>
      <x:c r="DH24" s="117" t="n">
        <x:f>SUM('CF_1'!DH50,'CF_2'!DH50,'CF_3'!DH50)</x:f>
        <x:v>0</x:v>
      </x:c>
      <x:c r="DI24" s="117" t="n">
        <x:f>SUM('CF_1'!DI50,'CF_2'!DI50,'CF_3'!DI50)</x:f>
        <x:v>0</x:v>
      </x:c>
      <x:c r="DJ24" s="117" t="n">
        <x:f>SUM('CF_1'!DJ50,'CF_2'!DJ50,'CF_3'!DJ50)</x:f>
        <x:v>0</x:v>
      </x:c>
      <x:c r="DK24" s="117" t="n">
        <x:f>SUM('CF_1'!DK50,'CF_2'!DK50,'CF_3'!DK50)</x:f>
        <x:v>0</x:v>
      </x:c>
      <x:c r="DL24" s="117" t="n">
        <x:f>SUM('CF_1'!DL50,'CF_2'!DL50,'CF_3'!DL50)</x:f>
        <x:v>0</x:v>
      </x:c>
      <x:c r="DM24" s="117" t="n">
        <x:f>SUM('CF_1'!DM50,'CF_2'!DM50,'CF_3'!DM50)</x:f>
        <x:v>0</x:v>
      </x:c>
      <x:c r="DN24" s="117" t="n">
        <x:f>SUM('CF_1'!DN50,'CF_2'!DN50,'CF_3'!DN50)</x:f>
        <x:v>0</x:v>
      </x:c>
      <x:c r="DO24" s="117" t="n">
        <x:f>SUM('CF_1'!DO50,'CF_2'!DO50,'CF_3'!DO50)</x:f>
        <x:v>0</x:v>
      </x:c>
      <x:c r="DP24" s="117" t="n">
        <x:f>SUM('CF_1'!DP50,'CF_2'!DP50,'CF_3'!DP50)</x:f>
        <x:v>0</x:v>
      </x:c>
      <x:c r="DQ24" s="117" t="n">
        <x:f>SUM('CF_1'!DQ50,'CF_2'!DQ50,'CF_3'!DQ50)</x:f>
        <x:v>0</x:v>
      </x:c>
      <x:c r="DR24" s="117" t="n">
        <x:f>SUM('CF_1'!DR50,'CF_2'!DR50,'CF_3'!DR50)</x:f>
        <x:v>0</x:v>
      </x:c>
      <x:c r="DS24" s="117" t="n">
        <x:f>SUM('CF_1'!DS50,'CF_2'!DS50,'CF_3'!DS50)</x:f>
        <x:v>0</x:v>
      </x:c>
    </x:row>
    <x:row r="25">
      <x:c r="A25" s="113" t="str">
        <x:v>Чистый CF собственного капитала</x:v>
      </x:c>
      <x:c r="B25" s="113" t="n">
        <x:f>SUM(D25:DS25)</x:f>
        <x:v>778.9924997409198</x:v>
      </x:c>
      <x:c r="C25" s="113" t="str">
        <x:v>млн ₽</x:v>
      </x:c>
      <x:c r="D25" s="120" t="n">
        <x:f>SUM('CF_1'!D51,'CF_2'!D51,'CF_3'!D51)</x:f>
        <x:v>0</x:v>
      </x:c>
      <x:c r="E25" s="120" t="n">
        <x:f>SUM('CF_1'!E51,'CF_2'!E51,'CF_3'!E51)</x:f>
        <x:v>0</x:v>
      </x:c>
      <x:c r="F25" s="120" t="n">
        <x:f>SUM('CF_1'!F51,'CF_2'!F51,'CF_3'!F51)</x:f>
        <x:v>0</x:v>
      </x:c>
      <x:c r="G25" s="120" t="n">
        <x:f>SUM('CF_1'!G51,'CF_2'!G51,'CF_3'!G51)</x:f>
        <x:v>0</x:v>
      </x:c>
      <x:c r="H25" s="120" t="n">
        <x:f>SUM('CF_1'!H51,'CF_2'!H51,'CF_3'!H51)</x:f>
        <x:v>0</x:v>
      </x:c>
      <x:c r="I25" s="120" t="n">
        <x:f>SUM('CF_1'!I51,'CF_2'!I51,'CF_3'!I51)</x:f>
        <x:v>0</x:v>
      </x:c>
      <x:c r="J25" s="120" t="n">
        <x:f>SUM('CF_1'!J51,'CF_2'!J51,'CF_3'!J51)</x:f>
        <x:v>0</x:v>
      </x:c>
      <x:c r="K25" s="120" t="n">
        <x:f>SUM('CF_1'!K51,'CF_2'!K51,'CF_3'!K51)</x:f>
        <x:v>0</x:v>
      </x:c>
      <x:c r="L25" s="120" t="n">
        <x:f>SUM('CF_1'!L51,'CF_2'!L51,'CF_3'!L51)</x:f>
        <x:v>0</x:v>
      </x:c>
      <x:c r="M25" s="120" t="n">
        <x:f>SUM('CF_1'!M51,'CF_2'!M51,'CF_3'!M51)</x:f>
        <x:v>0</x:v>
      </x:c>
      <x:c r="N25" s="120" t="n">
        <x:f>SUM('CF_1'!N51,'CF_2'!N51,'CF_3'!N51)</x:f>
        <x:v>0</x:v>
      </x:c>
      <x:c r="O25" s="120" t="n">
        <x:f>SUM('CF_1'!O51,'CF_2'!O51,'CF_3'!O51)</x:f>
        <x:v>0</x:v>
      </x:c>
      <x:c r="P25" s="120" t="n">
        <x:f>SUM('CF_1'!P51,'CF_2'!P51,'CF_3'!P51)</x:f>
        <x:v>0</x:v>
      </x:c>
      <x:c r="Q25" s="120" t="n">
        <x:f>SUM('CF_1'!Q51,'CF_2'!Q51,'CF_3'!Q51)</x:f>
        <x:v>0</x:v>
      </x:c>
      <x:c r="R25" s="120" t="n">
        <x:f>SUM('CF_1'!R51,'CF_2'!R51,'CF_3'!R51)</x:f>
        <x:v>0</x:v>
      </x:c>
      <x:c r="S25" s="120" t="n">
        <x:f>SUM('CF_1'!S51,'CF_2'!S51,'CF_3'!S51)</x:f>
        <x:v>0</x:v>
      </x:c>
      <x:c r="T25" s="120" t="n">
        <x:f>SUM('CF_1'!T51,'CF_2'!T51,'CF_3'!T51)</x:f>
        <x:v>0</x:v>
      </x:c>
      <x:c r="U25" s="120" t="n">
        <x:f>SUM('CF_1'!U51,'CF_2'!U51,'CF_3'!U51)</x:f>
        <x:v>0</x:v>
      </x:c>
      <x:c r="V25" s="120" t="n">
        <x:f>SUM('CF_1'!V51,'CF_2'!V51,'CF_3'!V51)</x:f>
        <x:v>-55.683333333333394</x:v>
      </x:c>
      <x:c r="W25" s="120" t="n">
        <x:f>SUM('CF_1'!W51,'CF_2'!W51,'CF_3'!W51)</x:f>
        <x:v>-37.55277917561082</x:v>
      </x:c>
      <x:c r="X25" s="120" t="n">
        <x:f>SUM('CF_1'!X51,'CF_2'!X51,'CF_3'!X51)</x:f>
        <x:v>-36.19021065467447</x:v>
      </x:c>
      <x:c r="Y25" s="120" t="n">
        <x:f>SUM('CF_1'!Y51,'CF_2'!Y51,'CF_3'!Y51)</x:f>
        <x:v>-34.86724983170441</x:v>
      </x:c>
      <x:c r="Z25" s="120" t="n">
        <x:f>SUM('CF_1'!Z51,'CF_2'!Z51,'CF_3'!Z51)</x:f>
        <x:v>-33.54308570395858</x:v>
      </x:c>
      <x:c r="AA25" s="120" t="n">
        <x:f>SUM('CF_1'!AA51,'CF_2'!AA51,'CF_3'!AA51)</x:f>
        <x:v>-33.906104455744355</x:v>
      </x:c>
      <x:c r="AB25" s="120" t="n">
        <x:f>SUM('CF_1'!AB51,'CF_2'!AB51,'CF_3'!AB51)</x:f>
        <x:v>-34.67294594028124</x:v>
      </x:c>
      <x:c r="AC25" s="120" t="n">
        <x:f>SUM('CF_1'!AC51,'CF_2'!AC51,'CF_3'!AC51)</x:f>
        <x:v>-35.22988110183718</x:v>
      </x:c>
      <x:c r="AD25" s="120" t="n">
        <x:f>SUM('CF_1'!AD51,'CF_2'!AD51,'CF_3'!AD51)</x:f>
        <x:v>-35.76247684393303</x:v>
      </x:c>
      <x:c r="AE25" s="120" t="n">
        <x:f>SUM('CF_1'!AE51,'CF_2'!AE51,'CF_3'!AE51)</x:f>
        <x:v>-36.223244270062764</x:v>
      </x:c>
      <x:c r="AF25" s="120" t="n">
        <x:f>SUM('CF_1'!AF51,'CF_2'!AF51,'CF_3'!AF51)</x:f>
        <x:v>-37.10986017574061</x:v>
      </x:c>
      <x:c r="AG25" s="120" t="n">
        <x:f>SUM('CF_1'!AG51,'CF_2'!AG51,'CF_3'!AG51)</x:f>
        <x:v>-37.88304806338073</x:v>
      </x:c>
      <x:c r="AH25" s="120" t="n">
        <x:f>SUM('CF_1'!AH51,'CF_2'!AH51,'CF_3'!AH51)</x:f>
        <x:v>-38.59045852751518</x:v>
      </x:c>
      <x:c r="AI25" s="120" t="n">
        <x:f>SUM('CF_1'!AI51,'CF_2'!AI51,'CF_3'!AI51)</x:f>
        <x:v>-39.23043726594295</x:v>
      </x:c>
      <x:c r="AJ25" s="120" t="n">
        <x:f>SUM('CF_1'!AJ51,'CF_2'!AJ51,'CF_3'!AJ51)</x:f>
        <x:v>-39.2496294860627</x:v>
      </x:c>
      <x:c r="AK25" s="120" t="n">
        <x:f>SUM('CF_1'!AK51,'CF_2'!AK51,'CF_3'!AK51)</x:f>
        <x:v>-39.23986013442499</x:v>
      </x:c>
      <x:c r="AL25" s="120" t="n">
        <x:f>SUM('CF_1'!AL51,'CF_2'!AL51,'CF_3'!AL51)</x:f>
        <x:v>-39.144621984713865</x:v>
      </x:c>
      <x:c r="AM25" s="120" t="n">
        <x:f>SUM('CF_1'!AM51,'CF_2'!AM51,'CF_3'!AM51)</x:f>
        <x:v>-38.96176549665768</x:v>
      </x:c>
      <x:c r="AN25" s="120" t="n">
        <x:f>SUM('CF_1'!AN51,'CF_2'!AN51,'CF_3'!AN51)</x:f>
        <x:v>-39.29837178122693</x:v>
      </x:c>
      <x:c r="AO25" s="120" t="n">
        <x:f>SUM('CF_1'!AO51,'CF_2'!AO51,'CF_3'!AO51)</x:f>
        <x:v>-38.8720069380507</x:v>
      </x:c>
      <x:c r="AP25" s="120" t="n">
        <x:f>SUM('CF_1'!AP51,'CF_2'!AP51,'CF_3'!AP51)</x:f>
        <x:v>-37.30692982782034</x:v>
      </x:c>
      <x:c r="AQ25" s="120" t="n">
        <x:f>SUM('CF_1'!AQ51,'CF_2'!AQ51,'CF_3'!AQ51)</x:f>
        <x:v>-35.832268446778755</x:v>
      </x:c>
      <x:c r="AR25" s="120" t="n">
        <x:f>SUM('CF_1'!AR51,'CF_2'!AR51,'CF_3'!AR51)</x:f>
        <x:v>-36.84388883206856</x:v>
      </x:c>
      <x:c r="AS25" s="120" t="n">
        <x:f>SUM('CF_1'!AS51,'CF_2'!AS51,'CF_3'!AS51)</x:f>
        <x:v>-123.36507074644607</x:v>
      </x:c>
      <x:c r="AT25" s="120" t="n">
        <x:f>SUM('CF_1'!AT51,'CF_2'!AT51,'CF_3'!AT51)</x:f>
        <x:v>422.1359021663775</x:v>
      </x:c>
      <x:c r="AU25" s="120" t="n">
        <x:f>SUM('CF_1'!AU51,'CF_2'!AU51,'CF_3'!AU51)</x:f>
        <x:v>297.9430847032186</x:v>
      </x:c>
      <x:c r="AV25" s="120" t="n">
        <x:f>SUM('CF_1'!AV51,'CF_2'!AV51,'CF_3'!AV51)</x:f>
        <x:v>335.41805076279314</x:v>
      </x:c>
      <x:c r="AW25" s="120" t="n">
        <x:f>SUM('CF_1'!AW51,'CF_2'!AW51,'CF_3'!AW51)</x:f>
        <x:v>270.17979567640174</x:v>
      </x:c>
      <x:c r="AX25" s="120" t="n">
        <x:f>SUM('CF_1'!AX51,'CF_2'!AX51,'CF_3'!AX51)</x:f>
        <x:v>273.60403417974857</x:v>
      </x:c>
      <x:c r="AY25" s="120" t="n">
        <x:f>SUM('CF_1'!AY51,'CF_2'!AY51,'CF_3'!AY51)</x:f>
        <x:v>277.07116127034993</x:v>
      </x:c>
      <x:c r="AZ25" s="120" t="n">
        <x:f>SUM('CF_1'!AZ51,'CF_2'!AZ51,'CF_3'!AZ51)</x:f>
        <x:v>-4.283333333333333</x:v>
      </x:c>
      <x:c r="BA25" s="120" t="n">
        <x:f>SUM('CF_1'!BA51,'CF_2'!BA51,'CF_3'!BA51)</x:f>
        <x:v>-4.283333333333333</x:v>
      </x:c>
      <x:c r="BB25" s="120" t="n">
        <x:f>SUM('CF_1'!BB51,'CF_2'!BB51,'CF_3'!BB51)</x:f>
        <x:v>-4.283333333333333</x:v>
      </x:c>
      <x:c r="BC25" s="120" t="n">
        <x:f>SUM('CF_1'!BC51,'CF_2'!BC51,'CF_3'!BC51)</x:f>
        <x:v>-4.283333333333333</x:v>
      </x:c>
      <x:c r="BD25" s="120" t="n">
        <x:f>SUM('CF_1'!BD51,'CF_2'!BD51,'CF_3'!BD51)</x:f>
        <x:v>-4.283333333333333</x:v>
      </x:c>
      <x:c r="BE25" s="120" t="n">
        <x:f>SUM('CF_1'!BE51,'CF_2'!BE51,'CF_3'!BE51)</x:f>
        <x:v>-4.283333333333333</x:v>
      </x:c>
      <x:c r="BF25" s="120" t="n">
        <x:f>SUM('CF_1'!BF51,'CF_2'!BF51,'CF_3'!BF51)</x:f>
        <x:v>-4.283333333333333</x:v>
      </x:c>
      <x:c r="BG25" s="120" t="n">
        <x:f>SUM('CF_1'!BG51,'CF_2'!BG51,'CF_3'!BG51)</x:f>
        <x:v>-4.283333333333333</x:v>
      </x:c>
      <x:c r="BH25" s="120" t="n">
        <x:f>SUM('CF_1'!BH51,'CF_2'!BH51,'CF_3'!BH51)</x:f>
        <x:v>-4.283333333333333</x:v>
      </x:c>
      <x:c r="BI25" s="120" t="n">
        <x:f>SUM('CF_1'!BI51,'CF_2'!BI51,'CF_3'!BI51)</x:f>
        <x:v>-4.283333333333333</x:v>
      </x:c>
      <x:c r="BJ25" s="120" t="n">
        <x:f>SUM('CF_1'!BJ51,'CF_2'!BJ51,'CF_3'!BJ51)</x:f>
        <x:v>-4.283333333333333</x:v>
      </x:c>
      <x:c r="BK25" s="120" t="n">
        <x:f>SUM('CF_1'!BK51,'CF_2'!BK51,'CF_3'!BK51)</x:f>
        <x:v>-4.283333333333333</x:v>
      </x:c>
      <x:c r="BL25" s="120" t="n">
        <x:f>SUM('CF_1'!BL51,'CF_2'!BL51,'CF_3'!BL51)</x:f>
        <x:v>-4.283333333333333</x:v>
      </x:c>
      <x:c r="BM25" s="120" t="n">
        <x:f>SUM('CF_1'!BM51,'CF_2'!BM51,'CF_3'!BM51)</x:f>
        <x:v>-4.283333333333333</x:v>
      </x:c>
      <x:c r="BN25" s="120" t="n">
        <x:f>SUM('CF_1'!BN51,'CF_2'!BN51,'CF_3'!BN51)</x:f>
        <x:v>-4.283333333333333</x:v>
      </x:c>
      <x:c r="BO25" s="120" t="n">
        <x:f>SUM('CF_1'!BO51,'CF_2'!BO51,'CF_3'!BO51)</x:f>
        <x:v>-4.283333333333333</x:v>
      </x:c>
      <x:c r="BP25" s="120" t="n">
        <x:f>SUM('CF_1'!BP51,'CF_2'!BP51,'CF_3'!BP51)</x:f>
        <x:v>-4.283333333333333</x:v>
      </x:c>
      <x:c r="BQ25" s="120" t="n">
        <x:f>SUM('CF_1'!BQ51,'CF_2'!BQ51,'CF_3'!BQ51)</x:f>
        <x:v>-4.283333333333333</x:v>
      </x:c>
      <x:c r="BR25" s="120" t="n">
        <x:f>SUM('CF_1'!BR51,'CF_2'!BR51,'CF_3'!BR51)</x:f>
        <x:v>-4.283333333333333</x:v>
      </x:c>
      <x:c r="BS25" s="120" t="n">
        <x:f>SUM('CF_1'!BS51,'CF_2'!BS51,'CF_3'!BS51)</x:f>
        <x:v>-4.283333333333333</x:v>
      </x:c>
      <x:c r="BT25" s="120" t="n">
        <x:f>SUM('CF_1'!BT51,'CF_2'!BT51,'CF_3'!BT51)</x:f>
        <x:v>-4.283333333333333</x:v>
      </x:c>
      <x:c r="BU25" s="120" t="n">
        <x:f>SUM('CF_1'!BU51,'CF_2'!BU51,'CF_3'!BU51)</x:f>
        <x:v>-4.283333333333333</x:v>
      </x:c>
      <x:c r="BV25" s="120" t="n">
        <x:f>SUM('CF_1'!BV51,'CF_2'!BV51,'CF_3'!BV51)</x:f>
        <x:v>-4.283333333333333</x:v>
      </x:c>
      <x:c r="BW25" s="120" t="n">
        <x:f>SUM('CF_1'!BW51,'CF_2'!BW51,'CF_3'!BW51)</x:f>
        <x:v>-4.283333333333333</x:v>
      </x:c>
      <x:c r="BX25" s="120" t="n">
        <x:f>SUM('CF_1'!BX51,'CF_2'!BX51,'CF_3'!BX51)</x:f>
        <x:v>0</x:v>
      </x:c>
      <x:c r="BY25" s="120" t="n">
        <x:f>SUM('CF_1'!BY51,'CF_2'!BY51,'CF_3'!BY51)</x:f>
        <x:v>0</x:v>
      </x:c>
      <x:c r="BZ25" s="120" t="n">
        <x:f>SUM('CF_1'!BZ51,'CF_2'!BZ51,'CF_3'!BZ51)</x:f>
        <x:v>0</x:v>
      </x:c>
      <x:c r="CA25" s="120" t="n">
        <x:f>SUM('CF_1'!CA51,'CF_2'!CA51,'CF_3'!CA51)</x:f>
        <x:v>0</x:v>
      </x:c>
      <x:c r="CB25" s="120" t="n">
        <x:f>SUM('CF_1'!CB51,'CF_2'!CB51,'CF_3'!CB51)</x:f>
        <x:v>0</x:v>
      </x:c>
      <x:c r="CC25" s="120" t="n">
        <x:f>SUM('CF_1'!CC51,'CF_2'!CC51,'CF_3'!CC51)</x:f>
        <x:v>0</x:v>
      </x:c>
      <x:c r="CD25" s="120" t="n">
        <x:f>SUM('CF_1'!CD51,'CF_2'!CD51,'CF_3'!CD51)</x:f>
        <x:v>0</x:v>
      </x:c>
      <x:c r="CE25" s="120" t="n">
        <x:f>SUM('CF_1'!CE51,'CF_2'!CE51,'CF_3'!CE51)</x:f>
        <x:v>0</x:v>
      </x:c>
      <x:c r="CF25" s="120" t="n">
        <x:f>SUM('CF_1'!CF51,'CF_2'!CF51,'CF_3'!CF51)</x:f>
        <x:v>0</x:v>
      </x:c>
      <x:c r="CG25" s="120" t="n">
        <x:f>SUM('CF_1'!CG51,'CF_2'!CG51,'CF_3'!CG51)</x:f>
        <x:v>0</x:v>
      </x:c>
      <x:c r="CH25" s="120" t="n">
        <x:f>SUM('CF_1'!CH51,'CF_2'!CH51,'CF_3'!CH51)</x:f>
        <x:v>0</x:v>
      </x:c>
      <x:c r="CI25" s="120" t="n">
        <x:f>SUM('CF_1'!CI51,'CF_2'!CI51,'CF_3'!CI51)</x:f>
        <x:v>0</x:v>
      </x:c>
      <x:c r="CJ25" s="120" t="n">
        <x:f>SUM('CF_1'!CJ51,'CF_2'!CJ51,'CF_3'!CJ51)</x:f>
        <x:v>0</x:v>
      </x:c>
      <x:c r="CK25" s="120" t="n">
        <x:f>SUM('CF_1'!CK51,'CF_2'!CK51,'CF_3'!CK51)</x:f>
        <x:v>0</x:v>
      </x:c>
      <x:c r="CL25" s="120" t="n">
        <x:f>SUM('CF_1'!CL51,'CF_2'!CL51,'CF_3'!CL51)</x:f>
        <x:v>0</x:v>
      </x:c>
      <x:c r="CM25" s="120" t="n">
        <x:f>SUM('CF_1'!CM51,'CF_2'!CM51,'CF_3'!CM51)</x:f>
        <x:v>0</x:v>
      </x:c>
      <x:c r="CN25" s="120" t="n">
        <x:f>SUM('CF_1'!CN51,'CF_2'!CN51,'CF_3'!CN51)</x:f>
        <x:v>0</x:v>
      </x:c>
      <x:c r="CO25" s="120" t="n">
        <x:f>SUM('CF_1'!CO51,'CF_2'!CO51,'CF_3'!CO51)</x:f>
        <x:v>0</x:v>
      </x:c>
      <x:c r="CP25" s="120" t="n">
        <x:f>SUM('CF_1'!CP51,'CF_2'!CP51,'CF_3'!CP51)</x:f>
        <x:v>0</x:v>
      </x:c>
      <x:c r="CQ25" s="120" t="n">
        <x:f>SUM('CF_1'!CQ51,'CF_2'!CQ51,'CF_3'!CQ51)</x:f>
        <x:v>0</x:v>
      </x:c>
      <x:c r="CR25" s="120" t="n">
        <x:f>SUM('CF_1'!CR51,'CF_2'!CR51,'CF_3'!CR51)</x:f>
        <x:v>0</x:v>
      </x:c>
      <x:c r="CS25" s="120" t="n">
        <x:f>SUM('CF_1'!CS51,'CF_2'!CS51,'CF_3'!CS51)</x:f>
        <x:v>0</x:v>
      </x:c>
      <x:c r="CT25" s="120" t="n">
        <x:f>SUM('CF_1'!CT51,'CF_2'!CT51,'CF_3'!CT51)</x:f>
        <x:v>0</x:v>
      </x:c>
      <x:c r="CU25" s="120" t="n">
        <x:f>SUM('CF_1'!CU51,'CF_2'!CU51,'CF_3'!CU51)</x:f>
        <x:v>0</x:v>
      </x:c>
      <x:c r="CV25" s="120" t="n">
        <x:f>SUM('CF_1'!CV51,'CF_2'!CV51,'CF_3'!CV51)</x:f>
        <x:v>0</x:v>
      </x:c>
      <x:c r="CW25" s="120" t="n">
        <x:f>SUM('CF_1'!CW51,'CF_2'!CW51,'CF_3'!CW51)</x:f>
        <x:v>0</x:v>
      </x:c>
      <x:c r="CX25" s="120" t="n">
        <x:f>SUM('CF_1'!CX51,'CF_2'!CX51,'CF_3'!CX51)</x:f>
        <x:v>0</x:v>
      </x:c>
      <x:c r="CY25" s="120" t="n">
        <x:f>SUM('CF_1'!CY51,'CF_2'!CY51,'CF_3'!CY51)</x:f>
        <x:v>0</x:v>
      </x:c>
      <x:c r="CZ25" s="120" t="n">
        <x:f>SUM('CF_1'!CZ51,'CF_2'!CZ51,'CF_3'!CZ51)</x:f>
        <x:v>0</x:v>
      </x:c>
      <x:c r="DA25" s="120" t="n">
        <x:f>SUM('CF_1'!DA51,'CF_2'!DA51,'CF_3'!DA51)</x:f>
        <x:v>0</x:v>
      </x:c>
      <x:c r="DB25" s="120" t="n">
        <x:f>SUM('CF_1'!DB51,'CF_2'!DB51,'CF_3'!DB51)</x:f>
        <x:v>0</x:v>
      </x:c>
      <x:c r="DC25" s="120" t="n">
        <x:f>SUM('CF_1'!DC51,'CF_2'!DC51,'CF_3'!DC51)</x:f>
        <x:v>0</x:v>
      </x:c>
      <x:c r="DD25" s="120" t="n">
        <x:f>SUM('CF_1'!DD51,'CF_2'!DD51,'CF_3'!DD51)</x:f>
        <x:v>0</x:v>
      </x:c>
      <x:c r="DE25" s="120" t="n">
        <x:f>SUM('CF_1'!DE51,'CF_2'!DE51,'CF_3'!DE51)</x:f>
        <x:v>0</x:v>
      </x:c>
      <x:c r="DF25" s="120" t="n">
        <x:f>SUM('CF_1'!DF51,'CF_2'!DF51,'CF_3'!DF51)</x:f>
        <x:v>0</x:v>
      </x:c>
      <x:c r="DG25" s="120" t="n">
        <x:f>SUM('CF_1'!DG51,'CF_2'!DG51,'CF_3'!DG51)</x:f>
        <x:v>0</x:v>
      </x:c>
      <x:c r="DH25" s="120" t="n">
        <x:f>SUM('CF_1'!DH51,'CF_2'!DH51,'CF_3'!DH51)</x:f>
        <x:v>0</x:v>
      </x:c>
      <x:c r="DI25" s="120" t="n">
        <x:f>SUM('CF_1'!DI51,'CF_2'!DI51,'CF_3'!DI51)</x:f>
        <x:v>0</x:v>
      </x:c>
      <x:c r="DJ25" s="120" t="n">
        <x:f>SUM('CF_1'!DJ51,'CF_2'!DJ51,'CF_3'!DJ51)</x:f>
        <x:v>0</x:v>
      </x:c>
      <x:c r="DK25" s="120" t="n">
        <x:f>SUM('CF_1'!DK51,'CF_2'!DK51,'CF_3'!DK51)</x:f>
        <x:v>0</x:v>
      </x:c>
      <x:c r="DL25" s="120" t="n">
        <x:f>SUM('CF_1'!DL51,'CF_2'!DL51,'CF_3'!DL51)</x:f>
        <x:v>0</x:v>
      </x:c>
      <x:c r="DM25" s="120" t="n">
        <x:f>SUM('CF_1'!DM51,'CF_2'!DM51,'CF_3'!DM51)</x:f>
        <x:v>0</x:v>
      </x:c>
      <x:c r="DN25" s="120" t="n">
        <x:f>SUM('CF_1'!DN51,'CF_2'!DN51,'CF_3'!DN51)</x:f>
        <x:v>0</x:v>
      </x:c>
      <x:c r="DO25" s="120" t="n">
        <x:f>SUM('CF_1'!DO51,'CF_2'!DO51,'CF_3'!DO51)</x:f>
        <x:v>0</x:v>
      </x:c>
      <x:c r="DP25" s="120" t="n">
        <x:f>SUM('CF_1'!DP51,'CF_2'!DP51,'CF_3'!DP51)</x:f>
        <x:v>0</x:v>
      </x:c>
      <x:c r="DQ25" s="120" t="n">
        <x:f>SUM('CF_1'!DQ51,'CF_2'!DQ51,'CF_3'!DQ51)</x:f>
        <x:v>0</x:v>
      </x:c>
      <x:c r="DR25" s="120" t="n">
        <x:f>SUM('CF_1'!DR51,'CF_2'!DR51,'CF_3'!DR51)</x:f>
        <x:v>0</x:v>
      </x:c>
      <x:c r="DS25" s="120" t="n">
        <x:f>SUM('CF_1'!DS51,'CF_2'!DS51,'CF_3'!DS51)</x:f>
        <x:v>0</x:v>
      </x:c>
    </x:row>
    <x:row r="26">
      <x:c r="A26" t="str">
        <x:v>Накопленный CF капитала</x:v>
      </x:c>
      <x:c r="B26" t="n">
        <x:f>DS26</x:f>
        <x:v>778.9924997409198</x:v>
      </x:c>
      <x:c r="C26" t="str">
        <x:v>млн ₽</x:v>
      </x:c>
      <x:c r="D26" s="117" t="n">
        <x:f>D25</x:f>
        <x:v>0</x:v>
      </x:c>
      <x:c r="E26" s="117" t="n">
        <x:f>D26+E25</x:f>
        <x:v>0</x:v>
      </x:c>
      <x:c r="F26" s="117" t="n">
        <x:f>E26+F25</x:f>
        <x:v>0</x:v>
      </x:c>
      <x:c r="G26" s="117" t="n">
        <x:f>F26+G25</x:f>
        <x:v>0</x:v>
      </x:c>
      <x:c r="H26" s="117" t="n">
        <x:f>G26+H25</x:f>
        <x:v>0</x:v>
      </x:c>
      <x:c r="I26" s="117" t="n">
        <x:f>H26+I25</x:f>
        <x:v>0</x:v>
      </x:c>
      <x:c r="J26" s="117" t="n">
        <x:f>I26+J25</x:f>
        <x:v>0</x:v>
      </x:c>
      <x:c r="K26" s="117" t="n">
        <x:f>J26+K25</x:f>
        <x:v>0</x:v>
      </x:c>
      <x:c r="L26" s="117" t="n">
        <x:f>K26+L25</x:f>
        <x:v>0</x:v>
      </x:c>
      <x:c r="M26" s="117" t="n">
        <x:f>L26+M25</x:f>
        <x:v>0</x:v>
      </x:c>
      <x:c r="N26" s="117" t="n">
        <x:f>M26+N25</x:f>
        <x:v>0</x:v>
      </x:c>
      <x:c r="O26" s="117" t="n">
        <x:f>N26+O25</x:f>
        <x:v>0</x:v>
      </x:c>
      <x:c r="P26" s="117" t="n">
        <x:f>O26+P25</x:f>
        <x:v>0</x:v>
      </x:c>
      <x:c r="Q26" s="117" t="n">
        <x:f>P26+Q25</x:f>
        <x:v>0</x:v>
      </x:c>
      <x:c r="R26" s="117" t="n">
        <x:f>Q26+R25</x:f>
        <x:v>0</x:v>
      </x:c>
      <x:c r="S26" s="117" t="n">
        <x:f>R26+S25</x:f>
        <x:v>0</x:v>
      </x:c>
      <x:c r="T26" s="117" t="n">
        <x:f>S26+T25</x:f>
        <x:v>0</x:v>
      </x:c>
      <x:c r="U26" s="117" t="n">
        <x:f>T26+U25</x:f>
        <x:v>0</x:v>
      </x:c>
      <x:c r="V26" s="117" t="n">
        <x:f>U26+V25</x:f>
        <x:v>-55.683333333333394</x:v>
      </x:c>
      <x:c r="W26" s="117" t="n">
        <x:f>V26+W25</x:f>
        <x:v>-93.23611250894422</x:v>
      </x:c>
      <x:c r="X26" s="117" t="n">
        <x:f>W26+X25</x:f>
        <x:v>-129.4263231636187</x:v>
      </x:c>
      <x:c r="Y26" s="117" t="n">
        <x:f>X26+Y25</x:f>
        <x:v>-164.2935729953231</x:v>
      </x:c>
      <x:c r="Z26" s="117" t="n">
        <x:f>Y26+Z25</x:f>
        <x:v>-197.83665869928168</x:v>
      </x:c>
      <x:c r="AA26" s="117" t="n">
        <x:f>Z26+AA25</x:f>
        <x:v>-231.74276315502604</x:v>
      </x:c>
      <x:c r="AB26" s="117" t="n">
        <x:f>AA26+AB25</x:f>
        <x:v>-266.4157090953073</x:v>
      </x:c>
      <x:c r="AC26" s="117" t="n">
        <x:f>AB26+AC25</x:f>
        <x:v>-301.6455901971445</x:v>
      </x:c>
      <x:c r="AD26" s="117" t="n">
        <x:f>AC26+AD25</x:f>
        <x:v>-337.4080670410775</x:v>
      </x:c>
      <x:c r="AE26" s="117" t="n">
        <x:f>AD26+AE25</x:f>
        <x:v>-373.6313113111403</x:v>
      </x:c>
      <x:c r="AF26" s="117" t="n">
        <x:f>AE26+AF25</x:f>
        <x:v>-410.7411714868809</x:v>
      </x:c>
      <x:c r="AG26" s="117" t="n">
        <x:f>AF26+AG25</x:f>
        <x:v>-448.6242195502616</x:v>
      </x:c>
      <x:c r="AH26" s="117" t="n">
        <x:f>AG26+AH25</x:f>
        <x:v>-487.2146780777768</x:v>
      </x:c>
      <x:c r="AI26" s="117" t="n">
        <x:f>AH26+AI25</x:f>
        <x:v>-526.4451153437197</x:v>
      </x:c>
      <x:c r="AJ26" s="117" t="n">
        <x:f>AI26+AJ25</x:f>
        <x:v>-565.6947448297824</x:v>
      </x:c>
      <x:c r="AK26" s="117" t="n">
        <x:f>AJ26+AK25</x:f>
        <x:v>-604.9346049642074</x:v>
      </x:c>
      <x:c r="AL26" s="117" t="n">
        <x:f>AK26+AL25</x:f>
        <x:v>-644.0792269489214</x:v>
      </x:c>
      <x:c r="AM26" s="117" t="n">
        <x:f>AL26+AM25</x:f>
        <x:v>-683.040992445579</x:v>
      </x:c>
      <x:c r="AN26" s="117" t="n">
        <x:f>AM26+AN25</x:f>
        <x:v>-722.339364226806</x:v>
      </x:c>
      <x:c r="AO26" s="117" t="n">
        <x:f>AN26+AO25</x:f>
        <x:v>-761.2113711648567</x:v>
      </x:c>
      <x:c r="AP26" s="117" t="n">
        <x:f>AO26+AP25</x:f>
        <x:v>-798.518300992677</x:v>
      </x:c>
      <x:c r="AQ26" s="117" t="n">
        <x:f>AP26+AQ25</x:f>
        <x:v>-834.3505694394557</x:v>
      </x:c>
      <x:c r="AR26" s="117" t="n">
        <x:f>AQ26+AR25</x:f>
        <x:v>-871.1944582715244</x:v>
      </x:c>
      <x:c r="AS26" s="117" t="n">
        <x:f>AR26+AS25</x:f>
        <x:v>-994.5595290179704</x:v>
      </x:c>
      <x:c r="AT26" s="117" t="n">
        <x:f>AS26+AT25</x:f>
        <x:v>-572.4236268515929</x:v>
      </x:c>
      <x:c r="AU26" s="117" t="n">
        <x:f>AT26+AU25</x:f>
        <x:v>-274.4805421483743</x:v>
      </x:c>
      <x:c r="AV26" s="117" t="n">
        <x:f>AU26+AV25</x:f>
        <x:v>60.937508614418846</x:v>
      </x:c>
      <x:c r="AW26" s="117" t="n">
        <x:f>AV26+AW25</x:f>
        <x:v>331.1173042908206</x:v>
      </x:c>
      <x:c r="AX26" s="117" t="n">
        <x:f>AW26+AX25</x:f>
        <x:v>604.7213384705692</x:v>
      </x:c>
      <x:c r="AY26" s="117" t="n">
        <x:f>AX26+AY25</x:f>
        <x:v>881.7924997409191</x:v>
      </x:c>
      <x:c r="AZ26" s="117" t="n">
        <x:f>AY26+AZ25</x:f>
        <x:v>877.5091664075858</x:v>
      </x:c>
      <x:c r="BA26" s="117" t="n">
        <x:f>AZ26+BA25</x:f>
        <x:v>873.2258330742525</x:v>
      </x:c>
      <x:c r="BB26" s="117" t="n">
        <x:f>BA26+BB25</x:f>
        <x:v>868.9424997409192</x:v>
      </x:c>
      <x:c r="BC26" s="117" t="n">
        <x:f>BB26+BC25</x:f>
        <x:v>864.6591664075859</x:v>
      </x:c>
      <x:c r="BD26" s="117" t="n">
        <x:f>BC26+BD25</x:f>
        <x:v>860.3758330742526</x:v>
      </x:c>
      <x:c r="BE26" s="117" t="n">
        <x:f>BD26+BE25</x:f>
        <x:v>856.0924997409193</x:v>
      </x:c>
      <x:c r="BF26" s="117" t="n">
        <x:f>BE26+BF25</x:f>
        <x:v>851.809166407586</x:v>
      </x:c>
      <x:c r="BG26" s="117" t="n">
        <x:f>BF26+BG25</x:f>
        <x:v>847.5258330742527</x:v>
      </x:c>
      <x:c r="BH26" s="117" t="n">
        <x:f>BG26+BH25</x:f>
        <x:v>843.2424997409194</x:v>
      </x:c>
      <x:c r="BI26" s="117" t="n">
        <x:f>BH26+BI25</x:f>
        <x:v>838.959166407586</x:v>
      </x:c>
      <x:c r="BJ26" s="117" t="n">
        <x:f>BI26+BJ25</x:f>
        <x:v>834.6758330742528</x:v>
      </x:c>
      <x:c r="BK26" s="117" t="n">
        <x:f>BJ26+BK25</x:f>
        <x:v>830.3924997409194</x:v>
      </x:c>
      <x:c r="BL26" s="117" t="n">
        <x:f>BK26+BL25</x:f>
        <x:v>826.1091664075861</x:v>
      </x:c>
      <x:c r="BM26" s="117" t="n">
        <x:f>BL26+BM25</x:f>
        <x:v>821.8258330742528</x:v>
      </x:c>
      <x:c r="BN26" s="117" t="n">
        <x:f>BM26+BN25</x:f>
        <x:v>817.5424997409195</x:v>
      </x:c>
      <x:c r="BO26" s="117" t="n">
        <x:f>BN26+BO25</x:f>
        <x:v>813.2591664075862</x:v>
      </x:c>
      <x:c r="BP26" s="117" t="n">
        <x:f>BO26+BP25</x:f>
        <x:v>808.9758330742529</x:v>
      </x:c>
      <x:c r="BQ26" s="117" t="n">
        <x:f>BP26+BQ25</x:f>
        <x:v>804.6924997409196</x:v>
      </x:c>
      <x:c r="BR26" s="117" t="n">
        <x:f>BQ26+BR25</x:f>
        <x:v>800.4091664075863</x:v>
      </x:c>
      <x:c r="BS26" s="117" t="n">
        <x:f>BR26+BS25</x:f>
        <x:v>796.125833074253</x:v>
      </x:c>
      <x:c r="BT26" s="117" t="n">
        <x:f>BS26+BT25</x:f>
        <x:v>791.8424997409197</x:v>
      </x:c>
      <x:c r="BU26" s="117" t="n">
        <x:f>BT26+BU25</x:f>
        <x:v>787.5591664075864</x:v>
      </x:c>
      <x:c r="BV26" s="117" t="n">
        <x:f>BU26+BV25</x:f>
        <x:v>783.2758330742531</x:v>
      </x:c>
      <x:c r="BW26" s="117" t="n">
        <x:f>BV26+BW25</x:f>
        <x:v>778.9924997409198</x:v>
      </x:c>
      <x:c r="BX26" s="117" t="n">
        <x:f>BW26+BX25</x:f>
        <x:v>778.9924997409198</x:v>
      </x:c>
      <x:c r="BY26" s="117" t="n">
        <x:f>BX26+BY25</x:f>
        <x:v>778.9924997409198</x:v>
      </x:c>
      <x:c r="BZ26" s="117" t="n">
        <x:f>BY26+BZ25</x:f>
        <x:v>778.9924997409198</x:v>
      </x:c>
      <x:c r="CA26" s="117" t="n">
        <x:f>BZ26+CA25</x:f>
        <x:v>778.9924997409198</x:v>
      </x:c>
      <x:c r="CB26" s="117" t="n">
        <x:f>CA26+CB25</x:f>
        <x:v>778.9924997409198</x:v>
      </x:c>
      <x:c r="CC26" s="117" t="n">
        <x:f>CB26+CC25</x:f>
        <x:v>778.9924997409198</x:v>
      </x:c>
      <x:c r="CD26" s="117" t="n">
        <x:f>CC26+CD25</x:f>
        <x:v>778.9924997409198</x:v>
      </x:c>
      <x:c r="CE26" s="117" t="n">
        <x:f>CD26+CE25</x:f>
        <x:v>778.9924997409198</x:v>
      </x:c>
      <x:c r="CF26" s="117" t="n">
        <x:f>CE26+CF25</x:f>
        <x:v>778.9924997409198</x:v>
      </x:c>
      <x:c r="CG26" s="117" t="n">
        <x:f>CF26+CG25</x:f>
        <x:v>778.9924997409198</x:v>
      </x:c>
      <x:c r="CH26" s="117" t="n">
        <x:f>CG26+CH25</x:f>
        <x:v>778.9924997409198</x:v>
      </x:c>
      <x:c r="CI26" s="117" t="n">
        <x:f>CH26+CI25</x:f>
        <x:v>778.9924997409198</x:v>
      </x:c>
      <x:c r="CJ26" s="117" t="n">
        <x:f>CI26+CJ25</x:f>
        <x:v>778.9924997409198</x:v>
      </x:c>
      <x:c r="CK26" s="117" t="n">
        <x:f>CJ26+CK25</x:f>
        <x:v>778.9924997409198</x:v>
      </x:c>
      <x:c r="CL26" s="117" t="n">
        <x:f>CK26+CL25</x:f>
        <x:v>778.9924997409198</x:v>
      </x:c>
      <x:c r="CM26" s="117" t="n">
        <x:f>CL26+CM25</x:f>
        <x:v>778.9924997409198</x:v>
      </x:c>
      <x:c r="CN26" s="117" t="n">
        <x:f>CM26+CN25</x:f>
        <x:v>778.9924997409198</x:v>
      </x:c>
      <x:c r="CO26" s="117" t="n">
        <x:f>CN26+CO25</x:f>
        <x:v>778.9924997409198</x:v>
      </x:c>
      <x:c r="CP26" s="117" t="n">
        <x:f>CO26+CP25</x:f>
        <x:v>778.9924997409198</x:v>
      </x:c>
      <x:c r="CQ26" s="117" t="n">
        <x:f>CP26+CQ25</x:f>
        <x:v>778.9924997409198</x:v>
      </x:c>
      <x:c r="CR26" s="117" t="n">
        <x:f>CQ26+CR25</x:f>
        <x:v>778.9924997409198</x:v>
      </x:c>
      <x:c r="CS26" s="117" t="n">
        <x:f>CR26+CS25</x:f>
        <x:v>778.9924997409198</x:v>
      </x:c>
      <x:c r="CT26" s="117" t="n">
        <x:f>CS26+CT25</x:f>
        <x:v>778.9924997409198</x:v>
      </x:c>
      <x:c r="CU26" s="117" t="n">
        <x:f>CT26+CU25</x:f>
        <x:v>778.9924997409198</x:v>
      </x:c>
      <x:c r="CV26" s="117" t="n">
        <x:f>CU26+CV25</x:f>
        <x:v>778.9924997409198</x:v>
      </x:c>
      <x:c r="CW26" s="117" t="n">
        <x:f>CV26+CW25</x:f>
        <x:v>778.9924997409198</x:v>
      </x:c>
      <x:c r="CX26" s="117" t="n">
        <x:f>CW26+CX25</x:f>
        <x:v>778.9924997409198</x:v>
      </x:c>
      <x:c r="CY26" s="117" t="n">
        <x:f>CX26+CY25</x:f>
        <x:v>778.9924997409198</x:v>
      </x:c>
      <x:c r="CZ26" s="117" t="n">
        <x:f>CY26+CZ25</x:f>
        <x:v>778.9924997409198</x:v>
      </x:c>
      <x:c r="DA26" s="117" t="n">
        <x:f>CZ26+DA25</x:f>
        <x:v>778.9924997409198</x:v>
      </x:c>
      <x:c r="DB26" s="117" t="n">
        <x:f>DA26+DB25</x:f>
        <x:v>778.9924997409198</x:v>
      </x:c>
      <x:c r="DC26" s="117" t="n">
        <x:f>DB26+DC25</x:f>
        <x:v>778.9924997409198</x:v>
      </x:c>
      <x:c r="DD26" s="117" t="n">
        <x:f>DC26+DD25</x:f>
        <x:v>778.9924997409198</x:v>
      </x:c>
      <x:c r="DE26" s="117" t="n">
        <x:f>DD26+DE25</x:f>
        <x:v>778.9924997409198</x:v>
      </x:c>
      <x:c r="DF26" s="117" t="n">
        <x:f>DE26+DF25</x:f>
        <x:v>778.9924997409198</x:v>
      </x:c>
      <x:c r="DG26" s="117" t="n">
        <x:f>DF26+DG25</x:f>
        <x:v>778.9924997409198</x:v>
      </x:c>
      <x:c r="DH26" s="117" t="n">
        <x:f>DG26+DH25</x:f>
        <x:v>778.9924997409198</x:v>
      </x:c>
      <x:c r="DI26" s="117" t="n">
        <x:f>DH26+DI25</x:f>
        <x:v>778.9924997409198</x:v>
      </x:c>
      <x:c r="DJ26" s="117" t="n">
        <x:f>DI26+DJ25</x:f>
        <x:v>778.9924997409198</x:v>
      </x:c>
      <x:c r="DK26" s="117" t="n">
        <x:f>DJ26+DK25</x:f>
        <x:v>778.9924997409198</x:v>
      </x:c>
      <x:c r="DL26" s="117" t="n">
        <x:f>DK26+DL25</x:f>
        <x:v>778.9924997409198</x:v>
      </x:c>
      <x:c r="DM26" s="117" t="n">
        <x:f>DL26+DM25</x:f>
        <x:v>778.9924997409198</x:v>
      </x:c>
      <x:c r="DN26" s="117" t="n">
        <x:f>DM26+DN25</x:f>
        <x:v>778.9924997409198</x:v>
      </x:c>
      <x:c r="DO26" s="117" t="n">
        <x:f>DN26+DO25</x:f>
        <x:v>778.9924997409198</x:v>
      </x:c>
      <x:c r="DP26" s="117" t="n">
        <x:f>DO26+DP25</x:f>
        <x:v>778.9924997409198</x:v>
      </x:c>
      <x:c r="DQ26" s="117" t="n">
        <x:f>DP26+DQ25</x:f>
        <x:v>778.9924997409198</x:v>
      </x:c>
      <x:c r="DR26" s="117" t="n">
        <x:f>DQ26+DR25</x:f>
        <x:v>778.9924997409198</x:v>
      </x:c>
      <x:c r="DS26" s="117" t="n">
        <x:f>DR26+DS25</x:f>
        <x:v>778.9924997409198</x:v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  <x:v>2169.503298057299</x:v>
      </x:c>
      <x:c r="C28" s="113" t="str">
        <x:v>млн ₽</x:v>
      </x:c>
      <x:c r="D28" s="120" t="n">
        <x:f>SUM('CF_1'!D54,'CF_2'!D54,'CF_3'!D54)</x:f>
        <x:v>-707.9807307539683</x:v>
      </x:c>
      <x:c r="E28" s="120" t="n">
        <x:f>SUM('CF_1'!E54,'CF_2'!E54,'CF_3'!E54)</x:f>
        <x:v>-7.980730753968252</x:v>
      </x:c>
      <x:c r="F28" s="120" t="n">
        <x:f>SUM('CF_1'!F54,'CF_2'!F54,'CF_3'!F54)</x:f>
        <x:v>-7.980730753968252</x:v>
      </x:c>
      <x:c r="G28" s="120" t="n">
        <x:f>SUM('CF_1'!G54,'CF_2'!G54,'CF_3'!G54)</x:f>
        <x:v>-7.980730753968252</x:v>
      </x:c>
      <x:c r="H28" s="120" t="n">
        <x:f>SUM('CF_1'!H54,'CF_2'!H54,'CF_3'!H54)</x:f>
        <x:v>-7.980730753968252</x:v>
      </x:c>
      <x:c r="I28" s="120" t="n">
        <x:f>SUM('CF_1'!I54,'CF_2'!I54,'CF_3'!I54)</x:f>
        <x:v>-7.980730753968252</x:v>
      </x:c>
      <x:c r="J28" s="120" t="n">
        <x:f>SUM('CF_1'!J54,'CF_2'!J54,'CF_3'!J54)</x:f>
        <x:v>-7.980730753968252</x:v>
      </x:c>
      <x:c r="K28" s="120" t="n">
        <x:f>SUM('CF_1'!K54,'CF_2'!K54,'CF_3'!K54)</x:f>
        <x:v>-7.980730753968252</x:v>
      </x:c>
      <x:c r="L28" s="120" t="n">
        <x:f>SUM('CF_1'!L54,'CF_2'!L54,'CF_3'!L54)</x:f>
        <x:v>-7.980730753968252</x:v>
      </x:c>
      <x:c r="M28" s="120" t="n">
        <x:f>SUM('CF_1'!M54,'CF_2'!M54,'CF_3'!M54)</x:f>
        <x:v>-7.980730753968252</x:v>
      </x:c>
      <x:c r="N28" s="120" t="n">
        <x:f>SUM('CF_1'!N54,'CF_2'!N54,'CF_3'!N54)</x:f>
        <x:v>-7.980730753968252</x:v>
      </x:c>
      <x:c r="O28" s="120" t="n">
        <x:f>SUM('CF_1'!O54,'CF_2'!O54,'CF_3'!O54)</x:f>
        <x:v>-7.980730753968252</x:v>
      </x:c>
      <x:c r="P28" s="120" t="n">
        <x:f>SUM('CF_1'!P54,'CF_2'!P54,'CF_3'!P54)</x:f>
        <x:v>-33.94773075396826</x:v>
      </x:c>
      <x:c r="Q28" s="120" t="n">
        <x:f>SUM('CF_1'!Q54,'CF_2'!Q54,'CF_3'!Q54)</x:f>
        <x:v>-33.94773075396826</x:v>
      </x:c>
      <x:c r="R28" s="120" t="n">
        <x:f>SUM('CF_1'!R54,'CF_2'!R54,'CF_3'!R54)</x:f>
        <x:v>-33.94773075396826</x:v>
      </x:c>
      <x:c r="S28" s="120" t="n">
        <x:f>SUM('CF_1'!S54,'CF_2'!S54,'CF_3'!S54)</x:f>
        <x:v>-33.94773075396826</x:v>
      </x:c>
      <x:c r="T28" s="120" t="n">
        <x:f>SUM('CF_1'!T54,'CF_2'!T54,'CF_3'!T54)</x:f>
        <x:v>-33.94773075396826</x:v>
      </x:c>
      <x:c r="U28" s="120" t="n">
        <x:f>SUM('CF_1'!U54,'CF_2'!U54,'CF_3'!U54)</x:f>
        <x:v>-1882.1547307539681</x:v>
      </x:c>
      <x:c r="V28" s="120" t="n">
        <x:f>SUM('CF_1'!V54,'CF_2'!V54,'CF_3'!V54)</x:f>
        <x:v>-180.27246442335544</x:v>
      </x:c>
      <x:c r="W28" s="120" t="n">
        <x:f>SUM('CF_1'!W54,'CF_2'!W54,'CF_3'!W54)</x:f>
        <x:v>-180.79072625464306</x:v>
      </x:c>
      <x:c r="X28" s="120" t="n">
        <x:f>SUM('CF_1'!X54,'CF_2'!X54,'CF_3'!X54)</x:f>
        <x:v>-185.143738289621</x:v>
      </x:c>
      <x:c r="Y28" s="120" t="n">
        <x:f>SUM('CF_1'!Y54,'CF_2'!Y54,'CF_3'!Y54)</x:f>
        <x:v>-185.7845126586452</x:v>
      </x:c>
      <x:c r="Z28" s="120" t="n">
        <x:f>SUM('CF_1'!Z54,'CF_2'!Z54,'CF_3'!Z54)</x:f>
        <x:v>-339.56891502559137</x:v>
      </x:c>
      <x:c r="AA28" s="120" t="n">
        <x:f>SUM('CF_1'!AA54,'CF_2'!AA54,'CF_3'!AA54)</x:f>
        <x:v>-340.24232564958334</x:v>
      </x:c>
      <x:c r="AB28" s="120" t="n">
        <x:f>SUM('CF_1'!AB54,'CF_2'!AB54,'CF_3'!AB54)</x:f>
        <x:v>-336.71174337134426</x:v>
      </x:c>
      <x:c r="AC28" s="120" t="n">
        <x:f>SUM('CF_1'!AC54,'CF_2'!AC54,'CF_3'!AC54)</x:f>
        <x:v>-341.6403816765188</x:v>
      </x:c>
      <x:c r="AD28" s="120" t="n">
        <x:f>SUM('CF_1'!AD54,'CF_2'!AD54,'CF_3'!AD54)</x:f>
        <x:v>-342.36588968678166</x:v>
      </x:c>
      <x:c r="AE28" s="120" t="n">
        <x:f>SUM('CF_1'!AE54,'CF_2'!AE54,'CF_3'!AE54)</x:f>
        <x:v>-343.10964422350247</x:v>
      </x:c>
      <x:c r="AF28" s="120" t="n">
        <x:f>SUM('CF_1'!AF54,'CF_2'!AF54,'CF_3'!AF54)</x:f>
        <x:v>-339.2102602619895</x:v>
      </x:c>
      <x:c r="AG28" s="120" t="n">
        <x:f>SUM('CF_1'!AG54,'CF_2'!AG54,'CF_3'!AG54)</x:f>
        <x:v>-339.8746507186769</x:v>
      </x:c>
      <x:c r="AH28" s="120" t="n">
        <x:f>SUM('CF_1'!AH54,'CF_2'!AH54,'CF_3'!AH54)</x:f>
        <x:v>-340.5557505953499</x:v>
      </x:c>
      <x:c r="AI28" s="120" t="n">
        <x:f>SUM('CF_1'!AI54,'CF_2'!AI54,'CF_3'!AI54)</x:f>
        <x:v>-341.2539801339213</x:v>
      </x:c>
      <x:c r="AJ28" s="120" t="n">
        <x:f>SUM('CF_1'!AJ54,'CF_2'!AJ54,'CF_3'!AJ54)</x:f>
        <x:v>-347.1185864025846</x:v>
      </x:c>
      <x:c r="AK28" s="120" t="n">
        <x:f>SUM('CF_1'!AK54,'CF_2'!AK54,'CF_3'!AK54)</x:f>
        <x:v>-347.9818712617079</x:v>
      </x:c>
      <x:c r="AL28" s="120" t="n">
        <x:f>SUM('CF_1'!AL54,'CF_2'!AL54,'CF_3'!AL54)</x:f>
        <x:v>-348.8668677350382</x:v>
      </x:c>
      <x:c r="AM28" s="120" t="n">
        <x:f>SUM('CF_1'!AM54,'CF_2'!AM54,'CF_3'!AM54)</x:f>
        <x:v>-349.7741218696727</x:v>
      </x:c>
      <x:c r="AN28" s="120" t="n">
        <x:f>SUM('CF_1'!AN54,'CF_2'!AN54,'CF_3'!AN54)</x:f>
        <x:v>-345.0175361321152</x:v>
      </x:c>
      <x:c r="AO28" s="120" t="n">
        <x:f>SUM('CF_1'!AO54,'CF_2'!AO54,'CF_3'!AO54)</x:f>
        <x:v>-249.57264797369268</x:v>
      </x:c>
      <x:c r="AP28" s="120" t="n">
        <x:f>SUM('CF_1'!AP54,'CF_2'!AP54,'CF_3'!AP54)</x:f>
        <x:v>-250.55009044129065</x:v>
      </x:c>
      <x:c r="AQ28" s="120" t="n">
        <x:f>SUM('CF_1'!AQ54,'CF_2'!AQ54,'CF_3'!AQ54)</x:f>
        <x:v>-303.48611558694876</x:v>
      </x:c>
      <x:c r="AR28" s="120" t="n">
        <x:f>SUM('CF_1'!AR54,'CF_2'!AR54,'CF_3'!AR54)</x:f>
        <x:v>-298.2326608662039</x:v>
      </x:c>
      <x:c r="AS28" s="120" t="n">
        <x:f>SUM('CF_1'!AS54,'CF_2'!AS54,'CF_3'!AS54)</x:f>
        <x:v>-299.1277625580485</x:v>
      </x:c>
      <x:c r="AT28" s="120" t="n">
        <x:f>SUM('CF_1'!AT54,'CF_2'!AT54,'CF_3'!AT54)</x:f>
        <x:v>10817.785902166377</x:v>
      </x:c>
      <x:c r="AU28" s="120" t="n">
        <x:f>SUM('CF_1'!AU54,'CF_2'!AU54,'CF_3'!AU54)</x:f>
        <x:v>302.22641803655193</x:v>
      </x:c>
      <x:c r="AV28" s="120" t="n">
        <x:f>SUM('CF_1'!AV54,'CF_2'!AV54,'CF_3'!AV54)</x:f>
        <x:v>339.7013840961265</x:v>
      </x:c>
      <x:c r="AW28" s="120" t="n">
        <x:f>SUM('CF_1'!AW54,'CF_2'!AW54,'CF_3'!AW54)</x:f>
        <x:v>274.4631290097351</x:v>
      </x:c>
      <x:c r="AX28" s="120" t="n">
        <x:f>SUM('CF_1'!AX54,'CF_2'!AX54,'CF_3'!AX54)</x:f>
        <x:v>277.8873675130819</x:v>
      </x:c>
      <x:c r="AY28" s="120" t="n">
        <x:f>SUM('CF_1'!AY54,'CF_2'!AY54,'CF_3'!AY54)</x:f>
        <x:v>281.3544946036833</x:v>
      </x:c>
      <x:c r="AZ28" s="120" t="n">
        <x:f>SUM('CF_1'!AZ54,'CF_2'!AZ54,'CF_3'!AZ54)</x:f>
        <x:v>0</x:v>
      </x:c>
      <x:c r="BA28" s="120" t="n">
        <x:f>SUM('CF_1'!BA54,'CF_2'!BA54,'CF_3'!BA54)</x:f>
        <x:v>0</x:v>
      </x:c>
      <x:c r="BB28" s="120" t="n">
        <x:f>SUM('CF_1'!BB54,'CF_2'!BB54,'CF_3'!BB54)</x:f>
        <x:v>0</x:v>
      </x:c>
      <x:c r="BC28" s="120" t="n">
        <x:f>SUM('CF_1'!BC54,'CF_2'!BC54,'CF_3'!BC54)</x:f>
        <x:v>0</x:v>
      </x:c>
      <x:c r="BD28" s="120" t="n">
        <x:f>SUM('CF_1'!BD54,'CF_2'!BD54,'CF_3'!BD54)</x:f>
        <x:v>0</x:v>
      </x:c>
      <x:c r="BE28" s="120" t="n">
        <x:f>SUM('CF_1'!BE54,'CF_2'!BE54,'CF_3'!BE54)</x:f>
        <x:v>0</x:v>
      </x:c>
      <x:c r="BF28" s="120" t="n">
        <x:f>SUM('CF_1'!BF54,'CF_2'!BF54,'CF_3'!BF54)</x:f>
        <x:v>0</x:v>
      </x:c>
      <x:c r="BG28" s="120" t="n">
        <x:f>SUM('CF_1'!BG54,'CF_2'!BG54,'CF_3'!BG54)</x:f>
        <x:v>0</x:v>
      </x:c>
      <x:c r="BH28" s="120" t="n">
        <x:f>SUM('CF_1'!BH54,'CF_2'!BH54,'CF_3'!BH54)</x:f>
        <x:v>0</x:v>
      </x:c>
      <x:c r="BI28" s="120" t="n">
        <x:f>SUM('CF_1'!BI54,'CF_2'!BI54,'CF_3'!BI54)</x:f>
        <x:v>0</x:v>
      </x:c>
      <x:c r="BJ28" s="120" t="n">
        <x:f>SUM('CF_1'!BJ54,'CF_2'!BJ54,'CF_3'!BJ54)</x:f>
        <x:v>0</x:v>
      </x:c>
      <x:c r="BK28" s="120" t="n">
        <x:f>SUM('CF_1'!BK54,'CF_2'!BK54,'CF_3'!BK54)</x:f>
        <x:v>0</x:v>
      </x:c>
      <x:c r="BL28" s="120" t="n">
        <x:f>SUM('CF_1'!BL54,'CF_2'!BL54,'CF_3'!BL54)</x:f>
        <x:v>0</x:v>
      </x:c>
      <x:c r="BM28" s="120" t="n">
        <x:f>SUM('CF_1'!BM54,'CF_2'!BM54,'CF_3'!BM54)</x:f>
        <x:v>0</x:v>
      </x:c>
      <x:c r="BN28" s="120" t="n">
        <x:f>SUM('CF_1'!BN54,'CF_2'!BN54,'CF_3'!BN54)</x:f>
        <x:v>0</x:v>
      </x:c>
      <x:c r="BO28" s="120" t="n">
        <x:f>SUM('CF_1'!BO54,'CF_2'!BO54,'CF_3'!BO54)</x:f>
        <x:v>0</x:v>
      </x:c>
      <x:c r="BP28" s="120" t="n">
        <x:f>SUM('CF_1'!BP54,'CF_2'!BP54,'CF_3'!BP54)</x:f>
        <x:v>0</x:v>
      </x:c>
      <x:c r="BQ28" s="120" t="n">
        <x:f>SUM('CF_1'!BQ54,'CF_2'!BQ54,'CF_3'!BQ54)</x:f>
        <x:v>0</x:v>
      </x:c>
      <x:c r="BR28" s="120" t="n">
        <x:f>SUM('CF_1'!BR54,'CF_2'!BR54,'CF_3'!BR54)</x:f>
        <x:v>0</x:v>
      </x:c>
      <x:c r="BS28" s="120" t="n">
        <x:f>SUM('CF_1'!BS54,'CF_2'!BS54,'CF_3'!BS54)</x:f>
        <x:v>0</x:v>
      </x:c>
      <x:c r="BT28" s="120" t="n">
        <x:f>SUM('CF_1'!BT54,'CF_2'!BT54,'CF_3'!BT54)</x:f>
        <x:v>0</x:v>
      </x:c>
      <x:c r="BU28" s="120" t="n">
        <x:f>SUM('CF_1'!BU54,'CF_2'!BU54,'CF_3'!BU54)</x:f>
        <x:v>0</x:v>
      </x:c>
      <x:c r="BV28" s="120" t="n">
        <x:f>SUM('CF_1'!BV54,'CF_2'!BV54,'CF_3'!BV54)</x:f>
        <x:v>0</x:v>
      </x:c>
      <x:c r="BW28" s="120" t="n">
        <x:f>SUM('CF_1'!BW54,'CF_2'!BW54,'CF_3'!BW54)</x:f>
        <x:v>0</x:v>
      </x:c>
      <x:c r="BX28" s="120" t="n">
        <x:f>SUM('CF_1'!BX54,'CF_2'!BX54,'CF_3'!BX54)</x:f>
        <x:v>0</x:v>
      </x:c>
      <x:c r="BY28" s="120" t="n">
        <x:f>SUM('CF_1'!BY54,'CF_2'!BY54,'CF_3'!BY54)</x:f>
        <x:v>0</x:v>
      </x:c>
      <x:c r="BZ28" s="120" t="n">
        <x:f>SUM('CF_1'!BZ54,'CF_2'!BZ54,'CF_3'!BZ54)</x:f>
        <x:v>0</x:v>
      </x:c>
      <x:c r="CA28" s="120" t="n">
        <x:f>SUM('CF_1'!CA54,'CF_2'!CA54,'CF_3'!CA54)</x:f>
        <x:v>0</x:v>
      </x:c>
      <x:c r="CB28" s="120" t="n">
        <x:f>SUM('CF_1'!CB54,'CF_2'!CB54,'CF_3'!CB54)</x:f>
        <x:v>0</x:v>
      </x:c>
      <x:c r="CC28" s="120" t="n">
        <x:f>SUM('CF_1'!CC54,'CF_2'!CC54,'CF_3'!CC54)</x:f>
        <x:v>0</x:v>
      </x:c>
      <x:c r="CD28" s="120" t="n">
        <x:f>SUM('CF_1'!CD54,'CF_2'!CD54,'CF_3'!CD54)</x:f>
        <x:v>0</x:v>
      </x:c>
      <x:c r="CE28" s="120" t="n">
        <x:f>SUM('CF_1'!CE54,'CF_2'!CE54,'CF_3'!CE54)</x:f>
        <x:v>0</x:v>
      </x:c>
      <x:c r="CF28" s="120" t="n">
        <x:f>SUM('CF_1'!CF54,'CF_2'!CF54,'CF_3'!CF54)</x:f>
        <x:v>0</x:v>
      </x:c>
      <x:c r="CG28" s="120" t="n">
        <x:f>SUM('CF_1'!CG54,'CF_2'!CG54,'CF_3'!CG54)</x:f>
        <x:v>0</x:v>
      </x:c>
      <x:c r="CH28" s="120" t="n">
        <x:f>SUM('CF_1'!CH54,'CF_2'!CH54,'CF_3'!CH54)</x:f>
        <x:v>0</x:v>
      </x:c>
      <x:c r="CI28" s="120" t="n">
        <x:f>SUM('CF_1'!CI54,'CF_2'!CI54,'CF_3'!CI54)</x:f>
        <x:v>0</x:v>
      </x:c>
      <x:c r="CJ28" s="120" t="n">
        <x:f>SUM('CF_1'!CJ54,'CF_2'!CJ54,'CF_3'!CJ54)</x:f>
        <x:v>0</x:v>
      </x:c>
      <x:c r="CK28" s="120" t="n">
        <x:f>SUM('CF_1'!CK54,'CF_2'!CK54,'CF_3'!CK54)</x:f>
        <x:v>0</x:v>
      </x:c>
      <x:c r="CL28" s="120" t="n">
        <x:f>SUM('CF_1'!CL54,'CF_2'!CL54,'CF_3'!CL54)</x:f>
        <x:v>0</x:v>
      </x:c>
      <x:c r="CM28" s="120" t="n">
        <x:f>SUM('CF_1'!CM54,'CF_2'!CM54,'CF_3'!CM54)</x:f>
        <x:v>0</x:v>
      </x:c>
      <x:c r="CN28" s="120" t="n">
        <x:f>SUM('CF_1'!CN54,'CF_2'!CN54,'CF_3'!CN54)</x:f>
        <x:v>0</x:v>
      </x:c>
      <x:c r="CO28" s="120" t="n">
        <x:f>SUM('CF_1'!CO54,'CF_2'!CO54,'CF_3'!CO54)</x:f>
        <x:v>0</x:v>
      </x:c>
      <x:c r="CP28" s="120" t="n">
        <x:f>SUM('CF_1'!CP54,'CF_2'!CP54,'CF_3'!CP54)</x:f>
        <x:v>0</x:v>
      </x:c>
      <x:c r="CQ28" s="120" t="n">
        <x:f>SUM('CF_1'!CQ54,'CF_2'!CQ54,'CF_3'!CQ54)</x:f>
        <x:v>0</x:v>
      </x:c>
      <x:c r="CR28" s="120" t="n">
        <x:f>SUM('CF_1'!CR54,'CF_2'!CR54,'CF_3'!CR54)</x:f>
        <x:v>0</x:v>
      </x:c>
      <x:c r="CS28" s="120" t="n">
        <x:f>SUM('CF_1'!CS54,'CF_2'!CS54,'CF_3'!CS54)</x:f>
        <x:v>0</x:v>
      </x:c>
      <x:c r="CT28" s="120" t="n">
        <x:f>SUM('CF_1'!CT54,'CF_2'!CT54,'CF_3'!CT54)</x:f>
        <x:v>0</x:v>
      </x:c>
      <x:c r="CU28" s="120" t="n">
        <x:f>SUM('CF_1'!CU54,'CF_2'!CU54,'CF_3'!CU54)</x:f>
        <x:v>0</x:v>
      </x:c>
      <x:c r="CV28" s="120" t="n">
        <x:f>SUM('CF_1'!CV54,'CF_2'!CV54,'CF_3'!CV54)</x:f>
        <x:v>0</x:v>
      </x:c>
      <x:c r="CW28" s="120" t="n">
        <x:f>SUM('CF_1'!CW54,'CF_2'!CW54,'CF_3'!CW54)</x:f>
        <x:v>0</x:v>
      </x:c>
      <x:c r="CX28" s="120" t="n">
        <x:f>SUM('CF_1'!CX54,'CF_2'!CX54,'CF_3'!CX54)</x:f>
        <x:v>0</x:v>
      </x:c>
      <x:c r="CY28" s="120" t="n">
        <x:f>SUM('CF_1'!CY54,'CF_2'!CY54,'CF_3'!CY54)</x:f>
        <x:v>0</x:v>
      </x:c>
      <x:c r="CZ28" s="120" t="n">
        <x:f>SUM('CF_1'!CZ54,'CF_2'!CZ54,'CF_3'!CZ54)</x:f>
        <x:v>0</x:v>
      </x:c>
      <x:c r="DA28" s="120" t="n">
        <x:f>SUM('CF_1'!DA54,'CF_2'!DA54,'CF_3'!DA54)</x:f>
        <x:v>0</x:v>
      </x:c>
      <x:c r="DB28" s="120" t="n">
        <x:f>SUM('CF_1'!DB54,'CF_2'!DB54,'CF_3'!DB54)</x:f>
        <x:v>0</x:v>
      </x:c>
      <x:c r="DC28" s="120" t="n">
        <x:f>SUM('CF_1'!DC54,'CF_2'!DC54,'CF_3'!DC54)</x:f>
        <x:v>0</x:v>
      </x:c>
      <x:c r="DD28" s="120" t="n">
        <x:f>SUM('CF_1'!DD54,'CF_2'!DD54,'CF_3'!DD54)</x:f>
        <x:v>0</x:v>
      </x:c>
      <x:c r="DE28" s="120" t="n">
        <x:f>SUM('CF_1'!DE54,'CF_2'!DE54,'CF_3'!DE54)</x:f>
        <x:v>0</x:v>
      </x:c>
      <x:c r="DF28" s="120" t="n">
        <x:f>SUM('CF_1'!DF54,'CF_2'!DF54,'CF_3'!DF54)</x:f>
        <x:v>0</x:v>
      </x:c>
      <x:c r="DG28" s="120" t="n">
        <x:f>SUM('CF_1'!DG54,'CF_2'!DG54,'CF_3'!DG54)</x:f>
        <x:v>0</x:v>
      </x:c>
      <x:c r="DH28" s="120" t="n">
        <x:f>SUM('CF_1'!DH54,'CF_2'!DH54,'CF_3'!DH54)</x:f>
        <x:v>0</x:v>
      </x:c>
      <x:c r="DI28" s="120" t="n">
        <x:f>SUM('CF_1'!DI54,'CF_2'!DI54,'CF_3'!DI54)</x:f>
        <x:v>0</x:v>
      </x:c>
      <x:c r="DJ28" s="120" t="n">
        <x:f>SUM('CF_1'!DJ54,'CF_2'!DJ54,'CF_3'!DJ54)</x:f>
        <x:v>0</x:v>
      </x:c>
      <x:c r="DK28" s="120" t="n">
        <x:f>SUM('CF_1'!DK54,'CF_2'!DK54,'CF_3'!DK54)</x:f>
        <x:v>0</x:v>
      </x:c>
      <x:c r="DL28" s="120" t="n">
        <x:f>SUM('CF_1'!DL54,'CF_2'!DL54,'CF_3'!DL54)</x:f>
        <x:v>0</x:v>
      </x:c>
      <x:c r="DM28" s="120" t="n">
        <x:f>SUM('CF_1'!DM54,'CF_2'!DM54,'CF_3'!DM54)</x:f>
        <x:v>0</x:v>
      </x:c>
      <x:c r="DN28" s="120" t="n">
        <x:f>SUM('CF_1'!DN54,'CF_2'!DN54,'CF_3'!DN54)</x:f>
        <x:v>0</x:v>
      </x:c>
      <x:c r="DO28" s="120" t="n">
        <x:f>SUM('CF_1'!DO54,'CF_2'!DO54,'CF_3'!DO54)</x:f>
        <x:v>0</x:v>
      </x:c>
      <x:c r="DP28" s="120" t="n">
        <x:f>SUM('CF_1'!DP54,'CF_2'!DP54,'CF_3'!DP54)</x:f>
        <x:v>0</x:v>
      </x:c>
      <x:c r="DQ28" s="120" t="n">
        <x:f>SUM('CF_1'!DQ54,'CF_2'!DQ54,'CF_3'!DQ54)</x:f>
        <x:v>0</x:v>
      </x:c>
      <x:c r="DR28" s="120" t="n">
        <x:f>SUM('CF_1'!DR54,'CF_2'!DR54,'CF_3'!DR54)</x:f>
        <x:v>0</x:v>
      </x:c>
      <x:c r="DS28" s="120" t="n">
        <x:f>SUM('CF_1'!DS54,'CF_2'!DS54,'CF_3'!DS54)</x:f>
        <x:v>0</x:v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IFERROR((SUM(D6:DS6)-SUM(D11:DS11)-SUM(D12:DS12)-SUM(D14:DS14)+SUM('CF_1'!D45:DS45,'CF_2'!D45:DS45,'CF_3'!D45:DS45))/(SUM('CF_1'!D45:DS45,'CF_2'!D45:DS45,'CF_3'!D45:DS45)+SUM(D20:DS20)+SUM(D21:DS21)),0)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>
      <x:c r="A6" t="str">
        <x:v>БРИДЖ — выборка</x:v>
      </x:c>
      <x:c r="B6" s="107" t="n">
        <x:f>SUM(D6:DS6)</x:f>
        <x:v>2847.6621535714285</x:v>
      </x:c>
      <x:c r="C6" t="str">
        <x:v>млн ₽</x:v>
      </x:c>
      <x:c r="D6" s="117" t="n">
        <x:f>SUM('CF_1'!D34,'CF_2'!D34,'CF_3'!D34)</x:f>
        <x:v>707.9807307539683</x:v>
      </x:c>
      <x:c r="E6" s="117" t="n">
        <x:f>SUM('CF_1'!E34,'CF_2'!E34,'CF_3'!E34)</x:f>
        <x:v>7.980730753968252</x:v>
      </x:c>
      <x:c r="F6" s="117" t="n">
        <x:f>SUM('CF_1'!F34,'CF_2'!F34,'CF_3'!F34)</x:f>
        <x:v>7.980730753968252</x:v>
      </x:c>
      <x:c r="G6" s="117" t="n">
        <x:f>SUM('CF_1'!G34,'CF_2'!G34,'CF_3'!G34)</x:f>
        <x:v>7.980730753968252</x:v>
      </x:c>
      <x:c r="H6" s="117" t="n">
        <x:f>SUM('CF_1'!H34,'CF_2'!H34,'CF_3'!H34)</x:f>
        <x:v>7.980730753968252</x:v>
      </x:c>
      <x:c r="I6" s="117" t="n">
        <x:f>SUM('CF_1'!I34,'CF_2'!I34,'CF_3'!I34)</x:f>
        <x:v>7.980730753968252</x:v>
      </x:c>
      <x:c r="J6" s="117" t="n">
        <x:f>SUM('CF_1'!J34,'CF_2'!J34,'CF_3'!J34)</x:f>
        <x:v>7.980730753968252</x:v>
      </x:c>
      <x:c r="K6" s="117" t="n">
        <x:f>SUM('CF_1'!K34,'CF_2'!K34,'CF_3'!K34)</x:f>
        <x:v>7.980730753968252</x:v>
      </x:c>
      <x:c r="L6" s="117" t="n">
        <x:f>SUM('CF_1'!L34,'CF_2'!L34,'CF_3'!L34)</x:f>
        <x:v>7.980730753968252</x:v>
      </x:c>
      <x:c r="M6" s="117" t="n">
        <x:f>SUM('CF_1'!M34,'CF_2'!M34,'CF_3'!M34)</x:f>
        <x:v>7.980730753968252</x:v>
      </x:c>
      <x:c r="N6" s="117" t="n">
        <x:f>SUM('CF_1'!N34,'CF_2'!N34,'CF_3'!N34)</x:f>
        <x:v>7.980730753968252</x:v>
      </x:c>
      <x:c r="O6" s="117" t="n">
        <x:f>SUM('CF_1'!O34,'CF_2'!O34,'CF_3'!O34)</x:f>
        <x:v>7.980730753968252</x:v>
      </x:c>
      <x:c r="P6" s="117" t="n">
        <x:f>SUM('CF_1'!P34,'CF_2'!P34,'CF_3'!P34)</x:f>
        <x:v>33.94773075396826</x:v>
      </x:c>
      <x:c r="Q6" s="117" t="n">
        <x:f>SUM('CF_1'!Q34,'CF_2'!Q34,'CF_3'!Q34)</x:f>
        <x:v>33.94773075396826</x:v>
      </x:c>
      <x:c r="R6" s="117" t="n">
        <x:f>SUM('CF_1'!R34,'CF_2'!R34,'CF_3'!R34)</x:f>
        <x:v>33.94773075396826</x:v>
      </x:c>
      <x:c r="S6" s="117" t="n">
        <x:f>SUM('CF_1'!S34,'CF_2'!S34,'CF_3'!S34)</x:f>
        <x:v>33.94773075396826</x:v>
      </x:c>
      <x:c r="T6" s="117" t="n">
        <x:f>SUM('CF_1'!T34,'CF_2'!T34,'CF_3'!T34)</x:f>
        <x:v>33.94773075396826</x:v>
      </x:c>
      <x:c r="U6" s="117" t="n">
        <x:f>SUM('CF_1'!U34,'CF_2'!U34,'CF_3'!U34)</x:f>
        <x:v>1882.1547307539681</x:v>
      </x:c>
      <x:c r="V6" s="117" t="n">
        <x:f>SUM('CF_1'!V34,'CF_2'!V34,'CF_3'!V34)</x:f>
        <x:v>0</x:v>
      </x:c>
      <x:c r="W6" s="117" t="n">
        <x:f>SUM('CF_1'!W34,'CF_2'!W34,'CF_3'!W34)</x:f>
        <x:v>0</x:v>
      </x:c>
      <x:c r="X6" s="117" t="n">
        <x:f>SUM('CF_1'!X34,'CF_2'!X34,'CF_3'!X34)</x:f>
        <x:v>0</x:v>
      </x:c>
      <x:c r="Y6" s="117" t="n">
        <x:f>SUM('CF_1'!Y34,'CF_2'!Y34,'CF_3'!Y34)</x:f>
        <x:v>0</x:v>
      </x:c>
      <x:c r="Z6" s="117" t="n">
        <x:f>SUM('CF_1'!Z34,'CF_2'!Z34,'CF_3'!Z34)</x:f>
        <x:v>0</x:v>
      </x:c>
      <x:c r="AA6" s="117" t="n">
        <x:f>SUM('CF_1'!AA34,'CF_2'!AA34,'CF_3'!AA34)</x:f>
        <x:v>0</x:v>
      </x:c>
      <x:c r="AB6" s="117" t="n">
        <x:f>SUM('CF_1'!AB34,'CF_2'!AB34,'CF_3'!AB34)</x:f>
        <x:v>0</x:v>
      </x:c>
      <x:c r="AC6" s="117" t="n">
        <x:f>SUM('CF_1'!AC34,'CF_2'!AC34,'CF_3'!AC34)</x:f>
        <x:v>0</x:v>
      </x:c>
      <x:c r="AD6" s="117" t="n">
        <x:f>SUM('CF_1'!AD34,'CF_2'!AD34,'CF_3'!AD34)</x:f>
        <x:v>0</x:v>
      </x:c>
      <x:c r="AE6" s="117" t="n">
        <x:f>SUM('CF_1'!AE34,'CF_2'!AE34,'CF_3'!AE34)</x:f>
        <x:v>0</x:v>
      </x:c>
      <x:c r="AF6" s="117" t="n">
        <x:f>SUM('CF_1'!AF34,'CF_2'!AF34,'CF_3'!AF34)</x:f>
        <x:v>0</x:v>
      </x:c>
      <x:c r="AG6" s="117" t="n">
        <x:f>SUM('CF_1'!AG34,'CF_2'!AG34,'CF_3'!AG34)</x:f>
        <x:v>0</x:v>
      </x:c>
      <x:c r="AH6" s="117" t="n">
        <x:f>SUM('CF_1'!AH34,'CF_2'!AH34,'CF_3'!AH34)</x:f>
        <x:v>0</x:v>
      </x:c>
      <x:c r="AI6" s="117" t="n">
        <x:f>SUM('CF_1'!AI34,'CF_2'!AI34,'CF_3'!AI34)</x:f>
        <x:v>0</x:v>
      </x:c>
      <x:c r="AJ6" s="117" t="n">
        <x:f>SUM('CF_1'!AJ34,'CF_2'!AJ34,'CF_3'!AJ34)</x:f>
        <x:v>0</x:v>
      </x:c>
      <x:c r="AK6" s="117" t="n">
        <x:f>SUM('CF_1'!AK34,'CF_2'!AK34,'CF_3'!AK34)</x:f>
        <x:v>0</x:v>
      </x:c>
      <x:c r="AL6" s="117" t="n">
        <x:f>SUM('CF_1'!AL34,'CF_2'!AL34,'CF_3'!AL34)</x:f>
        <x:v>0</x:v>
      </x:c>
      <x:c r="AM6" s="117" t="n">
        <x:f>SUM('CF_1'!AM34,'CF_2'!AM34,'CF_3'!AM34)</x:f>
        <x:v>0</x:v>
      </x:c>
      <x:c r="AN6" s="117" t="n">
        <x:f>SUM('CF_1'!AN34,'CF_2'!AN34,'CF_3'!AN34)</x:f>
        <x:v>0</x:v>
      </x:c>
      <x:c r="AO6" s="117" t="n">
        <x:f>SUM('CF_1'!AO34,'CF_2'!AO34,'CF_3'!AO34)</x:f>
        <x:v>0</x:v>
      </x:c>
      <x:c r="AP6" s="117" t="n">
        <x:f>SUM('CF_1'!AP34,'CF_2'!AP34,'CF_3'!AP34)</x:f>
        <x:v>0</x:v>
      </x:c>
      <x:c r="AQ6" s="117" t="n">
        <x:f>SUM('CF_1'!AQ34,'CF_2'!AQ34,'CF_3'!AQ34)</x:f>
        <x:v>0</x:v>
      </x:c>
      <x:c r="AR6" s="117" t="n">
        <x:f>SUM('CF_1'!AR34,'CF_2'!AR34,'CF_3'!AR34)</x:f>
        <x:v>0</x:v>
      </x:c>
      <x:c r="AS6" s="117" t="n">
        <x:f>SUM('CF_1'!AS34,'CF_2'!AS34,'CF_3'!AS34)</x:f>
        <x:v>0</x:v>
      </x:c>
      <x:c r="AT6" s="117" t="n">
        <x:f>SUM('CF_1'!AT34,'CF_2'!AT34,'CF_3'!AT34)</x:f>
        <x:v>0</x:v>
      </x:c>
      <x:c r="AU6" s="117" t="n">
        <x:f>SUM('CF_1'!AU34,'CF_2'!AU34,'CF_3'!AU34)</x:f>
        <x:v>0</x:v>
      </x:c>
      <x:c r="AV6" s="117" t="n">
        <x:f>SUM('CF_1'!AV34,'CF_2'!AV34,'CF_3'!AV34)</x:f>
        <x:v>0</x:v>
      </x:c>
      <x:c r="AW6" s="117" t="n">
        <x:f>SUM('CF_1'!AW34,'CF_2'!AW34,'CF_3'!AW34)</x:f>
        <x:v>0</x:v>
      </x:c>
      <x:c r="AX6" s="117" t="n">
        <x:f>SUM('CF_1'!AX34,'CF_2'!AX34,'CF_3'!AX34)</x:f>
        <x:v>0</x:v>
      </x:c>
      <x:c r="AY6" s="117" t="n">
        <x:f>SUM('CF_1'!AY34,'CF_2'!AY34,'CF_3'!AY34)</x:f>
        <x:v>0</x:v>
      </x:c>
      <x:c r="AZ6" s="117" t="n">
        <x:f>SUM('CF_1'!AZ34,'CF_2'!AZ34,'CF_3'!AZ34)</x:f>
        <x:v>0</x:v>
      </x:c>
      <x:c r="BA6" s="117" t="n">
        <x:f>SUM('CF_1'!BA34,'CF_2'!BA34,'CF_3'!BA34)</x:f>
        <x:v>0</x:v>
      </x:c>
      <x:c r="BB6" s="117" t="n">
        <x:f>SUM('CF_1'!BB34,'CF_2'!BB34,'CF_3'!BB34)</x:f>
        <x:v>0</x:v>
      </x:c>
      <x:c r="BC6" s="117" t="n">
        <x:f>SUM('CF_1'!BC34,'CF_2'!BC34,'CF_3'!BC34)</x:f>
        <x:v>0</x:v>
      </x:c>
      <x:c r="BD6" s="117" t="n">
        <x:f>SUM('CF_1'!BD34,'CF_2'!BD34,'CF_3'!BD34)</x:f>
        <x:v>0</x:v>
      </x:c>
      <x:c r="BE6" s="117" t="n">
        <x:f>SUM('CF_1'!BE34,'CF_2'!BE34,'CF_3'!BE34)</x:f>
        <x:v>0</x:v>
      </x:c>
      <x:c r="BF6" s="117" t="n">
        <x:f>SUM('CF_1'!BF34,'CF_2'!BF34,'CF_3'!BF34)</x:f>
        <x:v>0</x:v>
      </x:c>
      <x:c r="BG6" s="117" t="n">
        <x:f>SUM('CF_1'!BG34,'CF_2'!BG34,'CF_3'!BG34)</x:f>
        <x:v>0</x:v>
      </x:c>
      <x:c r="BH6" s="117" t="n">
        <x:f>SUM('CF_1'!BH34,'CF_2'!BH34,'CF_3'!BH34)</x:f>
        <x:v>0</x:v>
      </x:c>
      <x:c r="BI6" s="117" t="n">
        <x:f>SUM('CF_1'!BI34,'CF_2'!BI34,'CF_3'!BI34)</x:f>
        <x:v>0</x:v>
      </x:c>
      <x:c r="BJ6" s="117" t="n">
        <x:f>SUM('CF_1'!BJ34,'CF_2'!BJ34,'CF_3'!BJ34)</x:f>
        <x:v>0</x:v>
      </x:c>
      <x:c r="BK6" s="117" t="n">
        <x:f>SUM('CF_1'!BK34,'CF_2'!BK34,'CF_3'!BK34)</x:f>
        <x:v>0</x:v>
      </x:c>
      <x:c r="BL6" s="117" t="n">
        <x:f>SUM('CF_1'!BL34,'CF_2'!BL34,'CF_3'!BL34)</x:f>
        <x:v>0</x:v>
      </x:c>
      <x:c r="BM6" s="117" t="n">
        <x:f>SUM('CF_1'!BM34,'CF_2'!BM34,'CF_3'!BM34)</x:f>
        <x:v>0</x:v>
      </x:c>
      <x:c r="BN6" s="117" t="n">
        <x:f>SUM('CF_1'!BN34,'CF_2'!BN34,'CF_3'!BN34)</x:f>
        <x:v>0</x:v>
      </x:c>
      <x:c r="BO6" s="117" t="n">
        <x:f>SUM('CF_1'!BO34,'CF_2'!BO34,'CF_3'!BO34)</x:f>
        <x:v>0</x:v>
      </x:c>
      <x:c r="BP6" s="117" t="n">
        <x:f>SUM('CF_1'!BP34,'CF_2'!BP34,'CF_3'!BP34)</x:f>
        <x:v>0</x:v>
      </x:c>
      <x:c r="BQ6" s="117" t="n">
        <x:f>SUM('CF_1'!BQ34,'CF_2'!BQ34,'CF_3'!BQ34)</x:f>
        <x:v>0</x:v>
      </x:c>
      <x:c r="BR6" s="117" t="n">
        <x:f>SUM('CF_1'!BR34,'CF_2'!BR34,'CF_3'!BR34)</x:f>
        <x:v>0</x:v>
      </x:c>
      <x:c r="BS6" s="117" t="n">
        <x:f>SUM('CF_1'!BS34,'CF_2'!BS34,'CF_3'!BS34)</x:f>
        <x:v>0</x:v>
      </x:c>
      <x:c r="BT6" s="117" t="n">
        <x:f>SUM('CF_1'!BT34,'CF_2'!BT34,'CF_3'!BT34)</x:f>
        <x:v>0</x:v>
      </x:c>
      <x:c r="BU6" s="117" t="n">
        <x:f>SUM('CF_1'!BU34,'CF_2'!BU34,'CF_3'!BU34)</x:f>
        <x:v>0</x:v>
      </x:c>
      <x:c r="BV6" s="117" t="n">
        <x:f>SUM('CF_1'!BV34,'CF_2'!BV34,'CF_3'!BV34)</x:f>
        <x:v>0</x:v>
      </x:c>
      <x:c r="BW6" s="117" t="n">
        <x:f>SUM('CF_1'!BW34,'CF_2'!BW34,'CF_3'!BW34)</x:f>
        <x:v>0</x:v>
      </x:c>
      <x:c r="BX6" s="117" t="n">
        <x:f>SUM('CF_1'!BX34,'CF_2'!BX34,'CF_3'!BX34)</x:f>
        <x:v>0</x:v>
      </x:c>
      <x:c r="BY6" s="117" t="n">
        <x:f>SUM('CF_1'!BY34,'CF_2'!BY34,'CF_3'!BY34)</x:f>
        <x:v>0</x:v>
      </x:c>
      <x:c r="BZ6" s="117" t="n">
        <x:f>SUM('CF_1'!BZ34,'CF_2'!BZ34,'CF_3'!BZ34)</x:f>
        <x:v>0</x:v>
      </x:c>
      <x:c r="CA6" s="117" t="n">
        <x:f>SUM('CF_1'!CA34,'CF_2'!CA34,'CF_3'!CA34)</x:f>
        <x:v>0</x:v>
      </x:c>
      <x:c r="CB6" s="117" t="n">
        <x:f>SUM('CF_1'!CB34,'CF_2'!CB34,'CF_3'!CB34)</x:f>
        <x:v>0</x:v>
      </x:c>
      <x:c r="CC6" s="117" t="n">
        <x:f>SUM('CF_1'!CC34,'CF_2'!CC34,'CF_3'!CC34)</x:f>
        <x:v>0</x:v>
      </x:c>
      <x:c r="CD6" s="117" t="n">
        <x:f>SUM('CF_1'!CD34,'CF_2'!CD34,'CF_3'!CD34)</x:f>
        <x:v>0</x:v>
      </x:c>
      <x:c r="CE6" s="117" t="n">
        <x:f>SUM('CF_1'!CE34,'CF_2'!CE34,'CF_3'!CE34)</x:f>
        <x:v>0</x:v>
      </x:c>
      <x:c r="CF6" s="117" t="n">
        <x:f>SUM('CF_1'!CF34,'CF_2'!CF34,'CF_3'!CF34)</x:f>
        <x:v>0</x:v>
      </x:c>
      <x:c r="CG6" s="117" t="n">
        <x:f>SUM('CF_1'!CG34,'CF_2'!CG34,'CF_3'!CG34)</x:f>
        <x:v>0</x:v>
      </x:c>
      <x:c r="CH6" s="117" t="n">
        <x:f>SUM('CF_1'!CH34,'CF_2'!CH34,'CF_3'!CH34)</x:f>
        <x:v>0</x:v>
      </x:c>
      <x:c r="CI6" s="117" t="n">
        <x:f>SUM('CF_1'!CI34,'CF_2'!CI34,'CF_3'!CI34)</x:f>
        <x:v>0</x:v>
      </x:c>
      <x:c r="CJ6" s="117" t="n">
        <x:f>SUM('CF_1'!CJ34,'CF_2'!CJ34,'CF_3'!CJ34)</x:f>
        <x:v>0</x:v>
      </x:c>
      <x:c r="CK6" s="117" t="n">
        <x:f>SUM('CF_1'!CK34,'CF_2'!CK34,'CF_3'!CK34)</x:f>
        <x:v>0</x:v>
      </x:c>
      <x:c r="CL6" s="117" t="n">
        <x:f>SUM('CF_1'!CL34,'CF_2'!CL34,'CF_3'!CL34)</x:f>
        <x:v>0</x:v>
      </x:c>
      <x:c r="CM6" s="117" t="n">
        <x:f>SUM('CF_1'!CM34,'CF_2'!CM34,'CF_3'!CM34)</x:f>
        <x:v>0</x:v>
      </x:c>
      <x:c r="CN6" s="117" t="n">
        <x:f>SUM('CF_1'!CN34,'CF_2'!CN34,'CF_3'!CN34)</x:f>
        <x:v>0</x:v>
      </x:c>
      <x:c r="CO6" s="117" t="n">
        <x:f>SUM('CF_1'!CO34,'CF_2'!CO34,'CF_3'!CO34)</x:f>
        <x:v>0</x:v>
      </x:c>
      <x:c r="CP6" s="117" t="n">
        <x:f>SUM('CF_1'!CP34,'CF_2'!CP34,'CF_3'!CP34)</x:f>
        <x:v>0</x:v>
      </x:c>
      <x:c r="CQ6" s="117" t="n">
        <x:f>SUM('CF_1'!CQ34,'CF_2'!CQ34,'CF_3'!CQ34)</x:f>
        <x:v>0</x:v>
      </x:c>
      <x:c r="CR6" s="117" t="n">
        <x:f>SUM('CF_1'!CR34,'CF_2'!CR34,'CF_3'!CR34)</x:f>
        <x:v>0</x:v>
      </x:c>
      <x:c r="CS6" s="117" t="n">
        <x:f>SUM('CF_1'!CS34,'CF_2'!CS34,'CF_3'!CS34)</x:f>
        <x:v>0</x:v>
      </x:c>
      <x:c r="CT6" s="117" t="n">
        <x:f>SUM('CF_1'!CT34,'CF_2'!CT34,'CF_3'!CT34)</x:f>
        <x:v>0</x:v>
      </x:c>
      <x:c r="CU6" s="117" t="n">
        <x:f>SUM('CF_1'!CU34,'CF_2'!CU34,'CF_3'!CU34)</x:f>
        <x:v>0</x:v>
      </x:c>
      <x:c r="CV6" s="117" t="n">
        <x:f>SUM('CF_1'!CV34,'CF_2'!CV34,'CF_3'!CV34)</x:f>
        <x:v>0</x:v>
      </x:c>
      <x:c r="CW6" s="117" t="n">
        <x:f>SUM('CF_1'!CW34,'CF_2'!CW34,'CF_3'!CW34)</x:f>
        <x:v>0</x:v>
      </x:c>
      <x:c r="CX6" s="117" t="n">
        <x:f>SUM('CF_1'!CX34,'CF_2'!CX34,'CF_3'!CX34)</x:f>
        <x:v>0</x:v>
      </x:c>
      <x:c r="CY6" s="117" t="n">
        <x:f>SUM('CF_1'!CY34,'CF_2'!CY34,'CF_3'!CY34)</x:f>
        <x:v>0</x:v>
      </x:c>
      <x:c r="CZ6" s="117" t="n">
        <x:f>SUM('CF_1'!CZ34,'CF_2'!CZ34,'CF_3'!CZ34)</x:f>
        <x:v>0</x:v>
      </x:c>
      <x:c r="DA6" s="117" t="n">
        <x:f>SUM('CF_1'!DA34,'CF_2'!DA34,'CF_3'!DA34)</x:f>
        <x:v>0</x:v>
      </x:c>
      <x:c r="DB6" s="117" t="n">
        <x:f>SUM('CF_1'!DB34,'CF_2'!DB34,'CF_3'!DB34)</x:f>
        <x:v>0</x:v>
      </x:c>
      <x:c r="DC6" s="117" t="n">
        <x:f>SUM('CF_1'!DC34,'CF_2'!DC34,'CF_3'!DC34)</x:f>
        <x:v>0</x:v>
      </x:c>
      <x:c r="DD6" s="117" t="n">
        <x:f>SUM('CF_1'!DD34,'CF_2'!DD34,'CF_3'!DD34)</x:f>
        <x:v>0</x:v>
      </x:c>
      <x:c r="DE6" s="117" t="n">
        <x:f>SUM('CF_1'!DE34,'CF_2'!DE34,'CF_3'!DE34)</x:f>
        <x:v>0</x:v>
      </x:c>
      <x:c r="DF6" s="117" t="n">
        <x:f>SUM('CF_1'!DF34,'CF_2'!DF34,'CF_3'!DF34)</x:f>
        <x:v>0</x:v>
      </x:c>
      <x:c r="DG6" s="117" t="n">
        <x:f>SUM('CF_1'!DG34,'CF_2'!DG34,'CF_3'!DG34)</x:f>
        <x:v>0</x:v>
      </x:c>
      <x:c r="DH6" s="117" t="n">
        <x:f>SUM('CF_1'!DH34,'CF_2'!DH34,'CF_3'!DH34)</x:f>
        <x:v>0</x:v>
      </x:c>
      <x:c r="DI6" s="117" t="n">
        <x:f>SUM('CF_1'!DI34,'CF_2'!DI34,'CF_3'!DI34)</x:f>
        <x:v>0</x:v>
      </x:c>
      <x:c r="DJ6" s="117" t="n">
        <x:f>SUM('CF_1'!DJ34,'CF_2'!DJ34,'CF_3'!DJ34)</x:f>
        <x:v>0</x:v>
      </x:c>
      <x:c r="DK6" s="117" t="n">
        <x:f>SUM('CF_1'!DK34,'CF_2'!DK34,'CF_3'!DK34)</x:f>
        <x:v>0</x:v>
      </x:c>
      <x:c r="DL6" s="117" t="n">
        <x:f>SUM('CF_1'!DL34,'CF_2'!DL34,'CF_3'!DL34)</x:f>
        <x:v>0</x:v>
      </x:c>
      <x:c r="DM6" s="117" t="n">
        <x:f>SUM('CF_1'!DM34,'CF_2'!DM34,'CF_3'!DM34)</x:f>
        <x:v>0</x:v>
      </x:c>
      <x:c r="DN6" s="117" t="n">
        <x:f>SUM('CF_1'!DN34,'CF_2'!DN34,'CF_3'!DN34)</x:f>
        <x:v>0</x:v>
      </x:c>
      <x:c r="DO6" s="117" t="n">
        <x:f>SUM('CF_1'!DO34,'CF_2'!DO34,'CF_3'!DO34)</x:f>
        <x:v>0</x:v>
      </x:c>
      <x:c r="DP6" s="117" t="n">
        <x:f>SUM('CF_1'!DP34,'CF_2'!DP34,'CF_3'!DP34)</x:f>
        <x:v>0</x:v>
      </x:c>
      <x:c r="DQ6" s="117" t="n">
        <x:f>SUM('CF_1'!DQ34,'CF_2'!DQ34,'CF_3'!DQ34)</x:f>
        <x:v>0</x:v>
      </x:c>
      <x:c r="DR6" s="117" t="n">
        <x:f>SUM('CF_1'!DR34,'CF_2'!DR34,'CF_3'!DR34)</x:f>
        <x:v>0</x:v>
      </x:c>
      <x:c r="DS6" s="117" t="n">
        <x:f>SUM('CF_1'!DS34,'CF_2'!DS34,'CF_3'!DS34)</x:f>
        <x:v>0</x:v>
      </x:c>
    </x:row>
    <x:row r="7">
      <x:c r="A7" t="str">
        <x:v>БРИДЖ — проценты</x:v>
      </x:c>
      <x:c r="B7" s="107" t="n">
        <x:f>SUM(D7:DS7)</x:f>
        <x:v>241.61167567656668</x:v>
      </x:c>
      <x:c r="C7" t="str">
        <x:v>млн ₽</x:v>
      </x:c>
      <x:c r="D7" s="117" t="n">
        <x:f>SUM('CF_1'!D32,'CF_2'!D32,'CF_3'!D32)</x:f>
        <x:v>0</x:v>
      </x:c>
      <x:c r="E7" s="117" t="n">
        <x:f>SUM('CF_1'!E32,'CF_2'!E32,'CF_3'!E32)</x:f>
        <x:v>11.676765524588019</x:v>
      </x:c>
      <x:c r="F7" s="117" t="n">
        <x:f>SUM('CF_1'!F32,'CF_2'!F32,'CF_3'!F32)</x:f>
        <x:v>11.68409329544202</x:v>
      </x:c>
      <x:c r="G7" s="117" t="n">
        <x:f>SUM('CF_1'!G32,'CF_2'!G32,'CF_3'!G32)</x:f>
        <x:v>11.688649979228671</x:v>
      </x:c>
      <x:c r="H7" s="117" t="n">
        <x:f>SUM('CF_1'!H32,'CF_2'!H32,'CF_3'!H32)</x:f>
        <x:v>11.690435575947973</x:v>
      </x:c>
      <x:c r="I7" s="117" t="n">
        <x:f>SUM('CF_1'!I32,'CF_2'!I32,'CF_3'!I32)</x:f>
        <x:v>11.689450085599923</x:v>
      </x:c>
      <x:c r="J7" s="117" t="n">
        <x:f>SUM('CF_1'!J32,'CF_2'!J32,'CF_3'!J32)</x:f>
        <x:v>11.685693508184523</x:v>
      </x:c>
      <x:c r="K7" s="117" t="n">
        <x:f>SUM('CF_1'!K32,'CF_2'!K32,'CF_3'!K32)</x:f>
        <x:v>11.679165843701776</x:v>
      </x:c>
      <x:c r="L7" s="117" t="n">
        <x:f>SUM('CF_1'!L32,'CF_2'!L32,'CF_3'!L32)</x:f>
        <x:v>11.669867092151677</x:v>
      </x:c>
      <x:c r="M7" s="117" t="n">
        <x:f>SUM('CF_1'!M32,'CF_2'!M32,'CF_3'!M32)</x:f>
        <x:v>11.657797253534229</x:v>
      </x:c>
      <x:c r="N7" s="117" t="n">
        <x:f>SUM('CF_1'!N32,'CF_2'!N32,'CF_3'!N32)</x:f>
        <x:v>11.642956327849427</x:v>
      </x:c>
      <x:c r="O7" s="117" t="n">
        <x:f>SUM('CF_1'!O32,'CF_2'!O32,'CF_3'!O32)</x:f>
        <x:v>11.62534431509728</x:v>
      </x:c>
      <x:c r="P7" s="117" t="n">
        <x:f>SUM('CF_1'!P32,'CF_2'!P32,'CF_3'!P32)</x:f>
        <x:v>11.604961215277777</x:v>
      </x:c>
      <x:c r="Q7" s="117" t="n">
        <x:f>SUM('CF_1'!Q32,'CF_2'!Q32,'CF_3'!Q32)</x:f>
        <x:v>11.955984285335374</x:v>
      </x:c>
      <x:c r="R7" s="117" t="n">
        <x:f>SUM('CF_1'!R32,'CF_2'!R32,'CF_3'!R32)</x:f>
        <x:v>12.295219948881174</x:v>
      </x:c>
      <x:c r="S7" s="117" t="n">
        <x:f>SUM('CF_1'!S32,'CF_2'!S32,'CF_3'!S32)</x:f>
        <x:v>12.622668205915181</x:v>
      </x:c>
      <x:c r="T7" s="117" t="n">
        <x:f>SUM('CF_1'!T32,'CF_2'!T32,'CF_3'!T32)</x:f>
        <x:v>12.938329056437391</x:v>
      </x:c>
      <x:c r="U7" s="117" t="n">
        <x:f>SUM('CF_1'!U32,'CF_2'!U32,'CF_3'!U32)</x:f>
        <x:v>13.242202500447808</x:v>
      </x:c>
      <x:c r="V7" s="117" t="n">
        <x:f>SUM('CF_1'!V32,'CF_2'!V32,'CF_3'!V32)</x:f>
        <x:v>38.56209166294643</x:v>
      </x:c>
      <x:c r="W7" s="117" t="n">
        <x:f>SUM('CF_1'!W32,'CF_2'!W32,'CF_3'!W32)</x:f>
        <x:v>0</x:v>
      </x:c>
      <x:c r="X7" s="117" t="n">
        <x:f>SUM('CF_1'!X32,'CF_2'!X32,'CF_3'!X32)</x:f>
        <x:v>0</x:v>
      </x:c>
      <x:c r="Y7" s="117" t="n">
        <x:f>SUM('CF_1'!Y32,'CF_2'!Y32,'CF_3'!Y32)</x:f>
        <x:v>0</x:v>
      </x:c>
      <x:c r="Z7" s="117" t="n">
        <x:f>SUM('CF_1'!Z32,'CF_2'!Z32,'CF_3'!Z32)</x:f>
        <x:v>0</x:v>
      </x:c>
      <x:c r="AA7" s="117" t="n">
        <x:f>SUM('CF_1'!AA32,'CF_2'!AA32,'CF_3'!AA32)</x:f>
        <x:v>0</x:v>
      </x:c>
      <x:c r="AB7" s="117" t="n">
        <x:f>SUM('CF_1'!AB32,'CF_2'!AB32,'CF_3'!AB32)</x:f>
        <x:v>0</x:v>
      </x:c>
      <x:c r="AC7" s="117" t="n">
        <x:f>SUM('CF_1'!AC32,'CF_2'!AC32,'CF_3'!AC32)</x:f>
        <x:v>0</x:v>
      </x:c>
      <x:c r="AD7" s="117" t="n">
        <x:f>SUM('CF_1'!AD32,'CF_2'!AD32,'CF_3'!AD32)</x:f>
        <x:v>0</x:v>
      </x:c>
      <x:c r="AE7" s="117" t="n">
        <x:f>SUM('CF_1'!AE32,'CF_2'!AE32,'CF_3'!AE32)</x:f>
        <x:v>0</x:v>
      </x:c>
      <x:c r="AF7" s="117" t="n">
        <x:f>SUM('CF_1'!AF32,'CF_2'!AF32,'CF_3'!AF32)</x:f>
        <x:v>0</x:v>
      </x:c>
      <x:c r="AG7" s="117" t="n">
        <x:f>SUM('CF_1'!AG32,'CF_2'!AG32,'CF_3'!AG32)</x:f>
        <x:v>0</x:v>
      </x:c>
      <x:c r="AH7" s="117" t="n">
        <x:f>SUM('CF_1'!AH32,'CF_2'!AH32,'CF_3'!AH32)</x:f>
        <x:v>0</x:v>
      </x:c>
      <x:c r="AI7" s="117" t="n">
        <x:f>SUM('CF_1'!AI32,'CF_2'!AI32,'CF_3'!AI32)</x:f>
        <x:v>0</x:v>
      </x:c>
      <x:c r="AJ7" s="117" t="n">
        <x:f>SUM('CF_1'!AJ32,'CF_2'!AJ32,'CF_3'!AJ32)</x:f>
        <x:v>0</x:v>
      </x:c>
      <x:c r="AK7" s="117" t="n">
        <x:f>SUM('CF_1'!AK32,'CF_2'!AK32,'CF_3'!AK32)</x:f>
        <x:v>0</x:v>
      </x:c>
      <x:c r="AL7" s="117" t="n">
        <x:f>SUM('CF_1'!AL32,'CF_2'!AL32,'CF_3'!AL32)</x:f>
        <x:v>0</x:v>
      </x:c>
      <x:c r="AM7" s="117" t="n">
        <x:f>SUM('CF_1'!AM32,'CF_2'!AM32,'CF_3'!AM32)</x:f>
        <x:v>0</x:v>
      </x:c>
      <x:c r="AN7" s="117" t="n">
        <x:f>SUM('CF_1'!AN32,'CF_2'!AN32,'CF_3'!AN32)</x:f>
        <x:v>0</x:v>
      </x:c>
      <x:c r="AO7" s="117" t="n">
        <x:f>SUM('CF_1'!AO32,'CF_2'!AO32,'CF_3'!AO32)</x:f>
        <x:v>0</x:v>
      </x:c>
      <x:c r="AP7" s="117" t="n">
        <x:f>SUM('CF_1'!AP32,'CF_2'!AP32,'CF_3'!AP32)</x:f>
        <x:v>0</x:v>
      </x:c>
      <x:c r="AQ7" s="117" t="n">
        <x:f>SUM('CF_1'!AQ32,'CF_2'!AQ32,'CF_3'!AQ32)</x:f>
        <x:v>0</x:v>
      </x:c>
      <x:c r="AR7" s="117" t="n">
        <x:f>SUM('CF_1'!AR32,'CF_2'!AR32,'CF_3'!AR32)</x:f>
        <x:v>0</x:v>
      </x:c>
      <x:c r="AS7" s="117" t="n">
        <x:f>SUM('CF_1'!AS32,'CF_2'!AS32,'CF_3'!AS32)</x:f>
        <x:v>0</x:v>
      </x:c>
      <x:c r="AT7" s="117" t="n">
        <x:f>SUM('CF_1'!AT32,'CF_2'!AT32,'CF_3'!AT32)</x:f>
        <x:v>0</x:v>
      </x:c>
      <x:c r="AU7" s="117" t="n">
        <x:f>SUM('CF_1'!AU32,'CF_2'!AU32,'CF_3'!AU32)</x:f>
        <x:v>0</x:v>
      </x:c>
      <x:c r="AV7" s="117" t="n">
        <x:f>SUM('CF_1'!AV32,'CF_2'!AV32,'CF_3'!AV32)</x:f>
        <x:v>0</x:v>
      </x:c>
      <x:c r="AW7" s="117" t="n">
        <x:f>SUM('CF_1'!AW32,'CF_2'!AW32,'CF_3'!AW32)</x:f>
        <x:v>0</x:v>
      </x:c>
      <x:c r="AX7" s="117" t="n">
        <x:f>SUM('CF_1'!AX32,'CF_2'!AX32,'CF_3'!AX32)</x:f>
        <x:v>0</x:v>
      </x:c>
      <x:c r="AY7" s="117" t="n">
        <x:f>SUM('CF_1'!AY32,'CF_2'!AY32,'CF_3'!AY32)</x:f>
        <x:v>0</x:v>
      </x:c>
      <x:c r="AZ7" s="117" t="n">
        <x:f>SUM('CF_1'!AZ32,'CF_2'!AZ32,'CF_3'!AZ32)</x:f>
        <x:v>0</x:v>
      </x:c>
      <x:c r="BA7" s="117" t="n">
        <x:f>SUM('CF_1'!BA32,'CF_2'!BA32,'CF_3'!BA32)</x:f>
        <x:v>0</x:v>
      </x:c>
      <x:c r="BB7" s="117" t="n">
        <x:f>SUM('CF_1'!BB32,'CF_2'!BB32,'CF_3'!BB32)</x:f>
        <x:v>0</x:v>
      </x:c>
      <x:c r="BC7" s="117" t="n">
        <x:f>SUM('CF_1'!BC32,'CF_2'!BC32,'CF_3'!BC32)</x:f>
        <x:v>0</x:v>
      </x:c>
      <x:c r="BD7" s="117" t="n">
        <x:f>SUM('CF_1'!BD32,'CF_2'!BD32,'CF_3'!BD32)</x:f>
        <x:v>0</x:v>
      </x:c>
      <x:c r="BE7" s="117" t="n">
        <x:f>SUM('CF_1'!BE32,'CF_2'!BE32,'CF_3'!BE32)</x:f>
        <x:v>0</x:v>
      </x:c>
      <x:c r="BF7" s="117" t="n">
        <x:f>SUM('CF_1'!BF32,'CF_2'!BF32,'CF_3'!BF32)</x:f>
        <x:v>0</x:v>
      </x:c>
      <x:c r="BG7" s="117" t="n">
        <x:f>SUM('CF_1'!BG32,'CF_2'!BG32,'CF_3'!BG32)</x:f>
        <x:v>0</x:v>
      </x:c>
      <x:c r="BH7" s="117" t="n">
        <x:f>SUM('CF_1'!BH32,'CF_2'!BH32,'CF_3'!BH32)</x:f>
        <x:v>0</x:v>
      </x:c>
      <x:c r="BI7" s="117" t="n">
        <x:f>SUM('CF_1'!BI32,'CF_2'!BI32,'CF_3'!BI32)</x:f>
        <x:v>0</x:v>
      </x:c>
      <x:c r="BJ7" s="117" t="n">
        <x:f>SUM('CF_1'!BJ32,'CF_2'!BJ32,'CF_3'!BJ32)</x:f>
        <x:v>0</x:v>
      </x:c>
      <x:c r="BK7" s="117" t="n">
        <x:f>SUM('CF_1'!BK32,'CF_2'!BK32,'CF_3'!BK32)</x:f>
        <x:v>0</x:v>
      </x:c>
      <x:c r="BL7" s="117" t="n">
        <x:f>SUM('CF_1'!BL32,'CF_2'!BL32,'CF_3'!BL32)</x:f>
        <x:v>0</x:v>
      </x:c>
      <x:c r="BM7" s="117" t="n">
        <x:f>SUM('CF_1'!BM32,'CF_2'!BM32,'CF_3'!BM32)</x:f>
        <x:v>0</x:v>
      </x:c>
      <x:c r="BN7" s="117" t="n">
        <x:f>SUM('CF_1'!BN32,'CF_2'!BN32,'CF_3'!BN32)</x:f>
        <x:v>0</x:v>
      </x:c>
      <x:c r="BO7" s="117" t="n">
        <x:f>SUM('CF_1'!BO32,'CF_2'!BO32,'CF_3'!BO32)</x:f>
        <x:v>0</x:v>
      </x:c>
      <x:c r="BP7" s="117" t="n">
        <x:f>SUM('CF_1'!BP32,'CF_2'!BP32,'CF_3'!BP32)</x:f>
        <x:v>0</x:v>
      </x:c>
      <x:c r="BQ7" s="117" t="n">
        <x:f>SUM('CF_1'!BQ32,'CF_2'!BQ32,'CF_3'!BQ32)</x:f>
        <x:v>0</x:v>
      </x:c>
      <x:c r="BR7" s="117" t="n">
        <x:f>SUM('CF_1'!BR32,'CF_2'!BR32,'CF_3'!BR32)</x:f>
        <x:v>0</x:v>
      </x:c>
      <x:c r="BS7" s="117" t="n">
        <x:f>SUM('CF_1'!BS32,'CF_2'!BS32,'CF_3'!BS32)</x:f>
        <x:v>0</x:v>
      </x:c>
      <x:c r="BT7" s="117" t="n">
        <x:f>SUM('CF_1'!BT32,'CF_2'!BT32,'CF_3'!BT32)</x:f>
        <x:v>0</x:v>
      </x:c>
      <x:c r="BU7" s="117" t="n">
        <x:f>SUM('CF_1'!BU32,'CF_2'!BU32,'CF_3'!BU32)</x:f>
        <x:v>0</x:v>
      </x:c>
      <x:c r="BV7" s="117" t="n">
        <x:f>SUM('CF_1'!BV32,'CF_2'!BV32,'CF_3'!BV32)</x:f>
        <x:v>0</x:v>
      </x:c>
      <x:c r="BW7" s="117" t="n">
        <x:f>SUM('CF_1'!BW32,'CF_2'!BW32,'CF_3'!BW32)</x:f>
        <x:v>0</x:v>
      </x:c>
      <x:c r="BX7" s="117" t="n">
        <x:f>SUM('CF_1'!BX32,'CF_2'!BX32,'CF_3'!BX32)</x:f>
        <x:v>0</x:v>
      </x:c>
      <x:c r="BY7" s="117" t="n">
        <x:f>SUM('CF_1'!BY32,'CF_2'!BY32,'CF_3'!BY32)</x:f>
        <x:v>0</x:v>
      </x:c>
      <x:c r="BZ7" s="117" t="n">
        <x:f>SUM('CF_1'!BZ32,'CF_2'!BZ32,'CF_3'!BZ32)</x:f>
        <x:v>0</x:v>
      </x:c>
      <x:c r="CA7" s="117" t="n">
        <x:f>SUM('CF_1'!CA32,'CF_2'!CA32,'CF_3'!CA32)</x:f>
        <x:v>0</x:v>
      </x:c>
      <x:c r="CB7" s="117" t="n">
        <x:f>SUM('CF_1'!CB32,'CF_2'!CB32,'CF_3'!CB32)</x:f>
        <x:v>0</x:v>
      </x:c>
      <x:c r="CC7" s="117" t="n">
        <x:f>SUM('CF_1'!CC32,'CF_2'!CC32,'CF_3'!CC32)</x:f>
        <x:v>0</x:v>
      </x:c>
      <x:c r="CD7" s="117" t="n">
        <x:f>SUM('CF_1'!CD32,'CF_2'!CD32,'CF_3'!CD32)</x:f>
        <x:v>0</x:v>
      </x:c>
      <x:c r="CE7" s="117" t="n">
        <x:f>SUM('CF_1'!CE32,'CF_2'!CE32,'CF_3'!CE32)</x:f>
        <x:v>0</x:v>
      </x:c>
      <x:c r="CF7" s="117" t="n">
        <x:f>SUM('CF_1'!CF32,'CF_2'!CF32,'CF_3'!CF32)</x:f>
        <x:v>0</x:v>
      </x:c>
      <x:c r="CG7" s="117" t="n">
        <x:f>SUM('CF_1'!CG32,'CF_2'!CG32,'CF_3'!CG32)</x:f>
        <x:v>0</x:v>
      </x:c>
      <x:c r="CH7" s="117" t="n">
        <x:f>SUM('CF_1'!CH32,'CF_2'!CH32,'CF_3'!CH32)</x:f>
        <x:v>0</x:v>
      </x:c>
      <x:c r="CI7" s="117" t="n">
        <x:f>SUM('CF_1'!CI32,'CF_2'!CI32,'CF_3'!CI32)</x:f>
        <x:v>0</x:v>
      </x:c>
      <x:c r="CJ7" s="117" t="n">
        <x:f>SUM('CF_1'!CJ32,'CF_2'!CJ32,'CF_3'!CJ32)</x:f>
        <x:v>0</x:v>
      </x:c>
      <x:c r="CK7" s="117" t="n">
        <x:f>SUM('CF_1'!CK32,'CF_2'!CK32,'CF_3'!CK32)</x:f>
        <x:v>0</x:v>
      </x:c>
      <x:c r="CL7" s="117" t="n">
        <x:f>SUM('CF_1'!CL32,'CF_2'!CL32,'CF_3'!CL32)</x:f>
        <x:v>0</x:v>
      </x:c>
      <x:c r="CM7" s="117" t="n">
        <x:f>SUM('CF_1'!CM32,'CF_2'!CM32,'CF_3'!CM32)</x:f>
        <x:v>0</x:v>
      </x:c>
      <x:c r="CN7" s="117" t="n">
        <x:f>SUM('CF_1'!CN32,'CF_2'!CN32,'CF_3'!CN32)</x:f>
        <x:v>0</x:v>
      </x:c>
      <x:c r="CO7" s="117" t="n">
        <x:f>SUM('CF_1'!CO32,'CF_2'!CO32,'CF_3'!CO32)</x:f>
        <x:v>0</x:v>
      </x:c>
      <x:c r="CP7" s="117" t="n">
        <x:f>SUM('CF_1'!CP32,'CF_2'!CP32,'CF_3'!CP32)</x:f>
        <x:v>0</x:v>
      </x:c>
      <x:c r="CQ7" s="117" t="n">
        <x:f>SUM('CF_1'!CQ32,'CF_2'!CQ32,'CF_3'!CQ32)</x:f>
        <x:v>0</x:v>
      </x:c>
      <x:c r="CR7" s="117" t="n">
        <x:f>SUM('CF_1'!CR32,'CF_2'!CR32,'CF_3'!CR32)</x:f>
        <x:v>0</x:v>
      </x:c>
      <x:c r="CS7" s="117" t="n">
        <x:f>SUM('CF_1'!CS32,'CF_2'!CS32,'CF_3'!CS32)</x:f>
        <x:v>0</x:v>
      </x:c>
      <x:c r="CT7" s="117" t="n">
        <x:f>SUM('CF_1'!CT32,'CF_2'!CT32,'CF_3'!CT32)</x:f>
        <x:v>0</x:v>
      </x:c>
      <x:c r="CU7" s="117" t="n">
        <x:f>SUM('CF_1'!CU32,'CF_2'!CU32,'CF_3'!CU32)</x:f>
        <x:v>0</x:v>
      </x:c>
      <x:c r="CV7" s="117" t="n">
        <x:f>SUM('CF_1'!CV32,'CF_2'!CV32,'CF_3'!CV32)</x:f>
        <x:v>0</x:v>
      </x:c>
      <x:c r="CW7" s="117" t="n">
        <x:f>SUM('CF_1'!CW32,'CF_2'!CW32,'CF_3'!CW32)</x:f>
        <x:v>0</x:v>
      </x:c>
      <x:c r="CX7" s="117" t="n">
        <x:f>SUM('CF_1'!CX32,'CF_2'!CX32,'CF_3'!CX32)</x:f>
        <x:v>0</x:v>
      </x:c>
      <x:c r="CY7" s="117" t="n">
        <x:f>SUM('CF_1'!CY32,'CF_2'!CY32,'CF_3'!CY32)</x:f>
        <x:v>0</x:v>
      </x:c>
      <x:c r="CZ7" s="117" t="n">
        <x:f>SUM('CF_1'!CZ32,'CF_2'!CZ32,'CF_3'!CZ32)</x:f>
        <x:v>0</x:v>
      </x:c>
      <x:c r="DA7" s="117" t="n">
        <x:f>SUM('CF_1'!DA32,'CF_2'!DA32,'CF_3'!DA32)</x:f>
        <x:v>0</x:v>
      </x:c>
      <x:c r="DB7" s="117" t="n">
        <x:f>SUM('CF_1'!DB32,'CF_2'!DB32,'CF_3'!DB32)</x:f>
        <x:v>0</x:v>
      </x:c>
      <x:c r="DC7" s="117" t="n">
        <x:f>SUM('CF_1'!DC32,'CF_2'!DC32,'CF_3'!DC32)</x:f>
        <x:v>0</x:v>
      </x:c>
      <x:c r="DD7" s="117" t="n">
        <x:f>SUM('CF_1'!DD32,'CF_2'!DD32,'CF_3'!DD32)</x:f>
        <x:v>0</x:v>
      </x:c>
      <x:c r="DE7" s="117" t="n">
        <x:f>SUM('CF_1'!DE32,'CF_2'!DE32,'CF_3'!DE32)</x:f>
        <x:v>0</x:v>
      </x:c>
      <x:c r="DF7" s="117" t="n">
        <x:f>SUM('CF_1'!DF32,'CF_2'!DF32,'CF_3'!DF32)</x:f>
        <x:v>0</x:v>
      </x:c>
      <x:c r="DG7" s="117" t="n">
        <x:f>SUM('CF_1'!DG32,'CF_2'!DG32,'CF_3'!DG32)</x:f>
        <x:v>0</x:v>
      </x:c>
      <x:c r="DH7" s="117" t="n">
        <x:f>SUM('CF_1'!DH32,'CF_2'!DH32,'CF_3'!DH32)</x:f>
        <x:v>0</x:v>
      </x:c>
      <x:c r="DI7" s="117" t="n">
        <x:f>SUM('CF_1'!DI32,'CF_2'!DI32,'CF_3'!DI32)</x:f>
        <x:v>0</x:v>
      </x:c>
      <x:c r="DJ7" s="117" t="n">
        <x:f>SUM('CF_1'!DJ32,'CF_2'!DJ32,'CF_3'!DJ32)</x:f>
        <x:v>0</x:v>
      </x:c>
      <x:c r="DK7" s="117" t="n">
        <x:f>SUM('CF_1'!DK32,'CF_2'!DK32,'CF_3'!DK32)</x:f>
        <x:v>0</x:v>
      </x:c>
      <x:c r="DL7" s="117" t="n">
        <x:f>SUM('CF_1'!DL32,'CF_2'!DL32,'CF_3'!DL32)</x:f>
        <x:v>0</x:v>
      </x:c>
      <x:c r="DM7" s="117" t="n">
        <x:f>SUM('CF_1'!DM32,'CF_2'!DM32,'CF_3'!DM32)</x:f>
        <x:v>0</x:v>
      </x:c>
      <x:c r="DN7" s="117" t="n">
        <x:f>SUM('CF_1'!DN32,'CF_2'!DN32,'CF_3'!DN32)</x:f>
        <x:v>0</x:v>
      </x:c>
      <x:c r="DO7" s="117" t="n">
        <x:f>SUM('CF_1'!DO32,'CF_2'!DO32,'CF_3'!DO32)</x:f>
        <x:v>0</x:v>
      </x:c>
      <x:c r="DP7" s="117" t="n">
        <x:f>SUM('CF_1'!DP32,'CF_2'!DP32,'CF_3'!DP32)</x:f>
        <x:v>0</x:v>
      </x:c>
      <x:c r="DQ7" s="117" t="n">
        <x:f>SUM('CF_1'!DQ32,'CF_2'!DQ32,'CF_3'!DQ32)</x:f>
        <x:v>0</x:v>
      </x:c>
      <x:c r="DR7" s="117" t="n">
        <x:f>SUM('CF_1'!DR32,'CF_2'!DR32,'CF_3'!DR32)</x:f>
        <x:v>0</x:v>
      </x:c>
      <x:c r="DS7" s="117" t="n">
        <x:f>SUM('CF_1'!DS32,'CF_2'!DS32,'CF_3'!DS32)</x:f>
        <x:v>0</x:v>
      </x:c>
    </x:row>
    <x:row r="8">
      <x:c r="A8" t="str">
        <x:v>БРИДЖ — погашение</x:v>
      </x:c>
      <x:c r="B8" s="107" t="n">
        <x:f>SUM(D8:DS8)</x:f>
        <x:v>3089.2738292479953</x:v>
      </x:c>
      <x:c r="C8" t="str">
        <x:v>млн ₽</x:v>
      </x:c>
      <x:c r="D8" s="117" t="n">
        <x:f>SUM('CF_1'!D35,'CF_2'!D35,'CF_3'!D35)</x:f>
        <x:v>0</x:v>
      </x:c>
      <x:c r="E8" s="117" t="n">
        <x:f>SUM('CF_1'!E35,'CF_2'!E35,'CF_3'!E35)</x:f>
        <x:v>0</x:v>
      </x:c>
      <x:c r="F8" s="117" t="n">
        <x:f>SUM('CF_1'!F35,'CF_2'!F35,'CF_3'!F35)</x:f>
        <x:v>0</x:v>
      </x:c>
      <x:c r="G8" s="117" t="n">
        <x:f>SUM('CF_1'!G35,'CF_2'!G35,'CF_3'!G35)</x:f>
        <x:v>0</x:v>
      </x:c>
      <x:c r="H8" s="117" t="n">
        <x:f>SUM('CF_1'!H35,'CF_2'!H35,'CF_3'!H35)</x:f>
        <x:v>0</x:v>
      </x:c>
      <x:c r="I8" s="117" t="n">
        <x:f>SUM('CF_1'!I35,'CF_2'!I35,'CF_3'!I35)</x:f>
        <x:v>0</x:v>
      </x:c>
      <x:c r="J8" s="117" t="n">
        <x:f>SUM('CF_1'!J35,'CF_2'!J35,'CF_3'!J35)</x:f>
        <x:v>0</x:v>
      </x:c>
      <x:c r="K8" s="117" t="n">
        <x:f>SUM('CF_1'!K35,'CF_2'!K35,'CF_3'!K35)</x:f>
        <x:v>0</x:v>
      </x:c>
      <x:c r="L8" s="117" t="n">
        <x:f>SUM('CF_1'!L35,'CF_2'!L35,'CF_3'!L35)</x:f>
        <x:v>0</x:v>
      </x:c>
      <x:c r="M8" s="117" t="n">
        <x:f>SUM('CF_1'!M35,'CF_2'!M35,'CF_3'!M35)</x:f>
        <x:v>0</x:v>
      </x:c>
      <x:c r="N8" s="117" t="n">
        <x:f>SUM('CF_1'!N35,'CF_2'!N35,'CF_3'!N35)</x:f>
        <x:v>0</x:v>
      </x:c>
      <x:c r="O8" s="117" t="n">
        <x:f>SUM('CF_1'!O35,'CF_2'!O35,'CF_3'!O35)</x:f>
        <x:v>0</x:v>
      </x:c>
      <x:c r="P8" s="117" t="n">
        <x:f>SUM('CF_1'!P35,'CF_2'!P35,'CF_3'!P35)</x:f>
        <x:v>0</x:v>
      </x:c>
      <x:c r="Q8" s="117" t="n">
        <x:f>SUM('CF_1'!Q35,'CF_2'!Q35,'CF_3'!Q35)</x:f>
        <x:v>0</x:v>
      </x:c>
      <x:c r="R8" s="117" t="n">
        <x:f>SUM('CF_1'!R35,'CF_2'!R35,'CF_3'!R35)</x:f>
        <x:v>0</x:v>
      </x:c>
      <x:c r="S8" s="117" t="n">
        <x:f>SUM('CF_1'!S35,'CF_2'!S35,'CF_3'!S35)</x:f>
        <x:v>0</x:v>
      </x:c>
      <x:c r="T8" s="117" t="n">
        <x:f>SUM('CF_1'!T35,'CF_2'!T35,'CF_3'!T35)</x:f>
        <x:v>0</x:v>
      </x:c>
      <x:c r="U8" s="117" t="n">
        <x:f>SUM('CF_1'!U35,'CF_2'!U35,'CF_3'!U35)</x:f>
        <x:v>0</x:v>
      </x:c>
      <x:c r="V8" s="117" t="n">
        <x:f>SUM('CF_1'!V35,'CF_2'!V35,'CF_3'!V35)</x:f>
        <x:v>3089.2738292479953</x:v>
      </x:c>
      <x:c r="W8" s="117" t="n">
        <x:f>SUM('CF_1'!W35,'CF_2'!W35,'CF_3'!W35)</x:f>
        <x:v>0</x:v>
      </x:c>
      <x:c r="X8" s="117" t="n">
        <x:f>SUM('CF_1'!X35,'CF_2'!X35,'CF_3'!X35)</x:f>
        <x:v>0</x:v>
      </x:c>
      <x:c r="Y8" s="117" t="n">
        <x:f>SUM('CF_1'!Y35,'CF_2'!Y35,'CF_3'!Y35)</x:f>
        <x:v>0</x:v>
      </x:c>
      <x:c r="Z8" s="117" t="n">
        <x:f>SUM('CF_1'!Z35,'CF_2'!Z35,'CF_3'!Z35)</x:f>
        <x:v>0</x:v>
      </x:c>
      <x:c r="AA8" s="117" t="n">
        <x:f>SUM('CF_1'!AA35,'CF_2'!AA35,'CF_3'!AA35)</x:f>
        <x:v>0</x:v>
      </x:c>
      <x:c r="AB8" s="117" t="n">
        <x:f>SUM('CF_1'!AB35,'CF_2'!AB35,'CF_3'!AB35)</x:f>
        <x:v>0</x:v>
      </x:c>
      <x:c r="AC8" s="117" t="n">
        <x:f>SUM('CF_1'!AC35,'CF_2'!AC35,'CF_3'!AC35)</x:f>
        <x:v>0</x:v>
      </x:c>
      <x:c r="AD8" s="117" t="n">
        <x:f>SUM('CF_1'!AD35,'CF_2'!AD35,'CF_3'!AD35)</x:f>
        <x:v>0</x:v>
      </x:c>
      <x:c r="AE8" s="117" t="n">
        <x:f>SUM('CF_1'!AE35,'CF_2'!AE35,'CF_3'!AE35)</x:f>
        <x:v>0</x:v>
      </x:c>
      <x:c r="AF8" s="117" t="n">
        <x:f>SUM('CF_1'!AF35,'CF_2'!AF35,'CF_3'!AF35)</x:f>
        <x:v>0</x:v>
      </x:c>
      <x:c r="AG8" s="117" t="n">
        <x:f>SUM('CF_1'!AG35,'CF_2'!AG35,'CF_3'!AG35)</x:f>
        <x:v>0</x:v>
      </x:c>
      <x:c r="AH8" s="117" t="n">
        <x:f>SUM('CF_1'!AH35,'CF_2'!AH35,'CF_3'!AH35)</x:f>
        <x:v>0</x:v>
      </x:c>
      <x:c r="AI8" s="117" t="n">
        <x:f>SUM('CF_1'!AI35,'CF_2'!AI35,'CF_3'!AI35)</x:f>
        <x:v>0</x:v>
      </x:c>
      <x:c r="AJ8" s="117" t="n">
        <x:f>SUM('CF_1'!AJ35,'CF_2'!AJ35,'CF_3'!AJ35)</x:f>
        <x:v>0</x:v>
      </x:c>
      <x:c r="AK8" s="117" t="n">
        <x:f>SUM('CF_1'!AK35,'CF_2'!AK35,'CF_3'!AK35)</x:f>
        <x:v>0</x:v>
      </x:c>
      <x:c r="AL8" s="117" t="n">
        <x:f>SUM('CF_1'!AL35,'CF_2'!AL35,'CF_3'!AL35)</x:f>
        <x:v>0</x:v>
      </x:c>
      <x:c r="AM8" s="117" t="n">
        <x:f>SUM('CF_1'!AM35,'CF_2'!AM35,'CF_3'!AM35)</x:f>
        <x:v>0</x:v>
      </x:c>
      <x:c r="AN8" s="117" t="n">
        <x:f>SUM('CF_1'!AN35,'CF_2'!AN35,'CF_3'!AN35)</x:f>
        <x:v>0</x:v>
      </x:c>
      <x:c r="AO8" s="117" t="n">
        <x:f>SUM('CF_1'!AO35,'CF_2'!AO35,'CF_3'!AO35)</x:f>
        <x:v>0</x:v>
      </x:c>
      <x:c r="AP8" s="117" t="n">
        <x:f>SUM('CF_1'!AP35,'CF_2'!AP35,'CF_3'!AP35)</x:f>
        <x:v>0</x:v>
      </x:c>
      <x:c r="AQ8" s="117" t="n">
        <x:f>SUM('CF_1'!AQ35,'CF_2'!AQ35,'CF_3'!AQ35)</x:f>
        <x:v>0</x:v>
      </x:c>
      <x:c r="AR8" s="117" t="n">
        <x:f>SUM('CF_1'!AR35,'CF_2'!AR35,'CF_3'!AR35)</x:f>
        <x:v>0</x:v>
      </x:c>
      <x:c r="AS8" s="117" t="n">
        <x:f>SUM('CF_1'!AS35,'CF_2'!AS35,'CF_3'!AS35)</x:f>
        <x:v>0</x:v>
      </x:c>
      <x:c r="AT8" s="117" t="n">
        <x:f>SUM('CF_1'!AT35,'CF_2'!AT35,'CF_3'!AT35)</x:f>
        <x:v>0</x:v>
      </x:c>
      <x:c r="AU8" s="117" t="n">
        <x:f>SUM('CF_1'!AU35,'CF_2'!AU35,'CF_3'!AU35)</x:f>
        <x:v>0</x:v>
      </x:c>
      <x:c r="AV8" s="117" t="n">
        <x:f>SUM('CF_1'!AV35,'CF_2'!AV35,'CF_3'!AV35)</x:f>
        <x:v>0</x:v>
      </x:c>
      <x:c r="AW8" s="117" t="n">
        <x:f>SUM('CF_1'!AW35,'CF_2'!AW35,'CF_3'!AW35)</x:f>
        <x:v>0</x:v>
      </x:c>
      <x:c r="AX8" s="117" t="n">
        <x:f>SUM('CF_1'!AX35,'CF_2'!AX35,'CF_3'!AX35)</x:f>
        <x:v>0</x:v>
      </x:c>
      <x:c r="AY8" s="117" t="n">
        <x:f>SUM('CF_1'!AY35,'CF_2'!AY35,'CF_3'!AY35)</x:f>
        <x:v>0</x:v>
      </x:c>
      <x:c r="AZ8" s="117" t="n">
        <x:f>SUM('CF_1'!AZ35,'CF_2'!AZ35,'CF_3'!AZ35)</x:f>
        <x:v>0</x:v>
      </x:c>
      <x:c r="BA8" s="117" t="n">
        <x:f>SUM('CF_1'!BA35,'CF_2'!BA35,'CF_3'!BA35)</x:f>
        <x:v>0</x:v>
      </x:c>
      <x:c r="BB8" s="117" t="n">
        <x:f>SUM('CF_1'!BB35,'CF_2'!BB35,'CF_3'!BB35)</x:f>
        <x:v>0</x:v>
      </x:c>
      <x:c r="BC8" s="117" t="n">
        <x:f>SUM('CF_1'!BC35,'CF_2'!BC35,'CF_3'!BC35)</x:f>
        <x:v>0</x:v>
      </x:c>
      <x:c r="BD8" s="117" t="n">
        <x:f>SUM('CF_1'!BD35,'CF_2'!BD35,'CF_3'!BD35)</x:f>
        <x:v>0</x:v>
      </x:c>
      <x:c r="BE8" s="117" t="n">
        <x:f>SUM('CF_1'!BE35,'CF_2'!BE35,'CF_3'!BE35)</x:f>
        <x:v>0</x:v>
      </x:c>
      <x:c r="BF8" s="117" t="n">
        <x:f>SUM('CF_1'!BF35,'CF_2'!BF35,'CF_3'!BF35)</x:f>
        <x:v>0</x:v>
      </x:c>
      <x:c r="BG8" s="117" t="n">
        <x:f>SUM('CF_1'!BG35,'CF_2'!BG35,'CF_3'!BG35)</x:f>
        <x:v>0</x:v>
      </x:c>
      <x:c r="BH8" s="117" t="n">
        <x:f>SUM('CF_1'!BH35,'CF_2'!BH35,'CF_3'!BH35)</x:f>
        <x:v>0</x:v>
      </x:c>
      <x:c r="BI8" s="117" t="n">
        <x:f>SUM('CF_1'!BI35,'CF_2'!BI35,'CF_3'!BI35)</x:f>
        <x:v>0</x:v>
      </x:c>
      <x:c r="BJ8" s="117" t="n">
        <x:f>SUM('CF_1'!BJ35,'CF_2'!BJ35,'CF_3'!BJ35)</x:f>
        <x:v>0</x:v>
      </x:c>
      <x:c r="BK8" s="117" t="n">
        <x:f>SUM('CF_1'!BK35,'CF_2'!BK35,'CF_3'!BK35)</x:f>
        <x:v>0</x:v>
      </x:c>
      <x:c r="BL8" s="117" t="n">
        <x:f>SUM('CF_1'!BL35,'CF_2'!BL35,'CF_3'!BL35)</x:f>
        <x:v>0</x:v>
      </x:c>
      <x:c r="BM8" s="117" t="n">
        <x:f>SUM('CF_1'!BM35,'CF_2'!BM35,'CF_3'!BM35)</x:f>
        <x:v>0</x:v>
      </x:c>
      <x:c r="BN8" s="117" t="n">
        <x:f>SUM('CF_1'!BN35,'CF_2'!BN35,'CF_3'!BN35)</x:f>
        <x:v>0</x:v>
      </x:c>
      <x:c r="BO8" s="117" t="n">
        <x:f>SUM('CF_1'!BO35,'CF_2'!BO35,'CF_3'!BO35)</x:f>
        <x:v>0</x:v>
      </x:c>
      <x:c r="BP8" s="117" t="n">
        <x:f>SUM('CF_1'!BP35,'CF_2'!BP35,'CF_3'!BP35)</x:f>
        <x:v>0</x:v>
      </x:c>
      <x:c r="BQ8" s="117" t="n">
        <x:f>SUM('CF_1'!BQ35,'CF_2'!BQ35,'CF_3'!BQ35)</x:f>
        <x:v>0</x:v>
      </x:c>
      <x:c r="BR8" s="117" t="n">
        <x:f>SUM('CF_1'!BR35,'CF_2'!BR35,'CF_3'!BR35)</x:f>
        <x:v>0</x:v>
      </x:c>
      <x:c r="BS8" s="117" t="n">
        <x:f>SUM('CF_1'!BS35,'CF_2'!BS35,'CF_3'!BS35)</x:f>
        <x:v>0</x:v>
      </x:c>
      <x:c r="BT8" s="117" t="n">
        <x:f>SUM('CF_1'!BT35,'CF_2'!BT35,'CF_3'!BT35)</x:f>
        <x:v>0</x:v>
      </x:c>
      <x:c r="BU8" s="117" t="n">
        <x:f>SUM('CF_1'!BU35,'CF_2'!BU35,'CF_3'!BU35)</x:f>
        <x:v>0</x:v>
      </x:c>
      <x:c r="BV8" s="117" t="n">
        <x:f>SUM('CF_1'!BV35,'CF_2'!BV35,'CF_3'!BV35)</x:f>
        <x:v>0</x:v>
      </x:c>
      <x:c r="BW8" s="117" t="n">
        <x:f>SUM('CF_1'!BW35,'CF_2'!BW35,'CF_3'!BW35)</x:f>
        <x:v>0</x:v>
      </x:c>
      <x:c r="BX8" s="117" t="n">
        <x:f>SUM('CF_1'!BX35,'CF_2'!BX35,'CF_3'!BX35)</x:f>
        <x:v>0</x:v>
      </x:c>
      <x:c r="BY8" s="117" t="n">
        <x:f>SUM('CF_1'!BY35,'CF_2'!BY35,'CF_3'!BY35)</x:f>
        <x:v>0</x:v>
      </x:c>
      <x:c r="BZ8" s="117" t="n">
        <x:f>SUM('CF_1'!BZ35,'CF_2'!BZ35,'CF_3'!BZ35)</x:f>
        <x:v>0</x:v>
      </x:c>
      <x:c r="CA8" s="117" t="n">
        <x:f>SUM('CF_1'!CA35,'CF_2'!CA35,'CF_3'!CA35)</x:f>
        <x:v>0</x:v>
      </x:c>
      <x:c r="CB8" s="117" t="n">
        <x:f>SUM('CF_1'!CB35,'CF_2'!CB35,'CF_3'!CB35)</x:f>
        <x:v>0</x:v>
      </x:c>
      <x:c r="CC8" s="117" t="n">
        <x:f>SUM('CF_1'!CC35,'CF_2'!CC35,'CF_3'!CC35)</x:f>
        <x:v>0</x:v>
      </x:c>
      <x:c r="CD8" s="117" t="n">
        <x:f>SUM('CF_1'!CD35,'CF_2'!CD35,'CF_3'!CD35)</x:f>
        <x:v>0</x:v>
      </x:c>
      <x:c r="CE8" s="117" t="n">
        <x:f>SUM('CF_1'!CE35,'CF_2'!CE35,'CF_3'!CE35)</x:f>
        <x:v>0</x:v>
      </x:c>
      <x:c r="CF8" s="117" t="n">
        <x:f>SUM('CF_1'!CF35,'CF_2'!CF35,'CF_3'!CF35)</x:f>
        <x:v>0</x:v>
      </x:c>
      <x:c r="CG8" s="117" t="n">
        <x:f>SUM('CF_1'!CG35,'CF_2'!CG35,'CF_3'!CG35)</x:f>
        <x:v>0</x:v>
      </x:c>
      <x:c r="CH8" s="117" t="n">
        <x:f>SUM('CF_1'!CH35,'CF_2'!CH35,'CF_3'!CH35)</x:f>
        <x:v>0</x:v>
      </x:c>
      <x:c r="CI8" s="117" t="n">
        <x:f>SUM('CF_1'!CI35,'CF_2'!CI35,'CF_3'!CI35)</x:f>
        <x:v>0</x:v>
      </x:c>
      <x:c r="CJ8" s="117" t="n">
        <x:f>SUM('CF_1'!CJ35,'CF_2'!CJ35,'CF_3'!CJ35)</x:f>
        <x:v>0</x:v>
      </x:c>
      <x:c r="CK8" s="117" t="n">
        <x:f>SUM('CF_1'!CK35,'CF_2'!CK35,'CF_3'!CK35)</x:f>
        <x:v>0</x:v>
      </x:c>
      <x:c r="CL8" s="117" t="n">
        <x:f>SUM('CF_1'!CL35,'CF_2'!CL35,'CF_3'!CL35)</x:f>
        <x:v>0</x:v>
      </x:c>
      <x:c r="CM8" s="117" t="n">
        <x:f>SUM('CF_1'!CM35,'CF_2'!CM35,'CF_3'!CM35)</x:f>
        <x:v>0</x:v>
      </x:c>
      <x:c r="CN8" s="117" t="n">
        <x:f>SUM('CF_1'!CN35,'CF_2'!CN35,'CF_3'!CN35)</x:f>
        <x:v>0</x:v>
      </x:c>
      <x:c r="CO8" s="117" t="n">
        <x:f>SUM('CF_1'!CO35,'CF_2'!CO35,'CF_3'!CO35)</x:f>
        <x:v>0</x:v>
      </x:c>
      <x:c r="CP8" s="117" t="n">
        <x:f>SUM('CF_1'!CP35,'CF_2'!CP35,'CF_3'!CP35)</x:f>
        <x:v>0</x:v>
      </x:c>
      <x:c r="CQ8" s="117" t="n">
        <x:f>SUM('CF_1'!CQ35,'CF_2'!CQ35,'CF_3'!CQ35)</x:f>
        <x:v>0</x:v>
      </x:c>
      <x:c r="CR8" s="117" t="n">
        <x:f>SUM('CF_1'!CR35,'CF_2'!CR35,'CF_3'!CR35)</x:f>
        <x:v>0</x:v>
      </x:c>
      <x:c r="CS8" s="117" t="n">
        <x:f>SUM('CF_1'!CS35,'CF_2'!CS35,'CF_3'!CS35)</x:f>
        <x:v>0</x:v>
      </x:c>
      <x:c r="CT8" s="117" t="n">
        <x:f>SUM('CF_1'!CT35,'CF_2'!CT35,'CF_3'!CT35)</x:f>
        <x:v>0</x:v>
      </x:c>
      <x:c r="CU8" s="117" t="n">
        <x:f>SUM('CF_1'!CU35,'CF_2'!CU35,'CF_3'!CU35)</x:f>
        <x:v>0</x:v>
      </x:c>
      <x:c r="CV8" s="117" t="n">
        <x:f>SUM('CF_1'!CV35,'CF_2'!CV35,'CF_3'!CV35)</x:f>
        <x:v>0</x:v>
      </x:c>
      <x:c r="CW8" s="117" t="n">
        <x:f>SUM('CF_1'!CW35,'CF_2'!CW35,'CF_3'!CW35)</x:f>
        <x:v>0</x:v>
      </x:c>
      <x:c r="CX8" s="117" t="n">
        <x:f>SUM('CF_1'!CX35,'CF_2'!CX35,'CF_3'!CX35)</x:f>
        <x:v>0</x:v>
      </x:c>
      <x:c r="CY8" s="117" t="n">
        <x:f>SUM('CF_1'!CY35,'CF_2'!CY35,'CF_3'!CY35)</x:f>
        <x:v>0</x:v>
      </x:c>
      <x:c r="CZ8" s="117" t="n">
        <x:f>SUM('CF_1'!CZ35,'CF_2'!CZ35,'CF_3'!CZ35)</x:f>
        <x:v>0</x:v>
      </x:c>
      <x:c r="DA8" s="117" t="n">
        <x:f>SUM('CF_1'!DA35,'CF_2'!DA35,'CF_3'!DA35)</x:f>
        <x:v>0</x:v>
      </x:c>
      <x:c r="DB8" s="117" t="n">
        <x:f>SUM('CF_1'!DB35,'CF_2'!DB35,'CF_3'!DB35)</x:f>
        <x:v>0</x:v>
      </x:c>
      <x:c r="DC8" s="117" t="n">
        <x:f>SUM('CF_1'!DC35,'CF_2'!DC35,'CF_3'!DC35)</x:f>
        <x:v>0</x:v>
      </x:c>
      <x:c r="DD8" s="117" t="n">
        <x:f>SUM('CF_1'!DD35,'CF_2'!DD35,'CF_3'!DD35)</x:f>
        <x:v>0</x:v>
      </x:c>
      <x:c r="DE8" s="117" t="n">
        <x:f>SUM('CF_1'!DE35,'CF_2'!DE35,'CF_3'!DE35)</x:f>
        <x:v>0</x:v>
      </x:c>
      <x:c r="DF8" s="117" t="n">
        <x:f>SUM('CF_1'!DF35,'CF_2'!DF35,'CF_3'!DF35)</x:f>
        <x:v>0</x:v>
      </x:c>
      <x:c r="DG8" s="117" t="n">
        <x:f>SUM('CF_1'!DG35,'CF_2'!DG35,'CF_3'!DG35)</x:f>
        <x:v>0</x:v>
      </x:c>
      <x:c r="DH8" s="117" t="n">
        <x:f>SUM('CF_1'!DH35,'CF_2'!DH35,'CF_3'!DH35)</x:f>
        <x:v>0</x:v>
      </x:c>
      <x:c r="DI8" s="117" t="n">
        <x:f>SUM('CF_1'!DI35,'CF_2'!DI35,'CF_3'!DI35)</x:f>
        <x:v>0</x:v>
      </x:c>
      <x:c r="DJ8" s="117" t="n">
        <x:f>SUM('CF_1'!DJ35,'CF_2'!DJ35,'CF_3'!DJ35)</x:f>
        <x:v>0</x:v>
      </x:c>
      <x:c r="DK8" s="117" t="n">
        <x:f>SUM('CF_1'!DK35,'CF_2'!DK35,'CF_3'!DK35)</x:f>
        <x:v>0</x:v>
      </x:c>
      <x:c r="DL8" s="117" t="n">
        <x:f>SUM('CF_1'!DL35,'CF_2'!DL35,'CF_3'!DL35)</x:f>
        <x:v>0</x:v>
      </x:c>
      <x:c r="DM8" s="117" t="n">
        <x:f>SUM('CF_1'!DM35,'CF_2'!DM35,'CF_3'!DM35)</x:f>
        <x:v>0</x:v>
      </x:c>
      <x:c r="DN8" s="117" t="n">
        <x:f>SUM('CF_1'!DN35,'CF_2'!DN35,'CF_3'!DN35)</x:f>
        <x:v>0</x:v>
      </x:c>
      <x:c r="DO8" s="117" t="n">
        <x:f>SUM('CF_1'!DO35,'CF_2'!DO35,'CF_3'!DO35)</x:f>
        <x:v>0</x:v>
      </x:c>
      <x:c r="DP8" s="117" t="n">
        <x:f>SUM('CF_1'!DP35,'CF_2'!DP35,'CF_3'!DP35)</x:f>
        <x:v>0</x:v>
      </x:c>
      <x:c r="DQ8" s="117" t="n">
        <x:f>SUM('CF_1'!DQ35,'CF_2'!DQ35,'CF_3'!DQ35)</x:f>
        <x:v>0</x:v>
      </x:c>
      <x:c r="DR8" s="117" t="n">
        <x:f>SUM('CF_1'!DR35,'CF_2'!DR35,'CF_3'!DR35)</x:f>
        <x:v>0</x:v>
      </x:c>
      <x:c r="DS8" s="117" t="n">
        <x:f>SUM('CF_1'!DS35,'CF_2'!DS35,'CF_3'!DS35)</x:f>
        <x:v>0</x:v>
      </x:c>
    </x:row>
    <x:row r="9">
      <x:c r="A9" t="str">
        <x:v>БРИДЖ — долг</x:v>
      </x:c>
      <x:c r="B9" s="107" t="n">
        <x:f>MAX(D9:DS9)</x:f>
        <x:v>3050.711737585049</x:v>
      </x:c>
      <x:c r="C9" t="str">
        <x:v>млн ₽</x:v>
      </x:c>
      <x:c r="D9" s="117" t="n">
        <x:f>SUM('CF_1'!D36,'CF_2'!D36,'CF_3'!D36)</x:f>
        <x:v>707.9807307539683</x:v>
      </x:c>
      <x:c r="E9" s="117" t="n">
        <x:f>SUM('CF_1'!E36,'CF_2'!E36,'CF_3'!E36)</x:f>
        <x:v>727.6382270325246</x:v>
      </x:c>
      <x:c r="F9" s="117" t="n">
        <x:f>SUM('CF_1'!F36,'CF_2'!F36,'CF_3'!F36)</x:f>
        <x:v>747.3030510819349</x:v>
      </x:c>
      <x:c r="G9" s="117" t="n">
        <x:f>SUM('CF_1'!G36,'CF_2'!G36,'CF_3'!G36)</x:f>
        <x:v>766.9724318151318</x:v>
      </x:c>
      <x:c r="H9" s="117" t="n">
        <x:f>SUM('CF_1'!H36,'CF_2'!H36,'CF_3'!H36)</x:f>
        <x:v>786.643598145048</x:v>
      </x:c>
      <x:c r="I9" s="117" t="n">
        <x:f>SUM('CF_1'!I36,'CF_2'!I36,'CF_3'!I36)</x:f>
        <x:v>806.3137789846162</x:v>
      </x:c>
      <x:c r="J9" s="117" t="n">
        <x:f>SUM('CF_1'!J36,'CF_2'!J36,'CF_3'!J36)</x:f>
        <x:v>825.980203246769</x:v>
      </x:c>
      <x:c r="K9" s="117" t="n">
        <x:f>SUM('CF_1'!K36,'CF_2'!K36,'CF_3'!K36)</x:f>
        <x:v>845.640099844439</x:v>
      </x:c>
      <x:c r="L9" s="117" t="n">
        <x:f>SUM('CF_1'!L36,'CF_2'!L36,'CF_3'!L36)</x:f>
        <x:v>865.2906976905589</x:v>
      </x:c>
      <x:c r="M9" s="117" t="n">
        <x:f>SUM('CF_1'!M36,'CF_2'!M36,'CF_3'!M36)</x:f>
        <x:v>884.9292256980614</x:v>
      </x:c>
      <x:c r="N9" s="117" t="n">
        <x:f>SUM('CF_1'!N36,'CF_2'!N36,'CF_3'!N36)</x:f>
        <x:v>904.5529127798791</x:v>
      </x:c>
      <x:c r="O9" s="117" t="n">
        <x:f>SUM('CF_1'!O36,'CF_2'!O36,'CF_3'!O36)</x:f>
        <x:v>924.1589878489447</x:v>
      </x:c>
      <x:c r="P9" s="117" t="n">
        <x:f>SUM('CF_1'!P36,'CF_2'!P36,'CF_3'!P36)</x:f>
        <x:v>969.7116798181906</x:v>
      </x:c>
      <x:c r="Q9" s="117" t="n">
        <x:f>SUM('CF_1'!Q36,'CF_2'!Q36,'CF_3'!Q36)</x:f>
        <x:v>1015.6153948574943</x:v>
      </x:c>
      <x:c r="R9" s="117" t="n">
        <x:f>SUM('CF_1'!R36,'CF_2'!R36,'CF_3'!R36)</x:f>
        <x:v>1061.8583455603437</x:v>
      </x:c>
      <x:c r="S9" s="117" t="n">
        <x:f>SUM('CF_1'!S36,'CF_2'!S36,'CF_3'!S36)</x:f>
        <x:v>1108.4287445202272</x:v>
      </x:c>
      <x:c r="T9" s="117" t="n">
        <x:f>SUM('CF_1'!T36,'CF_2'!T36,'CF_3'!T36)</x:f>
        <x:v>1155.3148043306328</x:v>
      </x:c>
      <x:c r="U9" s="117" t="n">
        <x:f>SUM('CF_1'!U36,'CF_2'!U36,'CF_3'!U36)</x:f>
        <x:v>3050.711737585049</x:v>
      </x:c>
      <x:c r="V9" s="117" t="n">
        <x:f>SUM('CF_1'!V36,'CF_2'!V36,'CF_3'!V36)</x:f>
        <x:v>0</x:v>
      </x:c>
      <x:c r="W9" s="117" t="n">
        <x:f>SUM('CF_1'!W36,'CF_2'!W36,'CF_3'!W36)</x:f>
        <x:v>0</x:v>
      </x:c>
      <x:c r="X9" s="117" t="n">
        <x:f>SUM('CF_1'!X36,'CF_2'!X36,'CF_3'!X36)</x:f>
        <x:v>0</x:v>
      </x:c>
      <x:c r="Y9" s="117" t="n">
        <x:f>SUM('CF_1'!Y36,'CF_2'!Y36,'CF_3'!Y36)</x:f>
        <x:v>0</x:v>
      </x:c>
      <x:c r="Z9" s="117" t="n">
        <x:f>SUM('CF_1'!Z36,'CF_2'!Z36,'CF_3'!Z36)</x:f>
        <x:v>0</x:v>
      </x:c>
      <x:c r="AA9" s="117" t="n">
        <x:f>SUM('CF_1'!AA36,'CF_2'!AA36,'CF_3'!AA36)</x:f>
        <x:v>0</x:v>
      </x:c>
      <x:c r="AB9" s="117" t="n">
        <x:f>SUM('CF_1'!AB36,'CF_2'!AB36,'CF_3'!AB36)</x:f>
        <x:v>0</x:v>
      </x:c>
      <x:c r="AC9" s="117" t="n">
        <x:f>SUM('CF_1'!AC36,'CF_2'!AC36,'CF_3'!AC36)</x:f>
        <x:v>0</x:v>
      </x:c>
      <x:c r="AD9" s="117" t="n">
        <x:f>SUM('CF_1'!AD36,'CF_2'!AD36,'CF_3'!AD36)</x:f>
        <x:v>0</x:v>
      </x:c>
      <x:c r="AE9" s="117" t="n">
        <x:f>SUM('CF_1'!AE36,'CF_2'!AE36,'CF_3'!AE36)</x:f>
        <x:v>0</x:v>
      </x:c>
      <x:c r="AF9" s="117" t="n">
        <x:f>SUM('CF_1'!AF36,'CF_2'!AF36,'CF_3'!AF36)</x:f>
        <x:v>0</x:v>
      </x:c>
      <x:c r="AG9" s="117" t="n">
        <x:f>SUM('CF_1'!AG36,'CF_2'!AG36,'CF_3'!AG36)</x:f>
        <x:v>0</x:v>
      </x:c>
      <x:c r="AH9" s="117" t="n">
        <x:f>SUM('CF_1'!AH36,'CF_2'!AH36,'CF_3'!AH36)</x:f>
        <x:v>0</x:v>
      </x:c>
      <x:c r="AI9" s="117" t="n">
        <x:f>SUM('CF_1'!AI36,'CF_2'!AI36,'CF_3'!AI36)</x:f>
        <x:v>0</x:v>
      </x:c>
      <x:c r="AJ9" s="117" t="n">
        <x:f>SUM('CF_1'!AJ36,'CF_2'!AJ36,'CF_3'!AJ36)</x:f>
        <x:v>0</x:v>
      </x:c>
      <x:c r="AK9" s="117" t="n">
        <x:f>SUM('CF_1'!AK36,'CF_2'!AK36,'CF_3'!AK36)</x:f>
        <x:v>0</x:v>
      </x:c>
      <x:c r="AL9" s="117" t="n">
        <x:f>SUM('CF_1'!AL36,'CF_2'!AL36,'CF_3'!AL36)</x:f>
        <x:v>0</x:v>
      </x:c>
      <x:c r="AM9" s="117" t="n">
        <x:f>SUM('CF_1'!AM36,'CF_2'!AM36,'CF_3'!AM36)</x:f>
        <x:v>0</x:v>
      </x:c>
      <x:c r="AN9" s="117" t="n">
        <x:f>SUM('CF_1'!AN36,'CF_2'!AN36,'CF_3'!AN36)</x:f>
        <x:v>0</x:v>
      </x:c>
      <x:c r="AO9" s="117" t="n">
        <x:f>SUM('CF_1'!AO36,'CF_2'!AO36,'CF_3'!AO36)</x:f>
        <x:v>0</x:v>
      </x:c>
      <x:c r="AP9" s="117" t="n">
        <x:f>SUM('CF_1'!AP36,'CF_2'!AP36,'CF_3'!AP36)</x:f>
        <x:v>0</x:v>
      </x:c>
      <x:c r="AQ9" s="117" t="n">
        <x:f>SUM('CF_1'!AQ36,'CF_2'!AQ36,'CF_3'!AQ36)</x:f>
        <x:v>0</x:v>
      </x:c>
      <x:c r="AR9" s="117" t="n">
        <x:f>SUM('CF_1'!AR36,'CF_2'!AR36,'CF_3'!AR36)</x:f>
        <x:v>0</x:v>
      </x:c>
      <x:c r="AS9" s="117" t="n">
        <x:f>SUM('CF_1'!AS36,'CF_2'!AS36,'CF_3'!AS36)</x:f>
        <x:v>0</x:v>
      </x:c>
      <x:c r="AT9" s="117" t="n">
        <x:f>SUM('CF_1'!AT36,'CF_2'!AT36,'CF_3'!AT36)</x:f>
        <x:v>0</x:v>
      </x:c>
      <x:c r="AU9" s="117" t="n">
        <x:f>SUM('CF_1'!AU36,'CF_2'!AU36,'CF_3'!AU36)</x:f>
        <x:v>0</x:v>
      </x:c>
      <x:c r="AV9" s="117" t="n">
        <x:f>SUM('CF_1'!AV36,'CF_2'!AV36,'CF_3'!AV36)</x:f>
        <x:v>0</x:v>
      </x:c>
      <x:c r="AW9" s="117" t="n">
        <x:f>SUM('CF_1'!AW36,'CF_2'!AW36,'CF_3'!AW36)</x:f>
        <x:v>0</x:v>
      </x:c>
      <x:c r="AX9" s="117" t="n">
        <x:f>SUM('CF_1'!AX36,'CF_2'!AX36,'CF_3'!AX36)</x:f>
        <x:v>0</x:v>
      </x:c>
      <x:c r="AY9" s="117" t="n">
        <x:f>SUM('CF_1'!AY36,'CF_2'!AY36,'CF_3'!AY36)</x:f>
        <x:v>0</x:v>
      </x:c>
      <x:c r="AZ9" s="117" t="n">
        <x:f>SUM('CF_1'!AZ36,'CF_2'!AZ36,'CF_3'!AZ36)</x:f>
        <x:v>0</x:v>
      </x:c>
      <x:c r="BA9" s="117" t="n">
        <x:f>SUM('CF_1'!BA36,'CF_2'!BA36,'CF_3'!BA36)</x:f>
        <x:v>0</x:v>
      </x:c>
      <x:c r="BB9" s="117" t="n">
        <x:f>SUM('CF_1'!BB36,'CF_2'!BB36,'CF_3'!BB36)</x:f>
        <x:v>0</x:v>
      </x:c>
      <x:c r="BC9" s="117" t="n">
        <x:f>SUM('CF_1'!BC36,'CF_2'!BC36,'CF_3'!BC36)</x:f>
        <x:v>0</x:v>
      </x:c>
      <x:c r="BD9" s="117" t="n">
        <x:f>SUM('CF_1'!BD36,'CF_2'!BD36,'CF_3'!BD36)</x:f>
        <x:v>0</x:v>
      </x:c>
      <x:c r="BE9" s="117" t="n">
        <x:f>SUM('CF_1'!BE36,'CF_2'!BE36,'CF_3'!BE36)</x:f>
        <x:v>0</x:v>
      </x:c>
      <x:c r="BF9" s="117" t="n">
        <x:f>SUM('CF_1'!BF36,'CF_2'!BF36,'CF_3'!BF36)</x:f>
        <x:v>0</x:v>
      </x:c>
      <x:c r="BG9" s="117" t="n">
        <x:f>SUM('CF_1'!BG36,'CF_2'!BG36,'CF_3'!BG36)</x:f>
        <x:v>0</x:v>
      </x:c>
      <x:c r="BH9" s="117" t="n">
        <x:f>SUM('CF_1'!BH36,'CF_2'!BH36,'CF_3'!BH36)</x:f>
        <x:v>0</x:v>
      </x:c>
      <x:c r="BI9" s="117" t="n">
        <x:f>SUM('CF_1'!BI36,'CF_2'!BI36,'CF_3'!BI36)</x:f>
        <x:v>0</x:v>
      </x:c>
      <x:c r="BJ9" s="117" t="n">
        <x:f>SUM('CF_1'!BJ36,'CF_2'!BJ36,'CF_3'!BJ36)</x:f>
        <x:v>0</x:v>
      </x:c>
      <x:c r="BK9" s="117" t="n">
        <x:f>SUM('CF_1'!BK36,'CF_2'!BK36,'CF_3'!BK36)</x:f>
        <x:v>0</x:v>
      </x:c>
      <x:c r="BL9" s="117" t="n">
        <x:f>SUM('CF_1'!BL36,'CF_2'!BL36,'CF_3'!BL36)</x:f>
        <x:v>0</x:v>
      </x:c>
      <x:c r="BM9" s="117" t="n">
        <x:f>SUM('CF_1'!BM36,'CF_2'!BM36,'CF_3'!BM36)</x:f>
        <x:v>0</x:v>
      </x:c>
      <x:c r="BN9" s="117" t="n">
        <x:f>SUM('CF_1'!BN36,'CF_2'!BN36,'CF_3'!BN36)</x:f>
        <x:v>0</x:v>
      </x:c>
      <x:c r="BO9" s="117" t="n">
        <x:f>SUM('CF_1'!BO36,'CF_2'!BO36,'CF_3'!BO36)</x:f>
        <x:v>0</x:v>
      </x:c>
      <x:c r="BP9" s="117" t="n">
        <x:f>SUM('CF_1'!BP36,'CF_2'!BP36,'CF_3'!BP36)</x:f>
        <x:v>0</x:v>
      </x:c>
      <x:c r="BQ9" s="117" t="n">
        <x:f>SUM('CF_1'!BQ36,'CF_2'!BQ36,'CF_3'!BQ36)</x:f>
        <x:v>0</x:v>
      </x:c>
      <x:c r="BR9" s="117" t="n">
        <x:f>SUM('CF_1'!BR36,'CF_2'!BR36,'CF_3'!BR36)</x:f>
        <x:v>0</x:v>
      </x:c>
      <x:c r="BS9" s="117" t="n">
        <x:f>SUM('CF_1'!BS36,'CF_2'!BS36,'CF_3'!BS36)</x:f>
        <x:v>0</x:v>
      </x:c>
      <x:c r="BT9" s="117" t="n">
        <x:f>SUM('CF_1'!BT36,'CF_2'!BT36,'CF_3'!BT36)</x:f>
        <x:v>0</x:v>
      </x:c>
      <x:c r="BU9" s="117" t="n">
        <x:f>SUM('CF_1'!BU36,'CF_2'!BU36,'CF_3'!BU36)</x:f>
        <x:v>0</x:v>
      </x:c>
      <x:c r="BV9" s="117" t="n">
        <x:f>SUM('CF_1'!BV36,'CF_2'!BV36,'CF_3'!BV36)</x:f>
        <x:v>0</x:v>
      </x:c>
      <x:c r="BW9" s="117" t="n">
        <x:f>SUM('CF_1'!BW36,'CF_2'!BW36,'CF_3'!BW36)</x:f>
        <x:v>0</x:v>
      </x:c>
      <x:c r="BX9" s="117" t="n">
        <x:f>SUM('CF_1'!BX36,'CF_2'!BX36,'CF_3'!BX36)</x:f>
        <x:v>0</x:v>
      </x:c>
      <x:c r="BY9" s="117" t="n">
        <x:f>SUM('CF_1'!BY36,'CF_2'!BY36,'CF_3'!BY36)</x:f>
        <x:v>0</x:v>
      </x:c>
      <x:c r="BZ9" s="117" t="n">
        <x:f>SUM('CF_1'!BZ36,'CF_2'!BZ36,'CF_3'!BZ36)</x:f>
        <x:v>0</x:v>
      </x:c>
      <x:c r="CA9" s="117" t="n">
        <x:f>SUM('CF_1'!CA36,'CF_2'!CA36,'CF_3'!CA36)</x:f>
        <x:v>0</x:v>
      </x:c>
      <x:c r="CB9" s="117" t="n">
        <x:f>SUM('CF_1'!CB36,'CF_2'!CB36,'CF_3'!CB36)</x:f>
        <x:v>0</x:v>
      </x:c>
      <x:c r="CC9" s="117" t="n">
        <x:f>SUM('CF_1'!CC36,'CF_2'!CC36,'CF_3'!CC36)</x:f>
        <x:v>0</x:v>
      </x:c>
      <x:c r="CD9" s="117" t="n">
        <x:f>SUM('CF_1'!CD36,'CF_2'!CD36,'CF_3'!CD36)</x:f>
        <x:v>0</x:v>
      </x:c>
      <x:c r="CE9" s="117" t="n">
        <x:f>SUM('CF_1'!CE36,'CF_2'!CE36,'CF_3'!CE36)</x:f>
        <x:v>0</x:v>
      </x:c>
      <x:c r="CF9" s="117" t="n">
        <x:f>SUM('CF_1'!CF36,'CF_2'!CF36,'CF_3'!CF36)</x:f>
        <x:v>0</x:v>
      </x:c>
      <x:c r="CG9" s="117" t="n">
        <x:f>SUM('CF_1'!CG36,'CF_2'!CG36,'CF_3'!CG36)</x:f>
        <x:v>0</x:v>
      </x:c>
      <x:c r="CH9" s="117" t="n">
        <x:f>SUM('CF_1'!CH36,'CF_2'!CH36,'CF_3'!CH36)</x:f>
        <x:v>0</x:v>
      </x:c>
      <x:c r="CI9" s="117" t="n">
        <x:f>SUM('CF_1'!CI36,'CF_2'!CI36,'CF_3'!CI36)</x:f>
        <x:v>0</x:v>
      </x:c>
      <x:c r="CJ9" s="117" t="n">
        <x:f>SUM('CF_1'!CJ36,'CF_2'!CJ36,'CF_3'!CJ36)</x:f>
        <x:v>0</x:v>
      </x:c>
      <x:c r="CK9" s="117" t="n">
        <x:f>SUM('CF_1'!CK36,'CF_2'!CK36,'CF_3'!CK36)</x:f>
        <x:v>0</x:v>
      </x:c>
      <x:c r="CL9" s="117" t="n">
        <x:f>SUM('CF_1'!CL36,'CF_2'!CL36,'CF_3'!CL36)</x:f>
        <x:v>0</x:v>
      </x:c>
      <x:c r="CM9" s="117" t="n">
        <x:f>SUM('CF_1'!CM36,'CF_2'!CM36,'CF_3'!CM36)</x:f>
        <x:v>0</x:v>
      </x:c>
      <x:c r="CN9" s="117" t="n">
        <x:f>SUM('CF_1'!CN36,'CF_2'!CN36,'CF_3'!CN36)</x:f>
        <x:v>0</x:v>
      </x:c>
      <x:c r="CO9" s="117" t="n">
        <x:f>SUM('CF_1'!CO36,'CF_2'!CO36,'CF_3'!CO36)</x:f>
        <x:v>0</x:v>
      </x:c>
      <x:c r="CP9" s="117" t="n">
        <x:f>SUM('CF_1'!CP36,'CF_2'!CP36,'CF_3'!CP36)</x:f>
        <x:v>0</x:v>
      </x:c>
      <x:c r="CQ9" s="117" t="n">
        <x:f>SUM('CF_1'!CQ36,'CF_2'!CQ36,'CF_3'!CQ36)</x:f>
        <x:v>0</x:v>
      </x:c>
      <x:c r="CR9" s="117" t="n">
        <x:f>SUM('CF_1'!CR36,'CF_2'!CR36,'CF_3'!CR36)</x:f>
        <x:v>0</x:v>
      </x:c>
      <x:c r="CS9" s="117" t="n">
        <x:f>SUM('CF_1'!CS36,'CF_2'!CS36,'CF_3'!CS36)</x:f>
        <x:v>0</x:v>
      </x:c>
      <x:c r="CT9" s="117" t="n">
        <x:f>SUM('CF_1'!CT36,'CF_2'!CT36,'CF_3'!CT36)</x:f>
        <x:v>0</x:v>
      </x:c>
      <x:c r="CU9" s="117" t="n">
        <x:f>SUM('CF_1'!CU36,'CF_2'!CU36,'CF_3'!CU36)</x:f>
        <x:v>0</x:v>
      </x:c>
      <x:c r="CV9" s="117" t="n">
        <x:f>SUM('CF_1'!CV36,'CF_2'!CV36,'CF_3'!CV36)</x:f>
        <x:v>0</x:v>
      </x:c>
      <x:c r="CW9" s="117" t="n">
        <x:f>SUM('CF_1'!CW36,'CF_2'!CW36,'CF_3'!CW36)</x:f>
        <x:v>0</x:v>
      </x:c>
      <x:c r="CX9" s="117" t="n">
        <x:f>SUM('CF_1'!CX36,'CF_2'!CX36,'CF_3'!CX36)</x:f>
        <x:v>0</x:v>
      </x:c>
      <x:c r="CY9" s="117" t="n">
        <x:f>SUM('CF_1'!CY36,'CF_2'!CY36,'CF_3'!CY36)</x:f>
        <x:v>0</x:v>
      </x:c>
      <x:c r="CZ9" s="117" t="n">
        <x:f>SUM('CF_1'!CZ36,'CF_2'!CZ36,'CF_3'!CZ36)</x:f>
        <x:v>0</x:v>
      </x:c>
      <x:c r="DA9" s="117" t="n">
        <x:f>SUM('CF_1'!DA36,'CF_2'!DA36,'CF_3'!DA36)</x:f>
        <x:v>0</x:v>
      </x:c>
      <x:c r="DB9" s="117" t="n">
        <x:f>SUM('CF_1'!DB36,'CF_2'!DB36,'CF_3'!DB36)</x:f>
        <x:v>0</x:v>
      </x:c>
      <x:c r="DC9" s="117" t="n">
        <x:f>SUM('CF_1'!DC36,'CF_2'!DC36,'CF_3'!DC36)</x:f>
        <x:v>0</x:v>
      </x:c>
      <x:c r="DD9" s="117" t="n">
        <x:f>SUM('CF_1'!DD36,'CF_2'!DD36,'CF_3'!DD36)</x:f>
        <x:v>0</x:v>
      </x:c>
      <x:c r="DE9" s="117" t="n">
        <x:f>SUM('CF_1'!DE36,'CF_2'!DE36,'CF_3'!DE36)</x:f>
        <x:v>0</x:v>
      </x:c>
      <x:c r="DF9" s="117" t="n">
        <x:f>SUM('CF_1'!DF36,'CF_2'!DF36,'CF_3'!DF36)</x:f>
        <x:v>0</x:v>
      </x:c>
      <x:c r="DG9" s="117" t="n">
        <x:f>SUM('CF_1'!DG36,'CF_2'!DG36,'CF_3'!DG36)</x:f>
        <x:v>0</x:v>
      </x:c>
      <x:c r="DH9" s="117" t="n">
        <x:f>SUM('CF_1'!DH36,'CF_2'!DH36,'CF_3'!DH36)</x:f>
        <x:v>0</x:v>
      </x:c>
      <x:c r="DI9" s="117" t="n">
        <x:f>SUM('CF_1'!DI36,'CF_2'!DI36,'CF_3'!DI36)</x:f>
        <x:v>0</x:v>
      </x:c>
      <x:c r="DJ9" s="117" t="n">
        <x:f>SUM('CF_1'!DJ36,'CF_2'!DJ36,'CF_3'!DJ36)</x:f>
        <x:v>0</x:v>
      </x:c>
      <x:c r="DK9" s="117" t="n">
        <x:f>SUM('CF_1'!DK36,'CF_2'!DK36,'CF_3'!DK36)</x:f>
        <x:v>0</x:v>
      </x:c>
      <x:c r="DL9" s="117" t="n">
        <x:f>SUM('CF_1'!DL36,'CF_2'!DL36,'CF_3'!DL36)</x:f>
        <x:v>0</x:v>
      </x:c>
      <x:c r="DM9" s="117" t="n">
        <x:f>SUM('CF_1'!DM36,'CF_2'!DM36,'CF_3'!DM36)</x:f>
        <x:v>0</x:v>
      </x:c>
      <x:c r="DN9" s="117" t="n">
        <x:f>SUM('CF_1'!DN36,'CF_2'!DN36,'CF_3'!DN36)</x:f>
        <x:v>0</x:v>
      </x:c>
      <x:c r="DO9" s="117" t="n">
        <x:f>SUM('CF_1'!DO36,'CF_2'!DO36,'CF_3'!DO36)</x:f>
        <x:v>0</x:v>
      </x:c>
      <x:c r="DP9" s="117" t="n">
        <x:f>SUM('CF_1'!DP36,'CF_2'!DP36,'CF_3'!DP36)</x:f>
        <x:v>0</x:v>
      </x:c>
      <x:c r="DQ9" s="117" t="n">
        <x:f>SUM('CF_1'!DQ36,'CF_2'!DQ36,'CF_3'!DQ36)</x:f>
        <x:v>0</x:v>
      </x:c>
      <x:c r="DR9" s="117" t="n">
        <x:f>SUM('CF_1'!DR36,'CF_2'!DR36,'CF_3'!DR36)</x:f>
        <x:v>0</x:v>
      </x:c>
      <x:c r="DS9" s="117" t="n">
        <x:f>SUM('CF_1'!DS36,'CF_2'!DS36,'CF_3'!DS36)</x:f>
        <x:v>0</x:v>
      </x:c>
    </x:row>
    <x:row r="10">
      <x:c r="A10" t="str">
        <x:v>ПФ — выборка</x:v>
      </x:c>
      <x:c r="B10" s="107" t="n">
        <x:f>SUM(D10:DS10)</x:f>
        <x:v>10280</x:v>
      </x:c>
      <x:c r="C10" t="str">
        <x:v>млн ₽</x:v>
      </x:c>
      <x:c r="D10" s="117" t="n">
        <x:f>SUM('CF_1'!D45,'CF_2'!D45,'CF_3'!D45)</x:f>
        <x:v>0</x:v>
      </x:c>
      <x:c r="E10" s="117" t="n">
        <x:f>SUM('CF_1'!E45,'CF_2'!E45,'CF_3'!E45)</x:f>
        <x:v>0</x:v>
      </x:c>
      <x:c r="F10" s="117" t="n">
        <x:f>SUM('CF_1'!F45,'CF_2'!F45,'CF_3'!F45)</x:f>
        <x:v>0</x:v>
      </x:c>
      <x:c r="G10" s="117" t="n">
        <x:f>SUM('CF_1'!G45,'CF_2'!G45,'CF_3'!G45)</x:f>
        <x:v>0</x:v>
      </x:c>
      <x:c r="H10" s="117" t="n">
        <x:f>SUM('CF_1'!H45,'CF_2'!H45,'CF_3'!H45)</x:f>
        <x:v>0</x:v>
      </x:c>
      <x:c r="I10" s="117" t="n">
        <x:f>SUM('CF_1'!I45,'CF_2'!I45,'CF_3'!I45)</x:f>
        <x:v>0</x:v>
      </x:c>
      <x:c r="J10" s="117" t="n">
        <x:f>SUM('CF_1'!J45,'CF_2'!J45,'CF_3'!J45)</x:f>
        <x:v>0</x:v>
      </x:c>
      <x:c r="K10" s="117" t="n">
        <x:f>SUM('CF_1'!K45,'CF_2'!K45,'CF_3'!K45)</x:f>
        <x:v>0</x:v>
      </x:c>
      <x:c r="L10" s="117" t="n">
        <x:f>SUM('CF_1'!L45,'CF_2'!L45,'CF_3'!L45)</x:f>
        <x:v>0</x:v>
      </x:c>
      <x:c r="M10" s="117" t="n">
        <x:f>SUM('CF_1'!M45,'CF_2'!M45,'CF_3'!M45)</x:f>
        <x:v>0</x:v>
      </x:c>
      <x:c r="N10" s="117" t="n">
        <x:f>SUM('CF_1'!N45,'CF_2'!N45,'CF_3'!N45)</x:f>
        <x:v>0</x:v>
      </x:c>
      <x:c r="O10" s="117" t="n">
        <x:f>SUM('CF_1'!O45,'CF_2'!O45,'CF_3'!O45)</x:f>
        <x:v>0</x:v>
      </x:c>
      <x:c r="P10" s="117" t="n">
        <x:f>SUM('CF_1'!P45,'CF_2'!P45,'CF_3'!P45)</x:f>
        <x:v>0</x:v>
      </x:c>
      <x:c r="Q10" s="117" t="n">
        <x:f>SUM('CF_1'!Q45,'CF_2'!Q45,'CF_3'!Q45)</x:f>
        <x:v>0</x:v>
      </x:c>
      <x:c r="R10" s="117" t="n">
        <x:f>SUM('CF_1'!R45,'CF_2'!R45,'CF_3'!R45)</x:f>
        <x:v>0</x:v>
      </x:c>
      <x:c r="S10" s="117" t="n">
        <x:f>SUM('CF_1'!S45,'CF_2'!S45,'CF_3'!S45)</x:f>
        <x:v>0</x:v>
      </x:c>
      <x:c r="T10" s="117" t="n">
        <x:f>SUM('CF_1'!T45,'CF_2'!T45,'CF_3'!T45)</x:f>
        <x:v>0</x:v>
      </x:c>
      <x:c r="U10" s="117" t="n">
        <x:f>SUM('CF_1'!U45,'CF_2'!U45,'CF_3'!U45)</x:f>
        <x:v>0</x:v>
      </x:c>
      <x:c r="V10" s="117" t="n">
        <x:f>SUM('CF_1'!V45,'CF_2'!V45,'CF_3'!V45)</x:f>
        <x:v>3269.5462936713507</x:v>
      </x:c>
      <x:c r="W10" s="117" t="n">
        <x:f>SUM('CF_1'!W45,'CF_2'!W45,'CF_3'!W45)</x:f>
        <x:v>180.79072625464306</x:v>
      </x:c>
      <x:c r="X10" s="117" t="n">
        <x:f>SUM('CF_1'!X45,'CF_2'!X45,'CF_3'!X45)</x:f>
        <x:v>185.143738289621</x:v>
      </x:c>
      <x:c r="Y10" s="117" t="n">
        <x:f>SUM('CF_1'!Y45,'CF_2'!Y45,'CF_3'!Y45)</x:f>
        <x:v>185.7845126586452</x:v>
      </x:c>
      <x:c r="Z10" s="117" t="n">
        <x:f>SUM('CF_1'!Z45,'CF_2'!Z45,'CF_3'!Z45)</x:f>
        <x:v>339.56891502559137</x:v>
      </x:c>
      <x:c r="AA10" s="117" t="n">
        <x:f>SUM('CF_1'!AA45,'CF_2'!AA45,'CF_3'!AA45)</x:f>
        <x:v>340.24232564958334</x:v>
      </x:c>
      <x:c r="AB10" s="117" t="n">
        <x:f>SUM('CF_1'!AB45,'CF_2'!AB45,'CF_3'!AB45)</x:f>
        <x:v>336.71174337134426</x:v>
      </x:c>
      <x:c r="AC10" s="117" t="n">
        <x:f>SUM('CF_1'!AC45,'CF_2'!AC45,'CF_3'!AC45)</x:f>
        <x:v>341.6403816765188</x:v>
      </x:c>
      <x:c r="AD10" s="117" t="n">
        <x:f>SUM('CF_1'!AD45,'CF_2'!AD45,'CF_3'!AD45)</x:f>
        <x:v>342.36588968678166</x:v>
      </x:c>
      <x:c r="AE10" s="117" t="n">
        <x:f>SUM('CF_1'!AE45,'CF_2'!AE45,'CF_3'!AE45)</x:f>
        <x:v>343.10964422350247</x:v>
      </x:c>
      <x:c r="AF10" s="117" t="n">
        <x:f>SUM('CF_1'!AF45,'CF_2'!AF45,'CF_3'!AF45)</x:f>
        <x:v>339.2102602619895</x:v>
      </x:c>
      <x:c r="AG10" s="117" t="n">
        <x:f>SUM('CF_1'!AG45,'CF_2'!AG45,'CF_3'!AG45)</x:f>
        <x:v>339.8746507186769</x:v>
      </x:c>
      <x:c r="AH10" s="117" t="n">
        <x:f>SUM('CF_1'!AH45,'CF_2'!AH45,'CF_3'!AH45)</x:f>
        <x:v>340.5557505953499</x:v>
      </x:c>
      <x:c r="AI10" s="117" t="n">
        <x:f>SUM('CF_1'!AI45,'CF_2'!AI45,'CF_3'!AI45)</x:f>
        <x:v>341.2539801339213</x:v>
      </x:c>
      <x:c r="AJ10" s="117" t="n">
        <x:f>SUM('CF_1'!AJ45,'CF_2'!AJ45,'CF_3'!AJ45)</x:f>
        <x:v>347.1185864025846</x:v>
      </x:c>
      <x:c r="AK10" s="117" t="n">
        <x:f>SUM('CF_1'!AK45,'CF_2'!AK45,'CF_3'!AK45)</x:f>
        <x:v>347.9818712617079</x:v>
      </x:c>
      <x:c r="AL10" s="117" t="n">
        <x:f>SUM('CF_1'!AL45,'CF_2'!AL45,'CF_3'!AL45)</x:f>
        <x:v>348.8668677350382</x:v>
      </x:c>
      <x:c r="AM10" s="117" t="n">
        <x:f>SUM('CF_1'!AM45,'CF_2'!AM45,'CF_3'!AM45)</x:f>
        <x:v>349.7741218696727</x:v>
      </x:c>
      <x:c r="AN10" s="117" t="n">
        <x:f>SUM('CF_1'!AN45,'CF_2'!AN45,'CF_3'!AN45)</x:f>
        <x:v>345.0175361321152</x:v>
      </x:c>
      <x:c r="AO10" s="117" t="n">
        <x:f>SUM('CF_1'!AO45,'CF_2'!AO45,'CF_3'!AO45)</x:f>
        <x:v>249.57264797369268</x:v>
      </x:c>
      <x:c r="AP10" s="117" t="n">
        <x:f>SUM('CF_1'!AP45,'CF_2'!AP45,'CF_3'!AP45)</x:f>
        <x:v>250.55009044129065</x:v>
      </x:c>
      <x:c r="AQ10" s="117" t="n">
        <x:f>SUM('CF_1'!AQ45,'CF_2'!AQ45,'CF_3'!AQ45)</x:f>
        <x:v>303.48611558694876</x:v>
      </x:c>
      <x:c r="AR10" s="117" t="n">
        <x:f>SUM('CF_1'!AR45,'CF_2'!AR45,'CF_3'!AR45)</x:f>
        <x:v>298.2326608662039</x:v>
      </x:c>
      <x:c r="AS10" s="117" t="n">
        <x:f>SUM('CF_1'!AS45,'CF_2'!AS45,'CF_3'!AS45)</x:f>
        <x:v>213.600689513225</x:v>
      </x:c>
      <x:c r="AT10" s="117" t="n">
        <x:f>SUM('CF_1'!AT45,'CF_2'!AT45,'CF_3'!AT45)</x:f>
        <x:v>0</x:v>
      </x:c>
      <x:c r="AU10" s="117" t="n">
        <x:f>SUM('CF_1'!AU45,'CF_2'!AU45,'CF_3'!AU45)</x:f>
        <x:v>0</x:v>
      </x:c>
      <x:c r="AV10" s="117" t="n">
        <x:f>SUM('CF_1'!AV45,'CF_2'!AV45,'CF_3'!AV45)</x:f>
        <x:v>0</x:v>
      </x:c>
      <x:c r="AW10" s="117" t="n">
        <x:f>SUM('CF_1'!AW45,'CF_2'!AW45,'CF_3'!AW45)</x:f>
        <x:v>0</x:v>
      </x:c>
      <x:c r="AX10" s="117" t="n">
        <x:f>SUM('CF_1'!AX45,'CF_2'!AX45,'CF_3'!AX45)</x:f>
        <x:v>0</x:v>
      </x:c>
      <x:c r="AY10" s="117" t="n">
        <x:f>SUM('CF_1'!AY45,'CF_2'!AY45,'CF_3'!AY45)</x:f>
        <x:v>0</x:v>
      </x:c>
      <x:c r="AZ10" s="117" t="n">
        <x:f>SUM('CF_1'!AZ45,'CF_2'!AZ45,'CF_3'!AZ45)</x:f>
        <x:v>0</x:v>
      </x:c>
      <x:c r="BA10" s="117" t="n">
        <x:f>SUM('CF_1'!BA45,'CF_2'!BA45,'CF_3'!BA45)</x:f>
        <x:v>0</x:v>
      </x:c>
      <x:c r="BB10" s="117" t="n">
        <x:f>SUM('CF_1'!BB45,'CF_2'!BB45,'CF_3'!BB45)</x:f>
        <x:v>0</x:v>
      </x:c>
      <x:c r="BC10" s="117" t="n">
        <x:f>SUM('CF_1'!BC45,'CF_2'!BC45,'CF_3'!BC45)</x:f>
        <x:v>0</x:v>
      </x:c>
      <x:c r="BD10" s="117" t="n">
        <x:f>SUM('CF_1'!BD45,'CF_2'!BD45,'CF_3'!BD45)</x:f>
        <x:v>0</x:v>
      </x:c>
      <x:c r="BE10" s="117" t="n">
        <x:f>SUM('CF_1'!BE45,'CF_2'!BE45,'CF_3'!BE45)</x:f>
        <x:v>0</x:v>
      </x:c>
      <x:c r="BF10" s="117" t="n">
        <x:f>SUM('CF_1'!BF45,'CF_2'!BF45,'CF_3'!BF45)</x:f>
        <x:v>0</x:v>
      </x:c>
      <x:c r="BG10" s="117" t="n">
        <x:f>SUM('CF_1'!BG45,'CF_2'!BG45,'CF_3'!BG45)</x:f>
        <x:v>0</x:v>
      </x:c>
      <x:c r="BH10" s="117" t="n">
        <x:f>SUM('CF_1'!BH45,'CF_2'!BH45,'CF_3'!BH45)</x:f>
        <x:v>0</x:v>
      </x:c>
      <x:c r="BI10" s="117" t="n">
        <x:f>SUM('CF_1'!BI45,'CF_2'!BI45,'CF_3'!BI45)</x:f>
        <x:v>0</x:v>
      </x:c>
      <x:c r="BJ10" s="117" t="n">
        <x:f>SUM('CF_1'!BJ45,'CF_2'!BJ45,'CF_3'!BJ45)</x:f>
        <x:v>0</x:v>
      </x:c>
      <x:c r="BK10" s="117" t="n">
        <x:f>SUM('CF_1'!BK45,'CF_2'!BK45,'CF_3'!BK45)</x:f>
        <x:v>0</x:v>
      </x:c>
      <x:c r="BL10" s="117" t="n">
        <x:f>SUM('CF_1'!BL45,'CF_2'!BL45,'CF_3'!BL45)</x:f>
        <x:v>0</x:v>
      </x:c>
      <x:c r="BM10" s="117" t="n">
        <x:f>SUM('CF_1'!BM45,'CF_2'!BM45,'CF_3'!BM45)</x:f>
        <x:v>0</x:v>
      </x:c>
      <x:c r="BN10" s="117" t="n">
        <x:f>SUM('CF_1'!BN45,'CF_2'!BN45,'CF_3'!BN45)</x:f>
        <x:v>0</x:v>
      </x:c>
      <x:c r="BO10" s="117" t="n">
        <x:f>SUM('CF_1'!BO45,'CF_2'!BO45,'CF_3'!BO45)</x:f>
        <x:v>0</x:v>
      </x:c>
      <x:c r="BP10" s="117" t="n">
        <x:f>SUM('CF_1'!BP45,'CF_2'!BP45,'CF_3'!BP45)</x:f>
        <x:v>0</x:v>
      </x:c>
      <x:c r="BQ10" s="117" t="n">
        <x:f>SUM('CF_1'!BQ45,'CF_2'!BQ45,'CF_3'!BQ45)</x:f>
        <x:v>0</x:v>
      </x:c>
      <x:c r="BR10" s="117" t="n">
        <x:f>SUM('CF_1'!BR45,'CF_2'!BR45,'CF_3'!BR45)</x:f>
        <x:v>0</x:v>
      </x:c>
      <x:c r="BS10" s="117" t="n">
        <x:f>SUM('CF_1'!BS45,'CF_2'!BS45,'CF_3'!BS45)</x:f>
        <x:v>0</x:v>
      </x:c>
      <x:c r="BT10" s="117" t="n">
        <x:f>SUM('CF_1'!BT45,'CF_2'!BT45,'CF_3'!BT45)</x:f>
        <x:v>0</x:v>
      </x:c>
      <x:c r="BU10" s="117" t="n">
        <x:f>SUM('CF_1'!BU45,'CF_2'!BU45,'CF_3'!BU45)</x:f>
        <x:v>0</x:v>
      </x:c>
      <x:c r="BV10" s="117" t="n">
        <x:f>SUM('CF_1'!BV45,'CF_2'!BV45,'CF_3'!BV45)</x:f>
        <x:v>0</x:v>
      </x:c>
      <x:c r="BW10" s="117" t="n">
        <x:f>SUM('CF_1'!BW45,'CF_2'!BW45,'CF_3'!BW45)</x:f>
        <x:v>0</x:v>
      </x:c>
      <x:c r="BX10" s="117" t="n">
        <x:f>SUM('CF_1'!BX45,'CF_2'!BX45,'CF_3'!BX45)</x:f>
        <x:v>0</x:v>
      </x:c>
      <x:c r="BY10" s="117" t="n">
        <x:f>SUM('CF_1'!BY45,'CF_2'!BY45,'CF_3'!BY45)</x:f>
        <x:v>0</x:v>
      </x:c>
      <x:c r="BZ10" s="117" t="n">
        <x:f>SUM('CF_1'!BZ45,'CF_2'!BZ45,'CF_3'!BZ45)</x:f>
        <x:v>0</x:v>
      </x:c>
      <x:c r="CA10" s="117" t="n">
        <x:f>SUM('CF_1'!CA45,'CF_2'!CA45,'CF_3'!CA45)</x:f>
        <x:v>0</x:v>
      </x:c>
      <x:c r="CB10" s="117" t="n">
        <x:f>SUM('CF_1'!CB45,'CF_2'!CB45,'CF_3'!CB45)</x:f>
        <x:v>0</x:v>
      </x:c>
      <x:c r="CC10" s="117" t="n">
        <x:f>SUM('CF_1'!CC45,'CF_2'!CC45,'CF_3'!CC45)</x:f>
        <x:v>0</x:v>
      </x:c>
      <x:c r="CD10" s="117" t="n">
        <x:f>SUM('CF_1'!CD45,'CF_2'!CD45,'CF_3'!CD45)</x:f>
        <x:v>0</x:v>
      </x:c>
      <x:c r="CE10" s="117" t="n">
        <x:f>SUM('CF_1'!CE45,'CF_2'!CE45,'CF_3'!CE45)</x:f>
        <x:v>0</x:v>
      </x:c>
      <x:c r="CF10" s="117" t="n">
        <x:f>SUM('CF_1'!CF45,'CF_2'!CF45,'CF_3'!CF45)</x:f>
        <x:v>0</x:v>
      </x:c>
      <x:c r="CG10" s="117" t="n">
        <x:f>SUM('CF_1'!CG45,'CF_2'!CG45,'CF_3'!CG45)</x:f>
        <x:v>0</x:v>
      </x:c>
      <x:c r="CH10" s="117" t="n">
        <x:f>SUM('CF_1'!CH45,'CF_2'!CH45,'CF_3'!CH45)</x:f>
        <x:v>0</x:v>
      </x:c>
      <x:c r="CI10" s="117" t="n">
        <x:f>SUM('CF_1'!CI45,'CF_2'!CI45,'CF_3'!CI45)</x:f>
        <x:v>0</x:v>
      </x:c>
      <x:c r="CJ10" s="117" t="n">
        <x:f>SUM('CF_1'!CJ45,'CF_2'!CJ45,'CF_3'!CJ45)</x:f>
        <x:v>0</x:v>
      </x:c>
      <x:c r="CK10" s="117" t="n">
        <x:f>SUM('CF_1'!CK45,'CF_2'!CK45,'CF_3'!CK45)</x:f>
        <x:v>0</x:v>
      </x:c>
      <x:c r="CL10" s="117" t="n">
        <x:f>SUM('CF_1'!CL45,'CF_2'!CL45,'CF_3'!CL45)</x:f>
        <x:v>0</x:v>
      </x:c>
      <x:c r="CM10" s="117" t="n">
        <x:f>SUM('CF_1'!CM45,'CF_2'!CM45,'CF_3'!CM45)</x:f>
        <x:v>0</x:v>
      </x:c>
      <x:c r="CN10" s="117" t="n">
        <x:f>SUM('CF_1'!CN45,'CF_2'!CN45,'CF_3'!CN45)</x:f>
        <x:v>0</x:v>
      </x:c>
      <x:c r="CO10" s="117" t="n">
        <x:f>SUM('CF_1'!CO45,'CF_2'!CO45,'CF_3'!CO45)</x:f>
        <x:v>0</x:v>
      </x:c>
      <x:c r="CP10" s="117" t="n">
        <x:f>SUM('CF_1'!CP45,'CF_2'!CP45,'CF_3'!CP45)</x:f>
        <x:v>0</x:v>
      </x:c>
      <x:c r="CQ10" s="117" t="n">
        <x:f>SUM('CF_1'!CQ45,'CF_2'!CQ45,'CF_3'!CQ45)</x:f>
        <x:v>0</x:v>
      </x:c>
      <x:c r="CR10" s="117" t="n">
        <x:f>SUM('CF_1'!CR45,'CF_2'!CR45,'CF_3'!CR45)</x:f>
        <x:v>0</x:v>
      </x:c>
      <x:c r="CS10" s="117" t="n">
        <x:f>SUM('CF_1'!CS45,'CF_2'!CS45,'CF_3'!CS45)</x:f>
        <x:v>0</x:v>
      </x:c>
      <x:c r="CT10" s="117" t="n">
        <x:f>SUM('CF_1'!CT45,'CF_2'!CT45,'CF_3'!CT45)</x:f>
        <x:v>0</x:v>
      </x:c>
      <x:c r="CU10" s="117" t="n">
        <x:f>SUM('CF_1'!CU45,'CF_2'!CU45,'CF_3'!CU45)</x:f>
        <x:v>0</x:v>
      </x:c>
      <x:c r="CV10" s="117" t="n">
        <x:f>SUM('CF_1'!CV45,'CF_2'!CV45,'CF_3'!CV45)</x:f>
        <x:v>0</x:v>
      </x:c>
      <x:c r="CW10" s="117" t="n">
        <x:f>SUM('CF_1'!CW45,'CF_2'!CW45,'CF_3'!CW45)</x:f>
        <x:v>0</x:v>
      </x:c>
      <x:c r="CX10" s="117" t="n">
        <x:f>SUM('CF_1'!CX45,'CF_2'!CX45,'CF_3'!CX45)</x:f>
        <x:v>0</x:v>
      </x:c>
      <x:c r="CY10" s="117" t="n">
        <x:f>SUM('CF_1'!CY45,'CF_2'!CY45,'CF_3'!CY45)</x:f>
        <x:v>0</x:v>
      </x:c>
      <x:c r="CZ10" s="117" t="n">
        <x:f>SUM('CF_1'!CZ45,'CF_2'!CZ45,'CF_3'!CZ45)</x:f>
        <x:v>0</x:v>
      </x:c>
      <x:c r="DA10" s="117" t="n">
        <x:f>SUM('CF_1'!DA45,'CF_2'!DA45,'CF_3'!DA45)</x:f>
        <x:v>0</x:v>
      </x:c>
      <x:c r="DB10" s="117" t="n">
        <x:f>SUM('CF_1'!DB45,'CF_2'!DB45,'CF_3'!DB45)</x:f>
        <x:v>0</x:v>
      </x:c>
      <x:c r="DC10" s="117" t="n">
        <x:f>SUM('CF_1'!DC45,'CF_2'!DC45,'CF_3'!DC45)</x:f>
        <x:v>0</x:v>
      </x:c>
      <x:c r="DD10" s="117" t="n">
        <x:f>SUM('CF_1'!DD45,'CF_2'!DD45,'CF_3'!DD45)</x:f>
        <x:v>0</x:v>
      </x:c>
      <x:c r="DE10" s="117" t="n">
        <x:f>SUM('CF_1'!DE45,'CF_2'!DE45,'CF_3'!DE45)</x:f>
        <x:v>0</x:v>
      </x:c>
      <x:c r="DF10" s="117" t="n">
        <x:f>SUM('CF_1'!DF45,'CF_2'!DF45,'CF_3'!DF45)</x:f>
        <x:v>0</x:v>
      </x:c>
      <x:c r="DG10" s="117" t="n">
        <x:f>SUM('CF_1'!DG45,'CF_2'!DG45,'CF_3'!DG45)</x:f>
        <x:v>0</x:v>
      </x:c>
      <x:c r="DH10" s="117" t="n">
        <x:f>SUM('CF_1'!DH45,'CF_2'!DH45,'CF_3'!DH45)</x:f>
        <x:v>0</x:v>
      </x:c>
      <x:c r="DI10" s="117" t="n">
        <x:f>SUM('CF_1'!DI45,'CF_2'!DI45,'CF_3'!DI45)</x:f>
        <x:v>0</x:v>
      </x:c>
      <x:c r="DJ10" s="117" t="n">
        <x:f>SUM('CF_1'!DJ45,'CF_2'!DJ45,'CF_3'!DJ45)</x:f>
        <x:v>0</x:v>
      </x:c>
      <x:c r="DK10" s="117" t="n">
        <x:f>SUM('CF_1'!DK45,'CF_2'!DK45,'CF_3'!DK45)</x:f>
        <x:v>0</x:v>
      </x:c>
      <x:c r="DL10" s="117" t="n">
        <x:f>SUM('CF_1'!DL45,'CF_2'!DL45,'CF_3'!DL45)</x:f>
        <x:v>0</x:v>
      </x:c>
      <x:c r="DM10" s="117" t="n">
        <x:f>SUM('CF_1'!DM45,'CF_2'!DM45,'CF_3'!DM45)</x:f>
        <x:v>0</x:v>
      </x:c>
      <x:c r="DN10" s="117" t="n">
        <x:f>SUM('CF_1'!DN45,'CF_2'!DN45,'CF_3'!DN45)</x:f>
        <x:v>0</x:v>
      </x:c>
      <x:c r="DO10" s="117" t="n">
        <x:f>SUM('CF_1'!DO45,'CF_2'!DO45,'CF_3'!DO45)</x:f>
        <x:v>0</x:v>
      </x:c>
      <x:c r="DP10" s="117" t="n">
        <x:f>SUM('CF_1'!DP45,'CF_2'!DP45,'CF_3'!DP45)</x:f>
        <x:v>0</x:v>
      </x:c>
      <x:c r="DQ10" s="117" t="n">
        <x:f>SUM('CF_1'!DQ45,'CF_2'!DQ45,'CF_3'!DQ45)</x:f>
        <x:v>0</x:v>
      </x:c>
      <x:c r="DR10" s="117" t="n">
        <x:f>SUM('CF_1'!DR45,'CF_2'!DR45,'CF_3'!DR45)</x:f>
        <x:v>0</x:v>
      </x:c>
      <x:c r="DS10" s="117" t="n">
        <x:f>SUM('CF_1'!DS45,'CF_2'!DS45,'CF_3'!DS45)</x:f>
        <x:v>0</x:v>
      </x:c>
    </x:row>
    <x:row r="11">
      <x:c r="A11" t="str">
        <x:v>ПФ — проценты</x:v>
      </x:c>
      <x:c r="B11" s="107" t="n">
        <x:f>SUM(D11:DS11)</x:f>
        <x:v>933.3832728831311</x:v>
      </x:c>
      <x:c r="C11" t="str">
        <x:v>млн ₽</x:v>
      </x:c>
      <x:c r="D11" s="117" t="n">
        <x:f>SUM('CF_1'!D42,'CF_2'!D42,'CF_3'!D42)</x:f>
        <x:v>0</x:v>
      </x:c>
      <x:c r="E11" s="117" t="n">
        <x:f>SUM('CF_1'!E42,'CF_2'!E42,'CF_3'!E42)</x:f>
        <x:v>0</x:v>
      </x:c>
      <x:c r="F11" s="117" t="n">
        <x:f>SUM('CF_1'!F42,'CF_2'!F42,'CF_3'!F42)</x:f>
        <x:v>0</x:v>
      </x:c>
      <x:c r="G11" s="117" t="n">
        <x:f>SUM('CF_1'!G42,'CF_2'!G42,'CF_3'!G42)</x:f>
        <x:v>0</x:v>
      </x:c>
      <x:c r="H11" s="117" t="n">
        <x:f>SUM('CF_1'!H42,'CF_2'!H42,'CF_3'!H42)</x:f>
        <x:v>0</x:v>
      </x:c>
      <x:c r="I11" s="117" t="n">
        <x:f>SUM('CF_1'!I42,'CF_2'!I42,'CF_3'!I42)</x:f>
        <x:v>0</x:v>
      </x:c>
      <x:c r="J11" s="117" t="n">
        <x:f>SUM('CF_1'!J42,'CF_2'!J42,'CF_3'!J42)</x:f>
        <x:v>0</x:v>
      </x:c>
      <x:c r="K11" s="117" t="n">
        <x:f>SUM('CF_1'!K42,'CF_2'!K42,'CF_3'!K42)</x:f>
        <x:v>0</x:v>
      </x:c>
      <x:c r="L11" s="117" t="n">
        <x:f>SUM('CF_1'!L42,'CF_2'!L42,'CF_3'!L42)</x:f>
        <x:v>0</x:v>
      </x:c>
      <x:c r="M11" s="117" t="n">
        <x:f>SUM('CF_1'!M42,'CF_2'!M42,'CF_3'!M42)</x:f>
        <x:v>0</x:v>
      </x:c>
      <x:c r="N11" s="117" t="n">
        <x:f>SUM('CF_1'!N42,'CF_2'!N42,'CF_3'!N42)</x:f>
        <x:v>0</x:v>
      </x:c>
      <x:c r="O11" s="117" t="n">
        <x:f>SUM('CF_1'!O42,'CF_2'!O42,'CF_3'!O42)</x:f>
        <x:v>0</x:v>
      </x:c>
      <x:c r="P11" s="117" t="n">
        <x:f>SUM('CF_1'!P42,'CF_2'!P42,'CF_3'!P42)</x:f>
        <x:v>0</x:v>
      </x:c>
      <x:c r="Q11" s="117" t="n">
        <x:f>SUM('CF_1'!Q42,'CF_2'!Q42,'CF_3'!Q42)</x:f>
        <x:v>0</x:v>
      </x:c>
      <x:c r="R11" s="117" t="n">
        <x:f>SUM('CF_1'!R42,'CF_2'!R42,'CF_3'!R42)</x:f>
        <x:v>0</x:v>
      </x:c>
      <x:c r="S11" s="117" t="n">
        <x:f>SUM('CF_1'!S42,'CF_2'!S42,'CF_3'!S42)</x:f>
        <x:v>0</x:v>
      </x:c>
      <x:c r="T11" s="117" t="n">
        <x:f>SUM('CF_1'!T42,'CF_2'!T42,'CF_3'!T42)</x:f>
        <x:v>0</x:v>
      </x:c>
      <x:c r="U11" s="117" t="n">
        <x:f>SUM('CF_1'!U42,'CF_2'!U42,'CF_3'!U42)</x:f>
        <x:v>0</x:v>
      </x:c>
      <x:c r="V11" s="117" t="n">
        <x:f>SUM('CF_1'!V42,'CF_2'!V42,'CF_3'!V42)</x:f>
        <x:v>0</x:v>
      </x:c>
      <x:c r="W11" s="117" t="n">
        <x:f>SUM('CF_1'!W42,'CF_2'!W42,'CF_3'!W42)</x:f>
        <x:v>34.631756797973885</x:v>
      </x:c>
      <x:c r="X11" s="117" t="n">
        <x:f>SUM('CF_1'!X42,'CF_2'!X42,'CF_3'!X42)</x:f>
        <x:v>33.3445177463103</x:v>
      </x:c>
      <x:c r="Y11" s="117" t="n">
        <x:f>SUM('CF_1'!Y42,'CF_2'!Y42,'CF_3'!Y42)</x:f>
        <x:v>32.09870014762759</x:v>
      </x:c>
      <x:c r="Z11" s="117" t="n">
        <x:f>SUM('CF_1'!Z42,'CF_2'!Z42,'CF_3'!Z42)</x:f>
        <x:v>30.85194623348951</x:v>
      </x:c>
      <x:c r="AA11" s="117" t="n">
        <x:f>SUM('CF_1'!AA42,'CF_2'!AA42,'CF_3'!AA42)</x:f>
        <x:v>31.35645203320262</x:v>
      </x:c>
      <x:c r="AB11" s="117" t="n">
        <x:f>SUM('CF_1'!AB42,'CF_2'!AB42,'CF_3'!AB42)</x:f>
        <x:v>32.265061153426785</x:v>
      </x:c>
      <x:c r="AC11" s="117" t="n">
        <x:f>SUM('CF_1'!AC42,'CF_2'!AC42,'CF_3'!AC42)</x:f>
        <x:v>32.962292874720866</x:v>
      </x:c>
      <x:c r="AD11" s="117" t="n">
        <x:f>SUM('CF_1'!AD42,'CF_2'!AD42,'CF_3'!AD42)</x:f>
        <x:v>33.63723877584857</x:v>
      </x:c>
      <x:c r="AE11" s="117" t="n">
        <x:f>SUM('CF_1'!AE42,'CF_2'!AE42,'CF_3'!AE42)</x:f>
        <x:v>34.24065865601451</x:v>
      </x:c>
      <x:c r="AF11" s="117" t="n">
        <x:f>SUM('CF_1'!AF42,'CF_2'!AF42,'CF_3'!AF42)</x:f>
        <x:v>35.270236913452074</x:v>
      </x:c>
      <x:c r="AG11" s="117" t="n">
        <x:f>SUM('CF_1'!AG42,'CF_2'!AG42,'CF_3'!AG42)</x:f>
        <x:v>36.1847624095347</x:v>
      </x:c>
      <x:c r="AH11" s="117" t="n">
        <x:f>SUM('CF_1'!AH42,'CF_2'!AH42,'CF_3'!AH42)</x:f>
        <x:v>37.033787311468664</x:v>
      </x:c>
      <x:c r="AI11" s="117" t="n">
        <x:f>SUM('CF_1'!AI42,'CF_2'!AI42,'CF_3'!AI42)</x:f>
        <x:v>37.815664279311115</x:v>
      </x:c>
      <x:c r="AJ11" s="117" t="n">
        <x:f>SUM('CF_1'!AJ42,'CF_2'!AJ42,'CF_3'!AJ42)</x:f>
        <x:v>37.97704565782</x:v>
      </x:c>
      <x:c r="AK11" s="117" t="n">
        <x:f>SUM('CF_1'!AK42,'CF_2'!AK42,'CF_3'!AK42)</x:f>
        <x:v>38.11190905051671</x:v>
      </x:c>
      <x:c r="AL11" s="117" t="n">
        <x:f>SUM('CF_1'!AL42,'CF_2'!AL42,'CF_3'!AL42)</x:f>
        <x:v>38.1616633471646</x:v>
      </x:c>
      <x:c r="AM11" s="117" t="n">
        <x:f>SUM('CF_1'!AM42,'CF_2'!AM42,'CF_3'!AM42)</x:f>
        <x:v>38.12416805399803</x:v>
      </x:c>
      <x:c r="AN11" s="117" t="n">
        <x:f>SUM('CF_1'!AN42,'CF_2'!AN42,'CF_3'!AN42)</x:f>
        <x:v>38.60651355601298</x:v>
      </x:c>
      <x:c r="AO11" s="117" t="n">
        <x:f>SUM('CF_1'!AO42,'CF_2'!AO42,'CF_3'!AO42)</x:f>
        <x:v>38.32390601955845</x:v>
      </x:c>
      <x:c r="AP11" s="117" t="n">
        <x:f>SUM('CF_1'!AP42,'CF_2'!AP42,'CF_3'!AP42)</x:f>
        <x:v>36.86281751265047</x:v>
      </x:c>
      <x:c r="AQ11" s="117" t="n">
        <x:f>SUM('CF_1'!AQ42,'CF_2'!AQ42,'CF_3'!AQ42)</x:f>
        <x:v>35.49255200262608</x:v>
      </x:c>
      <x:c r="AR11" s="117" t="n">
        <x:f>SUM('CF_1'!AR42,'CF_2'!AR42,'CF_3'!AR42)</x:f>
        <x:v>36.63062493607714</x:v>
      </x:c>
      <x:c r="AS11" s="117" t="n">
        <x:f>SUM('CF_1'!AS42,'CF_2'!AS42,'CF_3'!AS42)</x:f>
        <x:v>37.74899741432541</x:v>
      </x:c>
      <x:c r="AT11" s="117" t="n">
        <x:f>SUM('CF_1'!AT42,'CF_2'!AT42,'CF_3'!AT42)</x:f>
        <x:v>115.65000000000002</x:v>
      </x:c>
      <x:c r="AU11" s="117" t="n">
        <x:f>SUM('CF_1'!AU42,'CF_2'!AU42,'CF_3'!AU42)</x:f>
        <x:v>0</x:v>
      </x:c>
      <x:c r="AV11" s="117" t="n">
        <x:f>SUM('CF_1'!AV42,'CF_2'!AV42,'CF_3'!AV42)</x:f>
        <x:v>0</x:v>
      </x:c>
      <x:c r="AW11" s="117" t="n">
        <x:f>SUM('CF_1'!AW42,'CF_2'!AW42,'CF_3'!AW42)</x:f>
        <x:v>0</x:v>
      </x:c>
      <x:c r="AX11" s="117" t="n">
        <x:f>SUM('CF_1'!AX42,'CF_2'!AX42,'CF_3'!AX42)</x:f>
        <x:v>0</x:v>
      </x:c>
      <x:c r="AY11" s="117" t="n">
        <x:f>SUM('CF_1'!AY42,'CF_2'!AY42,'CF_3'!AY42)</x:f>
        <x:v>0</x:v>
      </x:c>
      <x:c r="AZ11" s="117" t="n">
        <x:f>SUM('CF_1'!AZ42,'CF_2'!AZ42,'CF_3'!AZ42)</x:f>
        <x:v>0</x:v>
      </x:c>
      <x:c r="BA11" s="117" t="n">
        <x:f>SUM('CF_1'!BA42,'CF_2'!BA42,'CF_3'!BA42)</x:f>
        <x:v>0</x:v>
      </x:c>
      <x:c r="BB11" s="117" t="n">
        <x:f>SUM('CF_1'!BB42,'CF_2'!BB42,'CF_3'!BB42)</x:f>
        <x:v>0</x:v>
      </x:c>
      <x:c r="BC11" s="117" t="n">
        <x:f>SUM('CF_1'!BC42,'CF_2'!BC42,'CF_3'!BC42)</x:f>
        <x:v>0</x:v>
      </x:c>
      <x:c r="BD11" s="117" t="n">
        <x:f>SUM('CF_1'!BD42,'CF_2'!BD42,'CF_3'!BD42)</x:f>
        <x:v>0</x:v>
      </x:c>
      <x:c r="BE11" s="117" t="n">
        <x:f>SUM('CF_1'!BE42,'CF_2'!BE42,'CF_3'!BE42)</x:f>
        <x:v>0</x:v>
      </x:c>
      <x:c r="BF11" s="117" t="n">
        <x:f>SUM('CF_1'!BF42,'CF_2'!BF42,'CF_3'!BF42)</x:f>
        <x:v>0</x:v>
      </x:c>
      <x:c r="BG11" s="117" t="n">
        <x:f>SUM('CF_1'!BG42,'CF_2'!BG42,'CF_3'!BG42)</x:f>
        <x:v>0</x:v>
      </x:c>
      <x:c r="BH11" s="117" t="n">
        <x:f>SUM('CF_1'!BH42,'CF_2'!BH42,'CF_3'!BH42)</x:f>
        <x:v>0</x:v>
      </x:c>
      <x:c r="BI11" s="117" t="n">
        <x:f>SUM('CF_1'!BI42,'CF_2'!BI42,'CF_3'!BI42)</x:f>
        <x:v>0</x:v>
      </x:c>
      <x:c r="BJ11" s="117" t="n">
        <x:f>SUM('CF_1'!BJ42,'CF_2'!BJ42,'CF_3'!BJ42)</x:f>
        <x:v>0</x:v>
      </x:c>
      <x:c r="BK11" s="117" t="n">
        <x:f>SUM('CF_1'!BK42,'CF_2'!BK42,'CF_3'!BK42)</x:f>
        <x:v>0</x:v>
      </x:c>
      <x:c r="BL11" s="117" t="n">
        <x:f>SUM('CF_1'!BL42,'CF_2'!BL42,'CF_3'!BL42)</x:f>
        <x:v>0</x:v>
      </x:c>
      <x:c r="BM11" s="117" t="n">
        <x:f>SUM('CF_1'!BM42,'CF_2'!BM42,'CF_3'!BM42)</x:f>
        <x:v>0</x:v>
      </x:c>
      <x:c r="BN11" s="117" t="n">
        <x:f>SUM('CF_1'!BN42,'CF_2'!BN42,'CF_3'!BN42)</x:f>
        <x:v>0</x:v>
      </x:c>
      <x:c r="BO11" s="117" t="n">
        <x:f>SUM('CF_1'!BO42,'CF_2'!BO42,'CF_3'!BO42)</x:f>
        <x:v>0</x:v>
      </x:c>
      <x:c r="BP11" s="117" t="n">
        <x:f>SUM('CF_1'!BP42,'CF_2'!BP42,'CF_3'!BP42)</x:f>
        <x:v>0</x:v>
      </x:c>
      <x:c r="BQ11" s="117" t="n">
        <x:f>SUM('CF_1'!BQ42,'CF_2'!BQ42,'CF_3'!BQ42)</x:f>
        <x:v>0</x:v>
      </x:c>
      <x:c r="BR11" s="117" t="n">
        <x:f>SUM('CF_1'!BR42,'CF_2'!BR42,'CF_3'!BR42)</x:f>
        <x:v>0</x:v>
      </x:c>
      <x:c r="BS11" s="117" t="n">
        <x:f>SUM('CF_1'!BS42,'CF_2'!BS42,'CF_3'!BS42)</x:f>
        <x:v>0</x:v>
      </x:c>
      <x:c r="BT11" s="117" t="n">
        <x:f>SUM('CF_1'!BT42,'CF_2'!BT42,'CF_3'!BT42)</x:f>
        <x:v>0</x:v>
      </x:c>
      <x:c r="BU11" s="117" t="n">
        <x:f>SUM('CF_1'!BU42,'CF_2'!BU42,'CF_3'!BU42)</x:f>
        <x:v>0</x:v>
      </x:c>
      <x:c r="BV11" s="117" t="n">
        <x:f>SUM('CF_1'!BV42,'CF_2'!BV42,'CF_3'!BV42)</x:f>
        <x:v>0</x:v>
      </x:c>
      <x:c r="BW11" s="117" t="n">
        <x:f>SUM('CF_1'!BW42,'CF_2'!BW42,'CF_3'!BW42)</x:f>
        <x:v>0</x:v>
      </x:c>
      <x:c r="BX11" s="117" t="n">
        <x:f>SUM('CF_1'!BX42,'CF_2'!BX42,'CF_3'!BX42)</x:f>
        <x:v>0</x:v>
      </x:c>
      <x:c r="BY11" s="117" t="n">
        <x:f>SUM('CF_1'!BY42,'CF_2'!BY42,'CF_3'!BY42)</x:f>
        <x:v>0</x:v>
      </x:c>
      <x:c r="BZ11" s="117" t="n">
        <x:f>SUM('CF_1'!BZ42,'CF_2'!BZ42,'CF_3'!BZ42)</x:f>
        <x:v>0</x:v>
      </x:c>
      <x:c r="CA11" s="117" t="n">
        <x:f>SUM('CF_1'!CA42,'CF_2'!CA42,'CF_3'!CA42)</x:f>
        <x:v>0</x:v>
      </x:c>
      <x:c r="CB11" s="117" t="n">
        <x:f>SUM('CF_1'!CB42,'CF_2'!CB42,'CF_3'!CB42)</x:f>
        <x:v>0</x:v>
      </x:c>
      <x:c r="CC11" s="117" t="n">
        <x:f>SUM('CF_1'!CC42,'CF_2'!CC42,'CF_3'!CC42)</x:f>
        <x:v>0</x:v>
      </x:c>
      <x:c r="CD11" s="117" t="n">
        <x:f>SUM('CF_1'!CD42,'CF_2'!CD42,'CF_3'!CD42)</x:f>
        <x:v>0</x:v>
      </x:c>
      <x:c r="CE11" s="117" t="n">
        <x:f>SUM('CF_1'!CE42,'CF_2'!CE42,'CF_3'!CE42)</x:f>
        <x:v>0</x:v>
      </x:c>
      <x:c r="CF11" s="117" t="n">
        <x:f>SUM('CF_1'!CF42,'CF_2'!CF42,'CF_3'!CF42)</x:f>
        <x:v>0</x:v>
      </x:c>
      <x:c r="CG11" s="117" t="n">
        <x:f>SUM('CF_1'!CG42,'CF_2'!CG42,'CF_3'!CG42)</x:f>
        <x:v>0</x:v>
      </x:c>
      <x:c r="CH11" s="117" t="n">
        <x:f>SUM('CF_1'!CH42,'CF_2'!CH42,'CF_3'!CH42)</x:f>
        <x:v>0</x:v>
      </x:c>
      <x:c r="CI11" s="117" t="n">
        <x:f>SUM('CF_1'!CI42,'CF_2'!CI42,'CF_3'!CI42)</x:f>
        <x:v>0</x:v>
      </x:c>
      <x:c r="CJ11" s="117" t="n">
        <x:f>SUM('CF_1'!CJ42,'CF_2'!CJ42,'CF_3'!CJ42)</x:f>
        <x:v>0</x:v>
      </x:c>
      <x:c r="CK11" s="117" t="n">
        <x:f>SUM('CF_1'!CK42,'CF_2'!CK42,'CF_3'!CK42)</x:f>
        <x:v>0</x:v>
      </x:c>
      <x:c r="CL11" s="117" t="n">
        <x:f>SUM('CF_1'!CL42,'CF_2'!CL42,'CF_3'!CL42)</x:f>
        <x:v>0</x:v>
      </x:c>
      <x:c r="CM11" s="117" t="n">
        <x:f>SUM('CF_1'!CM42,'CF_2'!CM42,'CF_3'!CM42)</x:f>
        <x:v>0</x:v>
      </x:c>
      <x:c r="CN11" s="117" t="n">
        <x:f>SUM('CF_1'!CN42,'CF_2'!CN42,'CF_3'!CN42)</x:f>
        <x:v>0</x:v>
      </x:c>
      <x:c r="CO11" s="117" t="n">
        <x:f>SUM('CF_1'!CO42,'CF_2'!CO42,'CF_3'!CO42)</x:f>
        <x:v>0</x:v>
      </x:c>
      <x:c r="CP11" s="117" t="n">
        <x:f>SUM('CF_1'!CP42,'CF_2'!CP42,'CF_3'!CP42)</x:f>
        <x:v>0</x:v>
      </x:c>
      <x:c r="CQ11" s="117" t="n">
        <x:f>SUM('CF_1'!CQ42,'CF_2'!CQ42,'CF_3'!CQ42)</x:f>
        <x:v>0</x:v>
      </x:c>
      <x:c r="CR11" s="117" t="n">
        <x:f>SUM('CF_1'!CR42,'CF_2'!CR42,'CF_3'!CR42)</x:f>
        <x:v>0</x:v>
      </x:c>
      <x:c r="CS11" s="117" t="n">
        <x:f>SUM('CF_1'!CS42,'CF_2'!CS42,'CF_3'!CS42)</x:f>
        <x:v>0</x:v>
      </x:c>
      <x:c r="CT11" s="117" t="n">
        <x:f>SUM('CF_1'!CT42,'CF_2'!CT42,'CF_3'!CT42)</x:f>
        <x:v>0</x:v>
      </x:c>
      <x:c r="CU11" s="117" t="n">
        <x:f>SUM('CF_1'!CU42,'CF_2'!CU42,'CF_3'!CU42)</x:f>
        <x:v>0</x:v>
      </x:c>
      <x:c r="CV11" s="117" t="n">
        <x:f>SUM('CF_1'!CV42,'CF_2'!CV42,'CF_3'!CV42)</x:f>
        <x:v>0</x:v>
      </x:c>
      <x:c r="CW11" s="117" t="n">
        <x:f>SUM('CF_1'!CW42,'CF_2'!CW42,'CF_3'!CW42)</x:f>
        <x:v>0</x:v>
      </x:c>
      <x:c r="CX11" s="117" t="n">
        <x:f>SUM('CF_1'!CX42,'CF_2'!CX42,'CF_3'!CX42)</x:f>
        <x:v>0</x:v>
      </x:c>
      <x:c r="CY11" s="117" t="n">
        <x:f>SUM('CF_1'!CY42,'CF_2'!CY42,'CF_3'!CY42)</x:f>
        <x:v>0</x:v>
      </x:c>
      <x:c r="CZ11" s="117" t="n">
        <x:f>SUM('CF_1'!CZ42,'CF_2'!CZ42,'CF_3'!CZ42)</x:f>
        <x:v>0</x:v>
      </x:c>
      <x:c r="DA11" s="117" t="n">
        <x:f>SUM('CF_1'!DA42,'CF_2'!DA42,'CF_3'!DA42)</x:f>
        <x:v>0</x:v>
      </x:c>
      <x:c r="DB11" s="117" t="n">
        <x:f>SUM('CF_1'!DB42,'CF_2'!DB42,'CF_3'!DB42)</x:f>
        <x:v>0</x:v>
      </x:c>
      <x:c r="DC11" s="117" t="n">
        <x:f>SUM('CF_1'!DC42,'CF_2'!DC42,'CF_3'!DC42)</x:f>
        <x:v>0</x:v>
      </x:c>
      <x:c r="DD11" s="117" t="n">
        <x:f>SUM('CF_1'!DD42,'CF_2'!DD42,'CF_3'!DD42)</x:f>
        <x:v>0</x:v>
      </x:c>
      <x:c r="DE11" s="117" t="n">
        <x:f>SUM('CF_1'!DE42,'CF_2'!DE42,'CF_3'!DE42)</x:f>
        <x:v>0</x:v>
      </x:c>
      <x:c r="DF11" s="117" t="n">
        <x:f>SUM('CF_1'!DF42,'CF_2'!DF42,'CF_3'!DF42)</x:f>
        <x:v>0</x:v>
      </x:c>
      <x:c r="DG11" s="117" t="n">
        <x:f>SUM('CF_1'!DG42,'CF_2'!DG42,'CF_3'!DG42)</x:f>
        <x:v>0</x:v>
      </x:c>
      <x:c r="DH11" s="117" t="n">
        <x:f>SUM('CF_1'!DH42,'CF_2'!DH42,'CF_3'!DH42)</x:f>
        <x:v>0</x:v>
      </x:c>
      <x:c r="DI11" s="117" t="n">
        <x:f>SUM('CF_1'!DI42,'CF_2'!DI42,'CF_3'!DI42)</x:f>
        <x:v>0</x:v>
      </x:c>
      <x:c r="DJ11" s="117" t="n">
        <x:f>SUM('CF_1'!DJ42,'CF_2'!DJ42,'CF_3'!DJ42)</x:f>
        <x:v>0</x:v>
      </x:c>
      <x:c r="DK11" s="117" t="n">
        <x:f>SUM('CF_1'!DK42,'CF_2'!DK42,'CF_3'!DK42)</x:f>
        <x:v>0</x:v>
      </x:c>
      <x:c r="DL11" s="117" t="n">
        <x:f>SUM('CF_1'!DL42,'CF_2'!DL42,'CF_3'!DL42)</x:f>
        <x:v>0</x:v>
      </x:c>
      <x:c r="DM11" s="117" t="n">
        <x:f>SUM('CF_1'!DM42,'CF_2'!DM42,'CF_3'!DM42)</x:f>
        <x:v>0</x:v>
      </x:c>
      <x:c r="DN11" s="117" t="n">
        <x:f>SUM('CF_1'!DN42,'CF_2'!DN42,'CF_3'!DN42)</x:f>
        <x:v>0</x:v>
      </x:c>
      <x:c r="DO11" s="117" t="n">
        <x:f>SUM('CF_1'!DO42,'CF_2'!DO42,'CF_3'!DO42)</x:f>
        <x:v>0</x:v>
      </x:c>
      <x:c r="DP11" s="117" t="n">
        <x:f>SUM('CF_1'!DP42,'CF_2'!DP42,'CF_3'!DP42)</x:f>
        <x:v>0</x:v>
      </x:c>
      <x:c r="DQ11" s="117" t="n">
        <x:f>SUM('CF_1'!DQ42,'CF_2'!DQ42,'CF_3'!DQ42)</x:f>
        <x:v>0</x:v>
      </x:c>
      <x:c r="DR11" s="117" t="n">
        <x:f>SUM('CF_1'!DR42,'CF_2'!DR42,'CF_3'!DR42)</x:f>
        <x:v>0</x:v>
      </x:c>
      <x:c r="DS11" s="117" t="n">
        <x:f>SUM('CF_1'!DS42,'CF_2'!DS42,'CF_3'!DS42)</x:f>
        <x:v>0</x:v>
      </x:c>
    </x:row>
    <x:row r="12">
      <x:c r="A12" t="str">
        <x:v>ПФ — комиссия за лимит</x:v>
      </x:c>
      <x:c r="B12" s="107" t="n">
        <x:f>SUM(D12:DS12)</x:f>
        <x:v>215.5158497566823</x:v>
      </x:c>
      <x:c r="C12" t="str">
        <x:v>млн ₽</x:v>
      </x:c>
      <x:c r="D12" s="117" t="n">
        <x:f>SUM('CF_1'!D43,'CF_2'!D43,'CF_3'!D43)</x:f>
        <x:v>0</x:v>
      </x:c>
      <x:c r="E12" s="117" t="n">
        <x:f>SUM('CF_1'!E43,'CF_2'!E43,'CF_3'!E43)</x:f>
        <x:v>0</x:v>
      </x:c>
      <x:c r="F12" s="117" t="n">
        <x:f>SUM('CF_1'!F43,'CF_2'!F43,'CF_3'!F43)</x:f>
        <x:v>0</x:v>
      </x:c>
      <x:c r="G12" s="117" t="n">
        <x:f>SUM('CF_1'!G43,'CF_2'!G43,'CF_3'!G43)</x:f>
        <x:v>0</x:v>
      </x:c>
      <x:c r="H12" s="117" t="n">
        <x:f>SUM('CF_1'!H43,'CF_2'!H43,'CF_3'!H43)</x:f>
        <x:v>0</x:v>
      </x:c>
      <x:c r="I12" s="117" t="n">
        <x:f>SUM('CF_1'!I43,'CF_2'!I43,'CF_3'!I43)</x:f>
        <x:v>0</x:v>
      </x:c>
      <x:c r="J12" s="117" t="n">
        <x:f>SUM('CF_1'!J43,'CF_2'!J43,'CF_3'!J43)</x:f>
        <x:v>0</x:v>
      </x:c>
      <x:c r="K12" s="117" t="n">
        <x:f>SUM('CF_1'!K43,'CF_2'!K43,'CF_3'!K43)</x:f>
        <x:v>0</x:v>
      </x:c>
      <x:c r="L12" s="117" t="n">
        <x:f>SUM('CF_1'!L43,'CF_2'!L43,'CF_3'!L43)</x:f>
        <x:v>0</x:v>
      </x:c>
      <x:c r="M12" s="117" t="n">
        <x:f>SUM('CF_1'!M43,'CF_2'!M43,'CF_3'!M43)</x:f>
        <x:v>0</x:v>
      </x:c>
      <x:c r="N12" s="117" t="n">
        <x:f>SUM('CF_1'!N43,'CF_2'!N43,'CF_3'!N43)</x:f>
        <x:v>0</x:v>
      </x:c>
      <x:c r="O12" s="117" t="n">
        <x:f>SUM('CF_1'!O43,'CF_2'!O43,'CF_3'!O43)</x:f>
        <x:v>0</x:v>
      </x:c>
      <x:c r="P12" s="117" t="n">
        <x:f>SUM('CF_1'!P43,'CF_2'!P43,'CF_3'!P43)</x:f>
        <x:v>0</x:v>
      </x:c>
      <x:c r="Q12" s="117" t="n">
        <x:f>SUM('CF_1'!Q43,'CF_2'!Q43,'CF_3'!Q43)</x:f>
        <x:v>0</x:v>
      </x:c>
      <x:c r="R12" s="117" t="n">
        <x:f>SUM('CF_1'!R43,'CF_2'!R43,'CF_3'!R43)</x:f>
        <x:v>0</x:v>
      </x:c>
      <x:c r="S12" s="117" t="n">
        <x:f>SUM('CF_1'!S43,'CF_2'!S43,'CF_3'!S43)</x:f>
        <x:v>0</x:v>
      </x:c>
      <x:c r="T12" s="117" t="n">
        <x:f>SUM('CF_1'!T43,'CF_2'!T43,'CF_3'!T43)</x:f>
        <x:v>0</x:v>
      </x:c>
      <x:c r="U12" s="117" t="n">
        <x:f>SUM('CF_1'!U43,'CF_2'!U43,'CF_3'!U43)</x:f>
        <x:v>0</x:v>
      </x:c>
      <x:c r="V12" s="117" t="n">
        <x:f>SUM('CF_1'!V43,'CF_2'!V43,'CF_3'!V43)</x:f>
        <x:v>55.68333333333333</x:v>
      </x:c>
      <x:c r="W12" s="117" t="n">
        <x:f>SUM('CF_1'!W43,'CF_2'!W43,'CF_3'!W43)</x:f>
        <x:v>2.9210223776369375</x:v>
      </x:c>
      <x:c r="X12" s="117" t="n">
        <x:f>SUM('CF_1'!X43,'CF_2'!X43,'CF_3'!X43)</x:f>
        <x:v>2.8456929083641693</x:v>
      </x:c>
      <x:c r="Y12" s="117" t="n">
        <x:f>SUM('CF_1'!Y43,'CF_2'!Y43,'CF_3'!Y43)</x:f>
        <x:v>2.768549684076827</x:v>
      </x:c>
      <x:c r="Z12" s="117" t="n">
        <x:f>SUM('CF_1'!Z43,'CF_2'!Z43,'CF_3'!Z43)</x:f>
        <x:v>2.6911394704690577</x:v>
      </x:c>
      <x:c r="AA12" s="117" t="n">
        <x:f>SUM('CF_1'!AA43,'CF_2'!AA43,'CF_3'!AA43)</x:f>
        <x:v>2.5496524225417283</x:v>
      </x:c>
      <x:c r="AB12" s="117" t="n">
        <x:f>SUM('CF_1'!AB43,'CF_2'!AB43,'CF_3'!AB43)</x:f>
        <x:v>2.407884786854402</x:v>
      </x:c>
      <x:c r="AC12" s="117" t="n">
        <x:f>SUM('CF_1'!AC43,'CF_2'!AC43,'CF_3'!AC43)</x:f>
        <x:v>2.267588227116342</x:v>
      </x:c>
      <x:c r="AD12" s="117" t="n">
        <x:f>SUM('CF_1'!AD43,'CF_2'!AD43,'CF_3'!AD43)</x:f>
        <x:v>2.1252380680844594</x:v>
      </x:c>
      <x:c r="AE12" s="117" t="n">
        <x:f>SUM('CF_1'!AE43,'CF_2'!AE43,'CF_3'!AE43)</x:f>
        <x:v>1.9825856140483002</x:v>
      </x:c>
      <x:c r="AF12" s="117" t="n">
        <x:f>SUM('CF_1'!AF43,'CF_2'!AF43,'CF_3'!AF43)</x:f>
        <x:v>1.8396232622885078</x:v>
      </x:c>
      <x:c r="AG12" s="117" t="n">
        <x:f>SUM('CF_1'!AG43,'CF_2'!AG43,'CF_3'!AG43)</x:f>
        <x:v>1.698285653846012</x:v>
      </x:c>
      <x:c r="AH12" s="117" t="n">
        <x:f>SUM('CF_1'!AH43,'CF_2'!AH43,'CF_3'!AH43)</x:f>
        <x:v>1.5566712160465632</x:v>
      </x:c>
      <x:c r="AI12" s="117" t="n">
        <x:f>SUM('CF_1'!AI43,'CF_2'!AI43,'CF_3'!AI43)</x:f>
        <x:v>1.414772986631834</x:v>
      </x:c>
      <x:c r="AJ12" s="117" t="n">
        <x:f>SUM('CF_1'!AJ43,'CF_2'!AJ43,'CF_3'!AJ43)</x:f>
        <x:v>1.2725838282427</x:v>
      </x:c>
      <x:c r="AK12" s="117" t="n">
        <x:f>SUM('CF_1'!AK43,'CF_2'!AK43,'CF_3'!AK43)</x:f>
        <x:v>1.1279510839082896</x:v>
      </x:c>
      <x:c r="AL12" s="117" t="n">
        <x:f>SUM('CF_1'!AL43,'CF_2'!AL43,'CF_3'!AL43)</x:f>
        <x:v>0.9829586375492446</x:v>
      </x:c>
      <x:c r="AM12" s="117" t="n">
        <x:f>SUM('CF_1'!AM43,'CF_2'!AM43,'CF_3'!AM43)</x:f>
        <x:v>0.8375974426596455</x:v>
      </x:c>
      <x:c r="AN12" s="117" t="n">
        <x:f>SUM('CF_1'!AN43,'CF_2'!AN43,'CF_3'!AN43)</x:f>
        <x:v>0.6918582252139488</x:v>
      </x:c>
      <x:c r="AO12" s="117" t="n">
        <x:f>SUM('CF_1'!AO43,'CF_2'!AO43,'CF_3'!AO43)</x:f>
        <x:v>0.5481009184922345</x:v>
      </x:c>
      <x:c r="AP12" s="117" t="n">
        <x:f>SUM('CF_1'!AP43,'CF_2'!AP43,'CF_3'!AP43)</x:f>
        <x:v>0.44411231516986244</x:v>
      </x:c>
      <x:c r="AQ12" s="117" t="n">
        <x:f>SUM('CF_1'!AQ43,'CF_2'!AQ43,'CF_3'!AQ43)</x:f>
        <x:v>0.3397164441526577</x:v>
      </x:c>
      <x:c r="AR12" s="117" t="n">
        <x:f>SUM('CF_1'!AR43,'CF_2'!AR43,'CF_3'!AR43)</x:f>
        <x:v>0.21326389599142884</x:v>
      </x:c>
      <x:c r="AS12" s="117" t="n">
        <x:f>SUM('CF_1'!AS43,'CF_2'!AS43,'CF_3'!AS43)</x:f>
        <x:v>0.08900028729717709</x:v>
      </x:c>
      <x:c r="AT12" s="117" t="n">
        <x:f>SUM('CF_1'!AT43,'CF_2'!AT43,'CF_3'!AT43)</x:f>
        <x:v>0</x:v>
      </x:c>
      <x:c r="AU12" s="117" t="n">
        <x:f>SUM('CF_1'!AU43,'CF_2'!AU43,'CF_3'!AU43)</x:f>
        <x:v>4.283333333333333</x:v>
      </x:c>
      <x:c r="AV12" s="117" t="n">
        <x:f>SUM('CF_1'!AV43,'CF_2'!AV43,'CF_3'!AV43)</x:f>
        <x:v>4.283333333333333</x:v>
      </x:c>
      <x:c r="AW12" s="117" t="n">
        <x:f>SUM('CF_1'!AW43,'CF_2'!AW43,'CF_3'!AW43)</x:f>
        <x:v>4.283333333333333</x:v>
      </x:c>
      <x:c r="AX12" s="117" t="n">
        <x:f>SUM('CF_1'!AX43,'CF_2'!AX43,'CF_3'!AX43)</x:f>
        <x:v>4.283333333333333</x:v>
      </x:c>
      <x:c r="AY12" s="117" t="n">
        <x:f>SUM('CF_1'!AY43,'CF_2'!AY43,'CF_3'!AY43)</x:f>
        <x:v>4.283333333333333</x:v>
      </x:c>
      <x:c r="AZ12" s="117" t="n">
        <x:f>SUM('CF_1'!AZ43,'CF_2'!AZ43,'CF_3'!AZ43)</x:f>
        <x:v>4.283333333333333</x:v>
      </x:c>
      <x:c r="BA12" s="117" t="n">
        <x:f>SUM('CF_1'!BA43,'CF_2'!BA43,'CF_3'!BA43)</x:f>
        <x:v>4.283333333333333</x:v>
      </x:c>
      <x:c r="BB12" s="117" t="n">
        <x:f>SUM('CF_1'!BB43,'CF_2'!BB43,'CF_3'!BB43)</x:f>
        <x:v>4.283333333333333</x:v>
      </x:c>
      <x:c r="BC12" s="117" t="n">
        <x:f>SUM('CF_1'!BC43,'CF_2'!BC43,'CF_3'!BC43)</x:f>
        <x:v>4.283333333333333</x:v>
      </x:c>
      <x:c r="BD12" s="117" t="n">
        <x:f>SUM('CF_1'!BD43,'CF_2'!BD43,'CF_3'!BD43)</x:f>
        <x:v>4.283333333333333</x:v>
      </x:c>
      <x:c r="BE12" s="117" t="n">
        <x:f>SUM('CF_1'!BE43,'CF_2'!BE43,'CF_3'!BE43)</x:f>
        <x:v>4.283333333333333</x:v>
      </x:c>
      <x:c r="BF12" s="117" t="n">
        <x:f>SUM('CF_1'!BF43,'CF_2'!BF43,'CF_3'!BF43)</x:f>
        <x:v>4.283333333333333</x:v>
      </x:c>
      <x:c r="BG12" s="117" t="n">
        <x:f>SUM('CF_1'!BG43,'CF_2'!BG43,'CF_3'!BG43)</x:f>
        <x:v>4.283333333333333</x:v>
      </x:c>
      <x:c r="BH12" s="117" t="n">
        <x:f>SUM('CF_1'!BH43,'CF_2'!BH43,'CF_3'!BH43)</x:f>
        <x:v>4.283333333333333</x:v>
      </x:c>
      <x:c r="BI12" s="117" t="n">
        <x:f>SUM('CF_1'!BI43,'CF_2'!BI43,'CF_3'!BI43)</x:f>
        <x:v>4.283333333333333</x:v>
      </x:c>
      <x:c r="BJ12" s="117" t="n">
        <x:f>SUM('CF_1'!BJ43,'CF_2'!BJ43,'CF_3'!BJ43)</x:f>
        <x:v>4.283333333333333</x:v>
      </x:c>
      <x:c r="BK12" s="117" t="n">
        <x:f>SUM('CF_1'!BK43,'CF_2'!BK43,'CF_3'!BK43)</x:f>
        <x:v>4.283333333333333</x:v>
      </x:c>
      <x:c r="BL12" s="117" t="n">
        <x:f>SUM('CF_1'!BL43,'CF_2'!BL43,'CF_3'!BL43)</x:f>
        <x:v>4.283333333333333</x:v>
      </x:c>
      <x:c r="BM12" s="117" t="n">
        <x:f>SUM('CF_1'!BM43,'CF_2'!BM43,'CF_3'!BM43)</x:f>
        <x:v>4.283333333333333</x:v>
      </x:c>
      <x:c r="BN12" s="117" t="n">
        <x:f>SUM('CF_1'!BN43,'CF_2'!BN43,'CF_3'!BN43)</x:f>
        <x:v>4.283333333333333</x:v>
      </x:c>
      <x:c r="BO12" s="117" t="n">
        <x:f>SUM('CF_1'!BO43,'CF_2'!BO43,'CF_3'!BO43)</x:f>
        <x:v>4.283333333333333</x:v>
      </x:c>
      <x:c r="BP12" s="117" t="n">
        <x:f>SUM('CF_1'!BP43,'CF_2'!BP43,'CF_3'!BP43)</x:f>
        <x:v>4.283333333333333</x:v>
      </x:c>
      <x:c r="BQ12" s="117" t="n">
        <x:f>SUM('CF_1'!BQ43,'CF_2'!BQ43,'CF_3'!BQ43)</x:f>
        <x:v>4.283333333333333</x:v>
      </x:c>
      <x:c r="BR12" s="117" t="n">
        <x:f>SUM('CF_1'!BR43,'CF_2'!BR43,'CF_3'!BR43)</x:f>
        <x:v>4.283333333333333</x:v>
      </x:c>
      <x:c r="BS12" s="117" t="n">
        <x:f>SUM('CF_1'!BS43,'CF_2'!BS43,'CF_3'!BS43)</x:f>
        <x:v>4.283333333333333</x:v>
      </x:c>
      <x:c r="BT12" s="117" t="n">
        <x:f>SUM('CF_1'!BT43,'CF_2'!BT43,'CF_3'!BT43)</x:f>
        <x:v>4.283333333333333</x:v>
      </x:c>
      <x:c r="BU12" s="117" t="n">
        <x:f>SUM('CF_1'!BU43,'CF_2'!BU43,'CF_3'!BU43)</x:f>
        <x:v>4.283333333333333</x:v>
      </x:c>
      <x:c r="BV12" s="117" t="n">
        <x:f>SUM('CF_1'!BV43,'CF_2'!BV43,'CF_3'!BV43)</x:f>
        <x:v>4.283333333333333</x:v>
      </x:c>
      <x:c r="BW12" s="117" t="n">
        <x:f>SUM('CF_1'!BW43,'CF_2'!BW43,'CF_3'!BW43)</x:f>
        <x:v>4.283333333333333</x:v>
      </x:c>
      <x:c r="BX12" s="117" t="n">
        <x:f>SUM('CF_1'!BX43,'CF_2'!BX43,'CF_3'!BX43)</x:f>
        <x:v>0</x:v>
      </x:c>
      <x:c r="BY12" s="117" t="n">
        <x:f>SUM('CF_1'!BY43,'CF_2'!BY43,'CF_3'!BY43)</x:f>
        <x:v>0</x:v>
      </x:c>
      <x:c r="BZ12" s="117" t="n">
        <x:f>SUM('CF_1'!BZ43,'CF_2'!BZ43,'CF_3'!BZ43)</x:f>
        <x:v>0</x:v>
      </x:c>
      <x:c r="CA12" s="117" t="n">
        <x:f>SUM('CF_1'!CA43,'CF_2'!CA43,'CF_3'!CA43)</x:f>
        <x:v>0</x:v>
      </x:c>
      <x:c r="CB12" s="117" t="n">
        <x:f>SUM('CF_1'!CB43,'CF_2'!CB43,'CF_3'!CB43)</x:f>
        <x:v>0</x:v>
      </x:c>
      <x:c r="CC12" s="117" t="n">
        <x:f>SUM('CF_1'!CC43,'CF_2'!CC43,'CF_3'!CC43)</x:f>
        <x:v>0</x:v>
      </x:c>
      <x:c r="CD12" s="117" t="n">
        <x:f>SUM('CF_1'!CD43,'CF_2'!CD43,'CF_3'!CD43)</x:f>
        <x:v>0</x:v>
      </x:c>
      <x:c r="CE12" s="117" t="n">
        <x:f>SUM('CF_1'!CE43,'CF_2'!CE43,'CF_3'!CE43)</x:f>
        <x:v>0</x:v>
      </x:c>
      <x:c r="CF12" s="117" t="n">
        <x:f>SUM('CF_1'!CF43,'CF_2'!CF43,'CF_3'!CF43)</x:f>
        <x:v>0</x:v>
      </x:c>
      <x:c r="CG12" s="117" t="n">
        <x:f>SUM('CF_1'!CG43,'CF_2'!CG43,'CF_3'!CG43)</x:f>
        <x:v>0</x:v>
      </x:c>
      <x:c r="CH12" s="117" t="n">
        <x:f>SUM('CF_1'!CH43,'CF_2'!CH43,'CF_3'!CH43)</x:f>
        <x:v>0</x:v>
      </x:c>
      <x:c r="CI12" s="117" t="n">
        <x:f>SUM('CF_1'!CI43,'CF_2'!CI43,'CF_3'!CI43)</x:f>
        <x:v>0</x:v>
      </x:c>
      <x:c r="CJ12" s="117" t="n">
        <x:f>SUM('CF_1'!CJ43,'CF_2'!CJ43,'CF_3'!CJ43)</x:f>
        <x:v>0</x:v>
      </x:c>
      <x:c r="CK12" s="117" t="n">
        <x:f>SUM('CF_1'!CK43,'CF_2'!CK43,'CF_3'!CK43)</x:f>
        <x:v>0</x:v>
      </x:c>
      <x:c r="CL12" s="117" t="n">
        <x:f>SUM('CF_1'!CL43,'CF_2'!CL43,'CF_3'!CL43)</x:f>
        <x:v>0</x:v>
      </x:c>
      <x:c r="CM12" s="117" t="n">
        <x:f>SUM('CF_1'!CM43,'CF_2'!CM43,'CF_3'!CM43)</x:f>
        <x:v>0</x:v>
      </x:c>
      <x:c r="CN12" s="117" t="n">
        <x:f>SUM('CF_1'!CN43,'CF_2'!CN43,'CF_3'!CN43)</x:f>
        <x:v>0</x:v>
      </x:c>
      <x:c r="CO12" s="117" t="n">
        <x:f>SUM('CF_1'!CO43,'CF_2'!CO43,'CF_3'!CO43)</x:f>
        <x:v>0</x:v>
      </x:c>
      <x:c r="CP12" s="117" t="n">
        <x:f>SUM('CF_1'!CP43,'CF_2'!CP43,'CF_3'!CP43)</x:f>
        <x:v>0</x:v>
      </x:c>
      <x:c r="CQ12" s="117" t="n">
        <x:f>SUM('CF_1'!CQ43,'CF_2'!CQ43,'CF_3'!CQ43)</x:f>
        <x:v>0</x:v>
      </x:c>
      <x:c r="CR12" s="117" t="n">
        <x:f>SUM('CF_1'!CR43,'CF_2'!CR43,'CF_3'!CR43)</x:f>
        <x:v>0</x:v>
      </x:c>
      <x:c r="CS12" s="117" t="n">
        <x:f>SUM('CF_1'!CS43,'CF_2'!CS43,'CF_3'!CS43)</x:f>
        <x:v>0</x:v>
      </x:c>
      <x:c r="CT12" s="117" t="n">
        <x:f>SUM('CF_1'!CT43,'CF_2'!CT43,'CF_3'!CT43)</x:f>
        <x:v>0</x:v>
      </x:c>
      <x:c r="CU12" s="117" t="n">
        <x:f>SUM('CF_1'!CU43,'CF_2'!CU43,'CF_3'!CU43)</x:f>
        <x:v>0</x:v>
      </x:c>
      <x:c r="CV12" s="117" t="n">
        <x:f>SUM('CF_1'!CV43,'CF_2'!CV43,'CF_3'!CV43)</x:f>
        <x:v>0</x:v>
      </x:c>
      <x:c r="CW12" s="117" t="n">
        <x:f>SUM('CF_1'!CW43,'CF_2'!CW43,'CF_3'!CW43)</x:f>
        <x:v>0</x:v>
      </x:c>
      <x:c r="CX12" s="117" t="n">
        <x:f>SUM('CF_1'!CX43,'CF_2'!CX43,'CF_3'!CX43)</x:f>
        <x:v>0</x:v>
      </x:c>
      <x:c r="CY12" s="117" t="n">
        <x:f>SUM('CF_1'!CY43,'CF_2'!CY43,'CF_3'!CY43)</x:f>
        <x:v>0</x:v>
      </x:c>
      <x:c r="CZ12" s="117" t="n">
        <x:f>SUM('CF_1'!CZ43,'CF_2'!CZ43,'CF_3'!CZ43)</x:f>
        <x:v>0</x:v>
      </x:c>
      <x:c r="DA12" s="117" t="n">
        <x:f>SUM('CF_1'!DA43,'CF_2'!DA43,'CF_3'!DA43)</x:f>
        <x:v>0</x:v>
      </x:c>
      <x:c r="DB12" s="117" t="n">
        <x:f>SUM('CF_1'!DB43,'CF_2'!DB43,'CF_3'!DB43)</x:f>
        <x:v>0</x:v>
      </x:c>
      <x:c r="DC12" s="117" t="n">
        <x:f>SUM('CF_1'!DC43,'CF_2'!DC43,'CF_3'!DC43)</x:f>
        <x:v>0</x:v>
      </x:c>
      <x:c r="DD12" s="117" t="n">
        <x:f>SUM('CF_1'!DD43,'CF_2'!DD43,'CF_3'!DD43)</x:f>
        <x:v>0</x:v>
      </x:c>
      <x:c r="DE12" s="117" t="n">
        <x:f>SUM('CF_1'!DE43,'CF_2'!DE43,'CF_3'!DE43)</x:f>
        <x:v>0</x:v>
      </x:c>
      <x:c r="DF12" s="117" t="n">
        <x:f>SUM('CF_1'!DF43,'CF_2'!DF43,'CF_3'!DF43)</x:f>
        <x:v>0</x:v>
      </x:c>
      <x:c r="DG12" s="117" t="n">
        <x:f>SUM('CF_1'!DG43,'CF_2'!DG43,'CF_3'!DG43)</x:f>
        <x:v>0</x:v>
      </x:c>
      <x:c r="DH12" s="117" t="n">
        <x:f>SUM('CF_1'!DH43,'CF_2'!DH43,'CF_3'!DH43)</x:f>
        <x:v>0</x:v>
      </x:c>
      <x:c r="DI12" s="117" t="n">
        <x:f>SUM('CF_1'!DI43,'CF_2'!DI43,'CF_3'!DI43)</x:f>
        <x:v>0</x:v>
      </x:c>
      <x:c r="DJ12" s="117" t="n">
        <x:f>SUM('CF_1'!DJ43,'CF_2'!DJ43,'CF_3'!DJ43)</x:f>
        <x:v>0</x:v>
      </x:c>
      <x:c r="DK12" s="117" t="n">
        <x:f>SUM('CF_1'!DK43,'CF_2'!DK43,'CF_3'!DK43)</x:f>
        <x:v>0</x:v>
      </x:c>
      <x:c r="DL12" s="117" t="n">
        <x:f>SUM('CF_1'!DL43,'CF_2'!DL43,'CF_3'!DL43)</x:f>
        <x:v>0</x:v>
      </x:c>
      <x:c r="DM12" s="117" t="n">
        <x:f>SUM('CF_1'!DM43,'CF_2'!DM43,'CF_3'!DM43)</x:f>
        <x:v>0</x:v>
      </x:c>
      <x:c r="DN12" s="117" t="n">
        <x:f>SUM('CF_1'!DN43,'CF_2'!DN43,'CF_3'!DN43)</x:f>
        <x:v>0</x:v>
      </x:c>
      <x:c r="DO12" s="117" t="n">
        <x:f>SUM('CF_1'!DO43,'CF_2'!DO43,'CF_3'!DO43)</x:f>
        <x:v>0</x:v>
      </x:c>
      <x:c r="DP12" s="117" t="n">
        <x:f>SUM('CF_1'!DP43,'CF_2'!DP43,'CF_3'!DP43)</x:f>
        <x:v>0</x:v>
      </x:c>
      <x:c r="DQ12" s="117" t="n">
        <x:f>SUM('CF_1'!DQ43,'CF_2'!DQ43,'CF_3'!DQ43)</x:f>
        <x:v>0</x:v>
      </x:c>
      <x:c r="DR12" s="117" t="n">
        <x:f>SUM('CF_1'!DR43,'CF_2'!DR43,'CF_3'!DR43)</x:f>
        <x:v>0</x:v>
      </x:c>
      <x:c r="DS12" s="117" t="n">
        <x:f>SUM('CF_1'!DS43,'CF_2'!DS43,'CF_3'!DS43)</x:f>
        <x:v>0</x:v>
      </x:c>
    </x:row>
    <x:row r="13">
      <x:c r="A13" t="str">
        <x:v>ПФ — погашение</x:v>
      </x:c>
      <x:c r="B13" s="107" t="n">
        <x:f>SUM(D13:DS13)</x:f>
        <x:v>10280</x:v>
      </x:c>
      <x:c r="C13" t="str">
        <x:v>млн ₽</x:v>
      </x:c>
      <x:c r="D13" s="117" t="n">
        <x:f>SUM('CF_1'!D46,'CF_2'!D46,'CF_3'!D46)</x:f>
        <x:v>0</x:v>
      </x:c>
      <x:c r="E13" s="117" t="n">
        <x:f>SUM('CF_1'!E46,'CF_2'!E46,'CF_3'!E46)</x:f>
        <x:v>0</x:v>
      </x:c>
      <x:c r="F13" s="117" t="n">
        <x:f>SUM('CF_1'!F46,'CF_2'!F46,'CF_3'!F46)</x:f>
        <x:v>0</x:v>
      </x:c>
      <x:c r="G13" s="117" t="n">
        <x:f>SUM('CF_1'!G46,'CF_2'!G46,'CF_3'!G46)</x:f>
        <x:v>0</x:v>
      </x:c>
      <x:c r="H13" s="117" t="n">
        <x:f>SUM('CF_1'!H46,'CF_2'!H46,'CF_3'!H46)</x:f>
        <x:v>0</x:v>
      </x:c>
      <x:c r="I13" s="117" t="n">
        <x:f>SUM('CF_1'!I46,'CF_2'!I46,'CF_3'!I46)</x:f>
        <x:v>0</x:v>
      </x:c>
      <x:c r="J13" s="117" t="n">
        <x:f>SUM('CF_1'!J46,'CF_2'!J46,'CF_3'!J46)</x:f>
        <x:v>0</x:v>
      </x:c>
      <x:c r="K13" s="117" t="n">
        <x:f>SUM('CF_1'!K46,'CF_2'!K46,'CF_3'!K46)</x:f>
        <x:v>0</x:v>
      </x:c>
      <x:c r="L13" s="117" t="n">
        <x:f>SUM('CF_1'!L46,'CF_2'!L46,'CF_3'!L46)</x:f>
        <x:v>0</x:v>
      </x:c>
      <x:c r="M13" s="117" t="n">
        <x:f>SUM('CF_1'!M46,'CF_2'!M46,'CF_3'!M46)</x:f>
        <x:v>0</x:v>
      </x:c>
      <x:c r="N13" s="117" t="n">
        <x:f>SUM('CF_1'!N46,'CF_2'!N46,'CF_3'!N46)</x:f>
        <x:v>0</x:v>
      </x:c>
      <x:c r="O13" s="117" t="n">
        <x:f>SUM('CF_1'!O46,'CF_2'!O46,'CF_3'!O46)</x:f>
        <x:v>0</x:v>
      </x:c>
      <x:c r="P13" s="117" t="n">
        <x:f>SUM('CF_1'!P46,'CF_2'!P46,'CF_3'!P46)</x:f>
        <x:v>0</x:v>
      </x:c>
      <x:c r="Q13" s="117" t="n">
        <x:f>SUM('CF_1'!Q46,'CF_2'!Q46,'CF_3'!Q46)</x:f>
        <x:v>0</x:v>
      </x:c>
      <x:c r="R13" s="117" t="n">
        <x:f>SUM('CF_1'!R46,'CF_2'!R46,'CF_3'!R46)</x:f>
        <x:v>0</x:v>
      </x:c>
      <x:c r="S13" s="117" t="n">
        <x:f>SUM('CF_1'!S46,'CF_2'!S46,'CF_3'!S46)</x:f>
        <x:v>0</x:v>
      </x:c>
      <x:c r="T13" s="117" t="n">
        <x:f>SUM('CF_1'!T46,'CF_2'!T46,'CF_3'!T46)</x:f>
        <x:v>0</x:v>
      </x:c>
      <x:c r="U13" s="117" t="n">
        <x:f>SUM('CF_1'!U46,'CF_2'!U46,'CF_3'!U46)</x:f>
        <x:v>0</x:v>
      </x:c>
      <x:c r="V13" s="117" t="n">
        <x:f>SUM('CF_1'!V46,'CF_2'!V46,'CF_3'!V46)</x:f>
        <x:v>0</x:v>
      </x:c>
      <x:c r="W13" s="117" t="n">
        <x:f>SUM('CF_1'!W46,'CF_2'!W46,'CF_3'!W46)</x:f>
        <x:v>0</x:v>
      </x:c>
      <x:c r="X13" s="117" t="n">
        <x:f>SUM('CF_1'!X46,'CF_2'!X46,'CF_3'!X46)</x:f>
        <x:v>0</x:v>
      </x:c>
      <x:c r="Y13" s="117" t="n">
        <x:f>SUM('CF_1'!Y46,'CF_2'!Y46,'CF_3'!Y46)</x:f>
        <x:v>0</x:v>
      </x:c>
      <x:c r="Z13" s="117" t="n">
        <x:f>SUM('CF_1'!Z46,'CF_2'!Z46,'CF_3'!Z46)</x:f>
        <x:v>0</x:v>
      </x:c>
      <x:c r="AA13" s="117" t="n">
        <x:f>SUM('CF_1'!AA46,'CF_2'!AA46,'CF_3'!AA46)</x:f>
        <x:v>0</x:v>
      </x:c>
      <x:c r="AB13" s="117" t="n">
        <x:f>SUM('CF_1'!AB46,'CF_2'!AB46,'CF_3'!AB46)</x:f>
        <x:v>0</x:v>
      </x:c>
      <x:c r="AC13" s="117" t="n">
        <x:f>SUM('CF_1'!AC46,'CF_2'!AC46,'CF_3'!AC46)</x:f>
        <x:v>0</x:v>
      </x:c>
      <x:c r="AD13" s="117" t="n">
        <x:f>SUM('CF_1'!AD46,'CF_2'!AD46,'CF_3'!AD46)</x:f>
        <x:v>0</x:v>
      </x:c>
      <x:c r="AE13" s="117" t="n">
        <x:f>SUM('CF_1'!AE46,'CF_2'!AE46,'CF_3'!AE46)</x:f>
        <x:v>0</x:v>
      </x:c>
      <x:c r="AF13" s="117" t="n">
        <x:f>SUM('CF_1'!AF46,'CF_2'!AF46,'CF_3'!AF46)</x:f>
        <x:v>0</x:v>
      </x:c>
      <x:c r="AG13" s="117" t="n">
        <x:f>SUM('CF_1'!AG46,'CF_2'!AG46,'CF_3'!AG46)</x:f>
        <x:v>0</x:v>
      </x:c>
      <x:c r="AH13" s="117" t="n">
        <x:f>SUM('CF_1'!AH46,'CF_2'!AH46,'CF_3'!AH46)</x:f>
        <x:v>0</x:v>
      </x:c>
      <x:c r="AI13" s="117" t="n">
        <x:f>SUM('CF_1'!AI46,'CF_2'!AI46,'CF_3'!AI46)</x:f>
        <x:v>0</x:v>
      </x:c>
      <x:c r="AJ13" s="117" t="n">
        <x:f>SUM('CF_1'!AJ46,'CF_2'!AJ46,'CF_3'!AJ46)</x:f>
        <x:v>0</x:v>
      </x:c>
      <x:c r="AK13" s="117" t="n">
        <x:f>SUM('CF_1'!AK46,'CF_2'!AK46,'CF_3'!AK46)</x:f>
        <x:v>0</x:v>
      </x:c>
      <x:c r="AL13" s="117" t="n">
        <x:f>SUM('CF_1'!AL46,'CF_2'!AL46,'CF_3'!AL46)</x:f>
        <x:v>0</x:v>
      </x:c>
      <x:c r="AM13" s="117" t="n">
        <x:f>SUM('CF_1'!AM46,'CF_2'!AM46,'CF_3'!AM46)</x:f>
        <x:v>0</x:v>
      </x:c>
      <x:c r="AN13" s="117" t="n">
        <x:f>SUM('CF_1'!AN46,'CF_2'!AN46,'CF_3'!AN46)</x:f>
        <x:v>0</x:v>
      </x:c>
      <x:c r="AO13" s="117" t="n">
        <x:f>SUM('CF_1'!AO46,'CF_2'!AO46,'CF_3'!AO46)</x:f>
        <x:v>0</x:v>
      </x:c>
      <x:c r="AP13" s="117" t="n">
        <x:f>SUM('CF_1'!AP46,'CF_2'!AP46,'CF_3'!AP46)</x:f>
        <x:v>0</x:v>
      </x:c>
      <x:c r="AQ13" s="117" t="n">
        <x:f>SUM('CF_1'!AQ46,'CF_2'!AQ46,'CF_3'!AQ46)</x:f>
        <x:v>0</x:v>
      </x:c>
      <x:c r="AR13" s="117" t="n">
        <x:f>SUM('CF_1'!AR46,'CF_2'!AR46,'CF_3'!AR46)</x:f>
        <x:v>0</x:v>
      </x:c>
      <x:c r="AS13" s="117" t="n">
        <x:f>SUM('CF_1'!AS46,'CF_2'!AS46,'CF_3'!AS46)</x:f>
        <x:v>0</x:v>
      </x:c>
      <x:c r="AT13" s="117" t="n">
        <x:f>SUM('CF_1'!AT46,'CF_2'!AT46,'CF_3'!AT46)</x:f>
        <x:v>10280</x:v>
      </x:c>
      <x:c r="AU13" s="117" t="n">
        <x:f>SUM('CF_1'!AU46,'CF_2'!AU46,'CF_3'!AU46)</x:f>
        <x:v>0</x:v>
      </x:c>
      <x:c r="AV13" s="117" t="n">
        <x:f>SUM('CF_1'!AV46,'CF_2'!AV46,'CF_3'!AV46)</x:f>
        <x:v>0</x:v>
      </x:c>
      <x:c r="AW13" s="117" t="n">
        <x:f>SUM('CF_1'!AW46,'CF_2'!AW46,'CF_3'!AW46)</x:f>
        <x:v>0</x:v>
      </x:c>
      <x:c r="AX13" s="117" t="n">
        <x:f>SUM('CF_1'!AX46,'CF_2'!AX46,'CF_3'!AX46)</x:f>
        <x:v>0</x:v>
      </x:c>
      <x:c r="AY13" s="117" t="n">
        <x:f>SUM('CF_1'!AY46,'CF_2'!AY46,'CF_3'!AY46)</x:f>
        <x:v>0</x:v>
      </x:c>
      <x:c r="AZ13" s="117" t="n">
        <x:f>SUM('CF_1'!AZ46,'CF_2'!AZ46,'CF_3'!AZ46)</x:f>
        <x:v>0</x:v>
      </x:c>
      <x:c r="BA13" s="117" t="n">
        <x:f>SUM('CF_1'!BA46,'CF_2'!BA46,'CF_3'!BA46)</x:f>
        <x:v>0</x:v>
      </x:c>
      <x:c r="BB13" s="117" t="n">
        <x:f>SUM('CF_1'!BB46,'CF_2'!BB46,'CF_3'!BB46)</x:f>
        <x:v>0</x:v>
      </x:c>
      <x:c r="BC13" s="117" t="n">
        <x:f>SUM('CF_1'!BC46,'CF_2'!BC46,'CF_3'!BC46)</x:f>
        <x:v>0</x:v>
      </x:c>
      <x:c r="BD13" s="117" t="n">
        <x:f>SUM('CF_1'!BD46,'CF_2'!BD46,'CF_3'!BD46)</x:f>
        <x:v>0</x:v>
      </x:c>
      <x:c r="BE13" s="117" t="n">
        <x:f>SUM('CF_1'!BE46,'CF_2'!BE46,'CF_3'!BE46)</x:f>
        <x:v>0</x:v>
      </x:c>
      <x:c r="BF13" s="117" t="n">
        <x:f>SUM('CF_1'!BF46,'CF_2'!BF46,'CF_3'!BF46)</x:f>
        <x:v>0</x:v>
      </x:c>
      <x:c r="BG13" s="117" t="n">
        <x:f>SUM('CF_1'!BG46,'CF_2'!BG46,'CF_3'!BG46)</x:f>
        <x:v>0</x:v>
      </x:c>
      <x:c r="BH13" s="117" t="n">
        <x:f>SUM('CF_1'!BH46,'CF_2'!BH46,'CF_3'!BH46)</x:f>
        <x:v>0</x:v>
      </x:c>
      <x:c r="BI13" s="117" t="n">
        <x:f>SUM('CF_1'!BI46,'CF_2'!BI46,'CF_3'!BI46)</x:f>
        <x:v>0</x:v>
      </x:c>
      <x:c r="BJ13" s="117" t="n">
        <x:f>SUM('CF_1'!BJ46,'CF_2'!BJ46,'CF_3'!BJ46)</x:f>
        <x:v>0</x:v>
      </x:c>
      <x:c r="BK13" s="117" t="n">
        <x:f>SUM('CF_1'!BK46,'CF_2'!BK46,'CF_3'!BK46)</x:f>
        <x:v>0</x:v>
      </x:c>
      <x:c r="BL13" s="117" t="n">
        <x:f>SUM('CF_1'!BL46,'CF_2'!BL46,'CF_3'!BL46)</x:f>
        <x:v>0</x:v>
      </x:c>
      <x:c r="BM13" s="117" t="n">
        <x:f>SUM('CF_1'!BM46,'CF_2'!BM46,'CF_3'!BM46)</x:f>
        <x:v>0</x:v>
      </x:c>
      <x:c r="BN13" s="117" t="n">
        <x:f>SUM('CF_1'!BN46,'CF_2'!BN46,'CF_3'!BN46)</x:f>
        <x:v>0</x:v>
      </x:c>
      <x:c r="BO13" s="117" t="n">
        <x:f>SUM('CF_1'!BO46,'CF_2'!BO46,'CF_3'!BO46)</x:f>
        <x:v>0</x:v>
      </x:c>
      <x:c r="BP13" s="117" t="n">
        <x:f>SUM('CF_1'!BP46,'CF_2'!BP46,'CF_3'!BP46)</x:f>
        <x:v>0</x:v>
      </x:c>
      <x:c r="BQ13" s="117" t="n">
        <x:f>SUM('CF_1'!BQ46,'CF_2'!BQ46,'CF_3'!BQ46)</x:f>
        <x:v>0</x:v>
      </x:c>
      <x:c r="BR13" s="117" t="n">
        <x:f>SUM('CF_1'!BR46,'CF_2'!BR46,'CF_3'!BR46)</x:f>
        <x:v>0</x:v>
      </x:c>
      <x:c r="BS13" s="117" t="n">
        <x:f>SUM('CF_1'!BS46,'CF_2'!BS46,'CF_3'!BS46)</x:f>
        <x:v>0</x:v>
      </x:c>
      <x:c r="BT13" s="117" t="n">
        <x:f>SUM('CF_1'!BT46,'CF_2'!BT46,'CF_3'!BT46)</x:f>
        <x:v>0</x:v>
      </x:c>
      <x:c r="BU13" s="117" t="n">
        <x:f>SUM('CF_1'!BU46,'CF_2'!BU46,'CF_3'!BU46)</x:f>
        <x:v>0</x:v>
      </x:c>
      <x:c r="BV13" s="117" t="n">
        <x:f>SUM('CF_1'!BV46,'CF_2'!BV46,'CF_3'!BV46)</x:f>
        <x:v>0</x:v>
      </x:c>
      <x:c r="BW13" s="117" t="n">
        <x:f>SUM('CF_1'!BW46,'CF_2'!BW46,'CF_3'!BW46)</x:f>
        <x:v>0</x:v>
      </x:c>
      <x:c r="BX13" s="117" t="n">
        <x:f>SUM('CF_1'!BX46,'CF_2'!BX46,'CF_3'!BX46)</x:f>
        <x:v>0</x:v>
      </x:c>
      <x:c r="BY13" s="117" t="n">
        <x:f>SUM('CF_1'!BY46,'CF_2'!BY46,'CF_3'!BY46)</x:f>
        <x:v>0</x:v>
      </x:c>
      <x:c r="BZ13" s="117" t="n">
        <x:f>SUM('CF_1'!BZ46,'CF_2'!BZ46,'CF_3'!BZ46)</x:f>
        <x:v>0</x:v>
      </x:c>
      <x:c r="CA13" s="117" t="n">
        <x:f>SUM('CF_1'!CA46,'CF_2'!CA46,'CF_3'!CA46)</x:f>
        <x:v>0</x:v>
      </x:c>
      <x:c r="CB13" s="117" t="n">
        <x:f>SUM('CF_1'!CB46,'CF_2'!CB46,'CF_3'!CB46)</x:f>
        <x:v>0</x:v>
      </x:c>
      <x:c r="CC13" s="117" t="n">
        <x:f>SUM('CF_1'!CC46,'CF_2'!CC46,'CF_3'!CC46)</x:f>
        <x:v>0</x:v>
      </x:c>
      <x:c r="CD13" s="117" t="n">
        <x:f>SUM('CF_1'!CD46,'CF_2'!CD46,'CF_3'!CD46)</x:f>
        <x:v>0</x:v>
      </x:c>
      <x:c r="CE13" s="117" t="n">
        <x:f>SUM('CF_1'!CE46,'CF_2'!CE46,'CF_3'!CE46)</x:f>
        <x:v>0</x:v>
      </x:c>
      <x:c r="CF13" s="117" t="n">
        <x:f>SUM('CF_1'!CF46,'CF_2'!CF46,'CF_3'!CF46)</x:f>
        <x:v>0</x:v>
      </x:c>
      <x:c r="CG13" s="117" t="n">
        <x:f>SUM('CF_1'!CG46,'CF_2'!CG46,'CF_3'!CG46)</x:f>
        <x:v>0</x:v>
      </x:c>
      <x:c r="CH13" s="117" t="n">
        <x:f>SUM('CF_1'!CH46,'CF_2'!CH46,'CF_3'!CH46)</x:f>
        <x:v>0</x:v>
      </x:c>
      <x:c r="CI13" s="117" t="n">
        <x:f>SUM('CF_1'!CI46,'CF_2'!CI46,'CF_3'!CI46)</x:f>
        <x:v>0</x:v>
      </x:c>
      <x:c r="CJ13" s="117" t="n">
        <x:f>SUM('CF_1'!CJ46,'CF_2'!CJ46,'CF_3'!CJ46)</x:f>
        <x:v>0</x:v>
      </x:c>
      <x:c r="CK13" s="117" t="n">
        <x:f>SUM('CF_1'!CK46,'CF_2'!CK46,'CF_3'!CK46)</x:f>
        <x:v>0</x:v>
      </x:c>
      <x:c r="CL13" s="117" t="n">
        <x:f>SUM('CF_1'!CL46,'CF_2'!CL46,'CF_3'!CL46)</x:f>
        <x:v>0</x:v>
      </x:c>
      <x:c r="CM13" s="117" t="n">
        <x:f>SUM('CF_1'!CM46,'CF_2'!CM46,'CF_3'!CM46)</x:f>
        <x:v>0</x:v>
      </x:c>
      <x:c r="CN13" s="117" t="n">
        <x:f>SUM('CF_1'!CN46,'CF_2'!CN46,'CF_3'!CN46)</x:f>
        <x:v>0</x:v>
      </x:c>
      <x:c r="CO13" s="117" t="n">
        <x:f>SUM('CF_1'!CO46,'CF_2'!CO46,'CF_3'!CO46)</x:f>
        <x:v>0</x:v>
      </x:c>
      <x:c r="CP13" s="117" t="n">
        <x:f>SUM('CF_1'!CP46,'CF_2'!CP46,'CF_3'!CP46)</x:f>
        <x:v>0</x:v>
      </x:c>
      <x:c r="CQ13" s="117" t="n">
        <x:f>SUM('CF_1'!CQ46,'CF_2'!CQ46,'CF_3'!CQ46)</x:f>
        <x:v>0</x:v>
      </x:c>
      <x:c r="CR13" s="117" t="n">
        <x:f>SUM('CF_1'!CR46,'CF_2'!CR46,'CF_3'!CR46)</x:f>
        <x:v>0</x:v>
      </x:c>
      <x:c r="CS13" s="117" t="n">
        <x:f>SUM('CF_1'!CS46,'CF_2'!CS46,'CF_3'!CS46)</x:f>
        <x:v>0</x:v>
      </x:c>
      <x:c r="CT13" s="117" t="n">
        <x:f>SUM('CF_1'!CT46,'CF_2'!CT46,'CF_3'!CT46)</x:f>
        <x:v>0</x:v>
      </x:c>
      <x:c r="CU13" s="117" t="n">
        <x:f>SUM('CF_1'!CU46,'CF_2'!CU46,'CF_3'!CU46)</x:f>
        <x:v>0</x:v>
      </x:c>
      <x:c r="CV13" s="117" t="n">
        <x:f>SUM('CF_1'!CV46,'CF_2'!CV46,'CF_3'!CV46)</x:f>
        <x:v>0</x:v>
      </x:c>
      <x:c r="CW13" s="117" t="n">
        <x:f>SUM('CF_1'!CW46,'CF_2'!CW46,'CF_3'!CW46)</x:f>
        <x:v>0</x:v>
      </x:c>
      <x:c r="CX13" s="117" t="n">
        <x:f>SUM('CF_1'!CX46,'CF_2'!CX46,'CF_3'!CX46)</x:f>
        <x:v>0</x:v>
      </x:c>
      <x:c r="CY13" s="117" t="n">
        <x:f>SUM('CF_1'!CY46,'CF_2'!CY46,'CF_3'!CY46)</x:f>
        <x:v>0</x:v>
      </x:c>
      <x:c r="CZ13" s="117" t="n">
        <x:f>SUM('CF_1'!CZ46,'CF_2'!CZ46,'CF_3'!CZ46)</x:f>
        <x:v>0</x:v>
      </x:c>
      <x:c r="DA13" s="117" t="n">
        <x:f>SUM('CF_1'!DA46,'CF_2'!DA46,'CF_3'!DA46)</x:f>
        <x:v>0</x:v>
      </x:c>
      <x:c r="DB13" s="117" t="n">
        <x:f>SUM('CF_1'!DB46,'CF_2'!DB46,'CF_3'!DB46)</x:f>
        <x:v>0</x:v>
      </x:c>
      <x:c r="DC13" s="117" t="n">
        <x:f>SUM('CF_1'!DC46,'CF_2'!DC46,'CF_3'!DC46)</x:f>
        <x:v>0</x:v>
      </x:c>
      <x:c r="DD13" s="117" t="n">
        <x:f>SUM('CF_1'!DD46,'CF_2'!DD46,'CF_3'!DD46)</x:f>
        <x:v>0</x:v>
      </x:c>
      <x:c r="DE13" s="117" t="n">
        <x:f>SUM('CF_1'!DE46,'CF_2'!DE46,'CF_3'!DE46)</x:f>
        <x:v>0</x:v>
      </x:c>
      <x:c r="DF13" s="117" t="n">
        <x:f>SUM('CF_1'!DF46,'CF_2'!DF46,'CF_3'!DF46)</x:f>
        <x:v>0</x:v>
      </x:c>
      <x:c r="DG13" s="117" t="n">
        <x:f>SUM('CF_1'!DG46,'CF_2'!DG46,'CF_3'!DG46)</x:f>
        <x:v>0</x:v>
      </x:c>
      <x:c r="DH13" s="117" t="n">
        <x:f>SUM('CF_1'!DH46,'CF_2'!DH46,'CF_3'!DH46)</x:f>
        <x:v>0</x:v>
      </x:c>
      <x:c r="DI13" s="117" t="n">
        <x:f>SUM('CF_1'!DI46,'CF_2'!DI46,'CF_3'!DI46)</x:f>
        <x:v>0</x:v>
      </x:c>
      <x:c r="DJ13" s="117" t="n">
        <x:f>SUM('CF_1'!DJ46,'CF_2'!DJ46,'CF_3'!DJ46)</x:f>
        <x:v>0</x:v>
      </x:c>
      <x:c r="DK13" s="117" t="n">
        <x:f>SUM('CF_1'!DK46,'CF_2'!DK46,'CF_3'!DK46)</x:f>
        <x:v>0</x:v>
      </x:c>
      <x:c r="DL13" s="117" t="n">
        <x:f>SUM('CF_1'!DL46,'CF_2'!DL46,'CF_3'!DL46)</x:f>
        <x:v>0</x:v>
      </x:c>
      <x:c r="DM13" s="117" t="n">
        <x:f>SUM('CF_1'!DM46,'CF_2'!DM46,'CF_3'!DM46)</x:f>
        <x:v>0</x:v>
      </x:c>
      <x:c r="DN13" s="117" t="n">
        <x:f>SUM('CF_1'!DN46,'CF_2'!DN46,'CF_3'!DN46)</x:f>
        <x:v>0</x:v>
      </x:c>
      <x:c r="DO13" s="117" t="n">
        <x:f>SUM('CF_1'!DO46,'CF_2'!DO46,'CF_3'!DO46)</x:f>
        <x:v>0</x:v>
      </x:c>
      <x:c r="DP13" s="117" t="n">
        <x:f>SUM('CF_1'!DP46,'CF_2'!DP46,'CF_3'!DP46)</x:f>
        <x:v>0</x:v>
      </x:c>
      <x:c r="DQ13" s="117" t="n">
        <x:f>SUM('CF_1'!DQ46,'CF_2'!DQ46,'CF_3'!DQ46)</x:f>
        <x:v>0</x:v>
      </x:c>
      <x:c r="DR13" s="117" t="n">
        <x:f>SUM('CF_1'!DR46,'CF_2'!DR46,'CF_3'!DR46)</x:f>
        <x:v>0</x:v>
      </x:c>
      <x:c r="DS13" s="117" t="n">
        <x:f>SUM('CF_1'!DS46,'CF_2'!DS46,'CF_3'!DS46)</x:f>
        <x:v>0</x:v>
      </x:c>
    </x:row>
    <x:row r="14">
      <x:c r="A14" t="str">
        <x:v>ПФ — долг</x:v>
      </x:c>
      <x:c r="B14" s="107" t="n">
        <x:f>MAX(D14:DS14)</x:f>
        <x:v>10280</x:v>
      </x:c>
      <x:c r="C14" t="str">
        <x:v>млн ₽</x:v>
      </x:c>
      <x:c r="D14" s="117" t="n">
        <x:f>SUM('CF_1'!D47,'CF_2'!D47,'CF_3'!D47)</x:f>
        <x:v>0</x:v>
      </x:c>
      <x:c r="E14" s="117" t="n">
        <x:f>SUM('CF_1'!E47,'CF_2'!E47,'CF_3'!E47)</x:f>
        <x:v>0</x:v>
      </x:c>
      <x:c r="F14" s="117" t="n">
        <x:f>SUM('CF_1'!F47,'CF_2'!F47,'CF_3'!F47)</x:f>
        <x:v>0</x:v>
      </x:c>
      <x:c r="G14" s="117" t="n">
        <x:f>SUM('CF_1'!G47,'CF_2'!G47,'CF_3'!G47)</x:f>
        <x:v>0</x:v>
      </x:c>
      <x:c r="H14" s="117" t="n">
        <x:f>SUM('CF_1'!H47,'CF_2'!H47,'CF_3'!H47)</x:f>
        <x:v>0</x:v>
      </x:c>
      <x:c r="I14" s="117" t="n">
        <x:f>SUM('CF_1'!I47,'CF_2'!I47,'CF_3'!I47)</x:f>
        <x:v>0</x:v>
      </x:c>
      <x:c r="J14" s="117" t="n">
        <x:f>SUM('CF_1'!J47,'CF_2'!J47,'CF_3'!J47)</x:f>
        <x:v>0</x:v>
      </x:c>
      <x:c r="K14" s="117" t="n">
        <x:f>SUM('CF_1'!K47,'CF_2'!K47,'CF_3'!K47)</x:f>
        <x:v>0</x:v>
      </x:c>
      <x:c r="L14" s="117" t="n">
        <x:f>SUM('CF_1'!L47,'CF_2'!L47,'CF_3'!L47)</x:f>
        <x:v>0</x:v>
      </x:c>
      <x:c r="M14" s="117" t="n">
        <x:f>SUM('CF_1'!M47,'CF_2'!M47,'CF_3'!M47)</x:f>
        <x:v>0</x:v>
      </x:c>
      <x:c r="N14" s="117" t="n">
        <x:f>SUM('CF_1'!N47,'CF_2'!N47,'CF_3'!N47)</x:f>
        <x:v>0</x:v>
      </x:c>
      <x:c r="O14" s="117" t="n">
        <x:f>SUM('CF_1'!O47,'CF_2'!O47,'CF_3'!O47)</x:f>
        <x:v>0</x:v>
      </x:c>
      <x:c r="P14" s="117" t="n">
        <x:f>SUM('CF_1'!P47,'CF_2'!P47,'CF_3'!P47)</x:f>
        <x:v>0</x:v>
      </x:c>
      <x:c r="Q14" s="117" t="n">
        <x:f>SUM('CF_1'!Q47,'CF_2'!Q47,'CF_3'!Q47)</x:f>
        <x:v>0</x:v>
      </x:c>
      <x:c r="R14" s="117" t="n">
        <x:f>SUM('CF_1'!R47,'CF_2'!R47,'CF_3'!R47)</x:f>
        <x:v>0</x:v>
      </x:c>
      <x:c r="S14" s="117" t="n">
        <x:f>SUM('CF_1'!S47,'CF_2'!S47,'CF_3'!S47)</x:f>
        <x:v>0</x:v>
      </x:c>
      <x:c r="T14" s="117" t="n">
        <x:f>SUM('CF_1'!T47,'CF_2'!T47,'CF_3'!T47)</x:f>
        <x:v>0</x:v>
      </x:c>
      <x:c r="U14" s="117" t="n">
        <x:f>SUM('CF_1'!U47,'CF_2'!U47,'CF_3'!U47)</x:f>
        <x:v>0</x:v>
      </x:c>
      <x:c r="V14" s="117" t="n">
        <x:f>SUM('CF_1'!V47,'CF_2'!V47,'CF_3'!V47)</x:f>
        <x:v>3269.5462936713507</x:v>
      </x:c>
      <x:c r="W14" s="117" t="n">
        <x:f>SUM('CF_1'!W47,'CF_2'!W47,'CF_3'!W47)</x:f>
        <x:v>3450.337019925994</x:v>
      </x:c>
      <x:c r="X14" s="117" t="n">
        <x:f>SUM('CF_1'!X47,'CF_2'!X47,'CF_3'!X47)</x:f>
        <x:v>3635.480758215615</x:v>
      </x:c>
      <x:c r="Y14" s="117" t="n">
        <x:f>SUM('CF_1'!Y47,'CF_2'!Y47,'CF_3'!Y47)</x:f>
        <x:v>3821.2652708742603</x:v>
      </x:c>
      <x:c r="Z14" s="117" t="n">
        <x:f>SUM('CF_1'!Z47,'CF_2'!Z47,'CF_3'!Z47)</x:f>
        <x:v>4160.834185899852</x:v>
      </x:c>
      <x:c r="AA14" s="117" t="n">
        <x:f>SUM('CF_1'!AA47,'CF_2'!AA47,'CF_3'!AA47)</x:f>
        <x:v>4501.076511549435</x:v>
      </x:c>
      <x:c r="AB14" s="117" t="n">
        <x:f>SUM('CF_1'!AB47,'CF_2'!AB47,'CF_3'!AB47)</x:f>
        <x:v>4837.788254920779</x:v>
      </x:c>
      <x:c r="AC14" s="117" t="n">
        <x:f>SUM('CF_1'!AC47,'CF_2'!AC47,'CF_3'!AC47)</x:f>
        <x:v>5179.428636597298</x:v>
      </x:c>
      <x:c r="AD14" s="117" t="n">
        <x:f>SUM('CF_1'!AD47,'CF_2'!AD47,'CF_3'!AD47)</x:f>
        <x:v>5521.794526284079</x:v>
      </x:c>
      <x:c r="AE14" s="117" t="n">
        <x:f>SUM('CF_1'!AE47,'CF_2'!AE47,'CF_3'!AE47)</x:f>
        <x:v>5864.9041705075815</x:v>
      </x:c>
      <x:c r="AF14" s="117" t="n">
        <x:f>SUM('CF_1'!AF47,'CF_2'!AF47,'CF_3'!AF47)</x:f>
        <x:v>6204.114430769571</x:v>
      </x:c>
      <x:c r="AG14" s="117" t="n">
        <x:f>SUM('CF_1'!AG47,'CF_2'!AG47,'CF_3'!AG47)</x:f>
        <x:v>6543.989081488248</x:v>
      </x:c>
      <x:c r="AH14" s="117" t="n">
        <x:f>SUM('CF_1'!AH47,'CF_2'!AH47,'CF_3'!AH47)</x:f>
        <x:v>6884.5448320835985</x:v>
      </x:c>
      <x:c r="AI14" s="117" t="n">
        <x:f>SUM('CF_1'!AI47,'CF_2'!AI47,'CF_3'!AI47)</x:f>
        <x:v>7225.79881221752</x:v>
      </x:c>
      <x:c r="AJ14" s="117" t="n">
        <x:f>SUM('CF_1'!AJ47,'CF_2'!AJ47,'CF_3'!AJ47)</x:f>
        <x:v>7572.917398620105</x:v>
      </x:c>
      <x:c r="AK14" s="117" t="n">
        <x:f>SUM('CF_1'!AK47,'CF_2'!AK47,'CF_3'!AK47)</x:f>
        <x:v>7920.899269881813</x:v>
      </x:c>
      <x:c r="AL14" s="117" t="n">
        <x:f>SUM('CF_1'!AL47,'CF_2'!AL47,'CF_3'!AL47)</x:f>
        <x:v>8269.76613761685</x:v>
      </x:c>
      <x:c r="AM14" s="117" t="n">
        <x:f>SUM('CF_1'!AM47,'CF_2'!AM47,'CF_3'!AM47)</x:f>
        <x:v>8619.540259486523</x:v>
      </x:c>
      <x:c r="AN14" s="117" t="n">
        <x:f>SUM('CF_1'!AN47,'CF_2'!AN47,'CF_3'!AN47)</x:f>
        <x:v>8964.557795618637</x:v>
      </x:c>
      <x:c r="AO14" s="117" t="n">
        <x:f>SUM('CF_1'!AO47,'CF_2'!AO47,'CF_3'!AO47)</x:f>
        <x:v>9214.13044359233</x:v>
      </x:c>
      <x:c r="AP14" s="117" t="n">
        <x:f>SUM('CF_1'!AP47,'CF_2'!AP47,'CF_3'!AP47)</x:f>
        <x:v>9464.680534033621</x:v>
      </x:c>
      <x:c r="AQ14" s="117" t="n">
        <x:f>SUM('CF_1'!AQ47,'CF_2'!AQ47,'CF_3'!AQ47)</x:f>
        <x:v>9768.16664962057</x:v>
      </x:c>
      <x:c r="AR14" s="117" t="n">
        <x:f>SUM('CF_1'!AR47,'CF_2'!AR47,'CF_3'!AR47)</x:f>
        <x:v>10066.399310486775</x:v>
      </x:c>
      <x:c r="AS14" s="117" t="n">
        <x:f>SUM('CF_1'!AS47,'CF_2'!AS47,'CF_3'!AS47)</x:f>
        <x:v>10280</x:v>
      </x:c>
      <x:c r="AT14" s="117" t="n">
        <x:f>SUM('CF_1'!AT47,'CF_2'!AT47,'CF_3'!AT47)</x:f>
        <x:v>0</x:v>
      </x:c>
      <x:c r="AU14" s="117" t="n">
        <x:f>SUM('CF_1'!AU47,'CF_2'!AU47,'CF_3'!AU47)</x:f>
        <x:v>0</x:v>
      </x:c>
      <x:c r="AV14" s="117" t="n">
        <x:f>SUM('CF_1'!AV47,'CF_2'!AV47,'CF_3'!AV47)</x:f>
        <x:v>0</x:v>
      </x:c>
      <x:c r="AW14" s="117" t="n">
        <x:f>SUM('CF_1'!AW47,'CF_2'!AW47,'CF_3'!AW47)</x:f>
        <x:v>0</x:v>
      </x:c>
      <x:c r="AX14" s="117" t="n">
        <x:f>SUM('CF_1'!AX47,'CF_2'!AX47,'CF_3'!AX47)</x:f>
        <x:v>0</x:v>
      </x:c>
      <x:c r="AY14" s="117" t="n">
        <x:f>SUM('CF_1'!AY47,'CF_2'!AY47,'CF_3'!AY47)</x:f>
        <x:v>0</x:v>
      </x:c>
      <x:c r="AZ14" s="117" t="n">
        <x:f>SUM('CF_1'!AZ47,'CF_2'!AZ47,'CF_3'!AZ47)</x:f>
        <x:v>0</x:v>
      </x:c>
      <x:c r="BA14" s="117" t="n">
        <x:f>SUM('CF_1'!BA47,'CF_2'!BA47,'CF_3'!BA47)</x:f>
        <x:v>0</x:v>
      </x:c>
      <x:c r="BB14" s="117" t="n">
        <x:f>SUM('CF_1'!BB47,'CF_2'!BB47,'CF_3'!BB47)</x:f>
        <x:v>0</x:v>
      </x:c>
      <x:c r="BC14" s="117" t="n">
        <x:f>SUM('CF_1'!BC47,'CF_2'!BC47,'CF_3'!BC47)</x:f>
        <x:v>0</x:v>
      </x:c>
      <x:c r="BD14" s="117" t="n">
        <x:f>SUM('CF_1'!BD47,'CF_2'!BD47,'CF_3'!BD47)</x:f>
        <x:v>0</x:v>
      </x:c>
      <x:c r="BE14" s="117" t="n">
        <x:f>SUM('CF_1'!BE47,'CF_2'!BE47,'CF_3'!BE47)</x:f>
        <x:v>0</x:v>
      </x:c>
      <x:c r="BF14" s="117" t="n">
        <x:f>SUM('CF_1'!BF47,'CF_2'!BF47,'CF_3'!BF47)</x:f>
        <x:v>0</x:v>
      </x:c>
      <x:c r="BG14" s="117" t="n">
        <x:f>SUM('CF_1'!BG47,'CF_2'!BG47,'CF_3'!BG47)</x:f>
        <x:v>0</x:v>
      </x:c>
      <x:c r="BH14" s="117" t="n">
        <x:f>SUM('CF_1'!BH47,'CF_2'!BH47,'CF_3'!BH47)</x:f>
        <x:v>0</x:v>
      </x:c>
      <x:c r="BI14" s="117" t="n">
        <x:f>SUM('CF_1'!BI47,'CF_2'!BI47,'CF_3'!BI47)</x:f>
        <x:v>0</x:v>
      </x:c>
      <x:c r="BJ14" s="117" t="n">
        <x:f>SUM('CF_1'!BJ47,'CF_2'!BJ47,'CF_3'!BJ47)</x:f>
        <x:v>0</x:v>
      </x:c>
      <x:c r="BK14" s="117" t="n">
        <x:f>SUM('CF_1'!BK47,'CF_2'!BK47,'CF_3'!BK47)</x:f>
        <x:v>0</x:v>
      </x:c>
      <x:c r="BL14" s="117" t="n">
        <x:f>SUM('CF_1'!BL47,'CF_2'!BL47,'CF_3'!BL47)</x:f>
        <x:v>0</x:v>
      </x:c>
      <x:c r="BM14" s="117" t="n">
        <x:f>SUM('CF_1'!BM47,'CF_2'!BM47,'CF_3'!BM47)</x:f>
        <x:v>0</x:v>
      </x:c>
      <x:c r="BN14" s="117" t="n">
        <x:f>SUM('CF_1'!BN47,'CF_2'!BN47,'CF_3'!BN47)</x:f>
        <x:v>0</x:v>
      </x:c>
      <x:c r="BO14" s="117" t="n">
        <x:f>SUM('CF_1'!BO47,'CF_2'!BO47,'CF_3'!BO47)</x:f>
        <x:v>0</x:v>
      </x:c>
      <x:c r="BP14" s="117" t="n">
        <x:f>SUM('CF_1'!BP47,'CF_2'!BP47,'CF_3'!BP47)</x:f>
        <x:v>0</x:v>
      </x:c>
      <x:c r="BQ14" s="117" t="n">
        <x:f>SUM('CF_1'!BQ47,'CF_2'!BQ47,'CF_3'!BQ47)</x:f>
        <x:v>0</x:v>
      </x:c>
      <x:c r="BR14" s="117" t="n">
        <x:f>SUM('CF_1'!BR47,'CF_2'!BR47,'CF_3'!BR47)</x:f>
        <x:v>0</x:v>
      </x:c>
      <x:c r="BS14" s="117" t="n">
        <x:f>SUM('CF_1'!BS47,'CF_2'!BS47,'CF_3'!BS47)</x:f>
        <x:v>0</x:v>
      </x:c>
      <x:c r="BT14" s="117" t="n">
        <x:f>SUM('CF_1'!BT47,'CF_2'!BT47,'CF_3'!BT47)</x:f>
        <x:v>0</x:v>
      </x:c>
      <x:c r="BU14" s="117" t="n">
        <x:f>SUM('CF_1'!BU47,'CF_2'!BU47,'CF_3'!BU47)</x:f>
        <x:v>0</x:v>
      </x:c>
      <x:c r="BV14" s="117" t="n">
        <x:f>SUM('CF_1'!BV47,'CF_2'!BV47,'CF_3'!BV47)</x:f>
        <x:v>0</x:v>
      </x:c>
      <x:c r="BW14" s="117" t="n">
        <x:f>SUM('CF_1'!BW47,'CF_2'!BW47,'CF_3'!BW47)</x:f>
        <x:v>0</x:v>
      </x:c>
      <x:c r="BX14" s="117" t="n">
        <x:f>SUM('CF_1'!BX47,'CF_2'!BX47,'CF_3'!BX47)</x:f>
        <x:v>0</x:v>
      </x:c>
      <x:c r="BY14" s="117" t="n">
        <x:f>SUM('CF_1'!BY47,'CF_2'!BY47,'CF_3'!BY47)</x:f>
        <x:v>0</x:v>
      </x:c>
      <x:c r="BZ14" s="117" t="n">
        <x:f>SUM('CF_1'!BZ47,'CF_2'!BZ47,'CF_3'!BZ47)</x:f>
        <x:v>0</x:v>
      </x:c>
      <x:c r="CA14" s="117" t="n">
        <x:f>SUM('CF_1'!CA47,'CF_2'!CA47,'CF_3'!CA47)</x:f>
        <x:v>0</x:v>
      </x:c>
      <x:c r="CB14" s="117" t="n">
        <x:f>SUM('CF_1'!CB47,'CF_2'!CB47,'CF_3'!CB47)</x:f>
        <x:v>0</x:v>
      </x:c>
      <x:c r="CC14" s="117" t="n">
        <x:f>SUM('CF_1'!CC47,'CF_2'!CC47,'CF_3'!CC47)</x:f>
        <x:v>0</x:v>
      </x:c>
      <x:c r="CD14" s="117" t="n">
        <x:f>SUM('CF_1'!CD47,'CF_2'!CD47,'CF_3'!CD47)</x:f>
        <x:v>0</x:v>
      </x:c>
      <x:c r="CE14" s="117" t="n">
        <x:f>SUM('CF_1'!CE47,'CF_2'!CE47,'CF_3'!CE47)</x:f>
        <x:v>0</x:v>
      </x:c>
      <x:c r="CF14" s="117" t="n">
        <x:f>SUM('CF_1'!CF47,'CF_2'!CF47,'CF_3'!CF47)</x:f>
        <x:v>0</x:v>
      </x:c>
      <x:c r="CG14" s="117" t="n">
        <x:f>SUM('CF_1'!CG47,'CF_2'!CG47,'CF_3'!CG47)</x:f>
        <x:v>0</x:v>
      </x:c>
      <x:c r="CH14" s="117" t="n">
        <x:f>SUM('CF_1'!CH47,'CF_2'!CH47,'CF_3'!CH47)</x:f>
        <x:v>0</x:v>
      </x:c>
      <x:c r="CI14" s="117" t="n">
        <x:f>SUM('CF_1'!CI47,'CF_2'!CI47,'CF_3'!CI47)</x:f>
        <x:v>0</x:v>
      </x:c>
      <x:c r="CJ14" s="117" t="n">
        <x:f>SUM('CF_1'!CJ47,'CF_2'!CJ47,'CF_3'!CJ47)</x:f>
        <x:v>0</x:v>
      </x:c>
      <x:c r="CK14" s="117" t="n">
        <x:f>SUM('CF_1'!CK47,'CF_2'!CK47,'CF_3'!CK47)</x:f>
        <x:v>0</x:v>
      </x:c>
      <x:c r="CL14" s="117" t="n">
        <x:f>SUM('CF_1'!CL47,'CF_2'!CL47,'CF_3'!CL47)</x:f>
        <x:v>0</x:v>
      </x:c>
      <x:c r="CM14" s="117" t="n">
        <x:f>SUM('CF_1'!CM47,'CF_2'!CM47,'CF_3'!CM47)</x:f>
        <x:v>0</x:v>
      </x:c>
      <x:c r="CN14" s="117" t="n">
        <x:f>SUM('CF_1'!CN47,'CF_2'!CN47,'CF_3'!CN47)</x:f>
        <x:v>0</x:v>
      </x:c>
      <x:c r="CO14" s="117" t="n">
        <x:f>SUM('CF_1'!CO47,'CF_2'!CO47,'CF_3'!CO47)</x:f>
        <x:v>0</x:v>
      </x:c>
      <x:c r="CP14" s="117" t="n">
        <x:f>SUM('CF_1'!CP47,'CF_2'!CP47,'CF_3'!CP47)</x:f>
        <x:v>0</x:v>
      </x:c>
      <x:c r="CQ14" s="117" t="n">
        <x:f>SUM('CF_1'!CQ47,'CF_2'!CQ47,'CF_3'!CQ47)</x:f>
        <x:v>0</x:v>
      </x:c>
      <x:c r="CR14" s="117" t="n">
        <x:f>SUM('CF_1'!CR47,'CF_2'!CR47,'CF_3'!CR47)</x:f>
        <x:v>0</x:v>
      </x:c>
      <x:c r="CS14" s="117" t="n">
        <x:f>SUM('CF_1'!CS47,'CF_2'!CS47,'CF_3'!CS47)</x:f>
        <x:v>0</x:v>
      </x:c>
      <x:c r="CT14" s="117" t="n">
        <x:f>SUM('CF_1'!CT47,'CF_2'!CT47,'CF_3'!CT47)</x:f>
        <x:v>0</x:v>
      </x:c>
      <x:c r="CU14" s="117" t="n">
        <x:f>SUM('CF_1'!CU47,'CF_2'!CU47,'CF_3'!CU47)</x:f>
        <x:v>0</x:v>
      </x:c>
      <x:c r="CV14" s="117" t="n">
        <x:f>SUM('CF_1'!CV47,'CF_2'!CV47,'CF_3'!CV47)</x:f>
        <x:v>0</x:v>
      </x:c>
      <x:c r="CW14" s="117" t="n">
        <x:f>SUM('CF_1'!CW47,'CF_2'!CW47,'CF_3'!CW47)</x:f>
        <x:v>0</x:v>
      </x:c>
      <x:c r="CX14" s="117" t="n">
        <x:f>SUM('CF_1'!CX47,'CF_2'!CX47,'CF_3'!CX47)</x:f>
        <x:v>0</x:v>
      </x:c>
      <x:c r="CY14" s="117" t="n">
        <x:f>SUM('CF_1'!CY47,'CF_2'!CY47,'CF_3'!CY47)</x:f>
        <x:v>0</x:v>
      </x:c>
      <x:c r="CZ14" s="117" t="n">
        <x:f>SUM('CF_1'!CZ47,'CF_2'!CZ47,'CF_3'!CZ47)</x:f>
        <x:v>0</x:v>
      </x:c>
      <x:c r="DA14" s="117" t="n">
        <x:f>SUM('CF_1'!DA47,'CF_2'!DA47,'CF_3'!DA47)</x:f>
        <x:v>0</x:v>
      </x:c>
      <x:c r="DB14" s="117" t="n">
        <x:f>SUM('CF_1'!DB47,'CF_2'!DB47,'CF_3'!DB47)</x:f>
        <x:v>0</x:v>
      </x:c>
      <x:c r="DC14" s="117" t="n">
        <x:f>SUM('CF_1'!DC47,'CF_2'!DC47,'CF_3'!DC47)</x:f>
        <x:v>0</x:v>
      </x:c>
      <x:c r="DD14" s="117" t="n">
        <x:f>SUM('CF_1'!DD47,'CF_2'!DD47,'CF_3'!DD47)</x:f>
        <x:v>0</x:v>
      </x:c>
      <x:c r="DE14" s="117" t="n">
        <x:f>SUM('CF_1'!DE47,'CF_2'!DE47,'CF_3'!DE47)</x:f>
        <x:v>0</x:v>
      </x:c>
      <x:c r="DF14" s="117" t="n">
        <x:f>SUM('CF_1'!DF47,'CF_2'!DF47,'CF_3'!DF47)</x:f>
        <x:v>0</x:v>
      </x:c>
      <x:c r="DG14" s="117" t="n">
        <x:f>SUM('CF_1'!DG47,'CF_2'!DG47,'CF_3'!DG47)</x:f>
        <x:v>0</x:v>
      </x:c>
      <x:c r="DH14" s="117" t="n">
        <x:f>SUM('CF_1'!DH47,'CF_2'!DH47,'CF_3'!DH47)</x:f>
        <x:v>0</x:v>
      </x:c>
      <x:c r="DI14" s="117" t="n">
        <x:f>SUM('CF_1'!DI47,'CF_2'!DI47,'CF_3'!DI47)</x:f>
        <x:v>0</x:v>
      </x:c>
      <x:c r="DJ14" s="117" t="n">
        <x:f>SUM('CF_1'!DJ47,'CF_2'!DJ47,'CF_3'!DJ47)</x:f>
        <x:v>0</x:v>
      </x:c>
      <x:c r="DK14" s="117" t="n">
        <x:f>SUM('CF_1'!DK47,'CF_2'!DK47,'CF_3'!DK47)</x:f>
        <x:v>0</x:v>
      </x:c>
      <x:c r="DL14" s="117" t="n">
        <x:f>SUM('CF_1'!DL47,'CF_2'!DL47,'CF_3'!DL47)</x:f>
        <x:v>0</x:v>
      </x:c>
      <x:c r="DM14" s="117" t="n">
        <x:f>SUM('CF_1'!DM47,'CF_2'!DM47,'CF_3'!DM47)</x:f>
        <x:v>0</x:v>
      </x:c>
      <x:c r="DN14" s="117" t="n">
        <x:f>SUM('CF_1'!DN47,'CF_2'!DN47,'CF_3'!DN47)</x:f>
        <x:v>0</x:v>
      </x:c>
      <x:c r="DO14" s="117" t="n">
        <x:f>SUM('CF_1'!DO47,'CF_2'!DO47,'CF_3'!DO47)</x:f>
        <x:v>0</x:v>
      </x:c>
      <x:c r="DP14" s="117" t="n">
        <x:f>SUM('CF_1'!DP47,'CF_2'!DP47,'CF_3'!DP47)</x:f>
        <x:v>0</x:v>
      </x:c>
      <x:c r="DQ14" s="117" t="n">
        <x:f>SUM('CF_1'!DQ47,'CF_2'!DQ47,'CF_3'!DQ47)</x:f>
        <x:v>0</x:v>
      </x:c>
      <x:c r="DR14" s="117" t="n">
        <x:f>SUM('CF_1'!DR47,'CF_2'!DR47,'CF_3'!DR47)</x:f>
        <x:v>0</x:v>
      </x:c>
      <x:c r="DS14" s="117" t="n">
        <x:f>SUM('CF_1'!DS47,'CF_2'!DS47,'CF_3'!DS47)</x:f>
        <x:v>0</x:v>
      </x:c>
    </x:row>
    <x:row r="15">
      <x:c r="A15" t="str">
        <x:v>Эскроу</x:v>
      </x:c>
      <x:c r="B15" s="107" t="n">
        <x:f>MAX(D15:DS15)</x:f>
        <x:v>10519.298044546515</x:v>
      </x:c>
      <x:c r="C15" t="str">
        <x:v>млн ₽</x:v>
      </x:c>
      <x:c r="D15" s="117" t="n">
        <x:f>SUM('CF_1'!D15,'CF_2'!D15,'CF_3'!D15)</x:f>
        <x:v>0</x:v>
      </x:c>
      <x:c r="E15" s="117" t="n">
        <x:f>SUM('CF_1'!E15,'CF_2'!E15,'CF_3'!E15)</x:f>
        <x:v>0</x:v>
      </x:c>
      <x:c r="F15" s="117" t="n">
        <x:f>SUM('CF_1'!F15,'CF_2'!F15,'CF_3'!F15)</x:f>
        <x:v>0</x:v>
      </x:c>
      <x:c r="G15" s="117" t="n">
        <x:f>SUM('CF_1'!G15,'CF_2'!G15,'CF_3'!G15)</x:f>
        <x:v>0</x:v>
      </x:c>
      <x:c r="H15" s="117" t="n">
        <x:f>SUM('CF_1'!H15,'CF_2'!H15,'CF_3'!H15)</x:f>
        <x:v>0</x:v>
      </x:c>
      <x:c r="I15" s="117" t="n">
        <x:f>SUM('CF_1'!I15,'CF_2'!I15,'CF_3'!I15)</x:f>
        <x:v>0</x:v>
      </x:c>
      <x:c r="J15" s="117" t="n">
        <x:f>SUM('CF_1'!J15,'CF_2'!J15,'CF_3'!J15)</x:f>
        <x:v>0</x:v>
      </x:c>
      <x:c r="K15" s="117" t="n">
        <x:f>SUM('CF_1'!K15,'CF_2'!K15,'CF_3'!K15)</x:f>
        <x:v>0</x:v>
      </x:c>
      <x:c r="L15" s="117" t="n">
        <x:f>SUM('CF_1'!L15,'CF_2'!L15,'CF_3'!L15)</x:f>
        <x:v>0</x:v>
      </x:c>
      <x:c r="M15" s="117" t="n">
        <x:f>SUM('CF_1'!M15,'CF_2'!M15,'CF_3'!M15)</x:f>
        <x:v>0</x:v>
      </x:c>
      <x:c r="N15" s="117" t="n">
        <x:f>SUM('CF_1'!N15,'CF_2'!N15,'CF_3'!N15)</x:f>
        <x:v>0</x:v>
      </x:c>
      <x:c r="O15" s="117" t="n">
        <x:f>SUM('CF_1'!O15,'CF_2'!O15,'CF_3'!O15)</x:f>
        <x:v>0</x:v>
      </x:c>
      <x:c r="P15" s="117" t="n">
        <x:f>SUM('CF_1'!P15,'CF_2'!P15,'CF_3'!P15)</x:f>
        <x:v>0</x:v>
      </x:c>
      <x:c r="Q15" s="117" t="n">
        <x:f>SUM('CF_1'!Q15,'CF_2'!Q15,'CF_3'!Q15)</x:f>
        <x:v>0</x:v>
      </x:c>
      <x:c r="R15" s="117" t="n">
        <x:f>SUM('CF_1'!R15,'CF_2'!R15,'CF_3'!R15)</x:f>
        <x:v>0</x:v>
      </x:c>
      <x:c r="S15" s="117" t="n">
        <x:f>SUM('CF_1'!S15,'CF_2'!S15,'CF_3'!S15)</x:f>
        <x:v>0</x:v>
      </x:c>
      <x:c r="T15" s="117" t="n">
        <x:f>SUM('CF_1'!T15,'CF_2'!T15,'CF_3'!T15)</x:f>
        <x:v>0</x:v>
      </x:c>
      <x:c r="U15" s="117" t="n">
        <x:f>SUM('CF_1'!U15,'CF_2'!U15,'CF_3'!U15)</x:f>
        <x:v>0</x:v>
      </x:c>
      <x:c r="V15" s="117" t="n">
        <x:f>SUM('CF_1'!V15,'CF_2'!V15,'CF_3'!V15)</x:f>
        <x:v>294.3833179708191</x:v>
      </x:c>
      <x:c r="W15" s="117" t="n">
        <x:f>SUM('CF_1'!W15,'CF_2'!W15,'CF_3'!W15)</x:f>
        <x:v>596.1703763886043</x:v>
      </x:c>
      <x:c r="X15" s="117" t="n">
        <x:f>SUM('CF_1'!X15,'CF_2'!X15,'CF_3'!X15)</x:f>
        <x:v>960.1433210203601</x:v>
      </x:c>
      <x:c r="Y15" s="117" t="n">
        <x:f>SUM('CF_1'!Y15,'CF_2'!Y15,'CF_3'!Y15)</x:f>
        <x:v>1333.2701852096045</x:v>
      </x:c>
      <x:c r="Z15" s="117" t="n">
        <x:f>SUM('CF_1'!Z15,'CF_2'!Z15,'CF_3'!Z15)</x:f>
        <x:v>1715.7811900332085</x:v>
      </x:c>
      <x:c r="AA15" s="117" t="n">
        <x:f>SUM('CF_1'!AA15,'CF_2'!AA15,'CF_3'!AA15)</x:f>
        <x:v>2107.912346628126</x:v>
      </x:c>
      <x:c r="AB15" s="117" t="n">
        <x:f>SUM('CF_1'!AB15,'CF_2'!AB15,'CF_3'!AB15)</x:f>
        <x:v>2449.606613533914</x:v>
      </x:c>
      <x:c r="AC15" s="117" t="n">
        <x:f>SUM('CF_1'!AC15,'CF_2'!AC15,'CF_3'!AC15)</x:f>
        <x:v>2861.709999085053</x:v>
      </x:c>
      <x:c r="AD15" s="117" t="n">
        <x:f>SUM('CF_1'!AD15,'CF_2'!AD15,'CF_3'!AD15)</x:f>
        <x:v>3284.1777847828034</x:v>
      </x:c>
      <x:c r="AE15" s="117" t="n">
        <x:f>SUM('CF_1'!AE15,'CF_2'!AE15,'CF_3'!AE15)</x:f>
        <x:v>3717.2706352908517</x:v>
      </x:c>
      <x:c r="AF15" s="117" t="n">
        <x:f>SUM('CF_1'!AF15,'CF_2'!AF15,'CF_3'!AF15)</x:f>
        <x:v>4094.658000634429</x:v>
      </x:c>
      <x:c r="AG15" s="117" t="n">
        <x:f>SUM('CF_1'!AG15,'CF_2'!AG15,'CF_3'!AG15)</x:f>
        <x:v>4481.536658216397</x:v>
      </x:c>
      <x:c r="AH15" s="117" t="n">
        <x:f>SUM('CF_1'!AH15,'CF_2'!AH15,'CF_3'!AH15)</x:f>
        <x:v>4878.145314036551</x:v>
      </x:c>
      <x:c r="AI15" s="117" t="n">
        <x:f>SUM('CF_1'!AI15,'CF_2'!AI15,'CF_3'!AI15)</x:f>
        <x:v>5284.728677550583</x:v>
      </x:c>
      <x:c r="AJ15" s="117" t="n">
        <x:f>SUM('CF_1'!AJ15,'CF_2'!AJ15,'CF_3'!AJ15)</x:f>
        <x:v>5775.092130616947</x:v>
      </x:c>
      <x:c r="AK15" s="117" t="n">
        <x:f>SUM('CF_1'!AK15,'CF_2'!AK15,'CF_3'!AK15)</x:f>
        <x:v>6277.78822452793</x:v>
      </x:c>
      <x:c r="AL15" s="117" t="n">
        <x:f>SUM('CF_1'!AL15,'CF_2'!AL15,'CF_3'!AL15)</x:f>
        <x:v>6793.127125200774</x:v>
      </x:c>
      <x:c r="AM15" s="117" t="n">
        <x:f>SUM('CF_1'!AM15,'CF_2'!AM15,'CF_3'!AM15)</x:f>
        <x:v>7321.426799225539</x:v>
      </x:c>
      <x:c r="AN15" s="117" t="n">
        <x:f>SUM('CF_1'!AN15,'CF_2'!AN15,'CF_3'!AN15)</x:f>
        <x:v>7781.7752484280545</x:v>
      </x:c>
      <x:c r="AO15" s="117" t="n">
        <x:f>SUM('CF_1'!AO15,'CF_2'!AO15,'CF_3'!AO15)</x:f>
        <x:v>8336.98255748683</x:v>
      </x:c>
      <x:c r="AP15" s="117" t="n">
        <x:f>SUM('CF_1'!AP15,'CF_2'!AP15,'CF_3'!AP15)</x:f>
        <x:v>8906.153330368434</x:v>
      </x:c>
      <x:c r="AQ15" s="117" t="n">
        <x:f>SUM('CF_1'!AQ15,'CF_2'!AQ15,'CF_3'!AQ15)</x:f>
        <x:v>9489.638748188008</x:v>
      </x:c>
      <x:c r="AR15" s="117" t="n">
        <x:f>SUM('CF_1'!AR15,'CF_2'!AR15,'CF_3'!AR15)</x:f>
        <x:v>9998.074812854085</x:v>
      </x:c>
      <x:c r="AS15" s="117" t="n">
        <x:f>SUM('CF_1'!AS15,'CF_2'!AS15,'CF_3'!AS15)</x:f>
        <x:v>10519.298044546515</x:v>
      </x:c>
      <x:c r="AT15" s="117" t="n">
        <x:f>SUM('CF_1'!AT15,'CF_2'!AT15,'CF_3'!AT15)</x:f>
        <x:v>0</x:v>
      </x:c>
      <x:c r="AU15" s="117" t="n">
        <x:f>SUM('CF_1'!AU15,'CF_2'!AU15,'CF_3'!AU15)</x:f>
        <x:v>0</x:v>
      </x:c>
      <x:c r="AV15" s="117" t="n">
        <x:f>SUM('CF_1'!AV15,'CF_2'!AV15,'CF_3'!AV15)</x:f>
        <x:v>0</x:v>
      </x:c>
      <x:c r="AW15" s="117" t="n">
        <x:f>SUM('CF_1'!AW15,'CF_2'!AW15,'CF_3'!AW15)</x:f>
        <x:v>0</x:v>
      </x:c>
      <x:c r="AX15" s="117" t="n">
        <x:f>SUM('CF_1'!AX15,'CF_2'!AX15,'CF_3'!AX15)</x:f>
        <x:v>0</x:v>
      </x:c>
      <x:c r="AY15" s="117" t="n">
        <x:f>SUM('CF_1'!AY15,'CF_2'!AY15,'CF_3'!AY15)</x:f>
        <x:v>0</x:v>
      </x:c>
      <x:c r="AZ15" s="117" t="n">
        <x:f>SUM('CF_1'!AZ15,'CF_2'!AZ15,'CF_3'!AZ15)</x:f>
        <x:v>0</x:v>
      </x:c>
      <x:c r="BA15" s="117" t="n">
        <x:f>SUM('CF_1'!BA15,'CF_2'!BA15,'CF_3'!BA15)</x:f>
        <x:v>0</x:v>
      </x:c>
      <x:c r="BB15" s="117" t="n">
        <x:f>SUM('CF_1'!BB15,'CF_2'!BB15,'CF_3'!BB15)</x:f>
        <x:v>0</x:v>
      </x:c>
      <x:c r="BC15" s="117" t="n">
        <x:f>SUM('CF_1'!BC15,'CF_2'!BC15,'CF_3'!BC15)</x:f>
        <x:v>0</x:v>
      </x:c>
      <x:c r="BD15" s="117" t="n">
        <x:f>SUM('CF_1'!BD15,'CF_2'!BD15,'CF_3'!BD15)</x:f>
        <x:v>0</x:v>
      </x:c>
      <x:c r="BE15" s="117" t="n">
        <x:f>SUM('CF_1'!BE15,'CF_2'!BE15,'CF_3'!BE15)</x:f>
        <x:v>0</x:v>
      </x:c>
      <x:c r="BF15" s="117" t="n">
        <x:f>SUM('CF_1'!BF15,'CF_2'!BF15,'CF_3'!BF15)</x:f>
        <x:v>0</x:v>
      </x:c>
      <x:c r="BG15" s="117" t="n">
        <x:f>SUM('CF_1'!BG15,'CF_2'!BG15,'CF_3'!BG15)</x:f>
        <x:v>0</x:v>
      </x:c>
      <x:c r="BH15" s="117" t="n">
        <x:f>SUM('CF_1'!BH15,'CF_2'!BH15,'CF_3'!BH15)</x:f>
        <x:v>0</x:v>
      </x:c>
      <x:c r="BI15" s="117" t="n">
        <x:f>SUM('CF_1'!BI15,'CF_2'!BI15,'CF_3'!BI15)</x:f>
        <x:v>0</x:v>
      </x:c>
      <x:c r="BJ15" s="117" t="n">
        <x:f>SUM('CF_1'!BJ15,'CF_2'!BJ15,'CF_3'!BJ15)</x:f>
        <x:v>0</x:v>
      </x:c>
      <x:c r="BK15" s="117" t="n">
        <x:f>SUM('CF_1'!BK15,'CF_2'!BK15,'CF_3'!BK15)</x:f>
        <x:v>0</x:v>
      </x:c>
      <x:c r="BL15" s="117" t="n">
        <x:f>SUM('CF_1'!BL15,'CF_2'!BL15,'CF_3'!BL15)</x:f>
        <x:v>0</x:v>
      </x:c>
      <x:c r="BM15" s="117" t="n">
        <x:f>SUM('CF_1'!BM15,'CF_2'!BM15,'CF_3'!BM15)</x:f>
        <x:v>0</x:v>
      </x:c>
      <x:c r="BN15" s="117" t="n">
        <x:f>SUM('CF_1'!BN15,'CF_2'!BN15,'CF_3'!BN15)</x:f>
        <x:v>0</x:v>
      </x:c>
      <x:c r="BO15" s="117" t="n">
        <x:f>SUM('CF_1'!BO15,'CF_2'!BO15,'CF_3'!BO15)</x:f>
        <x:v>0</x:v>
      </x:c>
      <x:c r="BP15" s="117" t="n">
        <x:f>SUM('CF_1'!BP15,'CF_2'!BP15,'CF_3'!BP15)</x:f>
        <x:v>0</x:v>
      </x:c>
      <x:c r="BQ15" s="117" t="n">
        <x:f>SUM('CF_1'!BQ15,'CF_2'!BQ15,'CF_3'!BQ15)</x:f>
        <x:v>0</x:v>
      </x:c>
      <x:c r="BR15" s="117" t="n">
        <x:f>SUM('CF_1'!BR15,'CF_2'!BR15,'CF_3'!BR15)</x:f>
        <x:v>0</x:v>
      </x:c>
      <x:c r="BS15" s="117" t="n">
        <x:f>SUM('CF_1'!BS15,'CF_2'!BS15,'CF_3'!BS15)</x:f>
        <x:v>0</x:v>
      </x:c>
      <x:c r="BT15" s="117" t="n">
        <x:f>SUM('CF_1'!BT15,'CF_2'!BT15,'CF_3'!BT15)</x:f>
        <x:v>0</x:v>
      </x:c>
      <x:c r="BU15" s="117" t="n">
        <x:f>SUM('CF_1'!BU15,'CF_2'!BU15,'CF_3'!BU15)</x:f>
        <x:v>0</x:v>
      </x:c>
      <x:c r="BV15" s="117" t="n">
        <x:f>SUM('CF_1'!BV15,'CF_2'!BV15,'CF_3'!BV15)</x:f>
        <x:v>0</x:v>
      </x:c>
      <x:c r="BW15" s="117" t="n">
        <x:f>SUM('CF_1'!BW15,'CF_2'!BW15,'CF_3'!BW15)</x:f>
        <x:v>0</x:v>
      </x:c>
      <x:c r="BX15" s="117" t="n">
        <x:f>SUM('CF_1'!BX15,'CF_2'!BX15,'CF_3'!BX15)</x:f>
        <x:v>0</x:v>
      </x:c>
      <x:c r="BY15" s="117" t="n">
        <x:f>SUM('CF_1'!BY15,'CF_2'!BY15,'CF_3'!BY15)</x:f>
        <x:v>0</x:v>
      </x:c>
      <x:c r="BZ15" s="117" t="n">
        <x:f>SUM('CF_1'!BZ15,'CF_2'!BZ15,'CF_3'!BZ15)</x:f>
        <x:v>0</x:v>
      </x:c>
      <x:c r="CA15" s="117" t="n">
        <x:f>SUM('CF_1'!CA15,'CF_2'!CA15,'CF_3'!CA15)</x:f>
        <x:v>0</x:v>
      </x:c>
      <x:c r="CB15" s="117" t="n">
        <x:f>SUM('CF_1'!CB15,'CF_2'!CB15,'CF_3'!CB15)</x:f>
        <x:v>0</x:v>
      </x:c>
      <x:c r="CC15" s="117" t="n">
        <x:f>SUM('CF_1'!CC15,'CF_2'!CC15,'CF_3'!CC15)</x:f>
        <x:v>0</x:v>
      </x:c>
      <x:c r="CD15" s="117" t="n">
        <x:f>SUM('CF_1'!CD15,'CF_2'!CD15,'CF_3'!CD15)</x:f>
        <x:v>0</x:v>
      </x:c>
      <x:c r="CE15" s="117" t="n">
        <x:f>SUM('CF_1'!CE15,'CF_2'!CE15,'CF_3'!CE15)</x:f>
        <x:v>0</x:v>
      </x:c>
      <x:c r="CF15" s="117" t="n">
        <x:f>SUM('CF_1'!CF15,'CF_2'!CF15,'CF_3'!CF15)</x:f>
        <x:v>0</x:v>
      </x:c>
      <x:c r="CG15" s="117" t="n">
        <x:f>SUM('CF_1'!CG15,'CF_2'!CG15,'CF_3'!CG15)</x:f>
        <x:v>0</x:v>
      </x:c>
      <x:c r="CH15" s="117" t="n">
        <x:f>SUM('CF_1'!CH15,'CF_2'!CH15,'CF_3'!CH15)</x:f>
        <x:v>0</x:v>
      </x:c>
      <x:c r="CI15" s="117" t="n">
        <x:f>SUM('CF_1'!CI15,'CF_2'!CI15,'CF_3'!CI15)</x:f>
        <x:v>0</x:v>
      </x:c>
      <x:c r="CJ15" s="117" t="n">
        <x:f>SUM('CF_1'!CJ15,'CF_2'!CJ15,'CF_3'!CJ15)</x:f>
        <x:v>0</x:v>
      </x:c>
      <x:c r="CK15" s="117" t="n">
        <x:f>SUM('CF_1'!CK15,'CF_2'!CK15,'CF_3'!CK15)</x:f>
        <x:v>0</x:v>
      </x:c>
      <x:c r="CL15" s="117" t="n">
        <x:f>SUM('CF_1'!CL15,'CF_2'!CL15,'CF_3'!CL15)</x:f>
        <x:v>0</x:v>
      </x:c>
      <x:c r="CM15" s="117" t="n">
        <x:f>SUM('CF_1'!CM15,'CF_2'!CM15,'CF_3'!CM15)</x:f>
        <x:v>0</x:v>
      </x:c>
      <x:c r="CN15" s="117" t="n">
        <x:f>SUM('CF_1'!CN15,'CF_2'!CN15,'CF_3'!CN15)</x:f>
        <x:v>0</x:v>
      </x:c>
      <x:c r="CO15" s="117" t="n">
        <x:f>SUM('CF_1'!CO15,'CF_2'!CO15,'CF_3'!CO15)</x:f>
        <x:v>0</x:v>
      </x:c>
      <x:c r="CP15" s="117" t="n">
        <x:f>SUM('CF_1'!CP15,'CF_2'!CP15,'CF_3'!CP15)</x:f>
        <x:v>0</x:v>
      </x:c>
      <x:c r="CQ15" s="117" t="n">
        <x:f>SUM('CF_1'!CQ15,'CF_2'!CQ15,'CF_3'!CQ15)</x:f>
        <x:v>0</x:v>
      </x:c>
      <x:c r="CR15" s="117" t="n">
        <x:f>SUM('CF_1'!CR15,'CF_2'!CR15,'CF_3'!CR15)</x:f>
        <x:v>0</x:v>
      </x:c>
      <x:c r="CS15" s="117" t="n">
        <x:f>SUM('CF_1'!CS15,'CF_2'!CS15,'CF_3'!CS15)</x:f>
        <x:v>0</x:v>
      </x:c>
      <x:c r="CT15" s="117" t="n">
        <x:f>SUM('CF_1'!CT15,'CF_2'!CT15,'CF_3'!CT15)</x:f>
        <x:v>0</x:v>
      </x:c>
      <x:c r="CU15" s="117" t="n">
        <x:f>SUM('CF_1'!CU15,'CF_2'!CU15,'CF_3'!CU15)</x:f>
        <x:v>0</x:v>
      </x:c>
      <x:c r="CV15" s="117" t="n">
        <x:f>SUM('CF_1'!CV15,'CF_2'!CV15,'CF_3'!CV15)</x:f>
        <x:v>0</x:v>
      </x:c>
      <x:c r="CW15" s="117" t="n">
        <x:f>SUM('CF_1'!CW15,'CF_2'!CW15,'CF_3'!CW15)</x:f>
        <x:v>0</x:v>
      </x:c>
      <x:c r="CX15" s="117" t="n">
        <x:f>SUM('CF_1'!CX15,'CF_2'!CX15,'CF_3'!CX15)</x:f>
        <x:v>0</x:v>
      </x:c>
      <x:c r="CY15" s="117" t="n">
        <x:f>SUM('CF_1'!CY15,'CF_2'!CY15,'CF_3'!CY15)</x:f>
        <x:v>0</x:v>
      </x:c>
      <x:c r="CZ15" s="117" t="n">
        <x:f>SUM('CF_1'!CZ15,'CF_2'!CZ15,'CF_3'!CZ15)</x:f>
        <x:v>0</x:v>
      </x:c>
      <x:c r="DA15" s="117" t="n">
        <x:f>SUM('CF_1'!DA15,'CF_2'!DA15,'CF_3'!DA15)</x:f>
        <x:v>0</x:v>
      </x:c>
      <x:c r="DB15" s="117" t="n">
        <x:f>SUM('CF_1'!DB15,'CF_2'!DB15,'CF_3'!DB15)</x:f>
        <x:v>0</x:v>
      </x:c>
      <x:c r="DC15" s="117" t="n">
        <x:f>SUM('CF_1'!DC15,'CF_2'!DC15,'CF_3'!DC15)</x:f>
        <x:v>0</x:v>
      </x:c>
      <x:c r="DD15" s="117" t="n">
        <x:f>SUM('CF_1'!DD15,'CF_2'!DD15,'CF_3'!DD15)</x:f>
        <x:v>0</x:v>
      </x:c>
      <x:c r="DE15" s="117" t="n">
        <x:f>SUM('CF_1'!DE15,'CF_2'!DE15,'CF_3'!DE15)</x:f>
        <x:v>0</x:v>
      </x:c>
      <x:c r="DF15" s="117" t="n">
        <x:f>SUM('CF_1'!DF15,'CF_2'!DF15,'CF_3'!DF15)</x:f>
        <x:v>0</x:v>
      </x:c>
      <x:c r="DG15" s="117" t="n">
        <x:f>SUM('CF_1'!DG15,'CF_2'!DG15,'CF_3'!DG15)</x:f>
        <x:v>0</x:v>
      </x:c>
      <x:c r="DH15" s="117" t="n">
        <x:f>SUM('CF_1'!DH15,'CF_2'!DH15,'CF_3'!DH15)</x:f>
        <x:v>0</x:v>
      </x:c>
      <x:c r="DI15" s="117" t="n">
        <x:f>SUM('CF_1'!DI15,'CF_2'!DI15,'CF_3'!DI15)</x:f>
        <x:v>0</x:v>
      </x:c>
      <x:c r="DJ15" s="117" t="n">
        <x:f>SUM('CF_1'!DJ15,'CF_2'!DJ15,'CF_3'!DJ15)</x:f>
        <x:v>0</x:v>
      </x:c>
      <x:c r="DK15" s="117" t="n">
        <x:f>SUM('CF_1'!DK15,'CF_2'!DK15,'CF_3'!DK15)</x:f>
        <x:v>0</x:v>
      </x:c>
      <x:c r="DL15" s="117" t="n">
        <x:f>SUM('CF_1'!DL15,'CF_2'!DL15,'CF_3'!DL15)</x:f>
        <x:v>0</x:v>
      </x:c>
      <x:c r="DM15" s="117" t="n">
        <x:f>SUM('CF_1'!DM15,'CF_2'!DM15,'CF_3'!DM15)</x:f>
        <x:v>0</x:v>
      </x:c>
      <x:c r="DN15" s="117" t="n">
        <x:f>SUM('CF_1'!DN15,'CF_2'!DN15,'CF_3'!DN15)</x:f>
        <x:v>0</x:v>
      </x:c>
      <x:c r="DO15" s="117" t="n">
        <x:f>SUM('CF_1'!DO15,'CF_2'!DO15,'CF_3'!DO15)</x:f>
        <x:v>0</x:v>
      </x:c>
      <x:c r="DP15" s="117" t="n">
        <x:f>SUM('CF_1'!DP15,'CF_2'!DP15,'CF_3'!DP15)</x:f>
        <x:v>0</x:v>
      </x:c>
      <x:c r="DQ15" s="117" t="n">
        <x:f>SUM('CF_1'!DQ15,'CF_2'!DQ15,'CF_3'!DQ15)</x:f>
        <x:v>0</x:v>
      </x:c>
      <x:c r="DR15" s="117" t="n">
        <x:f>SUM('CF_1'!DR15,'CF_2'!DR15,'CF_3'!DR15)</x:f>
        <x:v>0</x:v>
      </x:c>
      <x:c r="DS15" s="117" t="n">
        <x:f>SUM('CF_1'!DS15,'CF_2'!DS15,'CF_3'!DS15)</x:f>
        <x:v>0</x:v>
      </x:c>
    </x:row>
    <x:row r="16">
      <x:c r="A16" s="113" t="str">
        <x:v>Долг всего</x:v>
      </x:c>
      <x:c r="B16" s="113" t="n">
        <x:f>MAX(D16:DS16)</x:f>
        <x:v>10280</x:v>
      </x:c>
      <x:c r="C16" s="113" t="str">
        <x:v>млн ₽</x:v>
      </x:c>
      <x:c r="D16" s="120" t="n">
        <x:f>SUM(D9,D14)</x:f>
        <x:v>707.9807307539683</x:v>
      </x:c>
      <x:c r="E16" s="120" t="n">
        <x:f>SUM(E9,E14)</x:f>
        <x:v>727.6382270325246</x:v>
      </x:c>
      <x:c r="F16" s="120" t="n">
        <x:f>SUM(F9,F14)</x:f>
        <x:v>747.3030510819349</x:v>
      </x:c>
      <x:c r="G16" s="120" t="n">
        <x:f>SUM(G9,G14)</x:f>
        <x:v>766.9724318151318</x:v>
      </x:c>
      <x:c r="H16" s="120" t="n">
        <x:f>SUM(H9,H14)</x:f>
        <x:v>786.643598145048</x:v>
      </x:c>
      <x:c r="I16" s="120" t="n">
        <x:f>SUM(I9,I14)</x:f>
        <x:v>806.3137789846162</x:v>
      </x:c>
      <x:c r="J16" s="120" t="n">
        <x:f>SUM(J9,J14)</x:f>
        <x:v>825.980203246769</x:v>
      </x:c>
      <x:c r="K16" s="120" t="n">
        <x:f>SUM(K9,K14)</x:f>
        <x:v>845.640099844439</x:v>
      </x:c>
      <x:c r="L16" s="120" t="n">
        <x:f>SUM(L9,L14)</x:f>
        <x:v>865.2906976905589</x:v>
      </x:c>
      <x:c r="M16" s="120" t="n">
        <x:f>SUM(M9,M14)</x:f>
        <x:v>884.9292256980614</x:v>
      </x:c>
      <x:c r="N16" s="120" t="n">
        <x:f>SUM(N9,N14)</x:f>
        <x:v>904.5529127798791</x:v>
      </x:c>
      <x:c r="O16" s="120" t="n">
        <x:f>SUM(O9,O14)</x:f>
        <x:v>924.1589878489447</x:v>
      </x:c>
      <x:c r="P16" s="120" t="n">
        <x:f>SUM(P9,P14)</x:f>
        <x:v>969.7116798181906</x:v>
      </x:c>
      <x:c r="Q16" s="120" t="n">
        <x:f>SUM(Q9,Q14)</x:f>
        <x:v>1015.6153948574943</x:v>
      </x:c>
      <x:c r="R16" s="120" t="n">
        <x:f>SUM(R9,R14)</x:f>
        <x:v>1061.8583455603437</x:v>
      </x:c>
      <x:c r="S16" s="120" t="n">
        <x:f>SUM(S9,S14)</x:f>
        <x:v>1108.4287445202272</x:v>
      </x:c>
      <x:c r="T16" s="120" t="n">
        <x:f>SUM(T9,T14)</x:f>
        <x:v>1155.3148043306328</x:v>
      </x:c>
      <x:c r="U16" s="120" t="n">
        <x:f>SUM(U9,U14)</x:f>
        <x:v>3050.711737585049</x:v>
      </x:c>
      <x:c r="V16" s="120" t="n">
        <x:f>SUM(V9,V14)</x:f>
        <x:v>3269.5462936713507</x:v>
      </x:c>
      <x:c r="W16" s="120" t="n">
        <x:f>SUM(W9,W14)</x:f>
        <x:v>3450.337019925994</x:v>
      </x:c>
      <x:c r="X16" s="120" t="n">
        <x:f>SUM(X9,X14)</x:f>
        <x:v>3635.480758215615</x:v>
      </x:c>
      <x:c r="Y16" s="120" t="n">
        <x:f>SUM(Y9,Y14)</x:f>
        <x:v>3821.2652708742603</x:v>
      </x:c>
      <x:c r="Z16" s="120" t="n">
        <x:f>SUM(Z9,Z14)</x:f>
        <x:v>4160.834185899852</x:v>
      </x:c>
      <x:c r="AA16" s="120" t="n">
        <x:f>SUM(AA9,AA14)</x:f>
        <x:v>4501.076511549435</x:v>
      </x:c>
      <x:c r="AB16" s="120" t="n">
        <x:f>SUM(AB9,AB14)</x:f>
        <x:v>4837.788254920779</x:v>
      </x:c>
      <x:c r="AC16" s="120" t="n">
        <x:f>SUM(AC9,AC14)</x:f>
        <x:v>5179.428636597298</x:v>
      </x:c>
      <x:c r="AD16" s="120" t="n">
        <x:f>SUM(AD9,AD14)</x:f>
        <x:v>5521.794526284079</x:v>
      </x:c>
      <x:c r="AE16" s="120" t="n">
        <x:f>SUM(AE9,AE14)</x:f>
        <x:v>5864.9041705075815</x:v>
      </x:c>
      <x:c r="AF16" s="120" t="n">
        <x:f>SUM(AF9,AF14)</x:f>
        <x:v>6204.114430769571</x:v>
      </x:c>
      <x:c r="AG16" s="120" t="n">
        <x:f>SUM(AG9,AG14)</x:f>
        <x:v>6543.989081488248</x:v>
      </x:c>
      <x:c r="AH16" s="120" t="n">
        <x:f>SUM(AH9,AH14)</x:f>
        <x:v>6884.5448320835985</x:v>
      </x:c>
      <x:c r="AI16" s="120" t="n">
        <x:f>SUM(AI9,AI14)</x:f>
        <x:v>7225.79881221752</x:v>
      </x:c>
      <x:c r="AJ16" s="120" t="n">
        <x:f>SUM(AJ9,AJ14)</x:f>
        <x:v>7572.917398620105</x:v>
      </x:c>
      <x:c r="AK16" s="120" t="n">
        <x:f>SUM(AK9,AK14)</x:f>
        <x:v>7920.899269881813</x:v>
      </x:c>
      <x:c r="AL16" s="120" t="n">
        <x:f>SUM(AL9,AL14)</x:f>
        <x:v>8269.76613761685</x:v>
      </x:c>
      <x:c r="AM16" s="120" t="n">
        <x:f>SUM(AM9,AM14)</x:f>
        <x:v>8619.540259486523</x:v>
      </x:c>
      <x:c r="AN16" s="120" t="n">
        <x:f>SUM(AN9,AN14)</x:f>
        <x:v>8964.557795618637</x:v>
      </x:c>
      <x:c r="AO16" s="120" t="n">
        <x:f>SUM(AO9,AO14)</x:f>
        <x:v>9214.13044359233</x:v>
      </x:c>
      <x:c r="AP16" s="120" t="n">
        <x:f>SUM(AP9,AP14)</x:f>
        <x:v>9464.680534033621</x:v>
      </x:c>
      <x:c r="AQ16" s="120" t="n">
        <x:f>SUM(AQ9,AQ14)</x:f>
        <x:v>9768.16664962057</x:v>
      </x:c>
      <x:c r="AR16" s="120" t="n">
        <x:f>SUM(AR9,AR14)</x:f>
        <x:v>10066.399310486775</x:v>
      </x:c>
      <x:c r="AS16" s="120" t="n">
        <x:f>SUM(AS9,AS14)</x:f>
        <x:v>10280</x:v>
      </x:c>
      <x:c r="AT16" s="120" t="n">
        <x:f>SUM(AT9,AT14)</x:f>
        <x:v>0</x:v>
      </x:c>
      <x:c r="AU16" s="120" t="n">
        <x:f>SUM(AU9,AU14)</x:f>
        <x:v>0</x:v>
      </x:c>
      <x:c r="AV16" s="120" t="n">
        <x:f>SUM(AV9,AV14)</x:f>
        <x:v>0</x:v>
      </x:c>
      <x:c r="AW16" s="120" t="n">
        <x:f>SUM(AW9,AW14)</x:f>
        <x:v>0</x:v>
      </x:c>
      <x:c r="AX16" s="120" t="n">
        <x:f>SUM(AX9,AX14)</x:f>
        <x:v>0</x:v>
      </x:c>
      <x:c r="AY16" s="120" t="n">
        <x:f>SUM(AY9,AY14)</x:f>
        <x:v>0</x:v>
      </x:c>
      <x:c r="AZ16" s="120" t="n">
        <x:f>SUM(AZ9,AZ14)</x:f>
        <x:v>0</x:v>
      </x:c>
      <x:c r="BA16" s="120" t="n">
        <x:f>SUM(BA9,BA14)</x:f>
        <x:v>0</x:v>
      </x:c>
      <x:c r="BB16" s="120" t="n">
        <x:f>SUM(BB9,BB14)</x:f>
        <x:v>0</x:v>
      </x:c>
      <x:c r="BC16" s="120" t="n">
        <x:f>SUM(BC9,BC14)</x:f>
        <x:v>0</x:v>
      </x:c>
      <x:c r="BD16" s="120" t="n">
        <x:f>SUM(BD9,BD14)</x:f>
        <x:v>0</x:v>
      </x:c>
      <x:c r="BE16" s="120" t="n">
        <x:f>SUM(BE9,BE14)</x:f>
        <x:v>0</x:v>
      </x:c>
      <x:c r="BF16" s="120" t="n">
        <x:f>SUM(BF9,BF14)</x:f>
        <x:v>0</x:v>
      </x:c>
      <x:c r="BG16" s="120" t="n">
        <x:f>SUM(BG9,BG14)</x:f>
        <x:v>0</x:v>
      </x:c>
      <x:c r="BH16" s="120" t="n">
        <x:f>SUM(BH9,BH14)</x:f>
        <x:v>0</x:v>
      </x:c>
      <x:c r="BI16" s="120" t="n">
        <x:f>SUM(BI9,BI14)</x:f>
        <x:v>0</x:v>
      </x:c>
      <x:c r="BJ16" s="120" t="n">
        <x:f>SUM(BJ9,BJ14)</x:f>
        <x:v>0</x:v>
      </x:c>
      <x:c r="BK16" s="120" t="n">
        <x:f>SUM(BK9,BK14)</x:f>
        <x:v>0</x:v>
      </x:c>
      <x:c r="BL16" s="120" t="n">
        <x:f>SUM(BL9,BL14)</x:f>
        <x:v>0</x:v>
      </x:c>
      <x:c r="BM16" s="120" t="n">
        <x:f>SUM(BM9,BM14)</x:f>
        <x:v>0</x:v>
      </x:c>
      <x:c r="BN16" s="120" t="n">
        <x:f>SUM(BN9,BN14)</x:f>
        <x:v>0</x:v>
      </x:c>
      <x:c r="BO16" s="120" t="n">
        <x:f>SUM(BO9,BO14)</x:f>
        <x:v>0</x:v>
      </x:c>
      <x:c r="BP16" s="120" t="n">
        <x:f>SUM(BP9,BP14)</x:f>
        <x:v>0</x:v>
      </x:c>
      <x:c r="BQ16" s="120" t="n">
        <x:f>SUM(BQ9,BQ14)</x:f>
        <x:v>0</x:v>
      </x:c>
      <x:c r="BR16" s="120" t="n">
        <x:f>SUM(BR9,BR14)</x:f>
        <x:v>0</x:v>
      </x:c>
      <x:c r="BS16" s="120" t="n">
        <x:f>SUM(BS9,BS14)</x:f>
        <x:v>0</x:v>
      </x:c>
      <x:c r="BT16" s="120" t="n">
        <x:f>SUM(BT9,BT14)</x:f>
        <x:v>0</x:v>
      </x:c>
      <x:c r="BU16" s="120" t="n">
        <x:f>SUM(BU9,BU14)</x:f>
        <x:v>0</x:v>
      </x:c>
      <x:c r="BV16" s="120" t="n">
        <x:f>SUM(BV9,BV14)</x:f>
        <x:v>0</x:v>
      </x:c>
      <x:c r="BW16" s="120" t="n">
        <x:f>SUM(BW9,BW14)</x:f>
        <x:v>0</x:v>
      </x:c>
      <x:c r="BX16" s="120" t="n">
        <x:f>SUM(BX9,BX14)</x:f>
        <x:v>0</x:v>
      </x:c>
      <x:c r="BY16" s="120" t="n">
        <x:f>SUM(BY9,BY14)</x:f>
        <x:v>0</x:v>
      </x:c>
      <x:c r="BZ16" s="120" t="n">
        <x:f>SUM(BZ9,BZ14)</x:f>
        <x:v>0</x:v>
      </x:c>
      <x:c r="CA16" s="120" t="n">
        <x:f>SUM(CA9,CA14)</x:f>
        <x:v>0</x:v>
      </x:c>
      <x:c r="CB16" s="120" t="n">
        <x:f>SUM(CB9,CB14)</x:f>
        <x:v>0</x:v>
      </x:c>
      <x:c r="CC16" s="120" t="n">
        <x:f>SUM(CC9,CC14)</x:f>
        <x:v>0</x:v>
      </x:c>
      <x:c r="CD16" s="120" t="n">
        <x:f>SUM(CD9,CD14)</x:f>
        <x:v>0</x:v>
      </x:c>
      <x:c r="CE16" s="120" t="n">
        <x:f>SUM(CE9,CE14)</x:f>
        <x:v>0</x:v>
      </x:c>
      <x:c r="CF16" s="120" t="n">
        <x:f>SUM(CF9,CF14)</x:f>
        <x:v>0</x:v>
      </x:c>
      <x:c r="CG16" s="120" t="n">
        <x:f>SUM(CG9,CG14)</x:f>
        <x:v>0</x:v>
      </x:c>
      <x:c r="CH16" s="120" t="n">
        <x:f>SUM(CH9,CH14)</x:f>
        <x:v>0</x:v>
      </x:c>
      <x:c r="CI16" s="120" t="n">
        <x:f>SUM(CI9,CI14)</x:f>
        <x:v>0</x:v>
      </x:c>
      <x:c r="CJ16" s="120" t="n">
        <x:f>SUM(CJ9,CJ14)</x:f>
        <x:v>0</x:v>
      </x:c>
      <x:c r="CK16" s="120" t="n">
        <x:f>SUM(CK9,CK14)</x:f>
        <x:v>0</x:v>
      </x:c>
      <x:c r="CL16" s="120" t="n">
        <x:f>SUM(CL9,CL14)</x:f>
        <x:v>0</x:v>
      </x:c>
      <x:c r="CM16" s="120" t="n">
        <x:f>SUM(CM9,CM14)</x:f>
        <x:v>0</x:v>
      </x:c>
      <x:c r="CN16" s="120" t="n">
        <x:f>SUM(CN9,CN14)</x:f>
        <x:v>0</x:v>
      </x:c>
      <x:c r="CO16" s="120" t="n">
        <x:f>SUM(CO9,CO14)</x:f>
        <x:v>0</x:v>
      </x:c>
      <x:c r="CP16" s="120" t="n">
        <x:f>SUM(CP9,CP14)</x:f>
        <x:v>0</x:v>
      </x:c>
      <x:c r="CQ16" s="120" t="n">
        <x:f>SUM(CQ9,CQ14)</x:f>
        <x:v>0</x:v>
      </x:c>
      <x:c r="CR16" s="120" t="n">
        <x:f>SUM(CR9,CR14)</x:f>
        <x:v>0</x:v>
      </x:c>
      <x:c r="CS16" s="120" t="n">
        <x:f>SUM(CS9,CS14)</x:f>
        <x:v>0</x:v>
      </x:c>
      <x:c r="CT16" s="120" t="n">
        <x:f>SUM(CT9,CT14)</x:f>
        <x:v>0</x:v>
      </x:c>
      <x:c r="CU16" s="120" t="n">
        <x:f>SUM(CU9,CU14)</x:f>
        <x:v>0</x:v>
      </x:c>
      <x:c r="CV16" s="120" t="n">
        <x:f>SUM(CV9,CV14)</x:f>
        <x:v>0</x:v>
      </x:c>
      <x:c r="CW16" s="120" t="n">
        <x:f>SUM(CW9,CW14)</x:f>
        <x:v>0</x:v>
      </x:c>
      <x:c r="CX16" s="120" t="n">
        <x:f>SUM(CX9,CX14)</x:f>
        <x:v>0</x:v>
      </x:c>
      <x:c r="CY16" s="120" t="n">
        <x:f>SUM(CY9,CY14)</x:f>
        <x:v>0</x:v>
      </x:c>
      <x:c r="CZ16" s="120" t="n">
        <x:f>SUM(CZ9,CZ14)</x:f>
        <x:v>0</x:v>
      </x:c>
      <x:c r="DA16" s="120" t="n">
        <x:f>SUM(DA9,DA14)</x:f>
        <x:v>0</x:v>
      </x:c>
      <x:c r="DB16" s="120" t="n">
        <x:f>SUM(DB9,DB14)</x:f>
        <x:v>0</x:v>
      </x:c>
      <x:c r="DC16" s="120" t="n">
        <x:f>SUM(DC9,DC14)</x:f>
        <x:v>0</x:v>
      </x:c>
      <x:c r="DD16" s="120" t="n">
        <x:f>SUM(DD9,DD14)</x:f>
        <x:v>0</x:v>
      </x:c>
      <x:c r="DE16" s="120" t="n">
        <x:f>SUM(DE9,DE14)</x:f>
        <x:v>0</x:v>
      </x:c>
      <x:c r="DF16" s="120" t="n">
        <x:f>SUM(DF9,DF14)</x:f>
        <x:v>0</x:v>
      </x:c>
      <x:c r="DG16" s="120" t="n">
        <x:f>SUM(DG9,DG14)</x:f>
        <x:v>0</x:v>
      </x:c>
      <x:c r="DH16" s="120" t="n">
        <x:f>SUM(DH9,DH14)</x:f>
        <x:v>0</x:v>
      </x:c>
      <x:c r="DI16" s="120" t="n">
        <x:f>SUM(DI9,DI14)</x:f>
        <x:v>0</x:v>
      </x:c>
      <x:c r="DJ16" s="120" t="n">
        <x:f>SUM(DJ9,DJ14)</x:f>
        <x:v>0</x:v>
      </x:c>
      <x:c r="DK16" s="120" t="n">
        <x:f>SUM(DK9,DK14)</x:f>
        <x:v>0</x:v>
      </x:c>
      <x:c r="DL16" s="120" t="n">
        <x:f>SUM(DL9,DL14)</x:f>
        <x:v>0</x:v>
      </x:c>
      <x:c r="DM16" s="120" t="n">
        <x:f>SUM(DM9,DM14)</x:f>
        <x:v>0</x:v>
      </x:c>
      <x:c r="DN16" s="120" t="n">
        <x:f>SUM(DN9,DN14)</x:f>
        <x:v>0</x:v>
      </x:c>
      <x:c r="DO16" s="120" t="n">
        <x:f>SUM(DO9,DO14)</x:f>
        <x:v>0</x:v>
      </x:c>
      <x:c r="DP16" s="120" t="n">
        <x:f>SUM(DP9,DP14)</x:f>
        <x:v>0</x:v>
      </x:c>
      <x:c r="DQ16" s="120" t="n">
        <x:f>SUM(DQ9,DQ14)</x:f>
        <x:v>0</x:v>
      </x:c>
      <x:c r="DR16" s="120" t="n">
        <x:f>SUM(DR9,DR14)</x:f>
        <x:v>0</x:v>
      </x:c>
      <x:c r="DS16" s="120" t="n">
        <x:f>SUM(DS9,DS14)</x:f>
        <x:v>0</x:v>
      </x:c>
    </x:row>
    <x:row r="17">
      <x:c r="A17" t="str">
        <x:v>Покрытие эскроу</x:v>
      </x:c>
      <x:c r="B17" s="129" t="n">
        <x:f>MAX(D17:DS17)</x:f>
        <x:v>1.0232780198975209</x:v>
      </x:c>
      <x:c r="C17" t="str">
        <x:v>×</x:v>
      </x:c>
      <x:c r="D17" s="129" t="n">
        <x:f>IFERROR(D15/MAX(1,D14),0)</x:f>
        <x:v>0</x:v>
      </x:c>
      <x:c r="E17" s="129" t="n">
        <x:f>IFERROR(E15/MAX(1,E14),0)</x:f>
        <x:v>0</x:v>
      </x:c>
      <x:c r="F17" s="129" t="n">
        <x:f>IFERROR(F15/MAX(1,F14),0)</x:f>
        <x:v>0</x:v>
      </x:c>
      <x:c r="G17" s="129" t="n">
        <x:f>IFERROR(G15/MAX(1,G14),0)</x:f>
        <x:v>0</x:v>
      </x:c>
      <x:c r="H17" s="129" t="n">
        <x:f>IFERROR(H15/MAX(1,H14),0)</x:f>
        <x:v>0</x:v>
      </x:c>
      <x:c r="I17" s="129" t="n">
        <x:f>IFERROR(I15/MAX(1,I14),0)</x:f>
        <x:v>0</x:v>
      </x:c>
      <x:c r="J17" s="129" t="n">
        <x:f>IFERROR(J15/MAX(1,J14),0)</x:f>
        <x:v>0</x:v>
      </x:c>
      <x:c r="K17" s="129" t="n">
        <x:f>IFERROR(K15/MAX(1,K14),0)</x:f>
        <x:v>0</x:v>
      </x:c>
      <x:c r="L17" s="129" t="n">
        <x:f>IFERROR(L15/MAX(1,L14),0)</x:f>
        <x:v>0</x:v>
      </x:c>
      <x:c r="M17" s="129" t="n">
        <x:f>IFERROR(M15/MAX(1,M14),0)</x:f>
        <x:v>0</x:v>
      </x:c>
      <x:c r="N17" s="129" t="n">
        <x:f>IFERROR(N15/MAX(1,N14),0)</x:f>
        <x:v>0</x:v>
      </x:c>
      <x:c r="O17" s="129" t="n">
        <x:f>IFERROR(O15/MAX(1,O14),0)</x:f>
        <x:v>0</x:v>
      </x:c>
      <x:c r="P17" s="129" t="n">
        <x:f>IFERROR(P15/MAX(1,P14),0)</x:f>
        <x:v>0</x:v>
      </x:c>
      <x:c r="Q17" s="129" t="n">
        <x:f>IFERROR(Q15/MAX(1,Q14),0)</x:f>
        <x:v>0</x:v>
      </x:c>
      <x:c r="R17" s="129" t="n">
        <x:f>IFERROR(R15/MAX(1,R14),0)</x:f>
        <x:v>0</x:v>
      </x:c>
      <x:c r="S17" s="129" t="n">
        <x:f>IFERROR(S15/MAX(1,S14),0)</x:f>
        <x:v>0</x:v>
      </x:c>
      <x:c r="T17" s="129" t="n">
        <x:f>IFERROR(T15/MAX(1,T14),0)</x:f>
        <x:v>0</x:v>
      </x:c>
      <x:c r="U17" s="129" t="n">
        <x:f>IFERROR(U15/MAX(1,U14),0)</x:f>
        <x:v>0</x:v>
      </x:c>
      <x:c r="V17" s="129" t="n">
        <x:f>IFERROR(V15/MAX(1,V14),0)</x:f>
        <x:v>0.09003797210048314</x:v>
      </x:c>
      <x:c r="W17" s="129" t="n">
        <x:f>IFERROR(W15/MAX(1,W14),0)</x:f>
        <x:v>0.17278612870153523</x:v>
      </x:c>
      <x:c r="X17" s="129" t="n">
        <x:f>IFERROR(X15/MAX(1,X14),0)</x:f>
        <x:v>0.2641035353716526</x:v>
      </x:c>
      <x:c r="Y17" s="129" t="n">
        <x:f>IFERROR(Y15/MAX(1,Y14),0)</x:f>
        <x:v>0.3489080424151156</x:v>
      </x:c>
      <x:c r="Z17" s="129" t="n">
        <x:f>IFERROR(Z15/MAX(1,Z14),0)</x:f>
        <x:v>0.41236471182812623</x:v>
      </x:c>
      <x:c r="AA17" s="129" t="n">
        <x:f>IFERROR(AA15/MAX(1,AA14),0)</x:f>
        <x:v>0.46831293385468487</x:v>
      </x:c>
      <x:c r="AB17" s="129" t="n">
        <x:f>IFERROR(AB15/MAX(1,AB14),0)</x:f>
        <x:v>0.5063484560413087</x:v>
      </x:c>
      <x:c r="AC17" s="129" t="n">
        <x:f>IFERROR(AC15/MAX(1,AC14),0)</x:f>
        <x:v>0.5525146111415671</x:v>
      </x:c>
      <x:c r="AD17" s="129" t="n">
        <x:f>IFERROR(AD15/MAX(1,AD14),0)</x:f>
        <x:v>0.5947663878382139</x:v>
      </x:c>
      <x:c r="AE17" s="129" t="n">
        <x:f>IFERROR(AE15/MAX(1,AE14),0)</x:f>
        <x:v>0.6338160909744478</x:v>
      </x:c>
      <x:c r="AF17" s="129" t="n">
        <x:f>IFERROR(AF15/MAX(1,AF14),0)</x:f>
        <x:v>0.6599907281411183</x:v>
      </x:c>
      <x:c r="AG17" s="129" t="n">
        <x:f>IFERROR(AG15/MAX(1,AG14),0)</x:f>
        <x:v>0.6848325390538695</x:v>
      </x:c>
      <x:c r="AH17" s="129" t="n">
        <x:f>IFERROR(AH15/MAX(1,AH14),0)</x:f>
        <x:v>0.7085646811831693</x:v>
      </x:c>
      <x:c r="AI17" s="129" t="n">
        <x:f>IFERROR(AI15/MAX(1,AI14),0)</x:f>
        <x:v>0.7313694741424382</x:v>
      </x:c>
      <x:c r="AJ17" s="129" t="n">
        <x:f>IFERROR(AJ15/MAX(1,AJ14),0)</x:f>
        <x:v>0.7625980618340367</x:v>
      </x:c>
      <x:c r="AK17" s="129" t="n">
        <x:f>IFERROR(AK15/MAX(1,AK14),0)</x:f>
        <x:v>0.7925600377722769</x:v>
      </x:c>
      <x:c r="AL17" s="129" t="n">
        <x:f>IFERROR(AL15/MAX(1,AL14),0)</x:f>
        <x:v>0.8214412611138712</x:v>
      </x:c>
      <x:c r="AM17" s="129" t="n">
        <x:f>IFERROR(AM15/MAX(1,AM14),0)</x:f>
        <x:v>0.8493987589613841</x:v>
      </x:c>
      <x:c r="AN17" s="129" t="n">
        <x:f>IFERROR(AN15/MAX(1,AN14),0)</x:f>
        <x:v>0.8680601347934129</x:v>
      </x:c>
      <x:c r="AO17" s="129" t="n">
        <x:f>IFERROR(AO15/MAX(1,AO14),0)</x:f>
        <x:v>0.9048040516166683</x:v>
      </x:c>
      <x:c r="AP17" s="129" t="n">
        <x:f>IFERROR(AP15/MAX(1,AP14),0)</x:f>
        <x:v>0.94098826667664</x:v>
      </x:c>
      <x:c r="AQ17" s="129" t="n">
        <x:f>IFERROR(AQ15/MAX(1,AQ14),0)</x:f>
        <x:v>0.9714861640445721</x:v>
      </x:c>
      <x:c r="AR17" s="129" t="n">
        <x:f>IFERROR(AR15/MAX(1,AR14),0)</x:f>
        <x:v>0.9932126179853096</x:v>
      </x:c>
      <x:c r="AS17" s="129" t="n">
        <x:f>IFERROR(AS15/MAX(1,AS14),0)</x:f>
        <x:v>1.0232780198975209</x:v>
      </x:c>
      <x:c r="AT17" s="129" t="n">
        <x:f>IFERROR(AT15/MAX(1,AT14),0)</x:f>
        <x:v>0</x:v>
      </x:c>
      <x:c r="AU17" s="129" t="n">
        <x:f>IFERROR(AU15/MAX(1,AU14),0)</x:f>
        <x:v>0</x:v>
      </x:c>
      <x:c r="AV17" s="129" t="n">
        <x:f>IFERROR(AV15/MAX(1,AV14),0)</x:f>
        <x:v>0</x:v>
      </x:c>
      <x:c r="AW17" s="129" t="n">
        <x:f>IFERROR(AW15/MAX(1,AW14),0)</x:f>
        <x:v>0</x:v>
      </x:c>
      <x:c r="AX17" s="129" t="n">
        <x:f>IFERROR(AX15/MAX(1,AX14),0)</x:f>
        <x:v>0</x:v>
      </x:c>
      <x:c r="AY17" s="129" t="n">
        <x:f>IFERROR(AY15/MAX(1,AY14),0)</x:f>
        <x:v>0</x:v>
      </x:c>
      <x:c r="AZ17" s="129" t="n">
        <x:f>IFERROR(AZ15/MAX(1,AZ14),0)</x:f>
        <x:v>0</x:v>
      </x:c>
      <x:c r="BA17" s="129" t="n">
        <x:f>IFERROR(BA15/MAX(1,BA14),0)</x:f>
        <x:v>0</x:v>
      </x:c>
      <x:c r="BB17" s="129" t="n">
        <x:f>IFERROR(BB15/MAX(1,BB14),0)</x:f>
        <x:v>0</x:v>
      </x:c>
      <x:c r="BC17" s="129" t="n">
        <x:f>IFERROR(BC15/MAX(1,BC14),0)</x:f>
        <x:v>0</x:v>
      </x:c>
      <x:c r="BD17" s="129" t="n">
        <x:f>IFERROR(BD15/MAX(1,BD14),0)</x:f>
        <x:v>0</x:v>
      </x:c>
      <x:c r="BE17" s="129" t="n">
        <x:f>IFERROR(BE15/MAX(1,BE14),0)</x:f>
        <x:v>0</x:v>
      </x:c>
      <x:c r="BF17" s="129" t="n">
        <x:f>IFERROR(BF15/MAX(1,BF14),0)</x:f>
        <x:v>0</x:v>
      </x:c>
      <x:c r="BG17" s="129" t="n">
        <x:f>IFERROR(BG15/MAX(1,BG14),0)</x:f>
        <x:v>0</x:v>
      </x:c>
      <x:c r="BH17" s="129" t="n">
        <x:f>IFERROR(BH15/MAX(1,BH14),0)</x:f>
        <x:v>0</x:v>
      </x:c>
      <x:c r="BI17" s="129" t="n">
        <x:f>IFERROR(BI15/MAX(1,BI14),0)</x:f>
        <x:v>0</x:v>
      </x:c>
      <x:c r="BJ17" s="129" t="n">
        <x:f>IFERROR(BJ15/MAX(1,BJ14),0)</x:f>
        <x:v>0</x:v>
      </x:c>
      <x:c r="BK17" s="129" t="n">
        <x:f>IFERROR(BK15/MAX(1,BK14),0)</x:f>
        <x:v>0</x:v>
      </x:c>
      <x:c r="BL17" s="129" t="n">
        <x:f>IFERROR(BL15/MAX(1,BL14),0)</x:f>
        <x:v>0</x:v>
      </x:c>
      <x:c r="BM17" s="129" t="n">
        <x:f>IFERROR(BM15/MAX(1,BM14),0)</x:f>
        <x:v>0</x:v>
      </x:c>
      <x:c r="BN17" s="129" t="n">
        <x:f>IFERROR(BN15/MAX(1,BN14),0)</x:f>
        <x:v>0</x:v>
      </x:c>
      <x:c r="BO17" s="129" t="n">
        <x:f>IFERROR(BO15/MAX(1,BO14),0)</x:f>
        <x:v>0</x:v>
      </x:c>
      <x:c r="BP17" s="129" t="n">
        <x:f>IFERROR(BP15/MAX(1,BP14),0)</x:f>
        <x:v>0</x:v>
      </x:c>
      <x:c r="BQ17" s="129" t="n">
        <x:f>IFERROR(BQ15/MAX(1,BQ14),0)</x:f>
        <x:v>0</x:v>
      </x:c>
      <x:c r="BR17" s="129" t="n">
        <x:f>IFERROR(BR15/MAX(1,BR14),0)</x:f>
        <x:v>0</x:v>
      </x:c>
      <x:c r="BS17" s="129" t="n">
        <x:f>IFERROR(BS15/MAX(1,BS14),0)</x:f>
        <x:v>0</x:v>
      </x:c>
      <x:c r="BT17" s="129" t="n">
        <x:f>IFERROR(BT15/MAX(1,BT14),0)</x:f>
        <x:v>0</x:v>
      </x:c>
      <x:c r="BU17" s="129" t="n">
        <x:f>IFERROR(BU15/MAX(1,BU14),0)</x:f>
        <x:v>0</x:v>
      </x:c>
      <x:c r="BV17" s="129" t="n">
        <x:f>IFERROR(BV15/MAX(1,BV14),0)</x:f>
        <x:v>0</x:v>
      </x:c>
      <x:c r="BW17" s="129" t="n">
        <x:f>IFERROR(BW15/MAX(1,BW14),0)</x:f>
        <x:v>0</x:v>
      </x:c>
      <x:c r="BX17" s="129" t="n">
        <x:f>IFERROR(BX15/MAX(1,BX14),0)</x:f>
        <x:v>0</x:v>
      </x:c>
      <x:c r="BY17" s="129" t="n">
        <x:f>IFERROR(BY15/MAX(1,BY14),0)</x:f>
        <x:v>0</x:v>
      </x:c>
      <x:c r="BZ17" s="129" t="n">
        <x:f>IFERROR(BZ15/MAX(1,BZ14),0)</x:f>
        <x:v>0</x:v>
      </x:c>
      <x:c r="CA17" s="129" t="n">
        <x:f>IFERROR(CA15/MAX(1,CA14),0)</x:f>
        <x:v>0</x:v>
      </x:c>
      <x:c r="CB17" s="129" t="n">
        <x:f>IFERROR(CB15/MAX(1,CB14),0)</x:f>
        <x:v>0</x:v>
      </x:c>
      <x:c r="CC17" s="129" t="n">
        <x:f>IFERROR(CC15/MAX(1,CC14),0)</x:f>
        <x:v>0</x:v>
      </x:c>
      <x:c r="CD17" s="129" t="n">
        <x:f>IFERROR(CD15/MAX(1,CD14),0)</x:f>
        <x:v>0</x:v>
      </x:c>
      <x:c r="CE17" s="129" t="n">
        <x:f>IFERROR(CE15/MAX(1,CE14),0)</x:f>
        <x:v>0</x:v>
      </x:c>
      <x:c r="CF17" s="129" t="n">
        <x:f>IFERROR(CF15/MAX(1,CF14),0)</x:f>
        <x:v>0</x:v>
      </x:c>
      <x:c r="CG17" s="129" t="n">
        <x:f>IFERROR(CG15/MAX(1,CG14),0)</x:f>
        <x:v>0</x:v>
      </x:c>
      <x:c r="CH17" s="129" t="n">
        <x:f>IFERROR(CH15/MAX(1,CH14),0)</x:f>
        <x:v>0</x:v>
      </x:c>
      <x:c r="CI17" s="129" t="n">
        <x:f>IFERROR(CI15/MAX(1,CI14),0)</x:f>
        <x:v>0</x:v>
      </x:c>
      <x:c r="CJ17" s="129" t="n">
        <x:f>IFERROR(CJ15/MAX(1,CJ14),0)</x:f>
        <x:v>0</x:v>
      </x:c>
      <x:c r="CK17" s="129" t="n">
        <x:f>IFERROR(CK15/MAX(1,CK14),0)</x:f>
        <x:v>0</x:v>
      </x:c>
      <x:c r="CL17" s="129" t="n">
        <x:f>IFERROR(CL15/MAX(1,CL14),0)</x:f>
        <x:v>0</x:v>
      </x:c>
      <x:c r="CM17" s="129" t="n">
        <x:f>IFERROR(CM15/MAX(1,CM14),0)</x:f>
        <x:v>0</x:v>
      </x:c>
      <x:c r="CN17" s="129" t="n">
        <x:f>IFERROR(CN15/MAX(1,CN14),0)</x:f>
        <x:v>0</x:v>
      </x:c>
      <x:c r="CO17" s="129" t="n">
        <x:f>IFERROR(CO15/MAX(1,CO14),0)</x:f>
        <x:v>0</x:v>
      </x:c>
      <x:c r="CP17" s="129" t="n">
        <x:f>IFERROR(CP15/MAX(1,CP14),0)</x:f>
        <x:v>0</x:v>
      </x:c>
      <x:c r="CQ17" s="129" t="n">
        <x:f>IFERROR(CQ15/MAX(1,CQ14),0)</x:f>
        <x:v>0</x:v>
      </x:c>
      <x:c r="CR17" s="129" t="n">
        <x:f>IFERROR(CR15/MAX(1,CR14),0)</x:f>
        <x:v>0</x:v>
      </x:c>
      <x:c r="CS17" s="129" t="n">
        <x:f>IFERROR(CS15/MAX(1,CS14),0)</x:f>
        <x:v>0</x:v>
      </x:c>
      <x:c r="CT17" s="129" t="n">
        <x:f>IFERROR(CT15/MAX(1,CT14),0)</x:f>
        <x:v>0</x:v>
      </x:c>
      <x:c r="CU17" s="129" t="n">
        <x:f>IFERROR(CU15/MAX(1,CU14),0)</x:f>
        <x:v>0</x:v>
      </x:c>
      <x:c r="CV17" s="129" t="n">
        <x:f>IFERROR(CV15/MAX(1,CV14),0)</x:f>
        <x:v>0</x:v>
      </x:c>
      <x:c r="CW17" s="129" t="n">
        <x:f>IFERROR(CW15/MAX(1,CW14),0)</x:f>
        <x:v>0</x:v>
      </x:c>
      <x:c r="CX17" s="129" t="n">
        <x:f>IFERROR(CX15/MAX(1,CX14),0)</x:f>
        <x:v>0</x:v>
      </x:c>
      <x:c r="CY17" s="129" t="n">
        <x:f>IFERROR(CY15/MAX(1,CY14),0)</x:f>
        <x:v>0</x:v>
      </x:c>
      <x:c r="CZ17" s="129" t="n">
        <x:f>IFERROR(CZ15/MAX(1,CZ14),0)</x:f>
        <x:v>0</x:v>
      </x:c>
      <x:c r="DA17" s="129" t="n">
        <x:f>IFERROR(DA15/MAX(1,DA14),0)</x:f>
        <x:v>0</x:v>
      </x:c>
      <x:c r="DB17" s="129" t="n">
        <x:f>IFERROR(DB15/MAX(1,DB14),0)</x:f>
        <x:v>0</x:v>
      </x:c>
      <x:c r="DC17" s="129" t="n">
        <x:f>IFERROR(DC15/MAX(1,DC14),0)</x:f>
        <x:v>0</x:v>
      </x:c>
      <x:c r="DD17" s="129" t="n">
        <x:f>IFERROR(DD15/MAX(1,DD14),0)</x:f>
        <x:v>0</x:v>
      </x:c>
      <x:c r="DE17" s="129" t="n">
        <x:f>IFERROR(DE15/MAX(1,DE14),0)</x:f>
        <x:v>0</x:v>
      </x:c>
      <x:c r="DF17" s="129" t="n">
        <x:f>IFERROR(DF15/MAX(1,DF14),0)</x:f>
        <x:v>0</x:v>
      </x:c>
      <x:c r="DG17" s="129" t="n">
        <x:f>IFERROR(DG15/MAX(1,DG14),0)</x:f>
        <x:v>0</x:v>
      </x:c>
      <x:c r="DH17" s="129" t="n">
        <x:f>IFERROR(DH15/MAX(1,DH14),0)</x:f>
        <x:v>0</x:v>
      </x:c>
      <x:c r="DI17" s="129" t="n">
        <x:f>IFERROR(DI15/MAX(1,DI14),0)</x:f>
        <x:v>0</x:v>
      </x:c>
      <x:c r="DJ17" s="129" t="n">
        <x:f>IFERROR(DJ15/MAX(1,DJ14),0)</x:f>
        <x:v>0</x:v>
      </x:c>
      <x:c r="DK17" s="129" t="n">
        <x:f>IFERROR(DK15/MAX(1,DK14),0)</x:f>
        <x:v>0</x:v>
      </x:c>
      <x:c r="DL17" s="129" t="n">
        <x:f>IFERROR(DL15/MAX(1,DL14),0)</x:f>
        <x:v>0</x:v>
      </x:c>
      <x:c r="DM17" s="129" t="n">
        <x:f>IFERROR(DM15/MAX(1,DM14),0)</x:f>
        <x:v>0</x:v>
      </x:c>
      <x:c r="DN17" s="129" t="n">
        <x:f>IFERROR(DN15/MAX(1,DN14),0)</x:f>
        <x:v>0</x:v>
      </x:c>
      <x:c r="DO17" s="129" t="n">
        <x:f>IFERROR(DO15/MAX(1,DO14),0)</x:f>
        <x:v>0</x:v>
      </x:c>
      <x:c r="DP17" s="129" t="n">
        <x:f>IFERROR(DP15/MAX(1,DP14),0)</x:f>
        <x:v>0</x:v>
      </x:c>
      <x:c r="DQ17" s="129" t="n">
        <x:f>IFERROR(DQ15/MAX(1,DQ14),0)</x:f>
        <x:v>0</x:v>
      </x:c>
      <x:c r="DR17" s="129" t="n">
        <x:f>IFERROR(DR15/MAX(1,DR14),0)</x:f>
        <x:v>0</x:v>
      </x:c>
      <x:c r="DS17" s="129" t="n">
        <x:f>IFERROR(DS15/MAX(1,DS14),0)</x:f>
        <x:v>0</x:v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  <x:v>Очередь 1</x:v>
      </x:c>
      <x:c r="B4" t="str">
        <x:f>'Вводные'!$B$88</x:f>
        <x:v>Да</x:v>
      </x:c>
      <x:c r="C4" s="92" t="n">
        <x:f>'CF_1'!B6</x:f>
        <x:v>46388</x:v>
      </x:c>
      <x:c r="D4" s="92" t="n">
        <x:f>'CF_1'!B7</x:f>
        <x:v>46935</x:v>
      </x:c>
      <x:c r="E4" s="92" t="n">
        <x:f>'CF_1'!B8</x:f>
        <x:v>47665</x:v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  <x:v>15150</x:v>
      </x:c>
      <x:c r="G4" s="107" t="n">
        <x:f>'CF_1'!B67</x:f>
        <x:v>12743.009317800295</x:v>
      </x:c>
      <x:c r="H4" s="107" t="n">
        <x:f>'CF_1'!B68</x:f>
        <x:v>9387.564534250003</x:v>
      </x:c>
      <x:c r="I4" s="107" t="n">
        <x:f>'CF_1'!B70</x:f>
        <x:v>2463.4341313042733</x:v>
      </x:c>
      <x:c r="J4" s="107" t="n">
        <x:f>'CF_1'!B74</x:f>
        <x:v>1390.51079831638</x:v>
      </x:c>
      <x:c r="K4" s="107" t="n">
        <x:f>'CF_1'!B76</x:f>
        <x:v>293.93083324697335</x:v>
      </x:c>
      <x:c r="L4" s="107" t="n">
        <x:f>'CF_1'!B77</x:f>
        <x:v>778.9924997409198</x:v>
      </x:c>
      <x:c r="M4" s="107" t="n">
        <x:f>'CF_1'!B78</x:f>
        <x:v>1097.3595290179696</x:v>
      </x:c>
      <x:c r="N4" s="35" t="n">
        <x:f>'CF_1'!B80</x:f>
        <x:v>0.625898287635366</x:v>
      </x:c>
      <x:c r="O4" s="107" t="n">
        <x:f>'CF_1'!B81</x:f>
        <x:v>258.32826669165195</x:v>
      </x:c>
      <x:c r="P4" s="129" t="n">
        <x:f>'CF_1'!B85</x:f>
        <x:v>1.1405967462060769</x:v>
      </x:c>
    </x:row>
    <x:row r="5">
      <x:c r="A5" t="str">
        <x:f>'Вводные'!$C$89</x:f>
        <x:v>Очередь 2</x:v>
      </x:c>
      <x:c r="B5" t="str">
        <x:f>'Вводные'!$B$89</x:f>
        <x:v>Нет</x:v>
      </x:c>
      <x:c r="C5" s="92" t="n">
        <x:f>'CF_2'!B6</x:f>
        <x:v>47119</x:v>
      </x:c>
      <x:c r="D5" s="92" t="n">
        <x:f>'CF_2'!B7</x:f>
        <x:v>47665</x:v>
      </x:c>
      <x:c r="E5" s="92" t="n">
        <x:f>'CF_2'!B8</x:f>
        <x:v>48396</x:v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  <x:v>0</x:v>
      </x:c>
      <x:c r="G5" s="107" t="n">
        <x:f>'CF_2'!B67</x:f>
        <x:v>0</x:v>
      </x:c>
      <x:c r="H5" s="107" t="n">
        <x:f>'CF_2'!B68</x:f>
        <x:v>0</x:v>
      </x:c>
      <x:c r="I5" s="107" t="n">
        <x:f>'CF_2'!B70</x:f>
        <x:v>0</x:v>
      </x:c>
      <x:c r="J5" s="107" t="n">
        <x:f>'CF_2'!B74</x:f>
        <x:v>0</x:v>
      </x:c>
      <x:c r="K5" s="107" t="n">
        <x:f>'CF_2'!B76</x:f>
        <x:v>0</x:v>
      </x:c>
      <x:c r="L5" s="107" t="n">
        <x:f>'CF_2'!B77</x:f>
        <x:v>0</x:v>
      </x:c>
      <x:c r="M5" s="107" t="n">
        <x:f>'CF_2'!B78</x:f>
        <x:v>0</x:v>
      </x:c>
      <x:c r="N5" s="35" t="str">
        <x:f>'CF_2'!B80</x:f>
      </x:c>
      <x:c r="O5" s="107" t="n">
        <x:f>'CF_2'!B81</x:f>
        <x:v>0</x:v>
      </x:c>
      <x:c r="P5" s="129" t="n">
        <x:f>'CF_2'!B85</x:f>
        <x:v>0</x:v>
      </x:c>
    </x:row>
    <x:row r="6">
      <x:c r="A6" t="str">
        <x:f>'Вводные'!$C$90</x:f>
        <x:v>Очередь 3</x:v>
      </x:c>
      <x:c r="B6" t="str">
        <x:f>'Вводные'!$B$90</x:f>
        <x:v>Нет</x:v>
      </x:c>
      <x:c r="C6" s="92" t="n">
        <x:f>'CF_3'!B6</x:f>
        <x:v>47849</x:v>
      </x:c>
      <x:c r="D6" s="92" t="n">
        <x:f>'CF_3'!B7</x:f>
        <x:v>48396</x:v>
      </x:c>
      <x:c r="E6" s="92" t="n">
        <x:f>'CF_3'!B8</x:f>
        <x:v>49126</x:v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  <x:v>0</x:v>
      </x:c>
      <x:c r="G6" s="107" t="n">
        <x:f>'CF_3'!B67</x:f>
        <x:v>0</x:v>
      </x:c>
      <x:c r="H6" s="107" t="n">
        <x:f>'CF_3'!B68</x:f>
        <x:v>0</x:v>
      </x:c>
      <x:c r="I6" s="107" t="n">
        <x:f>'CF_3'!B70</x:f>
        <x:v>0</x:v>
      </x:c>
      <x:c r="J6" s="107" t="n">
        <x:f>'CF_3'!B74</x:f>
        <x:v>0</x:v>
      </x:c>
      <x:c r="K6" s="107" t="n">
        <x:f>'CF_3'!B76</x:f>
        <x:v>0</x:v>
      </x:c>
      <x:c r="L6" s="107" t="n">
        <x:f>'CF_3'!B77</x:f>
        <x:v>0</x:v>
      </x:c>
      <x:c r="M6" s="107" t="n">
        <x:f>'CF_3'!B78</x:f>
        <x:v>0</x:v>
      </x:c>
      <x:c r="N6" s="35" t="str">
        <x:f>'CF_3'!B80</x:f>
      </x:c>
      <x:c r="O6" s="107" t="n">
        <x:f>'CF_3'!B81</x:f>
        <x:v>0</x:v>
      </x:c>
      <x:c r="P6" s="129" t="n">
        <x:f>'CF_3'!B85</x:f>
        <x:v>0</x:v>
      </x:c>
    </x:row>
    <x:row r="7">
      <x:c r="A7" s="112" t="str">
        <x:v>КОНСОЛИДИРОВАНО</x:v>
      </x:c>
      <x:c r="B7" s="112" t="str">
        <x:v>—</x:v>
      </x:c>
      <x:c r="C7" s="142" t="n">
        <x:f>MIN(C4:C6)</x:f>
        <x:v>46388</x:v>
      </x:c>
      <x:c r="D7" s="142" t="n">
        <x:f>MIN(D4:D6)</x:f>
        <x:v>46935</x:v>
      </x:c>
      <x:c r="E7" s="142" t="n">
        <x:f>MAX(E4:E6)</x:f>
        <x:v>49126</x:v>
      </x:c>
      <x:c r="F7" s="113" t="n">
        <x:f>SUM(F4:F6)</x:f>
        <x:v>15150</x:v>
      </x:c>
      <x:c r="G7" s="113" t="n">
        <x:f>SUM(G4:G6)</x:f>
        <x:v>12743.009317800295</x:v>
      </x:c>
      <x:c r="H7" s="113" t="n">
        <x:f>SUM(H4:H6)</x:f>
        <x:v>9387.564534250003</x:v>
      </x:c>
      <x:c r="I7" s="113" t="n">
        <x:f>SUM(I4:I6)</x:f>
        <x:v>2463.4341313042733</x:v>
      </x:c>
      <x:c r="J7" s="113" t="n">
        <x:f>SUM(J4:J6)</x:f>
        <x:v>1390.51079831638</x:v>
      </x:c>
      <x:c r="K7" s="113" t="n">
        <x:f>SUM(K4:K6)</x:f>
        <x:v>293.93083324697335</x:v>
      </x:c>
      <x:c r="L7" s="113" t="n">
        <x:f>SUM(L4:L6)</x:f>
        <x:v>778.9924997409198</x:v>
      </x:c>
      <x:c r="M7" s="113" t="n">
        <x:f>SUM(M4:M6)</x:f>
        <x:v>1097.3595290179696</x:v>
      </x:c>
      <x:c r="N7" s="143" t="n">
        <x:f>IF(AND(MIN('CF'!D25:DS25)&lt;0,MAX('CF'!D25:DS25)&gt;0),IFERROR(XIRR('CF'!D25:DS25,'CF'!D3:DS3,0.1),IFERROR(XIRR('CF'!D25:DS25,'CF'!D3:DS3,1),IFERROR(XIRR('CF'!D25:DS25,'CF'!D3:DS3,5),""))),"")</x:f>
      </x:c>
      <x:c r="O7" s="113" t="n">
        <x:f>'CF'!D25+NPV('Вводные'!$B$23/12,'CF'!E25:DS25)</x:f>
        <x:v>258.32826669165195</x:v>
      </x:c>
      <x:c r="P7" s="126" t="n">
        <x:f>'CF'!B30</x:f>
        <x:v>1.1405967462060769</x:v>
      </x:c>
    </x:row>
    <x:row r="10" ht="21" customHeight="1">
      <x:c r="A10" s="52" t="str">
        <x:v>КОНСОЛИДИРОВАННЫЕ ПОТОКИ</x:v>
      </x:c>
      <x:c r="B10" s="53" t="str">
        <x:v>КОНСОЛИДИРОВАННЫЕ ПОТОКИ</x:v>
      </x:c>
      <x:c r="C10" s="53" t="str">
        <x:v>КОНСОЛИДИРОВАННЫЕ ПОТОКИ</x:v>
      </x:c>
      <x:c r="D10" s="53" t="str">
        <x:v>КОНСОЛИДИРОВАННЫЕ ПОТОКИ</x:v>
      </x:c>
      <x:c r="E10" s="53" t="str">
        <x:v>КОНСОЛИДИРОВАННЫЕ ПОТОКИ</x:v>
      </x:c>
      <x:c r="F10" s="53" t="str">
        <x:v>КОНСОЛИДИРОВАННЫЕ ПОТОКИ</x:v>
      </x:c>
      <x:c r="G10" s="53" t="str">
        <x:v>КОНСОЛИДИРОВАННЫЕ ПОТОКИ</x:v>
      </x:c>
      <x:c r="H10" s="53" t="str">
        <x:v>КОНСОЛИДИРОВАННЫЕ ПОТОКИ</x:v>
      </x:c>
      <x:c r="I10" s="53" t="str">
        <x:v>КОНСОЛИДИРОВАННЫЕ ПОТОКИ</x:v>
      </x:c>
      <x:c r="J10" s="53" t="str">
        <x:v>КОНСОЛИДИРОВАННЫЕ ПОТОКИ</x:v>
      </x:c>
      <x:c r="K10" s="53" t="str">
        <x:v>КОНСОЛИДИРОВАННЫЕ ПОТОКИ</x:v>
      </x:c>
      <x:c r="L10" s="53" t="str">
        <x:v>КОНСОЛИДИРОВАННЫЕ ПОТОКИ</x:v>
      </x:c>
      <x:c r="M10" s="53" t="str">
        <x:v>КОНСОЛИДИРОВАННЫЕ ПОТОКИ</x:v>
      </x:c>
      <x:c r="N10" s="53" t="str">
        <x:v>КОНСОЛИДИРОВАННЫЕ ПОТОКИ</x:v>
      </x:c>
      <x:c r="O10" s="53" t="str">
        <x:v>КОНСОЛИДИРОВАННЫЕ ПОТОКИ</x:v>
      </x:c>
      <x:c r="P10" s="54" t="str">
        <x:v>КОНСОЛИДИРОВАННЫЕ ПОТОКИ</x:v>
      </x:c>
    </x:row>
    <x:row r="11">
      <x:c r="A11" s="23" t="str">
        <x:v>Показатель</x:v>
      </x:c>
      <x:c r="B11" s="23" t="str">
        <x:v>Итого</x:v>
      </x:c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</x:row>
    <x:row r="12">
      <x:c r="A12" t="str">
        <x:v>Выручка</x:v>
      </x:c>
      <x:c r="B12" s="107" t="n">
        <x:f>G7</x:f>
        <x:v>12743.009317800295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CAPEX</x:v>
      </x:c>
      <x:c r="B13" s="107" t="n">
        <x:f>H7</x:f>
        <x:v>9387.564534250003</x:v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Стоимость финансирования</x:v>
      </x:c>
      <x:c r="B14" s="107" t="n">
        <x:f>J7</x:f>
        <x:v>1390.51079831638</x:v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Чистая прибыль</x:v>
      </x:c>
      <x:c r="B15" s="107" t="n">
        <x:f>L7</x:f>
        <x:v>778.9924997409198</x:v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Пиковый долг</x:v>
      </x:c>
      <x:c r="B16" s="107" t="n">
        <x:f>MAX('CF'!D19:DS19)</x:f>
        <x:v>10280</x:v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inlineStr">
        <x:is>
          <x:t>LLCR проекта (за весь срок)</x:t>
        </x:is>
      </x:c>
      <x:c r="B17" s="129" t="n">
        <x:f>P7</x:f>
        <x:v>1.1405967462060769</x:v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20" ht="21" customHeight="1">
      <x:c r="A20" s="281" t="str">
        <x:v>ОТДЕЛЬНО СТОЯЩИЕ КОММЕРЧЕСКИЕ ОБЪЕКТЫ</x:v>
      </x:c>
      <x:c r="B20" s="282" t="str">
        <x:v>ОТДЕЛЬНО СТОЯЩИЕ КОММЕРЧЕСКИЕ ОБЪЕКТЫ</x:v>
      </x:c>
      <x:c r="C20" s="282" t="str">
        <x:v>ОТДЕЛЬНО СТОЯЩИЕ КОММЕРЧЕСКИЕ ОБЪЕКТЫ</x:v>
      </x:c>
      <x:c r="D20" s="282" t="str">
        <x:v>ОТДЕЛЬНО СТОЯЩИЕ КОММЕРЧЕСКИЕ ОБЪЕКТЫ</x:v>
      </x:c>
      <x:c r="E20" s="282" t="str">
        <x:v>ОТДЕЛЬНО СТОЯЩИЕ КОММЕРЧЕСКИЕ ОБЪЕКТЫ</x:v>
      </x:c>
      <x:c r="F20" s="282" t="str">
        <x:v>ОТДЕЛЬНО СТОЯЩИЕ КОММЕРЧЕСКИЕ ОБЪЕКТЫ</x:v>
      </x:c>
      <x:c r="G20" s="282" t="str">
        <x:v>ОТДЕЛЬНО СТОЯЩИЕ КОММЕРЧЕСКИЕ ОБЪЕКТЫ</x:v>
      </x:c>
      <x:c r="H20" s="282" t="str">
        <x:v>ОТДЕЛЬНО СТОЯЩИЕ КОММЕРЧЕСКИЕ ОБЪЕКТЫ</x:v>
      </x:c>
      <x:c r="I20" s="282" t="str">
        <x:v>ОТДЕЛЬНО СТОЯЩИЕ КОММЕРЧЕСКИЕ ОБЪЕКТЫ</x:v>
      </x:c>
      <x:c r="J20" s="282" t="str">
        <x:v>ОТДЕЛЬНО СТОЯЩИЕ КОММЕРЧЕСКИЕ ОБЪЕКТЫ</x:v>
      </x:c>
      <x:c r="K20" s="282" t="str">
        <x:v>ОТДЕЛЬНО СТОЯЩИЕ КОММЕРЧЕСКИЕ ОБЪЕКТЫ</x:v>
      </x:c>
      <x:c r="L20" s="282" t="str">
        <x:v>ОТДЕЛЬНО СТОЯЩИЕ КОММЕРЧЕСКИЕ ОБЪЕКТЫ</x:v>
      </x:c>
      <x:c r="M20" s="282" t="str">
        <x:v>ОТДЕЛЬНО СТОЯЩИЕ КОММЕРЧЕСКИЕ ОБЪЕКТЫ</x:v>
      </x:c>
      <x:c r="N20" s="282" t="str">
        <x:v>ОТДЕЛЬНО СТОЯЩИЕ КОММЕРЧЕСКИЕ ОБЪЕКТЫ</x:v>
      </x:c>
      <x:c r="O20" s="282" t="str">
        <x:v>ОТДЕЛЬНО СТОЯЩИЕ КОММЕРЧЕСКИЕ ОБЪЕКТЫ</x:v>
      </x:c>
      <x:c r="P20" s="283" t="str">
        <x:v>ОТДЕЛЬНО СТОЯЩИЕ КОММЕРЧЕСКИЕ ОБЪЕКТЫ</x:v>
      </x:c>
    </x:row>
    <x:row r="21">
      <x:c r="A21" s="289" t="str">
        <x:v>Объект</x:v>
      </x:c>
      <x:c r="B21" s="289" t="str">
        <x:v>Вкл.</x:v>
      </x:c>
      <x:c r="C21" s="289" t="str">
        <x:v>Очередь</x:v>
      </x:c>
      <x:c r="D21" s="289" t="str">
        <x:v>GBA</x:v>
      </x:c>
      <x:c r="E21" s="289" t="str">
        <x:v>Прод. площадь / места</x:v>
      </x:c>
      <x:c r="F21" s="289" t="str">
        <x:v>Выручка</x:v>
      </x:c>
      <x:c r="G21" s="289" t="str">
        <x:v>CAPEX</x:v>
      </x:c>
      <x:c r="H21" s="289" t="str">
        <x:v>Маржа до финансирования</x:v>
      </x:c>
    </x:row>
    <x:row r="22">
      <x:c r="A22" t="str">
        <x:v>МФОЦ / офисный центр</x:v>
      </x:c>
      <x:c r="B22" t="str">
        <x:f>'Вводные'!$K$20</x:f>
        <x:v>Нет</x:v>
      </x:c>
      <x:c r="C22" t="n">
        <x:f>'Вводные'!$K$21</x:f>
        <x:v>1</x:v>
      </x:c>
      <x:c r="D22" s="132" t="n">
        <x:f>'Вводные'!$K$25</x:f>
        <x:v>0</x:v>
      </x:c>
      <x:c r="E22" s="132" t="n">
        <x:f>'Вводные'!$K$26</x:f>
        <x:v>0</x:v>
      </x:c>
      <x:c r="F22" s="107" t="n">
        <x:f>'ОБЪЕКТЫ'!B24</x:f>
        <x:v>0</x:v>
      </x:c>
      <x:c r="G22" s="107" t="n">
        <x:f>'ОБЪЕКТЫ'!B28</x:f>
        <x:v>0</x:v>
      </x:c>
      <x:c r="H22" s="107" t="n">
        <x:f>'ОБЪЕКТЫ'!B24-'ОБЪЕКТЫ'!B31</x:f>
        <x:v>0</x:v>
      </x:c>
    </x:row>
    <x:row r="23">
      <x:c r="A23" t="str">
        <x:v>Торговый центр / коммерция ОСЗ</x:v>
      </x:c>
      <x:c r="B23" t="str">
        <x:f>'Вводные'!$K$40</x:f>
        <x:v>Нет</x:v>
      </x:c>
      <x:c r="C23" t="n">
        <x:f>'Вводные'!$K$41</x:f>
        <x:v>1</x:v>
      </x:c>
      <x:c r="D23" s="132" t="n">
        <x:f>'Вводные'!$K$45</x:f>
        <x:v>0</x:v>
      </x:c>
      <x:c r="E23" s="132" t="n">
        <x:f>'Вводные'!$K$46</x:f>
        <x:v>0</x:v>
      </x:c>
      <x:c r="F23" s="107" t="n">
        <x:f>'ОБЪЕКТЫ'!B52</x:f>
        <x:v>0</x:v>
      </x:c>
      <x:c r="G23" s="107" t="n">
        <x:f>'ОБЪЕКТЫ'!B56</x:f>
        <x:v>0</x:v>
      </x:c>
      <x:c r="H23" s="107" t="n">
        <x:f>'ОБЪЕКТЫ'!B52-'ОБЪЕКТЫ'!B59</x:f>
        <x:v>0</x:v>
      </x:c>
    </x:row>
    <x:row r="24">
      <x:c r="A24" t="str">
        <x:v>Наземный многоэтажный паркинг</x:v>
      </x:c>
      <x:c r="B24" t="str">
        <x:f>'Вводные'!$K$60</x:f>
        <x:v>Нет</x:v>
      </x:c>
      <x:c r="C24" t="n">
        <x:f>'Вводные'!$K$61</x:f>
        <x:v>1</x:v>
      </x:c>
      <x:c r="D24" s="132" t="n">
        <x:f>'Вводные'!$K$66</x:f>
        <x:v>0</x:v>
      </x:c>
      <x:c r="E24" s="132" t="n">
        <x:f>'Вводные'!$K$65</x:f>
        <x:v>0</x:v>
      </x:c>
      <x:c r="F24" s="107" t="n">
        <x:f>'ОБЪЕКТЫ'!B80</x:f>
        <x:v>0</x:v>
      </x:c>
      <x:c r="G24" s="107" t="n">
        <x:f>'ОБЪЕКТЫ'!B84</x:f>
        <x:v>0</x:v>
      </x:c>
      <x:c r="H24" s="107" t="n">
        <x:f>'ОБЪЕКТЫ'!B80-'ОБЪЕКТЫ'!B87</x:f>
        <x:v>0</x:v>
      </x:c>
    </x:row>
    <x:row r="25">
      <x:c r="A25" s="348" t="str">
        <x:v>ИТОГО ОБЪЕКТЫ</x:v>
      </x:c>
      <x:c r="B25" s="348"/>
      <x:c r="C25" s="348"/>
      <x:c r="D25" s="351" t="n">
        <x:f>SUM(D22:D24)</x:f>
        <x:v>0</x:v>
      </x:c>
      <x:c r="E25" s="351" t="n">
        <x:f>SUM(E22:E24)</x:f>
        <x:v>0</x:v>
      </x:c>
      <x:c r="F25" s="348" t="n">
        <x:f>SUM(F22:F24)</x:f>
        <x:v>0</x:v>
      </x:c>
      <x:c r="G25" s="348" t="n">
        <x:f>SUM(G22:G24)</x:f>
        <x:v>0</x:v>
      </x:c>
      <x:c r="H25" s="348" t="n">
        <x:f>SUM(H22:H24)</x:f>
        <x:v>0</x:v>
      </x:c>
    </x:row>
  </x:sheetData>
  <x:mergeCells>
    <x:mergeCell ref="A1:P1"/>
    <x:mergeCell ref="A10:P10"/>
    <x:mergeCell ref="A20:P20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  <x:v>Проект: Проект DevelopAid | Сценарий: Base | Версия: 4.0 · sales-drivers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'КОНСОЛИДАТОР'!G7</x:f>
        <x:v>12743.009317800295</x:v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'КОНСОЛИДАТОР'!H7</x:f>
        <x:v>9387.564534250003</x:v>
      </x:c>
      <x:c r="C6" t="str">
        <x:v>млн ₽</x:v>
      </x:c>
      <x:c r="D6" t="str"/>
      <x:c r="F6" t="str">
        <x:v>ГНС</x:v>
      </x:c>
      <x:c r="G6" s="132" t="n">
        <x:f>'ТЭП'!C30</x:f>
        <x:v>25967</x:v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  <x:v>892.0106522460204</x:v>
      </x:c>
      <x:c r="C7" t="str">
        <x:v>млн ₽</x:v>
      </x:c>
      <x:c r="D7" t="str"/>
      <x:c r="F7" t="str">
        <x:v>Продаваемая площадь</x:v>
      </x:c>
      <x:c r="G7" s="132" t="n">
        <x:f>'ТЭП'!D30</x:f>
        <x:v>15150</x:v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  <x:v>2463.434131304272</x:v>
      </x:c>
      <x:c r="C8" t="str">
        <x:v>млн ₽</x:v>
      </x:c>
      <x:c r="D8" t="str"/>
      <x:c r="F8" s="93" t="str">
        <x:v>Средняя цена реализации</x:v>
      </x:c>
      <x:c r="G8" s="107" t="n">
        <x:f>E60</x:f>
        <x:v>803.9753512807754</x:v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'КОНСОЛИДАТОР'!J7</x:f>
        <x:v>1390.51079831638</x:v>
      </x:c>
      <x:c r="C9" t="str">
        <x:v>млн ₽</x:v>
      </x:c>
      <x:c r="D9" t="str"/>
      <x:c r="F9" s="93" t="str">
        <x:v>CAPEX на м² GBA</x:v>
      </x:c>
      <x:c r="G9" s="107" t="n">
        <x:f>E61</x:f>
        <x:v>361.5190254650134</x:v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  <x:v>1072.9233329878919</x:v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E62</x:f>
        <x:v>789.7040803999589</x:v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'КОНСОЛИДАТОР'!K7</x:f>
        <x:v>293.93083324697335</x:v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  <x:v>3050.711737585049</x:v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'КОНСОЛИДАТОР'!L7</x:f>
        <x:v>778.9924997409198</x:v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  <x:v>10280</x:v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  <x:v>0.06113096838536958</x:v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SUM('CF_1'!B32,'CF_2'!B32,'CF_3'!B32)</x:f>
        <x:v>241.61167567656668</x:v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'КОНСОЛИДАТОР'!N7</x:f>
        <x:v>0.625898287635366</x:v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SUM('CF_1'!B42,'CF_2'!B42,'CF_3'!B42)</x:f>
        <x:v>933.3832728831311</x:v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'КОНСОЛИДАТОР'!O7</x:f>
        <x:v>258.32826669165195</x:v>
      </x:c>
      <x:c r="C15" t="str">
        <x:v>млн ₽</x:v>
      </x:c>
      <x:c r="D15" t="str"/>
      <x:c r="F15" s="93" t="str">
        <x:v>Комиссии</x:v>
      </x:c>
      <x:c r="G15" s="107" t="n">
        <x:f>'CF'!B21</x:f>
        <x:v>215.5158497566823</x:v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'КОНСОЛИДАТОР'!M7</x:f>
        <x:v>1097.3595290179696</x:v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  <x:v>1.2</x:v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  <x:v>10280</x:v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E63</x:f>
        <x:v>752.5567044331899</x:v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  <x:v>10519.298044546515</x:v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E70</x:f>
        <x:v>0.13568296540127905</x:v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'КОНСОЛИДАТОР'!P7</x:f>
        <x:v>1.1405967462060769</x:v>
      </x:c>
      <x:c r="C19" t="str">
        <x:v>×</x:v>
      </x:c>
      <x:c r="D19" t="str"/>
      <x:c r="F19" s="93" t="str">
        <x:v>Средняя фактическая ставка ПФ</x:v>
      </x:c>
      <x:c r="G19" s="352" t="n">
        <x:f>E71</x:f>
        <x:v>0.06946454405560992</x:v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  <x:v>PASS WITH WARNINGS</x:v>
      </x:c>
      <x:c r="C20" t="str"/>
      <x:c r="D20" t="str"/>
      <x:c r="F20" s="93" t="str">
        <x:v>Темп продаж площади</x:v>
      </x:c>
      <x:c r="G20" s="107" t="n">
        <x:f>E66</x:f>
        <x:v>505</x:v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E69</x:f>
        <x:v>3.0333333333333337</x:v>
      </x:c>
      <x:c r="H21" t="str">
        <x:v>шт./мес.</x:v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  <x:v>Очередь</x:v>
      </x:c>
      <x:c r="B24" s="23" t="str">
        <x:f>'КОНСОЛИДАТОР'!B3</x:f>
        <x:v>Вкл.</x:v>
      </x:c>
      <x:c r="C24" s="23" t="str">
        <x:f>'КОНСОЛИДАТОР'!C3</x:f>
        <x:v>Старт</x:v>
      </x:c>
      <x:c r="D24" s="23" t="str">
        <x:f>'КОНСОЛИДАТОР'!D3</x:f>
        <x:v>РнС</x:v>
      </x:c>
      <x:c r="E24" s="23" t="str">
        <x:f>'КОНСОЛИДАТОР'!E3</x:f>
        <x:v>РВЭ</x:v>
      </x:c>
      <x:c r="F24" s="23" t="str">
        <x:f>'КОНСОЛИДАТОР'!F3</x:f>
        <x:v>Прод. площадь</x:v>
      </x:c>
      <x:c r="G24" s="23" t="str">
        <x:f>'КОНСОЛИДАТОР'!G3</x:f>
        <x:v>Выручка</x:v>
      </x:c>
      <x:c r="H24" s="23" t="str">
        <x:f>'КОНСОЛИДАТОР'!H3</x:f>
        <x:v>CAPEX</x:v>
      </x:c>
      <x:c r="I24" s="23" t="str">
        <x:f>'КОНСОЛИДАТОР'!I3</x:f>
        <x:v>EBITDA</x:v>
      </x:c>
      <x:c r="J24" s="23" t="str">
        <x:f>'КОНСОЛИДАТОР'!J3</x:f>
        <x:v>Финансирование</x:v>
      </x:c>
      <x:c r="K24" s="23" t="str">
        <x:f>'КОНСОЛИДАТОР'!K3</x:f>
        <x:v>Налог</x:v>
      </x:c>
      <x:c r="L24" s="23" t="str">
        <x:f>'КОНСОЛИДАТОР'!L3</x:f>
        <x:v>Чистая прибыль</x:v>
      </x:c>
      <x:c r="M24" s="23" t="str">
        <x:f>'КОНСОЛИДАТОР'!M3</x:f>
        <x:v>Equity</x:v>
      </x:c>
      <x:c r="N24" s="23" t="str">
        <x:f>'КОНСОЛИДАТОР'!N3</x:f>
        <x:v>IRR</x:v>
      </x:c>
    </x:row>
    <x:row r="25">
      <x:c r="A25" t="str">
        <x:f>'КОНСОЛИДАТОР'!A4</x:f>
        <x:v>Очередь 1</x:v>
      </x:c>
      <x:c r="B25" t="str">
        <x:f>'КОНСОЛИДАТОР'!B4</x:f>
        <x:v>Да</x:v>
      </x:c>
      <x:c r="C25" s="92" t="n">
        <x:f>'КОНСОЛИДАТОР'!C4</x:f>
        <x:v>46388</x:v>
      </x:c>
      <x:c r="D25" s="92" t="n">
        <x:f>'КОНСОЛИДАТОР'!D4</x:f>
        <x:v>46935</x:v>
      </x:c>
      <x:c r="E25" s="92" t="n">
        <x:f>'КОНСОЛИДАТОР'!E4</x:f>
        <x:v>47665</x:v>
      </x:c>
      <x:c r="F25" s="107" t="n">
        <x:f>'КОНСОЛИДАТОР'!F4</x:f>
        <x:v>15150</x:v>
      </x:c>
      <x:c r="G25" s="107" t="n">
        <x:f>'КОНСОЛИДАТОР'!G4</x:f>
        <x:v>12743.009317800295</x:v>
      </x:c>
      <x:c r="H25" s="107" t="n">
        <x:f>'КОНСОЛИДАТОР'!H4</x:f>
        <x:v>9387.564534250003</x:v>
      </x:c>
      <x:c r="I25" s="107" t="n">
        <x:f>'КОНСОЛИДАТОР'!I4</x:f>
        <x:v>2463.4341313042733</x:v>
      </x:c>
      <x:c r="J25" s="107" t="n">
        <x:f>'КОНСОЛИДАТОР'!J4</x:f>
        <x:v>1390.51079831638</x:v>
      </x:c>
      <x:c r="K25" s="107" t="n">
        <x:f>'КОНСОЛИДАТОР'!K4</x:f>
        <x:v>293.93083324697335</x:v>
      </x:c>
      <x:c r="L25" s="107" t="n">
        <x:f>'КОНСОЛИДАТОР'!L4</x:f>
        <x:v>778.9924997409198</x:v>
      </x:c>
      <x:c r="M25" s="107" t="n">
        <x:f>'КОНСОЛИДАТОР'!M4</x:f>
        <x:v>1097.3595290179696</x:v>
      </x:c>
      <x:c r="N25" s="35" t="n">
        <x:f>'КОНСОЛИДАТОР'!N4</x:f>
        <x:v>0.625898287635366</x:v>
      </x:c>
    </x:row>
    <x:row r="26">
      <x:c r="A26" t="str">
        <x:f>'КОНСОЛИДАТОР'!A5</x:f>
        <x:v>Очередь 2</x:v>
      </x:c>
      <x:c r="B26" t="str">
        <x:f>'КОНСОЛИДАТОР'!B5</x:f>
        <x:v>Нет</x:v>
      </x:c>
      <x:c r="C26" s="92" t="n">
        <x:f>'КОНСОЛИДАТОР'!C5</x:f>
        <x:v>47119</x:v>
      </x:c>
      <x:c r="D26" s="92" t="n">
        <x:f>'КОНСОЛИДАТОР'!D5</x:f>
        <x:v>47665</x:v>
      </x:c>
      <x:c r="E26" s="92" t="n">
        <x:f>'КОНСОЛИДАТОР'!E5</x:f>
        <x:v>48396</x:v>
      </x:c>
      <x:c r="F26" s="107" t="n">
        <x:f>'КОНСОЛИДАТОР'!F5</x:f>
        <x:v>0</x:v>
      </x:c>
      <x:c r="G26" s="107" t="n">
        <x:f>'КОНСОЛИДАТОР'!G5</x:f>
        <x:v>0</x:v>
      </x:c>
      <x:c r="H26" s="107" t="n">
        <x:f>'КОНСОЛИДАТОР'!H5</x:f>
        <x:v>0</x:v>
      </x:c>
      <x:c r="I26" s="107" t="n">
        <x:f>'КОНСОЛИДАТОР'!I5</x:f>
        <x:v>0</x:v>
      </x:c>
      <x:c r="J26" s="107" t="n">
        <x:f>'КОНСОЛИДАТОР'!J5</x:f>
        <x:v>0</x:v>
      </x:c>
      <x:c r="K26" s="107" t="n">
        <x:f>'КОНСОЛИДАТОР'!K5</x:f>
        <x:v>0</x:v>
      </x:c>
      <x:c r="L26" s="107" t="n">
        <x:f>'КОНСОЛИДАТОР'!L5</x:f>
        <x:v>0</x:v>
      </x:c>
      <x:c r="M26" s="107" t="n">
        <x:f>'КОНСОЛИДАТОР'!M5</x:f>
        <x:v>0</x:v>
      </x:c>
      <x:c r="N26" s="35" t="str">
        <x:f>'КОНСОЛИДАТОР'!N5</x:f>
      </x:c>
    </x:row>
    <x:row r="27">
      <x:c r="A27" t="str">
        <x:f>'КОНСОЛИДАТОР'!A6</x:f>
        <x:v>Очередь 3</x:v>
      </x:c>
      <x:c r="B27" t="str">
        <x:f>'КОНСОЛИДАТОР'!B6</x:f>
        <x:v>Нет</x:v>
      </x:c>
      <x:c r="C27" s="92" t="n">
        <x:f>'КОНСОЛИДАТОР'!C6</x:f>
        <x:v>47849</x:v>
      </x:c>
      <x:c r="D27" s="92" t="n">
        <x:f>'КОНСОЛИДАТОР'!D6</x:f>
        <x:v>48396</x:v>
      </x:c>
      <x:c r="E27" s="92" t="n">
        <x:f>'КОНСОЛИДАТОР'!E6</x:f>
        <x:v>49126</x:v>
      </x:c>
      <x:c r="F27" s="107" t="n">
        <x:f>'КОНСОЛИДАТОР'!F6</x:f>
        <x:v>0</x:v>
      </x:c>
      <x:c r="G27" s="107" t="n">
        <x:f>'КОНСОЛИДАТОР'!G6</x:f>
        <x:v>0</x:v>
      </x:c>
      <x:c r="H27" s="107" t="n">
        <x:f>'КОНСОЛИДАТОР'!H6</x:f>
        <x:v>0</x:v>
      </x:c>
      <x:c r="I27" s="107" t="n">
        <x:f>'КОНСОЛИДАТОР'!I6</x:f>
        <x:v>0</x:v>
      </x:c>
      <x:c r="J27" s="107" t="n">
        <x:f>'КОНСОЛИДАТОР'!J6</x:f>
        <x:v>0</x:v>
      </x:c>
      <x:c r="K27" s="107" t="n">
        <x:f>'КОНСОЛИДАТОР'!K6</x:f>
        <x:v>0</x:v>
      </x:c>
      <x:c r="L27" s="107" t="n">
        <x:f>'КОНСОЛИДАТОР'!L6</x:f>
        <x:v>0</x:v>
      </x:c>
      <x:c r="M27" s="107" t="n">
        <x:f>'КОНСОЛИДАТОР'!M6</x:f>
        <x:v>0</x:v>
      </x:c>
      <x:c r="N27" s="35" t="str">
        <x:f>'КОНСОЛИДАТОР'!N6</x:f>
      </x:c>
    </x:row>
    <x:row r="28">
      <x:c r="A28" t="str">
        <x:f>'КОНСОЛИДАТОР'!A7</x:f>
        <x:v>КОНСОЛИДИРОВАНО</x:v>
      </x:c>
      <x:c r="B28" t="str">
        <x:f>'КОНСОЛИДАТОР'!B7</x:f>
        <x:v>—</x:v>
      </x:c>
      <x:c r="C28" s="92" t="n">
        <x:f>'КОНСОЛИДАТОР'!C7</x:f>
        <x:v>46388</x:v>
      </x:c>
      <x:c r="D28" s="92" t="n">
        <x:f>'КОНСОЛИДАТОР'!D7</x:f>
        <x:v>46935</x:v>
      </x:c>
      <x:c r="E28" s="92" t="n">
        <x:f>'КОНСОЛИДАТОР'!E7</x:f>
        <x:v>49126</x:v>
      </x:c>
      <x:c r="F28" s="107" t="n">
        <x:f>'КОНСОЛИДАТОР'!F7</x:f>
        <x:v>15150</x:v>
      </x:c>
      <x:c r="G28" s="107" t="n">
        <x:f>'КОНСОЛИДАТОР'!G7</x:f>
        <x:v>12743.009317800295</x:v>
      </x:c>
      <x:c r="H28" s="107" t="n">
        <x:f>'КОНСОЛИДАТОР'!H7</x:f>
        <x:v>9387.564534250003</x:v>
      </x:c>
      <x:c r="I28" s="107" t="n">
        <x:f>'КОНСОЛИДАТОР'!I7</x:f>
        <x:v>2463.4341313042733</x:v>
      </x:c>
      <x:c r="J28" s="107" t="n">
        <x:f>'КОНСОЛИДАТОР'!J7</x:f>
        <x:v>1390.51079831638</x:v>
      </x:c>
      <x:c r="K28" s="107" t="n">
        <x:f>'КОНСОЛИДАТОР'!K7</x:f>
        <x:v>293.93083324697335</x:v>
      </x:c>
      <x:c r="L28" s="107" t="n">
        <x:f>'КОНСОЛИДАТОР'!L7</x:f>
        <x:v>778.9924997409198</x:v>
      </x:c>
      <x:c r="M28" s="107" t="n">
        <x:f>'КОНСОЛИДАТОР'!M7</x:f>
        <x:v>1097.3595290179696</x:v>
      </x:c>
      <x:c r="N28" s="35" t="n">
        <x:f>'КОНСОЛИДАТОР'!N7</x:f>
        <x:v>0.625898287635366</x:v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</x:row>
    <x:row r="33">
      <x:c r="A33" t="str">
        <x:v>Покупка</x:v>
      </x:c>
      <x:c r="B33" s="107" t="n">
        <x:f>'Вводные'!$B$15</x:f>
        <x:v>700</x:v>
      </x:c>
      <x:c r="C33" s="35" t="n">
        <x:f>IFERROR(B33/$B$40,0)</x:f>
        <x:v>0.05850877766598989</x:v>
      </x:c>
    </x:row>
    <x:row r="34">
      <x:c r="A34" t="str">
        <x:v>ВРИ</x:v>
      </x:c>
      <x:c r="B34" s="107" t="n">
        <x:f>'Вводные'!$B$16-'Вводные'!$B$82</x:f>
        <x:v>1267.539</x:v>
      </x:c>
      <x:c r="C34" s="35" t="n">
        <x:f>IFERROR(B34/$B$40,0)</x:f>
        <x:v>0.10594593933424452</x:v>
      </x:c>
    </x:row>
    <x:row r="35">
      <x:c r="A35" t="str">
        <x:v>Строительство и управление</x:v>
      </x:c>
      <x:c r="B35" s="107" t="n">
        <x:f>MAX(0,B6-B33-B34-B36)</x:f>
        <x:v>6839.3575342500035</x:v>
      </x:c>
      <x:c r="C35" s="35" t="n">
        <x:f>IFERROR(B35/$B$40,0)</x:f>
        <x:v>0.5716606419280662</x:v>
      </x:c>
    </x:row>
    <x:row r="36">
      <x:c r="A36" t="str">
        <x:v>Социальная нагрузка</x:v>
      </x:c>
      <x:c r="B36" s="107" t="n">
        <x:f>'Вводные'!$B$17</x:f>
        <x:v>580.668</x:v>
      </x:c>
      <x:c r="C36" s="35" t="n">
        <x:f>IFERROR(B36/$B$40,0)</x:f>
        <x:v>0.048534535585364316</x:v>
      </x:c>
    </x:row>
    <x:row r="37">
      <x:c r="A37" t="str">
        <x:v>Маркетинг и продажи</x:v>
      </x:c>
      <x:c r="B37" s="107" t="n">
        <x:f>B7</x:f>
        <x:v>892.0106522460204</x:v>
      </x:c>
      <x:c r="C37" s="35" t="n">
        <x:f>IFERROR(B37/$B$40,0)</x:f>
        <x:v>0.07455778989708148</x:v>
      </x:c>
    </x:row>
    <x:row r="38">
      <x:c r="A38" t="str">
        <x:v>Проценты и комиссии</x:v>
      </x:c>
      <x:c r="B38" s="107" t="n">
        <x:f>B9</x:f>
        <x:v>1390.51079831638</x:v>
      </x:c>
      <x:c r="C38" s="35" t="n">
        <x:f>IFERROR(B38/$B$40,0)</x:f>
        <x:v>0.116224410201216</x:v>
      </x:c>
    </x:row>
    <x:row r="39">
      <x:c r="A39" t="str">
        <x:v>Налог на прибыль</x:v>
      </x:c>
      <x:c r="B39" s="107" t="n">
        <x:f>B11</x:f>
        <x:v>293.93083324697335</x:v>
      </x:c>
      <x:c r="C39" s="35" t="n">
        <x:f>IFERROR(B39/$B$40,0)</x:f>
        <x:v>0.024567905388037593</x:v>
      </x:c>
    </x:row>
    <x:row r="40">
      <x:c r="A40" s="113" t="str">
        <x:v>Итого</x:v>
      </x:c>
      <x:c r="B40" s="113" t="n">
        <x:f>SUM(B33:B39)</x:f>
        <x:v>11964.016818059377</x:v>
      </x:c>
      <x:c r="C40" s="113" t="n">
        <x:f>SUM(C33:C39)</x:f>
        <x:v>1</x:v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  <x:v>0</x:v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SUM('Вводные'!I88:I90)</x:f>
        <x:v>21415</x:v>
      </x:c>
      <x:c r="C46" s="132" t="n">
        <x:f>SUM('Вводные'!L88:L90)</x:f>
        <x:v>13920</x:v>
      </x:c>
      <x:c r="D46" s="132"/>
      <x:c r="E46" s="107" t="n">
        <x:f>SUM('Продажи'!B16,'Продажи'!B39,'Продажи'!B62)</x:f>
        <x:v>11191.336889828392</x:v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SUM('Вводные'!J88:J90)</x:f>
        <x:v>1367</x:v>
      </x:c>
      <x:c r="C47" s="132" t="n">
        <x:f>SUM('Вводные'!M88:M90)</x:f>
        <x:v>1230</x:v>
      </x:c>
      <x:c r="D47" s="132"/>
      <x:c r="E47" s="107" t="n">
        <x:f>SUM('Продажи'!B19,'Продажи'!B42,'Продажи'!B65)</x:f>
        <x:v>988.889682075354</x:v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SUM('Вводные'!K88:K90)</x:f>
        <x:v>3185</x:v>
      </x:c>
      <x:c r="C48" s="132"/>
      <x:c r="D48" s="132" t="n">
        <x:f>SUM('Вводные'!N88:N90)</x:f>
        <x:v>91</x:v>
      </x:c>
      <x:c r="E48" s="107" t="n">
        <x:f>SUM('Продажи'!B22,'Продажи'!B45,'Продажи'!B68)</x:f>
        <x:v>562.7827458965429</x:v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SUM('Вводные'!O88:O90)</x:f>
        <x:v>0</x:v>
      </x:c>
      <x:c r="E49" s="107" t="n">
        <x:f>SUM('Продажи'!B25,'Продажи'!B48,'Продажи'!B71)</x:f>
        <x:v>0</x:v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  <x:v>0</x:v>
      </x:c>
      <x:c r="C50" s="132" t="n">
        <x:f>'Вводные'!K26</x:f>
        <x:v>0</x:v>
      </x:c>
      <x:c r="D50" s="132"/>
      <x:c r="E50" s="107" t="n">
        <x:f>'ОБЪЕКТЫ'!B24</x:f>
        <x:v>0</x:v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  <x:v>0</x:v>
      </x:c>
      <x:c r="C51" s="132" t="n">
        <x:f>'Вводные'!K46</x:f>
        <x:v>0</x:v>
      </x:c>
      <x:c r="D51" s="132"/>
      <x:c r="E51" s="107" t="n">
        <x:f>'ОБЪЕКТЫ'!B52</x:f>
        <x:v>0</x:v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  <x:v>0</x:v>
      </x:c>
      <x:c r="C52" s="132"/>
      <x:c r="D52" s="132" t="n">
        <x:f>'Вводные'!K65</x:f>
        <x:v>0</x:v>
      </x:c>
      <x:c r="E52" s="107" t="n">
        <x:f>'ОБЪЕКТЫ'!B80</x:f>
        <x:v>0</x:v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  <x:v>25967</x:v>
      </x:c>
      <x:c r="C53" s="351" t="n">
        <x:f>SUM(C46:C52)</x:f>
        <x:v>15150</x:v>
      </x:c>
      <x:c r="D53" s="351" t="n">
        <x:f>SUM(D46:D52)</x:f>
        <x:v>91</x:v>
      </x:c>
      <x:c r="E53" s="348" t="n">
        <x:f>SUM(E46:E52)</x:f>
        <x:v>12743.009317800288</x:v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str">
        <x:v>Проект</x:v>
      </x:c>
      <x:c r="F56" s="289" t="str">
        <x:v>Ед.</x:v>
      </x:c>
      <x:c r="G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  <x:v>15150</x:v>
      </x:c>
      <x:c r="C57" s="132" t="n">
        <x:f>'КОНСОЛИДАТОР'!F5</x:f>
        <x:v>0</x:v>
      </x:c>
      <x:c r="D57" s="132" t="n">
        <x:f>'КОНСОЛИДАТОР'!F6</x:f>
        <x:v>0</x:v>
      </x:c>
      <x:c r="E57" s="132" t="n">
        <x:f>SUM(B57:D57)</x:f>
        <x:v>15150</x:v>
      </x:c>
      <x:c r="F57" t="str">
        <x:v>м²</x:v>
      </x:c>
      <x:c r="G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  <x:v>25967</x:v>
      </x:c>
      <x:c r="C58" s="132" t="n">
        <x:f>SUM('Вводные'!$I$89:$K$89,IF('ОБЪЕКТЫ'!$B$8=2,'ОБЪЕКТЫ'!$B$12,0),IF('ОБЪЕКТЫ'!$B$36=2,'ОБЪЕКТЫ'!$B$40,0),IF('ОБЪЕКТЫ'!$B$64=2,'ОБЪЕКТЫ'!$B$68,0))</x:f>
        <x:v>0</x:v>
      </x:c>
      <x:c r="D58" s="132" t="n">
        <x:f>SUM('Вводные'!$I$90:$K$90,IF('ОБЪЕКТЫ'!$B$8=3,'ОБЪЕКТЫ'!$B$12,0),IF('ОБЪЕКТЫ'!$B$36=3,'ОБЪЕКТЫ'!$B$40,0),IF('ОБЪЕКТЫ'!$B$64=3,'ОБЪЕКТЫ'!$B$68,0))</x:f>
        <x:v>0</x:v>
      </x:c>
      <x:c r="E58" s="132" t="n">
        <x:f>SUM(B58:D58)</x:f>
        <x:v>25967</x:v>
      </x:c>
      <x:c r="F58" t="str">
        <x:v>м²</x:v>
      </x:c>
      <x:c r="G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  <x:v>12180.226571903746</x:v>
      </x:c>
      <x:c r="C59" s="107" t="n">
        <x:f>SUM('Продажи'!$B$39,'Продажи'!$B$42,IF('ОБЪЕКТЫ'!$B$8=2,'ОБЪЕКТЫ'!$B$24,0),IF('ОБЪЕКТЫ'!$B$36=2,'ОБЪЕКТЫ'!$B$52,0))</x:f>
        <x:v>0</x:v>
      </x:c>
      <x:c r="D59" s="107" t="n">
        <x:f>SUM('Продажи'!$B$62,'Продажи'!$B$65,IF('ОБЪЕКТЫ'!$B$8=3,'ОБЪЕКТЫ'!$B$24,0),IF('ОБЪЕКТЫ'!$B$36=3,'ОБЪЕКТЫ'!$B$52,0))</x:f>
        <x:v>0</x:v>
      </x:c>
      <x:c r="E59" s="107" t="n">
        <x:f>SUM(B59:D59)</x:f>
        <x:v>12180.226571903746</x:v>
      </x:c>
      <x:c r="F59" t="str">
        <x:v>млн ₽</x:v>
      </x:c>
      <x:c r="G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  <x:v>803.9753512807754</x:v>
      </x:c>
      <x:c r="C60" s="107" t="n">
        <x:f>IFERROR(C59*1000/C57,0)</x:f>
        <x:v>0</x:v>
      </x:c>
      <x:c r="D60" s="107" t="n">
        <x:f>IFERROR(D59*1000/D57,0)</x:f>
        <x:v>0</x:v>
      </x:c>
      <x:c r="E60" s="107" t="n">
        <x:f>IFERROR(E59*1000/E57,0)</x:f>
        <x:v>803.9753512807754</x:v>
      </x:c>
      <x:c r="F60" t="str">
        <x:v>тыс. ₽/м²</x:v>
      </x:c>
      <x:c r="G60" s="93" t="str">
        <x:v>Выручка площадных продуктов / продаваемая площадь</x:v>
      </x:c>
    </x:row>
    <x:row r="61">
      <x:c r="A61" t="str">
        <x:v>CAPEX на м² GBA</x:v>
      </x:c>
      <x:c r="B61" s="107" t="n">
        <x:f>IFERROR('CF_1'!$B$68*1000/B58,0)</x:f>
        <x:v>361.5190254650134</x:v>
      </x:c>
      <x:c r="C61" s="107" t="n">
        <x:f>IFERROR('CF_2'!$B$68*1000/C58,0)</x:f>
        <x:v>0</x:v>
      </x:c>
      <x:c r="D61" s="107" t="n">
        <x:f>IFERROR('CF_3'!$B$68*1000/D58,0)</x:f>
        <x:v>0</x:v>
      </x:c>
      <x:c r="E61" s="107" t="n">
        <x:f>IFERROR($B$6*1000/E58,0)</x:f>
        <x:v>361.5190254650134</x:v>
      </x:c>
      <x:c r="F61" t="str">
        <x:v>тыс. ₽/м²</x:v>
      </x:c>
      <x:c r="G61" s="93" t="str">
        <x:v>CAPEX очереди / общая площадь</x:v>
      </x:c>
    </x:row>
    <x:row r="62">
      <x:c r="A62" t="str">
        <x:v>Полные расходы на м² продаж</x:v>
      </x:c>
      <x:c r="B62" s="107" t="n">
        <x:f>IFERROR(SUM('CF_1'!$B$68,'CF_1'!$B$69,'CF_1'!$B$74,'CF_1'!$B$76)*1000/B57,0)</x:f>
        <x:v>789.7040803999589</x:v>
      </x:c>
      <x:c r="C62" s="107" t="n">
        <x:f>IFERROR(SUM('CF_2'!$B$68,'CF_2'!$B$69,'CF_2'!$B$74,'CF_2'!$B$76)*1000/C57,0)</x:f>
        <x:v>0</x:v>
      </x:c>
      <x:c r="D62" s="107" t="n">
        <x:f>IFERROR(SUM('CF_3'!$B$68,'CF_3'!$B$69,'CF_3'!$B$74,'CF_3'!$B$76)*1000/D57,0)</x:f>
        <x:v>0</x:v>
      </x:c>
      <x:c r="E62" s="107" t="n">
        <x:f>IFERROR(SUM($B$6,$B$7,$B$9,$B$11)*1000/E57,0)</x:f>
        <x:v>789.7040803999589</x:v>
      </x:c>
      <x:c r="F62" t="str">
        <x:v>тыс. ₽/м²</x:v>
      </x:c>
      <x:c r="G62" s="93" t="str">
        <x:v>CAPEX, коммерческие расходы, финансирование и налог</x:v>
      </x:c>
    </x:row>
    <x:row r="63">
      <x:c r="A63" t="str">
        <x:v>Цена безубыточности площади</x:v>
      </x:c>
      <x:c r="B63" s="107" t="n">
        <x:f>IFERROR(MAX(0,(SUM('CF_1'!$B$68,'CF_1'!$B$69,'CF_1'!$B$74,'CF_1'!$B$76)-('CF_1'!$B$67-B59))*1000/B57),0)</x:f>
        <x:v>752.5567044331899</x:v>
      </x:c>
      <x:c r="C63" s="107" t="n">
        <x:f>IFERROR(MAX(0,(SUM('CF_2'!$B$68,'CF_2'!$B$69,'CF_2'!$B$74,'CF_2'!$B$76)-('CF_2'!$B$67-C59))*1000/C57),0)</x:f>
        <x:v>0</x:v>
      </x:c>
      <x:c r="D63" s="107" t="n">
        <x:f>IFERROR(MAX(0,(SUM('CF_3'!$B$68,'CF_3'!$B$69,'CF_3'!$B$74,'CF_3'!$B$76)-('CF_3'!$B$67-D59))*1000/D57),0)</x:f>
        <x:v>0</x:v>
      </x:c>
      <x:c r="E63" s="107" t="n">
        <x:f>IFERROR(MAX(0,(SUM($B$6,$B$7,$B$9,$B$11)-($B$5-E59))*1000/E57),0)</x:f>
        <x:v>752.5567044331899</x:v>
      </x:c>
      <x:c r="F63" t="str">
        <x:v>тыс. ₽/м²</x:v>
      </x:c>
      <x:c r="G63" s="93" t="str">
        <x:v>Полные расходы минус выручка штучных продуктов</x:v>
      </x:c>
    </x:row>
    <x:row r="64">
      <x:c r="A64" t="str">
        <x:v>Темп продаж до РВЭ — площадь</x:v>
      </x:c>
      <x:c r="B64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  <x:v>536.5624999999999</x:v>
      </x:c>
      <x:c r="C64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  <x:v>0</x:v>
      </x:c>
      <x:c r="D64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  <x:v>0</x:v>
      </x:c>
      <x:c r="E64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)&gt;0)),0)</x:f>
        <x:v>536.5624999999999</x:v>
      </x:c>
      <x:c r="F64" t="str">
        <x:v>м²/мес.</x:v>
      </x:c>
      <x:c r="G64" s="93" t="str">
        <x:v>Средний фактический объём в активные месяцы</x:v>
      </x:c>
    </x:row>
    <x:row r="65">
      <x:c r="A65" t="str">
        <x:v>Темп продаж после РВЭ — площадь</x:v>
      </x:c>
      <x:c r="B65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  <x:v>378.75000000000006</x:v>
      </x:c>
      <x:c r="C65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  <x:v>0</x:v>
      </x:c>
      <x:c r="D65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  <x:v>0</x:v>
      </x:c>
      <x:c r="E65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)&gt;0)),0)</x:f>
        <x:v>378.75000000000006</x:v>
      </x:c>
      <x:c r="F65" t="str">
        <x:v>м²/мес.</x:v>
      </x:c>
      <x:c r="G65" s="93" t="str">
        <x:v>Средний фактический объём в активные месяцы</x:v>
      </x:c>
    </x:row>
    <x:row r="66">
      <x:c r="A66" t="str">
        <x:v>Темп продаж всего — площадь</x:v>
      </x:c>
      <x:c r="B66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  <x:v>505</x:v>
      </x:c>
      <x:c r="C66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  <x:v>0</x:v>
      </x:c>
      <x:c r="D66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  <x:v>0</x:v>
      </x:c>
      <x:c r="E66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)&gt;0)),0)</x:f>
        <x:v>505</x:v>
      </x:c>
      <x:c r="F66" t="str">
        <x:v>м²/мес.</x:v>
      </x:c>
      <x:c r="G66" s="93" t="str">
        <x:v>Средний фактический объём по полному сроку продаж</x:v>
      </x:c>
    </x:row>
    <x:row r="67">
      <x:c r="A67" t="str">
        <x:v>Темп продаж до РВЭ — штуки</x:v>
      </x:c>
      <x:c r="B67" s="107" t="n">
        <x:f>IFERROR(SUMPRODUCT((('Продажи'!$D$20:$DS$20+'Продажи'!$D$23:$DS$23)*'Продажи'!$D$9:$DS$9)+--('ОБЪЕКТЫ'!$B$64=1)*'ОБЪЕКТЫ'!$D$78:$DS$78*'ОБЪЕКТЫ'!$D$73:$DS$73)/SUMPRODUCT(--(((('Продажи'!$D$20:$DS$20+'Продажи'!$D$23:$DS$23)*'Продажи'!$D$9:$DS$9)+--('ОБЪЕКТЫ'!$B$64=1)*'ОБЪЕКТЫ'!$D$78:$DS$78*'ОБЪЕКТЫ'!$D$73:$DS$73)&gt;0)),0)</x:f>
        <x:v>3.222916666666667</x:v>
      </x:c>
      <x:c r="C67" s="107" t="n">
        <x:f>IFERROR(SUMPRODUCT((('Продажи'!$D$43:$DS$43+'Продажи'!$D$46:$DS$46)*'Продажи'!$D$32:$DS$32)+--('ОБЪЕКТЫ'!$B$64=2)*'ОБЪЕКТЫ'!$D$78:$DS$78*'ОБЪЕКТЫ'!$D$73:$DS$73)/SUMPRODUCT(--(((('Продажи'!$D$43:$DS$43+'Продажи'!$D$46:$DS$46)*'Продажи'!$D$32:$DS$32)+--('ОБЪЕКТЫ'!$B$64=2)*'ОБЪЕКТЫ'!$D$78:$DS$78*'ОБЪЕКТЫ'!$D$73:$DS$73)&gt;0)),0)</x:f>
        <x:v>0</x:v>
      </x:c>
      <x:c r="D67" s="107" t="n">
        <x:f>IFERROR(SUMPRODUCT((('Продажи'!$D$66:$DS$66+'Продажи'!$D$69:$DS$69)*'Продажи'!$D$55:$DS$55)+--('ОБЪЕКТЫ'!$B$64=3)*'ОБЪЕКТЫ'!$D$78:$DS$78*'ОБЪЕКТЫ'!$D$73:$DS$73)/SUMPRODUCT(--(((('Продажи'!$D$66:$DS$66+'Продажи'!$D$69:$DS$69)*'Продажи'!$D$55:$DS$55)+--('ОБЪЕКТЫ'!$B$64=3)*'ОБЪЕКТЫ'!$D$78:$DS$78*'ОБЪЕКТЫ'!$D$73:$DS$73)&gt;0)),0)</x:f>
        <x:v>0</x:v>
      </x:c>
      <x:c r="E67" s="107" t="n">
        <x:f>IFERROR(SUMPRODUCT(((('Продажи'!$D$20:$DS$20+'Продажи'!$D$23:$DS$23)*'Продажи'!$D$9:$DS$9)+--('ОБЪЕКТЫ'!$B$64=1)*'ОБЪЕКТЫ'!$D$78:$DS$78*'ОБЪЕКТЫ'!$D$73:$DS$73)+((('Продажи'!$D$43:$DS$43+'Продажи'!$D$46:$DS$46)*'Продажи'!$D$32:$DS$32)+--('ОБЪЕКТЫ'!$B$64=2)*'ОБЪЕКТЫ'!$D$78:$DS$78*'ОБЪЕКТЫ'!$D$73:$DS$73)+((('Продажи'!$D$66:$DS$66+'Продажи'!$D$69:$DS$69)*'Продажи'!$D$55:$DS$55)+--('ОБЪЕКТЫ'!$B$64=3)*'ОБЪЕКТЫ'!$D$78:$DS$78*'ОБЪЕКТЫ'!$D$73:$DS$73))/SUMPRODUCT(--((((('Продажи'!$D$20:$DS$20+'Продажи'!$D$23:$DS$23)*'Продажи'!$D$9:$DS$9)+--('ОБЪЕКТЫ'!$B$64=1)*'ОБЪЕКТЫ'!$D$78:$DS$78*'ОБЪЕКТЫ'!$D$73:$DS$73)+((('Продажи'!$D$43:$DS$43+'Продажи'!$D$46:$DS$46)*'Продажи'!$D$32:$DS$32)+--('ОБЪЕКТЫ'!$B$64=2)*'ОБЪЕКТЫ'!$D$78:$DS$78*'ОБЪЕКТЫ'!$D$73:$DS$73)+((('Продажи'!$D$66:$DS$66+'Продажи'!$D$69:$DS$69)*'Продажи'!$D$55:$DS$55)+--('ОБЪЕКТЫ'!$B$64=3)*'ОБЪЕКТЫ'!$D$78:$DS$78*'ОБЪЕКТЫ'!$D$73:$DS$73))&gt;0)),0)</x:f>
        <x:v>3.222916666666667</x:v>
      </x:c>
      <x:c r="F67" t="str">
        <x:v>шт./мес.</x:v>
      </x:c>
      <x:c r="G67" s="93" t="str">
        <x:v>Паркинги и кладовые</x:v>
      </x:c>
    </x:row>
    <x:row r="68">
      <x:c r="A68" t="str">
        <x:v>Темп продаж после РВЭ — штуки</x:v>
      </x:c>
      <x:c r="B68" s="107" t="n">
        <x:f>IFERROR(SUMPRODUCT((('Продажи'!$D$20:$DS$20+'Продажи'!$D$23:$DS$23)*'Продажи'!$D$12:$DS$12)+--('ОБЪЕКТЫ'!$B$64=1)*'ОБЪЕКТЫ'!$D$78:$DS$78*'ОБЪЕКТЫ'!$D$76:$DS$76)/SUMPRODUCT(--(((('Продажи'!$D$20:$DS$20+'Продажи'!$D$23:$DS$23)*'Продажи'!$D$12:$DS$12)+--('ОБЪЕКТЫ'!$B$64=1)*'ОБЪЕКТЫ'!$D$78:$DS$78*'ОБЪЕКТЫ'!$D$76:$DS$76)&gt;0)),0)</x:f>
        <x:v>2.2750000000000004</x:v>
      </x:c>
      <x:c r="C68" s="107" t="n">
        <x:f>IFERROR(SUMPRODUCT((('Продажи'!$D$43:$DS$43+'Продажи'!$D$46:$DS$46)*'Продажи'!$D$35:$DS$35)+--('ОБЪЕКТЫ'!$B$64=2)*'ОБЪЕКТЫ'!$D$78:$DS$78*'ОБЪЕКТЫ'!$D$76:$DS$76)/SUMPRODUCT(--(((('Продажи'!$D$43:$DS$43+'Продажи'!$D$46:$DS$46)*'Продажи'!$D$35:$DS$35)+--('ОБЪЕКТЫ'!$B$64=2)*'ОБЪЕКТЫ'!$D$78:$DS$78*'ОБЪЕКТЫ'!$D$76:$DS$76)&gt;0)),0)</x:f>
        <x:v>0</x:v>
      </x:c>
      <x:c r="D68" s="107" t="n">
        <x:f>IFERROR(SUMPRODUCT((('Продажи'!$D$66:$DS$66+'Продажи'!$D$69:$DS$69)*'Продажи'!$D$58:$DS$58)+--('ОБЪЕКТЫ'!$B$64=3)*'ОБЪЕКТЫ'!$D$78:$DS$78*'ОБЪЕКТЫ'!$D$76:$DS$76)/SUMPRODUCT(--(((('Продажи'!$D$66:$DS$66+'Продажи'!$D$69:$DS$69)*'Продажи'!$D$58:$DS$58)+--('ОБЪЕКТЫ'!$B$64=3)*'ОБЪЕКТЫ'!$D$78:$DS$78*'ОБЪЕКТЫ'!$D$76:$DS$76)&gt;0)),0)</x:f>
        <x:v>0</x:v>
      </x:c>
      <x:c r="E68" s="107" t="n">
        <x:f>IFERROR(SUMPRODUCT(((('Продажи'!$D$20:$DS$20+'Продажи'!$D$23:$DS$23)*'Продажи'!$D$12:$DS$12)+--('ОБЪЕКТЫ'!$B$64=1)*'ОБЪЕКТЫ'!$D$78:$DS$78*'ОБЪЕКТЫ'!$D$76:$DS$76)+((('Продажи'!$D$43:$DS$43+'Продажи'!$D$46:$DS$46)*'Продажи'!$D$35:$DS$35)+--('ОБЪЕКТЫ'!$B$64=2)*'ОБЪЕКТЫ'!$D$78:$DS$78*'ОБЪЕКТЫ'!$D$76:$DS$76)+((('Продажи'!$D$66:$DS$66+'Продажи'!$D$69:$DS$69)*'Продажи'!$D$58:$DS$58)+--('ОБЪЕКТЫ'!$B$64=3)*'ОБЪЕКТЫ'!$D$78:$DS$78*'ОБЪЕКТЫ'!$D$76:$DS$76))/SUMPRODUCT(--((((('Продажи'!$D$20:$DS$20+'Продажи'!$D$23:$DS$23)*'Продажи'!$D$12:$DS$12)+--('ОБЪЕКТЫ'!$B$64=1)*'ОБЪЕКТЫ'!$D$78:$DS$78*'ОБЪЕКТЫ'!$D$76:$DS$76)+((('Продажи'!$D$43:$DS$43+'Продажи'!$D$46:$DS$46)*'Продажи'!$D$35:$DS$35)+--('ОБЪЕКТЫ'!$B$64=2)*'ОБЪЕКТЫ'!$D$78:$DS$78*'ОБЪЕКТЫ'!$D$76:$DS$76)+((('Продажи'!$D$66:$DS$66+'Продажи'!$D$69:$DS$69)*'Продажи'!$D$58:$DS$58)+--('ОБЪЕКТЫ'!$B$64=3)*'ОБЪЕКТЫ'!$D$78:$DS$78*'ОБЪЕКТЫ'!$D$76:$DS$76))&gt;0)),0)</x:f>
        <x:v>2.2750000000000004</x:v>
      </x:c>
      <x:c r="F68" t="str">
        <x:v>шт./мес.</x:v>
      </x:c>
      <x:c r="G68" s="93" t="str">
        <x:v>Паркинги и кладовые</x:v>
      </x:c>
    </x:row>
    <x:row r="69">
      <x:c r="A69" t="str">
        <x:v>Темп продаж всего — штуки</x:v>
      </x:c>
      <x:c r="B69" s="107" t="n">
        <x:f>IFERROR(SUMPRODUCT(('Продажи'!$D$20:$DS$20+'Продажи'!$D$23:$DS$23)+--('ОБЪЕКТЫ'!$B$64=1)*'ОБЪЕКТЫ'!$D$78:$DS$78)/SUMPRODUCT(--((('Продажи'!$D$20:$DS$20+'Продажи'!$D$23:$DS$23)+--('ОБЪЕКТЫ'!$B$64=1)*'ОБЪЕКТЫ'!$D$78:$DS$78)&gt;0)),0)</x:f>
        <x:v>3.0333333333333337</x:v>
      </x:c>
      <x:c r="C69" s="107" t="n">
        <x:f>IFERROR(SUMPRODUCT(('Продажи'!$D$43:$DS$43+'Продажи'!$D$46:$DS$46)+--('ОБЪЕКТЫ'!$B$64=2)*'ОБЪЕКТЫ'!$D$78:$DS$78)/SUMPRODUCT(--((('Продажи'!$D$43:$DS$43+'Продажи'!$D$46:$DS$46)+--('ОБЪЕКТЫ'!$B$64=2)*'ОБЪЕКТЫ'!$D$78:$DS$78)&gt;0)),0)</x:f>
        <x:v>0</x:v>
      </x:c>
      <x:c r="D69" s="107" t="n">
        <x:f>IFERROR(SUMPRODUCT(('Продажи'!$D$66:$DS$66+'Продажи'!$D$69:$DS$69)+--('ОБЪЕКТЫ'!$B$64=3)*'ОБЪЕКТЫ'!$D$78:$DS$78)/SUMPRODUCT(--((('Продажи'!$D$66:$DS$66+'Продажи'!$D$69:$DS$69)+--('ОБЪЕКТЫ'!$B$64=3)*'ОБЪЕКТЫ'!$D$78:$DS$78)&gt;0)),0)</x:f>
        <x:v>0</x:v>
      </x:c>
      <x:c r="E69" s="107" t="n">
        <x:f>IFERROR(SUMPRODUCT((('Продажи'!$D$20:$DS$20+'Продажи'!$D$23:$DS$23)+--('ОБЪЕКТЫ'!$B$64=1)*'ОБЪЕКТЫ'!$D$78:$DS$78)+(('Продажи'!$D$43:$DS$43+'Продажи'!$D$46:$DS$46)+--('ОБЪЕКТЫ'!$B$64=2)*'ОБЪЕКТЫ'!$D$78:$DS$78)+(('Продажи'!$D$66:$DS$66+'Продажи'!$D$69:$DS$69)+--('ОБЪЕКТЫ'!$B$64=3)*'ОБЪЕКТЫ'!$D$78:$DS$78))/SUMPRODUCT(--(((('Продажи'!$D$20:$DS$20+'Продажи'!$D$23:$DS$23)+--('ОБЪЕКТЫ'!$B$64=1)*'ОБЪЕКТЫ'!$D$78:$DS$78)+(('Продажи'!$D$43:$DS$43+'Продажи'!$D$46:$DS$46)+--('ОБЪЕКТЫ'!$B$64=2)*'ОБЪЕКТЫ'!$D$78:$DS$78)+(('Продажи'!$D$66:$DS$66+'Продажи'!$D$69:$DS$69)+--('ОБЪЕКТЫ'!$B$64=3)*'ОБЪЕКТЫ'!$D$78:$DS$78))&gt;0)),0)</x:f>
        <x:v>3.0333333333333337</x:v>
      </x:c>
      <x:c r="F69" t="str">
        <x:v>шт./мес.</x:v>
      </x:c>
      <x:c r="G69" s="93" t="str">
        <x:v>Паркинги и кладовые</x:v>
      </x:c>
    </x:row>
    <x:row r="70">
      <x:c r="A70" t="str">
        <x:v>Средняя ставка ПФ без эффекта эскроу</x:v>
      </x:c>
      <x:c r="B70" s="352" t="n">
        <x:f>IFERROR(SUMPRODUCT('CF_1'!$D$38:$DS$38,'CF_1'!$D$39:$DS$39)/SUM('CF_1'!$D$38:$DS$38),0)</x:f>
        <x:v>0.13568296540127905</x:v>
      </x:c>
      <x:c r="C70" s="352" t="n">
        <x:f>IFERROR(SUMPRODUCT('CF_2'!$D$38:$DS$38,'CF_2'!$D$39:$DS$39)/SUM('CF_2'!$D$38:$DS$38),0)</x:f>
        <x:v>0</x:v>
      </x:c>
      <x:c r="D70" s="352" t="n">
        <x:f>IFERROR(SUMPRODUCT('CF_3'!$D$38:$DS$38,'CF_3'!$D$39:$DS$39)/SUM('CF_3'!$D$38:$DS$38),0)</x:f>
        <x:v>0</x:v>
      </x:c>
      <x:c r="E70" s="352" t="n">
        <x:f>IFERROR((SUMPRODUCT('CF_1'!$D$38:$DS$38,'CF_1'!$D$39:$DS$39)+SUMPRODUCT('CF_2'!$D$38:$DS$38,'CF_2'!$D$39:$DS$39)+SUMPRODUCT('CF_3'!$D$38:$DS$38,'CF_3'!$D$39:$DS$39))/(SUM('CF_1'!$D$38:$DS$38)+SUM('CF_2'!$D$38:$DS$38)+SUM('CF_3'!$D$38:$DS$38)),0)</x:f>
        <x:v>0.13568296540127905</x:v>
      </x:c>
      <x:c r="F70" t="str">
        <x:v>% год</x:v>
      </x:c>
      <x:c r="G70" s="93" t="str">
        <x:v>Средневзвешенная по остатку ПФ</x:v>
      </x:c>
    </x:row>
    <x:row r="71">
      <x:c r="A71" t="str">
        <x:v>Средняя фактическая ставка ПФ</x:v>
      </x:c>
      <x:c r="B71" s="352" t="n">
        <x:f>IFERROR(SUMPRODUCT('CF_1'!$D$38:$DS$38,'CF_1'!$D$41:$DS$41)/SUM('CF_1'!$D$38:$DS$38),0)</x:f>
        <x:v>0.06946454405560992</x:v>
      </x:c>
      <x:c r="C71" s="352" t="n">
        <x:f>IFERROR(SUMPRODUCT('CF_2'!$D$38:$DS$38,'CF_2'!$D$41:$DS$41)/SUM('CF_2'!$D$38:$DS$38),0)</x:f>
        <x:v>0</x:v>
      </x:c>
      <x:c r="D71" s="352" t="n">
        <x:f>IFERROR(SUMPRODUCT('CF_3'!$D$38:$DS$38,'CF_3'!$D$41:$DS$41)/SUM('CF_3'!$D$38:$DS$38),0)</x:f>
        <x:v>0</x:v>
      </x:c>
      <x:c r="E71" s="352" t="n">
        <x:f>IFERROR((SUMPRODUCT('CF_1'!$D$38:$DS$38,'CF_1'!$D$41:$DS$41)+SUMPRODUCT('CF_2'!$D$38:$DS$38,'CF_2'!$D$41:$DS$41)+SUMPRODUCT('CF_3'!$D$38:$DS$38,'CF_3'!$D$41:$DS$41))/(SUM('CF_1'!$D$38:$DS$38)+SUM('CF_2'!$D$38:$DS$38)+SUM('CF_3'!$D$38:$DS$38)),0)</x:f>
        <x:v>0.06946454405560992</x:v>
      </x:c>
      <x:c r="F71" t="str">
        <x:v>% год</x:v>
      </x:c>
      <x:c r="G71" s="93" t="str">
        <x:v>Средневзвешенная по остатку ПФ после эффекта эскроу</x:v>
      </x:c>
    </x:row>
    <x:row r="73">
      <x:c r="A73" s="52" t="inlineStr">
        <x:is>
          <x:t>ЮНИТ-ЭКОНОМИКА ПРОЕКТА</x:t>
        </x:is>
      </x:c>
    </x:row>
    <x:row r="74">
      <x:c r="A74" s="52" t="inlineStr">
        <x:is>
          <x:t>Показатель</x:t>
        </x:is>
      </x:c>
      <x:c r="B74" s="52" t="inlineStr">
        <x:is>
          <x:t>Всего, млн ₽</x:t>
        </x:is>
      </x:c>
      <x:c r="C74" s="52" t="inlineStr">
        <x:is>
          <x:t>на м² GBA, тыс. ₽</x:t>
        </x:is>
      </x:c>
      <x:c r="D74" s="52" t="inlineStr">
        <x:is>
          <x:t>на м² продаваемой, тыс. ₽</x:t>
        </x:is>
      </x:c>
    </x:row>
    <x:row r="75">
      <x:c r="A75" s="52" t="inlineStr">
        <x:is>
          <x:t>Выручка</x:t>
        </x:is>
      </x:c>
      <x:c r="B75" s="107" t="n">
        <x:f>B5</x:f>
      </x:c>
      <x:c r="C75" s="107" t="n">
        <x:f>IFERROR((B5)*1000/$G$6,0)</x:f>
      </x:c>
      <x:c r="D75" s="107" t="n">
        <x:f>IFERROR((B5)*1000/$G$7,0)</x:f>
      </x:c>
    </x:row>
    <x:row r="76">
      <x:c r="A76" s="52" t="inlineStr">
        <x:is>
          <x:t>CAPEX</x:t>
        </x:is>
      </x:c>
      <x:c r="B76" s="107" t="n">
        <x:f>B6</x:f>
      </x:c>
      <x:c r="C76" s="107" t="n">
        <x:f>IFERROR((B6)*1000/$G$6,0)</x:f>
      </x:c>
      <x:c r="D76" s="107" t="n">
        <x:f>IFERROR((B6)*1000/$G$7,0)</x:f>
      </x:c>
    </x:row>
    <x:row r="77">
      <x:c r="A77" s="52" t="inlineStr">
        <x:is>
          <x:t>Коммерческие расходы</x:t>
        </x:is>
      </x:c>
      <x:c r="B77" s="107" t="n">
        <x:f>B7</x:f>
      </x:c>
      <x:c r="C77" s="107" t="n">
        <x:f>IFERROR((B7)*1000/$G$6,0)</x:f>
      </x:c>
      <x:c r="D77" s="107" t="n">
        <x:f>IFERROR((B7)*1000/$G$7,0)</x:f>
      </x:c>
    </x:row>
    <x:row r="78">
      <x:c r="A78" s="52" t="inlineStr">
        <x:is>
          <x:t>EBITDA</x:t>
        </x:is>
      </x:c>
      <x:c r="B78" s="107" t="n">
        <x:f>B8</x:f>
      </x:c>
      <x:c r="C78" s="107" t="n">
        <x:f>IFERROR((B8)*1000/$G$6,0)</x:f>
      </x:c>
      <x:c r="D78" s="107" t="n">
        <x:f>IFERROR((B8)*1000/$G$7,0)</x:f>
      </x:c>
    </x:row>
    <x:row r="79">
      <x:c r="A79" s="52" t="inlineStr">
        <x:is>
          <x:t>Проценты и комиссии</x:t>
        </x:is>
      </x:c>
      <x:c r="B79" s="107" t="n">
        <x:f>B9</x:f>
      </x:c>
      <x:c r="C79" s="107" t="n">
        <x:f>IFERROR((B9)*1000/$G$6,0)</x:f>
      </x:c>
      <x:c r="D79" s="107" t="n">
        <x:f>IFERROR((B9)*1000/$G$7,0)</x:f>
      </x:c>
    </x:row>
    <x:row r="80">
      <x:c r="A80" s="52" t="inlineStr">
        <x:is>
          <x:t>Налог на прибыль</x:t>
        </x:is>
      </x:c>
      <x:c r="B80" s="107" t="n">
        <x:f>B11</x:f>
      </x:c>
      <x:c r="C80" s="107" t="n">
        <x:f>IFERROR((B11)*1000/$G$6,0)</x:f>
      </x:c>
      <x:c r="D80" s="107" t="n">
        <x:f>IFERROR((B11)*1000/$G$7,0)</x:f>
      </x:c>
    </x:row>
    <x:row r="81">
      <x:c r="A81" s="52" t="inlineStr">
        <x:is>
          <x:t>Полные расходы</x:t>
        </x:is>
      </x:c>
      <x:c r="B81" s="107" t="n">
        <x:f>B6+B7+B9+B11</x:f>
      </x:c>
      <x:c r="C81" s="107" t="n">
        <x:f>IFERROR((B6+B7+B9+B11)*1000/$G$6,0)</x:f>
      </x:c>
      <x:c r="D81" s="107" t="n">
        <x:f>IFERROR((B6+B7+B9+B11)*1000/$G$7,0)</x:f>
      </x:c>
    </x:row>
    <x:row r="82">
      <x:c r="A82" s="52" t="inlineStr">
        <x:is>
          <x:t>Чистая прибыль</x:t>
        </x:is>
      </x:c>
      <x:c r="B82" s="107" t="n">
        <x:f>B12</x:f>
      </x:c>
      <x:c r="C82" s="107" t="n">
        <x:f>IFERROR((B12)*1000/$G$6,0)</x:f>
      </x:c>
      <x:c r="D82" s="107" t="n">
        <x:f>IFERROR((B12)*1000/$G$7,0)</x:f>
      </x:c>
    </x:row>
    <x:row r="84">
      <x:c r="A84" s="52" t="inlineStr">
        <x:is>
          <x:t>ТЕМПЫ ПРОДАЖ ПО ПРОДУКТАМ (проект)</x:t>
        </x:is>
      </x:c>
    </x:row>
    <x:row r="85">
      <x:c r="A85" s="52" t="inlineStr">
        <x:is>
          <x:t>Продукт</x:t>
        </x:is>
      </x:c>
      <x:c r="B85" s="52" t="inlineStr">
        <x:is>
          <x:t>до РВЭ</x:t>
        </x:is>
      </x:c>
      <x:c r="C85" s="52" t="inlineStr">
        <x:is>
          <x:t>после РВЭ</x:t>
        </x:is>
      </x:c>
      <x:c r="D85" s="52" t="inlineStr">
        <x:is>
          <x:t>всего</x:t>
        </x:is>
      </x:c>
      <x:c r="E85" s="52" t="inlineStr">
        <x:is>
          <x:t>Ед.</x:t>
        </x:is>
      </x:c>
    </x:row>
    <x:row r="86">
      <x:c r="A86" s="52" t="inlineStr">
        <x:is>
          <x:t>Квартиры</x:t>
        </x:is>
      </x:c>
      <x:c r="B86" s="107" t="n">
        <x:f>IFERROR((SUMPRODUCT('Продажи'!$D$14:$DS$14,'Продажи'!$D$9:$DS$9)+SUMPRODUCT('Продажи'!$D$37:$DS$37,'Продажи'!$D$32:$DS$32)+SUMPRODUCT('Продажи'!$D$60:$DS$60,'Продажи'!$D$55:$DS$55))/MAX(1,SUM('Продажи'!$D$9:$DS$9)+SUM('Продажи'!$D$32:$DS$32)+SUM('Продажи'!$D$55:$DS$55)),0)</x:f>
      </x:c>
      <x:c r="C86" s="107" t="n">
        <x:f>IFERROR((SUMPRODUCT('Продажи'!$D$14:$DS$14,'Продажи'!$D$12:$DS$12)+SUMPRODUCT('Продажи'!$D$37:$DS$37,'Продажи'!$D$35:$DS$35)+SUMPRODUCT('Продажи'!$D$60:$DS$60,'Продажи'!$D$58:$DS$58))/MAX(1,SUM('Продажи'!$D$12:$DS$12)+SUM('Продажи'!$D$35:$DS$35)+SUM('Продажи'!$D$58:$DS$58)),0)</x:f>
      </x:c>
      <x:c r="D86" s="107" t="n">
        <x:f>IFERROR(SUM('Продажи'!$B$14,'Продажи'!$B$37,'Продажи'!$B$60)/MAX(1,SUM('Продажи'!$D$9:$DS$9)+SUM('Продажи'!$D$32:$DS$32)+SUM('Продажи'!$D$55:$DS$55)+SUM('Продажи'!$D$12:$DS$12)+SUM('Продажи'!$D$35:$DS$35)+SUM('Продажи'!$D$58:$DS$58)),0)</x:f>
      </x:c>
      <x:c r="E86" s="52" t="inlineStr">
        <x:is>
          <x:t>м²/мес.</x:t>
        </x:is>
      </x:c>
    </x:row>
    <x:row r="87">
      <x:c r="A87" s="52" t="inlineStr">
        <x:is>
          <x:t>Коммерция 1 этажа</x:t>
        </x:is>
      </x:c>
      <x:c r="B87" s="107" t="n">
        <x:f>IFERROR((SUMPRODUCT('Продажи'!$D$17:$DS$17,'Продажи'!$D$9:$DS$9)+SUMPRODUCT('Продажи'!$D$40:$DS$40,'Продажи'!$D$32:$DS$32)+SUMPRODUCT('Продажи'!$D$63:$DS$63,'Продажи'!$D$55:$DS$55))/MAX(1,SUM('Продажи'!$D$9:$DS$9)+SUM('Продажи'!$D$32:$DS$32)+SUM('Продажи'!$D$55:$DS$55)),0)</x:f>
      </x:c>
      <x:c r="C87" s="107" t="n">
        <x:f>IFERROR((SUMPRODUCT('Продажи'!$D$17:$DS$17,'Продажи'!$D$12:$DS$12)+SUMPRODUCT('Продажи'!$D$40:$DS$40,'Продажи'!$D$35:$DS$35)+SUMPRODUCT('Продажи'!$D$63:$DS$63,'Продажи'!$D$58:$DS$58))/MAX(1,SUM('Продажи'!$D$12:$DS$12)+SUM('Продажи'!$D$35:$DS$35)+SUM('Продажи'!$D$58:$DS$58)),0)</x:f>
      </x:c>
      <x:c r="D87" s="107" t="n">
        <x:f>IFERROR(SUM('Продажи'!$B$17,'Продажи'!$B$40,'Продажи'!$B$63)/MAX(1,SUM('Продажи'!$D$9:$DS$9)+SUM('Продажи'!$D$32:$DS$32)+SUM('Продажи'!$D$55:$DS$55)+SUM('Продажи'!$D$12:$DS$12)+SUM('Продажи'!$D$35:$DS$35)+SUM('Продажи'!$D$58:$DS$58)),0)</x:f>
      </x:c>
      <x:c r="E87" s="52" t="inlineStr">
        <x:is>
          <x:t>м²/мес.</x:t>
        </x:is>
      </x:c>
    </x:row>
    <x:row r="88">
      <x:c r="A88" s="52" t="inlineStr">
        <x:is>
          <x:t>Подземный паркинг</x:t>
        </x:is>
      </x:c>
      <x:c r="B88" s="107" t="n">
        <x:f>IFERROR((SUMPRODUCT('Продажи'!$D$20:$DS$20,'Продажи'!$D$9:$DS$9)+SUMPRODUCT('Продажи'!$D$43:$DS$43,'Продажи'!$D$32:$DS$32)+SUMPRODUCT('Продажи'!$D$66:$DS$66,'Продажи'!$D$55:$DS$55))/MAX(1,SUM('Продажи'!$D$9:$DS$9)+SUM('Продажи'!$D$32:$DS$32)+SUM('Продажи'!$D$55:$DS$55)),0)</x:f>
      </x:c>
      <x:c r="C88" s="107" t="n">
        <x:f>IFERROR((SUMPRODUCT('Продажи'!$D$20:$DS$20,'Продажи'!$D$12:$DS$12)+SUMPRODUCT('Продажи'!$D$43:$DS$43,'Продажи'!$D$35:$DS$35)+SUMPRODUCT('Продажи'!$D$66:$DS$66,'Продажи'!$D$58:$DS$58))/MAX(1,SUM('Продажи'!$D$12:$DS$12)+SUM('Продажи'!$D$35:$DS$35)+SUM('Продажи'!$D$58:$DS$58)),0)</x:f>
      </x:c>
      <x:c r="D88" s="107" t="n">
        <x:f>IFERROR(SUM('Продажи'!$B$20,'Продажи'!$B$43,'Продажи'!$B$66)/MAX(1,SUM('Продажи'!$D$9:$DS$9)+SUM('Продажи'!$D$32:$DS$32)+SUM('Продажи'!$D$55:$DS$55)+SUM('Продажи'!$D$12:$DS$12)+SUM('Продажи'!$D$35:$DS$35)+SUM('Продажи'!$D$58:$DS$58)),0)</x:f>
      </x:c>
      <x:c r="E88" s="52" t="inlineStr">
        <x:is>
          <x:t>шт./мес.</x:t>
        </x:is>
      </x:c>
    </x:row>
    <x:row r="89">
      <x:c r="A89" s="52" t="inlineStr">
        <x:is>
          <x:t>Кладовые</x:t>
        </x:is>
      </x:c>
      <x:c r="B89" s="107" t="n">
        <x:f>IFERROR((SUMPRODUCT('Продажи'!$D$23:$DS$23,'Продажи'!$D$9:$DS$9)+SUMPRODUCT('Продажи'!$D$46:$DS$46,'Продажи'!$D$32:$DS$32)+SUMPRODUCT('Продажи'!$D$69:$DS$69,'Продажи'!$D$55:$DS$55))/MAX(1,SUM('Продажи'!$D$9:$DS$9)+SUM('Продажи'!$D$32:$DS$32)+SUM('Продажи'!$D$55:$DS$55)),0)</x:f>
      </x:c>
      <x:c r="C89" s="107" t="n">
        <x:f>IFERROR((SUMPRODUCT('Продажи'!$D$23:$DS$23,'Продажи'!$D$12:$DS$12)+SUMPRODUCT('Продажи'!$D$46:$DS$46,'Продажи'!$D$35:$DS$35)+SUMPRODUCT('Продажи'!$D$69:$DS$69,'Продажи'!$D$58:$DS$58))/MAX(1,SUM('Продажи'!$D$12:$DS$12)+SUM('Продажи'!$D$35:$DS$35)+SUM('Продажи'!$D$58:$DS$58)),0)</x:f>
      </x:c>
      <x:c r="D89" s="107" t="n">
        <x:f>IFERROR(SUM('Продажи'!$B$23,'Продажи'!$B$46,'Продажи'!$B$69)/MAX(1,SUM('Продажи'!$D$9:$DS$9)+SUM('Продажи'!$D$32:$DS$32)+SUM('Продажи'!$D$55:$DS$55)+SUM('Продажи'!$D$12:$DS$12)+SUM('Продажи'!$D$35:$DS$35)+SUM('Продажи'!$D$58:$DS$58)),0)</x:f>
      </x:c>
      <x:c r="E89" s="52" t="inlineStr">
        <x:is>
          <x:t>шт./мес.</x:t>
        </x:is>
      </x:c>
    </x:row>
    <x:row r="90">
      <x:c r="A90" s="52" t="inlineStr">
        <x:is>
          <x:t>МФОЦ / офисный центр</x:t>
        </x:is>
      </x:c>
      <x:c r="B90" s="107" t="n">
        <x:f>IFERROR(SUMPRODUCT('ОБЪЕКТЫ'!$D$22:$DS$22,'ОБЪЕКТЫ'!$D$17:$DS$17)/MAX(1,SUM('ОБЪЕКТЫ'!$D$17:$DS$17)),0)</x:f>
      </x:c>
      <x:c r="C90" s="107" t="n">
        <x:f>IFERROR(SUMPRODUCT('ОБЪЕКТЫ'!$D$22:$DS$22,'ОБЪЕКТЫ'!$D$20:$DS$20)/MAX(1,SUM('ОБЪЕКТЫ'!$D$20:$DS$20)),0)</x:f>
      </x:c>
      <x:c r="D90" s="107" t="n">
        <x:f>IFERROR('ОБЪЕКТЫ'!$B$22/MAX(1,SUM('ОБЪЕКТЫ'!$D$17:$DS$17)+SUM('ОБЪЕКТЫ'!$D$20:$DS$20)),0)</x:f>
      </x:c>
      <x:c r="E90" s="52" t="inlineStr">
        <x:is>
          <x:t>м²/мес.</x:t>
        </x:is>
      </x:c>
    </x:row>
    <x:row r="91">
      <x:c r="A91" s="52" t="inlineStr">
        <x:is>
          <x:t>Торговый центр / ОСЗ</x:t>
        </x:is>
      </x:c>
      <x:c r="B91" s="107" t="n">
        <x:f>IFERROR(SUMPRODUCT('ОБЪЕКТЫ'!$D$50:$DS$50,'ОБЪЕКТЫ'!$D$45:$DS$45)/MAX(1,SUM('ОБЪЕКТЫ'!$D$45:$DS$45)),0)</x:f>
      </x:c>
      <x:c r="C91" s="107" t="n">
        <x:f>IFERROR(SUMPRODUCT('ОБЪЕКТЫ'!$D$50:$DS$50,'ОБЪЕКТЫ'!$D$48:$DS$48)/MAX(1,SUM('ОБЪЕКТЫ'!$D$48:$DS$48)),0)</x:f>
      </x:c>
      <x:c r="D91" s="107" t="n">
        <x:f>IFERROR('ОБЪЕКТЫ'!$B$50/MAX(1,SUM('ОБЪЕКТЫ'!$D$45:$DS$45)+SUM('ОБЪЕКТЫ'!$D$48:$DS$48)),0)</x:f>
      </x:c>
      <x:c r="E91" s="52" t="inlineStr">
        <x:is>
          <x:t>м²/мес.</x:t>
        </x:is>
      </x:c>
    </x:row>
    <x:row r="92">
      <x:c r="A92" s="52" t="inlineStr">
        <x:is>
          <x:t>Наземный паркинг</x:t>
        </x:is>
      </x:c>
      <x:c r="B92" s="107" t="n">
        <x:f>IFERROR(SUMPRODUCT('ОБЪЕКТЫ'!$D$78:$DS$78,'ОБЪЕКТЫ'!$D$73:$DS$73)/MAX(1,SUM('ОБЪЕКТЫ'!$D$73:$DS$73)),0)</x:f>
      </x:c>
      <x:c r="C92" s="107" t="n">
        <x:f>IFERROR(SUMPRODUCT('ОБЪЕКТЫ'!$D$78:$DS$78,'ОБЪЕКТЫ'!$D$76:$DS$76)/MAX(1,SUM('ОБЪЕКТЫ'!$D$76:$DS$76)),0)</x:f>
      </x:c>
      <x:c r="D92" s="107" t="n">
        <x:f>IFERROR('ОБЪЕКТЫ'!$B$78/MAX(1,SUM('ОБЪЕКТЫ'!$D$73:$DS$73)+SUM('ОБЪЕКТЫ'!$D$76:$DS$76)),0)</x:f>
      </x:c>
      <x:c r="E92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  <x:v>Проект: Проект DevelopAid | Сценарий: Base | Версия: 4.0 · sales-drivers</x:v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  <x:v>Квартал</x:v>
      </x:c>
      <x:c r="AE3" s="267" t="str">
        <x:f>U3</x:f>
        <x:v>Долг</x:v>
      </x:c>
      <x:c r="AF3" s="267" t="str">
        <x:f>V3</x:f>
        <x:v>Эскроу</x:v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  <x:v>2027 Q1</x:v>
      </x:c>
      <x:c r="S4" s="267" t="n">
        <x:f>SUM('CF'!D6:'CF'!F6)</x:f>
        <x:v>0</x:v>
      </x:c>
      <x:c r="T4" s="267" t="n">
        <x:f>SUM('CF'!D13:'CF'!F13)</x:f>
        <x:v>723.9421922619048</x:v>
      </x:c>
      <x:c r="U4" s="267" t="n">
        <x:f>MAX('CF'!D19:'CF'!F19)</x:f>
        <x:v>747.3030510819349</x:v>
      </x:c>
      <x:c r="V4" s="267" t="n">
        <x:f>MAX('CF'!D9:'CF'!F9)</x:f>
        <x:v>0</x:v>
      </x:c>
      <x:c r="W4" s="267"/>
      <x:c r="X4" s="267" t="str">
        <x:v>Покупка</x:v>
      </x:c>
      <x:c r="Y4" s="267" t="n">
        <x:f>'ОТЧЕТ'!B33</x:f>
        <x:v>700</x:v>
      </x:c>
      <x:c r="Z4" s="267"/>
      <x:c r="AA4" s="267" t="str">
        <x:f>'КОНСОЛИДАТОР'!A4</x:f>
        <x:v>Очередь 1</x:v>
      </x:c>
      <x:c r="AB4" s="267" t="n">
        <x:f>'КОНСОЛИДАТОР'!L4</x:f>
        <x:v>778.9924997409198</x:v>
      </x:c>
      <x:c r="AC4" s="267"/>
      <x:c r="AD4" s="267" t="str">
        <x:f>R4</x:f>
        <x:v>2027 Q1</x:v>
      </x:c>
      <x:c r="AE4" s="267" t="n">
        <x:f>U4</x:f>
        <x:v>747.3030510819349</x:v>
      </x:c>
      <x:c r="AF4" s="267" t="n">
        <x:f>V4</x:f>
        <x:v>0</x:v>
      </x:c>
    </x:row>
    <x:row r="5">
      <x:c r="A5" s="177" t="n">
        <x:f>'ОТЧЕТ'!B5</x:f>
        <x:v>12743.009317800295</x:v>
      </x:c>
      <x:c r="B5" s="178"/>
      <x:c r="C5" s="178"/>
      <x:c r="D5" s="179"/>
      <x:c r="E5" s="177" t="n">
        <x:f>'ОТЧЕТ'!B12</x:f>
        <x:v>778.9924997409198</x:v>
      </x:c>
      <x:c r="F5" s="178"/>
      <x:c r="G5" s="178"/>
      <x:c r="H5" s="179"/>
      <x:c r="I5" s="204" t="n">
        <x:f>'ОТЧЕТ'!B14</x:f>
        <x:v>0.625898287635366</x:v>
      </x:c>
      <x:c r="J5" s="205"/>
      <x:c r="K5" s="205"/>
      <x:c r="L5" s="206"/>
      <x:c r="M5" s="231" t="n">
        <x:f>'ОТЧЕТ'!B19</x:f>
        <x:v>1.1405967462060769</x:v>
      </x:c>
      <x:c r="N5" s="232"/>
      <x:c r="O5" s="232"/>
      <x:c r="P5" s="233"/>
      <x:c r="R5" s="267" t="str">
        <x:f>TEXT('CF'!G3,"yyyy")&amp;" Q"&amp;ROUNDUP(MONTH('CF'!G3)/3,0)</x:f>
        <x:v>2027 Q2</x:v>
      </x:c>
      <x:c r="S5" s="267" t="n">
        <x:f>SUM('CF'!G6:'CF'!I6)</x:f>
        <x:v>0</x:v>
      </x:c>
      <x:c r="T5" s="267" t="n">
        <x:f>SUM('CF'!G13:'CF'!I13)</x:f>
        <x:v>23.942192261904754</x:v>
      </x:c>
      <x:c r="U5" s="267" t="n">
        <x:f>MAX('CF'!G19:'CF'!I19)</x:f>
        <x:v>806.3137789846162</x:v>
      </x:c>
      <x:c r="V5" s="267" t="n">
        <x:f>MAX('CF'!G9:'CF'!I9)</x:f>
        <x:v>0</x:v>
      </x:c>
      <x:c r="W5" s="267"/>
      <x:c r="X5" s="267" t="str">
        <x:v>ВРИ</x:v>
      </x:c>
      <x:c r="Y5" s="267" t="n">
        <x:f>'ОТЧЕТ'!B34</x:f>
        <x:v>1267.539</x:v>
      </x:c>
      <x:c r="Z5" s="267"/>
      <x:c r="AA5" s="267" t="str">
        <x:f>'КОНСОЛИДАТОР'!A5</x:f>
        <x:v>Очередь 2</x:v>
      </x:c>
      <x:c r="AB5" s="267" t="n">
        <x:f>'КОНСОЛИДАТОР'!L5</x:f>
        <x:v>0</x:v>
      </x:c>
      <x:c r="AC5" s="267"/>
      <x:c r="AD5" s="267" t="str">
        <x:f>R5</x:f>
        <x:v>2027 Q2</x:v>
      </x:c>
      <x:c r="AE5" s="267" t="n">
        <x:f>U5</x:f>
        <x:v>806.3137789846162</x:v>
      </x:c>
      <x:c r="AF5" s="267" t="n">
        <x:f>V5</x:f>
        <x:v>0</x:v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  <x:v>2027 Q3</x:v>
      </x:c>
      <x:c r="S6" s="267" t="n">
        <x:f>SUM('CF'!J6:'CF'!L6)</x:f>
        <x:v>0</x:v>
      </x:c>
      <x:c r="T6" s="267" t="n">
        <x:f>SUM('CF'!J13:'CF'!L13)</x:f>
        <x:v>23.942192261904754</x:v>
      </x:c>
      <x:c r="U6" s="267" t="n">
        <x:f>MAX('CF'!J19:'CF'!L19)</x:f>
        <x:v>865.2906976905589</x:v>
      </x:c>
      <x:c r="V6" s="267" t="n">
        <x:f>MAX('CF'!J9:'CF'!L9)</x:f>
        <x:v>0</x:v>
      </x:c>
      <x:c r="W6" s="267"/>
      <x:c r="X6" s="267" t="str">
        <x:v>Строительство</x:v>
      </x:c>
      <x:c r="Y6" s="267" t="n">
        <x:f>'ОТЧЕТ'!B35</x:f>
        <x:v>6839.3575342500035</x:v>
      </x:c>
      <x:c r="Z6" s="267"/>
      <x:c r="AA6" s="267" t="str">
        <x:f>'КОНСОЛИДАТОР'!A6</x:f>
        <x:v>Очередь 3</x:v>
      </x:c>
      <x:c r="AB6" s="267" t="n">
        <x:f>'КОНСОЛИДАТОР'!L6</x:f>
        <x:v>0</x:v>
      </x:c>
      <x:c r="AC6" s="267"/>
      <x:c r="AD6" s="267" t="str">
        <x:f>R6</x:f>
        <x:v>2027 Q3</x:v>
      </x:c>
      <x:c r="AE6" s="267" t="n">
        <x:f>U6</x:f>
        <x:v>865.2906976905589</x:v>
      </x:c>
      <x:c r="AF6" s="267" t="n">
        <x:f>V6</x:f>
        <x:v>0</x:v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  <x:v>2027 Q4</x:v>
      </x:c>
      <x:c r="S7" s="267" t="n">
        <x:f>SUM('CF'!M6:'CF'!O6)</x:f>
        <x:v>0</x:v>
      </x:c>
      <x:c r="T7" s="267" t="n">
        <x:f>SUM('CF'!M13:'CF'!O13)</x:f>
        <x:v>23.942192261904754</x:v>
      </x:c>
      <x:c r="U7" s="267" t="n">
        <x:f>MAX('CF'!M19:'CF'!O19)</x:f>
        <x:v>924.1589878489447</x:v>
      </x:c>
      <x:c r="V7" s="267" t="n">
        <x:f>MAX('CF'!M9:'CF'!O9)</x:f>
        <x:v>0</x:v>
      </x:c>
      <x:c r="W7" s="267"/>
      <x:c r="X7" s="267" t="str">
        <x:v>Соцнагрузка</x:v>
      </x:c>
      <x:c r="Y7" s="267" t="n">
        <x:f>'ОТЧЕТ'!B36</x:f>
        <x:v>580.668</x:v>
      </x:c>
      <x:c r="Z7" s="267"/>
      <x:c r="AA7" s="267" t="str">
        <x:v>Консолидировано</x:v>
      </x:c>
      <x:c r="AB7" s="267" t="n">
        <x:f>'КОНСОЛИДАТОР'!L7</x:f>
        <x:v>778.9924997409198</x:v>
      </x:c>
      <x:c r="AC7" s="267"/>
      <x:c r="AD7" s="267" t="str">
        <x:f>R7</x:f>
        <x:v>2027 Q4</x:v>
      </x:c>
      <x:c r="AE7" s="267" t="n">
        <x:f>U7</x:f>
        <x:v>924.1589878489447</x:v>
      </x:c>
      <x:c r="AF7" s="267" t="n">
        <x:f>V7</x:f>
        <x:v>0</x:v>
      </x:c>
    </x:row>
    <x:row r="8">
      <x:c r="R8" s="267" t="str">
        <x:f>TEXT('CF'!P3,"yyyy")&amp;" Q"&amp;ROUNDUP(MONTH('CF'!P3)/3,0)</x:f>
        <x:v>2028 Q1</x:v>
      </x:c>
      <x:c r="S8" s="267" t="n">
        <x:f>SUM('CF'!P6:'CF'!R6)</x:f>
        <x:v>0</x:v>
      </x:c>
      <x:c r="T8" s="267" t="n">
        <x:f>SUM('CF'!P13:'CF'!R13)</x:f>
        <x:v>101.84319226190478</x:v>
      </x:c>
      <x:c r="U8" s="267" t="n">
        <x:f>MAX('CF'!P19:'CF'!R19)</x:f>
        <x:v>1061.8583455603437</x:v>
      </x:c>
      <x:c r="V8" s="267" t="n">
        <x:f>MAX('CF'!P9:'CF'!R9)</x:f>
        <x:v>0</x:v>
      </x:c>
      <x:c r="W8" s="267"/>
      <x:c r="X8" s="267" t="str">
        <x:v>Маркетинг и продажи</x:v>
      </x:c>
      <x:c r="Y8" s="267" t="n">
        <x:f>'ОТЧЕТ'!B37</x:f>
        <x:v>892.0106522460204</x:v>
      </x:c>
      <x:c r="Z8" s="267"/>
      <x:c r="AA8" s="267"/>
      <x:c r="AB8" s="267"/>
      <x:c r="AC8" s="267"/>
      <x:c r="AD8" s="267" t="str">
        <x:f>R8</x:f>
        <x:v>2028 Q1</x:v>
      </x:c>
      <x:c r="AE8" s="267" t="n">
        <x:f>U8</x:f>
        <x:v>1061.8583455603437</x:v>
      </x:c>
      <x:c r="AF8" s="267" t="n">
        <x:f>V8</x:f>
        <x:v>0</x:v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  <x:v>2028 Q2</x:v>
      </x:c>
      <x:c r="S9" s="267" t="n">
        <x:f>SUM('CF'!S6:'CF'!U6)</x:f>
        <x:v>0</x:v>
      </x:c>
      <x:c r="T9" s="267" t="n">
        <x:f>SUM('CF'!S13:'CF'!U13)</x:f>
        <x:v>1950.0501922619046</x:v>
      </x:c>
      <x:c r="U9" s="267" t="n">
        <x:f>MAX('CF'!S19:'CF'!U19)</x:f>
        <x:v>3050.711737585049</x:v>
      </x:c>
      <x:c r="V9" s="267" t="n">
        <x:f>MAX('CF'!S9:'CF'!U9)</x:f>
        <x:v>0</x:v>
      </x:c>
      <x:c r="W9" s="267"/>
      <x:c r="X9" s="267" t="str">
        <x:v>Финансирование</x:v>
      </x:c>
      <x:c r="Y9" s="267" t="n">
        <x:f>'ОТЧЕТ'!B38</x:f>
        <x:v>1390.51079831638</x:v>
      </x:c>
      <x:c r="Z9" s="267"/>
      <x:c r="AA9" s="267"/>
      <x:c r="AB9" s="267"/>
      <x:c r="AC9" s="267"/>
      <x:c r="AD9" s="267" t="str">
        <x:f>R9</x:f>
        <x:v>2028 Q2</x:v>
      </x:c>
      <x:c r="AE9" s="267" t="n">
        <x:f>U9</x:f>
        <x:v>3050.711737585049</x:v>
      </x:c>
      <x:c r="AF9" s="267" t="n">
        <x:f>V9</x:f>
        <x:v>0</x:v>
      </x:c>
    </x:row>
    <x:row r="10">
      <x:c r="A10" s="177" t="n">
        <x:f>'ОТЧЕТ'!B6</x:f>
        <x:v>9387.564534250003</x:v>
      </x:c>
      <x:c r="B10" s="178"/>
      <x:c r="C10" s="178"/>
      <x:c r="D10" s="179"/>
      <x:c r="E10" s="177" t="n">
        <x:f>'ОТЧЕТ'!B17</x:f>
        <x:v>10280</x:v>
      </x:c>
      <x:c r="F10" s="178"/>
      <x:c r="G10" s="178"/>
      <x:c r="H10" s="179"/>
      <x:c r="I10" s="177" t="n">
        <x:f>'ОТЧЕТ'!B15</x:f>
        <x:v>258.32826669165195</x:v>
      </x:c>
      <x:c r="J10" s="178"/>
      <x:c r="K10" s="178"/>
      <x:c r="L10" s="179"/>
      <x:c r="M10" s="258" t="str">
        <x:f>'ОТЧЕТ'!B20</x:f>
        <x:v>PASS WITH WARNINGS</x:v>
      </x:c>
      <x:c r="N10" s="259"/>
      <x:c r="O10" s="259"/>
      <x:c r="P10" s="260"/>
      <x:c r="R10" s="267" t="str">
        <x:f>TEXT('CF'!V3,"yyyy")&amp;" Q"&amp;ROUNDUP(MONTH('CF'!V3)/3,0)</x:f>
        <x:v>2028 Q3</x:v>
      </x:c>
      <x:c r="S10" s="267" t="n">
        <x:f>SUM('CF'!V6:'CF'!X6)</x:f>
        <x:v>960.1433210203601</x:v>
      </x:c>
      <x:c r="T10" s="267" t="n">
        <x:f>SUM('CF'!V13:'CF'!X13)</x:f>
        <x:v>546.2069289676194</x:v>
      </x:c>
      <x:c r="U10" s="267" t="n">
        <x:f>MAX('CF'!V19:'CF'!X19)</x:f>
        <x:v>3635.480758215615</x:v>
      </x:c>
      <x:c r="V10" s="267" t="n">
        <x:f>MAX('CF'!V9:'CF'!X9)</x:f>
        <x:v>960.1433210203601</x:v>
      </x:c>
      <x:c r="W10" s="267"/>
      <x:c r="X10" s="267" t="str">
        <x:v>Налог</x:v>
      </x:c>
      <x:c r="Y10" s="267" t="n">
        <x:f>'ОТЧЕТ'!B39</x:f>
        <x:v>293.93083324697335</x:v>
      </x:c>
      <x:c r="Z10" s="267"/>
      <x:c r="AA10" s="267"/>
      <x:c r="AB10" s="267"/>
      <x:c r="AC10" s="267"/>
      <x:c r="AD10" s="267" t="str">
        <x:f>R10</x:f>
        <x:v>2028 Q3</x:v>
      </x:c>
      <x:c r="AE10" s="267" t="n">
        <x:f>U10</x:f>
        <x:v>3635.480758215615</x:v>
      </x:c>
      <x:c r="AF10" s="267" t="n">
        <x:f>V10</x:f>
        <x:v>960.1433210203601</x:v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  <x:v>2028 Q4</x:v>
      </x:c>
      <x:c r="S11" s="267" t="n">
        <x:f>SUM('CF'!Y6:'CF'!AA6)</x:f>
        <x:v>1147.7690256077658</x:v>
      </x:c>
      <x:c r="T11" s="267" t="n">
        <x:f>SUM('CF'!Y13:'CF'!AA13)</x:f>
        <x:v>865.5957533338199</x:v>
      </x:c>
      <x:c r="U11" s="267" t="n">
        <x:f>MAX('CF'!Y19:'CF'!AA19)</x:f>
        <x:v>4501.076511549435</x:v>
      </x:c>
      <x:c r="V11" s="267" t="n">
        <x:f>MAX('CF'!Y9:'CF'!AA9)</x:f>
        <x:v>2107.912346628126</x:v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  <x:v>2028 Q4</x:v>
      </x:c>
      <x:c r="AE11" s="267" t="n">
        <x:f>U11</x:f>
        <x:v>4501.076511549435</x:v>
      </x:c>
      <x:c r="AF11" s="267" t="n">
        <x:f>V11</x:f>
        <x:v>2107.912346628126</x:v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  <x:v>2029 Q1</x:v>
      </x:c>
      <x:c r="S12" s="267" t="n">
        <x:f>SUM('CF'!AB6:'CF'!AD6)</x:f>
        <x:v>1176.2654381546772</x:v>
      </x:c>
      <x:c r="T12" s="267" t="n">
        <x:f>SUM('CF'!AB13:'CF'!AD13)</x:f>
        <x:v>1020.7180147346447</x:v>
      </x:c>
      <x:c r="U12" s="267" t="n">
        <x:f>MAX('CF'!AB19:'CF'!AD19)</x:f>
        <x:v>5521.794526284079</x:v>
      </x:c>
      <x:c r="V12" s="267" t="n">
        <x:f>MAX('CF'!AB9:'CF'!AD9)</x:f>
        <x:v>3284.1777847828034</x:v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  <x:v>2029 Q1</x:v>
      </x:c>
      <x:c r="AE12" s="267" t="n">
        <x:f>U12</x:f>
        <x:v>5521.794526284079</x:v>
      </x:c>
      <x:c r="AF12" s="267" t="n">
        <x:f>V12</x:f>
        <x:v>3284.1777847828034</x:v>
      </x:c>
    </x:row>
    <x:row r="13">
      <x:c r="R13" s="267" t="str">
        <x:f>TEXT('CF'!AE3,"yyyy")&amp;" Q"&amp;ROUNDUP(MONTH('CF'!AE3)/3,0)</x:f>
        <x:v>2029 Q2</x:v>
      </x:c>
      <x:c r="S13" s="267" t="n">
        <x:f>SUM('CF'!AE6:'CF'!AG6)</x:f>
        <x:v>1197.3588734335935</x:v>
      </x:c>
      <x:c r="T13" s="267" t="n">
        <x:f>SUM('CF'!AE13:'CF'!AG13)</x:f>
        <x:v>1022.1945552041689</x:v>
      </x:c>
      <x:c r="U13" s="267" t="n">
        <x:f>MAX('CF'!AE19:'CF'!AG19)</x:f>
        <x:v>6543.989081488248</x:v>
      </x:c>
      <x:c r="V13" s="267" t="n">
        <x:f>MAX('CF'!AE9:'CF'!AG9)</x:f>
        <x:v>4481.536658216397</x:v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  <x:v>2029 Q2</x:v>
      </x:c>
      <x:c r="AE13" s="267" t="n">
        <x:f>U13</x:f>
        <x:v>6543.989081488248</x:v>
      </x:c>
      <x:c r="AF13" s="267" t="n">
        <x:f>V13</x:f>
        <x:v>4481.536658216397</x:v>
      </x:c>
    </x:row>
    <x:row r="14">
      <x:c r="R14" s="267" t="str">
        <x:f>TEXT('CF'!AH3,"yyyy")&amp;" Q"&amp;ROUNDUP(MONTH('CF'!AH3)/3,0)</x:f>
        <x:v>2029 Q3</x:v>
      </x:c>
      <x:c r="S14" s="267" t="n">
        <x:f>SUM('CF'!AH6:'CF'!AJ6)</x:f>
        <x:v>1293.5554724005494</x:v>
      </x:c>
      <x:c r="T14" s="267" t="n">
        <x:f>SUM('CF'!AH13:'CF'!AJ13)</x:f>
        <x:v>1028.9283171318557</x:v>
      </x:c>
      <x:c r="U14" s="267" t="n">
        <x:f>MAX('CF'!AH19:'CF'!AJ19)</x:f>
        <x:v>7572.917398620105</x:v>
      </x:c>
      <x:c r="V14" s="267" t="n">
        <x:f>MAX('CF'!AH9:'CF'!AJ9)</x:f>
        <x:v>5775.092130616947</x:v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  <x:v>2029 Q3</x:v>
      </x:c>
      <x:c r="AE14" s="267" t="n">
        <x:f>U14</x:f>
        <x:v>7572.917398620105</x:v>
      </x:c>
      <x:c r="AF14" s="267" t="n">
        <x:f>V14</x:f>
        <x:v>5775.092130616947</x:v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  <x:v>2029 Q4</x:v>
      </x:c>
      <x:c r="S15" s="267" t="n">
        <x:f>SUM('CF'!AK6:'CF'!AM6)</x:f>
        <x:v>1546.3346686085927</x:v>
      </x:c>
      <x:c r="T15" s="267" t="n">
        <x:f>SUM('CF'!AK13:'CF'!AM13)</x:f>
        <x:v>1046.6228608664187</x:v>
      </x:c>
      <x:c r="U15" s="267" t="n">
        <x:f>MAX('CF'!AK19:'CF'!AM19)</x:f>
        <x:v>8619.540259486523</x:v>
      </x:c>
      <x:c r="V15" s="267" t="n">
        <x:f>MAX('CF'!AK9:'CF'!AM9)</x:f>
        <x:v>7321.426799225539</x:v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  <x:v>2029 Q4</x:v>
      </x:c>
      <x:c r="AE15" s="267" t="n">
        <x:f>U15</x:f>
        <x:v>8619.540259486523</x:v>
      </x:c>
      <x:c r="AF15" s="267" t="n">
        <x:f>V15</x:f>
        <x:v>7321.426799225539</x:v>
      </x:c>
    </x:row>
    <x:row r="16">
      <x:c r="R16" s="267" t="str">
        <x:f>TEXT('CF'!AN3,"yyyy")&amp;" Q"&amp;ROUNDUP(MONTH('CF'!AN3)/3,0)</x:f>
        <x:v>2030 Q1</x:v>
      </x:c>
      <x:c r="S16" s="267" t="n">
        <x:f>SUM('CF'!AN6:'CF'!AP6)</x:f>
        <x:v>1584.726531142893</x:v>
      </x:c>
      <x:c r="T16" s="267" t="n">
        <x:f>SUM('CF'!AN13:'CF'!AP13)</x:f>
        <x:v>845.1402745470986</x:v>
      </x:c>
      <x:c r="U16" s="267" t="n">
        <x:f>MAX('CF'!AN19:'CF'!AP19)</x:f>
        <x:v>9464.680534033621</x:v>
      </x:c>
      <x:c r="V16" s="267" t="n">
        <x:f>MAX('CF'!AN9:'CF'!AP9)</x:f>
        <x:v>8906.153330368434</x:v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  <x:v>2030 Q1</x:v>
      </x:c>
      <x:c r="AE16" s="267" t="n">
        <x:f>U16</x:f>
        <x:v>9464.680534033621</x:v>
      </x:c>
      <x:c r="AF16" s="267" t="n">
        <x:f>V16</x:f>
        <x:v>8906.153330368434</x:v>
      </x:c>
    </x:row>
    <x:row r="17">
      <x:c r="R17" s="267" t="str">
        <x:f>TEXT('CF'!AQ3,"yyyy")&amp;" Q"&amp;ROUNDUP(MONTH('CF'!AQ3)/3,0)</x:f>
        <x:v>2030 Q2</x:v>
      </x:c>
      <x:c r="S17" s="267" t="n">
        <x:f>SUM('CF'!AQ6:'CF'!AS6)</x:f>
        <x:v>1613.144714178081</x:v>
      </x:c>
      <x:c r="T17" s="267" t="n">
        <x:f>SUM('CF'!AQ13:'CF'!AS13)</x:f>
        <x:v>900.8465390112012</x:v>
      </x:c>
      <x:c r="U17" s="267" t="n">
        <x:f>MAX('CF'!AQ19:'CF'!AS19)</x:f>
        <x:v>10280</x:v>
      </x:c>
      <x:c r="V17" s="267" t="n">
        <x:f>MAX('CF'!AQ9:'CF'!AS9)</x:f>
        <x:v>10519.298044546515</x:v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  <x:v>2030 Q2</x:v>
      </x:c>
      <x:c r="AE17" s="267" t="n">
        <x:f>U17</x:f>
        <x:v>10280</x:v>
      </x:c>
      <x:c r="AF17" s="267" t="n">
        <x:f>V17</x:f>
        <x:v>10519.298044546515</x:v>
      </x:c>
    </x:row>
    <x:row r="18">
      <x:c r="R18" s="267" t="str">
        <x:f>TEXT('CF'!AT3,"yyyy")&amp;" Q"&amp;ROUNDUP(MONTH('CF'!AT3)/3,0)</x:f>
        <x:v>2030 Q3</x:v>
      </x:c>
      <x:c r="S18" s="267" t="n">
        <x:f>SUM('CF'!AT6:'CF'!AV6)</x:f>
        <x:v>1033.041035079586</x:v>
      </x:c>
      <x:c r="T18" s="267" t="n">
        <x:f>SUM('CF'!AT13:'CF'!AV13)</x:f>
        <x:v>72.31287245557101</x:v>
      </x:c>
      <x:c r="U18" s="267" t="n">
        <x:f>MAX('CF'!AT19:'CF'!AV19)</x:f>
        <x:v>0</x:v>
      </x:c>
      <x:c r="V18" s="267" t="n">
        <x:f>MAX('CF'!AT9:'CF'!AV9)</x:f>
        <x:v>0</x:v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  <x:v>2030 Q3</x:v>
      </x:c>
      <x:c r="AE18" s="267" t="n">
        <x:f>U18</x:f>
        <x:v>0</x:v>
      </x:c>
      <x:c r="AF18" s="267" t="n">
        <x:f>V18</x:f>
        <x:v>0</x:v>
      </x:c>
    </x:row>
    <x:row r="19">
      <x:c r="R19" s="267" t="str">
        <x:f>TEXT('CF'!AW3,"yyyy")&amp;" Q"&amp;ROUNDUP(MONTH('CF'!AW3)/3,0)</x:f>
        <x:v>2030 Q4</x:v>
      </x:c>
      <x:c r="S19" s="267" t="n">
        <x:f>SUM('CF'!AW6:'CF'!AY6)</x:f>
        <x:v>1190.670238174194</x:v>
      </x:c>
      <x:c r="T19" s="267" t="n">
        <x:f>SUM('CF'!AW13:'CF'!AY13)</x:f>
        <x:v>83.34691667219357</x:v>
      </x:c>
      <x:c r="U19" s="267" t="n">
        <x:f>MAX('CF'!AW19:'CF'!AY19)</x:f>
        <x:v>0</x:v>
      </x:c>
      <x:c r="V19" s="267" t="n">
        <x:f>MAX('CF'!AW9:'CF'!AY9)</x:f>
        <x:v>0</x:v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  <x:v>2030 Q4</x:v>
      </x:c>
      <x:c r="AE19" s="267" t="n">
        <x:f>U19</x:f>
        <x:v>0</x:v>
      </x:c>
      <x:c r="AF19" s="267" t="n">
        <x:f>V19</x:f>
        <x:v>0</x:v>
      </x:c>
    </x:row>
    <x:row r="20">
      <x:c r="R20" s="267" t="str">
        <x:f>TEXT('CF'!AZ3,"yyyy")&amp;" Q"&amp;ROUNDUP(MONTH('CF'!AZ3)/3,0)</x:f>
        <x:v>2031 Q1</x:v>
      </x:c>
      <x:c r="S20" s="267" t="n">
        <x:f>SUM('CF'!AZ6:'CF'!BB6)</x:f>
        <x:v>0</x:v>
      </x:c>
      <x:c r="T20" s="267" t="n">
        <x:f>SUM('CF'!AZ13:'CF'!BB13)</x:f>
        <x:v>0</x:v>
      </x:c>
      <x:c r="U20" s="267" t="n">
        <x:f>MAX('CF'!AZ19:'CF'!BB19)</x:f>
        <x:v>0</x:v>
      </x:c>
      <x:c r="V20" s="267" t="n">
        <x:f>MAX('CF'!AZ9:'CF'!BB9)</x:f>
        <x:v>0</x:v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  <x:v>2031 Q1</x:v>
      </x:c>
      <x:c r="AE20" s="267" t="n">
        <x:f>U20</x:f>
        <x:v>0</x:v>
      </x:c>
      <x:c r="AF20" s="267" t="n">
        <x:f>V20</x:f>
        <x:v>0</x:v>
      </x:c>
    </x:row>
    <x:row r="21">
      <x:c r="R21" s="267" t="str">
        <x:f>TEXT('CF'!BC3,"yyyy")&amp;" Q"&amp;ROUNDUP(MONTH('CF'!BC3)/3,0)</x:f>
        <x:v>2031 Q2</x:v>
      </x:c>
      <x:c r="S21" s="267" t="n">
        <x:f>SUM('CF'!BC6:'CF'!BE6)</x:f>
        <x:v>0</x:v>
      </x:c>
      <x:c r="T21" s="267" t="n">
        <x:f>SUM('CF'!BC13:'CF'!BE13)</x:f>
        <x:v>0</x:v>
      </x:c>
      <x:c r="U21" s="267" t="n">
        <x:f>MAX('CF'!BC19:'CF'!BE19)</x:f>
        <x:v>0</x:v>
      </x:c>
      <x:c r="V21" s="267" t="n">
        <x:f>MAX('CF'!BC9:'CF'!BE9)</x:f>
        <x:v>0</x:v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  <x:v>2031 Q2</x:v>
      </x:c>
      <x:c r="AE21" s="267" t="n">
        <x:f>U21</x:f>
        <x:v>0</x:v>
      </x:c>
      <x:c r="AF21" s="267" t="n">
        <x:f>V21</x:f>
        <x:v>0</x:v>
      </x:c>
    </x:row>
    <x:row r="22">
      <x:c r="R22" s="267" t="str">
        <x:f>TEXT('CF'!BF3,"yyyy")&amp;" Q"&amp;ROUNDUP(MONTH('CF'!BF3)/3,0)</x:f>
        <x:v>2031 Q3</x:v>
      </x:c>
      <x:c r="S22" s="267" t="n">
        <x:f>SUM('CF'!BF6:'CF'!BH6)</x:f>
        <x:v>0</x:v>
      </x:c>
      <x:c r="T22" s="267" t="n">
        <x:f>SUM('CF'!BF13:'CF'!BH13)</x:f>
        <x:v>0</x:v>
      </x:c>
      <x:c r="U22" s="267" t="n">
        <x:f>MAX('CF'!BF19:'CF'!BH19)</x:f>
        <x:v>0</x:v>
      </x:c>
      <x:c r="V22" s="267" t="n">
        <x:f>MAX('CF'!BF9:'CF'!BH9)</x:f>
        <x:v>0</x:v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  <x:v>2031 Q3</x:v>
      </x:c>
      <x:c r="AE22" s="267" t="n">
        <x:f>U22</x:f>
        <x:v>0</x:v>
      </x:c>
      <x:c r="AF22" s="267" t="n">
        <x:f>V22</x:f>
        <x:v>0</x:v>
      </x:c>
    </x:row>
    <x:row r="23">
      <x:c r="R23" s="267" t="str">
        <x:f>TEXT('CF'!BI3,"yyyy")&amp;" Q"&amp;ROUNDUP(MONTH('CF'!BI3)/3,0)</x:f>
        <x:v>2031 Q4</x:v>
      </x:c>
      <x:c r="S23" s="267" t="n">
        <x:f>SUM('CF'!BI6:'CF'!BK6)</x:f>
        <x:v>0</x:v>
      </x:c>
      <x:c r="T23" s="267" t="n">
        <x:f>SUM('CF'!BI13:'CF'!BK13)</x:f>
        <x:v>0</x:v>
      </x:c>
      <x:c r="U23" s="267" t="n">
        <x:f>MAX('CF'!BI19:'CF'!BK19)</x:f>
        <x:v>0</x:v>
      </x:c>
      <x:c r="V23" s="267" t="n">
        <x:f>MAX('CF'!BI9:'CF'!BK9)</x:f>
        <x:v>0</x:v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  <x:v>2031 Q4</x:v>
      </x:c>
      <x:c r="AE23" s="267" t="n">
        <x:f>U23</x:f>
        <x:v>0</x:v>
      </x:c>
      <x:c r="AF23" s="267" t="n">
        <x:f>V23</x:f>
        <x:v>0</x:v>
      </x:c>
    </x:row>
    <x:row r="24">
      <x:c r="R24" s="267" t="str">
        <x:f>TEXT('CF'!BL3,"yyyy")&amp;" Q"&amp;ROUNDUP(MONTH('CF'!BL3)/3,0)</x:f>
        <x:v>2032 Q1</x:v>
      </x:c>
      <x:c r="S24" s="267" t="n">
        <x:f>SUM('CF'!BL6:'CF'!BN6)</x:f>
        <x:v>0</x:v>
      </x:c>
      <x:c r="T24" s="267" t="n">
        <x:f>SUM('CF'!BL13:'CF'!BN13)</x:f>
        <x:v>0</x:v>
      </x:c>
      <x:c r="U24" s="267" t="n">
        <x:f>MAX('CF'!BL19:'CF'!BN19)</x:f>
        <x:v>0</x:v>
      </x:c>
      <x:c r="V24" s="267" t="n">
        <x:f>MAX('CF'!BL9:'CF'!BN9)</x:f>
        <x:v>0</x:v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  <x:v>2032 Q1</x:v>
      </x:c>
      <x:c r="AE24" s="267" t="n">
        <x:f>U24</x:f>
        <x:v>0</x:v>
      </x:c>
      <x:c r="AF24" s="267" t="n">
        <x:f>V24</x:f>
        <x:v>0</x:v>
      </x:c>
    </x:row>
    <x:row r="25">
      <x:c r="R25" s="267" t="str">
        <x:f>TEXT('CF'!BO3,"yyyy")&amp;" Q"&amp;ROUNDUP(MONTH('CF'!BO3)/3,0)</x:f>
        <x:v>2032 Q2</x:v>
      </x:c>
      <x:c r="S25" s="267" t="n">
        <x:f>SUM('CF'!BO6:'CF'!BQ6)</x:f>
        <x:v>0</x:v>
      </x:c>
      <x:c r="T25" s="267" t="n">
        <x:f>SUM('CF'!BO13:'CF'!BQ13)</x:f>
        <x:v>0</x:v>
      </x:c>
      <x:c r="U25" s="267" t="n">
        <x:f>MAX('CF'!BO19:'CF'!BQ19)</x:f>
        <x:v>0</x:v>
      </x:c>
      <x:c r="V25" s="267" t="n">
        <x:f>MAX('CF'!BO9:'CF'!BQ9)</x:f>
        <x:v>0</x:v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  <x:v>2032 Q2</x:v>
      </x:c>
      <x:c r="AE25" s="267" t="n">
        <x:f>U25</x:f>
        <x:v>0</x:v>
      </x:c>
      <x:c r="AF25" s="267" t="n">
        <x:f>V25</x:f>
        <x:v>0</x:v>
      </x:c>
    </x:row>
    <x:row r="26">
      <x:c r="R26" s="267" t="str">
        <x:f>TEXT('CF'!BR3,"yyyy")&amp;" Q"&amp;ROUNDUP(MONTH('CF'!BR3)/3,0)</x:f>
        <x:v>2032 Q3</x:v>
      </x:c>
      <x:c r="S26" s="267" t="n">
        <x:f>SUM('CF'!BR6:'CF'!BT6)</x:f>
        <x:v>0</x:v>
      </x:c>
      <x:c r="T26" s="267" t="n">
        <x:f>SUM('CF'!BR13:'CF'!BT13)</x:f>
        <x:v>0</x:v>
      </x:c>
      <x:c r="U26" s="267" t="n">
        <x:f>MAX('CF'!BR19:'CF'!BT19)</x:f>
        <x:v>0</x:v>
      </x:c>
      <x:c r="V26" s="267" t="n">
        <x:f>MAX('CF'!BR9:'CF'!BT9)</x:f>
        <x:v>0</x:v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  <x:v>2032 Q3</x:v>
      </x:c>
      <x:c r="AE26" s="267" t="n">
        <x:f>U26</x:f>
        <x:v>0</x:v>
      </x:c>
      <x:c r="AF26" s="267" t="n">
        <x:f>V26</x:f>
        <x:v>0</x:v>
      </x:c>
    </x:row>
    <x:row r="27">
      <x:c r="R27" s="267" t="str">
        <x:f>TEXT('CF'!BU3,"yyyy")&amp;" Q"&amp;ROUNDUP(MONTH('CF'!BU3)/3,0)</x:f>
        <x:v>2032 Q4</x:v>
      </x:c>
      <x:c r="S27" s="267" t="n">
        <x:f>SUM('CF'!BU6:'CF'!BW6)</x:f>
        <x:v>0</x:v>
      </x:c>
      <x:c r="T27" s="267" t="n">
        <x:f>SUM('CF'!BU13:'CF'!BW13)</x:f>
        <x:v>0</x:v>
      </x:c>
      <x:c r="U27" s="267" t="n">
        <x:f>MAX('CF'!BU19:'CF'!BW19)</x:f>
        <x:v>0</x:v>
      </x:c>
      <x:c r="V27" s="267" t="n">
        <x:f>MAX('CF'!BU9:'CF'!BW9)</x:f>
        <x:v>0</x:v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  <x:v>2032 Q4</x:v>
      </x:c>
      <x:c r="AE27" s="267" t="n">
        <x:f>U27</x:f>
        <x:v>0</x:v>
      </x:c>
      <x:c r="AF27" s="267" t="n">
        <x:f>V27</x:f>
        <x:v>0</x:v>
      </x:c>
    </x:row>
    <x:row r="28">
      <x:c r="R28" s="267" t="str">
        <x:f>TEXT('CF'!BX3,"yyyy")&amp;" Q"&amp;ROUNDUP(MONTH('CF'!BX3)/3,0)</x:f>
        <x:v>2033 Q1</x:v>
      </x:c>
      <x:c r="S28" s="267" t="n">
        <x:f>SUM('CF'!BX6:'CF'!BZ6)</x:f>
        <x:v>0</x:v>
      </x:c>
      <x:c r="T28" s="267" t="n">
        <x:f>SUM('CF'!BX13:'CF'!BZ13)</x:f>
        <x:v>0</x:v>
      </x:c>
      <x:c r="U28" s="267" t="n">
        <x:f>MAX('CF'!BX19:'CF'!BZ19)</x:f>
        <x:v>0</x:v>
      </x:c>
      <x:c r="V28" s="267" t="n">
        <x:f>MAX('CF'!BX9:'CF'!BZ9)</x:f>
        <x:v>0</x:v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  <x:v>2033 Q1</x:v>
      </x:c>
      <x:c r="AE28" s="267" t="n">
        <x:f>U28</x:f>
        <x:v>0</x:v>
      </x:c>
      <x:c r="AF28" s="267" t="n">
        <x:f>V28</x:f>
        <x:v>0</x:v>
      </x:c>
    </x:row>
    <x:row r="29">
      <x:c r="R29" s="267" t="str">
        <x:f>TEXT('CF'!CA3,"yyyy")&amp;" Q"&amp;ROUNDUP(MONTH('CF'!CA3)/3,0)</x:f>
        <x:v>2033 Q2</x:v>
      </x:c>
      <x:c r="S29" s="267" t="n">
        <x:f>SUM('CF'!CA6:'CF'!CC6)</x:f>
        <x:v>0</x:v>
      </x:c>
      <x:c r="T29" s="267" t="n">
        <x:f>SUM('CF'!CA13:'CF'!CC13)</x:f>
        <x:v>0</x:v>
      </x:c>
      <x:c r="U29" s="267" t="n">
        <x:f>MAX('CF'!CA19:'CF'!CC19)</x:f>
        <x:v>0</x:v>
      </x:c>
      <x:c r="V29" s="267" t="n">
        <x:f>MAX('CF'!CA9:'CF'!CC9)</x:f>
        <x:v>0</x:v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  <x:v>2033 Q2</x:v>
      </x:c>
      <x:c r="AE29" s="267" t="n">
        <x:f>U29</x:f>
        <x:v>0</x:v>
      </x:c>
      <x:c r="AF29" s="267" t="n">
        <x:f>V29</x:f>
        <x:v>0</x:v>
      </x:c>
    </x:row>
    <x:row r="30">
      <x:c r="R30" s="267" t="str">
        <x:f>TEXT('CF'!CD3,"yyyy")&amp;" Q"&amp;ROUNDUP(MONTH('CF'!CD3)/3,0)</x:f>
        <x:v>2033 Q3</x:v>
      </x:c>
      <x:c r="S30" s="267" t="n">
        <x:f>SUM('CF'!CD6:'CF'!CF6)</x:f>
        <x:v>0</x:v>
      </x:c>
      <x:c r="T30" s="267" t="n">
        <x:f>SUM('CF'!CD13:'CF'!CF13)</x:f>
        <x:v>0</x:v>
      </x:c>
      <x:c r="U30" s="267" t="n">
        <x:f>MAX('CF'!CD19:'CF'!CF19)</x:f>
        <x:v>0</x:v>
      </x:c>
      <x:c r="V30" s="267" t="n">
        <x:f>MAX('CF'!CD9:'CF'!CF9)</x:f>
        <x:v>0</x:v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  <x:v>2033 Q3</x:v>
      </x:c>
      <x:c r="AE30" s="267" t="n">
        <x:f>U30</x:f>
        <x:v>0</x:v>
      </x:c>
      <x:c r="AF30" s="267" t="n">
        <x:f>V30</x:f>
        <x:v>0</x:v>
      </x:c>
    </x:row>
    <x:row r="31">
      <x:c r="R31" s="267" t="str">
        <x:f>TEXT('CF'!CG3,"yyyy")&amp;" Q"&amp;ROUNDUP(MONTH('CF'!CG3)/3,0)</x:f>
        <x:v>2033 Q4</x:v>
      </x:c>
      <x:c r="S31" s="267" t="n">
        <x:f>SUM('CF'!CG6:'CF'!CI6)</x:f>
        <x:v>0</x:v>
      </x:c>
      <x:c r="T31" s="267" t="n">
        <x:f>SUM('CF'!CG13:'CF'!CI13)</x:f>
        <x:v>0</x:v>
      </x:c>
      <x:c r="U31" s="267" t="n">
        <x:f>MAX('CF'!CG19:'CF'!CI19)</x:f>
        <x:v>0</x:v>
      </x:c>
      <x:c r="V31" s="267" t="n">
        <x:f>MAX('CF'!CG9:'CF'!CI9)</x:f>
        <x:v>0</x:v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  <x:v>2033 Q4</x:v>
      </x:c>
      <x:c r="AE31" s="267" t="n">
        <x:f>U31</x:f>
        <x:v>0</x:v>
      </x:c>
      <x:c r="AF31" s="267" t="n">
        <x:f>V31</x:f>
        <x:v>0</x:v>
      </x:c>
    </x:row>
    <x:row r="32">
      <x:c r="R32" s="267" t="str">
        <x:f>TEXT('CF'!CJ3,"yyyy")&amp;" Q"&amp;ROUNDUP(MONTH('CF'!CJ3)/3,0)</x:f>
        <x:v>2034 Q1</x:v>
      </x:c>
      <x:c r="S32" s="267" t="n">
        <x:f>SUM('CF'!CJ6:'CF'!CL6)</x:f>
        <x:v>0</x:v>
      </x:c>
      <x:c r="T32" s="267" t="n">
        <x:f>SUM('CF'!CJ13:'CF'!CL13)</x:f>
        <x:v>0</x:v>
      </x:c>
      <x:c r="U32" s="267" t="n">
        <x:f>MAX('CF'!CJ19:'CF'!CL19)</x:f>
        <x:v>0</x:v>
      </x:c>
      <x:c r="V32" s="267" t="n">
        <x:f>MAX('CF'!CJ9:'CF'!CL9)</x:f>
        <x:v>0</x:v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  <x:v>2034 Q1</x:v>
      </x:c>
      <x:c r="AE32" s="267" t="n">
        <x:f>U32</x:f>
        <x:v>0</x:v>
      </x:c>
      <x:c r="AF32" s="267" t="n">
        <x:f>V32</x:f>
        <x:v>0</x:v>
      </x:c>
    </x:row>
    <x:row r="33">
      <x:c r="R33" s="267" t="str">
        <x:f>TEXT('CF'!CM3,"yyyy")&amp;" Q"&amp;ROUNDUP(MONTH('CF'!CM3)/3,0)</x:f>
        <x:v>2034 Q2</x:v>
      </x:c>
      <x:c r="S33" s="267" t="n">
        <x:f>SUM('CF'!CM6:'CF'!CO6)</x:f>
        <x:v>0</x:v>
      </x:c>
      <x:c r="T33" s="267" t="n">
        <x:f>SUM('CF'!CM13:'CF'!CO13)</x:f>
        <x:v>0</x:v>
      </x:c>
      <x:c r="U33" s="267" t="n">
        <x:f>MAX('CF'!CM19:'CF'!CO19)</x:f>
        <x:v>0</x:v>
      </x:c>
      <x:c r="V33" s="267" t="n">
        <x:f>MAX('CF'!CM9:'CF'!CO9)</x:f>
        <x:v>0</x:v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  <x:v>2034 Q2</x:v>
      </x:c>
      <x:c r="AE33" s="267" t="n">
        <x:f>U33</x:f>
        <x:v>0</x:v>
      </x:c>
      <x:c r="AF33" s="267" t="n">
        <x:f>V33</x:f>
        <x:v>0</x:v>
      </x:c>
    </x:row>
    <x:row r="34">
      <x:c r="R34" s="267" t="str">
        <x:f>TEXT('CF'!CP3,"yyyy")&amp;" Q"&amp;ROUNDUP(MONTH('CF'!CP3)/3,0)</x:f>
        <x:v>2034 Q3</x:v>
      </x:c>
      <x:c r="S34" s="267" t="n">
        <x:f>SUM('CF'!CP6:'CF'!CR6)</x:f>
        <x:v>0</x:v>
      </x:c>
      <x:c r="T34" s="267" t="n">
        <x:f>SUM('CF'!CP13:'CF'!CR13)</x:f>
        <x:v>0</x:v>
      </x:c>
      <x:c r="U34" s="267" t="n">
        <x:f>MAX('CF'!CP19:'CF'!CR19)</x:f>
        <x:v>0</x:v>
      </x:c>
      <x:c r="V34" s="267" t="n">
        <x:f>MAX('CF'!CP9:'CF'!CR9)</x:f>
        <x:v>0</x:v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  <x:v>2034 Q3</x:v>
      </x:c>
      <x:c r="AE34" s="267" t="n">
        <x:f>U34</x:f>
        <x:v>0</x:v>
      </x:c>
      <x:c r="AF34" s="267" t="n">
        <x:f>V34</x:f>
        <x:v>0</x:v>
      </x:c>
    </x:row>
    <x:row r="35">
      <x:c r="R35" s="267" t="str">
        <x:f>TEXT('CF'!CS3,"yyyy")&amp;" Q"&amp;ROUNDUP(MONTH('CF'!CS3)/3,0)</x:f>
        <x:v>2034 Q4</x:v>
      </x:c>
      <x:c r="S35" s="267" t="n">
        <x:f>SUM('CF'!CS6:'CF'!CU6)</x:f>
        <x:v>0</x:v>
      </x:c>
      <x:c r="T35" s="267" t="n">
        <x:f>SUM('CF'!CS13:'CF'!CU13)</x:f>
        <x:v>0</x:v>
      </x:c>
      <x:c r="U35" s="267" t="n">
        <x:f>MAX('CF'!CS19:'CF'!CU19)</x:f>
        <x:v>0</x:v>
      </x:c>
      <x:c r="V35" s="267" t="n">
        <x:f>MAX('CF'!CS9:'CF'!CU9)</x:f>
        <x:v>0</x:v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  <x:v>2034 Q4</x:v>
      </x:c>
      <x:c r="AE35" s="267" t="n">
        <x:f>U35</x:f>
        <x:v>0</x:v>
      </x:c>
      <x:c r="AF35" s="267" t="n">
        <x:f>V35</x:f>
        <x:v>0</x:v>
      </x:c>
    </x:row>
    <x:row r="36">
      <x:c r="R36" s="267" t="str">
        <x:f>TEXT('CF'!CV3,"yyyy")&amp;" Q"&amp;ROUNDUP(MONTH('CF'!CV3)/3,0)</x:f>
        <x:v>2035 Q1</x:v>
      </x:c>
      <x:c r="S36" s="267" t="n">
        <x:f>SUM('CF'!CV6:'CF'!CX6)</x:f>
        <x:v>0</x:v>
      </x:c>
      <x:c r="T36" s="267" t="n">
        <x:f>SUM('CF'!CV13:'CF'!CX13)</x:f>
        <x:v>0</x:v>
      </x:c>
      <x:c r="U36" s="267" t="n">
        <x:f>MAX('CF'!CV19:'CF'!CX19)</x:f>
        <x:v>0</x:v>
      </x:c>
      <x:c r="V36" s="267" t="n">
        <x:f>MAX('CF'!CV9:'CF'!CX9)</x:f>
        <x:v>0</x:v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  <x:v>2035 Q1</x:v>
      </x:c>
      <x:c r="AE36" s="267" t="n">
        <x:f>U36</x:f>
        <x:v>0</x:v>
      </x:c>
      <x:c r="AF36" s="267" t="n">
        <x:f>V36</x:f>
        <x:v>0</x:v>
      </x:c>
    </x:row>
    <x:row r="37">
      <x:c r="R37" s="267" t="str">
        <x:f>TEXT('CF'!CY3,"yyyy")&amp;" Q"&amp;ROUNDUP(MONTH('CF'!CY3)/3,0)</x:f>
        <x:v>2035 Q2</x:v>
      </x:c>
      <x:c r="S37" s="267" t="n">
        <x:f>SUM('CF'!CY6:'CF'!DA6)</x:f>
        <x:v>0</x:v>
      </x:c>
      <x:c r="T37" s="267" t="n">
        <x:f>SUM('CF'!CY13:'CF'!DA13)</x:f>
        <x:v>0</x:v>
      </x:c>
      <x:c r="U37" s="267" t="n">
        <x:f>MAX('CF'!CY19:'CF'!DA19)</x:f>
        <x:v>0</x:v>
      </x:c>
      <x:c r="V37" s="267" t="n">
        <x:f>MAX('CF'!CY9:'CF'!DA9)</x:f>
        <x:v>0</x:v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  <x:v>2035 Q2</x:v>
      </x:c>
      <x:c r="AE37" s="267" t="n">
        <x:f>U37</x:f>
        <x:v>0</x:v>
      </x:c>
      <x:c r="AF37" s="267" t="n">
        <x:f>V37</x:f>
        <x:v>0</x:v>
      </x:c>
    </x:row>
    <x:row r="38">
      <x:c r="R38" s="267" t="str">
        <x:f>TEXT('CF'!DB3,"yyyy")&amp;" Q"&amp;ROUNDUP(MONTH('CF'!DB3)/3,0)</x:f>
        <x:v>2035 Q3</x:v>
      </x:c>
      <x:c r="S38" s="267" t="n">
        <x:f>SUM('CF'!DB6:'CF'!DD6)</x:f>
        <x:v>0</x:v>
      </x:c>
      <x:c r="T38" s="267" t="n">
        <x:f>SUM('CF'!DB13:'CF'!DD13)</x:f>
        <x:v>0</x:v>
      </x:c>
      <x:c r="U38" s="267" t="n">
        <x:f>MAX('CF'!DB19:'CF'!DD19)</x:f>
        <x:v>0</x:v>
      </x:c>
      <x:c r="V38" s="267" t="n">
        <x:f>MAX('CF'!DB9:'CF'!DD9)</x:f>
        <x:v>0</x:v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  <x:v>2035 Q3</x:v>
      </x:c>
      <x:c r="AE38" s="267" t="n">
        <x:f>U38</x:f>
        <x:v>0</x:v>
      </x:c>
      <x:c r="AF38" s="267" t="n">
        <x:f>V38</x:f>
        <x:v>0</x:v>
      </x:c>
    </x:row>
    <x:row r="39">
      <x:c r="R39" s="267" t="str">
        <x:f>TEXT('CF'!DE3,"yyyy")&amp;" Q"&amp;ROUNDUP(MONTH('CF'!DE3)/3,0)</x:f>
        <x:v>2035 Q4</x:v>
      </x:c>
      <x:c r="S39" s="267" t="n">
        <x:f>SUM('CF'!DE6:'CF'!DG6)</x:f>
        <x:v>0</x:v>
      </x:c>
      <x:c r="T39" s="267" t="n">
        <x:f>SUM('CF'!DE13:'CF'!DG13)</x:f>
        <x:v>0</x:v>
      </x:c>
      <x:c r="U39" s="267" t="n">
        <x:f>MAX('CF'!DE19:'CF'!DG19)</x:f>
        <x:v>0</x:v>
      </x:c>
      <x:c r="V39" s="267" t="n">
        <x:f>MAX('CF'!DE9:'CF'!DG9)</x:f>
        <x:v>0</x:v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  <x:v>2035 Q4</x:v>
      </x:c>
      <x:c r="AE39" s="267" t="n">
        <x:f>U39</x:f>
        <x:v>0</x:v>
      </x:c>
      <x:c r="AF39" s="267" t="n">
        <x:f>V39</x:f>
        <x:v>0</x:v>
      </x:c>
    </x:row>
    <x:row r="40">
      <x:c r="R40" s="267" t="str">
        <x:f>TEXT('CF'!DH3,"yyyy")&amp;" Q"&amp;ROUNDUP(MONTH('CF'!DH3)/3,0)</x:f>
        <x:v>2036 Q1</x:v>
      </x:c>
      <x:c r="S40" s="267" t="n">
        <x:f>SUM('CF'!DH6:'CF'!DJ6)</x:f>
        <x:v>0</x:v>
      </x:c>
      <x:c r="T40" s="267" t="n">
        <x:f>SUM('CF'!DH13:'CF'!DJ13)</x:f>
        <x:v>0</x:v>
      </x:c>
      <x:c r="U40" s="267" t="n">
        <x:f>MAX('CF'!DH19:'CF'!DJ19)</x:f>
        <x:v>0</x:v>
      </x:c>
      <x:c r="V40" s="267" t="n">
        <x:f>MAX('CF'!DH9:'CF'!DJ9)</x:f>
        <x:v>0</x:v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  <x:v>2036 Q1</x:v>
      </x:c>
      <x:c r="AE40" s="267" t="n">
        <x:f>U40</x:f>
        <x:v>0</x:v>
      </x:c>
      <x:c r="AF40" s="267" t="n">
        <x:f>V40</x:f>
        <x:v>0</x:v>
      </x:c>
    </x:row>
    <x:row r="41">
      <x:c r="R41" s="267" t="str">
        <x:f>TEXT('CF'!DK3,"yyyy")&amp;" Q"&amp;ROUNDUP(MONTH('CF'!DK3)/3,0)</x:f>
        <x:v>2036 Q2</x:v>
      </x:c>
      <x:c r="S41" s="267" t="n">
        <x:f>SUM('CF'!DK6:'CF'!DM6)</x:f>
        <x:v>0</x:v>
      </x:c>
      <x:c r="T41" s="267" t="n">
        <x:f>SUM('CF'!DK13:'CF'!DM13)</x:f>
        <x:v>0</x:v>
      </x:c>
      <x:c r="U41" s="267" t="n">
        <x:f>MAX('CF'!DK19:'CF'!DM19)</x:f>
        <x:v>0</x:v>
      </x:c>
      <x:c r="V41" s="267" t="n">
        <x:f>MAX('CF'!DK9:'CF'!DM9)</x:f>
        <x:v>0</x:v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  <x:v>2036 Q2</x:v>
      </x:c>
      <x:c r="AE41" s="267" t="n">
        <x:f>U41</x:f>
        <x:v>0</x:v>
      </x:c>
      <x:c r="AF41" s="267" t="n">
        <x:f>V41</x:f>
        <x:v>0</x:v>
      </x:c>
    </x:row>
    <x:row r="42">
      <x:c r="R42" s="267" t="str">
        <x:f>TEXT('CF'!DN3,"yyyy")&amp;" Q"&amp;ROUNDUP(MONTH('CF'!DN3)/3,0)</x:f>
        <x:v>2036 Q3</x:v>
      </x:c>
      <x:c r="S42" s="267" t="n">
        <x:f>SUM('CF'!DN6:'CF'!DP6)</x:f>
        <x:v>0</x:v>
      </x:c>
      <x:c r="T42" s="267" t="n">
        <x:f>SUM('CF'!DN13:'CF'!DP13)</x:f>
        <x:v>0</x:v>
      </x:c>
      <x:c r="U42" s="267" t="n">
        <x:f>MAX('CF'!DN19:'CF'!DP19)</x:f>
        <x:v>0</x:v>
      </x:c>
      <x:c r="V42" s="267" t="n">
        <x:f>MAX('CF'!DN9:'CF'!DP9)</x:f>
        <x:v>0</x:v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  <x:v>2036 Q3</x:v>
      </x:c>
      <x:c r="AE42" s="267" t="n">
        <x:f>U42</x:f>
        <x:v>0</x:v>
      </x:c>
      <x:c r="AF42" s="267" t="n">
        <x:f>V42</x:f>
        <x:v>0</x:v>
      </x:c>
    </x:row>
    <x:row r="43">
      <x:c r="R43" s="267" t="str">
        <x:f>TEXT('CF'!DQ3,"yyyy")&amp;" Q"&amp;ROUNDUP(MONTH('CF'!DQ3)/3,0)</x:f>
        <x:v>2036 Q4</x:v>
      </x:c>
      <x:c r="S43" s="267" t="n">
        <x:f>SUM('CF'!DQ6:'CF'!DS6)</x:f>
        <x:v>0</x:v>
      </x:c>
      <x:c r="T43" s="267" t="n">
        <x:f>SUM('CF'!DQ13:'CF'!DS13)</x:f>
        <x:v>0</x:v>
      </x:c>
      <x:c r="U43" s="267" t="n">
        <x:f>MAX('CF'!DQ19:'CF'!DS19)</x:f>
        <x:v>0</x:v>
      </x:c>
      <x:c r="V43" s="267" t="n">
        <x:f>MAX('CF'!DQ9:'CF'!DS9)</x:f>
        <x:v>0</x:v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  <x:v>2036 Q4</x:v>
      </x:c>
      <x:c r="AE43" s="267" t="n">
        <x:f>U43</x:f>
        <x:v>0</x:v>
      </x:c>
      <x:c r="AF43" s="267" t="n">
        <x:f>V43</x:f>
        <x:v>0</x:v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IF(COUNTIF(F6:F61,"FAIL")&gt;0,"FAIL",IF(COUNTIF(F6:F61,"WARN")&gt;0,"PASS WITH WARNINGS","PASS"))</x:f>
        <x:v>PASS WITH WARNINGS</x:v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  <x:v>13919.999999999996</x:v>
      </x:c>
      <x:c r="C6" s="148" t="n">
        <x:f>'Вводные'!$L$88</x:f>
        <x:v>13920</x:v>
      </x:c>
      <x:c r="D6" s="148" t="n">
        <x:f>B6-C6</x:f>
        <x:v>-3.637978807091713e-12</x:v>
      </x:c>
      <x:c r="E6" s="148" t="n">
        <x:v>0.01</x:v>
      </x:c>
      <x:c r="F6" t="str">
        <x:f>IF(ABS(D6)&lt;=E6,"OK","FAIL")</x:f>
        <x:v>OK</x:v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  <x:v>1230</x:v>
      </x:c>
      <x:c r="C7" s="148" t="n">
        <x:f>'Вводные'!$M$88</x:f>
        <x:v>1230</x:v>
      </x:c>
      <x:c r="D7" s="148" t="n">
        <x:f>B7-C7</x:f>
        <x:v>0</x:v>
      </x:c>
      <x:c r="E7" s="148" t="n">
        <x:v>0.01</x:v>
      </x:c>
      <x:c r="F7" t="str">
        <x:f>IF(ABS(D7)&lt;=E7,"OK","FAIL")</x:f>
        <x:v>OK</x:v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  <x:v>0</x:v>
      </x:c>
      <x:c r="C8" s="148" t="n">
        <x:f>0</x:f>
        <x:v>0</x:v>
      </x:c>
      <x:c r="D8" s="148" t="n">
        <x:f>B8-C8</x:f>
        <x:v>0</x:v>
      </x:c>
      <x:c r="E8" s="148" t="n">
        <x:v>0.01</x:v>
      </x:c>
      <x:c r="F8" t="str">
        <x:f>IF(ABS(D8)&lt;=E8,"OK","FAIL")</x:f>
        <x:v>OK</x:v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  <x:v>0</x:v>
      </x:c>
      <x:c r="C9" s="148" t="n">
        <x:f>0</x:f>
        <x:v>0</x:v>
      </x:c>
      <x:c r="D9" s="148" t="n">
        <x:f>B9-C9</x:f>
        <x:v>0</x:v>
      </x:c>
      <x:c r="E9" s="148" t="n">
        <x:v>0.01</x:v>
      </x:c>
      <x:c r="F9" t="str">
        <x:f>IF(ABS(D9)&lt;=E9,"OK","FAIL")</x:f>
        <x:v>OK</x:v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  <x:v>0</x:v>
      </x:c>
      <x:c r="C10" s="148" t="n">
        <x:f>0</x:f>
        <x:v>0</x:v>
      </x:c>
      <x:c r="D10" s="148" t="n">
        <x:f>B10-C10</x:f>
        <x:v>0</x:v>
      </x:c>
      <x:c r="E10" s="148" t="n">
        <x:v>0.01</x:v>
      </x:c>
      <x:c r="F10" t="str">
        <x:f>IF(ABS(D10)&lt;=E10,"OK","FAIL")</x:f>
        <x:v>OK</x:v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  <x:v>0</x:v>
      </x:c>
      <x:c r="C11" s="148" t="n">
        <x:f>'Вводные'!$L$89</x:f>
        <x:v>0</x:v>
      </x:c>
      <x:c r="D11" s="148" t="n">
        <x:f>B11-C11</x:f>
        <x:v>0</x:v>
      </x:c>
      <x:c r="E11" s="148" t="n">
        <x:v>0.01</x:v>
      </x:c>
      <x:c r="F11" t="str">
        <x:f>IF(ABS(D11)&lt;=E11,"OK","FAIL")</x:f>
        <x:v>OK</x:v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  <x:v>0</x:v>
      </x:c>
      <x:c r="C12" s="148" t="n">
        <x:f>'Вводные'!$M$89</x:f>
        <x:v>0</x:v>
      </x:c>
      <x:c r="D12" s="148" t="n">
        <x:f>B12-C12</x:f>
        <x:v>0</x:v>
      </x:c>
      <x:c r="E12" s="148" t="n">
        <x:v>0.01</x:v>
      </x:c>
      <x:c r="F12" t="str">
        <x:f>IF(ABS(D12)&lt;=E12,"OK","FAIL")</x:f>
        <x:v>OK</x:v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  <x:v>0</x:v>
      </x:c>
      <x:c r="C13" s="148" t="n">
        <x:f>0</x:f>
        <x:v>0</x:v>
      </x:c>
      <x:c r="D13" s="148" t="n">
        <x:f>B13-C13</x:f>
        <x:v>0</x:v>
      </x:c>
      <x:c r="E13" s="148" t="n">
        <x:v>0.01</x:v>
      </x:c>
      <x:c r="F13" t="str">
        <x:f>IF(ABS(D13)&lt;=E13,"OK","FAIL")</x:f>
        <x:v>OK</x:v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  <x:v>0</x:v>
      </x:c>
      <x:c r="C14" s="148" t="n">
        <x:f>0</x:f>
        <x:v>0</x:v>
      </x:c>
      <x:c r="D14" s="148" t="n">
        <x:f>B14-C14</x:f>
        <x:v>0</x:v>
      </x:c>
      <x:c r="E14" s="148" t="n">
        <x:v>0.01</x:v>
      </x:c>
      <x:c r="F14" t="str">
        <x:f>IF(ABS(D14)&lt;=E14,"OK","FAIL")</x:f>
        <x:v>OK</x:v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  <x:v>0</x:v>
      </x:c>
      <x:c r="C15" s="148" t="n">
        <x:f>0</x:f>
        <x:v>0</x:v>
      </x:c>
      <x:c r="D15" s="148" t="n">
        <x:f>B15-C15</x:f>
        <x:v>0</x:v>
      </x:c>
      <x:c r="E15" s="148" t="n">
        <x:v>0.01</x:v>
      </x:c>
      <x:c r="F15" t="str">
        <x:f>IF(ABS(D15)&lt;=E15,"OK","FAIL")</x:f>
        <x:v>OK</x:v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  <x:v>0</x:v>
      </x:c>
      <x:c r="C16" s="148" t="n">
        <x:f>'Вводные'!$L$90</x:f>
        <x:v>0</x:v>
      </x:c>
      <x:c r="D16" s="148" t="n">
        <x:f>B16-C16</x:f>
        <x:v>0</x:v>
      </x:c>
      <x:c r="E16" s="148" t="n">
        <x:v>0.01</x:v>
      </x:c>
      <x:c r="F16" t="str">
        <x:f>IF(ABS(D16)&lt;=E16,"OK","FAIL")</x:f>
        <x:v>OK</x:v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  <x:v>0</x:v>
      </x:c>
      <x:c r="C17" s="148" t="n">
        <x:f>'Вводные'!$M$90</x:f>
        <x:v>0</x:v>
      </x:c>
      <x:c r="D17" s="148" t="n">
        <x:f>B17-C17</x:f>
        <x:v>0</x:v>
      </x:c>
      <x:c r="E17" s="148" t="n">
        <x:v>0.01</x:v>
      </x:c>
      <x:c r="F17" t="str">
        <x:f>IF(ABS(D17)&lt;=E17,"OK","FAIL")</x:f>
        <x:v>OK</x:v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  <x:v>0</x:v>
      </x:c>
      <x:c r="C18" s="148" t="n">
        <x:f>0</x:f>
        <x:v>0</x:v>
      </x:c>
      <x:c r="D18" s="148" t="n">
        <x:f>B18-C18</x:f>
        <x:v>0</x:v>
      </x:c>
      <x:c r="E18" s="148" t="n">
        <x:v>0.01</x:v>
      </x:c>
      <x:c r="F18" t="str">
        <x:f>IF(ABS(D18)&lt;=E18,"OK","FAIL")</x:f>
        <x:v>OK</x:v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  <x:v>0</x:v>
      </x:c>
      <x:c r="C19" s="148" t="n">
        <x:f>0</x:f>
        <x:v>0</x:v>
      </x:c>
      <x:c r="D19" s="148" t="n">
        <x:f>B19-C19</x:f>
        <x:v>0</x:v>
      </x:c>
      <x:c r="E19" s="148" t="n">
        <x:v>0.01</x:v>
      </x:c>
      <x:c r="F19" t="str">
        <x:f>IF(ABS(D19)&lt;=E19,"OK","FAIL")</x:f>
        <x:v>OK</x:v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  <x:v>0</x:v>
      </x:c>
      <x:c r="C20" s="148" t="n">
        <x:f>0</x:f>
        <x:v>0</x:v>
      </x:c>
      <x:c r="D20" s="148" t="n">
        <x:f>B20-C20</x:f>
        <x:v>0</x:v>
      </x:c>
      <x:c r="E20" s="148" t="n">
        <x:v>0.01</x:v>
      </x:c>
      <x:c r="F20" t="str">
        <x:f>IF(ABS(D20)&lt;=E20,"OK","FAIL")</x:f>
        <x:v>OK</x:v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  <x:v>12743.009317800295</x:v>
      </x:c>
      <x:c r="C21" s="148" t="n">
        <x:f>SUM('КОНСОЛИДАТОР'!G4:G6)</x:f>
        <x:v>12743.009317800295</x:v>
      </x:c>
      <x:c r="D21" s="148" t="n">
        <x:f>B21-C21</x:f>
        <x:v>0</x:v>
      </x:c>
      <x:c r="E21" s="148" t="n">
        <x:v>0.01</x:v>
      </x:c>
      <x:c r="F21" t="str">
        <x:f>IF(ABS(D21)&lt;=E21,"OK","FAIL")</x:f>
        <x:v>OK</x:v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  <x:v>9387.564534250003</x:v>
      </x:c>
      <x:c r="C22" s="148" t="n">
        <x:f>SUM('КОНСОЛИДАТОР'!H4:H6)</x:f>
        <x:v>9387.564534250003</x:v>
      </x:c>
      <x:c r="D22" s="148" t="n">
        <x:f>B22-C22</x:f>
        <x:v>0</x:v>
      </x:c>
      <x:c r="E22" s="148" t="n">
        <x:v>0.01</x:v>
      </x:c>
      <x:c r="F22" t="str">
        <x:f>IF(ABS(D22)&lt;=E22,"OK","FAIL")</x:f>
        <x:v>OK</x:v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  <x:v>0</x:v>
      </x:c>
      <x:c r="C23" s="148" t="n">
        <x:f>0</x:f>
        <x:v>0</x:v>
      </x:c>
      <x:c r="D23" s="148" t="n">
        <x:f>B23-C23</x:f>
        <x:v>0</x:v>
      </x:c>
      <x:c r="E23" s="148" t="n">
        <x:v>0.01</x:v>
      </x:c>
      <x:c r="F23" t="str">
        <x:f>IF(ABS(D23)&lt;=E23,"OK","FAIL")</x:f>
        <x:v>OK</x:v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  <x:v>0</x:v>
      </x:c>
      <x:c r="C24" s="148" t="n">
        <x:f>0</x:f>
        <x:v>0</x:v>
      </x:c>
      <x:c r="D24" s="148" t="n">
        <x:f>B24-C24</x:f>
        <x:v>0</x:v>
      </x:c>
      <x:c r="E24" s="148" t="n">
        <x:v>0.01</x:v>
      </x:c>
      <x:c r="F24" t="str">
        <x:f>IF(ABS(D24)&lt;=E24,"OK","FAIL")</x:f>
        <x:v>OK</x:v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  <x:v>1.1405967462060769</x:v>
      </x:c>
      <x:c r="C25" s="148" t="n">
        <x:f>'Вводные'!$B$32</x:f>
        <x:v>1.2</x:v>
      </x:c>
      <x:c r="D25" s="148" t="n">
        <x:f>B25-C25</x:f>
        <x:v>-0.05940325379392308</x:v>
      </x:c>
      <x:c r="E25" s="148" t="n">
        <x:v>0.01</x:v>
      </x:c>
      <x:c r="F25" t="str">
        <x:f>IF(B25&gt;=C25,"OK","WARN")</x:f>
        <x:v>WARN</x:v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SUM('Вводные'!P88:P90)</x:f>
        <x:v>1</x:v>
      </x:c>
      <x:c r="C26" s="148" t="n">
        <x:f>1</x:f>
        <x:v>1</x:v>
      </x:c>
      <x:c r="D26" s="148" t="n">
        <x:f>B26-C26</x:f>
        <x:v>0</x:v>
      </x:c>
      <x:c r="E26" s="148" t="n">
        <x:v>0.01</x:v>
      </x:c>
      <x:c r="F26" t="str">
        <x:f>IF(ABS(D26)&lt;=E26,"OK","WARN")</x:f>
        <x:v>OK</x:v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SUM('Вводные'!Q88:Q90)</x:f>
        <x:v>1</x:v>
      </x:c>
      <x:c r="C27" s="148" t="n">
        <x:f>1</x:f>
        <x:v>1</x:v>
      </x:c>
      <x:c r="D27" s="148" t="n">
        <x:f>B27-C27</x:f>
        <x:v>0</x:v>
      </x:c>
      <x:c r="E27" s="148" t="n">
        <x:v>0.01</x:v>
      </x:c>
      <x:c r="F27" t="str">
        <x:f>IF(ABS(D27)&lt;=E27,"OK","WARN")</x:f>
        <x:v>OK</x:v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SUM('Вводные'!R88:R90)</x:f>
        <x:v>1</x:v>
      </x:c>
      <x:c r="C28" s="148" t="n">
        <x:f>1</x:f>
        <x:v>1</x:v>
      </x:c>
      <x:c r="D28" s="148" t="n">
        <x:f>B28-C28</x:f>
        <x:v>0</x:v>
      </x:c>
      <x:c r="E28" s="148" t="n">
        <x:v>0.01</x:v>
      </x:c>
      <x:c r="F28" t="str">
        <x:f>IF(ABS(D28)&lt;=E28,"OK","WARN")</x:f>
        <x:v>OK</x:v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  <x:v>0</x:v>
      </x:c>
      <x:c r="C29" s="148" t="n">
        <x:f>0</x:f>
        <x:v>0</x:v>
      </x:c>
      <x:c r="D29" s="148" t="n">
        <x:f>B29-C29</x:f>
        <x:v>0</x:v>
      </x:c>
      <x:c r="E29" s="148" t="n">
        <x:v>0.01</x:v>
      </x:c>
      <x:c r="F29" t="str">
        <x:f>IF(ABS(D29)&lt;=E29,"OK","WARN")</x:f>
        <x:v>OK</x:v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COUNT('ВРИ'!B10,'ВРИ'!B23,'ВРИ'!B36)</x:f>
        <x:v>3</x:v>
      </x:c>
      <x:c r="C30" s="148" t="n">
        <x:f>3</x:f>
        <x:v>3</x:v>
      </x:c>
      <x:c r="D30" s="148" t="n">
        <x:f>B30-C30</x:f>
        <x:v>0</x:v>
      </x:c>
      <x:c r="E30" s="148" t="n">
        <x:v>0.01</x:v>
      </x:c>
      <x:c r="F30" t="str">
        <x:f>IF(ABS(D30)&lt;=E30,"OK","FAIL")</x:f>
        <x:v>OK</x:v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SUM('ВРИ'!B16,'ВРИ'!B29,'ВРИ'!B42)</x:f>
        <x:v>0</x:v>
      </x:c>
      <x:c r="C31" s="148" t="n">
        <x:f>0</x:f>
        <x:v>0</x:v>
      </x:c>
      <x:c r="D31" s="148" t="n">
        <x:f>B31-C31</x:f>
        <x:v>0</x:v>
      </x:c>
      <x:c r="E31" s="148" t="n">
        <x:v>0.01</x:v>
      </x:c>
      <x:c r="F31" t="str">
        <x:f>IF(ABS(D31)&lt;=E31,"OK","FAIL")</x:f>
        <x:v>OK</x:v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SUM('CF_1'!D44:DS44,'CF_2'!D44:DS44,'CF_3'!D44:DS44)-SUM('CF_1'!D45:DS45,'CF_2'!D45:DS45,'CF_3'!D45:DS45)</x:f>
      </x:c>
      <x:c r="C32" s="148" t="n">
        <x:f>0</x:f>
      </x:c>
      <x:c r="D32" s="148" t="n">
        <x:f>B32-C32</x:f>
        <x:v>0</x:v>
      </x:c>
      <x:c r="E32" s="148" t="n">
        <x:v>0.01</x:v>
      </x:c>
      <x:c r="F32" t="str">
        <x:f>IF(B32&lt;=C32+E32,"OK","FAIL")</x:f>
        <x:v>OK</x:v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  <x:v>91.00000000000001</x:v>
      </x:c>
      <x:c r="C33" s="148" t="n">
        <x:f>'Вводные'!N88</x:f>
        <x:v>91</x:v>
      </x:c>
      <x:c r="D33" s="148" t="n">
        <x:f>B33-C33</x:f>
        <x:v>1.4210854715202004e-14</x:v>
      </x:c>
      <x:c r="E33" s="148" t="n">
        <x:v>0.01</x:v>
      </x:c>
      <x:c r="F33" t="str">
        <x:f>IF(ABS(D33)&lt;=E33,"OK","FAIL")</x:f>
        <x:v>OK</x:v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  <x:v>0</x:v>
      </x:c>
      <x:c r="C34" s="148" t="n">
        <x:f>'Вводные'!O88</x:f>
        <x:v>0</x:v>
      </x:c>
      <x:c r="D34" s="148" t="n">
        <x:f>B34-C34</x:f>
        <x:v>0</x:v>
      </x:c>
      <x:c r="E34" s="148" t="n">
        <x:v>0.01</x:v>
      </x:c>
      <x:c r="F34" t="str">
        <x:f>IF(ABS(D34)&lt;=E34,"OK","FAIL")</x:f>
        <x:v>OK</x:v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  <x:v>0</x:v>
      </x:c>
      <x:c r="C35" s="148" t="n">
        <x:f>'Вводные'!N89</x:f>
        <x:v>0</x:v>
      </x:c>
      <x:c r="D35" s="148" t="n">
        <x:f>B35-C35</x:f>
        <x:v>0</x:v>
      </x:c>
      <x:c r="E35" s="148" t="n">
        <x:v>0.01</x:v>
      </x:c>
      <x:c r="F35" t="str">
        <x:f>IF(ABS(D35)&lt;=E35,"OK","FAIL")</x:f>
        <x:v>OK</x:v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  <x:v>0</x:v>
      </x:c>
      <x:c r="C36" s="148" t="n">
        <x:f>'Вводные'!O89</x:f>
        <x:v>0</x:v>
      </x:c>
      <x:c r="D36" s="148" t="n">
        <x:f>B36-C36</x:f>
        <x:v>0</x:v>
      </x:c>
      <x:c r="E36" s="148" t="n">
        <x:v>0.01</x:v>
      </x:c>
      <x:c r="F36" t="str">
        <x:f>IF(ABS(D36)&lt;=E36,"OK","FAIL")</x:f>
        <x:v>OK</x:v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  <x:v>0</x:v>
      </x:c>
      <x:c r="C37" s="148" t="n">
        <x:f>'Вводные'!N90</x:f>
        <x:v>0</x:v>
      </x:c>
      <x:c r="D37" s="148" t="n">
        <x:f>B37-C37</x:f>
        <x:v>0</x:v>
      </x:c>
      <x:c r="E37" s="148" t="n">
        <x:v>0.01</x:v>
      </x:c>
      <x:c r="F37" t="str">
        <x:f>IF(ABS(D37)&lt;=E37,"OK","FAIL")</x:f>
        <x:v>OK</x:v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  <x:v>0</x:v>
      </x:c>
      <x:c r="C38" s="148" t="n">
        <x:f>'Вводные'!O90</x:f>
        <x:v>0</x:v>
      </x:c>
      <x:c r="D38" s="148" t="n">
        <x:f>B38-C38</x:f>
        <x:v>0</x:v>
      </x:c>
      <x:c r="E38" s="148" t="n">
        <x:v>0.01</x:v>
      </x:c>
      <x:c r="F38" t="str">
        <x:f>IF(ABS(D38)&lt;=E38,"OK","FAIL")</x:f>
        <x:v>OK</x:v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  <x:v>0</x:v>
      </x:c>
      <x:c r="C39" s="148" t="n">
        <x:f>IF(AND('Вводные'!$K$20="Да",IFERROR(INDEX('Вводные'!$B$88:$B$90,'Вводные'!$K$21),"Нет")="Да"),'Вводные'!$K$26,0)</x:f>
        <x:v>0</x:v>
      </x:c>
      <x:c r="D39" s="148" t="n">
        <x:f>B39-C39</x:f>
        <x:v>0</x:v>
      </x:c>
      <x:c r="E39" s="148" t="n">
        <x:v>0.01</x:v>
      </x:c>
      <x:c r="F39" t="str">
        <x:f>IF(ABS(D39)&lt;=E39,"OK","FAIL")</x:f>
        <x:v>OK</x:v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  <x:v>0</x:v>
      </x:c>
      <x:c r="C40" s="148" t="n">
        <x:f>IF(AND('Вводные'!$K$20="Да",IFERROR(INDEX('Вводные'!$B$88:$B$90,'Вводные'!$K$21),"Нет")="Да"),'Вводные'!$K$25*'Вводные'!$K$29/1000*'Вводные'!$H$6*INDEX('Вводные'!$T$88:$T$90,'Вводные'!$K$21)*INDEX('Вводные'!$AH$88:$AH$90,'Вводные'!$K$21),0)</x:f>
        <x:v>0</x:v>
      </x:c>
      <x:c r="D40" s="148" t="n">
        <x:f>B40-C40</x:f>
        <x:v>0</x:v>
      </x:c>
      <x:c r="E40" s="148" t="n">
        <x:v>0.01</x:v>
      </x:c>
      <x:c r="F40" t="str">
        <x:f>IF(ABS(D40)&lt;=E40,"OK","FAIL")</x:f>
        <x:v>OK</x:v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  <x:v>0</x:v>
      </x:c>
      <x:c r="C41" s="148" t="n">
        <x:f>IF('ОБЪЕКТЫ'!B10&gt;'Ставки'!$DS$3,'ОБЪЕКТЫ'!B25,0)</x:f>
        <x:v>0</x:v>
      </x:c>
      <x:c r="D41" s="148" t="n">
        <x:f>B41-C41</x:f>
        <x:v>0</x:v>
      </x:c>
      <x:c r="E41" s="148" t="n">
        <x:v>0.01</x:v>
      </x:c>
      <x:c r="F41" t="str">
        <x:f>IF(ABS(D41)&lt;=E41,"OK","FAIL")</x:f>
        <x:v>OK</x:v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  <x:v>0</x:v>
      </x:c>
      <x:c r="C42" s="148" t="n">
        <x:f>IF(AND('Вводные'!$K$40="Да",IFERROR(INDEX('Вводные'!$B$88:$B$90,'Вводные'!$K$41),"Нет")="Да"),'Вводные'!$K$46,0)</x:f>
        <x:v>0</x:v>
      </x:c>
      <x:c r="D42" s="148" t="n">
        <x:f>B42-C42</x:f>
        <x:v>0</x:v>
      </x:c>
      <x:c r="E42" s="148" t="n">
        <x:v>0.01</x:v>
      </x:c>
      <x:c r="F42" t="str">
        <x:f>IF(ABS(D42)&lt;=E42,"OK","FAIL")</x:f>
        <x:v>OK</x:v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  <x:v>0</x:v>
      </x:c>
      <x:c r="C43" s="148" t="n">
        <x:f>IF(AND('Вводные'!$K$40="Да",IFERROR(INDEX('Вводные'!$B$88:$B$90,'Вводные'!$K$41),"Нет")="Да"),'Вводные'!$K$45*'Вводные'!$K$49/1000*'Вводные'!$H$6*INDEX('Вводные'!$T$88:$T$90,'Вводные'!$K$41)*INDEX('Вводные'!$AH$88:$AH$90,'Вводные'!$K$41),0)</x:f>
        <x:v>0</x:v>
      </x:c>
      <x:c r="D43" s="148" t="n">
        <x:f>B43-C43</x:f>
        <x:v>0</x:v>
      </x:c>
      <x:c r="E43" s="148" t="n">
        <x:v>0.01</x:v>
      </x:c>
      <x:c r="F43" t="str">
        <x:f>IF(ABS(D43)&lt;=E43,"OK","FAIL")</x:f>
        <x:v>OK</x:v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  <x:v>0</x:v>
      </x:c>
      <x:c r="C44" s="148" t="n">
        <x:f>IF('ОБЪЕКТЫ'!B38&gt;'Ставки'!$DS$3,'ОБЪЕКТЫ'!B53,0)</x:f>
        <x:v>0</x:v>
      </x:c>
      <x:c r="D44" s="148" t="n">
        <x:f>B44-C44</x:f>
        <x:v>0</x:v>
      </x:c>
      <x:c r="E44" s="148" t="n">
        <x:v>0.01</x:v>
      </x:c>
      <x:c r="F44" t="str">
        <x:f>IF(ABS(D44)&lt;=E44,"OK","FAIL")</x:f>
        <x:v>OK</x:v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  <x:v>0</x:v>
      </x:c>
      <x:c r="C45" s="148" t="n">
        <x:f>IF(AND('Вводные'!$K$60="Да",IFERROR(INDEX('Вводные'!$B$88:$B$90,'Вводные'!$K$61),"Нет")="Да"),'Вводные'!$K$65,0)</x:f>
        <x:v>0</x:v>
      </x:c>
      <x:c r="D45" s="148" t="n">
        <x:f>B45-C45</x:f>
        <x:v>0</x:v>
      </x:c>
      <x:c r="E45" s="148" t="n">
        <x:v>0.01</x:v>
      </x:c>
      <x:c r="F45" t="str">
        <x:f>IF(ABS(D45)&lt;=E45,"OK","FAIL")</x:f>
        <x:v>OK</x:v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  <x:v>0</x:v>
      </x:c>
      <x:c r="C46" s="148" t="n">
        <x:f>IF(AND('Вводные'!$K$60="Да",IFERROR(INDEX('Вводные'!$B$88:$B$90,'Вводные'!$K$61),"Нет")="Да"),'Вводные'!$K$65*'Вводные'!$K$67*'Вводные'!$H$6*INDEX('Вводные'!$T$88:$T$90,'Вводные'!$K$61)*INDEX('Вводные'!$AH$88:$AH$90,'Вводные'!$K$61),0)</x:f>
        <x:v>0</x:v>
      </x:c>
      <x:c r="D46" s="148" t="n">
        <x:f>B46-C46</x:f>
        <x:v>0</x:v>
      </x:c>
      <x:c r="E46" s="148" t="n">
        <x:v>0.01</x:v>
      </x:c>
      <x:c r="F46" t="str">
        <x:f>IF(ABS(D46)&lt;=E46,"OK","FAIL")</x:f>
        <x:v>OK</x:v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  <x:v>0</x:v>
      </x:c>
      <x:c r="C47" s="148" t="n">
        <x:f>IF('ОБЪЕКТЫ'!B66&gt;'Ставки'!$DS$3,'ОБЪЕКТЫ'!B81,0)</x:f>
        <x:v>0</x:v>
      </x:c>
      <x:c r="D47" s="148" t="n">
        <x:f>B47-C47</x:f>
        <x:v>0</x:v>
      </x:c>
      <x:c r="E47" s="148" t="n">
        <x:v>0.01</x:v>
      </x:c>
      <x:c r="F47" t="str">
        <x:f>IF(ABS(D47)&lt;=E47,"OK","FAIL")</x:f>
        <x:v>OK</x:v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SUM('Продажи'!B26,'Продажи'!B49,'Продажи'!B72,'ОБЪЕКТЫ'!B24,'ОБЪЕКТЫ'!B52,'ОБЪЕКТЫ'!B80)</x:f>
        <x:v>12743.009317800295</x:v>
      </x:c>
      <x:c r="C48" s="148" t="n">
        <x:f>'CF'!B6</x:f>
        <x:v>12743.009317800295</x:v>
      </x:c>
      <x:c r="D48" s="148" t="n">
        <x:f>B48-C48</x:f>
        <x:v>0</x:v>
      </x:c>
      <x:c r="E48" s="148" t="n">
        <x:v>0.01</x:v>
      </x:c>
      <x:c r="F48" t="str">
        <x:f>IF(ABS(D48)&lt;=E48,"OK","FAIL")</x:f>
        <x:v>OK</x:v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'ТЭП'!G30</x:f>
        <x:v>12743.009317800295</x:v>
      </x:c>
      <x:c r="C49" s="148" t="n">
        <x:f>'CF'!B6</x:f>
        <x:v>12743.009317800295</x:v>
      </x:c>
      <x:c r="D49" s="148" t="n">
        <x:f>B49-C49</x:f>
        <x:v>0</x:v>
      </x:c>
      <x:c r="E49" s="148" t="n">
        <x:v>0.01</x:v>
      </x:c>
      <x:c r="F49" t="str">
        <x:f>IF(ABS(D49)&lt;=E49,"OK","FAIL")</x:f>
        <x:v>OK</x:v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SUM('ОБЪЕКТЫ'!B92,'ОБЪЕКТЫ'!B100,'ОБЪЕКТЫ'!B108)</x:f>
        <x:v>0</x:v>
      </x:c>
      <x:c r="C50" s="148" t="n">
        <x:f>SUM('ОБЪЕКТЫ'!B24,'ОБЪЕКТЫ'!B52,'ОБЪЕКТЫ'!B80)</x:f>
        <x:v>0</x:v>
      </x:c>
      <x:c r="D50" s="148" t="n">
        <x:f>B50-C50</x:f>
        <x:v>0</x:v>
      </x:c>
      <x:c r="E50" s="148" t="n">
        <x:v>0.01</x:v>
      </x:c>
      <x:c r="F50" t="str">
        <x:f>IF(ABS(D50)&lt;=E50,"OK","FAIL")</x:f>
        <x:v>OK</x:v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SUM('ОБЪЕКТЫ'!B96,'ОБЪЕКТЫ'!B104,'ОБЪЕКТЫ'!B112)</x:f>
        <x:v>0</x:v>
      </x:c>
      <x:c r="C51" s="148" t="n">
        <x:f>SUM('ОБЪЕКТЫ'!B28,'ОБЪЕКТЫ'!B56,'ОБЪЕКТЫ'!B84)</x:f>
        <x:v>0</x:v>
      </x:c>
      <x:c r="D51" s="148" t="n">
        <x:f>B51-C51</x:f>
        <x:v>0</x:v>
      </x:c>
      <x:c r="E51" s="148" t="n">
        <x:v>0.01</x:v>
      </x:c>
      <x:c r="F51" t="str">
        <x:f>IF(ABS(D51)&lt;=E51,"OK","FAIL")</x:f>
        <x:v>OK</x:v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  <x:v>0</x:v>
      </x:c>
      <x:c r="C52" s="148" t="n">
        <x:f>IF('Вводные'!K20="Да",'Вводные'!K23*IF('Вводные'!K22="Да",'Вводные'!$K$15,1),0)</x:f>
        <x:v>0</x:v>
      </x:c>
      <x:c r="D52" s="148" t="n">
        <x:f>B52-C52</x:f>
        <x:v>0</x:v>
      </x:c>
      <x:c r="E52" s="148" t="n">
        <x:v>0.01</x:v>
      </x:c>
      <x:c r="F52" t="str">
        <x:f>IF(ABS(D52)&lt;=E52,"OK","FAIL")</x:f>
        <x:v>OK</x:v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  <x:v>0</x:v>
      </x:c>
      <x:c r="C53" s="148" t="n">
        <x:f>IF('Вводные'!K40="Да",'Вводные'!K43*IF('Вводные'!K42="Да",'Вводные'!$K$15,1),0)</x:f>
        <x:v>0</x:v>
      </x:c>
      <x:c r="D53" s="148" t="n">
        <x:f>B53-C53</x:f>
        <x:v>0</x:v>
      </x:c>
      <x:c r="E53" s="148" t="n">
        <x:v>0.01</x:v>
      </x:c>
      <x:c r="F53" t="str">
        <x:f>IF(ABS(D53)&lt;=E53,"OK","FAIL")</x:f>
        <x:v>OK</x:v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  <x:v>0</x:v>
      </x:c>
      <x:c r="C54" s="148" t="n">
        <x:f>IF('Вводные'!K60="Да",'Вводные'!K63*IF('Вводные'!K62="Да",'Вводные'!$K$15,1),0)</x:f>
        <x:v>0</x:v>
      </x:c>
      <x:c r="D54" s="148" t="n">
        <x:f>B54-C54</x:f>
        <x:v>0</x:v>
      </x:c>
      <x:c r="E54" s="148" t="n">
        <x:v>0.01</x:v>
      </x:c>
      <x:c r="F54" t="str">
        <x:f>IF(ABS(D54)&lt;=E54,"OK","FAIL")</x:f>
        <x:v>OK</x:v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  <x:v>91</x:v>
      </x:c>
      <x:c r="C55" s="148" t="n">
        <x:f>ROUND('Вводные'!AB88*IF('Вводные'!$K$80="Да",'Вводные'!$K$15,1),0)</x:f>
        <x:v>91</x:v>
      </x:c>
      <x:c r="D55" s="148" t="n">
        <x:f>B55-C55</x:f>
        <x:v>0</x:v>
      </x:c>
      <x:c r="E55" s="148" t="n">
        <x:v>0.01</x:v>
      </x:c>
      <x:c r="F55" t="str">
        <x:f>IF(ABS(D55)&lt;=E55,"OK","FAIL")</x:f>
        <x:v>OK</x:v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  <x:v>1</x:v>
      </x:c>
      <x:c r="C56" s="148" t="n">
        <x:f>1</x:f>
        <x:v>1</x:v>
      </x:c>
      <x:c r="D56" s="148" t="n">
        <x:f>B56-C56</x:f>
        <x:v>0</x:v>
      </x:c>
      <x:c r="E56" s="148" t="n">
        <x:v>0.01</x:v>
      </x:c>
      <x:c r="F56" t="str">
        <x:f>IF(ABS(D56)&lt;=E56,"OK","FAIL")</x:f>
        <x:v>OK</x:v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--AND('Вводные'!H88&gt;=1,'Вводные'!H89&gt;=1,'Вводные'!H90&gt;=1)</x:f>
        <x:v>1</x:v>
      </x:c>
      <x:c r="C57" s="148" t="n">
        <x:f>1</x:f>
        <x:v>1</x:v>
      </x:c>
      <x:c r="D57" s="148" t="n">
        <x:f>B57-C57</x:f>
        <x:v>0</x:v>
      </x:c>
      <x:c r="E57" s="148" t="n">
        <x:v>0.01</x:v>
      </x:c>
      <x:c r="F57" t="str">
        <x:f>IF(ABS(D57)&lt;=E57,"OK","FAIL")</x:f>
        <x:v>OK</x:v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  <x:v>1</x:v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  <x:v>1</x:v>
      </x:c>
      <x:c r="D58" s="148" t="n">
        <x:f>B58-C58</x:f>
        <x:v>0</x:v>
      </x:c>
      <x:c r="E58" s="148" t="n">
        <x:v>0.01</x:v>
      </x:c>
      <x:c r="F58" t="str">
        <x:f>IF(ABS(D58)&lt;=E58,"OK","FAIL")</x:f>
        <x:v>OK</x:v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  <x:v>1</x:v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  <x:v>1</x:v>
      </x:c>
      <x:c r="D59" s="148" t="n">
        <x:f>B59-C59</x:f>
        <x:v>0</x:v>
      </x:c>
      <x:c r="E59" s="148" t="n">
        <x:v>0.01</x:v>
      </x:c>
      <x:c r="F59" t="str">
        <x:f>IF(ABS(D59)&lt;=E59,"OK","FAIL")</x:f>
        <x:v>OK</x:v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'ОТЧЕТ'!E59</x:f>
        <x:v>12180.226571903746</x:v>
      </x:c>
      <x:c r="C60" s="148" t="n">
        <x:f>SUM('Продажи'!B16,'Продажи'!B19,'Продажи'!B39,'Продажи'!B42,'Продажи'!B62,'Продажи'!B65,'ОБЪЕКТЫ'!B24,'ОБЪЕКТЫ'!B52)</x:f>
        <x:v>12180.226571903746</x:v>
      </x:c>
      <x:c r="D60" s="148" t="n">
        <x:f>B60-C60</x:f>
        <x:v>0</x:v>
      </x:c>
      <x:c r="E60" s="148" t="n">
        <x:v>0.01</x:v>
      </x:c>
      <x:c r="F60" t="str">
        <x:f>IF(ABS(D60)&lt;=E60,"OK","FAIL")</x:f>
        <x:v>OK</x:v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--AND('ОТЧЕТ'!E64&gt;=0,'ОТЧЕТ'!E65&gt;=0,'ОТЧЕТ'!E66&gt;=0,'ОТЧЕТ'!E67&gt;=0,'ОТЧЕТ'!E68&gt;=0,'ОТЧЕТ'!E69&gt;=0)</x:f>
        <x:v>1</x:v>
      </x:c>
      <x:c r="C61" s="148" t="n">
        <x:f>1</x:f>
        <x:v>1</x:v>
      </x:c>
      <x:c r="D61" s="148" t="n">
        <x:f>B61-C61</x:f>
        <x:v>0</x:v>
      </x:c>
      <x:c r="E61" s="148" t="n">
        <x:v>0.01</x:v>
      </x:c>
      <x:c r="F61" t="str">
        <x:f>IF(ABS(D61)&lt;=E61,"OK","FAIL")</x:f>
        <x:v>OK</x:v>
      </x:c>
      <x:c r="G61" t="str">
        <x:v>ОТЧЕТ / темпы</x:v>
      </x:c>
      <x:c r="H61" t="str">
        <x:v>Темпы показаны в м²/мес. и шт./мес.</x:v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  <x:v>46388</x:v>
      </x:c>
      <x:c r="E3" s="340" t="n">
        <x:f>'Ставки'!E$3</x:f>
        <x:v>46419</x:v>
      </x:c>
      <x:c r="F3" s="340" t="n">
        <x:f>'Ставки'!F$3</x:f>
        <x:v>46447</x:v>
      </x:c>
      <x:c r="G3" s="340" t="n">
        <x:f>'Ставки'!G$3</x:f>
        <x:v>46478</x:v>
      </x:c>
      <x:c r="H3" s="340" t="n">
        <x:f>'Ставки'!H$3</x:f>
        <x:v>46508</x:v>
      </x:c>
      <x:c r="I3" s="340" t="n">
        <x:f>'Ставки'!I$3</x:f>
        <x:v>46539</x:v>
      </x:c>
      <x:c r="J3" s="340" t="n">
        <x:f>'Ставки'!J$3</x:f>
        <x:v>46569</x:v>
      </x:c>
      <x:c r="K3" s="340" t="n">
        <x:f>'Ставки'!K$3</x:f>
        <x:v>46600</x:v>
      </x:c>
      <x:c r="L3" s="340" t="n">
        <x:f>'Ставки'!L$3</x:f>
        <x:v>46631</x:v>
      </x:c>
      <x:c r="M3" s="340" t="n">
        <x:f>'Ставки'!M$3</x:f>
        <x:v>46661</x:v>
      </x:c>
      <x:c r="N3" s="340" t="n">
        <x:f>'Ставки'!N$3</x:f>
        <x:v>46692</x:v>
      </x:c>
      <x:c r="O3" s="340" t="n">
        <x:f>'Ставки'!O$3</x:f>
        <x:v>46722</x:v>
      </x:c>
      <x:c r="P3" s="340" t="n">
        <x:f>'Ставки'!P$3</x:f>
        <x:v>46753</x:v>
      </x:c>
      <x:c r="Q3" s="340" t="n">
        <x:f>'Ставки'!Q$3</x:f>
        <x:v>46784</x:v>
      </x:c>
      <x:c r="R3" s="340" t="n">
        <x:f>'Ставки'!R$3</x:f>
        <x:v>46813</x:v>
      </x:c>
      <x:c r="S3" s="340" t="n">
        <x:f>'Ставки'!S$3</x:f>
        <x:v>46844</x:v>
      </x:c>
      <x:c r="T3" s="340" t="n">
        <x:f>'Ставки'!T$3</x:f>
        <x:v>46874</x:v>
      </x:c>
      <x:c r="U3" s="340" t="n">
        <x:f>'Ставки'!U$3</x:f>
        <x:v>46905</x:v>
      </x:c>
      <x:c r="V3" s="340" t="n">
        <x:f>'Ставки'!V$3</x:f>
        <x:v>46935</x:v>
      </x:c>
      <x:c r="W3" s="340" t="n">
        <x:f>'Ставки'!W$3</x:f>
        <x:v>46966</x:v>
      </x:c>
      <x:c r="X3" s="340" t="n">
        <x:f>'Ставки'!X$3</x:f>
        <x:v>46997</x:v>
      </x:c>
      <x:c r="Y3" s="340" t="n">
        <x:f>'Ставки'!Y$3</x:f>
        <x:v>47027</x:v>
      </x:c>
      <x:c r="Z3" s="340" t="n">
        <x:f>'Ставки'!Z$3</x:f>
        <x:v>47058</x:v>
      </x:c>
      <x:c r="AA3" s="340" t="n">
        <x:f>'Ставки'!AA$3</x:f>
        <x:v>47088</x:v>
      </x:c>
      <x:c r="AB3" s="340" t="n">
        <x:f>'Ставки'!AB$3</x:f>
        <x:v>47119</x:v>
      </x:c>
      <x:c r="AC3" s="340" t="n">
        <x:f>'Ставки'!AC$3</x:f>
        <x:v>47150</x:v>
      </x:c>
      <x:c r="AD3" s="340" t="n">
        <x:f>'Ставки'!AD$3</x:f>
        <x:v>47178</x:v>
      </x:c>
      <x:c r="AE3" s="340" t="n">
        <x:f>'Ставки'!AE$3</x:f>
        <x:v>47209</x:v>
      </x:c>
      <x:c r="AF3" s="340" t="n">
        <x:f>'Ставки'!AF$3</x:f>
        <x:v>47239</x:v>
      </x:c>
      <x:c r="AG3" s="340" t="n">
        <x:f>'Ставки'!AG$3</x:f>
        <x:v>47270</x:v>
      </x:c>
      <x:c r="AH3" s="340" t="n">
        <x:f>'Ставки'!AH$3</x:f>
        <x:v>47300</x:v>
      </x:c>
      <x:c r="AI3" s="340" t="n">
        <x:f>'Ставки'!AI$3</x:f>
        <x:v>47331</x:v>
      </x:c>
      <x:c r="AJ3" s="340" t="n">
        <x:f>'Ставки'!AJ$3</x:f>
        <x:v>47362</x:v>
      </x:c>
      <x:c r="AK3" s="340" t="n">
        <x:f>'Ставки'!AK$3</x:f>
        <x:v>47392</x:v>
      </x:c>
      <x:c r="AL3" s="340" t="n">
        <x:f>'Ставки'!AL$3</x:f>
        <x:v>47423</x:v>
      </x:c>
      <x:c r="AM3" s="340" t="n">
        <x:f>'Ставки'!AM$3</x:f>
        <x:v>47453</x:v>
      </x:c>
      <x:c r="AN3" s="340" t="n">
        <x:f>'Ставки'!AN$3</x:f>
        <x:v>47484</x:v>
      </x:c>
      <x:c r="AO3" s="340" t="n">
        <x:f>'Ставки'!AO$3</x:f>
        <x:v>47515</x:v>
      </x:c>
      <x:c r="AP3" s="340" t="n">
        <x:f>'Ставки'!AP$3</x:f>
        <x:v>47543</x:v>
      </x:c>
      <x:c r="AQ3" s="340" t="n">
        <x:f>'Ставки'!AQ$3</x:f>
        <x:v>47574</x:v>
      </x:c>
      <x:c r="AR3" s="340" t="n">
        <x:f>'Ставки'!AR$3</x:f>
        <x:v>47604</x:v>
      </x:c>
      <x:c r="AS3" s="340" t="n">
        <x:f>'Ставки'!AS$3</x:f>
        <x:v>47635</x:v>
      </x:c>
      <x:c r="AT3" s="340" t="n">
        <x:f>'Ставки'!AT$3</x:f>
        <x:v>47665</x:v>
      </x:c>
      <x:c r="AU3" s="340" t="n">
        <x:f>'Ставки'!AU$3</x:f>
        <x:v>47696</x:v>
      </x:c>
      <x:c r="AV3" s="340" t="n">
        <x:f>'Ставки'!AV$3</x:f>
        <x:v>47727</x:v>
      </x:c>
      <x:c r="AW3" s="340" t="n">
        <x:f>'Ставки'!AW$3</x:f>
        <x:v>47757</x:v>
      </x:c>
      <x:c r="AX3" s="340" t="n">
        <x:f>'Ставки'!AX$3</x:f>
        <x:v>47788</x:v>
      </x:c>
      <x:c r="AY3" s="340" t="n">
        <x:f>'Ставки'!AY$3</x:f>
        <x:v>47818</x:v>
      </x:c>
      <x:c r="AZ3" s="340" t="n">
        <x:f>'Ставки'!AZ$3</x:f>
        <x:v>47849</x:v>
      </x:c>
      <x:c r="BA3" s="340" t="n">
        <x:f>'Ставки'!BA$3</x:f>
        <x:v>47880</x:v>
      </x:c>
      <x:c r="BB3" s="340" t="n">
        <x:f>'Ставки'!BB$3</x:f>
        <x:v>47908</x:v>
      </x:c>
      <x:c r="BC3" s="340" t="n">
        <x:f>'Ставки'!BC$3</x:f>
        <x:v>47939</x:v>
      </x:c>
      <x:c r="BD3" s="340" t="n">
        <x:f>'Ставки'!BD$3</x:f>
        <x:v>47969</x:v>
      </x:c>
      <x:c r="BE3" s="340" t="n">
        <x:f>'Ставки'!BE$3</x:f>
        <x:v>48000</x:v>
      </x:c>
      <x:c r="BF3" s="340" t="n">
        <x:f>'Ставки'!BF$3</x:f>
        <x:v>48030</x:v>
      </x:c>
      <x:c r="BG3" s="340" t="n">
        <x:f>'Ставки'!BG$3</x:f>
        <x:v>48061</x:v>
      </x:c>
      <x:c r="BH3" s="340" t="n">
        <x:f>'Ставки'!BH$3</x:f>
        <x:v>48092</x:v>
      </x:c>
      <x:c r="BI3" s="340" t="n">
        <x:f>'Ставки'!BI$3</x:f>
        <x:v>48122</x:v>
      </x:c>
      <x:c r="BJ3" s="340" t="n">
        <x:f>'Ставки'!BJ$3</x:f>
        <x:v>48153</x:v>
      </x:c>
      <x:c r="BK3" s="340" t="n">
        <x:f>'Ставки'!BK$3</x:f>
        <x:v>48183</x:v>
      </x:c>
      <x:c r="BL3" s="340" t="n">
        <x:f>'Ставки'!BL$3</x:f>
        <x:v>48214</x:v>
      </x:c>
      <x:c r="BM3" s="340" t="n">
        <x:f>'Ставки'!BM$3</x:f>
        <x:v>48245</x:v>
      </x:c>
      <x:c r="BN3" s="340" t="n">
        <x:f>'Ставки'!BN$3</x:f>
        <x:v>48274</x:v>
      </x:c>
      <x:c r="BO3" s="340" t="n">
        <x:f>'Ставки'!BO$3</x:f>
        <x:v>48305</x:v>
      </x:c>
      <x:c r="BP3" s="340" t="n">
        <x:f>'Ставки'!BP$3</x:f>
        <x:v>48335</x:v>
      </x:c>
      <x:c r="BQ3" s="340" t="n">
        <x:f>'Ставки'!BQ$3</x:f>
        <x:v>48366</x:v>
      </x:c>
      <x:c r="BR3" s="340" t="n">
        <x:f>'Ставки'!BR$3</x:f>
        <x:v>48396</x:v>
      </x:c>
      <x:c r="BS3" s="340" t="n">
        <x:f>'Ставки'!BS$3</x:f>
        <x:v>48427</x:v>
      </x:c>
      <x:c r="BT3" s="340" t="n">
        <x:f>'Ставки'!BT$3</x:f>
        <x:v>48458</x:v>
      </x:c>
      <x:c r="BU3" s="340" t="n">
        <x:f>'Ставки'!BU$3</x:f>
        <x:v>48488</x:v>
      </x:c>
      <x:c r="BV3" s="340" t="n">
        <x:f>'Ставки'!BV$3</x:f>
        <x:v>48519</x:v>
      </x:c>
      <x:c r="BW3" s="340" t="n">
        <x:f>'Ставки'!BW$3</x:f>
        <x:v>48549</x:v>
      </x:c>
      <x:c r="BX3" s="340" t="n">
        <x:f>'Ставки'!BX$3</x:f>
        <x:v>48580</x:v>
      </x:c>
      <x:c r="BY3" s="340" t="n">
        <x:f>'Ставки'!BY$3</x:f>
        <x:v>48611</x:v>
      </x:c>
      <x:c r="BZ3" s="340" t="n">
        <x:f>'Ставки'!BZ$3</x:f>
        <x:v>48639</x:v>
      </x:c>
      <x:c r="CA3" s="340" t="n">
        <x:f>'Ставки'!CA$3</x:f>
        <x:v>48670</x:v>
      </x:c>
      <x:c r="CB3" s="340" t="n">
        <x:f>'Ставки'!CB$3</x:f>
        <x:v>48700</x:v>
      </x:c>
      <x:c r="CC3" s="340" t="n">
        <x:f>'Ставки'!CC$3</x:f>
        <x:v>48731</x:v>
      </x:c>
      <x:c r="CD3" s="340" t="n">
        <x:f>'Ставки'!CD$3</x:f>
        <x:v>48761</x:v>
      </x:c>
      <x:c r="CE3" s="340" t="n">
        <x:f>'Ставки'!CE$3</x:f>
        <x:v>48792</x:v>
      </x:c>
      <x:c r="CF3" s="340" t="n">
        <x:f>'Ставки'!CF$3</x:f>
        <x:v>48823</x:v>
      </x:c>
      <x:c r="CG3" s="340" t="n">
        <x:f>'Ставки'!CG$3</x:f>
        <x:v>48853</x:v>
      </x:c>
      <x:c r="CH3" s="340" t="n">
        <x:f>'Ставки'!CH$3</x:f>
        <x:v>48884</x:v>
      </x:c>
      <x:c r="CI3" s="340" t="n">
        <x:f>'Ставки'!CI$3</x:f>
        <x:v>48914</x:v>
      </x:c>
      <x:c r="CJ3" s="340" t="n">
        <x:f>'Ставки'!CJ$3</x:f>
        <x:v>48945</x:v>
      </x:c>
      <x:c r="CK3" s="340" t="n">
        <x:f>'Ставки'!CK$3</x:f>
        <x:v>48976</x:v>
      </x:c>
      <x:c r="CL3" s="340" t="n">
        <x:f>'Ставки'!CL$3</x:f>
        <x:v>49004</x:v>
      </x:c>
      <x:c r="CM3" s="340" t="n">
        <x:f>'Ставки'!CM$3</x:f>
        <x:v>49035</x:v>
      </x:c>
      <x:c r="CN3" s="340" t="n">
        <x:f>'Ставки'!CN$3</x:f>
        <x:v>49065</x:v>
      </x:c>
      <x:c r="CO3" s="340" t="n">
        <x:f>'Ставки'!CO$3</x:f>
        <x:v>49096</x:v>
      </x:c>
      <x:c r="CP3" s="340" t="n">
        <x:f>'Ставки'!CP$3</x:f>
        <x:v>49126</x:v>
      </x:c>
      <x:c r="CQ3" s="340" t="n">
        <x:f>'Ставки'!CQ$3</x:f>
        <x:v>49157</x:v>
      </x:c>
      <x:c r="CR3" s="340" t="n">
        <x:f>'Ставки'!CR$3</x:f>
        <x:v>49188</x:v>
      </x:c>
      <x:c r="CS3" s="340" t="n">
        <x:f>'Ставки'!CS$3</x:f>
        <x:v>49218</x:v>
      </x:c>
      <x:c r="CT3" s="340" t="n">
        <x:f>'Ставки'!CT$3</x:f>
        <x:v>49249</x:v>
      </x:c>
      <x:c r="CU3" s="340" t="n">
        <x:f>'Ставки'!CU$3</x:f>
        <x:v>49279</x:v>
      </x:c>
      <x:c r="CV3" s="340" t="n">
        <x:f>'Ставки'!CV$3</x:f>
        <x:v>49310</x:v>
      </x:c>
      <x:c r="CW3" s="340" t="n">
        <x:f>'Ставки'!CW$3</x:f>
        <x:v>49341</x:v>
      </x:c>
      <x:c r="CX3" s="340" t="n">
        <x:f>'Ставки'!CX$3</x:f>
        <x:v>49369</x:v>
      </x:c>
      <x:c r="CY3" s="340" t="n">
        <x:f>'Ставки'!CY$3</x:f>
        <x:v>49400</x:v>
      </x:c>
      <x:c r="CZ3" s="340" t="n">
        <x:f>'Ставки'!CZ$3</x:f>
        <x:v>49430</x:v>
      </x:c>
      <x:c r="DA3" s="340" t="n">
        <x:f>'Ставки'!DA$3</x:f>
        <x:v>49461</x:v>
      </x:c>
      <x:c r="DB3" s="340" t="n">
        <x:f>'Ставки'!DB$3</x:f>
        <x:v>49491</x:v>
      </x:c>
      <x:c r="DC3" s="340" t="n">
        <x:f>'Ставки'!DC$3</x:f>
        <x:v>49522</x:v>
      </x:c>
      <x:c r="DD3" s="340" t="n">
        <x:f>'Ставки'!DD$3</x:f>
        <x:v>49553</x:v>
      </x:c>
      <x:c r="DE3" s="340" t="n">
        <x:f>'Ставки'!DE$3</x:f>
        <x:v>49583</x:v>
      </x:c>
      <x:c r="DF3" s="340" t="n">
        <x:f>'Ставки'!DF$3</x:f>
        <x:v>49614</x:v>
      </x:c>
      <x:c r="DG3" s="340" t="n">
        <x:f>'Ставки'!DG$3</x:f>
        <x:v>49644</x:v>
      </x:c>
      <x:c r="DH3" s="340" t="n">
        <x:f>'Ставки'!DH$3</x:f>
        <x:v>49675</x:v>
      </x:c>
      <x:c r="DI3" s="340" t="n">
        <x:f>'Ставки'!DI$3</x:f>
        <x:v>49706</x:v>
      </x:c>
      <x:c r="DJ3" s="340" t="n">
        <x:f>'Ставки'!DJ$3</x:f>
        <x:v>49735</x:v>
      </x:c>
      <x:c r="DK3" s="340" t="n">
        <x:f>'Ставки'!DK$3</x:f>
        <x:v>49766</x:v>
      </x:c>
      <x:c r="DL3" s="340" t="n">
        <x:f>'Ставки'!DL$3</x:f>
        <x:v>49796</x:v>
      </x:c>
      <x:c r="DM3" s="340" t="n">
        <x:f>'Ставки'!DM$3</x:f>
        <x:v>49827</x:v>
      </x:c>
      <x:c r="DN3" s="340" t="n">
        <x:f>'Ставки'!DN$3</x:f>
        <x:v>49857</x:v>
      </x:c>
      <x:c r="DO3" s="340" t="n">
        <x:f>'Ставки'!DO$3</x:f>
        <x:v>49888</x:v>
      </x:c>
      <x:c r="DP3" s="340" t="n">
        <x:f>'Ставки'!DP$3</x:f>
        <x:v>49919</x:v>
      </x:c>
      <x:c r="DQ3" s="340" t="n">
        <x:f>'Ставки'!DQ$3</x:f>
        <x:v>49949</x:v>
      </x:c>
      <x:c r="DR3" s="340" t="n">
        <x:f>'Ставки'!DR$3</x:f>
        <x:v>49980</x:v>
      </x:c>
      <x:c r="DS3" s="340" t="n">
        <x:f>'Ставки'!DS$3</x:f>
        <x:v>50010</x:v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  <x:v>Нет</x:v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  <x:v>1</x:v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  <x:v>46935</x:v>
      </x:c>
      <x:c r="C9" t="str">
        <x:v>дата</x:v>
      </x:c>
    </x:row>
    <x:row r="10">
      <x:c r="A10" t="str">
        <x:v>РВЭ</x:v>
      </x:c>
      <x:c r="B10" s="92" t="n">
        <x:f>EDATE(B9,'Вводные'!$K$28)</x:f>
        <x:v>47665</x:v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  <x:v>46935</x:v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  <x:v>0</x:v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  <x:v>0</x:v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--AND(D$3&gt;=$B$9,D$3&lt;$B$10,AND($B$7="Да",IFERROR(INDEX('Вводные'!$B$88:$B$90,$B$8),"Нет")="Да"))</x:f>
        <x:v>0</x:v>
      </x:c>
      <x:c r="E14" t="n">
        <x:f>--AND(E$3&gt;=$B$9,E$3&lt;$B$10,AND($B$7="Да",IFERROR(INDEX('Вводные'!$B$88:$B$90,$B$8),"Нет")="Да"))</x:f>
        <x:v>0</x:v>
      </x:c>
      <x:c r="F14" t="n">
        <x:f>--AND(F$3&gt;=$B$9,F$3&lt;$B$10,AND($B$7="Да",IFERROR(INDEX('Вводные'!$B$88:$B$90,$B$8),"Нет")="Да"))</x:f>
        <x:v>0</x:v>
      </x:c>
      <x:c r="G14" t="n">
        <x:f>--AND(G$3&gt;=$B$9,G$3&lt;$B$10,AND($B$7="Да",IFERROR(INDEX('Вводные'!$B$88:$B$90,$B$8),"Нет")="Да"))</x:f>
        <x:v>0</x:v>
      </x:c>
      <x:c r="H14" t="n">
        <x:f>--AND(H$3&gt;=$B$9,H$3&lt;$B$10,AND($B$7="Да",IFERROR(INDEX('Вводные'!$B$88:$B$90,$B$8),"Нет")="Да"))</x:f>
        <x:v>0</x:v>
      </x:c>
      <x:c r="I14" t="n">
        <x:f>--AND(I$3&gt;=$B$9,I$3&lt;$B$10,AND($B$7="Да",IFERROR(INDEX('Вводные'!$B$88:$B$90,$B$8),"Нет")="Да"))</x:f>
        <x:v>0</x:v>
      </x:c>
      <x:c r="J14" t="n">
        <x:f>--AND(J$3&gt;=$B$9,J$3&lt;$B$10,AND($B$7="Да",IFERROR(INDEX('Вводные'!$B$88:$B$90,$B$8),"Нет")="Да"))</x:f>
        <x:v>0</x:v>
      </x:c>
      <x:c r="K14" t="n">
        <x:f>--AND(K$3&gt;=$B$9,K$3&lt;$B$10,AND($B$7="Да",IFERROR(INDEX('Вводные'!$B$88:$B$90,$B$8),"Нет")="Да"))</x:f>
        <x:v>0</x:v>
      </x:c>
      <x:c r="L14" t="n">
        <x:f>--AND(L$3&gt;=$B$9,L$3&lt;$B$10,AND($B$7="Да",IFERROR(INDEX('Вводные'!$B$88:$B$90,$B$8),"Нет")="Да"))</x:f>
        <x:v>0</x:v>
      </x:c>
      <x:c r="M14" t="n">
        <x:f>--AND(M$3&gt;=$B$9,M$3&lt;$B$10,AND($B$7="Да",IFERROR(INDEX('Вводные'!$B$88:$B$90,$B$8),"Нет")="Да"))</x:f>
        <x:v>0</x:v>
      </x:c>
      <x:c r="N14" t="n">
        <x:f>--AND(N$3&gt;=$B$9,N$3&lt;$B$10,AND($B$7="Да",IFERROR(INDEX('Вводные'!$B$88:$B$90,$B$8),"Нет")="Да"))</x:f>
        <x:v>0</x:v>
      </x:c>
      <x:c r="O14" t="n">
        <x:f>--AND(O$3&gt;=$B$9,O$3&lt;$B$10,AND($B$7="Да",IFERROR(INDEX('Вводные'!$B$88:$B$90,$B$8),"Нет")="Да"))</x:f>
        <x:v>0</x:v>
      </x:c>
      <x:c r="P14" t="n">
        <x:f>--AND(P$3&gt;=$B$9,P$3&lt;$B$10,AND($B$7="Да",IFERROR(INDEX('Вводные'!$B$88:$B$90,$B$8),"Нет")="Да"))</x:f>
        <x:v>0</x:v>
      </x:c>
      <x:c r="Q14" t="n">
        <x:f>--AND(Q$3&gt;=$B$9,Q$3&lt;$B$10,AND($B$7="Да",IFERROR(INDEX('Вводные'!$B$88:$B$90,$B$8),"Нет")="Да"))</x:f>
        <x:v>0</x:v>
      </x:c>
      <x:c r="R14" t="n">
        <x:f>--AND(R$3&gt;=$B$9,R$3&lt;$B$10,AND($B$7="Да",IFERROR(INDEX('Вводные'!$B$88:$B$90,$B$8),"Нет")="Да"))</x:f>
        <x:v>0</x:v>
      </x:c>
      <x:c r="S14" t="n">
        <x:f>--AND(S$3&gt;=$B$9,S$3&lt;$B$10,AND($B$7="Да",IFERROR(INDEX('Вводные'!$B$88:$B$90,$B$8),"Нет")="Да"))</x:f>
        <x:v>0</x:v>
      </x:c>
      <x:c r="T14" t="n">
        <x:f>--AND(T$3&gt;=$B$9,T$3&lt;$B$10,AND($B$7="Да",IFERROR(INDEX('Вводные'!$B$88:$B$90,$B$8),"Нет")="Да"))</x:f>
        <x:v>0</x:v>
      </x:c>
      <x:c r="U14" t="n">
        <x:f>--AND(U$3&gt;=$B$9,U$3&lt;$B$10,AND($B$7="Да",IFERROR(INDEX('Вводные'!$B$88:$B$90,$B$8),"Нет")="Да"))</x:f>
        <x:v>0</x:v>
      </x:c>
      <x:c r="V14" t="n">
        <x:f>--AND(V$3&gt;=$B$9,V$3&lt;$B$10,AND($B$7="Да",IFERROR(INDEX('Вводные'!$B$88:$B$90,$B$8),"Нет")="Да"))</x:f>
        <x:v>0</x:v>
      </x:c>
      <x:c r="W14" t="n">
        <x:f>--AND(W$3&gt;=$B$9,W$3&lt;$B$10,AND($B$7="Да",IFERROR(INDEX('Вводные'!$B$88:$B$90,$B$8),"Нет")="Да"))</x:f>
        <x:v>0</x:v>
      </x:c>
      <x:c r="X14" t="n">
        <x:f>--AND(X$3&gt;=$B$9,X$3&lt;$B$10,AND($B$7="Да",IFERROR(INDEX('Вводные'!$B$88:$B$90,$B$8),"Нет")="Да"))</x:f>
        <x:v>0</x:v>
      </x:c>
      <x:c r="Y14" t="n">
        <x:f>--AND(Y$3&gt;=$B$9,Y$3&lt;$B$10,AND($B$7="Да",IFERROR(INDEX('Вводные'!$B$88:$B$90,$B$8),"Нет")="Да"))</x:f>
        <x:v>0</x:v>
      </x:c>
      <x:c r="Z14" t="n">
        <x:f>--AND(Z$3&gt;=$B$9,Z$3&lt;$B$10,AND($B$7="Да",IFERROR(INDEX('Вводные'!$B$88:$B$90,$B$8),"Нет")="Да"))</x:f>
        <x:v>0</x:v>
      </x:c>
      <x:c r="AA14" t="n">
        <x:f>--AND(AA$3&gt;=$B$9,AA$3&lt;$B$10,AND($B$7="Да",IFERROR(INDEX('Вводные'!$B$88:$B$90,$B$8),"Нет")="Да"))</x:f>
        <x:v>0</x:v>
      </x:c>
      <x:c r="AB14" t="n">
        <x:f>--AND(AB$3&gt;=$B$9,AB$3&lt;$B$10,AND($B$7="Да",IFERROR(INDEX('Вводные'!$B$88:$B$90,$B$8),"Нет")="Да"))</x:f>
        <x:v>0</x:v>
      </x:c>
      <x:c r="AC14" t="n">
        <x:f>--AND(AC$3&gt;=$B$9,AC$3&lt;$B$10,AND($B$7="Да",IFERROR(INDEX('Вводные'!$B$88:$B$90,$B$8),"Нет")="Да"))</x:f>
        <x:v>0</x:v>
      </x:c>
      <x:c r="AD14" t="n">
        <x:f>--AND(AD$3&gt;=$B$9,AD$3&lt;$B$10,AND($B$7="Да",IFERROR(INDEX('Вводные'!$B$88:$B$90,$B$8),"Нет")="Да"))</x:f>
        <x:v>0</x:v>
      </x:c>
      <x:c r="AE14" t="n">
        <x:f>--AND(AE$3&gt;=$B$9,AE$3&lt;$B$10,AND($B$7="Да",IFERROR(INDEX('Вводные'!$B$88:$B$90,$B$8),"Нет")="Да"))</x:f>
        <x:v>0</x:v>
      </x:c>
      <x:c r="AF14" t="n">
        <x:f>--AND(AF$3&gt;=$B$9,AF$3&lt;$B$10,AND($B$7="Да",IFERROR(INDEX('Вводные'!$B$88:$B$90,$B$8),"Нет")="Да"))</x:f>
        <x:v>0</x:v>
      </x:c>
      <x:c r="AG14" t="n">
        <x:f>--AND(AG$3&gt;=$B$9,AG$3&lt;$B$10,AND($B$7="Да",IFERROR(INDEX('Вводные'!$B$88:$B$90,$B$8),"Нет")="Да"))</x:f>
        <x:v>0</x:v>
      </x:c>
      <x:c r="AH14" t="n">
        <x:f>--AND(AH$3&gt;=$B$9,AH$3&lt;$B$10,AND($B$7="Да",IFERROR(INDEX('Вводные'!$B$88:$B$90,$B$8),"Нет")="Да"))</x:f>
        <x:v>0</x:v>
      </x:c>
      <x:c r="AI14" t="n">
        <x:f>--AND(AI$3&gt;=$B$9,AI$3&lt;$B$10,AND($B$7="Да",IFERROR(INDEX('Вводные'!$B$88:$B$90,$B$8),"Нет")="Да"))</x:f>
        <x:v>0</x:v>
      </x:c>
      <x:c r="AJ14" t="n">
        <x:f>--AND(AJ$3&gt;=$B$9,AJ$3&lt;$B$10,AND($B$7="Да",IFERROR(INDEX('Вводные'!$B$88:$B$90,$B$8),"Нет")="Да"))</x:f>
        <x:v>0</x:v>
      </x:c>
      <x:c r="AK14" t="n">
        <x:f>--AND(AK$3&gt;=$B$9,AK$3&lt;$B$10,AND($B$7="Да",IFERROR(INDEX('Вводные'!$B$88:$B$90,$B$8),"Нет")="Да"))</x:f>
        <x:v>0</x:v>
      </x:c>
      <x:c r="AL14" t="n">
        <x:f>--AND(AL$3&gt;=$B$9,AL$3&lt;$B$10,AND($B$7="Да",IFERROR(INDEX('Вводные'!$B$88:$B$90,$B$8),"Нет")="Да"))</x:f>
        <x:v>0</x:v>
      </x:c>
      <x:c r="AM14" t="n">
        <x:f>--AND(AM$3&gt;=$B$9,AM$3&lt;$B$10,AND($B$7="Да",IFERROR(INDEX('Вводные'!$B$88:$B$90,$B$8),"Нет")="Да"))</x:f>
        <x:v>0</x:v>
      </x:c>
      <x:c r="AN14" t="n">
        <x:f>--AND(AN$3&gt;=$B$9,AN$3&lt;$B$10,AND($B$7="Да",IFERROR(INDEX('Вводные'!$B$88:$B$90,$B$8),"Нет")="Да"))</x:f>
        <x:v>0</x:v>
      </x:c>
      <x:c r="AO14" t="n">
        <x:f>--AND(AO$3&gt;=$B$9,AO$3&lt;$B$10,AND($B$7="Да",IFERROR(INDEX('Вводные'!$B$88:$B$90,$B$8),"Нет")="Да"))</x:f>
        <x:v>0</x:v>
      </x:c>
      <x:c r="AP14" t="n">
        <x:f>--AND(AP$3&gt;=$B$9,AP$3&lt;$B$10,AND($B$7="Да",IFERROR(INDEX('Вводные'!$B$88:$B$90,$B$8),"Нет")="Да"))</x:f>
        <x:v>0</x:v>
      </x:c>
      <x:c r="AQ14" t="n">
        <x:f>--AND(AQ$3&gt;=$B$9,AQ$3&lt;$B$10,AND($B$7="Да",IFERROR(INDEX('Вводные'!$B$88:$B$90,$B$8),"Нет")="Да"))</x:f>
        <x:v>0</x:v>
      </x:c>
      <x:c r="AR14" t="n">
        <x:f>--AND(AR$3&gt;=$B$9,AR$3&lt;$B$10,AND($B$7="Да",IFERROR(INDEX('Вводные'!$B$88:$B$90,$B$8),"Нет")="Да"))</x:f>
        <x:v>0</x:v>
      </x:c>
      <x:c r="AS14" t="n">
        <x:f>--AND(AS$3&gt;=$B$9,AS$3&lt;$B$10,AND($B$7="Да",IFERROR(INDEX('Вводные'!$B$88:$B$90,$B$8),"Нет")="Да"))</x:f>
        <x:v>0</x:v>
      </x:c>
      <x:c r="AT14" t="n">
        <x:f>--AND(AT$3&gt;=$B$9,AT$3&lt;$B$10,AND($B$7="Да",IFERROR(INDEX('Вводные'!$B$88:$B$90,$B$8),"Нет")="Да"))</x:f>
        <x:v>0</x:v>
      </x:c>
      <x:c r="AU14" t="n">
        <x:f>--AND(AU$3&gt;=$B$9,AU$3&lt;$B$10,AND($B$7="Да",IFERROR(INDEX('Вводные'!$B$88:$B$90,$B$8),"Нет")="Да"))</x:f>
        <x:v>0</x:v>
      </x:c>
      <x:c r="AV14" t="n">
        <x:f>--AND(AV$3&gt;=$B$9,AV$3&lt;$B$10,AND($B$7="Да",IFERROR(INDEX('Вводные'!$B$88:$B$90,$B$8),"Нет")="Да"))</x:f>
        <x:v>0</x:v>
      </x:c>
      <x:c r="AW14" t="n">
        <x:f>--AND(AW$3&gt;=$B$9,AW$3&lt;$B$10,AND($B$7="Да",IFERROR(INDEX('Вводные'!$B$88:$B$90,$B$8),"Нет")="Да"))</x:f>
        <x:v>0</x:v>
      </x:c>
      <x:c r="AX14" t="n">
        <x:f>--AND(AX$3&gt;=$B$9,AX$3&lt;$B$10,AND($B$7="Да",IFERROR(INDEX('Вводные'!$B$88:$B$90,$B$8),"Нет")="Да"))</x:f>
        <x:v>0</x:v>
      </x:c>
      <x:c r="AY14" t="n">
        <x:f>--AND(AY$3&gt;=$B$9,AY$3&lt;$B$10,AND($B$7="Да",IFERROR(INDEX('Вводные'!$B$88:$B$90,$B$8),"Нет")="Да"))</x:f>
        <x:v>0</x:v>
      </x:c>
      <x:c r="AZ14" t="n">
        <x:f>--AND(AZ$3&gt;=$B$9,AZ$3&lt;$B$10,AND($B$7="Да",IFERROR(INDEX('Вводные'!$B$88:$B$90,$B$8),"Нет")="Да"))</x:f>
        <x:v>0</x:v>
      </x:c>
      <x:c r="BA14" t="n">
        <x:f>--AND(BA$3&gt;=$B$9,BA$3&lt;$B$10,AND($B$7="Да",IFERROR(INDEX('Вводные'!$B$88:$B$90,$B$8),"Нет")="Да"))</x:f>
        <x:v>0</x:v>
      </x:c>
      <x:c r="BB14" t="n">
        <x:f>--AND(BB$3&gt;=$B$9,BB$3&lt;$B$10,AND($B$7="Да",IFERROR(INDEX('Вводные'!$B$88:$B$90,$B$8),"Нет")="Да"))</x:f>
        <x:v>0</x:v>
      </x:c>
      <x:c r="BC14" t="n">
        <x:f>--AND(BC$3&gt;=$B$9,BC$3&lt;$B$10,AND($B$7="Да",IFERROR(INDEX('Вводные'!$B$88:$B$90,$B$8),"Нет")="Да"))</x:f>
        <x:v>0</x:v>
      </x:c>
      <x:c r="BD14" t="n">
        <x:f>--AND(BD$3&gt;=$B$9,BD$3&lt;$B$10,AND($B$7="Да",IFERROR(INDEX('Вводные'!$B$88:$B$90,$B$8),"Нет")="Да"))</x:f>
        <x:v>0</x:v>
      </x:c>
      <x:c r="BE14" t="n">
        <x:f>--AND(BE$3&gt;=$B$9,BE$3&lt;$B$10,AND($B$7="Да",IFERROR(INDEX('Вводные'!$B$88:$B$90,$B$8),"Нет")="Да"))</x:f>
        <x:v>0</x:v>
      </x:c>
      <x:c r="BF14" t="n">
        <x:f>--AND(BF$3&gt;=$B$9,BF$3&lt;$B$10,AND($B$7="Да",IFERROR(INDEX('Вводные'!$B$88:$B$90,$B$8),"Нет")="Да"))</x:f>
        <x:v>0</x:v>
      </x:c>
      <x:c r="BG14" t="n">
        <x:f>--AND(BG$3&gt;=$B$9,BG$3&lt;$B$10,AND($B$7="Да",IFERROR(INDEX('Вводные'!$B$88:$B$90,$B$8),"Нет")="Да"))</x:f>
        <x:v>0</x:v>
      </x:c>
      <x:c r="BH14" t="n">
        <x:f>--AND(BH$3&gt;=$B$9,BH$3&lt;$B$10,AND($B$7="Да",IFERROR(INDEX('Вводные'!$B$88:$B$90,$B$8),"Нет")="Да"))</x:f>
        <x:v>0</x:v>
      </x:c>
      <x:c r="BI14" t="n">
        <x:f>--AND(BI$3&gt;=$B$9,BI$3&lt;$B$10,AND($B$7="Да",IFERROR(INDEX('Вводные'!$B$88:$B$90,$B$8),"Нет")="Да"))</x:f>
        <x:v>0</x:v>
      </x:c>
      <x:c r="BJ14" t="n">
        <x:f>--AND(BJ$3&gt;=$B$9,BJ$3&lt;$B$10,AND($B$7="Да",IFERROR(INDEX('Вводные'!$B$88:$B$90,$B$8),"Нет")="Да"))</x:f>
        <x:v>0</x:v>
      </x:c>
      <x:c r="BK14" t="n">
        <x:f>--AND(BK$3&gt;=$B$9,BK$3&lt;$B$10,AND($B$7="Да",IFERROR(INDEX('Вводные'!$B$88:$B$90,$B$8),"Нет")="Да"))</x:f>
        <x:v>0</x:v>
      </x:c>
      <x:c r="BL14" t="n">
        <x:f>--AND(BL$3&gt;=$B$9,BL$3&lt;$B$10,AND($B$7="Да",IFERROR(INDEX('Вводные'!$B$88:$B$90,$B$8),"Нет")="Да"))</x:f>
        <x:v>0</x:v>
      </x:c>
      <x:c r="BM14" t="n">
        <x:f>--AND(BM$3&gt;=$B$9,BM$3&lt;$B$10,AND($B$7="Да",IFERROR(INDEX('Вводные'!$B$88:$B$90,$B$8),"Нет")="Да"))</x:f>
        <x:v>0</x:v>
      </x:c>
      <x:c r="BN14" t="n">
        <x:f>--AND(BN$3&gt;=$B$9,BN$3&lt;$B$10,AND($B$7="Да",IFERROR(INDEX('Вводные'!$B$88:$B$90,$B$8),"Нет")="Да"))</x:f>
        <x:v>0</x:v>
      </x:c>
      <x:c r="BO14" t="n">
        <x:f>--AND(BO$3&gt;=$B$9,BO$3&lt;$B$10,AND($B$7="Да",IFERROR(INDEX('Вводные'!$B$88:$B$90,$B$8),"Нет")="Да"))</x:f>
        <x:v>0</x:v>
      </x:c>
      <x:c r="BP14" t="n">
        <x:f>--AND(BP$3&gt;=$B$9,BP$3&lt;$B$10,AND($B$7="Да",IFERROR(INDEX('Вводные'!$B$88:$B$90,$B$8),"Нет")="Да"))</x:f>
        <x:v>0</x:v>
      </x:c>
      <x:c r="BQ14" t="n">
        <x:f>--AND(BQ$3&gt;=$B$9,BQ$3&lt;$B$10,AND($B$7="Да",IFERROR(INDEX('Вводные'!$B$88:$B$90,$B$8),"Нет")="Да"))</x:f>
        <x:v>0</x:v>
      </x:c>
      <x:c r="BR14" t="n">
        <x:f>--AND(BR$3&gt;=$B$9,BR$3&lt;$B$10,AND($B$7="Да",IFERROR(INDEX('Вводные'!$B$88:$B$90,$B$8),"Нет")="Да"))</x:f>
        <x:v>0</x:v>
      </x:c>
      <x:c r="BS14" t="n">
        <x:f>--AND(BS$3&gt;=$B$9,BS$3&lt;$B$10,AND($B$7="Да",IFERROR(INDEX('Вводные'!$B$88:$B$90,$B$8),"Нет")="Да"))</x:f>
        <x:v>0</x:v>
      </x:c>
      <x:c r="BT14" t="n">
        <x:f>--AND(BT$3&gt;=$B$9,BT$3&lt;$B$10,AND($B$7="Да",IFERROR(INDEX('Вводные'!$B$88:$B$90,$B$8),"Нет")="Да"))</x:f>
        <x:v>0</x:v>
      </x:c>
      <x:c r="BU14" t="n">
        <x:f>--AND(BU$3&gt;=$B$9,BU$3&lt;$B$10,AND($B$7="Да",IFERROR(INDEX('Вводные'!$B$88:$B$90,$B$8),"Нет")="Да"))</x:f>
        <x:v>0</x:v>
      </x:c>
      <x:c r="BV14" t="n">
        <x:f>--AND(BV$3&gt;=$B$9,BV$3&lt;$B$10,AND($B$7="Да",IFERROR(INDEX('Вводные'!$B$88:$B$90,$B$8),"Нет")="Да"))</x:f>
        <x:v>0</x:v>
      </x:c>
      <x:c r="BW14" t="n">
        <x:f>--AND(BW$3&gt;=$B$9,BW$3&lt;$B$10,AND($B$7="Да",IFERROR(INDEX('Вводные'!$B$88:$B$90,$B$8),"Нет")="Да"))</x:f>
        <x:v>0</x:v>
      </x:c>
      <x:c r="BX14" t="n">
        <x:f>--AND(BX$3&gt;=$B$9,BX$3&lt;$B$10,AND($B$7="Да",IFERROR(INDEX('Вводные'!$B$88:$B$90,$B$8),"Нет")="Да"))</x:f>
        <x:v>0</x:v>
      </x:c>
      <x:c r="BY14" t="n">
        <x:f>--AND(BY$3&gt;=$B$9,BY$3&lt;$B$10,AND($B$7="Да",IFERROR(INDEX('Вводные'!$B$88:$B$90,$B$8),"Нет")="Да"))</x:f>
        <x:v>0</x:v>
      </x:c>
      <x:c r="BZ14" t="n">
        <x:f>--AND(BZ$3&gt;=$B$9,BZ$3&lt;$B$10,AND($B$7="Да",IFERROR(INDEX('Вводные'!$B$88:$B$90,$B$8),"Нет")="Да"))</x:f>
        <x:v>0</x:v>
      </x:c>
      <x:c r="CA14" t="n">
        <x:f>--AND(CA$3&gt;=$B$9,CA$3&lt;$B$10,AND($B$7="Да",IFERROR(INDEX('Вводные'!$B$88:$B$90,$B$8),"Нет")="Да"))</x:f>
        <x:v>0</x:v>
      </x:c>
      <x:c r="CB14" t="n">
        <x:f>--AND(CB$3&gt;=$B$9,CB$3&lt;$B$10,AND($B$7="Да",IFERROR(INDEX('Вводные'!$B$88:$B$90,$B$8),"Нет")="Да"))</x:f>
        <x:v>0</x:v>
      </x:c>
      <x:c r="CC14" t="n">
        <x:f>--AND(CC$3&gt;=$B$9,CC$3&lt;$B$10,AND($B$7="Да",IFERROR(INDEX('Вводные'!$B$88:$B$90,$B$8),"Нет")="Да"))</x:f>
        <x:v>0</x:v>
      </x:c>
      <x:c r="CD14" t="n">
        <x:f>--AND(CD$3&gt;=$B$9,CD$3&lt;$B$10,AND($B$7="Да",IFERROR(INDEX('Вводные'!$B$88:$B$90,$B$8),"Нет")="Да"))</x:f>
        <x:v>0</x:v>
      </x:c>
      <x:c r="CE14" t="n">
        <x:f>--AND(CE$3&gt;=$B$9,CE$3&lt;$B$10,AND($B$7="Да",IFERROR(INDEX('Вводные'!$B$88:$B$90,$B$8),"Нет")="Да"))</x:f>
        <x:v>0</x:v>
      </x:c>
      <x:c r="CF14" t="n">
        <x:f>--AND(CF$3&gt;=$B$9,CF$3&lt;$B$10,AND($B$7="Да",IFERROR(INDEX('Вводные'!$B$88:$B$90,$B$8),"Нет")="Да"))</x:f>
        <x:v>0</x:v>
      </x:c>
      <x:c r="CG14" t="n">
        <x:f>--AND(CG$3&gt;=$B$9,CG$3&lt;$B$10,AND($B$7="Да",IFERROR(INDEX('Вводные'!$B$88:$B$90,$B$8),"Нет")="Да"))</x:f>
        <x:v>0</x:v>
      </x:c>
      <x:c r="CH14" t="n">
        <x:f>--AND(CH$3&gt;=$B$9,CH$3&lt;$B$10,AND($B$7="Да",IFERROR(INDEX('Вводные'!$B$88:$B$90,$B$8),"Нет")="Да"))</x:f>
        <x:v>0</x:v>
      </x:c>
      <x:c r="CI14" t="n">
        <x:f>--AND(CI$3&gt;=$B$9,CI$3&lt;$B$10,AND($B$7="Да",IFERROR(INDEX('Вводные'!$B$88:$B$90,$B$8),"Нет")="Да"))</x:f>
        <x:v>0</x:v>
      </x:c>
      <x:c r="CJ14" t="n">
        <x:f>--AND(CJ$3&gt;=$B$9,CJ$3&lt;$B$10,AND($B$7="Да",IFERROR(INDEX('Вводные'!$B$88:$B$90,$B$8),"Нет")="Да"))</x:f>
        <x:v>0</x:v>
      </x:c>
      <x:c r="CK14" t="n">
        <x:f>--AND(CK$3&gt;=$B$9,CK$3&lt;$B$10,AND($B$7="Да",IFERROR(INDEX('Вводные'!$B$88:$B$90,$B$8),"Нет")="Да"))</x:f>
        <x:v>0</x:v>
      </x:c>
      <x:c r="CL14" t="n">
        <x:f>--AND(CL$3&gt;=$B$9,CL$3&lt;$B$10,AND($B$7="Да",IFERROR(INDEX('Вводные'!$B$88:$B$90,$B$8),"Нет")="Да"))</x:f>
        <x:v>0</x:v>
      </x:c>
      <x:c r="CM14" t="n">
        <x:f>--AND(CM$3&gt;=$B$9,CM$3&lt;$B$10,AND($B$7="Да",IFERROR(INDEX('Вводные'!$B$88:$B$90,$B$8),"Нет")="Да"))</x:f>
        <x:v>0</x:v>
      </x:c>
      <x:c r="CN14" t="n">
        <x:f>--AND(CN$3&gt;=$B$9,CN$3&lt;$B$10,AND($B$7="Да",IFERROR(INDEX('Вводные'!$B$88:$B$90,$B$8),"Нет")="Да"))</x:f>
        <x:v>0</x:v>
      </x:c>
      <x:c r="CO14" t="n">
        <x:f>--AND(CO$3&gt;=$B$9,CO$3&lt;$B$10,AND($B$7="Да",IFERROR(INDEX('Вводные'!$B$88:$B$90,$B$8),"Нет")="Да"))</x:f>
        <x:v>0</x:v>
      </x:c>
      <x:c r="CP14" t="n">
        <x:f>--AND(CP$3&gt;=$B$9,CP$3&lt;$B$10,AND($B$7="Да",IFERROR(INDEX('Вводные'!$B$88:$B$90,$B$8),"Нет")="Да"))</x:f>
        <x:v>0</x:v>
      </x:c>
      <x:c r="CQ14" t="n">
        <x:f>--AND(CQ$3&gt;=$B$9,CQ$3&lt;$B$10,AND($B$7="Да",IFERROR(INDEX('Вводные'!$B$88:$B$90,$B$8),"Нет")="Да"))</x:f>
        <x:v>0</x:v>
      </x:c>
      <x:c r="CR14" t="n">
        <x:f>--AND(CR$3&gt;=$B$9,CR$3&lt;$B$10,AND($B$7="Да",IFERROR(INDEX('Вводные'!$B$88:$B$90,$B$8),"Нет")="Да"))</x:f>
        <x:v>0</x:v>
      </x:c>
      <x:c r="CS14" t="n">
        <x:f>--AND(CS$3&gt;=$B$9,CS$3&lt;$B$10,AND($B$7="Да",IFERROR(INDEX('Вводные'!$B$88:$B$90,$B$8),"Нет")="Да"))</x:f>
        <x:v>0</x:v>
      </x:c>
      <x:c r="CT14" t="n">
        <x:f>--AND(CT$3&gt;=$B$9,CT$3&lt;$B$10,AND($B$7="Да",IFERROR(INDEX('Вводные'!$B$88:$B$90,$B$8),"Нет")="Да"))</x:f>
        <x:v>0</x:v>
      </x:c>
      <x:c r="CU14" t="n">
        <x:f>--AND(CU$3&gt;=$B$9,CU$3&lt;$B$10,AND($B$7="Да",IFERROR(INDEX('Вводные'!$B$88:$B$90,$B$8),"Нет")="Да"))</x:f>
        <x:v>0</x:v>
      </x:c>
      <x:c r="CV14" t="n">
        <x:f>--AND(CV$3&gt;=$B$9,CV$3&lt;$B$10,AND($B$7="Да",IFERROR(INDEX('Вводные'!$B$88:$B$90,$B$8),"Нет")="Да"))</x:f>
        <x:v>0</x:v>
      </x:c>
      <x:c r="CW14" t="n">
        <x:f>--AND(CW$3&gt;=$B$9,CW$3&lt;$B$10,AND($B$7="Да",IFERROR(INDEX('Вводные'!$B$88:$B$90,$B$8),"Нет")="Да"))</x:f>
        <x:v>0</x:v>
      </x:c>
      <x:c r="CX14" t="n">
        <x:f>--AND(CX$3&gt;=$B$9,CX$3&lt;$B$10,AND($B$7="Да",IFERROR(INDEX('Вводные'!$B$88:$B$90,$B$8),"Нет")="Да"))</x:f>
        <x:v>0</x:v>
      </x:c>
      <x:c r="CY14" t="n">
        <x:f>--AND(CY$3&gt;=$B$9,CY$3&lt;$B$10,AND($B$7="Да",IFERROR(INDEX('Вводные'!$B$88:$B$90,$B$8),"Нет")="Да"))</x:f>
        <x:v>0</x:v>
      </x:c>
      <x:c r="CZ14" t="n">
        <x:f>--AND(CZ$3&gt;=$B$9,CZ$3&lt;$B$10,AND($B$7="Да",IFERROR(INDEX('Вводные'!$B$88:$B$90,$B$8),"Нет")="Да"))</x:f>
        <x:v>0</x:v>
      </x:c>
      <x:c r="DA14" t="n">
        <x:f>--AND(DA$3&gt;=$B$9,DA$3&lt;$B$10,AND($B$7="Да",IFERROR(INDEX('Вводные'!$B$88:$B$90,$B$8),"Нет")="Да"))</x:f>
        <x:v>0</x:v>
      </x:c>
      <x:c r="DB14" t="n">
        <x:f>--AND(DB$3&gt;=$B$9,DB$3&lt;$B$10,AND($B$7="Да",IFERROR(INDEX('Вводные'!$B$88:$B$90,$B$8),"Нет")="Да"))</x:f>
        <x:v>0</x:v>
      </x:c>
      <x:c r="DC14" t="n">
        <x:f>--AND(DC$3&gt;=$B$9,DC$3&lt;$B$10,AND($B$7="Да",IFERROR(INDEX('Вводные'!$B$88:$B$90,$B$8),"Нет")="Да"))</x:f>
        <x:v>0</x:v>
      </x:c>
      <x:c r="DD14" t="n">
        <x:f>--AND(DD$3&gt;=$B$9,DD$3&lt;$B$10,AND($B$7="Да",IFERROR(INDEX('Вводные'!$B$88:$B$90,$B$8),"Нет")="Да"))</x:f>
        <x:v>0</x:v>
      </x:c>
      <x:c r="DE14" t="n">
        <x:f>--AND(DE$3&gt;=$B$9,DE$3&lt;$B$10,AND($B$7="Да",IFERROR(INDEX('Вводные'!$B$88:$B$90,$B$8),"Нет")="Да"))</x:f>
        <x:v>0</x:v>
      </x:c>
      <x:c r="DF14" t="n">
        <x:f>--AND(DF$3&gt;=$B$9,DF$3&lt;$B$10,AND($B$7="Да",IFERROR(INDEX('Вводные'!$B$88:$B$90,$B$8),"Нет")="Да"))</x:f>
        <x:v>0</x:v>
      </x:c>
      <x:c r="DG14" t="n">
        <x:f>--AND(DG$3&gt;=$B$9,DG$3&lt;$B$10,AND($B$7="Да",IFERROR(INDEX('Вводные'!$B$88:$B$90,$B$8),"Нет")="Да"))</x:f>
        <x:v>0</x:v>
      </x:c>
      <x:c r="DH14" t="n">
        <x:f>--AND(DH$3&gt;=$B$9,DH$3&lt;$B$10,AND($B$7="Да",IFERROR(INDEX('Вводные'!$B$88:$B$90,$B$8),"Нет")="Да"))</x:f>
        <x:v>0</x:v>
      </x:c>
      <x:c r="DI14" t="n">
        <x:f>--AND(DI$3&gt;=$B$9,DI$3&lt;$B$10,AND($B$7="Да",IFERROR(INDEX('Вводные'!$B$88:$B$90,$B$8),"Нет")="Да"))</x:f>
        <x:v>0</x:v>
      </x:c>
      <x:c r="DJ14" t="n">
        <x:f>--AND(DJ$3&gt;=$B$9,DJ$3&lt;$B$10,AND($B$7="Да",IFERROR(INDEX('Вводные'!$B$88:$B$90,$B$8),"Нет")="Да"))</x:f>
        <x:v>0</x:v>
      </x:c>
      <x:c r="DK14" t="n">
        <x:f>--AND(DK$3&gt;=$B$9,DK$3&lt;$B$10,AND($B$7="Да",IFERROR(INDEX('Вводные'!$B$88:$B$90,$B$8),"Нет")="Да"))</x:f>
        <x:v>0</x:v>
      </x:c>
      <x:c r="DL14" t="n">
        <x:f>--AND(DL$3&gt;=$B$9,DL$3&lt;$B$10,AND($B$7="Да",IFERROR(INDEX('Вводные'!$B$88:$B$90,$B$8),"Нет")="Да"))</x:f>
        <x:v>0</x:v>
      </x:c>
      <x:c r="DM14" t="n">
        <x:f>--AND(DM$3&gt;=$B$9,DM$3&lt;$B$10,AND($B$7="Да",IFERROR(INDEX('Вводные'!$B$88:$B$90,$B$8),"Нет")="Да"))</x:f>
        <x:v>0</x:v>
      </x:c>
      <x:c r="DN14" t="n">
        <x:f>--AND(DN$3&gt;=$B$9,DN$3&lt;$B$10,AND($B$7="Да",IFERROR(INDEX('Вводные'!$B$88:$B$90,$B$8),"Нет")="Да"))</x:f>
        <x:v>0</x:v>
      </x:c>
      <x:c r="DO14" t="n">
        <x:f>--AND(DO$3&gt;=$B$9,DO$3&lt;$B$10,AND($B$7="Да",IFERROR(INDEX('Вводные'!$B$88:$B$90,$B$8),"Нет")="Да"))</x:f>
        <x:v>0</x:v>
      </x:c>
      <x:c r="DP14" t="n">
        <x:f>--AND(DP$3&gt;=$B$9,DP$3&lt;$B$10,AND($B$7="Да",IFERROR(INDEX('Вводные'!$B$88:$B$90,$B$8),"Нет")="Да"))</x:f>
        <x:v>0</x:v>
      </x:c>
      <x:c r="DQ14" t="n">
        <x:f>--AND(DQ$3&gt;=$B$9,DQ$3&lt;$B$10,AND($B$7="Да",IFERROR(INDEX('Вводные'!$B$88:$B$90,$B$8),"Нет")="Да"))</x:f>
        <x:v>0</x:v>
      </x:c>
      <x:c r="DR14" t="n">
        <x:f>--AND(DR$3&gt;=$B$9,DR$3&lt;$B$10,AND($B$7="Да",IFERROR(INDEX('Вводные'!$B$88:$B$90,$B$8),"Нет")="Да"))</x:f>
        <x:v>0</x:v>
      </x:c>
      <x:c r="DS14" t="n">
        <x:f>--AND(DS$3&gt;=$B$9,DS$3&lt;$B$10,AND($B$7="Да",IFERROR(INDEX('Вводные'!$B$88:$B$90,$B$8),"Нет")="Да"))</x:f>
        <x:v>0</x:v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  <x:v>0</x:v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  <x:v>0</x:v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  <x:v>0</x:v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  <x:v>0</x:v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  <x:v>0</x:v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  <x:v>0</x:v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  <x:v>0</x:v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  <x:v>0</x:v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  <x:v>0</x:v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  <x:v>0</x:v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  <x:v>0</x:v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  <x:v>0</x:v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  <x:v>0</x:v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  <x:v>0</x:v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  <x:v>0</x:v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  <x:v>0</x:v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  <x:v>0</x:v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  <x:v>0</x:v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  <x:v>0</x:v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  <x:v>0</x:v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  <x:v>0</x:v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  <x:v>0</x:v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  <x:v>0</x:v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  <x:v>0</x:v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  <x:v>0</x:v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  <x:v>0</x:v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  <x:v>0</x:v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  <x:v>0</x:v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  <x:v>0</x:v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  <x:v>0</x:v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  <x:v>0</x:v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  <x:v>0</x:v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  <x:v>0</x:v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  <x:v>0</x:v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  <x:v>0</x:v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  <x:v>0</x:v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  <x:v>0</x:v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  <x:v>0</x:v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  <x:v>0</x:v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  <x:v>0</x:v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  <x:v>0</x:v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  <x:v>0</x:v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  <x:v>0</x:v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  <x:v>0</x:v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  <x:v>0</x:v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  <x:v>0</x:v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  <x:v>0</x:v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  <x:v>0</x:v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  <x:v>0</x:v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  <x:v>0</x:v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  <x:v>0</x:v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  <x:v>0</x:v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  <x:v>0</x:v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  <x:v>0</x:v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  <x:v>0</x:v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  <x:v>0</x:v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  <x:v>0</x:v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  <x:v>0</x:v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  <x:v>0</x:v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  <x:v>0</x:v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  <x:v>0</x:v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  <x:v>0</x:v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  <x:v>0</x:v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  <x:v>0</x:v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  <x:v>0</x:v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  <x:v>0</x:v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  <x:v>0</x:v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  <x:v>0</x:v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  <x:v>0</x:v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  <x:v>0</x:v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  <x:v>0</x:v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  <x:v>0</x:v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  <x:v>0</x:v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  <x:v>0</x:v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  <x:v>0</x:v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  <x:v>0</x:v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  <x:v>0</x:v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  <x:v>0</x:v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  <x:v>0</x:v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  <x:v>0</x:v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  <x:v>0</x:v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  <x:v>0</x:v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  <x:v>0</x:v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  <x:v>0</x:v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  <x:v>0</x:v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  <x:v>0</x:v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  <x:v>0</x:v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  <x:v>0</x:v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  <x:v>0</x:v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  <x:v>0</x:v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  <x:v>0</x:v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  <x:v>0</x:v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  <x:v>0</x:v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  <x:v>0</x:v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  <x:v>0</x:v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  <x:v>0</x:v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  <x:v>0</x:v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  <x:v>0</x:v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  <x:v>0</x:v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  <x:v>0</x:v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  <x:v>0</x:v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  <x:v>0</x:v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  <x:v>0</x:v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  <x:v>0</x:v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  <x:v>0</x:v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  <x:v>0</x:v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  <x:v>0</x:v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  <x:v>0</x:v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  <x:v>0</x:v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  <x:v>0</x:v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  <x:v>0</x:v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  <x:v>0</x:v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  <x:v>0</x:v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  <x:v>0</x:v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  <x:v>0</x:v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  <x:v>0</x:v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  <x:v>0</x:v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  <x:v>0</x:v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  <x:v>0</x:v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  <x:v>0</x:v>
      </x:c>
    </x:row>
    <x:row r="16">
      <x:c r="A16" t="str">
        <x:v>Нормированный вес строительства</x:v>
      </x:c>
      <x:c r="B16" s="35" t="n">
        <x:f>SUM(D16:DS16)</x:f>
        <x:v>0</x:v>
      </x:c>
      <x:c r="C16" t="str">
        <x:v>%</x:v>
      </x:c>
      <x:c r="D16" s="35" t="n">
        <x:f>IFERROR(D15/SUM($D15:$DS15),0)</x:f>
        <x:v>0</x:v>
      </x:c>
      <x:c r="E16" s="35" t="n">
        <x:f>IFERROR(E15/SUM($D15:$DS15),0)</x:f>
        <x:v>0</x:v>
      </x:c>
      <x:c r="F16" s="35" t="n">
        <x:f>IFERROR(F15/SUM($D15:$DS15),0)</x:f>
        <x:v>0</x:v>
      </x:c>
      <x:c r="G16" s="35" t="n">
        <x:f>IFERROR(G15/SUM($D15:$DS15),0)</x:f>
        <x:v>0</x:v>
      </x:c>
      <x:c r="H16" s="35" t="n">
        <x:f>IFERROR(H15/SUM($D15:$DS15),0)</x:f>
        <x:v>0</x:v>
      </x:c>
      <x:c r="I16" s="35" t="n">
        <x:f>IFERROR(I15/SUM($D15:$DS15),0)</x:f>
        <x:v>0</x:v>
      </x:c>
      <x:c r="J16" s="35" t="n">
        <x:f>IFERROR(J15/SUM($D15:$DS15),0)</x:f>
        <x:v>0</x:v>
      </x:c>
      <x:c r="K16" s="35" t="n">
        <x:f>IFERROR(K15/SUM($D15:$DS15),0)</x:f>
        <x:v>0</x:v>
      </x:c>
      <x:c r="L16" s="35" t="n">
        <x:f>IFERROR(L15/SUM($D15:$DS15),0)</x:f>
        <x:v>0</x:v>
      </x:c>
      <x:c r="M16" s="35" t="n">
        <x:f>IFERROR(M15/SUM($D15:$DS15),0)</x:f>
        <x:v>0</x:v>
      </x:c>
      <x:c r="N16" s="35" t="n">
        <x:f>IFERROR(N15/SUM($D15:$DS15),0)</x:f>
        <x:v>0</x:v>
      </x:c>
      <x:c r="O16" s="35" t="n">
        <x:f>IFERROR(O15/SUM($D15:$DS15),0)</x:f>
        <x:v>0</x:v>
      </x:c>
      <x:c r="P16" s="35" t="n">
        <x:f>IFERROR(P15/SUM($D15:$DS15),0)</x:f>
        <x:v>0</x:v>
      </x:c>
      <x:c r="Q16" s="35" t="n">
        <x:f>IFERROR(Q15/SUM($D15:$DS15),0)</x:f>
        <x:v>0</x:v>
      </x:c>
      <x:c r="R16" s="35" t="n">
        <x:f>IFERROR(R15/SUM($D15:$DS15),0)</x:f>
        <x:v>0</x:v>
      </x:c>
      <x:c r="S16" s="35" t="n">
        <x:f>IFERROR(S15/SUM($D15:$DS15),0)</x:f>
        <x:v>0</x:v>
      </x:c>
      <x:c r="T16" s="35" t="n">
        <x:f>IFERROR(T15/SUM($D15:$DS15),0)</x:f>
        <x:v>0</x:v>
      </x:c>
      <x:c r="U16" s="35" t="n">
        <x:f>IFERROR(U15/SUM($D15:$DS15),0)</x:f>
        <x:v>0</x:v>
      </x:c>
      <x:c r="V16" s="35" t="n">
        <x:f>IFERROR(V15/SUM($D15:$DS15),0)</x:f>
        <x:v>0</x:v>
      </x:c>
      <x:c r="W16" s="35" t="n">
        <x:f>IFERROR(W15/SUM($D15:$DS15),0)</x:f>
        <x:v>0</x:v>
      </x:c>
      <x:c r="X16" s="35" t="n">
        <x:f>IFERROR(X15/SUM($D15:$DS15),0)</x:f>
        <x:v>0</x:v>
      </x:c>
      <x:c r="Y16" s="35" t="n">
        <x:f>IFERROR(Y15/SUM($D15:$DS15),0)</x:f>
        <x:v>0</x:v>
      </x:c>
      <x:c r="Z16" s="35" t="n">
        <x:f>IFERROR(Z15/SUM($D15:$DS15),0)</x:f>
        <x:v>0</x:v>
      </x:c>
      <x:c r="AA16" s="35" t="n">
        <x:f>IFERROR(AA15/SUM($D15:$DS15),0)</x:f>
        <x:v>0</x:v>
      </x:c>
      <x:c r="AB16" s="35" t="n">
        <x:f>IFERROR(AB15/SUM($D15:$DS15),0)</x:f>
        <x:v>0</x:v>
      </x:c>
      <x:c r="AC16" s="35" t="n">
        <x:f>IFERROR(AC15/SUM($D15:$DS15),0)</x:f>
        <x:v>0</x:v>
      </x:c>
      <x:c r="AD16" s="35" t="n">
        <x:f>IFERROR(AD15/SUM($D15:$DS15),0)</x:f>
        <x:v>0</x:v>
      </x:c>
      <x:c r="AE16" s="35" t="n">
        <x:f>IFERROR(AE15/SUM($D15:$DS15),0)</x:f>
        <x:v>0</x:v>
      </x:c>
      <x:c r="AF16" s="35" t="n">
        <x:f>IFERROR(AF15/SUM($D15:$DS15),0)</x:f>
        <x:v>0</x:v>
      </x:c>
      <x:c r="AG16" s="35" t="n">
        <x:f>IFERROR(AG15/SUM($D15:$DS15),0)</x:f>
        <x:v>0</x:v>
      </x:c>
      <x:c r="AH16" s="35" t="n">
        <x:f>IFERROR(AH15/SUM($D15:$DS15),0)</x:f>
        <x:v>0</x:v>
      </x:c>
      <x:c r="AI16" s="35" t="n">
        <x:f>IFERROR(AI15/SUM($D15:$DS15),0)</x:f>
        <x:v>0</x:v>
      </x:c>
      <x:c r="AJ16" s="35" t="n">
        <x:f>IFERROR(AJ15/SUM($D15:$DS15),0)</x:f>
        <x:v>0</x:v>
      </x:c>
      <x:c r="AK16" s="35" t="n">
        <x:f>IFERROR(AK15/SUM($D15:$DS15),0)</x:f>
        <x:v>0</x:v>
      </x:c>
      <x:c r="AL16" s="35" t="n">
        <x:f>IFERROR(AL15/SUM($D15:$DS15),0)</x:f>
        <x:v>0</x:v>
      </x:c>
      <x:c r="AM16" s="35" t="n">
        <x:f>IFERROR(AM15/SUM($D15:$DS15),0)</x:f>
        <x:v>0</x:v>
      </x:c>
      <x:c r="AN16" s="35" t="n">
        <x:f>IFERROR(AN15/SUM($D15:$DS15),0)</x:f>
        <x:v>0</x:v>
      </x:c>
      <x:c r="AO16" s="35" t="n">
        <x:f>IFERROR(AO15/SUM($D15:$DS15),0)</x:f>
        <x:v>0</x:v>
      </x:c>
      <x:c r="AP16" s="35" t="n">
        <x:f>IFERROR(AP15/SUM($D15:$DS15),0)</x:f>
        <x:v>0</x:v>
      </x:c>
      <x:c r="AQ16" s="35" t="n">
        <x:f>IFERROR(AQ15/SUM($D15:$DS15),0)</x:f>
        <x:v>0</x:v>
      </x:c>
      <x:c r="AR16" s="35" t="n">
        <x:f>IFERROR(AR15/SUM($D15:$DS15),0)</x:f>
        <x:v>0</x:v>
      </x:c>
      <x:c r="AS16" s="35" t="n">
        <x:f>IFERROR(AS15/SUM($D15:$DS15),0)</x:f>
        <x:v>0</x:v>
      </x:c>
      <x:c r="AT16" s="35" t="n">
        <x:f>IFERROR(AT15/SUM($D15:$DS15),0)</x:f>
        <x:v>0</x:v>
      </x:c>
      <x:c r="AU16" s="35" t="n">
        <x:f>IFERROR(AU15/SUM($D15:$DS15),0)</x:f>
        <x:v>0</x:v>
      </x:c>
      <x:c r="AV16" s="35" t="n">
        <x:f>IFERROR(AV15/SUM($D15:$DS15),0)</x:f>
        <x:v>0</x:v>
      </x:c>
      <x:c r="AW16" s="35" t="n">
        <x:f>IFERROR(AW15/SUM($D15:$DS15),0)</x:f>
        <x:v>0</x:v>
      </x:c>
      <x:c r="AX16" s="35" t="n">
        <x:f>IFERROR(AX15/SUM($D15:$DS15),0)</x:f>
        <x:v>0</x:v>
      </x:c>
      <x:c r="AY16" s="35" t="n">
        <x:f>IFERROR(AY15/SUM($D15:$DS15),0)</x:f>
        <x:v>0</x:v>
      </x:c>
      <x:c r="AZ16" s="35" t="n">
        <x:f>IFERROR(AZ15/SUM($D15:$DS15),0)</x:f>
        <x:v>0</x:v>
      </x:c>
      <x:c r="BA16" s="35" t="n">
        <x:f>IFERROR(BA15/SUM($D15:$DS15),0)</x:f>
        <x:v>0</x:v>
      </x:c>
      <x:c r="BB16" s="35" t="n">
        <x:f>IFERROR(BB15/SUM($D15:$DS15),0)</x:f>
        <x:v>0</x:v>
      </x:c>
      <x:c r="BC16" s="35" t="n">
        <x:f>IFERROR(BC15/SUM($D15:$DS15),0)</x:f>
        <x:v>0</x:v>
      </x:c>
      <x:c r="BD16" s="35" t="n">
        <x:f>IFERROR(BD15/SUM($D15:$DS15),0)</x:f>
        <x:v>0</x:v>
      </x:c>
      <x:c r="BE16" s="35" t="n">
        <x:f>IFERROR(BE15/SUM($D15:$DS15),0)</x:f>
        <x:v>0</x:v>
      </x:c>
      <x:c r="BF16" s="35" t="n">
        <x:f>IFERROR(BF15/SUM($D15:$DS15),0)</x:f>
        <x:v>0</x:v>
      </x:c>
      <x:c r="BG16" s="35" t="n">
        <x:f>IFERROR(BG15/SUM($D15:$DS15),0)</x:f>
        <x:v>0</x:v>
      </x:c>
      <x:c r="BH16" s="35" t="n">
        <x:f>IFERROR(BH15/SUM($D15:$DS15),0)</x:f>
        <x:v>0</x:v>
      </x:c>
      <x:c r="BI16" s="35" t="n">
        <x:f>IFERROR(BI15/SUM($D15:$DS15),0)</x:f>
        <x:v>0</x:v>
      </x:c>
      <x:c r="BJ16" s="35" t="n">
        <x:f>IFERROR(BJ15/SUM($D15:$DS15),0)</x:f>
        <x:v>0</x:v>
      </x:c>
      <x:c r="BK16" s="35" t="n">
        <x:f>IFERROR(BK15/SUM($D15:$DS15),0)</x:f>
        <x:v>0</x:v>
      </x:c>
      <x:c r="BL16" s="35" t="n">
        <x:f>IFERROR(BL15/SUM($D15:$DS15),0)</x:f>
        <x:v>0</x:v>
      </x:c>
      <x:c r="BM16" s="35" t="n">
        <x:f>IFERROR(BM15/SUM($D15:$DS15),0)</x:f>
        <x:v>0</x:v>
      </x:c>
      <x:c r="BN16" s="35" t="n">
        <x:f>IFERROR(BN15/SUM($D15:$DS15),0)</x:f>
        <x:v>0</x:v>
      </x:c>
      <x:c r="BO16" s="35" t="n">
        <x:f>IFERROR(BO15/SUM($D15:$DS15),0)</x:f>
        <x:v>0</x:v>
      </x:c>
      <x:c r="BP16" s="35" t="n">
        <x:f>IFERROR(BP15/SUM($D15:$DS15),0)</x:f>
        <x:v>0</x:v>
      </x:c>
      <x:c r="BQ16" s="35" t="n">
        <x:f>IFERROR(BQ15/SUM($D15:$DS15),0)</x:f>
        <x:v>0</x:v>
      </x:c>
      <x:c r="BR16" s="35" t="n">
        <x:f>IFERROR(BR15/SUM($D15:$DS15),0)</x:f>
        <x:v>0</x:v>
      </x:c>
      <x:c r="BS16" s="35" t="n">
        <x:f>IFERROR(BS15/SUM($D15:$DS15),0)</x:f>
        <x:v>0</x:v>
      </x:c>
      <x:c r="BT16" s="35" t="n">
        <x:f>IFERROR(BT15/SUM($D15:$DS15),0)</x:f>
        <x:v>0</x:v>
      </x:c>
      <x:c r="BU16" s="35" t="n">
        <x:f>IFERROR(BU15/SUM($D15:$DS15),0)</x:f>
        <x:v>0</x:v>
      </x:c>
      <x:c r="BV16" s="35" t="n">
        <x:f>IFERROR(BV15/SUM($D15:$DS15),0)</x:f>
        <x:v>0</x:v>
      </x:c>
      <x:c r="BW16" s="35" t="n">
        <x:f>IFERROR(BW15/SUM($D15:$DS15),0)</x:f>
        <x:v>0</x:v>
      </x:c>
      <x:c r="BX16" s="35" t="n">
        <x:f>IFERROR(BX15/SUM($D15:$DS15),0)</x:f>
        <x:v>0</x:v>
      </x:c>
      <x:c r="BY16" s="35" t="n">
        <x:f>IFERROR(BY15/SUM($D15:$DS15),0)</x:f>
        <x:v>0</x:v>
      </x:c>
      <x:c r="BZ16" s="35" t="n">
        <x:f>IFERROR(BZ15/SUM($D15:$DS15),0)</x:f>
        <x:v>0</x:v>
      </x:c>
      <x:c r="CA16" s="35" t="n">
        <x:f>IFERROR(CA15/SUM($D15:$DS15),0)</x:f>
        <x:v>0</x:v>
      </x:c>
      <x:c r="CB16" s="35" t="n">
        <x:f>IFERROR(CB15/SUM($D15:$DS15),0)</x:f>
        <x:v>0</x:v>
      </x:c>
      <x:c r="CC16" s="35" t="n">
        <x:f>IFERROR(CC15/SUM($D15:$DS15),0)</x:f>
        <x:v>0</x:v>
      </x:c>
      <x:c r="CD16" s="35" t="n">
        <x:f>IFERROR(CD15/SUM($D15:$DS15),0)</x:f>
        <x:v>0</x:v>
      </x:c>
      <x:c r="CE16" s="35" t="n">
        <x:f>IFERROR(CE15/SUM($D15:$DS15),0)</x:f>
        <x:v>0</x:v>
      </x:c>
      <x:c r="CF16" s="35" t="n">
        <x:f>IFERROR(CF15/SUM($D15:$DS15),0)</x:f>
        <x:v>0</x:v>
      </x:c>
      <x:c r="CG16" s="35" t="n">
        <x:f>IFERROR(CG15/SUM($D15:$DS15),0)</x:f>
        <x:v>0</x:v>
      </x:c>
      <x:c r="CH16" s="35" t="n">
        <x:f>IFERROR(CH15/SUM($D15:$DS15),0)</x:f>
        <x:v>0</x:v>
      </x:c>
      <x:c r="CI16" s="35" t="n">
        <x:f>IFERROR(CI15/SUM($D15:$DS15),0)</x:f>
        <x:v>0</x:v>
      </x:c>
      <x:c r="CJ16" s="35" t="n">
        <x:f>IFERROR(CJ15/SUM($D15:$DS15),0)</x:f>
        <x:v>0</x:v>
      </x:c>
      <x:c r="CK16" s="35" t="n">
        <x:f>IFERROR(CK15/SUM($D15:$DS15),0)</x:f>
        <x:v>0</x:v>
      </x:c>
      <x:c r="CL16" s="35" t="n">
        <x:f>IFERROR(CL15/SUM($D15:$DS15),0)</x:f>
        <x:v>0</x:v>
      </x:c>
      <x:c r="CM16" s="35" t="n">
        <x:f>IFERROR(CM15/SUM($D15:$DS15),0)</x:f>
        <x:v>0</x:v>
      </x:c>
      <x:c r="CN16" s="35" t="n">
        <x:f>IFERROR(CN15/SUM($D15:$DS15),0)</x:f>
        <x:v>0</x:v>
      </x:c>
      <x:c r="CO16" s="35" t="n">
        <x:f>IFERROR(CO15/SUM($D15:$DS15),0)</x:f>
        <x:v>0</x:v>
      </x:c>
      <x:c r="CP16" s="35" t="n">
        <x:f>IFERROR(CP15/SUM($D15:$DS15),0)</x:f>
        <x:v>0</x:v>
      </x:c>
      <x:c r="CQ16" s="35" t="n">
        <x:f>IFERROR(CQ15/SUM($D15:$DS15),0)</x:f>
        <x:v>0</x:v>
      </x:c>
      <x:c r="CR16" s="35" t="n">
        <x:f>IFERROR(CR15/SUM($D15:$DS15),0)</x:f>
        <x:v>0</x:v>
      </x:c>
      <x:c r="CS16" s="35" t="n">
        <x:f>IFERROR(CS15/SUM($D15:$DS15),0)</x:f>
        <x:v>0</x:v>
      </x:c>
      <x:c r="CT16" s="35" t="n">
        <x:f>IFERROR(CT15/SUM($D15:$DS15),0)</x:f>
        <x:v>0</x:v>
      </x:c>
      <x:c r="CU16" s="35" t="n">
        <x:f>IFERROR(CU15/SUM($D15:$DS15),0)</x:f>
        <x:v>0</x:v>
      </x:c>
      <x:c r="CV16" s="35" t="n">
        <x:f>IFERROR(CV15/SUM($D15:$DS15),0)</x:f>
        <x:v>0</x:v>
      </x:c>
      <x:c r="CW16" s="35" t="n">
        <x:f>IFERROR(CW15/SUM($D15:$DS15),0)</x:f>
        <x:v>0</x:v>
      </x:c>
      <x:c r="CX16" s="35" t="n">
        <x:f>IFERROR(CX15/SUM($D15:$DS15),0)</x:f>
        <x:v>0</x:v>
      </x:c>
      <x:c r="CY16" s="35" t="n">
        <x:f>IFERROR(CY15/SUM($D15:$DS15),0)</x:f>
        <x:v>0</x:v>
      </x:c>
      <x:c r="CZ16" s="35" t="n">
        <x:f>IFERROR(CZ15/SUM($D15:$DS15),0)</x:f>
        <x:v>0</x:v>
      </x:c>
      <x:c r="DA16" s="35" t="n">
        <x:f>IFERROR(DA15/SUM($D15:$DS15),0)</x:f>
        <x:v>0</x:v>
      </x:c>
      <x:c r="DB16" s="35" t="n">
        <x:f>IFERROR(DB15/SUM($D15:$DS15),0)</x:f>
        <x:v>0</x:v>
      </x:c>
      <x:c r="DC16" s="35" t="n">
        <x:f>IFERROR(DC15/SUM($D15:$DS15),0)</x:f>
        <x:v>0</x:v>
      </x:c>
      <x:c r="DD16" s="35" t="n">
        <x:f>IFERROR(DD15/SUM($D15:$DS15),0)</x:f>
        <x:v>0</x:v>
      </x:c>
      <x:c r="DE16" s="35" t="n">
        <x:f>IFERROR(DE15/SUM($D15:$DS15),0)</x:f>
        <x:v>0</x:v>
      </x:c>
      <x:c r="DF16" s="35" t="n">
        <x:f>IFERROR(DF15/SUM($D15:$DS15),0)</x:f>
        <x:v>0</x:v>
      </x:c>
      <x:c r="DG16" s="35" t="n">
        <x:f>IFERROR(DG15/SUM($D15:$DS15),0)</x:f>
        <x:v>0</x:v>
      </x:c>
      <x:c r="DH16" s="35" t="n">
        <x:f>IFERROR(DH15/SUM($D15:$DS15),0)</x:f>
        <x:v>0</x:v>
      </x:c>
      <x:c r="DI16" s="35" t="n">
        <x:f>IFERROR(DI15/SUM($D15:$DS15),0)</x:f>
        <x:v>0</x:v>
      </x:c>
      <x:c r="DJ16" s="35" t="n">
        <x:f>IFERROR(DJ15/SUM($D15:$DS15),0)</x:f>
        <x:v>0</x:v>
      </x:c>
      <x:c r="DK16" s="35" t="n">
        <x:f>IFERROR(DK15/SUM($D15:$DS15),0)</x:f>
        <x:v>0</x:v>
      </x:c>
      <x:c r="DL16" s="35" t="n">
        <x:f>IFERROR(DL15/SUM($D15:$DS15),0)</x:f>
        <x:v>0</x:v>
      </x:c>
      <x:c r="DM16" s="35" t="n">
        <x:f>IFERROR(DM15/SUM($D15:$DS15),0)</x:f>
        <x:v>0</x:v>
      </x:c>
      <x:c r="DN16" s="35" t="n">
        <x:f>IFERROR(DN15/SUM($D15:$DS15),0)</x:f>
        <x:v>0</x:v>
      </x:c>
      <x:c r="DO16" s="35" t="n">
        <x:f>IFERROR(DO15/SUM($D15:$DS15),0)</x:f>
        <x:v>0</x:v>
      </x:c>
      <x:c r="DP16" s="35" t="n">
        <x:f>IFERROR(DP15/SUM($D15:$DS15),0)</x:f>
        <x:v>0</x:v>
      </x:c>
      <x:c r="DQ16" s="35" t="n">
        <x:f>IFERROR(DQ15/SUM($D15:$DS15),0)</x:f>
        <x:v>0</x:v>
      </x:c>
      <x:c r="DR16" s="35" t="n">
        <x:f>IFERROR(DR15/SUM($D15:$DS15),0)</x:f>
        <x:v>0</x:v>
      </x:c>
      <x:c r="DS16" s="35" t="n">
        <x:f>IFERROR(DS15/SUM($D15:$DS15),0)</x:f>
        <x:v>0</x:v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--AND(D$3&gt;=$B$11,D$3&lt;$B$10,D$3&lt;EDATE($B$11,MAX(1,'Вводные'!$K$33)),AND($B$7="Да",IFERROR(INDEX('Вводные'!$B$88:$B$90,$B$8),"Нет")="Да"))</x:f>
        <x:v>0</x:v>
      </x:c>
      <x:c r="E17" s="35" t="n">
        <x:f>--AND(E$3&gt;=$B$11,E$3&lt;$B$10,E$3&lt;EDATE($B$11,MAX(1,'Вводные'!$K$33)),AND($B$7="Да",IFERROR(INDEX('Вводные'!$B$88:$B$90,$B$8),"Нет")="Да"))</x:f>
        <x:v>0</x:v>
      </x:c>
      <x:c r="F17" s="35" t="n">
        <x:f>--AND(F$3&gt;=$B$11,F$3&lt;$B$10,F$3&lt;EDATE($B$11,MAX(1,'Вводные'!$K$33)),AND($B$7="Да",IFERROR(INDEX('Вводные'!$B$88:$B$90,$B$8),"Нет")="Да"))</x:f>
        <x:v>0</x:v>
      </x:c>
      <x:c r="G17" s="35" t="n">
        <x:f>--AND(G$3&gt;=$B$11,G$3&lt;$B$10,G$3&lt;EDATE($B$11,MAX(1,'Вводные'!$K$33)),AND($B$7="Да",IFERROR(INDEX('Вводные'!$B$88:$B$90,$B$8),"Нет")="Да"))</x:f>
        <x:v>0</x:v>
      </x:c>
      <x:c r="H17" s="35" t="n">
        <x:f>--AND(H$3&gt;=$B$11,H$3&lt;$B$10,H$3&lt;EDATE($B$11,MAX(1,'Вводные'!$K$33)),AND($B$7="Да",IFERROR(INDEX('Вводные'!$B$88:$B$90,$B$8),"Нет")="Да"))</x:f>
        <x:v>0</x:v>
      </x:c>
      <x:c r="I17" s="35" t="n">
        <x:f>--AND(I$3&gt;=$B$11,I$3&lt;$B$10,I$3&lt;EDATE($B$11,MAX(1,'Вводные'!$K$33)),AND($B$7="Да",IFERROR(INDEX('Вводные'!$B$88:$B$90,$B$8),"Нет")="Да"))</x:f>
        <x:v>0</x:v>
      </x:c>
      <x:c r="J17" s="35" t="n">
        <x:f>--AND(J$3&gt;=$B$11,J$3&lt;$B$10,J$3&lt;EDATE($B$11,MAX(1,'Вводные'!$K$33)),AND($B$7="Да",IFERROR(INDEX('Вводные'!$B$88:$B$90,$B$8),"Нет")="Да"))</x:f>
        <x:v>0</x:v>
      </x:c>
      <x:c r="K17" s="35" t="n">
        <x:f>--AND(K$3&gt;=$B$11,K$3&lt;$B$10,K$3&lt;EDATE($B$11,MAX(1,'Вводные'!$K$33)),AND($B$7="Да",IFERROR(INDEX('Вводные'!$B$88:$B$90,$B$8),"Нет")="Да"))</x:f>
        <x:v>0</x:v>
      </x:c>
      <x:c r="L17" s="35" t="n">
        <x:f>--AND(L$3&gt;=$B$11,L$3&lt;$B$10,L$3&lt;EDATE($B$11,MAX(1,'Вводные'!$K$33)),AND($B$7="Да",IFERROR(INDEX('Вводные'!$B$88:$B$90,$B$8),"Нет")="Да"))</x:f>
        <x:v>0</x:v>
      </x:c>
      <x:c r="M17" s="35" t="n">
        <x:f>--AND(M$3&gt;=$B$11,M$3&lt;$B$10,M$3&lt;EDATE($B$11,MAX(1,'Вводные'!$K$33)),AND($B$7="Да",IFERROR(INDEX('Вводные'!$B$88:$B$90,$B$8),"Нет")="Да"))</x:f>
        <x:v>0</x:v>
      </x:c>
      <x:c r="N17" s="35" t="n">
        <x:f>--AND(N$3&gt;=$B$11,N$3&lt;$B$10,N$3&lt;EDATE($B$11,MAX(1,'Вводные'!$K$33)),AND($B$7="Да",IFERROR(INDEX('Вводные'!$B$88:$B$90,$B$8),"Нет")="Да"))</x:f>
        <x:v>0</x:v>
      </x:c>
      <x:c r="O17" s="35" t="n">
        <x:f>--AND(O$3&gt;=$B$11,O$3&lt;$B$10,O$3&lt;EDATE($B$11,MAX(1,'Вводные'!$K$33)),AND($B$7="Да",IFERROR(INDEX('Вводные'!$B$88:$B$90,$B$8),"Нет")="Да"))</x:f>
        <x:v>0</x:v>
      </x:c>
      <x:c r="P17" s="35" t="n">
        <x:f>--AND(P$3&gt;=$B$11,P$3&lt;$B$10,P$3&lt;EDATE($B$11,MAX(1,'Вводные'!$K$33)),AND($B$7="Да",IFERROR(INDEX('Вводные'!$B$88:$B$90,$B$8),"Нет")="Да"))</x:f>
        <x:v>0</x:v>
      </x:c>
      <x:c r="Q17" s="35" t="n">
        <x:f>--AND(Q$3&gt;=$B$11,Q$3&lt;$B$10,Q$3&lt;EDATE($B$11,MAX(1,'Вводные'!$K$33)),AND($B$7="Да",IFERROR(INDEX('Вводные'!$B$88:$B$90,$B$8),"Нет")="Да"))</x:f>
        <x:v>0</x:v>
      </x:c>
      <x:c r="R17" s="35" t="n">
        <x:f>--AND(R$3&gt;=$B$11,R$3&lt;$B$10,R$3&lt;EDATE($B$11,MAX(1,'Вводные'!$K$33)),AND($B$7="Да",IFERROR(INDEX('Вводные'!$B$88:$B$90,$B$8),"Нет")="Да"))</x:f>
        <x:v>0</x:v>
      </x:c>
      <x:c r="S17" s="35" t="n">
        <x:f>--AND(S$3&gt;=$B$11,S$3&lt;$B$10,S$3&lt;EDATE($B$11,MAX(1,'Вводные'!$K$33)),AND($B$7="Да",IFERROR(INDEX('Вводные'!$B$88:$B$90,$B$8),"Нет")="Да"))</x:f>
        <x:v>0</x:v>
      </x:c>
      <x:c r="T17" s="35" t="n">
        <x:f>--AND(T$3&gt;=$B$11,T$3&lt;$B$10,T$3&lt;EDATE($B$11,MAX(1,'Вводные'!$K$33)),AND($B$7="Да",IFERROR(INDEX('Вводные'!$B$88:$B$90,$B$8),"Нет")="Да"))</x:f>
        <x:v>0</x:v>
      </x:c>
      <x:c r="U17" s="35" t="n">
        <x:f>--AND(U$3&gt;=$B$11,U$3&lt;$B$10,U$3&lt;EDATE($B$11,MAX(1,'Вводные'!$K$33)),AND($B$7="Да",IFERROR(INDEX('Вводные'!$B$88:$B$90,$B$8),"Нет")="Да"))</x:f>
        <x:v>0</x:v>
      </x:c>
      <x:c r="V17" s="35" t="n">
        <x:f>--AND(V$3&gt;=$B$11,V$3&lt;$B$10,V$3&lt;EDATE($B$11,MAX(1,'Вводные'!$K$33)),AND($B$7="Да",IFERROR(INDEX('Вводные'!$B$88:$B$90,$B$8),"Нет")="Да"))</x:f>
        <x:v>0</x:v>
      </x:c>
      <x:c r="W17" s="35" t="n">
        <x:f>--AND(W$3&gt;=$B$11,W$3&lt;$B$10,W$3&lt;EDATE($B$11,MAX(1,'Вводные'!$K$33)),AND($B$7="Да",IFERROR(INDEX('Вводные'!$B$88:$B$90,$B$8),"Нет")="Да"))</x:f>
        <x:v>0</x:v>
      </x:c>
      <x:c r="X17" s="35" t="n">
        <x:f>--AND(X$3&gt;=$B$11,X$3&lt;$B$10,X$3&lt;EDATE($B$11,MAX(1,'Вводные'!$K$33)),AND($B$7="Да",IFERROR(INDEX('Вводные'!$B$88:$B$90,$B$8),"Нет")="Да"))</x:f>
        <x:v>0</x:v>
      </x:c>
      <x:c r="Y17" s="35" t="n">
        <x:f>--AND(Y$3&gt;=$B$11,Y$3&lt;$B$10,Y$3&lt;EDATE($B$11,MAX(1,'Вводные'!$K$33)),AND($B$7="Да",IFERROR(INDEX('Вводные'!$B$88:$B$90,$B$8),"Нет")="Да"))</x:f>
        <x:v>0</x:v>
      </x:c>
      <x:c r="Z17" s="35" t="n">
        <x:f>--AND(Z$3&gt;=$B$11,Z$3&lt;$B$10,Z$3&lt;EDATE($B$11,MAX(1,'Вводные'!$K$33)),AND($B$7="Да",IFERROR(INDEX('Вводные'!$B$88:$B$90,$B$8),"Нет")="Да"))</x:f>
        <x:v>0</x:v>
      </x:c>
      <x:c r="AA17" s="35" t="n">
        <x:f>--AND(AA$3&gt;=$B$11,AA$3&lt;$B$10,AA$3&lt;EDATE($B$11,MAX(1,'Вводные'!$K$33)),AND($B$7="Да",IFERROR(INDEX('Вводные'!$B$88:$B$90,$B$8),"Нет")="Да"))</x:f>
        <x:v>0</x:v>
      </x:c>
      <x:c r="AB17" s="35" t="n">
        <x:f>--AND(AB$3&gt;=$B$11,AB$3&lt;$B$10,AB$3&lt;EDATE($B$11,MAX(1,'Вводные'!$K$33)),AND($B$7="Да",IFERROR(INDEX('Вводные'!$B$88:$B$90,$B$8),"Нет")="Да"))</x:f>
        <x:v>0</x:v>
      </x:c>
      <x:c r="AC17" s="35" t="n">
        <x:f>--AND(AC$3&gt;=$B$11,AC$3&lt;$B$10,AC$3&lt;EDATE($B$11,MAX(1,'Вводные'!$K$33)),AND($B$7="Да",IFERROR(INDEX('Вводные'!$B$88:$B$90,$B$8),"Нет")="Да"))</x:f>
        <x:v>0</x:v>
      </x:c>
      <x:c r="AD17" s="35" t="n">
        <x:f>--AND(AD$3&gt;=$B$11,AD$3&lt;$B$10,AD$3&lt;EDATE($B$11,MAX(1,'Вводные'!$K$33)),AND($B$7="Да",IFERROR(INDEX('Вводные'!$B$88:$B$90,$B$8),"Нет")="Да"))</x:f>
        <x:v>0</x:v>
      </x:c>
      <x:c r="AE17" s="35" t="n">
        <x:f>--AND(AE$3&gt;=$B$11,AE$3&lt;$B$10,AE$3&lt;EDATE($B$11,MAX(1,'Вводные'!$K$33)),AND($B$7="Да",IFERROR(INDEX('Вводные'!$B$88:$B$90,$B$8),"Нет")="Да"))</x:f>
        <x:v>0</x:v>
      </x:c>
      <x:c r="AF17" s="35" t="n">
        <x:f>--AND(AF$3&gt;=$B$11,AF$3&lt;$B$10,AF$3&lt;EDATE($B$11,MAX(1,'Вводные'!$K$33)),AND($B$7="Да",IFERROR(INDEX('Вводные'!$B$88:$B$90,$B$8),"Нет")="Да"))</x:f>
        <x:v>0</x:v>
      </x:c>
      <x:c r="AG17" s="35" t="n">
        <x:f>--AND(AG$3&gt;=$B$11,AG$3&lt;$B$10,AG$3&lt;EDATE($B$11,MAX(1,'Вводные'!$K$33)),AND($B$7="Да",IFERROR(INDEX('Вводные'!$B$88:$B$90,$B$8),"Нет")="Да"))</x:f>
        <x:v>0</x:v>
      </x:c>
      <x:c r="AH17" s="35" t="n">
        <x:f>--AND(AH$3&gt;=$B$11,AH$3&lt;$B$10,AH$3&lt;EDATE($B$11,MAX(1,'Вводные'!$K$33)),AND($B$7="Да",IFERROR(INDEX('Вводные'!$B$88:$B$90,$B$8),"Нет")="Да"))</x:f>
        <x:v>0</x:v>
      </x:c>
      <x:c r="AI17" s="35" t="n">
        <x:f>--AND(AI$3&gt;=$B$11,AI$3&lt;$B$10,AI$3&lt;EDATE($B$11,MAX(1,'Вводные'!$K$33)),AND($B$7="Да",IFERROR(INDEX('Вводные'!$B$88:$B$90,$B$8),"Нет")="Да"))</x:f>
        <x:v>0</x:v>
      </x:c>
      <x:c r="AJ17" s="35" t="n">
        <x:f>--AND(AJ$3&gt;=$B$11,AJ$3&lt;$B$10,AJ$3&lt;EDATE($B$11,MAX(1,'Вводные'!$K$33)),AND($B$7="Да",IFERROR(INDEX('Вводные'!$B$88:$B$90,$B$8),"Нет")="Да"))</x:f>
        <x:v>0</x:v>
      </x:c>
      <x:c r="AK17" s="35" t="n">
        <x:f>--AND(AK$3&gt;=$B$11,AK$3&lt;$B$10,AK$3&lt;EDATE($B$11,MAX(1,'Вводные'!$K$33)),AND($B$7="Да",IFERROR(INDEX('Вводные'!$B$88:$B$90,$B$8),"Нет")="Да"))</x:f>
        <x:v>0</x:v>
      </x:c>
      <x:c r="AL17" s="35" t="n">
        <x:f>--AND(AL$3&gt;=$B$11,AL$3&lt;$B$10,AL$3&lt;EDATE($B$11,MAX(1,'Вводные'!$K$33)),AND($B$7="Да",IFERROR(INDEX('Вводные'!$B$88:$B$90,$B$8),"Нет")="Да"))</x:f>
        <x:v>0</x:v>
      </x:c>
      <x:c r="AM17" s="35" t="n">
        <x:f>--AND(AM$3&gt;=$B$11,AM$3&lt;$B$10,AM$3&lt;EDATE($B$11,MAX(1,'Вводные'!$K$33)),AND($B$7="Да",IFERROR(INDEX('Вводные'!$B$88:$B$90,$B$8),"Нет")="Да"))</x:f>
        <x:v>0</x:v>
      </x:c>
      <x:c r="AN17" s="35" t="n">
        <x:f>--AND(AN$3&gt;=$B$11,AN$3&lt;$B$10,AN$3&lt;EDATE($B$11,MAX(1,'Вводные'!$K$33)),AND($B$7="Да",IFERROR(INDEX('Вводные'!$B$88:$B$90,$B$8),"Нет")="Да"))</x:f>
        <x:v>0</x:v>
      </x:c>
      <x:c r="AO17" s="35" t="n">
        <x:f>--AND(AO$3&gt;=$B$11,AO$3&lt;$B$10,AO$3&lt;EDATE($B$11,MAX(1,'Вводные'!$K$33)),AND($B$7="Да",IFERROR(INDEX('Вводные'!$B$88:$B$90,$B$8),"Нет")="Да"))</x:f>
        <x:v>0</x:v>
      </x:c>
      <x:c r="AP17" s="35" t="n">
        <x:f>--AND(AP$3&gt;=$B$11,AP$3&lt;$B$10,AP$3&lt;EDATE($B$11,MAX(1,'Вводные'!$K$33)),AND($B$7="Да",IFERROR(INDEX('Вводные'!$B$88:$B$90,$B$8),"Нет")="Да"))</x:f>
        <x:v>0</x:v>
      </x:c>
      <x:c r="AQ17" s="35" t="n">
        <x:f>--AND(AQ$3&gt;=$B$11,AQ$3&lt;$B$10,AQ$3&lt;EDATE($B$11,MAX(1,'Вводные'!$K$33)),AND($B$7="Да",IFERROR(INDEX('Вводные'!$B$88:$B$90,$B$8),"Нет")="Да"))</x:f>
        <x:v>0</x:v>
      </x:c>
      <x:c r="AR17" s="35" t="n">
        <x:f>--AND(AR$3&gt;=$B$11,AR$3&lt;$B$10,AR$3&lt;EDATE($B$11,MAX(1,'Вводные'!$K$33)),AND($B$7="Да",IFERROR(INDEX('Вводные'!$B$88:$B$90,$B$8),"Нет")="Да"))</x:f>
        <x:v>0</x:v>
      </x:c>
      <x:c r="AS17" s="35" t="n">
        <x:f>--AND(AS$3&gt;=$B$11,AS$3&lt;$B$10,AS$3&lt;EDATE($B$11,MAX(1,'Вводные'!$K$33)),AND($B$7="Да",IFERROR(INDEX('Вводные'!$B$88:$B$90,$B$8),"Нет")="Да"))</x:f>
        <x:v>0</x:v>
      </x:c>
      <x:c r="AT17" s="35" t="n">
        <x:f>--AND(AT$3&gt;=$B$11,AT$3&lt;$B$10,AT$3&lt;EDATE($B$11,MAX(1,'Вводные'!$K$33)),AND($B$7="Да",IFERROR(INDEX('Вводные'!$B$88:$B$90,$B$8),"Нет")="Да"))</x:f>
        <x:v>0</x:v>
      </x:c>
      <x:c r="AU17" s="35" t="n">
        <x:f>--AND(AU$3&gt;=$B$11,AU$3&lt;$B$10,AU$3&lt;EDATE($B$11,MAX(1,'Вводные'!$K$33)),AND($B$7="Да",IFERROR(INDEX('Вводные'!$B$88:$B$90,$B$8),"Нет")="Да"))</x:f>
        <x:v>0</x:v>
      </x:c>
      <x:c r="AV17" s="35" t="n">
        <x:f>--AND(AV$3&gt;=$B$11,AV$3&lt;$B$10,AV$3&lt;EDATE($B$11,MAX(1,'Вводные'!$K$33)),AND($B$7="Да",IFERROR(INDEX('Вводные'!$B$88:$B$90,$B$8),"Нет")="Да"))</x:f>
        <x:v>0</x:v>
      </x:c>
      <x:c r="AW17" s="35" t="n">
        <x:f>--AND(AW$3&gt;=$B$11,AW$3&lt;$B$10,AW$3&lt;EDATE($B$11,MAX(1,'Вводные'!$K$33)),AND($B$7="Да",IFERROR(INDEX('Вводные'!$B$88:$B$90,$B$8),"Нет")="Да"))</x:f>
        <x:v>0</x:v>
      </x:c>
      <x:c r="AX17" s="35" t="n">
        <x:f>--AND(AX$3&gt;=$B$11,AX$3&lt;$B$10,AX$3&lt;EDATE($B$11,MAX(1,'Вводные'!$K$33)),AND($B$7="Да",IFERROR(INDEX('Вводные'!$B$88:$B$90,$B$8),"Нет")="Да"))</x:f>
        <x:v>0</x:v>
      </x:c>
      <x:c r="AY17" s="35" t="n">
        <x:f>--AND(AY$3&gt;=$B$11,AY$3&lt;$B$10,AY$3&lt;EDATE($B$11,MAX(1,'Вводные'!$K$33)),AND($B$7="Да",IFERROR(INDEX('Вводные'!$B$88:$B$90,$B$8),"Нет")="Да"))</x:f>
        <x:v>0</x:v>
      </x:c>
      <x:c r="AZ17" s="35" t="n">
        <x:f>--AND(AZ$3&gt;=$B$11,AZ$3&lt;$B$10,AZ$3&lt;EDATE($B$11,MAX(1,'Вводные'!$K$33)),AND($B$7="Да",IFERROR(INDEX('Вводные'!$B$88:$B$90,$B$8),"Нет")="Да"))</x:f>
        <x:v>0</x:v>
      </x:c>
      <x:c r="BA17" s="35" t="n">
        <x:f>--AND(BA$3&gt;=$B$11,BA$3&lt;$B$10,BA$3&lt;EDATE($B$11,MAX(1,'Вводные'!$K$33)),AND($B$7="Да",IFERROR(INDEX('Вводные'!$B$88:$B$90,$B$8),"Нет")="Да"))</x:f>
        <x:v>0</x:v>
      </x:c>
      <x:c r="BB17" s="35" t="n">
        <x:f>--AND(BB$3&gt;=$B$11,BB$3&lt;$B$10,BB$3&lt;EDATE($B$11,MAX(1,'Вводные'!$K$33)),AND($B$7="Да",IFERROR(INDEX('Вводные'!$B$88:$B$90,$B$8),"Нет")="Да"))</x:f>
        <x:v>0</x:v>
      </x:c>
      <x:c r="BC17" s="35" t="n">
        <x:f>--AND(BC$3&gt;=$B$11,BC$3&lt;$B$10,BC$3&lt;EDATE($B$11,MAX(1,'Вводные'!$K$33)),AND($B$7="Да",IFERROR(INDEX('Вводные'!$B$88:$B$90,$B$8),"Нет")="Да"))</x:f>
        <x:v>0</x:v>
      </x:c>
      <x:c r="BD17" s="35" t="n">
        <x:f>--AND(BD$3&gt;=$B$11,BD$3&lt;$B$10,BD$3&lt;EDATE($B$11,MAX(1,'Вводные'!$K$33)),AND($B$7="Да",IFERROR(INDEX('Вводные'!$B$88:$B$90,$B$8),"Нет")="Да"))</x:f>
        <x:v>0</x:v>
      </x:c>
      <x:c r="BE17" s="35" t="n">
        <x:f>--AND(BE$3&gt;=$B$11,BE$3&lt;$B$10,BE$3&lt;EDATE($B$11,MAX(1,'Вводные'!$K$33)),AND($B$7="Да",IFERROR(INDEX('Вводные'!$B$88:$B$90,$B$8),"Нет")="Да"))</x:f>
        <x:v>0</x:v>
      </x:c>
      <x:c r="BF17" s="35" t="n">
        <x:f>--AND(BF$3&gt;=$B$11,BF$3&lt;$B$10,BF$3&lt;EDATE($B$11,MAX(1,'Вводные'!$K$33)),AND($B$7="Да",IFERROR(INDEX('Вводные'!$B$88:$B$90,$B$8),"Нет")="Да"))</x:f>
        <x:v>0</x:v>
      </x:c>
      <x:c r="BG17" s="35" t="n">
        <x:f>--AND(BG$3&gt;=$B$11,BG$3&lt;$B$10,BG$3&lt;EDATE($B$11,MAX(1,'Вводные'!$K$33)),AND($B$7="Да",IFERROR(INDEX('Вводные'!$B$88:$B$90,$B$8),"Нет")="Да"))</x:f>
        <x:v>0</x:v>
      </x:c>
      <x:c r="BH17" s="35" t="n">
        <x:f>--AND(BH$3&gt;=$B$11,BH$3&lt;$B$10,BH$3&lt;EDATE($B$11,MAX(1,'Вводные'!$K$33)),AND($B$7="Да",IFERROR(INDEX('Вводные'!$B$88:$B$90,$B$8),"Нет")="Да"))</x:f>
        <x:v>0</x:v>
      </x:c>
      <x:c r="BI17" s="35" t="n">
        <x:f>--AND(BI$3&gt;=$B$11,BI$3&lt;$B$10,BI$3&lt;EDATE($B$11,MAX(1,'Вводные'!$K$33)),AND($B$7="Да",IFERROR(INDEX('Вводные'!$B$88:$B$90,$B$8),"Нет")="Да"))</x:f>
        <x:v>0</x:v>
      </x:c>
      <x:c r="BJ17" s="35" t="n">
        <x:f>--AND(BJ$3&gt;=$B$11,BJ$3&lt;$B$10,BJ$3&lt;EDATE($B$11,MAX(1,'Вводные'!$K$33)),AND($B$7="Да",IFERROR(INDEX('Вводные'!$B$88:$B$90,$B$8),"Нет")="Да"))</x:f>
        <x:v>0</x:v>
      </x:c>
      <x:c r="BK17" s="35" t="n">
        <x:f>--AND(BK$3&gt;=$B$11,BK$3&lt;$B$10,BK$3&lt;EDATE($B$11,MAX(1,'Вводные'!$K$33)),AND($B$7="Да",IFERROR(INDEX('Вводные'!$B$88:$B$90,$B$8),"Нет")="Да"))</x:f>
        <x:v>0</x:v>
      </x:c>
      <x:c r="BL17" s="35" t="n">
        <x:f>--AND(BL$3&gt;=$B$11,BL$3&lt;$B$10,BL$3&lt;EDATE($B$11,MAX(1,'Вводные'!$K$33)),AND($B$7="Да",IFERROR(INDEX('Вводные'!$B$88:$B$90,$B$8),"Нет")="Да"))</x:f>
        <x:v>0</x:v>
      </x:c>
      <x:c r="BM17" s="35" t="n">
        <x:f>--AND(BM$3&gt;=$B$11,BM$3&lt;$B$10,BM$3&lt;EDATE($B$11,MAX(1,'Вводные'!$K$33)),AND($B$7="Да",IFERROR(INDEX('Вводные'!$B$88:$B$90,$B$8),"Нет")="Да"))</x:f>
        <x:v>0</x:v>
      </x:c>
      <x:c r="BN17" s="35" t="n">
        <x:f>--AND(BN$3&gt;=$B$11,BN$3&lt;$B$10,BN$3&lt;EDATE($B$11,MAX(1,'Вводные'!$K$33)),AND($B$7="Да",IFERROR(INDEX('Вводные'!$B$88:$B$90,$B$8),"Нет")="Да"))</x:f>
        <x:v>0</x:v>
      </x:c>
      <x:c r="BO17" s="35" t="n">
        <x:f>--AND(BO$3&gt;=$B$11,BO$3&lt;$B$10,BO$3&lt;EDATE($B$11,MAX(1,'Вводные'!$K$33)),AND($B$7="Да",IFERROR(INDEX('Вводные'!$B$88:$B$90,$B$8),"Нет")="Да"))</x:f>
        <x:v>0</x:v>
      </x:c>
      <x:c r="BP17" s="35" t="n">
        <x:f>--AND(BP$3&gt;=$B$11,BP$3&lt;$B$10,BP$3&lt;EDATE($B$11,MAX(1,'Вводные'!$K$33)),AND($B$7="Да",IFERROR(INDEX('Вводные'!$B$88:$B$90,$B$8),"Нет")="Да"))</x:f>
        <x:v>0</x:v>
      </x:c>
      <x:c r="BQ17" s="35" t="n">
        <x:f>--AND(BQ$3&gt;=$B$11,BQ$3&lt;$B$10,BQ$3&lt;EDATE($B$11,MAX(1,'Вводные'!$K$33)),AND($B$7="Да",IFERROR(INDEX('Вводные'!$B$88:$B$90,$B$8),"Нет")="Да"))</x:f>
        <x:v>0</x:v>
      </x:c>
      <x:c r="BR17" s="35" t="n">
        <x:f>--AND(BR$3&gt;=$B$11,BR$3&lt;$B$10,BR$3&lt;EDATE($B$11,MAX(1,'Вводные'!$K$33)),AND($B$7="Да",IFERROR(INDEX('Вводные'!$B$88:$B$90,$B$8),"Нет")="Да"))</x:f>
        <x:v>0</x:v>
      </x:c>
      <x:c r="BS17" s="35" t="n">
        <x:f>--AND(BS$3&gt;=$B$11,BS$3&lt;$B$10,BS$3&lt;EDATE($B$11,MAX(1,'Вводные'!$K$33)),AND($B$7="Да",IFERROR(INDEX('Вводные'!$B$88:$B$90,$B$8),"Нет")="Да"))</x:f>
        <x:v>0</x:v>
      </x:c>
      <x:c r="BT17" s="35" t="n">
        <x:f>--AND(BT$3&gt;=$B$11,BT$3&lt;$B$10,BT$3&lt;EDATE($B$11,MAX(1,'Вводные'!$K$33)),AND($B$7="Да",IFERROR(INDEX('Вводные'!$B$88:$B$90,$B$8),"Нет")="Да"))</x:f>
        <x:v>0</x:v>
      </x:c>
      <x:c r="BU17" s="35" t="n">
        <x:f>--AND(BU$3&gt;=$B$11,BU$3&lt;$B$10,BU$3&lt;EDATE($B$11,MAX(1,'Вводные'!$K$33)),AND($B$7="Да",IFERROR(INDEX('Вводные'!$B$88:$B$90,$B$8),"Нет")="Да"))</x:f>
        <x:v>0</x:v>
      </x:c>
      <x:c r="BV17" s="35" t="n">
        <x:f>--AND(BV$3&gt;=$B$11,BV$3&lt;$B$10,BV$3&lt;EDATE($B$11,MAX(1,'Вводные'!$K$33)),AND($B$7="Да",IFERROR(INDEX('Вводные'!$B$88:$B$90,$B$8),"Нет")="Да"))</x:f>
        <x:v>0</x:v>
      </x:c>
      <x:c r="BW17" s="35" t="n">
        <x:f>--AND(BW$3&gt;=$B$11,BW$3&lt;$B$10,BW$3&lt;EDATE($B$11,MAX(1,'Вводные'!$K$33)),AND($B$7="Да",IFERROR(INDEX('Вводные'!$B$88:$B$90,$B$8),"Нет")="Да"))</x:f>
        <x:v>0</x:v>
      </x:c>
      <x:c r="BX17" s="35" t="n">
        <x:f>--AND(BX$3&gt;=$B$11,BX$3&lt;$B$10,BX$3&lt;EDATE($B$11,MAX(1,'Вводные'!$K$33)),AND($B$7="Да",IFERROR(INDEX('Вводные'!$B$88:$B$90,$B$8),"Нет")="Да"))</x:f>
        <x:v>0</x:v>
      </x:c>
      <x:c r="BY17" s="35" t="n">
        <x:f>--AND(BY$3&gt;=$B$11,BY$3&lt;$B$10,BY$3&lt;EDATE($B$11,MAX(1,'Вводные'!$K$33)),AND($B$7="Да",IFERROR(INDEX('Вводные'!$B$88:$B$90,$B$8),"Нет")="Да"))</x:f>
        <x:v>0</x:v>
      </x:c>
      <x:c r="BZ17" s="35" t="n">
        <x:f>--AND(BZ$3&gt;=$B$11,BZ$3&lt;$B$10,BZ$3&lt;EDATE($B$11,MAX(1,'Вводные'!$K$33)),AND($B$7="Да",IFERROR(INDEX('Вводные'!$B$88:$B$90,$B$8),"Нет")="Да"))</x:f>
        <x:v>0</x:v>
      </x:c>
      <x:c r="CA17" s="35" t="n">
        <x:f>--AND(CA$3&gt;=$B$11,CA$3&lt;$B$10,CA$3&lt;EDATE($B$11,MAX(1,'Вводные'!$K$33)),AND($B$7="Да",IFERROR(INDEX('Вводные'!$B$88:$B$90,$B$8),"Нет")="Да"))</x:f>
        <x:v>0</x:v>
      </x:c>
      <x:c r="CB17" s="35" t="n">
        <x:f>--AND(CB$3&gt;=$B$11,CB$3&lt;$B$10,CB$3&lt;EDATE($B$11,MAX(1,'Вводные'!$K$33)),AND($B$7="Да",IFERROR(INDEX('Вводные'!$B$88:$B$90,$B$8),"Нет")="Да"))</x:f>
        <x:v>0</x:v>
      </x:c>
      <x:c r="CC17" s="35" t="n">
        <x:f>--AND(CC$3&gt;=$B$11,CC$3&lt;$B$10,CC$3&lt;EDATE($B$11,MAX(1,'Вводные'!$K$33)),AND($B$7="Да",IFERROR(INDEX('Вводные'!$B$88:$B$90,$B$8),"Нет")="Да"))</x:f>
        <x:v>0</x:v>
      </x:c>
      <x:c r="CD17" s="35" t="n">
        <x:f>--AND(CD$3&gt;=$B$11,CD$3&lt;$B$10,CD$3&lt;EDATE($B$11,MAX(1,'Вводные'!$K$33)),AND($B$7="Да",IFERROR(INDEX('Вводные'!$B$88:$B$90,$B$8),"Нет")="Да"))</x:f>
        <x:v>0</x:v>
      </x:c>
      <x:c r="CE17" s="35" t="n">
        <x:f>--AND(CE$3&gt;=$B$11,CE$3&lt;$B$10,CE$3&lt;EDATE($B$11,MAX(1,'Вводные'!$K$33)),AND($B$7="Да",IFERROR(INDEX('Вводные'!$B$88:$B$90,$B$8),"Нет")="Да"))</x:f>
        <x:v>0</x:v>
      </x:c>
      <x:c r="CF17" s="35" t="n">
        <x:f>--AND(CF$3&gt;=$B$11,CF$3&lt;$B$10,CF$3&lt;EDATE($B$11,MAX(1,'Вводные'!$K$33)),AND($B$7="Да",IFERROR(INDEX('Вводные'!$B$88:$B$90,$B$8),"Нет")="Да"))</x:f>
        <x:v>0</x:v>
      </x:c>
      <x:c r="CG17" s="35" t="n">
        <x:f>--AND(CG$3&gt;=$B$11,CG$3&lt;$B$10,CG$3&lt;EDATE($B$11,MAX(1,'Вводные'!$K$33)),AND($B$7="Да",IFERROR(INDEX('Вводные'!$B$88:$B$90,$B$8),"Нет")="Да"))</x:f>
        <x:v>0</x:v>
      </x:c>
      <x:c r="CH17" s="35" t="n">
        <x:f>--AND(CH$3&gt;=$B$11,CH$3&lt;$B$10,CH$3&lt;EDATE($B$11,MAX(1,'Вводные'!$K$33)),AND($B$7="Да",IFERROR(INDEX('Вводные'!$B$88:$B$90,$B$8),"Нет")="Да"))</x:f>
        <x:v>0</x:v>
      </x:c>
      <x:c r="CI17" s="35" t="n">
        <x:f>--AND(CI$3&gt;=$B$11,CI$3&lt;$B$10,CI$3&lt;EDATE($B$11,MAX(1,'Вводные'!$K$33)),AND($B$7="Да",IFERROR(INDEX('Вводные'!$B$88:$B$90,$B$8),"Нет")="Да"))</x:f>
        <x:v>0</x:v>
      </x:c>
      <x:c r="CJ17" s="35" t="n">
        <x:f>--AND(CJ$3&gt;=$B$11,CJ$3&lt;$B$10,CJ$3&lt;EDATE($B$11,MAX(1,'Вводные'!$K$33)),AND($B$7="Да",IFERROR(INDEX('Вводные'!$B$88:$B$90,$B$8),"Нет")="Да"))</x:f>
        <x:v>0</x:v>
      </x:c>
      <x:c r="CK17" s="35" t="n">
        <x:f>--AND(CK$3&gt;=$B$11,CK$3&lt;$B$10,CK$3&lt;EDATE($B$11,MAX(1,'Вводные'!$K$33)),AND($B$7="Да",IFERROR(INDEX('Вводные'!$B$88:$B$90,$B$8),"Нет")="Да"))</x:f>
        <x:v>0</x:v>
      </x:c>
      <x:c r="CL17" s="35" t="n">
        <x:f>--AND(CL$3&gt;=$B$11,CL$3&lt;$B$10,CL$3&lt;EDATE($B$11,MAX(1,'Вводные'!$K$33)),AND($B$7="Да",IFERROR(INDEX('Вводные'!$B$88:$B$90,$B$8),"Нет")="Да"))</x:f>
        <x:v>0</x:v>
      </x:c>
      <x:c r="CM17" s="35" t="n">
        <x:f>--AND(CM$3&gt;=$B$11,CM$3&lt;$B$10,CM$3&lt;EDATE($B$11,MAX(1,'Вводные'!$K$33)),AND($B$7="Да",IFERROR(INDEX('Вводные'!$B$88:$B$90,$B$8),"Нет")="Да"))</x:f>
        <x:v>0</x:v>
      </x:c>
      <x:c r="CN17" s="35" t="n">
        <x:f>--AND(CN$3&gt;=$B$11,CN$3&lt;$B$10,CN$3&lt;EDATE($B$11,MAX(1,'Вводные'!$K$33)),AND($B$7="Да",IFERROR(INDEX('Вводные'!$B$88:$B$90,$B$8),"Нет")="Да"))</x:f>
        <x:v>0</x:v>
      </x:c>
      <x:c r="CO17" s="35" t="n">
        <x:f>--AND(CO$3&gt;=$B$11,CO$3&lt;$B$10,CO$3&lt;EDATE($B$11,MAX(1,'Вводные'!$K$33)),AND($B$7="Да",IFERROR(INDEX('Вводные'!$B$88:$B$90,$B$8),"Нет")="Да"))</x:f>
        <x:v>0</x:v>
      </x:c>
      <x:c r="CP17" s="35" t="n">
        <x:f>--AND(CP$3&gt;=$B$11,CP$3&lt;$B$10,CP$3&lt;EDATE($B$11,MAX(1,'Вводные'!$K$33)),AND($B$7="Да",IFERROR(INDEX('Вводные'!$B$88:$B$90,$B$8),"Нет")="Да"))</x:f>
        <x:v>0</x:v>
      </x:c>
      <x:c r="CQ17" s="35" t="n">
        <x:f>--AND(CQ$3&gt;=$B$11,CQ$3&lt;$B$10,CQ$3&lt;EDATE($B$11,MAX(1,'Вводные'!$K$33)),AND($B$7="Да",IFERROR(INDEX('Вводные'!$B$88:$B$90,$B$8),"Нет")="Да"))</x:f>
        <x:v>0</x:v>
      </x:c>
      <x:c r="CR17" s="35" t="n">
        <x:f>--AND(CR$3&gt;=$B$11,CR$3&lt;$B$10,CR$3&lt;EDATE($B$11,MAX(1,'Вводные'!$K$33)),AND($B$7="Да",IFERROR(INDEX('Вводные'!$B$88:$B$90,$B$8),"Нет")="Да"))</x:f>
        <x:v>0</x:v>
      </x:c>
      <x:c r="CS17" s="35" t="n">
        <x:f>--AND(CS$3&gt;=$B$11,CS$3&lt;$B$10,CS$3&lt;EDATE($B$11,MAX(1,'Вводные'!$K$33)),AND($B$7="Да",IFERROR(INDEX('Вводные'!$B$88:$B$90,$B$8),"Нет")="Да"))</x:f>
        <x:v>0</x:v>
      </x:c>
      <x:c r="CT17" s="35" t="n">
        <x:f>--AND(CT$3&gt;=$B$11,CT$3&lt;$B$10,CT$3&lt;EDATE($B$11,MAX(1,'Вводные'!$K$33)),AND($B$7="Да",IFERROR(INDEX('Вводные'!$B$88:$B$90,$B$8),"Нет")="Да"))</x:f>
        <x:v>0</x:v>
      </x:c>
      <x:c r="CU17" s="35" t="n">
        <x:f>--AND(CU$3&gt;=$B$11,CU$3&lt;$B$10,CU$3&lt;EDATE($B$11,MAX(1,'Вводные'!$K$33)),AND($B$7="Да",IFERROR(INDEX('Вводные'!$B$88:$B$90,$B$8),"Нет")="Да"))</x:f>
        <x:v>0</x:v>
      </x:c>
      <x:c r="CV17" s="35" t="n">
        <x:f>--AND(CV$3&gt;=$B$11,CV$3&lt;$B$10,CV$3&lt;EDATE($B$11,MAX(1,'Вводные'!$K$33)),AND($B$7="Да",IFERROR(INDEX('Вводные'!$B$88:$B$90,$B$8),"Нет")="Да"))</x:f>
        <x:v>0</x:v>
      </x:c>
      <x:c r="CW17" s="35" t="n">
        <x:f>--AND(CW$3&gt;=$B$11,CW$3&lt;$B$10,CW$3&lt;EDATE($B$11,MAX(1,'Вводные'!$K$33)),AND($B$7="Да",IFERROR(INDEX('Вводные'!$B$88:$B$90,$B$8),"Нет")="Да"))</x:f>
        <x:v>0</x:v>
      </x:c>
      <x:c r="CX17" s="35" t="n">
        <x:f>--AND(CX$3&gt;=$B$11,CX$3&lt;$B$10,CX$3&lt;EDATE($B$11,MAX(1,'Вводные'!$K$33)),AND($B$7="Да",IFERROR(INDEX('Вводные'!$B$88:$B$90,$B$8),"Нет")="Да"))</x:f>
        <x:v>0</x:v>
      </x:c>
      <x:c r="CY17" s="35" t="n">
        <x:f>--AND(CY$3&gt;=$B$11,CY$3&lt;$B$10,CY$3&lt;EDATE($B$11,MAX(1,'Вводные'!$K$33)),AND($B$7="Да",IFERROR(INDEX('Вводные'!$B$88:$B$90,$B$8),"Нет")="Да"))</x:f>
        <x:v>0</x:v>
      </x:c>
      <x:c r="CZ17" s="35" t="n">
        <x:f>--AND(CZ$3&gt;=$B$11,CZ$3&lt;$B$10,CZ$3&lt;EDATE($B$11,MAX(1,'Вводные'!$K$33)),AND($B$7="Да",IFERROR(INDEX('Вводные'!$B$88:$B$90,$B$8),"Нет")="Да"))</x:f>
        <x:v>0</x:v>
      </x:c>
      <x:c r="DA17" s="35" t="n">
        <x:f>--AND(DA$3&gt;=$B$11,DA$3&lt;$B$10,DA$3&lt;EDATE($B$11,MAX(1,'Вводные'!$K$33)),AND($B$7="Да",IFERROR(INDEX('Вводные'!$B$88:$B$90,$B$8),"Нет")="Да"))</x:f>
        <x:v>0</x:v>
      </x:c>
      <x:c r="DB17" s="35" t="n">
        <x:f>--AND(DB$3&gt;=$B$11,DB$3&lt;$B$10,DB$3&lt;EDATE($B$11,MAX(1,'Вводные'!$K$33)),AND($B$7="Да",IFERROR(INDEX('Вводные'!$B$88:$B$90,$B$8),"Нет")="Да"))</x:f>
        <x:v>0</x:v>
      </x:c>
      <x:c r="DC17" s="35" t="n">
        <x:f>--AND(DC$3&gt;=$B$11,DC$3&lt;$B$10,DC$3&lt;EDATE($B$11,MAX(1,'Вводные'!$K$33)),AND($B$7="Да",IFERROR(INDEX('Вводные'!$B$88:$B$90,$B$8),"Нет")="Да"))</x:f>
        <x:v>0</x:v>
      </x:c>
      <x:c r="DD17" s="35" t="n">
        <x:f>--AND(DD$3&gt;=$B$11,DD$3&lt;$B$10,DD$3&lt;EDATE($B$11,MAX(1,'Вводные'!$K$33)),AND($B$7="Да",IFERROR(INDEX('Вводные'!$B$88:$B$90,$B$8),"Нет")="Да"))</x:f>
        <x:v>0</x:v>
      </x:c>
      <x:c r="DE17" s="35" t="n">
        <x:f>--AND(DE$3&gt;=$B$11,DE$3&lt;$B$10,DE$3&lt;EDATE($B$11,MAX(1,'Вводные'!$K$33)),AND($B$7="Да",IFERROR(INDEX('Вводные'!$B$88:$B$90,$B$8),"Нет")="Да"))</x:f>
        <x:v>0</x:v>
      </x:c>
      <x:c r="DF17" s="35" t="n">
        <x:f>--AND(DF$3&gt;=$B$11,DF$3&lt;$B$10,DF$3&lt;EDATE($B$11,MAX(1,'Вводные'!$K$33)),AND($B$7="Да",IFERROR(INDEX('Вводные'!$B$88:$B$90,$B$8),"Нет")="Да"))</x:f>
        <x:v>0</x:v>
      </x:c>
      <x:c r="DG17" s="35" t="n">
        <x:f>--AND(DG$3&gt;=$B$11,DG$3&lt;$B$10,DG$3&lt;EDATE($B$11,MAX(1,'Вводные'!$K$33)),AND($B$7="Да",IFERROR(INDEX('Вводные'!$B$88:$B$90,$B$8),"Нет")="Да"))</x:f>
        <x:v>0</x:v>
      </x:c>
      <x:c r="DH17" s="35" t="n">
        <x:f>--AND(DH$3&gt;=$B$11,DH$3&lt;$B$10,DH$3&lt;EDATE($B$11,MAX(1,'Вводные'!$K$33)),AND($B$7="Да",IFERROR(INDEX('Вводные'!$B$88:$B$90,$B$8),"Нет")="Да"))</x:f>
        <x:v>0</x:v>
      </x:c>
      <x:c r="DI17" s="35" t="n">
        <x:f>--AND(DI$3&gt;=$B$11,DI$3&lt;$B$10,DI$3&lt;EDATE($B$11,MAX(1,'Вводные'!$K$33)),AND($B$7="Да",IFERROR(INDEX('Вводные'!$B$88:$B$90,$B$8),"Нет")="Да"))</x:f>
        <x:v>0</x:v>
      </x:c>
      <x:c r="DJ17" s="35" t="n">
        <x:f>--AND(DJ$3&gt;=$B$11,DJ$3&lt;$B$10,DJ$3&lt;EDATE($B$11,MAX(1,'Вводные'!$K$33)),AND($B$7="Да",IFERROR(INDEX('Вводные'!$B$88:$B$90,$B$8),"Нет")="Да"))</x:f>
        <x:v>0</x:v>
      </x:c>
      <x:c r="DK17" s="35" t="n">
        <x:f>--AND(DK$3&gt;=$B$11,DK$3&lt;$B$10,DK$3&lt;EDATE($B$11,MAX(1,'Вводные'!$K$33)),AND($B$7="Да",IFERROR(INDEX('Вводные'!$B$88:$B$90,$B$8),"Нет")="Да"))</x:f>
        <x:v>0</x:v>
      </x:c>
      <x:c r="DL17" s="35" t="n">
        <x:f>--AND(DL$3&gt;=$B$11,DL$3&lt;$B$10,DL$3&lt;EDATE($B$11,MAX(1,'Вводные'!$K$33)),AND($B$7="Да",IFERROR(INDEX('Вводные'!$B$88:$B$90,$B$8),"Нет")="Да"))</x:f>
        <x:v>0</x:v>
      </x:c>
      <x:c r="DM17" s="35" t="n">
        <x:f>--AND(DM$3&gt;=$B$11,DM$3&lt;$B$10,DM$3&lt;EDATE($B$11,MAX(1,'Вводные'!$K$33)),AND($B$7="Да",IFERROR(INDEX('Вводные'!$B$88:$B$90,$B$8),"Нет")="Да"))</x:f>
        <x:v>0</x:v>
      </x:c>
      <x:c r="DN17" s="35" t="n">
        <x:f>--AND(DN$3&gt;=$B$11,DN$3&lt;$B$10,DN$3&lt;EDATE($B$11,MAX(1,'Вводные'!$K$33)),AND($B$7="Да",IFERROR(INDEX('Вводные'!$B$88:$B$90,$B$8),"Нет")="Да"))</x:f>
        <x:v>0</x:v>
      </x:c>
      <x:c r="DO17" s="35" t="n">
        <x:f>--AND(DO$3&gt;=$B$11,DO$3&lt;$B$10,DO$3&lt;EDATE($B$11,MAX(1,'Вводные'!$K$33)),AND($B$7="Да",IFERROR(INDEX('Вводные'!$B$88:$B$90,$B$8),"Нет")="Да"))</x:f>
        <x:v>0</x:v>
      </x:c>
      <x:c r="DP17" s="35" t="n">
        <x:f>--AND(DP$3&gt;=$B$11,DP$3&lt;$B$10,DP$3&lt;EDATE($B$11,MAX(1,'Вводные'!$K$33)),AND($B$7="Да",IFERROR(INDEX('Вводные'!$B$88:$B$90,$B$8),"Нет")="Да"))</x:f>
        <x:v>0</x:v>
      </x:c>
      <x:c r="DQ17" s="35" t="n">
        <x:f>--AND(DQ$3&gt;=$B$11,DQ$3&lt;$B$10,DQ$3&lt;EDATE($B$11,MAX(1,'Вводные'!$K$33)),AND($B$7="Да",IFERROR(INDEX('Вводные'!$B$88:$B$90,$B$8),"Нет")="Да"))</x:f>
        <x:v>0</x:v>
      </x:c>
      <x:c r="DR17" s="35" t="n">
        <x:f>--AND(DR$3&gt;=$B$11,DR$3&lt;$B$10,DR$3&lt;EDATE($B$11,MAX(1,'Вводные'!$K$33)),AND($B$7="Да",IFERROR(INDEX('Вводные'!$B$88:$B$90,$B$8),"Нет")="Да"))</x:f>
        <x:v>0</x:v>
      </x:c>
      <x:c r="DS17" s="35" t="n">
        <x:f>--AND(DS$3&gt;=$B$11,DS$3&lt;$B$10,DS$3&lt;EDATE($B$11,MAX(1,'Вводные'!$K$33)),AND($B$7="Да",IFERROR(INDEX('Вводные'!$B$88:$B$90,$B$8),"Нет")="Да"))</x:f>
        <x:v>0</x:v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$90,$B$8),"Нет")="Да")),(1+INDEX('Вводные'!$AD$88:$AD$90,$B$8)*'Вводные'!$H$7)^MAX(0,(12*(YEAR(D$3)-YEAR($B$11))+MONTH(D$3)-MONTH($B$11)))*(1+IF(MONTH(D$3)=1,'Вводные'!$B$67,IF(AND(MONTH(D$3)&gt;=5,MONTH(D$3)&lt;=8),'Вводные'!$B$70,0))),0)</x:f>
        <x:v>0</x:v>
      </x:c>
      <x:c r="E18" s="35" t="n">
        <x:f>IF(AND(E$3&gt;=$B$11,E$3&lt;EDATE($B$11,MAX(1,'Вводные'!$K$33)),AND($B$7="Да",IFERROR(INDEX('Вводные'!$B$88:$B$90,$B$8),"Нет")="Да")),(1+INDEX('Вводные'!$AD$88:$AD$90,$B$8)*'Вводные'!$H$7)^MAX(0,(12*(YEAR(E$3)-YEAR($B$11))+MONTH(E$3)-MONTH($B$11)))*(1+IF(MONTH(E$3)=1,'Вводные'!$B$67,IF(AND(MONTH(E$3)&gt;=5,MONTH(E$3)&lt;=8),'Вводные'!$B$70,0))),0)</x:f>
        <x:v>0</x:v>
      </x:c>
      <x:c r="F18" s="35" t="n">
        <x:f>IF(AND(F$3&gt;=$B$11,F$3&lt;EDATE($B$11,MAX(1,'Вводные'!$K$33)),AND($B$7="Да",IFERROR(INDEX('Вводные'!$B$88:$B$90,$B$8),"Нет")="Да")),(1+INDEX('Вводные'!$AD$88:$AD$90,$B$8)*'Вводные'!$H$7)^MAX(0,(12*(YEAR(F$3)-YEAR($B$11))+MONTH(F$3)-MONTH($B$11)))*(1+IF(MONTH(F$3)=1,'Вводные'!$B$67,IF(AND(MONTH(F$3)&gt;=5,MONTH(F$3)&lt;=8),'Вводные'!$B$70,0))),0)</x:f>
        <x:v>0</x:v>
      </x:c>
      <x:c r="G18" s="35" t="n">
        <x:f>IF(AND(G$3&gt;=$B$11,G$3&lt;EDATE($B$11,MAX(1,'Вводные'!$K$33)),AND($B$7="Да",IFERROR(INDEX('Вводные'!$B$88:$B$90,$B$8),"Нет")="Да")),(1+INDEX('Вводные'!$AD$88:$AD$90,$B$8)*'Вводные'!$H$7)^MAX(0,(12*(YEAR(G$3)-YEAR($B$11))+MONTH(G$3)-MONTH($B$11)))*(1+IF(MONTH(G$3)=1,'Вводные'!$B$67,IF(AND(MONTH(G$3)&gt;=5,MONTH(G$3)&lt;=8),'Вводные'!$B$70,0))),0)</x:f>
        <x:v>0</x:v>
      </x:c>
      <x:c r="H18" s="35" t="n">
        <x:f>IF(AND(H$3&gt;=$B$11,H$3&lt;EDATE($B$11,MAX(1,'Вводные'!$K$33)),AND($B$7="Да",IFERROR(INDEX('Вводные'!$B$88:$B$90,$B$8),"Нет")="Да")),(1+INDEX('Вводные'!$AD$88:$AD$90,$B$8)*'Вводные'!$H$7)^MAX(0,(12*(YEAR(H$3)-YEAR($B$11))+MONTH(H$3)-MONTH($B$11)))*(1+IF(MONTH(H$3)=1,'Вводные'!$B$67,IF(AND(MONTH(H$3)&gt;=5,MONTH(H$3)&lt;=8),'Вводные'!$B$70,0))),0)</x:f>
        <x:v>0</x:v>
      </x:c>
      <x:c r="I18" s="35" t="n">
        <x:f>IF(AND(I$3&gt;=$B$11,I$3&lt;EDATE($B$11,MAX(1,'Вводные'!$K$33)),AND($B$7="Да",IFERROR(INDEX('Вводные'!$B$88:$B$90,$B$8),"Нет")="Да")),(1+INDEX('Вводные'!$AD$88:$AD$90,$B$8)*'Вводные'!$H$7)^MAX(0,(12*(YEAR(I$3)-YEAR($B$11))+MONTH(I$3)-MONTH($B$11)))*(1+IF(MONTH(I$3)=1,'Вводные'!$B$67,IF(AND(MONTH(I$3)&gt;=5,MONTH(I$3)&lt;=8),'Вводные'!$B$70,0))),0)</x:f>
        <x:v>0</x:v>
      </x:c>
      <x:c r="J18" s="35" t="n">
        <x:f>IF(AND(J$3&gt;=$B$11,J$3&lt;EDATE($B$11,MAX(1,'Вводные'!$K$33)),AND($B$7="Да",IFERROR(INDEX('Вводные'!$B$88:$B$90,$B$8),"Нет")="Да")),(1+INDEX('Вводные'!$AD$88:$AD$90,$B$8)*'Вводные'!$H$7)^MAX(0,(12*(YEAR(J$3)-YEAR($B$11))+MONTH(J$3)-MONTH($B$11)))*(1+IF(MONTH(J$3)=1,'Вводные'!$B$67,IF(AND(MONTH(J$3)&gt;=5,MONTH(J$3)&lt;=8),'Вводные'!$B$70,0))),0)</x:f>
        <x:v>0</x:v>
      </x:c>
      <x:c r="K18" s="35" t="n">
        <x:f>IF(AND(K$3&gt;=$B$11,K$3&lt;EDATE($B$11,MAX(1,'Вводные'!$K$33)),AND($B$7="Да",IFERROR(INDEX('Вводные'!$B$88:$B$90,$B$8),"Нет")="Да")),(1+INDEX('Вводные'!$AD$88:$AD$90,$B$8)*'Вводные'!$H$7)^MAX(0,(12*(YEAR(K$3)-YEAR($B$11))+MONTH(K$3)-MONTH($B$11)))*(1+IF(MONTH(K$3)=1,'Вводные'!$B$67,IF(AND(MONTH(K$3)&gt;=5,MONTH(K$3)&lt;=8),'Вводные'!$B$70,0))),0)</x:f>
        <x:v>0</x:v>
      </x:c>
      <x:c r="L18" s="35" t="n">
        <x:f>IF(AND(L$3&gt;=$B$11,L$3&lt;EDATE($B$11,MAX(1,'Вводные'!$K$33)),AND($B$7="Да",IFERROR(INDEX('Вводные'!$B$88:$B$90,$B$8),"Нет")="Да")),(1+INDEX('Вводные'!$AD$88:$AD$90,$B$8)*'Вводные'!$H$7)^MAX(0,(12*(YEAR(L$3)-YEAR($B$11))+MONTH(L$3)-MONTH($B$11)))*(1+IF(MONTH(L$3)=1,'Вводные'!$B$67,IF(AND(MONTH(L$3)&gt;=5,MONTH(L$3)&lt;=8),'Вводные'!$B$70,0))),0)</x:f>
        <x:v>0</x:v>
      </x:c>
      <x:c r="M18" s="35" t="n">
        <x:f>IF(AND(M$3&gt;=$B$11,M$3&lt;EDATE($B$11,MAX(1,'Вводные'!$K$33)),AND($B$7="Да",IFERROR(INDEX('Вводные'!$B$88:$B$90,$B$8),"Нет")="Да")),(1+INDEX('Вводные'!$AD$88:$AD$90,$B$8)*'Вводные'!$H$7)^MAX(0,(12*(YEAR(M$3)-YEAR($B$11))+MONTH(M$3)-MONTH($B$11)))*(1+IF(MONTH(M$3)=1,'Вводные'!$B$67,IF(AND(MONTH(M$3)&gt;=5,MONTH(M$3)&lt;=8),'Вводные'!$B$70,0))),0)</x:f>
        <x:v>0</x:v>
      </x:c>
      <x:c r="N18" s="35" t="n">
        <x:f>IF(AND(N$3&gt;=$B$11,N$3&lt;EDATE($B$11,MAX(1,'Вводные'!$K$33)),AND($B$7="Да",IFERROR(INDEX('Вводные'!$B$88:$B$90,$B$8),"Нет")="Да")),(1+INDEX('Вводные'!$AD$88:$AD$90,$B$8)*'Вводные'!$H$7)^MAX(0,(12*(YEAR(N$3)-YEAR($B$11))+MONTH(N$3)-MONTH($B$11)))*(1+IF(MONTH(N$3)=1,'Вводные'!$B$67,IF(AND(MONTH(N$3)&gt;=5,MONTH(N$3)&lt;=8),'Вводные'!$B$70,0))),0)</x:f>
        <x:v>0</x:v>
      </x:c>
      <x:c r="O18" s="35" t="n">
        <x:f>IF(AND(O$3&gt;=$B$11,O$3&lt;EDATE($B$11,MAX(1,'Вводные'!$K$33)),AND($B$7="Да",IFERROR(INDEX('Вводные'!$B$88:$B$90,$B$8),"Нет")="Да")),(1+INDEX('Вводные'!$AD$88:$AD$90,$B$8)*'Вводные'!$H$7)^MAX(0,(12*(YEAR(O$3)-YEAR($B$11))+MONTH(O$3)-MONTH($B$11)))*(1+IF(MONTH(O$3)=1,'Вводные'!$B$67,IF(AND(MONTH(O$3)&gt;=5,MONTH(O$3)&lt;=8),'Вводные'!$B$70,0))),0)</x:f>
        <x:v>0</x:v>
      </x:c>
      <x:c r="P18" s="35" t="n">
        <x:f>IF(AND(P$3&gt;=$B$11,P$3&lt;EDATE($B$11,MAX(1,'Вводные'!$K$33)),AND($B$7="Да",IFERROR(INDEX('Вводные'!$B$88:$B$90,$B$8),"Нет")="Да")),(1+INDEX('Вводные'!$AD$88:$AD$90,$B$8)*'Вводные'!$H$7)^MAX(0,(12*(YEAR(P$3)-YEAR($B$11))+MONTH(P$3)-MONTH($B$11)))*(1+IF(MONTH(P$3)=1,'Вводные'!$B$67,IF(AND(MONTH(P$3)&gt;=5,MONTH(P$3)&lt;=8),'Вводные'!$B$70,0))),0)</x:f>
        <x:v>0</x:v>
      </x:c>
      <x:c r="Q18" s="35" t="n">
        <x:f>IF(AND(Q$3&gt;=$B$11,Q$3&lt;EDATE($B$11,MAX(1,'Вводные'!$K$33)),AND($B$7="Да",IFERROR(INDEX('Вводные'!$B$88:$B$90,$B$8),"Нет")="Да")),(1+INDEX('Вводные'!$AD$88:$AD$90,$B$8)*'Вводные'!$H$7)^MAX(0,(12*(YEAR(Q$3)-YEAR($B$11))+MONTH(Q$3)-MONTH($B$11)))*(1+IF(MONTH(Q$3)=1,'Вводные'!$B$67,IF(AND(MONTH(Q$3)&gt;=5,MONTH(Q$3)&lt;=8),'Вводные'!$B$70,0))),0)</x:f>
        <x:v>0</x:v>
      </x:c>
      <x:c r="R18" s="35" t="n">
        <x:f>IF(AND(R$3&gt;=$B$11,R$3&lt;EDATE($B$11,MAX(1,'Вводные'!$K$33)),AND($B$7="Да",IFERROR(INDEX('Вводные'!$B$88:$B$90,$B$8),"Нет")="Да")),(1+INDEX('Вводные'!$AD$88:$AD$90,$B$8)*'Вводные'!$H$7)^MAX(0,(12*(YEAR(R$3)-YEAR($B$11))+MONTH(R$3)-MONTH($B$11)))*(1+IF(MONTH(R$3)=1,'Вводные'!$B$67,IF(AND(MONTH(R$3)&gt;=5,MONTH(R$3)&lt;=8),'Вводные'!$B$70,0))),0)</x:f>
        <x:v>0</x:v>
      </x:c>
      <x:c r="S18" s="35" t="n">
        <x:f>IF(AND(S$3&gt;=$B$11,S$3&lt;EDATE($B$11,MAX(1,'Вводные'!$K$33)),AND($B$7="Да",IFERROR(INDEX('Вводные'!$B$88:$B$90,$B$8),"Нет")="Да")),(1+INDEX('Вводные'!$AD$88:$AD$90,$B$8)*'Вводные'!$H$7)^MAX(0,(12*(YEAR(S$3)-YEAR($B$11))+MONTH(S$3)-MONTH($B$11)))*(1+IF(MONTH(S$3)=1,'Вводные'!$B$67,IF(AND(MONTH(S$3)&gt;=5,MONTH(S$3)&lt;=8),'Вводные'!$B$70,0))),0)</x:f>
        <x:v>0</x:v>
      </x:c>
      <x:c r="T18" s="35" t="n">
        <x:f>IF(AND(T$3&gt;=$B$11,T$3&lt;EDATE($B$11,MAX(1,'Вводные'!$K$33)),AND($B$7="Да",IFERROR(INDEX('Вводные'!$B$88:$B$90,$B$8),"Нет")="Да")),(1+INDEX('Вводные'!$AD$88:$AD$90,$B$8)*'Вводные'!$H$7)^MAX(0,(12*(YEAR(T$3)-YEAR($B$11))+MONTH(T$3)-MONTH($B$11)))*(1+IF(MONTH(T$3)=1,'Вводные'!$B$67,IF(AND(MONTH(T$3)&gt;=5,MONTH(T$3)&lt;=8),'Вводные'!$B$70,0))),0)</x:f>
        <x:v>0</x:v>
      </x:c>
      <x:c r="U18" s="35" t="n">
        <x:f>IF(AND(U$3&gt;=$B$11,U$3&lt;EDATE($B$11,MAX(1,'Вводные'!$K$33)),AND($B$7="Да",IFERROR(INDEX('Вводные'!$B$88:$B$90,$B$8),"Нет")="Да")),(1+INDEX('Вводные'!$AD$88:$AD$90,$B$8)*'Вводные'!$H$7)^MAX(0,(12*(YEAR(U$3)-YEAR($B$11))+MONTH(U$3)-MONTH($B$11)))*(1+IF(MONTH(U$3)=1,'Вводные'!$B$67,IF(AND(MONTH(U$3)&gt;=5,MONTH(U$3)&lt;=8),'Вводные'!$B$70,0))),0)</x:f>
        <x:v>0</x:v>
      </x:c>
      <x:c r="V18" s="35" t="n">
        <x:f>IF(AND(V$3&gt;=$B$11,V$3&lt;EDATE($B$11,MAX(1,'Вводные'!$K$33)),AND($B$7="Да",IFERROR(INDEX('Вводные'!$B$88:$B$90,$B$8),"Нет")="Да")),(1+INDEX('Вводные'!$AD$88:$AD$90,$B$8)*'Вводные'!$H$7)^MAX(0,(12*(YEAR(V$3)-YEAR($B$11))+MONTH(V$3)-MONTH($B$11)))*(1+IF(MONTH(V$3)=1,'Вводные'!$B$67,IF(AND(MONTH(V$3)&gt;=5,MONTH(V$3)&lt;=8),'Вводные'!$B$70,0))),0)</x:f>
        <x:v>0</x:v>
      </x:c>
      <x:c r="W18" s="35" t="n">
        <x:f>IF(AND(W$3&gt;=$B$11,W$3&lt;EDATE($B$11,MAX(1,'Вводные'!$K$33)),AND($B$7="Да",IFERROR(INDEX('Вводные'!$B$88:$B$90,$B$8),"Нет")="Да")),(1+INDEX('Вводные'!$AD$88:$AD$90,$B$8)*'Вводные'!$H$7)^MAX(0,(12*(YEAR(W$3)-YEAR($B$11))+MONTH(W$3)-MONTH($B$11)))*(1+IF(MONTH(W$3)=1,'Вводные'!$B$67,IF(AND(MONTH(W$3)&gt;=5,MONTH(W$3)&lt;=8),'Вводные'!$B$70,0))),0)</x:f>
        <x:v>0</x:v>
      </x:c>
      <x:c r="X18" s="35" t="n">
        <x:f>IF(AND(X$3&gt;=$B$11,X$3&lt;EDATE($B$11,MAX(1,'Вводные'!$K$33)),AND($B$7="Да",IFERROR(INDEX('Вводные'!$B$88:$B$90,$B$8),"Нет")="Да")),(1+INDEX('Вводные'!$AD$88:$AD$90,$B$8)*'Вводные'!$H$7)^MAX(0,(12*(YEAR(X$3)-YEAR($B$11))+MONTH(X$3)-MONTH($B$11)))*(1+IF(MONTH(X$3)=1,'Вводные'!$B$67,IF(AND(MONTH(X$3)&gt;=5,MONTH(X$3)&lt;=8),'Вводные'!$B$70,0))),0)</x:f>
        <x:v>0</x:v>
      </x:c>
      <x:c r="Y18" s="35" t="n">
        <x:f>IF(AND(Y$3&gt;=$B$11,Y$3&lt;EDATE($B$11,MAX(1,'Вводные'!$K$33)),AND($B$7="Да",IFERROR(INDEX('Вводные'!$B$88:$B$90,$B$8),"Нет")="Да")),(1+INDEX('Вводные'!$AD$88:$AD$90,$B$8)*'Вводные'!$H$7)^MAX(0,(12*(YEAR(Y$3)-YEAR($B$11))+MONTH(Y$3)-MONTH($B$11)))*(1+IF(MONTH(Y$3)=1,'Вводные'!$B$67,IF(AND(MONTH(Y$3)&gt;=5,MONTH(Y$3)&lt;=8),'Вводные'!$B$70,0))),0)</x:f>
        <x:v>0</x:v>
      </x:c>
      <x:c r="Z18" s="35" t="n">
        <x:f>IF(AND(Z$3&gt;=$B$11,Z$3&lt;EDATE($B$11,MAX(1,'Вводные'!$K$33)),AND($B$7="Да",IFERROR(INDEX('Вводные'!$B$88:$B$90,$B$8),"Нет")="Да")),(1+INDEX('Вводные'!$AD$88:$AD$90,$B$8)*'Вводные'!$H$7)^MAX(0,(12*(YEAR(Z$3)-YEAR($B$11))+MONTH(Z$3)-MONTH($B$11)))*(1+IF(MONTH(Z$3)=1,'Вводные'!$B$67,IF(AND(MONTH(Z$3)&gt;=5,MONTH(Z$3)&lt;=8),'Вводные'!$B$70,0))),0)</x:f>
        <x:v>0</x:v>
      </x:c>
      <x:c r="AA18" s="35" t="n">
        <x:f>IF(AND(AA$3&gt;=$B$11,AA$3&lt;EDATE($B$11,MAX(1,'Вводные'!$K$33)),AND($B$7="Да",IFERROR(INDEX('Вводные'!$B$88:$B$90,$B$8),"Нет")="Да")),(1+INDEX('Вводные'!$AD$88:$AD$90,$B$8)*'Вводные'!$H$7)^MAX(0,(12*(YEAR(AA$3)-YEAR($B$11))+MONTH(AA$3)-MONTH($B$11)))*(1+IF(MONTH(AA$3)=1,'Вводные'!$B$67,IF(AND(MONTH(AA$3)&gt;=5,MONTH(AA$3)&lt;=8),'Вводные'!$B$70,0))),0)</x:f>
        <x:v>0</x:v>
      </x:c>
      <x:c r="AB18" s="35" t="n">
        <x:f>IF(AND(AB$3&gt;=$B$11,AB$3&lt;EDATE($B$11,MAX(1,'Вводные'!$K$33)),AND($B$7="Да",IFERROR(INDEX('Вводные'!$B$88:$B$90,$B$8),"Нет")="Да")),(1+INDEX('Вводные'!$AD$88:$AD$90,$B$8)*'Вводные'!$H$7)^MAX(0,(12*(YEAR(AB$3)-YEAR($B$11))+MONTH(AB$3)-MONTH($B$11)))*(1+IF(MONTH(AB$3)=1,'Вводные'!$B$67,IF(AND(MONTH(AB$3)&gt;=5,MONTH(AB$3)&lt;=8),'Вводные'!$B$70,0))),0)</x:f>
        <x:v>0</x:v>
      </x:c>
      <x:c r="AC18" s="35" t="n">
        <x:f>IF(AND(AC$3&gt;=$B$11,AC$3&lt;EDATE($B$11,MAX(1,'Вводные'!$K$33)),AND($B$7="Да",IFERROR(INDEX('Вводные'!$B$88:$B$90,$B$8),"Нет")="Да")),(1+INDEX('Вводные'!$AD$88:$AD$90,$B$8)*'Вводные'!$H$7)^MAX(0,(12*(YEAR(AC$3)-YEAR($B$11))+MONTH(AC$3)-MONTH($B$11)))*(1+IF(MONTH(AC$3)=1,'Вводные'!$B$67,IF(AND(MONTH(AC$3)&gt;=5,MONTH(AC$3)&lt;=8),'Вводные'!$B$70,0))),0)</x:f>
        <x:v>0</x:v>
      </x:c>
      <x:c r="AD18" s="35" t="n">
        <x:f>IF(AND(AD$3&gt;=$B$11,AD$3&lt;EDATE($B$11,MAX(1,'Вводные'!$K$33)),AND($B$7="Да",IFERROR(INDEX('Вводные'!$B$88:$B$90,$B$8),"Нет")="Да")),(1+INDEX('Вводные'!$AD$88:$AD$90,$B$8)*'Вводные'!$H$7)^MAX(0,(12*(YEAR(AD$3)-YEAR($B$11))+MONTH(AD$3)-MONTH($B$11)))*(1+IF(MONTH(AD$3)=1,'Вводные'!$B$67,IF(AND(MONTH(AD$3)&gt;=5,MONTH(AD$3)&lt;=8),'Вводные'!$B$70,0))),0)</x:f>
        <x:v>0</x:v>
      </x:c>
      <x:c r="AE18" s="35" t="n">
        <x:f>IF(AND(AE$3&gt;=$B$11,AE$3&lt;EDATE($B$11,MAX(1,'Вводные'!$K$33)),AND($B$7="Да",IFERROR(INDEX('Вводные'!$B$88:$B$90,$B$8),"Нет")="Да")),(1+INDEX('Вводные'!$AD$88:$AD$90,$B$8)*'Вводные'!$H$7)^MAX(0,(12*(YEAR(AE$3)-YEAR($B$11))+MONTH(AE$3)-MONTH($B$11)))*(1+IF(MONTH(AE$3)=1,'Вводные'!$B$67,IF(AND(MONTH(AE$3)&gt;=5,MONTH(AE$3)&lt;=8),'Вводные'!$B$70,0))),0)</x:f>
        <x:v>0</x:v>
      </x:c>
      <x:c r="AF18" s="35" t="n">
        <x:f>IF(AND(AF$3&gt;=$B$11,AF$3&lt;EDATE($B$11,MAX(1,'Вводные'!$K$33)),AND($B$7="Да",IFERROR(INDEX('Вводные'!$B$88:$B$90,$B$8),"Нет")="Да")),(1+INDEX('Вводные'!$AD$88:$AD$90,$B$8)*'Вводные'!$H$7)^MAX(0,(12*(YEAR(AF$3)-YEAR($B$11))+MONTH(AF$3)-MONTH($B$11)))*(1+IF(MONTH(AF$3)=1,'Вводные'!$B$67,IF(AND(MONTH(AF$3)&gt;=5,MONTH(AF$3)&lt;=8),'Вводные'!$B$70,0))),0)</x:f>
        <x:v>0</x:v>
      </x:c>
      <x:c r="AG18" s="35" t="n">
        <x:f>IF(AND(AG$3&gt;=$B$11,AG$3&lt;EDATE($B$11,MAX(1,'Вводные'!$K$33)),AND($B$7="Да",IFERROR(INDEX('Вводные'!$B$88:$B$90,$B$8),"Нет")="Да")),(1+INDEX('Вводные'!$AD$88:$AD$90,$B$8)*'Вводные'!$H$7)^MAX(0,(12*(YEAR(AG$3)-YEAR($B$11))+MONTH(AG$3)-MONTH($B$11)))*(1+IF(MONTH(AG$3)=1,'Вводные'!$B$67,IF(AND(MONTH(AG$3)&gt;=5,MONTH(AG$3)&lt;=8),'Вводные'!$B$70,0))),0)</x:f>
        <x:v>0</x:v>
      </x:c>
      <x:c r="AH18" s="35" t="n">
        <x:f>IF(AND(AH$3&gt;=$B$11,AH$3&lt;EDATE($B$11,MAX(1,'Вводные'!$K$33)),AND($B$7="Да",IFERROR(INDEX('Вводные'!$B$88:$B$90,$B$8),"Нет")="Да")),(1+INDEX('Вводные'!$AD$88:$AD$90,$B$8)*'Вводные'!$H$7)^MAX(0,(12*(YEAR(AH$3)-YEAR($B$11))+MONTH(AH$3)-MONTH($B$11)))*(1+IF(MONTH(AH$3)=1,'Вводные'!$B$67,IF(AND(MONTH(AH$3)&gt;=5,MONTH(AH$3)&lt;=8),'Вводные'!$B$70,0))),0)</x:f>
        <x:v>0</x:v>
      </x:c>
      <x:c r="AI18" s="35" t="n">
        <x:f>IF(AND(AI$3&gt;=$B$11,AI$3&lt;EDATE($B$11,MAX(1,'Вводные'!$K$33)),AND($B$7="Да",IFERROR(INDEX('Вводные'!$B$88:$B$90,$B$8),"Нет")="Да")),(1+INDEX('Вводные'!$AD$88:$AD$90,$B$8)*'Вводные'!$H$7)^MAX(0,(12*(YEAR(AI$3)-YEAR($B$11))+MONTH(AI$3)-MONTH($B$11)))*(1+IF(MONTH(AI$3)=1,'Вводные'!$B$67,IF(AND(MONTH(AI$3)&gt;=5,MONTH(AI$3)&lt;=8),'Вводные'!$B$70,0))),0)</x:f>
        <x:v>0</x:v>
      </x:c>
      <x:c r="AJ18" s="35" t="n">
        <x:f>IF(AND(AJ$3&gt;=$B$11,AJ$3&lt;EDATE($B$11,MAX(1,'Вводные'!$K$33)),AND($B$7="Да",IFERROR(INDEX('Вводные'!$B$88:$B$90,$B$8),"Нет")="Да")),(1+INDEX('Вводные'!$AD$88:$AD$90,$B$8)*'Вводные'!$H$7)^MAX(0,(12*(YEAR(AJ$3)-YEAR($B$11))+MONTH(AJ$3)-MONTH($B$11)))*(1+IF(MONTH(AJ$3)=1,'Вводные'!$B$67,IF(AND(MONTH(AJ$3)&gt;=5,MONTH(AJ$3)&lt;=8),'Вводные'!$B$70,0))),0)</x:f>
        <x:v>0</x:v>
      </x:c>
      <x:c r="AK18" s="35" t="n">
        <x:f>IF(AND(AK$3&gt;=$B$11,AK$3&lt;EDATE($B$11,MAX(1,'Вводные'!$K$33)),AND($B$7="Да",IFERROR(INDEX('Вводные'!$B$88:$B$90,$B$8),"Нет")="Да")),(1+INDEX('Вводные'!$AD$88:$AD$90,$B$8)*'Вводные'!$H$7)^MAX(0,(12*(YEAR(AK$3)-YEAR($B$11))+MONTH(AK$3)-MONTH($B$11)))*(1+IF(MONTH(AK$3)=1,'Вводные'!$B$67,IF(AND(MONTH(AK$3)&gt;=5,MONTH(AK$3)&lt;=8),'Вводные'!$B$70,0))),0)</x:f>
        <x:v>0</x:v>
      </x:c>
      <x:c r="AL18" s="35" t="n">
        <x:f>IF(AND(AL$3&gt;=$B$11,AL$3&lt;EDATE($B$11,MAX(1,'Вводные'!$K$33)),AND($B$7="Да",IFERROR(INDEX('Вводные'!$B$88:$B$90,$B$8),"Нет")="Да")),(1+INDEX('Вводные'!$AD$88:$AD$90,$B$8)*'Вводные'!$H$7)^MAX(0,(12*(YEAR(AL$3)-YEAR($B$11))+MONTH(AL$3)-MONTH($B$11)))*(1+IF(MONTH(AL$3)=1,'Вводные'!$B$67,IF(AND(MONTH(AL$3)&gt;=5,MONTH(AL$3)&lt;=8),'Вводные'!$B$70,0))),0)</x:f>
        <x:v>0</x:v>
      </x:c>
      <x:c r="AM18" s="35" t="n">
        <x:f>IF(AND(AM$3&gt;=$B$11,AM$3&lt;EDATE($B$11,MAX(1,'Вводные'!$K$33)),AND($B$7="Да",IFERROR(INDEX('Вводные'!$B$88:$B$90,$B$8),"Нет")="Да")),(1+INDEX('Вводные'!$AD$88:$AD$90,$B$8)*'Вводные'!$H$7)^MAX(0,(12*(YEAR(AM$3)-YEAR($B$11))+MONTH(AM$3)-MONTH($B$11)))*(1+IF(MONTH(AM$3)=1,'Вводные'!$B$67,IF(AND(MONTH(AM$3)&gt;=5,MONTH(AM$3)&lt;=8),'Вводные'!$B$70,0))),0)</x:f>
        <x:v>0</x:v>
      </x:c>
      <x:c r="AN18" s="35" t="n">
        <x:f>IF(AND(AN$3&gt;=$B$11,AN$3&lt;EDATE($B$11,MAX(1,'Вводные'!$K$33)),AND($B$7="Да",IFERROR(INDEX('Вводные'!$B$88:$B$90,$B$8),"Нет")="Да")),(1+INDEX('Вводные'!$AD$88:$AD$90,$B$8)*'Вводные'!$H$7)^MAX(0,(12*(YEAR(AN$3)-YEAR($B$11))+MONTH(AN$3)-MONTH($B$11)))*(1+IF(MONTH(AN$3)=1,'Вводные'!$B$67,IF(AND(MONTH(AN$3)&gt;=5,MONTH(AN$3)&lt;=8),'Вводные'!$B$70,0))),0)</x:f>
        <x:v>0</x:v>
      </x:c>
      <x:c r="AO18" s="35" t="n">
        <x:f>IF(AND(AO$3&gt;=$B$11,AO$3&lt;EDATE($B$11,MAX(1,'Вводные'!$K$33)),AND($B$7="Да",IFERROR(INDEX('Вводные'!$B$88:$B$90,$B$8),"Нет")="Да")),(1+INDEX('Вводные'!$AD$88:$AD$90,$B$8)*'Вводные'!$H$7)^MAX(0,(12*(YEAR(AO$3)-YEAR($B$11))+MONTH(AO$3)-MONTH($B$11)))*(1+IF(MONTH(AO$3)=1,'Вводные'!$B$67,IF(AND(MONTH(AO$3)&gt;=5,MONTH(AO$3)&lt;=8),'Вводные'!$B$70,0))),0)</x:f>
        <x:v>0</x:v>
      </x:c>
      <x:c r="AP18" s="35" t="n">
        <x:f>IF(AND(AP$3&gt;=$B$11,AP$3&lt;EDATE($B$11,MAX(1,'Вводные'!$K$33)),AND($B$7="Да",IFERROR(INDEX('Вводные'!$B$88:$B$90,$B$8),"Нет")="Да")),(1+INDEX('Вводные'!$AD$88:$AD$90,$B$8)*'Вводные'!$H$7)^MAX(0,(12*(YEAR(AP$3)-YEAR($B$11))+MONTH(AP$3)-MONTH($B$11)))*(1+IF(MONTH(AP$3)=1,'Вводные'!$B$67,IF(AND(MONTH(AP$3)&gt;=5,MONTH(AP$3)&lt;=8),'Вводные'!$B$70,0))),0)</x:f>
        <x:v>0</x:v>
      </x:c>
      <x:c r="AQ18" s="35" t="n">
        <x:f>IF(AND(AQ$3&gt;=$B$11,AQ$3&lt;EDATE($B$11,MAX(1,'Вводные'!$K$33)),AND($B$7="Да",IFERROR(INDEX('Вводные'!$B$88:$B$90,$B$8),"Нет")="Да")),(1+INDEX('Вводные'!$AD$88:$AD$90,$B$8)*'Вводные'!$H$7)^MAX(0,(12*(YEAR(AQ$3)-YEAR($B$11))+MONTH(AQ$3)-MONTH($B$11)))*(1+IF(MONTH(AQ$3)=1,'Вводные'!$B$67,IF(AND(MONTH(AQ$3)&gt;=5,MONTH(AQ$3)&lt;=8),'Вводные'!$B$70,0))),0)</x:f>
        <x:v>0</x:v>
      </x:c>
      <x:c r="AR18" s="35" t="n">
        <x:f>IF(AND(AR$3&gt;=$B$11,AR$3&lt;EDATE($B$11,MAX(1,'Вводные'!$K$33)),AND($B$7="Да",IFERROR(INDEX('Вводные'!$B$88:$B$90,$B$8),"Нет")="Да")),(1+INDEX('Вводные'!$AD$88:$AD$90,$B$8)*'Вводные'!$H$7)^MAX(0,(12*(YEAR(AR$3)-YEAR($B$11))+MONTH(AR$3)-MONTH($B$11)))*(1+IF(MONTH(AR$3)=1,'Вводные'!$B$67,IF(AND(MONTH(AR$3)&gt;=5,MONTH(AR$3)&lt;=8),'Вводные'!$B$70,0))),0)</x:f>
        <x:v>0</x:v>
      </x:c>
      <x:c r="AS18" s="35" t="n">
        <x:f>IF(AND(AS$3&gt;=$B$11,AS$3&lt;EDATE($B$11,MAX(1,'Вводные'!$K$33)),AND($B$7="Да",IFERROR(INDEX('Вводные'!$B$88:$B$90,$B$8),"Нет")="Да")),(1+INDEX('Вводные'!$AD$88:$AD$90,$B$8)*'Вводные'!$H$7)^MAX(0,(12*(YEAR(AS$3)-YEAR($B$11))+MONTH(AS$3)-MONTH($B$11)))*(1+IF(MONTH(AS$3)=1,'Вводные'!$B$67,IF(AND(MONTH(AS$3)&gt;=5,MONTH(AS$3)&lt;=8),'Вводные'!$B$70,0))),0)</x:f>
        <x:v>0</x:v>
      </x:c>
      <x:c r="AT18" s="35" t="n">
        <x:f>IF(AND(AT$3&gt;=$B$11,AT$3&lt;EDATE($B$11,MAX(1,'Вводные'!$K$33)),AND($B$7="Да",IFERROR(INDEX('Вводные'!$B$88:$B$90,$B$8),"Нет")="Да")),(1+INDEX('Вводные'!$AD$88:$AD$90,$B$8)*'Вводные'!$H$7)^MAX(0,(12*(YEAR(AT$3)-YEAR($B$11))+MONTH(AT$3)-MONTH($B$11)))*(1+IF(MONTH(AT$3)=1,'Вводные'!$B$67,IF(AND(MONTH(AT$3)&gt;=5,MONTH(AT$3)&lt;=8),'Вводные'!$B$70,0))),0)</x:f>
        <x:v>0</x:v>
      </x:c>
      <x:c r="AU18" s="35" t="n">
        <x:f>IF(AND(AU$3&gt;=$B$11,AU$3&lt;EDATE($B$11,MAX(1,'Вводные'!$K$33)),AND($B$7="Да",IFERROR(INDEX('Вводные'!$B$88:$B$90,$B$8),"Нет")="Да")),(1+INDEX('Вводные'!$AD$88:$AD$90,$B$8)*'Вводные'!$H$7)^MAX(0,(12*(YEAR(AU$3)-YEAR($B$11))+MONTH(AU$3)-MONTH($B$11)))*(1+IF(MONTH(AU$3)=1,'Вводные'!$B$67,IF(AND(MONTH(AU$3)&gt;=5,MONTH(AU$3)&lt;=8),'Вводные'!$B$70,0))),0)</x:f>
        <x:v>0</x:v>
      </x:c>
      <x:c r="AV18" s="35" t="n">
        <x:f>IF(AND(AV$3&gt;=$B$11,AV$3&lt;EDATE($B$11,MAX(1,'Вводные'!$K$33)),AND($B$7="Да",IFERROR(INDEX('Вводные'!$B$88:$B$90,$B$8),"Нет")="Да")),(1+INDEX('Вводные'!$AD$88:$AD$90,$B$8)*'Вводные'!$H$7)^MAX(0,(12*(YEAR(AV$3)-YEAR($B$11))+MONTH(AV$3)-MONTH($B$11)))*(1+IF(MONTH(AV$3)=1,'Вводные'!$B$67,IF(AND(MONTH(AV$3)&gt;=5,MONTH(AV$3)&lt;=8),'Вводные'!$B$70,0))),0)</x:f>
        <x:v>0</x:v>
      </x:c>
      <x:c r="AW18" s="35" t="n">
        <x:f>IF(AND(AW$3&gt;=$B$11,AW$3&lt;EDATE($B$11,MAX(1,'Вводные'!$K$33)),AND($B$7="Да",IFERROR(INDEX('Вводные'!$B$88:$B$90,$B$8),"Нет")="Да")),(1+INDEX('Вводные'!$AD$88:$AD$90,$B$8)*'Вводные'!$H$7)^MAX(0,(12*(YEAR(AW$3)-YEAR($B$11))+MONTH(AW$3)-MONTH($B$11)))*(1+IF(MONTH(AW$3)=1,'Вводные'!$B$67,IF(AND(MONTH(AW$3)&gt;=5,MONTH(AW$3)&lt;=8),'Вводные'!$B$70,0))),0)</x:f>
        <x:v>0</x:v>
      </x:c>
      <x:c r="AX18" s="35" t="n">
        <x:f>IF(AND(AX$3&gt;=$B$11,AX$3&lt;EDATE($B$11,MAX(1,'Вводные'!$K$33)),AND($B$7="Да",IFERROR(INDEX('Вводные'!$B$88:$B$90,$B$8),"Нет")="Да")),(1+INDEX('Вводные'!$AD$88:$AD$90,$B$8)*'Вводные'!$H$7)^MAX(0,(12*(YEAR(AX$3)-YEAR($B$11))+MONTH(AX$3)-MONTH($B$11)))*(1+IF(MONTH(AX$3)=1,'Вводные'!$B$67,IF(AND(MONTH(AX$3)&gt;=5,MONTH(AX$3)&lt;=8),'Вводные'!$B$70,0))),0)</x:f>
        <x:v>0</x:v>
      </x:c>
      <x:c r="AY18" s="35" t="n">
        <x:f>IF(AND(AY$3&gt;=$B$11,AY$3&lt;EDATE($B$11,MAX(1,'Вводные'!$K$33)),AND($B$7="Да",IFERROR(INDEX('Вводные'!$B$88:$B$90,$B$8),"Нет")="Да")),(1+INDEX('Вводные'!$AD$88:$AD$90,$B$8)*'Вводные'!$H$7)^MAX(0,(12*(YEAR(AY$3)-YEAR($B$11))+MONTH(AY$3)-MONTH($B$11)))*(1+IF(MONTH(AY$3)=1,'Вводные'!$B$67,IF(AND(MONTH(AY$3)&gt;=5,MONTH(AY$3)&lt;=8),'Вводные'!$B$70,0))),0)</x:f>
        <x:v>0</x:v>
      </x:c>
      <x:c r="AZ18" s="35" t="n">
        <x:f>IF(AND(AZ$3&gt;=$B$11,AZ$3&lt;EDATE($B$11,MAX(1,'Вводные'!$K$33)),AND($B$7="Да",IFERROR(INDEX('Вводные'!$B$88:$B$90,$B$8),"Нет")="Да")),(1+INDEX('Вводные'!$AD$88:$AD$90,$B$8)*'Вводные'!$H$7)^MAX(0,(12*(YEAR(AZ$3)-YEAR($B$11))+MONTH(AZ$3)-MONTH($B$11)))*(1+IF(MONTH(AZ$3)=1,'Вводные'!$B$67,IF(AND(MONTH(AZ$3)&gt;=5,MONTH(AZ$3)&lt;=8),'Вводные'!$B$70,0))),0)</x:f>
        <x:v>0</x:v>
      </x:c>
      <x:c r="BA18" s="35" t="n">
        <x:f>IF(AND(BA$3&gt;=$B$11,BA$3&lt;EDATE($B$11,MAX(1,'Вводные'!$K$33)),AND($B$7="Да",IFERROR(INDEX('Вводные'!$B$88:$B$90,$B$8),"Нет")="Да")),(1+INDEX('Вводные'!$AD$88:$AD$90,$B$8)*'Вводные'!$H$7)^MAX(0,(12*(YEAR(BA$3)-YEAR($B$11))+MONTH(BA$3)-MONTH($B$11)))*(1+IF(MONTH(BA$3)=1,'Вводные'!$B$67,IF(AND(MONTH(BA$3)&gt;=5,MONTH(BA$3)&lt;=8),'Вводные'!$B$70,0))),0)</x:f>
        <x:v>0</x:v>
      </x:c>
      <x:c r="BB18" s="35" t="n">
        <x:f>IF(AND(BB$3&gt;=$B$11,BB$3&lt;EDATE($B$11,MAX(1,'Вводные'!$K$33)),AND($B$7="Да",IFERROR(INDEX('Вводные'!$B$88:$B$90,$B$8),"Нет")="Да")),(1+INDEX('Вводные'!$AD$88:$AD$90,$B$8)*'Вводные'!$H$7)^MAX(0,(12*(YEAR(BB$3)-YEAR($B$11))+MONTH(BB$3)-MONTH($B$11)))*(1+IF(MONTH(BB$3)=1,'Вводные'!$B$67,IF(AND(MONTH(BB$3)&gt;=5,MONTH(BB$3)&lt;=8),'Вводные'!$B$70,0))),0)</x:f>
        <x:v>0</x:v>
      </x:c>
      <x:c r="BC18" s="35" t="n">
        <x:f>IF(AND(BC$3&gt;=$B$11,BC$3&lt;EDATE($B$11,MAX(1,'Вводные'!$K$33)),AND($B$7="Да",IFERROR(INDEX('Вводные'!$B$88:$B$90,$B$8),"Нет")="Да")),(1+INDEX('Вводные'!$AD$88:$AD$90,$B$8)*'Вводные'!$H$7)^MAX(0,(12*(YEAR(BC$3)-YEAR($B$11))+MONTH(BC$3)-MONTH($B$11)))*(1+IF(MONTH(BC$3)=1,'Вводные'!$B$67,IF(AND(MONTH(BC$3)&gt;=5,MONTH(BC$3)&lt;=8),'Вводные'!$B$70,0))),0)</x:f>
        <x:v>0</x:v>
      </x:c>
      <x:c r="BD18" s="35" t="n">
        <x:f>IF(AND(BD$3&gt;=$B$11,BD$3&lt;EDATE($B$11,MAX(1,'Вводные'!$K$33)),AND($B$7="Да",IFERROR(INDEX('Вводные'!$B$88:$B$90,$B$8),"Нет")="Да")),(1+INDEX('Вводные'!$AD$88:$AD$90,$B$8)*'Вводные'!$H$7)^MAX(0,(12*(YEAR(BD$3)-YEAR($B$11))+MONTH(BD$3)-MONTH($B$11)))*(1+IF(MONTH(BD$3)=1,'Вводные'!$B$67,IF(AND(MONTH(BD$3)&gt;=5,MONTH(BD$3)&lt;=8),'Вводные'!$B$70,0))),0)</x:f>
        <x:v>0</x:v>
      </x:c>
      <x:c r="BE18" s="35" t="n">
        <x:f>IF(AND(BE$3&gt;=$B$11,BE$3&lt;EDATE($B$11,MAX(1,'Вводные'!$K$33)),AND($B$7="Да",IFERROR(INDEX('Вводные'!$B$88:$B$90,$B$8),"Нет")="Да")),(1+INDEX('Вводные'!$AD$88:$AD$90,$B$8)*'Вводные'!$H$7)^MAX(0,(12*(YEAR(BE$3)-YEAR($B$11))+MONTH(BE$3)-MONTH($B$11)))*(1+IF(MONTH(BE$3)=1,'Вводные'!$B$67,IF(AND(MONTH(BE$3)&gt;=5,MONTH(BE$3)&lt;=8),'Вводные'!$B$70,0))),0)</x:f>
        <x:v>0</x:v>
      </x:c>
      <x:c r="BF18" s="35" t="n">
        <x:f>IF(AND(BF$3&gt;=$B$11,BF$3&lt;EDATE($B$11,MAX(1,'Вводные'!$K$33)),AND($B$7="Да",IFERROR(INDEX('Вводные'!$B$88:$B$90,$B$8),"Нет")="Да")),(1+INDEX('Вводные'!$AD$88:$AD$90,$B$8)*'Вводные'!$H$7)^MAX(0,(12*(YEAR(BF$3)-YEAR($B$11))+MONTH(BF$3)-MONTH($B$11)))*(1+IF(MONTH(BF$3)=1,'Вводные'!$B$67,IF(AND(MONTH(BF$3)&gt;=5,MONTH(BF$3)&lt;=8),'Вводные'!$B$70,0))),0)</x:f>
        <x:v>0</x:v>
      </x:c>
      <x:c r="BG18" s="35" t="n">
        <x:f>IF(AND(BG$3&gt;=$B$11,BG$3&lt;EDATE($B$11,MAX(1,'Вводные'!$K$33)),AND($B$7="Да",IFERROR(INDEX('Вводные'!$B$88:$B$90,$B$8),"Нет")="Да")),(1+INDEX('Вводные'!$AD$88:$AD$90,$B$8)*'Вводные'!$H$7)^MAX(0,(12*(YEAR(BG$3)-YEAR($B$11))+MONTH(BG$3)-MONTH($B$11)))*(1+IF(MONTH(BG$3)=1,'Вводные'!$B$67,IF(AND(MONTH(BG$3)&gt;=5,MONTH(BG$3)&lt;=8),'Вводные'!$B$70,0))),0)</x:f>
        <x:v>0</x:v>
      </x:c>
      <x:c r="BH18" s="35" t="n">
        <x:f>IF(AND(BH$3&gt;=$B$11,BH$3&lt;EDATE($B$11,MAX(1,'Вводные'!$K$33)),AND($B$7="Да",IFERROR(INDEX('Вводные'!$B$88:$B$90,$B$8),"Нет")="Да")),(1+INDEX('Вводные'!$AD$88:$AD$90,$B$8)*'Вводные'!$H$7)^MAX(0,(12*(YEAR(BH$3)-YEAR($B$11))+MONTH(BH$3)-MONTH($B$11)))*(1+IF(MONTH(BH$3)=1,'Вводные'!$B$67,IF(AND(MONTH(BH$3)&gt;=5,MONTH(BH$3)&lt;=8),'Вводные'!$B$70,0))),0)</x:f>
        <x:v>0</x:v>
      </x:c>
      <x:c r="BI18" s="35" t="n">
        <x:f>IF(AND(BI$3&gt;=$B$11,BI$3&lt;EDATE($B$11,MAX(1,'Вводные'!$K$33)),AND($B$7="Да",IFERROR(INDEX('Вводные'!$B$88:$B$90,$B$8),"Нет")="Да")),(1+INDEX('Вводные'!$AD$88:$AD$90,$B$8)*'Вводные'!$H$7)^MAX(0,(12*(YEAR(BI$3)-YEAR($B$11))+MONTH(BI$3)-MONTH($B$11)))*(1+IF(MONTH(BI$3)=1,'Вводные'!$B$67,IF(AND(MONTH(BI$3)&gt;=5,MONTH(BI$3)&lt;=8),'Вводные'!$B$70,0))),0)</x:f>
        <x:v>0</x:v>
      </x:c>
      <x:c r="BJ18" s="35" t="n">
        <x:f>IF(AND(BJ$3&gt;=$B$11,BJ$3&lt;EDATE($B$11,MAX(1,'Вводные'!$K$33)),AND($B$7="Да",IFERROR(INDEX('Вводные'!$B$88:$B$90,$B$8),"Нет")="Да")),(1+INDEX('Вводные'!$AD$88:$AD$90,$B$8)*'Вводные'!$H$7)^MAX(0,(12*(YEAR(BJ$3)-YEAR($B$11))+MONTH(BJ$3)-MONTH($B$11)))*(1+IF(MONTH(BJ$3)=1,'Вводные'!$B$67,IF(AND(MONTH(BJ$3)&gt;=5,MONTH(BJ$3)&lt;=8),'Вводные'!$B$70,0))),0)</x:f>
        <x:v>0</x:v>
      </x:c>
      <x:c r="BK18" s="35" t="n">
        <x:f>IF(AND(BK$3&gt;=$B$11,BK$3&lt;EDATE($B$11,MAX(1,'Вводные'!$K$33)),AND($B$7="Да",IFERROR(INDEX('Вводные'!$B$88:$B$90,$B$8),"Нет")="Да")),(1+INDEX('Вводные'!$AD$88:$AD$90,$B$8)*'Вводные'!$H$7)^MAX(0,(12*(YEAR(BK$3)-YEAR($B$11))+MONTH(BK$3)-MONTH($B$11)))*(1+IF(MONTH(BK$3)=1,'Вводные'!$B$67,IF(AND(MONTH(BK$3)&gt;=5,MONTH(BK$3)&lt;=8),'Вводные'!$B$70,0))),0)</x:f>
        <x:v>0</x:v>
      </x:c>
      <x:c r="BL18" s="35" t="n">
        <x:f>IF(AND(BL$3&gt;=$B$11,BL$3&lt;EDATE($B$11,MAX(1,'Вводные'!$K$33)),AND($B$7="Да",IFERROR(INDEX('Вводные'!$B$88:$B$90,$B$8),"Нет")="Да")),(1+INDEX('Вводные'!$AD$88:$AD$90,$B$8)*'Вводные'!$H$7)^MAX(0,(12*(YEAR(BL$3)-YEAR($B$11))+MONTH(BL$3)-MONTH($B$11)))*(1+IF(MONTH(BL$3)=1,'Вводные'!$B$67,IF(AND(MONTH(BL$3)&gt;=5,MONTH(BL$3)&lt;=8),'Вводные'!$B$70,0))),0)</x:f>
        <x:v>0</x:v>
      </x:c>
      <x:c r="BM18" s="35" t="n">
        <x:f>IF(AND(BM$3&gt;=$B$11,BM$3&lt;EDATE($B$11,MAX(1,'Вводные'!$K$33)),AND($B$7="Да",IFERROR(INDEX('Вводные'!$B$88:$B$90,$B$8),"Нет")="Да")),(1+INDEX('Вводные'!$AD$88:$AD$90,$B$8)*'Вводные'!$H$7)^MAX(0,(12*(YEAR(BM$3)-YEAR($B$11))+MONTH(BM$3)-MONTH($B$11)))*(1+IF(MONTH(BM$3)=1,'Вводные'!$B$67,IF(AND(MONTH(BM$3)&gt;=5,MONTH(BM$3)&lt;=8),'Вводные'!$B$70,0))),0)</x:f>
        <x:v>0</x:v>
      </x:c>
      <x:c r="BN18" s="35" t="n">
        <x:f>IF(AND(BN$3&gt;=$B$11,BN$3&lt;EDATE($B$11,MAX(1,'Вводные'!$K$33)),AND($B$7="Да",IFERROR(INDEX('Вводные'!$B$88:$B$90,$B$8),"Нет")="Да")),(1+INDEX('Вводные'!$AD$88:$AD$90,$B$8)*'Вводные'!$H$7)^MAX(0,(12*(YEAR(BN$3)-YEAR($B$11))+MONTH(BN$3)-MONTH($B$11)))*(1+IF(MONTH(BN$3)=1,'Вводные'!$B$67,IF(AND(MONTH(BN$3)&gt;=5,MONTH(BN$3)&lt;=8),'Вводные'!$B$70,0))),0)</x:f>
        <x:v>0</x:v>
      </x:c>
      <x:c r="BO18" s="35" t="n">
        <x:f>IF(AND(BO$3&gt;=$B$11,BO$3&lt;EDATE($B$11,MAX(1,'Вводные'!$K$33)),AND($B$7="Да",IFERROR(INDEX('Вводные'!$B$88:$B$90,$B$8),"Нет")="Да")),(1+INDEX('Вводные'!$AD$88:$AD$90,$B$8)*'Вводные'!$H$7)^MAX(0,(12*(YEAR(BO$3)-YEAR($B$11))+MONTH(BO$3)-MONTH($B$11)))*(1+IF(MONTH(BO$3)=1,'Вводные'!$B$67,IF(AND(MONTH(BO$3)&gt;=5,MONTH(BO$3)&lt;=8),'Вводные'!$B$70,0))),0)</x:f>
        <x:v>0</x:v>
      </x:c>
      <x:c r="BP18" s="35" t="n">
        <x:f>IF(AND(BP$3&gt;=$B$11,BP$3&lt;EDATE($B$11,MAX(1,'Вводные'!$K$33)),AND($B$7="Да",IFERROR(INDEX('Вводные'!$B$88:$B$90,$B$8),"Нет")="Да")),(1+INDEX('Вводные'!$AD$88:$AD$90,$B$8)*'Вводные'!$H$7)^MAX(0,(12*(YEAR(BP$3)-YEAR($B$11))+MONTH(BP$3)-MONTH($B$11)))*(1+IF(MONTH(BP$3)=1,'Вводные'!$B$67,IF(AND(MONTH(BP$3)&gt;=5,MONTH(BP$3)&lt;=8),'Вводные'!$B$70,0))),0)</x:f>
        <x:v>0</x:v>
      </x:c>
      <x:c r="BQ18" s="35" t="n">
        <x:f>IF(AND(BQ$3&gt;=$B$11,BQ$3&lt;EDATE($B$11,MAX(1,'Вводные'!$K$33)),AND($B$7="Да",IFERROR(INDEX('Вводные'!$B$88:$B$90,$B$8),"Нет")="Да")),(1+INDEX('Вводные'!$AD$88:$AD$90,$B$8)*'Вводные'!$H$7)^MAX(0,(12*(YEAR(BQ$3)-YEAR($B$11))+MONTH(BQ$3)-MONTH($B$11)))*(1+IF(MONTH(BQ$3)=1,'Вводные'!$B$67,IF(AND(MONTH(BQ$3)&gt;=5,MONTH(BQ$3)&lt;=8),'Вводные'!$B$70,0))),0)</x:f>
        <x:v>0</x:v>
      </x:c>
      <x:c r="BR18" s="35" t="n">
        <x:f>IF(AND(BR$3&gt;=$B$11,BR$3&lt;EDATE($B$11,MAX(1,'Вводные'!$K$33)),AND($B$7="Да",IFERROR(INDEX('Вводные'!$B$88:$B$90,$B$8),"Нет")="Да")),(1+INDEX('Вводные'!$AD$88:$AD$90,$B$8)*'Вводные'!$H$7)^MAX(0,(12*(YEAR(BR$3)-YEAR($B$11))+MONTH(BR$3)-MONTH($B$11)))*(1+IF(MONTH(BR$3)=1,'Вводные'!$B$67,IF(AND(MONTH(BR$3)&gt;=5,MONTH(BR$3)&lt;=8),'Вводные'!$B$70,0))),0)</x:f>
        <x:v>0</x:v>
      </x:c>
      <x:c r="BS18" s="35" t="n">
        <x:f>IF(AND(BS$3&gt;=$B$11,BS$3&lt;EDATE($B$11,MAX(1,'Вводные'!$K$33)),AND($B$7="Да",IFERROR(INDEX('Вводные'!$B$88:$B$90,$B$8),"Нет")="Да")),(1+INDEX('Вводные'!$AD$88:$AD$90,$B$8)*'Вводные'!$H$7)^MAX(0,(12*(YEAR(BS$3)-YEAR($B$11))+MONTH(BS$3)-MONTH($B$11)))*(1+IF(MONTH(BS$3)=1,'Вводные'!$B$67,IF(AND(MONTH(BS$3)&gt;=5,MONTH(BS$3)&lt;=8),'Вводные'!$B$70,0))),0)</x:f>
        <x:v>0</x:v>
      </x:c>
      <x:c r="BT18" s="35" t="n">
        <x:f>IF(AND(BT$3&gt;=$B$11,BT$3&lt;EDATE($B$11,MAX(1,'Вводные'!$K$33)),AND($B$7="Да",IFERROR(INDEX('Вводные'!$B$88:$B$90,$B$8),"Нет")="Да")),(1+INDEX('Вводные'!$AD$88:$AD$90,$B$8)*'Вводные'!$H$7)^MAX(0,(12*(YEAR(BT$3)-YEAR($B$11))+MONTH(BT$3)-MONTH($B$11)))*(1+IF(MONTH(BT$3)=1,'Вводные'!$B$67,IF(AND(MONTH(BT$3)&gt;=5,MONTH(BT$3)&lt;=8),'Вводные'!$B$70,0))),0)</x:f>
        <x:v>0</x:v>
      </x:c>
      <x:c r="BU18" s="35" t="n">
        <x:f>IF(AND(BU$3&gt;=$B$11,BU$3&lt;EDATE($B$11,MAX(1,'Вводные'!$K$33)),AND($B$7="Да",IFERROR(INDEX('Вводные'!$B$88:$B$90,$B$8),"Нет")="Да")),(1+INDEX('Вводные'!$AD$88:$AD$90,$B$8)*'Вводные'!$H$7)^MAX(0,(12*(YEAR(BU$3)-YEAR($B$11))+MONTH(BU$3)-MONTH($B$11)))*(1+IF(MONTH(BU$3)=1,'Вводные'!$B$67,IF(AND(MONTH(BU$3)&gt;=5,MONTH(BU$3)&lt;=8),'Вводные'!$B$70,0))),0)</x:f>
        <x:v>0</x:v>
      </x:c>
      <x:c r="BV18" s="35" t="n">
        <x:f>IF(AND(BV$3&gt;=$B$11,BV$3&lt;EDATE($B$11,MAX(1,'Вводные'!$K$33)),AND($B$7="Да",IFERROR(INDEX('Вводные'!$B$88:$B$90,$B$8),"Нет")="Да")),(1+INDEX('Вводные'!$AD$88:$AD$90,$B$8)*'Вводные'!$H$7)^MAX(0,(12*(YEAR(BV$3)-YEAR($B$11))+MONTH(BV$3)-MONTH($B$11)))*(1+IF(MONTH(BV$3)=1,'Вводные'!$B$67,IF(AND(MONTH(BV$3)&gt;=5,MONTH(BV$3)&lt;=8),'Вводные'!$B$70,0))),0)</x:f>
        <x:v>0</x:v>
      </x:c>
      <x:c r="BW18" s="35" t="n">
        <x:f>IF(AND(BW$3&gt;=$B$11,BW$3&lt;EDATE($B$11,MAX(1,'Вводные'!$K$33)),AND($B$7="Да",IFERROR(INDEX('Вводные'!$B$88:$B$90,$B$8),"Нет")="Да")),(1+INDEX('Вводные'!$AD$88:$AD$90,$B$8)*'Вводные'!$H$7)^MAX(0,(12*(YEAR(BW$3)-YEAR($B$11))+MONTH(BW$3)-MONTH($B$11)))*(1+IF(MONTH(BW$3)=1,'Вводные'!$B$67,IF(AND(MONTH(BW$3)&gt;=5,MONTH(BW$3)&lt;=8),'Вводные'!$B$70,0))),0)</x:f>
        <x:v>0</x:v>
      </x:c>
      <x:c r="BX18" s="35" t="n">
        <x:f>IF(AND(BX$3&gt;=$B$11,BX$3&lt;EDATE($B$11,MAX(1,'Вводные'!$K$33)),AND($B$7="Да",IFERROR(INDEX('Вводные'!$B$88:$B$90,$B$8),"Нет")="Да")),(1+INDEX('Вводные'!$AD$88:$AD$90,$B$8)*'Вводные'!$H$7)^MAX(0,(12*(YEAR(BX$3)-YEAR($B$11))+MONTH(BX$3)-MONTH($B$11)))*(1+IF(MONTH(BX$3)=1,'Вводные'!$B$67,IF(AND(MONTH(BX$3)&gt;=5,MONTH(BX$3)&lt;=8),'Вводные'!$B$70,0))),0)</x:f>
        <x:v>0</x:v>
      </x:c>
      <x:c r="BY18" s="35" t="n">
        <x:f>IF(AND(BY$3&gt;=$B$11,BY$3&lt;EDATE($B$11,MAX(1,'Вводные'!$K$33)),AND($B$7="Да",IFERROR(INDEX('Вводные'!$B$88:$B$90,$B$8),"Нет")="Да")),(1+INDEX('Вводные'!$AD$88:$AD$90,$B$8)*'Вводные'!$H$7)^MAX(0,(12*(YEAR(BY$3)-YEAR($B$11))+MONTH(BY$3)-MONTH($B$11)))*(1+IF(MONTH(BY$3)=1,'Вводные'!$B$67,IF(AND(MONTH(BY$3)&gt;=5,MONTH(BY$3)&lt;=8),'Вводные'!$B$70,0))),0)</x:f>
        <x:v>0</x:v>
      </x:c>
      <x:c r="BZ18" s="35" t="n">
        <x:f>IF(AND(BZ$3&gt;=$B$11,BZ$3&lt;EDATE($B$11,MAX(1,'Вводные'!$K$33)),AND($B$7="Да",IFERROR(INDEX('Вводные'!$B$88:$B$90,$B$8),"Нет")="Да")),(1+INDEX('Вводные'!$AD$88:$AD$90,$B$8)*'Вводные'!$H$7)^MAX(0,(12*(YEAR(BZ$3)-YEAR($B$11))+MONTH(BZ$3)-MONTH($B$11)))*(1+IF(MONTH(BZ$3)=1,'Вводные'!$B$67,IF(AND(MONTH(BZ$3)&gt;=5,MONTH(BZ$3)&lt;=8),'Вводные'!$B$70,0))),0)</x:f>
        <x:v>0</x:v>
      </x:c>
      <x:c r="CA18" s="35" t="n">
        <x:f>IF(AND(CA$3&gt;=$B$11,CA$3&lt;EDATE($B$11,MAX(1,'Вводные'!$K$33)),AND($B$7="Да",IFERROR(INDEX('Вводные'!$B$88:$B$90,$B$8),"Нет")="Да")),(1+INDEX('Вводные'!$AD$88:$AD$90,$B$8)*'Вводные'!$H$7)^MAX(0,(12*(YEAR(CA$3)-YEAR($B$11))+MONTH(CA$3)-MONTH($B$11)))*(1+IF(MONTH(CA$3)=1,'Вводные'!$B$67,IF(AND(MONTH(CA$3)&gt;=5,MONTH(CA$3)&lt;=8),'Вводные'!$B$70,0))),0)</x:f>
        <x:v>0</x:v>
      </x:c>
      <x:c r="CB18" s="35" t="n">
        <x:f>IF(AND(CB$3&gt;=$B$11,CB$3&lt;EDATE($B$11,MAX(1,'Вводные'!$K$33)),AND($B$7="Да",IFERROR(INDEX('Вводные'!$B$88:$B$90,$B$8),"Нет")="Да")),(1+INDEX('Вводные'!$AD$88:$AD$90,$B$8)*'Вводные'!$H$7)^MAX(0,(12*(YEAR(CB$3)-YEAR($B$11))+MONTH(CB$3)-MONTH($B$11)))*(1+IF(MONTH(CB$3)=1,'Вводные'!$B$67,IF(AND(MONTH(CB$3)&gt;=5,MONTH(CB$3)&lt;=8),'Вводные'!$B$70,0))),0)</x:f>
        <x:v>0</x:v>
      </x:c>
      <x:c r="CC18" s="35" t="n">
        <x:f>IF(AND(CC$3&gt;=$B$11,CC$3&lt;EDATE($B$11,MAX(1,'Вводные'!$K$33)),AND($B$7="Да",IFERROR(INDEX('Вводные'!$B$88:$B$90,$B$8),"Нет")="Да")),(1+INDEX('Вводные'!$AD$88:$AD$90,$B$8)*'Вводные'!$H$7)^MAX(0,(12*(YEAR(CC$3)-YEAR($B$11))+MONTH(CC$3)-MONTH($B$11)))*(1+IF(MONTH(CC$3)=1,'Вводные'!$B$67,IF(AND(MONTH(CC$3)&gt;=5,MONTH(CC$3)&lt;=8),'Вводные'!$B$70,0))),0)</x:f>
        <x:v>0</x:v>
      </x:c>
      <x:c r="CD18" s="35" t="n">
        <x:f>IF(AND(CD$3&gt;=$B$11,CD$3&lt;EDATE($B$11,MAX(1,'Вводные'!$K$33)),AND($B$7="Да",IFERROR(INDEX('Вводные'!$B$88:$B$90,$B$8),"Нет")="Да")),(1+INDEX('Вводные'!$AD$88:$AD$90,$B$8)*'Вводные'!$H$7)^MAX(0,(12*(YEAR(CD$3)-YEAR($B$11))+MONTH(CD$3)-MONTH($B$11)))*(1+IF(MONTH(CD$3)=1,'Вводные'!$B$67,IF(AND(MONTH(CD$3)&gt;=5,MONTH(CD$3)&lt;=8),'Вводные'!$B$70,0))),0)</x:f>
        <x:v>0</x:v>
      </x:c>
      <x:c r="CE18" s="35" t="n">
        <x:f>IF(AND(CE$3&gt;=$B$11,CE$3&lt;EDATE($B$11,MAX(1,'Вводные'!$K$33)),AND($B$7="Да",IFERROR(INDEX('Вводные'!$B$88:$B$90,$B$8),"Нет")="Да")),(1+INDEX('Вводные'!$AD$88:$AD$90,$B$8)*'Вводные'!$H$7)^MAX(0,(12*(YEAR(CE$3)-YEAR($B$11))+MONTH(CE$3)-MONTH($B$11)))*(1+IF(MONTH(CE$3)=1,'Вводные'!$B$67,IF(AND(MONTH(CE$3)&gt;=5,MONTH(CE$3)&lt;=8),'Вводные'!$B$70,0))),0)</x:f>
        <x:v>0</x:v>
      </x:c>
      <x:c r="CF18" s="35" t="n">
        <x:f>IF(AND(CF$3&gt;=$B$11,CF$3&lt;EDATE($B$11,MAX(1,'Вводные'!$K$33)),AND($B$7="Да",IFERROR(INDEX('Вводные'!$B$88:$B$90,$B$8),"Нет")="Да")),(1+INDEX('Вводные'!$AD$88:$AD$90,$B$8)*'Вводные'!$H$7)^MAX(0,(12*(YEAR(CF$3)-YEAR($B$11))+MONTH(CF$3)-MONTH($B$11)))*(1+IF(MONTH(CF$3)=1,'Вводные'!$B$67,IF(AND(MONTH(CF$3)&gt;=5,MONTH(CF$3)&lt;=8),'Вводные'!$B$70,0))),0)</x:f>
        <x:v>0</x:v>
      </x:c>
      <x:c r="CG18" s="35" t="n">
        <x:f>IF(AND(CG$3&gt;=$B$11,CG$3&lt;EDATE($B$11,MAX(1,'Вводные'!$K$33)),AND($B$7="Да",IFERROR(INDEX('Вводные'!$B$88:$B$90,$B$8),"Нет")="Да")),(1+INDEX('Вводные'!$AD$88:$AD$90,$B$8)*'Вводные'!$H$7)^MAX(0,(12*(YEAR(CG$3)-YEAR($B$11))+MONTH(CG$3)-MONTH($B$11)))*(1+IF(MONTH(CG$3)=1,'Вводные'!$B$67,IF(AND(MONTH(CG$3)&gt;=5,MONTH(CG$3)&lt;=8),'Вводные'!$B$70,0))),0)</x:f>
        <x:v>0</x:v>
      </x:c>
      <x:c r="CH18" s="35" t="n">
        <x:f>IF(AND(CH$3&gt;=$B$11,CH$3&lt;EDATE($B$11,MAX(1,'Вводные'!$K$33)),AND($B$7="Да",IFERROR(INDEX('Вводные'!$B$88:$B$90,$B$8),"Нет")="Да")),(1+INDEX('Вводные'!$AD$88:$AD$90,$B$8)*'Вводные'!$H$7)^MAX(0,(12*(YEAR(CH$3)-YEAR($B$11))+MONTH(CH$3)-MONTH($B$11)))*(1+IF(MONTH(CH$3)=1,'Вводные'!$B$67,IF(AND(MONTH(CH$3)&gt;=5,MONTH(CH$3)&lt;=8),'Вводные'!$B$70,0))),0)</x:f>
        <x:v>0</x:v>
      </x:c>
      <x:c r="CI18" s="35" t="n">
        <x:f>IF(AND(CI$3&gt;=$B$11,CI$3&lt;EDATE($B$11,MAX(1,'Вводные'!$K$33)),AND($B$7="Да",IFERROR(INDEX('Вводные'!$B$88:$B$90,$B$8),"Нет")="Да")),(1+INDEX('Вводные'!$AD$88:$AD$90,$B$8)*'Вводные'!$H$7)^MAX(0,(12*(YEAR(CI$3)-YEAR($B$11))+MONTH(CI$3)-MONTH($B$11)))*(1+IF(MONTH(CI$3)=1,'Вводные'!$B$67,IF(AND(MONTH(CI$3)&gt;=5,MONTH(CI$3)&lt;=8),'Вводные'!$B$70,0))),0)</x:f>
        <x:v>0</x:v>
      </x:c>
      <x:c r="CJ18" s="35" t="n">
        <x:f>IF(AND(CJ$3&gt;=$B$11,CJ$3&lt;EDATE($B$11,MAX(1,'Вводные'!$K$33)),AND($B$7="Да",IFERROR(INDEX('Вводные'!$B$88:$B$90,$B$8),"Нет")="Да")),(1+INDEX('Вводные'!$AD$88:$AD$90,$B$8)*'Вводные'!$H$7)^MAX(0,(12*(YEAR(CJ$3)-YEAR($B$11))+MONTH(CJ$3)-MONTH($B$11)))*(1+IF(MONTH(CJ$3)=1,'Вводные'!$B$67,IF(AND(MONTH(CJ$3)&gt;=5,MONTH(CJ$3)&lt;=8),'Вводные'!$B$70,0))),0)</x:f>
        <x:v>0</x:v>
      </x:c>
      <x:c r="CK18" s="35" t="n">
        <x:f>IF(AND(CK$3&gt;=$B$11,CK$3&lt;EDATE($B$11,MAX(1,'Вводные'!$K$33)),AND($B$7="Да",IFERROR(INDEX('Вводные'!$B$88:$B$90,$B$8),"Нет")="Да")),(1+INDEX('Вводные'!$AD$88:$AD$90,$B$8)*'Вводные'!$H$7)^MAX(0,(12*(YEAR(CK$3)-YEAR($B$11))+MONTH(CK$3)-MONTH($B$11)))*(1+IF(MONTH(CK$3)=1,'Вводные'!$B$67,IF(AND(MONTH(CK$3)&gt;=5,MONTH(CK$3)&lt;=8),'Вводные'!$B$70,0))),0)</x:f>
        <x:v>0</x:v>
      </x:c>
      <x:c r="CL18" s="35" t="n">
        <x:f>IF(AND(CL$3&gt;=$B$11,CL$3&lt;EDATE($B$11,MAX(1,'Вводные'!$K$33)),AND($B$7="Да",IFERROR(INDEX('Вводные'!$B$88:$B$90,$B$8),"Нет")="Да")),(1+INDEX('Вводные'!$AD$88:$AD$90,$B$8)*'Вводные'!$H$7)^MAX(0,(12*(YEAR(CL$3)-YEAR($B$11))+MONTH(CL$3)-MONTH($B$11)))*(1+IF(MONTH(CL$3)=1,'Вводные'!$B$67,IF(AND(MONTH(CL$3)&gt;=5,MONTH(CL$3)&lt;=8),'Вводные'!$B$70,0))),0)</x:f>
        <x:v>0</x:v>
      </x:c>
      <x:c r="CM18" s="35" t="n">
        <x:f>IF(AND(CM$3&gt;=$B$11,CM$3&lt;EDATE($B$11,MAX(1,'Вводные'!$K$33)),AND($B$7="Да",IFERROR(INDEX('Вводные'!$B$88:$B$90,$B$8),"Нет")="Да")),(1+INDEX('Вводные'!$AD$88:$AD$90,$B$8)*'Вводные'!$H$7)^MAX(0,(12*(YEAR(CM$3)-YEAR($B$11))+MONTH(CM$3)-MONTH($B$11)))*(1+IF(MONTH(CM$3)=1,'Вводные'!$B$67,IF(AND(MONTH(CM$3)&gt;=5,MONTH(CM$3)&lt;=8),'Вводные'!$B$70,0))),0)</x:f>
        <x:v>0</x:v>
      </x:c>
      <x:c r="CN18" s="35" t="n">
        <x:f>IF(AND(CN$3&gt;=$B$11,CN$3&lt;EDATE($B$11,MAX(1,'Вводные'!$K$33)),AND($B$7="Да",IFERROR(INDEX('Вводные'!$B$88:$B$90,$B$8),"Нет")="Да")),(1+INDEX('Вводные'!$AD$88:$AD$90,$B$8)*'Вводные'!$H$7)^MAX(0,(12*(YEAR(CN$3)-YEAR($B$11))+MONTH(CN$3)-MONTH($B$11)))*(1+IF(MONTH(CN$3)=1,'Вводные'!$B$67,IF(AND(MONTH(CN$3)&gt;=5,MONTH(CN$3)&lt;=8),'Вводные'!$B$70,0))),0)</x:f>
        <x:v>0</x:v>
      </x:c>
      <x:c r="CO18" s="35" t="n">
        <x:f>IF(AND(CO$3&gt;=$B$11,CO$3&lt;EDATE($B$11,MAX(1,'Вводные'!$K$33)),AND($B$7="Да",IFERROR(INDEX('Вводные'!$B$88:$B$90,$B$8),"Нет")="Да")),(1+INDEX('Вводные'!$AD$88:$AD$90,$B$8)*'Вводные'!$H$7)^MAX(0,(12*(YEAR(CO$3)-YEAR($B$11))+MONTH(CO$3)-MONTH($B$11)))*(1+IF(MONTH(CO$3)=1,'Вводные'!$B$67,IF(AND(MONTH(CO$3)&gt;=5,MONTH(CO$3)&lt;=8),'Вводные'!$B$70,0))),0)</x:f>
        <x:v>0</x:v>
      </x:c>
      <x:c r="CP18" s="35" t="n">
        <x:f>IF(AND(CP$3&gt;=$B$11,CP$3&lt;EDATE($B$11,MAX(1,'Вводные'!$K$33)),AND($B$7="Да",IFERROR(INDEX('Вводные'!$B$88:$B$90,$B$8),"Нет")="Да")),(1+INDEX('Вводные'!$AD$88:$AD$90,$B$8)*'Вводные'!$H$7)^MAX(0,(12*(YEAR(CP$3)-YEAR($B$11))+MONTH(CP$3)-MONTH($B$11)))*(1+IF(MONTH(CP$3)=1,'Вводные'!$B$67,IF(AND(MONTH(CP$3)&gt;=5,MONTH(CP$3)&lt;=8),'Вводные'!$B$70,0))),0)</x:f>
        <x:v>0</x:v>
      </x:c>
      <x:c r="CQ18" s="35" t="n">
        <x:f>IF(AND(CQ$3&gt;=$B$11,CQ$3&lt;EDATE($B$11,MAX(1,'Вводные'!$K$33)),AND($B$7="Да",IFERROR(INDEX('Вводные'!$B$88:$B$90,$B$8),"Нет")="Да")),(1+INDEX('Вводные'!$AD$88:$AD$90,$B$8)*'Вводные'!$H$7)^MAX(0,(12*(YEAR(CQ$3)-YEAR($B$11))+MONTH(CQ$3)-MONTH($B$11)))*(1+IF(MONTH(CQ$3)=1,'Вводные'!$B$67,IF(AND(MONTH(CQ$3)&gt;=5,MONTH(CQ$3)&lt;=8),'Вводные'!$B$70,0))),0)</x:f>
        <x:v>0</x:v>
      </x:c>
      <x:c r="CR18" s="35" t="n">
        <x:f>IF(AND(CR$3&gt;=$B$11,CR$3&lt;EDATE($B$11,MAX(1,'Вводные'!$K$33)),AND($B$7="Да",IFERROR(INDEX('Вводные'!$B$88:$B$90,$B$8),"Нет")="Да")),(1+INDEX('Вводные'!$AD$88:$AD$90,$B$8)*'Вводные'!$H$7)^MAX(0,(12*(YEAR(CR$3)-YEAR($B$11))+MONTH(CR$3)-MONTH($B$11)))*(1+IF(MONTH(CR$3)=1,'Вводные'!$B$67,IF(AND(MONTH(CR$3)&gt;=5,MONTH(CR$3)&lt;=8),'Вводные'!$B$70,0))),0)</x:f>
        <x:v>0</x:v>
      </x:c>
      <x:c r="CS18" s="35" t="n">
        <x:f>IF(AND(CS$3&gt;=$B$11,CS$3&lt;EDATE($B$11,MAX(1,'Вводные'!$K$33)),AND($B$7="Да",IFERROR(INDEX('Вводные'!$B$88:$B$90,$B$8),"Нет")="Да")),(1+INDEX('Вводные'!$AD$88:$AD$90,$B$8)*'Вводные'!$H$7)^MAX(0,(12*(YEAR(CS$3)-YEAR($B$11))+MONTH(CS$3)-MONTH($B$11)))*(1+IF(MONTH(CS$3)=1,'Вводные'!$B$67,IF(AND(MONTH(CS$3)&gt;=5,MONTH(CS$3)&lt;=8),'Вводные'!$B$70,0))),0)</x:f>
        <x:v>0</x:v>
      </x:c>
      <x:c r="CT18" s="35" t="n">
        <x:f>IF(AND(CT$3&gt;=$B$11,CT$3&lt;EDATE($B$11,MAX(1,'Вводные'!$K$33)),AND($B$7="Да",IFERROR(INDEX('Вводные'!$B$88:$B$90,$B$8),"Нет")="Да")),(1+INDEX('Вводные'!$AD$88:$AD$90,$B$8)*'Вводные'!$H$7)^MAX(0,(12*(YEAR(CT$3)-YEAR($B$11))+MONTH(CT$3)-MONTH($B$11)))*(1+IF(MONTH(CT$3)=1,'Вводные'!$B$67,IF(AND(MONTH(CT$3)&gt;=5,MONTH(CT$3)&lt;=8),'Вводные'!$B$70,0))),0)</x:f>
        <x:v>0</x:v>
      </x:c>
      <x:c r="CU18" s="35" t="n">
        <x:f>IF(AND(CU$3&gt;=$B$11,CU$3&lt;EDATE($B$11,MAX(1,'Вводные'!$K$33)),AND($B$7="Да",IFERROR(INDEX('Вводные'!$B$88:$B$90,$B$8),"Нет")="Да")),(1+INDEX('Вводные'!$AD$88:$AD$90,$B$8)*'Вводные'!$H$7)^MAX(0,(12*(YEAR(CU$3)-YEAR($B$11))+MONTH(CU$3)-MONTH($B$11)))*(1+IF(MONTH(CU$3)=1,'Вводные'!$B$67,IF(AND(MONTH(CU$3)&gt;=5,MONTH(CU$3)&lt;=8),'Вводные'!$B$70,0))),0)</x:f>
        <x:v>0</x:v>
      </x:c>
      <x:c r="CV18" s="35" t="n">
        <x:f>IF(AND(CV$3&gt;=$B$11,CV$3&lt;EDATE($B$11,MAX(1,'Вводные'!$K$33)),AND($B$7="Да",IFERROR(INDEX('Вводные'!$B$88:$B$90,$B$8),"Нет")="Да")),(1+INDEX('Вводные'!$AD$88:$AD$90,$B$8)*'Вводные'!$H$7)^MAX(0,(12*(YEAR(CV$3)-YEAR($B$11))+MONTH(CV$3)-MONTH($B$11)))*(1+IF(MONTH(CV$3)=1,'Вводные'!$B$67,IF(AND(MONTH(CV$3)&gt;=5,MONTH(CV$3)&lt;=8),'Вводные'!$B$70,0))),0)</x:f>
        <x:v>0</x:v>
      </x:c>
      <x:c r="CW18" s="35" t="n">
        <x:f>IF(AND(CW$3&gt;=$B$11,CW$3&lt;EDATE($B$11,MAX(1,'Вводные'!$K$33)),AND($B$7="Да",IFERROR(INDEX('Вводные'!$B$88:$B$90,$B$8),"Нет")="Да")),(1+INDEX('Вводные'!$AD$88:$AD$90,$B$8)*'Вводные'!$H$7)^MAX(0,(12*(YEAR(CW$3)-YEAR($B$11))+MONTH(CW$3)-MONTH($B$11)))*(1+IF(MONTH(CW$3)=1,'Вводные'!$B$67,IF(AND(MONTH(CW$3)&gt;=5,MONTH(CW$3)&lt;=8),'Вводные'!$B$70,0))),0)</x:f>
        <x:v>0</x:v>
      </x:c>
      <x:c r="CX18" s="35" t="n">
        <x:f>IF(AND(CX$3&gt;=$B$11,CX$3&lt;EDATE($B$11,MAX(1,'Вводные'!$K$33)),AND($B$7="Да",IFERROR(INDEX('Вводные'!$B$88:$B$90,$B$8),"Нет")="Да")),(1+INDEX('Вводные'!$AD$88:$AD$90,$B$8)*'Вводные'!$H$7)^MAX(0,(12*(YEAR(CX$3)-YEAR($B$11))+MONTH(CX$3)-MONTH($B$11)))*(1+IF(MONTH(CX$3)=1,'Вводные'!$B$67,IF(AND(MONTH(CX$3)&gt;=5,MONTH(CX$3)&lt;=8),'Вводные'!$B$70,0))),0)</x:f>
        <x:v>0</x:v>
      </x:c>
      <x:c r="CY18" s="35" t="n">
        <x:f>IF(AND(CY$3&gt;=$B$11,CY$3&lt;EDATE($B$11,MAX(1,'Вводные'!$K$33)),AND($B$7="Да",IFERROR(INDEX('Вводные'!$B$88:$B$90,$B$8),"Нет")="Да")),(1+INDEX('Вводные'!$AD$88:$AD$90,$B$8)*'Вводные'!$H$7)^MAX(0,(12*(YEAR(CY$3)-YEAR($B$11))+MONTH(CY$3)-MONTH($B$11)))*(1+IF(MONTH(CY$3)=1,'Вводные'!$B$67,IF(AND(MONTH(CY$3)&gt;=5,MONTH(CY$3)&lt;=8),'Вводные'!$B$70,0))),0)</x:f>
        <x:v>0</x:v>
      </x:c>
      <x:c r="CZ18" s="35" t="n">
        <x:f>IF(AND(CZ$3&gt;=$B$11,CZ$3&lt;EDATE($B$11,MAX(1,'Вводные'!$K$33)),AND($B$7="Да",IFERROR(INDEX('Вводные'!$B$88:$B$90,$B$8),"Нет")="Да")),(1+INDEX('Вводные'!$AD$88:$AD$90,$B$8)*'Вводные'!$H$7)^MAX(0,(12*(YEAR(CZ$3)-YEAR($B$11))+MONTH(CZ$3)-MONTH($B$11)))*(1+IF(MONTH(CZ$3)=1,'Вводные'!$B$67,IF(AND(MONTH(CZ$3)&gt;=5,MONTH(CZ$3)&lt;=8),'Вводные'!$B$70,0))),0)</x:f>
        <x:v>0</x:v>
      </x:c>
      <x:c r="DA18" s="35" t="n">
        <x:f>IF(AND(DA$3&gt;=$B$11,DA$3&lt;EDATE($B$11,MAX(1,'Вводные'!$K$33)),AND($B$7="Да",IFERROR(INDEX('Вводные'!$B$88:$B$90,$B$8),"Нет")="Да")),(1+INDEX('Вводные'!$AD$88:$AD$90,$B$8)*'Вводные'!$H$7)^MAX(0,(12*(YEAR(DA$3)-YEAR($B$11))+MONTH(DA$3)-MONTH($B$11)))*(1+IF(MONTH(DA$3)=1,'Вводные'!$B$67,IF(AND(MONTH(DA$3)&gt;=5,MONTH(DA$3)&lt;=8),'Вводные'!$B$70,0))),0)</x:f>
        <x:v>0</x:v>
      </x:c>
      <x:c r="DB18" s="35" t="n">
        <x:f>IF(AND(DB$3&gt;=$B$11,DB$3&lt;EDATE($B$11,MAX(1,'Вводные'!$K$33)),AND($B$7="Да",IFERROR(INDEX('Вводные'!$B$88:$B$90,$B$8),"Нет")="Да")),(1+INDEX('Вводные'!$AD$88:$AD$90,$B$8)*'Вводные'!$H$7)^MAX(0,(12*(YEAR(DB$3)-YEAR($B$11))+MONTH(DB$3)-MONTH($B$11)))*(1+IF(MONTH(DB$3)=1,'Вводные'!$B$67,IF(AND(MONTH(DB$3)&gt;=5,MONTH(DB$3)&lt;=8),'Вводные'!$B$70,0))),0)</x:f>
        <x:v>0</x:v>
      </x:c>
      <x:c r="DC18" s="35" t="n">
        <x:f>IF(AND(DC$3&gt;=$B$11,DC$3&lt;EDATE($B$11,MAX(1,'Вводные'!$K$33)),AND($B$7="Да",IFERROR(INDEX('Вводные'!$B$88:$B$90,$B$8),"Нет")="Да")),(1+INDEX('Вводные'!$AD$88:$AD$90,$B$8)*'Вводные'!$H$7)^MAX(0,(12*(YEAR(DC$3)-YEAR($B$11))+MONTH(DC$3)-MONTH($B$11)))*(1+IF(MONTH(DC$3)=1,'Вводные'!$B$67,IF(AND(MONTH(DC$3)&gt;=5,MONTH(DC$3)&lt;=8),'Вводные'!$B$70,0))),0)</x:f>
        <x:v>0</x:v>
      </x:c>
      <x:c r="DD18" s="35" t="n">
        <x:f>IF(AND(DD$3&gt;=$B$11,DD$3&lt;EDATE($B$11,MAX(1,'Вводные'!$K$33)),AND($B$7="Да",IFERROR(INDEX('Вводные'!$B$88:$B$90,$B$8),"Нет")="Да")),(1+INDEX('Вводные'!$AD$88:$AD$90,$B$8)*'Вводные'!$H$7)^MAX(0,(12*(YEAR(DD$3)-YEAR($B$11))+MONTH(DD$3)-MONTH($B$11)))*(1+IF(MONTH(DD$3)=1,'Вводные'!$B$67,IF(AND(MONTH(DD$3)&gt;=5,MONTH(DD$3)&lt;=8),'Вводные'!$B$70,0))),0)</x:f>
        <x:v>0</x:v>
      </x:c>
      <x:c r="DE18" s="35" t="n">
        <x:f>IF(AND(DE$3&gt;=$B$11,DE$3&lt;EDATE($B$11,MAX(1,'Вводные'!$K$33)),AND($B$7="Да",IFERROR(INDEX('Вводные'!$B$88:$B$90,$B$8),"Нет")="Да")),(1+INDEX('Вводные'!$AD$88:$AD$90,$B$8)*'Вводные'!$H$7)^MAX(0,(12*(YEAR(DE$3)-YEAR($B$11))+MONTH(DE$3)-MONTH($B$11)))*(1+IF(MONTH(DE$3)=1,'Вводные'!$B$67,IF(AND(MONTH(DE$3)&gt;=5,MONTH(DE$3)&lt;=8),'Вводные'!$B$70,0))),0)</x:f>
        <x:v>0</x:v>
      </x:c>
      <x:c r="DF18" s="35" t="n">
        <x:f>IF(AND(DF$3&gt;=$B$11,DF$3&lt;EDATE($B$11,MAX(1,'Вводные'!$K$33)),AND($B$7="Да",IFERROR(INDEX('Вводные'!$B$88:$B$90,$B$8),"Нет")="Да")),(1+INDEX('Вводные'!$AD$88:$AD$90,$B$8)*'Вводные'!$H$7)^MAX(0,(12*(YEAR(DF$3)-YEAR($B$11))+MONTH(DF$3)-MONTH($B$11)))*(1+IF(MONTH(DF$3)=1,'Вводные'!$B$67,IF(AND(MONTH(DF$3)&gt;=5,MONTH(DF$3)&lt;=8),'Вводные'!$B$70,0))),0)</x:f>
        <x:v>0</x:v>
      </x:c>
      <x:c r="DG18" s="35" t="n">
        <x:f>IF(AND(DG$3&gt;=$B$11,DG$3&lt;EDATE($B$11,MAX(1,'Вводные'!$K$33)),AND($B$7="Да",IFERROR(INDEX('Вводные'!$B$88:$B$90,$B$8),"Нет")="Да")),(1+INDEX('Вводные'!$AD$88:$AD$90,$B$8)*'Вводные'!$H$7)^MAX(0,(12*(YEAR(DG$3)-YEAR($B$11))+MONTH(DG$3)-MONTH($B$11)))*(1+IF(MONTH(DG$3)=1,'Вводные'!$B$67,IF(AND(MONTH(DG$3)&gt;=5,MONTH(DG$3)&lt;=8),'Вводные'!$B$70,0))),0)</x:f>
        <x:v>0</x:v>
      </x:c>
      <x:c r="DH18" s="35" t="n">
        <x:f>IF(AND(DH$3&gt;=$B$11,DH$3&lt;EDATE($B$11,MAX(1,'Вводные'!$K$33)),AND($B$7="Да",IFERROR(INDEX('Вводные'!$B$88:$B$90,$B$8),"Нет")="Да")),(1+INDEX('Вводные'!$AD$88:$AD$90,$B$8)*'Вводные'!$H$7)^MAX(0,(12*(YEAR(DH$3)-YEAR($B$11))+MONTH(DH$3)-MONTH($B$11)))*(1+IF(MONTH(DH$3)=1,'Вводные'!$B$67,IF(AND(MONTH(DH$3)&gt;=5,MONTH(DH$3)&lt;=8),'Вводные'!$B$70,0))),0)</x:f>
        <x:v>0</x:v>
      </x:c>
      <x:c r="DI18" s="35" t="n">
        <x:f>IF(AND(DI$3&gt;=$B$11,DI$3&lt;EDATE($B$11,MAX(1,'Вводные'!$K$33)),AND($B$7="Да",IFERROR(INDEX('Вводные'!$B$88:$B$90,$B$8),"Нет")="Да")),(1+INDEX('Вводные'!$AD$88:$AD$90,$B$8)*'Вводные'!$H$7)^MAX(0,(12*(YEAR(DI$3)-YEAR($B$11))+MONTH(DI$3)-MONTH($B$11)))*(1+IF(MONTH(DI$3)=1,'Вводные'!$B$67,IF(AND(MONTH(DI$3)&gt;=5,MONTH(DI$3)&lt;=8),'Вводные'!$B$70,0))),0)</x:f>
        <x:v>0</x:v>
      </x:c>
      <x:c r="DJ18" s="35" t="n">
        <x:f>IF(AND(DJ$3&gt;=$B$11,DJ$3&lt;EDATE($B$11,MAX(1,'Вводные'!$K$33)),AND($B$7="Да",IFERROR(INDEX('Вводные'!$B$88:$B$90,$B$8),"Нет")="Да")),(1+INDEX('Вводные'!$AD$88:$AD$90,$B$8)*'Вводные'!$H$7)^MAX(0,(12*(YEAR(DJ$3)-YEAR($B$11))+MONTH(DJ$3)-MONTH($B$11)))*(1+IF(MONTH(DJ$3)=1,'Вводные'!$B$67,IF(AND(MONTH(DJ$3)&gt;=5,MONTH(DJ$3)&lt;=8),'Вводные'!$B$70,0))),0)</x:f>
        <x:v>0</x:v>
      </x:c>
      <x:c r="DK18" s="35" t="n">
        <x:f>IF(AND(DK$3&gt;=$B$11,DK$3&lt;EDATE($B$11,MAX(1,'Вводные'!$K$33)),AND($B$7="Да",IFERROR(INDEX('Вводные'!$B$88:$B$90,$B$8),"Нет")="Да")),(1+INDEX('Вводные'!$AD$88:$AD$90,$B$8)*'Вводные'!$H$7)^MAX(0,(12*(YEAR(DK$3)-YEAR($B$11))+MONTH(DK$3)-MONTH($B$11)))*(1+IF(MONTH(DK$3)=1,'Вводные'!$B$67,IF(AND(MONTH(DK$3)&gt;=5,MONTH(DK$3)&lt;=8),'Вводные'!$B$70,0))),0)</x:f>
        <x:v>0</x:v>
      </x:c>
      <x:c r="DL18" s="35" t="n">
        <x:f>IF(AND(DL$3&gt;=$B$11,DL$3&lt;EDATE($B$11,MAX(1,'Вводные'!$K$33)),AND($B$7="Да",IFERROR(INDEX('Вводные'!$B$88:$B$90,$B$8),"Нет")="Да")),(1+INDEX('Вводные'!$AD$88:$AD$90,$B$8)*'Вводные'!$H$7)^MAX(0,(12*(YEAR(DL$3)-YEAR($B$11))+MONTH(DL$3)-MONTH($B$11)))*(1+IF(MONTH(DL$3)=1,'Вводные'!$B$67,IF(AND(MONTH(DL$3)&gt;=5,MONTH(DL$3)&lt;=8),'Вводные'!$B$70,0))),0)</x:f>
        <x:v>0</x:v>
      </x:c>
      <x:c r="DM18" s="35" t="n">
        <x:f>IF(AND(DM$3&gt;=$B$11,DM$3&lt;EDATE($B$11,MAX(1,'Вводные'!$K$33)),AND($B$7="Да",IFERROR(INDEX('Вводные'!$B$88:$B$90,$B$8),"Нет")="Да")),(1+INDEX('Вводные'!$AD$88:$AD$90,$B$8)*'Вводные'!$H$7)^MAX(0,(12*(YEAR(DM$3)-YEAR($B$11))+MONTH(DM$3)-MONTH($B$11)))*(1+IF(MONTH(DM$3)=1,'Вводные'!$B$67,IF(AND(MONTH(DM$3)&gt;=5,MONTH(DM$3)&lt;=8),'Вводные'!$B$70,0))),0)</x:f>
        <x:v>0</x:v>
      </x:c>
      <x:c r="DN18" s="35" t="n">
        <x:f>IF(AND(DN$3&gt;=$B$11,DN$3&lt;EDATE($B$11,MAX(1,'Вводные'!$K$33)),AND($B$7="Да",IFERROR(INDEX('Вводные'!$B$88:$B$90,$B$8),"Нет")="Да")),(1+INDEX('Вводные'!$AD$88:$AD$90,$B$8)*'Вводные'!$H$7)^MAX(0,(12*(YEAR(DN$3)-YEAR($B$11))+MONTH(DN$3)-MONTH($B$11)))*(1+IF(MONTH(DN$3)=1,'Вводные'!$B$67,IF(AND(MONTH(DN$3)&gt;=5,MONTH(DN$3)&lt;=8),'Вводные'!$B$70,0))),0)</x:f>
        <x:v>0</x:v>
      </x:c>
      <x:c r="DO18" s="35" t="n">
        <x:f>IF(AND(DO$3&gt;=$B$11,DO$3&lt;EDATE($B$11,MAX(1,'Вводные'!$K$33)),AND($B$7="Да",IFERROR(INDEX('Вводные'!$B$88:$B$90,$B$8),"Нет")="Да")),(1+INDEX('Вводные'!$AD$88:$AD$90,$B$8)*'Вводные'!$H$7)^MAX(0,(12*(YEAR(DO$3)-YEAR($B$11))+MONTH(DO$3)-MONTH($B$11)))*(1+IF(MONTH(DO$3)=1,'Вводные'!$B$67,IF(AND(MONTH(DO$3)&gt;=5,MONTH(DO$3)&lt;=8),'Вводные'!$B$70,0))),0)</x:f>
        <x:v>0</x:v>
      </x:c>
      <x:c r="DP18" s="35" t="n">
        <x:f>IF(AND(DP$3&gt;=$B$11,DP$3&lt;EDATE($B$11,MAX(1,'Вводные'!$K$33)),AND($B$7="Да",IFERROR(INDEX('Вводные'!$B$88:$B$90,$B$8),"Нет")="Да")),(1+INDEX('Вводные'!$AD$88:$AD$90,$B$8)*'Вводные'!$H$7)^MAX(0,(12*(YEAR(DP$3)-YEAR($B$11))+MONTH(DP$3)-MONTH($B$11)))*(1+IF(MONTH(DP$3)=1,'Вводные'!$B$67,IF(AND(MONTH(DP$3)&gt;=5,MONTH(DP$3)&lt;=8),'Вводные'!$B$70,0))),0)</x:f>
        <x:v>0</x:v>
      </x:c>
      <x:c r="DQ18" s="35" t="n">
        <x:f>IF(AND(DQ$3&gt;=$B$11,DQ$3&lt;EDATE($B$11,MAX(1,'Вводные'!$K$33)),AND($B$7="Да",IFERROR(INDEX('Вводные'!$B$88:$B$90,$B$8),"Нет")="Да")),(1+INDEX('Вводные'!$AD$88:$AD$90,$B$8)*'Вводные'!$H$7)^MAX(0,(12*(YEAR(DQ$3)-YEAR($B$11))+MONTH(DQ$3)-MONTH($B$11)))*(1+IF(MONTH(DQ$3)=1,'Вводные'!$B$67,IF(AND(MONTH(DQ$3)&gt;=5,MONTH(DQ$3)&lt;=8),'Вводные'!$B$70,0))),0)</x:f>
        <x:v>0</x:v>
      </x:c>
      <x:c r="DR18" s="35" t="n">
        <x:f>IF(AND(DR$3&gt;=$B$11,DR$3&lt;EDATE($B$11,MAX(1,'Вводные'!$K$33)),AND($B$7="Да",IFERROR(INDEX('Вводные'!$B$88:$B$90,$B$8),"Нет")="Да")),(1+INDEX('Вводные'!$AD$88:$AD$90,$B$8)*'Вводные'!$H$7)^MAX(0,(12*(YEAR(DR$3)-YEAR($B$11))+MONTH(DR$3)-MONTH($B$11)))*(1+IF(MONTH(DR$3)=1,'Вводные'!$B$67,IF(AND(MONTH(DR$3)&gt;=5,MONTH(DR$3)&lt;=8),'Вводные'!$B$70,0))),0)</x:f>
        <x:v>0</x:v>
      </x:c>
      <x:c r="DS18" s="35" t="n">
        <x:f>IF(AND(DS$3&gt;=$B$11,DS$3&lt;EDATE($B$11,MAX(1,'Вводные'!$K$33)),AND($B$7="Да",IFERROR(INDEX('Вводные'!$B$88:$B$90,$B$8),"Нет")="Да")),(1+INDEX('Вводные'!$AD$88:$AD$90,$B$8)*'Вводные'!$H$7)^MAX(0,(12*(YEAR(DS$3)-YEAR($B$11))+MONTH(DS$3)-MONTH($B$11)))*(1+IF(MONTH(DS$3)=1,'Вводные'!$B$67,IF(AND(MONTH(DS$3)&gt;=5,MONTH(DS$3)&lt;=8),'Вводные'!$B$70,0))),0)</x:f>
        <x:v>0</x:v>
      </x:c>
    </x:row>
    <x:row r="19">
      <x:c r="A19" t="str">
        <x:v>Нормированный вес до РВЭ</x:v>
      </x:c>
      <x:c r="B19" s="35" t="n">
        <x:f>SUM(D19:DS19)</x:f>
        <x:v>0</x:v>
      </x:c>
      <x:c r="C19" t="str">
        <x:v>%</x:v>
      </x:c>
      <x:c r="D19" s="35" t="n">
        <x:f>IFERROR(D18*D17/SUMPRODUCT($D18:$DS18,$D17:$DS17),0)</x:f>
        <x:v>0</x:v>
      </x:c>
      <x:c r="E19" s="35" t="n">
        <x:f>IFERROR(E18*E17/SUMPRODUCT($D18:$DS18,$D17:$DS17),0)</x:f>
        <x:v>0</x:v>
      </x:c>
      <x:c r="F19" s="35" t="n">
        <x:f>IFERROR(F18*F17/SUMPRODUCT($D18:$DS18,$D17:$DS17),0)</x:f>
        <x:v>0</x:v>
      </x:c>
      <x:c r="G19" s="35" t="n">
        <x:f>IFERROR(G18*G17/SUMPRODUCT($D18:$DS18,$D17:$DS17),0)</x:f>
        <x:v>0</x:v>
      </x:c>
      <x:c r="H19" s="35" t="n">
        <x:f>IFERROR(H18*H17/SUMPRODUCT($D18:$DS18,$D17:$DS17),0)</x:f>
        <x:v>0</x:v>
      </x:c>
      <x:c r="I19" s="35" t="n">
        <x:f>IFERROR(I18*I17/SUMPRODUCT($D18:$DS18,$D17:$DS17),0)</x:f>
        <x:v>0</x:v>
      </x:c>
      <x:c r="J19" s="35" t="n">
        <x:f>IFERROR(J18*J17/SUMPRODUCT($D18:$DS18,$D17:$DS17),0)</x:f>
        <x:v>0</x:v>
      </x:c>
      <x:c r="K19" s="35" t="n">
        <x:f>IFERROR(K18*K17/SUMPRODUCT($D18:$DS18,$D17:$DS17),0)</x:f>
        <x:v>0</x:v>
      </x:c>
      <x:c r="L19" s="35" t="n">
        <x:f>IFERROR(L18*L17/SUMPRODUCT($D18:$DS18,$D17:$DS17),0)</x:f>
        <x:v>0</x:v>
      </x:c>
      <x:c r="M19" s="35" t="n">
        <x:f>IFERROR(M18*M17/SUMPRODUCT($D18:$DS18,$D17:$DS17),0)</x:f>
        <x:v>0</x:v>
      </x:c>
      <x:c r="N19" s="35" t="n">
        <x:f>IFERROR(N18*N17/SUMPRODUCT($D18:$DS18,$D17:$DS17),0)</x:f>
        <x:v>0</x:v>
      </x:c>
      <x:c r="O19" s="35" t="n">
        <x:f>IFERROR(O18*O17/SUMPRODUCT($D18:$DS18,$D17:$DS17),0)</x:f>
        <x:v>0</x:v>
      </x:c>
      <x:c r="P19" s="35" t="n">
        <x:f>IFERROR(P18*P17/SUMPRODUCT($D18:$DS18,$D17:$DS17),0)</x:f>
        <x:v>0</x:v>
      </x:c>
      <x:c r="Q19" s="35" t="n">
        <x:f>IFERROR(Q18*Q17/SUMPRODUCT($D18:$DS18,$D17:$DS17),0)</x:f>
        <x:v>0</x:v>
      </x:c>
      <x:c r="R19" s="35" t="n">
        <x:f>IFERROR(R18*R17/SUMPRODUCT($D18:$DS18,$D17:$DS17),0)</x:f>
        <x:v>0</x:v>
      </x:c>
      <x:c r="S19" s="35" t="n">
        <x:f>IFERROR(S18*S17/SUMPRODUCT($D18:$DS18,$D17:$DS17),0)</x:f>
        <x:v>0</x:v>
      </x:c>
      <x:c r="T19" s="35" t="n">
        <x:f>IFERROR(T18*T17/SUMPRODUCT($D18:$DS18,$D17:$DS17),0)</x:f>
        <x:v>0</x:v>
      </x:c>
      <x:c r="U19" s="35" t="n">
        <x:f>IFERROR(U18*U17/SUMPRODUCT($D18:$DS18,$D17:$DS17),0)</x:f>
        <x:v>0</x:v>
      </x:c>
      <x:c r="V19" s="35" t="n">
        <x:f>IFERROR(V18*V17/SUMPRODUCT($D18:$DS18,$D17:$DS17),0)</x:f>
        <x:v>0</x:v>
      </x:c>
      <x:c r="W19" s="35" t="n">
        <x:f>IFERROR(W18*W17/SUMPRODUCT($D18:$DS18,$D17:$DS17),0)</x:f>
        <x:v>0</x:v>
      </x:c>
      <x:c r="X19" s="35" t="n">
        <x:f>IFERROR(X18*X17/SUMPRODUCT($D18:$DS18,$D17:$DS17),0)</x:f>
        <x:v>0</x:v>
      </x:c>
      <x:c r="Y19" s="35" t="n">
        <x:f>IFERROR(Y18*Y17/SUMPRODUCT($D18:$DS18,$D17:$DS17),0)</x:f>
        <x:v>0</x:v>
      </x:c>
      <x:c r="Z19" s="35" t="n">
        <x:f>IFERROR(Z18*Z17/SUMPRODUCT($D18:$DS18,$D17:$DS17),0)</x:f>
        <x:v>0</x:v>
      </x:c>
      <x:c r="AA19" s="35" t="n">
        <x:f>IFERROR(AA18*AA17/SUMPRODUCT($D18:$DS18,$D17:$DS17),0)</x:f>
        <x:v>0</x:v>
      </x:c>
      <x:c r="AB19" s="35" t="n">
        <x:f>IFERROR(AB18*AB17/SUMPRODUCT($D18:$DS18,$D17:$DS17),0)</x:f>
        <x:v>0</x:v>
      </x:c>
      <x:c r="AC19" s="35" t="n">
        <x:f>IFERROR(AC18*AC17/SUMPRODUCT($D18:$DS18,$D17:$DS17),0)</x:f>
        <x:v>0</x:v>
      </x:c>
      <x:c r="AD19" s="35" t="n">
        <x:f>IFERROR(AD18*AD17/SUMPRODUCT($D18:$DS18,$D17:$DS17),0)</x:f>
        <x:v>0</x:v>
      </x:c>
      <x:c r="AE19" s="35" t="n">
        <x:f>IFERROR(AE18*AE17/SUMPRODUCT($D18:$DS18,$D17:$DS17),0)</x:f>
        <x:v>0</x:v>
      </x:c>
      <x:c r="AF19" s="35" t="n">
        <x:f>IFERROR(AF18*AF17/SUMPRODUCT($D18:$DS18,$D17:$DS17),0)</x:f>
        <x:v>0</x:v>
      </x:c>
      <x:c r="AG19" s="35" t="n">
        <x:f>IFERROR(AG18*AG17/SUMPRODUCT($D18:$DS18,$D17:$DS17),0)</x:f>
        <x:v>0</x:v>
      </x:c>
      <x:c r="AH19" s="35" t="n">
        <x:f>IFERROR(AH18*AH17/SUMPRODUCT($D18:$DS18,$D17:$DS17),0)</x:f>
        <x:v>0</x:v>
      </x:c>
      <x:c r="AI19" s="35" t="n">
        <x:f>IFERROR(AI18*AI17/SUMPRODUCT($D18:$DS18,$D17:$DS17),0)</x:f>
        <x:v>0</x:v>
      </x:c>
      <x:c r="AJ19" s="35" t="n">
        <x:f>IFERROR(AJ18*AJ17/SUMPRODUCT($D18:$DS18,$D17:$DS17),0)</x:f>
        <x:v>0</x:v>
      </x:c>
      <x:c r="AK19" s="35" t="n">
        <x:f>IFERROR(AK18*AK17/SUMPRODUCT($D18:$DS18,$D17:$DS17),0)</x:f>
        <x:v>0</x:v>
      </x:c>
      <x:c r="AL19" s="35" t="n">
        <x:f>IFERROR(AL18*AL17/SUMPRODUCT($D18:$DS18,$D17:$DS17),0)</x:f>
        <x:v>0</x:v>
      </x:c>
      <x:c r="AM19" s="35" t="n">
        <x:f>IFERROR(AM18*AM17/SUMPRODUCT($D18:$DS18,$D17:$DS17),0)</x:f>
        <x:v>0</x:v>
      </x:c>
      <x:c r="AN19" s="35" t="n">
        <x:f>IFERROR(AN18*AN17/SUMPRODUCT($D18:$DS18,$D17:$DS17),0)</x:f>
        <x:v>0</x:v>
      </x:c>
      <x:c r="AO19" s="35" t="n">
        <x:f>IFERROR(AO18*AO17/SUMPRODUCT($D18:$DS18,$D17:$DS17),0)</x:f>
        <x:v>0</x:v>
      </x:c>
      <x:c r="AP19" s="35" t="n">
        <x:f>IFERROR(AP18*AP17/SUMPRODUCT($D18:$DS18,$D17:$DS17),0)</x:f>
        <x:v>0</x:v>
      </x:c>
      <x:c r="AQ19" s="35" t="n">
        <x:f>IFERROR(AQ18*AQ17/SUMPRODUCT($D18:$DS18,$D17:$DS17),0)</x:f>
        <x:v>0</x:v>
      </x:c>
      <x:c r="AR19" s="35" t="n">
        <x:f>IFERROR(AR18*AR17/SUMPRODUCT($D18:$DS18,$D17:$DS17),0)</x:f>
        <x:v>0</x:v>
      </x:c>
      <x:c r="AS19" s="35" t="n">
        <x:f>IFERROR(AS18*AS17/SUMPRODUCT($D18:$DS18,$D17:$DS17),0)</x:f>
        <x:v>0</x:v>
      </x:c>
      <x:c r="AT19" s="35" t="n">
        <x:f>IFERROR(AT18*AT17/SUMPRODUCT($D18:$DS18,$D17:$DS17),0)</x:f>
        <x:v>0</x:v>
      </x:c>
      <x:c r="AU19" s="35" t="n">
        <x:f>IFERROR(AU18*AU17/SUMPRODUCT($D18:$DS18,$D17:$DS17),0)</x:f>
        <x:v>0</x:v>
      </x:c>
      <x:c r="AV19" s="35" t="n">
        <x:f>IFERROR(AV18*AV17/SUMPRODUCT($D18:$DS18,$D17:$DS17),0)</x:f>
        <x:v>0</x:v>
      </x:c>
      <x:c r="AW19" s="35" t="n">
        <x:f>IFERROR(AW18*AW17/SUMPRODUCT($D18:$DS18,$D17:$DS17),0)</x:f>
        <x:v>0</x:v>
      </x:c>
      <x:c r="AX19" s="35" t="n">
        <x:f>IFERROR(AX18*AX17/SUMPRODUCT($D18:$DS18,$D17:$DS17),0)</x:f>
        <x:v>0</x:v>
      </x:c>
      <x:c r="AY19" s="35" t="n">
        <x:f>IFERROR(AY18*AY17/SUMPRODUCT($D18:$DS18,$D17:$DS17),0)</x:f>
        <x:v>0</x:v>
      </x:c>
      <x:c r="AZ19" s="35" t="n">
        <x:f>IFERROR(AZ18*AZ17/SUMPRODUCT($D18:$DS18,$D17:$DS17),0)</x:f>
        <x:v>0</x:v>
      </x:c>
      <x:c r="BA19" s="35" t="n">
        <x:f>IFERROR(BA18*BA17/SUMPRODUCT($D18:$DS18,$D17:$DS17),0)</x:f>
        <x:v>0</x:v>
      </x:c>
      <x:c r="BB19" s="35" t="n">
        <x:f>IFERROR(BB18*BB17/SUMPRODUCT($D18:$DS18,$D17:$DS17),0)</x:f>
        <x:v>0</x:v>
      </x:c>
      <x:c r="BC19" s="35" t="n">
        <x:f>IFERROR(BC18*BC17/SUMPRODUCT($D18:$DS18,$D17:$DS17),0)</x:f>
        <x:v>0</x:v>
      </x:c>
      <x:c r="BD19" s="35" t="n">
        <x:f>IFERROR(BD18*BD17/SUMPRODUCT($D18:$DS18,$D17:$DS17),0)</x:f>
        <x:v>0</x:v>
      </x:c>
      <x:c r="BE19" s="35" t="n">
        <x:f>IFERROR(BE18*BE17/SUMPRODUCT($D18:$DS18,$D17:$DS17),0)</x:f>
        <x:v>0</x:v>
      </x:c>
      <x:c r="BF19" s="35" t="n">
        <x:f>IFERROR(BF18*BF17/SUMPRODUCT($D18:$DS18,$D17:$DS17),0)</x:f>
        <x:v>0</x:v>
      </x:c>
      <x:c r="BG19" s="35" t="n">
        <x:f>IFERROR(BG18*BG17/SUMPRODUCT($D18:$DS18,$D17:$DS17),0)</x:f>
        <x:v>0</x:v>
      </x:c>
      <x:c r="BH19" s="35" t="n">
        <x:f>IFERROR(BH18*BH17/SUMPRODUCT($D18:$DS18,$D17:$DS17),0)</x:f>
        <x:v>0</x:v>
      </x:c>
      <x:c r="BI19" s="35" t="n">
        <x:f>IFERROR(BI18*BI17/SUMPRODUCT($D18:$DS18,$D17:$DS17),0)</x:f>
        <x:v>0</x:v>
      </x:c>
      <x:c r="BJ19" s="35" t="n">
        <x:f>IFERROR(BJ18*BJ17/SUMPRODUCT($D18:$DS18,$D17:$DS17),0)</x:f>
        <x:v>0</x:v>
      </x:c>
      <x:c r="BK19" s="35" t="n">
        <x:f>IFERROR(BK18*BK17/SUMPRODUCT($D18:$DS18,$D17:$DS17),0)</x:f>
        <x:v>0</x:v>
      </x:c>
      <x:c r="BL19" s="35" t="n">
        <x:f>IFERROR(BL18*BL17/SUMPRODUCT($D18:$DS18,$D17:$DS17),0)</x:f>
        <x:v>0</x:v>
      </x:c>
      <x:c r="BM19" s="35" t="n">
        <x:f>IFERROR(BM18*BM17/SUMPRODUCT($D18:$DS18,$D17:$DS17),0)</x:f>
        <x:v>0</x:v>
      </x:c>
      <x:c r="BN19" s="35" t="n">
        <x:f>IFERROR(BN18*BN17/SUMPRODUCT($D18:$DS18,$D17:$DS17),0)</x:f>
        <x:v>0</x:v>
      </x:c>
      <x:c r="BO19" s="35" t="n">
        <x:f>IFERROR(BO18*BO17/SUMPRODUCT($D18:$DS18,$D17:$DS17),0)</x:f>
        <x:v>0</x:v>
      </x:c>
      <x:c r="BP19" s="35" t="n">
        <x:f>IFERROR(BP18*BP17/SUMPRODUCT($D18:$DS18,$D17:$DS17),0)</x:f>
        <x:v>0</x:v>
      </x:c>
      <x:c r="BQ19" s="35" t="n">
        <x:f>IFERROR(BQ18*BQ17/SUMPRODUCT($D18:$DS18,$D17:$DS17),0)</x:f>
        <x:v>0</x:v>
      </x:c>
      <x:c r="BR19" s="35" t="n">
        <x:f>IFERROR(BR18*BR17/SUMPRODUCT($D18:$DS18,$D17:$DS17),0)</x:f>
        <x:v>0</x:v>
      </x:c>
      <x:c r="BS19" s="35" t="n">
        <x:f>IFERROR(BS18*BS17/SUMPRODUCT($D18:$DS18,$D17:$DS17),0)</x:f>
        <x:v>0</x:v>
      </x:c>
      <x:c r="BT19" s="35" t="n">
        <x:f>IFERROR(BT18*BT17/SUMPRODUCT($D18:$DS18,$D17:$DS17),0)</x:f>
        <x:v>0</x:v>
      </x:c>
      <x:c r="BU19" s="35" t="n">
        <x:f>IFERROR(BU18*BU17/SUMPRODUCT($D18:$DS18,$D17:$DS17),0)</x:f>
        <x:v>0</x:v>
      </x:c>
      <x:c r="BV19" s="35" t="n">
        <x:f>IFERROR(BV18*BV17/SUMPRODUCT($D18:$DS18,$D17:$DS17),0)</x:f>
        <x:v>0</x:v>
      </x:c>
      <x:c r="BW19" s="35" t="n">
        <x:f>IFERROR(BW18*BW17/SUMPRODUCT($D18:$DS18,$D17:$DS17),0)</x:f>
        <x:v>0</x:v>
      </x:c>
      <x:c r="BX19" s="35" t="n">
        <x:f>IFERROR(BX18*BX17/SUMPRODUCT($D18:$DS18,$D17:$DS17),0)</x:f>
        <x:v>0</x:v>
      </x:c>
      <x:c r="BY19" s="35" t="n">
        <x:f>IFERROR(BY18*BY17/SUMPRODUCT($D18:$DS18,$D17:$DS17),0)</x:f>
        <x:v>0</x:v>
      </x:c>
      <x:c r="BZ19" s="35" t="n">
        <x:f>IFERROR(BZ18*BZ17/SUMPRODUCT($D18:$DS18,$D17:$DS17),0)</x:f>
        <x:v>0</x:v>
      </x:c>
      <x:c r="CA19" s="35" t="n">
        <x:f>IFERROR(CA18*CA17/SUMPRODUCT($D18:$DS18,$D17:$DS17),0)</x:f>
        <x:v>0</x:v>
      </x:c>
      <x:c r="CB19" s="35" t="n">
        <x:f>IFERROR(CB18*CB17/SUMPRODUCT($D18:$DS18,$D17:$DS17),0)</x:f>
        <x:v>0</x:v>
      </x:c>
      <x:c r="CC19" s="35" t="n">
        <x:f>IFERROR(CC18*CC17/SUMPRODUCT($D18:$DS18,$D17:$DS17),0)</x:f>
        <x:v>0</x:v>
      </x:c>
      <x:c r="CD19" s="35" t="n">
        <x:f>IFERROR(CD18*CD17/SUMPRODUCT($D18:$DS18,$D17:$DS17),0)</x:f>
        <x:v>0</x:v>
      </x:c>
      <x:c r="CE19" s="35" t="n">
        <x:f>IFERROR(CE18*CE17/SUMPRODUCT($D18:$DS18,$D17:$DS17),0)</x:f>
        <x:v>0</x:v>
      </x:c>
      <x:c r="CF19" s="35" t="n">
        <x:f>IFERROR(CF18*CF17/SUMPRODUCT($D18:$DS18,$D17:$DS17),0)</x:f>
        <x:v>0</x:v>
      </x:c>
      <x:c r="CG19" s="35" t="n">
        <x:f>IFERROR(CG18*CG17/SUMPRODUCT($D18:$DS18,$D17:$DS17),0)</x:f>
        <x:v>0</x:v>
      </x:c>
      <x:c r="CH19" s="35" t="n">
        <x:f>IFERROR(CH18*CH17/SUMPRODUCT($D18:$DS18,$D17:$DS17),0)</x:f>
        <x:v>0</x:v>
      </x:c>
      <x:c r="CI19" s="35" t="n">
        <x:f>IFERROR(CI18*CI17/SUMPRODUCT($D18:$DS18,$D17:$DS17),0)</x:f>
        <x:v>0</x:v>
      </x:c>
      <x:c r="CJ19" s="35" t="n">
        <x:f>IFERROR(CJ18*CJ17/SUMPRODUCT($D18:$DS18,$D17:$DS17),0)</x:f>
        <x:v>0</x:v>
      </x:c>
      <x:c r="CK19" s="35" t="n">
        <x:f>IFERROR(CK18*CK17/SUMPRODUCT($D18:$DS18,$D17:$DS17),0)</x:f>
        <x:v>0</x:v>
      </x:c>
      <x:c r="CL19" s="35" t="n">
        <x:f>IFERROR(CL18*CL17/SUMPRODUCT($D18:$DS18,$D17:$DS17),0)</x:f>
        <x:v>0</x:v>
      </x:c>
      <x:c r="CM19" s="35" t="n">
        <x:f>IFERROR(CM18*CM17/SUMPRODUCT($D18:$DS18,$D17:$DS17),0)</x:f>
        <x:v>0</x:v>
      </x:c>
      <x:c r="CN19" s="35" t="n">
        <x:f>IFERROR(CN18*CN17/SUMPRODUCT($D18:$DS18,$D17:$DS17),0)</x:f>
        <x:v>0</x:v>
      </x:c>
      <x:c r="CO19" s="35" t="n">
        <x:f>IFERROR(CO18*CO17/SUMPRODUCT($D18:$DS18,$D17:$DS17),0)</x:f>
        <x:v>0</x:v>
      </x:c>
      <x:c r="CP19" s="35" t="n">
        <x:f>IFERROR(CP18*CP17/SUMPRODUCT($D18:$DS18,$D17:$DS17),0)</x:f>
        <x:v>0</x:v>
      </x:c>
      <x:c r="CQ19" s="35" t="n">
        <x:f>IFERROR(CQ18*CQ17/SUMPRODUCT($D18:$DS18,$D17:$DS17),0)</x:f>
        <x:v>0</x:v>
      </x:c>
      <x:c r="CR19" s="35" t="n">
        <x:f>IFERROR(CR18*CR17/SUMPRODUCT($D18:$DS18,$D17:$DS17),0)</x:f>
        <x:v>0</x:v>
      </x:c>
      <x:c r="CS19" s="35" t="n">
        <x:f>IFERROR(CS18*CS17/SUMPRODUCT($D18:$DS18,$D17:$DS17),0)</x:f>
        <x:v>0</x:v>
      </x:c>
      <x:c r="CT19" s="35" t="n">
        <x:f>IFERROR(CT18*CT17/SUMPRODUCT($D18:$DS18,$D17:$DS17),0)</x:f>
        <x:v>0</x:v>
      </x:c>
      <x:c r="CU19" s="35" t="n">
        <x:f>IFERROR(CU18*CU17/SUMPRODUCT($D18:$DS18,$D17:$DS17),0)</x:f>
        <x:v>0</x:v>
      </x:c>
      <x:c r="CV19" s="35" t="n">
        <x:f>IFERROR(CV18*CV17/SUMPRODUCT($D18:$DS18,$D17:$DS17),0)</x:f>
        <x:v>0</x:v>
      </x:c>
      <x:c r="CW19" s="35" t="n">
        <x:f>IFERROR(CW18*CW17/SUMPRODUCT($D18:$DS18,$D17:$DS17),0)</x:f>
        <x:v>0</x:v>
      </x:c>
      <x:c r="CX19" s="35" t="n">
        <x:f>IFERROR(CX18*CX17/SUMPRODUCT($D18:$DS18,$D17:$DS17),0)</x:f>
        <x:v>0</x:v>
      </x:c>
      <x:c r="CY19" s="35" t="n">
        <x:f>IFERROR(CY18*CY17/SUMPRODUCT($D18:$DS18,$D17:$DS17),0)</x:f>
        <x:v>0</x:v>
      </x:c>
      <x:c r="CZ19" s="35" t="n">
        <x:f>IFERROR(CZ18*CZ17/SUMPRODUCT($D18:$DS18,$D17:$DS17),0)</x:f>
        <x:v>0</x:v>
      </x:c>
      <x:c r="DA19" s="35" t="n">
        <x:f>IFERROR(DA18*DA17/SUMPRODUCT($D18:$DS18,$D17:$DS17),0)</x:f>
        <x:v>0</x:v>
      </x:c>
      <x:c r="DB19" s="35" t="n">
        <x:f>IFERROR(DB18*DB17/SUMPRODUCT($D18:$DS18,$D17:$DS17),0)</x:f>
        <x:v>0</x:v>
      </x:c>
      <x:c r="DC19" s="35" t="n">
        <x:f>IFERROR(DC18*DC17/SUMPRODUCT($D18:$DS18,$D17:$DS17),0)</x:f>
        <x:v>0</x:v>
      </x:c>
      <x:c r="DD19" s="35" t="n">
        <x:f>IFERROR(DD18*DD17/SUMPRODUCT($D18:$DS18,$D17:$DS17),0)</x:f>
        <x:v>0</x:v>
      </x:c>
      <x:c r="DE19" s="35" t="n">
        <x:f>IFERROR(DE18*DE17/SUMPRODUCT($D18:$DS18,$D17:$DS17),0)</x:f>
        <x:v>0</x:v>
      </x:c>
      <x:c r="DF19" s="35" t="n">
        <x:f>IFERROR(DF18*DF17/SUMPRODUCT($D18:$DS18,$D17:$DS17),0)</x:f>
        <x:v>0</x:v>
      </x:c>
      <x:c r="DG19" s="35" t="n">
        <x:f>IFERROR(DG18*DG17/SUMPRODUCT($D18:$DS18,$D17:$DS17),0)</x:f>
        <x:v>0</x:v>
      </x:c>
      <x:c r="DH19" s="35" t="n">
        <x:f>IFERROR(DH18*DH17/SUMPRODUCT($D18:$DS18,$D17:$DS17),0)</x:f>
        <x:v>0</x:v>
      </x:c>
      <x:c r="DI19" s="35" t="n">
        <x:f>IFERROR(DI18*DI17/SUMPRODUCT($D18:$DS18,$D17:$DS17),0)</x:f>
        <x:v>0</x:v>
      </x:c>
      <x:c r="DJ19" s="35" t="n">
        <x:f>IFERROR(DJ18*DJ17/SUMPRODUCT($D18:$DS18,$D17:$DS17),0)</x:f>
        <x:v>0</x:v>
      </x:c>
      <x:c r="DK19" s="35" t="n">
        <x:f>IFERROR(DK18*DK17/SUMPRODUCT($D18:$DS18,$D17:$DS17),0)</x:f>
        <x:v>0</x:v>
      </x:c>
      <x:c r="DL19" s="35" t="n">
        <x:f>IFERROR(DL18*DL17/SUMPRODUCT($D18:$DS18,$D17:$DS17),0)</x:f>
        <x:v>0</x:v>
      </x:c>
      <x:c r="DM19" s="35" t="n">
        <x:f>IFERROR(DM18*DM17/SUMPRODUCT($D18:$DS18,$D17:$DS17),0)</x:f>
        <x:v>0</x:v>
      </x:c>
      <x:c r="DN19" s="35" t="n">
        <x:f>IFERROR(DN18*DN17/SUMPRODUCT($D18:$DS18,$D17:$DS17),0)</x:f>
        <x:v>0</x:v>
      </x:c>
      <x:c r="DO19" s="35" t="n">
        <x:f>IFERROR(DO18*DO17/SUMPRODUCT($D18:$DS18,$D17:$DS17),0)</x:f>
        <x:v>0</x:v>
      </x:c>
      <x:c r="DP19" s="35" t="n">
        <x:f>IFERROR(DP18*DP17/SUMPRODUCT($D18:$DS18,$D17:$DS17),0)</x:f>
        <x:v>0</x:v>
      </x:c>
      <x:c r="DQ19" s="35" t="n">
        <x:f>IFERROR(DQ18*DQ17/SUMPRODUCT($D18:$DS18,$D17:$DS17),0)</x:f>
        <x:v>0</x:v>
      </x:c>
      <x:c r="DR19" s="35" t="n">
        <x:f>IFERROR(DR18*DR17/SUMPRODUCT($D18:$DS18,$D17:$DS17),0)</x:f>
        <x:v>0</x:v>
      </x:c>
      <x:c r="DS19" s="35" t="n">
        <x:f>IFERROR(DS18*DS17/SUMPRODUCT($D18:$DS18,$D17:$DS17),0)</x:f>
        <x:v>0</x:v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--AND(D$3&gt;=MAX($B$11,$B$10),D$3&lt;EDATE($B$11,MAX(1,'Вводные'!$K$33)),AND($B$7="Да",IFERROR(INDEX('Вводные'!$B$88:$B$90,$B$8),"Нет")="Да"))</x:f>
        <x:v>0</x:v>
      </x:c>
      <x:c r="E20" s="35" t="n">
        <x:f>--AND(E$3&gt;=MAX($B$11,$B$10),E$3&lt;EDATE($B$11,MAX(1,'Вводные'!$K$33)),AND($B$7="Да",IFERROR(INDEX('Вводные'!$B$88:$B$90,$B$8),"Нет")="Да"))</x:f>
        <x:v>0</x:v>
      </x:c>
      <x:c r="F20" s="35" t="n">
        <x:f>--AND(F$3&gt;=MAX($B$11,$B$10),F$3&lt;EDATE($B$11,MAX(1,'Вводные'!$K$33)),AND($B$7="Да",IFERROR(INDEX('Вводные'!$B$88:$B$90,$B$8),"Нет")="Да"))</x:f>
        <x:v>0</x:v>
      </x:c>
      <x:c r="G20" s="35" t="n">
        <x:f>--AND(G$3&gt;=MAX($B$11,$B$10),G$3&lt;EDATE($B$11,MAX(1,'Вводные'!$K$33)),AND($B$7="Да",IFERROR(INDEX('Вводные'!$B$88:$B$90,$B$8),"Нет")="Да"))</x:f>
        <x:v>0</x:v>
      </x:c>
      <x:c r="H20" s="35" t="n">
        <x:f>--AND(H$3&gt;=MAX($B$11,$B$10),H$3&lt;EDATE($B$11,MAX(1,'Вводные'!$K$33)),AND($B$7="Да",IFERROR(INDEX('Вводные'!$B$88:$B$90,$B$8),"Нет")="Да"))</x:f>
        <x:v>0</x:v>
      </x:c>
      <x:c r="I20" s="35" t="n">
        <x:f>--AND(I$3&gt;=MAX($B$11,$B$10),I$3&lt;EDATE($B$11,MAX(1,'Вводные'!$K$33)),AND($B$7="Да",IFERROR(INDEX('Вводные'!$B$88:$B$90,$B$8),"Нет")="Да"))</x:f>
        <x:v>0</x:v>
      </x:c>
      <x:c r="J20" s="35" t="n">
        <x:f>--AND(J$3&gt;=MAX($B$11,$B$10),J$3&lt;EDATE($B$11,MAX(1,'Вводные'!$K$33)),AND($B$7="Да",IFERROR(INDEX('Вводные'!$B$88:$B$90,$B$8),"Нет")="Да"))</x:f>
        <x:v>0</x:v>
      </x:c>
      <x:c r="K20" s="35" t="n">
        <x:f>--AND(K$3&gt;=MAX($B$11,$B$10),K$3&lt;EDATE($B$11,MAX(1,'Вводные'!$K$33)),AND($B$7="Да",IFERROR(INDEX('Вводные'!$B$88:$B$90,$B$8),"Нет")="Да"))</x:f>
        <x:v>0</x:v>
      </x:c>
      <x:c r="L20" s="35" t="n">
        <x:f>--AND(L$3&gt;=MAX($B$11,$B$10),L$3&lt;EDATE($B$11,MAX(1,'Вводные'!$K$33)),AND($B$7="Да",IFERROR(INDEX('Вводные'!$B$88:$B$90,$B$8),"Нет")="Да"))</x:f>
        <x:v>0</x:v>
      </x:c>
      <x:c r="M20" s="35" t="n">
        <x:f>--AND(M$3&gt;=MAX($B$11,$B$10),M$3&lt;EDATE($B$11,MAX(1,'Вводные'!$K$33)),AND($B$7="Да",IFERROR(INDEX('Вводные'!$B$88:$B$90,$B$8),"Нет")="Да"))</x:f>
        <x:v>0</x:v>
      </x:c>
      <x:c r="N20" s="35" t="n">
        <x:f>--AND(N$3&gt;=MAX($B$11,$B$10),N$3&lt;EDATE($B$11,MAX(1,'Вводные'!$K$33)),AND($B$7="Да",IFERROR(INDEX('Вводные'!$B$88:$B$90,$B$8),"Нет")="Да"))</x:f>
        <x:v>0</x:v>
      </x:c>
      <x:c r="O20" s="35" t="n">
        <x:f>--AND(O$3&gt;=MAX($B$11,$B$10),O$3&lt;EDATE($B$11,MAX(1,'Вводные'!$K$33)),AND($B$7="Да",IFERROR(INDEX('Вводные'!$B$88:$B$90,$B$8),"Нет")="Да"))</x:f>
        <x:v>0</x:v>
      </x:c>
      <x:c r="P20" s="35" t="n">
        <x:f>--AND(P$3&gt;=MAX($B$11,$B$10),P$3&lt;EDATE($B$11,MAX(1,'Вводные'!$K$33)),AND($B$7="Да",IFERROR(INDEX('Вводные'!$B$88:$B$90,$B$8),"Нет")="Да"))</x:f>
        <x:v>0</x:v>
      </x:c>
      <x:c r="Q20" s="35" t="n">
        <x:f>--AND(Q$3&gt;=MAX($B$11,$B$10),Q$3&lt;EDATE($B$11,MAX(1,'Вводные'!$K$33)),AND($B$7="Да",IFERROR(INDEX('Вводные'!$B$88:$B$90,$B$8),"Нет")="Да"))</x:f>
        <x:v>0</x:v>
      </x:c>
      <x:c r="R20" s="35" t="n">
        <x:f>--AND(R$3&gt;=MAX($B$11,$B$10),R$3&lt;EDATE($B$11,MAX(1,'Вводные'!$K$33)),AND($B$7="Да",IFERROR(INDEX('Вводные'!$B$88:$B$90,$B$8),"Нет")="Да"))</x:f>
        <x:v>0</x:v>
      </x:c>
      <x:c r="S20" s="35" t="n">
        <x:f>--AND(S$3&gt;=MAX($B$11,$B$10),S$3&lt;EDATE($B$11,MAX(1,'Вводные'!$K$33)),AND($B$7="Да",IFERROR(INDEX('Вводные'!$B$88:$B$90,$B$8),"Нет")="Да"))</x:f>
        <x:v>0</x:v>
      </x:c>
      <x:c r="T20" s="35" t="n">
        <x:f>--AND(T$3&gt;=MAX($B$11,$B$10),T$3&lt;EDATE($B$11,MAX(1,'Вводные'!$K$33)),AND($B$7="Да",IFERROR(INDEX('Вводные'!$B$88:$B$90,$B$8),"Нет")="Да"))</x:f>
        <x:v>0</x:v>
      </x:c>
      <x:c r="U20" s="35" t="n">
        <x:f>--AND(U$3&gt;=MAX($B$11,$B$10),U$3&lt;EDATE($B$11,MAX(1,'Вводные'!$K$33)),AND($B$7="Да",IFERROR(INDEX('Вводные'!$B$88:$B$90,$B$8),"Нет")="Да"))</x:f>
        <x:v>0</x:v>
      </x:c>
      <x:c r="V20" s="35" t="n">
        <x:f>--AND(V$3&gt;=MAX($B$11,$B$10),V$3&lt;EDATE($B$11,MAX(1,'Вводные'!$K$33)),AND($B$7="Да",IFERROR(INDEX('Вводные'!$B$88:$B$90,$B$8),"Нет")="Да"))</x:f>
        <x:v>0</x:v>
      </x:c>
      <x:c r="W20" s="35" t="n">
        <x:f>--AND(W$3&gt;=MAX($B$11,$B$10),W$3&lt;EDATE($B$11,MAX(1,'Вводные'!$K$33)),AND($B$7="Да",IFERROR(INDEX('Вводные'!$B$88:$B$90,$B$8),"Нет")="Да"))</x:f>
        <x:v>0</x:v>
      </x:c>
      <x:c r="X20" s="35" t="n">
        <x:f>--AND(X$3&gt;=MAX($B$11,$B$10),X$3&lt;EDATE($B$11,MAX(1,'Вводные'!$K$33)),AND($B$7="Да",IFERROR(INDEX('Вводные'!$B$88:$B$90,$B$8),"Нет")="Да"))</x:f>
        <x:v>0</x:v>
      </x:c>
      <x:c r="Y20" s="35" t="n">
        <x:f>--AND(Y$3&gt;=MAX($B$11,$B$10),Y$3&lt;EDATE($B$11,MAX(1,'Вводные'!$K$33)),AND($B$7="Да",IFERROR(INDEX('Вводные'!$B$88:$B$90,$B$8),"Нет")="Да"))</x:f>
        <x:v>0</x:v>
      </x:c>
      <x:c r="Z20" s="35" t="n">
        <x:f>--AND(Z$3&gt;=MAX($B$11,$B$10),Z$3&lt;EDATE($B$11,MAX(1,'Вводные'!$K$33)),AND($B$7="Да",IFERROR(INDEX('Вводные'!$B$88:$B$90,$B$8),"Нет")="Да"))</x:f>
        <x:v>0</x:v>
      </x:c>
      <x:c r="AA20" s="35" t="n">
        <x:f>--AND(AA$3&gt;=MAX($B$11,$B$10),AA$3&lt;EDATE($B$11,MAX(1,'Вводные'!$K$33)),AND($B$7="Да",IFERROR(INDEX('Вводные'!$B$88:$B$90,$B$8),"Нет")="Да"))</x:f>
        <x:v>0</x:v>
      </x:c>
      <x:c r="AB20" s="35" t="n">
        <x:f>--AND(AB$3&gt;=MAX($B$11,$B$10),AB$3&lt;EDATE($B$11,MAX(1,'Вводные'!$K$33)),AND($B$7="Да",IFERROR(INDEX('Вводные'!$B$88:$B$90,$B$8),"Нет")="Да"))</x:f>
        <x:v>0</x:v>
      </x:c>
      <x:c r="AC20" s="35" t="n">
        <x:f>--AND(AC$3&gt;=MAX($B$11,$B$10),AC$3&lt;EDATE($B$11,MAX(1,'Вводные'!$K$33)),AND($B$7="Да",IFERROR(INDEX('Вводные'!$B$88:$B$90,$B$8),"Нет")="Да"))</x:f>
        <x:v>0</x:v>
      </x:c>
      <x:c r="AD20" s="35" t="n">
        <x:f>--AND(AD$3&gt;=MAX($B$11,$B$10),AD$3&lt;EDATE($B$11,MAX(1,'Вводные'!$K$33)),AND($B$7="Да",IFERROR(INDEX('Вводные'!$B$88:$B$90,$B$8),"Нет")="Да"))</x:f>
        <x:v>0</x:v>
      </x:c>
      <x:c r="AE20" s="35" t="n">
        <x:f>--AND(AE$3&gt;=MAX($B$11,$B$10),AE$3&lt;EDATE($B$11,MAX(1,'Вводные'!$K$33)),AND($B$7="Да",IFERROR(INDEX('Вводные'!$B$88:$B$90,$B$8),"Нет")="Да"))</x:f>
        <x:v>0</x:v>
      </x:c>
      <x:c r="AF20" s="35" t="n">
        <x:f>--AND(AF$3&gt;=MAX($B$11,$B$10),AF$3&lt;EDATE($B$11,MAX(1,'Вводные'!$K$33)),AND($B$7="Да",IFERROR(INDEX('Вводные'!$B$88:$B$90,$B$8),"Нет")="Да"))</x:f>
        <x:v>0</x:v>
      </x:c>
      <x:c r="AG20" s="35" t="n">
        <x:f>--AND(AG$3&gt;=MAX($B$11,$B$10),AG$3&lt;EDATE($B$11,MAX(1,'Вводные'!$K$33)),AND($B$7="Да",IFERROR(INDEX('Вводные'!$B$88:$B$90,$B$8),"Нет")="Да"))</x:f>
        <x:v>0</x:v>
      </x:c>
      <x:c r="AH20" s="35" t="n">
        <x:f>--AND(AH$3&gt;=MAX($B$11,$B$10),AH$3&lt;EDATE($B$11,MAX(1,'Вводные'!$K$33)),AND($B$7="Да",IFERROR(INDEX('Вводные'!$B$88:$B$90,$B$8),"Нет")="Да"))</x:f>
        <x:v>0</x:v>
      </x:c>
      <x:c r="AI20" s="35" t="n">
        <x:f>--AND(AI$3&gt;=MAX($B$11,$B$10),AI$3&lt;EDATE($B$11,MAX(1,'Вводные'!$K$33)),AND($B$7="Да",IFERROR(INDEX('Вводные'!$B$88:$B$90,$B$8),"Нет")="Да"))</x:f>
        <x:v>0</x:v>
      </x:c>
      <x:c r="AJ20" s="35" t="n">
        <x:f>--AND(AJ$3&gt;=MAX($B$11,$B$10),AJ$3&lt;EDATE($B$11,MAX(1,'Вводные'!$K$33)),AND($B$7="Да",IFERROR(INDEX('Вводные'!$B$88:$B$90,$B$8),"Нет")="Да"))</x:f>
        <x:v>0</x:v>
      </x:c>
      <x:c r="AK20" s="35" t="n">
        <x:f>--AND(AK$3&gt;=MAX($B$11,$B$10),AK$3&lt;EDATE($B$11,MAX(1,'Вводные'!$K$33)),AND($B$7="Да",IFERROR(INDEX('Вводные'!$B$88:$B$90,$B$8),"Нет")="Да"))</x:f>
        <x:v>0</x:v>
      </x:c>
      <x:c r="AL20" s="35" t="n">
        <x:f>--AND(AL$3&gt;=MAX($B$11,$B$10),AL$3&lt;EDATE($B$11,MAX(1,'Вводные'!$K$33)),AND($B$7="Да",IFERROR(INDEX('Вводные'!$B$88:$B$90,$B$8),"Нет")="Да"))</x:f>
        <x:v>0</x:v>
      </x:c>
      <x:c r="AM20" s="35" t="n">
        <x:f>--AND(AM$3&gt;=MAX($B$11,$B$10),AM$3&lt;EDATE($B$11,MAX(1,'Вводные'!$K$33)),AND($B$7="Да",IFERROR(INDEX('Вводные'!$B$88:$B$90,$B$8),"Нет")="Да"))</x:f>
        <x:v>0</x:v>
      </x:c>
      <x:c r="AN20" s="35" t="n">
        <x:f>--AND(AN$3&gt;=MAX($B$11,$B$10),AN$3&lt;EDATE($B$11,MAX(1,'Вводные'!$K$33)),AND($B$7="Да",IFERROR(INDEX('Вводные'!$B$88:$B$90,$B$8),"Нет")="Да"))</x:f>
        <x:v>0</x:v>
      </x:c>
      <x:c r="AO20" s="35" t="n">
        <x:f>--AND(AO$3&gt;=MAX($B$11,$B$10),AO$3&lt;EDATE($B$11,MAX(1,'Вводные'!$K$33)),AND($B$7="Да",IFERROR(INDEX('Вводные'!$B$88:$B$90,$B$8),"Нет")="Да"))</x:f>
        <x:v>0</x:v>
      </x:c>
      <x:c r="AP20" s="35" t="n">
        <x:f>--AND(AP$3&gt;=MAX($B$11,$B$10),AP$3&lt;EDATE($B$11,MAX(1,'Вводные'!$K$33)),AND($B$7="Да",IFERROR(INDEX('Вводные'!$B$88:$B$90,$B$8),"Нет")="Да"))</x:f>
        <x:v>0</x:v>
      </x:c>
      <x:c r="AQ20" s="35" t="n">
        <x:f>--AND(AQ$3&gt;=MAX($B$11,$B$10),AQ$3&lt;EDATE($B$11,MAX(1,'Вводные'!$K$33)),AND($B$7="Да",IFERROR(INDEX('Вводные'!$B$88:$B$90,$B$8),"Нет")="Да"))</x:f>
        <x:v>0</x:v>
      </x:c>
      <x:c r="AR20" s="35" t="n">
        <x:f>--AND(AR$3&gt;=MAX($B$11,$B$10),AR$3&lt;EDATE($B$11,MAX(1,'Вводные'!$K$33)),AND($B$7="Да",IFERROR(INDEX('Вводные'!$B$88:$B$90,$B$8),"Нет")="Да"))</x:f>
        <x:v>0</x:v>
      </x:c>
      <x:c r="AS20" s="35" t="n">
        <x:f>--AND(AS$3&gt;=MAX($B$11,$B$10),AS$3&lt;EDATE($B$11,MAX(1,'Вводные'!$K$33)),AND($B$7="Да",IFERROR(INDEX('Вводные'!$B$88:$B$90,$B$8),"Нет")="Да"))</x:f>
        <x:v>0</x:v>
      </x:c>
      <x:c r="AT20" s="35" t="n">
        <x:f>--AND(AT$3&gt;=MAX($B$11,$B$10),AT$3&lt;EDATE($B$11,MAX(1,'Вводные'!$K$33)),AND($B$7="Да",IFERROR(INDEX('Вводные'!$B$88:$B$90,$B$8),"Нет")="Да"))</x:f>
        <x:v>0</x:v>
      </x:c>
      <x:c r="AU20" s="35" t="n">
        <x:f>--AND(AU$3&gt;=MAX($B$11,$B$10),AU$3&lt;EDATE($B$11,MAX(1,'Вводные'!$K$33)),AND($B$7="Да",IFERROR(INDEX('Вводные'!$B$88:$B$90,$B$8),"Нет")="Да"))</x:f>
        <x:v>0</x:v>
      </x:c>
      <x:c r="AV20" s="35" t="n">
        <x:f>--AND(AV$3&gt;=MAX($B$11,$B$10),AV$3&lt;EDATE($B$11,MAX(1,'Вводные'!$K$33)),AND($B$7="Да",IFERROR(INDEX('Вводные'!$B$88:$B$90,$B$8),"Нет")="Да"))</x:f>
        <x:v>0</x:v>
      </x:c>
      <x:c r="AW20" s="35" t="n">
        <x:f>--AND(AW$3&gt;=MAX($B$11,$B$10),AW$3&lt;EDATE($B$11,MAX(1,'Вводные'!$K$33)),AND($B$7="Да",IFERROR(INDEX('Вводные'!$B$88:$B$90,$B$8),"Нет")="Да"))</x:f>
        <x:v>0</x:v>
      </x:c>
      <x:c r="AX20" s="35" t="n">
        <x:f>--AND(AX$3&gt;=MAX($B$11,$B$10),AX$3&lt;EDATE($B$11,MAX(1,'Вводные'!$K$33)),AND($B$7="Да",IFERROR(INDEX('Вводные'!$B$88:$B$90,$B$8),"Нет")="Да"))</x:f>
        <x:v>0</x:v>
      </x:c>
      <x:c r="AY20" s="35" t="n">
        <x:f>--AND(AY$3&gt;=MAX($B$11,$B$10),AY$3&lt;EDATE($B$11,MAX(1,'Вводные'!$K$33)),AND($B$7="Да",IFERROR(INDEX('Вводные'!$B$88:$B$90,$B$8),"Нет")="Да"))</x:f>
        <x:v>0</x:v>
      </x:c>
      <x:c r="AZ20" s="35" t="n">
        <x:f>--AND(AZ$3&gt;=MAX($B$11,$B$10),AZ$3&lt;EDATE($B$11,MAX(1,'Вводные'!$K$33)),AND($B$7="Да",IFERROR(INDEX('Вводные'!$B$88:$B$90,$B$8),"Нет")="Да"))</x:f>
        <x:v>0</x:v>
      </x:c>
      <x:c r="BA20" s="35" t="n">
        <x:f>--AND(BA$3&gt;=MAX($B$11,$B$10),BA$3&lt;EDATE($B$11,MAX(1,'Вводные'!$K$33)),AND($B$7="Да",IFERROR(INDEX('Вводные'!$B$88:$B$90,$B$8),"Нет")="Да"))</x:f>
        <x:v>0</x:v>
      </x:c>
      <x:c r="BB20" s="35" t="n">
        <x:f>--AND(BB$3&gt;=MAX($B$11,$B$10),BB$3&lt;EDATE($B$11,MAX(1,'Вводные'!$K$33)),AND($B$7="Да",IFERROR(INDEX('Вводные'!$B$88:$B$90,$B$8),"Нет")="Да"))</x:f>
        <x:v>0</x:v>
      </x:c>
      <x:c r="BC20" s="35" t="n">
        <x:f>--AND(BC$3&gt;=MAX($B$11,$B$10),BC$3&lt;EDATE($B$11,MAX(1,'Вводные'!$K$33)),AND($B$7="Да",IFERROR(INDEX('Вводные'!$B$88:$B$90,$B$8),"Нет")="Да"))</x:f>
        <x:v>0</x:v>
      </x:c>
      <x:c r="BD20" s="35" t="n">
        <x:f>--AND(BD$3&gt;=MAX($B$11,$B$10),BD$3&lt;EDATE($B$11,MAX(1,'Вводные'!$K$33)),AND($B$7="Да",IFERROR(INDEX('Вводные'!$B$88:$B$90,$B$8),"Нет")="Да"))</x:f>
        <x:v>0</x:v>
      </x:c>
      <x:c r="BE20" s="35" t="n">
        <x:f>--AND(BE$3&gt;=MAX($B$11,$B$10),BE$3&lt;EDATE($B$11,MAX(1,'Вводные'!$K$33)),AND($B$7="Да",IFERROR(INDEX('Вводные'!$B$88:$B$90,$B$8),"Нет")="Да"))</x:f>
        <x:v>0</x:v>
      </x:c>
      <x:c r="BF20" s="35" t="n">
        <x:f>--AND(BF$3&gt;=MAX($B$11,$B$10),BF$3&lt;EDATE($B$11,MAX(1,'Вводные'!$K$33)),AND($B$7="Да",IFERROR(INDEX('Вводные'!$B$88:$B$90,$B$8),"Нет")="Да"))</x:f>
        <x:v>0</x:v>
      </x:c>
      <x:c r="BG20" s="35" t="n">
        <x:f>--AND(BG$3&gt;=MAX($B$11,$B$10),BG$3&lt;EDATE($B$11,MAX(1,'Вводные'!$K$33)),AND($B$7="Да",IFERROR(INDEX('Вводные'!$B$88:$B$90,$B$8),"Нет")="Да"))</x:f>
        <x:v>0</x:v>
      </x:c>
      <x:c r="BH20" s="35" t="n">
        <x:f>--AND(BH$3&gt;=MAX($B$11,$B$10),BH$3&lt;EDATE($B$11,MAX(1,'Вводные'!$K$33)),AND($B$7="Да",IFERROR(INDEX('Вводные'!$B$88:$B$90,$B$8),"Нет")="Да"))</x:f>
        <x:v>0</x:v>
      </x:c>
      <x:c r="BI20" s="35" t="n">
        <x:f>--AND(BI$3&gt;=MAX($B$11,$B$10),BI$3&lt;EDATE($B$11,MAX(1,'Вводные'!$K$33)),AND($B$7="Да",IFERROR(INDEX('Вводные'!$B$88:$B$90,$B$8),"Нет")="Да"))</x:f>
        <x:v>0</x:v>
      </x:c>
      <x:c r="BJ20" s="35" t="n">
        <x:f>--AND(BJ$3&gt;=MAX($B$11,$B$10),BJ$3&lt;EDATE($B$11,MAX(1,'Вводные'!$K$33)),AND($B$7="Да",IFERROR(INDEX('Вводные'!$B$88:$B$90,$B$8),"Нет")="Да"))</x:f>
        <x:v>0</x:v>
      </x:c>
      <x:c r="BK20" s="35" t="n">
        <x:f>--AND(BK$3&gt;=MAX($B$11,$B$10),BK$3&lt;EDATE($B$11,MAX(1,'Вводные'!$K$33)),AND($B$7="Да",IFERROR(INDEX('Вводные'!$B$88:$B$90,$B$8),"Нет")="Да"))</x:f>
        <x:v>0</x:v>
      </x:c>
      <x:c r="BL20" s="35" t="n">
        <x:f>--AND(BL$3&gt;=MAX($B$11,$B$10),BL$3&lt;EDATE($B$11,MAX(1,'Вводные'!$K$33)),AND($B$7="Да",IFERROR(INDEX('Вводные'!$B$88:$B$90,$B$8),"Нет")="Да"))</x:f>
        <x:v>0</x:v>
      </x:c>
      <x:c r="BM20" s="35" t="n">
        <x:f>--AND(BM$3&gt;=MAX($B$11,$B$10),BM$3&lt;EDATE($B$11,MAX(1,'Вводные'!$K$33)),AND($B$7="Да",IFERROR(INDEX('Вводные'!$B$88:$B$90,$B$8),"Нет")="Да"))</x:f>
        <x:v>0</x:v>
      </x:c>
      <x:c r="BN20" s="35" t="n">
        <x:f>--AND(BN$3&gt;=MAX($B$11,$B$10),BN$3&lt;EDATE($B$11,MAX(1,'Вводные'!$K$33)),AND($B$7="Да",IFERROR(INDEX('Вводные'!$B$88:$B$90,$B$8),"Нет")="Да"))</x:f>
        <x:v>0</x:v>
      </x:c>
      <x:c r="BO20" s="35" t="n">
        <x:f>--AND(BO$3&gt;=MAX($B$11,$B$10),BO$3&lt;EDATE($B$11,MAX(1,'Вводные'!$K$33)),AND($B$7="Да",IFERROR(INDEX('Вводные'!$B$88:$B$90,$B$8),"Нет")="Да"))</x:f>
        <x:v>0</x:v>
      </x:c>
      <x:c r="BP20" s="35" t="n">
        <x:f>--AND(BP$3&gt;=MAX($B$11,$B$10),BP$3&lt;EDATE($B$11,MAX(1,'Вводные'!$K$33)),AND($B$7="Да",IFERROR(INDEX('Вводные'!$B$88:$B$90,$B$8),"Нет")="Да"))</x:f>
        <x:v>0</x:v>
      </x:c>
      <x:c r="BQ20" s="35" t="n">
        <x:f>--AND(BQ$3&gt;=MAX($B$11,$B$10),BQ$3&lt;EDATE($B$11,MAX(1,'Вводные'!$K$33)),AND($B$7="Да",IFERROR(INDEX('Вводные'!$B$88:$B$90,$B$8),"Нет")="Да"))</x:f>
        <x:v>0</x:v>
      </x:c>
      <x:c r="BR20" s="35" t="n">
        <x:f>--AND(BR$3&gt;=MAX($B$11,$B$10),BR$3&lt;EDATE($B$11,MAX(1,'Вводные'!$K$33)),AND($B$7="Да",IFERROR(INDEX('Вводные'!$B$88:$B$90,$B$8),"Нет")="Да"))</x:f>
        <x:v>0</x:v>
      </x:c>
      <x:c r="BS20" s="35" t="n">
        <x:f>--AND(BS$3&gt;=MAX($B$11,$B$10),BS$3&lt;EDATE($B$11,MAX(1,'Вводные'!$K$33)),AND($B$7="Да",IFERROR(INDEX('Вводные'!$B$88:$B$90,$B$8),"Нет")="Да"))</x:f>
        <x:v>0</x:v>
      </x:c>
      <x:c r="BT20" s="35" t="n">
        <x:f>--AND(BT$3&gt;=MAX($B$11,$B$10),BT$3&lt;EDATE($B$11,MAX(1,'Вводные'!$K$33)),AND($B$7="Да",IFERROR(INDEX('Вводные'!$B$88:$B$90,$B$8),"Нет")="Да"))</x:f>
        <x:v>0</x:v>
      </x:c>
      <x:c r="BU20" s="35" t="n">
        <x:f>--AND(BU$3&gt;=MAX($B$11,$B$10),BU$3&lt;EDATE($B$11,MAX(1,'Вводные'!$K$33)),AND($B$7="Да",IFERROR(INDEX('Вводные'!$B$88:$B$90,$B$8),"Нет")="Да"))</x:f>
        <x:v>0</x:v>
      </x:c>
      <x:c r="BV20" s="35" t="n">
        <x:f>--AND(BV$3&gt;=MAX($B$11,$B$10),BV$3&lt;EDATE($B$11,MAX(1,'Вводные'!$K$33)),AND($B$7="Да",IFERROR(INDEX('Вводные'!$B$88:$B$90,$B$8),"Нет")="Да"))</x:f>
        <x:v>0</x:v>
      </x:c>
      <x:c r="BW20" s="35" t="n">
        <x:f>--AND(BW$3&gt;=MAX($B$11,$B$10),BW$3&lt;EDATE($B$11,MAX(1,'Вводные'!$K$33)),AND($B$7="Да",IFERROR(INDEX('Вводные'!$B$88:$B$90,$B$8),"Нет")="Да"))</x:f>
        <x:v>0</x:v>
      </x:c>
      <x:c r="BX20" s="35" t="n">
        <x:f>--AND(BX$3&gt;=MAX($B$11,$B$10),BX$3&lt;EDATE($B$11,MAX(1,'Вводные'!$K$33)),AND($B$7="Да",IFERROR(INDEX('Вводные'!$B$88:$B$90,$B$8),"Нет")="Да"))</x:f>
        <x:v>0</x:v>
      </x:c>
      <x:c r="BY20" s="35" t="n">
        <x:f>--AND(BY$3&gt;=MAX($B$11,$B$10),BY$3&lt;EDATE($B$11,MAX(1,'Вводные'!$K$33)),AND($B$7="Да",IFERROR(INDEX('Вводные'!$B$88:$B$90,$B$8),"Нет")="Да"))</x:f>
        <x:v>0</x:v>
      </x:c>
      <x:c r="BZ20" s="35" t="n">
        <x:f>--AND(BZ$3&gt;=MAX($B$11,$B$10),BZ$3&lt;EDATE($B$11,MAX(1,'Вводные'!$K$33)),AND($B$7="Да",IFERROR(INDEX('Вводные'!$B$88:$B$90,$B$8),"Нет")="Да"))</x:f>
        <x:v>0</x:v>
      </x:c>
      <x:c r="CA20" s="35" t="n">
        <x:f>--AND(CA$3&gt;=MAX($B$11,$B$10),CA$3&lt;EDATE($B$11,MAX(1,'Вводные'!$K$33)),AND($B$7="Да",IFERROR(INDEX('Вводные'!$B$88:$B$90,$B$8),"Нет")="Да"))</x:f>
        <x:v>0</x:v>
      </x:c>
      <x:c r="CB20" s="35" t="n">
        <x:f>--AND(CB$3&gt;=MAX($B$11,$B$10),CB$3&lt;EDATE($B$11,MAX(1,'Вводные'!$K$33)),AND($B$7="Да",IFERROR(INDEX('Вводные'!$B$88:$B$90,$B$8),"Нет")="Да"))</x:f>
        <x:v>0</x:v>
      </x:c>
      <x:c r="CC20" s="35" t="n">
        <x:f>--AND(CC$3&gt;=MAX($B$11,$B$10),CC$3&lt;EDATE($B$11,MAX(1,'Вводные'!$K$33)),AND($B$7="Да",IFERROR(INDEX('Вводные'!$B$88:$B$90,$B$8),"Нет")="Да"))</x:f>
        <x:v>0</x:v>
      </x:c>
      <x:c r="CD20" s="35" t="n">
        <x:f>--AND(CD$3&gt;=MAX($B$11,$B$10),CD$3&lt;EDATE($B$11,MAX(1,'Вводные'!$K$33)),AND($B$7="Да",IFERROR(INDEX('Вводные'!$B$88:$B$90,$B$8),"Нет")="Да"))</x:f>
        <x:v>0</x:v>
      </x:c>
      <x:c r="CE20" s="35" t="n">
        <x:f>--AND(CE$3&gt;=MAX($B$11,$B$10),CE$3&lt;EDATE($B$11,MAX(1,'Вводные'!$K$33)),AND($B$7="Да",IFERROR(INDEX('Вводные'!$B$88:$B$90,$B$8),"Нет")="Да"))</x:f>
        <x:v>0</x:v>
      </x:c>
      <x:c r="CF20" s="35" t="n">
        <x:f>--AND(CF$3&gt;=MAX($B$11,$B$10),CF$3&lt;EDATE($B$11,MAX(1,'Вводные'!$K$33)),AND($B$7="Да",IFERROR(INDEX('Вводные'!$B$88:$B$90,$B$8),"Нет")="Да"))</x:f>
        <x:v>0</x:v>
      </x:c>
      <x:c r="CG20" s="35" t="n">
        <x:f>--AND(CG$3&gt;=MAX($B$11,$B$10),CG$3&lt;EDATE($B$11,MAX(1,'Вводные'!$K$33)),AND($B$7="Да",IFERROR(INDEX('Вводные'!$B$88:$B$90,$B$8),"Нет")="Да"))</x:f>
        <x:v>0</x:v>
      </x:c>
      <x:c r="CH20" s="35" t="n">
        <x:f>--AND(CH$3&gt;=MAX($B$11,$B$10),CH$3&lt;EDATE($B$11,MAX(1,'Вводные'!$K$33)),AND($B$7="Да",IFERROR(INDEX('Вводные'!$B$88:$B$90,$B$8),"Нет")="Да"))</x:f>
        <x:v>0</x:v>
      </x:c>
      <x:c r="CI20" s="35" t="n">
        <x:f>--AND(CI$3&gt;=MAX($B$11,$B$10),CI$3&lt;EDATE($B$11,MAX(1,'Вводные'!$K$33)),AND($B$7="Да",IFERROR(INDEX('Вводные'!$B$88:$B$90,$B$8),"Нет")="Да"))</x:f>
        <x:v>0</x:v>
      </x:c>
      <x:c r="CJ20" s="35" t="n">
        <x:f>--AND(CJ$3&gt;=MAX($B$11,$B$10),CJ$3&lt;EDATE($B$11,MAX(1,'Вводные'!$K$33)),AND($B$7="Да",IFERROR(INDEX('Вводные'!$B$88:$B$90,$B$8),"Нет")="Да"))</x:f>
        <x:v>0</x:v>
      </x:c>
      <x:c r="CK20" s="35" t="n">
        <x:f>--AND(CK$3&gt;=MAX($B$11,$B$10),CK$3&lt;EDATE($B$11,MAX(1,'Вводные'!$K$33)),AND($B$7="Да",IFERROR(INDEX('Вводные'!$B$88:$B$90,$B$8),"Нет")="Да"))</x:f>
        <x:v>0</x:v>
      </x:c>
      <x:c r="CL20" s="35" t="n">
        <x:f>--AND(CL$3&gt;=MAX($B$11,$B$10),CL$3&lt;EDATE($B$11,MAX(1,'Вводные'!$K$33)),AND($B$7="Да",IFERROR(INDEX('Вводные'!$B$88:$B$90,$B$8),"Нет")="Да"))</x:f>
        <x:v>0</x:v>
      </x:c>
      <x:c r="CM20" s="35" t="n">
        <x:f>--AND(CM$3&gt;=MAX($B$11,$B$10),CM$3&lt;EDATE($B$11,MAX(1,'Вводные'!$K$33)),AND($B$7="Да",IFERROR(INDEX('Вводные'!$B$88:$B$90,$B$8),"Нет")="Да"))</x:f>
        <x:v>0</x:v>
      </x:c>
      <x:c r="CN20" s="35" t="n">
        <x:f>--AND(CN$3&gt;=MAX($B$11,$B$10),CN$3&lt;EDATE($B$11,MAX(1,'Вводные'!$K$33)),AND($B$7="Да",IFERROR(INDEX('Вводные'!$B$88:$B$90,$B$8),"Нет")="Да"))</x:f>
        <x:v>0</x:v>
      </x:c>
      <x:c r="CO20" s="35" t="n">
        <x:f>--AND(CO$3&gt;=MAX($B$11,$B$10),CO$3&lt;EDATE($B$11,MAX(1,'Вводные'!$K$33)),AND($B$7="Да",IFERROR(INDEX('Вводные'!$B$88:$B$90,$B$8),"Нет")="Да"))</x:f>
        <x:v>0</x:v>
      </x:c>
      <x:c r="CP20" s="35" t="n">
        <x:f>--AND(CP$3&gt;=MAX($B$11,$B$10),CP$3&lt;EDATE($B$11,MAX(1,'Вводные'!$K$33)),AND($B$7="Да",IFERROR(INDEX('Вводные'!$B$88:$B$90,$B$8),"Нет")="Да"))</x:f>
        <x:v>0</x:v>
      </x:c>
      <x:c r="CQ20" s="35" t="n">
        <x:f>--AND(CQ$3&gt;=MAX($B$11,$B$10),CQ$3&lt;EDATE($B$11,MAX(1,'Вводные'!$K$33)),AND($B$7="Да",IFERROR(INDEX('Вводные'!$B$88:$B$90,$B$8),"Нет")="Да"))</x:f>
        <x:v>0</x:v>
      </x:c>
      <x:c r="CR20" s="35" t="n">
        <x:f>--AND(CR$3&gt;=MAX($B$11,$B$10),CR$3&lt;EDATE($B$11,MAX(1,'Вводные'!$K$33)),AND($B$7="Да",IFERROR(INDEX('Вводные'!$B$88:$B$90,$B$8),"Нет")="Да"))</x:f>
        <x:v>0</x:v>
      </x:c>
      <x:c r="CS20" s="35" t="n">
        <x:f>--AND(CS$3&gt;=MAX($B$11,$B$10),CS$3&lt;EDATE($B$11,MAX(1,'Вводные'!$K$33)),AND($B$7="Да",IFERROR(INDEX('Вводные'!$B$88:$B$90,$B$8),"Нет")="Да"))</x:f>
        <x:v>0</x:v>
      </x:c>
      <x:c r="CT20" s="35" t="n">
        <x:f>--AND(CT$3&gt;=MAX($B$11,$B$10),CT$3&lt;EDATE($B$11,MAX(1,'Вводные'!$K$33)),AND($B$7="Да",IFERROR(INDEX('Вводные'!$B$88:$B$90,$B$8),"Нет")="Да"))</x:f>
        <x:v>0</x:v>
      </x:c>
      <x:c r="CU20" s="35" t="n">
        <x:f>--AND(CU$3&gt;=MAX($B$11,$B$10),CU$3&lt;EDATE($B$11,MAX(1,'Вводные'!$K$33)),AND($B$7="Да",IFERROR(INDEX('Вводные'!$B$88:$B$90,$B$8),"Нет")="Да"))</x:f>
        <x:v>0</x:v>
      </x:c>
      <x:c r="CV20" s="35" t="n">
        <x:f>--AND(CV$3&gt;=MAX($B$11,$B$10),CV$3&lt;EDATE($B$11,MAX(1,'Вводные'!$K$33)),AND($B$7="Да",IFERROR(INDEX('Вводные'!$B$88:$B$90,$B$8),"Нет")="Да"))</x:f>
        <x:v>0</x:v>
      </x:c>
      <x:c r="CW20" s="35" t="n">
        <x:f>--AND(CW$3&gt;=MAX($B$11,$B$10),CW$3&lt;EDATE($B$11,MAX(1,'Вводные'!$K$33)),AND($B$7="Да",IFERROR(INDEX('Вводные'!$B$88:$B$90,$B$8),"Нет")="Да"))</x:f>
        <x:v>0</x:v>
      </x:c>
      <x:c r="CX20" s="35" t="n">
        <x:f>--AND(CX$3&gt;=MAX($B$11,$B$10),CX$3&lt;EDATE($B$11,MAX(1,'Вводные'!$K$33)),AND($B$7="Да",IFERROR(INDEX('Вводные'!$B$88:$B$90,$B$8),"Нет")="Да"))</x:f>
        <x:v>0</x:v>
      </x:c>
      <x:c r="CY20" s="35" t="n">
        <x:f>--AND(CY$3&gt;=MAX($B$11,$B$10),CY$3&lt;EDATE($B$11,MAX(1,'Вводные'!$K$33)),AND($B$7="Да",IFERROR(INDEX('Вводные'!$B$88:$B$90,$B$8),"Нет")="Да"))</x:f>
        <x:v>0</x:v>
      </x:c>
      <x:c r="CZ20" s="35" t="n">
        <x:f>--AND(CZ$3&gt;=MAX($B$11,$B$10),CZ$3&lt;EDATE($B$11,MAX(1,'Вводные'!$K$33)),AND($B$7="Да",IFERROR(INDEX('Вводные'!$B$88:$B$90,$B$8),"Нет")="Да"))</x:f>
        <x:v>0</x:v>
      </x:c>
      <x:c r="DA20" s="35" t="n">
        <x:f>--AND(DA$3&gt;=MAX($B$11,$B$10),DA$3&lt;EDATE($B$11,MAX(1,'Вводные'!$K$33)),AND($B$7="Да",IFERROR(INDEX('Вводные'!$B$88:$B$90,$B$8),"Нет")="Да"))</x:f>
        <x:v>0</x:v>
      </x:c>
      <x:c r="DB20" s="35" t="n">
        <x:f>--AND(DB$3&gt;=MAX($B$11,$B$10),DB$3&lt;EDATE($B$11,MAX(1,'Вводные'!$K$33)),AND($B$7="Да",IFERROR(INDEX('Вводные'!$B$88:$B$90,$B$8),"Нет")="Да"))</x:f>
        <x:v>0</x:v>
      </x:c>
      <x:c r="DC20" s="35" t="n">
        <x:f>--AND(DC$3&gt;=MAX($B$11,$B$10),DC$3&lt;EDATE($B$11,MAX(1,'Вводные'!$K$33)),AND($B$7="Да",IFERROR(INDEX('Вводные'!$B$88:$B$90,$B$8),"Нет")="Да"))</x:f>
        <x:v>0</x:v>
      </x:c>
      <x:c r="DD20" s="35" t="n">
        <x:f>--AND(DD$3&gt;=MAX($B$11,$B$10),DD$3&lt;EDATE($B$11,MAX(1,'Вводные'!$K$33)),AND($B$7="Да",IFERROR(INDEX('Вводные'!$B$88:$B$90,$B$8),"Нет")="Да"))</x:f>
        <x:v>0</x:v>
      </x:c>
      <x:c r="DE20" s="35" t="n">
        <x:f>--AND(DE$3&gt;=MAX($B$11,$B$10),DE$3&lt;EDATE($B$11,MAX(1,'Вводные'!$K$33)),AND($B$7="Да",IFERROR(INDEX('Вводные'!$B$88:$B$90,$B$8),"Нет")="Да"))</x:f>
        <x:v>0</x:v>
      </x:c>
      <x:c r="DF20" s="35" t="n">
        <x:f>--AND(DF$3&gt;=MAX($B$11,$B$10),DF$3&lt;EDATE($B$11,MAX(1,'Вводные'!$K$33)),AND($B$7="Да",IFERROR(INDEX('Вводные'!$B$88:$B$90,$B$8),"Нет")="Да"))</x:f>
        <x:v>0</x:v>
      </x:c>
      <x:c r="DG20" s="35" t="n">
        <x:f>--AND(DG$3&gt;=MAX($B$11,$B$10),DG$3&lt;EDATE($B$11,MAX(1,'Вводные'!$K$33)),AND($B$7="Да",IFERROR(INDEX('Вводные'!$B$88:$B$90,$B$8),"Нет")="Да"))</x:f>
        <x:v>0</x:v>
      </x:c>
      <x:c r="DH20" s="35" t="n">
        <x:f>--AND(DH$3&gt;=MAX($B$11,$B$10),DH$3&lt;EDATE($B$11,MAX(1,'Вводные'!$K$33)),AND($B$7="Да",IFERROR(INDEX('Вводные'!$B$88:$B$90,$B$8),"Нет")="Да"))</x:f>
        <x:v>0</x:v>
      </x:c>
      <x:c r="DI20" s="35" t="n">
        <x:f>--AND(DI$3&gt;=MAX($B$11,$B$10),DI$3&lt;EDATE($B$11,MAX(1,'Вводные'!$K$33)),AND($B$7="Да",IFERROR(INDEX('Вводные'!$B$88:$B$90,$B$8),"Нет")="Да"))</x:f>
        <x:v>0</x:v>
      </x:c>
      <x:c r="DJ20" s="35" t="n">
        <x:f>--AND(DJ$3&gt;=MAX($B$11,$B$10),DJ$3&lt;EDATE($B$11,MAX(1,'Вводные'!$K$33)),AND($B$7="Да",IFERROR(INDEX('Вводные'!$B$88:$B$90,$B$8),"Нет")="Да"))</x:f>
        <x:v>0</x:v>
      </x:c>
      <x:c r="DK20" s="35" t="n">
        <x:f>--AND(DK$3&gt;=MAX($B$11,$B$10),DK$3&lt;EDATE($B$11,MAX(1,'Вводные'!$K$33)),AND($B$7="Да",IFERROR(INDEX('Вводные'!$B$88:$B$90,$B$8),"Нет")="Да"))</x:f>
        <x:v>0</x:v>
      </x:c>
      <x:c r="DL20" s="35" t="n">
        <x:f>--AND(DL$3&gt;=MAX($B$11,$B$10),DL$3&lt;EDATE($B$11,MAX(1,'Вводные'!$K$33)),AND($B$7="Да",IFERROR(INDEX('Вводные'!$B$88:$B$90,$B$8),"Нет")="Да"))</x:f>
        <x:v>0</x:v>
      </x:c>
      <x:c r="DM20" s="35" t="n">
        <x:f>--AND(DM$3&gt;=MAX($B$11,$B$10),DM$3&lt;EDATE($B$11,MAX(1,'Вводные'!$K$33)),AND($B$7="Да",IFERROR(INDEX('Вводные'!$B$88:$B$90,$B$8),"Нет")="Да"))</x:f>
        <x:v>0</x:v>
      </x:c>
      <x:c r="DN20" s="35" t="n">
        <x:f>--AND(DN$3&gt;=MAX($B$11,$B$10),DN$3&lt;EDATE($B$11,MAX(1,'Вводные'!$K$33)),AND($B$7="Да",IFERROR(INDEX('Вводные'!$B$88:$B$90,$B$8),"Нет")="Да"))</x:f>
        <x:v>0</x:v>
      </x:c>
      <x:c r="DO20" s="35" t="n">
        <x:f>--AND(DO$3&gt;=MAX($B$11,$B$10),DO$3&lt;EDATE($B$11,MAX(1,'Вводные'!$K$33)),AND($B$7="Да",IFERROR(INDEX('Вводные'!$B$88:$B$90,$B$8),"Нет")="Да"))</x:f>
        <x:v>0</x:v>
      </x:c>
      <x:c r="DP20" s="35" t="n">
        <x:f>--AND(DP$3&gt;=MAX($B$11,$B$10),DP$3&lt;EDATE($B$11,MAX(1,'Вводные'!$K$33)),AND($B$7="Да",IFERROR(INDEX('Вводные'!$B$88:$B$90,$B$8),"Нет")="Да"))</x:f>
        <x:v>0</x:v>
      </x:c>
      <x:c r="DQ20" s="35" t="n">
        <x:f>--AND(DQ$3&gt;=MAX($B$11,$B$10),DQ$3&lt;EDATE($B$11,MAX(1,'Вводные'!$K$33)),AND($B$7="Да",IFERROR(INDEX('Вводные'!$B$88:$B$90,$B$8),"Нет")="Да"))</x:f>
        <x:v>0</x:v>
      </x:c>
      <x:c r="DR20" s="35" t="n">
        <x:f>--AND(DR$3&gt;=MAX($B$11,$B$10),DR$3&lt;EDATE($B$11,MAX(1,'Вводные'!$K$33)),AND($B$7="Да",IFERROR(INDEX('Вводные'!$B$88:$B$90,$B$8),"Нет")="Да"))</x:f>
        <x:v>0</x:v>
      </x:c>
      <x:c r="DS20" s="35" t="n">
        <x:f>--AND(DS$3&gt;=MAX($B$11,$B$10),DS$3&lt;EDATE($B$11,MAX(1,'Вводные'!$K$33)),AND($B$7="Да",IFERROR(INDEX('Вводные'!$B$88:$B$90,$B$8),"Нет")="Да"))</x:f>
        <x:v>0</x:v>
      </x:c>
    </x:row>
    <x:row r="21">
      <x:c r="A21" t="str">
        <x:v>Нормированный вес после РВЭ</x:v>
      </x:c>
      <x:c r="B21" s="35" t="n">
        <x:f>SUM(D21:DS21)</x:f>
        <x:v>0</x:v>
      </x:c>
      <x:c r="C21" t="str">
        <x:v>%</x:v>
      </x:c>
      <x:c r="D21" s="35" t="n">
        <x:f>IFERROR(D18*D20/SUMPRODUCT($D18:$DS18,$D20:$DS20),0)</x:f>
        <x:v>0</x:v>
      </x:c>
      <x:c r="E21" s="35" t="n">
        <x:f>IFERROR(E18*E20/SUMPRODUCT($D18:$DS18,$D20:$DS20),0)</x:f>
        <x:v>0</x:v>
      </x:c>
      <x:c r="F21" s="35" t="n">
        <x:f>IFERROR(F18*F20/SUMPRODUCT($D18:$DS18,$D20:$DS20),0)</x:f>
        <x:v>0</x:v>
      </x:c>
      <x:c r="G21" s="35" t="n">
        <x:f>IFERROR(G18*G20/SUMPRODUCT($D18:$DS18,$D20:$DS20),0)</x:f>
        <x:v>0</x:v>
      </x:c>
      <x:c r="H21" s="35" t="n">
        <x:f>IFERROR(H18*H20/SUMPRODUCT($D18:$DS18,$D20:$DS20),0)</x:f>
        <x:v>0</x:v>
      </x:c>
      <x:c r="I21" s="35" t="n">
        <x:f>IFERROR(I18*I20/SUMPRODUCT($D18:$DS18,$D20:$DS20),0)</x:f>
        <x:v>0</x:v>
      </x:c>
      <x:c r="J21" s="35" t="n">
        <x:f>IFERROR(J18*J20/SUMPRODUCT($D18:$DS18,$D20:$DS20),0)</x:f>
        <x:v>0</x:v>
      </x:c>
      <x:c r="K21" s="35" t="n">
        <x:f>IFERROR(K18*K20/SUMPRODUCT($D18:$DS18,$D20:$DS20),0)</x:f>
        <x:v>0</x:v>
      </x:c>
      <x:c r="L21" s="35" t="n">
        <x:f>IFERROR(L18*L20/SUMPRODUCT($D18:$DS18,$D20:$DS20),0)</x:f>
        <x:v>0</x:v>
      </x:c>
      <x:c r="M21" s="35" t="n">
        <x:f>IFERROR(M18*M20/SUMPRODUCT($D18:$DS18,$D20:$DS20),0)</x:f>
        <x:v>0</x:v>
      </x:c>
      <x:c r="N21" s="35" t="n">
        <x:f>IFERROR(N18*N20/SUMPRODUCT($D18:$DS18,$D20:$DS20),0)</x:f>
        <x:v>0</x:v>
      </x:c>
      <x:c r="O21" s="35" t="n">
        <x:f>IFERROR(O18*O20/SUMPRODUCT($D18:$DS18,$D20:$DS20),0)</x:f>
        <x:v>0</x:v>
      </x:c>
      <x:c r="P21" s="35" t="n">
        <x:f>IFERROR(P18*P20/SUMPRODUCT($D18:$DS18,$D20:$DS20),0)</x:f>
        <x:v>0</x:v>
      </x:c>
      <x:c r="Q21" s="35" t="n">
        <x:f>IFERROR(Q18*Q20/SUMPRODUCT($D18:$DS18,$D20:$DS20),0)</x:f>
        <x:v>0</x:v>
      </x:c>
      <x:c r="R21" s="35" t="n">
        <x:f>IFERROR(R18*R20/SUMPRODUCT($D18:$DS18,$D20:$DS20),0)</x:f>
        <x:v>0</x:v>
      </x:c>
      <x:c r="S21" s="35" t="n">
        <x:f>IFERROR(S18*S20/SUMPRODUCT($D18:$DS18,$D20:$DS20),0)</x:f>
        <x:v>0</x:v>
      </x:c>
      <x:c r="T21" s="35" t="n">
        <x:f>IFERROR(T18*T20/SUMPRODUCT($D18:$DS18,$D20:$DS20),0)</x:f>
        <x:v>0</x:v>
      </x:c>
      <x:c r="U21" s="35" t="n">
        <x:f>IFERROR(U18*U20/SUMPRODUCT($D18:$DS18,$D20:$DS20),0)</x:f>
        <x:v>0</x:v>
      </x:c>
      <x:c r="V21" s="35" t="n">
        <x:f>IFERROR(V18*V20/SUMPRODUCT($D18:$DS18,$D20:$DS20),0)</x:f>
        <x:v>0</x:v>
      </x:c>
      <x:c r="W21" s="35" t="n">
        <x:f>IFERROR(W18*W20/SUMPRODUCT($D18:$DS18,$D20:$DS20),0)</x:f>
        <x:v>0</x:v>
      </x:c>
      <x:c r="X21" s="35" t="n">
        <x:f>IFERROR(X18*X20/SUMPRODUCT($D18:$DS18,$D20:$DS20),0)</x:f>
        <x:v>0</x:v>
      </x:c>
      <x:c r="Y21" s="35" t="n">
        <x:f>IFERROR(Y18*Y20/SUMPRODUCT($D18:$DS18,$D20:$DS20),0)</x:f>
        <x:v>0</x:v>
      </x:c>
      <x:c r="Z21" s="35" t="n">
        <x:f>IFERROR(Z18*Z20/SUMPRODUCT($D18:$DS18,$D20:$DS20),0)</x:f>
        <x:v>0</x:v>
      </x:c>
      <x:c r="AA21" s="35" t="n">
        <x:f>IFERROR(AA18*AA20/SUMPRODUCT($D18:$DS18,$D20:$DS20),0)</x:f>
        <x:v>0</x:v>
      </x:c>
      <x:c r="AB21" s="35" t="n">
        <x:f>IFERROR(AB18*AB20/SUMPRODUCT($D18:$DS18,$D20:$DS20),0)</x:f>
        <x:v>0</x:v>
      </x:c>
      <x:c r="AC21" s="35" t="n">
        <x:f>IFERROR(AC18*AC20/SUMPRODUCT($D18:$DS18,$D20:$DS20),0)</x:f>
        <x:v>0</x:v>
      </x:c>
      <x:c r="AD21" s="35" t="n">
        <x:f>IFERROR(AD18*AD20/SUMPRODUCT($D18:$DS18,$D20:$DS20),0)</x:f>
        <x:v>0</x:v>
      </x:c>
      <x:c r="AE21" s="35" t="n">
        <x:f>IFERROR(AE18*AE20/SUMPRODUCT($D18:$DS18,$D20:$DS20),0)</x:f>
        <x:v>0</x:v>
      </x:c>
      <x:c r="AF21" s="35" t="n">
        <x:f>IFERROR(AF18*AF20/SUMPRODUCT($D18:$DS18,$D20:$DS20),0)</x:f>
        <x:v>0</x:v>
      </x:c>
      <x:c r="AG21" s="35" t="n">
        <x:f>IFERROR(AG18*AG20/SUMPRODUCT($D18:$DS18,$D20:$DS20),0)</x:f>
        <x:v>0</x:v>
      </x:c>
      <x:c r="AH21" s="35" t="n">
        <x:f>IFERROR(AH18*AH20/SUMPRODUCT($D18:$DS18,$D20:$DS20),0)</x:f>
        <x:v>0</x:v>
      </x:c>
      <x:c r="AI21" s="35" t="n">
        <x:f>IFERROR(AI18*AI20/SUMPRODUCT($D18:$DS18,$D20:$DS20),0)</x:f>
        <x:v>0</x:v>
      </x:c>
      <x:c r="AJ21" s="35" t="n">
        <x:f>IFERROR(AJ18*AJ20/SUMPRODUCT($D18:$DS18,$D20:$DS20),0)</x:f>
        <x:v>0</x:v>
      </x:c>
      <x:c r="AK21" s="35" t="n">
        <x:f>IFERROR(AK18*AK20/SUMPRODUCT($D18:$DS18,$D20:$DS20),0)</x:f>
        <x:v>0</x:v>
      </x:c>
      <x:c r="AL21" s="35" t="n">
        <x:f>IFERROR(AL18*AL20/SUMPRODUCT($D18:$DS18,$D20:$DS20),0)</x:f>
        <x:v>0</x:v>
      </x:c>
      <x:c r="AM21" s="35" t="n">
        <x:f>IFERROR(AM18*AM20/SUMPRODUCT($D18:$DS18,$D20:$DS20),0)</x:f>
        <x:v>0</x:v>
      </x:c>
      <x:c r="AN21" s="35" t="n">
        <x:f>IFERROR(AN18*AN20/SUMPRODUCT($D18:$DS18,$D20:$DS20),0)</x:f>
        <x:v>0</x:v>
      </x:c>
      <x:c r="AO21" s="35" t="n">
        <x:f>IFERROR(AO18*AO20/SUMPRODUCT($D18:$DS18,$D20:$DS20),0)</x:f>
        <x:v>0</x:v>
      </x:c>
      <x:c r="AP21" s="35" t="n">
        <x:f>IFERROR(AP18*AP20/SUMPRODUCT($D18:$DS18,$D20:$DS20),0)</x:f>
        <x:v>0</x:v>
      </x:c>
      <x:c r="AQ21" s="35" t="n">
        <x:f>IFERROR(AQ18*AQ20/SUMPRODUCT($D18:$DS18,$D20:$DS20),0)</x:f>
        <x:v>0</x:v>
      </x:c>
      <x:c r="AR21" s="35" t="n">
        <x:f>IFERROR(AR18*AR20/SUMPRODUCT($D18:$DS18,$D20:$DS20),0)</x:f>
        <x:v>0</x:v>
      </x:c>
      <x:c r="AS21" s="35" t="n">
        <x:f>IFERROR(AS18*AS20/SUMPRODUCT($D18:$DS18,$D20:$DS20),0)</x:f>
        <x:v>0</x:v>
      </x:c>
      <x:c r="AT21" s="35" t="n">
        <x:f>IFERROR(AT18*AT20/SUMPRODUCT($D18:$DS18,$D20:$DS20),0)</x:f>
        <x:v>0</x:v>
      </x:c>
      <x:c r="AU21" s="35" t="n">
        <x:f>IFERROR(AU18*AU20/SUMPRODUCT($D18:$DS18,$D20:$DS20),0)</x:f>
        <x:v>0</x:v>
      </x:c>
      <x:c r="AV21" s="35" t="n">
        <x:f>IFERROR(AV18*AV20/SUMPRODUCT($D18:$DS18,$D20:$DS20),0)</x:f>
        <x:v>0</x:v>
      </x:c>
      <x:c r="AW21" s="35" t="n">
        <x:f>IFERROR(AW18*AW20/SUMPRODUCT($D18:$DS18,$D20:$DS20),0)</x:f>
        <x:v>0</x:v>
      </x:c>
      <x:c r="AX21" s="35" t="n">
        <x:f>IFERROR(AX18*AX20/SUMPRODUCT($D18:$DS18,$D20:$DS20),0)</x:f>
        <x:v>0</x:v>
      </x:c>
      <x:c r="AY21" s="35" t="n">
        <x:f>IFERROR(AY18*AY20/SUMPRODUCT($D18:$DS18,$D20:$DS20),0)</x:f>
        <x:v>0</x:v>
      </x:c>
      <x:c r="AZ21" s="35" t="n">
        <x:f>IFERROR(AZ18*AZ20/SUMPRODUCT($D18:$DS18,$D20:$DS20),0)</x:f>
        <x:v>0</x:v>
      </x:c>
      <x:c r="BA21" s="35" t="n">
        <x:f>IFERROR(BA18*BA20/SUMPRODUCT($D18:$DS18,$D20:$DS20),0)</x:f>
        <x:v>0</x:v>
      </x:c>
      <x:c r="BB21" s="35" t="n">
        <x:f>IFERROR(BB18*BB20/SUMPRODUCT($D18:$DS18,$D20:$DS20),0)</x:f>
        <x:v>0</x:v>
      </x:c>
      <x:c r="BC21" s="35" t="n">
        <x:f>IFERROR(BC18*BC20/SUMPRODUCT($D18:$DS18,$D20:$DS20),0)</x:f>
        <x:v>0</x:v>
      </x:c>
      <x:c r="BD21" s="35" t="n">
        <x:f>IFERROR(BD18*BD20/SUMPRODUCT($D18:$DS18,$D20:$DS20),0)</x:f>
        <x:v>0</x:v>
      </x:c>
      <x:c r="BE21" s="35" t="n">
        <x:f>IFERROR(BE18*BE20/SUMPRODUCT($D18:$DS18,$D20:$DS20),0)</x:f>
        <x:v>0</x:v>
      </x:c>
      <x:c r="BF21" s="35" t="n">
        <x:f>IFERROR(BF18*BF20/SUMPRODUCT($D18:$DS18,$D20:$DS20),0)</x:f>
        <x:v>0</x:v>
      </x:c>
      <x:c r="BG21" s="35" t="n">
        <x:f>IFERROR(BG18*BG20/SUMPRODUCT($D18:$DS18,$D20:$DS20),0)</x:f>
        <x:v>0</x:v>
      </x:c>
      <x:c r="BH21" s="35" t="n">
        <x:f>IFERROR(BH18*BH20/SUMPRODUCT($D18:$DS18,$D20:$DS20),0)</x:f>
        <x:v>0</x:v>
      </x:c>
      <x:c r="BI21" s="35" t="n">
        <x:f>IFERROR(BI18*BI20/SUMPRODUCT($D18:$DS18,$D20:$DS20),0)</x:f>
        <x:v>0</x:v>
      </x:c>
      <x:c r="BJ21" s="35" t="n">
        <x:f>IFERROR(BJ18*BJ20/SUMPRODUCT($D18:$DS18,$D20:$DS20),0)</x:f>
        <x:v>0</x:v>
      </x:c>
      <x:c r="BK21" s="35" t="n">
        <x:f>IFERROR(BK18*BK20/SUMPRODUCT($D18:$DS18,$D20:$DS20),0)</x:f>
        <x:v>0</x:v>
      </x:c>
      <x:c r="BL21" s="35" t="n">
        <x:f>IFERROR(BL18*BL20/SUMPRODUCT($D18:$DS18,$D20:$DS20),0)</x:f>
        <x:v>0</x:v>
      </x:c>
      <x:c r="BM21" s="35" t="n">
        <x:f>IFERROR(BM18*BM20/SUMPRODUCT($D18:$DS18,$D20:$DS20),0)</x:f>
        <x:v>0</x:v>
      </x:c>
      <x:c r="BN21" s="35" t="n">
        <x:f>IFERROR(BN18*BN20/SUMPRODUCT($D18:$DS18,$D20:$DS20),0)</x:f>
        <x:v>0</x:v>
      </x:c>
      <x:c r="BO21" s="35" t="n">
        <x:f>IFERROR(BO18*BO20/SUMPRODUCT($D18:$DS18,$D20:$DS20),0)</x:f>
        <x:v>0</x:v>
      </x:c>
      <x:c r="BP21" s="35" t="n">
        <x:f>IFERROR(BP18*BP20/SUMPRODUCT($D18:$DS18,$D20:$DS20),0)</x:f>
        <x:v>0</x:v>
      </x:c>
      <x:c r="BQ21" s="35" t="n">
        <x:f>IFERROR(BQ18*BQ20/SUMPRODUCT($D18:$DS18,$D20:$DS20),0)</x:f>
        <x:v>0</x:v>
      </x:c>
      <x:c r="BR21" s="35" t="n">
        <x:f>IFERROR(BR18*BR20/SUMPRODUCT($D18:$DS18,$D20:$DS20),0)</x:f>
        <x:v>0</x:v>
      </x:c>
      <x:c r="BS21" s="35" t="n">
        <x:f>IFERROR(BS18*BS20/SUMPRODUCT($D18:$DS18,$D20:$DS20),0)</x:f>
        <x:v>0</x:v>
      </x:c>
      <x:c r="BT21" s="35" t="n">
        <x:f>IFERROR(BT18*BT20/SUMPRODUCT($D18:$DS18,$D20:$DS20),0)</x:f>
        <x:v>0</x:v>
      </x:c>
      <x:c r="BU21" s="35" t="n">
        <x:f>IFERROR(BU18*BU20/SUMPRODUCT($D18:$DS18,$D20:$DS20),0)</x:f>
        <x:v>0</x:v>
      </x:c>
      <x:c r="BV21" s="35" t="n">
        <x:f>IFERROR(BV18*BV20/SUMPRODUCT($D18:$DS18,$D20:$DS20),0)</x:f>
        <x:v>0</x:v>
      </x:c>
      <x:c r="BW21" s="35" t="n">
        <x:f>IFERROR(BW18*BW20/SUMPRODUCT($D18:$DS18,$D20:$DS20),0)</x:f>
        <x:v>0</x:v>
      </x:c>
      <x:c r="BX21" s="35" t="n">
        <x:f>IFERROR(BX18*BX20/SUMPRODUCT($D18:$DS18,$D20:$DS20),0)</x:f>
        <x:v>0</x:v>
      </x:c>
      <x:c r="BY21" s="35" t="n">
        <x:f>IFERROR(BY18*BY20/SUMPRODUCT($D18:$DS18,$D20:$DS20),0)</x:f>
        <x:v>0</x:v>
      </x:c>
      <x:c r="BZ21" s="35" t="n">
        <x:f>IFERROR(BZ18*BZ20/SUMPRODUCT($D18:$DS18,$D20:$DS20),0)</x:f>
        <x:v>0</x:v>
      </x:c>
      <x:c r="CA21" s="35" t="n">
        <x:f>IFERROR(CA18*CA20/SUMPRODUCT($D18:$DS18,$D20:$DS20),0)</x:f>
        <x:v>0</x:v>
      </x:c>
      <x:c r="CB21" s="35" t="n">
        <x:f>IFERROR(CB18*CB20/SUMPRODUCT($D18:$DS18,$D20:$DS20),0)</x:f>
        <x:v>0</x:v>
      </x:c>
      <x:c r="CC21" s="35" t="n">
        <x:f>IFERROR(CC18*CC20/SUMPRODUCT($D18:$DS18,$D20:$DS20),0)</x:f>
        <x:v>0</x:v>
      </x:c>
      <x:c r="CD21" s="35" t="n">
        <x:f>IFERROR(CD18*CD20/SUMPRODUCT($D18:$DS18,$D20:$DS20),0)</x:f>
        <x:v>0</x:v>
      </x:c>
      <x:c r="CE21" s="35" t="n">
        <x:f>IFERROR(CE18*CE20/SUMPRODUCT($D18:$DS18,$D20:$DS20),0)</x:f>
        <x:v>0</x:v>
      </x:c>
      <x:c r="CF21" s="35" t="n">
        <x:f>IFERROR(CF18*CF20/SUMPRODUCT($D18:$DS18,$D20:$DS20),0)</x:f>
        <x:v>0</x:v>
      </x:c>
      <x:c r="CG21" s="35" t="n">
        <x:f>IFERROR(CG18*CG20/SUMPRODUCT($D18:$DS18,$D20:$DS20),0)</x:f>
        <x:v>0</x:v>
      </x:c>
      <x:c r="CH21" s="35" t="n">
        <x:f>IFERROR(CH18*CH20/SUMPRODUCT($D18:$DS18,$D20:$DS20),0)</x:f>
        <x:v>0</x:v>
      </x:c>
      <x:c r="CI21" s="35" t="n">
        <x:f>IFERROR(CI18*CI20/SUMPRODUCT($D18:$DS18,$D20:$DS20),0)</x:f>
        <x:v>0</x:v>
      </x:c>
      <x:c r="CJ21" s="35" t="n">
        <x:f>IFERROR(CJ18*CJ20/SUMPRODUCT($D18:$DS18,$D20:$DS20),0)</x:f>
        <x:v>0</x:v>
      </x:c>
      <x:c r="CK21" s="35" t="n">
        <x:f>IFERROR(CK18*CK20/SUMPRODUCT($D18:$DS18,$D20:$DS20),0)</x:f>
        <x:v>0</x:v>
      </x:c>
      <x:c r="CL21" s="35" t="n">
        <x:f>IFERROR(CL18*CL20/SUMPRODUCT($D18:$DS18,$D20:$DS20),0)</x:f>
        <x:v>0</x:v>
      </x:c>
      <x:c r="CM21" s="35" t="n">
        <x:f>IFERROR(CM18*CM20/SUMPRODUCT($D18:$DS18,$D20:$DS20),0)</x:f>
        <x:v>0</x:v>
      </x:c>
      <x:c r="CN21" s="35" t="n">
        <x:f>IFERROR(CN18*CN20/SUMPRODUCT($D18:$DS18,$D20:$DS20),0)</x:f>
        <x:v>0</x:v>
      </x:c>
      <x:c r="CO21" s="35" t="n">
        <x:f>IFERROR(CO18*CO20/SUMPRODUCT($D18:$DS18,$D20:$DS20),0)</x:f>
        <x:v>0</x:v>
      </x:c>
      <x:c r="CP21" s="35" t="n">
        <x:f>IFERROR(CP18*CP20/SUMPRODUCT($D18:$DS18,$D20:$DS20),0)</x:f>
        <x:v>0</x:v>
      </x:c>
      <x:c r="CQ21" s="35" t="n">
        <x:f>IFERROR(CQ18*CQ20/SUMPRODUCT($D18:$DS18,$D20:$DS20),0)</x:f>
        <x:v>0</x:v>
      </x:c>
      <x:c r="CR21" s="35" t="n">
        <x:f>IFERROR(CR18*CR20/SUMPRODUCT($D18:$DS18,$D20:$DS20),0)</x:f>
        <x:v>0</x:v>
      </x:c>
      <x:c r="CS21" s="35" t="n">
        <x:f>IFERROR(CS18*CS20/SUMPRODUCT($D18:$DS18,$D20:$DS20),0)</x:f>
        <x:v>0</x:v>
      </x:c>
      <x:c r="CT21" s="35" t="n">
        <x:f>IFERROR(CT18*CT20/SUMPRODUCT($D18:$DS18,$D20:$DS20),0)</x:f>
        <x:v>0</x:v>
      </x:c>
      <x:c r="CU21" s="35" t="n">
        <x:f>IFERROR(CU18*CU20/SUMPRODUCT($D18:$DS18,$D20:$DS20),0)</x:f>
        <x:v>0</x:v>
      </x:c>
      <x:c r="CV21" s="35" t="n">
        <x:f>IFERROR(CV18*CV20/SUMPRODUCT($D18:$DS18,$D20:$DS20),0)</x:f>
        <x:v>0</x:v>
      </x:c>
      <x:c r="CW21" s="35" t="n">
        <x:f>IFERROR(CW18*CW20/SUMPRODUCT($D18:$DS18,$D20:$DS20),0)</x:f>
        <x:v>0</x:v>
      </x:c>
      <x:c r="CX21" s="35" t="n">
        <x:f>IFERROR(CX18*CX20/SUMPRODUCT($D18:$DS18,$D20:$DS20),0)</x:f>
        <x:v>0</x:v>
      </x:c>
      <x:c r="CY21" s="35" t="n">
        <x:f>IFERROR(CY18*CY20/SUMPRODUCT($D18:$DS18,$D20:$DS20),0)</x:f>
        <x:v>0</x:v>
      </x:c>
      <x:c r="CZ21" s="35" t="n">
        <x:f>IFERROR(CZ18*CZ20/SUMPRODUCT($D18:$DS18,$D20:$DS20),0)</x:f>
        <x:v>0</x:v>
      </x:c>
      <x:c r="DA21" s="35" t="n">
        <x:f>IFERROR(DA18*DA20/SUMPRODUCT($D18:$DS18,$D20:$DS20),0)</x:f>
        <x:v>0</x:v>
      </x:c>
      <x:c r="DB21" s="35" t="n">
        <x:f>IFERROR(DB18*DB20/SUMPRODUCT($D18:$DS18,$D20:$DS20),0)</x:f>
        <x:v>0</x:v>
      </x:c>
      <x:c r="DC21" s="35" t="n">
        <x:f>IFERROR(DC18*DC20/SUMPRODUCT($D18:$DS18,$D20:$DS20),0)</x:f>
        <x:v>0</x:v>
      </x:c>
      <x:c r="DD21" s="35" t="n">
        <x:f>IFERROR(DD18*DD20/SUMPRODUCT($D18:$DS18,$D20:$DS20),0)</x:f>
        <x:v>0</x:v>
      </x:c>
      <x:c r="DE21" s="35" t="n">
        <x:f>IFERROR(DE18*DE20/SUMPRODUCT($D18:$DS18,$D20:$DS20),0)</x:f>
        <x:v>0</x:v>
      </x:c>
      <x:c r="DF21" s="35" t="n">
        <x:f>IFERROR(DF18*DF20/SUMPRODUCT($D18:$DS18,$D20:$DS20),0)</x:f>
        <x:v>0</x:v>
      </x:c>
      <x:c r="DG21" s="35" t="n">
        <x:f>IFERROR(DG18*DG20/SUMPRODUCT($D18:$DS18,$D20:$DS20),0)</x:f>
        <x:v>0</x:v>
      </x:c>
      <x:c r="DH21" s="35" t="n">
        <x:f>IFERROR(DH18*DH20/SUMPRODUCT($D18:$DS18,$D20:$DS20),0)</x:f>
        <x:v>0</x:v>
      </x:c>
      <x:c r="DI21" s="35" t="n">
        <x:f>IFERROR(DI18*DI20/SUMPRODUCT($D18:$DS18,$D20:$DS20),0)</x:f>
        <x:v>0</x:v>
      </x:c>
      <x:c r="DJ21" s="35" t="n">
        <x:f>IFERROR(DJ18*DJ20/SUMPRODUCT($D18:$DS18,$D20:$DS20),0)</x:f>
        <x:v>0</x:v>
      </x:c>
      <x:c r="DK21" s="35" t="n">
        <x:f>IFERROR(DK18*DK20/SUMPRODUCT($D18:$DS18,$D20:$DS20),0)</x:f>
        <x:v>0</x:v>
      </x:c>
      <x:c r="DL21" s="35" t="n">
        <x:f>IFERROR(DL18*DL20/SUMPRODUCT($D18:$DS18,$D20:$DS20),0)</x:f>
        <x:v>0</x:v>
      </x:c>
      <x:c r="DM21" s="35" t="n">
        <x:f>IFERROR(DM18*DM20/SUMPRODUCT($D18:$DS18,$D20:$DS20),0)</x:f>
        <x:v>0</x:v>
      </x:c>
      <x:c r="DN21" s="35" t="n">
        <x:f>IFERROR(DN18*DN20/SUMPRODUCT($D18:$DS18,$D20:$DS20),0)</x:f>
        <x:v>0</x:v>
      </x:c>
      <x:c r="DO21" s="35" t="n">
        <x:f>IFERROR(DO18*DO20/SUMPRODUCT($D18:$DS18,$D20:$DS20),0)</x:f>
        <x:v>0</x:v>
      </x:c>
      <x:c r="DP21" s="35" t="n">
        <x:f>IFERROR(DP18*DP20/SUMPRODUCT($D18:$DS18,$D20:$DS20),0)</x:f>
        <x:v>0</x:v>
      </x:c>
      <x:c r="DQ21" s="35" t="n">
        <x:f>IFERROR(DQ18*DQ20/SUMPRODUCT($D18:$DS18,$D20:$DS20),0)</x:f>
        <x:v>0</x:v>
      </x:c>
      <x:c r="DR21" s="35" t="n">
        <x:f>IFERROR(DR18*DR20/SUMPRODUCT($D18:$DS18,$D20:$DS20),0)</x:f>
        <x:v>0</x:v>
      </x:c>
      <x:c r="DS21" s="35" t="n">
        <x:f>IFERROR(DS18*DS20/SUMPRODUCT($D18:$DS18,$D20:$DS20),0)</x:f>
        <x:v>0</x:v>
      </x:c>
    </x:row>
    <x:row r="22">
      <x:c r="A22" t="str">
        <x:v>Реализованный объём</x:v>
      </x:c>
      <x:c r="B22" s="132" t="n">
        <x:f>SUM(D22:DS22)</x:f>
        <x:v>0</x:v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  <x:v>0</x:v>
      </x:c>
      <x:c r="E22" s="132" t="n">
        <x:f>$B$13*((IF(SUM($D17:$DS17)=0,0,IF(SUM($D20:$DS20)=0,1,'Вводные'!$K$32)))*E19+(1-(IF(SUM($D17:$DS17)=0,0,IF(SUM($D20:$DS20)=0,1,'Вводные'!$K$32))))*E21)</x:f>
        <x:v>0</x:v>
      </x:c>
      <x:c r="F22" s="132" t="n">
        <x:f>$B$13*((IF(SUM($D17:$DS17)=0,0,IF(SUM($D20:$DS20)=0,1,'Вводные'!$K$32)))*F19+(1-(IF(SUM($D17:$DS17)=0,0,IF(SUM($D20:$DS20)=0,1,'Вводные'!$K$32))))*F21)</x:f>
        <x:v>0</x:v>
      </x:c>
      <x:c r="G22" s="132" t="n">
        <x:f>$B$13*((IF(SUM($D17:$DS17)=0,0,IF(SUM($D20:$DS20)=0,1,'Вводные'!$K$32)))*G19+(1-(IF(SUM($D17:$DS17)=0,0,IF(SUM($D20:$DS20)=0,1,'Вводные'!$K$32))))*G21)</x:f>
        <x:v>0</x:v>
      </x:c>
      <x:c r="H22" s="132" t="n">
        <x:f>$B$13*((IF(SUM($D17:$DS17)=0,0,IF(SUM($D20:$DS20)=0,1,'Вводные'!$K$32)))*H19+(1-(IF(SUM($D17:$DS17)=0,0,IF(SUM($D20:$DS20)=0,1,'Вводные'!$K$32))))*H21)</x:f>
        <x:v>0</x:v>
      </x:c>
      <x:c r="I22" s="132" t="n">
        <x:f>$B$13*((IF(SUM($D17:$DS17)=0,0,IF(SUM($D20:$DS20)=0,1,'Вводные'!$K$32)))*I19+(1-(IF(SUM($D17:$DS17)=0,0,IF(SUM($D20:$DS20)=0,1,'Вводные'!$K$32))))*I21)</x:f>
        <x:v>0</x:v>
      </x:c>
      <x:c r="J22" s="132" t="n">
        <x:f>$B$13*((IF(SUM($D17:$DS17)=0,0,IF(SUM($D20:$DS20)=0,1,'Вводные'!$K$32)))*J19+(1-(IF(SUM($D17:$DS17)=0,0,IF(SUM($D20:$DS20)=0,1,'Вводные'!$K$32))))*J21)</x:f>
        <x:v>0</x:v>
      </x:c>
      <x:c r="K22" s="132" t="n">
        <x:f>$B$13*((IF(SUM($D17:$DS17)=0,0,IF(SUM($D20:$DS20)=0,1,'Вводные'!$K$32)))*K19+(1-(IF(SUM($D17:$DS17)=0,0,IF(SUM($D20:$DS20)=0,1,'Вводные'!$K$32))))*K21)</x:f>
        <x:v>0</x:v>
      </x:c>
      <x:c r="L22" s="132" t="n">
        <x:f>$B$13*((IF(SUM($D17:$DS17)=0,0,IF(SUM($D20:$DS20)=0,1,'Вводные'!$K$32)))*L19+(1-(IF(SUM($D17:$DS17)=0,0,IF(SUM($D20:$DS20)=0,1,'Вводные'!$K$32))))*L21)</x:f>
        <x:v>0</x:v>
      </x:c>
      <x:c r="M22" s="132" t="n">
        <x:f>$B$13*((IF(SUM($D17:$DS17)=0,0,IF(SUM($D20:$DS20)=0,1,'Вводные'!$K$32)))*M19+(1-(IF(SUM($D17:$DS17)=0,0,IF(SUM($D20:$DS20)=0,1,'Вводные'!$K$32))))*M21)</x:f>
        <x:v>0</x:v>
      </x:c>
      <x:c r="N22" s="132" t="n">
        <x:f>$B$13*((IF(SUM($D17:$DS17)=0,0,IF(SUM($D20:$DS20)=0,1,'Вводные'!$K$32)))*N19+(1-(IF(SUM($D17:$DS17)=0,0,IF(SUM($D20:$DS20)=0,1,'Вводные'!$K$32))))*N21)</x:f>
        <x:v>0</x:v>
      </x:c>
      <x:c r="O22" s="132" t="n">
        <x:f>$B$13*((IF(SUM($D17:$DS17)=0,0,IF(SUM($D20:$DS20)=0,1,'Вводные'!$K$32)))*O19+(1-(IF(SUM($D17:$DS17)=0,0,IF(SUM($D20:$DS20)=0,1,'Вводные'!$K$32))))*O21)</x:f>
        <x:v>0</x:v>
      </x:c>
      <x:c r="P22" s="132" t="n">
        <x:f>$B$13*((IF(SUM($D17:$DS17)=0,0,IF(SUM($D20:$DS20)=0,1,'Вводные'!$K$32)))*P19+(1-(IF(SUM($D17:$DS17)=0,0,IF(SUM($D20:$DS20)=0,1,'Вводные'!$K$32))))*P21)</x:f>
        <x:v>0</x:v>
      </x:c>
      <x:c r="Q22" s="132" t="n">
        <x:f>$B$13*((IF(SUM($D17:$DS17)=0,0,IF(SUM($D20:$DS20)=0,1,'Вводные'!$K$32)))*Q19+(1-(IF(SUM($D17:$DS17)=0,0,IF(SUM($D20:$DS20)=0,1,'Вводные'!$K$32))))*Q21)</x:f>
        <x:v>0</x:v>
      </x:c>
      <x:c r="R22" s="132" t="n">
        <x:f>$B$13*((IF(SUM($D17:$DS17)=0,0,IF(SUM($D20:$DS20)=0,1,'Вводные'!$K$32)))*R19+(1-(IF(SUM($D17:$DS17)=0,0,IF(SUM($D20:$DS20)=0,1,'Вводные'!$K$32))))*R21)</x:f>
        <x:v>0</x:v>
      </x:c>
      <x:c r="S22" s="132" t="n">
        <x:f>$B$13*((IF(SUM($D17:$DS17)=0,0,IF(SUM($D20:$DS20)=0,1,'Вводные'!$K$32)))*S19+(1-(IF(SUM($D17:$DS17)=0,0,IF(SUM($D20:$DS20)=0,1,'Вводные'!$K$32))))*S21)</x:f>
        <x:v>0</x:v>
      </x:c>
      <x:c r="T22" s="132" t="n">
        <x:f>$B$13*((IF(SUM($D17:$DS17)=0,0,IF(SUM($D20:$DS20)=0,1,'Вводные'!$K$32)))*T19+(1-(IF(SUM($D17:$DS17)=0,0,IF(SUM($D20:$DS20)=0,1,'Вводные'!$K$32))))*T21)</x:f>
        <x:v>0</x:v>
      </x:c>
      <x:c r="U22" s="132" t="n">
        <x:f>$B$13*((IF(SUM($D17:$DS17)=0,0,IF(SUM($D20:$DS20)=0,1,'Вводные'!$K$32)))*U19+(1-(IF(SUM($D17:$DS17)=0,0,IF(SUM($D20:$DS20)=0,1,'Вводные'!$K$32))))*U21)</x:f>
        <x:v>0</x:v>
      </x:c>
      <x:c r="V22" s="132" t="n">
        <x:f>$B$13*((IF(SUM($D17:$DS17)=0,0,IF(SUM($D20:$DS20)=0,1,'Вводные'!$K$32)))*V19+(1-(IF(SUM($D17:$DS17)=0,0,IF(SUM($D20:$DS20)=0,1,'Вводные'!$K$32))))*V21)</x:f>
        <x:v>0</x:v>
      </x:c>
      <x:c r="W22" s="132" t="n">
        <x:f>$B$13*((IF(SUM($D17:$DS17)=0,0,IF(SUM($D20:$DS20)=0,1,'Вводные'!$K$32)))*W19+(1-(IF(SUM($D17:$DS17)=0,0,IF(SUM($D20:$DS20)=0,1,'Вводные'!$K$32))))*W21)</x:f>
        <x:v>0</x:v>
      </x:c>
      <x:c r="X22" s="132" t="n">
        <x:f>$B$13*((IF(SUM($D17:$DS17)=0,0,IF(SUM($D20:$DS20)=0,1,'Вводные'!$K$32)))*X19+(1-(IF(SUM($D17:$DS17)=0,0,IF(SUM($D20:$DS20)=0,1,'Вводные'!$K$32))))*X21)</x:f>
        <x:v>0</x:v>
      </x:c>
      <x:c r="Y22" s="132" t="n">
        <x:f>$B$13*((IF(SUM($D17:$DS17)=0,0,IF(SUM($D20:$DS20)=0,1,'Вводные'!$K$32)))*Y19+(1-(IF(SUM($D17:$DS17)=0,0,IF(SUM($D20:$DS20)=0,1,'Вводные'!$K$32))))*Y21)</x:f>
        <x:v>0</x:v>
      </x:c>
      <x:c r="Z22" s="132" t="n">
        <x:f>$B$13*((IF(SUM($D17:$DS17)=0,0,IF(SUM($D20:$DS20)=0,1,'Вводные'!$K$32)))*Z19+(1-(IF(SUM($D17:$DS17)=0,0,IF(SUM($D20:$DS20)=0,1,'Вводные'!$K$32))))*Z21)</x:f>
        <x:v>0</x:v>
      </x:c>
      <x:c r="AA22" s="132" t="n">
        <x:f>$B$13*((IF(SUM($D17:$DS17)=0,0,IF(SUM($D20:$DS20)=0,1,'Вводные'!$K$32)))*AA19+(1-(IF(SUM($D17:$DS17)=0,0,IF(SUM($D20:$DS20)=0,1,'Вводные'!$K$32))))*AA21)</x:f>
        <x:v>0</x:v>
      </x:c>
      <x:c r="AB22" s="132" t="n">
        <x:f>$B$13*((IF(SUM($D17:$DS17)=0,0,IF(SUM($D20:$DS20)=0,1,'Вводные'!$K$32)))*AB19+(1-(IF(SUM($D17:$DS17)=0,0,IF(SUM($D20:$DS20)=0,1,'Вводные'!$K$32))))*AB21)</x:f>
        <x:v>0</x:v>
      </x:c>
      <x:c r="AC22" s="132" t="n">
        <x:f>$B$13*((IF(SUM($D17:$DS17)=0,0,IF(SUM($D20:$DS20)=0,1,'Вводные'!$K$32)))*AC19+(1-(IF(SUM($D17:$DS17)=0,0,IF(SUM($D20:$DS20)=0,1,'Вводные'!$K$32))))*AC21)</x:f>
        <x:v>0</x:v>
      </x:c>
      <x:c r="AD22" s="132" t="n">
        <x:f>$B$13*((IF(SUM($D17:$DS17)=0,0,IF(SUM($D20:$DS20)=0,1,'Вводные'!$K$32)))*AD19+(1-(IF(SUM($D17:$DS17)=0,0,IF(SUM($D20:$DS20)=0,1,'Вводные'!$K$32))))*AD21)</x:f>
        <x:v>0</x:v>
      </x:c>
      <x:c r="AE22" s="132" t="n">
        <x:f>$B$13*((IF(SUM($D17:$DS17)=0,0,IF(SUM($D20:$DS20)=0,1,'Вводные'!$K$32)))*AE19+(1-(IF(SUM($D17:$DS17)=0,0,IF(SUM($D20:$DS20)=0,1,'Вводные'!$K$32))))*AE21)</x:f>
        <x:v>0</x:v>
      </x:c>
      <x:c r="AF22" s="132" t="n">
        <x:f>$B$13*((IF(SUM($D17:$DS17)=0,0,IF(SUM($D20:$DS20)=0,1,'Вводные'!$K$32)))*AF19+(1-(IF(SUM($D17:$DS17)=0,0,IF(SUM($D20:$DS20)=0,1,'Вводные'!$K$32))))*AF21)</x:f>
        <x:v>0</x:v>
      </x:c>
      <x:c r="AG22" s="132" t="n">
        <x:f>$B$13*((IF(SUM($D17:$DS17)=0,0,IF(SUM($D20:$DS20)=0,1,'Вводные'!$K$32)))*AG19+(1-(IF(SUM($D17:$DS17)=0,0,IF(SUM($D20:$DS20)=0,1,'Вводные'!$K$32))))*AG21)</x:f>
        <x:v>0</x:v>
      </x:c>
      <x:c r="AH22" s="132" t="n">
        <x:f>$B$13*((IF(SUM($D17:$DS17)=0,0,IF(SUM($D20:$DS20)=0,1,'Вводные'!$K$32)))*AH19+(1-(IF(SUM($D17:$DS17)=0,0,IF(SUM($D20:$DS20)=0,1,'Вводные'!$K$32))))*AH21)</x:f>
        <x:v>0</x:v>
      </x:c>
      <x:c r="AI22" s="132" t="n">
        <x:f>$B$13*((IF(SUM($D17:$DS17)=0,0,IF(SUM($D20:$DS20)=0,1,'Вводные'!$K$32)))*AI19+(1-(IF(SUM($D17:$DS17)=0,0,IF(SUM($D20:$DS20)=0,1,'Вводные'!$K$32))))*AI21)</x:f>
        <x:v>0</x:v>
      </x:c>
      <x:c r="AJ22" s="132" t="n">
        <x:f>$B$13*((IF(SUM($D17:$DS17)=0,0,IF(SUM($D20:$DS20)=0,1,'Вводные'!$K$32)))*AJ19+(1-(IF(SUM($D17:$DS17)=0,0,IF(SUM($D20:$DS20)=0,1,'Вводные'!$K$32))))*AJ21)</x:f>
        <x:v>0</x:v>
      </x:c>
      <x:c r="AK22" s="132" t="n">
        <x:f>$B$13*((IF(SUM($D17:$DS17)=0,0,IF(SUM($D20:$DS20)=0,1,'Вводные'!$K$32)))*AK19+(1-(IF(SUM($D17:$DS17)=0,0,IF(SUM($D20:$DS20)=0,1,'Вводные'!$K$32))))*AK21)</x:f>
        <x:v>0</x:v>
      </x:c>
      <x:c r="AL22" s="132" t="n">
        <x:f>$B$13*((IF(SUM($D17:$DS17)=0,0,IF(SUM($D20:$DS20)=0,1,'Вводные'!$K$32)))*AL19+(1-(IF(SUM($D17:$DS17)=0,0,IF(SUM($D20:$DS20)=0,1,'Вводные'!$K$32))))*AL21)</x:f>
        <x:v>0</x:v>
      </x:c>
      <x:c r="AM22" s="132" t="n">
        <x:f>$B$13*((IF(SUM($D17:$DS17)=0,0,IF(SUM($D20:$DS20)=0,1,'Вводные'!$K$32)))*AM19+(1-(IF(SUM($D17:$DS17)=0,0,IF(SUM($D20:$DS20)=0,1,'Вводные'!$K$32))))*AM21)</x:f>
        <x:v>0</x:v>
      </x:c>
      <x:c r="AN22" s="132" t="n">
        <x:f>$B$13*((IF(SUM($D17:$DS17)=0,0,IF(SUM($D20:$DS20)=0,1,'Вводные'!$K$32)))*AN19+(1-(IF(SUM($D17:$DS17)=0,0,IF(SUM($D20:$DS20)=0,1,'Вводные'!$K$32))))*AN21)</x:f>
        <x:v>0</x:v>
      </x:c>
      <x:c r="AO22" s="132" t="n">
        <x:f>$B$13*((IF(SUM($D17:$DS17)=0,0,IF(SUM($D20:$DS20)=0,1,'Вводные'!$K$32)))*AO19+(1-(IF(SUM($D17:$DS17)=0,0,IF(SUM($D20:$DS20)=0,1,'Вводные'!$K$32))))*AO21)</x:f>
        <x:v>0</x:v>
      </x:c>
      <x:c r="AP22" s="132" t="n">
        <x:f>$B$13*((IF(SUM($D17:$DS17)=0,0,IF(SUM($D20:$DS20)=0,1,'Вводные'!$K$32)))*AP19+(1-(IF(SUM($D17:$DS17)=0,0,IF(SUM($D20:$DS20)=0,1,'Вводные'!$K$32))))*AP21)</x:f>
        <x:v>0</x:v>
      </x:c>
      <x:c r="AQ22" s="132" t="n">
        <x:f>$B$13*((IF(SUM($D17:$DS17)=0,0,IF(SUM($D20:$DS20)=0,1,'Вводные'!$K$32)))*AQ19+(1-(IF(SUM($D17:$DS17)=0,0,IF(SUM($D20:$DS20)=0,1,'Вводные'!$K$32))))*AQ21)</x:f>
        <x:v>0</x:v>
      </x:c>
      <x:c r="AR22" s="132" t="n">
        <x:f>$B$13*((IF(SUM($D17:$DS17)=0,0,IF(SUM($D20:$DS20)=0,1,'Вводные'!$K$32)))*AR19+(1-(IF(SUM($D17:$DS17)=0,0,IF(SUM($D20:$DS20)=0,1,'Вводные'!$K$32))))*AR21)</x:f>
        <x:v>0</x:v>
      </x:c>
      <x:c r="AS22" s="132" t="n">
        <x:f>$B$13*((IF(SUM($D17:$DS17)=0,0,IF(SUM($D20:$DS20)=0,1,'Вводные'!$K$32)))*AS19+(1-(IF(SUM($D17:$DS17)=0,0,IF(SUM($D20:$DS20)=0,1,'Вводные'!$K$32))))*AS21)</x:f>
        <x:v>0</x:v>
      </x:c>
      <x:c r="AT22" s="132" t="n">
        <x:f>$B$13*((IF(SUM($D17:$DS17)=0,0,IF(SUM($D20:$DS20)=0,1,'Вводные'!$K$32)))*AT19+(1-(IF(SUM($D17:$DS17)=0,0,IF(SUM($D20:$DS20)=0,1,'Вводные'!$K$32))))*AT21)</x:f>
        <x:v>0</x:v>
      </x:c>
      <x:c r="AU22" s="132" t="n">
        <x:f>$B$13*((IF(SUM($D17:$DS17)=0,0,IF(SUM($D20:$DS20)=0,1,'Вводные'!$K$32)))*AU19+(1-(IF(SUM($D17:$DS17)=0,0,IF(SUM($D20:$DS20)=0,1,'Вводные'!$K$32))))*AU21)</x:f>
        <x:v>0</x:v>
      </x:c>
      <x:c r="AV22" s="132" t="n">
        <x:f>$B$13*((IF(SUM($D17:$DS17)=0,0,IF(SUM($D20:$DS20)=0,1,'Вводные'!$K$32)))*AV19+(1-(IF(SUM($D17:$DS17)=0,0,IF(SUM($D20:$DS20)=0,1,'Вводные'!$K$32))))*AV21)</x:f>
        <x:v>0</x:v>
      </x:c>
      <x:c r="AW22" s="132" t="n">
        <x:f>$B$13*((IF(SUM($D17:$DS17)=0,0,IF(SUM($D20:$DS20)=0,1,'Вводные'!$K$32)))*AW19+(1-(IF(SUM($D17:$DS17)=0,0,IF(SUM($D20:$DS20)=0,1,'Вводные'!$K$32))))*AW21)</x:f>
        <x:v>0</x:v>
      </x:c>
      <x:c r="AX22" s="132" t="n">
        <x:f>$B$13*((IF(SUM($D17:$DS17)=0,0,IF(SUM($D20:$DS20)=0,1,'Вводные'!$K$32)))*AX19+(1-(IF(SUM($D17:$DS17)=0,0,IF(SUM($D20:$DS20)=0,1,'Вводные'!$K$32))))*AX21)</x:f>
        <x:v>0</x:v>
      </x:c>
      <x:c r="AY22" s="132" t="n">
        <x:f>$B$13*((IF(SUM($D17:$DS17)=0,0,IF(SUM($D20:$DS20)=0,1,'Вводные'!$K$32)))*AY19+(1-(IF(SUM($D17:$DS17)=0,0,IF(SUM($D20:$DS20)=0,1,'Вводные'!$K$32))))*AY21)</x:f>
        <x:v>0</x:v>
      </x:c>
      <x:c r="AZ22" s="132" t="n">
        <x:f>$B$13*((IF(SUM($D17:$DS17)=0,0,IF(SUM($D20:$DS20)=0,1,'Вводные'!$K$32)))*AZ19+(1-(IF(SUM($D17:$DS17)=0,0,IF(SUM($D20:$DS20)=0,1,'Вводные'!$K$32))))*AZ21)</x:f>
        <x:v>0</x:v>
      </x:c>
      <x:c r="BA22" s="132" t="n">
        <x:f>$B$13*((IF(SUM($D17:$DS17)=0,0,IF(SUM($D20:$DS20)=0,1,'Вводные'!$K$32)))*BA19+(1-(IF(SUM($D17:$DS17)=0,0,IF(SUM($D20:$DS20)=0,1,'Вводные'!$K$32))))*BA21)</x:f>
        <x:v>0</x:v>
      </x:c>
      <x:c r="BB22" s="132" t="n">
        <x:f>$B$13*((IF(SUM($D17:$DS17)=0,0,IF(SUM($D20:$DS20)=0,1,'Вводные'!$K$32)))*BB19+(1-(IF(SUM($D17:$DS17)=0,0,IF(SUM($D20:$DS20)=0,1,'Вводные'!$K$32))))*BB21)</x:f>
        <x:v>0</x:v>
      </x:c>
      <x:c r="BC22" s="132" t="n">
        <x:f>$B$13*((IF(SUM($D17:$DS17)=0,0,IF(SUM($D20:$DS20)=0,1,'Вводные'!$K$32)))*BC19+(1-(IF(SUM($D17:$DS17)=0,0,IF(SUM($D20:$DS20)=0,1,'Вводные'!$K$32))))*BC21)</x:f>
        <x:v>0</x:v>
      </x:c>
      <x:c r="BD22" s="132" t="n">
        <x:f>$B$13*((IF(SUM($D17:$DS17)=0,0,IF(SUM($D20:$DS20)=0,1,'Вводные'!$K$32)))*BD19+(1-(IF(SUM($D17:$DS17)=0,0,IF(SUM($D20:$DS20)=0,1,'Вводные'!$K$32))))*BD21)</x:f>
        <x:v>0</x:v>
      </x:c>
      <x:c r="BE22" s="132" t="n">
        <x:f>$B$13*((IF(SUM($D17:$DS17)=0,0,IF(SUM($D20:$DS20)=0,1,'Вводные'!$K$32)))*BE19+(1-(IF(SUM($D17:$DS17)=0,0,IF(SUM($D20:$DS20)=0,1,'Вводные'!$K$32))))*BE21)</x:f>
        <x:v>0</x:v>
      </x:c>
      <x:c r="BF22" s="132" t="n">
        <x:f>$B$13*((IF(SUM($D17:$DS17)=0,0,IF(SUM($D20:$DS20)=0,1,'Вводные'!$K$32)))*BF19+(1-(IF(SUM($D17:$DS17)=0,0,IF(SUM($D20:$DS20)=0,1,'Вводные'!$K$32))))*BF21)</x:f>
        <x:v>0</x:v>
      </x:c>
      <x:c r="BG22" s="132" t="n">
        <x:f>$B$13*((IF(SUM($D17:$DS17)=0,0,IF(SUM($D20:$DS20)=0,1,'Вводные'!$K$32)))*BG19+(1-(IF(SUM($D17:$DS17)=0,0,IF(SUM($D20:$DS20)=0,1,'Вводные'!$K$32))))*BG21)</x:f>
        <x:v>0</x:v>
      </x:c>
      <x:c r="BH22" s="132" t="n">
        <x:f>$B$13*((IF(SUM($D17:$DS17)=0,0,IF(SUM($D20:$DS20)=0,1,'Вводные'!$K$32)))*BH19+(1-(IF(SUM($D17:$DS17)=0,0,IF(SUM($D20:$DS20)=0,1,'Вводные'!$K$32))))*BH21)</x:f>
        <x:v>0</x:v>
      </x:c>
      <x:c r="BI22" s="132" t="n">
        <x:f>$B$13*((IF(SUM($D17:$DS17)=0,0,IF(SUM($D20:$DS20)=0,1,'Вводные'!$K$32)))*BI19+(1-(IF(SUM($D17:$DS17)=0,0,IF(SUM($D20:$DS20)=0,1,'Вводные'!$K$32))))*BI21)</x:f>
        <x:v>0</x:v>
      </x:c>
      <x:c r="BJ22" s="132" t="n">
        <x:f>$B$13*((IF(SUM($D17:$DS17)=0,0,IF(SUM($D20:$DS20)=0,1,'Вводные'!$K$32)))*BJ19+(1-(IF(SUM($D17:$DS17)=0,0,IF(SUM($D20:$DS20)=0,1,'Вводные'!$K$32))))*BJ21)</x:f>
        <x:v>0</x:v>
      </x:c>
      <x:c r="BK22" s="132" t="n">
        <x:f>$B$13*((IF(SUM($D17:$DS17)=0,0,IF(SUM($D20:$DS20)=0,1,'Вводные'!$K$32)))*BK19+(1-(IF(SUM($D17:$DS17)=0,0,IF(SUM($D20:$DS20)=0,1,'Вводные'!$K$32))))*BK21)</x:f>
        <x:v>0</x:v>
      </x:c>
      <x:c r="BL22" s="132" t="n">
        <x:f>$B$13*((IF(SUM($D17:$DS17)=0,0,IF(SUM($D20:$DS20)=0,1,'Вводные'!$K$32)))*BL19+(1-(IF(SUM($D17:$DS17)=0,0,IF(SUM($D20:$DS20)=0,1,'Вводные'!$K$32))))*BL21)</x:f>
        <x:v>0</x:v>
      </x:c>
      <x:c r="BM22" s="132" t="n">
        <x:f>$B$13*((IF(SUM($D17:$DS17)=0,0,IF(SUM($D20:$DS20)=0,1,'Вводные'!$K$32)))*BM19+(1-(IF(SUM($D17:$DS17)=0,0,IF(SUM($D20:$DS20)=0,1,'Вводные'!$K$32))))*BM21)</x:f>
        <x:v>0</x:v>
      </x:c>
      <x:c r="BN22" s="132" t="n">
        <x:f>$B$13*((IF(SUM($D17:$DS17)=0,0,IF(SUM($D20:$DS20)=0,1,'Вводные'!$K$32)))*BN19+(1-(IF(SUM($D17:$DS17)=0,0,IF(SUM($D20:$DS20)=0,1,'Вводные'!$K$32))))*BN21)</x:f>
        <x:v>0</x:v>
      </x:c>
      <x:c r="BO22" s="132" t="n">
        <x:f>$B$13*((IF(SUM($D17:$DS17)=0,0,IF(SUM($D20:$DS20)=0,1,'Вводные'!$K$32)))*BO19+(1-(IF(SUM($D17:$DS17)=0,0,IF(SUM($D20:$DS20)=0,1,'Вводные'!$K$32))))*BO21)</x:f>
        <x:v>0</x:v>
      </x:c>
      <x:c r="BP22" s="132" t="n">
        <x:f>$B$13*((IF(SUM($D17:$DS17)=0,0,IF(SUM($D20:$DS20)=0,1,'Вводные'!$K$32)))*BP19+(1-(IF(SUM($D17:$DS17)=0,0,IF(SUM($D20:$DS20)=0,1,'Вводные'!$K$32))))*BP21)</x:f>
        <x:v>0</x:v>
      </x:c>
      <x:c r="BQ22" s="132" t="n">
        <x:f>$B$13*((IF(SUM($D17:$DS17)=0,0,IF(SUM($D20:$DS20)=0,1,'Вводные'!$K$32)))*BQ19+(1-(IF(SUM($D17:$DS17)=0,0,IF(SUM($D20:$DS20)=0,1,'Вводные'!$K$32))))*BQ21)</x:f>
        <x:v>0</x:v>
      </x:c>
      <x:c r="BR22" s="132" t="n">
        <x:f>$B$13*((IF(SUM($D17:$DS17)=0,0,IF(SUM($D20:$DS20)=0,1,'Вводные'!$K$32)))*BR19+(1-(IF(SUM($D17:$DS17)=0,0,IF(SUM($D20:$DS20)=0,1,'Вводные'!$K$32))))*BR21)</x:f>
        <x:v>0</x:v>
      </x:c>
      <x:c r="BS22" s="132" t="n">
        <x:f>$B$13*((IF(SUM($D17:$DS17)=0,0,IF(SUM($D20:$DS20)=0,1,'Вводные'!$K$32)))*BS19+(1-(IF(SUM($D17:$DS17)=0,0,IF(SUM($D20:$DS20)=0,1,'Вводные'!$K$32))))*BS21)</x:f>
        <x:v>0</x:v>
      </x:c>
      <x:c r="BT22" s="132" t="n">
        <x:f>$B$13*((IF(SUM($D17:$DS17)=0,0,IF(SUM($D20:$DS20)=0,1,'Вводные'!$K$32)))*BT19+(1-(IF(SUM($D17:$DS17)=0,0,IF(SUM($D20:$DS20)=0,1,'Вводные'!$K$32))))*BT21)</x:f>
        <x:v>0</x:v>
      </x:c>
      <x:c r="BU22" s="132" t="n">
        <x:f>$B$13*((IF(SUM($D17:$DS17)=0,0,IF(SUM($D20:$DS20)=0,1,'Вводные'!$K$32)))*BU19+(1-(IF(SUM($D17:$DS17)=0,0,IF(SUM($D20:$DS20)=0,1,'Вводные'!$K$32))))*BU21)</x:f>
        <x:v>0</x:v>
      </x:c>
      <x:c r="BV22" s="132" t="n">
        <x:f>$B$13*((IF(SUM($D17:$DS17)=0,0,IF(SUM($D20:$DS20)=0,1,'Вводные'!$K$32)))*BV19+(1-(IF(SUM($D17:$DS17)=0,0,IF(SUM($D20:$DS20)=0,1,'Вводные'!$K$32))))*BV21)</x:f>
        <x:v>0</x:v>
      </x:c>
      <x:c r="BW22" s="132" t="n">
        <x:f>$B$13*((IF(SUM($D17:$DS17)=0,0,IF(SUM($D20:$DS20)=0,1,'Вводные'!$K$32)))*BW19+(1-(IF(SUM($D17:$DS17)=0,0,IF(SUM($D20:$DS20)=0,1,'Вводные'!$K$32))))*BW21)</x:f>
        <x:v>0</x:v>
      </x:c>
      <x:c r="BX22" s="132" t="n">
        <x:f>$B$13*((IF(SUM($D17:$DS17)=0,0,IF(SUM($D20:$DS20)=0,1,'Вводные'!$K$32)))*BX19+(1-(IF(SUM($D17:$DS17)=0,0,IF(SUM($D20:$DS20)=0,1,'Вводные'!$K$32))))*BX21)</x:f>
        <x:v>0</x:v>
      </x:c>
      <x:c r="BY22" s="132" t="n">
        <x:f>$B$13*((IF(SUM($D17:$DS17)=0,0,IF(SUM($D20:$DS20)=0,1,'Вводные'!$K$32)))*BY19+(1-(IF(SUM($D17:$DS17)=0,0,IF(SUM($D20:$DS20)=0,1,'Вводные'!$K$32))))*BY21)</x:f>
        <x:v>0</x:v>
      </x:c>
      <x:c r="BZ22" s="132" t="n">
        <x:f>$B$13*((IF(SUM($D17:$DS17)=0,0,IF(SUM($D20:$DS20)=0,1,'Вводные'!$K$32)))*BZ19+(1-(IF(SUM($D17:$DS17)=0,0,IF(SUM($D20:$DS20)=0,1,'Вводные'!$K$32))))*BZ21)</x:f>
        <x:v>0</x:v>
      </x:c>
      <x:c r="CA22" s="132" t="n">
        <x:f>$B$13*((IF(SUM($D17:$DS17)=0,0,IF(SUM($D20:$DS20)=0,1,'Вводные'!$K$32)))*CA19+(1-(IF(SUM($D17:$DS17)=0,0,IF(SUM($D20:$DS20)=0,1,'Вводные'!$K$32))))*CA21)</x:f>
        <x:v>0</x:v>
      </x:c>
      <x:c r="CB22" s="132" t="n">
        <x:f>$B$13*((IF(SUM($D17:$DS17)=0,0,IF(SUM($D20:$DS20)=0,1,'Вводные'!$K$32)))*CB19+(1-(IF(SUM($D17:$DS17)=0,0,IF(SUM($D20:$DS20)=0,1,'Вводные'!$K$32))))*CB21)</x:f>
        <x:v>0</x:v>
      </x:c>
      <x:c r="CC22" s="132" t="n">
        <x:f>$B$13*((IF(SUM($D17:$DS17)=0,0,IF(SUM($D20:$DS20)=0,1,'Вводные'!$K$32)))*CC19+(1-(IF(SUM($D17:$DS17)=0,0,IF(SUM($D20:$DS20)=0,1,'Вводные'!$K$32))))*CC21)</x:f>
        <x:v>0</x:v>
      </x:c>
      <x:c r="CD22" s="132" t="n">
        <x:f>$B$13*((IF(SUM($D17:$DS17)=0,0,IF(SUM($D20:$DS20)=0,1,'Вводные'!$K$32)))*CD19+(1-(IF(SUM($D17:$DS17)=0,0,IF(SUM($D20:$DS20)=0,1,'Вводные'!$K$32))))*CD21)</x:f>
        <x:v>0</x:v>
      </x:c>
      <x:c r="CE22" s="132" t="n">
        <x:f>$B$13*((IF(SUM($D17:$DS17)=0,0,IF(SUM($D20:$DS20)=0,1,'Вводные'!$K$32)))*CE19+(1-(IF(SUM($D17:$DS17)=0,0,IF(SUM($D20:$DS20)=0,1,'Вводные'!$K$32))))*CE21)</x:f>
        <x:v>0</x:v>
      </x:c>
      <x:c r="CF22" s="132" t="n">
        <x:f>$B$13*((IF(SUM($D17:$DS17)=0,0,IF(SUM($D20:$DS20)=0,1,'Вводные'!$K$32)))*CF19+(1-(IF(SUM($D17:$DS17)=0,0,IF(SUM($D20:$DS20)=0,1,'Вводные'!$K$32))))*CF21)</x:f>
        <x:v>0</x:v>
      </x:c>
      <x:c r="CG22" s="132" t="n">
        <x:f>$B$13*((IF(SUM($D17:$DS17)=0,0,IF(SUM($D20:$DS20)=0,1,'Вводные'!$K$32)))*CG19+(1-(IF(SUM($D17:$DS17)=0,0,IF(SUM($D20:$DS20)=0,1,'Вводные'!$K$32))))*CG21)</x:f>
        <x:v>0</x:v>
      </x:c>
      <x:c r="CH22" s="132" t="n">
        <x:f>$B$13*((IF(SUM($D17:$DS17)=0,0,IF(SUM($D20:$DS20)=0,1,'Вводные'!$K$32)))*CH19+(1-(IF(SUM($D17:$DS17)=0,0,IF(SUM($D20:$DS20)=0,1,'Вводные'!$K$32))))*CH21)</x:f>
        <x:v>0</x:v>
      </x:c>
      <x:c r="CI22" s="132" t="n">
        <x:f>$B$13*((IF(SUM($D17:$DS17)=0,0,IF(SUM($D20:$DS20)=0,1,'Вводные'!$K$32)))*CI19+(1-(IF(SUM($D17:$DS17)=0,0,IF(SUM($D20:$DS20)=0,1,'Вводные'!$K$32))))*CI21)</x:f>
        <x:v>0</x:v>
      </x:c>
      <x:c r="CJ22" s="132" t="n">
        <x:f>$B$13*((IF(SUM($D17:$DS17)=0,0,IF(SUM($D20:$DS20)=0,1,'Вводные'!$K$32)))*CJ19+(1-(IF(SUM($D17:$DS17)=0,0,IF(SUM($D20:$DS20)=0,1,'Вводные'!$K$32))))*CJ21)</x:f>
        <x:v>0</x:v>
      </x:c>
      <x:c r="CK22" s="132" t="n">
        <x:f>$B$13*((IF(SUM($D17:$DS17)=0,0,IF(SUM($D20:$DS20)=0,1,'Вводные'!$K$32)))*CK19+(1-(IF(SUM($D17:$DS17)=0,0,IF(SUM($D20:$DS20)=0,1,'Вводные'!$K$32))))*CK21)</x:f>
        <x:v>0</x:v>
      </x:c>
      <x:c r="CL22" s="132" t="n">
        <x:f>$B$13*((IF(SUM($D17:$DS17)=0,0,IF(SUM($D20:$DS20)=0,1,'Вводные'!$K$32)))*CL19+(1-(IF(SUM($D17:$DS17)=0,0,IF(SUM($D20:$DS20)=0,1,'Вводные'!$K$32))))*CL21)</x:f>
        <x:v>0</x:v>
      </x:c>
      <x:c r="CM22" s="132" t="n">
        <x:f>$B$13*((IF(SUM($D17:$DS17)=0,0,IF(SUM($D20:$DS20)=0,1,'Вводные'!$K$32)))*CM19+(1-(IF(SUM($D17:$DS17)=0,0,IF(SUM($D20:$DS20)=0,1,'Вводные'!$K$32))))*CM21)</x:f>
        <x:v>0</x:v>
      </x:c>
      <x:c r="CN22" s="132" t="n">
        <x:f>$B$13*((IF(SUM($D17:$DS17)=0,0,IF(SUM($D20:$DS20)=0,1,'Вводные'!$K$32)))*CN19+(1-(IF(SUM($D17:$DS17)=0,0,IF(SUM($D20:$DS20)=0,1,'Вводные'!$K$32))))*CN21)</x:f>
        <x:v>0</x:v>
      </x:c>
      <x:c r="CO22" s="132" t="n">
        <x:f>$B$13*((IF(SUM($D17:$DS17)=0,0,IF(SUM($D20:$DS20)=0,1,'Вводные'!$K$32)))*CO19+(1-(IF(SUM($D17:$DS17)=0,0,IF(SUM($D20:$DS20)=0,1,'Вводные'!$K$32))))*CO21)</x:f>
        <x:v>0</x:v>
      </x:c>
      <x:c r="CP22" s="132" t="n">
        <x:f>$B$13*((IF(SUM($D17:$DS17)=0,0,IF(SUM($D20:$DS20)=0,1,'Вводные'!$K$32)))*CP19+(1-(IF(SUM($D17:$DS17)=0,0,IF(SUM($D20:$DS20)=0,1,'Вводные'!$K$32))))*CP21)</x:f>
        <x:v>0</x:v>
      </x:c>
      <x:c r="CQ22" s="132" t="n">
        <x:f>$B$13*((IF(SUM($D17:$DS17)=0,0,IF(SUM($D20:$DS20)=0,1,'Вводные'!$K$32)))*CQ19+(1-(IF(SUM($D17:$DS17)=0,0,IF(SUM($D20:$DS20)=0,1,'Вводные'!$K$32))))*CQ21)</x:f>
        <x:v>0</x:v>
      </x:c>
      <x:c r="CR22" s="132" t="n">
        <x:f>$B$13*((IF(SUM($D17:$DS17)=0,0,IF(SUM($D20:$DS20)=0,1,'Вводные'!$K$32)))*CR19+(1-(IF(SUM($D17:$DS17)=0,0,IF(SUM($D20:$DS20)=0,1,'Вводные'!$K$32))))*CR21)</x:f>
        <x:v>0</x:v>
      </x:c>
      <x:c r="CS22" s="132" t="n">
        <x:f>$B$13*((IF(SUM($D17:$DS17)=0,0,IF(SUM($D20:$DS20)=0,1,'Вводные'!$K$32)))*CS19+(1-(IF(SUM($D17:$DS17)=0,0,IF(SUM($D20:$DS20)=0,1,'Вводные'!$K$32))))*CS21)</x:f>
        <x:v>0</x:v>
      </x:c>
      <x:c r="CT22" s="132" t="n">
        <x:f>$B$13*((IF(SUM($D17:$DS17)=0,0,IF(SUM($D20:$DS20)=0,1,'Вводные'!$K$32)))*CT19+(1-(IF(SUM($D17:$DS17)=0,0,IF(SUM($D20:$DS20)=0,1,'Вводные'!$K$32))))*CT21)</x:f>
        <x:v>0</x:v>
      </x:c>
      <x:c r="CU22" s="132" t="n">
        <x:f>$B$13*((IF(SUM($D17:$DS17)=0,0,IF(SUM($D20:$DS20)=0,1,'Вводные'!$K$32)))*CU19+(1-(IF(SUM($D17:$DS17)=0,0,IF(SUM($D20:$DS20)=0,1,'Вводные'!$K$32))))*CU21)</x:f>
        <x:v>0</x:v>
      </x:c>
      <x:c r="CV22" s="132" t="n">
        <x:f>$B$13*((IF(SUM($D17:$DS17)=0,0,IF(SUM($D20:$DS20)=0,1,'Вводные'!$K$32)))*CV19+(1-(IF(SUM($D17:$DS17)=0,0,IF(SUM($D20:$DS20)=0,1,'Вводные'!$K$32))))*CV21)</x:f>
        <x:v>0</x:v>
      </x:c>
      <x:c r="CW22" s="132" t="n">
        <x:f>$B$13*((IF(SUM($D17:$DS17)=0,0,IF(SUM($D20:$DS20)=0,1,'Вводные'!$K$32)))*CW19+(1-(IF(SUM($D17:$DS17)=0,0,IF(SUM($D20:$DS20)=0,1,'Вводные'!$K$32))))*CW21)</x:f>
        <x:v>0</x:v>
      </x:c>
      <x:c r="CX22" s="132" t="n">
        <x:f>$B$13*((IF(SUM($D17:$DS17)=0,0,IF(SUM($D20:$DS20)=0,1,'Вводные'!$K$32)))*CX19+(1-(IF(SUM($D17:$DS17)=0,0,IF(SUM($D20:$DS20)=0,1,'Вводные'!$K$32))))*CX21)</x:f>
        <x:v>0</x:v>
      </x:c>
      <x:c r="CY22" s="132" t="n">
        <x:f>$B$13*((IF(SUM($D17:$DS17)=0,0,IF(SUM($D20:$DS20)=0,1,'Вводные'!$K$32)))*CY19+(1-(IF(SUM($D17:$DS17)=0,0,IF(SUM($D20:$DS20)=0,1,'Вводные'!$K$32))))*CY21)</x:f>
        <x:v>0</x:v>
      </x:c>
      <x:c r="CZ22" s="132" t="n">
        <x:f>$B$13*((IF(SUM($D17:$DS17)=0,0,IF(SUM($D20:$DS20)=0,1,'Вводные'!$K$32)))*CZ19+(1-(IF(SUM($D17:$DS17)=0,0,IF(SUM($D20:$DS20)=0,1,'Вводные'!$K$32))))*CZ21)</x:f>
        <x:v>0</x:v>
      </x:c>
      <x:c r="DA22" s="132" t="n">
        <x:f>$B$13*((IF(SUM($D17:$DS17)=0,0,IF(SUM($D20:$DS20)=0,1,'Вводные'!$K$32)))*DA19+(1-(IF(SUM($D17:$DS17)=0,0,IF(SUM($D20:$DS20)=0,1,'Вводные'!$K$32))))*DA21)</x:f>
        <x:v>0</x:v>
      </x:c>
      <x:c r="DB22" s="132" t="n">
        <x:f>$B$13*((IF(SUM($D17:$DS17)=0,0,IF(SUM($D20:$DS20)=0,1,'Вводные'!$K$32)))*DB19+(1-(IF(SUM($D17:$DS17)=0,0,IF(SUM($D20:$DS20)=0,1,'Вводные'!$K$32))))*DB21)</x:f>
        <x:v>0</x:v>
      </x:c>
      <x:c r="DC22" s="132" t="n">
        <x:f>$B$13*((IF(SUM($D17:$DS17)=0,0,IF(SUM($D20:$DS20)=0,1,'Вводные'!$K$32)))*DC19+(1-(IF(SUM($D17:$DS17)=0,0,IF(SUM($D20:$DS20)=0,1,'Вводные'!$K$32))))*DC21)</x:f>
        <x:v>0</x:v>
      </x:c>
      <x:c r="DD22" s="132" t="n">
        <x:f>$B$13*((IF(SUM($D17:$DS17)=0,0,IF(SUM($D20:$DS20)=0,1,'Вводные'!$K$32)))*DD19+(1-(IF(SUM($D17:$DS17)=0,0,IF(SUM($D20:$DS20)=0,1,'Вводные'!$K$32))))*DD21)</x:f>
        <x:v>0</x:v>
      </x:c>
      <x:c r="DE22" s="132" t="n">
        <x:f>$B$13*((IF(SUM($D17:$DS17)=0,0,IF(SUM($D20:$DS20)=0,1,'Вводные'!$K$32)))*DE19+(1-(IF(SUM($D17:$DS17)=0,0,IF(SUM($D20:$DS20)=0,1,'Вводные'!$K$32))))*DE21)</x:f>
        <x:v>0</x:v>
      </x:c>
      <x:c r="DF22" s="132" t="n">
        <x:f>$B$13*((IF(SUM($D17:$DS17)=0,0,IF(SUM($D20:$DS20)=0,1,'Вводные'!$K$32)))*DF19+(1-(IF(SUM($D17:$DS17)=0,0,IF(SUM($D20:$DS20)=0,1,'Вводные'!$K$32))))*DF21)</x:f>
        <x:v>0</x:v>
      </x:c>
      <x:c r="DG22" s="132" t="n">
        <x:f>$B$13*((IF(SUM($D17:$DS17)=0,0,IF(SUM($D20:$DS20)=0,1,'Вводные'!$K$32)))*DG19+(1-(IF(SUM($D17:$DS17)=0,0,IF(SUM($D20:$DS20)=0,1,'Вводные'!$K$32))))*DG21)</x:f>
        <x:v>0</x:v>
      </x:c>
      <x:c r="DH22" s="132" t="n">
        <x:f>$B$13*((IF(SUM($D17:$DS17)=0,0,IF(SUM($D20:$DS20)=0,1,'Вводные'!$K$32)))*DH19+(1-(IF(SUM($D17:$DS17)=0,0,IF(SUM($D20:$DS20)=0,1,'Вводные'!$K$32))))*DH21)</x:f>
        <x:v>0</x:v>
      </x:c>
      <x:c r="DI22" s="132" t="n">
        <x:f>$B$13*((IF(SUM($D17:$DS17)=0,0,IF(SUM($D20:$DS20)=0,1,'Вводные'!$K$32)))*DI19+(1-(IF(SUM($D17:$DS17)=0,0,IF(SUM($D20:$DS20)=0,1,'Вводные'!$K$32))))*DI21)</x:f>
        <x:v>0</x:v>
      </x:c>
      <x:c r="DJ22" s="132" t="n">
        <x:f>$B$13*((IF(SUM($D17:$DS17)=0,0,IF(SUM($D20:$DS20)=0,1,'Вводные'!$K$32)))*DJ19+(1-(IF(SUM($D17:$DS17)=0,0,IF(SUM($D20:$DS20)=0,1,'Вводные'!$K$32))))*DJ21)</x:f>
        <x:v>0</x:v>
      </x:c>
      <x:c r="DK22" s="132" t="n">
        <x:f>$B$13*((IF(SUM($D17:$DS17)=0,0,IF(SUM($D20:$DS20)=0,1,'Вводные'!$K$32)))*DK19+(1-(IF(SUM($D17:$DS17)=0,0,IF(SUM($D20:$DS20)=0,1,'Вводные'!$K$32))))*DK21)</x:f>
        <x:v>0</x:v>
      </x:c>
      <x:c r="DL22" s="132" t="n">
        <x:f>$B$13*((IF(SUM($D17:$DS17)=0,0,IF(SUM($D20:$DS20)=0,1,'Вводные'!$K$32)))*DL19+(1-(IF(SUM($D17:$DS17)=0,0,IF(SUM($D20:$DS20)=0,1,'Вводные'!$K$32))))*DL21)</x:f>
        <x:v>0</x:v>
      </x:c>
      <x:c r="DM22" s="132" t="n">
        <x:f>$B$13*((IF(SUM($D17:$DS17)=0,0,IF(SUM($D20:$DS20)=0,1,'Вводные'!$K$32)))*DM19+(1-(IF(SUM($D17:$DS17)=0,0,IF(SUM($D20:$DS20)=0,1,'Вводные'!$K$32))))*DM21)</x:f>
        <x:v>0</x:v>
      </x:c>
      <x:c r="DN22" s="132" t="n">
        <x:f>$B$13*((IF(SUM($D17:$DS17)=0,0,IF(SUM($D20:$DS20)=0,1,'Вводные'!$K$32)))*DN19+(1-(IF(SUM($D17:$DS17)=0,0,IF(SUM($D20:$DS20)=0,1,'Вводные'!$K$32))))*DN21)</x:f>
        <x:v>0</x:v>
      </x:c>
      <x:c r="DO22" s="132" t="n">
        <x:f>$B$13*((IF(SUM($D17:$DS17)=0,0,IF(SUM($D20:$DS20)=0,1,'Вводные'!$K$32)))*DO19+(1-(IF(SUM($D17:$DS17)=0,0,IF(SUM($D20:$DS20)=0,1,'Вводные'!$K$32))))*DO21)</x:f>
        <x:v>0</x:v>
      </x:c>
      <x:c r="DP22" s="132" t="n">
        <x:f>$B$13*((IF(SUM($D17:$DS17)=0,0,IF(SUM($D20:$DS20)=0,1,'Вводные'!$K$32)))*DP19+(1-(IF(SUM($D17:$DS17)=0,0,IF(SUM($D20:$DS20)=0,1,'Вводные'!$K$32))))*DP21)</x:f>
        <x:v>0</x:v>
      </x:c>
      <x:c r="DQ22" s="132" t="n">
        <x:f>$B$13*((IF(SUM($D17:$DS17)=0,0,IF(SUM($D20:$DS20)=0,1,'Вводные'!$K$32)))*DQ19+(1-(IF(SUM($D17:$DS17)=0,0,IF(SUM($D20:$DS20)=0,1,'Вводные'!$K$32))))*DQ21)</x:f>
        <x:v>0</x:v>
      </x:c>
      <x:c r="DR22" s="132" t="n">
        <x:f>$B$13*((IF(SUM($D17:$DS17)=0,0,IF(SUM($D20:$DS20)=0,1,'Вводные'!$K$32)))*DR19+(1-(IF(SUM($D17:$DS17)=0,0,IF(SUM($D20:$DS20)=0,1,'Вводные'!$K$32))))*DR21)</x:f>
        <x:v>0</x:v>
      </x:c>
      <x:c r="DS22" s="132" t="n">
        <x:f>$B$13*((IF(SUM($D17:$DS17)=0,0,IF(SUM($D20:$DS20)=0,1,'Вводные'!$K$32)))*DS19+(1-(IF(SUM($D17:$DS17)=0,0,IF(SUM($D20:$DS20)=0,1,'Вводные'!$K$32))))*DS21)</x:f>
        <x:v>0</x:v>
      </x:c>
    </x:row>
    <x:row r="23">
      <x:c r="A23" t="str">
        <x:v>Цена реализации</x:v>
      </x:c>
      <x:c r="B23" s="107" t="n">
        <x:f>IFERROR(B24*1000/B22,0)</x:f>
        <x:v>0</x:v>
      </x:c>
      <x:c r="C23" t="str">
        <x:v>тыс. ₽/м²</x:v>
      </x:c>
      <x:c r="D23" s="107" t="n">
        <x:f>IF(D22=0,0,'Вводные'!$K$31*'Вводные'!$H$5*INDEX('Вводные'!$S$88:$S$90,$B$8)*INDEX('Вводные'!$AG$88:$AG$90,$B$8)*(1+'Вводные'!$K$34)^MAX(0,MIN((12*(YEAR(D$3)-YEAR($B$11))+MONTH(D$3)-MONTH($B$11)),(12*(YEAR($B$10)-YEAR($B$11))+MONTH($B$10)-MONTH($B$11))))*(1+'Вводные'!$K$35)^MAX(0,(12*(YEAR(D$3)-YEAR($B$10))+MONTH(D$3)-MONTH($B$10))))</x:f>
        <x:v>0</x:v>
      </x:c>
      <x:c r="E23" s="107" t="n">
        <x:f>IF(E22=0,0,'Вводные'!$K$31*'Вводные'!$H$5*INDEX('Вводные'!$S$88:$S$90,$B$8)*INDEX('Вводные'!$AG$88:$AG$90,$B$8)*(1+'Вводные'!$K$34)^MAX(0,MIN((12*(YEAR(E$3)-YEAR($B$11))+MONTH(E$3)-MONTH($B$11)),(12*(YEAR($B$10)-YEAR($B$11))+MONTH($B$10)-MONTH($B$11))))*(1+'Вводные'!$K$35)^MAX(0,(12*(YEAR(E$3)-YEAR($B$10))+MONTH(E$3)-MONTH($B$10))))</x:f>
        <x:v>0</x:v>
      </x:c>
      <x:c r="F23" s="107" t="n">
        <x:f>IF(F22=0,0,'Вводные'!$K$31*'Вводные'!$H$5*INDEX('Вводные'!$S$88:$S$90,$B$8)*INDEX('Вводные'!$AG$88:$AG$90,$B$8)*(1+'Вводные'!$K$34)^MAX(0,MIN((12*(YEAR(F$3)-YEAR($B$11))+MONTH(F$3)-MONTH($B$11)),(12*(YEAR($B$10)-YEAR($B$11))+MONTH($B$10)-MONTH($B$11))))*(1+'Вводные'!$K$35)^MAX(0,(12*(YEAR(F$3)-YEAR($B$10))+MONTH(F$3)-MONTH($B$10))))</x:f>
        <x:v>0</x:v>
      </x:c>
      <x:c r="G23" s="107" t="n">
        <x:f>IF(G22=0,0,'Вводные'!$K$31*'Вводные'!$H$5*INDEX('Вводные'!$S$88:$S$90,$B$8)*INDEX('Вводные'!$AG$88:$AG$90,$B$8)*(1+'Вводные'!$K$34)^MAX(0,MIN((12*(YEAR(G$3)-YEAR($B$11))+MONTH(G$3)-MONTH($B$11)),(12*(YEAR($B$10)-YEAR($B$11))+MONTH($B$10)-MONTH($B$11))))*(1+'Вводные'!$K$35)^MAX(0,(12*(YEAR(G$3)-YEAR($B$10))+MONTH(G$3)-MONTH($B$10))))</x:f>
        <x:v>0</x:v>
      </x:c>
      <x:c r="H23" s="107" t="n">
        <x:f>IF(H22=0,0,'Вводные'!$K$31*'Вводные'!$H$5*INDEX('Вводные'!$S$88:$S$90,$B$8)*INDEX('Вводные'!$AG$88:$AG$90,$B$8)*(1+'Вводные'!$K$34)^MAX(0,MIN((12*(YEAR(H$3)-YEAR($B$11))+MONTH(H$3)-MONTH($B$11)),(12*(YEAR($B$10)-YEAR($B$11))+MONTH($B$10)-MONTH($B$11))))*(1+'Вводные'!$K$35)^MAX(0,(12*(YEAR(H$3)-YEAR($B$10))+MONTH(H$3)-MONTH($B$10))))</x:f>
        <x:v>0</x:v>
      </x:c>
      <x:c r="I23" s="107" t="n">
        <x:f>IF(I22=0,0,'Вводные'!$K$31*'Вводные'!$H$5*INDEX('Вводные'!$S$88:$S$90,$B$8)*INDEX('Вводные'!$AG$88:$AG$90,$B$8)*(1+'Вводные'!$K$34)^MAX(0,MIN((12*(YEAR(I$3)-YEAR($B$11))+MONTH(I$3)-MONTH($B$11)),(12*(YEAR($B$10)-YEAR($B$11))+MONTH($B$10)-MONTH($B$11))))*(1+'Вводные'!$K$35)^MAX(0,(12*(YEAR(I$3)-YEAR($B$10))+MONTH(I$3)-MONTH($B$10))))</x:f>
        <x:v>0</x:v>
      </x:c>
      <x:c r="J23" s="107" t="n">
        <x:f>IF(J22=0,0,'Вводные'!$K$31*'Вводные'!$H$5*INDEX('Вводные'!$S$88:$S$90,$B$8)*INDEX('Вводные'!$AG$88:$AG$90,$B$8)*(1+'Вводные'!$K$34)^MAX(0,MIN((12*(YEAR(J$3)-YEAR($B$11))+MONTH(J$3)-MONTH($B$11)),(12*(YEAR($B$10)-YEAR($B$11))+MONTH($B$10)-MONTH($B$11))))*(1+'Вводные'!$K$35)^MAX(0,(12*(YEAR(J$3)-YEAR($B$10))+MONTH(J$3)-MONTH($B$10))))</x:f>
        <x:v>0</x:v>
      </x:c>
      <x:c r="K23" s="107" t="n">
        <x:f>IF(K22=0,0,'Вводные'!$K$31*'Вводные'!$H$5*INDEX('Вводные'!$S$88:$S$90,$B$8)*INDEX('Вводные'!$AG$88:$AG$90,$B$8)*(1+'Вводные'!$K$34)^MAX(0,MIN((12*(YEAR(K$3)-YEAR($B$11))+MONTH(K$3)-MONTH($B$11)),(12*(YEAR($B$10)-YEAR($B$11))+MONTH($B$10)-MONTH($B$11))))*(1+'Вводные'!$K$35)^MAX(0,(12*(YEAR(K$3)-YEAR($B$10))+MONTH(K$3)-MONTH($B$10))))</x:f>
        <x:v>0</x:v>
      </x:c>
      <x:c r="L23" s="107" t="n">
        <x:f>IF(L22=0,0,'Вводные'!$K$31*'Вводные'!$H$5*INDEX('Вводные'!$S$88:$S$90,$B$8)*INDEX('Вводные'!$AG$88:$AG$90,$B$8)*(1+'Вводные'!$K$34)^MAX(0,MIN((12*(YEAR(L$3)-YEAR($B$11))+MONTH(L$3)-MONTH($B$11)),(12*(YEAR($B$10)-YEAR($B$11))+MONTH($B$10)-MONTH($B$11))))*(1+'Вводные'!$K$35)^MAX(0,(12*(YEAR(L$3)-YEAR($B$10))+MONTH(L$3)-MONTH($B$10))))</x:f>
        <x:v>0</x:v>
      </x:c>
      <x:c r="M23" s="107" t="n">
        <x:f>IF(M22=0,0,'Вводные'!$K$31*'Вводные'!$H$5*INDEX('Вводные'!$S$88:$S$90,$B$8)*INDEX('Вводные'!$AG$88:$AG$90,$B$8)*(1+'Вводные'!$K$34)^MAX(0,MIN((12*(YEAR(M$3)-YEAR($B$11))+MONTH(M$3)-MONTH($B$11)),(12*(YEAR($B$10)-YEAR($B$11))+MONTH($B$10)-MONTH($B$11))))*(1+'Вводные'!$K$35)^MAX(0,(12*(YEAR(M$3)-YEAR($B$10))+MONTH(M$3)-MONTH($B$10))))</x:f>
        <x:v>0</x:v>
      </x:c>
      <x:c r="N23" s="107" t="n">
        <x:f>IF(N22=0,0,'Вводные'!$K$31*'Вводные'!$H$5*INDEX('Вводные'!$S$88:$S$90,$B$8)*INDEX('Вводные'!$AG$88:$AG$90,$B$8)*(1+'Вводные'!$K$34)^MAX(0,MIN((12*(YEAR(N$3)-YEAR($B$11))+MONTH(N$3)-MONTH($B$11)),(12*(YEAR($B$10)-YEAR($B$11))+MONTH($B$10)-MONTH($B$11))))*(1+'Вводные'!$K$35)^MAX(0,(12*(YEAR(N$3)-YEAR($B$10))+MONTH(N$3)-MONTH($B$10))))</x:f>
        <x:v>0</x:v>
      </x:c>
      <x:c r="O23" s="107" t="n">
        <x:f>IF(O22=0,0,'Вводные'!$K$31*'Вводные'!$H$5*INDEX('Вводные'!$S$88:$S$90,$B$8)*INDEX('Вводные'!$AG$88:$AG$90,$B$8)*(1+'Вводные'!$K$34)^MAX(0,MIN((12*(YEAR(O$3)-YEAR($B$11))+MONTH(O$3)-MONTH($B$11)),(12*(YEAR($B$10)-YEAR($B$11))+MONTH($B$10)-MONTH($B$11))))*(1+'Вводные'!$K$35)^MAX(0,(12*(YEAR(O$3)-YEAR($B$10))+MONTH(O$3)-MONTH($B$10))))</x:f>
        <x:v>0</x:v>
      </x:c>
      <x:c r="P23" s="107" t="n">
        <x:f>IF(P22=0,0,'Вводные'!$K$31*'Вводные'!$H$5*INDEX('Вводные'!$S$88:$S$90,$B$8)*INDEX('Вводные'!$AG$88:$AG$90,$B$8)*(1+'Вводные'!$K$34)^MAX(0,MIN((12*(YEAR(P$3)-YEAR($B$11))+MONTH(P$3)-MONTH($B$11)),(12*(YEAR($B$10)-YEAR($B$11))+MONTH($B$10)-MONTH($B$11))))*(1+'Вводные'!$K$35)^MAX(0,(12*(YEAR(P$3)-YEAR($B$10))+MONTH(P$3)-MONTH($B$10))))</x:f>
        <x:v>0</x:v>
      </x:c>
      <x:c r="Q23" s="107" t="n">
        <x:f>IF(Q22=0,0,'Вводные'!$K$31*'Вводные'!$H$5*INDEX('Вводные'!$S$88:$S$90,$B$8)*INDEX('Вводные'!$AG$88:$AG$90,$B$8)*(1+'Вводные'!$K$34)^MAX(0,MIN((12*(YEAR(Q$3)-YEAR($B$11))+MONTH(Q$3)-MONTH($B$11)),(12*(YEAR($B$10)-YEAR($B$11))+MONTH($B$10)-MONTH($B$11))))*(1+'Вводные'!$K$35)^MAX(0,(12*(YEAR(Q$3)-YEAR($B$10))+MONTH(Q$3)-MONTH($B$10))))</x:f>
        <x:v>0</x:v>
      </x:c>
      <x:c r="R23" s="107" t="n">
        <x:f>IF(R22=0,0,'Вводные'!$K$31*'Вводные'!$H$5*INDEX('Вводные'!$S$88:$S$90,$B$8)*INDEX('Вводные'!$AG$88:$AG$90,$B$8)*(1+'Вводные'!$K$34)^MAX(0,MIN((12*(YEAR(R$3)-YEAR($B$11))+MONTH(R$3)-MONTH($B$11)),(12*(YEAR($B$10)-YEAR($B$11))+MONTH($B$10)-MONTH($B$11))))*(1+'Вводные'!$K$35)^MAX(0,(12*(YEAR(R$3)-YEAR($B$10))+MONTH(R$3)-MONTH($B$10))))</x:f>
        <x:v>0</x:v>
      </x:c>
      <x:c r="S23" s="107" t="n">
        <x:f>IF(S22=0,0,'Вводные'!$K$31*'Вводные'!$H$5*INDEX('Вводные'!$S$88:$S$90,$B$8)*INDEX('Вводные'!$AG$88:$AG$90,$B$8)*(1+'Вводные'!$K$34)^MAX(0,MIN((12*(YEAR(S$3)-YEAR($B$11))+MONTH(S$3)-MONTH($B$11)),(12*(YEAR($B$10)-YEAR($B$11))+MONTH($B$10)-MONTH($B$11))))*(1+'Вводные'!$K$35)^MAX(0,(12*(YEAR(S$3)-YEAR($B$10))+MONTH(S$3)-MONTH($B$10))))</x:f>
        <x:v>0</x:v>
      </x:c>
      <x:c r="T23" s="107" t="n">
        <x:f>IF(T22=0,0,'Вводные'!$K$31*'Вводные'!$H$5*INDEX('Вводные'!$S$88:$S$90,$B$8)*INDEX('Вводные'!$AG$88:$AG$90,$B$8)*(1+'Вводные'!$K$34)^MAX(0,MIN((12*(YEAR(T$3)-YEAR($B$11))+MONTH(T$3)-MONTH($B$11)),(12*(YEAR($B$10)-YEAR($B$11))+MONTH($B$10)-MONTH($B$11))))*(1+'Вводные'!$K$35)^MAX(0,(12*(YEAR(T$3)-YEAR($B$10))+MONTH(T$3)-MONTH($B$10))))</x:f>
        <x:v>0</x:v>
      </x:c>
      <x:c r="U23" s="107" t="n">
        <x:f>IF(U22=0,0,'Вводные'!$K$31*'Вводные'!$H$5*INDEX('Вводные'!$S$88:$S$90,$B$8)*INDEX('Вводные'!$AG$88:$AG$90,$B$8)*(1+'Вводные'!$K$34)^MAX(0,MIN((12*(YEAR(U$3)-YEAR($B$11))+MONTH(U$3)-MONTH($B$11)),(12*(YEAR($B$10)-YEAR($B$11))+MONTH($B$10)-MONTH($B$11))))*(1+'Вводные'!$K$35)^MAX(0,(12*(YEAR(U$3)-YEAR($B$10))+MONTH(U$3)-MONTH($B$10))))</x:f>
        <x:v>0</x:v>
      </x:c>
      <x:c r="V23" s="107" t="n">
        <x:f>IF(V22=0,0,'Вводные'!$K$31*'Вводные'!$H$5*INDEX('Вводные'!$S$88:$S$90,$B$8)*INDEX('Вводные'!$AG$88:$AG$90,$B$8)*(1+'Вводные'!$K$34)^MAX(0,MIN((12*(YEAR(V$3)-YEAR($B$11))+MONTH(V$3)-MONTH($B$11)),(12*(YEAR($B$10)-YEAR($B$11))+MONTH($B$10)-MONTH($B$11))))*(1+'Вводные'!$K$35)^MAX(0,(12*(YEAR(V$3)-YEAR($B$10))+MONTH(V$3)-MONTH($B$10))))</x:f>
        <x:v>0</x:v>
      </x:c>
      <x:c r="W23" s="107" t="n">
        <x:f>IF(W22=0,0,'Вводные'!$K$31*'Вводные'!$H$5*INDEX('Вводные'!$S$88:$S$90,$B$8)*INDEX('Вводные'!$AG$88:$AG$90,$B$8)*(1+'Вводные'!$K$34)^MAX(0,MIN((12*(YEAR(W$3)-YEAR($B$11))+MONTH(W$3)-MONTH($B$11)),(12*(YEAR($B$10)-YEAR($B$11))+MONTH($B$10)-MONTH($B$11))))*(1+'Вводные'!$K$35)^MAX(0,(12*(YEAR(W$3)-YEAR($B$10))+MONTH(W$3)-MONTH($B$10))))</x:f>
        <x:v>0</x:v>
      </x:c>
      <x:c r="X23" s="107" t="n">
        <x:f>IF(X22=0,0,'Вводные'!$K$31*'Вводные'!$H$5*INDEX('Вводные'!$S$88:$S$90,$B$8)*INDEX('Вводные'!$AG$88:$AG$90,$B$8)*(1+'Вводные'!$K$34)^MAX(0,MIN((12*(YEAR(X$3)-YEAR($B$11))+MONTH(X$3)-MONTH($B$11)),(12*(YEAR($B$10)-YEAR($B$11))+MONTH($B$10)-MONTH($B$11))))*(1+'Вводные'!$K$35)^MAX(0,(12*(YEAR(X$3)-YEAR($B$10))+MONTH(X$3)-MONTH($B$10))))</x:f>
        <x:v>0</x:v>
      </x:c>
      <x:c r="Y23" s="107" t="n">
        <x:f>IF(Y22=0,0,'Вводные'!$K$31*'Вводные'!$H$5*INDEX('Вводные'!$S$88:$S$90,$B$8)*INDEX('Вводные'!$AG$88:$AG$90,$B$8)*(1+'Вводные'!$K$34)^MAX(0,MIN((12*(YEAR(Y$3)-YEAR($B$11))+MONTH(Y$3)-MONTH($B$11)),(12*(YEAR($B$10)-YEAR($B$11))+MONTH($B$10)-MONTH($B$11))))*(1+'Вводные'!$K$35)^MAX(0,(12*(YEAR(Y$3)-YEAR($B$10))+MONTH(Y$3)-MONTH($B$10))))</x:f>
        <x:v>0</x:v>
      </x:c>
      <x:c r="Z23" s="107" t="n">
        <x:f>IF(Z22=0,0,'Вводные'!$K$31*'Вводные'!$H$5*INDEX('Вводные'!$S$88:$S$90,$B$8)*INDEX('Вводные'!$AG$88:$AG$90,$B$8)*(1+'Вводные'!$K$34)^MAX(0,MIN((12*(YEAR(Z$3)-YEAR($B$11))+MONTH(Z$3)-MONTH($B$11)),(12*(YEAR($B$10)-YEAR($B$11))+MONTH($B$10)-MONTH($B$11))))*(1+'Вводные'!$K$35)^MAX(0,(12*(YEAR(Z$3)-YEAR($B$10))+MONTH(Z$3)-MONTH($B$10))))</x:f>
        <x:v>0</x:v>
      </x:c>
      <x:c r="AA23" s="107" t="n">
        <x:f>IF(AA22=0,0,'Вводные'!$K$31*'Вводные'!$H$5*INDEX('Вводные'!$S$88:$S$90,$B$8)*INDEX('Вводные'!$AG$88:$AG$90,$B$8)*(1+'Вводные'!$K$34)^MAX(0,MIN((12*(YEAR(AA$3)-YEAR($B$11))+MONTH(AA$3)-MONTH($B$11)),(12*(YEAR($B$10)-YEAR($B$11))+MONTH($B$10)-MONTH($B$11))))*(1+'Вводные'!$K$35)^MAX(0,(12*(YEAR(AA$3)-YEAR($B$10))+MONTH(AA$3)-MONTH($B$10))))</x:f>
        <x:v>0</x:v>
      </x:c>
      <x:c r="AB23" s="107" t="n">
        <x:f>IF(AB22=0,0,'Вводные'!$K$31*'Вводные'!$H$5*INDEX('Вводные'!$S$88:$S$90,$B$8)*INDEX('Вводные'!$AG$88:$AG$90,$B$8)*(1+'Вводные'!$K$34)^MAX(0,MIN((12*(YEAR(AB$3)-YEAR($B$11))+MONTH(AB$3)-MONTH($B$11)),(12*(YEAR($B$10)-YEAR($B$11))+MONTH($B$10)-MONTH($B$11))))*(1+'Вводные'!$K$35)^MAX(0,(12*(YEAR(AB$3)-YEAR($B$10))+MONTH(AB$3)-MONTH($B$10))))</x:f>
        <x:v>0</x:v>
      </x:c>
      <x:c r="AC23" s="107" t="n">
        <x:f>IF(AC22=0,0,'Вводные'!$K$31*'Вводные'!$H$5*INDEX('Вводные'!$S$88:$S$90,$B$8)*INDEX('Вводные'!$AG$88:$AG$90,$B$8)*(1+'Вводные'!$K$34)^MAX(0,MIN((12*(YEAR(AC$3)-YEAR($B$11))+MONTH(AC$3)-MONTH($B$11)),(12*(YEAR($B$10)-YEAR($B$11))+MONTH($B$10)-MONTH($B$11))))*(1+'Вводные'!$K$35)^MAX(0,(12*(YEAR(AC$3)-YEAR($B$10))+MONTH(AC$3)-MONTH($B$10))))</x:f>
        <x:v>0</x:v>
      </x:c>
      <x:c r="AD23" s="107" t="n">
        <x:f>IF(AD22=0,0,'Вводные'!$K$31*'Вводные'!$H$5*INDEX('Вводные'!$S$88:$S$90,$B$8)*INDEX('Вводные'!$AG$88:$AG$90,$B$8)*(1+'Вводные'!$K$34)^MAX(0,MIN((12*(YEAR(AD$3)-YEAR($B$11))+MONTH(AD$3)-MONTH($B$11)),(12*(YEAR($B$10)-YEAR($B$11))+MONTH($B$10)-MONTH($B$11))))*(1+'Вводные'!$K$35)^MAX(0,(12*(YEAR(AD$3)-YEAR($B$10))+MONTH(AD$3)-MONTH($B$10))))</x:f>
        <x:v>0</x:v>
      </x:c>
      <x:c r="AE23" s="107" t="n">
        <x:f>IF(AE22=0,0,'Вводные'!$K$31*'Вводные'!$H$5*INDEX('Вводные'!$S$88:$S$90,$B$8)*INDEX('Вводные'!$AG$88:$AG$90,$B$8)*(1+'Вводные'!$K$34)^MAX(0,MIN((12*(YEAR(AE$3)-YEAR($B$11))+MONTH(AE$3)-MONTH($B$11)),(12*(YEAR($B$10)-YEAR($B$11))+MONTH($B$10)-MONTH($B$11))))*(1+'Вводные'!$K$35)^MAX(0,(12*(YEAR(AE$3)-YEAR($B$10))+MONTH(AE$3)-MONTH($B$10))))</x:f>
        <x:v>0</x:v>
      </x:c>
      <x:c r="AF23" s="107" t="n">
        <x:f>IF(AF22=0,0,'Вводные'!$K$31*'Вводные'!$H$5*INDEX('Вводные'!$S$88:$S$90,$B$8)*INDEX('Вводные'!$AG$88:$AG$90,$B$8)*(1+'Вводные'!$K$34)^MAX(0,MIN((12*(YEAR(AF$3)-YEAR($B$11))+MONTH(AF$3)-MONTH($B$11)),(12*(YEAR($B$10)-YEAR($B$11))+MONTH($B$10)-MONTH($B$11))))*(1+'Вводные'!$K$35)^MAX(0,(12*(YEAR(AF$3)-YEAR($B$10))+MONTH(AF$3)-MONTH($B$10))))</x:f>
        <x:v>0</x:v>
      </x:c>
      <x:c r="AG23" s="107" t="n">
        <x:f>IF(AG22=0,0,'Вводные'!$K$31*'Вводные'!$H$5*INDEX('Вводные'!$S$88:$S$90,$B$8)*INDEX('Вводные'!$AG$88:$AG$90,$B$8)*(1+'Вводные'!$K$34)^MAX(0,MIN((12*(YEAR(AG$3)-YEAR($B$11))+MONTH(AG$3)-MONTH($B$11)),(12*(YEAR($B$10)-YEAR($B$11))+MONTH($B$10)-MONTH($B$11))))*(1+'Вводные'!$K$35)^MAX(0,(12*(YEAR(AG$3)-YEAR($B$10))+MONTH(AG$3)-MONTH($B$10))))</x:f>
        <x:v>0</x:v>
      </x:c>
      <x:c r="AH23" s="107" t="n">
        <x:f>IF(AH22=0,0,'Вводные'!$K$31*'Вводные'!$H$5*INDEX('Вводные'!$S$88:$S$90,$B$8)*INDEX('Вводные'!$AG$88:$AG$90,$B$8)*(1+'Вводные'!$K$34)^MAX(0,MIN((12*(YEAR(AH$3)-YEAR($B$11))+MONTH(AH$3)-MONTH($B$11)),(12*(YEAR($B$10)-YEAR($B$11))+MONTH($B$10)-MONTH($B$11))))*(1+'Вводные'!$K$35)^MAX(0,(12*(YEAR(AH$3)-YEAR($B$10))+MONTH(AH$3)-MONTH($B$10))))</x:f>
        <x:v>0</x:v>
      </x:c>
      <x:c r="AI23" s="107" t="n">
        <x:f>IF(AI22=0,0,'Вводные'!$K$31*'Вводные'!$H$5*INDEX('Вводные'!$S$88:$S$90,$B$8)*INDEX('Вводные'!$AG$88:$AG$90,$B$8)*(1+'Вводные'!$K$34)^MAX(0,MIN((12*(YEAR(AI$3)-YEAR($B$11))+MONTH(AI$3)-MONTH($B$11)),(12*(YEAR($B$10)-YEAR($B$11))+MONTH($B$10)-MONTH($B$11))))*(1+'Вводные'!$K$35)^MAX(0,(12*(YEAR(AI$3)-YEAR($B$10))+MONTH(AI$3)-MONTH($B$10))))</x:f>
        <x:v>0</x:v>
      </x:c>
      <x:c r="AJ23" s="107" t="n">
        <x:f>IF(AJ22=0,0,'Вводные'!$K$31*'Вводные'!$H$5*INDEX('Вводные'!$S$88:$S$90,$B$8)*INDEX('Вводные'!$AG$88:$AG$90,$B$8)*(1+'Вводные'!$K$34)^MAX(0,MIN((12*(YEAR(AJ$3)-YEAR($B$11))+MONTH(AJ$3)-MONTH($B$11)),(12*(YEAR($B$10)-YEAR($B$11))+MONTH($B$10)-MONTH($B$11))))*(1+'Вводные'!$K$35)^MAX(0,(12*(YEAR(AJ$3)-YEAR($B$10))+MONTH(AJ$3)-MONTH($B$10))))</x:f>
        <x:v>0</x:v>
      </x:c>
      <x:c r="AK23" s="107" t="n">
        <x:f>IF(AK22=0,0,'Вводные'!$K$31*'Вводные'!$H$5*INDEX('Вводные'!$S$88:$S$90,$B$8)*INDEX('Вводные'!$AG$88:$AG$90,$B$8)*(1+'Вводные'!$K$34)^MAX(0,MIN((12*(YEAR(AK$3)-YEAR($B$11))+MONTH(AK$3)-MONTH($B$11)),(12*(YEAR($B$10)-YEAR($B$11))+MONTH($B$10)-MONTH($B$11))))*(1+'Вводные'!$K$35)^MAX(0,(12*(YEAR(AK$3)-YEAR($B$10))+MONTH(AK$3)-MONTH($B$10))))</x:f>
        <x:v>0</x:v>
      </x:c>
      <x:c r="AL23" s="107" t="n">
        <x:f>IF(AL22=0,0,'Вводные'!$K$31*'Вводные'!$H$5*INDEX('Вводные'!$S$88:$S$90,$B$8)*INDEX('Вводные'!$AG$88:$AG$90,$B$8)*(1+'Вводные'!$K$34)^MAX(0,MIN((12*(YEAR(AL$3)-YEAR($B$11))+MONTH(AL$3)-MONTH($B$11)),(12*(YEAR($B$10)-YEAR($B$11))+MONTH($B$10)-MONTH($B$11))))*(1+'Вводные'!$K$35)^MAX(0,(12*(YEAR(AL$3)-YEAR($B$10))+MONTH(AL$3)-MONTH($B$10))))</x:f>
        <x:v>0</x:v>
      </x:c>
      <x:c r="AM23" s="107" t="n">
        <x:f>IF(AM22=0,0,'Вводные'!$K$31*'Вводные'!$H$5*INDEX('Вводные'!$S$88:$S$90,$B$8)*INDEX('Вводные'!$AG$88:$AG$90,$B$8)*(1+'Вводные'!$K$34)^MAX(0,MIN((12*(YEAR(AM$3)-YEAR($B$11))+MONTH(AM$3)-MONTH($B$11)),(12*(YEAR($B$10)-YEAR($B$11))+MONTH($B$10)-MONTH($B$11))))*(1+'Вводные'!$K$35)^MAX(0,(12*(YEAR(AM$3)-YEAR($B$10))+MONTH(AM$3)-MONTH($B$10))))</x:f>
        <x:v>0</x:v>
      </x:c>
      <x:c r="AN23" s="107" t="n">
        <x:f>IF(AN22=0,0,'Вводные'!$K$31*'Вводные'!$H$5*INDEX('Вводные'!$S$88:$S$90,$B$8)*INDEX('Вводные'!$AG$88:$AG$90,$B$8)*(1+'Вводные'!$K$34)^MAX(0,MIN((12*(YEAR(AN$3)-YEAR($B$11))+MONTH(AN$3)-MONTH($B$11)),(12*(YEAR($B$10)-YEAR($B$11))+MONTH($B$10)-MONTH($B$11))))*(1+'Вводные'!$K$35)^MAX(0,(12*(YEAR(AN$3)-YEAR($B$10))+MONTH(AN$3)-MONTH($B$10))))</x:f>
        <x:v>0</x:v>
      </x:c>
      <x:c r="AO23" s="107" t="n">
        <x:f>IF(AO22=0,0,'Вводные'!$K$31*'Вводные'!$H$5*INDEX('Вводные'!$S$88:$S$90,$B$8)*INDEX('Вводные'!$AG$88:$AG$90,$B$8)*(1+'Вводные'!$K$34)^MAX(0,MIN((12*(YEAR(AO$3)-YEAR($B$11))+MONTH(AO$3)-MONTH($B$11)),(12*(YEAR($B$10)-YEAR($B$11))+MONTH($B$10)-MONTH($B$11))))*(1+'Вводные'!$K$35)^MAX(0,(12*(YEAR(AO$3)-YEAR($B$10))+MONTH(AO$3)-MONTH($B$10))))</x:f>
        <x:v>0</x:v>
      </x:c>
      <x:c r="AP23" s="107" t="n">
        <x:f>IF(AP22=0,0,'Вводные'!$K$31*'Вводные'!$H$5*INDEX('Вводные'!$S$88:$S$90,$B$8)*INDEX('Вводные'!$AG$88:$AG$90,$B$8)*(1+'Вводные'!$K$34)^MAX(0,MIN((12*(YEAR(AP$3)-YEAR($B$11))+MONTH(AP$3)-MONTH($B$11)),(12*(YEAR($B$10)-YEAR($B$11))+MONTH($B$10)-MONTH($B$11))))*(1+'Вводные'!$K$35)^MAX(0,(12*(YEAR(AP$3)-YEAR($B$10))+MONTH(AP$3)-MONTH($B$10))))</x:f>
        <x:v>0</x:v>
      </x:c>
      <x:c r="AQ23" s="107" t="n">
        <x:f>IF(AQ22=0,0,'Вводные'!$K$31*'Вводные'!$H$5*INDEX('Вводные'!$S$88:$S$90,$B$8)*INDEX('Вводные'!$AG$88:$AG$90,$B$8)*(1+'Вводные'!$K$34)^MAX(0,MIN((12*(YEAR(AQ$3)-YEAR($B$11))+MONTH(AQ$3)-MONTH($B$11)),(12*(YEAR($B$10)-YEAR($B$11))+MONTH($B$10)-MONTH($B$11))))*(1+'Вводные'!$K$35)^MAX(0,(12*(YEAR(AQ$3)-YEAR($B$10))+MONTH(AQ$3)-MONTH($B$10))))</x:f>
        <x:v>0</x:v>
      </x:c>
      <x:c r="AR23" s="107" t="n">
        <x:f>IF(AR22=0,0,'Вводные'!$K$31*'Вводные'!$H$5*INDEX('Вводные'!$S$88:$S$90,$B$8)*INDEX('Вводные'!$AG$88:$AG$90,$B$8)*(1+'Вводные'!$K$34)^MAX(0,MIN((12*(YEAR(AR$3)-YEAR($B$11))+MONTH(AR$3)-MONTH($B$11)),(12*(YEAR($B$10)-YEAR($B$11))+MONTH($B$10)-MONTH($B$11))))*(1+'Вводные'!$K$35)^MAX(0,(12*(YEAR(AR$3)-YEAR($B$10))+MONTH(AR$3)-MONTH($B$10))))</x:f>
        <x:v>0</x:v>
      </x:c>
      <x:c r="AS23" s="107" t="n">
        <x:f>IF(AS22=0,0,'Вводные'!$K$31*'Вводные'!$H$5*INDEX('Вводные'!$S$88:$S$90,$B$8)*INDEX('Вводные'!$AG$88:$AG$90,$B$8)*(1+'Вводные'!$K$34)^MAX(0,MIN((12*(YEAR(AS$3)-YEAR($B$11))+MONTH(AS$3)-MONTH($B$11)),(12*(YEAR($B$10)-YEAR($B$11))+MONTH($B$10)-MONTH($B$11))))*(1+'Вводные'!$K$35)^MAX(0,(12*(YEAR(AS$3)-YEAR($B$10))+MONTH(AS$3)-MONTH($B$10))))</x:f>
        <x:v>0</x:v>
      </x:c>
      <x:c r="AT23" s="107" t="n">
        <x:f>IF(AT22=0,0,'Вводные'!$K$31*'Вводные'!$H$5*INDEX('Вводные'!$S$88:$S$90,$B$8)*INDEX('Вводные'!$AG$88:$AG$90,$B$8)*(1+'Вводные'!$K$34)^MAX(0,MIN((12*(YEAR(AT$3)-YEAR($B$11))+MONTH(AT$3)-MONTH($B$11)),(12*(YEAR($B$10)-YEAR($B$11))+MONTH($B$10)-MONTH($B$11))))*(1+'Вводные'!$K$35)^MAX(0,(12*(YEAR(AT$3)-YEAR($B$10))+MONTH(AT$3)-MONTH($B$10))))</x:f>
        <x:v>0</x:v>
      </x:c>
      <x:c r="AU23" s="107" t="n">
        <x:f>IF(AU22=0,0,'Вводные'!$K$31*'Вводные'!$H$5*INDEX('Вводные'!$S$88:$S$90,$B$8)*INDEX('Вводные'!$AG$88:$AG$90,$B$8)*(1+'Вводные'!$K$34)^MAX(0,MIN((12*(YEAR(AU$3)-YEAR($B$11))+MONTH(AU$3)-MONTH($B$11)),(12*(YEAR($B$10)-YEAR($B$11))+MONTH($B$10)-MONTH($B$11))))*(1+'Вводные'!$K$35)^MAX(0,(12*(YEAR(AU$3)-YEAR($B$10))+MONTH(AU$3)-MONTH($B$10))))</x:f>
        <x:v>0</x:v>
      </x:c>
      <x:c r="AV23" s="107" t="n">
        <x:f>IF(AV22=0,0,'Вводные'!$K$31*'Вводные'!$H$5*INDEX('Вводные'!$S$88:$S$90,$B$8)*INDEX('Вводные'!$AG$88:$AG$90,$B$8)*(1+'Вводные'!$K$34)^MAX(0,MIN((12*(YEAR(AV$3)-YEAR($B$11))+MONTH(AV$3)-MONTH($B$11)),(12*(YEAR($B$10)-YEAR($B$11))+MONTH($B$10)-MONTH($B$11))))*(1+'Вводные'!$K$35)^MAX(0,(12*(YEAR(AV$3)-YEAR($B$10))+MONTH(AV$3)-MONTH($B$10))))</x:f>
        <x:v>0</x:v>
      </x:c>
      <x:c r="AW23" s="107" t="n">
        <x:f>IF(AW22=0,0,'Вводные'!$K$31*'Вводные'!$H$5*INDEX('Вводные'!$S$88:$S$90,$B$8)*INDEX('Вводные'!$AG$88:$AG$90,$B$8)*(1+'Вводные'!$K$34)^MAX(0,MIN((12*(YEAR(AW$3)-YEAR($B$11))+MONTH(AW$3)-MONTH($B$11)),(12*(YEAR($B$10)-YEAR($B$11))+MONTH($B$10)-MONTH($B$11))))*(1+'Вводные'!$K$35)^MAX(0,(12*(YEAR(AW$3)-YEAR($B$10))+MONTH(AW$3)-MONTH($B$10))))</x:f>
        <x:v>0</x:v>
      </x:c>
      <x:c r="AX23" s="107" t="n">
        <x:f>IF(AX22=0,0,'Вводные'!$K$31*'Вводные'!$H$5*INDEX('Вводные'!$S$88:$S$90,$B$8)*INDEX('Вводные'!$AG$88:$AG$90,$B$8)*(1+'Вводные'!$K$34)^MAX(0,MIN((12*(YEAR(AX$3)-YEAR($B$11))+MONTH(AX$3)-MONTH($B$11)),(12*(YEAR($B$10)-YEAR($B$11))+MONTH($B$10)-MONTH($B$11))))*(1+'Вводные'!$K$35)^MAX(0,(12*(YEAR(AX$3)-YEAR($B$10))+MONTH(AX$3)-MONTH($B$10))))</x:f>
        <x:v>0</x:v>
      </x:c>
      <x:c r="AY23" s="107" t="n">
        <x:f>IF(AY22=0,0,'Вводные'!$K$31*'Вводные'!$H$5*INDEX('Вводные'!$S$88:$S$90,$B$8)*INDEX('Вводные'!$AG$88:$AG$90,$B$8)*(1+'Вводные'!$K$34)^MAX(0,MIN((12*(YEAR(AY$3)-YEAR($B$11))+MONTH(AY$3)-MONTH($B$11)),(12*(YEAR($B$10)-YEAR($B$11))+MONTH($B$10)-MONTH($B$11))))*(1+'Вводные'!$K$35)^MAX(0,(12*(YEAR(AY$3)-YEAR($B$10))+MONTH(AY$3)-MONTH($B$10))))</x:f>
        <x:v>0</x:v>
      </x:c>
      <x:c r="AZ23" s="107" t="n">
        <x:f>IF(AZ22=0,0,'Вводные'!$K$31*'Вводные'!$H$5*INDEX('Вводные'!$S$88:$S$90,$B$8)*INDEX('Вводные'!$AG$88:$AG$90,$B$8)*(1+'Вводные'!$K$34)^MAX(0,MIN((12*(YEAR(AZ$3)-YEAR($B$11))+MONTH(AZ$3)-MONTH($B$11)),(12*(YEAR($B$10)-YEAR($B$11))+MONTH($B$10)-MONTH($B$11))))*(1+'Вводные'!$K$35)^MAX(0,(12*(YEAR(AZ$3)-YEAR($B$10))+MONTH(AZ$3)-MONTH($B$10))))</x:f>
        <x:v>0</x:v>
      </x:c>
      <x:c r="BA23" s="107" t="n">
        <x:f>IF(BA22=0,0,'Вводные'!$K$31*'Вводные'!$H$5*INDEX('Вводные'!$S$88:$S$90,$B$8)*INDEX('Вводные'!$AG$88:$AG$90,$B$8)*(1+'Вводные'!$K$34)^MAX(0,MIN((12*(YEAR(BA$3)-YEAR($B$11))+MONTH(BA$3)-MONTH($B$11)),(12*(YEAR($B$10)-YEAR($B$11))+MONTH($B$10)-MONTH($B$11))))*(1+'Вводные'!$K$35)^MAX(0,(12*(YEAR(BA$3)-YEAR($B$10))+MONTH(BA$3)-MONTH($B$10))))</x:f>
        <x:v>0</x:v>
      </x:c>
      <x:c r="BB23" s="107" t="n">
        <x:f>IF(BB22=0,0,'Вводные'!$K$31*'Вводные'!$H$5*INDEX('Вводные'!$S$88:$S$90,$B$8)*INDEX('Вводные'!$AG$88:$AG$90,$B$8)*(1+'Вводные'!$K$34)^MAX(0,MIN((12*(YEAR(BB$3)-YEAR($B$11))+MONTH(BB$3)-MONTH($B$11)),(12*(YEAR($B$10)-YEAR($B$11))+MONTH($B$10)-MONTH($B$11))))*(1+'Вводные'!$K$35)^MAX(0,(12*(YEAR(BB$3)-YEAR($B$10))+MONTH(BB$3)-MONTH($B$10))))</x:f>
        <x:v>0</x:v>
      </x:c>
      <x:c r="BC23" s="107" t="n">
        <x:f>IF(BC22=0,0,'Вводные'!$K$31*'Вводные'!$H$5*INDEX('Вводные'!$S$88:$S$90,$B$8)*INDEX('Вводные'!$AG$88:$AG$90,$B$8)*(1+'Вводные'!$K$34)^MAX(0,MIN((12*(YEAR(BC$3)-YEAR($B$11))+MONTH(BC$3)-MONTH($B$11)),(12*(YEAR($B$10)-YEAR($B$11))+MONTH($B$10)-MONTH($B$11))))*(1+'Вводные'!$K$35)^MAX(0,(12*(YEAR(BC$3)-YEAR($B$10))+MONTH(BC$3)-MONTH($B$10))))</x:f>
        <x:v>0</x:v>
      </x:c>
      <x:c r="BD23" s="107" t="n">
        <x:f>IF(BD22=0,0,'Вводные'!$K$31*'Вводные'!$H$5*INDEX('Вводные'!$S$88:$S$90,$B$8)*INDEX('Вводные'!$AG$88:$AG$90,$B$8)*(1+'Вводные'!$K$34)^MAX(0,MIN((12*(YEAR(BD$3)-YEAR($B$11))+MONTH(BD$3)-MONTH($B$11)),(12*(YEAR($B$10)-YEAR($B$11))+MONTH($B$10)-MONTH($B$11))))*(1+'Вводные'!$K$35)^MAX(0,(12*(YEAR(BD$3)-YEAR($B$10))+MONTH(BD$3)-MONTH($B$10))))</x:f>
        <x:v>0</x:v>
      </x:c>
      <x:c r="BE23" s="107" t="n">
        <x:f>IF(BE22=0,0,'Вводные'!$K$31*'Вводные'!$H$5*INDEX('Вводные'!$S$88:$S$90,$B$8)*INDEX('Вводные'!$AG$88:$AG$90,$B$8)*(1+'Вводные'!$K$34)^MAX(0,MIN((12*(YEAR(BE$3)-YEAR($B$11))+MONTH(BE$3)-MONTH($B$11)),(12*(YEAR($B$10)-YEAR($B$11))+MONTH($B$10)-MONTH($B$11))))*(1+'Вводные'!$K$35)^MAX(0,(12*(YEAR(BE$3)-YEAR($B$10))+MONTH(BE$3)-MONTH($B$10))))</x:f>
        <x:v>0</x:v>
      </x:c>
      <x:c r="BF23" s="107" t="n">
        <x:f>IF(BF22=0,0,'Вводные'!$K$31*'Вводные'!$H$5*INDEX('Вводные'!$S$88:$S$90,$B$8)*INDEX('Вводные'!$AG$88:$AG$90,$B$8)*(1+'Вводные'!$K$34)^MAX(0,MIN((12*(YEAR(BF$3)-YEAR($B$11))+MONTH(BF$3)-MONTH($B$11)),(12*(YEAR($B$10)-YEAR($B$11))+MONTH($B$10)-MONTH($B$11))))*(1+'Вводные'!$K$35)^MAX(0,(12*(YEAR(BF$3)-YEAR($B$10))+MONTH(BF$3)-MONTH($B$10))))</x:f>
        <x:v>0</x:v>
      </x:c>
      <x:c r="BG23" s="107" t="n">
        <x:f>IF(BG22=0,0,'Вводные'!$K$31*'Вводные'!$H$5*INDEX('Вводные'!$S$88:$S$90,$B$8)*INDEX('Вводные'!$AG$88:$AG$90,$B$8)*(1+'Вводные'!$K$34)^MAX(0,MIN((12*(YEAR(BG$3)-YEAR($B$11))+MONTH(BG$3)-MONTH($B$11)),(12*(YEAR($B$10)-YEAR($B$11))+MONTH($B$10)-MONTH($B$11))))*(1+'Вводные'!$K$35)^MAX(0,(12*(YEAR(BG$3)-YEAR($B$10))+MONTH(BG$3)-MONTH($B$10))))</x:f>
        <x:v>0</x:v>
      </x:c>
      <x:c r="BH23" s="107" t="n">
        <x:f>IF(BH22=0,0,'Вводные'!$K$31*'Вводные'!$H$5*INDEX('Вводные'!$S$88:$S$90,$B$8)*INDEX('Вводные'!$AG$88:$AG$90,$B$8)*(1+'Вводные'!$K$34)^MAX(0,MIN((12*(YEAR(BH$3)-YEAR($B$11))+MONTH(BH$3)-MONTH($B$11)),(12*(YEAR($B$10)-YEAR($B$11))+MONTH($B$10)-MONTH($B$11))))*(1+'Вводные'!$K$35)^MAX(0,(12*(YEAR(BH$3)-YEAR($B$10))+MONTH(BH$3)-MONTH($B$10))))</x:f>
        <x:v>0</x:v>
      </x:c>
      <x:c r="BI23" s="107" t="n">
        <x:f>IF(BI22=0,0,'Вводные'!$K$31*'Вводные'!$H$5*INDEX('Вводные'!$S$88:$S$90,$B$8)*INDEX('Вводные'!$AG$88:$AG$90,$B$8)*(1+'Вводные'!$K$34)^MAX(0,MIN((12*(YEAR(BI$3)-YEAR($B$11))+MONTH(BI$3)-MONTH($B$11)),(12*(YEAR($B$10)-YEAR($B$11))+MONTH($B$10)-MONTH($B$11))))*(1+'Вводные'!$K$35)^MAX(0,(12*(YEAR(BI$3)-YEAR($B$10))+MONTH(BI$3)-MONTH($B$10))))</x:f>
        <x:v>0</x:v>
      </x:c>
      <x:c r="BJ23" s="107" t="n">
        <x:f>IF(BJ22=0,0,'Вводные'!$K$31*'Вводные'!$H$5*INDEX('Вводные'!$S$88:$S$90,$B$8)*INDEX('Вводные'!$AG$88:$AG$90,$B$8)*(1+'Вводные'!$K$34)^MAX(0,MIN((12*(YEAR(BJ$3)-YEAR($B$11))+MONTH(BJ$3)-MONTH($B$11)),(12*(YEAR($B$10)-YEAR($B$11))+MONTH($B$10)-MONTH($B$11))))*(1+'Вводные'!$K$35)^MAX(0,(12*(YEAR(BJ$3)-YEAR($B$10))+MONTH(BJ$3)-MONTH($B$10))))</x:f>
        <x:v>0</x:v>
      </x:c>
      <x:c r="BK23" s="107" t="n">
        <x:f>IF(BK22=0,0,'Вводные'!$K$31*'Вводные'!$H$5*INDEX('Вводные'!$S$88:$S$90,$B$8)*INDEX('Вводные'!$AG$88:$AG$90,$B$8)*(1+'Вводные'!$K$34)^MAX(0,MIN((12*(YEAR(BK$3)-YEAR($B$11))+MONTH(BK$3)-MONTH($B$11)),(12*(YEAR($B$10)-YEAR($B$11))+MONTH($B$10)-MONTH($B$11))))*(1+'Вводные'!$K$35)^MAX(0,(12*(YEAR(BK$3)-YEAR($B$10))+MONTH(BK$3)-MONTH($B$10))))</x:f>
        <x:v>0</x:v>
      </x:c>
      <x:c r="BL23" s="107" t="n">
        <x:f>IF(BL22=0,0,'Вводные'!$K$31*'Вводные'!$H$5*INDEX('Вводные'!$S$88:$S$90,$B$8)*INDEX('Вводные'!$AG$88:$AG$90,$B$8)*(1+'Вводные'!$K$34)^MAX(0,MIN((12*(YEAR(BL$3)-YEAR($B$11))+MONTH(BL$3)-MONTH($B$11)),(12*(YEAR($B$10)-YEAR($B$11))+MONTH($B$10)-MONTH($B$11))))*(1+'Вводные'!$K$35)^MAX(0,(12*(YEAR(BL$3)-YEAR($B$10))+MONTH(BL$3)-MONTH($B$10))))</x:f>
        <x:v>0</x:v>
      </x:c>
      <x:c r="BM23" s="107" t="n">
        <x:f>IF(BM22=0,0,'Вводные'!$K$31*'Вводные'!$H$5*INDEX('Вводные'!$S$88:$S$90,$B$8)*INDEX('Вводные'!$AG$88:$AG$90,$B$8)*(1+'Вводные'!$K$34)^MAX(0,MIN((12*(YEAR(BM$3)-YEAR($B$11))+MONTH(BM$3)-MONTH($B$11)),(12*(YEAR($B$10)-YEAR($B$11))+MONTH($B$10)-MONTH($B$11))))*(1+'Вводные'!$K$35)^MAX(0,(12*(YEAR(BM$3)-YEAR($B$10))+MONTH(BM$3)-MONTH($B$10))))</x:f>
        <x:v>0</x:v>
      </x:c>
      <x:c r="BN23" s="107" t="n">
        <x:f>IF(BN22=0,0,'Вводные'!$K$31*'Вводные'!$H$5*INDEX('Вводные'!$S$88:$S$90,$B$8)*INDEX('Вводные'!$AG$88:$AG$90,$B$8)*(1+'Вводные'!$K$34)^MAX(0,MIN((12*(YEAR(BN$3)-YEAR($B$11))+MONTH(BN$3)-MONTH($B$11)),(12*(YEAR($B$10)-YEAR($B$11))+MONTH($B$10)-MONTH($B$11))))*(1+'Вводные'!$K$35)^MAX(0,(12*(YEAR(BN$3)-YEAR($B$10))+MONTH(BN$3)-MONTH($B$10))))</x:f>
        <x:v>0</x:v>
      </x:c>
      <x:c r="BO23" s="107" t="n">
        <x:f>IF(BO22=0,0,'Вводные'!$K$31*'Вводные'!$H$5*INDEX('Вводные'!$S$88:$S$90,$B$8)*INDEX('Вводные'!$AG$88:$AG$90,$B$8)*(1+'Вводные'!$K$34)^MAX(0,MIN((12*(YEAR(BO$3)-YEAR($B$11))+MONTH(BO$3)-MONTH($B$11)),(12*(YEAR($B$10)-YEAR($B$11))+MONTH($B$10)-MONTH($B$11))))*(1+'Вводные'!$K$35)^MAX(0,(12*(YEAR(BO$3)-YEAR($B$10))+MONTH(BO$3)-MONTH($B$10))))</x:f>
        <x:v>0</x:v>
      </x:c>
      <x:c r="BP23" s="107" t="n">
        <x:f>IF(BP22=0,0,'Вводные'!$K$31*'Вводные'!$H$5*INDEX('Вводные'!$S$88:$S$90,$B$8)*INDEX('Вводные'!$AG$88:$AG$90,$B$8)*(1+'Вводные'!$K$34)^MAX(0,MIN((12*(YEAR(BP$3)-YEAR($B$11))+MONTH(BP$3)-MONTH($B$11)),(12*(YEAR($B$10)-YEAR($B$11))+MONTH($B$10)-MONTH($B$11))))*(1+'Вводные'!$K$35)^MAX(0,(12*(YEAR(BP$3)-YEAR($B$10))+MONTH(BP$3)-MONTH($B$10))))</x:f>
        <x:v>0</x:v>
      </x:c>
      <x:c r="BQ23" s="107" t="n">
        <x:f>IF(BQ22=0,0,'Вводные'!$K$31*'Вводные'!$H$5*INDEX('Вводные'!$S$88:$S$90,$B$8)*INDEX('Вводные'!$AG$88:$AG$90,$B$8)*(1+'Вводные'!$K$34)^MAX(0,MIN((12*(YEAR(BQ$3)-YEAR($B$11))+MONTH(BQ$3)-MONTH($B$11)),(12*(YEAR($B$10)-YEAR($B$11))+MONTH($B$10)-MONTH($B$11))))*(1+'Вводные'!$K$35)^MAX(0,(12*(YEAR(BQ$3)-YEAR($B$10))+MONTH(BQ$3)-MONTH($B$10))))</x:f>
        <x:v>0</x:v>
      </x:c>
      <x:c r="BR23" s="107" t="n">
        <x:f>IF(BR22=0,0,'Вводные'!$K$31*'Вводные'!$H$5*INDEX('Вводные'!$S$88:$S$90,$B$8)*INDEX('Вводные'!$AG$88:$AG$90,$B$8)*(1+'Вводные'!$K$34)^MAX(0,MIN((12*(YEAR(BR$3)-YEAR($B$11))+MONTH(BR$3)-MONTH($B$11)),(12*(YEAR($B$10)-YEAR($B$11))+MONTH($B$10)-MONTH($B$11))))*(1+'Вводные'!$K$35)^MAX(0,(12*(YEAR(BR$3)-YEAR($B$10))+MONTH(BR$3)-MONTH($B$10))))</x:f>
        <x:v>0</x:v>
      </x:c>
      <x:c r="BS23" s="107" t="n">
        <x:f>IF(BS22=0,0,'Вводные'!$K$31*'Вводные'!$H$5*INDEX('Вводные'!$S$88:$S$90,$B$8)*INDEX('Вводные'!$AG$88:$AG$90,$B$8)*(1+'Вводные'!$K$34)^MAX(0,MIN((12*(YEAR(BS$3)-YEAR($B$11))+MONTH(BS$3)-MONTH($B$11)),(12*(YEAR($B$10)-YEAR($B$11))+MONTH($B$10)-MONTH($B$11))))*(1+'Вводные'!$K$35)^MAX(0,(12*(YEAR(BS$3)-YEAR($B$10))+MONTH(BS$3)-MONTH($B$10))))</x:f>
        <x:v>0</x:v>
      </x:c>
      <x:c r="BT23" s="107" t="n">
        <x:f>IF(BT22=0,0,'Вводные'!$K$31*'Вводные'!$H$5*INDEX('Вводные'!$S$88:$S$90,$B$8)*INDEX('Вводные'!$AG$88:$AG$90,$B$8)*(1+'Вводные'!$K$34)^MAX(0,MIN((12*(YEAR(BT$3)-YEAR($B$11))+MONTH(BT$3)-MONTH($B$11)),(12*(YEAR($B$10)-YEAR($B$11))+MONTH($B$10)-MONTH($B$11))))*(1+'Вводные'!$K$35)^MAX(0,(12*(YEAR(BT$3)-YEAR($B$10))+MONTH(BT$3)-MONTH($B$10))))</x:f>
        <x:v>0</x:v>
      </x:c>
      <x:c r="BU23" s="107" t="n">
        <x:f>IF(BU22=0,0,'Вводные'!$K$31*'Вводные'!$H$5*INDEX('Вводные'!$S$88:$S$90,$B$8)*INDEX('Вводные'!$AG$88:$AG$90,$B$8)*(1+'Вводные'!$K$34)^MAX(0,MIN((12*(YEAR(BU$3)-YEAR($B$11))+MONTH(BU$3)-MONTH($B$11)),(12*(YEAR($B$10)-YEAR($B$11))+MONTH($B$10)-MONTH($B$11))))*(1+'Вводные'!$K$35)^MAX(0,(12*(YEAR(BU$3)-YEAR($B$10))+MONTH(BU$3)-MONTH($B$10))))</x:f>
        <x:v>0</x:v>
      </x:c>
      <x:c r="BV23" s="107" t="n">
        <x:f>IF(BV22=0,0,'Вводные'!$K$31*'Вводные'!$H$5*INDEX('Вводные'!$S$88:$S$90,$B$8)*INDEX('Вводные'!$AG$88:$AG$90,$B$8)*(1+'Вводные'!$K$34)^MAX(0,MIN((12*(YEAR(BV$3)-YEAR($B$11))+MONTH(BV$3)-MONTH($B$11)),(12*(YEAR($B$10)-YEAR($B$11))+MONTH($B$10)-MONTH($B$11))))*(1+'Вводные'!$K$35)^MAX(0,(12*(YEAR(BV$3)-YEAR($B$10))+MONTH(BV$3)-MONTH($B$10))))</x:f>
        <x:v>0</x:v>
      </x:c>
      <x:c r="BW23" s="107" t="n">
        <x:f>IF(BW22=0,0,'Вводные'!$K$31*'Вводные'!$H$5*INDEX('Вводные'!$S$88:$S$90,$B$8)*INDEX('Вводные'!$AG$88:$AG$90,$B$8)*(1+'Вводные'!$K$34)^MAX(0,MIN((12*(YEAR(BW$3)-YEAR($B$11))+MONTH(BW$3)-MONTH($B$11)),(12*(YEAR($B$10)-YEAR($B$11))+MONTH($B$10)-MONTH($B$11))))*(1+'Вводные'!$K$35)^MAX(0,(12*(YEAR(BW$3)-YEAR($B$10))+MONTH(BW$3)-MONTH($B$10))))</x:f>
        <x:v>0</x:v>
      </x:c>
      <x:c r="BX23" s="107" t="n">
        <x:f>IF(BX22=0,0,'Вводные'!$K$31*'Вводные'!$H$5*INDEX('Вводные'!$S$88:$S$90,$B$8)*INDEX('Вводные'!$AG$88:$AG$90,$B$8)*(1+'Вводные'!$K$34)^MAX(0,MIN((12*(YEAR(BX$3)-YEAR($B$11))+MONTH(BX$3)-MONTH($B$11)),(12*(YEAR($B$10)-YEAR($B$11))+MONTH($B$10)-MONTH($B$11))))*(1+'Вводные'!$K$35)^MAX(0,(12*(YEAR(BX$3)-YEAR($B$10))+MONTH(BX$3)-MONTH($B$10))))</x:f>
        <x:v>0</x:v>
      </x:c>
      <x:c r="BY23" s="107" t="n">
        <x:f>IF(BY22=0,0,'Вводные'!$K$31*'Вводные'!$H$5*INDEX('Вводные'!$S$88:$S$90,$B$8)*INDEX('Вводные'!$AG$88:$AG$90,$B$8)*(1+'Вводные'!$K$34)^MAX(0,MIN((12*(YEAR(BY$3)-YEAR($B$11))+MONTH(BY$3)-MONTH($B$11)),(12*(YEAR($B$10)-YEAR($B$11))+MONTH($B$10)-MONTH($B$11))))*(1+'Вводные'!$K$35)^MAX(0,(12*(YEAR(BY$3)-YEAR($B$10))+MONTH(BY$3)-MONTH($B$10))))</x:f>
        <x:v>0</x:v>
      </x:c>
      <x:c r="BZ23" s="107" t="n">
        <x:f>IF(BZ22=0,0,'Вводные'!$K$31*'Вводные'!$H$5*INDEX('Вводные'!$S$88:$S$90,$B$8)*INDEX('Вводные'!$AG$88:$AG$90,$B$8)*(1+'Вводные'!$K$34)^MAX(0,MIN((12*(YEAR(BZ$3)-YEAR($B$11))+MONTH(BZ$3)-MONTH($B$11)),(12*(YEAR($B$10)-YEAR($B$11))+MONTH($B$10)-MONTH($B$11))))*(1+'Вводные'!$K$35)^MAX(0,(12*(YEAR(BZ$3)-YEAR($B$10))+MONTH(BZ$3)-MONTH($B$10))))</x:f>
        <x:v>0</x:v>
      </x:c>
      <x:c r="CA23" s="107" t="n">
        <x:f>IF(CA22=0,0,'Вводные'!$K$31*'Вводные'!$H$5*INDEX('Вводные'!$S$88:$S$90,$B$8)*INDEX('Вводные'!$AG$88:$AG$90,$B$8)*(1+'Вводные'!$K$34)^MAX(0,MIN((12*(YEAR(CA$3)-YEAR($B$11))+MONTH(CA$3)-MONTH($B$11)),(12*(YEAR($B$10)-YEAR($B$11))+MONTH($B$10)-MONTH($B$11))))*(1+'Вводные'!$K$35)^MAX(0,(12*(YEAR(CA$3)-YEAR($B$10))+MONTH(CA$3)-MONTH($B$10))))</x:f>
        <x:v>0</x:v>
      </x:c>
      <x:c r="CB23" s="107" t="n">
        <x:f>IF(CB22=0,0,'Вводные'!$K$31*'Вводные'!$H$5*INDEX('Вводные'!$S$88:$S$90,$B$8)*INDEX('Вводные'!$AG$88:$AG$90,$B$8)*(1+'Вводные'!$K$34)^MAX(0,MIN((12*(YEAR(CB$3)-YEAR($B$11))+MONTH(CB$3)-MONTH($B$11)),(12*(YEAR($B$10)-YEAR($B$11))+MONTH($B$10)-MONTH($B$11))))*(1+'Вводные'!$K$35)^MAX(0,(12*(YEAR(CB$3)-YEAR($B$10))+MONTH(CB$3)-MONTH($B$10))))</x:f>
        <x:v>0</x:v>
      </x:c>
      <x:c r="CC23" s="107" t="n">
        <x:f>IF(CC22=0,0,'Вводные'!$K$31*'Вводные'!$H$5*INDEX('Вводные'!$S$88:$S$90,$B$8)*INDEX('Вводные'!$AG$88:$AG$90,$B$8)*(1+'Вводные'!$K$34)^MAX(0,MIN((12*(YEAR(CC$3)-YEAR($B$11))+MONTH(CC$3)-MONTH($B$11)),(12*(YEAR($B$10)-YEAR($B$11))+MONTH($B$10)-MONTH($B$11))))*(1+'Вводные'!$K$35)^MAX(0,(12*(YEAR(CC$3)-YEAR($B$10))+MONTH(CC$3)-MONTH($B$10))))</x:f>
        <x:v>0</x:v>
      </x:c>
      <x:c r="CD23" s="107" t="n">
        <x:f>IF(CD22=0,0,'Вводные'!$K$31*'Вводные'!$H$5*INDEX('Вводные'!$S$88:$S$90,$B$8)*INDEX('Вводные'!$AG$88:$AG$90,$B$8)*(1+'Вводные'!$K$34)^MAX(0,MIN((12*(YEAR(CD$3)-YEAR($B$11))+MONTH(CD$3)-MONTH($B$11)),(12*(YEAR($B$10)-YEAR($B$11))+MONTH($B$10)-MONTH($B$11))))*(1+'Вводные'!$K$35)^MAX(0,(12*(YEAR(CD$3)-YEAR($B$10))+MONTH(CD$3)-MONTH($B$10))))</x:f>
        <x:v>0</x:v>
      </x:c>
      <x:c r="CE23" s="107" t="n">
        <x:f>IF(CE22=0,0,'Вводные'!$K$31*'Вводные'!$H$5*INDEX('Вводные'!$S$88:$S$90,$B$8)*INDEX('Вводные'!$AG$88:$AG$90,$B$8)*(1+'Вводные'!$K$34)^MAX(0,MIN((12*(YEAR(CE$3)-YEAR($B$11))+MONTH(CE$3)-MONTH($B$11)),(12*(YEAR($B$10)-YEAR($B$11))+MONTH($B$10)-MONTH($B$11))))*(1+'Вводные'!$K$35)^MAX(0,(12*(YEAR(CE$3)-YEAR($B$10))+MONTH(CE$3)-MONTH($B$10))))</x:f>
        <x:v>0</x:v>
      </x:c>
      <x:c r="CF23" s="107" t="n">
        <x:f>IF(CF22=0,0,'Вводные'!$K$31*'Вводные'!$H$5*INDEX('Вводные'!$S$88:$S$90,$B$8)*INDEX('Вводные'!$AG$88:$AG$90,$B$8)*(1+'Вводные'!$K$34)^MAX(0,MIN((12*(YEAR(CF$3)-YEAR($B$11))+MONTH(CF$3)-MONTH($B$11)),(12*(YEAR($B$10)-YEAR($B$11))+MONTH($B$10)-MONTH($B$11))))*(1+'Вводные'!$K$35)^MAX(0,(12*(YEAR(CF$3)-YEAR($B$10))+MONTH(CF$3)-MONTH($B$10))))</x:f>
        <x:v>0</x:v>
      </x:c>
      <x:c r="CG23" s="107" t="n">
        <x:f>IF(CG22=0,0,'Вводные'!$K$31*'Вводные'!$H$5*INDEX('Вводные'!$S$88:$S$90,$B$8)*INDEX('Вводные'!$AG$88:$AG$90,$B$8)*(1+'Вводные'!$K$34)^MAX(0,MIN((12*(YEAR(CG$3)-YEAR($B$11))+MONTH(CG$3)-MONTH($B$11)),(12*(YEAR($B$10)-YEAR($B$11))+MONTH($B$10)-MONTH($B$11))))*(1+'Вводные'!$K$35)^MAX(0,(12*(YEAR(CG$3)-YEAR($B$10))+MONTH(CG$3)-MONTH($B$10))))</x:f>
        <x:v>0</x:v>
      </x:c>
      <x:c r="CH23" s="107" t="n">
        <x:f>IF(CH22=0,0,'Вводные'!$K$31*'Вводные'!$H$5*INDEX('Вводные'!$S$88:$S$90,$B$8)*INDEX('Вводные'!$AG$88:$AG$90,$B$8)*(1+'Вводные'!$K$34)^MAX(0,MIN((12*(YEAR(CH$3)-YEAR($B$11))+MONTH(CH$3)-MONTH($B$11)),(12*(YEAR($B$10)-YEAR($B$11))+MONTH($B$10)-MONTH($B$11))))*(1+'Вводные'!$K$35)^MAX(0,(12*(YEAR(CH$3)-YEAR($B$10))+MONTH(CH$3)-MONTH($B$10))))</x:f>
        <x:v>0</x:v>
      </x:c>
      <x:c r="CI23" s="107" t="n">
        <x:f>IF(CI22=0,0,'Вводные'!$K$31*'Вводные'!$H$5*INDEX('Вводные'!$S$88:$S$90,$B$8)*INDEX('Вводные'!$AG$88:$AG$90,$B$8)*(1+'Вводные'!$K$34)^MAX(0,MIN((12*(YEAR(CI$3)-YEAR($B$11))+MONTH(CI$3)-MONTH($B$11)),(12*(YEAR($B$10)-YEAR($B$11))+MONTH($B$10)-MONTH($B$11))))*(1+'Вводные'!$K$35)^MAX(0,(12*(YEAR(CI$3)-YEAR($B$10))+MONTH(CI$3)-MONTH($B$10))))</x:f>
        <x:v>0</x:v>
      </x:c>
      <x:c r="CJ23" s="107" t="n">
        <x:f>IF(CJ22=0,0,'Вводные'!$K$31*'Вводные'!$H$5*INDEX('Вводные'!$S$88:$S$90,$B$8)*INDEX('Вводные'!$AG$88:$AG$90,$B$8)*(1+'Вводные'!$K$34)^MAX(0,MIN((12*(YEAR(CJ$3)-YEAR($B$11))+MONTH(CJ$3)-MONTH($B$11)),(12*(YEAR($B$10)-YEAR($B$11))+MONTH($B$10)-MONTH($B$11))))*(1+'Вводные'!$K$35)^MAX(0,(12*(YEAR(CJ$3)-YEAR($B$10))+MONTH(CJ$3)-MONTH($B$10))))</x:f>
        <x:v>0</x:v>
      </x:c>
      <x:c r="CK23" s="107" t="n">
        <x:f>IF(CK22=0,0,'Вводные'!$K$31*'Вводные'!$H$5*INDEX('Вводные'!$S$88:$S$90,$B$8)*INDEX('Вводные'!$AG$88:$AG$90,$B$8)*(1+'Вводные'!$K$34)^MAX(0,MIN((12*(YEAR(CK$3)-YEAR($B$11))+MONTH(CK$3)-MONTH($B$11)),(12*(YEAR($B$10)-YEAR($B$11))+MONTH($B$10)-MONTH($B$11))))*(1+'Вводные'!$K$35)^MAX(0,(12*(YEAR(CK$3)-YEAR($B$10))+MONTH(CK$3)-MONTH($B$10))))</x:f>
        <x:v>0</x:v>
      </x:c>
      <x:c r="CL23" s="107" t="n">
        <x:f>IF(CL22=0,0,'Вводные'!$K$31*'Вводные'!$H$5*INDEX('Вводные'!$S$88:$S$90,$B$8)*INDEX('Вводные'!$AG$88:$AG$90,$B$8)*(1+'Вводные'!$K$34)^MAX(0,MIN((12*(YEAR(CL$3)-YEAR($B$11))+MONTH(CL$3)-MONTH($B$11)),(12*(YEAR($B$10)-YEAR($B$11))+MONTH($B$10)-MONTH($B$11))))*(1+'Вводные'!$K$35)^MAX(0,(12*(YEAR(CL$3)-YEAR($B$10))+MONTH(CL$3)-MONTH($B$10))))</x:f>
        <x:v>0</x:v>
      </x:c>
      <x:c r="CM23" s="107" t="n">
        <x:f>IF(CM22=0,0,'Вводные'!$K$31*'Вводные'!$H$5*INDEX('Вводные'!$S$88:$S$90,$B$8)*INDEX('Вводные'!$AG$88:$AG$90,$B$8)*(1+'Вводные'!$K$34)^MAX(0,MIN((12*(YEAR(CM$3)-YEAR($B$11))+MONTH(CM$3)-MONTH($B$11)),(12*(YEAR($B$10)-YEAR($B$11))+MONTH($B$10)-MONTH($B$11))))*(1+'Вводные'!$K$35)^MAX(0,(12*(YEAR(CM$3)-YEAR($B$10))+MONTH(CM$3)-MONTH($B$10))))</x:f>
        <x:v>0</x:v>
      </x:c>
      <x:c r="CN23" s="107" t="n">
        <x:f>IF(CN22=0,0,'Вводные'!$K$31*'Вводные'!$H$5*INDEX('Вводные'!$S$88:$S$90,$B$8)*INDEX('Вводные'!$AG$88:$AG$90,$B$8)*(1+'Вводные'!$K$34)^MAX(0,MIN((12*(YEAR(CN$3)-YEAR($B$11))+MONTH(CN$3)-MONTH($B$11)),(12*(YEAR($B$10)-YEAR($B$11))+MONTH($B$10)-MONTH($B$11))))*(1+'Вводные'!$K$35)^MAX(0,(12*(YEAR(CN$3)-YEAR($B$10))+MONTH(CN$3)-MONTH($B$10))))</x:f>
        <x:v>0</x:v>
      </x:c>
      <x:c r="CO23" s="107" t="n">
        <x:f>IF(CO22=0,0,'Вводные'!$K$31*'Вводные'!$H$5*INDEX('Вводные'!$S$88:$S$90,$B$8)*INDEX('Вводные'!$AG$88:$AG$90,$B$8)*(1+'Вводные'!$K$34)^MAX(0,MIN((12*(YEAR(CO$3)-YEAR($B$11))+MONTH(CO$3)-MONTH($B$11)),(12*(YEAR($B$10)-YEAR($B$11))+MONTH($B$10)-MONTH($B$11))))*(1+'Вводные'!$K$35)^MAX(0,(12*(YEAR(CO$3)-YEAR($B$10))+MONTH(CO$3)-MONTH($B$10))))</x:f>
        <x:v>0</x:v>
      </x:c>
      <x:c r="CP23" s="107" t="n">
        <x:f>IF(CP22=0,0,'Вводные'!$K$31*'Вводные'!$H$5*INDEX('Вводные'!$S$88:$S$90,$B$8)*INDEX('Вводные'!$AG$88:$AG$90,$B$8)*(1+'Вводные'!$K$34)^MAX(0,MIN((12*(YEAR(CP$3)-YEAR($B$11))+MONTH(CP$3)-MONTH($B$11)),(12*(YEAR($B$10)-YEAR($B$11))+MONTH($B$10)-MONTH($B$11))))*(1+'Вводные'!$K$35)^MAX(0,(12*(YEAR(CP$3)-YEAR($B$10))+MONTH(CP$3)-MONTH($B$10))))</x:f>
        <x:v>0</x:v>
      </x:c>
      <x:c r="CQ23" s="107" t="n">
        <x:f>IF(CQ22=0,0,'Вводные'!$K$31*'Вводные'!$H$5*INDEX('Вводные'!$S$88:$S$90,$B$8)*INDEX('Вводные'!$AG$88:$AG$90,$B$8)*(1+'Вводные'!$K$34)^MAX(0,MIN((12*(YEAR(CQ$3)-YEAR($B$11))+MONTH(CQ$3)-MONTH($B$11)),(12*(YEAR($B$10)-YEAR($B$11))+MONTH($B$10)-MONTH($B$11))))*(1+'Вводные'!$K$35)^MAX(0,(12*(YEAR(CQ$3)-YEAR($B$10))+MONTH(CQ$3)-MONTH($B$10))))</x:f>
        <x:v>0</x:v>
      </x:c>
      <x:c r="CR23" s="107" t="n">
        <x:f>IF(CR22=0,0,'Вводные'!$K$31*'Вводные'!$H$5*INDEX('Вводные'!$S$88:$S$90,$B$8)*INDEX('Вводные'!$AG$88:$AG$90,$B$8)*(1+'Вводные'!$K$34)^MAX(0,MIN((12*(YEAR(CR$3)-YEAR($B$11))+MONTH(CR$3)-MONTH($B$11)),(12*(YEAR($B$10)-YEAR($B$11))+MONTH($B$10)-MONTH($B$11))))*(1+'Вводные'!$K$35)^MAX(0,(12*(YEAR(CR$3)-YEAR($B$10))+MONTH(CR$3)-MONTH($B$10))))</x:f>
        <x:v>0</x:v>
      </x:c>
      <x:c r="CS23" s="107" t="n">
        <x:f>IF(CS22=0,0,'Вводные'!$K$31*'Вводные'!$H$5*INDEX('Вводные'!$S$88:$S$90,$B$8)*INDEX('Вводные'!$AG$88:$AG$90,$B$8)*(1+'Вводные'!$K$34)^MAX(0,MIN((12*(YEAR(CS$3)-YEAR($B$11))+MONTH(CS$3)-MONTH($B$11)),(12*(YEAR($B$10)-YEAR($B$11))+MONTH($B$10)-MONTH($B$11))))*(1+'Вводные'!$K$35)^MAX(0,(12*(YEAR(CS$3)-YEAR($B$10))+MONTH(CS$3)-MONTH($B$10))))</x:f>
        <x:v>0</x:v>
      </x:c>
      <x:c r="CT23" s="107" t="n">
        <x:f>IF(CT22=0,0,'Вводные'!$K$31*'Вводные'!$H$5*INDEX('Вводные'!$S$88:$S$90,$B$8)*INDEX('Вводные'!$AG$88:$AG$90,$B$8)*(1+'Вводные'!$K$34)^MAX(0,MIN((12*(YEAR(CT$3)-YEAR($B$11))+MONTH(CT$3)-MONTH($B$11)),(12*(YEAR($B$10)-YEAR($B$11))+MONTH($B$10)-MONTH($B$11))))*(1+'Вводные'!$K$35)^MAX(0,(12*(YEAR(CT$3)-YEAR($B$10))+MONTH(CT$3)-MONTH($B$10))))</x:f>
        <x:v>0</x:v>
      </x:c>
      <x:c r="CU23" s="107" t="n">
        <x:f>IF(CU22=0,0,'Вводные'!$K$31*'Вводные'!$H$5*INDEX('Вводные'!$S$88:$S$90,$B$8)*INDEX('Вводные'!$AG$88:$AG$90,$B$8)*(1+'Вводные'!$K$34)^MAX(0,MIN((12*(YEAR(CU$3)-YEAR($B$11))+MONTH(CU$3)-MONTH($B$11)),(12*(YEAR($B$10)-YEAR($B$11))+MONTH($B$10)-MONTH($B$11))))*(1+'Вводные'!$K$35)^MAX(0,(12*(YEAR(CU$3)-YEAR($B$10))+MONTH(CU$3)-MONTH($B$10))))</x:f>
        <x:v>0</x:v>
      </x:c>
      <x:c r="CV23" s="107" t="n">
        <x:f>IF(CV22=0,0,'Вводные'!$K$31*'Вводные'!$H$5*INDEX('Вводные'!$S$88:$S$90,$B$8)*INDEX('Вводные'!$AG$88:$AG$90,$B$8)*(1+'Вводные'!$K$34)^MAX(0,MIN((12*(YEAR(CV$3)-YEAR($B$11))+MONTH(CV$3)-MONTH($B$11)),(12*(YEAR($B$10)-YEAR($B$11))+MONTH($B$10)-MONTH($B$11))))*(1+'Вводные'!$K$35)^MAX(0,(12*(YEAR(CV$3)-YEAR($B$10))+MONTH(CV$3)-MONTH($B$10))))</x:f>
        <x:v>0</x:v>
      </x:c>
      <x:c r="CW23" s="107" t="n">
        <x:f>IF(CW22=0,0,'Вводные'!$K$31*'Вводные'!$H$5*INDEX('Вводные'!$S$88:$S$90,$B$8)*INDEX('Вводные'!$AG$88:$AG$90,$B$8)*(1+'Вводные'!$K$34)^MAX(0,MIN((12*(YEAR(CW$3)-YEAR($B$11))+MONTH(CW$3)-MONTH($B$11)),(12*(YEAR($B$10)-YEAR($B$11))+MONTH($B$10)-MONTH($B$11))))*(1+'Вводные'!$K$35)^MAX(0,(12*(YEAR(CW$3)-YEAR($B$10))+MONTH(CW$3)-MONTH($B$10))))</x:f>
        <x:v>0</x:v>
      </x:c>
      <x:c r="CX23" s="107" t="n">
        <x:f>IF(CX22=0,0,'Вводные'!$K$31*'Вводные'!$H$5*INDEX('Вводные'!$S$88:$S$90,$B$8)*INDEX('Вводные'!$AG$88:$AG$90,$B$8)*(1+'Вводные'!$K$34)^MAX(0,MIN((12*(YEAR(CX$3)-YEAR($B$11))+MONTH(CX$3)-MONTH($B$11)),(12*(YEAR($B$10)-YEAR($B$11))+MONTH($B$10)-MONTH($B$11))))*(1+'Вводные'!$K$35)^MAX(0,(12*(YEAR(CX$3)-YEAR($B$10))+MONTH(CX$3)-MONTH($B$10))))</x:f>
        <x:v>0</x:v>
      </x:c>
      <x:c r="CY23" s="107" t="n">
        <x:f>IF(CY22=0,0,'Вводные'!$K$31*'Вводные'!$H$5*INDEX('Вводные'!$S$88:$S$90,$B$8)*INDEX('Вводные'!$AG$88:$AG$90,$B$8)*(1+'Вводные'!$K$34)^MAX(0,MIN((12*(YEAR(CY$3)-YEAR($B$11))+MONTH(CY$3)-MONTH($B$11)),(12*(YEAR($B$10)-YEAR($B$11))+MONTH($B$10)-MONTH($B$11))))*(1+'Вводные'!$K$35)^MAX(0,(12*(YEAR(CY$3)-YEAR($B$10))+MONTH(CY$3)-MONTH($B$10))))</x:f>
        <x:v>0</x:v>
      </x:c>
      <x:c r="CZ23" s="107" t="n">
        <x:f>IF(CZ22=0,0,'Вводные'!$K$31*'Вводные'!$H$5*INDEX('Вводные'!$S$88:$S$90,$B$8)*INDEX('Вводные'!$AG$88:$AG$90,$B$8)*(1+'Вводные'!$K$34)^MAX(0,MIN((12*(YEAR(CZ$3)-YEAR($B$11))+MONTH(CZ$3)-MONTH($B$11)),(12*(YEAR($B$10)-YEAR($B$11))+MONTH($B$10)-MONTH($B$11))))*(1+'Вводные'!$K$35)^MAX(0,(12*(YEAR(CZ$3)-YEAR($B$10))+MONTH(CZ$3)-MONTH($B$10))))</x:f>
        <x:v>0</x:v>
      </x:c>
      <x:c r="DA23" s="107" t="n">
        <x:f>IF(DA22=0,0,'Вводные'!$K$31*'Вводные'!$H$5*INDEX('Вводные'!$S$88:$S$90,$B$8)*INDEX('Вводные'!$AG$88:$AG$90,$B$8)*(1+'Вводные'!$K$34)^MAX(0,MIN((12*(YEAR(DA$3)-YEAR($B$11))+MONTH(DA$3)-MONTH($B$11)),(12*(YEAR($B$10)-YEAR($B$11))+MONTH($B$10)-MONTH($B$11))))*(1+'Вводные'!$K$35)^MAX(0,(12*(YEAR(DA$3)-YEAR($B$10))+MONTH(DA$3)-MONTH($B$10))))</x:f>
        <x:v>0</x:v>
      </x:c>
      <x:c r="DB23" s="107" t="n">
        <x:f>IF(DB22=0,0,'Вводные'!$K$31*'Вводные'!$H$5*INDEX('Вводные'!$S$88:$S$90,$B$8)*INDEX('Вводные'!$AG$88:$AG$90,$B$8)*(1+'Вводные'!$K$34)^MAX(0,MIN((12*(YEAR(DB$3)-YEAR($B$11))+MONTH(DB$3)-MONTH($B$11)),(12*(YEAR($B$10)-YEAR($B$11))+MONTH($B$10)-MONTH($B$11))))*(1+'Вводные'!$K$35)^MAX(0,(12*(YEAR(DB$3)-YEAR($B$10))+MONTH(DB$3)-MONTH($B$10))))</x:f>
        <x:v>0</x:v>
      </x:c>
      <x:c r="DC23" s="107" t="n">
        <x:f>IF(DC22=0,0,'Вводные'!$K$31*'Вводные'!$H$5*INDEX('Вводные'!$S$88:$S$90,$B$8)*INDEX('Вводные'!$AG$88:$AG$90,$B$8)*(1+'Вводные'!$K$34)^MAX(0,MIN((12*(YEAR(DC$3)-YEAR($B$11))+MONTH(DC$3)-MONTH($B$11)),(12*(YEAR($B$10)-YEAR($B$11))+MONTH($B$10)-MONTH($B$11))))*(1+'Вводные'!$K$35)^MAX(0,(12*(YEAR(DC$3)-YEAR($B$10))+MONTH(DC$3)-MONTH($B$10))))</x:f>
        <x:v>0</x:v>
      </x:c>
      <x:c r="DD23" s="107" t="n">
        <x:f>IF(DD22=0,0,'Вводные'!$K$31*'Вводные'!$H$5*INDEX('Вводные'!$S$88:$S$90,$B$8)*INDEX('Вводные'!$AG$88:$AG$90,$B$8)*(1+'Вводные'!$K$34)^MAX(0,MIN((12*(YEAR(DD$3)-YEAR($B$11))+MONTH(DD$3)-MONTH($B$11)),(12*(YEAR($B$10)-YEAR($B$11))+MONTH($B$10)-MONTH($B$11))))*(1+'Вводные'!$K$35)^MAX(0,(12*(YEAR(DD$3)-YEAR($B$10))+MONTH(DD$3)-MONTH($B$10))))</x:f>
        <x:v>0</x:v>
      </x:c>
      <x:c r="DE23" s="107" t="n">
        <x:f>IF(DE22=0,0,'Вводные'!$K$31*'Вводные'!$H$5*INDEX('Вводные'!$S$88:$S$90,$B$8)*INDEX('Вводные'!$AG$88:$AG$90,$B$8)*(1+'Вводные'!$K$34)^MAX(0,MIN((12*(YEAR(DE$3)-YEAR($B$11))+MONTH(DE$3)-MONTH($B$11)),(12*(YEAR($B$10)-YEAR($B$11))+MONTH($B$10)-MONTH($B$11))))*(1+'Вводные'!$K$35)^MAX(0,(12*(YEAR(DE$3)-YEAR($B$10))+MONTH(DE$3)-MONTH($B$10))))</x:f>
        <x:v>0</x:v>
      </x:c>
      <x:c r="DF23" s="107" t="n">
        <x:f>IF(DF22=0,0,'Вводные'!$K$31*'Вводные'!$H$5*INDEX('Вводные'!$S$88:$S$90,$B$8)*INDEX('Вводные'!$AG$88:$AG$90,$B$8)*(1+'Вводные'!$K$34)^MAX(0,MIN((12*(YEAR(DF$3)-YEAR($B$11))+MONTH(DF$3)-MONTH($B$11)),(12*(YEAR($B$10)-YEAR($B$11))+MONTH($B$10)-MONTH($B$11))))*(1+'Вводные'!$K$35)^MAX(0,(12*(YEAR(DF$3)-YEAR($B$10))+MONTH(DF$3)-MONTH($B$10))))</x:f>
        <x:v>0</x:v>
      </x:c>
      <x:c r="DG23" s="107" t="n">
        <x:f>IF(DG22=0,0,'Вводные'!$K$31*'Вводные'!$H$5*INDEX('Вводные'!$S$88:$S$90,$B$8)*INDEX('Вводные'!$AG$88:$AG$90,$B$8)*(1+'Вводные'!$K$34)^MAX(0,MIN((12*(YEAR(DG$3)-YEAR($B$11))+MONTH(DG$3)-MONTH($B$11)),(12*(YEAR($B$10)-YEAR($B$11))+MONTH($B$10)-MONTH($B$11))))*(1+'Вводные'!$K$35)^MAX(0,(12*(YEAR(DG$3)-YEAR($B$10))+MONTH(DG$3)-MONTH($B$10))))</x:f>
        <x:v>0</x:v>
      </x:c>
      <x:c r="DH23" s="107" t="n">
        <x:f>IF(DH22=0,0,'Вводные'!$K$31*'Вводные'!$H$5*INDEX('Вводные'!$S$88:$S$90,$B$8)*INDEX('Вводные'!$AG$88:$AG$90,$B$8)*(1+'Вводные'!$K$34)^MAX(0,MIN((12*(YEAR(DH$3)-YEAR($B$11))+MONTH(DH$3)-MONTH($B$11)),(12*(YEAR($B$10)-YEAR($B$11))+MONTH($B$10)-MONTH($B$11))))*(1+'Вводные'!$K$35)^MAX(0,(12*(YEAR(DH$3)-YEAR($B$10))+MONTH(DH$3)-MONTH($B$10))))</x:f>
        <x:v>0</x:v>
      </x:c>
      <x:c r="DI23" s="107" t="n">
        <x:f>IF(DI22=0,0,'Вводные'!$K$31*'Вводные'!$H$5*INDEX('Вводные'!$S$88:$S$90,$B$8)*INDEX('Вводные'!$AG$88:$AG$90,$B$8)*(1+'Вводные'!$K$34)^MAX(0,MIN((12*(YEAR(DI$3)-YEAR($B$11))+MONTH(DI$3)-MONTH($B$11)),(12*(YEAR($B$10)-YEAR($B$11))+MONTH($B$10)-MONTH($B$11))))*(1+'Вводные'!$K$35)^MAX(0,(12*(YEAR(DI$3)-YEAR($B$10))+MONTH(DI$3)-MONTH($B$10))))</x:f>
        <x:v>0</x:v>
      </x:c>
      <x:c r="DJ23" s="107" t="n">
        <x:f>IF(DJ22=0,0,'Вводные'!$K$31*'Вводные'!$H$5*INDEX('Вводные'!$S$88:$S$90,$B$8)*INDEX('Вводные'!$AG$88:$AG$90,$B$8)*(1+'Вводные'!$K$34)^MAX(0,MIN((12*(YEAR(DJ$3)-YEAR($B$11))+MONTH(DJ$3)-MONTH($B$11)),(12*(YEAR($B$10)-YEAR($B$11))+MONTH($B$10)-MONTH($B$11))))*(1+'Вводные'!$K$35)^MAX(0,(12*(YEAR(DJ$3)-YEAR($B$10))+MONTH(DJ$3)-MONTH($B$10))))</x:f>
        <x:v>0</x:v>
      </x:c>
      <x:c r="DK23" s="107" t="n">
        <x:f>IF(DK22=0,0,'Вводные'!$K$31*'Вводные'!$H$5*INDEX('Вводные'!$S$88:$S$90,$B$8)*INDEX('Вводные'!$AG$88:$AG$90,$B$8)*(1+'Вводные'!$K$34)^MAX(0,MIN((12*(YEAR(DK$3)-YEAR($B$11))+MONTH(DK$3)-MONTH($B$11)),(12*(YEAR($B$10)-YEAR($B$11))+MONTH($B$10)-MONTH($B$11))))*(1+'Вводные'!$K$35)^MAX(0,(12*(YEAR(DK$3)-YEAR($B$10))+MONTH(DK$3)-MONTH($B$10))))</x:f>
        <x:v>0</x:v>
      </x:c>
      <x:c r="DL23" s="107" t="n">
        <x:f>IF(DL22=0,0,'Вводные'!$K$31*'Вводные'!$H$5*INDEX('Вводные'!$S$88:$S$90,$B$8)*INDEX('Вводные'!$AG$88:$AG$90,$B$8)*(1+'Вводные'!$K$34)^MAX(0,MIN((12*(YEAR(DL$3)-YEAR($B$11))+MONTH(DL$3)-MONTH($B$11)),(12*(YEAR($B$10)-YEAR($B$11))+MONTH($B$10)-MONTH($B$11))))*(1+'Вводные'!$K$35)^MAX(0,(12*(YEAR(DL$3)-YEAR($B$10))+MONTH(DL$3)-MONTH($B$10))))</x:f>
        <x:v>0</x:v>
      </x:c>
      <x:c r="DM23" s="107" t="n">
        <x:f>IF(DM22=0,0,'Вводные'!$K$31*'Вводные'!$H$5*INDEX('Вводные'!$S$88:$S$90,$B$8)*INDEX('Вводные'!$AG$88:$AG$90,$B$8)*(1+'Вводные'!$K$34)^MAX(0,MIN((12*(YEAR(DM$3)-YEAR($B$11))+MONTH(DM$3)-MONTH($B$11)),(12*(YEAR($B$10)-YEAR($B$11))+MONTH($B$10)-MONTH($B$11))))*(1+'Вводные'!$K$35)^MAX(0,(12*(YEAR(DM$3)-YEAR($B$10))+MONTH(DM$3)-MONTH($B$10))))</x:f>
        <x:v>0</x:v>
      </x:c>
      <x:c r="DN23" s="107" t="n">
        <x:f>IF(DN22=0,0,'Вводные'!$K$31*'Вводные'!$H$5*INDEX('Вводные'!$S$88:$S$90,$B$8)*INDEX('Вводные'!$AG$88:$AG$90,$B$8)*(1+'Вводные'!$K$34)^MAX(0,MIN((12*(YEAR(DN$3)-YEAR($B$11))+MONTH(DN$3)-MONTH($B$11)),(12*(YEAR($B$10)-YEAR($B$11))+MONTH($B$10)-MONTH($B$11))))*(1+'Вводные'!$K$35)^MAX(0,(12*(YEAR(DN$3)-YEAR($B$10))+MONTH(DN$3)-MONTH($B$10))))</x:f>
        <x:v>0</x:v>
      </x:c>
      <x:c r="DO23" s="107" t="n">
        <x:f>IF(DO22=0,0,'Вводные'!$K$31*'Вводные'!$H$5*INDEX('Вводные'!$S$88:$S$90,$B$8)*INDEX('Вводные'!$AG$88:$AG$90,$B$8)*(1+'Вводные'!$K$34)^MAX(0,MIN((12*(YEAR(DO$3)-YEAR($B$11))+MONTH(DO$3)-MONTH($B$11)),(12*(YEAR($B$10)-YEAR($B$11))+MONTH($B$10)-MONTH($B$11))))*(1+'Вводные'!$K$35)^MAX(0,(12*(YEAR(DO$3)-YEAR($B$10))+MONTH(DO$3)-MONTH($B$10))))</x:f>
        <x:v>0</x:v>
      </x:c>
      <x:c r="DP23" s="107" t="n">
        <x:f>IF(DP22=0,0,'Вводные'!$K$31*'Вводные'!$H$5*INDEX('Вводные'!$S$88:$S$90,$B$8)*INDEX('Вводные'!$AG$88:$AG$90,$B$8)*(1+'Вводные'!$K$34)^MAX(0,MIN((12*(YEAR(DP$3)-YEAR($B$11))+MONTH(DP$3)-MONTH($B$11)),(12*(YEAR($B$10)-YEAR($B$11))+MONTH($B$10)-MONTH($B$11))))*(1+'Вводные'!$K$35)^MAX(0,(12*(YEAR(DP$3)-YEAR($B$10))+MONTH(DP$3)-MONTH($B$10))))</x:f>
        <x:v>0</x:v>
      </x:c>
      <x:c r="DQ23" s="107" t="n">
        <x:f>IF(DQ22=0,0,'Вводные'!$K$31*'Вводные'!$H$5*INDEX('Вводные'!$S$88:$S$90,$B$8)*INDEX('Вводные'!$AG$88:$AG$90,$B$8)*(1+'Вводные'!$K$34)^MAX(0,MIN((12*(YEAR(DQ$3)-YEAR($B$11))+MONTH(DQ$3)-MONTH($B$11)),(12*(YEAR($B$10)-YEAR($B$11))+MONTH($B$10)-MONTH($B$11))))*(1+'Вводные'!$K$35)^MAX(0,(12*(YEAR(DQ$3)-YEAR($B$10))+MONTH(DQ$3)-MONTH($B$10))))</x:f>
        <x:v>0</x:v>
      </x:c>
      <x:c r="DR23" s="107" t="n">
        <x:f>IF(DR22=0,0,'Вводные'!$K$31*'Вводные'!$H$5*INDEX('Вводные'!$S$88:$S$90,$B$8)*INDEX('Вводные'!$AG$88:$AG$90,$B$8)*(1+'Вводные'!$K$34)^MAX(0,MIN((12*(YEAR(DR$3)-YEAR($B$11))+MONTH(DR$3)-MONTH($B$11)),(12*(YEAR($B$10)-YEAR($B$11))+MONTH($B$10)-MONTH($B$11))))*(1+'Вводные'!$K$35)^MAX(0,(12*(YEAR(DR$3)-YEAR($B$10))+MONTH(DR$3)-MONTH($B$10))))</x:f>
        <x:v>0</x:v>
      </x:c>
      <x:c r="DS23" s="107" t="n">
        <x:f>IF(DS22=0,0,'Вводные'!$K$31*'Вводные'!$H$5*INDEX('Вводные'!$S$88:$S$90,$B$8)*INDEX('Вводные'!$AG$88:$AG$90,$B$8)*(1+'Вводные'!$K$34)^MAX(0,MIN((12*(YEAR(DS$3)-YEAR($B$11))+MONTH(DS$3)-MONTH($B$11)),(12*(YEAR($B$10)-YEAR($B$11))+MONTH($B$10)-MONTH($B$11))))*(1+'Вводные'!$K$35)^MAX(0,(12*(YEAR(DS$3)-YEAR($B$10))+MONTH(DS$3)-MONTH($B$10))))</x:f>
        <x:v>0</x:v>
      </x:c>
    </x:row>
    <x:row r="24">
      <x:c r="A24" t="str">
        <x:v>Продажи по договорам</x:v>
      </x:c>
      <x:c r="B24" s="107" t="n">
        <x:f>SUM(D24:DS24)</x:f>
        <x:v>0</x:v>
      </x:c>
      <x:c r="C24" t="str">
        <x:v>млн ₽</x:v>
      </x:c>
      <x:c r="D24" s="107" t="n">
        <x:f>D22*D23/1000</x:f>
        <x:v>0</x:v>
      </x:c>
      <x:c r="E24" s="107" t="n">
        <x:f>E22*E23/1000</x:f>
        <x:v>0</x:v>
      </x:c>
      <x:c r="F24" s="107" t="n">
        <x:f>F22*F23/1000</x:f>
        <x:v>0</x:v>
      </x:c>
      <x:c r="G24" s="107" t="n">
        <x:f>G22*G23/1000</x:f>
        <x:v>0</x:v>
      </x:c>
      <x:c r="H24" s="107" t="n">
        <x:f>H22*H23/1000</x:f>
        <x:v>0</x:v>
      </x:c>
      <x:c r="I24" s="107" t="n">
        <x:f>I22*I23/1000</x:f>
        <x:v>0</x:v>
      </x:c>
      <x:c r="J24" s="107" t="n">
        <x:f>J22*J23/1000</x:f>
        <x:v>0</x:v>
      </x:c>
      <x:c r="K24" s="107" t="n">
        <x:f>K22*K23/1000</x:f>
        <x:v>0</x:v>
      </x:c>
      <x:c r="L24" s="107" t="n">
        <x:f>L22*L23/1000</x:f>
        <x:v>0</x:v>
      </x:c>
      <x:c r="M24" s="107" t="n">
        <x:f>M22*M23/1000</x:f>
        <x:v>0</x:v>
      </x:c>
      <x:c r="N24" s="107" t="n">
        <x:f>N22*N23/1000</x:f>
        <x:v>0</x:v>
      </x:c>
      <x:c r="O24" s="107" t="n">
        <x:f>O22*O23/1000</x:f>
        <x:v>0</x:v>
      </x:c>
      <x:c r="P24" s="107" t="n">
        <x:f>P22*P23/1000</x:f>
        <x:v>0</x:v>
      </x:c>
      <x:c r="Q24" s="107" t="n">
        <x:f>Q22*Q23/1000</x:f>
        <x:v>0</x:v>
      </x:c>
      <x:c r="R24" s="107" t="n">
        <x:f>R22*R23/1000</x:f>
        <x:v>0</x:v>
      </x:c>
      <x:c r="S24" s="107" t="n">
        <x:f>S22*S23/1000</x:f>
        <x:v>0</x:v>
      </x:c>
      <x:c r="T24" s="107" t="n">
        <x:f>T22*T23/1000</x:f>
        <x:v>0</x:v>
      </x:c>
      <x:c r="U24" s="107" t="n">
        <x:f>U22*U23/1000</x:f>
        <x:v>0</x:v>
      </x:c>
      <x:c r="V24" s="107" t="n">
        <x:f>V22*V23/1000</x:f>
        <x:v>0</x:v>
      </x:c>
      <x:c r="W24" s="107" t="n">
        <x:f>W22*W23/1000</x:f>
        <x:v>0</x:v>
      </x:c>
      <x:c r="X24" s="107" t="n">
        <x:f>X22*X23/1000</x:f>
        <x:v>0</x:v>
      </x:c>
      <x:c r="Y24" s="107" t="n">
        <x:f>Y22*Y23/1000</x:f>
        <x:v>0</x:v>
      </x:c>
      <x:c r="Z24" s="107" t="n">
        <x:f>Z22*Z23/1000</x:f>
        <x:v>0</x:v>
      </x:c>
      <x:c r="AA24" s="107" t="n">
        <x:f>AA22*AA23/1000</x:f>
        <x:v>0</x:v>
      </x:c>
      <x:c r="AB24" s="107" t="n">
        <x:f>AB22*AB23/1000</x:f>
        <x:v>0</x:v>
      </x:c>
      <x:c r="AC24" s="107" t="n">
        <x:f>AC22*AC23/1000</x:f>
        <x:v>0</x:v>
      </x:c>
      <x:c r="AD24" s="107" t="n">
        <x:f>AD22*AD23/1000</x:f>
        <x:v>0</x:v>
      </x:c>
      <x:c r="AE24" s="107" t="n">
        <x:f>AE22*AE23/1000</x:f>
        <x:v>0</x:v>
      </x:c>
      <x:c r="AF24" s="107" t="n">
        <x:f>AF22*AF23/1000</x:f>
        <x:v>0</x:v>
      </x:c>
      <x:c r="AG24" s="107" t="n">
        <x:f>AG22*AG23/1000</x:f>
        <x:v>0</x:v>
      </x:c>
      <x:c r="AH24" s="107" t="n">
        <x:f>AH22*AH23/1000</x:f>
        <x:v>0</x:v>
      </x:c>
      <x:c r="AI24" s="107" t="n">
        <x:f>AI22*AI23/1000</x:f>
        <x:v>0</x:v>
      </x:c>
      <x:c r="AJ24" s="107" t="n">
        <x:f>AJ22*AJ23/1000</x:f>
        <x:v>0</x:v>
      </x:c>
      <x:c r="AK24" s="107" t="n">
        <x:f>AK22*AK23/1000</x:f>
        <x:v>0</x:v>
      </x:c>
      <x:c r="AL24" s="107" t="n">
        <x:f>AL22*AL23/1000</x:f>
        <x:v>0</x:v>
      </x:c>
      <x:c r="AM24" s="107" t="n">
        <x:f>AM22*AM23/1000</x:f>
        <x:v>0</x:v>
      </x:c>
      <x:c r="AN24" s="107" t="n">
        <x:f>AN22*AN23/1000</x:f>
        <x:v>0</x:v>
      </x:c>
      <x:c r="AO24" s="107" t="n">
        <x:f>AO22*AO23/1000</x:f>
        <x:v>0</x:v>
      </x:c>
      <x:c r="AP24" s="107" t="n">
        <x:f>AP22*AP23/1000</x:f>
        <x:v>0</x:v>
      </x:c>
      <x:c r="AQ24" s="107" t="n">
        <x:f>AQ22*AQ23/1000</x:f>
        <x:v>0</x:v>
      </x:c>
      <x:c r="AR24" s="107" t="n">
        <x:f>AR22*AR23/1000</x:f>
        <x:v>0</x:v>
      </x:c>
      <x:c r="AS24" s="107" t="n">
        <x:f>AS22*AS23/1000</x:f>
        <x:v>0</x:v>
      </x:c>
      <x:c r="AT24" s="107" t="n">
        <x:f>AT22*AT23/1000</x:f>
        <x:v>0</x:v>
      </x:c>
      <x:c r="AU24" s="107" t="n">
        <x:f>AU22*AU23/1000</x:f>
        <x:v>0</x:v>
      </x:c>
      <x:c r="AV24" s="107" t="n">
        <x:f>AV22*AV23/1000</x:f>
        <x:v>0</x:v>
      </x:c>
      <x:c r="AW24" s="107" t="n">
        <x:f>AW22*AW23/1000</x:f>
        <x:v>0</x:v>
      </x:c>
      <x:c r="AX24" s="107" t="n">
        <x:f>AX22*AX23/1000</x:f>
        <x:v>0</x:v>
      </x:c>
      <x:c r="AY24" s="107" t="n">
        <x:f>AY22*AY23/1000</x:f>
        <x:v>0</x:v>
      </x:c>
      <x:c r="AZ24" s="107" t="n">
        <x:f>AZ22*AZ23/1000</x:f>
        <x:v>0</x:v>
      </x:c>
      <x:c r="BA24" s="107" t="n">
        <x:f>BA22*BA23/1000</x:f>
        <x:v>0</x:v>
      </x:c>
      <x:c r="BB24" s="107" t="n">
        <x:f>BB22*BB23/1000</x:f>
        <x:v>0</x:v>
      </x:c>
      <x:c r="BC24" s="107" t="n">
        <x:f>BC22*BC23/1000</x:f>
        <x:v>0</x:v>
      </x:c>
      <x:c r="BD24" s="107" t="n">
        <x:f>BD22*BD23/1000</x:f>
        <x:v>0</x:v>
      </x:c>
      <x:c r="BE24" s="107" t="n">
        <x:f>BE22*BE23/1000</x:f>
        <x:v>0</x:v>
      </x:c>
      <x:c r="BF24" s="107" t="n">
        <x:f>BF22*BF23/1000</x:f>
        <x:v>0</x:v>
      </x:c>
      <x:c r="BG24" s="107" t="n">
        <x:f>BG22*BG23/1000</x:f>
        <x:v>0</x:v>
      </x:c>
      <x:c r="BH24" s="107" t="n">
        <x:f>BH22*BH23/1000</x:f>
        <x:v>0</x:v>
      </x:c>
      <x:c r="BI24" s="107" t="n">
        <x:f>BI22*BI23/1000</x:f>
        <x:v>0</x:v>
      </x:c>
      <x:c r="BJ24" s="107" t="n">
        <x:f>BJ22*BJ23/1000</x:f>
        <x:v>0</x:v>
      </x:c>
      <x:c r="BK24" s="107" t="n">
        <x:f>BK22*BK23/1000</x:f>
        <x:v>0</x:v>
      </x:c>
      <x:c r="BL24" s="107" t="n">
        <x:f>BL22*BL23/1000</x:f>
        <x:v>0</x:v>
      </x:c>
      <x:c r="BM24" s="107" t="n">
        <x:f>BM22*BM23/1000</x:f>
        <x:v>0</x:v>
      </x:c>
      <x:c r="BN24" s="107" t="n">
        <x:f>BN22*BN23/1000</x:f>
        <x:v>0</x:v>
      </x:c>
      <x:c r="BO24" s="107" t="n">
        <x:f>BO22*BO23/1000</x:f>
        <x:v>0</x:v>
      </x:c>
      <x:c r="BP24" s="107" t="n">
        <x:f>BP22*BP23/1000</x:f>
        <x:v>0</x:v>
      </x:c>
      <x:c r="BQ24" s="107" t="n">
        <x:f>BQ22*BQ23/1000</x:f>
        <x:v>0</x:v>
      </x:c>
      <x:c r="BR24" s="107" t="n">
        <x:f>BR22*BR23/1000</x:f>
        <x:v>0</x:v>
      </x:c>
      <x:c r="BS24" s="107" t="n">
        <x:f>BS22*BS23/1000</x:f>
        <x:v>0</x:v>
      </x:c>
      <x:c r="BT24" s="107" t="n">
        <x:f>BT22*BT23/1000</x:f>
        <x:v>0</x:v>
      </x:c>
      <x:c r="BU24" s="107" t="n">
        <x:f>BU22*BU23/1000</x:f>
        <x:v>0</x:v>
      </x:c>
      <x:c r="BV24" s="107" t="n">
        <x:f>BV22*BV23/1000</x:f>
        <x:v>0</x:v>
      </x:c>
      <x:c r="BW24" s="107" t="n">
        <x:f>BW22*BW23/1000</x:f>
        <x:v>0</x:v>
      </x:c>
      <x:c r="BX24" s="107" t="n">
        <x:f>BX22*BX23/1000</x:f>
        <x:v>0</x:v>
      </x:c>
      <x:c r="BY24" s="107" t="n">
        <x:f>BY22*BY23/1000</x:f>
        <x:v>0</x:v>
      </x:c>
      <x:c r="BZ24" s="107" t="n">
        <x:f>BZ22*BZ23/1000</x:f>
        <x:v>0</x:v>
      </x:c>
      <x:c r="CA24" s="107" t="n">
        <x:f>CA22*CA23/1000</x:f>
        <x:v>0</x:v>
      </x:c>
      <x:c r="CB24" s="107" t="n">
        <x:f>CB22*CB23/1000</x:f>
        <x:v>0</x:v>
      </x:c>
      <x:c r="CC24" s="107" t="n">
        <x:f>CC22*CC23/1000</x:f>
        <x:v>0</x:v>
      </x:c>
      <x:c r="CD24" s="107" t="n">
        <x:f>CD22*CD23/1000</x:f>
        <x:v>0</x:v>
      </x:c>
      <x:c r="CE24" s="107" t="n">
        <x:f>CE22*CE23/1000</x:f>
        <x:v>0</x:v>
      </x:c>
      <x:c r="CF24" s="107" t="n">
        <x:f>CF22*CF23/1000</x:f>
        <x:v>0</x:v>
      </x:c>
      <x:c r="CG24" s="107" t="n">
        <x:f>CG22*CG23/1000</x:f>
        <x:v>0</x:v>
      </x:c>
      <x:c r="CH24" s="107" t="n">
        <x:f>CH22*CH23/1000</x:f>
        <x:v>0</x:v>
      </x:c>
      <x:c r="CI24" s="107" t="n">
        <x:f>CI22*CI23/1000</x:f>
        <x:v>0</x:v>
      </x:c>
      <x:c r="CJ24" s="107" t="n">
        <x:f>CJ22*CJ23/1000</x:f>
        <x:v>0</x:v>
      </x:c>
      <x:c r="CK24" s="107" t="n">
        <x:f>CK22*CK23/1000</x:f>
        <x:v>0</x:v>
      </x:c>
      <x:c r="CL24" s="107" t="n">
        <x:f>CL22*CL23/1000</x:f>
        <x:v>0</x:v>
      </x:c>
      <x:c r="CM24" s="107" t="n">
        <x:f>CM22*CM23/1000</x:f>
        <x:v>0</x:v>
      </x:c>
      <x:c r="CN24" s="107" t="n">
        <x:f>CN22*CN23/1000</x:f>
        <x:v>0</x:v>
      </x:c>
      <x:c r="CO24" s="107" t="n">
        <x:f>CO22*CO23/1000</x:f>
        <x:v>0</x:v>
      </x:c>
      <x:c r="CP24" s="107" t="n">
        <x:f>CP22*CP23/1000</x:f>
        <x:v>0</x:v>
      </x:c>
      <x:c r="CQ24" s="107" t="n">
        <x:f>CQ22*CQ23/1000</x:f>
        <x:v>0</x:v>
      </x:c>
      <x:c r="CR24" s="107" t="n">
        <x:f>CR22*CR23/1000</x:f>
        <x:v>0</x:v>
      </x:c>
      <x:c r="CS24" s="107" t="n">
        <x:f>CS22*CS23/1000</x:f>
        <x:v>0</x:v>
      </x:c>
      <x:c r="CT24" s="107" t="n">
        <x:f>CT22*CT23/1000</x:f>
        <x:v>0</x:v>
      </x:c>
      <x:c r="CU24" s="107" t="n">
        <x:f>CU22*CU23/1000</x:f>
        <x:v>0</x:v>
      </x:c>
      <x:c r="CV24" s="107" t="n">
        <x:f>CV22*CV23/1000</x:f>
        <x:v>0</x:v>
      </x:c>
      <x:c r="CW24" s="107" t="n">
        <x:f>CW22*CW23/1000</x:f>
        <x:v>0</x:v>
      </x:c>
      <x:c r="CX24" s="107" t="n">
        <x:f>CX22*CX23/1000</x:f>
        <x:v>0</x:v>
      </x:c>
      <x:c r="CY24" s="107" t="n">
        <x:f>CY22*CY23/1000</x:f>
        <x:v>0</x:v>
      </x:c>
      <x:c r="CZ24" s="107" t="n">
        <x:f>CZ22*CZ23/1000</x:f>
        <x:v>0</x:v>
      </x:c>
      <x:c r="DA24" s="107" t="n">
        <x:f>DA22*DA23/1000</x:f>
        <x:v>0</x:v>
      </x:c>
      <x:c r="DB24" s="107" t="n">
        <x:f>DB22*DB23/1000</x:f>
        <x:v>0</x:v>
      </x:c>
      <x:c r="DC24" s="107" t="n">
        <x:f>DC22*DC23/1000</x:f>
        <x:v>0</x:v>
      </x:c>
      <x:c r="DD24" s="107" t="n">
        <x:f>DD22*DD23/1000</x:f>
        <x:v>0</x:v>
      </x:c>
      <x:c r="DE24" s="107" t="n">
        <x:f>DE22*DE23/1000</x:f>
        <x:v>0</x:v>
      </x:c>
      <x:c r="DF24" s="107" t="n">
        <x:f>DF22*DF23/1000</x:f>
        <x:v>0</x:v>
      </x:c>
      <x:c r="DG24" s="107" t="n">
        <x:f>DG22*DG23/1000</x:f>
        <x:v>0</x:v>
      </x:c>
      <x:c r="DH24" s="107" t="n">
        <x:f>DH22*DH23/1000</x:f>
        <x:v>0</x:v>
      </x:c>
      <x:c r="DI24" s="107" t="n">
        <x:f>DI22*DI23/1000</x:f>
        <x:v>0</x:v>
      </x:c>
      <x:c r="DJ24" s="107" t="n">
        <x:f>DJ22*DJ23/1000</x:f>
        <x:v>0</x:v>
      </x:c>
      <x:c r="DK24" s="107" t="n">
        <x:f>DK22*DK23/1000</x:f>
        <x:v>0</x:v>
      </x:c>
      <x:c r="DL24" s="107" t="n">
        <x:f>DL22*DL23/1000</x:f>
        <x:v>0</x:v>
      </x:c>
      <x:c r="DM24" s="107" t="n">
        <x:f>DM22*DM23/1000</x:f>
        <x:v>0</x:v>
      </x:c>
      <x:c r="DN24" s="107" t="n">
        <x:f>DN22*DN23/1000</x:f>
        <x:v>0</x:v>
      </x:c>
      <x:c r="DO24" s="107" t="n">
        <x:f>DO22*DO23/1000</x:f>
        <x:v>0</x:v>
      </x:c>
      <x:c r="DP24" s="107" t="n">
        <x:f>DP22*DP23/1000</x:f>
        <x:v>0</x:v>
      </x:c>
      <x:c r="DQ24" s="107" t="n">
        <x:f>DQ22*DQ23/1000</x:f>
        <x:v>0</x:v>
      </x:c>
      <x:c r="DR24" s="107" t="n">
        <x:f>DR22*DR23/1000</x:f>
        <x:v>0</x:v>
      </x:c>
      <x:c r="DS24" s="107" t="n">
        <x:f>DS22*DS23/1000</x:f>
        <x:v>0</x:v>
      </x:c>
    </x:row>
    <x:row r="25">
      <x:c r="A25" t="str">
        <x:v>Поступления на эскроу</x:v>
      </x:c>
      <x:c r="B25" s="107" t="n">
        <x:f>SUM(D25:DS25)</x:f>
        <x:v>0</x:v>
      </x:c>
      <x:c r="C25" t="str">
        <x:v>млн ₽</x:v>
      </x:c>
      <x:c r="D25" s="107" t="n">
        <x:f>IF(D$3&lt;$B$10,D24,0)</x:f>
        <x:v>0</x:v>
      </x:c>
      <x:c r="E25" s="107" t="n">
        <x:f>IF(E$3&lt;$B$10,E24,0)</x:f>
        <x:v>0</x:v>
      </x:c>
      <x:c r="F25" s="107" t="n">
        <x:f>IF(F$3&lt;$B$10,F24,0)</x:f>
        <x:v>0</x:v>
      </x:c>
      <x:c r="G25" s="107" t="n">
        <x:f>IF(G$3&lt;$B$10,G24,0)</x:f>
        <x:v>0</x:v>
      </x:c>
      <x:c r="H25" s="107" t="n">
        <x:f>IF(H$3&lt;$B$10,H24,0)</x:f>
        <x:v>0</x:v>
      </x:c>
      <x:c r="I25" s="107" t="n">
        <x:f>IF(I$3&lt;$B$10,I24,0)</x:f>
        <x:v>0</x:v>
      </x:c>
      <x:c r="J25" s="107" t="n">
        <x:f>IF(J$3&lt;$B$10,J24,0)</x:f>
        <x:v>0</x:v>
      </x:c>
      <x:c r="K25" s="107" t="n">
        <x:f>IF(K$3&lt;$B$10,K24,0)</x:f>
        <x:v>0</x:v>
      </x:c>
      <x:c r="L25" s="107" t="n">
        <x:f>IF(L$3&lt;$B$10,L24,0)</x:f>
        <x:v>0</x:v>
      </x:c>
      <x:c r="M25" s="107" t="n">
        <x:f>IF(M$3&lt;$B$10,M24,0)</x:f>
        <x:v>0</x:v>
      </x:c>
      <x:c r="N25" s="107" t="n">
        <x:f>IF(N$3&lt;$B$10,N24,0)</x:f>
        <x:v>0</x:v>
      </x:c>
      <x:c r="O25" s="107" t="n">
        <x:f>IF(O$3&lt;$B$10,O24,0)</x:f>
        <x:v>0</x:v>
      </x:c>
      <x:c r="P25" s="107" t="n">
        <x:f>IF(P$3&lt;$B$10,P24,0)</x:f>
        <x:v>0</x:v>
      </x:c>
      <x:c r="Q25" s="107" t="n">
        <x:f>IF(Q$3&lt;$B$10,Q24,0)</x:f>
        <x:v>0</x:v>
      </x:c>
      <x:c r="R25" s="107" t="n">
        <x:f>IF(R$3&lt;$B$10,R24,0)</x:f>
        <x:v>0</x:v>
      </x:c>
      <x:c r="S25" s="107" t="n">
        <x:f>IF(S$3&lt;$B$10,S24,0)</x:f>
        <x:v>0</x:v>
      </x:c>
      <x:c r="T25" s="107" t="n">
        <x:f>IF(T$3&lt;$B$10,T24,0)</x:f>
        <x:v>0</x:v>
      </x:c>
      <x:c r="U25" s="107" t="n">
        <x:f>IF(U$3&lt;$B$10,U24,0)</x:f>
        <x:v>0</x:v>
      </x:c>
      <x:c r="V25" s="107" t="n">
        <x:f>IF(V$3&lt;$B$10,V24,0)</x:f>
        <x:v>0</x:v>
      </x:c>
      <x:c r="W25" s="107" t="n">
        <x:f>IF(W$3&lt;$B$10,W24,0)</x:f>
        <x:v>0</x:v>
      </x:c>
      <x:c r="X25" s="107" t="n">
        <x:f>IF(X$3&lt;$B$10,X24,0)</x:f>
        <x:v>0</x:v>
      </x:c>
      <x:c r="Y25" s="107" t="n">
        <x:f>IF(Y$3&lt;$B$10,Y24,0)</x:f>
        <x:v>0</x:v>
      </x:c>
      <x:c r="Z25" s="107" t="n">
        <x:f>IF(Z$3&lt;$B$10,Z24,0)</x:f>
        <x:v>0</x:v>
      </x:c>
      <x:c r="AA25" s="107" t="n">
        <x:f>IF(AA$3&lt;$B$10,AA24,0)</x:f>
        <x:v>0</x:v>
      </x:c>
      <x:c r="AB25" s="107" t="n">
        <x:f>IF(AB$3&lt;$B$10,AB24,0)</x:f>
        <x:v>0</x:v>
      </x:c>
      <x:c r="AC25" s="107" t="n">
        <x:f>IF(AC$3&lt;$B$10,AC24,0)</x:f>
        <x:v>0</x:v>
      </x:c>
      <x:c r="AD25" s="107" t="n">
        <x:f>IF(AD$3&lt;$B$10,AD24,0)</x:f>
        <x:v>0</x:v>
      </x:c>
      <x:c r="AE25" s="107" t="n">
        <x:f>IF(AE$3&lt;$B$10,AE24,0)</x:f>
        <x:v>0</x:v>
      </x:c>
      <x:c r="AF25" s="107" t="n">
        <x:f>IF(AF$3&lt;$B$10,AF24,0)</x:f>
        <x:v>0</x:v>
      </x:c>
      <x:c r="AG25" s="107" t="n">
        <x:f>IF(AG$3&lt;$B$10,AG24,0)</x:f>
        <x:v>0</x:v>
      </x:c>
      <x:c r="AH25" s="107" t="n">
        <x:f>IF(AH$3&lt;$B$10,AH24,0)</x:f>
        <x:v>0</x:v>
      </x:c>
      <x:c r="AI25" s="107" t="n">
        <x:f>IF(AI$3&lt;$B$10,AI24,0)</x:f>
        <x:v>0</x:v>
      </x:c>
      <x:c r="AJ25" s="107" t="n">
        <x:f>IF(AJ$3&lt;$B$10,AJ24,0)</x:f>
        <x:v>0</x:v>
      </x:c>
      <x:c r="AK25" s="107" t="n">
        <x:f>IF(AK$3&lt;$B$10,AK24,0)</x:f>
        <x:v>0</x:v>
      </x:c>
      <x:c r="AL25" s="107" t="n">
        <x:f>IF(AL$3&lt;$B$10,AL24,0)</x:f>
        <x:v>0</x:v>
      </x:c>
      <x:c r="AM25" s="107" t="n">
        <x:f>IF(AM$3&lt;$B$10,AM24,0)</x:f>
        <x:v>0</x:v>
      </x:c>
      <x:c r="AN25" s="107" t="n">
        <x:f>IF(AN$3&lt;$B$10,AN24,0)</x:f>
        <x:v>0</x:v>
      </x:c>
      <x:c r="AO25" s="107" t="n">
        <x:f>IF(AO$3&lt;$B$10,AO24,0)</x:f>
        <x:v>0</x:v>
      </x:c>
      <x:c r="AP25" s="107" t="n">
        <x:f>IF(AP$3&lt;$B$10,AP24,0)</x:f>
        <x:v>0</x:v>
      </x:c>
      <x:c r="AQ25" s="107" t="n">
        <x:f>IF(AQ$3&lt;$B$10,AQ24,0)</x:f>
        <x:v>0</x:v>
      </x:c>
      <x:c r="AR25" s="107" t="n">
        <x:f>IF(AR$3&lt;$B$10,AR24,0)</x:f>
        <x:v>0</x:v>
      </x:c>
      <x:c r="AS25" s="107" t="n">
        <x:f>IF(AS$3&lt;$B$10,AS24,0)</x:f>
        <x:v>0</x:v>
      </x:c>
      <x:c r="AT25" s="107" t="n">
        <x:f>IF(AT$3&lt;$B$10,AT24,0)</x:f>
        <x:v>0</x:v>
      </x:c>
      <x:c r="AU25" s="107" t="n">
        <x:f>IF(AU$3&lt;$B$10,AU24,0)</x:f>
        <x:v>0</x:v>
      </x:c>
      <x:c r="AV25" s="107" t="n">
        <x:f>IF(AV$3&lt;$B$10,AV24,0)</x:f>
        <x:v>0</x:v>
      </x:c>
      <x:c r="AW25" s="107" t="n">
        <x:f>IF(AW$3&lt;$B$10,AW24,0)</x:f>
        <x:v>0</x:v>
      </x:c>
      <x:c r="AX25" s="107" t="n">
        <x:f>IF(AX$3&lt;$B$10,AX24,0)</x:f>
        <x:v>0</x:v>
      </x:c>
      <x:c r="AY25" s="107" t="n">
        <x:f>IF(AY$3&lt;$B$10,AY24,0)</x:f>
        <x:v>0</x:v>
      </x:c>
      <x:c r="AZ25" s="107" t="n">
        <x:f>IF(AZ$3&lt;$B$10,AZ24,0)</x:f>
        <x:v>0</x:v>
      </x:c>
      <x:c r="BA25" s="107" t="n">
        <x:f>IF(BA$3&lt;$B$10,BA24,0)</x:f>
        <x:v>0</x:v>
      </x:c>
      <x:c r="BB25" s="107" t="n">
        <x:f>IF(BB$3&lt;$B$10,BB24,0)</x:f>
        <x:v>0</x:v>
      </x:c>
      <x:c r="BC25" s="107" t="n">
        <x:f>IF(BC$3&lt;$B$10,BC24,0)</x:f>
        <x:v>0</x:v>
      </x:c>
      <x:c r="BD25" s="107" t="n">
        <x:f>IF(BD$3&lt;$B$10,BD24,0)</x:f>
        <x:v>0</x:v>
      </x:c>
      <x:c r="BE25" s="107" t="n">
        <x:f>IF(BE$3&lt;$B$10,BE24,0)</x:f>
        <x:v>0</x:v>
      </x:c>
      <x:c r="BF25" s="107" t="n">
        <x:f>IF(BF$3&lt;$B$10,BF24,0)</x:f>
        <x:v>0</x:v>
      </x:c>
      <x:c r="BG25" s="107" t="n">
        <x:f>IF(BG$3&lt;$B$10,BG24,0)</x:f>
        <x:v>0</x:v>
      </x:c>
      <x:c r="BH25" s="107" t="n">
        <x:f>IF(BH$3&lt;$B$10,BH24,0)</x:f>
        <x:v>0</x:v>
      </x:c>
      <x:c r="BI25" s="107" t="n">
        <x:f>IF(BI$3&lt;$B$10,BI24,0)</x:f>
        <x:v>0</x:v>
      </x:c>
      <x:c r="BJ25" s="107" t="n">
        <x:f>IF(BJ$3&lt;$B$10,BJ24,0)</x:f>
        <x:v>0</x:v>
      </x:c>
      <x:c r="BK25" s="107" t="n">
        <x:f>IF(BK$3&lt;$B$10,BK24,0)</x:f>
        <x:v>0</x:v>
      </x:c>
      <x:c r="BL25" s="107" t="n">
        <x:f>IF(BL$3&lt;$B$10,BL24,0)</x:f>
        <x:v>0</x:v>
      </x:c>
      <x:c r="BM25" s="107" t="n">
        <x:f>IF(BM$3&lt;$B$10,BM24,0)</x:f>
        <x:v>0</x:v>
      </x:c>
      <x:c r="BN25" s="107" t="n">
        <x:f>IF(BN$3&lt;$B$10,BN24,0)</x:f>
        <x:v>0</x:v>
      </x:c>
      <x:c r="BO25" s="107" t="n">
        <x:f>IF(BO$3&lt;$B$10,BO24,0)</x:f>
        <x:v>0</x:v>
      </x:c>
      <x:c r="BP25" s="107" t="n">
        <x:f>IF(BP$3&lt;$B$10,BP24,0)</x:f>
        <x:v>0</x:v>
      </x:c>
      <x:c r="BQ25" s="107" t="n">
        <x:f>IF(BQ$3&lt;$B$10,BQ24,0)</x:f>
        <x:v>0</x:v>
      </x:c>
      <x:c r="BR25" s="107" t="n">
        <x:f>IF(BR$3&lt;$B$10,BR24,0)</x:f>
        <x:v>0</x:v>
      </x:c>
      <x:c r="BS25" s="107" t="n">
        <x:f>IF(BS$3&lt;$B$10,BS24,0)</x:f>
        <x:v>0</x:v>
      </x:c>
      <x:c r="BT25" s="107" t="n">
        <x:f>IF(BT$3&lt;$B$10,BT24,0)</x:f>
        <x:v>0</x:v>
      </x:c>
      <x:c r="BU25" s="107" t="n">
        <x:f>IF(BU$3&lt;$B$10,BU24,0)</x:f>
        <x:v>0</x:v>
      </x:c>
      <x:c r="BV25" s="107" t="n">
        <x:f>IF(BV$3&lt;$B$10,BV24,0)</x:f>
        <x:v>0</x:v>
      </x:c>
      <x:c r="BW25" s="107" t="n">
        <x:f>IF(BW$3&lt;$B$10,BW24,0)</x:f>
        <x:v>0</x:v>
      </x:c>
      <x:c r="BX25" s="107" t="n">
        <x:f>IF(BX$3&lt;$B$10,BX24,0)</x:f>
        <x:v>0</x:v>
      </x:c>
      <x:c r="BY25" s="107" t="n">
        <x:f>IF(BY$3&lt;$B$10,BY24,0)</x:f>
        <x:v>0</x:v>
      </x:c>
      <x:c r="BZ25" s="107" t="n">
        <x:f>IF(BZ$3&lt;$B$10,BZ24,0)</x:f>
        <x:v>0</x:v>
      </x:c>
      <x:c r="CA25" s="107" t="n">
        <x:f>IF(CA$3&lt;$B$10,CA24,0)</x:f>
        <x:v>0</x:v>
      </x:c>
      <x:c r="CB25" s="107" t="n">
        <x:f>IF(CB$3&lt;$B$10,CB24,0)</x:f>
        <x:v>0</x:v>
      </x:c>
      <x:c r="CC25" s="107" t="n">
        <x:f>IF(CC$3&lt;$B$10,CC24,0)</x:f>
        <x:v>0</x:v>
      </x:c>
      <x:c r="CD25" s="107" t="n">
        <x:f>IF(CD$3&lt;$B$10,CD24,0)</x:f>
        <x:v>0</x:v>
      </x:c>
      <x:c r="CE25" s="107" t="n">
        <x:f>IF(CE$3&lt;$B$10,CE24,0)</x:f>
        <x:v>0</x:v>
      </x:c>
      <x:c r="CF25" s="107" t="n">
        <x:f>IF(CF$3&lt;$B$10,CF24,0)</x:f>
        <x:v>0</x:v>
      </x:c>
      <x:c r="CG25" s="107" t="n">
        <x:f>IF(CG$3&lt;$B$10,CG24,0)</x:f>
        <x:v>0</x:v>
      </x:c>
      <x:c r="CH25" s="107" t="n">
        <x:f>IF(CH$3&lt;$B$10,CH24,0)</x:f>
        <x:v>0</x:v>
      </x:c>
      <x:c r="CI25" s="107" t="n">
        <x:f>IF(CI$3&lt;$B$10,CI24,0)</x:f>
        <x:v>0</x:v>
      </x:c>
      <x:c r="CJ25" s="107" t="n">
        <x:f>IF(CJ$3&lt;$B$10,CJ24,0)</x:f>
        <x:v>0</x:v>
      </x:c>
      <x:c r="CK25" s="107" t="n">
        <x:f>IF(CK$3&lt;$B$10,CK24,0)</x:f>
        <x:v>0</x:v>
      </x:c>
      <x:c r="CL25" s="107" t="n">
        <x:f>IF(CL$3&lt;$B$10,CL24,0)</x:f>
        <x:v>0</x:v>
      </x:c>
      <x:c r="CM25" s="107" t="n">
        <x:f>IF(CM$3&lt;$B$10,CM24,0)</x:f>
        <x:v>0</x:v>
      </x:c>
      <x:c r="CN25" s="107" t="n">
        <x:f>IF(CN$3&lt;$B$10,CN24,0)</x:f>
        <x:v>0</x:v>
      </x:c>
      <x:c r="CO25" s="107" t="n">
        <x:f>IF(CO$3&lt;$B$10,CO24,0)</x:f>
        <x:v>0</x:v>
      </x:c>
      <x:c r="CP25" s="107" t="n">
        <x:f>IF(CP$3&lt;$B$10,CP24,0)</x:f>
        <x:v>0</x:v>
      </x:c>
      <x:c r="CQ25" s="107" t="n">
        <x:f>IF(CQ$3&lt;$B$10,CQ24,0)</x:f>
        <x:v>0</x:v>
      </x:c>
      <x:c r="CR25" s="107" t="n">
        <x:f>IF(CR$3&lt;$B$10,CR24,0)</x:f>
        <x:v>0</x:v>
      </x:c>
      <x:c r="CS25" s="107" t="n">
        <x:f>IF(CS$3&lt;$B$10,CS24,0)</x:f>
        <x:v>0</x:v>
      </x:c>
      <x:c r="CT25" s="107" t="n">
        <x:f>IF(CT$3&lt;$B$10,CT24,0)</x:f>
        <x:v>0</x:v>
      </x:c>
      <x:c r="CU25" s="107" t="n">
        <x:f>IF(CU$3&lt;$B$10,CU24,0)</x:f>
        <x:v>0</x:v>
      </x:c>
      <x:c r="CV25" s="107" t="n">
        <x:f>IF(CV$3&lt;$B$10,CV24,0)</x:f>
        <x:v>0</x:v>
      </x:c>
      <x:c r="CW25" s="107" t="n">
        <x:f>IF(CW$3&lt;$B$10,CW24,0)</x:f>
        <x:v>0</x:v>
      </x:c>
      <x:c r="CX25" s="107" t="n">
        <x:f>IF(CX$3&lt;$B$10,CX24,0)</x:f>
        <x:v>0</x:v>
      </x:c>
      <x:c r="CY25" s="107" t="n">
        <x:f>IF(CY$3&lt;$B$10,CY24,0)</x:f>
        <x:v>0</x:v>
      </x:c>
      <x:c r="CZ25" s="107" t="n">
        <x:f>IF(CZ$3&lt;$B$10,CZ24,0)</x:f>
        <x:v>0</x:v>
      </x:c>
      <x:c r="DA25" s="107" t="n">
        <x:f>IF(DA$3&lt;$B$10,DA24,0)</x:f>
        <x:v>0</x:v>
      </x:c>
      <x:c r="DB25" s="107" t="n">
        <x:f>IF(DB$3&lt;$B$10,DB24,0)</x:f>
        <x:v>0</x:v>
      </x:c>
      <x:c r="DC25" s="107" t="n">
        <x:f>IF(DC$3&lt;$B$10,DC24,0)</x:f>
        <x:v>0</x:v>
      </x:c>
      <x:c r="DD25" s="107" t="n">
        <x:f>IF(DD$3&lt;$B$10,DD24,0)</x:f>
        <x:v>0</x:v>
      </x:c>
      <x:c r="DE25" s="107" t="n">
        <x:f>IF(DE$3&lt;$B$10,DE24,0)</x:f>
        <x:v>0</x:v>
      </x:c>
      <x:c r="DF25" s="107" t="n">
        <x:f>IF(DF$3&lt;$B$10,DF24,0)</x:f>
        <x:v>0</x:v>
      </x:c>
      <x:c r="DG25" s="107" t="n">
        <x:f>IF(DG$3&lt;$B$10,DG24,0)</x:f>
        <x:v>0</x:v>
      </x:c>
      <x:c r="DH25" s="107" t="n">
        <x:f>IF(DH$3&lt;$B$10,DH24,0)</x:f>
        <x:v>0</x:v>
      </x:c>
      <x:c r="DI25" s="107" t="n">
        <x:f>IF(DI$3&lt;$B$10,DI24,0)</x:f>
        <x:v>0</x:v>
      </x:c>
      <x:c r="DJ25" s="107" t="n">
        <x:f>IF(DJ$3&lt;$B$10,DJ24,0)</x:f>
        <x:v>0</x:v>
      </x:c>
      <x:c r="DK25" s="107" t="n">
        <x:f>IF(DK$3&lt;$B$10,DK24,0)</x:f>
        <x:v>0</x:v>
      </x:c>
      <x:c r="DL25" s="107" t="n">
        <x:f>IF(DL$3&lt;$B$10,DL24,0)</x:f>
        <x:v>0</x:v>
      </x:c>
      <x:c r="DM25" s="107" t="n">
        <x:f>IF(DM$3&lt;$B$10,DM24,0)</x:f>
        <x:v>0</x:v>
      </x:c>
      <x:c r="DN25" s="107" t="n">
        <x:f>IF(DN$3&lt;$B$10,DN24,0)</x:f>
        <x:v>0</x:v>
      </x:c>
      <x:c r="DO25" s="107" t="n">
        <x:f>IF(DO$3&lt;$B$10,DO24,0)</x:f>
        <x:v>0</x:v>
      </x:c>
      <x:c r="DP25" s="107" t="n">
        <x:f>IF(DP$3&lt;$B$10,DP24,0)</x:f>
        <x:v>0</x:v>
      </x:c>
      <x:c r="DQ25" s="107" t="n">
        <x:f>IF(DQ$3&lt;$B$10,DQ24,0)</x:f>
        <x:v>0</x:v>
      </x:c>
      <x:c r="DR25" s="107" t="n">
        <x:f>IF(DR$3&lt;$B$10,DR24,0)</x:f>
        <x:v>0</x:v>
      </x:c>
      <x:c r="DS25" s="107" t="n">
        <x:f>IF(DS$3&lt;$B$10,DS24,0)</x:f>
        <x:v>0</x:v>
      </x:c>
    </x:row>
    <x:row r="26">
      <x:c r="A26" t="str">
        <x:v>Прямые поступления после РВЭ</x:v>
      </x:c>
      <x:c r="B26" s="107" t="n">
        <x:f>SUM(D26:DS26)</x:f>
        <x:v>0</x:v>
      </x:c>
      <x:c r="C26" t="str">
        <x:v>млн ₽</x:v>
      </x:c>
      <x:c r="D26" s="107" t="n">
        <x:f>IF(D$3&gt;=$B$10,D24,0)</x:f>
        <x:v>0</x:v>
      </x:c>
      <x:c r="E26" s="107" t="n">
        <x:f>IF(E$3&gt;=$B$10,E24,0)</x:f>
        <x:v>0</x:v>
      </x:c>
      <x:c r="F26" s="107" t="n">
        <x:f>IF(F$3&gt;=$B$10,F24,0)</x:f>
        <x:v>0</x:v>
      </x:c>
      <x:c r="G26" s="107" t="n">
        <x:f>IF(G$3&gt;=$B$10,G24,0)</x:f>
        <x:v>0</x:v>
      </x:c>
      <x:c r="H26" s="107" t="n">
        <x:f>IF(H$3&gt;=$B$10,H24,0)</x:f>
        <x:v>0</x:v>
      </x:c>
      <x:c r="I26" s="107" t="n">
        <x:f>IF(I$3&gt;=$B$10,I24,0)</x:f>
        <x:v>0</x:v>
      </x:c>
      <x:c r="J26" s="107" t="n">
        <x:f>IF(J$3&gt;=$B$10,J24,0)</x:f>
        <x:v>0</x:v>
      </x:c>
      <x:c r="K26" s="107" t="n">
        <x:f>IF(K$3&gt;=$B$10,K24,0)</x:f>
        <x:v>0</x:v>
      </x:c>
      <x:c r="L26" s="107" t="n">
        <x:f>IF(L$3&gt;=$B$10,L24,0)</x:f>
        <x:v>0</x:v>
      </x:c>
      <x:c r="M26" s="107" t="n">
        <x:f>IF(M$3&gt;=$B$10,M24,0)</x:f>
        <x:v>0</x:v>
      </x:c>
      <x:c r="N26" s="107" t="n">
        <x:f>IF(N$3&gt;=$B$10,N24,0)</x:f>
        <x:v>0</x:v>
      </x:c>
      <x:c r="O26" s="107" t="n">
        <x:f>IF(O$3&gt;=$B$10,O24,0)</x:f>
        <x:v>0</x:v>
      </x:c>
      <x:c r="P26" s="107" t="n">
        <x:f>IF(P$3&gt;=$B$10,P24,0)</x:f>
        <x:v>0</x:v>
      </x:c>
      <x:c r="Q26" s="107" t="n">
        <x:f>IF(Q$3&gt;=$B$10,Q24,0)</x:f>
        <x:v>0</x:v>
      </x:c>
      <x:c r="R26" s="107" t="n">
        <x:f>IF(R$3&gt;=$B$10,R24,0)</x:f>
        <x:v>0</x:v>
      </x:c>
      <x:c r="S26" s="107" t="n">
        <x:f>IF(S$3&gt;=$B$10,S24,0)</x:f>
        <x:v>0</x:v>
      </x:c>
      <x:c r="T26" s="107" t="n">
        <x:f>IF(T$3&gt;=$B$10,T24,0)</x:f>
        <x:v>0</x:v>
      </x:c>
      <x:c r="U26" s="107" t="n">
        <x:f>IF(U$3&gt;=$B$10,U24,0)</x:f>
        <x:v>0</x:v>
      </x:c>
      <x:c r="V26" s="107" t="n">
        <x:f>IF(V$3&gt;=$B$10,V24,0)</x:f>
        <x:v>0</x:v>
      </x:c>
      <x:c r="W26" s="107" t="n">
        <x:f>IF(W$3&gt;=$B$10,W24,0)</x:f>
        <x:v>0</x:v>
      </x:c>
      <x:c r="X26" s="107" t="n">
        <x:f>IF(X$3&gt;=$B$10,X24,0)</x:f>
        <x:v>0</x:v>
      </x:c>
      <x:c r="Y26" s="107" t="n">
        <x:f>IF(Y$3&gt;=$B$10,Y24,0)</x:f>
        <x:v>0</x:v>
      </x:c>
      <x:c r="Z26" s="107" t="n">
        <x:f>IF(Z$3&gt;=$B$10,Z24,0)</x:f>
        <x:v>0</x:v>
      </x:c>
      <x:c r="AA26" s="107" t="n">
        <x:f>IF(AA$3&gt;=$B$10,AA24,0)</x:f>
        <x:v>0</x:v>
      </x:c>
      <x:c r="AB26" s="107" t="n">
        <x:f>IF(AB$3&gt;=$B$10,AB24,0)</x:f>
        <x:v>0</x:v>
      </x:c>
      <x:c r="AC26" s="107" t="n">
        <x:f>IF(AC$3&gt;=$B$10,AC24,0)</x:f>
        <x:v>0</x:v>
      </x:c>
      <x:c r="AD26" s="107" t="n">
        <x:f>IF(AD$3&gt;=$B$10,AD24,0)</x:f>
        <x:v>0</x:v>
      </x:c>
      <x:c r="AE26" s="107" t="n">
        <x:f>IF(AE$3&gt;=$B$10,AE24,0)</x:f>
        <x:v>0</x:v>
      </x:c>
      <x:c r="AF26" s="107" t="n">
        <x:f>IF(AF$3&gt;=$B$10,AF24,0)</x:f>
        <x:v>0</x:v>
      </x:c>
      <x:c r="AG26" s="107" t="n">
        <x:f>IF(AG$3&gt;=$B$10,AG24,0)</x:f>
        <x:v>0</x:v>
      </x:c>
      <x:c r="AH26" s="107" t="n">
        <x:f>IF(AH$3&gt;=$B$10,AH24,0)</x:f>
        <x:v>0</x:v>
      </x:c>
      <x:c r="AI26" s="107" t="n">
        <x:f>IF(AI$3&gt;=$B$10,AI24,0)</x:f>
        <x:v>0</x:v>
      </x:c>
      <x:c r="AJ26" s="107" t="n">
        <x:f>IF(AJ$3&gt;=$B$10,AJ24,0)</x:f>
        <x:v>0</x:v>
      </x:c>
      <x:c r="AK26" s="107" t="n">
        <x:f>IF(AK$3&gt;=$B$10,AK24,0)</x:f>
        <x:v>0</x:v>
      </x:c>
      <x:c r="AL26" s="107" t="n">
        <x:f>IF(AL$3&gt;=$B$10,AL24,0)</x:f>
        <x:v>0</x:v>
      </x:c>
      <x:c r="AM26" s="107" t="n">
        <x:f>IF(AM$3&gt;=$B$10,AM24,0)</x:f>
        <x:v>0</x:v>
      </x:c>
      <x:c r="AN26" s="107" t="n">
        <x:f>IF(AN$3&gt;=$B$10,AN24,0)</x:f>
        <x:v>0</x:v>
      </x:c>
      <x:c r="AO26" s="107" t="n">
        <x:f>IF(AO$3&gt;=$B$10,AO24,0)</x:f>
        <x:v>0</x:v>
      </x:c>
      <x:c r="AP26" s="107" t="n">
        <x:f>IF(AP$3&gt;=$B$10,AP24,0)</x:f>
        <x:v>0</x:v>
      </x:c>
      <x:c r="AQ26" s="107" t="n">
        <x:f>IF(AQ$3&gt;=$B$10,AQ24,0)</x:f>
        <x:v>0</x:v>
      </x:c>
      <x:c r="AR26" s="107" t="n">
        <x:f>IF(AR$3&gt;=$B$10,AR24,0)</x:f>
        <x:v>0</x:v>
      </x:c>
      <x:c r="AS26" s="107" t="n">
        <x:f>IF(AS$3&gt;=$B$10,AS24,0)</x:f>
        <x:v>0</x:v>
      </x:c>
      <x:c r="AT26" s="107" t="n">
        <x:f>IF(AT$3&gt;=$B$10,AT24,0)</x:f>
        <x:v>0</x:v>
      </x:c>
      <x:c r="AU26" s="107" t="n">
        <x:f>IF(AU$3&gt;=$B$10,AU24,0)</x:f>
        <x:v>0</x:v>
      </x:c>
      <x:c r="AV26" s="107" t="n">
        <x:f>IF(AV$3&gt;=$B$10,AV24,0)</x:f>
        <x:v>0</x:v>
      </x:c>
      <x:c r="AW26" s="107" t="n">
        <x:f>IF(AW$3&gt;=$B$10,AW24,0)</x:f>
        <x:v>0</x:v>
      </x:c>
      <x:c r="AX26" s="107" t="n">
        <x:f>IF(AX$3&gt;=$B$10,AX24,0)</x:f>
        <x:v>0</x:v>
      </x:c>
      <x:c r="AY26" s="107" t="n">
        <x:f>IF(AY$3&gt;=$B$10,AY24,0)</x:f>
        <x:v>0</x:v>
      </x:c>
      <x:c r="AZ26" s="107" t="n">
        <x:f>IF(AZ$3&gt;=$B$10,AZ24,0)</x:f>
        <x:v>0</x:v>
      </x:c>
      <x:c r="BA26" s="107" t="n">
        <x:f>IF(BA$3&gt;=$B$10,BA24,0)</x:f>
        <x:v>0</x:v>
      </x:c>
      <x:c r="BB26" s="107" t="n">
        <x:f>IF(BB$3&gt;=$B$10,BB24,0)</x:f>
        <x:v>0</x:v>
      </x:c>
      <x:c r="BC26" s="107" t="n">
        <x:f>IF(BC$3&gt;=$B$10,BC24,0)</x:f>
        <x:v>0</x:v>
      </x:c>
      <x:c r="BD26" s="107" t="n">
        <x:f>IF(BD$3&gt;=$B$10,BD24,0)</x:f>
        <x:v>0</x:v>
      </x:c>
      <x:c r="BE26" s="107" t="n">
        <x:f>IF(BE$3&gt;=$B$10,BE24,0)</x:f>
        <x:v>0</x:v>
      </x:c>
      <x:c r="BF26" s="107" t="n">
        <x:f>IF(BF$3&gt;=$B$10,BF24,0)</x:f>
        <x:v>0</x:v>
      </x:c>
      <x:c r="BG26" s="107" t="n">
        <x:f>IF(BG$3&gt;=$B$10,BG24,0)</x:f>
        <x:v>0</x:v>
      </x:c>
      <x:c r="BH26" s="107" t="n">
        <x:f>IF(BH$3&gt;=$B$10,BH24,0)</x:f>
        <x:v>0</x:v>
      </x:c>
      <x:c r="BI26" s="107" t="n">
        <x:f>IF(BI$3&gt;=$B$10,BI24,0)</x:f>
        <x:v>0</x:v>
      </x:c>
      <x:c r="BJ26" s="107" t="n">
        <x:f>IF(BJ$3&gt;=$B$10,BJ24,0)</x:f>
        <x:v>0</x:v>
      </x:c>
      <x:c r="BK26" s="107" t="n">
        <x:f>IF(BK$3&gt;=$B$10,BK24,0)</x:f>
        <x:v>0</x:v>
      </x:c>
      <x:c r="BL26" s="107" t="n">
        <x:f>IF(BL$3&gt;=$B$10,BL24,0)</x:f>
        <x:v>0</x:v>
      </x:c>
      <x:c r="BM26" s="107" t="n">
        <x:f>IF(BM$3&gt;=$B$10,BM24,0)</x:f>
        <x:v>0</x:v>
      </x:c>
      <x:c r="BN26" s="107" t="n">
        <x:f>IF(BN$3&gt;=$B$10,BN24,0)</x:f>
        <x:v>0</x:v>
      </x:c>
      <x:c r="BO26" s="107" t="n">
        <x:f>IF(BO$3&gt;=$B$10,BO24,0)</x:f>
        <x:v>0</x:v>
      </x:c>
      <x:c r="BP26" s="107" t="n">
        <x:f>IF(BP$3&gt;=$B$10,BP24,0)</x:f>
        <x:v>0</x:v>
      </x:c>
      <x:c r="BQ26" s="107" t="n">
        <x:f>IF(BQ$3&gt;=$B$10,BQ24,0)</x:f>
        <x:v>0</x:v>
      </x:c>
      <x:c r="BR26" s="107" t="n">
        <x:f>IF(BR$3&gt;=$B$10,BR24,0)</x:f>
        <x:v>0</x:v>
      </x:c>
      <x:c r="BS26" s="107" t="n">
        <x:f>IF(BS$3&gt;=$B$10,BS24,0)</x:f>
        <x:v>0</x:v>
      </x:c>
      <x:c r="BT26" s="107" t="n">
        <x:f>IF(BT$3&gt;=$B$10,BT24,0)</x:f>
        <x:v>0</x:v>
      </x:c>
      <x:c r="BU26" s="107" t="n">
        <x:f>IF(BU$3&gt;=$B$10,BU24,0)</x:f>
        <x:v>0</x:v>
      </x:c>
      <x:c r="BV26" s="107" t="n">
        <x:f>IF(BV$3&gt;=$B$10,BV24,0)</x:f>
        <x:v>0</x:v>
      </x:c>
      <x:c r="BW26" s="107" t="n">
        <x:f>IF(BW$3&gt;=$B$10,BW24,0)</x:f>
        <x:v>0</x:v>
      </x:c>
      <x:c r="BX26" s="107" t="n">
        <x:f>IF(BX$3&gt;=$B$10,BX24,0)</x:f>
        <x:v>0</x:v>
      </x:c>
      <x:c r="BY26" s="107" t="n">
        <x:f>IF(BY$3&gt;=$B$10,BY24,0)</x:f>
        <x:v>0</x:v>
      </x:c>
      <x:c r="BZ26" s="107" t="n">
        <x:f>IF(BZ$3&gt;=$B$10,BZ24,0)</x:f>
        <x:v>0</x:v>
      </x:c>
      <x:c r="CA26" s="107" t="n">
        <x:f>IF(CA$3&gt;=$B$10,CA24,0)</x:f>
        <x:v>0</x:v>
      </x:c>
      <x:c r="CB26" s="107" t="n">
        <x:f>IF(CB$3&gt;=$B$10,CB24,0)</x:f>
        <x:v>0</x:v>
      </x:c>
      <x:c r="CC26" s="107" t="n">
        <x:f>IF(CC$3&gt;=$B$10,CC24,0)</x:f>
        <x:v>0</x:v>
      </x:c>
      <x:c r="CD26" s="107" t="n">
        <x:f>IF(CD$3&gt;=$B$10,CD24,0)</x:f>
        <x:v>0</x:v>
      </x:c>
      <x:c r="CE26" s="107" t="n">
        <x:f>IF(CE$3&gt;=$B$10,CE24,0)</x:f>
        <x:v>0</x:v>
      </x:c>
      <x:c r="CF26" s="107" t="n">
        <x:f>IF(CF$3&gt;=$B$10,CF24,0)</x:f>
        <x:v>0</x:v>
      </x:c>
      <x:c r="CG26" s="107" t="n">
        <x:f>IF(CG$3&gt;=$B$10,CG24,0)</x:f>
        <x:v>0</x:v>
      </x:c>
      <x:c r="CH26" s="107" t="n">
        <x:f>IF(CH$3&gt;=$B$10,CH24,0)</x:f>
        <x:v>0</x:v>
      </x:c>
      <x:c r="CI26" s="107" t="n">
        <x:f>IF(CI$3&gt;=$B$10,CI24,0)</x:f>
        <x:v>0</x:v>
      </x:c>
      <x:c r="CJ26" s="107" t="n">
        <x:f>IF(CJ$3&gt;=$B$10,CJ24,0)</x:f>
        <x:v>0</x:v>
      </x:c>
      <x:c r="CK26" s="107" t="n">
        <x:f>IF(CK$3&gt;=$B$10,CK24,0)</x:f>
        <x:v>0</x:v>
      </x:c>
      <x:c r="CL26" s="107" t="n">
        <x:f>IF(CL$3&gt;=$B$10,CL24,0)</x:f>
        <x:v>0</x:v>
      </x:c>
      <x:c r="CM26" s="107" t="n">
        <x:f>IF(CM$3&gt;=$B$10,CM24,0)</x:f>
        <x:v>0</x:v>
      </x:c>
      <x:c r="CN26" s="107" t="n">
        <x:f>IF(CN$3&gt;=$B$10,CN24,0)</x:f>
        <x:v>0</x:v>
      </x:c>
      <x:c r="CO26" s="107" t="n">
        <x:f>IF(CO$3&gt;=$B$10,CO24,0)</x:f>
        <x:v>0</x:v>
      </x:c>
      <x:c r="CP26" s="107" t="n">
        <x:f>IF(CP$3&gt;=$B$10,CP24,0)</x:f>
        <x:v>0</x:v>
      </x:c>
      <x:c r="CQ26" s="107" t="n">
        <x:f>IF(CQ$3&gt;=$B$10,CQ24,0)</x:f>
        <x:v>0</x:v>
      </x:c>
      <x:c r="CR26" s="107" t="n">
        <x:f>IF(CR$3&gt;=$B$10,CR24,0)</x:f>
        <x:v>0</x:v>
      </x:c>
      <x:c r="CS26" s="107" t="n">
        <x:f>IF(CS$3&gt;=$B$10,CS24,0)</x:f>
        <x:v>0</x:v>
      </x:c>
      <x:c r="CT26" s="107" t="n">
        <x:f>IF(CT$3&gt;=$B$10,CT24,0)</x:f>
        <x:v>0</x:v>
      </x:c>
      <x:c r="CU26" s="107" t="n">
        <x:f>IF(CU$3&gt;=$B$10,CU24,0)</x:f>
        <x:v>0</x:v>
      </x:c>
      <x:c r="CV26" s="107" t="n">
        <x:f>IF(CV$3&gt;=$B$10,CV24,0)</x:f>
        <x:v>0</x:v>
      </x:c>
      <x:c r="CW26" s="107" t="n">
        <x:f>IF(CW$3&gt;=$B$10,CW24,0)</x:f>
        <x:v>0</x:v>
      </x:c>
      <x:c r="CX26" s="107" t="n">
        <x:f>IF(CX$3&gt;=$B$10,CX24,0)</x:f>
        <x:v>0</x:v>
      </x:c>
      <x:c r="CY26" s="107" t="n">
        <x:f>IF(CY$3&gt;=$B$10,CY24,0)</x:f>
        <x:v>0</x:v>
      </x:c>
      <x:c r="CZ26" s="107" t="n">
        <x:f>IF(CZ$3&gt;=$B$10,CZ24,0)</x:f>
        <x:v>0</x:v>
      </x:c>
      <x:c r="DA26" s="107" t="n">
        <x:f>IF(DA$3&gt;=$B$10,DA24,0)</x:f>
        <x:v>0</x:v>
      </x:c>
      <x:c r="DB26" s="107" t="n">
        <x:f>IF(DB$3&gt;=$B$10,DB24,0)</x:f>
        <x:v>0</x:v>
      </x:c>
      <x:c r="DC26" s="107" t="n">
        <x:f>IF(DC$3&gt;=$B$10,DC24,0)</x:f>
        <x:v>0</x:v>
      </x:c>
      <x:c r="DD26" s="107" t="n">
        <x:f>IF(DD$3&gt;=$B$10,DD24,0)</x:f>
        <x:v>0</x:v>
      </x:c>
      <x:c r="DE26" s="107" t="n">
        <x:f>IF(DE$3&gt;=$B$10,DE24,0)</x:f>
        <x:v>0</x:v>
      </x:c>
      <x:c r="DF26" s="107" t="n">
        <x:f>IF(DF$3&gt;=$B$10,DF24,0)</x:f>
        <x:v>0</x:v>
      </x:c>
      <x:c r="DG26" s="107" t="n">
        <x:f>IF(DG$3&gt;=$B$10,DG24,0)</x:f>
        <x:v>0</x:v>
      </x:c>
      <x:c r="DH26" s="107" t="n">
        <x:f>IF(DH$3&gt;=$B$10,DH24,0)</x:f>
        <x:v>0</x:v>
      </x:c>
      <x:c r="DI26" s="107" t="n">
        <x:f>IF(DI$3&gt;=$B$10,DI24,0)</x:f>
        <x:v>0</x:v>
      </x:c>
      <x:c r="DJ26" s="107" t="n">
        <x:f>IF(DJ$3&gt;=$B$10,DJ24,0)</x:f>
        <x:v>0</x:v>
      </x:c>
      <x:c r="DK26" s="107" t="n">
        <x:f>IF(DK$3&gt;=$B$10,DK24,0)</x:f>
        <x:v>0</x:v>
      </x:c>
      <x:c r="DL26" s="107" t="n">
        <x:f>IF(DL$3&gt;=$B$10,DL24,0)</x:f>
        <x:v>0</x:v>
      </x:c>
      <x:c r="DM26" s="107" t="n">
        <x:f>IF(DM$3&gt;=$B$10,DM24,0)</x:f>
        <x:v>0</x:v>
      </x:c>
      <x:c r="DN26" s="107" t="n">
        <x:f>IF(DN$3&gt;=$B$10,DN24,0)</x:f>
        <x:v>0</x:v>
      </x:c>
      <x:c r="DO26" s="107" t="n">
        <x:f>IF(DO$3&gt;=$B$10,DO24,0)</x:f>
        <x:v>0</x:v>
      </x:c>
      <x:c r="DP26" s="107" t="n">
        <x:f>IF(DP$3&gt;=$B$10,DP24,0)</x:f>
        <x:v>0</x:v>
      </x:c>
      <x:c r="DQ26" s="107" t="n">
        <x:f>IF(DQ$3&gt;=$B$10,DQ24,0)</x:f>
        <x:v>0</x:v>
      </x:c>
      <x:c r="DR26" s="107" t="n">
        <x:f>IF(DR$3&gt;=$B$10,DR24,0)</x:f>
        <x:v>0</x:v>
      </x:c>
      <x:c r="DS26" s="107" t="n">
        <x:f>IF(DS$3&gt;=$B$10,DS24,0)</x:f>
        <x:v>0</x:v>
      </x:c>
    </x:row>
    <x:row r="27">
      <x:c r="A27" t="str">
        <x:v>Раскрытие эскроу</x:v>
      </x:c>
      <x:c r="B27" s="107" t="n">
        <x:f>SUM(D27:DS27)</x:f>
        <x:v>0</x:v>
      </x:c>
      <x:c r="C27" t="str">
        <x:v>млн ₽</x:v>
      </x:c>
      <x:c r="D27" s="107" t="n">
        <x:f>IF(AND(YEAR(D$3)=YEAR($B$10),MONTH(D$3)=MONTH($B$10),AND($B$7="Да",IFERROR(INDEX('Вводные'!$B$88:$B$90,$B$8),"Нет")="Да")),MAX(0,SUM($D25:D25)-D25),0)</x:f>
        <x:v>0</x:v>
      </x:c>
      <x:c r="E27" s="107" t="n">
        <x:f>IF(AND(YEAR(E$3)=YEAR($B$10),MONTH(E$3)=MONTH($B$10),AND($B$7="Да",IFERROR(INDEX('Вводные'!$B$88:$B$90,$B$8),"Нет")="Да")),MAX(0,SUM($D25:E25)-E25),0)</x:f>
        <x:v>0</x:v>
      </x:c>
      <x:c r="F27" s="107" t="n">
        <x:f>IF(AND(YEAR(F$3)=YEAR($B$10),MONTH(F$3)=MONTH($B$10),AND($B$7="Да",IFERROR(INDEX('Вводные'!$B$88:$B$90,$B$8),"Нет")="Да")),MAX(0,SUM($D25:F25)-F25),0)</x:f>
        <x:v>0</x:v>
      </x:c>
      <x:c r="G27" s="107" t="n">
        <x:f>IF(AND(YEAR(G$3)=YEAR($B$10),MONTH(G$3)=MONTH($B$10),AND($B$7="Да",IFERROR(INDEX('Вводные'!$B$88:$B$90,$B$8),"Нет")="Да")),MAX(0,SUM($D25:G25)-G25),0)</x:f>
        <x:v>0</x:v>
      </x:c>
      <x:c r="H27" s="107" t="n">
        <x:f>IF(AND(YEAR(H$3)=YEAR($B$10),MONTH(H$3)=MONTH($B$10),AND($B$7="Да",IFERROR(INDEX('Вводные'!$B$88:$B$90,$B$8),"Нет")="Да")),MAX(0,SUM($D25:H25)-H25),0)</x:f>
        <x:v>0</x:v>
      </x:c>
      <x:c r="I27" s="107" t="n">
        <x:f>IF(AND(YEAR(I$3)=YEAR($B$10),MONTH(I$3)=MONTH($B$10),AND($B$7="Да",IFERROR(INDEX('Вводные'!$B$88:$B$90,$B$8),"Нет")="Да")),MAX(0,SUM($D25:I25)-I25),0)</x:f>
        <x:v>0</x:v>
      </x:c>
      <x:c r="J27" s="107" t="n">
        <x:f>IF(AND(YEAR(J$3)=YEAR($B$10),MONTH(J$3)=MONTH($B$10),AND($B$7="Да",IFERROR(INDEX('Вводные'!$B$88:$B$90,$B$8),"Нет")="Да")),MAX(0,SUM($D25:J25)-J25),0)</x:f>
        <x:v>0</x:v>
      </x:c>
      <x:c r="K27" s="107" t="n">
        <x:f>IF(AND(YEAR(K$3)=YEAR($B$10),MONTH(K$3)=MONTH($B$10),AND($B$7="Да",IFERROR(INDEX('Вводные'!$B$88:$B$90,$B$8),"Нет")="Да")),MAX(0,SUM($D25:K25)-K25),0)</x:f>
        <x:v>0</x:v>
      </x:c>
      <x:c r="L27" s="107" t="n">
        <x:f>IF(AND(YEAR(L$3)=YEAR($B$10),MONTH(L$3)=MONTH($B$10),AND($B$7="Да",IFERROR(INDEX('Вводные'!$B$88:$B$90,$B$8),"Нет")="Да")),MAX(0,SUM($D25:L25)-L25),0)</x:f>
        <x:v>0</x:v>
      </x:c>
      <x:c r="M27" s="107" t="n">
        <x:f>IF(AND(YEAR(M$3)=YEAR($B$10),MONTH(M$3)=MONTH($B$10),AND($B$7="Да",IFERROR(INDEX('Вводные'!$B$88:$B$90,$B$8),"Нет")="Да")),MAX(0,SUM($D25:M25)-M25),0)</x:f>
        <x:v>0</x:v>
      </x:c>
      <x:c r="N27" s="107" t="n">
        <x:f>IF(AND(YEAR(N$3)=YEAR($B$10),MONTH(N$3)=MONTH($B$10),AND($B$7="Да",IFERROR(INDEX('Вводные'!$B$88:$B$90,$B$8),"Нет")="Да")),MAX(0,SUM($D25:N25)-N25),0)</x:f>
        <x:v>0</x:v>
      </x:c>
      <x:c r="O27" s="107" t="n">
        <x:f>IF(AND(YEAR(O$3)=YEAR($B$10),MONTH(O$3)=MONTH($B$10),AND($B$7="Да",IFERROR(INDEX('Вводные'!$B$88:$B$90,$B$8),"Нет")="Да")),MAX(0,SUM($D25:O25)-O25),0)</x:f>
        <x:v>0</x:v>
      </x:c>
      <x:c r="P27" s="107" t="n">
        <x:f>IF(AND(YEAR(P$3)=YEAR($B$10),MONTH(P$3)=MONTH($B$10),AND($B$7="Да",IFERROR(INDEX('Вводные'!$B$88:$B$90,$B$8),"Нет")="Да")),MAX(0,SUM($D25:P25)-P25),0)</x:f>
        <x:v>0</x:v>
      </x:c>
      <x:c r="Q27" s="107" t="n">
        <x:f>IF(AND(YEAR(Q$3)=YEAR($B$10),MONTH(Q$3)=MONTH($B$10),AND($B$7="Да",IFERROR(INDEX('Вводные'!$B$88:$B$90,$B$8),"Нет")="Да")),MAX(0,SUM($D25:Q25)-Q25),0)</x:f>
        <x:v>0</x:v>
      </x:c>
      <x:c r="R27" s="107" t="n">
        <x:f>IF(AND(YEAR(R$3)=YEAR($B$10),MONTH(R$3)=MONTH($B$10),AND($B$7="Да",IFERROR(INDEX('Вводные'!$B$88:$B$90,$B$8),"Нет")="Да")),MAX(0,SUM($D25:R25)-R25),0)</x:f>
        <x:v>0</x:v>
      </x:c>
      <x:c r="S27" s="107" t="n">
        <x:f>IF(AND(YEAR(S$3)=YEAR($B$10),MONTH(S$3)=MONTH($B$10),AND($B$7="Да",IFERROR(INDEX('Вводные'!$B$88:$B$90,$B$8),"Нет")="Да")),MAX(0,SUM($D25:S25)-S25),0)</x:f>
        <x:v>0</x:v>
      </x:c>
      <x:c r="T27" s="107" t="n">
        <x:f>IF(AND(YEAR(T$3)=YEAR($B$10),MONTH(T$3)=MONTH($B$10),AND($B$7="Да",IFERROR(INDEX('Вводные'!$B$88:$B$90,$B$8),"Нет")="Да")),MAX(0,SUM($D25:T25)-T25),0)</x:f>
        <x:v>0</x:v>
      </x:c>
      <x:c r="U27" s="107" t="n">
        <x:f>IF(AND(YEAR(U$3)=YEAR($B$10),MONTH(U$3)=MONTH($B$10),AND($B$7="Да",IFERROR(INDEX('Вводные'!$B$88:$B$90,$B$8),"Нет")="Да")),MAX(0,SUM($D25:U25)-U25),0)</x:f>
        <x:v>0</x:v>
      </x:c>
      <x:c r="V27" s="107" t="n">
        <x:f>IF(AND(YEAR(V$3)=YEAR($B$10),MONTH(V$3)=MONTH($B$10),AND($B$7="Да",IFERROR(INDEX('Вводные'!$B$88:$B$90,$B$8),"Нет")="Да")),MAX(0,SUM($D25:V25)-V25),0)</x:f>
        <x:v>0</x:v>
      </x:c>
      <x:c r="W27" s="107" t="n">
        <x:f>IF(AND(YEAR(W$3)=YEAR($B$10),MONTH(W$3)=MONTH($B$10),AND($B$7="Да",IFERROR(INDEX('Вводные'!$B$88:$B$90,$B$8),"Нет")="Да")),MAX(0,SUM($D25:W25)-W25),0)</x:f>
        <x:v>0</x:v>
      </x:c>
      <x:c r="X27" s="107" t="n">
        <x:f>IF(AND(YEAR(X$3)=YEAR($B$10),MONTH(X$3)=MONTH($B$10),AND($B$7="Да",IFERROR(INDEX('Вводные'!$B$88:$B$90,$B$8),"Нет")="Да")),MAX(0,SUM($D25:X25)-X25),0)</x:f>
        <x:v>0</x:v>
      </x:c>
      <x:c r="Y27" s="107" t="n">
        <x:f>IF(AND(YEAR(Y$3)=YEAR($B$10),MONTH(Y$3)=MONTH($B$10),AND($B$7="Да",IFERROR(INDEX('Вводные'!$B$88:$B$90,$B$8),"Нет")="Да")),MAX(0,SUM($D25:Y25)-Y25),0)</x:f>
        <x:v>0</x:v>
      </x:c>
      <x:c r="Z27" s="107" t="n">
        <x:f>IF(AND(YEAR(Z$3)=YEAR($B$10),MONTH(Z$3)=MONTH($B$10),AND($B$7="Да",IFERROR(INDEX('Вводные'!$B$88:$B$90,$B$8),"Нет")="Да")),MAX(0,SUM($D25:Z25)-Z25),0)</x:f>
        <x:v>0</x:v>
      </x:c>
      <x:c r="AA27" s="107" t="n">
        <x:f>IF(AND(YEAR(AA$3)=YEAR($B$10),MONTH(AA$3)=MONTH($B$10),AND($B$7="Да",IFERROR(INDEX('Вводные'!$B$88:$B$90,$B$8),"Нет")="Да")),MAX(0,SUM($D25:AA25)-AA25),0)</x:f>
        <x:v>0</x:v>
      </x:c>
      <x:c r="AB27" s="107" t="n">
        <x:f>IF(AND(YEAR(AB$3)=YEAR($B$10),MONTH(AB$3)=MONTH($B$10),AND($B$7="Да",IFERROR(INDEX('Вводные'!$B$88:$B$90,$B$8),"Нет")="Да")),MAX(0,SUM($D25:AB25)-AB25),0)</x:f>
        <x:v>0</x:v>
      </x:c>
      <x:c r="AC27" s="107" t="n">
        <x:f>IF(AND(YEAR(AC$3)=YEAR($B$10),MONTH(AC$3)=MONTH($B$10),AND($B$7="Да",IFERROR(INDEX('Вводные'!$B$88:$B$90,$B$8),"Нет")="Да")),MAX(0,SUM($D25:AC25)-AC25),0)</x:f>
        <x:v>0</x:v>
      </x:c>
      <x:c r="AD27" s="107" t="n">
        <x:f>IF(AND(YEAR(AD$3)=YEAR($B$10),MONTH(AD$3)=MONTH($B$10),AND($B$7="Да",IFERROR(INDEX('Вводные'!$B$88:$B$90,$B$8),"Нет")="Да")),MAX(0,SUM($D25:AD25)-AD25),0)</x:f>
        <x:v>0</x:v>
      </x:c>
      <x:c r="AE27" s="107" t="n">
        <x:f>IF(AND(YEAR(AE$3)=YEAR($B$10),MONTH(AE$3)=MONTH($B$10),AND($B$7="Да",IFERROR(INDEX('Вводные'!$B$88:$B$90,$B$8),"Нет")="Да")),MAX(0,SUM($D25:AE25)-AE25),0)</x:f>
        <x:v>0</x:v>
      </x:c>
      <x:c r="AF27" s="107" t="n">
        <x:f>IF(AND(YEAR(AF$3)=YEAR($B$10),MONTH(AF$3)=MONTH($B$10),AND($B$7="Да",IFERROR(INDEX('Вводные'!$B$88:$B$90,$B$8),"Нет")="Да")),MAX(0,SUM($D25:AF25)-AF25),0)</x:f>
        <x:v>0</x:v>
      </x:c>
      <x:c r="AG27" s="107" t="n">
        <x:f>IF(AND(YEAR(AG$3)=YEAR($B$10),MONTH(AG$3)=MONTH($B$10),AND($B$7="Да",IFERROR(INDEX('Вводные'!$B$88:$B$90,$B$8),"Нет")="Да")),MAX(0,SUM($D25:AG25)-AG25),0)</x:f>
        <x:v>0</x:v>
      </x:c>
      <x:c r="AH27" s="107" t="n">
        <x:f>IF(AND(YEAR(AH$3)=YEAR($B$10),MONTH(AH$3)=MONTH($B$10),AND($B$7="Да",IFERROR(INDEX('Вводные'!$B$88:$B$90,$B$8),"Нет")="Да")),MAX(0,SUM($D25:AH25)-AH25),0)</x:f>
        <x:v>0</x:v>
      </x:c>
      <x:c r="AI27" s="107" t="n">
        <x:f>IF(AND(YEAR(AI$3)=YEAR($B$10),MONTH(AI$3)=MONTH($B$10),AND($B$7="Да",IFERROR(INDEX('Вводные'!$B$88:$B$90,$B$8),"Нет")="Да")),MAX(0,SUM($D25:AI25)-AI25),0)</x:f>
        <x:v>0</x:v>
      </x:c>
      <x:c r="AJ27" s="107" t="n">
        <x:f>IF(AND(YEAR(AJ$3)=YEAR($B$10),MONTH(AJ$3)=MONTH($B$10),AND($B$7="Да",IFERROR(INDEX('Вводные'!$B$88:$B$90,$B$8),"Нет")="Да")),MAX(0,SUM($D25:AJ25)-AJ25),0)</x:f>
        <x:v>0</x:v>
      </x:c>
      <x:c r="AK27" s="107" t="n">
        <x:f>IF(AND(YEAR(AK$3)=YEAR($B$10),MONTH(AK$3)=MONTH($B$10),AND($B$7="Да",IFERROR(INDEX('Вводные'!$B$88:$B$90,$B$8),"Нет")="Да")),MAX(0,SUM($D25:AK25)-AK25),0)</x:f>
        <x:v>0</x:v>
      </x:c>
      <x:c r="AL27" s="107" t="n">
        <x:f>IF(AND(YEAR(AL$3)=YEAR($B$10),MONTH(AL$3)=MONTH($B$10),AND($B$7="Да",IFERROR(INDEX('Вводные'!$B$88:$B$90,$B$8),"Нет")="Да")),MAX(0,SUM($D25:AL25)-AL25),0)</x:f>
        <x:v>0</x:v>
      </x:c>
      <x:c r="AM27" s="107" t="n">
        <x:f>IF(AND(YEAR(AM$3)=YEAR($B$10),MONTH(AM$3)=MONTH($B$10),AND($B$7="Да",IFERROR(INDEX('Вводные'!$B$88:$B$90,$B$8),"Нет")="Да")),MAX(0,SUM($D25:AM25)-AM25),0)</x:f>
        <x:v>0</x:v>
      </x:c>
      <x:c r="AN27" s="107" t="n">
        <x:f>IF(AND(YEAR(AN$3)=YEAR($B$10),MONTH(AN$3)=MONTH($B$10),AND($B$7="Да",IFERROR(INDEX('Вводные'!$B$88:$B$90,$B$8),"Нет")="Да")),MAX(0,SUM($D25:AN25)-AN25),0)</x:f>
        <x:v>0</x:v>
      </x:c>
      <x:c r="AO27" s="107" t="n">
        <x:f>IF(AND(YEAR(AO$3)=YEAR($B$10),MONTH(AO$3)=MONTH($B$10),AND($B$7="Да",IFERROR(INDEX('Вводные'!$B$88:$B$90,$B$8),"Нет")="Да")),MAX(0,SUM($D25:AO25)-AO25),0)</x:f>
        <x:v>0</x:v>
      </x:c>
      <x:c r="AP27" s="107" t="n">
        <x:f>IF(AND(YEAR(AP$3)=YEAR($B$10),MONTH(AP$3)=MONTH($B$10),AND($B$7="Да",IFERROR(INDEX('Вводные'!$B$88:$B$90,$B$8),"Нет")="Да")),MAX(0,SUM($D25:AP25)-AP25),0)</x:f>
        <x:v>0</x:v>
      </x:c>
      <x:c r="AQ27" s="107" t="n">
        <x:f>IF(AND(YEAR(AQ$3)=YEAR($B$10),MONTH(AQ$3)=MONTH($B$10),AND($B$7="Да",IFERROR(INDEX('Вводные'!$B$88:$B$90,$B$8),"Нет")="Да")),MAX(0,SUM($D25:AQ25)-AQ25),0)</x:f>
        <x:v>0</x:v>
      </x:c>
      <x:c r="AR27" s="107" t="n">
        <x:f>IF(AND(YEAR(AR$3)=YEAR($B$10),MONTH(AR$3)=MONTH($B$10),AND($B$7="Да",IFERROR(INDEX('Вводные'!$B$88:$B$90,$B$8),"Нет")="Да")),MAX(0,SUM($D25:AR25)-AR25),0)</x:f>
        <x:v>0</x:v>
      </x:c>
      <x:c r="AS27" s="107" t="n">
        <x:f>IF(AND(YEAR(AS$3)=YEAR($B$10),MONTH(AS$3)=MONTH($B$10),AND($B$7="Да",IFERROR(INDEX('Вводные'!$B$88:$B$90,$B$8),"Нет")="Да")),MAX(0,SUM($D25:AS25)-AS25),0)</x:f>
        <x:v>0</x:v>
      </x:c>
      <x:c r="AT27" s="107" t="n">
        <x:f>IF(AND(YEAR(AT$3)=YEAR($B$10),MONTH(AT$3)=MONTH($B$10),AND($B$7="Да",IFERROR(INDEX('Вводные'!$B$88:$B$90,$B$8),"Нет")="Да")),MAX(0,SUM($D25:AT25)-AT25),0)</x:f>
        <x:v>0</x:v>
      </x:c>
      <x:c r="AU27" s="107" t="n">
        <x:f>IF(AND(YEAR(AU$3)=YEAR($B$10),MONTH(AU$3)=MONTH($B$10),AND($B$7="Да",IFERROR(INDEX('Вводные'!$B$88:$B$90,$B$8),"Нет")="Да")),MAX(0,SUM($D25:AU25)-AU25),0)</x:f>
        <x:v>0</x:v>
      </x:c>
      <x:c r="AV27" s="107" t="n">
        <x:f>IF(AND(YEAR(AV$3)=YEAR($B$10),MONTH(AV$3)=MONTH($B$10),AND($B$7="Да",IFERROR(INDEX('Вводные'!$B$88:$B$90,$B$8),"Нет")="Да")),MAX(0,SUM($D25:AV25)-AV25),0)</x:f>
        <x:v>0</x:v>
      </x:c>
      <x:c r="AW27" s="107" t="n">
        <x:f>IF(AND(YEAR(AW$3)=YEAR($B$10),MONTH(AW$3)=MONTH($B$10),AND($B$7="Да",IFERROR(INDEX('Вводные'!$B$88:$B$90,$B$8),"Нет")="Да")),MAX(0,SUM($D25:AW25)-AW25),0)</x:f>
        <x:v>0</x:v>
      </x:c>
      <x:c r="AX27" s="107" t="n">
        <x:f>IF(AND(YEAR(AX$3)=YEAR($B$10),MONTH(AX$3)=MONTH($B$10),AND($B$7="Да",IFERROR(INDEX('Вводные'!$B$88:$B$90,$B$8),"Нет")="Да")),MAX(0,SUM($D25:AX25)-AX25),0)</x:f>
        <x:v>0</x:v>
      </x:c>
      <x:c r="AY27" s="107" t="n">
        <x:f>IF(AND(YEAR(AY$3)=YEAR($B$10),MONTH(AY$3)=MONTH($B$10),AND($B$7="Да",IFERROR(INDEX('Вводные'!$B$88:$B$90,$B$8),"Нет")="Да")),MAX(0,SUM($D25:AY25)-AY25),0)</x:f>
        <x:v>0</x:v>
      </x:c>
      <x:c r="AZ27" s="107" t="n">
        <x:f>IF(AND(YEAR(AZ$3)=YEAR($B$10),MONTH(AZ$3)=MONTH($B$10),AND($B$7="Да",IFERROR(INDEX('Вводные'!$B$88:$B$90,$B$8),"Нет")="Да")),MAX(0,SUM($D25:AZ25)-AZ25),0)</x:f>
        <x:v>0</x:v>
      </x:c>
      <x:c r="BA27" s="107" t="n">
        <x:f>IF(AND(YEAR(BA$3)=YEAR($B$10),MONTH(BA$3)=MONTH($B$10),AND($B$7="Да",IFERROR(INDEX('Вводные'!$B$88:$B$90,$B$8),"Нет")="Да")),MAX(0,SUM($D25:BA25)-BA25),0)</x:f>
        <x:v>0</x:v>
      </x:c>
      <x:c r="BB27" s="107" t="n">
        <x:f>IF(AND(YEAR(BB$3)=YEAR($B$10),MONTH(BB$3)=MONTH($B$10),AND($B$7="Да",IFERROR(INDEX('Вводные'!$B$88:$B$90,$B$8),"Нет")="Да")),MAX(0,SUM($D25:BB25)-BB25),0)</x:f>
        <x:v>0</x:v>
      </x:c>
      <x:c r="BC27" s="107" t="n">
        <x:f>IF(AND(YEAR(BC$3)=YEAR($B$10),MONTH(BC$3)=MONTH($B$10),AND($B$7="Да",IFERROR(INDEX('Вводные'!$B$88:$B$90,$B$8),"Нет")="Да")),MAX(0,SUM($D25:BC25)-BC25),0)</x:f>
        <x:v>0</x:v>
      </x:c>
      <x:c r="BD27" s="107" t="n">
        <x:f>IF(AND(YEAR(BD$3)=YEAR($B$10),MONTH(BD$3)=MONTH($B$10),AND($B$7="Да",IFERROR(INDEX('Вводные'!$B$88:$B$90,$B$8),"Нет")="Да")),MAX(0,SUM($D25:BD25)-BD25),0)</x:f>
        <x:v>0</x:v>
      </x:c>
      <x:c r="BE27" s="107" t="n">
        <x:f>IF(AND(YEAR(BE$3)=YEAR($B$10),MONTH(BE$3)=MONTH($B$10),AND($B$7="Да",IFERROR(INDEX('Вводные'!$B$88:$B$90,$B$8),"Нет")="Да")),MAX(0,SUM($D25:BE25)-BE25),0)</x:f>
        <x:v>0</x:v>
      </x:c>
      <x:c r="BF27" s="107" t="n">
        <x:f>IF(AND(YEAR(BF$3)=YEAR($B$10),MONTH(BF$3)=MONTH($B$10),AND($B$7="Да",IFERROR(INDEX('Вводные'!$B$88:$B$90,$B$8),"Нет")="Да")),MAX(0,SUM($D25:BF25)-BF25),0)</x:f>
        <x:v>0</x:v>
      </x:c>
      <x:c r="BG27" s="107" t="n">
        <x:f>IF(AND(YEAR(BG$3)=YEAR($B$10),MONTH(BG$3)=MONTH($B$10),AND($B$7="Да",IFERROR(INDEX('Вводные'!$B$88:$B$90,$B$8),"Нет")="Да")),MAX(0,SUM($D25:BG25)-BG25),0)</x:f>
        <x:v>0</x:v>
      </x:c>
      <x:c r="BH27" s="107" t="n">
        <x:f>IF(AND(YEAR(BH$3)=YEAR($B$10),MONTH(BH$3)=MONTH($B$10),AND($B$7="Да",IFERROR(INDEX('Вводные'!$B$88:$B$90,$B$8),"Нет")="Да")),MAX(0,SUM($D25:BH25)-BH25),0)</x:f>
        <x:v>0</x:v>
      </x:c>
      <x:c r="BI27" s="107" t="n">
        <x:f>IF(AND(YEAR(BI$3)=YEAR($B$10),MONTH(BI$3)=MONTH($B$10),AND($B$7="Да",IFERROR(INDEX('Вводные'!$B$88:$B$90,$B$8),"Нет")="Да")),MAX(0,SUM($D25:BI25)-BI25),0)</x:f>
        <x:v>0</x:v>
      </x:c>
      <x:c r="BJ27" s="107" t="n">
        <x:f>IF(AND(YEAR(BJ$3)=YEAR($B$10),MONTH(BJ$3)=MONTH($B$10),AND($B$7="Да",IFERROR(INDEX('Вводные'!$B$88:$B$90,$B$8),"Нет")="Да")),MAX(0,SUM($D25:BJ25)-BJ25),0)</x:f>
        <x:v>0</x:v>
      </x:c>
      <x:c r="BK27" s="107" t="n">
        <x:f>IF(AND(YEAR(BK$3)=YEAR($B$10),MONTH(BK$3)=MONTH($B$10),AND($B$7="Да",IFERROR(INDEX('Вводные'!$B$88:$B$90,$B$8),"Нет")="Да")),MAX(0,SUM($D25:BK25)-BK25),0)</x:f>
        <x:v>0</x:v>
      </x:c>
      <x:c r="BL27" s="107" t="n">
        <x:f>IF(AND(YEAR(BL$3)=YEAR($B$10),MONTH(BL$3)=MONTH($B$10),AND($B$7="Да",IFERROR(INDEX('Вводные'!$B$88:$B$90,$B$8),"Нет")="Да")),MAX(0,SUM($D25:BL25)-BL25),0)</x:f>
        <x:v>0</x:v>
      </x:c>
      <x:c r="BM27" s="107" t="n">
        <x:f>IF(AND(YEAR(BM$3)=YEAR($B$10),MONTH(BM$3)=MONTH($B$10),AND($B$7="Да",IFERROR(INDEX('Вводные'!$B$88:$B$90,$B$8),"Нет")="Да")),MAX(0,SUM($D25:BM25)-BM25),0)</x:f>
        <x:v>0</x:v>
      </x:c>
      <x:c r="BN27" s="107" t="n">
        <x:f>IF(AND(YEAR(BN$3)=YEAR($B$10),MONTH(BN$3)=MONTH($B$10),AND($B$7="Да",IFERROR(INDEX('Вводные'!$B$88:$B$90,$B$8),"Нет")="Да")),MAX(0,SUM($D25:BN25)-BN25),0)</x:f>
        <x:v>0</x:v>
      </x:c>
      <x:c r="BO27" s="107" t="n">
        <x:f>IF(AND(YEAR(BO$3)=YEAR($B$10),MONTH(BO$3)=MONTH($B$10),AND($B$7="Да",IFERROR(INDEX('Вводные'!$B$88:$B$90,$B$8),"Нет")="Да")),MAX(0,SUM($D25:BO25)-BO25),0)</x:f>
        <x:v>0</x:v>
      </x:c>
      <x:c r="BP27" s="107" t="n">
        <x:f>IF(AND(YEAR(BP$3)=YEAR($B$10),MONTH(BP$3)=MONTH($B$10),AND($B$7="Да",IFERROR(INDEX('Вводные'!$B$88:$B$90,$B$8),"Нет")="Да")),MAX(0,SUM($D25:BP25)-BP25),0)</x:f>
        <x:v>0</x:v>
      </x:c>
      <x:c r="BQ27" s="107" t="n">
        <x:f>IF(AND(YEAR(BQ$3)=YEAR($B$10),MONTH(BQ$3)=MONTH($B$10),AND($B$7="Да",IFERROR(INDEX('Вводные'!$B$88:$B$90,$B$8),"Нет")="Да")),MAX(0,SUM($D25:BQ25)-BQ25),0)</x:f>
        <x:v>0</x:v>
      </x:c>
      <x:c r="BR27" s="107" t="n">
        <x:f>IF(AND(YEAR(BR$3)=YEAR($B$10),MONTH(BR$3)=MONTH($B$10),AND($B$7="Да",IFERROR(INDEX('Вводные'!$B$88:$B$90,$B$8),"Нет")="Да")),MAX(0,SUM($D25:BR25)-BR25),0)</x:f>
        <x:v>0</x:v>
      </x:c>
      <x:c r="BS27" s="107" t="n">
        <x:f>IF(AND(YEAR(BS$3)=YEAR($B$10),MONTH(BS$3)=MONTH($B$10),AND($B$7="Да",IFERROR(INDEX('Вводные'!$B$88:$B$90,$B$8),"Нет")="Да")),MAX(0,SUM($D25:BS25)-BS25),0)</x:f>
        <x:v>0</x:v>
      </x:c>
      <x:c r="BT27" s="107" t="n">
        <x:f>IF(AND(YEAR(BT$3)=YEAR($B$10),MONTH(BT$3)=MONTH($B$10),AND($B$7="Да",IFERROR(INDEX('Вводные'!$B$88:$B$90,$B$8),"Нет")="Да")),MAX(0,SUM($D25:BT25)-BT25),0)</x:f>
        <x:v>0</x:v>
      </x:c>
      <x:c r="BU27" s="107" t="n">
        <x:f>IF(AND(YEAR(BU$3)=YEAR($B$10),MONTH(BU$3)=MONTH($B$10),AND($B$7="Да",IFERROR(INDEX('Вводные'!$B$88:$B$90,$B$8),"Нет")="Да")),MAX(0,SUM($D25:BU25)-BU25),0)</x:f>
        <x:v>0</x:v>
      </x:c>
      <x:c r="BV27" s="107" t="n">
        <x:f>IF(AND(YEAR(BV$3)=YEAR($B$10),MONTH(BV$3)=MONTH($B$10),AND($B$7="Да",IFERROR(INDEX('Вводные'!$B$88:$B$90,$B$8),"Нет")="Да")),MAX(0,SUM($D25:BV25)-BV25),0)</x:f>
        <x:v>0</x:v>
      </x:c>
      <x:c r="BW27" s="107" t="n">
        <x:f>IF(AND(YEAR(BW$3)=YEAR($B$10),MONTH(BW$3)=MONTH($B$10),AND($B$7="Да",IFERROR(INDEX('Вводные'!$B$88:$B$90,$B$8),"Нет")="Да")),MAX(0,SUM($D25:BW25)-BW25),0)</x:f>
        <x:v>0</x:v>
      </x:c>
      <x:c r="BX27" s="107" t="n">
        <x:f>IF(AND(YEAR(BX$3)=YEAR($B$10),MONTH(BX$3)=MONTH($B$10),AND($B$7="Да",IFERROR(INDEX('Вводные'!$B$88:$B$90,$B$8),"Нет")="Да")),MAX(0,SUM($D25:BX25)-BX25),0)</x:f>
        <x:v>0</x:v>
      </x:c>
      <x:c r="BY27" s="107" t="n">
        <x:f>IF(AND(YEAR(BY$3)=YEAR($B$10),MONTH(BY$3)=MONTH($B$10),AND($B$7="Да",IFERROR(INDEX('Вводные'!$B$88:$B$90,$B$8),"Нет")="Да")),MAX(0,SUM($D25:BY25)-BY25),0)</x:f>
        <x:v>0</x:v>
      </x:c>
      <x:c r="BZ27" s="107" t="n">
        <x:f>IF(AND(YEAR(BZ$3)=YEAR($B$10),MONTH(BZ$3)=MONTH($B$10),AND($B$7="Да",IFERROR(INDEX('Вводные'!$B$88:$B$90,$B$8),"Нет")="Да")),MAX(0,SUM($D25:BZ25)-BZ25),0)</x:f>
        <x:v>0</x:v>
      </x:c>
      <x:c r="CA27" s="107" t="n">
        <x:f>IF(AND(YEAR(CA$3)=YEAR($B$10),MONTH(CA$3)=MONTH($B$10),AND($B$7="Да",IFERROR(INDEX('Вводные'!$B$88:$B$90,$B$8),"Нет")="Да")),MAX(0,SUM($D25:CA25)-CA25),0)</x:f>
        <x:v>0</x:v>
      </x:c>
      <x:c r="CB27" s="107" t="n">
        <x:f>IF(AND(YEAR(CB$3)=YEAR($B$10),MONTH(CB$3)=MONTH($B$10),AND($B$7="Да",IFERROR(INDEX('Вводные'!$B$88:$B$90,$B$8),"Нет")="Да")),MAX(0,SUM($D25:CB25)-CB25),0)</x:f>
        <x:v>0</x:v>
      </x:c>
      <x:c r="CC27" s="107" t="n">
        <x:f>IF(AND(YEAR(CC$3)=YEAR($B$10),MONTH(CC$3)=MONTH($B$10),AND($B$7="Да",IFERROR(INDEX('Вводные'!$B$88:$B$90,$B$8),"Нет")="Да")),MAX(0,SUM($D25:CC25)-CC25),0)</x:f>
        <x:v>0</x:v>
      </x:c>
      <x:c r="CD27" s="107" t="n">
        <x:f>IF(AND(YEAR(CD$3)=YEAR($B$10),MONTH(CD$3)=MONTH($B$10),AND($B$7="Да",IFERROR(INDEX('Вводные'!$B$88:$B$90,$B$8),"Нет")="Да")),MAX(0,SUM($D25:CD25)-CD25),0)</x:f>
        <x:v>0</x:v>
      </x:c>
      <x:c r="CE27" s="107" t="n">
        <x:f>IF(AND(YEAR(CE$3)=YEAR($B$10),MONTH(CE$3)=MONTH($B$10),AND($B$7="Да",IFERROR(INDEX('Вводные'!$B$88:$B$90,$B$8),"Нет")="Да")),MAX(0,SUM($D25:CE25)-CE25),0)</x:f>
        <x:v>0</x:v>
      </x:c>
      <x:c r="CF27" s="107" t="n">
        <x:f>IF(AND(YEAR(CF$3)=YEAR($B$10),MONTH(CF$3)=MONTH($B$10),AND($B$7="Да",IFERROR(INDEX('Вводные'!$B$88:$B$90,$B$8),"Нет")="Да")),MAX(0,SUM($D25:CF25)-CF25),0)</x:f>
        <x:v>0</x:v>
      </x:c>
      <x:c r="CG27" s="107" t="n">
        <x:f>IF(AND(YEAR(CG$3)=YEAR($B$10),MONTH(CG$3)=MONTH($B$10),AND($B$7="Да",IFERROR(INDEX('Вводные'!$B$88:$B$90,$B$8),"Нет")="Да")),MAX(0,SUM($D25:CG25)-CG25),0)</x:f>
        <x:v>0</x:v>
      </x:c>
      <x:c r="CH27" s="107" t="n">
        <x:f>IF(AND(YEAR(CH$3)=YEAR($B$10),MONTH(CH$3)=MONTH($B$10),AND($B$7="Да",IFERROR(INDEX('Вводные'!$B$88:$B$90,$B$8),"Нет")="Да")),MAX(0,SUM($D25:CH25)-CH25),0)</x:f>
        <x:v>0</x:v>
      </x:c>
      <x:c r="CI27" s="107" t="n">
        <x:f>IF(AND(YEAR(CI$3)=YEAR($B$10),MONTH(CI$3)=MONTH($B$10),AND($B$7="Да",IFERROR(INDEX('Вводные'!$B$88:$B$90,$B$8),"Нет")="Да")),MAX(0,SUM($D25:CI25)-CI25),0)</x:f>
        <x:v>0</x:v>
      </x:c>
      <x:c r="CJ27" s="107" t="n">
        <x:f>IF(AND(YEAR(CJ$3)=YEAR($B$10),MONTH(CJ$3)=MONTH($B$10),AND($B$7="Да",IFERROR(INDEX('Вводные'!$B$88:$B$90,$B$8),"Нет")="Да")),MAX(0,SUM($D25:CJ25)-CJ25),0)</x:f>
        <x:v>0</x:v>
      </x:c>
      <x:c r="CK27" s="107" t="n">
        <x:f>IF(AND(YEAR(CK$3)=YEAR($B$10),MONTH(CK$3)=MONTH($B$10),AND($B$7="Да",IFERROR(INDEX('Вводные'!$B$88:$B$90,$B$8),"Нет")="Да")),MAX(0,SUM($D25:CK25)-CK25),0)</x:f>
        <x:v>0</x:v>
      </x:c>
      <x:c r="CL27" s="107" t="n">
        <x:f>IF(AND(YEAR(CL$3)=YEAR($B$10),MONTH(CL$3)=MONTH($B$10),AND($B$7="Да",IFERROR(INDEX('Вводные'!$B$88:$B$90,$B$8),"Нет")="Да")),MAX(0,SUM($D25:CL25)-CL25),0)</x:f>
        <x:v>0</x:v>
      </x:c>
      <x:c r="CM27" s="107" t="n">
        <x:f>IF(AND(YEAR(CM$3)=YEAR($B$10),MONTH(CM$3)=MONTH($B$10),AND($B$7="Да",IFERROR(INDEX('Вводные'!$B$88:$B$90,$B$8),"Нет")="Да")),MAX(0,SUM($D25:CM25)-CM25),0)</x:f>
        <x:v>0</x:v>
      </x:c>
      <x:c r="CN27" s="107" t="n">
        <x:f>IF(AND(YEAR(CN$3)=YEAR($B$10),MONTH(CN$3)=MONTH($B$10),AND($B$7="Да",IFERROR(INDEX('Вводные'!$B$88:$B$90,$B$8),"Нет")="Да")),MAX(0,SUM($D25:CN25)-CN25),0)</x:f>
        <x:v>0</x:v>
      </x:c>
      <x:c r="CO27" s="107" t="n">
        <x:f>IF(AND(YEAR(CO$3)=YEAR($B$10),MONTH(CO$3)=MONTH($B$10),AND($B$7="Да",IFERROR(INDEX('Вводные'!$B$88:$B$90,$B$8),"Нет")="Да")),MAX(0,SUM($D25:CO25)-CO25),0)</x:f>
        <x:v>0</x:v>
      </x:c>
      <x:c r="CP27" s="107" t="n">
        <x:f>IF(AND(YEAR(CP$3)=YEAR($B$10),MONTH(CP$3)=MONTH($B$10),AND($B$7="Да",IFERROR(INDEX('Вводные'!$B$88:$B$90,$B$8),"Нет")="Да")),MAX(0,SUM($D25:CP25)-CP25),0)</x:f>
        <x:v>0</x:v>
      </x:c>
      <x:c r="CQ27" s="107" t="n">
        <x:f>IF(AND(YEAR(CQ$3)=YEAR($B$10),MONTH(CQ$3)=MONTH($B$10),AND($B$7="Да",IFERROR(INDEX('Вводные'!$B$88:$B$90,$B$8),"Нет")="Да")),MAX(0,SUM($D25:CQ25)-CQ25),0)</x:f>
        <x:v>0</x:v>
      </x:c>
      <x:c r="CR27" s="107" t="n">
        <x:f>IF(AND(YEAR(CR$3)=YEAR($B$10),MONTH(CR$3)=MONTH($B$10),AND($B$7="Да",IFERROR(INDEX('Вводные'!$B$88:$B$90,$B$8),"Нет")="Да")),MAX(0,SUM($D25:CR25)-CR25),0)</x:f>
        <x:v>0</x:v>
      </x:c>
      <x:c r="CS27" s="107" t="n">
        <x:f>IF(AND(YEAR(CS$3)=YEAR($B$10),MONTH(CS$3)=MONTH($B$10),AND($B$7="Да",IFERROR(INDEX('Вводные'!$B$88:$B$90,$B$8),"Нет")="Да")),MAX(0,SUM($D25:CS25)-CS25),0)</x:f>
        <x:v>0</x:v>
      </x:c>
      <x:c r="CT27" s="107" t="n">
        <x:f>IF(AND(YEAR(CT$3)=YEAR($B$10),MONTH(CT$3)=MONTH($B$10),AND($B$7="Да",IFERROR(INDEX('Вводные'!$B$88:$B$90,$B$8),"Нет")="Да")),MAX(0,SUM($D25:CT25)-CT25),0)</x:f>
        <x:v>0</x:v>
      </x:c>
      <x:c r="CU27" s="107" t="n">
        <x:f>IF(AND(YEAR(CU$3)=YEAR($B$10),MONTH(CU$3)=MONTH($B$10),AND($B$7="Да",IFERROR(INDEX('Вводные'!$B$88:$B$90,$B$8),"Нет")="Да")),MAX(0,SUM($D25:CU25)-CU25),0)</x:f>
        <x:v>0</x:v>
      </x:c>
      <x:c r="CV27" s="107" t="n">
        <x:f>IF(AND(YEAR(CV$3)=YEAR($B$10),MONTH(CV$3)=MONTH($B$10),AND($B$7="Да",IFERROR(INDEX('Вводные'!$B$88:$B$90,$B$8),"Нет")="Да")),MAX(0,SUM($D25:CV25)-CV25),0)</x:f>
        <x:v>0</x:v>
      </x:c>
      <x:c r="CW27" s="107" t="n">
        <x:f>IF(AND(YEAR(CW$3)=YEAR($B$10),MONTH(CW$3)=MONTH($B$10),AND($B$7="Да",IFERROR(INDEX('Вводные'!$B$88:$B$90,$B$8),"Нет")="Да")),MAX(0,SUM($D25:CW25)-CW25),0)</x:f>
        <x:v>0</x:v>
      </x:c>
      <x:c r="CX27" s="107" t="n">
        <x:f>IF(AND(YEAR(CX$3)=YEAR($B$10),MONTH(CX$3)=MONTH($B$10),AND($B$7="Да",IFERROR(INDEX('Вводные'!$B$88:$B$90,$B$8),"Нет")="Да")),MAX(0,SUM($D25:CX25)-CX25),0)</x:f>
        <x:v>0</x:v>
      </x:c>
      <x:c r="CY27" s="107" t="n">
        <x:f>IF(AND(YEAR(CY$3)=YEAR($B$10),MONTH(CY$3)=MONTH($B$10),AND($B$7="Да",IFERROR(INDEX('Вводные'!$B$88:$B$90,$B$8),"Нет")="Да")),MAX(0,SUM($D25:CY25)-CY25),0)</x:f>
        <x:v>0</x:v>
      </x:c>
      <x:c r="CZ27" s="107" t="n">
        <x:f>IF(AND(YEAR(CZ$3)=YEAR($B$10),MONTH(CZ$3)=MONTH($B$10),AND($B$7="Да",IFERROR(INDEX('Вводные'!$B$88:$B$90,$B$8),"Нет")="Да")),MAX(0,SUM($D25:CZ25)-CZ25),0)</x:f>
        <x:v>0</x:v>
      </x:c>
      <x:c r="DA27" s="107" t="n">
        <x:f>IF(AND(YEAR(DA$3)=YEAR($B$10),MONTH(DA$3)=MONTH($B$10),AND($B$7="Да",IFERROR(INDEX('Вводные'!$B$88:$B$90,$B$8),"Нет")="Да")),MAX(0,SUM($D25:DA25)-DA25),0)</x:f>
        <x:v>0</x:v>
      </x:c>
      <x:c r="DB27" s="107" t="n">
        <x:f>IF(AND(YEAR(DB$3)=YEAR($B$10),MONTH(DB$3)=MONTH($B$10),AND($B$7="Да",IFERROR(INDEX('Вводные'!$B$88:$B$90,$B$8),"Нет")="Да")),MAX(0,SUM($D25:DB25)-DB25),0)</x:f>
        <x:v>0</x:v>
      </x:c>
      <x:c r="DC27" s="107" t="n">
        <x:f>IF(AND(YEAR(DC$3)=YEAR($B$10),MONTH(DC$3)=MONTH($B$10),AND($B$7="Да",IFERROR(INDEX('Вводные'!$B$88:$B$90,$B$8),"Нет")="Да")),MAX(0,SUM($D25:DC25)-DC25),0)</x:f>
        <x:v>0</x:v>
      </x:c>
      <x:c r="DD27" s="107" t="n">
        <x:f>IF(AND(YEAR(DD$3)=YEAR($B$10),MONTH(DD$3)=MONTH($B$10),AND($B$7="Да",IFERROR(INDEX('Вводные'!$B$88:$B$90,$B$8),"Нет")="Да")),MAX(0,SUM($D25:DD25)-DD25),0)</x:f>
        <x:v>0</x:v>
      </x:c>
      <x:c r="DE27" s="107" t="n">
        <x:f>IF(AND(YEAR(DE$3)=YEAR($B$10),MONTH(DE$3)=MONTH($B$10),AND($B$7="Да",IFERROR(INDEX('Вводные'!$B$88:$B$90,$B$8),"Нет")="Да")),MAX(0,SUM($D25:DE25)-DE25),0)</x:f>
        <x:v>0</x:v>
      </x:c>
      <x:c r="DF27" s="107" t="n">
        <x:f>IF(AND(YEAR(DF$3)=YEAR($B$10),MONTH(DF$3)=MONTH($B$10),AND($B$7="Да",IFERROR(INDEX('Вводные'!$B$88:$B$90,$B$8),"Нет")="Да")),MAX(0,SUM($D25:DF25)-DF25),0)</x:f>
        <x:v>0</x:v>
      </x:c>
      <x:c r="DG27" s="107" t="n">
        <x:f>IF(AND(YEAR(DG$3)=YEAR($B$10),MONTH(DG$3)=MONTH($B$10),AND($B$7="Да",IFERROR(INDEX('Вводные'!$B$88:$B$90,$B$8),"Нет")="Да")),MAX(0,SUM($D25:DG25)-DG25),0)</x:f>
        <x:v>0</x:v>
      </x:c>
      <x:c r="DH27" s="107" t="n">
        <x:f>IF(AND(YEAR(DH$3)=YEAR($B$10),MONTH(DH$3)=MONTH($B$10),AND($B$7="Да",IFERROR(INDEX('Вводные'!$B$88:$B$90,$B$8),"Нет")="Да")),MAX(0,SUM($D25:DH25)-DH25),0)</x:f>
        <x:v>0</x:v>
      </x:c>
      <x:c r="DI27" s="107" t="n">
        <x:f>IF(AND(YEAR(DI$3)=YEAR($B$10),MONTH(DI$3)=MONTH($B$10),AND($B$7="Да",IFERROR(INDEX('Вводные'!$B$88:$B$90,$B$8),"Нет")="Да")),MAX(0,SUM($D25:DI25)-DI25),0)</x:f>
        <x:v>0</x:v>
      </x:c>
      <x:c r="DJ27" s="107" t="n">
        <x:f>IF(AND(YEAR(DJ$3)=YEAR($B$10),MONTH(DJ$3)=MONTH($B$10),AND($B$7="Да",IFERROR(INDEX('Вводные'!$B$88:$B$90,$B$8),"Нет")="Да")),MAX(0,SUM($D25:DJ25)-DJ25),0)</x:f>
        <x:v>0</x:v>
      </x:c>
      <x:c r="DK27" s="107" t="n">
        <x:f>IF(AND(YEAR(DK$3)=YEAR($B$10),MONTH(DK$3)=MONTH($B$10),AND($B$7="Да",IFERROR(INDEX('Вводные'!$B$88:$B$90,$B$8),"Нет")="Да")),MAX(0,SUM($D25:DK25)-DK25),0)</x:f>
        <x:v>0</x:v>
      </x:c>
      <x:c r="DL27" s="107" t="n">
        <x:f>IF(AND(YEAR(DL$3)=YEAR($B$10),MONTH(DL$3)=MONTH($B$10),AND($B$7="Да",IFERROR(INDEX('Вводные'!$B$88:$B$90,$B$8),"Нет")="Да")),MAX(0,SUM($D25:DL25)-DL25),0)</x:f>
        <x:v>0</x:v>
      </x:c>
      <x:c r="DM27" s="107" t="n">
        <x:f>IF(AND(YEAR(DM$3)=YEAR($B$10),MONTH(DM$3)=MONTH($B$10),AND($B$7="Да",IFERROR(INDEX('Вводные'!$B$88:$B$90,$B$8),"Нет")="Да")),MAX(0,SUM($D25:DM25)-DM25),0)</x:f>
        <x:v>0</x:v>
      </x:c>
      <x:c r="DN27" s="107" t="n">
        <x:f>IF(AND(YEAR(DN$3)=YEAR($B$10),MONTH(DN$3)=MONTH($B$10),AND($B$7="Да",IFERROR(INDEX('Вводные'!$B$88:$B$90,$B$8),"Нет")="Да")),MAX(0,SUM($D25:DN25)-DN25),0)</x:f>
        <x:v>0</x:v>
      </x:c>
      <x:c r="DO27" s="107" t="n">
        <x:f>IF(AND(YEAR(DO$3)=YEAR($B$10),MONTH(DO$3)=MONTH($B$10),AND($B$7="Да",IFERROR(INDEX('Вводные'!$B$88:$B$90,$B$8),"Нет")="Да")),MAX(0,SUM($D25:DO25)-DO25),0)</x:f>
        <x:v>0</x:v>
      </x:c>
      <x:c r="DP27" s="107" t="n">
        <x:f>IF(AND(YEAR(DP$3)=YEAR($B$10),MONTH(DP$3)=MONTH($B$10),AND($B$7="Да",IFERROR(INDEX('Вводные'!$B$88:$B$90,$B$8),"Нет")="Да")),MAX(0,SUM($D25:DP25)-DP25),0)</x:f>
        <x:v>0</x:v>
      </x:c>
      <x:c r="DQ27" s="107" t="n">
        <x:f>IF(AND(YEAR(DQ$3)=YEAR($B$10),MONTH(DQ$3)=MONTH($B$10),AND($B$7="Да",IFERROR(INDEX('Вводные'!$B$88:$B$90,$B$8),"Нет")="Да")),MAX(0,SUM($D25:DQ25)-DQ25),0)</x:f>
        <x:v>0</x:v>
      </x:c>
      <x:c r="DR27" s="107" t="n">
        <x:f>IF(AND(YEAR(DR$3)=YEAR($B$10),MONTH(DR$3)=MONTH($B$10),AND($B$7="Да",IFERROR(INDEX('Вводные'!$B$88:$B$90,$B$8),"Нет")="Да")),MAX(0,SUM($D25:DR25)-DR25),0)</x:f>
        <x:v>0</x:v>
      </x:c>
      <x:c r="DS27" s="107" t="n">
        <x:f>IF(AND(YEAR(DS$3)=YEAR($B$10),MONTH(DS$3)=MONTH($B$10),AND($B$7="Да",IFERROR(INDEX('Вводные'!$B$88:$B$90,$B$8),"Нет")="Да")),MAX(0,SUM($D25:DS25)-DS25),0)</x:f>
        <x:v>0</x:v>
      </x:c>
    </x:row>
    <x:row r="28">
      <x:c r="A28" t="str">
        <x:v>CAPEX</x:v>
      </x:c>
      <x:c r="B28" s="107" t="n">
        <x:f>IF(AND($B$7="Да",IFERROR(INDEX('Вводные'!$B$88:$B$90,$B$8),"Нет")="Да"),$B$12*'Вводные'!$K$29/1000*'Вводные'!$H$6*INDEX('Вводные'!$T$88:$T$90,$B$8)*INDEX('Вводные'!$AH$88:$AH$90,$B$8),0)</x:f>
        <x:v>0</x:v>
      </x:c>
      <x:c r="C28" t="str">
        <x:v>млн ₽</x:v>
      </x:c>
      <x:c r="D28" s="107" t="n">
        <x:f>$B$28*D16</x:f>
        <x:v>0</x:v>
      </x:c>
      <x:c r="E28" s="107" t="n">
        <x:f>$B$28*E16</x:f>
        <x:v>0</x:v>
      </x:c>
      <x:c r="F28" s="107" t="n">
        <x:f>$B$28*F16</x:f>
        <x:v>0</x:v>
      </x:c>
      <x:c r="G28" s="107" t="n">
        <x:f>$B$28*G16</x:f>
        <x:v>0</x:v>
      </x:c>
      <x:c r="H28" s="107" t="n">
        <x:f>$B$28*H16</x:f>
        <x:v>0</x:v>
      </x:c>
      <x:c r="I28" s="107" t="n">
        <x:f>$B$28*I16</x:f>
        <x:v>0</x:v>
      </x:c>
      <x:c r="J28" s="107" t="n">
        <x:f>$B$28*J16</x:f>
        <x:v>0</x:v>
      </x:c>
      <x:c r="K28" s="107" t="n">
        <x:f>$B$28*K16</x:f>
        <x:v>0</x:v>
      </x:c>
      <x:c r="L28" s="107" t="n">
        <x:f>$B$28*L16</x:f>
        <x:v>0</x:v>
      </x:c>
      <x:c r="M28" s="107" t="n">
        <x:f>$B$28*M16</x:f>
        <x:v>0</x:v>
      </x:c>
      <x:c r="N28" s="107" t="n">
        <x:f>$B$28*N16</x:f>
        <x:v>0</x:v>
      </x:c>
      <x:c r="O28" s="107" t="n">
        <x:f>$B$28*O16</x:f>
        <x:v>0</x:v>
      </x:c>
      <x:c r="P28" s="107" t="n">
        <x:f>$B$28*P16</x:f>
        <x:v>0</x:v>
      </x:c>
      <x:c r="Q28" s="107" t="n">
        <x:f>$B$28*Q16</x:f>
        <x:v>0</x:v>
      </x:c>
      <x:c r="R28" s="107" t="n">
        <x:f>$B$28*R16</x:f>
        <x:v>0</x:v>
      </x:c>
      <x:c r="S28" s="107" t="n">
        <x:f>$B$28*S16</x:f>
        <x:v>0</x:v>
      </x:c>
      <x:c r="T28" s="107" t="n">
        <x:f>$B$28*T16</x:f>
        <x:v>0</x:v>
      </x:c>
      <x:c r="U28" s="107" t="n">
        <x:f>$B$28*U16</x:f>
        <x:v>0</x:v>
      </x:c>
      <x:c r="V28" s="107" t="n">
        <x:f>$B$28*V16</x:f>
        <x:v>0</x:v>
      </x:c>
      <x:c r="W28" s="107" t="n">
        <x:f>$B$28*W16</x:f>
        <x:v>0</x:v>
      </x:c>
      <x:c r="X28" s="107" t="n">
        <x:f>$B$28*X16</x:f>
        <x:v>0</x:v>
      </x:c>
      <x:c r="Y28" s="107" t="n">
        <x:f>$B$28*Y16</x:f>
        <x:v>0</x:v>
      </x:c>
      <x:c r="Z28" s="107" t="n">
        <x:f>$B$28*Z16</x:f>
        <x:v>0</x:v>
      </x:c>
      <x:c r="AA28" s="107" t="n">
        <x:f>$B$28*AA16</x:f>
        <x:v>0</x:v>
      </x:c>
      <x:c r="AB28" s="107" t="n">
        <x:f>$B$28*AB16</x:f>
        <x:v>0</x:v>
      </x:c>
      <x:c r="AC28" s="107" t="n">
        <x:f>$B$28*AC16</x:f>
        <x:v>0</x:v>
      </x:c>
      <x:c r="AD28" s="107" t="n">
        <x:f>$B$28*AD16</x:f>
        <x:v>0</x:v>
      </x:c>
      <x:c r="AE28" s="107" t="n">
        <x:f>$B$28*AE16</x:f>
        <x:v>0</x:v>
      </x:c>
      <x:c r="AF28" s="107" t="n">
        <x:f>$B$28*AF16</x:f>
        <x:v>0</x:v>
      </x:c>
      <x:c r="AG28" s="107" t="n">
        <x:f>$B$28*AG16</x:f>
        <x:v>0</x:v>
      </x:c>
      <x:c r="AH28" s="107" t="n">
        <x:f>$B$28*AH16</x:f>
        <x:v>0</x:v>
      </x:c>
      <x:c r="AI28" s="107" t="n">
        <x:f>$B$28*AI16</x:f>
        <x:v>0</x:v>
      </x:c>
      <x:c r="AJ28" s="107" t="n">
        <x:f>$B$28*AJ16</x:f>
        <x:v>0</x:v>
      </x:c>
      <x:c r="AK28" s="107" t="n">
        <x:f>$B$28*AK16</x:f>
        <x:v>0</x:v>
      </x:c>
      <x:c r="AL28" s="107" t="n">
        <x:f>$B$28*AL16</x:f>
        <x:v>0</x:v>
      </x:c>
      <x:c r="AM28" s="107" t="n">
        <x:f>$B$28*AM16</x:f>
        <x:v>0</x:v>
      </x:c>
      <x:c r="AN28" s="107" t="n">
        <x:f>$B$28*AN16</x:f>
        <x:v>0</x:v>
      </x:c>
      <x:c r="AO28" s="107" t="n">
        <x:f>$B$28*AO16</x:f>
        <x:v>0</x:v>
      </x:c>
      <x:c r="AP28" s="107" t="n">
        <x:f>$B$28*AP16</x:f>
        <x:v>0</x:v>
      </x:c>
      <x:c r="AQ28" s="107" t="n">
        <x:f>$B$28*AQ16</x:f>
        <x:v>0</x:v>
      </x:c>
      <x:c r="AR28" s="107" t="n">
        <x:f>$B$28*AR16</x:f>
        <x:v>0</x:v>
      </x:c>
      <x:c r="AS28" s="107" t="n">
        <x:f>$B$28*AS16</x:f>
        <x:v>0</x:v>
      </x:c>
      <x:c r="AT28" s="107" t="n">
        <x:f>$B$28*AT16</x:f>
        <x:v>0</x:v>
      </x:c>
      <x:c r="AU28" s="107" t="n">
        <x:f>$B$28*AU16</x:f>
        <x:v>0</x:v>
      </x:c>
      <x:c r="AV28" s="107" t="n">
        <x:f>$B$28*AV16</x:f>
        <x:v>0</x:v>
      </x:c>
      <x:c r="AW28" s="107" t="n">
        <x:f>$B$28*AW16</x:f>
        <x:v>0</x:v>
      </x:c>
      <x:c r="AX28" s="107" t="n">
        <x:f>$B$28*AX16</x:f>
        <x:v>0</x:v>
      </x:c>
      <x:c r="AY28" s="107" t="n">
        <x:f>$B$28*AY16</x:f>
        <x:v>0</x:v>
      </x:c>
      <x:c r="AZ28" s="107" t="n">
        <x:f>$B$28*AZ16</x:f>
        <x:v>0</x:v>
      </x:c>
      <x:c r="BA28" s="107" t="n">
        <x:f>$B$28*BA16</x:f>
        <x:v>0</x:v>
      </x:c>
      <x:c r="BB28" s="107" t="n">
        <x:f>$B$28*BB16</x:f>
        <x:v>0</x:v>
      </x:c>
      <x:c r="BC28" s="107" t="n">
        <x:f>$B$28*BC16</x:f>
        <x:v>0</x:v>
      </x:c>
      <x:c r="BD28" s="107" t="n">
        <x:f>$B$28*BD16</x:f>
        <x:v>0</x:v>
      </x:c>
      <x:c r="BE28" s="107" t="n">
        <x:f>$B$28*BE16</x:f>
        <x:v>0</x:v>
      </x:c>
      <x:c r="BF28" s="107" t="n">
        <x:f>$B$28*BF16</x:f>
        <x:v>0</x:v>
      </x:c>
      <x:c r="BG28" s="107" t="n">
        <x:f>$B$28*BG16</x:f>
        <x:v>0</x:v>
      </x:c>
      <x:c r="BH28" s="107" t="n">
        <x:f>$B$28*BH16</x:f>
        <x:v>0</x:v>
      </x:c>
      <x:c r="BI28" s="107" t="n">
        <x:f>$B$28*BI16</x:f>
        <x:v>0</x:v>
      </x:c>
      <x:c r="BJ28" s="107" t="n">
        <x:f>$B$28*BJ16</x:f>
        <x:v>0</x:v>
      </x:c>
      <x:c r="BK28" s="107" t="n">
        <x:f>$B$28*BK16</x:f>
        <x:v>0</x:v>
      </x:c>
      <x:c r="BL28" s="107" t="n">
        <x:f>$B$28*BL16</x:f>
        <x:v>0</x:v>
      </x:c>
      <x:c r="BM28" s="107" t="n">
        <x:f>$B$28*BM16</x:f>
        <x:v>0</x:v>
      </x:c>
      <x:c r="BN28" s="107" t="n">
        <x:f>$B$28*BN16</x:f>
        <x:v>0</x:v>
      </x:c>
      <x:c r="BO28" s="107" t="n">
        <x:f>$B$28*BO16</x:f>
        <x:v>0</x:v>
      </x:c>
      <x:c r="BP28" s="107" t="n">
        <x:f>$B$28*BP16</x:f>
        <x:v>0</x:v>
      </x:c>
      <x:c r="BQ28" s="107" t="n">
        <x:f>$B$28*BQ16</x:f>
        <x:v>0</x:v>
      </x:c>
      <x:c r="BR28" s="107" t="n">
        <x:f>$B$28*BR16</x:f>
        <x:v>0</x:v>
      </x:c>
      <x:c r="BS28" s="107" t="n">
        <x:f>$B$28*BS16</x:f>
        <x:v>0</x:v>
      </x:c>
      <x:c r="BT28" s="107" t="n">
        <x:f>$B$28*BT16</x:f>
        <x:v>0</x:v>
      </x:c>
      <x:c r="BU28" s="107" t="n">
        <x:f>$B$28*BU16</x:f>
        <x:v>0</x:v>
      </x:c>
      <x:c r="BV28" s="107" t="n">
        <x:f>$B$28*BV16</x:f>
        <x:v>0</x:v>
      </x:c>
      <x:c r="BW28" s="107" t="n">
        <x:f>$B$28*BW16</x:f>
        <x:v>0</x:v>
      </x:c>
      <x:c r="BX28" s="107" t="n">
        <x:f>$B$28*BX16</x:f>
        <x:v>0</x:v>
      </x:c>
      <x:c r="BY28" s="107" t="n">
        <x:f>$B$28*BY16</x:f>
        <x:v>0</x:v>
      </x:c>
      <x:c r="BZ28" s="107" t="n">
        <x:f>$B$28*BZ16</x:f>
        <x:v>0</x:v>
      </x:c>
      <x:c r="CA28" s="107" t="n">
        <x:f>$B$28*CA16</x:f>
        <x:v>0</x:v>
      </x:c>
      <x:c r="CB28" s="107" t="n">
        <x:f>$B$28*CB16</x:f>
        <x:v>0</x:v>
      </x:c>
      <x:c r="CC28" s="107" t="n">
        <x:f>$B$28*CC16</x:f>
        <x:v>0</x:v>
      </x:c>
      <x:c r="CD28" s="107" t="n">
        <x:f>$B$28*CD16</x:f>
        <x:v>0</x:v>
      </x:c>
      <x:c r="CE28" s="107" t="n">
        <x:f>$B$28*CE16</x:f>
        <x:v>0</x:v>
      </x:c>
      <x:c r="CF28" s="107" t="n">
        <x:f>$B$28*CF16</x:f>
        <x:v>0</x:v>
      </x:c>
      <x:c r="CG28" s="107" t="n">
        <x:f>$B$28*CG16</x:f>
        <x:v>0</x:v>
      </x:c>
      <x:c r="CH28" s="107" t="n">
        <x:f>$B$28*CH16</x:f>
        <x:v>0</x:v>
      </x:c>
      <x:c r="CI28" s="107" t="n">
        <x:f>$B$28*CI16</x:f>
        <x:v>0</x:v>
      </x:c>
      <x:c r="CJ28" s="107" t="n">
        <x:f>$B$28*CJ16</x:f>
        <x:v>0</x:v>
      </x:c>
      <x:c r="CK28" s="107" t="n">
        <x:f>$B$28*CK16</x:f>
        <x:v>0</x:v>
      </x:c>
      <x:c r="CL28" s="107" t="n">
        <x:f>$B$28*CL16</x:f>
        <x:v>0</x:v>
      </x:c>
      <x:c r="CM28" s="107" t="n">
        <x:f>$B$28*CM16</x:f>
        <x:v>0</x:v>
      </x:c>
      <x:c r="CN28" s="107" t="n">
        <x:f>$B$28*CN16</x:f>
        <x:v>0</x:v>
      </x:c>
      <x:c r="CO28" s="107" t="n">
        <x:f>$B$28*CO16</x:f>
        <x:v>0</x:v>
      </x:c>
      <x:c r="CP28" s="107" t="n">
        <x:f>$B$28*CP16</x:f>
        <x:v>0</x:v>
      </x:c>
      <x:c r="CQ28" s="107" t="n">
        <x:f>$B$28*CQ16</x:f>
        <x:v>0</x:v>
      </x:c>
      <x:c r="CR28" s="107" t="n">
        <x:f>$B$28*CR16</x:f>
        <x:v>0</x:v>
      </x:c>
      <x:c r="CS28" s="107" t="n">
        <x:f>$B$28*CS16</x:f>
        <x:v>0</x:v>
      </x:c>
      <x:c r="CT28" s="107" t="n">
        <x:f>$B$28*CT16</x:f>
        <x:v>0</x:v>
      </x:c>
      <x:c r="CU28" s="107" t="n">
        <x:f>$B$28*CU16</x:f>
        <x:v>0</x:v>
      </x:c>
      <x:c r="CV28" s="107" t="n">
        <x:f>$B$28*CV16</x:f>
        <x:v>0</x:v>
      </x:c>
      <x:c r="CW28" s="107" t="n">
        <x:f>$B$28*CW16</x:f>
        <x:v>0</x:v>
      </x:c>
      <x:c r="CX28" s="107" t="n">
        <x:f>$B$28*CX16</x:f>
        <x:v>0</x:v>
      </x:c>
      <x:c r="CY28" s="107" t="n">
        <x:f>$B$28*CY16</x:f>
        <x:v>0</x:v>
      </x:c>
      <x:c r="CZ28" s="107" t="n">
        <x:f>$B$28*CZ16</x:f>
        <x:v>0</x:v>
      </x:c>
      <x:c r="DA28" s="107" t="n">
        <x:f>$B$28*DA16</x:f>
        <x:v>0</x:v>
      </x:c>
      <x:c r="DB28" s="107" t="n">
        <x:f>$B$28*DB16</x:f>
        <x:v>0</x:v>
      </x:c>
      <x:c r="DC28" s="107" t="n">
        <x:f>$B$28*DC16</x:f>
        <x:v>0</x:v>
      </x:c>
      <x:c r="DD28" s="107" t="n">
        <x:f>$B$28*DD16</x:f>
        <x:v>0</x:v>
      </x:c>
      <x:c r="DE28" s="107" t="n">
        <x:f>$B$28*DE16</x:f>
        <x:v>0</x:v>
      </x:c>
      <x:c r="DF28" s="107" t="n">
        <x:f>$B$28*DF16</x:f>
        <x:v>0</x:v>
      </x:c>
      <x:c r="DG28" s="107" t="n">
        <x:f>$B$28*DG16</x:f>
        <x:v>0</x:v>
      </x:c>
      <x:c r="DH28" s="107" t="n">
        <x:f>$B$28*DH16</x:f>
        <x:v>0</x:v>
      </x:c>
      <x:c r="DI28" s="107" t="n">
        <x:f>$B$28*DI16</x:f>
        <x:v>0</x:v>
      </x:c>
      <x:c r="DJ28" s="107" t="n">
        <x:f>$B$28*DJ16</x:f>
        <x:v>0</x:v>
      </x:c>
      <x:c r="DK28" s="107" t="n">
        <x:f>$B$28*DK16</x:f>
        <x:v>0</x:v>
      </x:c>
      <x:c r="DL28" s="107" t="n">
        <x:f>$B$28*DL16</x:f>
        <x:v>0</x:v>
      </x:c>
      <x:c r="DM28" s="107" t="n">
        <x:f>$B$28*DM16</x:f>
        <x:v>0</x:v>
      </x:c>
      <x:c r="DN28" s="107" t="n">
        <x:f>$B$28*DN16</x:f>
        <x:v>0</x:v>
      </x:c>
      <x:c r="DO28" s="107" t="n">
        <x:f>$B$28*DO16</x:f>
        <x:v>0</x:v>
      </x:c>
      <x:c r="DP28" s="107" t="n">
        <x:f>$B$28*DP16</x:f>
        <x:v>0</x:v>
      </x:c>
      <x:c r="DQ28" s="107" t="n">
        <x:f>$B$28*DQ16</x:f>
        <x:v>0</x:v>
      </x:c>
      <x:c r="DR28" s="107" t="n">
        <x:f>$B$28*DR16</x:f>
        <x:v>0</x:v>
      </x:c>
      <x:c r="DS28" s="107" t="n">
        <x:f>$B$28*DS16</x:f>
        <x:v>0</x:v>
      </x:c>
    </x:row>
    <x:row r="29">
      <x:c r="A29" t="str">
        <x:v>Маркетинг</x:v>
      </x:c>
      <x:c r="B29" s="107" t="n">
        <x:f>SUM(D29:DS29)</x:f>
        <x:v>0</x:v>
      </x:c>
      <x:c r="C29" t="str">
        <x:v>млн ₽</x:v>
      </x:c>
      <x:c r="D29" s="107" t="n">
        <x:f>D24*'Вводные'!$B$19</x:f>
        <x:v>0</x:v>
      </x:c>
      <x:c r="E29" s="107" t="n">
        <x:f>E24*'Вводные'!$B$19</x:f>
        <x:v>0</x:v>
      </x:c>
      <x:c r="F29" s="107" t="n">
        <x:f>F24*'Вводные'!$B$19</x:f>
        <x:v>0</x:v>
      </x:c>
      <x:c r="G29" s="107" t="n">
        <x:f>G24*'Вводные'!$B$19</x:f>
        <x:v>0</x:v>
      </x:c>
      <x:c r="H29" s="107" t="n">
        <x:f>H24*'Вводные'!$B$19</x:f>
        <x:v>0</x:v>
      </x:c>
      <x:c r="I29" s="107" t="n">
        <x:f>I24*'Вводные'!$B$19</x:f>
        <x:v>0</x:v>
      </x:c>
      <x:c r="J29" s="107" t="n">
        <x:f>J24*'Вводные'!$B$19</x:f>
        <x:v>0</x:v>
      </x:c>
      <x:c r="K29" s="107" t="n">
        <x:f>K24*'Вводные'!$B$19</x:f>
        <x:v>0</x:v>
      </x:c>
      <x:c r="L29" s="107" t="n">
        <x:f>L24*'Вводные'!$B$19</x:f>
        <x:v>0</x:v>
      </x:c>
      <x:c r="M29" s="107" t="n">
        <x:f>M24*'Вводные'!$B$19</x:f>
        <x:v>0</x:v>
      </x:c>
      <x:c r="N29" s="107" t="n">
        <x:f>N24*'Вводные'!$B$19</x:f>
        <x:v>0</x:v>
      </x:c>
      <x:c r="O29" s="107" t="n">
        <x:f>O24*'Вводные'!$B$19</x:f>
        <x:v>0</x:v>
      </x:c>
      <x:c r="P29" s="107" t="n">
        <x:f>P24*'Вводные'!$B$19</x:f>
        <x:v>0</x:v>
      </x:c>
      <x:c r="Q29" s="107" t="n">
        <x:f>Q24*'Вводные'!$B$19</x:f>
        <x:v>0</x:v>
      </x:c>
      <x:c r="R29" s="107" t="n">
        <x:f>R24*'Вводные'!$B$19</x:f>
        <x:v>0</x:v>
      </x:c>
      <x:c r="S29" s="107" t="n">
        <x:f>S24*'Вводные'!$B$19</x:f>
        <x:v>0</x:v>
      </x:c>
      <x:c r="T29" s="107" t="n">
        <x:f>T24*'Вводные'!$B$19</x:f>
        <x:v>0</x:v>
      </x:c>
      <x:c r="U29" s="107" t="n">
        <x:f>U24*'Вводные'!$B$19</x:f>
        <x:v>0</x:v>
      </x:c>
      <x:c r="V29" s="107" t="n">
        <x:f>V24*'Вводные'!$B$19</x:f>
        <x:v>0</x:v>
      </x:c>
      <x:c r="W29" s="107" t="n">
        <x:f>W24*'Вводные'!$B$19</x:f>
        <x:v>0</x:v>
      </x:c>
      <x:c r="X29" s="107" t="n">
        <x:f>X24*'Вводные'!$B$19</x:f>
        <x:v>0</x:v>
      </x:c>
      <x:c r="Y29" s="107" t="n">
        <x:f>Y24*'Вводные'!$B$19</x:f>
        <x:v>0</x:v>
      </x:c>
      <x:c r="Z29" s="107" t="n">
        <x:f>Z24*'Вводные'!$B$19</x:f>
        <x:v>0</x:v>
      </x:c>
      <x:c r="AA29" s="107" t="n">
        <x:f>AA24*'Вводные'!$B$19</x:f>
        <x:v>0</x:v>
      </x:c>
      <x:c r="AB29" s="107" t="n">
        <x:f>AB24*'Вводные'!$B$19</x:f>
        <x:v>0</x:v>
      </x:c>
      <x:c r="AC29" s="107" t="n">
        <x:f>AC24*'Вводные'!$B$19</x:f>
        <x:v>0</x:v>
      </x:c>
      <x:c r="AD29" s="107" t="n">
        <x:f>AD24*'Вводные'!$B$19</x:f>
        <x:v>0</x:v>
      </x:c>
      <x:c r="AE29" s="107" t="n">
        <x:f>AE24*'Вводные'!$B$19</x:f>
        <x:v>0</x:v>
      </x:c>
      <x:c r="AF29" s="107" t="n">
        <x:f>AF24*'Вводные'!$B$19</x:f>
        <x:v>0</x:v>
      </x:c>
      <x:c r="AG29" s="107" t="n">
        <x:f>AG24*'Вводные'!$B$19</x:f>
        <x:v>0</x:v>
      </x:c>
      <x:c r="AH29" s="107" t="n">
        <x:f>AH24*'Вводные'!$B$19</x:f>
        <x:v>0</x:v>
      </x:c>
      <x:c r="AI29" s="107" t="n">
        <x:f>AI24*'Вводные'!$B$19</x:f>
        <x:v>0</x:v>
      </x:c>
      <x:c r="AJ29" s="107" t="n">
        <x:f>AJ24*'Вводные'!$B$19</x:f>
        <x:v>0</x:v>
      </x:c>
      <x:c r="AK29" s="107" t="n">
        <x:f>AK24*'Вводные'!$B$19</x:f>
        <x:v>0</x:v>
      </x:c>
      <x:c r="AL29" s="107" t="n">
        <x:f>AL24*'Вводные'!$B$19</x:f>
        <x:v>0</x:v>
      </x:c>
      <x:c r="AM29" s="107" t="n">
        <x:f>AM24*'Вводные'!$B$19</x:f>
        <x:v>0</x:v>
      </x:c>
      <x:c r="AN29" s="107" t="n">
        <x:f>AN24*'Вводные'!$B$19</x:f>
        <x:v>0</x:v>
      </x:c>
      <x:c r="AO29" s="107" t="n">
        <x:f>AO24*'Вводные'!$B$19</x:f>
        <x:v>0</x:v>
      </x:c>
      <x:c r="AP29" s="107" t="n">
        <x:f>AP24*'Вводные'!$B$19</x:f>
        <x:v>0</x:v>
      </x:c>
      <x:c r="AQ29" s="107" t="n">
        <x:f>AQ24*'Вводные'!$B$19</x:f>
        <x:v>0</x:v>
      </x:c>
      <x:c r="AR29" s="107" t="n">
        <x:f>AR24*'Вводные'!$B$19</x:f>
        <x:v>0</x:v>
      </x:c>
      <x:c r="AS29" s="107" t="n">
        <x:f>AS24*'Вводные'!$B$19</x:f>
        <x:v>0</x:v>
      </x:c>
      <x:c r="AT29" s="107" t="n">
        <x:f>AT24*'Вводные'!$B$19</x:f>
        <x:v>0</x:v>
      </x:c>
      <x:c r="AU29" s="107" t="n">
        <x:f>AU24*'Вводные'!$B$19</x:f>
        <x:v>0</x:v>
      </x:c>
      <x:c r="AV29" s="107" t="n">
        <x:f>AV24*'Вводные'!$B$19</x:f>
        <x:v>0</x:v>
      </x:c>
      <x:c r="AW29" s="107" t="n">
        <x:f>AW24*'Вводные'!$B$19</x:f>
        <x:v>0</x:v>
      </x:c>
      <x:c r="AX29" s="107" t="n">
        <x:f>AX24*'Вводные'!$B$19</x:f>
        <x:v>0</x:v>
      </x:c>
      <x:c r="AY29" s="107" t="n">
        <x:f>AY24*'Вводные'!$B$19</x:f>
        <x:v>0</x:v>
      </x:c>
      <x:c r="AZ29" s="107" t="n">
        <x:f>AZ24*'Вводные'!$B$19</x:f>
        <x:v>0</x:v>
      </x:c>
      <x:c r="BA29" s="107" t="n">
        <x:f>BA24*'Вводные'!$B$19</x:f>
        <x:v>0</x:v>
      </x:c>
      <x:c r="BB29" s="107" t="n">
        <x:f>BB24*'Вводные'!$B$19</x:f>
        <x:v>0</x:v>
      </x:c>
      <x:c r="BC29" s="107" t="n">
        <x:f>BC24*'Вводные'!$B$19</x:f>
        <x:v>0</x:v>
      </x:c>
      <x:c r="BD29" s="107" t="n">
        <x:f>BD24*'Вводные'!$B$19</x:f>
        <x:v>0</x:v>
      </x:c>
      <x:c r="BE29" s="107" t="n">
        <x:f>BE24*'Вводные'!$B$19</x:f>
        <x:v>0</x:v>
      </x:c>
      <x:c r="BF29" s="107" t="n">
        <x:f>BF24*'Вводные'!$B$19</x:f>
        <x:v>0</x:v>
      </x:c>
      <x:c r="BG29" s="107" t="n">
        <x:f>BG24*'Вводные'!$B$19</x:f>
        <x:v>0</x:v>
      </x:c>
      <x:c r="BH29" s="107" t="n">
        <x:f>BH24*'Вводные'!$B$19</x:f>
        <x:v>0</x:v>
      </x:c>
      <x:c r="BI29" s="107" t="n">
        <x:f>BI24*'Вводные'!$B$19</x:f>
        <x:v>0</x:v>
      </x:c>
      <x:c r="BJ29" s="107" t="n">
        <x:f>BJ24*'Вводные'!$B$19</x:f>
        <x:v>0</x:v>
      </x:c>
      <x:c r="BK29" s="107" t="n">
        <x:f>BK24*'Вводные'!$B$19</x:f>
        <x:v>0</x:v>
      </x:c>
      <x:c r="BL29" s="107" t="n">
        <x:f>BL24*'Вводные'!$B$19</x:f>
        <x:v>0</x:v>
      </x:c>
      <x:c r="BM29" s="107" t="n">
        <x:f>BM24*'Вводные'!$B$19</x:f>
        <x:v>0</x:v>
      </x:c>
      <x:c r="BN29" s="107" t="n">
        <x:f>BN24*'Вводные'!$B$19</x:f>
        <x:v>0</x:v>
      </x:c>
      <x:c r="BO29" s="107" t="n">
        <x:f>BO24*'Вводные'!$B$19</x:f>
        <x:v>0</x:v>
      </x:c>
      <x:c r="BP29" s="107" t="n">
        <x:f>BP24*'Вводные'!$B$19</x:f>
        <x:v>0</x:v>
      </x:c>
      <x:c r="BQ29" s="107" t="n">
        <x:f>BQ24*'Вводные'!$B$19</x:f>
        <x:v>0</x:v>
      </x:c>
      <x:c r="BR29" s="107" t="n">
        <x:f>BR24*'Вводные'!$B$19</x:f>
        <x:v>0</x:v>
      </x:c>
      <x:c r="BS29" s="107" t="n">
        <x:f>BS24*'Вводные'!$B$19</x:f>
        <x:v>0</x:v>
      </x:c>
      <x:c r="BT29" s="107" t="n">
        <x:f>BT24*'Вводные'!$B$19</x:f>
        <x:v>0</x:v>
      </x:c>
      <x:c r="BU29" s="107" t="n">
        <x:f>BU24*'Вводные'!$B$19</x:f>
        <x:v>0</x:v>
      </x:c>
      <x:c r="BV29" s="107" t="n">
        <x:f>BV24*'Вводные'!$B$19</x:f>
        <x:v>0</x:v>
      </x:c>
      <x:c r="BW29" s="107" t="n">
        <x:f>BW24*'Вводные'!$B$19</x:f>
        <x:v>0</x:v>
      </x:c>
      <x:c r="BX29" s="107" t="n">
        <x:f>BX24*'Вводные'!$B$19</x:f>
        <x:v>0</x:v>
      </x:c>
      <x:c r="BY29" s="107" t="n">
        <x:f>BY24*'Вводные'!$B$19</x:f>
        <x:v>0</x:v>
      </x:c>
      <x:c r="BZ29" s="107" t="n">
        <x:f>BZ24*'Вводные'!$B$19</x:f>
        <x:v>0</x:v>
      </x:c>
      <x:c r="CA29" s="107" t="n">
        <x:f>CA24*'Вводные'!$B$19</x:f>
        <x:v>0</x:v>
      </x:c>
      <x:c r="CB29" s="107" t="n">
        <x:f>CB24*'Вводные'!$B$19</x:f>
        <x:v>0</x:v>
      </x:c>
      <x:c r="CC29" s="107" t="n">
        <x:f>CC24*'Вводные'!$B$19</x:f>
        <x:v>0</x:v>
      </x:c>
      <x:c r="CD29" s="107" t="n">
        <x:f>CD24*'Вводные'!$B$19</x:f>
        <x:v>0</x:v>
      </x:c>
      <x:c r="CE29" s="107" t="n">
        <x:f>CE24*'Вводные'!$B$19</x:f>
        <x:v>0</x:v>
      </x:c>
      <x:c r="CF29" s="107" t="n">
        <x:f>CF24*'Вводные'!$B$19</x:f>
        <x:v>0</x:v>
      </x:c>
      <x:c r="CG29" s="107" t="n">
        <x:f>CG24*'Вводные'!$B$19</x:f>
        <x:v>0</x:v>
      </x:c>
      <x:c r="CH29" s="107" t="n">
        <x:f>CH24*'Вводные'!$B$19</x:f>
        <x:v>0</x:v>
      </x:c>
      <x:c r="CI29" s="107" t="n">
        <x:f>CI24*'Вводные'!$B$19</x:f>
        <x:v>0</x:v>
      </x:c>
      <x:c r="CJ29" s="107" t="n">
        <x:f>CJ24*'Вводные'!$B$19</x:f>
        <x:v>0</x:v>
      </x:c>
      <x:c r="CK29" s="107" t="n">
        <x:f>CK24*'Вводные'!$B$19</x:f>
        <x:v>0</x:v>
      </x:c>
      <x:c r="CL29" s="107" t="n">
        <x:f>CL24*'Вводные'!$B$19</x:f>
        <x:v>0</x:v>
      </x:c>
      <x:c r="CM29" s="107" t="n">
        <x:f>CM24*'Вводные'!$B$19</x:f>
        <x:v>0</x:v>
      </x:c>
      <x:c r="CN29" s="107" t="n">
        <x:f>CN24*'Вводные'!$B$19</x:f>
        <x:v>0</x:v>
      </x:c>
      <x:c r="CO29" s="107" t="n">
        <x:f>CO24*'Вводные'!$B$19</x:f>
        <x:v>0</x:v>
      </x:c>
      <x:c r="CP29" s="107" t="n">
        <x:f>CP24*'Вводные'!$B$19</x:f>
        <x:v>0</x:v>
      </x:c>
      <x:c r="CQ29" s="107" t="n">
        <x:f>CQ24*'Вводные'!$B$19</x:f>
        <x:v>0</x:v>
      </x:c>
      <x:c r="CR29" s="107" t="n">
        <x:f>CR24*'Вводные'!$B$19</x:f>
        <x:v>0</x:v>
      </x:c>
      <x:c r="CS29" s="107" t="n">
        <x:f>CS24*'Вводные'!$B$19</x:f>
        <x:v>0</x:v>
      </x:c>
      <x:c r="CT29" s="107" t="n">
        <x:f>CT24*'Вводные'!$B$19</x:f>
        <x:v>0</x:v>
      </x:c>
      <x:c r="CU29" s="107" t="n">
        <x:f>CU24*'Вводные'!$B$19</x:f>
        <x:v>0</x:v>
      </x:c>
      <x:c r="CV29" s="107" t="n">
        <x:f>CV24*'Вводные'!$B$19</x:f>
        <x:v>0</x:v>
      </x:c>
      <x:c r="CW29" s="107" t="n">
        <x:f>CW24*'Вводные'!$B$19</x:f>
        <x:v>0</x:v>
      </x:c>
      <x:c r="CX29" s="107" t="n">
        <x:f>CX24*'Вводные'!$B$19</x:f>
        <x:v>0</x:v>
      </x:c>
      <x:c r="CY29" s="107" t="n">
        <x:f>CY24*'Вводные'!$B$19</x:f>
        <x:v>0</x:v>
      </x:c>
      <x:c r="CZ29" s="107" t="n">
        <x:f>CZ24*'Вводные'!$B$19</x:f>
        <x:v>0</x:v>
      </x:c>
      <x:c r="DA29" s="107" t="n">
        <x:f>DA24*'Вводные'!$B$19</x:f>
        <x:v>0</x:v>
      </x:c>
      <x:c r="DB29" s="107" t="n">
        <x:f>DB24*'Вводные'!$B$19</x:f>
        <x:v>0</x:v>
      </x:c>
      <x:c r="DC29" s="107" t="n">
        <x:f>DC24*'Вводные'!$B$19</x:f>
        <x:v>0</x:v>
      </x:c>
      <x:c r="DD29" s="107" t="n">
        <x:f>DD24*'Вводные'!$B$19</x:f>
        <x:v>0</x:v>
      </x:c>
      <x:c r="DE29" s="107" t="n">
        <x:f>DE24*'Вводные'!$B$19</x:f>
        <x:v>0</x:v>
      </x:c>
      <x:c r="DF29" s="107" t="n">
        <x:f>DF24*'Вводные'!$B$19</x:f>
        <x:v>0</x:v>
      </x:c>
      <x:c r="DG29" s="107" t="n">
        <x:f>DG24*'Вводные'!$B$19</x:f>
        <x:v>0</x:v>
      </x:c>
      <x:c r="DH29" s="107" t="n">
        <x:f>DH24*'Вводные'!$B$19</x:f>
        <x:v>0</x:v>
      </x:c>
      <x:c r="DI29" s="107" t="n">
        <x:f>DI24*'Вводные'!$B$19</x:f>
        <x:v>0</x:v>
      </x:c>
      <x:c r="DJ29" s="107" t="n">
        <x:f>DJ24*'Вводные'!$B$19</x:f>
        <x:v>0</x:v>
      </x:c>
      <x:c r="DK29" s="107" t="n">
        <x:f>DK24*'Вводные'!$B$19</x:f>
        <x:v>0</x:v>
      </x:c>
      <x:c r="DL29" s="107" t="n">
        <x:f>DL24*'Вводные'!$B$19</x:f>
        <x:v>0</x:v>
      </x:c>
      <x:c r="DM29" s="107" t="n">
        <x:f>DM24*'Вводные'!$B$19</x:f>
        <x:v>0</x:v>
      </x:c>
      <x:c r="DN29" s="107" t="n">
        <x:f>DN24*'Вводные'!$B$19</x:f>
        <x:v>0</x:v>
      </x:c>
      <x:c r="DO29" s="107" t="n">
        <x:f>DO24*'Вводные'!$B$19</x:f>
        <x:v>0</x:v>
      </x:c>
      <x:c r="DP29" s="107" t="n">
        <x:f>DP24*'Вводные'!$B$19</x:f>
        <x:v>0</x:v>
      </x:c>
      <x:c r="DQ29" s="107" t="n">
        <x:f>DQ24*'Вводные'!$B$19</x:f>
        <x:v>0</x:v>
      </x:c>
      <x:c r="DR29" s="107" t="n">
        <x:f>DR24*'Вводные'!$B$19</x:f>
        <x:v>0</x:v>
      </x:c>
      <x:c r="DS29" s="107" t="n">
        <x:f>DS24*'Вводные'!$B$19</x:f>
        <x:v>0</x:v>
      </x:c>
    </x:row>
    <x:row r="30">
      <x:c r="A30" t="str">
        <x:v>Расходы на продажи</x:v>
      </x:c>
      <x:c r="B30" s="107" t="n">
        <x:f>SUM(D30:DS30)</x:f>
        <x:v>0</x:v>
      </x:c>
      <x:c r="C30" t="str">
        <x:v>млн ₽</x:v>
      </x:c>
      <x:c r="D30" s="107" t="n">
        <x:f>D24*'Вводные'!$B$20</x:f>
        <x:v>0</x:v>
      </x:c>
      <x:c r="E30" s="107" t="n">
        <x:f>E24*'Вводные'!$B$20</x:f>
        <x:v>0</x:v>
      </x:c>
      <x:c r="F30" s="107" t="n">
        <x:f>F24*'Вводные'!$B$20</x:f>
        <x:v>0</x:v>
      </x:c>
      <x:c r="G30" s="107" t="n">
        <x:f>G24*'Вводные'!$B$20</x:f>
        <x:v>0</x:v>
      </x:c>
      <x:c r="H30" s="107" t="n">
        <x:f>H24*'Вводные'!$B$20</x:f>
        <x:v>0</x:v>
      </x:c>
      <x:c r="I30" s="107" t="n">
        <x:f>I24*'Вводные'!$B$20</x:f>
        <x:v>0</x:v>
      </x:c>
      <x:c r="J30" s="107" t="n">
        <x:f>J24*'Вводные'!$B$20</x:f>
        <x:v>0</x:v>
      </x:c>
      <x:c r="K30" s="107" t="n">
        <x:f>K24*'Вводные'!$B$20</x:f>
        <x:v>0</x:v>
      </x:c>
      <x:c r="L30" s="107" t="n">
        <x:f>L24*'Вводные'!$B$20</x:f>
        <x:v>0</x:v>
      </x:c>
      <x:c r="M30" s="107" t="n">
        <x:f>M24*'Вводные'!$B$20</x:f>
        <x:v>0</x:v>
      </x:c>
      <x:c r="N30" s="107" t="n">
        <x:f>N24*'Вводные'!$B$20</x:f>
        <x:v>0</x:v>
      </x:c>
      <x:c r="O30" s="107" t="n">
        <x:f>O24*'Вводные'!$B$20</x:f>
        <x:v>0</x:v>
      </x:c>
      <x:c r="P30" s="107" t="n">
        <x:f>P24*'Вводные'!$B$20</x:f>
        <x:v>0</x:v>
      </x:c>
      <x:c r="Q30" s="107" t="n">
        <x:f>Q24*'Вводные'!$B$20</x:f>
        <x:v>0</x:v>
      </x:c>
      <x:c r="R30" s="107" t="n">
        <x:f>R24*'Вводные'!$B$20</x:f>
        <x:v>0</x:v>
      </x:c>
      <x:c r="S30" s="107" t="n">
        <x:f>S24*'Вводные'!$B$20</x:f>
        <x:v>0</x:v>
      </x:c>
      <x:c r="T30" s="107" t="n">
        <x:f>T24*'Вводные'!$B$20</x:f>
        <x:v>0</x:v>
      </x:c>
      <x:c r="U30" s="107" t="n">
        <x:f>U24*'Вводные'!$B$20</x:f>
        <x:v>0</x:v>
      </x:c>
      <x:c r="V30" s="107" t="n">
        <x:f>V24*'Вводные'!$B$20</x:f>
        <x:v>0</x:v>
      </x:c>
      <x:c r="W30" s="107" t="n">
        <x:f>W24*'Вводные'!$B$20</x:f>
        <x:v>0</x:v>
      </x:c>
      <x:c r="X30" s="107" t="n">
        <x:f>X24*'Вводные'!$B$20</x:f>
        <x:v>0</x:v>
      </x:c>
      <x:c r="Y30" s="107" t="n">
        <x:f>Y24*'Вводные'!$B$20</x:f>
        <x:v>0</x:v>
      </x:c>
      <x:c r="Z30" s="107" t="n">
        <x:f>Z24*'Вводные'!$B$20</x:f>
        <x:v>0</x:v>
      </x:c>
      <x:c r="AA30" s="107" t="n">
        <x:f>AA24*'Вводные'!$B$20</x:f>
        <x:v>0</x:v>
      </x:c>
      <x:c r="AB30" s="107" t="n">
        <x:f>AB24*'Вводные'!$B$20</x:f>
        <x:v>0</x:v>
      </x:c>
      <x:c r="AC30" s="107" t="n">
        <x:f>AC24*'Вводные'!$B$20</x:f>
        <x:v>0</x:v>
      </x:c>
      <x:c r="AD30" s="107" t="n">
        <x:f>AD24*'Вводные'!$B$20</x:f>
        <x:v>0</x:v>
      </x:c>
      <x:c r="AE30" s="107" t="n">
        <x:f>AE24*'Вводные'!$B$20</x:f>
        <x:v>0</x:v>
      </x:c>
      <x:c r="AF30" s="107" t="n">
        <x:f>AF24*'Вводные'!$B$20</x:f>
        <x:v>0</x:v>
      </x:c>
      <x:c r="AG30" s="107" t="n">
        <x:f>AG24*'Вводные'!$B$20</x:f>
        <x:v>0</x:v>
      </x:c>
      <x:c r="AH30" s="107" t="n">
        <x:f>AH24*'Вводные'!$B$20</x:f>
        <x:v>0</x:v>
      </x:c>
      <x:c r="AI30" s="107" t="n">
        <x:f>AI24*'Вводные'!$B$20</x:f>
        <x:v>0</x:v>
      </x:c>
      <x:c r="AJ30" s="107" t="n">
        <x:f>AJ24*'Вводные'!$B$20</x:f>
        <x:v>0</x:v>
      </x:c>
      <x:c r="AK30" s="107" t="n">
        <x:f>AK24*'Вводные'!$B$20</x:f>
        <x:v>0</x:v>
      </x:c>
      <x:c r="AL30" s="107" t="n">
        <x:f>AL24*'Вводные'!$B$20</x:f>
        <x:v>0</x:v>
      </x:c>
      <x:c r="AM30" s="107" t="n">
        <x:f>AM24*'Вводные'!$B$20</x:f>
        <x:v>0</x:v>
      </x:c>
      <x:c r="AN30" s="107" t="n">
        <x:f>AN24*'Вводные'!$B$20</x:f>
        <x:v>0</x:v>
      </x:c>
      <x:c r="AO30" s="107" t="n">
        <x:f>AO24*'Вводные'!$B$20</x:f>
        <x:v>0</x:v>
      </x:c>
      <x:c r="AP30" s="107" t="n">
        <x:f>AP24*'Вводные'!$B$20</x:f>
        <x:v>0</x:v>
      </x:c>
      <x:c r="AQ30" s="107" t="n">
        <x:f>AQ24*'Вводные'!$B$20</x:f>
        <x:v>0</x:v>
      </x:c>
      <x:c r="AR30" s="107" t="n">
        <x:f>AR24*'Вводные'!$B$20</x:f>
        <x:v>0</x:v>
      </x:c>
      <x:c r="AS30" s="107" t="n">
        <x:f>AS24*'Вводные'!$B$20</x:f>
        <x:v>0</x:v>
      </x:c>
      <x:c r="AT30" s="107" t="n">
        <x:f>AT24*'Вводные'!$B$20</x:f>
        <x:v>0</x:v>
      </x:c>
      <x:c r="AU30" s="107" t="n">
        <x:f>AU24*'Вводные'!$B$20</x:f>
        <x:v>0</x:v>
      </x:c>
      <x:c r="AV30" s="107" t="n">
        <x:f>AV24*'Вводные'!$B$20</x:f>
        <x:v>0</x:v>
      </x:c>
      <x:c r="AW30" s="107" t="n">
        <x:f>AW24*'Вводные'!$B$20</x:f>
        <x:v>0</x:v>
      </x:c>
      <x:c r="AX30" s="107" t="n">
        <x:f>AX24*'Вводные'!$B$20</x:f>
        <x:v>0</x:v>
      </x:c>
      <x:c r="AY30" s="107" t="n">
        <x:f>AY24*'Вводные'!$B$20</x:f>
        <x:v>0</x:v>
      </x:c>
      <x:c r="AZ30" s="107" t="n">
        <x:f>AZ24*'Вводные'!$B$20</x:f>
        <x:v>0</x:v>
      </x:c>
      <x:c r="BA30" s="107" t="n">
        <x:f>BA24*'Вводные'!$B$20</x:f>
        <x:v>0</x:v>
      </x:c>
      <x:c r="BB30" s="107" t="n">
        <x:f>BB24*'Вводные'!$B$20</x:f>
        <x:v>0</x:v>
      </x:c>
      <x:c r="BC30" s="107" t="n">
        <x:f>BC24*'Вводные'!$B$20</x:f>
        <x:v>0</x:v>
      </x:c>
      <x:c r="BD30" s="107" t="n">
        <x:f>BD24*'Вводные'!$B$20</x:f>
        <x:v>0</x:v>
      </x:c>
      <x:c r="BE30" s="107" t="n">
        <x:f>BE24*'Вводные'!$B$20</x:f>
        <x:v>0</x:v>
      </x:c>
      <x:c r="BF30" s="107" t="n">
        <x:f>BF24*'Вводные'!$B$20</x:f>
        <x:v>0</x:v>
      </x:c>
      <x:c r="BG30" s="107" t="n">
        <x:f>BG24*'Вводные'!$B$20</x:f>
        <x:v>0</x:v>
      </x:c>
      <x:c r="BH30" s="107" t="n">
        <x:f>BH24*'Вводные'!$B$20</x:f>
        <x:v>0</x:v>
      </x:c>
      <x:c r="BI30" s="107" t="n">
        <x:f>BI24*'Вводные'!$B$20</x:f>
        <x:v>0</x:v>
      </x:c>
      <x:c r="BJ30" s="107" t="n">
        <x:f>BJ24*'Вводные'!$B$20</x:f>
        <x:v>0</x:v>
      </x:c>
      <x:c r="BK30" s="107" t="n">
        <x:f>BK24*'Вводные'!$B$20</x:f>
        <x:v>0</x:v>
      </x:c>
      <x:c r="BL30" s="107" t="n">
        <x:f>BL24*'Вводные'!$B$20</x:f>
        <x:v>0</x:v>
      </x:c>
      <x:c r="BM30" s="107" t="n">
        <x:f>BM24*'Вводные'!$B$20</x:f>
        <x:v>0</x:v>
      </x:c>
      <x:c r="BN30" s="107" t="n">
        <x:f>BN24*'Вводные'!$B$20</x:f>
        <x:v>0</x:v>
      </x:c>
      <x:c r="BO30" s="107" t="n">
        <x:f>BO24*'Вводные'!$B$20</x:f>
        <x:v>0</x:v>
      </x:c>
      <x:c r="BP30" s="107" t="n">
        <x:f>BP24*'Вводные'!$B$20</x:f>
        <x:v>0</x:v>
      </x:c>
      <x:c r="BQ30" s="107" t="n">
        <x:f>BQ24*'Вводные'!$B$20</x:f>
        <x:v>0</x:v>
      </x:c>
      <x:c r="BR30" s="107" t="n">
        <x:f>BR24*'Вводные'!$B$20</x:f>
        <x:v>0</x:v>
      </x:c>
      <x:c r="BS30" s="107" t="n">
        <x:f>BS24*'Вводные'!$B$20</x:f>
        <x:v>0</x:v>
      </x:c>
      <x:c r="BT30" s="107" t="n">
        <x:f>BT24*'Вводные'!$B$20</x:f>
        <x:v>0</x:v>
      </x:c>
      <x:c r="BU30" s="107" t="n">
        <x:f>BU24*'Вводные'!$B$20</x:f>
        <x:v>0</x:v>
      </x:c>
      <x:c r="BV30" s="107" t="n">
        <x:f>BV24*'Вводные'!$B$20</x:f>
        <x:v>0</x:v>
      </x:c>
      <x:c r="BW30" s="107" t="n">
        <x:f>BW24*'Вводные'!$B$20</x:f>
        <x:v>0</x:v>
      </x:c>
      <x:c r="BX30" s="107" t="n">
        <x:f>BX24*'Вводные'!$B$20</x:f>
        <x:v>0</x:v>
      </x:c>
      <x:c r="BY30" s="107" t="n">
        <x:f>BY24*'Вводные'!$B$20</x:f>
        <x:v>0</x:v>
      </x:c>
      <x:c r="BZ30" s="107" t="n">
        <x:f>BZ24*'Вводные'!$B$20</x:f>
        <x:v>0</x:v>
      </x:c>
      <x:c r="CA30" s="107" t="n">
        <x:f>CA24*'Вводные'!$B$20</x:f>
        <x:v>0</x:v>
      </x:c>
      <x:c r="CB30" s="107" t="n">
        <x:f>CB24*'Вводные'!$B$20</x:f>
        <x:v>0</x:v>
      </x:c>
      <x:c r="CC30" s="107" t="n">
        <x:f>CC24*'Вводные'!$B$20</x:f>
        <x:v>0</x:v>
      </x:c>
      <x:c r="CD30" s="107" t="n">
        <x:f>CD24*'Вводные'!$B$20</x:f>
        <x:v>0</x:v>
      </x:c>
      <x:c r="CE30" s="107" t="n">
        <x:f>CE24*'Вводные'!$B$20</x:f>
        <x:v>0</x:v>
      </x:c>
      <x:c r="CF30" s="107" t="n">
        <x:f>CF24*'Вводные'!$B$20</x:f>
        <x:v>0</x:v>
      </x:c>
      <x:c r="CG30" s="107" t="n">
        <x:f>CG24*'Вводные'!$B$20</x:f>
        <x:v>0</x:v>
      </x:c>
      <x:c r="CH30" s="107" t="n">
        <x:f>CH24*'Вводные'!$B$20</x:f>
        <x:v>0</x:v>
      </x:c>
      <x:c r="CI30" s="107" t="n">
        <x:f>CI24*'Вводные'!$B$20</x:f>
        <x:v>0</x:v>
      </x:c>
      <x:c r="CJ30" s="107" t="n">
        <x:f>CJ24*'Вводные'!$B$20</x:f>
        <x:v>0</x:v>
      </x:c>
      <x:c r="CK30" s="107" t="n">
        <x:f>CK24*'Вводные'!$B$20</x:f>
        <x:v>0</x:v>
      </x:c>
      <x:c r="CL30" s="107" t="n">
        <x:f>CL24*'Вводные'!$B$20</x:f>
        <x:v>0</x:v>
      </x:c>
      <x:c r="CM30" s="107" t="n">
        <x:f>CM24*'Вводные'!$B$20</x:f>
        <x:v>0</x:v>
      </x:c>
      <x:c r="CN30" s="107" t="n">
        <x:f>CN24*'Вводные'!$B$20</x:f>
        <x:v>0</x:v>
      </x:c>
      <x:c r="CO30" s="107" t="n">
        <x:f>CO24*'Вводные'!$B$20</x:f>
        <x:v>0</x:v>
      </x:c>
      <x:c r="CP30" s="107" t="n">
        <x:f>CP24*'Вводные'!$B$20</x:f>
        <x:v>0</x:v>
      </x:c>
      <x:c r="CQ30" s="107" t="n">
        <x:f>CQ24*'Вводные'!$B$20</x:f>
        <x:v>0</x:v>
      </x:c>
      <x:c r="CR30" s="107" t="n">
        <x:f>CR24*'Вводные'!$B$20</x:f>
        <x:v>0</x:v>
      </x:c>
      <x:c r="CS30" s="107" t="n">
        <x:f>CS24*'Вводные'!$B$20</x:f>
        <x:v>0</x:v>
      </x:c>
      <x:c r="CT30" s="107" t="n">
        <x:f>CT24*'Вводные'!$B$20</x:f>
        <x:v>0</x:v>
      </x:c>
      <x:c r="CU30" s="107" t="n">
        <x:f>CU24*'Вводные'!$B$20</x:f>
        <x:v>0</x:v>
      </x:c>
      <x:c r="CV30" s="107" t="n">
        <x:f>CV24*'Вводные'!$B$20</x:f>
        <x:v>0</x:v>
      </x:c>
      <x:c r="CW30" s="107" t="n">
        <x:f>CW24*'Вводные'!$B$20</x:f>
        <x:v>0</x:v>
      </x:c>
      <x:c r="CX30" s="107" t="n">
        <x:f>CX24*'Вводные'!$B$20</x:f>
        <x:v>0</x:v>
      </x:c>
      <x:c r="CY30" s="107" t="n">
        <x:f>CY24*'Вводные'!$B$20</x:f>
        <x:v>0</x:v>
      </x:c>
      <x:c r="CZ30" s="107" t="n">
        <x:f>CZ24*'Вводные'!$B$20</x:f>
        <x:v>0</x:v>
      </x:c>
      <x:c r="DA30" s="107" t="n">
        <x:f>DA24*'Вводные'!$B$20</x:f>
        <x:v>0</x:v>
      </x:c>
      <x:c r="DB30" s="107" t="n">
        <x:f>DB24*'Вводные'!$B$20</x:f>
        <x:v>0</x:v>
      </x:c>
      <x:c r="DC30" s="107" t="n">
        <x:f>DC24*'Вводные'!$B$20</x:f>
        <x:v>0</x:v>
      </x:c>
      <x:c r="DD30" s="107" t="n">
        <x:f>DD24*'Вводные'!$B$20</x:f>
        <x:v>0</x:v>
      </x:c>
      <x:c r="DE30" s="107" t="n">
        <x:f>DE24*'Вводные'!$B$20</x:f>
        <x:v>0</x:v>
      </x:c>
      <x:c r="DF30" s="107" t="n">
        <x:f>DF24*'Вводные'!$B$20</x:f>
        <x:v>0</x:v>
      </x:c>
      <x:c r="DG30" s="107" t="n">
        <x:f>DG24*'Вводные'!$B$20</x:f>
        <x:v>0</x:v>
      </x:c>
      <x:c r="DH30" s="107" t="n">
        <x:f>DH24*'Вводные'!$B$20</x:f>
        <x:v>0</x:v>
      </x:c>
      <x:c r="DI30" s="107" t="n">
        <x:f>DI24*'Вводные'!$B$20</x:f>
        <x:v>0</x:v>
      </x:c>
      <x:c r="DJ30" s="107" t="n">
        <x:f>DJ24*'Вводные'!$B$20</x:f>
        <x:v>0</x:v>
      </x:c>
      <x:c r="DK30" s="107" t="n">
        <x:f>DK24*'Вводные'!$B$20</x:f>
        <x:v>0</x:v>
      </x:c>
      <x:c r="DL30" s="107" t="n">
        <x:f>DL24*'Вводные'!$B$20</x:f>
        <x:v>0</x:v>
      </x:c>
      <x:c r="DM30" s="107" t="n">
        <x:f>DM24*'Вводные'!$B$20</x:f>
        <x:v>0</x:v>
      </x:c>
      <x:c r="DN30" s="107" t="n">
        <x:f>DN24*'Вводные'!$B$20</x:f>
        <x:v>0</x:v>
      </x:c>
      <x:c r="DO30" s="107" t="n">
        <x:f>DO24*'Вводные'!$B$20</x:f>
        <x:v>0</x:v>
      </x:c>
      <x:c r="DP30" s="107" t="n">
        <x:f>DP24*'Вводные'!$B$20</x:f>
        <x:v>0</x:v>
      </x:c>
      <x:c r="DQ30" s="107" t="n">
        <x:f>DQ24*'Вводные'!$B$20</x:f>
        <x:v>0</x:v>
      </x:c>
      <x:c r="DR30" s="107" t="n">
        <x:f>DR24*'Вводные'!$B$20</x:f>
        <x:v>0</x:v>
      </x:c>
      <x:c r="DS30" s="107" t="n">
        <x:f>DS24*'Вводные'!$B$20</x:f>
        <x:v>0</x:v>
      </x:c>
    </x:row>
    <x:row r="31">
      <x:c r="A31" s="348" t="str">
        <x:v>Расходы объекта всего</x:v>
      </x:c>
      <x:c r="B31" s="348" t="n">
        <x:f>SUM(D31:DS31)</x:f>
        <x:v>0</x:v>
      </x:c>
      <x:c r="C31" s="348" t="str">
        <x:v>млн ₽</x:v>
      </x:c>
      <x:c r="D31" s="348" t="n">
        <x:f>SUM(D28:D30)</x:f>
        <x:v>0</x:v>
      </x:c>
      <x:c r="E31" s="348" t="n">
        <x:f>SUM(E28:E30)</x:f>
        <x:v>0</x:v>
      </x:c>
      <x:c r="F31" s="348" t="n">
        <x:f>SUM(F28:F30)</x:f>
        <x:v>0</x:v>
      </x:c>
      <x:c r="G31" s="348" t="n">
        <x:f>SUM(G28:G30)</x:f>
        <x:v>0</x:v>
      </x:c>
      <x:c r="H31" s="348" t="n">
        <x:f>SUM(H28:H30)</x:f>
        <x:v>0</x:v>
      </x:c>
      <x:c r="I31" s="348" t="n">
        <x:f>SUM(I28:I30)</x:f>
        <x:v>0</x:v>
      </x:c>
      <x:c r="J31" s="348" t="n">
        <x:f>SUM(J28:J30)</x:f>
        <x:v>0</x:v>
      </x:c>
      <x:c r="K31" s="348" t="n">
        <x:f>SUM(K28:K30)</x:f>
        <x:v>0</x:v>
      </x:c>
      <x:c r="L31" s="348" t="n">
        <x:f>SUM(L28:L30)</x:f>
        <x:v>0</x:v>
      </x:c>
      <x:c r="M31" s="348" t="n">
        <x:f>SUM(M28:M30)</x:f>
        <x:v>0</x:v>
      </x:c>
      <x:c r="N31" s="348" t="n">
        <x:f>SUM(N28:N30)</x:f>
        <x:v>0</x:v>
      </x:c>
      <x:c r="O31" s="348" t="n">
        <x:f>SUM(O28:O30)</x:f>
        <x:v>0</x:v>
      </x:c>
      <x:c r="P31" s="348" t="n">
        <x:f>SUM(P28:P30)</x:f>
        <x:v>0</x:v>
      </x:c>
      <x:c r="Q31" s="348" t="n">
        <x:f>SUM(Q28:Q30)</x:f>
        <x:v>0</x:v>
      </x:c>
      <x:c r="R31" s="348" t="n">
        <x:f>SUM(R28:R30)</x:f>
        <x:v>0</x:v>
      </x:c>
      <x:c r="S31" s="348" t="n">
        <x:f>SUM(S28:S30)</x:f>
        <x:v>0</x:v>
      </x:c>
      <x:c r="T31" s="348" t="n">
        <x:f>SUM(T28:T30)</x:f>
        <x:v>0</x:v>
      </x:c>
      <x:c r="U31" s="348" t="n">
        <x:f>SUM(U28:U30)</x:f>
        <x:v>0</x:v>
      </x:c>
      <x:c r="V31" s="348" t="n">
        <x:f>SUM(V28:V30)</x:f>
        <x:v>0</x:v>
      </x:c>
      <x:c r="W31" s="348" t="n">
        <x:f>SUM(W28:W30)</x:f>
        <x:v>0</x:v>
      </x:c>
      <x:c r="X31" s="348" t="n">
        <x:f>SUM(X28:X30)</x:f>
        <x:v>0</x:v>
      </x:c>
      <x:c r="Y31" s="348" t="n">
        <x:f>SUM(Y28:Y30)</x:f>
        <x:v>0</x:v>
      </x:c>
      <x:c r="Z31" s="348" t="n">
        <x:f>SUM(Z28:Z30)</x:f>
        <x:v>0</x:v>
      </x:c>
      <x:c r="AA31" s="348" t="n">
        <x:f>SUM(AA28:AA30)</x:f>
        <x:v>0</x:v>
      </x:c>
      <x:c r="AB31" s="348" t="n">
        <x:f>SUM(AB28:AB30)</x:f>
        <x:v>0</x:v>
      </x:c>
      <x:c r="AC31" s="348" t="n">
        <x:f>SUM(AC28:AC30)</x:f>
        <x:v>0</x:v>
      </x:c>
      <x:c r="AD31" s="348" t="n">
        <x:f>SUM(AD28:AD30)</x:f>
        <x:v>0</x:v>
      </x:c>
      <x:c r="AE31" s="348" t="n">
        <x:f>SUM(AE28:AE30)</x:f>
        <x:v>0</x:v>
      </x:c>
      <x:c r="AF31" s="348" t="n">
        <x:f>SUM(AF28:AF30)</x:f>
        <x:v>0</x:v>
      </x:c>
      <x:c r="AG31" s="348" t="n">
        <x:f>SUM(AG28:AG30)</x:f>
        <x:v>0</x:v>
      </x:c>
      <x:c r="AH31" s="348" t="n">
        <x:f>SUM(AH28:AH30)</x:f>
        <x:v>0</x:v>
      </x:c>
      <x:c r="AI31" s="348" t="n">
        <x:f>SUM(AI28:AI30)</x:f>
        <x:v>0</x:v>
      </x:c>
      <x:c r="AJ31" s="348" t="n">
        <x:f>SUM(AJ28:AJ30)</x:f>
        <x:v>0</x:v>
      </x:c>
      <x:c r="AK31" s="348" t="n">
        <x:f>SUM(AK28:AK30)</x:f>
        <x:v>0</x:v>
      </x:c>
      <x:c r="AL31" s="348" t="n">
        <x:f>SUM(AL28:AL30)</x:f>
        <x:v>0</x:v>
      </x:c>
      <x:c r="AM31" s="348" t="n">
        <x:f>SUM(AM28:AM30)</x:f>
        <x:v>0</x:v>
      </x:c>
      <x:c r="AN31" s="348" t="n">
        <x:f>SUM(AN28:AN30)</x:f>
        <x:v>0</x:v>
      </x:c>
      <x:c r="AO31" s="348" t="n">
        <x:f>SUM(AO28:AO30)</x:f>
        <x:v>0</x:v>
      </x:c>
      <x:c r="AP31" s="348" t="n">
        <x:f>SUM(AP28:AP30)</x:f>
        <x:v>0</x:v>
      </x:c>
      <x:c r="AQ31" s="348" t="n">
        <x:f>SUM(AQ28:AQ30)</x:f>
        <x:v>0</x:v>
      </x:c>
      <x:c r="AR31" s="348" t="n">
        <x:f>SUM(AR28:AR30)</x:f>
        <x:v>0</x:v>
      </x:c>
      <x:c r="AS31" s="348" t="n">
        <x:f>SUM(AS28:AS30)</x:f>
        <x:v>0</x:v>
      </x:c>
      <x:c r="AT31" s="348" t="n">
        <x:f>SUM(AT28:AT30)</x:f>
        <x:v>0</x:v>
      </x:c>
      <x:c r="AU31" s="348" t="n">
        <x:f>SUM(AU28:AU30)</x:f>
        <x:v>0</x:v>
      </x:c>
      <x:c r="AV31" s="348" t="n">
        <x:f>SUM(AV28:AV30)</x:f>
        <x:v>0</x:v>
      </x:c>
      <x:c r="AW31" s="348" t="n">
        <x:f>SUM(AW28:AW30)</x:f>
        <x:v>0</x:v>
      </x:c>
      <x:c r="AX31" s="348" t="n">
        <x:f>SUM(AX28:AX30)</x:f>
        <x:v>0</x:v>
      </x:c>
      <x:c r="AY31" s="348" t="n">
        <x:f>SUM(AY28:AY30)</x:f>
        <x:v>0</x:v>
      </x:c>
      <x:c r="AZ31" s="348" t="n">
        <x:f>SUM(AZ28:AZ30)</x:f>
        <x:v>0</x:v>
      </x:c>
      <x:c r="BA31" s="348" t="n">
        <x:f>SUM(BA28:BA30)</x:f>
        <x:v>0</x:v>
      </x:c>
      <x:c r="BB31" s="348" t="n">
        <x:f>SUM(BB28:BB30)</x:f>
        <x:v>0</x:v>
      </x:c>
      <x:c r="BC31" s="348" t="n">
        <x:f>SUM(BC28:BC30)</x:f>
        <x:v>0</x:v>
      </x:c>
      <x:c r="BD31" s="348" t="n">
        <x:f>SUM(BD28:BD30)</x:f>
        <x:v>0</x:v>
      </x:c>
      <x:c r="BE31" s="348" t="n">
        <x:f>SUM(BE28:BE30)</x:f>
        <x:v>0</x:v>
      </x:c>
      <x:c r="BF31" s="348" t="n">
        <x:f>SUM(BF28:BF30)</x:f>
        <x:v>0</x:v>
      </x:c>
      <x:c r="BG31" s="348" t="n">
        <x:f>SUM(BG28:BG30)</x:f>
        <x:v>0</x:v>
      </x:c>
      <x:c r="BH31" s="348" t="n">
        <x:f>SUM(BH28:BH30)</x:f>
        <x:v>0</x:v>
      </x:c>
      <x:c r="BI31" s="348" t="n">
        <x:f>SUM(BI28:BI30)</x:f>
        <x:v>0</x:v>
      </x:c>
      <x:c r="BJ31" s="348" t="n">
        <x:f>SUM(BJ28:BJ30)</x:f>
        <x:v>0</x:v>
      </x:c>
      <x:c r="BK31" s="348" t="n">
        <x:f>SUM(BK28:BK30)</x:f>
        <x:v>0</x:v>
      </x:c>
      <x:c r="BL31" s="348" t="n">
        <x:f>SUM(BL28:BL30)</x:f>
        <x:v>0</x:v>
      </x:c>
      <x:c r="BM31" s="348" t="n">
        <x:f>SUM(BM28:BM30)</x:f>
        <x:v>0</x:v>
      </x:c>
      <x:c r="BN31" s="348" t="n">
        <x:f>SUM(BN28:BN30)</x:f>
        <x:v>0</x:v>
      </x:c>
      <x:c r="BO31" s="348" t="n">
        <x:f>SUM(BO28:BO30)</x:f>
        <x:v>0</x:v>
      </x:c>
      <x:c r="BP31" s="348" t="n">
        <x:f>SUM(BP28:BP30)</x:f>
        <x:v>0</x:v>
      </x:c>
      <x:c r="BQ31" s="348" t="n">
        <x:f>SUM(BQ28:BQ30)</x:f>
        <x:v>0</x:v>
      </x:c>
      <x:c r="BR31" s="348" t="n">
        <x:f>SUM(BR28:BR30)</x:f>
        <x:v>0</x:v>
      </x:c>
      <x:c r="BS31" s="348" t="n">
        <x:f>SUM(BS28:BS30)</x:f>
        <x:v>0</x:v>
      </x:c>
      <x:c r="BT31" s="348" t="n">
        <x:f>SUM(BT28:BT30)</x:f>
        <x:v>0</x:v>
      </x:c>
      <x:c r="BU31" s="348" t="n">
        <x:f>SUM(BU28:BU30)</x:f>
        <x:v>0</x:v>
      </x:c>
      <x:c r="BV31" s="348" t="n">
        <x:f>SUM(BV28:BV30)</x:f>
        <x:v>0</x:v>
      </x:c>
      <x:c r="BW31" s="348" t="n">
        <x:f>SUM(BW28:BW30)</x:f>
        <x:v>0</x:v>
      </x:c>
      <x:c r="BX31" s="348" t="n">
        <x:f>SUM(BX28:BX30)</x:f>
        <x:v>0</x:v>
      </x:c>
      <x:c r="BY31" s="348" t="n">
        <x:f>SUM(BY28:BY30)</x:f>
        <x:v>0</x:v>
      </x:c>
      <x:c r="BZ31" s="348" t="n">
        <x:f>SUM(BZ28:BZ30)</x:f>
        <x:v>0</x:v>
      </x:c>
      <x:c r="CA31" s="348" t="n">
        <x:f>SUM(CA28:CA30)</x:f>
        <x:v>0</x:v>
      </x:c>
      <x:c r="CB31" s="348" t="n">
        <x:f>SUM(CB28:CB30)</x:f>
        <x:v>0</x:v>
      </x:c>
      <x:c r="CC31" s="348" t="n">
        <x:f>SUM(CC28:CC30)</x:f>
        <x:v>0</x:v>
      </x:c>
      <x:c r="CD31" s="348" t="n">
        <x:f>SUM(CD28:CD30)</x:f>
        <x:v>0</x:v>
      </x:c>
      <x:c r="CE31" s="348" t="n">
        <x:f>SUM(CE28:CE30)</x:f>
        <x:v>0</x:v>
      </x:c>
      <x:c r="CF31" s="348" t="n">
        <x:f>SUM(CF28:CF30)</x:f>
        <x:v>0</x:v>
      </x:c>
      <x:c r="CG31" s="348" t="n">
        <x:f>SUM(CG28:CG30)</x:f>
        <x:v>0</x:v>
      </x:c>
      <x:c r="CH31" s="348" t="n">
        <x:f>SUM(CH28:CH30)</x:f>
        <x:v>0</x:v>
      </x:c>
      <x:c r="CI31" s="348" t="n">
        <x:f>SUM(CI28:CI30)</x:f>
        <x:v>0</x:v>
      </x:c>
      <x:c r="CJ31" s="348" t="n">
        <x:f>SUM(CJ28:CJ30)</x:f>
        <x:v>0</x:v>
      </x:c>
      <x:c r="CK31" s="348" t="n">
        <x:f>SUM(CK28:CK30)</x:f>
        <x:v>0</x:v>
      </x:c>
      <x:c r="CL31" s="348" t="n">
        <x:f>SUM(CL28:CL30)</x:f>
        <x:v>0</x:v>
      </x:c>
      <x:c r="CM31" s="348" t="n">
        <x:f>SUM(CM28:CM30)</x:f>
        <x:v>0</x:v>
      </x:c>
      <x:c r="CN31" s="348" t="n">
        <x:f>SUM(CN28:CN30)</x:f>
        <x:v>0</x:v>
      </x:c>
      <x:c r="CO31" s="348" t="n">
        <x:f>SUM(CO28:CO30)</x:f>
        <x:v>0</x:v>
      </x:c>
      <x:c r="CP31" s="348" t="n">
        <x:f>SUM(CP28:CP30)</x:f>
        <x:v>0</x:v>
      </x:c>
      <x:c r="CQ31" s="348" t="n">
        <x:f>SUM(CQ28:CQ30)</x:f>
        <x:v>0</x:v>
      </x:c>
      <x:c r="CR31" s="348" t="n">
        <x:f>SUM(CR28:CR30)</x:f>
        <x:v>0</x:v>
      </x:c>
      <x:c r="CS31" s="348" t="n">
        <x:f>SUM(CS28:CS30)</x:f>
        <x:v>0</x:v>
      </x:c>
      <x:c r="CT31" s="348" t="n">
        <x:f>SUM(CT28:CT30)</x:f>
        <x:v>0</x:v>
      </x:c>
      <x:c r="CU31" s="348" t="n">
        <x:f>SUM(CU28:CU30)</x:f>
        <x:v>0</x:v>
      </x:c>
      <x:c r="CV31" s="348" t="n">
        <x:f>SUM(CV28:CV30)</x:f>
        <x:v>0</x:v>
      </x:c>
      <x:c r="CW31" s="348" t="n">
        <x:f>SUM(CW28:CW30)</x:f>
        <x:v>0</x:v>
      </x:c>
      <x:c r="CX31" s="348" t="n">
        <x:f>SUM(CX28:CX30)</x:f>
        <x:v>0</x:v>
      </x:c>
      <x:c r="CY31" s="348" t="n">
        <x:f>SUM(CY28:CY30)</x:f>
        <x:v>0</x:v>
      </x:c>
      <x:c r="CZ31" s="348" t="n">
        <x:f>SUM(CZ28:CZ30)</x:f>
        <x:v>0</x:v>
      </x:c>
      <x:c r="DA31" s="348" t="n">
        <x:f>SUM(DA28:DA30)</x:f>
        <x:v>0</x:v>
      </x:c>
      <x:c r="DB31" s="348" t="n">
        <x:f>SUM(DB28:DB30)</x:f>
        <x:v>0</x:v>
      </x:c>
      <x:c r="DC31" s="348" t="n">
        <x:f>SUM(DC28:DC30)</x:f>
        <x:v>0</x:v>
      </x:c>
      <x:c r="DD31" s="348" t="n">
        <x:f>SUM(DD28:DD30)</x:f>
        <x:v>0</x:v>
      </x:c>
      <x:c r="DE31" s="348" t="n">
        <x:f>SUM(DE28:DE30)</x:f>
        <x:v>0</x:v>
      </x:c>
      <x:c r="DF31" s="348" t="n">
        <x:f>SUM(DF28:DF30)</x:f>
        <x:v>0</x:v>
      </x:c>
      <x:c r="DG31" s="348" t="n">
        <x:f>SUM(DG28:DG30)</x:f>
        <x:v>0</x:v>
      </x:c>
      <x:c r="DH31" s="348" t="n">
        <x:f>SUM(DH28:DH30)</x:f>
        <x:v>0</x:v>
      </x:c>
      <x:c r="DI31" s="348" t="n">
        <x:f>SUM(DI28:DI30)</x:f>
        <x:v>0</x:v>
      </x:c>
      <x:c r="DJ31" s="348" t="n">
        <x:f>SUM(DJ28:DJ30)</x:f>
        <x:v>0</x:v>
      </x:c>
      <x:c r="DK31" s="348" t="n">
        <x:f>SUM(DK28:DK30)</x:f>
        <x:v>0</x:v>
      </x:c>
      <x:c r="DL31" s="348" t="n">
        <x:f>SUM(DL28:DL30)</x:f>
        <x:v>0</x:v>
      </x:c>
      <x:c r="DM31" s="348" t="n">
        <x:f>SUM(DM28:DM30)</x:f>
        <x:v>0</x:v>
      </x:c>
      <x:c r="DN31" s="348" t="n">
        <x:f>SUM(DN28:DN30)</x:f>
        <x:v>0</x:v>
      </x:c>
      <x:c r="DO31" s="348" t="n">
        <x:f>SUM(DO28:DO30)</x:f>
        <x:v>0</x:v>
      </x:c>
      <x:c r="DP31" s="348" t="n">
        <x:f>SUM(DP28:DP30)</x:f>
        <x:v>0</x:v>
      </x:c>
      <x:c r="DQ31" s="348" t="n">
        <x:f>SUM(DQ28:DQ30)</x:f>
        <x:v>0</x:v>
      </x:c>
      <x:c r="DR31" s="348" t="n">
        <x:f>SUM(DR28:DR30)</x:f>
        <x:v>0</x:v>
      </x:c>
      <x:c r="DS31" s="348" t="n">
        <x:f>SUM(DS28:DS30)</x:f>
        <x:v>0</x:v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  <x:v>Нет</x:v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  <x:v>1</x:v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  <x:v>46935</x:v>
      </x:c>
      <x:c r="C37" t="str">
        <x:v>дата</x:v>
      </x:c>
    </x:row>
    <x:row r="38">
      <x:c r="A38" t="str">
        <x:v>РВЭ</x:v>
      </x:c>
      <x:c r="B38" s="92" t="n">
        <x:f>EDATE(B37,'Вводные'!$K$48)</x:f>
        <x:v>47665</x:v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  <x:v>46935</x:v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  <x:v>0</x:v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  <x:v>0</x:v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--AND(D$3&gt;=$B$37,D$3&lt;$B$38,AND($B$35="Да",IFERROR(INDEX('Вводные'!$B$88:$B$90,$B$36),"Нет")="Да"))</x:f>
        <x:v>0</x:v>
      </x:c>
      <x:c r="E42" t="n">
        <x:f>--AND(E$3&gt;=$B$37,E$3&lt;$B$38,AND($B$35="Да",IFERROR(INDEX('Вводные'!$B$88:$B$90,$B$36),"Нет")="Да"))</x:f>
        <x:v>0</x:v>
      </x:c>
      <x:c r="F42" t="n">
        <x:f>--AND(F$3&gt;=$B$37,F$3&lt;$B$38,AND($B$35="Да",IFERROR(INDEX('Вводные'!$B$88:$B$90,$B$36),"Нет")="Да"))</x:f>
        <x:v>0</x:v>
      </x:c>
      <x:c r="G42" t="n">
        <x:f>--AND(G$3&gt;=$B$37,G$3&lt;$B$38,AND($B$35="Да",IFERROR(INDEX('Вводные'!$B$88:$B$90,$B$36),"Нет")="Да"))</x:f>
        <x:v>0</x:v>
      </x:c>
      <x:c r="H42" t="n">
        <x:f>--AND(H$3&gt;=$B$37,H$3&lt;$B$38,AND($B$35="Да",IFERROR(INDEX('Вводные'!$B$88:$B$90,$B$36),"Нет")="Да"))</x:f>
        <x:v>0</x:v>
      </x:c>
      <x:c r="I42" t="n">
        <x:f>--AND(I$3&gt;=$B$37,I$3&lt;$B$38,AND($B$35="Да",IFERROR(INDEX('Вводные'!$B$88:$B$90,$B$36),"Нет")="Да"))</x:f>
        <x:v>0</x:v>
      </x:c>
      <x:c r="J42" t="n">
        <x:f>--AND(J$3&gt;=$B$37,J$3&lt;$B$38,AND($B$35="Да",IFERROR(INDEX('Вводные'!$B$88:$B$90,$B$36),"Нет")="Да"))</x:f>
        <x:v>0</x:v>
      </x:c>
      <x:c r="K42" t="n">
        <x:f>--AND(K$3&gt;=$B$37,K$3&lt;$B$38,AND($B$35="Да",IFERROR(INDEX('Вводные'!$B$88:$B$90,$B$36),"Нет")="Да"))</x:f>
        <x:v>0</x:v>
      </x:c>
      <x:c r="L42" t="n">
        <x:f>--AND(L$3&gt;=$B$37,L$3&lt;$B$38,AND($B$35="Да",IFERROR(INDEX('Вводные'!$B$88:$B$90,$B$36),"Нет")="Да"))</x:f>
        <x:v>0</x:v>
      </x:c>
      <x:c r="M42" t="n">
        <x:f>--AND(M$3&gt;=$B$37,M$3&lt;$B$38,AND($B$35="Да",IFERROR(INDEX('Вводные'!$B$88:$B$90,$B$36),"Нет")="Да"))</x:f>
        <x:v>0</x:v>
      </x:c>
      <x:c r="N42" t="n">
        <x:f>--AND(N$3&gt;=$B$37,N$3&lt;$B$38,AND($B$35="Да",IFERROR(INDEX('Вводные'!$B$88:$B$90,$B$36),"Нет")="Да"))</x:f>
        <x:v>0</x:v>
      </x:c>
      <x:c r="O42" t="n">
        <x:f>--AND(O$3&gt;=$B$37,O$3&lt;$B$38,AND($B$35="Да",IFERROR(INDEX('Вводные'!$B$88:$B$90,$B$36),"Нет")="Да"))</x:f>
        <x:v>0</x:v>
      </x:c>
      <x:c r="P42" t="n">
        <x:f>--AND(P$3&gt;=$B$37,P$3&lt;$B$38,AND($B$35="Да",IFERROR(INDEX('Вводные'!$B$88:$B$90,$B$36),"Нет")="Да"))</x:f>
        <x:v>0</x:v>
      </x:c>
      <x:c r="Q42" t="n">
        <x:f>--AND(Q$3&gt;=$B$37,Q$3&lt;$B$38,AND($B$35="Да",IFERROR(INDEX('Вводные'!$B$88:$B$90,$B$36),"Нет")="Да"))</x:f>
        <x:v>0</x:v>
      </x:c>
      <x:c r="R42" t="n">
        <x:f>--AND(R$3&gt;=$B$37,R$3&lt;$B$38,AND($B$35="Да",IFERROR(INDEX('Вводные'!$B$88:$B$90,$B$36),"Нет")="Да"))</x:f>
        <x:v>0</x:v>
      </x:c>
      <x:c r="S42" t="n">
        <x:f>--AND(S$3&gt;=$B$37,S$3&lt;$B$38,AND($B$35="Да",IFERROR(INDEX('Вводные'!$B$88:$B$90,$B$36),"Нет")="Да"))</x:f>
        <x:v>0</x:v>
      </x:c>
      <x:c r="T42" t="n">
        <x:f>--AND(T$3&gt;=$B$37,T$3&lt;$B$38,AND($B$35="Да",IFERROR(INDEX('Вводные'!$B$88:$B$90,$B$36),"Нет")="Да"))</x:f>
        <x:v>0</x:v>
      </x:c>
      <x:c r="U42" t="n">
        <x:f>--AND(U$3&gt;=$B$37,U$3&lt;$B$38,AND($B$35="Да",IFERROR(INDEX('Вводные'!$B$88:$B$90,$B$36),"Нет")="Да"))</x:f>
        <x:v>0</x:v>
      </x:c>
      <x:c r="V42" t="n">
        <x:f>--AND(V$3&gt;=$B$37,V$3&lt;$B$38,AND($B$35="Да",IFERROR(INDEX('Вводные'!$B$88:$B$90,$B$36),"Нет")="Да"))</x:f>
        <x:v>0</x:v>
      </x:c>
      <x:c r="W42" t="n">
        <x:f>--AND(W$3&gt;=$B$37,W$3&lt;$B$38,AND($B$35="Да",IFERROR(INDEX('Вводные'!$B$88:$B$90,$B$36),"Нет")="Да"))</x:f>
        <x:v>0</x:v>
      </x:c>
      <x:c r="X42" t="n">
        <x:f>--AND(X$3&gt;=$B$37,X$3&lt;$B$38,AND($B$35="Да",IFERROR(INDEX('Вводные'!$B$88:$B$90,$B$36),"Нет")="Да"))</x:f>
        <x:v>0</x:v>
      </x:c>
      <x:c r="Y42" t="n">
        <x:f>--AND(Y$3&gt;=$B$37,Y$3&lt;$B$38,AND($B$35="Да",IFERROR(INDEX('Вводные'!$B$88:$B$90,$B$36),"Нет")="Да"))</x:f>
        <x:v>0</x:v>
      </x:c>
      <x:c r="Z42" t="n">
        <x:f>--AND(Z$3&gt;=$B$37,Z$3&lt;$B$38,AND($B$35="Да",IFERROR(INDEX('Вводные'!$B$88:$B$90,$B$36),"Нет")="Да"))</x:f>
        <x:v>0</x:v>
      </x:c>
      <x:c r="AA42" t="n">
        <x:f>--AND(AA$3&gt;=$B$37,AA$3&lt;$B$38,AND($B$35="Да",IFERROR(INDEX('Вводные'!$B$88:$B$90,$B$36),"Нет")="Да"))</x:f>
        <x:v>0</x:v>
      </x:c>
      <x:c r="AB42" t="n">
        <x:f>--AND(AB$3&gt;=$B$37,AB$3&lt;$B$38,AND($B$35="Да",IFERROR(INDEX('Вводные'!$B$88:$B$90,$B$36),"Нет")="Да"))</x:f>
        <x:v>0</x:v>
      </x:c>
      <x:c r="AC42" t="n">
        <x:f>--AND(AC$3&gt;=$B$37,AC$3&lt;$B$38,AND($B$35="Да",IFERROR(INDEX('Вводные'!$B$88:$B$90,$B$36),"Нет")="Да"))</x:f>
        <x:v>0</x:v>
      </x:c>
      <x:c r="AD42" t="n">
        <x:f>--AND(AD$3&gt;=$B$37,AD$3&lt;$B$38,AND($B$35="Да",IFERROR(INDEX('Вводные'!$B$88:$B$90,$B$36),"Нет")="Да"))</x:f>
        <x:v>0</x:v>
      </x:c>
      <x:c r="AE42" t="n">
        <x:f>--AND(AE$3&gt;=$B$37,AE$3&lt;$B$38,AND($B$35="Да",IFERROR(INDEX('Вводные'!$B$88:$B$90,$B$36),"Нет")="Да"))</x:f>
        <x:v>0</x:v>
      </x:c>
      <x:c r="AF42" t="n">
        <x:f>--AND(AF$3&gt;=$B$37,AF$3&lt;$B$38,AND($B$35="Да",IFERROR(INDEX('Вводные'!$B$88:$B$90,$B$36),"Нет")="Да"))</x:f>
        <x:v>0</x:v>
      </x:c>
      <x:c r="AG42" t="n">
        <x:f>--AND(AG$3&gt;=$B$37,AG$3&lt;$B$38,AND($B$35="Да",IFERROR(INDEX('Вводные'!$B$88:$B$90,$B$36),"Нет")="Да"))</x:f>
        <x:v>0</x:v>
      </x:c>
      <x:c r="AH42" t="n">
        <x:f>--AND(AH$3&gt;=$B$37,AH$3&lt;$B$38,AND($B$35="Да",IFERROR(INDEX('Вводные'!$B$88:$B$90,$B$36),"Нет")="Да"))</x:f>
        <x:v>0</x:v>
      </x:c>
      <x:c r="AI42" t="n">
        <x:f>--AND(AI$3&gt;=$B$37,AI$3&lt;$B$38,AND($B$35="Да",IFERROR(INDEX('Вводные'!$B$88:$B$90,$B$36),"Нет")="Да"))</x:f>
        <x:v>0</x:v>
      </x:c>
      <x:c r="AJ42" t="n">
        <x:f>--AND(AJ$3&gt;=$B$37,AJ$3&lt;$B$38,AND($B$35="Да",IFERROR(INDEX('Вводные'!$B$88:$B$90,$B$36),"Нет")="Да"))</x:f>
        <x:v>0</x:v>
      </x:c>
      <x:c r="AK42" t="n">
        <x:f>--AND(AK$3&gt;=$B$37,AK$3&lt;$B$38,AND($B$35="Да",IFERROR(INDEX('Вводные'!$B$88:$B$90,$B$36),"Нет")="Да"))</x:f>
        <x:v>0</x:v>
      </x:c>
      <x:c r="AL42" t="n">
        <x:f>--AND(AL$3&gt;=$B$37,AL$3&lt;$B$38,AND($B$35="Да",IFERROR(INDEX('Вводные'!$B$88:$B$90,$B$36),"Нет")="Да"))</x:f>
        <x:v>0</x:v>
      </x:c>
      <x:c r="AM42" t="n">
        <x:f>--AND(AM$3&gt;=$B$37,AM$3&lt;$B$38,AND($B$35="Да",IFERROR(INDEX('Вводные'!$B$88:$B$90,$B$36),"Нет")="Да"))</x:f>
        <x:v>0</x:v>
      </x:c>
      <x:c r="AN42" t="n">
        <x:f>--AND(AN$3&gt;=$B$37,AN$3&lt;$B$38,AND($B$35="Да",IFERROR(INDEX('Вводные'!$B$88:$B$90,$B$36),"Нет")="Да"))</x:f>
        <x:v>0</x:v>
      </x:c>
      <x:c r="AO42" t="n">
        <x:f>--AND(AO$3&gt;=$B$37,AO$3&lt;$B$38,AND($B$35="Да",IFERROR(INDEX('Вводные'!$B$88:$B$90,$B$36),"Нет")="Да"))</x:f>
        <x:v>0</x:v>
      </x:c>
      <x:c r="AP42" t="n">
        <x:f>--AND(AP$3&gt;=$B$37,AP$3&lt;$B$38,AND($B$35="Да",IFERROR(INDEX('Вводные'!$B$88:$B$90,$B$36),"Нет")="Да"))</x:f>
        <x:v>0</x:v>
      </x:c>
      <x:c r="AQ42" t="n">
        <x:f>--AND(AQ$3&gt;=$B$37,AQ$3&lt;$B$38,AND($B$35="Да",IFERROR(INDEX('Вводные'!$B$88:$B$90,$B$36),"Нет")="Да"))</x:f>
        <x:v>0</x:v>
      </x:c>
      <x:c r="AR42" t="n">
        <x:f>--AND(AR$3&gt;=$B$37,AR$3&lt;$B$38,AND($B$35="Да",IFERROR(INDEX('Вводные'!$B$88:$B$90,$B$36),"Нет")="Да"))</x:f>
        <x:v>0</x:v>
      </x:c>
      <x:c r="AS42" t="n">
        <x:f>--AND(AS$3&gt;=$B$37,AS$3&lt;$B$38,AND($B$35="Да",IFERROR(INDEX('Вводные'!$B$88:$B$90,$B$36),"Нет")="Да"))</x:f>
        <x:v>0</x:v>
      </x:c>
      <x:c r="AT42" t="n">
        <x:f>--AND(AT$3&gt;=$B$37,AT$3&lt;$B$38,AND($B$35="Да",IFERROR(INDEX('Вводные'!$B$88:$B$90,$B$36),"Нет")="Да"))</x:f>
        <x:v>0</x:v>
      </x:c>
      <x:c r="AU42" t="n">
        <x:f>--AND(AU$3&gt;=$B$37,AU$3&lt;$B$38,AND($B$35="Да",IFERROR(INDEX('Вводные'!$B$88:$B$90,$B$36),"Нет")="Да"))</x:f>
        <x:v>0</x:v>
      </x:c>
      <x:c r="AV42" t="n">
        <x:f>--AND(AV$3&gt;=$B$37,AV$3&lt;$B$38,AND($B$35="Да",IFERROR(INDEX('Вводные'!$B$88:$B$90,$B$36),"Нет")="Да"))</x:f>
        <x:v>0</x:v>
      </x:c>
      <x:c r="AW42" t="n">
        <x:f>--AND(AW$3&gt;=$B$37,AW$3&lt;$B$38,AND($B$35="Да",IFERROR(INDEX('Вводные'!$B$88:$B$90,$B$36),"Нет")="Да"))</x:f>
        <x:v>0</x:v>
      </x:c>
      <x:c r="AX42" t="n">
        <x:f>--AND(AX$3&gt;=$B$37,AX$3&lt;$B$38,AND($B$35="Да",IFERROR(INDEX('Вводные'!$B$88:$B$90,$B$36),"Нет")="Да"))</x:f>
        <x:v>0</x:v>
      </x:c>
      <x:c r="AY42" t="n">
        <x:f>--AND(AY$3&gt;=$B$37,AY$3&lt;$B$38,AND($B$35="Да",IFERROR(INDEX('Вводные'!$B$88:$B$90,$B$36),"Нет")="Да"))</x:f>
        <x:v>0</x:v>
      </x:c>
      <x:c r="AZ42" t="n">
        <x:f>--AND(AZ$3&gt;=$B$37,AZ$3&lt;$B$38,AND($B$35="Да",IFERROR(INDEX('Вводные'!$B$88:$B$90,$B$36),"Нет")="Да"))</x:f>
        <x:v>0</x:v>
      </x:c>
      <x:c r="BA42" t="n">
        <x:f>--AND(BA$3&gt;=$B$37,BA$3&lt;$B$38,AND($B$35="Да",IFERROR(INDEX('Вводные'!$B$88:$B$90,$B$36),"Нет")="Да"))</x:f>
        <x:v>0</x:v>
      </x:c>
      <x:c r="BB42" t="n">
        <x:f>--AND(BB$3&gt;=$B$37,BB$3&lt;$B$38,AND($B$35="Да",IFERROR(INDEX('Вводные'!$B$88:$B$90,$B$36),"Нет")="Да"))</x:f>
        <x:v>0</x:v>
      </x:c>
      <x:c r="BC42" t="n">
        <x:f>--AND(BC$3&gt;=$B$37,BC$3&lt;$B$38,AND($B$35="Да",IFERROR(INDEX('Вводные'!$B$88:$B$90,$B$36),"Нет")="Да"))</x:f>
        <x:v>0</x:v>
      </x:c>
      <x:c r="BD42" t="n">
        <x:f>--AND(BD$3&gt;=$B$37,BD$3&lt;$B$38,AND($B$35="Да",IFERROR(INDEX('Вводные'!$B$88:$B$90,$B$36),"Нет")="Да"))</x:f>
        <x:v>0</x:v>
      </x:c>
      <x:c r="BE42" t="n">
        <x:f>--AND(BE$3&gt;=$B$37,BE$3&lt;$B$38,AND($B$35="Да",IFERROR(INDEX('Вводные'!$B$88:$B$90,$B$36),"Нет")="Да"))</x:f>
        <x:v>0</x:v>
      </x:c>
      <x:c r="BF42" t="n">
        <x:f>--AND(BF$3&gt;=$B$37,BF$3&lt;$B$38,AND($B$35="Да",IFERROR(INDEX('Вводные'!$B$88:$B$90,$B$36),"Нет")="Да"))</x:f>
        <x:v>0</x:v>
      </x:c>
      <x:c r="BG42" t="n">
        <x:f>--AND(BG$3&gt;=$B$37,BG$3&lt;$B$38,AND($B$35="Да",IFERROR(INDEX('Вводные'!$B$88:$B$90,$B$36),"Нет")="Да"))</x:f>
        <x:v>0</x:v>
      </x:c>
      <x:c r="BH42" t="n">
        <x:f>--AND(BH$3&gt;=$B$37,BH$3&lt;$B$38,AND($B$35="Да",IFERROR(INDEX('Вводные'!$B$88:$B$90,$B$36),"Нет")="Да"))</x:f>
        <x:v>0</x:v>
      </x:c>
      <x:c r="BI42" t="n">
        <x:f>--AND(BI$3&gt;=$B$37,BI$3&lt;$B$38,AND($B$35="Да",IFERROR(INDEX('Вводные'!$B$88:$B$90,$B$36),"Нет")="Да"))</x:f>
        <x:v>0</x:v>
      </x:c>
      <x:c r="BJ42" t="n">
        <x:f>--AND(BJ$3&gt;=$B$37,BJ$3&lt;$B$38,AND($B$35="Да",IFERROR(INDEX('Вводные'!$B$88:$B$90,$B$36),"Нет")="Да"))</x:f>
        <x:v>0</x:v>
      </x:c>
      <x:c r="BK42" t="n">
        <x:f>--AND(BK$3&gt;=$B$37,BK$3&lt;$B$38,AND($B$35="Да",IFERROR(INDEX('Вводные'!$B$88:$B$90,$B$36),"Нет")="Да"))</x:f>
        <x:v>0</x:v>
      </x:c>
      <x:c r="BL42" t="n">
        <x:f>--AND(BL$3&gt;=$B$37,BL$3&lt;$B$38,AND($B$35="Да",IFERROR(INDEX('Вводные'!$B$88:$B$90,$B$36),"Нет")="Да"))</x:f>
        <x:v>0</x:v>
      </x:c>
      <x:c r="BM42" t="n">
        <x:f>--AND(BM$3&gt;=$B$37,BM$3&lt;$B$38,AND($B$35="Да",IFERROR(INDEX('Вводные'!$B$88:$B$90,$B$36),"Нет")="Да"))</x:f>
        <x:v>0</x:v>
      </x:c>
      <x:c r="BN42" t="n">
        <x:f>--AND(BN$3&gt;=$B$37,BN$3&lt;$B$38,AND($B$35="Да",IFERROR(INDEX('Вводные'!$B$88:$B$90,$B$36),"Нет")="Да"))</x:f>
        <x:v>0</x:v>
      </x:c>
      <x:c r="BO42" t="n">
        <x:f>--AND(BO$3&gt;=$B$37,BO$3&lt;$B$38,AND($B$35="Да",IFERROR(INDEX('Вводные'!$B$88:$B$90,$B$36),"Нет")="Да"))</x:f>
        <x:v>0</x:v>
      </x:c>
      <x:c r="BP42" t="n">
        <x:f>--AND(BP$3&gt;=$B$37,BP$3&lt;$B$38,AND($B$35="Да",IFERROR(INDEX('Вводные'!$B$88:$B$90,$B$36),"Нет")="Да"))</x:f>
        <x:v>0</x:v>
      </x:c>
      <x:c r="BQ42" t="n">
        <x:f>--AND(BQ$3&gt;=$B$37,BQ$3&lt;$B$38,AND($B$35="Да",IFERROR(INDEX('Вводные'!$B$88:$B$90,$B$36),"Нет")="Да"))</x:f>
        <x:v>0</x:v>
      </x:c>
      <x:c r="BR42" t="n">
        <x:f>--AND(BR$3&gt;=$B$37,BR$3&lt;$B$38,AND($B$35="Да",IFERROR(INDEX('Вводные'!$B$88:$B$90,$B$36),"Нет")="Да"))</x:f>
        <x:v>0</x:v>
      </x:c>
      <x:c r="BS42" t="n">
        <x:f>--AND(BS$3&gt;=$B$37,BS$3&lt;$B$38,AND($B$35="Да",IFERROR(INDEX('Вводные'!$B$88:$B$90,$B$36),"Нет")="Да"))</x:f>
        <x:v>0</x:v>
      </x:c>
      <x:c r="BT42" t="n">
        <x:f>--AND(BT$3&gt;=$B$37,BT$3&lt;$B$38,AND($B$35="Да",IFERROR(INDEX('Вводные'!$B$88:$B$90,$B$36),"Нет")="Да"))</x:f>
        <x:v>0</x:v>
      </x:c>
      <x:c r="BU42" t="n">
        <x:f>--AND(BU$3&gt;=$B$37,BU$3&lt;$B$38,AND($B$35="Да",IFERROR(INDEX('Вводные'!$B$88:$B$90,$B$36),"Нет")="Да"))</x:f>
        <x:v>0</x:v>
      </x:c>
      <x:c r="BV42" t="n">
        <x:f>--AND(BV$3&gt;=$B$37,BV$3&lt;$B$38,AND($B$35="Да",IFERROR(INDEX('Вводные'!$B$88:$B$90,$B$36),"Нет")="Да"))</x:f>
        <x:v>0</x:v>
      </x:c>
      <x:c r="BW42" t="n">
        <x:f>--AND(BW$3&gt;=$B$37,BW$3&lt;$B$38,AND($B$35="Да",IFERROR(INDEX('Вводные'!$B$88:$B$90,$B$36),"Нет")="Да"))</x:f>
        <x:v>0</x:v>
      </x:c>
      <x:c r="BX42" t="n">
        <x:f>--AND(BX$3&gt;=$B$37,BX$3&lt;$B$38,AND($B$35="Да",IFERROR(INDEX('Вводные'!$B$88:$B$90,$B$36),"Нет")="Да"))</x:f>
        <x:v>0</x:v>
      </x:c>
      <x:c r="BY42" t="n">
        <x:f>--AND(BY$3&gt;=$B$37,BY$3&lt;$B$38,AND($B$35="Да",IFERROR(INDEX('Вводные'!$B$88:$B$90,$B$36),"Нет")="Да"))</x:f>
        <x:v>0</x:v>
      </x:c>
      <x:c r="BZ42" t="n">
        <x:f>--AND(BZ$3&gt;=$B$37,BZ$3&lt;$B$38,AND($B$35="Да",IFERROR(INDEX('Вводные'!$B$88:$B$90,$B$36),"Нет")="Да"))</x:f>
        <x:v>0</x:v>
      </x:c>
      <x:c r="CA42" t="n">
        <x:f>--AND(CA$3&gt;=$B$37,CA$3&lt;$B$38,AND($B$35="Да",IFERROR(INDEX('Вводные'!$B$88:$B$90,$B$36),"Нет")="Да"))</x:f>
        <x:v>0</x:v>
      </x:c>
      <x:c r="CB42" t="n">
        <x:f>--AND(CB$3&gt;=$B$37,CB$3&lt;$B$38,AND($B$35="Да",IFERROR(INDEX('Вводные'!$B$88:$B$90,$B$36),"Нет")="Да"))</x:f>
        <x:v>0</x:v>
      </x:c>
      <x:c r="CC42" t="n">
        <x:f>--AND(CC$3&gt;=$B$37,CC$3&lt;$B$38,AND($B$35="Да",IFERROR(INDEX('Вводные'!$B$88:$B$90,$B$36),"Нет")="Да"))</x:f>
        <x:v>0</x:v>
      </x:c>
      <x:c r="CD42" t="n">
        <x:f>--AND(CD$3&gt;=$B$37,CD$3&lt;$B$38,AND($B$35="Да",IFERROR(INDEX('Вводные'!$B$88:$B$90,$B$36),"Нет")="Да"))</x:f>
        <x:v>0</x:v>
      </x:c>
      <x:c r="CE42" t="n">
        <x:f>--AND(CE$3&gt;=$B$37,CE$3&lt;$B$38,AND($B$35="Да",IFERROR(INDEX('Вводные'!$B$88:$B$90,$B$36),"Нет")="Да"))</x:f>
        <x:v>0</x:v>
      </x:c>
      <x:c r="CF42" t="n">
        <x:f>--AND(CF$3&gt;=$B$37,CF$3&lt;$B$38,AND($B$35="Да",IFERROR(INDEX('Вводные'!$B$88:$B$90,$B$36),"Нет")="Да"))</x:f>
        <x:v>0</x:v>
      </x:c>
      <x:c r="CG42" t="n">
        <x:f>--AND(CG$3&gt;=$B$37,CG$3&lt;$B$38,AND($B$35="Да",IFERROR(INDEX('Вводные'!$B$88:$B$90,$B$36),"Нет")="Да"))</x:f>
        <x:v>0</x:v>
      </x:c>
      <x:c r="CH42" t="n">
        <x:f>--AND(CH$3&gt;=$B$37,CH$3&lt;$B$38,AND($B$35="Да",IFERROR(INDEX('Вводные'!$B$88:$B$90,$B$36),"Нет")="Да"))</x:f>
        <x:v>0</x:v>
      </x:c>
      <x:c r="CI42" t="n">
        <x:f>--AND(CI$3&gt;=$B$37,CI$3&lt;$B$38,AND($B$35="Да",IFERROR(INDEX('Вводные'!$B$88:$B$90,$B$36),"Нет")="Да"))</x:f>
        <x:v>0</x:v>
      </x:c>
      <x:c r="CJ42" t="n">
        <x:f>--AND(CJ$3&gt;=$B$37,CJ$3&lt;$B$38,AND($B$35="Да",IFERROR(INDEX('Вводные'!$B$88:$B$90,$B$36),"Нет")="Да"))</x:f>
        <x:v>0</x:v>
      </x:c>
      <x:c r="CK42" t="n">
        <x:f>--AND(CK$3&gt;=$B$37,CK$3&lt;$B$38,AND($B$35="Да",IFERROR(INDEX('Вводные'!$B$88:$B$90,$B$36),"Нет")="Да"))</x:f>
        <x:v>0</x:v>
      </x:c>
      <x:c r="CL42" t="n">
        <x:f>--AND(CL$3&gt;=$B$37,CL$3&lt;$B$38,AND($B$35="Да",IFERROR(INDEX('Вводные'!$B$88:$B$90,$B$36),"Нет")="Да"))</x:f>
        <x:v>0</x:v>
      </x:c>
      <x:c r="CM42" t="n">
        <x:f>--AND(CM$3&gt;=$B$37,CM$3&lt;$B$38,AND($B$35="Да",IFERROR(INDEX('Вводные'!$B$88:$B$90,$B$36),"Нет")="Да"))</x:f>
        <x:v>0</x:v>
      </x:c>
      <x:c r="CN42" t="n">
        <x:f>--AND(CN$3&gt;=$B$37,CN$3&lt;$B$38,AND($B$35="Да",IFERROR(INDEX('Вводные'!$B$88:$B$90,$B$36),"Нет")="Да"))</x:f>
        <x:v>0</x:v>
      </x:c>
      <x:c r="CO42" t="n">
        <x:f>--AND(CO$3&gt;=$B$37,CO$3&lt;$B$38,AND($B$35="Да",IFERROR(INDEX('Вводные'!$B$88:$B$90,$B$36),"Нет")="Да"))</x:f>
        <x:v>0</x:v>
      </x:c>
      <x:c r="CP42" t="n">
        <x:f>--AND(CP$3&gt;=$B$37,CP$3&lt;$B$38,AND($B$35="Да",IFERROR(INDEX('Вводные'!$B$88:$B$90,$B$36),"Нет")="Да"))</x:f>
        <x:v>0</x:v>
      </x:c>
      <x:c r="CQ42" t="n">
        <x:f>--AND(CQ$3&gt;=$B$37,CQ$3&lt;$B$38,AND($B$35="Да",IFERROR(INDEX('Вводные'!$B$88:$B$90,$B$36),"Нет")="Да"))</x:f>
        <x:v>0</x:v>
      </x:c>
      <x:c r="CR42" t="n">
        <x:f>--AND(CR$3&gt;=$B$37,CR$3&lt;$B$38,AND($B$35="Да",IFERROR(INDEX('Вводные'!$B$88:$B$90,$B$36),"Нет")="Да"))</x:f>
        <x:v>0</x:v>
      </x:c>
      <x:c r="CS42" t="n">
        <x:f>--AND(CS$3&gt;=$B$37,CS$3&lt;$B$38,AND($B$35="Да",IFERROR(INDEX('Вводные'!$B$88:$B$90,$B$36),"Нет")="Да"))</x:f>
        <x:v>0</x:v>
      </x:c>
      <x:c r="CT42" t="n">
        <x:f>--AND(CT$3&gt;=$B$37,CT$3&lt;$B$38,AND($B$35="Да",IFERROR(INDEX('Вводные'!$B$88:$B$90,$B$36),"Нет")="Да"))</x:f>
        <x:v>0</x:v>
      </x:c>
      <x:c r="CU42" t="n">
        <x:f>--AND(CU$3&gt;=$B$37,CU$3&lt;$B$38,AND($B$35="Да",IFERROR(INDEX('Вводные'!$B$88:$B$90,$B$36),"Нет")="Да"))</x:f>
        <x:v>0</x:v>
      </x:c>
      <x:c r="CV42" t="n">
        <x:f>--AND(CV$3&gt;=$B$37,CV$3&lt;$B$38,AND($B$35="Да",IFERROR(INDEX('Вводные'!$B$88:$B$90,$B$36),"Нет")="Да"))</x:f>
        <x:v>0</x:v>
      </x:c>
      <x:c r="CW42" t="n">
        <x:f>--AND(CW$3&gt;=$B$37,CW$3&lt;$B$38,AND($B$35="Да",IFERROR(INDEX('Вводные'!$B$88:$B$90,$B$36),"Нет")="Да"))</x:f>
        <x:v>0</x:v>
      </x:c>
      <x:c r="CX42" t="n">
        <x:f>--AND(CX$3&gt;=$B$37,CX$3&lt;$B$38,AND($B$35="Да",IFERROR(INDEX('Вводные'!$B$88:$B$90,$B$36),"Нет")="Да"))</x:f>
        <x:v>0</x:v>
      </x:c>
      <x:c r="CY42" t="n">
        <x:f>--AND(CY$3&gt;=$B$37,CY$3&lt;$B$38,AND($B$35="Да",IFERROR(INDEX('Вводные'!$B$88:$B$90,$B$36),"Нет")="Да"))</x:f>
        <x:v>0</x:v>
      </x:c>
      <x:c r="CZ42" t="n">
        <x:f>--AND(CZ$3&gt;=$B$37,CZ$3&lt;$B$38,AND($B$35="Да",IFERROR(INDEX('Вводные'!$B$88:$B$90,$B$36),"Нет")="Да"))</x:f>
        <x:v>0</x:v>
      </x:c>
      <x:c r="DA42" t="n">
        <x:f>--AND(DA$3&gt;=$B$37,DA$3&lt;$B$38,AND($B$35="Да",IFERROR(INDEX('Вводные'!$B$88:$B$90,$B$36),"Нет")="Да"))</x:f>
        <x:v>0</x:v>
      </x:c>
      <x:c r="DB42" t="n">
        <x:f>--AND(DB$3&gt;=$B$37,DB$3&lt;$B$38,AND($B$35="Да",IFERROR(INDEX('Вводные'!$B$88:$B$90,$B$36),"Нет")="Да"))</x:f>
        <x:v>0</x:v>
      </x:c>
      <x:c r="DC42" t="n">
        <x:f>--AND(DC$3&gt;=$B$37,DC$3&lt;$B$38,AND($B$35="Да",IFERROR(INDEX('Вводные'!$B$88:$B$90,$B$36),"Нет")="Да"))</x:f>
        <x:v>0</x:v>
      </x:c>
      <x:c r="DD42" t="n">
        <x:f>--AND(DD$3&gt;=$B$37,DD$3&lt;$B$38,AND($B$35="Да",IFERROR(INDEX('Вводные'!$B$88:$B$90,$B$36),"Нет")="Да"))</x:f>
        <x:v>0</x:v>
      </x:c>
      <x:c r="DE42" t="n">
        <x:f>--AND(DE$3&gt;=$B$37,DE$3&lt;$B$38,AND($B$35="Да",IFERROR(INDEX('Вводные'!$B$88:$B$90,$B$36),"Нет")="Да"))</x:f>
        <x:v>0</x:v>
      </x:c>
      <x:c r="DF42" t="n">
        <x:f>--AND(DF$3&gt;=$B$37,DF$3&lt;$B$38,AND($B$35="Да",IFERROR(INDEX('Вводные'!$B$88:$B$90,$B$36),"Нет")="Да"))</x:f>
        <x:v>0</x:v>
      </x:c>
      <x:c r="DG42" t="n">
        <x:f>--AND(DG$3&gt;=$B$37,DG$3&lt;$B$38,AND($B$35="Да",IFERROR(INDEX('Вводные'!$B$88:$B$90,$B$36),"Нет")="Да"))</x:f>
        <x:v>0</x:v>
      </x:c>
      <x:c r="DH42" t="n">
        <x:f>--AND(DH$3&gt;=$B$37,DH$3&lt;$B$38,AND($B$35="Да",IFERROR(INDEX('Вводные'!$B$88:$B$90,$B$36),"Нет")="Да"))</x:f>
        <x:v>0</x:v>
      </x:c>
      <x:c r="DI42" t="n">
        <x:f>--AND(DI$3&gt;=$B$37,DI$3&lt;$B$38,AND($B$35="Да",IFERROR(INDEX('Вводные'!$B$88:$B$90,$B$36),"Нет")="Да"))</x:f>
        <x:v>0</x:v>
      </x:c>
      <x:c r="DJ42" t="n">
        <x:f>--AND(DJ$3&gt;=$B$37,DJ$3&lt;$B$38,AND($B$35="Да",IFERROR(INDEX('Вводные'!$B$88:$B$90,$B$36),"Нет")="Да"))</x:f>
        <x:v>0</x:v>
      </x:c>
      <x:c r="DK42" t="n">
        <x:f>--AND(DK$3&gt;=$B$37,DK$3&lt;$B$38,AND($B$35="Да",IFERROR(INDEX('Вводные'!$B$88:$B$90,$B$36),"Нет")="Да"))</x:f>
        <x:v>0</x:v>
      </x:c>
      <x:c r="DL42" t="n">
        <x:f>--AND(DL$3&gt;=$B$37,DL$3&lt;$B$38,AND($B$35="Да",IFERROR(INDEX('Вводные'!$B$88:$B$90,$B$36),"Нет")="Да"))</x:f>
        <x:v>0</x:v>
      </x:c>
      <x:c r="DM42" t="n">
        <x:f>--AND(DM$3&gt;=$B$37,DM$3&lt;$B$38,AND($B$35="Да",IFERROR(INDEX('Вводные'!$B$88:$B$90,$B$36),"Нет")="Да"))</x:f>
        <x:v>0</x:v>
      </x:c>
      <x:c r="DN42" t="n">
        <x:f>--AND(DN$3&gt;=$B$37,DN$3&lt;$B$38,AND($B$35="Да",IFERROR(INDEX('Вводные'!$B$88:$B$90,$B$36),"Нет")="Да"))</x:f>
        <x:v>0</x:v>
      </x:c>
      <x:c r="DO42" t="n">
        <x:f>--AND(DO$3&gt;=$B$37,DO$3&lt;$B$38,AND($B$35="Да",IFERROR(INDEX('Вводные'!$B$88:$B$90,$B$36),"Нет")="Да"))</x:f>
        <x:v>0</x:v>
      </x:c>
      <x:c r="DP42" t="n">
        <x:f>--AND(DP$3&gt;=$B$37,DP$3&lt;$B$38,AND($B$35="Да",IFERROR(INDEX('Вводные'!$B$88:$B$90,$B$36),"Нет")="Да"))</x:f>
        <x:v>0</x:v>
      </x:c>
      <x:c r="DQ42" t="n">
        <x:f>--AND(DQ$3&gt;=$B$37,DQ$3&lt;$B$38,AND($B$35="Да",IFERROR(INDEX('Вводные'!$B$88:$B$90,$B$36),"Нет")="Да"))</x:f>
        <x:v>0</x:v>
      </x:c>
      <x:c r="DR42" t="n">
        <x:f>--AND(DR$3&gt;=$B$37,DR$3&lt;$B$38,AND($B$35="Да",IFERROR(INDEX('Вводные'!$B$88:$B$90,$B$36),"Нет")="Да"))</x:f>
        <x:v>0</x:v>
      </x:c>
      <x:c r="DS42" t="n">
        <x:f>--AND(DS$3&gt;=$B$37,DS$3&lt;$B$38,AND($B$35="Да",IFERROR(INDEX('Вводные'!$B$88:$B$90,$B$36),"Нет")="Да"))</x:f>
        <x:v>0</x:v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  <x:v>0</x:v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  <x:v>0</x:v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  <x:v>0</x:v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  <x:v>0</x:v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  <x:v>0</x:v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  <x:v>0</x:v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  <x:v>0</x:v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  <x:v>0</x:v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  <x:v>0</x:v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  <x:v>0</x:v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  <x:v>0</x:v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  <x:v>0</x:v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  <x:v>0</x:v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  <x:v>0</x:v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  <x:v>0</x:v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  <x:v>0</x:v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  <x:v>0</x:v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  <x:v>0</x:v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  <x:v>0</x:v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  <x:v>0</x:v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  <x:v>0</x:v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  <x:v>0</x:v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  <x:v>0</x:v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  <x:v>0</x:v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  <x:v>0</x:v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  <x:v>0</x:v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  <x:v>0</x:v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  <x:v>0</x:v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  <x:v>0</x:v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  <x:v>0</x:v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  <x:v>0</x:v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  <x:v>0</x:v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  <x:v>0</x:v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  <x:v>0</x:v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  <x:v>0</x:v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  <x:v>0</x:v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  <x:v>0</x:v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  <x:v>0</x:v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  <x:v>0</x:v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  <x:v>0</x:v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  <x:v>0</x:v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  <x:v>0</x:v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  <x:v>0</x:v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  <x:v>0</x:v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  <x:v>0</x:v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  <x:v>0</x:v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  <x:v>0</x:v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  <x:v>0</x:v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  <x:v>0</x:v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  <x:v>0</x:v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  <x:v>0</x:v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  <x:v>0</x:v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  <x:v>0</x:v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  <x:v>0</x:v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  <x:v>0</x:v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  <x:v>0</x:v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  <x:v>0</x:v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  <x:v>0</x:v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  <x:v>0</x:v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  <x:v>0</x:v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  <x:v>0</x:v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  <x:v>0</x:v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  <x:v>0</x:v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  <x:v>0</x:v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  <x:v>0</x:v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  <x:v>0</x:v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  <x:v>0</x:v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  <x:v>0</x:v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  <x:v>0</x:v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  <x:v>0</x:v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  <x:v>0</x:v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  <x:v>0</x:v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  <x:v>0</x:v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  <x:v>0</x:v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  <x:v>0</x:v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  <x:v>0</x:v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  <x:v>0</x:v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  <x:v>0</x:v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  <x:v>0</x:v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  <x:v>0</x:v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  <x:v>0</x:v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  <x:v>0</x:v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  <x:v>0</x:v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  <x:v>0</x:v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  <x:v>0</x:v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  <x:v>0</x:v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  <x:v>0</x:v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  <x:v>0</x:v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  <x:v>0</x:v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  <x:v>0</x:v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  <x:v>0</x:v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  <x:v>0</x:v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  <x:v>0</x:v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  <x:v>0</x:v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  <x:v>0</x:v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  <x:v>0</x:v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  <x:v>0</x:v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  <x:v>0</x:v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  <x:v>0</x:v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  <x:v>0</x:v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  <x:v>0</x:v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  <x:v>0</x:v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  <x:v>0</x:v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  <x:v>0</x:v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  <x:v>0</x:v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  <x:v>0</x:v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  <x:v>0</x:v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  <x:v>0</x:v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  <x:v>0</x:v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  <x:v>0</x:v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  <x:v>0</x:v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  <x:v>0</x:v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  <x:v>0</x:v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  <x:v>0</x:v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  <x:v>0</x:v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  <x:v>0</x:v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  <x:v>0</x:v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  <x:v>0</x:v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  <x:v>0</x:v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  <x:v>0</x:v>
      </x:c>
    </x:row>
    <x:row r="44">
      <x:c r="A44" t="str">
        <x:v>Нормированный вес строительства</x:v>
      </x:c>
      <x:c r="B44" s="35" t="n">
        <x:f>SUM(D44:DS44)</x:f>
        <x:v>0</x:v>
      </x:c>
      <x:c r="C44" t="str">
        <x:v>%</x:v>
      </x:c>
      <x:c r="D44" s="35" t="n">
        <x:f>IFERROR(D43/SUM($D43:$DS43),0)</x:f>
        <x:v>0</x:v>
      </x:c>
      <x:c r="E44" s="35" t="n">
        <x:f>IFERROR(E43/SUM($D43:$DS43),0)</x:f>
        <x:v>0</x:v>
      </x:c>
      <x:c r="F44" s="35" t="n">
        <x:f>IFERROR(F43/SUM($D43:$DS43),0)</x:f>
        <x:v>0</x:v>
      </x:c>
      <x:c r="G44" s="35" t="n">
        <x:f>IFERROR(G43/SUM($D43:$DS43),0)</x:f>
        <x:v>0</x:v>
      </x:c>
      <x:c r="H44" s="35" t="n">
        <x:f>IFERROR(H43/SUM($D43:$DS43),0)</x:f>
        <x:v>0</x:v>
      </x:c>
      <x:c r="I44" s="35" t="n">
        <x:f>IFERROR(I43/SUM($D43:$DS43),0)</x:f>
        <x:v>0</x:v>
      </x:c>
      <x:c r="J44" s="35" t="n">
        <x:f>IFERROR(J43/SUM($D43:$DS43),0)</x:f>
        <x:v>0</x:v>
      </x:c>
      <x:c r="K44" s="35" t="n">
        <x:f>IFERROR(K43/SUM($D43:$DS43),0)</x:f>
        <x:v>0</x:v>
      </x:c>
      <x:c r="L44" s="35" t="n">
        <x:f>IFERROR(L43/SUM($D43:$DS43),0)</x:f>
        <x:v>0</x:v>
      </x:c>
      <x:c r="M44" s="35" t="n">
        <x:f>IFERROR(M43/SUM($D43:$DS43),0)</x:f>
        <x:v>0</x:v>
      </x:c>
      <x:c r="N44" s="35" t="n">
        <x:f>IFERROR(N43/SUM($D43:$DS43),0)</x:f>
        <x:v>0</x:v>
      </x:c>
      <x:c r="O44" s="35" t="n">
        <x:f>IFERROR(O43/SUM($D43:$DS43),0)</x:f>
        <x:v>0</x:v>
      </x:c>
      <x:c r="P44" s="35" t="n">
        <x:f>IFERROR(P43/SUM($D43:$DS43),0)</x:f>
        <x:v>0</x:v>
      </x:c>
      <x:c r="Q44" s="35" t="n">
        <x:f>IFERROR(Q43/SUM($D43:$DS43),0)</x:f>
        <x:v>0</x:v>
      </x:c>
      <x:c r="R44" s="35" t="n">
        <x:f>IFERROR(R43/SUM($D43:$DS43),0)</x:f>
        <x:v>0</x:v>
      </x:c>
      <x:c r="S44" s="35" t="n">
        <x:f>IFERROR(S43/SUM($D43:$DS43),0)</x:f>
        <x:v>0</x:v>
      </x:c>
      <x:c r="T44" s="35" t="n">
        <x:f>IFERROR(T43/SUM($D43:$DS43),0)</x:f>
        <x:v>0</x:v>
      </x:c>
      <x:c r="U44" s="35" t="n">
        <x:f>IFERROR(U43/SUM($D43:$DS43),0)</x:f>
        <x:v>0</x:v>
      </x:c>
      <x:c r="V44" s="35" t="n">
        <x:f>IFERROR(V43/SUM($D43:$DS43),0)</x:f>
        <x:v>0</x:v>
      </x:c>
      <x:c r="W44" s="35" t="n">
        <x:f>IFERROR(W43/SUM($D43:$DS43),0)</x:f>
        <x:v>0</x:v>
      </x:c>
      <x:c r="X44" s="35" t="n">
        <x:f>IFERROR(X43/SUM($D43:$DS43),0)</x:f>
        <x:v>0</x:v>
      </x:c>
      <x:c r="Y44" s="35" t="n">
        <x:f>IFERROR(Y43/SUM($D43:$DS43),0)</x:f>
        <x:v>0</x:v>
      </x:c>
      <x:c r="Z44" s="35" t="n">
        <x:f>IFERROR(Z43/SUM($D43:$DS43),0)</x:f>
        <x:v>0</x:v>
      </x:c>
      <x:c r="AA44" s="35" t="n">
        <x:f>IFERROR(AA43/SUM($D43:$DS43),0)</x:f>
        <x:v>0</x:v>
      </x:c>
      <x:c r="AB44" s="35" t="n">
        <x:f>IFERROR(AB43/SUM($D43:$DS43),0)</x:f>
        <x:v>0</x:v>
      </x:c>
      <x:c r="AC44" s="35" t="n">
        <x:f>IFERROR(AC43/SUM($D43:$DS43),0)</x:f>
        <x:v>0</x:v>
      </x:c>
      <x:c r="AD44" s="35" t="n">
        <x:f>IFERROR(AD43/SUM($D43:$DS43),0)</x:f>
        <x:v>0</x:v>
      </x:c>
      <x:c r="AE44" s="35" t="n">
        <x:f>IFERROR(AE43/SUM($D43:$DS43),0)</x:f>
        <x:v>0</x:v>
      </x:c>
      <x:c r="AF44" s="35" t="n">
        <x:f>IFERROR(AF43/SUM($D43:$DS43),0)</x:f>
        <x:v>0</x:v>
      </x:c>
      <x:c r="AG44" s="35" t="n">
        <x:f>IFERROR(AG43/SUM($D43:$DS43),0)</x:f>
        <x:v>0</x:v>
      </x:c>
      <x:c r="AH44" s="35" t="n">
        <x:f>IFERROR(AH43/SUM($D43:$DS43),0)</x:f>
        <x:v>0</x:v>
      </x:c>
      <x:c r="AI44" s="35" t="n">
        <x:f>IFERROR(AI43/SUM($D43:$DS43),0)</x:f>
        <x:v>0</x:v>
      </x:c>
      <x:c r="AJ44" s="35" t="n">
        <x:f>IFERROR(AJ43/SUM($D43:$DS43),0)</x:f>
        <x:v>0</x:v>
      </x:c>
      <x:c r="AK44" s="35" t="n">
        <x:f>IFERROR(AK43/SUM($D43:$DS43),0)</x:f>
        <x:v>0</x:v>
      </x:c>
      <x:c r="AL44" s="35" t="n">
        <x:f>IFERROR(AL43/SUM($D43:$DS43),0)</x:f>
        <x:v>0</x:v>
      </x:c>
      <x:c r="AM44" s="35" t="n">
        <x:f>IFERROR(AM43/SUM($D43:$DS43),0)</x:f>
        <x:v>0</x:v>
      </x:c>
      <x:c r="AN44" s="35" t="n">
        <x:f>IFERROR(AN43/SUM($D43:$DS43),0)</x:f>
        <x:v>0</x:v>
      </x:c>
      <x:c r="AO44" s="35" t="n">
        <x:f>IFERROR(AO43/SUM($D43:$DS43),0)</x:f>
        <x:v>0</x:v>
      </x:c>
      <x:c r="AP44" s="35" t="n">
        <x:f>IFERROR(AP43/SUM($D43:$DS43),0)</x:f>
        <x:v>0</x:v>
      </x:c>
      <x:c r="AQ44" s="35" t="n">
        <x:f>IFERROR(AQ43/SUM($D43:$DS43),0)</x:f>
        <x:v>0</x:v>
      </x:c>
      <x:c r="AR44" s="35" t="n">
        <x:f>IFERROR(AR43/SUM($D43:$DS43),0)</x:f>
        <x:v>0</x:v>
      </x:c>
      <x:c r="AS44" s="35" t="n">
        <x:f>IFERROR(AS43/SUM($D43:$DS43),0)</x:f>
        <x:v>0</x:v>
      </x:c>
      <x:c r="AT44" s="35" t="n">
        <x:f>IFERROR(AT43/SUM($D43:$DS43),0)</x:f>
        <x:v>0</x:v>
      </x:c>
      <x:c r="AU44" s="35" t="n">
        <x:f>IFERROR(AU43/SUM($D43:$DS43),0)</x:f>
        <x:v>0</x:v>
      </x:c>
      <x:c r="AV44" s="35" t="n">
        <x:f>IFERROR(AV43/SUM($D43:$DS43),0)</x:f>
        <x:v>0</x:v>
      </x:c>
      <x:c r="AW44" s="35" t="n">
        <x:f>IFERROR(AW43/SUM($D43:$DS43),0)</x:f>
        <x:v>0</x:v>
      </x:c>
      <x:c r="AX44" s="35" t="n">
        <x:f>IFERROR(AX43/SUM($D43:$DS43),0)</x:f>
        <x:v>0</x:v>
      </x:c>
      <x:c r="AY44" s="35" t="n">
        <x:f>IFERROR(AY43/SUM($D43:$DS43),0)</x:f>
        <x:v>0</x:v>
      </x:c>
      <x:c r="AZ44" s="35" t="n">
        <x:f>IFERROR(AZ43/SUM($D43:$DS43),0)</x:f>
        <x:v>0</x:v>
      </x:c>
      <x:c r="BA44" s="35" t="n">
        <x:f>IFERROR(BA43/SUM($D43:$DS43),0)</x:f>
        <x:v>0</x:v>
      </x:c>
      <x:c r="BB44" s="35" t="n">
        <x:f>IFERROR(BB43/SUM($D43:$DS43),0)</x:f>
        <x:v>0</x:v>
      </x:c>
      <x:c r="BC44" s="35" t="n">
        <x:f>IFERROR(BC43/SUM($D43:$DS43),0)</x:f>
        <x:v>0</x:v>
      </x:c>
      <x:c r="BD44" s="35" t="n">
        <x:f>IFERROR(BD43/SUM($D43:$DS43),0)</x:f>
        <x:v>0</x:v>
      </x:c>
      <x:c r="BE44" s="35" t="n">
        <x:f>IFERROR(BE43/SUM($D43:$DS43),0)</x:f>
        <x:v>0</x:v>
      </x:c>
      <x:c r="BF44" s="35" t="n">
        <x:f>IFERROR(BF43/SUM($D43:$DS43),0)</x:f>
        <x:v>0</x:v>
      </x:c>
      <x:c r="BG44" s="35" t="n">
        <x:f>IFERROR(BG43/SUM($D43:$DS43),0)</x:f>
        <x:v>0</x:v>
      </x:c>
      <x:c r="BH44" s="35" t="n">
        <x:f>IFERROR(BH43/SUM($D43:$DS43),0)</x:f>
        <x:v>0</x:v>
      </x:c>
      <x:c r="BI44" s="35" t="n">
        <x:f>IFERROR(BI43/SUM($D43:$DS43),0)</x:f>
        <x:v>0</x:v>
      </x:c>
      <x:c r="BJ44" s="35" t="n">
        <x:f>IFERROR(BJ43/SUM($D43:$DS43),0)</x:f>
        <x:v>0</x:v>
      </x:c>
      <x:c r="BK44" s="35" t="n">
        <x:f>IFERROR(BK43/SUM($D43:$DS43),0)</x:f>
        <x:v>0</x:v>
      </x:c>
      <x:c r="BL44" s="35" t="n">
        <x:f>IFERROR(BL43/SUM($D43:$DS43),0)</x:f>
        <x:v>0</x:v>
      </x:c>
      <x:c r="BM44" s="35" t="n">
        <x:f>IFERROR(BM43/SUM($D43:$DS43),0)</x:f>
        <x:v>0</x:v>
      </x:c>
      <x:c r="BN44" s="35" t="n">
        <x:f>IFERROR(BN43/SUM($D43:$DS43),0)</x:f>
        <x:v>0</x:v>
      </x:c>
      <x:c r="BO44" s="35" t="n">
        <x:f>IFERROR(BO43/SUM($D43:$DS43),0)</x:f>
        <x:v>0</x:v>
      </x:c>
      <x:c r="BP44" s="35" t="n">
        <x:f>IFERROR(BP43/SUM($D43:$DS43),0)</x:f>
        <x:v>0</x:v>
      </x:c>
      <x:c r="BQ44" s="35" t="n">
        <x:f>IFERROR(BQ43/SUM($D43:$DS43),0)</x:f>
        <x:v>0</x:v>
      </x:c>
      <x:c r="BR44" s="35" t="n">
        <x:f>IFERROR(BR43/SUM($D43:$DS43),0)</x:f>
        <x:v>0</x:v>
      </x:c>
      <x:c r="BS44" s="35" t="n">
        <x:f>IFERROR(BS43/SUM($D43:$DS43),0)</x:f>
        <x:v>0</x:v>
      </x:c>
      <x:c r="BT44" s="35" t="n">
        <x:f>IFERROR(BT43/SUM($D43:$DS43),0)</x:f>
        <x:v>0</x:v>
      </x:c>
      <x:c r="BU44" s="35" t="n">
        <x:f>IFERROR(BU43/SUM($D43:$DS43),0)</x:f>
        <x:v>0</x:v>
      </x:c>
      <x:c r="BV44" s="35" t="n">
        <x:f>IFERROR(BV43/SUM($D43:$DS43),0)</x:f>
        <x:v>0</x:v>
      </x:c>
      <x:c r="BW44" s="35" t="n">
        <x:f>IFERROR(BW43/SUM($D43:$DS43),0)</x:f>
        <x:v>0</x:v>
      </x:c>
      <x:c r="BX44" s="35" t="n">
        <x:f>IFERROR(BX43/SUM($D43:$DS43),0)</x:f>
        <x:v>0</x:v>
      </x:c>
      <x:c r="BY44" s="35" t="n">
        <x:f>IFERROR(BY43/SUM($D43:$DS43),0)</x:f>
        <x:v>0</x:v>
      </x:c>
      <x:c r="BZ44" s="35" t="n">
        <x:f>IFERROR(BZ43/SUM($D43:$DS43),0)</x:f>
        <x:v>0</x:v>
      </x:c>
      <x:c r="CA44" s="35" t="n">
        <x:f>IFERROR(CA43/SUM($D43:$DS43),0)</x:f>
        <x:v>0</x:v>
      </x:c>
      <x:c r="CB44" s="35" t="n">
        <x:f>IFERROR(CB43/SUM($D43:$DS43),0)</x:f>
        <x:v>0</x:v>
      </x:c>
      <x:c r="CC44" s="35" t="n">
        <x:f>IFERROR(CC43/SUM($D43:$DS43),0)</x:f>
        <x:v>0</x:v>
      </x:c>
      <x:c r="CD44" s="35" t="n">
        <x:f>IFERROR(CD43/SUM($D43:$DS43),0)</x:f>
        <x:v>0</x:v>
      </x:c>
      <x:c r="CE44" s="35" t="n">
        <x:f>IFERROR(CE43/SUM($D43:$DS43),0)</x:f>
        <x:v>0</x:v>
      </x:c>
      <x:c r="CF44" s="35" t="n">
        <x:f>IFERROR(CF43/SUM($D43:$DS43),0)</x:f>
        <x:v>0</x:v>
      </x:c>
      <x:c r="CG44" s="35" t="n">
        <x:f>IFERROR(CG43/SUM($D43:$DS43),0)</x:f>
        <x:v>0</x:v>
      </x:c>
      <x:c r="CH44" s="35" t="n">
        <x:f>IFERROR(CH43/SUM($D43:$DS43),0)</x:f>
        <x:v>0</x:v>
      </x:c>
      <x:c r="CI44" s="35" t="n">
        <x:f>IFERROR(CI43/SUM($D43:$DS43),0)</x:f>
        <x:v>0</x:v>
      </x:c>
      <x:c r="CJ44" s="35" t="n">
        <x:f>IFERROR(CJ43/SUM($D43:$DS43),0)</x:f>
        <x:v>0</x:v>
      </x:c>
      <x:c r="CK44" s="35" t="n">
        <x:f>IFERROR(CK43/SUM($D43:$DS43),0)</x:f>
        <x:v>0</x:v>
      </x:c>
      <x:c r="CL44" s="35" t="n">
        <x:f>IFERROR(CL43/SUM($D43:$DS43),0)</x:f>
        <x:v>0</x:v>
      </x:c>
      <x:c r="CM44" s="35" t="n">
        <x:f>IFERROR(CM43/SUM($D43:$DS43),0)</x:f>
        <x:v>0</x:v>
      </x:c>
      <x:c r="CN44" s="35" t="n">
        <x:f>IFERROR(CN43/SUM($D43:$DS43),0)</x:f>
        <x:v>0</x:v>
      </x:c>
      <x:c r="CO44" s="35" t="n">
        <x:f>IFERROR(CO43/SUM($D43:$DS43),0)</x:f>
        <x:v>0</x:v>
      </x:c>
      <x:c r="CP44" s="35" t="n">
        <x:f>IFERROR(CP43/SUM($D43:$DS43),0)</x:f>
        <x:v>0</x:v>
      </x:c>
      <x:c r="CQ44" s="35" t="n">
        <x:f>IFERROR(CQ43/SUM($D43:$DS43),0)</x:f>
        <x:v>0</x:v>
      </x:c>
      <x:c r="CR44" s="35" t="n">
        <x:f>IFERROR(CR43/SUM($D43:$DS43),0)</x:f>
        <x:v>0</x:v>
      </x:c>
      <x:c r="CS44" s="35" t="n">
        <x:f>IFERROR(CS43/SUM($D43:$DS43),0)</x:f>
        <x:v>0</x:v>
      </x:c>
      <x:c r="CT44" s="35" t="n">
        <x:f>IFERROR(CT43/SUM($D43:$DS43),0)</x:f>
        <x:v>0</x:v>
      </x:c>
      <x:c r="CU44" s="35" t="n">
        <x:f>IFERROR(CU43/SUM($D43:$DS43),0)</x:f>
        <x:v>0</x:v>
      </x:c>
      <x:c r="CV44" s="35" t="n">
        <x:f>IFERROR(CV43/SUM($D43:$DS43),0)</x:f>
        <x:v>0</x:v>
      </x:c>
      <x:c r="CW44" s="35" t="n">
        <x:f>IFERROR(CW43/SUM($D43:$DS43),0)</x:f>
        <x:v>0</x:v>
      </x:c>
      <x:c r="CX44" s="35" t="n">
        <x:f>IFERROR(CX43/SUM($D43:$DS43),0)</x:f>
        <x:v>0</x:v>
      </x:c>
      <x:c r="CY44" s="35" t="n">
        <x:f>IFERROR(CY43/SUM($D43:$DS43),0)</x:f>
        <x:v>0</x:v>
      </x:c>
      <x:c r="CZ44" s="35" t="n">
        <x:f>IFERROR(CZ43/SUM($D43:$DS43),0)</x:f>
        <x:v>0</x:v>
      </x:c>
      <x:c r="DA44" s="35" t="n">
        <x:f>IFERROR(DA43/SUM($D43:$DS43),0)</x:f>
        <x:v>0</x:v>
      </x:c>
      <x:c r="DB44" s="35" t="n">
        <x:f>IFERROR(DB43/SUM($D43:$DS43),0)</x:f>
        <x:v>0</x:v>
      </x:c>
      <x:c r="DC44" s="35" t="n">
        <x:f>IFERROR(DC43/SUM($D43:$DS43),0)</x:f>
        <x:v>0</x:v>
      </x:c>
      <x:c r="DD44" s="35" t="n">
        <x:f>IFERROR(DD43/SUM($D43:$DS43),0)</x:f>
        <x:v>0</x:v>
      </x:c>
      <x:c r="DE44" s="35" t="n">
        <x:f>IFERROR(DE43/SUM($D43:$DS43),0)</x:f>
        <x:v>0</x:v>
      </x:c>
      <x:c r="DF44" s="35" t="n">
        <x:f>IFERROR(DF43/SUM($D43:$DS43),0)</x:f>
        <x:v>0</x:v>
      </x:c>
      <x:c r="DG44" s="35" t="n">
        <x:f>IFERROR(DG43/SUM($D43:$DS43),0)</x:f>
        <x:v>0</x:v>
      </x:c>
      <x:c r="DH44" s="35" t="n">
        <x:f>IFERROR(DH43/SUM($D43:$DS43),0)</x:f>
        <x:v>0</x:v>
      </x:c>
      <x:c r="DI44" s="35" t="n">
        <x:f>IFERROR(DI43/SUM($D43:$DS43),0)</x:f>
        <x:v>0</x:v>
      </x:c>
      <x:c r="DJ44" s="35" t="n">
        <x:f>IFERROR(DJ43/SUM($D43:$DS43),0)</x:f>
        <x:v>0</x:v>
      </x:c>
      <x:c r="DK44" s="35" t="n">
        <x:f>IFERROR(DK43/SUM($D43:$DS43),0)</x:f>
        <x:v>0</x:v>
      </x:c>
      <x:c r="DL44" s="35" t="n">
        <x:f>IFERROR(DL43/SUM($D43:$DS43),0)</x:f>
        <x:v>0</x:v>
      </x:c>
      <x:c r="DM44" s="35" t="n">
        <x:f>IFERROR(DM43/SUM($D43:$DS43),0)</x:f>
        <x:v>0</x:v>
      </x:c>
      <x:c r="DN44" s="35" t="n">
        <x:f>IFERROR(DN43/SUM($D43:$DS43),0)</x:f>
        <x:v>0</x:v>
      </x:c>
      <x:c r="DO44" s="35" t="n">
        <x:f>IFERROR(DO43/SUM($D43:$DS43),0)</x:f>
        <x:v>0</x:v>
      </x:c>
      <x:c r="DP44" s="35" t="n">
        <x:f>IFERROR(DP43/SUM($D43:$DS43),0)</x:f>
        <x:v>0</x:v>
      </x:c>
      <x:c r="DQ44" s="35" t="n">
        <x:f>IFERROR(DQ43/SUM($D43:$DS43),0)</x:f>
        <x:v>0</x:v>
      </x:c>
      <x:c r="DR44" s="35" t="n">
        <x:f>IFERROR(DR43/SUM($D43:$DS43),0)</x:f>
        <x:v>0</x:v>
      </x:c>
      <x:c r="DS44" s="35" t="n">
        <x:f>IFERROR(DS43/SUM($D43:$DS43),0)</x:f>
        <x:v>0</x:v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--AND(D$3&gt;=$B$39,D$3&lt;$B$38,D$3&lt;EDATE($B$39,MAX(1,'Вводные'!$K$53)),AND($B$35="Да",IFERROR(INDEX('Вводные'!$B$88:$B$90,$B$36),"Нет")="Да"))</x:f>
        <x:v>0</x:v>
      </x:c>
      <x:c r="E45" s="35" t="n">
        <x:f>--AND(E$3&gt;=$B$39,E$3&lt;$B$38,E$3&lt;EDATE($B$39,MAX(1,'Вводные'!$K$53)),AND($B$35="Да",IFERROR(INDEX('Вводные'!$B$88:$B$90,$B$36),"Нет")="Да"))</x:f>
        <x:v>0</x:v>
      </x:c>
      <x:c r="F45" s="35" t="n">
        <x:f>--AND(F$3&gt;=$B$39,F$3&lt;$B$38,F$3&lt;EDATE($B$39,MAX(1,'Вводные'!$K$53)),AND($B$35="Да",IFERROR(INDEX('Вводные'!$B$88:$B$90,$B$36),"Нет")="Да"))</x:f>
        <x:v>0</x:v>
      </x:c>
      <x:c r="G45" s="35" t="n">
        <x:f>--AND(G$3&gt;=$B$39,G$3&lt;$B$38,G$3&lt;EDATE($B$39,MAX(1,'Вводные'!$K$53)),AND($B$35="Да",IFERROR(INDEX('Вводные'!$B$88:$B$90,$B$36),"Нет")="Да"))</x:f>
        <x:v>0</x:v>
      </x:c>
      <x:c r="H45" s="35" t="n">
        <x:f>--AND(H$3&gt;=$B$39,H$3&lt;$B$38,H$3&lt;EDATE($B$39,MAX(1,'Вводные'!$K$53)),AND($B$35="Да",IFERROR(INDEX('Вводные'!$B$88:$B$90,$B$36),"Нет")="Да"))</x:f>
        <x:v>0</x:v>
      </x:c>
      <x:c r="I45" s="35" t="n">
        <x:f>--AND(I$3&gt;=$B$39,I$3&lt;$B$38,I$3&lt;EDATE($B$39,MAX(1,'Вводные'!$K$53)),AND($B$35="Да",IFERROR(INDEX('Вводные'!$B$88:$B$90,$B$36),"Нет")="Да"))</x:f>
        <x:v>0</x:v>
      </x:c>
      <x:c r="J45" s="35" t="n">
        <x:f>--AND(J$3&gt;=$B$39,J$3&lt;$B$38,J$3&lt;EDATE($B$39,MAX(1,'Вводные'!$K$53)),AND($B$35="Да",IFERROR(INDEX('Вводные'!$B$88:$B$90,$B$36),"Нет")="Да"))</x:f>
        <x:v>0</x:v>
      </x:c>
      <x:c r="K45" s="35" t="n">
        <x:f>--AND(K$3&gt;=$B$39,K$3&lt;$B$38,K$3&lt;EDATE($B$39,MAX(1,'Вводные'!$K$53)),AND($B$35="Да",IFERROR(INDEX('Вводные'!$B$88:$B$90,$B$36),"Нет")="Да"))</x:f>
        <x:v>0</x:v>
      </x:c>
      <x:c r="L45" s="35" t="n">
        <x:f>--AND(L$3&gt;=$B$39,L$3&lt;$B$38,L$3&lt;EDATE($B$39,MAX(1,'Вводные'!$K$53)),AND($B$35="Да",IFERROR(INDEX('Вводные'!$B$88:$B$90,$B$36),"Нет")="Да"))</x:f>
        <x:v>0</x:v>
      </x:c>
      <x:c r="M45" s="35" t="n">
        <x:f>--AND(M$3&gt;=$B$39,M$3&lt;$B$38,M$3&lt;EDATE($B$39,MAX(1,'Вводные'!$K$53)),AND($B$35="Да",IFERROR(INDEX('Вводные'!$B$88:$B$90,$B$36),"Нет")="Да"))</x:f>
        <x:v>0</x:v>
      </x:c>
      <x:c r="N45" s="35" t="n">
        <x:f>--AND(N$3&gt;=$B$39,N$3&lt;$B$38,N$3&lt;EDATE($B$39,MAX(1,'Вводные'!$K$53)),AND($B$35="Да",IFERROR(INDEX('Вводные'!$B$88:$B$90,$B$36),"Нет")="Да"))</x:f>
        <x:v>0</x:v>
      </x:c>
      <x:c r="O45" s="35" t="n">
        <x:f>--AND(O$3&gt;=$B$39,O$3&lt;$B$38,O$3&lt;EDATE($B$39,MAX(1,'Вводные'!$K$53)),AND($B$35="Да",IFERROR(INDEX('Вводные'!$B$88:$B$90,$B$36),"Нет")="Да"))</x:f>
        <x:v>0</x:v>
      </x:c>
      <x:c r="P45" s="35" t="n">
        <x:f>--AND(P$3&gt;=$B$39,P$3&lt;$B$38,P$3&lt;EDATE($B$39,MAX(1,'Вводные'!$K$53)),AND($B$35="Да",IFERROR(INDEX('Вводные'!$B$88:$B$90,$B$36),"Нет")="Да"))</x:f>
        <x:v>0</x:v>
      </x:c>
      <x:c r="Q45" s="35" t="n">
        <x:f>--AND(Q$3&gt;=$B$39,Q$3&lt;$B$38,Q$3&lt;EDATE($B$39,MAX(1,'Вводные'!$K$53)),AND($B$35="Да",IFERROR(INDEX('Вводные'!$B$88:$B$90,$B$36),"Нет")="Да"))</x:f>
        <x:v>0</x:v>
      </x:c>
      <x:c r="R45" s="35" t="n">
        <x:f>--AND(R$3&gt;=$B$39,R$3&lt;$B$38,R$3&lt;EDATE($B$39,MAX(1,'Вводные'!$K$53)),AND($B$35="Да",IFERROR(INDEX('Вводные'!$B$88:$B$90,$B$36),"Нет")="Да"))</x:f>
        <x:v>0</x:v>
      </x:c>
      <x:c r="S45" s="35" t="n">
        <x:f>--AND(S$3&gt;=$B$39,S$3&lt;$B$38,S$3&lt;EDATE($B$39,MAX(1,'Вводные'!$K$53)),AND($B$35="Да",IFERROR(INDEX('Вводные'!$B$88:$B$90,$B$36),"Нет")="Да"))</x:f>
        <x:v>0</x:v>
      </x:c>
      <x:c r="T45" s="35" t="n">
        <x:f>--AND(T$3&gt;=$B$39,T$3&lt;$B$38,T$3&lt;EDATE($B$39,MAX(1,'Вводные'!$K$53)),AND($B$35="Да",IFERROR(INDEX('Вводные'!$B$88:$B$90,$B$36),"Нет")="Да"))</x:f>
        <x:v>0</x:v>
      </x:c>
      <x:c r="U45" s="35" t="n">
        <x:f>--AND(U$3&gt;=$B$39,U$3&lt;$B$38,U$3&lt;EDATE($B$39,MAX(1,'Вводные'!$K$53)),AND($B$35="Да",IFERROR(INDEX('Вводные'!$B$88:$B$90,$B$36),"Нет")="Да"))</x:f>
        <x:v>0</x:v>
      </x:c>
      <x:c r="V45" s="35" t="n">
        <x:f>--AND(V$3&gt;=$B$39,V$3&lt;$B$38,V$3&lt;EDATE($B$39,MAX(1,'Вводные'!$K$53)),AND($B$35="Да",IFERROR(INDEX('Вводные'!$B$88:$B$90,$B$36),"Нет")="Да"))</x:f>
        <x:v>0</x:v>
      </x:c>
      <x:c r="W45" s="35" t="n">
        <x:f>--AND(W$3&gt;=$B$39,W$3&lt;$B$38,W$3&lt;EDATE($B$39,MAX(1,'Вводные'!$K$53)),AND($B$35="Да",IFERROR(INDEX('Вводные'!$B$88:$B$90,$B$36),"Нет")="Да"))</x:f>
        <x:v>0</x:v>
      </x:c>
      <x:c r="X45" s="35" t="n">
        <x:f>--AND(X$3&gt;=$B$39,X$3&lt;$B$38,X$3&lt;EDATE($B$39,MAX(1,'Вводные'!$K$53)),AND($B$35="Да",IFERROR(INDEX('Вводные'!$B$88:$B$90,$B$36),"Нет")="Да"))</x:f>
        <x:v>0</x:v>
      </x:c>
      <x:c r="Y45" s="35" t="n">
        <x:f>--AND(Y$3&gt;=$B$39,Y$3&lt;$B$38,Y$3&lt;EDATE($B$39,MAX(1,'Вводные'!$K$53)),AND($B$35="Да",IFERROR(INDEX('Вводные'!$B$88:$B$90,$B$36),"Нет")="Да"))</x:f>
        <x:v>0</x:v>
      </x:c>
      <x:c r="Z45" s="35" t="n">
        <x:f>--AND(Z$3&gt;=$B$39,Z$3&lt;$B$38,Z$3&lt;EDATE($B$39,MAX(1,'Вводные'!$K$53)),AND($B$35="Да",IFERROR(INDEX('Вводные'!$B$88:$B$90,$B$36),"Нет")="Да"))</x:f>
        <x:v>0</x:v>
      </x:c>
      <x:c r="AA45" s="35" t="n">
        <x:f>--AND(AA$3&gt;=$B$39,AA$3&lt;$B$38,AA$3&lt;EDATE($B$39,MAX(1,'Вводные'!$K$53)),AND($B$35="Да",IFERROR(INDEX('Вводные'!$B$88:$B$90,$B$36),"Нет")="Да"))</x:f>
        <x:v>0</x:v>
      </x:c>
      <x:c r="AB45" s="35" t="n">
        <x:f>--AND(AB$3&gt;=$B$39,AB$3&lt;$B$38,AB$3&lt;EDATE($B$39,MAX(1,'Вводные'!$K$53)),AND($B$35="Да",IFERROR(INDEX('Вводные'!$B$88:$B$90,$B$36),"Нет")="Да"))</x:f>
        <x:v>0</x:v>
      </x:c>
      <x:c r="AC45" s="35" t="n">
        <x:f>--AND(AC$3&gt;=$B$39,AC$3&lt;$B$38,AC$3&lt;EDATE($B$39,MAX(1,'Вводные'!$K$53)),AND($B$35="Да",IFERROR(INDEX('Вводные'!$B$88:$B$90,$B$36),"Нет")="Да"))</x:f>
        <x:v>0</x:v>
      </x:c>
      <x:c r="AD45" s="35" t="n">
        <x:f>--AND(AD$3&gt;=$B$39,AD$3&lt;$B$38,AD$3&lt;EDATE($B$39,MAX(1,'Вводные'!$K$53)),AND($B$35="Да",IFERROR(INDEX('Вводные'!$B$88:$B$90,$B$36),"Нет")="Да"))</x:f>
        <x:v>0</x:v>
      </x:c>
      <x:c r="AE45" s="35" t="n">
        <x:f>--AND(AE$3&gt;=$B$39,AE$3&lt;$B$38,AE$3&lt;EDATE($B$39,MAX(1,'Вводные'!$K$53)),AND($B$35="Да",IFERROR(INDEX('Вводные'!$B$88:$B$90,$B$36),"Нет")="Да"))</x:f>
        <x:v>0</x:v>
      </x:c>
      <x:c r="AF45" s="35" t="n">
        <x:f>--AND(AF$3&gt;=$B$39,AF$3&lt;$B$38,AF$3&lt;EDATE($B$39,MAX(1,'Вводные'!$K$53)),AND($B$35="Да",IFERROR(INDEX('Вводные'!$B$88:$B$90,$B$36),"Нет")="Да"))</x:f>
        <x:v>0</x:v>
      </x:c>
      <x:c r="AG45" s="35" t="n">
        <x:f>--AND(AG$3&gt;=$B$39,AG$3&lt;$B$38,AG$3&lt;EDATE($B$39,MAX(1,'Вводные'!$K$53)),AND($B$35="Да",IFERROR(INDEX('Вводные'!$B$88:$B$90,$B$36),"Нет")="Да"))</x:f>
        <x:v>0</x:v>
      </x:c>
      <x:c r="AH45" s="35" t="n">
        <x:f>--AND(AH$3&gt;=$B$39,AH$3&lt;$B$38,AH$3&lt;EDATE($B$39,MAX(1,'Вводные'!$K$53)),AND($B$35="Да",IFERROR(INDEX('Вводные'!$B$88:$B$90,$B$36),"Нет")="Да"))</x:f>
        <x:v>0</x:v>
      </x:c>
      <x:c r="AI45" s="35" t="n">
        <x:f>--AND(AI$3&gt;=$B$39,AI$3&lt;$B$38,AI$3&lt;EDATE($B$39,MAX(1,'Вводные'!$K$53)),AND($B$35="Да",IFERROR(INDEX('Вводные'!$B$88:$B$90,$B$36),"Нет")="Да"))</x:f>
        <x:v>0</x:v>
      </x:c>
      <x:c r="AJ45" s="35" t="n">
        <x:f>--AND(AJ$3&gt;=$B$39,AJ$3&lt;$B$38,AJ$3&lt;EDATE($B$39,MAX(1,'Вводные'!$K$53)),AND($B$35="Да",IFERROR(INDEX('Вводные'!$B$88:$B$90,$B$36),"Нет")="Да"))</x:f>
        <x:v>0</x:v>
      </x:c>
      <x:c r="AK45" s="35" t="n">
        <x:f>--AND(AK$3&gt;=$B$39,AK$3&lt;$B$38,AK$3&lt;EDATE($B$39,MAX(1,'Вводные'!$K$53)),AND($B$35="Да",IFERROR(INDEX('Вводные'!$B$88:$B$90,$B$36),"Нет")="Да"))</x:f>
        <x:v>0</x:v>
      </x:c>
      <x:c r="AL45" s="35" t="n">
        <x:f>--AND(AL$3&gt;=$B$39,AL$3&lt;$B$38,AL$3&lt;EDATE($B$39,MAX(1,'Вводные'!$K$53)),AND($B$35="Да",IFERROR(INDEX('Вводные'!$B$88:$B$90,$B$36),"Нет")="Да"))</x:f>
        <x:v>0</x:v>
      </x:c>
      <x:c r="AM45" s="35" t="n">
        <x:f>--AND(AM$3&gt;=$B$39,AM$3&lt;$B$38,AM$3&lt;EDATE($B$39,MAX(1,'Вводные'!$K$53)),AND($B$35="Да",IFERROR(INDEX('Вводные'!$B$88:$B$90,$B$36),"Нет")="Да"))</x:f>
        <x:v>0</x:v>
      </x:c>
      <x:c r="AN45" s="35" t="n">
        <x:f>--AND(AN$3&gt;=$B$39,AN$3&lt;$B$38,AN$3&lt;EDATE($B$39,MAX(1,'Вводные'!$K$53)),AND($B$35="Да",IFERROR(INDEX('Вводные'!$B$88:$B$90,$B$36),"Нет")="Да"))</x:f>
        <x:v>0</x:v>
      </x:c>
      <x:c r="AO45" s="35" t="n">
        <x:f>--AND(AO$3&gt;=$B$39,AO$3&lt;$B$38,AO$3&lt;EDATE($B$39,MAX(1,'Вводные'!$K$53)),AND($B$35="Да",IFERROR(INDEX('Вводные'!$B$88:$B$90,$B$36),"Нет")="Да"))</x:f>
        <x:v>0</x:v>
      </x:c>
      <x:c r="AP45" s="35" t="n">
        <x:f>--AND(AP$3&gt;=$B$39,AP$3&lt;$B$38,AP$3&lt;EDATE($B$39,MAX(1,'Вводные'!$K$53)),AND($B$35="Да",IFERROR(INDEX('Вводные'!$B$88:$B$90,$B$36),"Нет")="Да"))</x:f>
        <x:v>0</x:v>
      </x:c>
      <x:c r="AQ45" s="35" t="n">
        <x:f>--AND(AQ$3&gt;=$B$39,AQ$3&lt;$B$38,AQ$3&lt;EDATE($B$39,MAX(1,'Вводные'!$K$53)),AND($B$35="Да",IFERROR(INDEX('Вводные'!$B$88:$B$90,$B$36),"Нет")="Да"))</x:f>
        <x:v>0</x:v>
      </x:c>
      <x:c r="AR45" s="35" t="n">
        <x:f>--AND(AR$3&gt;=$B$39,AR$3&lt;$B$38,AR$3&lt;EDATE($B$39,MAX(1,'Вводные'!$K$53)),AND($B$35="Да",IFERROR(INDEX('Вводные'!$B$88:$B$90,$B$36),"Нет")="Да"))</x:f>
        <x:v>0</x:v>
      </x:c>
      <x:c r="AS45" s="35" t="n">
        <x:f>--AND(AS$3&gt;=$B$39,AS$3&lt;$B$38,AS$3&lt;EDATE($B$39,MAX(1,'Вводные'!$K$53)),AND($B$35="Да",IFERROR(INDEX('Вводные'!$B$88:$B$90,$B$36),"Нет")="Да"))</x:f>
        <x:v>0</x:v>
      </x:c>
      <x:c r="AT45" s="35" t="n">
        <x:f>--AND(AT$3&gt;=$B$39,AT$3&lt;$B$38,AT$3&lt;EDATE($B$39,MAX(1,'Вводные'!$K$53)),AND($B$35="Да",IFERROR(INDEX('Вводные'!$B$88:$B$90,$B$36),"Нет")="Да"))</x:f>
        <x:v>0</x:v>
      </x:c>
      <x:c r="AU45" s="35" t="n">
        <x:f>--AND(AU$3&gt;=$B$39,AU$3&lt;$B$38,AU$3&lt;EDATE($B$39,MAX(1,'Вводные'!$K$53)),AND($B$35="Да",IFERROR(INDEX('Вводные'!$B$88:$B$90,$B$36),"Нет")="Да"))</x:f>
        <x:v>0</x:v>
      </x:c>
      <x:c r="AV45" s="35" t="n">
        <x:f>--AND(AV$3&gt;=$B$39,AV$3&lt;$B$38,AV$3&lt;EDATE($B$39,MAX(1,'Вводные'!$K$53)),AND($B$35="Да",IFERROR(INDEX('Вводные'!$B$88:$B$90,$B$36),"Нет")="Да"))</x:f>
        <x:v>0</x:v>
      </x:c>
      <x:c r="AW45" s="35" t="n">
        <x:f>--AND(AW$3&gt;=$B$39,AW$3&lt;$B$38,AW$3&lt;EDATE($B$39,MAX(1,'Вводные'!$K$53)),AND($B$35="Да",IFERROR(INDEX('Вводные'!$B$88:$B$90,$B$36),"Нет")="Да"))</x:f>
        <x:v>0</x:v>
      </x:c>
      <x:c r="AX45" s="35" t="n">
        <x:f>--AND(AX$3&gt;=$B$39,AX$3&lt;$B$38,AX$3&lt;EDATE($B$39,MAX(1,'Вводные'!$K$53)),AND($B$35="Да",IFERROR(INDEX('Вводные'!$B$88:$B$90,$B$36),"Нет")="Да"))</x:f>
        <x:v>0</x:v>
      </x:c>
      <x:c r="AY45" s="35" t="n">
        <x:f>--AND(AY$3&gt;=$B$39,AY$3&lt;$B$38,AY$3&lt;EDATE($B$39,MAX(1,'Вводные'!$K$53)),AND($B$35="Да",IFERROR(INDEX('Вводные'!$B$88:$B$90,$B$36),"Нет")="Да"))</x:f>
        <x:v>0</x:v>
      </x:c>
      <x:c r="AZ45" s="35" t="n">
        <x:f>--AND(AZ$3&gt;=$B$39,AZ$3&lt;$B$38,AZ$3&lt;EDATE($B$39,MAX(1,'Вводные'!$K$53)),AND($B$35="Да",IFERROR(INDEX('Вводные'!$B$88:$B$90,$B$36),"Нет")="Да"))</x:f>
        <x:v>0</x:v>
      </x:c>
      <x:c r="BA45" s="35" t="n">
        <x:f>--AND(BA$3&gt;=$B$39,BA$3&lt;$B$38,BA$3&lt;EDATE($B$39,MAX(1,'Вводные'!$K$53)),AND($B$35="Да",IFERROR(INDEX('Вводные'!$B$88:$B$90,$B$36),"Нет")="Да"))</x:f>
        <x:v>0</x:v>
      </x:c>
      <x:c r="BB45" s="35" t="n">
        <x:f>--AND(BB$3&gt;=$B$39,BB$3&lt;$B$38,BB$3&lt;EDATE($B$39,MAX(1,'Вводные'!$K$53)),AND($B$35="Да",IFERROR(INDEX('Вводные'!$B$88:$B$90,$B$36),"Нет")="Да"))</x:f>
        <x:v>0</x:v>
      </x:c>
      <x:c r="BC45" s="35" t="n">
        <x:f>--AND(BC$3&gt;=$B$39,BC$3&lt;$B$38,BC$3&lt;EDATE($B$39,MAX(1,'Вводные'!$K$53)),AND($B$35="Да",IFERROR(INDEX('Вводные'!$B$88:$B$90,$B$36),"Нет")="Да"))</x:f>
        <x:v>0</x:v>
      </x:c>
      <x:c r="BD45" s="35" t="n">
        <x:f>--AND(BD$3&gt;=$B$39,BD$3&lt;$B$38,BD$3&lt;EDATE($B$39,MAX(1,'Вводные'!$K$53)),AND($B$35="Да",IFERROR(INDEX('Вводные'!$B$88:$B$90,$B$36),"Нет")="Да"))</x:f>
        <x:v>0</x:v>
      </x:c>
      <x:c r="BE45" s="35" t="n">
        <x:f>--AND(BE$3&gt;=$B$39,BE$3&lt;$B$38,BE$3&lt;EDATE($B$39,MAX(1,'Вводные'!$K$53)),AND($B$35="Да",IFERROR(INDEX('Вводные'!$B$88:$B$90,$B$36),"Нет")="Да"))</x:f>
        <x:v>0</x:v>
      </x:c>
      <x:c r="BF45" s="35" t="n">
        <x:f>--AND(BF$3&gt;=$B$39,BF$3&lt;$B$38,BF$3&lt;EDATE($B$39,MAX(1,'Вводные'!$K$53)),AND($B$35="Да",IFERROR(INDEX('Вводные'!$B$88:$B$90,$B$36),"Нет")="Да"))</x:f>
        <x:v>0</x:v>
      </x:c>
      <x:c r="BG45" s="35" t="n">
        <x:f>--AND(BG$3&gt;=$B$39,BG$3&lt;$B$38,BG$3&lt;EDATE($B$39,MAX(1,'Вводные'!$K$53)),AND($B$35="Да",IFERROR(INDEX('Вводные'!$B$88:$B$90,$B$36),"Нет")="Да"))</x:f>
        <x:v>0</x:v>
      </x:c>
      <x:c r="BH45" s="35" t="n">
        <x:f>--AND(BH$3&gt;=$B$39,BH$3&lt;$B$38,BH$3&lt;EDATE($B$39,MAX(1,'Вводные'!$K$53)),AND($B$35="Да",IFERROR(INDEX('Вводные'!$B$88:$B$90,$B$36),"Нет")="Да"))</x:f>
        <x:v>0</x:v>
      </x:c>
      <x:c r="BI45" s="35" t="n">
        <x:f>--AND(BI$3&gt;=$B$39,BI$3&lt;$B$38,BI$3&lt;EDATE($B$39,MAX(1,'Вводные'!$K$53)),AND($B$35="Да",IFERROR(INDEX('Вводные'!$B$88:$B$90,$B$36),"Нет")="Да"))</x:f>
        <x:v>0</x:v>
      </x:c>
      <x:c r="BJ45" s="35" t="n">
        <x:f>--AND(BJ$3&gt;=$B$39,BJ$3&lt;$B$38,BJ$3&lt;EDATE($B$39,MAX(1,'Вводные'!$K$53)),AND($B$35="Да",IFERROR(INDEX('Вводные'!$B$88:$B$90,$B$36),"Нет")="Да"))</x:f>
        <x:v>0</x:v>
      </x:c>
      <x:c r="BK45" s="35" t="n">
        <x:f>--AND(BK$3&gt;=$B$39,BK$3&lt;$B$38,BK$3&lt;EDATE($B$39,MAX(1,'Вводные'!$K$53)),AND($B$35="Да",IFERROR(INDEX('Вводные'!$B$88:$B$90,$B$36),"Нет")="Да"))</x:f>
        <x:v>0</x:v>
      </x:c>
      <x:c r="BL45" s="35" t="n">
        <x:f>--AND(BL$3&gt;=$B$39,BL$3&lt;$B$38,BL$3&lt;EDATE($B$39,MAX(1,'Вводные'!$K$53)),AND($B$35="Да",IFERROR(INDEX('Вводные'!$B$88:$B$90,$B$36),"Нет")="Да"))</x:f>
        <x:v>0</x:v>
      </x:c>
      <x:c r="BM45" s="35" t="n">
        <x:f>--AND(BM$3&gt;=$B$39,BM$3&lt;$B$38,BM$3&lt;EDATE($B$39,MAX(1,'Вводные'!$K$53)),AND($B$35="Да",IFERROR(INDEX('Вводные'!$B$88:$B$90,$B$36),"Нет")="Да"))</x:f>
        <x:v>0</x:v>
      </x:c>
      <x:c r="BN45" s="35" t="n">
        <x:f>--AND(BN$3&gt;=$B$39,BN$3&lt;$B$38,BN$3&lt;EDATE($B$39,MAX(1,'Вводные'!$K$53)),AND($B$35="Да",IFERROR(INDEX('Вводные'!$B$88:$B$90,$B$36),"Нет")="Да"))</x:f>
        <x:v>0</x:v>
      </x:c>
      <x:c r="BO45" s="35" t="n">
        <x:f>--AND(BO$3&gt;=$B$39,BO$3&lt;$B$38,BO$3&lt;EDATE($B$39,MAX(1,'Вводные'!$K$53)),AND($B$35="Да",IFERROR(INDEX('Вводные'!$B$88:$B$90,$B$36),"Нет")="Да"))</x:f>
        <x:v>0</x:v>
      </x:c>
      <x:c r="BP45" s="35" t="n">
        <x:f>--AND(BP$3&gt;=$B$39,BP$3&lt;$B$38,BP$3&lt;EDATE($B$39,MAX(1,'Вводные'!$K$53)),AND($B$35="Да",IFERROR(INDEX('Вводные'!$B$88:$B$90,$B$36),"Нет")="Да"))</x:f>
        <x:v>0</x:v>
      </x:c>
      <x:c r="BQ45" s="35" t="n">
        <x:f>--AND(BQ$3&gt;=$B$39,BQ$3&lt;$B$38,BQ$3&lt;EDATE($B$39,MAX(1,'Вводные'!$K$53)),AND($B$35="Да",IFERROR(INDEX('Вводные'!$B$88:$B$90,$B$36),"Нет")="Да"))</x:f>
        <x:v>0</x:v>
      </x:c>
      <x:c r="BR45" s="35" t="n">
        <x:f>--AND(BR$3&gt;=$B$39,BR$3&lt;$B$38,BR$3&lt;EDATE($B$39,MAX(1,'Вводные'!$K$53)),AND($B$35="Да",IFERROR(INDEX('Вводные'!$B$88:$B$90,$B$36),"Нет")="Да"))</x:f>
        <x:v>0</x:v>
      </x:c>
      <x:c r="BS45" s="35" t="n">
        <x:f>--AND(BS$3&gt;=$B$39,BS$3&lt;$B$38,BS$3&lt;EDATE($B$39,MAX(1,'Вводные'!$K$53)),AND($B$35="Да",IFERROR(INDEX('Вводные'!$B$88:$B$90,$B$36),"Нет")="Да"))</x:f>
        <x:v>0</x:v>
      </x:c>
      <x:c r="BT45" s="35" t="n">
        <x:f>--AND(BT$3&gt;=$B$39,BT$3&lt;$B$38,BT$3&lt;EDATE($B$39,MAX(1,'Вводные'!$K$53)),AND($B$35="Да",IFERROR(INDEX('Вводные'!$B$88:$B$90,$B$36),"Нет")="Да"))</x:f>
        <x:v>0</x:v>
      </x:c>
      <x:c r="BU45" s="35" t="n">
        <x:f>--AND(BU$3&gt;=$B$39,BU$3&lt;$B$38,BU$3&lt;EDATE($B$39,MAX(1,'Вводные'!$K$53)),AND($B$35="Да",IFERROR(INDEX('Вводные'!$B$88:$B$90,$B$36),"Нет")="Да"))</x:f>
        <x:v>0</x:v>
      </x:c>
      <x:c r="BV45" s="35" t="n">
        <x:f>--AND(BV$3&gt;=$B$39,BV$3&lt;$B$38,BV$3&lt;EDATE($B$39,MAX(1,'Вводные'!$K$53)),AND($B$35="Да",IFERROR(INDEX('Вводные'!$B$88:$B$90,$B$36),"Нет")="Да"))</x:f>
        <x:v>0</x:v>
      </x:c>
      <x:c r="BW45" s="35" t="n">
        <x:f>--AND(BW$3&gt;=$B$39,BW$3&lt;$B$38,BW$3&lt;EDATE($B$39,MAX(1,'Вводные'!$K$53)),AND($B$35="Да",IFERROR(INDEX('Вводные'!$B$88:$B$90,$B$36),"Нет")="Да"))</x:f>
        <x:v>0</x:v>
      </x:c>
      <x:c r="BX45" s="35" t="n">
        <x:f>--AND(BX$3&gt;=$B$39,BX$3&lt;$B$38,BX$3&lt;EDATE($B$39,MAX(1,'Вводные'!$K$53)),AND($B$35="Да",IFERROR(INDEX('Вводные'!$B$88:$B$90,$B$36),"Нет")="Да"))</x:f>
        <x:v>0</x:v>
      </x:c>
      <x:c r="BY45" s="35" t="n">
        <x:f>--AND(BY$3&gt;=$B$39,BY$3&lt;$B$38,BY$3&lt;EDATE($B$39,MAX(1,'Вводные'!$K$53)),AND($B$35="Да",IFERROR(INDEX('Вводные'!$B$88:$B$90,$B$36),"Нет")="Да"))</x:f>
        <x:v>0</x:v>
      </x:c>
      <x:c r="BZ45" s="35" t="n">
        <x:f>--AND(BZ$3&gt;=$B$39,BZ$3&lt;$B$38,BZ$3&lt;EDATE($B$39,MAX(1,'Вводные'!$K$53)),AND($B$35="Да",IFERROR(INDEX('Вводные'!$B$88:$B$90,$B$36),"Нет")="Да"))</x:f>
        <x:v>0</x:v>
      </x:c>
      <x:c r="CA45" s="35" t="n">
        <x:f>--AND(CA$3&gt;=$B$39,CA$3&lt;$B$38,CA$3&lt;EDATE($B$39,MAX(1,'Вводные'!$K$53)),AND($B$35="Да",IFERROR(INDEX('Вводные'!$B$88:$B$90,$B$36),"Нет")="Да"))</x:f>
        <x:v>0</x:v>
      </x:c>
      <x:c r="CB45" s="35" t="n">
        <x:f>--AND(CB$3&gt;=$B$39,CB$3&lt;$B$38,CB$3&lt;EDATE($B$39,MAX(1,'Вводные'!$K$53)),AND($B$35="Да",IFERROR(INDEX('Вводные'!$B$88:$B$90,$B$36),"Нет")="Да"))</x:f>
        <x:v>0</x:v>
      </x:c>
      <x:c r="CC45" s="35" t="n">
        <x:f>--AND(CC$3&gt;=$B$39,CC$3&lt;$B$38,CC$3&lt;EDATE($B$39,MAX(1,'Вводные'!$K$53)),AND($B$35="Да",IFERROR(INDEX('Вводные'!$B$88:$B$90,$B$36),"Нет")="Да"))</x:f>
        <x:v>0</x:v>
      </x:c>
      <x:c r="CD45" s="35" t="n">
        <x:f>--AND(CD$3&gt;=$B$39,CD$3&lt;$B$38,CD$3&lt;EDATE($B$39,MAX(1,'Вводные'!$K$53)),AND($B$35="Да",IFERROR(INDEX('Вводные'!$B$88:$B$90,$B$36),"Нет")="Да"))</x:f>
        <x:v>0</x:v>
      </x:c>
      <x:c r="CE45" s="35" t="n">
        <x:f>--AND(CE$3&gt;=$B$39,CE$3&lt;$B$38,CE$3&lt;EDATE($B$39,MAX(1,'Вводные'!$K$53)),AND($B$35="Да",IFERROR(INDEX('Вводные'!$B$88:$B$90,$B$36),"Нет")="Да"))</x:f>
        <x:v>0</x:v>
      </x:c>
      <x:c r="CF45" s="35" t="n">
        <x:f>--AND(CF$3&gt;=$B$39,CF$3&lt;$B$38,CF$3&lt;EDATE($B$39,MAX(1,'Вводные'!$K$53)),AND($B$35="Да",IFERROR(INDEX('Вводные'!$B$88:$B$90,$B$36),"Нет")="Да"))</x:f>
        <x:v>0</x:v>
      </x:c>
      <x:c r="CG45" s="35" t="n">
        <x:f>--AND(CG$3&gt;=$B$39,CG$3&lt;$B$38,CG$3&lt;EDATE($B$39,MAX(1,'Вводные'!$K$53)),AND($B$35="Да",IFERROR(INDEX('Вводные'!$B$88:$B$90,$B$36),"Нет")="Да"))</x:f>
        <x:v>0</x:v>
      </x:c>
      <x:c r="CH45" s="35" t="n">
        <x:f>--AND(CH$3&gt;=$B$39,CH$3&lt;$B$38,CH$3&lt;EDATE($B$39,MAX(1,'Вводные'!$K$53)),AND($B$35="Да",IFERROR(INDEX('Вводные'!$B$88:$B$90,$B$36),"Нет")="Да"))</x:f>
        <x:v>0</x:v>
      </x:c>
      <x:c r="CI45" s="35" t="n">
        <x:f>--AND(CI$3&gt;=$B$39,CI$3&lt;$B$38,CI$3&lt;EDATE($B$39,MAX(1,'Вводные'!$K$53)),AND($B$35="Да",IFERROR(INDEX('Вводные'!$B$88:$B$90,$B$36),"Нет")="Да"))</x:f>
        <x:v>0</x:v>
      </x:c>
      <x:c r="CJ45" s="35" t="n">
        <x:f>--AND(CJ$3&gt;=$B$39,CJ$3&lt;$B$38,CJ$3&lt;EDATE($B$39,MAX(1,'Вводные'!$K$53)),AND($B$35="Да",IFERROR(INDEX('Вводные'!$B$88:$B$90,$B$36),"Нет")="Да"))</x:f>
        <x:v>0</x:v>
      </x:c>
      <x:c r="CK45" s="35" t="n">
        <x:f>--AND(CK$3&gt;=$B$39,CK$3&lt;$B$38,CK$3&lt;EDATE($B$39,MAX(1,'Вводные'!$K$53)),AND($B$35="Да",IFERROR(INDEX('Вводные'!$B$88:$B$90,$B$36),"Нет")="Да"))</x:f>
        <x:v>0</x:v>
      </x:c>
      <x:c r="CL45" s="35" t="n">
        <x:f>--AND(CL$3&gt;=$B$39,CL$3&lt;$B$38,CL$3&lt;EDATE($B$39,MAX(1,'Вводные'!$K$53)),AND($B$35="Да",IFERROR(INDEX('Вводные'!$B$88:$B$90,$B$36),"Нет")="Да"))</x:f>
        <x:v>0</x:v>
      </x:c>
      <x:c r="CM45" s="35" t="n">
        <x:f>--AND(CM$3&gt;=$B$39,CM$3&lt;$B$38,CM$3&lt;EDATE($B$39,MAX(1,'Вводные'!$K$53)),AND($B$35="Да",IFERROR(INDEX('Вводные'!$B$88:$B$90,$B$36),"Нет")="Да"))</x:f>
        <x:v>0</x:v>
      </x:c>
      <x:c r="CN45" s="35" t="n">
        <x:f>--AND(CN$3&gt;=$B$39,CN$3&lt;$B$38,CN$3&lt;EDATE($B$39,MAX(1,'Вводные'!$K$53)),AND($B$35="Да",IFERROR(INDEX('Вводные'!$B$88:$B$90,$B$36),"Нет")="Да"))</x:f>
        <x:v>0</x:v>
      </x:c>
      <x:c r="CO45" s="35" t="n">
        <x:f>--AND(CO$3&gt;=$B$39,CO$3&lt;$B$38,CO$3&lt;EDATE($B$39,MAX(1,'Вводные'!$K$53)),AND($B$35="Да",IFERROR(INDEX('Вводные'!$B$88:$B$90,$B$36),"Нет")="Да"))</x:f>
        <x:v>0</x:v>
      </x:c>
      <x:c r="CP45" s="35" t="n">
        <x:f>--AND(CP$3&gt;=$B$39,CP$3&lt;$B$38,CP$3&lt;EDATE($B$39,MAX(1,'Вводные'!$K$53)),AND($B$35="Да",IFERROR(INDEX('Вводные'!$B$88:$B$90,$B$36),"Нет")="Да"))</x:f>
        <x:v>0</x:v>
      </x:c>
      <x:c r="CQ45" s="35" t="n">
        <x:f>--AND(CQ$3&gt;=$B$39,CQ$3&lt;$B$38,CQ$3&lt;EDATE($B$39,MAX(1,'Вводные'!$K$53)),AND($B$35="Да",IFERROR(INDEX('Вводные'!$B$88:$B$90,$B$36),"Нет")="Да"))</x:f>
        <x:v>0</x:v>
      </x:c>
      <x:c r="CR45" s="35" t="n">
        <x:f>--AND(CR$3&gt;=$B$39,CR$3&lt;$B$38,CR$3&lt;EDATE($B$39,MAX(1,'Вводные'!$K$53)),AND($B$35="Да",IFERROR(INDEX('Вводные'!$B$88:$B$90,$B$36),"Нет")="Да"))</x:f>
        <x:v>0</x:v>
      </x:c>
      <x:c r="CS45" s="35" t="n">
        <x:f>--AND(CS$3&gt;=$B$39,CS$3&lt;$B$38,CS$3&lt;EDATE($B$39,MAX(1,'Вводные'!$K$53)),AND($B$35="Да",IFERROR(INDEX('Вводные'!$B$88:$B$90,$B$36),"Нет")="Да"))</x:f>
        <x:v>0</x:v>
      </x:c>
      <x:c r="CT45" s="35" t="n">
        <x:f>--AND(CT$3&gt;=$B$39,CT$3&lt;$B$38,CT$3&lt;EDATE($B$39,MAX(1,'Вводные'!$K$53)),AND($B$35="Да",IFERROR(INDEX('Вводные'!$B$88:$B$90,$B$36),"Нет")="Да"))</x:f>
        <x:v>0</x:v>
      </x:c>
      <x:c r="CU45" s="35" t="n">
        <x:f>--AND(CU$3&gt;=$B$39,CU$3&lt;$B$38,CU$3&lt;EDATE($B$39,MAX(1,'Вводные'!$K$53)),AND($B$35="Да",IFERROR(INDEX('Вводные'!$B$88:$B$90,$B$36),"Нет")="Да"))</x:f>
        <x:v>0</x:v>
      </x:c>
      <x:c r="CV45" s="35" t="n">
        <x:f>--AND(CV$3&gt;=$B$39,CV$3&lt;$B$38,CV$3&lt;EDATE($B$39,MAX(1,'Вводные'!$K$53)),AND($B$35="Да",IFERROR(INDEX('Вводные'!$B$88:$B$90,$B$36),"Нет")="Да"))</x:f>
        <x:v>0</x:v>
      </x:c>
      <x:c r="CW45" s="35" t="n">
        <x:f>--AND(CW$3&gt;=$B$39,CW$3&lt;$B$38,CW$3&lt;EDATE($B$39,MAX(1,'Вводные'!$K$53)),AND($B$35="Да",IFERROR(INDEX('Вводные'!$B$88:$B$90,$B$36),"Нет")="Да"))</x:f>
        <x:v>0</x:v>
      </x:c>
      <x:c r="CX45" s="35" t="n">
        <x:f>--AND(CX$3&gt;=$B$39,CX$3&lt;$B$38,CX$3&lt;EDATE($B$39,MAX(1,'Вводные'!$K$53)),AND($B$35="Да",IFERROR(INDEX('Вводные'!$B$88:$B$90,$B$36),"Нет")="Да"))</x:f>
        <x:v>0</x:v>
      </x:c>
      <x:c r="CY45" s="35" t="n">
        <x:f>--AND(CY$3&gt;=$B$39,CY$3&lt;$B$38,CY$3&lt;EDATE($B$39,MAX(1,'Вводные'!$K$53)),AND($B$35="Да",IFERROR(INDEX('Вводные'!$B$88:$B$90,$B$36),"Нет")="Да"))</x:f>
        <x:v>0</x:v>
      </x:c>
      <x:c r="CZ45" s="35" t="n">
        <x:f>--AND(CZ$3&gt;=$B$39,CZ$3&lt;$B$38,CZ$3&lt;EDATE($B$39,MAX(1,'Вводные'!$K$53)),AND($B$35="Да",IFERROR(INDEX('Вводные'!$B$88:$B$90,$B$36),"Нет")="Да"))</x:f>
        <x:v>0</x:v>
      </x:c>
      <x:c r="DA45" s="35" t="n">
        <x:f>--AND(DA$3&gt;=$B$39,DA$3&lt;$B$38,DA$3&lt;EDATE($B$39,MAX(1,'Вводные'!$K$53)),AND($B$35="Да",IFERROR(INDEX('Вводные'!$B$88:$B$90,$B$36),"Нет")="Да"))</x:f>
        <x:v>0</x:v>
      </x:c>
      <x:c r="DB45" s="35" t="n">
        <x:f>--AND(DB$3&gt;=$B$39,DB$3&lt;$B$38,DB$3&lt;EDATE($B$39,MAX(1,'Вводные'!$K$53)),AND($B$35="Да",IFERROR(INDEX('Вводные'!$B$88:$B$90,$B$36),"Нет")="Да"))</x:f>
        <x:v>0</x:v>
      </x:c>
      <x:c r="DC45" s="35" t="n">
        <x:f>--AND(DC$3&gt;=$B$39,DC$3&lt;$B$38,DC$3&lt;EDATE($B$39,MAX(1,'Вводные'!$K$53)),AND($B$35="Да",IFERROR(INDEX('Вводные'!$B$88:$B$90,$B$36),"Нет")="Да"))</x:f>
        <x:v>0</x:v>
      </x:c>
      <x:c r="DD45" s="35" t="n">
        <x:f>--AND(DD$3&gt;=$B$39,DD$3&lt;$B$38,DD$3&lt;EDATE($B$39,MAX(1,'Вводные'!$K$53)),AND($B$35="Да",IFERROR(INDEX('Вводные'!$B$88:$B$90,$B$36),"Нет")="Да"))</x:f>
        <x:v>0</x:v>
      </x:c>
      <x:c r="DE45" s="35" t="n">
        <x:f>--AND(DE$3&gt;=$B$39,DE$3&lt;$B$38,DE$3&lt;EDATE($B$39,MAX(1,'Вводные'!$K$53)),AND($B$35="Да",IFERROR(INDEX('Вводные'!$B$88:$B$90,$B$36),"Нет")="Да"))</x:f>
        <x:v>0</x:v>
      </x:c>
      <x:c r="DF45" s="35" t="n">
        <x:f>--AND(DF$3&gt;=$B$39,DF$3&lt;$B$38,DF$3&lt;EDATE($B$39,MAX(1,'Вводные'!$K$53)),AND($B$35="Да",IFERROR(INDEX('Вводные'!$B$88:$B$90,$B$36),"Нет")="Да"))</x:f>
        <x:v>0</x:v>
      </x:c>
      <x:c r="DG45" s="35" t="n">
        <x:f>--AND(DG$3&gt;=$B$39,DG$3&lt;$B$38,DG$3&lt;EDATE($B$39,MAX(1,'Вводные'!$K$53)),AND($B$35="Да",IFERROR(INDEX('Вводные'!$B$88:$B$90,$B$36),"Нет")="Да"))</x:f>
        <x:v>0</x:v>
      </x:c>
      <x:c r="DH45" s="35" t="n">
        <x:f>--AND(DH$3&gt;=$B$39,DH$3&lt;$B$38,DH$3&lt;EDATE($B$39,MAX(1,'Вводные'!$K$53)),AND($B$35="Да",IFERROR(INDEX('Вводные'!$B$88:$B$90,$B$36),"Нет")="Да"))</x:f>
        <x:v>0</x:v>
      </x:c>
      <x:c r="DI45" s="35" t="n">
        <x:f>--AND(DI$3&gt;=$B$39,DI$3&lt;$B$38,DI$3&lt;EDATE($B$39,MAX(1,'Вводные'!$K$53)),AND($B$35="Да",IFERROR(INDEX('Вводные'!$B$88:$B$90,$B$36),"Нет")="Да"))</x:f>
        <x:v>0</x:v>
      </x:c>
      <x:c r="DJ45" s="35" t="n">
        <x:f>--AND(DJ$3&gt;=$B$39,DJ$3&lt;$B$38,DJ$3&lt;EDATE($B$39,MAX(1,'Вводные'!$K$53)),AND($B$35="Да",IFERROR(INDEX('Вводные'!$B$88:$B$90,$B$36),"Нет")="Да"))</x:f>
        <x:v>0</x:v>
      </x:c>
      <x:c r="DK45" s="35" t="n">
        <x:f>--AND(DK$3&gt;=$B$39,DK$3&lt;$B$38,DK$3&lt;EDATE($B$39,MAX(1,'Вводные'!$K$53)),AND($B$35="Да",IFERROR(INDEX('Вводные'!$B$88:$B$90,$B$36),"Нет")="Да"))</x:f>
        <x:v>0</x:v>
      </x:c>
      <x:c r="DL45" s="35" t="n">
        <x:f>--AND(DL$3&gt;=$B$39,DL$3&lt;$B$38,DL$3&lt;EDATE($B$39,MAX(1,'Вводные'!$K$53)),AND($B$35="Да",IFERROR(INDEX('Вводные'!$B$88:$B$90,$B$36),"Нет")="Да"))</x:f>
        <x:v>0</x:v>
      </x:c>
      <x:c r="DM45" s="35" t="n">
        <x:f>--AND(DM$3&gt;=$B$39,DM$3&lt;$B$38,DM$3&lt;EDATE($B$39,MAX(1,'Вводные'!$K$53)),AND($B$35="Да",IFERROR(INDEX('Вводные'!$B$88:$B$90,$B$36),"Нет")="Да"))</x:f>
        <x:v>0</x:v>
      </x:c>
      <x:c r="DN45" s="35" t="n">
        <x:f>--AND(DN$3&gt;=$B$39,DN$3&lt;$B$38,DN$3&lt;EDATE($B$39,MAX(1,'Вводные'!$K$53)),AND($B$35="Да",IFERROR(INDEX('Вводные'!$B$88:$B$90,$B$36),"Нет")="Да"))</x:f>
        <x:v>0</x:v>
      </x:c>
      <x:c r="DO45" s="35" t="n">
        <x:f>--AND(DO$3&gt;=$B$39,DO$3&lt;$B$38,DO$3&lt;EDATE($B$39,MAX(1,'Вводные'!$K$53)),AND($B$35="Да",IFERROR(INDEX('Вводные'!$B$88:$B$90,$B$36),"Нет")="Да"))</x:f>
        <x:v>0</x:v>
      </x:c>
      <x:c r="DP45" s="35" t="n">
        <x:f>--AND(DP$3&gt;=$B$39,DP$3&lt;$B$38,DP$3&lt;EDATE($B$39,MAX(1,'Вводные'!$K$53)),AND($B$35="Да",IFERROR(INDEX('Вводные'!$B$88:$B$90,$B$36),"Нет")="Да"))</x:f>
        <x:v>0</x:v>
      </x:c>
      <x:c r="DQ45" s="35" t="n">
        <x:f>--AND(DQ$3&gt;=$B$39,DQ$3&lt;$B$38,DQ$3&lt;EDATE($B$39,MAX(1,'Вводные'!$K$53)),AND($B$35="Да",IFERROR(INDEX('Вводные'!$B$88:$B$90,$B$36),"Нет")="Да"))</x:f>
        <x:v>0</x:v>
      </x:c>
      <x:c r="DR45" s="35" t="n">
        <x:f>--AND(DR$3&gt;=$B$39,DR$3&lt;$B$38,DR$3&lt;EDATE($B$39,MAX(1,'Вводные'!$K$53)),AND($B$35="Да",IFERROR(INDEX('Вводные'!$B$88:$B$90,$B$36),"Нет")="Да"))</x:f>
        <x:v>0</x:v>
      </x:c>
      <x:c r="DS45" s="35" t="n">
        <x:f>--AND(DS$3&gt;=$B$39,DS$3&lt;$B$38,DS$3&lt;EDATE($B$39,MAX(1,'Вводные'!$K$53)),AND($B$35="Да",IFERROR(INDEX('Вводные'!$B$88:$B$90,$B$36),"Нет")="Да"))</x:f>
        <x:v>0</x:v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$90,$B$36),"Нет")="Да")),(1+INDEX('Вводные'!$AD$88:$AD$90,$B$36)*'Вводные'!$H$7)^MAX(0,(12*(YEAR(D$3)-YEAR($B$39))+MONTH(D$3)-MONTH($B$39)))*(1+IF(MONTH(D$3)=1,'Вводные'!$B$67,IF(AND(MONTH(D$3)&gt;=5,MONTH(D$3)&lt;=8),'Вводные'!$B$70,0))),0)</x:f>
        <x:v>0</x:v>
      </x:c>
      <x:c r="E46" s="35" t="n">
        <x:f>IF(AND(E$3&gt;=$B$39,E$3&lt;EDATE($B$39,MAX(1,'Вводные'!$K$53)),AND($B$35="Да",IFERROR(INDEX('Вводные'!$B$88:$B$90,$B$36),"Нет")="Да")),(1+INDEX('Вводные'!$AD$88:$AD$90,$B$36)*'Вводные'!$H$7)^MAX(0,(12*(YEAR(E$3)-YEAR($B$39))+MONTH(E$3)-MONTH($B$39)))*(1+IF(MONTH(E$3)=1,'Вводные'!$B$67,IF(AND(MONTH(E$3)&gt;=5,MONTH(E$3)&lt;=8),'Вводные'!$B$70,0))),0)</x:f>
        <x:v>0</x:v>
      </x:c>
      <x:c r="F46" s="35" t="n">
        <x:f>IF(AND(F$3&gt;=$B$39,F$3&lt;EDATE($B$39,MAX(1,'Вводные'!$K$53)),AND($B$35="Да",IFERROR(INDEX('Вводные'!$B$88:$B$90,$B$36),"Нет")="Да")),(1+INDEX('Вводные'!$AD$88:$AD$90,$B$36)*'Вводные'!$H$7)^MAX(0,(12*(YEAR(F$3)-YEAR($B$39))+MONTH(F$3)-MONTH($B$39)))*(1+IF(MONTH(F$3)=1,'Вводные'!$B$67,IF(AND(MONTH(F$3)&gt;=5,MONTH(F$3)&lt;=8),'Вводные'!$B$70,0))),0)</x:f>
        <x:v>0</x:v>
      </x:c>
      <x:c r="G46" s="35" t="n">
        <x:f>IF(AND(G$3&gt;=$B$39,G$3&lt;EDATE($B$39,MAX(1,'Вводные'!$K$53)),AND($B$35="Да",IFERROR(INDEX('Вводные'!$B$88:$B$90,$B$36),"Нет")="Да")),(1+INDEX('Вводные'!$AD$88:$AD$90,$B$36)*'Вводные'!$H$7)^MAX(0,(12*(YEAR(G$3)-YEAR($B$39))+MONTH(G$3)-MONTH($B$39)))*(1+IF(MONTH(G$3)=1,'Вводные'!$B$67,IF(AND(MONTH(G$3)&gt;=5,MONTH(G$3)&lt;=8),'Вводные'!$B$70,0))),0)</x:f>
        <x:v>0</x:v>
      </x:c>
      <x:c r="H46" s="35" t="n">
        <x:f>IF(AND(H$3&gt;=$B$39,H$3&lt;EDATE($B$39,MAX(1,'Вводные'!$K$53)),AND($B$35="Да",IFERROR(INDEX('Вводные'!$B$88:$B$90,$B$36),"Нет")="Да")),(1+INDEX('Вводные'!$AD$88:$AD$90,$B$36)*'Вводные'!$H$7)^MAX(0,(12*(YEAR(H$3)-YEAR($B$39))+MONTH(H$3)-MONTH($B$39)))*(1+IF(MONTH(H$3)=1,'Вводные'!$B$67,IF(AND(MONTH(H$3)&gt;=5,MONTH(H$3)&lt;=8),'Вводные'!$B$70,0))),0)</x:f>
        <x:v>0</x:v>
      </x:c>
      <x:c r="I46" s="35" t="n">
        <x:f>IF(AND(I$3&gt;=$B$39,I$3&lt;EDATE($B$39,MAX(1,'Вводные'!$K$53)),AND($B$35="Да",IFERROR(INDEX('Вводные'!$B$88:$B$90,$B$36),"Нет")="Да")),(1+INDEX('Вводные'!$AD$88:$AD$90,$B$36)*'Вводные'!$H$7)^MAX(0,(12*(YEAR(I$3)-YEAR($B$39))+MONTH(I$3)-MONTH($B$39)))*(1+IF(MONTH(I$3)=1,'Вводные'!$B$67,IF(AND(MONTH(I$3)&gt;=5,MONTH(I$3)&lt;=8),'Вводные'!$B$70,0))),0)</x:f>
        <x:v>0</x:v>
      </x:c>
      <x:c r="J46" s="35" t="n">
        <x:f>IF(AND(J$3&gt;=$B$39,J$3&lt;EDATE($B$39,MAX(1,'Вводные'!$K$53)),AND($B$35="Да",IFERROR(INDEX('Вводные'!$B$88:$B$90,$B$36),"Нет")="Да")),(1+INDEX('Вводные'!$AD$88:$AD$90,$B$36)*'Вводные'!$H$7)^MAX(0,(12*(YEAR(J$3)-YEAR($B$39))+MONTH(J$3)-MONTH($B$39)))*(1+IF(MONTH(J$3)=1,'Вводные'!$B$67,IF(AND(MONTH(J$3)&gt;=5,MONTH(J$3)&lt;=8),'Вводные'!$B$70,0))),0)</x:f>
        <x:v>0</x:v>
      </x:c>
      <x:c r="K46" s="35" t="n">
        <x:f>IF(AND(K$3&gt;=$B$39,K$3&lt;EDATE($B$39,MAX(1,'Вводные'!$K$53)),AND($B$35="Да",IFERROR(INDEX('Вводные'!$B$88:$B$90,$B$36),"Нет")="Да")),(1+INDEX('Вводные'!$AD$88:$AD$90,$B$36)*'Вводные'!$H$7)^MAX(0,(12*(YEAR(K$3)-YEAR($B$39))+MONTH(K$3)-MONTH($B$39)))*(1+IF(MONTH(K$3)=1,'Вводные'!$B$67,IF(AND(MONTH(K$3)&gt;=5,MONTH(K$3)&lt;=8),'Вводные'!$B$70,0))),0)</x:f>
        <x:v>0</x:v>
      </x:c>
      <x:c r="L46" s="35" t="n">
        <x:f>IF(AND(L$3&gt;=$B$39,L$3&lt;EDATE($B$39,MAX(1,'Вводные'!$K$53)),AND($B$35="Да",IFERROR(INDEX('Вводные'!$B$88:$B$90,$B$36),"Нет")="Да")),(1+INDEX('Вводные'!$AD$88:$AD$90,$B$36)*'Вводные'!$H$7)^MAX(0,(12*(YEAR(L$3)-YEAR($B$39))+MONTH(L$3)-MONTH($B$39)))*(1+IF(MONTH(L$3)=1,'Вводные'!$B$67,IF(AND(MONTH(L$3)&gt;=5,MONTH(L$3)&lt;=8),'Вводные'!$B$70,0))),0)</x:f>
        <x:v>0</x:v>
      </x:c>
      <x:c r="M46" s="35" t="n">
        <x:f>IF(AND(M$3&gt;=$B$39,M$3&lt;EDATE($B$39,MAX(1,'Вводные'!$K$53)),AND($B$35="Да",IFERROR(INDEX('Вводные'!$B$88:$B$90,$B$36),"Нет")="Да")),(1+INDEX('Вводные'!$AD$88:$AD$90,$B$36)*'Вводные'!$H$7)^MAX(0,(12*(YEAR(M$3)-YEAR($B$39))+MONTH(M$3)-MONTH($B$39)))*(1+IF(MONTH(M$3)=1,'Вводные'!$B$67,IF(AND(MONTH(M$3)&gt;=5,MONTH(M$3)&lt;=8),'Вводные'!$B$70,0))),0)</x:f>
        <x:v>0</x:v>
      </x:c>
      <x:c r="N46" s="35" t="n">
        <x:f>IF(AND(N$3&gt;=$B$39,N$3&lt;EDATE($B$39,MAX(1,'Вводные'!$K$53)),AND($B$35="Да",IFERROR(INDEX('Вводные'!$B$88:$B$90,$B$36),"Нет")="Да")),(1+INDEX('Вводные'!$AD$88:$AD$90,$B$36)*'Вводные'!$H$7)^MAX(0,(12*(YEAR(N$3)-YEAR($B$39))+MONTH(N$3)-MONTH($B$39)))*(1+IF(MONTH(N$3)=1,'Вводные'!$B$67,IF(AND(MONTH(N$3)&gt;=5,MONTH(N$3)&lt;=8),'Вводные'!$B$70,0))),0)</x:f>
        <x:v>0</x:v>
      </x:c>
      <x:c r="O46" s="35" t="n">
        <x:f>IF(AND(O$3&gt;=$B$39,O$3&lt;EDATE($B$39,MAX(1,'Вводные'!$K$53)),AND($B$35="Да",IFERROR(INDEX('Вводные'!$B$88:$B$90,$B$36),"Нет")="Да")),(1+INDEX('Вводные'!$AD$88:$AD$90,$B$36)*'Вводные'!$H$7)^MAX(0,(12*(YEAR(O$3)-YEAR($B$39))+MONTH(O$3)-MONTH($B$39)))*(1+IF(MONTH(O$3)=1,'Вводные'!$B$67,IF(AND(MONTH(O$3)&gt;=5,MONTH(O$3)&lt;=8),'Вводные'!$B$70,0))),0)</x:f>
        <x:v>0</x:v>
      </x:c>
      <x:c r="P46" s="35" t="n">
        <x:f>IF(AND(P$3&gt;=$B$39,P$3&lt;EDATE($B$39,MAX(1,'Вводные'!$K$53)),AND($B$35="Да",IFERROR(INDEX('Вводные'!$B$88:$B$90,$B$36),"Нет")="Да")),(1+INDEX('Вводные'!$AD$88:$AD$90,$B$36)*'Вводные'!$H$7)^MAX(0,(12*(YEAR(P$3)-YEAR($B$39))+MONTH(P$3)-MONTH($B$39)))*(1+IF(MONTH(P$3)=1,'Вводные'!$B$67,IF(AND(MONTH(P$3)&gt;=5,MONTH(P$3)&lt;=8),'Вводные'!$B$70,0))),0)</x:f>
        <x:v>0</x:v>
      </x:c>
      <x:c r="Q46" s="35" t="n">
        <x:f>IF(AND(Q$3&gt;=$B$39,Q$3&lt;EDATE($B$39,MAX(1,'Вводные'!$K$53)),AND($B$35="Да",IFERROR(INDEX('Вводные'!$B$88:$B$90,$B$36),"Нет")="Да")),(1+INDEX('Вводные'!$AD$88:$AD$90,$B$36)*'Вводные'!$H$7)^MAX(0,(12*(YEAR(Q$3)-YEAR($B$39))+MONTH(Q$3)-MONTH($B$39)))*(1+IF(MONTH(Q$3)=1,'Вводные'!$B$67,IF(AND(MONTH(Q$3)&gt;=5,MONTH(Q$3)&lt;=8),'Вводные'!$B$70,0))),0)</x:f>
        <x:v>0</x:v>
      </x:c>
      <x:c r="R46" s="35" t="n">
        <x:f>IF(AND(R$3&gt;=$B$39,R$3&lt;EDATE($B$39,MAX(1,'Вводные'!$K$53)),AND($B$35="Да",IFERROR(INDEX('Вводные'!$B$88:$B$90,$B$36),"Нет")="Да")),(1+INDEX('Вводные'!$AD$88:$AD$90,$B$36)*'Вводные'!$H$7)^MAX(0,(12*(YEAR(R$3)-YEAR($B$39))+MONTH(R$3)-MONTH($B$39)))*(1+IF(MONTH(R$3)=1,'Вводные'!$B$67,IF(AND(MONTH(R$3)&gt;=5,MONTH(R$3)&lt;=8),'Вводные'!$B$70,0))),0)</x:f>
        <x:v>0</x:v>
      </x:c>
      <x:c r="S46" s="35" t="n">
        <x:f>IF(AND(S$3&gt;=$B$39,S$3&lt;EDATE($B$39,MAX(1,'Вводные'!$K$53)),AND($B$35="Да",IFERROR(INDEX('Вводные'!$B$88:$B$90,$B$36),"Нет")="Да")),(1+INDEX('Вводные'!$AD$88:$AD$90,$B$36)*'Вводные'!$H$7)^MAX(0,(12*(YEAR(S$3)-YEAR($B$39))+MONTH(S$3)-MONTH($B$39)))*(1+IF(MONTH(S$3)=1,'Вводные'!$B$67,IF(AND(MONTH(S$3)&gt;=5,MONTH(S$3)&lt;=8),'Вводные'!$B$70,0))),0)</x:f>
        <x:v>0</x:v>
      </x:c>
      <x:c r="T46" s="35" t="n">
        <x:f>IF(AND(T$3&gt;=$B$39,T$3&lt;EDATE($B$39,MAX(1,'Вводные'!$K$53)),AND($B$35="Да",IFERROR(INDEX('Вводные'!$B$88:$B$90,$B$36),"Нет")="Да")),(1+INDEX('Вводные'!$AD$88:$AD$90,$B$36)*'Вводные'!$H$7)^MAX(0,(12*(YEAR(T$3)-YEAR($B$39))+MONTH(T$3)-MONTH($B$39)))*(1+IF(MONTH(T$3)=1,'Вводные'!$B$67,IF(AND(MONTH(T$3)&gt;=5,MONTH(T$3)&lt;=8),'Вводные'!$B$70,0))),0)</x:f>
        <x:v>0</x:v>
      </x:c>
      <x:c r="U46" s="35" t="n">
        <x:f>IF(AND(U$3&gt;=$B$39,U$3&lt;EDATE($B$39,MAX(1,'Вводные'!$K$53)),AND($B$35="Да",IFERROR(INDEX('Вводные'!$B$88:$B$90,$B$36),"Нет")="Да")),(1+INDEX('Вводные'!$AD$88:$AD$90,$B$36)*'Вводные'!$H$7)^MAX(0,(12*(YEAR(U$3)-YEAR($B$39))+MONTH(U$3)-MONTH($B$39)))*(1+IF(MONTH(U$3)=1,'Вводные'!$B$67,IF(AND(MONTH(U$3)&gt;=5,MONTH(U$3)&lt;=8),'Вводные'!$B$70,0))),0)</x:f>
        <x:v>0</x:v>
      </x:c>
      <x:c r="V46" s="35" t="n">
        <x:f>IF(AND(V$3&gt;=$B$39,V$3&lt;EDATE($B$39,MAX(1,'Вводные'!$K$53)),AND($B$35="Да",IFERROR(INDEX('Вводные'!$B$88:$B$90,$B$36),"Нет")="Да")),(1+INDEX('Вводные'!$AD$88:$AD$90,$B$36)*'Вводные'!$H$7)^MAX(0,(12*(YEAR(V$3)-YEAR($B$39))+MONTH(V$3)-MONTH($B$39)))*(1+IF(MONTH(V$3)=1,'Вводные'!$B$67,IF(AND(MONTH(V$3)&gt;=5,MONTH(V$3)&lt;=8),'Вводные'!$B$70,0))),0)</x:f>
        <x:v>0</x:v>
      </x:c>
      <x:c r="W46" s="35" t="n">
        <x:f>IF(AND(W$3&gt;=$B$39,W$3&lt;EDATE($B$39,MAX(1,'Вводные'!$K$53)),AND($B$35="Да",IFERROR(INDEX('Вводные'!$B$88:$B$90,$B$36),"Нет")="Да")),(1+INDEX('Вводные'!$AD$88:$AD$90,$B$36)*'Вводные'!$H$7)^MAX(0,(12*(YEAR(W$3)-YEAR($B$39))+MONTH(W$3)-MONTH($B$39)))*(1+IF(MONTH(W$3)=1,'Вводные'!$B$67,IF(AND(MONTH(W$3)&gt;=5,MONTH(W$3)&lt;=8),'Вводные'!$B$70,0))),0)</x:f>
        <x:v>0</x:v>
      </x:c>
      <x:c r="X46" s="35" t="n">
        <x:f>IF(AND(X$3&gt;=$B$39,X$3&lt;EDATE($B$39,MAX(1,'Вводные'!$K$53)),AND($B$35="Да",IFERROR(INDEX('Вводные'!$B$88:$B$90,$B$36),"Нет")="Да")),(1+INDEX('Вводные'!$AD$88:$AD$90,$B$36)*'Вводные'!$H$7)^MAX(0,(12*(YEAR(X$3)-YEAR($B$39))+MONTH(X$3)-MONTH($B$39)))*(1+IF(MONTH(X$3)=1,'Вводные'!$B$67,IF(AND(MONTH(X$3)&gt;=5,MONTH(X$3)&lt;=8),'Вводные'!$B$70,0))),0)</x:f>
        <x:v>0</x:v>
      </x:c>
      <x:c r="Y46" s="35" t="n">
        <x:f>IF(AND(Y$3&gt;=$B$39,Y$3&lt;EDATE($B$39,MAX(1,'Вводные'!$K$53)),AND($B$35="Да",IFERROR(INDEX('Вводные'!$B$88:$B$90,$B$36),"Нет")="Да")),(1+INDEX('Вводные'!$AD$88:$AD$90,$B$36)*'Вводные'!$H$7)^MAX(0,(12*(YEAR(Y$3)-YEAR($B$39))+MONTH(Y$3)-MONTH($B$39)))*(1+IF(MONTH(Y$3)=1,'Вводные'!$B$67,IF(AND(MONTH(Y$3)&gt;=5,MONTH(Y$3)&lt;=8),'Вводные'!$B$70,0))),0)</x:f>
        <x:v>0</x:v>
      </x:c>
      <x:c r="Z46" s="35" t="n">
        <x:f>IF(AND(Z$3&gt;=$B$39,Z$3&lt;EDATE($B$39,MAX(1,'Вводные'!$K$53)),AND($B$35="Да",IFERROR(INDEX('Вводные'!$B$88:$B$90,$B$36),"Нет")="Да")),(1+INDEX('Вводные'!$AD$88:$AD$90,$B$36)*'Вводные'!$H$7)^MAX(0,(12*(YEAR(Z$3)-YEAR($B$39))+MONTH(Z$3)-MONTH($B$39)))*(1+IF(MONTH(Z$3)=1,'Вводные'!$B$67,IF(AND(MONTH(Z$3)&gt;=5,MONTH(Z$3)&lt;=8),'Вводные'!$B$70,0))),0)</x:f>
        <x:v>0</x:v>
      </x:c>
      <x:c r="AA46" s="35" t="n">
        <x:f>IF(AND(AA$3&gt;=$B$39,AA$3&lt;EDATE($B$39,MAX(1,'Вводные'!$K$53)),AND($B$35="Да",IFERROR(INDEX('Вводные'!$B$88:$B$90,$B$36),"Нет")="Да")),(1+INDEX('Вводные'!$AD$88:$AD$90,$B$36)*'Вводные'!$H$7)^MAX(0,(12*(YEAR(AA$3)-YEAR($B$39))+MONTH(AA$3)-MONTH($B$39)))*(1+IF(MONTH(AA$3)=1,'Вводные'!$B$67,IF(AND(MONTH(AA$3)&gt;=5,MONTH(AA$3)&lt;=8),'Вводные'!$B$70,0))),0)</x:f>
        <x:v>0</x:v>
      </x:c>
      <x:c r="AB46" s="35" t="n">
        <x:f>IF(AND(AB$3&gt;=$B$39,AB$3&lt;EDATE($B$39,MAX(1,'Вводные'!$K$53)),AND($B$35="Да",IFERROR(INDEX('Вводные'!$B$88:$B$90,$B$36),"Нет")="Да")),(1+INDEX('Вводные'!$AD$88:$AD$90,$B$36)*'Вводные'!$H$7)^MAX(0,(12*(YEAR(AB$3)-YEAR($B$39))+MONTH(AB$3)-MONTH($B$39)))*(1+IF(MONTH(AB$3)=1,'Вводные'!$B$67,IF(AND(MONTH(AB$3)&gt;=5,MONTH(AB$3)&lt;=8),'Вводные'!$B$70,0))),0)</x:f>
        <x:v>0</x:v>
      </x:c>
      <x:c r="AC46" s="35" t="n">
        <x:f>IF(AND(AC$3&gt;=$B$39,AC$3&lt;EDATE($B$39,MAX(1,'Вводные'!$K$53)),AND($B$35="Да",IFERROR(INDEX('Вводные'!$B$88:$B$90,$B$36),"Нет")="Да")),(1+INDEX('Вводные'!$AD$88:$AD$90,$B$36)*'Вводные'!$H$7)^MAX(0,(12*(YEAR(AC$3)-YEAR($B$39))+MONTH(AC$3)-MONTH($B$39)))*(1+IF(MONTH(AC$3)=1,'Вводные'!$B$67,IF(AND(MONTH(AC$3)&gt;=5,MONTH(AC$3)&lt;=8),'Вводные'!$B$70,0))),0)</x:f>
        <x:v>0</x:v>
      </x:c>
      <x:c r="AD46" s="35" t="n">
        <x:f>IF(AND(AD$3&gt;=$B$39,AD$3&lt;EDATE($B$39,MAX(1,'Вводные'!$K$53)),AND($B$35="Да",IFERROR(INDEX('Вводные'!$B$88:$B$90,$B$36),"Нет")="Да")),(1+INDEX('Вводные'!$AD$88:$AD$90,$B$36)*'Вводные'!$H$7)^MAX(0,(12*(YEAR(AD$3)-YEAR($B$39))+MONTH(AD$3)-MONTH($B$39)))*(1+IF(MONTH(AD$3)=1,'Вводные'!$B$67,IF(AND(MONTH(AD$3)&gt;=5,MONTH(AD$3)&lt;=8),'Вводные'!$B$70,0))),0)</x:f>
        <x:v>0</x:v>
      </x:c>
      <x:c r="AE46" s="35" t="n">
        <x:f>IF(AND(AE$3&gt;=$B$39,AE$3&lt;EDATE($B$39,MAX(1,'Вводные'!$K$53)),AND($B$35="Да",IFERROR(INDEX('Вводные'!$B$88:$B$90,$B$36),"Нет")="Да")),(1+INDEX('Вводные'!$AD$88:$AD$90,$B$36)*'Вводные'!$H$7)^MAX(0,(12*(YEAR(AE$3)-YEAR($B$39))+MONTH(AE$3)-MONTH($B$39)))*(1+IF(MONTH(AE$3)=1,'Вводные'!$B$67,IF(AND(MONTH(AE$3)&gt;=5,MONTH(AE$3)&lt;=8),'Вводные'!$B$70,0))),0)</x:f>
        <x:v>0</x:v>
      </x:c>
      <x:c r="AF46" s="35" t="n">
        <x:f>IF(AND(AF$3&gt;=$B$39,AF$3&lt;EDATE($B$39,MAX(1,'Вводные'!$K$53)),AND($B$35="Да",IFERROR(INDEX('Вводные'!$B$88:$B$90,$B$36),"Нет")="Да")),(1+INDEX('Вводные'!$AD$88:$AD$90,$B$36)*'Вводные'!$H$7)^MAX(0,(12*(YEAR(AF$3)-YEAR($B$39))+MONTH(AF$3)-MONTH($B$39)))*(1+IF(MONTH(AF$3)=1,'Вводные'!$B$67,IF(AND(MONTH(AF$3)&gt;=5,MONTH(AF$3)&lt;=8),'Вводные'!$B$70,0))),0)</x:f>
        <x:v>0</x:v>
      </x:c>
      <x:c r="AG46" s="35" t="n">
        <x:f>IF(AND(AG$3&gt;=$B$39,AG$3&lt;EDATE($B$39,MAX(1,'Вводные'!$K$53)),AND($B$35="Да",IFERROR(INDEX('Вводные'!$B$88:$B$90,$B$36),"Нет")="Да")),(1+INDEX('Вводные'!$AD$88:$AD$90,$B$36)*'Вводные'!$H$7)^MAX(0,(12*(YEAR(AG$3)-YEAR($B$39))+MONTH(AG$3)-MONTH($B$39)))*(1+IF(MONTH(AG$3)=1,'Вводные'!$B$67,IF(AND(MONTH(AG$3)&gt;=5,MONTH(AG$3)&lt;=8),'Вводные'!$B$70,0))),0)</x:f>
        <x:v>0</x:v>
      </x:c>
      <x:c r="AH46" s="35" t="n">
        <x:f>IF(AND(AH$3&gt;=$B$39,AH$3&lt;EDATE($B$39,MAX(1,'Вводные'!$K$53)),AND($B$35="Да",IFERROR(INDEX('Вводные'!$B$88:$B$90,$B$36),"Нет")="Да")),(1+INDEX('Вводные'!$AD$88:$AD$90,$B$36)*'Вводные'!$H$7)^MAX(0,(12*(YEAR(AH$3)-YEAR($B$39))+MONTH(AH$3)-MONTH($B$39)))*(1+IF(MONTH(AH$3)=1,'Вводные'!$B$67,IF(AND(MONTH(AH$3)&gt;=5,MONTH(AH$3)&lt;=8),'Вводные'!$B$70,0))),0)</x:f>
        <x:v>0</x:v>
      </x:c>
      <x:c r="AI46" s="35" t="n">
        <x:f>IF(AND(AI$3&gt;=$B$39,AI$3&lt;EDATE($B$39,MAX(1,'Вводные'!$K$53)),AND($B$35="Да",IFERROR(INDEX('Вводные'!$B$88:$B$90,$B$36),"Нет")="Да")),(1+INDEX('Вводные'!$AD$88:$AD$90,$B$36)*'Вводные'!$H$7)^MAX(0,(12*(YEAR(AI$3)-YEAR($B$39))+MONTH(AI$3)-MONTH($B$39)))*(1+IF(MONTH(AI$3)=1,'Вводные'!$B$67,IF(AND(MONTH(AI$3)&gt;=5,MONTH(AI$3)&lt;=8),'Вводные'!$B$70,0))),0)</x:f>
        <x:v>0</x:v>
      </x:c>
      <x:c r="AJ46" s="35" t="n">
        <x:f>IF(AND(AJ$3&gt;=$B$39,AJ$3&lt;EDATE($B$39,MAX(1,'Вводные'!$K$53)),AND($B$35="Да",IFERROR(INDEX('Вводные'!$B$88:$B$90,$B$36),"Нет")="Да")),(1+INDEX('Вводные'!$AD$88:$AD$90,$B$36)*'Вводные'!$H$7)^MAX(0,(12*(YEAR(AJ$3)-YEAR($B$39))+MONTH(AJ$3)-MONTH($B$39)))*(1+IF(MONTH(AJ$3)=1,'Вводные'!$B$67,IF(AND(MONTH(AJ$3)&gt;=5,MONTH(AJ$3)&lt;=8),'Вводные'!$B$70,0))),0)</x:f>
        <x:v>0</x:v>
      </x:c>
      <x:c r="AK46" s="35" t="n">
        <x:f>IF(AND(AK$3&gt;=$B$39,AK$3&lt;EDATE($B$39,MAX(1,'Вводные'!$K$53)),AND($B$35="Да",IFERROR(INDEX('Вводные'!$B$88:$B$90,$B$36),"Нет")="Да")),(1+INDEX('Вводные'!$AD$88:$AD$90,$B$36)*'Вводные'!$H$7)^MAX(0,(12*(YEAR(AK$3)-YEAR($B$39))+MONTH(AK$3)-MONTH($B$39)))*(1+IF(MONTH(AK$3)=1,'Вводные'!$B$67,IF(AND(MONTH(AK$3)&gt;=5,MONTH(AK$3)&lt;=8),'Вводные'!$B$70,0))),0)</x:f>
        <x:v>0</x:v>
      </x:c>
      <x:c r="AL46" s="35" t="n">
        <x:f>IF(AND(AL$3&gt;=$B$39,AL$3&lt;EDATE($B$39,MAX(1,'Вводные'!$K$53)),AND($B$35="Да",IFERROR(INDEX('Вводные'!$B$88:$B$90,$B$36),"Нет")="Да")),(1+INDEX('Вводные'!$AD$88:$AD$90,$B$36)*'Вводные'!$H$7)^MAX(0,(12*(YEAR(AL$3)-YEAR($B$39))+MONTH(AL$3)-MONTH($B$39)))*(1+IF(MONTH(AL$3)=1,'Вводные'!$B$67,IF(AND(MONTH(AL$3)&gt;=5,MONTH(AL$3)&lt;=8),'Вводные'!$B$70,0))),0)</x:f>
        <x:v>0</x:v>
      </x:c>
      <x:c r="AM46" s="35" t="n">
        <x:f>IF(AND(AM$3&gt;=$B$39,AM$3&lt;EDATE($B$39,MAX(1,'Вводные'!$K$53)),AND($B$35="Да",IFERROR(INDEX('Вводные'!$B$88:$B$90,$B$36),"Нет")="Да")),(1+INDEX('Вводные'!$AD$88:$AD$90,$B$36)*'Вводные'!$H$7)^MAX(0,(12*(YEAR(AM$3)-YEAR($B$39))+MONTH(AM$3)-MONTH($B$39)))*(1+IF(MONTH(AM$3)=1,'Вводные'!$B$67,IF(AND(MONTH(AM$3)&gt;=5,MONTH(AM$3)&lt;=8),'Вводные'!$B$70,0))),0)</x:f>
        <x:v>0</x:v>
      </x:c>
      <x:c r="AN46" s="35" t="n">
        <x:f>IF(AND(AN$3&gt;=$B$39,AN$3&lt;EDATE($B$39,MAX(1,'Вводные'!$K$53)),AND($B$35="Да",IFERROR(INDEX('Вводные'!$B$88:$B$90,$B$36),"Нет")="Да")),(1+INDEX('Вводные'!$AD$88:$AD$90,$B$36)*'Вводные'!$H$7)^MAX(0,(12*(YEAR(AN$3)-YEAR($B$39))+MONTH(AN$3)-MONTH($B$39)))*(1+IF(MONTH(AN$3)=1,'Вводные'!$B$67,IF(AND(MONTH(AN$3)&gt;=5,MONTH(AN$3)&lt;=8),'Вводные'!$B$70,0))),0)</x:f>
        <x:v>0</x:v>
      </x:c>
      <x:c r="AO46" s="35" t="n">
        <x:f>IF(AND(AO$3&gt;=$B$39,AO$3&lt;EDATE($B$39,MAX(1,'Вводные'!$K$53)),AND($B$35="Да",IFERROR(INDEX('Вводные'!$B$88:$B$90,$B$36),"Нет")="Да")),(1+INDEX('Вводные'!$AD$88:$AD$90,$B$36)*'Вводные'!$H$7)^MAX(0,(12*(YEAR(AO$3)-YEAR($B$39))+MONTH(AO$3)-MONTH($B$39)))*(1+IF(MONTH(AO$3)=1,'Вводные'!$B$67,IF(AND(MONTH(AO$3)&gt;=5,MONTH(AO$3)&lt;=8),'Вводные'!$B$70,0))),0)</x:f>
        <x:v>0</x:v>
      </x:c>
      <x:c r="AP46" s="35" t="n">
        <x:f>IF(AND(AP$3&gt;=$B$39,AP$3&lt;EDATE($B$39,MAX(1,'Вводные'!$K$53)),AND($B$35="Да",IFERROR(INDEX('Вводные'!$B$88:$B$90,$B$36),"Нет")="Да")),(1+INDEX('Вводные'!$AD$88:$AD$90,$B$36)*'Вводные'!$H$7)^MAX(0,(12*(YEAR(AP$3)-YEAR($B$39))+MONTH(AP$3)-MONTH($B$39)))*(1+IF(MONTH(AP$3)=1,'Вводные'!$B$67,IF(AND(MONTH(AP$3)&gt;=5,MONTH(AP$3)&lt;=8),'Вводные'!$B$70,0))),0)</x:f>
        <x:v>0</x:v>
      </x:c>
      <x:c r="AQ46" s="35" t="n">
        <x:f>IF(AND(AQ$3&gt;=$B$39,AQ$3&lt;EDATE($B$39,MAX(1,'Вводные'!$K$53)),AND($B$35="Да",IFERROR(INDEX('Вводные'!$B$88:$B$90,$B$36),"Нет")="Да")),(1+INDEX('Вводные'!$AD$88:$AD$90,$B$36)*'Вводные'!$H$7)^MAX(0,(12*(YEAR(AQ$3)-YEAR($B$39))+MONTH(AQ$3)-MONTH($B$39)))*(1+IF(MONTH(AQ$3)=1,'Вводные'!$B$67,IF(AND(MONTH(AQ$3)&gt;=5,MONTH(AQ$3)&lt;=8),'Вводные'!$B$70,0))),0)</x:f>
        <x:v>0</x:v>
      </x:c>
      <x:c r="AR46" s="35" t="n">
        <x:f>IF(AND(AR$3&gt;=$B$39,AR$3&lt;EDATE($B$39,MAX(1,'Вводные'!$K$53)),AND($B$35="Да",IFERROR(INDEX('Вводные'!$B$88:$B$90,$B$36),"Нет")="Да")),(1+INDEX('Вводные'!$AD$88:$AD$90,$B$36)*'Вводные'!$H$7)^MAX(0,(12*(YEAR(AR$3)-YEAR($B$39))+MONTH(AR$3)-MONTH($B$39)))*(1+IF(MONTH(AR$3)=1,'Вводные'!$B$67,IF(AND(MONTH(AR$3)&gt;=5,MONTH(AR$3)&lt;=8),'Вводные'!$B$70,0))),0)</x:f>
        <x:v>0</x:v>
      </x:c>
      <x:c r="AS46" s="35" t="n">
        <x:f>IF(AND(AS$3&gt;=$B$39,AS$3&lt;EDATE($B$39,MAX(1,'Вводные'!$K$53)),AND($B$35="Да",IFERROR(INDEX('Вводные'!$B$88:$B$90,$B$36),"Нет")="Да")),(1+INDEX('Вводные'!$AD$88:$AD$90,$B$36)*'Вводные'!$H$7)^MAX(0,(12*(YEAR(AS$3)-YEAR($B$39))+MONTH(AS$3)-MONTH($B$39)))*(1+IF(MONTH(AS$3)=1,'Вводные'!$B$67,IF(AND(MONTH(AS$3)&gt;=5,MONTH(AS$3)&lt;=8),'Вводные'!$B$70,0))),0)</x:f>
        <x:v>0</x:v>
      </x:c>
      <x:c r="AT46" s="35" t="n">
        <x:f>IF(AND(AT$3&gt;=$B$39,AT$3&lt;EDATE($B$39,MAX(1,'Вводные'!$K$53)),AND($B$35="Да",IFERROR(INDEX('Вводные'!$B$88:$B$90,$B$36),"Нет")="Да")),(1+INDEX('Вводные'!$AD$88:$AD$90,$B$36)*'Вводные'!$H$7)^MAX(0,(12*(YEAR(AT$3)-YEAR($B$39))+MONTH(AT$3)-MONTH($B$39)))*(1+IF(MONTH(AT$3)=1,'Вводные'!$B$67,IF(AND(MONTH(AT$3)&gt;=5,MONTH(AT$3)&lt;=8),'Вводные'!$B$70,0))),0)</x:f>
        <x:v>0</x:v>
      </x:c>
      <x:c r="AU46" s="35" t="n">
        <x:f>IF(AND(AU$3&gt;=$B$39,AU$3&lt;EDATE($B$39,MAX(1,'Вводные'!$K$53)),AND($B$35="Да",IFERROR(INDEX('Вводные'!$B$88:$B$90,$B$36),"Нет")="Да")),(1+INDEX('Вводные'!$AD$88:$AD$90,$B$36)*'Вводные'!$H$7)^MAX(0,(12*(YEAR(AU$3)-YEAR($B$39))+MONTH(AU$3)-MONTH($B$39)))*(1+IF(MONTH(AU$3)=1,'Вводные'!$B$67,IF(AND(MONTH(AU$3)&gt;=5,MONTH(AU$3)&lt;=8),'Вводные'!$B$70,0))),0)</x:f>
        <x:v>0</x:v>
      </x:c>
      <x:c r="AV46" s="35" t="n">
        <x:f>IF(AND(AV$3&gt;=$B$39,AV$3&lt;EDATE($B$39,MAX(1,'Вводные'!$K$53)),AND($B$35="Да",IFERROR(INDEX('Вводные'!$B$88:$B$90,$B$36),"Нет")="Да")),(1+INDEX('Вводные'!$AD$88:$AD$90,$B$36)*'Вводные'!$H$7)^MAX(0,(12*(YEAR(AV$3)-YEAR($B$39))+MONTH(AV$3)-MONTH($B$39)))*(1+IF(MONTH(AV$3)=1,'Вводные'!$B$67,IF(AND(MONTH(AV$3)&gt;=5,MONTH(AV$3)&lt;=8),'Вводные'!$B$70,0))),0)</x:f>
        <x:v>0</x:v>
      </x:c>
      <x:c r="AW46" s="35" t="n">
        <x:f>IF(AND(AW$3&gt;=$B$39,AW$3&lt;EDATE($B$39,MAX(1,'Вводные'!$K$53)),AND($B$35="Да",IFERROR(INDEX('Вводные'!$B$88:$B$90,$B$36),"Нет")="Да")),(1+INDEX('Вводные'!$AD$88:$AD$90,$B$36)*'Вводные'!$H$7)^MAX(0,(12*(YEAR(AW$3)-YEAR($B$39))+MONTH(AW$3)-MONTH($B$39)))*(1+IF(MONTH(AW$3)=1,'Вводные'!$B$67,IF(AND(MONTH(AW$3)&gt;=5,MONTH(AW$3)&lt;=8),'Вводные'!$B$70,0))),0)</x:f>
        <x:v>0</x:v>
      </x:c>
      <x:c r="AX46" s="35" t="n">
        <x:f>IF(AND(AX$3&gt;=$B$39,AX$3&lt;EDATE($B$39,MAX(1,'Вводные'!$K$53)),AND($B$35="Да",IFERROR(INDEX('Вводные'!$B$88:$B$90,$B$36),"Нет")="Да")),(1+INDEX('Вводные'!$AD$88:$AD$90,$B$36)*'Вводные'!$H$7)^MAX(0,(12*(YEAR(AX$3)-YEAR($B$39))+MONTH(AX$3)-MONTH($B$39)))*(1+IF(MONTH(AX$3)=1,'Вводные'!$B$67,IF(AND(MONTH(AX$3)&gt;=5,MONTH(AX$3)&lt;=8),'Вводные'!$B$70,0))),0)</x:f>
        <x:v>0</x:v>
      </x:c>
      <x:c r="AY46" s="35" t="n">
        <x:f>IF(AND(AY$3&gt;=$B$39,AY$3&lt;EDATE($B$39,MAX(1,'Вводные'!$K$53)),AND($B$35="Да",IFERROR(INDEX('Вводные'!$B$88:$B$90,$B$36),"Нет")="Да")),(1+INDEX('Вводные'!$AD$88:$AD$90,$B$36)*'Вводные'!$H$7)^MAX(0,(12*(YEAR(AY$3)-YEAR($B$39))+MONTH(AY$3)-MONTH($B$39)))*(1+IF(MONTH(AY$3)=1,'Вводные'!$B$67,IF(AND(MONTH(AY$3)&gt;=5,MONTH(AY$3)&lt;=8),'Вводные'!$B$70,0))),0)</x:f>
        <x:v>0</x:v>
      </x:c>
      <x:c r="AZ46" s="35" t="n">
        <x:f>IF(AND(AZ$3&gt;=$B$39,AZ$3&lt;EDATE($B$39,MAX(1,'Вводные'!$K$53)),AND($B$35="Да",IFERROR(INDEX('Вводные'!$B$88:$B$90,$B$36),"Нет")="Да")),(1+INDEX('Вводные'!$AD$88:$AD$90,$B$36)*'Вводные'!$H$7)^MAX(0,(12*(YEAR(AZ$3)-YEAR($B$39))+MONTH(AZ$3)-MONTH($B$39)))*(1+IF(MONTH(AZ$3)=1,'Вводные'!$B$67,IF(AND(MONTH(AZ$3)&gt;=5,MONTH(AZ$3)&lt;=8),'Вводные'!$B$70,0))),0)</x:f>
        <x:v>0</x:v>
      </x:c>
      <x:c r="BA46" s="35" t="n">
        <x:f>IF(AND(BA$3&gt;=$B$39,BA$3&lt;EDATE($B$39,MAX(1,'Вводные'!$K$53)),AND($B$35="Да",IFERROR(INDEX('Вводные'!$B$88:$B$90,$B$36),"Нет")="Да")),(1+INDEX('Вводные'!$AD$88:$AD$90,$B$36)*'Вводные'!$H$7)^MAX(0,(12*(YEAR(BA$3)-YEAR($B$39))+MONTH(BA$3)-MONTH($B$39)))*(1+IF(MONTH(BA$3)=1,'Вводные'!$B$67,IF(AND(MONTH(BA$3)&gt;=5,MONTH(BA$3)&lt;=8),'Вводные'!$B$70,0))),0)</x:f>
        <x:v>0</x:v>
      </x:c>
      <x:c r="BB46" s="35" t="n">
        <x:f>IF(AND(BB$3&gt;=$B$39,BB$3&lt;EDATE($B$39,MAX(1,'Вводные'!$K$53)),AND($B$35="Да",IFERROR(INDEX('Вводные'!$B$88:$B$90,$B$36),"Нет")="Да")),(1+INDEX('Вводные'!$AD$88:$AD$90,$B$36)*'Вводные'!$H$7)^MAX(0,(12*(YEAR(BB$3)-YEAR($B$39))+MONTH(BB$3)-MONTH($B$39)))*(1+IF(MONTH(BB$3)=1,'Вводные'!$B$67,IF(AND(MONTH(BB$3)&gt;=5,MONTH(BB$3)&lt;=8),'Вводные'!$B$70,0))),0)</x:f>
        <x:v>0</x:v>
      </x:c>
      <x:c r="BC46" s="35" t="n">
        <x:f>IF(AND(BC$3&gt;=$B$39,BC$3&lt;EDATE($B$39,MAX(1,'Вводные'!$K$53)),AND($B$35="Да",IFERROR(INDEX('Вводные'!$B$88:$B$90,$B$36),"Нет")="Да")),(1+INDEX('Вводные'!$AD$88:$AD$90,$B$36)*'Вводные'!$H$7)^MAX(0,(12*(YEAR(BC$3)-YEAR($B$39))+MONTH(BC$3)-MONTH($B$39)))*(1+IF(MONTH(BC$3)=1,'Вводные'!$B$67,IF(AND(MONTH(BC$3)&gt;=5,MONTH(BC$3)&lt;=8),'Вводные'!$B$70,0))),0)</x:f>
        <x:v>0</x:v>
      </x:c>
      <x:c r="BD46" s="35" t="n">
        <x:f>IF(AND(BD$3&gt;=$B$39,BD$3&lt;EDATE($B$39,MAX(1,'Вводные'!$K$53)),AND($B$35="Да",IFERROR(INDEX('Вводные'!$B$88:$B$90,$B$36),"Нет")="Да")),(1+INDEX('Вводные'!$AD$88:$AD$90,$B$36)*'Вводные'!$H$7)^MAX(0,(12*(YEAR(BD$3)-YEAR($B$39))+MONTH(BD$3)-MONTH($B$39)))*(1+IF(MONTH(BD$3)=1,'Вводные'!$B$67,IF(AND(MONTH(BD$3)&gt;=5,MONTH(BD$3)&lt;=8),'Вводные'!$B$70,0))),0)</x:f>
        <x:v>0</x:v>
      </x:c>
      <x:c r="BE46" s="35" t="n">
        <x:f>IF(AND(BE$3&gt;=$B$39,BE$3&lt;EDATE($B$39,MAX(1,'Вводные'!$K$53)),AND($B$35="Да",IFERROR(INDEX('Вводные'!$B$88:$B$90,$B$36),"Нет")="Да")),(1+INDEX('Вводные'!$AD$88:$AD$90,$B$36)*'Вводные'!$H$7)^MAX(0,(12*(YEAR(BE$3)-YEAR($B$39))+MONTH(BE$3)-MONTH($B$39)))*(1+IF(MONTH(BE$3)=1,'Вводные'!$B$67,IF(AND(MONTH(BE$3)&gt;=5,MONTH(BE$3)&lt;=8),'Вводные'!$B$70,0))),0)</x:f>
        <x:v>0</x:v>
      </x:c>
      <x:c r="BF46" s="35" t="n">
        <x:f>IF(AND(BF$3&gt;=$B$39,BF$3&lt;EDATE($B$39,MAX(1,'Вводные'!$K$53)),AND($B$35="Да",IFERROR(INDEX('Вводные'!$B$88:$B$90,$B$36),"Нет")="Да")),(1+INDEX('Вводные'!$AD$88:$AD$90,$B$36)*'Вводные'!$H$7)^MAX(0,(12*(YEAR(BF$3)-YEAR($B$39))+MONTH(BF$3)-MONTH($B$39)))*(1+IF(MONTH(BF$3)=1,'Вводные'!$B$67,IF(AND(MONTH(BF$3)&gt;=5,MONTH(BF$3)&lt;=8),'Вводные'!$B$70,0))),0)</x:f>
        <x:v>0</x:v>
      </x:c>
      <x:c r="BG46" s="35" t="n">
        <x:f>IF(AND(BG$3&gt;=$B$39,BG$3&lt;EDATE($B$39,MAX(1,'Вводные'!$K$53)),AND($B$35="Да",IFERROR(INDEX('Вводные'!$B$88:$B$90,$B$36),"Нет")="Да")),(1+INDEX('Вводные'!$AD$88:$AD$90,$B$36)*'Вводные'!$H$7)^MAX(0,(12*(YEAR(BG$3)-YEAR($B$39))+MONTH(BG$3)-MONTH($B$39)))*(1+IF(MONTH(BG$3)=1,'Вводные'!$B$67,IF(AND(MONTH(BG$3)&gt;=5,MONTH(BG$3)&lt;=8),'Вводные'!$B$70,0))),0)</x:f>
        <x:v>0</x:v>
      </x:c>
      <x:c r="BH46" s="35" t="n">
        <x:f>IF(AND(BH$3&gt;=$B$39,BH$3&lt;EDATE($B$39,MAX(1,'Вводные'!$K$53)),AND($B$35="Да",IFERROR(INDEX('Вводные'!$B$88:$B$90,$B$36),"Нет")="Да")),(1+INDEX('Вводные'!$AD$88:$AD$90,$B$36)*'Вводные'!$H$7)^MAX(0,(12*(YEAR(BH$3)-YEAR($B$39))+MONTH(BH$3)-MONTH($B$39)))*(1+IF(MONTH(BH$3)=1,'Вводные'!$B$67,IF(AND(MONTH(BH$3)&gt;=5,MONTH(BH$3)&lt;=8),'Вводные'!$B$70,0))),0)</x:f>
        <x:v>0</x:v>
      </x:c>
      <x:c r="BI46" s="35" t="n">
        <x:f>IF(AND(BI$3&gt;=$B$39,BI$3&lt;EDATE($B$39,MAX(1,'Вводные'!$K$53)),AND($B$35="Да",IFERROR(INDEX('Вводные'!$B$88:$B$90,$B$36),"Нет")="Да")),(1+INDEX('Вводные'!$AD$88:$AD$90,$B$36)*'Вводные'!$H$7)^MAX(0,(12*(YEAR(BI$3)-YEAR($B$39))+MONTH(BI$3)-MONTH($B$39)))*(1+IF(MONTH(BI$3)=1,'Вводные'!$B$67,IF(AND(MONTH(BI$3)&gt;=5,MONTH(BI$3)&lt;=8),'Вводные'!$B$70,0))),0)</x:f>
        <x:v>0</x:v>
      </x:c>
      <x:c r="BJ46" s="35" t="n">
        <x:f>IF(AND(BJ$3&gt;=$B$39,BJ$3&lt;EDATE($B$39,MAX(1,'Вводные'!$K$53)),AND($B$35="Да",IFERROR(INDEX('Вводные'!$B$88:$B$90,$B$36),"Нет")="Да")),(1+INDEX('Вводные'!$AD$88:$AD$90,$B$36)*'Вводные'!$H$7)^MAX(0,(12*(YEAR(BJ$3)-YEAR($B$39))+MONTH(BJ$3)-MONTH($B$39)))*(1+IF(MONTH(BJ$3)=1,'Вводные'!$B$67,IF(AND(MONTH(BJ$3)&gt;=5,MONTH(BJ$3)&lt;=8),'Вводные'!$B$70,0))),0)</x:f>
        <x:v>0</x:v>
      </x:c>
      <x:c r="BK46" s="35" t="n">
        <x:f>IF(AND(BK$3&gt;=$B$39,BK$3&lt;EDATE($B$39,MAX(1,'Вводные'!$K$53)),AND($B$35="Да",IFERROR(INDEX('Вводные'!$B$88:$B$90,$B$36),"Нет")="Да")),(1+INDEX('Вводные'!$AD$88:$AD$90,$B$36)*'Вводные'!$H$7)^MAX(0,(12*(YEAR(BK$3)-YEAR($B$39))+MONTH(BK$3)-MONTH($B$39)))*(1+IF(MONTH(BK$3)=1,'Вводные'!$B$67,IF(AND(MONTH(BK$3)&gt;=5,MONTH(BK$3)&lt;=8),'Вводные'!$B$70,0))),0)</x:f>
        <x:v>0</x:v>
      </x:c>
      <x:c r="BL46" s="35" t="n">
        <x:f>IF(AND(BL$3&gt;=$B$39,BL$3&lt;EDATE($B$39,MAX(1,'Вводные'!$K$53)),AND($B$35="Да",IFERROR(INDEX('Вводные'!$B$88:$B$90,$B$36),"Нет")="Да")),(1+INDEX('Вводные'!$AD$88:$AD$90,$B$36)*'Вводные'!$H$7)^MAX(0,(12*(YEAR(BL$3)-YEAR($B$39))+MONTH(BL$3)-MONTH($B$39)))*(1+IF(MONTH(BL$3)=1,'Вводные'!$B$67,IF(AND(MONTH(BL$3)&gt;=5,MONTH(BL$3)&lt;=8),'Вводные'!$B$70,0))),0)</x:f>
        <x:v>0</x:v>
      </x:c>
      <x:c r="BM46" s="35" t="n">
        <x:f>IF(AND(BM$3&gt;=$B$39,BM$3&lt;EDATE($B$39,MAX(1,'Вводные'!$K$53)),AND($B$35="Да",IFERROR(INDEX('Вводные'!$B$88:$B$90,$B$36),"Нет")="Да")),(1+INDEX('Вводные'!$AD$88:$AD$90,$B$36)*'Вводные'!$H$7)^MAX(0,(12*(YEAR(BM$3)-YEAR($B$39))+MONTH(BM$3)-MONTH($B$39)))*(1+IF(MONTH(BM$3)=1,'Вводные'!$B$67,IF(AND(MONTH(BM$3)&gt;=5,MONTH(BM$3)&lt;=8),'Вводные'!$B$70,0))),0)</x:f>
        <x:v>0</x:v>
      </x:c>
      <x:c r="BN46" s="35" t="n">
        <x:f>IF(AND(BN$3&gt;=$B$39,BN$3&lt;EDATE($B$39,MAX(1,'Вводные'!$K$53)),AND($B$35="Да",IFERROR(INDEX('Вводные'!$B$88:$B$90,$B$36),"Нет")="Да")),(1+INDEX('Вводные'!$AD$88:$AD$90,$B$36)*'Вводные'!$H$7)^MAX(0,(12*(YEAR(BN$3)-YEAR($B$39))+MONTH(BN$3)-MONTH($B$39)))*(1+IF(MONTH(BN$3)=1,'Вводные'!$B$67,IF(AND(MONTH(BN$3)&gt;=5,MONTH(BN$3)&lt;=8),'Вводные'!$B$70,0))),0)</x:f>
        <x:v>0</x:v>
      </x:c>
      <x:c r="BO46" s="35" t="n">
        <x:f>IF(AND(BO$3&gt;=$B$39,BO$3&lt;EDATE($B$39,MAX(1,'Вводные'!$K$53)),AND($B$35="Да",IFERROR(INDEX('Вводные'!$B$88:$B$90,$B$36),"Нет")="Да")),(1+INDEX('Вводные'!$AD$88:$AD$90,$B$36)*'Вводные'!$H$7)^MAX(0,(12*(YEAR(BO$3)-YEAR($B$39))+MONTH(BO$3)-MONTH($B$39)))*(1+IF(MONTH(BO$3)=1,'Вводные'!$B$67,IF(AND(MONTH(BO$3)&gt;=5,MONTH(BO$3)&lt;=8),'Вводные'!$B$70,0))),0)</x:f>
        <x:v>0</x:v>
      </x:c>
      <x:c r="BP46" s="35" t="n">
        <x:f>IF(AND(BP$3&gt;=$B$39,BP$3&lt;EDATE($B$39,MAX(1,'Вводные'!$K$53)),AND($B$35="Да",IFERROR(INDEX('Вводные'!$B$88:$B$90,$B$36),"Нет")="Да")),(1+INDEX('Вводные'!$AD$88:$AD$90,$B$36)*'Вводные'!$H$7)^MAX(0,(12*(YEAR(BP$3)-YEAR($B$39))+MONTH(BP$3)-MONTH($B$39)))*(1+IF(MONTH(BP$3)=1,'Вводные'!$B$67,IF(AND(MONTH(BP$3)&gt;=5,MONTH(BP$3)&lt;=8),'Вводные'!$B$70,0))),0)</x:f>
        <x:v>0</x:v>
      </x:c>
      <x:c r="BQ46" s="35" t="n">
        <x:f>IF(AND(BQ$3&gt;=$B$39,BQ$3&lt;EDATE($B$39,MAX(1,'Вводные'!$K$53)),AND($B$35="Да",IFERROR(INDEX('Вводные'!$B$88:$B$90,$B$36),"Нет")="Да")),(1+INDEX('Вводные'!$AD$88:$AD$90,$B$36)*'Вводные'!$H$7)^MAX(0,(12*(YEAR(BQ$3)-YEAR($B$39))+MONTH(BQ$3)-MONTH($B$39)))*(1+IF(MONTH(BQ$3)=1,'Вводные'!$B$67,IF(AND(MONTH(BQ$3)&gt;=5,MONTH(BQ$3)&lt;=8),'Вводные'!$B$70,0))),0)</x:f>
        <x:v>0</x:v>
      </x:c>
      <x:c r="BR46" s="35" t="n">
        <x:f>IF(AND(BR$3&gt;=$B$39,BR$3&lt;EDATE($B$39,MAX(1,'Вводные'!$K$53)),AND($B$35="Да",IFERROR(INDEX('Вводные'!$B$88:$B$90,$B$36),"Нет")="Да")),(1+INDEX('Вводные'!$AD$88:$AD$90,$B$36)*'Вводные'!$H$7)^MAX(0,(12*(YEAR(BR$3)-YEAR($B$39))+MONTH(BR$3)-MONTH($B$39)))*(1+IF(MONTH(BR$3)=1,'Вводные'!$B$67,IF(AND(MONTH(BR$3)&gt;=5,MONTH(BR$3)&lt;=8),'Вводные'!$B$70,0))),0)</x:f>
        <x:v>0</x:v>
      </x:c>
      <x:c r="BS46" s="35" t="n">
        <x:f>IF(AND(BS$3&gt;=$B$39,BS$3&lt;EDATE($B$39,MAX(1,'Вводные'!$K$53)),AND($B$35="Да",IFERROR(INDEX('Вводные'!$B$88:$B$90,$B$36),"Нет")="Да")),(1+INDEX('Вводные'!$AD$88:$AD$90,$B$36)*'Вводные'!$H$7)^MAX(0,(12*(YEAR(BS$3)-YEAR($B$39))+MONTH(BS$3)-MONTH($B$39)))*(1+IF(MONTH(BS$3)=1,'Вводные'!$B$67,IF(AND(MONTH(BS$3)&gt;=5,MONTH(BS$3)&lt;=8),'Вводные'!$B$70,0))),0)</x:f>
        <x:v>0</x:v>
      </x:c>
      <x:c r="BT46" s="35" t="n">
        <x:f>IF(AND(BT$3&gt;=$B$39,BT$3&lt;EDATE($B$39,MAX(1,'Вводные'!$K$53)),AND($B$35="Да",IFERROR(INDEX('Вводные'!$B$88:$B$90,$B$36),"Нет")="Да")),(1+INDEX('Вводные'!$AD$88:$AD$90,$B$36)*'Вводные'!$H$7)^MAX(0,(12*(YEAR(BT$3)-YEAR($B$39))+MONTH(BT$3)-MONTH($B$39)))*(1+IF(MONTH(BT$3)=1,'Вводные'!$B$67,IF(AND(MONTH(BT$3)&gt;=5,MONTH(BT$3)&lt;=8),'Вводные'!$B$70,0))),0)</x:f>
        <x:v>0</x:v>
      </x:c>
      <x:c r="BU46" s="35" t="n">
        <x:f>IF(AND(BU$3&gt;=$B$39,BU$3&lt;EDATE($B$39,MAX(1,'Вводные'!$K$53)),AND($B$35="Да",IFERROR(INDEX('Вводные'!$B$88:$B$90,$B$36),"Нет")="Да")),(1+INDEX('Вводные'!$AD$88:$AD$90,$B$36)*'Вводные'!$H$7)^MAX(0,(12*(YEAR(BU$3)-YEAR($B$39))+MONTH(BU$3)-MONTH($B$39)))*(1+IF(MONTH(BU$3)=1,'Вводные'!$B$67,IF(AND(MONTH(BU$3)&gt;=5,MONTH(BU$3)&lt;=8),'Вводные'!$B$70,0))),0)</x:f>
        <x:v>0</x:v>
      </x:c>
      <x:c r="BV46" s="35" t="n">
        <x:f>IF(AND(BV$3&gt;=$B$39,BV$3&lt;EDATE($B$39,MAX(1,'Вводные'!$K$53)),AND($B$35="Да",IFERROR(INDEX('Вводные'!$B$88:$B$90,$B$36),"Нет")="Да")),(1+INDEX('Вводные'!$AD$88:$AD$90,$B$36)*'Вводные'!$H$7)^MAX(0,(12*(YEAR(BV$3)-YEAR($B$39))+MONTH(BV$3)-MONTH($B$39)))*(1+IF(MONTH(BV$3)=1,'Вводные'!$B$67,IF(AND(MONTH(BV$3)&gt;=5,MONTH(BV$3)&lt;=8),'Вводные'!$B$70,0))),0)</x:f>
        <x:v>0</x:v>
      </x:c>
      <x:c r="BW46" s="35" t="n">
        <x:f>IF(AND(BW$3&gt;=$B$39,BW$3&lt;EDATE($B$39,MAX(1,'Вводные'!$K$53)),AND($B$35="Да",IFERROR(INDEX('Вводные'!$B$88:$B$90,$B$36),"Нет")="Да")),(1+INDEX('Вводные'!$AD$88:$AD$90,$B$36)*'Вводные'!$H$7)^MAX(0,(12*(YEAR(BW$3)-YEAR($B$39))+MONTH(BW$3)-MONTH($B$39)))*(1+IF(MONTH(BW$3)=1,'Вводные'!$B$67,IF(AND(MONTH(BW$3)&gt;=5,MONTH(BW$3)&lt;=8),'Вводные'!$B$70,0))),0)</x:f>
        <x:v>0</x:v>
      </x:c>
      <x:c r="BX46" s="35" t="n">
        <x:f>IF(AND(BX$3&gt;=$B$39,BX$3&lt;EDATE($B$39,MAX(1,'Вводные'!$K$53)),AND($B$35="Да",IFERROR(INDEX('Вводные'!$B$88:$B$90,$B$36),"Нет")="Да")),(1+INDEX('Вводные'!$AD$88:$AD$90,$B$36)*'Вводные'!$H$7)^MAX(0,(12*(YEAR(BX$3)-YEAR($B$39))+MONTH(BX$3)-MONTH($B$39)))*(1+IF(MONTH(BX$3)=1,'Вводные'!$B$67,IF(AND(MONTH(BX$3)&gt;=5,MONTH(BX$3)&lt;=8),'Вводные'!$B$70,0))),0)</x:f>
        <x:v>0</x:v>
      </x:c>
      <x:c r="BY46" s="35" t="n">
        <x:f>IF(AND(BY$3&gt;=$B$39,BY$3&lt;EDATE($B$39,MAX(1,'Вводные'!$K$53)),AND($B$35="Да",IFERROR(INDEX('Вводные'!$B$88:$B$90,$B$36),"Нет")="Да")),(1+INDEX('Вводные'!$AD$88:$AD$90,$B$36)*'Вводные'!$H$7)^MAX(0,(12*(YEAR(BY$3)-YEAR($B$39))+MONTH(BY$3)-MONTH($B$39)))*(1+IF(MONTH(BY$3)=1,'Вводные'!$B$67,IF(AND(MONTH(BY$3)&gt;=5,MONTH(BY$3)&lt;=8),'Вводные'!$B$70,0))),0)</x:f>
        <x:v>0</x:v>
      </x:c>
      <x:c r="BZ46" s="35" t="n">
        <x:f>IF(AND(BZ$3&gt;=$B$39,BZ$3&lt;EDATE($B$39,MAX(1,'Вводные'!$K$53)),AND($B$35="Да",IFERROR(INDEX('Вводные'!$B$88:$B$90,$B$36),"Нет")="Да")),(1+INDEX('Вводные'!$AD$88:$AD$90,$B$36)*'Вводные'!$H$7)^MAX(0,(12*(YEAR(BZ$3)-YEAR($B$39))+MONTH(BZ$3)-MONTH($B$39)))*(1+IF(MONTH(BZ$3)=1,'Вводные'!$B$67,IF(AND(MONTH(BZ$3)&gt;=5,MONTH(BZ$3)&lt;=8),'Вводные'!$B$70,0))),0)</x:f>
        <x:v>0</x:v>
      </x:c>
      <x:c r="CA46" s="35" t="n">
        <x:f>IF(AND(CA$3&gt;=$B$39,CA$3&lt;EDATE($B$39,MAX(1,'Вводные'!$K$53)),AND($B$35="Да",IFERROR(INDEX('Вводные'!$B$88:$B$90,$B$36),"Нет")="Да")),(1+INDEX('Вводные'!$AD$88:$AD$90,$B$36)*'Вводные'!$H$7)^MAX(0,(12*(YEAR(CA$3)-YEAR($B$39))+MONTH(CA$3)-MONTH($B$39)))*(1+IF(MONTH(CA$3)=1,'Вводные'!$B$67,IF(AND(MONTH(CA$3)&gt;=5,MONTH(CA$3)&lt;=8),'Вводные'!$B$70,0))),0)</x:f>
        <x:v>0</x:v>
      </x:c>
      <x:c r="CB46" s="35" t="n">
        <x:f>IF(AND(CB$3&gt;=$B$39,CB$3&lt;EDATE($B$39,MAX(1,'Вводные'!$K$53)),AND($B$35="Да",IFERROR(INDEX('Вводные'!$B$88:$B$90,$B$36),"Нет")="Да")),(1+INDEX('Вводные'!$AD$88:$AD$90,$B$36)*'Вводные'!$H$7)^MAX(0,(12*(YEAR(CB$3)-YEAR($B$39))+MONTH(CB$3)-MONTH($B$39)))*(1+IF(MONTH(CB$3)=1,'Вводные'!$B$67,IF(AND(MONTH(CB$3)&gt;=5,MONTH(CB$3)&lt;=8),'Вводные'!$B$70,0))),0)</x:f>
        <x:v>0</x:v>
      </x:c>
      <x:c r="CC46" s="35" t="n">
        <x:f>IF(AND(CC$3&gt;=$B$39,CC$3&lt;EDATE($B$39,MAX(1,'Вводные'!$K$53)),AND($B$35="Да",IFERROR(INDEX('Вводные'!$B$88:$B$90,$B$36),"Нет")="Да")),(1+INDEX('Вводные'!$AD$88:$AD$90,$B$36)*'Вводные'!$H$7)^MAX(0,(12*(YEAR(CC$3)-YEAR($B$39))+MONTH(CC$3)-MONTH($B$39)))*(1+IF(MONTH(CC$3)=1,'Вводные'!$B$67,IF(AND(MONTH(CC$3)&gt;=5,MONTH(CC$3)&lt;=8),'Вводные'!$B$70,0))),0)</x:f>
        <x:v>0</x:v>
      </x:c>
      <x:c r="CD46" s="35" t="n">
        <x:f>IF(AND(CD$3&gt;=$B$39,CD$3&lt;EDATE($B$39,MAX(1,'Вводные'!$K$53)),AND($B$35="Да",IFERROR(INDEX('Вводные'!$B$88:$B$90,$B$36),"Нет")="Да")),(1+INDEX('Вводные'!$AD$88:$AD$90,$B$36)*'Вводные'!$H$7)^MAX(0,(12*(YEAR(CD$3)-YEAR($B$39))+MONTH(CD$3)-MONTH($B$39)))*(1+IF(MONTH(CD$3)=1,'Вводные'!$B$67,IF(AND(MONTH(CD$3)&gt;=5,MONTH(CD$3)&lt;=8),'Вводные'!$B$70,0))),0)</x:f>
        <x:v>0</x:v>
      </x:c>
      <x:c r="CE46" s="35" t="n">
        <x:f>IF(AND(CE$3&gt;=$B$39,CE$3&lt;EDATE($B$39,MAX(1,'Вводные'!$K$53)),AND($B$35="Да",IFERROR(INDEX('Вводные'!$B$88:$B$90,$B$36),"Нет")="Да")),(1+INDEX('Вводные'!$AD$88:$AD$90,$B$36)*'Вводные'!$H$7)^MAX(0,(12*(YEAR(CE$3)-YEAR($B$39))+MONTH(CE$3)-MONTH($B$39)))*(1+IF(MONTH(CE$3)=1,'Вводные'!$B$67,IF(AND(MONTH(CE$3)&gt;=5,MONTH(CE$3)&lt;=8),'Вводные'!$B$70,0))),0)</x:f>
        <x:v>0</x:v>
      </x:c>
      <x:c r="CF46" s="35" t="n">
        <x:f>IF(AND(CF$3&gt;=$B$39,CF$3&lt;EDATE($B$39,MAX(1,'Вводные'!$K$53)),AND($B$35="Да",IFERROR(INDEX('Вводные'!$B$88:$B$90,$B$36),"Нет")="Да")),(1+INDEX('Вводные'!$AD$88:$AD$90,$B$36)*'Вводные'!$H$7)^MAX(0,(12*(YEAR(CF$3)-YEAR($B$39))+MONTH(CF$3)-MONTH($B$39)))*(1+IF(MONTH(CF$3)=1,'Вводные'!$B$67,IF(AND(MONTH(CF$3)&gt;=5,MONTH(CF$3)&lt;=8),'Вводные'!$B$70,0))),0)</x:f>
        <x:v>0</x:v>
      </x:c>
      <x:c r="CG46" s="35" t="n">
        <x:f>IF(AND(CG$3&gt;=$B$39,CG$3&lt;EDATE($B$39,MAX(1,'Вводные'!$K$53)),AND($B$35="Да",IFERROR(INDEX('Вводные'!$B$88:$B$90,$B$36),"Нет")="Да")),(1+INDEX('Вводные'!$AD$88:$AD$90,$B$36)*'Вводные'!$H$7)^MAX(0,(12*(YEAR(CG$3)-YEAR($B$39))+MONTH(CG$3)-MONTH($B$39)))*(1+IF(MONTH(CG$3)=1,'Вводные'!$B$67,IF(AND(MONTH(CG$3)&gt;=5,MONTH(CG$3)&lt;=8),'Вводные'!$B$70,0))),0)</x:f>
        <x:v>0</x:v>
      </x:c>
      <x:c r="CH46" s="35" t="n">
        <x:f>IF(AND(CH$3&gt;=$B$39,CH$3&lt;EDATE($B$39,MAX(1,'Вводные'!$K$53)),AND($B$35="Да",IFERROR(INDEX('Вводные'!$B$88:$B$90,$B$36),"Нет")="Да")),(1+INDEX('Вводные'!$AD$88:$AD$90,$B$36)*'Вводные'!$H$7)^MAX(0,(12*(YEAR(CH$3)-YEAR($B$39))+MONTH(CH$3)-MONTH($B$39)))*(1+IF(MONTH(CH$3)=1,'Вводные'!$B$67,IF(AND(MONTH(CH$3)&gt;=5,MONTH(CH$3)&lt;=8),'Вводные'!$B$70,0))),0)</x:f>
        <x:v>0</x:v>
      </x:c>
      <x:c r="CI46" s="35" t="n">
        <x:f>IF(AND(CI$3&gt;=$B$39,CI$3&lt;EDATE($B$39,MAX(1,'Вводные'!$K$53)),AND($B$35="Да",IFERROR(INDEX('Вводные'!$B$88:$B$90,$B$36),"Нет")="Да")),(1+INDEX('Вводные'!$AD$88:$AD$90,$B$36)*'Вводные'!$H$7)^MAX(0,(12*(YEAR(CI$3)-YEAR($B$39))+MONTH(CI$3)-MONTH($B$39)))*(1+IF(MONTH(CI$3)=1,'Вводные'!$B$67,IF(AND(MONTH(CI$3)&gt;=5,MONTH(CI$3)&lt;=8),'Вводные'!$B$70,0))),0)</x:f>
        <x:v>0</x:v>
      </x:c>
      <x:c r="CJ46" s="35" t="n">
        <x:f>IF(AND(CJ$3&gt;=$B$39,CJ$3&lt;EDATE($B$39,MAX(1,'Вводные'!$K$53)),AND($B$35="Да",IFERROR(INDEX('Вводные'!$B$88:$B$90,$B$36),"Нет")="Да")),(1+INDEX('Вводные'!$AD$88:$AD$90,$B$36)*'Вводные'!$H$7)^MAX(0,(12*(YEAR(CJ$3)-YEAR($B$39))+MONTH(CJ$3)-MONTH($B$39)))*(1+IF(MONTH(CJ$3)=1,'Вводные'!$B$67,IF(AND(MONTH(CJ$3)&gt;=5,MONTH(CJ$3)&lt;=8),'Вводные'!$B$70,0))),0)</x:f>
        <x:v>0</x:v>
      </x:c>
      <x:c r="CK46" s="35" t="n">
        <x:f>IF(AND(CK$3&gt;=$B$39,CK$3&lt;EDATE($B$39,MAX(1,'Вводные'!$K$53)),AND($B$35="Да",IFERROR(INDEX('Вводные'!$B$88:$B$90,$B$36),"Нет")="Да")),(1+INDEX('Вводные'!$AD$88:$AD$90,$B$36)*'Вводные'!$H$7)^MAX(0,(12*(YEAR(CK$3)-YEAR($B$39))+MONTH(CK$3)-MONTH($B$39)))*(1+IF(MONTH(CK$3)=1,'Вводные'!$B$67,IF(AND(MONTH(CK$3)&gt;=5,MONTH(CK$3)&lt;=8),'Вводные'!$B$70,0))),0)</x:f>
        <x:v>0</x:v>
      </x:c>
      <x:c r="CL46" s="35" t="n">
        <x:f>IF(AND(CL$3&gt;=$B$39,CL$3&lt;EDATE($B$39,MAX(1,'Вводные'!$K$53)),AND($B$35="Да",IFERROR(INDEX('Вводные'!$B$88:$B$90,$B$36),"Нет")="Да")),(1+INDEX('Вводные'!$AD$88:$AD$90,$B$36)*'Вводные'!$H$7)^MAX(0,(12*(YEAR(CL$3)-YEAR($B$39))+MONTH(CL$3)-MONTH($B$39)))*(1+IF(MONTH(CL$3)=1,'Вводные'!$B$67,IF(AND(MONTH(CL$3)&gt;=5,MONTH(CL$3)&lt;=8),'Вводные'!$B$70,0))),0)</x:f>
        <x:v>0</x:v>
      </x:c>
      <x:c r="CM46" s="35" t="n">
        <x:f>IF(AND(CM$3&gt;=$B$39,CM$3&lt;EDATE($B$39,MAX(1,'Вводные'!$K$53)),AND($B$35="Да",IFERROR(INDEX('Вводные'!$B$88:$B$90,$B$36),"Нет")="Да")),(1+INDEX('Вводные'!$AD$88:$AD$90,$B$36)*'Вводные'!$H$7)^MAX(0,(12*(YEAR(CM$3)-YEAR($B$39))+MONTH(CM$3)-MONTH($B$39)))*(1+IF(MONTH(CM$3)=1,'Вводные'!$B$67,IF(AND(MONTH(CM$3)&gt;=5,MONTH(CM$3)&lt;=8),'Вводные'!$B$70,0))),0)</x:f>
        <x:v>0</x:v>
      </x:c>
      <x:c r="CN46" s="35" t="n">
        <x:f>IF(AND(CN$3&gt;=$B$39,CN$3&lt;EDATE($B$39,MAX(1,'Вводные'!$K$53)),AND($B$35="Да",IFERROR(INDEX('Вводные'!$B$88:$B$90,$B$36),"Нет")="Да")),(1+INDEX('Вводные'!$AD$88:$AD$90,$B$36)*'Вводные'!$H$7)^MAX(0,(12*(YEAR(CN$3)-YEAR($B$39))+MONTH(CN$3)-MONTH($B$39)))*(1+IF(MONTH(CN$3)=1,'Вводные'!$B$67,IF(AND(MONTH(CN$3)&gt;=5,MONTH(CN$3)&lt;=8),'Вводные'!$B$70,0))),0)</x:f>
        <x:v>0</x:v>
      </x:c>
      <x:c r="CO46" s="35" t="n">
        <x:f>IF(AND(CO$3&gt;=$B$39,CO$3&lt;EDATE($B$39,MAX(1,'Вводные'!$K$53)),AND($B$35="Да",IFERROR(INDEX('Вводные'!$B$88:$B$90,$B$36),"Нет")="Да")),(1+INDEX('Вводные'!$AD$88:$AD$90,$B$36)*'Вводные'!$H$7)^MAX(0,(12*(YEAR(CO$3)-YEAR($B$39))+MONTH(CO$3)-MONTH($B$39)))*(1+IF(MONTH(CO$3)=1,'Вводные'!$B$67,IF(AND(MONTH(CO$3)&gt;=5,MONTH(CO$3)&lt;=8),'Вводные'!$B$70,0))),0)</x:f>
        <x:v>0</x:v>
      </x:c>
      <x:c r="CP46" s="35" t="n">
        <x:f>IF(AND(CP$3&gt;=$B$39,CP$3&lt;EDATE($B$39,MAX(1,'Вводные'!$K$53)),AND($B$35="Да",IFERROR(INDEX('Вводные'!$B$88:$B$90,$B$36),"Нет")="Да")),(1+INDEX('Вводные'!$AD$88:$AD$90,$B$36)*'Вводные'!$H$7)^MAX(0,(12*(YEAR(CP$3)-YEAR($B$39))+MONTH(CP$3)-MONTH($B$39)))*(1+IF(MONTH(CP$3)=1,'Вводные'!$B$67,IF(AND(MONTH(CP$3)&gt;=5,MONTH(CP$3)&lt;=8),'Вводные'!$B$70,0))),0)</x:f>
        <x:v>0</x:v>
      </x:c>
      <x:c r="CQ46" s="35" t="n">
        <x:f>IF(AND(CQ$3&gt;=$B$39,CQ$3&lt;EDATE($B$39,MAX(1,'Вводные'!$K$53)),AND($B$35="Да",IFERROR(INDEX('Вводные'!$B$88:$B$90,$B$36),"Нет")="Да")),(1+INDEX('Вводные'!$AD$88:$AD$90,$B$36)*'Вводные'!$H$7)^MAX(0,(12*(YEAR(CQ$3)-YEAR($B$39))+MONTH(CQ$3)-MONTH($B$39)))*(1+IF(MONTH(CQ$3)=1,'Вводные'!$B$67,IF(AND(MONTH(CQ$3)&gt;=5,MONTH(CQ$3)&lt;=8),'Вводные'!$B$70,0))),0)</x:f>
        <x:v>0</x:v>
      </x:c>
      <x:c r="CR46" s="35" t="n">
        <x:f>IF(AND(CR$3&gt;=$B$39,CR$3&lt;EDATE($B$39,MAX(1,'Вводные'!$K$53)),AND($B$35="Да",IFERROR(INDEX('Вводные'!$B$88:$B$90,$B$36),"Нет")="Да")),(1+INDEX('Вводные'!$AD$88:$AD$90,$B$36)*'Вводные'!$H$7)^MAX(0,(12*(YEAR(CR$3)-YEAR($B$39))+MONTH(CR$3)-MONTH($B$39)))*(1+IF(MONTH(CR$3)=1,'Вводные'!$B$67,IF(AND(MONTH(CR$3)&gt;=5,MONTH(CR$3)&lt;=8),'Вводные'!$B$70,0))),0)</x:f>
        <x:v>0</x:v>
      </x:c>
      <x:c r="CS46" s="35" t="n">
        <x:f>IF(AND(CS$3&gt;=$B$39,CS$3&lt;EDATE($B$39,MAX(1,'Вводные'!$K$53)),AND($B$35="Да",IFERROR(INDEX('Вводные'!$B$88:$B$90,$B$36),"Нет")="Да")),(1+INDEX('Вводные'!$AD$88:$AD$90,$B$36)*'Вводные'!$H$7)^MAX(0,(12*(YEAR(CS$3)-YEAR($B$39))+MONTH(CS$3)-MONTH($B$39)))*(1+IF(MONTH(CS$3)=1,'Вводные'!$B$67,IF(AND(MONTH(CS$3)&gt;=5,MONTH(CS$3)&lt;=8),'Вводные'!$B$70,0))),0)</x:f>
        <x:v>0</x:v>
      </x:c>
      <x:c r="CT46" s="35" t="n">
        <x:f>IF(AND(CT$3&gt;=$B$39,CT$3&lt;EDATE($B$39,MAX(1,'Вводные'!$K$53)),AND($B$35="Да",IFERROR(INDEX('Вводные'!$B$88:$B$90,$B$36),"Нет")="Да")),(1+INDEX('Вводные'!$AD$88:$AD$90,$B$36)*'Вводные'!$H$7)^MAX(0,(12*(YEAR(CT$3)-YEAR($B$39))+MONTH(CT$3)-MONTH($B$39)))*(1+IF(MONTH(CT$3)=1,'Вводные'!$B$67,IF(AND(MONTH(CT$3)&gt;=5,MONTH(CT$3)&lt;=8),'Вводные'!$B$70,0))),0)</x:f>
        <x:v>0</x:v>
      </x:c>
      <x:c r="CU46" s="35" t="n">
        <x:f>IF(AND(CU$3&gt;=$B$39,CU$3&lt;EDATE($B$39,MAX(1,'Вводные'!$K$53)),AND($B$35="Да",IFERROR(INDEX('Вводные'!$B$88:$B$90,$B$36),"Нет")="Да")),(1+INDEX('Вводные'!$AD$88:$AD$90,$B$36)*'Вводные'!$H$7)^MAX(0,(12*(YEAR(CU$3)-YEAR($B$39))+MONTH(CU$3)-MONTH($B$39)))*(1+IF(MONTH(CU$3)=1,'Вводные'!$B$67,IF(AND(MONTH(CU$3)&gt;=5,MONTH(CU$3)&lt;=8),'Вводные'!$B$70,0))),0)</x:f>
        <x:v>0</x:v>
      </x:c>
      <x:c r="CV46" s="35" t="n">
        <x:f>IF(AND(CV$3&gt;=$B$39,CV$3&lt;EDATE($B$39,MAX(1,'Вводные'!$K$53)),AND($B$35="Да",IFERROR(INDEX('Вводные'!$B$88:$B$90,$B$36),"Нет")="Да")),(1+INDEX('Вводные'!$AD$88:$AD$90,$B$36)*'Вводные'!$H$7)^MAX(0,(12*(YEAR(CV$3)-YEAR($B$39))+MONTH(CV$3)-MONTH($B$39)))*(1+IF(MONTH(CV$3)=1,'Вводные'!$B$67,IF(AND(MONTH(CV$3)&gt;=5,MONTH(CV$3)&lt;=8),'Вводные'!$B$70,0))),0)</x:f>
        <x:v>0</x:v>
      </x:c>
      <x:c r="CW46" s="35" t="n">
        <x:f>IF(AND(CW$3&gt;=$B$39,CW$3&lt;EDATE($B$39,MAX(1,'Вводные'!$K$53)),AND($B$35="Да",IFERROR(INDEX('Вводные'!$B$88:$B$90,$B$36),"Нет")="Да")),(1+INDEX('Вводные'!$AD$88:$AD$90,$B$36)*'Вводные'!$H$7)^MAX(0,(12*(YEAR(CW$3)-YEAR($B$39))+MONTH(CW$3)-MONTH($B$39)))*(1+IF(MONTH(CW$3)=1,'Вводные'!$B$67,IF(AND(MONTH(CW$3)&gt;=5,MONTH(CW$3)&lt;=8),'Вводные'!$B$70,0))),0)</x:f>
        <x:v>0</x:v>
      </x:c>
      <x:c r="CX46" s="35" t="n">
        <x:f>IF(AND(CX$3&gt;=$B$39,CX$3&lt;EDATE($B$39,MAX(1,'Вводные'!$K$53)),AND($B$35="Да",IFERROR(INDEX('Вводные'!$B$88:$B$90,$B$36),"Нет")="Да")),(1+INDEX('Вводные'!$AD$88:$AD$90,$B$36)*'Вводные'!$H$7)^MAX(0,(12*(YEAR(CX$3)-YEAR($B$39))+MONTH(CX$3)-MONTH($B$39)))*(1+IF(MONTH(CX$3)=1,'Вводные'!$B$67,IF(AND(MONTH(CX$3)&gt;=5,MONTH(CX$3)&lt;=8),'Вводные'!$B$70,0))),0)</x:f>
        <x:v>0</x:v>
      </x:c>
      <x:c r="CY46" s="35" t="n">
        <x:f>IF(AND(CY$3&gt;=$B$39,CY$3&lt;EDATE($B$39,MAX(1,'Вводные'!$K$53)),AND($B$35="Да",IFERROR(INDEX('Вводные'!$B$88:$B$90,$B$36),"Нет")="Да")),(1+INDEX('Вводные'!$AD$88:$AD$90,$B$36)*'Вводные'!$H$7)^MAX(0,(12*(YEAR(CY$3)-YEAR($B$39))+MONTH(CY$3)-MONTH($B$39)))*(1+IF(MONTH(CY$3)=1,'Вводные'!$B$67,IF(AND(MONTH(CY$3)&gt;=5,MONTH(CY$3)&lt;=8),'Вводные'!$B$70,0))),0)</x:f>
        <x:v>0</x:v>
      </x:c>
      <x:c r="CZ46" s="35" t="n">
        <x:f>IF(AND(CZ$3&gt;=$B$39,CZ$3&lt;EDATE($B$39,MAX(1,'Вводные'!$K$53)),AND($B$35="Да",IFERROR(INDEX('Вводные'!$B$88:$B$90,$B$36),"Нет")="Да")),(1+INDEX('Вводные'!$AD$88:$AD$90,$B$36)*'Вводные'!$H$7)^MAX(0,(12*(YEAR(CZ$3)-YEAR($B$39))+MONTH(CZ$3)-MONTH($B$39)))*(1+IF(MONTH(CZ$3)=1,'Вводные'!$B$67,IF(AND(MONTH(CZ$3)&gt;=5,MONTH(CZ$3)&lt;=8),'Вводные'!$B$70,0))),0)</x:f>
        <x:v>0</x:v>
      </x:c>
      <x:c r="DA46" s="35" t="n">
        <x:f>IF(AND(DA$3&gt;=$B$39,DA$3&lt;EDATE($B$39,MAX(1,'Вводные'!$K$53)),AND($B$35="Да",IFERROR(INDEX('Вводные'!$B$88:$B$90,$B$36),"Нет")="Да")),(1+INDEX('Вводные'!$AD$88:$AD$90,$B$36)*'Вводные'!$H$7)^MAX(0,(12*(YEAR(DA$3)-YEAR($B$39))+MONTH(DA$3)-MONTH($B$39)))*(1+IF(MONTH(DA$3)=1,'Вводные'!$B$67,IF(AND(MONTH(DA$3)&gt;=5,MONTH(DA$3)&lt;=8),'Вводные'!$B$70,0))),0)</x:f>
        <x:v>0</x:v>
      </x:c>
      <x:c r="DB46" s="35" t="n">
        <x:f>IF(AND(DB$3&gt;=$B$39,DB$3&lt;EDATE($B$39,MAX(1,'Вводные'!$K$53)),AND($B$35="Да",IFERROR(INDEX('Вводные'!$B$88:$B$90,$B$36),"Нет")="Да")),(1+INDEX('Вводные'!$AD$88:$AD$90,$B$36)*'Вводные'!$H$7)^MAX(0,(12*(YEAR(DB$3)-YEAR($B$39))+MONTH(DB$3)-MONTH($B$39)))*(1+IF(MONTH(DB$3)=1,'Вводные'!$B$67,IF(AND(MONTH(DB$3)&gt;=5,MONTH(DB$3)&lt;=8),'Вводные'!$B$70,0))),0)</x:f>
        <x:v>0</x:v>
      </x:c>
      <x:c r="DC46" s="35" t="n">
        <x:f>IF(AND(DC$3&gt;=$B$39,DC$3&lt;EDATE($B$39,MAX(1,'Вводные'!$K$53)),AND($B$35="Да",IFERROR(INDEX('Вводные'!$B$88:$B$90,$B$36),"Нет")="Да")),(1+INDEX('Вводные'!$AD$88:$AD$90,$B$36)*'Вводные'!$H$7)^MAX(0,(12*(YEAR(DC$3)-YEAR($B$39))+MONTH(DC$3)-MONTH($B$39)))*(1+IF(MONTH(DC$3)=1,'Вводные'!$B$67,IF(AND(MONTH(DC$3)&gt;=5,MONTH(DC$3)&lt;=8),'Вводные'!$B$70,0))),0)</x:f>
        <x:v>0</x:v>
      </x:c>
      <x:c r="DD46" s="35" t="n">
        <x:f>IF(AND(DD$3&gt;=$B$39,DD$3&lt;EDATE($B$39,MAX(1,'Вводные'!$K$53)),AND($B$35="Да",IFERROR(INDEX('Вводные'!$B$88:$B$90,$B$36),"Нет")="Да")),(1+INDEX('Вводные'!$AD$88:$AD$90,$B$36)*'Вводные'!$H$7)^MAX(0,(12*(YEAR(DD$3)-YEAR($B$39))+MONTH(DD$3)-MONTH($B$39)))*(1+IF(MONTH(DD$3)=1,'Вводные'!$B$67,IF(AND(MONTH(DD$3)&gt;=5,MONTH(DD$3)&lt;=8),'Вводные'!$B$70,0))),0)</x:f>
        <x:v>0</x:v>
      </x:c>
      <x:c r="DE46" s="35" t="n">
        <x:f>IF(AND(DE$3&gt;=$B$39,DE$3&lt;EDATE($B$39,MAX(1,'Вводные'!$K$53)),AND($B$35="Да",IFERROR(INDEX('Вводные'!$B$88:$B$90,$B$36),"Нет")="Да")),(1+INDEX('Вводные'!$AD$88:$AD$90,$B$36)*'Вводные'!$H$7)^MAX(0,(12*(YEAR(DE$3)-YEAR($B$39))+MONTH(DE$3)-MONTH($B$39)))*(1+IF(MONTH(DE$3)=1,'Вводные'!$B$67,IF(AND(MONTH(DE$3)&gt;=5,MONTH(DE$3)&lt;=8),'Вводные'!$B$70,0))),0)</x:f>
        <x:v>0</x:v>
      </x:c>
      <x:c r="DF46" s="35" t="n">
        <x:f>IF(AND(DF$3&gt;=$B$39,DF$3&lt;EDATE($B$39,MAX(1,'Вводные'!$K$53)),AND($B$35="Да",IFERROR(INDEX('Вводные'!$B$88:$B$90,$B$36),"Нет")="Да")),(1+INDEX('Вводные'!$AD$88:$AD$90,$B$36)*'Вводные'!$H$7)^MAX(0,(12*(YEAR(DF$3)-YEAR($B$39))+MONTH(DF$3)-MONTH($B$39)))*(1+IF(MONTH(DF$3)=1,'Вводные'!$B$67,IF(AND(MONTH(DF$3)&gt;=5,MONTH(DF$3)&lt;=8),'Вводные'!$B$70,0))),0)</x:f>
        <x:v>0</x:v>
      </x:c>
      <x:c r="DG46" s="35" t="n">
        <x:f>IF(AND(DG$3&gt;=$B$39,DG$3&lt;EDATE($B$39,MAX(1,'Вводные'!$K$53)),AND($B$35="Да",IFERROR(INDEX('Вводные'!$B$88:$B$90,$B$36),"Нет")="Да")),(1+INDEX('Вводные'!$AD$88:$AD$90,$B$36)*'Вводные'!$H$7)^MAX(0,(12*(YEAR(DG$3)-YEAR($B$39))+MONTH(DG$3)-MONTH($B$39)))*(1+IF(MONTH(DG$3)=1,'Вводные'!$B$67,IF(AND(MONTH(DG$3)&gt;=5,MONTH(DG$3)&lt;=8),'Вводные'!$B$70,0))),0)</x:f>
        <x:v>0</x:v>
      </x:c>
      <x:c r="DH46" s="35" t="n">
        <x:f>IF(AND(DH$3&gt;=$B$39,DH$3&lt;EDATE($B$39,MAX(1,'Вводные'!$K$53)),AND($B$35="Да",IFERROR(INDEX('Вводные'!$B$88:$B$90,$B$36),"Нет")="Да")),(1+INDEX('Вводные'!$AD$88:$AD$90,$B$36)*'Вводные'!$H$7)^MAX(0,(12*(YEAR(DH$3)-YEAR($B$39))+MONTH(DH$3)-MONTH($B$39)))*(1+IF(MONTH(DH$3)=1,'Вводные'!$B$67,IF(AND(MONTH(DH$3)&gt;=5,MONTH(DH$3)&lt;=8),'Вводные'!$B$70,0))),0)</x:f>
        <x:v>0</x:v>
      </x:c>
      <x:c r="DI46" s="35" t="n">
        <x:f>IF(AND(DI$3&gt;=$B$39,DI$3&lt;EDATE($B$39,MAX(1,'Вводные'!$K$53)),AND($B$35="Да",IFERROR(INDEX('Вводные'!$B$88:$B$90,$B$36),"Нет")="Да")),(1+INDEX('Вводные'!$AD$88:$AD$90,$B$36)*'Вводные'!$H$7)^MAX(0,(12*(YEAR(DI$3)-YEAR($B$39))+MONTH(DI$3)-MONTH($B$39)))*(1+IF(MONTH(DI$3)=1,'Вводные'!$B$67,IF(AND(MONTH(DI$3)&gt;=5,MONTH(DI$3)&lt;=8),'Вводные'!$B$70,0))),0)</x:f>
        <x:v>0</x:v>
      </x:c>
      <x:c r="DJ46" s="35" t="n">
        <x:f>IF(AND(DJ$3&gt;=$B$39,DJ$3&lt;EDATE($B$39,MAX(1,'Вводные'!$K$53)),AND($B$35="Да",IFERROR(INDEX('Вводные'!$B$88:$B$90,$B$36),"Нет")="Да")),(1+INDEX('Вводные'!$AD$88:$AD$90,$B$36)*'Вводные'!$H$7)^MAX(0,(12*(YEAR(DJ$3)-YEAR($B$39))+MONTH(DJ$3)-MONTH($B$39)))*(1+IF(MONTH(DJ$3)=1,'Вводные'!$B$67,IF(AND(MONTH(DJ$3)&gt;=5,MONTH(DJ$3)&lt;=8),'Вводные'!$B$70,0))),0)</x:f>
        <x:v>0</x:v>
      </x:c>
      <x:c r="DK46" s="35" t="n">
        <x:f>IF(AND(DK$3&gt;=$B$39,DK$3&lt;EDATE($B$39,MAX(1,'Вводные'!$K$53)),AND($B$35="Да",IFERROR(INDEX('Вводные'!$B$88:$B$90,$B$36),"Нет")="Да")),(1+INDEX('Вводные'!$AD$88:$AD$90,$B$36)*'Вводные'!$H$7)^MAX(0,(12*(YEAR(DK$3)-YEAR($B$39))+MONTH(DK$3)-MONTH($B$39)))*(1+IF(MONTH(DK$3)=1,'Вводные'!$B$67,IF(AND(MONTH(DK$3)&gt;=5,MONTH(DK$3)&lt;=8),'Вводные'!$B$70,0))),0)</x:f>
        <x:v>0</x:v>
      </x:c>
      <x:c r="DL46" s="35" t="n">
        <x:f>IF(AND(DL$3&gt;=$B$39,DL$3&lt;EDATE($B$39,MAX(1,'Вводные'!$K$53)),AND($B$35="Да",IFERROR(INDEX('Вводные'!$B$88:$B$90,$B$36),"Нет")="Да")),(1+INDEX('Вводные'!$AD$88:$AD$90,$B$36)*'Вводные'!$H$7)^MAX(0,(12*(YEAR(DL$3)-YEAR($B$39))+MONTH(DL$3)-MONTH($B$39)))*(1+IF(MONTH(DL$3)=1,'Вводные'!$B$67,IF(AND(MONTH(DL$3)&gt;=5,MONTH(DL$3)&lt;=8),'Вводные'!$B$70,0))),0)</x:f>
        <x:v>0</x:v>
      </x:c>
      <x:c r="DM46" s="35" t="n">
        <x:f>IF(AND(DM$3&gt;=$B$39,DM$3&lt;EDATE($B$39,MAX(1,'Вводные'!$K$53)),AND($B$35="Да",IFERROR(INDEX('Вводные'!$B$88:$B$90,$B$36),"Нет")="Да")),(1+INDEX('Вводные'!$AD$88:$AD$90,$B$36)*'Вводные'!$H$7)^MAX(0,(12*(YEAR(DM$3)-YEAR($B$39))+MONTH(DM$3)-MONTH($B$39)))*(1+IF(MONTH(DM$3)=1,'Вводные'!$B$67,IF(AND(MONTH(DM$3)&gt;=5,MONTH(DM$3)&lt;=8),'Вводные'!$B$70,0))),0)</x:f>
        <x:v>0</x:v>
      </x:c>
      <x:c r="DN46" s="35" t="n">
        <x:f>IF(AND(DN$3&gt;=$B$39,DN$3&lt;EDATE($B$39,MAX(1,'Вводные'!$K$53)),AND($B$35="Да",IFERROR(INDEX('Вводные'!$B$88:$B$90,$B$36),"Нет")="Да")),(1+INDEX('Вводные'!$AD$88:$AD$90,$B$36)*'Вводные'!$H$7)^MAX(0,(12*(YEAR(DN$3)-YEAR($B$39))+MONTH(DN$3)-MONTH($B$39)))*(1+IF(MONTH(DN$3)=1,'Вводные'!$B$67,IF(AND(MONTH(DN$3)&gt;=5,MONTH(DN$3)&lt;=8),'Вводные'!$B$70,0))),0)</x:f>
        <x:v>0</x:v>
      </x:c>
      <x:c r="DO46" s="35" t="n">
        <x:f>IF(AND(DO$3&gt;=$B$39,DO$3&lt;EDATE($B$39,MAX(1,'Вводные'!$K$53)),AND($B$35="Да",IFERROR(INDEX('Вводные'!$B$88:$B$90,$B$36),"Нет")="Да")),(1+INDEX('Вводные'!$AD$88:$AD$90,$B$36)*'Вводные'!$H$7)^MAX(0,(12*(YEAR(DO$3)-YEAR($B$39))+MONTH(DO$3)-MONTH($B$39)))*(1+IF(MONTH(DO$3)=1,'Вводные'!$B$67,IF(AND(MONTH(DO$3)&gt;=5,MONTH(DO$3)&lt;=8),'Вводные'!$B$70,0))),0)</x:f>
        <x:v>0</x:v>
      </x:c>
      <x:c r="DP46" s="35" t="n">
        <x:f>IF(AND(DP$3&gt;=$B$39,DP$3&lt;EDATE($B$39,MAX(1,'Вводные'!$K$53)),AND($B$35="Да",IFERROR(INDEX('Вводные'!$B$88:$B$90,$B$36),"Нет")="Да")),(1+INDEX('Вводные'!$AD$88:$AD$90,$B$36)*'Вводные'!$H$7)^MAX(0,(12*(YEAR(DP$3)-YEAR($B$39))+MONTH(DP$3)-MONTH($B$39)))*(1+IF(MONTH(DP$3)=1,'Вводные'!$B$67,IF(AND(MONTH(DP$3)&gt;=5,MONTH(DP$3)&lt;=8),'Вводные'!$B$70,0))),0)</x:f>
        <x:v>0</x:v>
      </x:c>
      <x:c r="DQ46" s="35" t="n">
        <x:f>IF(AND(DQ$3&gt;=$B$39,DQ$3&lt;EDATE($B$39,MAX(1,'Вводные'!$K$53)),AND($B$35="Да",IFERROR(INDEX('Вводные'!$B$88:$B$90,$B$36),"Нет")="Да")),(1+INDEX('Вводные'!$AD$88:$AD$90,$B$36)*'Вводные'!$H$7)^MAX(0,(12*(YEAR(DQ$3)-YEAR($B$39))+MONTH(DQ$3)-MONTH($B$39)))*(1+IF(MONTH(DQ$3)=1,'Вводные'!$B$67,IF(AND(MONTH(DQ$3)&gt;=5,MONTH(DQ$3)&lt;=8),'Вводные'!$B$70,0))),0)</x:f>
        <x:v>0</x:v>
      </x:c>
      <x:c r="DR46" s="35" t="n">
        <x:f>IF(AND(DR$3&gt;=$B$39,DR$3&lt;EDATE($B$39,MAX(1,'Вводные'!$K$53)),AND($B$35="Да",IFERROR(INDEX('Вводные'!$B$88:$B$90,$B$36),"Нет")="Да")),(1+INDEX('Вводные'!$AD$88:$AD$90,$B$36)*'Вводные'!$H$7)^MAX(0,(12*(YEAR(DR$3)-YEAR($B$39))+MONTH(DR$3)-MONTH($B$39)))*(1+IF(MONTH(DR$3)=1,'Вводные'!$B$67,IF(AND(MONTH(DR$3)&gt;=5,MONTH(DR$3)&lt;=8),'Вводные'!$B$70,0))),0)</x:f>
        <x:v>0</x:v>
      </x:c>
      <x:c r="DS46" s="35" t="n">
        <x:f>IF(AND(DS$3&gt;=$B$39,DS$3&lt;EDATE($B$39,MAX(1,'Вводные'!$K$53)),AND($B$35="Да",IFERROR(INDEX('Вводные'!$B$88:$B$90,$B$36),"Нет")="Да")),(1+INDEX('Вводные'!$AD$88:$AD$90,$B$36)*'Вводные'!$H$7)^MAX(0,(12*(YEAR(DS$3)-YEAR($B$39))+MONTH(DS$3)-MONTH($B$39)))*(1+IF(MONTH(DS$3)=1,'Вводные'!$B$67,IF(AND(MONTH(DS$3)&gt;=5,MONTH(DS$3)&lt;=8),'Вводные'!$B$70,0))),0)</x:f>
        <x:v>0</x:v>
      </x:c>
    </x:row>
    <x:row r="47">
      <x:c r="A47" t="str">
        <x:v>Нормированный вес до РВЭ</x:v>
      </x:c>
      <x:c r="B47" s="35" t="n">
        <x:f>SUM(D47:DS47)</x:f>
        <x:v>0</x:v>
      </x:c>
      <x:c r="C47" t="str">
        <x:v>%</x:v>
      </x:c>
      <x:c r="D47" s="35" t="n">
        <x:f>IFERROR(D46*D45/SUMPRODUCT($D46:$DS46,$D45:$DS45),0)</x:f>
        <x:v>0</x:v>
      </x:c>
      <x:c r="E47" s="35" t="n">
        <x:f>IFERROR(E46*E45/SUMPRODUCT($D46:$DS46,$D45:$DS45),0)</x:f>
        <x:v>0</x:v>
      </x:c>
      <x:c r="F47" s="35" t="n">
        <x:f>IFERROR(F46*F45/SUMPRODUCT($D46:$DS46,$D45:$DS45),0)</x:f>
        <x:v>0</x:v>
      </x:c>
      <x:c r="G47" s="35" t="n">
        <x:f>IFERROR(G46*G45/SUMPRODUCT($D46:$DS46,$D45:$DS45),0)</x:f>
        <x:v>0</x:v>
      </x:c>
      <x:c r="H47" s="35" t="n">
        <x:f>IFERROR(H46*H45/SUMPRODUCT($D46:$DS46,$D45:$DS45),0)</x:f>
        <x:v>0</x:v>
      </x:c>
      <x:c r="I47" s="35" t="n">
        <x:f>IFERROR(I46*I45/SUMPRODUCT($D46:$DS46,$D45:$DS45),0)</x:f>
        <x:v>0</x:v>
      </x:c>
      <x:c r="J47" s="35" t="n">
        <x:f>IFERROR(J46*J45/SUMPRODUCT($D46:$DS46,$D45:$DS45),0)</x:f>
        <x:v>0</x:v>
      </x:c>
      <x:c r="K47" s="35" t="n">
        <x:f>IFERROR(K46*K45/SUMPRODUCT($D46:$DS46,$D45:$DS45),0)</x:f>
        <x:v>0</x:v>
      </x:c>
      <x:c r="L47" s="35" t="n">
        <x:f>IFERROR(L46*L45/SUMPRODUCT($D46:$DS46,$D45:$DS45),0)</x:f>
        <x:v>0</x:v>
      </x:c>
      <x:c r="M47" s="35" t="n">
        <x:f>IFERROR(M46*M45/SUMPRODUCT($D46:$DS46,$D45:$DS45),0)</x:f>
        <x:v>0</x:v>
      </x:c>
      <x:c r="N47" s="35" t="n">
        <x:f>IFERROR(N46*N45/SUMPRODUCT($D46:$DS46,$D45:$DS45),0)</x:f>
        <x:v>0</x:v>
      </x:c>
      <x:c r="O47" s="35" t="n">
        <x:f>IFERROR(O46*O45/SUMPRODUCT($D46:$DS46,$D45:$DS45),0)</x:f>
        <x:v>0</x:v>
      </x:c>
      <x:c r="P47" s="35" t="n">
        <x:f>IFERROR(P46*P45/SUMPRODUCT($D46:$DS46,$D45:$DS45),0)</x:f>
        <x:v>0</x:v>
      </x:c>
      <x:c r="Q47" s="35" t="n">
        <x:f>IFERROR(Q46*Q45/SUMPRODUCT($D46:$DS46,$D45:$DS45),0)</x:f>
        <x:v>0</x:v>
      </x:c>
      <x:c r="R47" s="35" t="n">
        <x:f>IFERROR(R46*R45/SUMPRODUCT($D46:$DS46,$D45:$DS45),0)</x:f>
        <x:v>0</x:v>
      </x:c>
      <x:c r="S47" s="35" t="n">
        <x:f>IFERROR(S46*S45/SUMPRODUCT($D46:$DS46,$D45:$DS45),0)</x:f>
        <x:v>0</x:v>
      </x:c>
      <x:c r="T47" s="35" t="n">
        <x:f>IFERROR(T46*T45/SUMPRODUCT($D46:$DS46,$D45:$DS45),0)</x:f>
        <x:v>0</x:v>
      </x:c>
      <x:c r="U47" s="35" t="n">
        <x:f>IFERROR(U46*U45/SUMPRODUCT($D46:$DS46,$D45:$DS45),0)</x:f>
        <x:v>0</x:v>
      </x:c>
      <x:c r="V47" s="35" t="n">
        <x:f>IFERROR(V46*V45/SUMPRODUCT($D46:$DS46,$D45:$DS45),0)</x:f>
        <x:v>0</x:v>
      </x:c>
      <x:c r="W47" s="35" t="n">
        <x:f>IFERROR(W46*W45/SUMPRODUCT($D46:$DS46,$D45:$DS45),0)</x:f>
        <x:v>0</x:v>
      </x:c>
      <x:c r="X47" s="35" t="n">
        <x:f>IFERROR(X46*X45/SUMPRODUCT($D46:$DS46,$D45:$DS45),0)</x:f>
        <x:v>0</x:v>
      </x:c>
      <x:c r="Y47" s="35" t="n">
        <x:f>IFERROR(Y46*Y45/SUMPRODUCT($D46:$DS46,$D45:$DS45),0)</x:f>
        <x:v>0</x:v>
      </x:c>
      <x:c r="Z47" s="35" t="n">
        <x:f>IFERROR(Z46*Z45/SUMPRODUCT($D46:$DS46,$D45:$DS45),0)</x:f>
        <x:v>0</x:v>
      </x:c>
      <x:c r="AA47" s="35" t="n">
        <x:f>IFERROR(AA46*AA45/SUMPRODUCT($D46:$DS46,$D45:$DS45),0)</x:f>
        <x:v>0</x:v>
      </x:c>
      <x:c r="AB47" s="35" t="n">
        <x:f>IFERROR(AB46*AB45/SUMPRODUCT($D46:$DS46,$D45:$DS45),0)</x:f>
        <x:v>0</x:v>
      </x:c>
      <x:c r="AC47" s="35" t="n">
        <x:f>IFERROR(AC46*AC45/SUMPRODUCT($D46:$DS46,$D45:$DS45),0)</x:f>
        <x:v>0</x:v>
      </x:c>
      <x:c r="AD47" s="35" t="n">
        <x:f>IFERROR(AD46*AD45/SUMPRODUCT($D46:$DS46,$D45:$DS45),0)</x:f>
        <x:v>0</x:v>
      </x:c>
      <x:c r="AE47" s="35" t="n">
        <x:f>IFERROR(AE46*AE45/SUMPRODUCT($D46:$DS46,$D45:$DS45),0)</x:f>
        <x:v>0</x:v>
      </x:c>
      <x:c r="AF47" s="35" t="n">
        <x:f>IFERROR(AF46*AF45/SUMPRODUCT($D46:$DS46,$D45:$DS45),0)</x:f>
        <x:v>0</x:v>
      </x:c>
      <x:c r="AG47" s="35" t="n">
        <x:f>IFERROR(AG46*AG45/SUMPRODUCT($D46:$DS46,$D45:$DS45),0)</x:f>
        <x:v>0</x:v>
      </x:c>
      <x:c r="AH47" s="35" t="n">
        <x:f>IFERROR(AH46*AH45/SUMPRODUCT($D46:$DS46,$D45:$DS45),0)</x:f>
        <x:v>0</x:v>
      </x:c>
      <x:c r="AI47" s="35" t="n">
        <x:f>IFERROR(AI46*AI45/SUMPRODUCT($D46:$DS46,$D45:$DS45),0)</x:f>
        <x:v>0</x:v>
      </x:c>
      <x:c r="AJ47" s="35" t="n">
        <x:f>IFERROR(AJ46*AJ45/SUMPRODUCT($D46:$DS46,$D45:$DS45),0)</x:f>
        <x:v>0</x:v>
      </x:c>
      <x:c r="AK47" s="35" t="n">
        <x:f>IFERROR(AK46*AK45/SUMPRODUCT($D46:$DS46,$D45:$DS45),0)</x:f>
        <x:v>0</x:v>
      </x:c>
      <x:c r="AL47" s="35" t="n">
        <x:f>IFERROR(AL46*AL45/SUMPRODUCT($D46:$DS46,$D45:$DS45),0)</x:f>
        <x:v>0</x:v>
      </x:c>
      <x:c r="AM47" s="35" t="n">
        <x:f>IFERROR(AM46*AM45/SUMPRODUCT($D46:$DS46,$D45:$DS45),0)</x:f>
        <x:v>0</x:v>
      </x:c>
      <x:c r="AN47" s="35" t="n">
        <x:f>IFERROR(AN46*AN45/SUMPRODUCT($D46:$DS46,$D45:$DS45),0)</x:f>
        <x:v>0</x:v>
      </x:c>
      <x:c r="AO47" s="35" t="n">
        <x:f>IFERROR(AO46*AO45/SUMPRODUCT($D46:$DS46,$D45:$DS45),0)</x:f>
        <x:v>0</x:v>
      </x:c>
      <x:c r="AP47" s="35" t="n">
        <x:f>IFERROR(AP46*AP45/SUMPRODUCT($D46:$DS46,$D45:$DS45),0)</x:f>
        <x:v>0</x:v>
      </x:c>
      <x:c r="AQ47" s="35" t="n">
        <x:f>IFERROR(AQ46*AQ45/SUMPRODUCT($D46:$DS46,$D45:$DS45),0)</x:f>
        <x:v>0</x:v>
      </x:c>
      <x:c r="AR47" s="35" t="n">
        <x:f>IFERROR(AR46*AR45/SUMPRODUCT($D46:$DS46,$D45:$DS45),0)</x:f>
        <x:v>0</x:v>
      </x:c>
      <x:c r="AS47" s="35" t="n">
        <x:f>IFERROR(AS46*AS45/SUMPRODUCT($D46:$DS46,$D45:$DS45),0)</x:f>
        <x:v>0</x:v>
      </x:c>
      <x:c r="AT47" s="35" t="n">
        <x:f>IFERROR(AT46*AT45/SUMPRODUCT($D46:$DS46,$D45:$DS45),0)</x:f>
        <x:v>0</x:v>
      </x:c>
      <x:c r="AU47" s="35" t="n">
        <x:f>IFERROR(AU46*AU45/SUMPRODUCT($D46:$DS46,$D45:$DS45),0)</x:f>
        <x:v>0</x:v>
      </x:c>
      <x:c r="AV47" s="35" t="n">
        <x:f>IFERROR(AV46*AV45/SUMPRODUCT($D46:$DS46,$D45:$DS45),0)</x:f>
        <x:v>0</x:v>
      </x:c>
      <x:c r="AW47" s="35" t="n">
        <x:f>IFERROR(AW46*AW45/SUMPRODUCT($D46:$DS46,$D45:$DS45),0)</x:f>
        <x:v>0</x:v>
      </x:c>
      <x:c r="AX47" s="35" t="n">
        <x:f>IFERROR(AX46*AX45/SUMPRODUCT($D46:$DS46,$D45:$DS45),0)</x:f>
        <x:v>0</x:v>
      </x:c>
      <x:c r="AY47" s="35" t="n">
        <x:f>IFERROR(AY46*AY45/SUMPRODUCT($D46:$DS46,$D45:$DS45),0)</x:f>
        <x:v>0</x:v>
      </x:c>
      <x:c r="AZ47" s="35" t="n">
        <x:f>IFERROR(AZ46*AZ45/SUMPRODUCT($D46:$DS46,$D45:$DS45),0)</x:f>
        <x:v>0</x:v>
      </x:c>
      <x:c r="BA47" s="35" t="n">
        <x:f>IFERROR(BA46*BA45/SUMPRODUCT($D46:$DS46,$D45:$DS45),0)</x:f>
        <x:v>0</x:v>
      </x:c>
      <x:c r="BB47" s="35" t="n">
        <x:f>IFERROR(BB46*BB45/SUMPRODUCT($D46:$DS46,$D45:$DS45),0)</x:f>
        <x:v>0</x:v>
      </x:c>
      <x:c r="BC47" s="35" t="n">
        <x:f>IFERROR(BC46*BC45/SUMPRODUCT($D46:$DS46,$D45:$DS45),0)</x:f>
        <x:v>0</x:v>
      </x:c>
      <x:c r="BD47" s="35" t="n">
        <x:f>IFERROR(BD46*BD45/SUMPRODUCT($D46:$DS46,$D45:$DS45),0)</x:f>
        <x:v>0</x:v>
      </x:c>
      <x:c r="BE47" s="35" t="n">
        <x:f>IFERROR(BE46*BE45/SUMPRODUCT($D46:$DS46,$D45:$DS45),0)</x:f>
        <x:v>0</x:v>
      </x:c>
      <x:c r="BF47" s="35" t="n">
        <x:f>IFERROR(BF46*BF45/SUMPRODUCT($D46:$DS46,$D45:$DS45),0)</x:f>
        <x:v>0</x:v>
      </x:c>
      <x:c r="BG47" s="35" t="n">
        <x:f>IFERROR(BG46*BG45/SUMPRODUCT($D46:$DS46,$D45:$DS45),0)</x:f>
        <x:v>0</x:v>
      </x:c>
      <x:c r="BH47" s="35" t="n">
        <x:f>IFERROR(BH46*BH45/SUMPRODUCT($D46:$DS46,$D45:$DS45),0)</x:f>
        <x:v>0</x:v>
      </x:c>
      <x:c r="BI47" s="35" t="n">
        <x:f>IFERROR(BI46*BI45/SUMPRODUCT($D46:$DS46,$D45:$DS45),0)</x:f>
        <x:v>0</x:v>
      </x:c>
      <x:c r="BJ47" s="35" t="n">
        <x:f>IFERROR(BJ46*BJ45/SUMPRODUCT($D46:$DS46,$D45:$DS45),0)</x:f>
        <x:v>0</x:v>
      </x:c>
      <x:c r="BK47" s="35" t="n">
        <x:f>IFERROR(BK46*BK45/SUMPRODUCT($D46:$DS46,$D45:$DS45),0)</x:f>
        <x:v>0</x:v>
      </x:c>
      <x:c r="BL47" s="35" t="n">
        <x:f>IFERROR(BL46*BL45/SUMPRODUCT($D46:$DS46,$D45:$DS45),0)</x:f>
        <x:v>0</x:v>
      </x:c>
      <x:c r="BM47" s="35" t="n">
        <x:f>IFERROR(BM46*BM45/SUMPRODUCT($D46:$DS46,$D45:$DS45),0)</x:f>
        <x:v>0</x:v>
      </x:c>
      <x:c r="BN47" s="35" t="n">
        <x:f>IFERROR(BN46*BN45/SUMPRODUCT($D46:$DS46,$D45:$DS45),0)</x:f>
        <x:v>0</x:v>
      </x:c>
      <x:c r="BO47" s="35" t="n">
        <x:f>IFERROR(BO46*BO45/SUMPRODUCT($D46:$DS46,$D45:$DS45),0)</x:f>
        <x:v>0</x:v>
      </x:c>
      <x:c r="BP47" s="35" t="n">
        <x:f>IFERROR(BP46*BP45/SUMPRODUCT($D46:$DS46,$D45:$DS45),0)</x:f>
        <x:v>0</x:v>
      </x:c>
      <x:c r="BQ47" s="35" t="n">
        <x:f>IFERROR(BQ46*BQ45/SUMPRODUCT($D46:$DS46,$D45:$DS45),0)</x:f>
        <x:v>0</x:v>
      </x:c>
      <x:c r="BR47" s="35" t="n">
        <x:f>IFERROR(BR46*BR45/SUMPRODUCT($D46:$DS46,$D45:$DS45),0)</x:f>
        <x:v>0</x:v>
      </x:c>
      <x:c r="BS47" s="35" t="n">
        <x:f>IFERROR(BS46*BS45/SUMPRODUCT($D46:$DS46,$D45:$DS45),0)</x:f>
        <x:v>0</x:v>
      </x:c>
      <x:c r="BT47" s="35" t="n">
        <x:f>IFERROR(BT46*BT45/SUMPRODUCT($D46:$DS46,$D45:$DS45),0)</x:f>
        <x:v>0</x:v>
      </x:c>
      <x:c r="BU47" s="35" t="n">
        <x:f>IFERROR(BU46*BU45/SUMPRODUCT($D46:$DS46,$D45:$DS45),0)</x:f>
        <x:v>0</x:v>
      </x:c>
      <x:c r="BV47" s="35" t="n">
        <x:f>IFERROR(BV46*BV45/SUMPRODUCT($D46:$DS46,$D45:$DS45),0)</x:f>
        <x:v>0</x:v>
      </x:c>
      <x:c r="BW47" s="35" t="n">
        <x:f>IFERROR(BW46*BW45/SUMPRODUCT($D46:$DS46,$D45:$DS45),0)</x:f>
        <x:v>0</x:v>
      </x:c>
      <x:c r="BX47" s="35" t="n">
        <x:f>IFERROR(BX46*BX45/SUMPRODUCT($D46:$DS46,$D45:$DS45),0)</x:f>
        <x:v>0</x:v>
      </x:c>
      <x:c r="BY47" s="35" t="n">
        <x:f>IFERROR(BY46*BY45/SUMPRODUCT($D46:$DS46,$D45:$DS45),0)</x:f>
        <x:v>0</x:v>
      </x:c>
      <x:c r="BZ47" s="35" t="n">
        <x:f>IFERROR(BZ46*BZ45/SUMPRODUCT($D46:$DS46,$D45:$DS45),0)</x:f>
        <x:v>0</x:v>
      </x:c>
      <x:c r="CA47" s="35" t="n">
        <x:f>IFERROR(CA46*CA45/SUMPRODUCT($D46:$DS46,$D45:$DS45),0)</x:f>
        <x:v>0</x:v>
      </x:c>
      <x:c r="CB47" s="35" t="n">
        <x:f>IFERROR(CB46*CB45/SUMPRODUCT($D46:$DS46,$D45:$DS45),0)</x:f>
        <x:v>0</x:v>
      </x:c>
      <x:c r="CC47" s="35" t="n">
        <x:f>IFERROR(CC46*CC45/SUMPRODUCT($D46:$DS46,$D45:$DS45),0)</x:f>
        <x:v>0</x:v>
      </x:c>
      <x:c r="CD47" s="35" t="n">
        <x:f>IFERROR(CD46*CD45/SUMPRODUCT($D46:$DS46,$D45:$DS45),0)</x:f>
        <x:v>0</x:v>
      </x:c>
      <x:c r="CE47" s="35" t="n">
        <x:f>IFERROR(CE46*CE45/SUMPRODUCT($D46:$DS46,$D45:$DS45),0)</x:f>
        <x:v>0</x:v>
      </x:c>
      <x:c r="CF47" s="35" t="n">
        <x:f>IFERROR(CF46*CF45/SUMPRODUCT($D46:$DS46,$D45:$DS45),0)</x:f>
        <x:v>0</x:v>
      </x:c>
      <x:c r="CG47" s="35" t="n">
        <x:f>IFERROR(CG46*CG45/SUMPRODUCT($D46:$DS46,$D45:$DS45),0)</x:f>
        <x:v>0</x:v>
      </x:c>
      <x:c r="CH47" s="35" t="n">
        <x:f>IFERROR(CH46*CH45/SUMPRODUCT($D46:$DS46,$D45:$DS45),0)</x:f>
        <x:v>0</x:v>
      </x:c>
      <x:c r="CI47" s="35" t="n">
        <x:f>IFERROR(CI46*CI45/SUMPRODUCT($D46:$DS46,$D45:$DS45),0)</x:f>
        <x:v>0</x:v>
      </x:c>
      <x:c r="CJ47" s="35" t="n">
        <x:f>IFERROR(CJ46*CJ45/SUMPRODUCT($D46:$DS46,$D45:$DS45),0)</x:f>
        <x:v>0</x:v>
      </x:c>
      <x:c r="CK47" s="35" t="n">
        <x:f>IFERROR(CK46*CK45/SUMPRODUCT($D46:$DS46,$D45:$DS45),0)</x:f>
        <x:v>0</x:v>
      </x:c>
      <x:c r="CL47" s="35" t="n">
        <x:f>IFERROR(CL46*CL45/SUMPRODUCT($D46:$DS46,$D45:$DS45),0)</x:f>
        <x:v>0</x:v>
      </x:c>
      <x:c r="CM47" s="35" t="n">
        <x:f>IFERROR(CM46*CM45/SUMPRODUCT($D46:$DS46,$D45:$DS45),0)</x:f>
        <x:v>0</x:v>
      </x:c>
      <x:c r="CN47" s="35" t="n">
        <x:f>IFERROR(CN46*CN45/SUMPRODUCT($D46:$DS46,$D45:$DS45),0)</x:f>
        <x:v>0</x:v>
      </x:c>
      <x:c r="CO47" s="35" t="n">
        <x:f>IFERROR(CO46*CO45/SUMPRODUCT($D46:$DS46,$D45:$DS45),0)</x:f>
        <x:v>0</x:v>
      </x:c>
      <x:c r="CP47" s="35" t="n">
        <x:f>IFERROR(CP46*CP45/SUMPRODUCT($D46:$DS46,$D45:$DS45),0)</x:f>
        <x:v>0</x:v>
      </x:c>
      <x:c r="CQ47" s="35" t="n">
        <x:f>IFERROR(CQ46*CQ45/SUMPRODUCT($D46:$DS46,$D45:$DS45),0)</x:f>
        <x:v>0</x:v>
      </x:c>
      <x:c r="CR47" s="35" t="n">
        <x:f>IFERROR(CR46*CR45/SUMPRODUCT($D46:$DS46,$D45:$DS45),0)</x:f>
        <x:v>0</x:v>
      </x:c>
      <x:c r="CS47" s="35" t="n">
        <x:f>IFERROR(CS46*CS45/SUMPRODUCT($D46:$DS46,$D45:$DS45),0)</x:f>
        <x:v>0</x:v>
      </x:c>
      <x:c r="CT47" s="35" t="n">
        <x:f>IFERROR(CT46*CT45/SUMPRODUCT($D46:$DS46,$D45:$DS45),0)</x:f>
        <x:v>0</x:v>
      </x:c>
      <x:c r="CU47" s="35" t="n">
        <x:f>IFERROR(CU46*CU45/SUMPRODUCT($D46:$DS46,$D45:$DS45),0)</x:f>
        <x:v>0</x:v>
      </x:c>
      <x:c r="CV47" s="35" t="n">
        <x:f>IFERROR(CV46*CV45/SUMPRODUCT($D46:$DS46,$D45:$DS45),0)</x:f>
        <x:v>0</x:v>
      </x:c>
      <x:c r="CW47" s="35" t="n">
        <x:f>IFERROR(CW46*CW45/SUMPRODUCT($D46:$DS46,$D45:$DS45),0)</x:f>
        <x:v>0</x:v>
      </x:c>
      <x:c r="CX47" s="35" t="n">
        <x:f>IFERROR(CX46*CX45/SUMPRODUCT($D46:$DS46,$D45:$DS45),0)</x:f>
        <x:v>0</x:v>
      </x:c>
      <x:c r="CY47" s="35" t="n">
        <x:f>IFERROR(CY46*CY45/SUMPRODUCT($D46:$DS46,$D45:$DS45),0)</x:f>
        <x:v>0</x:v>
      </x:c>
      <x:c r="CZ47" s="35" t="n">
        <x:f>IFERROR(CZ46*CZ45/SUMPRODUCT($D46:$DS46,$D45:$DS45),0)</x:f>
        <x:v>0</x:v>
      </x:c>
      <x:c r="DA47" s="35" t="n">
        <x:f>IFERROR(DA46*DA45/SUMPRODUCT($D46:$DS46,$D45:$DS45),0)</x:f>
        <x:v>0</x:v>
      </x:c>
      <x:c r="DB47" s="35" t="n">
        <x:f>IFERROR(DB46*DB45/SUMPRODUCT($D46:$DS46,$D45:$DS45),0)</x:f>
        <x:v>0</x:v>
      </x:c>
      <x:c r="DC47" s="35" t="n">
        <x:f>IFERROR(DC46*DC45/SUMPRODUCT($D46:$DS46,$D45:$DS45),0)</x:f>
        <x:v>0</x:v>
      </x:c>
      <x:c r="DD47" s="35" t="n">
        <x:f>IFERROR(DD46*DD45/SUMPRODUCT($D46:$DS46,$D45:$DS45),0)</x:f>
        <x:v>0</x:v>
      </x:c>
      <x:c r="DE47" s="35" t="n">
        <x:f>IFERROR(DE46*DE45/SUMPRODUCT($D46:$DS46,$D45:$DS45),0)</x:f>
        <x:v>0</x:v>
      </x:c>
      <x:c r="DF47" s="35" t="n">
        <x:f>IFERROR(DF46*DF45/SUMPRODUCT($D46:$DS46,$D45:$DS45),0)</x:f>
        <x:v>0</x:v>
      </x:c>
      <x:c r="DG47" s="35" t="n">
        <x:f>IFERROR(DG46*DG45/SUMPRODUCT($D46:$DS46,$D45:$DS45),0)</x:f>
        <x:v>0</x:v>
      </x:c>
      <x:c r="DH47" s="35" t="n">
        <x:f>IFERROR(DH46*DH45/SUMPRODUCT($D46:$DS46,$D45:$DS45),0)</x:f>
        <x:v>0</x:v>
      </x:c>
      <x:c r="DI47" s="35" t="n">
        <x:f>IFERROR(DI46*DI45/SUMPRODUCT($D46:$DS46,$D45:$DS45),0)</x:f>
        <x:v>0</x:v>
      </x:c>
      <x:c r="DJ47" s="35" t="n">
        <x:f>IFERROR(DJ46*DJ45/SUMPRODUCT($D46:$DS46,$D45:$DS45),0)</x:f>
        <x:v>0</x:v>
      </x:c>
      <x:c r="DK47" s="35" t="n">
        <x:f>IFERROR(DK46*DK45/SUMPRODUCT($D46:$DS46,$D45:$DS45),0)</x:f>
        <x:v>0</x:v>
      </x:c>
      <x:c r="DL47" s="35" t="n">
        <x:f>IFERROR(DL46*DL45/SUMPRODUCT($D46:$DS46,$D45:$DS45),0)</x:f>
        <x:v>0</x:v>
      </x:c>
      <x:c r="DM47" s="35" t="n">
        <x:f>IFERROR(DM46*DM45/SUMPRODUCT($D46:$DS46,$D45:$DS45),0)</x:f>
        <x:v>0</x:v>
      </x:c>
      <x:c r="DN47" s="35" t="n">
        <x:f>IFERROR(DN46*DN45/SUMPRODUCT($D46:$DS46,$D45:$DS45),0)</x:f>
        <x:v>0</x:v>
      </x:c>
      <x:c r="DO47" s="35" t="n">
        <x:f>IFERROR(DO46*DO45/SUMPRODUCT($D46:$DS46,$D45:$DS45),0)</x:f>
        <x:v>0</x:v>
      </x:c>
      <x:c r="DP47" s="35" t="n">
        <x:f>IFERROR(DP46*DP45/SUMPRODUCT($D46:$DS46,$D45:$DS45),0)</x:f>
        <x:v>0</x:v>
      </x:c>
      <x:c r="DQ47" s="35" t="n">
        <x:f>IFERROR(DQ46*DQ45/SUMPRODUCT($D46:$DS46,$D45:$DS45),0)</x:f>
        <x:v>0</x:v>
      </x:c>
      <x:c r="DR47" s="35" t="n">
        <x:f>IFERROR(DR46*DR45/SUMPRODUCT($D46:$DS46,$D45:$DS45),0)</x:f>
        <x:v>0</x:v>
      </x:c>
      <x:c r="DS47" s="35" t="n">
        <x:f>IFERROR(DS46*DS45/SUMPRODUCT($D46:$DS46,$D45:$DS45),0)</x:f>
        <x:v>0</x:v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--AND(D$3&gt;=MAX($B$39,$B$38),D$3&lt;EDATE($B$39,MAX(1,'Вводные'!$K$53)),AND($B$35="Да",IFERROR(INDEX('Вводные'!$B$88:$B$90,$B$36),"Нет")="Да"))</x:f>
        <x:v>0</x:v>
      </x:c>
      <x:c r="E48" s="35" t="n">
        <x:f>--AND(E$3&gt;=MAX($B$39,$B$38),E$3&lt;EDATE($B$39,MAX(1,'Вводные'!$K$53)),AND($B$35="Да",IFERROR(INDEX('Вводные'!$B$88:$B$90,$B$36),"Нет")="Да"))</x:f>
        <x:v>0</x:v>
      </x:c>
      <x:c r="F48" s="35" t="n">
        <x:f>--AND(F$3&gt;=MAX($B$39,$B$38),F$3&lt;EDATE($B$39,MAX(1,'Вводные'!$K$53)),AND($B$35="Да",IFERROR(INDEX('Вводные'!$B$88:$B$90,$B$36),"Нет")="Да"))</x:f>
        <x:v>0</x:v>
      </x:c>
      <x:c r="G48" s="35" t="n">
        <x:f>--AND(G$3&gt;=MAX($B$39,$B$38),G$3&lt;EDATE($B$39,MAX(1,'Вводные'!$K$53)),AND($B$35="Да",IFERROR(INDEX('Вводные'!$B$88:$B$90,$B$36),"Нет")="Да"))</x:f>
        <x:v>0</x:v>
      </x:c>
      <x:c r="H48" s="35" t="n">
        <x:f>--AND(H$3&gt;=MAX($B$39,$B$38),H$3&lt;EDATE($B$39,MAX(1,'Вводные'!$K$53)),AND($B$35="Да",IFERROR(INDEX('Вводные'!$B$88:$B$90,$B$36),"Нет")="Да"))</x:f>
        <x:v>0</x:v>
      </x:c>
      <x:c r="I48" s="35" t="n">
        <x:f>--AND(I$3&gt;=MAX($B$39,$B$38),I$3&lt;EDATE($B$39,MAX(1,'Вводные'!$K$53)),AND($B$35="Да",IFERROR(INDEX('Вводные'!$B$88:$B$90,$B$36),"Нет")="Да"))</x:f>
        <x:v>0</x:v>
      </x:c>
      <x:c r="J48" s="35" t="n">
        <x:f>--AND(J$3&gt;=MAX($B$39,$B$38),J$3&lt;EDATE($B$39,MAX(1,'Вводные'!$K$53)),AND($B$35="Да",IFERROR(INDEX('Вводные'!$B$88:$B$90,$B$36),"Нет")="Да"))</x:f>
        <x:v>0</x:v>
      </x:c>
      <x:c r="K48" s="35" t="n">
        <x:f>--AND(K$3&gt;=MAX($B$39,$B$38),K$3&lt;EDATE($B$39,MAX(1,'Вводные'!$K$53)),AND($B$35="Да",IFERROR(INDEX('Вводные'!$B$88:$B$90,$B$36),"Нет")="Да"))</x:f>
        <x:v>0</x:v>
      </x:c>
      <x:c r="L48" s="35" t="n">
        <x:f>--AND(L$3&gt;=MAX($B$39,$B$38),L$3&lt;EDATE($B$39,MAX(1,'Вводные'!$K$53)),AND($B$35="Да",IFERROR(INDEX('Вводные'!$B$88:$B$90,$B$36),"Нет")="Да"))</x:f>
        <x:v>0</x:v>
      </x:c>
      <x:c r="M48" s="35" t="n">
        <x:f>--AND(M$3&gt;=MAX($B$39,$B$38),M$3&lt;EDATE($B$39,MAX(1,'Вводные'!$K$53)),AND($B$35="Да",IFERROR(INDEX('Вводные'!$B$88:$B$90,$B$36),"Нет")="Да"))</x:f>
        <x:v>0</x:v>
      </x:c>
      <x:c r="N48" s="35" t="n">
        <x:f>--AND(N$3&gt;=MAX($B$39,$B$38),N$3&lt;EDATE($B$39,MAX(1,'Вводные'!$K$53)),AND($B$35="Да",IFERROR(INDEX('Вводные'!$B$88:$B$90,$B$36),"Нет")="Да"))</x:f>
        <x:v>0</x:v>
      </x:c>
      <x:c r="O48" s="35" t="n">
        <x:f>--AND(O$3&gt;=MAX($B$39,$B$38),O$3&lt;EDATE($B$39,MAX(1,'Вводные'!$K$53)),AND($B$35="Да",IFERROR(INDEX('Вводные'!$B$88:$B$90,$B$36),"Нет")="Да"))</x:f>
        <x:v>0</x:v>
      </x:c>
      <x:c r="P48" s="35" t="n">
        <x:f>--AND(P$3&gt;=MAX($B$39,$B$38),P$3&lt;EDATE($B$39,MAX(1,'Вводные'!$K$53)),AND($B$35="Да",IFERROR(INDEX('Вводные'!$B$88:$B$90,$B$36),"Нет")="Да"))</x:f>
        <x:v>0</x:v>
      </x:c>
      <x:c r="Q48" s="35" t="n">
        <x:f>--AND(Q$3&gt;=MAX($B$39,$B$38),Q$3&lt;EDATE($B$39,MAX(1,'Вводные'!$K$53)),AND($B$35="Да",IFERROR(INDEX('Вводные'!$B$88:$B$90,$B$36),"Нет")="Да"))</x:f>
        <x:v>0</x:v>
      </x:c>
      <x:c r="R48" s="35" t="n">
        <x:f>--AND(R$3&gt;=MAX($B$39,$B$38),R$3&lt;EDATE($B$39,MAX(1,'Вводные'!$K$53)),AND($B$35="Да",IFERROR(INDEX('Вводные'!$B$88:$B$90,$B$36),"Нет")="Да"))</x:f>
        <x:v>0</x:v>
      </x:c>
      <x:c r="S48" s="35" t="n">
        <x:f>--AND(S$3&gt;=MAX($B$39,$B$38),S$3&lt;EDATE($B$39,MAX(1,'Вводные'!$K$53)),AND($B$35="Да",IFERROR(INDEX('Вводные'!$B$88:$B$90,$B$36),"Нет")="Да"))</x:f>
        <x:v>0</x:v>
      </x:c>
      <x:c r="T48" s="35" t="n">
        <x:f>--AND(T$3&gt;=MAX($B$39,$B$38),T$3&lt;EDATE($B$39,MAX(1,'Вводные'!$K$53)),AND($B$35="Да",IFERROR(INDEX('Вводные'!$B$88:$B$90,$B$36),"Нет")="Да"))</x:f>
        <x:v>0</x:v>
      </x:c>
      <x:c r="U48" s="35" t="n">
        <x:f>--AND(U$3&gt;=MAX($B$39,$B$38),U$3&lt;EDATE($B$39,MAX(1,'Вводные'!$K$53)),AND($B$35="Да",IFERROR(INDEX('Вводные'!$B$88:$B$90,$B$36),"Нет")="Да"))</x:f>
        <x:v>0</x:v>
      </x:c>
      <x:c r="V48" s="35" t="n">
        <x:f>--AND(V$3&gt;=MAX($B$39,$B$38),V$3&lt;EDATE($B$39,MAX(1,'Вводные'!$K$53)),AND($B$35="Да",IFERROR(INDEX('Вводные'!$B$88:$B$90,$B$36),"Нет")="Да"))</x:f>
        <x:v>0</x:v>
      </x:c>
      <x:c r="W48" s="35" t="n">
        <x:f>--AND(W$3&gt;=MAX($B$39,$B$38),W$3&lt;EDATE($B$39,MAX(1,'Вводные'!$K$53)),AND($B$35="Да",IFERROR(INDEX('Вводные'!$B$88:$B$90,$B$36),"Нет")="Да"))</x:f>
        <x:v>0</x:v>
      </x:c>
      <x:c r="X48" s="35" t="n">
        <x:f>--AND(X$3&gt;=MAX($B$39,$B$38),X$3&lt;EDATE($B$39,MAX(1,'Вводные'!$K$53)),AND($B$35="Да",IFERROR(INDEX('Вводные'!$B$88:$B$90,$B$36),"Нет")="Да"))</x:f>
        <x:v>0</x:v>
      </x:c>
      <x:c r="Y48" s="35" t="n">
        <x:f>--AND(Y$3&gt;=MAX($B$39,$B$38),Y$3&lt;EDATE($B$39,MAX(1,'Вводные'!$K$53)),AND($B$35="Да",IFERROR(INDEX('Вводные'!$B$88:$B$90,$B$36),"Нет")="Да"))</x:f>
        <x:v>0</x:v>
      </x:c>
      <x:c r="Z48" s="35" t="n">
        <x:f>--AND(Z$3&gt;=MAX($B$39,$B$38),Z$3&lt;EDATE($B$39,MAX(1,'Вводные'!$K$53)),AND($B$35="Да",IFERROR(INDEX('Вводные'!$B$88:$B$90,$B$36),"Нет")="Да"))</x:f>
        <x:v>0</x:v>
      </x:c>
      <x:c r="AA48" s="35" t="n">
        <x:f>--AND(AA$3&gt;=MAX($B$39,$B$38),AA$3&lt;EDATE($B$39,MAX(1,'Вводные'!$K$53)),AND($B$35="Да",IFERROR(INDEX('Вводные'!$B$88:$B$90,$B$36),"Нет")="Да"))</x:f>
        <x:v>0</x:v>
      </x:c>
      <x:c r="AB48" s="35" t="n">
        <x:f>--AND(AB$3&gt;=MAX($B$39,$B$38),AB$3&lt;EDATE($B$39,MAX(1,'Вводные'!$K$53)),AND($B$35="Да",IFERROR(INDEX('Вводные'!$B$88:$B$90,$B$36),"Нет")="Да"))</x:f>
        <x:v>0</x:v>
      </x:c>
      <x:c r="AC48" s="35" t="n">
        <x:f>--AND(AC$3&gt;=MAX($B$39,$B$38),AC$3&lt;EDATE($B$39,MAX(1,'Вводные'!$K$53)),AND($B$35="Да",IFERROR(INDEX('Вводные'!$B$88:$B$90,$B$36),"Нет")="Да"))</x:f>
        <x:v>0</x:v>
      </x:c>
      <x:c r="AD48" s="35" t="n">
        <x:f>--AND(AD$3&gt;=MAX($B$39,$B$38),AD$3&lt;EDATE($B$39,MAX(1,'Вводные'!$K$53)),AND($B$35="Да",IFERROR(INDEX('Вводные'!$B$88:$B$90,$B$36),"Нет")="Да"))</x:f>
        <x:v>0</x:v>
      </x:c>
      <x:c r="AE48" s="35" t="n">
        <x:f>--AND(AE$3&gt;=MAX($B$39,$B$38),AE$3&lt;EDATE($B$39,MAX(1,'Вводные'!$K$53)),AND($B$35="Да",IFERROR(INDEX('Вводные'!$B$88:$B$90,$B$36),"Нет")="Да"))</x:f>
        <x:v>0</x:v>
      </x:c>
      <x:c r="AF48" s="35" t="n">
        <x:f>--AND(AF$3&gt;=MAX($B$39,$B$38),AF$3&lt;EDATE($B$39,MAX(1,'Вводные'!$K$53)),AND($B$35="Да",IFERROR(INDEX('Вводные'!$B$88:$B$90,$B$36),"Нет")="Да"))</x:f>
        <x:v>0</x:v>
      </x:c>
      <x:c r="AG48" s="35" t="n">
        <x:f>--AND(AG$3&gt;=MAX($B$39,$B$38),AG$3&lt;EDATE($B$39,MAX(1,'Вводные'!$K$53)),AND($B$35="Да",IFERROR(INDEX('Вводные'!$B$88:$B$90,$B$36),"Нет")="Да"))</x:f>
        <x:v>0</x:v>
      </x:c>
      <x:c r="AH48" s="35" t="n">
        <x:f>--AND(AH$3&gt;=MAX($B$39,$B$38),AH$3&lt;EDATE($B$39,MAX(1,'Вводные'!$K$53)),AND($B$35="Да",IFERROR(INDEX('Вводные'!$B$88:$B$90,$B$36),"Нет")="Да"))</x:f>
        <x:v>0</x:v>
      </x:c>
      <x:c r="AI48" s="35" t="n">
        <x:f>--AND(AI$3&gt;=MAX($B$39,$B$38),AI$3&lt;EDATE($B$39,MAX(1,'Вводные'!$K$53)),AND($B$35="Да",IFERROR(INDEX('Вводные'!$B$88:$B$90,$B$36),"Нет")="Да"))</x:f>
        <x:v>0</x:v>
      </x:c>
      <x:c r="AJ48" s="35" t="n">
        <x:f>--AND(AJ$3&gt;=MAX($B$39,$B$38),AJ$3&lt;EDATE($B$39,MAX(1,'Вводные'!$K$53)),AND($B$35="Да",IFERROR(INDEX('Вводные'!$B$88:$B$90,$B$36),"Нет")="Да"))</x:f>
        <x:v>0</x:v>
      </x:c>
      <x:c r="AK48" s="35" t="n">
        <x:f>--AND(AK$3&gt;=MAX($B$39,$B$38),AK$3&lt;EDATE($B$39,MAX(1,'Вводные'!$K$53)),AND($B$35="Да",IFERROR(INDEX('Вводные'!$B$88:$B$90,$B$36),"Нет")="Да"))</x:f>
        <x:v>0</x:v>
      </x:c>
      <x:c r="AL48" s="35" t="n">
        <x:f>--AND(AL$3&gt;=MAX($B$39,$B$38),AL$3&lt;EDATE($B$39,MAX(1,'Вводные'!$K$53)),AND($B$35="Да",IFERROR(INDEX('Вводные'!$B$88:$B$90,$B$36),"Нет")="Да"))</x:f>
        <x:v>0</x:v>
      </x:c>
      <x:c r="AM48" s="35" t="n">
        <x:f>--AND(AM$3&gt;=MAX($B$39,$B$38),AM$3&lt;EDATE($B$39,MAX(1,'Вводные'!$K$53)),AND($B$35="Да",IFERROR(INDEX('Вводные'!$B$88:$B$90,$B$36),"Нет")="Да"))</x:f>
        <x:v>0</x:v>
      </x:c>
      <x:c r="AN48" s="35" t="n">
        <x:f>--AND(AN$3&gt;=MAX($B$39,$B$38),AN$3&lt;EDATE($B$39,MAX(1,'Вводные'!$K$53)),AND($B$35="Да",IFERROR(INDEX('Вводные'!$B$88:$B$90,$B$36),"Нет")="Да"))</x:f>
        <x:v>0</x:v>
      </x:c>
      <x:c r="AO48" s="35" t="n">
        <x:f>--AND(AO$3&gt;=MAX($B$39,$B$38),AO$3&lt;EDATE($B$39,MAX(1,'Вводные'!$K$53)),AND($B$35="Да",IFERROR(INDEX('Вводные'!$B$88:$B$90,$B$36),"Нет")="Да"))</x:f>
        <x:v>0</x:v>
      </x:c>
      <x:c r="AP48" s="35" t="n">
        <x:f>--AND(AP$3&gt;=MAX($B$39,$B$38),AP$3&lt;EDATE($B$39,MAX(1,'Вводные'!$K$53)),AND($B$35="Да",IFERROR(INDEX('Вводные'!$B$88:$B$90,$B$36),"Нет")="Да"))</x:f>
        <x:v>0</x:v>
      </x:c>
      <x:c r="AQ48" s="35" t="n">
        <x:f>--AND(AQ$3&gt;=MAX($B$39,$B$38),AQ$3&lt;EDATE($B$39,MAX(1,'Вводные'!$K$53)),AND($B$35="Да",IFERROR(INDEX('Вводные'!$B$88:$B$90,$B$36),"Нет")="Да"))</x:f>
        <x:v>0</x:v>
      </x:c>
      <x:c r="AR48" s="35" t="n">
        <x:f>--AND(AR$3&gt;=MAX($B$39,$B$38),AR$3&lt;EDATE($B$39,MAX(1,'Вводные'!$K$53)),AND($B$35="Да",IFERROR(INDEX('Вводные'!$B$88:$B$90,$B$36),"Нет")="Да"))</x:f>
        <x:v>0</x:v>
      </x:c>
      <x:c r="AS48" s="35" t="n">
        <x:f>--AND(AS$3&gt;=MAX($B$39,$B$38),AS$3&lt;EDATE($B$39,MAX(1,'Вводные'!$K$53)),AND($B$35="Да",IFERROR(INDEX('Вводные'!$B$88:$B$90,$B$36),"Нет")="Да"))</x:f>
        <x:v>0</x:v>
      </x:c>
      <x:c r="AT48" s="35" t="n">
        <x:f>--AND(AT$3&gt;=MAX($B$39,$B$38),AT$3&lt;EDATE($B$39,MAX(1,'Вводные'!$K$53)),AND($B$35="Да",IFERROR(INDEX('Вводные'!$B$88:$B$90,$B$36),"Нет")="Да"))</x:f>
        <x:v>0</x:v>
      </x:c>
      <x:c r="AU48" s="35" t="n">
        <x:f>--AND(AU$3&gt;=MAX($B$39,$B$38),AU$3&lt;EDATE($B$39,MAX(1,'Вводные'!$K$53)),AND($B$35="Да",IFERROR(INDEX('Вводные'!$B$88:$B$90,$B$36),"Нет")="Да"))</x:f>
        <x:v>0</x:v>
      </x:c>
      <x:c r="AV48" s="35" t="n">
        <x:f>--AND(AV$3&gt;=MAX($B$39,$B$38),AV$3&lt;EDATE($B$39,MAX(1,'Вводные'!$K$53)),AND($B$35="Да",IFERROR(INDEX('Вводные'!$B$88:$B$90,$B$36),"Нет")="Да"))</x:f>
        <x:v>0</x:v>
      </x:c>
      <x:c r="AW48" s="35" t="n">
        <x:f>--AND(AW$3&gt;=MAX($B$39,$B$38),AW$3&lt;EDATE($B$39,MAX(1,'Вводные'!$K$53)),AND($B$35="Да",IFERROR(INDEX('Вводные'!$B$88:$B$90,$B$36),"Нет")="Да"))</x:f>
        <x:v>0</x:v>
      </x:c>
      <x:c r="AX48" s="35" t="n">
        <x:f>--AND(AX$3&gt;=MAX($B$39,$B$38),AX$3&lt;EDATE($B$39,MAX(1,'Вводные'!$K$53)),AND($B$35="Да",IFERROR(INDEX('Вводные'!$B$88:$B$90,$B$36),"Нет")="Да"))</x:f>
        <x:v>0</x:v>
      </x:c>
      <x:c r="AY48" s="35" t="n">
        <x:f>--AND(AY$3&gt;=MAX($B$39,$B$38),AY$3&lt;EDATE($B$39,MAX(1,'Вводные'!$K$53)),AND($B$35="Да",IFERROR(INDEX('Вводные'!$B$88:$B$90,$B$36),"Нет")="Да"))</x:f>
        <x:v>0</x:v>
      </x:c>
      <x:c r="AZ48" s="35" t="n">
        <x:f>--AND(AZ$3&gt;=MAX($B$39,$B$38),AZ$3&lt;EDATE($B$39,MAX(1,'Вводные'!$K$53)),AND($B$35="Да",IFERROR(INDEX('Вводные'!$B$88:$B$90,$B$36),"Нет")="Да"))</x:f>
        <x:v>0</x:v>
      </x:c>
      <x:c r="BA48" s="35" t="n">
        <x:f>--AND(BA$3&gt;=MAX($B$39,$B$38),BA$3&lt;EDATE($B$39,MAX(1,'Вводные'!$K$53)),AND($B$35="Да",IFERROR(INDEX('Вводные'!$B$88:$B$90,$B$36),"Нет")="Да"))</x:f>
        <x:v>0</x:v>
      </x:c>
      <x:c r="BB48" s="35" t="n">
        <x:f>--AND(BB$3&gt;=MAX($B$39,$B$38),BB$3&lt;EDATE($B$39,MAX(1,'Вводные'!$K$53)),AND($B$35="Да",IFERROR(INDEX('Вводные'!$B$88:$B$90,$B$36),"Нет")="Да"))</x:f>
        <x:v>0</x:v>
      </x:c>
      <x:c r="BC48" s="35" t="n">
        <x:f>--AND(BC$3&gt;=MAX($B$39,$B$38),BC$3&lt;EDATE($B$39,MAX(1,'Вводные'!$K$53)),AND($B$35="Да",IFERROR(INDEX('Вводные'!$B$88:$B$90,$B$36),"Нет")="Да"))</x:f>
        <x:v>0</x:v>
      </x:c>
      <x:c r="BD48" s="35" t="n">
        <x:f>--AND(BD$3&gt;=MAX($B$39,$B$38),BD$3&lt;EDATE($B$39,MAX(1,'Вводные'!$K$53)),AND($B$35="Да",IFERROR(INDEX('Вводные'!$B$88:$B$90,$B$36),"Нет")="Да"))</x:f>
        <x:v>0</x:v>
      </x:c>
      <x:c r="BE48" s="35" t="n">
        <x:f>--AND(BE$3&gt;=MAX($B$39,$B$38),BE$3&lt;EDATE($B$39,MAX(1,'Вводные'!$K$53)),AND($B$35="Да",IFERROR(INDEX('Вводные'!$B$88:$B$90,$B$36),"Нет")="Да"))</x:f>
        <x:v>0</x:v>
      </x:c>
      <x:c r="BF48" s="35" t="n">
        <x:f>--AND(BF$3&gt;=MAX($B$39,$B$38),BF$3&lt;EDATE($B$39,MAX(1,'Вводные'!$K$53)),AND($B$35="Да",IFERROR(INDEX('Вводные'!$B$88:$B$90,$B$36),"Нет")="Да"))</x:f>
        <x:v>0</x:v>
      </x:c>
      <x:c r="BG48" s="35" t="n">
        <x:f>--AND(BG$3&gt;=MAX($B$39,$B$38),BG$3&lt;EDATE($B$39,MAX(1,'Вводные'!$K$53)),AND($B$35="Да",IFERROR(INDEX('Вводные'!$B$88:$B$90,$B$36),"Нет")="Да"))</x:f>
        <x:v>0</x:v>
      </x:c>
      <x:c r="BH48" s="35" t="n">
        <x:f>--AND(BH$3&gt;=MAX($B$39,$B$38),BH$3&lt;EDATE($B$39,MAX(1,'Вводные'!$K$53)),AND($B$35="Да",IFERROR(INDEX('Вводные'!$B$88:$B$90,$B$36),"Нет")="Да"))</x:f>
        <x:v>0</x:v>
      </x:c>
      <x:c r="BI48" s="35" t="n">
        <x:f>--AND(BI$3&gt;=MAX($B$39,$B$38),BI$3&lt;EDATE($B$39,MAX(1,'Вводные'!$K$53)),AND($B$35="Да",IFERROR(INDEX('Вводные'!$B$88:$B$90,$B$36),"Нет")="Да"))</x:f>
        <x:v>0</x:v>
      </x:c>
      <x:c r="BJ48" s="35" t="n">
        <x:f>--AND(BJ$3&gt;=MAX($B$39,$B$38),BJ$3&lt;EDATE($B$39,MAX(1,'Вводные'!$K$53)),AND($B$35="Да",IFERROR(INDEX('Вводные'!$B$88:$B$90,$B$36),"Нет")="Да"))</x:f>
        <x:v>0</x:v>
      </x:c>
      <x:c r="BK48" s="35" t="n">
        <x:f>--AND(BK$3&gt;=MAX($B$39,$B$38),BK$3&lt;EDATE($B$39,MAX(1,'Вводные'!$K$53)),AND($B$35="Да",IFERROR(INDEX('Вводные'!$B$88:$B$90,$B$36),"Нет")="Да"))</x:f>
        <x:v>0</x:v>
      </x:c>
      <x:c r="BL48" s="35" t="n">
        <x:f>--AND(BL$3&gt;=MAX($B$39,$B$38),BL$3&lt;EDATE($B$39,MAX(1,'Вводные'!$K$53)),AND($B$35="Да",IFERROR(INDEX('Вводные'!$B$88:$B$90,$B$36),"Нет")="Да"))</x:f>
        <x:v>0</x:v>
      </x:c>
      <x:c r="BM48" s="35" t="n">
        <x:f>--AND(BM$3&gt;=MAX($B$39,$B$38),BM$3&lt;EDATE($B$39,MAX(1,'Вводные'!$K$53)),AND($B$35="Да",IFERROR(INDEX('Вводные'!$B$88:$B$90,$B$36),"Нет")="Да"))</x:f>
        <x:v>0</x:v>
      </x:c>
      <x:c r="BN48" s="35" t="n">
        <x:f>--AND(BN$3&gt;=MAX($B$39,$B$38),BN$3&lt;EDATE($B$39,MAX(1,'Вводные'!$K$53)),AND($B$35="Да",IFERROR(INDEX('Вводные'!$B$88:$B$90,$B$36),"Нет")="Да"))</x:f>
        <x:v>0</x:v>
      </x:c>
      <x:c r="BO48" s="35" t="n">
        <x:f>--AND(BO$3&gt;=MAX($B$39,$B$38),BO$3&lt;EDATE($B$39,MAX(1,'Вводные'!$K$53)),AND($B$35="Да",IFERROR(INDEX('Вводные'!$B$88:$B$90,$B$36),"Нет")="Да"))</x:f>
        <x:v>0</x:v>
      </x:c>
      <x:c r="BP48" s="35" t="n">
        <x:f>--AND(BP$3&gt;=MAX($B$39,$B$38),BP$3&lt;EDATE($B$39,MAX(1,'Вводные'!$K$53)),AND($B$35="Да",IFERROR(INDEX('Вводные'!$B$88:$B$90,$B$36),"Нет")="Да"))</x:f>
        <x:v>0</x:v>
      </x:c>
      <x:c r="BQ48" s="35" t="n">
        <x:f>--AND(BQ$3&gt;=MAX($B$39,$B$38),BQ$3&lt;EDATE($B$39,MAX(1,'Вводные'!$K$53)),AND($B$35="Да",IFERROR(INDEX('Вводные'!$B$88:$B$90,$B$36),"Нет")="Да"))</x:f>
        <x:v>0</x:v>
      </x:c>
      <x:c r="BR48" s="35" t="n">
        <x:f>--AND(BR$3&gt;=MAX($B$39,$B$38),BR$3&lt;EDATE($B$39,MAX(1,'Вводные'!$K$53)),AND($B$35="Да",IFERROR(INDEX('Вводные'!$B$88:$B$90,$B$36),"Нет")="Да"))</x:f>
        <x:v>0</x:v>
      </x:c>
      <x:c r="BS48" s="35" t="n">
        <x:f>--AND(BS$3&gt;=MAX($B$39,$B$38),BS$3&lt;EDATE($B$39,MAX(1,'Вводные'!$K$53)),AND($B$35="Да",IFERROR(INDEX('Вводные'!$B$88:$B$90,$B$36),"Нет")="Да"))</x:f>
        <x:v>0</x:v>
      </x:c>
      <x:c r="BT48" s="35" t="n">
        <x:f>--AND(BT$3&gt;=MAX($B$39,$B$38),BT$3&lt;EDATE($B$39,MAX(1,'Вводные'!$K$53)),AND($B$35="Да",IFERROR(INDEX('Вводные'!$B$88:$B$90,$B$36),"Нет")="Да"))</x:f>
        <x:v>0</x:v>
      </x:c>
      <x:c r="BU48" s="35" t="n">
        <x:f>--AND(BU$3&gt;=MAX($B$39,$B$38),BU$3&lt;EDATE($B$39,MAX(1,'Вводные'!$K$53)),AND($B$35="Да",IFERROR(INDEX('Вводные'!$B$88:$B$90,$B$36),"Нет")="Да"))</x:f>
        <x:v>0</x:v>
      </x:c>
      <x:c r="BV48" s="35" t="n">
        <x:f>--AND(BV$3&gt;=MAX($B$39,$B$38),BV$3&lt;EDATE($B$39,MAX(1,'Вводные'!$K$53)),AND($B$35="Да",IFERROR(INDEX('Вводные'!$B$88:$B$90,$B$36),"Нет")="Да"))</x:f>
        <x:v>0</x:v>
      </x:c>
      <x:c r="BW48" s="35" t="n">
        <x:f>--AND(BW$3&gt;=MAX($B$39,$B$38),BW$3&lt;EDATE($B$39,MAX(1,'Вводные'!$K$53)),AND($B$35="Да",IFERROR(INDEX('Вводные'!$B$88:$B$90,$B$36),"Нет")="Да"))</x:f>
        <x:v>0</x:v>
      </x:c>
      <x:c r="BX48" s="35" t="n">
        <x:f>--AND(BX$3&gt;=MAX($B$39,$B$38),BX$3&lt;EDATE($B$39,MAX(1,'Вводные'!$K$53)),AND($B$35="Да",IFERROR(INDEX('Вводные'!$B$88:$B$90,$B$36),"Нет")="Да"))</x:f>
        <x:v>0</x:v>
      </x:c>
      <x:c r="BY48" s="35" t="n">
        <x:f>--AND(BY$3&gt;=MAX($B$39,$B$38),BY$3&lt;EDATE($B$39,MAX(1,'Вводные'!$K$53)),AND($B$35="Да",IFERROR(INDEX('Вводные'!$B$88:$B$90,$B$36),"Нет")="Да"))</x:f>
        <x:v>0</x:v>
      </x:c>
      <x:c r="BZ48" s="35" t="n">
        <x:f>--AND(BZ$3&gt;=MAX($B$39,$B$38),BZ$3&lt;EDATE($B$39,MAX(1,'Вводные'!$K$53)),AND($B$35="Да",IFERROR(INDEX('Вводные'!$B$88:$B$90,$B$36),"Нет")="Да"))</x:f>
        <x:v>0</x:v>
      </x:c>
      <x:c r="CA48" s="35" t="n">
        <x:f>--AND(CA$3&gt;=MAX($B$39,$B$38),CA$3&lt;EDATE($B$39,MAX(1,'Вводные'!$K$53)),AND($B$35="Да",IFERROR(INDEX('Вводные'!$B$88:$B$90,$B$36),"Нет")="Да"))</x:f>
        <x:v>0</x:v>
      </x:c>
      <x:c r="CB48" s="35" t="n">
        <x:f>--AND(CB$3&gt;=MAX($B$39,$B$38),CB$3&lt;EDATE($B$39,MAX(1,'Вводные'!$K$53)),AND($B$35="Да",IFERROR(INDEX('Вводные'!$B$88:$B$90,$B$36),"Нет")="Да"))</x:f>
        <x:v>0</x:v>
      </x:c>
      <x:c r="CC48" s="35" t="n">
        <x:f>--AND(CC$3&gt;=MAX($B$39,$B$38),CC$3&lt;EDATE($B$39,MAX(1,'Вводные'!$K$53)),AND($B$35="Да",IFERROR(INDEX('Вводные'!$B$88:$B$90,$B$36),"Нет")="Да"))</x:f>
        <x:v>0</x:v>
      </x:c>
      <x:c r="CD48" s="35" t="n">
        <x:f>--AND(CD$3&gt;=MAX($B$39,$B$38),CD$3&lt;EDATE($B$39,MAX(1,'Вводные'!$K$53)),AND($B$35="Да",IFERROR(INDEX('Вводные'!$B$88:$B$90,$B$36),"Нет")="Да"))</x:f>
        <x:v>0</x:v>
      </x:c>
      <x:c r="CE48" s="35" t="n">
        <x:f>--AND(CE$3&gt;=MAX($B$39,$B$38),CE$3&lt;EDATE($B$39,MAX(1,'Вводные'!$K$53)),AND($B$35="Да",IFERROR(INDEX('Вводные'!$B$88:$B$90,$B$36),"Нет")="Да"))</x:f>
        <x:v>0</x:v>
      </x:c>
      <x:c r="CF48" s="35" t="n">
        <x:f>--AND(CF$3&gt;=MAX($B$39,$B$38),CF$3&lt;EDATE($B$39,MAX(1,'Вводные'!$K$53)),AND($B$35="Да",IFERROR(INDEX('Вводные'!$B$88:$B$90,$B$36),"Нет")="Да"))</x:f>
        <x:v>0</x:v>
      </x:c>
      <x:c r="CG48" s="35" t="n">
        <x:f>--AND(CG$3&gt;=MAX($B$39,$B$38),CG$3&lt;EDATE($B$39,MAX(1,'Вводные'!$K$53)),AND($B$35="Да",IFERROR(INDEX('Вводные'!$B$88:$B$90,$B$36),"Нет")="Да"))</x:f>
        <x:v>0</x:v>
      </x:c>
      <x:c r="CH48" s="35" t="n">
        <x:f>--AND(CH$3&gt;=MAX($B$39,$B$38),CH$3&lt;EDATE($B$39,MAX(1,'Вводные'!$K$53)),AND($B$35="Да",IFERROR(INDEX('Вводные'!$B$88:$B$90,$B$36),"Нет")="Да"))</x:f>
        <x:v>0</x:v>
      </x:c>
      <x:c r="CI48" s="35" t="n">
        <x:f>--AND(CI$3&gt;=MAX($B$39,$B$38),CI$3&lt;EDATE($B$39,MAX(1,'Вводные'!$K$53)),AND($B$35="Да",IFERROR(INDEX('Вводные'!$B$88:$B$90,$B$36),"Нет")="Да"))</x:f>
        <x:v>0</x:v>
      </x:c>
      <x:c r="CJ48" s="35" t="n">
        <x:f>--AND(CJ$3&gt;=MAX($B$39,$B$38),CJ$3&lt;EDATE($B$39,MAX(1,'Вводные'!$K$53)),AND($B$35="Да",IFERROR(INDEX('Вводные'!$B$88:$B$90,$B$36),"Нет")="Да"))</x:f>
        <x:v>0</x:v>
      </x:c>
      <x:c r="CK48" s="35" t="n">
        <x:f>--AND(CK$3&gt;=MAX($B$39,$B$38),CK$3&lt;EDATE($B$39,MAX(1,'Вводные'!$K$53)),AND($B$35="Да",IFERROR(INDEX('Вводные'!$B$88:$B$90,$B$36),"Нет")="Да"))</x:f>
        <x:v>0</x:v>
      </x:c>
      <x:c r="CL48" s="35" t="n">
        <x:f>--AND(CL$3&gt;=MAX($B$39,$B$38),CL$3&lt;EDATE($B$39,MAX(1,'Вводные'!$K$53)),AND($B$35="Да",IFERROR(INDEX('Вводные'!$B$88:$B$90,$B$36),"Нет")="Да"))</x:f>
        <x:v>0</x:v>
      </x:c>
      <x:c r="CM48" s="35" t="n">
        <x:f>--AND(CM$3&gt;=MAX($B$39,$B$38),CM$3&lt;EDATE($B$39,MAX(1,'Вводные'!$K$53)),AND($B$35="Да",IFERROR(INDEX('Вводные'!$B$88:$B$90,$B$36),"Нет")="Да"))</x:f>
        <x:v>0</x:v>
      </x:c>
      <x:c r="CN48" s="35" t="n">
        <x:f>--AND(CN$3&gt;=MAX($B$39,$B$38),CN$3&lt;EDATE($B$39,MAX(1,'Вводные'!$K$53)),AND($B$35="Да",IFERROR(INDEX('Вводные'!$B$88:$B$90,$B$36),"Нет")="Да"))</x:f>
        <x:v>0</x:v>
      </x:c>
      <x:c r="CO48" s="35" t="n">
        <x:f>--AND(CO$3&gt;=MAX($B$39,$B$38),CO$3&lt;EDATE($B$39,MAX(1,'Вводные'!$K$53)),AND($B$35="Да",IFERROR(INDEX('Вводные'!$B$88:$B$90,$B$36),"Нет")="Да"))</x:f>
        <x:v>0</x:v>
      </x:c>
      <x:c r="CP48" s="35" t="n">
        <x:f>--AND(CP$3&gt;=MAX($B$39,$B$38),CP$3&lt;EDATE($B$39,MAX(1,'Вводные'!$K$53)),AND($B$35="Да",IFERROR(INDEX('Вводные'!$B$88:$B$90,$B$36),"Нет")="Да"))</x:f>
        <x:v>0</x:v>
      </x:c>
      <x:c r="CQ48" s="35" t="n">
        <x:f>--AND(CQ$3&gt;=MAX($B$39,$B$38),CQ$3&lt;EDATE($B$39,MAX(1,'Вводные'!$K$53)),AND($B$35="Да",IFERROR(INDEX('Вводные'!$B$88:$B$90,$B$36),"Нет")="Да"))</x:f>
        <x:v>0</x:v>
      </x:c>
      <x:c r="CR48" s="35" t="n">
        <x:f>--AND(CR$3&gt;=MAX($B$39,$B$38),CR$3&lt;EDATE($B$39,MAX(1,'Вводные'!$K$53)),AND($B$35="Да",IFERROR(INDEX('Вводные'!$B$88:$B$90,$B$36),"Нет")="Да"))</x:f>
        <x:v>0</x:v>
      </x:c>
      <x:c r="CS48" s="35" t="n">
        <x:f>--AND(CS$3&gt;=MAX($B$39,$B$38),CS$3&lt;EDATE($B$39,MAX(1,'Вводные'!$K$53)),AND($B$35="Да",IFERROR(INDEX('Вводные'!$B$88:$B$90,$B$36),"Нет")="Да"))</x:f>
        <x:v>0</x:v>
      </x:c>
      <x:c r="CT48" s="35" t="n">
        <x:f>--AND(CT$3&gt;=MAX($B$39,$B$38),CT$3&lt;EDATE($B$39,MAX(1,'Вводные'!$K$53)),AND($B$35="Да",IFERROR(INDEX('Вводные'!$B$88:$B$90,$B$36),"Нет")="Да"))</x:f>
        <x:v>0</x:v>
      </x:c>
      <x:c r="CU48" s="35" t="n">
        <x:f>--AND(CU$3&gt;=MAX($B$39,$B$38),CU$3&lt;EDATE($B$39,MAX(1,'Вводные'!$K$53)),AND($B$35="Да",IFERROR(INDEX('Вводные'!$B$88:$B$90,$B$36),"Нет")="Да"))</x:f>
        <x:v>0</x:v>
      </x:c>
      <x:c r="CV48" s="35" t="n">
        <x:f>--AND(CV$3&gt;=MAX($B$39,$B$38),CV$3&lt;EDATE($B$39,MAX(1,'Вводные'!$K$53)),AND($B$35="Да",IFERROR(INDEX('Вводные'!$B$88:$B$90,$B$36),"Нет")="Да"))</x:f>
        <x:v>0</x:v>
      </x:c>
      <x:c r="CW48" s="35" t="n">
        <x:f>--AND(CW$3&gt;=MAX($B$39,$B$38),CW$3&lt;EDATE($B$39,MAX(1,'Вводные'!$K$53)),AND($B$35="Да",IFERROR(INDEX('Вводные'!$B$88:$B$90,$B$36),"Нет")="Да"))</x:f>
        <x:v>0</x:v>
      </x:c>
      <x:c r="CX48" s="35" t="n">
        <x:f>--AND(CX$3&gt;=MAX($B$39,$B$38),CX$3&lt;EDATE($B$39,MAX(1,'Вводные'!$K$53)),AND($B$35="Да",IFERROR(INDEX('Вводные'!$B$88:$B$90,$B$36),"Нет")="Да"))</x:f>
        <x:v>0</x:v>
      </x:c>
      <x:c r="CY48" s="35" t="n">
        <x:f>--AND(CY$3&gt;=MAX($B$39,$B$38),CY$3&lt;EDATE($B$39,MAX(1,'Вводные'!$K$53)),AND($B$35="Да",IFERROR(INDEX('Вводные'!$B$88:$B$90,$B$36),"Нет")="Да"))</x:f>
        <x:v>0</x:v>
      </x:c>
      <x:c r="CZ48" s="35" t="n">
        <x:f>--AND(CZ$3&gt;=MAX($B$39,$B$38),CZ$3&lt;EDATE($B$39,MAX(1,'Вводные'!$K$53)),AND($B$35="Да",IFERROR(INDEX('Вводные'!$B$88:$B$90,$B$36),"Нет")="Да"))</x:f>
        <x:v>0</x:v>
      </x:c>
      <x:c r="DA48" s="35" t="n">
        <x:f>--AND(DA$3&gt;=MAX($B$39,$B$38),DA$3&lt;EDATE($B$39,MAX(1,'Вводные'!$K$53)),AND($B$35="Да",IFERROR(INDEX('Вводные'!$B$88:$B$90,$B$36),"Нет")="Да"))</x:f>
        <x:v>0</x:v>
      </x:c>
      <x:c r="DB48" s="35" t="n">
        <x:f>--AND(DB$3&gt;=MAX($B$39,$B$38),DB$3&lt;EDATE($B$39,MAX(1,'Вводные'!$K$53)),AND($B$35="Да",IFERROR(INDEX('Вводные'!$B$88:$B$90,$B$36),"Нет")="Да"))</x:f>
        <x:v>0</x:v>
      </x:c>
      <x:c r="DC48" s="35" t="n">
        <x:f>--AND(DC$3&gt;=MAX($B$39,$B$38),DC$3&lt;EDATE($B$39,MAX(1,'Вводные'!$K$53)),AND($B$35="Да",IFERROR(INDEX('Вводные'!$B$88:$B$90,$B$36),"Нет")="Да"))</x:f>
        <x:v>0</x:v>
      </x:c>
      <x:c r="DD48" s="35" t="n">
        <x:f>--AND(DD$3&gt;=MAX($B$39,$B$38),DD$3&lt;EDATE($B$39,MAX(1,'Вводные'!$K$53)),AND($B$35="Да",IFERROR(INDEX('Вводные'!$B$88:$B$90,$B$36),"Нет")="Да"))</x:f>
        <x:v>0</x:v>
      </x:c>
      <x:c r="DE48" s="35" t="n">
        <x:f>--AND(DE$3&gt;=MAX($B$39,$B$38),DE$3&lt;EDATE($B$39,MAX(1,'Вводные'!$K$53)),AND($B$35="Да",IFERROR(INDEX('Вводные'!$B$88:$B$90,$B$36),"Нет")="Да"))</x:f>
        <x:v>0</x:v>
      </x:c>
      <x:c r="DF48" s="35" t="n">
        <x:f>--AND(DF$3&gt;=MAX($B$39,$B$38),DF$3&lt;EDATE($B$39,MAX(1,'Вводные'!$K$53)),AND($B$35="Да",IFERROR(INDEX('Вводные'!$B$88:$B$90,$B$36),"Нет")="Да"))</x:f>
        <x:v>0</x:v>
      </x:c>
      <x:c r="DG48" s="35" t="n">
        <x:f>--AND(DG$3&gt;=MAX($B$39,$B$38),DG$3&lt;EDATE($B$39,MAX(1,'Вводные'!$K$53)),AND($B$35="Да",IFERROR(INDEX('Вводные'!$B$88:$B$90,$B$36),"Нет")="Да"))</x:f>
        <x:v>0</x:v>
      </x:c>
      <x:c r="DH48" s="35" t="n">
        <x:f>--AND(DH$3&gt;=MAX($B$39,$B$38),DH$3&lt;EDATE($B$39,MAX(1,'Вводные'!$K$53)),AND($B$35="Да",IFERROR(INDEX('Вводные'!$B$88:$B$90,$B$36),"Нет")="Да"))</x:f>
        <x:v>0</x:v>
      </x:c>
      <x:c r="DI48" s="35" t="n">
        <x:f>--AND(DI$3&gt;=MAX($B$39,$B$38),DI$3&lt;EDATE($B$39,MAX(1,'Вводные'!$K$53)),AND($B$35="Да",IFERROR(INDEX('Вводные'!$B$88:$B$90,$B$36),"Нет")="Да"))</x:f>
        <x:v>0</x:v>
      </x:c>
      <x:c r="DJ48" s="35" t="n">
        <x:f>--AND(DJ$3&gt;=MAX($B$39,$B$38),DJ$3&lt;EDATE($B$39,MAX(1,'Вводные'!$K$53)),AND($B$35="Да",IFERROR(INDEX('Вводные'!$B$88:$B$90,$B$36),"Нет")="Да"))</x:f>
        <x:v>0</x:v>
      </x:c>
      <x:c r="DK48" s="35" t="n">
        <x:f>--AND(DK$3&gt;=MAX($B$39,$B$38),DK$3&lt;EDATE($B$39,MAX(1,'Вводные'!$K$53)),AND($B$35="Да",IFERROR(INDEX('Вводные'!$B$88:$B$90,$B$36),"Нет")="Да"))</x:f>
        <x:v>0</x:v>
      </x:c>
      <x:c r="DL48" s="35" t="n">
        <x:f>--AND(DL$3&gt;=MAX($B$39,$B$38),DL$3&lt;EDATE($B$39,MAX(1,'Вводные'!$K$53)),AND($B$35="Да",IFERROR(INDEX('Вводные'!$B$88:$B$90,$B$36),"Нет")="Да"))</x:f>
        <x:v>0</x:v>
      </x:c>
      <x:c r="DM48" s="35" t="n">
        <x:f>--AND(DM$3&gt;=MAX($B$39,$B$38),DM$3&lt;EDATE($B$39,MAX(1,'Вводные'!$K$53)),AND($B$35="Да",IFERROR(INDEX('Вводные'!$B$88:$B$90,$B$36),"Нет")="Да"))</x:f>
        <x:v>0</x:v>
      </x:c>
      <x:c r="DN48" s="35" t="n">
        <x:f>--AND(DN$3&gt;=MAX($B$39,$B$38),DN$3&lt;EDATE($B$39,MAX(1,'Вводные'!$K$53)),AND($B$35="Да",IFERROR(INDEX('Вводные'!$B$88:$B$90,$B$36),"Нет")="Да"))</x:f>
        <x:v>0</x:v>
      </x:c>
      <x:c r="DO48" s="35" t="n">
        <x:f>--AND(DO$3&gt;=MAX($B$39,$B$38),DO$3&lt;EDATE($B$39,MAX(1,'Вводные'!$K$53)),AND($B$35="Да",IFERROR(INDEX('Вводные'!$B$88:$B$90,$B$36),"Нет")="Да"))</x:f>
        <x:v>0</x:v>
      </x:c>
      <x:c r="DP48" s="35" t="n">
        <x:f>--AND(DP$3&gt;=MAX($B$39,$B$38),DP$3&lt;EDATE($B$39,MAX(1,'Вводные'!$K$53)),AND($B$35="Да",IFERROR(INDEX('Вводные'!$B$88:$B$90,$B$36),"Нет")="Да"))</x:f>
        <x:v>0</x:v>
      </x:c>
      <x:c r="DQ48" s="35" t="n">
        <x:f>--AND(DQ$3&gt;=MAX($B$39,$B$38),DQ$3&lt;EDATE($B$39,MAX(1,'Вводные'!$K$53)),AND($B$35="Да",IFERROR(INDEX('Вводные'!$B$88:$B$90,$B$36),"Нет")="Да"))</x:f>
        <x:v>0</x:v>
      </x:c>
      <x:c r="DR48" s="35" t="n">
        <x:f>--AND(DR$3&gt;=MAX($B$39,$B$38),DR$3&lt;EDATE($B$39,MAX(1,'Вводные'!$K$53)),AND($B$35="Да",IFERROR(INDEX('Вводные'!$B$88:$B$90,$B$36),"Нет")="Да"))</x:f>
        <x:v>0</x:v>
      </x:c>
      <x:c r="DS48" s="35" t="n">
        <x:f>--AND(DS$3&gt;=MAX($B$39,$B$38),DS$3&lt;EDATE($B$39,MAX(1,'Вводные'!$K$53)),AND($B$35="Да",IFERROR(INDEX('Вводные'!$B$88:$B$90,$B$36),"Нет")="Да"))</x:f>
        <x:v>0</x:v>
      </x:c>
    </x:row>
    <x:row r="49">
      <x:c r="A49" t="str">
        <x:v>Нормированный вес после РВЭ</x:v>
      </x:c>
      <x:c r="B49" s="35" t="n">
        <x:f>SUM(D49:DS49)</x:f>
        <x:v>0</x:v>
      </x:c>
      <x:c r="C49" t="str">
        <x:v>%</x:v>
      </x:c>
      <x:c r="D49" s="35" t="n">
        <x:f>IFERROR(D46*D48/SUMPRODUCT($D46:$DS46,$D48:$DS48),0)</x:f>
        <x:v>0</x:v>
      </x:c>
      <x:c r="E49" s="35" t="n">
        <x:f>IFERROR(E46*E48/SUMPRODUCT($D46:$DS46,$D48:$DS48),0)</x:f>
        <x:v>0</x:v>
      </x:c>
      <x:c r="F49" s="35" t="n">
        <x:f>IFERROR(F46*F48/SUMPRODUCT($D46:$DS46,$D48:$DS48),0)</x:f>
        <x:v>0</x:v>
      </x:c>
      <x:c r="G49" s="35" t="n">
        <x:f>IFERROR(G46*G48/SUMPRODUCT($D46:$DS46,$D48:$DS48),0)</x:f>
        <x:v>0</x:v>
      </x:c>
      <x:c r="H49" s="35" t="n">
        <x:f>IFERROR(H46*H48/SUMPRODUCT($D46:$DS46,$D48:$DS48),0)</x:f>
        <x:v>0</x:v>
      </x:c>
      <x:c r="I49" s="35" t="n">
        <x:f>IFERROR(I46*I48/SUMPRODUCT($D46:$DS46,$D48:$DS48),0)</x:f>
        <x:v>0</x:v>
      </x:c>
      <x:c r="J49" s="35" t="n">
        <x:f>IFERROR(J46*J48/SUMPRODUCT($D46:$DS46,$D48:$DS48),0)</x:f>
        <x:v>0</x:v>
      </x:c>
      <x:c r="K49" s="35" t="n">
        <x:f>IFERROR(K46*K48/SUMPRODUCT($D46:$DS46,$D48:$DS48),0)</x:f>
        <x:v>0</x:v>
      </x:c>
      <x:c r="L49" s="35" t="n">
        <x:f>IFERROR(L46*L48/SUMPRODUCT($D46:$DS46,$D48:$DS48),0)</x:f>
        <x:v>0</x:v>
      </x:c>
      <x:c r="M49" s="35" t="n">
        <x:f>IFERROR(M46*M48/SUMPRODUCT($D46:$DS46,$D48:$DS48),0)</x:f>
        <x:v>0</x:v>
      </x:c>
      <x:c r="N49" s="35" t="n">
        <x:f>IFERROR(N46*N48/SUMPRODUCT($D46:$DS46,$D48:$DS48),0)</x:f>
        <x:v>0</x:v>
      </x:c>
      <x:c r="O49" s="35" t="n">
        <x:f>IFERROR(O46*O48/SUMPRODUCT($D46:$DS46,$D48:$DS48),0)</x:f>
        <x:v>0</x:v>
      </x:c>
      <x:c r="P49" s="35" t="n">
        <x:f>IFERROR(P46*P48/SUMPRODUCT($D46:$DS46,$D48:$DS48),0)</x:f>
        <x:v>0</x:v>
      </x:c>
      <x:c r="Q49" s="35" t="n">
        <x:f>IFERROR(Q46*Q48/SUMPRODUCT($D46:$DS46,$D48:$DS48),0)</x:f>
        <x:v>0</x:v>
      </x:c>
      <x:c r="R49" s="35" t="n">
        <x:f>IFERROR(R46*R48/SUMPRODUCT($D46:$DS46,$D48:$DS48),0)</x:f>
        <x:v>0</x:v>
      </x:c>
      <x:c r="S49" s="35" t="n">
        <x:f>IFERROR(S46*S48/SUMPRODUCT($D46:$DS46,$D48:$DS48),0)</x:f>
        <x:v>0</x:v>
      </x:c>
      <x:c r="T49" s="35" t="n">
        <x:f>IFERROR(T46*T48/SUMPRODUCT($D46:$DS46,$D48:$DS48),0)</x:f>
        <x:v>0</x:v>
      </x:c>
      <x:c r="U49" s="35" t="n">
        <x:f>IFERROR(U46*U48/SUMPRODUCT($D46:$DS46,$D48:$DS48),0)</x:f>
        <x:v>0</x:v>
      </x:c>
      <x:c r="V49" s="35" t="n">
        <x:f>IFERROR(V46*V48/SUMPRODUCT($D46:$DS46,$D48:$DS48),0)</x:f>
        <x:v>0</x:v>
      </x:c>
      <x:c r="W49" s="35" t="n">
        <x:f>IFERROR(W46*W48/SUMPRODUCT($D46:$DS46,$D48:$DS48),0)</x:f>
        <x:v>0</x:v>
      </x:c>
      <x:c r="X49" s="35" t="n">
        <x:f>IFERROR(X46*X48/SUMPRODUCT($D46:$DS46,$D48:$DS48),0)</x:f>
        <x:v>0</x:v>
      </x:c>
      <x:c r="Y49" s="35" t="n">
        <x:f>IFERROR(Y46*Y48/SUMPRODUCT($D46:$DS46,$D48:$DS48),0)</x:f>
        <x:v>0</x:v>
      </x:c>
      <x:c r="Z49" s="35" t="n">
        <x:f>IFERROR(Z46*Z48/SUMPRODUCT($D46:$DS46,$D48:$DS48),0)</x:f>
        <x:v>0</x:v>
      </x:c>
      <x:c r="AA49" s="35" t="n">
        <x:f>IFERROR(AA46*AA48/SUMPRODUCT($D46:$DS46,$D48:$DS48),0)</x:f>
        <x:v>0</x:v>
      </x:c>
      <x:c r="AB49" s="35" t="n">
        <x:f>IFERROR(AB46*AB48/SUMPRODUCT($D46:$DS46,$D48:$DS48),0)</x:f>
        <x:v>0</x:v>
      </x:c>
      <x:c r="AC49" s="35" t="n">
        <x:f>IFERROR(AC46*AC48/SUMPRODUCT($D46:$DS46,$D48:$DS48),0)</x:f>
        <x:v>0</x:v>
      </x:c>
      <x:c r="AD49" s="35" t="n">
        <x:f>IFERROR(AD46*AD48/SUMPRODUCT($D46:$DS46,$D48:$DS48),0)</x:f>
        <x:v>0</x:v>
      </x:c>
      <x:c r="AE49" s="35" t="n">
        <x:f>IFERROR(AE46*AE48/SUMPRODUCT($D46:$DS46,$D48:$DS48),0)</x:f>
        <x:v>0</x:v>
      </x:c>
      <x:c r="AF49" s="35" t="n">
        <x:f>IFERROR(AF46*AF48/SUMPRODUCT($D46:$DS46,$D48:$DS48),0)</x:f>
        <x:v>0</x:v>
      </x:c>
      <x:c r="AG49" s="35" t="n">
        <x:f>IFERROR(AG46*AG48/SUMPRODUCT($D46:$DS46,$D48:$DS48),0)</x:f>
        <x:v>0</x:v>
      </x:c>
      <x:c r="AH49" s="35" t="n">
        <x:f>IFERROR(AH46*AH48/SUMPRODUCT($D46:$DS46,$D48:$DS48),0)</x:f>
        <x:v>0</x:v>
      </x:c>
      <x:c r="AI49" s="35" t="n">
        <x:f>IFERROR(AI46*AI48/SUMPRODUCT($D46:$DS46,$D48:$DS48),0)</x:f>
        <x:v>0</x:v>
      </x:c>
      <x:c r="AJ49" s="35" t="n">
        <x:f>IFERROR(AJ46*AJ48/SUMPRODUCT($D46:$DS46,$D48:$DS48),0)</x:f>
        <x:v>0</x:v>
      </x:c>
      <x:c r="AK49" s="35" t="n">
        <x:f>IFERROR(AK46*AK48/SUMPRODUCT($D46:$DS46,$D48:$DS48),0)</x:f>
        <x:v>0</x:v>
      </x:c>
      <x:c r="AL49" s="35" t="n">
        <x:f>IFERROR(AL46*AL48/SUMPRODUCT($D46:$DS46,$D48:$DS48),0)</x:f>
        <x:v>0</x:v>
      </x:c>
      <x:c r="AM49" s="35" t="n">
        <x:f>IFERROR(AM46*AM48/SUMPRODUCT($D46:$DS46,$D48:$DS48),0)</x:f>
        <x:v>0</x:v>
      </x:c>
      <x:c r="AN49" s="35" t="n">
        <x:f>IFERROR(AN46*AN48/SUMPRODUCT($D46:$DS46,$D48:$DS48),0)</x:f>
        <x:v>0</x:v>
      </x:c>
      <x:c r="AO49" s="35" t="n">
        <x:f>IFERROR(AO46*AO48/SUMPRODUCT($D46:$DS46,$D48:$DS48),0)</x:f>
        <x:v>0</x:v>
      </x:c>
      <x:c r="AP49" s="35" t="n">
        <x:f>IFERROR(AP46*AP48/SUMPRODUCT($D46:$DS46,$D48:$DS48),0)</x:f>
        <x:v>0</x:v>
      </x:c>
      <x:c r="AQ49" s="35" t="n">
        <x:f>IFERROR(AQ46*AQ48/SUMPRODUCT($D46:$DS46,$D48:$DS48),0)</x:f>
        <x:v>0</x:v>
      </x:c>
      <x:c r="AR49" s="35" t="n">
        <x:f>IFERROR(AR46*AR48/SUMPRODUCT($D46:$DS46,$D48:$DS48),0)</x:f>
        <x:v>0</x:v>
      </x:c>
      <x:c r="AS49" s="35" t="n">
        <x:f>IFERROR(AS46*AS48/SUMPRODUCT($D46:$DS46,$D48:$DS48),0)</x:f>
        <x:v>0</x:v>
      </x:c>
      <x:c r="AT49" s="35" t="n">
        <x:f>IFERROR(AT46*AT48/SUMPRODUCT($D46:$DS46,$D48:$DS48),0)</x:f>
        <x:v>0</x:v>
      </x:c>
      <x:c r="AU49" s="35" t="n">
        <x:f>IFERROR(AU46*AU48/SUMPRODUCT($D46:$DS46,$D48:$DS48),0)</x:f>
        <x:v>0</x:v>
      </x:c>
      <x:c r="AV49" s="35" t="n">
        <x:f>IFERROR(AV46*AV48/SUMPRODUCT($D46:$DS46,$D48:$DS48),0)</x:f>
        <x:v>0</x:v>
      </x:c>
      <x:c r="AW49" s="35" t="n">
        <x:f>IFERROR(AW46*AW48/SUMPRODUCT($D46:$DS46,$D48:$DS48),0)</x:f>
        <x:v>0</x:v>
      </x:c>
      <x:c r="AX49" s="35" t="n">
        <x:f>IFERROR(AX46*AX48/SUMPRODUCT($D46:$DS46,$D48:$DS48),0)</x:f>
        <x:v>0</x:v>
      </x:c>
      <x:c r="AY49" s="35" t="n">
        <x:f>IFERROR(AY46*AY48/SUMPRODUCT($D46:$DS46,$D48:$DS48),0)</x:f>
        <x:v>0</x:v>
      </x:c>
      <x:c r="AZ49" s="35" t="n">
        <x:f>IFERROR(AZ46*AZ48/SUMPRODUCT($D46:$DS46,$D48:$DS48),0)</x:f>
        <x:v>0</x:v>
      </x:c>
      <x:c r="BA49" s="35" t="n">
        <x:f>IFERROR(BA46*BA48/SUMPRODUCT($D46:$DS46,$D48:$DS48),0)</x:f>
        <x:v>0</x:v>
      </x:c>
      <x:c r="BB49" s="35" t="n">
        <x:f>IFERROR(BB46*BB48/SUMPRODUCT($D46:$DS46,$D48:$DS48),0)</x:f>
        <x:v>0</x:v>
      </x:c>
      <x:c r="BC49" s="35" t="n">
        <x:f>IFERROR(BC46*BC48/SUMPRODUCT($D46:$DS46,$D48:$DS48),0)</x:f>
        <x:v>0</x:v>
      </x:c>
      <x:c r="BD49" s="35" t="n">
        <x:f>IFERROR(BD46*BD48/SUMPRODUCT($D46:$DS46,$D48:$DS48),0)</x:f>
        <x:v>0</x:v>
      </x:c>
      <x:c r="BE49" s="35" t="n">
        <x:f>IFERROR(BE46*BE48/SUMPRODUCT($D46:$DS46,$D48:$DS48),0)</x:f>
        <x:v>0</x:v>
      </x:c>
      <x:c r="BF49" s="35" t="n">
        <x:f>IFERROR(BF46*BF48/SUMPRODUCT($D46:$DS46,$D48:$DS48),0)</x:f>
        <x:v>0</x:v>
      </x:c>
      <x:c r="BG49" s="35" t="n">
        <x:f>IFERROR(BG46*BG48/SUMPRODUCT($D46:$DS46,$D48:$DS48),0)</x:f>
        <x:v>0</x:v>
      </x:c>
      <x:c r="BH49" s="35" t="n">
        <x:f>IFERROR(BH46*BH48/SUMPRODUCT($D46:$DS46,$D48:$DS48),0)</x:f>
        <x:v>0</x:v>
      </x:c>
      <x:c r="BI49" s="35" t="n">
        <x:f>IFERROR(BI46*BI48/SUMPRODUCT($D46:$DS46,$D48:$DS48),0)</x:f>
        <x:v>0</x:v>
      </x:c>
      <x:c r="BJ49" s="35" t="n">
        <x:f>IFERROR(BJ46*BJ48/SUMPRODUCT($D46:$DS46,$D48:$DS48),0)</x:f>
        <x:v>0</x:v>
      </x:c>
      <x:c r="BK49" s="35" t="n">
        <x:f>IFERROR(BK46*BK48/SUMPRODUCT($D46:$DS46,$D48:$DS48),0)</x:f>
        <x:v>0</x:v>
      </x:c>
      <x:c r="BL49" s="35" t="n">
        <x:f>IFERROR(BL46*BL48/SUMPRODUCT($D46:$DS46,$D48:$DS48),0)</x:f>
        <x:v>0</x:v>
      </x:c>
      <x:c r="BM49" s="35" t="n">
        <x:f>IFERROR(BM46*BM48/SUMPRODUCT($D46:$DS46,$D48:$DS48),0)</x:f>
        <x:v>0</x:v>
      </x:c>
      <x:c r="BN49" s="35" t="n">
        <x:f>IFERROR(BN46*BN48/SUMPRODUCT($D46:$DS46,$D48:$DS48),0)</x:f>
        <x:v>0</x:v>
      </x:c>
      <x:c r="BO49" s="35" t="n">
        <x:f>IFERROR(BO46*BO48/SUMPRODUCT($D46:$DS46,$D48:$DS48),0)</x:f>
        <x:v>0</x:v>
      </x:c>
      <x:c r="BP49" s="35" t="n">
        <x:f>IFERROR(BP46*BP48/SUMPRODUCT($D46:$DS46,$D48:$DS48),0)</x:f>
        <x:v>0</x:v>
      </x:c>
      <x:c r="BQ49" s="35" t="n">
        <x:f>IFERROR(BQ46*BQ48/SUMPRODUCT($D46:$DS46,$D48:$DS48),0)</x:f>
        <x:v>0</x:v>
      </x:c>
      <x:c r="BR49" s="35" t="n">
        <x:f>IFERROR(BR46*BR48/SUMPRODUCT($D46:$DS46,$D48:$DS48),0)</x:f>
        <x:v>0</x:v>
      </x:c>
      <x:c r="BS49" s="35" t="n">
        <x:f>IFERROR(BS46*BS48/SUMPRODUCT($D46:$DS46,$D48:$DS48),0)</x:f>
        <x:v>0</x:v>
      </x:c>
      <x:c r="BT49" s="35" t="n">
        <x:f>IFERROR(BT46*BT48/SUMPRODUCT($D46:$DS46,$D48:$DS48),0)</x:f>
        <x:v>0</x:v>
      </x:c>
      <x:c r="BU49" s="35" t="n">
        <x:f>IFERROR(BU46*BU48/SUMPRODUCT($D46:$DS46,$D48:$DS48),0)</x:f>
        <x:v>0</x:v>
      </x:c>
      <x:c r="BV49" s="35" t="n">
        <x:f>IFERROR(BV46*BV48/SUMPRODUCT($D46:$DS46,$D48:$DS48),0)</x:f>
        <x:v>0</x:v>
      </x:c>
      <x:c r="BW49" s="35" t="n">
        <x:f>IFERROR(BW46*BW48/SUMPRODUCT($D46:$DS46,$D48:$DS48),0)</x:f>
        <x:v>0</x:v>
      </x:c>
      <x:c r="BX49" s="35" t="n">
        <x:f>IFERROR(BX46*BX48/SUMPRODUCT($D46:$DS46,$D48:$DS48),0)</x:f>
        <x:v>0</x:v>
      </x:c>
      <x:c r="BY49" s="35" t="n">
        <x:f>IFERROR(BY46*BY48/SUMPRODUCT($D46:$DS46,$D48:$DS48),0)</x:f>
        <x:v>0</x:v>
      </x:c>
      <x:c r="BZ49" s="35" t="n">
        <x:f>IFERROR(BZ46*BZ48/SUMPRODUCT($D46:$DS46,$D48:$DS48),0)</x:f>
        <x:v>0</x:v>
      </x:c>
      <x:c r="CA49" s="35" t="n">
        <x:f>IFERROR(CA46*CA48/SUMPRODUCT($D46:$DS46,$D48:$DS48),0)</x:f>
        <x:v>0</x:v>
      </x:c>
      <x:c r="CB49" s="35" t="n">
        <x:f>IFERROR(CB46*CB48/SUMPRODUCT($D46:$DS46,$D48:$DS48),0)</x:f>
        <x:v>0</x:v>
      </x:c>
      <x:c r="CC49" s="35" t="n">
        <x:f>IFERROR(CC46*CC48/SUMPRODUCT($D46:$DS46,$D48:$DS48),0)</x:f>
        <x:v>0</x:v>
      </x:c>
      <x:c r="CD49" s="35" t="n">
        <x:f>IFERROR(CD46*CD48/SUMPRODUCT($D46:$DS46,$D48:$DS48),0)</x:f>
        <x:v>0</x:v>
      </x:c>
      <x:c r="CE49" s="35" t="n">
        <x:f>IFERROR(CE46*CE48/SUMPRODUCT($D46:$DS46,$D48:$DS48),0)</x:f>
        <x:v>0</x:v>
      </x:c>
      <x:c r="CF49" s="35" t="n">
        <x:f>IFERROR(CF46*CF48/SUMPRODUCT($D46:$DS46,$D48:$DS48),0)</x:f>
        <x:v>0</x:v>
      </x:c>
      <x:c r="CG49" s="35" t="n">
        <x:f>IFERROR(CG46*CG48/SUMPRODUCT($D46:$DS46,$D48:$DS48),0)</x:f>
        <x:v>0</x:v>
      </x:c>
      <x:c r="CH49" s="35" t="n">
        <x:f>IFERROR(CH46*CH48/SUMPRODUCT($D46:$DS46,$D48:$DS48),0)</x:f>
        <x:v>0</x:v>
      </x:c>
      <x:c r="CI49" s="35" t="n">
        <x:f>IFERROR(CI46*CI48/SUMPRODUCT($D46:$DS46,$D48:$DS48),0)</x:f>
        <x:v>0</x:v>
      </x:c>
      <x:c r="CJ49" s="35" t="n">
        <x:f>IFERROR(CJ46*CJ48/SUMPRODUCT($D46:$DS46,$D48:$DS48),0)</x:f>
        <x:v>0</x:v>
      </x:c>
      <x:c r="CK49" s="35" t="n">
        <x:f>IFERROR(CK46*CK48/SUMPRODUCT($D46:$DS46,$D48:$DS48),0)</x:f>
        <x:v>0</x:v>
      </x:c>
      <x:c r="CL49" s="35" t="n">
        <x:f>IFERROR(CL46*CL48/SUMPRODUCT($D46:$DS46,$D48:$DS48),0)</x:f>
        <x:v>0</x:v>
      </x:c>
      <x:c r="CM49" s="35" t="n">
        <x:f>IFERROR(CM46*CM48/SUMPRODUCT($D46:$DS46,$D48:$DS48),0)</x:f>
        <x:v>0</x:v>
      </x:c>
      <x:c r="CN49" s="35" t="n">
        <x:f>IFERROR(CN46*CN48/SUMPRODUCT($D46:$DS46,$D48:$DS48),0)</x:f>
        <x:v>0</x:v>
      </x:c>
      <x:c r="CO49" s="35" t="n">
        <x:f>IFERROR(CO46*CO48/SUMPRODUCT($D46:$DS46,$D48:$DS48),0)</x:f>
        <x:v>0</x:v>
      </x:c>
      <x:c r="CP49" s="35" t="n">
        <x:f>IFERROR(CP46*CP48/SUMPRODUCT($D46:$DS46,$D48:$DS48),0)</x:f>
        <x:v>0</x:v>
      </x:c>
      <x:c r="CQ49" s="35" t="n">
        <x:f>IFERROR(CQ46*CQ48/SUMPRODUCT($D46:$DS46,$D48:$DS48),0)</x:f>
        <x:v>0</x:v>
      </x:c>
      <x:c r="CR49" s="35" t="n">
        <x:f>IFERROR(CR46*CR48/SUMPRODUCT($D46:$DS46,$D48:$DS48),0)</x:f>
        <x:v>0</x:v>
      </x:c>
      <x:c r="CS49" s="35" t="n">
        <x:f>IFERROR(CS46*CS48/SUMPRODUCT($D46:$DS46,$D48:$DS48),0)</x:f>
        <x:v>0</x:v>
      </x:c>
      <x:c r="CT49" s="35" t="n">
        <x:f>IFERROR(CT46*CT48/SUMPRODUCT($D46:$DS46,$D48:$DS48),0)</x:f>
        <x:v>0</x:v>
      </x:c>
      <x:c r="CU49" s="35" t="n">
        <x:f>IFERROR(CU46*CU48/SUMPRODUCT($D46:$DS46,$D48:$DS48),0)</x:f>
        <x:v>0</x:v>
      </x:c>
      <x:c r="CV49" s="35" t="n">
        <x:f>IFERROR(CV46*CV48/SUMPRODUCT($D46:$DS46,$D48:$DS48),0)</x:f>
        <x:v>0</x:v>
      </x:c>
      <x:c r="CW49" s="35" t="n">
        <x:f>IFERROR(CW46*CW48/SUMPRODUCT($D46:$DS46,$D48:$DS48),0)</x:f>
        <x:v>0</x:v>
      </x:c>
      <x:c r="CX49" s="35" t="n">
        <x:f>IFERROR(CX46*CX48/SUMPRODUCT($D46:$DS46,$D48:$DS48),0)</x:f>
        <x:v>0</x:v>
      </x:c>
      <x:c r="CY49" s="35" t="n">
        <x:f>IFERROR(CY46*CY48/SUMPRODUCT($D46:$DS46,$D48:$DS48),0)</x:f>
        <x:v>0</x:v>
      </x:c>
      <x:c r="CZ49" s="35" t="n">
        <x:f>IFERROR(CZ46*CZ48/SUMPRODUCT($D46:$DS46,$D48:$DS48),0)</x:f>
        <x:v>0</x:v>
      </x:c>
      <x:c r="DA49" s="35" t="n">
        <x:f>IFERROR(DA46*DA48/SUMPRODUCT($D46:$DS46,$D48:$DS48),0)</x:f>
        <x:v>0</x:v>
      </x:c>
      <x:c r="DB49" s="35" t="n">
        <x:f>IFERROR(DB46*DB48/SUMPRODUCT($D46:$DS46,$D48:$DS48),0)</x:f>
        <x:v>0</x:v>
      </x:c>
      <x:c r="DC49" s="35" t="n">
        <x:f>IFERROR(DC46*DC48/SUMPRODUCT($D46:$DS46,$D48:$DS48),0)</x:f>
        <x:v>0</x:v>
      </x:c>
      <x:c r="DD49" s="35" t="n">
        <x:f>IFERROR(DD46*DD48/SUMPRODUCT($D46:$DS46,$D48:$DS48),0)</x:f>
        <x:v>0</x:v>
      </x:c>
      <x:c r="DE49" s="35" t="n">
        <x:f>IFERROR(DE46*DE48/SUMPRODUCT($D46:$DS46,$D48:$DS48),0)</x:f>
        <x:v>0</x:v>
      </x:c>
      <x:c r="DF49" s="35" t="n">
        <x:f>IFERROR(DF46*DF48/SUMPRODUCT($D46:$DS46,$D48:$DS48),0)</x:f>
        <x:v>0</x:v>
      </x:c>
      <x:c r="DG49" s="35" t="n">
        <x:f>IFERROR(DG46*DG48/SUMPRODUCT($D46:$DS46,$D48:$DS48),0)</x:f>
        <x:v>0</x:v>
      </x:c>
      <x:c r="DH49" s="35" t="n">
        <x:f>IFERROR(DH46*DH48/SUMPRODUCT($D46:$DS46,$D48:$DS48),0)</x:f>
        <x:v>0</x:v>
      </x:c>
      <x:c r="DI49" s="35" t="n">
        <x:f>IFERROR(DI46*DI48/SUMPRODUCT($D46:$DS46,$D48:$DS48),0)</x:f>
        <x:v>0</x:v>
      </x:c>
      <x:c r="DJ49" s="35" t="n">
        <x:f>IFERROR(DJ46*DJ48/SUMPRODUCT($D46:$DS46,$D48:$DS48),0)</x:f>
        <x:v>0</x:v>
      </x:c>
      <x:c r="DK49" s="35" t="n">
        <x:f>IFERROR(DK46*DK48/SUMPRODUCT($D46:$DS46,$D48:$DS48),0)</x:f>
        <x:v>0</x:v>
      </x:c>
      <x:c r="DL49" s="35" t="n">
        <x:f>IFERROR(DL46*DL48/SUMPRODUCT($D46:$DS46,$D48:$DS48),0)</x:f>
        <x:v>0</x:v>
      </x:c>
      <x:c r="DM49" s="35" t="n">
        <x:f>IFERROR(DM46*DM48/SUMPRODUCT($D46:$DS46,$D48:$DS48),0)</x:f>
        <x:v>0</x:v>
      </x:c>
      <x:c r="DN49" s="35" t="n">
        <x:f>IFERROR(DN46*DN48/SUMPRODUCT($D46:$DS46,$D48:$DS48),0)</x:f>
        <x:v>0</x:v>
      </x:c>
      <x:c r="DO49" s="35" t="n">
        <x:f>IFERROR(DO46*DO48/SUMPRODUCT($D46:$DS46,$D48:$DS48),0)</x:f>
        <x:v>0</x:v>
      </x:c>
      <x:c r="DP49" s="35" t="n">
        <x:f>IFERROR(DP46*DP48/SUMPRODUCT($D46:$DS46,$D48:$DS48),0)</x:f>
        <x:v>0</x:v>
      </x:c>
      <x:c r="DQ49" s="35" t="n">
        <x:f>IFERROR(DQ46*DQ48/SUMPRODUCT($D46:$DS46,$D48:$DS48),0)</x:f>
        <x:v>0</x:v>
      </x:c>
      <x:c r="DR49" s="35" t="n">
        <x:f>IFERROR(DR46*DR48/SUMPRODUCT($D46:$DS46,$D48:$DS48),0)</x:f>
        <x:v>0</x:v>
      </x:c>
      <x:c r="DS49" s="35" t="n">
        <x:f>IFERROR(DS46*DS48/SUMPRODUCT($D46:$DS46,$D48:$DS48),0)</x:f>
        <x:v>0</x:v>
      </x:c>
    </x:row>
    <x:row r="50">
      <x:c r="A50" t="str">
        <x:v>Реализованный объём</x:v>
      </x:c>
      <x:c r="B50" s="132" t="n">
        <x:f>SUM(D50:DS50)</x:f>
        <x:v>0</x:v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  <x:v>0</x:v>
      </x:c>
      <x:c r="E50" s="132" t="n">
        <x:f>$B$41*((IF(SUM($D45:$DS45)=0,0,IF(SUM($D48:$DS48)=0,1,'Вводные'!$K$52)))*E47+(1-(IF(SUM($D45:$DS45)=0,0,IF(SUM($D48:$DS48)=0,1,'Вводные'!$K$52))))*E49)</x:f>
        <x:v>0</x:v>
      </x:c>
      <x:c r="F50" s="132" t="n">
        <x:f>$B$41*((IF(SUM($D45:$DS45)=0,0,IF(SUM($D48:$DS48)=0,1,'Вводные'!$K$52)))*F47+(1-(IF(SUM($D45:$DS45)=0,0,IF(SUM($D48:$DS48)=0,1,'Вводные'!$K$52))))*F49)</x:f>
        <x:v>0</x:v>
      </x:c>
      <x:c r="G50" s="132" t="n">
        <x:f>$B$41*((IF(SUM($D45:$DS45)=0,0,IF(SUM($D48:$DS48)=0,1,'Вводные'!$K$52)))*G47+(1-(IF(SUM($D45:$DS45)=0,0,IF(SUM($D48:$DS48)=0,1,'Вводные'!$K$52))))*G49)</x:f>
        <x:v>0</x:v>
      </x:c>
      <x:c r="H50" s="132" t="n">
        <x:f>$B$41*((IF(SUM($D45:$DS45)=0,0,IF(SUM($D48:$DS48)=0,1,'Вводные'!$K$52)))*H47+(1-(IF(SUM($D45:$DS45)=0,0,IF(SUM($D48:$DS48)=0,1,'Вводные'!$K$52))))*H49)</x:f>
        <x:v>0</x:v>
      </x:c>
      <x:c r="I50" s="132" t="n">
        <x:f>$B$41*((IF(SUM($D45:$DS45)=0,0,IF(SUM($D48:$DS48)=0,1,'Вводные'!$K$52)))*I47+(1-(IF(SUM($D45:$DS45)=0,0,IF(SUM($D48:$DS48)=0,1,'Вводные'!$K$52))))*I49)</x:f>
        <x:v>0</x:v>
      </x:c>
      <x:c r="J50" s="132" t="n">
        <x:f>$B$41*((IF(SUM($D45:$DS45)=0,0,IF(SUM($D48:$DS48)=0,1,'Вводные'!$K$52)))*J47+(1-(IF(SUM($D45:$DS45)=0,0,IF(SUM($D48:$DS48)=0,1,'Вводные'!$K$52))))*J49)</x:f>
        <x:v>0</x:v>
      </x:c>
      <x:c r="K50" s="132" t="n">
        <x:f>$B$41*((IF(SUM($D45:$DS45)=0,0,IF(SUM($D48:$DS48)=0,1,'Вводные'!$K$52)))*K47+(1-(IF(SUM($D45:$DS45)=0,0,IF(SUM($D48:$DS48)=0,1,'Вводные'!$K$52))))*K49)</x:f>
        <x:v>0</x:v>
      </x:c>
      <x:c r="L50" s="132" t="n">
        <x:f>$B$41*((IF(SUM($D45:$DS45)=0,0,IF(SUM($D48:$DS48)=0,1,'Вводные'!$K$52)))*L47+(1-(IF(SUM($D45:$DS45)=0,0,IF(SUM($D48:$DS48)=0,1,'Вводные'!$K$52))))*L49)</x:f>
        <x:v>0</x:v>
      </x:c>
      <x:c r="M50" s="132" t="n">
        <x:f>$B$41*((IF(SUM($D45:$DS45)=0,0,IF(SUM($D48:$DS48)=0,1,'Вводные'!$K$52)))*M47+(1-(IF(SUM($D45:$DS45)=0,0,IF(SUM($D48:$DS48)=0,1,'Вводные'!$K$52))))*M49)</x:f>
        <x:v>0</x:v>
      </x:c>
      <x:c r="N50" s="132" t="n">
        <x:f>$B$41*((IF(SUM($D45:$DS45)=0,0,IF(SUM($D48:$DS48)=0,1,'Вводные'!$K$52)))*N47+(1-(IF(SUM($D45:$DS45)=0,0,IF(SUM($D48:$DS48)=0,1,'Вводные'!$K$52))))*N49)</x:f>
        <x:v>0</x:v>
      </x:c>
      <x:c r="O50" s="132" t="n">
        <x:f>$B$41*((IF(SUM($D45:$DS45)=0,0,IF(SUM($D48:$DS48)=0,1,'Вводные'!$K$52)))*O47+(1-(IF(SUM($D45:$DS45)=0,0,IF(SUM($D48:$DS48)=0,1,'Вводные'!$K$52))))*O49)</x:f>
        <x:v>0</x:v>
      </x:c>
      <x:c r="P50" s="132" t="n">
        <x:f>$B$41*((IF(SUM($D45:$DS45)=0,0,IF(SUM($D48:$DS48)=0,1,'Вводные'!$K$52)))*P47+(1-(IF(SUM($D45:$DS45)=0,0,IF(SUM($D48:$DS48)=0,1,'Вводные'!$K$52))))*P49)</x:f>
        <x:v>0</x:v>
      </x:c>
      <x:c r="Q50" s="132" t="n">
        <x:f>$B$41*((IF(SUM($D45:$DS45)=0,0,IF(SUM($D48:$DS48)=0,1,'Вводные'!$K$52)))*Q47+(1-(IF(SUM($D45:$DS45)=0,0,IF(SUM($D48:$DS48)=0,1,'Вводные'!$K$52))))*Q49)</x:f>
        <x:v>0</x:v>
      </x:c>
      <x:c r="R50" s="132" t="n">
        <x:f>$B$41*((IF(SUM($D45:$DS45)=0,0,IF(SUM($D48:$DS48)=0,1,'Вводные'!$K$52)))*R47+(1-(IF(SUM($D45:$DS45)=0,0,IF(SUM($D48:$DS48)=0,1,'Вводные'!$K$52))))*R49)</x:f>
        <x:v>0</x:v>
      </x:c>
      <x:c r="S50" s="132" t="n">
        <x:f>$B$41*((IF(SUM($D45:$DS45)=0,0,IF(SUM($D48:$DS48)=0,1,'Вводные'!$K$52)))*S47+(1-(IF(SUM($D45:$DS45)=0,0,IF(SUM($D48:$DS48)=0,1,'Вводные'!$K$52))))*S49)</x:f>
        <x:v>0</x:v>
      </x:c>
      <x:c r="T50" s="132" t="n">
        <x:f>$B$41*((IF(SUM($D45:$DS45)=0,0,IF(SUM($D48:$DS48)=0,1,'Вводные'!$K$52)))*T47+(1-(IF(SUM($D45:$DS45)=0,0,IF(SUM($D48:$DS48)=0,1,'Вводные'!$K$52))))*T49)</x:f>
        <x:v>0</x:v>
      </x:c>
      <x:c r="U50" s="132" t="n">
        <x:f>$B$41*((IF(SUM($D45:$DS45)=0,0,IF(SUM($D48:$DS48)=0,1,'Вводные'!$K$52)))*U47+(1-(IF(SUM($D45:$DS45)=0,0,IF(SUM($D48:$DS48)=0,1,'Вводные'!$K$52))))*U49)</x:f>
        <x:v>0</x:v>
      </x:c>
      <x:c r="V50" s="132" t="n">
        <x:f>$B$41*((IF(SUM($D45:$DS45)=0,0,IF(SUM($D48:$DS48)=0,1,'Вводные'!$K$52)))*V47+(1-(IF(SUM($D45:$DS45)=0,0,IF(SUM($D48:$DS48)=0,1,'Вводные'!$K$52))))*V49)</x:f>
        <x:v>0</x:v>
      </x:c>
      <x:c r="W50" s="132" t="n">
        <x:f>$B$41*((IF(SUM($D45:$DS45)=0,0,IF(SUM($D48:$DS48)=0,1,'Вводные'!$K$52)))*W47+(1-(IF(SUM($D45:$DS45)=0,0,IF(SUM($D48:$DS48)=0,1,'Вводные'!$K$52))))*W49)</x:f>
        <x:v>0</x:v>
      </x:c>
      <x:c r="X50" s="132" t="n">
        <x:f>$B$41*((IF(SUM($D45:$DS45)=0,0,IF(SUM($D48:$DS48)=0,1,'Вводные'!$K$52)))*X47+(1-(IF(SUM($D45:$DS45)=0,0,IF(SUM($D48:$DS48)=0,1,'Вводные'!$K$52))))*X49)</x:f>
        <x:v>0</x:v>
      </x:c>
      <x:c r="Y50" s="132" t="n">
        <x:f>$B$41*((IF(SUM($D45:$DS45)=0,0,IF(SUM($D48:$DS48)=0,1,'Вводные'!$K$52)))*Y47+(1-(IF(SUM($D45:$DS45)=0,0,IF(SUM($D48:$DS48)=0,1,'Вводные'!$K$52))))*Y49)</x:f>
        <x:v>0</x:v>
      </x:c>
      <x:c r="Z50" s="132" t="n">
        <x:f>$B$41*((IF(SUM($D45:$DS45)=0,0,IF(SUM($D48:$DS48)=0,1,'Вводные'!$K$52)))*Z47+(1-(IF(SUM($D45:$DS45)=0,0,IF(SUM($D48:$DS48)=0,1,'Вводные'!$K$52))))*Z49)</x:f>
        <x:v>0</x:v>
      </x:c>
      <x:c r="AA50" s="132" t="n">
        <x:f>$B$41*((IF(SUM($D45:$DS45)=0,0,IF(SUM($D48:$DS48)=0,1,'Вводные'!$K$52)))*AA47+(1-(IF(SUM($D45:$DS45)=0,0,IF(SUM($D48:$DS48)=0,1,'Вводные'!$K$52))))*AA49)</x:f>
        <x:v>0</x:v>
      </x:c>
      <x:c r="AB50" s="132" t="n">
        <x:f>$B$41*((IF(SUM($D45:$DS45)=0,0,IF(SUM($D48:$DS48)=0,1,'Вводные'!$K$52)))*AB47+(1-(IF(SUM($D45:$DS45)=0,0,IF(SUM($D48:$DS48)=0,1,'Вводные'!$K$52))))*AB49)</x:f>
        <x:v>0</x:v>
      </x:c>
      <x:c r="AC50" s="132" t="n">
        <x:f>$B$41*((IF(SUM($D45:$DS45)=0,0,IF(SUM($D48:$DS48)=0,1,'Вводные'!$K$52)))*AC47+(1-(IF(SUM($D45:$DS45)=0,0,IF(SUM($D48:$DS48)=0,1,'Вводные'!$K$52))))*AC49)</x:f>
        <x:v>0</x:v>
      </x:c>
      <x:c r="AD50" s="132" t="n">
        <x:f>$B$41*((IF(SUM($D45:$DS45)=0,0,IF(SUM($D48:$DS48)=0,1,'Вводные'!$K$52)))*AD47+(1-(IF(SUM($D45:$DS45)=0,0,IF(SUM($D48:$DS48)=0,1,'Вводные'!$K$52))))*AD49)</x:f>
        <x:v>0</x:v>
      </x:c>
      <x:c r="AE50" s="132" t="n">
        <x:f>$B$41*((IF(SUM($D45:$DS45)=0,0,IF(SUM($D48:$DS48)=0,1,'Вводные'!$K$52)))*AE47+(1-(IF(SUM($D45:$DS45)=0,0,IF(SUM($D48:$DS48)=0,1,'Вводные'!$K$52))))*AE49)</x:f>
        <x:v>0</x:v>
      </x:c>
      <x:c r="AF50" s="132" t="n">
        <x:f>$B$41*((IF(SUM($D45:$DS45)=0,0,IF(SUM($D48:$DS48)=0,1,'Вводные'!$K$52)))*AF47+(1-(IF(SUM($D45:$DS45)=0,0,IF(SUM($D48:$DS48)=0,1,'Вводные'!$K$52))))*AF49)</x:f>
        <x:v>0</x:v>
      </x:c>
      <x:c r="AG50" s="132" t="n">
        <x:f>$B$41*((IF(SUM($D45:$DS45)=0,0,IF(SUM($D48:$DS48)=0,1,'Вводные'!$K$52)))*AG47+(1-(IF(SUM($D45:$DS45)=0,0,IF(SUM($D48:$DS48)=0,1,'Вводные'!$K$52))))*AG49)</x:f>
        <x:v>0</x:v>
      </x:c>
      <x:c r="AH50" s="132" t="n">
        <x:f>$B$41*((IF(SUM($D45:$DS45)=0,0,IF(SUM($D48:$DS48)=0,1,'Вводные'!$K$52)))*AH47+(1-(IF(SUM($D45:$DS45)=0,0,IF(SUM($D48:$DS48)=0,1,'Вводные'!$K$52))))*AH49)</x:f>
        <x:v>0</x:v>
      </x:c>
      <x:c r="AI50" s="132" t="n">
        <x:f>$B$41*((IF(SUM($D45:$DS45)=0,0,IF(SUM($D48:$DS48)=0,1,'Вводные'!$K$52)))*AI47+(1-(IF(SUM($D45:$DS45)=0,0,IF(SUM($D48:$DS48)=0,1,'Вводные'!$K$52))))*AI49)</x:f>
        <x:v>0</x:v>
      </x:c>
      <x:c r="AJ50" s="132" t="n">
        <x:f>$B$41*((IF(SUM($D45:$DS45)=0,0,IF(SUM($D48:$DS48)=0,1,'Вводные'!$K$52)))*AJ47+(1-(IF(SUM($D45:$DS45)=0,0,IF(SUM($D48:$DS48)=0,1,'Вводные'!$K$52))))*AJ49)</x:f>
        <x:v>0</x:v>
      </x:c>
      <x:c r="AK50" s="132" t="n">
        <x:f>$B$41*((IF(SUM($D45:$DS45)=0,0,IF(SUM($D48:$DS48)=0,1,'Вводные'!$K$52)))*AK47+(1-(IF(SUM($D45:$DS45)=0,0,IF(SUM($D48:$DS48)=0,1,'Вводные'!$K$52))))*AK49)</x:f>
        <x:v>0</x:v>
      </x:c>
      <x:c r="AL50" s="132" t="n">
        <x:f>$B$41*((IF(SUM($D45:$DS45)=0,0,IF(SUM($D48:$DS48)=0,1,'Вводные'!$K$52)))*AL47+(1-(IF(SUM($D45:$DS45)=0,0,IF(SUM($D48:$DS48)=0,1,'Вводные'!$K$52))))*AL49)</x:f>
        <x:v>0</x:v>
      </x:c>
      <x:c r="AM50" s="132" t="n">
        <x:f>$B$41*((IF(SUM($D45:$DS45)=0,0,IF(SUM($D48:$DS48)=0,1,'Вводные'!$K$52)))*AM47+(1-(IF(SUM($D45:$DS45)=0,0,IF(SUM($D48:$DS48)=0,1,'Вводные'!$K$52))))*AM49)</x:f>
        <x:v>0</x:v>
      </x:c>
      <x:c r="AN50" s="132" t="n">
        <x:f>$B$41*((IF(SUM($D45:$DS45)=0,0,IF(SUM($D48:$DS48)=0,1,'Вводные'!$K$52)))*AN47+(1-(IF(SUM($D45:$DS45)=0,0,IF(SUM($D48:$DS48)=0,1,'Вводные'!$K$52))))*AN49)</x:f>
        <x:v>0</x:v>
      </x:c>
      <x:c r="AO50" s="132" t="n">
        <x:f>$B$41*((IF(SUM($D45:$DS45)=0,0,IF(SUM($D48:$DS48)=0,1,'Вводные'!$K$52)))*AO47+(1-(IF(SUM($D45:$DS45)=0,0,IF(SUM($D48:$DS48)=0,1,'Вводные'!$K$52))))*AO49)</x:f>
        <x:v>0</x:v>
      </x:c>
      <x:c r="AP50" s="132" t="n">
        <x:f>$B$41*((IF(SUM($D45:$DS45)=0,0,IF(SUM($D48:$DS48)=0,1,'Вводные'!$K$52)))*AP47+(1-(IF(SUM($D45:$DS45)=0,0,IF(SUM($D48:$DS48)=0,1,'Вводные'!$K$52))))*AP49)</x:f>
        <x:v>0</x:v>
      </x:c>
      <x:c r="AQ50" s="132" t="n">
        <x:f>$B$41*((IF(SUM($D45:$DS45)=0,0,IF(SUM($D48:$DS48)=0,1,'Вводные'!$K$52)))*AQ47+(1-(IF(SUM($D45:$DS45)=0,0,IF(SUM($D48:$DS48)=0,1,'Вводные'!$K$52))))*AQ49)</x:f>
        <x:v>0</x:v>
      </x:c>
      <x:c r="AR50" s="132" t="n">
        <x:f>$B$41*((IF(SUM($D45:$DS45)=0,0,IF(SUM($D48:$DS48)=0,1,'Вводные'!$K$52)))*AR47+(1-(IF(SUM($D45:$DS45)=0,0,IF(SUM($D48:$DS48)=0,1,'Вводные'!$K$52))))*AR49)</x:f>
        <x:v>0</x:v>
      </x:c>
      <x:c r="AS50" s="132" t="n">
        <x:f>$B$41*((IF(SUM($D45:$DS45)=0,0,IF(SUM($D48:$DS48)=0,1,'Вводные'!$K$52)))*AS47+(1-(IF(SUM($D45:$DS45)=0,0,IF(SUM($D48:$DS48)=0,1,'Вводные'!$K$52))))*AS49)</x:f>
        <x:v>0</x:v>
      </x:c>
      <x:c r="AT50" s="132" t="n">
        <x:f>$B$41*((IF(SUM($D45:$DS45)=0,0,IF(SUM($D48:$DS48)=0,1,'Вводные'!$K$52)))*AT47+(1-(IF(SUM($D45:$DS45)=0,0,IF(SUM($D48:$DS48)=0,1,'Вводные'!$K$52))))*AT49)</x:f>
        <x:v>0</x:v>
      </x:c>
      <x:c r="AU50" s="132" t="n">
        <x:f>$B$41*((IF(SUM($D45:$DS45)=0,0,IF(SUM($D48:$DS48)=0,1,'Вводные'!$K$52)))*AU47+(1-(IF(SUM($D45:$DS45)=0,0,IF(SUM($D48:$DS48)=0,1,'Вводные'!$K$52))))*AU49)</x:f>
        <x:v>0</x:v>
      </x:c>
      <x:c r="AV50" s="132" t="n">
        <x:f>$B$41*((IF(SUM($D45:$DS45)=0,0,IF(SUM($D48:$DS48)=0,1,'Вводные'!$K$52)))*AV47+(1-(IF(SUM($D45:$DS45)=0,0,IF(SUM($D48:$DS48)=0,1,'Вводные'!$K$52))))*AV49)</x:f>
        <x:v>0</x:v>
      </x:c>
      <x:c r="AW50" s="132" t="n">
        <x:f>$B$41*((IF(SUM($D45:$DS45)=0,0,IF(SUM($D48:$DS48)=0,1,'Вводные'!$K$52)))*AW47+(1-(IF(SUM($D45:$DS45)=0,0,IF(SUM($D48:$DS48)=0,1,'Вводные'!$K$52))))*AW49)</x:f>
        <x:v>0</x:v>
      </x:c>
      <x:c r="AX50" s="132" t="n">
        <x:f>$B$41*((IF(SUM($D45:$DS45)=0,0,IF(SUM($D48:$DS48)=0,1,'Вводные'!$K$52)))*AX47+(1-(IF(SUM($D45:$DS45)=0,0,IF(SUM($D48:$DS48)=0,1,'Вводные'!$K$52))))*AX49)</x:f>
        <x:v>0</x:v>
      </x:c>
      <x:c r="AY50" s="132" t="n">
        <x:f>$B$41*((IF(SUM($D45:$DS45)=0,0,IF(SUM($D48:$DS48)=0,1,'Вводные'!$K$52)))*AY47+(1-(IF(SUM($D45:$DS45)=0,0,IF(SUM($D48:$DS48)=0,1,'Вводные'!$K$52))))*AY49)</x:f>
        <x:v>0</x:v>
      </x:c>
      <x:c r="AZ50" s="132" t="n">
        <x:f>$B$41*((IF(SUM($D45:$DS45)=0,0,IF(SUM($D48:$DS48)=0,1,'Вводные'!$K$52)))*AZ47+(1-(IF(SUM($D45:$DS45)=0,0,IF(SUM($D48:$DS48)=0,1,'Вводные'!$K$52))))*AZ49)</x:f>
        <x:v>0</x:v>
      </x:c>
      <x:c r="BA50" s="132" t="n">
        <x:f>$B$41*((IF(SUM($D45:$DS45)=0,0,IF(SUM($D48:$DS48)=0,1,'Вводные'!$K$52)))*BA47+(1-(IF(SUM($D45:$DS45)=0,0,IF(SUM($D48:$DS48)=0,1,'Вводные'!$K$52))))*BA49)</x:f>
        <x:v>0</x:v>
      </x:c>
      <x:c r="BB50" s="132" t="n">
        <x:f>$B$41*((IF(SUM($D45:$DS45)=0,0,IF(SUM($D48:$DS48)=0,1,'Вводные'!$K$52)))*BB47+(1-(IF(SUM($D45:$DS45)=0,0,IF(SUM($D48:$DS48)=0,1,'Вводные'!$K$52))))*BB49)</x:f>
        <x:v>0</x:v>
      </x:c>
      <x:c r="BC50" s="132" t="n">
        <x:f>$B$41*((IF(SUM($D45:$DS45)=0,0,IF(SUM($D48:$DS48)=0,1,'Вводные'!$K$52)))*BC47+(1-(IF(SUM($D45:$DS45)=0,0,IF(SUM($D48:$DS48)=0,1,'Вводные'!$K$52))))*BC49)</x:f>
        <x:v>0</x:v>
      </x:c>
      <x:c r="BD50" s="132" t="n">
        <x:f>$B$41*((IF(SUM($D45:$DS45)=0,0,IF(SUM($D48:$DS48)=0,1,'Вводные'!$K$52)))*BD47+(1-(IF(SUM($D45:$DS45)=0,0,IF(SUM($D48:$DS48)=0,1,'Вводные'!$K$52))))*BD49)</x:f>
        <x:v>0</x:v>
      </x:c>
      <x:c r="BE50" s="132" t="n">
        <x:f>$B$41*((IF(SUM($D45:$DS45)=0,0,IF(SUM($D48:$DS48)=0,1,'Вводные'!$K$52)))*BE47+(1-(IF(SUM($D45:$DS45)=0,0,IF(SUM($D48:$DS48)=0,1,'Вводные'!$K$52))))*BE49)</x:f>
        <x:v>0</x:v>
      </x:c>
      <x:c r="BF50" s="132" t="n">
        <x:f>$B$41*((IF(SUM($D45:$DS45)=0,0,IF(SUM($D48:$DS48)=0,1,'Вводные'!$K$52)))*BF47+(1-(IF(SUM($D45:$DS45)=0,0,IF(SUM($D48:$DS48)=0,1,'Вводные'!$K$52))))*BF49)</x:f>
        <x:v>0</x:v>
      </x:c>
      <x:c r="BG50" s="132" t="n">
        <x:f>$B$41*((IF(SUM($D45:$DS45)=0,0,IF(SUM($D48:$DS48)=0,1,'Вводные'!$K$52)))*BG47+(1-(IF(SUM($D45:$DS45)=0,0,IF(SUM($D48:$DS48)=0,1,'Вводные'!$K$52))))*BG49)</x:f>
        <x:v>0</x:v>
      </x:c>
      <x:c r="BH50" s="132" t="n">
        <x:f>$B$41*((IF(SUM($D45:$DS45)=0,0,IF(SUM($D48:$DS48)=0,1,'Вводные'!$K$52)))*BH47+(1-(IF(SUM($D45:$DS45)=0,0,IF(SUM($D48:$DS48)=0,1,'Вводные'!$K$52))))*BH49)</x:f>
        <x:v>0</x:v>
      </x:c>
      <x:c r="BI50" s="132" t="n">
        <x:f>$B$41*((IF(SUM($D45:$DS45)=0,0,IF(SUM($D48:$DS48)=0,1,'Вводные'!$K$52)))*BI47+(1-(IF(SUM($D45:$DS45)=0,0,IF(SUM($D48:$DS48)=0,1,'Вводные'!$K$52))))*BI49)</x:f>
        <x:v>0</x:v>
      </x:c>
      <x:c r="BJ50" s="132" t="n">
        <x:f>$B$41*((IF(SUM($D45:$DS45)=0,0,IF(SUM($D48:$DS48)=0,1,'Вводные'!$K$52)))*BJ47+(1-(IF(SUM($D45:$DS45)=0,0,IF(SUM($D48:$DS48)=0,1,'Вводные'!$K$52))))*BJ49)</x:f>
        <x:v>0</x:v>
      </x:c>
      <x:c r="BK50" s="132" t="n">
        <x:f>$B$41*((IF(SUM($D45:$DS45)=0,0,IF(SUM($D48:$DS48)=0,1,'Вводные'!$K$52)))*BK47+(1-(IF(SUM($D45:$DS45)=0,0,IF(SUM($D48:$DS48)=0,1,'Вводные'!$K$52))))*BK49)</x:f>
        <x:v>0</x:v>
      </x:c>
      <x:c r="BL50" s="132" t="n">
        <x:f>$B$41*((IF(SUM($D45:$DS45)=0,0,IF(SUM($D48:$DS48)=0,1,'Вводные'!$K$52)))*BL47+(1-(IF(SUM($D45:$DS45)=0,0,IF(SUM($D48:$DS48)=0,1,'Вводные'!$K$52))))*BL49)</x:f>
        <x:v>0</x:v>
      </x:c>
      <x:c r="BM50" s="132" t="n">
        <x:f>$B$41*((IF(SUM($D45:$DS45)=0,0,IF(SUM($D48:$DS48)=0,1,'Вводные'!$K$52)))*BM47+(1-(IF(SUM($D45:$DS45)=0,0,IF(SUM($D48:$DS48)=0,1,'Вводные'!$K$52))))*BM49)</x:f>
        <x:v>0</x:v>
      </x:c>
      <x:c r="BN50" s="132" t="n">
        <x:f>$B$41*((IF(SUM($D45:$DS45)=0,0,IF(SUM($D48:$DS48)=0,1,'Вводные'!$K$52)))*BN47+(1-(IF(SUM($D45:$DS45)=0,0,IF(SUM($D48:$DS48)=0,1,'Вводные'!$K$52))))*BN49)</x:f>
        <x:v>0</x:v>
      </x:c>
      <x:c r="BO50" s="132" t="n">
        <x:f>$B$41*((IF(SUM($D45:$DS45)=0,0,IF(SUM($D48:$DS48)=0,1,'Вводные'!$K$52)))*BO47+(1-(IF(SUM($D45:$DS45)=0,0,IF(SUM($D48:$DS48)=0,1,'Вводные'!$K$52))))*BO49)</x:f>
        <x:v>0</x:v>
      </x:c>
      <x:c r="BP50" s="132" t="n">
        <x:f>$B$41*((IF(SUM($D45:$DS45)=0,0,IF(SUM($D48:$DS48)=0,1,'Вводные'!$K$52)))*BP47+(1-(IF(SUM($D45:$DS45)=0,0,IF(SUM($D48:$DS48)=0,1,'Вводные'!$K$52))))*BP49)</x:f>
        <x:v>0</x:v>
      </x:c>
      <x:c r="BQ50" s="132" t="n">
        <x:f>$B$41*((IF(SUM($D45:$DS45)=0,0,IF(SUM($D48:$DS48)=0,1,'Вводные'!$K$52)))*BQ47+(1-(IF(SUM($D45:$DS45)=0,0,IF(SUM($D48:$DS48)=0,1,'Вводные'!$K$52))))*BQ49)</x:f>
        <x:v>0</x:v>
      </x:c>
      <x:c r="BR50" s="132" t="n">
        <x:f>$B$41*((IF(SUM($D45:$DS45)=0,0,IF(SUM($D48:$DS48)=0,1,'Вводные'!$K$52)))*BR47+(1-(IF(SUM($D45:$DS45)=0,0,IF(SUM($D48:$DS48)=0,1,'Вводные'!$K$52))))*BR49)</x:f>
        <x:v>0</x:v>
      </x:c>
      <x:c r="BS50" s="132" t="n">
        <x:f>$B$41*((IF(SUM($D45:$DS45)=0,0,IF(SUM($D48:$DS48)=0,1,'Вводные'!$K$52)))*BS47+(1-(IF(SUM($D45:$DS45)=0,0,IF(SUM($D48:$DS48)=0,1,'Вводные'!$K$52))))*BS49)</x:f>
        <x:v>0</x:v>
      </x:c>
      <x:c r="BT50" s="132" t="n">
        <x:f>$B$41*((IF(SUM($D45:$DS45)=0,0,IF(SUM($D48:$DS48)=0,1,'Вводные'!$K$52)))*BT47+(1-(IF(SUM($D45:$DS45)=0,0,IF(SUM($D48:$DS48)=0,1,'Вводные'!$K$52))))*BT49)</x:f>
        <x:v>0</x:v>
      </x:c>
      <x:c r="BU50" s="132" t="n">
        <x:f>$B$41*((IF(SUM($D45:$DS45)=0,0,IF(SUM($D48:$DS48)=0,1,'Вводные'!$K$52)))*BU47+(1-(IF(SUM($D45:$DS45)=0,0,IF(SUM($D48:$DS48)=0,1,'Вводные'!$K$52))))*BU49)</x:f>
        <x:v>0</x:v>
      </x:c>
      <x:c r="BV50" s="132" t="n">
        <x:f>$B$41*((IF(SUM($D45:$DS45)=0,0,IF(SUM($D48:$DS48)=0,1,'Вводные'!$K$52)))*BV47+(1-(IF(SUM($D45:$DS45)=0,0,IF(SUM($D48:$DS48)=0,1,'Вводные'!$K$52))))*BV49)</x:f>
        <x:v>0</x:v>
      </x:c>
      <x:c r="BW50" s="132" t="n">
        <x:f>$B$41*((IF(SUM($D45:$DS45)=0,0,IF(SUM($D48:$DS48)=0,1,'Вводные'!$K$52)))*BW47+(1-(IF(SUM($D45:$DS45)=0,0,IF(SUM($D48:$DS48)=0,1,'Вводные'!$K$52))))*BW49)</x:f>
        <x:v>0</x:v>
      </x:c>
      <x:c r="BX50" s="132" t="n">
        <x:f>$B$41*((IF(SUM($D45:$DS45)=0,0,IF(SUM($D48:$DS48)=0,1,'Вводные'!$K$52)))*BX47+(1-(IF(SUM($D45:$DS45)=0,0,IF(SUM($D48:$DS48)=0,1,'Вводные'!$K$52))))*BX49)</x:f>
        <x:v>0</x:v>
      </x:c>
      <x:c r="BY50" s="132" t="n">
        <x:f>$B$41*((IF(SUM($D45:$DS45)=0,0,IF(SUM($D48:$DS48)=0,1,'Вводные'!$K$52)))*BY47+(1-(IF(SUM($D45:$DS45)=0,0,IF(SUM($D48:$DS48)=0,1,'Вводные'!$K$52))))*BY49)</x:f>
        <x:v>0</x:v>
      </x:c>
      <x:c r="BZ50" s="132" t="n">
        <x:f>$B$41*((IF(SUM($D45:$DS45)=0,0,IF(SUM($D48:$DS48)=0,1,'Вводные'!$K$52)))*BZ47+(1-(IF(SUM($D45:$DS45)=0,0,IF(SUM($D48:$DS48)=0,1,'Вводные'!$K$52))))*BZ49)</x:f>
        <x:v>0</x:v>
      </x:c>
      <x:c r="CA50" s="132" t="n">
        <x:f>$B$41*((IF(SUM($D45:$DS45)=0,0,IF(SUM($D48:$DS48)=0,1,'Вводные'!$K$52)))*CA47+(1-(IF(SUM($D45:$DS45)=0,0,IF(SUM($D48:$DS48)=0,1,'Вводные'!$K$52))))*CA49)</x:f>
        <x:v>0</x:v>
      </x:c>
      <x:c r="CB50" s="132" t="n">
        <x:f>$B$41*((IF(SUM($D45:$DS45)=0,0,IF(SUM($D48:$DS48)=0,1,'Вводные'!$K$52)))*CB47+(1-(IF(SUM($D45:$DS45)=0,0,IF(SUM($D48:$DS48)=0,1,'Вводные'!$K$52))))*CB49)</x:f>
        <x:v>0</x:v>
      </x:c>
      <x:c r="CC50" s="132" t="n">
        <x:f>$B$41*((IF(SUM($D45:$DS45)=0,0,IF(SUM($D48:$DS48)=0,1,'Вводные'!$K$52)))*CC47+(1-(IF(SUM($D45:$DS45)=0,0,IF(SUM($D48:$DS48)=0,1,'Вводные'!$K$52))))*CC49)</x:f>
        <x:v>0</x:v>
      </x:c>
      <x:c r="CD50" s="132" t="n">
        <x:f>$B$41*((IF(SUM($D45:$DS45)=0,0,IF(SUM($D48:$DS48)=0,1,'Вводные'!$K$52)))*CD47+(1-(IF(SUM($D45:$DS45)=0,0,IF(SUM($D48:$DS48)=0,1,'Вводные'!$K$52))))*CD49)</x:f>
        <x:v>0</x:v>
      </x:c>
      <x:c r="CE50" s="132" t="n">
        <x:f>$B$41*((IF(SUM($D45:$DS45)=0,0,IF(SUM($D48:$DS48)=0,1,'Вводные'!$K$52)))*CE47+(1-(IF(SUM($D45:$DS45)=0,0,IF(SUM($D48:$DS48)=0,1,'Вводные'!$K$52))))*CE49)</x:f>
        <x:v>0</x:v>
      </x:c>
      <x:c r="CF50" s="132" t="n">
        <x:f>$B$41*((IF(SUM($D45:$DS45)=0,0,IF(SUM($D48:$DS48)=0,1,'Вводные'!$K$52)))*CF47+(1-(IF(SUM($D45:$DS45)=0,0,IF(SUM($D48:$DS48)=0,1,'Вводные'!$K$52))))*CF49)</x:f>
        <x:v>0</x:v>
      </x:c>
      <x:c r="CG50" s="132" t="n">
        <x:f>$B$41*((IF(SUM($D45:$DS45)=0,0,IF(SUM($D48:$DS48)=0,1,'Вводные'!$K$52)))*CG47+(1-(IF(SUM($D45:$DS45)=0,0,IF(SUM($D48:$DS48)=0,1,'Вводные'!$K$52))))*CG49)</x:f>
        <x:v>0</x:v>
      </x:c>
      <x:c r="CH50" s="132" t="n">
        <x:f>$B$41*((IF(SUM($D45:$DS45)=0,0,IF(SUM($D48:$DS48)=0,1,'Вводные'!$K$52)))*CH47+(1-(IF(SUM($D45:$DS45)=0,0,IF(SUM($D48:$DS48)=0,1,'Вводные'!$K$52))))*CH49)</x:f>
        <x:v>0</x:v>
      </x:c>
      <x:c r="CI50" s="132" t="n">
        <x:f>$B$41*((IF(SUM($D45:$DS45)=0,0,IF(SUM($D48:$DS48)=0,1,'Вводные'!$K$52)))*CI47+(1-(IF(SUM($D45:$DS45)=0,0,IF(SUM($D48:$DS48)=0,1,'Вводные'!$K$52))))*CI49)</x:f>
        <x:v>0</x:v>
      </x:c>
      <x:c r="CJ50" s="132" t="n">
        <x:f>$B$41*((IF(SUM($D45:$DS45)=0,0,IF(SUM($D48:$DS48)=0,1,'Вводные'!$K$52)))*CJ47+(1-(IF(SUM($D45:$DS45)=0,0,IF(SUM($D48:$DS48)=0,1,'Вводные'!$K$52))))*CJ49)</x:f>
        <x:v>0</x:v>
      </x:c>
      <x:c r="CK50" s="132" t="n">
        <x:f>$B$41*((IF(SUM($D45:$DS45)=0,0,IF(SUM($D48:$DS48)=0,1,'Вводные'!$K$52)))*CK47+(1-(IF(SUM($D45:$DS45)=0,0,IF(SUM($D48:$DS48)=0,1,'Вводные'!$K$52))))*CK49)</x:f>
        <x:v>0</x:v>
      </x:c>
      <x:c r="CL50" s="132" t="n">
        <x:f>$B$41*((IF(SUM($D45:$DS45)=0,0,IF(SUM($D48:$DS48)=0,1,'Вводные'!$K$52)))*CL47+(1-(IF(SUM($D45:$DS45)=0,0,IF(SUM($D48:$DS48)=0,1,'Вводные'!$K$52))))*CL49)</x:f>
        <x:v>0</x:v>
      </x:c>
      <x:c r="CM50" s="132" t="n">
        <x:f>$B$41*((IF(SUM($D45:$DS45)=0,0,IF(SUM($D48:$DS48)=0,1,'Вводные'!$K$52)))*CM47+(1-(IF(SUM($D45:$DS45)=0,0,IF(SUM($D48:$DS48)=0,1,'Вводные'!$K$52))))*CM49)</x:f>
        <x:v>0</x:v>
      </x:c>
      <x:c r="CN50" s="132" t="n">
        <x:f>$B$41*((IF(SUM($D45:$DS45)=0,0,IF(SUM($D48:$DS48)=0,1,'Вводные'!$K$52)))*CN47+(1-(IF(SUM($D45:$DS45)=0,0,IF(SUM($D48:$DS48)=0,1,'Вводные'!$K$52))))*CN49)</x:f>
        <x:v>0</x:v>
      </x:c>
      <x:c r="CO50" s="132" t="n">
        <x:f>$B$41*((IF(SUM($D45:$DS45)=0,0,IF(SUM($D48:$DS48)=0,1,'Вводные'!$K$52)))*CO47+(1-(IF(SUM($D45:$DS45)=0,0,IF(SUM($D48:$DS48)=0,1,'Вводные'!$K$52))))*CO49)</x:f>
        <x:v>0</x:v>
      </x:c>
      <x:c r="CP50" s="132" t="n">
        <x:f>$B$41*((IF(SUM($D45:$DS45)=0,0,IF(SUM($D48:$DS48)=0,1,'Вводные'!$K$52)))*CP47+(1-(IF(SUM($D45:$DS45)=0,0,IF(SUM($D48:$DS48)=0,1,'Вводные'!$K$52))))*CP49)</x:f>
        <x:v>0</x:v>
      </x:c>
      <x:c r="CQ50" s="132" t="n">
        <x:f>$B$41*((IF(SUM($D45:$DS45)=0,0,IF(SUM($D48:$DS48)=0,1,'Вводные'!$K$52)))*CQ47+(1-(IF(SUM($D45:$DS45)=0,0,IF(SUM($D48:$DS48)=0,1,'Вводные'!$K$52))))*CQ49)</x:f>
        <x:v>0</x:v>
      </x:c>
      <x:c r="CR50" s="132" t="n">
        <x:f>$B$41*((IF(SUM($D45:$DS45)=0,0,IF(SUM($D48:$DS48)=0,1,'Вводные'!$K$52)))*CR47+(1-(IF(SUM($D45:$DS45)=0,0,IF(SUM($D48:$DS48)=0,1,'Вводные'!$K$52))))*CR49)</x:f>
        <x:v>0</x:v>
      </x:c>
      <x:c r="CS50" s="132" t="n">
        <x:f>$B$41*((IF(SUM($D45:$DS45)=0,0,IF(SUM($D48:$DS48)=0,1,'Вводные'!$K$52)))*CS47+(1-(IF(SUM($D45:$DS45)=0,0,IF(SUM($D48:$DS48)=0,1,'Вводные'!$K$52))))*CS49)</x:f>
        <x:v>0</x:v>
      </x:c>
      <x:c r="CT50" s="132" t="n">
        <x:f>$B$41*((IF(SUM($D45:$DS45)=0,0,IF(SUM($D48:$DS48)=0,1,'Вводные'!$K$52)))*CT47+(1-(IF(SUM($D45:$DS45)=0,0,IF(SUM($D48:$DS48)=0,1,'Вводные'!$K$52))))*CT49)</x:f>
        <x:v>0</x:v>
      </x:c>
      <x:c r="CU50" s="132" t="n">
        <x:f>$B$41*((IF(SUM($D45:$DS45)=0,0,IF(SUM($D48:$DS48)=0,1,'Вводные'!$K$52)))*CU47+(1-(IF(SUM($D45:$DS45)=0,0,IF(SUM($D48:$DS48)=0,1,'Вводные'!$K$52))))*CU49)</x:f>
        <x:v>0</x:v>
      </x:c>
      <x:c r="CV50" s="132" t="n">
        <x:f>$B$41*((IF(SUM($D45:$DS45)=0,0,IF(SUM($D48:$DS48)=0,1,'Вводные'!$K$52)))*CV47+(1-(IF(SUM($D45:$DS45)=0,0,IF(SUM($D48:$DS48)=0,1,'Вводные'!$K$52))))*CV49)</x:f>
        <x:v>0</x:v>
      </x:c>
      <x:c r="CW50" s="132" t="n">
        <x:f>$B$41*((IF(SUM($D45:$DS45)=0,0,IF(SUM($D48:$DS48)=0,1,'Вводные'!$K$52)))*CW47+(1-(IF(SUM($D45:$DS45)=0,0,IF(SUM($D48:$DS48)=0,1,'Вводные'!$K$52))))*CW49)</x:f>
        <x:v>0</x:v>
      </x:c>
      <x:c r="CX50" s="132" t="n">
        <x:f>$B$41*((IF(SUM($D45:$DS45)=0,0,IF(SUM($D48:$DS48)=0,1,'Вводные'!$K$52)))*CX47+(1-(IF(SUM($D45:$DS45)=0,0,IF(SUM($D48:$DS48)=0,1,'Вводные'!$K$52))))*CX49)</x:f>
        <x:v>0</x:v>
      </x:c>
      <x:c r="CY50" s="132" t="n">
        <x:f>$B$41*((IF(SUM($D45:$DS45)=0,0,IF(SUM($D48:$DS48)=0,1,'Вводные'!$K$52)))*CY47+(1-(IF(SUM($D45:$DS45)=0,0,IF(SUM($D48:$DS48)=0,1,'Вводные'!$K$52))))*CY49)</x:f>
        <x:v>0</x:v>
      </x:c>
      <x:c r="CZ50" s="132" t="n">
        <x:f>$B$41*((IF(SUM($D45:$DS45)=0,0,IF(SUM($D48:$DS48)=0,1,'Вводные'!$K$52)))*CZ47+(1-(IF(SUM($D45:$DS45)=0,0,IF(SUM($D48:$DS48)=0,1,'Вводные'!$K$52))))*CZ49)</x:f>
        <x:v>0</x:v>
      </x:c>
      <x:c r="DA50" s="132" t="n">
        <x:f>$B$41*((IF(SUM($D45:$DS45)=0,0,IF(SUM($D48:$DS48)=0,1,'Вводные'!$K$52)))*DA47+(1-(IF(SUM($D45:$DS45)=0,0,IF(SUM($D48:$DS48)=0,1,'Вводные'!$K$52))))*DA49)</x:f>
        <x:v>0</x:v>
      </x:c>
      <x:c r="DB50" s="132" t="n">
        <x:f>$B$41*((IF(SUM($D45:$DS45)=0,0,IF(SUM($D48:$DS48)=0,1,'Вводные'!$K$52)))*DB47+(1-(IF(SUM($D45:$DS45)=0,0,IF(SUM($D48:$DS48)=0,1,'Вводные'!$K$52))))*DB49)</x:f>
        <x:v>0</x:v>
      </x:c>
      <x:c r="DC50" s="132" t="n">
        <x:f>$B$41*((IF(SUM($D45:$DS45)=0,0,IF(SUM($D48:$DS48)=0,1,'Вводные'!$K$52)))*DC47+(1-(IF(SUM($D45:$DS45)=0,0,IF(SUM($D48:$DS48)=0,1,'Вводные'!$K$52))))*DC49)</x:f>
        <x:v>0</x:v>
      </x:c>
      <x:c r="DD50" s="132" t="n">
        <x:f>$B$41*((IF(SUM($D45:$DS45)=0,0,IF(SUM($D48:$DS48)=0,1,'Вводные'!$K$52)))*DD47+(1-(IF(SUM($D45:$DS45)=0,0,IF(SUM($D48:$DS48)=0,1,'Вводные'!$K$52))))*DD49)</x:f>
        <x:v>0</x:v>
      </x:c>
      <x:c r="DE50" s="132" t="n">
        <x:f>$B$41*((IF(SUM($D45:$DS45)=0,0,IF(SUM($D48:$DS48)=0,1,'Вводные'!$K$52)))*DE47+(1-(IF(SUM($D45:$DS45)=0,0,IF(SUM($D48:$DS48)=0,1,'Вводные'!$K$52))))*DE49)</x:f>
        <x:v>0</x:v>
      </x:c>
      <x:c r="DF50" s="132" t="n">
        <x:f>$B$41*((IF(SUM($D45:$DS45)=0,0,IF(SUM($D48:$DS48)=0,1,'Вводные'!$K$52)))*DF47+(1-(IF(SUM($D45:$DS45)=0,0,IF(SUM($D48:$DS48)=0,1,'Вводные'!$K$52))))*DF49)</x:f>
        <x:v>0</x:v>
      </x:c>
      <x:c r="DG50" s="132" t="n">
        <x:f>$B$41*((IF(SUM($D45:$DS45)=0,0,IF(SUM($D48:$DS48)=0,1,'Вводные'!$K$52)))*DG47+(1-(IF(SUM($D45:$DS45)=0,0,IF(SUM($D48:$DS48)=0,1,'Вводные'!$K$52))))*DG49)</x:f>
        <x:v>0</x:v>
      </x:c>
      <x:c r="DH50" s="132" t="n">
        <x:f>$B$41*((IF(SUM($D45:$DS45)=0,0,IF(SUM($D48:$DS48)=0,1,'Вводные'!$K$52)))*DH47+(1-(IF(SUM($D45:$DS45)=0,0,IF(SUM($D48:$DS48)=0,1,'Вводные'!$K$52))))*DH49)</x:f>
        <x:v>0</x:v>
      </x:c>
      <x:c r="DI50" s="132" t="n">
        <x:f>$B$41*((IF(SUM($D45:$DS45)=0,0,IF(SUM($D48:$DS48)=0,1,'Вводные'!$K$52)))*DI47+(1-(IF(SUM($D45:$DS45)=0,0,IF(SUM($D48:$DS48)=0,1,'Вводные'!$K$52))))*DI49)</x:f>
        <x:v>0</x:v>
      </x:c>
      <x:c r="DJ50" s="132" t="n">
        <x:f>$B$41*((IF(SUM($D45:$DS45)=0,0,IF(SUM($D48:$DS48)=0,1,'Вводные'!$K$52)))*DJ47+(1-(IF(SUM($D45:$DS45)=0,0,IF(SUM($D48:$DS48)=0,1,'Вводные'!$K$52))))*DJ49)</x:f>
        <x:v>0</x:v>
      </x:c>
      <x:c r="DK50" s="132" t="n">
        <x:f>$B$41*((IF(SUM($D45:$DS45)=0,0,IF(SUM($D48:$DS48)=0,1,'Вводные'!$K$52)))*DK47+(1-(IF(SUM($D45:$DS45)=0,0,IF(SUM($D48:$DS48)=0,1,'Вводные'!$K$52))))*DK49)</x:f>
        <x:v>0</x:v>
      </x:c>
      <x:c r="DL50" s="132" t="n">
        <x:f>$B$41*((IF(SUM($D45:$DS45)=0,0,IF(SUM($D48:$DS48)=0,1,'Вводные'!$K$52)))*DL47+(1-(IF(SUM($D45:$DS45)=0,0,IF(SUM($D48:$DS48)=0,1,'Вводные'!$K$52))))*DL49)</x:f>
        <x:v>0</x:v>
      </x:c>
      <x:c r="DM50" s="132" t="n">
        <x:f>$B$41*((IF(SUM($D45:$DS45)=0,0,IF(SUM($D48:$DS48)=0,1,'Вводные'!$K$52)))*DM47+(1-(IF(SUM($D45:$DS45)=0,0,IF(SUM($D48:$DS48)=0,1,'Вводные'!$K$52))))*DM49)</x:f>
        <x:v>0</x:v>
      </x:c>
      <x:c r="DN50" s="132" t="n">
        <x:f>$B$41*((IF(SUM($D45:$DS45)=0,0,IF(SUM($D48:$DS48)=0,1,'Вводные'!$K$52)))*DN47+(1-(IF(SUM($D45:$DS45)=0,0,IF(SUM($D48:$DS48)=0,1,'Вводные'!$K$52))))*DN49)</x:f>
        <x:v>0</x:v>
      </x:c>
      <x:c r="DO50" s="132" t="n">
        <x:f>$B$41*((IF(SUM($D45:$DS45)=0,0,IF(SUM($D48:$DS48)=0,1,'Вводные'!$K$52)))*DO47+(1-(IF(SUM($D45:$DS45)=0,0,IF(SUM($D48:$DS48)=0,1,'Вводные'!$K$52))))*DO49)</x:f>
        <x:v>0</x:v>
      </x:c>
      <x:c r="DP50" s="132" t="n">
        <x:f>$B$41*((IF(SUM($D45:$DS45)=0,0,IF(SUM($D48:$DS48)=0,1,'Вводные'!$K$52)))*DP47+(1-(IF(SUM($D45:$DS45)=0,0,IF(SUM($D48:$DS48)=0,1,'Вводные'!$K$52))))*DP49)</x:f>
        <x:v>0</x:v>
      </x:c>
      <x:c r="DQ50" s="132" t="n">
        <x:f>$B$41*((IF(SUM($D45:$DS45)=0,0,IF(SUM($D48:$DS48)=0,1,'Вводные'!$K$52)))*DQ47+(1-(IF(SUM($D45:$DS45)=0,0,IF(SUM($D48:$DS48)=0,1,'Вводные'!$K$52))))*DQ49)</x:f>
        <x:v>0</x:v>
      </x:c>
      <x:c r="DR50" s="132" t="n">
        <x:f>$B$41*((IF(SUM($D45:$DS45)=0,0,IF(SUM($D48:$DS48)=0,1,'Вводные'!$K$52)))*DR47+(1-(IF(SUM($D45:$DS45)=0,0,IF(SUM($D48:$DS48)=0,1,'Вводные'!$K$52))))*DR49)</x:f>
        <x:v>0</x:v>
      </x:c>
      <x:c r="DS50" s="132" t="n">
        <x:f>$B$41*((IF(SUM($D45:$DS45)=0,0,IF(SUM($D48:$DS48)=0,1,'Вводные'!$K$52)))*DS47+(1-(IF(SUM($D45:$DS45)=0,0,IF(SUM($D48:$DS48)=0,1,'Вводные'!$K$52))))*DS49)</x:f>
        <x:v>0</x:v>
      </x:c>
    </x:row>
    <x:row r="51">
      <x:c r="A51" t="str">
        <x:v>Цена реализации</x:v>
      </x:c>
      <x:c r="B51" s="107" t="n">
        <x:f>IFERROR(B52*1000/B50,0)</x:f>
        <x:v>0</x:v>
      </x:c>
      <x:c r="C51" t="str">
        <x:v>тыс. ₽/м²</x:v>
      </x:c>
      <x:c r="D51" s="107" t="n">
        <x:f>IF(D50=0,0,'Вводные'!$K$51*'Вводные'!$H$5*INDEX('Вводные'!$S$88:$S$90,$B$36)*INDEX('Вводные'!$AG$88:$AG$90,$B$36)*(1+'Вводные'!$K$54)^MAX(0,MIN((12*(YEAR(D$3)-YEAR($B$39))+MONTH(D$3)-MONTH($B$39)),(12*(YEAR($B$38)-YEAR($B$39))+MONTH($B$38)-MONTH($B$39))))*(1+'Вводные'!$K$55)^MAX(0,(12*(YEAR(D$3)-YEAR($B$38))+MONTH(D$3)-MONTH($B$38))))</x:f>
        <x:v>0</x:v>
      </x:c>
      <x:c r="E51" s="107" t="n">
        <x:f>IF(E50=0,0,'Вводные'!$K$51*'Вводные'!$H$5*INDEX('Вводные'!$S$88:$S$90,$B$36)*INDEX('Вводные'!$AG$88:$AG$90,$B$36)*(1+'Вводные'!$K$54)^MAX(0,MIN((12*(YEAR(E$3)-YEAR($B$39))+MONTH(E$3)-MONTH($B$39)),(12*(YEAR($B$38)-YEAR($B$39))+MONTH($B$38)-MONTH($B$39))))*(1+'Вводные'!$K$55)^MAX(0,(12*(YEAR(E$3)-YEAR($B$38))+MONTH(E$3)-MONTH($B$38))))</x:f>
        <x:v>0</x:v>
      </x:c>
      <x:c r="F51" s="107" t="n">
        <x:f>IF(F50=0,0,'Вводные'!$K$51*'Вводные'!$H$5*INDEX('Вводные'!$S$88:$S$90,$B$36)*INDEX('Вводные'!$AG$88:$AG$90,$B$36)*(1+'Вводные'!$K$54)^MAX(0,MIN((12*(YEAR(F$3)-YEAR($B$39))+MONTH(F$3)-MONTH($B$39)),(12*(YEAR($B$38)-YEAR($B$39))+MONTH($B$38)-MONTH($B$39))))*(1+'Вводные'!$K$55)^MAX(0,(12*(YEAR(F$3)-YEAR($B$38))+MONTH(F$3)-MONTH($B$38))))</x:f>
        <x:v>0</x:v>
      </x:c>
      <x:c r="G51" s="107" t="n">
        <x:f>IF(G50=0,0,'Вводные'!$K$51*'Вводные'!$H$5*INDEX('Вводные'!$S$88:$S$90,$B$36)*INDEX('Вводные'!$AG$88:$AG$90,$B$36)*(1+'Вводные'!$K$54)^MAX(0,MIN((12*(YEAR(G$3)-YEAR($B$39))+MONTH(G$3)-MONTH($B$39)),(12*(YEAR($B$38)-YEAR($B$39))+MONTH($B$38)-MONTH($B$39))))*(1+'Вводные'!$K$55)^MAX(0,(12*(YEAR(G$3)-YEAR($B$38))+MONTH(G$3)-MONTH($B$38))))</x:f>
        <x:v>0</x:v>
      </x:c>
      <x:c r="H51" s="107" t="n">
        <x:f>IF(H50=0,0,'Вводные'!$K$51*'Вводные'!$H$5*INDEX('Вводные'!$S$88:$S$90,$B$36)*INDEX('Вводные'!$AG$88:$AG$90,$B$36)*(1+'Вводные'!$K$54)^MAX(0,MIN((12*(YEAR(H$3)-YEAR($B$39))+MONTH(H$3)-MONTH($B$39)),(12*(YEAR($B$38)-YEAR($B$39))+MONTH($B$38)-MONTH($B$39))))*(1+'Вводные'!$K$55)^MAX(0,(12*(YEAR(H$3)-YEAR($B$38))+MONTH(H$3)-MONTH($B$38))))</x:f>
        <x:v>0</x:v>
      </x:c>
      <x:c r="I51" s="107" t="n">
        <x:f>IF(I50=0,0,'Вводные'!$K$51*'Вводные'!$H$5*INDEX('Вводные'!$S$88:$S$90,$B$36)*INDEX('Вводные'!$AG$88:$AG$90,$B$36)*(1+'Вводные'!$K$54)^MAX(0,MIN((12*(YEAR(I$3)-YEAR($B$39))+MONTH(I$3)-MONTH($B$39)),(12*(YEAR($B$38)-YEAR($B$39))+MONTH($B$38)-MONTH($B$39))))*(1+'Вводные'!$K$55)^MAX(0,(12*(YEAR(I$3)-YEAR($B$38))+MONTH(I$3)-MONTH($B$38))))</x:f>
        <x:v>0</x:v>
      </x:c>
      <x:c r="J51" s="107" t="n">
        <x:f>IF(J50=0,0,'Вводные'!$K$51*'Вводные'!$H$5*INDEX('Вводные'!$S$88:$S$90,$B$36)*INDEX('Вводные'!$AG$88:$AG$90,$B$36)*(1+'Вводные'!$K$54)^MAX(0,MIN((12*(YEAR(J$3)-YEAR($B$39))+MONTH(J$3)-MONTH($B$39)),(12*(YEAR($B$38)-YEAR($B$39))+MONTH($B$38)-MONTH($B$39))))*(1+'Вводные'!$K$55)^MAX(0,(12*(YEAR(J$3)-YEAR($B$38))+MONTH(J$3)-MONTH($B$38))))</x:f>
        <x:v>0</x:v>
      </x:c>
      <x:c r="K51" s="107" t="n">
        <x:f>IF(K50=0,0,'Вводные'!$K$51*'Вводные'!$H$5*INDEX('Вводные'!$S$88:$S$90,$B$36)*INDEX('Вводные'!$AG$88:$AG$90,$B$36)*(1+'Вводные'!$K$54)^MAX(0,MIN((12*(YEAR(K$3)-YEAR($B$39))+MONTH(K$3)-MONTH($B$39)),(12*(YEAR($B$38)-YEAR($B$39))+MONTH($B$38)-MONTH($B$39))))*(1+'Вводные'!$K$55)^MAX(0,(12*(YEAR(K$3)-YEAR($B$38))+MONTH(K$3)-MONTH($B$38))))</x:f>
        <x:v>0</x:v>
      </x:c>
      <x:c r="L51" s="107" t="n">
        <x:f>IF(L50=0,0,'Вводные'!$K$51*'Вводные'!$H$5*INDEX('Вводные'!$S$88:$S$90,$B$36)*INDEX('Вводные'!$AG$88:$AG$90,$B$36)*(1+'Вводные'!$K$54)^MAX(0,MIN((12*(YEAR(L$3)-YEAR($B$39))+MONTH(L$3)-MONTH($B$39)),(12*(YEAR($B$38)-YEAR($B$39))+MONTH($B$38)-MONTH($B$39))))*(1+'Вводные'!$K$55)^MAX(0,(12*(YEAR(L$3)-YEAR($B$38))+MONTH(L$3)-MONTH($B$38))))</x:f>
        <x:v>0</x:v>
      </x:c>
      <x:c r="M51" s="107" t="n">
        <x:f>IF(M50=0,0,'Вводные'!$K$51*'Вводные'!$H$5*INDEX('Вводные'!$S$88:$S$90,$B$36)*INDEX('Вводные'!$AG$88:$AG$90,$B$36)*(1+'Вводные'!$K$54)^MAX(0,MIN((12*(YEAR(M$3)-YEAR($B$39))+MONTH(M$3)-MONTH($B$39)),(12*(YEAR($B$38)-YEAR($B$39))+MONTH($B$38)-MONTH($B$39))))*(1+'Вводные'!$K$55)^MAX(0,(12*(YEAR(M$3)-YEAR($B$38))+MONTH(M$3)-MONTH($B$38))))</x:f>
        <x:v>0</x:v>
      </x:c>
      <x:c r="N51" s="107" t="n">
        <x:f>IF(N50=0,0,'Вводные'!$K$51*'Вводные'!$H$5*INDEX('Вводные'!$S$88:$S$90,$B$36)*INDEX('Вводные'!$AG$88:$AG$90,$B$36)*(1+'Вводные'!$K$54)^MAX(0,MIN((12*(YEAR(N$3)-YEAR($B$39))+MONTH(N$3)-MONTH($B$39)),(12*(YEAR($B$38)-YEAR($B$39))+MONTH($B$38)-MONTH($B$39))))*(1+'Вводные'!$K$55)^MAX(0,(12*(YEAR(N$3)-YEAR($B$38))+MONTH(N$3)-MONTH($B$38))))</x:f>
        <x:v>0</x:v>
      </x:c>
      <x:c r="O51" s="107" t="n">
        <x:f>IF(O50=0,0,'Вводные'!$K$51*'Вводные'!$H$5*INDEX('Вводные'!$S$88:$S$90,$B$36)*INDEX('Вводные'!$AG$88:$AG$90,$B$36)*(1+'Вводные'!$K$54)^MAX(0,MIN((12*(YEAR(O$3)-YEAR($B$39))+MONTH(O$3)-MONTH($B$39)),(12*(YEAR($B$38)-YEAR($B$39))+MONTH($B$38)-MONTH($B$39))))*(1+'Вводные'!$K$55)^MAX(0,(12*(YEAR(O$3)-YEAR($B$38))+MONTH(O$3)-MONTH($B$38))))</x:f>
        <x:v>0</x:v>
      </x:c>
      <x:c r="P51" s="107" t="n">
        <x:f>IF(P50=0,0,'Вводные'!$K$51*'Вводные'!$H$5*INDEX('Вводные'!$S$88:$S$90,$B$36)*INDEX('Вводные'!$AG$88:$AG$90,$B$36)*(1+'Вводные'!$K$54)^MAX(0,MIN((12*(YEAR(P$3)-YEAR($B$39))+MONTH(P$3)-MONTH($B$39)),(12*(YEAR($B$38)-YEAR($B$39))+MONTH($B$38)-MONTH($B$39))))*(1+'Вводные'!$K$55)^MAX(0,(12*(YEAR(P$3)-YEAR($B$38))+MONTH(P$3)-MONTH($B$38))))</x:f>
        <x:v>0</x:v>
      </x:c>
      <x:c r="Q51" s="107" t="n">
        <x:f>IF(Q50=0,0,'Вводные'!$K$51*'Вводные'!$H$5*INDEX('Вводные'!$S$88:$S$90,$B$36)*INDEX('Вводные'!$AG$88:$AG$90,$B$36)*(1+'Вводные'!$K$54)^MAX(0,MIN((12*(YEAR(Q$3)-YEAR($B$39))+MONTH(Q$3)-MONTH($B$39)),(12*(YEAR($B$38)-YEAR($B$39))+MONTH($B$38)-MONTH($B$39))))*(1+'Вводные'!$K$55)^MAX(0,(12*(YEAR(Q$3)-YEAR($B$38))+MONTH(Q$3)-MONTH($B$38))))</x:f>
        <x:v>0</x:v>
      </x:c>
      <x:c r="R51" s="107" t="n">
        <x:f>IF(R50=0,0,'Вводные'!$K$51*'Вводные'!$H$5*INDEX('Вводные'!$S$88:$S$90,$B$36)*INDEX('Вводные'!$AG$88:$AG$90,$B$36)*(1+'Вводные'!$K$54)^MAX(0,MIN((12*(YEAR(R$3)-YEAR($B$39))+MONTH(R$3)-MONTH($B$39)),(12*(YEAR($B$38)-YEAR($B$39))+MONTH($B$38)-MONTH($B$39))))*(1+'Вводные'!$K$55)^MAX(0,(12*(YEAR(R$3)-YEAR($B$38))+MONTH(R$3)-MONTH($B$38))))</x:f>
        <x:v>0</x:v>
      </x:c>
      <x:c r="S51" s="107" t="n">
        <x:f>IF(S50=0,0,'Вводные'!$K$51*'Вводные'!$H$5*INDEX('Вводные'!$S$88:$S$90,$B$36)*INDEX('Вводные'!$AG$88:$AG$90,$B$36)*(1+'Вводные'!$K$54)^MAX(0,MIN((12*(YEAR(S$3)-YEAR($B$39))+MONTH(S$3)-MONTH($B$39)),(12*(YEAR($B$38)-YEAR($B$39))+MONTH($B$38)-MONTH($B$39))))*(1+'Вводные'!$K$55)^MAX(0,(12*(YEAR(S$3)-YEAR($B$38))+MONTH(S$3)-MONTH($B$38))))</x:f>
        <x:v>0</x:v>
      </x:c>
      <x:c r="T51" s="107" t="n">
        <x:f>IF(T50=0,0,'Вводные'!$K$51*'Вводные'!$H$5*INDEX('Вводные'!$S$88:$S$90,$B$36)*INDEX('Вводные'!$AG$88:$AG$90,$B$36)*(1+'Вводные'!$K$54)^MAX(0,MIN((12*(YEAR(T$3)-YEAR($B$39))+MONTH(T$3)-MONTH($B$39)),(12*(YEAR($B$38)-YEAR($B$39))+MONTH($B$38)-MONTH($B$39))))*(1+'Вводные'!$K$55)^MAX(0,(12*(YEAR(T$3)-YEAR($B$38))+MONTH(T$3)-MONTH($B$38))))</x:f>
        <x:v>0</x:v>
      </x:c>
      <x:c r="U51" s="107" t="n">
        <x:f>IF(U50=0,0,'Вводные'!$K$51*'Вводные'!$H$5*INDEX('Вводные'!$S$88:$S$90,$B$36)*INDEX('Вводные'!$AG$88:$AG$90,$B$36)*(1+'Вводные'!$K$54)^MAX(0,MIN((12*(YEAR(U$3)-YEAR($B$39))+MONTH(U$3)-MONTH($B$39)),(12*(YEAR($B$38)-YEAR($B$39))+MONTH($B$38)-MONTH($B$39))))*(1+'Вводные'!$K$55)^MAX(0,(12*(YEAR(U$3)-YEAR($B$38))+MONTH(U$3)-MONTH($B$38))))</x:f>
        <x:v>0</x:v>
      </x:c>
      <x:c r="V51" s="107" t="n">
        <x:f>IF(V50=0,0,'Вводные'!$K$51*'Вводные'!$H$5*INDEX('Вводные'!$S$88:$S$90,$B$36)*INDEX('Вводные'!$AG$88:$AG$90,$B$36)*(1+'Вводные'!$K$54)^MAX(0,MIN((12*(YEAR(V$3)-YEAR($B$39))+MONTH(V$3)-MONTH($B$39)),(12*(YEAR($B$38)-YEAR($B$39))+MONTH($B$38)-MONTH($B$39))))*(1+'Вводные'!$K$55)^MAX(0,(12*(YEAR(V$3)-YEAR($B$38))+MONTH(V$3)-MONTH($B$38))))</x:f>
        <x:v>0</x:v>
      </x:c>
      <x:c r="W51" s="107" t="n">
        <x:f>IF(W50=0,0,'Вводные'!$K$51*'Вводные'!$H$5*INDEX('Вводные'!$S$88:$S$90,$B$36)*INDEX('Вводные'!$AG$88:$AG$90,$B$36)*(1+'Вводные'!$K$54)^MAX(0,MIN((12*(YEAR(W$3)-YEAR($B$39))+MONTH(W$3)-MONTH($B$39)),(12*(YEAR($B$38)-YEAR($B$39))+MONTH($B$38)-MONTH($B$39))))*(1+'Вводные'!$K$55)^MAX(0,(12*(YEAR(W$3)-YEAR($B$38))+MONTH(W$3)-MONTH($B$38))))</x:f>
        <x:v>0</x:v>
      </x:c>
      <x:c r="X51" s="107" t="n">
        <x:f>IF(X50=0,0,'Вводные'!$K$51*'Вводные'!$H$5*INDEX('Вводные'!$S$88:$S$90,$B$36)*INDEX('Вводные'!$AG$88:$AG$90,$B$36)*(1+'Вводные'!$K$54)^MAX(0,MIN((12*(YEAR(X$3)-YEAR($B$39))+MONTH(X$3)-MONTH($B$39)),(12*(YEAR($B$38)-YEAR($B$39))+MONTH($B$38)-MONTH($B$39))))*(1+'Вводные'!$K$55)^MAX(0,(12*(YEAR(X$3)-YEAR($B$38))+MONTH(X$3)-MONTH($B$38))))</x:f>
        <x:v>0</x:v>
      </x:c>
      <x:c r="Y51" s="107" t="n">
        <x:f>IF(Y50=0,0,'Вводные'!$K$51*'Вводные'!$H$5*INDEX('Вводные'!$S$88:$S$90,$B$36)*INDEX('Вводные'!$AG$88:$AG$90,$B$36)*(1+'Вводные'!$K$54)^MAX(0,MIN((12*(YEAR(Y$3)-YEAR($B$39))+MONTH(Y$3)-MONTH($B$39)),(12*(YEAR($B$38)-YEAR($B$39))+MONTH($B$38)-MONTH($B$39))))*(1+'Вводные'!$K$55)^MAX(0,(12*(YEAR(Y$3)-YEAR($B$38))+MONTH(Y$3)-MONTH($B$38))))</x:f>
        <x:v>0</x:v>
      </x:c>
      <x:c r="Z51" s="107" t="n">
        <x:f>IF(Z50=0,0,'Вводные'!$K$51*'Вводные'!$H$5*INDEX('Вводные'!$S$88:$S$90,$B$36)*INDEX('Вводные'!$AG$88:$AG$90,$B$36)*(1+'Вводные'!$K$54)^MAX(0,MIN((12*(YEAR(Z$3)-YEAR($B$39))+MONTH(Z$3)-MONTH($B$39)),(12*(YEAR($B$38)-YEAR($B$39))+MONTH($B$38)-MONTH($B$39))))*(1+'Вводные'!$K$55)^MAX(0,(12*(YEAR(Z$3)-YEAR($B$38))+MONTH(Z$3)-MONTH($B$38))))</x:f>
        <x:v>0</x:v>
      </x:c>
      <x:c r="AA51" s="107" t="n">
        <x:f>IF(AA50=0,0,'Вводные'!$K$51*'Вводные'!$H$5*INDEX('Вводные'!$S$88:$S$90,$B$36)*INDEX('Вводные'!$AG$88:$AG$90,$B$36)*(1+'Вводные'!$K$54)^MAX(0,MIN((12*(YEAR(AA$3)-YEAR($B$39))+MONTH(AA$3)-MONTH($B$39)),(12*(YEAR($B$38)-YEAR($B$39))+MONTH($B$38)-MONTH($B$39))))*(1+'Вводные'!$K$55)^MAX(0,(12*(YEAR(AA$3)-YEAR($B$38))+MONTH(AA$3)-MONTH($B$38))))</x:f>
        <x:v>0</x:v>
      </x:c>
      <x:c r="AB51" s="107" t="n">
        <x:f>IF(AB50=0,0,'Вводные'!$K$51*'Вводные'!$H$5*INDEX('Вводные'!$S$88:$S$90,$B$36)*INDEX('Вводные'!$AG$88:$AG$90,$B$36)*(1+'Вводные'!$K$54)^MAX(0,MIN((12*(YEAR(AB$3)-YEAR($B$39))+MONTH(AB$3)-MONTH($B$39)),(12*(YEAR($B$38)-YEAR($B$39))+MONTH($B$38)-MONTH($B$39))))*(1+'Вводные'!$K$55)^MAX(0,(12*(YEAR(AB$3)-YEAR($B$38))+MONTH(AB$3)-MONTH($B$38))))</x:f>
        <x:v>0</x:v>
      </x:c>
      <x:c r="AC51" s="107" t="n">
        <x:f>IF(AC50=0,0,'Вводные'!$K$51*'Вводные'!$H$5*INDEX('Вводные'!$S$88:$S$90,$B$36)*INDEX('Вводные'!$AG$88:$AG$90,$B$36)*(1+'Вводные'!$K$54)^MAX(0,MIN((12*(YEAR(AC$3)-YEAR($B$39))+MONTH(AC$3)-MONTH($B$39)),(12*(YEAR($B$38)-YEAR($B$39))+MONTH($B$38)-MONTH($B$39))))*(1+'Вводные'!$K$55)^MAX(0,(12*(YEAR(AC$3)-YEAR($B$38))+MONTH(AC$3)-MONTH($B$38))))</x:f>
        <x:v>0</x:v>
      </x:c>
      <x:c r="AD51" s="107" t="n">
        <x:f>IF(AD50=0,0,'Вводные'!$K$51*'Вводные'!$H$5*INDEX('Вводные'!$S$88:$S$90,$B$36)*INDEX('Вводные'!$AG$88:$AG$90,$B$36)*(1+'Вводные'!$K$54)^MAX(0,MIN((12*(YEAR(AD$3)-YEAR($B$39))+MONTH(AD$3)-MONTH($B$39)),(12*(YEAR($B$38)-YEAR($B$39))+MONTH($B$38)-MONTH($B$39))))*(1+'Вводные'!$K$55)^MAX(0,(12*(YEAR(AD$3)-YEAR($B$38))+MONTH(AD$3)-MONTH($B$38))))</x:f>
        <x:v>0</x:v>
      </x:c>
      <x:c r="AE51" s="107" t="n">
        <x:f>IF(AE50=0,0,'Вводные'!$K$51*'Вводные'!$H$5*INDEX('Вводные'!$S$88:$S$90,$B$36)*INDEX('Вводные'!$AG$88:$AG$90,$B$36)*(1+'Вводные'!$K$54)^MAX(0,MIN((12*(YEAR(AE$3)-YEAR($B$39))+MONTH(AE$3)-MONTH($B$39)),(12*(YEAR($B$38)-YEAR($B$39))+MONTH($B$38)-MONTH($B$39))))*(1+'Вводные'!$K$55)^MAX(0,(12*(YEAR(AE$3)-YEAR($B$38))+MONTH(AE$3)-MONTH($B$38))))</x:f>
        <x:v>0</x:v>
      </x:c>
      <x:c r="AF51" s="107" t="n">
        <x:f>IF(AF50=0,0,'Вводные'!$K$51*'Вводные'!$H$5*INDEX('Вводные'!$S$88:$S$90,$B$36)*INDEX('Вводные'!$AG$88:$AG$90,$B$36)*(1+'Вводные'!$K$54)^MAX(0,MIN((12*(YEAR(AF$3)-YEAR($B$39))+MONTH(AF$3)-MONTH($B$39)),(12*(YEAR($B$38)-YEAR($B$39))+MONTH($B$38)-MONTH($B$39))))*(1+'Вводные'!$K$55)^MAX(0,(12*(YEAR(AF$3)-YEAR($B$38))+MONTH(AF$3)-MONTH($B$38))))</x:f>
        <x:v>0</x:v>
      </x:c>
      <x:c r="AG51" s="107" t="n">
        <x:f>IF(AG50=0,0,'Вводные'!$K$51*'Вводные'!$H$5*INDEX('Вводные'!$S$88:$S$90,$B$36)*INDEX('Вводные'!$AG$88:$AG$90,$B$36)*(1+'Вводные'!$K$54)^MAX(0,MIN((12*(YEAR(AG$3)-YEAR($B$39))+MONTH(AG$3)-MONTH($B$39)),(12*(YEAR($B$38)-YEAR($B$39))+MONTH($B$38)-MONTH($B$39))))*(1+'Вводные'!$K$55)^MAX(0,(12*(YEAR(AG$3)-YEAR($B$38))+MONTH(AG$3)-MONTH($B$38))))</x:f>
        <x:v>0</x:v>
      </x:c>
      <x:c r="AH51" s="107" t="n">
        <x:f>IF(AH50=0,0,'Вводные'!$K$51*'Вводные'!$H$5*INDEX('Вводные'!$S$88:$S$90,$B$36)*INDEX('Вводные'!$AG$88:$AG$90,$B$36)*(1+'Вводные'!$K$54)^MAX(0,MIN((12*(YEAR(AH$3)-YEAR($B$39))+MONTH(AH$3)-MONTH($B$39)),(12*(YEAR($B$38)-YEAR($B$39))+MONTH($B$38)-MONTH($B$39))))*(1+'Вводные'!$K$55)^MAX(0,(12*(YEAR(AH$3)-YEAR($B$38))+MONTH(AH$3)-MONTH($B$38))))</x:f>
        <x:v>0</x:v>
      </x:c>
      <x:c r="AI51" s="107" t="n">
        <x:f>IF(AI50=0,0,'Вводные'!$K$51*'Вводные'!$H$5*INDEX('Вводные'!$S$88:$S$90,$B$36)*INDEX('Вводные'!$AG$88:$AG$90,$B$36)*(1+'Вводные'!$K$54)^MAX(0,MIN((12*(YEAR(AI$3)-YEAR($B$39))+MONTH(AI$3)-MONTH($B$39)),(12*(YEAR($B$38)-YEAR($B$39))+MONTH($B$38)-MONTH($B$39))))*(1+'Вводные'!$K$55)^MAX(0,(12*(YEAR(AI$3)-YEAR($B$38))+MONTH(AI$3)-MONTH($B$38))))</x:f>
        <x:v>0</x:v>
      </x:c>
      <x:c r="AJ51" s="107" t="n">
        <x:f>IF(AJ50=0,0,'Вводные'!$K$51*'Вводные'!$H$5*INDEX('Вводные'!$S$88:$S$90,$B$36)*INDEX('Вводные'!$AG$88:$AG$90,$B$36)*(1+'Вводные'!$K$54)^MAX(0,MIN((12*(YEAR(AJ$3)-YEAR($B$39))+MONTH(AJ$3)-MONTH($B$39)),(12*(YEAR($B$38)-YEAR($B$39))+MONTH($B$38)-MONTH($B$39))))*(1+'Вводные'!$K$55)^MAX(0,(12*(YEAR(AJ$3)-YEAR($B$38))+MONTH(AJ$3)-MONTH($B$38))))</x:f>
        <x:v>0</x:v>
      </x:c>
      <x:c r="AK51" s="107" t="n">
        <x:f>IF(AK50=0,0,'Вводные'!$K$51*'Вводные'!$H$5*INDEX('Вводные'!$S$88:$S$90,$B$36)*INDEX('Вводные'!$AG$88:$AG$90,$B$36)*(1+'Вводные'!$K$54)^MAX(0,MIN((12*(YEAR(AK$3)-YEAR($B$39))+MONTH(AK$3)-MONTH($B$39)),(12*(YEAR($B$38)-YEAR($B$39))+MONTH($B$38)-MONTH($B$39))))*(1+'Вводные'!$K$55)^MAX(0,(12*(YEAR(AK$3)-YEAR($B$38))+MONTH(AK$3)-MONTH($B$38))))</x:f>
        <x:v>0</x:v>
      </x:c>
      <x:c r="AL51" s="107" t="n">
        <x:f>IF(AL50=0,0,'Вводные'!$K$51*'Вводные'!$H$5*INDEX('Вводные'!$S$88:$S$90,$B$36)*INDEX('Вводные'!$AG$88:$AG$90,$B$36)*(1+'Вводные'!$K$54)^MAX(0,MIN((12*(YEAR(AL$3)-YEAR($B$39))+MONTH(AL$3)-MONTH($B$39)),(12*(YEAR($B$38)-YEAR($B$39))+MONTH($B$38)-MONTH($B$39))))*(1+'Вводные'!$K$55)^MAX(0,(12*(YEAR(AL$3)-YEAR($B$38))+MONTH(AL$3)-MONTH($B$38))))</x:f>
        <x:v>0</x:v>
      </x:c>
      <x:c r="AM51" s="107" t="n">
        <x:f>IF(AM50=0,0,'Вводные'!$K$51*'Вводные'!$H$5*INDEX('Вводные'!$S$88:$S$90,$B$36)*INDEX('Вводные'!$AG$88:$AG$90,$B$36)*(1+'Вводные'!$K$54)^MAX(0,MIN((12*(YEAR(AM$3)-YEAR($B$39))+MONTH(AM$3)-MONTH($B$39)),(12*(YEAR($B$38)-YEAR($B$39))+MONTH($B$38)-MONTH($B$39))))*(1+'Вводные'!$K$55)^MAX(0,(12*(YEAR(AM$3)-YEAR($B$38))+MONTH(AM$3)-MONTH($B$38))))</x:f>
        <x:v>0</x:v>
      </x:c>
      <x:c r="AN51" s="107" t="n">
        <x:f>IF(AN50=0,0,'Вводные'!$K$51*'Вводные'!$H$5*INDEX('Вводные'!$S$88:$S$90,$B$36)*INDEX('Вводные'!$AG$88:$AG$90,$B$36)*(1+'Вводные'!$K$54)^MAX(0,MIN((12*(YEAR(AN$3)-YEAR($B$39))+MONTH(AN$3)-MONTH($B$39)),(12*(YEAR($B$38)-YEAR($B$39))+MONTH($B$38)-MONTH($B$39))))*(1+'Вводные'!$K$55)^MAX(0,(12*(YEAR(AN$3)-YEAR($B$38))+MONTH(AN$3)-MONTH($B$38))))</x:f>
        <x:v>0</x:v>
      </x:c>
      <x:c r="AO51" s="107" t="n">
        <x:f>IF(AO50=0,0,'Вводные'!$K$51*'Вводные'!$H$5*INDEX('Вводные'!$S$88:$S$90,$B$36)*INDEX('Вводные'!$AG$88:$AG$90,$B$36)*(1+'Вводные'!$K$54)^MAX(0,MIN((12*(YEAR(AO$3)-YEAR($B$39))+MONTH(AO$3)-MONTH($B$39)),(12*(YEAR($B$38)-YEAR($B$39))+MONTH($B$38)-MONTH($B$39))))*(1+'Вводные'!$K$55)^MAX(0,(12*(YEAR(AO$3)-YEAR($B$38))+MONTH(AO$3)-MONTH($B$38))))</x:f>
        <x:v>0</x:v>
      </x:c>
      <x:c r="AP51" s="107" t="n">
        <x:f>IF(AP50=0,0,'Вводные'!$K$51*'Вводные'!$H$5*INDEX('Вводные'!$S$88:$S$90,$B$36)*INDEX('Вводные'!$AG$88:$AG$90,$B$36)*(1+'Вводные'!$K$54)^MAX(0,MIN((12*(YEAR(AP$3)-YEAR($B$39))+MONTH(AP$3)-MONTH($B$39)),(12*(YEAR($B$38)-YEAR($B$39))+MONTH($B$38)-MONTH($B$39))))*(1+'Вводные'!$K$55)^MAX(0,(12*(YEAR(AP$3)-YEAR($B$38))+MONTH(AP$3)-MONTH($B$38))))</x:f>
        <x:v>0</x:v>
      </x:c>
      <x:c r="AQ51" s="107" t="n">
        <x:f>IF(AQ50=0,0,'Вводные'!$K$51*'Вводные'!$H$5*INDEX('Вводные'!$S$88:$S$90,$B$36)*INDEX('Вводные'!$AG$88:$AG$90,$B$36)*(1+'Вводные'!$K$54)^MAX(0,MIN((12*(YEAR(AQ$3)-YEAR($B$39))+MONTH(AQ$3)-MONTH($B$39)),(12*(YEAR($B$38)-YEAR($B$39))+MONTH($B$38)-MONTH($B$39))))*(1+'Вводные'!$K$55)^MAX(0,(12*(YEAR(AQ$3)-YEAR($B$38))+MONTH(AQ$3)-MONTH($B$38))))</x:f>
        <x:v>0</x:v>
      </x:c>
      <x:c r="AR51" s="107" t="n">
        <x:f>IF(AR50=0,0,'Вводные'!$K$51*'Вводные'!$H$5*INDEX('Вводные'!$S$88:$S$90,$B$36)*INDEX('Вводные'!$AG$88:$AG$90,$B$36)*(1+'Вводные'!$K$54)^MAX(0,MIN((12*(YEAR(AR$3)-YEAR($B$39))+MONTH(AR$3)-MONTH($B$39)),(12*(YEAR($B$38)-YEAR($B$39))+MONTH($B$38)-MONTH($B$39))))*(1+'Вводные'!$K$55)^MAX(0,(12*(YEAR(AR$3)-YEAR($B$38))+MONTH(AR$3)-MONTH($B$38))))</x:f>
        <x:v>0</x:v>
      </x:c>
      <x:c r="AS51" s="107" t="n">
        <x:f>IF(AS50=0,0,'Вводные'!$K$51*'Вводные'!$H$5*INDEX('Вводные'!$S$88:$S$90,$B$36)*INDEX('Вводные'!$AG$88:$AG$90,$B$36)*(1+'Вводные'!$K$54)^MAX(0,MIN((12*(YEAR(AS$3)-YEAR($B$39))+MONTH(AS$3)-MONTH($B$39)),(12*(YEAR($B$38)-YEAR($B$39))+MONTH($B$38)-MONTH($B$39))))*(1+'Вводные'!$K$55)^MAX(0,(12*(YEAR(AS$3)-YEAR($B$38))+MONTH(AS$3)-MONTH($B$38))))</x:f>
        <x:v>0</x:v>
      </x:c>
      <x:c r="AT51" s="107" t="n">
        <x:f>IF(AT50=0,0,'Вводные'!$K$51*'Вводные'!$H$5*INDEX('Вводные'!$S$88:$S$90,$B$36)*INDEX('Вводные'!$AG$88:$AG$90,$B$36)*(1+'Вводные'!$K$54)^MAX(0,MIN((12*(YEAR(AT$3)-YEAR($B$39))+MONTH(AT$3)-MONTH($B$39)),(12*(YEAR($B$38)-YEAR($B$39))+MONTH($B$38)-MONTH($B$39))))*(1+'Вводные'!$K$55)^MAX(0,(12*(YEAR(AT$3)-YEAR($B$38))+MONTH(AT$3)-MONTH($B$38))))</x:f>
        <x:v>0</x:v>
      </x:c>
      <x:c r="AU51" s="107" t="n">
        <x:f>IF(AU50=0,0,'Вводные'!$K$51*'Вводные'!$H$5*INDEX('Вводные'!$S$88:$S$90,$B$36)*INDEX('Вводные'!$AG$88:$AG$90,$B$36)*(1+'Вводные'!$K$54)^MAX(0,MIN((12*(YEAR(AU$3)-YEAR($B$39))+MONTH(AU$3)-MONTH($B$39)),(12*(YEAR($B$38)-YEAR($B$39))+MONTH($B$38)-MONTH($B$39))))*(1+'Вводные'!$K$55)^MAX(0,(12*(YEAR(AU$3)-YEAR($B$38))+MONTH(AU$3)-MONTH($B$38))))</x:f>
        <x:v>0</x:v>
      </x:c>
      <x:c r="AV51" s="107" t="n">
        <x:f>IF(AV50=0,0,'Вводные'!$K$51*'Вводные'!$H$5*INDEX('Вводные'!$S$88:$S$90,$B$36)*INDEX('Вводные'!$AG$88:$AG$90,$B$36)*(1+'Вводные'!$K$54)^MAX(0,MIN((12*(YEAR(AV$3)-YEAR($B$39))+MONTH(AV$3)-MONTH($B$39)),(12*(YEAR($B$38)-YEAR($B$39))+MONTH($B$38)-MONTH($B$39))))*(1+'Вводные'!$K$55)^MAX(0,(12*(YEAR(AV$3)-YEAR($B$38))+MONTH(AV$3)-MONTH($B$38))))</x:f>
        <x:v>0</x:v>
      </x:c>
      <x:c r="AW51" s="107" t="n">
        <x:f>IF(AW50=0,0,'Вводные'!$K$51*'Вводные'!$H$5*INDEX('Вводные'!$S$88:$S$90,$B$36)*INDEX('Вводные'!$AG$88:$AG$90,$B$36)*(1+'Вводные'!$K$54)^MAX(0,MIN((12*(YEAR(AW$3)-YEAR($B$39))+MONTH(AW$3)-MONTH($B$39)),(12*(YEAR($B$38)-YEAR($B$39))+MONTH($B$38)-MONTH($B$39))))*(1+'Вводные'!$K$55)^MAX(0,(12*(YEAR(AW$3)-YEAR($B$38))+MONTH(AW$3)-MONTH($B$38))))</x:f>
        <x:v>0</x:v>
      </x:c>
      <x:c r="AX51" s="107" t="n">
        <x:f>IF(AX50=0,0,'Вводные'!$K$51*'Вводные'!$H$5*INDEX('Вводные'!$S$88:$S$90,$B$36)*INDEX('Вводные'!$AG$88:$AG$90,$B$36)*(1+'Вводные'!$K$54)^MAX(0,MIN((12*(YEAR(AX$3)-YEAR($B$39))+MONTH(AX$3)-MONTH($B$39)),(12*(YEAR($B$38)-YEAR($B$39))+MONTH($B$38)-MONTH($B$39))))*(1+'Вводные'!$K$55)^MAX(0,(12*(YEAR(AX$3)-YEAR($B$38))+MONTH(AX$3)-MONTH($B$38))))</x:f>
        <x:v>0</x:v>
      </x:c>
      <x:c r="AY51" s="107" t="n">
        <x:f>IF(AY50=0,0,'Вводные'!$K$51*'Вводные'!$H$5*INDEX('Вводные'!$S$88:$S$90,$B$36)*INDEX('Вводные'!$AG$88:$AG$90,$B$36)*(1+'Вводные'!$K$54)^MAX(0,MIN((12*(YEAR(AY$3)-YEAR($B$39))+MONTH(AY$3)-MONTH($B$39)),(12*(YEAR($B$38)-YEAR($B$39))+MONTH($B$38)-MONTH($B$39))))*(1+'Вводные'!$K$55)^MAX(0,(12*(YEAR(AY$3)-YEAR($B$38))+MONTH(AY$3)-MONTH($B$38))))</x:f>
        <x:v>0</x:v>
      </x:c>
      <x:c r="AZ51" s="107" t="n">
        <x:f>IF(AZ50=0,0,'Вводные'!$K$51*'Вводные'!$H$5*INDEX('Вводные'!$S$88:$S$90,$B$36)*INDEX('Вводные'!$AG$88:$AG$90,$B$36)*(1+'Вводные'!$K$54)^MAX(0,MIN((12*(YEAR(AZ$3)-YEAR($B$39))+MONTH(AZ$3)-MONTH($B$39)),(12*(YEAR($B$38)-YEAR($B$39))+MONTH($B$38)-MONTH($B$39))))*(1+'Вводные'!$K$55)^MAX(0,(12*(YEAR(AZ$3)-YEAR($B$38))+MONTH(AZ$3)-MONTH($B$38))))</x:f>
        <x:v>0</x:v>
      </x:c>
      <x:c r="BA51" s="107" t="n">
        <x:f>IF(BA50=0,0,'Вводные'!$K$51*'Вводные'!$H$5*INDEX('Вводные'!$S$88:$S$90,$B$36)*INDEX('Вводные'!$AG$88:$AG$90,$B$36)*(1+'Вводные'!$K$54)^MAX(0,MIN((12*(YEAR(BA$3)-YEAR($B$39))+MONTH(BA$3)-MONTH($B$39)),(12*(YEAR($B$38)-YEAR($B$39))+MONTH($B$38)-MONTH($B$39))))*(1+'Вводные'!$K$55)^MAX(0,(12*(YEAR(BA$3)-YEAR($B$38))+MONTH(BA$3)-MONTH($B$38))))</x:f>
        <x:v>0</x:v>
      </x:c>
      <x:c r="BB51" s="107" t="n">
        <x:f>IF(BB50=0,0,'Вводные'!$K$51*'Вводные'!$H$5*INDEX('Вводные'!$S$88:$S$90,$B$36)*INDEX('Вводные'!$AG$88:$AG$90,$B$36)*(1+'Вводные'!$K$54)^MAX(0,MIN((12*(YEAR(BB$3)-YEAR($B$39))+MONTH(BB$3)-MONTH($B$39)),(12*(YEAR($B$38)-YEAR($B$39))+MONTH($B$38)-MONTH($B$39))))*(1+'Вводные'!$K$55)^MAX(0,(12*(YEAR(BB$3)-YEAR($B$38))+MONTH(BB$3)-MONTH($B$38))))</x:f>
        <x:v>0</x:v>
      </x:c>
      <x:c r="BC51" s="107" t="n">
        <x:f>IF(BC50=0,0,'Вводные'!$K$51*'Вводные'!$H$5*INDEX('Вводные'!$S$88:$S$90,$B$36)*INDEX('Вводные'!$AG$88:$AG$90,$B$36)*(1+'Вводные'!$K$54)^MAX(0,MIN((12*(YEAR(BC$3)-YEAR($B$39))+MONTH(BC$3)-MONTH($B$39)),(12*(YEAR($B$38)-YEAR($B$39))+MONTH($B$38)-MONTH($B$39))))*(1+'Вводные'!$K$55)^MAX(0,(12*(YEAR(BC$3)-YEAR($B$38))+MONTH(BC$3)-MONTH($B$38))))</x:f>
        <x:v>0</x:v>
      </x:c>
      <x:c r="BD51" s="107" t="n">
        <x:f>IF(BD50=0,0,'Вводные'!$K$51*'Вводные'!$H$5*INDEX('Вводные'!$S$88:$S$90,$B$36)*INDEX('Вводные'!$AG$88:$AG$90,$B$36)*(1+'Вводные'!$K$54)^MAX(0,MIN((12*(YEAR(BD$3)-YEAR($B$39))+MONTH(BD$3)-MONTH($B$39)),(12*(YEAR($B$38)-YEAR($B$39))+MONTH($B$38)-MONTH($B$39))))*(1+'Вводные'!$K$55)^MAX(0,(12*(YEAR(BD$3)-YEAR($B$38))+MONTH(BD$3)-MONTH($B$38))))</x:f>
        <x:v>0</x:v>
      </x:c>
      <x:c r="BE51" s="107" t="n">
        <x:f>IF(BE50=0,0,'Вводные'!$K$51*'Вводные'!$H$5*INDEX('Вводные'!$S$88:$S$90,$B$36)*INDEX('Вводные'!$AG$88:$AG$90,$B$36)*(1+'Вводные'!$K$54)^MAX(0,MIN((12*(YEAR(BE$3)-YEAR($B$39))+MONTH(BE$3)-MONTH($B$39)),(12*(YEAR($B$38)-YEAR($B$39))+MONTH($B$38)-MONTH($B$39))))*(1+'Вводные'!$K$55)^MAX(0,(12*(YEAR(BE$3)-YEAR($B$38))+MONTH(BE$3)-MONTH($B$38))))</x:f>
        <x:v>0</x:v>
      </x:c>
      <x:c r="BF51" s="107" t="n">
        <x:f>IF(BF50=0,0,'Вводные'!$K$51*'Вводные'!$H$5*INDEX('Вводные'!$S$88:$S$90,$B$36)*INDEX('Вводные'!$AG$88:$AG$90,$B$36)*(1+'Вводные'!$K$54)^MAX(0,MIN((12*(YEAR(BF$3)-YEAR($B$39))+MONTH(BF$3)-MONTH($B$39)),(12*(YEAR($B$38)-YEAR($B$39))+MONTH($B$38)-MONTH($B$39))))*(1+'Вводные'!$K$55)^MAX(0,(12*(YEAR(BF$3)-YEAR($B$38))+MONTH(BF$3)-MONTH($B$38))))</x:f>
        <x:v>0</x:v>
      </x:c>
      <x:c r="BG51" s="107" t="n">
        <x:f>IF(BG50=0,0,'Вводные'!$K$51*'Вводные'!$H$5*INDEX('Вводные'!$S$88:$S$90,$B$36)*INDEX('Вводные'!$AG$88:$AG$90,$B$36)*(1+'Вводные'!$K$54)^MAX(0,MIN((12*(YEAR(BG$3)-YEAR($B$39))+MONTH(BG$3)-MONTH($B$39)),(12*(YEAR($B$38)-YEAR($B$39))+MONTH($B$38)-MONTH($B$39))))*(1+'Вводные'!$K$55)^MAX(0,(12*(YEAR(BG$3)-YEAR($B$38))+MONTH(BG$3)-MONTH($B$38))))</x:f>
        <x:v>0</x:v>
      </x:c>
      <x:c r="BH51" s="107" t="n">
        <x:f>IF(BH50=0,0,'Вводные'!$K$51*'Вводные'!$H$5*INDEX('Вводные'!$S$88:$S$90,$B$36)*INDEX('Вводные'!$AG$88:$AG$90,$B$36)*(1+'Вводные'!$K$54)^MAX(0,MIN((12*(YEAR(BH$3)-YEAR($B$39))+MONTH(BH$3)-MONTH($B$39)),(12*(YEAR($B$38)-YEAR($B$39))+MONTH($B$38)-MONTH($B$39))))*(1+'Вводные'!$K$55)^MAX(0,(12*(YEAR(BH$3)-YEAR($B$38))+MONTH(BH$3)-MONTH($B$38))))</x:f>
        <x:v>0</x:v>
      </x:c>
      <x:c r="BI51" s="107" t="n">
        <x:f>IF(BI50=0,0,'Вводные'!$K$51*'Вводные'!$H$5*INDEX('Вводные'!$S$88:$S$90,$B$36)*INDEX('Вводные'!$AG$88:$AG$90,$B$36)*(1+'Вводные'!$K$54)^MAX(0,MIN((12*(YEAR(BI$3)-YEAR($B$39))+MONTH(BI$3)-MONTH($B$39)),(12*(YEAR($B$38)-YEAR($B$39))+MONTH($B$38)-MONTH($B$39))))*(1+'Вводные'!$K$55)^MAX(0,(12*(YEAR(BI$3)-YEAR($B$38))+MONTH(BI$3)-MONTH($B$38))))</x:f>
        <x:v>0</x:v>
      </x:c>
      <x:c r="BJ51" s="107" t="n">
        <x:f>IF(BJ50=0,0,'Вводные'!$K$51*'Вводные'!$H$5*INDEX('Вводные'!$S$88:$S$90,$B$36)*INDEX('Вводные'!$AG$88:$AG$90,$B$36)*(1+'Вводные'!$K$54)^MAX(0,MIN((12*(YEAR(BJ$3)-YEAR($B$39))+MONTH(BJ$3)-MONTH($B$39)),(12*(YEAR($B$38)-YEAR($B$39))+MONTH($B$38)-MONTH($B$39))))*(1+'Вводные'!$K$55)^MAX(0,(12*(YEAR(BJ$3)-YEAR($B$38))+MONTH(BJ$3)-MONTH($B$38))))</x:f>
        <x:v>0</x:v>
      </x:c>
      <x:c r="BK51" s="107" t="n">
        <x:f>IF(BK50=0,0,'Вводные'!$K$51*'Вводные'!$H$5*INDEX('Вводные'!$S$88:$S$90,$B$36)*INDEX('Вводные'!$AG$88:$AG$90,$B$36)*(1+'Вводные'!$K$54)^MAX(0,MIN((12*(YEAR(BK$3)-YEAR($B$39))+MONTH(BK$3)-MONTH($B$39)),(12*(YEAR($B$38)-YEAR($B$39))+MONTH($B$38)-MONTH($B$39))))*(1+'Вводные'!$K$55)^MAX(0,(12*(YEAR(BK$3)-YEAR($B$38))+MONTH(BK$3)-MONTH($B$38))))</x:f>
        <x:v>0</x:v>
      </x:c>
      <x:c r="BL51" s="107" t="n">
        <x:f>IF(BL50=0,0,'Вводные'!$K$51*'Вводные'!$H$5*INDEX('Вводные'!$S$88:$S$90,$B$36)*INDEX('Вводные'!$AG$88:$AG$90,$B$36)*(1+'Вводные'!$K$54)^MAX(0,MIN((12*(YEAR(BL$3)-YEAR($B$39))+MONTH(BL$3)-MONTH($B$39)),(12*(YEAR($B$38)-YEAR($B$39))+MONTH($B$38)-MONTH($B$39))))*(1+'Вводные'!$K$55)^MAX(0,(12*(YEAR(BL$3)-YEAR($B$38))+MONTH(BL$3)-MONTH($B$38))))</x:f>
        <x:v>0</x:v>
      </x:c>
      <x:c r="BM51" s="107" t="n">
        <x:f>IF(BM50=0,0,'Вводные'!$K$51*'Вводные'!$H$5*INDEX('Вводные'!$S$88:$S$90,$B$36)*INDEX('Вводные'!$AG$88:$AG$90,$B$36)*(1+'Вводные'!$K$54)^MAX(0,MIN((12*(YEAR(BM$3)-YEAR($B$39))+MONTH(BM$3)-MONTH($B$39)),(12*(YEAR($B$38)-YEAR($B$39))+MONTH($B$38)-MONTH($B$39))))*(1+'Вводные'!$K$55)^MAX(0,(12*(YEAR(BM$3)-YEAR($B$38))+MONTH(BM$3)-MONTH($B$38))))</x:f>
        <x:v>0</x:v>
      </x:c>
      <x:c r="BN51" s="107" t="n">
        <x:f>IF(BN50=0,0,'Вводные'!$K$51*'Вводные'!$H$5*INDEX('Вводные'!$S$88:$S$90,$B$36)*INDEX('Вводные'!$AG$88:$AG$90,$B$36)*(1+'Вводные'!$K$54)^MAX(0,MIN((12*(YEAR(BN$3)-YEAR($B$39))+MONTH(BN$3)-MONTH($B$39)),(12*(YEAR($B$38)-YEAR($B$39))+MONTH($B$38)-MONTH($B$39))))*(1+'Вводные'!$K$55)^MAX(0,(12*(YEAR(BN$3)-YEAR($B$38))+MONTH(BN$3)-MONTH($B$38))))</x:f>
        <x:v>0</x:v>
      </x:c>
      <x:c r="BO51" s="107" t="n">
        <x:f>IF(BO50=0,0,'Вводные'!$K$51*'Вводные'!$H$5*INDEX('Вводные'!$S$88:$S$90,$B$36)*INDEX('Вводные'!$AG$88:$AG$90,$B$36)*(1+'Вводные'!$K$54)^MAX(0,MIN((12*(YEAR(BO$3)-YEAR($B$39))+MONTH(BO$3)-MONTH($B$39)),(12*(YEAR($B$38)-YEAR($B$39))+MONTH($B$38)-MONTH($B$39))))*(1+'Вводные'!$K$55)^MAX(0,(12*(YEAR(BO$3)-YEAR($B$38))+MONTH(BO$3)-MONTH($B$38))))</x:f>
        <x:v>0</x:v>
      </x:c>
      <x:c r="BP51" s="107" t="n">
        <x:f>IF(BP50=0,0,'Вводные'!$K$51*'Вводные'!$H$5*INDEX('Вводные'!$S$88:$S$90,$B$36)*INDEX('Вводные'!$AG$88:$AG$90,$B$36)*(1+'Вводные'!$K$54)^MAX(0,MIN((12*(YEAR(BP$3)-YEAR($B$39))+MONTH(BP$3)-MONTH($B$39)),(12*(YEAR($B$38)-YEAR($B$39))+MONTH($B$38)-MONTH($B$39))))*(1+'Вводные'!$K$55)^MAX(0,(12*(YEAR(BP$3)-YEAR($B$38))+MONTH(BP$3)-MONTH($B$38))))</x:f>
        <x:v>0</x:v>
      </x:c>
      <x:c r="BQ51" s="107" t="n">
        <x:f>IF(BQ50=0,0,'Вводные'!$K$51*'Вводные'!$H$5*INDEX('Вводные'!$S$88:$S$90,$B$36)*INDEX('Вводные'!$AG$88:$AG$90,$B$36)*(1+'Вводные'!$K$54)^MAX(0,MIN((12*(YEAR(BQ$3)-YEAR($B$39))+MONTH(BQ$3)-MONTH($B$39)),(12*(YEAR($B$38)-YEAR($B$39))+MONTH($B$38)-MONTH($B$39))))*(1+'Вводные'!$K$55)^MAX(0,(12*(YEAR(BQ$3)-YEAR($B$38))+MONTH(BQ$3)-MONTH($B$38))))</x:f>
        <x:v>0</x:v>
      </x:c>
      <x:c r="BR51" s="107" t="n">
        <x:f>IF(BR50=0,0,'Вводные'!$K$51*'Вводные'!$H$5*INDEX('Вводные'!$S$88:$S$90,$B$36)*INDEX('Вводные'!$AG$88:$AG$90,$B$36)*(1+'Вводные'!$K$54)^MAX(0,MIN((12*(YEAR(BR$3)-YEAR($B$39))+MONTH(BR$3)-MONTH($B$39)),(12*(YEAR($B$38)-YEAR($B$39))+MONTH($B$38)-MONTH($B$39))))*(1+'Вводные'!$K$55)^MAX(0,(12*(YEAR(BR$3)-YEAR($B$38))+MONTH(BR$3)-MONTH($B$38))))</x:f>
        <x:v>0</x:v>
      </x:c>
      <x:c r="BS51" s="107" t="n">
        <x:f>IF(BS50=0,0,'Вводные'!$K$51*'Вводные'!$H$5*INDEX('Вводные'!$S$88:$S$90,$B$36)*INDEX('Вводные'!$AG$88:$AG$90,$B$36)*(1+'Вводные'!$K$54)^MAX(0,MIN((12*(YEAR(BS$3)-YEAR($B$39))+MONTH(BS$3)-MONTH($B$39)),(12*(YEAR($B$38)-YEAR($B$39))+MONTH($B$38)-MONTH($B$39))))*(1+'Вводные'!$K$55)^MAX(0,(12*(YEAR(BS$3)-YEAR($B$38))+MONTH(BS$3)-MONTH($B$38))))</x:f>
        <x:v>0</x:v>
      </x:c>
      <x:c r="BT51" s="107" t="n">
        <x:f>IF(BT50=0,0,'Вводные'!$K$51*'Вводные'!$H$5*INDEX('Вводные'!$S$88:$S$90,$B$36)*INDEX('Вводные'!$AG$88:$AG$90,$B$36)*(1+'Вводные'!$K$54)^MAX(0,MIN((12*(YEAR(BT$3)-YEAR($B$39))+MONTH(BT$3)-MONTH($B$39)),(12*(YEAR($B$38)-YEAR($B$39))+MONTH($B$38)-MONTH($B$39))))*(1+'Вводные'!$K$55)^MAX(0,(12*(YEAR(BT$3)-YEAR($B$38))+MONTH(BT$3)-MONTH($B$38))))</x:f>
        <x:v>0</x:v>
      </x:c>
      <x:c r="BU51" s="107" t="n">
        <x:f>IF(BU50=0,0,'Вводные'!$K$51*'Вводные'!$H$5*INDEX('Вводные'!$S$88:$S$90,$B$36)*INDEX('Вводные'!$AG$88:$AG$90,$B$36)*(1+'Вводные'!$K$54)^MAX(0,MIN((12*(YEAR(BU$3)-YEAR($B$39))+MONTH(BU$3)-MONTH($B$39)),(12*(YEAR($B$38)-YEAR($B$39))+MONTH($B$38)-MONTH($B$39))))*(1+'Вводные'!$K$55)^MAX(0,(12*(YEAR(BU$3)-YEAR($B$38))+MONTH(BU$3)-MONTH($B$38))))</x:f>
        <x:v>0</x:v>
      </x:c>
      <x:c r="BV51" s="107" t="n">
        <x:f>IF(BV50=0,0,'Вводные'!$K$51*'Вводные'!$H$5*INDEX('Вводные'!$S$88:$S$90,$B$36)*INDEX('Вводные'!$AG$88:$AG$90,$B$36)*(1+'Вводные'!$K$54)^MAX(0,MIN((12*(YEAR(BV$3)-YEAR($B$39))+MONTH(BV$3)-MONTH($B$39)),(12*(YEAR($B$38)-YEAR($B$39))+MONTH($B$38)-MONTH($B$39))))*(1+'Вводные'!$K$55)^MAX(0,(12*(YEAR(BV$3)-YEAR($B$38))+MONTH(BV$3)-MONTH($B$38))))</x:f>
        <x:v>0</x:v>
      </x:c>
      <x:c r="BW51" s="107" t="n">
        <x:f>IF(BW50=0,0,'Вводные'!$K$51*'Вводные'!$H$5*INDEX('Вводные'!$S$88:$S$90,$B$36)*INDEX('Вводные'!$AG$88:$AG$90,$B$36)*(1+'Вводные'!$K$54)^MAX(0,MIN((12*(YEAR(BW$3)-YEAR($B$39))+MONTH(BW$3)-MONTH($B$39)),(12*(YEAR($B$38)-YEAR($B$39))+MONTH($B$38)-MONTH($B$39))))*(1+'Вводные'!$K$55)^MAX(0,(12*(YEAR(BW$3)-YEAR($B$38))+MONTH(BW$3)-MONTH($B$38))))</x:f>
        <x:v>0</x:v>
      </x:c>
      <x:c r="BX51" s="107" t="n">
        <x:f>IF(BX50=0,0,'Вводные'!$K$51*'Вводные'!$H$5*INDEX('Вводные'!$S$88:$S$90,$B$36)*INDEX('Вводные'!$AG$88:$AG$90,$B$36)*(1+'Вводные'!$K$54)^MAX(0,MIN((12*(YEAR(BX$3)-YEAR($B$39))+MONTH(BX$3)-MONTH($B$39)),(12*(YEAR($B$38)-YEAR($B$39))+MONTH($B$38)-MONTH($B$39))))*(1+'Вводные'!$K$55)^MAX(0,(12*(YEAR(BX$3)-YEAR($B$38))+MONTH(BX$3)-MONTH($B$38))))</x:f>
        <x:v>0</x:v>
      </x:c>
      <x:c r="BY51" s="107" t="n">
        <x:f>IF(BY50=0,0,'Вводные'!$K$51*'Вводные'!$H$5*INDEX('Вводные'!$S$88:$S$90,$B$36)*INDEX('Вводные'!$AG$88:$AG$90,$B$36)*(1+'Вводные'!$K$54)^MAX(0,MIN((12*(YEAR(BY$3)-YEAR($B$39))+MONTH(BY$3)-MONTH($B$39)),(12*(YEAR($B$38)-YEAR($B$39))+MONTH($B$38)-MONTH($B$39))))*(1+'Вводные'!$K$55)^MAX(0,(12*(YEAR(BY$3)-YEAR($B$38))+MONTH(BY$3)-MONTH($B$38))))</x:f>
        <x:v>0</x:v>
      </x:c>
      <x:c r="BZ51" s="107" t="n">
        <x:f>IF(BZ50=0,0,'Вводные'!$K$51*'Вводные'!$H$5*INDEX('Вводные'!$S$88:$S$90,$B$36)*INDEX('Вводные'!$AG$88:$AG$90,$B$36)*(1+'Вводные'!$K$54)^MAX(0,MIN((12*(YEAR(BZ$3)-YEAR($B$39))+MONTH(BZ$3)-MONTH($B$39)),(12*(YEAR($B$38)-YEAR($B$39))+MONTH($B$38)-MONTH($B$39))))*(1+'Вводные'!$K$55)^MAX(0,(12*(YEAR(BZ$3)-YEAR($B$38))+MONTH(BZ$3)-MONTH($B$38))))</x:f>
        <x:v>0</x:v>
      </x:c>
      <x:c r="CA51" s="107" t="n">
        <x:f>IF(CA50=0,0,'Вводные'!$K$51*'Вводные'!$H$5*INDEX('Вводные'!$S$88:$S$90,$B$36)*INDEX('Вводные'!$AG$88:$AG$90,$B$36)*(1+'Вводные'!$K$54)^MAX(0,MIN((12*(YEAR(CA$3)-YEAR($B$39))+MONTH(CA$3)-MONTH($B$39)),(12*(YEAR($B$38)-YEAR($B$39))+MONTH($B$38)-MONTH($B$39))))*(1+'Вводные'!$K$55)^MAX(0,(12*(YEAR(CA$3)-YEAR($B$38))+MONTH(CA$3)-MONTH($B$38))))</x:f>
        <x:v>0</x:v>
      </x:c>
      <x:c r="CB51" s="107" t="n">
        <x:f>IF(CB50=0,0,'Вводные'!$K$51*'Вводные'!$H$5*INDEX('Вводные'!$S$88:$S$90,$B$36)*INDEX('Вводные'!$AG$88:$AG$90,$B$36)*(1+'Вводные'!$K$54)^MAX(0,MIN((12*(YEAR(CB$3)-YEAR($B$39))+MONTH(CB$3)-MONTH($B$39)),(12*(YEAR($B$38)-YEAR($B$39))+MONTH($B$38)-MONTH($B$39))))*(1+'Вводные'!$K$55)^MAX(0,(12*(YEAR(CB$3)-YEAR($B$38))+MONTH(CB$3)-MONTH($B$38))))</x:f>
        <x:v>0</x:v>
      </x:c>
      <x:c r="CC51" s="107" t="n">
        <x:f>IF(CC50=0,0,'Вводные'!$K$51*'Вводные'!$H$5*INDEX('Вводные'!$S$88:$S$90,$B$36)*INDEX('Вводные'!$AG$88:$AG$90,$B$36)*(1+'Вводные'!$K$54)^MAX(0,MIN((12*(YEAR(CC$3)-YEAR($B$39))+MONTH(CC$3)-MONTH($B$39)),(12*(YEAR($B$38)-YEAR($B$39))+MONTH($B$38)-MONTH($B$39))))*(1+'Вводные'!$K$55)^MAX(0,(12*(YEAR(CC$3)-YEAR($B$38))+MONTH(CC$3)-MONTH($B$38))))</x:f>
        <x:v>0</x:v>
      </x:c>
      <x:c r="CD51" s="107" t="n">
        <x:f>IF(CD50=0,0,'Вводные'!$K$51*'Вводные'!$H$5*INDEX('Вводные'!$S$88:$S$90,$B$36)*INDEX('Вводные'!$AG$88:$AG$90,$B$36)*(1+'Вводные'!$K$54)^MAX(0,MIN((12*(YEAR(CD$3)-YEAR($B$39))+MONTH(CD$3)-MONTH($B$39)),(12*(YEAR($B$38)-YEAR($B$39))+MONTH($B$38)-MONTH($B$39))))*(1+'Вводные'!$K$55)^MAX(0,(12*(YEAR(CD$3)-YEAR($B$38))+MONTH(CD$3)-MONTH($B$38))))</x:f>
        <x:v>0</x:v>
      </x:c>
      <x:c r="CE51" s="107" t="n">
        <x:f>IF(CE50=0,0,'Вводные'!$K$51*'Вводные'!$H$5*INDEX('Вводные'!$S$88:$S$90,$B$36)*INDEX('Вводные'!$AG$88:$AG$90,$B$36)*(1+'Вводные'!$K$54)^MAX(0,MIN((12*(YEAR(CE$3)-YEAR($B$39))+MONTH(CE$3)-MONTH($B$39)),(12*(YEAR($B$38)-YEAR($B$39))+MONTH($B$38)-MONTH($B$39))))*(1+'Вводные'!$K$55)^MAX(0,(12*(YEAR(CE$3)-YEAR($B$38))+MONTH(CE$3)-MONTH($B$38))))</x:f>
        <x:v>0</x:v>
      </x:c>
      <x:c r="CF51" s="107" t="n">
        <x:f>IF(CF50=0,0,'Вводные'!$K$51*'Вводные'!$H$5*INDEX('Вводные'!$S$88:$S$90,$B$36)*INDEX('Вводные'!$AG$88:$AG$90,$B$36)*(1+'Вводные'!$K$54)^MAX(0,MIN((12*(YEAR(CF$3)-YEAR($B$39))+MONTH(CF$3)-MONTH($B$39)),(12*(YEAR($B$38)-YEAR($B$39))+MONTH($B$38)-MONTH($B$39))))*(1+'Вводные'!$K$55)^MAX(0,(12*(YEAR(CF$3)-YEAR($B$38))+MONTH(CF$3)-MONTH($B$38))))</x:f>
        <x:v>0</x:v>
      </x:c>
      <x:c r="CG51" s="107" t="n">
        <x:f>IF(CG50=0,0,'Вводные'!$K$51*'Вводные'!$H$5*INDEX('Вводные'!$S$88:$S$90,$B$36)*INDEX('Вводные'!$AG$88:$AG$90,$B$36)*(1+'Вводные'!$K$54)^MAX(0,MIN((12*(YEAR(CG$3)-YEAR($B$39))+MONTH(CG$3)-MONTH($B$39)),(12*(YEAR($B$38)-YEAR($B$39))+MONTH($B$38)-MONTH($B$39))))*(1+'Вводные'!$K$55)^MAX(0,(12*(YEAR(CG$3)-YEAR($B$38))+MONTH(CG$3)-MONTH($B$38))))</x:f>
        <x:v>0</x:v>
      </x:c>
      <x:c r="CH51" s="107" t="n">
        <x:f>IF(CH50=0,0,'Вводные'!$K$51*'Вводные'!$H$5*INDEX('Вводные'!$S$88:$S$90,$B$36)*INDEX('Вводные'!$AG$88:$AG$90,$B$36)*(1+'Вводные'!$K$54)^MAX(0,MIN((12*(YEAR(CH$3)-YEAR($B$39))+MONTH(CH$3)-MONTH($B$39)),(12*(YEAR($B$38)-YEAR($B$39))+MONTH($B$38)-MONTH($B$39))))*(1+'Вводные'!$K$55)^MAX(0,(12*(YEAR(CH$3)-YEAR($B$38))+MONTH(CH$3)-MONTH($B$38))))</x:f>
        <x:v>0</x:v>
      </x:c>
      <x:c r="CI51" s="107" t="n">
        <x:f>IF(CI50=0,0,'Вводные'!$K$51*'Вводные'!$H$5*INDEX('Вводные'!$S$88:$S$90,$B$36)*INDEX('Вводные'!$AG$88:$AG$90,$B$36)*(1+'Вводные'!$K$54)^MAX(0,MIN((12*(YEAR(CI$3)-YEAR($B$39))+MONTH(CI$3)-MONTH($B$39)),(12*(YEAR($B$38)-YEAR($B$39))+MONTH($B$38)-MONTH($B$39))))*(1+'Вводные'!$K$55)^MAX(0,(12*(YEAR(CI$3)-YEAR($B$38))+MONTH(CI$3)-MONTH($B$38))))</x:f>
        <x:v>0</x:v>
      </x:c>
      <x:c r="CJ51" s="107" t="n">
        <x:f>IF(CJ50=0,0,'Вводные'!$K$51*'Вводные'!$H$5*INDEX('Вводные'!$S$88:$S$90,$B$36)*INDEX('Вводные'!$AG$88:$AG$90,$B$36)*(1+'Вводные'!$K$54)^MAX(0,MIN((12*(YEAR(CJ$3)-YEAR($B$39))+MONTH(CJ$3)-MONTH($B$39)),(12*(YEAR($B$38)-YEAR($B$39))+MONTH($B$38)-MONTH($B$39))))*(1+'Вводные'!$K$55)^MAX(0,(12*(YEAR(CJ$3)-YEAR($B$38))+MONTH(CJ$3)-MONTH($B$38))))</x:f>
        <x:v>0</x:v>
      </x:c>
      <x:c r="CK51" s="107" t="n">
        <x:f>IF(CK50=0,0,'Вводные'!$K$51*'Вводные'!$H$5*INDEX('Вводные'!$S$88:$S$90,$B$36)*INDEX('Вводные'!$AG$88:$AG$90,$B$36)*(1+'Вводные'!$K$54)^MAX(0,MIN((12*(YEAR(CK$3)-YEAR($B$39))+MONTH(CK$3)-MONTH($B$39)),(12*(YEAR($B$38)-YEAR($B$39))+MONTH($B$38)-MONTH($B$39))))*(1+'Вводные'!$K$55)^MAX(0,(12*(YEAR(CK$3)-YEAR($B$38))+MONTH(CK$3)-MONTH($B$38))))</x:f>
        <x:v>0</x:v>
      </x:c>
      <x:c r="CL51" s="107" t="n">
        <x:f>IF(CL50=0,0,'Вводные'!$K$51*'Вводные'!$H$5*INDEX('Вводные'!$S$88:$S$90,$B$36)*INDEX('Вводные'!$AG$88:$AG$90,$B$36)*(1+'Вводные'!$K$54)^MAX(0,MIN((12*(YEAR(CL$3)-YEAR($B$39))+MONTH(CL$3)-MONTH($B$39)),(12*(YEAR($B$38)-YEAR($B$39))+MONTH($B$38)-MONTH($B$39))))*(1+'Вводные'!$K$55)^MAX(0,(12*(YEAR(CL$3)-YEAR($B$38))+MONTH(CL$3)-MONTH($B$38))))</x:f>
        <x:v>0</x:v>
      </x:c>
      <x:c r="CM51" s="107" t="n">
        <x:f>IF(CM50=0,0,'Вводные'!$K$51*'Вводные'!$H$5*INDEX('Вводные'!$S$88:$S$90,$B$36)*INDEX('Вводные'!$AG$88:$AG$90,$B$36)*(1+'Вводные'!$K$54)^MAX(0,MIN((12*(YEAR(CM$3)-YEAR($B$39))+MONTH(CM$3)-MONTH($B$39)),(12*(YEAR($B$38)-YEAR($B$39))+MONTH($B$38)-MONTH($B$39))))*(1+'Вводные'!$K$55)^MAX(0,(12*(YEAR(CM$3)-YEAR($B$38))+MONTH(CM$3)-MONTH($B$38))))</x:f>
        <x:v>0</x:v>
      </x:c>
      <x:c r="CN51" s="107" t="n">
        <x:f>IF(CN50=0,0,'Вводные'!$K$51*'Вводные'!$H$5*INDEX('Вводные'!$S$88:$S$90,$B$36)*INDEX('Вводные'!$AG$88:$AG$90,$B$36)*(1+'Вводные'!$K$54)^MAX(0,MIN((12*(YEAR(CN$3)-YEAR($B$39))+MONTH(CN$3)-MONTH($B$39)),(12*(YEAR($B$38)-YEAR($B$39))+MONTH($B$38)-MONTH($B$39))))*(1+'Вводные'!$K$55)^MAX(0,(12*(YEAR(CN$3)-YEAR($B$38))+MONTH(CN$3)-MONTH($B$38))))</x:f>
        <x:v>0</x:v>
      </x:c>
      <x:c r="CO51" s="107" t="n">
        <x:f>IF(CO50=0,0,'Вводные'!$K$51*'Вводные'!$H$5*INDEX('Вводные'!$S$88:$S$90,$B$36)*INDEX('Вводные'!$AG$88:$AG$90,$B$36)*(1+'Вводные'!$K$54)^MAX(0,MIN((12*(YEAR(CO$3)-YEAR($B$39))+MONTH(CO$3)-MONTH($B$39)),(12*(YEAR($B$38)-YEAR($B$39))+MONTH($B$38)-MONTH($B$39))))*(1+'Вводные'!$K$55)^MAX(0,(12*(YEAR(CO$3)-YEAR($B$38))+MONTH(CO$3)-MONTH($B$38))))</x:f>
        <x:v>0</x:v>
      </x:c>
      <x:c r="CP51" s="107" t="n">
        <x:f>IF(CP50=0,0,'Вводные'!$K$51*'Вводные'!$H$5*INDEX('Вводные'!$S$88:$S$90,$B$36)*INDEX('Вводные'!$AG$88:$AG$90,$B$36)*(1+'Вводные'!$K$54)^MAX(0,MIN((12*(YEAR(CP$3)-YEAR($B$39))+MONTH(CP$3)-MONTH($B$39)),(12*(YEAR($B$38)-YEAR($B$39))+MONTH($B$38)-MONTH($B$39))))*(1+'Вводные'!$K$55)^MAX(0,(12*(YEAR(CP$3)-YEAR($B$38))+MONTH(CP$3)-MONTH($B$38))))</x:f>
        <x:v>0</x:v>
      </x:c>
      <x:c r="CQ51" s="107" t="n">
        <x:f>IF(CQ50=0,0,'Вводные'!$K$51*'Вводные'!$H$5*INDEX('Вводные'!$S$88:$S$90,$B$36)*INDEX('Вводные'!$AG$88:$AG$90,$B$36)*(1+'Вводные'!$K$54)^MAX(0,MIN((12*(YEAR(CQ$3)-YEAR($B$39))+MONTH(CQ$3)-MONTH($B$39)),(12*(YEAR($B$38)-YEAR($B$39))+MONTH($B$38)-MONTH($B$39))))*(1+'Вводные'!$K$55)^MAX(0,(12*(YEAR(CQ$3)-YEAR($B$38))+MONTH(CQ$3)-MONTH($B$38))))</x:f>
        <x:v>0</x:v>
      </x:c>
      <x:c r="CR51" s="107" t="n">
        <x:f>IF(CR50=0,0,'Вводные'!$K$51*'Вводные'!$H$5*INDEX('Вводные'!$S$88:$S$90,$B$36)*INDEX('Вводные'!$AG$88:$AG$90,$B$36)*(1+'Вводные'!$K$54)^MAX(0,MIN((12*(YEAR(CR$3)-YEAR($B$39))+MONTH(CR$3)-MONTH($B$39)),(12*(YEAR($B$38)-YEAR($B$39))+MONTH($B$38)-MONTH($B$39))))*(1+'Вводные'!$K$55)^MAX(0,(12*(YEAR(CR$3)-YEAR($B$38))+MONTH(CR$3)-MONTH($B$38))))</x:f>
        <x:v>0</x:v>
      </x:c>
      <x:c r="CS51" s="107" t="n">
        <x:f>IF(CS50=0,0,'Вводные'!$K$51*'Вводные'!$H$5*INDEX('Вводные'!$S$88:$S$90,$B$36)*INDEX('Вводные'!$AG$88:$AG$90,$B$36)*(1+'Вводные'!$K$54)^MAX(0,MIN((12*(YEAR(CS$3)-YEAR($B$39))+MONTH(CS$3)-MONTH($B$39)),(12*(YEAR($B$38)-YEAR($B$39))+MONTH($B$38)-MONTH($B$39))))*(1+'Вводные'!$K$55)^MAX(0,(12*(YEAR(CS$3)-YEAR($B$38))+MONTH(CS$3)-MONTH($B$38))))</x:f>
        <x:v>0</x:v>
      </x:c>
      <x:c r="CT51" s="107" t="n">
        <x:f>IF(CT50=0,0,'Вводные'!$K$51*'Вводные'!$H$5*INDEX('Вводные'!$S$88:$S$90,$B$36)*INDEX('Вводные'!$AG$88:$AG$90,$B$36)*(1+'Вводные'!$K$54)^MAX(0,MIN((12*(YEAR(CT$3)-YEAR($B$39))+MONTH(CT$3)-MONTH($B$39)),(12*(YEAR($B$38)-YEAR($B$39))+MONTH($B$38)-MONTH($B$39))))*(1+'Вводные'!$K$55)^MAX(0,(12*(YEAR(CT$3)-YEAR($B$38))+MONTH(CT$3)-MONTH($B$38))))</x:f>
        <x:v>0</x:v>
      </x:c>
      <x:c r="CU51" s="107" t="n">
        <x:f>IF(CU50=0,0,'Вводные'!$K$51*'Вводные'!$H$5*INDEX('Вводные'!$S$88:$S$90,$B$36)*INDEX('Вводные'!$AG$88:$AG$90,$B$36)*(1+'Вводные'!$K$54)^MAX(0,MIN((12*(YEAR(CU$3)-YEAR($B$39))+MONTH(CU$3)-MONTH($B$39)),(12*(YEAR($B$38)-YEAR($B$39))+MONTH($B$38)-MONTH($B$39))))*(1+'Вводные'!$K$55)^MAX(0,(12*(YEAR(CU$3)-YEAR($B$38))+MONTH(CU$3)-MONTH($B$38))))</x:f>
        <x:v>0</x:v>
      </x:c>
      <x:c r="CV51" s="107" t="n">
        <x:f>IF(CV50=0,0,'Вводные'!$K$51*'Вводные'!$H$5*INDEX('Вводные'!$S$88:$S$90,$B$36)*INDEX('Вводные'!$AG$88:$AG$90,$B$36)*(1+'Вводные'!$K$54)^MAX(0,MIN((12*(YEAR(CV$3)-YEAR($B$39))+MONTH(CV$3)-MONTH($B$39)),(12*(YEAR($B$38)-YEAR($B$39))+MONTH($B$38)-MONTH($B$39))))*(1+'Вводные'!$K$55)^MAX(0,(12*(YEAR(CV$3)-YEAR($B$38))+MONTH(CV$3)-MONTH($B$38))))</x:f>
        <x:v>0</x:v>
      </x:c>
      <x:c r="CW51" s="107" t="n">
        <x:f>IF(CW50=0,0,'Вводные'!$K$51*'Вводные'!$H$5*INDEX('Вводные'!$S$88:$S$90,$B$36)*INDEX('Вводные'!$AG$88:$AG$90,$B$36)*(1+'Вводные'!$K$54)^MAX(0,MIN((12*(YEAR(CW$3)-YEAR($B$39))+MONTH(CW$3)-MONTH($B$39)),(12*(YEAR($B$38)-YEAR($B$39))+MONTH($B$38)-MONTH($B$39))))*(1+'Вводные'!$K$55)^MAX(0,(12*(YEAR(CW$3)-YEAR($B$38))+MONTH(CW$3)-MONTH($B$38))))</x:f>
        <x:v>0</x:v>
      </x:c>
      <x:c r="CX51" s="107" t="n">
        <x:f>IF(CX50=0,0,'Вводные'!$K$51*'Вводные'!$H$5*INDEX('Вводные'!$S$88:$S$90,$B$36)*INDEX('Вводные'!$AG$88:$AG$90,$B$36)*(1+'Вводные'!$K$54)^MAX(0,MIN((12*(YEAR(CX$3)-YEAR($B$39))+MONTH(CX$3)-MONTH($B$39)),(12*(YEAR($B$38)-YEAR($B$39))+MONTH($B$38)-MONTH($B$39))))*(1+'Вводные'!$K$55)^MAX(0,(12*(YEAR(CX$3)-YEAR($B$38))+MONTH(CX$3)-MONTH($B$38))))</x:f>
        <x:v>0</x:v>
      </x:c>
      <x:c r="CY51" s="107" t="n">
        <x:f>IF(CY50=0,0,'Вводные'!$K$51*'Вводные'!$H$5*INDEX('Вводные'!$S$88:$S$90,$B$36)*INDEX('Вводные'!$AG$88:$AG$90,$B$36)*(1+'Вводные'!$K$54)^MAX(0,MIN((12*(YEAR(CY$3)-YEAR($B$39))+MONTH(CY$3)-MONTH($B$39)),(12*(YEAR($B$38)-YEAR($B$39))+MONTH($B$38)-MONTH($B$39))))*(1+'Вводные'!$K$55)^MAX(0,(12*(YEAR(CY$3)-YEAR($B$38))+MONTH(CY$3)-MONTH($B$38))))</x:f>
        <x:v>0</x:v>
      </x:c>
      <x:c r="CZ51" s="107" t="n">
        <x:f>IF(CZ50=0,0,'Вводные'!$K$51*'Вводные'!$H$5*INDEX('Вводные'!$S$88:$S$90,$B$36)*INDEX('Вводные'!$AG$88:$AG$90,$B$36)*(1+'Вводные'!$K$54)^MAX(0,MIN((12*(YEAR(CZ$3)-YEAR($B$39))+MONTH(CZ$3)-MONTH($B$39)),(12*(YEAR($B$38)-YEAR($B$39))+MONTH($B$38)-MONTH($B$39))))*(1+'Вводные'!$K$55)^MAX(0,(12*(YEAR(CZ$3)-YEAR($B$38))+MONTH(CZ$3)-MONTH($B$38))))</x:f>
        <x:v>0</x:v>
      </x:c>
      <x:c r="DA51" s="107" t="n">
        <x:f>IF(DA50=0,0,'Вводные'!$K$51*'Вводные'!$H$5*INDEX('Вводные'!$S$88:$S$90,$B$36)*INDEX('Вводные'!$AG$88:$AG$90,$B$36)*(1+'Вводные'!$K$54)^MAX(0,MIN((12*(YEAR(DA$3)-YEAR($B$39))+MONTH(DA$3)-MONTH($B$39)),(12*(YEAR($B$38)-YEAR($B$39))+MONTH($B$38)-MONTH($B$39))))*(1+'Вводные'!$K$55)^MAX(0,(12*(YEAR(DA$3)-YEAR($B$38))+MONTH(DA$3)-MONTH($B$38))))</x:f>
        <x:v>0</x:v>
      </x:c>
      <x:c r="DB51" s="107" t="n">
        <x:f>IF(DB50=0,0,'Вводные'!$K$51*'Вводные'!$H$5*INDEX('Вводные'!$S$88:$S$90,$B$36)*INDEX('Вводные'!$AG$88:$AG$90,$B$36)*(1+'Вводные'!$K$54)^MAX(0,MIN((12*(YEAR(DB$3)-YEAR($B$39))+MONTH(DB$3)-MONTH($B$39)),(12*(YEAR($B$38)-YEAR($B$39))+MONTH($B$38)-MONTH($B$39))))*(1+'Вводные'!$K$55)^MAX(0,(12*(YEAR(DB$3)-YEAR($B$38))+MONTH(DB$3)-MONTH($B$38))))</x:f>
        <x:v>0</x:v>
      </x:c>
      <x:c r="DC51" s="107" t="n">
        <x:f>IF(DC50=0,0,'Вводные'!$K$51*'Вводные'!$H$5*INDEX('Вводные'!$S$88:$S$90,$B$36)*INDEX('Вводные'!$AG$88:$AG$90,$B$36)*(1+'Вводные'!$K$54)^MAX(0,MIN((12*(YEAR(DC$3)-YEAR($B$39))+MONTH(DC$3)-MONTH($B$39)),(12*(YEAR($B$38)-YEAR($B$39))+MONTH($B$38)-MONTH($B$39))))*(1+'Вводные'!$K$55)^MAX(0,(12*(YEAR(DC$3)-YEAR($B$38))+MONTH(DC$3)-MONTH($B$38))))</x:f>
        <x:v>0</x:v>
      </x:c>
      <x:c r="DD51" s="107" t="n">
        <x:f>IF(DD50=0,0,'Вводные'!$K$51*'Вводные'!$H$5*INDEX('Вводные'!$S$88:$S$90,$B$36)*INDEX('Вводные'!$AG$88:$AG$90,$B$36)*(1+'Вводные'!$K$54)^MAX(0,MIN((12*(YEAR(DD$3)-YEAR($B$39))+MONTH(DD$3)-MONTH($B$39)),(12*(YEAR($B$38)-YEAR($B$39))+MONTH($B$38)-MONTH($B$39))))*(1+'Вводные'!$K$55)^MAX(0,(12*(YEAR(DD$3)-YEAR($B$38))+MONTH(DD$3)-MONTH($B$38))))</x:f>
        <x:v>0</x:v>
      </x:c>
      <x:c r="DE51" s="107" t="n">
        <x:f>IF(DE50=0,0,'Вводные'!$K$51*'Вводные'!$H$5*INDEX('Вводные'!$S$88:$S$90,$B$36)*INDEX('Вводные'!$AG$88:$AG$90,$B$36)*(1+'Вводные'!$K$54)^MAX(0,MIN((12*(YEAR(DE$3)-YEAR($B$39))+MONTH(DE$3)-MONTH($B$39)),(12*(YEAR($B$38)-YEAR($B$39))+MONTH($B$38)-MONTH($B$39))))*(1+'Вводные'!$K$55)^MAX(0,(12*(YEAR(DE$3)-YEAR($B$38))+MONTH(DE$3)-MONTH($B$38))))</x:f>
        <x:v>0</x:v>
      </x:c>
      <x:c r="DF51" s="107" t="n">
        <x:f>IF(DF50=0,0,'Вводные'!$K$51*'Вводные'!$H$5*INDEX('Вводные'!$S$88:$S$90,$B$36)*INDEX('Вводные'!$AG$88:$AG$90,$B$36)*(1+'Вводные'!$K$54)^MAX(0,MIN((12*(YEAR(DF$3)-YEAR($B$39))+MONTH(DF$3)-MONTH($B$39)),(12*(YEAR($B$38)-YEAR($B$39))+MONTH($B$38)-MONTH($B$39))))*(1+'Вводные'!$K$55)^MAX(0,(12*(YEAR(DF$3)-YEAR($B$38))+MONTH(DF$3)-MONTH($B$38))))</x:f>
        <x:v>0</x:v>
      </x:c>
      <x:c r="DG51" s="107" t="n">
        <x:f>IF(DG50=0,0,'Вводные'!$K$51*'Вводные'!$H$5*INDEX('Вводные'!$S$88:$S$90,$B$36)*INDEX('Вводные'!$AG$88:$AG$90,$B$36)*(1+'Вводные'!$K$54)^MAX(0,MIN((12*(YEAR(DG$3)-YEAR($B$39))+MONTH(DG$3)-MONTH($B$39)),(12*(YEAR($B$38)-YEAR($B$39))+MONTH($B$38)-MONTH($B$39))))*(1+'Вводные'!$K$55)^MAX(0,(12*(YEAR(DG$3)-YEAR($B$38))+MONTH(DG$3)-MONTH($B$38))))</x:f>
        <x:v>0</x:v>
      </x:c>
      <x:c r="DH51" s="107" t="n">
        <x:f>IF(DH50=0,0,'Вводные'!$K$51*'Вводные'!$H$5*INDEX('Вводные'!$S$88:$S$90,$B$36)*INDEX('Вводные'!$AG$88:$AG$90,$B$36)*(1+'Вводные'!$K$54)^MAX(0,MIN((12*(YEAR(DH$3)-YEAR($B$39))+MONTH(DH$3)-MONTH($B$39)),(12*(YEAR($B$38)-YEAR($B$39))+MONTH($B$38)-MONTH($B$39))))*(1+'Вводные'!$K$55)^MAX(0,(12*(YEAR(DH$3)-YEAR($B$38))+MONTH(DH$3)-MONTH($B$38))))</x:f>
        <x:v>0</x:v>
      </x:c>
      <x:c r="DI51" s="107" t="n">
        <x:f>IF(DI50=0,0,'Вводные'!$K$51*'Вводные'!$H$5*INDEX('Вводные'!$S$88:$S$90,$B$36)*INDEX('Вводные'!$AG$88:$AG$90,$B$36)*(1+'Вводные'!$K$54)^MAX(0,MIN((12*(YEAR(DI$3)-YEAR($B$39))+MONTH(DI$3)-MONTH($B$39)),(12*(YEAR($B$38)-YEAR($B$39))+MONTH($B$38)-MONTH($B$39))))*(1+'Вводные'!$K$55)^MAX(0,(12*(YEAR(DI$3)-YEAR($B$38))+MONTH(DI$3)-MONTH($B$38))))</x:f>
        <x:v>0</x:v>
      </x:c>
      <x:c r="DJ51" s="107" t="n">
        <x:f>IF(DJ50=0,0,'Вводные'!$K$51*'Вводные'!$H$5*INDEX('Вводные'!$S$88:$S$90,$B$36)*INDEX('Вводные'!$AG$88:$AG$90,$B$36)*(1+'Вводные'!$K$54)^MAX(0,MIN((12*(YEAR(DJ$3)-YEAR($B$39))+MONTH(DJ$3)-MONTH($B$39)),(12*(YEAR($B$38)-YEAR($B$39))+MONTH($B$38)-MONTH($B$39))))*(1+'Вводные'!$K$55)^MAX(0,(12*(YEAR(DJ$3)-YEAR($B$38))+MONTH(DJ$3)-MONTH($B$38))))</x:f>
        <x:v>0</x:v>
      </x:c>
      <x:c r="DK51" s="107" t="n">
        <x:f>IF(DK50=0,0,'Вводные'!$K$51*'Вводные'!$H$5*INDEX('Вводные'!$S$88:$S$90,$B$36)*INDEX('Вводные'!$AG$88:$AG$90,$B$36)*(1+'Вводные'!$K$54)^MAX(0,MIN((12*(YEAR(DK$3)-YEAR($B$39))+MONTH(DK$3)-MONTH($B$39)),(12*(YEAR($B$38)-YEAR($B$39))+MONTH($B$38)-MONTH($B$39))))*(1+'Вводные'!$K$55)^MAX(0,(12*(YEAR(DK$3)-YEAR($B$38))+MONTH(DK$3)-MONTH($B$38))))</x:f>
        <x:v>0</x:v>
      </x:c>
      <x:c r="DL51" s="107" t="n">
        <x:f>IF(DL50=0,0,'Вводные'!$K$51*'Вводные'!$H$5*INDEX('Вводные'!$S$88:$S$90,$B$36)*INDEX('Вводные'!$AG$88:$AG$90,$B$36)*(1+'Вводные'!$K$54)^MAX(0,MIN((12*(YEAR(DL$3)-YEAR($B$39))+MONTH(DL$3)-MONTH($B$39)),(12*(YEAR($B$38)-YEAR($B$39))+MONTH($B$38)-MONTH($B$39))))*(1+'Вводные'!$K$55)^MAX(0,(12*(YEAR(DL$3)-YEAR($B$38))+MONTH(DL$3)-MONTH($B$38))))</x:f>
        <x:v>0</x:v>
      </x:c>
      <x:c r="DM51" s="107" t="n">
        <x:f>IF(DM50=0,0,'Вводные'!$K$51*'Вводные'!$H$5*INDEX('Вводные'!$S$88:$S$90,$B$36)*INDEX('Вводные'!$AG$88:$AG$90,$B$36)*(1+'Вводные'!$K$54)^MAX(0,MIN((12*(YEAR(DM$3)-YEAR($B$39))+MONTH(DM$3)-MONTH($B$39)),(12*(YEAR($B$38)-YEAR($B$39))+MONTH($B$38)-MONTH($B$39))))*(1+'Вводные'!$K$55)^MAX(0,(12*(YEAR(DM$3)-YEAR($B$38))+MONTH(DM$3)-MONTH($B$38))))</x:f>
        <x:v>0</x:v>
      </x:c>
      <x:c r="DN51" s="107" t="n">
        <x:f>IF(DN50=0,0,'Вводные'!$K$51*'Вводные'!$H$5*INDEX('Вводные'!$S$88:$S$90,$B$36)*INDEX('Вводные'!$AG$88:$AG$90,$B$36)*(1+'Вводные'!$K$54)^MAX(0,MIN((12*(YEAR(DN$3)-YEAR($B$39))+MONTH(DN$3)-MONTH($B$39)),(12*(YEAR($B$38)-YEAR($B$39))+MONTH($B$38)-MONTH($B$39))))*(1+'Вводные'!$K$55)^MAX(0,(12*(YEAR(DN$3)-YEAR($B$38))+MONTH(DN$3)-MONTH($B$38))))</x:f>
        <x:v>0</x:v>
      </x:c>
      <x:c r="DO51" s="107" t="n">
        <x:f>IF(DO50=0,0,'Вводные'!$K$51*'Вводные'!$H$5*INDEX('Вводные'!$S$88:$S$90,$B$36)*INDEX('Вводные'!$AG$88:$AG$90,$B$36)*(1+'Вводные'!$K$54)^MAX(0,MIN((12*(YEAR(DO$3)-YEAR($B$39))+MONTH(DO$3)-MONTH($B$39)),(12*(YEAR($B$38)-YEAR($B$39))+MONTH($B$38)-MONTH($B$39))))*(1+'Вводные'!$K$55)^MAX(0,(12*(YEAR(DO$3)-YEAR($B$38))+MONTH(DO$3)-MONTH($B$38))))</x:f>
        <x:v>0</x:v>
      </x:c>
      <x:c r="DP51" s="107" t="n">
        <x:f>IF(DP50=0,0,'Вводные'!$K$51*'Вводные'!$H$5*INDEX('Вводные'!$S$88:$S$90,$B$36)*INDEX('Вводные'!$AG$88:$AG$90,$B$36)*(1+'Вводные'!$K$54)^MAX(0,MIN((12*(YEAR(DP$3)-YEAR($B$39))+MONTH(DP$3)-MONTH($B$39)),(12*(YEAR($B$38)-YEAR($B$39))+MONTH($B$38)-MONTH($B$39))))*(1+'Вводные'!$K$55)^MAX(0,(12*(YEAR(DP$3)-YEAR($B$38))+MONTH(DP$3)-MONTH($B$38))))</x:f>
        <x:v>0</x:v>
      </x:c>
      <x:c r="DQ51" s="107" t="n">
        <x:f>IF(DQ50=0,0,'Вводные'!$K$51*'Вводные'!$H$5*INDEX('Вводные'!$S$88:$S$90,$B$36)*INDEX('Вводные'!$AG$88:$AG$90,$B$36)*(1+'Вводные'!$K$54)^MAX(0,MIN((12*(YEAR(DQ$3)-YEAR($B$39))+MONTH(DQ$3)-MONTH($B$39)),(12*(YEAR($B$38)-YEAR($B$39))+MONTH($B$38)-MONTH($B$39))))*(1+'Вводные'!$K$55)^MAX(0,(12*(YEAR(DQ$3)-YEAR($B$38))+MONTH(DQ$3)-MONTH($B$38))))</x:f>
        <x:v>0</x:v>
      </x:c>
      <x:c r="DR51" s="107" t="n">
        <x:f>IF(DR50=0,0,'Вводные'!$K$51*'Вводные'!$H$5*INDEX('Вводные'!$S$88:$S$90,$B$36)*INDEX('Вводные'!$AG$88:$AG$90,$B$36)*(1+'Вводные'!$K$54)^MAX(0,MIN((12*(YEAR(DR$3)-YEAR($B$39))+MONTH(DR$3)-MONTH($B$39)),(12*(YEAR($B$38)-YEAR($B$39))+MONTH($B$38)-MONTH($B$39))))*(1+'Вводные'!$K$55)^MAX(0,(12*(YEAR(DR$3)-YEAR($B$38))+MONTH(DR$3)-MONTH($B$38))))</x:f>
        <x:v>0</x:v>
      </x:c>
      <x:c r="DS51" s="107" t="n">
        <x:f>IF(DS50=0,0,'Вводные'!$K$51*'Вводные'!$H$5*INDEX('Вводные'!$S$88:$S$90,$B$36)*INDEX('Вводные'!$AG$88:$AG$90,$B$36)*(1+'Вводные'!$K$54)^MAX(0,MIN((12*(YEAR(DS$3)-YEAR($B$39))+MONTH(DS$3)-MONTH($B$39)),(12*(YEAR($B$38)-YEAR($B$39))+MONTH($B$38)-MONTH($B$39))))*(1+'Вводные'!$K$55)^MAX(0,(12*(YEAR(DS$3)-YEAR($B$38))+MONTH(DS$3)-MONTH($B$38))))</x:f>
        <x:v>0</x:v>
      </x:c>
    </x:row>
    <x:row r="52">
      <x:c r="A52" t="str">
        <x:v>Продажи по договорам</x:v>
      </x:c>
      <x:c r="B52" s="107" t="n">
        <x:f>SUM(D52:DS52)</x:f>
        <x:v>0</x:v>
      </x:c>
      <x:c r="C52" t="str">
        <x:v>млн ₽</x:v>
      </x:c>
      <x:c r="D52" s="107" t="n">
        <x:f>D50*D51/1000</x:f>
        <x:v>0</x:v>
      </x:c>
      <x:c r="E52" s="107" t="n">
        <x:f>E50*E51/1000</x:f>
        <x:v>0</x:v>
      </x:c>
      <x:c r="F52" s="107" t="n">
        <x:f>F50*F51/1000</x:f>
        <x:v>0</x:v>
      </x:c>
      <x:c r="G52" s="107" t="n">
        <x:f>G50*G51/1000</x:f>
        <x:v>0</x:v>
      </x:c>
      <x:c r="H52" s="107" t="n">
        <x:f>H50*H51/1000</x:f>
        <x:v>0</x:v>
      </x:c>
      <x:c r="I52" s="107" t="n">
        <x:f>I50*I51/1000</x:f>
        <x:v>0</x:v>
      </x:c>
      <x:c r="J52" s="107" t="n">
        <x:f>J50*J51/1000</x:f>
        <x:v>0</x:v>
      </x:c>
      <x:c r="K52" s="107" t="n">
        <x:f>K50*K51/1000</x:f>
        <x:v>0</x:v>
      </x:c>
      <x:c r="L52" s="107" t="n">
        <x:f>L50*L51/1000</x:f>
        <x:v>0</x:v>
      </x:c>
      <x:c r="M52" s="107" t="n">
        <x:f>M50*M51/1000</x:f>
        <x:v>0</x:v>
      </x:c>
      <x:c r="N52" s="107" t="n">
        <x:f>N50*N51/1000</x:f>
        <x:v>0</x:v>
      </x:c>
      <x:c r="O52" s="107" t="n">
        <x:f>O50*O51/1000</x:f>
        <x:v>0</x:v>
      </x:c>
      <x:c r="P52" s="107" t="n">
        <x:f>P50*P51/1000</x:f>
        <x:v>0</x:v>
      </x:c>
      <x:c r="Q52" s="107" t="n">
        <x:f>Q50*Q51/1000</x:f>
        <x:v>0</x:v>
      </x:c>
      <x:c r="R52" s="107" t="n">
        <x:f>R50*R51/1000</x:f>
        <x:v>0</x:v>
      </x:c>
      <x:c r="S52" s="107" t="n">
        <x:f>S50*S51/1000</x:f>
        <x:v>0</x:v>
      </x:c>
      <x:c r="T52" s="107" t="n">
        <x:f>T50*T51/1000</x:f>
        <x:v>0</x:v>
      </x:c>
      <x:c r="U52" s="107" t="n">
        <x:f>U50*U51/1000</x:f>
        <x:v>0</x:v>
      </x:c>
      <x:c r="V52" s="107" t="n">
        <x:f>V50*V51/1000</x:f>
        <x:v>0</x:v>
      </x:c>
      <x:c r="W52" s="107" t="n">
        <x:f>W50*W51/1000</x:f>
        <x:v>0</x:v>
      </x:c>
      <x:c r="X52" s="107" t="n">
        <x:f>X50*X51/1000</x:f>
        <x:v>0</x:v>
      </x:c>
      <x:c r="Y52" s="107" t="n">
        <x:f>Y50*Y51/1000</x:f>
        <x:v>0</x:v>
      </x:c>
      <x:c r="Z52" s="107" t="n">
        <x:f>Z50*Z51/1000</x:f>
        <x:v>0</x:v>
      </x:c>
      <x:c r="AA52" s="107" t="n">
        <x:f>AA50*AA51/1000</x:f>
        <x:v>0</x:v>
      </x:c>
      <x:c r="AB52" s="107" t="n">
        <x:f>AB50*AB51/1000</x:f>
        <x:v>0</x:v>
      </x:c>
      <x:c r="AC52" s="107" t="n">
        <x:f>AC50*AC51/1000</x:f>
        <x:v>0</x:v>
      </x:c>
      <x:c r="AD52" s="107" t="n">
        <x:f>AD50*AD51/1000</x:f>
        <x:v>0</x:v>
      </x:c>
      <x:c r="AE52" s="107" t="n">
        <x:f>AE50*AE51/1000</x:f>
        <x:v>0</x:v>
      </x:c>
      <x:c r="AF52" s="107" t="n">
        <x:f>AF50*AF51/1000</x:f>
        <x:v>0</x:v>
      </x:c>
      <x:c r="AG52" s="107" t="n">
        <x:f>AG50*AG51/1000</x:f>
        <x:v>0</x:v>
      </x:c>
      <x:c r="AH52" s="107" t="n">
        <x:f>AH50*AH51/1000</x:f>
        <x:v>0</x:v>
      </x:c>
      <x:c r="AI52" s="107" t="n">
        <x:f>AI50*AI51/1000</x:f>
        <x:v>0</x:v>
      </x:c>
      <x:c r="AJ52" s="107" t="n">
        <x:f>AJ50*AJ51/1000</x:f>
        <x:v>0</x:v>
      </x:c>
      <x:c r="AK52" s="107" t="n">
        <x:f>AK50*AK51/1000</x:f>
        <x:v>0</x:v>
      </x:c>
      <x:c r="AL52" s="107" t="n">
        <x:f>AL50*AL51/1000</x:f>
        <x:v>0</x:v>
      </x:c>
      <x:c r="AM52" s="107" t="n">
        <x:f>AM50*AM51/1000</x:f>
        <x:v>0</x:v>
      </x:c>
      <x:c r="AN52" s="107" t="n">
        <x:f>AN50*AN51/1000</x:f>
        <x:v>0</x:v>
      </x:c>
      <x:c r="AO52" s="107" t="n">
        <x:f>AO50*AO51/1000</x:f>
        <x:v>0</x:v>
      </x:c>
      <x:c r="AP52" s="107" t="n">
        <x:f>AP50*AP51/1000</x:f>
        <x:v>0</x:v>
      </x:c>
      <x:c r="AQ52" s="107" t="n">
        <x:f>AQ50*AQ51/1000</x:f>
        <x:v>0</x:v>
      </x:c>
      <x:c r="AR52" s="107" t="n">
        <x:f>AR50*AR51/1000</x:f>
        <x:v>0</x:v>
      </x:c>
      <x:c r="AS52" s="107" t="n">
        <x:f>AS50*AS51/1000</x:f>
        <x:v>0</x:v>
      </x:c>
      <x:c r="AT52" s="107" t="n">
        <x:f>AT50*AT51/1000</x:f>
        <x:v>0</x:v>
      </x:c>
      <x:c r="AU52" s="107" t="n">
        <x:f>AU50*AU51/1000</x:f>
        <x:v>0</x:v>
      </x:c>
      <x:c r="AV52" s="107" t="n">
        <x:f>AV50*AV51/1000</x:f>
        <x:v>0</x:v>
      </x:c>
      <x:c r="AW52" s="107" t="n">
        <x:f>AW50*AW51/1000</x:f>
        <x:v>0</x:v>
      </x:c>
      <x:c r="AX52" s="107" t="n">
        <x:f>AX50*AX51/1000</x:f>
        <x:v>0</x:v>
      </x:c>
      <x:c r="AY52" s="107" t="n">
        <x:f>AY50*AY51/1000</x:f>
        <x:v>0</x:v>
      </x:c>
      <x:c r="AZ52" s="107" t="n">
        <x:f>AZ50*AZ51/1000</x:f>
        <x:v>0</x:v>
      </x:c>
      <x:c r="BA52" s="107" t="n">
        <x:f>BA50*BA51/1000</x:f>
        <x:v>0</x:v>
      </x:c>
      <x:c r="BB52" s="107" t="n">
        <x:f>BB50*BB51/1000</x:f>
        <x:v>0</x:v>
      </x:c>
      <x:c r="BC52" s="107" t="n">
        <x:f>BC50*BC51/1000</x:f>
        <x:v>0</x:v>
      </x:c>
      <x:c r="BD52" s="107" t="n">
        <x:f>BD50*BD51/1000</x:f>
        <x:v>0</x:v>
      </x:c>
      <x:c r="BE52" s="107" t="n">
        <x:f>BE50*BE51/1000</x:f>
        <x:v>0</x:v>
      </x:c>
      <x:c r="BF52" s="107" t="n">
        <x:f>BF50*BF51/1000</x:f>
        <x:v>0</x:v>
      </x:c>
      <x:c r="BG52" s="107" t="n">
        <x:f>BG50*BG51/1000</x:f>
        <x:v>0</x:v>
      </x:c>
      <x:c r="BH52" s="107" t="n">
        <x:f>BH50*BH51/1000</x:f>
        <x:v>0</x:v>
      </x:c>
      <x:c r="BI52" s="107" t="n">
        <x:f>BI50*BI51/1000</x:f>
        <x:v>0</x:v>
      </x:c>
      <x:c r="BJ52" s="107" t="n">
        <x:f>BJ50*BJ51/1000</x:f>
        <x:v>0</x:v>
      </x:c>
      <x:c r="BK52" s="107" t="n">
        <x:f>BK50*BK51/1000</x:f>
        <x:v>0</x:v>
      </x:c>
      <x:c r="BL52" s="107" t="n">
        <x:f>BL50*BL51/1000</x:f>
        <x:v>0</x:v>
      </x:c>
      <x:c r="BM52" s="107" t="n">
        <x:f>BM50*BM51/1000</x:f>
        <x:v>0</x:v>
      </x:c>
      <x:c r="BN52" s="107" t="n">
        <x:f>BN50*BN51/1000</x:f>
        <x:v>0</x:v>
      </x:c>
      <x:c r="BO52" s="107" t="n">
        <x:f>BO50*BO51/1000</x:f>
        <x:v>0</x:v>
      </x:c>
      <x:c r="BP52" s="107" t="n">
        <x:f>BP50*BP51/1000</x:f>
        <x:v>0</x:v>
      </x:c>
      <x:c r="BQ52" s="107" t="n">
        <x:f>BQ50*BQ51/1000</x:f>
        <x:v>0</x:v>
      </x:c>
      <x:c r="BR52" s="107" t="n">
        <x:f>BR50*BR51/1000</x:f>
        <x:v>0</x:v>
      </x:c>
      <x:c r="BS52" s="107" t="n">
        <x:f>BS50*BS51/1000</x:f>
        <x:v>0</x:v>
      </x:c>
      <x:c r="BT52" s="107" t="n">
        <x:f>BT50*BT51/1000</x:f>
        <x:v>0</x:v>
      </x:c>
      <x:c r="BU52" s="107" t="n">
        <x:f>BU50*BU51/1000</x:f>
        <x:v>0</x:v>
      </x:c>
      <x:c r="BV52" s="107" t="n">
        <x:f>BV50*BV51/1000</x:f>
        <x:v>0</x:v>
      </x:c>
      <x:c r="BW52" s="107" t="n">
        <x:f>BW50*BW51/1000</x:f>
        <x:v>0</x:v>
      </x:c>
      <x:c r="BX52" s="107" t="n">
        <x:f>BX50*BX51/1000</x:f>
        <x:v>0</x:v>
      </x:c>
      <x:c r="BY52" s="107" t="n">
        <x:f>BY50*BY51/1000</x:f>
        <x:v>0</x:v>
      </x:c>
      <x:c r="BZ52" s="107" t="n">
        <x:f>BZ50*BZ51/1000</x:f>
        <x:v>0</x:v>
      </x:c>
      <x:c r="CA52" s="107" t="n">
        <x:f>CA50*CA51/1000</x:f>
        <x:v>0</x:v>
      </x:c>
      <x:c r="CB52" s="107" t="n">
        <x:f>CB50*CB51/1000</x:f>
        <x:v>0</x:v>
      </x:c>
      <x:c r="CC52" s="107" t="n">
        <x:f>CC50*CC51/1000</x:f>
        <x:v>0</x:v>
      </x:c>
      <x:c r="CD52" s="107" t="n">
        <x:f>CD50*CD51/1000</x:f>
        <x:v>0</x:v>
      </x:c>
      <x:c r="CE52" s="107" t="n">
        <x:f>CE50*CE51/1000</x:f>
        <x:v>0</x:v>
      </x:c>
      <x:c r="CF52" s="107" t="n">
        <x:f>CF50*CF51/1000</x:f>
        <x:v>0</x:v>
      </x:c>
      <x:c r="CG52" s="107" t="n">
        <x:f>CG50*CG51/1000</x:f>
        <x:v>0</x:v>
      </x:c>
      <x:c r="CH52" s="107" t="n">
        <x:f>CH50*CH51/1000</x:f>
        <x:v>0</x:v>
      </x:c>
      <x:c r="CI52" s="107" t="n">
        <x:f>CI50*CI51/1000</x:f>
        <x:v>0</x:v>
      </x:c>
      <x:c r="CJ52" s="107" t="n">
        <x:f>CJ50*CJ51/1000</x:f>
        <x:v>0</x:v>
      </x:c>
      <x:c r="CK52" s="107" t="n">
        <x:f>CK50*CK51/1000</x:f>
        <x:v>0</x:v>
      </x:c>
      <x:c r="CL52" s="107" t="n">
        <x:f>CL50*CL51/1000</x:f>
        <x:v>0</x:v>
      </x:c>
      <x:c r="CM52" s="107" t="n">
        <x:f>CM50*CM51/1000</x:f>
        <x:v>0</x:v>
      </x:c>
      <x:c r="CN52" s="107" t="n">
        <x:f>CN50*CN51/1000</x:f>
        <x:v>0</x:v>
      </x:c>
      <x:c r="CO52" s="107" t="n">
        <x:f>CO50*CO51/1000</x:f>
        <x:v>0</x:v>
      </x:c>
      <x:c r="CP52" s="107" t="n">
        <x:f>CP50*CP51/1000</x:f>
        <x:v>0</x:v>
      </x:c>
      <x:c r="CQ52" s="107" t="n">
        <x:f>CQ50*CQ51/1000</x:f>
        <x:v>0</x:v>
      </x:c>
      <x:c r="CR52" s="107" t="n">
        <x:f>CR50*CR51/1000</x:f>
        <x:v>0</x:v>
      </x:c>
      <x:c r="CS52" s="107" t="n">
        <x:f>CS50*CS51/1000</x:f>
        <x:v>0</x:v>
      </x:c>
      <x:c r="CT52" s="107" t="n">
        <x:f>CT50*CT51/1000</x:f>
        <x:v>0</x:v>
      </x:c>
      <x:c r="CU52" s="107" t="n">
        <x:f>CU50*CU51/1000</x:f>
        <x:v>0</x:v>
      </x:c>
      <x:c r="CV52" s="107" t="n">
        <x:f>CV50*CV51/1000</x:f>
        <x:v>0</x:v>
      </x:c>
      <x:c r="CW52" s="107" t="n">
        <x:f>CW50*CW51/1000</x:f>
        <x:v>0</x:v>
      </x:c>
      <x:c r="CX52" s="107" t="n">
        <x:f>CX50*CX51/1000</x:f>
        <x:v>0</x:v>
      </x:c>
      <x:c r="CY52" s="107" t="n">
        <x:f>CY50*CY51/1000</x:f>
        <x:v>0</x:v>
      </x:c>
      <x:c r="CZ52" s="107" t="n">
        <x:f>CZ50*CZ51/1000</x:f>
        <x:v>0</x:v>
      </x:c>
      <x:c r="DA52" s="107" t="n">
        <x:f>DA50*DA51/1000</x:f>
        <x:v>0</x:v>
      </x:c>
      <x:c r="DB52" s="107" t="n">
        <x:f>DB50*DB51/1000</x:f>
        <x:v>0</x:v>
      </x:c>
      <x:c r="DC52" s="107" t="n">
        <x:f>DC50*DC51/1000</x:f>
        <x:v>0</x:v>
      </x:c>
      <x:c r="DD52" s="107" t="n">
        <x:f>DD50*DD51/1000</x:f>
        <x:v>0</x:v>
      </x:c>
      <x:c r="DE52" s="107" t="n">
        <x:f>DE50*DE51/1000</x:f>
        <x:v>0</x:v>
      </x:c>
      <x:c r="DF52" s="107" t="n">
        <x:f>DF50*DF51/1000</x:f>
        <x:v>0</x:v>
      </x:c>
      <x:c r="DG52" s="107" t="n">
        <x:f>DG50*DG51/1000</x:f>
        <x:v>0</x:v>
      </x:c>
      <x:c r="DH52" s="107" t="n">
        <x:f>DH50*DH51/1000</x:f>
        <x:v>0</x:v>
      </x:c>
      <x:c r="DI52" s="107" t="n">
        <x:f>DI50*DI51/1000</x:f>
        <x:v>0</x:v>
      </x:c>
      <x:c r="DJ52" s="107" t="n">
        <x:f>DJ50*DJ51/1000</x:f>
        <x:v>0</x:v>
      </x:c>
      <x:c r="DK52" s="107" t="n">
        <x:f>DK50*DK51/1000</x:f>
        <x:v>0</x:v>
      </x:c>
      <x:c r="DL52" s="107" t="n">
        <x:f>DL50*DL51/1000</x:f>
        <x:v>0</x:v>
      </x:c>
      <x:c r="DM52" s="107" t="n">
        <x:f>DM50*DM51/1000</x:f>
        <x:v>0</x:v>
      </x:c>
      <x:c r="DN52" s="107" t="n">
        <x:f>DN50*DN51/1000</x:f>
        <x:v>0</x:v>
      </x:c>
      <x:c r="DO52" s="107" t="n">
        <x:f>DO50*DO51/1000</x:f>
        <x:v>0</x:v>
      </x:c>
      <x:c r="DP52" s="107" t="n">
        <x:f>DP50*DP51/1000</x:f>
        <x:v>0</x:v>
      </x:c>
      <x:c r="DQ52" s="107" t="n">
        <x:f>DQ50*DQ51/1000</x:f>
        <x:v>0</x:v>
      </x:c>
      <x:c r="DR52" s="107" t="n">
        <x:f>DR50*DR51/1000</x:f>
        <x:v>0</x:v>
      </x:c>
      <x:c r="DS52" s="107" t="n">
        <x:f>DS50*DS51/1000</x:f>
        <x:v>0</x:v>
      </x:c>
    </x:row>
    <x:row r="53">
      <x:c r="A53" t="str">
        <x:v>Поступления на эскроу</x:v>
      </x:c>
      <x:c r="B53" s="107" t="n">
        <x:f>SUM(D53:DS53)</x:f>
        <x:v>0</x:v>
      </x:c>
      <x:c r="C53" t="str">
        <x:v>млн ₽</x:v>
      </x:c>
      <x:c r="D53" s="107" t="n">
        <x:f>IF(D$3&lt;$B$38,D52,0)</x:f>
        <x:v>0</x:v>
      </x:c>
      <x:c r="E53" s="107" t="n">
        <x:f>IF(E$3&lt;$B$38,E52,0)</x:f>
        <x:v>0</x:v>
      </x:c>
      <x:c r="F53" s="107" t="n">
        <x:f>IF(F$3&lt;$B$38,F52,0)</x:f>
        <x:v>0</x:v>
      </x:c>
      <x:c r="G53" s="107" t="n">
        <x:f>IF(G$3&lt;$B$38,G52,0)</x:f>
        <x:v>0</x:v>
      </x:c>
      <x:c r="H53" s="107" t="n">
        <x:f>IF(H$3&lt;$B$38,H52,0)</x:f>
        <x:v>0</x:v>
      </x:c>
      <x:c r="I53" s="107" t="n">
        <x:f>IF(I$3&lt;$B$38,I52,0)</x:f>
        <x:v>0</x:v>
      </x:c>
      <x:c r="J53" s="107" t="n">
        <x:f>IF(J$3&lt;$B$38,J52,0)</x:f>
        <x:v>0</x:v>
      </x:c>
      <x:c r="K53" s="107" t="n">
        <x:f>IF(K$3&lt;$B$38,K52,0)</x:f>
        <x:v>0</x:v>
      </x:c>
      <x:c r="L53" s="107" t="n">
        <x:f>IF(L$3&lt;$B$38,L52,0)</x:f>
        <x:v>0</x:v>
      </x:c>
      <x:c r="M53" s="107" t="n">
        <x:f>IF(M$3&lt;$B$38,M52,0)</x:f>
        <x:v>0</x:v>
      </x:c>
      <x:c r="N53" s="107" t="n">
        <x:f>IF(N$3&lt;$B$38,N52,0)</x:f>
        <x:v>0</x:v>
      </x:c>
      <x:c r="O53" s="107" t="n">
        <x:f>IF(O$3&lt;$B$38,O52,0)</x:f>
        <x:v>0</x:v>
      </x:c>
      <x:c r="P53" s="107" t="n">
        <x:f>IF(P$3&lt;$B$38,P52,0)</x:f>
        <x:v>0</x:v>
      </x:c>
      <x:c r="Q53" s="107" t="n">
        <x:f>IF(Q$3&lt;$B$38,Q52,0)</x:f>
        <x:v>0</x:v>
      </x:c>
      <x:c r="R53" s="107" t="n">
        <x:f>IF(R$3&lt;$B$38,R52,0)</x:f>
        <x:v>0</x:v>
      </x:c>
      <x:c r="S53" s="107" t="n">
        <x:f>IF(S$3&lt;$B$38,S52,0)</x:f>
        <x:v>0</x:v>
      </x:c>
      <x:c r="T53" s="107" t="n">
        <x:f>IF(T$3&lt;$B$38,T52,0)</x:f>
        <x:v>0</x:v>
      </x:c>
      <x:c r="U53" s="107" t="n">
        <x:f>IF(U$3&lt;$B$38,U52,0)</x:f>
        <x:v>0</x:v>
      </x:c>
      <x:c r="V53" s="107" t="n">
        <x:f>IF(V$3&lt;$B$38,V52,0)</x:f>
        <x:v>0</x:v>
      </x:c>
      <x:c r="W53" s="107" t="n">
        <x:f>IF(W$3&lt;$B$38,W52,0)</x:f>
        <x:v>0</x:v>
      </x:c>
      <x:c r="X53" s="107" t="n">
        <x:f>IF(X$3&lt;$B$38,X52,0)</x:f>
        <x:v>0</x:v>
      </x:c>
      <x:c r="Y53" s="107" t="n">
        <x:f>IF(Y$3&lt;$B$38,Y52,0)</x:f>
        <x:v>0</x:v>
      </x:c>
      <x:c r="Z53" s="107" t="n">
        <x:f>IF(Z$3&lt;$B$38,Z52,0)</x:f>
        <x:v>0</x:v>
      </x:c>
      <x:c r="AA53" s="107" t="n">
        <x:f>IF(AA$3&lt;$B$38,AA52,0)</x:f>
        <x:v>0</x:v>
      </x:c>
      <x:c r="AB53" s="107" t="n">
        <x:f>IF(AB$3&lt;$B$38,AB52,0)</x:f>
        <x:v>0</x:v>
      </x:c>
      <x:c r="AC53" s="107" t="n">
        <x:f>IF(AC$3&lt;$B$38,AC52,0)</x:f>
        <x:v>0</x:v>
      </x:c>
      <x:c r="AD53" s="107" t="n">
        <x:f>IF(AD$3&lt;$B$38,AD52,0)</x:f>
        <x:v>0</x:v>
      </x:c>
      <x:c r="AE53" s="107" t="n">
        <x:f>IF(AE$3&lt;$B$38,AE52,0)</x:f>
        <x:v>0</x:v>
      </x:c>
      <x:c r="AF53" s="107" t="n">
        <x:f>IF(AF$3&lt;$B$38,AF52,0)</x:f>
        <x:v>0</x:v>
      </x:c>
      <x:c r="AG53" s="107" t="n">
        <x:f>IF(AG$3&lt;$B$38,AG52,0)</x:f>
        <x:v>0</x:v>
      </x:c>
      <x:c r="AH53" s="107" t="n">
        <x:f>IF(AH$3&lt;$B$38,AH52,0)</x:f>
        <x:v>0</x:v>
      </x:c>
      <x:c r="AI53" s="107" t="n">
        <x:f>IF(AI$3&lt;$B$38,AI52,0)</x:f>
        <x:v>0</x:v>
      </x:c>
      <x:c r="AJ53" s="107" t="n">
        <x:f>IF(AJ$3&lt;$B$38,AJ52,0)</x:f>
        <x:v>0</x:v>
      </x:c>
      <x:c r="AK53" s="107" t="n">
        <x:f>IF(AK$3&lt;$B$38,AK52,0)</x:f>
        <x:v>0</x:v>
      </x:c>
      <x:c r="AL53" s="107" t="n">
        <x:f>IF(AL$3&lt;$B$38,AL52,0)</x:f>
        <x:v>0</x:v>
      </x:c>
      <x:c r="AM53" s="107" t="n">
        <x:f>IF(AM$3&lt;$B$38,AM52,0)</x:f>
        <x:v>0</x:v>
      </x:c>
      <x:c r="AN53" s="107" t="n">
        <x:f>IF(AN$3&lt;$B$38,AN52,0)</x:f>
        <x:v>0</x:v>
      </x:c>
      <x:c r="AO53" s="107" t="n">
        <x:f>IF(AO$3&lt;$B$38,AO52,0)</x:f>
        <x:v>0</x:v>
      </x:c>
      <x:c r="AP53" s="107" t="n">
        <x:f>IF(AP$3&lt;$B$38,AP52,0)</x:f>
        <x:v>0</x:v>
      </x:c>
      <x:c r="AQ53" s="107" t="n">
        <x:f>IF(AQ$3&lt;$B$38,AQ52,0)</x:f>
        <x:v>0</x:v>
      </x:c>
      <x:c r="AR53" s="107" t="n">
        <x:f>IF(AR$3&lt;$B$38,AR52,0)</x:f>
        <x:v>0</x:v>
      </x:c>
      <x:c r="AS53" s="107" t="n">
        <x:f>IF(AS$3&lt;$B$38,AS52,0)</x:f>
        <x:v>0</x:v>
      </x:c>
      <x:c r="AT53" s="107" t="n">
        <x:f>IF(AT$3&lt;$B$38,AT52,0)</x:f>
        <x:v>0</x:v>
      </x:c>
      <x:c r="AU53" s="107" t="n">
        <x:f>IF(AU$3&lt;$B$38,AU52,0)</x:f>
        <x:v>0</x:v>
      </x:c>
      <x:c r="AV53" s="107" t="n">
        <x:f>IF(AV$3&lt;$B$38,AV52,0)</x:f>
        <x:v>0</x:v>
      </x:c>
      <x:c r="AW53" s="107" t="n">
        <x:f>IF(AW$3&lt;$B$38,AW52,0)</x:f>
        <x:v>0</x:v>
      </x:c>
      <x:c r="AX53" s="107" t="n">
        <x:f>IF(AX$3&lt;$B$38,AX52,0)</x:f>
        <x:v>0</x:v>
      </x:c>
      <x:c r="AY53" s="107" t="n">
        <x:f>IF(AY$3&lt;$B$38,AY52,0)</x:f>
        <x:v>0</x:v>
      </x:c>
      <x:c r="AZ53" s="107" t="n">
        <x:f>IF(AZ$3&lt;$B$38,AZ52,0)</x:f>
        <x:v>0</x:v>
      </x:c>
      <x:c r="BA53" s="107" t="n">
        <x:f>IF(BA$3&lt;$B$38,BA52,0)</x:f>
        <x:v>0</x:v>
      </x:c>
      <x:c r="BB53" s="107" t="n">
        <x:f>IF(BB$3&lt;$B$38,BB52,0)</x:f>
        <x:v>0</x:v>
      </x:c>
      <x:c r="BC53" s="107" t="n">
        <x:f>IF(BC$3&lt;$B$38,BC52,0)</x:f>
        <x:v>0</x:v>
      </x:c>
      <x:c r="BD53" s="107" t="n">
        <x:f>IF(BD$3&lt;$B$38,BD52,0)</x:f>
        <x:v>0</x:v>
      </x:c>
      <x:c r="BE53" s="107" t="n">
        <x:f>IF(BE$3&lt;$B$38,BE52,0)</x:f>
        <x:v>0</x:v>
      </x:c>
      <x:c r="BF53" s="107" t="n">
        <x:f>IF(BF$3&lt;$B$38,BF52,0)</x:f>
        <x:v>0</x:v>
      </x:c>
      <x:c r="BG53" s="107" t="n">
        <x:f>IF(BG$3&lt;$B$38,BG52,0)</x:f>
        <x:v>0</x:v>
      </x:c>
      <x:c r="BH53" s="107" t="n">
        <x:f>IF(BH$3&lt;$B$38,BH52,0)</x:f>
        <x:v>0</x:v>
      </x:c>
      <x:c r="BI53" s="107" t="n">
        <x:f>IF(BI$3&lt;$B$38,BI52,0)</x:f>
        <x:v>0</x:v>
      </x:c>
      <x:c r="BJ53" s="107" t="n">
        <x:f>IF(BJ$3&lt;$B$38,BJ52,0)</x:f>
        <x:v>0</x:v>
      </x:c>
      <x:c r="BK53" s="107" t="n">
        <x:f>IF(BK$3&lt;$B$38,BK52,0)</x:f>
        <x:v>0</x:v>
      </x:c>
      <x:c r="BL53" s="107" t="n">
        <x:f>IF(BL$3&lt;$B$38,BL52,0)</x:f>
        <x:v>0</x:v>
      </x:c>
      <x:c r="BM53" s="107" t="n">
        <x:f>IF(BM$3&lt;$B$38,BM52,0)</x:f>
        <x:v>0</x:v>
      </x:c>
      <x:c r="BN53" s="107" t="n">
        <x:f>IF(BN$3&lt;$B$38,BN52,0)</x:f>
        <x:v>0</x:v>
      </x:c>
      <x:c r="BO53" s="107" t="n">
        <x:f>IF(BO$3&lt;$B$38,BO52,0)</x:f>
        <x:v>0</x:v>
      </x:c>
      <x:c r="BP53" s="107" t="n">
        <x:f>IF(BP$3&lt;$B$38,BP52,0)</x:f>
        <x:v>0</x:v>
      </x:c>
      <x:c r="BQ53" s="107" t="n">
        <x:f>IF(BQ$3&lt;$B$38,BQ52,0)</x:f>
        <x:v>0</x:v>
      </x:c>
      <x:c r="BR53" s="107" t="n">
        <x:f>IF(BR$3&lt;$B$38,BR52,0)</x:f>
        <x:v>0</x:v>
      </x:c>
      <x:c r="BS53" s="107" t="n">
        <x:f>IF(BS$3&lt;$B$38,BS52,0)</x:f>
        <x:v>0</x:v>
      </x:c>
      <x:c r="BT53" s="107" t="n">
        <x:f>IF(BT$3&lt;$B$38,BT52,0)</x:f>
        <x:v>0</x:v>
      </x:c>
      <x:c r="BU53" s="107" t="n">
        <x:f>IF(BU$3&lt;$B$38,BU52,0)</x:f>
        <x:v>0</x:v>
      </x:c>
      <x:c r="BV53" s="107" t="n">
        <x:f>IF(BV$3&lt;$B$38,BV52,0)</x:f>
        <x:v>0</x:v>
      </x:c>
      <x:c r="BW53" s="107" t="n">
        <x:f>IF(BW$3&lt;$B$38,BW52,0)</x:f>
        <x:v>0</x:v>
      </x:c>
      <x:c r="BX53" s="107" t="n">
        <x:f>IF(BX$3&lt;$B$38,BX52,0)</x:f>
        <x:v>0</x:v>
      </x:c>
      <x:c r="BY53" s="107" t="n">
        <x:f>IF(BY$3&lt;$B$38,BY52,0)</x:f>
        <x:v>0</x:v>
      </x:c>
      <x:c r="BZ53" s="107" t="n">
        <x:f>IF(BZ$3&lt;$B$38,BZ52,0)</x:f>
        <x:v>0</x:v>
      </x:c>
      <x:c r="CA53" s="107" t="n">
        <x:f>IF(CA$3&lt;$B$38,CA52,0)</x:f>
        <x:v>0</x:v>
      </x:c>
      <x:c r="CB53" s="107" t="n">
        <x:f>IF(CB$3&lt;$B$38,CB52,0)</x:f>
        <x:v>0</x:v>
      </x:c>
      <x:c r="CC53" s="107" t="n">
        <x:f>IF(CC$3&lt;$B$38,CC52,0)</x:f>
        <x:v>0</x:v>
      </x:c>
      <x:c r="CD53" s="107" t="n">
        <x:f>IF(CD$3&lt;$B$38,CD52,0)</x:f>
        <x:v>0</x:v>
      </x:c>
      <x:c r="CE53" s="107" t="n">
        <x:f>IF(CE$3&lt;$B$38,CE52,0)</x:f>
        <x:v>0</x:v>
      </x:c>
      <x:c r="CF53" s="107" t="n">
        <x:f>IF(CF$3&lt;$B$38,CF52,0)</x:f>
        <x:v>0</x:v>
      </x:c>
      <x:c r="CG53" s="107" t="n">
        <x:f>IF(CG$3&lt;$B$38,CG52,0)</x:f>
        <x:v>0</x:v>
      </x:c>
      <x:c r="CH53" s="107" t="n">
        <x:f>IF(CH$3&lt;$B$38,CH52,0)</x:f>
        <x:v>0</x:v>
      </x:c>
      <x:c r="CI53" s="107" t="n">
        <x:f>IF(CI$3&lt;$B$38,CI52,0)</x:f>
        <x:v>0</x:v>
      </x:c>
      <x:c r="CJ53" s="107" t="n">
        <x:f>IF(CJ$3&lt;$B$38,CJ52,0)</x:f>
        <x:v>0</x:v>
      </x:c>
      <x:c r="CK53" s="107" t="n">
        <x:f>IF(CK$3&lt;$B$38,CK52,0)</x:f>
        <x:v>0</x:v>
      </x:c>
      <x:c r="CL53" s="107" t="n">
        <x:f>IF(CL$3&lt;$B$38,CL52,0)</x:f>
        <x:v>0</x:v>
      </x:c>
      <x:c r="CM53" s="107" t="n">
        <x:f>IF(CM$3&lt;$B$38,CM52,0)</x:f>
        <x:v>0</x:v>
      </x:c>
      <x:c r="CN53" s="107" t="n">
        <x:f>IF(CN$3&lt;$B$38,CN52,0)</x:f>
        <x:v>0</x:v>
      </x:c>
      <x:c r="CO53" s="107" t="n">
        <x:f>IF(CO$3&lt;$B$38,CO52,0)</x:f>
        <x:v>0</x:v>
      </x:c>
      <x:c r="CP53" s="107" t="n">
        <x:f>IF(CP$3&lt;$B$38,CP52,0)</x:f>
        <x:v>0</x:v>
      </x:c>
      <x:c r="CQ53" s="107" t="n">
        <x:f>IF(CQ$3&lt;$B$38,CQ52,0)</x:f>
        <x:v>0</x:v>
      </x:c>
      <x:c r="CR53" s="107" t="n">
        <x:f>IF(CR$3&lt;$B$38,CR52,0)</x:f>
        <x:v>0</x:v>
      </x:c>
      <x:c r="CS53" s="107" t="n">
        <x:f>IF(CS$3&lt;$B$38,CS52,0)</x:f>
        <x:v>0</x:v>
      </x:c>
      <x:c r="CT53" s="107" t="n">
        <x:f>IF(CT$3&lt;$B$38,CT52,0)</x:f>
        <x:v>0</x:v>
      </x:c>
      <x:c r="CU53" s="107" t="n">
        <x:f>IF(CU$3&lt;$B$38,CU52,0)</x:f>
        <x:v>0</x:v>
      </x:c>
      <x:c r="CV53" s="107" t="n">
        <x:f>IF(CV$3&lt;$B$38,CV52,0)</x:f>
        <x:v>0</x:v>
      </x:c>
      <x:c r="CW53" s="107" t="n">
        <x:f>IF(CW$3&lt;$B$38,CW52,0)</x:f>
        <x:v>0</x:v>
      </x:c>
      <x:c r="CX53" s="107" t="n">
        <x:f>IF(CX$3&lt;$B$38,CX52,0)</x:f>
        <x:v>0</x:v>
      </x:c>
      <x:c r="CY53" s="107" t="n">
        <x:f>IF(CY$3&lt;$B$38,CY52,0)</x:f>
        <x:v>0</x:v>
      </x:c>
      <x:c r="CZ53" s="107" t="n">
        <x:f>IF(CZ$3&lt;$B$38,CZ52,0)</x:f>
        <x:v>0</x:v>
      </x:c>
      <x:c r="DA53" s="107" t="n">
        <x:f>IF(DA$3&lt;$B$38,DA52,0)</x:f>
        <x:v>0</x:v>
      </x:c>
      <x:c r="DB53" s="107" t="n">
        <x:f>IF(DB$3&lt;$B$38,DB52,0)</x:f>
        <x:v>0</x:v>
      </x:c>
      <x:c r="DC53" s="107" t="n">
        <x:f>IF(DC$3&lt;$B$38,DC52,0)</x:f>
        <x:v>0</x:v>
      </x:c>
      <x:c r="DD53" s="107" t="n">
        <x:f>IF(DD$3&lt;$B$38,DD52,0)</x:f>
        <x:v>0</x:v>
      </x:c>
      <x:c r="DE53" s="107" t="n">
        <x:f>IF(DE$3&lt;$B$38,DE52,0)</x:f>
        <x:v>0</x:v>
      </x:c>
      <x:c r="DF53" s="107" t="n">
        <x:f>IF(DF$3&lt;$B$38,DF52,0)</x:f>
        <x:v>0</x:v>
      </x:c>
      <x:c r="DG53" s="107" t="n">
        <x:f>IF(DG$3&lt;$B$38,DG52,0)</x:f>
        <x:v>0</x:v>
      </x:c>
      <x:c r="DH53" s="107" t="n">
        <x:f>IF(DH$3&lt;$B$38,DH52,0)</x:f>
        <x:v>0</x:v>
      </x:c>
      <x:c r="DI53" s="107" t="n">
        <x:f>IF(DI$3&lt;$B$38,DI52,0)</x:f>
        <x:v>0</x:v>
      </x:c>
      <x:c r="DJ53" s="107" t="n">
        <x:f>IF(DJ$3&lt;$B$38,DJ52,0)</x:f>
        <x:v>0</x:v>
      </x:c>
      <x:c r="DK53" s="107" t="n">
        <x:f>IF(DK$3&lt;$B$38,DK52,0)</x:f>
        <x:v>0</x:v>
      </x:c>
      <x:c r="DL53" s="107" t="n">
        <x:f>IF(DL$3&lt;$B$38,DL52,0)</x:f>
        <x:v>0</x:v>
      </x:c>
      <x:c r="DM53" s="107" t="n">
        <x:f>IF(DM$3&lt;$B$38,DM52,0)</x:f>
        <x:v>0</x:v>
      </x:c>
      <x:c r="DN53" s="107" t="n">
        <x:f>IF(DN$3&lt;$B$38,DN52,0)</x:f>
        <x:v>0</x:v>
      </x:c>
      <x:c r="DO53" s="107" t="n">
        <x:f>IF(DO$3&lt;$B$38,DO52,0)</x:f>
        <x:v>0</x:v>
      </x:c>
      <x:c r="DP53" s="107" t="n">
        <x:f>IF(DP$3&lt;$B$38,DP52,0)</x:f>
        <x:v>0</x:v>
      </x:c>
      <x:c r="DQ53" s="107" t="n">
        <x:f>IF(DQ$3&lt;$B$38,DQ52,0)</x:f>
        <x:v>0</x:v>
      </x:c>
      <x:c r="DR53" s="107" t="n">
        <x:f>IF(DR$3&lt;$B$38,DR52,0)</x:f>
        <x:v>0</x:v>
      </x:c>
      <x:c r="DS53" s="107" t="n">
        <x:f>IF(DS$3&lt;$B$38,DS52,0)</x:f>
        <x:v>0</x:v>
      </x:c>
    </x:row>
    <x:row r="54">
      <x:c r="A54" t="str">
        <x:v>Прямые поступления после РВЭ</x:v>
      </x:c>
      <x:c r="B54" s="107" t="n">
        <x:f>SUM(D54:DS54)</x:f>
        <x:v>0</x:v>
      </x:c>
      <x:c r="C54" t="str">
        <x:v>млн ₽</x:v>
      </x:c>
      <x:c r="D54" s="107" t="n">
        <x:f>IF(D$3&gt;=$B$38,D52,0)</x:f>
        <x:v>0</x:v>
      </x:c>
      <x:c r="E54" s="107" t="n">
        <x:f>IF(E$3&gt;=$B$38,E52,0)</x:f>
        <x:v>0</x:v>
      </x:c>
      <x:c r="F54" s="107" t="n">
        <x:f>IF(F$3&gt;=$B$38,F52,0)</x:f>
        <x:v>0</x:v>
      </x:c>
      <x:c r="G54" s="107" t="n">
        <x:f>IF(G$3&gt;=$B$38,G52,0)</x:f>
        <x:v>0</x:v>
      </x:c>
      <x:c r="H54" s="107" t="n">
        <x:f>IF(H$3&gt;=$B$38,H52,0)</x:f>
        <x:v>0</x:v>
      </x:c>
      <x:c r="I54" s="107" t="n">
        <x:f>IF(I$3&gt;=$B$38,I52,0)</x:f>
        <x:v>0</x:v>
      </x:c>
      <x:c r="J54" s="107" t="n">
        <x:f>IF(J$3&gt;=$B$38,J52,0)</x:f>
        <x:v>0</x:v>
      </x:c>
      <x:c r="K54" s="107" t="n">
        <x:f>IF(K$3&gt;=$B$38,K52,0)</x:f>
        <x:v>0</x:v>
      </x:c>
      <x:c r="L54" s="107" t="n">
        <x:f>IF(L$3&gt;=$B$38,L52,0)</x:f>
        <x:v>0</x:v>
      </x:c>
      <x:c r="M54" s="107" t="n">
        <x:f>IF(M$3&gt;=$B$38,M52,0)</x:f>
        <x:v>0</x:v>
      </x:c>
      <x:c r="N54" s="107" t="n">
        <x:f>IF(N$3&gt;=$B$38,N52,0)</x:f>
        <x:v>0</x:v>
      </x:c>
      <x:c r="O54" s="107" t="n">
        <x:f>IF(O$3&gt;=$B$38,O52,0)</x:f>
        <x:v>0</x:v>
      </x:c>
      <x:c r="P54" s="107" t="n">
        <x:f>IF(P$3&gt;=$B$38,P52,0)</x:f>
        <x:v>0</x:v>
      </x:c>
      <x:c r="Q54" s="107" t="n">
        <x:f>IF(Q$3&gt;=$B$38,Q52,0)</x:f>
        <x:v>0</x:v>
      </x:c>
      <x:c r="R54" s="107" t="n">
        <x:f>IF(R$3&gt;=$B$38,R52,0)</x:f>
        <x:v>0</x:v>
      </x:c>
      <x:c r="S54" s="107" t="n">
        <x:f>IF(S$3&gt;=$B$38,S52,0)</x:f>
        <x:v>0</x:v>
      </x:c>
      <x:c r="T54" s="107" t="n">
        <x:f>IF(T$3&gt;=$B$38,T52,0)</x:f>
        <x:v>0</x:v>
      </x:c>
      <x:c r="U54" s="107" t="n">
        <x:f>IF(U$3&gt;=$B$38,U52,0)</x:f>
        <x:v>0</x:v>
      </x:c>
      <x:c r="V54" s="107" t="n">
        <x:f>IF(V$3&gt;=$B$38,V52,0)</x:f>
        <x:v>0</x:v>
      </x:c>
      <x:c r="W54" s="107" t="n">
        <x:f>IF(W$3&gt;=$B$38,W52,0)</x:f>
        <x:v>0</x:v>
      </x:c>
      <x:c r="X54" s="107" t="n">
        <x:f>IF(X$3&gt;=$B$38,X52,0)</x:f>
        <x:v>0</x:v>
      </x:c>
      <x:c r="Y54" s="107" t="n">
        <x:f>IF(Y$3&gt;=$B$38,Y52,0)</x:f>
        <x:v>0</x:v>
      </x:c>
      <x:c r="Z54" s="107" t="n">
        <x:f>IF(Z$3&gt;=$B$38,Z52,0)</x:f>
        <x:v>0</x:v>
      </x:c>
      <x:c r="AA54" s="107" t="n">
        <x:f>IF(AA$3&gt;=$B$38,AA52,0)</x:f>
        <x:v>0</x:v>
      </x:c>
      <x:c r="AB54" s="107" t="n">
        <x:f>IF(AB$3&gt;=$B$38,AB52,0)</x:f>
        <x:v>0</x:v>
      </x:c>
      <x:c r="AC54" s="107" t="n">
        <x:f>IF(AC$3&gt;=$B$38,AC52,0)</x:f>
        <x:v>0</x:v>
      </x:c>
      <x:c r="AD54" s="107" t="n">
        <x:f>IF(AD$3&gt;=$B$38,AD52,0)</x:f>
        <x:v>0</x:v>
      </x:c>
      <x:c r="AE54" s="107" t="n">
        <x:f>IF(AE$3&gt;=$B$38,AE52,0)</x:f>
        <x:v>0</x:v>
      </x:c>
      <x:c r="AF54" s="107" t="n">
        <x:f>IF(AF$3&gt;=$B$38,AF52,0)</x:f>
        <x:v>0</x:v>
      </x:c>
      <x:c r="AG54" s="107" t="n">
        <x:f>IF(AG$3&gt;=$B$38,AG52,0)</x:f>
        <x:v>0</x:v>
      </x:c>
      <x:c r="AH54" s="107" t="n">
        <x:f>IF(AH$3&gt;=$B$38,AH52,0)</x:f>
        <x:v>0</x:v>
      </x:c>
      <x:c r="AI54" s="107" t="n">
        <x:f>IF(AI$3&gt;=$B$38,AI52,0)</x:f>
        <x:v>0</x:v>
      </x:c>
      <x:c r="AJ54" s="107" t="n">
        <x:f>IF(AJ$3&gt;=$B$38,AJ52,0)</x:f>
        <x:v>0</x:v>
      </x:c>
      <x:c r="AK54" s="107" t="n">
        <x:f>IF(AK$3&gt;=$B$38,AK52,0)</x:f>
        <x:v>0</x:v>
      </x:c>
      <x:c r="AL54" s="107" t="n">
        <x:f>IF(AL$3&gt;=$B$38,AL52,0)</x:f>
        <x:v>0</x:v>
      </x:c>
      <x:c r="AM54" s="107" t="n">
        <x:f>IF(AM$3&gt;=$B$38,AM52,0)</x:f>
        <x:v>0</x:v>
      </x:c>
      <x:c r="AN54" s="107" t="n">
        <x:f>IF(AN$3&gt;=$B$38,AN52,0)</x:f>
        <x:v>0</x:v>
      </x:c>
      <x:c r="AO54" s="107" t="n">
        <x:f>IF(AO$3&gt;=$B$38,AO52,0)</x:f>
        <x:v>0</x:v>
      </x:c>
      <x:c r="AP54" s="107" t="n">
        <x:f>IF(AP$3&gt;=$B$38,AP52,0)</x:f>
        <x:v>0</x:v>
      </x:c>
      <x:c r="AQ54" s="107" t="n">
        <x:f>IF(AQ$3&gt;=$B$38,AQ52,0)</x:f>
        <x:v>0</x:v>
      </x:c>
      <x:c r="AR54" s="107" t="n">
        <x:f>IF(AR$3&gt;=$B$38,AR52,0)</x:f>
        <x:v>0</x:v>
      </x:c>
      <x:c r="AS54" s="107" t="n">
        <x:f>IF(AS$3&gt;=$B$38,AS52,0)</x:f>
        <x:v>0</x:v>
      </x:c>
      <x:c r="AT54" s="107" t="n">
        <x:f>IF(AT$3&gt;=$B$38,AT52,0)</x:f>
        <x:v>0</x:v>
      </x:c>
      <x:c r="AU54" s="107" t="n">
        <x:f>IF(AU$3&gt;=$B$38,AU52,0)</x:f>
        <x:v>0</x:v>
      </x:c>
      <x:c r="AV54" s="107" t="n">
        <x:f>IF(AV$3&gt;=$B$38,AV52,0)</x:f>
        <x:v>0</x:v>
      </x:c>
      <x:c r="AW54" s="107" t="n">
        <x:f>IF(AW$3&gt;=$B$38,AW52,0)</x:f>
        <x:v>0</x:v>
      </x:c>
      <x:c r="AX54" s="107" t="n">
        <x:f>IF(AX$3&gt;=$B$38,AX52,0)</x:f>
        <x:v>0</x:v>
      </x:c>
      <x:c r="AY54" s="107" t="n">
        <x:f>IF(AY$3&gt;=$B$38,AY52,0)</x:f>
        <x:v>0</x:v>
      </x:c>
      <x:c r="AZ54" s="107" t="n">
        <x:f>IF(AZ$3&gt;=$B$38,AZ52,0)</x:f>
        <x:v>0</x:v>
      </x:c>
      <x:c r="BA54" s="107" t="n">
        <x:f>IF(BA$3&gt;=$B$38,BA52,0)</x:f>
        <x:v>0</x:v>
      </x:c>
      <x:c r="BB54" s="107" t="n">
        <x:f>IF(BB$3&gt;=$B$38,BB52,0)</x:f>
        <x:v>0</x:v>
      </x:c>
      <x:c r="BC54" s="107" t="n">
        <x:f>IF(BC$3&gt;=$B$38,BC52,0)</x:f>
        <x:v>0</x:v>
      </x:c>
      <x:c r="BD54" s="107" t="n">
        <x:f>IF(BD$3&gt;=$B$38,BD52,0)</x:f>
        <x:v>0</x:v>
      </x:c>
      <x:c r="BE54" s="107" t="n">
        <x:f>IF(BE$3&gt;=$B$38,BE52,0)</x:f>
        <x:v>0</x:v>
      </x:c>
      <x:c r="BF54" s="107" t="n">
        <x:f>IF(BF$3&gt;=$B$38,BF52,0)</x:f>
        <x:v>0</x:v>
      </x:c>
      <x:c r="BG54" s="107" t="n">
        <x:f>IF(BG$3&gt;=$B$38,BG52,0)</x:f>
        <x:v>0</x:v>
      </x:c>
      <x:c r="BH54" s="107" t="n">
        <x:f>IF(BH$3&gt;=$B$38,BH52,0)</x:f>
        <x:v>0</x:v>
      </x:c>
      <x:c r="BI54" s="107" t="n">
        <x:f>IF(BI$3&gt;=$B$38,BI52,0)</x:f>
        <x:v>0</x:v>
      </x:c>
      <x:c r="BJ54" s="107" t="n">
        <x:f>IF(BJ$3&gt;=$B$38,BJ52,0)</x:f>
        <x:v>0</x:v>
      </x:c>
      <x:c r="BK54" s="107" t="n">
        <x:f>IF(BK$3&gt;=$B$38,BK52,0)</x:f>
        <x:v>0</x:v>
      </x:c>
      <x:c r="BL54" s="107" t="n">
        <x:f>IF(BL$3&gt;=$B$38,BL52,0)</x:f>
        <x:v>0</x:v>
      </x:c>
      <x:c r="BM54" s="107" t="n">
        <x:f>IF(BM$3&gt;=$B$38,BM52,0)</x:f>
        <x:v>0</x:v>
      </x:c>
      <x:c r="BN54" s="107" t="n">
        <x:f>IF(BN$3&gt;=$B$38,BN52,0)</x:f>
        <x:v>0</x:v>
      </x:c>
      <x:c r="BO54" s="107" t="n">
        <x:f>IF(BO$3&gt;=$B$38,BO52,0)</x:f>
        <x:v>0</x:v>
      </x:c>
      <x:c r="BP54" s="107" t="n">
        <x:f>IF(BP$3&gt;=$B$38,BP52,0)</x:f>
        <x:v>0</x:v>
      </x:c>
      <x:c r="BQ54" s="107" t="n">
        <x:f>IF(BQ$3&gt;=$B$38,BQ52,0)</x:f>
        <x:v>0</x:v>
      </x:c>
      <x:c r="BR54" s="107" t="n">
        <x:f>IF(BR$3&gt;=$B$38,BR52,0)</x:f>
        <x:v>0</x:v>
      </x:c>
      <x:c r="BS54" s="107" t="n">
        <x:f>IF(BS$3&gt;=$B$38,BS52,0)</x:f>
        <x:v>0</x:v>
      </x:c>
      <x:c r="BT54" s="107" t="n">
        <x:f>IF(BT$3&gt;=$B$38,BT52,0)</x:f>
        <x:v>0</x:v>
      </x:c>
      <x:c r="BU54" s="107" t="n">
        <x:f>IF(BU$3&gt;=$B$38,BU52,0)</x:f>
        <x:v>0</x:v>
      </x:c>
      <x:c r="BV54" s="107" t="n">
        <x:f>IF(BV$3&gt;=$B$38,BV52,0)</x:f>
        <x:v>0</x:v>
      </x:c>
      <x:c r="BW54" s="107" t="n">
        <x:f>IF(BW$3&gt;=$B$38,BW52,0)</x:f>
        <x:v>0</x:v>
      </x:c>
      <x:c r="BX54" s="107" t="n">
        <x:f>IF(BX$3&gt;=$B$38,BX52,0)</x:f>
        <x:v>0</x:v>
      </x:c>
      <x:c r="BY54" s="107" t="n">
        <x:f>IF(BY$3&gt;=$B$38,BY52,0)</x:f>
        <x:v>0</x:v>
      </x:c>
      <x:c r="BZ54" s="107" t="n">
        <x:f>IF(BZ$3&gt;=$B$38,BZ52,0)</x:f>
        <x:v>0</x:v>
      </x:c>
      <x:c r="CA54" s="107" t="n">
        <x:f>IF(CA$3&gt;=$B$38,CA52,0)</x:f>
        <x:v>0</x:v>
      </x:c>
      <x:c r="CB54" s="107" t="n">
        <x:f>IF(CB$3&gt;=$B$38,CB52,0)</x:f>
        <x:v>0</x:v>
      </x:c>
      <x:c r="CC54" s="107" t="n">
        <x:f>IF(CC$3&gt;=$B$38,CC52,0)</x:f>
        <x:v>0</x:v>
      </x:c>
      <x:c r="CD54" s="107" t="n">
        <x:f>IF(CD$3&gt;=$B$38,CD52,0)</x:f>
        <x:v>0</x:v>
      </x:c>
      <x:c r="CE54" s="107" t="n">
        <x:f>IF(CE$3&gt;=$B$38,CE52,0)</x:f>
        <x:v>0</x:v>
      </x:c>
      <x:c r="CF54" s="107" t="n">
        <x:f>IF(CF$3&gt;=$B$38,CF52,0)</x:f>
        <x:v>0</x:v>
      </x:c>
      <x:c r="CG54" s="107" t="n">
        <x:f>IF(CG$3&gt;=$B$38,CG52,0)</x:f>
        <x:v>0</x:v>
      </x:c>
      <x:c r="CH54" s="107" t="n">
        <x:f>IF(CH$3&gt;=$B$38,CH52,0)</x:f>
        <x:v>0</x:v>
      </x:c>
      <x:c r="CI54" s="107" t="n">
        <x:f>IF(CI$3&gt;=$B$38,CI52,0)</x:f>
        <x:v>0</x:v>
      </x:c>
      <x:c r="CJ54" s="107" t="n">
        <x:f>IF(CJ$3&gt;=$B$38,CJ52,0)</x:f>
        <x:v>0</x:v>
      </x:c>
      <x:c r="CK54" s="107" t="n">
        <x:f>IF(CK$3&gt;=$B$38,CK52,0)</x:f>
        <x:v>0</x:v>
      </x:c>
      <x:c r="CL54" s="107" t="n">
        <x:f>IF(CL$3&gt;=$B$38,CL52,0)</x:f>
        <x:v>0</x:v>
      </x:c>
      <x:c r="CM54" s="107" t="n">
        <x:f>IF(CM$3&gt;=$B$38,CM52,0)</x:f>
        <x:v>0</x:v>
      </x:c>
      <x:c r="CN54" s="107" t="n">
        <x:f>IF(CN$3&gt;=$B$38,CN52,0)</x:f>
        <x:v>0</x:v>
      </x:c>
      <x:c r="CO54" s="107" t="n">
        <x:f>IF(CO$3&gt;=$B$38,CO52,0)</x:f>
        <x:v>0</x:v>
      </x:c>
      <x:c r="CP54" s="107" t="n">
        <x:f>IF(CP$3&gt;=$B$38,CP52,0)</x:f>
        <x:v>0</x:v>
      </x:c>
      <x:c r="CQ54" s="107" t="n">
        <x:f>IF(CQ$3&gt;=$B$38,CQ52,0)</x:f>
        <x:v>0</x:v>
      </x:c>
      <x:c r="CR54" s="107" t="n">
        <x:f>IF(CR$3&gt;=$B$38,CR52,0)</x:f>
        <x:v>0</x:v>
      </x:c>
      <x:c r="CS54" s="107" t="n">
        <x:f>IF(CS$3&gt;=$B$38,CS52,0)</x:f>
        <x:v>0</x:v>
      </x:c>
      <x:c r="CT54" s="107" t="n">
        <x:f>IF(CT$3&gt;=$B$38,CT52,0)</x:f>
        <x:v>0</x:v>
      </x:c>
      <x:c r="CU54" s="107" t="n">
        <x:f>IF(CU$3&gt;=$B$38,CU52,0)</x:f>
        <x:v>0</x:v>
      </x:c>
      <x:c r="CV54" s="107" t="n">
        <x:f>IF(CV$3&gt;=$B$38,CV52,0)</x:f>
        <x:v>0</x:v>
      </x:c>
      <x:c r="CW54" s="107" t="n">
        <x:f>IF(CW$3&gt;=$B$38,CW52,0)</x:f>
        <x:v>0</x:v>
      </x:c>
      <x:c r="CX54" s="107" t="n">
        <x:f>IF(CX$3&gt;=$B$38,CX52,0)</x:f>
        <x:v>0</x:v>
      </x:c>
      <x:c r="CY54" s="107" t="n">
        <x:f>IF(CY$3&gt;=$B$38,CY52,0)</x:f>
        <x:v>0</x:v>
      </x:c>
      <x:c r="CZ54" s="107" t="n">
        <x:f>IF(CZ$3&gt;=$B$38,CZ52,0)</x:f>
        <x:v>0</x:v>
      </x:c>
      <x:c r="DA54" s="107" t="n">
        <x:f>IF(DA$3&gt;=$B$38,DA52,0)</x:f>
        <x:v>0</x:v>
      </x:c>
      <x:c r="DB54" s="107" t="n">
        <x:f>IF(DB$3&gt;=$B$38,DB52,0)</x:f>
        <x:v>0</x:v>
      </x:c>
      <x:c r="DC54" s="107" t="n">
        <x:f>IF(DC$3&gt;=$B$38,DC52,0)</x:f>
        <x:v>0</x:v>
      </x:c>
      <x:c r="DD54" s="107" t="n">
        <x:f>IF(DD$3&gt;=$B$38,DD52,0)</x:f>
        <x:v>0</x:v>
      </x:c>
      <x:c r="DE54" s="107" t="n">
        <x:f>IF(DE$3&gt;=$B$38,DE52,0)</x:f>
        <x:v>0</x:v>
      </x:c>
      <x:c r="DF54" s="107" t="n">
        <x:f>IF(DF$3&gt;=$B$38,DF52,0)</x:f>
        <x:v>0</x:v>
      </x:c>
      <x:c r="DG54" s="107" t="n">
        <x:f>IF(DG$3&gt;=$B$38,DG52,0)</x:f>
        <x:v>0</x:v>
      </x:c>
      <x:c r="DH54" s="107" t="n">
        <x:f>IF(DH$3&gt;=$B$38,DH52,0)</x:f>
        <x:v>0</x:v>
      </x:c>
      <x:c r="DI54" s="107" t="n">
        <x:f>IF(DI$3&gt;=$B$38,DI52,0)</x:f>
        <x:v>0</x:v>
      </x:c>
      <x:c r="DJ54" s="107" t="n">
        <x:f>IF(DJ$3&gt;=$B$38,DJ52,0)</x:f>
        <x:v>0</x:v>
      </x:c>
      <x:c r="DK54" s="107" t="n">
        <x:f>IF(DK$3&gt;=$B$38,DK52,0)</x:f>
        <x:v>0</x:v>
      </x:c>
      <x:c r="DL54" s="107" t="n">
        <x:f>IF(DL$3&gt;=$B$38,DL52,0)</x:f>
        <x:v>0</x:v>
      </x:c>
      <x:c r="DM54" s="107" t="n">
        <x:f>IF(DM$3&gt;=$B$38,DM52,0)</x:f>
        <x:v>0</x:v>
      </x:c>
      <x:c r="DN54" s="107" t="n">
        <x:f>IF(DN$3&gt;=$B$38,DN52,0)</x:f>
        <x:v>0</x:v>
      </x:c>
      <x:c r="DO54" s="107" t="n">
        <x:f>IF(DO$3&gt;=$B$38,DO52,0)</x:f>
        <x:v>0</x:v>
      </x:c>
      <x:c r="DP54" s="107" t="n">
        <x:f>IF(DP$3&gt;=$B$38,DP52,0)</x:f>
        <x:v>0</x:v>
      </x:c>
      <x:c r="DQ54" s="107" t="n">
        <x:f>IF(DQ$3&gt;=$B$38,DQ52,0)</x:f>
        <x:v>0</x:v>
      </x:c>
      <x:c r="DR54" s="107" t="n">
        <x:f>IF(DR$3&gt;=$B$38,DR52,0)</x:f>
        <x:v>0</x:v>
      </x:c>
      <x:c r="DS54" s="107" t="n">
        <x:f>IF(DS$3&gt;=$B$38,DS52,0)</x:f>
        <x:v>0</x:v>
      </x:c>
    </x:row>
    <x:row r="55">
      <x:c r="A55" t="str">
        <x:v>Раскрытие эскроу</x:v>
      </x:c>
      <x:c r="B55" s="107" t="n">
        <x:f>SUM(D55:DS55)</x:f>
        <x:v>0</x:v>
      </x:c>
      <x:c r="C55" t="str">
        <x:v>млн ₽</x:v>
      </x:c>
      <x:c r="D55" s="107" t="n">
        <x:f>IF(AND(YEAR(D$3)=YEAR($B$38),MONTH(D$3)=MONTH($B$38),AND($B$35="Да",IFERROR(INDEX('Вводные'!$B$88:$B$90,$B$36),"Нет")="Да")),MAX(0,SUM($D53:D53)-D53),0)</x:f>
        <x:v>0</x:v>
      </x:c>
      <x:c r="E55" s="107" t="n">
        <x:f>IF(AND(YEAR(E$3)=YEAR($B$38),MONTH(E$3)=MONTH($B$38),AND($B$35="Да",IFERROR(INDEX('Вводные'!$B$88:$B$90,$B$36),"Нет")="Да")),MAX(0,SUM($D53:E53)-E53),0)</x:f>
        <x:v>0</x:v>
      </x:c>
      <x:c r="F55" s="107" t="n">
        <x:f>IF(AND(YEAR(F$3)=YEAR($B$38),MONTH(F$3)=MONTH($B$38),AND($B$35="Да",IFERROR(INDEX('Вводные'!$B$88:$B$90,$B$36),"Нет")="Да")),MAX(0,SUM($D53:F53)-F53),0)</x:f>
        <x:v>0</x:v>
      </x:c>
      <x:c r="G55" s="107" t="n">
        <x:f>IF(AND(YEAR(G$3)=YEAR($B$38),MONTH(G$3)=MONTH($B$38),AND($B$35="Да",IFERROR(INDEX('Вводные'!$B$88:$B$90,$B$36),"Нет")="Да")),MAX(0,SUM($D53:G53)-G53),0)</x:f>
        <x:v>0</x:v>
      </x:c>
      <x:c r="H55" s="107" t="n">
        <x:f>IF(AND(YEAR(H$3)=YEAR($B$38),MONTH(H$3)=MONTH($B$38),AND($B$35="Да",IFERROR(INDEX('Вводные'!$B$88:$B$90,$B$36),"Нет")="Да")),MAX(0,SUM($D53:H53)-H53),0)</x:f>
        <x:v>0</x:v>
      </x:c>
      <x:c r="I55" s="107" t="n">
        <x:f>IF(AND(YEAR(I$3)=YEAR($B$38),MONTH(I$3)=MONTH($B$38),AND($B$35="Да",IFERROR(INDEX('Вводные'!$B$88:$B$90,$B$36),"Нет")="Да")),MAX(0,SUM($D53:I53)-I53),0)</x:f>
        <x:v>0</x:v>
      </x:c>
      <x:c r="J55" s="107" t="n">
        <x:f>IF(AND(YEAR(J$3)=YEAR($B$38),MONTH(J$3)=MONTH($B$38),AND($B$35="Да",IFERROR(INDEX('Вводные'!$B$88:$B$90,$B$36),"Нет")="Да")),MAX(0,SUM($D53:J53)-J53),0)</x:f>
        <x:v>0</x:v>
      </x:c>
      <x:c r="K55" s="107" t="n">
        <x:f>IF(AND(YEAR(K$3)=YEAR($B$38),MONTH(K$3)=MONTH($B$38),AND($B$35="Да",IFERROR(INDEX('Вводные'!$B$88:$B$90,$B$36),"Нет")="Да")),MAX(0,SUM($D53:K53)-K53),0)</x:f>
        <x:v>0</x:v>
      </x:c>
      <x:c r="L55" s="107" t="n">
        <x:f>IF(AND(YEAR(L$3)=YEAR($B$38),MONTH(L$3)=MONTH($B$38),AND($B$35="Да",IFERROR(INDEX('Вводные'!$B$88:$B$90,$B$36),"Нет")="Да")),MAX(0,SUM($D53:L53)-L53),0)</x:f>
        <x:v>0</x:v>
      </x:c>
      <x:c r="M55" s="107" t="n">
        <x:f>IF(AND(YEAR(M$3)=YEAR($B$38),MONTH(M$3)=MONTH($B$38),AND($B$35="Да",IFERROR(INDEX('Вводные'!$B$88:$B$90,$B$36),"Нет")="Да")),MAX(0,SUM($D53:M53)-M53),0)</x:f>
        <x:v>0</x:v>
      </x:c>
      <x:c r="N55" s="107" t="n">
        <x:f>IF(AND(YEAR(N$3)=YEAR($B$38),MONTH(N$3)=MONTH($B$38),AND($B$35="Да",IFERROR(INDEX('Вводные'!$B$88:$B$90,$B$36),"Нет")="Да")),MAX(0,SUM($D53:N53)-N53),0)</x:f>
        <x:v>0</x:v>
      </x:c>
      <x:c r="O55" s="107" t="n">
        <x:f>IF(AND(YEAR(O$3)=YEAR($B$38),MONTH(O$3)=MONTH($B$38),AND($B$35="Да",IFERROR(INDEX('Вводные'!$B$88:$B$90,$B$36),"Нет")="Да")),MAX(0,SUM($D53:O53)-O53),0)</x:f>
        <x:v>0</x:v>
      </x:c>
      <x:c r="P55" s="107" t="n">
        <x:f>IF(AND(YEAR(P$3)=YEAR($B$38),MONTH(P$3)=MONTH($B$38),AND($B$35="Да",IFERROR(INDEX('Вводные'!$B$88:$B$90,$B$36),"Нет")="Да")),MAX(0,SUM($D53:P53)-P53),0)</x:f>
        <x:v>0</x:v>
      </x:c>
      <x:c r="Q55" s="107" t="n">
        <x:f>IF(AND(YEAR(Q$3)=YEAR($B$38),MONTH(Q$3)=MONTH($B$38),AND($B$35="Да",IFERROR(INDEX('Вводные'!$B$88:$B$90,$B$36),"Нет")="Да")),MAX(0,SUM($D53:Q53)-Q53),0)</x:f>
        <x:v>0</x:v>
      </x:c>
      <x:c r="R55" s="107" t="n">
        <x:f>IF(AND(YEAR(R$3)=YEAR($B$38),MONTH(R$3)=MONTH($B$38),AND($B$35="Да",IFERROR(INDEX('Вводные'!$B$88:$B$90,$B$36),"Нет")="Да")),MAX(0,SUM($D53:R53)-R53),0)</x:f>
        <x:v>0</x:v>
      </x:c>
      <x:c r="S55" s="107" t="n">
        <x:f>IF(AND(YEAR(S$3)=YEAR($B$38),MONTH(S$3)=MONTH($B$38),AND($B$35="Да",IFERROR(INDEX('Вводные'!$B$88:$B$90,$B$36),"Нет")="Да")),MAX(0,SUM($D53:S53)-S53),0)</x:f>
        <x:v>0</x:v>
      </x:c>
      <x:c r="T55" s="107" t="n">
        <x:f>IF(AND(YEAR(T$3)=YEAR($B$38),MONTH(T$3)=MONTH($B$38),AND($B$35="Да",IFERROR(INDEX('Вводные'!$B$88:$B$90,$B$36),"Нет")="Да")),MAX(0,SUM($D53:T53)-T53),0)</x:f>
        <x:v>0</x:v>
      </x:c>
      <x:c r="U55" s="107" t="n">
        <x:f>IF(AND(YEAR(U$3)=YEAR($B$38),MONTH(U$3)=MONTH($B$38),AND($B$35="Да",IFERROR(INDEX('Вводные'!$B$88:$B$90,$B$36),"Нет")="Да")),MAX(0,SUM($D53:U53)-U53),0)</x:f>
        <x:v>0</x:v>
      </x:c>
      <x:c r="V55" s="107" t="n">
        <x:f>IF(AND(YEAR(V$3)=YEAR($B$38),MONTH(V$3)=MONTH($B$38),AND($B$35="Да",IFERROR(INDEX('Вводные'!$B$88:$B$90,$B$36),"Нет")="Да")),MAX(0,SUM($D53:V53)-V53),0)</x:f>
        <x:v>0</x:v>
      </x:c>
      <x:c r="W55" s="107" t="n">
        <x:f>IF(AND(YEAR(W$3)=YEAR($B$38),MONTH(W$3)=MONTH($B$38),AND($B$35="Да",IFERROR(INDEX('Вводные'!$B$88:$B$90,$B$36),"Нет")="Да")),MAX(0,SUM($D53:W53)-W53),0)</x:f>
        <x:v>0</x:v>
      </x:c>
      <x:c r="X55" s="107" t="n">
        <x:f>IF(AND(YEAR(X$3)=YEAR($B$38),MONTH(X$3)=MONTH($B$38),AND($B$35="Да",IFERROR(INDEX('Вводные'!$B$88:$B$90,$B$36),"Нет")="Да")),MAX(0,SUM($D53:X53)-X53),0)</x:f>
        <x:v>0</x:v>
      </x:c>
      <x:c r="Y55" s="107" t="n">
        <x:f>IF(AND(YEAR(Y$3)=YEAR($B$38),MONTH(Y$3)=MONTH($B$38),AND($B$35="Да",IFERROR(INDEX('Вводные'!$B$88:$B$90,$B$36),"Нет")="Да")),MAX(0,SUM($D53:Y53)-Y53),0)</x:f>
        <x:v>0</x:v>
      </x:c>
      <x:c r="Z55" s="107" t="n">
        <x:f>IF(AND(YEAR(Z$3)=YEAR($B$38),MONTH(Z$3)=MONTH($B$38),AND($B$35="Да",IFERROR(INDEX('Вводные'!$B$88:$B$90,$B$36),"Нет")="Да")),MAX(0,SUM($D53:Z53)-Z53),0)</x:f>
        <x:v>0</x:v>
      </x:c>
      <x:c r="AA55" s="107" t="n">
        <x:f>IF(AND(YEAR(AA$3)=YEAR($B$38),MONTH(AA$3)=MONTH($B$38),AND($B$35="Да",IFERROR(INDEX('Вводные'!$B$88:$B$90,$B$36),"Нет")="Да")),MAX(0,SUM($D53:AA53)-AA53),0)</x:f>
        <x:v>0</x:v>
      </x:c>
      <x:c r="AB55" s="107" t="n">
        <x:f>IF(AND(YEAR(AB$3)=YEAR($B$38),MONTH(AB$3)=MONTH($B$38),AND($B$35="Да",IFERROR(INDEX('Вводные'!$B$88:$B$90,$B$36),"Нет")="Да")),MAX(0,SUM($D53:AB53)-AB53),0)</x:f>
        <x:v>0</x:v>
      </x:c>
      <x:c r="AC55" s="107" t="n">
        <x:f>IF(AND(YEAR(AC$3)=YEAR($B$38),MONTH(AC$3)=MONTH($B$38),AND($B$35="Да",IFERROR(INDEX('Вводные'!$B$88:$B$90,$B$36),"Нет")="Да")),MAX(0,SUM($D53:AC53)-AC53),0)</x:f>
        <x:v>0</x:v>
      </x:c>
      <x:c r="AD55" s="107" t="n">
        <x:f>IF(AND(YEAR(AD$3)=YEAR($B$38),MONTH(AD$3)=MONTH($B$38),AND($B$35="Да",IFERROR(INDEX('Вводные'!$B$88:$B$90,$B$36),"Нет")="Да")),MAX(0,SUM($D53:AD53)-AD53),0)</x:f>
        <x:v>0</x:v>
      </x:c>
      <x:c r="AE55" s="107" t="n">
        <x:f>IF(AND(YEAR(AE$3)=YEAR($B$38),MONTH(AE$3)=MONTH($B$38),AND($B$35="Да",IFERROR(INDEX('Вводные'!$B$88:$B$90,$B$36),"Нет")="Да")),MAX(0,SUM($D53:AE53)-AE53),0)</x:f>
        <x:v>0</x:v>
      </x:c>
      <x:c r="AF55" s="107" t="n">
        <x:f>IF(AND(YEAR(AF$3)=YEAR($B$38),MONTH(AF$3)=MONTH($B$38),AND($B$35="Да",IFERROR(INDEX('Вводные'!$B$88:$B$90,$B$36),"Нет")="Да")),MAX(0,SUM($D53:AF53)-AF53),0)</x:f>
        <x:v>0</x:v>
      </x:c>
      <x:c r="AG55" s="107" t="n">
        <x:f>IF(AND(YEAR(AG$3)=YEAR($B$38),MONTH(AG$3)=MONTH($B$38),AND($B$35="Да",IFERROR(INDEX('Вводные'!$B$88:$B$90,$B$36),"Нет")="Да")),MAX(0,SUM($D53:AG53)-AG53),0)</x:f>
        <x:v>0</x:v>
      </x:c>
      <x:c r="AH55" s="107" t="n">
        <x:f>IF(AND(YEAR(AH$3)=YEAR($B$38),MONTH(AH$3)=MONTH($B$38),AND($B$35="Да",IFERROR(INDEX('Вводные'!$B$88:$B$90,$B$36),"Нет")="Да")),MAX(0,SUM($D53:AH53)-AH53),0)</x:f>
        <x:v>0</x:v>
      </x:c>
      <x:c r="AI55" s="107" t="n">
        <x:f>IF(AND(YEAR(AI$3)=YEAR($B$38),MONTH(AI$3)=MONTH($B$38),AND($B$35="Да",IFERROR(INDEX('Вводные'!$B$88:$B$90,$B$36),"Нет")="Да")),MAX(0,SUM($D53:AI53)-AI53),0)</x:f>
        <x:v>0</x:v>
      </x:c>
      <x:c r="AJ55" s="107" t="n">
        <x:f>IF(AND(YEAR(AJ$3)=YEAR($B$38),MONTH(AJ$3)=MONTH($B$38),AND($B$35="Да",IFERROR(INDEX('Вводные'!$B$88:$B$90,$B$36),"Нет")="Да")),MAX(0,SUM($D53:AJ53)-AJ53),0)</x:f>
        <x:v>0</x:v>
      </x:c>
      <x:c r="AK55" s="107" t="n">
        <x:f>IF(AND(YEAR(AK$3)=YEAR($B$38),MONTH(AK$3)=MONTH($B$38),AND($B$35="Да",IFERROR(INDEX('Вводные'!$B$88:$B$90,$B$36),"Нет")="Да")),MAX(0,SUM($D53:AK53)-AK53),0)</x:f>
        <x:v>0</x:v>
      </x:c>
      <x:c r="AL55" s="107" t="n">
        <x:f>IF(AND(YEAR(AL$3)=YEAR($B$38),MONTH(AL$3)=MONTH($B$38),AND($B$35="Да",IFERROR(INDEX('Вводные'!$B$88:$B$90,$B$36),"Нет")="Да")),MAX(0,SUM($D53:AL53)-AL53),0)</x:f>
        <x:v>0</x:v>
      </x:c>
      <x:c r="AM55" s="107" t="n">
        <x:f>IF(AND(YEAR(AM$3)=YEAR($B$38),MONTH(AM$3)=MONTH($B$38),AND($B$35="Да",IFERROR(INDEX('Вводные'!$B$88:$B$90,$B$36),"Нет")="Да")),MAX(0,SUM($D53:AM53)-AM53),0)</x:f>
        <x:v>0</x:v>
      </x:c>
      <x:c r="AN55" s="107" t="n">
        <x:f>IF(AND(YEAR(AN$3)=YEAR($B$38),MONTH(AN$3)=MONTH($B$38),AND($B$35="Да",IFERROR(INDEX('Вводные'!$B$88:$B$90,$B$36),"Нет")="Да")),MAX(0,SUM($D53:AN53)-AN53),0)</x:f>
        <x:v>0</x:v>
      </x:c>
      <x:c r="AO55" s="107" t="n">
        <x:f>IF(AND(YEAR(AO$3)=YEAR($B$38),MONTH(AO$3)=MONTH($B$38),AND($B$35="Да",IFERROR(INDEX('Вводные'!$B$88:$B$90,$B$36),"Нет")="Да")),MAX(0,SUM($D53:AO53)-AO53),0)</x:f>
        <x:v>0</x:v>
      </x:c>
      <x:c r="AP55" s="107" t="n">
        <x:f>IF(AND(YEAR(AP$3)=YEAR($B$38),MONTH(AP$3)=MONTH($B$38),AND($B$35="Да",IFERROR(INDEX('Вводные'!$B$88:$B$90,$B$36),"Нет")="Да")),MAX(0,SUM($D53:AP53)-AP53),0)</x:f>
        <x:v>0</x:v>
      </x:c>
      <x:c r="AQ55" s="107" t="n">
        <x:f>IF(AND(YEAR(AQ$3)=YEAR($B$38),MONTH(AQ$3)=MONTH($B$38),AND($B$35="Да",IFERROR(INDEX('Вводные'!$B$88:$B$90,$B$36),"Нет")="Да")),MAX(0,SUM($D53:AQ53)-AQ53),0)</x:f>
        <x:v>0</x:v>
      </x:c>
      <x:c r="AR55" s="107" t="n">
        <x:f>IF(AND(YEAR(AR$3)=YEAR($B$38),MONTH(AR$3)=MONTH($B$38),AND($B$35="Да",IFERROR(INDEX('Вводные'!$B$88:$B$90,$B$36),"Нет")="Да")),MAX(0,SUM($D53:AR53)-AR53),0)</x:f>
        <x:v>0</x:v>
      </x:c>
      <x:c r="AS55" s="107" t="n">
        <x:f>IF(AND(YEAR(AS$3)=YEAR($B$38),MONTH(AS$3)=MONTH($B$38),AND($B$35="Да",IFERROR(INDEX('Вводные'!$B$88:$B$90,$B$36),"Нет")="Да")),MAX(0,SUM($D53:AS53)-AS53),0)</x:f>
        <x:v>0</x:v>
      </x:c>
      <x:c r="AT55" s="107" t="n">
        <x:f>IF(AND(YEAR(AT$3)=YEAR($B$38),MONTH(AT$3)=MONTH($B$38),AND($B$35="Да",IFERROR(INDEX('Вводные'!$B$88:$B$90,$B$36),"Нет")="Да")),MAX(0,SUM($D53:AT53)-AT53),0)</x:f>
        <x:v>0</x:v>
      </x:c>
      <x:c r="AU55" s="107" t="n">
        <x:f>IF(AND(YEAR(AU$3)=YEAR($B$38),MONTH(AU$3)=MONTH($B$38),AND($B$35="Да",IFERROR(INDEX('Вводные'!$B$88:$B$90,$B$36),"Нет")="Да")),MAX(0,SUM($D53:AU53)-AU53),0)</x:f>
        <x:v>0</x:v>
      </x:c>
      <x:c r="AV55" s="107" t="n">
        <x:f>IF(AND(YEAR(AV$3)=YEAR($B$38),MONTH(AV$3)=MONTH($B$38),AND($B$35="Да",IFERROR(INDEX('Вводные'!$B$88:$B$90,$B$36),"Нет")="Да")),MAX(0,SUM($D53:AV53)-AV53),0)</x:f>
        <x:v>0</x:v>
      </x:c>
      <x:c r="AW55" s="107" t="n">
        <x:f>IF(AND(YEAR(AW$3)=YEAR($B$38),MONTH(AW$3)=MONTH($B$38),AND($B$35="Да",IFERROR(INDEX('Вводные'!$B$88:$B$90,$B$36),"Нет")="Да")),MAX(0,SUM($D53:AW53)-AW53),0)</x:f>
        <x:v>0</x:v>
      </x:c>
      <x:c r="AX55" s="107" t="n">
        <x:f>IF(AND(YEAR(AX$3)=YEAR($B$38),MONTH(AX$3)=MONTH($B$38),AND($B$35="Да",IFERROR(INDEX('Вводные'!$B$88:$B$90,$B$36),"Нет")="Да")),MAX(0,SUM($D53:AX53)-AX53),0)</x:f>
        <x:v>0</x:v>
      </x:c>
      <x:c r="AY55" s="107" t="n">
        <x:f>IF(AND(YEAR(AY$3)=YEAR($B$38),MONTH(AY$3)=MONTH($B$38),AND($B$35="Да",IFERROR(INDEX('Вводные'!$B$88:$B$90,$B$36),"Нет")="Да")),MAX(0,SUM($D53:AY53)-AY53),0)</x:f>
        <x:v>0</x:v>
      </x:c>
      <x:c r="AZ55" s="107" t="n">
        <x:f>IF(AND(YEAR(AZ$3)=YEAR($B$38),MONTH(AZ$3)=MONTH($B$38),AND($B$35="Да",IFERROR(INDEX('Вводные'!$B$88:$B$90,$B$36),"Нет")="Да")),MAX(0,SUM($D53:AZ53)-AZ53),0)</x:f>
        <x:v>0</x:v>
      </x:c>
      <x:c r="BA55" s="107" t="n">
        <x:f>IF(AND(YEAR(BA$3)=YEAR($B$38),MONTH(BA$3)=MONTH($B$38),AND($B$35="Да",IFERROR(INDEX('Вводные'!$B$88:$B$90,$B$36),"Нет")="Да")),MAX(0,SUM($D53:BA53)-BA53),0)</x:f>
        <x:v>0</x:v>
      </x:c>
      <x:c r="BB55" s="107" t="n">
        <x:f>IF(AND(YEAR(BB$3)=YEAR($B$38),MONTH(BB$3)=MONTH($B$38),AND($B$35="Да",IFERROR(INDEX('Вводные'!$B$88:$B$90,$B$36),"Нет")="Да")),MAX(0,SUM($D53:BB53)-BB53),0)</x:f>
        <x:v>0</x:v>
      </x:c>
      <x:c r="BC55" s="107" t="n">
        <x:f>IF(AND(YEAR(BC$3)=YEAR($B$38),MONTH(BC$3)=MONTH($B$38),AND($B$35="Да",IFERROR(INDEX('Вводные'!$B$88:$B$90,$B$36),"Нет")="Да")),MAX(0,SUM($D53:BC53)-BC53),0)</x:f>
        <x:v>0</x:v>
      </x:c>
      <x:c r="BD55" s="107" t="n">
        <x:f>IF(AND(YEAR(BD$3)=YEAR($B$38),MONTH(BD$3)=MONTH($B$38),AND($B$35="Да",IFERROR(INDEX('Вводные'!$B$88:$B$90,$B$36),"Нет")="Да")),MAX(0,SUM($D53:BD53)-BD53),0)</x:f>
        <x:v>0</x:v>
      </x:c>
      <x:c r="BE55" s="107" t="n">
        <x:f>IF(AND(YEAR(BE$3)=YEAR($B$38),MONTH(BE$3)=MONTH($B$38),AND($B$35="Да",IFERROR(INDEX('Вводные'!$B$88:$B$90,$B$36),"Нет")="Да")),MAX(0,SUM($D53:BE53)-BE53),0)</x:f>
        <x:v>0</x:v>
      </x:c>
      <x:c r="BF55" s="107" t="n">
        <x:f>IF(AND(YEAR(BF$3)=YEAR($B$38),MONTH(BF$3)=MONTH($B$38),AND($B$35="Да",IFERROR(INDEX('Вводные'!$B$88:$B$90,$B$36),"Нет")="Да")),MAX(0,SUM($D53:BF53)-BF53),0)</x:f>
        <x:v>0</x:v>
      </x:c>
      <x:c r="BG55" s="107" t="n">
        <x:f>IF(AND(YEAR(BG$3)=YEAR($B$38),MONTH(BG$3)=MONTH($B$38),AND($B$35="Да",IFERROR(INDEX('Вводные'!$B$88:$B$90,$B$36),"Нет")="Да")),MAX(0,SUM($D53:BG53)-BG53),0)</x:f>
        <x:v>0</x:v>
      </x:c>
      <x:c r="BH55" s="107" t="n">
        <x:f>IF(AND(YEAR(BH$3)=YEAR($B$38),MONTH(BH$3)=MONTH($B$38),AND($B$35="Да",IFERROR(INDEX('Вводные'!$B$88:$B$90,$B$36),"Нет")="Да")),MAX(0,SUM($D53:BH53)-BH53),0)</x:f>
        <x:v>0</x:v>
      </x:c>
      <x:c r="BI55" s="107" t="n">
        <x:f>IF(AND(YEAR(BI$3)=YEAR($B$38),MONTH(BI$3)=MONTH($B$38),AND($B$35="Да",IFERROR(INDEX('Вводные'!$B$88:$B$90,$B$36),"Нет")="Да")),MAX(0,SUM($D53:BI53)-BI53),0)</x:f>
        <x:v>0</x:v>
      </x:c>
      <x:c r="BJ55" s="107" t="n">
        <x:f>IF(AND(YEAR(BJ$3)=YEAR($B$38),MONTH(BJ$3)=MONTH($B$38),AND($B$35="Да",IFERROR(INDEX('Вводные'!$B$88:$B$90,$B$36),"Нет")="Да")),MAX(0,SUM($D53:BJ53)-BJ53),0)</x:f>
        <x:v>0</x:v>
      </x:c>
      <x:c r="BK55" s="107" t="n">
        <x:f>IF(AND(YEAR(BK$3)=YEAR($B$38),MONTH(BK$3)=MONTH($B$38),AND($B$35="Да",IFERROR(INDEX('Вводные'!$B$88:$B$90,$B$36),"Нет")="Да")),MAX(0,SUM($D53:BK53)-BK53),0)</x:f>
        <x:v>0</x:v>
      </x:c>
      <x:c r="BL55" s="107" t="n">
        <x:f>IF(AND(YEAR(BL$3)=YEAR($B$38),MONTH(BL$3)=MONTH($B$38),AND($B$35="Да",IFERROR(INDEX('Вводные'!$B$88:$B$90,$B$36),"Нет")="Да")),MAX(0,SUM($D53:BL53)-BL53),0)</x:f>
        <x:v>0</x:v>
      </x:c>
      <x:c r="BM55" s="107" t="n">
        <x:f>IF(AND(YEAR(BM$3)=YEAR($B$38),MONTH(BM$3)=MONTH($B$38),AND($B$35="Да",IFERROR(INDEX('Вводные'!$B$88:$B$90,$B$36),"Нет")="Да")),MAX(0,SUM($D53:BM53)-BM53),0)</x:f>
        <x:v>0</x:v>
      </x:c>
      <x:c r="BN55" s="107" t="n">
        <x:f>IF(AND(YEAR(BN$3)=YEAR($B$38),MONTH(BN$3)=MONTH($B$38),AND($B$35="Да",IFERROR(INDEX('Вводные'!$B$88:$B$90,$B$36),"Нет")="Да")),MAX(0,SUM($D53:BN53)-BN53),0)</x:f>
        <x:v>0</x:v>
      </x:c>
      <x:c r="BO55" s="107" t="n">
        <x:f>IF(AND(YEAR(BO$3)=YEAR($B$38),MONTH(BO$3)=MONTH($B$38),AND($B$35="Да",IFERROR(INDEX('Вводные'!$B$88:$B$90,$B$36),"Нет")="Да")),MAX(0,SUM($D53:BO53)-BO53),0)</x:f>
        <x:v>0</x:v>
      </x:c>
      <x:c r="BP55" s="107" t="n">
        <x:f>IF(AND(YEAR(BP$3)=YEAR($B$38),MONTH(BP$3)=MONTH($B$38),AND($B$35="Да",IFERROR(INDEX('Вводные'!$B$88:$B$90,$B$36),"Нет")="Да")),MAX(0,SUM($D53:BP53)-BP53),0)</x:f>
        <x:v>0</x:v>
      </x:c>
      <x:c r="BQ55" s="107" t="n">
        <x:f>IF(AND(YEAR(BQ$3)=YEAR($B$38),MONTH(BQ$3)=MONTH($B$38),AND($B$35="Да",IFERROR(INDEX('Вводные'!$B$88:$B$90,$B$36),"Нет")="Да")),MAX(0,SUM($D53:BQ53)-BQ53),0)</x:f>
        <x:v>0</x:v>
      </x:c>
      <x:c r="BR55" s="107" t="n">
        <x:f>IF(AND(YEAR(BR$3)=YEAR($B$38),MONTH(BR$3)=MONTH($B$38),AND($B$35="Да",IFERROR(INDEX('Вводные'!$B$88:$B$90,$B$36),"Нет")="Да")),MAX(0,SUM($D53:BR53)-BR53),0)</x:f>
        <x:v>0</x:v>
      </x:c>
      <x:c r="BS55" s="107" t="n">
        <x:f>IF(AND(YEAR(BS$3)=YEAR($B$38),MONTH(BS$3)=MONTH($B$38),AND($B$35="Да",IFERROR(INDEX('Вводные'!$B$88:$B$90,$B$36),"Нет")="Да")),MAX(0,SUM($D53:BS53)-BS53),0)</x:f>
        <x:v>0</x:v>
      </x:c>
      <x:c r="BT55" s="107" t="n">
        <x:f>IF(AND(YEAR(BT$3)=YEAR($B$38),MONTH(BT$3)=MONTH($B$38),AND($B$35="Да",IFERROR(INDEX('Вводные'!$B$88:$B$90,$B$36),"Нет")="Да")),MAX(0,SUM($D53:BT53)-BT53),0)</x:f>
        <x:v>0</x:v>
      </x:c>
      <x:c r="BU55" s="107" t="n">
        <x:f>IF(AND(YEAR(BU$3)=YEAR($B$38),MONTH(BU$3)=MONTH($B$38),AND($B$35="Да",IFERROR(INDEX('Вводные'!$B$88:$B$90,$B$36),"Нет")="Да")),MAX(0,SUM($D53:BU53)-BU53),0)</x:f>
        <x:v>0</x:v>
      </x:c>
      <x:c r="BV55" s="107" t="n">
        <x:f>IF(AND(YEAR(BV$3)=YEAR($B$38),MONTH(BV$3)=MONTH($B$38),AND($B$35="Да",IFERROR(INDEX('Вводные'!$B$88:$B$90,$B$36),"Нет")="Да")),MAX(0,SUM($D53:BV53)-BV53),0)</x:f>
        <x:v>0</x:v>
      </x:c>
      <x:c r="BW55" s="107" t="n">
        <x:f>IF(AND(YEAR(BW$3)=YEAR($B$38),MONTH(BW$3)=MONTH($B$38),AND($B$35="Да",IFERROR(INDEX('Вводные'!$B$88:$B$90,$B$36),"Нет")="Да")),MAX(0,SUM($D53:BW53)-BW53),0)</x:f>
        <x:v>0</x:v>
      </x:c>
      <x:c r="BX55" s="107" t="n">
        <x:f>IF(AND(YEAR(BX$3)=YEAR($B$38),MONTH(BX$3)=MONTH($B$38),AND($B$35="Да",IFERROR(INDEX('Вводные'!$B$88:$B$90,$B$36),"Нет")="Да")),MAX(0,SUM($D53:BX53)-BX53),0)</x:f>
        <x:v>0</x:v>
      </x:c>
      <x:c r="BY55" s="107" t="n">
        <x:f>IF(AND(YEAR(BY$3)=YEAR($B$38),MONTH(BY$3)=MONTH($B$38),AND($B$35="Да",IFERROR(INDEX('Вводные'!$B$88:$B$90,$B$36),"Нет")="Да")),MAX(0,SUM($D53:BY53)-BY53),0)</x:f>
        <x:v>0</x:v>
      </x:c>
      <x:c r="BZ55" s="107" t="n">
        <x:f>IF(AND(YEAR(BZ$3)=YEAR($B$38),MONTH(BZ$3)=MONTH($B$38),AND($B$35="Да",IFERROR(INDEX('Вводные'!$B$88:$B$90,$B$36),"Нет")="Да")),MAX(0,SUM($D53:BZ53)-BZ53),0)</x:f>
        <x:v>0</x:v>
      </x:c>
      <x:c r="CA55" s="107" t="n">
        <x:f>IF(AND(YEAR(CA$3)=YEAR($B$38),MONTH(CA$3)=MONTH($B$38),AND($B$35="Да",IFERROR(INDEX('Вводные'!$B$88:$B$90,$B$36),"Нет")="Да")),MAX(0,SUM($D53:CA53)-CA53),0)</x:f>
        <x:v>0</x:v>
      </x:c>
      <x:c r="CB55" s="107" t="n">
        <x:f>IF(AND(YEAR(CB$3)=YEAR($B$38),MONTH(CB$3)=MONTH($B$38),AND($B$35="Да",IFERROR(INDEX('Вводные'!$B$88:$B$90,$B$36),"Нет")="Да")),MAX(0,SUM($D53:CB53)-CB53),0)</x:f>
        <x:v>0</x:v>
      </x:c>
      <x:c r="CC55" s="107" t="n">
        <x:f>IF(AND(YEAR(CC$3)=YEAR($B$38),MONTH(CC$3)=MONTH($B$38),AND($B$35="Да",IFERROR(INDEX('Вводные'!$B$88:$B$90,$B$36),"Нет")="Да")),MAX(0,SUM($D53:CC53)-CC53),0)</x:f>
        <x:v>0</x:v>
      </x:c>
      <x:c r="CD55" s="107" t="n">
        <x:f>IF(AND(YEAR(CD$3)=YEAR($B$38),MONTH(CD$3)=MONTH($B$38),AND($B$35="Да",IFERROR(INDEX('Вводные'!$B$88:$B$90,$B$36),"Нет")="Да")),MAX(0,SUM($D53:CD53)-CD53),0)</x:f>
        <x:v>0</x:v>
      </x:c>
      <x:c r="CE55" s="107" t="n">
        <x:f>IF(AND(YEAR(CE$3)=YEAR($B$38),MONTH(CE$3)=MONTH($B$38),AND($B$35="Да",IFERROR(INDEX('Вводные'!$B$88:$B$90,$B$36),"Нет")="Да")),MAX(0,SUM($D53:CE53)-CE53),0)</x:f>
        <x:v>0</x:v>
      </x:c>
      <x:c r="CF55" s="107" t="n">
        <x:f>IF(AND(YEAR(CF$3)=YEAR($B$38),MONTH(CF$3)=MONTH($B$38),AND($B$35="Да",IFERROR(INDEX('Вводные'!$B$88:$B$90,$B$36),"Нет")="Да")),MAX(0,SUM($D53:CF53)-CF53),0)</x:f>
        <x:v>0</x:v>
      </x:c>
      <x:c r="CG55" s="107" t="n">
        <x:f>IF(AND(YEAR(CG$3)=YEAR($B$38),MONTH(CG$3)=MONTH($B$38),AND($B$35="Да",IFERROR(INDEX('Вводные'!$B$88:$B$90,$B$36),"Нет")="Да")),MAX(0,SUM($D53:CG53)-CG53),0)</x:f>
        <x:v>0</x:v>
      </x:c>
      <x:c r="CH55" s="107" t="n">
        <x:f>IF(AND(YEAR(CH$3)=YEAR($B$38),MONTH(CH$3)=MONTH($B$38),AND($B$35="Да",IFERROR(INDEX('Вводные'!$B$88:$B$90,$B$36),"Нет")="Да")),MAX(0,SUM($D53:CH53)-CH53),0)</x:f>
        <x:v>0</x:v>
      </x:c>
      <x:c r="CI55" s="107" t="n">
        <x:f>IF(AND(YEAR(CI$3)=YEAR($B$38),MONTH(CI$3)=MONTH($B$38),AND($B$35="Да",IFERROR(INDEX('Вводные'!$B$88:$B$90,$B$36),"Нет")="Да")),MAX(0,SUM($D53:CI53)-CI53),0)</x:f>
        <x:v>0</x:v>
      </x:c>
      <x:c r="CJ55" s="107" t="n">
        <x:f>IF(AND(YEAR(CJ$3)=YEAR($B$38),MONTH(CJ$3)=MONTH($B$38),AND($B$35="Да",IFERROR(INDEX('Вводные'!$B$88:$B$90,$B$36),"Нет")="Да")),MAX(0,SUM($D53:CJ53)-CJ53),0)</x:f>
        <x:v>0</x:v>
      </x:c>
      <x:c r="CK55" s="107" t="n">
        <x:f>IF(AND(YEAR(CK$3)=YEAR($B$38),MONTH(CK$3)=MONTH($B$38),AND($B$35="Да",IFERROR(INDEX('Вводные'!$B$88:$B$90,$B$36),"Нет")="Да")),MAX(0,SUM($D53:CK53)-CK53),0)</x:f>
        <x:v>0</x:v>
      </x:c>
      <x:c r="CL55" s="107" t="n">
        <x:f>IF(AND(YEAR(CL$3)=YEAR($B$38),MONTH(CL$3)=MONTH($B$38),AND($B$35="Да",IFERROR(INDEX('Вводные'!$B$88:$B$90,$B$36),"Нет")="Да")),MAX(0,SUM($D53:CL53)-CL53),0)</x:f>
        <x:v>0</x:v>
      </x:c>
      <x:c r="CM55" s="107" t="n">
        <x:f>IF(AND(YEAR(CM$3)=YEAR($B$38),MONTH(CM$3)=MONTH($B$38),AND($B$35="Да",IFERROR(INDEX('Вводные'!$B$88:$B$90,$B$36),"Нет")="Да")),MAX(0,SUM($D53:CM53)-CM53),0)</x:f>
        <x:v>0</x:v>
      </x:c>
      <x:c r="CN55" s="107" t="n">
        <x:f>IF(AND(YEAR(CN$3)=YEAR($B$38),MONTH(CN$3)=MONTH($B$38),AND($B$35="Да",IFERROR(INDEX('Вводные'!$B$88:$B$90,$B$36),"Нет")="Да")),MAX(0,SUM($D53:CN53)-CN53),0)</x:f>
        <x:v>0</x:v>
      </x:c>
      <x:c r="CO55" s="107" t="n">
        <x:f>IF(AND(YEAR(CO$3)=YEAR($B$38),MONTH(CO$3)=MONTH($B$38),AND($B$35="Да",IFERROR(INDEX('Вводные'!$B$88:$B$90,$B$36),"Нет")="Да")),MAX(0,SUM($D53:CO53)-CO53),0)</x:f>
        <x:v>0</x:v>
      </x:c>
      <x:c r="CP55" s="107" t="n">
        <x:f>IF(AND(YEAR(CP$3)=YEAR($B$38),MONTH(CP$3)=MONTH($B$38),AND($B$35="Да",IFERROR(INDEX('Вводные'!$B$88:$B$90,$B$36),"Нет")="Да")),MAX(0,SUM($D53:CP53)-CP53),0)</x:f>
        <x:v>0</x:v>
      </x:c>
      <x:c r="CQ55" s="107" t="n">
        <x:f>IF(AND(YEAR(CQ$3)=YEAR($B$38),MONTH(CQ$3)=MONTH($B$38),AND($B$35="Да",IFERROR(INDEX('Вводные'!$B$88:$B$90,$B$36),"Нет")="Да")),MAX(0,SUM($D53:CQ53)-CQ53),0)</x:f>
        <x:v>0</x:v>
      </x:c>
      <x:c r="CR55" s="107" t="n">
        <x:f>IF(AND(YEAR(CR$3)=YEAR($B$38),MONTH(CR$3)=MONTH($B$38),AND($B$35="Да",IFERROR(INDEX('Вводные'!$B$88:$B$90,$B$36),"Нет")="Да")),MAX(0,SUM($D53:CR53)-CR53),0)</x:f>
        <x:v>0</x:v>
      </x:c>
      <x:c r="CS55" s="107" t="n">
        <x:f>IF(AND(YEAR(CS$3)=YEAR($B$38),MONTH(CS$3)=MONTH($B$38),AND($B$35="Да",IFERROR(INDEX('Вводные'!$B$88:$B$90,$B$36),"Нет")="Да")),MAX(0,SUM($D53:CS53)-CS53),0)</x:f>
        <x:v>0</x:v>
      </x:c>
      <x:c r="CT55" s="107" t="n">
        <x:f>IF(AND(YEAR(CT$3)=YEAR($B$38),MONTH(CT$3)=MONTH($B$38),AND($B$35="Да",IFERROR(INDEX('Вводные'!$B$88:$B$90,$B$36),"Нет")="Да")),MAX(0,SUM($D53:CT53)-CT53),0)</x:f>
        <x:v>0</x:v>
      </x:c>
      <x:c r="CU55" s="107" t="n">
        <x:f>IF(AND(YEAR(CU$3)=YEAR($B$38),MONTH(CU$3)=MONTH($B$38),AND($B$35="Да",IFERROR(INDEX('Вводные'!$B$88:$B$90,$B$36),"Нет")="Да")),MAX(0,SUM($D53:CU53)-CU53),0)</x:f>
        <x:v>0</x:v>
      </x:c>
      <x:c r="CV55" s="107" t="n">
        <x:f>IF(AND(YEAR(CV$3)=YEAR($B$38),MONTH(CV$3)=MONTH($B$38),AND($B$35="Да",IFERROR(INDEX('Вводные'!$B$88:$B$90,$B$36),"Нет")="Да")),MAX(0,SUM($D53:CV53)-CV53),0)</x:f>
        <x:v>0</x:v>
      </x:c>
      <x:c r="CW55" s="107" t="n">
        <x:f>IF(AND(YEAR(CW$3)=YEAR($B$38),MONTH(CW$3)=MONTH($B$38),AND($B$35="Да",IFERROR(INDEX('Вводные'!$B$88:$B$90,$B$36),"Нет")="Да")),MAX(0,SUM($D53:CW53)-CW53),0)</x:f>
        <x:v>0</x:v>
      </x:c>
      <x:c r="CX55" s="107" t="n">
        <x:f>IF(AND(YEAR(CX$3)=YEAR($B$38),MONTH(CX$3)=MONTH($B$38),AND($B$35="Да",IFERROR(INDEX('Вводные'!$B$88:$B$90,$B$36),"Нет")="Да")),MAX(0,SUM($D53:CX53)-CX53),0)</x:f>
        <x:v>0</x:v>
      </x:c>
      <x:c r="CY55" s="107" t="n">
        <x:f>IF(AND(YEAR(CY$3)=YEAR($B$38),MONTH(CY$3)=MONTH($B$38),AND($B$35="Да",IFERROR(INDEX('Вводные'!$B$88:$B$90,$B$36),"Нет")="Да")),MAX(0,SUM($D53:CY53)-CY53),0)</x:f>
        <x:v>0</x:v>
      </x:c>
      <x:c r="CZ55" s="107" t="n">
        <x:f>IF(AND(YEAR(CZ$3)=YEAR($B$38),MONTH(CZ$3)=MONTH($B$38),AND($B$35="Да",IFERROR(INDEX('Вводные'!$B$88:$B$90,$B$36),"Нет")="Да")),MAX(0,SUM($D53:CZ53)-CZ53),0)</x:f>
        <x:v>0</x:v>
      </x:c>
      <x:c r="DA55" s="107" t="n">
        <x:f>IF(AND(YEAR(DA$3)=YEAR($B$38),MONTH(DA$3)=MONTH($B$38),AND($B$35="Да",IFERROR(INDEX('Вводные'!$B$88:$B$90,$B$36),"Нет")="Да")),MAX(0,SUM($D53:DA53)-DA53),0)</x:f>
        <x:v>0</x:v>
      </x:c>
      <x:c r="DB55" s="107" t="n">
        <x:f>IF(AND(YEAR(DB$3)=YEAR($B$38),MONTH(DB$3)=MONTH($B$38),AND($B$35="Да",IFERROR(INDEX('Вводные'!$B$88:$B$90,$B$36),"Нет")="Да")),MAX(0,SUM($D53:DB53)-DB53),0)</x:f>
        <x:v>0</x:v>
      </x:c>
      <x:c r="DC55" s="107" t="n">
        <x:f>IF(AND(YEAR(DC$3)=YEAR($B$38),MONTH(DC$3)=MONTH($B$38),AND($B$35="Да",IFERROR(INDEX('Вводные'!$B$88:$B$90,$B$36),"Нет")="Да")),MAX(0,SUM($D53:DC53)-DC53),0)</x:f>
        <x:v>0</x:v>
      </x:c>
      <x:c r="DD55" s="107" t="n">
        <x:f>IF(AND(YEAR(DD$3)=YEAR($B$38),MONTH(DD$3)=MONTH($B$38),AND($B$35="Да",IFERROR(INDEX('Вводные'!$B$88:$B$90,$B$36),"Нет")="Да")),MAX(0,SUM($D53:DD53)-DD53),0)</x:f>
        <x:v>0</x:v>
      </x:c>
      <x:c r="DE55" s="107" t="n">
        <x:f>IF(AND(YEAR(DE$3)=YEAR($B$38),MONTH(DE$3)=MONTH($B$38),AND($B$35="Да",IFERROR(INDEX('Вводные'!$B$88:$B$90,$B$36),"Нет")="Да")),MAX(0,SUM($D53:DE53)-DE53),0)</x:f>
        <x:v>0</x:v>
      </x:c>
      <x:c r="DF55" s="107" t="n">
        <x:f>IF(AND(YEAR(DF$3)=YEAR($B$38),MONTH(DF$3)=MONTH($B$38),AND($B$35="Да",IFERROR(INDEX('Вводные'!$B$88:$B$90,$B$36),"Нет")="Да")),MAX(0,SUM($D53:DF53)-DF53),0)</x:f>
        <x:v>0</x:v>
      </x:c>
      <x:c r="DG55" s="107" t="n">
        <x:f>IF(AND(YEAR(DG$3)=YEAR($B$38),MONTH(DG$3)=MONTH($B$38),AND($B$35="Да",IFERROR(INDEX('Вводные'!$B$88:$B$90,$B$36),"Нет")="Да")),MAX(0,SUM($D53:DG53)-DG53),0)</x:f>
        <x:v>0</x:v>
      </x:c>
      <x:c r="DH55" s="107" t="n">
        <x:f>IF(AND(YEAR(DH$3)=YEAR($B$38),MONTH(DH$3)=MONTH($B$38),AND($B$35="Да",IFERROR(INDEX('Вводные'!$B$88:$B$90,$B$36),"Нет")="Да")),MAX(0,SUM($D53:DH53)-DH53),0)</x:f>
        <x:v>0</x:v>
      </x:c>
      <x:c r="DI55" s="107" t="n">
        <x:f>IF(AND(YEAR(DI$3)=YEAR($B$38),MONTH(DI$3)=MONTH($B$38),AND($B$35="Да",IFERROR(INDEX('Вводные'!$B$88:$B$90,$B$36),"Нет")="Да")),MAX(0,SUM($D53:DI53)-DI53),0)</x:f>
        <x:v>0</x:v>
      </x:c>
      <x:c r="DJ55" s="107" t="n">
        <x:f>IF(AND(YEAR(DJ$3)=YEAR($B$38),MONTH(DJ$3)=MONTH($B$38),AND($B$35="Да",IFERROR(INDEX('Вводные'!$B$88:$B$90,$B$36),"Нет")="Да")),MAX(0,SUM($D53:DJ53)-DJ53),0)</x:f>
        <x:v>0</x:v>
      </x:c>
      <x:c r="DK55" s="107" t="n">
        <x:f>IF(AND(YEAR(DK$3)=YEAR($B$38),MONTH(DK$3)=MONTH($B$38),AND($B$35="Да",IFERROR(INDEX('Вводные'!$B$88:$B$90,$B$36),"Нет")="Да")),MAX(0,SUM($D53:DK53)-DK53),0)</x:f>
        <x:v>0</x:v>
      </x:c>
      <x:c r="DL55" s="107" t="n">
        <x:f>IF(AND(YEAR(DL$3)=YEAR($B$38),MONTH(DL$3)=MONTH($B$38),AND($B$35="Да",IFERROR(INDEX('Вводные'!$B$88:$B$90,$B$36),"Нет")="Да")),MAX(0,SUM($D53:DL53)-DL53),0)</x:f>
        <x:v>0</x:v>
      </x:c>
      <x:c r="DM55" s="107" t="n">
        <x:f>IF(AND(YEAR(DM$3)=YEAR($B$38),MONTH(DM$3)=MONTH($B$38),AND($B$35="Да",IFERROR(INDEX('Вводные'!$B$88:$B$90,$B$36),"Нет")="Да")),MAX(0,SUM($D53:DM53)-DM53),0)</x:f>
        <x:v>0</x:v>
      </x:c>
      <x:c r="DN55" s="107" t="n">
        <x:f>IF(AND(YEAR(DN$3)=YEAR($B$38),MONTH(DN$3)=MONTH($B$38),AND($B$35="Да",IFERROR(INDEX('Вводные'!$B$88:$B$90,$B$36),"Нет")="Да")),MAX(0,SUM($D53:DN53)-DN53),0)</x:f>
        <x:v>0</x:v>
      </x:c>
      <x:c r="DO55" s="107" t="n">
        <x:f>IF(AND(YEAR(DO$3)=YEAR($B$38),MONTH(DO$3)=MONTH($B$38),AND($B$35="Да",IFERROR(INDEX('Вводные'!$B$88:$B$90,$B$36),"Нет")="Да")),MAX(0,SUM($D53:DO53)-DO53),0)</x:f>
        <x:v>0</x:v>
      </x:c>
      <x:c r="DP55" s="107" t="n">
        <x:f>IF(AND(YEAR(DP$3)=YEAR($B$38),MONTH(DP$3)=MONTH($B$38),AND($B$35="Да",IFERROR(INDEX('Вводные'!$B$88:$B$90,$B$36),"Нет")="Да")),MAX(0,SUM($D53:DP53)-DP53),0)</x:f>
        <x:v>0</x:v>
      </x:c>
      <x:c r="DQ55" s="107" t="n">
        <x:f>IF(AND(YEAR(DQ$3)=YEAR($B$38),MONTH(DQ$3)=MONTH($B$38),AND($B$35="Да",IFERROR(INDEX('Вводные'!$B$88:$B$90,$B$36),"Нет")="Да")),MAX(0,SUM($D53:DQ53)-DQ53),0)</x:f>
        <x:v>0</x:v>
      </x:c>
      <x:c r="DR55" s="107" t="n">
        <x:f>IF(AND(YEAR(DR$3)=YEAR($B$38),MONTH(DR$3)=MONTH($B$38),AND($B$35="Да",IFERROR(INDEX('Вводные'!$B$88:$B$90,$B$36),"Нет")="Да")),MAX(0,SUM($D53:DR53)-DR53),0)</x:f>
        <x:v>0</x:v>
      </x:c>
      <x:c r="DS55" s="107" t="n">
        <x:f>IF(AND(YEAR(DS$3)=YEAR($B$38),MONTH(DS$3)=MONTH($B$38),AND($B$35="Да",IFERROR(INDEX('Вводные'!$B$88:$B$90,$B$36),"Нет")="Да")),MAX(0,SUM($D53:DS53)-DS53),0)</x:f>
        <x:v>0</x:v>
      </x:c>
    </x:row>
    <x:row r="56">
      <x:c r="A56" t="str">
        <x:v>CAPEX</x:v>
      </x:c>
      <x:c r="B56" s="107" t="n">
        <x:f>IF(AND($B$35="Да",IFERROR(INDEX('Вводные'!$B$88:$B$90,$B$36),"Нет")="Да"),$B$40*'Вводные'!$K$49/1000*'Вводные'!$H$6*INDEX('Вводные'!$T$88:$T$90,$B$36)*INDEX('Вводные'!$AH$88:$AH$90,$B$36),0)</x:f>
        <x:v>0</x:v>
      </x:c>
      <x:c r="C56" t="str">
        <x:v>млн ₽</x:v>
      </x:c>
      <x:c r="D56" s="107" t="n">
        <x:f>$B$56*D44</x:f>
        <x:v>0</x:v>
      </x:c>
      <x:c r="E56" s="107" t="n">
        <x:f>$B$56*E44</x:f>
        <x:v>0</x:v>
      </x:c>
      <x:c r="F56" s="107" t="n">
        <x:f>$B$56*F44</x:f>
        <x:v>0</x:v>
      </x:c>
      <x:c r="G56" s="107" t="n">
        <x:f>$B$56*G44</x:f>
        <x:v>0</x:v>
      </x:c>
      <x:c r="H56" s="107" t="n">
        <x:f>$B$56*H44</x:f>
        <x:v>0</x:v>
      </x:c>
      <x:c r="I56" s="107" t="n">
        <x:f>$B$56*I44</x:f>
        <x:v>0</x:v>
      </x:c>
      <x:c r="J56" s="107" t="n">
        <x:f>$B$56*J44</x:f>
        <x:v>0</x:v>
      </x:c>
      <x:c r="K56" s="107" t="n">
        <x:f>$B$56*K44</x:f>
        <x:v>0</x:v>
      </x:c>
      <x:c r="L56" s="107" t="n">
        <x:f>$B$56*L44</x:f>
        <x:v>0</x:v>
      </x:c>
      <x:c r="M56" s="107" t="n">
        <x:f>$B$56*M44</x:f>
        <x:v>0</x:v>
      </x:c>
      <x:c r="N56" s="107" t="n">
        <x:f>$B$56*N44</x:f>
        <x:v>0</x:v>
      </x:c>
      <x:c r="O56" s="107" t="n">
        <x:f>$B$56*O44</x:f>
        <x:v>0</x:v>
      </x:c>
      <x:c r="P56" s="107" t="n">
        <x:f>$B$56*P44</x:f>
        <x:v>0</x:v>
      </x:c>
      <x:c r="Q56" s="107" t="n">
        <x:f>$B$56*Q44</x:f>
        <x:v>0</x:v>
      </x:c>
      <x:c r="R56" s="107" t="n">
        <x:f>$B$56*R44</x:f>
        <x:v>0</x:v>
      </x:c>
      <x:c r="S56" s="107" t="n">
        <x:f>$B$56*S44</x:f>
        <x:v>0</x:v>
      </x:c>
      <x:c r="T56" s="107" t="n">
        <x:f>$B$56*T44</x:f>
        <x:v>0</x:v>
      </x:c>
      <x:c r="U56" s="107" t="n">
        <x:f>$B$56*U44</x:f>
        <x:v>0</x:v>
      </x:c>
      <x:c r="V56" s="107" t="n">
        <x:f>$B$56*V44</x:f>
        <x:v>0</x:v>
      </x:c>
      <x:c r="W56" s="107" t="n">
        <x:f>$B$56*W44</x:f>
        <x:v>0</x:v>
      </x:c>
      <x:c r="X56" s="107" t="n">
        <x:f>$B$56*X44</x:f>
        <x:v>0</x:v>
      </x:c>
      <x:c r="Y56" s="107" t="n">
        <x:f>$B$56*Y44</x:f>
        <x:v>0</x:v>
      </x:c>
      <x:c r="Z56" s="107" t="n">
        <x:f>$B$56*Z44</x:f>
        <x:v>0</x:v>
      </x:c>
      <x:c r="AA56" s="107" t="n">
        <x:f>$B$56*AA44</x:f>
        <x:v>0</x:v>
      </x:c>
      <x:c r="AB56" s="107" t="n">
        <x:f>$B$56*AB44</x:f>
        <x:v>0</x:v>
      </x:c>
      <x:c r="AC56" s="107" t="n">
        <x:f>$B$56*AC44</x:f>
        <x:v>0</x:v>
      </x:c>
      <x:c r="AD56" s="107" t="n">
        <x:f>$B$56*AD44</x:f>
        <x:v>0</x:v>
      </x:c>
      <x:c r="AE56" s="107" t="n">
        <x:f>$B$56*AE44</x:f>
        <x:v>0</x:v>
      </x:c>
      <x:c r="AF56" s="107" t="n">
        <x:f>$B$56*AF44</x:f>
        <x:v>0</x:v>
      </x:c>
      <x:c r="AG56" s="107" t="n">
        <x:f>$B$56*AG44</x:f>
        <x:v>0</x:v>
      </x:c>
      <x:c r="AH56" s="107" t="n">
        <x:f>$B$56*AH44</x:f>
        <x:v>0</x:v>
      </x:c>
      <x:c r="AI56" s="107" t="n">
        <x:f>$B$56*AI44</x:f>
        <x:v>0</x:v>
      </x:c>
      <x:c r="AJ56" s="107" t="n">
        <x:f>$B$56*AJ44</x:f>
        <x:v>0</x:v>
      </x:c>
      <x:c r="AK56" s="107" t="n">
        <x:f>$B$56*AK44</x:f>
        <x:v>0</x:v>
      </x:c>
      <x:c r="AL56" s="107" t="n">
        <x:f>$B$56*AL44</x:f>
        <x:v>0</x:v>
      </x:c>
      <x:c r="AM56" s="107" t="n">
        <x:f>$B$56*AM44</x:f>
        <x:v>0</x:v>
      </x:c>
      <x:c r="AN56" s="107" t="n">
        <x:f>$B$56*AN44</x:f>
        <x:v>0</x:v>
      </x:c>
      <x:c r="AO56" s="107" t="n">
        <x:f>$B$56*AO44</x:f>
        <x:v>0</x:v>
      </x:c>
      <x:c r="AP56" s="107" t="n">
        <x:f>$B$56*AP44</x:f>
        <x:v>0</x:v>
      </x:c>
      <x:c r="AQ56" s="107" t="n">
        <x:f>$B$56*AQ44</x:f>
        <x:v>0</x:v>
      </x:c>
      <x:c r="AR56" s="107" t="n">
        <x:f>$B$56*AR44</x:f>
        <x:v>0</x:v>
      </x:c>
      <x:c r="AS56" s="107" t="n">
        <x:f>$B$56*AS44</x:f>
        <x:v>0</x:v>
      </x:c>
      <x:c r="AT56" s="107" t="n">
        <x:f>$B$56*AT44</x:f>
        <x:v>0</x:v>
      </x:c>
      <x:c r="AU56" s="107" t="n">
        <x:f>$B$56*AU44</x:f>
        <x:v>0</x:v>
      </x:c>
      <x:c r="AV56" s="107" t="n">
        <x:f>$B$56*AV44</x:f>
        <x:v>0</x:v>
      </x:c>
      <x:c r="AW56" s="107" t="n">
        <x:f>$B$56*AW44</x:f>
        <x:v>0</x:v>
      </x:c>
      <x:c r="AX56" s="107" t="n">
        <x:f>$B$56*AX44</x:f>
        <x:v>0</x:v>
      </x:c>
      <x:c r="AY56" s="107" t="n">
        <x:f>$B$56*AY44</x:f>
        <x:v>0</x:v>
      </x:c>
      <x:c r="AZ56" s="107" t="n">
        <x:f>$B$56*AZ44</x:f>
        <x:v>0</x:v>
      </x:c>
      <x:c r="BA56" s="107" t="n">
        <x:f>$B$56*BA44</x:f>
        <x:v>0</x:v>
      </x:c>
      <x:c r="BB56" s="107" t="n">
        <x:f>$B$56*BB44</x:f>
        <x:v>0</x:v>
      </x:c>
      <x:c r="BC56" s="107" t="n">
        <x:f>$B$56*BC44</x:f>
        <x:v>0</x:v>
      </x:c>
      <x:c r="BD56" s="107" t="n">
        <x:f>$B$56*BD44</x:f>
        <x:v>0</x:v>
      </x:c>
      <x:c r="BE56" s="107" t="n">
        <x:f>$B$56*BE44</x:f>
        <x:v>0</x:v>
      </x:c>
      <x:c r="BF56" s="107" t="n">
        <x:f>$B$56*BF44</x:f>
        <x:v>0</x:v>
      </x:c>
      <x:c r="BG56" s="107" t="n">
        <x:f>$B$56*BG44</x:f>
        <x:v>0</x:v>
      </x:c>
      <x:c r="BH56" s="107" t="n">
        <x:f>$B$56*BH44</x:f>
        <x:v>0</x:v>
      </x:c>
      <x:c r="BI56" s="107" t="n">
        <x:f>$B$56*BI44</x:f>
        <x:v>0</x:v>
      </x:c>
      <x:c r="BJ56" s="107" t="n">
        <x:f>$B$56*BJ44</x:f>
        <x:v>0</x:v>
      </x:c>
      <x:c r="BK56" s="107" t="n">
        <x:f>$B$56*BK44</x:f>
        <x:v>0</x:v>
      </x:c>
      <x:c r="BL56" s="107" t="n">
        <x:f>$B$56*BL44</x:f>
        <x:v>0</x:v>
      </x:c>
      <x:c r="BM56" s="107" t="n">
        <x:f>$B$56*BM44</x:f>
        <x:v>0</x:v>
      </x:c>
      <x:c r="BN56" s="107" t="n">
        <x:f>$B$56*BN44</x:f>
        <x:v>0</x:v>
      </x:c>
      <x:c r="BO56" s="107" t="n">
        <x:f>$B$56*BO44</x:f>
        <x:v>0</x:v>
      </x:c>
      <x:c r="BP56" s="107" t="n">
        <x:f>$B$56*BP44</x:f>
        <x:v>0</x:v>
      </x:c>
      <x:c r="BQ56" s="107" t="n">
        <x:f>$B$56*BQ44</x:f>
        <x:v>0</x:v>
      </x:c>
      <x:c r="BR56" s="107" t="n">
        <x:f>$B$56*BR44</x:f>
        <x:v>0</x:v>
      </x:c>
      <x:c r="BS56" s="107" t="n">
        <x:f>$B$56*BS44</x:f>
        <x:v>0</x:v>
      </x:c>
      <x:c r="BT56" s="107" t="n">
        <x:f>$B$56*BT44</x:f>
        <x:v>0</x:v>
      </x:c>
      <x:c r="BU56" s="107" t="n">
        <x:f>$B$56*BU44</x:f>
        <x:v>0</x:v>
      </x:c>
      <x:c r="BV56" s="107" t="n">
        <x:f>$B$56*BV44</x:f>
        <x:v>0</x:v>
      </x:c>
      <x:c r="BW56" s="107" t="n">
        <x:f>$B$56*BW44</x:f>
        <x:v>0</x:v>
      </x:c>
      <x:c r="BX56" s="107" t="n">
        <x:f>$B$56*BX44</x:f>
        <x:v>0</x:v>
      </x:c>
      <x:c r="BY56" s="107" t="n">
        <x:f>$B$56*BY44</x:f>
        <x:v>0</x:v>
      </x:c>
      <x:c r="BZ56" s="107" t="n">
        <x:f>$B$56*BZ44</x:f>
        <x:v>0</x:v>
      </x:c>
      <x:c r="CA56" s="107" t="n">
        <x:f>$B$56*CA44</x:f>
        <x:v>0</x:v>
      </x:c>
      <x:c r="CB56" s="107" t="n">
        <x:f>$B$56*CB44</x:f>
        <x:v>0</x:v>
      </x:c>
      <x:c r="CC56" s="107" t="n">
        <x:f>$B$56*CC44</x:f>
        <x:v>0</x:v>
      </x:c>
      <x:c r="CD56" s="107" t="n">
        <x:f>$B$56*CD44</x:f>
        <x:v>0</x:v>
      </x:c>
      <x:c r="CE56" s="107" t="n">
        <x:f>$B$56*CE44</x:f>
        <x:v>0</x:v>
      </x:c>
      <x:c r="CF56" s="107" t="n">
        <x:f>$B$56*CF44</x:f>
        <x:v>0</x:v>
      </x:c>
      <x:c r="CG56" s="107" t="n">
        <x:f>$B$56*CG44</x:f>
        <x:v>0</x:v>
      </x:c>
      <x:c r="CH56" s="107" t="n">
        <x:f>$B$56*CH44</x:f>
        <x:v>0</x:v>
      </x:c>
      <x:c r="CI56" s="107" t="n">
        <x:f>$B$56*CI44</x:f>
        <x:v>0</x:v>
      </x:c>
      <x:c r="CJ56" s="107" t="n">
        <x:f>$B$56*CJ44</x:f>
        <x:v>0</x:v>
      </x:c>
      <x:c r="CK56" s="107" t="n">
        <x:f>$B$56*CK44</x:f>
        <x:v>0</x:v>
      </x:c>
      <x:c r="CL56" s="107" t="n">
        <x:f>$B$56*CL44</x:f>
        <x:v>0</x:v>
      </x:c>
      <x:c r="CM56" s="107" t="n">
        <x:f>$B$56*CM44</x:f>
        <x:v>0</x:v>
      </x:c>
      <x:c r="CN56" s="107" t="n">
        <x:f>$B$56*CN44</x:f>
        <x:v>0</x:v>
      </x:c>
      <x:c r="CO56" s="107" t="n">
        <x:f>$B$56*CO44</x:f>
        <x:v>0</x:v>
      </x:c>
      <x:c r="CP56" s="107" t="n">
        <x:f>$B$56*CP44</x:f>
        <x:v>0</x:v>
      </x:c>
      <x:c r="CQ56" s="107" t="n">
        <x:f>$B$56*CQ44</x:f>
        <x:v>0</x:v>
      </x:c>
      <x:c r="CR56" s="107" t="n">
        <x:f>$B$56*CR44</x:f>
        <x:v>0</x:v>
      </x:c>
      <x:c r="CS56" s="107" t="n">
        <x:f>$B$56*CS44</x:f>
        <x:v>0</x:v>
      </x:c>
      <x:c r="CT56" s="107" t="n">
        <x:f>$B$56*CT44</x:f>
        <x:v>0</x:v>
      </x:c>
      <x:c r="CU56" s="107" t="n">
        <x:f>$B$56*CU44</x:f>
        <x:v>0</x:v>
      </x:c>
      <x:c r="CV56" s="107" t="n">
        <x:f>$B$56*CV44</x:f>
        <x:v>0</x:v>
      </x:c>
      <x:c r="CW56" s="107" t="n">
        <x:f>$B$56*CW44</x:f>
        <x:v>0</x:v>
      </x:c>
      <x:c r="CX56" s="107" t="n">
        <x:f>$B$56*CX44</x:f>
        <x:v>0</x:v>
      </x:c>
      <x:c r="CY56" s="107" t="n">
        <x:f>$B$56*CY44</x:f>
        <x:v>0</x:v>
      </x:c>
      <x:c r="CZ56" s="107" t="n">
        <x:f>$B$56*CZ44</x:f>
        <x:v>0</x:v>
      </x:c>
      <x:c r="DA56" s="107" t="n">
        <x:f>$B$56*DA44</x:f>
        <x:v>0</x:v>
      </x:c>
      <x:c r="DB56" s="107" t="n">
        <x:f>$B$56*DB44</x:f>
        <x:v>0</x:v>
      </x:c>
      <x:c r="DC56" s="107" t="n">
        <x:f>$B$56*DC44</x:f>
        <x:v>0</x:v>
      </x:c>
      <x:c r="DD56" s="107" t="n">
        <x:f>$B$56*DD44</x:f>
        <x:v>0</x:v>
      </x:c>
      <x:c r="DE56" s="107" t="n">
        <x:f>$B$56*DE44</x:f>
        <x:v>0</x:v>
      </x:c>
      <x:c r="DF56" s="107" t="n">
        <x:f>$B$56*DF44</x:f>
        <x:v>0</x:v>
      </x:c>
      <x:c r="DG56" s="107" t="n">
        <x:f>$B$56*DG44</x:f>
        <x:v>0</x:v>
      </x:c>
      <x:c r="DH56" s="107" t="n">
        <x:f>$B$56*DH44</x:f>
        <x:v>0</x:v>
      </x:c>
      <x:c r="DI56" s="107" t="n">
        <x:f>$B$56*DI44</x:f>
        <x:v>0</x:v>
      </x:c>
      <x:c r="DJ56" s="107" t="n">
        <x:f>$B$56*DJ44</x:f>
        <x:v>0</x:v>
      </x:c>
      <x:c r="DK56" s="107" t="n">
        <x:f>$B$56*DK44</x:f>
        <x:v>0</x:v>
      </x:c>
      <x:c r="DL56" s="107" t="n">
        <x:f>$B$56*DL44</x:f>
        <x:v>0</x:v>
      </x:c>
      <x:c r="DM56" s="107" t="n">
        <x:f>$B$56*DM44</x:f>
        <x:v>0</x:v>
      </x:c>
      <x:c r="DN56" s="107" t="n">
        <x:f>$B$56*DN44</x:f>
        <x:v>0</x:v>
      </x:c>
      <x:c r="DO56" s="107" t="n">
        <x:f>$B$56*DO44</x:f>
        <x:v>0</x:v>
      </x:c>
      <x:c r="DP56" s="107" t="n">
        <x:f>$B$56*DP44</x:f>
        <x:v>0</x:v>
      </x:c>
      <x:c r="DQ56" s="107" t="n">
        <x:f>$B$56*DQ44</x:f>
        <x:v>0</x:v>
      </x:c>
      <x:c r="DR56" s="107" t="n">
        <x:f>$B$56*DR44</x:f>
        <x:v>0</x:v>
      </x:c>
      <x:c r="DS56" s="107" t="n">
        <x:f>$B$56*DS44</x:f>
        <x:v>0</x:v>
      </x:c>
    </x:row>
    <x:row r="57">
      <x:c r="A57" t="str">
        <x:v>Маркетинг</x:v>
      </x:c>
      <x:c r="B57" s="107" t="n">
        <x:f>SUM(D57:DS57)</x:f>
        <x:v>0</x:v>
      </x:c>
      <x:c r="C57" t="str">
        <x:v>млн ₽</x:v>
      </x:c>
      <x:c r="D57" s="107" t="n">
        <x:f>D52*'Вводные'!$B$19</x:f>
        <x:v>0</x:v>
      </x:c>
      <x:c r="E57" s="107" t="n">
        <x:f>E52*'Вводные'!$B$19</x:f>
        <x:v>0</x:v>
      </x:c>
      <x:c r="F57" s="107" t="n">
        <x:f>F52*'Вводные'!$B$19</x:f>
        <x:v>0</x:v>
      </x:c>
      <x:c r="G57" s="107" t="n">
        <x:f>G52*'Вводные'!$B$19</x:f>
        <x:v>0</x:v>
      </x:c>
      <x:c r="H57" s="107" t="n">
        <x:f>H52*'Вводные'!$B$19</x:f>
        <x:v>0</x:v>
      </x:c>
      <x:c r="I57" s="107" t="n">
        <x:f>I52*'Вводные'!$B$19</x:f>
        <x:v>0</x:v>
      </x:c>
      <x:c r="J57" s="107" t="n">
        <x:f>J52*'Вводные'!$B$19</x:f>
        <x:v>0</x:v>
      </x:c>
      <x:c r="K57" s="107" t="n">
        <x:f>K52*'Вводные'!$B$19</x:f>
        <x:v>0</x:v>
      </x:c>
      <x:c r="L57" s="107" t="n">
        <x:f>L52*'Вводные'!$B$19</x:f>
        <x:v>0</x:v>
      </x:c>
      <x:c r="M57" s="107" t="n">
        <x:f>M52*'Вводные'!$B$19</x:f>
        <x:v>0</x:v>
      </x:c>
      <x:c r="N57" s="107" t="n">
        <x:f>N52*'Вводные'!$B$19</x:f>
        <x:v>0</x:v>
      </x:c>
      <x:c r="O57" s="107" t="n">
        <x:f>O52*'Вводные'!$B$19</x:f>
        <x:v>0</x:v>
      </x:c>
      <x:c r="P57" s="107" t="n">
        <x:f>P52*'Вводные'!$B$19</x:f>
        <x:v>0</x:v>
      </x:c>
      <x:c r="Q57" s="107" t="n">
        <x:f>Q52*'Вводные'!$B$19</x:f>
        <x:v>0</x:v>
      </x:c>
      <x:c r="R57" s="107" t="n">
        <x:f>R52*'Вводные'!$B$19</x:f>
        <x:v>0</x:v>
      </x:c>
      <x:c r="S57" s="107" t="n">
        <x:f>S52*'Вводные'!$B$19</x:f>
        <x:v>0</x:v>
      </x:c>
      <x:c r="T57" s="107" t="n">
        <x:f>T52*'Вводные'!$B$19</x:f>
        <x:v>0</x:v>
      </x:c>
      <x:c r="U57" s="107" t="n">
        <x:f>U52*'Вводные'!$B$19</x:f>
        <x:v>0</x:v>
      </x:c>
      <x:c r="V57" s="107" t="n">
        <x:f>V52*'Вводные'!$B$19</x:f>
        <x:v>0</x:v>
      </x:c>
      <x:c r="W57" s="107" t="n">
        <x:f>W52*'Вводные'!$B$19</x:f>
        <x:v>0</x:v>
      </x:c>
      <x:c r="X57" s="107" t="n">
        <x:f>X52*'Вводные'!$B$19</x:f>
        <x:v>0</x:v>
      </x:c>
      <x:c r="Y57" s="107" t="n">
        <x:f>Y52*'Вводные'!$B$19</x:f>
        <x:v>0</x:v>
      </x:c>
      <x:c r="Z57" s="107" t="n">
        <x:f>Z52*'Вводные'!$B$19</x:f>
        <x:v>0</x:v>
      </x:c>
      <x:c r="AA57" s="107" t="n">
        <x:f>AA52*'Вводные'!$B$19</x:f>
        <x:v>0</x:v>
      </x:c>
      <x:c r="AB57" s="107" t="n">
        <x:f>AB52*'Вводные'!$B$19</x:f>
        <x:v>0</x:v>
      </x:c>
      <x:c r="AC57" s="107" t="n">
        <x:f>AC52*'Вводные'!$B$19</x:f>
        <x:v>0</x:v>
      </x:c>
      <x:c r="AD57" s="107" t="n">
        <x:f>AD52*'Вводные'!$B$19</x:f>
        <x:v>0</x:v>
      </x:c>
      <x:c r="AE57" s="107" t="n">
        <x:f>AE52*'Вводные'!$B$19</x:f>
        <x:v>0</x:v>
      </x:c>
      <x:c r="AF57" s="107" t="n">
        <x:f>AF52*'Вводные'!$B$19</x:f>
        <x:v>0</x:v>
      </x:c>
      <x:c r="AG57" s="107" t="n">
        <x:f>AG52*'Вводные'!$B$19</x:f>
        <x:v>0</x:v>
      </x:c>
      <x:c r="AH57" s="107" t="n">
        <x:f>AH52*'Вводные'!$B$19</x:f>
        <x:v>0</x:v>
      </x:c>
      <x:c r="AI57" s="107" t="n">
        <x:f>AI52*'Вводные'!$B$19</x:f>
        <x:v>0</x:v>
      </x:c>
      <x:c r="AJ57" s="107" t="n">
        <x:f>AJ52*'Вводные'!$B$19</x:f>
        <x:v>0</x:v>
      </x:c>
      <x:c r="AK57" s="107" t="n">
        <x:f>AK52*'Вводные'!$B$19</x:f>
        <x:v>0</x:v>
      </x:c>
      <x:c r="AL57" s="107" t="n">
        <x:f>AL52*'Вводные'!$B$19</x:f>
        <x:v>0</x:v>
      </x:c>
      <x:c r="AM57" s="107" t="n">
        <x:f>AM52*'Вводные'!$B$19</x:f>
        <x:v>0</x:v>
      </x:c>
      <x:c r="AN57" s="107" t="n">
        <x:f>AN52*'Вводные'!$B$19</x:f>
        <x:v>0</x:v>
      </x:c>
      <x:c r="AO57" s="107" t="n">
        <x:f>AO52*'Вводные'!$B$19</x:f>
        <x:v>0</x:v>
      </x:c>
      <x:c r="AP57" s="107" t="n">
        <x:f>AP52*'Вводные'!$B$19</x:f>
        <x:v>0</x:v>
      </x:c>
      <x:c r="AQ57" s="107" t="n">
        <x:f>AQ52*'Вводные'!$B$19</x:f>
        <x:v>0</x:v>
      </x:c>
      <x:c r="AR57" s="107" t="n">
        <x:f>AR52*'Вводные'!$B$19</x:f>
        <x:v>0</x:v>
      </x:c>
      <x:c r="AS57" s="107" t="n">
        <x:f>AS52*'Вводные'!$B$19</x:f>
        <x:v>0</x:v>
      </x:c>
      <x:c r="AT57" s="107" t="n">
        <x:f>AT52*'Вводные'!$B$19</x:f>
        <x:v>0</x:v>
      </x:c>
      <x:c r="AU57" s="107" t="n">
        <x:f>AU52*'Вводные'!$B$19</x:f>
        <x:v>0</x:v>
      </x:c>
      <x:c r="AV57" s="107" t="n">
        <x:f>AV52*'Вводные'!$B$19</x:f>
        <x:v>0</x:v>
      </x:c>
      <x:c r="AW57" s="107" t="n">
        <x:f>AW52*'Вводные'!$B$19</x:f>
        <x:v>0</x:v>
      </x:c>
      <x:c r="AX57" s="107" t="n">
        <x:f>AX52*'Вводные'!$B$19</x:f>
        <x:v>0</x:v>
      </x:c>
      <x:c r="AY57" s="107" t="n">
        <x:f>AY52*'Вводные'!$B$19</x:f>
        <x:v>0</x:v>
      </x:c>
      <x:c r="AZ57" s="107" t="n">
        <x:f>AZ52*'Вводные'!$B$19</x:f>
        <x:v>0</x:v>
      </x:c>
      <x:c r="BA57" s="107" t="n">
        <x:f>BA52*'Вводные'!$B$19</x:f>
        <x:v>0</x:v>
      </x:c>
      <x:c r="BB57" s="107" t="n">
        <x:f>BB52*'Вводные'!$B$19</x:f>
        <x:v>0</x:v>
      </x:c>
      <x:c r="BC57" s="107" t="n">
        <x:f>BC52*'Вводные'!$B$19</x:f>
        <x:v>0</x:v>
      </x:c>
      <x:c r="BD57" s="107" t="n">
        <x:f>BD52*'Вводные'!$B$19</x:f>
        <x:v>0</x:v>
      </x:c>
      <x:c r="BE57" s="107" t="n">
        <x:f>BE52*'Вводные'!$B$19</x:f>
        <x:v>0</x:v>
      </x:c>
      <x:c r="BF57" s="107" t="n">
        <x:f>BF52*'Вводные'!$B$19</x:f>
        <x:v>0</x:v>
      </x:c>
      <x:c r="BG57" s="107" t="n">
        <x:f>BG52*'Вводные'!$B$19</x:f>
        <x:v>0</x:v>
      </x:c>
      <x:c r="BH57" s="107" t="n">
        <x:f>BH52*'Вводные'!$B$19</x:f>
        <x:v>0</x:v>
      </x:c>
      <x:c r="BI57" s="107" t="n">
        <x:f>BI52*'Вводные'!$B$19</x:f>
        <x:v>0</x:v>
      </x:c>
      <x:c r="BJ57" s="107" t="n">
        <x:f>BJ52*'Вводные'!$B$19</x:f>
        <x:v>0</x:v>
      </x:c>
      <x:c r="BK57" s="107" t="n">
        <x:f>BK52*'Вводные'!$B$19</x:f>
        <x:v>0</x:v>
      </x:c>
      <x:c r="BL57" s="107" t="n">
        <x:f>BL52*'Вводные'!$B$19</x:f>
        <x:v>0</x:v>
      </x:c>
      <x:c r="BM57" s="107" t="n">
        <x:f>BM52*'Вводные'!$B$19</x:f>
        <x:v>0</x:v>
      </x:c>
      <x:c r="BN57" s="107" t="n">
        <x:f>BN52*'Вводные'!$B$19</x:f>
        <x:v>0</x:v>
      </x:c>
      <x:c r="BO57" s="107" t="n">
        <x:f>BO52*'Вводные'!$B$19</x:f>
        <x:v>0</x:v>
      </x:c>
      <x:c r="BP57" s="107" t="n">
        <x:f>BP52*'Вводные'!$B$19</x:f>
        <x:v>0</x:v>
      </x:c>
      <x:c r="BQ57" s="107" t="n">
        <x:f>BQ52*'Вводные'!$B$19</x:f>
        <x:v>0</x:v>
      </x:c>
      <x:c r="BR57" s="107" t="n">
        <x:f>BR52*'Вводные'!$B$19</x:f>
        <x:v>0</x:v>
      </x:c>
      <x:c r="BS57" s="107" t="n">
        <x:f>BS52*'Вводные'!$B$19</x:f>
        <x:v>0</x:v>
      </x:c>
      <x:c r="BT57" s="107" t="n">
        <x:f>BT52*'Вводные'!$B$19</x:f>
        <x:v>0</x:v>
      </x:c>
      <x:c r="BU57" s="107" t="n">
        <x:f>BU52*'Вводные'!$B$19</x:f>
        <x:v>0</x:v>
      </x:c>
      <x:c r="BV57" s="107" t="n">
        <x:f>BV52*'Вводные'!$B$19</x:f>
        <x:v>0</x:v>
      </x:c>
      <x:c r="BW57" s="107" t="n">
        <x:f>BW52*'Вводные'!$B$19</x:f>
        <x:v>0</x:v>
      </x:c>
      <x:c r="BX57" s="107" t="n">
        <x:f>BX52*'Вводные'!$B$19</x:f>
        <x:v>0</x:v>
      </x:c>
      <x:c r="BY57" s="107" t="n">
        <x:f>BY52*'Вводные'!$B$19</x:f>
        <x:v>0</x:v>
      </x:c>
      <x:c r="BZ57" s="107" t="n">
        <x:f>BZ52*'Вводные'!$B$19</x:f>
        <x:v>0</x:v>
      </x:c>
      <x:c r="CA57" s="107" t="n">
        <x:f>CA52*'Вводные'!$B$19</x:f>
        <x:v>0</x:v>
      </x:c>
      <x:c r="CB57" s="107" t="n">
        <x:f>CB52*'Вводные'!$B$19</x:f>
        <x:v>0</x:v>
      </x:c>
      <x:c r="CC57" s="107" t="n">
        <x:f>CC52*'Вводные'!$B$19</x:f>
        <x:v>0</x:v>
      </x:c>
      <x:c r="CD57" s="107" t="n">
        <x:f>CD52*'Вводные'!$B$19</x:f>
        <x:v>0</x:v>
      </x:c>
      <x:c r="CE57" s="107" t="n">
        <x:f>CE52*'Вводные'!$B$19</x:f>
        <x:v>0</x:v>
      </x:c>
      <x:c r="CF57" s="107" t="n">
        <x:f>CF52*'Вводные'!$B$19</x:f>
        <x:v>0</x:v>
      </x:c>
      <x:c r="CG57" s="107" t="n">
        <x:f>CG52*'Вводные'!$B$19</x:f>
        <x:v>0</x:v>
      </x:c>
      <x:c r="CH57" s="107" t="n">
        <x:f>CH52*'Вводные'!$B$19</x:f>
        <x:v>0</x:v>
      </x:c>
      <x:c r="CI57" s="107" t="n">
        <x:f>CI52*'Вводные'!$B$19</x:f>
        <x:v>0</x:v>
      </x:c>
      <x:c r="CJ57" s="107" t="n">
        <x:f>CJ52*'Вводные'!$B$19</x:f>
        <x:v>0</x:v>
      </x:c>
      <x:c r="CK57" s="107" t="n">
        <x:f>CK52*'Вводные'!$B$19</x:f>
        <x:v>0</x:v>
      </x:c>
      <x:c r="CL57" s="107" t="n">
        <x:f>CL52*'Вводные'!$B$19</x:f>
        <x:v>0</x:v>
      </x:c>
      <x:c r="CM57" s="107" t="n">
        <x:f>CM52*'Вводные'!$B$19</x:f>
        <x:v>0</x:v>
      </x:c>
      <x:c r="CN57" s="107" t="n">
        <x:f>CN52*'Вводные'!$B$19</x:f>
        <x:v>0</x:v>
      </x:c>
      <x:c r="CO57" s="107" t="n">
        <x:f>CO52*'Вводные'!$B$19</x:f>
        <x:v>0</x:v>
      </x:c>
      <x:c r="CP57" s="107" t="n">
        <x:f>CP52*'Вводные'!$B$19</x:f>
        <x:v>0</x:v>
      </x:c>
      <x:c r="CQ57" s="107" t="n">
        <x:f>CQ52*'Вводные'!$B$19</x:f>
        <x:v>0</x:v>
      </x:c>
      <x:c r="CR57" s="107" t="n">
        <x:f>CR52*'Вводные'!$B$19</x:f>
        <x:v>0</x:v>
      </x:c>
      <x:c r="CS57" s="107" t="n">
        <x:f>CS52*'Вводные'!$B$19</x:f>
        <x:v>0</x:v>
      </x:c>
      <x:c r="CT57" s="107" t="n">
        <x:f>CT52*'Вводные'!$B$19</x:f>
        <x:v>0</x:v>
      </x:c>
      <x:c r="CU57" s="107" t="n">
        <x:f>CU52*'Вводные'!$B$19</x:f>
        <x:v>0</x:v>
      </x:c>
      <x:c r="CV57" s="107" t="n">
        <x:f>CV52*'Вводные'!$B$19</x:f>
        <x:v>0</x:v>
      </x:c>
      <x:c r="CW57" s="107" t="n">
        <x:f>CW52*'Вводные'!$B$19</x:f>
        <x:v>0</x:v>
      </x:c>
      <x:c r="CX57" s="107" t="n">
        <x:f>CX52*'Вводные'!$B$19</x:f>
        <x:v>0</x:v>
      </x:c>
      <x:c r="CY57" s="107" t="n">
        <x:f>CY52*'Вводные'!$B$19</x:f>
        <x:v>0</x:v>
      </x:c>
      <x:c r="CZ57" s="107" t="n">
        <x:f>CZ52*'Вводные'!$B$19</x:f>
        <x:v>0</x:v>
      </x:c>
      <x:c r="DA57" s="107" t="n">
        <x:f>DA52*'Вводные'!$B$19</x:f>
        <x:v>0</x:v>
      </x:c>
      <x:c r="DB57" s="107" t="n">
        <x:f>DB52*'Вводные'!$B$19</x:f>
        <x:v>0</x:v>
      </x:c>
      <x:c r="DC57" s="107" t="n">
        <x:f>DC52*'Вводные'!$B$19</x:f>
        <x:v>0</x:v>
      </x:c>
      <x:c r="DD57" s="107" t="n">
        <x:f>DD52*'Вводные'!$B$19</x:f>
        <x:v>0</x:v>
      </x:c>
      <x:c r="DE57" s="107" t="n">
        <x:f>DE52*'Вводные'!$B$19</x:f>
        <x:v>0</x:v>
      </x:c>
      <x:c r="DF57" s="107" t="n">
        <x:f>DF52*'Вводные'!$B$19</x:f>
        <x:v>0</x:v>
      </x:c>
      <x:c r="DG57" s="107" t="n">
        <x:f>DG52*'Вводные'!$B$19</x:f>
        <x:v>0</x:v>
      </x:c>
      <x:c r="DH57" s="107" t="n">
        <x:f>DH52*'Вводные'!$B$19</x:f>
        <x:v>0</x:v>
      </x:c>
      <x:c r="DI57" s="107" t="n">
        <x:f>DI52*'Вводные'!$B$19</x:f>
        <x:v>0</x:v>
      </x:c>
      <x:c r="DJ57" s="107" t="n">
        <x:f>DJ52*'Вводные'!$B$19</x:f>
        <x:v>0</x:v>
      </x:c>
      <x:c r="DK57" s="107" t="n">
        <x:f>DK52*'Вводные'!$B$19</x:f>
        <x:v>0</x:v>
      </x:c>
      <x:c r="DL57" s="107" t="n">
        <x:f>DL52*'Вводные'!$B$19</x:f>
        <x:v>0</x:v>
      </x:c>
      <x:c r="DM57" s="107" t="n">
        <x:f>DM52*'Вводные'!$B$19</x:f>
        <x:v>0</x:v>
      </x:c>
      <x:c r="DN57" s="107" t="n">
        <x:f>DN52*'Вводные'!$B$19</x:f>
        <x:v>0</x:v>
      </x:c>
      <x:c r="DO57" s="107" t="n">
        <x:f>DO52*'Вводные'!$B$19</x:f>
        <x:v>0</x:v>
      </x:c>
      <x:c r="DP57" s="107" t="n">
        <x:f>DP52*'Вводные'!$B$19</x:f>
        <x:v>0</x:v>
      </x:c>
      <x:c r="DQ57" s="107" t="n">
        <x:f>DQ52*'Вводные'!$B$19</x:f>
        <x:v>0</x:v>
      </x:c>
      <x:c r="DR57" s="107" t="n">
        <x:f>DR52*'Вводные'!$B$19</x:f>
        <x:v>0</x:v>
      </x:c>
      <x:c r="DS57" s="107" t="n">
        <x:f>DS52*'Вводные'!$B$19</x:f>
        <x:v>0</x:v>
      </x:c>
    </x:row>
    <x:row r="58">
      <x:c r="A58" t="str">
        <x:v>Расходы на продажи</x:v>
      </x:c>
      <x:c r="B58" s="107" t="n">
        <x:f>SUM(D58:DS58)</x:f>
        <x:v>0</x:v>
      </x:c>
      <x:c r="C58" t="str">
        <x:v>млн ₽</x:v>
      </x:c>
      <x:c r="D58" s="107" t="n">
        <x:f>D52*'Вводные'!$B$20</x:f>
        <x:v>0</x:v>
      </x:c>
      <x:c r="E58" s="107" t="n">
        <x:f>E52*'Вводные'!$B$20</x:f>
        <x:v>0</x:v>
      </x:c>
      <x:c r="F58" s="107" t="n">
        <x:f>F52*'Вводные'!$B$20</x:f>
        <x:v>0</x:v>
      </x:c>
      <x:c r="G58" s="107" t="n">
        <x:f>G52*'Вводные'!$B$20</x:f>
        <x:v>0</x:v>
      </x:c>
      <x:c r="H58" s="107" t="n">
        <x:f>H52*'Вводные'!$B$20</x:f>
        <x:v>0</x:v>
      </x:c>
      <x:c r="I58" s="107" t="n">
        <x:f>I52*'Вводные'!$B$20</x:f>
        <x:v>0</x:v>
      </x:c>
      <x:c r="J58" s="107" t="n">
        <x:f>J52*'Вводные'!$B$20</x:f>
        <x:v>0</x:v>
      </x:c>
      <x:c r="K58" s="107" t="n">
        <x:f>K52*'Вводные'!$B$20</x:f>
        <x:v>0</x:v>
      </x:c>
      <x:c r="L58" s="107" t="n">
        <x:f>L52*'Вводные'!$B$20</x:f>
        <x:v>0</x:v>
      </x:c>
      <x:c r="M58" s="107" t="n">
        <x:f>M52*'Вводные'!$B$20</x:f>
        <x:v>0</x:v>
      </x:c>
      <x:c r="N58" s="107" t="n">
        <x:f>N52*'Вводные'!$B$20</x:f>
        <x:v>0</x:v>
      </x:c>
      <x:c r="O58" s="107" t="n">
        <x:f>O52*'Вводные'!$B$20</x:f>
        <x:v>0</x:v>
      </x:c>
      <x:c r="P58" s="107" t="n">
        <x:f>P52*'Вводные'!$B$20</x:f>
        <x:v>0</x:v>
      </x:c>
      <x:c r="Q58" s="107" t="n">
        <x:f>Q52*'Вводные'!$B$20</x:f>
        <x:v>0</x:v>
      </x:c>
      <x:c r="R58" s="107" t="n">
        <x:f>R52*'Вводные'!$B$20</x:f>
        <x:v>0</x:v>
      </x:c>
      <x:c r="S58" s="107" t="n">
        <x:f>S52*'Вводные'!$B$20</x:f>
        <x:v>0</x:v>
      </x:c>
      <x:c r="T58" s="107" t="n">
        <x:f>T52*'Вводные'!$B$20</x:f>
        <x:v>0</x:v>
      </x:c>
      <x:c r="U58" s="107" t="n">
        <x:f>U52*'Вводные'!$B$20</x:f>
        <x:v>0</x:v>
      </x:c>
      <x:c r="V58" s="107" t="n">
        <x:f>V52*'Вводные'!$B$20</x:f>
        <x:v>0</x:v>
      </x:c>
      <x:c r="W58" s="107" t="n">
        <x:f>W52*'Вводные'!$B$20</x:f>
        <x:v>0</x:v>
      </x:c>
      <x:c r="X58" s="107" t="n">
        <x:f>X52*'Вводные'!$B$20</x:f>
        <x:v>0</x:v>
      </x:c>
      <x:c r="Y58" s="107" t="n">
        <x:f>Y52*'Вводные'!$B$20</x:f>
        <x:v>0</x:v>
      </x:c>
      <x:c r="Z58" s="107" t="n">
        <x:f>Z52*'Вводные'!$B$20</x:f>
        <x:v>0</x:v>
      </x:c>
      <x:c r="AA58" s="107" t="n">
        <x:f>AA52*'Вводные'!$B$20</x:f>
        <x:v>0</x:v>
      </x:c>
      <x:c r="AB58" s="107" t="n">
        <x:f>AB52*'Вводные'!$B$20</x:f>
        <x:v>0</x:v>
      </x:c>
      <x:c r="AC58" s="107" t="n">
        <x:f>AC52*'Вводные'!$B$20</x:f>
        <x:v>0</x:v>
      </x:c>
      <x:c r="AD58" s="107" t="n">
        <x:f>AD52*'Вводные'!$B$20</x:f>
        <x:v>0</x:v>
      </x:c>
      <x:c r="AE58" s="107" t="n">
        <x:f>AE52*'Вводные'!$B$20</x:f>
        <x:v>0</x:v>
      </x:c>
      <x:c r="AF58" s="107" t="n">
        <x:f>AF52*'Вводные'!$B$20</x:f>
        <x:v>0</x:v>
      </x:c>
      <x:c r="AG58" s="107" t="n">
        <x:f>AG52*'Вводные'!$B$20</x:f>
        <x:v>0</x:v>
      </x:c>
      <x:c r="AH58" s="107" t="n">
        <x:f>AH52*'Вводные'!$B$20</x:f>
        <x:v>0</x:v>
      </x:c>
      <x:c r="AI58" s="107" t="n">
        <x:f>AI52*'Вводные'!$B$20</x:f>
        <x:v>0</x:v>
      </x:c>
      <x:c r="AJ58" s="107" t="n">
        <x:f>AJ52*'Вводные'!$B$20</x:f>
        <x:v>0</x:v>
      </x:c>
      <x:c r="AK58" s="107" t="n">
        <x:f>AK52*'Вводные'!$B$20</x:f>
        <x:v>0</x:v>
      </x:c>
      <x:c r="AL58" s="107" t="n">
        <x:f>AL52*'Вводные'!$B$20</x:f>
        <x:v>0</x:v>
      </x:c>
      <x:c r="AM58" s="107" t="n">
        <x:f>AM52*'Вводные'!$B$20</x:f>
        <x:v>0</x:v>
      </x:c>
      <x:c r="AN58" s="107" t="n">
        <x:f>AN52*'Вводные'!$B$20</x:f>
        <x:v>0</x:v>
      </x:c>
      <x:c r="AO58" s="107" t="n">
        <x:f>AO52*'Вводные'!$B$20</x:f>
        <x:v>0</x:v>
      </x:c>
      <x:c r="AP58" s="107" t="n">
        <x:f>AP52*'Вводные'!$B$20</x:f>
        <x:v>0</x:v>
      </x:c>
      <x:c r="AQ58" s="107" t="n">
        <x:f>AQ52*'Вводные'!$B$20</x:f>
        <x:v>0</x:v>
      </x:c>
      <x:c r="AR58" s="107" t="n">
        <x:f>AR52*'Вводные'!$B$20</x:f>
        <x:v>0</x:v>
      </x:c>
      <x:c r="AS58" s="107" t="n">
        <x:f>AS52*'Вводные'!$B$20</x:f>
        <x:v>0</x:v>
      </x:c>
      <x:c r="AT58" s="107" t="n">
        <x:f>AT52*'Вводные'!$B$20</x:f>
        <x:v>0</x:v>
      </x:c>
      <x:c r="AU58" s="107" t="n">
        <x:f>AU52*'Вводные'!$B$20</x:f>
        <x:v>0</x:v>
      </x:c>
      <x:c r="AV58" s="107" t="n">
        <x:f>AV52*'Вводные'!$B$20</x:f>
        <x:v>0</x:v>
      </x:c>
      <x:c r="AW58" s="107" t="n">
        <x:f>AW52*'Вводные'!$B$20</x:f>
        <x:v>0</x:v>
      </x:c>
      <x:c r="AX58" s="107" t="n">
        <x:f>AX52*'Вводные'!$B$20</x:f>
        <x:v>0</x:v>
      </x:c>
      <x:c r="AY58" s="107" t="n">
        <x:f>AY52*'Вводные'!$B$20</x:f>
        <x:v>0</x:v>
      </x:c>
      <x:c r="AZ58" s="107" t="n">
        <x:f>AZ52*'Вводные'!$B$20</x:f>
        <x:v>0</x:v>
      </x:c>
      <x:c r="BA58" s="107" t="n">
        <x:f>BA52*'Вводные'!$B$20</x:f>
        <x:v>0</x:v>
      </x:c>
      <x:c r="BB58" s="107" t="n">
        <x:f>BB52*'Вводные'!$B$20</x:f>
        <x:v>0</x:v>
      </x:c>
      <x:c r="BC58" s="107" t="n">
        <x:f>BC52*'Вводные'!$B$20</x:f>
        <x:v>0</x:v>
      </x:c>
      <x:c r="BD58" s="107" t="n">
        <x:f>BD52*'Вводные'!$B$20</x:f>
        <x:v>0</x:v>
      </x:c>
      <x:c r="BE58" s="107" t="n">
        <x:f>BE52*'Вводные'!$B$20</x:f>
        <x:v>0</x:v>
      </x:c>
      <x:c r="BF58" s="107" t="n">
        <x:f>BF52*'Вводные'!$B$20</x:f>
        <x:v>0</x:v>
      </x:c>
      <x:c r="BG58" s="107" t="n">
        <x:f>BG52*'Вводные'!$B$20</x:f>
        <x:v>0</x:v>
      </x:c>
      <x:c r="BH58" s="107" t="n">
        <x:f>BH52*'Вводные'!$B$20</x:f>
        <x:v>0</x:v>
      </x:c>
      <x:c r="BI58" s="107" t="n">
        <x:f>BI52*'Вводные'!$B$20</x:f>
        <x:v>0</x:v>
      </x:c>
      <x:c r="BJ58" s="107" t="n">
        <x:f>BJ52*'Вводные'!$B$20</x:f>
        <x:v>0</x:v>
      </x:c>
      <x:c r="BK58" s="107" t="n">
        <x:f>BK52*'Вводные'!$B$20</x:f>
        <x:v>0</x:v>
      </x:c>
      <x:c r="BL58" s="107" t="n">
        <x:f>BL52*'Вводные'!$B$20</x:f>
        <x:v>0</x:v>
      </x:c>
      <x:c r="BM58" s="107" t="n">
        <x:f>BM52*'Вводные'!$B$20</x:f>
        <x:v>0</x:v>
      </x:c>
      <x:c r="BN58" s="107" t="n">
        <x:f>BN52*'Вводные'!$B$20</x:f>
        <x:v>0</x:v>
      </x:c>
      <x:c r="BO58" s="107" t="n">
        <x:f>BO52*'Вводные'!$B$20</x:f>
        <x:v>0</x:v>
      </x:c>
      <x:c r="BP58" s="107" t="n">
        <x:f>BP52*'Вводные'!$B$20</x:f>
        <x:v>0</x:v>
      </x:c>
      <x:c r="BQ58" s="107" t="n">
        <x:f>BQ52*'Вводные'!$B$20</x:f>
        <x:v>0</x:v>
      </x:c>
      <x:c r="BR58" s="107" t="n">
        <x:f>BR52*'Вводные'!$B$20</x:f>
        <x:v>0</x:v>
      </x:c>
      <x:c r="BS58" s="107" t="n">
        <x:f>BS52*'Вводные'!$B$20</x:f>
        <x:v>0</x:v>
      </x:c>
      <x:c r="BT58" s="107" t="n">
        <x:f>BT52*'Вводные'!$B$20</x:f>
        <x:v>0</x:v>
      </x:c>
      <x:c r="BU58" s="107" t="n">
        <x:f>BU52*'Вводные'!$B$20</x:f>
        <x:v>0</x:v>
      </x:c>
      <x:c r="BV58" s="107" t="n">
        <x:f>BV52*'Вводные'!$B$20</x:f>
        <x:v>0</x:v>
      </x:c>
      <x:c r="BW58" s="107" t="n">
        <x:f>BW52*'Вводные'!$B$20</x:f>
        <x:v>0</x:v>
      </x:c>
      <x:c r="BX58" s="107" t="n">
        <x:f>BX52*'Вводные'!$B$20</x:f>
        <x:v>0</x:v>
      </x:c>
      <x:c r="BY58" s="107" t="n">
        <x:f>BY52*'Вводные'!$B$20</x:f>
        <x:v>0</x:v>
      </x:c>
      <x:c r="BZ58" s="107" t="n">
        <x:f>BZ52*'Вводные'!$B$20</x:f>
        <x:v>0</x:v>
      </x:c>
      <x:c r="CA58" s="107" t="n">
        <x:f>CA52*'Вводные'!$B$20</x:f>
        <x:v>0</x:v>
      </x:c>
      <x:c r="CB58" s="107" t="n">
        <x:f>CB52*'Вводные'!$B$20</x:f>
        <x:v>0</x:v>
      </x:c>
      <x:c r="CC58" s="107" t="n">
        <x:f>CC52*'Вводные'!$B$20</x:f>
        <x:v>0</x:v>
      </x:c>
      <x:c r="CD58" s="107" t="n">
        <x:f>CD52*'Вводные'!$B$20</x:f>
        <x:v>0</x:v>
      </x:c>
      <x:c r="CE58" s="107" t="n">
        <x:f>CE52*'Вводные'!$B$20</x:f>
        <x:v>0</x:v>
      </x:c>
      <x:c r="CF58" s="107" t="n">
        <x:f>CF52*'Вводные'!$B$20</x:f>
        <x:v>0</x:v>
      </x:c>
      <x:c r="CG58" s="107" t="n">
        <x:f>CG52*'Вводные'!$B$20</x:f>
        <x:v>0</x:v>
      </x:c>
      <x:c r="CH58" s="107" t="n">
        <x:f>CH52*'Вводные'!$B$20</x:f>
        <x:v>0</x:v>
      </x:c>
      <x:c r="CI58" s="107" t="n">
        <x:f>CI52*'Вводные'!$B$20</x:f>
        <x:v>0</x:v>
      </x:c>
      <x:c r="CJ58" s="107" t="n">
        <x:f>CJ52*'Вводные'!$B$20</x:f>
        <x:v>0</x:v>
      </x:c>
      <x:c r="CK58" s="107" t="n">
        <x:f>CK52*'Вводные'!$B$20</x:f>
        <x:v>0</x:v>
      </x:c>
      <x:c r="CL58" s="107" t="n">
        <x:f>CL52*'Вводные'!$B$20</x:f>
        <x:v>0</x:v>
      </x:c>
      <x:c r="CM58" s="107" t="n">
        <x:f>CM52*'Вводные'!$B$20</x:f>
        <x:v>0</x:v>
      </x:c>
      <x:c r="CN58" s="107" t="n">
        <x:f>CN52*'Вводные'!$B$20</x:f>
        <x:v>0</x:v>
      </x:c>
      <x:c r="CO58" s="107" t="n">
        <x:f>CO52*'Вводные'!$B$20</x:f>
        <x:v>0</x:v>
      </x:c>
      <x:c r="CP58" s="107" t="n">
        <x:f>CP52*'Вводные'!$B$20</x:f>
        <x:v>0</x:v>
      </x:c>
      <x:c r="CQ58" s="107" t="n">
        <x:f>CQ52*'Вводные'!$B$20</x:f>
        <x:v>0</x:v>
      </x:c>
      <x:c r="CR58" s="107" t="n">
        <x:f>CR52*'Вводные'!$B$20</x:f>
        <x:v>0</x:v>
      </x:c>
      <x:c r="CS58" s="107" t="n">
        <x:f>CS52*'Вводные'!$B$20</x:f>
        <x:v>0</x:v>
      </x:c>
      <x:c r="CT58" s="107" t="n">
        <x:f>CT52*'Вводные'!$B$20</x:f>
        <x:v>0</x:v>
      </x:c>
      <x:c r="CU58" s="107" t="n">
        <x:f>CU52*'Вводные'!$B$20</x:f>
        <x:v>0</x:v>
      </x:c>
      <x:c r="CV58" s="107" t="n">
        <x:f>CV52*'Вводные'!$B$20</x:f>
        <x:v>0</x:v>
      </x:c>
      <x:c r="CW58" s="107" t="n">
        <x:f>CW52*'Вводные'!$B$20</x:f>
        <x:v>0</x:v>
      </x:c>
      <x:c r="CX58" s="107" t="n">
        <x:f>CX52*'Вводные'!$B$20</x:f>
        <x:v>0</x:v>
      </x:c>
      <x:c r="CY58" s="107" t="n">
        <x:f>CY52*'Вводные'!$B$20</x:f>
        <x:v>0</x:v>
      </x:c>
      <x:c r="CZ58" s="107" t="n">
        <x:f>CZ52*'Вводные'!$B$20</x:f>
        <x:v>0</x:v>
      </x:c>
      <x:c r="DA58" s="107" t="n">
        <x:f>DA52*'Вводные'!$B$20</x:f>
        <x:v>0</x:v>
      </x:c>
      <x:c r="DB58" s="107" t="n">
        <x:f>DB52*'Вводные'!$B$20</x:f>
        <x:v>0</x:v>
      </x:c>
      <x:c r="DC58" s="107" t="n">
        <x:f>DC52*'Вводные'!$B$20</x:f>
        <x:v>0</x:v>
      </x:c>
      <x:c r="DD58" s="107" t="n">
        <x:f>DD52*'Вводные'!$B$20</x:f>
        <x:v>0</x:v>
      </x:c>
      <x:c r="DE58" s="107" t="n">
        <x:f>DE52*'Вводные'!$B$20</x:f>
        <x:v>0</x:v>
      </x:c>
      <x:c r="DF58" s="107" t="n">
        <x:f>DF52*'Вводные'!$B$20</x:f>
        <x:v>0</x:v>
      </x:c>
      <x:c r="DG58" s="107" t="n">
        <x:f>DG52*'Вводные'!$B$20</x:f>
        <x:v>0</x:v>
      </x:c>
      <x:c r="DH58" s="107" t="n">
        <x:f>DH52*'Вводные'!$B$20</x:f>
        <x:v>0</x:v>
      </x:c>
      <x:c r="DI58" s="107" t="n">
        <x:f>DI52*'Вводные'!$B$20</x:f>
        <x:v>0</x:v>
      </x:c>
      <x:c r="DJ58" s="107" t="n">
        <x:f>DJ52*'Вводные'!$B$20</x:f>
        <x:v>0</x:v>
      </x:c>
      <x:c r="DK58" s="107" t="n">
        <x:f>DK52*'Вводные'!$B$20</x:f>
        <x:v>0</x:v>
      </x:c>
      <x:c r="DL58" s="107" t="n">
        <x:f>DL52*'Вводные'!$B$20</x:f>
        <x:v>0</x:v>
      </x:c>
      <x:c r="DM58" s="107" t="n">
        <x:f>DM52*'Вводные'!$B$20</x:f>
        <x:v>0</x:v>
      </x:c>
      <x:c r="DN58" s="107" t="n">
        <x:f>DN52*'Вводные'!$B$20</x:f>
        <x:v>0</x:v>
      </x:c>
      <x:c r="DO58" s="107" t="n">
        <x:f>DO52*'Вводные'!$B$20</x:f>
        <x:v>0</x:v>
      </x:c>
      <x:c r="DP58" s="107" t="n">
        <x:f>DP52*'Вводные'!$B$20</x:f>
        <x:v>0</x:v>
      </x:c>
      <x:c r="DQ58" s="107" t="n">
        <x:f>DQ52*'Вводные'!$B$20</x:f>
        <x:v>0</x:v>
      </x:c>
      <x:c r="DR58" s="107" t="n">
        <x:f>DR52*'Вводные'!$B$20</x:f>
        <x:v>0</x:v>
      </x:c>
      <x:c r="DS58" s="107" t="n">
        <x:f>DS52*'Вводные'!$B$20</x:f>
        <x:v>0</x:v>
      </x:c>
    </x:row>
    <x:row r="59">
      <x:c r="A59" s="348" t="str">
        <x:v>Расходы объекта всего</x:v>
      </x:c>
      <x:c r="B59" s="348" t="n">
        <x:f>SUM(D59:DS59)</x:f>
        <x:v>0</x:v>
      </x:c>
      <x:c r="C59" s="348" t="str">
        <x:v>млн ₽</x:v>
      </x:c>
      <x:c r="D59" s="348" t="n">
        <x:f>SUM(D56:D58)</x:f>
        <x:v>0</x:v>
      </x:c>
      <x:c r="E59" s="348" t="n">
        <x:f>SUM(E56:E58)</x:f>
        <x:v>0</x:v>
      </x:c>
      <x:c r="F59" s="348" t="n">
        <x:f>SUM(F56:F58)</x:f>
        <x:v>0</x:v>
      </x:c>
      <x:c r="G59" s="348" t="n">
        <x:f>SUM(G56:G58)</x:f>
        <x:v>0</x:v>
      </x:c>
      <x:c r="H59" s="348" t="n">
        <x:f>SUM(H56:H58)</x:f>
        <x:v>0</x:v>
      </x:c>
      <x:c r="I59" s="348" t="n">
        <x:f>SUM(I56:I58)</x:f>
        <x:v>0</x:v>
      </x:c>
      <x:c r="J59" s="348" t="n">
        <x:f>SUM(J56:J58)</x:f>
        <x:v>0</x:v>
      </x:c>
      <x:c r="K59" s="348" t="n">
        <x:f>SUM(K56:K58)</x:f>
        <x:v>0</x:v>
      </x:c>
      <x:c r="L59" s="348" t="n">
        <x:f>SUM(L56:L58)</x:f>
        <x:v>0</x:v>
      </x:c>
      <x:c r="M59" s="348" t="n">
        <x:f>SUM(M56:M58)</x:f>
        <x:v>0</x:v>
      </x:c>
      <x:c r="N59" s="348" t="n">
        <x:f>SUM(N56:N58)</x:f>
        <x:v>0</x:v>
      </x:c>
      <x:c r="O59" s="348" t="n">
        <x:f>SUM(O56:O58)</x:f>
        <x:v>0</x:v>
      </x:c>
      <x:c r="P59" s="348" t="n">
        <x:f>SUM(P56:P58)</x:f>
        <x:v>0</x:v>
      </x:c>
      <x:c r="Q59" s="348" t="n">
        <x:f>SUM(Q56:Q58)</x:f>
        <x:v>0</x:v>
      </x:c>
      <x:c r="R59" s="348" t="n">
        <x:f>SUM(R56:R58)</x:f>
        <x:v>0</x:v>
      </x:c>
      <x:c r="S59" s="348" t="n">
        <x:f>SUM(S56:S58)</x:f>
        <x:v>0</x:v>
      </x:c>
      <x:c r="T59" s="348" t="n">
        <x:f>SUM(T56:T58)</x:f>
        <x:v>0</x:v>
      </x:c>
      <x:c r="U59" s="348" t="n">
        <x:f>SUM(U56:U58)</x:f>
        <x:v>0</x:v>
      </x:c>
      <x:c r="V59" s="348" t="n">
        <x:f>SUM(V56:V58)</x:f>
        <x:v>0</x:v>
      </x:c>
      <x:c r="W59" s="348" t="n">
        <x:f>SUM(W56:W58)</x:f>
        <x:v>0</x:v>
      </x:c>
      <x:c r="X59" s="348" t="n">
        <x:f>SUM(X56:X58)</x:f>
        <x:v>0</x:v>
      </x:c>
      <x:c r="Y59" s="348" t="n">
        <x:f>SUM(Y56:Y58)</x:f>
        <x:v>0</x:v>
      </x:c>
      <x:c r="Z59" s="348" t="n">
        <x:f>SUM(Z56:Z58)</x:f>
        <x:v>0</x:v>
      </x:c>
      <x:c r="AA59" s="348" t="n">
        <x:f>SUM(AA56:AA58)</x:f>
        <x:v>0</x:v>
      </x:c>
      <x:c r="AB59" s="348" t="n">
        <x:f>SUM(AB56:AB58)</x:f>
        <x:v>0</x:v>
      </x:c>
      <x:c r="AC59" s="348" t="n">
        <x:f>SUM(AC56:AC58)</x:f>
        <x:v>0</x:v>
      </x:c>
      <x:c r="AD59" s="348" t="n">
        <x:f>SUM(AD56:AD58)</x:f>
        <x:v>0</x:v>
      </x:c>
      <x:c r="AE59" s="348" t="n">
        <x:f>SUM(AE56:AE58)</x:f>
        <x:v>0</x:v>
      </x:c>
      <x:c r="AF59" s="348" t="n">
        <x:f>SUM(AF56:AF58)</x:f>
        <x:v>0</x:v>
      </x:c>
      <x:c r="AG59" s="348" t="n">
        <x:f>SUM(AG56:AG58)</x:f>
        <x:v>0</x:v>
      </x:c>
      <x:c r="AH59" s="348" t="n">
        <x:f>SUM(AH56:AH58)</x:f>
        <x:v>0</x:v>
      </x:c>
      <x:c r="AI59" s="348" t="n">
        <x:f>SUM(AI56:AI58)</x:f>
        <x:v>0</x:v>
      </x:c>
      <x:c r="AJ59" s="348" t="n">
        <x:f>SUM(AJ56:AJ58)</x:f>
        <x:v>0</x:v>
      </x:c>
      <x:c r="AK59" s="348" t="n">
        <x:f>SUM(AK56:AK58)</x:f>
        <x:v>0</x:v>
      </x:c>
      <x:c r="AL59" s="348" t="n">
        <x:f>SUM(AL56:AL58)</x:f>
        <x:v>0</x:v>
      </x:c>
      <x:c r="AM59" s="348" t="n">
        <x:f>SUM(AM56:AM58)</x:f>
        <x:v>0</x:v>
      </x:c>
      <x:c r="AN59" s="348" t="n">
        <x:f>SUM(AN56:AN58)</x:f>
        <x:v>0</x:v>
      </x:c>
      <x:c r="AO59" s="348" t="n">
        <x:f>SUM(AO56:AO58)</x:f>
        <x:v>0</x:v>
      </x:c>
      <x:c r="AP59" s="348" t="n">
        <x:f>SUM(AP56:AP58)</x:f>
        <x:v>0</x:v>
      </x:c>
      <x:c r="AQ59" s="348" t="n">
        <x:f>SUM(AQ56:AQ58)</x:f>
        <x:v>0</x:v>
      </x:c>
      <x:c r="AR59" s="348" t="n">
        <x:f>SUM(AR56:AR58)</x:f>
        <x:v>0</x:v>
      </x:c>
      <x:c r="AS59" s="348" t="n">
        <x:f>SUM(AS56:AS58)</x:f>
        <x:v>0</x:v>
      </x:c>
      <x:c r="AT59" s="348" t="n">
        <x:f>SUM(AT56:AT58)</x:f>
        <x:v>0</x:v>
      </x:c>
      <x:c r="AU59" s="348" t="n">
        <x:f>SUM(AU56:AU58)</x:f>
        <x:v>0</x:v>
      </x:c>
      <x:c r="AV59" s="348" t="n">
        <x:f>SUM(AV56:AV58)</x:f>
        <x:v>0</x:v>
      </x:c>
      <x:c r="AW59" s="348" t="n">
        <x:f>SUM(AW56:AW58)</x:f>
        <x:v>0</x:v>
      </x:c>
      <x:c r="AX59" s="348" t="n">
        <x:f>SUM(AX56:AX58)</x:f>
        <x:v>0</x:v>
      </x:c>
      <x:c r="AY59" s="348" t="n">
        <x:f>SUM(AY56:AY58)</x:f>
        <x:v>0</x:v>
      </x:c>
      <x:c r="AZ59" s="348" t="n">
        <x:f>SUM(AZ56:AZ58)</x:f>
        <x:v>0</x:v>
      </x:c>
      <x:c r="BA59" s="348" t="n">
        <x:f>SUM(BA56:BA58)</x:f>
        <x:v>0</x:v>
      </x:c>
      <x:c r="BB59" s="348" t="n">
        <x:f>SUM(BB56:BB58)</x:f>
        <x:v>0</x:v>
      </x:c>
      <x:c r="BC59" s="348" t="n">
        <x:f>SUM(BC56:BC58)</x:f>
        <x:v>0</x:v>
      </x:c>
      <x:c r="BD59" s="348" t="n">
        <x:f>SUM(BD56:BD58)</x:f>
        <x:v>0</x:v>
      </x:c>
      <x:c r="BE59" s="348" t="n">
        <x:f>SUM(BE56:BE58)</x:f>
        <x:v>0</x:v>
      </x:c>
      <x:c r="BF59" s="348" t="n">
        <x:f>SUM(BF56:BF58)</x:f>
        <x:v>0</x:v>
      </x:c>
      <x:c r="BG59" s="348" t="n">
        <x:f>SUM(BG56:BG58)</x:f>
        <x:v>0</x:v>
      </x:c>
      <x:c r="BH59" s="348" t="n">
        <x:f>SUM(BH56:BH58)</x:f>
        <x:v>0</x:v>
      </x:c>
      <x:c r="BI59" s="348" t="n">
        <x:f>SUM(BI56:BI58)</x:f>
        <x:v>0</x:v>
      </x:c>
      <x:c r="BJ59" s="348" t="n">
        <x:f>SUM(BJ56:BJ58)</x:f>
        <x:v>0</x:v>
      </x:c>
      <x:c r="BK59" s="348" t="n">
        <x:f>SUM(BK56:BK58)</x:f>
        <x:v>0</x:v>
      </x:c>
      <x:c r="BL59" s="348" t="n">
        <x:f>SUM(BL56:BL58)</x:f>
        <x:v>0</x:v>
      </x:c>
      <x:c r="BM59" s="348" t="n">
        <x:f>SUM(BM56:BM58)</x:f>
        <x:v>0</x:v>
      </x:c>
      <x:c r="BN59" s="348" t="n">
        <x:f>SUM(BN56:BN58)</x:f>
        <x:v>0</x:v>
      </x:c>
      <x:c r="BO59" s="348" t="n">
        <x:f>SUM(BO56:BO58)</x:f>
        <x:v>0</x:v>
      </x:c>
      <x:c r="BP59" s="348" t="n">
        <x:f>SUM(BP56:BP58)</x:f>
        <x:v>0</x:v>
      </x:c>
      <x:c r="BQ59" s="348" t="n">
        <x:f>SUM(BQ56:BQ58)</x:f>
        <x:v>0</x:v>
      </x:c>
      <x:c r="BR59" s="348" t="n">
        <x:f>SUM(BR56:BR58)</x:f>
        <x:v>0</x:v>
      </x:c>
      <x:c r="BS59" s="348" t="n">
        <x:f>SUM(BS56:BS58)</x:f>
        <x:v>0</x:v>
      </x:c>
      <x:c r="BT59" s="348" t="n">
        <x:f>SUM(BT56:BT58)</x:f>
        <x:v>0</x:v>
      </x:c>
      <x:c r="BU59" s="348" t="n">
        <x:f>SUM(BU56:BU58)</x:f>
        <x:v>0</x:v>
      </x:c>
      <x:c r="BV59" s="348" t="n">
        <x:f>SUM(BV56:BV58)</x:f>
        <x:v>0</x:v>
      </x:c>
      <x:c r="BW59" s="348" t="n">
        <x:f>SUM(BW56:BW58)</x:f>
        <x:v>0</x:v>
      </x:c>
      <x:c r="BX59" s="348" t="n">
        <x:f>SUM(BX56:BX58)</x:f>
        <x:v>0</x:v>
      </x:c>
      <x:c r="BY59" s="348" t="n">
        <x:f>SUM(BY56:BY58)</x:f>
        <x:v>0</x:v>
      </x:c>
      <x:c r="BZ59" s="348" t="n">
        <x:f>SUM(BZ56:BZ58)</x:f>
        <x:v>0</x:v>
      </x:c>
      <x:c r="CA59" s="348" t="n">
        <x:f>SUM(CA56:CA58)</x:f>
        <x:v>0</x:v>
      </x:c>
      <x:c r="CB59" s="348" t="n">
        <x:f>SUM(CB56:CB58)</x:f>
        <x:v>0</x:v>
      </x:c>
      <x:c r="CC59" s="348" t="n">
        <x:f>SUM(CC56:CC58)</x:f>
        <x:v>0</x:v>
      </x:c>
      <x:c r="CD59" s="348" t="n">
        <x:f>SUM(CD56:CD58)</x:f>
        <x:v>0</x:v>
      </x:c>
      <x:c r="CE59" s="348" t="n">
        <x:f>SUM(CE56:CE58)</x:f>
        <x:v>0</x:v>
      </x:c>
      <x:c r="CF59" s="348" t="n">
        <x:f>SUM(CF56:CF58)</x:f>
        <x:v>0</x:v>
      </x:c>
      <x:c r="CG59" s="348" t="n">
        <x:f>SUM(CG56:CG58)</x:f>
        <x:v>0</x:v>
      </x:c>
      <x:c r="CH59" s="348" t="n">
        <x:f>SUM(CH56:CH58)</x:f>
        <x:v>0</x:v>
      </x:c>
      <x:c r="CI59" s="348" t="n">
        <x:f>SUM(CI56:CI58)</x:f>
        <x:v>0</x:v>
      </x:c>
      <x:c r="CJ59" s="348" t="n">
        <x:f>SUM(CJ56:CJ58)</x:f>
        <x:v>0</x:v>
      </x:c>
      <x:c r="CK59" s="348" t="n">
        <x:f>SUM(CK56:CK58)</x:f>
        <x:v>0</x:v>
      </x:c>
      <x:c r="CL59" s="348" t="n">
        <x:f>SUM(CL56:CL58)</x:f>
        <x:v>0</x:v>
      </x:c>
      <x:c r="CM59" s="348" t="n">
        <x:f>SUM(CM56:CM58)</x:f>
        <x:v>0</x:v>
      </x:c>
      <x:c r="CN59" s="348" t="n">
        <x:f>SUM(CN56:CN58)</x:f>
        <x:v>0</x:v>
      </x:c>
      <x:c r="CO59" s="348" t="n">
        <x:f>SUM(CO56:CO58)</x:f>
        <x:v>0</x:v>
      </x:c>
      <x:c r="CP59" s="348" t="n">
        <x:f>SUM(CP56:CP58)</x:f>
        <x:v>0</x:v>
      </x:c>
      <x:c r="CQ59" s="348" t="n">
        <x:f>SUM(CQ56:CQ58)</x:f>
        <x:v>0</x:v>
      </x:c>
      <x:c r="CR59" s="348" t="n">
        <x:f>SUM(CR56:CR58)</x:f>
        <x:v>0</x:v>
      </x:c>
      <x:c r="CS59" s="348" t="n">
        <x:f>SUM(CS56:CS58)</x:f>
        <x:v>0</x:v>
      </x:c>
      <x:c r="CT59" s="348" t="n">
        <x:f>SUM(CT56:CT58)</x:f>
        <x:v>0</x:v>
      </x:c>
      <x:c r="CU59" s="348" t="n">
        <x:f>SUM(CU56:CU58)</x:f>
        <x:v>0</x:v>
      </x:c>
      <x:c r="CV59" s="348" t="n">
        <x:f>SUM(CV56:CV58)</x:f>
        <x:v>0</x:v>
      </x:c>
      <x:c r="CW59" s="348" t="n">
        <x:f>SUM(CW56:CW58)</x:f>
        <x:v>0</x:v>
      </x:c>
      <x:c r="CX59" s="348" t="n">
        <x:f>SUM(CX56:CX58)</x:f>
        <x:v>0</x:v>
      </x:c>
      <x:c r="CY59" s="348" t="n">
        <x:f>SUM(CY56:CY58)</x:f>
        <x:v>0</x:v>
      </x:c>
      <x:c r="CZ59" s="348" t="n">
        <x:f>SUM(CZ56:CZ58)</x:f>
        <x:v>0</x:v>
      </x:c>
      <x:c r="DA59" s="348" t="n">
        <x:f>SUM(DA56:DA58)</x:f>
        <x:v>0</x:v>
      </x:c>
      <x:c r="DB59" s="348" t="n">
        <x:f>SUM(DB56:DB58)</x:f>
        <x:v>0</x:v>
      </x:c>
      <x:c r="DC59" s="348" t="n">
        <x:f>SUM(DC56:DC58)</x:f>
        <x:v>0</x:v>
      </x:c>
      <x:c r="DD59" s="348" t="n">
        <x:f>SUM(DD56:DD58)</x:f>
        <x:v>0</x:v>
      </x:c>
      <x:c r="DE59" s="348" t="n">
        <x:f>SUM(DE56:DE58)</x:f>
        <x:v>0</x:v>
      </x:c>
      <x:c r="DF59" s="348" t="n">
        <x:f>SUM(DF56:DF58)</x:f>
        <x:v>0</x:v>
      </x:c>
      <x:c r="DG59" s="348" t="n">
        <x:f>SUM(DG56:DG58)</x:f>
        <x:v>0</x:v>
      </x:c>
      <x:c r="DH59" s="348" t="n">
        <x:f>SUM(DH56:DH58)</x:f>
        <x:v>0</x:v>
      </x:c>
      <x:c r="DI59" s="348" t="n">
        <x:f>SUM(DI56:DI58)</x:f>
        <x:v>0</x:v>
      </x:c>
      <x:c r="DJ59" s="348" t="n">
        <x:f>SUM(DJ56:DJ58)</x:f>
        <x:v>0</x:v>
      </x:c>
      <x:c r="DK59" s="348" t="n">
        <x:f>SUM(DK56:DK58)</x:f>
        <x:v>0</x:v>
      </x:c>
      <x:c r="DL59" s="348" t="n">
        <x:f>SUM(DL56:DL58)</x:f>
        <x:v>0</x:v>
      </x:c>
      <x:c r="DM59" s="348" t="n">
        <x:f>SUM(DM56:DM58)</x:f>
        <x:v>0</x:v>
      </x:c>
      <x:c r="DN59" s="348" t="n">
        <x:f>SUM(DN56:DN58)</x:f>
        <x:v>0</x:v>
      </x:c>
      <x:c r="DO59" s="348" t="n">
        <x:f>SUM(DO56:DO58)</x:f>
        <x:v>0</x:v>
      </x:c>
      <x:c r="DP59" s="348" t="n">
        <x:f>SUM(DP56:DP58)</x:f>
        <x:v>0</x:v>
      </x:c>
      <x:c r="DQ59" s="348" t="n">
        <x:f>SUM(DQ56:DQ58)</x:f>
        <x:v>0</x:v>
      </x:c>
      <x:c r="DR59" s="348" t="n">
        <x:f>SUM(DR56:DR58)</x:f>
        <x:v>0</x:v>
      </x:c>
      <x:c r="DS59" s="348" t="n">
        <x:f>SUM(DS56:DS58)</x:f>
        <x:v>0</x:v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  <x:v>Нет</x:v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  <x:v>1</x:v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  <x:v>46935</x:v>
      </x:c>
      <x:c r="C65" t="str">
        <x:v>дата</x:v>
      </x:c>
    </x:row>
    <x:row r="66">
      <x:c r="A66" t="str">
        <x:v>РВЭ</x:v>
      </x:c>
      <x:c r="B66" s="92" t="n">
        <x:f>EDATE(B65,'Вводные'!$K$69)</x:f>
        <x:v>47484</x:v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  <x:v>46935</x:v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  <x:v>0</x:v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  <x:v>0</x:v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--AND(D$3&gt;=$B$65,D$3&lt;$B$66,AND($B$63="Да",IFERROR(INDEX('Вводные'!$B$88:$B$90,$B$64),"Нет")="Да"))</x:f>
        <x:v>0</x:v>
      </x:c>
      <x:c r="E70" t="n">
        <x:f>--AND(E$3&gt;=$B$65,E$3&lt;$B$66,AND($B$63="Да",IFERROR(INDEX('Вводные'!$B$88:$B$90,$B$64),"Нет")="Да"))</x:f>
        <x:v>0</x:v>
      </x:c>
      <x:c r="F70" t="n">
        <x:f>--AND(F$3&gt;=$B$65,F$3&lt;$B$66,AND($B$63="Да",IFERROR(INDEX('Вводные'!$B$88:$B$90,$B$64),"Нет")="Да"))</x:f>
        <x:v>0</x:v>
      </x:c>
      <x:c r="G70" t="n">
        <x:f>--AND(G$3&gt;=$B$65,G$3&lt;$B$66,AND($B$63="Да",IFERROR(INDEX('Вводные'!$B$88:$B$90,$B$64),"Нет")="Да"))</x:f>
        <x:v>0</x:v>
      </x:c>
      <x:c r="H70" t="n">
        <x:f>--AND(H$3&gt;=$B$65,H$3&lt;$B$66,AND($B$63="Да",IFERROR(INDEX('Вводные'!$B$88:$B$90,$B$64),"Нет")="Да"))</x:f>
        <x:v>0</x:v>
      </x:c>
      <x:c r="I70" t="n">
        <x:f>--AND(I$3&gt;=$B$65,I$3&lt;$B$66,AND($B$63="Да",IFERROR(INDEX('Вводные'!$B$88:$B$90,$B$64),"Нет")="Да"))</x:f>
        <x:v>0</x:v>
      </x:c>
      <x:c r="J70" t="n">
        <x:f>--AND(J$3&gt;=$B$65,J$3&lt;$B$66,AND($B$63="Да",IFERROR(INDEX('Вводные'!$B$88:$B$90,$B$64),"Нет")="Да"))</x:f>
        <x:v>0</x:v>
      </x:c>
      <x:c r="K70" t="n">
        <x:f>--AND(K$3&gt;=$B$65,K$3&lt;$B$66,AND($B$63="Да",IFERROR(INDEX('Вводные'!$B$88:$B$90,$B$64),"Нет")="Да"))</x:f>
        <x:v>0</x:v>
      </x:c>
      <x:c r="L70" t="n">
        <x:f>--AND(L$3&gt;=$B$65,L$3&lt;$B$66,AND($B$63="Да",IFERROR(INDEX('Вводные'!$B$88:$B$90,$B$64),"Нет")="Да"))</x:f>
        <x:v>0</x:v>
      </x:c>
      <x:c r="M70" t="n">
        <x:f>--AND(M$3&gt;=$B$65,M$3&lt;$B$66,AND($B$63="Да",IFERROR(INDEX('Вводные'!$B$88:$B$90,$B$64),"Нет")="Да"))</x:f>
        <x:v>0</x:v>
      </x:c>
      <x:c r="N70" t="n">
        <x:f>--AND(N$3&gt;=$B$65,N$3&lt;$B$66,AND($B$63="Да",IFERROR(INDEX('Вводные'!$B$88:$B$90,$B$64),"Нет")="Да"))</x:f>
        <x:v>0</x:v>
      </x:c>
      <x:c r="O70" t="n">
        <x:f>--AND(O$3&gt;=$B$65,O$3&lt;$B$66,AND($B$63="Да",IFERROR(INDEX('Вводные'!$B$88:$B$90,$B$64),"Нет")="Да"))</x:f>
        <x:v>0</x:v>
      </x:c>
      <x:c r="P70" t="n">
        <x:f>--AND(P$3&gt;=$B$65,P$3&lt;$B$66,AND($B$63="Да",IFERROR(INDEX('Вводные'!$B$88:$B$90,$B$64),"Нет")="Да"))</x:f>
        <x:v>0</x:v>
      </x:c>
      <x:c r="Q70" t="n">
        <x:f>--AND(Q$3&gt;=$B$65,Q$3&lt;$B$66,AND($B$63="Да",IFERROR(INDEX('Вводные'!$B$88:$B$90,$B$64),"Нет")="Да"))</x:f>
        <x:v>0</x:v>
      </x:c>
      <x:c r="R70" t="n">
        <x:f>--AND(R$3&gt;=$B$65,R$3&lt;$B$66,AND($B$63="Да",IFERROR(INDEX('Вводные'!$B$88:$B$90,$B$64),"Нет")="Да"))</x:f>
        <x:v>0</x:v>
      </x:c>
      <x:c r="S70" t="n">
        <x:f>--AND(S$3&gt;=$B$65,S$3&lt;$B$66,AND($B$63="Да",IFERROR(INDEX('Вводные'!$B$88:$B$90,$B$64),"Нет")="Да"))</x:f>
        <x:v>0</x:v>
      </x:c>
      <x:c r="T70" t="n">
        <x:f>--AND(T$3&gt;=$B$65,T$3&lt;$B$66,AND($B$63="Да",IFERROR(INDEX('Вводные'!$B$88:$B$90,$B$64),"Нет")="Да"))</x:f>
        <x:v>0</x:v>
      </x:c>
      <x:c r="U70" t="n">
        <x:f>--AND(U$3&gt;=$B$65,U$3&lt;$B$66,AND($B$63="Да",IFERROR(INDEX('Вводные'!$B$88:$B$90,$B$64),"Нет")="Да"))</x:f>
        <x:v>0</x:v>
      </x:c>
      <x:c r="V70" t="n">
        <x:f>--AND(V$3&gt;=$B$65,V$3&lt;$B$66,AND($B$63="Да",IFERROR(INDEX('Вводные'!$B$88:$B$90,$B$64),"Нет")="Да"))</x:f>
        <x:v>0</x:v>
      </x:c>
      <x:c r="W70" t="n">
        <x:f>--AND(W$3&gt;=$B$65,W$3&lt;$B$66,AND($B$63="Да",IFERROR(INDEX('Вводные'!$B$88:$B$90,$B$64),"Нет")="Да"))</x:f>
        <x:v>0</x:v>
      </x:c>
      <x:c r="X70" t="n">
        <x:f>--AND(X$3&gt;=$B$65,X$3&lt;$B$66,AND($B$63="Да",IFERROR(INDEX('Вводные'!$B$88:$B$90,$B$64),"Нет")="Да"))</x:f>
        <x:v>0</x:v>
      </x:c>
      <x:c r="Y70" t="n">
        <x:f>--AND(Y$3&gt;=$B$65,Y$3&lt;$B$66,AND($B$63="Да",IFERROR(INDEX('Вводные'!$B$88:$B$90,$B$64),"Нет")="Да"))</x:f>
        <x:v>0</x:v>
      </x:c>
      <x:c r="Z70" t="n">
        <x:f>--AND(Z$3&gt;=$B$65,Z$3&lt;$B$66,AND($B$63="Да",IFERROR(INDEX('Вводные'!$B$88:$B$90,$B$64),"Нет")="Да"))</x:f>
        <x:v>0</x:v>
      </x:c>
      <x:c r="AA70" t="n">
        <x:f>--AND(AA$3&gt;=$B$65,AA$3&lt;$B$66,AND($B$63="Да",IFERROR(INDEX('Вводные'!$B$88:$B$90,$B$64),"Нет")="Да"))</x:f>
        <x:v>0</x:v>
      </x:c>
      <x:c r="AB70" t="n">
        <x:f>--AND(AB$3&gt;=$B$65,AB$3&lt;$B$66,AND($B$63="Да",IFERROR(INDEX('Вводные'!$B$88:$B$90,$B$64),"Нет")="Да"))</x:f>
        <x:v>0</x:v>
      </x:c>
      <x:c r="AC70" t="n">
        <x:f>--AND(AC$3&gt;=$B$65,AC$3&lt;$B$66,AND($B$63="Да",IFERROR(INDEX('Вводные'!$B$88:$B$90,$B$64),"Нет")="Да"))</x:f>
        <x:v>0</x:v>
      </x:c>
      <x:c r="AD70" t="n">
        <x:f>--AND(AD$3&gt;=$B$65,AD$3&lt;$B$66,AND($B$63="Да",IFERROR(INDEX('Вводные'!$B$88:$B$90,$B$64),"Нет")="Да"))</x:f>
        <x:v>0</x:v>
      </x:c>
      <x:c r="AE70" t="n">
        <x:f>--AND(AE$3&gt;=$B$65,AE$3&lt;$B$66,AND($B$63="Да",IFERROR(INDEX('Вводные'!$B$88:$B$90,$B$64),"Нет")="Да"))</x:f>
        <x:v>0</x:v>
      </x:c>
      <x:c r="AF70" t="n">
        <x:f>--AND(AF$3&gt;=$B$65,AF$3&lt;$B$66,AND($B$63="Да",IFERROR(INDEX('Вводные'!$B$88:$B$90,$B$64),"Нет")="Да"))</x:f>
        <x:v>0</x:v>
      </x:c>
      <x:c r="AG70" t="n">
        <x:f>--AND(AG$3&gt;=$B$65,AG$3&lt;$B$66,AND($B$63="Да",IFERROR(INDEX('Вводные'!$B$88:$B$90,$B$64),"Нет")="Да"))</x:f>
        <x:v>0</x:v>
      </x:c>
      <x:c r="AH70" t="n">
        <x:f>--AND(AH$3&gt;=$B$65,AH$3&lt;$B$66,AND($B$63="Да",IFERROR(INDEX('Вводные'!$B$88:$B$90,$B$64),"Нет")="Да"))</x:f>
        <x:v>0</x:v>
      </x:c>
      <x:c r="AI70" t="n">
        <x:f>--AND(AI$3&gt;=$B$65,AI$3&lt;$B$66,AND($B$63="Да",IFERROR(INDEX('Вводные'!$B$88:$B$90,$B$64),"Нет")="Да"))</x:f>
        <x:v>0</x:v>
      </x:c>
      <x:c r="AJ70" t="n">
        <x:f>--AND(AJ$3&gt;=$B$65,AJ$3&lt;$B$66,AND($B$63="Да",IFERROR(INDEX('Вводные'!$B$88:$B$90,$B$64),"Нет")="Да"))</x:f>
        <x:v>0</x:v>
      </x:c>
      <x:c r="AK70" t="n">
        <x:f>--AND(AK$3&gt;=$B$65,AK$3&lt;$B$66,AND($B$63="Да",IFERROR(INDEX('Вводные'!$B$88:$B$90,$B$64),"Нет")="Да"))</x:f>
        <x:v>0</x:v>
      </x:c>
      <x:c r="AL70" t="n">
        <x:f>--AND(AL$3&gt;=$B$65,AL$3&lt;$B$66,AND($B$63="Да",IFERROR(INDEX('Вводные'!$B$88:$B$90,$B$64),"Нет")="Да"))</x:f>
        <x:v>0</x:v>
      </x:c>
      <x:c r="AM70" t="n">
        <x:f>--AND(AM$3&gt;=$B$65,AM$3&lt;$B$66,AND($B$63="Да",IFERROR(INDEX('Вводные'!$B$88:$B$90,$B$64),"Нет")="Да"))</x:f>
        <x:v>0</x:v>
      </x:c>
      <x:c r="AN70" t="n">
        <x:f>--AND(AN$3&gt;=$B$65,AN$3&lt;$B$66,AND($B$63="Да",IFERROR(INDEX('Вводные'!$B$88:$B$90,$B$64),"Нет")="Да"))</x:f>
        <x:v>0</x:v>
      </x:c>
      <x:c r="AO70" t="n">
        <x:f>--AND(AO$3&gt;=$B$65,AO$3&lt;$B$66,AND($B$63="Да",IFERROR(INDEX('Вводные'!$B$88:$B$90,$B$64),"Нет")="Да"))</x:f>
        <x:v>0</x:v>
      </x:c>
      <x:c r="AP70" t="n">
        <x:f>--AND(AP$3&gt;=$B$65,AP$3&lt;$B$66,AND($B$63="Да",IFERROR(INDEX('Вводные'!$B$88:$B$90,$B$64),"Нет")="Да"))</x:f>
        <x:v>0</x:v>
      </x:c>
      <x:c r="AQ70" t="n">
        <x:f>--AND(AQ$3&gt;=$B$65,AQ$3&lt;$B$66,AND($B$63="Да",IFERROR(INDEX('Вводные'!$B$88:$B$90,$B$64),"Нет")="Да"))</x:f>
        <x:v>0</x:v>
      </x:c>
      <x:c r="AR70" t="n">
        <x:f>--AND(AR$3&gt;=$B$65,AR$3&lt;$B$66,AND($B$63="Да",IFERROR(INDEX('Вводные'!$B$88:$B$90,$B$64),"Нет")="Да"))</x:f>
        <x:v>0</x:v>
      </x:c>
      <x:c r="AS70" t="n">
        <x:f>--AND(AS$3&gt;=$B$65,AS$3&lt;$B$66,AND($B$63="Да",IFERROR(INDEX('Вводные'!$B$88:$B$90,$B$64),"Нет")="Да"))</x:f>
        <x:v>0</x:v>
      </x:c>
      <x:c r="AT70" t="n">
        <x:f>--AND(AT$3&gt;=$B$65,AT$3&lt;$B$66,AND($B$63="Да",IFERROR(INDEX('Вводные'!$B$88:$B$90,$B$64),"Нет")="Да"))</x:f>
        <x:v>0</x:v>
      </x:c>
      <x:c r="AU70" t="n">
        <x:f>--AND(AU$3&gt;=$B$65,AU$3&lt;$B$66,AND($B$63="Да",IFERROR(INDEX('Вводные'!$B$88:$B$90,$B$64),"Нет")="Да"))</x:f>
        <x:v>0</x:v>
      </x:c>
      <x:c r="AV70" t="n">
        <x:f>--AND(AV$3&gt;=$B$65,AV$3&lt;$B$66,AND($B$63="Да",IFERROR(INDEX('Вводные'!$B$88:$B$90,$B$64),"Нет")="Да"))</x:f>
        <x:v>0</x:v>
      </x:c>
      <x:c r="AW70" t="n">
        <x:f>--AND(AW$3&gt;=$B$65,AW$3&lt;$B$66,AND($B$63="Да",IFERROR(INDEX('Вводные'!$B$88:$B$90,$B$64),"Нет")="Да"))</x:f>
        <x:v>0</x:v>
      </x:c>
      <x:c r="AX70" t="n">
        <x:f>--AND(AX$3&gt;=$B$65,AX$3&lt;$B$66,AND($B$63="Да",IFERROR(INDEX('Вводные'!$B$88:$B$90,$B$64),"Нет")="Да"))</x:f>
        <x:v>0</x:v>
      </x:c>
      <x:c r="AY70" t="n">
        <x:f>--AND(AY$3&gt;=$B$65,AY$3&lt;$B$66,AND($B$63="Да",IFERROR(INDEX('Вводные'!$B$88:$B$90,$B$64),"Нет")="Да"))</x:f>
        <x:v>0</x:v>
      </x:c>
      <x:c r="AZ70" t="n">
        <x:f>--AND(AZ$3&gt;=$B$65,AZ$3&lt;$B$66,AND($B$63="Да",IFERROR(INDEX('Вводные'!$B$88:$B$90,$B$64),"Нет")="Да"))</x:f>
        <x:v>0</x:v>
      </x:c>
      <x:c r="BA70" t="n">
        <x:f>--AND(BA$3&gt;=$B$65,BA$3&lt;$B$66,AND($B$63="Да",IFERROR(INDEX('Вводные'!$B$88:$B$90,$B$64),"Нет")="Да"))</x:f>
        <x:v>0</x:v>
      </x:c>
      <x:c r="BB70" t="n">
        <x:f>--AND(BB$3&gt;=$B$65,BB$3&lt;$B$66,AND($B$63="Да",IFERROR(INDEX('Вводные'!$B$88:$B$90,$B$64),"Нет")="Да"))</x:f>
        <x:v>0</x:v>
      </x:c>
      <x:c r="BC70" t="n">
        <x:f>--AND(BC$3&gt;=$B$65,BC$3&lt;$B$66,AND($B$63="Да",IFERROR(INDEX('Вводные'!$B$88:$B$90,$B$64),"Нет")="Да"))</x:f>
        <x:v>0</x:v>
      </x:c>
      <x:c r="BD70" t="n">
        <x:f>--AND(BD$3&gt;=$B$65,BD$3&lt;$B$66,AND($B$63="Да",IFERROR(INDEX('Вводные'!$B$88:$B$90,$B$64),"Нет")="Да"))</x:f>
        <x:v>0</x:v>
      </x:c>
      <x:c r="BE70" t="n">
        <x:f>--AND(BE$3&gt;=$B$65,BE$3&lt;$B$66,AND($B$63="Да",IFERROR(INDEX('Вводные'!$B$88:$B$90,$B$64),"Нет")="Да"))</x:f>
        <x:v>0</x:v>
      </x:c>
      <x:c r="BF70" t="n">
        <x:f>--AND(BF$3&gt;=$B$65,BF$3&lt;$B$66,AND($B$63="Да",IFERROR(INDEX('Вводные'!$B$88:$B$90,$B$64),"Нет")="Да"))</x:f>
        <x:v>0</x:v>
      </x:c>
      <x:c r="BG70" t="n">
        <x:f>--AND(BG$3&gt;=$B$65,BG$3&lt;$B$66,AND($B$63="Да",IFERROR(INDEX('Вводные'!$B$88:$B$90,$B$64),"Нет")="Да"))</x:f>
        <x:v>0</x:v>
      </x:c>
      <x:c r="BH70" t="n">
        <x:f>--AND(BH$3&gt;=$B$65,BH$3&lt;$B$66,AND($B$63="Да",IFERROR(INDEX('Вводные'!$B$88:$B$90,$B$64),"Нет")="Да"))</x:f>
        <x:v>0</x:v>
      </x:c>
      <x:c r="BI70" t="n">
        <x:f>--AND(BI$3&gt;=$B$65,BI$3&lt;$B$66,AND($B$63="Да",IFERROR(INDEX('Вводные'!$B$88:$B$90,$B$64),"Нет")="Да"))</x:f>
        <x:v>0</x:v>
      </x:c>
      <x:c r="BJ70" t="n">
        <x:f>--AND(BJ$3&gt;=$B$65,BJ$3&lt;$B$66,AND($B$63="Да",IFERROR(INDEX('Вводные'!$B$88:$B$90,$B$64),"Нет")="Да"))</x:f>
        <x:v>0</x:v>
      </x:c>
      <x:c r="BK70" t="n">
        <x:f>--AND(BK$3&gt;=$B$65,BK$3&lt;$B$66,AND($B$63="Да",IFERROR(INDEX('Вводные'!$B$88:$B$90,$B$64),"Нет")="Да"))</x:f>
        <x:v>0</x:v>
      </x:c>
      <x:c r="BL70" t="n">
        <x:f>--AND(BL$3&gt;=$B$65,BL$3&lt;$B$66,AND($B$63="Да",IFERROR(INDEX('Вводные'!$B$88:$B$90,$B$64),"Нет")="Да"))</x:f>
        <x:v>0</x:v>
      </x:c>
      <x:c r="BM70" t="n">
        <x:f>--AND(BM$3&gt;=$B$65,BM$3&lt;$B$66,AND($B$63="Да",IFERROR(INDEX('Вводные'!$B$88:$B$90,$B$64),"Нет")="Да"))</x:f>
        <x:v>0</x:v>
      </x:c>
      <x:c r="BN70" t="n">
        <x:f>--AND(BN$3&gt;=$B$65,BN$3&lt;$B$66,AND($B$63="Да",IFERROR(INDEX('Вводные'!$B$88:$B$90,$B$64),"Нет")="Да"))</x:f>
        <x:v>0</x:v>
      </x:c>
      <x:c r="BO70" t="n">
        <x:f>--AND(BO$3&gt;=$B$65,BO$3&lt;$B$66,AND($B$63="Да",IFERROR(INDEX('Вводные'!$B$88:$B$90,$B$64),"Нет")="Да"))</x:f>
        <x:v>0</x:v>
      </x:c>
      <x:c r="BP70" t="n">
        <x:f>--AND(BP$3&gt;=$B$65,BP$3&lt;$B$66,AND($B$63="Да",IFERROR(INDEX('Вводные'!$B$88:$B$90,$B$64),"Нет")="Да"))</x:f>
        <x:v>0</x:v>
      </x:c>
      <x:c r="BQ70" t="n">
        <x:f>--AND(BQ$3&gt;=$B$65,BQ$3&lt;$B$66,AND($B$63="Да",IFERROR(INDEX('Вводные'!$B$88:$B$90,$B$64),"Нет")="Да"))</x:f>
        <x:v>0</x:v>
      </x:c>
      <x:c r="BR70" t="n">
        <x:f>--AND(BR$3&gt;=$B$65,BR$3&lt;$B$66,AND($B$63="Да",IFERROR(INDEX('Вводные'!$B$88:$B$90,$B$64),"Нет")="Да"))</x:f>
        <x:v>0</x:v>
      </x:c>
      <x:c r="BS70" t="n">
        <x:f>--AND(BS$3&gt;=$B$65,BS$3&lt;$B$66,AND($B$63="Да",IFERROR(INDEX('Вводные'!$B$88:$B$90,$B$64),"Нет")="Да"))</x:f>
        <x:v>0</x:v>
      </x:c>
      <x:c r="BT70" t="n">
        <x:f>--AND(BT$3&gt;=$B$65,BT$3&lt;$B$66,AND($B$63="Да",IFERROR(INDEX('Вводные'!$B$88:$B$90,$B$64),"Нет")="Да"))</x:f>
        <x:v>0</x:v>
      </x:c>
      <x:c r="BU70" t="n">
        <x:f>--AND(BU$3&gt;=$B$65,BU$3&lt;$B$66,AND($B$63="Да",IFERROR(INDEX('Вводные'!$B$88:$B$90,$B$64),"Нет")="Да"))</x:f>
        <x:v>0</x:v>
      </x:c>
      <x:c r="BV70" t="n">
        <x:f>--AND(BV$3&gt;=$B$65,BV$3&lt;$B$66,AND($B$63="Да",IFERROR(INDEX('Вводные'!$B$88:$B$90,$B$64),"Нет")="Да"))</x:f>
        <x:v>0</x:v>
      </x:c>
      <x:c r="BW70" t="n">
        <x:f>--AND(BW$3&gt;=$B$65,BW$3&lt;$B$66,AND($B$63="Да",IFERROR(INDEX('Вводные'!$B$88:$B$90,$B$64),"Нет")="Да"))</x:f>
        <x:v>0</x:v>
      </x:c>
      <x:c r="BX70" t="n">
        <x:f>--AND(BX$3&gt;=$B$65,BX$3&lt;$B$66,AND($B$63="Да",IFERROR(INDEX('Вводные'!$B$88:$B$90,$B$64),"Нет")="Да"))</x:f>
        <x:v>0</x:v>
      </x:c>
      <x:c r="BY70" t="n">
        <x:f>--AND(BY$3&gt;=$B$65,BY$3&lt;$B$66,AND($B$63="Да",IFERROR(INDEX('Вводные'!$B$88:$B$90,$B$64),"Нет")="Да"))</x:f>
        <x:v>0</x:v>
      </x:c>
      <x:c r="BZ70" t="n">
        <x:f>--AND(BZ$3&gt;=$B$65,BZ$3&lt;$B$66,AND($B$63="Да",IFERROR(INDEX('Вводные'!$B$88:$B$90,$B$64),"Нет")="Да"))</x:f>
        <x:v>0</x:v>
      </x:c>
      <x:c r="CA70" t="n">
        <x:f>--AND(CA$3&gt;=$B$65,CA$3&lt;$B$66,AND($B$63="Да",IFERROR(INDEX('Вводные'!$B$88:$B$90,$B$64),"Нет")="Да"))</x:f>
        <x:v>0</x:v>
      </x:c>
      <x:c r="CB70" t="n">
        <x:f>--AND(CB$3&gt;=$B$65,CB$3&lt;$B$66,AND($B$63="Да",IFERROR(INDEX('Вводные'!$B$88:$B$90,$B$64),"Нет")="Да"))</x:f>
        <x:v>0</x:v>
      </x:c>
      <x:c r="CC70" t="n">
        <x:f>--AND(CC$3&gt;=$B$65,CC$3&lt;$B$66,AND($B$63="Да",IFERROR(INDEX('Вводные'!$B$88:$B$90,$B$64),"Нет")="Да"))</x:f>
        <x:v>0</x:v>
      </x:c>
      <x:c r="CD70" t="n">
        <x:f>--AND(CD$3&gt;=$B$65,CD$3&lt;$B$66,AND($B$63="Да",IFERROR(INDEX('Вводные'!$B$88:$B$90,$B$64),"Нет")="Да"))</x:f>
        <x:v>0</x:v>
      </x:c>
      <x:c r="CE70" t="n">
        <x:f>--AND(CE$3&gt;=$B$65,CE$3&lt;$B$66,AND($B$63="Да",IFERROR(INDEX('Вводные'!$B$88:$B$90,$B$64),"Нет")="Да"))</x:f>
        <x:v>0</x:v>
      </x:c>
      <x:c r="CF70" t="n">
        <x:f>--AND(CF$3&gt;=$B$65,CF$3&lt;$B$66,AND($B$63="Да",IFERROR(INDEX('Вводные'!$B$88:$B$90,$B$64),"Нет")="Да"))</x:f>
        <x:v>0</x:v>
      </x:c>
      <x:c r="CG70" t="n">
        <x:f>--AND(CG$3&gt;=$B$65,CG$3&lt;$B$66,AND($B$63="Да",IFERROR(INDEX('Вводные'!$B$88:$B$90,$B$64),"Нет")="Да"))</x:f>
        <x:v>0</x:v>
      </x:c>
      <x:c r="CH70" t="n">
        <x:f>--AND(CH$3&gt;=$B$65,CH$3&lt;$B$66,AND($B$63="Да",IFERROR(INDEX('Вводные'!$B$88:$B$90,$B$64),"Нет")="Да"))</x:f>
        <x:v>0</x:v>
      </x:c>
      <x:c r="CI70" t="n">
        <x:f>--AND(CI$3&gt;=$B$65,CI$3&lt;$B$66,AND($B$63="Да",IFERROR(INDEX('Вводные'!$B$88:$B$90,$B$64),"Нет")="Да"))</x:f>
        <x:v>0</x:v>
      </x:c>
      <x:c r="CJ70" t="n">
        <x:f>--AND(CJ$3&gt;=$B$65,CJ$3&lt;$B$66,AND($B$63="Да",IFERROR(INDEX('Вводные'!$B$88:$B$90,$B$64),"Нет")="Да"))</x:f>
        <x:v>0</x:v>
      </x:c>
      <x:c r="CK70" t="n">
        <x:f>--AND(CK$3&gt;=$B$65,CK$3&lt;$B$66,AND($B$63="Да",IFERROR(INDEX('Вводные'!$B$88:$B$90,$B$64),"Нет")="Да"))</x:f>
        <x:v>0</x:v>
      </x:c>
      <x:c r="CL70" t="n">
        <x:f>--AND(CL$3&gt;=$B$65,CL$3&lt;$B$66,AND($B$63="Да",IFERROR(INDEX('Вводные'!$B$88:$B$90,$B$64),"Нет")="Да"))</x:f>
        <x:v>0</x:v>
      </x:c>
      <x:c r="CM70" t="n">
        <x:f>--AND(CM$3&gt;=$B$65,CM$3&lt;$B$66,AND($B$63="Да",IFERROR(INDEX('Вводные'!$B$88:$B$90,$B$64),"Нет")="Да"))</x:f>
        <x:v>0</x:v>
      </x:c>
      <x:c r="CN70" t="n">
        <x:f>--AND(CN$3&gt;=$B$65,CN$3&lt;$B$66,AND($B$63="Да",IFERROR(INDEX('Вводные'!$B$88:$B$90,$B$64),"Нет")="Да"))</x:f>
        <x:v>0</x:v>
      </x:c>
      <x:c r="CO70" t="n">
        <x:f>--AND(CO$3&gt;=$B$65,CO$3&lt;$B$66,AND($B$63="Да",IFERROR(INDEX('Вводные'!$B$88:$B$90,$B$64),"Нет")="Да"))</x:f>
        <x:v>0</x:v>
      </x:c>
      <x:c r="CP70" t="n">
        <x:f>--AND(CP$3&gt;=$B$65,CP$3&lt;$B$66,AND($B$63="Да",IFERROR(INDEX('Вводные'!$B$88:$B$90,$B$64),"Нет")="Да"))</x:f>
        <x:v>0</x:v>
      </x:c>
      <x:c r="CQ70" t="n">
        <x:f>--AND(CQ$3&gt;=$B$65,CQ$3&lt;$B$66,AND($B$63="Да",IFERROR(INDEX('Вводные'!$B$88:$B$90,$B$64),"Нет")="Да"))</x:f>
        <x:v>0</x:v>
      </x:c>
      <x:c r="CR70" t="n">
        <x:f>--AND(CR$3&gt;=$B$65,CR$3&lt;$B$66,AND($B$63="Да",IFERROR(INDEX('Вводные'!$B$88:$B$90,$B$64),"Нет")="Да"))</x:f>
        <x:v>0</x:v>
      </x:c>
      <x:c r="CS70" t="n">
        <x:f>--AND(CS$3&gt;=$B$65,CS$3&lt;$B$66,AND($B$63="Да",IFERROR(INDEX('Вводные'!$B$88:$B$90,$B$64),"Нет")="Да"))</x:f>
        <x:v>0</x:v>
      </x:c>
      <x:c r="CT70" t="n">
        <x:f>--AND(CT$3&gt;=$B$65,CT$3&lt;$B$66,AND($B$63="Да",IFERROR(INDEX('Вводные'!$B$88:$B$90,$B$64),"Нет")="Да"))</x:f>
        <x:v>0</x:v>
      </x:c>
      <x:c r="CU70" t="n">
        <x:f>--AND(CU$3&gt;=$B$65,CU$3&lt;$B$66,AND($B$63="Да",IFERROR(INDEX('Вводные'!$B$88:$B$90,$B$64),"Нет")="Да"))</x:f>
        <x:v>0</x:v>
      </x:c>
      <x:c r="CV70" t="n">
        <x:f>--AND(CV$3&gt;=$B$65,CV$3&lt;$B$66,AND($B$63="Да",IFERROR(INDEX('Вводные'!$B$88:$B$90,$B$64),"Нет")="Да"))</x:f>
        <x:v>0</x:v>
      </x:c>
      <x:c r="CW70" t="n">
        <x:f>--AND(CW$3&gt;=$B$65,CW$3&lt;$B$66,AND($B$63="Да",IFERROR(INDEX('Вводные'!$B$88:$B$90,$B$64),"Нет")="Да"))</x:f>
        <x:v>0</x:v>
      </x:c>
      <x:c r="CX70" t="n">
        <x:f>--AND(CX$3&gt;=$B$65,CX$3&lt;$B$66,AND($B$63="Да",IFERROR(INDEX('Вводные'!$B$88:$B$90,$B$64),"Нет")="Да"))</x:f>
        <x:v>0</x:v>
      </x:c>
      <x:c r="CY70" t="n">
        <x:f>--AND(CY$3&gt;=$B$65,CY$3&lt;$B$66,AND($B$63="Да",IFERROR(INDEX('Вводные'!$B$88:$B$90,$B$64),"Нет")="Да"))</x:f>
        <x:v>0</x:v>
      </x:c>
      <x:c r="CZ70" t="n">
        <x:f>--AND(CZ$3&gt;=$B$65,CZ$3&lt;$B$66,AND($B$63="Да",IFERROR(INDEX('Вводные'!$B$88:$B$90,$B$64),"Нет")="Да"))</x:f>
        <x:v>0</x:v>
      </x:c>
      <x:c r="DA70" t="n">
        <x:f>--AND(DA$3&gt;=$B$65,DA$3&lt;$B$66,AND($B$63="Да",IFERROR(INDEX('Вводные'!$B$88:$B$90,$B$64),"Нет")="Да"))</x:f>
        <x:v>0</x:v>
      </x:c>
      <x:c r="DB70" t="n">
        <x:f>--AND(DB$3&gt;=$B$65,DB$3&lt;$B$66,AND($B$63="Да",IFERROR(INDEX('Вводные'!$B$88:$B$90,$B$64),"Нет")="Да"))</x:f>
        <x:v>0</x:v>
      </x:c>
      <x:c r="DC70" t="n">
        <x:f>--AND(DC$3&gt;=$B$65,DC$3&lt;$B$66,AND($B$63="Да",IFERROR(INDEX('Вводные'!$B$88:$B$90,$B$64),"Нет")="Да"))</x:f>
        <x:v>0</x:v>
      </x:c>
      <x:c r="DD70" t="n">
        <x:f>--AND(DD$3&gt;=$B$65,DD$3&lt;$B$66,AND($B$63="Да",IFERROR(INDEX('Вводные'!$B$88:$B$90,$B$64),"Нет")="Да"))</x:f>
        <x:v>0</x:v>
      </x:c>
      <x:c r="DE70" t="n">
        <x:f>--AND(DE$3&gt;=$B$65,DE$3&lt;$B$66,AND($B$63="Да",IFERROR(INDEX('Вводные'!$B$88:$B$90,$B$64),"Нет")="Да"))</x:f>
        <x:v>0</x:v>
      </x:c>
      <x:c r="DF70" t="n">
        <x:f>--AND(DF$3&gt;=$B$65,DF$3&lt;$B$66,AND($B$63="Да",IFERROR(INDEX('Вводные'!$B$88:$B$90,$B$64),"Нет")="Да"))</x:f>
        <x:v>0</x:v>
      </x:c>
      <x:c r="DG70" t="n">
        <x:f>--AND(DG$3&gt;=$B$65,DG$3&lt;$B$66,AND($B$63="Да",IFERROR(INDEX('Вводные'!$B$88:$B$90,$B$64),"Нет")="Да"))</x:f>
        <x:v>0</x:v>
      </x:c>
      <x:c r="DH70" t="n">
        <x:f>--AND(DH$3&gt;=$B$65,DH$3&lt;$B$66,AND($B$63="Да",IFERROR(INDEX('Вводные'!$B$88:$B$90,$B$64),"Нет")="Да"))</x:f>
        <x:v>0</x:v>
      </x:c>
      <x:c r="DI70" t="n">
        <x:f>--AND(DI$3&gt;=$B$65,DI$3&lt;$B$66,AND($B$63="Да",IFERROR(INDEX('Вводные'!$B$88:$B$90,$B$64),"Нет")="Да"))</x:f>
        <x:v>0</x:v>
      </x:c>
      <x:c r="DJ70" t="n">
        <x:f>--AND(DJ$3&gt;=$B$65,DJ$3&lt;$B$66,AND($B$63="Да",IFERROR(INDEX('Вводные'!$B$88:$B$90,$B$64),"Нет")="Да"))</x:f>
        <x:v>0</x:v>
      </x:c>
      <x:c r="DK70" t="n">
        <x:f>--AND(DK$3&gt;=$B$65,DK$3&lt;$B$66,AND($B$63="Да",IFERROR(INDEX('Вводные'!$B$88:$B$90,$B$64),"Нет")="Да"))</x:f>
        <x:v>0</x:v>
      </x:c>
      <x:c r="DL70" t="n">
        <x:f>--AND(DL$3&gt;=$B$65,DL$3&lt;$B$66,AND($B$63="Да",IFERROR(INDEX('Вводные'!$B$88:$B$90,$B$64),"Нет")="Да"))</x:f>
        <x:v>0</x:v>
      </x:c>
      <x:c r="DM70" t="n">
        <x:f>--AND(DM$3&gt;=$B$65,DM$3&lt;$B$66,AND($B$63="Да",IFERROR(INDEX('Вводные'!$B$88:$B$90,$B$64),"Нет")="Да"))</x:f>
        <x:v>0</x:v>
      </x:c>
      <x:c r="DN70" t="n">
        <x:f>--AND(DN$3&gt;=$B$65,DN$3&lt;$B$66,AND($B$63="Да",IFERROR(INDEX('Вводные'!$B$88:$B$90,$B$64),"Нет")="Да"))</x:f>
        <x:v>0</x:v>
      </x:c>
      <x:c r="DO70" t="n">
        <x:f>--AND(DO$3&gt;=$B$65,DO$3&lt;$B$66,AND($B$63="Да",IFERROR(INDEX('Вводные'!$B$88:$B$90,$B$64),"Нет")="Да"))</x:f>
        <x:v>0</x:v>
      </x:c>
      <x:c r="DP70" t="n">
        <x:f>--AND(DP$3&gt;=$B$65,DP$3&lt;$B$66,AND($B$63="Да",IFERROR(INDEX('Вводные'!$B$88:$B$90,$B$64),"Нет")="Да"))</x:f>
        <x:v>0</x:v>
      </x:c>
      <x:c r="DQ70" t="n">
        <x:f>--AND(DQ$3&gt;=$B$65,DQ$3&lt;$B$66,AND($B$63="Да",IFERROR(INDEX('Вводные'!$B$88:$B$90,$B$64),"Нет")="Да"))</x:f>
        <x:v>0</x:v>
      </x:c>
      <x:c r="DR70" t="n">
        <x:f>--AND(DR$3&gt;=$B$65,DR$3&lt;$B$66,AND($B$63="Да",IFERROR(INDEX('Вводные'!$B$88:$B$90,$B$64),"Нет")="Да"))</x:f>
        <x:v>0</x:v>
      </x:c>
      <x:c r="DS70" t="n">
        <x:f>--AND(DS$3&gt;=$B$65,DS$3&lt;$B$66,AND($B$63="Да",IFERROR(INDEX('Вводные'!$B$88:$B$90,$B$64),"Нет")="Да"))</x:f>
        <x:v>0</x:v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  <x:v>0</x:v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  <x:v>0</x:v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  <x:v>0</x:v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  <x:v>0</x:v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  <x:v>0</x:v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  <x:v>0</x:v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  <x:v>0</x:v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  <x:v>0</x:v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  <x:v>0</x:v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  <x:v>0</x:v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  <x:v>0</x:v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  <x:v>0</x:v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  <x:v>0</x:v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  <x:v>0</x:v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  <x:v>0</x:v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  <x:v>0</x:v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  <x:v>0</x:v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  <x:v>0</x:v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  <x:v>0</x:v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  <x:v>0</x:v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  <x:v>0</x:v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  <x:v>0</x:v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  <x:v>0</x:v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  <x:v>0</x:v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  <x:v>0</x:v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  <x:v>0</x:v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  <x:v>0</x:v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  <x:v>0</x:v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  <x:v>0</x:v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  <x:v>0</x:v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  <x:v>0</x:v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  <x:v>0</x:v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  <x:v>0</x:v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  <x:v>0</x:v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  <x:v>0</x:v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  <x:v>0</x:v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  <x:v>0</x:v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  <x:v>0</x:v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  <x:v>0</x:v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  <x:v>0</x:v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  <x:v>0</x:v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  <x:v>0</x:v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  <x:v>0</x:v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  <x:v>0</x:v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  <x:v>0</x:v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  <x:v>0</x:v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  <x:v>0</x:v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  <x:v>0</x:v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  <x:v>0</x:v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  <x:v>0</x:v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  <x:v>0</x:v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  <x:v>0</x:v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  <x:v>0</x:v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  <x:v>0</x:v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  <x:v>0</x:v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  <x:v>0</x:v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  <x:v>0</x:v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  <x:v>0</x:v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  <x:v>0</x:v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  <x:v>0</x:v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  <x:v>0</x:v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  <x:v>0</x:v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  <x:v>0</x:v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  <x:v>0</x:v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  <x:v>0</x:v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  <x:v>0</x:v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  <x:v>0</x:v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  <x:v>0</x:v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  <x:v>0</x:v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  <x:v>0</x:v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  <x:v>0</x:v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  <x:v>0</x:v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  <x:v>0</x:v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  <x:v>0</x:v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  <x:v>0</x:v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  <x:v>0</x:v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  <x:v>0</x:v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  <x:v>0</x:v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  <x:v>0</x:v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  <x:v>0</x:v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  <x:v>0</x:v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  <x:v>0</x:v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  <x:v>0</x:v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  <x:v>0</x:v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  <x:v>0</x:v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  <x:v>0</x:v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  <x:v>0</x:v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  <x:v>0</x:v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  <x:v>0</x:v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  <x:v>0</x:v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  <x:v>0</x:v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  <x:v>0</x:v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  <x:v>0</x:v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  <x:v>0</x:v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  <x:v>0</x:v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  <x:v>0</x:v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  <x:v>0</x:v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  <x:v>0</x:v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  <x:v>0</x:v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  <x:v>0</x:v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  <x:v>0</x:v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  <x:v>0</x:v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  <x:v>0</x:v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  <x:v>0</x:v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  <x:v>0</x:v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  <x:v>0</x:v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  <x:v>0</x:v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  <x:v>0</x:v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  <x:v>0</x:v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  <x:v>0</x:v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  <x:v>0</x:v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  <x:v>0</x:v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  <x:v>0</x:v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  <x:v>0</x:v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  <x:v>0</x:v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  <x:v>0</x:v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  <x:v>0</x:v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  <x:v>0</x:v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  <x:v>0</x:v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  <x:v>0</x:v>
      </x:c>
    </x:row>
    <x:row r="72">
      <x:c r="A72" t="str">
        <x:v>Нормированный вес строительства</x:v>
      </x:c>
      <x:c r="B72" s="35" t="n">
        <x:f>SUM(D72:DS72)</x:f>
        <x:v>0</x:v>
      </x:c>
      <x:c r="C72" t="str">
        <x:v>%</x:v>
      </x:c>
      <x:c r="D72" s="35" t="n">
        <x:f>IFERROR(D71/SUM($D71:$DS71),0)</x:f>
        <x:v>0</x:v>
      </x:c>
      <x:c r="E72" s="35" t="n">
        <x:f>IFERROR(E71/SUM($D71:$DS71),0)</x:f>
        <x:v>0</x:v>
      </x:c>
      <x:c r="F72" s="35" t="n">
        <x:f>IFERROR(F71/SUM($D71:$DS71),0)</x:f>
        <x:v>0</x:v>
      </x:c>
      <x:c r="G72" s="35" t="n">
        <x:f>IFERROR(G71/SUM($D71:$DS71),0)</x:f>
        <x:v>0</x:v>
      </x:c>
      <x:c r="H72" s="35" t="n">
        <x:f>IFERROR(H71/SUM($D71:$DS71),0)</x:f>
        <x:v>0</x:v>
      </x:c>
      <x:c r="I72" s="35" t="n">
        <x:f>IFERROR(I71/SUM($D71:$DS71),0)</x:f>
        <x:v>0</x:v>
      </x:c>
      <x:c r="J72" s="35" t="n">
        <x:f>IFERROR(J71/SUM($D71:$DS71),0)</x:f>
        <x:v>0</x:v>
      </x:c>
      <x:c r="K72" s="35" t="n">
        <x:f>IFERROR(K71/SUM($D71:$DS71),0)</x:f>
        <x:v>0</x:v>
      </x:c>
      <x:c r="L72" s="35" t="n">
        <x:f>IFERROR(L71/SUM($D71:$DS71),0)</x:f>
        <x:v>0</x:v>
      </x:c>
      <x:c r="M72" s="35" t="n">
        <x:f>IFERROR(M71/SUM($D71:$DS71),0)</x:f>
        <x:v>0</x:v>
      </x:c>
      <x:c r="N72" s="35" t="n">
        <x:f>IFERROR(N71/SUM($D71:$DS71),0)</x:f>
        <x:v>0</x:v>
      </x:c>
      <x:c r="O72" s="35" t="n">
        <x:f>IFERROR(O71/SUM($D71:$DS71),0)</x:f>
        <x:v>0</x:v>
      </x:c>
      <x:c r="P72" s="35" t="n">
        <x:f>IFERROR(P71/SUM($D71:$DS71),0)</x:f>
        <x:v>0</x:v>
      </x:c>
      <x:c r="Q72" s="35" t="n">
        <x:f>IFERROR(Q71/SUM($D71:$DS71),0)</x:f>
        <x:v>0</x:v>
      </x:c>
      <x:c r="R72" s="35" t="n">
        <x:f>IFERROR(R71/SUM($D71:$DS71),0)</x:f>
        <x:v>0</x:v>
      </x:c>
      <x:c r="S72" s="35" t="n">
        <x:f>IFERROR(S71/SUM($D71:$DS71),0)</x:f>
        <x:v>0</x:v>
      </x:c>
      <x:c r="T72" s="35" t="n">
        <x:f>IFERROR(T71/SUM($D71:$DS71),0)</x:f>
        <x:v>0</x:v>
      </x:c>
      <x:c r="U72" s="35" t="n">
        <x:f>IFERROR(U71/SUM($D71:$DS71),0)</x:f>
        <x:v>0</x:v>
      </x:c>
      <x:c r="V72" s="35" t="n">
        <x:f>IFERROR(V71/SUM($D71:$DS71),0)</x:f>
        <x:v>0</x:v>
      </x:c>
      <x:c r="W72" s="35" t="n">
        <x:f>IFERROR(W71/SUM($D71:$DS71),0)</x:f>
        <x:v>0</x:v>
      </x:c>
      <x:c r="X72" s="35" t="n">
        <x:f>IFERROR(X71/SUM($D71:$DS71),0)</x:f>
        <x:v>0</x:v>
      </x:c>
      <x:c r="Y72" s="35" t="n">
        <x:f>IFERROR(Y71/SUM($D71:$DS71),0)</x:f>
        <x:v>0</x:v>
      </x:c>
      <x:c r="Z72" s="35" t="n">
        <x:f>IFERROR(Z71/SUM($D71:$DS71),0)</x:f>
        <x:v>0</x:v>
      </x:c>
      <x:c r="AA72" s="35" t="n">
        <x:f>IFERROR(AA71/SUM($D71:$DS71),0)</x:f>
        <x:v>0</x:v>
      </x:c>
      <x:c r="AB72" s="35" t="n">
        <x:f>IFERROR(AB71/SUM($D71:$DS71),0)</x:f>
        <x:v>0</x:v>
      </x:c>
      <x:c r="AC72" s="35" t="n">
        <x:f>IFERROR(AC71/SUM($D71:$DS71),0)</x:f>
        <x:v>0</x:v>
      </x:c>
      <x:c r="AD72" s="35" t="n">
        <x:f>IFERROR(AD71/SUM($D71:$DS71),0)</x:f>
        <x:v>0</x:v>
      </x:c>
      <x:c r="AE72" s="35" t="n">
        <x:f>IFERROR(AE71/SUM($D71:$DS71),0)</x:f>
        <x:v>0</x:v>
      </x:c>
      <x:c r="AF72" s="35" t="n">
        <x:f>IFERROR(AF71/SUM($D71:$DS71),0)</x:f>
        <x:v>0</x:v>
      </x:c>
      <x:c r="AG72" s="35" t="n">
        <x:f>IFERROR(AG71/SUM($D71:$DS71),0)</x:f>
        <x:v>0</x:v>
      </x:c>
      <x:c r="AH72" s="35" t="n">
        <x:f>IFERROR(AH71/SUM($D71:$DS71),0)</x:f>
        <x:v>0</x:v>
      </x:c>
      <x:c r="AI72" s="35" t="n">
        <x:f>IFERROR(AI71/SUM($D71:$DS71),0)</x:f>
        <x:v>0</x:v>
      </x:c>
      <x:c r="AJ72" s="35" t="n">
        <x:f>IFERROR(AJ71/SUM($D71:$DS71),0)</x:f>
        <x:v>0</x:v>
      </x:c>
      <x:c r="AK72" s="35" t="n">
        <x:f>IFERROR(AK71/SUM($D71:$DS71),0)</x:f>
        <x:v>0</x:v>
      </x:c>
      <x:c r="AL72" s="35" t="n">
        <x:f>IFERROR(AL71/SUM($D71:$DS71),0)</x:f>
        <x:v>0</x:v>
      </x:c>
      <x:c r="AM72" s="35" t="n">
        <x:f>IFERROR(AM71/SUM($D71:$DS71),0)</x:f>
        <x:v>0</x:v>
      </x:c>
      <x:c r="AN72" s="35" t="n">
        <x:f>IFERROR(AN71/SUM($D71:$DS71),0)</x:f>
        <x:v>0</x:v>
      </x:c>
      <x:c r="AO72" s="35" t="n">
        <x:f>IFERROR(AO71/SUM($D71:$DS71),0)</x:f>
        <x:v>0</x:v>
      </x:c>
      <x:c r="AP72" s="35" t="n">
        <x:f>IFERROR(AP71/SUM($D71:$DS71),0)</x:f>
        <x:v>0</x:v>
      </x:c>
      <x:c r="AQ72" s="35" t="n">
        <x:f>IFERROR(AQ71/SUM($D71:$DS71),0)</x:f>
        <x:v>0</x:v>
      </x:c>
      <x:c r="AR72" s="35" t="n">
        <x:f>IFERROR(AR71/SUM($D71:$DS71),0)</x:f>
        <x:v>0</x:v>
      </x:c>
      <x:c r="AS72" s="35" t="n">
        <x:f>IFERROR(AS71/SUM($D71:$DS71),0)</x:f>
        <x:v>0</x:v>
      </x:c>
      <x:c r="AT72" s="35" t="n">
        <x:f>IFERROR(AT71/SUM($D71:$DS71),0)</x:f>
        <x:v>0</x:v>
      </x:c>
      <x:c r="AU72" s="35" t="n">
        <x:f>IFERROR(AU71/SUM($D71:$DS71),0)</x:f>
        <x:v>0</x:v>
      </x:c>
      <x:c r="AV72" s="35" t="n">
        <x:f>IFERROR(AV71/SUM($D71:$DS71),0)</x:f>
        <x:v>0</x:v>
      </x:c>
      <x:c r="AW72" s="35" t="n">
        <x:f>IFERROR(AW71/SUM($D71:$DS71),0)</x:f>
        <x:v>0</x:v>
      </x:c>
      <x:c r="AX72" s="35" t="n">
        <x:f>IFERROR(AX71/SUM($D71:$DS71),0)</x:f>
        <x:v>0</x:v>
      </x:c>
      <x:c r="AY72" s="35" t="n">
        <x:f>IFERROR(AY71/SUM($D71:$DS71),0)</x:f>
        <x:v>0</x:v>
      </x:c>
      <x:c r="AZ72" s="35" t="n">
        <x:f>IFERROR(AZ71/SUM($D71:$DS71),0)</x:f>
        <x:v>0</x:v>
      </x:c>
      <x:c r="BA72" s="35" t="n">
        <x:f>IFERROR(BA71/SUM($D71:$DS71),0)</x:f>
        <x:v>0</x:v>
      </x:c>
      <x:c r="BB72" s="35" t="n">
        <x:f>IFERROR(BB71/SUM($D71:$DS71),0)</x:f>
        <x:v>0</x:v>
      </x:c>
      <x:c r="BC72" s="35" t="n">
        <x:f>IFERROR(BC71/SUM($D71:$DS71),0)</x:f>
        <x:v>0</x:v>
      </x:c>
      <x:c r="BD72" s="35" t="n">
        <x:f>IFERROR(BD71/SUM($D71:$DS71),0)</x:f>
        <x:v>0</x:v>
      </x:c>
      <x:c r="BE72" s="35" t="n">
        <x:f>IFERROR(BE71/SUM($D71:$DS71),0)</x:f>
        <x:v>0</x:v>
      </x:c>
      <x:c r="BF72" s="35" t="n">
        <x:f>IFERROR(BF71/SUM($D71:$DS71),0)</x:f>
        <x:v>0</x:v>
      </x:c>
      <x:c r="BG72" s="35" t="n">
        <x:f>IFERROR(BG71/SUM($D71:$DS71),0)</x:f>
        <x:v>0</x:v>
      </x:c>
      <x:c r="BH72" s="35" t="n">
        <x:f>IFERROR(BH71/SUM($D71:$DS71),0)</x:f>
        <x:v>0</x:v>
      </x:c>
      <x:c r="BI72" s="35" t="n">
        <x:f>IFERROR(BI71/SUM($D71:$DS71),0)</x:f>
        <x:v>0</x:v>
      </x:c>
      <x:c r="BJ72" s="35" t="n">
        <x:f>IFERROR(BJ71/SUM($D71:$DS71),0)</x:f>
        <x:v>0</x:v>
      </x:c>
      <x:c r="BK72" s="35" t="n">
        <x:f>IFERROR(BK71/SUM($D71:$DS71),0)</x:f>
        <x:v>0</x:v>
      </x:c>
      <x:c r="BL72" s="35" t="n">
        <x:f>IFERROR(BL71/SUM($D71:$DS71),0)</x:f>
        <x:v>0</x:v>
      </x:c>
      <x:c r="BM72" s="35" t="n">
        <x:f>IFERROR(BM71/SUM($D71:$DS71),0)</x:f>
        <x:v>0</x:v>
      </x:c>
      <x:c r="BN72" s="35" t="n">
        <x:f>IFERROR(BN71/SUM($D71:$DS71),0)</x:f>
        <x:v>0</x:v>
      </x:c>
      <x:c r="BO72" s="35" t="n">
        <x:f>IFERROR(BO71/SUM($D71:$DS71),0)</x:f>
        <x:v>0</x:v>
      </x:c>
      <x:c r="BP72" s="35" t="n">
        <x:f>IFERROR(BP71/SUM($D71:$DS71),0)</x:f>
        <x:v>0</x:v>
      </x:c>
      <x:c r="BQ72" s="35" t="n">
        <x:f>IFERROR(BQ71/SUM($D71:$DS71),0)</x:f>
        <x:v>0</x:v>
      </x:c>
      <x:c r="BR72" s="35" t="n">
        <x:f>IFERROR(BR71/SUM($D71:$DS71),0)</x:f>
        <x:v>0</x:v>
      </x:c>
      <x:c r="BS72" s="35" t="n">
        <x:f>IFERROR(BS71/SUM($D71:$DS71),0)</x:f>
        <x:v>0</x:v>
      </x:c>
      <x:c r="BT72" s="35" t="n">
        <x:f>IFERROR(BT71/SUM($D71:$DS71),0)</x:f>
        <x:v>0</x:v>
      </x:c>
      <x:c r="BU72" s="35" t="n">
        <x:f>IFERROR(BU71/SUM($D71:$DS71),0)</x:f>
        <x:v>0</x:v>
      </x:c>
      <x:c r="BV72" s="35" t="n">
        <x:f>IFERROR(BV71/SUM($D71:$DS71),0)</x:f>
        <x:v>0</x:v>
      </x:c>
      <x:c r="BW72" s="35" t="n">
        <x:f>IFERROR(BW71/SUM($D71:$DS71),0)</x:f>
        <x:v>0</x:v>
      </x:c>
      <x:c r="BX72" s="35" t="n">
        <x:f>IFERROR(BX71/SUM($D71:$DS71),0)</x:f>
        <x:v>0</x:v>
      </x:c>
      <x:c r="BY72" s="35" t="n">
        <x:f>IFERROR(BY71/SUM($D71:$DS71),0)</x:f>
        <x:v>0</x:v>
      </x:c>
      <x:c r="BZ72" s="35" t="n">
        <x:f>IFERROR(BZ71/SUM($D71:$DS71),0)</x:f>
        <x:v>0</x:v>
      </x:c>
      <x:c r="CA72" s="35" t="n">
        <x:f>IFERROR(CA71/SUM($D71:$DS71),0)</x:f>
        <x:v>0</x:v>
      </x:c>
      <x:c r="CB72" s="35" t="n">
        <x:f>IFERROR(CB71/SUM($D71:$DS71),0)</x:f>
        <x:v>0</x:v>
      </x:c>
      <x:c r="CC72" s="35" t="n">
        <x:f>IFERROR(CC71/SUM($D71:$DS71),0)</x:f>
        <x:v>0</x:v>
      </x:c>
      <x:c r="CD72" s="35" t="n">
        <x:f>IFERROR(CD71/SUM($D71:$DS71),0)</x:f>
        <x:v>0</x:v>
      </x:c>
      <x:c r="CE72" s="35" t="n">
        <x:f>IFERROR(CE71/SUM($D71:$DS71),0)</x:f>
        <x:v>0</x:v>
      </x:c>
      <x:c r="CF72" s="35" t="n">
        <x:f>IFERROR(CF71/SUM($D71:$DS71),0)</x:f>
        <x:v>0</x:v>
      </x:c>
      <x:c r="CG72" s="35" t="n">
        <x:f>IFERROR(CG71/SUM($D71:$DS71),0)</x:f>
        <x:v>0</x:v>
      </x:c>
      <x:c r="CH72" s="35" t="n">
        <x:f>IFERROR(CH71/SUM($D71:$DS71),0)</x:f>
        <x:v>0</x:v>
      </x:c>
      <x:c r="CI72" s="35" t="n">
        <x:f>IFERROR(CI71/SUM($D71:$DS71),0)</x:f>
        <x:v>0</x:v>
      </x:c>
      <x:c r="CJ72" s="35" t="n">
        <x:f>IFERROR(CJ71/SUM($D71:$DS71),0)</x:f>
        <x:v>0</x:v>
      </x:c>
      <x:c r="CK72" s="35" t="n">
        <x:f>IFERROR(CK71/SUM($D71:$DS71),0)</x:f>
        <x:v>0</x:v>
      </x:c>
      <x:c r="CL72" s="35" t="n">
        <x:f>IFERROR(CL71/SUM($D71:$DS71),0)</x:f>
        <x:v>0</x:v>
      </x:c>
      <x:c r="CM72" s="35" t="n">
        <x:f>IFERROR(CM71/SUM($D71:$DS71),0)</x:f>
        <x:v>0</x:v>
      </x:c>
      <x:c r="CN72" s="35" t="n">
        <x:f>IFERROR(CN71/SUM($D71:$DS71),0)</x:f>
        <x:v>0</x:v>
      </x:c>
      <x:c r="CO72" s="35" t="n">
        <x:f>IFERROR(CO71/SUM($D71:$DS71),0)</x:f>
        <x:v>0</x:v>
      </x:c>
      <x:c r="CP72" s="35" t="n">
        <x:f>IFERROR(CP71/SUM($D71:$DS71),0)</x:f>
        <x:v>0</x:v>
      </x:c>
      <x:c r="CQ72" s="35" t="n">
        <x:f>IFERROR(CQ71/SUM($D71:$DS71),0)</x:f>
        <x:v>0</x:v>
      </x:c>
      <x:c r="CR72" s="35" t="n">
        <x:f>IFERROR(CR71/SUM($D71:$DS71),0)</x:f>
        <x:v>0</x:v>
      </x:c>
      <x:c r="CS72" s="35" t="n">
        <x:f>IFERROR(CS71/SUM($D71:$DS71),0)</x:f>
        <x:v>0</x:v>
      </x:c>
      <x:c r="CT72" s="35" t="n">
        <x:f>IFERROR(CT71/SUM($D71:$DS71),0)</x:f>
        <x:v>0</x:v>
      </x:c>
      <x:c r="CU72" s="35" t="n">
        <x:f>IFERROR(CU71/SUM($D71:$DS71),0)</x:f>
        <x:v>0</x:v>
      </x:c>
      <x:c r="CV72" s="35" t="n">
        <x:f>IFERROR(CV71/SUM($D71:$DS71),0)</x:f>
        <x:v>0</x:v>
      </x:c>
      <x:c r="CW72" s="35" t="n">
        <x:f>IFERROR(CW71/SUM($D71:$DS71),0)</x:f>
        <x:v>0</x:v>
      </x:c>
      <x:c r="CX72" s="35" t="n">
        <x:f>IFERROR(CX71/SUM($D71:$DS71),0)</x:f>
        <x:v>0</x:v>
      </x:c>
      <x:c r="CY72" s="35" t="n">
        <x:f>IFERROR(CY71/SUM($D71:$DS71),0)</x:f>
        <x:v>0</x:v>
      </x:c>
      <x:c r="CZ72" s="35" t="n">
        <x:f>IFERROR(CZ71/SUM($D71:$DS71),0)</x:f>
        <x:v>0</x:v>
      </x:c>
      <x:c r="DA72" s="35" t="n">
        <x:f>IFERROR(DA71/SUM($D71:$DS71),0)</x:f>
        <x:v>0</x:v>
      </x:c>
      <x:c r="DB72" s="35" t="n">
        <x:f>IFERROR(DB71/SUM($D71:$DS71),0)</x:f>
        <x:v>0</x:v>
      </x:c>
      <x:c r="DC72" s="35" t="n">
        <x:f>IFERROR(DC71/SUM($D71:$DS71),0)</x:f>
        <x:v>0</x:v>
      </x:c>
      <x:c r="DD72" s="35" t="n">
        <x:f>IFERROR(DD71/SUM($D71:$DS71),0)</x:f>
        <x:v>0</x:v>
      </x:c>
      <x:c r="DE72" s="35" t="n">
        <x:f>IFERROR(DE71/SUM($D71:$DS71),0)</x:f>
        <x:v>0</x:v>
      </x:c>
      <x:c r="DF72" s="35" t="n">
        <x:f>IFERROR(DF71/SUM($D71:$DS71),0)</x:f>
        <x:v>0</x:v>
      </x:c>
      <x:c r="DG72" s="35" t="n">
        <x:f>IFERROR(DG71/SUM($D71:$DS71),0)</x:f>
        <x:v>0</x:v>
      </x:c>
      <x:c r="DH72" s="35" t="n">
        <x:f>IFERROR(DH71/SUM($D71:$DS71),0)</x:f>
        <x:v>0</x:v>
      </x:c>
      <x:c r="DI72" s="35" t="n">
        <x:f>IFERROR(DI71/SUM($D71:$DS71),0)</x:f>
        <x:v>0</x:v>
      </x:c>
      <x:c r="DJ72" s="35" t="n">
        <x:f>IFERROR(DJ71/SUM($D71:$DS71),0)</x:f>
        <x:v>0</x:v>
      </x:c>
      <x:c r="DK72" s="35" t="n">
        <x:f>IFERROR(DK71/SUM($D71:$DS71),0)</x:f>
        <x:v>0</x:v>
      </x:c>
      <x:c r="DL72" s="35" t="n">
        <x:f>IFERROR(DL71/SUM($D71:$DS71),0)</x:f>
        <x:v>0</x:v>
      </x:c>
      <x:c r="DM72" s="35" t="n">
        <x:f>IFERROR(DM71/SUM($D71:$DS71),0)</x:f>
        <x:v>0</x:v>
      </x:c>
      <x:c r="DN72" s="35" t="n">
        <x:f>IFERROR(DN71/SUM($D71:$DS71),0)</x:f>
        <x:v>0</x:v>
      </x:c>
      <x:c r="DO72" s="35" t="n">
        <x:f>IFERROR(DO71/SUM($D71:$DS71),0)</x:f>
        <x:v>0</x:v>
      </x:c>
      <x:c r="DP72" s="35" t="n">
        <x:f>IFERROR(DP71/SUM($D71:$DS71),0)</x:f>
        <x:v>0</x:v>
      </x:c>
      <x:c r="DQ72" s="35" t="n">
        <x:f>IFERROR(DQ71/SUM($D71:$DS71),0)</x:f>
        <x:v>0</x:v>
      </x:c>
      <x:c r="DR72" s="35" t="n">
        <x:f>IFERROR(DR71/SUM($D71:$DS71),0)</x:f>
        <x:v>0</x:v>
      </x:c>
      <x:c r="DS72" s="35" t="n">
        <x:f>IFERROR(DS71/SUM($D71:$DS71),0)</x:f>
        <x:v>0</x:v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--AND(D$3&gt;=$B$67,D$3&lt;$B$66,D$3&lt;EDATE($B$67,MAX(1,'Вводные'!$K$73)),AND($B$63="Да",IFERROR(INDEX('Вводные'!$B$88:$B$90,$B$64),"Нет")="Да"))</x:f>
        <x:v>0</x:v>
      </x:c>
      <x:c r="E73" s="35" t="n">
        <x:f>--AND(E$3&gt;=$B$67,E$3&lt;$B$66,E$3&lt;EDATE($B$67,MAX(1,'Вводные'!$K$73)),AND($B$63="Да",IFERROR(INDEX('Вводные'!$B$88:$B$90,$B$64),"Нет")="Да"))</x:f>
        <x:v>0</x:v>
      </x:c>
      <x:c r="F73" s="35" t="n">
        <x:f>--AND(F$3&gt;=$B$67,F$3&lt;$B$66,F$3&lt;EDATE($B$67,MAX(1,'Вводные'!$K$73)),AND($B$63="Да",IFERROR(INDEX('Вводные'!$B$88:$B$90,$B$64),"Нет")="Да"))</x:f>
        <x:v>0</x:v>
      </x:c>
      <x:c r="G73" s="35" t="n">
        <x:f>--AND(G$3&gt;=$B$67,G$3&lt;$B$66,G$3&lt;EDATE($B$67,MAX(1,'Вводные'!$K$73)),AND($B$63="Да",IFERROR(INDEX('Вводные'!$B$88:$B$90,$B$64),"Нет")="Да"))</x:f>
        <x:v>0</x:v>
      </x:c>
      <x:c r="H73" s="35" t="n">
        <x:f>--AND(H$3&gt;=$B$67,H$3&lt;$B$66,H$3&lt;EDATE($B$67,MAX(1,'Вводные'!$K$73)),AND($B$63="Да",IFERROR(INDEX('Вводные'!$B$88:$B$90,$B$64),"Нет")="Да"))</x:f>
        <x:v>0</x:v>
      </x:c>
      <x:c r="I73" s="35" t="n">
        <x:f>--AND(I$3&gt;=$B$67,I$3&lt;$B$66,I$3&lt;EDATE($B$67,MAX(1,'Вводные'!$K$73)),AND($B$63="Да",IFERROR(INDEX('Вводные'!$B$88:$B$90,$B$64),"Нет")="Да"))</x:f>
        <x:v>0</x:v>
      </x:c>
      <x:c r="J73" s="35" t="n">
        <x:f>--AND(J$3&gt;=$B$67,J$3&lt;$B$66,J$3&lt;EDATE($B$67,MAX(1,'Вводные'!$K$73)),AND($B$63="Да",IFERROR(INDEX('Вводные'!$B$88:$B$90,$B$64),"Нет")="Да"))</x:f>
        <x:v>0</x:v>
      </x:c>
      <x:c r="K73" s="35" t="n">
        <x:f>--AND(K$3&gt;=$B$67,K$3&lt;$B$66,K$3&lt;EDATE($B$67,MAX(1,'Вводные'!$K$73)),AND($B$63="Да",IFERROR(INDEX('Вводные'!$B$88:$B$90,$B$64),"Нет")="Да"))</x:f>
        <x:v>0</x:v>
      </x:c>
      <x:c r="L73" s="35" t="n">
        <x:f>--AND(L$3&gt;=$B$67,L$3&lt;$B$66,L$3&lt;EDATE($B$67,MAX(1,'Вводные'!$K$73)),AND($B$63="Да",IFERROR(INDEX('Вводные'!$B$88:$B$90,$B$64),"Нет")="Да"))</x:f>
        <x:v>0</x:v>
      </x:c>
      <x:c r="M73" s="35" t="n">
        <x:f>--AND(M$3&gt;=$B$67,M$3&lt;$B$66,M$3&lt;EDATE($B$67,MAX(1,'Вводные'!$K$73)),AND($B$63="Да",IFERROR(INDEX('Вводные'!$B$88:$B$90,$B$64),"Нет")="Да"))</x:f>
        <x:v>0</x:v>
      </x:c>
      <x:c r="N73" s="35" t="n">
        <x:f>--AND(N$3&gt;=$B$67,N$3&lt;$B$66,N$3&lt;EDATE($B$67,MAX(1,'Вводные'!$K$73)),AND($B$63="Да",IFERROR(INDEX('Вводные'!$B$88:$B$90,$B$64),"Нет")="Да"))</x:f>
        <x:v>0</x:v>
      </x:c>
      <x:c r="O73" s="35" t="n">
        <x:f>--AND(O$3&gt;=$B$67,O$3&lt;$B$66,O$3&lt;EDATE($B$67,MAX(1,'Вводные'!$K$73)),AND($B$63="Да",IFERROR(INDEX('Вводные'!$B$88:$B$90,$B$64),"Нет")="Да"))</x:f>
        <x:v>0</x:v>
      </x:c>
      <x:c r="P73" s="35" t="n">
        <x:f>--AND(P$3&gt;=$B$67,P$3&lt;$B$66,P$3&lt;EDATE($B$67,MAX(1,'Вводные'!$K$73)),AND($B$63="Да",IFERROR(INDEX('Вводные'!$B$88:$B$90,$B$64),"Нет")="Да"))</x:f>
        <x:v>0</x:v>
      </x:c>
      <x:c r="Q73" s="35" t="n">
        <x:f>--AND(Q$3&gt;=$B$67,Q$3&lt;$B$66,Q$3&lt;EDATE($B$67,MAX(1,'Вводные'!$K$73)),AND($B$63="Да",IFERROR(INDEX('Вводные'!$B$88:$B$90,$B$64),"Нет")="Да"))</x:f>
        <x:v>0</x:v>
      </x:c>
      <x:c r="R73" s="35" t="n">
        <x:f>--AND(R$3&gt;=$B$67,R$3&lt;$B$66,R$3&lt;EDATE($B$67,MAX(1,'Вводные'!$K$73)),AND($B$63="Да",IFERROR(INDEX('Вводные'!$B$88:$B$90,$B$64),"Нет")="Да"))</x:f>
        <x:v>0</x:v>
      </x:c>
      <x:c r="S73" s="35" t="n">
        <x:f>--AND(S$3&gt;=$B$67,S$3&lt;$B$66,S$3&lt;EDATE($B$67,MAX(1,'Вводные'!$K$73)),AND($B$63="Да",IFERROR(INDEX('Вводные'!$B$88:$B$90,$B$64),"Нет")="Да"))</x:f>
        <x:v>0</x:v>
      </x:c>
      <x:c r="T73" s="35" t="n">
        <x:f>--AND(T$3&gt;=$B$67,T$3&lt;$B$66,T$3&lt;EDATE($B$67,MAX(1,'Вводные'!$K$73)),AND($B$63="Да",IFERROR(INDEX('Вводные'!$B$88:$B$90,$B$64),"Нет")="Да"))</x:f>
        <x:v>0</x:v>
      </x:c>
      <x:c r="U73" s="35" t="n">
        <x:f>--AND(U$3&gt;=$B$67,U$3&lt;$B$66,U$3&lt;EDATE($B$67,MAX(1,'Вводные'!$K$73)),AND($B$63="Да",IFERROR(INDEX('Вводные'!$B$88:$B$90,$B$64),"Нет")="Да"))</x:f>
        <x:v>0</x:v>
      </x:c>
      <x:c r="V73" s="35" t="n">
        <x:f>--AND(V$3&gt;=$B$67,V$3&lt;$B$66,V$3&lt;EDATE($B$67,MAX(1,'Вводные'!$K$73)),AND($B$63="Да",IFERROR(INDEX('Вводные'!$B$88:$B$90,$B$64),"Нет")="Да"))</x:f>
        <x:v>0</x:v>
      </x:c>
      <x:c r="W73" s="35" t="n">
        <x:f>--AND(W$3&gt;=$B$67,W$3&lt;$B$66,W$3&lt;EDATE($B$67,MAX(1,'Вводные'!$K$73)),AND($B$63="Да",IFERROR(INDEX('Вводные'!$B$88:$B$90,$B$64),"Нет")="Да"))</x:f>
        <x:v>0</x:v>
      </x:c>
      <x:c r="X73" s="35" t="n">
        <x:f>--AND(X$3&gt;=$B$67,X$3&lt;$B$66,X$3&lt;EDATE($B$67,MAX(1,'Вводные'!$K$73)),AND($B$63="Да",IFERROR(INDEX('Вводные'!$B$88:$B$90,$B$64),"Нет")="Да"))</x:f>
        <x:v>0</x:v>
      </x:c>
      <x:c r="Y73" s="35" t="n">
        <x:f>--AND(Y$3&gt;=$B$67,Y$3&lt;$B$66,Y$3&lt;EDATE($B$67,MAX(1,'Вводные'!$K$73)),AND($B$63="Да",IFERROR(INDEX('Вводные'!$B$88:$B$90,$B$64),"Нет")="Да"))</x:f>
        <x:v>0</x:v>
      </x:c>
      <x:c r="Z73" s="35" t="n">
        <x:f>--AND(Z$3&gt;=$B$67,Z$3&lt;$B$66,Z$3&lt;EDATE($B$67,MAX(1,'Вводные'!$K$73)),AND($B$63="Да",IFERROR(INDEX('Вводные'!$B$88:$B$90,$B$64),"Нет")="Да"))</x:f>
        <x:v>0</x:v>
      </x:c>
      <x:c r="AA73" s="35" t="n">
        <x:f>--AND(AA$3&gt;=$B$67,AA$3&lt;$B$66,AA$3&lt;EDATE($B$67,MAX(1,'Вводные'!$K$73)),AND($B$63="Да",IFERROR(INDEX('Вводные'!$B$88:$B$90,$B$64),"Нет")="Да"))</x:f>
        <x:v>0</x:v>
      </x:c>
      <x:c r="AB73" s="35" t="n">
        <x:f>--AND(AB$3&gt;=$B$67,AB$3&lt;$B$66,AB$3&lt;EDATE($B$67,MAX(1,'Вводные'!$K$73)),AND($B$63="Да",IFERROR(INDEX('Вводные'!$B$88:$B$90,$B$64),"Нет")="Да"))</x:f>
        <x:v>0</x:v>
      </x:c>
      <x:c r="AC73" s="35" t="n">
        <x:f>--AND(AC$3&gt;=$B$67,AC$3&lt;$B$66,AC$3&lt;EDATE($B$67,MAX(1,'Вводные'!$K$73)),AND($B$63="Да",IFERROR(INDEX('Вводные'!$B$88:$B$90,$B$64),"Нет")="Да"))</x:f>
        <x:v>0</x:v>
      </x:c>
      <x:c r="AD73" s="35" t="n">
        <x:f>--AND(AD$3&gt;=$B$67,AD$3&lt;$B$66,AD$3&lt;EDATE($B$67,MAX(1,'Вводные'!$K$73)),AND($B$63="Да",IFERROR(INDEX('Вводные'!$B$88:$B$90,$B$64),"Нет")="Да"))</x:f>
        <x:v>0</x:v>
      </x:c>
      <x:c r="AE73" s="35" t="n">
        <x:f>--AND(AE$3&gt;=$B$67,AE$3&lt;$B$66,AE$3&lt;EDATE($B$67,MAX(1,'Вводные'!$K$73)),AND($B$63="Да",IFERROR(INDEX('Вводные'!$B$88:$B$90,$B$64),"Нет")="Да"))</x:f>
        <x:v>0</x:v>
      </x:c>
      <x:c r="AF73" s="35" t="n">
        <x:f>--AND(AF$3&gt;=$B$67,AF$3&lt;$B$66,AF$3&lt;EDATE($B$67,MAX(1,'Вводные'!$K$73)),AND($B$63="Да",IFERROR(INDEX('Вводные'!$B$88:$B$90,$B$64),"Нет")="Да"))</x:f>
        <x:v>0</x:v>
      </x:c>
      <x:c r="AG73" s="35" t="n">
        <x:f>--AND(AG$3&gt;=$B$67,AG$3&lt;$B$66,AG$3&lt;EDATE($B$67,MAX(1,'Вводные'!$K$73)),AND($B$63="Да",IFERROR(INDEX('Вводные'!$B$88:$B$90,$B$64),"Нет")="Да"))</x:f>
        <x:v>0</x:v>
      </x:c>
      <x:c r="AH73" s="35" t="n">
        <x:f>--AND(AH$3&gt;=$B$67,AH$3&lt;$B$66,AH$3&lt;EDATE($B$67,MAX(1,'Вводные'!$K$73)),AND($B$63="Да",IFERROR(INDEX('Вводные'!$B$88:$B$90,$B$64),"Нет")="Да"))</x:f>
        <x:v>0</x:v>
      </x:c>
      <x:c r="AI73" s="35" t="n">
        <x:f>--AND(AI$3&gt;=$B$67,AI$3&lt;$B$66,AI$3&lt;EDATE($B$67,MAX(1,'Вводные'!$K$73)),AND($B$63="Да",IFERROR(INDEX('Вводные'!$B$88:$B$90,$B$64),"Нет")="Да"))</x:f>
        <x:v>0</x:v>
      </x:c>
      <x:c r="AJ73" s="35" t="n">
        <x:f>--AND(AJ$3&gt;=$B$67,AJ$3&lt;$B$66,AJ$3&lt;EDATE($B$67,MAX(1,'Вводные'!$K$73)),AND($B$63="Да",IFERROR(INDEX('Вводные'!$B$88:$B$90,$B$64),"Нет")="Да"))</x:f>
        <x:v>0</x:v>
      </x:c>
      <x:c r="AK73" s="35" t="n">
        <x:f>--AND(AK$3&gt;=$B$67,AK$3&lt;$B$66,AK$3&lt;EDATE($B$67,MAX(1,'Вводные'!$K$73)),AND($B$63="Да",IFERROR(INDEX('Вводные'!$B$88:$B$90,$B$64),"Нет")="Да"))</x:f>
        <x:v>0</x:v>
      </x:c>
      <x:c r="AL73" s="35" t="n">
        <x:f>--AND(AL$3&gt;=$B$67,AL$3&lt;$B$66,AL$3&lt;EDATE($B$67,MAX(1,'Вводные'!$K$73)),AND($B$63="Да",IFERROR(INDEX('Вводные'!$B$88:$B$90,$B$64),"Нет")="Да"))</x:f>
        <x:v>0</x:v>
      </x:c>
      <x:c r="AM73" s="35" t="n">
        <x:f>--AND(AM$3&gt;=$B$67,AM$3&lt;$B$66,AM$3&lt;EDATE($B$67,MAX(1,'Вводные'!$K$73)),AND($B$63="Да",IFERROR(INDEX('Вводные'!$B$88:$B$90,$B$64),"Нет")="Да"))</x:f>
        <x:v>0</x:v>
      </x:c>
      <x:c r="AN73" s="35" t="n">
        <x:f>--AND(AN$3&gt;=$B$67,AN$3&lt;$B$66,AN$3&lt;EDATE($B$67,MAX(1,'Вводные'!$K$73)),AND($B$63="Да",IFERROR(INDEX('Вводные'!$B$88:$B$90,$B$64),"Нет")="Да"))</x:f>
        <x:v>0</x:v>
      </x:c>
      <x:c r="AO73" s="35" t="n">
        <x:f>--AND(AO$3&gt;=$B$67,AO$3&lt;$B$66,AO$3&lt;EDATE($B$67,MAX(1,'Вводные'!$K$73)),AND($B$63="Да",IFERROR(INDEX('Вводные'!$B$88:$B$90,$B$64),"Нет")="Да"))</x:f>
        <x:v>0</x:v>
      </x:c>
      <x:c r="AP73" s="35" t="n">
        <x:f>--AND(AP$3&gt;=$B$67,AP$3&lt;$B$66,AP$3&lt;EDATE($B$67,MAX(1,'Вводные'!$K$73)),AND($B$63="Да",IFERROR(INDEX('Вводные'!$B$88:$B$90,$B$64),"Нет")="Да"))</x:f>
        <x:v>0</x:v>
      </x:c>
      <x:c r="AQ73" s="35" t="n">
        <x:f>--AND(AQ$3&gt;=$B$67,AQ$3&lt;$B$66,AQ$3&lt;EDATE($B$67,MAX(1,'Вводные'!$K$73)),AND($B$63="Да",IFERROR(INDEX('Вводные'!$B$88:$B$90,$B$64),"Нет")="Да"))</x:f>
        <x:v>0</x:v>
      </x:c>
      <x:c r="AR73" s="35" t="n">
        <x:f>--AND(AR$3&gt;=$B$67,AR$3&lt;$B$66,AR$3&lt;EDATE($B$67,MAX(1,'Вводные'!$K$73)),AND($B$63="Да",IFERROR(INDEX('Вводные'!$B$88:$B$90,$B$64),"Нет")="Да"))</x:f>
        <x:v>0</x:v>
      </x:c>
      <x:c r="AS73" s="35" t="n">
        <x:f>--AND(AS$3&gt;=$B$67,AS$3&lt;$B$66,AS$3&lt;EDATE($B$67,MAX(1,'Вводные'!$K$73)),AND($B$63="Да",IFERROR(INDEX('Вводные'!$B$88:$B$90,$B$64),"Нет")="Да"))</x:f>
        <x:v>0</x:v>
      </x:c>
      <x:c r="AT73" s="35" t="n">
        <x:f>--AND(AT$3&gt;=$B$67,AT$3&lt;$B$66,AT$3&lt;EDATE($B$67,MAX(1,'Вводные'!$K$73)),AND($B$63="Да",IFERROR(INDEX('Вводные'!$B$88:$B$90,$B$64),"Нет")="Да"))</x:f>
        <x:v>0</x:v>
      </x:c>
      <x:c r="AU73" s="35" t="n">
        <x:f>--AND(AU$3&gt;=$B$67,AU$3&lt;$B$66,AU$3&lt;EDATE($B$67,MAX(1,'Вводные'!$K$73)),AND($B$63="Да",IFERROR(INDEX('Вводные'!$B$88:$B$90,$B$64),"Нет")="Да"))</x:f>
        <x:v>0</x:v>
      </x:c>
      <x:c r="AV73" s="35" t="n">
        <x:f>--AND(AV$3&gt;=$B$67,AV$3&lt;$B$66,AV$3&lt;EDATE($B$67,MAX(1,'Вводные'!$K$73)),AND($B$63="Да",IFERROR(INDEX('Вводные'!$B$88:$B$90,$B$64),"Нет")="Да"))</x:f>
        <x:v>0</x:v>
      </x:c>
      <x:c r="AW73" s="35" t="n">
        <x:f>--AND(AW$3&gt;=$B$67,AW$3&lt;$B$66,AW$3&lt;EDATE($B$67,MAX(1,'Вводные'!$K$73)),AND($B$63="Да",IFERROR(INDEX('Вводные'!$B$88:$B$90,$B$64),"Нет")="Да"))</x:f>
        <x:v>0</x:v>
      </x:c>
      <x:c r="AX73" s="35" t="n">
        <x:f>--AND(AX$3&gt;=$B$67,AX$3&lt;$B$66,AX$3&lt;EDATE($B$67,MAX(1,'Вводные'!$K$73)),AND($B$63="Да",IFERROR(INDEX('Вводные'!$B$88:$B$90,$B$64),"Нет")="Да"))</x:f>
        <x:v>0</x:v>
      </x:c>
      <x:c r="AY73" s="35" t="n">
        <x:f>--AND(AY$3&gt;=$B$67,AY$3&lt;$B$66,AY$3&lt;EDATE($B$67,MAX(1,'Вводные'!$K$73)),AND($B$63="Да",IFERROR(INDEX('Вводные'!$B$88:$B$90,$B$64),"Нет")="Да"))</x:f>
        <x:v>0</x:v>
      </x:c>
      <x:c r="AZ73" s="35" t="n">
        <x:f>--AND(AZ$3&gt;=$B$67,AZ$3&lt;$B$66,AZ$3&lt;EDATE($B$67,MAX(1,'Вводные'!$K$73)),AND($B$63="Да",IFERROR(INDEX('Вводные'!$B$88:$B$90,$B$64),"Нет")="Да"))</x:f>
        <x:v>0</x:v>
      </x:c>
      <x:c r="BA73" s="35" t="n">
        <x:f>--AND(BA$3&gt;=$B$67,BA$3&lt;$B$66,BA$3&lt;EDATE($B$67,MAX(1,'Вводные'!$K$73)),AND($B$63="Да",IFERROR(INDEX('Вводные'!$B$88:$B$90,$B$64),"Нет")="Да"))</x:f>
        <x:v>0</x:v>
      </x:c>
      <x:c r="BB73" s="35" t="n">
        <x:f>--AND(BB$3&gt;=$B$67,BB$3&lt;$B$66,BB$3&lt;EDATE($B$67,MAX(1,'Вводные'!$K$73)),AND($B$63="Да",IFERROR(INDEX('Вводные'!$B$88:$B$90,$B$64),"Нет")="Да"))</x:f>
        <x:v>0</x:v>
      </x:c>
      <x:c r="BC73" s="35" t="n">
        <x:f>--AND(BC$3&gt;=$B$67,BC$3&lt;$B$66,BC$3&lt;EDATE($B$67,MAX(1,'Вводные'!$K$73)),AND($B$63="Да",IFERROR(INDEX('Вводные'!$B$88:$B$90,$B$64),"Нет")="Да"))</x:f>
        <x:v>0</x:v>
      </x:c>
      <x:c r="BD73" s="35" t="n">
        <x:f>--AND(BD$3&gt;=$B$67,BD$3&lt;$B$66,BD$3&lt;EDATE($B$67,MAX(1,'Вводные'!$K$73)),AND($B$63="Да",IFERROR(INDEX('Вводные'!$B$88:$B$90,$B$64),"Нет")="Да"))</x:f>
        <x:v>0</x:v>
      </x:c>
      <x:c r="BE73" s="35" t="n">
        <x:f>--AND(BE$3&gt;=$B$67,BE$3&lt;$B$66,BE$3&lt;EDATE($B$67,MAX(1,'Вводные'!$K$73)),AND($B$63="Да",IFERROR(INDEX('Вводные'!$B$88:$B$90,$B$64),"Нет")="Да"))</x:f>
        <x:v>0</x:v>
      </x:c>
      <x:c r="BF73" s="35" t="n">
        <x:f>--AND(BF$3&gt;=$B$67,BF$3&lt;$B$66,BF$3&lt;EDATE($B$67,MAX(1,'Вводные'!$K$73)),AND($B$63="Да",IFERROR(INDEX('Вводные'!$B$88:$B$90,$B$64),"Нет")="Да"))</x:f>
        <x:v>0</x:v>
      </x:c>
      <x:c r="BG73" s="35" t="n">
        <x:f>--AND(BG$3&gt;=$B$67,BG$3&lt;$B$66,BG$3&lt;EDATE($B$67,MAX(1,'Вводные'!$K$73)),AND($B$63="Да",IFERROR(INDEX('Вводные'!$B$88:$B$90,$B$64),"Нет")="Да"))</x:f>
        <x:v>0</x:v>
      </x:c>
      <x:c r="BH73" s="35" t="n">
        <x:f>--AND(BH$3&gt;=$B$67,BH$3&lt;$B$66,BH$3&lt;EDATE($B$67,MAX(1,'Вводные'!$K$73)),AND($B$63="Да",IFERROR(INDEX('Вводные'!$B$88:$B$90,$B$64),"Нет")="Да"))</x:f>
        <x:v>0</x:v>
      </x:c>
      <x:c r="BI73" s="35" t="n">
        <x:f>--AND(BI$3&gt;=$B$67,BI$3&lt;$B$66,BI$3&lt;EDATE($B$67,MAX(1,'Вводные'!$K$73)),AND($B$63="Да",IFERROR(INDEX('Вводные'!$B$88:$B$90,$B$64),"Нет")="Да"))</x:f>
        <x:v>0</x:v>
      </x:c>
      <x:c r="BJ73" s="35" t="n">
        <x:f>--AND(BJ$3&gt;=$B$67,BJ$3&lt;$B$66,BJ$3&lt;EDATE($B$67,MAX(1,'Вводные'!$K$73)),AND($B$63="Да",IFERROR(INDEX('Вводные'!$B$88:$B$90,$B$64),"Нет")="Да"))</x:f>
        <x:v>0</x:v>
      </x:c>
      <x:c r="BK73" s="35" t="n">
        <x:f>--AND(BK$3&gt;=$B$67,BK$3&lt;$B$66,BK$3&lt;EDATE($B$67,MAX(1,'Вводные'!$K$73)),AND($B$63="Да",IFERROR(INDEX('Вводные'!$B$88:$B$90,$B$64),"Нет")="Да"))</x:f>
        <x:v>0</x:v>
      </x:c>
      <x:c r="BL73" s="35" t="n">
        <x:f>--AND(BL$3&gt;=$B$67,BL$3&lt;$B$66,BL$3&lt;EDATE($B$67,MAX(1,'Вводные'!$K$73)),AND($B$63="Да",IFERROR(INDEX('Вводные'!$B$88:$B$90,$B$64),"Нет")="Да"))</x:f>
        <x:v>0</x:v>
      </x:c>
      <x:c r="BM73" s="35" t="n">
        <x:f>--AND(BM$3&gt;=$B$67,BM$3&lt;$B$66,BM$3&lt;EDATE($B$67,MAX(1,'Вводные'!$K$73)),AND($B$63="Да",IFERROR(INDEX('Вводные'!$B$88:$B$90,$B$64),"Нет")="Да"))</x:f>
        <x:v>0</x:v>
      </x:c>
      <x:c r="BN73" s="35" t="n">
        <x:f>--AND(BN$3&gt;=$B$67,BN$3&lt;$B$66,BN$3&lt;EDATE($B$67,MAX(1,'Вводные'!$K$73)),AND($B$63="Да",IFERROR(INDEX('Вводные'!$B$88:$B$90,$B$64),"Нет")="Да"))</x:f>
        <x:v>0</x:v>
      </x:c>
      <x:c r="BO73" s="35" t="n">
        <x:f>--AND(BO$3&gt;=$B$67,BO$3&lt;$B$66,BO$3&lt;EDATE($B$67,MAX(1,'Вводные'!$K$73)),AND($B$63="Да",IFERROR(INDEX('Вводные'!$B$88:$B$90,$B$64),"Нет")="Да"))</x:f>
        <x:v>0</x:v>
      </x:c>
      <x:c r="BP73" s="35" t="n">
        <x:f>--AND(BP$3&gt;=$B$67,BP$3&lt;$B$66,BP$3&lt;EDATE($B$67,MAX(1,'Вводные'!$K$73)),AND($B$63="Да",IFERROR(INDEX('Вводные'!$B$88:$B$90,$B$64),"Нет")="Да"))</x:f>
        <x:v>0</x:v>
      </x:c>
      <x:c r="BQ73" s="35" t="n">
        <x:f>--AND(BQ$3&gt;=$B$67,BQ$3&lt;$B$66,BQ$3&lt;EDATE($B$67,MAX(1,'Вводные'!$K$73)),AND($B$63="Да",IFERROR(INDEX('Вводные'!$B$88:$B$90,$B$64),"Нет")="Да"))</x:f>
        <x:v>0</x:v>
      </x:c>
      <x:c r="BR73" s="35" t="n">
        <x:f>--AND(BR$3&gt;=$B$67,BR$3&lt;$B$66,BR$3&lt;EDATE($B$67,MAX(1,'Вводные'!$K$73)),AND($B$63="Да",IFERROR(INDEX('Вводные'!$B$88:$B$90,$B$64),"Нет")="Да"))</x:f>
        <x:v>0</x:v>
      </x:c>
      <x:c r="BS73" s="35" t="n">
        <x:f>--AND(BS$3&gt;=$B$67,BS$3&lt;$B$66,BS$3&lt;EDATE($B$67,MAX(1,'Вводные'!$K$73)),AND($B$63="Да",IFERROR(INDEX('Вводные'!$B$88:$B$90,$B$64),"Нет")="Да"))</x:f>
        <x:v>0</x:v>
      </x:c>
      <x:c r="BT73" s="35" t="n">
        <x:f>--AND(BT$3&gt;=$B$67,BT$3&lt;$B$66,BT$3&lt;EDATE($B$67,MAX(1,'Вводные'!$K$73)),AND($B$63="Да",IFERROR(INDEX('Вводные'!$B$88:$B$90,$B$64),"Нет")="Да"))</x:f>
        <x:v>0</x:v>
      </x:c>
      <x:c r="BU73" s="35" t="n">
        <x:f>--AND(BU$3&gt;=$B$67,BU$3&lt;$B$66,BU$3&lt;EDATE($B$67,MAX(1,'Вводные'!$K$73)),AND($B$63="Да",IFERROR(INDEX('Вводные'!$B$88:$B$90,$B$64),"Нет")="Да"))</x:f>
        <x:v>0</x:v>
      </x:c>
      <x:c r="BV73" s="35" t="n">
        <x:f>--AND(BV$3&gt;=$B$67,BV$3&lt;$B$66,BV$3&lt;EDATE($B$67,MAX(1,'Вводные'!$K$73)),AND($B$63="Да",IFERROR(INDEX('Вводные'!$B$88:$B$90,$B$64),"Нет")="Да"))</x:f>
        <x:v>0</x:v>
      </x:c>
      <x:c r="BW73" s="35" t="n">
        <x:f>--AND(BW$3&gt;=$B$67,BW$3&lt;$B$66,BW$3&lt;EDATE($B$67,MAX(1,'Вводные'!$K$73)),AND($B$63="Да",IFERROR(INDEX('Вводные'!$B$88:$B$90,$B$64),"Нет")="Да"))</x:f>
        <x:v>0</x:v>
      </x:c>
      <x:c r="BX73" s="35" t="n">
        <x:f>--AND(BX$3&gt;=$B$67,BX$3&lt;$B$66,BX$3&lt;EDATE($B$67,MAX(1,'Вводные'!$K$73)),AND($B$63="Да",IFERROR(INDEX('Вводные'!$B$88:$B$90,$B$64),"Нет")="Да"))</x:f>
        <x:v>0</x:v>
      </x:c>
      <x:c r="BY73" s="35" t="n">
        <x:f>--AND(BY$3&gt;=$B$67,BY$3&lt;$B$66,BY$3&lt;EDATE($B$67,MAX(1,'Вводные'!$K$73)),AND($B$63="Да",IFERROR(INDEX('Вводные'!$B$88:$B$90,$B$64),"Нет")="Да"))</x:f>
        <x:v>0</x:v>
      </x:c>
      <x:c r="BZ73" s="35" t="n">
        <x:f>--AND(BZ$3&gt;=$B$67,BZ$3&lt;$B$66,BZ$3&lt;EDATE($B$67,MAX(1,'Вводные'!$K$73)),AND($B$63="Да",IFERROR(INDEX('Вводные'!$B$88:$B$90,$B$64),"Нет")="Да"))</x:f>
        <x:v>0</x:v>
      </x:c>
      <x:c r="CA73" s="35" t="n">
        <x:f>--AND(CA$3&gt;=$B$67,CA$3&lt;$B$66,CA$3&lt;EDATE($B$67,MAX(1,'Вводные'!$K$73)),AND($B$63="Да",IFERROR(INDEX('Вводные'!$B$88:$B$90,$B$64),"Нет")="Да"))</x:f>
        <x:v>0</x:v>
      </x:c>
      <x:c r="CB73" s="35" t="n">
        <x:f>--AND(CB$3&gt;=$B$67,CB$3&lt;$B$66,CB$3&lt;EDATE($B$67,MAX(1,'Вводные'!$K$73)),AND($B$63="Да",IFERROR(INDEX('Вводные'!$B$88:$B$90,$B$64),"Нет")="Да"))</x:f>
        <x:v>0</x:v>
      </x:c>
      <x:c r="CC73" s="35" t="n">
        <x:f>--AND(CC$3&gt;=$B$67,CC$3&lt;$B$66,CC$3&lt;EDATE($B$67,MAX(1,'Вводные'!$K$73)),AND($B$63="Да",IFERROR(INDEX('Вводные'!$B$88:$B$90,$B$64),"Нет")="Да"))</x:f>
        <x:v>0</x:v>
      </x:c>
      <x:c r="CD73" s="35" t="n">
        <x:f>--AND(CD$3&gt;=$B$67,CD$3&lt;$B$66,CD$3&lt;EDATE($B$67,MAX(1,'Вводные'!$K$73)),AND($B$63="Да",IFERROR(INDEX('Вводные'!$B$88:$B$90,$B$64),"Нет")="Да"))</x:f>
        <x:v>0</x:v>
      </x:c>
      <x:c r="CE73" s="35" t="n">
        <x:f>--AND(CE$3&gt;=$B$67,CE$3&lt;$B$66,CE$3&lt;EDATE($B$67,MAX(1,'Вводные'!$K$73)),AND($B$63="Да",IFERROR(INDEX('Вводные'!$B$88:$B$90,$B$64),"Нет")="Да"))</x:f>
        <x:v>0</x:v>
      </x:c>
      <x:c r="CF73" s="35" t="n">
        <x:f>--AND(CF$3&gt;=$B$67,CF$3&lt;$B$66,CF$3&lt;EDATE($B$67,MAX(1,'Вводные'!$K$73)),AND($B$63="Да",IFERROR(INDEX('Вводные'!$B$88:$B$90,$B$64),"Нет")="Да"))</x:f>
        <x:v>0</x:v>
      </x:c>
      <x:c r="CG73" s="35" t="n">
        <x:f>--AND(CG$3&gt;=$B$67,CG$3&lt;$B$66,CG$3&lt;EDATE($B$67,MAX(1,'Вводные'!$K$73)),AND($B$63="Да",IFERROR(INDEX('Вводные'!$B$88:$B$90,$B$64),"Нет")="Да"))</x:f>
        <x:v>0</x:v>
      </x:c>
      <x:c r="CH73" s="35" t="n">
        <x:f>--AND(CH$3&gt;=$B$67,CH$3&lt;$B$66,CH$3&lt;EDATE($B$67,MAX(1,'Вводные'!$K$73)),AND($B$63="Да",IFERROR(INDEX('Вводные'!$B$88:$B$90,$B$64),"Нет")="Да"))</x:f>
        <x:v>0</x:v>
      </x:c>
      <x:c r="CI73" s="35" t="n">
        <x:f>--AND(CI$3&gt;=$B$67,CI$3&lt;$B$66,CI$3&lt;EDATE($B$67,MAX(1,'Вводные'!$K$73)),AND($B$63="Да",IFERROR(INDEX('Вводные'!$B$88:$B$90,$B$64),"Нет")="Да"))</x:f>
        <x:v>0</x:v>
      </x:c>
      <x:c r="CJ73" s="35" t="n">
        <x:f>--AND(CJ$3&gt;=$B$67,CJ$3&lt;$B$66,CJ$3&lt;EDATE($B$67,MAX(1,'Вводные'!$K$73)),AND($B$63="Да",IFERROR(INDEX('Вводные'!$B$88:$B$90,$B$64),"Нет")="Да"))</x:f>
        <x:v>0</x:v>
      </x:c>
      <x:c r="CK73" s="35" t="n">
        <x:f>--AND(CK$3&gt;=$B$67,CK$3&lt;$B$66,CK$3&lt;EDATE($B$67,MAX(1,'Вводные'!$K$73)),AND($B$63="Да",IFERROR(INDEX('Вводные'!$B$88:$B$90,$B$64),"Нет")="Да"))</x:f>
        <x:v>0</x:v>
      </x:c>
      <x:c r="CL73" s="35" t="n">
        <x:f>--AND(CL$3&gt;=$B$67,CL$3&lt;$B$66,CL$3&lt;EDATE($B$67,MAX(1,'Вводные'!$K$73)),AND($B$63="Да",IFERROR(INDEX('Вводные'!$B$88:$B$90,$B$64),"Нет")="Да"))</x:f>
        <x:v>0</x:v>
      </x:c>
      <x:c r="CM73" s="35" t="n">
        <x:f>--AND(CM$3&gt;=$B$67,CM$3&lt;$B$66,CM$3&lt;EDATE($B$67,MAX(1,'Вводные'!$K$73)),AND($B$63="Да",IFERROR(INDEX('Вводные'!$B$88:$B$90,$B$64),"Нет")="Да"))</x:f>
        <x:v>0</x:v>
      </x:c>
      <x:c r="CN73" s="35" t="n">
        <x:f>--AND(CN$3&gt;=$B$67,CN$3&lt;$B$66,CN$3&lt;EDATE($B$67,MAX(1,'Вводные'!$K$73)),AND($B$63="Да",IFERROR(INDEX('Вводные'!$B$88:$B$90,$B$64),"Нет")="Да"))</x:f>
        <x:v>0</x:v>
      </x:c>
      <x:c r="CO73" s="35" t="n">
        <x:f>--AND(CO$3&gt;=$B$67,CO$3&lt;$B$66,CO$3&lt;EDATE($B$67,MAX(1,'Вводные'!$K$73)),AND($B$63="Да",IFERROR(INDEX('Вводные'!$B$88:$B$90,$B$64),"Нет")="Да"))</x:f>
        <x:v>0</x:v>
      </x:c>
      <x:c r="CP73" s="35" t="n">
        <x:f>--AND(CP$3&gt;=$B$67,CP$3&lt;$B$66,CP$3&lt;EDATE($B$67,MAX(1,'Вводные'!$K$73)),AND($B$63="Да",IFERROR(INDEX('Вводные'!$B$88:$B$90,$B$64),"Нет")="Да"))</x:f>
        <x:v>0</x:v>
      </x:c>
      <x:c r="CQ73" s="35" t="n">
        <x:f>--AND(CQ$3&gt;=$B$67,CQ$3&lt;$B$66,CQ$3&lt;EDATE($B$67,MAX(1,'Вводные'!$K$73)),AND($B$63="Да",IFERROR(INDEX('Вводные'!$B$88:$B$90,$B$64),"Нет")="Да"))</x:f>
        <x:v>0</x:v>
      </x:c>
      <x:c r="CR73" s="35" t="n">
        <x:f>--AND(CR$3&gt;=$B$67,CR$3&lt;$B$66,CR$3&lt;EDATE($B$67,MAX(1,'Вводные'!$K$73)),AND($B$63="Да",IFERROR(INDEX('Вводные'!$B$88:$B$90,$B$64),"Нет")="Да"))</x:f>
        <x:v>0</x:v>
      </x:c>
      <x:c r="CS73" s="35" t="n">
        <x:f>--AND(CS$3&gt;=$B$67,CS$3&lt;$B$66,CS$3&lt;EDATE($B$67,MAX(1,'Вводные'!$K$73)),AND($B$63="Да",IFERROR(INDEX('Вводные'!$B$88:$B$90,$B$64),"Нет")="Да"))</x:f>
        <x:v>0</x:v>
      </x:c>
      <x:c r="CT73" s="35" t="n">
        <x:f>--AND(CT$3&gt;=$B$67,CT$3&lt;$B$66,CT$3&lt;EDATE($B$67,MAX(1,'Вводные'!$K$73)),AND($B$63="Да",IFERROR(INDEX('Вводные'!$B$88:$B$90,$B$64),"Нет")="Да"))</x:f>
        <x:v>0</x:v>
      </x:c>
      <x:c r="CU73" s="35" t="n">
        <x:f>--AND(CU$3&gt;=$B$67,CU$3&lt;$B$66,CU$3&lt;EDATE($B$67,MAX(1,'Вводные'!$K$73)),AND($B$63="Да",IFERROR(INDEX('Вводные'!$B$88:$B$90,$B$64),"Нет")="Да"))</x:f>
        <x:v>0</x:v>
      </x:c>
      <x:c r="CV73" s="35" t="n">
        <x:f>--AND(CV$3&gt;=$B$67,CV$3&lt;$B$66,CV$3&lt;EDATE($B$67,MAX(1,'Вводные'!$K$73)),AND($B$63="Да",IFERROR(INDEX('Вводные'!$B$88:$B$90,$B$64),"Нет")="Да"))</x:f>
        <x:v>0</x:v>
      </x:c>
      <x:c r="CW73" s="35" t="n">
        <x:f>--AND(CW$3&gt;=$B$67,CW$3&lt;$B$66,CW$3&lt;EDATE($B$67,MAX(1,'Вводные'!$K$73)),AND($B$63="Да",IFERROR(INDEX('Вводные'!$B$88:$B$90,$B$64),"Нет")="Да"))</x:f>
        <x:v>0</x:v>
      </x:c>
      <x:c r="CX73" s="35" t="n">
        <x:f>--AND(CX$3&gt;=$B$67,CX$3&lt;$B$66,CX$3&lt;EDATE($B$67,MAX(1,'Вводные'!$K$73)),AND($B$63="Да",IFERROR(INDEX('Вводные'!$B$88:$B$90,$B$64),"Нет")="Да"))</x:f>
        <x:v>0</x:v>
      </x:c>
      <x:c r="CY73" s="35" t="n">
        <x:f>--AND(CY$3&gt;=$B$67,CY$3&lt;$B$66,CY$3&lt;EDATE($B$67,MAX(1,'Вводные'!$K$73)),AND($B$63="Да",IFERROR(INDEX('Вводные'!$B$88:$B$90,$B$64),"Нет")="Да"))</x:f>
        <x:v>0</x:v>
      </x:c>
      <x:c r="CZ73" s="35" t="n">
        <x:f>--AND(CZ$3&gt;=$B$67,CZ$3&lt;$B$66,CZ$3&lt;EDATE($B$67,MAX(1,'Вводные'!$K$73)),AND($B$63="Да",IFERROR(INDEX('Вводные'!$B$88:$B$90,$B$64),"Нет")="Да"))</x:f>
        <x:v>0</x:v>
      </x:c>
      <x:c r="DA73" s="35" t="n">
        <x:f>--AND(DA$3&gt;=$B$67,DA$3&lt;$B$66,DA$3&lt;EDATE($B$67,MAX(1,'Вводные'!$K$73)),AND($B$63="Да",IFERROR(INDEX('Вводные'!$B$88:$B$90,$B$64),"Нет")="Да"))</x:f>
        <x:v>0</x:v>
      </x:c>
      <x:c r="DB73" s="35" t="n">
        <x:f>--AND(DB$3&gt;=$B$67,DB$3&lt;$B$66,DB$3&lt;EDATE($B$67,MAX(1,'Вводные'!$K$73)),AND($B$63="Да",IFERROR(INDEX('Вводные'!$B$88:$B$90,$B$64),"Нет")="Да"))</x:f>
        <x:v>0</x:v>
      </x:c>
      <x:c r="DC73" s="35" t="n">
        <x:f>--AND(DC$3&gt;=$B$67,DC$3&lt;$B$66,DC$3&lt;EDATE($B$67,MAX(1,'Вводные'!$K$73)),AND($B$63="Да",IFERROR(INDEX('Вводные'!$B$88:$B$90,$B$64),"Нет")="Да"))</x:f>
        <x:v>0</x:v>
      </x:c>
      <x:c r="DD73" s="35" t="n">
        <x:f>--AND(DD$3&gt;=$B$67,DD$3&lt;$B$66,DD$3&lt;EDATE($B$67,MAX(1,'Вводные'!$K$73)),AND($B$63="Да",IFERROR(INDEX('Вводные'!$B$88:$B$90,$B$64),"Нет")="Да"))</x:f>
        <x:v>0</x:v>
      </x:c>
      <x:c r="DE73" s="35" t="n">
        <x:f>--AND(DE$3&gt;=$B$67,DE$3&lt;$B$66,DE$3&lt;EDATE($B$67,MAX(1,'Вводные'!$K$73)),AND($B$63="Да",IFERROR(INDEX('Вводные'!$B$88:$B$90,$B$64),"Нет")="Да"))</x:f>
        <x:v>0</x:v>
      </x:c>
      <x:c r="DF73" s="35" t="n">
        <x:f>--AND(DF$3&gt;=$B$67,DF$3&lt;$B$66,DF$3&lt;EDATE($B$67,MAX(1,'Вводные'!$K$73)),AND($B$63="Да",IFERROR(INDEX('Вводные'!$B$88:$B$90,$B$64),"Нет")="Да"))</x:f>
        <x:v>0</x:v>
      </x:c>
      <x:c r="DG73" s="35" t="n">
        <x:f>--AND(DG$3&gt;=$B$67,DG$3&lt;$B$66,DG$3&lt;EDATE($B$67,MAX(1,'Вводные'!$K$73)),AND($B$63="Да",IFERROR(INDEX('Вводные'!$B$88:$B$90,$B$64),"Нет")="Да"))</x:f>
        <x:v>0</x:v>
      </x:c>
      <x:c r="DH73" s="35" t="n">
        <x:f>--AND(DH$3&gt;=$B$67,DH$3&lt;$B$66,DH$3&lt;EDATE($B$67,MAX(1,'Вводные'!$K$73)),AND($B$63="Да",IFERROR(INDEX('Вводные'!$B$88:$B$90,$B$64),"Нет")="Да"))</x:f>
        <x:v>0</x:v>
      </x:c>
      <x:c r="DI73" s="35" t="n">
        <x:f>--AND(DI$3&gt;=$B$67,DI$3&lt;$B$66,DI$3&lt;EDATE($B$67,MAX(1,'Вводные'!$K$73)),AND($B$63="Да",IFERROR(INDEX('Вводные'!$B$88:$B$90,$B$64),"Нет")="Да"))</x:f>
        <x:v>0</x:v>
      </x:c>
      <x:c r="DJ73" s="35" t="n">
        <x:f>--AND(DJ$3&gt;=$B$67,DJ$3&lt;$B$66,DJ$3&lt;EDATE($B$67,MAX(1,'Вводные'!$K$73)),AND($B$63="Да",IFERROR(INDEX('Вводные'!$B$88:$B$90,$B$64),"Нет")="Да"))</x:f>
        <x:v>0</x:v>
      </x:c>
      <x:c r="DK73" s="35" t="n">
        <x:f>--AND(DK$3&gt;=$B$67,DK$3&lt;$B$66,DK$3&lt;EDATE($B$67,MAX(1,'Вводные'!$K$73)),AND($B$63="Да",IFERROR(INDEX('Вводные'!$B$88:$B$90,$B$64),"Нет")="Да"))</x:f>
        <x:v>0</x:v>
      </x:c>
      <x:c r="DL73" s="35" t="n">
        <x:f>--AND(DL$3&gt;=$B$67,DL$3&lt;$B$66,DL$3&lt;EDATE($B$67,MAX(1,'Вводные'!$K$73)),AND($B$63="Да",IFERROR(INDEX('Вводные'!$B$88:$B$90,$B$64),"Нет")="Да"))</x:f>
        <x:v>0</x:v>
      </x:c>
      <x:c r="DM73" s="35" t="n">
        <x:f>--AND(DM$3&gt;=$B$67,DM$3&lt;$B$66,DM$3&lt;EDATE($B$67,MAX(1,'Вводные'!$K$73)),AND($B$63="Да",IFERROR(INDEX('Вводные'!$B$88:$B$90,$B$64),"Нет")="Да"))</x:f>
        <x:v>0</x:v>
      </x:c>
      <x:c r="DN73" s="35" t="n">
        <x:f>--AND(DN$3&gt;=$B$67,DN$3&lt;$B$66,DN$3&lt;EDATE($B$67,MAX(1,'Вводные'!$K$73)),AND($B$63="Да",IFERROR(INDEX('Вводные'!$B$88:$B$90,$B$64),"Нет")="Да"))</x:f>
        <x:v>0</x:v>
      </x:c>
      <x:c r="DO73" s="35" t="n">
        <x:f>--AND(DO$3&gt;=$B$67,DO$3&lt;$B$66,DO$3&lt;EDATE($B$67,MAX(1,'Вводные'!$K$73)),AND($B$63="Да",IFERROR(INDEX('Вводные'!$B$88:$B$90,$B$64),"Нет")="Да"))</x:f>
        <x:v>0</x:v>
      </x:c>
      <x:c r="DP73" s="35" t="n">
        <x:f>--AND(DP$3&gt;=$B$67,DP$3&lt;$B$66,DP$3&lt;EDATE($B$67,MAX(1,'Вводные'!$K$73)),AND($B$63="Да",IFERROR(INDEX('Вводные'!$B$88:$B$90,$B$64),"Нет")="Да"))</x:f>
        <x:v>0</x:v>
      </x:c>
      <x:c r="DQ73" s="35" t="n">
        <x:f>--AND(DQ$3&gt;=$B$67,DQ$3&lt;$B$66,DQ$3&lt;EDATE($B$67,MAX(1,'Вводные'!$K$73)),AND($B$63="Да",IFERROR(INDEX('Вводные'!$B$88:$B$90,$B$64),"Нет")="Да"))</x:f>
        <x:v>0</x:v>
      </x:c>
      <x:c r="DR73" s="35" t="n">
        <x:f>--AND(DR$3&gt;=$B$67,DR$3&lt;$B$66,DR$3&lt;EDATE($B$67,MAX(1,'Вводные'!$K$73)),AND($B$63="Да",IFERROR(INDEX('Вводные'!$B$88:$B$90,$B$64),"Нет")="Да"))</x:f>
        <x:v>0</x:v>
      </x:c>
      <x:c r="DS73" s="35" t="n">
        <x:f>--AND(DS$3&gt;=$B$67,DS$3&lt;$B$66,DS$3&lt;EDATE($B$67,MAX(1,'Вводные'!$K$73)),AND($B$63="Да",IFERROR(INDEX('Вводные'!$B$88:$B$90,$B$64),"Нет")="Да"))</x:f>
        <x:v>0</x:v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$90,$B$64),"Нет")="Да")),(1+INDEX('Вводные'!$AD$88:$AD$90,$B$64)*'Вводные'!$H$7)^MAX(0,(12*(YEAR(D$3)-YEAR($B$67))+MONTH(D$3)-MONTH($B$67)))*(1+IF(MONTH(D$3)=1,'Вводные'!$B$67,IF(AND(MONTH(D$3)&gt;=5,MONTH(D$3)&lt;=8),'Вводные'!$B$70,0))),0)</x:f>
        <x:v>0</x:v>
      </x:c>
      <x:c r="E74" s="35" t="n">
        <x:f>IF(AND(E$3&gt;=$B$67,E$3&lt;EDATE($B$67,MAX(1,'Вводные'!$K$73)),AND($B$63="Да",IFERROR(INDEX('Вводные'!$B$88:$B$90,$B$64),"Нет")="Да")),(1+INDEX('Вводные'!$AD$88:$AD$90,$B$64)*'Вводные'!$H$7)^MAX(0,(12*(YEAR(E$3)-YEAR($B$67))+MONTH(E$3)-MONTH($B$67)))*(1+IF(MONTH(E$3)=1,'Вводные'!$B$67,IF(AND(MONTH(E$3)&gt;=5,MONTH(E$3)&lt;=8),'Вводные'!$B$70,0))),0)</x:f>
        <x:v>0</x:v>
      </x:c>
      <x:c r="F74" s="35" t="n">
        <x:f>IF(AND(F$3&gt;=$B$67,F$3&lt;EDATE($B$67,MAX(1,'Вводные'!$K$73)),AND($B$63="Да",IFERROR(INDEX('Вводные'!$B$88:$B$90,$B$64),"Нет")="Да")),(1+INDEX('Вводные'!$AD$88:$AD$90,$B$64)*'Вводные'!$H$7)^MAX(0,(12*(YEAR(F$3)-YEAR($B$67))+MONTH(F$3)-MONTH($B$67)))*(1+IF(MONTH(F$3)=1,'Вводные'!$B$67,IF(AND(MONTH(F$3)&gt;=5,MONTH(F$3)&lt;=8),'Вводные'!$B$70,0))),0)</x:f>
        <x:v>0</x:v>
      </x:c>
      <x:c r="G74" s="35" t="n">
        <x:f>IF(AND(G$3&gt;=$B$67,G$3&lt;EDATE($B$67,MAX(1,'Вводные'!$K$73)),AND($B$63="Да",IFERROR(INDEX('Вводные'!$B$88:$B$90,$B$64),"Нет")="Да")),(1+INDEX('Вводные'!$AD$88:$AD$90,$B$64)*'Вводные'!$H$7)^MAX(0,(12*(YEAR(G$3)-YEAR($B$67))+MONTH(G$3)-MONTH($B$67)))*(1+IF(MONTH(G$3)=1,'Вводные'!$B$67,IF(AND(MONTH(G$3)&gt;=5,MONTH(G$3)&lt;=8),'Вводные'!$B$70,0))),0)</x:f>
        <x:v>0</x:v>
      </x:c>
      <x:c r="H74" s="35" t="n">
        <x:f>IF(AND(H$3&gt;=$B$67,H$3&lt;EDATE($B$67,MAX(1,'Вводные'!$K$73)),AND($B$63="Да",IFERROR(INDEX('Вводные'!$B$88:$B$90,$B$64),"Нет")="Да")),(1+INDEX('Вводные'!$AD$88:$AD$90,$B$64)*'Вводные'!$H$7)^MAX(0,(12*(YEAR(H$3)-YEAR($B$67))+MONTH(H$3)-MONTH($B$67)))*(1+IF(MONTH(H$3)=1,'Вводные'!$B$67,IF(AND(MONTH(H$3)&gt;=5,MONTH(H$3)&lt;=8),'Вводные'!$B$70,0))),0)</x:f>
        <x:v>0</x:v>
      </x:c>
      <x:c r="I74" s="35" t="n">
        <x:f>IF(AND(I$3&gt;=$B$67,I$3&lt;EDATE($B$67,MAX(1,'Вводные'!$K$73)),AND($B$63="Да",IFERROR(INDEX('Вводные'!$B$88:$B$90,$B$64),"Нет")="Да")),(1+INDEX('Вводные'!$AD$88:$AD$90,$B$64)*'Вводные'!$H$7)^MAX(0,(12*(YEAR(I$3)-YEAR($B$67))+MONTH(I$3)-MONTH($B$67)))*(1+IF(MONTH(I$3)=1,'Вводные'!$B$67,IF(AND(MONTH(I$3)&gt;=5,MONTH(I$3)&lt;=8),'Вводные'!$B$70,0))),0)</x:f>
        <x:v>0</x:v>
      </x:c>
      <x:c r="J74" s="35" t="n">
        <x:f>IF(AND(J$3&gt;=$B$67,J$3&lt;EDATE($B$67,MAX(1,'Вводные'!$K$73)),AND($B$63="Да",IFERROR(INDEX('Вводные'!$B$88:$B$90,$B$64),"Нет")="Да")),(1+INDEX('Вводные'!$AD$88:$AD$90,$B$64)*'Вводные'!$H$7)^MAX(0,(12*(YEAR(J$3)-YEAR($B$67))+MONTH(J$3)-MONTH($B$67)))*(1+IF(MONTH(J$3)=1,'Вводные'!$B$67,IF(AND(MONTH(J$3)&gt;=5,MONTH(J$3)&lt;=8),'Вводные'!$B$70,0))),0)</x:f>
        <x:v>0</x:v>
      </x:c>
      <x:c r="K74" s="35" t="n">
        <x:f>IF(AND(K$3&gt;=$B$67,K$3&lt;EDATE($B$67,MAX(1,'Вводные'!$K$73)),AND($B$63="Да",IFERROR(INDEX('Вводные'!$B$88:$B$90,$B$64),"Нет")="Да")),(1+INDEX('Вводные'!$AD$88:$AD$90,$B$64)*'Вводные'!$H$7)^MAX(0,(12*(YEAR(K$3)-YEAR($B$67))+MONTH(K$3)-MONTH($B$67)))*(1+IF(MONTH(K$3)=1,'Вводные'!$B$67,IF(AND(MONTH(K$3)&gt;=5,MONTH(K$3)&lt;=8),'Вводные'!$B$70,0))),0)</x:f>
        <x:v>0</x:v>
      </x:c>
      <x:c r="L74" s="35" t="n">
        <x:f>IF(AND(L$3&gt;=$B$67,L$3&lt;EDATE($B$67,MAX(1,'Вводные'!$K$73)),AND($B$63="Да",IFERROR(INDEX('Вводные'!$B$88:$B$90,$B$64),"Нет")="Да")),(1+INDEX('Вводные'!$AD$88:$AD$90,$B$64)*'Вводные'!$H$7)^MAX(0,(12*(YEAR(L$3)-YEAR($B$67))+MONTH(L$3)-MONTH($B$67)))*(1+IF(MONTH(L$3)=1,'Вводные'!$B$67,IF(AND(MONTH(L$3)&gt;=5,MONTH(L$3)&lt;=8),'Вводные'!$B$70,0))),0)</x:f>
        <x:v>0</x:v>
      </x:c>
      <x:c r="M74" s="35" t="n">
        <x:f>IF(AND(M$3&gt;=$B$67,M$3&lt;EDATE($B$67,MAX(1,'Вводные'!$K$73)),AND($B$63="Да",IFERROR(INDEX('Вводные'!$B$88:$B$90,$B$64),"Нет")="Да")),(1+INDEX('Вводные'!$AD$88:$AD$90,$B$64)*'Вводные'!$H$7)^MAX(0,(12*(YEAR(M$3)-YEAR($B$67))+MONTH(M$3)-MONTH($B$67)))*(1+IF(MONTH(M$3)=1,'Вводные'!$B$67,IF(AND(MONTH(M$3)&gt;=5,MONTH(M$3)&lt;=8),'Вводные'!$B$70,0))),0)</x:f>
        <x:v>0</x:v>
      </x:c>
      <x:c r="N74" s="35" t="n">
        <x:f>IF(AND(N$3&gt;=$B$67,N$3&lt;EDATE($B$67,MAX(1,'Вводные'!$K$73)),AND($B$63="Да",IFERROR(INDEX('Вводные'!$B$88:$B$90,$B$64),"Нет")="Да")),(1+INDEX('Вводные'!$AD$88:$AD$90,$B$64)*'Вводные'!$H$7)^MAX(0,(12*(YEAR(N$3)-YEAR($B$67))+MONTH(N$3)-MONTH($B$67)))*(1+IF(MONTH(N$3)=1,'Вводные'!$B$67,IF(AND(MONTH(N$3)&gt;=5,MONTH(N$3)&lt;=8),'Вводные'!$B$70,0))),0)</x:f>
        <x:v>0</x:v>
      </x:c>
      <x:c r="O74" s="35" t="n">
        <x:f>IF(AND(O$3&gt;=$B$67,O$3&lt;EDATE($B$67,MAX(1,'Вводные'!$K$73)),AND($B$63="Да",IFERROR(INDEX('Вводные'!$B$88:$B$90,$B$64),"Нет")="Да")),(1+INDEX('Вводные'!$AD$88:$AD$90,$B$64)*'Вводные'!$H$7)^MAX(0,(12*(YEAR(O$3)-YEAR($B$67))+MONTH(O$3)-MONTH($B$67)))*(1+IF(MONTH(O$3)=1,'Вводные'!$B$67,IF(AND(MONTH(O$3)&gt;=5,MONTH(O$3)&lt;=8),'Вводные'!$B$70,0))),0)</x:f>
        <x:v>0</x:v>
      </x:c>
      <x:c r="P74" s="35" t="n">
        <x:f>IF(AND(P$3&gt;=$B$67,P$3&lt;EDATE($B$67,MAX(1,'Вводные'!$K$73)),AND($B$63="Да",IFERROR(INDEX('Вводные'!$B$88:$B$90,$B$64),"Нет")="Да")),(1+INDEX('Вводные'!$AD$88:$AD$90,$B$64)*'Вводные'!$H$7)^MAX(0,(12*(YEAR(P$3)-YEAR($B$67))+MONTH(P$3)-MONTH($B$67)))*(1+IF(MONTH(P$3)=1,'Вводные'!$B$67,IF(AND(MONTH(P$3)&gt;=5,MONTH(P$3)&lt;=8),'Вводные'!$B$70,0))),0)</x:f>
        <x:v>0</x:v>
      </x:c>
      <x:c r="Q74" s="35" t="n">
        <x:f>IF(AND(Q$3&gt;=$B$67,Q$3&lt;EDATE($B$67,MAX(1,'Вводные'!$K$73)),AND($B$63="Да",IFERROR(INDEX('Вводные'!$B$88:$B$90,$B$64),"Нет")="Да")),(1+INDEX('Вводные'!$AD$88:$AD$90,$B$64)*'Вводные'!$H$7)^MAX(0,(12*(YEAR(Q$3)-YEAR($B$67))+MONTH(Q$3)-MONTH($B$67)))*(1+IF(MONTH(Q$3)=1,'Вводные'!$B$67,IF(AND(MONTH(Q$3)&gt;=5,MONTH(Q$3)&lt;=8),'Вводные'!$B$70,0))),0)</x:f>
        <x:v>0</x:v>
      </x:c>
      <x:c r="R74" s="35" t="n">
        <x:f>IF(AND(R$3&gt;=$B$67,R$3&lt;EDATE($B$67,MAX(1,'Вводные'!$K$73)),AND($B$63="Да",IFERROR(INDEX('Вводные'!$B$88:$B$90,$B$64),"Нет")="Да")),(1+INDEX('Вводные'!$AD$88:$AD$90,$B$64)*'Вводные'!$H$7)^MAX(0,(12*(YEAR(R$3)-YEAR($B$67))+MONTH(R$3)-MONTH($B$67)))*(1+IF(MONTH(R$3)=1,'Вводные'!$B$67,IF(AND(MONTH(R$3)&gt;=5,MONTH(R$3)&lt;=8),'Вводные'!$B$70,0))),0)</x:f>
        <x:v>0</x:v>
      </x:c>
      <x:c r="S74" s="35" t="n">
        <x:f>IF(AND(S$3&gt;=$B$67,S$3&lt;EDATE($B$67,MAX(1,'Вводные'!$K$73)),AND($B$63="Да",IFERROR(INDEX('Вводные'!$B$88:$B$90,$B$64),"Нет")="Да")),(1+INDEX('Вводные'!$AD$88:$AD$90,$B$64)*'Вводные'!$H$7)^MAX(0,(12*(YEAR(S$3)-YEAR($B$67))+MONTH(S$3)-MONTH($B$67)))*(1+IF(MONTH(S$3)=1,'Вводные'!$B$67,IF(AND(MONTH(S$3)&gt;=5,MONTH(S$3)&lt;=8),'Вводные'!$B$70,0))),0)</x:f>
        <x:v>0</x:v>
      </x:c>
      <x:c r="T74" s="35" t="n">
        <x:f>IF(AND(T$3&gt;=$B$67,T$3&lt;EDATE($B$67,MAX(1,'Вводные'!$K$73)),AND($B$63="Да",IFERROR(INDEX('Вводные'!$B$88:$B$90,$B$64),"Нет")="Да")),(1+INDEX('Вводные'!$AD$88:$AD$90,$B$64)*'Вводные'!$H$7)^MAX(0,(12*(YEAR(T$3)-YEAR($B$67))+MONTH(T$3)-MONTH($B$67)))*(1+IF(MONTH(T$3)=1,'Вводные'!$B$67,IF(AND(MONTH(T$3)&gt;=5,MONTH(T$3)&lt;=8),'Вводные'!$B$70,0))),0)</x:f>
        <x:v>0</x:v>
      </x:c>
      <x:c r="U74" s="35" t="n">
        <x:f>IF(AND(U$3&gt;=$B$67,U$3&lt;EDATE($B$67,MAX(1,'Вводные'!$K$73)),AND($B$63="Да",IFERROR(INDEX('Вводные'!$B$88:$B$90,$B$64),"Нет")="Да")),(1+INDEX('Вводные'!$AD$88:$AD$90,$B$64)*'Вводные'!$H$7)^MAX(0,(12*(YEAR(U$3)-YEAR($B$67))+MONTH(U$3)-MONTH($B$67)))*(1+IF(MONTH(U$3)=1,'Вводные'!$B$67,IF(AND(MONTH(U$3)&gt;=5,MONTH(U$3)&lt;=8),'Вводные'!$B$70,0))),0)</x:f>
        <x:v>0</x:v>
      </x:c>
      <x:c r="V74" s="35" t="n">
        <x:f>IF(AND(V$3&gt;=$B$67,V$3&lt;EDATE($B$67,MAX(1,'Вводные'!$K$73)),AND($B$63="Да",IFERROR(INDEX('Вводные'!$B$88:$B$90,$B$64),"Нет")="Да")),(1+INDEX('Вводные'!$AD$88:$AD$90,$B$64)*'Вводные'!$H$7)^MAX(0,(12*(YEAR(V$3)-YEAR($B$67))+MONTH(V$3)-MONTH($B$67)))*(1+IF(MONTH(V$3)=1,'Вводные'!$B$67,IF(AND(MONTH(V$3)&gt;=5,MONTH(V$3)&lt;=8),'Вводные'!$B$70,0))),0)</x:f>
        <x:v>0</x:v>
      </x:c>
      <x:c r="W74" s="35" t="n">
        <x:f>IF(AND(W$3&gt;=$B$67,W$3&lt;EDATE($B$67,MAX(1,'Вводные'!$K$73)),AND($B$63="Да",IFERROR(INDEX('Вводные'!$B$88:$B$90,$B$64),"Нет")="Да")),(1+INDEX('Вводные'!$AD$88:$AD$90,$B$64)*'Вводные'!$H$7)^MAX(0,(12*(YEAR(W$3)-YEAR($B$67))+MONTH(W$3)-MONTH($B$67)))*(1+IF(MONTH(W$3)=1,'Вводные'!$B$67,IF(AND(MONTH(W$3)&gt;=5,MONTH(W$3)&lt;=8),'Вводные'!$B$70,0))),0)</x:f>
        <x:v>0</x:v>
      </x:c>
      <x:c r="X74" s="35" t="n">
        <x:f>IF(AND(X$3&gt;=$B$67,X$3&lt;EDATE($B$67,MAX(1,'Вводные'!$K$73)),AND($B$63="Да",IFERROR(INDEX('Вводные'!$B$88:$B$90,$B$64),"Нет")="Да")),(1+INDEX('Вводные'!$AD$88:$AD$90,$B$64)*'Вводные'!$H$7)^MAX(0,(12*(YEAR(X$3)-YEAR($B$67))+MONTH(X$3)-MONTH($B$67)))*(1+IF(MONTH(X$3)=1,'Вводные'!$B$67,IF(AND(MONTH(X$3)&gt;=5,MONTH(X$3)&lt;=8),'Вводные'!$B$70,0))),0)</x:f>
        <x:v>0</x:v>
      </x:c>
      <x:c r="Y74" s="35" t="n">
        <x:f>IF(AND(Y$3&gt;=$B$67,Y$3&lt;EDATE($B$67,MAX(1,'Вводные'!$K$73)),AND($B$63="Да",IFERROR(INDEX('Вводные'!$B$88:$B$90,$B$64),"Нет")="Да")),(1+INDEX('Вводные'!$AD$88:$AD$90,$B$64)*'Вводные'!$H$7)^MAX(0,(12*(YEAR(Y$3)-YEAR($B$67))+MONTH(Y$3)-MONTH($B$67)))*(1+IF(MONTH(Y$3)=1,'Вводные'!$B$67,IF(AND(MONTH(Y$3)&gt;=5,MONTH(Y$3)&lt;=8),'Вводные'!$B$70,0))),0)</x:f>
        <x:v>0</x:v>
      </x:c>
      <x:c r="Z74" s="35" t="n">
        <x:f>IF(AND(Z$3&gt;=$B$67,Z$3&lt;EDATE($B$67,MAX(1,'Вводные'!$K$73)),AND($B$63="Да",IFERROR(INDEX('Вводные'!$B$88:$B$90,$B$64),"Нет")="Да")),(1+INDEX('Вводные'!$AD$88:$AD$90,$B$64)*'Вводные'!$H$7)^MAX(0,(12*(YEAR(Z$3)-YEAR($B$67))+MONTH(Z$3)-MONTH($B$67)))*(1+IF(MONTH(Z$3)=1,'Вводные'!$B$67,IF(AND(MONTH(Z$3)&gt;=5,MONTH(Z$3)&lt;=8),'Вводные'!$B$70,0))),0)</x:f>
        <x:v>0</x:v>
      </x:c>
      <x:c r="AA74" s="35" t="n">
        <x:f>IF(AND(AA$3&gt;=$B$67,AA$3&lt;EDATE($B$67,MAX(1,'Вводные'!$K$73)),AND($B$63="Да",IFERROR(INDEX('Вводные'!$B$88:$B$90,$B$64),"Нет")="Да")),(1+INDEX('Вводные'!$AD$88:$AD$90,$B$64)*'Вводные'!$H$7)^MAX(0,(12*(YEAR(AA$3)-YEAR($B$67))+MONTH(AA$3)-MONTH($B$67)))*(1+IF(MONTH(AA$3)=1,'Вводные'!$B$67,IF(AND(MONTH(AA$3)&gt;=5,MONTH(AA$3)&lt;=8),'Вводные'!$B$70,0))),0)</x:f>
        <x:v>0</x:v>
      </x:c>
      <x:c r="AB74" s="35" t="n">
        <x:f>IF(AND(AB$3&gt;=$B$67,AB$3&lt;EDATE($B$67,MAX(1,'Вводные'!$K$73)),AND($B$63="Да",IFERROR(INDEX('Вводные'!$B$88:$B$90,$B$64),"Нет")="Да")),(1+INDEX('Вводные'!$AD$88:$AD$90,$B$64)*'Вводные'!$H$7)^MAX(0,(12*(YEAR(AB$3)-YEAR($B$67))+MONTH(AB$3)-MONTH($B$67)))*(1+IF(MONTH(AB$3)=1,'Вводные'!$B$67,IF(AND(MONTH(AB$3)&gt;=5,MONTH(AB$3)&lt;=8),'Вводные'!$B$70,0))),0)</x:f>
        <x:v>0</x:v>
      </x:c>
      <x:c r="AC74" s="35" t="n">
        <x:f>IF(AND(AC$3&gt;=$B$67,AC$3&lt;EDATE($B$67,MAX(1,'Вводные'!$K$73)),AND($B$63="Да",IFERROR(INDEX('Вводные'!$B$88:$B$90,$B$64),"Нет")="Да")),(1+INDEX('Вводные'!$AD$88:$AD$90,$B$64)*'Вводные'!$H$7)^MAX(0,(12*(YEAR(AC$3)-YEAR($B$67))+MONTH(AC$3)-MONTH($B$67)))*(1+IF(MONTH(AC$3)=1,'Вводные'!$B$67,IF(AND(MONTH(AC$3)&gt;=5,MONTH(AC$3)&lt;=8),'Вводные'!$B$70,0))),0)</x:f>
        <x:v>0</x:v>
      </x:c>
      <x:c r="AD74" s="35" t="n">
        <x:f>IF(AND(AD$3&gt;=$B$67,AD$3&lt;EDATE($B$67,MAX(1,'Вводные'!$K$73)),AND($B$63="Да",IFERROR(INDEX('Вводные'!$B$88:$B$90,$B$64),"Нет")="Да")),(1+INDEX('Вводные'!$AD$88:$AD$90,$B$64)*'Вводные'!$H$7)^MAX(0,(12*(YEAR(AD$3)-YEAR($B$67))+MONTH(AD$3)-MONTH($B$67)))*(1+IF(MONTH(AD$3)=1,'Вводные'!$B$67,IF(AND(MONTH(AD$3)&gt;=5,MONTH(AD$3)&lt;=8),'Вводные'!$B$70,0))),0)</x:f>
        <x:v>0</x:v>
      </x:c>
      <x:c r="AE74" s="35" t="n">
        <x:f>IF(AND(AE$3&gt;=$B$67,AE$3&lt;EDATE($B$67,MAX(1,'Вводные'!$K$73)),AND($B$63="Да",IFERROR(INDEX('Вводные'!$B$88:$B$90,$B$64),"Нет")="Да")),(1+INDEX('Вводные'!$AD$88:$AD$90,$B$64)*'Вводные'!$H$7)^MAX(0,(12*(YEAR(AE$3)-YEAR($B$67))+MONTH(AE$3)-MONTH($B$67)))*(1+IF(MONTH(AE$3)=1,'Вводные'!$B$67,IF(AND(MONTH(AE$3)&gt;=5,MONTH(AE$3)&lt;=8),'Вводные'!$B$70,0))),0)</x:f>
        <x:v>0</x:v>
      </x:c>
      <x:c r="AF74" s="35" t="n">
        <x:f>IF(AND(AF$3&gt;=$B$67,AF$3&lt;EDATE($B$67,MAX(1,'Вводные'!$K$73)),AND($B$63="Да",IFERROR(INDEX('Вводные'!$B$88:$B$90,$B$64),"Нет")="Да")),(1+INDEX('Вводные'!$AD$88:$AD$90,$B$64)*'Вводные'!$H$7)^MAX(0,(12*(YEAR(AF$3)-YEAR($B$67))+MONTH(AF$3)-MONTH($B$67)))*(1+IF(MONTH(AF$3)=1,'Вводные'!$B$67,IF(AND(MONTH(AF$3)&gt;=5,MONTH(AF$3)&lt;=8),'Вводные'!$B$70,0))),0)</x:f>
        <x:v>0</x:v>
      </x:c>
      <x:c r="AG74" s="35" t="n">
        <x:f>IF(AND(AG$3&gt;=$B$67,AG$3&lt;EDATE($B$67,MAX(1,'Вводные'!$K$73)),AND($B$63="Да",IFERROR(INDEX('Вводные'!$B$88:$B$90,$B$64),"Нет")="Да")),(1+INDEX('Вводные'!$AD$88:$AD$90,$B$64)*'Вводные'!$H$7)^MAX(0,(12*(YEAR(AG$3)-YEAR($B$67))+MONTH(AG$3)-MONTH($B$67)))*(1+IF(MONTH(AG$3)=1,'Вводные'!$B$67,IF(AND(MONTH(AG$3)&gt;=5,MONTH(AG$3)&lt;=8),'Вводные'!$B$70,0))),0)</x:f>
        <x:v>0</x:v>
      </x:c>
      <x:c r="AH74" s="35" t="n">
        <x:f>IF(AND(AH$3&gt;=$B$67,AH$3&lt;EDATE($B$67,MAX(1,'Вводные'!$K$73)),AND($B$63="Да",IFERROR(INDEX('Вводные'!$B$88:$B$90,$B$64),"Нет")="Да")),(1+INDEX('Вводные'!$AD$88:$AD$90,$B$64)*'Вводные'!$H$7)^MAX(0,(12*(YEAR(AH$3)-YEAR($B$67))+MONTH(AH$3)-MONTH($B$67)))*(1+IF(MONTH(AH$3)=1,'Вводные'!$B$67,IF(AND(MONTH(AH$3)&gt;=5,MONTH(AH$3)&lt;=8),'Вводные'!$B$70,0))),0)</x:f>
        <x:v>0</x:v>
      </x:c>
      <x:c r="AI74" s="35" t="n">
        <x:f>IF(AND(AI$3&gt;=$B$67,AI$3&lt;EDATE($B$67,MAX(1,'Вводные'!$K$73)),AND($B$63="Да",IFERROR(INDEX('Вводные'!$B$88:$B$90,$B$64),"Нет")="Да")),(1+INDEX('Вводные'!$AD$88:$AD$90,$B$64)*'Вводные'!$H$7)^MAX(0,(12*(YEAR(AI$3)-YEAR($B$67))+MONTH(AI$3)-MONTH($B$67)))*(1+IF(MONTH(AI$3)=1,'Вводные'!$B$67,IF(AND(MONTH(AI$3)&gt;=5,MONTH(AI$3)&lt;=8),'Вводные'!$B$70,0))),0)</x:f>
        <x:v>0</x:v>
      </x:c>
      <x:c r="AJ74" s="35" t="n">
        <x:f>IF(AND(AJ$3&gt;=$B$67,AJ$3&lt;EDATE($B$67,MAX(1,'Вводные'!$K$73)),AND($B$63="Да",IFERROR(INDEX('Вводные'!$B$88:$B$90,$B$64),"Нет")="Да")),(1+INDEX('Вводные'!$AD$88:$AD$90,$B$64)*'Вводные'!$H$7)^MAX(0,(12*(YEAR(AJ$3)-YEAR($B$67))+MONTH(AJ$3)-MONTH($B$67)))*(1+IF(MONTH(AJ$3)=1,'Вводные'!$B$67,IF(AND(MONTH(AJ$3)&gt;=5,MONTH(AJ$3)&lt;=8),'Вводные'!$B$70,0))),0)</x:f>
        <x:v>0</x:v>
      </x:c>
      <x:c r="AK74" s="35" t="n">
        <x:f>IF(AND(AK$3&gt;=$B$67,AK$3&lt;EDATE($B$67,MAX(1,'Вводные'!$K$73)),AND($B$63="Да",IFERROR(INDEX('Вводные'!$B$88:$B$90,$B$64),"Нет")="Да")),(1+INDEX('Вводные'!$AD$88:$AD$90,$B$64)*'Вводные'!$H$7)^MAX(0,(12*(YEAR(AK$3)-YEAR($B$67))+MONTH(AK$3)-MONTH($B$67)))*(1+IF(MONTH(AK$3)=1,'Вводные'!$B$67,IF(AND(MONTH(AK$3)&gt;=5,MONTH(AK$3)&lt;=8),'Вводные'!$B$70,0))),0)</x:f>
        <x:v>0</x:v>
      </x:c>
      <x:c r="AL74" s="35" t="n">
        <x:f>IF(AND(AL$3&gt;=$B$67,AL$3&lt;EDATE($B$67,MAX(1,'Вводные'!$K$73)),AND($B$63="Да",IFERROR(INDEX('Вводные'!$B$88:$B$90,$B$64),"Нет")="Да")),(1+INDEX('Вводные'!$AD$88:$AD$90,$B$64)*'Вводные'!$H$7)^MAX(0,(12*(YEAR(AL$3)-YEAR($B$67))+MONTH(AL$3)-MONTH($B$67)))*(1+IF(MONTH(AL$3)=1,'Вводные'!$B$67,IF(AND(MONTH(AL$3)&gt;=5,MONTH(AL$3)&lt;=8),'Вводные'!$B$70,0))),0)</x:f>
        <x:v>0</x:v>
      </x:c>
      <x:c r="AM74" s="35" t="n">
        <x:f>IF(AND(AM$3&gt;=$B$67,AM$3&lt;EDATE($B$67,MAX(1,'Вводные'!$K$73)),AND($B$63="Да",IFERROR(INDEX('Вводные'!$B$88:$B$90,$B$64),"Нет")="Да")),(1+INDEX('Вводные'!$AD$88:$AD$90,$B$64)*'Вводные'!$H$7)^MAX(0,(12*(YEAR(AM$3)-YEAR($B$67))+MONTH(AM$3)-MONTH($B$67)))*(1+IF(MONTH(AM$3)=1,'Вводные'!$B$67,IF(AND(MONTH(AM$3)&gt;=5,MONTH(AM$3)&lt;=8),'Вводные'!$B$70,0))),0)</x:f>
        <x:v>0</x:v>
      </x:c>
      <x:c r="AN74" s="35" t="n">
        <x:f>IF(AND(AN$3&gt;=$B$67,AN$3&lt;EDATE($B$67,MAX(1,'Вводные'!$K$73)),AND($B$63="Да",IFERROR(INDEX('Вводные'!$B$88:$B$90,$B$64),"Нет")="Да")),(1+INDEX('Вводные'!$AD$88:$AD$90,$B$64)*'Вводные'!$H$7)^MAX(0,(12*(YEAR(AN$3)-YEAR($B$67))+MONTH(AN$3)-MONTH($B$67)))*(1+IF(MONTH(AN$3)=1,'Вводные'!$B$67,IF(AND(MONTH(AN$3)&gt;=5,MONTH(AN$3)&lt;=8),'Вводные'!$B$70,0))),0)</x:f>
        <x:v>0</x:v>
      </x:c>
      <x:c r="AO74" s="35" t="n">
        <x:f>IF(AND(AO$3&gt;=$B$67,AO$3&lt;EDATE($B$67,MAX(1,'Вводные'!$K$73)),AND($B$63="Да",IFERROR(INDEX('Вводные'!$B$88:$B$90,$B$64),"Нет")="Да")),(1+INDEX('Вводные'!$AD$88:$AD$90,$B$64)*'Вводные'!$H$7)^MAX(0,(12*(YEAR(AO$3)-YEAR($B$67))+MONTH(AO$3)-MONTH($B$67)))*(1+IF(MONTH(AO$3)=1,'Вводные'!$B$67,IF(AND(MONTH(AO$3)&gt;=5,MONTH(AO$3)&lt;=8),'Вводные'!$B$70,0))),0)</x:f>
        <x:v>0</x:v>
      </x:c>
      <x:c r="AP74" s="35" t="n">
        <x:f>IF(AND(AP$3&gt;=$B$67,AP$3&lt;EDATE($B$67,MAX(1,'Вводные'!$K$73)),AND($B$63="Да",IFERROR(INDEX('Вводные'!$B$88:$B$90,$B$64),"Нет")="Да")),(1+INDEX('Вводные'!$AD$88:$AD$90,$B$64)*'Вводные'!$H$7)^MAX(0,(12*(YEAR(AP$3)-YEAR($B$67))+MONTH(AP$3)-MONTH($B$67)))*(1+IF(MONTH(AP$3)=1,'Вводные'!$B$67,IF(AND(MONTH(AP$3)&gt;=5,MONTH(AP$3)&lt;=8),'Вводные'!$B$70,0))),0)</x:f>
        <x:v>0</x:v>
      </x:c>
      <x:c r="AQ74" s="35" t="n">
        <x:f>IF(AND(AQ$3&gt;=$B$67,AQ$3&lt;EDATE($B$67,MAX(1,'Вводные'!$K$73)),AND($B$63="Да",IFERROR(INDEX('Вводные'!$B$88:$B$90,$B$64),"Нет")="Да")),(1+INDEX('Вводные'!$AD$88:$AD$90,$B$64)*'Вводные'!$H$7)^MAX(0,(12*(YEAR(AQ$3)-YEAR($B$67))+MONTH(AQ$3)-MONTH($B$67)))*(1+IF(MONTH(AQ$3)=1,'Вводные'!$B$67,IF(AND(MONTH(AQ$3)&gt;=5,MONTH(AQ$3)&lt;=8),'Вводные'!$B$70,0))),0)</x:f>
        <x:v>0</x:v>
      </x:c>
      <x:c r="AR74" s="35" t="n">
        <x:f>IF(AND(AR$3&gt;=$B$67,AR$3&lt;EDATE($B$67,MAX(1,'Вводные'!$K$73)),AND($B$63="Да",IFERROR(INDEX('Вводные'!$B$88:$B$90,$B$64),"Нет")="Да")),(1+INDEX('Вводные'!$AD$88:$AD$90,$B$64)*'Вводные'!$H$7)^MAX(0,(12*(YEAR(AR$3)-YEAR($B$67))+MONTH(AR$3)-MONTH($B$67)))*(1+IF(MONTH(AR$3)=1,'Вводные'!$B$67,IF(AND(MONTH(AR$3)&gt;=5,MONTH(AR$3)&lt;=8),'Вводные'!$B$70,0))),0)</x:f>
        <x:v>0</x:v>
      </x:c>
      <x:c r="AS74" s="35" t="n">
        <x:f>IF(AND(AS$3&gt;=$B$67,AS$3&lt;EDATE($B$67,MAX(1,'Вводные'!$K$73)),AND($B$63="Да",IFERROR(INDEX('Вводные'!$B$88:$B$90,$B$64),"Нет")="Да")),(1+INDEX('Вводные'!$AD$88:$AD$90,$B$64)*'Вводные'!$H$7)^MAX(0,(12*(YEAR(AS$3)-YEAR($B$67))+MONTH(AS$3)-MONTH($B$67)))*(1+IF(MONTH(AS$3)=1,'Вводные'!$B$67,IF(AND(MONTH(AS$3)&gt;=5,MONTH(AS$3)&lt;=8),'Вводные'!$B$70,0))),0)</x:f>
        <x:v>0</x:v>
      </x:c>
      <x:c r="AT74" s="35" t="n">
        <x:f>IF(AND(AT$3&gt;=$B$67,AT$3&lt;EDATE($B$67,MAX(1,'Вводные'!$K$73)),AND($B$63="Да",IFERROR(INDEX('Вводные'!$B$88:$B$90,$B$64),"Нет")="Да")),(1+INDEX('Вводные'!$AD$88:$AD$90,$B$64)*'Вводные'!$H$7)^MAX(0,(12*(YEAR(AT$3)-YEAR($B$67))+MONTH(AT$3)-MONTH($B$67)))*(1+IF(MONTH(AT$3)=1,'Вводные'!$B$67,IF(AND(MONTH(AT$3)&gt;=5,MONTH(AT$3)&lt;=8),'Вводные'!$B$70,0))),0)</x:f>
        <x:v>0</x:v>
      </x:c>
      <x:c r="AU74" s="35" t="n">
        <x:f>IF(AND(AU$3&gt;=$B$67,AU$3&lt;EDATE($B$67,MAX(1,'Вводные'!$K$73)),AND($B$63="Да",IFERROR(INDEX('Вводные'!$B$88:$B$90,$B$64),"Нет")="Да")),(1+INDEX('Вводные'!$AD$88:$AD$90,$B$64)*'Вводные'!$H$7)^MAX(0,(12*(YEAR(AU$3)-YEAR($B$67))+MONTH(AU$3)-MONTH($B$67)))*(1+IF(MONTH(AU$3)=1,'Вводные'!$B$67,IF(AND(MONTH(AU$3)&gt;=5,MONTH(AU$3)&lt;=8),'Вводные'!$B$70,0))),0)</x:f>
        <x:v>0</x:v>
      </x:c>
      <x:c r="AV74" s="35" t="n">
        <x:f>IF(AND(AV$3&gt;=$B$67,AV$3&lt;EDATE($B$67,MAX(1,'Вводные'!$K$73)),AND($B$63="Да",IFERROR(INDEX('Вводные'!$B$88:$B$90,$B$64),"Нет")="Да")),(1+INDEX('Вводные'!$AD$88:$AD$90,$B$64)*'Вводные'!$H$7)^MAX(0,(12*(YEAR(AV$3)-YEAR($B$67))+MONTH(AV$3)-MONTH($B$67)))*(1+IF(MONTH(AV$3)=1,'Вводные'!$B$67,IF(AND(MONTH(AV$3)&gt;=5,MONTH(AV$3)&lt;=8),'Вводные'!$B$70,0))),0)</x:f>
        <x:v>0</x:v>
      </x:c>
      <x:c r="AW74" s="35" t="n">
        <x:f>IF(AND(AW$3&gt;=$B$67,AW$3&lt;EDATE($B$67,MAX(1,'Вводные'!$K$73)),AND($B$63="Да",IFERROR(INDEX('Вводные'!$B$88:$B$90,$B$64),"Нет")="Да")),(1+INDEX('Вводные'!$AD$88:$AD$90,$B$64)*'Вводные'!$H$7)^MAX(0,(12*(YEAR(AW$3)-YEAR($B$67))+MONTH(AW$3)-MONTH($B$67)))*(1+IF(MONTH(AW$3)=1,'Вводные'!$B$67,IF(AND(MONTH(AW$3)&gt;=5,MONTH(AW$3)&lt;=8),'Вводные'!$B$70,0))),0)</x:f>
        <x:v>0</x:v>
      </x:c>
      <x:c r="AX74" s="35" t="n">
        <x:f>IF(AND(AX$3&gt;=$B$67,AX$3&lt;EDATE($B$67,MAX(1,'Вводные'!$K$73)),AND($B$63="Да",IFERROR(INDEX('Вводные'!$B$88:$B$90,$B$64),"Нет")="Да")),(1+INDEX('Вводные'!$AD$88:$AD$90,$B$64)*'Вводные'!$H$7)^MAX(0,(12*(YEAR(AX$3)-YEAR($B$67))+MONTH(AX$3)-MONTH($B$67)))*(1+IF(MONTH(AX$3)=1,'Вводные'!$B$67,IF(AND(MONTH(AX$3)&gt;=5,MONTH(AX$3)&lt;=8),'Вводные'!$B$70,0))),0)</x:f>
        <x:v>0</x:v>
      </x:c>
      <x:c r="AY74" s="35" t="n">
        <x:f>IF(AND(AY$3&gt;=$B$67,AY$3&lt;EDATE($B$67,MAX(1,'Вводные'!$K$73)),AND($B$63="Да",IFERROR(INDEX('Вводные'!$B$88:$B$90,$B$64),"Нет")="Да")),(1+INDEX('Вводные'!$AD$88:$AD$90,$B$64)*'Вводные'!$H$7)^MAX(0,(12*(YEAR(AY$3)-YEAR($B$67))+MONTH(AY$3)-MONTH($B$67)))*(1+IF(MONTH(AY$3)=1,'Вводные'!$B$67,IF(AND(MONTH(AY$3)&gt;=5,MONTH(AY$3)&lt;=8),'Вводные'!$B$70,0))),0)</x:f>
        <x:v>0</x:v>
      </x:c>
      <x:c r="AZ74" s="35" t="n">
        <x:f>IF(AND(AZ$3&gt;=$B$67,AZ$3&lt;EDATE($B$67,MAX(1,'Вводные'!$K$73)),AND($B$63="Да",IFERROR(INDEX('Вводные'!$B$88:$B$90,$B$64),"Нет")="Да")),(1+INDEX('Вводные'!$AD$88:$AD$90,$B$64)*'Вводные'!$H$7)^MAX(0,(12*(YEAR(AZ$3)-YEAR($B$67))+MONTH(AZ$3)-MONTH($B$67)))*(1+IF(MONTH(AZ$3)=1,'Вводные'!$B$67,IF(AND(MONTH(AZ$3)&gt;=5,MONTH(AZ$3)&lt;=8),'Вводные'!$B$70,0))),0)</x:f>
        <x:v>0</x:v>
      </x:c>
      <x:c r="BA74" s="35" t="n">
        <x:f>IF(AND(BA$3&gt;=$B$67,BA$3&lt;EDATE($B$67,MAX(1,'Вводные'!$K$73)),AND($B$63="Да",IFERROR(INDEX('Вводные'!$B$88:$B$90,$B$64),"Нет")="Да")),(1+INDEX('Вводные'!$AD$88:$AD$90,$B$64)*'Вводные'!$H$7)^MAX(0,(12*(YEAR(BA$3)-YEAR($B$67))+MONTH(BA$3)-MONTH($B$67)))*(1+IF(MONTH(BA$3)=1,'Вводные'!$B$67,IF(AND(MONTH(BA$3)&gt;=5,MONTH(BA$3)&lt;=8),'Вводные'!$B$70,0))),0)</x:f>
        <x:v>0</x:v>
      </x:c>
      <x:c r="BB74" s="35" t="n">
        <x:f>IF(AND(BB$3&gt;=$B$67,BB$3&lt;EDATE($B$67,MAX(1,'Вводные'!$K$73)),AND($B$63="Да",IFERROR(INDEX('Вводные'!$B$88:$B$90,$B$64),"Нет")="Да")),(1+INDEX('Вводные'!$AD$88:$AD$90,$B$64)*'Вводные'!$H$7)^MAX(0,(12*(YEAR(BB$3)-YEAR($B$67))+MONTH(BB$3)-MONTH($B$67)))*(1+IF(MONTH(BB$3)=1,'Вводные'!$B$67,IF(AND(MONTH(BB$3)&gt;=5,MONTH(BB$3)&lt;=8),'Вводные'!$B$70,0))),0)</x:f>
        <x:v>0</x:v>
      </x:c>
      <x:c r="BC74" s="35" t="n">
        <x:f>IF(AND(BC$3&gt;=$B$67,BC$3&lt;EDATE($B$67,MAX(1,'Вводные'!$K$73)),AND($B$63="Да",IFERROR(INDEX('Вводные'!$B$88:$B$90,$B$64),"Нет")="Да")),(1+INDEX('Вводные'!$AD$88:$AD$90,$B$64)*'Вводные'!$H$7)^MAX(0,(12*(YEAR(BC$3)-YEAR($B$67))+MONTH(BC$3)-MONTH($B$67)))*(1+IF(MONTH(BC$3)=1,'Вводные'!$B$67,IF(AND(MONTH(BC$3)&gt;=5,MONTH(BC$3)&lt;=8),'Вводные'!$B$70,0))),0)</x:f>
        <x:v>0</x:v>
      </x:c>
      <x:c r="BD74" s="35" t="n">
        <x:f>IF(AND(BD$3&gt;=$B$67,BD$3&lt;EDATE($B$67,MAX(1,'Вводные'!$K$73)),AND($B$63="Да",IFERROR(INDEX('Вводные'!$B$88:$B$90,$B$64),"Нет")="Да")),(1+INDEX('Вводные'!$AD$88:$AD$90,$B$64)*'Вводные'!$H$7)^MAX(0,(12*(YEAR(BD$3)-YEAR($B$67))+MONTH(BD$3)-MONTH($B$67)))*(1+IF(MONTH(BD$3)=1,'Вводные'!$B$67,IF(AND(MONTH(BD$3)&gt;=5,MONTH(BD$3)&lt;=8),'Вводные'!$B$70,0))),0)</x:f>
        <x:v>0</x:v>
      </x:c>
      <x:c r="BE74" s="35" t="n">
        <x:f>IF(AND(BE$3&gt;=$B$67,BE$3&lt;EDATE($B$67,MAX(1,'Вводные'!$K$73)),AND($B$63="Да",IFERROR(INDEX('Вводные'!$B$88:$B$90,$B$64),"Нет")="Да")),(1+INDEX('Вводные'!$AD$88:$AD$90,$B$64)*'Вводные'!$H$7)^MAX(0,(12*(YEAR(BE$3)-YEAR($B$67))+MONTH(BE$3)-MONTH($B$67)))*(1+IF(MONTH(BE$3)=1,'Вводные'!$B$67,IF(AND(MONTH(BE$3)&gt;=5,MONTH(BE$3)&lt;=8),'Вводные'!$B$70,0))),0)</x:f>
        <x:v>0</x:v>
      </x:c>
      <x:c r="BF74" s="35" t="n">
        <x:f>IF(AND(BF$3&gt;=$B$67,BF$3&lt;EDATE($B$67,MAX(1,'Вводные'!$K$73)),AND($B$63="Да",IFERROR(INDEX('Вводные'!$B$88:$B$90,$B$64),"Нет")="Да")),(1+INDEX('Вводные'!$AD$88:$AD$90,$B$64)*'Вводные'!$H$7)^MAX(0,(12*(YEAR(BF$3)-YEAR($B$67))+MONTH(BF$3)-MONTH($B$67)))*(1+IF(MONTH(BF$3)=1,'Вводные'!$B$67,IF(AND(MONTH(BF$3)&gt;=5,MONTH(BF$3)&lt;=8),'Вводные'!$B$70,0))),0)</x:f>
        <x:v>0</x:v>
      </x:c>
      <x:c r="BG74" s="35" t="n">
        <x:f>IF(AND(BG$3&gt;=$B$67,BG$3&lt;EDATE($B$67,MAX(1,'Вводные'!$K$73)),AND($B$63="Да",IFERROR(INDEX('Вводные'!$B$88:$B$90,$B$64),"Нет")="Да")),(1+INDEX('Вводные'!$AD$88:$AD$90,$B$64)*'Вводные'!$H$7)^MAX(0,(12*(YEAR(BG$3)-YEAR($B$67))+MONTH(BG$3)-MONTH($B$67)))*(1+IF(MONTH(BG$3)=1,'Вводные'!$B$67,IF(AND(MONTH(BG$3)&gt;=5,MONTH(BG$3)&lt;=8),'Вводные'!$B$70,0))),0)</x:f>
        <x:v>0</x:v>
      </x:c>
      <x:c r="BH74" s="35" t="n">
        <x:f>IF(AND(BH$3&gt;=$B$67,BH$3&lt;EDATE($B$67,MAX(1,'Вводные'!$K$73)),AND($B$63="Да",IFERROR(INDEX('Вводные'!$B$88:$B$90,$B$64),"Нет")="Да")),(1+INDEX('Вводные'!$AD$88:$AD$90,$B$64)*'Вводные'!$H$7)^MAX(0,(12*(YEAR(BH$3)-YEAR($B$67))+MONTH(BH$3)-MONTH($B$67)))*(1+IF(MONTH(BH$3)=1,'Вводные'!$B$67,IF(AND(MONTH(BH$3)&gt;=5,MONTH(BH$3)&lt;=8),'Вводные'!$B$70,0))),0)</x:f>
        <x:v>0</x:v>
      </x:c>
      <x:c r="BI74" s="35" t="n">
        <x:f>IF(AND(BI$3&gt;=$B$67,BI$3&lt;EDATE($B$67,MAX(1,'Вводные'!$K$73)),AND($B$63="Да",IFERROR(INDEX('Вводные'!$B$88:$B$90,$B$64),"Нет")="Да")),(1+INDEX('Вводные'!$AD$88:$AD$90,$B$64)*'Вводные'!$H$7)^MAX(0,(12*(YEAR(BI$3)-YEAR($B$67))+MONTH(BI$3)-MONTH($B$67)))*(1+IF(MONTH(BI$3)=1,'Вводные'!$B$67,IF(AND(MONTH(BI$3)&gt;=5,MONTH(BI$3)&lt;=8),'Вводные'!$B$70,0))),0)</x:f>
        <x:v>0</x:v>
      </x:c>
      <x:c r="BJ74" s="35" t="n">
        <x:f>IF(AND(BJ$3&gt;=$B$67,BJ$3&lt;EDATE($B$67,MAX(1,'Вводные'!$K$73)),AND($B$63="Да",IFERROR(INDEX('Вводные'!$B$88:$B$90,$B$64),"Нет")="Да")),(1+INDEX('Вводные'!$AD$88:$AD$90,$B$64)*'Вводные'!$H$7)^MAX(0,(12*(YEAR(BJ$3)-YEAR($B$67))+MONTH(BJ$3)-MONTH($B$67)))*(1+IF(MONTH(BJ$3)=1,'Вводные'!$B$67,IF(AND(MONTH(BJ$3)&gt;=5,MONTH(BJ$3)&lt;=8),'Вводные'!$B$70,0))),0)</x:f>
        <x:v>0</x:v>
      </x:c>
      <x:c r="BK74" s="35" t="n">
        <x:f>IF(AND(BK$3&gt;=$B$67,BK$3&lt;EDATE($B$67,MAX(1,'Вводные'!$K$73)),AND($B$63="Да",IFERROR(INDEX('Вводные'!$B$88:$B$90,$B$64),"Нет")="Да")),(1+INDEX('Вводные'!$AD$88:$AD$90,$B$64)*'Вводные'!$H$7)^MAX(0,(12*(YEAR(BK$3)-YEAR($B$67))+MONTH(BK$3)-MONTH($B$67)))*(1+IF(MONTH(BK$3)=1,'Вводные'!$B$67,IF(AND(MONTH(BK$3)&gt;=5,MONTH(BK$3)&lt;=8),'Вводные'!$B$70,0))),0)</x:f>
        <x:v>0</x:v>
      </x:c>
      <x:c r="BL74" s="35" t="n">
        <x:f>IF(AND(BL$3&gt;=$B$67,BL$3&lt;EDATE($B$67,MAX(1,'Вводные'!$K$73)),AND($B$63="Да",IFERROR(INDEX('Вводные'!$B$88:$B$90,$B$64),"Нет")="Да")),(1+INDEX('Вводные'!$AD$88:$AD$90,$B$64)*'Вводные'!$H$7)^MAX(0,(12*(YEAR(BL$3)-YEAR($B$67))+MONTH(BL$3)-MONTH($B$67)))*(1+IF(MONTH(BL$3)=1,'Вводные'!$B$67,IF(AND(MONTH(BL$3)&gt;=5,MONTH(BL$3)&lt;=8),'Вводные'!$B$70,0))),0)</x:f>
        <x:v>0</x:v>
      </x:c>
      <x:c r="BM74" s="35" t="n">
        <x:f>IF(AND(BM$3&gt;=$B$67,BM$3&lt;EDATE($B$67,MAX(1,'Вводные'!$K$73)),AND($B$63="Да",IFERROR(INDEX('Вводные'!$B$88:$B$90,$B$64),"Нет")="Да")),(1+INDEX('Вводные'!$AD$88:$AD$90,$B$64)*'Вводные'!$H$7)^MAX(0,(12*(YEAR(BM$3)-YEAR($B$67))+MONTH(BM$3)-MONTH($B$67)))*(1+IF(MONTH(BM$3)=1,'Вводные'!$B$67,IF(AND(MONTH(BM$3)&gt;=5,MONTH(BM$3)&lt;=8),'Вводные'!$B$70,0))),0)</x:f>
        <x:v>0</x:v>
      </x:c>
      <x:c r="BN74" s="35" t="n">
        <x:f>IF(AND(BN$3&gt;=$B$67,BN$3&lt;EDATE($B$67,MAX(1,'Вводные'!$K$73)),AND($B$63="Да",IFERROR(INDEX('Вводные'!$B$88:$B$90,$B$64),"Нет")="Да")),(1+INDEX('Вводные'!$AD$88:$AD$90,$B$64)*'Вводные'!$H$7)^MAX(0,(12*(YEAR(BN$3)-YEAR($B$67))+MONTH(BN$3)-MONTH($B$67)))*(1+IF(MONTH(BN$3)=1,'Вводные'!$B$67,IF(AND(MONTH(BN$3)&gt;=5,MONTH(BN$3)&lt;=8),'Вводные'!$B$70,0))),0)</x:f>
        <x:v>0</x:v>
      </x:c>
      <x:c r="BO74" s="35" t="n">
        <x:f>IF(AND(BO$3&gt;=$B$67,BO$3&lt;EDATE($B$67,MAX(1,'Вводные'!$K$73)),AND($B$63="Да",IFERROR(INDEX('Вводные'!$B$88:$B$90,$B$64),"Нет")="Да")),(1+INDEX('Вводные'!$AD$88:$AD$90,$B$64)*'Вводные'!$H$7)^MAX(0,(12*(YEAR(BO$3)-YEAR($B$67))+MONTH(BO$3)-MONTH($B$67)))*(1+IF(MONTH(BO$3)=1,'Вводные'!$B$67,IF(AND(MONTH(BO$3)&gt;=5,MONTH(BO$3)&lt;=8),'Вводные'!$B$70,0))),0)</x:f>
        <x:v>0</x:v>
      </x:c>
      <x:c r="BP74" s="35" t="n">
        <x:f>IF(AND(BP$3&gt;=$B$67,BP$3&lt;EDATE($B$67,MAX(1,'Вводные'!$K$73)),AND($B$63="Да",IFERROR(INDEX('Вводные'!$B$88:$B$90,$B$64),"Нет")="Да")),(1+INDEX('Вводные'!$AD$88:$AD$90,$B$64)*'Вводные'!$H$7)^MAX(0,(12*(YEAR(BP$3)-YEAR($B$67))+MONTH(BP$3)-MONTH($B$67)))*(1+IF(MONTH(BP$3)=1,'Вводные'!$B$67,IF(AND(MONTH(BP$3)&gt;=5,MONTH(BP$3)&lt;=8),'Вводные'!$B$70,0))),0)</x:f>
        <x:v>0</x:v>
      </x:c>
      <x:c r="BQ74" s="35" t="n">
        <x:f>IF(AND(BQ$3&gt;=$B$67,BQ$3&lt;EDATE($B$67,MAX(1,'Вводные'!$K$73)),AND($B$63="Да",IFERROR(INDEX('Вводные'!$B$88:$B$90,$B$64),"Нет")="Да")),(1+INDEX('Вводные'!$AD$88:$AD$90,$B$64)*'Вводные'!$H$7)^MAX(0,(12*(YEAR(BQ$3)-YEAR($B$67))+MONTH(BQ$3)-MONTH($B$67)))*(1+IF(MONTH(BQ$3)=1,'Вводные'!$B$67,IF(AND(MONTH(BQ$3)&gt;=5,MONTH(BQ$3)&lt;=8),'Вводные'!$B$70,0))),0)</x:f>
        <x:v>0</x:v>
      </x:c>
      <x:c r="BR74" s="35" t="n">
        <x:f>IF(AND(BR$3&gt;=$B$67,BR$3&lt;EDATE($B$67,MAX(1,'Вводные'!$K$73)),AND($B$63="Да",IFERROR(INDEX('Вводные'!$B$88:$B$90,$B$64),"Нет")="Да")),(1+INDEX('Вводные'!$AD$88:$AD$90,$B$64)*'Вводные'!$H$7)^MAX(0,(12*(YEAR(BR$3)-YEAR($B$67))+MONTH(BR$3)-MONTH($B$67)))*(1+IF(MONTH(BR$3)=1,'Вводные'!$B$67,IF(AND(MONTH(BR$3)&gt;=5,MONTH(BR$3)&lt;=8),'Вводные'!$B$70,0))),0)</x:f>
        <x:v>0</x:v>
      </x:c>
      <x:c r="BS74" s="35" t="n">
        <x:f>IF(AND(BS$3&gt;=$B$67,BS$3&lt;EDATE($B$67,MAX(1,'Вводные'!$K$73)),AND($B$63="Да",IFERROR(INDEX('Вводные'!$B$88:$B$90,$B$64),"Нет")="Да")),(1+INDEX('Вводные'!$AD$88:$AD$90,$B$64)*'Вводные'!$H$7)^MAX(0,(12*(YEAR(BS$3)-YEAR($B$67))+MONTH(BS$3)-MONTH($B$67)))*(1+IF(MONTH(BS$3)=1,'Вводные'!$B$67,IF(AND(MONTH(BS$3)&gt;=5,MONTH(BS$3)&lt;=8),'Вводные'!$B$70,0))),0)</x:f>
        <x:v>0</x:v>
      </x:c>
      <x:c r="BT74" s="35" t="n">
        <x:f>IF(AND(BT$3&gt;=$B$67,BT$3&lt;EDATE($B$67,MAX(1,'Вводные'!$K$73)),AND($B$63="Да",IFERROR(INDEX('Вводные'!$B$88:$B$90,$B$64),"Нет")="Да")),(1+INDEX('Вводные'!$AD$88:$AD$90,$B$64)*'Вводные'!$H$7)^MAX(0,(12*(YEAR(BT$3)-YEAR($B$67))+MONTH(BT$3)-MONTH($B$67)))*(1+IF(MONTH(BT$3)=1,'Вводные'!$B$67,IF(AND(MONTH(BT$3)&gt;=5,MONTH(BT$3)&lt;=8),'Вводные'!$B$70,0))),0)</x:f>
        <x:v>0</x:v>
      </x:c>
      <x:c r="BU74" s="35" t="n">
        <x:f>IF(AND(BU$3&gt;=$B$67,BU$3&lt;EDATE($B$67,MAX(1,'Вводные'!$K$73)),AND($B$63="Да",IFERROR(INDEX('Вводные'!$B$88:$B$90,$B$64),"Нет")="Да")),(1+INDEX('Вводные'!$AD$88:$AD$90,$B$64)*'Вводные'!$H$7)^MAX(0,(12*(YEAR(BU$3)-YEAR($B$67))+MONTH(BU$3)-MONTH($B$67)))*(1+IF(MONTH(BU$3)=1,'Вводные'!$B$67,IF(AND(MONTH(BU$3)&gt;=5,MONTH(BU$3)&lt;=8),'Вводные'!$B$70,0))),0)</x:f>
        <x:v>0</x:v>
      </x:c>
      <x:c r="BV74" s="35" t="n">
        <x:f>IF(AND(BV$3&gt;=$B$67,BV$3&lt;EDATE($B$67,MAX(1,'Вводные'!$K$73)),AND($B$63="Да",IFERROR(INDEX('Вводные'!$B$88:$B$90,$B$64),"Нет")="Да")),(1+INDEX('Вводные'!$AD$88:$AD$90,$B$64)*'Вводные'!$H$7)^MAX(0,(12*(YEAR(BV$3)-YEAR($B$67))+MONTH(BV$3)-MONTH($B$67)))*(1+IF(MONTH(BV$3)=1,'Вводные'!$B$67,IF(AND(MONTH(BV$3)&gt;=5,MONTH(BV$3)&lt;=8),'Вводные'!$B$70,0))),0)</x:f>
        <x:v>0</x:v>
      </x:c>
      <x:c r="BW74" s="35" t="n">
        <x:f>IF(AND(BW$3&gt;=$B$67,BW$3&lt;EDATE($B$67,MAX(1,'Вводные'!$K$73)),AND($B$63="Да",IFERROR(INDEX('Вводные'!$B$88:$B$90,$B$64),"Нет")="Да")),(1+INDEX('Вводные'!$AD$88:$AD$90,$B$64)*'Вводные'!$H$7)^MAX(0,(12*(YEAR(BW$3)-YEAR($B$67))+MONTH(BW$3)-MONTH($B$67)))*(1+IF(MONTH(BW$3)=1,'Вводные'!$B$67,IF(AND(MONTH(BW$3)&gt;=5,MONTH(BW$3)&lt;=8),'Вводные'!$B$70,0))),0)</x:f>
        <x:v>0</x:v>
      </x:c>
      <x:c r="BX74" s="35" t="n">
        <x:f>IF(AND(BX$3&gt;=$B$67,BX$3&lt;EDATE($B$67,MAX(1,'Вводные'!$K$73)),AND($B$63="Да",IFERROR(INDEX('Вводные'!$B$88:$B$90,$B$64),"Нет")="Да")),(1+INDEX('Вводные'!$AD$88:$AD$90,$B$64)*'Вводные'!$H$7)^MAX(0,(12*(YEAR(BX$3)-YEAR($B$67))+MONTH(BX$3)-MONTH($B$67)))*(1+IF(MONTH(BX$3)=1,'Вводные'!$B$67,IF(AND(MONTH(BX$3)&gt;=5,MONTH(BX$3)&lt;=8),'Вводные'!$B$70,0))),0)</x:f>
        <x:v>0</x:v>
      </x:c>
      <x:c r="BY74" s="35" t="n">
        <x:f>IF(AND(BY$3&gt;=$B$67,BY$3&lt;EDATE($B$67,MAX(1,'Вводные'!$K$73)),AND($B$63="Да",IFERROR(INDEX('Вводные'!$B$88:$B$90,$B$64),"Нет")="Да")),(1+INDEX('Вводные'!$AD$88:$AD$90,$B$64)*'Вводные'!$H$7)^MAX(0,(12*(YEAR(BY$3)-YEAR($B$67))+MONTH(BY$3)-MONTH($B$67)))*(1+IF(MONTH(BY$3)=1,'Вводные'!$B$67,IF(AND(MONTH(BY$3)&gt;=5,MONTH(BY$3)&lt;=8),'Вводные'!$B$70,0))),0)</x:f>
        <x:v>0</x:v>
      </x:c>
      <x:c r="BZ74" s="35" t="n">
        <x:f>IF(AND(BZ$3&gt;=$B$67,BZ$3&lt;EDATE($B$67,MAX(1,'Вводные'!$K$73)),AND($B$63="Да",IFERROR(INDEX('Вводные'!$B$88:$B$90,$B$64),"Нет")="Да")),(1+INDEX('Вводные'!$AD$88:$AD$90,$B$64)*'Вводные'!$H$7)^MAX(0,(12*(YEAR(BZ$3)-YEAR($B$67))+MONTH(BZ$3)-MONTH($B$67)))*(1+IF(MONTH(BZ$3)=1,'Вводные'!$B$67,IF(AND(MONTH(BZ$3)&gt;=5,MONTH(BZ$3)&lt;=8),'Вводные'!$B$70,0))),0)</x:f>
        <x:v>0</x:v>
      </x:c>
      <x:c r="CA74" s="35" t="n">
        <x:f>IF(AND(CA$3&gt;=$B$67,CA$3&lt;EDATE($B$67,MAX(1,'Вводные'!$K$73)),AND($B$63="Да",IFERROR(INDEX('Вводные'!$B$88:$B$90,$B$64),"Нет")="Да")),(1+INDEX('Вводные'!$AD$88:$AD$90,$B$64)*'Вводные'!$H$7)^MAX(0,(12*(YEAR(CA$3)-YEAR($B$67))+MONTH(CA$3)-MONTH($B$67)))*(1+IF(MONTH(CA$3)=1,'Вводные'!$B$67,IF(AND(MONTH(CA$3)&gt;=5,MONTH(CA$3)&lt;=8),'Вводные'!$B$70,0))),0)</x:f>
        <x:v>0</x:v>
      </x:c>
      <x:c r="CB74" s="35" t="n">
        <x:f>IF(AND(CB$3&gt;=$B$67,CB$3&lt;EDATE($B$67,MAX(1,'Вводные'!$K$73)),AND($B$63="Да",IFERROR(INDEX('Вводные'!$B$88:$B$90,$B$64),"Нет")="Да")),(1+INDEX('Вводные'!$AD$88:$AD$90,$B$64)*'Вводные'!$H$7)^MAX(0,(12*(YEAR(CB$3)-YEAR($B$67))+MONTH(CB$3)-MONTH($B$67)))*(1+IF(MONTH(CB$3)=1,'Вводные'!$B$67,IF(AND(MONTH(CB$3)&gt;=5,MONTH(CB$3)&lt;=8),'Вводные'!$B$70,0))),0)</x:f>
        <x:v>0</x:v>
      </x:c>
      <x:c r="CC74" s="35" t="n">
        <x:f>IF(AND(CC$3&gt;=$B$67,CC$3&lt;EDATE($B$67,MAX(1,'Вводные'!$K$73)),AND($B$63="Да",IFERROR(INDEX('Вводные'!$B$88:$B$90,$B$64),"Нет")="Да")),(1+INDEX('Вводные'!$AD$88:$AD$90,$B$64)*'Вводные'!$H$7)^MAX(0,(12*(YEAR(CC$3)-YEAR($B$67))+MONTH(CC$3)-MONTH($B$67)))*(1+IF(MONTH(CC$3)=1,'Вводные'!$B$67,IF(AND(MONTH(CC$3)&gt;=5,MONTH(CC$3)&lt;=8),'Вводные'!$B$70,0))),0)</x:f>
        <x:v>0</x:v>
      </x:c>
      <x:c r="CD74" s="35" t="n">
        <x:f>IF(AND(CD$3&gt;=$B$67,CD$3&lt;EDATE($B$67,MAX(1,'Вводные'!$K$73)),AND($B$63="Да",IFERROR(INDEX('Вводные'!$B$88:$B$90,$B$64),"Нет")="Да")),(1+INDEX('Вводные'!$AD$88:$AD$90,$B$64)*'Вводные'!$H$7)^MAX(0,(12*(YEAR(CD$3)-YEAR($B$67))+MONTH(CD$3)-MONTH($B$67)))*(1+IF(MONTH(CD$3)=1,'Вводные'!$B$67,IF(AND(MONTH(CD$3)&gt;=5,MONTH(CD$3)&lt;=8),'Вводные'!$B$70,0))),0)</x:f>
        <x:v>0</x:v>
      </x:c>
      <x:c r="CE74" s="35" t="n">
        <x:f>IF(AND(CE$3&gt;=$B$67,CE$3&lt;EDATE($B$67,MAX(1,'Вводные'!$K$73)),AND($B$63="Да",IFERROR(INDEX('Вводные'!$B$88:$B$90,$B$64),"Нет")="Да")),(1+INDEX('Вводные'!$AD$88:$AD$90,$B$64)*'Вводные'!$H$7)^MAX(0,(12*(YEAR(CE$3)-YEAR($B$67))+MONTH(CE$3)-MONTH($B$67)))*(1+IF(MONTH(CE$3)=1,'Вводные'!$B$67,IF(AND(MONTH(CE$3)&gt;=5,MONTH(CE$3)&lt;=8),'Вводные'!$B$70,0))),0)</x:f>
        <x:v>0</x:v>
      </x:c>
      <x:c r="CF74" s="35" t="n">
        <x:f>IF(AND(CF$3&gt;=$B$67,CF$3&lt;EDATE($B$67,MAX(1,'Вводные'!$K$73)),AND($B$63="Да",IFERROR(INDEX('Вводные'!$B$88:$B$90,$B$64),"Нет")="Да")),(1+INDEX('Вводные'!$AD$88:$AD$90,$B$64)*'Вводные'!$H$7)^MAX(0,(12*(YEAR(CF$3)-YEAR($B$67))+MONTH(CF$3)-MONTH($B$67)))*(1+IF(MONTH(CF$3)=1,'Вводные'!$B$67,IF(AND(MONTH(CF$3)&gt;=5,MONTH(CF$3)&lt;=8),'Вводные'!$B$70,0))),0)</x:f>
        <x:v>0</x:v>
      </x:c>
      <x:c r="CG74" s="35" t="n">
        <x:f>IF(AND(CG$3&gt;=$B$67,CG$3&lt;EDATE($B$67,MAX(1,'Вводные'!$K$73)),AND($B$63="Да",IFERROR(INDEX('Вводные'!$B$88:$B$90,$B$64),"Нет")="Да")),(1+INDEX('Вводные'!$AD$88:$AD$90,$B$64)*'Вводные'!$H$7)^MAX(0,(12*(YEAR(CG$3)-YEAR($B$67))+MONTH(CG$3)-MONTH($B$67)))*(1+IF(MONTH(CG$3)=1,'Вводные'!$B$67,IF(AND(MONTH(CG$3)&gt;=5,MONTH(CG$3)&lt;=8),'Вводные'!$B$70,0))),0)</x:f>
        <x:v>0</x:v>
      </x:c>
      <x:c r="CH74" s="35" t="n">
        <x:f>IF(AND(CH$3&gt;=$B$67,CH$3&lt;EDATE($B$67,MAX(1,'Вводные'!$K$73)),AND($B$63="Да",IFERROR(INDEX('Вводные'!$B$88:$B$90,$B$64),"Нет")="Да")),(1+INDEX('Вводные'!$AD$88:$AD$90,$B$64)*'Вводные'!$H$7)^MAX(0,(12*(YEAR(CH$3)-YEAR($B$67))+MONTH(CH$3)-MONTH($B$67)))*(1+IF(MONTH(CH$3)=1,'Вводные'!$B$67,IF(AND(MONTH(CH$3)&gt;=5,MONTH(CH$3)&lt;=8),'Вводные'!$B$70,0))),0)</x:f>
        <x:v>0</x:v>
      </x:c>
      <x:c r="CI74" s="35" t="n">
        <x:f>IF(AND(CI$3&gt;=$B$67,CI$3&lt;EDATE($B$67,MAX(1,'Вводные'!$K$73)),AND($B$63="Да",IFERROR(INDEX('Вводные'!$B$88:$B$90,$B$64),"Нет")="Да")),(1+INDEX('Вводные'!$AD$88:$AD$90,$B$64)*'Вводные'!$H$7)^MAX(0,(12*(YEAR(CI$3)-YEAR($B$67))+MONTH(CI$3)-MONTH($B$67)))*(1+IF(MONTH(CI$3)=1,'Вводные'!$B$67,IF(AND(MONTH(CI$3)&gt;=5,MONTH(CI$3)&lt;=8),'Вводные'!$B$70,0))),0)</x:f>
        <x:v>0</x:v>
      </x:c>
      <x:c r="CJ74" s="35" t="n">
        <x:f>IF(AND(CJ$3&gt;=$B$67,CJ$3&lt;EDATE($B$67,MAX(1,'Вводные'!$K$73)),AND($B$63="Да",IFERROR(INDEX('Вводные'!$B$88:$B$90,$B$64),"Нет")="Да")),(1+INDEX('Вводные'!$AD$88:$AD$90,$B$64)*'Вводные'!$H$7)^MAX(0,(12*(YEAR(CJ$3)-YEAR($B$67))+MONTH(CJ$3)-MONTH($B$67)))*(1+IF(MONTH(CJ$3)=1,'Вводные'!$B$67,IF(AND(MONTH(CJ$3)&gt;=5,MONTH(CJ$3)&lt;=8),'Вводные'!$B$70,0))),0)</x:f>
        <x:v>0</x:v>
      </x:c>
      <x:c r="CK74" s="35" t="n">
        <x:f>IF(AND(CK$3&gt;=$B$67,CK$3&lt;EDATE($B$67,MAX(1,'Вводные'!$K$73)),AND($B$63="Да",IFERROR(INDEX('Вводные'!$B$88:$B$90,$B$64),"Нет")="Да")),(1+INDEX('Вводные'!$AD$88:$AD$90,$B$64)*'Вводные'!$H$7)^MAX(0,(12*(YEAR(CK$3)-YEAR($B$67))+MONTH(CK$3)-MONTH($B$67)))*(1+IF(MONTH(CK$3)=1,'Вводные'!$B$67,IF(AND(MONTH(CK$3)&gt;=5,MONTH(CK$3)&lt;=8),'Вводные'!$B$70,0))),0)</x:f>
        <x:v>0</x:v>
      </x:c>
      <x:c r="CL74" s="35" t="n">
        <x:f>IF(AND(CL$3&gt;=$B$67,CL$3&lt;EDATE($B$67,MAX(1,'Вводные'!$K$73)),AND($B$63="Да",IFERROR(INDEX('Вводные'!$B$88:$B$90,$B$64),"Нет")="Да")),(1+INDEX('Вводные'!$AD$88:$AD$90,$B$64)*'Вводные'!$H$7)^MAX(0,(12*(YEAR(CL$3)-YEAR($B$67))+MONTH(CL$3)-MONTH($B$67)))*(1+IF(MONTH(CL$3)=1,'Вводные'!$B$67,IF(AND(MONTH(CL$3)&gt;=5,MONTH(CL$3)&lt;=8),'Вводные'!$B$70,0))),0)</x:f>
        <x:v>0</x:v>
      </x:c>
      <x:c r="CM74" s="35" t="n">
        <x:f>IF(AND(CM$3&gt;=$B$67,CM$3&lt;EDATE($B$67,MAX(1,'Вводные'!$K$73)),AND($B$63="Да",IFERROR(INDEX('Вводные'!$B$88:$B$90,$B$64),"Нет")="Да")),(1+INDEX('Вводные'!$AD$88:$AD$90,$B$64)*'Вводные'!$H$7)^MAX(0,(12*(YEAR(CM$3)-YEAR($B$67))+MONTH(CM$3)-MONTH($B$67)))*(1+IF(MONTH(CM$3)=1,'Вводные'!$B$67,IF(AND(MONTH(CM$3)&gt;=5,MONTH(CM$3)&lt;=8),'Вводные'!$B$70,0))),0)</x:f>
        <x:v>0</x:v>
      </x:c>
      <x:c r="CN74" s="35" t="n">
        <x:f>IF(AND(CN$3&gt;=$B$67,CN$3&lt;EDATE($B$67,MAX(1,'Вводные'!$K$73)),AND($B$63="Да",IFERROR(INDEX('Вводные'!$B$88:$B$90,$B$64),"Нет")="Да")),(1+INDEX('Вводные'!$AD$88:$AD$90,$B$64)*'Вводные'!$H$7)^MAX(0,(12*(YEAR(CN$3)-YEAR($B$67))+MONTH(CN$3)-MONTH($B$67)))*(1+IF(MONTH(CN$3)=1,'Вводные'!$B$67,IF(AND(MONTH(CN$3)&gt;=5,MONTH(CN$3)&lt;=8),'Вводные'!$B$70,0))),0)</x:f>
        <x:v>0</x:v>
      </x:c>
      <x:c r="CO74" s="35" t="n">
        <x:f>IF(AND(CO$3&gt;=$B$67,CO$3&lt;EDATE($B$67,MAX(1,'Вводные'!$K$73)),AND($B$63="Да",IFERROR(INDEX('Вводные'!$B$88:$B$90,$B$64),"Нет")="Да")),(1+INDEX('Вводные'!$AD$88:$AD$90,$B$64)*'Вводные'!$H$7)^MAX(0,(12*(YEAR(CO$3)-YEAR($B$67))+MONTH(CO$3)-MONTH($B$67)))*(1+IF(MONTH(CO$3)=1,'Вводные'!$B$67,IF(AND(MONTH(CO$3)&gt;=5,MONTH(CO$3)&lt;=8),'Вводные'!$B$70,0))),0)</x:f>
        <x:v>0</x:v>
      </x:c>
      <x:c r="CP74" s="35" t="n">
        <x:f>IF(AND(CP$3&gt;=$B$67,CP$3&lt;EDATE($B$67,MAX(1,'Вводные'!$K$73)),AND($B$63="Да",IFERROR(INDEX('Вводные'!$B$88:$B$90,$B$64),"Нет")="Да")),(1+INDEX('Вводные'!$AD$88:$AD$90,$B$64)*'Вводные'!$H$7)^MAX(0,(12*(YEAR(CP$3)-YEAR($B$67))+MONTH(CP$3)-MONTH($B$67)))*(1+IF(MONTH(CP$3)=1,'Вводные'!$B$67,IF(AND(MONTH(CP$3)&gt;=5,MONTH(CP$3)&lt;=8),'Вводные'!$B$70,0))),0)</x:f>
        <x:v>0</x:v>
      </x:c>
      <x:c r="CQ74" s="35" t="n">
        <x:f>IF(AND(CQ$3&gt;=$B$67,CQ$3&lt;EDATE($B$67,MAX(1,'Вводные'!$K$73)),AND($B$63="Да",IFERROR(INDEX('Вводные'!$B$88:$B$90,$B$64),"Нет")="Да")),(1+INDEX('Вводные'!$AD$88:$AD$90,$B$64)*'Вводные'!$H$7)^MAX(0,(12*(YEAR(CQ$3)-YEAR($B$67))+MONTH(CQ$3)-MONTH($B$67)))*(1+IF(MONTH(CQ$3)=1,'Вводные'!$B$67,IF(AND(MONTH(CQ$3)&gt;=5,MONTH(CQ$3)&lt;=8),'Вводные'!$B$70,0))),0)</x:f>
        <x:v>0</x:v>
      </x:c>
      <x:c r="CR74" s="35" t="n">
        <x:f>IF(AND(CR$3&gt;=$B$67,CR$3&lt;EDATE($B$67,MAX(1,'Вводные'!$K$73)),AND($B$63="Да",IFERROR(INDEX('Вводные'!$B$88:$B$90,$B$64),"Нет")="Да")),(1+INDEX('Вводные'!$AD$88:$AD$90,$B$64)*'Вводные'!$H$7)^MAX(0,(12*(YEAR(CR$3)-YEAR($B$67))+MONTH(CR$3)-MONTH($B$67)))*(1+IF(MONTH(CR$3)=1,'Вводные'!$B$67,IF(AND(MONTH(CR$3)&gt;=5,MONTH(CR$3)&lt;=8),'Вводные'!$B$70,0))),0)</x:f>
        <x:v>0</x:v>
      </x:c>
      <x:c r="CS74" s="35" t="n">
        <x:f>IF(AND(CS$3&gt;=$B$67,CS$3&lt;EDATE($B$67,MAX(1,'Вводные'!$K$73)),AND($B$63="Да",IFERROR(INDEX('Вводные'!$B$88:$B$90,$B$64),"Нет")="Да")),(1+INDEX('Вводные'!$AD$88:$AD$90,$B$64)*'Вводные'!$H$7)^MAX(0,(12*(YEAR(CS$3)-YEAR($B$67))+MONTH(CS$3)-MONTH($B$67)))*(1+IF(MONTH(CS$3)=1,'Вводные'!$B$67,IF(AND(MONTH(CS$3)&gt;=5,MONTH(CS$3)&lt;=8),'Вводные'!$B$70,0))),0)</x:f>
        <x:v>0</x:v>
      </x:c>
      <x:c r="CT74" s="35" t="n">
        <x:f>IF(AND(CT$3&gt;=$B$67,CT$3&lt;EDATE($B$67,MAX(1,'Вводные'!$K$73)),AND($B$63="Да",IFERROR(INDEX('Вводные'!$B$88:$B$90,$B$64),"Нет")="Да")),(1+INDEX('Вводные'!$AD$88:$AD$90,$B$64)*'Вводные'!$H$7)^MAX(0,(12*(YEAR(CT$3)-YEAR($B$67))+MONTH(CT$3)-MONTH($B$67)))*(1+IF(MONTH(CT$3)=1,'Вводные'!$B$67,IF(AND(MONTH(CT$3)&gt;=5,MONTH(CT$3)&lt;=8),'Вводные'!$B$70,0))),0)</x:f>
        <x:v>0</x:v>
      </x:c>
      <x:c r="CU74" s="35" t="n">
        <x:f>IF(AND(CU$3&gt;=$B$67,CU$3&lt;EDATE($B$67,MAX(1,'Вводные'!$K$73)),AND($B$63="Да",IFERROR(INDEX('Вводные'!$B$88:$B$90,$B$64),"Нет")="Да")),(1+INDEX('Вводные'!$AD$88:$AD$90,$B$64)*'Вводные'!$H$7)^MAX(0,(12*(YEAR(CU$3)-YEAR($B$67))+MONTH(CU$3)-MONTH($B$67)))*(1+IF(MONTH(CU$3)=1,'Вводные'!$B$67,IF(AND(MONTH(CU$3)&gt;=5,MONTH(CU$3)&lt;=8),'Вводные'!$B$70,0))),0)</x:f>
        <x:v>0</x:v>
      </x:c>
      <x:c r="CV74" s="35" t="n">
        <x:f>IF(AND(CV$3&gt;=$B$67,CV$3&lt;EDATE($B$67,MAX(1,'Вводные'!$K$73)),AND($B$63="Да",IFERROR(INDEX('Вводные'!$B$88:$B$90,$B$64),"Нет")="Да")),(1+INDEX('Вводные'!$AD$88:$AD$90,$B$64)*'Вводные'!$H$7)^MAX(0,(12*(YEAR(CV$3)-YEAR($B$67))+MONTH(CV$3)-MONTH($B$67)))*(1+IF(MONTH(CV$3)=1,'Вводные'!$B$67,IF(AND(MONTH(CV$3)&gt;=5,MONTH(CV$3)&lt;=8),'Вводные'!$B$70,0))),0)</x:f>
        <x:v>0</x:v>
      </x:c>
      <x:c r="CW74" s="35" t="n">
        <x:f>IF(AND(CW$3&gt;=$B$67,CW$3&lt;EDATE($B$67,MAX(1,'Вводные'!$K$73)),AND($B$63="Да",IFERROR(INDEX('Вводные'!$B$88:$B$90,$B$64),"Нет")="Да")),(1+INDEX('Вводные'!$AD$88:$AD$90,$B$64)*'Вводные'!$H$7)^MAX(0,(12*(YEAR(CW$3)-YEAR($B$67))+MONTH(CW$3)-MONTH($B$67)))*(1+IF(MONTH(CW$3)=1,'Вводные'!$B$67,IF(AND(MONTH(CW$3)&gt;=5,MONTH(CW$3)&lt;=8),'Вводные'!$B$70,0))),0)</x:f>
        <x:v>0</x:v>
      </x:c>
      <x:c r="CX74" s="35" t="n">
        <x:f>IF(AND(CX$3&gt;=$B$67,CX$3&lt;EDATE($B$67,MAX(1,'Вводные'!$K$73)),AND($B$63="Да",IFERROR(INDEX('Вводные'!$B$88:$B$90,$B$64),"Нет")="Да")),(1+INDEX('Вводные'!$AD$88:$AD$90,$B$64)*'Вводные'!$H$7)^MAX(0,(12*(YEAR(CX$3)-YEAR($B$67))+MONTH(CX$3)-MONTH($B$67)))*(1+IF(MONTH(CX$3)=1,'Вводные'!$B$67,IF(AND(MONTH(CX$3)&gt;=5,MONTH(CX$3)&lt;=8),'Вводные'!$B$70,0))),0)</x:f>
        <x:v>0</x:v>
      </x:c>
      <x:c r="CY74" s="35" t="n">
        <x:f>IF(AND(CY$3&gt;=$B$67,CY$3&lt;EDATE($B$67,MAX(1,'Вводные'!$K$73)),AND($B$63="Да",IFERROR(INDEX('Вводные'!$B$88:$B$90,$B$64),"Нет")="Да")),(1+INDEX('Вводные'!$AD$88:$AD$90,$B$64)*'Вводные'!$H$7)^MAX(0,(12*(YEAR(CY$3)-YEAR($B$67))+MONTH(CY$3)-MONTH($B$67)))*(1+IF(MONTH(CY$3)=1,'Вводные'!$B$67,IF(AND(MONTH(CY$3)&gt;=5,MONTH(CY$3)&lt;=8),'Вводные'!$B$70,0))),0)</x:f>
        <x:v>0</x:v>
      </x:c>
      <x:c r="CZ74" s="35" t="n">
        <x:f>IF(AND(CZ$3&gt;=$B$67,CZ$3&lt;EDATE($B$67,MAX(1,'Вводные'!$K$73)),AND($B$63="Да",IFERROR(INDEX('Вводные'!$B$88:$B$90,$B$64),"Нет")="Да")),(1+INDEX('Вводные'!$AD$88:$AD$90,$B$64)*'Вводные'!$H$7)^MAX(0,(12*(YEAR(CZ$3)-YEAR($B$67))+MONTH(CZ$3)-MONTH($B$67)))*(1+IF(MONTH(CZ$3)=1,'Вводные'!$B$67,IF(AND(MONTH(CZ$3)&gt;=5,MONTH(CZ$3)&lt;=8),'Вводные'!$B$70,0))),0)</x:f>
        <x:v>0</x:v>
      </x:c>
      <x:c r="DA74" s="35" t="n">
        <x:f>IF(AND(DA$3&gt;=$B$67,DA$3&lt;EDATE($B$67,MAX(1,'Вводные'!$K$73)),AND($B$63="Да",IFERROR(INDEX('Вводные'!$B$88:$B$90,$B$64),"Нет")="Да")),(1+INDEX('Вводные'!$AD$88:$AD$90,$B$64)*'Вводные'!$H$7)^MAX(0,(12*(YEAR(DA$3)-YEAR($B$67))+MONTH(DA$3)-MONTH($B$67)))*(1+IF(MONTH(DA$3)=1,'Вводные'!$B$67,IF(AND(MONTH(DA$3)&gt;=5,MONTH(DA$3)&lt;=8),'Вводные'!$B$70,0))),0)</x:f>
        <x:v>0</x:v>
      </x:c>
      <x:c r="DB74" s="35" t="n">
        <x:f>IF(AND(DB$3&gt;=$B$67,DB$3&lt;EDATE($B$67,MAX(1,'Вводные'!$K$73)),AND($B$63="Да",IFERROR(INDEX('Вводные'!$B$88:$B$90,$B$64),"Нет")="Да")),(1+INDEX('Вводные'!$AD$88:$AD$90,$B$64)*'Вводные'!$H$7)^MAX(0,(12*(YEAR(DB$3)-YEAR($B$67))+MONTH(DB$3)-MONTH($B$67)))*(1+IF(MONTH(DB$3)=1,'Вводные'!$B$67,IF(AND(MONTH(DB$3)&gt;=5,MONTH(DB$3)&lt;=8),'Вводные'!$B$70,0))),0)</x:f>
        <x:v>0</x:v>
      </x:c>
      <x:c r="DC74" s="35" t="n">
        <x:f>IF(AND(DC$3&gt;=$B$67,DC$3&lt;EDATE($B$67,MAX(1,'Вводные'!$K$73)),AND($B$63="Да",IFERROR(INDEX('Вводные'!$B$88:$B$90,$B$64),"Нет")="Да")),(1+INDEX('Вводные'!$AD$88:$AD$90,$B$64)*'Вводные'!$H$7)^MAX(0,(12*(YEAR(DC$3)-YEAR($B$67))+MONTH(DC$3)-MONTH($B$67)))*(1+IF(MONTH(DC$3)=1,'Вводные'!$B$67,IF(AND(MONTH(DC$3)&gt;=5,MONTH(DC$3)&lt;=8),'Вводные'!$B$70,0))),0)</x:f>
        <x:v>0</x:v>
      </x:c>
      <x:c r="DD74" s="35" t="n">
        <x:f>IF(AND(DD$3&gt;=$B$67,DD$3&lt;EDATE($B$67,MAX(1,'Вводные'!$K$73)),AND($B$63="Да",IFERROR(INDEX('Вводные'!$B$88:$B$90,$B$64),"Нет")="Да")),(1+INDEX('Вводные'!$AD$88:$AD$90,$B$64)*'Вводные'!$H$7)^MAX(0,(12*(YEAR(DD$3)-YEAR($B$67))+MONTH(DD$3)-MONTH($B$67)))*(1+IF(MONTH(DD$3)=1,'Вводные'!$B$67,IF(AND(MONTH(DD$3)&gt;=5,MONTH(DD$3)&lt;=8),'Вводные'!$B$70,0))),0)</x:f>
        <x:v>0</x:v>
      </x:c>
      <x:c r="DE74" s="35" t="n">
        <x:f>IF(AND(DE$3&gt;=$B$67,DE$3&lt;EDATE($B$67,MAX(1,'Вводные'!$K$73)),AND($B$63="Да",IFERROR(INDEX('Вводные'!$B$88:$B$90,$B$64),"Нет")="Да")),(1+INDEX('Вводные'!$AD$88:$AD$90,$B$64)*'Вводные'!$H$7)^MAX(0,(12*(YEAR(DE$3)-YEAR($B$67))+MONTH(DE$3)-MONTH($B$67)))*(1+IF(MONTH(DE$3)=1,'Вводные'!$B$67,IF(AND(MONTH(DE$3)&gt;=5,MONTH(DE$3)&lt;=8),'Вводные'!$B$70,0))),0)</x:f>
        <x:v>0</x:v>
      </x:c>
      <x:c r="DF74" s="35" t="n">
        <x:f>IF(AND(DF$3&gt;=$B$67,DF$3&lt;EDATE($B$67,MAX(1,'Вводные'!$K$73)),AND($B$63="Да",IFERROR(INDEX('Вводные'!$B$88:$B$90,$B$64),"Нет")="Да")),(1+INDEX('Вводные'!$AD$88:$AD$90,$B$64)*'Вводные'!$H$7)^MAX(0,(12*(YEAR(DF$3)-YEAR($B$67))+MONTH(DF$3)-MONTH($B$67)))*(1+IF(MONTH(DF$3)=1,'Вводные'!$B$67,IF(AND(MONTH(DF$3)&gt;=5,MONTH(DF$3)&lt;=8),'Вводные'!$B$70,0))),0)</x:f>
        <x:v>0</x:v>
      </x:c>
      <x:c r="DG74" s="35" t="n">
        <x:f>IF(AND(DG$3&gt;=$B$67,DG$3&lt;EDATE($B$67,MAX(1,'Вводные'!$K$73)),AND($B$63="Да",IFERROR(INDEX('Вводные'!$B$88:$B$90,$B$64),"Нет")="Да")),(1+INDEX('Вводные'!$AD$88:$AD$90,$B$64)*'Вводные'!$H$7)^MAX(0,(12*(YEAR(DG$3)-YEAR($B$67))+MONTH(DG$3)-MONTH($B$67)))*(1+IF(MONTH(DG$3)=1,'Вводные'!$B$67,IF(AND(MONTH(DG$3)&gt;=5,MONTH(DG$3)&lt;=8),'Вводные'!$B$70,0))),0)</x:f>
        <x:v>0</x:v>
      </x:c>
      <x:c r="DH74" s="35" t="n">
        <x:f>IF(AND(DH$3&gt;=$B$67,DH$3&lt;EDATE($B$67,MAX(1,'Вводные'!$K$73)),AND($B$63="Да",IFERROR(INDEX('Вводные'!$B$88:$B$90,$B$64),"Нет")="Да")),(1+INDEX('Вводные'!$AD$88:$AD$90,$B$64)*'Вводные'!$H$7)^MAX(0,(12*(YEAR(DH$3)-YEAR($B$67))+MONTH(DH$3)-MONTH($B$67)))*(1+IF(MONTH(DH$3)=1,'Вводные'!$B$67,IF(AND(MONTH(DH$3)&gt;=5,MONTH(DH$3)&lt;=8),'Вводные'!$B$70,0))),0)</x:f>
        <x:v>0</x:v>
      </x:c>
      <x:c r="DI74" s="35" t="n">
        <x:f>IF(AND(DI$3&gt;=$B$67,DI$3&lt;EDATE($B$67,MAX(1,'Вводные'!$K$73)),AND($B$63="Да",IFERROR(INDEX('Вводные'!$B$88:$B$90,$B$64),"Нет")="Да")),(1+INDEX('Вводные'!$AD$88:$AD$90,$B$64)*'Вводные'!$H$7)^MAX(0,(12*(YEAR(DI$3)-YEAR($B$67))+MONTH(DI$3)-MONTH($B$67)))*(1+IF(MONTH(DI$3)=1,'Вводные'!$B$67,IF(AND(MONTH(DI$3)&gt;=5,MONTH(DI$3)&lt;=8),'Вводные'!$B$70,0))),0)</x:f>
        <x:v>0</x:v>
      </x:c>
      <x:c r="DJ74" s="35" t="n">
        <x:f>IF(AND(DJ$3&gt;=$B$67,DJ$3&lt;EDATE($B$67,MAX(1,'Вводные'!$K$73)),AND($B$63="Да",IFERROR(INDEX('Вводные'!$B$88:$B$90,$B$64),"Нет")="Да")),(1+INDEX('Вводные'!$AD$88:$AD$90,$B$64)*'Вводные'!$H$7)^MAX(0,(12*(YEAR(DJ$3)-YEAR($B$67))+MONTH(DJ$3)-MONTH($B$67)))*(1+IF(MONTH(DJ$3)=1,'Вводные'!$B$67,IF(AND(MONTH(DJ$3)&gt;=5,MONTH(DJ$3)&lt;=8),'Вводные'!$B$70,0))),0)</x:f>
        <x:v>0</x:v>
      </x:c>
      <x:c r="DK74" s="35" t="n">
        <x:f>IF(AND(DK$3&gt;=$B$67,DK$3&lt;EDATE($B$67,MAX(1,'Вводные'!$K$73)),AND($B$63="Да",IFERROR(INDEX('Вводные'!$B$88:$B$90,$B$64),"Нет")="Да")),(1+INDEX('Вводные'!$AD$88:$AD$90,$B$64)*'Вводные'!$H$7)^MAX(0,(12*(YEAR(DK$3)-YEAR($B$67))+MONTH(DK$3)-MONTH($B$67)))*(1+IF(MONTH(DK$3)=1,'Вводные'!$B$67,IF(AND(MONTH(DK$3)&gt;=5,MONTH(DK$3)&lt;=8),'Вводные'!$B$70,0))),0)</x:f>
        <x:v>0</x:v>
      </x:c>
      <x:c r="DL74" s="35" t="n">
        <x:f>IF(AND(DL$3&gt;=$B$67,DL$3&lt;EDATE($B$67,MAX(1,'Вводные'!$K$73)),AND($B$63="Да",IFERROR(INDEX('Вводные'!$B$88:$B$90,$B$64),"Нет")="Да")),(1+INDEX('Вводные'!$AD$88:$AD$90,$B$64)*'Вводные'!$H$7)^MAX(0,(12*(YEAR(DL$3)-YEAR($B$67))+MONTH(DL$3)-MONTH($B$67)))*(1+IF(MONTH(DL$3)=1,'Вводные'!$B$67,IF(AND(MONTH(DL$3)&gt;=5,MONTH(DL$3)&lt;=8),'Вводные'!$B$70,0))),0)</x:f>
        <x:v>0</x:v>
      </x:c>
      <x:c r="DM74" s="35" t="n">
        <x:f>IF(AND(DM$3&gt;=$B$67,DM$3&lt;EDATE($B$67,MAX(1,'Вводные'!$K$73)),AND($B$63="Да",IFERROR(INDEX('Вводные'!$B$88:$B$90,$B$64),"Нет")="Да")),(1+INDEX('Вводные'!$AD$88:$AD$90,$B$64)*'Вводные'!$H$7)^MAX(0,(12*(YEAR(DM$3)-YEAR($B$67))+MONTH(DM$3)-MONTH($B$67)))*(1+IF(MONTH(DM$3)=1,'Вводные'!$B$67,IF(AND(MONTH(DM$3)&gt;=5,MONTH(DM$3)&lt;=8),'Вводные'!$B$70,0))),0)</x:f>
        <x:v>0</x:v>
      </x:c>
      <x:c r="DN74" s="35" t="n">
        <x:f>IF(AND(DN$3&gt;=$B$67,DN$3&lt;EDATE($B$67,MAX(1,'Вводные'!$K$73)),AND($B$63="Да",IFERROR(INDEX('Вводные'!$B$88:$B$90,$B$64),"Нет")="Да")),(1+INDEX('Вводные'!$AD$88:$AD$90,$B$64)*'Вводные'!$H$7)^MAX(0,(12*(YEAR(DN$3)-YEAR($B$67))+MONTH(DN$3)-MONTH($B$67)))*(1+IF(MONTH(DN$3)=1,'Вводные'!$B$67,IF(AND(MONTH(DN$3)&gt;=5,MONTH(DN$3)&lt;=8),'Вводные'!$B$70,0))),0)</x:f>
        <x:v>0</x:v>
      </x:c>
      <x:c r="DO74" s="35" t="n">
        <x:f>IF(AND(DO$3&gt;=$B$67,DO$3&lt;EDATE($B$67,MAX(1,'Вводные'!$K$73)),AND($B$63="Да",IFERROR(INDEX('Вводные'!$B$88:$B$90,$B$64),"Нет")="Да")),(1+INDEX('Вводные'!$AD$88:$AD$90,$B$64)*'Вводные'!$H$7)^MAX(0,(12*(YEAR(DO$3)-YEAR($B$67))+MONTH(DO$3)-MONTH($B$67)))*(1+IF(MONTH(DO$3)=1,'Вводные'!$B$67,IF(AND(MONTH(DO$3)&gt;=5,MONTH(DO$3)&lt;=8),'Вводные'!$B$70,0))),0)</x:f>
        <x:v>0</x:v>
      </x:c>
      <x:c r="DP74" s="35" t="n">
        <x:f>IF(AND(DP$3&gt;=$B$67,DP$3&lt;EDATE($B$67,MAX(1,'Вводные'!$K$73)),AND($B$63="Да",IFERROR(INDEX('Вводные'!$B$88:$B$90,$B$64),"Нет")="Да")),(1+INDEX('Вводные'!$AD$88:$AD$90,$B$64)*'Вводные'!$H$7)^MAX(0,(12*(YEAR(DP$3)-YEAR($B$67))+MONTH(DP$3)-MONTH($B$67)))*(1+IF(MONTH(DP$3)=1,'Вводные'!$B$67,IF(AND(MONTH(DP$3)&gt;=5,MONTH(DP$3)&lt;=8),'Вводные'!$B$70,0))),0)</x:f>
        <x:v>0</x:v>
      </x:c>
      <x:c r="DQ74" s="35" t="n">
        <x:f>IF(AND(DQ$3&gt;=$B$67,DQ$3&lt;EDATE($B$67,MAX(1,'Вводные'!$K$73)),AND($B$63="Да",IFERROR(INDEX('Вводные'!$B$88:$B$90,$B$64),"Нет")="Да")),(1+INDEX('Вводные'!$AD$88:$AD$90,$B$64)*'Вводные'!$H$7)^MAX(0,(12*(YEAR(DQ$3)-YEAR($B$67))+MONTH(DQ$3)-MONTH($B$67)))*(1+IF(MONTH(DQ$3)=1,'Вводные'!$B$67,IF(AND(MONTH(DQ$3)&gt;=5,MONTH(DQ$3)&lt;=8),'Вводные'!$B$70,0))),0)</x:f>
        <x:v>0</x:v>
      </x:c>
      <x:c r="DR74" s="35" t="n">
        <x:f>IF(AND(DR$3&gt;=$B$67,DR$3&lt;EDATE($B$67,MAX(1,'Вводные'!$K$73)),AND($B$63="Да",IFERROR(INDEX('Вводные'!$B$88:$B$90,$B$64),"Нет")="Да")),(1+INDEX('Вводные'!$AD$88:$AD$90,$B$64)*'Вводные'!$H$7)^MAX(0,(12*(YEAR(DR$3)-YEAR($B$67))+MONTH(DR$3)-MONTH($B$67)))*(1+IF(MONTH(DR$3)=1,'Вводные'!$B$67,IF(AND(MONTH(DR$3)&gt;=5,MONTH(DR$3)&lt;=8),'Вводные'!$B$70,0))),0)</x:f>
        <x:v>0</x:v>
      </x:c>
      <x:c r="DS74" s="35" t="n">
        <x:f>IF(AND(DS$3&gt;=$B$67,DS$3&lt;EDATE($B$67,MAX(1,'Вводные'!$K$73)),AND($B$63="Да",IFERROR(INDEX('Вводные'!$B$88:$B$90,$B$64),"Нет")="Да")),(1+INDEX('Вводные'!$AD$88:$AD$90,$B$64)*'Вводные'!$H$7)^MAX(0,(12*(YEAR(DS$3)-YEAR($B$67))+MONTH(DS$3)-MONTH($B$67)))*(1+IF(MONTH(DS$3)=1,'Вводные'!$B$67,IF(AND(MONTH(DS$3)&gt;=5,MONTH(DS$3)&lt;=8),'Вводные'!$B$70,0))),0)</x:f>
        <x:v>0</x:v>
      </x:c>
    </x:row>
    <x:row r="75">
      <x:c r="A75" t="str">
        <x:v>Нормированный вес до РВЭ</x:v>
      </x:c>
      <x:c r="B75" s="35" t="n">
        <x:f>SUM(D75:DS75)</x:f>
        <x:v>0</x:v>
      </x:c>
      <x:c r="C75" t="str">
        <x:v>%</x:v>
      </x:c>
      <x:c r="D75" s="35" t="n">
        <x:f>IFERROR(D74*D73/SUMPRODUCT($D74:$DS74,$D73:$DS73),0)</x:f>
        <x:v>0</x:v>
      </x:c>
      <x:c r="E75" s="35" t="n">
        <x:f>IFERROR(E74*E73/SUMPRODUCT($D74:$DS74,$D73:$DS73),0)</x:f>
        <x:v>0</x:v>
      </x:c>
      <x:c r="F75" s="35" t="n">
        <x:f>IFERROR(F74*F73/SUMPRODUCT($D74:$DS74,$D73:$DS73),0)</x:f>
        <x:v>0</x:v>
      </x:c>
      <x:c r="G75" s="35" t="n">
        <x:f>IFERROR(G74*G73/SUMPRODUCT($D74:$DS74,$D73:$DS73),0)</x:f>
        <x:v>0</x:v>
      </x:c>
      <x:c r="H75" s="35" t="n">
        <x:f>IFERROR(H74*H73/SUMPRODUCT($D74:$DS74,$D73:$DS73),0)</x:f>
        <x:v>0</x:v>
      </x:c>
      <x:c r="I75" s="35" t="n">
        <x:f>IFERROR(I74*I73/SUMPRODUCT($D74:$DS74,$D73:$DS73),0)</x:f>
        <x:v>0</x:v>
      </x:c>
      <x:c r="J75" s="35" t="n">
        <x:f>IFERROR(J74*J73/SUMPRODUCT($D74:$DS74,$D73:$DS73),0)</x:f>
        <x:v>0</x:v>
      </x:c>
      <x:c r="K75" s="35" t="n">
        <x:f>IFERROR(K74*K73/SUMPRODUCT($D74:$DS74,$D73:$DS73),0)</x:f>
        <x:v>0</x:v>
      </x:c>
      <x:c r="L75" s="35" t="n">
        <x:f>IFERROR(L74*L73/SUMPRODUCT($D74:$DS74,$D73:$DS73),0)</x:f>
        <x:v>0</x:v>
      </x:c>
      <x:c r="M75" s="35" t="n">
        <x:f>IFERROR(M74*M73/SUMPRODUCT($D74:$DS74,$D73:$DS73),0)</x:f>
        <x:v>0</x:v>
      </x:c>
      <x:c r="N75" s="35" t="n">
        <x:f>IFERROR(N74*N73/SUMPRODUCT($D74:$DS74,$D73:$DS73),0)</x:f>
        <x:v>0</x:v>
      </x:c>
      <x:c r="O75" s="35" t="n">
        <x:f>IFERROR(O74*O73/SUMPRODUCT($D74:$DS74,$D73:$DS73),0)</x:f>
        <x:v>0</x:v>
      </x:c>
      <x:c r="P75" s="35" t="n">
        <x:f>IFERROR(P74*P73/SUMPRODUCT($D74:$DS74,$D73:$DS73),0)</x:f>
        <x:v>0</x:v>
      </x:c>
      <x:c r="Q75" s="35" t="n">
        <x:f>IFERROR(Q74*Q73/SUMPRODUCT($D74:$DS74,$D73:$DS73),0)</x:f>
        <x:v>0</x:v>
      </x:c>
      <x:c r="R75" s="35" t="n">
        <x:f>IFERROR(R74*R73/SUMPRODUCT($D74:$DS74,$D73:$DS73),0)</x:f>
        <x:v>0</x:v>
      </x:c>
      <x:c r="S75" s="35" t="n">
        <x:f>IFERROR(S74*S73/SUMPRODUCT($D74:$DS74,$D73:$DS73),0)</x:f>
        <x:v>0</x:v>
      </x:c>
      <x:c r="T75" s="35" t="n">
        <x:f>IFERROR(T74*T73/SUMPRODUCT($D74:$DS74,$D73:$DS73),0)</x:f>
        <x:v>0</x:v>
      </x:c>
      <x:c r="U75" s="35" t="n">
        <x:f>IFERROR(U74*U73/SUMPRODUCT($D74:$DS74,$D73:$DS73),0)</x:f>
        <x:v>0</x:v>
      </x:c>
      <x:c r="V75" s="35" t="n">
        <x:f>IFERROR(V74*V73/SUMPRODUCT($D74:$DS74,$D73:$DS73),0)</x:f>
        <x:v>0</x:v>
      </x:c>
      <x:c r="W75" s="35" t="n">
        <x:f>IFERROR(W74*W73/SUMPRODUCT($D74:$DS74,$D73:$DS73),0)</x:f>
        <x:v>0</x:v>
      </x:c>
      <x:c r="X75" s="35" t="n">
        <x:f>IFERROR(X74*X73/SUMPRODUCT($D74:$DS74,$D73:$DS73),0)</x:f>
        <x:v>0</x:v>
      </x:c>
      <x:c r="Y75" s="35" t="n">
        <x:f>IFERROR(Y74*Y73/SUMPRODUCT($D74:$DS74,$D73:$DS73),0)</x:f>
        <x:v>0</x:v>
      </x:c>
      <x:c r="Z75" s="35" t="n">
        <x:f>IFERROR(Z74*Z73/SUMPRODUCT($D74:$DS74,$D73:$DS73),0)</x:f>
        <x:v>0</x:v>
      </x:c>
      <x:c r="AA75" s="35" t="n">
        <x:f>IFERROR(AA74*AA73/SUMPRODUCT($D74:$DS74,$D73:$DS73),0)</x:f>
        <x:v>0</x:v>
      </x:c>
      <x:c r="AB75" s="35" t="n">
        <x:f>IFERROR(AB74*AB73/SUMPRODUCT($D74:$DS74,$D73:$DS73),0)</x:f>
        <x:v>0</x:v>
      </x:c>
      <x:c r="AC75" s="35" t="n">
        <x:f>IFERROR(AC74*AC73/SUMPRODUCT($D74:$DS74,$D73:$DS73),0)</x:f>
        <x:v>0</x:v>
      </x:c>
      <x:c r="AD75" s="35" t="n">
        <x:f>IFERROR(AD74*AD73/SUMPRODUCT($D74:$DS74,$D73:$DS73),0)</x:f>
        <x:v>0</x:v>
      </x:c>
      <x:c r="AE75" s="35" t="n">
        <x:f>IFERROR(AE74*AE73/SUMPRODUCT($D74:$DS74,$D73:$DS73),0)</x:f>
        <x:v>0</x:v>
      </x:c>
      <x:c r="AF75" s="35" t="n">
        <x:f>IFERROR(AF74*AF73/SUMPRODUCT($D74:$DS74,$D73:$DS73),0)</x:f>
        <x:v>0</x:v>
      </x:c>
      <x:c r="AG75" s="35" t="n">
        <x:f>IFERROR(AG74*AG73/SUMPRODUCT($D74:$DS74,$D73:$DS73),0)</x:f>
        <x:v>0</x:v>
      </x:c>
      <x:c r="AH75" s="35" t="n">
        <x:f>IFERROR(AH74*AH73/SUMPRODUCT($D74:$DS74,$D73:$DS73),0)</x:f>
        <x:v>0</x:v>
      </x:c>
      <x:c r="AI75" s="35" t="n">
        <x:f>IFERROR(AI74*AI73/SUMPRODUCT($D74:$DS74,$D73:$DS73),0)</x:f>
        <x:v>0</x:v>
      </x:c>
      <x:c r="AJ75" s="35" t="n">
        <x:f>IFERROR(AJ74*AJ73/SUMPRODUCT($D74:$DS74,$D73:$DS73),0)</x:f>
        <x:v>0</x:v>
      </x:c>
      <x:c r="AK75" s="35" t="n">
        <x:f>IFERROR(AK74*AK73/SUMPRODUCT($D74:$DS74,$D73:$DS73),0)</x:f>
        <x:v>0</x:v>
      </x:c>
      <x:c r="AL75" s="35" t="n">
        <x:f>IFERROR(AL74*AL73/SUMPRODUCT($D74:$DS74,$D73:$DS73),0)</x:f>
        <x:v>0</x:v>
      </x:c>
      <x:c r="AM75" s="35" t="n">
        <x:f>IFERROR(AM74*AM73/SUMPRODUCT($D74:$DS74,$D73:$DS73),0)</x:f>
        <x:v>0</x:v>
      </x:c>
      <x:c r="AN75" s="35" t="n">
        <x:f>IFERROR(AN74*AN73/SUMPRODUCT($D74:$DS74,$D73:$DS73),0)</x:f>
        <x:v>0</x:v>
      </x:c>
      <x:c r="AO75" s="35" t="n">
        <x:f>IFERROR(AO74*AO73/SUMPRODUCT($D74:$DS74,$D73:$DS73),0)</x:f>
        <x:v>0</x:v>
      </x:c>
      <x:c r="AP75" s="35" t="n">
        <x:f>IFERROR(AP74*AP73/SUMPRODUCT($D74:$DS74,$D73:$DS73),0)</x:f>
        <x:v>0</x:v>
      </x:c>
      <x:c r="AQ75" s="35" t="n">
        <x:f>IFERROR(AQ74*AQ73/SUMPRODUCT($D74:$DS74,$D73:$DS73),0)</x:f>
        <x:v>0</x:v>
      </x:c>
      <x:c r="AR75" s="35" t="n">
        <x:f>IFERROR(AR74*AR73/SUMPRODUCT($D74:$DS74,$D73:$DS73),0)</x:f>
        <x:v>0</x:v>
      </x:c>
      <x:c r="AS75" s="35" t="n">
        <x:f>IFERROR(AS74*AS73/SUMPRODUCT($D74:$DS74,$D73:$DS73),0)</x:f>
        <x:v>0</x:v>
      </x:c>
      <x:c r="AT75" s="35" t="n">
        <x:f>IFERROR(AT74*AT73/SUMPRODUCT($D74:$DS74,$D73:$DS73),0)</x:f>
        <x:v>0</x:v>
      </x:c>
      <x:c r="AU75" s="35" t="n">
        <x:f>IFERROR(AU74*AU73/SUMPRODUCT($D74:$DS74,$D73:$DS73),0)</x:f>
        <x:v>0</x:v>
      </x:c>
      <x:c r="AV75" s="35" t="n">
        <x:f>IFERROR(AV74*AV73/SUMPRODUCT($D74:$DS74,$D73:$DS73),0)</x:f>
        <x:v>0</x:v>
      </x:c>
      <x:c r="AW75" s="35" t="n">
        <x:f>IFERROR(AW74*AW73/SUMPRODUCT($D74:$DS74,$D73:$DS73),0)</x:f>
        <x:v>0</x:v>
      </x:c>
      <x:c r="AX75" s="35" t="n">
        <x:f>IFERROR(AX74*AX73/SUMPRODUCT($D74:$DS74,$D73:$DS73),0)</x:f>
        <x:v>0</x:v>
      </x:c>
      <x:c r="AY75" s="35" t="n">
        <x:f>IFERROR(AY74*AY73/SUMPRODUCT($D74:$DS74,$D73:$DS73),0)</x:f>
        <x:v>0</x:v>
      </x:c>
      <x:c r="AZ75" s="35" t="n">
        <x:f>IFERROR(AZ74*AZ73/SUMPRODUCT($D74:$DS74,$D73:$DS73),0)</x:f>
        <x:v>0</x:v>
      </x:c>
      <x:c r="BA75" s="35" t="n">
        <x:f>IFERROR(BA74*BA73/SUMPRODUCT($D74:$DS74,$D73:$DS73),0)</x:f>
        <x:v>0</x:v>
      </x:c>
      <x:c r="BB75" s="35" t="n">
        <x:f>IFERROR(BB74*BB73/SUMPRODUCT($D74:$DS74,$D73:$DS73),0)</x:f>
        <x:v>0</x:v>
      </x:c>
      <x:c r="BC75" s="35" t="n">
        <x:f>IFERROR(BC74*BC73/SUMPRODUCT($D74:$DS74,$D73:$DS73),0)</x:f>
        <x:v>0</x:v>
      </x:c>
      <x:c r="BD75" s="35" t="n">
        <x:f>IFERROR(BD74*BD73/SUMPRODUCT($D74:$DS74,$D73:$DS73),0)</x:f>
        <x:v>0</x:v>
      </x:c>
      <x:c r="BE75" s="35" t="n">
        <x:f>IFERROR(BE74*BE73/SUMPRODUCT($D74:$DS74,$D73:$DS73),0)</x:f>
        <x:v>0</x:v>
      </x:c>
      <x:c r="BF75" s="35" t="n">
        <x:f>IFERROR(BF74*BF73/SUMPRODUCT($D74:$DS74,$D73:$DS73),0)</x:f>
        <x:v>0</x:v>
      </x:c>
      <x:c r="BG75" s="35" t="n">
        <x:f>IFERROR(BG74*BG73/SUMPRODUCT($D74:$DS74,$D73:$DS73),0)</x:f>
        <x:v>0</x:v>
      </x:c>
      <x:c r="BH75" s="35" t="n">
        <x:f>IFERROR(BH74*BH73/SUMPRODUCT($D74:$DS74,$D73:$DS73),0)</x:f>
        <x:v>0</x:v>
      </x:c>
      <x:c r="BI75" s="35" t="n">
        <x:f>IFERROR(BI74*BI73/SUMPRODUCT($D74:$DS74,$D73:$DS73),0)</x:f>
        <x:v>0</x:v>
      </x:c>
      <x:c r="BJ75" s="35" t="n">
        <x:f>IFERROR(BJ74*BJ73/SUMPRODUCT($D74:$DS74,$D73:$DS73),0)</x:f>
        <x:v>0</x:v>
      </x:c>
      <x:c r="BK75" s="35" t="n">
        <x:f>IFERROR(BK74*BK73/SUMPRODUCT($D74:$DS74,$D73:$DS73),0)</x:f>
        <x:v>0</x:v>
      </x:c>
      <x:c r="BL75" s="35" t="n">
        <x:f>IFERROR(BL74*BL73/SUMPRODUCT($D74:$DS74,$D73:$DS73),0)</x:f>
        <x:v>0</x:v>
      </x:c>
      <x:c r="BM75" s="35" t="n">
        <x:f>IFERROR(BM74*BM73/SUMPRODUCT($D74:$DS74,$D73:$DS73),0)</x:f>
        <x:v>0</x:v>
      </x:c>
      <x:c r="BN75" s="35" t="n">
        <x:f>IFERROR(BN74*BN73/SUMPRODUCT($D74:$DS74,$D73:$DS73),0)</x:f>
        <x:v>0</x:v>
      </x:c>
      <x:c r="BO75" s="35" t="n">
        <x:f>IFERROR(BO74*BO73/SUMPRODUCT($D74:$DS74,$D73:$DS73),0)</x:f>
        <x:v>0</x:v>
      </x:c>
      <x:c r="BP75" s="35" t="n">
        <x:f>IFERROR(BP74*BP73/SUMPRODUCT($D74:$DS74,$D73:$DS73),0)</x:f>
        <x:v>0</x:v>
      </x:c>
      <x:c r="BQ75" s="35" t="n">
        <x:f>IFERROR(BQ74*BQ73/SUMPRODUCT($D74:$DS74,$D73:$DS73),0)</x:f>
        <x:v>0</x:v>
      </x:c>
      <x:c r="BR75" s="35" t="n">
        <x:f>IFERROR(BR74*BR73/SUMPRODUCT($D74:$DS74,$D73:$DS73),0)</x:f>
        <x:v>0</x:v>
      </x:c>
      <x:c r="BS75" s="35" t="n">
        <x:f>IFERROR(BS74*BS73/SUMPRODUCT($D74:$DS74,$D73:$DS73),0)</x:f>
        <x:v>0</x:v>
      </x:c>
      <x:c r="BT75" s="35" t="n">
        <x:f>IFERROR(BT74*BT73/SUMPRODUCT($D74:$DS74,$D73:$DS73),0)</x:f>
        <x:v>0</x:v>
      </x:c>
      <x:c r="BU75" s="35" t="n">
        <x:f>IFERROR(BU74*BU73/SUMPRODUCT($D74:$DS74,$D73:$DS73),0)</x:f>
        <x:v>0</x:v>
      </x:c>
      <x:c r="BV75" s="35" t="n">
        <x:f>IFERROR(BV74*BV73/SUMPRODUCT($D74:$DS74,$D73:$DS73),0)</x:f>
        <x:v>0</x:v>
      </x:c>
      <x:c r="BW75" s="35" t="n">
        <x:f>IFERROR(BW74*BW73/SUMPRODUCT($D74:$DS74,$D73:$DS73),0)</x:f>
        <x:v>0</x:v>
      </x:c>
      <x:c r="BX75" s="35" t="n">
        <x:f>IFERROR(BX74*BX73/SUMPRODUCT($D74:$DS74,$D73:$DS73),0)</x:f>
        <x:v>0</x:v>
      </x:c>
      <x:c r="BY75" s="35" t="n">
        <x:f>IFERROR(BY74*BY73/SUMPRODUCT($D74:$DS74,$D73:$DS73),0)</x:f>
        <x:v>0</x:v>
      </x:c>
      <x:c r="BZ75" s="35" t="n">
        <x:f>IFERROR(BZ74*BZ73/SUMPRODUCT($D74:$DS74,$D73:$DS73),0)</x:f>
        <x:v>0</x:v>
      </x:c>
      <x:c r="CA75" s="35" t="n">
        <x:f>IFERROR(CA74*CA73/SUMPRODUCT($D74:$DS74,$D73:$DS73),0)</x:f>
        <x:v>0</x:v>
      </x:c>
      <x:c r="CB75" s="35" t="n">
        <x:f>IFERROR(CB74*CB73/SUMPRODUCT($D74:$DS74,$D73:$DS73),0)</x:f>
        <x:v>0</x:v>
      </x:c>
      <x:c r="CC75" s="35" t="n">
        <x:f>IFERROR(CC74*CC73/SUMPRODUCT($D74:$DS74,$D73:$DS73),0)</x:f>
        <x:v>0</x:v>
      </x:c>
      <x:c r="CD75" s="35" t="n">
        <x:f>IFERROR(CD74*CD73/SUMPRODUCT($D74:$DS74,$D73:$DS73),0)</x:f>
        <x:v>0</x:v>
      </x:c>
      <x:c r="CE75" s="35" t="n">
        <x:f>IFERROR(CE74*CE73/SUMPRODUCT($D74:$DS74,$D73:$DS73),0)</x:f>
        <x:v>0</x:v>
      </x:c>
      <x:c r="CF75" s="35" t="n">
        <x:f>IFERROR(CF74*CF73/SUMPRODUCT($D74:$DS74,$D73:$DS73),0)</x:f>
        <x:v>0</x:v>
      </x:c>
      <x:c r="CG75" s="35" t="n">
        <x:f>IFERROR(CG74*CG73/SUMPRODUCT($D74:$DS74,$D73:$DS73),0)</x:f>
        <x:v>0</x:v>
      </x:c>
      <x:c r="CH75" s="35" t="n">
        <x:f>IFERROR(CH74*CH73/SUMPRODUCT($D74:$DS74,$D73:$DS73),0)</x:f>
        <x:v>0</x:v>
      </x:c>
      <x:c r="CI75" s="35" t="n">
        <x:f>IFERROR(CI74*CI73/SUMPRODUCT($D74:$DS74,$D73:$DS73),0)</x:f>
        <x:v>0</x:v>
      </x:c>
      <x:c r="CJ75" s="35" t="n">
        <x:f>IFERROR(CJ74*CJ73/SUMPRODUCT($D74:$DS74,$D73:$DS73),0)</x:f>
        <x:v>0</x:v>
      </x:c>
      <x:c r="CK75" s="35" t="n">
        <x:f>IFERROR(CK74*CK73/SUMPRODUCT($D74:$DS74,$D73:$DS73),0)</x:f>
        <x:v>0</x:v>
      </x:c>
      <x:c r="CL75" s="35" t="n">
        <x:f>IFERROR(CL74*CL73/SUMPRODUCT($D74:$DS74,$D73:$DS73),0)</x:f>
        <x:v>0</x:v>
      </x:c>
      <x:c r="CM75" s="35" t="n">
        <x:f>IFERROR(CM74*CM73/SUMPRODUCT($D74:$DS74,$D73:$DS73),0)</x:f>
        <x:v>0</x:v>
      </x:c>
      <x:c r="CN75" s="35" t="n">
        <x:f>IFERROR(CN74*CN73/SUMPRODUCT($D74:$DS74,$D73:$DS73),0)</x:f>
        <x:v>0</x:v>
      </x:c>
      <x:c r="CO75" s="35" t="n">
        <x:f>IFERROR(CO74*CO73/SUMPRODUCT($D74:$DS74,$D73:$DS73),0)</x:f>
        <x:v>0</x:v>
      </x:c>
      <x:c r="CP75" s="35" t="n">
        <x:f>IFERROR(CP74*CP73/SUMPRODUCT($D74:$DS74,$D73:$DS73),0)</x:f>
        <x:v>0</x:v>
      </x:c>
      <x:c r="CQ75" s="35" t="n">
        <x:f>IFERROR(CQ74*CQ73/SUMPRODUCT($D74:$DS74,$D73:$DS73),0)</x:f>
        <x:v>0</x:v>
      </x:c>
      <x:c r="CR75" s="35" t="n">
        <x:f>IFERROR(CR74*CR73/SUMPRODUCT($D74:$DS74,$D73:$DS73),0)</x:f>
        <x:v>0</x:v>
      </x:c>
      <x:c r="CS75" s="35" t="n">
        <x:f>IFERROR(CS74*CS73/SUMPRODUCT($D74:$DS74,$D73:$DS73),0)</x:f>
        <x:v>0</x:v>
      </x:c>
      <x:c r="CT75" s="35" t="n">
        <x:f>IFERROR(CT74*CT73/SUMPRODUCT($D74:$DS74,$D73:$DS73),0)</x:f>
        <x:v>0</x:v>
      </x:c>
      <x:c r="CU75" s="35" t="n">
        <x:f>IFERROR(CU74*CU73/SUMPRODUCT($D74:$DS74,$D73:$DS73),0)</x:f>
        <x:v>0</x:v>
      </x:c>
      <x:c r="CV75" s="35" t="n">
        <x:f>IFERROR(CV74*CV73/SUMPRODUCT($D74:$DS74,$D73:$DS73),0)</x:f>
        <x:v>0</x:v>
      </x:c>
      <x:c r="CW75" s="35" t="n">
        <x:f>IFERROR(CW74*CW73/SUMPRODUCT($D74:$DS74,$D73:$DS73),0)</x:f>
        <x:v>0</x:v>
      </x:c>
      <x:c r="CX75" s="35" t="n">
        <x:f>IFERROR(CX74*CX73/SUMPRODUCT($D74:$DS74,$D73:$DS73),0)</x:f>
        <x:v>0</x:v>
      </x:c>
      <x:c r="CY75" s="35" t="n">
        <x:f>IFERROR(CY74*CY73/SUMPRODUCT($D74:$DS74,$D73:$DS73),0)</x:f>
        <x:v>0</x:v>
      </x:c>
      <x:c r="CZ75" s="35" t="n">
        <x:f>IFERROR(CZ74*CZ73/SUMPRODUCT($D74:$DS74,$D73:$DS73),0)</x:f>
        <x:v>0</x:v>
      </x:c>
      <x:c r="DA75" s="35" t="n">
        <x:f>IFERROR(DA74*DA73/SUMPRODUCT($D74:$DS74,$D73:$DS73),0)</x:f>
        <x:v>0</x:v>
      </x:c>
      <x:c r="DB75" s="35" t="n">
        <x:f>IFERROR(DB74*DB73/SUMPRODUCT($D74:$DS74,$D73:$DS73),0)</x:f>
        <x:v>0</x:v>
      </x:c>
      <x:c r="DC75" s="35" t="n">
        <x:f>IFERROR(DC74*DC73/SUMPRODUCT($D74:$DS74,$D73:$DS73),0)</x:f>
        <x:v>0</x:v>
      </x:c>
      <x:c r="DD75" s="35" t="n">
        <x:f>IFERROR(DD74*DD73/SUMPRODUCT($D74:$DS74,$D73:$DS73),0)</x:f>
        <x:v>0</x:v>
      </x:c>
      <x:c r="DE75" s="35" t="n">
        <x:f>IFERROR(DE74*DE73/SUMPRODUCT($D74:$DS74,$D73:$DS73),0)</x:f>
        <x:v>0</x:v>
      </x:c>
      <x:c r="DF75" s="35" t="n">
        <x:f>IFERROR(DF74*DF73/SUMPRODUCT($D74:$DS74,$D73:$DS73),0)</x:f>
        <x:v>0</x:v>
      </x:c>
      <x:c r="DG75" s="35" t="n">
        <x:f>IFERROR(DG74*DG73/SUMPRODUCT($D74:$DS74,$D73:$DS73),0)</x:f>
        <x:v>0</x:v>
      </x:c>
      <x:c r="DH75" s="35" t="n">
        <x:f>IFERROR(DH74*DH73/SUMPRODUCT($D74:$DS74,$D73:$DS73),0)</x:f>
        <x:v>0</x:v>
      </x:c>
      <x:c r="DI75" s="35" t="n">
        <x:f>IFERROR(DI74*DI73/SUMPRODUCT($D74:$DS74,$D73:$DS73),0)</x:f>
        <x:v>0</x:v>
      </x:c>
      <x:c r="DJ75" s="35" t="n">
        <x:f>IFERROR(DJ74*DJ73/SUMPRODUCT($D74:$DS74,$D73:$DS73),0)</x:f>
        <x:v>0</x:v>
      </x:c>
      <x:c r="DK75" s="35" t="n">
        <x:f>IFERROR(DK74*DK73/SUMPRODUCT($D74:$DS74,$D73:$DS73),0)</x:f>
        <x:v>0</x:v>
      </x:c>
      <x:c r="DL75" s="35" t="n">
        <x:f>IFERROR(DL74*DL73/SUMPRODUCT($D74:$DS74,$D73:$DS73),0)</x:f>
        <x:v>0</x:v>
      </x:c>
      <x:c r="DM75" s="35" t="n">
        <x:f>IFERROR(DM74*DM73/SUMPRODUCT($D74:$DS74,$D73:$DS73),0)</x:f>
        <x:v>0</x:v>
      </x:c>
      <x:c r="DN75" s="35" t="n">
        <x:f>IFERROR(DN74*DN73/SUMPRODUCT($D74:$DS74,$D73:$DS73),0)</x:f>
        <x:v>0</x:v>
      </x:c>
      <x:c r="DO75" s="35" t="n">
        <x:f>IFERROR(DO74*DO73/SUMPRODUCT($D74:$DS74,$D73:$DS73),0)</x:f>
        <x:v>0</x:v>
      </x:c>
      <x:c r="DP75" s="35" t="n">
        <x:f>IFERROR(DP74*DP73/SUMPRODUCT($D74:$DS74,$D73:$DS73),0)</x:f>
        <x:v>0</x:v>
      </x:c>
      <x:c r="DQ75" s="35" t="n">
        <x:f>IFERROR(DQ74*DQ73/SUMPRODUCT($D74:$DS74,$D73:$DS73),0)</x:f>
        <x:v>0</x:v>
      </x:c>
      <x:c r="DR75" s="35" t="n">
        <x:f>IFERROR(DR74*DR73/SUMPRODUCT($D74:$DS74,$D73:$DS73),0)</x:f>
        <x:v>0</x:v>
      </x:c>
      <x:c r="DS75" s="35" t="n">
        <x:f>IFERROR(DS74*DS73/SUMPRODUCT($D74:$DS74,$D73:$DS73),0)</x:f>
        <x:v>0</x:v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--AND(D$3&gt;=MAX($B$67,$B$66),D$3&lt;EDATE($B$67,MAX(1,'Вводные'!$K$73)),AND($B$63="Да",IFERROR(INDEX('Вводные'!$B$88:$B$90,$B$64),"Нет")="Да"))</x:f>
        <x:v>0</x:v>
      </x:c>
      <x:c r="E76" s="35" t="n">
        <x:f>--AND(E$3&gt;=MAX($B$67,$B$66),E$3&lt;EDATE($B$67,MAX(1,'Вводные'!$K$73)),AND($B$63="Да",IFERROR(INDEX('Вводные'!$B$88:$B$90,$B$64),"Нет")="Да"))</x:f>
        <x:v>0</x:v>
      </x:c>
      <x:c r="F76" s="35" t="n">
        <x:f>--AND(F$3&gt;=MAX($B$67,$B$66),F$3&lt;EDATE($B$67,MAX(1,'Вводные'!$K$73)),AND($B$63="Да",IFERROR(INDEX('Вводные'!$B$88:$B$90,$B$64),"Нет")="Да"))</x:f>
        <x:v>0</x:v>
      </x:c>
      <x:c r="G76" s="35" t="n">
        <x:f>--AND(G$3&gt;=MAX($B$67,$B$66),G$3&lt;EDATE($B$67,MAX(1,'Вводные'!$K$73)),AND($B$63="Да",IFERROR(INDEX('Вводные'!$B$88:$B$90,$B$64),"Нет")="Да"))</x:f>
        <x:v>0</x:v>
      </x:c>
      <x:c r="H76" s="35" t="n">
        <x:f>--AND(H$3&gt;=MAX($B$67,$B$66),H$3&lt;EDATE($B$67,MAX(1,'Вводные'!$K$73)),AND($B$63="Да",IFERROR(INDEX('Вводные'!$B$88:$B$90,$B$64),"Нет")="Да"))</x:f>
        <x:v>0</x:v>
      </x:c>
      <x:c r="I76" s="35" t="n">
        <x:f>--AND(I$3&gt;=MAX($B$67,$B$66),I$3&lt;EDATE($B$67,MAX(1,'Вводные'!$K$73)),AND($B$63="Да",IFERROR(INDEX('Вводные'!$B$88:$B$90,$B$64),"Нет")="Да"))</x:f>
        <x:v>0</x:v>
      </x:c>
      <x:c r="J76" s="35" t="n">
        <x:f>--AND(J$3&gt;=MAX($B$67,$B$66),J$3&lt;EDATE($B$67,MAX(1,'Вводные'!$K$73)),AND($B$63="Да",IFERROR(INDEX('Вводные'!$B$88:$B$90,$B$64),"Нет")="Да"))</x:f>
        <x:v>0</x:v>
      </x:c>
      <x:c r="K76" s="35" t="n">
        <x:f>--AND(K$3&gt;=MAX($B$67,$B$66),K$3&lt;EDATE($B$67,MAX(1,'Вводные'!$K$73)),AND($B$63="Да",IFERROR(INDEX('Вводные'!$B$88:$B$90,$B$64),"Нет")="Да"))</x:f>
        <x:v>0</x:v>
      </x:c>
      <x:c r="L76" s="35" t="n">
        <x:f>--AND(L$3&gt;=MAX($B$67,$B$66),L$3&lt;EDATE($B$67,MAX(1,'Вводные'!$K$73)),AND($B$63="Да",IFERROR(INDEX('Вводные'!$B$88:$B$90,$B$64),"Нет")="Да"))</x:f>
        <x:v>0</x:v>
      </x:c>
      <x:c r="M76" s="35" t="n">
        <x:f>--AND(M$3&gt;=MAX($B$67,$B$66),M$3&lt;EDATE($B$67,MAX(1,'Вводные'!$K$73)),AND($B$63="Да",IFERROR(INDEX('Вводные'!$B$88:$B$90,$B$64),"Нет")="Да"))</x:f>
        <x:v>0</x:v>
      </x:c>
      <x:c r="N76" s="35" t="n">
        <x:f>--AND(N$3&gt;=MAX($B$67,$B$66),N$3&lt;EDATE($B$67,MAX(1,'Вводные'!$K$73)),AND($B$63="Да",IFERROR(INDEX('Вводные'!$B$88:$B$90,$B$64),"Нет")="Да"))</x:f>
        <x:v>0</x:v>
      </x:c>
      <x:c r="O76" s="35" t="n">
        <x:f>--AND(O$3&gt;=MAX($B$67,$B$66),O$3&lt;EDATE($B$67,MAX(1,'Вводные'!$K$73)),AND($B$63="Да",IFERROR(INDEX('Вводные'!$B$88:$B$90,$B$64),"Нет")="Да"))</x:f>
        <x:v>0</x:v>
      </x:c>
      <x:c r="P76" s="35" t="n">
        <x:f>--AND(P$3&gt;=MAX($B$67,$B$66),P$3&lt;EDATE($B$67,MAX(1,'Вводные'!$K$73)),AND($B$63="Да",IFERROR(INDEX('Вводные'!$B$88:$B$90,$B$64),"Нет")="Да"))</x:f>
        <x:v>0</x:v>
      </x:c>
      <x:c r="Q76" s="35" t="n">
        <x:f>--AND(Q$3&gt;=MAX($B$67,$B$66),Q$3&lt;EDATE($B$67,MAX(1,'Вводные'!$K$73)),AND($B$63="Да",IFERROR(INDEX('Вводные'!$B$88:$B$90,$B$64),"Нет")="Да"))</x:f>
        <x:v>0</x:v>
      </x:c>
      <x:c r="R76" s="35" t="n">
        <x:f>--AND(R$3&gt;=MAX($B$67,$B$66),R$3&lt;EDATE($B$67,MAX(1,'Вводные'!$K$73)),AND($B$63="Да",IFERROR(INDEX('Вводные'!$B$88:$B$90,$B$64),"Нет")="Да"))</x:f>
        <x:v>0</x:v>
      </x:c>
      <x:c r="S76" s="35" t="n">
        <x:f>--AND(S$3&gt;=MAX($B$67,$B$66),S$3&lt;EDATE($B$67,MAX(1,'Вводные'!$K$73)),AND($B$63="Да",IFERROR(INDEX('Вводные'!$B$88:$B$90,$B$64),"Нет")="Да"))</x:f>
        <x:v>0</x:v>
      </x:c>
      <x:c r="T76" s="35" t="n">
        <x:f>--AND(T$3&gt;=MAX($B$67,$B$66),T$3&lt;EDATE($B$67,MAX(1,'Вводные'!$K$73)),AND($B$63="Да",IFERROR(INDEX('Вводные'!$B$88:$B$90,$B$64),"Нет")="Да"))</x:f>
        <x:v>0</x:v>
      </x:c>
      <x:c r="U76" s="35" t="n">
        <x:f>--AND(U$3&gt;=MAX($B$67,$B$66),U$3&lt;EDATE($B$67,MAX(1,'Вводные'!$K$73)),AND($B$63="Да",IFERROR(INDEX('Вводные'!$B$88:$B$90,$B$64),"Нет")="Да"))</x:f>
        <x:v>0</x:v>
      </x:c>
      <x:c r="V76" s="35" t="n">
        <x:f>--AND(V$3&gt;=MAX($B$67,$B$66),V$3&lt;EDATE($B$67,MAX(1,'Вводные'!$K$73)),AND($B$63="Да",IFERROR(INDEX('Вводные'!$B$88:$B$90,$B$64),"Нет")="Да"))</x:f>
        <x:v>0</x:v>
      </x:c>
      <x:c r="W76" s="35" t="n">
        <x:f>--AND(W$3&gt;=MAX($B$67,$B$66),W$3&lt;EDATE($B$67,MAX(1,'Вводные'!$K$73)),AND($B$63="Да",IFERROR(INDEX('Вводные'!$B$88:$B$90,$B$64),"Нет")="Да"))</x:f>
        <x:v>0</x:v>
      </x:c>
      <x:c r="X76" s="35" t="n">
        <x:f>--AND(X$3&gt;=MAX($B$67,$B$66),X$3&lt;EDATE($B$67,MAX(1,'Вводные'!$K$73)),AND($B$63="Да",IFERROR(INDEX('Вводные'!$B$88:$B$90,$B$64),"Нет")="Да"))</x:f>
        <x:v>0</x:v>
      </x:c>
      <x:c r="Y76" s="35" t="n">
        <x:f>--AND(Y$3&gt;=MAX($B$67,$B$66),Y$3&lt;EDATE($B$67,MAX(1,'Вводные'!$K$73)),AND($B$63="Да",IFERROR(INDEX('Вводные'!$B$88:$B$90,$B$64),"Нет")="Да"))</x:f>
        <x:v>0</x:v>
      </x:c>
      <x:c r="Z76" s="35" t="n">
        <x:f>--AND(Z$3&gt;=MAX($B$67,$B$66),Z$3&lt;EDATE($B$67,MAX(1,'Вводные'!$K$73)),AND($B$63="Да",IFERROR(INDEX('Вводные'!$B$88:$B$90,$B$64),"Нет")="Да"))</x:f>
        <x:v>0</x:v>
      </x:c>
      <x:c r="AA76" s="35" t="n">
        <x:f>--AND(AA$3&gt;=MAX($B$67,$B$66),AA$3&lt;EDATE($B$67,MAX(1,'Вводные'!$K$73)),AND($B$63="Да",IFERROR(INDEX('Вводные'!$B$88:$B$90,$B$64),"Нет")="Да"))</x:f>
        <x:v>0</x:v>
      </x:c>
      <x:c r="AB76" s="35" t="n">
        <x:f>--AND(AB$3&gt;=MAX($B$67,$B$66),AB$3&lt;EDATE($B$67,MAX(1,'Вводные'!$K$73)),AND($B$63="Да",IFERROR(INDEX('Вводные'!$B$88:$B$90,$B$64),"Нет")="Да"))</x:f>
        <x:v>0</x:v>
      </x:c>
      <x:c r="AC76" s="35" t="n">
        <x:f>--AND(AC$3&gt;=MAX($B$67,$B$66),AC$3&lt;EDATE($B$67,MAX(1,'Вводные'!$K$73)),AND($B$63="Да",IFERROR(INDEX('Вводные'!$B$88:$B$90,$B$64),"Нет")="Да"))</x:f>
        <x:v>0</x:v>
      </x:c>
      <x:c r="AD76" s="35" t="n">
        <x:f>--AND(AD$3&gt;=MAX($B$67,$B$66),AD$3&lt;EDATE($B$67,MAX(1,'Вводные'!$K$73)),AND($B$63="Да",IFERROR(INDEX('Вводные'!$B$88:$B$90,$B$64),"Нет")="Да"))</x:f>
        <x:v>0</x:v>
      </x:c>
      <x:c r="AE76" s="35" t="n">
        <x:f>--AND(AE$3&gt;=MAX($B$67,$B$66),AE$3&lt;EDATE($B$67,MAX(1,'Вводные'!$K$73)),AND($B$63="Да",IFERROR(INDEX('Вводные'!$B$88:$B$90,$B$64),"Нет")="Да"))</x:f>
        <x:v>0</x:v>
      </x:c>
      <x:c r="AF76" s="35" t="n">
        <x:f>--AND(AF$3&gt;=MAX($B$67,$B$66),AF$3&lt;EDATE($B$67,MAX(1,'Вводные'!$K$73)),AND($B$63="Да",IFERROR(INDEX('Вводные'!$B$88:$B$90,$B$64),"Нет")="Да"))</x:f>
        <x:v>0</x:v>
      </x:c>
      <x:c r="AG76" s="35" t="n">
        <x:f>--AND(AG$3&gt;=MAX($B$67,$B$66),AG$3&lt;EDATE($B$67,MAX(1,'Вводные'!$K$73)),AND($B$63="Да",IFERROR(INDEX('Вводные'!$B$88:$B$90,$B$64),"Нет")="Да"))</x:f>
        <x:v>0</x:v>
      </x:c>
      <x:c r="AH76" s="35" t="n">
        <x:f>--AND(AH$3&gt;=MAX($B$67,$B$66),AH$3&lt;EDATE($B$67,MAX(1,'Вводные'!$K$73)),AND($B$63="Да",IFERROR(INDEX('Вводные'!$B$88:$B$90,$B$64),"Нет")="Да"))</x:f>
        <x:v>0</x:v>
      </x:c>
      <x:c r="AI76" s="35" t="n">
        <x:f>--AND(AI$3&gt;=MAX($B$67,$B$66),AI$3&lt;EDATE($B$67,MAX(1,'Вводные'!$K$73)),AND($B$63="Да",IFERROR(INDEX('Вводные'!$B$88:$B$90,$B$64),"Нет")="Да"))</x:f>
        <x:v>0</x:v>
      </x:c>
      <x:c r="AJ76" s="35" t="n">
        <x:f>--AND(AJ$3&gt;=MAX($B$67,$B$66),AJ$3&lt;EDATE($B$67,MAX(1,'Вводные'!$K$73)),AND($B$63="Да",IFERROR(INDEX('Вводные'!$B$88:$B$90,$B$64),"Нет")="Да"))</x:f>
        <x:v>0</x:v>
      </x:c>
      <x:c r="AK76" s="35" t="n">
        <x:f>--AND(AK$3&gt;=MAX($B$67,$B$66),AK$3&lt;EDATE($B$67,MAX(1,'Вводные'!$K$73)),AND($B$63="Да",IFERROR(INDEX('Вводные'!$B$88:$B$90,$B$64),"Нет")="Да"))</x:f>
        <x:v>0</x:v>
      </x:c>
      <x:c r="AL76" s="35" t="n">
        <x:f>--AND(AL$3&gt;=MAX($B$67,$B$66),AL$3&lt;EDATE($B$67,MAX(1,'Вводные'!$K$73)),AND($B$63="Да",IFERROR(INDEX('Вводные'!$B$88:$B$90,$B$64),"Нет")="Да"))</x:f>
        <x:v>0</x:v>
      </x:c>
      <x:c r="AM76" s="35" t="n">
        <x:f>--AND(AM$3&gt;=MAX($B$67,$B$66),AM$3&lt;EDATE($B$67,MAX(1,'Вводные'!$K$73)),AND($B$63="Да",IFERROR(INDEX('Вводные'!$B$88:$B$90,$B$64),"Нет")="Да"))</x:f>
        <x:v>0</x:v>
      </x:c>
      <x:c r="AN76" s="35" t="n">
        <x:f>--AND(AN$3&gt;=MAX($B$67,$B$66),AN$3&lt;EDATE($B$67,MAX(1,'Вводные'!$K$73)),AND($B$63="Да",IFERROR(INDEX('Вводные'!$B$88:$B$90,$B$64),"Нет")="Да"))</x:f>
        <x:v>0</x:v>
      </x:c>
      <x:c r="AO76" s="35" t="n">
        <x:f>--AND(AO$3&gt;=MAX($B$67,$B$66),AO$3&lt;EDATE($B$67,MAX(1,'Вводные'!$K$73)),AND($B$63="Да",IFERROR(INDEX('Вводные'!$B$88:$B$90,$B$64),"Нет")="Да"))</x:f>
        <x:v>0</x:v>
      </x:c>
      <x:c r="AP76" s="35" t="n">
        <x:f>--AND(AP$3&gt;=MAX($B$67,$B$66),AP$3&lt;EDATE($B$67,MAX(1,'Вводные'!$K$73)),AND($B$63="Да",IFERROR(INDEX('Вводные'!$B$88:$B$90,$B$64),"Нет")="Да"))</x:f>
        <x:v>0</x:v>
      </x:c>
      <x:c r="AQ76" s="35" t="n">
        <x:f>--AND(AQ$3&gt;=MAX($B$67,$B$66),AQ$3&lt;EDATE($B$67,MAX(1,'Вводные'!$K$73)),AND($B$63="Да",IFERROR(INDEX('Вводные'!$B$88:$B$90,$B$64),"Нет")="Да"))</x:f>
        <x:v>0</x:v>
      </x:c>
      <x:c r="AR76" s="35" t="n">
        <x:f>--AND(AR$3&gt;=MAX($B$67,$B$66),AR$3&lt;EDATE($B$67,MAX(1,'Вводные'!$K$73)),AND($B$63="Да",IFERROR(INDEX('Вводные'!$B$88:$B$90,$B$64),"Нет")="Да"))</x:f>
        <x:v>0</x:v>
      </x:c>
      <x:c r="AS76" s="35" t="n">
        <x:f>--AND(AS$3&gt;=MAX($B$67,$B$66),AS$3&lt;EDATE($B$67,MAX(1,'Вводные'!$K$73)),AND($B$63="Да",IFERROR(INDEX('Вводные'!$B$88:$B$90,$B$64),"Нет")="Да"))</x:f>
        <x:v>0</x:v>
      </x:c>
      <x:c r="AT76" s="35" t="n">
        <x:f>--AND(AT$3&gt;=MAX($B$67,$B$66),AT$3&lt;EDATE($B$67,MAX(1,'Вводные'!$K$73)),AND($B$63="Да",IFERROR(INDEX('Вводные'!$B$88:$B$90,$B$64),"Нет")="Да"))</x:f>
        <x:v>0</x:v>
      </x:c>
      <x:c r="AU76" s="35" t="n">
        <x:f>--AND(AU$3&gt;=MAX($B$67,$B$66),AU$3&lt;EDATE($B$67,MAX(1,'Вводные'!$K$73)),AND($B$63="Да",IFERROR(INDEX('Вводные'!$B$88:$B$90,$B$64),"Нет")="Да"))</x:f>
        <x:v>0</x:v>
      </x:c>
      <x:c r="AV76" s="35" t="n">
        <x:f>--AND(AV$3&gt;=MAX($B$67,$B$66),AV$3&lt;EDATE($B$67,MAX(1,'Вводные'!$K$73)),AND($B$63="Да",IFERROR(INDEX('Вводные'!$B$88:$B$90,$B$64),"Нет")="Да"))</x:f>
        <x:v>0</x:v>
      </x:c>
      <x:c r="AW76" s="35" t="n">
        <x:f>--AND(AW$3&gt;=MAX($B$67,$B$66),AW$3&lt;EDATE($B$67,MAX(1,'Вводные'!$K$73)),AND($B$63="Да",IFERROR(INDEX('Вводные'!$B$88:$B$90,$B$64),"Нет")="Да"))</x:f>
        <x:v>0</x:v>
      </x:c>
      <x:c r="AX76" s="35" t="n">
        <x:f>--AND(AX$3&gt;=MAX($B$67,$B$66),AX$3&lt;EDATE($B$67,MAX(1,'Вводные'!$K$73)),AND($B$63="Да",IFERROR(INDEX('Вводные'!$B$88:$B$90,$B$64),"Нет")="Да"))</x:f>
        <x:v>0</x:v>
      </x:c>
      <x:c r="AY76" s="35" t="n">
        <x:f>--AND(AY$3&gt;=MAX($B$67,$B$66),AY$3&lt;EDATE($B$67,MAX(1,'Вводные'!$K$73)),AND($B$63="Да",IFERROR(INDEX('Вводные'!$B$88:$B$90,$B$64),"Нет")="Да"))</x:f>
        <x:v>0</x:v>
      </x:c>
      <x:c r="AZ76" s="35" t="n">
        <x:f>--AND(AZ$3&gt;=MAX($B$67,$B$66),AZ$3&lt;EDATE($B$67,MAX(1,'Вводные'!$K$73)),AND($B$63="Да",IFERROR(INDEX('Вводные'!$B$88:$B$90,$B$64),"Нет")="Да"))</x:f>
        <x:v>0</x:v>
      </x:c>
      <x:c r="BA76" s="35" t="n">
        <x:f>--AND(BA$3&gt;=MAX($B$67,$B$66),BA$3&lt;EDATE($B$67,MAX(1,'Вводные'!$K$73)),AND($B$63="Да",IFERROR(INDEX('Вводные'!$B$88:$B$90,$B$64),"Нет")="Да"))</x:f>
        <x:v>0</x:v>
      </x:c>
      <x:c r="BB76" s="35" t="n">
        <x:f>--AND(BB$3&gt;=MAX($B$67,$B$66),BB$3&lt;EDATE($B$67,MAX(1,'Вводные'!$K$73)),AND($B$63="Да",IFERROR(INDEX('Вводные'!$B$88:$B$90,$B$64),"Нет")="Да"))</x:f>
        <x:v>0</x:v>
      </x:c>
      <x:c r="BC76" s="35" t="n">
        <x:f>--AND(BC$3&gt;=MAX($B$67,$B$66),BC$3&lt;EDATE($B$67,MAX(1,'Вводные'!$K$73)),AND($B$63="Да",IFERROR(INDEX('Вводные'!$B$88:$B$90,$B$64),"Нет")="Да"))</x:f>
        <x:v>0</x:v>
      </x:c>
      <x:c r="BD76" s="35" t="n">
        <x:f>--AND(BD$3&gt;=MAX($B$67,$B$66),BD$3&lt;EDATE($B$67,MAX(1,'Вводные'!$K$73)),AND($B$63="Да",IFERROR(INDEX('Вводные'!$B$88:$B$90,$B$64),"Нет")="Да"))</x:f>
        <x:v>0</x:v>
      </x:c>
      <x:c r="BE76" s="35" t="n">
        <x:f>--AND(BE$3&gt;=MAX($B$67,$B$66),BE$3&lt;EDATE($B$67,MAX(1,'Вводные'!$K$73)),AND($B$63="Да",IFERROR(INDEX('Вводные'!$B$88:$B$90,$B$64),"Нет")="Да"))</x:f>
        <x:v>0</x:v>
      </x:c>
      <x:c r="BF76" s="35" t="n">
        <x:f>--AND(BF$3&gt;=MAX($B$67,$B$66),BF$3&lt;EDATE($B$67,MAX(1,'Вводные'!$K$73)),AND($B$63="Да",IFERROR(INDEX('Вводные'!$B$88:$B$90,$B$64),"Нет")="Да"))</x:f>
        <x:v>0</x:v>
      </x:c>
      <x:c r="BG76" s="35" t="n">
        <x:f>--AND(BG$3&gt;=MAX($B$67,$B$66),BG$3&lt;EDATE($B$67,MAX(1,'Вводные'!$K$73)),AND($B$63="Да",IFERROR(INDEX('Вводные'!$B$88:$B$90,$B$64),"Нет")="Да"))</x:f>
        <x:v>0</x:v>
      </x:c>
      <x:c r="BH76" s="35" t="n">
        <x:f>--AND(BH$3&gt;=MAX($B$67,$B$66),BH$3&lt;EDATE($B$67,MAX(1,'Вводные'!$K$73)),AND($B$63="Да",IFERROR(INDEX('Вводные'!$B$88:$B$90,$B$64),"Нет")="Да"))</x:f>
        <x:v>0</x:v>
      </x:c>
      <x:c r="BI76" s="35" t="n">
        <x:f>--AND(BI$3&gt;=MAX($B$67,$B$66),BI$3&lt;EDATE($B$67,MAX(1,'Вводные'!$K$73)),AND($B$63="Да",IFERROR(INDEX('Вводные'!$B$88:$B$90,$B$64),"Нет")="Да"))</x:f>
        <x:v>0</x:v>
      </x:c>
      <x:c r="BJ76" s="35" t="n">
        <x:f>--AND(BJ$3&gt;=MAX($B$67,$B$66),BJ$3&lt;EDATE($B$67,MAX(1,'Вводные'!$K$73)),AND($B$63="Да",IFERROR(INDEX('Вводные'!$B$88:$B$90,$B$64),"Нет")="Да"))</x:f>
        <x:v>0</x:v>
      </x:c>
      <x:c r="BK76" s="35" t="n">
        <x:f>--AND(BK$3&gt;=MAX($B$67,$B$66),BK$3&lt;EDATE($B$67,MAX(1,'Вводные'!$K$73)),AND($B$63="Да",IFERROR(INDEX('Вводные'!$B$88:$B$90,$B$64),"Нет")="Да"))</x:f>
        <x:v>0</x:v>
      </x:c>
      <x:c r="BL76" s="35" t="n">
        <x:f>--AND(BL$3&gt;=MAX($B$67,$B$66),BL$3&lt;EDATE($B$67,MAX(1,'Вводные'!$K$73)),AND($B$63="Да",IFERROR(INDEX('Вводные'!$B$88:$B$90,$B$64),"Нет")="Да"))</x:f>
        <x:v>0</x:v>
      </x:c>
      <x:c r="BM76" s="35" t="n">
        <x:f>--AND(BM$3&gt;=MAX($B$67,$B$66),BM$3&lt;EDATE($B$67,MAX(1,'Вводные'!$K$73)),AND($B$63="Да",IFERROR(INDEX('Вводные'!$B$88:$B$90,$B$64),"Нет")="Да"))</x:f>
        <x:v>0</x:v>
      </x:c>
      <x:c r="BN76" s="35" t="n">
        <x:f>--AND(BN$3&gt;=MAX($B$67,$B$66),BN$3&lt;EDATE($B$67,MAX(1,'Вводные'!$K$73)),AND($B$63="Да",IFERROR(INDEX('Вводные'!$B$88:$B$90,$B$64),"Нет")="Да"))</x:f>
        <x:v>0</x:v>
      </x:c>
      <x:c r="BO76" s="35" t="n">
        <x:f>--AND(BO$3&gt;=MAX($B$67,$B$66),BO$3&lt;EDATE($B$67,MAX(1,'Вводные'!$K$73)),AND($B$63="Да",IFERROR(INDEX('Вводные'!$B$88:$B$90,$B$64),"Нет")="Да"))</x:f>
        <x:v>0</x:v>
      </x:c>
      <x:c r="BP76" s="35" t="n">
        <x:f>--AND(BP$3&gt;=MAX($B$67,$B$66),BP$3&lt;EDATE($B$67,MAX(1,'Вводные'!$K$73)),AND($B$63="Да",IFERROR(INDEX('Вводные'!$B$88:$B$90,$B$64),"Нет")="Да"))</x:f>
        <x:v>0</x:v>
      </x:c>
      <x:c r="BQ76" s="35" t="n">
        <x:f>--AND(BQ$3&gt;=MAX($B$67,$B$66),BQ$3&lt;EDATE($B$67,MAX(1,'Вводные'!$K$73)),AND($B$63="Да",IFERROR(INDEX('Вводные'!$B$88:$B$90,$B$64),"Нет")="Да"))</x:f>
        <x:v>0</x:v>
      </x:c>
      <x:c r="BR76" s="35" t="n">
        <x:f>--AND(BR$3&gt;=MAX($B$67,$B$66),BR$3&lt;EDATE($B$67,MAX(1,'Вводные'!$K$73)),AND($B$63="Да",IFERROR(INDEX('Вводные'!$B$88:$B$90,$B$64),"Нет")="Да"))</x:f>
        <x:v>0</x:v>
      </x:c>
      <x:c r="BS76" s="35" t="n">
        <x:f>--AND(BS$3&gt;=MAX($B$67,$B$66),BS$3&lt;EDATE($B$67,MAX(1,'Вводные'!$K$73)),AND($B$63="Да",IFERROR(INDEX('Вводные'!$B$88:$B$90,$B$64),"Нет")="Да"))</x:f>
        <x:v>0</x:v>
      </x:c>
      <x:c r="BT76" s="35" t="n">
        <x:f>--AND(BT$3&gt;=MAX($B$67,$B$66),BT$3&lt;EDATE($B$67,MAX(1,'Вводные'!$K$73)),AND($B$63="Да",IFERROR(INDEX('Вводные'!$B$88:$B$90,$B$64),"Нет")="Да"))</x:f>
        <x:v>0</x:v>
      </x:c>
      <x:c r="BU76" s="35" t="n">
        <x:f>--AND(BU$3&gt;=MAX($B$67,$B$66),BU$3&lt;EDATE($B$67,MAX(1,'Вводные'!$K$73)),AND($B$63="Да",IFERROR(INDEX('Вводные'!$B$88:$B$90,$B$64),"Нет")="Да"))</x:f>
        <x:v>0</x:v>
      </x:c>
      <x:c r="BV76" s="35" t="n">
        <x:f>--AND(BV$3&gt;=MAX($B$67,$B$66),BV$3&lt;EDATE($B$67,MAX(1,'Вводные'!$K$73)),AND($B$63="Да",IFERROR(INDEX('Вводные'!$B$88:$B$90,$B$64),"Нет")="Да"))</x:f>
        <x:v>0</x:v>
      </x:c>
      <x:c r="BW76" s="35" t="n">
        <x:f>--AND(BW$3&gt;=MAX($B$67,$B$66),BW$3&lt;EDATE($B$67,MAX(1,'Вводные'!$K$73)),AND($B$63="Да",IFERROR(INDEX('Вводные'!$B$88:$B$90,$B$64),"Нет")="Да"))</x:f>
        <x:v>0</x:v>
      </x:c>
      <x:c r="BX76" s="35" t="n">
        <x:f>--AND(BX$3&gt;=MAX($B$67,$B$66),BX$3&lt;EDATE($B$67,MAX(1,'Вводные'!$K$73)),AND($B$63="Да",IFERROR(INDEX('Вводные'!$B$88:$B$90,$B$64),"Нет")="Да"))</x:f>
        <x:v>0</x:v>
      </x:c>
      <x:c r="BY76" s="35" t="n">
        <x:f>--AND(BY$3&gt;=MAX($B$67,$B$66),BY$3&lt;EDATE($B$67,MAX(1,'Вводные'!$K$73)),AND($B$63="Да",IFERROR(INDEX('Вводные'!$B$88:$B$90,$B$64),"Нет")="Да"))</x:f>
        <x:v>0</x:v>
      </x:c>
      <x:c r="BZ76" s="35" t="n">
        <x:f>--AND(BZ$3&gt;=MAX($B$67,$B$66),BZ$3&lt;EDATE($B$67,MAX(1,'Вводные'!$K$73)),AND($B$63="Да",IFERROR(INDEX('Вводные'!$B$88:$B$90,$B$64),"Нет")="Да"))</x:f>
        <x:v>0</x:v>
      </x:c>
      <x:c r="CA76" s="35" t="n">
        <x:f>--AND(CA$3&gt;=MAX($B$67,$B$66),CA$3&lt;EDATE($B$67,MAX(1,'Вводные'!$K$73)),AND($B$63="Да",IFERROR(INDEX('Вводные'!$B$88:$B$90,$B$64),"Нет")="Да"))</x:f>
        <x:v>0</x:v>
      </x:c>
      <x:c r="CB76" s="35" t="n">
        <x:f>--AND(CB$3&gt;=MAX($B$67,$B$66),CB$3&lt;EDATE($B$67,MAX(1,'Вводные'!$K$73)),AND($B$63="Да",IFERROR(INDEX('Вводные'!$B$88:$B$90,$B$64),"Нет")="Да"))</x:f>
        <x:v>0</x:v>
      </x:c>
      <x:c r="CC76" s="35" t="n">
        <x:f>--AND(CC$3&gt;=MAX($B$67,$B$66),CC$3&lt;EDATE($B$67,MAX(1,'Вводные'!$K$73)),AND($B$63="Да",IFERROR(INDEX('Вводные'!$B$88:$B$90,$B$64),"Нет")="Да"))</x:f>
        <x:v>0</x:v>
      </x:c>
      <x:c r="CD76" s="35" t="n">
        <x:f>--AND(CD$3&gt;=MAX($B$67,$B$66),CD$3&lt;EDATE($B$67,MAX(1,'Вводные'!$K$73)),AND($B$63="Да",IFERROR(INDEX('Вводные'!$B$88:$B$90,$B$64),"Нет")="Да"))</x:f>
        <x:v>0</x:v>
      </x:c>
      <x:c r="CE76" s="35" t="n">
        <x:f>--AND(CE$3&gt;=MAX($B$67,$B$66),CE$3&lt;EDATE($B$67,MAX(1,'Вводные'!$K$73)),AND($B$63="Да",IFERROR(INDEX('Вводные'!$B$88:$B$90,$B$64),"Нет")="Да"))</x:f>
        <x:v>0</x:v>
      </x:c>
      <x:c r="CF76" s="35" t="n">
        <x:f>--AND(CF$3&gt;=MAX($B$67,$B$66),CF$3&lt;EDATE($B$67,MAX(1,'Вводные'!$K$73)),AND($B$63="Да",IFERROR(INDEX('Вводные'!$B$88:$B$90,$B$64),"Нет")="Да"))</x:f>
        <x:v>0</x:v>
      </x:c>
      <x:c r="CG76" s="35" t="n">
        <x:f>--AND(CG$3&gt;=MAX($B$67,$B$66),CG$3&lt;EDATE($B$67,MAX(1,'Вводные'!$K$73)),AND($B$63="Да",IFERROR(INDEX('Вводные'!$B$88:$B$90,$B$64),"Нет")="Да"))</x:f>
        <x:v>0</x:v>
      </x:c>
      <x:c r="CH76" s="35" t="n">
        <x:f>--AND(CH$3&gt;=MAX($B$67,$B$66),CH$3&lt;EDATE($B$67,MAX(1,'Вводные'!$K$73)),AND($B$63="Да",IFERROR(INDEX('Вводные'!$B$88:$B$90,$B$64),"Нет")="Да"))</x:f>
        <x:v>0</x:v>
      </x:c>
      <x:c r="CI76" s="35" t="n">
        <x:f>--AND(CI$3&gt;=MAX($B$67,$B$66),CI$3&lt;EDATE($B$67,MAX(1,'Вводные'!$K$73)),AND($B$63="Да",IFERROR(INDEX('Вводные'!$B$88:$B$90,$B$64),"Нет")="Да"))</x:f>
        <x:v>0</x:v>
      </x:c>
      <x:c r="CJ76" s="35" t="n">
        <x:f>--AND(CJ$3&gt;=MAX($B$67,$B$66),CJ$3&lt;EDATE($B$67,MAX(1,'Вводные'!$K$73)),AND($B$63="Да",IFERROR(INDEX('Вводные'!$B$88:$B$90,$B$64),"Нет")="Да"))</x:f>
        <x:v>0</x:v>
      </x:c>
      <x:c r="CK76" s="35" t="n">
        <x:f>--AND(CK$3&gt;=MAX($B$67,$B$66),CK$3&lt;EDATE($B$67,MAX(1,'Вводные'!$K$73)),AND($B$63="Да",IFERROR(INDEX('Вводные'!$B$88:$B$90,$B$64),"Нет")="Да"))</x:f>
        <x:v>0</x:v>
      </x:c>
      <x:c r="CL76" s="35" t="n">
        <x:f>--AND(CL$3&gt;=MAX($B$67,$B$66),CL$3&lt;EDATE($B$67,MAX(1,'Вводные'!$K$73)),AND($B$63="Да",IFERROR(INDEX('Вводные'!$B$88:$B$90,$B$64),"Нет")="Да"))</x:f>
        <x:v>0</x:v>
      </x:c>
      <x:c r="CM76" s="35" t="n">
        <x:f>--AND(CM$3&gt;=MAX($B$67,$B$66),CM$3&lt;EDATE($B$67,MAX(1,'Вводные'!$K$73)),AND($B$63="Да",IFERROR(INDEX('Вводные'!$B$88:$B$90,$B$64),"Нет")="Да"))</x:f>
        <x:v>0</x:v>
      </x:c>
      <x:c r="CN76" s="35" t="n">
        <x:f>--AND(CN$3&gt;=MAX($B$67,$B$66),CN$3&lt;EDATE($B$67,MAX(1,'Вводные'!$K$73)),AND($B$63="Да",IFERROR(INDEX('Вводные'!$B$88:$B$90,$B$64),"Нет")="Да"))</x:f>
        <x:v>0</x:v>
      </x:c>
      <x:c r="CO76" s="35" t="n">
        <x:f>--AND(CO$3&gt;=MAX($B$67,$B$66),CO$3&lt;EDATE($B$67,MAX(1,'Вводные'!$K$73)),AND($B$63="Да",IFERROR(INDEX('Вводные'!$B$88:$B$90,$B$64),"Нет")="Да"))</x:f>
        <x:v>0</x:v>
      </x:c>
      <x:c r="CP76" s="35" t="n">
        <x:f>--AND(CP$3&gt;=MAX($B$67,$B$66),CP$3&lt;EDATE($B$67,MAX(1,'Вводные'!$K$73)),AND($B$63="Да",IFERROR(INDEX('Вводные'!$B$88:$B$90,$B$64),"Нет")="Да"))</x:f>
        <x:v>0</x:v>
      </x:c>
      <x:c r="CQ76" s="35" t="n">
        <x:f>--AND(CQ$3&gt;=MAX($B$67,$B$66),CQ$3&lt;EDATE($B$67,MAX(1,'Вводные'!$K$73)),AND($B$63="Да",IFERROR(INDEX('Вводные'!$B$88:$B$90,$B$64),"Нет")="Да"))</x:f>
        <x:v>0</x:v>
      </x:c>
      <x:c r="CR76" s="35" t="n">
        <x:f>--AND(CR$3&gt;=MAX($B$67,$B$66),CR$3&lt;EDATE($B$67,MAX(1,'Вводные'!$K$73)),AND($B$63="Да",IFERROR(INDEX('Вводные'!$B$88:$B$90,$B$64),"Нет")="Да"))</x:f>
        <x:v>0</x:v>
      </x:c>
      <x:c r="CS76" s="35" t="n">
        <x:f>--AND(CS$3&gt;=MAX($B$67,$B$66),CS$3&lt;EDATE($B$67,MAX(1,'Вводные'!$K$73)),AND($B$63="Да",IFERROR(INDEX('Вводные'!$B$88:$B$90,$B$64),"Нет")="Да"))</x:f>
        <x:v>0</x:v>
      </x:c>
      <x:c r="CT76" s="35" t="n">
        <x:f>--AND(CT$3&gt;=MAX($B$67,$B$66),CT$3&lt;EDATE($B$67,MAX(1,'Вводные'!$K$73)),AND($B$63="Да",IFERROR(INDEX('Вводные'!$B$88:$B$90,$B$64),"Нет")="Да"))</x:f>
        <x:v>0</x:v>
      </x:c>
      <x:c r="CU76" s="35" t="n">
        <x:f>--AND(CU$3&gt;=MAX($B$67,$B$66),CU$3&lt;EDATE($B$67,MAX(1,'Вводные'!$K$73)),AND($B$63="Да",IFERROR(INDEX('Вводные'!$B$88:$B$90,$B$64),"Нет")="Да"))</x:f>
        <x:v>0</x:v>
      </x:c>
      <x:c r="CV76" s="35" t="n">
        <x:f>--AND(CV$3&gt;=MAX($B$67,$B$66),CV$3&lt;EDATE($B$67,MAX(1,'Вводные'!$K$73)),AND($B$63="Да",IFERROR(INDEX('Вводные'!$B$88:$B$90,$B$64),"Нет")="Да"))</x:f>
        <x:v>0</x:v>
      </x:c>
      <x:c r="CW76" s="35" t="n">
        <x:f>--AND(CW$3&gt;=MAX($B$67,$B$66),CW$3&lt;EDATE($B$67,MAX(1,'Вводные'!$K$73)),AND($B$63="Да",IFERROR(INDEX('Вводные'!$B$88:$B$90,$B$64),"Нет")="Да"))</x:f>
        <x:v>0</x:v>
      </x:c>
      <x:c r="CX76" s="35" t="n">
        <x:f>--AND(CX$3&gt;=MAX($B$67,$B$66),CX$3&lt;EDATE($B$67,MAX(1,'Вводные'!$K$73)),AND($B$63="Да",IFERROR(INDEX('Вводные'!$B$88:$B$90,$B$64),"Нет")="Да"))</x:f>
        <x:v>0</x:v>
      </x:c>
      <x:c r="CY76" s="35" t="n">
        <x:f>--AND(CY$3&gt;=MAX($B$67,$B$66),CY$3&lt;EDATE($B$67,MAX(1,'Вводные'!$K$73)),AND($B$63="Да",IFERROR(INDEX('Вводные'!$B$88:$B$90,$B$64),"Нет")="Да"))</x:f>
        <x:v>0</x:v>
      </x:c>
      <x:c r="CZ76" s="35" t="n">
        <x:f>--AND(CZ$3&gt;=MAX($B$67,$B$66),CZ$3&lt;EDATE($B$67,MAX(1,'Вводные'!$K$73)),AND($B$63="Да",IFERROR(INDEX('Вводные'!$B$88:$B$90,$B$64),"Нет")="Да"))</x:f>
        <x:v>0</x:v>
      </x:c>
      <x:c r="DA76" s="35" t="n">
        <x:f>--AND(DA$3&gt;=MAX($B$67,$B$66),DA$3&lt;EDATE($B$67,MAX(1,'Вводные'!$K$73)),AND($B$63="Да",IFERROR(INDEX('Вводные'!$B$88:$B$90,$B$64),"Нет")="Да"))</x:f>
        <x:v>0</x:v>
      </x:c>
      <x:c r="DB76" s="35" t="n">
        <x:f>--AND(DB$3&gt;=MAX($B$67,$B$66),DB$3&lt;EDATE($B$67,MAX(1,'Вводные'!$K$73)),AND($B$63="Да",IFERROR(INDEX('Вводные'!$B$88:$B$90,$B$64),"Нет")="Да"))</x:f>
        <x:v>0</x:v>
      </x:c>
      <x:c r="DC76" s="35" t="n">
        <x:f>--AND(DC$3&gt;=MAX($B$67,$B$66),DC$3&lt;EDATE($B$67,MAX(1,'Вводные'!$K$73)),AND($B$63="Да",IFERROR(INDEX('Вводные'!$B$88:$B$90,$B$64),"Нет")="Да"))</x:f>
        <x:v>0</x:v>
      </x:c>
      <x:c r="DD76" s="35" t="n">
        <x:f>--AND(DD$3&gt;=MAX($B$67,$B$66),DD$3&lt;EDATE($B$67,MAX(1,'Вводные'!$K$73)),AND($B$63="Да",IFERROR(INDEX('Вводные'!$B$88:$B$90,$B$64),"Нет")="Да"))</x:f>
        <x:v>0</x:v>
      </x:c>
      <x:c r="DE76" s="35" t="n">
        <x:f>--AND(DE$3&gt;=MAX($B$67,$B$66),DE$3&lt;EDATE($B$67,MAX(1,'Вводные'!$K$73)),AND($B$63="Да",IFERROR(INDEX('Вводные'!$B$88:$B$90,$B$64),"Нет")="Да"))</x:f>
        <x:v>0</x:v>
      </x:c>
      <x:c r="DF76" s="35" t="n">
        <x:f>--AND(DF$3&gt;=MAX($B$67,$B$66),DF$3&lt;EDATE($B$67,MAX(1,'Вводные'!$K$73)),AND($B$63="Да",IFERROR(INDEX('Вводные'!$B$88:$B$90,$B$64),"Нет")="Да"))</x:f>
        <x:v>0</x:v>
      </x:c>
      <x:c r="DG76" s="35" t="n">
        <x:f>--AND(DG$3&gt;=MAX($B$67,$B$66),DG$3&lt;EDATE($B$67,MAX(1,'Вводные'!$K$73)),AND($B$63="Да",IFERROR(INDEX('Вводные'!$B$88:$B$90,$B$64),"Нет")="Да"))</x:f>
        <x:v>0</x:v>
      </x:c>
      <x:c r="DH76" s="35" t="n">
        <x:f>--AND(DH$3&gt;=MAX($B$67,$B$66),DH$3&lt;EDATE($B$67,MAX(1,'Вводные'!$K$73)),AND($B$63="Да",IFERROR(INDEX('Вводные'!$B$88:$B$90,$B$64),"Нет")="Да"))</x:f>
        <x:v>0</x:v>
      </x:c>
      <x:c r="DI76" s="35" t="n">
        <x:f>--AND(DI$3&gt;=MAX($B$67,$B$66),DI$3&lt;EDATE($B$67,MAX(1,'Вводные'!$K$73)),AND($B$63="Да",IFERROR(INDEX('Вводные'!$B$88:$B$90,$B$64),"Нет")="Да"))</x:f>
        <x:v>0</x:v>
      </x:c>
      <x:c r="DJ76" s="35" t="n">
        <x:f>--AND(DJ$3&gt;=MAX($B$67,$B$66),DJ$3&lt;EDATE($B$67,MAX(1,'Вводные'!$K$73)),AND($B$63="Да",IFERROR(INDEX('Вводные'!$B$88:$B$90,$B$64),"Нет")="Да"))</x:f>
        <x:v>0</x:v>
      </x:c>
      <x:c r="DK76" s="35" t="n">
        <x:f>--AND(DK$3&gt;=MAX($B$67,$B$66),DK$3&lt;EDATE($B$67,MAX(1,'Вводные'!$K$73)),AND($B$63="Да",IFERROR(INDEX('Вводные'!$B$88:$B$90,$B$64),"Нет")="Да"))</x:f>
        <x:v>0</x:v>
      </x:c>
      <x:c r="DL76" s="35" t="n">
        <x:f>--AND(DL$3&gt;=MAX($B$67,$B$66),DL$3&lt;EDATE($B$67,MAX(1,'Вводные'!$K$73)),AND($B$63="Да",IFERROR(INDEX('Вводные'!$B$88:$B$90,$B$64),"Нет")="Да"))</x:f>
        <x:v>0</x:v>
      </x:c>
      <x:c r="DM76" s="35" t="n">
        <x:f>--AND(DM$3&gt;=MAX($B$67,$B$66),DM$3&lt;EDATE($B$67,MAX(1,'Вводные'!$K$73)),AND($B$63="Да",IFERROR(INDEX('Вводные'!$B$88:$B$90,$B$64),"Нет")="Да"))</x:f>
        <x:v>0</x:v>
      </x:c>
      <x:c r="DN76" s="35" t="n">
        <x:f>--AND(DN$3&gt;=MAX($B$67,$B$66),DN$3&lt;EDATE($B$67,MAX(1,'Вводные'!$K$73)),AND($B$63="Да",IFERROR(INDEX('Вводные'!$B$88:$B$90,$B$64),"Нет")="Да"))</x:f>
        <x:v>0</x:v>
      </x:c>
      <x:c r="DO76" s="35" t="n">
        <x:f>--AND(DO$3&gt;=MAX($B$67,$B$66),DO$3&lt;EDATE($B$67,MAX(1,'Вводные'!$K$73)),AND($B$63="Да",IFERROR(INDEX('Вводные'!$B$88:$B$90,$B$64),"Нет")="Да"))</x:f>
        <x:v>0</x:v>
      </x:c>
      <x:c r="DP76" s="35" t="n">
        <x:f>--AND(DP$3&gt;=MAX($B$67,$B$66),DP$3&lt;EDATE($B$67,MAX(1,'Вводные'!$K$73)),AND($B$63="Да",IFERROR(INDEX('Вводные'!$B$88:$B$90,$B$64),"Нет")="Да"))</x:f>
        <x:v>0</x:v>
      </x:c>
      <x:c r="DQ76" s="35" t="n">
        <x:f>--AND(DQ$3&gt;=MAX($B$67,$B$66),DQ$3&lt;EDATE($B$67,MAX(1,'Вводные'!$K$73)),AND($B$63="Да",IFERROR(INDEX('Вводные'!$B$88:$B$90,$B$64),"Нет")="Да"))</x:f>
        <x:v>0</x:v>
      </x:c>
      <x:c r="DR76" s="35" t="n">
        <x:f>--AND(DR$3&gt;=MAX($B$67,$B$66),DR$3&lt;EDATE($B$67,MAX(1,'Вводные'!$K$73)),AND($B$63="Да",IFERROR(INDEX('Вводные'!$B$88:$B$90,$B$64),"Нет")="Да"))</x:f>
        <x:v>0</x:v>
      </x:c>
      <x:c r="DS76" s="35" t="n">
        <x:f>--AND(DS$3&gt;=MAX($B$67,$B$66),DS$3&lt;EDATE($B$67,MAX(1,'Вводные'!$K$73)),AND($B$63="Да",IFERROR(INDEX('Вводные'!$B$88:$B$90,$B$64),"Нет")="Да"))</x:f>
        <x:v>0</x:v>
      </x:c>
    </x:row>
    <x:row r="77">
      <x:c r="A77" t="str">
        <x:v>Нормированный вес после РВЭ</x:v>
      </x:c>
      <x:c r="B77" s="35" t="n">
        <x:f>SUM(D77:DS77)</x:f>
        <x:v>0</x:v>
      </x:c>
      <x:c r="C77" t="str">
        <x:v>%</x:v>
      </x:c>
      <x:c r="D77" s="35" t="n">
        <x:f>IFERROR(D74*D76/SUMPRODUCT($D74:$DS74,$D76:$DS76),0)</x:f>
        <x:v>0</x:v>
      </x:c>
      <x:c r="E77" s="35" t="n">
        <x:f>IFERROR(E74*E76/SUMPRODUCT($D74:$DS74,$D76:$DS76),0)</x:f>
        <x:v>0</x:v>
      </x:c>
      <x:c r="F77" s="35" t="n">
        <x:f>IFERROR(F74*F76/SUMPRODUCT($D74:$DS74,$D76:$DS76),0)</x:f>
        <x:v>0</x:v>
      </x:c>
      <x:c r="G77" s="35" t="n">
        <x:f>IFERROR(G74*G76/SUMPRODUCT($D74:$DS74,$D76:$DS76),0)</x:f>
        <x:v>0</x:v>
      </x:c>
      <x:c r="H77" s="35" t="n">
        <x:f>IFERROR(H74*H76/SUMPRODUCT($D74:$DS74,$D76:$DS76),0)</x:f>
        <x:v>0</x:v>
      </x:c>
      <x:c r="I77" s="35" t="n">
        <x:f>IFERROR(I74*I76/SUMPRODUCT($D74:$DS74,$D76:$DS76),0)</x:f>
        <x:v>0</x:v>
      </x:c>
      <x:c r="J77" s="35" t="n">
        <x:f>IFERROR(J74*J76/SUMPRODUCT($D74:$DS74,$D76:$DS76),0)</x:f>
        <x:v>0</x:v>
      </x:c>
      <x:c r="K77" s="35" t="n">
        <x:f>IFERROR(K74*K76/SUMPRODUCT($D74:$DS74,$D76:$DS76),0)</x:f>
        <x:v>0</x:v>
      </x:c>
      <x:c r="L77" s="35" t="n">
        <x:f>IFERROR(L74*L76/SUMPRODUCT($D74:$DS74,$D76:$DS76),0)</x:f>
        <x:v>0</x:v>
      </x:c>
      <x:c r="M77" s="35" t="n">
        <x:f>IFERROR(M74*M76/SUMPRODUCT($D74:$DS74,$D76:$DS76),0)</x:f>
        <x:v>0</x:v>
      </x:c>
      <x:c r="N77" s="35" t="n">
        <x:f>IFERROR(N74*N76/SUMPRODUCT($D74:$DS74,$D76:$DS76),0)</x:f>
        <x:v>0</x:v>
      </x:c>
      <x:c r="O77" s="35" t="n">
        <x:f>IFERROR(O74*O76/SUMPRODUCT($D74:$DS74,$D76:$DS76),0)</x:f>
        <x:v>0</x:v>
      </x:c>
      <x:c r="P77" s="35" t="n">
        <x:f>IFERROR(P74*P76/SUMPRODUCT($D74:$DS74,$D76:$DS76),0)</x:f>
        <x:v>0</x:v>
      </x:c>
      <x:c r="Q77" s="35" t="n">
        <x:f>IFERROR(Q74*Q76/SUMPRODUCT($D74:$DS74,$D76:$DS76),0)</x:f>
        <x:v>0</x:v>
      </x:c>
      <x:c r="R77" s="35" t="n">
        <x:f>IFERROR(R74*R76/SUMPRODUCT($D74:$DS74,$D76:$DS76),0)</x:f>
        <x:v>0</x:v>
      </x:c>
      <x:c r="S77" s="35" t="n">
        <x:f>IFERROR(S74*S76/SUMPRODUCT($D74:$DS74,$D76:$DS76),0)</x:f>
        <x:v>0</x:v>
      </x:c>
      <x:c r="T77" s="35" t="n">
        <x:f>IFERROR(T74*T76/SUMPRODUCT($D74:$DS74,$D76:$DS76),0)</x:f>
        <x:v>0</x:v>
      </x:c>
      <x:c r="U77" s="35" t="n">
        <x:f>IFERROR(U74*U76/SUMPRODUCT($D74:$DS74,$D76:$DS76),0)</x:f>
        <x:v>0</x:v>
      </x:c>
      <x:c r="V77" s="35" t="n">
        <x:f>IFERROR(V74*V76/SUMPRODUCT($D74:$DS74,$D76:$DS76),0)</x:f>
        <x:v>0</x:v>
      </x:c>
      <x:c r="W77" s="35" t="n">
        <x:f>IFERROR(W74*W76/SUMPRODUCT($D74:$DS74,$D76:$DS76),0)</x:f>
        <x:v>0</x:v>
      </x:c>
      <x:c r="X77" s="35" t="n">
        <x:f>IFERROR(X74*X76/SUMPRODUCT($D74:$DS74,$D76:$DS76),0)</x:f>
        <x:v>0</x:v>
      </x:c>
      <x:c r="Y77" s="35" t="n">
        <x:f>IFERROR(Y74*Y76/SUMPRODUCT($D74:$DS74,$D76:$DS76),0)</x:f>
        <x:v>0</x:v>
      </x:c>
      <x:c r="Z77" s="35" t="n">
        <x:f>IFERROR(Z74*Z76/SUMPRODUCT($D74:$DS74,$D76:$DS76),0)</x:f>
        <x:v>0</x:v>
      </x:c>
      <x:c r="AA77" s="35" t="n">
        <x:f>IFERROR(AA74*AA76/SUMPRODUCT($D74:$DS74,$D76:$DS76),0)</x:f>
        <x:v>0</x:v>
      </x:c>
      <x:c r="AB77" s="35" t="n">
        <x:f>IFERROR(AB74*AB76/SUMPRODUCT($D74:$DS74,$D76:$DS76),0)</x:f>
        <x:v>0</x:v>
      </x:c>
      <x:c r="AC77" s="35" t="n">
        <x:f>IFERROR(AC74*AC76/SUMPRODUCT($D74:$DS74,$D76:$DS76),0)</x:f>
        <x:v>0</x:v>
      </x:c>
      <x:c r="AD77" s="35" t="n">
        <x:f>IFERROR(AD74*AD76/SUMPRODUCT($D74:$DS74,$D76:$DS76),0)</x:f>
        <x:v>0</x:v>
      </x:c>
      <x:c r="AE77" s="35" t="n">
        <x:f>IFERROR(AE74*AE76/SUMPRODUCT($D74:$DS74,$D76:$DS76),0)</x:f>
        <x:v>0</x:v>
      </x:c>
      <x:c r="AF77" s="35" t="n">
        <x:f>IFERROR(AF74*AF76/SUMPRODUCT($D74:$DS74,$D76:$DS76),0)</x:f>
        <x:v>0</x:v>
      </x:c>
      <x:c r="AG77" s="35" t="n">
        <x:f>IFERROR(AG74*AG76/SUMPRODUCT($D74:$DS74,$D76:$DS76),0)</x:f>
        <x:v>0</x:v>
      </x:c>
      <x:c r="AH77" s="35" t="n">
        <x:f>IFERROR(AH74*AH76/SUMPRODUCT($D74:$DS74,$D76:$DS76),0)</x:f>
        <x:v>0</x:v>
      </x:c>
      <x:c r="AI77" s="35" t="n">
        <x:f>IFERROR(AI74*AI76/SUMPRODUCT($D74:$DS74,$D76:$DS76),0)</x:f>
        <x:v>0</x:v>
      </x:c>
      <x:c r="AJ77" s="35" t="n">
        <x:f>IFERROR(AJ74*AJ76/SUMPRODUCT($D74:$DS74,$D76:$DS76),0)</x:f>
        <x:v>0</x:v>
      </x:c>
      <x:c r="AK77" s="35" t="n">
        <x:f>IFERROR(AK74*AK76/SUMPRODUCT($D74:$DS74,$D76:$DS76),0)</x:f>
        <x:v>0</x:v>
      </x:c>
      <x:c r="AL77" s="35" t="n">
        <x:f>IFERROR(AL74*AL76/SUMPRODUCT($D74:$DS74,$D76:$DS76),0)</x:f>
        <x:v>0</x:v>
      </x:c>
      <x:c r="AM77" s="35" t="n">
        <x:f>IFERROR(AM74*AM76/SUMPRODUCT($D74:$DS74,$D76:$DS76),0)</x:f>
        <x:v>0</x:v>
      </x:c>
      <x:c r="AN77" s="35" t="n">
        <x:f>IFERROR(AN74*AN76/SUMPRODUCT($D74:$DS74,$D76:$DS76),0)</x:f>
        <x:v>0</x:v>
      </x:c>
      <x:c r="AO77" s="35" t="n">
        <x:f>IFERROR(AO74*AO76/SUMPRODUCT($D74:$DS74,$D76:$DS76),0)</x:f>
        <x:v>0</x:v>
      </x:c>
      <x:c r="AP77" s="35" t="n">
        <x:f>IFERROR(AP74*AP76/SUMPRODUCT($D74:$DS74,$D76:$DS76),0)</x:f>
        <x:v>0</x:v>
      </x:c>
      <x:c r="AQ77" s="35" t="n">
        <x:f>IFERROR(AQ74*AQ76/SUMPRODUCT($D74:$DS74,$D76:$DS76),0)</x:f>
        <x:v>0</x:v>
      </x:c>
      <x:c r="AR77" s="35" t="n">
        <x:f>IFERROR(AR74*AR76/SUMPRODUCT($D74:$DS74,$D76:$DS76),0)</x:f>
        <x:v>0</x:v>
      </x:c>
      <x:c r="AS77" s="35" t="n">
        <x:f>IFERROR(AS74*AS76/SUMPRODUCT($D74:$DS74,$D76:$DS76),0)</x:f>
        <x:v>0</x:v>
      </x:c>
      <x:c r="AT77" s="35" t="n">
        <x:f>IFERROR(AT74*AT76/SUMPRODUCT($D74:$DS74,$D76:$DS76),0)</x:f>
        <x:v>0</x:v>
      </x:c>
      <x:c r="AU77" s="35" t="n">
        <x:f>IFERROR(AU74*AU76/SUMPRODUCT($D74:$DS74,$D76:$DS76),0)</x:f>
        <x:v>0</x:v>
      </x:c>
      <x:c r="AV77" s="35" t="n">
        <x:f>IFERROR(AV74*AV76/SUMPRODUCT($D74:$DS74,$D76:$DS76),0)</x:f>
        <x:v>0</x:v>
      </x:c>
      <x:c r="AW77" s="35" t="n">
        <x:f>IFERROR(AW74*AW76/SUMPRODUCT($D74:$DS74,$D76:$DS76),0)</x:f>
        <x:v>0</x:v>
      </x:c>
      <x:c r="AX77" s="35" t="n">
        <x:f>IFERROR(AX74*AX76/SUMPRODUCT($D74:$DS74,$D76:$DS76),0)</x:f>
        <x:v>0</x:v>
      </x:c>
      <x:c r="AY77" s="35" t="n">
        <x:f>IFERROR(AY74*AY76/SUMPRODUCT($D74:$DS74,$D76:$DS76),0)</x:f>
        <x:v>0</x:v>
      </x:c>
      <x:c r="AZ77" s="35" t="n">
        <x:f>IFERROR(AZ74*AZ76/SUMPRODUCT($D74:$DS74,$D76:$DS76),0)</x:f>
        <x:v>0</x:v>
      </x:c>
      <x:c r="BA77" s="35" t="n">
        <x:f>IFERROR(BA74*BA76/SUMPRODUCT($D74:$DS74,$D76:$DS76),0)</x:f>
        <x:v>0</x:v>
      </x:c>
      <x:c r="BB77" s="35" t="n">
        <x:f>IFERROR(BB74*BB76/SUMPRODUCT($D74:$DS74,$D76:$DS76),0)</x:f>
        <x:v>0</x:v>
      </x:c>
      <x:c r="BC77" s="35" t="n">
        <x:f>IFERROR(BC74*BC76/SUMPRODUCT($D74:$DS74,$D76:$DS76),0)</x:f>
        <x:v>0</x:v>
      </x:c>
      <x:c r="BD77" s="35" t="n">
        <x:f>IFERROR(BD74*BD76/SUMPRODUCT($D74:$DS74,$D76:$DS76),0)</x:f>
        <x:v>0</x:v>
      </x:c>
      <x:c r="BE77" s="35" t="n">
        <x:f>IFERROR(BE74*BE76/SUMPRODUCT($D74:$DS74,$D76:$DS76),0)</x:f>
        <x:v>0</x:v>
      </x:c>
      <x:c r="BF77" s="35" t="n">
        <x:f>IFERROR(BF74*BF76/SUMPRODUCT($D74:$DS74,$D76:$DS76),0)</x:f>
        <x:v>0</x:v>
      </x:c>
      <x:c r="BG77" s="35" t="n">
        <x:f>IFERROR(BG74*BG76/SUMPRODUCT($D74:$DS74,$D76:$DS76),0)</x:f>
        <x:v>0</x:v>
      </x:c>
      <x:c r="BH77" s="35" t="n">
        <x:f>IFERROR(BH74*BH76/SUMPRODUCT($D74:$DS74,$D76:$DS76),0)</x:f>
        <x:v>0</x:v>
      </x:c>
      <x:c r="BI77" s="35" t="n">
        <x:f>IFERROR(BI74*BI76/SUMPRODUCT($D74:$DS74,$D76:$DS76),0)</x:f>
        <x:v>0</x:v>
      </x:c>
      <x:c r="BJ77" s="35" t="n">
        <x:f>IFERROR(BJ74*BJ76/SUMPRODUCT($D74:$DS74,$D76:$DS76),0)</x:f>
        <x:v>0</x:v>
      </x:c>
      <x:c r="BK77" s="35" t="n">
        <x:f>IFERROR(BK74*BK76/SUMPRODUCT($D74:$DS74,$D76:$DS76),0)</x:f>
        <x:v>0</x:v>
      </x:c>
      <x:c r="BL77" s="35" t="n">
        <x:f>IFERROR(BL74*BL76/SUMPRODUCT($D74:$DS74,$D76:$DS76),0)</x:f>
        <x:v>0</x:v>
      </x:c>
      <x:c r="BM77" s="35" t="n">
        <x:f>IFERROR(BM74*BM76/SUMPRODUCT($D74:$DS74,$D76:$DS76),0)</x:f>
        <x:v>0</x:v>
      </x:c>
      <x:c r="BN77" s="35" t="n">
        <x:f>IFERROR(BN74*BN76/SUMPRODUCT($D74:$DS74,$D76:$DS76),0)</x:f>
        <x:v>0</x:v>
      </x:c>
      <x:c r="BO77" s="35" t="n">
        <x:f>IFERROR(BO74*BO76/SUMPRODUCT($D74:$DS74,$D76:$DS76),0)</x:f>
        <x:v>0</x:v>
      </x:c>
      <x:c r="BP77" s="35" t="n">
        <x:f>IFERROR(BP74*BP76/SUMPRODUCT($D74:$DS74,$D76:$DS76),0)</x:f>
        <x:v>0</x:v>
      </x:c>
      <x:c r="BQ77" s="35" t="n">
        <x:f>IFERROR(BQ74*BQ76/SUMPRODUCT($D74:$DS74,$D76:$DS76),0)</x:f>
        <x:v>0</x:v>
      </x:c>
      <x:c r="BR77" s="35" t="n">
        <x:f>IFERROR(BR74*BR76/SUMPRODUCT($D74:$DS74,$D76:$DS76),0)</x:f>
        <x:v>0</x:v>
      </x:c>
      <x:c r="BS77" s="35" t="n">
        <x:f>IFERROR(BS74*BS76/SUMPRODUCT($D74:$DS74,$D76:$DS76),0)</x:f>
        <x:v>0</x:v>
      </x:c>
      <x:c r="BT77" s="35" t="n">
        <x:f>IFERROR(BT74*BT76/SUMPRODUCT($D74:$DS74,$D76:$DS76),0)</x:f>
        <x:v>0</x:v>
      </x:c>
      <x:c r="BU77" s="35" t="n">
        <x:f>IFERROR(BU74*BU76/SUMPRODUCT($D74:$DS74,$D76:$DS76),0)</x:f>
        <x:v>0</x:v>
      </x:c>
      <x:c r="BV77" s="35" t="n">
        <x:f>IFERROR(BV74*BV76/SUMPRODUCT($D74:$DS74,$D76:$DS76),0)</x:f>
        <x:v>0</x:v>
      </x:c>
      <x:c r="BW77" s="35" t="n">
        <x:f>IFERROR(BW74*BW76/SUMPRODUCT($D74:$DS74,$D76:$DS76),0)</x:f>
        <x:v>0</x:v>
      </x:c>
      <x:c r="BX77" s="35" t="n">
        <x:f>IFERROR(BX74*BX76/SUMPRODUCT($D74:$DS74,$D76:$DS76),0)</x:f>
        <x:v>0</x:v>
      </x:c>
      <x:c r="BY77" s="35" t="n">
        <x:f>IFERROR(BY74*BY76/SUMPRODUCT($D74:$DS74,$D76:$DS76),0)</x:f>
        <x:v>0</x:v>
      </x:c>
      <x:c r="BZ77" s="35" t="n">
        <x:f>IFERROR(BZ74*BZ76/SUMPRODUCT($D74:$DS74,$D76:$DS76),0)</x:f>
        <x:v>0</x:v>
      </x:c>
      <x:c r="CA77" s="35" t="n">
        <x:f>IFERROR(CA74*CA76/SUMPRODUCT($D74:$DS74,$D76:$DS76),0)</x:f>
        <x:v>0</x:v>
      </x:c>
      <x:c r="CB77" s="35" t="n">
        <x:f>IFERROR(CB74*CB76/SUMPRODUCT($D74:$DS74,$D76:$DS76),0)</x:f>
        <x:v>0</x:v>
      </x:c>
      <x:c r="CC77" s="35" t="n">
        <x:f>IFERROR(CC74*CC76/SUMPRODUCT($D74:$DS74,$D76:$DS76),0)</x:f>
        <x:v>0</x:v>
      </x:c>
      <x:c r="CD77" s="35" t="n">
        <x:f>IFERROR(CD74*CD76/SUMPRODUCT($D74:$DS74,$D76:$DS76),0)</x:f>
        <x:v>0</x:v>
      </x:c>
      <x:c r="CE77" s="35" t="n">
        <x:f>IFERROR(CE74*CE76/SUMPRODUCT($D74:$DS74,$D76:$DS76),0)</x:f>
        <x:v>0</x:v>
      </x:c>
      <x:c r="CF77" s="35" t="n">
        <x:f>IFERROR(CF74*CF76/SUMPRODUCT($D74:$DS74,$D76:$DS76),0)</x:f>
        <x:v>0</x:v>
      </x:c>
      <x:c r="CG77" s="35" t="n">
        <x:f>IFERROR(CG74*CG76/SUMPRODUCT($D74:$DS74,$D76:$DS76),0)</x:f>
        <x:v>0</x:v>
      </x:c>
      <x:c r="CH77" s="35" t="n">
        <x:f>IFERROR(CH74*CH76/SUMPRODUCT($D74:$DS74,$D76:$DS76),0)</x:f>
        <x:v>0</x:v>
      </x:c>
      <x:c r="CI77" s="35" t="n">
        <x:f>IFERROR(CI74*CI76/SUMPRODUCT($D74:$DS74,$D76:$DS76),0)</x:f>
        <x:v>0</x:v>
      </x:c>
      <x:c r="CJ77" s="35" t="n">
        <x:f>IFERROR(CJ74*CJ76/SUMPRODUCT($D74:$DS74,$D76:$DS76),0)</x:f>
        <x:v>0</x:v>
      </x:c>
      <x:c r="CK77" s="35" t="n">
        <x:f>IFERROR(CK74*CK76/SUMPRODUCT($D74:$DS74,$D76:$DS76),0)</x:f>
        <x:v>0</x:v>
      </x:c>
      <x:c r="CL77" s="35" t="n">
        <x:f>IFERROR(CL74*CL76/SUMPRODUCT($D74:$DS74,$D76:$DS76),0)</x:f>
        <x:v>0</x:v>
      </x:c>
      <x:c r="CM77" s="35" t="n">
        <x:f>IFERROR(CM74*CM76/SUMPRODUCT($D74:$DS74,$D76:$DS76),0)</x:f>
        <x:v>0</x:v>
      </x:c>
      <x:c r="CN77" s="35" t="n">
        <x:f>IFERROR(CN74*CN76/SUMPRODUCT($D74:$DS74,$D76:$DS76),0)</x:f>
        <x:v>0</x:v>
      </x:c>
      <x:c r="CO77" s="35" t="n">
        <x:f>IFERROR(CO74*CO76/SUMPRODUCT($D74:$DS74,$D76:$DS76),0)</x:f>
        <x:v>0</x:v>
      </x:c>
      <x:c r="CP77" s="35" t="n">
        <x:f>IFERROR(CP74*CP76/SUMPRODUCT($D74:$DS74,$D76:$DS76),0)</x:f>
        <x:v>0</x:v>
      </x:c>
      <x:c r="CQ77" s="35" t="n">
        <x:f>IFERROR(CQ74*CQ76/SUMPRODUCT($D74:$DS74,$D76:$DS76),0)</x:f>
        <x:v>0</x:v>
      </x:c>
      <x:c r="CR77" s="35" t="n">
        <x:f>IFERROR(CR74*CR76/SUMPRODUCT($D74:$DS74,$D76:$DS76),0)</x:f>
        <x:v>0</x:v>
      </x:c>
      <x:c r="CS77" s="35" t="n">
        <x:f>IFERROR(CS74*CS76/SUMPRODUCT($D74:$DS74,$D76:$DS76),0)</x:f>
        <x:v>0</x:v>
      </x:c>
      <x:c r="CT77" s="35" t="n">
        <x:f>IFERROR(CT74*CT76/SUMPRODUCT($D74:$DS74,$D76:$DS76),0)</x:f>
        <x:v>0</x:v>
      </x:c>
      <x:c r="CU77" s="35" t="n">
        <x:f>IFERROR(CU74*CU76/SUMPRODUCT($D74:$DS74,$D76:$DS76),0)</x:f>
        <x:v>0</x:v>
      </x:c>
      <x:c r="CV77" s="35" t="n">
        <x:f>IFERROR(CV74*CV76/SUMPRODUCT($D74:$DS74,$D76:$DS76),0)</x:f>
        <x:v>0</x:v>
      </x:c>
      <x:c r="CW77" s="35" t="n">
        <x:f>IFERROR(CW74*CW76/SUMPRODUCT($D74:$DS74,$D76:$DS76),0)</x:f>
        <x:v>0</x:v>
      </x:c>
      <x:c r="CX77" s="35" t="n">
        <x:f>IFERROR(CX74*CX76/SUMPRODUCT($D74:$DS74,$D76:$DS76),0)</x:f>
        <x:v>0</x:v>
      </x:c>
      <x:c r="CY77" s="35" t="n">
        <x:f>IFERROR(CY74*CY76/SUMPRODUCT($D74:$DS74,$D76:$DS76),0)</x:f>
        <x:v>0</x:v>
      </x:c>
      <x:c r="CZ77" s="35" t="n">
        <x:f>IFERROR(CZ74*CZ76/SUMPRODUCT($D74:$DS74,$D76:$DS76),0)</x:f>
        <x:v>0</x:v>
      </x:c>
      <x:c r="DA77" s="35" t="n">
        <x:f>IFERROR(DA74*DA76/SUMPRODUCT($D74:$DS74,$D76:$DS76),0)</x:f>
        <x:v>0</x:v>
      </x:c>
      <x:c r="DB77" s="35" t="n">
        <x:f>IFERROR(DB74*DB76/SUMPRODUCT($D74:$DS74,$D76:$DS76),0)</x:f>
        <x:v>0</x:v>
      </x:c>
      <x:c r="DC77" s="35" t="n">
        <x:f>IFERROR(DC74*DC76/SUMPRODUCT($D74:$DS74,$D76:$DS76),0)</x:f>
        <x:v>0</x:v>
      </x:c>
      <x:c r="DD77" s="35" t="n">
        <x:f>IFERROR(DD74*DD76/SUMPRODUCT($D74:$DS74,$D76:$DS76),0)</x:f>
        <x:v>0</x:v>
      </x:c>
      <x:c r="DE77" s="35" t="n">
        <x:f>IFERROR(DE74*DE76/SUMPRODUCT($D74:$DS74,$D76:$DS76),0)</x:f>
        <x:v>0</x:v>
      </x:c>
      <x:c r="DF77" s="35" t="n">
        <x:f>IFERROR(DF74*DF76/SUMPRODUCT($D74:$DS74,$D76:$DS76),0)</x:f>
        <x:v>0</x:v>
      </x:c>
      <x:c r="DG77" s="35" t="n">
        <x:f>IFERROR(DG74*DG76/SUMPRODUCT($D74:$DS74,$D76:$DS76),0)</x:f>
        <x:v>0</x:v>
      </x:c>
      <x:c r="DH77" s="35" t="n">
        <x:f>IFERROR(DH74*DH76/SUMPRODUCT($D74:$DS74,$D76:$DS76),0)</x:f>
        <x:v>0</x:v>
      </x:c>
      <x:c r="DI77" s="35" t="n">
        <x:f>IFERROR(DI74*DI76/SUMPRODUCT($D74:$DS74,$D76:$DS76),0)</x:f>
        <x:v>0</x:v>
      </x:c>
      <x:c r="DJ77" s="35" t="n">
        <x:f>IFERROR(DJ74*DJ76/SUMPRODUCT($D74:$DS74,$D76:$DS76),0)</x:f>
        <x:v>0</x:v>
      </x:c>
      <x:c r="DK77" s="35" t="n">
        <x:f>IFERROR(DK74*DK76/SUMPRODUCT($D74:$DS74,$D76:$DS76),0)</x:f>
        <x:v>0</x:v>
      </x:c>
      <x:c r="DL77" s="35" t="n">
        <x:f>IFERROR(DL74*DL76/SUMPRODUCT($D74:$DS74,$D76:$DS76),0)</x:f>
        <x:v>0</x:v>
      </x:c>
      <x:c r="DM77" s="35" t="n">
        <x:f>IFERROR(DM74*DM76/SUMPRODUCT($D74:$DS74,$D76:$DS76),0)</x:f>
        <x:v>0</x:v>
      </x:c>
      <x:c r="DN77" s="35" t="n">
        <x:f>IFERROR(DN74*DN76/SUMPRODUCT($D74:$DS74,$D76:$DS76),0)</x:f>
        <x:v>0</x:v>
      </x:c>
      <x:c r="DO77" s="35" t="n">
        <x:f>IFERROR(DO74*DO76/SUMPRODUCT($D74:$DS74,$D76:$DS76),0)</x:f>
        <x:v>0</x:v>
      </x:c>
      <x:c r="DP77" s="35" t="n">
        <x:f>IFERROR(DP74*DP76/SUMPRODUCT($D74:$DS74,$D76:$DS76),0)</x:f>
        <x:v>0</x:v>
      </x:c>
      <x:c r="DQ77" s="35" t="n">
        <x:f>IFERROR(DQ74*DQ76/SUMPRODUCT($D74:$DS74,$D76:$DS76),0)</x:f>
        <x:v>0</x:v>
      </x:c>
      <x:c r="DR77" s="35" t="n">
        <x:f>IFERROR(DR74*DR76/SUMPRODUCT($D74:$DS74,$D76:$DS76),0)</x:f>
        <x:v>0</x:v>
      </x:c>
      <x:c r="DS77" s="35" t="n">
        <x:f>IFERROR(DS74*DS76/SUMPRODUCT($D74:$DS74,$D76:$DS76),0)</x:f>
        <x:v>0</x:v>
      </x:c>
    </x:row>
    <x:row r="78">
      <x:c r="A78" t="str">
        <x:v>Реализованный объём</x:v>
      </x:c>
      <x:c r="B78" s="132" t="n">
        <x:f>SUM(D78:DS78)</x:f>
        <x:v>0</x:v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  <x:v>0</x:v>
      </x:c>
      <x:c r="E78" s="132" t="n">
        <x:f>$B$69*((IF(SUM($D73:$DS73)=0,0,IF(SUM($D76:$DS76)=0,1,'Вводные'!$K$72)))*E75+(1-(IF(SUM($D73:$DS73)=0,0,IF(SUM($D76:$DS76)=0,1,'Вводные'!$K$72))))*E77)</x:f>
        <x:v>0</x:v>
      </x:c>
      <x:c r="F78" s="132" t="n">
        <x:f>$B$69*((IF(SUM($D73:$DS73)=0,0,IF(SUM($D76:$DS76)=0,1,'Вводные'!$K$72)))*F75+(1-(IF(SUM($D73:$DS73)=0,0,IF(SUM($D76:$DS76)=0,1,'Вводные'!$K$72))))*F77)</x:f>
        <x:v>0</x:v>
      </x:c>
      <x:c r="G78" s="132" t="n">
        <x:f>$B$69*((IF(SUM($D73:$DS73)=0,0,IF(SUM($D76:$DS76)=0,1,'Вводные'!$K$72)))*G75+(1-(IF(SUM($D73:$DS73)=0,0,IF(SUM($D76:$DS76)=0,1,'Вводные'!$K$72))))*G77)</x:f>
        <x:v>0</x:v>
      </x:c>
      <x:c r="H78" s="132" t="n">
        <x:f>$B$69*((IF(SUM($D73:$DS73)=0,0,IF(SUM($D76:$DS76)=0,1,'Вводные'!$K$72)))*H75+(1-(IF(SUM($D73:$DS73)=0,0,IF(SUM($D76:$DS76)=0,1,'Вводные'!$K$72))))*H77)</x:f>
        <x:v>0</x:v>
      </x:c>
      <x:c r="I78" s="132" t="n">
        <x:f>$B$69*((IF(SUM($D73:$DS73)=0,0,IF(SUM($D76:$DS76)=0,1,'Вводные'!$K$72)))*I75+(1-(IF(SUM($D73:$DS73)=0,0,IF(SUM($D76:$DS76)=0,1,'Вводные'!$K$72))))*I77)</x:f>
        <x:v>0</x:v>
      </x:c>
      <x:c r="J78" s="132" t="n">
        <x:f>$B$69*((IF(SUM($D73:$DS73)=0,0,IF(SUM($D76:$DS76)=0,1,'Вводные'!$K$72)))*J75+(1-(IF(SUM($D73:$DS73)=0,0,IF(SUM($D76:$DS76)=0,1,'Вводные'!$K$72))))*J77)</x:f>
        <x:v>0</x:v>
      </x:c>
      <x:c r="K78" s="132" t="n">
        <x:f>$B$69*((IF(SUM($D73:$DS73)=0,0,IF(SUM($D76:$DS76)=0,1,'Вводные'!$K$72)))*K75+(1-(IF(SUM($D73:$DS73)=0,0,IF(SUM($D76:$DS76)=0,1,'Вводные'!$K$72))))*K77)</x:f>
        <x:v>0</x:v>
      </x:c>
      <x:c r="L78" s="132" t="n">
        <x:f>$B$69*((IF(SUM($D73:$DS73)=0,0,IF(SUM($D76:$DS76)=0,1,'Вводные'!$K$72)))*L75+(1-(IF(SUM($D73:$DS73)=0,0,IF(SUM($D76:$DS76)=0,1,'Вводные'!$K$72))))*L77)</x:f>
        <x:v>0</x:v>
      </x:c>
      <x:c r="M78" s="132" t="n">
        <x:f>$B$69*((IF(SUM($D73:$DS73)=0,0,IF(SUM($D76:$DS76)=0,1,'Вводные'!$K$72)))*M75+(1-(IF(SUM($D73:$DS73)=0,0,IF(SUM($D76:$DS76)=0,1,'Вводные'!$K$72))))*M77)</x:f>
        <x:v>0</x:v>
      </x:c>
      <x:c r="N78" s="132" t="n">
        <x:f>$B$69*((IF(SUM($D73:$DS73)=0,0,IF(SUM($D76:$DS76)=0,1,'Вводные'!$K$72)))*N75+(1-(IF(SUM($D73:$DS73)=0,0,IF(SUM($D76:$DS76)=0,1,'Вводные'!$K$72))))*N77)</x:f>
        <x:v>0</x:v>
      </x:c>
      <x:c r="O78" s="132" t="n">
        <x:f>$B$69*((IF(SUM($D73:$DS73)=0,0,IF(SUM($D76:$DS76)=0,1,'Вводные'!$K$72)))*O75+(1-(IF(SUM($D73:$DS73)=0,0,IF(SUM($D76:$DS76)=0,1,'Вводные'!$K$72))))*O77)</x:f>
        <x:v>0</x:v>
      </x:c>
      <x:c r="P78" s="132" t="n">
        <x:f>$B$69*((IF(SUM($D73:$DS73)=0,0,IF(SUM($D76:$DS76)=0,1,'Вводные'!$K$72)))*P75+(1-(IF(SUM($D73:$DS73)=0,0,IF(SUM($D76:$DS76)=0,1,'Вводные'!$K$72))))*P77)</x:f>
        <x:v>0</x:v>
      </x:c>
      <x:c r="Q78" s="132" t="n">
        <x:f>$B$69*((IF(SUM($D73:$DS73)=0,0,IF(SUM($D76:$DS76)=0,1,'Вводные'!$K$72)))*Q75+(1-(IF(SUM($D73:$DS73)=0,0,IF(SUM($D76:$DS76)=0,1,'Вводные'!$K$72))))*Q77)</x:f>
        <x:v>0</x:v>
      </x:c>
      <x:c r="R78" s="132" t="n">
        <x:f>$B$69*((IF(SUM($D73:$DS73)=0,0,IF(SUM($D76:$DS76)=0,1,'Вводные'!$K$72)))*R75+(1-(IF(SUM($D73:$DS73)=0,0,IF(SUM($D76:$DS76)=0,1,'Вводные'!$K$72))))*R77)</x:f>
        <x:v>0</x:v>
      </x:c>
      <x:c r="S78" s="132" t="n">
        <x:f>$B$69*((IF(SUM($D73:$DS73)=0,0,IF(SUM($D76:$DS76)=0,1,'Вводные'!$K$72)))*S75+(1-(IF(SUM($D73:$DS73)=0,0,IF(SUM($D76:$DS76)=0,1,'Вводные'!$K$72))))*S77)</x:f>
        <x:v>0</x:v>
      </x:c>
      <x:c r="T78" s="132" t="n">
        <x:f>$B$69*((IF(SUM($D73:$DS73)=0,0,IF(SUM($D76:$DS76)=0,1,'Вводные'!$K$72)))*T75+(1-(IF(SUM($D73:$DS73)=0,0,IF(SUM($D76:$DS76)=0,1,'Вводные'!$K$72))))*T77)</x:f>
        <x:v>0</x:v>
      </x:c>
      <x:c r="U78" s="132" t="n">
        <x:f>$B$69*((IF(SUM($D73:$DS73)=0,0,IF(SUM($D76:$DS76)=0,1,'Вводные'!$K$72)))*U75+(1-(IF(SUM($D73:$DS73)=0,0,IF(SUM($D76:$DS76)=0,1,'Вводные'!$K$72))))*U77)</x:f>
        <x:v>0</x:v>
      </x:c>
      <x:c r="V78" s="132" t="n">
        <x:f>$B$69*((IF(SUM($D73:$DS73)=0,0,IF(SUM($D76:$DS76)=0,1,'Вводные'!$K$72)))*V75+(1-(IF(SUM($D73:$DS73)=0,0,IF(SUM($D76:$DS76)=0,1,'Вводные'!$K$72))))*V77)</x:f>
        <x:v>0</x:v>
      </x:c>
      <x:c r="W78" s="132" t="n">
        <x:f>$B$69*((IF(SUM($D73:$DS73)=0,0,IF(SUM($D76:$DS76)=0,1,'Вводные'!$K$72)))*W75+(1-(IF(SUM($D73:$DS73)=0,0,IF(SUM($D76:$DS76)=0,1,'Вводные'!$K$72))))*W77)</x:f>
        <x:v>0</x:v>
      </x:c>
      <x:c r="X78" s="132" t="n">
        <x:f>$B$69*((IF(SUM($D73:$DS73)=0,0,IF(SUM($D76:$DS76)=0,1,'Вводные'!$K$72)))*X75+(1-(IF(SUM($D73:$DS73)=0,0,IF(SUM($D76:$DS76)=0,1,'Вводные'!$K$72))))*X77)</x:f>
        <x:v>0</x:v>
      </x:c>
      <x:c r="Y78" s="132" t="n">
        <x:f>$B$69*((IF(SUM($D73:$DS73)=0,0,IF(SUM($D76:$DS76)=0,1,'Вводные'!$K$72)))*Y75+(1-(IF(SUM($D73:$DS73)=0,0,IF(SUM($D76:$DS76)=0,1,'Вводные'!$K$72))))*Y77)</x:f>
        <x:v>0</x:v>
      </x:c>
      <x:c r="Z78" s="132" t="n">
        <x:f>$B$69*((IF(SUM($D73:$DS73)=0,0,IF(SUM($D76:$DS76)=0,1,'Вводные'!$K$72)))*Z75+(1-(IF(SUM($D73:$DS73)=0,0,IF(SUM($D76:$DS76)=0,1,'Вводные'!$K$72))))*Z77)</x:f>
        <x:v>0</x:v>
      </x:c>
      <x:c r="AA78" s="132" t="n">
        <x:f>$B$69*((IF(SUM($D73:$DS73)=0,0,IF(SUM($D76:$DS76)=0,1,'Вводные'!$K$72)))*AA75+(1-(IF(SUM($D73:$DS73)=0,0,IF(SUM($D76:$DS76)=0,1,'Вводные'!$K$72))))*AA77)</x:f>
        <x:v>0</x:v>
      </x:c>
      <x:c r="AB78" s="132" t="n">
        <x:f>$B$69*((IF(SUM($D73:$DS73)=0,0,IF(SUM($D76:$DS76)=0,1,'Вводные'!$K$72)))*AB75+(1-(IF(SUM($D73:$DS73)=0,0,IF(SUM($D76:$DS76)=0,1,'Вводные'!$K$72))))*AB77)</x:f>
        <x:v>0</x:v>
      </x:c>
      <x:c r="AC78" s="132" t="n">
        <x:f>$B$69*((IF(SUM($D73:$DS73)=0,0,IF(SUM($D76:$DS76)=0,1,'Вводные'!$K$72)))*AC75+(1-(IF(SUM($D73:$DS73)=0,0,IF(SUM($D76:$DS76)=0,1,'Вводные'!$K$72))))*AC77)</x:f>
        <x:v>0</x:v>
      </x:c>
      <x:c r="AD78" s="132" t="n">
        <x:f>$B$69*((IF(SUM($D73:$DS73)=0,0,IF(SUM($D76:$DS76)=0,1,'Вводные'!$K$72)))*AD75+(1-(IF(SUM($D73:$DS73)=0,0,IF(SUM($D76:$DS76)=0,1,'Вводные'!$K$72))))*AD77)</x:f>
        <x:v>0</x:v>
      </x:c>
      <x:c r="AE78" s="132" t="n">
        <x:f>$B$69*((IF(SUM($D73:$DS73)=0,0,IF(SUM($D76:$DS76)=0,1,'Вводные'!$K$72)))*AE75+(1-(IF(SUM($D73:$DS73)=0,0,IF(SUM($D76:$DS76)=0,1,'Вводные'!$K$72))))*AE77)</x:f>
        <x:v>0</x:v>
      </x:c>
      <x:c r="AF78" s="132" t="n">
        <x:f>$B$69*((IF(SUM($D73:$DS73)=0,0,IF(SUM($D76:$DS76)=0,1,'Вводные'!$K$72)))*AF75+(1-(IF(SUM($D73:$DS73)=0,0,IF(SUM($D76:$DS76)=0,1,'Вводные'!$K$72))))*AF77)</x:f>
        <x:v>0</x:v>
      </x:c>
      <x:c r="AG78" s="132" t="n">
        <x:f>$B$69*((IF(SUM($D73:$DS73)=0,0,IF(SUM($D76:$DS76)=0,1,'Вводные'!$K$72)))*AG75+(1-(IF(SUM($D73:$DS73)=0,0,IF(SUM($D76:$DS76)=0,1,'Вводные'!$K$72))))*AG77)</x:f>
        <x:v>0</x:v>
      </x:c>
      <x:c r="AH78" s="132" t="n">
        <x:f>$B$69*((IF(SUM($D73:$DS73)=0,0,IF(SUM($D76:$DS76)=0,1,'Вводные'!$K$72)))*AH75+(1-(IF(SUM($D73:$DS73)=0,0,IF(SUM($D76:$DS76)=0,1,'Вводные'!$K$72))))*AH77)</x:f>
        <x:v>0</x:v>
      </x:c>
      <x:c r="AI78" s="132" t="n">
        <x:f>$B$69*((IF(SUM($D73:$DS73)=0,0,IF(SUM($D76:$DS76)=0,1,'Вводные'!$K$72)))*AI75+(1-(IF(SUM($D73:$DS73)=0,0,IF(SUM($D76:$DS76)=0,1,'Вводные'!$K$72))))*AI77)</x:f>
        <x:v>0</x:v>
      </x:c>
      <x:c r="AJ78" s="132" t="n">
        <x:f>$B$69*((IF(SUM($D73:$DS73)=0,0,IF(SUM($D76:$DS76)=0,1,'Вводные'!$K$72)))*AJ75+(1-(IF(SUM($D73:$DS73)=0,0,IF(SUM($D76:$DS76)=0,1,'Вводные'!$K$72))))*AJ77)</x:f>
        <x:v>0</x:v>
      </x:c>
      <x:c r="AK78" s="132" t="n">
        <x:f>$B$69*((IF(SUM($D73:$DS73)=0,0,IF(SUM($D76:$DS76)=0,1,'Вводные'!$K$72)))*AK75+(1-(IF(SUM($D73:$DS73)=0,0,IF(SUM($D76:$DS76)=0,1,'Вводные'!$K$72))))*AK77)</x:f>
        <x:v>0</x:v>
      </x:c>
      <x:c r="AL78" s="132" t="n">
        <x:f>$B$69*((IF(SUM($D73:$DS73)=0,0,IF(SUM($D76:$DS76)=0,1,'Вводные'!$K$72)))*AL75+(1-(IF(SUM($D73:$DS73)=0,0,IF(SUM($D76:$DS76)=0,1,'Вводные'!$K$72))))*AL77)</x:f>
        <x:v>0</x:v>
      </x:c>
      <x:c r="AM78" s="132" t="n">
        <x:f>$B$69*((IF(SUM($D73:$DS73)=0,0,IF(SUM($D76:$DS76)=0,1,'Вводные'!$K$72)))*AM75+(1-(IF(SUM($D73:$DS73)=0,0,IF(SUM($D76:$DS76)=0,1,'Вводные'!$K$72))))*AM77)</x:f>
        <x:v>0</x:v>
      </x:c>
      <x:c r="AN78" s="132" t="n">
        <x:f>$B$69*((IF(SUM($D73:$DS73)=0,0,IF(SUM($D76:$DS76)=0,1,'Вводные'!$K$72)))*AN75+(1-(IF(SUM($D73:$DS73)=0,0,IF(SUM($D76:$DS76)=0,1,'Вводные'!$K$72))))*AN77)</x:f>
        <x:v>0</x:v>
      </x:c>
      <x:c r="AO78" s="132" t="n">
        <x:f>$B$69*((IF(SUM($D73:$DS73)=0,0,IF(SUM($D76:$DS76)=0,1,'Вводные'!$K$72)))*AO75+(1-(IF(SUM($D73:$DS73)=0,0,IF(SUM($D76:$DS76)=0,1,'Вводные'!$K$72))))*AO77)</x:f>
        <x:v>0</x:v>
      </x:c>
      <x:c r="AP78" s="132" t="n">
        <x:f>$B$69*((IF(SUM($D73:$DS73)=0,0,IF(SUM($D76:$DS76)=0,1,'Вводные'!$K$72)))*AP75+(1-(IF(SUM($D73:$DS73)=0,0,IF(SUM($D76:$DS76)=0,1,'Вводные'!$K$72))))*AP77)</x:f>
        <x:v>0</x:v>
      </x:c>
      <x:c r="AQ78" s="132" t="n">
        <x:f>$B$69*((IF(SUM($D73:$DS73)=0,0,IF(SUM($D76:$DS76)=0,1,'Вводные'!$K$72)))*AQ75+(1-(IF(SUM($D73:$DS73)=0,0,IF(SUM($D76:$DS76)=0,1,'Вводные'!$K$72))))*AQ77)</x:f>
        <x:v>0</x:v>
      </x:c>
      <x:c r="AR78" s="132" t="n">
        <x:f>$B$69*((IF(SUM($D73:$DS73)=0,0,IF(SUM($D76:$DS76)=0,1,'Вводные'!$K$72)))*AR75+(1-(IF(SUM($D73:$DS73)=0,0,IF(SUM($D76:$DS76)=0,1,'Вводные'!$K$72))))*AR77)</x:f>
        <x:v>0</x:v>
      </x:c>
      <x:c r="AS78" s="132" t="n">
        <x:f>$B$69*((IF(SUM($D73:$DS73)=0,0,IF(SUM($D76:$DS76)=0,1,'Вводные'!$K$72)))*AS75+(1-(IF(SUM($D73:$DS73)=0,0,IF(SUM($D76:$DS76)=0,1,'Вводные'!$K$72))))*AS77)</x:f>
        <x:v>0</x:v>
      </x:c>
      <x:c r="AT78" s="132" t="n">
        <x:f>$B$69*((IF(SUM($D73:$DS73)=0,0,IF(SUM($D76:$DS76)=0,1,'Вводные'!$K$72)))*AT75+(1-(IF(SUM($D73:$DS73)=0,0,IF(SUM($D76:$DS76)=0,1,'Вводные'!$K$72))))*AT77)</x:f>
        <x:v>0</x:v>
      </x:c>
      <x:c r="AU78" s="132" t="n">
        <x:f>$B$69*((IF(SUM($D73:$DS73)=0,0,IF(SUM($D76:$DS76)=0,1,'Вводные'!$K$72)))*AU75+(1-(IF(SUM($D73:$DS73)=0,0,IF(SUM($D76:$DS76)=0,1,'Вводные'!$K$72))))*AU77)</x:f>
        <x:v>0</x:v>
      </x:c>
      <x:c r="AV78" s="132" t="n">
        <x:f>$B$69*((IF(SUM($D73:$DS73)=0,0,IF(SUM($D76:$DS76)=0,1,'Вводные'!$K$72)))*AV75+(1-(IF(SUM($D73:$DS73)=0,0,IF(SUM($D76:$DS76)=0,1,'Вводные'!$K$72))))*AV77)</x:f>
        <x:v>0</x:v>
      </x:c>
      <x:c r="AW78" s="132" t="n">
        <x:f>$B$69*((IF(SUM($D73:$DS73)=0,0,IF(SUM($D76:$DS76)=0,1,'Вводные'!$K$72)))*AW75+(1-(IF(SUM($D73:$DS73)=0,0,IF(SUM($D76:$DS76)=0,1,'Вводные'!$K$72))))*AW77)</x:f>
        <x:v>0</x:v>
      </x:c>
      <x:c r="AX78" s="132" t="n">
        <x:f>$B$69*((IF(SUM($D73:$DS73)=0,0,IF(SUM($D76:$DS76)=0,1,'Вводные'!$K$72)))*AX75+(1-(IF(SUM($D73:$DS73)=0,0,IF(SUM($D76:$DS76)=0,1,'Вводные'!$K$72))))*AX77)</x:f>
        <x:v>0</x:v>
      </x:c>
      <x:c r="AY78" s="132" t="n">
        <x:f>$B$69*((IF(SUM($D73:$DS73)=0,0,IF(SUM($D76:$DS76)=0,1,'Вводные'!$K$72)))*AY75+(1-(IF(SUM($D73:$DS73)=0,0,IF(SUM($D76:$DS76)=0,1,'Вводные'!$K$72))))*AY77)</x:f>
        <x:v>0</x:v>
      </x:c>
      <x:c r="AZ78" s="132" t="n">
        <x:f>$B$69*((IF(SUM($D73:$DS73)=0,0,IF(SUM($D76:$DS76)=0,1,'Вводные'!$K$72)))*AZ75+(1-(IF(SUM($D73:$DS73)=0,0,IF(SUM($D76:$DS76)=0,1,'Вводные'!$K$72))))*AZ77)</x:f>
        <x:v>0</x:v>
      </x:c>
      <x:c r="BA78" s="132" t="n">
        <x:f>$B$69*((IF(SUM($D73:$DS73)=0,0,IF(SUM($D76:$DS76)=0,1,'Вводные'!$K$72)))*BA75+(1-(IF(SUM($D73:$DS73)=0,0,IF(SUM($D76:$DS76)=0,1,'Вводные'!$K$72))))*BA77)</x:f>
        <x:v>0</x:v>
      </x:c>
      <x:c r="BB78" s="132" t="n">
        <x:f>$B$69*((IF(SUM($D73:$DS73)=0,0,IF(SUM($D76:$DS76)=0,1,'Вводные'!$K$72)))*BB75+(1-(IF(SUM($D73:$DS73)=0,0,IF(SUM($D76:$DS76)=0,1,'Вводные'!$K$72))))*BB77)</x:f>
        <x:v>0</x:v>
      </x:c>
      <x:c r="BC78" s="132" t="n">
        <x:f>$B$69*((IF(SUM($D73:$DS73)=0,0,IF(SUM($D76:$DS76)=0,1,'Вводные'!$K$72)))*BC75+(1-(IF(SUM($D73:$DS73)=0,0,IF(SUM($D76:$DS76)=0,1,'Вводные'!$K$72))))*BC77)</x:f>
        <x:v>0</x:v>
      </x:c>
      <x:c r="BD78" s="132" t="n">
        <x:f>$B$69*((IF(SUM($D73:$DS73)=0,0,IF(SUM($D76:$DS76)=0,1,'Вводные'!$K$72)))*BD75+(1-(IF(SUM($D73:$DS73)=0,0,IF(SUM($D76:$DS76)=0,1,'Вводные'!$K$72))))*BD77)</x:f>
        <x:v>0</x:v>
      </x:c>
      <x:c r="BE78" s="132" t="n">
        <x:f>$B$69*((IF(SUM($D73:$DS73)=0,0,IF(SUM($D76:$DS76)=0,1,'Вводные'!$K$72)))*BE75+(1-(IF(SUM($D73:$DS73)=0,0,IF(SUM($D76:$DS76)=0,1,'Вводные'!$K$72))))*BE77)</x:f>
        <x:v>0</x:v>
      </x:c>
      <x:c r="BF78" s="132" t="n">
        <x:f>$B$69*((IF(SUM($D73:$DS73)=0,0,IF(SUM($D76:$DS76)=0,1,'Вводные'!$K$72)))*BF75+(1-(IF(SUM($D73:$DS73)=0,0,IF(SUM($D76:$DS76)=0,1,'Вводные'!$K$72))))*BF77)</x:f>
        <x:v>0</x:v>
      </x:c>
      <x:c r="BG78" s="132" t="n">
        <x:f>$B$69*((IF(SUM($D73:$DS73)=0,0,IF(SUM($D76:$DS76)=0,1,'Вводные'!$K$72)))*BG75+(1-(IF(SUM($D73:$DS73)=0,0,IF(SUM($D76:$DS76)=0,1,'Вводные'!$K$72))))*BG77)</x:f>
        <x:v>0</x:v>
      </x:c>
      <x:c r="BH78" s="132" t="n">
        <x:f>$B$69*((IF(SUM($D73:$DS73)=0,0,IF(SUM($D76:$DS76)=0,1,'Вводные'!$K$72)))*BH75+(1-(IF(SUM($D73:$DS73)=0,0,IF(SUM($D76:$DS76)=0,1,'Вводные'!$K$72))))*BH77)</x:f>
        <x:v>0</x:v>
      </x:c>
      <x:c r="BI78" s="132" t="n">
        <x:f>$B$69*((IF(SUM($D73:$DS73)=0,0,IF(SUM($D76:$DS76)=0,1,'Вводные'!$K$72)))*BI75+(1-(IF(SUM($D73:$DS73)=0,0,IF(SUM($D76:$DS76)=0,1,'Вводные'!$K$72))))*BI77)</x:f>
        <x:v>0</x:v>
      </x:c>
      <x:c r="BJ78" s="132" t="n">
        <x:f>$B$69*((IF(SUM($D73:$DS73)=0,0,IF(SUM($D76:$DS76)=0,1,'Вводные'!$K$72)))*BJ75+(1-(IF(SUM($D73:$DS73)=0,0,IF(SUM($D76:$DS76)=0,1,'Вводные'!$K$72))))*BJ77)</x:f>
        <x:v>0</x:v>
      </x:c>
      <x:c r="BK78" s="132" t="n">
        <x:f>$B$69*((IF(SUM($D73:$DS73)=0,0,IF(SUM($D76:$DS76)=0,1,'Вводные'!$K$72)))*BK75+(1-(IF(SUM($D73:$DS73)=0,0,IF(SUM($D76:$DS76)=0,1,'Вводные'!$K$72))))*BK77)</x:f>
        <x:v>0</x:v>
      </x:c>
      <x:c r="BL78" s="132" t="n">
        <x:f>$B$69*((IF(SUM($D73:$DS73)=0,0,IF(SUM($D76:$DS76)=0,1,'Вводные'!$K$72)))*BL75+(1-(IF(SUM($D73:$DS73)=0,0,IF(SUM($D76:$DS76)=0,1,'Вводные'!$K$72))))*BL77)</x:f>
        <x:v>0</x:v>
      </x:c>
      <x:c r="BM78" s="132" t="n">
        <x:f>$B$69*((IF(SUM($D73:$DS73)=0,0,IF(SUM($D76:$DS76)=0,1,'Вводные'!$K$72)))*BM75+(1-(IF(SUM($D73:$DS73)=0,0,IF(SUM($D76:$DS76)=0,1,'Вводные'!$K$72))))*BM77)</x:f>
        <x:v>0</x:v>
      </x:c>
      <x:c r="BN78" s="132" t="n">
        <x:f>$B$69*((IF(SUM($D73:$DS73)=0,0,IF(SUM($D76:$DS76)=0,1,'Вводные'!$K$72)))*BN75+(1-(IF(SUM($D73:$DS73)=0,0,IF(SUM($D76:$DS76)=0,1,'Вводные'!$K$72))))*BN77)</x:f>
        <x:v>0</x:v>
      </x:c>
      <x:c r="BO78" s="132" t="n">
        <x:f>$B$69*((IF(SUM($D73:$DS73)=0,0,IF(SUM($D76:$DS76)=0,1,'Вводные'!$K$72)))*BO75+(1-(IF(SUM($D73:$DS73)=0,0,IF(SUM($D76:$DS76)=0,1,'Вводные'!$K$72))))*BO77)</x:f>
        <x:v>0</x:v>
      </x:c>
      <x:c r="BP78" s="132" t="n">
        <x:f>$B$69*((IF(SUM($D73:$DS73)=0,0,IF(SUM($D76:$DS76)=0,1,'Вводные'!$K$72)))*BP75+(1-(IF(SUM($D73:$DS73)=0,0,IF(SUM($D76:$DS76)=0,1,'Вводные'!$K$72))))*BP77)</x:f>
        <x:v>0</x:v>
      </x:c>
      <x:c r="BQ78" s="132" t="n">
        <x:f>$B$69*((IF(SUM($D73:$DS73)=0,0,IF(SUM($D76:$DS76)=0,1,'Вводные'!$K$72)))*BQ75+(1-(IF(SUM($D73:$DS73)=0,0,IF(SUM($D76:$DS76)=0,1,'Вводные'!$K$72))))*BQ77)</x:f>
        <x:v>0</x:v>
      </x:c>
      <x:c r="BR78" s="132" t="n">
        <x:f>$B$69*((IF(SUM($D73:$DS73)=0,0,IF(SUM($D76:$DS76)=0,1,'Вводные'!$K$72)))*BR75+(1-(IF(SUM($D73:$DS73)=0,0,IF(SUM($D76:$DS76)=0,1,'Вводные'!$K$72))))*BR77)</x:f>
        <x:v>0</x:v>
      </x:c>
      <x:c r="BS78" s="132" t="n">
        <x:f>$B$69*((IF(SUM($D73:$DS73)=0,0,IF(SUM($D76:$DS76)=0,1,'Вводные'!$K$72)))*BS75+(1-(IF(SUM($D73:$DS73)=0,0,IF(SUM($D76:$DS76)=0,1,'Вводные'!$K$72))))*BS77)</x:f>
        <x:v>0</x:v>
      </x:c>
      <x:c r="BT78" s="132" t="n">
        <x:f>$B$69*((IF(SUM($D73:$DS73)=0,0,IF(SUM($D76:$DS76)=0,1,'Вводные'!$K$72)))*BT75+(1-(IF(SUM($D73:$DS73)=0,0,IF(SUM($D76:$DS76)=0,1,'Вводные'!$K$72))))*BT77)</x:f>
        <x:v>0</x:v>
      </x:c>
      <x:c r="BU78" s="132" t="n">
        <x:f>$B$69*((IF(SUM($D73:$DS73)=0,0,IF(SUM($D76:$DS76)=0,1,'Вводные'!$K$72)))*BU75+(1-(IF(SUM($D73:$DS73)=0,0,IF(SUM($D76:$DS76)=0,1,'Вводные'!$K$72))))*BU77)</x:f>
        <x:v>0</x:v>
      </x:c>
      <x:c r="BV78" s="132" t="n">
        <x:f>$B$69*((IF(SUM($D73:$DS73)=0,0,IF(SUM($D76:$DS76)=0,1,'Вводные'!$K$72)))*BV75+(1-(IF(SUM($D73:$DS73)=0,0,IF(SUM($D76:$DS76)=0,1,'Вводные'!$K$72))))*BV77)</x:f>
        <x:v>0</x:v>
      </x:c>
      <x:c r="BW78" s="132" t="n">
        <x:f>$B$69*((IF(SUM($D73:$DS73)=0,0,IF(SUM($D76:$DS76)=0,1,'Вводные'!$K$72)))*BW75+(1-(IF(SUM($D73:$DS73)=0,0,IF(SUM($D76:$DS76)=0,1,'Вводные'!$K$72))))*BW77)</x:f>
        <x:v>0</x:v>
      </x:c>
      <x:c r="BX78" s="132" t="n">
        <x:f>$B$69*((IF(SUM($D73:$DS73)=0,0,IF(SUM($D76:$DS76)=0,1,'Вводные'!$K$72)))*BX75+(1-(IF(SUM($D73:$DS73)=0,0,IF(SUM($D76:$DS76)=0,1,'Вводные'!$K$72))))*BX77)</x:f>
        <x:v>0</x:v>
      </x:c>
      <x:c r="BY78" s="132" t="n">
        <x:f>$B$69*((IF(SUM($D73:$DS73)=0,0,IF(SUM($D76:$DS76)=0,1,'Вводные'!$K$72)))*BY75+(1-(IF(SUM($D73:$DS73)=0,0,IF(SUM($D76:$DS76)=0,1,'Вводные'!$K$72))))*BY77)</x:f>
        <x:v>0</x:v>
      </x:c>
      <x:c r="BZ78" s="132" t="n">
        <x:f>$B$69*((IF(SUM($D73:$DS73)=0,0,IF(SUM($D76:$DS76)=0,1,'Вводные'!$K$72)))*BZ75+(1-(IF(SUM($D73:$DS73)=0,0,IF(SUM($D76:$DS76)=0,1,'Вводные'!$K$72))))*BZ77)</x:f>
        <x:v>0</x:v>
      </x:c>
      <x:c r="CA78" s="132" t="n">
        <x:f>$B$69*((IF(SUM($D73:$DS73)=0,0,IF(SUM($D76:$DS76)=0,1,'Вводные'!$K$72)))*CA75+(1-(IF(SUM($D73:$DS73)=0,0,IF(SUM($D76:$DS76)=0,1,'Вводные'!$K$72))))*CA77)</x:f>
        <x:v>0</x:v>
      </x:c>
      <x:c r="CB78" s="132" t="n">
        <x:f>$B$69*((IF(SUM($D73:$DS73)=0,0,IF(SUM($D76:$DS76)=0,1,'Вводные'!$K$72)))*CB75+(1-(IF(SUM($D73:$DS73)=0,0,IF(SUM($D76:$DS76)=0,1,'Вводные'!$K$72))))*CB77)</x:f>
        <x:v>0</x:v>
      </x:c>
      <x:c r="CC78" s="132" t="n">
        <x:f>$B$69*((IF(SUM($D73:$DS73)=0,0,IF(SUM($D76:$DS76)=0,1,'Вводные'!$K$72)))*CC75+(1-(IF(SUM($D73:$DS73)=0,0,IF(SUM($D76:$DS76)=0,1,'Вводные'!$K$72))))*CC77)</x:f>
        <x:v>0</x:v>
      </x:c>
      <x:c r="CD78" s="132" t="n">
        <x:f>$B$69*((IF(SUM($D73:$DS73)=0,0,IF(SUM($D76:$DS76)=0,1,'Вводные'!$K$72)))*CD75+(1-(IF(SUM($D73:$DS73)=0,0,IF(SUM($D76:$DS76)=0,1,'Вводные'!$K$72))))*CD77)</x:f>
        <x:v>0</x:v>
      </x:c>
      <x:c r="CE78" s="132" t="n">
        <x:f>$B$69*((IF(SUM($D73:$DS73)=0,0,IF(SUM($D76:$DS76)=0,1,'Вводные'!$K$72)))*CE75+(1-(IF(SUM($D73:$DS73)=0,0,IF(SUM($D76:$DS76)=0,1,'Вводные'!$K$72))))*CE77)</x:f>
        <x:v>0</x:v>
      </x:c>
      <x:c r="CF78" s="132" t="n">
        <x:f>$B$69*((IF(SUM($D73:$DS73)=0,0,IF(SUM($D76:$DS76)=0,1,'Вводные'!$K$72)))*CF75+(1-(IF(SUM($D73:$DS73)=0,0,IF(SUM($D76:$DS76)=0,1,'Вводные'!$K$72))))*CF77)</x:f>
        <x:v>0</x:v>
      </x:c>
      <x:c r="CG78" s="132" t="n">
        <x:f>$B$69*((IF(SUM($D73:$DS73)=0,0,IF(SUM($D76:$DS76)=0,1,'Вводные'!$K$72)))*CG75+(1-(IF(SUM($D73:$DS73)=0,0,IF(SUM($D76:$DS76)=0,1,'Вводные'!$K$72))))*CG77)</x:f>
        <x:v>0</x:v>
      </x:c>
      <x:c r="CH78" s="132" t="n">
        <x:f>$B$69*((IF(SUM($D73:$DS73)=0,0,IF(SUM($D76:$DS76)=0,1,'Вводные'!$K$72)))*CH75+(1-(IF(SUM($D73:$DS73)=0,0,IF(SUM($D76:$DS76)=0,1,'Вводные'!$K$72))))*CH77)</x:f>
        <x:v>0</x:v>
      </x:c>
      <x:c r="CI78" s="132" t="n">
        <x:f>$B$69*((IF(SUM($D73:$DS73)=0,0,IF(SUM($D76:$DS76)=0,1,'Вводные'!$K$72)))*CI75+(1-(IF(SUM($D73:$DS73)=0,0,IF(SUM($D76:$DS76)=0,1,'Вводные'!$K$72))))*CI77)</x:f>
        <x:v>0</x:v>
      </x:c>
      <x:c r="CJ78" s="132" t="n">
        <x:f>$B$69*((IF(SUM($D73:$DS73)=0,0,IF(SUM($D76:$DS76)=0,1,'Вводные'!$K$72)))*CJ75+(1-(IF(SUM($D73:$DS73)=0,0,IF(SUM($D76:$DS76)=0,1,'Вводные'!$K$72))))*CJ77)</x:f>
        <x:v>0</x:v>
      </x:c>
      <x:c r="CK78" s="132" t="n">
        <x:f>$B$69*((IF(SUM($D73:$DS73)=0,0,IF(SUM($D76:$DS76)=0,1,'Вводные'!$K$72)))*CK75+(1-(IF(SUM($D73:$DS73)=0,0,IF(SUM($D76:$DS76)=0,1,'Вводные'!$K$72))))*CK77)</x:f>
        <x:v>0</x:v>
      </x:c>
      <x:c r="CL78" s="132" t="n">
        <x:f>$B$69*((IF(SUM($D73:$DS73)=0,0,IF(SUM($D76:$DS76)=0,1,'Вводные'!$K$72)))*CL75+(1-(IF(SUM($D73:$DS73)=0,0,IF(SUM($D76:$DS76)=0,1,'Вводные'!$K$72))))*CL77)</x:f>
        <x:v>0</x:v>
      </x:c>
      <x:c r="CM78" s="132" t="n">
        <x:f>$B$69*((IF(SUM($D73:$DS73)=0,0,IF(SUM($D76:$DS76)=0,1,'Вводные'!$K$72)))*CM75+(1-(IF(SUM($D73:$DS73)=0,0,IF(SUM($D76:$DS76)=0,1,'Вводные'!$K$72))))*CM77)</x:f>
        <x:v>0</x:v>
      </x:c>
      <x:c r="CN78" s="132" t="n">
        <x:f>$B$69*((IF(SUM($D73:$DS73)=0,0,IF(SUM($D76:$DS76)=0,1,'Вводные'!$K$72)))*CN75+(1-(IF(SUM($D73:$DS73)=0,0,IF(SUM($D76:$DS76)=0,1,'Вводные'!$K$72))))*CN77)</x:f>
        <x:v>0</x:v>
      </x:c>
      <x:c r="CO78" s="132" t="n">
        <x:f>$B$69*((IF(SUM($D73:$DS73)=0,0,IF(SUM($D76:$DS76)=0,1,'Вводные'!$K$72)))*CO75+(1-(IF(SUM($D73:$DS73)=0,0,IF(SUM($D76:$DS76)=0,1,'Вводные'!$K$72))))*CO77)</x:f>
        <x:v>0</x:v>
      </x:c>
      <x:c r="CP78" s="132" t="n">
        <x:f>$B$69*((IF(SUM($D73:$DS73)=0,0,IF(SUM($D76:$DS76)=0,1,'Вводные'!$K$72)))*CP75+(1-(IF(SUM($D73:$DS73)=0,0,IF(SUM($D76:$DS76)=0,1,'Вводные'!$K$72))))*CP77)</x:f>
        <x:v>0</x:v>
      </x:c>
      <x:c r="CQ78" s="132" t="n">
        <x:f>$B$69*((IF(SUM($D73:$DS73)=0,0,IF(SUM($D76:$DS76)=0,1,'Вводные'!$K$72)))*CQ75+(1-(IF(SUM($D73:$DS73)=0,0,IF(SUM($D76:$DS76)=0,1,'Вводные'!$K$72))))*CQ77)</x:f>
        <x:v>0</x:v>
      </x:c>
      <x:c r="CR78" s="132" t="n">
        <x:f>$B$69*((IF(SUM($D73:$DS73)=0,0,IF(SUM($D76:$DS76)=0,1,'Вводные'!$K$72)))*CR75+(1-(IF(SUM($D73:$DS73)=0,0,IF(SUM($D76:$DS76)=0,1,'Вводные'!$K$72))))*CR77)</x:f>
        <x:v>0</x:v>
      </x:c>
      <x:c r="CS78" s="132" t="n">
        <x:f>$B$69*((IF(SUM($D73:$DS73)=0,0,IF(SUM($D76:$DS76)=0,1,'Вводные'!$K$72)))*CS75+(1-(IF(SUM($D73:$DS73)=0,0,IF(SUM($D76:$DS76)=0,1,'Вводные'!$K$72))))*CS77)</x:f>
        <x:v>0</x:v>
      </x:c>
      <x:c r="CT78" s="132" t="n">
        <x:f>$B$69*((IF(SUM($D73:$DS73)=0,0,IF(SUM($D76:$DS76)=0,1,'Вводные'!$K$72)))*CT75+(1-(IF(SUM($D73:$DS73)=0,0,IF(SUM($D76:$DS76)=0,1,'Вводные'!$K$72))))*CT77)</x:f>
        <x:v>0</x:v>
      </x:c>
      <x:c r="CU78" s="132" t="n">
        <x:f>$B$69*((IF(SUM($D73:$DS73)=0,0,IF(SUM($D76:$DS76)=0,1,'Вводные'!$K$72)))*CU75+(1-(IF(SUM($D73:$DS73)=0,0,IF(SUM($D76:$DS76)=0,1,'Вводные'!$K$72))))*CU77)</x:f>
        <x:v>0</x:v>
      </x:c>
      <x:c r="CV78" s="132" t="n">
        <x:f>$B$69*((IF(SUM($D73:$DS73)=0,0,IF(SUM($D76:$DS76)=0,1,'Вводные'!$K$72)))*CV75+(1-(IF(SUM($D73:$DS73)=0,0,IF(SUM($D76:$DS76)=0,1,'Вводные'!$K$72))))*CV77)</x:f>
        <x:v>0</x:v>
      </x:c>
      <x:c r="CW78" s="132" t="n">
        <x:f>$B$69*((IF(SUM($D73:$DS73)=0,0,IF(SUM($D76:$DS76)=0,1,'Вводные'!$K$72)))*CW75+(1-(IF(SUM($D73:$DS73)=0,0,IF(SUM($D76:$DS76)=0,1,'Вводные'!$K$72))))*CW77)</x:f>
        <x:v>0</x:v>
      </x:c>
      <x:c r="CX78" s="132" t="n">
        <x:f>$B$69*((IF(SUM($D73:$DS73)=0,0,IF(SUM($D76:$DS76)=0,1,'Вводные'!$K$72)))*CX75+(1-(IF(SUM($D73:$DS73)=0,0,IF(SUM($D76:$DS76)=0,1,'Вводные'!$K$72))))*CX77)</x:f>
        <x:v>0</x:v>
      </x:c>
      <x:c r="CY78" s="132" t="n">
        <x:f>$B$69*((IF(SUM($D73:$DS73)=0,0,IF(SUM($D76:$DS76)=0,1,'Вводные'!$K$72)))*CY75+(1-(IF(SUM($D73:$DS73)=0,0,IF(SUM($D76:$DS76)=0,1,'Вводные'!$K$72))))*CY77)</x:f>
        <x:v>0</x:v>
      </x:c>
      <x:c r="CZ78" s="132" t="n">
        <x:f>$B$69*((IF(SUM($D73:$DS73)=0,0,IF(SUM($D76:$DS76)=0,1,'Вводные'!$K$72)))*CZ75+(1-(IF(SUM($D73:$DS73)=0,0,IF(SUM($D76:$DS76)=0,1,'Вводные'!$K$72))))*CZ77)</x:f>
        <x:v>0</x:v>
      </x:c>
      <x:c r="DA78" s="132" t="n">
        <x:f>$B$69*((IF(SUM($D73:$DS73)=0,0,IF(SUM($D76:$DS76)=0,1,'Вводные'!$K$72)))*DA75+(1-(IF(SUM($D73:$DS73)=0,0,IF(SUM($D76:$DS76)=0,1,'Вводные'!$K$72))))*DA77)</x:f>
        <x:v>0</x:v>
      </x:c>
      <x:c r="DB78" s="132" t="n">
        <x:f>$B$69*((IF(SUM($D73:$DS73)=0,0,IF(SUM($D76:$DS76)=0,1,'Вводные'!$K$72)))*DB75+(1-(IF(SUM($D73:$DS73)=0,0,IF(SUM($D76:$DS76)=0,1,'Вводные'!$K$72))))*DB77)</x:f>
        <x:v>0</x:v>
      </x:c>
      <x:c r="DC78" s="132" t="n">
        <x:f>$B$69*((IF(SUM($D73:$DS73)=0,0,IF(SUM($D76:$DS76)=0,1,'Вводные'!$K$72)))*DC75+(1-(IF(SUM($D73:$DS73)=0,0,IF(SUM($D76:$DS76)=0,1,'Вводные'!$K$72))))*DC77)</x:f>
        <x:v>0</x:v>
      </x:c>
      <x:c r="DD78" s="132" t="n">
        <x:f>$B$69*((IF(SUM($D73:$DS73)=0,0,IF(SUM($D76:$DS76)=0,1,'Вводные'!$K$72)))*DD75+(1-(IF(SUM($D73:$DS73)=0,0,IF(SUM($D76:$DS76)=0,1,'Вводные'!$K$72))))*DD77)</x:f>
        <x:v>0</x:v>
      </x:c>
      <x:c r="DE78" s="132" t="n">
        <x:f>$B$69*((IF(SUM($D73:$DS73)=0,0,IF(SUM($D76:$DS76)=0,1,'Вводные'!$K$72)))*DE75+(1-(IF(SUM($D73:$DS73)=0,0,IF(SUM($D76:$DS76)=0,1,'Вводные'!$K$72))))*DE77)</x:f>
        <x:v>0</x:v>
      </x:c>
      <x:c r="DF78" s="132" t="n">
        <x:f>$B$69*((IF(SUM($D73:$DS73)=0,0,IF(SUM($D76:$DS76)=0,1,'Вводные'!$K$72)))*DF75+(1-(IF(SUM($D73:$DS73)=0,0,IF(SUM($D76:$DS76)=0,1,'Вводные'!$K$72))))*DF77)</x:f>
        <x:v>0</x:v>
      </x:c>
      <x:c r="DG78" s="132" t="n">
        <x:f>$B$69*((IF(SUM($D73:$DS73)=0,0,IF(SUM($D76:$DS76)=0,1,'Вводные'!$K$72)))*DG75+(1-(IF(SUM($D73:$DS73)=0,0,IF(SUM($D76:$DS76)=0,1,'Вводные'!$K$72))))*DG77)</x:f>
        <x:v>0</x:v>
      </x:c>
      <x:c r="DH78" s="132" t="n">
        <x:f>$B$69*((IF(SUM($D73:$DS73)=0,0,IF(SUM($D76:$DS76)=0,1,'Вводные'!$K$72)))*DH75+(1-(IF(SUM($D73:$DS73)=0,0,IF(SUM($D76:$DS76)=0,1,'Вводные'!$K$72))))*DH77)</x:f>
        <x:v>0</x:v>
      </x:c>
      <x:c r="DI78" s="132" t="n">
        <x:f>$B$69*((IF(SUM($D73:$DS73)=0,0,IF(SUM($D76:$DS76)=0,1,'Вводные'!$K$72)))*DI75+(1-(IF(SUM($D73:$DS73)=0,0,IF(SUM($D76:$DS76)=0,1,'Вводные'!$K$72))))*DI77)</x:f>
        <x:v>0</x:v>
      </x:c>
      <x:c r="DJ78" s="132" t="n">
        <x:f>$B$69*((IF(SUM($D73:$DS73)=0,0,IF(SUM($D76:$DS76)=0,1,'Вводные'!$K$72)))*DJ75+(1-(IF(SUM($D73:$DS73)=0,0,IF(SUM($D76:$DS76)=0,1,'Вводные'!$K$72))))*DJ77)</x:f>
        <x:v>0</x:v>
      </x:c>
      <x:c r="DK78" s="132" t="n">
        <x:f>$B$69*((IF(SUM($D73:$DS73)=0,0,IF(SUM($D76:$DS76)=0,1,'Вводные'!$K$72)))*DK75+(1-(IF(SUM($D73:$DS73)=0,0,IF(SUM($D76:$DS76)=0,1,'Вводные'!$K$72))))*DK77)</x:f>
        <x:v>0</x:v>
      </x:c>
      <x:c r="DL78" s="132" t="n">
        <x:f>$B$69*((IF(SUM($D73:$DS73)=0,0,IF(SUM($D76:$DS76)=0,1,'Вводные'!$K$72)))*DL75+(1-(IF(SUM($D73:$DS73)=0,0,IF(SUM($D76:$DS76)=0,1,'Вводные'!$K$72))))*DL77)</x:f>
        <x:v>0</x:v>
      </x:c>
      <x:c r="DM78" s="132" t="n">
        <x:f>$B$69*((IF(SUM($D73:$DS73)=0,0,IF(SUM($D76:$DS76)=0,1,'Вводные'!$K$72)))*DM75+(1-(IF(SUM($D73:$DS73)=0,0,IF(SUM($D76:$DS76)=0,1,'Вводные'!$K$72))))*DM77)</x:f>
        <x:v>0</x:v>
      </x:c>
      <x:c r="DN78" s="132" t="n">
        <x:f>$B$69*((IF(SUM($D73:$DS73)=0,0,IF(SUM($D76:$DS76)=0,1,'Вводные'!$K$72)))*DN75+(1-(IF(SUM($D73:$DS73)=0,0,IF(SUM($D76:$DS76)=0,1,'Вводные'!$K$72))))*DN77)</x:f>
        <x:v>0</x:v>
      </x:c>
      <x:c r="DO78" s="132" t="n">
        <x:f>$B$69*((IF(SUM($D73:$DS73)=0,0,IF(SUM($D76:$DS76)=0,1,'Вводные'!$K$72)))*DO75+(1-(IF(SUM($D73:$DS73)=0,0,IF(SUM($D76:$DS76)=0,1,'Вводные'!$K$72))))*DO77)</x:f>
        <x:v>0</x:v>
      </x:c>
      <x:c r="DP78" s="132" t="n">
        <x:f>$B$69*((IF(SUM($D73:$DS73)=0,0,IF(SUM($D76:$DS76)=0,1,'Вводные'!$K$72)))*DP75+(1-(IF(SUM($D73:$DS73)=0,0,IF(SUM($D76:$DS76)=0,1,'Вводные'!$K$72))))*DP77)</x:f>
        <x:v>0</x:v>
      </x:c>
      <x:c r="DQ78" s="132" t="n">
        <x:f>$B$69*((IF(SUM($D73:$DS73)=0,0,IF(SUM($D76:$DS76)=0,1,'Вводные'!$K$72)))*DQ75+(1-(IF(SUM($D73:$DS73)=0,0,IF(SUM($D76:$DS76)=0,1,'Вводные'!$K$72))))*DQ77)</x:f>
        <x:v>0</x:v>
      </x:c>
      <x:c r="DR78" s="132" t="n">
        <x:f>$B$69*((IF(SUM($D73:$DS73)=0,0,IF(SUM($D76:$DS76)=0,1,'Вводные'!$K$72)))*DR75+(1-(IF(SUM($D73:$DS73)=0,0,IF(SUM($D76:$DS76)=0,1,'Вводные'!$K$72))))*DR77)</x:f>
        <x:v>0</x:v>
      </x:c>
      <x:c r="DS78" s="132" t="n">
        <x:f>$B$69*((IF(SUM($D73:$DS73)=0,0,IF(SUM($D76:$DS76)=0,1,'Вводные'!$K$72)))*DS75+(1-(IF(SUM($D73:$DS73)=0,0,IF(SUM($D76:$DS76)=0,1,'Вводные'!$K$72))))*DS77)</x:f>
        <x:v>0</x:v>
      </x:c>
    </x:row>
    <x:row r="79">
      <x:c r="A79" t="str">
        <x:v>Цена реализации</x:v>
      </x:c>
      <x:c r="B79" s="148" t="n">
        <x:f>IFERROR(B80/B78,0)</x:f>
        <x:v>0</x:v>
      </x:c>
      <x:c r="C79" t="str">
        <x:v>млн ₽/место</x:v>
      </x:c>
      <x:c r="D79" s="148" t="n">
        <x:f>IF(D78=0,0,'Вводные'!$K$71*'Вводные'!$H$5*INDEX('Вводные'!$S$88:$S$90,$B$64)*INDEX('Вводные'!$AG$88:$AG$90,$B$64)*(1+'Вводные'!$K$74)^MAX(0,MIN((12*(YEAR(D$3)-YEAR($B$67))+MONTH(D$3)-MONTH($B$67)),(12*(YEAR($B$66)-YEAR($B$67))+MONTH($B$66)-MONTH($B$67))))*(1+'Вводные'!$K$75)^MAX(0,(12*(YEAR(D$3)-YEAR($B$66))+MONTH(D$3)-MONTH($B$66))))</x:f>
        <x:v>0</x:v>
      </x:c>
      <x:c r="E79" s="148" t="n">
        <x:f>IF(E78=0,0,'Вводные'!$K$71*'Вводные'!$H$5*INDEX('Вводные'!$S$88:$S$90,$B$64)*INDEX('Вводные'!$AG$88:$AG$90,$B$64)*(1+'Вводные'!$K$74)^MAX(0,MIN((12*(YEAR(E$3)-YEAR($B$67))+MONTH(E$3)-MONTH($B$67)),(12*(YEAR($B$66)-YEAR($B$67))+MONTH($B$66)-MONTH($B$67))))*(1+'Вводные'!$K$75)^MAX(0,(12*(YEAR(E$3)-YEAR($B$66))+MONTH(E$3)-MONTH($B$66))))</x:f>
        <x:v>0</x:v>
      </x:c>
      <x:c r="F79" s="148" t="n">
        <x:f>IF(F78=0,0,'Вводные'!$K$71*'Вводные'!$H$5*INDEX('Вводные'!$S$88:$S$90,$B$64)*INDEX('Вводные'!$AG$88:$AG$90,$B$64)*(1+'Вводные'!$K$74)^MAX(0,MIN((12*(YEAR(F$3)-YEAR($B$67))+MONTH(F$3)-MONTH($B$67)),(12*(YEAR($B$66)-YEAR($B$67))+MONTH($B$66)-MONTH($B$67))))*(1+'Вводные'!$K$75)^MAX(0,(12*(YEAR(F$3)-YEAR($B$66))+MONTH(F$3)-MONTH($B$66))))</x:f>
        <x:v>0</x:v>
      </x:c>
      <x:c r="G79" s="148" t="n">
        <x:f>IF(G78=0,0,'Вводные'!$K$71*'Вводные'!$H$5*INDEX('Вводные'!$S$88:$S$90,$B$64)*INDEX('Вводные'!$AG$88:$AG$90,$B$64)*(1+'Вводные'!$K$74)^MAX(0,MIN((12*(YEAR(G$3)-YEAR($B$67))+MONTH(G$3)-MONTH($B$67)),(12*(YEAR($B$66)-YEAR($B$67))+MONTH($B$66)-MONTH($B$67))))*(1+'Вводные'!$K$75)^MAX(0,(12*(YEAR(G$3)-YEAR($B$66))+MONTH(G$3)-MONTH($B$66))))</x:f>
        <x:v>0</x:v>
      </x:c>
      <x:c r="H79" s="148" t="n">
        <x:f>IF(H78=0,0,'Вводные'!$K$71*'Вводные'!$H$5*INDEX('Вводные'!$S$88:$S$90,$B$64)*INDEX('Вводные'!$AG$88:$AG$90,$B$64)*(1+'Вводные'!$K$74)^MAX(0,MIN((12*(YEAR(H$3)-YEAR($B$67))+MONTH(H$3)-MONTH($B$67)),(12*(YEAR($B$66)-YEAR($B$67))+MONTH($B$66)-MONTH($B$67))))*(1+'Вводные'!$K$75)^MAX(0,(12*(YEAR(H$3)-YEAR($B$66))+MONTH(H$3)-MONTH($B$66))))</x:f>
        <x:v>0</x:v>
      </x:c>
      <x:c r="I79" s="148" t="n">
        <x:f>IF(I78=0,0,'Вводные'!$K$71*'Вводные'!$H$5*INDEX('Вводные'!$S$88:$S$90,$B$64)*INDEX('Вводные'!$AG$88:$AG$90,$B$64)*(1+'Вводные'!$K$74)^MAX(0,MIN((12*(YEAR(I$3)-YEAR($B$67))+MONTH(I$3)-MONTH($B$67)),(12*(YEAR($B$66)-YEAR($B$67))+MONTH($B$66)-MONTH($B$67))))*(1+'Вводные'!$K$75)^MAX(0,(12*(YEAR(I$3)-YEAR($B$66))+MONTH(I$3)-MONTH($B$66))))</x:f>
        <x:v>0</x:v>
      </x:c>
      <x:c r="J79" s="148" t="n">
        <x:f>IF(J78=0,0,'Вводные'!$K$71*'Вводные'!$H$5*INDEX('Вводные'!$S$88:$S$90,$B$64)*INDEX('Вводные'!$AG$88:$AG$90,$B$64)*(1+'Вводные'!$K$74)^MAX(0,MIN((12*(YEAR(J$3)-YEAR($B$67))+MONTH(J$3)-MONTH($B$67)),(12*(YEAR($B$66)-YEAR($B$67))+MONTH($B$66)-MONTH($B$67))))*(1+'Вводные'!$K$75)^MAX(0,(12*(YEAR(J$3)-YEAR($B$66))+MONTH(J$3)-MONTH($B$66))))</x:f>
        <x:v>0</x:v>
      </x:c>
      <x:c r="K79" s="148" t="n">
        <x:f>IF(K78=0,0,'Вводные'!$K$71*'Вводные'!$H$5*INDEX('Вводные'!$S$88:$S$90,$B$64)*INDEX('Вводные'!$AG$88:$AG$90,$B$64)*(1+'Вводные'!$K$74)^MAX(0,MIN((12*(YEAR(K$3)-YEAR($B$67))+MONTH(K$3)-MONTH($B$67)),(12*(YEAR($B$66)-YEAR($B$67))+MONTH($B$66)-MONTH($B$67))))*(1+'Вводные'!$K$75)^MAX(0,(12*(YEAR(K$3)-YEAR($B$66))+MONTH(K$3)-MONTH($B$66))))</x:f>
        <x:v>0</x:v>
      </x:c>
      <x:c r="L79" s="148" t="n">
        <x:f>IF(L78=0,0,'Вводные'!$K$71*'Вводные'!$H$5*INDEX('Вводные'!$S$88:$S$90,$B$64)*INDEX('Вводные'!$AG$88:$AG$90,$B$64)*(1+'Вводные'!$K$74)^MAX(0,MIN((12*(YEAR(L$3)-YEAR($B$67))+MONTH(L$3)-MONTH($B$67)),(12*(YEAR($B$66)-YEAR($B$67))+MONTH($B$66)-MONTH($B$67))))*(1+'Вводные'!$K$75)^MAX(0,(12*(YEAR(L$3)-YEAR($B$66))+MONTH(L$3)-MONTH($B$66))))</x:f>
        <x:v>0</x:v>
      </x:c>
      <x:c r="M79" s="148" t="n">
        <x:f>IF(M78=0,0,'Вводные'!$K$71*'Вводные'!$H$5*INDEX('Вводные'!$S$88:$S$90,$B$64)*INDEX('Вводные'!$AG$88:$AG$90,$B$64)*(1+'Вводные'!$K$74)^MAX(0,MIN((12*(YEAR(M$3)-YEAR($B$67))+MONTH(M$3)-MONTH($B$67)),(12*(YEAR($B$66)-YEAR($B$67))+MONTH($B$66)-MONTH($B$67))))*(1+'Вводные'!$K$75)^MAX(0,(12*(YEAR(M$3)-YEAR($B$66))+MONTH(M$3)-MONTH($B$66))))</x:f>
        <x:v>0</x:v>
      </x:c>
      <x:c r="N79" s="148" t="n">
        <x:f>IF(N78=0,0,'Вводные'!$K$71*'Вводные'!$H$5*INDEX('Вводные'!$S$88:$S$90,$B$64)*INDEX('Вводные'!$AG$88:$AG$90,$B$64)*(1+'Вводные'!$K$74)^MAX(0,MIN((12*(YEAR(N$3)-YEAR($B$67))+MONTH(N$3)-MONTH($B$67)),(12*(YEAR($B$66)-YEAR($B$67))+MONTH($B$66)-MONTH($B$67))))*(1+'Вводные'!$K$75)^MAX(0,(12*(YEAR(N$3)-YEAR($B$66))+MONTH(N$3)-MONTH($B$66))))</x:f>
        <x:v>0</x:v>
      </x:c>
      <x:c r="O79" s="148" t="n">
        <x:f>IF(O78=0,0,'Вводные'!$K$71*'Вводные'!$H$5*INDEX('Вводные'!$S$88:$S$90,$B$64)*INDEX('Вводные'!$AG$88:$AG$90,$B$64)*(1+'Вводные'!$K$74)^MAX(0,MIN((12*(YEAR(O$3)-YEAR($B$67))+MONTH(O$3)-MONTH($B$67)),(12*(YEAR($B$66)-YEAR($B$67))+MONTH($B$66)-MONTH($B$67))))*(1+'Вводные'!$K$75)^MAX(0,(12*(YEAR(O$3)-YEAR($B$66))+MONTH(O$3)-MONTH($B$66))))</x:f>
        <x:v>0</x:v>
      </x:c>
      <x:c r="P79" s="148" t="n">
        <x:f>IF(P78=0,0,'Вводные'!$K$71*'Вводные'!$H$5*INDEX('Вводные'!$S$88:$S$90,$B$64)*INDEX('Вводные'!$AG$88:$AG$90,$B$64)*(1+'Вводные'!$K$74)^MAX(0,MIN((12*(YEAR(P$3)-YEAR($B$67))+MONTH(P$3)-MONTH($B$67)),(12*(YEAR($B$66)-YEAR($B$67))+MONTH($B$66)-MONTH($B$67))))*(1+'Вводные'!$K$75)^MAX(0,(12*(YEAR(P$3)-YEAR($B$66))+MONTH(P$3)-MONTH($B$66))))</x:f>
        <x:v>0</x:v>
      </x:c>
      <x:c r="Q79" s="148" t="n">
        <x:f>IF(Q78=0,0,'Вводные'!$K$71*'Вводные'!$H$5*INDEX('Вводные'!$S$88:$S$90,$B$64)*INDEX('Вводные'!$AG$88:$AG$90,$B$64)*(1+'Вводные'!$K$74)^MAX(0,MIN((12*(YEAR(Q$3)-YEAR($B$67))+MONTH(Q$3)-MONTH($B$67)),(12*(YEAR($B$66)-YEAR($B$67))+MONTH($B$66)-MONTH($B$67))))*(1+'Вводные'!$K$75)^MAX(0,(12*(YEAR(Q$3)-YEAR($B$66))+MONTH(Q$3)-MONTH($B$66))))</x:f>
        <x:v>0</x:v>
      </x:c>
      <x:c r="R79" s="148" t="n">
        <x:f>IF(R78=0,0,'Вводные'!$K$71*'Вводные'!$H$5*INDEX('Вводные'!$S$88:$S$90,$B$64)*INDEX('Вводные'!$AG$88:$AG$90,$B$64)*(1+'Вводные'!$K$74)^MAX(0,MIN((12*(YEAR(R$3)-YEAR($B$67))+MONTH(R$3)-MONTH($B$67)),(12*(YEAR($B$66)-YEAR($B$67))+MONTH($B$66)-MONTH($B$67))))*(1+'Вводные'!$K$75)^MAX(0,(12*(YEAR(R$3)-YEAR($B$66))+MONTH(R$3)-MONTH($B$66))))</x:f>
        <x:v>0</x:v>
      </x:c>
      <x:c r="S79" s="148" t="n">
        <x:f>IF(S78=0,0,'Вводные'!$K$71*'Вводные'!$H$5*INDEX('Вводные'!$S$88:$S$90,$B$64)*INDEX('Вводные'!$AG$88:$AG$90,$B$64)*(1+'Вводные'!$K$74)^MAX(0,MIN((12*(YEAR(S$3)-YEAR($B$67))+MONTH(S$3)-MONTH($B$67)),(12*(YEAR($B$66)-YEAR($B$67))+MONTH($B$66)-MONTH($B$67))))*(1+'Вводные'!$K$75)^MAX(0,(12*(YEAR(S$3)-YEAR($B$66))+MONTH(S$3)-MONTH($B$66))))</x:f>
        <x:v>0</x:v>
      </x:c>
      <x:c r="T79" s="148" t="n">
        <x:f>IF(T78=0,0,'Вводные'!$K$71*'Вводные'!$H$5*INDEX('Вводные'!$S$88:$S$90,$B$64)*INDEX('Вводные'!$AG$88:$AG$90,$B$64)*(1+'Вводные'!$K$74)^MAX(0,MIN((12*(YEAR(T$3)-YEAR($B$67))+MONTH(T$3)-MONTH($B$67)),(12*(YEAR($B$66)-YEAR($B$67))+MONTH($B$66)-MONTH($B$67))))*(1+'Вводные'!$K$75)^MAX(0,(12*(YEAR(T$3)-YEAR($B$66))+MONTH(T$3)-MONTH($B$66))))</x:f>
        <x:v>0</x:v>
      </x:c>
      <x:c r="U79" s="148" t="n">
        <x:f>IF(U78=0,0,'Вводные'!$K$71*'Вводные'!$H$5*INDEX('Вводные'!$S$88:$S$90,$B$64)*INDEX('Вводные'!$AG$88:$AG$90,$B$64)*(1+'Вводные'!$K$74)^MAX(0,MIN((12*(YEAR(U$3)-YEAR($B$67))+MONTH(U$3)-MONTH($B$67)),(12*(YEAR($B$66)-YEAR($B$67))+MONTH($B$66)-MONTH($B$67))))*(1+'Вводные'!$K$75)^MAX(0,(12*(YEAR(U$3)-YEAR($B$66))+MONTH(U$3)-MONTH($B$66))))</x:f>
        <x:v>0</x:v>
      </x:c>
      <x:c r="V79" s="148" t="n">
        <x:f>IF(V78=0,0,'Вводные'!$K$71*'Вводные'!$H$5*INDEX('Вводные'!$S$88:$S$90,$B$64)*INDEX('Вводные'!$AG$88:$AG$90,$B$64)*(1+'Вводные'!$K$74)^MAX(0,MIN((12*(YEAR(V$3)-YEAR($B$67))+MONTH(V$3)-MONTH($B$67)),(12*(YEAR($B$66)-YEAR($B$67))+MONTH($B$66)-MONTH($B$67))))*(1+'Вводные'!$K$75)^MAX(0,(12*(YEAR(V$3)-YEAR($B$66))+MONTH(V$3)-MONTH($B$66))))</x:f>
        <x:v>0</x:v>
      </x:c>
      <x:c r="W79" s="148" t="n">
        <x:f>IF(W78=0,0,'Вводные'!$K$71*'Вводные'!$H$5*INDEX('Вводные'!$S$88:$S$90,$B$64)*INDEX('Вводные'!$AG$88:$AG$90,$B$64)*(1+'Вводные'!$K$74)^MAX(0,MIN((12*(YEAR(W$3)-YEAR($B$67))+MONTH(W$3)-MONTH($B$67)),(12*(YEAR($B$66)-YEAR($B$67))+MONTH($B$66)-MONTH($B$67))))*(1+'Вводные'!$K$75)^MAX(0,(12*(YEAR(W$3)-YEAR($B$66))+MONTH(W$3)-MONTH($B$66))))</x:f>
        <x:v>0</x:v>
      </x:c>
      <x:c r="X79" s="148" t="n">
        <x:f>IF(X78=0,0,'Вводные'!$K$71*'Вводные'!$H$5*INDEX('Вводные'!$S$88:$S$90,$B$64)*INDEX('Вводные'!$AG$88:$AG$90,$B$64)*(1+'Вводные'!$K$74)^MAX(0,MIN((12*(YEAR(X$3)-YEAR($B$67))+MONTH(X$3)-MONTH($B$67)),(12*(YEAR($B$66)-YEAR($B$67))+MONTH($B$66)-MONTH($B$67))))*(1+'Вводные'!$K$75)^MAX(0,(12*(YEAR(X$3)-YEAR($B$66))+MONTH(X$3)-MONTH($B$66))))</x:f>
        <x:v>0</x:v>
      </x:c>
      <x:c r="Y79" s="148" t="n">
        <x:f>IF(Y78=0,0,'Вводные'!$K$71*'Вводные'!$H$5*INDEX('Вводные'!$S$88:$S$90,$B$64)*INDEX('Вводные'!$AG$88:$AG$90,$B$64)*(1+'Вводные'!$K$74)^MAX(0,MIN((12*(YEAR(Y$3)-YEAR($B$67))+MONTH(Y$3)-MONTH($B$67)),(12*(YEAR($B$66)-YEAR($B$67))+MONTH($B$66)-MONTH($B$67))))*(1+'Вводные'!$K$75)^MAX(0,(12*(YEAR(Y$3)-YEAR($B$66))+MONTH(Y$3)-MONTH($B$66))))</x:f>
        <x:v>0</x:v>
      </x:c>
      <x:c r="Z79" s="148" t="n">
        <x:f>IF(Z78=0,0,'Вводные'!$K$71*'Вводные'!$H$5*INDEX('Вводные'!$S$88:$S$90,$B$64)*INDEX('Вводные'!$AG$88:$AG$90,$B$64)*(1+'Вводные'!$K$74)^MAX(0,MIN((12*(YEAR(Z$3)-YEAR($B$67))+MONTH(Z$3)-MONTH($B$67)),(12*(YEAR($B$66)-YEAR($B$67))+MONTH($B$66)-MONTH($B$67))))*(1+'Вводные'!$K$75)^MAX(0,(12*(YEAR(Z$3)-YEAR($B$66))+MONTH(Z$3)-MONTH($B$66))))</x:f>
        <x:v>0</x:v>
      </x:c>
      <x:c r="AA79" s="148" t="n">
        <x:f>IF(AA78=0,0,'Вводные'!$K$71*'Вводные'!$H$5*INDEX('Вводные'!$S$88:$S$90,$B$64)*INDEX('Вводные'!$AG$88:$AG$90,$B$64)*(1+'Вводные'!$K$74)^MAX(0,MIN((12*(YEAR(AA$3)-YEAR($B$67))+MONTH(AA$3)-MONTH($B$67)),(12*(YEAR($B$66)-YEAR($B$67))+MONTH($B$66)-MONTH($B$67))))*(1+'Вводные'!$K$75)^MAX(0,(12*(YEAR(AA$3)-YEAR($B$66))+MONTH(AA$3)-MONTH($B$66))))</x:f>
        <x:v>0</x:v>
      </x:c>
      <x:c r="AB79" s="148" t="n">
        <x:f>IF(AB78=0,0,'Вводные'!$K$71*'Вводные'!$H$5*INDEX('Вводные'!$S$88:$S$90,$B$64)*INDEX('Вводные'!$AG$88:$AG$90,$B$64)*(1+'Вводные'!$K$74)^MAX(0,MIN((12*(YEAR(AB$3)-YEAR($B$67))+MONTH(AB$3)-MONTH($B$67)),(12*(YEAR($B$66)-YEAR($B$67))+MONTH($B$66)-MONTH($B$67))))*(1+'Вводные'!$K$75)^MAX(0,(12*(YEAR(AB$3)-YEAR($B$66))+MONTH(AB$3)-MONTH($B$66))))</x:f>
        <x:v>0</x:v>
      </x:c>
      <x:c r="AC79" s="148" t="n">
        <x:f>IF(AC78=0,0,'Вводные'!$K$71*'Вводные'!$H$5*INDEX('Вводные'!$S$88:$S$90,$B$64)*INDEX('Вводные'!$AG$88:$AG$90,$B$64)*(1+'Вводные'!$K$74)^MAX(0,MIN((12*(YEAR(AC$3)-YEAR($B$67))+MONTH(AC$3)-MONTH($B$67)),(12*(YEAR($B$66)-YEAR($B$67))+MONTH($B$66)-MONTH($B$67))))*(1+'Вводные'!$K$75)^MAX(0,(12*(YEAR(AC$3)-YEAR($B$66))+MONTH(AC$3)-MONTH($B$66))))</x:f>
        <x:v>0</x:v>
      </x:c>
      <x:c r="AD79" s="148" t="n">
        <x:f>IF(AD78=0,0,'Вводные'!$K$71*'Вводные'!$H$5*INDEX('Вводные'!$S$88:$S$90,$B$64)*INDEX('Вводные'!$AG$88:$AG$90,$B$64)*(1+'Вводные'!$K$74)^MAX(0,MIN((12*(YEAR(AD$3)-YEAR($B$67))+MONTH(AD$3)-MONTH($B$67)),(12*(YEAR($B$66)-YEAR($B$67))+MONTH($B$66)-MONTH($B$67))))*(1+'Вводные'!$K$75)^MAX(0,(12*(YEAR(AD$3)-YEAR($B$66))+MONTH(AD$3)-MONTH($B$66))))</x:f>
        <x:v>0</x:v>
      </x:c>
      <x:c r="AE79" s="148" t="n">
        <x:f>IF(AE78=0,0,'Вводные'!$K$71*'Вводные'!$H$5*INDEX('Вводные'!$S$88:$S$90,$B$64)*INDEX('Вводные'!$AG$88:$AG$90,$B$64)*(1+'Вводные'!$K$74)^MAX(0,MIN((12*(YEAR(AE$3)-YEAR($B$67))+MONTH(AE$3)-MONTH($B$67)),(12*(YEAR($B$66)-YEAR($B$67))+MONTH($B$66)-MONTH($B$67))))*(1+'Вводные'!$K$75)^MAX(0,(12*(YEAR(AE$3)-YEAR($B$66))+MONTH(AE$3)-MONTH($B$66))))</x:f>
        <x:v>0</x:v>
      </x:c>
      <x:c r="AF79" s="148" t="n">
        <x:f>IF(AF78=0,0,'Вводные'!$K$71*'Вводные'!$H$5*INDEX('Вводные'!$S$88:$S$90,$B$64)*INDEX('Вводные'!$AG$88:$AG$90,$B$64)*(1+'Вводные'!$K$74)^MAX(0,MIN((12*(YEAR(AF$3)-YEAR($B$67))+MONTH(AF$3)-MONTH($B$67)),(12*(YEAR($B$66)-YEAR($B$67))+MONTH($B$66)-MONTH($B$67))))*(1+'Вводные'!$K$75)^MAX(0,(12*(YEAR(AF$3)-YEAR($B$66))+MONTH(AF$3)-MONTH($B$66))))</x:f>
        <x:v>0</x:v>
      </x:c>
      <x:c r="AG79" s="148" t="n">
        <x:f>IF(AG78=0,0,'Вводные'!$K$71*'Вводные'!$H$5*INDEX('Вводные'!$S$88:$S$90,$B$64)*INDEX('Вводные'!$AG$88:$AG$90,$B$64)*(1+'Вводные'!$K$74)^MAX(0,MIN((12*(YEAR(AG$3)-YEAR($B$67))+MONTH(AG$3)-MONTH($B$67)),(12*(YEAR($B$66)-YEAR($B$67))+MONTH($B$66)-MONTH($B$67))))*(1+'Вводные'!$K$75)^MAX(0,(12*(YEAR(AG$3)-YEAR($B$66))+MONTH(AG$3)-MONTH($B$66))))</x:f>
        <x:v>0</x:v>
      </x:c>
      <x:c r="AH79" s="148" t="n">
        <x:f>IF(AH78=0,0,'Вводные'!$K$71*'Вводные'!$H$5*INDEX('Вводные'!$S$88:$S$90,$B$64)*INDEX('Вводные'!$AG$88:$AG$90,$B$64)*(1+'Вводные'!$K$74)^MAX(0,MIN((12*(YEAR(AH$3)-YEAR($B$67))+MONTH(AH$3)-MONTH($B$67)),(12*(YEAR($B$66)-YEAR($B$67))+MONTH($B$66)-MONTH($B$67))))*(1+'Вводные'!$K$75)^MAX(0,(12*(YEAR(AH$3)-YEAR($B$66))+MONTH(AH$3)-MONTH($B$66))))</x:f>
        <x:v>0</x:v>
      </x:c>
      <x:c r="AI79" s="148" t="n">
        <x:f>IF(AI78=0,0,'Вводные'!$K$71*'Вводные'!$H$5*INDEX('Вводные'!$S$88:$S$90,$B$64)*INDEX('Вводные'!$AG$88:$AG$90,$B$64)*(1+'Вводные'!$K$74)^MAX(0,MIN((12*(YEAR(AI$3)-YEAR($B$67))+MONTH(AI$3)-MONTH($B$67)),(12*(YEAR($B$66)-YEAR($B$67))+MONTH($B$66)-MONTH($B$67))))*(1+'Вводные'!$K$75)^MAX(0,(12*(YEAR(AI$3)-YEAR($B$66))+MONTH(AI$3)-MONTH($B$66))))</x:f>
        <x:v>0</x:v>
      </x:c>
      <x:c r="AJ79" s="148" t="n">
        <x:f>IF(AJ78=0,0,'Вводные'!$K$71*'Вводные'!$H$5*INDEX('Вводные'!$S$88:$S$90,$B$64)*INDEX('Вводные'!$AG$88:$AG$90,$B$64)*(1+'Вводные'!$K$74)^MAX(0,MIN((12*(YEAR(AJ$3)-YEAR($B$67))+MONTH(AJ$3)-MONTH($B$67)),(12*(YEAR($B$66)-YEAR($B$67))+MONTH($B$66)-MONTH($B$67))))*(1+'Вводные'!$K$75)^MAX(0,(12*(YEAR(AJ$3)-YEAR($B$66))+MONTH(AJ$3)-MONTH($B$66))))</x:f>
        <x:v>0</x:v>
      </x:c>
      <x:c r="AK79" s="148" t="n">
        <x:f>IF(AK78=0,0,'Вводные'!$K$71*'Вводные'!$H$5*INDEX('Вводные'!$S$88:$S$90,$B$64)*INDEX('Вводные'!$AG$88:$AG$90,$B$64)*(1+'Вводные'!$K$74)^MAX(0,MIN((12*(YEAR(AK$3)-YEAR($B$67))+MONTH(AK$3)-MONTH($B$67)),(12*(YEAR($B$66)-YEAR($B$67))+MONTH($B$66)-MONTH($B$67))))*(1+'Вводные'!$K$75)^MAX(0,(12*(YEAR(AK$3)-YEAR($B$66))+MONTH(AK$3)-MONTH($B$66))))</x:f>
        <x:v>0</x:v>
      </x:c>
      <x:c r="AL79" s="148" t="n">
        <x:f>IF(AL78=0,0,'Вводные'!$K$71*'Вводные'!$H$5*INDEX('Вводные'!$S$88:$S$90,$B$64)*INDEX('Вводные'!$AG$88:$AG$90,$B$64)*(1+'Вводные'!$K$74)^MAX(0,MIN((12*(YEAR(AL$3)-YEAR($B$67))+MONTH(AL$3)-MONTH($B$67)),(12*(YEAR($B$66)-YEAR($B$67))+MONTH($B$66)-MONTH($B$67))))*(1+'Вводные'!$K$75)^MAX(0,(12*(YEAR(AL$3)-YEAR($B$66))+MONTH(AL$3)-MONTH($B$66))))</x:f>
        <x:v>0</x:v>
      </x:c>
      <x:c r="AM79" s="148" t="n">
        <x:f>IF(AM78=0,0,'Вводные'!$K$71*'Вводные'!$H$5*INDEX('Вводные'!$S$88:$S$90,$B$64)*INDEX('Вводные'!$AG$88:$AG$90,$B$64)*(1+'Вводные'!$K$74)^MAX(0,MIN((12*(YEAR(AM$3)-YEAR($B$67))+MONTH(AM$3)-MONTH($B$67)),(12*(YEAR($B$66)-YEAR($B$67))+MONTH($B$66)-MONTH($B$67))))*(1+'Вводные'!$K$75)^MAX(0,(12*(YEAR(AM$3)-YEAR($B$66))+MONTH(AM$3)-MONTH($B$66))))</x:f>
        <x:v>0</x:v>
      </x:c>
      <x:c r="AN79" s="148" t="n">
        <x:f>IF(AN78=0,0,'Вводные'!$K$71*'Вводные'!$H$5*INDEX('Вводные'!$S$88:$S$90,$B$64)*INDEX('Вводные'!$AG$88:$AG$90,$B$64)*(1+'Вводные'!$K$74)^MAX(0,MIN((12*(YEAR(AN$3)-YEAR($B$67))+MONTH(AN$3)-MONTH($B$67)),(12*(YEAR($B$66)-YEAR($B$67))+MONTH($B$66)-MONTH($B$67))))*(1+'Вводные'!$K$75)^MAX(0,(12*(YEAR(AN$3)-YEAR($B$66))+MONTH(AN$3)-MONTH($B$66))))</x:f>
        <x:v>0</x:v>
      </x:c>
      <x:c r="AO79" s="148" t="n">
        <x:f>IF(AO78=0,0,'Вводные'!$K$71*'Вводные'!$H$5*INDEX('Вводные'!$S$88:$S$90,$B$64)*INDEX('Вводные'!$AG$88:$AG$90,$B$64)*(1+'Вводные'!$K$74)^MAX(0,MIN((12*(YEAR(AO$3)-YEAR($B$67))+MONTH(AO$3)-MONTH($B$67)),(12*(YEAR($B$66)-YEAR($B$67))+MONTH($B$66)-MONTH($B$67))))*(1+'Вводные'!$K$75)^MAX(0,(12*(YEAR(AO$3)-YEAR($B$66))+MONTH(AO$3)-MONTH($B$66))))</x:f>
        <x:v>0</x:v>
      </x:c>
      <x:c r="AP79" s="148" t="n">
        <x:f>IF(AP78=0,0,'Вводные'!$K$71*'Вводные'!$H$5*INDEX('Вводные'!$S$88:$S$90,$B$64)*INDEX('Вводные'!$AG$88:$AG$90,$B$64)*(1+'Вводные'!$K$74)^MAX(0,MIN((12*(YEAR(AP$3)-YEAR($B$67))+MONTH(AP$3)-MONTH($B$67)),(12*(YEAR($B$66)-YEAR($B$67))+MONTH($B$66)-MONTH($B$67))))*(1+'Вводные'!$K$75)^MAX(0,(12*(YEAR(AP$3)-YEAR($B$66))+MONTH(AP$3)-MONTH($B$66))))</x:f>
        <x:v>0</x:v>
      </x:c>
      <x:c r="AQ79" s="148" t="n">
        <x:f>IF(AQ78=0,0,'Вводные'!$K$71*'Вводные'!$H$5*INDEX('Вводные'!$S$88:$S$90,$B$64)*INDEX('Вводные'!$AG$88:$AG$90,$B$64)*(1+'Вводные'!$K$74)^MAX(0,MIN((12*(YEAR(AQ$3)-YEAR($B$67))+MONTH(AQ$3)-MONTH($B$67)),(12*(YEAR($B$66)-YEAR($B$67))+MONTH($B$66)-MONTH($B$67))))*(1+'Вводные'!$K$75)^MAX(0,(12*(YEAR(AQ$3)-YEAR($B$66))+MONTH(AQ$3)-MONTH($B$66))))</x:f>
        <x:v>0</x:v>
      </x:c>
      <x:c r="AR79" s="148" t="n">
        <x:f>IF(AR78=0,0,'Вводные'!$K$71*'Вводные'!$H$5*INDEX('Вводные'!$S$88:$S$90,$B$64)*INDEX('Вводные'!$AG$88:$AG$90,$B$64)*(1+'Вводные'!$K$74)^MAX(0,MIN((12*(YEAR(AR$3)-YEAR($B$67))+MONTH(AR$3)-MONTH($B$67)),(12*(YEAR($B$66)-YEAR($B$67))+MONTH($B$66)-MONTH($B$67))))*(1+'Вводные'!$K$75)^MAX(0,(12*(YEAR(AR$3)-YEAR($B$66))+MONTH(AR$3)-MONTH($B$66))))</x:f>
        <x:v>0</x:v>
      </x:c>
      <x:c r="AS79" s="148" t="n">
        <x:f>IF(AS78=0,0,'Вводные'!$K$71*'Вводные'!$H$5*INDEX('Вводные'!$S$88:$S$90,$B$64)*INDEX('Вводные'!$AG$88:$AG$90,$B$64)*(1+'Вводные'!$K$74)^MAX(0,MIN((12*(YEAR(AS$3)-YEAR($B$67))+MONTH(AS$3)-MONTH($B$67)),(12*(YEAR($B$66)-YEAR($B$67))+MONTH($B$66)-MONTH($B$67))))*(1+'Вводные'!$K$75)^MAX(0,(12*(YEAR(AS$3)-YEAR($B$66))+MONTH(AS$3)-MONTH($B$66))))</x:f>
        <x:v>0</x:v>
      </x:c>
      <x:c r="AT79" s="148" t="n">
        <x:f>IF(AT78=0,0,'Вводные'!$K$71*'Вводные'!$H$5*INDEX('Вводные'!$S$88:$S$90,$B$64)*INDEX('Вводные'!$AG$88:$AG$90,$B$64)*(1+'Вводные'!$K$74)^MAX(0,MIN((12*(YEAR(AT$3)-YEAR($B$67))+MONTH(AT$3)-MONTH($B$67)),(12*(YEAR($B$66)-YEAR($B$67))+MONTH($B$66)-MONTH($B$67))))*(1+'Вводные'!$K$75)^MAX(0,(12*(YEAR(AT$3)-YEAR($B$66))+MONTH(AT$3)-MONTH($B$66))))</x:f>
        <x:v>0</x:v>
      </x:c>
      <x:c r="AU79" s="148" t="n">
        <x:f>IF(AU78=0,0,'Вводные'!$K$71*'Вводные'!$H$5*INDEX('Вводные'!$S$88:$S$90,$B$64)*INDEX('Вводные'!$AG$88:$AG$90,$B$64)*(1+'Вводные'!$K$74)^MAX(0,MIN((12*(YEAR(AU$3)-YEAR($B$67))+MONTH(AU$3)-MONTH($B$67)),(12*(YEAR($B$66)-YEAR($B$67))+MONTH($B$66)-MONTH($B$67))))*(1+'Вводные'!$K$75)^MAX(0,(12*(YEAR(AU$3)-YEAR($B$66))+MONTH(AU$3)-MONTH($B$66))))</x:f>
        <x:v>0</x:v>
      </x:c>
      <x:c r="AV79" s="148" t="n">
        <x:f>IF(AV78=0,0,'Вводные'!$K$71*'Вводные'!$H$5*INDEX('Вводные'!$S$88:$S$90,$B$64)*INDEX('Вводные'!$AG$88:$AG$90,$B$64)*(1+'Вводные'!$K$74)^MAX(0,MIN((12*(YEAR(AV$3)-YEAR($B$67))+MONTH(AV$3)-MONTH($B$67)),(12*(YEAR($B$66)-YEAR($B$67))+MONTH($B$66)-MONTH($B$67))))*(1+'Вводные'!$K$75)^MAX(0,(12*(YEAR(AV$3)-YEAR($B$66))+MONTH(AV$3)-MONTH($B$66))))</x:f>
        <x:v>0</x:v>
      </x:c>
      <x:c r="AW79" s="148" t="n">
        <x:f>IF(AW78=0,0,'Вводные'!$K$71*'Вводные'!$H$5*INDEX('Вводные'!$S$88:$S$90,$B$64)*INDEX('Вводные'!$AG$88:$AG$90,$B$64)*(1+'Вводные'!$K$74)^MAX(0,MIN((12*(YEAR(AW$3)-YEAR($B$67))+MONTH(AW$3)-MONTH($B$67)),(12*(YEAR($B$66)-YEAR($B$67))+MONTH($B$66)-MONTH($B$67))))*(1+'Вводные'!$K$75)^MAX(0,(12*(YEAR(AW$3)-YEAR($B$66))+MONTH(AW$3)-MONTH($B$66))))</x:f>
        <x:v>0</x:v>
      </x:c>
      <x:c r="AX79" s="148" t="n">
        <x:f>IF(AX78=0,0,'Вводные'!$K$71*'Вводные'!$H$5*INDEX('Вводные'!$S$88:$S$90,$B$64)*INDEX('Вводные'!$AG$88:$AG$90,$B$64)*(1+'Вводные'!$K$74)^MAX(0,MIN((12*(YEAR(AX$3)-YEAR($B$67))+MONTH(AX$3)-MONTH($B$67)),(12*(YEAR($B$66)-YEAR($B$67))+MONTH($B$66)-MONTH($B$67))))*(1+'Вводные'!$K$75)^MAX(0,(12*(YEAR(AX$3)-YEAR($B$66))+MONTH(AX$3)-MONTH($B$66))))</x:f>
        <x:v>0</x:v>
      </x:c>
      <x:c r="AY79" s="148" t="n">
        <x:f>IF(AY78=0,0,'Вводные'!$K$71*'Вводные'!$H$5*INDEX('Вводные'!$S$88:$S$90,$B$64)*INDEX('Вводные'!$AG$88:$AG$90,$B$64)*(1+'Вводные'!$K$74)^MAX(0,MIN((12*(YEAR(AY$3)-YEAR($B$67))+MONTH(AY$3)-MONTH($B$67)),(12*(YEAR($B$66)-YEAR($B$67))+MONTH($B$66)-MONTH($B$67))))*(1+'Вводные'!$K$75)^MAX(0,(12*(YEAR(AY$3)-YEAR($B$66))+MONTH(AY$3)-MONTH($B$66))))</x:f>
        <x:v>0</x:v>
      </x:c>
      <x:c r="AZ79" s="148" t="n">
        <x:f>IF(AZ78=0,0,'Вводные'!$K$71*'Вводные'!$H$5*INDEX('Вводные'!$S$88:$S$90,$B$64)*INDEX('Вводные'!$AG$88:$AG$90,$B$64)*(1+'Вводные'!$K$74)^MAX(0,MIN((12*(YEAR(AZ$3)-YEAR($B$67))+MONTH(AZ$3)-MONTH($B$67)),(12*(YEAR($B$66)-YEAR($B$67))+MONTH($B$66)-MONTH($B$67))))*(1+'Вводные'!$K$75)^MAX(0,(12*(YEAR(AZ$3)-YEAR($B$66))+MONTH(AZ$3)-MONTH($B$66))))</x:f>
        <x:v>0</x:v>
      </x:c>
      <x:c r="BA79" s="148" t="n">
        <x:f>IF(BA78=0,0,'Вводные'!$K$71*'Вводные'!$H$5*INDEX('Вводные'!$S$88:$S$90,$B$64)*INDEX('Вводные'!$AG$88:$AG$90,$B$64)*(1+'Вводные'!$K$74)^MAX(0,MIN((12*(YEAR(BA$3)-YEAR($B$67))+MONTH(BA$3)-MONTH($B$67)),(12*(YEAR($B$66)-YEAR($B$67))+MONTH($B$66)-MONTH($B$67))))*(1+'Вводные'!$K$75)^MAX(0,(12*(YEAR(BA$3)-YEAR($B$66))+MONTH(BA$3)-MONTH($B$66))))</x:f>
        <x:v>0</x:v>
      </x:c>
      <x:c r="BB79" s="148" t="n">
        <x:f>IF(BB78=0,0,'Вводные'!$K$71*'Вводные'!$H$5*INDEX('Вводные'!$S$88:$S$90,$B$64)*INDEX('Вводные'!$AG$88:$AG$90,$B$64)*(1+'Вводные'!$K$74)^MAX(0,MIN((12*(YEAR(BB$3)-YEAR($B$67))+MONTH(BB$3)-MONTH($B$67)),(12*(YEAR($B$66)-YEAR($B$67))+MONTH($B$66)-MONTH($B$67))))*(1+'Вводные'!$K$75)^MAX(0,(12*(YEAR(BB$3)-YEAR($B$66))+MONTH(BB$3)-MONTH($B$66))))</x:f>
        <x:v>0</x:v>
      </x:c>
      <x:c r="BC79" s="148" t="n">
        <x:f>IF(BC78=0,0,'Вводные'!$K$71*'Вводные'!$H$5*INDEX('Вводные'!$S$88:$S$90,$B$64)*INDEX('Вводные'!$AG$88:$AG$90,$B$64)*(1+'Вводные'!$K$74)^MAX(0,MIN((12*(YEAR(BC$3)-YEAR($B$67))+MONTH(BC$3)-MONTH($B$67)),(12*(YEAR($B$66)-YEAR($B$67))+MONTH($B$66)-MONTH($B$67))))*(1+'Вводные'!$K$75)^MAX(0,(12*(YEAR(BC$3)-YEAR($B$66))+MONTH(BC$3)-MONTH($B$66))))</x:f>
        <x:v>0</x:v>
      </x:c>
      <x:c r="BD79" s="148" t="n">
        <x:f>IF(BD78=0,0,'Вводные'!$K$71*'Вводные'!$H$5*INDEX('Вводные'!$S$88:$S$90,$B$64)*INDEX('Вводные'!$AG$88:$AG$90,$B$64)*(1+'Вводные'!$K$74)^MAX(0,MIN((12*(YEAR(BD$3)-YEAR($B$67))+MONTH(BD$3)-MONTH($B$67)),(12*(YEAR($B$66)-YEAR($B$67))+MONTH($B$66)-MONTH($B$67))))*(1+'Вводные'!$K$75)^MAX(0,(12*(YEAR(BD$3)-YEAR($B$66))+MONTH(BD$3)-MONTH($B$66))))</x:f>
        <x:v>0</x:v>
      </x:c>
      <x:c r="BE79" s="148" t="n">
        <x:f>IF(BE78=0,0,'Вводные'!$K$71*'Вводные'!$H$5*INDEX('Вводные'!$S$88:$S$90,$B$64)*INDEX('Вводные'!$AG$88:$AG$90,$B$64)*(1+'Вводные'!$K$74)^MAX(0,MIN((12*(YEAR(BE$3)-YEAR($B$67))+MONTH(BE$3)-MONTH($B$67)),(12*(YEAR($B$66)-YEAR($B$67))+MONTH($B$66)-MONTH($B$67))))*(1+'Вводные'!$K$75)^MAX(0,(12*(YEAR(BE$3)-YEAR($B$66))+MONTH(BE$3)-MONTH($B$66))))</x:f>
        <x:v>0</x:v>
      </x:c>
      <x:c r="BF79" s="148" t="n">
        <x:f>IF(BF78=0,0,'Вводные'!$K$71*'Вводные'!$H$5*INDEX('Вводные'!$S$88:$S$90,$B$64)*INDEX('Вводные'!$AG$88:$AG$90,$B$64)*(1+'Вводные'!$K$74)^MAX(0,MIN((12*(YEAR(BF$3)-YEAR($B$67))+MONTH(BF$3)-MONTH($B$67)),(12*(YEAR($B$66)-YEAR($B$67))+MONTH($B$66)-MONTH($B$67))))*(1+'Вводные'!$K$75)^MAX(0,(12*(YEAR(BF$3)-YEAR($B$66))+MONTH(BF$3)-MONTH($B$66))))</x:f>
        <x:v>0</x:v>
      </x:c>
      <x:c r="BG79" s="148" t="n">
        <x:f>IF(BG78=0,0,'Вводные'!$K$71*'Вводные'!$H$5*INDEX('Вводные'!$S$88:$S$90,$B$64)*INDEX('Вводные'!$AG$88:$AG$90,$B$64)*(1+'Вводные'!$K$74)^MAX(0,MIN((12*(YEAR(BG$3)-YEAR($B$67))+MONTH(BG$3)-MONTH($B$67)),(12*(YEAR($B$66)-YEAR($B$67))+MONTH($B$66)-MONTH($B$67))))*(1+'Вводные'!$K$75)^MAX(0,(12*(YEAR(BG$3)-YEAR($B$66))+MONTH(BG$3)-MONTH($B$66))))</x:f>
        <x:v>0</x:v>
      </x:c>
      <x:c r="BH79" s="148" t="n">
        <x:f>IF(BH78=0,0,'Вводные'!$K$71*'Вводные'!$H$5*INDEX('Вводные'!$S$88:$S$90,$B$64)*INDEX('Вводные'!$AG$88:$AG$90,$B$64)*(1+'Вводные'!$K$74)^MAX(0,MIN((12*(YEAR(BH$3)-YEAR($B$67))+MONTH(BH$3)-MONTH($B$67)),(12*(YEAR($B$66)-YEAR($B$67))+MONTH($B$66)-MONTH($B$67))))*(1+'Вводные'!$K$75)^MAX(0,(12*(YEAR(BH$3)-YEAR($B$66))+MONTH(BH$3)-MONTH($B$66))))</x:f>
        <x:v>0</x:v>
      </x:c>
      <x:c r="BI79" s="148" t="n">
        <x:f>IF(BI78=0,0,'Вводные'!$K$71*'Вводные'!$H$5*INDEX('Вводные'!$S$88:$S$90,$B$64)*INDEX('Вводные'!$AG$88:$AG$90,$B$64)*(1+'Вводные'!$K$74)^MAX(0,MIN((12*(YEAR(BI$3)-YEAR($B$67))+MONTH(BI$3)-MONTH($B$67)),(12*(YEAR($B$66)-YEAR($B$67))+MONTH($B$66)-MONTH($B$67))))*(1+'Вводные'!$K$75)^MAX(0,(12*(YEAR(BI$3)-YEAR($B$66))+MONTH(BI$3)-MONTH($B$66))))</x:f>
        <x:v>0</x:v>
      </x:c>
      <x:c r="BJ79" s="148" t="n">
        <x:f>IF(BJ78=0,0,'Вводные'!$K$71*'Вводные'!$H$5*INDEX('Вводные'!$S$88:$S$90,$B$64)*INDEX('Вводные'!$AG$88:$AG$90,$B$64)*(1+'Вводные'!$K$74)^MAX(0,MIN((12*(YEAR(BJ$3)-YEAR($B$67))+MONTH(BJ$3)-MONTH($B$67)),(12*(YEAR($B$66)-YEAR($B$67))+MONTH($B$66)-MONTH($B$67))))*(1+'Вводные'!$K$75)^MAX(0,(12*(YEAR(BJ$3)-YEAR($B$66))+MONTH(BJ$3)-MONTH($B$66))))</x:f>
        <x:v>0</x:v>
      </x:c>
      <x:c r="BK79" s="148" t="n">
        <x:f>IF(BK78=0,0,'Вводные'!$K$71*'Вводные'!$H$5*INDEX('Вводные'!$S$88:$S$90,$B$64)*INDEX('Вводные'!$AG$88:$AG$90,$B$64)*(1+'Вводные'!$K$74)^MAX(0,MIN((12*(YEAR(BK$3)-YEAR($B$67))+MONTH(BK$3)-MONTH($B$67)),(12*(YEAR($B$66)-YEAR($B$67))+MONTH($B$66)-MONTH($B$67))))*(1+'Вводные'!$K$75)^MAX(0,(12*(YEAR(BK$3)-YEAR($B$66))+MONTH(BK$3)-MONTH($B$66))))</x:f>
        <x:v>0</x:v>
      </x:c>
      <x:c r="BL79" s="148" t="n">
        <x:f>IF(BL78=0,0,'Вводные'!$K$71*'Вводные'!$H$5*INDEX('Вводные'!$S$88:$S$90,$B$64)*INDEX('Вводные'!$AG$88:$AG$90,$B$64)*(1+'Вводные'!$K$74)^MAX(0,MIN((12*(YEAR(BL$3)-YEAR($B$67))+MONTH(BL$3)-MONTH($B$67)),(12*(YEAR($B$66)-YEAR($B$67))+MONTH($B$66)-MONTH($B$67))))*(1+'Вводные'!$K$75)^MAX(0,(12*(YEAR(BL$3)-YEAR($B$66))+MONTH(BL$3)-MONTH($B$66))))</x:f>
        <x:v>0</x:v>
      </x:c>
      <x:c r="BM79" s="148" t="n">
        <x:f>IF(BM78=0,0,'Вводные'!$K$71*'Вводные'!$H$5*INDEX('Вводные'!$S$88:$S$90,$B$64)*INDEX('Вводные'!$AG$88:$AG$90,$B$64)*(1+'Вводные'!$K$74)^MAX(0,MIN((12*(YEAR(BM$3)-YEAR($B$67))+MONTH(BM$3)-MONTH($B$67)),(12*(YEAR($B$66)-YEAR($B$67))+MONTH($B$66)-MONTH($B$67))))*(1+'Вводные'!$K$75)^MAX(0,(12*(YEAR(BM$3)-YEAR($B$66))+MONTH(BM$3)-MONTH($B$66))))</x:f>
        <x:v>0</x:v>
      </x:c>
      <x:c r="BN79" s="148" t="n">
        <x:f>IF(BN78=0,0,'Вводные'!$K$71*'Вводные'!$H$5*INDEX('Вводные'!$S$88:$S$90,$B$64)*INDEX('Вводные'!$AG$88:$AG$90,$B$64)*(1+'Вводные'!$K$74)^MAX(0,MIN((12*(YEAR(BN$3)-YEAR($B$67))+MONTH(BN$3)-MONTH($B$67)),(12*(YEAR($B$66)-YEAR($B$67))+MONTH($B$66)-MONTH($B$67))))*(1+'Вводные'!$K$75)^MAX(0,(12*(YEAR(BN$3)-YEAR($B$66))+MONTH(BN$3)-MONTH($B$66))))</x:f>
        <x:v>0</x:v>
      </x:c>
      <x:c r="BO79" s="148" t="n">
        <x:f>IF(BO78=0,0,'Вводные'!$K$71*'Вводные'!$H$5*INDEX('Вводные'!$S$88:$S$90,$B$64)*INDEX('Вводные'!$AG$88:$AG$90,$B$64)*(1+'Вводные'!$K$74)^MAX(0,MIN((12*(YEAR(BO$3)-YEAR($B$67))+MONTH(BO$3)-MONTH($B$67)),(12*(YEAR($B$66)-YEAR($B$67))+MONTH($B$66)-MONTH($B$67))))*(1+'Вводные'!$K$75)^MAX(0,(12*(YEAR(BO$3)-YEAR($B$66))+MONTH(BO$3)-MONTH($B$66))))</x:f>
        <x:v>0</x:v>
      </x:c>
      <x:c r="BP79" s="148" t="n">
        <x:f>IF(BP78=0,0,'Вводные'!$K$71*'Вводные'!$H$5*INDEX('Вводные'!$S$88:$S$90,$B$64)*INDEX('Вводные'!$AG$88:$AG$90,$B$64)*(1+'Вводные'!$K$74)^MAX(0,MIN((12*(YEAR(BP$3)-YEAR($B$67))+MONTH(BP$3)-MONTH($B$67)),(12*(YEAR($B$66)-YEAR($B$67))+MONTH($B$66)-MONTH($B$67))))*(1+'Вводные'!$K$75)^MAX(0,(12*(YEAR(BP$3)-YEAR($B$66))+MONTH(BP$3)-MONTH($B$66))))</x:f>
        <x:v>0</x:v>
      </x:c>
      <x:c r="BQ79" s="148" t="n">
        <x:f>IF(BQ78=0,0,'Вводные'!$K$71*'Вводные'!$H$5*INDEX('Вводные'!$S$88:$S$90,$B$64)*INDEX('Вводные'!$AG$88:$AG$90,$B$64)*(1+'Вводные'!$K$74)^MAX(0,MIN((12*(YEAR(BQ$3)-YEAR($B$67))+MONTH(BQ$3)-MONTH($B$67)),(12*(YEAR($B$66)-YEAR($B$67))+MONTH($B$66)-MONTH($B$67))))*(1+'Вводные'!$K$75)^MAX(0,(12*(YEAR(BQ$3)-YEAR($B$66))+MONTH(BQ$3)-MONTH($B$66))))</x:f>
        <x:v>0</x:v>
      </x:c>
      <x:c r="BR79" s="148" t="n">
        <x:f>IF(BR78=0,0,'Вводные'!$K$71*'Вводные'!$H$5*INDEX('Вводные'!$S$88:$S$90,$B$64)*INDEX('Вводные'!$AG$88:$AG$90,$B$64)*(1+'Вводные'!$K$74)^MAX(0,MIN((12*(YEAR(BR$3)-YEAR($B$67))+MONTH(BR$3)-MONTH($B$67)),(12*(YEAR($B$66)-YEAR($B$67))+MONTH($B$66)-MONTH($B$67))))*(1+'Вводные'!$K$75)^MAX(0,(12*(YEAR(BR$3)-YEAR($B$66))+MONTH(BR$3)-MONTH($B$66))))</x:f>
        <x:v>0</x:v>
      </x:c>
      <x:c r="BS79" s="148" t="n">
        <x:f>IF(BS78=0,0,'Вводные'!$K$71*'Вводные'!$H$5*INDEX('Вводные'!$S$88:$S$90,$B$64)*INDEX('Вводные'!$AG$88:$AG$90,$B$64)*(1+'Вводные'!$K$74)^MAX(0,MIN((12*(YEAR(BS$3)-YEAR($B$67))+MONTH(BS$3)-MONTH($B$67)),(12*(YEAR($B$66)-YEAR($B$67))+MONTH($B$66)-MONTH($B$67))))*(1+'Вводные'!$K$75)^MAX(0,(12*(YEAR(BS$3)-YEAR($B$66))+MONTH(BS$3)-MONTH($B$66))))</x:f>
        <x:v>0</x:v>
      </x:c>
      <x:c r="BT79" s="148" t="n">
        <x:f>IF(BT78=0,0,'Вводные'!$K$71*'Вводные'!$H$5*INDEX('Вводные'!$S$88:$S$90,$B$64)*INDEX('Вводные'!$AG$88:$AG$90,$B$64)*(1+'Вводные'!$K$74)^MAX(0,MIN((12*(YEAR(BT$3)-YEAR($B$67))+MONTH(BT$3)-MONTH($B$67)),(12*(YEAR($B$66)-YEAR($B$67))+MONTH($B$66)-MONTH($B$67))))*(1+'Вводные'!$K$75)^MAX(0,(12*(YEAR(BT$3)-YEAR($B$66))+MONTH(BT$3)-MONTH($B$66))))</x:f>
        <x:v>0</x:v>
      </x:c>
      <x:c r="BU79" s="148" t="n">
        <x:f>IF(BU78=0,0,'Вводные'!$K$71*'Вводные'!$H$5*INDEX('Вводные'!$S$88:$S$90,$B$64)*INDEX('Вводные'!$AG$88:$AG$90,$B$64)*(1+'Вводные'!$K$74)^MAX(0,MIN((12*(YEAR(BU$3)-YEAR($B$67))+MONTH(BU$3)-MONTH($B$67)),(12*(YEAR($B$66)-YEAR($B$67))+MONTH($B$66)-MONTH($B$67))))*(1+'Вводные'!$K$75)^MAX(0,(12*(YEAR(BU$3)-YEAR($B$66))+MONTH(BU$3)-MONTH($B$66))))</x:f>
        <x:v>0</x:v>
      </x:c>
      <x:c r="BV79" s="148" t="n">
        <x:f>IF(BV78=0,0,'Вводные'!$K$71*'Вводные'!$H$5*INDEX('Вводные'!$S$88:$S$90,$B$64)*INDEX('Вводные'!$AG$88:$AG$90,$B$64)*(1+'Вводные'!$K$74)^MAX(0,MIN((12*(YEAR(BV$3)-YEAR($B$67))+MONTH(BV$3)-MONTH($B$67)),(12*(YEAR($B$66)-YEAR($B$67))+MONTH($B$66)-MONTH($B$67))))*(1+'Вводные'!$K$75)^MAX(0,(12*(YEAR(BV$3)-YEAR($B$66))+MONTH(BV$3)-MONTH($B$66))))</x:f>
        <x:v>0</x:v>
      </x:c>
      <x:c r="BW79" s="148" t="n">
        <x:f>IF(BW78=0,0,'Вводные'!$K$71*'Вводные'!$H$5*INDEX('Вводные'!$S$88:$S$90,$B$64)*INDEX('Вводные'!$AG$88:$AG$90,$B$64)*(1+'Вводные'!$K$74)^MAX(0,MIN((12*(YEAR(BW$3)-YEAR($B$67))+MONTH(BW$3)-MONTH($B$67)),(12*(YEAR($B$66)-YEAR($B$67))+MONTH($B$66)-MONTH($B$67))))*(1+'Вводные'!$K$75)^MAX(0,(12*(YEAR(BW$3)-YEAR($B$66))+MONTH(BW$3)-MONTH($B$66))))</x:f>
        <x:v>0</x:v>
      </x:c>
      <x:c r="BX79" s="148" t="n">
        <x:f>IF(BX78=0,0,'Вводные'!$K$71*'Вводные'!$H$5*INDEX('Вводные'!$S$88:$S$90,$B$64)*INDEX('Вводные'!$AG$88:$AG$90,$B$64)*(1+'Вводные'!$K$74)^MAX(0,MIN((12*(YEAR(BX$3)-YEAR($B$67))+MONTH(BX$3)-MONTH($B$67)),(12*(YEAR($B$66)-YEAR($B$67))+MONTH($B$66)-MONTH($B$67))))*(1+'Вводные'!$K$75)^MAX(0,(12*(YEAR(BX$3)-YEAR($B$66))+MONTH(BX$3)-MONTH($B$66))))</x:f>
        <x:v>0</x:v>
      </x:c>
      <x:c r="BY79" s="148" t="n">
        <x:f>IF(BY78=0,0,'Вводные'!$K$71*'Вводные'!$H$5*INDEX('Вводные'!$S$88:$S$90,$B$64)*INDEX('Вводные'!$AG$88:$AG$90,$B$64)*(1+'Вводные'!$K$74)^MAX(0,MIN((12*(YEAR(BY$3)-YEAR($B$67))+MONTH(BY$3)-MONTH($B$67)),(12*(YEAR($B$66)-YEAR($B$67))+MONTH($B$66)-MONTH($B$67))))*(1+'Вводные'!$K$75)^MAX(0,(12*(YEAR(BY$3)-YEAR($B$66))+MONTH(BY$3)-MONTH($B$66))))</x:f>
        <x:v>0</x:v>
      </x:c>
      <x:c r="BZ79" s="148" t="n">
        <x:f>IF(BZ78=0,0,'Вводные'!$K$71*'Вводные'!$H$5*INDEX('Вводные'!$S$88:$S$90,$B$64)*INDEX('Вводные'!$AG$88:$AG$90,$B$64)*(1+'Вводные'!$K$74)^MAX(0,MIN((12*(YEAR(BZ$3)-YEAR($B$67))+MONTH(BZ$3)-MONTH($B$67)),(12*(YEAR($B$66)-YEAR($B$67))+MONTH($B$66)-MONTH($B$67))))*(1+'Вводные'!$K$75)^MAX(0,(12*(YEAR(BZ$3)-YEAR($B$66))+MONTH(BZ$3)-MONTH($B$66))))</x:f>
        <x:v>0</x:v>
      </x:c>
      <x:c r="CA79" s="148" t="n">
        <x:f>IF(CA78=0,0,'Вводные'!$K$71*'Вводные'!$H$5*INDEX('Вводные'!$S$88:$S$90,$B$64)*INDEX('Вводные'!$AG$88:$AG$90,$B$64)*(1+'Вводные'!$K$74)^MAX(0,MIN((12*(YEAR(CA$3)-YEAR($B$67))+MONTH(CA$3)-MONTH($B$67)),(12*(YEAR($B$66)-YEAR($B$67))+MONTH($B$66)-MONTH($B$67))))*(1+'Вводные'!$K$75)^MAX(0,(12*(YEAR(CA$3)-YEAR($B$66))+MONTH(CA$3)-MONTH($B$66))))</x:f>
        <x:v>0</x:v>
      </x:c>
      <x:c r="CB79" s="148" t="n">
        <x:f>IF(CB78=0,0,'Вводные'!$K$71*'Вводные'!$H$5*INDEX('Вводные'!$S$88:$S$90,$B$64)*INDEX('Вводные'!$AG$88:$AG$90,$B$64)*(1+'Вводные'!$K$74)^MAX(0,MIN((12*(YEAR(CB$3)-YEAR($B$67))+MONTH(CB$3)-MONTH($B$67)),(12*(YEAR($B$66)-YEAR($B$67))+MONTH($B$66)-MONTH($B$67))))*(1+'Вводные'!$K$75)^MAX(0,(12*(YEAR(CB$3)-YEAR($B$66))+MONTH(CB$3)-MONTH($B$66))))</x:f>
        <x:v>0</x:v>
      </x:c>
      <x:c r="CC79" s="148" t="n">
        <x:f>IF(CC78=0,0,'Вводные'!$K$71*'Вводные'!$H$5*INDEX('Вводные'!$S$88:$S$90,$B$64)*INDEX('Вводные'!$AG$88:$AG$90,$B$64)*(1+'Вводные'!$K$74)^MAX(0,MIN((12*(YEAR(CC$3)-YEAR($B$67))+MONTH(CC$3)-MONTH($B$67)),(12*(YEAR($B$66)-YEAR($B$67))+MONTH($B$66)-MONTH($B$67))))*(1+'Вводные'!$K$75)^MAX(0,(12*(YEAR(CC$3)-YEAR($B$66))+MONTH(CC$3)-MONTH($B$66))))</x:f>
        <x:v>0</x:v>
      </x:c>
      <x:c r="CD79" s="148" t="n">
        <x:f>IF(CD78=0,0,'Вводные'!$K$71*'Вводные'!$H$5*INDEX('Вводные'!$S$88:$S$90,$B$64)*INDEX('Вводные'!$AG$88:$AG$90,$B$64)*(1+'Вводные'!$K$74)^MAX(0,MIN((12*(YEAR(CD$3)-YEAR($B$67))+MONTH(CD$3)-MONTH($B$67)),(12*(YEAR($B$66)-YEAR($B$67))+MONTH($B$66)-MONTH($B$67))))*(1+'Вводные'!$K$75)^MAX(0,(12*(YEAR(CD$3)-YEAR($B$66))+MONTH(CD$3)-MONTH($B$66))))</x:f>
        <x:v>0</x:v>
      </x:c>
      <x:c r="CE79" s="148" t="n">
        <x:f>IF(CE78=0,0,'Вводные'!$K$71*'Вводные'!$H$5*INDEX('Вводные'!$S$88:$S$90,$B$64)*INDEX('Вводные'!$AG$88:$AG$90,$B$64)*(1+'Вводные'!$K$74)^MAX(0,MIN((12*(YEAR(CE$3)-YEAR($B$67))+MONTH(CE$3)-MONTH($B$67)),(12*(YEAR($B$66)-YEAR($B$67))+MONTH($B$66)-MONTH($B$67))))*(1+'Вводные'!$K$75)^MAX(0,(12*(YEAR(CE$3)-YEAR($B$66))+MONTH(CE$3)-MONTH($B$66))))</x:f>
        <x:v>0</x:v>
      </x:c>
      <x:c r="CF79" s="148" t="n">
        <x:f>IF(CF78=0,0,'Вводные'!$K$71*'Вводные'!$H$5*INDEX('Вводные'!$S$88:$S$90,$B$64)*INDEX('Вводные'!$AG$88:$AG$90,$B$64)*(1+'Вводные'!$K$74)^MAX(0,MIN((12*(YEAR(CF$3)-YEAR($B$67))+MONTH(CF$3)-MONTH($B$67)),(12*(YEAR($B$66)-YEAR($B$67))+MONTH($B$66)-MONTH($B$67))))*(1+'Вводные'!$K$75)^MAX(0,(12*(YEAR(CF$3)-YEAR($B$66))+MONTH(CF$3)-MONTH($B$66))))</x:f>
        <x:v>0</x:v>
      </x:c>
      <x:c r="CG79" s="148" t="n">
        <x:f>IF(CG78=0,0,'Вводные'!$K$71*'Вводные'!$H$5*INDEX('Вводные'!$S$88:$S$90,$B$64)*INDEX('Вводные'!$AG$88:$AG$90,$B$64)*(1+'Вводные'!$K$74)^MAX(0,MIN((12*(YEAR(CG$3)-YEAR($B$67))+MONTH(CG$3)-MONTH($B$67)),(12*(YEAR($B$66)-YEAR($B$67))+MONTH($B$66)-MONTH($B$67))))*(1+'Вводные'!$K$75)^MAX(0,(12*(YEAR(CG$3)-YEAR($B$66))+MONTH(CG$3)-MONTH($B$66))))</x:f>
        <x:v>0</x:v>
      </x:c>
      <x:c r="CH79" s="148" t="n">
        <x:f>IF(CH78=0,0,'Вводные'!$K$71*'Вводные'!$H$5*INDEX('Вводные'!$S$88:$S$90,$B$64)*INDEX('Вводные'!$AG$88:$AG$90,$B$64)*(1+'Вводные'!$K$74)^MAX(0,MIN((12*(YEAR(CH$3)-YEAR($B$67))+MONTH(CH$3)-MONTH($B$67)),(12*(YEAR($B$66)-YEAR($B$67))+MONTH($B$66)-MONTH($B$67))))*(1+'Вводные'!$K$75)^MAX(0,(12*(YEAR(CH$3)-YEAR($B$66))+MONTH(CH$3)-MONTH($B$66))))</x:f>
        <x:v>0</x:v>
      </x:c>
      <x:c r="CI79" s="148" t="n">
        <x:f>IF(CI78=0,0,'Вводные'!$K$71*'Вводные'!$H$5*INDEX('Вводные'!$S$88:$S$90,$B$64)*INDEX('Вводные'!$AG$88:$AG$90,$B$64)*(1+'Вводные'!$K$74)^MAX(0,MIN((12*(YEAR(CI$3)-YEAR($B$67))+MONTH(CI$3)-MONTH($B$67)),(12*(YEAR($B$66)-YEAR($B$67))+MONTH($B$66)-MONTH($B$67))))*(1+'Вводные'!$K$75)^MAX(0,(12*(YEAR(CI$3)-YEAR($B$66))+MONTH(CI$3)-MONTH($B$66))))</x:f>
        <x:v>0</x:v>
      </x:c>
      <x:c r="CJ79" s="148" t="n">
        <x:f>IF(CJ78=0,0,'Вводные'!$K$71*'Вводные'!$H$5*INDEX('Вводные'!$S$88:$S$90,$B$64)*INDEX('Вводные'!$AG$88:$AG$90,$B$64)*(1+'Вводные'!$K$74)^MAX(0,MIN((12*(YEAR(CJ$3)-YEAR($B$67))+MONTH(CJ$3)-MONTH($B$67)),(12*(YEAR($B$66)-YEAR($B$67))+MONTH($B$66)-MONTH($B$67))))*(1+'Вводные'!$K$75)^MAX(0,(12*(YEAR(CJ$3)-YEAR($B$66))+MONTH(CJ$3)-MONTH($B$66))))</x:f>
        <x:v>0</x:v>
      </x:c>
      <x:c r="CK79" s="148" t="n">
        <x:f>IF(CK78=0,0,'Вводные'!$K$71*'Вводные'!$H$5*INDEX('Вводные'!$S$88:$S$90,$B$64)*INDEX('Вводные'!$AG$88:$AG$90,$B$64)*(1+'Вводные'!$K$74)^MAX(0,MIN((12*(YEAR(CK$3)-YEAR($B$67))+MONTH(CK$3)-MONTH($B$67)),(12*(YEAR($B$66)-YEAR($B$67))+MONTH($B$66)-MONTH($B$67))))*(1+'Вводные'!$K$75)^MAX(0,(12*(YEAR(CK$3)-YEAR($B$66))+MONTH(CK$3)-MONTH($B$66))))</x:f>
        <x:v>0</x:v>
      </x:c>
      <x:c r="CL79" s="148" t="n">
        <x:f>IF(CL78=0,0,'Вводные'!$K$71*'Вводные'!$H$5*INDEX('Вводные'!$S$88:$S$90,$B$64)*INDEX('Вводные'!$AG$88:$AG$90,$B$64)*(1+'Вводные'!$K$74)^MAX(0,MIN((12*(YEAR(CL$3)-YEAR($B$67))+MONTH(CL$3)-MONTH($B$67)),(12*(YEAR($B$66)-YEAR($B$67))+MONTH($B$66)-MONTH($B$67))))*(1+'Вводные'!$K$75)^MAX(0,(12*(YEAR(CL$3)-YEAR($B$66))+MONTH(CL$3)-MONTH($B$66))))</x:f>
        <x:v>0</x:v>
      </x:c>
      <x:c r="CM79" s="148" t="n">
        <x:f>IF(CM78=0,0,'Вводные'!$K$71*'Вводные'!$H$5*INDEX('Вводные'!$S$88:$S$90,$B$64)*INDEX('Вводные'!$AG$88:$AG$90,$B$64)*(1+'Вводные'!$K$74)^MAX(0,MIN((12*(YEAR(CM$3)-YEAR($B$67))+MONTH(CM$3)-MONTH($B$67)),(12*(YEAR($B$66)-YEAR($B$67))+MONTH($B$66)-MONTH($B$67))))*(1+'Вводные'!$K$75)^MAX(0,(12*(YEAR(CM$3)-YEAR($B$66))+MONTH(CM$3)-MONTH($B$66))))</x:f>
        <x:v>0</x:v>
      </x:c>
      <x:c r="CN79" s="148" t="n">
        <x:f>IF(CN78=0,0,'Вводные'!$K$71*'Вводные'!$H$5*INDEX('Вводные'!$S$88:$S$90,$B$64)*INDEX('Вводные'!$AG$88:$AG$90,$B$64)*(1+'Вводные'!$K$74)^MAX(0,MIN((12*(YEAR(CN$3)-YEAR($B$67))+MONTH(CN$3)-MONTH($B$67)),(12*(YEAR($B$66)-YEAR($B$67))+MONTH($B$66)-MONTH($B$67))))*(1+'Вводные'!$K$75)^MAX(0,(12*(YEAR(CN$3)-YEAR($B$66))+MONTH(CN$3)-MONTH($B$66))))</x:f>
        <x:v>0</x:v>
      </x:c>
      <x:c r="CO79" s="148" t="n">
        <x:f>IF(CO78=0,0,'Вводные'!$K$71*'Вводные'!$H$5*INDEX('Вводные'!$S$88:$S$90,$B$64)*INDEX('Вводные'!$AG$88:$AG$90,$B$64)*(1+'Вводные'!$K$74)^MAX(0,MIN((12*(YEAR(CO$3)-YEAR($B$67))+MONTH(CO$3)-MONTH($B$67)),(12*(YEAR($B$66)-YEAR($B$67))+MONTH($B$66)-MONTH($B$67))))*(1+'Вводные'!$K$75)^MAX(0,(12*(YEAR(CO$3)-YEAR($B$66))+MONTH(CO$3)-MONTH($B$66))))</x:f>
        <x:v>0</x:v>
      </x:c>
      <x:c r="CP79" s="148" t="n">
        <x:f>IF(CP78=0,0,'Вводные'!$K$71*'Вводные'!$H$5*INDEX('Вводные'!$S$88:$S$90,$B$64)*INDEX('Вводные'!$AG$88:$AG$90,$B$64)*(1+'Вводные'!$K$74)^MAX(0,MIN((12*(YEAR(CP$3)-YEAR($B$67))+MONTH(CP$3)-MONTH($B$67)),(12*(YEAR($B$66)-YEAR($B$67))+MONTH($B$66)-MONTH($B$67))))*(1+'Вводные'!$K$75)^MAX(0,(12*(YEAR(CP$3)-YEAR($B$66))+MONTH(CP$3)-MONTH($B$66))))</x:f>
        <x:v>0</x:v>
      </x:c>
      <x:c r="CQ79" s="148" t="n">
        <x:f>IF(CQ78=0,0,'Вводные'!$K$71*'Вводные'!$H$5*INDEX('Вводные'!$S$88:$S$90,$B$64)*INDEX('Вводные'!$AG$88:$AG$90,$B$64)*(1+'Вводные'!$K$74)^MAX(0,MIN((12*(YEAR(CQ$3)-YEAR($B$67))+MONTH(CQ$3)-MONTH($B$67)),(12*(YEAR($B$66)-YEAR($B$67))+MONTH($B$66)-MONTH($B$67))))*(1+'Вводные'!$K$75)^MAX(0,(12*(YEAR(CQ$3)-YEAR($B$66))+MONTH(CQ$3)-MONTH($B$66))))</x:f>
        <x:v>0</x:v>
      </x:c>
      <x:c r="CR79" s="148" t="n">
        <x:f>IF(CR78=0,0,'Вводные'!$K$71*'Вводные'!$H$5*INDEX('Вводные'!$S$88:$S$90,$B$64)*INDEX('Вводные'!$AG$88:$AG$90,$B$64)*(1+'Вводные'!$K$74)^MAX(0,MIN((12*(YEAR(CR$3)-YEAR($B$67))+MONTH(CR$3)-MONTH($B$67)),(12*(YEAR($B$66)-YEAR($B$67))+MONTH($B$66)-MONTH($B$67))))*(1+'Вводные'!$K$75)^MAX(0,(12*(YEAR(CR$3)-YEAR($B$66))+MONTH(CR$3)-MONTH($B$66))))</x:f>
        <x:v>0</x:v>
      </x:c>
      <x:c r="CS79" s="148" t="n">
        <x:f>IF(CS78=0,0,'Вводные'!$K$71*'Вводные'!$H$5*INDEX('Вводные'!$S$88:$S$90,$B$64)*INDEX('Вводные'!$AG$88:$AG$90,$B$64)*(1+'Вводные'!$K$74)^MAX(0,MIN((12*(YEAR(CS$3)-YEAR($B$67))+MONTH(CS$3)-MONTH($B$67)),(12*(YEAR($B$66)-YEAR($B$67))+MONTH($B$66)-MONTH($B$67))))*(1+'Вводные'!$K$75)^MAX(0,(12*(YEAR(CS$3)-YEAR($B$66))+MONTH(CS$3)-MONTH($B$66))))</x:f>
        <x:v>0</x:v>
      </x:c>
      <x:c r="CT79" s="148" t="n">
        <x:f>IF(CT78=0,0,'Вводные'!$K$71*'Вводные'!$H$5*INDEX('Вводные'!$S$88:$S$90,$B$64)*INDEX('Вводные'!$AG$88:$AG$90,$B$64)*(1+'Вводные'!$K$74)^MAX(0,MIN((12*(YEAR(CT$3)-YEAR($B$67))+MONTH(CT$3)-MONTH($B$67)),(12*(YEAR($B$66)-YEAR($B$67))+MONTH($B$66)-MONTH($B$67))))*(1+'Вводные'!$K$75)^MAX(0,(12*(YEAR(CT$3)-YEAR($B$66))+MONTH(CT$3)-MONTH($B$66))))</x:f>
        <x:v>0</x:v>
      </x:c>
      <x:c r="CU79" s="148" t="n">
        <x:f>IF(CU78=0,0,'Вводные'!$K$71*'Вводные'!$H$5*INDEX('Вводные'!$S$88:$S$90,$B$64)*INDEX('Вводные'!$AG$88:$AG$90,$B$64)*(1+'Вводные'!$K$74)^MAX(0,MIN((12*(YEAR(CU$3)-YEAR($B$67))+MONTH(CU$3)-MONTH($B$67)),(12*(YEAR($B$66)-YEAR($B$67))+MONTH($B$66)-MONTH($B$67))))*(1+'Вводные'!$K$75)^MAX(0,(12*(YEAR(CU$3)-YEAR($B$66))+MONTH(CU$3)-MONTH($B$66))))</x:f>
        <x:v>0</x:v>
      </x:c>
      <x:c r="CV79" s="148" t="n">
        <x:f>IF(CV78=0,0,'Вводные'!$K$71*'Вводные'!$H$5*INDEX('Вводные'!$S$88:$S$90,$B$64)*INDEX('Вводные'!$AG$88:$AG$90,$B$64)*(1+'Вводные'!$K$74)^MAX(0,MIN((12*(YEAR(CV$3)-YEAR($B$67))+MONTH(CV$3)-MONTH($B$67)),(12*(YEAR($B$66)-YEAR($B$67))+MONTH($B$66)-MONTH($B$67))))*(1+'Вводные'!$K$75)^MAX(0,(12*(YEAR(CV$3)-YEAR($B$66))+MONTH(CV$3)-MONTH($B$66))))</x:f>
        <x:v>0</x:v>
      </x:c>
      <x:c r="CW79" s="148" t="n">
        <x:f>IF(CW78=0,0,'Вводные'!$K$71*'Вводные'!$H$5*INDEX('Вводные'!$S$88:$S$90,$B$64)*INDEX('Вводные'!$AG$88:$AG$90,$B$64)*(1+'Вводные'!$K$74)^MAX(0,MIN((12*(YEAR(CW$3)-YEAR($B$67))+MONTH(CW$3)-MONTH($B$67)),(12*(YEAR($B$66)-YEAR($B$67))+MONTH($B$66)-MONTH($B$67))))*(1+'Вводные'!$K$75)^MAX(0,(12*(YEAR(CW$3)-YEAR($B$66))+MONTH(CW$3)-MONTH($B$66))))</x:f>
        <x:v>0</x:v>
      </x:c>
      <x:c r="CX79" s="148" t="n">
        <x:f>IF(CX78=0,0,'Вводные'!$K$71*'Вводные'!$H$5*INDEX('Вводные'!$S$88:$S$90,$B$64)*INDEX('Вводные'!$AG$88:$AG$90,$B$64)*(1+'Вводные'!$K$74)^MAX(0,MIN((12*(YEAR(CX$3)-YEAR($B$67))+MONTH(CX$3)-MONTH($B$67)),(12*(YEAR($B$66)-YEAR($B$67))+MONTH($B$66)-MONTH($B$67))))*(1+'Вводные'!$K$75)^MAX(0,(12*(YEAR(CX$3)-YEAR($B$66))+MONTH(CX$3)-MONTH($B$66))))</x:f>
        <x:v>0</x:v>
      </x:c>
      <x:c r="CY79" s="148" t="n">
        <x:f>IF(CY78=0,0,'Вводные'!$K$71*'Вводные'!$H$5*INDEX('Вводные'!$S$88:$S$90,$B$64)*INDEX('Вводные'!$AG$88:$AG$90,$B$64)*(1+'Вводные'!$K$74)^MAX(0,MIN((12*(YEAR(CY$3)-YEAR($B$67))+MONTH(CY$3)-MONTH($B$67)),(12*(YEAR($B$66)-YEAR($B$67))+MONTH($B$66)-MONTH($B$67))))*(1+'Вводные'!$K$75)^MAX(0,(12*(YEAR(CY$3)-YEAR($B$66))+MONTH(CY$3)-MONTH($B$66))))</x:f>
        <x:v>0</x:v>
      </x:c>
      <x:c r="CZ79" s="148" t="n">
        <x:f>IF(CZ78=0,0,'Вводные'!$K$71*'Вводные'!$H$5*INDEX('Вводные'!$S$88:$S$90,$B$64)*INDEX('Вводные'!$AG$88:$AG$90,$B$64)*(1+'Вводные'!$K$74)^MAX(0,MIN((12*(YEAR(CZ$3)-YEAR($B$67))+MONTH(CZ$3)-MONTH($B$67)),(12*(YEAR($B$66)-YEAR($B$67))+MONTH($B$66)-MONTH($B$67))))*(1+'Вводные'!$K$75)^MAX(0,(12*(YEAR(CZ$3)-YEAR($B$66))+MONTH(CZ$3)-MONTH($B$66))))</x:f>
        <x:v>0</x:v>
      </x:c>
      <x:c r="DA79" s="148" t="n">
        <x:f>IF(DA78=0,0,'Вводные'!$K$71*'Вводные'!$H$5*INDEX('Вводные'!$S$88:$S$90,$B$64)*INDEX('Вводные'!$AG$88:$AG$90,$B$64)*(1+'Вводные'!$K$74)^MAX(0,MIN((12*(YEAR(DA$3)-YEAR($B$67))+MONTH(DA$3)-MONTH($B$67)),(12*(YEAR($B$66)-YEAR($B$67))+MONTH($B$66)-MONTH($B$67))))*(1+'Вводные'!$K$75)^MAX(0,(12*(YEAR(DA$3)-YEAR($B$66))+MONTH(DA$3)-MONTH($B$66))))</x:f>
        <x:v>0</x:v>
      </x:c>
      <x:c r="DB79" s="148" t="n">
        <x:f>IF(DB78=0,0,'Вводные'!$K$71*'Вводные'!$H$5*INDEX('Вводные'!$S$88:$S$90,$B$64)*INDEX('Вводные'!$AG$88:$AG$90,$B$64)*(1+'Вводные'!$K$74)^MAX(0,MIN((12*(YEAR(DB$3)-YEAR($B$67))+MONTH(DB$3)-MONTH($B$67)),(12*(YEAR($B$66)-YEAR($B$67))+MONTH($B$66)-MONTH($B$67))))*(1+'Вводные'!$K$75)^MAX(0,(12*(YEAR(DB$3)-YEAR($B$66))+MONTH(DB$3)-MONTH($B$66))))</x:f>
        <x:v>0</x:v>
      </x:c>
      <x:c r="DC79" s="148" t="n">
        <x:f>IF(DC78=0,0,'Вводные'!$K$71*'Вводные'!$H$5*INDEX('Вводные'!$S$88:$S$90,$B$64)*INDEX('Вводные'!$AG$88:$AG$90,$B$64)*(1+'Вводные'!$K$74)^MAX(0,MIN((12*(YEAR(DC$3)-YEAR($B$67))+MONTH(DC$3)-MONTH($B$67)),(12*(YEAR($B$66)-YEAR($B$67))+MONTH($B$66)-MONTH($B$67))))*(1+'Вводные'!$K$75)^MAX(0,(12*(YEAR(DC$3)-YEAR($B$66))+MONTH(DC$3)-MONTH($B$66))))</x:f>
        <x:v>0</x:v>
      </x:c>
      <x:c r="DD79" s="148" t="n">
        <x:f>IF(DD78=0,0,'Вводные'!$K$71*'Вводные'!$H$5*INDEX('Вводные'!$S$88:$S$90,$B$64)*INDEX('Вводные'!$AG$88:$AG$90,$B$64)*(1+'Вводные'!$K$74)^MAX(0,MIN((12*(YEAR(DD$3)-YEAR($B$67))+MONTH(DD$3)-MONTH($B$67)),(12*(YEAR($B$66)-YEAR($B$67))+MONTH($B$66)-MONTH($B$67))))*(1+'Вводные'!$K$75)^MAX(0,(12*(YEAR(DD$3)-YEAR($B$66))+MONTH(DD$3)-MONTH($B$66))))</x:f>
        <x:v>0</x:v>
      </x:c>
      <x:c r="DE79" s="148" t="n">
        <x:f>IF(DE78=0,0,'Вводные'!$K$71*'Вводные'!$H$5*INDEX('Вводные'!$S$88:$S$90,$B$64)*INDEX('Вводные'!$AG$88:$AG$90,$B$64)*(1+'Вводные'!$K$74)^MAX(0,MIN((12*(YEAR(DE$3)-YEAR($B$67))+MONTH(DE$3)-MONTH($B$67)),(12*(YEAR($B$66)-YEAR($B$67))+MONTH($B$66)-MONTH($B$67))))*(1+'Вводные'!$K$75)^MAX(0,(12*(YEAR(DE$3)-YEAR($B$66))+MONTH(DE$3)-MONTH($B$66))))</x:f>
        <x:v>0</x:v>
      </x:c>
      <x:c r="DF79" s="148" t="n">
        <x:f>IF(DF78=0,0,'Вводные'!$K$71*'Вводные'!$H$5*INDEX('Вводные'!$S$88:$S$90,$B$64)*INDEX('Вводные'!$AG$88:$AG$90,$B$64)*(1+'Вводные'!$K$74)^MAX(0,MIN((12*(YEAR(DF$3)-YEAR($B$67))+MONTH(DF$3)-MONTH($B$67)),(12*(YEAR($B$66)-YEAR($B$67))+MONTH($B$66)-MONTH($B$67))))*(1+'Вводные'!$K$75)^MAX(0,(12*(YEAR(DF$3)-YEAR($B$66))+MONTH(DF$3)-MONTH($B$66))))</x:f>
        <x:v>0</x:v>
      </x:c>
      <x:c r="DG79" s="148" t="n">
        <x:f>IF(DG78=0,0,'Вводные'!$K$71*'Вводные'!$H$5*INDEX('Вводные'!$S$88:$S$90,$B$64)*INDEX('Вводные'!$AG$88:$AG$90,$B$64)*(1+'Вводные'!$K$74)^MAX(0,MIN((12*(YEAR(DG$3)-YEAR($B$67))+MONTH(DG$3)-MONTH($B$67)),(12*(YEAR($B$66)-YEAR($B$67))+MONTH($B$66)-MONTH($B$67))))*(1+'Вводные'!$K$75)^MAX(0,(12*(YEAR(DG$3)-YEAR($B$66))+MONTH(DG$3)-MONTH($B$66))))</x:f>
        <x:v>0</x:v>
      </x:c>
      <x:c r="DH79" s="148" t="n">
        <x:f>IF(DH78=0,0,'Вводные'!$K$71*'Вводные'!$H$5*INDEX('Вводные'!$S$88:$S$90,$B$64)*INDEX('Вводные'!$AG$88:$AG$90,$B$64)*(1+'Вводные'!$K$74)^MAX(0,MIN((12*(YEAR(DH$3)-YEAR($B$67))+MONTH(DH$3)-MONTH($B$67)),(12*(YEAR($B$66)-YEAR($B$67))+MONTH($B$66)-MONTH($B$67))))*(1+'Вводные'!$K$75)^MAX(0,(12*(YEAR(DH$3)-YEAR($B$66))+MONTH(DH$3)-MONTH($B$66))))</x:f>
        <x:v>0</x:v>
      </x:c>
      <x:c r="DI79" s="148" t="n">
        <x:f>IF(DI78=0,0,'Вводные'!$K$71*'Вводные'!$H$5*INDEX('Вводные'!$S$88:$S$90,$B$64)*INDEX('Вводные'!$AG$88:$AG$90,$B$64)*(1+'Вводные'!$K$74)^MAX(0,MIN((12*(YEAR(DI$3)-YEAR($B$67))+MONTH(DI$3)-MONTH($B$67)),(12*(YEAR($B$66)-YEAR($B$67))+MONTH($B$66)-MONTH($B$67))))*(1+'Вводные'!$K$75)^MAX(0,(12*(YEAR(DI$3)-YEAR($B$66))+MONTH(DI$3)-MONTH($B$66))))</x:f>
        <x:v>0</x:v>
      </x:c>
      <x:c r="DJ79" s="148" t="n">
        <x:f>IF(DJ78=0,0,'Вводные'!$K$71*'Вводные'!$H$5*INDEX('Вводные'!$S$88:$S$90,$B$64)*INDEX('Вводные'!$AG$88:$AG$90,$B$64)*(1+'Вводные'!$K$74)^MAX(0,MIN((12*(YEAR(DJ$3)-YEAR($B$67))+MONTH(DJ$3)-MONTH($B$67)),(12*(YEAR($B$66)-YEAR($B$67))+MONTH($B$66)-MONTH($B$67))))*(1+'Вводные'!$K$75)^MAX(0,(12*(YEAR(DJ$3)-YEAR($B$66))+MONTH(DJ$3)-MONTH($B$66))))</x:f>
        <x:v>0</x:v>
      </x:c>
      <x:c r="DK79" s="148" t="n">
        <x:f>IF(DK78=0,0,'Вводные'!$K$71*'Вводные'!$H$5*INDEX('Вводные'!$S$88:$S$90,$B$64)*INDEX('Вводные'!$AG$88:$AG$90,$B$64)*(1+'Вводные'!$K$74)^MAX(0,MIN((12*(YEAR(DK$3)-YEAR($B$67))+MONTH(DK$3)-MONTH($B$67)),(12*(YEAR($B$66)-YEAR($B$67))+MONTH($B$66)-MONTH($B$67))))*(1+'Вводные'!$K$75)^MAX(0,(12*(YEAR(DK$3)-YEAR($B$66))+MONTH(DK$3)-MONTH($B$66))))</x:f>
        <x:v>0</x:v>
      </x:c>
      <x:c r="DL79" s="148" t="n">
        <x:f>IF(DL78=0,0,'Вводные'!$K$71*'Вводные'!$H$5*INDEX('Вводные'!$S$88:$S$90,$B$64)*INDEX('Вводные'!$AG$88:$AG$90,$B$64)*(1+'Вводные'!$K$74)^MAX(0,MIN((12*(YEAR(DL$3)-YEAR($B$67))+MONTH(DL$3)-MONTH($B$67)),(12*(YEAR($B$66)-YEAR($B$67))+MONTH($B$66)-MONTH($B$67))))*(1+'Вводные'!$K$75)^MAX(0,(12*(YEAR(DL$3)-YEAR($B$66))+MONTH(DL$3)-MONTH($B$66))))</x:f>
        <x:v>0</x:v>
      </x:c>
      <x:c r="DM79" s="148" t="n">
        <x:f>IF(DM78=0,0,'Вводные'!$K$71*'Вводные'!$H$5*INDEX('Вводные'!$S$88:$S$90,$B$64)*INDEX('Вводные'!$AG$88:$AG$90,$B$64)*(1+'Вводные'!$K$74)^MAX(0,MIN((12*(YEAR(DM$3)-YEAR($B$67))+MONTH(DM$3)-MONTH($B$67)),(12*(YEAR($B$66)-YEAR($B$67))+MONTH($B$66)-MONTH($B$67))))*(1+'Вводные'!$K$75)^MAX(0,(12*(YEAR(DM$3)-YEAR($B$66))+MONTH(DM$3)-MONTH($B$66))))</x:f>
        <x:v>0</x:v>
      </x:c>
      <x:c r="DN79" s="148" t="n">
        <x:f>IF(DN78=0,0,'Вводные'!$K$71*'Вводные'!$H$5*INDEX('Вводные'!$S$88:$S$90,$B$64)*INDEX('Вводные'!$AG$88:$AG$90,$B$64)*(1+'Вводные'!$K$74)^MAX(0,MIN((12*(YEAR(DN$3)-YEAR($B$67))+MONTH(DN$3)-MONTH($B$67)),(12*(YEAR($B$66)-YEAR($B$67))+MONTH($B$66)-MONTH($B$67))))*(1+'Вводные'!$K$75)^MAX(0,(12*(YEAR(DN$3)-YEAR($B$66))+MONTH(DN$3)-MONTH($B$66))))</x:f>
        <x:v>0</x:v>
      </x:c>
      <x:c r="DO79" s="148" t="n">
        <x:f>IF(DO78=0,0,'Вводные'!$K$71*'Вводные'!$H$5*INDEX('Вводные'!$S$88:$S$90,$B$64)*INDEX('Вводные'!$AG$88:$AG$90,$B$64)*(1+'Вводные'!$K$74)^MAX(0,MIN((12*(YEAR(DO$3)-YEAR($B$67))+MONTH(DO$3)-MONTH($B$67)),(12*(YEAR($B$66)-YEAR($B$67))+MONTH($B$66)-MONTH($B$67))))*(1+'Вводные'!$K$75)^MAX(0,(12*(YEAR(DO$3)-YEAR($B$66))+MONTH(DO$3)-MONTH($B$66))))</x:f>
        <x:v>0</x:v>
      </x:c>
      <x:c r="DP79" s="148" t="n">
        <x:f>IF(DP78=0,0,'Вводные'!$K$71*'Вводные'!$H$5*INDEX('Вводные'!$S$88:$S$90,$B$64)*INDEX('Вводные'!$AG$88:$AG$90,$B$64)*(1+'Вводные'!$K$74)^MAX(0,MIN((12*(YEAR(DP$3)-YEAR($B$67))+MONTH(DP$3)-MONTH($B$67)),(12*(YEAR($B$66)-YEAR($B$67))+MONTH($B$66)-MONTH($B$67))))*(1+'Вводные'!$K$75)^MAX(0,(12*(YEAR(DP$3)-YEAR($B$66))+MONTH(DP$3)-MONTH($B$66))))</x:f>
        <x:v>0</x:v>
      </x:c>
      <x:c r="DQ79" s="148" t="n">
        <x:f>IF(DQ78=0,0,'Вводные'!$K$71*'Вводные'!$H$5*INDEX('Вводные'!$S$88:$S$90,$B$64)*INDEX('Вводные'!$AG$88:$AG$90,$B$64)*(1+'Вводные'!$K$74)^MAX(0,MIN((12*(YEAR(DQ$3)-YEAR($B$67))+MONTH(DQ$3)-MONTH($B$67)),(12*(YEAR($B$66)-YEAR($B$67))+MONTH($B$66)-MONTH($B$67))))*(1+'Вводные'!$K$75)^MAX(0,(12*(YEAR(DQ$3)-YEAR($B$66))+MONTH(DQ$3)-MONTH($B$66))))</x:f>
        <x:v>0</x:v>
      </x:c>
      <x:c r="DR79" s="148" t="n">
        <x:f>IF(DR78=0,0,'Вводные'!$K$71*'Вводные'!$H$5*INDEX('Вводные'!$S$88:$S$90,$B$64)*INDEX('Вводные'!$AG$88:$AG$90,$B$64)*(1+'Вводные'!$K$74)^MAX(0,MIN((12*(YEAR(DR$3)-YEAR($B$67))+MONTH(DR$3)-MONTH($B$67)),(12*(YEAR($B$66)-YEAR($B$67))+MONTH($B$66)-MONTH($B$67))))*(1+'Вводные'!$K$75)^MAX(0,(12*(YEAR(DR$3)-YEAR($B$66))+MONTH(DR$3)-MONTH($B$66))))</x:f>
        <x:v>0</x:v>
      </x:c>
      <x:c r="DS79" s="148" t="n">
        <x:f>IF(DS78=0,0,'Вводные'!$K$71*'Вводные'!$H$5*INDEX('Вводные'!$S$88:$S$90,$B$64)*INDEX('Вводные'!$AG$88:$AG$90,$B$64)*(1+'Вводные'!$K$74)^MAX(0,MIN((12*(YEAR(DS$3)-YEAR($B$67))+MONTH(DS$3)-MONTH($B$67)),(12*(YEAR($B$66)-YEAR($B$67))+MONTH($B$66)-MONTH($B$67))))*(1+'Вводные'!$K$75)^MAX(0,(12*(YEAR(DS$3)-YEAR($B$66))+MONTH(DS$3)-MONTH($B$66))))</x:f>
        <x:v>0</x:v>
      </x:c>
    </x:row>
    <x:row r="80">
      <x:c r="A80" t="str">
        <x:v>Продажи по договорам</x:v>
      </x:c>
      <x:c r="B80" s="107" t="n">
        <x:f>SUM(D80:DS80)</x:f>
        <x:v>0</x:v>
      </x:c>
      <x:c r="C80" t="str">
        <x:v>млн ₽</x:v>
      </x:c>
      <x:c r="D80" s="107" t="n">
        <x:f>D78*D79</x:f>
        <x:v>0</x:v>
      </x:c>
      <x:c r="E80" s="107" t="n">
        <x:f>E78*E79</x:f>
        <x:v>0</x:v>
      </x:c>
      <x:c r="F80" s="107" t="n">
        <x:f>F78*F79</x:f>
        <x:v>0</x:v>
      </x:c>
      <x:c r="G80" s="107" t="n">
        <x:f>G78*G79</x:f>
        <x:v>0</x:v>
      </x:c>
      <x:c r="H80" s="107" t="n">
        <x:f>H78*H79</x:f>
        <x:v>0</x:v>
      </x:c>
      <x:c r="I80" s="107" t="n">
        <x:f>I78*I79</x:f>
        <x:v>0</x:v>
      </x:c>
      <x:c r="J80" s="107" t="n">
        <x:f>J78*J79</x:f>
        <x:v>0</x:v>
      </x:c>
      <x:c r="K80" s="107" t="n">
        <x:f>K78*K79</x:f>
        <x:v>0</x:v>
      </x:c>
      <x:c r="L80" s="107" t="n">
        <x:f>L78*L79</x:f>
        <x:v>0</x:v>
      </x:c>
      <x:c r="M80" s="107" t="n">
        <x:f>M78*M79</x:f>
        <x:v>0</x:v>
      </x:c>
      <x:c r="N80" s="107" t="n">
        <x:f>N78*N79</x:f>
        <x:v>0</x:v>
      </x:c>
      <x:c r="O80" s="107" t="n">
        <x:f>O78*O79</x:f>
        <x:v>0</x:v>
      </x:c>
      <x:c r="P80" s="107" t="n">
        <x:f>P78*P79</x:f>
        <x:v>0</x:v>
      </x:c>
      <x:c r="Q80" s="107" t="n">
        <x:f>Q78*Q79</x:f>
        <x:v>0</x:v>
      </x:c>
      <x:c r="R80" s="107" t="n">
        <x:f>R78*R79</x:f>
        <x:v>0</x:v>
      </x:c>
      <x:c r="S80" s="107" t="n">
        <x:f>S78*S79</x:f>
        <x:v>0</x:v>
      </x:c>
      <x:c r="T80" s="107" t="n">
        <x:f>T78*T79</x:f>
        <x:v>0</x:v>
      </x:c>
      <x:c r="U80" s="107" t="n">
        <x:f>U78*U79</x:f>
        <x:v>0</x:v>
      </x:c>
      <x:c r="V80" s="107" t="n">
        <x:f>V78*V79</x:f>
        <x:v>0</x:v>
      </x:c>
      <x:c r="W80" s="107" t="n">
        <x:f>W78*W79</x:f>
        <x:v>0</x:v>
      </x:c>
      <x:c r="X80" s="107" t="n">
        <x:f>X78*X79</x:f>
        <x:v>0</x:v>
      </x:c>
      <x:c r="Y80" s="107" t="n">
        <x:f>Y78*Y79</x:f>
        <x:v>0</x:v>
      </x:c>
      <x:c r="Z80" s="107" t="n">
        <x:f>Z78*Z79</x:f>
        <x:v>0</x:v>
      </x:c>
      <x:c r="AA80" s="107" t="n">
        <x:f>AA78*AA79</x:f>
        <x:v>0</x:v>
      </x:c>
      <x:c r="AB80" s="107" t="n">
        <x:f>AB78*AB79</x:f>
        <x:v>0</x:v>
      </x:c>
      <x:c r="AC80" s="107" t="n">
        <x:f>AC78*AC79</x:f>
        <x:v>0</x:v>
      </x:c>
      <x:c r="AD80" s="107" t="n">
        <x:f>AD78*AD79</x:f>
        <x:v>0</x:v>
      </x:c>
      <x:c r="AE80" s="107" t="n">
        <x:f>AE78*AE79</x:f>
        <x:v>0</x:v>
      </x:c>
      <x:c r="AF80" s="107" t="n">
        <x:f>AF78*AF79</x:f>
        <x:v>0</x:v>
      </x:c>
      <x:c r="AG80" s="107" t="n">
        <x:f>AG78*AG79</x:f>
        <x:v>0</x:v>
      </x:c>
      <x:c r="AH80" s="107" t="n">
        <x:f>AH78*AH79</x:f>
        <x:v>0</x:v>
      </x:c>
      <x:c r="AI80" s="107" t="n">
        <x:f>AI78*AI79</x:f>
        <x:v>0</x:v>
      </x:c>
      <x:c r="AJ80" s="107" t="n">
        <x:f>AJ78*AJ79</x:f>
        <x:v>0</x:v>
      </x:c>
      <x:c r="AK80" s="107" t="n">
        <x:f>AK78*AK79</x:f>
        <x:v>0</x:v>
      </x:c>
      <x:c r="AL80" s="107" t="n">
        <x:f>AL78*AL79</x:f>
        <x:v>0</x:v>
      </x:c>
      <x:c r="AM80" s="107" t="n">
        <x:f>AM78*AM79</x:f>
        <x:v>0</x:v>
      </x:c>
      <x:c r="AN80" s="107" t="n">
        <x:f>AN78*AN79</x:f>
        <x:v>0</x:v>
      </x:c>
      <x:c r="AO80" s="107" t="n">
        <x:f>AO78*AO79</x:f>
        <x:v>0</x:v>
      </x:c>
      <x:c r="AP80" s="107" t="n">
        <x:f>AP78*AP79</x:f>
        <x:v>0</x:v>
      </x:c>
      <x:c r="AQ80" s="107" t="n">
        <x:f>AQ78*AQ79</x:f>
        <x:v>0</x:v>
      </x:c>
      <x:c r="AR80" s="107" t="n">
        <x:f>AR78*AR79</x:f>
        <x:v>0</x:v>
      </x:c>
      <x:c r="AS80" s="107" t="n">
        <x:f>AS78*AS79</x:f>
        <x:v>0</x:v>
      </x:c>
      <x:c r="AT80" s="107" t="n">
        <x:f>AT78*AT79</x:f>
        <x:v>0</x:v>
      </x:c>
      <x:c r="AU80" s="107" t="n">
        <x:f>AU78*AU79</x:f>
        <x:v>0</x:v>
      </x:c>
      <x:c r="AV80" s="107" t="n">
        <x:f>AV78*AV79</x:f>
        <x:v>0</x:v>
      </x:c>
      <x:c r="AW80" s="107" t="n">
        <x:f>AW78*AW79</x:f>
        <x:v>0</x:v>
      </x:c>
      <x:c r="AX80" s="107" t="n">
        <x:f>AX78*AX79</x:f>
        <x:v>0</x:v>
      </x:c>
      <x:c r="AY80" s="107" t="n">
        <x:f>AY78*AY79</x:f>
        <x:v>0</x:v>
      </x:c>
      <x:c r="AZ80" s="107" t="n">
        <x:f>AZ78*AZ79</x:f>
        <x:v>0</x:v>
      </x:c>
      <x:c r="BA80" s="107" t="n">
        <x:f>BA78*BA79</x:f>
        <x:v>0</x:v>
      </x:c>
      <x:c r="BB80" s="107" t="n">
        <x:f>BB78*BB79</x:f>
        <x:v>0</x:v>
      </x:c>
      <x:c r="BC80" s="107" t="n">
        <x:f>BC78*BC79</x:f>
        <x:v>0</x:v>
      </x:c>
      <x:c r="BD80" s="107" t="n">
        <x:f>BD78*BD79</x:f>
        <x:v>0</x:v>
      </x:c>
      <x:c r="BE80" s="107" t="n">
        <x:f>BE78*BE79</x:f>
        <x:v>0</x:v>
      </x:c>
      <x:c r="BF80" s="107" t="n">
        <x:f>BF78*BF79</x:f>
        <x:v>0</x:v>
      </x:c>
      <x:c r="BG80" s="107" t="n">
        <x:f>BG78*BG79</x:f>
        <x:v>0</x:v>
      </x:c>
      <x:c r="BH80" s="107" t="n">
        <x:f>BH78*BH79</x:f>
        <x:v>0</x:v>
      </x:c>
      <x:c r="BI80" s="107" t="n">
        <x:f>BI78*BI79</x:f>
        <x:v>0</x:v>
      </x:c>
      <x:c r="BJ80" s="107" t="n">
        <x:f>BJ78*BJ79</x:f>
        <x:v>0</x:v>
      </x:c>
      <x:c r="BK80" s="107" t="n">
        <x:f>BK78*BK79</x:f>
        <x:v>0</x:v>
      </x:c>
      <x:c r="BL80" s="107" t="n">
        <x:f>BL78*BL79</x:f>
        <x:v>0</x:v>
      </x:c>
      <x:c r="BM80" s="107" t="n">
        <x:f>BM78*BM79</x:f>
        <x:v>0</x:v>
      </x:c>
      <x:c r="BN80" s="107" t="n">
        <x:f>BN78*BN79</x:f>
        <x:v>0</x:v>
      </x:c>
      <x:c r="BO80" s="107" t="n">
        <x:f>BO78*BO79</x:f>
        <x:v>0</x:v>
      </x:c>
      <x:c r="BP80" s="107" t="n">
        <x:f>BP78*BP79</x:f>
        <x:v>0</x:v>
      </x:c>
      <x:c r="BQ80" s="107" t="n">
        <x:f>BQ78*BQ79</x:f>
        <x:v>0</x:v>
      </x:c>
      <x:c r="BR80" s="107" t="n">
        <x:f>BR78*BR79</x:f>
        <x:v>0</x:v>
      </x:c>
      <x:c r="BS80" s="107" t="n">
        <x:f>BS78*BS79</x:f>
        <x:v>0</x:v>
      </x:c>
      <x:c r="BT80" s="107" t="n">
        <x:f>BT78*BT79</x:f>
        <x:v>0</x:v>
      </x:c>
      <x:c r="BU80" s="107" t="n">
        <x:f>BU78*BU79</x:f>
        <x:v>0</x:v>
      </x:c>
      <x:c r="BV80" s="107" t="n">
        <x:f>BV78*BV79</x:f>
        <x:v>0</x:v>
      </x:c>
      <x:c r="BW80" s="107" t="n">
        <x:f>BW78*BW79</x:f>
        <x:v>0</x:v>
      </x:c>
      <x:c r="BX80" s="107" t="n">
        <x:f>BX78*BX79</x:f>
        <x:v>0</x:v>
      </x:c>
      <x:c r="BY80" s="107" t="n">
        <x:f>BY78*BY79</x:f>
        <x:v>0</x:v>
      </x:c>
      <x:c r="BZ80" s="107" t="n">
        <x:f>BZ78*BZ79</x:f>
        <x:v>0</x:v>
      </x:c>
      <x:c r="CA80" s="107" t="n">
        <x:f>CA78*CA79</x:f>
        <x:v>0</x:v>
      </x:c>
      <x:c r="CB80" s="107" t="n">
        <x:f>CB78*CB79</x:f>
        <x:v>0</x:v>
      </x:c>
      <x:c r="CC80" s="107" t="n">
        <x:f>CC78*CC79</x:f>
        <x:v>0</x:v>
      </x:c>
      <x:c r="CD80" s="107" t="n">
        <x:f>CD78*CD79</x:f>
        <x:v>0</x:v>
      </x:c>
      <x:c r="CE80" s="107" t="n">
        <x:f>CE78*CE79</x:f>
        <x:v>0</x:v>
      </x:c>
      <x:c r="CF80" s="107" t="n">
        <x:f>CF78*CF79</x:f>
        <x:v>0</x:v>
      </x:c>
      <x:c r="CG80" s="107" t="n">
        <x:f>CG78*CG79</x:f>
        <x:v>0</x:v>
      </x:c>
      <x:c r="CH80" s="107" t="n">
        <x:f>CH78*CH79</x:f>
        <x:v>0</x:v>
      </x:c>
      <x:c r="CI80" s="107" t="n">
        <x:f>CI78*CI79</x:f>
        <x:v>0</x:v>
      </x:c>
      <x:c r="CJ80" s="107" t="n">
        <x:f>CJ78*CJ79</x:f>
        <x:v>0</x:v>
      </x:c>
      <x:c r="CK80" s="107" t="n">
        <x:f>CK78*CK79</x:f>
        <x:v>0</x:v>
      </x:c>
      <x:c r="CL80" s="107" t="n">
        <x:f>CL78*CL79</x:f>
        <x:v>0</x:v>
      </x:c>
      <x:c r="CM80" s="107" t="n">
        <x:f>CM78*CM79</x:f>
        <x:v>0</x:v>
      </x:c>
      <x:c r="CN80" s="107" t="n">
        <x:f>CN78*CN79</x:f>
        <x:v>0</x:v>
      </x:c>
      <x:c r="CO80" s="107" t="n">
        <x:f>CO78*CO79</x:f>
        <x:v>0</x:v>
      </x:c>
      <x:c r="CP80" s="107" t="n">
        <x:f>CP78*CP79</x:f>
        <x:v>0</x:v>
      </x:c>
      <x:c r="CQ80" s="107" t="n">
        <x:f>CQ78*CQ79</x:f>
        <x:v>0</x:v>
      </x:c>
      <x:c r="CR80" s="107" t="n">
        <x:f>CR78*CR79</x:f>
        <x:v>0</x:v>
      </x:c>
      <x:c r="CS80" s="107" t="n">
        <x:f>CS78*CS79</x:f>
        <x:v>0</x:v>
      </x:c>
      <x:c r="CT80" s="107" t="n">
        <x:f>CT78*CT79</x:f>
        <x:v>0</x:v>
      </x:c>
      <x:c r="CU80" s="107" t="n">
        <x:f>CU78*CU79</x:f>
        <x:v>0</x:v>
      </x:c>
      <x:c r="CV80" s="107" t="n">
        <x:f>CV78*CV79</x:f>
        <x:v>0</x:v>
      </x:c>
      <x:c r="CW80" s="107" t="n">
        <x:f>CW78*CW79</x:f>
        <x:v>0</x:v>
      </x:c>
      <x:c r="CX80" s="107" t="n">
        <x:f>CX78*CX79</x:f>
        <x:v>0</x:v>
      </x:c>
      <x:c r="CY80" s="107" t="n">
        <x:f>CY78*CY79</x:f>
        <x:v>0</x:v>
      </x:c>
      <x:c r="CZ80" s="107" t="n">
        <x:f>CZ78*CZ79</x:f>
        <x:v>0</x:v>
      </x:c>
      <x:c r="DA80" s="107" t="n">
        <x:f>DA78*DA79</x:f>
        <x:v>0</x:v>
      </x:c>
      <x:c r="DB80" s="107" t="n">
        <x:f>DB78*DB79</x:f>
        <x:v>0</x:v>
      </x:c>
      <x:c r="DC80" s="107" t="n">
        <x:f>DC78*DC79</x:f>
        <x:v>0</x:v>
      </x:c>
      <x:c r="DD80" s="107" t="n">
        <x:f>DD78*DD79</x:f>
        <x:v>0</x:v>
      </x:c>
      <x:c r="DE80" s="107" t="n">
        <x:f>DE78*DE79</x:f>
        <x:v>0</x:v>
      </x:c>
      <x:c r="DF80" s="107" t="n">
        <x:f>DF78*DF79</x:f>
        <x:v>0</x:v>
      </x:c>
      <x:c r="DG80" s="107" t="n">
        <x:f>DG78*DG79</x:f>
        <x:v>0</x:v>
      </x:c>
      <x:c r="DH80" s="107" t="n">
        <x:f>DH78*DH79</x:f>
        <x:v>0</x:v>
      </x:c>
      <x:c r="DI80" s="107" t="n">
        <x:f>DI78*DI79</x:f>
        <x:v>0</x:v>
      </x:c>
      <x:c r="DJ80" s="107" t="n">
        <x:f>DJ78*DJ79</x:f>
        <x:v>0</x:v>
      </x:c>
      <x:c r="DK80" s="107" t="n">
        <x:f>DK78*DK79</x:f>
        <x:v>0</x:v>
      </x:c>
      <x:c r="DL80" s="107" t="n">
        <x:f>DL78*DL79</x:f>
        <x:v>0</x:v>
      </x:c>
      <x:c r="DM80" s="107" t="n">
        <x:f>DM78*DM79</x:f>
        <x:v>0</x:v>
      </x:c>
      <x:c r="DN80" s="107" t="n">
        <x:f>DN78*DN79</x:f>
        <x:v>0</x:v>
      </x:c>
      <x:c r="DO80" s="107" t="n">
        <x:f>DO78*DO79</x:f>
        <x:v>0</x:v>
      </x:c>
      <x:c r="DP80" s="107" t="n">
        <x:f>DP78*DP79</x:f>
        <x:v>0</x:v>
      </x:c>
      <x:c r="DQ80" s="107" t="n">
        <x:f>DQ78*DQ79</x:f>
        <x:v>0</x:v>
      </x:c>
      <x:c r="DR80" s="107" t="n">
        <x:f>DR78*DR79</x:f>
        <x:v>0</x:v>
      </x:c>
      <x:c r="DS80" s="107" t="n">
        <x:f>DS78*DS79</x:f>
        <x:v>0</x:v>
      </x:c>
    </x:row>
    <x:row r="81">
      <x:c r="A81" t="str">
        <x:v>Поступления на эскроу</x:v>
      </x:c>
      <x:c r="B81" s="107" t="n">
        <x:f>SUM(D81:DS81)</x:f>
        <x:v>0</x:v>
      </x:c>
      <x:c r="C81" t="str">
        <x:v>млн ₽</x:v>
      </x:c>
      <x:c r="D81" s="107" t="n">
        <x:f>IF(D$3&lt;$B$66,D80,0)</x:f>
        <x:v>0</x:v>
      </x:c>
      <x:c r="E81" s="107" t="n">
        <x:f>IF(E$3&lt;$B$66,E80,0)</x:f>
        <x:v>0</x:v>
      </x:c>
      <x:c r="F81" s="107" t="n">
        <x:f>IF(F$3&lt;$B$66,F80,0)</x:f>
        <x:v>0</x:v>
      </x:c>
      <x:c r="G81" s="107" t="n">
        <x:f>IF(G$3&lt;$B$66,G80,0)</x:f>
        <x:v>0</x:v>
      </x:c>
      <x:c r="H81" s="107" t="n">
        <x:f>IF(H$3&lt;$B$66,H80,0)</x:f>
        <x:v>0</x:v>
      </x:c>
      <x:c r="I81" s="107" t="n">
        <x:f>IF(I$3&lt;$B$66,I80,0)</x:f>
        <x:v>0</x:v>
      </x:c>
      <x:c r="J81" s="107" t="n">
        <x:f>IF(J$3&lt;$B$66,J80,0)</x:f>
        <x:v>0</x:v>
      </x:c>
      <x:c r="K81" s="107" t="n">
        <x:f>IF(K$3&lt;$B$66,K80,0)</x:f>
        <x:v>0</x:v>
      </x:c>
      <x:c r="L81" s="107" t="n">
        <x:f>IF(L$3&lt;$B$66,L80,0)</x:f>
        <x:v>0</x:v>
      </x:c>
      <x:c r="M81" s="107" t="n">
        <x:f>IF(M$3&lt;$B$66,M80,0)</x:f>
        <x:v>0</x:v>
      </x:c>
      <x:c r="N81" s="107" t="n">
        <x:f>IF(N$3&lt;$B$66,N80,0)</x:f>
        <x:v>0</x:v>
      </x:c>
      <x:c r="O81" s="107" t="n">
        <x:f>IF(O$3&lt;$B$66,O80,0)</x:f>
        <x:v>0</x:v>
      </x:c>
      <x:c r="P81" s="107" t="n">
        <x:f>IF(P$3&lt;$B$66,P80,0)</x:f>
        <x:v>0</x:v>
      </x:c>
      <x:c r="Q81" s="107" t="n">
        <x:f>IF(Q$3&lt;$B$66,Q80,0)</x:f>
        <x:v>0</x:v>
      </x:c>
      <x:c r="R81" s="107" t="n">
        <x:f>IF(R$3&lt;$B$66,R80,0)</x:f>
        <x:v>0</x:v>
      </x:c>
      <x:c r="S81" s="107" t="n">
        <x:f>IF(S$3&lt;$B$66,S80,0)</x:f>
        <x:v>0</x:v>
      </x:c>
      <x:c r="T81" s="107" t="n">
        <x:f>IF(T$3&lt;$B$66,T80,0)</x:f>
        <x:v>0</x:v>
      </x:c>
      <x:c r="U81" s="107" t="n">
        <x:f>IF(U$3&lt;$B$66,U80,0)</x:f>
        <x:v>0</x:v>
      </x:c>
      <x:c r="V81" s="107" t="n">
        <x:f>IF(V$3&lt;$B$66,V80,0)</x:f>
        <x:v>0</x:v>
      </x:c>
      <x:c r="W81" s="107" t="n">
        <x:f>IF(W$3&lt;$B$66,W80,0)</x:f>
        <x:v>0</x:v>
      </x:c>
      <x:c r="X81" s="107" t="n">
        <x:f>IF(X$3&lt;$B$66,X80,0)</x:f>
        <x:v>0</x:v>
      </x:c>
      <x:c r="Y81" s="107" t="n">
        <x:f>IF(Y$3&lt;$B$66,Y80,0)</x:f>
        <x:v>0</x:v>
      </x:c>
      <x:c r="Z81" s="107" t="n">
        <x:f>IF(Z$3&lt;$B$66,Z80,0)</x:f>
        <x:v>0</x:v>
      </x:c>
      <x:c r="AA81" s="107" t="n">
        <x:f>IF(AA$3&lt;$B$66,AA80,0)</x:f>
        <x:v>0</x:v>
      </x:c>
      <x:c r="AB81" s="107" t="n">
        <x:f>IF(AB$3&lt;$B$66,AB80,0)</x:f>
        <x:v>0</x:v>
      </x:c>
      <x:c r="AC81" s="107" t="n">
        <x:f>IF(AC$3&lt;$B$66,AC80,0)</x:f>
        <x:v>0</x:v>
      </x:c>
      <x:c r="AD81" s="107" t="n">
        <x:f>IF(AD$3&lt;$B$66,AD80,0)</x:f>
        <x:v>0</x:v>
      </x:c>
      <x:c r="AE81" s="107" t="n">
        <x:f>IF(AE$3&lt;$B$66,AE80,0)</x:f>
        <x:v>0</x:v>
      </x:c>
      <x:c r="AF81" s="107" t="n">
        <x:f>IF(AF$3&lt;$B$66,AF80,0)</x:f>
        <x:v>0</x:v>
      </x:c>
      <x:c r="AG81" s="107" t="n">
        <x:f>IF(AG$3&lt;$B$66,AG80,0)</x:f>
        <x:v>0</x:v>
      </x:c>
      <x:c r="AH81" s="107" t="n">
        <x:f>IF(AH$3&lt;$B$66,AH80,0)</x:f>
        <x:v>0</x:v>
      </x:c>
      <x:c r="AI81" s="107" t="n">
        <x:f>IF(AI$3&lt;$B$66,AI80,0)</x:f>
        <x:v>0</x:v>
      </x:c>
      <x:c r="AJ81" s="107" t="n">
        <x:f>IF(AJ$3&lt;$B$66,AJ80,0)</x:f>
        <x:v>0</x:v>
      </x:c>
      <x:c r="AK81" s="107" t="n">
        <x:f>IF(AK$3&lt;$B$66,AK80,0)</x:f>
        <x:v>0</x:v>
      </x:c>
      <x:c r="AL81" s="107" t="n">
        <x:f>IF(AL$3&lt;$B$66,AL80,0)</x:f>
        <x:v>0</x:v>
      </x:c>
      <x:c r="AM81" s="107" t="n">
        <x:f>IF(AM$3&lt;$B$66,AM80,0)</x:f>
        <x:v>0</x:v>
      </x:c>
      <x:c r="AN81" s="107" t="n">
        <x:f>IF(AN$3&lt;$B$66,AN80,0)</x:f>
        <x:v>0</x:v>
      </x:c>
      <x:c r="AO81" s="107" t="n">
        <x:f>IF(AO$3&lt;$B$66,AO80,0)</x:f>
        <x:v>0</x:v>
      </x:c>
      <x:c r="AP81" s="107" t="n">
        <x:f>IF(AP$3&lt;$B$66,AP80,0)</x:f>
        <x:v>0</x:v>
      </x:c>
      <x:c r="AQ81" s="107" t="n">
        <x:f>IF(AQ$3&lt;$B$66,AQ80,0)</x:f>
        <x:v>0</x:v>
      </x:c>
      <x:c r="AR81" s="107" t="n">
        <x:f>IF(AR$3&lt;$B$66,AR80,0)</x:f>
        <x:v>0</x:v>
      </x:c>
      <x:c r="AS81" s="107" t="n">
        <x:f>IF(AS$3&lt;$B$66,AS80,0)</x:f>
        <x:v>0</x:v>
      </x:c>
      <x:c r="AT81" s="107" t="n">
        <x:f>IF(AT$3&lt;$B$66,AT80,0)</x:f>
        <x:v>0</x:v>
      </x:c>
      <x:c r="AU81" s="107" t="n">
        <x:f>IF(AU$3&lt;$B$66,AU80,0)</x:f>
        <x:v>0</x:v>
      </x:c>
      <x:c r="AV81" s="107" t="n">
        <x:f>IF(AV$3&lt;$B$66,AV80,0)</x:f>
        <x:v>0</x:v>
      </x:c>
      <x:c r="AW81" s="107" t="n">
        <x:f>IF(AW$3&lt;$B$66,AW80,0)</x:f>
        <x:v>0</x:v>
      </x:c>
      <x:c r="AX81" s="107" t="n">
        <x:f>IF(AX$3&lt;$B$66,AX80,0)</x:f>
        <x:v>0</x:v>
      </x:c>
      <x:c r="AY81" s="107" t="n">
        <x:f>IF(AY$3&lt;$B$66,AY80,0)</x:f>
        <x:v>0</x:v>
      </x:c>
      <x:c r="AZ81" s="107" t="n">
        <x:f>IF(AZ$3&lt;$B$66,AZ80,0)</x:f>
        <x:v>0</x:v>
      </x:c>
      <x:c r="BA81" s="107" t="n">
        <x:f>IF(BA$3&lt;$B$66,BA80,0)</x:f>
        <x:v>0</x:v>
      </x:c>
      <x:c r="BB81" s="107" t="n">
        <x:f>IF(BB$3&lt;$B$66,BB80,0)</x:f>
        <x:v>0</x:v>
      </x:c>
      <x:c r="BC81" s="107" t="n">
        <x:f>IF(BC$3&lt;$B$66,BC80,0)</x:f>
        <x:v>0</x:v>
      </x:c>
      <x:c r="BD81" s="107" t="n">
        <x:f>IF(BD$3&lt;$B$66,BD80,0)</x:f>
        <x:v>0</x:v>
      </x:c>
      <x:c r="BE81" s="107" t="n">
        <x:f>IF(BE$3&lt;$B$66,BE80,0)</x:f>
        <x:v>0</x:v>
      </x:c>
      <x:c r="BF81" s="107" t="n">
        <x:f>IF(BF$3&lt;$B$66,BF80,0)</x:f>
        <x:v>0</x:v>
      </x:c>
      <x:c r="BG81" s="107" t="n">
        <x:f>IF(BG$3&lt;$B$66,BG80,0)</x:f>
        <x:v>0</x:v>
      </x:c>
      <x:c r="BH81" s="107" t="n">
        <x:f>IF(BH$3&lt;$B$66,BH80,0)</x:f>
        <x:v>0</x:v>
      </x:c>
      <x:c r="BI81" s="107" t="n">
        <x:f>IF(BI$3&lt;$B$66,BI80,0)</x:f>
        <x:v>0</x:v>
      </x:c>
      <x:c r="BJ81" s="107" t="n">
        <x:f>IF(BJ$3&lt;$B$66,BJ80,0)</x:f>
        <x:v>0</x:v>
      </x:c>
      <x:c r="BK81" s="107" t="n">
        <x:f>IF(BK$3&lt;$B$66,BK80,0)</x:f>
        <x:v>0</x:v>
      </x:c>
      <x:c r="BL81" s="107" t="n">
        <x:f>IF(BL$3&lt;$B$66,BL80,0)</x:f>
        <x:v>0</x:v>
      </x:c>
      <x:c r="BM81" s="107" t="n">
        <x:f>IF(BM$3&lt;$B$66,BM80,0)</x:f>
        <x:v>0</x:v>
      </x:c>
      <x:c r="BN81" s="107" t="n">
        <x:f>IF(BN$3&lt;$B$66,BN80,0)</x:f>
        <x:v>0</x:v>
      </x:c>
      <x:c r="BO81" s="107" t="n">
        <x:f>IF(BO$3&lt;$B$66,BO80,0)</x:f>
        <x:v>0</x:v>
      </x:c>
      <x:c r="BP81" s="107" t="n">
        <x:f>IF(BP$3&lt;$B$66,BP80,0)</x:f>
        <x:v>0</x:v>
      </x:c>
      <x:c r="BQ81" s="107" t="n">
        <x:f>IF(BQ$3&lt;$B$66,BQ80,0)</x:f>
        <x:v>0</x:v>
      </x:c>
      <x:c r="BR81" s="107" t="n">
        <x:f>IF(BR$3&lt;$B$66,BR80,0)</x:f>
        <x:v>0</x:v>
      </x:c>
      <x:c r="BS81" s="107" t="n">
        <x:f>IF(BS$3&lt;$B$66,BS80,0)</x:f>
        <x:v>0</x:v>
      </x:c>
      <x:c r="BT81" s="107" t="n">
        <x:f>IF(BT$3&lt;$B$66,BT80,0)</x:f>
        <x:v>0</x:v>
      </x:c>
      <x:c r="BU81" s="107" t="n">
        <x:f>IF(BU$3&lt;$B$66,BU80,0)</x:f>
        <x:v>0</x:v>
      </x:c>
      <x:c r="BV81" s="107" t="n">
        <x:f>IF(BV$3&lt;$B$66,BV80,0)</x:f>
        <x:v>0</x:v>
      </x:c>
      <x:c r="BW81" s="107" t="n">
        <x:f>IF(BW$3&lt;$B$66,BW80,0)</x:f>
        <x:v>0</x:v>
      </x:c>
      <x:c r="BX81" s="107" t="n">
        <x:f>IF(BX$3&lt;$B$66,BX80,0)</x:f>
        <x:v>0</x:v>
      </x:c>
      <x:c r="BY81" s="107" t="n">
        <x:f>IF(BY$3&lt;$B$66,BY80,0)</x:f>
        <x:v>0</x:v>
      </x:c>
      <x:c r="BZ81" s="107" t="n">
        <x:f>IF(BZ$3&lt;$B$66,BZ80,0)</x:f>
        <x:v>0</x:v>
      </x:c>
      <x:c r="CA81" s="107" t="n">
        <x:f>IF(CA$3&lt;$B$66,CA80,0)</x:f>
        <x:v>0</x:v>
      </x:c>
      <x:c r="CB81" s="107" t="n">
        <x:f>IF(CB$3&lt;$B$66,CB80,0)</x:f>
        <x:v>0</x:v>
      </x:c>
      <x:c r="CC81" s="107" t="n">
        <x:f>IF(CC$3&lt;$B$66,CC80,0)</x:f>
        <x:v>0</x:v>
      </x:c>
      <x:c r="CD81" s="107" t="n">
        <x:f>IF(CD$3&lt;$B$66,CD80,0)</x:f>
        <x:v>0</x:v>
      </x:c>
      <x:c r="CE81" s="107" t="n">
        <x:f>IF(CE$3&lt;$B$66,CE80,0)</x:f>
        <x:v>0</x:v>
      </x:c>
      <x:c r="CF81" s="107" t="n">
        <x:f>IF(CF$3&lt;$B$66,CF80,0)</x:f>
        <x:v>0</x:v>
      </x:c>
      <x:c r="CG81" s="107" t="n">
        <x:f>IF(CG$3&lt;$B$66,CG80,0)</x:f>
        <x:v>0</x:v>
      </x:c>
      <x:c r="CH81" s="107" t="n">
        <x:f>IF(CH$3&lt;$B$66,CH80,0)</x:f>
        <x:v>0</x:v>
      </x:c>
      <x:c r="CI81" s="107" t="n">
        <x:f>IF(CI$3&lt;$B$66,CI80,0)</x:f>
        <x:v>0</x:v>
      </x:c>
      <x:c r="CJ81" s="107" t="n">
        <x:f>IF(CJ$3&lt;$B$66,CJ80,0)</x:f>
        <x:v>0</x:v>
      </x:c>
      <x:c r="CK81" s="107" t="n">
        <x:f>IF(CK$3&lt;$B$66,CK80,0)</x:f>
        <x:v>0</x:v>
      </x:c>
      <x:c r="CL81" s="107" t="n">
        <x:f>IF(CL$3&lt;$B$66,CL80,0)</x:f>
        <x:v>0</x:v>
      </x:c>
      <x:c r="CM81" s="107" t="n">
        <x:f>IF(CM$3&lt;$B$66,CM80,0)</x:f>
        <x:v>0</x:v>
      </x:c>
      <x:c r="CN81" s="107" t="n">
        <x:f>IF(CN$3&lt;$B$66,CN80,0)</x:f>
        <x:v>0</x:v>
      </x:c>
      <x:c r="CO81" s="107" t="n">
        <x:f>IF(CO$3&lt;$B$66,CO80,0)</x:f>
        <x:v>0</x:v>
      </x:c>
      <x:c r="CP81" s="107" t="n">
        <x:f>IF(CP$3&lt;$B$66,CP80,0)</x:f>
        <x:v>0</x:v>
      </x:c>
      <x:c r="CQ81" s="107" t="n">
        <x:f>IF(CQ$3&lt;$B$66,CQ80,0)</x:f>
        <x:v>0</x:v>
      </x:c>
      <x:c r="CR81" s="107" t="n">
        <x:f>IF(CR$3&lt;$B$66,CR80,0)</x:f>
        <x:v>0</x:v>
      </x:c>
      <x:c r="CS81" s="107" t="n">
        <x:f>IF(CS$3&lt;$B$66,CS80,0)</x:f>
        <x:v>0</x:v>
      </x:c>
      <x:c r="CT81" s="107" t="n">
        <x:f>IF(CT$3&lt;$B$66,CT80,0)</x:f>
        <x:v>0</x:v>
      </x:c>
      <x:c r="CU81" s="107" t="n">
        <x:f>IF(CU$3&lt;$B$66,CU80,0)</x:f>
        <x:v>0</x:v>
      </x:c>
      <x:c r="CV81" s="107" t="n">
        <x:f>IF(CV$3&lt;$B$66,CV80,0)</x:f>
        <x:v>0</x:v>
      </x:c>
      <x:c r="CW81" s="107" t="n">
        <x:f>IF(CW$3&lt;$B$66,CW80,0)</x:f>
        <x:v>0</x:v>
      </x:c>
      <x:c r="CX81" s="107" t="n">
        <x:f>IF(CX$3&lt;$B$66,CX80,0)</x:f>
        <x:v>0</x:v>
      </x:c>
      <x:c r="CY81" s="107" t="n">
        <x:f>IF(CY$3&lt;$B$66,CY80,0)</x:f>
        <x:v>0</x:v>
      </x:c>
      <x:c r="CZ81" s="107" t="n">
        <x:f>IF(CZ$3&lt;$B$66,CZ80,0)</x:f>
        <x:v>0</x:v>
      </x:c>
      <x:c r="DA81" s="107" t="n">
        <x:f>IF(DA$3&lt;$B$66,DA80,0)</x:f>
        <x:v>0</x:v>
      </x:c>
      <x:c r="DB81" s="107" t="n">
        <x:f>IF(DB$3&lt;$B$66,DB80,0)</x:f>
        <x:v>0</x:v>
      </x:c>
      <x:c r="DC81" s="107" t="n">
        <x:f>IF(DC$3&lt;$B$66,DC80,0)</x:f>
        <x:v>0</x:v>
      </x:c>
      <x:c r="DD81" s="107" t="n">
        <x:f>IF(DD$3&lt;$B$66,DD80,0)</x:f>
        <x:v>0</x:v>
      </x:c>
      <x:c r="DE81" s="107" t="n">
        <x:f>IF(DE$3&lt;$B$66,DE80,0)</x:f>
        <x:v>0</x:v>
      </x:c>
      <x:c r="DF81" s="107" t="n">
        <x:f>IF(DF$3&lt;$B$66,DF80,0)</x:f>
        <x:v>0</x:v>
      </x:c>
      <x:c r="DG81" s="107" t="n">
        <x:f>IF(DG$3&lt;$B$66,DG80,0)</x:f>
        <x:v>0</x:v>
      </x:c>
      <x:c r="DH81" s="107" t="n">
        <x:f>IF(DH$3&lt;$B$66,DH80,0)</x:f>
        <x:v>0</x:v>
      </x:c>
      <x:c r="DI81" s="107" t="n">
        <x:f>IF(DI$3&lt;$B$66,DI80,0)</x:f>
        <x:v>0</x:v>
      </x:c>
      <x:c r="DJ81" s="107" t="n">
        <x:f>IF(DJ$3&lt;$B$66,DJ80,0)</x:f>
        <x:v>0</x:v>
      </x:c>
      <x:c r="DK81" s="107" t="n">
        <x:f>IF(DK$3&lt;$B$66,DK80,0)</x:f>
        <x:v>0</x:v>
      </x:c>
      <x:c r="DL81" s="107" t="n">
        <x:f>IF(DL$3&lt;$B$66,DL80,0)</x:f>
        <x:v>0</x:v>
      </x:c>
      <x:c r="DM81" s="107" t="n">
        <x:f>IF(DM$3&lt;$B$66,DM80,0)</x:f>
        <x:v>0</x:v>
      </x:c>
      <x:c r="DN81" s="107" t="n">
        <x:f>IF(DN$3&lt;$B$66,DN80,0)</x:f>
        <x:v>0</x:v>
      </x:c>
      <x:c r="DO81" s="107" t="n">
        <x:f>IF(DO$3&lt;$B$66,DO80,0)</x:f>
        <x:v>0</x:v>
      </x:c>
      <x:c r="DP81" s="107" t="n">
        <x:f>IF(DP$3&lt;$B$66,DP80,0)</x:f>
        <x:v>0</x:v>
      </x:c>
      <x:c r="DQ81" s="107" t="n">
        <x:f>IF(DQ$3&lt;$B$66,DQ80,0)</x:f>
        <x:v>0</x:v>
      </x:c>
      <x:c r="DR81" s="107" t="n">
        <x:f>IF(DR$3&lt;$B$66,DR80,0)</x:f>
        <x:v>0</x:v>
      </x:c>
      <x:c r="DS81" s="107" t="n">
        <x:f>IF(DS$3&lt;$B$66,DS80,0)</x:f>
        <x:v>0</x:v>
      </x:c>
    </x:row>
    <x:row r="82">
      <x:c r="A82" t="str">
        <x:v>Прямые поступления после РВЭ</x:v>
      </x:c>
      <x:c r="B82" s="107" t="n">
        <x:f>SUM(D82:DS82)</x:f>
        <x:v>0</x:v>
      </x:c>
      <x:c r="C82" t="str">
        <x:v>млн ₽</x:v>
      </x:c>
      <x:c r="D82" s="107" t="n">
        <x:f>IF(D$3&gt;=$B$66,D80,0)</x:f>
        <x:v>0</x:v>
      </x:c>
      <x:c r="E82" s="107" t="n">
        <x:f>IF(E$3&gt;=$B$66,E80,0)</x:f>
        <x:v>0</x:v>
      </x:c>
      <x:c r="F82" s="107" t="n">
        <x:f>IF(F$3&gt;=$B$66,F80,0)</x:f>
        <x:v>0</x:v>
      </x:c>
      <x:c r="G82" s="107" t="n">
        <x:f>IF(G$3&gt;=$B$66,G80,0)</x:f>
        <x:v>0</x:v>
      </x:c>
      <x:c r="H82" s="107" t="n">
        <x:f>IF(H$3&gt;=$B$66,H80,0)</x:f>
        <x:v>0</x:v>
      </x:c>
      <x:c r="I82" s="107" t="n">
        <x:f>IF(I$3&gt;=$B$66,I80,0)</x:f>
        <x:v>0</x:v>
      </x:c>
      <x:c r="J82" s="107" t="n">
        <x:f>IF(J$3&gt;=$B$66,J80,0)</x:f>
        <x:v>0</x:v>
      </x:c>
      <x:c r="K82" s="107" t="n">
        <x:f>IF(K$3&gt;=$B$66,K80,0)</x:f>
        <x:v>0</x:v>
      </x:c>
      <x:c r="L82" s="107" t="n">
        <x:f>IF(L$3&gt;=$B$66,L80,0)</x:f>
        <x:v>0</x:v>
      </x:c>
      <x:c r="M82" s="107" t="n">
        <x:f>IF(M$3&gt;=$B$66,M80,0)</x:f>
        <x:v>0</x:v>
      </x:c>
      <x:c r="N82" s="107" t="n">
        <x:f>IF(N$3&gt;=$B$66,N80,0)</x:f>
        <x:v>0</x:v>
      </x:c>
      <x:c r="O82" s="107" t="n">
        <x:f>IF(O$3&gt;=$B$66,O80,0)</x:f>
        <x:v>0</x:v>
      </x:c>
      <x:c r="P82" s="107" t="n">
        <x:f>IF(P$3&gt;=$B$66,P80,0)</x:f>
        <x:v>0</x:v>
      </x:c>
      <x:c r="Q82" s="107" t="n">
        <x:f>IF(Q$3&gt;=$B$66,Q80,0)</x:f>
        <x:v>0</x:v>
      </x:c>
      <x:c r="R82" s="107" t="n">
        <x:f>IF(R$3&gt;=$B$66,R80,0)</x:f>
        <x:v>0</x:v>
      </x:c>
      <x:c r="S82" s="107" t="n">
        <x:f>IF(S$3&gt;=$B$66,S80,0)</x:f>
        <x:v>0</x:v>
      </x:c>
      <x:c r="T82" s="107" t="n">
        <x:f>IF(T$3&gt;=$B$66,T80,0)</x:f>
        <x:v>0</x:v>
      </x:c>
      <x:c r="U82" s="107" t="n">
        <x:f>IF(U$3&gt;=$B$66,U80,0)</x:f>
        <x:v>0</x:v>
      </x:c>
      <x:c r="V82" s="107" t="n">
        <x:f>IF(V$3&gt;=$B$66,V80,0)</x:f>
        <x:v>0</x:v>
      </x:c>
      <x:c r="W82" s="107" t="n">
        <x:f>IF(W$3&gt;=$B$66,W80,0)</x:f>
        <x:v>0</x:v>
      </x:c>
      <x:c r="X82" s="107" t="n">
        <x:f>IF(X$3&gt;=$B$66,X80,0)</x:f>
        <x:v>0</x:v>
      </x:c>
      <x:c r="Y82" s="107" t="n">
        <x:f>IF(Y$3&gt;=$B$66,Y80,0)</x:f>
        <x:v>0</x:v>
      </x:c>
      <x:c r="Z82" s="107" t="n">
        <x:f>IF(Z$3&gt;=$B$66,Z80,0)</x:f>
        <x:v>0</x:v>
      </x:c>
      <x:c r="AA82" s="107" t="n">
        <x:f>IF(AA$3&gt;=$B$66,AA80,0)</x:f>
        <x:v>0</x:v>
      </x:c>
      <x:c r="AB82" s="107" t="n">
        <x:f>IF(AB$3&gt;=$B$66,AB80,0)</x:f>
        <x:v>0</x:v>
      </x:c>
      <x:c r="AC82" s="107" t="n">
        <x:f>IF(AC$3&gt;=$B$66,AC80,0)</x:f>
        <x:v>0</x:v>
      </x:c>
      <x:c r="AD82" s="107" t="n">
        <x:f>IF(AD$3&gt;=$B$66,AD80,0)</x:f>
        <x:v>0</x:v>
      </x:c>
      <x:c r="AE82" s="107" t="n">
        <x:f>IF(AE$3&gt;=$B$66,AE80,0)</x:f>
        <x:v>0</x:v>
      </x:c>
      <x:c r="AF82" s="107" t="n">
        <x:f>IF(AF$3&gt;=$B$66,AF80,0)</x:f>
        <x:v>0</x:v>
      </x:c>
      <x:c r="AG82" s="107" t="n">
        <x:f>IF(AG$3&gt;=$B$66,AG80,0)</x:f>
        <x:v>0</x:v>
      </x:c>
      <x:c r="AH82" s="107" t="n">
        <x:f>IF(AH$3&gt;=$B$66,AH80,0)</x:f>
        <x:v>0</x:v>
      </x:c>
      <x:c r="AI82" s="107" t="n">
        <x:f>IF(AI$3&gt;=$B$66,AI80,0)</x:f>
        <x:v>0</x:v>
      </x:c>
      <x:c r="AJ82" s="107" t="n">
        <x:f>IF(AJ$3&gt;=$B$66,AJ80,0)</x:f>
        <x:v>0</x:v>
      </x:c>
      <x:c r="AK82" s="107" t="n">
        <x:f>IF(AK$3&gt;=$B$66,AK80,0)</x:f>
        <x:v>0</x:v>
      </x:c>
      <x:c r="AL82" s="107" t="n">
        <x:f>IF(AL$3&gt;=$B$66,AL80,0)</x:f>
        <x:v>0</x:v>
      </x:c>
      <x:c r="AM82" s="107" t="n">
        <x:f>IF(AM$3&gt;=$B$66,AM80,0)</x:f>
        <x:v>0</x:v>
      </x:c>
      <x:c r="AN82" s="107" t="n">
        <x:f>IF(AN$3&gt;=$B$66,AN80,0)</x:f>
        <x:v>0</x:v>
      </x:c>
      <x:c r="AO82" s="107" t="n">
        <x:f>IF(AO$3&gt;=$B$66,AO80,0)</x:f>
        <x:v>0</x:v>
      </x:c>
      <x:c r="AP82" s="107" t="n">
        <x:f>IF(AP$3&gt;=$B$66,AP80,0)</x:f>
        <x:v>0</x:v>
      </x:c>
      <x:c r="AQ82" s="107" t="n">
        <x:f>IF(AQ$3&gt;=$B$66,AQ80,0)</x:f>
        <x:v>0</x:v>
      </x:c>
      <x:c r="AR82" s="107" t="n">
        <x:f>IF(AR$3&gt;=$B$66,AR80,0)</x:f>
        <x:v>0</x:v>
      </x:c>
      <x:c r="AS82" s="107" t="n">
        <x:f>IF(AS$3&gt;=$B$66,AS80,0)</x:f>
        <x:v>0</x:v>
      </x:c>
      <x:c r="AT82" s="107" t="n">
        <x:f>IF(AT$3&gt;=$B$66,AT80,0)</x:f>
        <x:v>0</x:v>
      </x:c>
      <x:c r="AU82" s="107" t="n">
        <x:f>IF(AU$3&gt;=$B$66,AU80,0)</x:f>
        <x:v>0</x:v>
      </x:c>
      <x:c r="AV82" s="107" t="n">
        <x:f>IF(AV$3&gt;=$B$66,AV80,0)</x:f>
        <x:v>0</x:v>
      </x:c>
      <x:c r="AW82" s="107" t="n">
        <x:f>IF(AW$3&gt;=$B$66,AW80,0)</x:f>
        <x:v>0</x:v>
      </x:c>
      <x:c r="AX82" s="107" t="n">
        <x:f>IF(AX$3&gt;=$B$66,AX80,0)</x:f>
        <x:v>0</x:v>
      </x:c>
      <x:c r="AY82" s="107" t="n">
        <x:f>IF(AY$3&gt;=$B$66,AY80,0)</x:f>
        <x:v>0</x:v>
      </x:c>
      <x:c r="AZ82" s="107" t="n">
        <x:f>IF(AZ$3&gt;=$B$66,AZ80,0)</x:f>
        <x:v>0</x:v>
      </x:c>
      <x:c r="BA82" s="107" t="n">
        <x:f>IF(BA$3&gt;=$B$66,BA80,0)</x:f>
        <x:v>0</x:v>
      </x:c>
      <x:c r="BB82" s="107" t="n">
        <x:f>IF(BB$3&gt;=$B$66,BB80,0)</x:f>
        <x:v>0</x:v>
      </x:c>
      <x:c r="BC82" s="107" t="n">
        <x:f>IF(BC$3&gt;=$B$66,BC80,0)</x:f>
        <x:v>0</x:v>
      </x:c>
      <x:c r="BD82" s="107" t="n">
        <x:f>IF(BD$3&gt;=$B$66,BD80,0)</x:f>
        <x:v>0</x:v>
      </x:c>
      <x:c r="BE82" s="107" t="n">
        <x:f>IF(BE$3&gt;=$B$66,BE80,0)</x:f>
        <x:v>0</x:v>
      </x:c>
      <x:c r="BF82" s="107" t="n">
        <x:f>IF(BF$3&gt;=$B$66,BF80,0)</x:f>
        <x:v>0</x:v>
      </x:c>
      <x:c r="BG82" s="107" t="n">
        <x:f>IF(BG$3&gt;=$B$66,BG80,0)</x:f>
        <x:v>0</x:v>
      </x:c>
      <x:c r="BH82" s="107" t="n">
        <x:f>IF(BH$3&gt;=$B$66,BH80,0)</x:f>
        <x:v>0</x:v>
      </x:c>
      <x:c r="BI82" s="107" t="n">
        <x:f>IF(BI$3&gt;=$B$66,BI80,0)</x:f>
        <x:v>0</x:v>
      </x:c>
      <x:c r="BJ82" s="107" t="n">
        <x:f>IF(BJ$3&gt;=$B$66,BJ80,0)</x:f>
        <x:v>0</x:v>
      </x:c>
      <x:c r="BK82" s="107" t="n">
        <x:f>IF(BK$3&gt;=$B$66,BK80,0)</x:f>
        <x:v>0</x:v>
      </x:c>
      <x:c r="BL82" s="107" t="n">
        <x:f>IF(BL$3&gt;=$B$66,BL80,0)</x:f>
        <x:v>0</x:v>
      </x:c>
      <x:c r="BM82" s="107" t="n">
        <x:f>IF(BM$3&gt;=$B$66,BM80,0)</x:f>
        <x:v>0</x:v>
      </x:c>
      <x:c r="BN82" s="107" t="n">
        <x:f>IF(BN$3&gt;=$B$66,BN80,0)</x:f>
        <x:v>0</x:v>
      </x:c>
      <x:c r="BO82" s="107" t="n">
        <x:f>IF(BO$3&gt;=$B$66,BO80,0)</x:f>
        <x:v>0</x:v>
      </x:c>
      <x:c r="BP82" s="107" t="n">
        <x:f>IF(BP$3&gt;=$B$66,BP80,0)</x:f>
        <x:v>0</x:v>
      </x:c>
      <x:c r="BQ82" s="107" t="n">
        <x:f>IF(BQ$3&gt;=$B$66,BQ80,0)</x:f>
        <x:v>0</x:v>
      </x:c>
      <x:c r="BR82" s="107" t="n">
        <x:f>IF(BR$3&gt;=$B$66,BR80,0)</x:f>
        <x:v>0</x:v>
      </x:c>
      <x:c r="BS82" s="107" t="n">
        <x:f>IF(BS$3&gt;=$B$66,BS80,0)</x:f>
        <x:v>0</x:v>
      </x:c>
      <x:c r="BT82" s="107" t="n">
        <x:f>IF(BT$3&gt;=$B$66,BT80,0)</x:f>
        <x:v>0</x:v>
      </x:c>
      <x:c r="BU82" s="107" t="n">
        <x:f>IF(BU$3&gt;=$B$66,BU80,0)</x:f>
        <x:v>0</x:v>
      </x:c>
      <x:c r="BV82" s="107" t="n">
        <x:f>IF(BV$3&gt;=$B$66,BV80,0)</x:f>
        <x:v>0</x:v>
      </x:c>
      <x:c r="BW82" s="107" t="n">
        <x:f>IF(BW$3&gt;=$B$66,BW80,0)</x:f>
        <x:v>0</x:v>
      </x:c>
      <x:c r="BX82" s="107" t="n">
        <x:f>IF(BX$3&gt;=$B$66,BX80,0)</x:f>
        <x:v>0</x:v>
      </x:c>
      <x:c r="BY82" s="107" t="n">
        <x:f>IF(BY$3&gt;=$B$66,BY80,0)</x:f>
        <x:v>0</x:v>
      </x:c>
      <x:c r="BZ82" s="107" t="n">
        <x:f>IF(BZ$3&gt;=$B$66,BZ80,0)</x:f>
        <x:v>0</x:v>
      </x:c>
      <x:c r="CA82" s="107" t="n">
        <x:f>IF(CA$3&gt;=$B$66,CA80,0)</x:f>
        <x:v>0</x:v>
      </x:c>
      <x:c r="CB82" s="107" t="n">
        <x:f>IF(CB$3&gt;=$B$66,CB80,0)</x:f>
        <x:v>0</x:v>
      </x:c>
      <x:c r="CC82" s="107" t="n">
        <x:f>IF(CC$3&gt;=$B$66,CC80,0)</x:f>
        <x:v>0</x:v>
      </x:c>
      <x:c r="CD82" s="107" t="n">
        <x:f>IF(CD$3&gt;=$B$66,CD80,0)</x:f>
        <x:v>0</x:v>
      </x:c>
      <x:c r="CE82" s="107" t="n">
        <x:f>IF(CE$3&gt;=$B$66,CE80,0)</x:f>
        <x:v>0</x:v>
      </x:c>
      <x:c r="CF82" s="107" t="n">
        <x:f>IF(CF$3&gt;=$B$66,CF80,0)</x:f>
        <x:v>0</x:v>
      </x:c>
      <x:c r="CG82" s="107" t="n">
        <x:f>IF(CG$3&gt;=$B$66,CG80,0)</x:f>
        <x:v>0</x:v>
      </x:c>
      <x:c r="CH82" s="107" t="n">
        <x:f>IF(CH$3&gt;=$B$66,CH80,0)</x:f>
        <x:v>0</x:v>
      </x:c>
      <x:c r="CI82" s="107" t="n">
        <x:f>IF(CI$3&gt;=$B$66,CI80,0)</x:f>
        <x:v>0</x:v>
      </x:c>
      <x:c r="CJ82" s="107" t="n">
        <x:f>IF(CJ$3&gt;=$B$66,CJ80,0)</x:f>
        <x:v>0</x:v>
      </x:c>
      <x:c r="CK82" s="107" t="n">
        <x:f>IF(CK$3&gt;=$B$66,CK80,0)</x:f>
        <x:v>0</x:v>
      </x:c>
      <x:c r="CL82" s="107" t="n">
        <x:f>IF(CL$3&gt;=$B$66,CL80,0)</x:f>
        <x:v>0</x:v>
      </x:c>
      <x:c r="CM82" s="107" t="n">
        <x:f>IF(CM$3&gt;=$B$66,CM80,0)</x:f>
        <x:v>0</x:v>
      </x:c>
      <x:c r="CN82" s="107" t="n">
        <x:f>IF(CN$3&gt;=$B$66,CN80,0)</x:f>
        <x:v>0</x:v>
      </x:c>
      <x:c r="CO82" s="107" t="n">
        <x:f>IF(CO$3&gt;=$B$66,CO80,0)</x:f>
        <x:v>0</x:v>
      </x:c>
      <x:c r="CP82" s="107" t="n">
        <x:f>IF(CP$3&gt;=$B$66,CP80,0)</x:f>
        <x:v>0</x:v>
      </x:c>
      <x:c r="CQ82" s="107" t="n">
        <x:f>IF(CQ$3&gt;=$B$66,CQ80,0)</x:f>
        <x:v>0</x:v>
      </x:c>
      <x:c r="CR82" s="107" t="n">
        <x:f>IF(CR$3&gt;=$B$66,CR80,0)</x:f>
        <x:v>0</x:v>
      </x:c>
      <x:c r="CS82" s="107" t="n">
        <x:f>IF(CS$3&gt;=$B$66,CS80,0)</x:f>
        <x:v>0</x:v>
      </x:c>
      <x:c r="CT82" s="107" t="n">
        <x:f>IF(CT$3&gt;=$B$66,CT80,0)</x:f>
        <x:v>0</x:v>
      </x:c>
      <x:c r="CU82" s="107" t="n">
        <x:f>IF(CU$3&gt;=$B$66,CU80,0)</x:f>
        <x:v>0</x:v>
      </x:c>
      <x:c r="CV82" s="107" t="n">
        <x:f>IF(CV$3&gt;=$B$66,CV80,0)</x:f>
        <x:v>0</x:v>
      </x:c>
      <x:c r="CW82" s="107" t="n">
        <x:f>IF(CW$3&gt;=$B$66,CW80,0)</x:f>
        <x:v>0</x:v>
      </x:c>
      <x:c r="CX82" s="107" t="n">
        <x:f>IF(CX$3&gt;=$B$66,CX80,0)</x:f>
        <x:v>0</x:v>
      </x:c>
      <x:c r="CY82" s="107" t="n">
        <x:f>IF(CY$3&gt;=$B$66,CY80,0)</x:f>
        <x:v>0</x:v>
      </x:c>
      <x:c r="CZ82" s="107" t="n">
        <x:f>IF(CZ$3&gt;=$B$66,CZ80,0)</x:f>
        <x:v>0</x:v>
      </x:c>
      <x:c r="DA82" s="107" t="n">
        <x:f>IF(DA$3&gt;=$B$66,DA80,0)</x:f>
        <x:v>0</x:v>
      </x:c>
      <x:c r="DB82" s="107" t="n">
        <x:f>IF(DB$3&gt;=$B$66,DB80,0)</x:f>
        <x:v>0</x:v>
      </x:c>
      <x:c r="DC82" s="107" t="n">
        <x:f>IF(DC$3&gt;=$B$66,DC80,0)</x:f>
        <x:v>0</x:v>
      </x:c>
      <x:c r="DD82" s="107" t="n">
        <x:f>IF(DD$3&gt;=$B$66,DD80,0)</x:f>
        <x:v>0</x:v>
      </x:c>
      <x:c r="DE82" s="107" t="n">
        <x:f>IF(DE$3&gt;=$B$66,DE80,0)</x:f>
        <x:v>0</x:v>
      </x:c>
      <x:c r="DF82" s="107" t="n">
        <x:f>IF(DF$3&gt;=$B$66,DF80,0)</x:f>
        <x:v>0</x:v>
      </x:c>
      <x:c r="DG82" s="107" t="n">
        <x:f>IF(DG$3&gt;=$B$66,DG80,0)</x:f>
        <x:v>0</x:v>
      </x:c>
      <x:c r="DH82" s="107" t="n">
        <x:f>IF(DH$3&gt;=$B$66,DH80,0)</x:f>
        <x:v>0</x:v>
      </x:c>
      <x:c r="DI82" s="107" t="n">
        <x:f>IF(DI$3&gt;=$B$66,DI80,0)</x:f>
        <x:v>0</x:v>
      </x:c>
      <x:c r="DJ82" s="107" t="n">
        <x:f>IF(DJ$3&gt;=$B$66,DJ80,0)</x:f>
        <x:v>0</x:v>
      </x:c>
      <x:c r="DK82" s="107" t="n">
        <x:f>IF(DK$3&gt;=$B$66,DK80,0)</x:f>
        <x:v>0</x:v>
      </x:c>
      <x:c r="DL82" s="107" t="n">
        <x:f>IF(DL$3&gt;=$B$66,DL80,0)</x:f>
        <x:v>0</x:v>
      </x:c>
      <x:c r="DM82" s="107" t="n">
        <x:f>IF(DM$3&gt;=$B$66,DM80,0)</x:f>
        <x:v>0</x:v>
      </x:c>
      <x:c r="DN82" s="107" t="n">
        <x:f>IF(DN$3&gt;=$B$66,DN80,0)</x:f>
        <x:v>0</x:v>
      </x:c>
      <x:c r="DO82" s="107" t="n">
        <x:f>IF(DO$3&gt;=$B$66,DO80,0)</x:f>
        <x:v>0</x:v>
      </x:c>
      <x:c r="DP82" s="107" t="n">
        <x:f>IF(DP$3&gt;=$B$66,DP80,0)</x:f>
        <x:v>0</x:v>
      </x:c>
      <x:c r="DQ82" s="107" t="n">
        <x:f>IF(DQ$3&gt;=$B$66,DQ80,0)</x:f>
        <x:v>0</x:v>
      </x:c>
      <x:c r="DR82" s="107" t="n">
        <x:f>IF(DR$3&gt;=$B$66,DR80,0)</x:f>
        <x:v>0</x:v>
      </x:c>
      <x:c r="DS82" s="107" t="n">
        <x:f>IF(DS$3&gt;=$B$66,DS80,0)</x:f>
        <x:v>0</x:v>
      </x:c>
    </x:row>
    <x:row r="83">
      <x:c r="A83" t="str">
        <x:v>Раскрытие эскроу</x:v>
      </x:c>
      <x:c r="B83" s="107" t="n">
        <x:f>SUM(D83:DS83)</x:f>
        <x:v>0</x:v>
      </x:c>
      <x:c r="C83" t="str">
        <x:v>млн ₽</x:v>
      </x:c>
      <x:c r="D83" s="107" t="n">
        <x:f>IF(AND(YEAR(D$3)=YEAR($B$66),MONTH(D$3)=MONTH($B$66),AND($B$63="Да",IFERROR(INDEX('Вводные'!$B$88:$B$90,$B$64),"Нет")="Да")),MAX(0,SUM($D81:D81)-D81),0)</x:f>
        <x:v>0</x:v>
      </x:c>
      <x:c r="E83" s="107" t="n">
        <x:f>IF(AND(YEAR(E$3)=YEAR($B$66),MONTH(E$3)=MONTH($B$66),AND($B$63="Да",IFERROR(INDEX('Вводные'!$B$88:$B$90,$B$64),"Нет")="Да")),MAX(0,SUM($D81:E81)-E81),0)</x:f>
        <x:v>0</x:v>
      </x:c>
      <x:c r="F83" s="107" t="n">
        <x:f>IF(AND(YEAR(F$3)=YEAR($B$66),MONTH(F$3)=MONTH($B$66),AND($B$63="Да",IFERROR(INDEX('Вводные'!$B$88:$B$90,$B$64),"Нет")="Да")),MAX(0,SUM($D81:F81)-F81),0)</x:f>
        <x:v>0</x:v>
      </x:c>
      <x:c r="G83" s="107" t="n">
        <x:f>IF(AND(YEAR(G$3)=YEAR($B$66),MONTH(G$3)=MONTH($B$66),AND($B$63="Да",IFERROR(INDEX('Вводные'!$B$88:$B$90,$B$64),"Нет")="Да")),MAX(0,SUM($D81:G81)-G81),0)</x:f>
        <x:v>0</x:v>
      </x:c>
      <x:c r="H83" s="107" t="n">
        <x:f>IF(AND(YEAR(H$3)=YEAR($B$66),MONTH(H$3)=MONTH($B$66),AND($B$63="Да",IFERROR(INDEX('Вводные'!$B$88:$B$90,$B$64),"Нет")="Да")),MAX(0,SUM($D81:H81)-H81),0)</x:f>
        <x:v>0</x:v>
      </x:c>
      <x:c r="I83" s="107" t="n">
        <x:f>IF(AND(YEAR(I$3)=YEAR($B$66),MONTH(I$3)=MONTH($B$66),AND($B$63="Да",IFERROR(INDEX('Вводные'!$B$88:$B$90,$B$64),"Нет")="Да")),MAX(0,SUM($D81:I81)-I81),0)</x:f>
        <x:v>0</x:v>
      </x:c>
      <x:c r="J83" s="107" t="n">
        <x:f>IF(AND(YEAR(J$3)=YEAR($B$66),MONTH(J$3)=MONTH($B$66),AND($B$63="Да",IFERROR(INDEX('Вводные'!$B$88:$B$90,$B$64),"Нет")="Да")),MAX(0,SUM($D81:J81)-J81),0)</x:f>
        <x:v>0</x:v>
      </x:c>
      <x:c r="K83" s="107" t="n">
        <x:f>IF(AND(YEAR(K$3)=YEAR($B$66),MONTH(K$3)=MONTH($B$66),AND($B$63="Да",IFERROR(INDEX('Вводные'!$B$88:$B$90,$B$64),"Нет")="Да")),MAX(0,SUM($D81:K81)-K81),0)</x:f>
        <x:v>0</x:v>
      </x:c>
      <x:c r="L83" s="107" t="n">
        <x:f>IF(AND(YEAR(L$3)=YEAR($B$66),MONTH(L$3)=MONTH($B$66),AND($B$63="Да",IFERROR(INDEX('Вводные'!$B$88:$B$90,$B$64),"Нет")="Да")),MAX(0,SUM($D81:L81)-L81),0)</x:f>
        <x:v>0</x:v>
      </x:c>
      <x:c r="M83" s="107" t="n">
        <x:f>IF(AND(YEAR(M$3)=YEAR($B$66),MONTH(M$3)=MONTH($B$66),AND($B$63="Да",IFERROR(INDEX('Вводные'!$B$88:$B$90,$B$64),"Нет")="Да")),MAX(0,SUM($D81:M81)-M81),0)</x:f>
        <x:v>0</x:v>
      </x:c>
      <x:c r="N83" s="107" t="n">
        <x:f>IF(AND(YEAR(N$3)=YEAR($B$66),MONTH(N$3)=MONTH($B$66),AND($B$63="Да",IFERROR(INDEX('Вводные'!$B$88:$B$90,$B$64),"Нет")="Да")),MAX(0,SUM($D81:N81)-N81),0)</x:f>
        <x:v>0</x:v>
      </x:c>
      <x:c r="O83" s="107" t="n">
        <x:f>IF(AND(YEAR(O$3)=YEAR($B$66),MONTH(O$3)=MONTH($B$66),AND($B$63="Да",IFERROR(INDEX('Вводные'!$B$88:$B$90,$B$64),"Нет")="Да")),MAX(0,SUM($D81:O81)-O81),0)</x:f>
        <x:v>0</x:v>
      </x:c>
      <x:c r="P83" s="107" t="n">
        <x:f>IF(AND(YEAR(P$3)=YEAR($B$66),MONTH(P$3)=MONTH($B$66),AND($B$63="Да",IFERROR(INDEX('Вводные'!$B$88:$B$90,$B$64),"Нет")="Да")),MAX(0,SUM($D81:P81)-P81),0)</x:f>
        <x:v>0</x:v>
      </x:c>
      <x:c r="Q83" s="107" t="n">
        <x:f>IF(AND(YEAR(Q$3)=YEAR($B$66),MONTH(Q$3)=MONTH($B$66),AND($B$63="Да",IFERROR(INDEX('Вводные'!$B$88:$B$90,$B$64),"Нет")="Да")),MAX(0,SUM($D81:Q81)-Q81),0)</x:f>
        <x:v>0</x:v>
      </x:c>
      <x:c r="R83" s="107" t="n">
        <x:f>IF(AND(YEAR(R$3)=YEAR($B$66),MONTH(R$3)=MONTH($B$66),AND($B$63="Да",IFERROR(INDEX('Вводные'!$B$88:$B$90,$B$64),"Нет")="Да")),MAX(0,SUM($D81:R81)-R81),0)</x:f>
        <x:v>0</x:v>
      </x:c>
      <x:c r="S83" s="107" t="n">
        <x:f>IF(AND(YEAR(S$3)=YEAR($B$66),MONTH(S$3)=MONTH($B$66),AND($B$63="Да",IFERROR(INDEX('Вводные'!$B$88:$B$90,$B$64),"Нет")="Да")),MAX(0,SUM($D81:S81)-S81),0)</x:f>
        <x:v>0</x:v>
      </x:c>
      <x:c r="T83" s="107" t="n">
        <x:f>IF(AND(YEAR(T$3)=YEAR($B$66),MONTH(T$3)=MONTH($B$66),AND($B$63="Да",IFERROR(INDEX('Вводные'!$B$88:$B$90,$B$64),"Нет")="Да")),MAX(0,SUM($D81:T81)-T81),0)</x:f>
        <x:v>0</x:v>
      </x:c>
      <x:c r="U83" s="107" t="n">
        <x:f>IF(AND(YEAR(U$3)=YEAR($B$66),MONTH(U$3)=MONTH($B$66),AND($B$63="Да",IFERROR(INDEX('Вводные'!$B$88:$B$90,$B$64),"Нет")="Да")),MAX(0,SUM($D81:U81)-U81),0)</x:f>
        <x:v>0</x:v>
      </x:c>
      <x:c r="V83" s="107" t="n">
        <x:f>IF(AND(YEAR(V$3)=YEAR($B$66),MONTH(V$3)=MONTH($B$66),AND($B$63="Да",IFERROR(INDEX('Вводные'!$B$88:$B$90,$B$64),"Нет")="Да")),MAX(0,SUM($D81:V81)-V81),0)</x:f>
        <x:v>0</x:v>
      </x:c>
      <x:c r="W83" s="107" t="n">
        <x:f>IF(AND(YEAR(W$3)=YEAR($B$66),MONTH(W$3)=MONTH($B$66),AND($B$63="Да",IFERROR(INDEX('Вводные'!$B$88:$B$90,$B$64),"Нет")="Да")),MAX(0,SUM($D81:W81)-W81),0)</x:f>
        <x:v>0</x:v>
      </x:c>
      <x:c r="X83" s="107" t="n">
        <x:f>IF(AND(YEAR(X$3)=YEAR($B$66),MONTH(X$3)=MONTH($B$66),AND($B$63="Да",IFERROR(INDEX('Вводные'!$B$88:$B$90,$B$64),"Нет")="Да")),MAX(0,SUM($D81:X81)-X81),0)</x:f>
        <x:v>0</x:v>
      </x:c>
      <x:c r="Y83" s="107" t="n">
        <x:f>IF(AND(YEAR(Y$3)=YEAR($B$66),MONTH(Y$3)=MONTH($B$66),AND($B$63="Да",IFERROR(INDEX('Вводные'!$B$88:$B$90,$B$64),"Нет")="Да")),MAX(0,SUM($D81:Y81)-Y81),0)</x:f>
        <x:v>0</x:v>
      </x:c>
      <x:c r="Z83" s="107" t="n">
        <x:f>IF(AND(YEAR(Z$3)=YEAR($B$66),MONTH(Z$3)=MONTH($B$66),AND($B$63="Да",IFERROR(INDEX('Вводные'!$B$88:$B$90,$B$64),"Нет")="Да")),MAX(0,SUM($D81:Z81)-Z81),0)</x:f>
        <x:v>0</x:v>
      </x:c>
      <x:c r="AA83" s="107" t="n">
        <x:f>IF(AND(YEAR(AA$3)=YEAR($B$66),MONTH(AA$3)=MONTH($B$66),AND($B$63="Да",IFERROR(INDEX('Вводные'!$B$88:$B$90,$B$64),"Нет")="Да")),MAX(0,SUM($D81:AA81)-AA81),0)</x:f>
        <x:v>0</x:v>
      </x:c>
      <x:c r="AB83" s="107" t="n">
        <x:f>IF(AND(YEAR(AB$3)=YEAR($B$66),MONTH(AB$3)=MONTH($B$66),AND($B$63="Да",IFERROR(INDEX('Вводные'!$B$88:$B$90,$B$64),"Нет")="Да")),MAX(0,SUM($D81:AB81)-AB81),0)</x:f>
        <x:v>0</x:v>
      </x:c>
      <x:c r="AC83" s="107" t="n">
        <x:f>IF(AND(YEAR(AC$3)=YEAR($B$66),MONTH(AC$3)=MONTH($B$66),AND($B$63="Да",IFERROR(INDEX('Вводные'!$B$88:$B$90,$B$64),"Нет")="Да")),MAX(0,SUM($D81:AC81)-AC81),0)</x:f>
        <x:v>0</x:v>
      </x:c>
      <x:c r="AD83" s="107" t="n">
        <x:f>IF(AND(YEAR(AD$3)=YEAR($B$66),MONTH(AD$3)=MONTH($B$66),AND($B$63="Да",IFERROR(INDEX('Вводные'!$B$88:$B$90,$B$64),"Нет")="Да")),MAX(0,SUM($D81:AD81)-AD81),0)</x:f>
        <x:v>0</x:v>
      </x:c>
      <x:c r="AE83" s="107" t="n">
        <x:f>IF(AND(YEAR(AE$3)=YEAR($B$66),MONTH(AE$3)=MONTH($B$66),AND($B$63="Да",IFERROR(INDEX('Вводные'!$B$88:$B$90,$B$64),"Нет")="Да")),MAX(0,SUM($D81:AE81)-AE81),0)</x:f>
        <x:v>0</x:v>
      </x:c>
      <x:c r="AF83" s="107" t="n">
        <x:f>IF(AND(YEAR(AF$3)=YEAR($B$66),MONTH(AF$3)=MONTH($B$66),AND($B$63="Да",IFERROR(INDEX('Вводные'!$B$88:$B$90,$B$64),"Нет")="Да")),MAX(0,SUM($D81:AF81)-AF81),0)</x:f>
        <x:v>0</x:v>
      </x:c>
      <x:c r="AG83" s="107" t="n">
        <x:f>IF(AND(YEAR(AG$3)=YEAR($B$66),MONTH(AG$3)=MONTH($B$66),AND($B$63="Да",IFERROR(INDEX('Вводные'!$B$88:$B$90,$B$64),"Нет")="Да")),MAX(0,SUM($D81:AG81)-AG81),0)</x:f>
        <x:v>0</x:v>
      </x:c>
      <x:c r="AH83" s="107" t="n">
        <x:f>IF(AND(YEAR(AH$3)=YEAR($B$66),MONTH(AH$3)=MONTH($B$66),AND($B$63="Да",IFERROR(INDEX('Вводные'!$B$88:$B$90,$B$64),"Нет")="Да")),MAX(0,SUM($D81:AH81)-AH81),0)</x:f>
        <x:v>0</x:v>
      </x:c>
      <x:c r="AI83" s="107" t="n">
        <x:f>IF(AND(YEAR(AI$3)=YEAR($B$66),MONTH(AI$3)=MONTH($B$66),AND($B$63="Да",IFERROR(INDEX('Вводные'!$B$88:$B$90,$B$64),"Нет")="Да")),MAX(0,SUM($D81:AI81)-AI81),0)</x:f>
        <x:v>0</x:v>
      </x:c>
      <x:c r="AJ83" s="107" t="n">
        <x:f>IF(AND(YEAR(AJ$3)=YEAR($B$66),MONTH(AJ$3)=MONTH($B$66),AND($B$63="Да",IFERROR(INDEX('Вводные'!$B$88:$B$90,$B$64),"Нет")="Да")),MAX(0,SUM($D81:AJ81)-AJ81),0)</x:f>
        <x:v>0</x:v>
      </x:c>
      <x:c r="AK83" s="107" t="n">
        <x:f>IF(AND(YEAR(AK$3)=YEAR($B$66),MONTH(AK$3)=MONTH($B$66),AND($B$63="Да",IFERROR(INDEX('Вводные'!$B$88:$B$90,$B$64),"Нет")="Да")),MAX(0,SUM($D81:AK81)-AK81),0)</x:f>
        <x:v>0</x:v>
      </x:c>
      <x:c r="AL83" s="107" t="n">
        <x:f>IF(AND(YEAR(AL$3)=YEAR($B$66),MONTH(AL$3)=MONTH($B$66),AND($B$63="Да",IFERROR(INDEX('Вводные'!$B$88:$B$90,$B$64),"Нет")="Да")),MAX(0,SUM($D81:AL81)-AL81),0)</x:f>
        <x:v>0</x:v>
      </x:c>
      <x:c r="AM83" s="107" t="n">
        <x:f>IF(AND(YEAR(AM$3)=YEAR($B$66),MONTH(AM$3)=MONTH($B$66),AND($B$63="Да",IFERROR(INDEX('Вводные'!$B$88:$B$90,$B$64),"Нет")="Да")),MAX(0,SUM($D81:AM81)-AM81),0)</x:f>
        <x:v>0</x:v>
      </x:c>
      <x:c r="AN83" s="107" t="n">
        <x:f>IF(AND(YEAR(AN$3)=YEAR($B$66),MONTH(AN$3)=MONTH($B$66),AND($B$63="Да",IFERROR(INDEX('Вводные'!$B$88:$B$90,$B$64),"Нет")="Да")),MAX(0,SUM($D81:AN81)-AN81),0)</x:f>
        <x:v>0</x:v>
      </x:c>
      <x:c r="AO83" s="107" t="n">
        <x:f>IF(AND(YEAR(AO$3)=YEAR($B$66),MONTH(AO$3)=MONTH($B$66),AND($B$63="Да",IFERROR(INDEX('Вводные'!$B$88:$B$90,$B$64),"Нет")="Да")),MAX(0,SUM($D81:AO81)-AO81),0)</x:f>
        <x:v>0</x:v>
      </x:c>
      <x:c r="AP83" s="107" t="n">
        <x:f>IF(AND(YEAR(AP$3)=YEAR($B$66),MONTH(AP$3)=MONTH($B$66),AND($B$63="Да",IFERROR(INDEX('Вводные'!$B$88:$B$90,$B$64),"Нет")="Да")),MAX(0,SUM($D81:AP81)-AP81),0)</x:f>
        <x:v>0</x:v>
      </x:c>
      <x:c r="AQ83" s="107" t="n">
        <x:f>IF(AND(YEAR(AQ$3)=YEAR($B$66),MONTH(AQ$3)=MONTH($B$66),AND($B$63="Да",IFERROR(INDEX('Вводные'!$B$88:$B$90,$B$64),"Нет")="Да")),MAX(0,SUM($D81:AQ81)-AQ81),0)</x:f>
        <x:v>0</x:v>
      </x:c>
      <x:c r="AR83" s="107" t="n">
        <x:f>IF(AND(YEAR(AR$3)=YEAR($B$66),MONTH(AR$3)=MONTH($B$66),AND($B$63="Да",IFERROR(INDEX('Вводные'!$B$88:$B$90,$B$64),"Нет")="Да")),MAX(0,SUM($D81:AR81)-AR81),0)</x:f>
        <x:v>0</x:v>
      </x:c>
      <x:c r="AS83" s="107" t="n">
        <x:f>IF(AND(YEAR(AS$3)=YEAR($B$66),MONTH(AS$3)=MONTH($B$66),AND($B$63="Да",IFERROR(INDEX('Вводные'!$B$88:$B$90,$B$64),"Нет")="Да")),MAX(0,SUM($D81:AS81)-AS81),0)</x:f>
        <x:v>0</x:v>
      </x:c>
      <x:c r="AT83" s="107" t="n">
        <x:f>IF(AND(YEAR(AT$3)=YEAR($B$66),MONTH(AT$3)=MONTH($B$66),AND($B$63="Да",IFERROR(INDEX('Вводные'!$B$88:$B$90,$B$64),"Нет")="Да")),MAX(0,SUM($D81:AT81)-AT81),0)</x:f>
        <x:v>0</x:v>
      </x:c>
      <x:c r="AU83" s="107" t="n">
        <x:f>IF(AND(YEAR(AU$3)=YEAR($B$66),MONTH(AU$3)=MONTH($B$66),AND($B$63="Да",IFERROR(INDEX('Вводные'!$B$88:$B$90,$B$64),"Нет")="Да")),MAX(0,SUM($D81:AU81)-AU81),0)</x:f>
        <x:v>0</x:v>
      </x:c>
      <x:c r="AV83" s="107" t="n">
        <x:f>IF(AND(YEAR(AV$3)=YEAR($B$66),MONTH(AV$3)=MONTH($B$66),AND($B$63="Да",IFERROR(INDEX('Вводные'!$B$88:$B$90,$B$64),"Нет")="Да")),MAX(0,SUM($D81:AV81)-AV81),0)</x:f>
        <x:v>0</x:v>
      </x:c>
      <x:c r="AW83" s="107" t="n">
        <x:f>IF(AND(YEAR(AW$3)=YEAR($B$66),MONTH(AW$3)=MONTH($B$66),AND($B$63="Да",IFERROR(INDEX('Вводные'!$B$88:$B$90,$B$64),"Нет")="Да")),MAX(0,SUM($D81:AW81)-AW81),0)</x:f>
        <x:v>0</x:v>
      </x:c>
      <x:c r="AX83" s="107" t="n">
        <x:f>IF(AND(YEAR(AX$3)=YEAR($B$66),MONTH(AX$3)=MONTH($B$66),AND($B$63="Да",IFERROR(INDEX('Вводные'!$B$88:$B$90,$B$64),"Нет")="Да")),MAX(0,SUM($D81:AX81)-AX81),0)</x:f>
        <x:v>0</x:v>
      </x:c>
      <x:c r="AY83" s="107" t="n">
        <x:f>IF(AND(YEAR(AY$3)=YEAR($B$66),MONTH(AY$3)=MONTH($B$66),AND($B$63="Да",IFERROR(INDEX('Вводные'!$B$88:$B$90,$B$64),"Нет")="Да")),MAX(0,SUM($D81:AY81)-AY81),0)</x:f>
        <x:v>0</x:v>
      </x:c>
      <x:c r="AZ83" s="107" t="n">
        <x:f>IF(AND(YEAR(AZ$3)=YEAR($B$66),MONTH(AZ$3)=MONTH($B$66),AND($B$63="Да",IFERROR(INDEX('Вводные'!$B$88:$B$90,$B$64),"Нет")="Да")),MAX(0,SUM($D81:AZ81)-AZ81),0)</x:f>
        <x:v>0</x:v>
      </x:c>
      <x:c r="BA83" s="107" t="n">
        <x:f>IF(AND(YEAR(BA$3)=YEAR($B$66),MONTH(BA$3)=MONTH($B$66),AND($B$63="Да",IFERROR(INDEX('Вводные'!$B$88:$B$90,$B$64),"Нет")="Да")),MAX(0,SUM($D81:BA81)-BA81),0)</x:f>
        <x:v>0</x:v>
      </x:c>
      <x:c r="BB83" s="107" t="n">
        <x:f>IF(AND(YEAR(BB$3)=YEAR($B$66),MONTH(BB$3)=MONTH($B$66),AND($B$63="Да",IFERROR(INDEX('Вводные'!$B$88:$B$90,$B$64),"Нет")="Да")),MAX(0,SUM($D81:BB81)-BB81),0)</x:f>
        <x:v>0</x:v>
      </x:c>
      <x:c r="BC83" s="107" t="n">
        <x:f>IF(AND(YEAR(BC$3)=YEAR($B$66),MONTH(BC$3)=MONTH($B$66),AND($B$63="Да",IFERROR(INDEX('Вводные'!$B$88:$B$90,$B$64),"Нет")="Да")),MAX(0,SUM($D81:BC81)-BC81),0)</x:f>
        <x:v>0</x:v>
      </x:c>
      <x:c r="BD83" s="107" t="n">
        <x:f>IF(AND(YEAR(BD$3)=YEAR($B$66),MONTH(BD$3)=MONTH($B$66),AND($B$63="Да",IFERROR(INDEX('Вводные'!$B$88:$B$90,$B$64),"Нет")="Да")),MAX(0,SUM($D81:BD81)-BD81),0)</x:f>
        <x:v>0</x:v>
      </x:c>
      <x:c r="BE83" s="107" t="n">
        <x:f>IF(AND(YEAR(BE$3)=YEAR($B$66),MONTH(BE$3)=MONTH($B$66),AND($B$63="Да",IFERROR(INDEX('Вводные'!$B$88:$B$90,$B$64),"Нет")="Да")),MAX(0,SUM($D81:BE81)-BE81),0)</x:f>
        <x:v>0</x:v>
      </x:c>
      <x:c r="BF83" s="107" t="n">
        <x:f>IF(AND(YEAR(BF$3)=YEAR($B$66),MONTH(BF$3)=MONTH($B$66),AND($B$63="Да",IFERROR(INDEX('Вводные'!$B$88:$B$90,$B$64),"Нет")="Да")),MAX(0,SUM($D81:BF81)-BF81),0)</x:f>
        <x:v>0</x:v>
      </x:c>
      <x:c r="BG83" s="107" t="n">
        <x:f>IF(AND(YEAR(BG$3)=YEAR($B$66),MONTH(BG$3)=MONTH($B$66),AND($B$63="Да",IFERROR(INDEX('Вводные'!$B$88:$B$90,$B$64),"Нет")="Да")),MAX(0,SUM($D81:BG81)-BG81),0)</x:f>
        <x:v>0</x:v>
      </x:c>
      <x:c r="BH83" s="107" t="n">
        <x:f>IF(AND(YEAR(BH$3)=YEAR($B$66),MONTH(BH$3)=MONTH($B$66),AND($B$63="Да",IFERROR(INDEX('Вводные'!$B$88:$B$90,$B$64),"Нет")="Да")),MAX(0,SUM($D81:BH81)-BH81),0)</x:f>
        <x:v>0</x:v>
      </x:c>
      <x:c r="BI83" s="107" t="n">
        <x:f>IF(AND(YEAR(BI$3)=YEAR($B$66),MONTH(BI$3)=MONTH($B$66),AND($B$63="Да",IFERROR(INDEX('Вводные'!$B$88:$B$90,$B$64),"Нет")="Да")),MAX(0,SUM($D81:BI81)-BI81),0)</x:f>
        <x:v>0</x:v>
      </x:c>
      <x:c r="BJ83" s="107" t="n">
        <x:f>IF(AND(YEAR(BJ$3)=YEAR($B$66),MONTH(BJ$3)=MONTH($B$66),AND($B$63="Да",IFERROR(INDEX('Вводные'!$B$88:$B$90,$B$64),"Нет")="Да")),MAX(0,SUM($D81:BJ81)-BJ81),0)</x:f>
        <x:v>0</x:v>
      </x:c>
      <x:c r="BK83" s="107" t="n">
        <x:f>IF(AND(YEAR(BK$3)=YEAR($B$66),MONTH(BK$3)=MONTH($B$66),AND($B$63="Да",IFERROR(INDEX('Вводные'!$B$88:$B$90,$B$64),"Нет")="Да")),MAX(0,SUM($D81:BK81)-BK81),0)</x:f>
        <x:v>0</x:v>
      </x:c>
      <x:c r="BL83" s="107" t="n">
        <x:f>IF(AND(YEAR(BL$3)=YEAR($B$66),MONTH(BL$3)=MONTH($B$66),AND($B$63="Да",IFERROR(INDEX('Вводные'!$B$88:$B$90,$B$64),"Нет")="Да")),MAX(0,SUM($D81:BL81)-BL81),0)</x:f>
        <x:v>0</x:v>
      </x:c>
      <x:c r="BM83" s="107" t="n">
        <x:f>IF(AND(YEAR(BM$3)=YEAR($B$66),MONTH(BM$3)=MONTH($B$66),AND($B$63="Да",IFERROR(INDEX('Вводные'!$B$88:$B$90,$B$64),"Нет")="Да")),MAX(0,SUM($D81:BM81)-BM81),0)</x:f>
        <x:v>0</x:v>
      </x:c>
      <x:c r="BN83" s="107" t="n">
        <x:f>IF(AND(YEAR(BN$3)=YEAR($B$66),MONTH(BN$3)=MONTH($B$66),AND($B$63="Да",IFERROR(INDEX('Вводные'!$B$88:$B$90,$B$64),"Нет")="Да")),MAX(0,SUM($D81:BN81)-BN81),0)</x:f>
        <x:v>0</x:v>
      </x:c>
      <x:c r="BO83" s="107" t="n">
        <x:f>IF(AND(YEAR(BO$3)=YEAR($B$66),MONTH(BO$3)=MONTH($B$66),AND($B$63="Да",IFERROR(INDEX('Вводные'!$B$88:$B$90,$B$64),"Нет")="Да")),MAX(0,SUM($D81:BO81)-BO81),0)</x:f>
        <x:v>0</x:v>
      </x:c>
      <x:c r="BP83" s="107" t="n">
        <x:f>IF(AND(YEAR(BP$3)=YEAR($B$66),MONTH(BP$3)=MONTH($B$66),AND($B$63="Да",IFERROR(INDEX('Вводные'!$B$88:$B$90,$B$64),"Нет")="Да")),MAX(0,SUM($D81:BP81)-BP81),0)</x:f>
        <x:v>0</x:v>
      </x:c>
      <x:c r="BQ83" s="107" t="n">
        <x:f>IF(AND(YEAR(BQ$3)=YEAR($B$66),MONTH(BQ$3)=MONTH($B$66),AND($B$63="Да",IFERROR(INDEX('Вводные'!$B$88:$B$90,$B$64),"Нет")="Да")),MAX(0,SUM($D81:BQ81)-BQ81),0)</x:f>
        <x:v>0</x:v>
      </x:c>
      <x:c r="BR83" s="107" t="n">
        <x:f>IF(AND(YEAR(BR$3)=YEAR($B$66),MONTH(BR$3)=MONTH($B$66),AND($B$63="Да",IFERROR(INDEX('Вводные'!$B$88:$B$90,$B$64),"Нет")="Да")),MAX(0,SUM($D81:BR81)-BR81),0)</x:f>
        <x:v>0</x:v>
      </x:c>
      <x:c r="BS83" s="107" t="n">
        <x:f>IF(AND(YEAR(BS$3)=YEAR($B$66),MONTH(BS$3)=MONTH($B$66),AND($B$63="Да",IFERROR(INDEX('Вводные'!$B$88:$B$90,$B$64),"Нет")="Да")),MAX(0,SUM($D81:BS81)-BS81),0)</x:f>
        <x:v>0</x:v>
      </x:c>
      <x:c r="BT83" s="107" t="n">
        <x:f>IF(AND(YEAR(BT$3)=YEAR($B$66),MONTH(BT$3)=MONTH($B$66),AND($B$63="Да",IFERROR(INDEX('Вводные'!$B$88:$B$90,$B$64),"Нет")="Да")),MAX(0,SUM($D81:BT81)-BT81),0)</x:f>
        <x:v>0</x:v>
      </x:c>
      <x:c r="BU83" s="107" t="n">
        <x:f>IF(AND(YEAR(BU$3)=YEAR($B$66),MONTH(BU$3)=MONTH($B$66),AND($B$63="Да",IFERROR(INDEX('Вводные'!$B$88:$B$90,$B$64),"Нет")="Да")),MAX(0,SUM($D81:BU81)-BU81),0)</x:f>
        <x:v>0</x:v>
      </x:c>
      <x:c r="BV83" s="107" t="n">
        <x:f>IF(AND(YEAR(BV$3)=YEAR($B$66),MONTH(BV$3)=MONTH($B$66),AND($B$63="Да",IFERROR(INDEX('Вводные'!$B$88:$B$90,$B$64),"Нет")="Да")),MAX(0,SUM($D81:BV81)-BV81),0)</x:f>
        <x:v>0</x:v>
      </x:c>
      <x:c r="BW83" s="107" t="n">
        <x:f>IF(AND(YEAR(BW$3)=YEAR($B$66),MONTH(BW$3)=MONTH($B$66),AND($B$63="Да",IFERROR(INDEX('Вводные'!$B$88:$B$90,$B$64),"Нет")="Да")),MAX(0,SUM($D81:BW81)-BW81),0)</x:f>
        <x:v>0</x:v>
      </x:c>
      <x:c r="BX83" s="107" t="n">
        <x:f>IF(AND(YEAR(BX$3)=YEAR($B$66),MONTH(BX$3)=MONTH($B$66),AND($B$63="Да",IFERROR(INDEX('Вводные'!$B$88:$B$90,$B$64),"Нет")="Да")),MAX(0,SUM($D81:BX81)-BX81),0)</x:f>
        <x:v>0</x:v>
      </x:c>
      <x:c r="BY83" s="107" t="n">
        <x:f>IF(AND(YEAR(BY$3)=YEAR($B$66),MONTH(BY$3)=MONTH($B$66),AND($B$63="Да",IFERROR(INDEX('Вводные'!$B$88:$B$90,$B$64),"Нет")="Да")),MAX(0,SUM($D81:BY81)-BY81),0)</x:f>
        <x:v>0</x:v>
      </x:c>
      <x:c r="BZ83" s="107" t="n">
        <x:f>IF(AND(YEAR(BZ$3)=YEAR($B$66),MONTH(BZ$3)=MONTH($B$66),AND($B$63="Да",IFERROR(INDEX('Вводные'!$B$88:$B$90,$B$64),"Нет")="Да")),MAX(0,SUM($D81:BZ81)-BZ81),0)</x:f>
        <x:v>0</x:v>
      </x:c>
      <x:c r="CA83" s="107" t="n">
        <x:f>IF(AND(YEAR(CA$3)=YEAR($B$66),MONTH(CA$3)=MONTH($B$66),AND($B$63="Да",IFERROR(INDEX('Вводные'!$B$88:$B$90,$B$64),"Нет")="Да")),MAX(0,SUM($D81:CA81)-CA81),0)</x:f>
        <x:v>0</x:v>
      </x:c>
      <x:c r="CB83" s="107" t="n">
        <x:f>IF(AND(YEAR(CB$3)=YEAR($B$66),MONTH(CB$3)=MONTH($B$66),AND($B$63="Да",IFERROR(INDEX('Вводные'!$B$88:$B$90,$B$64),"Нет")="Да")),MAX(0,SUM($D81:CB81)-CB81),0)</x:f>
        <x:v>0</x:v>
      </x:c>
      <x:c r="CC83" s="107" t="n">
        <x:f>IF(AND(YEAR(CC$3)=YEAR($B$66),MONTH(CC$3)=MONTH($B$66),AND($B$63="Да",IFERROR(INDEX('Вводные'!$B$88:$B$90,$B$64),"Нет")="Да")),MAX(0,SUM($D81:CC81)-CC81),0)</x:f>
        <x:v>0</x:v>
      </x:c>
      <x:c r="CD83" s="107" t="n">
        <x:f>IF(AND(YEAR(CD$3)=YEAR($B$66),MONTH(CD$3)=MONTH($B$66),AND($B$63="Да",IFERROR(INDEX('Вводные'!$B$88:$B$90,$B$64),"Нет")="Да")),MAX(0,SUM($D81:CD81)-CD81),0)</x:f>
        <x:v>0</x:v>
      </x:c>
      <x:c r="CE83" s="107" t="n">
        <x:f>IF(AND(YEAR(CE$3)=YEAR($B$66),MONTH(CE$3)=MONTH($B$66),AND($B$63="Да",IFERROR(INDEX('Вводные'!$B$88:$B$90,$B$64),"Нет")="Да")),MAX(0,SUM($D81:CE81)-CE81),0)</x:f>
        <x:v>0</x:v>
      </x:c>
      <x:c r="CF83" s="107" t="n">
        <x:f>IF(AND(YEAR(CF$3)=YEAR($B$66),MONTH(CF$3)=MONTH($B$66),AND($B$63="Да",IFERROR(INDEX('Вводные'!$B$88:$B$90,$B$64),"Нет")="Да")),MAX(0,SUM($D81:CF81)-CF81),0)</x:f>
        <x:v>0</x:v>
      </x:c>
      <x:c r="CG83" s="107" t="n">
        <x:f>IF(AND(YEAR(CG$3)=YEAR($B$66),MONTH(CG$3)=MONTH($B$66),AND($B$63="Да",IFERROR(INDEX('Вводные'!$B$88:$B$90,$B$64),"Нет")="Да")),MAX(0,SUM($D81:CG81)-CG81),0)</x:f>
        <x:v>0</x:v>
      </x:c>
      <x:c r="CH83" s="107" t="n">
        <x:f>IF(AND(YEAR(CH$3)=YEAR($B$66),MONTH(CH$3)=MONTH($B$66),AND($B$63="Да",IFERROR(INDEX('Вводные'!$B$88:$B$90,$B$64),"Нет")="Да")),MAX(0,SUM($D81:CH81)-CH81),0)</x:f>
        <x:v>0</x:v>
      </x:c>
      <x:c r="CI83" s="107" t="n">
        <x:f>IF(AND(YEAR(CI$3)=YEAR($B$66),MONTH(CI$3)=MONTH($B$66),AND($B$63="Да",IFERROR(INDEX('Вводные'!$B$88:$B$90,$B$64),"Нет")="Да")),MAX(0,SUM($D81:CI81)-CI81),0)</x:f>
        <x:v>0</x:v>
      </x:c>
      <x:c r="CJ83" s="107" t="n">
        <x:f>IF(AND(YEAR(CJ$3)=YEAR($B$66),MONTH(CJ$3)=MONTH($B$66),AND($B$63="Да",IFERROR(INDEX('Вводные'!$B$88:$B$90,$B$64),"Нет")="Да")),MAX(0,SUM($D81:CJ81)-CJ81),0)</x:f>
        <x:v>0</x:v>
      </x:c>
      <x:c r="CK83" s="107" t="n">
        <x:f>IF(AND(YEAR(CK$3)=YEAR($B$66),MONTH(CK$3)=MONTH($B$66),AND($B$63="Да",IFERROR(INDEX('Вводные'!$B$88:$B$90,$B$64),"Нет")="Да")),MAX(0,SUM($D81:CK81)-CK81),0)</x:f>
        <x:v>0</x:v>
      </x:c>
      <x:c r="CL83" s="107" t="n">
        <x:f>IF(AND(YEAR(CL$3)=YEAR($B$66),MONTH(CL$3)=MONTH($B$66),AND($B$63="Да",IFERROR(INDEX('Вводные'!$B$88:$B$90,$B$64),"Нет")="Да")),MAX(0,SUM($D81:CL81)-CL81),0)</x:f>
        <x:v>0</x:v>
      </x:c>
      <x:c r="CM83" s="107" t="n">
        <x:f>IF(AND(YEAR(CM$3)=YEAR($B$66),MONTH(CM$3)=MONTH($B$66),AND($B$63="Да",IFERROR(INDEX('Вводные'!$B$88:$B$90,$B$64),"Нет")="Да")),MAX(0,SUM($D81:CM81)-CM81),0)</x:f>
        <x:v>0</x:v>
      </x:c>
      <x:c r="CN83" s="107" t="n">
        <x:f>IF(AND(YEAR(CN$3)=YEAR($B$66),MONTH(CN$3)=MONTH($B$66),AND($B$63="Да",IFERROR(INDEX('Вводные'!$B$88:$B$90,$B$64),"Нет")="Да")),MAX(0,SUM($D81:CN81)-CN81),0)</x:f>
        <x:v>0</x:v>
      </x:c>
      <x:c r="CO83" s="107" t="n">
        <x:f>IF(AND(YEAR(CO$3)=YEAR($B$66),MONTH(CO$3)=MONTH($B$66),AND($B$63="Да",IFERROR(INDEX('Вводные'!$B$88:$B$90,$B$64),"Нет")="Да")),MAX(0,SUM($D81:CO81)-CO81),0)</x:f>
        <x:v>0</x:v>
      </x:c>
      <x:c r="CP83" s="107" t="n">
        <x:f>IF(AND(YEAR(CP$3)=YEAR($B$66),MONTH(CP$3)=MONTH($B$66),AND($B$63="Да",IFERROR(INDEX('Вводные'!$B$88:$B$90,$B$64),"Нет")="Да")),MAX(0,SUM($D81:CP81)-CP81),0)</x:f>
        <x:v>0</x:v>
      </x:c>
      <x:c r="CQ83" s="107" t="n">
        <x:f>IF(AND(YEAR(CQ$3)=YEAR($B$66),MONTH(CQ$3)=MONTH($B$66),AND($B$63="Да",IFERROR(INDEX('Вводные'!$B$88:$B$90,$B$64),"Нет")="Да")),MAX(0,SUM($D81:CQ81)-CQ81),0)</x:f>
        <x:v>0</x:v>
      </x:c>
      <x:c r="CR83" s="107" t="n">
        <x:f>IF(AND(YEAR(CR$3)=YEAR($B$66),MONTH(CR$3)=MONTH($B$66),AND($B$63="Да",IFERROR(INDEX('Вводные'!$B$88:$B$90,$B$64),"Нет")="Да")),MAX(0,SUM($D81:CR81)-CR81),0)</x:f>
        <x:v>0</x:v>
      </x:c>
      <x:c r="CS83" s="107" t="n">
        <x:f>IF(AND(YEAR(CS$3)=YEAR($B$66),MONTH(CS$3)=MONTH($B$66),AND($B$63="Да",IFERROR(INDEX('Вводные'!$B$88:$B$90,$B$64),"Нет")="Да")),MAX(0,SUM($D81:CS81)-CS81),0)</x:f>
        <x:v>0</x:v>
      </x:c>
      <x:c r="CT83" s="107" t="n">
        <x:f>IF(AND(YEAR(CT$3)=YEAR($B$66),MONTH(CT$3)=MONTH($B$66),AND($B$63="Да",IFERROR(INDEX('Вводные'!$B$88:$B$90,$B$64),"Нет")="Да")),MAX(0,SUM($D81:CT81)-CT81),0)</x:f>
        <x:v>0</x:v>
      </x:c>
      <x:c r="CU83" s="107" t="n">
        <x:f>IF(AND(YEAR(CU$3)=YEAR($B$66),MONTH(CU$3)=MONTH($B$66),AND($B$63="Да",IFERROR(INDEX('Вводные'!$B$88:$B$90,$B$64),"Нет")="Да")),MAX(0,SUM($D81:CU81)-CU81),0)</x:f>
        <x:v>0</x:v>
      </x:c>
      <x:c r="CV83" s="107" t="n">
        <x:f>IF(AND(YEAR(CV$3)=YEAR($B$66),MONTH(CV$3)=MONTH($B$66),AND($B$63="Да",IFERROR(INDEX('Вводные'!$B$88:$B$90,$B$64),"Нет")="Да")),MAX(0,SUM($D81:CV81)-CV81),0)</x:f>
        <x:v>0</x:v>
      </x:c>
      <x:c r="CW83" s="107" t="n">
        <x:f>IF(AND(YEAR(CW$3)=YEAR($B$66),MONTH(CW$3)=MONTH($B$66),AND($B$63="Да",IFERROR(INDEX('Вводные'!$B$88:$B$90,$B$64),"Нет")="Да")),MAX(0,SUM($D81:CW81)-CW81),0)</x:f>
        <x:v>0</x:v>
      </x:c>
      <x:c r="CX83" s="107" t="n">
        <x:f>IF(AND(YEAR(CX$3)=YEAR($B$66),MONTH(CX$3)=MONTH($B$66),AND($B$63="Да",IFERROR(INDEX('Вводные'!$B$88:$B$90,$B$64),"Нет")="Да")),MAX(0,SUM($D81:CX81)-CX81),0)</x:f>
        <x:v>0</x:v>
      </x:c>
      <x:c r="CY83" s="107" t="n">
        <x:f>IF(AND(YEAR(CY$3)=YEAR($B$66),MONTH(CY$3)=MONTH($B$66),AND($B$63="Да",IFERROR(INDEX('Вводные'!$B$88:$B$90,$B$64),"Нет")="Да")),MAX(0,SUM($D81:CY81)-CY81),0)</x:f>
        <x:v>0</x:v>
      </x:c>
      <x:c r="CZ83" s="107" t="n">
        <x:f>IF(AND(YEAR(CZ$3)=YEAR($B$66),MONTH(CZ$3)=MONTH($B$66),AND($B$63="Да",IFERROR(INDEX('Вводные'!$B$88:$B$90,$B$64),"Нет")="Да")),MAX(0,SUM($D81:CZ81)-CZ81),0)</x:f>
        <x:v>0</x:v>
      </x:c>
      <x:c r="DA83" s="107" t="n">
        <x:f>IF(AND(YEAR(DA$3)=YEAR($B$66),MONTH(DA$3)=MONTH($B$66),AND($B$63="Да",IFERROR(INDEX('Вводные'!$B$88:$B$90,$B$64),"Нет")="Да")),MAX(0,SUM($D81:DA81)-DA81),0)</x:f>
        <x:v>0</x:v>
      </x:c>
      <x:c r="DB83" s="107" t="n">
        <x:f>IF(AND(YEAR(DB$3)=YEAR($B$66),MONTH(DB$3)=MONTH($B$66),AND($B$63="Да",IFERROR(INDEX('Вводные'!$B$88:$B$90,$B$64),"Нет")="Да")),MAX(0,SUM($D81:DB81)-DB81),0)</x:f>
        <x:v>0</x:v>
      </x:c>
      <x:c r="DC83" s="107" t="n">
        <x:f>IF(AND(YEAR(DC$3)=YEAR($B$66),MONTH(DC$3)=MONTH($B$66),AND($B$63="Да",IFERROR(INDEX('Вводные'!$B$88:$B$90,$B$64),"Нет")="Да")),MAX(0,SUM($D81:DC81)-DC81),0)</x:f>
        <x:v>0</x:v>
      </x:c>
      <x:c r="DD83" s="107" t="n">
        <x:f>IF(AND(YEAR(DD$3)=YEAR($B$66),MONTH(DD$3)=MONTH($B$66),AND($B$63="Да",IFERROR(INDEX('Вводные'!$B$88:$B$90,$B$64),"Нет")="Да")),MAX(0,SUM($D81:DD81)-DD81),0)</x:f>
        <x:v>0</x:v>
      </x:c>
      <x:c r="DE83" s="107" t="n">
        <x:f>IF(AND(YEAR(DE$3)=YEAR($B$66),MONTH(DE$3)=MONTH($B$66),AND($B$63="Да",IFERROR(INDEX('Вводные'!$B$88:$B$90,$B$64),"Нет")="Да")),MAX(0,SUM($D81:DE81)-DE81),0)</x:f>
        <x:v>0</x:v>
      </x:c>
      <x:c r="DF83" s="107" t="n">
        <x:f>IF(AND(YEAR(DF$3)=YEAR($B$66),MONTH(DF$3)=MONTH($B$66),AND($B$63="Да",IFERROR(INDEX('Вводные'!$B$88:$B$90,$B$64),"Нет")="Да")),MAX(0,SUM($D81:DF81)-DF81),0)</x:f>
        <x:v>0</x:v>
      </x:c>
      <x:c r="DG83" s="107" t="n">
        <x:f>IF(AND(YEAR(DG$3)=YEAR($B$66),MONTH(DG$3)=MONTH($B$66),AND($B$63="Да",IFERROR(INDEX('Вводные'!$B$88:$B$90,$B$64),"Нет")="Да")),MAX(0,SUM($D81:DG81)-DG81),0)</x:f>
        <x:v>0</x:v>
      </x:c>
      <x:c r="DH83" s="107" t="n">
        <x:f>IF(AND(YEAR(DH$3)=YEAR($B$66),MONTH(DH$3)=MONTH($B$66),AND($B$63="Да",IFERROR(INDEX('Вводные'!$B$88:$B$90,$B$64),"Нет")="Да")),MAX(0,SUM($D81:DH81)-DH81),0)</x:f>
        <x:v>0</x:v>
      </x:c>
      <x:c r="DI83" s="107" t="n">
        <x:f>IF(AND(YEAR(DI$3)=YEAR($B$66),MONTH(DI$3)=MONTH($B$66),AND($B$63="Да",IFERROR(INDEX('Вводные'!$B$88:$B$90,$B$64),"Нет")="Да")),MAX(0,SUM($D81:DI81)-DI81),0)</x:f>
        <x:v>0</x:v>
      </x:c>
      <x:c r="DJ83" s="107" t="n">
        <x:f>IF(AND(YEAR(DJ$3)=YEAR($B$66),MONTH(DJ$3)=MONTH($B$66),AND($B$63="Да",IFERROR(INDEX('Вводные'!$B$88:$B$90,$B$64),"Нет")="Да")),MAX(0,SUM($D81:DJ81)-DJ81),0)</x:f>
        <x:v>0</x:v>
      </x:c>
      <x:c r="DK83" s="107" t="n">
        <x:f>IF(AND(YEAR(DK$3)=YEAR($B$66),MONTH(DK$3)=MONTH($B$66),AND($B$63="Да",IFERROR(INDEX('Вводные'!$B$88:$B$90,$B$64),"Нет")="Да")),MAX(0,SUM($D81:DK81)-DK81),0)</x:f>
        <x:v>0</x:v>
      </x:c>
      <x:c r="DL83" s="107" t="n">
        <x:f>IF(AND(YEAR(DL$3)=YEAR($B$66),MONTH(DL$3)=MONTH($B$66),AND($B$63="Да",IFERROR(INDEX('Вводные'!$B$88:$B$90,$B$64),"Нет")="Да")),MAX(0,SUM($D81:DL81)-DL81),0)</x:f>
        <x:v>0</x:v>
      </x:c>
      <x:c r="DM83" s="107" t="n">
        <x:f>IF(AND(YEAR(DM$3)=YEAR($B$66),MONTH(DM$3)=MONTH($B$66),AND($B$63="Да",IFERROR(INDEX('Вводные'!$B$88:$B$90,$B$64),"Нет")="Да")),MAX(0,SUM($D81:DM81)-DM81),0)</x:f>
        <x:v>0</x:v>
      </x:c>
      <x:c r="DN83" s="107" t="n">
        <x:f>IF(AND(YEAR(DN$3)=YEAR($B$66),MONTH(DN$3)=MONTH($B$66),AND($B$63="Да",IFERROR(INDEX('Вводные'!$B$88:$B$90,$B$64),"Нет")="Да")),MAX(0,SUM($D81:DN81)-DN81),0)</x:f>
        <x:v>0</x:v>
      </x:c>
      <x:c r="DO83" s="107" t="n">
        <x:f>IF(AND(YEAR(DO$3)=YEAR($B$66),MONTH(DO$3)=MONTH($B$66),AND($B$63="Да",IFERROR(INDEX('Вводные'!$B$88:$B$90,$B$64),"Нет")="Да")),MAX(0,SUM($D81:DO81)-DO81),0)</x:f>
        <x:v>0</x:v>
      </x:c>
      <x:c r="DP83" s="107" t="n">
        <x:f>IF(AND(YEAR(DP$3)=YEAR($B$66),MONTH(DP$3)=MONTH($B$66),AND($B$63="Да",IFERROR(INDEX('Вводные'!$B$88:$B$90,$B$64),"Нет")="Да")),MAX(0,SUM($D81:DP81)-DP81),0)</x:f>
        <x:v>0</x:v>
      </x:c>
      <x:c r="DQ83" s="107" t="n">
        <x:f>IF(AND(YEAR(DQ$3)=YEAR($B$66),MONTH(DQ$3)=MONTH($B$66),AND($B$63="Да",IFERROR(INDEX('Вводные'!$B$88:$B$90,$B$64),"Нет")="Да")),MAX(0,SUM($D81:DQ81)-DQ81),0)</x:f>
        <x:v>0</x:v>
      </x:c>
      <x:c r="DR83" s="107" t="n">
        <x:f>IF(AND(YEAR(DR$3)=YEAR($B$66),MONTH(DR$3)=MONTH($B$66),AND($B$63="Да",IFERROR(INDEX('Вводные'!$B$88:$B$90,$B$64),"Нет")="Да")),MAX(0,SUM($D81:DR81)-DR81),0)</x:f>
        <x:v>0</x:v>
      </x:c>
      <x:c r="DS83" s="107" t="n">
        <x:f>IF(AND(YEAR(DS$3)=YEAR($B$66),MONTH(DS$3)=MONTH($B$66),AND($B$63="Да",IFERROR(INDEX('Вводные'!$B$88:$B$90,$B$64),"Нет")="Да")),MAX(0,SUM($D81:DS81)-DS81),0)</x:f>
        <x:v>0</x:v>
      </x:c>
    </x:row>
    <x:row r="84">
      <x:c r="A84" t="str">
        <x:v>CAPEX</x:v>
      </x:c>
      <x:c r="B84" s="107" t="n">
        <x:f>IF(AND($B$63="Да",IFERROR(INDEX('Вводные'!$B$88:$B$90,$B$64),"Нет")="Да"),$B$69*'Вводные'!$K$67*'Вводные'!$H$6*INDEX('Вводные'!$T$88:$T$90,$B$64)*INDEX('Вводные'!$AH$88:$AH$90,$B$64),0)</x:f>
        <x:v>0</x:v>
      </x:c>
      <x:c r="C84" t="str">
        <x:v>млн ₽</x:v>
      </x:c>
      <x:c r="D84" s="107" t="n">
        <x:f>$B$84*D72</x:f>
        <x:v>0</x:v>
      </x:c>
      <x:c r="E84" s="107" t="n">
        <x:f>$B$84*E72</x:f>
        <x:v>0</x:v>
      </x:c>
      <x:c r="F84" s="107" t="n">
        <x:f>$B$84*F72</x:f>
        <x:v>0</x:v>
      </x:c>
      <x:c r="G84" s="107" t="n">
        <x:f>$B$84*G72</x:f>
        <x:v>0</x:v>
      </x:c>
      <x:c r="H84" s="107" t="n">
        <x:f>$B$84*H72</x:f>
        <x:v>0</x:v>
      </x:c>
      <x:c r="I84" s="107" t="n">
        <x:f>$B$84*I72</x:f>
        <x:v>0</x:v>
      </x:c>
      <x:c r="J84" s="107" t="n">
        <x:f>$B$84*J72</x:f>
        <x:v>0</x:v>
      </x:c>
      <x:c r="K84" s="107" t="n">
        <x:f>$B$84*K72</x:f>
        <x:v>0</x:v>
      </x:c>
      <x:c r="L84" s="107" t="n">
        <x:f>$B$84*L72</x:f>
        <x:v>0</x:v>
      </x:c>
      <x:c r="M84" s="107" t="n">
        <x:f>$B$84*M72</x:f>
        <x:v>0</x:v>
      </x:c>
      <x:c r="N84" s="107" t="n">
        <x:f>$B$84*N72</x:f>
        <x:v>0</x:v>
      </x:c>
      <x:c r="O84" s="107" t="n">
        <x:f>$B$84*O72</x:f>
        <x:v>0</x:v>
      </x:c>
      <x:c r="P84" s="107" t="n">
        <x:f>$B$84*P72</x:f>
        <x:v>0</x:v>
      </x:c>
      <x:c r="Q84" s="107" t="n">
        <x:f>$B$84*Q72</x:f>
        <x:v>0</x:v>
      </x:c>
      <x:c r="R84" s="107" t="n">
        <x:f>$B$84*R72</x:f>
        <x:v>0</x:v>
      </x:c>
      <x:c r="S84" s="107" t="n">
        <x:f>$B$84*S72</x:f>
        <x:v>0</x:v>
      </x:c>
      <x:c r="T84" s="107" t="n">
        <x:f>$B$84*T72</x:f>
        <x:v>0</x:v>
      </x:c>
      <x:c r="U84" s="107" t="n">
        <x:f>$B$84*U72</x:f>
        <x:v>0</x:v>
      </x:c>
      <x:c r="V84" s="107" t="n">
        <x:f>$B$84*V72</x:f>
        <x:v>0</x:v>
      </x:c>
      <x:c r="W84" s="107" t="n">
        <x:f>$B$84*W72</x:f>
        <x:v>0</x:v>
      </x:c>
      <x:c r="X84" s="107" t="n">
        <x:f>$B$84*X72</x:f>
        <x:v>0</x:v>
      </x:c>
      <x:c r="Y84" s="107" t="n">
        <x:f>$B$84*Y72</x:f>
        <x:v>0</x:v>
      </x:c>
      <x:c r="Z84" s="107" t="n">
        <x:f>$B$84*Z72</x:f>
        <x:v>0</x:v>
      </x:c>
      <x:c r="AA84" s="107" t="n">
        <x:f>$B$84*AA72</x:f>
        <x:v>0</x:v>
      </x:c>
      <x:c r="AB84" s="107" t="n">
        <x:f>$B$84*AB72</x:f>
        <x:v>0</x:v>
      </x:c>
      <x:c r="AC84" s="107" t="n">
        <x:f>$B$84*AC72</x:f>
        <x:v>0</x:v>
      </x:c>
      <x:c r="AD84" s="107" t="n">
        <x:f>$B$84*AD72</x:f>
        <x:v>0</x:v>
      </x:c>
      <x:c r="AE84" s="107" t="n">
        <x:f>$B$84*AE72</x:f>
        <x:v>0</x:v>
      </x:c>
      <x:c r="AF84" s="107" t="n">
        <x:f>$B$84*AF72</x:f>
        <x:v>0</x:v>
      </x:c>
      <x:c r="AG84" s="107" t="n">
        <x:f>$B$84*AG72</x:f>
        <x:v>0</x:v>
      </x:c>
      <x:c r="AH84" s="107" t="n">
        <x:f>$B$84*AH72</x:f>
        <x:v>0</x:v>
      </x:c>
      <x:c r="AI84" s="107" t="n">
        <x:f>$B$84*AI72</x:f>
        <x:v>0</x:v>
      </x:c>
      <x:c r="AJ84" s="107" t="n">
        <x:f>$B$84*AJ72</x:f>
        <x:v>0</x:v>
      </x:c>
      <x:c r="AK84" s="107" t="n">
        <x:f>$B$84*AK72</x:f>
        <x:v>0</x:v>
      </x:c>
      <x:c r="AL84" s="107" t="n">
        <x:f>$B$84*AL72</x:f>
        <x:v>0</x:v>
      </x:c>
      <x:c r="AM84" s="107" t="n">
        <x:f>$B$84*AM72</x:f>
        <x:v>0</x:v>
      </x:c>
      <x:c r="AN84" s="107" t="n">
        <x:f>$B$84*AN72</x:f>
        <x:v>0</x:v>
      </x:c>
      <x:c r="AO84" s="107" t="n">
        <x:f>$B$84*AO72</x:f>
        <x:v>0</x:v>
      </x:c>
      <x:c r="AP84" s="107" t="n">
        <x:f>$B$84*AP72</x:f>
        <x:v>0</x:v>
      </x:c>
      <x:c r="AQ84" s="107" t="n">
        <x:f>$B$84*AQ72</x:f>
        <x:v>0</x:v>
      </x:c>
      <x:c r="AR84" s="107" t="n">
        <x:f>$B$84*AR72</x:f>
        <x:v>0</x:v>
      </x:c>
      <x:c r="AS84" s="107" t="n">
        <x:f>$B$84*AS72</x:f>
        <x:v>0</x:v>
      </x:c>
      <x:c r="AT84" s="107" t="n">
        <x:f>$B$84*AT72</x:f>
        <x:v>0</x:v>
      </x:c>
      <x:c r="AU84" s="107" t="n">
        <x:f>$B$84*AU72</x:f>
        <x:v>0</x:v>
      </x:c>
      <x:c r="AV84" s="107" t="n">
        <x:f>$B$84*AV72</x:f>
        <x:v>0</x:v>
      </x:c>
      <x:c r="AW84" s="107" t="n">
        <x:f>$B$84*AW72</x:f>
        <x:v>0</x:v>
      </x:c>
      <x:c r="AX84" s="107" t="n">
        <x:f>$B$84*AX72</x:f>
        <x:v>0</x:v>
      </x:c>
      <x:c r="AY84" s="107" t="n">
        <x:f>$B$84*AY72</x:f>
        <x:v>0</x:v>
      </x:c>
      <x:c r="AZ84" s="107" t="n">
        <x:f>$B$84*AZ72</x:f>
        <x:v>0</x:v>
      </x:c>
      <x:c r="BA84" s="107" t="n">
        <x:f>$B$84*BA72</x:f>
        <x:v>0</x:v>
      </x:c>
      <x:c r="BB84" s="107" t="n">
        <x:f>$B$84*BB72</x:f>
        <x:v>0</x:v>
      </x:c>
      <x:c r="BC84" s="107" t="n">
        <x:f>$B$84*BC72</x:f>
        <x:v>0</x:v>
      </x:c>
      <x:c r="BD84" s="107" t="n">
        <x:f>$B$84*BD72</x:f>
        <x:v>0</x:v>
      </x:c>
      <x:c r="BE84" s="107" t="n">
        <x:f>$B$84*BE72</x:f>
        <x:v>0</x:v>
      </x:c>
      <x:c r="BF84" s="107" t="n">
        <x:f>$B$84*BF72</x:f>
        <x:v>0</x:v>
      </x:c>
      <x:c r="BG84" s="107" t="n">
        <x:f>$B$84*BG72</x:f>
        <x:v>0</x:v>
      </x:c>
      <x:c r="BH84" s="107" t="n">
        <x:f>$B$84*BH72</x:f>
        <x:v>0</x:v>
      </x:c>
      <x:c r="BI84" s="107" t="n">
        <x:f>$B$84*BI72</x:f>
        <x:v>0</x:v>
      </x:c>
      <x:c r="BJ84" s="107" t="n">
        <x:f>$B$84*BJ72</x:f>
        <x:v>0</x:v>
      </x:c>
      <x:c r="BK84" s="107" t="n">
        <x:f>$B$84*BK72</x:f>
        <x:v>0</x:v>
      </x:c>
      <x:c r="BL84" s="107" t="n">
        <x:f>$B$84*BL72</x:f>
        <x:v>0</x:v>
      </x:c>
      <x:c r="BM84" s="107" t="n">
        <x:f>$B$84*BM72</x:f>
        <x:v>0</x:v>
      </x:c>
      <x:c r="BN84" s="107" t="n">
        <x:f>$B$84*BN72</x:f>
        <x:v>0</x:v>
      </x:c>
      <x:c r="BO84" s="107" t="n">
        <x:f>$B$84*BO72</x:f>
        <x:v>0</x:v>
      </x:c>
      <x:c r="BP84" s="107" t="n">
        <x:f>$B$84*BP72</x:f>
        <x:v>0</x:v>
      </x:c>
      <x:c r="BQ84" s="107" t="n">
        <x:f>$B$84*BQ72</x:f>
        <x:v>0</x:v>
      </x:c>
      <x:c r="BR84" s="107" t="n">
        <x:f>$B$84*BR72</x:f>
        <x:v>0</x:v>
      </x:c>
      <x:c r="BS84" s="107" t="n">
        <x:f>$B$84*BS72</x:f>
        <x:v>0</x:v>
      </x:c>
      <x:c r="BT84" s="107" t="n">
        <x:f>$B$84*BT72</x:f>
        <x:v>0</x:v>
      </x:c>
      <x:c r="BU84" s="107" t="n">
        <x:f>$B$84*BU72</x:f>
        <x:v>0</x:v>
      </x:c>
      <x:c r="BV84" s="107" t="n">
        <x:f>$B$84*BV72</x:f>
        <x:v>0</x:v>
      </x:c>
      <x:c r="BW84" s="107" t="n">
        <x:f>$B$84*BW72</x:f>
        <x:v>0</x:v>
      </x:c>
      <x:c r="BX84" s="107" t="n">
        <x:f>$B$84*BX72</x:f>
        <x:v>0</x:v>
      </x:c>
      <x:c r="BY84" s="107" t="n">
        <x:f>$B$84*BY72</x:f>
        <x:v>0</x:v>
      </x:c>
      <x:c r="BZ84" s="107" t="n">
        <x:f>$B$84*BZ72</x:f>
        <x:v>0</x:v>
      </x:c>
      <x:c r="CA84" s="107" t="n">
        <x:f>$B$84*CA72</x:f>
        <x:v>0</x:v>
      </x:c>
      <x:c r="CB84" s="107" t="n">
        <x:f>$B$84*CB72</x:f>
        <x:v>0</x:v>
      </x:c>
      <x:c r="CC84" s="107" t="n">
        <x:f>$B$84*CC72</x:f>
        <x:v>0</x:v>
      </x:c>
      <x:c r="CD84" s="107" t="n">
        <x:f>$B$84*CD72</x:f>
        <x:v>0</x:v>
      </x:c>
      <x:c r="CE84" s="107" t="n">
        <x:f>$B$84*CE72</x:f>
        <x:v>0</x:v>
      </x:c>
      <x:c r="CF84" s="107" t="n">
        <x:f>$B$84*CF72</x:f>
        <x:v>0</x:v>
      </x:c>
      <x:c r="CG84" s="107" t="n">
        <x:f>$B$84*CG72</x:f>
        <x:v>0</x:v>
      </x:c>
      <x:c r="CH84" s="107" t="n">
        <x:f>$B$84*CH72</x:f>
        <x:v>0</x:v>
      </x:c>
      <x:c r="CI84" s="107" t="n">
        <x:f>$B$84*CI72</x:f>
        <x:v>0</x:v>
      </x:c>
      <x:c r="CJ84" s="107" t="n">
        <x:f>$B$84*CJ72</x:f>
        <x:v>0</x:v>
      </x:c>
      <x:c r="CK84" s="107" t="n">
        <x:f>$B$84*CK72</x:f>
        <x:v>0</x:v>
      </x:c>
      <x:c r="CL84" s="107" t="n">
        <x:f>$B$84*CL72</x:f>
        <x:v>0</x:v>
      </x:c>
      <x:c r="CM84" s="107" t="n">
        <x:f>$B$84*CM72</x:f>
        <x:v>0</x:v>
      </x:c>
      <x:c r="CN84" s="107" t="n">
        <x:f>$B$84*CN72</x:f>
        <x:v>0</x:v>
      </x:c>
      <x:c r="CO84" s="107" t="n">
        <x:f>$B$84*CO72</x:f>
        <x:v>0</x:v>
      </x:c>
      <x:c r="CP84" s="107" t="n">
        <x:f>$B$84*CP72</x:f>
        <x:v>0</x:v>
      </x:c>
      <x:c r="CQ84" s="107" t="n">
        <x:f>$B$84*CQ72</x:f>
        <x:v>0</x:v>
      </x:c>
      <x:c r="CR84" s="107" t="n">
        <x:f>$B$84*CR72</x:f>
        <x:v>0</x:v>
      </x:c>
      <x:c r="CS84" s="107" t="n">
        <x:f>$B$84*CS72</x:f>
        <x:v>0</x:v>
      </x:c>
      <x:c r="CT84" s="107" t="n">
        <x:f>$B$84*CT72</x:f>
        <x:v>0</x:v>
      </x:c>
      <x:c r="CU84" s="107" t="n">
        <x:f>$B$84*CU72</x:f>
        <x:v>0</x:v>
      </x:c>
      <x:c r="CV84" s="107" t="n">
        <x:f>$B$84*CV72</x:f>
        <x:v>0</x:v>
      </x:c>
      <x:c r="CW84" s="107" t="n">
        <x:f>$B$84*CW72</x:f>
        <x:v>0</x:v>
      </x:c>
      <x:c r="CX84" s="107" t="n">
        <x:f>$B$84*CX72</x:f>
        <x:v>0</x:v>
      </x:c>
      <x:c r="CY84" s="107" t="n">
        <x:f>$B$84*CY72</x:f>
        <x:v>0</x:v>
      </x:c>
      <x:c r="CZ84" s="107" t="n">
        <x:f>$B$84*CZ72</x:f>
        <x:v>0</x:v>
      </x:c>
      <x:c r="DA84" s="107" t="n">
        <x:f>$B$84*DA72</x:f>
        <x:v>0</x:v>
      </x:c>
      <x:c r="DB84" s="107" t="n">
        <x:f>$B$84*DB72</x:f>
        <x:v>0</x:v>
      </x:c>
      <x:c r="DC84" s="107" t="n">
        <x:f>$B$84*DC72</x:f>
        <x:v>0</x:v>
      </x:c>
      <x:c r="DD84" s="107" t="n">
        <x:f>$B$84*DD72</x:f>
        <x:v>0</x:v>
      </x:c>
      <x:c r="DE84" s="107" t="n">
        <x:f>$B$84*DE72</x:f>
        <x:v>0</x:v>
      </x:c>
      <x:c r="DF84" s="107" t="n">
        <x:f>$B$84*DF72</x:f>
        <x:v>0</x:v>
      </x:c>
      <x:c r="DG84" s="107" t="n">
        <x:f>$B$84*DG72</x:f>
        <x:v>0</x:v>
      </x:c>
      <x:c r="DH84" s="107" t="n">
        <x:f>$B$84*DH72</x:f>
        <x:v>0</x:v>
      </x:c>
      <x:c r="DI84" s="107" t="n">
        <x:f>$B$84*DI72</x:f>
        <x:v>0</x:v>
      </x:c>
      <x:c r="DJ84" s="107" t="n">
        <x:f>$B$84*DJ72</x:f>
        <x:v>0</x:v>
      </x:c>
      <x:c r="DK84" s="107" t="n">
        <x:f>$B$84*DK72</x:f>
        <x:v>0</x:v>
      </x:c>
      <x:c r="DL84" s="107" t="n">
        <x:f>$B$84*DL72</x:f>
        <x:v>0</x:v>
      </x:c>
      <x:c r="DM84" s="107" t="n">
        <x:f>$B$84*DM72</x:f>
        <x:v>0</x:v>
      </x:c>
      <x:c r="DN84" s="107" t="n">
        <x:f>$B$84*DN72</x:f>
        <x:v>0</x:v>
      </x:c>
      <x:c r="DO84" s="107" t="n">
        <x:f>$B$84*DO72</x:f>
        <x:v>0</x:v>
      </x:c>
      <x:c r="DP84" s="107" t="n">
        <x:f>$B$84*DP72</x:f>
        <x:v>0</x:v>
      </x:c>
      <x:c r="DQ84" s="107" t="n">
        <x:f>$B$84*DQ72</x:f>
        <x:v>0</x:v>
      </x:c>
      <x:c r="DR84" s="107" t="n">
        <x:f>$B$84*DR72</x:f>
        <x:v>0</x:v>
      </x:c>
      <x:c r="DS84" s="107" t="n">
        <x:f>$B$84*DS72</x:f>
        <x:v>0</x:v>
      </x:c>
    </x:row>
    <x:row r="85">
      <x:c r="A85" t="str">
        <x:v>Маркетинг</x:v>
      </x:c>
      <x:c r="B85" s="107" t="n">
        <x:f>SUM(D85:DS85)</x:f>
        <x:v>0</x:v>
      </x:c>
      <x:c r="C85" t="str">
        <x:v>млн ₽</x:v>
      </x:c>
      <x:c r="D85" s="107" t="n">
        <x:f>D80*'Вводные'!$B$19</x:f>
        <x:v>0</x:v>
      </x:c>
      <x:c r="E85" s="107" t="n">
        <x:f>E80*'Вводные'!$B$19</x:f>
        <x:v>0</x:v>
      </x:c>
      <x:c r="F85" s="107" t="n">
        <x:f>F80*'Вводные'!$B$19</x:f>
        <x:v>0</x:v>
      </x:c>
      <x:c r="G85" s="107" t="n">
        <x:f>G80*'Вводные'!$B$19</x:f>
        <x:v>0</x:v>
      </x:c>
      <x:c r="H85" s="107" t="n">
        <x:f>H80*'Вводные'!$B$19</x:f>
        <x:v>0</x:v>
      </x:c>
      <x:c r="I85" s="107" t="n">
        <x:f>I80*'Вводные'!$B$19</x:f>
        <x:v>0</x:v>
      </x:c>
      <x:c r="J85" s="107" t="n">
        <x:f>J80*'Вводные'!$B$19</x:f>
        <x:v>0</x:v>
      </x:c>
      <x:c r="K85" s="107" t="n">
        <x:f>K80*'Вводные'!$B$19</x:f>
        <x:v>0</x:v>
      </x:c>
      <x:c r="L85" s="107" t="n">
        <x:f>L80*'Вводные'!$B$19</x:f>
        <x:v>0</x:v>
      </x:c>
      <x:c r="M85" s="107" t="n">
        <x:f>M80*'Вводные'!$B$19</x:f>
        <x:v>0</x:v>
      </x:c>
      <x:c r="N85" s="107" t="n">
        <x:f>N80*'Вводные'!$B$19</x:f>
        <x:v>0</x:v>
      </x:c>
      <x:c r="O85" s="107" t="n">
        <x:f>O80*'Вводные'!$B$19</x:f>
        <x:v>0</x:v>
      </x:c>
      <x:c r="P85" s="107" t="n">
        <x:f>P80*'Вводные'!$B$19</x:f>
        <x:v>0</x:v>
      </x:c>
      <x:c r="Q85" s="107" t="n">
        <x:f>Q80*'Вводные'!$B$19</x:f>
        <x:v>0</x:v>
      </x:c>
      <x:c r="R85" s="107" t="n">
        <x:f>R80*'Вводные'!$B$19</x:f>
        <x:v>0</x:v>
      </x:c>
      <x:c r="S85" s="107" t="n">
        <x:f>S80*'Вводные'!$B$19</x:f>
        <x:v>0</x:v>
      </x:c>
      <x:c r="T85" s="107" t="n">
        <x:f>T80*'Вводные'!$B$19</x:f>
        <x:v>0</x:v>
      </x:c>
      <x:c r="U85" s="107" t="n">
        <x:f>U80*'Вводные'!$B$19</x:f>
        <x:v>0</x:v>
      </x:c>
      <x:c r="V85" s="107" t="n">
        <x:f>V80*'Вводные'!$B$19</x:f>
        <x:v>0</x:v>
      </x:c>
      <x:c r="W85" s="107" t="n">
        <x:f>W80*'Вводные'!$B$19</x:f>
        <x:v>0</x:v>
      </x:c>
      <x:c r="X85" s="107" t="n">
        <x:f>X80*'Вводные'!$B$19</x:f>
        <x:v>0</x:v>
      </x:c>
      <x:c r="Y85" s="107" t="n">
        <x:f>Y80*'Вводные'!$B$19</x:f>
        <x:v>0</x:v>
      </x:c>
      <x:c r="Z85" s="107" t="n">
        <x:f>Z80*'Вводные'!$B$19</x:f>
        <x:v>0</x:v>
      </x:c>
      <x:c r="AA85" s="107" t="n">
        <x:f>AA80*'Вводные'!$B$19</x:f>
        <x:v>0</x:v>
      </x:c>
      <x:c r="AB85" s="107" t="n">
        <x:f>AB80*'Вводные'!$B$19</x:f>
        <x:v>0</x:v>
      </x:c>
      <x:c r="AC85" s="107" t="n">
        <x:f>AC80*'Вводные'!$B$19</x:f>
        <x:v>0</x:v>
      </x:c>
      <x:c r="AD85" s="107" t="n">
        <x:f>AD80*'Вводные'!$B$19</x:f>
        <x:v>0</x:v>
      </x:c>
      <x:c r="AE85" s="107" t="n">
        <x:f>AE80*'Вводные'!$B$19</x:f>
        <x:v>0</x:v>
      </x:c>
      <x:c r="AF85" s="107" t="n">
        <x:f>AF80*'Вводные'!$B$19</x:f>
        <x:v>0</x:v>
      </x:c>
      <x:c r="AG85" s="107" t="n">
        <x:f>AG80*'Вводные'!$B$19</x:f>
        <x:v>0</x:v>
      </x:c>
      <x:c r="AH85" s="107" t="n">
        <x:f>AH80*'Вводные'!$B$19</x:f>
        <x:v>0</x:v>
      </x:c>
      <x:c r="AI85" s="107" t="n">
        <x:f>AI80*'Вводные'!$B$19</x:f>
        <x:v>0</x:v>
      </x:c>
      <x:c r="AJ85" s="107" t="n">
        <x:f>AJ80*'Вводные'!$B$19</x:f>
        <x:v>0</x:v>
      </x:c>
      <x:c r="AK85" s="107" t="n">
        <x:f>AK80*'Вводные'!$B$19</x:f>
        <x:v>0</x:v>
      </x:c>
      <x:c r="AL85" s="107" t="n">
        <x:f>AL80*'Вводные'!$B$19</x:f>
        <x:v>0</x:v>
      </x:c>
      <x:c r="AM85" s="107" t="n">
        <x:f>AM80*'Вводные'!$B$19</x:f>
        <x:v>0</x:v>
      </x:c>
      <x:c r="AN85" s="107" t="n">
        <x:f>AN80*'Вводные'!$B$19</x:f>
        <x:v>0</x:v>
      </x:c>
      <x:c r="AO85" s="107" t="n">
        <x:f>AO80*'Вводные'!$B$19</x:f>
        <x:v>0</x:v>
      </x:c>
      <x:c r="AP85" s="107" t="n">
        <x:f>AP80*'Вводные'!$B$19</x:f>
        <x:v>0</x:v>
      </x:c>
      <x:c r="AQ85" s="107" t="n">
        <x:f>AQ80*'Вводные'!$B$19</x:f>
        <x:v>0</x:v>
      </x:c>
      <x:c r="AR85" s="107" t="n">
        <x:f>AR80*'Вводные'!$B$19</x:f>
        <x:v>0</x:v>
      </x:c>
      <x:c r="AS85" s="107" t="n">
        <x:f>AS80*'Вводные'!$B$19</x:f>
        <x:v>0</x:v>
      </x:c>
      <x:c r="AT85" s="107" t="n">
        <x:f>AT80*'Вводные'!$B$19</x:f>
        <x:v>0</x:v>
      </x:c>
      <x:c r="AU85" s="107" t="n">
        <x:f>AU80*'Вводные'!$B$19</x:f>
        <x:v>0</x:v>
      </x:c>
      <x:c r="AV85" s="107" t="n">
        <x:f>AV80*'Вводные'!$B$19</x:f>
        <x:v>0</x:v>
      </x:c>
      <x:c r="AW85" s="107" t="n">
        <x:f>AW80*'Вводные'!$B$19</x:f>
        <x:v>0</x:v>
      </x:c>
      <x:c r="AX85" s="107" t="n">
        <x:f>AX80*'Вводные'!$B$19</x:f>
        <x:v>0</x:v>
      </x:c>
      <x:c r="AY85" s="107" t="n">
        <x:f>AY80*'Вводные'!$B$19</x:f>
        <x:v>0</x:v>
      </x:c>
      <x:c r="AZ85" s="107" t="n">
        <x:f>AZ80*'Вводные'!$B$19</x:f>
        <x:v>0</x:v>
      </x:c>
      <x:c r="BA85" s="107" t="n">
        <x:f>BA80*'Вводные'!$B$19</x:f>
        <x:v>0</x:v>
      </x:c>
      <x:c r="BB85" s="107" t="n">
        <x:f>BB80*'Вводные'!$B$19</x:f>
        <x:v>0</x:v>
      </x:c>
      <x:c r="BC85" s="107" t="n">
        <x:f>BC80*'Вводные'!$B$19</x:f>
        <x:v>0</x:v>
      </x:c>
      <x:c r="BD85" s="107" t="n">
        <x:f>BD80*'Вводные'!$B$19</x:f>
        <x:v>0</x:v>
      </x:c>
      <x:c r="BE85" s="107" t="n">
        <x:f>BE80*'Вводные'!$B$19</x:f>
        <x:v>0</x:v>
      </x:c>
      <x:c r="BF85" s="107" t="n">
        <x:f>BF80*'Вводные'!$B$19</x:f>
        <x:v>0</x:v>
      </x:c>
      <x:c r="BG85" s="107" t="n">
        <x:f>BG80*'Вводные'!$B$19</x:f>
        <x:v>0</x:v>
      </x:c>
      <x:c r="BH85" s="107" t="n">
        <x:f>BH80*'Вводные'!$B$19</x:f>
        <x:v>0</x:v>
      </x:c>
      <x:c r="BI85" s="107" t="n">
        <x:f>BI80*'Вводные'!$B$19</x:f>
        <x:v>0</x:v>
      </x:c>
      <x:c r="BJ85" s="107" t="n">
        <x:f>BJ80*'Вводные'!$B$19</x:f>
        <x:v>0</x:v>
      </x:c>
      <x:c r="BK85" s="107" t="n">
        <x:f>BK80*'Вводные'!$B$19</x:f>
        <x:v>0</x:v>
      </x:c>
      <x:c r="BL85" s="107" t="n">
        <x:f>BL80*'Вводные'!$B$19</x:f>
        <x:v>0</x:v>
      </x:c>
      <x:c r="BM85" s="107" t="n">
        <x:f>BM80*'Вводные'!$B$19</x:f>
        <x:v>0</x:v>
      </x:c>
      <x:c r="BN85" s="107" t="n">
        <x:f>BN80*'Вводные'!$B$19</x:f>
        <x:v>0</x:v>
      </x:c>
      <x:c r="BO85" s="107" t="n">
        <x:f>BO80*'Вводные'!$B$19</x:f>
        <x:v>0</x:v>
      </x:c>
      <x:c r="BP85" s="107" t="n">
        <x:f>BP80*'Вводные'!$B$19</x:f>
        <x:v>0</x:v>
      </x:c>
      <x:c r="BQ85" s="107" t="n">
        <x:f>BQ80*'Вводные'!$B$19</x:f>
        <x:v>0</x:v>
      </x:c>
      <x:c r="BR85" s="107" t="n">
        <x:f>BR80*'Вводные'!$B$19</x:f>
        <x:v>0</x:v>
      </x:c>
      <x:c r="BS85" s="107" t="n">
        <x:f>BS80*'Вводные'!$B$19</x:f>
        <x:v>0</x:v>
      </x:c>
      <x:c r="BT85" s="107" t="n">
        <x:f>BT80*'Вводные'!$B$19</x:f>
        <x:v>0</x:v>
      </x:c>
      <x:c r="BU85" s="107" t="n">
        <x:f>BU80*'Вводные'!$B$19</x:f>
        <x:v>0</x:v>
      </x:c>
      <x:c r="BV85" s="107" t="n">
        <x:f>BV80*'Вводные'!$B$19</x:f>
        <x:v>0</x:v>
      </x:c>
      <x:c r="BW85" s="107" t="n">
        <x:f>BW80*'Вводные'!$B$19</x:f>
        <x:v>0</x:v>
      </x:c>
      <x:c r="BX85" s="107" t="n">
        <x:f>BX80*'Вводные'!$B$19</x:f>
        <x:v>0</x:v>
      </x:c>
      <x:c r="BY85" s="107" t="n">
        <x:f>BY80*'Вводные'!$B$19</x:f>
        <x:v>0</x:v>
      </x:c>
      <x:c r="BZ85" s="107" t="n">
        <x:f>BZ80*'Вводные'!$B$19</x:f>
        <x:v>0</x:v>
      </x:c>
      <x:c r="CA85" s="107" t="n">
        <x:f>CA80*'Вводные'!$B$19</x:f>
        <x:v>0</x:v>
      </x:c>
      <x:c r="CB85" s="107" t="n">
        <x:f>CB80*'Вводные'!$B$19</x:f>
        <x:v>0</x:v>
      </x:c>
      <x:c r="CC85" s="107" t="n">
        <x:f>CC80*'Вводные'!$B$19</x:f>
        <x:v>0</x:v>
      </x:c>
      <x:c r="CD85" s="107" t="n">
        <x:f>CD80*'Вводные'!$B$19</x:f>
        <x:v>0</x:v>
      </x:c>
      <x:c r="CE85" s="107" t="n">
        <x:f>CE80*'Вводные'!$B$19</x:f>
        <x:v>0</x:v>
      </x:c>
      <x:c r="CF85" s="107" t="n">
        <x:f>CF80*'Вводные'!$B$19</x:f>
        <x:v>0</x:v>
      </x:c>
      <x:c r="CG85" s="107" t="n">
        <x:f>CG80*'Вводные'!$B$19</x:f>
        <x:v>0</x:v>
      </x:c>
      <x:c r="CH85" s="107" t="n">
        <x:f>CH80*'Вводные'!$B$19</x:f>
        <x:v>0</x:v>
      </x:c>
      <x:c r="CI85" s="107" t="n">
        <x:f>CI80*'Вводные'!$B$19</x:f>
        <x:v>0</x:v>
      </x:c>
      <x:c r="CJ85" s="107" t="n">
        <x:f>CJ80*'Вводные'!$B$19</x:f>
        <x:v>0</x:v>
      </x:c>
      <x:c r="CK85" s="107" t="n">
        <x:f>CK80*'Вводные'!$B$19</x:f>
        <x:v>0</x:v>
      </x:c>
      <x:c r="CL85" s="107" t="n">
        <x:f>CL80*'Вводные'!$B$19</x:f>
        <x:v>0</x:v>
      </x:c>
      <x:c r="CM85" s="107" t="n">
        <x:f>CM80*'Вводные'!$B$19</x:f>
        <x:v>0</x:v>
      </x:c>
      <x:c r="CN85" s="107" t="n">
        <x:f>CN80*'Вводные'!$B$19</x:f>
        <x:v>0</x:v>
      </x:c>
      <x:c r="CO85" s="107" t="n">
        <x:f>CO80*'Вводные'!$B$19</x:f>
        <x:v>0</x:v>
      </x:c>
      <x:c r="CP85" s="107" t="n">
        <x:f>CP80*'Вводные'!$B$19</x:f>
        <x:v>0</x:v>
      </x:c>
      <x:c r="CQ85" s="107" t="n">
        <x:f>CQ80*'Вводные'!$B$19</x:f>
        <x:v>0</x:v>
      </x:c>
      <x:c r="CR85" s="107" t="n">
        <x:f>CR80*'Вводные'!$B$19</x:f>
        <x:v>0</x:v>
      </x:c>
      <x:c r="CS85" s="107" t="n">
        <x:f>CS80*'Вводные'!$B$19</x:f>
        <x:v>0</x:v>
      </x:c>
      <x:c r="CT85" s="107" t="n">
        <x:f>CT80*'Вводные'!$B$19</x:f>
        <x:v>0</x:v>
      </x:c>
      <x:c r="CU85" s="107" t="n">
        <x:f>CU80*'Вводные'!$B$19</x:f>
        <x:v>0</x:v>
      </x:c>
      <x:c r="CV85" s="107" t="n">
        <x:f>CV80*'Вводные'!$B$19</x:f>
        <x:v>0</x:v>
      </x:c>
      <x:c r="CW85" s="107" t="n">
        <x:f>CW80*'Вводные'!$B$19</x:f>
        <x:v>0</x:v>
      </x:c>
      <x:c r="CX85" s="107" t="n">
        <x:f>CX80*'Вводные'!$B$19</x:f>
        <x:v>0</x:v>
      </x:c>
      <x:c r="CY85" s="107" t="n">
        <x:f>CY80*'Вводные'!$B$19</x:f>
        <x:v>0</x:v>
      </x:c>
      <x:c r="CZ85" s="107" t="n">
        <x:f>CZ80*'Вводные'!$B$19</x:f>
        <x:v>0</x:v>
      </x:c>
      <x:c r="DA85" s="107" t="n">
        <x:f>DA80*'Вводные'!$B$19</x:f>
        <x:v>0</x:v>
      </x:c>
      <x:c r="DB85" s="107" t="n">
        <x:f>DB80*'Вводные'!$B$19</x:f>
        <x:v>0</x:v>
      </x:c>
      <x:c r="DC85" s="107" t="n">
        <x:f>DC80*'Вводные'!$B$19</x:f>
        <x:v>0</x:v>
      </x:c>
      <x:c r="DD85" s="107" t="n">
        <x:f>DD80*'Вводные'!$B$19</x:f>
        <x:v>0</x:v>
      </x:c>
      <x:c r="DE85" s="107" t="n">
        <x:f>DE80*'Вводные'!$B$19</x:f>
        <x:v>0</x:v>
      </x:c>
      <x:c r="DF85" s="107" t="n">
        <x:f>DF80*'Вводные'!$B$19</x:f>
        <x:v>0</x:v>
      </x:c>
      <x:c r="DG85" s="107" t="n">
        <x:f>DG80*'Вводные'!$B$19</x:f>
        <x:v>0</x:v>
      </x:c>
      <x:c r="DH85" s="107" t="n">
        <x:f>DH80*'Вводные'!$B$19</x:f>
        <x:v>0</x:v>
      </x:c>
      <x:c r="DI85" s="107" t="n">
        <x:f>DI80*'Вводные'!$B$19</x:f>
        <x:v>0</x:v>
      </x:c>
      <x:c r="DJ85" s="107" t="n">
        <x:f>DJ80*'Вводные'!$B$19</x:f>
        <x:v>0</x:v>
      </x:c>
      <x:c r="DK85" s="107" t="n">
        <x:f>DK80*'Вводные'!$B$19</x:f>
        <x:v>0</x:v>
      </x:c>
      <x:c r="DL85" s="107" t="n">
        <x:f>DL80*'Вводные'!$B$19</x:f>
        <x:v>0</x:v>
      </x:c>
      <x:c r="DM85" s="107" t="n">
        <x:f>DM80*'Вводные'!$B$19</x:f>
        <x:v>0</x:v>
      </x:c>
      <x:c r="DN85" s="107" t="n">
        <x:f>DN80*'Вводные'!$B$19</x:f>
        <x:v>0</x:v>
      </x:c>
      <x:c r="DO85" s="107" t="n">
        <x:f>DO80*'Вводные'!$B$19</x:f>
        <x:v>0</x:v>
      </x:c>
      <x:c r="DP85" s="107" t="n">
        <x:f>DP80*'Вводные'!$B$19</x:f>
        <x:v>0</x:v>
      </x:c>
      <x:c r="DQ85" s="107" t="n">
        <x:f>DQ80*'Вводные'!$B$19</x:f>
        <x:v>0</x:v>
      </x:c>
      <x:c r="DR85" s="107" t="n">
        <x:f>DR80*'Вводные'!$B$19</x:f>
        <x:v>0</x:v>
      </x:c>
      <x:c r="DS85" s="107" t="n">
        <x:f>DS80*'Вводные'!$B$19</x:f>
        <x:v>0</x:v>
      </x:c>
    </x:row>
    <x:row r="86">
      <x:c r="A86" t="str">
        <x:v>Расходы на продажи</x:v>
      </x:c>
      <x:c r="B86" s="107" t="n">
        <x:f>SUM(D86:DS86)</x:f>
        <x:v>0</x:v>
      </x:c>
      <x:c r="C86" t="str">
        <x:v>млн ₽</x:v>
      </x:c>
      <x:c r="D86" s="107" t="n">
        <x:f>D80*'Вводные'!$B$20</x:f>
        <x:v>0</x:v>
      </x:c>
      <x:c r="E86" s="107" t="n">
        <x:f>E80*'Вводные'!$B$20</x:f>
        <x:v>0</x:v>
      </x:c>
      <x:c r="F86" s="107" t="n">
        <x:f>F80*'Вводные'!$B$20</x:f>
        <x:v>0</x:v>
      </x:c>
      <x:c r="G86" s="107" t="n">
        <x:f>G80*'Вводные'!$B$20</x:f>
        <x:v>0</x:v>
      </x:c>
      <x:c r="H86" s="107" t="n">
        <x:f>H80*'Вводные'!$B$20</x:f>
        <x:v>0</x:v>
      </x:c>
      <x:c r="I86" s="107" t="n">
        <x:f>I80*'Вводные'!$B$20</x:f>
        <x:v>0</x:v>
      </x:c>
      <x:c r="J86" s="107" t="n">
        <x:f>J80*'Вводные'!$B$20</x:f>
        <x:v>0</x:v>
      </x:c>
      <x:c r="K86" s="107" t="n">
        <x:f>K80*'Вводные'!$B$20</x:f>
        <x:v>0</x:v>
      </x:c>
      <x:c r="L86" s="107" t="n">
        <x:f>L80*'Вводные'!$B$20</x:f>
        <x:v>0</x:v>
      </x:c>
      <x:c r="M86" s="107" t="n">
        <x:f>M80*'Вводные'!$B$20</x:f>
        <x:v>0</x:v>
      </x:c>
      <x:c r="N86" s="107" t="n">
        <x:f>N80*'Вводные'!$B$20</x:f>
        <x:v>0</x:v>
      </x:c>
      <x:c r="O86" s="107" t="n">
        <x:f>O80*'Вводные'!$B$20</x:f>
        <x:v>0</x:v>
      </x:c>
      <x:c r="P86" s="107" t="n">
        <x:f>P80*'Вводные'!$B$20</x:f>
        <x:v>0</x:v>
      </x:c>
      <x:c r="Q86" s="107" t="n">
        <x:f>Q80*'Вводные'!$B$20</x:f>
        <x:v>0</x:v>
      </x:c>
      <x:c r="R86" s="107" t="n">
        <x:f>R80*'Вводные'!$B$20</x:f>
        <x:v>0</x:v>
      </x:c>
      <x:c r="S86" s="107" t="n">
        <x:f>S80*'Вводные'!$B$20</x:f>
        <x:v>0</x:v>
      </x:c>
      <x:c r="T86" s="107" t="n">
        <x:f>T80*'Вводные'!$B$20</x:f>
        <x:v>0</x:v>
      </x:c>
      <x:c r="U86" s="107" t="n">
        <x:f>U80*'Вводные'!$B$20</x:f>
        <x:v>0</x:v>
      </x:c>
      <x:c r="V86" s="107" t="n">
        <x:f>V80*'Вводные'!$B$20</x:f>
        <x:v>0</x:v>
      </x:c>
      <x:c r="W86" s="107" t="n">
        <x:f>W80*'Вводные'!$B$20</x:f>
        <x:v>0</x:v>
      </x:c>
      <x:c r="X86" s="107" t="n">
        <x:f>X80*'Вводные'!$B$20</x:f>
        <x:v>0</x:v>
      </x:c>
      <x:c r="Y86" s="107" t="n">
        <x:f>Y80*'Вводные'!$B$20</x:f>
        <x:v>0</x:v>
      </x:c>
      <x:c r="Z86" s="107" t="n">
        <x:f>Z80*'Вводные'!$B$20</x:f>
        <x:v>0</x:v>
      </x:c>
      <x:c r="AA86" s="107" t="n">
        <x:f>AA80*'Вводные'!$B$20</x:f>
        <x:v>0</x:v>
      </x:c>
      <x:c r="AB86" s="107" t="n">
        <x:f>AB80*'Вводные'!$B$20</x:f>
        <x:v>0</x:v>
      </x:c>
      <x:c r="AC86" s="107" t="n">
        <x:f>AC80*'Вводные'!$B$20</x:f>
        <x:v>0</x:v>
      </x:c>
      <x:c r="AD86" s="107" t="n">
        <x:f>AD80*'Вводные'!$B$20</x:f>
        <x:v>0</x:v>
      </x:c>
      <x:c r="AE86" s="107" t="n">
        <x:f>AE80*'Вводные'!$B$20</x:f>
        <x:v>0</x:v>
      </x:c>
      <x:c r="AF86" s="107" t="n">
        <x:f>AF80*'Вводные'!$B$20</x:f>
        <x:v>0</x:v>
      </x:c>
      <x:c r="AG86" s="107" t="n">
        <x:f>AG80*'Вводные'!$B$20</x:f>
        <x:v>0</x:v>
      </x:c>
      <x:c r="AH86" s="107" t="n">
        <x:f>AH80*'Вводные'!$B$20</x:f>
        <x:v>0</x:v>
      </x:c>
      <x:c r="AI86" s="107" t="n">
        <x:f>AI80*'Вводные'!$B$20</x:f>
        <x:v>0</x:v>
      </x:c>
      <x:c r="AJ86" s="107" t="n">
        <x:f>AJ80*'Вводные'!$B$20</x:f>
        <x:v>0</x:v>
      </x:c>
      <x:c r="AK86" s="107" t="n">
        <x:f>AK80*'Вводные'!$B$20</x:f>
        <x:v>0</x:v>
      </x:c>
      <x:c r="AL86" s="107" t="n">
        <x:f>AL80*'Вводные'!$B$20</x:f>
        <x:v>0</x:v>
      </x:c>
      <x:c r="AM86" s="107" t="n">
        <x:f>AM80*'Вводные'!$B$20</x:f>
        <x:v>0</x:v>
      </x:c>
      <x:c r="AN86" s="107" t="n">
        <x:f>AN80*'Вводные'!$B$20</x:f>
        <x:v>0</x:v>
      </x:c>
      <x:c r="AO86" s="107" t="n">
        <x:f>AO80*'Вводные'!$B$20</x:f>
        <x:v>0</x:v>
      </x:c>
      <x:c r="AP86" s="107" t="n">
        <x:f>AP80*'Вводные'!$B$20</x:f>
        <x:v>0</x:v>
      </x:c>
      <x:c r="AQ86" s="107" t="n">
        <x:f>AQ80*'Вводные'!$B$20</x:f>
        <x:v>0</x:v>
      </x:c>
      <x:c r="AR86" s="107" t="n">
        <x:f>AR80*'Вводные'!$B$20</x:f>
        <x:v>0</x:v>
      </x:c>
      <x:c r="AS86" s="107" t="n">
        <x:f>AS80*'Вводные'!$B$20</x:f>
        <x:v>0</x:v>
      </x:c>
      <x:c r="AT86" s="107" t="n">
        <x:f>AT80*'Вводные'!$B$20</x:f>
        <x:v>0</x:v>
      </x:c>
      <x:c r="AU86" s="107" t="n">
        <x:f>AU80*'Вводные'!$B$20</x:f>
        <x:v>0</x:v>
      </x:c>
      <x:c r="AV86" s="107" t="n">
        <x:f>AV80*'Вводные'!$B$20</x:f>
        <x:v>0</x:v>
      </x:c>
      <x:c r="AW86" s="107" t="n">
        <x:f>AW80*'Вводные'!$B$20</x:f>
        <x:v>0</x:v>
      </x:c>
      <x:c r="AX86" s="107" t="n">
        <x:f>AX80*'Вводные'!$B$20</x:f>
        <x:v>0</x:v>
      </x:c>
      <x:c r="AY86" s="107" t="n">
        <x:f>AY80*'Вводные'!$B$20</x:f>
        <x:v>0</x:v>
      </x:c>
      <x:c r="AZ86" s="107" t="n">
        <x:f>AZ80*'Вводные'!$B$20</x:f>
        <x:v>0</x:v>
      </x:c>
      <x:c r="BA86" s="107" t="n">
        <x:f>BA80*'Вводные'!$B$20</x:f>
        <x:v>0</x:v>
      </x:c>
      <x:c r="BB86" s="107" t="n">
        <x:f>BB80*'Вводные'!$B$20</x:f>
        <x:v>0</x:v>
      </x:c>
      <x:c r="BC86" s="107" t="n">
        <x:f>BC80*'Вводные'!$B$20</x:f>
        <x:v>0</x:v>
      </x:c>
      <x:c r="BD86" s="107" t="n">
        <x:f>BD80*'Вводные'!$B$20</x:f>
        <x:v>0</x:v>
      </x:c>
      <x:c r="BE86" s="107" t="n">
        <x:f>BE80*'Вводные'!$B$20</x:f>
        <x:v>0</x:v>
      </x:c>
      <x:c r="BF86" s="107" t="n">
        <x:f>BF80*'Вводные'!$B$20</x:f>
        <x:v>0</x:v>
      </x:c>
      <x:c r="BG86" s="107" t="n">
        <x:f>BG80*'Вводные'!$B$20</x:f>
        <x:v>0</x:v>
      </x:c>
      <x:c r="BH86" s="107" t="n">
        <x:f>BH80*'Вводные'!$B$20</x:f>
        <x:v>0</x:v>
      </x:c>
      <x:c r="BI86" s="107" t="n">
        <x:f>BI80*'Вводные'!$B$20</x:f>
        <x:v>0</x:v>
      </x:c>
      <x:c r="BJ86" s="107" t="n">
        <x:f>BJ80*'Вводные'!$B$20</x:f>
        <x:v>0</x:v>
      </x:c>
      <x:c r="BK86" s="107" t="n">
        <x:f>BK80*'Вводные'!$B$20</x:f>
        <x:v>0</x:v>
      </x:c>
      <x:c r="BL86" s="107" t="n">
        <x:f>BL80*'Вводные'!$B$20</x:f>
        <x:v>0</x:v>
      </x:c>
      <x:c r="BM86" s="107" t="n">
        <x:f>BM80*'Вводные'!$B$20</x:f>
        <x:v>0</x:v>
      </x:c>
      <x:c r="BN86" s="107" t="n">
        <x:f>BN80*'Вводные'!$B$20</x:f>
        <x:v>0</x:v>
      </x:c>
      <x:c r="BO86" s="107" t="n">
        <x:f>BO80*'Вводные'!$B$20</x:f>
        <x:v>0</x:v>
      </x:c>
      <x:c r="BP86" s="107" t="n">
        <x:f>BP80*'Вводные'!$B$20</x:f>
        <x:v>0</x:v>
      </x:c>
      <x:c r="BQ86" s="107" t="n">
        <x:f>BQ80*'Вводные'!$B$20</x:f>
        <x:v>0</x:v>
      </x:c>
      <x:c r="BR86" s="107" t="n">
        <x:f>BR80*'Вводные'!$B$20</x:f>
        <x:v>0</x:v>
      </x:c>
      <x:c r="BS86" s="107" t="n">
        <x:f>BS80*'Вводные'!$B$20</x:f>
        <x:v>0</x:v>
      </x:c>
      <x:c r="BT86" s="107" t="n">
        <x:f>BT80*'Вводные'!$B$20</x:f>
        <x:v>0</x:v>
      </x:c>
      <x:c r="BU86" s="107" t="n">
        <x:f>BU80*'Вводные'!$B$20</x:f>
        <x:v>0</x:v>
      </x:c>
      <x:c r="BV86" s="107" t="n">
        <x:f>BV80*'Вводные'!$B$20</x:f>
        <x:v>0</x:v>
      </x:c>
      <x:c r="BW86" s="107" t="n">
        <x:f>BW80*'Вводные'!$B$20</x:f>
        <x:v>0</x:v>
      </x:c>
      <x:c r="BX86" s="107" t="n">
        <x:f>BX80*'Вводные'!$B$20</x:f>
        <x:v>0</x:v>
      </x:c>
      <x:c r="BY86" s="107" t="n">
        <x:f>BY80*'Вводные'!$B$20</x:f>
        <x:v>0</x:v>
      </x:c>
      <x:c r="BZ86" s="107" t="n">
        <x:f>BZ80*'Вводные'!$B$20</x:f>
        <x:v>0</x:v>
      </x:c>
      <x:c r="CA86" s="107" t="n">
        <x:f>CA80*'Вводные'!$B$20</x:f>
        <x:v>0</x:v>
      </x:c>
      <x:c r="CB86" s="107" t="n">
        <x:f>CB80*'Вводные'!$B$20</x:f>
        <x:v>0</x:v>
      </x:c>
      <x:c r="CC86" s="107" t="n">
        <x:f>CC80*'Вводные'!$B$20</x:f>
        <x:v>0</x:v>
      </x:c>
      <x:c r="CD86" s="107" t="n">
        <x:f>CD80*'Вводные'!$B$20</x:f>
        <x:v>0</x:v>
      </x:c>
      <x:c r="CE86" s="107" t="n">
        <x:f>CE80*'Вводные'!$B$20</x:f>
        <x:v>0</x:v>
      </x:c>
      <x:c r="CF86" s="107" t="n">
        <x:f>CF80*'Вводные'!$B$20</x:f>
        <x:v>0</x:v>
      </x:c>
      <x:c r="CG86" s="107" t="n">
        <x:f>CG80*'Вводные'!$B$20</x:f>
        <x:v>0</x:v>
      </x:c>
      <x:c r="CH86" s="107" t="n">
        <x:f>CH80*'Вводные'!$B$20</x:f>
        <x:v>0</x:v>
      </x:c>
      <x:c r="CI86" s="107" t="n">
        <x:f>CI80*'Вводные'!$B$20</x:f>
        <x:v>0</x:v>
      </x:c>
      <x:c r="CJ86" s="107" t="n">
        <x:f>CJ80*'Вводные'!$B$20</x:f>
        <x:v>0</x:v>
      </x:c>
      <x:c r="CK86" s="107" t="n">
        <x:f>CK80*'Вводные'!$B$20</x:f>
        <x:v>0</x:v>
      </x:c>
      <x:c r="CL86" s="107" t="n">
        <x:f>CL80*'Вводные'!$B$20</x:f>
        <x:v>0</x:v>
      </x:c>
      <x:c r="CM86" s="107" t="n">
        <x:f>CM80*'Вводные'!$B$20</x:f>
        <x:v>0</x:v>
      </x:c>
      <x:c r="CN86" s="107" t="n">
        <x:f>CN80*'Вводные'!$B$20</x:f>
        <x:v>0</x:v>
      </x:c>
      <x:c r="CO86" s="107" t="n">
        <x:f>CO80*'Вводные'!$B$20</x:f>
        <x:v>0</x:v>
      </x:c>
      <x:c r="CP86" s="107" t="n">
        <x:f>CP80*'Вводные'!$B$20</x:f>
        <x:v>0</x:v>
      </x:c>
      <x:c r="CQ86" s="107" t="n">
        <x:f>CQ80*'Вводные'!$B$20</x:f>
        <x:v>0</x:v>
      </x:c>
      <x:c r="CR86" s="107" t="n">
        <x:f>CR80*'Вводные'!$B$20</x:f>
        <x:v>0</x:v>
      </x:c>
      <x:c r="CS86" s="107" t="n">
        <x:f>CS80*'Вводные'!$B$20</x:f>
        <x:v>0</x:v>
      </x:c>
      <x:c r="CT86" s="107" t="n">
        <x:f>CT80*'Вводные'!$B$20</x:f>
        <x:v>0</x:v>
      </x:c>
      <x:c r="CU86" s="107" t="n">
        <x:f>CU80*'Вводные'!$B$20</x:f>
        <x:v>0</x:v>
      </x:c>
      <x:c r="CV86" s="107" t="n">
        <x:f>CV80*'Вводные'!$B$20</x:f>
        <x:v>0</x:v>
      </x:c>
      <x:c r="CW86" s="107" t="n">
        <x:f>CW80*'Вводные'!$B$20</x:f>
        <x:v>0</x:v>
      </x:c>
      <x:c r="CX86" s="107" t="n">
        <x:f>CX80*'Вводные'!$B$20</x:f>
        <x:v>0</x:v>
      </x:c>
      <x:c r="CY86" s="107" t="n">
        <x:f>CY80*'Вводные'!$B$20</x:f>
        <x:v>0</x:v>
      </x:c>
      <x:c r="CZ86" s="107" t="n">
        <x:f>CZ80*'Вводные'!$B$20</x:f>
        <x:v>0</x:v>
      </x:c>
      <x:c r="DA86" s="107" t="n">
        <x:f>DA80*'Вводные'!$B$20</x:f>
        <x:v>0</x:v>
      </x:c>
      <x:c r="DB86" s="107" t="n">
        <x:f>DB80*'Вводные'!$B$20</x:f>
        <x:v>0</x:v>
      </x:c>
      <x:c r="DC86" s="107" t="n">
        <x:f>DC80*'Вводные'!$B$20</x:f>
        <x:v>0</x:v>
      </x:c>
      <x:c r="DD86" s="107" t="n">
        <x:f>DD80*'Вводные'!$B$20</x:f>
        <x:v>0</x:v>
      </x:c>
      <x:c r="DE86" s="107" t="n">
        <x:f>DE80*'Вводные'!$B$20</x:f>
        <x:v>0</x:v>
      </x:c>
      <x:c r="DF86" s="107" t="n">
        <x:f>DF80*'Вводные'!$B$20</x:f>
        <x:v>0</x:v>
      </x:c>
      <x:c r="DG86" s="107" t="n">
        <x:f>DG80*'Вводные'!$B$20</x:f>
        <x:v>0</x:v>
      </x:c>
      <x:c r="DH86" s="107" t="n">
        <x:f>DH80*'Вводные'!$B$20</x:f>
        <x:v>0</x:v>
      </x:c>
      <x:c r="DI86" s="107" t="n">
        <x:f>DI80*'Вводные'!$B$20</x:f>
        <x:v>0</x:v>
      </x:c>
      <x:c r="DJ86" s="107" t="n">
        <x:f>DJ80*'Вводные'!$B$20</x:f>
        <x:v>0</x:v>
      </x:c>
      <x:c r="DK86" s="107" t="n">
        <x:f>DK80*'Вводные'!$B$20</x:f>
        <x:v>0</x:v>
      </x:c>
      <x:c r="DL86" s="107" t="n">
        <x:f>DL80*'Вводные'!$B$20</x:f>
        <x:v>0</x:v>
      </x:c>
      <x:c r="DM86" s="107" t="n">
        <x:f>DM80*'Вводные'!$B$20</x:f>
        <x:v>0</x:v>
      </x:c>
      <x:c r="DN86" s="107" t="n">
        <x:f>DN80*'Вводные'!$B$20</x:f>
        <x:v>0</x:v>
      </x:c>
      <x:c r="DO86" s="107" t="n">
        <x:f>DO80*'Вводные'!$B$20</x:f>
        <x:v>0</x:v>
      </x:c>
      <x:c r="DP86" s="107" t="n">
        <x:f>DP80*'Вводные'!$B$20</x:f>
        <x:v>0</x:v>
      </x:c>
      <x:c r="DQ86" s="107" t="n">
        <x:f>DQ80*'Вводные'!$B$20</x:f>
        <x:v>0</x:v>
      </x:c>
      <x:c r="DR86" s="107" t="n">
        <x:f>DR80*'Вводные'!$B$20</x:f>
        <x:v>0</x:v>
      </x:c>
      <x:c r="DS86" s="107" t="n">
        <x:f>DS80*'Вводные'!$B$20</x:f>
        <x:v>0</x:v>
      </x:c>
    </x:row>
    <x:row r="87">
      <x:c r="A87" s="348" t="str">
        <x:v>Расходы объекта всего</x:v>
      </x:c>
      <x:c r="B87" s="348" t="n">
        <x:f>SUM(D87:DS87)</x:f>
        <x:v>0</x:v>
      </x:c>
      <x:c r="C87" s="348" t="str">
        <x:v>млн ₽</x:v>
      </x:c>
      <x:c r="D87" s="348" t="n">
        <x:f>SUM(D84:D86)</x:f>
        <x:v>0</x:v>
      </x:c>
      <x:c r="E87" s="348" t="n">
        <x:f>SUM(E84:E86)</x:f>
        <x:v>0</x:v>
      </x:c>
      <x:c r="F87" s="348" t="n">
        <x:f>SUM(F84:F86)</x:f>
        <x:v>0</x:v>
      </x:c>
      <x:c r="G87" s="348" t="n">
        <x:f>SUM(G84:G86)</x:f>
        <x:v>0</x:v>
      </x:c>
      <x:c r="H87" s="348" t="n">
        <x:f>SUM(H84:H86)</x:f>
        <x:v>0</x:v>
      </x:c>
      <x:c r="I87" s="348" t="n">
        <x:f>SUM(I84:I86)</x:f>
        <x:v>0</x:v>
      </x:c>
      <x:c r="J87" s="348" t="n">
        <x:f>SUM(J84:J86)</x:f>
        <x:v>0</x:v>
      </x:c>
      <x:c r="K87" s="348" t="n">
        <x:f>SUM(K84:K86)</x:f>
        <x:v>0</x:v>
      </x:c>
      <x:c r="L87" s="348" t="n">
        <x:f>SUM(L84:L86)</x:f>
        <x:v>0</x:v>
      </x:c>
      <x:c r="M87" s="348" t="n">
        <x:f>SUM(M84:M86)</x:f>
        <x:v>0</x:v>
      </x:c>
      <x:c r="N87" s="348" t="n">
        <x:f>SUM(N84:N86)</x:f>
        <x:v>0</x:v>
      </x:c>
      <x:c r="O87" s="348" t="n">
        <x:f>SUM(O84:O86)</x:f>
        <x:v>0</x:v>
      </x:c>
      <x:c r="P87" s="348" t="n">
        <x:f>SUM(P84:P86)</x:f>
        <x:v>0</x:v>
      </x:c>
      <x:c r="Q87" s="348" t="n">
        <x:f>SUM(Q84:Q86)</x:f>
        <x:v>0</x:v>
      </x:c>
      <x:c r="R87" s="348" t="n">
        <x:f>SUM(R84:R86)</x:f>
        <x:v>0</x:v>
      </x:c>
      <x:c r="S87" s="348" t="n">
        <x:f>SUM(S84:S86)</x:f>
        <x:v>0</x:v>
      </x:c>
      <x:c r="T87" s="348" t="n">
        <x:f>SUM(T84:T86)</x:f>
        <x:v>0</x:v>
      </x:c>
      <x:c r="U87" s="348" t="n">
        <x:f>SUM(U84:U86)</x:f>
        <x:v>0</x:v>
      </x:c>
      <x:c r="V87" s="348" t="n">
        <x:f>SUM(V84:V86)</x:f>
        <x:v>0</x:v>
      </x:c>
      <x:c r="W87" s="348" t="n">
        <x:f>SUM(W84:W86)</x:f>
        <x:v>0</x:v>
      </x:c>
      <x:c r="X87" s="348" t="n">
        <x:f>SUM(X84:X86)</x:f>
        <x:v>0</x:v>
      </x:c>
      <x:c r="Y87" s="348" t="n">
        <x:f>SUM(Y84:Y86)</x:f>
        <x:v>0</x:v>
      </x:c>
      <x:c r="Z87" s="348" t="n">
        <x:f>SUM(Z84:Z86)</x:f>
        <x:v>0</x:v>
      </x:c>
      <x:c r="AA87" s="348" t="n">
        <x:f>SUM(AA84:AA86)</x:f>
        <x:v>0</x:v>
      </x:c>
      <x:c r="AB87" s="348" t="n">
        <x:f>SUM(AB84:AB86)</x:f>
        <x:v>0</x:v>
      </x:c>
      <x:c r="AC87" s="348" t="n">
        <x:f>SUM(AC84:AC86)</x:f>
        <x:v>0</x:v>
      </x:c>
      <x:c r="AD87" s="348" t="n">
        <x:f>SUM(AD84:AD86)</x:f>
        <x:v>0</x:v>
      </x:c>
      <x:c r="AE87" s="348" t="n">
        <x:f>SUM(AE84:AE86)</x:f>
        <x:v>0</x:v>
      </x:c>
      <x:c r="AF87" s="348" t="n">
        <x:f>SUM(AF84:AF86)</x:f>
        <x:v>0</x:v>
      </x:c>
      <x:c r="AG87" s="348" t="n">
        <x:f>SUM(AG84:AG86)</x:f>
        <x:v>0</x:v>
      </x:c>
      <x:c r="AH87" s="348" t="n">
        <x:f>SUM(AH84:AH86)</x:f>
        <x:v>0</x:v>
      </x:c>
      <x:c r="AI87" s="348" t="n">
        <x:f>SUM(AI84:AI86)</x:f>
        <x:v>0</x:v>
      </x:c>
      <x:c r="AJ87" s="348" t="n">
        <x:f>SUM(AJ84:AJ86)</x:f>
        <x:v>0</x:v>
      </x:c>
      <x:c r="AK87" s="348" t="n">
        <x:f>SUM(AK84:AK86)</x:f>
        <x:v>0</x:v>
      </x:c>
      <x:c r="AL87" s="348" t="n">
        <x:f>SUM(AL84:AL86)</x:f>
        <x:v>0</x:v>
      </x:c>
      <x:c r="AM87" s="348" t="n">
        <x:f>SUM(AM84:AM86)</x:f>
        <x:v>0</x:v>
      </x:c>
      <x:c r="AN87" s="348" t="n">
        <x:f>SUM(AN84:AN86)</x:f>
        <x:v>0</x:v>
      </x:c>
      <x:c r="AO87" s="348" t="n">
        <x:f>SUM(AO84:AO86)</x:f>
        <x:v>0</x:v>
      </x:c>
      <x:c r="AP87" s="348" t="n">
        <x:f>SUM(AP84:AP86)</x:f>
        <x:v>0</x:v>
      </x:c>
      <x:c r="AQ87" s="348" t="n">
        <x:f>SUM(AQ84:AQ86)</x:f>
        <x:v>0</x:v>
      </x:c>
      <x:c r="AR87" s="348" t="n">
        <x:f>SUM(AR84:AR86)</x:f>
        <x:v>0</x:v>
      </x:c>
      <x:c r="AS87" s="348" t="n">
        <x:f>SUM(AS84:AS86)</x:f>
        <x:v>0</x:v>
      </x:c>
      <x:c r="AT87" s="348" t="n">
        <x:f>SUM(AT84:AT86)</x:f>
        <x:v>0</x:v>
      </x:c>
      <x:c r="AU87" s="348" t="n">
        <x:f>SUM(AU84:AU86)</x:f>
        <x:v>0</x:v>
      </x:c>
      <x:c r="AV87" s="348" t="n">
        <x:f>SUM(AV84:AV86)</x:f>
        <x:v>0</x:v>
      </x:c>
      <x:c r="AW87" s="348" t="n">
        <x:f>SUM(AW84:AW86)</x:f>
        <x:v>0</x:v>
      </x:c>
      <x:c r="AX87" s="348" t="n">
        <x:f>SUM(AX84:AX86)</x:f>
        <x:v>0</x:v>
      </x:c>
      <x:c r="AY87" s="348" t="n">
        <x:f>SUM(AY84:AY86)</x:f>
        <x:v>0</x:v>
      </x:c>
      <x:c r="AZ87" s="348" t="n">
        <x:f>SUM(AZ84:AZ86)</x:f>
        <x:v>0</x:v>
      </x:c>
      <x:c r="BA87" s="348" t="n">
        <x:f>SUM(BA84:BA86)</x:f>
        <x:v>0</x:v>
      </x:c>
      <x:c r="BB87" s="348" t="n">
        <x:f>SUM(BB84:BB86)</x:f>
        <x:v>0</x:v>
      </x:c>
      <x:c r="BC87" s="348" t="n">
        <x:f>SUM(BC84:BC86)</x:f>
        <x:v>0</x:v>
      </x:c>
      <x:c r="BD87" s="348" t="n">
        <x:f>SUM(BD84:BD86)</x:f>
        <x:v>0</x:v>
      </x:c>
      <x:c r="BE87" s="348" t="n">
        <x:f>SUM(BE84:BE86)</x:f>
        <x:v>0</x:v>
      </x:c>
      <x:c r="BF87" s="348" t="n">
        <x:f>SUM(BF84:BF86)</x:f>
        <x:v>0</x:v>
      </x:c>
      <x:c r="BG87" s="348" t="n">
        <x:f>SUM(BG84:BG86)</x:f>
        <x:v>0</x:v>
      </x:c>
      <x:c r="BH87" s="348" t="n">
        <x:f>SUM(BH84:BH86)</x:f>
        <x:v>0</x:v>
      </x:c>
      <x:c r="BI87" s="348" t="n">
        <x:f>SUM(BI84:BI86)</x:f>
        <x:v>0</x:v>
      </x:c>
      <x:c r="BJ87" s="348" t="n">
        <x:f>SUM(BJ84:BJ86)</x:f>
        <x:v>0</x:v>
      </x:c>
      <x:c r="BK87" s="348" t="n">
        <x:f>SUM(BK84:BK86)</x:f>
        <x:v>0</x:v>
      </x:c>
      <x:c r="BL87" s="348" t="n">
        <x:f>SUM(BL84:BL86)</x:f>
        <x:v>0</x:v>
      </x:c>
      <x:c r="BM87" s="348" t="n">
        <x:f>SUM(BM84:BM86)</x:f>
        <x:v>0</x:v>
      </x:c>
      <x:c r="BN87" s="348" t="n">
        <x:f>SUM(BN84:BN86)</x:f>
        <x:v>0</x:v>
      </x:c>
      <x:c r="BO87" s="348" t="n">
        <x:f>SUM(BO84:BO86)</x:f>
        <x:v>0</x:v>
      </x:c>
      <x:c r="BP87" s="348" t="n">
        <x:f>SUM(BP84:BP86)</x:f>
        <x:v>0</x:v>
      </x:c>
      <x:c r="BQ87" s="348" t="n">
        <x:f>SUM(BQ84:BQ86)</x:f>
        <x:v>0</x:v>
      </x:c>
      <x:c r="BR87" s="348" t="n">
        <x:f>SUM(BR84:BR86)</x:f>
        <x:v>0</x:v>
      </x:c>
      <x:c r="BS87" s="348" t="n">
        <x:f>SUM(BS84:BS86)</x:f>
        <x:v>0</x:v>
      </x:c>
      <x:c r="BT87" s="348" t="n">
        <x:f>SUM(BT84:BT86)</x:f>
        <x:v>0</x:v>
      </x:c>
      <x:c r="BU87" s="348" t="n">
        <x:f>SUM(BU84:BU86)</x:f>
        <x:v>0</x:v>
      </x:c>
      <x:c r="BV87" s="348" t="n">
        <x:f>SUM(BV84:BV86)</x:f>
        <x:v>0</x:v>
      </x:c>
      <x:c r="BW87" s="348" t="n">
        <x:f>SUM(BW84:BW86)</x:f>
        <x:v>0</x:v>
      </x:c>
      <x:c r="BX87" s="348" t="n">
        <x:f>SUM(BX84:BX86)</x:f>
        <x:v>0</x:v>
      </x:c>
      <x:c r="BY87" s="348" t="n">
        <x:f>SUM(BY84:BY86)</x:f>
        <x:v>0</x:v>
      </x:c>
      <x:c r="BZ87" s="348" t="n">
        <x:f>SUM(BZ84:BZ86)</x:f>
        <x:v>0</x:v>
      </x:c>
      <x:c r="CA87" s="348" t="n">
        <x:f>SUM(CA84:CA86)</x:f>
        <x:v>0</x:v>
      </x:c>
      <x:c r="CB87" s="348" t="n">
        <x:f>SUM(CB84:CB86)</x:f>
        <x:v>0</x:v>
      </x:c>
      <x:c r="CC87" s="348" t="n">
        <x:f>SUM(CC84:CC86)</x:f>
        <x:v>0</x:v>
      </x:c>
      <x:c r="CD87" s="348" t="n">
        <x:f>SUM(CD84:CD86)</x:f>
        <x:v>0</x:v>
      </x:c>
      <x:c r="CE87" s="348" t="n">
        <x:f>SUM(CE84:CE86)</x:f>
        <x:v>0</x:v>
      </x:c>
      <x:c r="CF87" s="348" t="n">
        <x:f>SUM(CF84:CF86)</x:f>
        <x:v>0</x:v>
      </x:c>
      <x:c r="CG87" s="348" t="n">
        <x:f>SUM(CG84:CG86)</x:f>
        <x:v>0</x:v>
      </x:c>
      <x:c r="CH87" s="348" t="n">
        <x:f>SUM(CH84:CH86)</x:f>
        <x:v>0</x:v>
      </x:c>
      <x:c r="CI87" s="348" t="n">
        <x:f>SUM(CI84:CI86)</x:f>
        <x:v>0</x:v>
      </x:c>
      <x:c r="CJ87" s="348" t="n">
        <x:f>SUM(CJ84:CJ86)</x:f>
        <x:v>0</x:v>
      </x:c>
      <x:c r="CK87" s="348" t="n">
        <x:f>SUM(CK84:CK86)</x:f>
        <x:v>0</x:v>
      </x:c>
      <x:c r="CL87" s="348" t="n">
        <x:f>SUM(CL84:CL86)</x:f>
        <x:v>0</x:v>
      </x:c>
      <x:c r="CM87" s="348" t="n">
        <x:f>SUM(CM84:CM86)</x:f>
        <x:v>0</x:v>
      </x:c>
      <x:c r="CN87" s="348" t="n">
        <x:f>SUM(CN84:CN86)</x:f>
        <x:v>0</x:v>
      </x:c>
      <x:c r="CO87" s="348" t="n">
        <x:f>SUM(CO84:CO86)</x:f>
        <x:v>0</x:v>
      </x:c>
      <x:c r="CP87" s="348" t="n">
        <x:f>SUM(CP84:CP86)</x:f>
        <x:v>0</x:v>
      </x:c>
      <x:c r="CQ87" s="348" t="n">
        <x:f>SUM(CQ84:CQ86)</x:f>
        <x:v>0</x:v>
      </x:c>
      <x:c r="CR87" s="348" t="n">
        <x:f>SUM(CR84:CR86)</x:f>
        <x:v>0</x:v>
      </x:c>
      <x:c r="CS87" s="348" t="n">
        <x:f>SUM(CS84:CS86)</x:f>
        <x:v>0</x:v>
      </x:c>
      <x:c r="CT87" s="348" t="n">
        <x:f>SUM(CT84:CT86)</x:f>
        <x:v>0</x:v>
      </x:c>
      <x:c r="CU87" s="348" t="n">
        <x:f>SUM(CU84:CU86)</x:f>
        <x:v>0</x:v>
      </x:c>
      <x:c r="CV87" s="348" t="n">
        <x:f>SUM(CV84:CV86)</x:f>
        <x:v>0</x:v>
      </x:c>
      <x:c r="CW87" s="348" t="n">
        <x:f>SUM(CW84:CW86)</x:f>
        <x:v>0</x:v>
      </x:c>
      <x:c r="CX87" s="348" t="n">
        <x:f>SUM(CX84:CX86)</x:f>
        <x:v>0</x:v>
      </x:c>
      <x:c r="CY87" s="348" t="n">
        <x:f>SUM(CY84:CY86)</x:f>
        <x:v>0</x:v>
      </x:c>
      <x:c r="CZ87" s="348" t="n">
        <x:f>SUM(CZ84:CZ86)</x:f>
        <x:v>0</x:v>
      </x:c>
      <x:c r="DA87" s="348" t="n">
        <x:f>SUM(DA84:DA86)</x:f>
        <x:v>0</x:v>
      </x:c>
      <x:c r="DB87" s="348" t="n">
        <x:f>SUM(DB84:DB86)</x:f>
        <x:v>0</x:v>
      </x:c>
      <x:c r="DC87" s="348" t="n">
        <x:f>SUM(DC84:DC86)</x:f>
        <x:v>0</x:v>
      </x:c>
      <x:c r="DD87" s="348" t="n">
        <x:f>SUM(DD84:DD86)</x:f>
        <x:v>0</x:v>
      </x:c>
      <x:c r="DE87" s="348" t="n">
        <x:f>SUM(DE84:DE86)</x:f>
        <x:v>0</x:v>
      </x:c>
      <x:c r="DF87" s="348" t="n">
        <x:f>SUM(DF84:DF86)</x:f>
        <x:v>0</x:v>
      </x:c>
      <x:c r="DG87" s="348" t="n">
        <x:f>SUM(DG84:DG86)</x:f>
        <x:v>0</x:v>
      </x:c>
      <x:c r="DH87" s="348" t="n">
        <x:f>SUM(DH84:DH86)</x:f>
        <x:v>0</x:v>
      </x:c>
      <x:c r="DI87" s="348" t="n">
        <x:f>SUM(DI84:DI86)</x:f>
        <x:v>0</x:v>
      </x:c>
      <x:c r="DJ87" s="348" t="n">
        <x:f>SUM(DJ84:DJ86)</x:f>
        <x:v>0</x:v>
      </x:c>
      <x:c r="DK87" s="348" t="n">
        <x:f>SUM(DK84:DK86)</x:f>
        <x:v>0</x:v>
      </x:c>
      <x:c r="DL87" s="348" t="n">
        <x:f>SUM(DL84:DL86)</x:f>
        <x:v>0</x:v>
      </x:c>
      <x:c r="DM87" s="348" t="n">
        <x:f>SUM(DM84:DM86)</x:f>
        <x:v>0</x:v>
      </x:c>
      <x:c r="DN87" s="348" t="n">
        <x:f>SUM(DN84:DN86)</x:f>
        <x:v>0</x:v>
      </x:c>
      <x:c r="DO87" s="348" t="n">
        <x:f>SUM(DO84:DO86)</x:f>
        <x:v>0</x:v>
      </x:c>
      <x:c r="DP87" s="348" t="n">
        <x:f>SUM(DP84:DP86)</x:f>
        <x:v>0</x:v>
      </x:c>
      <x:c r="DQ87" s="348" t="n">
        <x:f>SUM(DQ84:DQ86)</x:f>
        <x:v>0</x:v>
      </x:c>
      <x:c r="DR87" s="348" t="n">
        <x:f>SUM(DR84:DR86)</x:f>
        <x:v>0</x:v>
      </x:c>
      <x:c r="DS87" s="348" t="n">
        <x:f>SUM(DS84:DS86)</x:f>
        <x:v>0</x:v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  <x:v>46388</x:v>
      </x:c>
      <x:c r="E91" s="350" t="n">
        <x:f>'Ставки'!E$3</x:f>
        <x:v>46419</x:v>
      </x:c>
      <x:c r="F91" s="350" t="n">
        <x:f>'Ставки'!F$3</x:f>
        <x:v>46447</x:v>
      </x:c>
      <x:c r="G91" s="350" t="n">
        <x:f>'Ставки'!G$3</x:f>
        <x:v>46478</x:v>
      </x:c>
      <x:c r="H91" s="350" t="n">
        <x:f>'Ставки'!H$3</x:f>
        <x:v>46508</x:v>
      </x:c>
      <x:c r="I91" s="350" t="n">
        <x:f>'Ставки'!I$3</x:f>
        <x:v>46539</x:v>
      </x:c>
      <x:c r="J91" s="350" t="n">
        <x:f>'Ставки'!J$3</x:f>
        <x:v>46569</x:v>
      </x:c>
      <x:c r="K91" s="350" t="n">
        <x:f>'Ставки'!K$3</x:f>
        <x:v>46600</x:v>
      </x:c>
      <x:c r="L91" s="350" t="n">
        <x:f>'Ставки'!L$3</x:f>
        <x:v>46631</x:v>
      </x:c>
      <x:c r="M91" s="350" t="n">
        <x:f>'Ставки'!M$3</x:f>
        <x:v>46661</x:v>
      </x:c>
      <x:c r="N91" s="350" t="n">
        <x:f>'Ставки'!N$3</x:f>
        <x:v>46692</x:v>
      </x:c>
      <x:c r="O91" s="350" t="n">
        <x:f>'Ставки'!O$3</x:f>
        <x:v>46722</x:v>
      </x:c>
      <x:c r="P91" s="350" t="n">
        <x:f>'Ставки'!P$3</x:f>
        <x:v>46753</x:v>
      </x:c>
      <x:c r="Q91" s="350" t="n">
        <x:f>'Ставки'!Q$3</x:f>
        <x:v>46784</x:v>
      </x:c>
      <x:c r="R91" s="350" t="n">
        <x:f>'Ставки'!R$3</x:f>
        <x:v>46813</x:v>
      </x:c>
      <x:c r="S91" s="350" t="n">
        <x:f>'Ставки'!S$3</x:f>
        <x:v>46844</x:v>
      </x:c>
      <x:c r="T91" s="350" t="n">
        <x:f>'Ставки'!T$3</x:f>
        <x:v>46874</x:v>
      </x:c>
      <x:c r="U91" s="350" t="n">
        <x:f>'Ставки'!U$3</x:f>
        <x:v>46905</x:v>
      </x:c>
      <x:c r="V91" s="350" t="n">
        <x:f>'Ставки'!V$3</x:f>
        <x:v>46935</x:v>
      </x:c>
      <x:c r="W91" s="350" t="n">
        <x:f>'Ставки'!W$3</x:f>
        <x:v>46966</x:v>
      </x:c>
      <x:c r="X91" s="350" t="n">
        <x:f>'Ставки'!X$3</x:f>
        <x:v>46997</x:v>
      </x:c>
      <x:c r="Y91" s="350" t="n">
        <x:f>'Ставки'!Y$3</x:f>
        <x:v>47027</x:v>
      </x:c>
      <x:c r="Z91" s="350" t="n">
        <x:f>'Ставки'!Z$3</x:f>
        <x:v>47058</x:v>
      </x:c>
      <x:c r="AA91" s="350" t="n">
        <x:f>'Ставки'!AA$3</x:f>
        <x:v>47088</x:v>
      </x:c>
      <x:c r="AB91" s="350" t="n">
        <x:f>'Ставки'!AB$3</x:f>
        <x:v>47119</x:v>
      </x:c>
      <x:c r="AC91" s="350" t="n">
        <x:f>'Ставки'!AC$3</x:f>
        <x:v>47150</x:v>
      </x:c>
      <x:c r="AD91" s="350" t="n">
        <x:f>'Ставки'!AD$3</x:f>
        <x:v>47178</x:v>
      </x:c>
      <x:c r="AE91" s="350" t="n">
        <x:f>'Ставки'!AE$3</x:f>
        <x:v>47209</x:v>
      </x:c>
      <x:c r="AF91" s="350" t="n">
        <x:f>'Ставки'!AF$3</x:f>
        <x:v>47239</x:v>
      </x:c>
      <x:c r="AG91" s="350" t="n">
        <x:f>'Ставки'!AG$3</x:f>
        <x:v>47270</x:v>
      </x:c>
      <x:c r="AH91" s="350" t="n">
        <x:f>'Ставки'!AH$3</x:f>
        <x:v>47300</x:v>
      </x:c>
      <x:c r="AI91" s="350" t="n">
        <x:f>'Ставки'!AI$3</x:f>
        <x:v>47331</x:v>
      </x:c>
      <x:c r="AJ91" s="350" t="n">
        <x:f>'Ставки'!AJ$3</x:f>
        <x:v>47362</x:v>
      </x:c>
      <x:c r="AK91" s="350" t="n">
        <x:f>'Ставки'!AK$3</x:f>
        <x:v>47392</x:v>
      </x:c>
      <x:c r="AL91" s="350" t="n">
        <x:f>'Ставки'!AL$3</x:f>
        <x:v>47423</x:v>
      </x:c>
      <x:c r="AM91" s="350" t="n">
        <x:f>'Ставки'!AM$3</x:f>
        <x:v>47453</x:v>
      </x:c>
      <x:c r="AN91" s="350" t="n">
        <x:f>'Ставки'!AN$3</x:f>
        <x:v>47484</x:v>
      </x:c>
      <x:c r="AO91" s="350" t="n">
        <x:f>'Ставки'!AO$3</x:f>
        <x:v>47515</x:v>
      </x:c>
      <x:c r="AP91" s="350" t="n">
        <x:f>'Ставки'!AP$3</x:f>
        <x:v>47543</x:v>
      </x:c>
      <x:c r="AQ91" s="350" t="n">
        <x:f>'Ставки'!AQ$3</x:f>
        <x:v>47574</x:v>
      </x:c>
      <x:c r="AR91" s="350" t="n">
        <x:f>'Ставки'!AR$3</x:f>
        <x:v>47604</x:v>
      </x:c>
      <x:c r="AS91" s="350" t="n">
        <x:f>'Ставки'!AS$3</x:f>
        <x:v>47635</x:v>
      </x:c>
      <x:c r="AT91" s="350" t="n">
        <x:f>'Ставки'!AT$3</x:f>
        <x:v>47665</x:v>
      </x:c>
      <x:c r="AU91" s="350" t="n">
        <x:f>'Ставки'!AU$3</x:f>
        <x:v>47696</x:v>
      </x:c>
      <x:c r="AV91" s="350" t="n">
        <x:f>'Ставки'!AV$3</x:f>
        <x:v>47727</x:v>
      </x:c>
      <x:c r="AW91" s="350" t="n">
        <x:f>'Ставки'!AW$3</x:f>
        <x:v>47757</x:v>
      </x:c>
      <x:c r="AX91" s="350" t="n">
        <x:f>'Ставки'!AX$3</x:f>
        <x:v>47788</x:v>
      </x:c>
      <x:c r="AY91" s="350" t="n">
        <x:f>'Ставки'!AY$3</x:f>
        <x:v>47818</x:v>
      </x:c>
      <x:c r="AZ91" s="350" t="n">
        <x:f>'Ставки'!AZ$3</x:f>
        <x:v>47849</x:v>
      </x:c>
      <x:c r="BA91" s="350" t="n">
        <x:f>'Ставки'!BA$3</x:f>
        <x:v>47880</x:v>
      </x:c>
      <x:c r="BB91" s="350" t="n">
        <x:f>'Ставки'!BB$3</x:f>
        <x:v>47908</x:v>
      </x:c>
      <x:c r="BC91" s="350" t="n">
        <x:f>'Ставки'!BC$3</x:f>
        <x:v>47939</x:v>
      </x:c>
      <x:c r="BD91" s="350" t="n">
        <x:f>'Ставки'!BD$3</x:f>
        <x:v>47969</x:v>
      </x:c>
      <x:c r="BE91" s="350" t="n">
        <x:f>'Ставки'!BE$3</x:f>
        <x:v>48000</x:v>
      </x:c>
      <x:c r="BF91" s="350" t="n">
        <x:f>'Ставки'!BF$3</x:f>
        <x:v>48030</x:v>
      </x:c>
      <x:c r="BG91" s="350" t="n">
        <x:f>'Ставки'!BG$3</x:f>
        <x:v>48061</x:v>
      </x:c>
      <x:c r="BH91" s="350" t="n">
        <x:f>'Ставки'!BH$3</x:f>
        <x:v>48092</x:v>
      </x:c>
      <x:c r="BI91" s="350" t="n">
        <x:f>'Ставки'!BI$3</x:f>
        <x:v>48122</x:v>
      </x:c>
      <x:c r="BJ91" s="350" t="n">
        <x:f>'Ставки'!BJ$3</x:f>
        <x:v>48153</x:v>
      </x:c>
      <x:c r="BK91" s="350" t="n">
        <x:f>'Ставки'!BK$3</x:f>
        <x:v>48183</x:v>
      </x:c>
      <x:c r="BL91" s="350" t="n">
        <x:f>'Ставки'!BL$3</x:f>
        <x:v>48214</x:v>
      </x:c>
      <x:c r="BM91" s="350" t="n">
        <x:f>'Ставки'!BM$3</x:f>
        <x:v>48245</x:v>
      </x:c>
      <x:c r="BN91" s="350" t="n">
        <x:f>'Ставки'!BN$3</x:f>
        <x:v>48274</x:v>
      </x:c>
      <x:c r="BO91" s="350" t="n">
        <x:f>'Ставки'!BO$3</x:f>
        <x:v>48305</x:v>
      </x:c>
      <x:c r="BP91" s="350" t="n">
        <x:f>'Ставки'!BP$3</x:f>
        <x:v>48335</x:v>
      </x:c>
      <x:c r="BQ91" s="350" t="n">
        <x:f>'Ставки'!BQ$3</x:f>
        <x:v>48366</x:v>
      </x:c>
      <x:c r="BR91" s="350" t="n">
        <x:f>'Ставки'!BR$3</x:f>
        <x:v>48396</x:v>
      </x:c>
      <x:c r="BS91" s="350" t="n">
        <x:f>'Ставки'!BS$3</x:f>
        <x:v>48427</x:v>
      </x:c>
      <x:c r="BT91" s="350" t="n">
        <x:f>'Ставки'!BT$3</x:f>
        <x:v>48458</x:v>
      </x:c>
      <x:c r="BU91" s="350" t="n">
        <x:f>'Ставки'!BU$3</x:f>
        <x:v>48488</x:v>
      </x:c>
      <x:c r="BV91" s="350" t="n">
        <x:f>'Ставки'!BV$3</x:f>
        <x:v>48519</x:v>
      </x:c>
      <x:c r="BW91" s="350" t="n">
        <x:f>'Ставки'!BW$3</x:f>
        <x:v>48549</x:v>
      </x:c>
      <x:c r="BX91" s="350" t="n">
        <x:f>'Ставки'!BX$3</x:f>
        <x:v>48580</x:v>
      </x:c>
      <x:c r="BY91" s="350" t="n">
        <x:f>'Ставки'!BY$3</x:f>
        <x:v>48611</x:v>
      </x:c>
      <x:c r="BZ91" s="350" t="n">
        <x:f>'Ставки'!BZ$3</x:f>
        <x:v>48639</x:v>
      </x:c>
      <x:c r="CA91" s="350" t="n">
        <x:f>'Ставки'!CA$3</x:f>
        <x:v>48670</x:v>
      </x:c>
      <x:c r="CB91" s="350" t="n">
        <x:f>'Ставки'!CB$3</x:f>
        <x:v>48700</x:v>
      </x:c>
      <x:c r="CC91" s="350" t="n">
        <x:f>'Ставки'!CC$3</x:f>
        <x:v>48731</x:v>
      </x:c>
      <x:c r="CD91" s="350" t="n">
        <x:f>'Ставки'!CD$3</x:f>
        <x:v>48761</x:v>
      </x:c>
      <x:c r="CE91" s="350" t="n">
        <x:f>'Ставки'!CE$3</x:f>
        <x:v>48792</x:v>
      </x:c>
      <x:c r="CF91" s="350" t="n">
        <x:f>'Ставки'!CF$3</x:f>
        <x:v>48823</x:v>
      </x:c>
      <x:c r="CG91" s="350" t="n">
        <x:f>'Ставки'!CG$3</x:f>
        <x:v>48853</x:v>
      </x:c>
      <x:c r="CH91" s="350" t="n">
        <x:f>'Ставки'!CH$3</x:f>
        <x:v>48884</x:v>
      </x:c>
      <x:c r="CI91" s="350" t="n">
        <x:f>'Ставки'!CI$3</x:f>
        <x:v>48914</x:v>
      </x:c>
      <x:c r="CJ91" s="350" t="n">
        <x:f>'Ставки'!CJ$3</x:f>
        <x:v>48945</x:v>
      </x:c>
      <x:c r="CK91" s="350" t="n">
        <x:f>'Ставки'!CK$3</x:f>
        <x:v>48976</x:v>
      </x:c>
      <x:c r="CL91" s="350" t="n">
        <x:f>'Ставки'!CL$3</x:f>
        <x:v>49004</x:v>
      </x:c>
      <x:c r="CM91" s="350" t="n">
        <x:f>'Ставки'!CM$3</x:f>
        <x:v>49035</x:v>
      </x:c>
      <x:c r="CN91" s="350" t="n">
        <x:f>'Ставки'!CN$3</x:f>
        <x:v>49065</x:v>
      </x:c>
      <x:c r="CO91" s="350" t="n">
        <x:f>'Ставки'!CO$3</x:f>
        <x:v>49096</x:v>
      </x:c>
      <x:c r="CP91" s="350" t="n">
        <x:f>'Ставки'!CP$3</x:f>
        <x:v>49126</x:v>
      </x:c>
      <x:c r="CQ91" s="350" t="n">
        <x:f>'Ставки'!CQ$3</x:f>
        <x:v>49157</x:v>
      </x:c>
      <x:c r="CR91" s="350" t="n">
        <x:f>'Ставки'!CR$3</x:f>
        <x:v>49188</x:v>
      </x:c>
      <x:c r="CS91" s="350" t="n">
        <x:f>'Ставки'!CS$3</x:f>
        <x:v>49218</x:v>
      </x:c>
      <x:c r="CT91" s="350" t="n">
        <x:f>'Ставки'!CT$3</x:f>
        <x:v>49249</x:v>
      </x:c>
      <x:c r="CU91" s="350" t="n">
        <x:f>'Ставки'!CU$3</x:f>
        <x:v>49279</x:v>
      </x:c>
      <x:c r="CV91" s="350" t="n">
        <x:f>'Ставки'!CV$3</x:f>
        <x:v>49310</x:v>
      </x:c>
      <x:c r="CW91" s="350" t="n">
        <x:f>'Ставки'!CW$3</x:f>
        <x:v>49341</x:v>
      </x:c>
      <x:c r="CX91" s="350" t="n">
        <x:f>'Ставки'!CX$3</x:f>
        <x:v>49369</x:v>
      </x:c>
      <x:c r="CY91" s="350" t="n">
        <x:f>'Ставки'!CY$3</x:f>
        <x:v>49400</x:v>
      </x:c>
      <x:c r="CZ91" s="350" t="n">
        <x:f>'Ставки'!CZ$3</x:f>
        <x:v>49430</x:v>
      </x:c>
      <x:c r="DA91" s="350" t="n">
        <x:f>'Ставки'!DA$3</x:f>
        <x:v>49461</x:v>
      </x:c>
      <x:c r="DB91" s="350" t="n">
        <x:f>'Ставки'!DB$3</x:f>
        <x:v>49491</x:v>
      </x:c>
      <x:c r="DC91" s="350" t="n">
        <x:f>'Ставки'!DC$3</x:f>
        <x:v>49522</x:v>
      </x:c>
      <x:c r="DD91" s="350" t="n">
        <x:f>'Ставки'!DD$3</x:f>
        <x:v>49553</x:v>
      </x:c>
      <x:c r="DE91" s="350" t="n">
        <x:f>'Ставки'!DE$3</x:f>
        <x:v>49583</x:v>
      </x:c>
      <x:c r="DF91" s="350" t="n">
        <x:f>'Ставки'!DF$3</x:f>
        <x:v>49614</x:v>
      </x:c>
      <x:c r="DG91" s="350" t="n">
        <x:f>'Ставки'!DG$3</x:f>
        <x:v>49644</x:v>
      </x:c>
      <x:c r="DH91" s="350" t="n">
        <x:f>'Ставки'!DH$3</x:f>
        <x:v>49675</x:v>
      </x:c>
      <x:c r="DI91" s="350" t="n">
        <x:f>'Ставки'!DI$3</x:f>
        <x:v>49706</x:v>
      </x:c>
      <x:c r="DJ91" s="350" t="n">
        <x:f>'Ставки'!DJ$3</x:f>
        <x:v>49735</x:v>
      </x:c>
      <x:c r="DK91" s="350" t="n">
        <x:f>'Ставки'!DK$3</x:f>
        <x:v>49766</x:v>
      </x:c>
      <x:c r="DL91" s="350" t="n">
        <x:f>'Ставки'!DL$3</x:f>
        <x:v>49796</x:v>
      </x:c>
      <x:c r="DM91" s="350" t="n">
        <x:f>'Ставки'!DM$3</x:f>
        <x:v>49827</x:v>
      </x:c>
      <x:c r="DN91" s="350" t="n">
        <x:f>'Ставки'!DN$3</x:f>
        <x:v>49857</x:v>
      </x:c>
      <x:c r="DO91" s="350" t="n">
        <x:f>'Ставки'!DO$3</x:f>
        <x:v>49888</x:v>
      </x:c>
      <x:c r="DP91" s="350" t="n">
        <x:f>'Ставки'!DP$3</x:f>
        <x:v>49919</x:v>
      </x:c>
      <x:c r="DQ91" s="350" t="n">
        <x:f>'Ставки'!DQ$3</x:f>
        <x:v>49949</x:v>
      </x:c>
      <x:c r="DR91" s="350" t="n">
        <x:f>'Ставки'!DR$3</x:f>
        <x:v>49980</x:v>
      </x:c>
      <x:c r="DS91" s="350" t="n">
        <x:f>'Ставки'!DS$3</x:f>
        <x:v>50010</x:v>
      </x:c>
    </x:row>
    <x:row r="92">
      <x:c r="A92" t="str">
        <x:v>Очередь 1 — Выручка объектов</x:v>
      </x:c>
      <x:c r="B92" s="107" t="n">
        <x:f>SUM(D92:DS92)</x:f>
        <x:v>0</x:v>
      </x:c>
      <x:c r="C92" t="str">
        <x:v>млн ₽</x:v>
      </x:c>
      <x:c r="D92" s="107" t="n">
        <x:f>SUM(IF($B$8=1,D24,0),IF($B$36=1,D52,0),IF($B$64=1,D80,0))</x:f>
        <x:v>0</x:v>
      </x:c>
      <x:c r="E92" s="107" t="n">
        <x:f>SUM(IF($B$8=1,E24,0),IF($B$36=1,E52,0),IF($B$64=1,E80,0))</x:f>
        <x:v>0</x:v>
      </x:c>
      <x:c r="F92" s="107" t="n">
        <x:f>SUM(IF($B$8=1,F24,0),IF($B$36=1,F52,0),IF($B$64=1,F80,0))</x:f>
        <x:v>0</x:v>
      </x:c>
      <x:c r="G92" s="107" t="n">
        <x:f>SUM(IF($B$8=1,G24,0),IF($B$36=1,G52,0),IF($B$64=1,G80,0))</x:f>
        <x:v>0</x:v>
      </x:c>
      <x:c r="H92" s="107" t="n">
        <x:f>SUM(IF($B$8=1,H24,0),IF($B$36=1,H52,0),IF($B$64=1,H80,0))</x:f>
        <x:v>0</x:v>
      </x:c>
      <x:c r="I92" s="107" t="n">
        <x:f>SUM(IF($B$8=1,I24,0),IF($B$36=1,I52,0),IF($B$64=1,I80,0))</x:f>
        <x:v>0</x:v>
      </x:c>
      <x:c r="J92" s="107" t="n">
        <x:f>SUM(IF($B$8=1,J24,0),IF($B$36=1,J52,0),IF($B$64=1,J80,0))</x:f>
        <x:v>0</x:v>
      </x:c>
      <x:c r="K92" s="107" t="n">
        <x:f>SUM(IF($B$8=1,K24,0),IF($B$36=1,K52,0),IF($B$64=1,K80,0))</x:f>
        <x:v>0</x:v>
      </x:c>
      <x:c r="L92" s="107" t="n">
        <x:f>SUM(IF($B$8=1,L24,0),IF($B$36=1,L52,0),IF($B$64=1,L80,0))</x:f>
        <x:v>0</x:v>
      </x:c>
      <x:c r="M92" s="107" t="n">
        <x:f>SUM(IF($B$8=1,M24,0),IF($B$36=1,M52,0),IF($B$64=1,M80,0))</x:f>
        <x:v>0</x:v>
      </x:c>
      <x:c r="N92" s="107" t="n">
        <x:f>SUM(IF($B$8=1,N24,0),IF($B$36=1,N52,0),IF($B$64=1,N80,0))</x:f>
        <x:v>0</x:v>
      </x:c>
      <x:c r="O92" s="107" t="n">
        <x:f>SUM(IF($B$8=1,O24,0),IF($B$36=1,O52,0),IF($B$64=1,O80,0))</x:f>
        <x:v>0</x:v>
      </x:c>
      <x:c r="P92" s="107" t="n">
        <x:f>SUM(IF($B$8=1,P24,0),IF($B$36=1,P52,0),IF($B$64=1,P80,0))</x:f>
        <x:v>0</x:v>
      </x:c>
      <x:c r="Q92" s="107" t="n">
        <x:f>SUM(IF($B$8=1,Q24,0),IF($B$36=1,Q52,0),IF($B$64=1,Q80,0))</x:f>
        <x:v>0</x:v>
      </x:c>
      <x:c r="R92" s="107" t="n">
        <x:f>SUM(IF($B$8=1,R24,0),IF($B$36=1,R52,0),IF($B$64=1,R80,0))</x:f>
        <x:v>0</x:v>
      </x:c>
      <x:c r="S92" s="107" t="n">
        <x:f>SUM(IF($B$8=1,S24,0),IF($B$36=1,S52,0),IF($B$64=1,S80,0))</x:f>
        <x:v>0</x:v>
      </x:c>
      <x:c r="T92" s="107" t="n">
        <x:f>SUM(IF($B$8=1,T24,0),IF($B$36=1,T52,0),IF($B$64=1,T80,0))</x:f>
        <x:v>0</x:v>
      </x:c>
      <x:c r="U92" s="107" t="n">
        <x:f>SUM(IF($B$8=1,U24,0),IF($B$36=1,U52,0),IF($B$64=1,U80,0))</x:f>
        <x:v>0</x:v>
      </x:c>
      <x:c r="V92" s="107" t="n">
        <x:f>SUM(IF($B$8=1,V24,0),IF($B$36=1,V52,0),IF($B$64=1,V80,0))</x:f>
        <x:v>0</x:v>
      </x:c>
      <x:c r="W92" s="107" t="n">
        <x:f>SUM(IF($B$8=1,W24,0),IF($B$36=1,W52,0),IF($B$64=1,W80,0))</x:f>
        <x:v>0</x:v>
      </x:c>
      <x:c r="X92" s="107" t="n">
        <x:f>SUM(IF($B$8=1,X24,0),IF($B$36=1,X52,0),IF($B$64=1,X80,0))</x:f>
        <x:v>0</x:v>
      </x:c>
      <x:c r="Y92" s="107" t="n">
        <x:f>SUM(IF($B$8=1,Y24,0),IF($B$36=1,Y52,0),IF($B$64=1,Y80,0))</x:f>
        <x:v>0</x:v>
      </x:c>
      <x:c r="Z92" s="107" t="n">
        <x:f>SUM(IF($B$8=1,Z24,0),IF($B$36=1,Z52,0),IF($B$64=1,Z80,0))</x:f>
        <x:v>0</x:v>
      </x:c>
      <x:c r="AA92" s="107" t="n">
        <x:f>SUM(IF($B$8=1,AA24,0),IF($B$36=1,AA52,0),IF($B$64=1,AA80,0))</x:f>
        <x:v>0</x:v>
      </x:c>
      <x:c r="AB92" s="107" t="n">
        <x:f>SUM(IF($B$8=1,AB24,0),IF($B$36=1,AB52,0),IF($B$64=1,AB80,0))</x:f>
        <x:v>0</x:v>
      </x:c>
      <x:c r="AC92" s="107" t="n">
        <x:f>SUM(IF($B$8=1,AC24,0),IF($B$36=1,AC52,0),IF($B$64=1,AC80,0))</x:f>
        <x:v>0</x:v>
      </x:c>
      <x:c r="AD92" s="107" t="n">
        <x:f>SUM(IF($B$8=1,AD24,0),IF($B$36=1,AD52,0),IF($B$64=1,AD80,0))</x:f>
        <x:v>0</x:v>
      </x:c>
      <x:c r="AE92" s="107" t="n">
        <x:f>SUM(IF($B$8=1,AE24,0),IF($B$36=1,AE52,0),IF($B$64=1,AE80,0))</x:f>
        <x:v>0</x:v>
      </x:c>
      <x:c r="AF92" s="107" t="n">
        <x:f>SUM(IF($B$8=1,AF24,0),IF($B$36=1,AF52,0),IF($B$64=1,AF80,0))</x:f>
        <x:v>0</x:v>
      </x:c>
      <x:c r="AG92" s="107" t="n">
        <x:f>SUM(IF($B$8=1,AG24,0),IF($B$36=1,AG52,0),IF($B$64=1,AG80,0))</x:f>
        <x:v>0</x:v>
      </x:c>
      <x:c r="AH92" s="107" t="n">
        <x:f>SUM(IF($B$8=1,AH24,0),IF($B$36=1,AH52,0),IF($B$64=1,AH80,0))</x:f>
        <x:v>0</x:v>
      </x:c>
      <x:c r="AI92" s="107" t="n">
        <x:f>SUM(IF($B$8=1,AI24,0),IF($B$36=1,AI52,0),IF($B$64=1,AI80,0))</x:f>
        <x:v>0</x:v>
      </x:c>
      <x:c r="AJ92" s="107" t="n">
        <x:f>SUM(IF($B$8=1,AJ24,0),IF($B$36=1,AJ52,0),IF($B$64=1,AJ80,0))</x:f>
        <x:v>0</x:v>
      </x:c>
      <x:c r="AK92" s="107" t="n">
        <x:f>SUM(IF($B$8=1,AK24,0),IF($B$36=1,AK52,0),IF($B$64=1,AK80,0))</x:f>
        <x:v>0</x:v>
      </x:c>
      <x:c r="AL92" s="107" t="n">
        <x:f>SUM(IF($B$8=1,AL24,0),IF($B$36=1,AL52,0),IF($B$64=1,AL80,0))</x:f>
        <x:v>0</x:v>
      </x:c>
      <x:c r="AM92" s="107" t="n">
        <x:f>SUM(IF($B$8=1,AM24,0),IF($B$36=1,AM52,0),IF($B$64=1,AM80,0))</x:f>
        <x:v>0</x:v>
      </x:c>
      <x:c r="AN92" s="107" t="n">
        <x:f>SUM(IF($B$8=1,AN24,0),IF($B$36=1,AN52,0),IF($B$64=1,AN80,0))</x:f>
        <x:v>0</x:v>
      </x:c>
      <x:c r="AO92" s="107" t="n">
        <x:f>SUM(IF($B$8=1,AO24,0),IF($B$36=1,AO52,0),IF($B$64=1,AO80,0))</x:f>
        <x:v>0</x:v>
      </x:c>
      <x:c r="AP92" s="107" t="n">
        <x:f>SUM(IF($B$8=1,AP24,0),IF($B$36=1,AP52,0),IF($B$64=1,AP80,0))</x:f>
        <x:v>0</x:v>
      </x:c>
      <x:c r="AQ92" s="107" t="n">
        <x:f>SUM(IF($B$8=1,AQ24,0),IF($B$36=1,AQ52,0),IF($B$64=1,AQ80,0))</x:f>
        <x:v>0</x:v>
      </x:c>
      <x:c r="AR92" s="107" t="n">
        <x:f>SUM(IF($B$8=1,AR24,0),IF($B$36=1,AR52,0),IF($B$64=1,AR80,0))</x:f>
        <x:v>0</x:v>
      </x:c>
      <x:c r="AS92" s="107" t="n">
        <x:f>SUM(IF($B$8=1,AS24,0),IF($B$36=1,AS52,0),IF($B$64=1,AS80,0))</x:f>
        <x:v>0</x:v>
      </x:c>
      <x:c r="AT92" s="107" t="n">
        <x:f>SUM(IF($B$8=1,AT24,0),IF($B$36=1,AT52,0),IF($B$64=1,AT80,0))</x:f>
        <x:v>0</x:v>
      </x:c>
      <x:c r="AU92" s="107" t="n">
        <x:f>SUM(IF($B$8=1,AU24,0),IF($B$36=1,AU52,0),IF($B$64=1,AU80,0))</x:f>
        <x:v>0</x:v>
      </x:c>
      <x:c r="AV92" s="107" t="n">
        <x:f>SUM(IF($B$8=1,AV24,0),IF($B$36=1,AV52,0),IF($B$64=1,AV80,0))</x:f>
        <x:v>0</x:v>
      </x:c>
      <x:c r="AW92" s="107" t="n">
        <x:f>SUM(IF($B$8=1,AW24,0),IF($B$36=1,AW52,0),IF($B$64=1,AW80,0))</x:f>
        <x:v>0</x:v>
      </x:c>
      <x:c r="AX92" s="107" t="n">
        <x:f>SUM(IF($B$8=1,AX24,0),IF($B$36=1,AX52,0),IF($B$64=1,AX80,0))</x:f>
        <x:v>0</x:v>
      </x:c>
      <x:c r="AY92" s="107" t="n">
        <x:f>SUM(IF($B$8=1,AY24,0),IF($B$36=1,AY52,0),IF($B$64=1,AY80,0))</x:f>
        <x:v>0</x:v>
      </x:c>
      <x:c r="AZ92" s="107" t="n">
        <x:f>SUM(IF($B$8=1,AZ24,0),IF($B$36=1,AZ52,0),IF($B$64=1,AZ80,0))</x:f>
        <x:v>0</x:v>
      </x:c>
      <x:c r="BA92" s="107" t="n">
        <x:f>SUM(IF($B$8=1,BA24,0),IF($B$36=1,BA52,0),IF($B$64=1,BA80,0))</x:f>
        <x:v>0</x:v>
      </x:c>
      <x:c r="BB92" s="107" t="n">
        <x:f>SUM(IF($B$8=1,BB24,0),IF($B$36=1,BB52,0),IF($B$64=1,BB80,0))</x:f>
        <x:v>0</x:v>
      </x:c>
      <x:c r="BC92" s="107" t="n">
        <x:f>SUM(IF($B$8=1,BC24,0),IF($B$36=1,BC52,0),IF($B$64=1,BC80,0))</x:f>
        <x:v>0</x:v>
      </x:c>
      <x:c r="BD92" s="107" t="n">
        <x:f>SUM(IF($B$8=1,BD24,0),IF($B$36=1,BD52,0),IF($B$64=1,BD80,0))</x:f>
        <x:v>0</x:v>
      </x:c>
      <x:c r="BE92" s="107" t="n">
        <x:f>SUM(IF($B$8=1,BE24,0),IF($B$36=1,BE52,0),IF($B$64=1,BE80,0))</x:f>
        <x:v>0</x:v>
      </x:c>
      <x:c r="BF92" s="107" t="n">
        <x:f>SUM(IF($B$8=1,BF24,0),IF($B$36=1,BF52,0),IF($B$64=1,BF80,0))</x:f>
        <x:v>0</x:v>
      </x:c>
      <x:c r="BG92" s="107" t="n">
        <x:f>SUM(IF($B$8=1,BG24,0),IF($B$36=1,BG52,0),IF($B$64=1,BG80,0))</x:f>
        <x:v>0</x:v>
      </x:c>
      <x:c r="BH92" s="107" t="n">
        <x:f>SUM(IF($B$8=1,BH24,0),IF($B$36=1,BH52,0),IF($B$64=1,BH80,0))</x:f>
        <x:v>0</x:v>
      </x:c>
      <x:c r="BI92" s="107" t="n">
        <x:f>SUM(IF($B$8=1,BI24,0),IF($B$36=1,BI52,0),IF($B$64=1,BI80,0))</x:f>
        <x:v>0</x:v>
      </x:c>
      <x:c r="BJ92" s="107" t="n">
        <x:f>SUM(IF($B$8=1,BJ24,0),IF($B$36=1,BJ52,0),IF($B$64=1,BJ80,0))</x:f>
        <x:v>0</x:v>
      </x:c>
      <x:c r="BK92" s="107" t="n">
        <x:f>SUM(IF($B$8=1,BK24,0),IF($B$36=1,BK52,0),IF($B$64=1,BK80,0))</x:f>
        <x:v>0</x:v>
      </x:c>
      <x:c r="BL92" s="107" t="n">
        <x:f>SUM(IF($B$8=1,BL24,0),IF($B$36=1,BL52,0),IF($B$64=1,BL80,0))</x:f>
        <x:v>0</x:v>
      </x:c>
      <x:c r="BM92" s="107" t="n">
        <x:f>SUM(IF($B$8=1,BM24,0),IF($B$36=1,BM52,0),IF($B$64=1,BM80,0))</x:f>
        <x:v>0</x:v>
      </x:c>
      <x:c r="BN92" s="107" t="n">
        <x:f>SUM(IF($B$8=1,BN24,0),IF($B$36=1,BN52,0),IF($B$64=1,BN80,0))</x:f>
        <x:v>0</x:v>
      </x:c>
      <x:c r="BO92" s="107" t="n">
        <x:f>SUM(IF($B$8=1,BO24,0),IF($B$36=1,BO52,0),IF($B$64=1,BO80,0))</x:f>
        <x:v>0</x:v>
      </x:c>
      <x:c r="BP92" s="107" t="n">
        <x:f>SUM(IF($B$8=1,BP24,0),IF($B$36=1,BP52,0),IF($B$64=1,BP80,0))</x:f>
        <x:v>0</x:v>
      </x:c>
      <x:c r="BQ92" s="107" t="n">
        <x:f>SUM(IF($B$8=1,BQ24,0),IF($B$36=1,BQ52,0),IF($B$64=1,BQ80,0))</x:f>
        <x:v>0</x:v>
      </x:c>
      <x:c r="BR92" s="107" t="n">
        <x:f>SUM(IF($B$8=1,BR24,0),IF($B$36=1,BR52,0),IF($B$64=1,BR80,0))</x:f>
        <x:v>0</x:v>
      </x:c>
      <x:c r="BS92" s="107" t="n">
        <x:f>SUM(IF($B$8=1,BS24,0),IF($B$36=1,BS52,0),IF($B$64=1,BS80,0))</x:f>
        <x:v>0</x:v>
      </x:c>
      <x:c r="BT92" s="107" t="n">
        <x:f>SUM(IF($B$8=1,BT24,0),IF($B$36=1,BT52,0),IF($B$64=1,BT80,0))</x:f>
        <x:v>0</x:v>
      </x:c>
      <x:c r="BU92" s="107" t="n">
        <x:f>SUM(IF($B$8=1,BU24,0),IF($B$36=1,BU52,0),IF($B$64=1,BU80,0))</x:f>
        <x:v>0</x:v>
      </x:c>
      <x:c r="BV92" s="107" t="n">
        <x:f>SUM(IF($B$8=1,BV24,0),IF($B$36=1,BV52,0),IF($B$64=1,BV80,0))</x:f>
        <x:v>0</x:v>
      </x:c>
      <x:c r="BW92" s="107" t="n">
        <x:f>SUM(IF($B$8=1,BW24,0),IF($B$36=1,BW52,0),IF($B$64=1,BW80,0))</x:f>
        <x:v>0</x:v>
      </x:c>
      <x:c r="BX92" s="107" t="n">
        <x:f>SUM(IF($B$8=1,BX24,0),IF($B$36=1,BX52,0),IF($B$64=1,BX80,0))</x:f>
        <x:v>0</x:v>
      </x:c>
      <x:c r="BY92" s="107" t="n">
        <x:f>SUM(IF($B$8=1,BY24,0),IF($B$36=1,BY52,0),IF($B$64=1,BY80,0))</x:f>
        <x:v>0</x:v>
      </x:c>
      <x:c r="BZ92" s="107" t="n">
        <x:f>SUM(IF($B$8=1,BZ24,0),IF($B$36=1,BZ52,0),IF($B$64=1,BZ80,0))</x:f>
        <x:v>0</x:v>
      </x:c>
      <x:c r="CA92" s="107" t="n">
        <x:f>SUM(IF($B$8=1,CA24,0),IF($B$36=1,CA52,0),IF($B$64=1,CA80,0))</x:f>
        <x:v>0</x:v>
      </x:c>
      <x:c r="CB92" s="107" t="n">
        <x:f>SUM(IF($B$8=1,CB24,0),IF($B$36=1,CB52,0),IF($B$64=1,CB80,0))</x:f>
        <x:v>0</x:v>
      </x:c>
      <x:c r="CC92" s="107" t="n">
        <x:f>SUM(IF($B$8=1,CC24,0),IF($B$36=1,CC52,0),IF($B$64=1,CC80,0))</x:f>
        <x:v>0</x:v>
      </x:c>
      <x:c r="CD92" s="107" t="n">
        <x:f>SUM(IF($B$8=1,CD24,0),IF($B$36=1,CD52,0),IF($B$64=1,CD80,0))</x:f>
        <x:v>0</x:v>
      </x:c>
      <x:c r="CE92" s="107" t="n">
        <x:f>SUM(IF($B$8=1,CE24,0),IF($B$36=1,CE52,0),IF($B$64=1,CE80,0))</x:f>
        <x:v>0</x:v>
      </x:c>
      <x:c r="CF92" s="107" t="n">
        <x:f>SUM(IF($B$8=1,CF24,0),IF($B$36=1,CF52,0),IF($B$64=1,CF80,0))</x:f>
        <x:v>0</x:v>
      </x:c>
      <x:c r="CG92" s="107" t="n">
        <x:f>SUM(IF($B$8=1,CG24,0),IF($B$36=1,CG52,0),IF($B$64=1,CG80,0))</x:f>
        <x:v>0</x:v>
      </x:c>
      <x:c r="CH92" s="107" t="n">
        <x:f>SUM(IF($B$8=1,CH24,0),IF($B$36=1,CH52,0),IF($B$64=1,CH80,0))</x:f>
        <x:v>0</x:v>
      </x:c>
      <x:c r="CI92" s="107" t="n">
        <x:f>SUM(IF($B$8=1,CI24,0),IF($B$36=1,CI52,0),IF($B$64=1,CI80,0))</x:f>
        <x:v>0</x:v>
      </x:c>
      <x:c r="CJ92" s="107" t="n">
        <x:f>SUM(IF($B$8=1,CJ24,0),IF($B$36=1,CJ52,0),IF($B$64=1,CJ80,0))</x:f>
        <x:v>0</x:v>
      </x:c>
      <x:c r="CK92" s="107" t="n">
        <x:f>SUM(IF($B$8=1,CK24,0),IF($B$36=1,CK52,0),IF($B$64=1,CK80,0))</x:f>
        <x:v>0</x:v>
      </x:c>
      <x:c r="CL92" s="107" t="n">
        <x:f>SUM(IF($B$8=1,CL24,0),IF($B$36=1,CL52,0),IF($B$64=1,CL80,0))</x:f>
        <x:v>0</x:v>
      </x:c>
      <x:c r="CM92" s="107" t="n">
        <x:f>SUM(IF($B$8=1,CM24,0),IF($B$36=1,CM52,0),IF($B$64=1,CM80,0))</x:f>
        <x:v>0</x:v>
      </x:c>
      <x:c r="CN92" s="107" t="n">
        <x:f>SUM(IF($B$8=1,CN24,0),IF($B$36=1,CN52,0),IF($B$64=1,CN80,0))</x:f>
        <x:v>0</x:v>
      </x:c>
      <x:c r="CO92" s="107" t="n">
        <x:f>SUM(IF($B$8=1,CO24,0),IF($B$36=1,CO52,0),IF($B$64=1,CO80,0))</x:f>
        <x:v>0</x:v>
      </x:c>
      <x:c r="CP92" s="107" t="n">
        <x:f>SUM(IF($B$8=1,CP24,0),IF($B$36=1,CP52,0),IF($B$64=1,CP80,0))</x:f>
        <x:v>0</x:v>
      </x:c>
      <x:c r="CQ92" s="107" t="n">
        <x:f>SUM(IF($B$8=1,CQ24,0),IF($B$36=1,CQ52,0),IF($B$64=1,CQ80,0))</x:f>
        <x:v>0</x:v>
      </x:c>
      <x:c r="CR92" s="107" t="n">
        <x:f>SUM(IF($B$8=1,CR24,0),IF($B$36=1,CR52,0),IF($B$64=1,CR80,0))</x:f>
        <x:v>0</x:v>
      </x:c>
      <x:c r="CS92" s="107" t="n">
        <x:f>SUM(IF($B$8=1,CS24,0),IF($B$36=1,CS52,0),IF($B$64=1,CS80,0))</x:f>
        <x:v>0</x:v>
      </x:c>
      <x:c r="CT92" s="107" t="n">
        <x:f>SUM(IF($B$8=1,CT24,0),IF($B$36=1,CT52,0),IF($B$64=1,CT80,0))</x:f>
        <x:v>0</x:v>
      </x:c>
      <x:c r="CU92" s="107" t="n">
        <x:f>SUM(IF($B$8=1,CU24,0),IF($B$36=1,CU52,0),IF($B$64=1,CU80,0))</x:f>
        <x:v>0</x:v>
      </x:c>
      <x:c r="CV92" s="107" t="n">
        <x:f>SUM(IF($B$8=1,CV24,0),IF($B$36=1,CV52,0),IF($B$64=1,CV80,0))</x:f>
        <x:v>0</x:v>
      </x:c>
      <x:c r="CW92" s="107" t="n">
        <x:f>SUM(IF($B$8=1,CW24,0),IF($B$36=1,CW52,0),IF($B$64=1,CW80,0))</x:f>
        <x:v>0</x:v>
      </x:c>
      <x:c r="CX92" s="107" t="n">
        <x:f>SUM(IF($B$8=1,CX24,0),IF($B$36=1,CX52,0),IF($B$64=1,CX80,0))</x:f>
        <x:v>0</x:v>
      </x:c>
      <x:c r="CY92" s="107" t="n">
        <x:f>SUM(IF($B$8=1,CY24,0),IF($B$36=1,CY52,0),IF($B$64=1,CY80,0))</x:f>
        <x:v>0</x:v>
      </x:c>
      <x:c r="CZ92" s="107" t="n">
        <x:f>SUM(IF($B$8=1,CZ24,0),IF($B$36=1,CZ52,0),IF($B$64=1,CZ80,0))</x:f>
        <x:v>0</x:v>
      </x:c>
      <x:c r="DA92" s="107" t="n">
        <x:f>SUM(IF($B$8=1,DA24,0),IF($B$36=1,DA52,0),IF($B$64=1,DA80,0))</x:f>
        <x:v>0</x:v>
      </x:c>
      <x:c r="DB92" s="107" t="n">
        <x:f>SUM(IF($B$8=1,DB24,0),IF($B$36=1,DB52,0),IF($B$64=1,DB80,0))</x:f>
        <x:v>0</x:v>
      </x:c>
      <x:c r="DC92" s="107" t="n">
        <x:f>SUM(IF($B$8=1,DC24,0),IF($B$36=1,DC52,0),IF($B$64=1,DC80,0))</x:f>
        <x:v>0</x:v>
      </x:c>
      <x:c r="DD92" s="107" t="n">
        <x:f>SUM(IF($B$8=1,DD24,0),IF($B$36=1,DD52,0),IF($B$64=1,DD80,0))</x:f>
        <x:v>0</x:v>
      </x:c>
      <x:c r="DE92" s="107" t="n">
        <x:f>SUM(IF($B$8=1,DE24,0),IF($B$36=1,DE52,0),IF($B$64=1,DE80,0))</x:f>
        <x:v>0</x:v>
      </x:c>
      <x:c r="DF92" s="107" t="n">
        <x:f>SUM(IF($B$8=1,DF24,0),IF($B$36=1,DF52,0),IF($B$64=1,DF80,0))</x:f>
        <x:v>0</x:v>
      </x:c>
      <x:c r="DG92" s="107" t="n">
        <x:f>SUM(IF($B$8=1,DG24,0),IF($B$36=1,DG52,0),IF($B$64=1,DG80,0))</x:f>
        <x:v>0</x:v>
      </x:c>
      <x:c r="DH92" s="107" t="n">
        <x:f>SUM(IF($B$8=1,DH24,0),IF($B$36=1,DH52,0),IF($B$64=1,DH80,0))</x:f>
        <x:v>0</x:v>
      </x:c>
      <x:c r="DI92" s="107" t="n">
        <x:f>SUM(IF($B$8=1,DI24,0),IF($B$36=1,DI52,0),IF($B$64=1,DI80,0))</x:f>
        <x:v>0</x:v>
      </x:c>
      <x:c r="DJ92" s="107" t="n">
        <x:f>SUM(IF($B$8=1,DJ24,0),IF($B$36=1,DJ52,0),IF($B$64=1,DJ80,0))</x:f>
        <x:v>0</x:v>
      </x:c>
      <x:c r="DK92" s="107" t="n">
        <x:f>SUM(IF($B$8=1,DK24,0),IF($B$36=1,DK52,0),IF($B$64=1,DK80,0))</x:f>
        <x:v>0</x:v>
      </x:c>
      <x:c r="DL92" s="107" t="n">
        <x:f>SUM(IF($B$8=1,DL24,0),IF($B$36=1,DL52,0),IF($B$64=1,DL80,0))</x:f>
        <x:v>0</x:v>
      </x:c>
      <x:c r="DM92" s="107" t="n">
        <x:f>SUM(IF($B$8=1,DM24,0),IF($B$36=1,DM52,0),IF($B$64=1,DM80,0))</x:f>
        <x:v>0</x:v>
      </x:c>
      <x:c r="DN92" s="107" t="n">
        <x:f>SUM(IF($B$8=1,DN24,0),IF($B$36=1,DN52,0),IF($B$64=1,DN80,0))</x:f>
        <x:v>0</x:v>
      </x:c>
      <x:c r="DO92" s="107" t="n">
        <x:f>SUM(IF($B$8=1,DO24,0),IF($B$36=1,DO52,0),IF($B$64=1,DO80,0))</x:f>
        <x:v>0</x:v>
      </x:c>
      <x:c r="DP92" s="107" t="n">
        <x:f>SUM(IF($B$8=1,DP24,0),IF($B$36=1,DP52,0),IF($B$64=1,DP80,0))</x:f>
        <x:v>0</x:v>
      </x:c>
      <x:c r="DQ92" s="107" t="n">
        <x:f>SUM(IF($B$8=1,DQ24,0),IF($B$36=1,DQ52,0),IF($B$64=1,DQ80,0))</x:f>
        <x:v>0</x:v>
      </x:c>
      <x:c r="DR92" s="107" t="n">
        <x:f>SUM(IF($B$8=1,DR24,0),IF($B$36=1,DR52,0),IF($B$64=1,DR80,0))</x:f>
        <x:v>0</x:v>
      </x:c>
      <x:c r="DS92" s="107" t="n">
        <x:f>SUM(IF($B$8=1,DS24,0),IF($B$36=1,DS52,0),IF($B$64=1,DS80,0))</x:f>
        <x:v>0</x:v>
      </x:c>
    </x:row>
    <x:row r="93">
      <x:c r="A93" t="str">
        <x:v>Очередь 1 — Поступления объектов на эскроу</x:v>
      </x:c>
      <x:c r="B93" s="107" t="n">
        <x:f>SUM(D93:DS93)</x:f>
        <x:v>0</x:v>
      </x:c>
      <x:c r="C93" t="str">
        <x:v>млн ₽</x:v>
      </x:c>
      <x:c r="D93" s="107" t="n">
        <x:f>SUM(IF($B$8=1,D25,0),IF($B$36=1,D53,0),IF($B$64=1,D81,0))</x:f>
        <x:v>0</x:v>
      </x:c>
      <x:c r="E93" s="107" t="n">
        <x:f>SUM(IF($B$8=1,E25,0),IF($B$36=1,E53,0),IF($B$64=1,E81,0))</x:f>
        <x:v>0</x:v>
      </x:c>
      <x:c r="F93" s="107" t="n">
        <x:f>SUM(IF($B$8=1,F25,0),IF($B$36=1,F53,0),IF($B$64=1,F81,0))</x:f>
        <x:v>0</x:v>
      </x:c>
      <x:c r="G93" s="107" t="n">
        <x:f>SUM(IF($B$8=1,G25,0),IF($B$36=1,G53,0),IF($B$64=1,G81,0))</x:f>
        <x:v>0</x:v>
      </x:c>
      <x:c r="H93" s="107" t="n">
        <x:f>SUM(IF($B$8=1,H25,0),IF($B$36=1,H53,0),IF($B$64=1,H81,0))</x:f>
        <x:v>0</x:v>
      </x:c>
      <x:c r="I93" s="107" t="n">
        <x:f>SUM(IF($B$8=1,I25,0),IF($B$36=1,I53,0),IF($B$64=1,I81,0))</x:f>
        <x:v>0</x:v>
      </x:c>
      <x:c r="J93" s="107" t="n">
        <x:f>SUM(IF($B$8=1,J25,0),IF($B$36=1,J53,0),IF($B$64=1,J81,0))</x:f>
        <x:v>0</x:v>
      </x:c>
      <x:c r="K93" s="107" t="n">
        <x:f>SUM(IF($B$8=1,K25,0),IF($B$36=1,K53,0),IF($B$64=1,K81,0))</x:f>
        <x:v>0</x:v>
      </x:c>
      <x:c r="L93" s="107" t="n">
        <x:f>SUM(IF($B$8=1,L25,0),IF($B$36=1,L53,0),IF($B$64=1,L81,0))</x:f>
        <x:v>0</x:v>
      </x:c>
      <x:c r="M93" s="107" t="n">
        <x:f>SUM(IF($B$8=1,M25,0),IF($B$36=1,M53,0),IF($B$64=1,M81,0))</x:f>
        <x:v>0</x:v>
      </x:c>
      <x:c r="N93" s="107" t="n">
        <x:f>SUM(IF($B$8=1,N25,0),IF($B$36=1,N53,0),IF($B$64=1,N81,0))</x:f>
        <x:v>0</x:v>
      </x:c>
      <x:c r="O93" s="107" t="n">
        <x:f>SUM(IF($B$8=1,O25,0),IF($B$36=1,O53,0),IF($B$64=1,O81,0))</x:f>
        <x:v>0</x:v>
      </x:c>
      <x:c r="P93" s="107" t="n">
        <x:f>SUM(IF($B$8=1,P25,0),IF($B$36=1,P53,0),IF($B$64=1,P81,0))</x:f>
        <x:v>0</x:v>
      </x:c>
      <x:c r="Q93" s="107" t="n">
        <x:f>SUM(IF($B$8=1,Q25,0),IF($B$36=1,Q53,0),IF($B$64=1,Q81,0))</x:f>
        <x:v>0</x:v>
      </x:c>
      <x:c r="R93" s="107" t="n">
        <x:f>SUM(IF($B$8=1,R25,0),IF($B$36=1,R53,0),IF($B$64=1,R81,0))</x:f>
        <x:v>0</x:v>
      </x:c>
      <x:c r="S93" s="107" t="n">
        <x:f>SUM(IF($B$8=1,S25,0),IF($B$36=1,S53,0),IF($B$64=1,S81,0))</x:f>
        <x:v>0</x:v>
      </x:c>
      <x:c r="T93" s="107" t="n">
        <x:f>SUM(IF($B$8=1,T25,0),IF($B$36=1,T53,0),IF($B$64=1,T81,0))</x:f>
        <x:v>0</x:v>
      </x:c>
      <x:c r="U93" s="107" t="n">
        <x:f>SUM(IF($B$8=1,U25,0),IF($B$36=1,U53,0),IF($B$64=1,U81,0))</x:f>
        <x:v>0</x:v>
      </x:c>
      <x:c r="V93" s="107" t="n">
        <x:f>SUM(IF($B$8=1,V25,0),IF($B$36=1,V53,0),IF($B$64=1,V81,0))</x:f>
        <x:v>0</x:v>
      </x:c>
      <x:c r="W93" s="107" t="n">
        <x:f>SUM(IF($B$8=1,W25,0),IF($B$36=1,W53,0),IF($B$64=1,W81,0))</x:f>
        <x:v>0</x:v>
      </x:c>
      <x:c r="X93" s="107" t="n">
        <x:f>SUM(IF($B$8=1,X25,0),IF($B$36=1,X53,0),IF($B$64=1,X81,0))</x:f>
        <x:v>0</x:v>
      </x:c>
      <x:c r="Y93" s="107" t="n">
        <x:f>SUM(IF($B$8=1,Y25,0),IF($B$36=1,Y53,0),IF($B$64=1,Y81,0))</x:f>
        <x:v>0</x:v>
      </x:c>
      <x:c r="Z93" s="107" t="n">
        <x:f>SUM(IF($B$8=1,Z25,0),IF($B$36=1,Z53,0),IF($B$64=1,Z81,0))</x:f>
        <x:v>0</x:v>
      </x:c>
      <x:c r="AA93" s="107" t="n">
        <x:f>SUM(IF($B$8=1,AA25,0),IF($B$36=1,AA53,0),IF($B$64=1,AA81,0))</x:f>
        <x:v>0</x:v>
      </x:c>
      <x:c r="AB93" s="107" t="n">
        <x:f>SUM(IF($B$8=1,AB25,0),IF($B$36=1,AB53,0),IF($B$64=1,AB81,0))</x:f>
        <x:v>0</x:v>
      </x:c>
      <x:c r="AC93" s="107" t="n">
        <x:f>SUM(IF($B$8=1,AC25,0),IF($B$36=1,AC53,0),IF($B$64=1,AC81,0))</x:f>
        <x:v>0</x:v>
      </x:c>
      <x:c r="AD93" s="107" t="n">
        <x:f>SUM(IF($B$8=1,AD25,0),IF($B$36=1,AD53,0),IF($B$64=1,AD81,0))</x:f>
        <x:v>0</x:v>
      </x:c>
      <x:c r="AE93" s="107" t="n">
        <x:f>SUM(IF($B$8=1,AE25,0),IF($B$36=1,AE53,0),IF($B$64=1,AE81,0))</x:f>
        <x:v>0</x:v>
      </x:c>
      <x:c r="AF93" s="107" t="n">
        <x:f>SUM(IF($B$8=1,AF25,0),IF($B$36=1,AF53,0),IF($B$64=1,AF81,0))</x:f>
        <x:v>0</x:v>
      </x:c>
      <x:c r="AG93" s="107" t="n">
        <x:f>SUM(IF($B$8=1,AG25,0),IF($B$36=1,AG53,0),IF($B$64=1,AG81,0))</x:f>
        <x:v>0</x:v>
      </x:c>
      <x:c r="AH93" s="107" t="n">
        <x:f>SUM(IF($B$8=1,AH25,0),IF($B$36=1,AH53,0),IF($B$64=1,AH81,0))</x:f>
        <x:v>0</x:v>
      </x:c>
      <x:c r="AI93" s="107" t="n">
        <x:f>SUM(IF($B$8=1,AI25,0),IF($B$36=1,AI53,0),IF($B$64=1,AI81,0))</x:f>
        <x:v>0</x:v>
      </x:c>
      <x:c r="AJ93" s="107" t="n">
        <x:f>SUM(IF($B$8=1,AJ25,0),IF($B$36=1,AJ53,0),IF($B$64=1,AJ81,0))</x:f>
        <x:v>0</x:v>
      </x:c>
      <x:c r="AK93" s="107" t="n">
        <x:f>SUM(IF($B$8=1,AK25,0),IF($B$36=1,AK53,0),IF($B$64=1,AK81,0))</x:f>
        <x:v>0</x:v>
      </x:c>
      <x:c r="AL93" s="107" t="n">
        <x:f>SUM(IF($B$8=1,AL25,0),IF($B$36=1,AL53,0),IF($B$64=1,AL81,0))</x:f>
        <x:v>0</x:v>
      </x:c>
      <x:c r="AM93" s="107" t="n">
        <x:f>SUM(IF($B$8=1,AM25,0),IF($B$36=1,AM53,0),IF($B$64=1,AM81,0))</x:f>
        <x:v>0</x:v>
      </x:c>
      <x:c r="AN93" s="107" t="n">
        <x:f>SUM(IF($B$8=1,AN25,0),IF($B$36=1,AN53,0),IF($B$64=1,AN81,0))</x:f>
        <x:v>0</x:v>
      </x:c>
      <x:c r="AO93" s="107" t="n">
        <x:f>SUM(IF($B$8=1,AO25,0),IF($B$36=1,AO53,0),IF($B$64=1,AO81,0))</x:f>
        <x:v>0</x:v>
      </x:c>
      <x:c r="AP93" s="107" t="n">
        <x:f>SUM(IF($B$8=1,AP25,0),IF($B$36=1,AP53,0),IF($B$64=1,AP81,0))</x:f>
        <x:v>0</x:v>
      </x:c>
      <x:c r="AQ93" s="107" t="n">
        <x:f>SUM(IF($B$8=1,AQ25,0),IF($B$36=1,AQ53,0),IF($B$64=1,AQ81,0))</x:f>
        <x:v>0</x:v>
      </x:c>
      <x:c r="AR93" s="107" t="n">
        <x:f>SUM(IF($B$8=1,AR25,0),IF($B$36=1,AR53,0),IF($B$64=1,AR81,0))</x:f>
        <x:v>0</x:v>
      </x:c>
      <x:c r="AS93" s="107" t="n">
        <x:f>SUM(IF($B$8=1,AS25,0),IF($B$36=1,AS53,0),IF($B$64=1,AS81,0))</x:f>
        <x:v>0</x:v>
      </x:c>
      <x:c r="AT93" s="107" t="n">
        <x:f>SUM(IF($B$8=1,AT25,0),IF($B$36=1,AT53,0),IF($B$64=1,AT81,0))</x:f>
        <x:v>0</x:v>
      </x:c>
      <x:c r="AU93" s="107" t="n">
        <x:f>SUM(IF($B$8=1,AU25,0),IF($B$36=1,AU53,0),IF($B$64=1,AU81,0))</x:f>
        <x:v>0</x:v>
      </x:c>
      <x:c r="AV93" s="107" t="n">
        <x:f>SUM(IF($B$8=1,AV25,0),IF($B$36=1,AV53,0),IF($B$64=1,AV81,0))</x:f>
        <x:v>0</x:v>
      </x:c>
      <x:c r="AW93" s="107" t="n">
        <x:f>SUM(IF($B$8=1,AW25,0),IF($B$36=1,AW53,0),IF($B$64=1,AW81,0))</x:f>
        <x:v>0</x:v>
      </x:c>
      <x:c r="AX93" s="107" t="n">
        <x:f>SUM(IF($B$8=1,AX25,0),IF($B$36=1,AX53,0),IF($B$64=1,AX81,0))</x:f>
        <x:v>0</x:v>
      </x:c>
      <x:c r="AY93" s="107" t="n">
        <x:f>SUM(IF($B$8=1,AY25,0),IF($B$36=1,AY53,0),IF($B$64=1,AY81,0))</x:f>
        <x:v>0</x:v>
      </x:c>
      <x:c r="AZ93" s="107" t="n">
        <x:f>SUM(IF($B$8=1,AZ25,0),IF($B$36=1,AZ53,0),IF($B$64=1,AZ81,0))</x:f>
        <x:v>0</x:v>
      </x:c>
      <x:c r="BA93" s="107" t="n">
        <x:f>SUM(IF($B$8=1,BA25,0),IF($B$36=1,BA53,0),IF($B$64=1,BA81,0))</x:f>
        <x:v>0</x:v>
      </x:c>
      <x:c r="BB93" s="107" t="n">
        <x:f>SUM(IF($B$8=1,BB25,0),IF($B$36=1,BB53,0),IF($B$64=1,BB81,0))</x:f>
        <x:v>0</x:v>
      </x:c>
      <x:c r="BC93" s="107" t="n">
        <x:f>SUM(IF($B$8=1,BC25,0),IF($B$36=1,BC53,0),IF($B$64=1,BC81,0))</x:f>
        <x:v>0</x:v>
      </x:c>
      <x:c r="BD93" s="107" t="n">
        <x:f>SUM(IF($B$8=1,BD25,0),IF($B$36=1,BD53,0),IF($B$64=1,BD81,0))</x:f>
        <x:v>0</x:v>
      </x:c>
      <x:c r="BE93" s="107" t="n">
        <x:f>SUM(IF($B$8=1,BE25,0),IF($B$36=1,BE53,0),IF($B$64=1,BE81,0))</x:f>
        <x:v>0</x:v>
      </x:c>
      <x:c r="BF93" s="107" t="n">
        <x:f>SUM(IF($B$8=1,BF25,0),IF($B$36=1,BF53,0),IF($B$64=1,BF81,0))</x:f>
        <x:v>0</x:v>
      </x:c>
      <x:c r="BG93" s="107" t="n">
        <x:f>SUM(IF($B$8=1,BG25,0),IF($B$36=1,BG53,0),IF($B$64=1,BG81,0))</x:f>
        <x:v>0</x:v>
      </x:c>
      <x:c r="BH93" s="107" t="n">
        <x:f>SUM(IF($B$8=1,BH25,0),IF($B$36=1,BH53,0),IF($B$64=1,BH81,0))</x:f>
        <x:v>0</x:v>
      </x:c>
      <x:c r="BI93" s="107" t="n">
        <x:f>SUM(IF($B$8=1,BI25,0),IF($B$36=1,BI53,0),IF($B$64=1,BI81,0))</x:f>
        <x:v>0</x:v>
      </x:c>
      <x:c r="BJ93" s="107" t="n">
        <x:f>SUM(IF($B$8=1,BJ25,0),IF($B$36=1,BJ53,0),IF($B$64=1,BJ81,0))</x:f>
        <x:v>0</x:v>
      </x:c>
      <x:c r="BK93" s="107" t="n">
        <x:f>SUM(IF($B$8=1,BK25,0),IF($B$36=1,BK53,0),IF($B$64=1,BK81,0))</x:f>
        <x:v>0</x:v>
      </x:c>
      <x:c r="BL93" s="107" t="n">
        <x:f>SUM(IF($B$8=1,BL25,0),IF($B$36=1,BL53,0),IF($B$64=1,BL81,0))</x:f>
        <x:v>0</x:v>
      </x:c>
      <x:c r="BM93" s="107" t="n">
        <x:f>SUM(IF($B$8=1,BM25,0),IF($B$36=1,BM53,0),IF($B$64=1,BM81,0))</x:f>
        <x:v>0</x:v>
      </x:c>
      <x:c r="BN93" s="107" t="n">
        <x:f>SUM(IF($B$8=1,BN25,0),IF($B$36=1,BN53,0),IF($B$64=1,BN81,0))</x:f>
        <x:v>0</x:v>
      </x:c>
      <x:c r="BO93" s="107" t="n">
        <x:f>SUM(IF($B$8=1,BO25,0),IF($B$36=1,BO53,0),IF($B$64=1,BO81,0))</x:f>
        <x:v>0</x:v>
      </x:c>
      <x:c r="BP93" s="107" t="n">
        <x:f>SUM(IF($B$8=1,BP25,0),IF($B$36=1,BP53,0),IF($B$64=1,BP81,0))</x:f>
        <x:v>0</x:v>
      </x:c>
      <x:c r="BQ93" s="107" t="n">
        <x:f>SUM(IF($B$8=1,BQ25,0),IF($B$36=1,BQ53,0),IF($B$64=1,BQ81,0))</x:f>
        <x:v>0</x:v>
      </x:c>
      <x:c r="BR93" s="107" t="n">
        <x:f>SUM(IF($B$8=1,BR25,0),IF($B$36=1,BR53,0),IF($B$64=1,BR81,0))</x:f>
        <x:v>0</x:v>
      </x:c>
      <x:c r="BS93" s="107" t="n">
        <x:f>SUM(IF($B$8=1,BS25,0),IF($B$36=1,BS53,0),IF($B$64=1,BS81,0))</x:f>
        <x:v>0</x:v>
      </x:c>
      <x:c r="BT93" s="107" t="n">
        <x:f>SUM(IF($B$8=1,BT25,0),IF($B$36=1,BT53,0),IF($B$64=1,BT81,0))</x:f>
        <x:v>0</x:v>
      </x:c>
      <x:c r="BU93" s="107" t="n">
        <x:f>SUM(IF($B$8=1,BU25,0),IF($B$36=1,BU53,0),IF($B$64=1,BU81,0))</x:f>
        <x:v>0</x:v>
      </x:c>
      <x:c r="BV93" s="107" t="n">
        <x:f>SUM(IF($B$8=1,BV25,0),IF($B$36=1,BV53,0),IF($B$64=1,BV81,0))</x:f>
        <x:v>0</x:v>
      </x:c>
      <x:c r="BW93" s="107" t="n">
        <x:f>SUM(IF($B$8=1,BW25,0),IF($B$36=1,BW53,0),IF($B$64=1,BW81,0))</x:f>
        <x:v>0</x:v>
      </x:c>
      <x:c r="BX93" s="107" t="n">
        <x:f>SUM(IF($B$8=1,BX25,0),IF($B$36=1,BX53,0),IF($B$64=1,BX81,0))</x:f>
        <x:v>0</x:v>
      </x:c>
      <x:c r="BY93" s="107" t="n">
        <x:f>SUM(IF($B$8=1,BY25,0),IF($B$36=1,BY53,0),IF($B$64=1,BY81,0))</x:f>
        <x:v>0</x:v>
      </x:c>
      <x:c r="BZ93" s="107" t="n">
        <x:f>SUM(IF($B$8=1,BZ25,0),IF($B$36=1,BZ53,0),IF($B$64=1,BZ81,0))</x:f>
        <x:v>0</x:v>
      </x:c>
      <x:c r="CA93" s="107" t="n">
        <x:f>SUM(IF($B$8=1,CA25,0),IF($B$36=1,CA53,0),IF($B$64=1,CA81,0))</x:f>
        <x:v>0</x:v>
      </x:c>
      <x:c r="CB93" s="107" t="n">
        <x:f>SUM(IF($B$8=1,CB25,0),IF($B$36=1,CB53,0),IF($B$64=1,CB81,0))</x:f>
        <x:v>0</x:v>
      </x:c>
      <x:c r="CC93" s="107" t="n">
        <x:f>SUM(IF($B$8=1,CC25,0),IF($B$36=1,CC53,0),IF($B$64=1,CC81,0))</x:f>
        <x:v>0</x:v>
      </x:c>
      <x:c r="CD93" s="107" t="n">
        <x:f>SUM(IF($B$8=1,CD25,0),IF($B$36=1,CD53,0),IF($B$64=1,CD81,0))</x:f>
        <x:v>0</x:v>
      </x:c>
      <x:c r="CE93" s="107" t="n">
        <x:f>SUM(IF($B$8=1,CE25,0),IF($B$36=1,CE53,0),IF($B$64=1,CE81,0))</x:f>
        <x:v>0</x:v>
      </x:c>
      <x:c r="CF93" s="107" t="n">
        <x:f>SUM(IF($B$8=1,CF25,0),IF($B$36=1,CF53,0),IF($B$64=1,CF81,0))</x:f>
        <x:v>0</x:v>
      </x:c>
      <x:c r="CG93" s="107" t="n">
        <x:f>SUM(IF($B$8=1,CG25,0),IF($B$36=1,CG53,0),IF($B$64=1,CG81,0))</x:f>
        <x:v>0</x:v>
      </x:c>
      <x:c r="CH93" s="107" t="n">
        <x:f>SUM(IF($B$8=1,CH25,0),IF($B$36=1,CH53,0),IF($B$64=1,CH81,0))</x:f>
        <x:v>0</x:v>
      </x:c>
      <x:c r="CI93" s="107" t="n">
        <x:f>SUM(IF($B$8=1,CI25,0),IF($B$36=1,CI53,0),IF($B$64=1,CI81,0))</x:f>
        <x:v>0</x:v>
      </x:c>
      <x:c r="CJ93" s="107" t="n">
        <x:f>SUM(IF($B$8=1,CJ25,0),IF($B$36=1,CJ53,0),IF($B$64=1,CJ81,0))</x:f>
        <x:v>0</x:v>
      </x:c>
      <x:c r="CK93" s="107" t="n">
        <x:f>SUM(IF($B$8=1,CK25,0),IF($B$36=1,CK53,0),IF($B$64=1,CK81,0))</x:f>
        <x:v>0</x:v>
      </x:c>
      <x:c r="CL93" s="107" t="n">
        <x:f>SUM(IF($B$8=1,CL25,0),IF($B$36=1,CL53,0),IF($B$64=1,CL81,0))</x:f>
        <x:v>0</x:v>
      </x:c>
      <x:c r="CM93" s="107" t="n">
        <x:f>SUM(IF($B$8=1,CM25,0),IF($B$36=1,CM53,0),IF($B$64=1,CM81,0))</x:f>
        <x:v>0</x:v>
      </x:c>
      <x:c r="CN93" s="107" t="n">
        <x:f>SUM(IF($B$8=1,CN25,0),IF($B$36=1,CN53,0),IF($B$64=1,CN81,0))</x:f>
        <x:v>0</x:v>
      </x:c>
      <x:c r="CO93" s="107" t="n">
        <x:f>SUM(IF($B$8=1,CO25,0),IF($B$36=1,CO53,0),IF($B$64=1,CO81,0))</x:f>
        <x:v>0</x:v>
      </x:c>
      <x:c r="CP93" s="107" t="n">
        <x:f>SUM(IF($B$8=1,CP25,0),IF($B$36=1,CP53,0),IF($B$64=1,CP81,0))</x:f>
        <x:v>0</x:v>
      </x:c>
      <x:c r="CQ93" s="107" t="n">
        <x:f>SUM(IF($B$8=1,CQ25,0),IF($B$36=1,CQ53,0),IF($B$64=1,CQ81,0))</x:f>
        <x:v>0</x:v>
      </x:c>
      <x:c r="CR93" s="107" t="n">
        <x:f>SUM(IF($B$8=1,CR25,0),IF($B$36=1,CR53,0),IF($B$64=1,CR81,0))</x:f>
        <x:v>0</x:v>
      </x:c>
      <x:c r="CS93" s="107" t="n">
        <x:f>SUM(IF($B$8=1,CS25,0),IF($B$36=1,CS53,0),IF($B$64=1,CS81,0))</x:f>
        <x:v>0</x:v>
      </x:c>
      <x:c r="CT93" s="107" t="n">
        <x:f>SUM(IF($B$8=1,CT25,0),IF($B$36=1,CT53,0),IF($B$64=1,CT81,0))</x:f>
        <x:v>0</x:v>
      </x:c>
      <x:c r="CU93" s="107" t="n">
        <x:f>SUM(IF($B$8=1,CU25,0),IF($B$36=1,CU53,0),IF($B$64=1,CU81,0))</x:f>
        <x:v>0</x:v>
      </x:c>
      <x:c r="CV93" s="107" t="n">
        <x:f>SUM(IF($B$8=1,CV25,0),IF($B$36=1,CV53,0),IF($B$64=1,CV81,0))</x:f>
        <x:v>0</x:v>
      </x:c>
      <x:c r="CW93" s="107" t="n">
        <x:f>SUM(IF($B$8=1,CW25,0),IF($B$36=1,CW53,0),IF($B$64=1,CW81,0))</x:f>
        <x:v>0</x:v>
      </x:c>
      <x:c r="CX93" s="107" t="n">
        <x:f>SUM(IF($B$8=1,CX25,0),IF($B$36=1,CX53,0),IF($B$64=1,CX81,0))</x:f>
        <x:v>0</x:v>
      </x:c>
      <x:c r="CY93" s="107" t="n">
        <x:f>SUM(IF($B$8=1,CY25,0),IF($B$36=1,CY53,0),IF($B$64=1,CY81,0))</x:f>
        <x:v>0</x:v>
      </x:c>
      <x:c r="CZ93" s="107" t="n">
        <x:f>SUM(IF($B$8=1,CZ25,0),IF($B$36=1,CZ53,0),IF($B$64=1,CZ81,0))</x:f>
        <x:v>0</x:v>
      </x:c>
      <x:c r="DA93" s="107" t="n">
        <x:f>SUM(IF($B$8=1,DA25,0),IF($B$36=1,DA53,0),IF($B$64=1,DA81,0))</x:f>
        <x:v>0</x:v>
      </x:c>
      <x:c r="DB93" s="107" t="n">
        <x:f>SUM(IF($B$8=1,DB25,0),IF($B$36=1,DB53,0),IF($B$64=1,DB81,0))</x:f>
        <x:v>0</x:v>
      </x:c>
      <x:c r="DC93" s="107" t="n">
        <x:f>SUM(IF($B$8=1,DC25,0),IF($B$36=1,DC53,0),IF($B$64=1,DC81,0))</x:f>
        <x:v>0</x:v>
      </x:c>
      <x:c r="DD93" s="107" t="n">
        <x:f>SUM(IF($B$8=1,DD25,0),IF($B$36=1,DD53,0),IF($B$64=1,DD81,0))</x:f>
        <x:v>0</x:v>
      </x:c>
      <x:c r="DE93" s="107" t="n">
        <x:f>SUM(IF($B$8=1,DE25,0),IF($B$36=1,DE53,0),IF($B$64=1,DE81,0))</x:f>
        <x:v>0</x:v>
      </x:c>
      <x:c r="DF93" s="107" t="n">
        <x:f>SUM(IF($B$8=1,DF25,0),IF($B$36=1,DF53,0),IF($B$64=1,DF81,0))</x:f>
        <x:v>0</x:v>
      </x:c>
      <x:c r="DG93" s="107" t="n">
        <x:f>SUM(IF($B$8=1,DG25,0),IF($B$36=1,DG53,0),IF($B$64=1,DG81,0))</x:f>
        <x:v>0</x:v>
      </x:c>
      <x:c r="DH93" s="107" t="n">
        <x:f>SUM(IF($B$8=1,DH25,0),IF($B$36=1,DH53,0),IF($B$64=1,DH81,0))</x:f>
        <x:v>0</x:v>
      </x:c>
      <x:c r="DI93" s="107" t="n">
        <x:f>SUM(IF($B$8=1,DI25,0),IF($B$36=1,DI53,0),IF($B$64=1,DI81,0))</x:f>
        <x:v>0</x:v>
      </x:c>
      <x:c r="DJ93" s="107" t="n">
        <x:f>SUM(IF($B$8=1,DJ25,0),IF($B$36=1,DJ53,0),IF($B$64=1,DJ81,0))</x:f>
        <x:v>0</x:v>
      </x:c>
      <x:c r="DK93" s="107" t="n">
        <x:f>SUM(IF($B$8=1,DK25,0),IF($B$36=1,DK53,0),IF($B$64=1,DK81,0))</x:f>
        <x:v>0</x:v>
      </x:c>
      <x:c r="DL93" s="107" t="n">
        <x:f>SUM(IF($B$8=1,DL25,0),IF($B$36=1,DL53,0),IF($B$64=1,DL81,0))</x:f>
        <x:v>0</x:v>
      </x:c>
      <x:c r="DM93" s="107" t="n">
        <x:f>SUM(IF($B$8=1,DM25,0),IF($B$36=1,DM53,0),IF($B$64=1,DM81,0))</x:f>
        <x:v>0</x:v>
      </x:c>
      <x:c r="DN93" s="107" t="n">
        <x:f>SUM(IF($B$8=1,DN25,0),IF($B$36=1,DN53,0),IF($B$64=1,DN81,0))</x:f>
        <x:v>0</x:v>
      </x:c>
      <x:c r="DO93" s="107" t="n">
        <x:f>SUM(IF($B$8=1,DO25,0),IF($B$36=1,DO53,0),IF($B$64=1,DO81,0))</x:f>
        <x:v>0</x:v>
      </x:c>
      <x:c r="DP93" s="107" t="n">
        <x:f>SUM(IF($B$8=1,DP25,0),IF($B$36=1,DP53,0),IF($B$64=1,DP81,0))</x:f>
        <x:v>0</x:v>
      </x:c>
      <x:c r="DQ93" s="107" t="n">
        <x:f>SUM(IF($B$8=1,DQ25,0),IF($B$36=1,DQ53,0),IF($B$64=1,DQ81,0))</x:f>
        <x:v>0</x:v>
      </x:c>
      <x:c r="DR93" s="107" t="n">
        <x:f>SUM(IF($B$8=1,DR25,0),IF($B$36=1,DR53,0),IF($B$64=1,DR81,0))</x:f>
        <x:v>0</x:v>
      </x:c>
      <x:c r="DS93" s="107" t="n">
        <x:f>SUM(IF($B$8=1,DS25,0),IF($B$36=1,DS53,0),IF($B$64=1,DS81,0))</x:f>
        <x:v>0</x:v>
      </x:c>
    </x:row>
    <x:row r="94">
      <x:c r="A94" t="str">
        <x:v>Очередь 1 — Прямые поступления объектов</x:v>
      </x:c>
      <x:c r="B94" s="107" t="n">
        <x:f>SUM(D94:DS94)</x:f>
        <x:v>0</x:v>
      </x:c>
      <x:c r="C94" t="str">
        <x:v>млн ₽</x:v>
      </x:c>
      <x:c r="D94" s="107" t="n">
        <x:f>SUM(IF($B$8=1,D26,0),IF($B$36=1,D54,0),IF($B$64=1,D82,0))</x:f>
        <x:v>0</x:v>
      </x:c>
      <x:c r="E94" s="107" t="n">
        <x:f>SUM(IF($B$8=1,E26,0),IF($B$36=1,E54,0),IF($B$64=1,E82,0))</x:f>
        <x:v>0</x:v>
      </x:c>
      <x:c r="F94" s="107" t="n">
        <x:f>SUM(IF($B$8=1,F26,0),IF($B$36=1,F54,0),IF($B$64=1,F82,0))</x:f>
        <x:v>0</x:v>
      </x:c>
      <x:c r="G94" s="107" t="n">
        <x:f>SUM(IF($B$8=1,G26,0),IF($B$36=1,G54,0),IF($B$64=1,G82,0))</x:f>
        <x:v>0</x:v>
      </x:c>
      <x:c r="H94" s="107" t="n">
        <x:f>SUM(IF($B$8=1,H26,0),IF($B$36=1,H54,0),IF($B$64=1,H82,0))</x:f>
        <x:v>0</x:v>
      </x:c>
      <x:c r="I94" s="107" t="n">
        <x:f>SUM(IF($B$8=1,I26,0),IF($B$36=1,I54,0),IF($B$64=1,I82,0))</x:f>
        <x:v>0</x:v>
      </x:c>
      <x:c r="J94" s="107" t="n">
        <x:f>SUM(IF($B$8=1,J26,0),IF($B$36=1,J54,0),IF($B$64=1,J82,0))</x:f>
        <x:v>0</x:v>
      </x:c>
      <x:c r="K94" s="107" t="n">
        <x:f>SUM(IF($B$8=1,K26,0),IF($B$36=1,K54,0),IF($B$64=1,K82,0))</x:f>
        <x:v>0</x:v>
      </x:c>
      <x:c r="L94" s="107" t="n">
        <x:f>SUM(IF($B$8=1,L26,0),IF($B$36=1,L54,0),IF($B$64=1,L82,0))</x:f>
        <x:v>0</x:v>
      </x:c>
      <x:c r="M94" s="107" t="n">
        <x:f>SUM(IF($B$8=1,M26,0),IF($B$36=1,M54,0),IF($B$64=1,M82,0))</x:f>
        <x:v>0</x:v>
      </x:c>
      <x:c r="N94" s="107" t="n">
        <x:f>SUM(IF($B$8=1,N26,0),IF($B$36=1,N54,0),IF($B$64=1,N82,0))</x:f>
        <x:v>0</x:v>
      </x:c>
      <x:c r="O94" s="107" t="n">
        <x:f>SUM(IF($B$8=1,O26,0),IF($B$36=1,O54,0),IF($B$64=1,O82,0))</x:f>
        <x:v>0</x:v>
      </x:c>
      <x:c r="P94" s="107" t="n">
        <x:f>SUM(IF($B$8=1,P26,0),IF($B$36=1,P54,0),IF($B$64=1,P82,0))</x:f>
        <x:v>0</x:v>
      </x:c>
      <x:c r="Q94" s="107" t="n">
        <x:f>SUM(IF($B$8=1,Q26,0),IF($B$36=1,Q54,0),IF($B$64=1,Q82,0))</x:f>
        <x:v>0</x:v>
      </x:c>
      <x:c r="R94" s="107" t="n">
        <x:f>SUM(IF($B$8=1,R26,0),IF($B$36=1,R54,0),IF($B$64=1,R82,0))</x:f>
        <x:v>0</x:v>
      </x:c>
      <x:c r="S94" s="107" t="n">
        <x:f>SUM(IF($B$8=1,S26,0),IF($B$36=1,S54,0),IF($B$64=1,S82,0))</x:f>
        <x:v>0</x:v>
      </x:c>
      <x:c r="T94" s="107" t="n">
        <x:f>SUM(IF($B$8=1,T26,0),IF($B$36=1,T54,0),IF($B$64=1,T82,0))</x:f>
        <x:v>0</x:v>
      </x:c>
      <x:c r="U94" s="107" t="n">
        <x:f>SUM(IF($B$8=1,U26,0),IF($B$36=1,U54,0),IF($B$64=1,U82,0))</x:f>
        <x:v>0</x:v>
      </x:c>
      <x:c r="V94" s="107" t="n">
        <x:f>SUM(IF($B$8=1,V26,0),IF($B$36=1,V54,0),IF($B$64=1,V82,0))</x:f>
        <x:v>0</x:v>
      </x:c>
      <x:c r="W94" s="107" t="n">
        <x:f>SUM(IF($B$8=1,W26,0),IF($B$36=1,W54,0),IF($B$64=1,W82,0))</x:f>
        <x:v>0</x:v>
      </x:c>
      <x:c r="X94" s="107" t="n">
        <x:f>SUM(IF($B$8=1,X26,0),IF($B$36=1,X54,0),IF($B$64=1,X82,0))</x:f>
        <x:v>0</x:v>
      </x:c>
      <x:c r="Y94" s="107" t="n">
        <x:f>SUM(IF($B$8=1,Y26,0),IF($B$36=1,Y54,0),IF($B$64=1,Y82,0))</x:f>
        <x:v>0</x:v>
      </x:c>
      <x:c r="Z94" s="107" t="n">
        <x:f>SUM(IF($B$8=1,Z26,0),IF($B$36=1,Z54,0),IF($B$64=1,Z82,0))</x:f>
        <x:v>0</x:v>
      </x:c>
      <x:c r="AA94" s="107" t="n">
        <x:f>SUM(IF($B$8=1,AA26,0),IF($B$36=1,AA54,0),IF($B$64=1,AA82,0))</x:f>
        <x:v>0</x:v>
      </x:c>
      <x:c r="AB94" s="107" t="n">
        <x:f>SUM(IF($B$8=1,AB26,0),IF($B$36=1,AB54,0),IF($B$64=1,AB82,0))</x:f>
        <x:v>0</x:v>
      </x:c>
      <x:c r="AC94" s="107" t="n">
        <x:f>SUM(IF($B$8=1,AC26,0),IF($B$36=1,AC54,0),IF($B$64=1,AC82,0))</x:f>
        <x:v>0</x:v>
      </x:c>
      <x:c r="AD94" s="107" t="n">
        <x:f>SUM(IF($B$8=1,AD26,0),IF($B$36=1,AD54,0),IF($B$64=1,AD82,0))</x:f>
        <x:v>0</x:v>
      </x:c>
      <x:c r="AE94" s="107" t="n">
        <x:f>SUM(IF($B$8=1,AE26,0),IF($B$36=1,AE54,0),IF($B$64=1,AE82,0))</x:f>
        <x:v>0</x:v>
      </x:c>
      <x:c r="AF94" s="107" t="n">
        <x:f>SUM(IF($B$8=1,AF26,0),IF($B$36=1,AF54,0),IF($B$64=1,AF82,0))</x:f>
        <x:v>0</x:v>
      </x:c>
      <x:c r="AG94" s="107" t="n">
        <x:f>SUM(IF($B$8=1,AG26,0),IF($B$36=1,AG54,0),IF($B$64=1,AG82,0))</x:f>
        <x:v>0</x:v>
      </x:c>
      <x:c r="AH94" s="107" t="n">
        <x:f>SUM(IF($B$8=1,AH26,0),IF($B$36=1,AH54,0),IF($B$64=1,AH82,0))</x:f>
        <x:v>0</x:v>
      </x:c>
      <x:c r="AI94" s="107" t="n">
        <x:f>SUM(IF($B$8=1,AI26,0),IF($B$36=1,AI54,0),IF($B$64=1,AI82,0))</x:f>
        <x:v>0</x:v>
      </x:c>
      <x:c r="AJ94" s="107" t="n">
        <x:f>SUM(IF($B$8=1,AJ26,0),IF($B$36=1,AJ54,0),IF($B$64=1,AJ82,0))</x:f>
        <x:v>0</x:v>
      </x:c>
      <x:c r="AK94" s="107" t="n">
        <x:f>SUM(IF($B$8=1,AK26,0),IF($B$36=1,AK54,0),IF($B$64=1,AK82,0))</x:f>
        <x:v>0</x:v>
      </x:c>
      <x:c r="AL94" s="107" t="n">
        <x:f>SUM(IF($B$8=1,AL26,0),IF($B$36=1,AL54,0),IF($B$64=1,AL82,0))</x:f>
        <x:v>0</x:v>
      </x:c>
      <x:c r="AM94" s="107" t="n">
        <x:f>SUM(IF($B$8=1,AM26,0),IF($B$36=1,AM54,0),IF($B$64=1,AM82,0))</x:f>
        <x:v>0</x:v>
      </x:c>
      <x:c r="AN94" s="107" t="n">
        <x:f>SUM(IF($B$8=1,AN26,0),IF($B$36=1,AN54,0),IF($B$64=1,AN82,0))</x:f>
        <x:v>0</x:v>
      </x:c>
      <x:c r="AO94" s="107" t="n">
        <x:f>SUM(IF($B$8=1,AO26,0),IF($B$36=1,AO54,0),IF($B$64=1,AO82,0))</x:f>
        <x:v>0</x:v>
      </x:c>
      <x:c r="AP94" s="107" t="n">
        <x:f>SUM(IF($B$8=1,AP26,0),IF($B$36=1,AP54,0),IF($B$64=1,AP82,0))</x:f>
        <x:v>0</x:v>
      </x:c>
      <x:c r="AQ94" s="107" t="n">
        <x:f>SUM(IF($B$8=1,AQ26,0),IF($B$36=1,AQ54,0),IF($B$64=1,AQ82,0))</x:f>
        <x:v>0</x:v>
      </x:c>
      <x:c r="AR94" s="107" t="n">
        <x:f>SUM(IF($B$8=1,AR26,0),IF($B$36=1,AR54,0),IF($B$64=1,AR82,0))</x:f>
        <x:v>0</x:v>
      </x:c>
      <x:c r="AS94" s="107" t="n">
        <x:f>SUM(IF($B$8=1,AS26,0),IF($B$36=1,AS54,0),IF($B$64=1,AS82,0))</x:f>
        <x:v>0</x:v>
      </x:c>
      <x:c r="AT94" s="107" t="n">
        <x:f>SUM(IF($B$8=1,AT26,0),IF($B$36=1,AT54,0),IF($B$64=1,AT82,0))</x:f>
        <x:v>0</x:v>
      </x:c>
      <x:c r="AU94" s="107" t="n">
        <x:f>SUM(IF($B$8=1,AU26,0),IF($B$36=1,AU54,0),IF($B$64=1,AU82,0))</x:f>
        <x:v>0</x:v>
      </x:c>
      <x:c r="AV94" s="107" t="n">
        <x:f>SUM(IF($B$8=1,AV26,0),IF($B$36=1,AV54,0),IF($B$64=1,AV82,0))</x:f>
        <x:v>0</x:v>
      </x:c>
      <x:c r="AW94" s="107" t="n">
        <x:f>SUM(IF($B$8=1,AW26,0),IF($B$36=1,AW54,0),IF($B$64=1,AW82,0))</x:f>
        <x:v>0</x:v>
      </x:c>
      <x:c r="AX94" s="107" t="n">
        <x:f>SUM(IF($B$8=1,AX26,0),IF($B$36=1,AX54,0),IF($B$64=1,AX82,0))</x:f>
        <x:v>0</x:v>
      </x:c>
      <x:c r="AY94" s="107" t="n">
        <x:f>SUM(IF($B$8=1,AY26,0),IF($B$36=1,AY54,0),IF($B$64=1,AY82,0))</x:f>
        <x:v>0</x:v>
      </x:c>
      <x:c r="AZ94" s="107" t="n">
        <x:f>SUM(IF($B$8=1,AZ26,0),IF($B$36=1,AZ54,0),IF($B$64=1,AZ82,0))</x:f>
        <x:v>0</x:v>
      </x:c>
      <x:c r="BA94" s="107" t="n">
        <x:f>SUM(IF($B$8=1,BA26,0),IF($B$36=1,BA54,0),IF($B$64=1,BA82,0))</x:f>
        <x:v>0</x:v>
      </x:c>
      <x:c r="BB94" s="107" t="n">
        <x:f>SUM(IF($B$8=1,BB26,0),IF($B$36=1,BB54,0),IF($B$64=1,BB82,0))</x:f>
        <x:v>0</x:v>
      </x:c>
      <x:c r="BC94" s="107" t="n">
        <x:f>SUM(IF($B$8=1,BC26,0),IF($B$36=1,BC54,0),IF($B$64=1,BC82,0))</x:f>
        <x:v>0</x:v>
      </x:c>
      <x:c r="BD94" s="107" t="n">
        <x:f>SUM(IF($B$8=1,BD26,0),IF($B$36=1,BD54,0),IF($B$64=1,BD82,0))</x:f>
        <x:v>0</x:v>
      </x:c>
      <x:c r="BE94" s="107" t="n">
        <x:f>SUM(IF($B$8=1,BE26,0),IF($B$36=1,BE54,0),IF($B$64=1,BE82,0))</x:f>
        <x:v>0</x:v>
      </x:c>
      <x:c r="BF94" s="107" t="n">
        <x:f>SUM(IF($B$8=1,BF26,0),IF($B$36=1,BF54,0),IF($B$64=1,BF82,0))</x:f>
        <x:v>0</x:v>
      </x:c>
      <x:c r="BG94" s="107" t="n">
        <x:f>SUM(IF($B$8=1,BG26,0),IF($B$36=1,BG54,0),IF($B$64=1,BG82,0))</x:f>
        <x:v>0</x:v>
      </x:c>
      <x:c r="BH94" s="107" t="n">
        <x:f>SUM(IF($B$8=1,BH26,0),IF($B$36=1,BH54,0),IF($B$64=1,BH82,0))</x:f>
        <x:v>0</x:v>
      </x:c>
      <x:c r="BI94" s="107" t="n">
        <x:f>SUM(IF($B$8=1,BI26,0),IF($B$36=1,BI54,0),IF($B$64=1,BI82,0))</x:f>
        <x:v>0</x:v>
      </x:c>
      <x:c r="BJ94" s="107" t="n">
        <x:f>SUM(IF($B$8=1,BJ26,0),IF($B$36=1,BJ54,0),IF($B$64=1,BJ82,0))</x:f>
        <x:v>0</x:v>
      </x:c>
      <x:c r="BK94" s="107" t="n">
        <x:f>SUM(IF($B$8=1,BK26,0),IF($B$36=1,BK54,0),IF($B$64=1,BK82,0))</x:f>
        <x:v>0</x:v>
      </x:c>
      <x:c r="BL94" s="107" t="n">
        <x:f>SUM(IF($B$8=1,BL26,0),IF($B$36=1,BL54,0),IF($B$64=1,BL82,0))</x:f>
        <x:v>0</x:v>
      </x:c>
      <x:c r="BM94" s="107" t="n">
        <x:f>SUM(IF($B$8=1,BM26,0),IF($B$36=1,BM54,0),IF($B$64=1,BM82,0))</x:f>
        <x:v>0</x:v>
      </x:c>
      <x:c r="BN94" s="107" t="n">
        <x:f>SUM(IF($B$8=1,BN26,0),IF($B$36=1,BN54,0),IF($B$64=1,BN82,0))</x:f>
        <x:v>0</x:v>
      </x:c>
      <x:c r="BO94" s="107" t="n">
        <x:f>SUM(IF($B$8=1,BO26,0),IF($B$36=1,BO54,0),IF($B$64=1,BO82,0))</x:f>
        <x:v>0</x:v>
      </x:c>
      <x:c r="BP94" s="107" t="n">
        <x:f>SUM(IF($B$8=1,BP26,0),IF($B$36=1,BP54,0),IF($B$64=1,BP82,0))</x:f>
        <x:v>0</x:v>
      </x:c>
      <x:c r="BQ94" s="107" t="n">
        <x:f>SUM(IF($B$8=1,BQ26,0),IF($B$36=1,BQ54,0),IF($B$64=1,BQ82,0))</x:f>
        <x:v>0</x:v>
      </x:c>
      <x:c r="BR94" s="107" t="n">
        <x:f>SUM(IF($B$8=1,BR26,0),IF($B$36=1,BR54,0),IF($B$64=1,BR82,0))</x:f>
        <x:v>0</x:v>
      </x:c>
      <x:c r="BS94" s="107" t="n">
        <x:f>SUM(IF($B$8=1,BS26,0),IF($B$36=1,BS54,0),IF($B$64=1,BS82,0))</x:f>
        <x:v>0</x:v>
      </x:c>
      <x:c r="BT94" s="107" t="n">
        <x:f>SUM(IF($B$8=1,BT26,0),IF($B$36=1,BT54,0),IF($B$64=1,BT82,0))</x:f>
        <x:v>0</x:v>
      </x:c>
      <x:c r="BU94" s="107" t="n">
        <x:f>SUM(IF($B$8=1,BU26,0),IF($B$36=1,BU54,0),IF($B$64=1,BU82,0))</x:f>
        <x:v>0</x:v>
      </x:c>
      <x:c r="BV94" s="107" t="n">
        <x:f>SUM(IF($B$8=1,BV26,0),IF($B$36=1,BV54,0),IF($B$64=1,BV82,0))</x:f>
        <x:v>0</x:v>
      </x:c>
      <x:c r="BW94" s="107" t="n">
        <x:f>SUM(IF($B$8=1,BW26,0),IF($B$36=1,BW54,0),IF($B$64=1,BW82,0))</x:f>
        <x:v>0</x:v>
      </x:c>
      <x:c r="BX94" s="107" t="n">
        <x:f>SUM(IF($B$8=1,BX26,0),IF($B$36=1,BX54,0),IF($B$64=1,BX82,0))</x:f>
        <x:v>0</x:v>
      </x:c>
      <x:c r="BY94" s="107" t="n">
        <x:f>SUM(IF($B$8=1,BY26,0),IF($B$36=1,BY54,0),IF($B$64=1,BY82,0))</x:f>
        <x:v>0</x:v>
      </x:c>
      <x:c r="BZ94" s="107" t="n">
        <x:f>SUM(IF($B$8=1,BZ26,0),IF($B$36=1,BZ54,0),IF($B$64=1,BZ82,0))</x:f>
        <x:v>0</x:v>
      </x:c>
      <x:c r="CA94" s="107" t="n">
        <x:f>SUM(IF($B$8=1,CA26,0),IF($B$36=1,CA54,0),IF($B$64=1,CA82,0))</x:f>
        <x:v>0</x:v>
      </x:c>
      <x:c r="CB94" s="107" t="n">
        <x:f>SUM(IF($B$8=1,CB26,0),IF($B$36=1,CB54,0),IF($B$64=1,CB82,0))</x:f>
        <x:v>0</x:v>
      </x:c>
      <x:c r="CC94" s="107" t="n">
        <x:f>SUM(IF($B$8=1,CC26,0),IF($B$36=1,CC54,0),IF($B$64=1,CC82,0))</x:f>
        <x:v>0</x:v>
      </x:c>
      <x:c r="CD94" s="107" t="n">
        <x:f>SUM(IF($B$8=1,CD26,0),IF($B$36=1,CD54,0),IF($B$64=1,CD82,0))</x:f>
        <x:v>0</x:v>
      </x:c>
      <x:c r="CE94" s="107" t="n">
        <x:f>SUM(IF($B$8=1,CE26,0),IF($B$36=1,CE54,0),IF($B$64=1,CE82,0))</x:f>
        <x:v>0</x:v>
      </x:c>
      <x:c r="CF94" s="107" t="n">
        <x:f>SUM(IF($B$8=1,CF26,0),IF($B$36=1,CF54,0),IF($B$64=1,CF82,0))</x:f>
        <x:v>0</x:v>
      </x:c>
      <x:c r="CG94" s="107" t="n">
        <x:f>SUM(IF($B$8=1,CG26,0),IF($B$36=1,CG54,0),IF($B$64=1,CG82,0))</x:f>
        <x:v>0</x:v>
      </x:c>
      <x:c r="CH94" s="107" t="n">
        <x:f>SUM(IF($B$8=1,CH26,0),IF($B$36=1,CH54,0),IF($B$64=1,CH82,0))</x:f>
        <x:v>0</x:v>
      </x:c>
      <x:c r="CI94" s="107" t="n">
        <x:f>SUM(IF($B$8=1,CI26,0),IF($B$36=1,CI54,0),IF($B$64=1,CI82,0))</x:f>
        <x:v>0</x:v>
      </x:c>
      <x:c r="CJ94" s="107" t="n">
        <x:f>SUM(IF($B$8=1,CJ26,0),IF($B$36=1,CJ54,0),IF($B$64=1,CJ82,0))</x:f>
        <x:v>0</x:v>
      </x:c>
      <x:c r="CK94" s="107" t="n">
        <x:f>SUM(IF($B$8=1,CK26,0),IF($B$36=1,CK54,0),IF($B$64=1,CK82,0))</x:f>
        <x:v>0</x:v>
      </x:c>
      <x:c r="CL94" s="107" t="n">
        <x:f>SUM(IF($B$8=1,CL26,0),IF($B$36=1,CL54,0),IF($B$64=1,CL82,0))</x:f>
        <x:v>0</x:v>
      </x:c>
      <x:c r="CM94" s="107" t="n">
        <x:f>SUM(IF($B$8=1,CM26,0),IF($B$36=1,CM54,0),IF($B$64=1,CM82,0))</x:f>
        <x:v>0</x:v>
      </x:c>
      <x:c r="CN94" s="107" t="n">
        <x:f>SUM(IF($B$8=1,CN26,0),IF($B$36=1,CN54,0),IF($B$64=1,CN82,0))</x:f>
        <x:v>0</x:v>
      </x:c>
      <x:c r="CO94" s="107" t="n">
        <x:f>SUM(IF($B$8=1,CO26,0),IF($B$36=1,CO54,0),IF($B$64=1,CO82,0))</x:f>
        <x:v>0</x:v>
      </x:c>
      <x:c r="CP94" s="107" t="n">
        <x:f>SUM(IF($B$8=1,CP26,0),IF($B$36=1,CP54,0),IF($B$64=1,CP82,0))</x:f>
        <x:v>0</x:v>
      </x:c>
      <x:c r="CQ94" s="107" t="n">
        <x:f>SUM(IF($B$8=1,CQ26,0),IF($B$36=1,CQ54,0),IF($B$64=1,CQ82,0))</x:f>
        <x:v>0</x:v>
      </x:c>
      <x:c r="CR94" s="107" t="n">
        <x:f>SUM(IF($B$8=1,CR26,0),IF($B$36=1,CR54,0),IF($B$64=1,CR82,0))</x:f>
        <x:v>0</x:v>
      </x:c>
      <x:c r="CS94" s="107" t="n">
        <x:f>SUM(IF($B$8=1,CS26,0),IF($B$36=1,CS54,0),IF($B$64=1,CS82,0))</x:f>
        <x:v>0</x:v>
      </x:c>
      <x:c r="CT94" s="107" t="n">
        <x:f>SUM(IF($B$8=1,CT26,0),IF($B$36=1,CT54,0),IF($B$64=1,CT82,0))</x:f>
        <x:v>0</x:v>
      </x:c>
      <x:c r="CU94" s="107" t="n">
        <x:f>SUM(IF($B$8=1,CU26,0),IF($B$36=1,CU54,0),IF($B$64=1,CU82,0))</x:f>
        <x:v>0</x:v>
      </x:c>
      <x:c r="CV94" s="107" t="n">
        <x:f>SUM(IF($B$8=1,CV26,0),IF($B$36=1,CV54,0),IF($B$64=1,CV82,0))</x:f>
        <x:v>0</x:v>
      </x:c>
      <x:c r="CW94" s="107" t="n">
        <x:f>SUM(IF($B$8=1,CW26,0),IF($B$36=1,CW54,0),IF($B$64=1,CW82,0))</x:f>
        <x:v>0</x:v>
      </x:c>
      <x:c r="CX94" s="107" t="n">
        <x:f>SUM(IF($B$8=1,CX26,0),IF($B$36=1,CX54,0),IF($B$64=1,CX82,0))</x:f>
        <x:v>0</x:v>
      </x:c>
      <x:c r="CY94" s="107" t="n">
        <x:f>SUM(IF($B$8=1,CY26,0),IF($B$36=1,CY54,0),IF($B$64=1,CY82,0))</x:f>
        <x:v>0</x:v>
      </x:c>
      <x:c r="CZ94" s="107" t="n">
        <x:f>SUM(IF($B$8=1,CZ26,0),IF($B$36=1,CZ54,0),IF($B$64=1,CZ82,0))</x:f>
        <x:v>0</x:v>
      </x:c>
      <x:c r="DA94" s="107" t="n">
        <x:f>SUM(IF($B$8=1,DA26,0),IF($B$36=1,DA54,0),IF($B$64=1,DA82,0))</x:f>
        <x:v>0</x:v>
      </x:c>
      <x:c r="DB94" s="107" t="n">
        <x:f>SUM(IF($B$8=1,DB26,0),IF($B$36=1,DB54,0),IF($B$64=1,DB82,0))</x:f>
        <x:v>0</x:v>
      </x:c>
      <x:c r="DC94" s="107" t="n">
        <x:f>SUM(IF($B$8=1,DC26,0),IF($B$36=1,DC54,0),IF($B$64=1,DC82,0))</x:f>
        <x:v>0</x:v>
      </x:c>
      <x:c r="DD94" s="107" t="n">
        <x:f>SUM(IF($B$8=1,DD26,0),IF($B$36=1,DD54,0),IF($B$64=1,DD82,0))</x:f>
        <x:v>0</x:v>
      </x:c>
      <x:c r="DE94" s="107" t="n">
        <x:f>SUM(IF($B$8=1,DE26,0),IF($B$36=1,DE54,0),IF($B$64=1,DE82,0))</x:f>
        <x:v>0</x:v>
      </x:c>
      <x:c r="DF94" s="107" t="n">
        <x:f>SUM(IF($B$8=1,DF26,0),IF($B$36=1,DF54,0),IF($B$64=1,DF82,0))</x:f>
        <x:v>0</x:v>
      </x:c>
      <x:c r="DG94" s="107" t="n">
        <x:f>SUM(IF($B$8=1,DG26,0),IF($B$36=1,DG54,0),IF($B$64=1,DG82,0))</x:f>
        <x:v>0</x:v>
      </x:c>
      <x:c r="DH94" s="107" t="n">
        <x:f>SUM(IF($B$8=1,DH26,0),IF($B$36=1,DH54,0),IF($B$64=1,DH82,0))</x:f>
        <x:v>0</x:v>
      </x:c>
      <x:c r="DI94" s="107" t="n">
        <x:f>SUM(IF($B$8=1,DI26,0),IF($B$36=1,DI54,0),IF($B$64=1,DI82,0))</x:f>
        <x:v>0</x:v>
      </x:c>
      <x:c r="DJ94" s="107" t="n">
        <x:f>SUM(IF($B$8=1,DJ26,0),IF($B$36=1,DJ54,0),IF($B$64=1,DJ82,0))</x:f>
        <x:v>0</x:v>
      </x:c>
      <x:c r="DK94" s="107" t="n">
        <x:f>SUM(IF($B$8=1,DK26,0),IF($B$36=1,DK54,0),IF($B$64=1,DK82,0))</x:f>
        <x:v>0</x:v>
      </x:c>
      <x:c r="DL94" s="107" t="n">
        <x:f>SUM(IF($B$8=1,DL26,0),IF($B$36=1,DL54,0),IF($B$64=1,DL82,0))</x:f>
        <x:v>0</x:v>
      </x:c>
      <x:c r="DM94" s="107" t="n">
        <x:f>SUM(IF($B$8=1,DM26,0),IF($B$36=1,DM54,0),IF($B$64=1,DM82,0))</x:f>
        <x:v>0</x:v>
      </x:c>
      <x:c r="DN94" s="107" t="n">
        <x:f>SUM(IF($B$8=1,DN26,0),IF($B$36=1,DN54,0),IF($B$64=1,DN82,0))</x:f>
        <x:v>0</x:v>
      </x:c>
      <x:c r="DO94" s="107" t="n">
        <x:f>SUM(IF($B$8=1,DO26,0),IF($B$36=1,DO54,0),IF($B$64=1,DO82,0))</x:f>
        <x:v>0</x:v>
      </x:c>
      <x:c r="DP94" s="107" t="n">
        <x:f>SUM(IF($B$8=1,DP26,0),IF($B$36=1,DP54,0),IF($B$64=1,DP82,0))</x:f>
        <x:v>0</x:v>
      </x:c>
      <x:c r="DQ94" s="107" t="n">
        <x:f>SUM(IF($B$8=1,DQ26,0),IF($B$36=1,DQ54,0),IF($B$64=1,DQ82,0))</x:f>
        <x:v>0</x:v>
      </x:c>
      <x:c r="DR94" s="107" t="n">
        <x:f>SUM(IF($B$8=1,DR26,0),IF($B$36=1,DR54,0),IF($B$64=1,DR82,0))</x:f>
        <x:v>0</x:v>
      </x:c>
      <x:c r="DS94" s="107" t="n">
        <x:f>SUM(IF($B$8=1,DS26,0),IF($B$36=1,DS54,0),IF($B$64=1,DS82,0))</x:f>
        <x:v>0</x:v>
      </x:c>
    </x:row>
    <x:row r="95">
      <x:c r="A95" t="str">
        <x:v>Очередь 1 — Раскрытие эскроу объектов</x:v>
      </x:c>
      <x:c r="B95" s="107" t="n">
        <x:f>SUM(D95:DS95)</x:f>
        <x:v>0</x:v>
      </x:c>
      <x:c r="C95" t="str">
        <x:v>млн ₽</x:v>
      </x:c>
      <x:c r="D95" s="107" t="n">
        <x:f>SUM(IF($B$8=1,D27,0),IF($B$36=1,D55,0),IF($B$64=1,D83,0))</x:f>
        <x:v>0</x:v>
      </x:c>
      <x:c r="E95" s="107" t="n">
        <x:f>SUM(IF($B$8=1,E27,0),IF($B$36=1,E55,0),IF($B$64=1,E83,0))</x:f>
        <x:v>0</x:v>
      </x:c>
      <x:c r="F95" s="107" t="n">
        <x:f>SUM(IF($B$8=1,F27,0),IF($B$36=1,F55,0),IF($B$64=1,F83,0))</x:f>
        <x:v>0</x:v>
      </x:c>
      <x:c r="G95" s="107" t="n">
        <x:f>SUM(IF($B$8=1,G27,0),IF($B$36=1,G55,0),IF($B$64=1,G83,0))</x:f>
        <x:v>0</x:v>
      </x:c>
      <x:c r="H95" s="107" t="n">
        <x:f>SUM(IF($B$8=1,H27,0),IF($B$36=1,H55,0),IF($B$64=1,H83,0))</x:f>
        <x:v>0</x:v>
      </x:c>
      <x:c r="I95" s="107" t="n">
        <x:f>SUM(IF($B$8=1,I27,0),IF($B$36=1,I55,0),IF($B$64=1,I83,0))</x:f>
        <x:v>0</x:v>
      </x:c>
      <x:c r="J95" s="107" t="n">
        <x:f>SUM(IF($B$8=1,J27,0),IF($B$36=1,J55,0),IF($B$64=1,J83,0))</x:f>
        <x:v>0</x:v>
      </x:c>
      <x:c r="K95" s="107" t="n">
        <x:f>SUM(IF($B$8=1,K27,0),IF($B$36=1,K55,0),IF($B$64=1,K83,0))</x:f>
        <x:v>0</x:v>
      </x:c>
      <x:c r="L95" s="107" t="n">
        <x:f>SUM(IF($B$8=1,L27,0),IF($B$36=1,L55,0),IF($B$64=1,L83,0))</x:f>
        <x:v>0</x:v>
      </x:c>
      <x:c r="M95" s="107" t="n">
        <x:f>SUM(IF($B$8=1,M27,0),IF($B$36=1,M55,0),IF($B$64=1,M83,0))</x:f>
        <x:v>0</x:v>
      </x:c>
      <x:c r="N95" s="107" t="n">
        <x:f>SUM(IF($B$8=1,N27,0),IF($B$36=1,N55,0),IF($B$64=1,N83,0))</x:f>
        <x:v>0</x:v>
      </x:c>
      <x:c r="O95" s="107" t="n">
        <x:f>SUM(IF($B$8=1,O27,0),IF($B$36=1,O55,0),IF($B$64=1,O83,0))</x:f>
        <x:v>0</x:v>
      </x:c>
      <x:c r="P95" s="107" t="n">
        <x:f>SUM(IF($B$8=1,P27,0),IF($B$36=1,P55,0),IF($B$64=1,P83,0))</x:f>
        <x:v>0</x:v>
      </x:c>
      <x:c r="Q95" s="107" t="n">
        <x:f>SUM(IF($B$8=1,Q27,0),IF($B$36=1,Q55,0),IF($B$64=1,Q83,0))</x:f>
        <x:v>0</x:v>
      </x:c>
      <x:c r="R95" s="107" t="n">
        <x:f>SUM(IF($B$8=1,R27,0),IF($B$36=1,R55,0),IF($B$64=1,R83,0))</x:f>
        <x:v>0</x:v>
      </x:c>
      <x:c r="S95" s="107" t="n">
        <x:f>SUM(IF($B$8=1,S27,0),IF($B$36=1,S55,0),IF($B$64=1,S83,0))</x:f>
        <x:v>0</x:v>
      </x:c>
      <x:c r="T95" s="107" t="n">
        <x:f>SUM(IF($B$8=1,T27,0),IF($B$36=1,T55,0),IF($B$64=1,T83,0))</x:f>
        <x:v>0</x:v>
      </x:c>
      <x:c r="U95" s="107" t="n">
        <x:f>SUM(IF($B$8=1,U27,0),IF($B$36=1,U55,0),IF($B$64=1,U83,0))</x:f>
        <x:v>0</x:v>
      </x:c>
      <x:c r="V95" s="107" t="n">
        <x:f>SUM(IF($B$8=1,V27,0),IF($B$36=1,V55,0),IF($B$64=1,V83,0))</x:f>
        <x:v>0</x:v>
      </x:c>
      <x:c r="W95" s="107" t="n">
        <x:f>SUM(IF($B$8=1,W27,0),IF($B$36=1,W55,0),IF($B$64=1,W83,0))</x:f>
        <x:v>0</x:v>
      </x:c>
      <x:c r="X95" s="107" t="n">
        <x:f>SUM(IF($B$8=1,X27,0),IF($B$36=1,X55,0),IF($B$64=1,X83,0))</x:f>
        <x:v>0</x:v>
      </x:c>
      <x:c r="Y95" s="107" t="n">
        <x:f>SUM(IF($B$8=1,Y27,0),IF($B$36=1,Y55,0),IF($B$64=1,Y83,0))</x:f>
        <x:v>0</x:v>
      </x:c>
      <x:c r="Z95" s="107" t="n">
        <x:f>SUM(IF($B$8=1,Z27,0),IF($B$36=1,Z55,0),IF($B$64=1,Z83,0))</x:f>
        <x:v>0</x:v>
      </x:c>
      <x:c r="AA95" s="107" t="n">
        <x:f>SUM(IF($B$8=1,AA27,0),IF($B$36=1,AA55,0),IF($B$64=1,AA83,0))</x:f>
        <x:v>0</x:v>
      </x:c>
      <x:c r="AB95" s="107" t="n">
        <x:f>SUM(IF($B$8=1,AB27,0),IF($B$36=1,AB55,0),IF($B$64=1,AB83,0))</x:f>
        <x:v>0</x:v>
      </x:c>
      <x:c r="AC95" s="107" t="n">
        <x:f>SUM(IF($B$8=1,AC27,0),IF($B$36=1,AC55,0),IF($B$64=1,AC83,0))</x:f>
        <x:v>0</x:v>
      </x:c>
      <x:c r="AD95" s="107" t="n">
        <x:f>SUM(IF($B$8=1,AD27,0),IF($B$36=1,AD55,0),IF($B$64=1,AD83,0))</x:f>
        <x:v>0</x:v>
      </x:c>
      <x:c r="AE95" s="107" t="n">
        <x:f>SUM(IF($B$8=1,AE27,0),IF($B$36=1,AE55,0),IF($B$64=1,AE83,0))</x:f>
        <x:v>0</x:v>
      </x:c>
      <x:c r="AF95" s="107" t="n">
        <x:f>SUM(IF($B$8=1,AF27,0),IF($B$36=1,AF55,0),IF($B$64=1,AF83,0))</x:f>
        <x:v>0</x:v>
      </x:c>
      <x:c r="AG95" s="107" t="n">
        <x:f>SUM(IF($B$8=1,AG27,0),IF($B$36=1,AG55,0),IF($B$64=1,AG83,0))</x:f>
        <x:v>0</x:v>
      </x:c>
      <x:c r="AH95" s="107" t="n">
        <x:f>SUM(IF($B$8=1,AH27,0),IF($B$36=1,AH55,0),IF($B$64=1,AH83,0))</x:f>
        <x:v>0</x:v>
      </x:c>
      <x:c r="AI95" s="107" t="n">
        <x:f>SUM(IF($B$8=1,AI27,0),IF($B$36=1,AI55,0),IF($B$64=1,AI83,0))</x:f>
        <x:v>0</x:v>
      </x:c>
      <x:c r="AJ95" s="107" t="n">
        <x:f>SUM(IF($B$8=1,AJ27,0),IF($B$36=1,AJ55,0),IF($B$64=1,AJ83,0))</x:f>
        <x:v>0</x:v>
      </x:c>
      <x:c r="AK95" s="107" t="n">
        <x:f>SUM(IF($B$8=1,AK27,0),IF($B$36=1,AK55,0),IF($B$64=1,AK83,0))</x:f>
        <x:v>0</x:v>
      </x:c>
      <x:c r="AL95" s="107" t="n">
        <x:f>SUM(IF($B$8=1,AL27,0),IF($B$36=1,AL55,0),IF($B$64=1,AL83,0))</x:f>
        <x:v>0</x:v>
      </x:c>
      <x:c r="AM95" s="107" t="n">
        <x:f>SUM(IF($B$8=1,AM27,0),IF($B$36=1,AM55,0),IF($B$64=1,AM83,0))</x:f>
        <x:v>0</x:v>
      </x:c>
      <x:c r="AN95" s="107" t="n">
        <x:f>SUM(IF($B$8=1,AN27,0),IF($B$36=1,AN55,0),IF($B$64=1,AN83,0))</x:f>
        <x:v>0</x:v>
      </x:c>
      <x:c r="AO95" s="107" t="n">
        <x:f>SUM(IF($B$8=1,AO27,0),IF($B$36=1,AO55,0),IF($B$64=1,AO83,0))</x:f>
        <x:v>0</x:v>
      </x:c>
      <x:c r="AP95" s="107" t="n">
        <x:f>SUM(IF($B$8=1,AP27,0),IF($B$36=1,AP55,0),IF($B$64=1,AP83,0))</x:f>
        <x:v>0</x:v>
      </x:c>
      <x:c r="AQ95" s="107" t="n">
        <x:f>SUM(IF($B$8=1,AQ27,0),IF($B$36=1,AQ55,0),IF($B$64=1,AQ83,0))</x:f>
        <x:v>0</x:v>
      </x:c>
      <x:c r="AR95" s="107" t="n">
        <x:f>SUM(IF($B$8=1,AR27,0),IF($B$36=1,AR55,0),IF($B$64=1,AR83,0))</x:f>
        <x:v>0</x:v>
      </x:c>
      <x:c r="AS95" s="107" t="n">
        <x:f>SUM(IF($B$8=1,AS27,0),IF($B$36=1,AS55,0),IF($B$64=1,AS83,0))</x:f>
        <x:v>0</x:v>
      </x:c>
      <x:c r="AT95" s="107" t="n">
        <x:f>SUM(IF($B$8=1,AT27,0),IF($B$36=1,AT55,0),IF($B$64=1,AT83,0))</x:f>
        <x:v>0</x:v>
      </x:c>
      <x:c r="AU95" s="107" t="n">
        <x:f>SUM(IF($B$8=1,AU27,0),IF($B$36=1,AU55,0),IF($B$64=1,AU83,0))</x:f>
        <x:v>0</x:v>
      </x:c>
      <x:c r="AV95" s="107" t="n">
        <x:f>SUM(IF($B$8=1,AV27,0),IF($B$36=1,AV55,0),IF($B$64=1,AV83,0))</x:f>
        <x:v>0</x:v>
      </x:c>
      <x:c r="AW95" s="107" t="n">
        <x:f>SUM(IF($B$8=1,AW27,0),IF($B$36=1,AW55,0),IF($B$64=1,AW83,0))</x:f>
        <x:v>0</x:v>
      </x:c>
      <x:c r="AX95" s="107" t="n">
        <x:f>SUM(IF($B$8=1,AX27,0),IF($B$36=1,AX55,0),IF($B$64=1,AX83,0))</x:f>
        <x:v>0</x:v>
      </x:c>
      <x:c r="AY95" s="107" t="n">
        <x:f>SUM(IF($B$8=1,AY27,0),IF($B$36=1,AY55,0),IF($B$64=1,AY83,0))</x:f>
        <x:v>0</x:v>
      </x:c>
      <x:c r="AZ95" s="107" t="n">
        <x:f>SUM(IF($B$8=1,AZ27,0),IF($B$36=1,AZ55,0),IF($B$64=1,AZ83,0))</x:f>
        <x:v>0</x:v>
      </x:c>
      <x:c r="BA95" s="107" t="n">
        <x:f>SUM(IF($B$8=1,BA27,0),IF($B$36=1,BA55,0),IF($B$64=1,BA83,0))</x:f>
        <x:v>0</x:v>
      </x:c>
      <x:c r="BB95" s="107" t="n">
        <x:f>SUM(IF($B$8=1,BB27,0),IF($B$36=1,BB55,0),IF($B$64=1,BB83,0))</x:f>
        <x:v>0</x:v>
      </x:c>
      <x:c r="BC95" s="107" t="n">
        <x:f>SUM(IF($B$8=1,BC27,0),IF($B$36=1,BC55,0),IF($B$64=1,BC83,0))</x:f>
        <x:v>0</x:v>
      </x:c>
      <x:c r="BD95" s="107" t="n">
        <x:f>SUM(IF($B$8=1,BD27,0),IF($B$36=1,BD55,0),IF($B$64=1,BD83,0))</x:f>
        <x:v>0</x:v>
      </x:c>
      <x:c r="BE95" s="107" t="n">
        <x:f>SUM(IF($B$8=1,BE27,0),IF($B$36=1,BE55,0),IF($B$64=1,BE83,0))</x:f>
        <x:v>0</x:v>
      </x:c>
      <x:c r="BF95" s="107" t="n">
        <x:f>SUM(IF($B$8=1,BF27,0),IF($B$36=1,BF55,0),IF($B$64=1,BF83,0))</x:f>
        <x:v>0</x:v>
      </x:c>
      <x:c r="BG95" s="107" t="n">
        <x:f>SUM(IF($B$8=1,BG27,0),IF($B$36=1,BG55,0),IF($B$64=1,BG83,0))</x:f>
        <x:v>0</x:v>
      </x:c>
      <x:c r="BH95" s="107" t="n">
        <x:f>SUM(IF($B$8=1,BH27,0),IF($B$36=1,BH55,0),IF($B$64=1,BH83,0))</x:f>
        <x:v>0</x:v>
      </x:c>
      <x:c r="BI95" s="107" t="n">
        <x:f>SUM(IF($B$8=1,BI27,0),IF($B$36=1,BI55,0),IF($B$64=1,BI83,0))</x:f>
        <x:v>0</x:v>
      </x:c>
      <x:c r="BJ95" s="107" t="n">
        <x:f>SUM(IF($B$8=1,BJ27,0),IF($B$36=1,BJ55,0),IF($B$64=1,BJ83,0))</x:f>
        <x:v>0</x:v>
      </x:c>
      <x:c r="BK95" s="107" t="n">
        <x:f>SUM(IF($B$8=1,BK27,0),IF($B$36=1,BK55,0),IF($B$64=1,BK83,0))</x:f>
        <x:v>0</x:v>
      </x:c>
      <x:c r="BL95" s="107" t="n">
        <x:f>SUM(IF($B$8=1,BL27,0),IF($B$36=1,BL55,0),IF($B$64=1,BL83,0))</x:f>
        <x:v>0</x:v>
      </x:c>
      <x:c r="BM95" s="107" t="n">
        <x:f>SUM(IF($B$8=1,BM27,0),IF($B$36=1,BM55,0),IF($B$64=1,BM83,0))</x:f>
        <x:v>0</x:v>
      </x:c>
      <x:c r="BN95" s="107" t="n">
        <x:f>SUM(IF($B$8=1,BN27,0),IF($B$36=1,BN55,0),IF($B$64=1,BN83,0))</x:f>
        <x:v>0</x:v>
      </x:c>
      <x:c r="BO95" s="107" t="n">
        <x:f>SUM(IF($B$8=1,BO27,0),IF($B$36=1,BO55,0),IF($B$64=1,BO83,0))</x:f>
        <x:v>0</x:v>
      </x:c>
      <x:c r="BP95" s="107" t="n">
        <x:f>SUM(IF($B$8=1,BP27,0),IF($B$36=1,BP55,0),IF($B$64=1,BP83,0))</x:f>
        <x:v>0</x:v>
      </x:c>
      <x:c r="BQ95" s="107" t="n">
        <x:f>SUM(IF($B$8=1,BQ27,0),IF($B$36=1,BQ55,0),IF($B$64=1,BQ83,0))</x:f>
        <x:v>0</x:v>
      </x:c>
      <x:c r="BR95" s="107" t="n">
        <x:f>SUM(IF($B$8=1,BR27,0),IF($B$36=1,BR55,0),IF($B$64=1,BR83,0))</x:f>
        <x:v>0</x:v>
      </x:c>
      <x:c r="BS95" s="107" t="n">
        <x:f>SUM(IF($B$8=1,BS27,0),IF($B$36=1,BS55,0),IF($B$64=1,BS83,0))</x:f>
        <x:v>0</x:v>
      </x:c>
      <x:c r="BT95" s="107" t="n">
        <x:f>SUM(IF($B$8=1,BT27,0),IF($B$36=1,BT55,0),IF($B$64=1,BT83,0))</x:f>
        <x:v>0</x:v>
      </x:c>
      <x:c r="BU95" s="107" t="n">
        <x:f>SUM(IF($B$8=1,BU27,0),IF($B$36=1,BU55,0),IF($B$64=1,BU83,0))</x:f>
        <x:v>0</x:v>
      </x:c>
      <x:c r="BV95" s="107" t="n">
        <x:f>SUM(IF($B$8=1,BV27,0),IF($B$36=1,BV55,0),IF($B$64=1,BV83,0))</x:f>
        <x:v>0</x:v>
      </x:c>
      <x:c r="BW95" s="107" t="n">
        <x:f>SUM(IF($B$8=1,BW27,0),IF($B$36=1,BW55,0),IF($B$64=1,BW83,0))</x:f>
        <x:v>0</x:v>
      </x:c>
      <x:c r="BX95" s="107" t="n">
        <x:f>SUM(IF($B$8=1,BX27,0),IF($B$36=1,BX55,0),IF($B$64=1,BX83,0))</x:f>
        <x:v>0</x:v>
      </x:c>
      <x:c r="BY95" s="107" t="n">
        <x:f>SUM(IF($B$8=1,BY27,0),IF($B$36=1,BY55,0),IF($B$64=1,BY83,0))</x:f>
        <x:v>0</x:v>
      </x:c>
      <x:c r="BZ95" s="107" t="n">
        <x:f>SUM(IF($B$8=1,BZ27,0),IF($B$36=1,BZ55,0),IF($B$64=1,BZ83,0))</x:f>
        <x:v>0</x:v>
      </x:c>
      <x:c r="CA95" s="107" t="n">
        <x:f>SUM(IF($B$8=1,CA27,0),IF($B$36=1,CA55,0),IF($B$64=1,CA83,0))</x:f>
        <x:v>0</x:v>
      </x:c>
      <x:c r="CB95" s="107" t="n">
        <x:f>SUM(IF($B$8=1,CB27,0),IF($B$36=1,CB55,0),IF($B$64=1,CB83,0))</x:f>
        <x:v>0</x:v>
      </x:c>
      <x:c r="CC95" s="107" t="n">
        <x:f>SUM(IF($B$8=1,CC27,0),IF($B$36=1,CC55,0),IF($B$64=1,CC83,0))</x:f>
        <x:v>0</x:v>
      </x:c>
      <x:c r="CD95" s="107" t="n">
        <x:f>SUM(IF($B$8=1,CD27,0),IF($B$36=1,CD55,0),IF($B$64=1,CD83,0))</x:f>
        <x:v>0</x:v>
      </x:c>
      <x:c r="CE95" s="107" t="n">
        <x:f>SUM(IF($B$8=1,CE27,0),IF($B$36=1,CE55,0),IF($B$64=1,CE83,0))</x:f>
        <x:v>0</x:v>
      </x:c>
      <x:c r="CF95" s="107" t="n">
        <x:f>SUM(IF($B$8=1,CF27,0),IF($B$36=1,CF55,0),IF($B$64=1,CF83,0))</x:f>
        <x:v>0</x:v>
      </x:c>
      <x:c r="CG95" s="107" t="n">
        <x:f>SUM(IF($B$8=1,CG27,0),IF($B$36=1,CG55,0),IF($B$64=1,CG83,0))</x:f>
        <x:v>0</x:v>
      </x:c>
      <x:c r="CH95" s="107" t="n">
        <x:f>SUM(IF($B$8=1,CH27,0),IF($B$36=1,CH55,0),IF($B$64=1,CH83,0))</x:f>
        <x:v>0</x:v>
      </x:c>
      <x:c r="CI95" s="107" t="n">
        <x:f>SUM(IF($B$8=1,CI27,0),IF($B$36=1,CI55,0),IF($B$64=1,CI83,0))</x:f>
        <x:v>0</x:v>
      </x:c>
      <x:c r="CJ95" s="107" t="n">
        <x:f>SUM(IF($B$8=1,CJ27,0),IF($B$36=1,CJ55,0),IF($B$64=1,CJ83,0))</x:f>
        <x:v>0</x:v>
      </x:c>
      <x:c r="CK95" s="107" t="n">
        <x:f>SUM(IF($B$8=1,CK27,0),IF($B$36=1,CK55,0),IF($B$64=1,CK83,0))</x:f>
        <x:v>0</x:v>
      </x:c>
      <x:c r="CL95" s="107" t="n">
        <x:f>SUM(IF($B$8=1,CL27,0),IF($B$36=1,CL55,0),IF($B$64=1,CL83,0))</x:f>
        <x:v>0</x:v>
      </x:c>
      <x:c r="CM95" s="107" t="n">
        <x:f>SUM(IF($B$8=1,CM27,0),IF($B$36=1,CM55,0),IF($B$64=1,CM83,0))</x:f>
        <x:v>0</x:v>
      </x:c>
      <x:c r="CN95" s="107" t="n">
        <x:f>SUM(IF($B$8=1,CN27,0),IF($B$36=1,CN55,0),IF($B$64=1,CN83,0))</x:f>
        <x:v>0</x:v>
      </x:c>
      <x:c r="CO95" s="107" t="n">
        <x:f>SUM(IF($B$8=1,CO27,0),IF($B$36=1,CO55,0),IF($B$64=1,CO83,0))</x:f>
        <x:v>0</x:v>
      </x:c>
      <x:c r="CP95" s="107" t="n">
        <x:f>SUM(IF($B$8=1,CP27,0),IF($B$36=1,CP55,0),IF($B$64=1,CP83,0))</x:f>
        <x:v>0</x:v>
      </x:c>
      <x:c r="CQ95" s="107" t="n">
        <x:f>SUM(IF($B$8=1,CQ27,0),IF($B$36=1,CQ55,0),IF($B$64=1,CQ83,0))</x:f>
        <x:v>0</x:v>
      </x:c>
      <x:c r="CR95" s="107" t="n">
        <x:f>SUM(IF($B$8=1,CR27,0),IF($B$36=1,CR55,0),IF($B$64=1,CR83,0))</x:f>
        <x:v>0</x:v>
      </x:c>
      <x:c r="CS95" s="107" t="n">
        <x:f>SUM(IF($B$8=1,CS27,0),IF($B$36=1,CS55,0),IF($B$64=1,CS83,0))</x:f>
        <x:v>0</x:v>
      </x:c>
      <x:c r="CT95" s="107" t="n">
        <x:f>SUM(IF($B$8=1,CT27,0),IF($B$36=1,CT55,0),IF($B$64=1,CT83,0))</x:f>
        <x:v>0</x:v>
      </x:c>
      <x:c r="CU95" s="107" t="n">
        <x:f>SUM(IF($B$8=1,CU27,0),IF($B$36=1,CU55,0),IF($B$64=1,CU83,0))</x:f>
        <x:v>0</x:v>
      </x:c>
      <x:c r="CV95" s="107" t="n">
        <x:f>SUM(IF($B$8=1,CV27,0),IF($B$36=1,CV55,0),IF($B$64=1,CV83,0))</x:f>
        <x:v>0</x:v>
      </x:c>
      <x:c r="CW95" s="107" t="n">
        <x:f>SUM(IF($B$8=1,CW27,0),IF($B$36=1,CW55,0),IF($B$64=1,CW83,0))</x:f>
        <x:v>0</x:v>
      </x:c>
      <x:c r="CX95" s="107" t="n">
        <x:f>SUM(IF($B$8=1,CX27,0),IF($B$36=1,CX55,0),IF($B$64=1,CX83,0))</x:f>
        <x:v>0</x:v>
      </x:c>
      <x:c r="CY95" s="107" t="n">
        <x:f>SUM(IF($B$8=1,CY27,0),IF($B$36=1,CY55,0),IF($B$64=1,CY83,0))</x:f>
        <x:v>0</x:v>
      </x:c>
      <x:c r="CZ95" s="107" t="n">
        <x:f>SUM(IF($B$8=1,CZ27,0),IF($B$36=1,CZ55,0),IF($B$64=1,CZ83,0))</x:f>
        <x:v>0</x:v>
      </x:c>
      <x:c r="DA95" s="107" t="n">
        <x:f>SUM(IF($B$8=1,DA27,0),IF($B$36=1,DA55,0),IF($B$64=1,DA83,0))</x:f>
        <x:v>0</x:v>
      </x:c>
      <x:c r="DB95" s="107" t="n">
        <x:f>SUM(IF($B$8=1,DB27,0),IF($B$36=1,DB55,0),IF($B$64=1,DB83,0))</x:f>
        <x:v>0</x:v>
      </x:c>
      <x:c r="DC95" s="107" t="n">
        <x:f>SUM(IF($B$8=1,DC27,0),IF($B$36=1,DC55,0),IF($B$64=1,DC83,0))</x:f>
        <x:v>0</x:v>
      </x:c>
      <x:c r="DD95" s="107" t="n">
        <x:f>SUM(IF($B$8=1,DD27,0),IF($B$36=1,DD55,0),IF($B$64=1,DD83,0))</x:f>
        <x:v>0</x:v>
      </x:c>
      <x:c r="DE95" s="107" t="n">
        <x:f>SUM(IF($B$8=1,DE27,0),IF($B$36=1,DE55,0),IF($B$64=1,DE83,0))</x:f>
        <x:v>0</x:v>
      </x:c>
      <x:c r="DF95" s="107" t="n">
        <x:f>SUM(IF($B$8=1,DF27,0),IF($B$36=1,DF55,0),IF($B$64=1,DF83,0))</x:f>
        <x:v>0</x:v>
      </x:c>
      <x:c r="DG95" s="107" t="n">
        <x:f>SUM(IF($B$8=1,DG27,0),IF($B$36=1,DG55,0),IF($B$64=1,DG83,0))</x:f>
        <x:v>0</x:v>
      </x:c>
      <x:c r="DH95" s="107" t="n">
        <x:f>SUM(IF($B$8=1,DH27,0),IF($B$36=1,DH55,0),IF($B$64=1,DH83,0))</x:f>
        <x:v>0</x:v>
      </x:c>
      <x:c r="DI95" s="107" t="n">
        <x:f>SUM(IF($B$8=1,DI27,0),IF($B$36=1,DI55,0),IF($B$64=1,DI83,0))</x:f>
        <x:v>0</x:v>
      </x:c>
      <x:c r="DJ95" s="107" t="n">
        <x:f>SUM(IF($B$8=1,DJ27,0),IF($B$36=1,DJ55,0),IF($B$64=1,DJ83,0))</x:f>
        <x:v>0</x:v>
      </x:c>
      <x:c r="DK95" s="107" t="n">
        <x:f>SUM(IF($B$8=1,DK27,0),IF($B$36=1,DK55,0),IF($B$64=1,DK83,0))</x:f>
        <x:v>0</x:v>
      </x:c>
      <x:c r="DL95" s="107" t="n">
        <x:f>SUM(IF($B$8=1,DL27,0),IF($B$36=1,DL55,0),IF($B$64=1,DL83,0))</x:f>
        <x:v>0</x:v>
      </x:c>
      <x:c r="DM95" s="107" t="n">
        <x:f>SUM(IF($B$8=1,DM27,0),IF($B$36=1,DM55,0),IF($B$64=1,DM83,0))</x:f>
        <x:v>0</x:v>
      </x:c>
      <x:c r="DN95" s="107" t="n">
        <x:f>SUM(IF($B$8=1,DN27,0),IF($B$36=1,DN55,0),IF($B$64=1,DN83,0))</x:f>
        <x:v>0</x:v>
      </x:c>
      <x:c r="DO95" s="107" t="n">
        <x:f>SUM(IF($B$8=1,DO27,0),IF($B$36=1,DO55,0),IF($B$64=1,DO83,0))</x:f>
        <x:v>0</x:v>
      </x:c>
      <x:c r="DP95" s="107" t="n">
        <x:f>SUM(IF($B$8=1,DP27,0),IF($B$36=1,DP55,0),IF($B$64=1,DP83,0))</x:f>
        <x:v>0</x:v>
      </x:c>
      <x:c r="DQ95" s="107" t="n">
        <x:f>SUM(IF($B$8=1,DQ27,0),IF($B$36=1,DQ55,0),IF($B$64=1,DQ83,0))</x:f>
        <x:v>0</x:v>
      </x:c>
      <x:c r="DR95" s="107" t="n">
        <x:f>SUM(IF($B$8=1,DR27,0),IF($B$36=1,DR55,0),IF($B$64=1,DR83,0))</x:f>
        <x:v>0</x:v>
      </x:c>
      <x:c r="DS95" s="107" t="n">
        <x:f>SUM(IF($B$8=1,DS27,0),IF($B$36=1,DS55,0),IF($B$64=1,DS83,0))</x:f>
        <x:v>0</x:v>
      </x:c>
    </x:row>
    <x:row r="96">
      <x:c r="A96" t="str">
        <x:v>Очередь 1 — CAPEX объектов</x:v>
      </x:c>
      <x:c r="B96" s="107" t="n">
        <x:f>SUM(D96:DS96)</x:f>
        <x:v>0</x:v>
      </x:c>
      <x:c r="C96" t="str">
        <x:v>млн ₽</x:v>
      </x:c>
      <x:c r="D96" s="107" t="n">
        <x:f>SUM(IF($B$8=1,D28,0),IF($B$36=1,D56,0),IF($B$64=1,D84,0))</x:f>
        <x:v>0</x:v>
      </x:c>
      <x:c r="E96" s="107" t="n">
        <x:f>SUM(IF($B$8=1,E28,0),IF($B$36=1,E56,0),IF($B$64=1,E84,0))</x:f>
        <x:v>0</x:v>
      </x:c>
      <x:c r="F96" s="107" t="n">
        <x:f>SUM(IF($B$8=1,F28,0),IF($B$36=1,F56,0),IF($B$64=1,F84,0))</x:f>
        <x:v>0</x:v>
      </x:c>
      <x:c r="G96" s="107" t="n">
        <x:f>SUM(IF($B$8=1,G28,0),IF($B$36=1,G56,0),IF($B$64=1,G84,0))</x:f>
        <x:v>0</x:v>
      </x:c>
      <x:c r="H96" s="107" t="n">
        <x:f>SUM(IF($B$8=1,H28,0),IF($B$36=1,H56,0),IF($B$64=1,H84,0))</x:f>
        <x:v>0</x:v>
      </x:c>
      <x:c r="I96" s="107" t="n">
        <x:f>SUM(IF($B$8=1,I28,0),IF($B$36=1,I56,0),IF($B$64=1,I84,0))</x:f>
        <x:v>0</x:v>
      </x:c>
      <x:c r="J96" s="107" t="n">
        <x:f>SUM(IF($B$8=1,J28,0),IF($B$36=1,J56,0),IF($B$64=1,J84,0))</x:f>
        <x:v>0</x:v>
      </x:c>
      <x:c r="K96" s="107" t="n">
        <x:f>SUM(IF($B$8=1,K28,0),IF($B$36=1,K56,0),IF($B$64=1,K84,0))</x:f>
        <x:v>0</x:v>
      </x:c>
      <x:c r="L96" s="107" t="n">
        <x:f>SUM(IF($B$8=1,L28,0),IF($B$36=1,L56,0),IF($B$64=1,L84,0))</x:f>
        <x:v>0</x:v>
      </x:c>
      <x:c r="M96" s="107" t="n">
        <x:f>SUM(IF($B$8=1,M28,0),IF($B$36=1,M56,0),IF($B$64=1,M84,0))</x:f>
        <x:v>0</x:v>
      </x:c>
      <x:c r="N96" s="107" t="n">
        <x:f>SUM(IF($B$8=1,N28,0),IF($B$36=1,N56,0),IF($B$64=1,N84,0))</x:f>
        <x:v>0</x:v>
      </x:c>
      <x:c r="O96" s="107" t="n">
        <x:f>SUM(IF($B$8=1,O28,0),IF($B$36=1,O56,0),IF($B$64=1,O84,0))</x:f>
        <x:v>0</x:v>
      </x:c>
      <x:c r="P96" s="107" t="n">
        <x:f>SUM(IF($B$8=1,P28,0),IF($B$36=1,P56,0),IF($B$64=1,P84,0))</x:f>
        <x:v>0</x:v>
      </x:c>
      <x:c r="Q96" s="107" t="n">
        <x:f>SUM(IF($B$8=1,Q28,0),IF($B$36=1,Q56,0),IF($B$64=1,Q84,0))</x:f>
        <x:v>0</x:v>
      </x:c>
      <x:c r="R96" s="107" t="n">
        <x:f>SUM(IF($B$8=1,R28,0),IF($B$36=1,R56,0),IF($B$64=1,R84,0))</x:f>
        <x:v>0</x:v>
      </x:c>
      <x:c r="S96" s="107" t="n">
        <x:f>SUM(IF($B$8=1,S28,0),IF($B$36=1,S56,0),IF($B$64=1,S84,0))</x:f>
        <x:v>0</x:v>
      </x:c>
      <x:c r="T96" s="107" t="n">
        <x:f>SUM(IF($B$8=1,T28,0),IF($B$36=1,T56,0),IF($B$64=1,T84,0))</x:f>
        <x:v>0</x:v>
      </x:c>
      <x:c r="U96" s="107" t="n">
        <x:f>SUM(IF($B$8=1,U28,0),IF($B$36=1,U56,0),IF($B$64=1,U84,0))</x:f>
        <x:v>0</x:v>
      </x:c>
      <x:c r="V96" s="107" t="n">
        <x:f>SUM(IF($B$8=1,V28,0),IF($B$36=1,V56,0),IF($B$64=1,V84,0))</x:f>
        <x:v>0</x:v>
      </x:c>
      <x:c r="W96" s="107" t="n">
        <x:f>SUM(IF($B$8=1,W28,0),IF($B$36=1,W56,0),IF($B$64=1,W84,0))</x:f>
        <x:v>0</x:v>
      </x:c>
      <x:c r="X96" s="107" t="n">
        <x:f>SUM(IF($B$8=1,X28,0),IF($B$36=1,X56,0),IF($B$64=1,X84,0))</x:f>
        <x:v>0</x:v>
      </x:c>
      <x:c r="Y96" s="107" t="n">
        <x:f>SUM(IF($B$8=1,Y28,0),IF($B$36=1,Y56,0),IF($B$64=1,Y84,0))</x:f>
        <x:v>0</x:v>
      </x:c>
      <x:c r="Z96" s="107" t="n">
        <x:f>SUM(IF($B$8=1,Z28,0),IF($B$36=1,Z56,0),IF($B$64=1,Z84,0))</x:f>
        <x:v>0</x:v>
      </x:c>
      <x:c r="AA96" s="107" t="n">
        <x:f>SUM(IF($B$8=1,AA28,0),IF($B$36=1,AA56,0),IF($B$64=1,AA84,0))</x:f>
        <x:v>0</x:v>
      </x:c>
      <x:c r="AB96" s="107" t="n">
        <x:f>SUM(IF($B$8=1,AB28,0),IF($B$36=1,AB56,0),IF($B$64=1,AB84,0))</x:f>
        <x:v>0</x:v>
      </x:c>
      <x:c r="AC96" s="107" t="n">
        <x:f>SUM(IF($B$8=1,AC28,0),IF($B$36=1,AC56,0),IF($B$64=1,AC84,0))</x:f>
        <x:v>0</x:v>
      </x:c>
      <x:c r="AD96" s="107" t="n">
        <x:f>SUM(IF($B$8=1,AD28,0),IF($B$36=1,AD56,0),IF($B$64=1,AD84,0))</x:f>
        <x:v>0</x:v>
      </x:c>
      <x:c r="AE96" s="107" t="n">
        <x:f>SUM(IF($B$8=1,AE28,0),IF($B$36=1,AE56,0),IF($B$64=1,AE84,0))</x:f>
        <x:v>0</x:v>
      </x:c>
      <x:c r="AF96" s="107" t="n">
        <x:f>SUM(IF($B$8=1,AF28,0),IF($B$36=1,AF56,0),IF($B$64=1,AF84,0))</x:f>
        <x:v>0</x:v>
      </x:c>
      <x:c r="AG96" s="107" t="n">
        <x:f>SUM(IF($B$8=1,AG28,0),IF($B$36=1,AG56,0),IF($B$64=1,AG84,0))</x:f>
        <x:v>0</x:v>
      </x:c>
      <x:c r="AH96" s="107" t="n">
        <x:f>SUM(IF($B$8=1,AH28,0),IF($B$36=1,AH56,0),IF($B$64=1,AH84,0))</x:f>
        <x:v>0</x:v>
      </x:c>
      <x:c r="AI96" s="107" t="n">
        <x:f>SUM(IF($B$8=1,AI28,0),IF($B$36=1,AI56,0),IF($B$64=1,AI84,0))</x:f>
        <x:v>0</x:v>
      </x:c>
      <x:c r="AJ96" s="107" t="n">
        <x:f>SUM(IF($B$8=1,AJ28,0),IF($B$36=1,AJ56,0),IF($B$64=1,AJ84,0))</x:f>
        <x:v>0</x:v>
      </x:c>
      <x:c r="AK96" s="107" t="n">
        <x:f>SUM(IF($B$8=1,AK28,0),IF($B$36=1,AK56,0),IF($B$64=1,AK84,0))</x:f>
        <x:v>0</x:v>
      </x:c>
      <x:c r="AL96" s="107" t="n">
        <x:f>SUM(IF($B$8=1,AL28,0),IF($B$36=1,AL56,0),IF($B$64=1,AL84,0))</x:f>
        <x:v>0</x:v>
      </x:c>
      <x:c r="AM96" s="107" t="n">
        <x:f>SUM(IF($B$8=1,AM28,0),IF($B$36=1,AM56,0),IF($B$64=1,AM84,0))</x:f>
        <x:v>0</x:v>
      </x:c>
      <x:c r="AN96" s="107" t="n">
        <x:f>SUM(IF($B$8=1,AN28,0),IF($B$36=1,AN56,0),IF($B$64=1,AN84,0))</x:f>
        <x:v>0</x:v>
      </x:c>
      <x:c r="AO96" s="107" t="n">
        <x:f>SUM(IF($B$8=1,AO28,0),IF($B$36=1,AO56,0),IF($B$64=1,AO84,0))</x:f>
        <x:v>0</x:v>
      </x:c>
      <x:c r="AP96" s="107" t="n">
        <x:f>SUM(IF($B$8=1,AP28,0),IF($B$36=1,AP56,0),IF($B$64=1,AP84,0))</x:f>
        <x:v>0</x:v>
      </x:c>
      <x:c r="AQ96" s="107" t="n">
        <x:f>SUM(IF($B$8=1,AQ28,0),IF($B$36=1,AQ56,0),IF($B$64=1,AQ84,0))</x:f>
        <x:v>0</x:v>
      </x:c>
      <x:c r="AR96" s="107" t="n">
        <x:f>SUM(IF($B$8=1,AR28,0),IF($B$36=1,AR56,0),IF($B$64=1,AR84,0))</x:f>
        <x:v>0</x:v>
      </x:c>
      <x:c r="AS96" s="107" t="n">
        <x:f>SUM(IF($B$8=1,AS28,0),IF($B$36=1,AS56,0),IF($B$64=1,AS84,0))</x:f>
        <x:v>0</x:v>
      </x:c>
      <x:c r="AT96" s="107" t="n">
        <x:f>SUM(IF($B$8=1,AT28,0),IF($B$36=1,AT56,0),IF($B$64=1,AT84,0))</x:f>
        <x:v>0</x:v>
      </x:c>
      <x:c r="AU96" s="107" t="n">
        <x:f>SUM(IF($B$8=1,AU28,0),IF($B$36=1,AU56,0),IF($B$64=1,AU84,0))</x:f>
        <x:v>0</x:v>
      </x:c>
      <x:c r="AV96" s="107" t="n">
        <x:f>SUM(IF($B$8=1,AV28,0),IF($B$36=1,AV56,0),IF($B$64=1,AV84,0))</x:f>
        <x:v>0</x:v>
      </x:c>
      <x:c r="AW96" s="107" t="n">
        <x:f>SUM(IF($B$8=1,AW28,0),IF($B$36=1,AW56,0),IF($B$64=1,AW84,0))</x:f>
        <x:v>0</x:v>
      </x:c>
      <x:c r="AX96" s="107" t="n">
        <x:f>SUM(IF($B$8=1,AX28,0),IF($B$36=1,AX56,0),IF($B$64=1,AX84,0))</x:f>
        <x:v>0</x:v>
      </x:c>
      <x:c r="AY96" s="107" t="n">
        <x:f>SUM(IF($B$8=1,AY28,0),IF($B$36=1,AY56,0),IF($B$64=1,AY84,0))</x:f>
        <x:v>0</x:v>
      </x:c>
      <x:c r="AZ96" s="107" t="n">
        <x:f>SUM(IF($B$8=1,AZ28,0),IF($B$36=1,AZ56,0),IF($B$64=1,AZ84,0))</x:f>
        <x:v>0</x:v>
      </x:c>
      <x:c r="BA96" s="107" t="n">
        <x:f>SUM(IF($B$8=1,BA28,0),IF($B$36=1,BA56,0),IF($B$64=1,BA84,0))</x:f>
        <x:v>0</x:v>
      </x:c>
      <x:c r="BB96" s="107" t="n">
        <x:f>SUM(IF($B$8=1,BB28,0),IF($B$36=1,BB56,0),IF($B$64=1,BB84,0))</x:f>
        <x:v>0</x:v>
      </x:c>
      <x:c r="BC96" s="107" t="n">
        <x:f>SUM(IF($B$8=1,BC28,0),IF($B$36=1,BC56,0),IF($B$64=1,BC84,0))</x:f>
        <x:v>0</x:v>
      </x:c>
      <x:c r="BD96" s="107" t="n">
        <x:f>SUM(IF($B$8=1,BD28,0),IF($B$36=1,BD56,0),IF($B$64=1,BD84,0))</x:f>
        <x:v>0</x:v>
      </x:c>
      <x:c r="BE96" s="107" t="n">
        <x:f>SUM(IF($B$8=1,BE28,0),IF($B$36=1,BE56,0),IF($B$64=1,BE84,0))</x:f>
        <x:v>0</x:v>
      </x:c>
      <x:c r="BF96" s="107" t="n">
        <x:f>SUM(IF($B$8=1,BF28,0),IF($B$36=1,BF56,0),IF($B$64=1,BF84,0))</x:f>
        <x:v>0</x:v>
      </x:c>
      <x:c r="BG96" s="107" t="n">
        <x:f>SUM(IF($B$8=1,BG28,0),IF($B$36=1,BG56,0),IF($B$64=1,BG84,0))</x:f>
        <x:v>0</x:v>
      </x:c>
      <x:c r="BH96" s="107" t="n">
        <x:f>SUM(IF($B$8=1,BH28,0),IF($B$36=1,BH56,0),IF($B$64=1,BH84,0))</x:f>
        <x:v>0</x:v>
      </x:c>
      <x:c r="BI96" s="107" t="n">
        <x:f>SUM(IF($B$8=1,BI28,0),IF($B$36=1,BI56,0),IF($B$64=1,BI84,0))</x:f>
        <x:v>0</x:v>
      </x:c>
      <x:c r="BJ96" s="107" t="n">
        <x:f>SUM(IF($B$8=1,BJ28,0),IF($B$36=1,BJ56,0),IF($B$64=1,BJ84,0))</x:f>
        <x:v>0</x:v>
      </x:c>
      <x:c r="BK96" s="107" t="n">
        <x:f>SUM(IF($B$8=1,BK28,0),IF($B$36=1,BK56,0),IF($B$64=1,BK84,0))</x:f>
        <x:v>0</x:v>
      </x:c>
      <x:c r="BL96" s="107" t="n">
        <x:f>SUM(IF($B$8=1,BL28,0),IF($B$36=1,BL56,0),IF($B$64=1,BL84,0))</x:f>
        <x:v>0</x:v>
      </x:c>
      <x:c r="BM96" s="107" t="n">
        <x:f>SUM(IF($B$8=1,BM28,0),IF($B$36=1,BM56,0),IF($B$64=1,BM84,0))</x:f>
        <x:v>0</x:v>
      </x:c>
      <x:c r="BN96" s="107" t="n">
        <x:f>SUM(IF($B$8=1,BN28,0),IF($B$36=1,BN56,0),IF($B$64=1,BN84,0))</x:f>
        <x:v>0</x:v>
      </x:c>
      <x:c r="BO96" s="107" t="n">
        <x:f>SUM(IF($B$8=1,BO28,0),IF($B$36=1,BO56,0),IF($B$64=1,BO84,0))</x:f>
        <x:v>0</x:v>
      </x:c>
      <x:c r="BP96" s="107" t="n">
        <x:f>SUM(IF($B$8=1,BP28,0),IF($B$36=1,BP56,0),IF($B$64=1,BP84,0))</x:f>
        <x:v>0</x:v>
      </x:c>
      <x:c r="BQ96" s="107" t="n">
        <x:f>SUM(IF($B$8=1,BQ28,0),IF($B$36=1,BQ56,0),IF($B$64=1,BQ84,0))</x:f>
        <x:v>0</x:v>
      </x:c>
      <x:c r="BR96" s="107" t="n">
        <x:f>SUM(IF($B$8=1,BR28,0),IF($B$36=1,BR56,0),IF($B$64=1,BR84,0))</x:f>
        <x:v>0</x:v>
      </x:c>
      <x:c r="BS96" s="107" t="n">
        <x:f>SUM(IF($B$8=1,BS28,0),IF($B$36=1,BS56,0),IF($B$64=1,BS84,0))</x:f>
        <x:v>0</x:v>
      </x:c>
      <x:c r="BT96" s="107" t="n">
        <x:f>SUM(IF($B$8=1,BT28,0),IF($B$36=1,BT56,0),IF($B$64=1,BT84,0))</x:f>
        <x:v>0</x:v>
      </x:c>
      <x:c r="BU96" s="107" t="n">
        <x:f>SUM(IF($B$8=1,BU28,0),IF($B$36=1,BU56,0),IF($B$64=1,BU84,0))</x:f>
        <x:v>0</x:v>
      </x:c>
      <x:c r="BV96" s="107" t="n">
        <x:f>SUM(IF($B$8=1,BV28,0),IF($B$36=1,BV56,0),IF($B$64=1,BV84,0))</x:f>
        <x:v>0</x:v>
      </x:c>
      <x:c r="BW96" s="107" t="n">
        <x:f>SUM(IF($B$8=1,BW28,0),IF($B$36=1,BW56,0),IF($B$64=1,BW84,0))</x:f>
        <x:v>0</x:v>
      </x:c>
      <x:c r="BX96" s="107" t="n">
        <x:f>SUM(IF($B$8=1,BX28,0),IF($B$36=1,BX56,0),IF($B$64=1,BX84,0))</x:f>
        <x:v>0</x:v>
      </x:c>
      <x:c r="BY96" s="107" t="n">
        <x:f>SUM(IF($B$8=1,BY28,0),IF($B$36=1,BY56,0),IF($B$64=1,BY84,0))</x:f>
        <x:v>0</x:v>
      </x:c>
      <x:c r="BZ96" s="107" t="n">
        <x:f>SUM(IF($B$8=1,BZ28,0),IF($B$36=1,BZ56,0),IF($B$64=1,BZ84,0))</x:f>
        <x:v>0</x:v>
      </x:c>
      <x:c r="CA96" s="107" t="n">
        <x:f>SUM(IF($B$8=1,CA28,0),IF($B$36=1,CA56,0),IF($B$64=1,CA84,0))</x:f>
        <x:v>0</x:v>
      </x:c>
      <x:c r="CB96" s="107" t="n">
        <x:f>SUM(IF($B$8=1,CB28,0),IF($B$36=1,CB56,0),IF($B$64=1,CB84,0))</x:f>
        <x:v>0</x:v>
      </x:c>
      <x:c r="CC96" s="107" t="n">
        <x:f>SUM(IF($B$8=1,CC28,0),IF($B$36=1,CC56,0),IF($B$64=1,CC84,0))</x:f>
        <x:v>0</x:v>
      </x:c>
      <x:c r="CD96" s="107" t="n">
        <x:f>SUM(IF($B$8=1,CD28,0),IF($B$36=1,CD56,0),IF($B$64=1,CD84,0))</x:f>
        <x:v>0</x:v>
      </x:c>
      <x:c r="CE96" s="107" t="n">
        <x:f>SUM(IF($B$8=1,CE28,0),IF($B$36=1,CE56,0),IF($B$64=1,CE84,0))</x:f>
        <x:v>0</x:v>
      </x:c>
      <x:c r="CF96" s="107" t="n">
        <x:f>SUM(IF($B$8=1,CF28,0),IF($B$36=1,CF56,0),IF($B$64=1,CF84,0))</x:f>
        <x:v>0</x:v>
      </x:c>
      <x:c r="CG96" s="107" t="n">
        <x:f>SUM(IF($B$8=1,CG28,0),IF($B$36=1,CG56,0),IF($B$64=1,CG84,0))</x:f>
        <x:v>0</x:v>
      </x:c>
      <x:c r="CH96" s="107" t="n">
        <x:f>SUM(IF($B$8=1,CH28,0),IF($B$36=1,CH56,0),IF($B$64=1,CH84,0))</x:f>
        <x:v>0</x:v>
      </x:c>
      <x:c r="CI96" s="107" t="n">
        <x:f>SUM(IF($B$8=1,CI28,0),IF($B$36=1,CI56,0),IF($B$64=1,CI84,0))</x:f>
        <x:v>0</x:v>
      </x:c>
      <x:c r="CJ96" s="107" t="n">
        <x:f>SUM(IF($B$8=1,CJ28,0),IF($B$36=1,CJ56,0),IF($B$64=1,CJ84,0))</x:f>
        <x:v>0</x:v>
      </x:c>
      <x:c r="CK96" s="107" t="n">
        <x:f>SUM(IF($B$8=1,CK28,0),IF($B$36=1,CK56,0),IF($B$64=1,CK84,0))</x:f>
        <x:v>0</x:v>
      </x:c>
      <x:c r="CL96" s="107" t="n">
        <x:f>SUM(IF($B$8=1,CL28,0),IF($B$36=1,CL56,0),IF($B$64=1,CL84,0))</x:f>
        <x:v>0</x:v>
      </x:c>
      <x:c r="CM96" s="107" t="n">
        <x:f>SUM(IF($B$8=1,CM28,0),IF($B$36=1,CM56,0),IF($B$64=1,CM84,0))</x:f>
        <x:v>0</x:v>
      </x:c>
      <x:c r="CN96" s="107" t="n">
        <x:f>SUM(IF($B$8=1,CN28,0),IF($B$36=1,CN56,0),IF($B$64=1,CN84,0))</x:f>
        <x:v>0</x:v>
      </x:c>
      <x:c r="CO96" s="107" t="n">
        <x:f>SUM(IF($B$8=1,CO28,0),IF($B$36=1,CO56,0),IF($B$64=1,CO84,0))</x:f>
        <x:v>0</x:v>
      </x:c>
      <x:c r="CP96" s="107" t="n">
        <x:f>SUM(IF($B$8=1,CP28,0),IF($B$36=1,CP56,0),IF($B$64=1,CP84,0))</x:f>
        <x:v>0</x:v>
      </x:c>
      <x:c r="CQ96" s="107" t="n">
        <x:f>SUM(IF($B$8=1,CQ28,0),IF($B$36=1,CQ56,0),IF($B$64=1,CQ84,0))</x:f>
        <x:v>0</x:v>
      </x:c>
      <x:c r="CR96" s="107" t="n">
        <x:f>SUM(IF($B$8=1,CR28,0),IF($B$36=1,CR56,0),IF($B$64=1,CR84,0))</x:f>
        <x:v>0</x:v>
      </x:c>
      <x:c r="CS96" s="107" t="n">
        <x:f>SUM(IF($B$8=1,CS28,0),IF($B$36=1,CS56,0),IF($B$64=1,CS84,0))</x:f>
        <x:v>0</x:v>
      </x:c>
      <x:c r="CT96" s="107" t="n">
        <x:f>SUM(IF($B$8=1,CT28,0),IF($B$36=1,CT56,0),IF($B$64=1,CT84,0))</x:f>
        <x:v>0</x:v>
      </x:c>
      <x:c r="CU96" s="107" t="n">
        <x:f>SUM(IF($B$8=1,CU28,0),IF($B$36=1,CU56,0),IF($B$64=1,CU84,0))</x:f>
        <x:v>0</x:v>
      </x:c>
      <x:c r="CV96" s="107" t="n">
        <x:f>SUM(IF($B$8=1,CV28,0),IF($B$36=1,CV56,0),IF($B$64=1,CV84,0))</x:f>
        <x:v>0</x:v>
      </x:c>
      <x:c r="CW96" s="107" t="n">
        <x:f>SUM(IF($B$8=1,CW28,0),IF($B$36=1,CW56,0),IF($B$64=1,CW84,0))</x:f>
        <x:v>0</x:v>
      </x:c>
      <x:c r="CX96" s="107" t="n">
        <x:f>SUM(IF($B$8=1,CX28,0),IF($B$36=1,CX56,0),IF($B$64=1,CX84,0))</x:f>
        <x:v>0</x:v>
      </x:c>
      <x:c r="CY96" s="107" t="n">
        <x:f>SUM(IF($B$8=1,CY28,0),IF($B$36=1,CY56,0),IF($B$64=1,CY84,0))</x:f>
        <x:v>0</x:v>
      </x:c>
      <x:c r="CZ96" s="107" t="n">
        <x:f>SUM(IF($B$8=1,CZ28,0),IF($B$36=1,CZ56,0),IF($B$64=1,CZ84,0))</x:f>
        <x:v>0</x:v>
      </x:c>
      <x:c r="DA96" s="107" t="n">
        <x:f>SUM(IF($B$8=1,DA28,0),IF($B$36=1,DA56,0),IF($B$64=1,DA84,0))</x:f>
        <x:v>0</x:v>
      </x:c>
      <x:c r="DB96" s="107" t="n">
        <x:f>SUM(IF($B$8=1,DB28,0),IF($B$36=1,DB56,0),IF($B$64=1,DB84,0))</x:f>
        <x:v>0</x:v>
      </x:c>
      <x:c r="DC96" s="107" t="n">
        <x:f>SUM(IF($B$8=1,DC28,0),IF($B$36=1,DC56,0),IF($B$64=1,DC84,0))</x:f>
        <x:v>0</x:v>
      </x:c>
      <x:c r="DD96" s="107" t="n">
        <x:f>SUM(IF($B$8=1,DD28,0),IF($B$36=1,DD56,0),IF($B$64=1,DD84,0))</x:f>
        <x:v>0</x:v>
      </x:c>
      <x:c r="DE96" s="107" t="n">
        <x:f>SUM(IF($B$8=1,DE28,0),IF($B$36=1,DE56,0),IF($B$64=1,DE84,0))</x:f>
        <x:v>0</x:v>
      </x:c>
      <x:c r="DF96" s="107" t="n">
        <x:f>SUM(IF($B$8=1,DF28,0),IF($B$36=1,DF56,0),IF($B$64=1,DF84,0))</x:f>
        <x:v>0</x:v>
      </x:c>
      <x:c r="DG96" s="107" t="n">
        <x:f>SUM(IF($B$8=1,DG28,0),IF($B$36=1,DG56,0),IF($B$64=1,DG84,0))</x:f>
        <x:v>0</x:v>
      </x:c>
      <x:c r="DH96" s="107" t="n">
        <x:f>SUM(IF($B$8=1,DH28,0),IF($B$36=1,DH56,0),IF($B$64=1,DH84,0))</x:f>
        <x:v>0</x:v>
      </x:c>
      <x:c r="DI96" s="107" t="n">
        <x:f>SUM(IF($B$8=1,DI28,0),IF($B$36=1,DI56,0),IF($B$64=1,DI84,0))</x:f>
        <x:v>0</x:v>
      </x:c>
      <x:c r="DJ96" s="107" t="n">
        <x:f>SUM(IF($B$8=1,DJ28,0),IF($B$36=1,DJ56,0),IF($B$64=1,DJ84,0))</x:f>
        <x:v>0</x:v>
      </x:c>
      <x:c r="DK96" s="107" t="n">
        <x:f>SUM(IF($B$8=1,DK28,0),IF($B$36=1,DK56,0),IF($B$64=1,DK84,0))</x:f>
        <x:v>0</x:v>
      </x:c>
      <x:c r="DL96" s="107" t="n">
        <x:f>SUM(IF($B$8=1,DL28,0),IF($B$36=1,DL56,0),IF($B$64=1,DL84,0))</x:f>
        <x:v>0</x:v>
      </x:c>
      <x:c r="DM96" s="107" t="n">
        <x:f>SUM(IF($B$8=1,DM28,0),IF($B$36=1,DM56,0),IF($B$64=1,DM84,0))</x:f>
        <x:v>0</x:v>
      </x:c>
      <x:c r="DN96" s="107" t="n">
        <x:f>SUM(IF($B$8=1,DN28,0),IF($B$36=1,DN56,0),IF($B$64=1,DN84,0))</x:f>
        <x:v>0</x:v>
      </x:c>
      <x:c r="DO96" s="107" t="n">
        <x:f>SUM(IF($B$8=1,DO28,0),IF($B$36=1,DO56,0),IF($B$64=1,DO84,0))</x:f>
        <x:v>0</x:v>
      </x:c>
      <x:c r="DP96" s="107" t="n">
        <x:f>SUM(IF($B$8=1,DP28,0),IF($B$36=1,DP56,0),IF($B$64=1,DP84,0))</x:f>
        <x:v>0</x:v>
      </x:c>
      <x:c r="DQ96" s="107" t="n">
        <x:f>SUM(IF($B$8=1,DQ28,0),IF($B$36=1,DQ56,0),IF($B$64=1,DQ84,0))</x:f>
        <x:v>0</x:v>
      </x:c>
      <x:c r="DR96" s="107" t="n">
        <x:f>SUM(IF($B$8=1,DR28,0),IF($B$36=1,DR56,0),IF($B$64=1,DR84,0))</x:f>
        <x:v>0</x:v>
      </x:c>
      <x:c r="DS96" s="107" t="n">
        <x:f>SUM(IF($B$8=1,DS28,0),IF($B$36=1,DS56,0),IF($B$64=1,DS84,0))</x:f>
        <x:v>0</x:v>
      </x:c>
    </x:row>
    <x:row r="97">
      <x:c r="A97" t="str">
        <x:v>Очередь 1 — Маркетинг объектов</x:v>
      </x:c>
      <x:c r="B97" s="107" t="n">
        <x:f>SUM(D97:DS97)</x:f>
        <x:v>0</x:v>
      </x:c>
      <x:c r="C97" t="str">
        <x:v>млн ₽</x:v>
      </x:c>
      <x:c r="D97" s="107" t="n">
        <x:f>SUM(IF($B$8=1,D29,0),IF($B$36=1,D57,0),IF($B$64=1,D85,0))</x:f>
        <x:v>0</x:v>
      </x:c>
      <x:c r="E97" s="107" t="n">
        <x:f>SUM(IF($B$8=1,E29,0),IF($B$36=1,E57,0),IF($B$64=1,E85,0))</x:f>
        <x:v>0</x:v>
      </x:c>
      <x:c r="F97" s="107" t="n">
        <x:f>SUM(IF($B$8=1,F29,0),IF($B$36=1,F57,0),IF($B$64=1,F85,0))</x:f>
        <x:v>0</x:v>
      </x:c>
      <x:c r="G97" s="107" t="n">
        <x:f>SUM(IF($B$8=1,G29,0),IF($B$36=1,G57,0),IF($B$64=1,G85,0))</x:f>
        <x:v>0</x:v>
      </x:c>
      <x:c r="H97" s="107" t="n">
        <x:f>SUM(IF($B$8=1,H29,0),IF($B$36=1,H57,0),IF($B$64=1,H85,0))</x:f>
        <x:v>0</x:v>
      </x:c>
      <x:c r="I97" s="107" t="n">
        <x:f>SUM(IF($B$8=1,I29,0),IF($B$36=1,I57,0),IF($B$64=1,I85,0))</x:f>
        <x:v>0</x:v>
      </x:c>
      <x:c r="J97" s="107" t="n">
        <x:f>SUM(IF($B$8=1,J29,0),IF($B$36=1,J57,0),IF($B$64=1,J85,0))</x:f>
        <x:v>0</x:v>
      </x:c>
      <x:c r="K97" s="107" t="n">
        <x:f>SUM(IF($B$8=1,K29,0),IF($B$36=1,K57,0),IF($B$64=1,K85,0))</x:f>
        <x:v>0</x:v>
      </x:c>
      <x:c r="L97" s="107" t="n">
        <x:f>SUM(IF($B$8=1,L29,0),IF($B$36=1,L57,0),IF($B$64=1,L85,0))</x:f>
        <x:v>0</x:v>
      </x:c>
      <x:c r="M97" s="107" t="n">
        <x:f>SUM(IF($B$8=1,M29,0),IF($B$36=1,M57,0),IF($B$64=1,M85,0))</x:f>
        <x:v>0</x:v>
      </x:c>
      <x:c r="N97" s="107" t="n">
        <x:f>SUM(IF($B$8=1,N29,0),IF($B$36=1,N57,0),IF($B$64=1,N85,0))</x:f>
        <x:v>0</x:v>
      </x:c>
      <x:c r="O97" s="107" t="n">
        <x:f>SUM(IF($B$8=1,O29,0),IF($B$36=1,O57,0),IF($B$64=1,O85,0))</x:f>
        <x:v>0</x:v>
      </x:c>
      <x:c r="P97" s="107" t="n">
        <x:f>SUM(IF($B$8=1,P29,0),IF($B$36=1,P57,0),IF($B$64=1,P85,0))</x:f>
        <x:v>0</x:v>
      </x:c>
      <x:c r="Q97" s="107" t="n">
        <x:f>SUM(IF($B$8=1,Q29,0),IF($B$36=1,Q57,0),IF($B$64=1,Q85,0))</x:f>
        <x:v>0</x:v>
      </x:c>
      <x:c r="R97" s="107" t="n">
        <x:f>SUM(IF($B$8=1,R29,0),IF($B$36=1,R57,0),IF($B$64=1,R85,0))</x:f>
        <x:v>0</x:v>
      </x:c>
      <x:c r="S97" s="107" t="n">
        <x:f>SUM(IF($B$8=1,S29,0),IF($B$36=1,S57,0),IF($B$64=1,S85,0))</x:f>
        <x:v>0</x:v>
      </x:c>
      <x:c r="T97" s="107" t="n">
        <x:f>SUM(IF($B$8=1,T29,0),IF($B$36=1,T57,0),IF($B$64=1,T85,0))</x:f>
        <x:v>0</x:v>
      </x:c>
      <x:c r="U97" s="107" t="n">
        <x:f>SUM(IF($B$8=1,U29,0),IF($B$36=1,U57,0),IF($B$64=1,U85,0))</x:f>
        <x:v>0</x:v>
      </x:c>
      <x:c r="V97" s="107" t="n">
        <x:f>SUM(IF($B$8=1,V29,0),IF($B$36=1,V57,0),IF($B$64=1,V85,0))</x:f>
        <x:v>0</x:v>
      </x:c>
      <x:c r="W97" s="107" t="n">
        <x:f>SUM(IF($B$8=1,W29,0),IF($B$36=1,W57,0),IF($B$64=1,W85,0))</x:f>
        <x:v>0</x:v>
      </x:c>
      <x:c r="X97" s="107" t="n">
        <x:f>SUM(IF($B$8=1,X29,0),IF($B$36=1,X57,0),IF($B$64=1,X85,0))</x:f>
        <x:v>0</x:v>
      </x:c>
      <x:c r="Y97" s="107" t="n">
        <x:f>SUM(IF($B$8=1,Y29,0),IF($B$36=1,Y57,0),IF($B$64=1,Y85,0))</x:f>
        <x:v>0</x:v>
      </x:c>
      <x:c r="Z97" s="107" t="n">
        <x:f>SUM(IF($B$8=1,Z29,0),IF($B$36=1,Z57,0),IF($B$64=1,Z85,0))</x:f>
        <x:v>0</x:v>
      </x:c>
      <x:c r="AA97" s="107" t="n">
        <x:f>SUM(IF($B$8=1,AA29,0),IF($B$36=1,AA57,0),IF($B$64=1,AA85,0))</x:f>
        <x:v>0</x:v>
      </x:c>
      <x:c r="AB97" s="107" t="n">
        <x:f>SUM(IF($B$8=1,AB29,0),IF($B$36=1,AB57,0),IF($B$64=1,AB85,0))</x:f>
        <x:v>0</x:v>
      </x:c>
      <x:c r="AC97" s="107" t="n">
        <x:f>SUM(IF($B$8=1,AC29,0),IF($B$36=1,AC57,0),IF($B$64=1,AC85,0))</x:f>
        <x:v>0</x:v>
      </x:c>
      <x:c r="AD97" s="107" t="n">
        <x:f>SUM(IF($B$8=1,AD29,0),IF($B$36=1,AD57,0),IF($B$64=1,AD85,0))</x:f>
        <x:v>0</x:v>
      </x:c>
      <x:c r="AE97" s="107" t="n">
        <x:f>SUM(IF($B$8=1,AE29,0),IF($B$36=1,AE57,0),IF($B$64=1,AE85,0))</x:f>
        <x:v>0</x:v>
      </x:c>
      <x:c r="AF97" s="107" t="n">
        <x:f>SUM(IF($B$8=1,AF29,0),IF($B$36=1,AF57,0),IF($B$64=1,AF85,0))</x:f>
        <x:v>0</x:v>
      </x:c>
      <x:c r="AG97" s="107" t="n">
        <x:f>SUM(IF($B$8=1,AG29,0),IF($B$36=1,AG57,0),IF($B$64=1,AG85,0))</x:f>
        <x:v>0</x:v>
      </x:c>
      <x:c r="AH97" s="107" t="n">
        <x:f>SUM(IF($B$8=1,AH29,0),IF($B$36=1,AH57,0),IF($B$64=1,AH85,0))</x:f>
        <x:v>0</x:v>
      </x:c>
      <x:c r="AI97" s="107" t="n">
        <x:f>SUM(IF($B$8=1,AI29,0),IF($B$36=1,AI57,0),IF($B$64=1,AI85,0))</x:f>
        <x:v>0</x:v>
      </x:c>
      <x:c r="AJ97" s="107" t="n">
        <x:f>SUM(IF($B$8=1,AJ29,0),IF($B$36=1,AJ57,0),IF($B$64=1,AJ85,0))</x:f>
        <x:v>0</x:v>
      </x:c>
      <x:c r="AK97" s="107" t="n">
        <x:f>SUM(IF($B$8=1,AK29,0),IF($B$36=1,AK57,0),IF($B$64=1,AK85,0))</x:f>
        <x:v>0</x:v>
      </x:c>
      <x:c r="AL97" s="107" t="n">
        <x:f>SUM(IF($B$8=1,AL29,0),IF($B$36=1,AL57,0),IF($B$64=1,AL85,0))</x:f>
        <x:v>0</x:v>
      </x:c>
      <x:c r="AM97" s="107" t="n">
        <x:f>SUM(IF($B$8=1,AM29,0),IF($B$36=1,AM57,0),IF($B$64=1,AM85,0))</x:f>
        <x:v>0</x:v>
      </x:c>
      <x:c r="AN97" s="107" t="n">
        <x:f>SUM(IF($B$8=1,AN29,0),IF($B$36=1,AN57,0),IF($B$64=1,AN85,0))</x:f>
        <x:v>0</x:v>
      </x:c>
      <x:c r="AO97" s="107" t="n">
        <x:f>SUM(IF($B$8=1,AO29,0),IF($B$36=1,AO57,0),IF($B$64=1,AO85,0))</x:f>
        <x:v>0</x:v>
      </x:c>
      <x:c r="AP97" s="107" t="n">
        <x:f>SUM(IF($B$8=1,AP29,0),IF($B$36=1,AP57,0),IF($B$64=1,AP85,0))</x:f>
        <x:v>0</x:v>
      </x:c>
      <x:c r="AQ97" s="107" t="n">
        <x:f>SUM(IF($B$8=1,AQ29,0),IF($B$36=1,AQ57,0),IF($B$64=1,AQ85,0))</x:f>
        <x:v>0</x:v>
      </x:c>
      <x:c r="AR97" s="107" t="n">
        <x:f>SUM(IF($B$8=1,AR29,0),IF($B$36=1,AR57,0),IF($B$64=1,AR85,0))</x:f>
        <x:v>0</x:v>
      </x:c>
      <x:c r="AS97" s="107" t="n">
        <x:f>SUM(IF($B$8=1,AS29,0),IF($B$36=1,AS57,0),IF($B$64=1,AS85,0))</x:f>
        <x:v>0</x:v>
      </x:c>
      <x:c r="AT97" s="107" t="n">
        <x:f>SUM(IF($B$8=1,AT29,0),IF($B$36=1,AT57,0),IF($B$64=1,AT85,0))</x:f>
        <x:v>0</x:v>
      </x:c>
      <x:c r="AU97" s="107" t="n">
        <x:f>SUM(IF($B$8=1,AU29,0),IF($B$36=1,AU57,0),IF($B$64=1,AU85,0))</x:f>
        <x:v>0</x:v>
      </x:c>
      <x:c r="AV97" s="107" t="n">
        <x:f>SUM(IF($B$8=1,AV29,0),IF($B$36=1,AV57,0),IF($B$64=1,AV85,0))</x:f>
        <x:v>0</x:v>
      </x:c>
      <x:c r="AW97" s="107" t="n">
        <x:f>SUM(IF($B$8=1,AW29,0),IF($B$36=1,AW57,0),IF($B$64=1,AW85,0))</x:f>
        <x:v>0</x:v>
      </x:c>
      <x:c r="AX97" s="107" t="n">
        <x:f>SUM(IF($B$8=1,AX29,0),IF($B$36=1,AX57,0),IF($B$64=1,AX85,0))</x:f>
        <x:v>0</x:v>
      </x:c>
      <x:c r="AY97" s="107" t="n">
        <x:f>SUM(IF($B$8=1,AY29,0),IF($B$36=1,AY57,0),IF($B$64=1,AY85,0))</x:f>
        <x:v>0</x:v>
      </x:c>
      <x:c r="AZ97" s="107" t="n">
        <x:f>SUM(IF($B$8=1,AZ29,0),IF($B$36=1,AZ57,0),IF($B$64=1,AZ85,0))</x:f>
        <x:v>0</x:v>
      </x:c>
      <x:c r="BA97" s="107" t="n">
        <x:f>SUM(IF($B$8=1,BA29,0),IF($B$36=1,BA57,0),IF($B$64=1,BA85,0))</x:f>
        <x:v>0</x:v>
      </x:c>
      <x:c r="BB97" s="107" t="n">
        <x:f>SUM(IF($B$8=1,BB29,0),IF($B$36=1,BB57,0),IF($B$64=1,BB85,0))</x:f>
        <x:v>0</x:v>
      </x:c>
      <x:c r="BC97" s="107" t="n">
        <x:f>SUM(IF($B$8=1,BC29,0),IF($B$36=1,BC57,0),IF($B$64=1,BC85,0))</x:f>
        <x:v>0</x:v>
      </x:c>
      <x:c r="BD97" s="107" t="n">
        <x:f>SUM(IF($B$8=1,BD29,0),IF($B$36=1,BD57,0),IF($B$64=1,BD85,0))</x:f>
        <x:v>0</x:v>
      </x:c>
      <x:c r="BE97" s="107" t="n">
        <x:f>SUM(IF($B$8=1,BE29,0),IF($B$36=1,BE57,0),IF($B$64=1,BE85,0))</x:f>
        <x:v>0</x:v>
      </x:c>
      <x:c r="BF97" s="107" t="n">
        <x:f>SUM(IF($B$8=1,BF29,0),IF($B$36=1,BF57,0),IF($B$64=1,BF85,0))</x:f>
        <x:v>0</x:v>
      </x:c>
      <x:c r="BG97" s="107" t="n">
        <x:f>SUM(IF($B$8=1,BG29,0),IF($B$36=1,BG57,0),IF($B$64=1,BG85,0))</x:f>
        <x:v>0</x:v>
      </x:c>
      <x:c r="BH97" s="107" t="n">
        <x:f>SUM(IF($B$8=1,BH29,0),IF($B$36=1,BH57,0),IF($B$64=1,BH85,0))</x:f>
        <x:v>0</x:v>
      </x:c>
      <x:c r="BI97" s="107" t="n">
        <x:f>SUM(IF($B$8=1,BI29,0),IF($B$36=1,BI57,0),IF($B$64=1,BI85,0))</x:f>
        <x:v>0</x:v>
      </x:c>
      <x:c r="BJ97" s="107" t="n">
        <x:f>SUM(IF($B$8=1,BJ29,0),IF($B$36=1,BJ57,0),IF($B$64=1,BJ85,0))</x:f>
        <x:v>0</x:v>
      </x:c>
      <x:c r="BK97" s="107" t="n">
        <x:f>SUM(IF($B$8=1,BK29,0),IF($B$36=1,BK57,0),IF($B$64=1,BK85,0))</x:f>
        <x:v>0</x:v>
      </x:c>
      <x:c r="BL97" s="107" t="n">
        <x:f>SUM(IF($B$8=1,BL29,0),IF($B$36=1,BL57,0),IF($B$64=1,BL85,0))</x:f>
        <x:v>0</x:v>
      </x:c>
      <x:c r="BM97" s="107" t="n">
        <x:f>SUM(IF($B$8=1,BM29,0),IF($B$36=1,BM57,0),IF($B$64=1,BM85,0))</x:f>
        <x:v>0</x:v>
      </x:c>
      <x:c r="BN97" s="107" t="n">
        <x:f>SUM(IF($B$8=1,BN29,0),IF($B$36=1,BN57,0),IF($B$64=1,BN85,0))</x:f>
        <x:v>0</x:v>
      </x:c>
      <x:c r="BO97" s="107" t="n">
        <x:f>SUM(IF($B$8=1,BO29,0),IF($B$36=1,BO57,0),IF($B$64=1,BO85,0))</x:f>
        <x:v>0</x:v>
      </x:c>
      <x:c r="BP97" s="107" t="n">
        <x:f>SUM(IF($B$8=1,BP29,0),IF($B$36=1,BP57,0),IF($B$64=1,BP85,0))</x:f>
        <x:v>0</x:v>
      </x:c>
      <x:c r="BQ97" s="107" t="n">
        <x:f>SUM(IF($B$8=1,BQ29,0),IF($B$36=1,BQ57,0),IF($B$64=1,BQ85,0))</x:f>
        <x:v>0</x:v>
      </x:c>
      <x:c r="BR97" s="107" t="n">
        <x:f>SUM(IF($B$8=1,BR29,0),IF($B$36=1,BR57,0),IF($B$64=1,BR85,0))</x:f>
        <x:v>0</x:v>
      </x:c>
      <x:c r="BS97" s="107" t="n">
        <x:f>SUM(IF($B$8=1,BS29,0),IF($B$36=1,BS57,0),IF($B$64=1,BS85,0))</x:f>
        <x:v>0</x:v>
      </x:c>
      <x:c r="BT97" s="107" t="n">
        <x:f>SUM(IF($B$8=1,BT29,0),IF($B$36=1,BT57,0),IF($B$64=1,BT85,0))</x:f>
        <x:v>0</x:v>
      </x:c>
      <x:c r="BU97" s="107" t="n">
        <x:f>SUM(IF($B$8=1,BU29,0),IF($B$36=1,BU57,0),IF($B$64=1,BU85,0))</x:f>
        <x:v>0</x:v>
      </x:c>
      <x:c r="BV97" s="107" t="n">
        <x:f>SUM(IF($B$8=1,BV29,0),IF($B$36=1,BV57,0),IF($B$64=1,BV85,0))</x:f>
        <x:v>0</x:v>
      </x:c>
      <x:c r="BW97" s="107" t="n">
        <x:f>SUM(IF($B$8=1,BW29,0),IF($B$36=1,BW57,0),IF($B$64=1,BW85,0))</x:f>
        <x:v>0</x:v>
      </x:c>
      <x:c r="BX97" s="107" t="n">
        <x:f>SUM(IF($B$8=1,BX29,0),IF($B$36=1,BX57,0),IF($B$64=1,BX85,0))</x:f>
        <x:v>0</x:v>
      </x:c>
      <x:c r="BY97" s="107" t="n">
        <x:f>SUM(IF($B$8=1,BY29,0),IF($B$36=1,BY57,0),IF($B$64=1,BY85,0))</x:f>
        <x:v>0</x:v>
      </x:c>
      <x:c r="BZ97" s="107" t="n">
        <x:f>SUM(IF($B$8=1,BZ29,0),IF($B$36=1,BZ57,0),IF($B$64=1,BZ85,0))</x:f>
        <x:v>0</x:v>
      </x:c>
      <x:c r="CA97" s="107" t="n">
        <x:f>SUM(IF($B$8=1,CA29,0),IF($B$36=1,CA57,0),IF($B$64=1,CA85,0))</x:f>
        <x:v>0</x:v>
      </x:c>
      <x:c r="CB97" s="107" t="n">
        <x:f>SUM(IF($B$8=1,CB29,0),IF($B$36=1,CB57,0),IF($B$64=1,CB85,0))</x:f>
        <x:v>0</x:v>
      </x:c>
      <x:c r="CC97" s="107" t="n">
        <x:f>SUM(IF($B$8=1,CC29,0),IF($B$36=1,CC57,0),IF($B$64=1,CC85,0))</x:f>
        <x:v>0</x:v>
      </x:c>
      <x:c r="CD97" s="107" t="n">
        <x:f>SUM(IF($B$8=1,CD29,0),IF($B$36=1,CD57,0),IF($B$64=1,CD85,0))</x:f>
        <x:v>0</x:v>
      </x:c>
      <x:c r="CE97" s="107" t="n">
        <x:f>SUM(IF($B$8=1,CE29,0),IF($B$36=1,CE57,0),IF($B$64=1,CE85,0))</x:f>
        <x:v>0</x:v>
      </x:c>
      <x:c r="CF97" s="107" t="n">
        <x:f>SUM(IF($B$8=1,CF29,0),IF($B$36=1,CF57,0),IF($B$64=1,CF85,0))</x:f>
        <x:v>0</x:v>
      </x:c>
      <x:c r="CG97" s="107" t="n">
        <x:f>SUM(IF($B$8=1,CG29,0),IF($B$36=1,CG57,0),IF($B$64=1,CG85,0))</x:f>
        <x:v>0</x:v>
      </x:c>
      <x:c r="CH97" s="107" t="n">
        <x:f>SUM(IF($B$8=1,CH29,0),IF($B$36=1,CH57,0),IF($B$64=1,CH85,0))</x:f>
        <x:v>0</x:v>
      </x:c>
      <x:c r="CI97" s="107" t="n">
        <x:f>SUM(IF($B$8=1,CI29,0),IF($B$36=1,CI57,0),IF($B$64=1,CI85,0))</x:f>
        <x:v>0</x:v>
      </x:c>
      <x:c r="CJ97" s="107" t="n">
        <x:f>SUM(IF($B$8=1,CJ29,0),IF($B$36=1,CJ57,0),IF($B$64=1,CJ85,0))</x:f>
        <x:v>0</x:v>
      </x:c>
      <x:c r="CK97" s="107" t="n">
        <x:f>SUM(IF($B$8=1,CK29,0),IF($B$36=1,CK57,0),IF($B$64=1,CK85,0))</x:f>
        <x:v>0</x:v>
      </x:c>
      <x:c r="CL97" s="107" t="n">
        <x:f>SUM(IF($B$8=1,CL29,0),IF($B$36=1,CL57,0),IF($B$64=1,CL85,0))</x:f>
        <x:v>0</x:v>
      </x:c>
      <x:c r="CM97" s="107" t="n">
        <x:f>SUM(IF($B$8=1,CM29,0),IF($B$36=1,CM57,0),IF($B$64=1,CM85,0))</x:f>
        <x:v>0</x:v>
      </x:c>
      <x:c r="CN97" s="107" t="n">
        <x:f>SUM(IF($B$8=1,CN29,0),IF($B$36=1,CN57,0),IF($B$64=1,CN85,0))</x:f>
        <x:v>0</x:v>
      </x:c>
      <x:c r="CO97" s="107" t="n">
        <x:f>SUM(IF($B$8=1,CO29,0),IF($B$36=1,CO57,0),IF($B$64=1,CO85,0))</x:f>
        <x:v>0</x:v>
      </x:c>
      <x:c r="CP97" s="107" t="n">
        <x:f>SUM(IF($B$8=1,CP29,0),IF($B$36=1,CP57,0),IF($B$64=1,CP85,0))</x:f>
        <x:v>0</x:v>
      </x:c>
      <x:c r="CQ97" s="107" t="n">
        <x:f>SUM(IF($B$8=1,CQ29,0),IF($B$36=1,CQ57,0),IF($B$64=1,CQ85,0))</x:f>
        <x:v>0</x:v>
      </x:c>
      <x:c r="CR97" s="107" t="n">
        <x:f>SUM(IF($B$8=1,CR29,0),IF($B$36=1,CR57,0),IF($B$64=1,CR85,0))</x:f>
        <x:v>0</x:v>
      </x:c>
      <x:c r="CS97" s="107" t="n">
        <x:f>SUM(IF($B$8=1,CS29,0),IF($B$36=1,CS57,0),IF($B$64=1,CS85,0))</x:f>
        <x:v>0</x:v>
      </x:c>
      <x:c r="CT97" s="107" t="n">
        <x:f>SUM(IF($B$8=1,CT29,0),IF($B$36=1,CT57,0),IF($B$64=1,CT85,0))</x:f>
        <x:v>0</x:v>
      </x:c>
      <x:c r="CU97" s="107" t="n">
        <x:f>SUM(IF($B$8=1,CU29,0),IF($B$36=1,CU57,0),IF($B$64=1,CU85,0))</x:f>
        <x:v>0</x:v>
      </x:c>
      <x:c r="CV97" s="107" t="n">
        <x:f>SUM(IF($B$8=1,CV29,0),IF($B$36=1,CV57,0),IF($B$64=1,CV85,0))</x:f>
        <x:v>0</x:v>
      </x:c>
      <x:c r="CW97" s="107" t="n">
        <x:f>SUM(IF($B$8=1,CW29,0),IF($B$36=1,CW57,0),IF($B$64=1,CW85,0))</x:f>
        <x:v>0</x:v>
      </x:c>
      <x:c r="CX97" s="107" t="n">
        <x:f>SUM(IF($B$8=1,CX29,0),IF($B$36=1,CX57,0),IF($B$64=1,CX85,0))</x:f>
        <x:v>0</x:v>
      </x:c>
      <x:c r="CY97" s="107" t="n">
        <x:f>SUM(IF($B$8=1,CY29,0),IF($B$36=1,CY57,0),IF($B$64=1,CY85,0))</x:f>
        <x:v>0</x:v>
      </x:c>
      <x:c r="CZ97" s="107" t="n">
        <x:f>SUM(IF($B$8=1,CZ29,0),IF($B$36=1,CZ57,0),IF($B$64=1,CZ85,0))</x:f>
        <x:v>0</x:v>
      </x:c>
      <x:c r="DA97" s="107" t="n">
        <x:f>SUM(IF($B$8=1,DA29,0),IF($B$36=1,DA57,0),IF($B$64=1,DA85,0))</x:f>
        <x:v>0</x:v>
      </x:c>
      <x:c r="DB97" s="107" t="n">
        <x:f>SUM(IF($B$8=1,DB29,0),IF($B$36=1,DB57,0),IF($B$64=1,DB85,0))</x:f>
        <x:v>0</x:v>
      </x:c>
      <x:c r="DC97" s="107" t="n">
        <x:f>SUM(IF($B$8=1,DC29,0),IF($B$36=1,DC57,0),IF($B$64=1,DC85,0))</x:f>
        <x:v>0</x:v>
      </x:c>
      <x:c r="DD97" s="107" t="n">
        <x:f>SUM(IF($B$8=1,DD29,0),IF($B$36=1,DD57,0),IF($B$64=1,DD85,0))</x:f>
        <x:v>0</x:v>
      </x:c>
      <x:c r="DE97" s="107" t="n">
        <x:f>SUM(IF($B$8=1,DE29,0),IF($B$36=1,DE57,0),IF($B$64=1,DE85,0))</x:f>
        <x:v>0</x:v>
      </x:c>
      <x:c r="DF97" s="107" t="n">
        <x:f>SUM(IF($B$8=1,DF29,0),IF($B$36=1,DF57,0),IF($B$64=1,DF85,0))</x:f>
        <x:v>0</x:v>
      </x:c>
      <x:c r="DG97" s="107" t="n">
        <x:f>SUM(IF($B$8=1,DG29,0),IF($B$36=1,DG57,0),IF($B$64=1,DG85,0))</x:f>
        <x:v>0</x:v>
      </x:c>
      <x:c r="DH97" s="107" t="n">
        <x:f>SUM(IF($B$8=1,DH29,0),IF($B$36=1,DH57,0),IF($B$64=1,DH85,0))</x:f>
        <x:v>0</x:v>
      </x:c>
      <x:c r="DI97" s="107" t="n">
        <x:f>SUM(IF($B$8=1,DI29,0),IF($B$36=1,DI57,0),IF($B$64=1,DI85,0))</x:f>
        <x:v>0</x:v>
      </x:c>
      <x:c r="DJ97" s="107" t="n">
        <x:f>SUM(IF($B$8=1,DJ29,0),IF($B$36=1,DJ57,0),IF($B$64=1,DJ85,0))</x:f>
        <x:v>0</x:v>
      </x:c>
      <x:c r="DK97" s="107" t="n">
        <x:f>SUM(IF($B$8=1,DK29,0),IF($B$36=1,DK57,0),IF($B$64=1,DK85,0))</x:f>
        <x:v>0</x:v>
      </x:c>
      <x:c r="DL97" s="107" t="n">
        <x:f>SUM(IF($B$8=1,DL29,0),IF($B$36=1,DL57,0),IF($B$64=1,DL85,0))</x:f>
        <x:v>0</x:v>
      </x:c>
      <x:c r="DM97" s="107" t="n">
        <x:f>SUM(IF($B$8=1,DM29,0),IF($B$36=1,DM57,0),IF($B$64=1,DM85,0))</x:f>
        <x:v>0</x:v>
      </x:c>
      <x:c r="DN97" s="107" t="n">
        <x:f>SUM(IF($B$8=1,DN29,0),IF($B$36=1,DN57,0),IF($B$64=1,DN85,0))</x:f>
        <x:v>0</x:v>
      </x:c>
      <x:c r="DO97" s="107" t="n">
        <x:f>SUM(IF($B$8=1,DO29,0),IF($B$36=1,DO57,0),IF($B$64=1,DO85,0))</x:f>
        <x:v>0</x:v>
      </x:c>
      <x:c r="DP97" s="107" t="n">
        <x:f>SUM(IF($B$8=1,DP29,0),IF($B$36=1,DP57,0),IF($B$64=1,DP85,0))</x:f>
        <x:v>0</x:v>
      </x:c>
      <x:c r="DQ97" s="107" t="n">
        <x:f>SUM(IF($B$8=1,DQ29,0),IF($B$36=1,DQ57,0),IF($B$64=1,DQ85,0))</x:f>
        <x:v>0</x:v>
      </x:c>
      <x:c r="DR97" s="107" t="n">
        <x:f>SUM(IF($B$8=1,DR29,0),IF($B$36=1,DR57,0),IF($B$64=1,DR85,0))</x:f>
        <x:v>0</x:v>
      </x:c>
      <x:c r="DS97" s="107" t="n">
        <x:f>SUM(IF($B$8=1,DS29,0),IF($B$36=1,DS57,0),IF($B$64=1,DS85,0))</x:f>
        <x:v>0</x:v>
      </x:c>
    </x:row>
    <x:row r="98">
      <x:c r="A98" s="348" t="str">
        <x:v>Очередь 1 — Расходы на продажи объектов</x:v>
      </x:c>
      <x:c r="B98" s="348" t="n">
        <x:f>SUM(D98:DS98)</x:f>
        <x:v>0</x:v>
      </x:c>
      <x:c r="C98" s="348" t="str">
        <x:v>млн ₽</x:v>
      </x:c>
      <x:c r="D98" s="348" t="n">
        <x:f>SUM(IF($B$8=1,D30,0),IF($B$36=1,D58,0),IF($B$64=1,D86,0))</x:f>
        <x:v>0</x:v>
      </x:c>
      <x:c r="E98" s="348" t="n">
        <x:f>SUM(IF($B$8=1,E30,0),IF($B$36=1,E58,0),IF($B$64=1,E86,0))</x:f>
        <x:v>0</x:v>
      </x:c>
      <x:c r="F98" s="348" t="n">
        <x:f>SUM(IF($B$8=1,F30,0),IF($B$36=1,F58,0),IF($B$64=1,F86,0))</x:f>
        <x:v>0</x:v>
      </x:c>
      <x:c r="G98" s="348" t="n">
        <x:f>SUM(IF($B$8=1,G30,0),IF($B$36=1,G58,0),IF($B$64=1,G86,0))</x:f>
        <x:v>0</x:v>
      </x:c>
      <x:c r="H98" s="348" t="n">
        <x:f>SUM(IF($B$8=1,H30,0),IF($B$36=1,H58,0),IF($B$64=1,H86,0))</x:f>
        <x:v>0</x:v>
      </x:c>
      <x:c r="I98" s="348" t="n">
        <x:f>SUM(IF($B$8=1,I30,0),IF($B$36=1,I58,0),IF($B$64=1,I86,0))</x:f>
        <x:v>0</x:v>
      </x:c>
      <x:c r="J98" s="348" t="n">
        <x:f>SUM(IF($B$8=1,J30,0),IF($B$36=1,J58,0),IF($B$64=1,J86,0))</x:f>
        <x:v>0</x:v>
      </x:c>
      <x:c r="K98" s="348" t="n">
        <x:f>SUM(IF($B$8=1,K30,0),IF($B$36=1,K58,0),IF($B$64=1,K86,0))</x:f>
        <x:v>0</x:v>
      </x:c>
      <x:c r="L98" s="348" t="n">
        <x:f>SUM(IF($B$8=1,L30,0),IF($B$36=1,L58,0),IF($B$64=1,L86,0))</x:f>
        <x:v>0</x:v>
      </x:c>
      <x:c r="M98" s="348" t="n">
        <x:f>SUM(IF($B$8=1,M30,0),IF($B$36=1,M58,0),IF($B$64=1,M86,0))</x:f>
        <x:v>0</x:v>
      </x:c>
      <x:c r="N98" s="348" t="n">
        <x:f>SUM(IF($B$8=1,N30,0),IF($B$36=1,N58,0),IF($B$64=1,N86,0))</x:f>
        <x:v>0</x:v>
      </x:c>
      <x:c r="O98" s="348" t="n">
        <x:f>SUM(IF($B$8=1,O30,0),IF($B$36=1,O58,0),IF($B$64=1,O86,0))</x:f>
        <x:v>0</x:v>
      </x:c>
      <x:c r="P98" s="348" t="n">
        <x:f>SUM(IF($B$8=1,P30,0),IF($B$36=1,P58,0),IF($B$64=1,P86,0))</x:f>
        <x:v>0</x:v>
      </x:c>
      <x:c r="Q98" s="348" t="n">
        <x:f>SUM(IF($B$8=1,Q30,0),IF($B$36=1,Q58,0),IF($B$64=1,Q86,0))</x:f>
        <x:v>0</x:v>
      </x:c>
      <x:c r="R98" s="348" t="n">
        <x:f>SUM(IF($B$8=1,R30,0),IF($B$36=1,R58,0),IF($B$64=1,R86,0))</x:f>
        <x:v>0</x:v>
      </x:c>
      <x:c r="S98" s="348" t="n">
        <x:f>SUM(IF($B$8=1,S30,0),IF($B$36=1,S58,0),IF($B$64=1,S86,0))</x:f>
        <x:v>0</x:v>
      </x:c>
      <x:c r="T98" s="348" t="n">
        <x:f>SUM(IF($B$8=1,T30,0),IF($B$36=1,T58,0),IF($B$64=1,T86,0))</x:f>
        <x:v>0</x:v>
      </x:c>
      <x:c r="U98" s="348" t="n">
        <x:f>SUM(IF($B$8=1,U30,0),IF($B$36=1,U58,0),IF($B$64=1,U86,0))</x:f>
        <x:v>0</x:v>
      </x:c>
      <x:c r="V98" s="348" t="n">
        <x:f>SUM(IF($B$8=1,V30,0),IF($B$36=1,V58,0),IF($B$64=1,V86,0))</x:f>
        <x:v>0</x:v>
      </x:c>
      <x:c r="W98" s="348" t="n">
        <x:f>SUM(IF($B$8=1,W30,0),IF($B$36=1,W58,0),IF($B$64=1,W86,0))</x:f>
        <x:v>0</x:v>
      </x:c>
      <x:c r="X98" s="348" t="n">
        <x:f>SUM(IF($B$8=1,X30,0),IF($B$36=1,X58,0),IF($B$64=1,X86,0))</x:f>
        <x:v>0</x:v>
      </x:c>
      <x:c r="Y98" s="348" t="n">
        <x:f>SUM(IF($B$8=1,Y30,0),IF($B$36=1,Y58,0),IF($B$64=1,Y86,0))</x:f>
        <x:v>0</x:v>
      </x:c>
      <x:c r="Z98" s="348" t="n">
        <x:f>SUM(IF($B$8=1,Z30,0),IF($B$36=1,Z58,0),IF($B$64=1,Z86,0))</x:f>
        <x:v>0</x:v>
      </x:c>
      <x:c r="AA98" s="348" t="n">
        <x:f>SUM(IF($B$8=1,AA30,0),IF($B$36=1,AA58,0),IF($B$64=1,AA86,0))</x:f>
        <x:v>0</x:v>
      </x:c>
      <x:c r="AB98" s="348" t="n">
        <x:f>SUM(IF($B$8=1,AB30,0),IF($B$36=1,AB58,0),IF($B$64=1,AB86,0))</x:f>
        <x:v>0</x:v>
      </x:c>
      <x:c r="AC98" s="348" t="n">
        <x:f>SUM(IF($B$8=1,AC30,0),IF($B$36=1,AC58,0),IF($B$64=1,AC86,0))</x:f>
        <x:v>0</x:v>
      </x:c>
      <x:c r="AD98" s="348" t="n">
        <x:f>SUM(IF($B$8=1,AD30,0),IF($B$36=1,AD58,0),IF($B$64=1,AD86,0))</x:f>
        <x:v>0</x:v>
      </x:c>
      <x:c r="AE98" s="348" t="n">
        <x:f>SUM(IF($B$8=1,AE30,0),IF($B$36=1,AE58,0),IF($B$64=1,AE86,0))</x:f>
        <x:v>0</x:v>
      </x:c>
      <x:c r="AF98" s="348" t="n">
        <x:f>SUM(IF($B$8=1,AF30,0),IF($B$36=1,AF58,0),IF($B$64=1,AF86,0))</x:f>
        <x:v>0</x:v>
      </x:c>
      <x:c r="AG98" s="348" t="n">
        <x:f>SUM(IF($B$8=1,AG30,0),IF($B$36=1,AG58,0),IF($B$64=1,AG86,0))</x:f>
        <x:v>0</x:v>
      </x:c>
      <x:c r="AH98" s="348" t="n">
        <x:f>SUM(IF($B$8=1,AH30,0),IF($B$36=1,AH58,0),IF($B$64=1,AH86,0))</x:f>
        <x:v>0</x:v>
      </x:c>
      <x:c r="AI98" s="348" t="n">
        <x:f>SUM(IF($B$8=1,AI30,0),IF($B$36=1,AI58,0),IF($B$64=1,AI86,0))</x:f>
        <x:v>0</x:v>
      </x:c>
      <x:c r="AJ98" s="348" t="n">
        <x:f>SUM(IF($B$8=1,AJ30,0),IF($B$36=1,AJ58,0),IF($B$64=1,AJ86,0))</x:f>
        <x:v>0</x:v>
      </x:c>
      <x:c r="AK98" s="348" t="n">
        <x:f>SUM(IF($B$8=1,AK30,0),IF($B$36=1,AK58,0),IF($B$64=1,AK86,0))</x:f>
        <x:v>0</x:v>
      </x:c>
      <x:c r="AL98" s="348" t="n">
        <x:f>SUM(IF($B$8=1,AL30,0),IF($B$36=1,AL58,0),IF($B$64=1,AL86,0))</x:f>
        <x:v>0</x:v>
      </x:c>
      <x:c r="AM98" s="348" t="n">
        <x:f>SUM(IF($B$8=1,AM30,0),IF($B$36=1,AM58,0),IF($B$64=1,AM86,0))</x:f>
        <x:v>0</x:v>
      </x:c>
      <x:c r="AN98" s="348" t="n">
        <x:f>SUM(IF($B$8=1,AN30,0),IF($B$36=1,AN58,0),IF($B$64=1,AN86,0))</x:f>
        <x:v>0</x:v>
      </x:c>
      <x:c r="AO98" s="348" t="n">
        <x:f>SUM(IF($B$8=1,AO30,0),IF($B$36=1,AO58,0),IF($B$64=1,AO86,0))</x:f>
        <x:v>0</x:v>
      </x:c>
      <x:c r="AP98" s="348" t="n">
        <x:f>SUM(IF($B$8=1,AP30,0),IF($B$36=1,AP58,0),IF($B$64=1,AP86,0))</x:f>
        <x:v>0</x:v>
      </x:c>
      <x:c r="AQ98" s="348" t="n">
        <x:f>SUM(IF($B$8=1,AQ30,0),IF($B$36=1,AQ58,0),IF($B$64=1,AQ86,0))</x:f>
        <x:v>0</x:v>
      </x:c>
      <x:c r="AR98" s="348" t="n">
        <x:f>SUM(IF($B$8=1,AR30,0),IF($B$36=1,AR58,0),IF($B$64=1,AR86,0))</x:f>
        <x:v>0</x:v>
      </x:c>
      <x:c r="AS98" s="348" t="n">
        <x:f>SUM(IF($B$8=1,AS30,0),IF($B$36=1,AS58,0),IF($B$64=1,AS86,0))</x:f>
        <x:v>0</x:v>
      </x:c>
      <x:c r="AT98" s="348" t="n">
        <x:f>SUM(IF($B$8=1,AT30,0),IF($B$36=1,AT58,0),IF($B$64=1,AT86,0))</x:f>
        <x:v>0</x:v>
      </x:c>
      <x:c r="AU98" s="348" t="n">
        <x:f>SUM(IF($B$8=1,AU30,0),IF($B$36=1,AU58,0),IF($B$64=1,AU86,0))</x:f>
        <x:v>0</x:v>
      </x:c>
      <x:c r="AV98" s="348" t="n">
        <x:f>SUM(IF($B$8=1,AV30,0),IF($B$36=1,AV58,0),IF($B$64=1,AV86,0))</x:f>
        <x:v>0</x:v>
      </x:c>
      <x:c r="AW98" s="348" t="n">
        <x:f>SUM(IF($B$8=1,AW30,0),IF($B$36=1,AW58,0),IF($B$64=1,AW86,0))</x:f>
        <x:v>0</x:v>
      </x:c>
      <x:c r="AX98" s="348" t="n">
        <x:f>SUM(IF($B$8=1,AX30,0),IF($B$36=1,AX58,0),IF($B$64=1,AX86,0))</x:f>
        <x:v>0</x:v>
      </x:c>
      <x:c r="AY98" s="348" t="n">
        <x:f>SUM(IF($B$8=1,AY30,0),IF($B$36=1,AY58,0),IF($B$64=1,AY86,0))</x:f>
        <x:v>0</x:v>
      </x:c>
      <x:c r="AZ98" s="348" t="n">
        <x:f>SUM(IF($B$8=1,AZ30,0),IF($B$36=1,AZ58,0),IF($B$64=1,AZ86,0))</x:f>
        <x:v>0</x:v>
      </x:c>
      <x:c r="BA98" s="348" t="n">
        <x:f>SUM(IF($B$8=1,BA30,0),IF($B$36=1,BA58,0),IF($B$64=1,BA86,0))</x:f>
        <x:v>0</x:v>
      </x:c>
      <x:c r="BB98" s="348" t="n">
        <x:f>SUM(IF($B$8=1,BB30,0),IF($B$36=1,BB58,0),IF($B$64=1,BB86,0))</x:f>
        <x:v>0</x:v>
      </x:c>
      <x:c r="BC98" s="348" t="n">
        <x:f>SUM(IF($B$8=1,BC30,0),IF($B$36=1,BC58,0),IF($B$64=1,BC86,0))</x:f>
        <x:v>0</x:v>
      </x:c>
      <x:c r="BD98" s="348" t="n">
        <x:f>SUM(IF($B$8=1,BD30,0),IF($B$36=1,BD58,0),IF($B$64=1,BD86,0))</x:f>
        <x:v>0</x:v>
      </x:c>
      <x:c r="BE98" s="348" t="n">
        <x:f>SUM(IF($B$8=1,BE30,0),IF($B$36=1,BE58,0),IF($B$64=1,BE86,0))</x:f>
        <x:v>0</x:v>
      </x:c>
      <x:c r="BF98" s="348" t="n">
        <x:f>SUM(IF($B$8=1,BF30,0),IF($B$36=1,BF58,0),IF($B$64=1,BF86,0))</x:f>
        <x:v>0</x:v>
      </x:c>
      <x:c r="BG98" s="348" t="n">
        <x:f>SUM(IF($B$8=1,BG30,0),IF($B$36=1,BG58,0),IF($B$64=1,BG86,0))</x:f>
        <x:v>0</x:v>
      </x:c>
      <x:c r="BH98" s="348" t="n">
        <x:f>SUM(IF($B$8=1,BH30,0),IF($B$36=1,BH58,0),IF($B$64=1,BH86,0))</x:f>
        <x:v>0</x:v>
      </x:c>
      <x:c r="BI98" s="348" t="n">
        <x:f>SUM(IF($B$8=1,BI30,0),IF($B$36=1,BI58,0),IF($B$64=1,BI86,0))</x:f>
        <x:v>0</x:v>
      </x:c>
      <x:c r="BJ98" s="348" t="n">
        <x:f>SUM(IF($B$8=1,BJ30,0),IF($B$36=1,BJ58,0),IF($B$64=1,BJ86,0))</x:f>
        <x:v>0</x:v>
      </x:c>
      <x:c r="BK98" s="348" t="n">
        <x:f>SUM(IF($B$8=1,BK30,0),IF($B$36=1,BK58,0),IF($B$64=1,BK86,0))</x:f>
        <x:v>0</x:v>
      </x:c>
      <x:c r="BL98" s="348" t="n">
        <x:f>SUM(IF($B$8=1,BL30,0),IF($B$36=1,BL58,0),IF($B$64=1,BL86,0))</x:f>
        <x:v>0</x:v>
      </x:c>
      <x:c r="BM98" s="348" t="n">
        <x:f>SUM(IF($B$8=1,BM30,0),IF($B$36=1,BM58,0),IF($B$64=1,BM86,0))</x:f>
        <x:v>0</x:v>
      </x:c>
      <x:c r="BN98" s="348" t="n">
        <x:f>SUM(IF($B$8=1,BN30,0),IF($B$36=1,BN58,0),IF($B$64=1,BN86,0))</x:f>
        <x:v>0</x:v>
      </x:c>
      <x:c r="BO98" s="348" t="n">
        <x:f>SUM(IF($B$8=1,BO30,0),IF($B$36=1,BO58,0),IF($B$64=1,BO86,0))</x:f>
        <x:v>0</x:v>
      </x:c>
      <x:c r="BP98" s="348" t="n">
        <x:f>SUM(IF($B$8=1,BP30,0),IF($B$36=1,BP58,0),IF($B$64=1,BP86,0))</x:f>
        <x:v>0</x:v>
      </x:c>
      <x:c r="BQ98" s="348" t="n">
        <x:f>SUM(IF($B$8=1,BQ30,0),IF($B$36=1,BQ58,0),IF($B$64=1,BQ86,0))</x:f>
        <x:v>0</x:v>
      </x:c>
      <x:c r="BR98" s="348" t="n">
        <x:f>SUM(IF($B$8=1,BR30,0),IF($B$36=1,BR58,0),IF($B$64=1,BR86,0))</x:f>
        <x:v>0</x:v>
      </x:c>
      <x:c r="BS98" s="348" t="n">
        <x:f>SUM(IF($B$8=1,BS30,0),IF($B$36=1,BS58,0),IF($B$64=1,BS86,0))</x:f>
        <x:v>0</x:v>
      </x:c>
      <x:c r="BT98" s="348" t="n">
        <x:f>SUM(IF($B$8=1,BT30,0),IF($B$36=1,BT58,0),IF($B$64=1,BT86,0))</x:f>
        <x:v>0</x:v>
      </x:c>
      <x:c r="BU98" s="348" t="n">
        <x:f>SUM(IF($B$8=1,BU30,0),IF($B$36=1,BU58,0),IF($B$64=1,BU86,0))</x:f>
        <x:v>0</x:v>
      </x:c>
      <x:c r="BV98" s="348" t="n">
        <x:f>SUM(IF($B$8=1,BV30,0),IF($B$36=1,BV58,0),IF($B$64=1,BV86,0))</x:f>
        <x:v>0</x:v>
      </x:c>
      <x:c r="BW98" s="348" t="n">
        <x:f>SUM(IF($B$8=1,BW30,0),IF($B$36=1,BW58,0),IF($B$64=1,BW86,0))</x:f>
        <x:v>0</x:v>
      </x:c>
      <x:c r="BX98" s="348" t="n">
        <x:f>SUM(IF($B$8=1,BX30,0),IF($B$36=1,BX58,0),IF($B$64=1,BX86,0))</x:f>
        <x:v>0</x:v>
      </x:c>
      <x:c r="BY98" s="348" t="n">
        <x:f>SUM(IF($B$8=1,BY30,0),IF($B$36=1,BY58,0),IF($B$64=1,BY86,0))</x:f>
        <x:v>0</x:v>
      </x:c>
      <x:c r="BZ98" s="348" t="n">
        <x:f>SUM(IF($B$8=1,BZ30,0),IF($B$36=1,BZ58,0),IF($B$64=1,BZ86,0))</x:f>
        <x:v>0</x:v>
      </x:c>
      <x:c r="CA98" s="348" t="n">
        <x:f>SUM(IF($B$8=1,CA30,0),IF($B$36=1,CA58,0),IF($B$64=1,CA86,0))</x:f>
        <x:v>0</x:v>
      </x:c>
      <x:c r="CB98" s="348" t="n">
        <x:f>SUM(IF($B$8=1,CB30,0),IF($B$36=1,CB58,0),IF($B$64=1,CB86,0))</x:f>
        <x:v>0</x:v>
      </x:c>
      <x:c r="CC98" s="348" t="n">
        <x:f>SUM(IF($B$8=1,CC30,0),IF($B$36=1,CC58,0),IF($B$64=1,CC86,0))</x:f>
        <x:v>0</x:v>
      </x:c>
      <x:c r="CD98" s="348" t="n">
        <x:f>SUM(IF($B$8=1,CD30,0),IF($B$36=1,CD58,0),IF($B$64=1,CD86,0))</x:f>
        <x:v>0</x:v>
      </x:c>
      <x:c r="CE98" s="348" t="n">
        <x:f>SUM(IF($B$8=1,CE30,0),IF($B$36=1,CE58,0),IF($B$64=1,CE86,0))</x:f>
        <x:v>0</x:v>
      </x:c>
      <x:c r="CF98" s="348" t="n">
        <x:f>SUM(IF($B$8=1,CF30,0),IF($B$36=1,CF58,0),IF($B$64=1,CF86,0))</x:f>
        <x:v>0</x:v>
      </x:c>
      <x:c r="CG98" s="348" t="n">
        <x:f>SUM(IF($B$8=1,CG30,0),IF($B$36=1,CG58,0),IF($B$64=1,CG86,0))</x:f>
        <x:v>0</x:v>
      </x:c>
      <x:c r="CH98" s="348" t="n">
        <x:f>SUM(IF($B$8=1,CH30,0),IF($B$36=1,CH58,0),IF($B$64=1,CH86,0))</x:f>
        <x:v>0</x:v>
      </x:c>
      <x:c r="CI98" s="348" t="n">
        <x:f>SUM(IF($B$8=1,CI30,0),IF($B$36=1,CI58,0),IF($B$64=1,CI86,0))</x:f>
        <x:v>0</x:v>
      </x:c>
      <x:c r="CJ98" s="348" t="n">
        <x:f>SUM(IF($B$8=1,CJ30,0),IF($B$36=1,CJ58,0),IF($B$64=1,CJ86,0))</x:f>
        <x:v>0</x:v>
      </x:c>
      <x:c r="CK98" s="348" t="n">
        <x:f>SUM(IF($B$8=1,CK30,0),IF($B$36=1,CK58,0),IF($B$64=1,CK86,0))</x:f>
        <x:v>0</x:v>
      </x:c>
      <x:c r="CL98" s="348" t="n">
        <x:f>SUM(IF($B$8=1,CL30,0),IF($B$36=1,CL58,0),IF($B$64=1,CL86,0))</x:f>
        <x:v>0</x:v>
      </x:c>
      <x:c r="CM98" s="348" t="n">
        <x:f>SUM(IF($B$8=1,CM30,0),IF($B$36=1,CM58,0),IF($B$64=1,CM86,0))</x:f>
        <x:v>0</x:v>
      </x:c>
      <x:c r="CN98" s="348" t="n">
        <x:f>SUM(IF($B$8=1,CN30,0),IF($B$36=1,CN58,0),IF($B$64=1,CN86,0))</x:f>
        <x:v>0</x:v>
      </x:c>
      <x:c r="CO98" s="348" t="n">
        <x:f>SUM(IF($B$8=1,CO30,0),IF($B$36=1,CO58,0),IF($B$64=1,CO86,0))</x:f>
        <x:v>0</x:v>
      </x:c>
      <x:c r="CP98" s="348" t="n">
        <x:f>SUM(IF($B$8=1,CP30,0),IF($B$36=1,CP58,0),IF($B$64=1,CP86,0))</x:f>
        <x:v>0</x:v>
      </x:c>
      <x:c r="CQ98" s="348" t="n">
        <x:f>SUM(IF($B$8=1,CQ30,0),IF($B$36=1,CQ58,0),IF($B$64=1,CQ86,0))</x:f>
        <x:v>0</x:v>
      </x:c>
      <x:c r="CR98" s="348" t="n">
        <x:f>SUM(IF($B$8=1,CR30,0),IF($B$36=1,CR58,0),IF($B$64=1,CR86,0))</x:f>
        <x:v>0</x:v>
      </x:c>
      <x:c r="CS98" s="348" t="n">
        <x:f>SUM(IF($B$8=1,CS30,0),IF($B$36=1,CS58,0),IF($B$64=1,CS86,0))</x:f>
        <x:v>0</x:v>
      </x:c>
      <x:c r="CT98" s="348" t="n">
        <x:f>SUM(IF($B$8=1,CT30,0),IF($B$36=1,CT58,0),IF($B$64=1,CT86,0))</x:f>
        <x:v>0</x:v>
      </x:c>
      <x:c r="CU98" s="348" t="n">
        <x:f>SUM(IF($B$8=1,CU30,0),IF($B$36=1,CU58,0),IF($B$64=1,CU86,0))</x:f>
        <x:v>0</x:v>
      </x:c>
      <x:c r="CV98" s="348" t="n">
        <x:f>SUM(IF($B$8=1,CV30,0),IF($B$36=1,CV58,0),IF($B$64=1,CV86,0))</x:f>
        <x:v>0</x:v>
      </x:c>
      <x:c r="CW98" s="348" t="n">
        <x:f>SUM(IF($B$8=1,CW30,0),IF($B$36=1,CW58,0),IF($B$64=1,CW86,0))</x:f>
        <x:v>0</x:v>
      </x:c>
      <x:c r="CX98" s="348" t="n">
        <x:f>SUM(IF($B$8=1,CX30,0),IF($B$36=1,CX58,0),IF($B$64=1,CX86,0))</x:f>
        <x:v>0</x:v>
      </x:c>
      <x:c r="CY98" s="348" t="n">
        <x:f>SUM(IF($B$8=1,CY30,0),IF($B$36=1,CY58,0),IF($B$64=1,CY86,0))</x:f>
        <x:v>0</x:v>
      </x:c>
      <x:c r="CZ98" s="348" t="n">
        <x:f>SUM(IF($B$8=1,CZ30,0),IF($B$36=1,CZ58,0),IF($B$64=1,CZ86,0))</x:f>
        <x:v>0</x:v>
      </x:c>
      <x:c r="DA98" s="348" t="n">
        <x:f>SUM(IF($B$8=1,DA30,0),IF($B$36=1,DA58,0),IF($B$64=1,DA86,0))</x:f>
        <x:v>0</x:v>
      </x:c>
      <x:c r="DB98" s="348" t="n">
        <x:f>SUM(IF($B$8=1,DB30,0),IF($B$36=1,DB58,0),IF($B$64=1,DB86,0))</x:f>
        <x:v>0</x:v>
      </x:c>
      <x:c r="DC98" s="348" t="n">
        <x:f>SUM(IF($B$8=1,DC30,0),IF($B$36=1,DC58,0),IF($B$64=1,DC86,0))</x:f>
        <x:v>0</x:v>
      </x:c>
      <x:c r="DD98" s="348" t="n">
        <x:f>SUM(IF($B$8=1,DD30,0),IF($B$36=1,DD58,0),IF($B$64=1,DD86,0))</x:f>
        <x:v>0</x:v>
      </x:c>
      <x:c r="DE98" s="348" t="n">
        <x:f>SUM(IF($B$8=1,DE30,0),IF($B$36=1,DE58,0),IF($B$64=1,DE86,0))</x:f>
        <x:v>0</x:v>
      </x:c>
      <x:c r="DF98" s="348" t="n">
        <x:f>SUM(IF($B$8=1,DF30,0),IF($B$36=1,DF58,0),IF($B$64=1,DF86,0))</x:f>
        <x:v>0</x:v>
      </x:c>
      <x:c r="DG98" s="348" t="n">
        <x:f>SUM(IF($B$8=1,DG30,0),IF($B$36=1,DG58,0),IF($B$64=1,DG86,0))</x:f>
        <x:v>0</x:v>
      </x:c>
      <x:c r="DH98" s="348" t="n">
        <x:f>SUM(IF($B$8=1,DH30,0),IF($B$36=1,DH58,0),IF($B$64=1,DH86,0))</x:f>
        <x:v>0</x:v>
      </x:c>
      <x:c r="DI98" s="348" t="n">
        <x:f>SUM(IF($B$8=1,DI30,0),IF($B$36=1,DI58,0),IF($B$64=1,DI86,0))</x:f>
        <x:v>0</x:v>
      </x:c>
      <x:c r="DJ98" s="348" t="n">
        <x:f>SUM(IF($B$8=1,DJ30,0),IF($B$36=1,DJ58,0),IF($B$64=1,DJ86,0))</x:f>
        <x:v>0</x:v>
      </x:c>
      <x:c r="DK98" s="348" t="n">
        <x:f>SUM(IF($B$8=1,DK30,0),IF($B$36=1,DK58,0),IF($B$64=1,DK86,0))</x:f>
        <x:v>0</x:v>
      </x:c>
      <x:c r="DL98" s="348" t="n">
        <x:f>SUM(IF($B$8=1,DL30,0),IF($B$36=1,DL58,0),IF($B$64=1,DL86,0))</x:f>
        <x:v>0</x:v>
      </x:c>
      <x:c r="DM98" s="348" t="n">
        <x:f>SUM(IF($B$8=1,DM30,0),IF($B$36=1,DM58,0),IF($B$64=1,DM86,0))</x:f>
        <x:v>0</x:v>
      </x:c>
      <x:c r="DN98" s="348" t="n">
        <x:f>SUM(IF($B$8=1,DN30,0),IF($B$36=1,DN58,0),IF($B$64=1,DN86,0))</x:f>
        <x:v>0</x:v>
      </x:c>
      <x:c r="DO98" s="348" t="n">
        <x:f>SUM(IF($B$8=1,DO30,0),IF($B$36=1,DO58,0),IF($B$64=1,DO86,0))</x:f>
        <x:v>0</x:v>
      </x:c>
      <x:c r="DP98" s="348" t="n">
        <x:f>SUM(IF($B$8=1,DP30,0),IF($B$36=1,DP58,0),IF($B$64=1,DP86,0))</x:f>
        <x:v>0</x:v>
      </x:c>
      <x:c r="DQ98" s="348" t="n">
        <x:f>SUM(IF($B$8=1,DQ30,0),IF($B$36=1,DQ58,0),IF($B$64=1,DQ86,0))</x:f>
        <x:v>0</x:v>
      </x:c>
      <x:c r="DR98" s="348" t="n">
        <x:f>SUM(IF($B$8=1,DR30,0),IF($B$36=1,DR58,0),IF($B$64=1,DR86,0))</x:f>
        <x:v>0</x:v>
      </x:c>
      <x:c r="DS98" s="348" t="n">
        <x:f>SUM(IF($B$8=1,DS30,0),IF($B$36=1,DS58,0),IF($B$64=1,DS86,0))</x:f>
        <x:v>0</x:v>
      </x:c>
    </x:row>
    <x:row r="100">
      <x:c r="A100" t="str">
        <x:v>Очередь 2 — Выручка объектов</x:v>
      </x:c>
      <x:c r="B100" s="107" t="n">
        <x:f>SUM(D100:DS100)</x:f>
        <x:v>0</x:v>
      </x:c>
      <x:c r="C100" t="str">
        <x:v>млн ₽</x:v>
      </x:c>
      <x:c r="D100" s="107" t="n">
        <x:f>SUM(IF($B$8=2,D24,0),IF($B$36=2,D52,0),IF($B$64=2,D80,0))</x:f>
        <x:v>0</x:v>
      </x:c>
      <x:c r="E100" s="107" t="n">
        <x:f>SUM(IF($B$8=2,E24,0),IF($B$36=2,E52,0),IF($B$64=2,E80,0))</x:f>
        <x:v>0</x:v>
      </x:c>
      <x:c r="F100" s="107" t="n">
        <x:f>SUM(IF($B$8=2,F24,0),IF($B$36=2,F52,0),IF($B$64=2,F80,0))</x:f>
        <x:v>0</x:v>
      </x:c>
      <x:c r="G100" s="107" t="n">
        <x:f>SUM(IF($B$8=2,G24,0),IF($B$36=2,G52,0),IF($B$64=2,G80,0))</x:f>
        <x:v>0</x:v>
      </x:c>
      <x:c r="H100" s="107" t="n">
        <x:f>SUM(IF($B$8=2,H24,0),IF($B$36=2,H52,0),IF($B$64=2,H80,0))</x:f>
        <x:v>0</x:v>
      </x:c>
      <x:c r="I100" s="107" t="n">
        <x:f>SUM(IF($B$8=2,I24,0),IF($B$36=2,I52,0),IF($B$64=2,I80,0))</x:f>
        <x:v>0</x:v>
      </x:c>
      <x:c r="J100" s="107" t="n">
        <x:f>SUM(IF($B$8=2,J24,0),IF($B$36=2,J52,0),IF($B$64=2,J80,0))</x:f>
        <x:v>0</x:v>
      </x:c>
      <x:c r="K100" s="107" t="n">
        <x:f>SUM(IF($B$8=2,K24,0),IF($B$36=2,K52,0),IF($B$64=2,K80,0))</x:f>
        <x:v>0</x:v>
      </x:c>
      <x:c r="L100" s="107" t="n">
        <x:f>SUM(IF($B$8=2,L24,0),IF($B$36=2,L52,0),IF($B$64=2,L80,0))</x:f>
        <x:v>0</x:v>
      </x:c>
      <x:c r="M100" s="107" t="n">
        <x:f>SUM(IF($B$8=2,M24,0),IF($B$36=2,M52,0),IF($B$64=2,M80,0))</x:f>
        <x:v>0</x:v>
      </x:c>
      <x:c r="N100" s="107" t="n">
        <x:f>SUM(IF($B$8=2,N24,0),IF($B$36=2,N52,0),IF($B$64=2,N80,0))</x:f>
        <x:v>0</x:v>
      </x:c>
      <x:c r="O100" s="107" t="n">
        <x:f>SUM(IF($B$8=2,O24,0),IF($B$36=2,O52,0),IF($B$64=2,O80,0))</x:f>
        <x:v>0</x:v>
      </x:c>
      <x:c r="P100" s="107" t="n">
        <x:f>SUM(IF($B$8=2,P24,0),IF($B$36=2,P52,0),IF($B$64=2,P80,0))</x:f>
        <x:v>0</x:v>
      </x:c>
      <x:c r="Q100" s="107" t="n">
        <x:f>SUM(IF($B$8=2,Q24,0),IF($B$36=2,Q52,0),IF($B$64=2,Q80,0))</x:f>
        <x:v>0</x:v>
      </x:c>
      <x:c r="R100" s="107" t="n">
        <x:f>SUM(IF($B$8=2,R24,0),IF($B$36=2,R52,0),IF($B$64=2,R80,0))</x:f>
        <x:v>0</x:v>
      </x:c>
      <x:c r="S100" s="107" t="n">
        <x:f>SUM(IF($B$8=2,S24,0),IF($B$36=2,S52,0),IF($B$64=2,S80,0))</x:f>
        <x:v>0</x:v>
      </x:c>
      <x:c r="T100" s="107" t="n">
        <x:f>SUM(IF($B$8=2,T24,0),IF($B$36=2,T52,0),IF($B$64=2,T80,0))</x:f>
        <x:v>0</x:v>
      </x:c>
      <x:c r="U100" s="107" t="n">
        <x:f>SUM(IF($B$8=2,U24,0),IF($B$36=2,U52,0),IF($B$64=2,U80,0))</x:f>
        <x:v>0</x:v>
      </x:c>
      <x:c r="V100" s="107" t="n">
        <x:f>SUM(IF($B$8=2,V24,0),IF($B$36=2,V52,0),IF($B$64=2,V80,0))</x:f>
        <x:v>0</x:v>
      </x:c>
      <x:c r="W100" s="107" t="n">
        <x:f>SUM(IF($B$8=2,W24,0),IF($B$36=2,W52,0),IF($B$64=2,W80,0))</x:f>
        <x:v>0</x:v>
      </x:c>
      <x:c r="X100" s="107" t="n">
        <x:f>SUM(IF($B$8=2,X24,0),IF($B$36=2,X52,0),IF($B$64=2,X80,0))</x:f>
        <x:v>0</x:v>
      </x:c>
      <x:c r="Y100" s="107" t="n">
        <x:f>SUM(IF($B$8=2,Y24,0),IF($B$36=2,Y52,0),IF($B$64=2,Y80,0))</x:f>
        <x:v>0</x:v>
      </x:c>
      <x:c r="Z100" s="107" t="n">
        <x:f>SUM(IF($B$8=2,Z24,0),IF($B$36=2,Z52,0),IF($B$64=2,Z80,0))</x:f>
        <x:v>0</x:v>
      </x:c>
      <x:c r="AA100" s="107" t="n">
        <x:f>SUM(IF($B$8=2,AA24,0),IF($B$36=2,AA52,0),IF($B$64=2,AA80,0))</x:f>
        <x:v>0</x:v>
      </x:c>
      <x:c r="AB100" s="107" t="n">
        <x:f>SUM(IF($B$8=2,AB24,0),IF($B$36=2,AB52,0),IF($B$64=2,AB80,0))</x:f>
        <x:v>0</x:v>
      </x:c>
      <x:c r="AC100" s="107" t="n">
        <x:f>SUM(IF($B$8=2,AC24,0),IF($B$36=2,AC52,0),IF($B$64=2,AC80,0))</x:f>
        <x:v>0</x:v>
      </x:c>
      <x:c r="AD100" s="107" t="n">
        <x:f>SUM(IF($B$8=2,AD24,0),IF($B$36=2,AD52,0),IF($B$64=2,AD80,0))</x:f>
        <x:v>0</x:v>
      </x:c>
      <x:c r="AE100" s="107" t="n">
        <x:f>SUM(IF($B$8=2,AE24,0),IF($B$36=2,AE52,0),IF($B$64=2,AE80,0))</x:f>
        <x:v>0</x:v>
      </x:c>
      <x:c r="AF100" s="107" t="n">
        <x:f>SUM(IF($B$8=2,AF24,0),IF($B$36=2,AF52,0),IF($B$64=2,AF80,0))</x:f>
        <x:v>0</x:v>
      </x:c>
      <x:c r="AG100" s="107" t="n">
        <x:f>SUM(IF($B$8=2,AG24,0),IF($B$36=2,AG52,0),IF($B$64=2,AG80,0))</x:f>
        <x:v>0</x:v>
      </x:c>
      <x:c r="AH100" s="107" t="n">
        <x:f>SUM(IF($B$8=2,AH24,0),IF($B$36=2,AH52,0),IF($B$64=2,AH80,0))</x:f>
        <x:v>0</x:v>
      </x:c>
      <x:c r="AI100" s="107" t="n">
        <x:f>SUM(IF($B$8=2,AI24,0),IF($B$36=2,AI52,0),IF($B$64=2,AI80,0))</x:f>
        <x:v>0</x:v>
      </x:c>
      <x:c r="AJ100" s="107" t="n">
        <x:f>SUM(IF($B$8=2,AJ24,0),IF($B$36=2,AJ52,0),IF($B$64=2,AJ80,0))</x:f>
        <x:v>0</x:v>
      </x:c>
      <x:c r="AK100" s="107" t="n">
        <x:f>SUM(IF($B$8=2,AK24,0),IF($B$36=2,AK52,0),IF($B$64=2,AK80,0))</x:f>
        <x:v>0</x:v>
      </x:c>
      <x:c r="AL100" s="107" t="n">
        <x:f>SUM(IF($B$8=2,AL24,0),IF($B$36=2,AL52,0),IF($B$64=2,AL80,0))</x:f>
        <x:v>0</x:v>
      </x:c>
      <x:c r="AM100" s="107" t="n">
        <x:f>SUM(IF($B$8=2,AM24,0),IF($B$36=2,AM52,0),IF($B$64=2,AM80,0))</x:f>
        <x:v>0</x:v>
      </x:c>
      <x:c r="AN100" s="107" t="n">
        <x:f>SUM(IF($B$8=2,AN24,0),IF($B$36=2,AN52,0),IF($B$64=2,AN80,0))</x:f>
        <x:v>0</x:v>
      </x:c>
      <x:c r="AO100" s="107" t="n">
        <x:f>SUM(IF($B$8=2,AO24,0),IF($B$36=2,AO52,0),IF($B$64=2,AO80,0))</x:f>
        <x:v>0</x:v>
      </x:c>
      <x:c r="AP100" s="107" t="n">
        <x:f>SUM(IF($B$8=2,AP24,0),IF($B$36=2,AP52,0),IF($B$64=2,AP80,0))</x:f>
        <x:v>0</x:v>
      </x:c>
      <x:c r="AQ100" s="107" t="n">
        <x:f>SUM(IF($B$8=2,AQ24,0),IF($B$36=2,AQ52,0),IF($B$64=2,AQ80,0))</x:f>
        <x:v>0</x:v>
      </x:c>
      <x:c r="AR100" s="107" t="n">
        <x:f>SUM(IF($B$8=2,AR24,0),IF($B$36=2,AR52,0),IF($B$64=2,AR80,0))</x:f>
        <x:v>0</x:v>
      </x:c>
      <x:c r="AS100" s="107" t="n">
        <x:f>SUM(IF($B$8=2,AS24,0),IF($B$36=2,AS52,0),IF($B$64=2,AS80,0))</x:f>
        <x:v>0</x:v>
      </x:c>
      <x:c r="AT100" s="107" t="n">
        <x:f>SUM(IF($B$8=2,AT24,0),IF($B$36=2,AT52,0),IF($B$64=2,AT80,0))</x:f>
        <x:v>0</x:v>
      </x:c>
      <x:c r="AU100" s="107" t="n">
        <x:f>SUM(IF($B$8=2,AU24,0),IF($B$36=2,AU52,0),IF($B$64=2,AU80,0))</x:f>
        <x:v>0</x:v>
      </x:c>
      <x:c r="AV100" s="107" t="n">
        <x:f>SUM(IF($B$8=2,AV24,0),IF($B$36=2,AV52,0),IF($B$64=2,AV80,0))</x:f>
        <x:v>0</x:v>
      </x:c>
      <x:c r="AW100" s="107" t="n">
        <x:f>SUM(IF($B$8=2,AW24,0),IF($B$36=2,AW52,0),IF($B$64=2,AW80,0))</x:f>
        <x:v>0</x:v>
      </x:c>
      <x:c r="AX100" s="107" t="n">
        <x:f>SUM(IF($B$8=2,AX24,0),IF($B$36=2,AX52,0),IF($B$64=2,AX80,0))</x:f>
        <x:v>0</x:v>
      </x:c>
      <x:c r="AY100" s="107" t="n">
        <x:f>SUM(IF($B$8=2,AY24,0),IF($B$36=2,AY52,0),IF($B$64=2,AY80,0))</x:f>
        <x:v>0</x:v>
      </x:c>
      <x:c r="AZ100" s="107" t="n">
        <x:f>SUM(IF($B$8=2,AZ24,0),IF($B$36=2,AZ52,0),IF($B$64=2,AZ80,0))</x:f>
        <x:v>0</x:v>
      </x:c>
      <x:c r="BA100" s="107" t="n">
        <x:f>SUM(IF($B$8=2,BA24,0),IF($B$36=2,BA52,0),IF($B$64=2,BA80,0))</x:f>
        <x:v>0</x:v>
      </x:c>
      <x:c r="BB100" s="107" t="n">
        <x:f>SUM(IF($B$8=2,BB24,0),IF($B$36=2,BB52,0),IF($B$64=2,BB80,0))</x:f>
        <x:v>0</x:v>
      </x:c>
      <x:c r="BC100" s="107" t="n">
        <x:f>SUM(IF($B$8=2,BC24,0),IF($B$36=2,BC52,0),IF($B$64=2,BC80,0))</x:f>
        <x:v>0</x:v>
      </x:c>
      <x:c r="BD100" s="107" t="n">
        <x:f>SUM(IF($B$8=2,BD24,0),IF($B$36=2,BD52,0),IF($B$64=2,BD80,0))</x:f>
        <x:v>0</x:v>
      </x:c>
      <x:c r="BE100" s="107" t="n">
        <x:f>SUM(IF($B$8=2,BE24,0),IF($B$36=2,BE52,0),IF($B$64=2,BE80,0))</x:f>
        <x:v>0</x:v>
      </x:c>
      <x:c r="BF100" s="107" t="n">
        <x:f>SUM(IF($B$8=2,BF24,0),IF($B$36=2,BF52,0),IF($B$64=2,BF80,0))</x:f>
        <x:v>0</x:v>
      </x:c>
      <x:c r="BG100" s="107" t="n">
        <x:f>SUM(IF($B$8=2,BG24,0),IF($B$36=2,BG52,0),IF($B$64=2,BG80,0))</x:f>
        <x:v>0</x:v>
      </x:c>
      <x:c r="BH100" s="107" t="n">
        <x:f>SUM(IF($B$8=2,BH24,0),IF($B$36=2,BH52,0),IF($B$64=2,BH80,0))</x:f>
        <x:v>0</x:v>
      </x:c>
      <x:c r="BI100" s="107" t="n">
        <x:f>SUM(IF($B$8=2,BI24,0),IF($B$36=2,BI52,0),IF($B$64=2,BI80,0))</x:f>
        <x:v>0</x:v>
      </x:c>
      <x:c r="BJ100" s="107" t="n">
        <x:f>SUM(IF($B$8=2,BJ24,0),IF($B$36=2,BJ52,0),IF($B$64=2,BJ80,0))</x:f>
        <x:v>0</x:v>
      </x:c>
      <x:c r="BK100" s="107" t="n">
        <x:f>SUM(IF($B$8=2,BK24,0),IF($B$36=2,BK52,0),IF($B$64=2,BK80,0))</x:f>
        <x:v>0</x:v>
      </x:c>
      <x:c r="BL100" s="107" t="n">
        <x:f>SUM(IF($B$8=2,BL24,0),IF($B$36=2,BL52,0),IF($B$64=2,BL80,0))</x:f>
        <x:v>0</x:v>
      </x:c>
      <x:c r="BM100" s="107" t="n">
        <x:f>SUM(IF($B$8=2,BM24,0),IF($B$36=2,BM52,0),IF($B$64=2,BM80,0))</x:f>
        <x:v>0</x:v>
      </x:c>
      <x:c r="BN100" s="107" t="n">
        <x:f>SUM(IF($B$8=2,BN24,0),IF($B$36=2,BN52,0),IF($B$64=2,BN80,0))</x:f>
        <x:v>0</x:v>
      </x:c>
      <x:c r="BO100" s="107" t="n">
        <x:f>SUM(IF($B$8=2,BO24,0),IF($B$36=2,BO52,0),IF($B$64=2,BO80,0))</x:f>
        <x:v>0</x:v>
      </x:c>
      <x:c r="BP100" s="107" t="n">
        <x:f>SUM(IF($B$8=2,BP24,0),IF($B$36=2,BP52,0),IF($B$64=2,BP80,0))</x:f>
        <x:v>0</x:v>
      </x:c>
      <x:c r="BQ100" s="107" t="n">
        <x:f>SUM(IF($B$8=2,BQ24,0),IF($B$36=2,BQ52,0),IF($B$64=2,BQ80,0))</x:f>
        <x:v>0</x:v>
      </x:c>
      <x:c r="BR100" s="107" t="n">
        <x:f>SUM(IF($B$8=2,BR24,0),IF($B$36=2,BR52,0),IF($B$64=2,BR80,0))</x:f>
        <x:v>0</x:v>
      </x:c>
      <x:c r="BS100" s="107" t="n">
        <x:f>SUM(IF($B$8=2,BS24,0),IF($B$36=2,BS52,0),IF($B$64=2,BS80,0))</x:f>
        <x:v>0</x:v>
      </x:c>
      <x:c r="BT100" s="107" t="n">
        <x:f>SUM(IF($B$8=2,BT24,0),IF($B$36=2,BT52,0),IF($B$64=2,BT80,0))</x:f>
        <x:v>0</x:v>
      </x:c>
      <x:c r="BU100" s="107" t="n">
        <x:f>SUM(IF($B$8=2,BU24,0),IF($B$36=2,BU52,0),IF($B$64=2,BU80,0))</x:f>
        <x:v>0</x:v>
      </x:c>
      <x:c r="BV100" s="107" t="n">
        <x:f>SUM(IF($B$8=2,BV24,0),IF($B$36=2,BV52,0),IF($B$64=2,BV80,0))</x:f>
        <x:v>0</x:v>
      </x:c>
      <x:c r="BW100" s="107" t="n">
        <x:f>SUM(IF($B$8=2,BW24,0),IF($B$36=2,BW52,0),IF($B$64=2,BW80,0))</x:f>
        <x:v>0</x:v>
      </x:c>
      <x:c r="BX100" s="107" t="n">
        <x:f>SUM(IF($B$8=2,BX24,0),IF($B$36=2,BX52,0),IF($B$64=2,BX80,0))</x:f>
        <x:v>0</x:v>
      </x:c>
      <x:c r="BY100" s="107" t="n">
        <x:f>SUM(IF($B$8=2,BY24,0),IF($B$36=2,BY52,0),IF($B$64=2,BY80,0))</x:f>
        <x:v>0</x:v>
      </x:c>
      <x:c r="BZ100" s="107" t="n">
        <x:f>SUM(IF($B$8=2,BZ24,0),IF($B$36=2,BZ52,0),IF($B$64=2,BZ80,0))</x:f>
        <x:v>0</x:v>
      </x:c>
      <x:c r="CA100" s="107" t="n">
        <x:f>SUM(IF($B$8=2,CA24,0),IF($B$36=2,CA52,0),IF($B$64=2,CA80,0))</x:f>
        <x:v>0</x:v>
      </x:c>
      <x:c r="CB100" s="107" t="n">
        <x:f>SUM(IF($B$8=2,CB24,0),IF($B$36=2,CB52,0),IF($B$64=2,CB80,0))</x:f>
        <x:v>0</x:v>
      </x:c>
      <x:c r="CC100" s="107" t="n">
        <x:f>SUM(IF($B$8=2,CC24,0),IF($B$36=2,CC52,0),IF($B$64=2,CC80,0))</x:f>
        <x:v>0</x:v>
      </x:c>
      <x:c r="CD100" s="107" t="n">
        <x:f>SUM(IF($B$8=2,CD24,0),IF($B$36=2,CD52,0),IF($B$64=2,CD80,0))</x:f>
        <x:v>0</x:v>
      </x:c>
      <x:c r="CE100" s="107" t="n">
        <x:f>SUM(IF($B$8=2,CE24,0),IF($B$36=2,CE52,0),IF($B$64=2,CE80,0))</x:f>
        <x:v>0</x:v>
      </x:c>
      <x:c r="CF100" s="107" t="n">
        <x:f>SUM(IF($B$8=2,CF24,0),IF($B$36=2,CF52,0),IF($B$64=2,CF80,0))</x:f>
        <x:v>0</x:v>
      </x:c>
      <x:c r="CG100" s="107" t="n">
        <x:f>SUM(IF($B$8=2,CG24,0),IF($B$36=2,CG52,0),IF($B$64=2,CG80,0))</x:f>
        <x:v>0</x:v>
      </x:c>
      <x:c r="CH100" s="107" t="n">
        <x:f>SUM(IF($B$8=2,CH24,0),IF($B$36=2,CH52,0),IF($B$64=2,CH80,0))</x:f>
        <x:v>0</x:v>
      </x:c>
      <x:c r="CI100" s="107" t="n">
        <x:f>SUM(IF($B$8=2,CI24,0),IF($B$36=2,CI52,0),IF($B$64=2,CI80,0))</x:f>
        <x:v>0</x:v>
      </x:c>
      <x:c r="CJ100" s="107" t="n">
        <x:f>SUM(IF($B$8=2,CJ24,0),IF($B$36=2,CJ52,0),IF($B$64=2,CJ80,0))</x:f>
        <x:v>0</x:v>
      </x:c>
      <x:c r="CK100" s="107" t="n">
        <x:f>SUM(IF($B$8=2,CK24,0),IF($B$36=2,CK52,0),IF($B$64=2,CK80,0))</x:f>
        <x:v>0</x:v>
      </x:c>
      <x:c r="CL100" s="107" t="n">
        <x:f>SUM(IF($B$8=2,CL24,0),IF($B$36=2,CL52,0),IF($B$64=2,CL80,0))</x:f>
        <x:v>0</x:v>
      </x:c>
      <x:c r="CM100" s="107" t="n">
        <x:f>SUM(IF($B$8=2,CM24,0),IF($B$36=2,CM52,0),IF($B$64=2,CM80,0))</x:f>
        <x:v>0</x:v>
      </x:c>
      <x:c r="CN100" s="107" t="n">
        <x:f>SUM(IF($B$8=2,CN24,0),IF($B$36=2,CN52,0),IF($B$64=2,CN80,0))</x:f>
        <x:v>0</x:v>
      </x:c>
      <x:c r="CO100" s="107" t="n">
        <x:f>SUM(IF($B$8=2,CO24,0),IF($B$36=2,CO52,0),IF($B$64=2,CO80,0))</x:f>
        <x:v>0</x:v>
      </x:c>
      <x:c r="CP100" s="107" t="n">
        <x:f>SUM(IF($B$8=2,CP24,0),IF($B$36=2,CP52,0),IF($B$64=2,CP80,0))</x:f>
        <x:v>0</x:v>
      </x:c>
      <x:c r="CQ100" s="107" t="n">
        <x:f>SUM(IF($B$8=2,CQ24,0),IF($B$36=2,CQ52,0),IF($B$64=2,CQ80,0))</x:f>
        <x:v>0</x:v>
      </x:c>
      <x:c r="CR100" s="107" t="n">
        <x:f>SUM(IF($B$8=2,CR24,0),IF($B$36=2,CR52,0),IF($B$64=2,CR80,0))</x:f>
        <x:v>0</x:v>
      </x:c>
      <x:c r="CS100" s="107" t="n">
        <x:f>SUM(IF($B$8=2,CS24,0),IF($B$36=2,CS52,0),IF($B$64=2,CS80,0))</x:f>
        <x:v>0</x:v>
      </x:c>
      <x:c r="CT100" s="107" t="n">
        <x:f>SUM(IF($B$8=2,CT24,0),IF($B$36=2,CT52,0),IF($B$64=2,CT80,0))</x:f>
        <x:v>0</x:v>
      </x:c>
      <x:c r="CU100" s="107" t="n">
        <x:f>SUM(IF($B$8=2,CU24,0),IF($B$36=2,CU52,0),IF($B$64=2,CU80,0))</x:f>
        <x:v>0</x:v>
      </x:c>
      <x:c r="CV100" s="107" t="n">
        <x:f>SUM(IF($B$8=2,CV24,0),IF($B$36=2,CV52,0),IF($B$64=2,CV80,0))</x:f>
        <x:v>0</x:v>
      </x:c>
      <x:c r="CW100" s="107" t="n">
        <x:f>SUM(IF($B$8=2,CW24,0),IF($B$36=2,CW52,0),IF($B$64=2,CW80,0))</x:f>
        <x:v>0</x:v>
      </x:c>
      <x:c r="CX100" s="107" t="n">
        <x:f>SUM(IF($B$8=2,CX24,0),IF($B$36=2,CX52,0),IF($B$64=2,CX80,0))</x:f>
        <x:v>0</x:v>
      </x:c>
      <x:c r="CY100" s="107" t="n">
        <x:f>SUM(IF($B$8=2,CY24,0),IF($B$36=2,CY52,0),IF($B$64=2,CY80,0))</x:f>
        <x:v>0</x:v>
      </x:c>
      <x:c r="CZ100" s="107" t="n">
        <x:f>SUM(IF($B$8=2,CZ24,0),IF($B$36=2,CZ52,0),IF($B$64=2,CZ80,0))</x:f>
        <x:v>0</x:v>
      </x:c>
      <x:c r="DA100" s="107" t="n">
        <x:f>SUM(IF($B$8=2,DA24,0),IF($B$36=2,DA52,0),IF($B$64=2,DA80,0))</x:f>
        <x:v>0</x:v>
      </x:c>
      <x:c r="DB100" s="107" t="n">
        <x:f>SUM(IF($B$8=2,DB24,0),IF($B$36=2,DB52,0),IF($B$64=2,DB80,0))</x:f>
        <x:v>0</x:v>
      </x:c>
      <x:c r="DC100" s="107" t="n">
        <x:f>SUM(IF($B$8=2,DC24,0),IF($B$36=2,DC52,0),IF($B$64=2,DC80,0))</x:f>
        <x:v>0</x:v>
      </x:c>
      <x:c r="DD100" s="107" t="n">
        <x:f>SUM(IF($B$8=2,DD24,0),IF($B$36=2,DD52,0),IF($B$64=2,DD80,0))</x:f>
        <x:v>0</x:v>
      </x:c>
      <x:c r="DE100" s="107" t="n">
        <x:f>SUM(IF($B$8=2,DE24,0),IF($B$36=2,DE52,0),IF($B$64=2,DE80,0))</x:f>
        <x:v>0</x:v>
      </x:c>
      <x:c r="DF100" s="107" t="n">
        <x:f>SUM(IF($B$8=2,DF24,0),IF($B$36=2,DF52,0),IF($B$64=2,DF80,0))</x:f>
        <x:v>0</x:v>
      </x:c>
      <x:c r="DG100" s="107" t="n">
        <x:f>SUM(IF($B$8=2,DG24,0),IF($B$36=2,DG52,0),IF($B$64=2,DG80,0))</x:f>
        <x:v>0</x:v>
      </x:c>
      <x:c r="DH100" s="107" t="n">
        <x:f>SUM(IF($B$8=2,DH24,0),IF($B$36=2,DH52,0),IF($B$64=2,DH80,0))</x:f>
        <x:v>0</x:v>
      </x:c>
      <x:c r="DI100" s="107" t="n">
        <x:f>SUM(IF($B$8=2,DI24,0),IF($B$36=2,DI52,0),IF($B$64=2,DI80,0))</x:f>
        <x:v>0</x:v>
      </x:c>
      <x:c r="DJ100" s="107" t="n">
        <x:f>SUM(IF($B$8=2,DJ24,0),IF($B$36=2,DJ52,0),IF($B$64=2,DJ80,0))</x:f>
        <x:v>0</x:v>
      </x:c>
      <x:c r="DK100" s="107" t="n">
        <x:f>SUM(IF($B$8=2,DK24,0),IF($B$36=2,DK52,0),IF($B$64=2,DK80,0))</x:f>
        <x:v>0</x:v>
      </x:c>
      <x:c r="DL100" s="107" t="n">
        <x:f>SUM(IF($B$8=2,DL24,0),IF($B$36=2,DL52,0),IF($B$64=2,DL80,0))</x:f>
        <x:v>0</x:v>
      </x:c>
      <x:c r="DM100" s="107" t="n">
        <x:f>SUM(IF($B$8=2,DM24,0),IF($B$36=2,DM52,0),IF($B$64=2,DM80,0))</x:f>
        <x:v>0</x:v>
      </x:c>
      <x:c r="DN100" s="107" t="n">
        <x:f>SUM(IF($B$8=2,DN24,0),IF($B$36=2,DN52,0),IF($B$64=2,DN80,0))</x:f>
        <x:v>0</x:v>
      </x:c>
      <x:c r="DO100" s="107" t="n">
        <x:f>SUM(IF($B$8=2,DO24,0),IF($B$36=2,DO52,0),IF($B$64=2,DO80,0))</x:f>
        <x:v>0</x:v>
      </x:c>
      <x:c r="DP100" s="107" t="n">
        <x:f>SUM(IF($B$8=2,DP24,0),IF($B$36=2,DP52,0),IF($B$64=2,DP80,0))</x:f>
        <x:v>0</x:v>
      </x:c>
      <x:c r="DQ100" s="107" t="n">
        <x:f>SUM(IF($B$8=2,DQ24,0),IF($B$36=2,DQ52,0),IF($B$64=2,DQ80,0))</x:f>
        <x:v>0</x:v>
      </x:c>
      <x:c r="DR100" s="107" t="n">
        <x:f>SUM(IF($B$8=2,DR24,0),IF($B$36=2,DR52,0),IF($B$64=2,DR80,0))</x:f>
        <x:v>0</x:v>
      </x:c>
      <x:c r="DS100" s="107" t="n">
        <x:f>SUM(IF($B$8=2,DS24,0),IF($B$36=2,DS52,0),IF($B$64=2,DS80,0))</x:f>
        <x:v>0</x:v>
      </x:c>
    </x:row>
    <x:row r="101">
      <x:c r="A101" t="str">
        <x:v>Очередь 2 — Поступления объектов на эскроу</x:v>
      </x:c>
      <x:c r="B101" s="107" t="n">
        <x:f>SUM(D101:DS101)</x:f>
        <x:v>0</x:v>
      </x:c>
      <x:c r="C101" t="str">
        <x:v>млн ₽</x:v>
      </x:c>
      <x:c r="D101" s="107" t="n">
        <x:f>SUM(IF($B$8=2,D25,0),IF($B$36=2,D53,0),IF($B$64=2,D81,0))</x:f>
        <x:v>0</x:v>
      </x:c>
      <x:c r="E101" s="107" t="n">
        <x:f>SUM(IF($B$8=2,E25,0),IF($B$36=2,E53,0),IF($B$64=2,E81,0))</x:f>
        <x:v>0</x:v>
      </x:c>
      <x:c r="F101" s="107" t="n">
        <x:f>SUM(IF($B$8=2,F25,0),IF($B$36=2,F53,0),IF($B$64=2,F81,0))</x:f>
        <x:v>0</x:v>
      </x:c>
      <x:c r="G101" s="107" t="n">
        <x:f>SUM(IF($B$8=2,G25,0),IF($B$36=2,G53,0),IF($B$64=2,G81,0))</x:f>
        <x:v>0</x:v>
      </x:c>
      <x:c r="H101" s="107" t="n">
        <x:f>SUM(IF($B$8=2,H25,0),IF($B$36=2,H53,0),IF($B$64=2,H81,0))</x:f>
        <x:v>0</x:v>
      </x:c>
      <x:c r="I101" s="107" t="n">
        <x:f>SUM(IF($B$8=2,I25,0),IF($B$36=2,I53,0),IF($B$64=2,I81,0))</x:f>
        <x:v>0</x:v>
      </x:c>
      <x:c r="J101" s="107" t="n">
        <x:f>SUM(IF($B$8=2,J25,0),IF($B$36=2,J53,0),IF($B$64=2,J81,0))</x:f>
        <x:v>0</x:v>
      </x:c>
      <x:c r="K101" s="107" t="n">
        <x:f>SUM(IF($B$8=2,K25,0),IF($B$36=2,K53,0),IF($B$64=2,K81,0))</x:f>
        <x:v>0</x:v>
      </x:c>
      <x:c r="L101" s="107" t="n">
        <x:f>SUM(IF($B$8=2,L25,0),IF($B$36=2,L53,0),IF($B$64=2,L81,0))</x:f>
        <x:v>0</x:v>
      </x:c>
      <x:c r="M101" s="107" t="n">
        <x:f>SUM(IF($B$8=2,M25,0),IF($B$36=2,M53,0),IF($B$64=2,M81,0))</x:f>
        <x:v>0</x:v>
      </x:c>
      <x:c r="N101" s="107" t="n">
        <x:f>SUM(IF($B$8=2,N25,0),IF($B$36=2,N53,0),IF($B$64=2,N81,0))</x:f>
        <x:v>0</x:v>
      </x:c>
      <x:c r="O101" s="107" t="n">
        <x:f>SUM(IF($B$8=2,O25,0),IF($B$36=2,O53,0),IF($B$64=2,O81,0))</x:f>
        <x:v>0</x:v>
      </x:c>
      <x:c r="P101" s="107" t="n">
        <x:f>SUM(IF($B$8=2,P25,0),IF($B$36=2,P53,0),IF($B$64=2,P81,0))</x:f>
        <x:v>0</x:v>
      </x:c>
      <x:c r="Q101" s="107" t="n">
        <x:f>SUM(IF($B$8=2,Q25,0),IF($B$36=2,Q53,0),IF($B$64=2,Q81,0))</x:f>
        <x:v>0</x:v>
      </x:c>
      <x:c r="R101" s="107" t="n">
        <x:f>SUM(IF($B$8=2,R25,0),IF($B$36=2,R53,0),IF($B$64=2,R81,0))</x:f>
        <x:v>0</x:v>
      </x:c>
      <x:c r="S101" s="107" t="n">
        <x:f>SUM(IF($B$8=2,S25,0),IF($B$36=2,S53,0),IF($B$64=2,S81,0))</x:f>
        <x:v>0</x:v>
      </x:c>
      <x:c r="T101" s="107" t="n">
        <x:f>SUM(IF($B$8=2,T25,0),IF($B$36=2,T53,0),IF($B$64=2,T81,0))</x:f>
        <x:v>0</x:v>
      </x:c>
      <x:c r="U101" s="107" t="n">
        <x:f>SUM(IF($B$8=2,U25,0),IF($B$36=2,U53,0),IF($B$64=2,U81,0))</x:f>
        <x:v>0</x:v>
      </x:c>
      <x:c r="V101" s="107" t="n">
        <x:f>SUM(IF($B$8=2,V25,0),IF($B$36=2,V53,0),IF($B$64=2,V81,0))</x:f>
        <x:v>0</x:v>
      </x:c>
      <x:c r="W101" s="107" t="n">
        <x:f>SUM(IF($B$8=2,W25,0),IF($B$36=2,W53,0),IF($B$64=2,W81,0))</x:f>
        <x:v>0</x:v>
      </x:c>
      <x:c r="X101" s="107" t="n">
        <x:f>SUM(IF($B$8=2,X25,0),IF($B$36=2,X53,0),IF($B$64=2,X81,0))</x:f>
        <x:v>0</x:v>
      </x:c>
      <x:c r="Y101" s="107" t="n">
        <x:f>SUM(IF($B$8=2,Y25,0),IF($B$36=2,Y53,0),IF($B$64=2,Y81,0))</x:f>
        <x:v>0</x:v>
      </x:c>
      <x:c r="Z101" s="107" t="n">
        <x:f>SUM(IF($B$8=2,Z25,0),IF($B$36=2,Z53,0),IF($B$64=2,Z81,0))</x:f>
        <x:v>0</x:v>
      </x:c>
      <x:c r="AA101" s="107" t="n">
        <x:f>SUM(IF($B$8=2,AA25,0),IF($B$36=2,AA53,0),IF($B$64=2,AA81,0))</x:f>
        <x:v>0</x:v>
      </x:c>
      <x:c r="AB101" s="107" t="n">
        <x:f>SUM(IF($B$8=2,AB25,0),IF($B$36=2,AB53,0),IF($B$64=2,AB81,0))</x:f>
        <x:v>0</x:v>
      </x:c>
      <x:c r="AC101" s="107" t="n">
        <x:f>SUM(IF($B$8=2,AC25,0),IF($B$36=2,AC53,0),IF($B$64=2,AC81,0))</x:f>
        <x:v>0</x:v>
      </x:c>
      <x:c r="AD101" s="107" t="n">
        <x:f>SUM(IF($B$8=2,AD25,0),IF($B$36=2,AD53,0),IF($B$64=2,AD81,0))</x:f>
        <x:v>0</x:v>
      </x:c>
      <x:c r="AE101" s="107" t="n">
        <x:f>SUM(IF($B$8=2,AE25,0),IF($B$36=2,AE53,0),IF($B$64=2,AE81,0))</x:f>
        <x:v>0</x:v>
      </x:c>
      <x:c r="AF101" s="107" t="n">
        <x:f>SUM(IF($B$8=2,AF25,0),IF($B$36=2,AF53,0),IF($B$64=2,AF81,0))</x:f>
        <x:v>0</x:v>
      </x:c>
      <x:c r="AG101" s="107" t="n">
        <x:f>SUM(IF($B$8=2,AG25,0),IF($B$36=2,AG53,0),IF($B$64=2,AG81,0))</x:f>
        <x:v>0</x:v>
      </x:c>
      <x:c r="AH101" s="107" t="n">
        <x:f>SUM(IF($B$8=2,AH25,0),IF($B$36=2,AH53,0),IF($B$64=2,AH81,0))</x:f>
        <x:v>0</x:v>
      </x:c>
      <x:c r="AI101" s="107" t="n">
        <x:f>SUM(IF($B$8=2,AI25,0),IF($B$36=2,AI53,0),IF($B$64=2,AI81,0))</x:f>
        <x:v>0</x:v>
      </x:c>
      <x:c r="AJ101" s="107" t="n">
        <x:f>SUM(IF($B$8=2,AJ25,0),IF($B$36=2,AJ53,0),IF($B$64=2,AJ81,0))</x:f>
        <x:v>0</x:v>
      </x:c>
      <x:c r="AK101" s="107" t="n">
        <x:f>SUM(IF($B$8=2,AK25,0),IF($B$36=2,AK53,0),IF($B$64=2,AK81,0))</x:f>
        <x:v>0</x:v>
      </x:c>
      <x:c r="AL101" s="107" t="n">
        <x:f>SUM(IF($B$8=2,AL25,0),IF($B$36=2,AL53,0),IF($B$64=2,AL81,0))</x:f>
        <x:v>0</x:v>
      </x:c>
      <x:c r="AM101" s="107" t="n">
        <x:f>SUM(IF($B$8=2,AM25,0),IF($B$36=2,AM53,0),IF($B$64=2,AM81,0))</x:f>
        <x:v>0</x:v>
      </x:c>
      <x:c r="AN101" s="107" t="n">
        <x:f>SUM(IF($B$8=2,AN25,0),IF($B$36=2,AN53,0),IF($B$64=2,AN81,0))</x:f>
        <x:v>0</x:v>
      </x:c>
      <x:c r="AO101" s="107" t="n">
        <x:f>SUM(IF($B$8=2,AO25,0),IF($B$36=2,AO53,0),IF($B$64=2,AO81,0))</x:f>
        <x:v>0</x:v>
      </x:c>
      <x:c r="AP101" s="107" t="n">
        <x:f>SUM(IF($B$8=2,AP25,0),IF($B$36=2,AP53,0),IF($B$64=2,AP81,0))</x:f>
        <x:v>0</x:v>
      </x:c>
      <x:c r="AQ101" s="107" t="n">
        <x:f>SUM(IF($B$8=2,AQ25,0),IF($B$36=2,AQ53,0),IF($B$64=2,AQ81,0))</x:f>
        <x:v>0</x:v>
      </x:c>
      <x:c r="AR101" s="107" t="n">
        <x:f>SUM(IF($B$8=2,AR25,0),IF($B$36=2,AR53,0),IF($B$64=2,AR81,0))</x:f>
        <x:v>0</x:v>
      </x:c>
      <x:c r="AS101" s="107" t="n">
        <x:f>SUM(IF($B$8=2,AS25,0),IF($B$36=2,AS53,0),IF($B$64=2,AS81,0))</x:f>
        <x:v>0</x:v>
      </x:c>
      <x:c r="AT101" s="107" t="n">
        <x:f>SUM(IF($B$8=2,AT25,0),IF($B$36=2,AT53,0),IF($B$64=2,AT81,0))</x:f>
        <x:v>0</x:v>
      </x:c>
      <x:c r="AU101" s="107" t="n">
        <x:f>SUM(IF($B$8=2,AU25,0),IF($B$36=2,AU53,0),IF($B$64=2,AU81,0))</x:f>
        <x:v>0</x:v>
      </x:c>
      <x:c r="AV101" s="107" t="n">
        <x:f>SUM(IF($B$8=2,AV25,0),IF($B$36=2,AV53,0),IF($B$64=2,AV81,0))</x:f>
        <x:v>0</x:v>
      </x:c>
      <x:c r="AW101" s="107" t="n">
        <x:f>SUM(IF($B$8=2,AW25,0),IF($B$36=2,AW53,0),IF($B$64=2,AW81,0))</x:f>
        <x:v>0</x:v>
      </x:c>
      <x:c r="AX101" s="107" t="n">
        <x:f>SUM(IF($B$8=2,AX25,0),IF($B$36=2,AX53,0),IF($B$64=2,AX81,0))</x:f>
        <x:v>0</x:v>
      </x:c>
      <x:c r="AY101" s="107" t="n">
        <x:f>SUM(IF($B$8=2,AY25,0),IF($B$36=2,AY53,0),IF($B$64=2,AY81,0))</x:f>
        <x:v>0</x:v>
      </x:c>
      <x:c r="AZ101" s="107" t="n">
        <x:f>SUM(IF($B$8=2,AZ25,0),IF($B$36=2,AZ53,0),IF($B$64=2,AZ81,0))</x:f>
        <x:v>0</x:v>
      </x:c>
      <x:c r="BA101" s="107" t="n">
        <x:f>SUM(IF($B$8=2,BA25,0),IF($B$36=2,BA53,0),IF($B$64=2,BA81,0))</x:f>
        <x:v>0</x:v>
      </x:c>
      <x:c r="BB101" s="107" t="n">
        <x:f>SUM(IF($B$8=2,BB25,0),IF($B$36=2,BB53,0),IF($B$64=2,BB81,0))</x:f>
        <x:v>0</x:v>
      </x:c>
      <x:c r="BC101" s="107" t="n">
        <x:f>SUM(IF($B$8=2,BC25,0),IF($B$36=2,BC53,0),IF($B$64=2,BC81,0))</x:f>
        <x:v>0</x:v>
      </x:c>
      <x:c r="BD101" s="107" t="n">
        <x:f>SUM(IF($B$8=2,BD25,0),IF($B$36=2,BD53,0),IF($B$64=2,BD81,0))</x:f>
        <x:v>0</x:v>
      </x:c>
      <x:c r="BE101" s="107" t="n">
        <x:f>SUM(IF($B$8=2,BE25,0),IF($B$36=2,BE53,0),IF($B$64=2,BE81,0))</x:f>
        <x:v>0</x:v>
      </x:c>
      <x:c r="BF101" s="107" t="n">
        <x:f>SUM(IF($B$8=2,BF25,0),IF($B$36=2,BF53,0),IF($B$64=2,BF81,0))</x:f>
        <x:v>0</x:v>
      </x:c>
      <x:c r="BG101" s="107" t="n">
        <x:f>SUM(IF($B$8=2,BG25,0),IF($B$36=2,BG53,0),IF($B$64=2,BG81,0))</x:f>
        <x:v>0</x:v>
      </x:c>
      <x:c r="BH101" s="107" t="n">
        <x:f>SUM(IF($B$8=2,BH25,0),IF($B$36=2,BH53,0),IF($B$64=2,BH81,0))</x:f>
        <x:v>0</x:v>
      </x:c>
      <x:c r="BI101" s="107" t="n">
        <x:f>SUM(IF($B$8=2,BI25,0),IF($B$36=2,BI53,0),IF($B$64=2,BI81,0))</x:f>
        <x:v>0</x:v>
      </x:c>
      <x:c r="BJ101" s="107" t="n">
        <x:f>SUM(IF($B$8=2,BJ25,0),IF($B$36=2,BJ53,0),IF($B$64=2,BJ81,0))</x:f>
        <x:v>0</x:v>
      </x:c>
      <x:c r="BK101" s="107" t="n">
        <x:f>SUM(IF($B$8=2,BK25,0),IF($B$36=2,BK53,0),IF($B$64=2,BK81,0))</x:f>
        <x:v>0</x:v>
      </x:c>
      <x:c r="BL101" s="107" t="n">
        <x:f>SUM(IF($B$8=2,BL25,0),IF($B$36=2,BL53,0),IF($B$64=2,BL81,0))</x:f>
        <x:v>0</x:v>
      </x:c>
      <x:c r="BM101" s="107" t="n">
        <x:f>SUM(IF($B$8=2,BM25,0),IF($B$36=2,BM53,0),IF($B$64=2,BM81,0))</x:f>
        <x:v>0</x:v>
      </x:c>
      <x:c r="BN101" s="107" t="n">
        <x:f>SUM(IF($B$8=2,BN25,0),IF($B$36=2,BN53,0),IF($B$64=2,BN81,0))</x:f>
        <x:v>0</x:v>
      </x:c>
      <x:c r="BO101" s="107" t="n">
        <x:f>SUM(IF($B$8=2,BO25,0),IF($B$36=2,BO53,0),IF($B$64=2,BO81,0))</x:f>
        <x:v>0</x:v>
      </x:c>
      <x:c r="BP101" s="107" t="n">
        <x:f>SUM(IF($B$8=2,BP25,0),IF($B$36=2,BP53,0),IF($B$64=2,BP81,0))</x:f>
        <x:v>0</x:v>
      </x:c>
      <x:c r="BQ101" s="107" t="n">
        <x:f>SUM(IF($B$8=2,BQ25,0),IF($B$36=2,BQ53,0),IF($B$64=2,BQ81,0))</x:f>
        <x:v>0</x:v>
      </x:c>
      <x:c r="BR101" s="107" t="n">
        <x:f>SUM(IF($B$8=2,BR25,0),IF($B$36=2,BR53,0),IF($B$64=2,BR81,0))</x:f>
        <x:v>0</x:v>
      </x:c>
      <x:c r="BS101" s="107" t="n">
        <x:f>SUM(IF($B$8=2,BS25,0),IF($B$36=2,BS53,0),IF($B$64=2,BS81,0))</x:f>
        <x:v>0</x:v>
      </x:c>
      <x:c r="BT101" s="107" t="n">
        <x:f>SUM(IF($B$8=2,BT25,0),IF($B$36=2,BT53,0),IF($B$64=2,BT81,0))</x:f>
        <x:v>0</x:v>
      </x:c>
      <x:c r="BU101" s="107" t="n">
        <x:f>SUM(IF($B$8=2,BU25,0),IF($B$36=2,BU53,0),IF($B$64=2,BU81,0))</x:f>
        <x:v>0</x:v>
      </x:c>
      <x:c r="BV101" s="107" t="n">
        <x:f>SUM(IF($B$8=2,BV25,0),IF($B$36=2,BV53,0),IF($B$64=2,BV81,0))</x:f>
        <x:v>0</x:v>
      </x:c>
      <x:c r="BW101" s="107" t="n">
        <x:f>SUM(IF($B$8=2,BW25,0),IF($B$36=2,BW53,0),IF($B$64=2,BW81,0))</x:f>
        <x:v>0</x:v>
      </x:c>
      <x:c r="BX101" s="107" t="n">
        <x:f>SUM(IF($B$8=2,BX25,0),IF($B$36=2,BX53,0),IF($B$64=2,BX81,0))</x:f>
        <x:v>0</x:v>
      </x:c>
      <x:c r="BY101" s="107" t="n">
        <x:f>SUM(IF($B$8=2,BY25,0),IF($B$36=2,BY53,0),IF($B$64=2,BY81,0))</x:f>
        <x:v>0</x:v>
      </x:c>
      <x:c r="BZ101" s="107" t="n">
        <x:f>SUM(IF($B$8=2,BZ25,0),IF($B$36=2,BZ53,0),IF($B$64=2,BZ81,0))</x:f>
        <x:v>0</x:v>
      </x:c>
      <x:c r="CA101" s="107" t="n">
        <x:f>SUM(IF($B$8=2,CA25,0),IF($B$36=2,CA53,0),IF($B$64=2,CA81,0))</x:f>
        <x:v>0</x:v>
      </x:c>
      <x:c r="CB101" s="107" t="n">
        <x:f>SUM(IF($B$8=2,CB25,0),IF($B$36=2,CB53,0),IF($B$64=2,CB81,0))</x:f>
        <x:v>0</x:v>
      </x:c>
      <x:c r="CC101" s="107" t="n">
        <x:f>SUM(IF($B$8=2,CC25,0),IF($B$36=2,CC53,0),IF($B$64=2,CC81,0))</x:f>
        <x:v>0</x:v>
      </x:c>
      <x:c r="CD101" s="107" t="n">
        <x:f>SUM(IF($B$8=2,CD25,0),IF($B$36=2,CD53,0),IF($B$64=2,CD81,0))</x:f>
        <x:v>0</x:v>
      </x:c>
      <x:c r="CE101" s="107" t="n">
        <x:f>SUM(IF($B$8=2,CE25,0),IF($B$36=2,CE53,0),IF($B$64=2,CE81,0))</x:f>
        <x:v>0</x:v>
      </x:c>
      <x:c r="CF101" s="107" t="n">
        <x:f>SUM(IF($B$8=2,CF25,0),IF($B$36=2,CF53,0),IF($B$64=2,CF81,0))</x:f>
        <x:v>0</x:v>
      </x:c>
      <x:c r="CG101" s="107" t="n">
        <x:f>SUM(IF($B$8=2,CG25,0),IF($B$36=2,CG53,0),IF($B$64=2,CG81,0))</x:f>
        <x:v>0</x:v>
      </x:c>
      <x:c r="CH101" s="107" t="n">
        <x:f>SUM(IF($B$8=2,CH25,0),IF($B$36=2,CH53,0),IF($B$64=2,CH81,0))</x:f>
        <x:v>0</x:v>
      </x:c>
      <x:c r="CI101" s="107" t="n">
        <x:f>SUM(IF($B$8=2,CI25,0),IF($B$36=2,CI53,0),IF($B$64=2,CI81,0))</x:f>
        <x:v>0</x:v>
      </x:c>
      <x:c r="CJ101" s="107" t="n">
        <x:f>SUM(IF($B$8=2,CJ25,0),IF($B$36=2,CJ53,0),IF($B$64=2,CJ81,0))</x:f>
        <x:v>0</x:v>
      </x:c>
      <x:c r="CK101" s="107" t="n">
        <x:f>SUM(IF($B$8=2,CK25,0),IF($B$36=2,CK53,0),IF($B$64=2,CK81,0))</x:f>
        <x:v>0</x:v>
      </x:c>
      <x:c r="CL101" s="107" t="n">
        <x:f>SUM(IF($B$8=2,CL25,0),IF($B$36=2,CL53,0),IF($B$64=2,CL81,0))</x:f>
        <x:v>0</x:v>
      </x:c>
      <x:c r="CM101" s="107" t="n">
        <x:f>SUM(IF($B$8=2,CM25,0),IF($B$36=2,CM53,0),IF($B$64=2,CM81,0))</x:f>
        <x:v>0</x:v>
      </x:c>
      <x:c r="CN101" s="107" t="n">
        <x:f>SUM(IF($B$8=2,CN25,0),IF($B$36=2,CN53,0),IF($B$64=2,CN81,0))</x:f>
        <x:v>0</x:v>
      </x:c>
      <x:c r="CO101" s="107" t="n">
        <x:f>SUM(IF($B$8=2,CO25,0),IF($B$36=2,CO53,0),IF($B$64=2,CO81,0))</x:f>
        <x:v>0</x:v>
      </x:c>
      <x:c r="CP101" s="107" t="n">
        <x:f>SUM(IF($B$8=2,CP25,0),IF($B$36=2,CP53,0),IF($B$64=2,CP81,0))</x:f>
        <x:v>0</x:v>
      </x:c>
      <x:c r="CQ101" s="107" t="n">
        <x:f>SUM(IF($B$8=2,CQ25,0),IF($B$36=2,CQ53,0),IF($B$64=2,CQ81,0))</x:f>
        <x:v>0</x:v>
      </x:c>
      <x:c r="CR101" s="107" t="n">
        <x:f>SUM(IF($B$8=2,CR25,0),IF($B$36=2,CR53,0),IF($B$64=2,CR81,0))</x:f>
        <x:v>0</x:v>
      </x:c>
      <x:c r="CS101" s="107" t="n">
        <x:f>SUM(IF($B$8=2,CS25,0),IF($B$36=2,CS53,0),IF($B$64=2,CS81,0))</x:f>
        <x:v>0</x:v>
      </x:c>
      <x:c r="CT101" s="107" t="n">
        <x:f>SUM(IF($B$8=2,CT25,0),IF($B$36=2,CT53,0),IF($B$64=2,CT81,0))</x:f>
        <x:v>0</x:v>
      </x:c>
      <x:c r="CU101" s="107" t="n">
        <x:f>SUM(IF($B$8=2,CU25,0),IF($B$36=2,CU53,0),IF($B$64=2,CU81,0))</x:f>
        <x:v>0</x:v>
      </x:c>
      <x:c r="CV101" s="107" t="n">
        <x:f>SUM(IF($B$8=2,CV25,0),IF($B$36=2,CV53,0),IF($B$64=2,CV81,0))</x:f>
        <x:v>0</x:v>
      </x:c>
      <x:c r="CW101" s="107" t="n">
        <x:f>SUM(IF($B$8=2,CW25,0),IF($B$36=2,CW53,0),IF($B$64=2,CW81,0))</x:f>
        <x:v>0</x:v>
      </x:c>
      <x:c r="CX101" s="107" t="n">
        <x:f>SUM(IF($B$8=2,CX25,0),IF($B$36=2,CX53,0),IF($B$64=2,CX81,0))</x:f>
        <x:v>0</x:v>
      </x:c>
      <x:c r="CY101" s="107" t="n">
        <x:f>SUM(IF($B$8=2,CY25,0),IF($B$36=2,CY53,0),IF($B$64=2,CY81,0))</x:f>
        <x:v>0</x:v>
      </x:c>
      <x:c r="CZ101" s="107" t="n">
        <x:f>SUM(IF($B$8=2,CZ25,0),IF($B$36=2,CZ53,0),IF($B$64=2,CZ81,0))</x:f>
        <x:v>0</x:v>
      </x:c>
      <x:c r="DA101" s="107" t="n">
        <x:f>SUM(IF($B$8=2,DA25,0),IF($B$36=2,DA53,0),IF($B$64=2,DA81,0))</x:f>
        <x:v>0</x:v>
      </x:c>
      <x:c r="DB101" s="107" t="n">
        <x:f>SUM(IF($B$8=2,DB25,0),IF($B$36=2,DB53,0),IF($B$64=2,DB81,0))</x:f>
        <x:v>0</x:v>
      </x:c>
      <x:c r="DC101" s="107" t="n">
        <x:f>SUM(IF($B$8=2,DC25,0),IF($B$36=2,DC53,0),IF($B$64=2,DC81,0))</x:f>
        <x:v>0</x:v>
      </x:c>
      <x:c r="DD101" s="107" t="n">
        <x:f>SUM(IF($B$8=2,DD25,0),IF($B$36=2,DD53,0),IF($B$64=2,DD81,0))</x:f>
        <x:v>0</x:v>
      </x:c>
      <x:c r="DE101" s="107" t="n">
        <x:f>SUM(IF($B$8=2,DE25,0),IF($B$36=2,DE53,0),IF($B$64=2,DE81,0))</x:f>
        <x:v>0</x:v>
      </x:c>
      <x:c r="DF101" s="107" t="n">
        <x:f>SUM(IF($B$8=2,DF25,0),IF($B$36=2,DF53,0),IF($B$64=2,DF81,0))</x:f>
        <x:v>0</x:v>
      </x:c>
      <x:c r="DG101" s="107" t="n">
        <x:f>SUM(IF($B$8=2,DG25,0),IF($B$36=2,DG53,0),IF($B$64=2,DG81,0))</x:f>
        <x:v>0</x:v>
      </x:c>
      <x:c r="DH101" s="107" t="n">
        <x:f>SUM(IF($B$8=2,DH25,0),IF($B$36=2,DH53,0),IF($B$64=2,DH81,0))</x:f>
        <x:v>0</x:v>
      </x:c>
      <x:c r="DI101" s="107" t="n">
        <x:f>SUM(IF($B$8=2,DI25,0),IF($B$36=2,DI53,0),IF($B$64=2,DI81,0))</x:f>
        <x:v>0</x:v>
      </x:c>
      <x:c r="DJ101" s="107" t="n">
        <x:f>SUM(IF($B$8=2,DJ25,0),IF($B$36=2,DJ53,0),IF($B$64=2,DJ81,0))</x:f>
        <x:v>0</x:v>
      </x:c>
      <x:c r="DK101" s="107" t="n">
        <x:f>SUM(IF($B$8=2,DK25,0),IF($B$36=2,DK53,0),IF($B$64=2,DK81,0))</x:f>
        <x:v>0</x:v>
      </x:c>
      <x:c r="DL101" s="107" t="n">
        <x:f>SUM(IF($B$8=2,DL25,0),IF($B$36=2,DL53,0),IF($B$64=2,DL81,0))</x:f>
        <x:v>0</x:v>
      </x:c>
      <x:c r="DM101" s="107" t="n">
        <x:f>SUM(IF($B$8=2,DM25,0),IF($B$36=2,DM53,0),IF($B$64=2,DM81,0))</x:f>
        <x:v>0</x:v>
      </x:c>
      <x:c r="DN101" s="107" t="n">
        <x:f>SUM(IF($B$8=2,DN25,0),IF($B$36=2,DN53,0),IF($B$64=2,DN81,0))</x:f>
        <x:v>0</x:v>
      </x:c>
      <x:c r="DO101" s="107" t="n">
        <x:f>SUM(IF($B$8=2,DO25,0),IF($B$36=2,DO53,0),IF($B$64=2,DO81,0))</x:f>
        <x:v>0</x:v>
      </x:c>
      <x:c r="DP101" s="107" t="n">
        <x:f>SUM(IF($B$8=2,DP25,0),IF($B$36=2,DP53,0),IF($B$64=2,DP81,0))</x:f>
        <x:v>0</x:v>
      </x:c>
      <x:c r="DQ101" s="107" t="n">
        <x:f>SUM(IF($B$8=2,DQ25,0),IF($B$36=2,DQ53,0),IF($B$64=2,DQ81,0))</x:f>
        <x:v>0</x:v>
      </x:c>
      <x:c r="DR101" s="107" t="n">
        <x:f>SUM(IF($B$8=2,DR25,0),IF($B$36=2,DR53,0),IF($B$64=2,DR81,0))</x:f>
        <x:v>0</x:v>
      </x:c>
      <x:c r="DS101" s="107" t="n">
        <x:f>SUM(IF($B$8=2,DS25,0),IF($B$36=2,DS53,0),IF($B$64=2,DS81,0))</x:f>
        <x:v>0</x:v>
      </x:c>
    </x:row>
    <x:row r="102">
      <x:c r="A102" t="str">
        <x:v>Очередь 2 — Прямые поступления объектов</x:v>
      </x:c>
      <x:c r="B102" s="107" t="n">
        <x:f>SUM(D102:DS102)</x:f>
        <x:v>0</x:v>
      </x:c>
      <x:c r="C102" t="str">
        <x:v>млн ₽</x:v>
      </x:c>
      <x:c r="D102" s="107" t="n">
        <x:f>SUM(IF($B$8=2,D26,0),IF($B$36=2,D54,0),IF($B$64=2,D82,0))</x:f>
        <x:v>0</x:v>
      </x:c>
      <x:c r="E102" s="107" t="n">
        <x:f>SUM(IF($B$8=2,E26,0),IF($B$36=2,E54,0),IF($B$64=2,E82,0))</x:f>
        <x:v>0</x:v>
      </x:c>
      <x:c r="F102" s="107" t="n">
        <x:f>SUM(IF($B$8=2,F26,0),IF($B$36=2,F54,0),IF($B$64=2,F82,0))</x:f>
        <x:v>0</x:v>
      </x:c>
      <x:c r="G102" s="107" t="n">
        <x:f>SUM(IF($B$8=2,G26,0),IF($B$36=2,G54,0),IF($B$64=2,G82,0))</x:f>
        <x:v>0</x:v>
      </x:c>
      <x:c r="H102" s="107" t="n">
        <x:f>SUM(IF($B$8=2,H26,0),IF($B$36=2,H54,0),IF($B$64=2,H82,0))</x:f>
        <x:v>0</x:v>
      </x:c>
      <x:c r="I102" s="107" t="n">
        <x:f>SUM(IF($B$8=2,I26,0),IF($B$36=2,I54,0),IF($B$64=2,I82,0))</x:f>
        <x:v>0</x:v>
      </x:c>
      <x:c r="J102" s="107" t="n">
        <x:f>SUM(IF($B$8=2,J26,0),IF($B$36=2,J54,0),IF($B$64=2,J82,0))</x:f>
        <x:v>0</x:v>
      </x:c>
      <x:c r="K102" s="107" t="n">
        <x:f>SUM(IF($B$8=2,K26,0),IF($B$36=2,K54,0),IF($B$64=2,K82,0))</x:f>
        <x:v>0</x:v>
      </x:c>
      <x:c r="L102" s="107" t="n">
        <x:f>SUM(IF($B$8=2,L26,0),IF($B$36=2,L54,0),IF($B$64=2,L82,0))</x:f>
        <x:v>0</x:v>
      </x:c>
      <x:c r="M102" s="107" t="n">
        <x:f>SUM(IF($B$8=2,M26,0),IF($B$36=2,M54,0),IF($B$64=2,M82,0))</x:f>
        <x:v>0</x:v>
      </x:c>
      <x:c r="N102" s="107" t="n">
        <x:f>SUM(IF($B$8=2,N26,0),IF($B$36=2,N54,0),IF($B$64=2,N82,0))</x:f>
        <x:v>0</x:v>
      </x:c>
      <x:c r="O102" s="107" t="n">
        <x:f>SUM(IF($B$8=2,O26,0),IF($B$36=2,O54,0),IF($B$64=2,O82,0))</x:f>
        <x:v>0</x:v>
      </x:c>
      <x:c r="P102" s="107" t="n">
        <x:f>SUM(IF($B$8=2,P26,0),IF($B$36=2,P54,0),IF($B$64=2,P82,0))</x:f>
        <x:v>0</x:v>
      </x:c>
      <x:c r="Q102" s="107" t="n">
        <x:f>SUM(IF($B$8=2,Q26,0),IF($B$36=2,Q54,0),IF($B$64=2,Q82,0))</x:f>
        <x:v>0</x:v>
      </x:c>
      <x:c r="R102" s="107" t="n">
        <x:f>SUM(IF($B$8=2,R26,0),IF($B$36=2,R54,0),IF($B$64=2,R82,0))</x:f>
        <x:v>0</x:v>
      </x:c>
      <x:c r="S102" s="107" t="n">
        <x:f>SUM(IF($B$8=2,S26,0),IF($B$36=2,S54,0),IF($B$64=2,S82,0))</x:f>
        <x:v>0</x:v>
      </x:c>
      <x:c r="T102" s="107" t="n">
        <x:f>SUM(IF($B$8=2,T26,0),IF($B$36=2,T54,0),IF($B$64=2,T82,0))</x:f>
        <x:v>0</x:v>
      </x:c>
      <x:c r="U102" s="107" t="n">
        <x:f>SUM(IF($B$8=2,U26,0),IF($B$36=2,U54,0),IF($B$64=2,U82,0))</x:f>
        <x:v>0</x:v>
      </x:c>
      <x:c r="V102" s="107" t="n">
        <x:f>SUM(IF($B$8=2,V26,0),IF($B$36=2,V54,0),IF($B$64=2,V82,0))</x:f>
        <x:v>0</x:v>
      </x:c>
      <x:c r="W102" s="107" t="n">
        <x:f>SUM(IF($B$8=2,W26,0),IF($B$36=2,W54,0),IF($B$64=2,W82,0))</x:f>
        <x:v>0</x:v>
      </x:c>
      <x:c r="X102" s="107" t="n">
        <x:f>SUM(IF($B$8=2,X26,0),IF($B$36=2,X54,0),IF($B$64=2,X82,0))</x:f>
        <x:v>0</x:v>
      </x:c>
      <x:c r="Y102" s="107" t="n">
        <x:f>SUM(IF($B$8=2,Y26,0),IF($B$36=2,Y54,0),IF($B$64=2,Y82,0))</x:f>
        <x:v>0</x:v>
      </x:c>
      <x:c r="Z102" s="107" t="n">
        <x:f>SUM(IF($B$8=2,Z26,0),IF($B$36=2,Z54,0),IF($B$64=2,Z82,0))</x:f>
        <x:v>0</x:v>
      </x:c>
      <x:c r="AA102" s="107" t="n">
        <x:f>SUM(IF($B$8=2,AA26,0),IF($B$36=2,AA54,0),IF($B$64=2,AA82,0))</x:f>
        <x:v>0</x:v>
      </x:c>
      <x:c r="AB102" s="107" t="n">
        <x:f>SUM(IF($B$8=2,AB26,0),IF($B$36=2,AB54,0),IF($B$64=2,AB82,0))</x:f>
        <x:v>0</x:v>
      </x:c>
      <x:c r="AC102" s="107" t="n">
        <x:f>SUM(IF($B$8=2,AC26,0),IF($B$36=2,AC54,0),IF($B$64=2,AC82,0))</x:f>
        <x:v>0</x:v>
      </x:c>
      <x:c r="AD102" s="107" t="n">
        <x:f>SUM(IF($B$8=2,AD26,0),IF($B$36=2,AD54,0),IF($B$64=2,AD82,0))</x:f>
        <x:v>0</x:v>
      </x:c>
      <x:c r="AE102" s="107" t="n">
        <x:f>SUM(IF($B$8=2,AE26,0),IF($B$36=2,AE54,0),IF($B$64=2,AE82,0))</x:f>
        <x:v>0</x:v>
      </x:c>
      <x:c r="AF102" s="107" t="n">
        <x:f>SUM(IF($B$8=2,AF26,0),IF($B$36=2,AF54,0),IF($B$64=2,AF82,0))</x:f>
        <x:v>0</x:v>
      </x:c>
      <x:c r="AG102" s="107" t="n">
        <x:f>SUM(IF($B$8=2,AG26,0),IF($B$36=2,AG54,0),IF($B$64=2,AG82,0))</x:f>
        <x:v>0</x:v>
      </x:c>
      <x:c r="AH102" s="107" t="n">
        <x:f>SUM(IF($B$8=2,AH26,0),IF($B$36=2,AH54,0),IF($B$64=2,AH82,0))</x:f>
        <x:v>0</x:v>
      </x:c>
      <x:c r="AI102" s="107" t="n">
        <x:f>SUM(IF($B$8=2,AI26,0),IF($B$36=2,AI54,0),IF($B$64=2,AI82,0))</x:f>
        <x:v>0</x:v>
      </x:c>
      <x:c r="AJ102" s="107" t="n">
        <x:f>SUM(IF($B$8=2,AJ26,0),IF($B$36=2,AJ54,0),IF($B$64=2,AJ82,0))</x:f>
        <x:v>0</x:v>
      </x:c>
      <x:c r="AK102" s="107" t="n">
        <x:f>SUM(IF($B$8=2,AK26,0),IF($B$36=2,AK54,0),IF($B$64=2,AK82,0))</x:f>
        <x:v>0</x:v>
      </x:c>
      <x:c r="AL102" s="107" t="n">
        <x:f>SUM(IF($B$8=2,AL26,0),IF($B$36=2,AL54,0),IF($B$64=2,AL82,0))</x:f>
        <x:v>0</x:v>
      </x:c>
      <x:c r="AM102" s="107" t="n">
        <x:f>SUM(IF($B$8=2,AM26,0),IF($B$36=2,AM54,0),IF($B$64=2,AM82,0))</x:f>
        <x:v>0</x:v>
      </x:c>
      <x:c r="AN102" s="107" t="n">
        <x:f>SUM(IF($B$8=2,AN26,0),IF($B$36=2,AN54,0),IF($B$64=2,AN82,0))</x:f>
        <x:v>0</x:v>
      </x:c>
      <x:c r="AO102" s="107" t="n">
        <x:f>SUM(IF($B$8=2,AO26,0),IF($B$36=2,AO54,0),IF($B$64=2,AO82,0))</x:f>
        <x:v>0</x:v>
      </x:c>
      <x:c r="AP102" s="107" t="n">
        <x:f>SUM(IF($B$8=2,AP26,0),IF($B$36=2,AP54,0),IF($B$64=2,AP82,0))</x:f>
        <x:v>0</x:v>
      </x:c>
      <x:c r="AQ102" s="107" t="n">
        <x:f>SUM(IF($B$8=2,AQ26,0),IF($B$36=2,AQ54,0),IF($B$64=2,AQ82,0))</x:f>
        <x:v>0</x:v>
      </x:c>
      <x:c r="AR102" s="107" t="n">
        <x:f>SUM(IF($B$8=2,AR26,0),IF($B$36=2,AR54,0),IF($B$64=2,AR82,0))</x:f>
        <x:v>0</x:v>
      </x:c>
      <x:c r="AS102" s="107" t="n">
        <x:f>SUM(IF($B$8=2,AS26,0),IF($B$36=2,AS54,0),IF($B$64=2,AS82,0))</x:f>
        <x:v>0</x:v>
      </x:c>
      <x:c r="AT102" s="107" t="n">
        <x:f>SUM(IF($B$8=2,AT26,0),IF($B$36=2,AT54,0),IF($B$64=2,AT82,0))</x:f>
        <x:v>0</x:v>
      </x:c>
      <x:c r="AU102" s="107" t="n">
        <x:f>SUM(IF($B$8=2,AU26,0),IF($B$36=2,AU54,0),IF($B$64=2,AU82,0))</x:f>
        <x:v>0</x:v>
      </x:c>
      <x:c r="AV102" s="107" t="n">
        <x:f>SUM(IF($B$8=2,AV26,0),IF($B$36=2,AV54,0),IF($B$64=2,AV82,0))</x:f>
        <x:v>0</x:v>
      </x:c>
      <x:c r="AW102" s="107" t="n">
        <x:f>SUM(IF($B$8=2,AW26,0),IF($B$36=2,AW54,0),IF($B$64=2,AW82,0))</x:f>
        <x:v>0</x:v>
      </x:c>
      <x:c r="AX102" s="107" t="n">
        <x:f>SUM(IF($B$8=2,AX26,0),IF($B$36=2,AX54,0),IF($B$64=2,AX82,0))</x:f>
        <x:v>0</x:v>
      </x:c>
      <x:c r="AY102" s="107" t="n">
        <x:f>SUM(IF($B$8=2,AY26,0),IF($B$36=2,AY54,0),IF($B$64=2,AY82,0))</x:f>
        <x:v>0</x:v>
      </x:c>
      <x:c r="AZ102" s="107" t="n">
        <x:f>SUM(IF($B$8=2,AZ26,0),IF($B$36=2,AZ54,0),IF($B$64=2,AZ82,0))</x:f>
        <x:v>0</x:v>
      </x:c>
      <x:c r="BA102" s="107" t="n">
        <x:f>SUM(IF($B$8=2,BA26,0),IF($B$36=2,BA54,0),IF($B$64=2,BA82,0))</x:f>
        <x:v>0</x:v>
      </x:c>
      <x:c r="BB102" s="107" t="n">
        <x:f>SUM(IF($B$8=2,BB26,0),IF($B$36=2,BB54,0),IF($B$64=2,BB82,0))</x:f>
        <x:v>0</x:v>
      </x:c>
      <x:c r="BC102" s="107" t="n">
        <x:f>SUM(IF($B$8=2,BC26,0),IF($B$36=2,BC54,0),IF($B$64=2,BC82,0))</x:f>
        <x:v>0</x:v>
      </x:c>
      <x:c r="BD102" s="107" t="n">
        <x:f>SUM(IF($B$8=2,BD26,0),IF($B$36=2,BD54,0),IF($B$64=2,BD82,0))</x:f>
        <x:v>0</x:v>
      </x:c>
      <x:c r="BE102" s="107" t="n">
        <x:f>SUM(IF($B$8=2,BE26,0),IF($B$36=2,BE54,0),IF($B$64=2,BE82,0))</x:f>
        <x:v>0</x:v>
      </x:c>
      <x:c r="BF102" s="107" t="n">
        <x:f>SUM(IF($B$8=2,BF26,0),IF($B$36=2,BF54,0),IF($B$64=2,BF82,0))</x:f>
        <x:v>0</x:v>
      </x:c>
      <x:c r="BG102" s="107" t="n">
        <x:f>SUM(IF($B$8=2,BG26,0),IF($B$36=2,BG54,0),IF($B$64=2,BG82,0))</x:f>
        <x:v>0</x:v>
      </x:c>
      <x:c r="BH102" s="107" t="n">
        <x:f>SUM(IF($B$8=2,BH26,0),IF($B$36=2,BH54,0),IF($B$64=2,BH82,0))</x:f>
        <x:v>0</x:v>
      </x:c>
      <x:c r="BI102" s="107" t="n">
        <x:f>SUM(IF($B$8=2,BI26,0),IF($B$36=2,BI54,0),IF($B$64=2,BI82,0))</x:f>
        <x:v>0</x:v>
      </x:c>
      <x:c r="BJ102" s="107" t="n">
        <x:f>SUM(IF($B$8=2,BJ26,0),IF($B$36=2,BJ54,0),IF($B$64=2,BJ82,0))</x:f>
        <x:v>0</x:v>
      </x:c>
      <x:c r="BK102" s="107" t="n">
        <x:f>SUM(IF($B$8=2,BK26,0),IF($B$36=2,BK54,0),IF($B$64=2,BK82,0))</x:f>
        <x:v>0</x:v>
      </x:c>
      <x:c r="BL102" s="107" t="n">
        <x:f>SUM(IF($B$8=2,BL26,0),IF($B$36=2,BL54,0),IF($B$64=2,BL82,0))</x:f>
        <x:v>0</x:v>
      </x:c>
      <x:c r="BM102" s="107" t="n">
        <x:f>SUM(IF($B$8=2,BM26,0),IF($B$36=2,BM54,0),IF($B$64=2,BM82,0))</x:f>
        <x:v>0</x:v>
      </x:c>
      <x:c r="BN102" s="107" t="n">
        <x:f>SUM(IF($B$8=2,BN26,0),IF($B$36=2,BN54,0),IF($B$64=2,BN82,0))</x:f>
        <x:v>0</x:v>
      </x:c>
      <x:c r="BO102" s="107" t="n">
        <x:f>SUM(IF($B$8=2,BO26,0),IF($B$36=2,BO54,0),IF($B$64=2,BO82,0))</x:f>
        <x:v>0</x:v>
      </x:c>
      <x:c r="BP102" s="107" t="n">
        <x:f>SUM(IF($B$8=2,BP26,0),IF($B$36=2,BP54,0),IF($B$64=2,BP82,0))</x:f>
        <x:v>0</x:v>
      </x:c>
      <x:c r="BQ102" s="107" t="n">
        <x:f>SUM(IF($B$8=2,BQ26,0),IF($B$36=2,BQ54,0),IF($B$64=2,BQ82,0))</x:f>
        <x:v>0</x:v>
      </x:c>
      <x:c r="BR102" s="107" t="n">
        <x:f>SUM(IF($B$8=2,BR26,0),IF($B$36=2,BR54,0),IF($B$64=2,BR82,0))</x:f>
        <x:v>0</x:v>
      </x:c>
      <x:c r="BS102" s="107" t="n">
        <x:f>SUM(IF($B$8=2,BS26,0),IF($B$36=2,BS54,0),IF($B$64=2,BS82,0))</x:f>
        <x:v>0</x:v>
      </x:c>
      <x:c r="BT102" s="107" t="n">
        <x:f>SUM(IF($B$8=2,BT26,0),IF($B$36=2,BT54,0),IF($B$64=2,BT82,0))</x:f>
        <x:v>0</x:v>
      </x:c>
      <x:c r="BU102" s="107" t="n">
        <x:f>SUM(IF($B$8=2,BU26,0),IF($B$36=2,BU54,0),IF($B$64=2,BU82,0))</x:f>
        <x:v>0</x:v>
      </x:c>
      <x:c r="BV102" s="107" t="n">
        <x:f>SUM(IF($B$8=2,BV26,0),IF($B$36=2,BV54,0),IF($B$64=2,BV82,0))</x:f>
        <x:v>0</x:v>
      </x:c>
      <x:c r="BW102" s="107" t="n">
        <x:f>SUM(IF($B$8=2,BW26,0),IF($B$36=2,BW54,0),IF($B$64=2,BW82,0))</x:f>
        <x:v>0</x:v>
      </x:c>
      <x:c r="BX102" s="107" t="n">
        <x:f>SUM(IF($B$8=2,BX26,0),IF($B$36=2,BX54,0),IF($B$64=2,BX82,0))</x:f>
        <x:v>0</x:v>
      </x:c>
      <x:c r="BY102" s="107" t="n">
        <x:f>SUM(IF($B$8=2,BY26,0),IF($B$36=2,BY54,0),IF($B$64=2,BY82,0))</x:f>
        <x:v>0</x:v>
      </x:c>
      <x:c r="BZ102" s="107" t="n">
        <x:f>SUM(IF($B$8=2,BZ26,0),IF($B$36=2,BZ54,0),IF($B$64=2,BZ82,0))</x:f>
        <x:v>0</x:v>
      </x:c>
      <x:c r="CA102" s="107" t="n">
        <x:f>SUM(IF($B$8=2,CA26,0),IF($B$36=2,CA54,0),IF($B$64=2,CA82,0))</x:f>
        <x:v>0</x:v>
      </x:c>
      <x:c r="CB102" s="107" t="n">
        <x:f>SUM(IF($B$8=2,CB26,0),IF($B$36=2,CB54,0),IF($B$64=2,CB82,0))</x:f>
        <x:v>0</x:v>
      </x:c>
      <x:c r="CC102" s="107" t="n">
        <x:f>SUM(IF($B$8=2,CC26,0),IF($B$36=2,CC54,0),IF($B$64=2,CC82,0))</x:f>
        <x:v>0</x:v>
      </x:c>
      <x:c r="CD102" s="107" t="n">
        <x:f>SUM(IF($B$8=2,CD26,0),IF($B$36=2,CD54,0),IF($B$64=2,CD82,0))</x:f>
        <x:v>0</x:v>
      </x:c>
      <x:c r="CE102" s="107" t="n">
        <x:f>SUM(IF($B$8=2,CE26,0),IF($B$36=2,CE54,0),IF($B$64=2,CE82,0))</x:f>
        <x:v>0</x:v>
      </x:c>
      <x:c r="CF102" s="107" t="n">
        <x:f>SUM(IF($B$8=2,CF26,0),IF($B$36=2,CF54,0),IF($B$64=2,CF82,0))</x:f>
        <x:v>0</x:v>
      </x:c>
      <x:c r="CG102" s="107" t="n">
        <x:f>SUM(IF($B$8=2,CG26,0),IF($B$36=2,CG54,0),IF($B$64=2,CG82,0))</x:f>
        <x:v>0</x:v>
      </x:c>
      <x:c r="CH102" s="107" t="n">
        <x:f>SUM(IF($B$8=2,CH26,0),IF($B$36=2,CH54,0),IF($B$64=2,CH82,0))</x:f>
        <x:v>0</x:v>
      </x:c>
      <x:c r="CI102" s="107" t="n">
        <x:f>SUM(IF($B$8=2,CI26,0),IF($B$36=2,CI54,0),IF($B$64=2,CI82,0))</x:f>
        <x:v>0</x:v>
      </x:c>
      <x:c r="CJ102" s="107" t="n">
        <x:f>SUM(IF($B$8=2,CJ26,0),IF($B$36=2,CJ54,0),IF($B$64=2,CJ82,0))</x:f>
        <x:v>0</x:v>
      </x:c>
      <x:c r="CK102" s="107" t="n">
        <x:f>SUM(IF($B$8=2,CK26,0),IF($B$36=2,CK54,0),IF($B$64=2,CK82,0))</x:f>
        <x:v>0</x:v>
      </x:c>
      <x:c r="CL102" s="107" t="n">
        <x:f>SUM(IF($B$8=2,CL26,0),IF($B$36=2,CL54,0),IF($B$64=2,CL82,0))</x:f>
        <x:v>0</x:v>
      </x:c>
      <x:c r="CM102" s="107" t="n">
        <x:f>SUM(IF($B$8=2,CM26,0),IF($B$36=2,CM54,0),IF($B$64=2,CM82,0))</x:f>
        <x:v>0</x:v>
      </x:c>
      <x:c r="CN102" s="107" t="n">
        <x:f>SUM(IF($B$8=2,CN26,0),IF($B$36=2,CN54,0),IF($B$64=2,CN82,0))</x:f>
        <x:v>0</x:v>
      </x:c>
      <x:c r="CO102" s="107" t="n">
        <x:f>SUM(IF($B$8=2,CO26,0),IF($B$36=2,CO54,0),IF($B$64=2,CO82,0))</x:f>
        <x:v>0</x:v>
      </x:c>
      <x:c r="CP102" s="107" t="n">
        <x:f>SUM(IF($B$8=2,CP26,0),IF($B$36=2,CP54,0),IF($B$64=2,CP82,0))</x:f>
        <x:v>0</x:v>
      </x:c>
      <x:c r="CQ102" s="107" t="n">
        <x:f>SUM(IF($B$8=2,CQ26,0),IF($B$36=2,CQ54,0),IF($B$64=2,CQ82,0))</x:f>
        <x:v>0</x:v>
      </x:c>
      <x:c r="CR102" s="107" t="n">
        <x:f>SUM(IF($B$8=2,CR26,0),IF($B$36=2,CR54,0),IF($B$64=2,CR82,0))</x:f>
        <x:v>0</x:v>
      </x:c>
      <x:c r="CS102" s="107" t="n">
        <x:f>SUM(IF($B$8=2,CS26,0),IF($B$36=2,CS54,0),IF($B$64=2,CS82,0))</x:f>
        <x:v>0</x:v>
      </x:c>
      <x:c r="CT102" s="107" t="n">
        <x:f>SUM(IF($B$8=2,CT26,0),IF($B$36=2,CT54,0),IF($B$64=2,CT82,0))</x:f>
        <x:v>0</x:v>
      </x:c>
      <x:c r="CU102" s="107" t="n">
        <x:f>SUM(IF($B$8=2,CU26,0),IF($B$36=2,CU54,0),IF($B$64=2,CU82,0))</x:f>
        <x:v>0</x:v>
      </x:c>
      <x:c r="CV102" s="107" t="n">
        <x:f>SUM(IF($B$8=2,CV26,0),IF($B$36=2,CV54,0),IF($B$64=2,CV82,0))</x:f>
        <x:v>0</x:v>
      </x:c>
      <x:c r="CW102" s="107" t="n">
        <x:f>SUM(IF($B$8=2,CW26,0),IF($B$36=2,CW54,0),IF($B$64=2,CW82,0))</x:f>
        <x:v>0</x:v>
      </x:c>
      <x:c r="CX102" s="107" t="n">
        <x:f>SUM(IF($B$8=2,CX26,0),IF($B$36=2,CX54,0),IF($B$64=2,CX82,0))</x:f>
        <x:v>0</x:v>
      </x:c>
      <x:c r="CY102" s="107" t="n">
        <x:f>SUM(IF($B$8=2,CY26,0),IF($B$36=2,CY54,0),IF($B$64=2,CY82,0))</x:f>
        <x:v>0</x:v>
      </x:c>
      <x:c r="CZ102" s="107" t="n">
        <x:f>SUM(IF($B$8=2,CZ26,0),IF($B$36=2,CZ54,0),IF($B$64=2,CZ82,0))</x:f>
        <x:v>0</x:v>
      </x:c>
      <x:c r="DA102" s="107" t="n">
        <x:f>SUM(IF($B$8=2,DA26,0),IF($B$36=2,DA54,0),IF($B$64=2,DA82,0))</x:f>
        <x:v>0</x:v>
      </x:c>
      <x:c r="DB102" s="107" t="n">
        <x:f>SUM(IF($B$8=2,DB26,0),IF($B$36=2,DB54,0),IF($B$64=2,DB82,0))</x:f>
        <x:v>0</x:v>
      </x:c>
      <x:c r="DC102" s="107" t="n">
        <x:f>SUM(IF($B$8=2,DC26,0),IF($B$36=2,DC54,0),IF($B$64=2,DC82,0))</x:f>
        <x:v>0</x:v>
      </x:c>
      <x:c r="DD102" s="107" t="n">
        <x:f>SUM(IF($B$8=2,DD26,0),IF($B$36=2,DD54,0),IF($B$64=2,DD82,0))</x:f>
        <x:v>0</x:v>
      </x:c>
      <x:c r="DE102" s="107" t="n">
        <x:f>SUM(IF($B$8=2,DE26,0),IF($B$36=2,DE54,0),IF($B$64=2,DE82,0))</x:f>
        <x:v>0</x:v>
      </x:c>
      <x:c r="DF102" s="107" t="n">
        <x:f>SUM(IF($B$8=2,DF26,0),IF($B$36=2,DF54,0),IF($B$64=2,DF82,0))</x:f>
        <x:v>0</x:v>
      </x:c>
      <x:c r="DG102" s="107" t="n">
        <x:f>SUM(IF($B$8=2,DG26,0),IF($B$36=2,DG54,0),IF($B$64=2,DG82,0))</x:f>
        <x:v>0</x:v>
      </x:c>
      <x:c r="DH102" s="107" t="n">
        <x:f>SUM(IF($B$8=2,DH26,0),IF($B$36=2,DH54,0),IF($B$64=2,DH82,0))</x:f>
        <x:v>0</x:v>
      </x:c>
      <x:c r="DI102" s="107" t="n">
        <x:f>SUM(IF($B$8=2,DI26,0),IF($B$36=2,DI54,0),IF($B$64=2,DI82,0))</x:f>
        <x:v>0</x:v>
      </x:c>
      <x:c r="DJ102" s="107" t="n">
        <x:f>SUM(IF($B$8=2,DJ26,0),IF($B$36=2,DJ54,0),IF($B$64=2,DJ82,0))</x:f>
        <x:v>0</x:v>
      </x:c>
      <x:c r="DK102" s="107" t="n">
        <x:f>SUM(IF($B$8=2,DK26,0),IF($B$36=2,DK54,0),IF($B$64=2,DK82,0))</x:f>
        <x:v>0</x:v>
      </x:c>
      <x:c r="DL102" s="107" t="n">
        <x:f>SUM(IF($B$8=2,DL26,0),IF($B$36=2,DL54,0),IF($B$64=2,DL82,0))</x:f>
        <x:v>0</x:v>
      </x:c>
      <x:c r="DM102" s="107" t="n">
        <x:f>SUM(IF($B$8=2,DM26,0),IF($B$36=2,DM54,0),IF($B$64=2,DM82,0))</x:f>
        <x:v>0</x:v>
      </x:c>
      <x:c r="DN102" s="107" t="n">
        <x:f>SUM(IF($B$8=2,DN26,0),IF($B$36=2,DN54,0),IF($B$64=2,DN82,0))</x:f>
        <x:v>0</x:v>
      </x:c>
      <x:c r="DO102" s="107" t="n">
        <x:f>SUM(IF($B$8=2,DO26,0),IF($B$36=2,DO54,0),IF($B$64=2,DO82,0))</x:f>
        <x:v>0</x:v>
      </x:c>
      <x:c r="DP102" s="107" t="n">
        <x:f>SUM(IF($B$8=2,DP26,0),IF($B$36=2,DP54,0),IF($B$64=2,DP82,0))</x:f>
        <x:v>0</x:v>
      </x:c>
      <x:c r="DQ102" s="107" t="n">
        <x:f>SUM(IF($B$8=2,DQ26,0),IF($B$36=2,DQ54,0),IF($B$64=2,DQ82,0))</x:f>
        <x:v>0</x:v>
      </x:c>
      <x:c r="DR102" s="107" t="n">
        <x:f>SUM(IF($B$8=2,DR26,0),IF($B$36=2,DR54,0),IF($B$64=2,DR82,0))</x:f>
        <x:v>0</x:v>
      </x:c>
      <x:c r="DS102" s="107" t="n">
        <x:f>SUM(IF($B$8=2,DS26,0),IF($B$36=2,DS54,0),IF($B$64=2,DS82,0))</x:f>
        <x:v>0</x:v>
      </x:c>
    </x:row>
    <x:row r="103">
      <x:c r="A103" t="str">
        <x:v>Очередь 2 — Раскрытие эскроу объектов</x:v>
      </x:c>
      <x:c r="B103" s="107" t="n">
        <x:f>SUM(D103:DS103)</x:f>
        <x:v>0</x:v>
      </x:c>
      <x:c r="C103" t="str">
        <x:v>млн ₽</x:v>
      </x:c>
      <x:c r="D103" s="107" t="n">
        <x:f>SUM(IF($B$8=2,D27,0),IF($B$36=2,D55,0),IF($B$64=2,D83,0))</x:f>
        <x:v>0</x:v>
      </x:c>
      <x:c r="E103" s="107" t="n">
        <x:f>SUM(IF($B$8=2,E27,0),IF($B$36=2,E55,0),IF($B$64=2,E83,0))</x:f>
        <x:v>0</x:v>
      </x:c>
      <x:c r="F103" s="107" t="n">
        <x:f>SUM(IF($B$8=2,F27,0),IF($B$36=2,F55,0),IF($B$64=2,F83,0))</x:f>
        <x:v>0</x:v>
      </x:c>
      <x:c r="G103" s="107" t="n">
        <x:f>SUM(IF($B$8=2,G27,0),IF($B$36=2,G55,0),IF($B$64=2,G83,0))</x:f>
        <x:v>0</x:v>
      </x:c>
      <x:c r="H103" s="107" t="n">
        <x:f>SUM(IF($B$8=2,H27,0),IF($B$36=2,H55,0),IF($B$64=2,H83,0))</x:f>
        <x:v>0</x:v>
      </x:c>
      <x:c r="I103" s="107" t="n">
        <x:f>SUM(IF($B$8=2,I27,0),IF($B$36=2,I55,0),IF($B$64=2,I83,0))</x:f>
        <x:v>0</x:v>
      </x:c>
      <x:c r="J103" s="107" t="n">
        <x:f>SUM(IF($B$8=2,J27,0),IF($B$36=2,J55,0),IF($B$64=2,J83,0))</x:f>
        <x:v>0</x:v>
      </x:c>
      <x:c r="K103" s="107" t="n">
        <x:f>SUM(IF($B$8=2,K27,0),IF($B$36=2,K55,0),IF($B$64=2,K83,0))</x:f>
        <x:v>0</x:v>
      </x:c>
      <x:c r="L103" s="107" t="n">
        <x:f>SUM(IF($B$8=2,L27,0),IF($B$36=2,L55,0),IF($B$64=2,L83,0))</x:f>
        <x:v>0</x:v>
      </x:c>
      <x:c r="M103" s="107" t="n">
        <x:f>SUM(IF($B$8=2,M27,0),IF($B$36=2,M55,0),IF($B$64=2,M83,0))</x:f>
        <x:v>0</x:v>
      </x:c>
      <x:c r="N103" s="107" t="n">
        <x:f>SUM(IF($B$8=2,N27,0),IF($B$36=2,N55,0),IF($B$64=2,N83,0))</x:f>
        <x:v>0</x:v>
      </x:c>
      <x:c r="O103" s="107" t="n">
        <x:f>SUM(IF($B$8=2,O27,0),IF($B$36=2,O55,0),IF($B$64=2,O83,0))</x:f>
        <x:v>0</x:v>
      </x:c>
      <x:c r="P103" s="107" t="n">
        <x:f>SUM(IF($B$8=2,P27,0),IF($B$36=2,P55,0),IF($B$64=2,P83,0))</x:f>
        <x:v>0</x:v>
      </x:c>
      <x:c r="Q103" s="107" t="n">
        <x:f>SUM(IF($B$8=2,Q27,0),IF($B$36=2,Q55,0),IF($B$64=2,Q83,0))</x:f>
        <x:v>0</x:v>
      </x:c>
      <x:c r="R103" s="107" t="n">
        <x:f>SUM(IF($B$8=2,R27,0),IF($B$36=2,R55,0),IF($B$64=2,R83,0))</x:f>
        <x:v>0</x:v>
      </x:c>
      <x:c r="S103" s="107" t="n">
        <x:f>SUM(IF($B$8=2,S27,0),IF($B$36=2,S55,0),IF($B$64=2,S83,0))</x:f>
        <x:v>0</x:v>
      </x:c>
      <x:c r="T103" s="107" t="n">
        <x:f>SUM(IF($B$8=2,T27,0),IF($B$36=2,T55,0),IF($B$64=2,T83,0))</x:f>
        <x:v>0</x:v>
      </x:c>
      <x:c r="U103" s="107" t="n">
        <x:f>SUM(IF($B$8=2,U27,0),IF($B$36=2,U55,0),IF($B$64=2,U83,0))</x:f>
        <x:v>0</x:v>
      </x:c>
      <x:c r="V103" s="107" t="n">
        <x:f>SUM(IF($B$8=2,V27,0),IF($B$36=2,V55,0),IF($B$64=2,V83,0))</x:f>
        <x:v>0</x:v>
      </x:c>
      <x:c r="W103" s="107" t="n">
        <x:f>SUM(IF($B$8=2,W27,0),IF($B$36=2,W55,0),IF($B$64=2,W83,0))</x:f>
        <x:v>0</x:v>
      </x:c>
      <x:c r="X103" s="107" t="n">
        <x:f>SUM(IF($B$8=2,X27,0),IF($B$36=2,X55,0),IF($B$64=2,X83,0))</x:f>
        <x:v>0</x:v>
      </x:c>
      <x:c r="Y103" s="107" t="n">
        <x:f>SUM(IF($B$8=2,Y27,0),IF($B$36=2,Y55,0),IF($B$64=2,Y83,0))</x:f>
        <x:v>0</x:v>
      </x:c>
      <x:c r="Z103" s="107" t="n">
        <x:f>SUM(IF($B$8=2,Z27,0),IF($B$36=2,Z55,0),IF($B$64=2,Z83,0))</x:f>
        <x:v>0</x:v>
      </x:c>
      <x:c r="AA103" s="107" t="n">
        <x:f>SUM(IF($B$8=2,AA27,0),IF($B$36=2,AA55,0),IF($B$64=2,AA83,0))</x:f>
        <x:v>0</x:v>
      </x:c>
      <x:c r="AB103" s="107" t="n">
        <x:f>SUM(IF($B$8=2,AB27,0),IF($B$36=2,AB55,0),IF($B$64=2,AB83,0))</x:f>
        <x:v>0</x:v>
      </x:c>
      <x:c r="AC103" s="107" t="n">
        <x:f>SUM(IF($B$8=2,AC27,0),IF($B$36=2,AC55,0),IF($B$64=2,AC83,0))</x:f>
        <x:v>0</x:v>
      </x:c>
      <x:c r="AD103" s="107" t="n">
        <x:f>SUM(IF($B$8=2,AD27,0),IF($B$36=2,AD55,0),IF($B$64=2,AD83,0))</x:f>
        <x:v>0</x:v>
      </x:c>
      <x:c r="AE103" s="107" t="n">
        <x:f>SUM(IF($B$8=2,AE27,0),IF($B$36=2,AE55,0),IF($B$64=2,AE83,0))</x:f>
        <x:v>0</x:v>
      </x:c>
      <x:c r="AF103" s="107" t="n">
        <x:f>SUM(IF($B$8=2,AF27,0),IF($B$36=2,AF55,0),IF($B$64=2,AF83,0))</x:f>
        <x:v>0</x:v>
      </x:c>
      <x:c r="AG103" s="107" t="n">
        <x:f>SUM(IF($B$8=2,AG27,0),IF($B$36=2,AG55,0),IF($B$64=2,AG83,0))</x:f>
        <x:v>0</x:v>
      </x:c>
      <x:c r="AH103" s="107" t="n">
        <x:f>SUM(IF($B$8=2,AH27,0),IF($B$36=2,AH55,0),IF($B$64=2,AH83,0))</x:f>
        <x:v>0</x:v>
      </x:c>
      <x:c r="AI103" s="107" t="n">
        <x:f>SUM(IF($B$8=2,AI27,0),IF($B$36=2,AI55,0),IF($B$64=2,AI83,0))</x:f>
        <x:v>0</x:v>
      </x:c>
      <x:c r="AJ103" s="107" t="n">
        <x:f>SUM(IF($B$8=2,AJ27,0),IF($B$36=2,AJ55,0),IF($B$64=2,AJ83,0))</x:f>
        <x:v>0</x:v>
      </x:c>
      <x:c r="AK103" s="107" t="n">
        <x:f>SUM(IF($B$8=2,AK27,0),IF($B$36=2,AK55,0),IF($B$64=2,AK83,0))</x:f>
        <x:v>0</x:v>
      </x:c>
      <x:c r="AL103" s="107" t="n">
        <x:f>SUM(IF($B$8=2,AL27,0),IF($B$36=2,AL55,0),IF($B$64=2,AL83,0))</x:f>
        <x:v>0</x:v>
      </x:c>
      <x:c r="AM103" s="107" t="n">
        <x:f>SUM(IF($B$8=2,AM27,0),IF($B$36=2,AM55,0),IF($B$64=2,AM83,0))</x:f>
        <x:v>0</x:v>
      </x:c>
      <x:c r="AN103" s="107" t="n">
        <x:f>SUM(IF($B$8=2,AN27,0),IF($B$36=2,AN55,0),IF($B$64=2,AN83,0))</x:f>
        <x:v>0</x:v>
      </x:c>
      <x:c r="AO103" s="107" t="n">
        <x:f>SUM(IF($B$8=2,AO27,0),IF($B$36=2,AO55,0),IF($B$64=2,AO83,0))</x:f>
        <x:v>0</x:v>
      </x:c>
      <x:c r="AP103" s="107" t="n">
        <x:f>SUM(IF($B$8=2,AP27,0),IF($B$36=2,AP55,0),IF($B$64=2,AP83,0))</x:f>
        <x:v>0</x:v>
      </x:c>
      <x:c r="AQ103" s="107" t="n">
        <x:f>SUM(IF($B$8=2,AQ27,0),IF($B$36=2,AQ55,0),IF($B$64=2,AQ83,0))</x:f>
        <x:v>0</x:v>
      </x:c>
      <x:c r="AR103" s="107" t="n">
        <x:f>SUM(IF($B$8=2,AR27,0),IF($B$36=2,AR55,0),IF($B$64=2,AR83,0))</x:f>
        <x:v>0</x:v>
      </x:c>
      <x:c r="AS103" s="107" t="n">
        <x:f>SUM(IF($B$8=2,AS27,0),IF($B$36=2,AS55,0),IF($B$64=2,AS83,0))</x:f>
        <x:v>0</x:v>
      </x:c>
      <x:c r="AT103" s="107" t="n">
        <x:f>SUM(IF($B$8=2,AT27,0),IF($B$36=2,AT55,0),IF($B$64=2,AT83,0))</x:f>
        <x:v>0</x:v>
      </x:c>
      <x:c r="AU103" s="107" t="n">
        <x:f>SUM(IF($B$8=2,AU27,0),IF($B$36=2,AU55,0),IF($B$64=2,AU83,0))</x:f>
        <x:v>0</x:v>
      </x:c>
      <x:c r="AV103" s="107" t="n">
        <x:f>SUM(IF($B$8=2,AV27,0),IF($B$36=2,AV55,0),IF($B$64=2,AV83,0))</x:f>
        <x:v>0</x:v>
      </x:c>
      <x:c r="AW103" s="107" t="n">
        <x:f>SUM(IF($B$8=2,AW27,0),IF($B$36=2,AW55,0),IF($B$64=2,AW83,0))</x:f>
        <x:v>0</x:v>
      </x:c>
      <x:c r="AX103" s="107" t="n">
        <x:f>SUM(IF($B$8=2,AX27,0),IF($B$36=2,AX55,0),IF($B$64=2,AX83,0))</x:f>
        <x:v>0</x:v>
      </x:c>
      <x:c r="AY103" s="107" t="n">
        <x:f>SUM(IF($B$8=2,AY27,0),IF($B$36=2,AY55,0),IF($B$64=2,AY83,0))</x:f>
        <x:v>0</x:v>
      </x:c>
      <x:c r="AZ103" s="107" t="n">
        <x:f>SUM(IF($B$8=2,AZ27,0),IF($B$36=2,AZ55,0),IF($B$64=2,AZ83,0))</x:f>
        <x:v>0</x:v>
      </x:c>
      <x:c r="BA103" s="107" t="n">
        <x:f>SUM(IF($B$8=2,BA27,0),IF($B$36=2,BA55,0),IF($B$64=2,BA83,0))</x:f>
        <x:v>0</x:v>
      </x:c>
      <x:c r="BB103" s="107" t="n">
        <x:f>SUM(IF($B$8=2,BB27,0),IF($B$36=2,BB55,0),IF($B$64=2,BB83,0))</x:f>
        <x:v>0</x:v>
      </x:c>
      <x:c r="BC103" s="107" t="n">
        <x:f>SUM(IF($B$8=2,BC27,0),IF($B$36=2,BC55,0),IF($B$64=2,BC83,0))</x:f>
        <x:v>0</x:v>
      </x:c>
      <x:c r="BD103" s="107" t="n">
        <x:f>SUM(IF($B$8=2,BD27,0),IF($B$36=2,BD55,0),IF($B$64=2,BD83,0))</x:f>
        <x:v>0</x:v>
      </x:c>
      <x:c r="BE103" s="107" t="n">
        <x:f>SUM(IF($B$8=2,BE27,0),IF($B$36=2,BE55,0),IF($B$64=2,BE83,0))</x:f>
        <x:v>0</x:v>
      </x:c>
      <x:c r="BF103" s="107" t="n">
        <x:f>SUM(IF($B$8=2,BF27,0),IF($B$36=2,BF55,0),IF($B$64=2,BF83,0))</x:f>
        <x:v>0</x:v>
      </x:c>
      <x:c r="BG103" s="107" t="n">
        <x:f>SUM(IF($B$8=2,BG27,0),IF($B$36=2,BG55,0),IF($B$64=2,BG83,0))</x:f>
        <x:v>0</x:v>
      </x:c>
      <x:c r="BH103" s="107" t="n">
        <x:f>SUM(IF($B$8=2,BH27,0),IF($B$36=2,BH55,0),IF($B$64=2,BH83,0))</x:f>
        <x:v>0</x:v>
      </x:c>
      <x:c r="BI103" s="107" t="n">
        <x:f>SUM(IF($B$8=2,BI27,0),IF($B$36=2,BI55,0),IF($B$64=2,BI83,0))</x:f>
        <x:v>0</x:v>
      </x:c>
      <x:c r="BJ103" s="107" t="n">
        <x:f>SUM(IF($B$8=2,BJ27,0),IF($B$36=2,BJ55,0),IF($B$64=2,BJ83,0))</x:f>
        <x:v>0</x:v>
      </x:c>
      <x:c r="BK103" s="107" t="n">
        <x:f>SUM(IF($B$8=2,BK27,0),IF($B$36=2,BK55,0),IF($B$64=2,BK83,0))</x:f>
        <x:v>0</x:v>
      </x:c>
      <x:c r="BL103" s="107" t="n">
        <x:f>SUM(IF($B$8=2,BL27,0),IF($B$36=2,BL55,0),IF($B$64=2,BL83,0))</x:f>
        <x:v>0</x:v>
      </x:c>
      <x:c r="BM103" s="107" t="n">
        <x:f>SUM(IF($B$8=2,BM27,0),IF($B$36=2,BM55,0),IF($B$64=2,BM83,0))</x:f>
        <x:v>0</x:v>
      </x:c>
      <x:c r="BN103" s="107" t="n">
        <x:f>SUM(IF($B$8=2,BN27,0),IF($B$36=2,BN55,0),IF($B$64=2,BN83,0))</x:f>
        <x:v>0</x:v>
      </x:c>
      <x:c r="BO103" s="107" t="n">
        <x:f>SUM(IF($B$8=2,BO27,0),IF($B$36=2,BO55,0),IF($B$64=2,BO83,0))</x:f>
        <x:v>0</x:v>
      </x:c>
      <x:c r="BP103" s="107" t="n">
        <x:f>SUM(IF($B$8=2,BP27,0),IF($B$36=2,BP55,0),IF($B$64=2,BP83,0))</x:f>
        <x:v>0</x:v>
      </x:c>
      <x:c r="BQ103" s="107" t="n">
        <x:f>SUM(IF($B$8=2,BQ27,0),IF($B$36=2,BQ55,0),IF($B$64=2,BQ83,0))</x:f>
        <x:v>0</x:v>
      </x:c>
      <x:c r="BR103" s="107" t="n">
        <x:f>SUM(IF($B$8=2,BR27,0),IF($B$36=2,BR55,0),IF($B$64=2,BR83,0))</x:f>
        <x:v>0</x:v>
      </x:c>
      <x:c r="BS103" s="107" t="n">
        <x:f>SUM(IF($B$8=2,BS27,0),IF($B$36=2,BS55,0),IF($B$64=2,BS83,0))</x:f>
        <x:v>0</x:v>
      </x:c>
      <x:c r="BT103" s="107" t="n">
        <x:f>SUM(IF($B$8=2,BT27,0),IF($B$36=2,BT55,0),IF($B$64=2,BT83,0))</x:f>
        <x:v>0</x:v>
      </x:c>
      <x:c r="BU103" s="107" t="n">
        <x:f>SUM(IF($B$8=2,BU27,0),IF($B$36=2,BU55,0),IF($B$64=2,BU83,0))</x:f>
        <x:v>0</x:v>
      </x:c>
      <x:c r="BV103" s="107" t="n">
        <x:f>SUM(IF($B$8=2,BV27,0),IF($B$36=2,BV55,0),IF($B$64=2,BV83,0))</x:f>
        <x:v>0</x:v>
      </x:c>
      <x:c r="BW103" s="107" t="n">
        <x:f>SUM(IF($B$8=2,BW27,0),IF($B$36=2,BW55,0),IF($B$64=2,BW83,0))</x:f>
        <x:v>0</x:v>
      </x:c>
      <x:c r="BX103" s="107" t="n">
        <x:f>SUM(IF($B$8=2,BX27,0),IF($B$36=2,BX55,0),IF($B$64=2,BX83,0))</x:f>
        <x:v>0</x:v>
      </x:c>
      <x:c r="BY103" s="107" t="n">
        <x:f>SUM(IF($B$8=2,BY27,0),IF($B$36=2,BY55,0),IF($B$64=2,BY83,0))</x:f>
        <x:v>0</x:v>
      </x:c>
      <x:c r="BZ103" s="107" t="n">
        <x:f>SUM(IF($B$8=2,BZ27,0),IF($B$36=2,BZ55,0),IF($B$64=2,BZ83,0))</x:f>
        <x:v>0</x:v>
      </x:c>
      <x:c r="CA103" s="107" t="n">
        <x:f>SUM(IF($B$8=2,CA27,0),IF($B$36=2,CA55,0),IF($B$64=2,CA83,0))</x:f>
        <x:v>0</x:v>
      </x:c>
      <x:c r="CB103" s="107" t="n">
        <x:f>SUM(IF($B$8=2,CB27,0),IF($B$36=2,CB55,0),IF($B$64=2,CB83,0))</x:f>
        <x:v>0</x:v>
      </x:c>
      <x:c r="CC103" s="107" t="n">
        <x:f>SUM(IF($B$8=2,CC27,0),IF($B$36=2,CC55,0),IF($B$64=2,CC83,0))</x:f>
        <x:v>0</x:v>
      </x:c>
      <x:c r="CD103" s="107" t="n">
        <x:f>SUM(IF($B$8=2,CD27,0),IF($B$36=2,CD55,0),IF($B$64=2,CD83,0))</x:f>
        <x:v>0</x:v>
      </x:c>
      <x:c r="CE103" s="107" t="n">
        <x:f>SUM(IF($B$8=2,CE27,0),IF($B$36=2,CE55,0),IF($B$64=2,CE83,0))</x:f>
        <x:v>0</x:v>
      </x:c>
      <x:c r="CF103" s="107" t="n">
        <x:f>SUM(IF($B$8=2,CF27,0),IF($B$36=2,CF55,0),IF($B$64=2,CF83,0))</x:f>
        <x:v>0</x:v>
      </x:c>
      <x:c r="CG103" s="107" t="n">
        <x:f>SUM(IF($B$8=2,CG27,0),IF($B$36=2,CG55,0),IF($B$64=2,CG83,0))</x:f>
        <x:v>0</x:v>
      </x:c>
      <x:c r="CH103" s="107" t="n">
        <x:f>SUM(IF($B$8=2,CH27,0),IF($B$36=2,CH55,0),IF($B$64=2,CH83,0))</x:f>
        <x:v>0</x:v>
      </x:c>
      <x:c r="CI103" s="107" t="n">
        <x:f>SUM(IF($B$8=2,CI27,0),IF($B$36=2,CI55,0),IF($B$64=2,CI83,0))</x:f>
        <x:v>0</x:v>
      </x:c>
      <x:c r="CJ103" s="107" t="n">
        <x:f>SUM(IF($B$8=2,CJ27,0),IF($B$36=2,CJ55,0),IF($B$64=2,CJ83,0))</x:f>
        <x:v>0</x:v>
      </x:c>
      <x:c r="CK103" s="107" t="n">
        <x:f>SUM(IF($B$8=2,CK27,0),IF($B$36=2,CK55,0),IF($B$64=2,CK83,0))</x:f>
        <x:v>0</x:v>
      </x:c>
      <x:c r="CL103" s="107" t="n">
        <x:f>SUM(IF($B$8=2,CL27,0),IF($B$36=2,CL55,0),IF($B$64=2,CL83,0))</x:f>
        <x:v>0</x:v>
      </x:c>
      <x:c r="CM103" s="107" t="n">
        <x:f>SUM(IF($B$8=2,CM27,0),IF($B$36=2,CM55,0),IF($B$64=2,CM83,0))</x:f>
        <x:v>0</x:v>
      </x:c>
      <x:c r="CN103" s="107" t="n">
        <x:f>SUM(IF($B$8=2,CN27,0),IF($B$36=2,CN55,0),IF($B$64=2,CN83,0))</x:f>
        <x:v>0</x:v>
      </x:c>
      <x:c r="CO103" s="107" t="n">
        <x:f>SUM(IF($B$8=2,CO27,0),IF($B$36=2,CO55,0),IF($B$64=2,CO83,0))</x:f>
        <x:v>0</x:v>
      </x:c>
      <x:c r="CP103" s="107" t="n">
        <x:f>SUM(IF($B$8=2,CP27,0),IF($B$36=2,CP55,0),IF($B$64=2,CP83,0))</x:f>
        <x:v>0</x:v>
      </x:c>
      <x:c r="CQ103" s="107" t="n">
        <x:f>SUM(IF($B$8=2,CQ27,0),IF($B$36=2,CQ55,0),IF($B$64=2,CQ83,0))</x:f>
        <x:v>0</x:v>
      </x:c>
      <x:c r="CR103" s="107" t="n">
        <x:f>SUM(IF($B$8=2,CR27,0),IF($B$36=2,CR55,0),IF($B$64=2,CR83,0))</x:f>
        <x:v>0</x:v>
      </x:c>
      <x:c r="CS103" s="107" t="n">
        <x:f>SUM(IF($B$8=2,CS27,0),IF($B$36=2,CS55,0),IF($B$64=2,CS83,0))</x:f>
        <x:v>0</x:v>
      </x:c>
      <x:c r="CT103" s="107" t="n">
        <x:f>SUM(IF($B$8=2,CT27,0),IF($B$36=2,CT55,0),IF($B$64=2,CT83,0))</x:f>
        <x:v>0</x:v>
      </x:c>
      <x:c r="CU103" s="107" t="n">
        <x:f>SUM(IF($B$8=2,CU27,0),IF($B$36=2,CU55,0),IF($B$64=2,CU83,0))</x:f>
        <x:v>0</x:v>
      </x:c>
      <x:c r="CV103" s="107" t="n">
        <x:f>SUM(IF($B$8=2,CV27,0),IF($B$36=2,CV55,0),IF($B$64=2,CV83,0))</x:f>
        <x:v>0</x:v>
      </x:c>
      <x:c r="CW103" s="107" t="n">
        <x:f>SUM(IF($B$8=2,CW27,0),IF($B$36=2,CW55,0),IF($B$64=2,CW83,0))</x:f>
        <x:v>0</x:v>
      </x:c>
      <x:c r="CX103" s="107" t="n">
        <x:f>SUM(IF($B$8=2,CX27,0),IF($B$36=2,CX55,0),IF($B$64=2,CX83,0))</x:f>
        <x:v>0</x:v>
      </x:c>
      <x:c r="CY103" s="107" t="n">
        <x:f>SUM(IF($B$8=2,CY27,0),IF($B$36=2,CY55,0),IF($B$64=2,CY83,0))</x:f>
        <x:v>0</x:v>
      </x:c>
      <x:c r="CZ103" s="107" t="n">
        <x:f>SUM(IF($B$8=2,CZ27,0),IF($B$36=2,CZ55,0),IF($B$64=2,CZ83,0))</x:f>
        <x:v>0</x:v>
      </x:c>
      <x:c r="DA103" s="107" t="n">
        <x:f>SUM(IF($B$8=2,DA27,0),IF($B$36=2,DA55,0),IF($B$64=2,DA83,0))</x:f>
        <x:v>0</x:v>
      </x:c>
      <x:c r="DB103" s="107" t="n">
        <x:f>SUM(IF($B$8=2,DB27,0),IF($B$36=2,DB55,0),IF($B$64=2,DB83,0))</x:f>
        <x:v>0</x:v>
      </x:c>
      <x:c r="DC103" s="107" t="n">
        <x:f>SUM(IF($B$8=2,DC27,0),IF($B$36=2,DC55,0),IF($B$64=2,DC83,0))</x:f>
        <x:v>0</x:v>
      </x:c>
      <x:c r="DD103" s="107" t="n">
        <x:f>SUM(IF($B$8=2,DD27,0),IF($B$36=2,DD55,0),IF($B$64=2,DD83,0))</x:f>
        <x:v>0</x:v>
      </x:c>
      <x:c r="DE103" s="107" t="n">
        <x:f>SUM(IF($B$8=2,DE27,0),IF($B$36=2,DE55,0),IF($B$64=2,DE83,0))</x:f>
        <x:v>0</x:v>
      </x:c>
      <x:c r="DF103" s="107" t="n">
        <x:f>SUM(IF($B$8=2,DF27,0),IF($B$36=2,DF55,0),IF($B$64=2,DF83,0))</x:f>
        <x:v>0</x:v>
      </x:c>
      <x:c r="DG103" s="107" t="n">
        <x:f>SUM(IF($B$8=2,DG27,0),IF($B$36=2,DG55,0),IF($B$64=2,DG83,0))</x:f>
        <x:v>0</x:v>
      </x:c>
      <x:c r="DH103" s="107" t="n">
        <x:f>SUM(IF($B$8=2,DH27,0),IF($B$36=2,DH55,0),IF($B$64=2,DH83,0))</x:f>
        <x:v>0</x:v>
      </x:c>
      <x:c r="DI103" s="107" t="n">
        <x:f>SUM(IF($B$8=2,DI27,0),IF($B$36=2,DI55,0),IF($B$64=2,DI83,0))</x:f>
        <x:v>0</x:v>
      </x:c>
      <x:c r="DJ103" s="107" t="n">
        <x:f>SUM(IF($B$8=2,DJ27,0),IF($B$36=2,DJ55,0),IF($B$64=2,DJ83,0))</x:f>
        <x:v>0</x:v>
      </x:c>
      <x:c r="DK103" s="107" t="n">
        <x:f>SUM(IF($B$8=2,DK27,0),IF($B$36=2,DK55,0),IF($B$64=2,DK83,0))</x:f>
        <x:v>0</x:v>
      </x:c>
      <x:c r="DL103" s="107" t="n">
        <x:f>SUM(IF($B$8=2,DL27,0),IF($B$36=2,DL55,0),IF($B$64=2,DL83,0))</x:f>
        <x:v>0</x:v>
      </x:c>
      <x:c r="DM103" s="107" t="n">
        <x:f>SUM(IF($B$8=2,DM27,0),IF($B$36=2,DM55,0),IF($B$64=2,DM83,0))</x:f>
        <x:v>0</x:v>
      </x:c>
      <x:c r="DN103" s="107" t="n">
        <x:f>SUM(IF($B$8=2,DN27,0),IF($B$36=2,DN55,0),IF($B$64=2,DN83,0))</x:f>
        <x:v>0</x:v>
      </x:c>
      <x:c r="DO103" s="107" t="n">
        <x:f>SUM(IF($B$8=2,DO27,0),IF($B$36=2,DO55,0),IF($B$64=2,DO83,0))</x:f>
        <x:v>0</x:v>
      </x:c>
      <x:c r="DP103" s="107" t="n">
        <x:f>SUM(IF($B$8=2,DP27,0),IF($B$36=2,DP55,0),IF($B$64=2,DP83,0))</x:f>
        <x:v>0</x:v>
      </x:c>
      <x:c r="DQ103" s="107" t="n">
        <x:f>SUM(IF($B$8=2,DQ27,0),IF($B$36=2,DQ55,0),IF($B$64=2,DQ83,0))</x:f>
        <x:v>0</x:v>
      </x:c>
      <x:c r="DR103" s="107" t="n">
        <x:f>SUM(IF($B$8=2,DR27,0),IF($B$36=2,DR55,0),IF($B$64=2,DR83,0))</x:f>
        <x:v>0</x:v>
      </x:c>
      <x:c r="DS103" s="107" t="n">
        <x:f>SUM(IF($B$8=2,DS27,0),IF($B$36=2,DS55,0),IF($B$64=2,DS83,0))</x:f>
        <x:v>0</x:v>
      </x:c>
    </x:row>
    <x:row r="104">
      <x:c r="A104" t="str">
        <x:v>Очередь 2 — CAPEX объектов</x:v>
      </x:c>
      <x:c r="B104" s="107" t="n">
        <x:f>SUM(D104:DS104)</x:f>
        <x:v>0</x:v>
      </x:c>
      <x:c r="C104" t="str">
        <x:v>млн ₽</x:v>
      </x:c>
      <x:c r="D104" s="107" t="n">
        <x:f>SUM(IF($B$8=2,D28,0),IF($B$36=2,D56,0),IF($B$64=2,D84,0))</x:f>
        <x:v>0</x:v>
      </x:c>
      <x:c r="E104" s="107" t="n">
        <x:f>SUM(IF($B$8=2,E28,0),IF($B$36=2,E56,0),IF($B$64=2,E84,0))</x:f>
        <x:v>0</x:v>
      </x:c>
      <x:c r="F104" s="107" t="n">
        <x:f>SUM(IF($B$8=2,F28,0),IF($B$36=2,F56,0),IF($B$64=2,F84,0))</x:f>
        <x:v>0</x:v>
      </x:c>
      <x:c r="G104" s="107" t="n">
        <x:f>SUM(IF($B$8=2,G28,0),IF($B$36=2,G56,0),IF($B$64=2,G84,0))</x:f>
        <x:v>0</x:v>
      </x:c>
      <x:c r="H104" s="107" t="n">
        <x:f>SUM(IF($B$8=2,H28,0),IF($B$36=2,H56,0),IF($B$64=2,H84,0))</x:f>
        <x:v>0</x:v>
      </x:c>
      <x:c r="I104" s="107" t="n">
        <x:f>SUM(IF($B$8=2,I28,0),IF($B$36=2,I56,0),IF($B$64=2,I84,0))</x:f>
        <x:v>0</x:v>
      </x:c>
      <x:c r="J104" s="107" t="n">
        <x:f>SUM(IF($B$8=2,J28,0),IF($B$36=2,J56,0),IF($B$64=2,J84,0))</x:f>
        <x:v>0</x:v>
      </x:c>
      <x:c r="K104" s="107" t="n">
        <x:f>SUM(IF($B$8=2,K28,0),IF($B$36=2,K56,0),IF($B$64=2,K84,0))</x:f>
        <x:v>0</x:v>
      </x:c>
      <x:c r="L104" s="107" t="n">
        <x:f>SUM(IF($B$8=2,L28,0),IF($B$36=2,L56,0),IF($B$64=2,L84,0))</x:f>
        <x:v>0</x:v>
      </x:c>
      <x:c r="M104" s="107" t="n">
        <x:f>SUM(IF($B$8=2,M28,0),IF($B$36=2,M56,0),IF($B$64=2,M84,0))</x:f>
        <x:v>0</x:v>
      </x:c>
      <x:c r="N104" s="107" t="n">
        <x:f>SUM(IF($B$8=2,N28,0),IF($B$36=2,N56,0),IF($B$64=2,N84,0))</x:f>
        <x:v>0</x:v>
      </x:c>
      <x:c r="O104" s="107" t="n">
        <x:f>SUM(IF($B$8=2,O28,0),IF($B$36=2,O56,0),IF($B$64=2,O84,0))</x:f>
        <x:v>0</x:v>
      </x:c>
      <x:c r="P104" s="107" t="n">
        <x:f>SUM(IF($B$8=2,P28,0),IF($B$36=2,P56,0),IF($B$64=2,P84,0))</x:f>
        <x:v>0</x:v>
      </x:c>
      <x:c r="Q104" s="107" t="n">
        <x:f>SUM(IF($B$8=2,Q28,0),IF($B$36=2,Q56,0),IF($B$64=2,Q84,0))</x:f>
        <x:v>0</x:v>
      </x:c>
      <x:c r="R104" s="107" t="n">
        <x:f>SUM(IF($B$8=2,R28,0),IF($B$36=2,R56,0),IF($B$64=2,R84,0))</x:f>
        <x:v>0</x:v>
      </x:c>
      <x:c r="S104" s="107" t="n">
        <x:f>SUM(IF($B$8=2,S28,0),IF($B$36=2,S56,0),IF($B$64=2,S84,0))</x:f>
        <x:v>0</x:v>
      </x:c>
      <x:c r="T104" s="107" t="n">
        <x:f>SUM(IF($B$8=2,T28,0),IF($B$36=2,T56,0),IF($B$64=2,T84,0))</x:f>
        <x:v>0</x:v>
      </x:c>
      <x:c r="U104" s="107" t="n">
        <x:f>SUM(IF($B$8=2,U28,0),IF($B$36=2,U56,0),IF($B$64=2,U84,0))</x:f>
        <x:v>0</x:v>
      </x:c>
      <x:c r="V104" s="107" t="n">
        <x:f>SUM(IF($B$8=2,V28,0),IF($B$36=2,V56,0),IF($B$64=2,V84,0))</x:f>
        <x:v>0</x:v>
      </x:c>
      <x:c r="W104" s="107" t="n">
        <x:f>SUM(IF($B$8=2,W28,0),IF($B$36=2,W56,0),IF($B$64=2,W84,0))</x:f>
        <x:v>0</x:v>
      </x:c>
      <x:c r="X104" s="107" t="n">
        <x:f>SUM(IF($B$8=2,X28,0),IF($B$36=2,X56,0),IF($B$64=2,X84,0))</x:f>
        <x:v>0</x:v>
      </x:c>
      <x:c r="Y104" s="107" t="n">
        <x:f>SUM(IF($B$8=2,Y28,0),IF($B$36=2,Y56,0),IF($B$64=2,Y84,0))</x:f>
        <x:v>0</x:v>
      </x:c>
      <x:c r="Z104" s="107" t="n">
        <x:f>SUM(IF($B$8=2,Z28,0),IF($B$36=2,Z56,0),IF($B$64=2,Z84,0))</x:f>
        <x:v>0</x:v>
      </x:c>
      <x:c r="AA104" s="107" t="n">
        <x:f>SUM(IF($B$8=2,AA28,0),IF($B$36=2,AA56,0),IF($B$64=2,AA84,0))</x:f>
        <x:v>0</x:v>
      </x:c>
      <x:c r="AB104" s="107" t="n">
        <x:f>SUM(IF($B$8=2,AB28,0),IF($B$36=2,AB56,0),IF($B$64=2,AB84,0))</x:f>
        <x:v>0</x:v>
      </x:c>
      <x:c r="AC104" s="107" t="n">
        <x:f>SUM(IF($B$8=2,AC28,0),IF($B$36=2,AC56,0),IF($B$64=2,AC84,0))</x:f>
        <x:v>0</x:v>
      </x:c>
      <x:c r="AD104" s="107" t="n">
        <x:f>SUM(IF($B$8=2,AD28,0),IF($B$36=2,AD56,0),IF($B$64=2,AD84,0))</x:f>
        <x:v>0</x:v>
      </x:c>
      <x:c r="AE104" s="107" t="n">
        <x:f>SUM(IF($B$8=2,AE28,0),IF($B$36=2,AE56,0),IF($B$64=2,AE84,0))</x:f>
        <x:v>0</x:v>
      </x:c>
      <x:c r="AF104" s="107" t="n">
        <x:f>SUM(IF($B$8=2,AF28,0),IF($B$36=2,AF56,0),IF($B$64=2,AF84,0))</x:f>
        <x:v>0</x:v>
      </x:c>
      <x:c r="AG104" s="107" t="n">
        <x:f>SUM(IF($B$8=2,AG28,0),IF($B$36=2,AG56,0),IF($B$64=2,AG84,0))</x:f>
        <x:v>0</x:v>
      </x:c>
      <x:c r="AH104" s="107" t="n">
        <x:f>SUM(IF($B$8=2,AH28,0),IF($B$36=2,AH56,0),IF($B$64=2,AH84,0))</x:f>
        <x:v>0</x:v>
      </x:c>
      <x:c r="AI104" s="107" t="n">
        <x:f>SUM(IF($B$8=2,AI28,0),IF($B$36=2,AI56,0),IF($B$64=2,AI84,0))</x:f>
        <x:v>0</x:v>
      </x:c>
      <x:c r="AJ104" s="107" t="n">
        <x:f>SUM(IF($B$8=2,AJ28,0),IF($B$36=2,AJ56,0),IF($B$64=2,AJ84,0))</x:f>
        <x:v>0</x:v>
      </x:c>
      <x:c r="AK104" s="107" t="n">
        <x:f>SUM(IF($B$8=2,AK28,0),IF($B$36=2,AK56,0),IF($B$64=2,AK84,0))</x:f>
        <x:v>0</x:v>
      </x:c>
      <x:c r="AL104" s="107" t="n">
        <x:f>SUM(IF($B$8=2,AL28,0),IF($B$36=2,AL56,0),IF($B$64=2,AL84,0))</x:f>
        <x:v>0</x:v>
      </x:c>
      <x:c r="AM104" s="107" t="n">
        <x:f>SUM(IF($B$8=2,AM28,0),IF($B$36=2,AM56,0),IF($B$64=2,AM84,0))</x:f>
        <x:v>0</x:v>
      </x:c>
      <x:c r="AN104" s="107" t="n">
        <x:f>SUM(IF($B$8=2,AN28,0),IF($B$36=2,AN56,0),IF($B$64=2,AN84,0))</x:f>
        <x:v>0</x:v>
      </x:c>
      <x:c r="AO104" s="107" t="n">
        <x:f>SUM(IF($B$8=2,AO28,0),IF($B$36=2,AO56,0),IF($B$64=2,AO84,0))</x:f>
        <x:v>0</x:v>
      </x:c>
      <x:c r="AP104" s="107" t="n">
        <x:f>SUM(IF($B$8=2,AP28,0),IF($B$36=2,AP56,0),IF($B$64=2,AP84,0))</x:f>
        <x:v>0</x:v>
      </x:c>
      <x:c r="AQ104" s="107" t="n">
        <x:f>SUM(IF($B$8=2,AQ28,0),IF($B$36=2,AQ56,0),IF($B$64=2,AQ84,0))</x:f>
        <x:v>0</x:v>
      </x:c>
      <x:c r="AR104" s="107" t="n">
        <x:f>SUM(IF($B$8=2,AR28,0),IF($B$36=2,AR56,0),IF($B$64=2,AR84,0))</x:f>
        <x:v>0</x:v>
      </x:c>
      <x:c r="AS104" s="107" t="n">
        <x:f>SUM(IF($B$8=2,AS28,0),IF($B$36=2,AS56,0),IF($B$64=2,AS84,0))</x:f>
        <x:v>0</x:v>
      </x:c>
      <x:c r="AT104" s="107" t="n">
        <x:f>SUM(IF($B$8=2,AT28,0),IF($B$36=2,AT56,0),IF($B$64=2,AT84,0))</x:f>
        <x:v>0</x:v>
      </x:c>
      <x:c r="AU104" s="107" t="n">
        <x:f>SUM(IF($B$8=2,AU28,0),IF($B$36=2,AU56,0),IF($B$64=2,AU84,0))</x:f>
        <x:v>0</x:v>
      </x:c>
      <x:c r="AV104" s="107" t="n">
        <x:f>SUM(IF($B$8=2,AV28,0),IF($B$36=2,AV56,0),IF($B$64=2,AV84,0))</x:f>
        <x:v>0</x:v>
      </x:c>
      <x:c r="AW104" s="107" t="n">
        <x:f>SUM(IF($B$8=2,AW28,0),IF($B$36=2,AW56,0),IF($B$64=2,AW84,0))</x:f>
        <x:v>0</x:v>
      </x:c>
      <x:c r="AX104" s="107" t="n">
        <x:f>SUM(IF($B$8=2,AX28,0),IF($B$36=2,AX56,0),IF($B$64=2,AX84,0))</x:f>
        <x:v>0</x:v>
      </x:c>
      <x:c r="AY104" s="107" t="n">
        <x:f>SUM(IF($B$8=2,AY28,0),IF($B$36=2,AY56,0),IF($B$64=2,AY84,0))</x:f>
        <x:v>0</x:v>
      </x:c>
      <x:c r="AZ104" s="107" t="n">
        <x:f>SUM(IF($B$8=2,AZ28,0),IF($B$36=2,AZ56,0),IF($B$64=2,AZ84,0))</x:f>
        <x:v>0</x:v>
      </x:c>
      <x:c r="BA104" s="107" t="n">
        <x:f>SUM(IF($B$8=2,BA28,0),IF($B$36=2,BA56,0),IF($B$64=2,BA84,0))</x:f>
        <x:v>0</x:v>
      </x:c>
      <x:c r="BB104" s="107" t="n">
        <x:f>SUM(IF($B$8=2,BB28,0),IF($B$36=2,BB56,0),IF($B$64=2,BB84,0))</x:f>
        <x:v>0</x:v>
      </x:c>
      <x:c r="BC104" s="107" t="n">
        <x:f>SUM(IF($B$8=2,BC28,0),IF($B$36=2,BC56,0),IF($B$64=2,BC84,0))</x:f>
        <x:v>0</x:v>
      </x:c>
      <x:c r="BD104" s="107" t="n">
        <x:f>SUM(IF($B$8=2,BD28,0),IF($B$36=2,BD56,0),IF($B$64=2,BD84,0))</x:f>
        <x:v>0</x:v>
      </x:c>
      <x:c r="BE104" s="107" t="n">
        <x:f>SUM(IF($B$8=2,BE28,0),IF($B$36=2,BE56,0),IF($B$64=2,BE84,0))</x:f>
        <x:v>0</x:v>
      </x:c>
      <x:c r="BF104" s="107" t="n">
        <x:f>SUM(IF($B$8=2,BF28,0),IF($B$36=2,BF56,0),IF($B$64=2,BF84,0))</x:f>
        <x:v>0</x:v>
      </x:c>
      <x:c r="BG104" s="107" t="n">
        <x:f>SUM(IF($B$8=2,BG28,0),IF($B$36=2,BG56,0),IF($B$64=2,BG84,0))</x:f>
        <x:v>0</x:v>
      </x:c>
      <x:c r="BH104" s="107" t="n">
        <x:f>SUM(IF($B$8=2,BH28,0),IF($B$36=2,BH56,0),IF($B$64=2,BH84,0))</x:f>
        <x:v>0</x:v>
      </x:c>
      <x:c r="BI104" s="107" t="n">
        <x:f>SUM(IF($B$8=2,BI28,0),IF($B$36=2,BI56,0),IF($B$64=2,BI84,0))</x:f>
        <x:v>0</x:v>
      </x:c>
      <x:c r="BJ104" s="107" t="n">
        <x:f>SUM(IF($B$8=2,BJ28,0),IF($B$36=2,BJ56,0),IF($B$64=2,BJ84,0))</x:f>
        <x:v>0</x:v>
      </x:c>
      <x:c r="BK104" s="107" t="n">
        <x:f>SUM(IF($B$8=2,BK28,0),IF($B$36=2,BK56,0),IF($B$64=2,BK84,0))</x:f>
        <x:v>0</x:v>
      </x:c>
      <x:c r="BL104" s="107" t="n">
        <x:f>SUM(IF($B$8=2,BL28,0),IF($B$36=2,BL56,0),IF($B$64=2,BL84,0))</x:f>
        <x:v>0</x:v>
      </x:c>
      <x:c r="BM104" s="107" t="n">
        <x:f>SUM(IF($B$8=2,BM28,0),IF($B$36=2,BM56,0),IF($B$64=2,BM84,0))</x:f>
        <x:v>0</x:v>
      </x:c>
      <x:c r="BN104" s="107" t="n">
        <x:f>SUM(IF($B$8=2,BN28,0),IF($B$36=2,BN56,0),IF($B$64=2,BN84,0))</x:f>
        <x:v>0</x:v>
      </x:c>
      <x:c r="BO104" s="107" t="n">
        <x:f>SUM(IF($B$8=2,BO28,0),IF($B$36=2,BO56,0),IF($B$64=2,BO84,0))</x:f>
        <x:v>0</x:v>
      </x:c>
      <x:c r="BP104" s="107" t="n">
        <x:f>SUM(IF($B$8=2,BP28,0),IF($B$36=2,BP56,0),IF($B$64=2,BP84,0))</x:f>
        <x:v>0</x:v>
      </x:c>
      <x:c r="BQ104" s="107" t="n">
        <x:f>SUM(IF($B$8=2,BQ28,0),IF($B$36=2,BQ56,0),IF($B$64=2,BQ84,0))</x:f>
        <x:v>0</x:v>
      </x:c>
      <x:c r="BR104" s="107" t="n">
        <x:f>SUM(IF($B$8=2,BR28,0),IF($B$36=2,BR56,0),IF($B$64=2,BR84,0))</x:f>
        <x:v>0</x:v>
      </x:c>
      <x:c r="BS104" s="107" t="n">
        <x:f>SUM(IF($B$8=2,BS28,0),IF($B$36=2,BS56,0),IF($B$64=2,BS84,0))</x:f>
        <x:v>0</x:v>
      </x:c>
      <x:c r="BT104" s="107" t="n">
        <x:f>SUM(IF($B$8=2,BT28,0),IF($B$36=2,BT56,0),IF($B$64=2,BT84,0))</x:f>
        <x:v>0</x:v>
      </x:c>
      <x:c r="BU104" s="107" t="n">
        <x:f>SUM(IF($B$8=2,BU28,0),IF($B$36=2,BU56,0),IF($B$64=2,BU84,0))</x:f>
        <x:v>0</x:v>
      </x:c>
      <x:c r="BV104" s="107" t="n">
        <x:f>SUM(IF($B$8=2,BV28,0),IF($B$36=2,BV56,0),IF($B$64=2,BV84,0))</x:f>
        <x:v>0</x:v>
      </x:c>
      <x:c r="BW104" s="107" t="n">
        <x:f>SUM(IF($B$8=2,BW28,0),IF($B$36=2,BW56,0),IF($B$64=2,BW84,0))</x:f>
        <x:v>0</x:v>
      </x:c>
      <x:c r="BX104" s="107" t="n">
        <x:f>SUM(IF($B$8=2,BX28,0),IF($B$36=2,BX56,0),IF($B$64=2,BX84,0))</x:f>
        <x:v>0</x:v>
      </x:c>
      <x:c r="BY104" s="107" t="n">
        <x:f>SUM(IF($B$8=2,BY28,0),IF($B$36=2,BY56,0),IF($B$64=2,BY84,0))</x:f>
        <x:v>0</x:v>
      </x:c>
      <x:c r="BZ104" s="107" t="n">
        <x:f>SUM(IF($B$8=2,BZ28,0),IF($B$36=2,BZ56,0),IF($B$64=2,BZ84,0))</x:f>
        <x:v>0</x:v>
      </x:c>
      <x:c r="CA104" s="107" t="n">
        <x:f>SUM(IF($B$8=2,CA28,0),IF($B$36=2,CA56,0),IF($B$64=2,CA84,0))</x:f>
        <x:v>0</x:v>
      </x:c>
      <x:c r="CB104" s="107" t="n">
        <x:f>SUM(IF($B$8=2,CB28,0),IF($B$36=2,CB56,0),IF($B$64=2,CB84,0))</x:f>
        <x:v>0</x:v>
      </x:c>
      <x:c r="CC104" s="107" t="n">
        <x:f>SUM(IF($B$8=2,CC28,0),IF($B$36=2,CC56,0),IF($B$64=2,CC84,0))</x:f>
        <x:v>0</x:v>
      </x:c>
      <x:c r="CD104" s="107" t="n">
        <x:f>SUM(IF($B$8=2,CD28,0),IF($B$36=2,CD56,0),IF($B$64=2,CD84,0))</x:f>
        <x:v>0</x:v>
      </x:c>
      <x:c r="CE104" s="107" t="n">
        <x:f>SUM(IF($B$8=2,CE28,0),IF($B$36=2,CE56,0),IF($B$64=2,CE84,0))</x:f>
        <x:v>0</x:v>
      </x:c>
      <x:c r="CF104" s="107" t="n">
        <x:f>SUM(IF($B$8=2,CF28,0),IF($B$36=2,CF56,0),IF($B$64=2,CF84,0))</x:f>
        <x:v>0</x:v>
      </x:c>
      <x:c r="CG104" s="107" t="n">
        <x:f>SUM(IF($B$8=2,CG28,0),IF($B$36=2,CG56,0),IF($B$64=2,CG84,0))</x:f>
        <x:v>0</x:v>
      </x:c>
      <x:c r="CH104" s="107" t="n">
        <x:f>SUM(IF($B$8=2,CH28,0),IF($B$36=2,CH56,0),IF($B$64=2,CH84,0))</x:f>
        <x:v>0</x:v>
      </x:c>
      <x:c r="CI104" s="107" t="n">
        <x:f>SUM(IF($B$8=2,CI28,0),IF($B$36=2,CI56,0),IF($B$64=2,CI84,0))</x:f>
        <x:v>0</x:v>
      </x:c>
      <x:c r="CJ104" s="107" t="n">
        <x:f>SUM(IF($B$8=2,CJ28,0),IF($B$36=2,CJ56,0),IF($B$64=2,CJ84,0))</x:f>
        <x:v>0</x:v>
      </x:c>
      <x:c r="CK104" s="107" t="n">
        <x:f>SUM(IF($B$8=2,CK28,0),IF($B$36=2,CK56,0),IF($B$64=2,CK84,0))</x:f>
        <x:v>0</x:v>
      </x:c>
      <x:c r="CL104" s="107" t="n">
        <x:f>SUM(IF($B$8=2,CL28,0),IF($B$36=2,CL56,0),IF($B$64=2,CL84,0))</x:f>
        <x:v>0</x:v>
      </x:c>
      <x:c r="CM104" s="107" t="n">
        <x:f>SUM(IF($B$8=2,CM28,0),IF($B$36=2,CM56,0),IF($B$64=2,CM84,0))</x:f>
        <x:v>0</x:v>
      </x:c>
      <x:c r="CN104" s="107" t="n">
        <x:f>SUM(IF($B$8=2,CN28,0),IF($B$36=2,CN56,0),IF($B$64=2,CN84,0))</x:f>
        <x:v>0</x:v>
      </x:c>
      <x:c r="CO104" s="107" t="n">
        <x:f>SUM(IF($B$8=2,CO28,0),IF($B$36=2,CO56,0),IF($B$64=2,CO84,0))</x:f>
        <x:v>0</x:v>
      </x:c>
      <x:c r="CP104" s="107" t="n">
        <x:f>SUM(IF($B$8=2,CP28,0),IF($B$36=2,CP56,0),IF($B$64=2,CP84,0))</x:f>
        <x:v>0</x:v>
      </x:c>
      <x:c r="CQ104" s="107" t="n">
        <x:f>SUM(IF($B$8=2,CQ28,0),IF($B$36=2,CQ56,0),IF($B$64=2,CQ84,0))</x:f>
        <x:v>0</x:v>
      </x:c>
      <x:c r="CR104" s="107" t="n">
        <x:f>SUM(IF($B$8=2,CR28,0),IF($B$36=2,CR56,0),IF($B$64=2,CR84,0))</x:f>
        <x:v>0</x:v>
      </x:c>
      <x:c r="CS104" s="107" t="n">
        <x:f>SUM(IF($B$8=2,CS28,0),IF($B$36=2,CS56,0),IF($B$64=2,CS84,0))</x:f>
        <x:v>0</x:v>
      </x:c>
      <x:c r="CT104" s="107" t="n">
        <x:f>SUM(IF($B$8=2,CT28,0),IF($B$36=2,CT56,0),IF($B$64=2,CT84,0))</x:f>
        <x:v>0</x:v>
      </x:c>
      <x:c r="CU104" s="107" t="n">
        <x:f>SUM(IF($B$8=2,CU28,0),IF($B$36=2,CU56,0),IF($B$64=2,CU84,0))</x:f>
        <x:v>0</x:v>
      </x:c>
      <x:c r="CV104" s="107" t="n">
        <x:f>SUM(IF($B$8=2,CV28,0),IF($B$36=2,CV56,0),IF($B$64=2,CV84,0))</x:f>
        <x:v>0</x:v>
      </x:c>
      <x:c r="CW104" s="107" t="n">
        <x:f>SUM(IF($B$8=2,CW28,0),IF($B$36=2,CW56,0),IF($B$64=2,CW84,0))</x:f>
        <x:v>0</x:v>
      </x:c>
      <x:c r="CX104" s="107" t="n">
        <x:f>SUM(IF($B$8=2,CX28,0),IF($B$36=2,CX56,0),IF($B$64=2,CX84,0))</x:f>
        <x:v>0</x:v>
      </x:c>
      <x:c r="CY104" s="107" t="n">
        <x:f>SUM(IF($B$8=2,CY28,0),IF($B$36=2,CY56,0),IF($B$64=2,CY84,0))</x:f>
        <x:v>0</x:v>
      </x:c>
      <x:c r="CZ104" s="107" t="n">
        <x:f>SUM(IF($B$8=2,CZ28,0),IF($B$36=2,CZ56,0),IF($B$64=2,CZ84,0))</x:f>
        <x:v>0</x:v>
      </x:c>
      <x:c r="DA104" s="107" t="n">
        <x:f>SUM(IF($B$8=2,DA28,0),IF($B$36=2,DA56,0),IF($B$64=2,DA84,0))</x:f>
        <x:v>0</x:v>
      </x:c>
      <x:c r="DB104" s="107" t="n">
        <x:f>SUM(IF($B$8=2,DB28,0),IF($B$36=2,DB56,0),IF($B$64=2,DB84,0))</x:f>
        <x:v>0</x:v>
      </x:c>
      <x:c r="DC104" s="107" t="n">
        <x:f>SUM(IF($B$8=2,DC28,0),IF($B$36=2,DC56,0),IF($B$64=2,DC84,0))</x:f>
        <x:v>0</x:v>
      </x:c>
      <x:c r="DD104" s="107" t="n">
        <x:f>SUM(IF($B$8=2,DD28,0),IF($B$36=2,DD56,0),IF($B$64=2,DD84,0))</x:f>
        <x:v>0</x:v>
      </x:c>
      <x:c r="DE104" s="107" t="n">
        <x:f>SUM(IF($B$8=2,DE28,0),IF($B$36=2,DE56,0),IF($B$64=2,DE84,0))</x:f>
        <x:v>0</x:v>
      </x:c>
      <x:c r="DF104" s="107" t="n">
        <x:f>SUM(IF($B$8=2,DF28,0),IF($B$36=2,DF56,0),IF($B$64=2,DF84,0))</x:f>
        <x:v>0</x:v>
      </x:c>
      <x:c r="DG104" s="107" t="n">
        <x:f>SUM(IF($B$8=2,DG28,0),IF($B$36=2,DG56,0),IF($B$64=2,DG84,0))</x:f>
        <x:v>0</x:v>
      </x:c>
      <x:c r="DH104" s="107" t="n">
        <x:f>SUM(IF($B$8=2,DH28,0),IF($B$36=2,DH56,0),IF($B$64=2,DH84,0))</x:f>
        <x:v>0</x:v>
      </x:c>
      <x:c r="DI104" s="107" t="n">
        <x:f>SUM(IF($B$8=2,DI28,0),IF($B$36=2,DI56,0),IF($B$64=2,DI84,0))</x:f>
        <x:v>0</x:v>
      </x:c>
      <x:c r="DJ104" s="107" t="n">
        <x:f>SUM(IF($B$8=2,DJ28,0),IF($B$36=2,DJ56,0),IF($B$64=2,DJ84,0))</x:f>
        <x:v>0</x:v>
      </x:c>
      <x:c r="DK104" s="107" t="n">
        <x:f>SUM(IF($B$8=2,DK28,0),IF($B$36=2,DK56,0),IF($B$64=2,DK84,0))</x:f>
        <x:v>0</x:v>
      </x:c>
      <x:c r="DL104" s="107" t="n">
        <x:f>SUM(IF($B$8=2,DL28,0),IF($B$36=2,DL56,0),IF($B$64=2,DL84,0))</x:f>
        <x:v>0</x:v>
      </x:c>
      <x:c r="DM104" s="107" t="n">
        <x:f>SUM(IF($B$8=2,DM28,0),IF($B$36=2,DM56,0),IF($B$64=2,DM84,0))</x:f>
        <x:v>0</x:v>
      </x:c>
      <x:c r="DN104" s="107" t="n">
        <x:f>SUM(IF($B$8=2,DN28,0),IF($B$36=2,DN56,0),IF($B$64=2,DN84,0))</x:f>
        <x:v>0</x:v>
      </x:c>
      <x:c r="DO104" s="107" t="n">
        <x:f>SUM(IF($B$8=2,DO28,0),IF($B$36=2,DO56,0),IF($B$64=2,DO84,0))</x:f>
        <x:v>0</x:v>
      </x:c>
      <x:c r="DP104" s="107" t="n">
        <x:f>SUM(IF($B$8=2,DP28,0),IF($B$36=2,DP56,0),IF($B$64=2,DP84,0))</x:f>
        <x:v>0</x:v>
      </x:c>
      <x:c r="DQ104" s="107" t="n">
        <x:f>SUM(IF($B$8=2,DQ28,0),IF($B$36=2,DQ56,0),IF($B$64=2,DQ84,0))</x:f>
        <x:v>0</x:v>
      </x:c>
      <x:c r="DR104" s="107" t="n">
        <x:f>SUM(IF($B$8=2,DR28,0),IF($B$36=2,DR56,0),IF($B$64=2,DR84,0))</x:f>
        <x:v>0</x:v>
      </x:c>
      <x:c r="DS104" s="107" t="n">
        <x:f>SUM(IF($B$8=2,DS28,0),IF($B$36=2,DS56,0),IF($B$64=2,DS84,0))</x:f>
        <x:v>0</x:v>
      </x:c>
    </x:row>
    <x:row r="105">
      <x:c r="A105" t="str">
        <x:v>Очередь 2 — Маркетинг объектов</x:v>
      </x:c>
      <x:c r="B105" s="107" t="n">
        <x:f>SUM(D105:DS105)</x:f>
        <x:v>0</x:v>
      </x:c>
      <x:c r="C105" t="str">
        <x:v>млн ₽</x:v>
      </x:c>
      <x:c r="D105" s="107" t="n">
        <x:f>SUM(IF($B$8=2,D29,0),IF($B$36=2,D57,0),IF($B$64=2,D85,0))</x:f>
        <x:v>0</x:v>
      </x:c>
      <x:c r="E105" s="107" t="n">
        <x:f>SUM(IF($B$8=2,E29,0),IF($B$36=2,E57,0),IF($B$64=2,E85,0))</x:f>
        <x:v>0</x:v>
      </x:c>
      <x:c r="F105" s="107" t="n">
        <x:f>SUM(IF($B$8=2,F29,0),IF($B$36=2,F57,0),IF($B$64=2,F85,0))</x:f>
        <x:v>0</x:v>
      </x:c>
      <x:c r="G105" s="107" t="n">
        <x:f>SUM(IF($B$8=2,G29,0),IF($B$36=2,G57,0),IF($B$64=2,G85,0))</x:f>
        <x:v>0</x:v>
      </x:c>
      <x:c r="H105" s="107" t="n">
        <x:f>SUM(IF($B$8=2,H29,0),IF($B$36=2,H57,0),IF($B$64=2,H85,0))</x:f>
        <x:v>0</x:v>
      </x:c>
      <x:c r="I105" s="107" t="n">
        <x:f>SUM(IF($B$8=2,I29,0),IF($B$36=2,I57,0),IF($B$64=2,I85,0))</x:f>
        <x:v>0</x:v>
      </x:c>
      <x:c r="J105" s="107" t="n">
        <x:f>SUM(IF($B$8=2,J29,0),IF($B$36=2,J57,0),IF($B$64=2,J85,0))</x:f>
        <x:v>0</x:v>
      </x:c>
      <x:c r="K105" s="107" t="n">
        <x:f>SUM(IF($B$8=2,K29,0),IF($B$36=2,K57,0),IF($B$64=2,K85,0))</x:f>
        <x:v>0</x:v>
      </x:c>
      <x:c r="L105" s="107" t="n">
        <x:f>SUM(IF($B$8=2,L29,0),IF($B$36=2,L57,0),IF($B$64=2,L85,0))</x:f>
        <x:v>0</x:v>
      </x:c>
      <x:c r="M105" s="107" t="n">
        <x:f>SUM(IF($B$8=2,M29,0),IF($B$36=2,M57,0),IF($B$64=2,M85,0))</x:f>
        <x:v>0</x:v>
      </x:c>
      <x:c r="N105" s="107" t="n">
        <x:f>SUM(IF($B$8=2,N29,0),IF($B$36=2,N57,0),IF($B$64=2,N85,0))</x:f>
        <x:v>0</x:v>
      </x:c>
      <x:c r="O105" s="107" t="n">
        <x:f>SUM(IF($B$8=2,O29,0),IF($B$36=2,O57,0),IF($B$64=2,O85,0))</x:f>
        <x:v>0</x:v>
      </x:c>
      <x:c r="P105" s="107" t="n">
        <x:f>SUM(IF($B$8=2,P29,0),IF($B$36=2,P57,0),IF($B$64=2,P85,0))</x:f>
        <x:v>0</x:v>
      </x:c>
      <x:c r="Q105" s="107" t="n">
        <x:f>SUM(IF($B$8=2,Q29,0),IF($B$36=2,Q57,0),IF($B$64=2,Q85,0))</x:f>
        <x:v>0</x:v>
      </x:c>
      <x:c r="R105" s="107" t="n">
        <x:f>SUM(IF($B$8=2,R29,0),IF($B$36=2,R57,0),IF($B$64=2,R85,0))</x:f>
        <x:v>0</x:v>
      </x:c>
      <x:c r="S105" s="107" t="n">
        <x:f>SUM(IF($B$8=2,S29,0),IF($B$36=2,S57,0),IF($B$64=2,S85,0))</x:f>
        <x:v>0</x:v>
      </x:c>
      <x:c r="T105" s="107" t="n">
        <x:f>SUM(IF($B$8=2,T29,0),IF($B$36=2,T57,0),IF($B$64=2,T85,0))</x:f>
        <x:v>0</x:v>
      </x:c>
      <x:c r="U105" s="107" t="n">
        <x:f>SUM(IF($B$8=2,U29,0),IF($B$36=2,U57,0),IF($B$64=2,U85,0))</x:f>
        <x:v>0</x:v>
      </x:c>
      <x:c r="V105" s="107" t="n">
        <x:f>SUM(IF($B$8=2,V29,0),IF($B$36=2,V57,0),IF($B$64=2,V85,0))</x:f>
        <x:v>0</x:v>
      </x:c>
      <x:c r="W105" s="107" t="n">
        <x:f>SUM(IF($B$8=2,W29,0),IF($B$36=2,W57,0),IF($B$64=2,W85,0))</x:f>
        <x:v>0</x:v>
      </x:c>
      <x:c r="X105" s="107" t="n">
        <x:f>SUM(IF($B$8=2,X29,0),IF($B$36=2,X57,0),IF($B$64=2,X85,0))</x:f>
        <x:v>0</x:v>
      </x:c>
      <x:c r="Y105" s="107" t="n">
        <x:f>SUM(IF($B$8=2,Y29,0),IF($B$36=2,Y57,0),IF($B$64=2,Y85,0))</x:f>
        <x:v>0</x:v>
      </x:c>
      <x:c r="Z105" s="107" t="n">
        <x:f>SUM(IF($B$8=2,Z29,0),IF($B$36=2,Z57,0),IF($B$64=2,Z85,0))</x:f>
        <x:v>0</x:v>
      </x:c>
      <x:c r="AA105" s="107" t="n">
        <x:f>SUM(IF($B$8=2,AA29,0),IF($B$36=2,AA57,0),IF($B$64=2,AA85,0))</x:f>
        <x:v>0</x:v>
      </x:c>
      <x:c r="AB105" s="107" t="n">
        <x:f>SUM(IF($B$8=2,AB29,0),IF($B$36=2,AB57,0),IF($B$64=2,AB85,0))</x:f>
        <x:v>0</x:v>
      </x:c>
      <x:c r="AC105" s="107" t="n">
        <x:f>SUM(IF($B$8=2,AC29,0),IF($B$36=2,AC57,0),IF($B$64=2,AC85,0))</x:f>
        <x:v>0</x:v>
      </x:c>
      <x:c r="AD105" s="107" t="n">
        <x:f>SUM(IF($B$8=2,AD29,0),IF($B$36=2,AD57,0),IF($B$64=2,AD85,0))</x:f>
        <x:v>0</x:v>
      </x:c>
      <x:c r="AE105" s="107" t="n">
        <x:f>SUM(IF($B$8=2,AE29,0),IF($B$36=2,AE57,0),IF($B$64=2,AE85,0))</x:f>
        <x:v>0</x:v>
      </x:c>
      <x:c r="AF105" s="107" t="n">
        <x:f>SUM(IF($B$8=2,AF29,0),IF($B$36=2,AF57,0),IF($B$64=2,AF85,0))</x:f>
        <x:v>0</x:v>
      </x:c>
      <x:c r="AG105" s="107" t="n">
        <x:f>SUM(IF($B$8=2,AG29,0),IF($B$36=2,AG57,0),IF($B$64=2,AG85,0))</x:f>
        <x:v>0</x:v>
      </x:c>
      <x:c r="AH105" s="107" t="n">
        <x:f>SUM(IF($B$8=2,AH29,0),IF($B$36=2,AH57,0),IF($B$64=2,AH85,0))</x:f>
        <x:v>0</x:v>
      </x:c>
      <x:c r="AI105" s="107" t="n">
        <x:f>SUM(IF($B$8=2,AI29,0),IF($B$36=2,AI57,0),IF($B$64=2,AI85,0))</x:f>
        <x:v>0</x:v>
      </x:c>
      <x:c r="AJ105" s="107" t="n">
        <x:f>SUM(IF($B$8=2,AJ29,0),IF($B$36=2,AJ57,0),IF($B$64=2,AJ85,0))</x:f>
        <x:v>0</x:v>
      </x:c>
      <x:c r="AK105" s="107" t="n">
        <x:f>SUM(IF($B$8=2,AK29,0),IF($B$36=2,AK57,0),IF($B$64=2,AK85,0))</x:f>
        <x:v>0</x:v>
      </x:c>
      <x:c r="AL105" s="107" t="n">
        <x:f>SUM(IF($B$8=2,AL29,0),IF($B$36=2,AL57,0),IF($B$64=2,AL85,0))</x:f>
        <x:v>0</x:v>
      </x:c>
      <x:c r="AM105" s="107" t="n">
        <x:f>SUM(IF($B$8=2,AM29,0),IF($B$36=2,AM57,0),IF($B$64=2,AM85,0))</x:f>
        <x:v>0</x:v>
      </x:c>
      <x:c r="AN105" s="107" t="n">
        <x:f>SUM(IF($B$8=2,AN29,0),IF($B$36=2,AN57,0),IF($B$64=2,AN85,0))</x:f>
        <x:v>0</x:v>
      </x:c>
      <x:c r="AO105" s="107" t="n">
        <x:f>SUM(IF($B$8=2,AO29,0),IF($B$36=2,AO57,0),IF($B$64=2,AO85,0))</x:f>
        <x:v>0</x:v>
      </x:c>
      <x:c r="AP105" s="107" t="n">
        <x:f>SUM(IF($B$8=2,AP29,0),IF($B$36=2,AP57,0),IF($B$64=2,AP85,0))</x:f>
        <x:v>0</x:v>
      </x:c>
      <x:c r="AQ105" s="107" t="n">
        <x:f>SUM(IF($B$8=2,AQ29,0),IF($B$36=2,AQ57,0),IF($B$64=2,AQ85,0))</x:f>
        <x:v>0</x:v>
      </x:c>
      <x:c r="AR105" s="107" t="n">
        <x:f>SUM(IF($B$8=2,AR29,0),IF($B$36=2,AR57,0),IF($B$64=2,AR85,0))</x:f>
        <x:v>0</x:v>
      </x:c>
      <x:c r="AS105" s="107" t="n">
        <x:f>SUM(IF($B$8=2,AS29,0),IF($B$36=2,AS57,0),IF($B$64=2,AS85,0))</x:f>
        <x:v>0</x:v>
      </x:c>
      <x:c r="AT105" s="107" t="n">
        <x:f>SUM(IF($B$8=2,AT29,0),IF($B$36=2,AT57,0),IF($B$64=2,AT85,0))</x:f>
        <x:v>0</x:v>
      </x:c>
      <x:c r="AU105" s="107" t="n">
        <x:f>SUM(IF($B$8=2,AU29,0),IF($B$36=2,AU57,0),IF($B$64=2,AU85,0))</x:f>
        <x:v>0</x:v>
      </x:c>
      <x:c r="AV105" s="107" t="n">
        <x:f>SUM(IF($B$8=2,AV29,0),IF($B$36=2,AV57,0),IF($B$64=2,AV85,0))</x:f>
        <x:v>0</x:v>
      </x:c>
      <x:c r="AW105" s="107" t="n">
        <x:f>SUM(IF($B$8=2,AW29,0),IF($B$36=2,AW57,0),IF($B$64=2,AW85,0))</x:f>
        <x:v>0</x:v>
      </x:c>
      <x:c r="AX105" s="107" t="n">
        <x:f>SUM(IF($B$8=2,AX29,0),IF($B$36=2,AX57,0),IF($B$64=2,AX85,0))</x:f>
        <x:v>0</x:v>
      </x:c>
      <x:c r="AY105" s="107" t="n">
        <x:f>SUM(IF($B$8=2,AY29,0),IF($B$36=2,AY57,0),IF($B$64=2,AY85,0))</x:f>
        <x:v>0</x:v>
      </x:c>
      <x:c r="AZ105" s="107" t="n">
        <x:f>SUM(IF($B$8=2,AZ29,0),IF($B$36=2,AZ57,0),IF($B$64=2,AZ85,0))</x:f>
        <x:v>0</x:v>
      </x:c>
      <x:c r="BA105" s="107" t="n">
        <x:f>SUM(IF($B$8=2,BA29,0),IF($B$36=2,BA57,0),IF($B$64=2,BA85,0))</x:f>
        <x:v>0</x:v>
      </x:c>
      <x:c r="BB105" s="107" t="n">
        <x:f>SUM(IF($B$8=2,BB29,0),IF($B$36=2,BB57,0),IF($B$64=2,BB85,0))</x:f>
        <x:v>0</x:v>
      </x:c>
      <x:c r="BC105" s="107" t="n">
        <x:f>SUM(IF($B$8=2,BC29,0),IF($B$36=2,BC57,0),IF($B$64=2,BC85,0))</x:f>
        <x:v>0</x:v>
      </x:c>
      <x:c r="BD105" s="107" t="n">
        <x:f>SUM(IF($B$8=2,BD29,0),IF($B$36=2,BD57,0),IF($B$64=2,BD85,0))</x:f>
        <x:v>0</x:v>
      </x:c>
      <x:c r="BE105" s="107" t="n">
        <x:f>SUM(IF($B$8=2,BE29,0),IF($B$36=2,BE57,0),IF($B$64=2,BE85,0))</x:f>
        <x:v>0</x:v>
      </x:c>
      <x:c r="BF105" s="107" t="n">
        <x:f>SUM(IF($B$8=2,BF29,0),IF($B$36=2,BF57,0),IF($B$64=2,BF85,0))</x:f>
        <x:v>0</x:v>
      </x:c>
      <x:c r="BG105" s="107" t="n">
        <x:f>SUM(IF($B$8=2,BG29,0),IF($B$36=2,BG57,0),IF($B$64=2,BG85,0))</x:f>
        <x:v>0</x:v>
      </x:c>
      <x:c r="BH105" s="107" t="n">
        <x:f>SUM(IF($B$8=2,BH29,0),IF($B$36=2,BH57,0),IF($B$64=2,BH85,0))</x:f>
        <x:v>0</x:v>
      </x:c>
      <x:c r="BI105" s="107" t="n">
        <x:f>SUM(IF($B$8=2,BI29,0),IF($B$36=2,BI57,0),IF($B$64=2,BI85,0))</x:f>
        <x:v>0</x:v>
      </x:c>
      <x:c r="BJ105" s="107" t="n">
        <x:f>SUM(IF($B$8=2,BJ29,0),IF($B$36=2,BJ57,0),IF($B$64=2,BJ85,0))</x:f>
        <x:v>0</x:v>
      </x:c>
      <x:c r="BK105" s="107" t="n">
        <x:f>SUM(IF($B$8=2,BK29,0),IF($B$36=2,BK57,0),IF($B$64=2,BK85,0))</x:f>
        <x:v>0</x:v>
      </x:c>
      <x:c r="BL105" s="107" t="n">
        <x:f>SUM(IF($B$8=2,BL29,0),IF($B$36=2,BL57,0),IF($B$64=2,BL85,0))</x:f>
        <x:v>0</x:v>
      </x:c>
      <x:c r="BM105" s="107" t="n">
        <x:f>SUM(IF($B$8=2,BM29,0),IF($B$36=2,BM57,0),IF($B$64=2,BM85,0))</x:f>
        <x:v>0</x:v>
      </x:c>
      <x:c r="BN105" s="107" t="n">
        <x:f>SUM(IF($B$8=2,BN29,0),IF($B$36=2,BN57,0),IF($B$64=2,BN85,0))</x:f>
        <x:v>0</x:v>
      </x:c>
      <x:c r="BO105" s="107" t="n">
        <x:f>SUM(IF($B$8=2,BO29,0),IF($B$36=2,BO57,0),IF($B$64=2,BO85,0))</x:f>
        <x:v>0</x:v>
      </x:c>
      <x:c r="BP105" s="107" t="n">
        <x:f>SUM(IF($B$8=2,BP29,0),IF($B$36=2,BP57,0),IF($B$64=2,BP85,0))</x:f>
        <x:v>0</x:v>
      </x:c>
      <x:c r="BQ105" s="107" t="n">
        <x:f>SUM(IF($B$8=2,BQ29,0),IF($B$36=2,BQ57,0),IF($B$64=2,BQ85,0))</x:f>
        <x:v>0</x:v>
      </x:c>
      <x:c r="BR105" s="107" t="n">
        <x:f>SUM(IF($B$8=2,BR29,0),IF($B$36=2,BR57,0),IF($B$64=2,BR85,0))</x:f>
        <x:v>0</x:v>
      </x:c>
      <x:c r="BS105" s="107" t="n">
        <x:f>SUM(IF($B$8=2,BS29,0),IF($B$36=2,BS57,0),IF($B$64=2,BS85,0))</x:f>
        <x:v>0</x:v>
      </x:c>
      <x:c r="BT105" s="107" t="n">
        <x:f>SUM(IF($B$8=2,BT29,0),IF($B$36=2,BT57,0),IF($B$64=2,BT85,0))</x:f>
        <x:v>0</x:v>
      </x:c>
      <x:c r="BU105" s="107" t="n">
        <x:f>SUM(IF($B$8=2,BU29,0),IF($B$36=2,BU57,0),IF($B$64=2,BU85,0))</x:f>
        <x:v>0</x:v>
      </x:c>
      <x:c r="BV105" s="107" t="n">
        <x:f>SUM(IF($B$8=2,BV29,0),IF($B$36=2,BV57,0),IF($B$64=2,BV85,0))</x:f>
        <x:v>0</x:v>
      </x:c>
      <x:c r="BW105" s="107" t="n">
        <x:f>SUM(IF($B$8=2,BW29,0),IF($B$36=2,BW57,0),IF($B$64=2,BW85,0))</x:f>
        <x:v>0</x:v>
      </x:c>
      <x:c r="BX105" s="107" t="n">
        <x:f>SUM(IF($B$8=2,BX29,0),IF($B$36=2,BX57,0),IF($B$64=2,BX85,0))</x:f>
        <x:v>0</x:v>
      </x:c>
      <x:c r="BY105" s="107" t="n">
        <x:f>SUM(IF($B$8=2,BY29,0),IF($B$36=2,BY57,0),IF($B$64=2,BY85,0))</x:f>
        <x:v>0</x:v>
      </x:c>
      <x:c r="BZ105" s="107" t="n">
        <x:f>SUM(IF($B$8=2,BZ29,0),IF($B$36=2,BZ57,0),IF($B$64=2,BZ85,0))</x:f>
        <x:v>0</x:v>
      </x:c>
      <x:c r="CA105" s="107" t="n">
        <x:f>SUM(IF($B$8=2,CA29,0),IF($B$36=2,CA57,0),IF($B$64=2,CA85,0))</x:f>
        <x:v>0</x:v>
      </x:c>
      <x:c r="CB105" s="107" t="n">
        <x:f>SUM(IF($B$8=2,CB29,0),IF($B$36=2,CB57,0),IF($B$64=2,CB85,0))</x:f>
        <x:v>0</x:v>
      </x:c>
      <x:c r="CC105" s="107" t="n">
        <x:f>SUM(IF($B$8=2,CC29,0),IF($B$36=2,CC57,0),IF($B$64=2,CC85,0))</x:f>
        <x:v>0</x:v>
      </x:c>
      <x:c r="CD105" s="107" t="n">
        <x:f>SUM(IF($B$8=2,CD29,0),IF($B$36=2,CD57,0),IF($B$64=2,CD85,0))</x:f>
        <x:v>0</x:v>
      </x:c>
      <x:c r="CE105" s="107" t="n">
        <x:f>SUM(IF($B$8=2,CE29,0),IF($B$36=2,CE57,0),IF($B$64=2,CE85,0))</x:f>
        <x:v>0</x:v>
      </x:c>
      <x:c r="CF105" s="107" t="n">
        <x:f>SUM(IF($B$8=2,CF29,0),IF($B$36=2,CF57,0),IF($B$64=2,CF85,0))</x:f>
        <x:v>0</x:v>
      </x:c>
      <x:c r="CG105" s="107" t="n">
        <x:f>SUM(IF($B$8=2,CG29,0),IF($B$36=2,CG57,0),IF($B$64=2,CG85,0))</x:f>
        <x:v>0</x:v>
      </x:c>
      <x:c r="CH105" s="107" t="n">
        <x:f>SUM(IF($B$8=2,CH29,0),IF($B$36=2,CH57,0),IF($B$64=2,CH85,0))</x:f>
        <x:v>0</x:v>
      </x:c>
      <x:c r="CI105" s="107" t="n">
        <x:f>SUM(IF($B$8=2,CI29,0),IF($B$36=2,CI57,0),IF($B$64=2,CI85,0))</x:f>
        <x:v>0</x:v>
      </x:c>
      <x:c r="CJ105" s="107" t="n">
        <x:f>SUM(IF($B$8=2,CJ29,0),IF($B$36=2,CJ57,0),IF($B$64=2,CJ85,0))</x:f>
        <x:v>0</x:v>
      </x:c>
      <x:c r="CK105" s="107" t="n">
        <x:f>SUM(IF($B$8=2,CK29,0),IF($B$36=2,CK57,0),IF($B$64=2,CK85,0))</x:f>
        <x:v>0</x:v>
      </x:c>
      <x:c r="CL105" s="107" t="n">
        <x:f>SUM(IF($B$8=2,CL29,0),IF($B$36=2,CL57,0),IF($B$64=2,CL85,0))</x:f>
        <x:v>0</x:v>
      </x:c>
      <x:c r="CM105" s="107" t="n">
        <x:f>SUM(IF($B$8=2,CM29,0),IF($B$36=2,CM57,0),IF($B$64=2,CM85,0))</x:f>
        <x:v>0</x:v>
      </x:c>
      <x:c r="CN105" s="107" t="n">
        <x:f>SUM(IF($B$8=2,CN29,0),IF($B$36=2,CN57,0),IF($B$64=2,CN85,0))</x:f>
        <x:v>0</x:v>
      </x:c>
      <x:c r="CO105" s="107" t="n">
        <x:f>SUM(IF($B$8=2,CO29,0),IF($B$36=2,CO57,0),IF($B$64=2,CO85,0))</x:f>
        <x:v>0</x:v>
      </x:c>
      <x:c r="CP105" s="107" t="n">
        <x:f>SUM(IF($B$8=2,CP29,0),IF($B$36=2,CP57,0),IF($B$64=2,CP85,0))</x:f>
        <x:v>0</x:v>
      </x:c>
      <x:c r="CQ105" s="107" t="n">
        <x:f>SUM(IF($B$8=2,CQ29,0),IF($B$36=2,CQ57,0),IF($B$64=2,CQ85,0))</x:f>
        <x:v>0</x:v>
      </x:c>
      <x:c r="CR105" s="107" t="n">
        <x:f>SUM(IF($B$8=2,CR29,0),IF($B$36=2,CR57,0),IF($B$64=2,CR85,0))</x:f>
        <x:v>0</x:v>
      </x:c>
      <x:c r="CS105" s="107" t="n">
        <x:f>SUM(IF($B$8=2,CS29,0),IF($B$36=2,CS57,0),IF($B$64=2,CS85,0))</x:f>
        <x:v>0</x:v>
      </x:c>
      <x:c r="CT105" s="107" t="n">
        <x:f>SUM(IF($B$8=2,CT29,0),IF($B$36=2,CT57,0),IF($B$64=2,CT85,0))</x:f>
        <x:v>0</x:v>
      </x:c>
      <x:c r="CU105" s="107" t="n">
        <x:f>SUM(IF($B$8=2,CU29,0),IF($B$36=2,CU57,0),IF($B$64=2,CU85,0))</x:f>
        <x:v>0</x:v>
      </x:c>
      <x:c r="CV105" s="107" t="n">
        <x:f>SUM(IF($B$8=2,CV29,0),IF($B$36=2,CV57,0),IF($B$64=2,CV85,0))</x:f>
        <x:v>0</x:v>
      </x:c>
      <x:c r="CW105" s="107" t="n">
        <x:f>SUM(IF($B$8=2,CW29,0),IF($B$36=2,CW57,0),IF($B$64=2,CW85,0))</x:f>
        <x:v>0</x:v>
      </x:c>
      <x:c r="CX105" s="107" t="n">
        <x:f>SUM(IF($B$8=2,CX29,0),IF($B$36=2,CX57,0),IF($B$64=2,CX85,0))</x:f>
        <x:v>0</x:v>
      </x:c>
      <x:c r="CY105" s="107" t="n">
        <x:f>SUM(IF($B$8=2,CY29,0),IF($B$36=2,CY57,0),IF($B$64=2,CY85,0))</x:f>
        <x:v>0</x:v>
      </x:c>
      <x:c r="CZ105" s="107" t="n">
        <x:f>SUM(IF($B$8=2,CZ29,0),IF($B$36=2,CZ57,0),IF($B$64=2,CZ85,0))</x:f>
        <x:v>0</x:v>
      </x:c>
      <x:c r="DA105" s="107" t="n">
        <x:f>SUM(IF($B$8=2,DA29,0),IF($B$36=2,DA57,0),IF($B$64=2,DA85,0))</x:f>
        <x:v>0</x:v>
      </x:c>
      <x:c r="DB105" s="107" t="n">
        <x:f>SUM(IF($B$8=2,DB29,0),IF($B$36=2,DB57,0),IF($B$64=2,DB85,0))</x:f>
        <x:v>0</x:v>
      </x:c>
      <x:c r="DC105" s="107" t="n">
        <x:f>SUM(IF($B$8=2,DC29,0),IF($B$36=2,DC57,0),IF($B$64=2,DC85,0))</x:f>
        <x:v>0</x:v>
      </x:c>
      <x:c r="DD105" s="107" t="n">
        <x:f>SUM(IF($B$8=2,DD29,0),IF($B$36=2,DD57,0),IF($B$64=2,DD85,0))</x:f>
        <x:v>0</x:v>
      </x:c>
      <x:c r="DE105" s="107" t="n">
        <x:f>SUM(IF($B$8=2,DE29,0),IF($B$36=2,DE57,0),IF($B$64=2,DE85,0))</x:f>
        <x:v>0</x:v>
      </x:c>
      <x:c r="DF105" s="107" t="n">
        <x:f>SUM(IF($B$8=2,DF29,0),IF($B$36=2,DF57,0),IF($B$64=2,DF85,0))</x:f>
        <x:v>0</x:v>
      </x:c>
      <x:c r="DG105" s="107" t="n">
        <x:f>SUM(IF($B$8=2,DG29,0),IF($B$36=2,DG57,0),IF($B$64=2,DG85,0))</x:f>
        <x:v>0</x:v>
      </x:c>
      <x:c r="DH105" s="107" t="n">
        <x:f>SUM(IF($B$8=2,DH29,0),IF($B$36=2,DH57,0),IF($B$64=2,DH85,0))</x:f>
        <x:v>0</x:v>
      </x:c>
      <x:c r="DI105" s="107" t="n">
        <x:f>SUM(IF($B$8=2,DI29,0),IF($B$36=2,DI57,0),IF($B$64=2,DI85,0))</x:f>
        <x:v>0</x:v>
      </x:c>
      <x:c r="DJ105" s="107" t="n">
        <x:f>SUM(IF($B$8=2,DJ29,0),IF($B$36=2,DJ57,0),IF($B$64=2,DJ85,0))</x:f>
        <x:v>0</x:v>
      </x:c>
      <x:c r="DK105" s="107" t="n">
        <x:f>SUM(IF($B$8=2,DK29,0),IF($B$36=2,DK57,0),IF($B$64=2,DK85,0))</x:f>
        <x:v>0</x:v>
      </x:c>
      <x:c r="DL105" s="107" t="n">
        <x:f>SUM(IF($B$8=2,DL29,0),IF($B$36=2,DL57,0),IF($B$64=2,DL85,0))</x:f>
        <x:v>0</x:v>
      </x:c>
      <x:c r="DM105" s="107" t="n">
        <x:f>SUM(IF($B$8=2,DM29,0),IF($B$36=2,DM57,0),IF($B$64=2,DM85,0))</x:f>
        <x:v>0</x:v>
      </x:c>
      <x:c r="DN105" s="107" t="n">
        <x:f>SUM(IF($B$8=2,DN29,0),IF($B$36=2,DN57,0),IF($B$64=2,DN85,0))</x:f>
        <x:v>0</x:v>
      </x:c>
      <x:c r="DO105" s="107" t="n">
        <x:f>SUM(IF($B$8=2,DO29,0),IF($B$36=2,DO57,0),IF($B$64=2,DO85,0))</x:f>
        <x:v>0</x:v>
      </x:c>
      <x:c r="DP105" s="107" t="n">
        <x:f>SUM(IF($B$8=2,DP29,0),IF($B$36=2,DP57,0),IF($B$64=2,DP85,0))</x:f>
        <x:v>0</x:v>
      </x:c>
      <x:c r="DQ105" s="107" t="n">
        <x:f>SUM(IF($B$8=2,DQ29,0),IF($B$36=2,DQ57,0),IF($B$64=2,DQ85,0))</x:f>
        <x:v>0</x:v>
      </x:c>
      <x:c r="DR105" s="107" t="n">
        <x:f>SUM(IF($B$8=2,DR29,0),IF($B$36=2,DR57,0),IF($B$64=2,DR85,0))</x:f>
        <x:v>0</x:v>
      </x:c>
      <x:c r="DS105" s="107" t="n">
        <x:f>SUM(IF($B$8=2,DS29,0),IF($B$36=2,DS57,0),IF($B$64=2,DS85,0))</x:f>
        <x:v>0</x:v>
      </x:c>
    </x:row>
    <x:row r="106">
      <x:c r="A106" s="348" t="str">
        <x:v>Очередь 2 — Расходы на продажи объектов</x:v>
      </x:c>
      <x:c r="B106" s="348" t="n">
        <x:f>SUM(D106:DS106)</x:f>
        <x:v>0</x:v>
      </x:c>
      <x:c r="C106" s="348" t="str">
        <x:v>млн ₽</x:v>
      </x:c>
      <x:c r="D106" s="348" t="n">
        <x:f>SUM(IF($B$8=2,D30,0),IF($B$36=2,D58,0),IF($B$64=2,D86,0))</x:f>
        <x:v>0</x:v>
      </x:c>
      <x:c r="E106" s="348" t="n">
        <x:f>SUM(IF($B$8=2,E30,0),IF($B$36=2,E58,0),IF($B$64=2,E86,0))</x:f>
        <x:v>0</x:v>
      </x:c>
      <x:c r="F106" s="348" t="n">
        <x:f>SUM(IF($B$8=2,F30,0),IF($B$36=2,F58,0),IF($B$64=2,F86,0))</x:f>
        <x:v>0</x:v>
      </x:c>
      <x:c r="G106" s="348" t="n">
        <x:f>SUM(IF($B$8=2,G30,0),IF($B$36=2,G58,0),IF($B$64=2,G86,0))</x:f>
        <x:v>0</x:v>
      </x:c>
      <x:c r="H106" s="348" t="n">
        <x:f>SUM(IF($B$8=2,H30,0),IF($B$36=2,H58,0),IF($B$64=2,H86,0))</x:f>
        <x:v>0</x:v>
      </x:c>
      <x:c r="I106" s="348" t="n">
        <x:f>SUM(IF($B$8=2,I30,0),IF($B$36=2,I58,0),IF($B$64=2,I86,0))</x:f>
        <x:v>0</x:v>
      </x:c>
      <x:c r="J106" s="348" t="n">
        <x:f>SUM(IF($B$8=2,J30,0),IF($B$36=2,J58,0),IF($B$64=2,J86,0))</x:f>
        <x:v>0</x:v>
      </x:c>
      <x:c r="K106" s="348" t="n">
        <x:f>SUM(IF($B$8=2,K30,0),IF($B$36=2,K58,0),IF($B$64=2,K86,0))</x:f>
        <x:v>0</x:v>
      </x:c>
      <x:c r="L106" s="348" t="n">
        <x:f>SUM(IF($B$8=2,L30,0),IF($B$36=2,L58,0),IF($B$64=2,L86,0))</x:f>
        <x:v>0</x:v>
      </x:c>
      <x:c r="M106" s="348" t="n">
        <x:f>SUM(IF($B$8=2,M30,0),IF($B$36=2,M58,0),IF($B$64=2,M86,0))</x:f>
        <x:v>0</x:v>
      </x:c>
      <x:c r="N106" s="348" t="n">
        <x:f>SUM(IF($B$8=2,N30,0),IF($B$36=2,N58,0),IF($B$64=2,N86,0))</x:f>
        <x:v>0</x:v>
      </x:c>
      <x:c r="O106" s="348" t="n">
        <x:f>SUM(IF($B$8=2,O30,0),IF($B$36=2,O58,0),IF($B$64=2,O86,0))</x:f>
        <x:v>0</x:v>
      </x:c>
      <x:c r="P106" s="348" t="n">
        <x:f>SUM(IF($B$8=2,P30,0),IF($B$36=2,P58,0),IF($B$64=2,P86,0))</x:f>
        <x:v>0</x:v>
      </x:c>
      <x:c r="Q106" s="348" t="n">
        <x:f>SUM(IF($B$8=2,Q30,0),IF($B$36=2,Q58,0),IF($B$64=2,Q86,0))</x:f>
        <x:v>0</x:v>
      </x:c>
      <x:c r="R106" s="348" t="n">
        <x:f>SUM(IF($B$8=2,R30,0),IF($B$36=2,R58,0),IF($B$64=2,R86,0))</x:f>
        <x:v>0</x:v>
      </x:c>
      <x:c r="S106" s="348" t="n">
        <x:f>SUM(IF($B$8=2,S30,0),IF($B$36=2,S58,0),IF($B$64=2,S86,0))</x:f>
        <x:v>0</x:v>
      </x:c>
      <x:c r="T106" s="348" t="n">
        <x:f>SUM(IF($B$8=2,T30,0),IF($B$36=2,T58,0),IF($B$64=2,T86,0))</x:f>
        <x:v>0</x:v>
      </x:c>
      <x:c r="U106" s="348" t="n">
        <x:f>SUM(IF($B$8=2,U30,0),IF($B$36=2,U58,0),IF($B$64=2,U86,0))</x:f>
        <x:v>0</x:v>
      </x:c>
      <x:c r="V106" s="348" t="n">
        <x:f>SUM(IF($B$8=2,V30,0),IF($B$36=2,V58,0),IF($B$64=2,V86,0))</x:f>
        <x:v>0</x:v>
      </x:c>
      <x:c r="W106" s="348" t="n">
        <x:f>SUM(IF($B$8=2,W30,0),IF($B$36=2,W58,0),IF($B$64=2,W86,0))</x:f>
        <x:v>0</x:v>
      </x:c>
      <x:c r="X106" s="348" t="n">
        <x:f>SUM(IF($B$8=2,X30,0),IF($B$36=2,X58,0),IF($B$64=2,X86,0))</x:f>
        <x:v>0</x:v>
      </x:c>
      <x:c r="Y106" s="348" t="n">
        <x:f>SUM(IF($B$8=2,Y30,0),IF($B$36=2,Y58,0),IF($B$64=2,Y86,0))</x:f>
        <x:v>0</x:v>
      </x:c>
      <x:c r="Z106" s="348" t="n">
        <x:f>SUM(IF($B$8=2,Z30,0),IF($B$36=2,Z58,0),IF($B$64=2,Z86,0))</x:f>
        <x:v>0</x:v>
      </x:c>
      <x:c r="AA106" s="348" t="n">
        <x:f>SUM(IF($B$8=2,AA30,0),IF($B$36=2,AA58,0),IF($B$64=2,AA86,0))</x:f>
        <x:v>0</x:v>
      </x:c>
      <x:c r="AB106" s="348" t="n">
        <x:f>SUM(IF($B$8=2,AB30,0),IF($B$36=2,AB58,0),IF($B$64=2,AB86,0))</x:f>
        <x:v>0</x:v>
      </x:c>
      <x:c r="AC106" s="348" t="n">
        <x:f>SUM(IF($B$8=2,AC30,0),IF($B$36=2,AC58,0),IF($B$64=2,AC86,0))</x:f>
        <x:v>0</x:v>
      </x:c>
      <x:c r="AD106" s="348" t="n">
        <x:f>SUM(IF($B$8=2,AD30,0),IF($B$36=2,AD58,0),IF($B$64=2,AD86,0))</x:f>
        <x:v>0</x:v>
      </x:c>
      <x:c r="AE106" s="348" t="n">
        <x:f>SUM(IF($B$8=2,AE30,0),IF($B$36=2,AE58,0),IF($B$64=2,AE86,0))</x:f>
        <x:v>0</x:v>
      </x:c>
      <x:c r="AF106" s="348" t="n">
        <x:f>SUM(IF($B$8=2,AF30,0),IF($B$36=2,AF58,0),IF($B$64=2,AF86,0))</x:f>
        <x:v>0</x:v>
      </x:c>
      <x:c r="AG106" s="348" t="n">
        <x:f>SUM(IF($B$8=2,AG30,0),IF($B$36=2,AG58,0),IF($B$64=2,AG86,0))</x:f>
        <x:v>0</x:v>
      </x:c>
      <x:c r="AH106" s="348" t="n">
        <x:f>SUM(IF($B$8=2,AH30,0),IF($B$36=2,AH58,0),IF($B$64=2,AH86,0))</x:f>
        <x:v>0</x:v>
      </x:c>
      <x:c r="AI106" s="348" t="n">
        <x:f>SUM(IF($B$8=2,AI30,0),IF($B$36=2,AI58,0),IF($B$64=2,AI86,0))</x:f>
        <x:v>0</x:v>
      </x:c>
      <x:c r="AJ106" s="348" t="n">
        <x:f>SUM(IF($B$8=2,AJ30,0),IF($B$36=2,AJ58,0),IF($B$64=2,AJ86,0))</x:f>
        <x:v>0</x:v>
      </x:c>
      <x:c r="AK106" s="348" t="n">
        <x:f>SUM(IF($B$8=2,AK30,0),IF($B$36=2,AK58,0),IF($B$64=2,AK86,0))</x:f>
        <x:v>0</x:v>
      </x:c>
      <x:c r="AL106" s="348" t="n">
        <x:f>SUM(IF($B$8=2,AL30,0),IF($B$36=2,AL58,0),IF($B$64=2,AL86,0))</x:f>
        <x:v>0</x:v>
      </x:c>
      <x:c r="AM106" s="348" t="n">
        <x:f>SUM(IF($B$8=2,AM30,0),IF($B$36=2,AM58,0),IF($B$64=2,AM86,0))</x:f>
        <x:v>0</x:v>
      </x:c>
      <x:c r="AN106" s="348" t="n">
        <x:f>SUM(IF($B$8=2,AN30,0),IF($B$36=2,AN58,0),IF($B$64=2,AN86,0))</x:f>
        <x:v>0</x:v>
      </x:c>
      <x:c r="AO106" s="348" t="n">
        <x:f>SUM(IF($B$8=2,AO30,0),IF($B$36=2,AO58,0),IF($B$64=2,AO86,0))</x:f>
        <x:v>0</x:v>
      </x:c>
      <x:c r="AP106" s="348" t="n">
        <x:f>SUM(IF($B$8=2,AP30,0),IF($B$36=2,AP58,0),IF($B$64=2,AP86,0))</x:f>
        <x:v>0</x:v>
      </x:c>
      <x:c r="AQ106" s="348" t="n">
        <x:f>SUM(IF($B$8=2,AQ30,0),IF($B$36=2,AQ58,0),IF($B$64=2,AQ86,0))</x:f>
        <x:v>0</x:v>
      </x:c>
      <x:c r="AR106" s="348" t="n">
        <x:f>SUM(IF($B$8=2,AR30,0),IF($B$36=2,AR58,0),IF($B$64=2,AR86,0))</x:f>
        <x:v>0</x:v>
      </x:c>
      <x:c r="AS106" s="348" t="n">
        <x:f>SUM(IF($B$8=2,AS30,0),IF($B$36=2,AS58,0),IF($B$64=2,AS86,0))</x:f>
        <x:v>0</x:v>
      </x:c>
      <x:c r="AT106" s="348" t="n">
        <x:f>SUM(IF($B$8=2,AT30,0),IF($B$36=2,AT58,0),IF($B$64=2,AT86,0))</x:f>
        <x:v>0</x:v>
      </x:c>
      <x:c r="AU106" s="348" t="n">
        <x:f>SUM(IF($B$8=2,AU30,0),IF($B$36=2,AU58,0),IF($B$64=2,AU86,0))</x:f>
        <x:v>0</x:v>
      </x:c>
      <x:c r="AV106" s="348" t="n">
        <x:f>SUM(IF($B$8=2,AV30,0),IF($B$36=2,AV58,0),IF($B$64=2,AV86,0))</x:f>
        <x:v>0</x:v>
      </x:c>
      <x:c r="AW106" s="348" t="n">
        <x:f>SUM(IF($B$8=2,AW30,0),IF($B$36=2,AW58,0),IF($B$64=2,AW86,0))</x:f>
        <x:v>0</x:v>
      </x:c>
      <x:c r="AX106" s="348" t="n">
        <x:f>SUM(IF($B$8=2,AX30,0),IF($B$36=2,AX58,0),IF($B$64=2,AX86,0))</x:f>
        <x:v>0</x:v>
      </x:c>
      <x:c r="AY106" s="348" t="n">
        <x:f>SUM(IF($B$8=2,AY30,0),IF($B$36=2,AY58,0),IF($B$64=2,AY86,0))</x:f>
        <x:v>0</x:v>
      </x:c>
      <x:c r="AZ106" s="348" t="n">
        <x:f>SUM(IF($B$8=2,AZ30,0),IF($B$36=2,AZ58,0),IF($B$64=2,AZ86,0))</x:f>
        <x:v>0</x:v>
      </x:c>
      <x:c r="BA106" s="348" t="n">
        <x:f>SUM(IF($B$8=2,BA30,0),IF($B$36=2,BA58,0),IF($B$64=2,BA86,0))</x:f>
        <x:v>0</x:v>
      </x:c>
      <x:c r="BB106" s="348" t="n">
        <x:f>SUM(IF($B$8=2,BB30,0),IF($B$36=2,BB58,0),IF($B$64=2,BB86,0))</x:f>
        <x:v>0</x:v>
      </x:c>
      <x:c r="BC106" s="348" t="n">
        <x:f>SUM(IF($B$8=2,BC30,0),IF($B$36=2,BC58,0),IF($B$64=2,BC86,0))</x:f>
        <x:v>0</x:v>
      </x:c>
      <x:c r="BD106" s="348" t="n">
        <x:f>SUM(IF($B$8=2,BD30,0),IF($B$36=2,BD58,0),IF($B$64=2,BD86,0))</x:f>
        <x:v>0</x:v>
      </x:c>
      <x:c r="BE106" s="348" t="n">
        <x:f>SUM(IF($B$8=2,BE30,0),IF($B$36=2,BE58,0),IF($B$64=2,BE86,0))</x:f>
        <x:v>0</x:v>
      </x:c>
      <x:c r="BF106" s="348" t="n">
        <x:f>SUM(IF($B$8=2,BF30,0),IF($B$36=2,BF58,0),IF($B$64=2,BF86,0))</x:f>
        <x:v>0</x:v>
      </x:c>
      <x:c r="BG106" s="348" t="n">
        <x:f>SUM(IF($B$8=2,BG30,0),IF($B$36=2,BG58,0),IF($B$64=2,BG86,0))</x:f>
        <x:v>0</x:v>
      </x:c>
      <x:c r="BH106" s="348" t="n">
        <x:f>SUM(IF($B$8=2,BH30,0),IF($B$36=2,BH58,0),IF($B$64=2,BH86,0))</x:f>
        <x:v>0</x:v>
      </x:c>
      <x:c r="BI106" s="348" t="n">
        <x:f>SUM(IF($B$8=2,BI30,0),IF($B$36=2,BI58,0),IF($B$64=2,BI86,0))</x:f>
        <x:v>0</x:v>
      </x:c>
      <x:c r="BJ106" s="348" t="n">
        <x:f>SUM(IF($B$8=2,BJ30,0),IF($B$36=2,BJ58,0),IF($B$64=2,BJ86,0))</x:f>
        <x:v>0</x:v>
      </x:c>
      <x:c r="BK106" s="348" t="n">
        <x:f>SUM(IF($B$8=2,BK30,0),IF($B$36=2,BK58,0),IF($B$64=2,BK86,0))</x:f>
        <x:v>0</x:v>
      </x:c>
      <x:c r="BL106" s="348" t="n">
        <x:f>SUM(IF($B$8=2,BL30,0),IF($B$36=2,BL58,0),IF($B$64=2,BL86,0))</x:f>
        <x:v>0</x:v>
      </x:c>
      <x:c r="BM106" s="348" t="n">
        <x:f>SUM(IF($B$8=2,BM30,0),IF($B$36=2,BM58,0),IF($B$64=2,BM86,0))</x:f>
        <x:v>0</x:v>
      </x:c>
      <x:c r="BN106" s="348" t="n">
        <x:f>SUM(IF($B$8=2,BN30,0),IF($B$36=2,BN58,0),IF($B$64=2,BN86,0))</x:f>
        <x:v>0</x:v>
      </x:c>
      <x:c r="BO106" s="348" t="n">
        <x:f>SUM(IF($B$8=2,BO30,0),IF($B$36=2,BO58,0),IF($B$64=2,BO86,0))</x:f>
        <x:v>0</x:v>
      </x:c>
      <x:c r="BP106" s="348" t="n">
        <x:f>SUM(IF($B$8=2,BP30,0),IF($B$36=2,BP58,0),IF($B$64=2,BP86,0))</x:f>
        <x:v>0</x:v>
      </x:c>
      <x:c r="BQ106" s="348" t="n">
        <x:f>SUM(IF($B$8=2,BQ30,0),IF($B$36=2,BQ58,0),IF($B$64=2,BQ86,0))</x:f>
        <x:v>0</x:v>
      </x:c>
      <x:c r="BR106" s="348" t="n">
        <x:f>SUM(IF($B$8=2,BR30,0),IF($B$36=2,BR58,0),IF($B$64=2,BR86,0))</x:f>
        <x:v>0</x:v>
      </x:c>
      <x:c r="BS106" s="348" t="n">
        <x:f>SUM(IF($B$8=2,BS30,0),IF($B$36=2,BS58,0),IF($B$64=2,BS86,0))</x:f>
        <x:v>0</x:v>
      </x:c>
      <x:c r="BT106" s="348" t="n">
        <x:f>SUM(IF($B$8=2,BT30,0),IF($B$36=2,BT58,0),IF($B$64=2,BT86,0))</x:f>
        <x:v>0</x:v>
      </x:c>
      <x:c r="BU106" s="348" t="n">
        <x:f>SUM(IF($B$8=2,BU30,0),IF($B$36=2,BU58,0),IF($B$64=2,BU86,0))</x:f>
        <x:v>0</x:v>
      </x:c>
      <x:c r="BV106" s="348" t="n">
        <x:f>SUM(IF($B$8=2,BV30,0),IF($B$36=2,BV58,0),IF($B$64=2,BV86,0))</x:f>
        <x:v>0</x:v>
      </x:c>
      <x:c r="BW106" s="348" t="n">
        <x:f>SUM(IF($B$8=2,BW30,0),IF($B$36=2,BW58,0),IF($B$64=2,BW86,0))</x:f>
        <x:v>0</x:v>
      </x:c>
      <x:c r="BX106" s="348" t="n">
        <x:f>SUM(IF($B$8=2,BX30,0),IF($B$36=2,BX58,0),IF($B$64=2,BX86,0))</x:f>
        <x:v>0</x:v>
      </x:c>
      <x:c r="BY106" s="348" t="n">
        <x:f>SUM(IF($B$8=2,BY30,0),IF($B$36=2,BY58,0),IF($B$64=2,BY86,0))</x:f>
        <x:v>0</x:v>
      </x:c>
      <x:c r="BZ106" s="348" t="n">
        <x:f>SUM(IF($B$8=2,BZ30,0),IF($B$36=2,BZ58,0),IF($B$64=2,BZ86,0))</x:f>
        <x:v>0</x:v>
      </x:c>
      <x:c r="CA106" s="348" t="n">
        <x:f>SUM(IF($B$8=2,CA30,0),IF($B$36=2,CA58,0),IF($B$64=2,CA86,0))</x:f>
        <x:v>0</x:v>
      </x:c>
      <x:c r="CB106" s="348" t="n">
        <x:f>SUM(IF($B$8=2,CB30,0),IF($B$36=2,CB58,0),IF($B$64=2,CB86,0))</x:f>
        <x:v>0</x:v>
      </x:c>
      <x:c r="CC106" s="348" t="n">
        <x:f>SUM(IF($B$8=2,CC30,0),IF($B$36=2,CC58,0),IF($B$64=2,CC86,0))</x:f>
        <x:v>0</x:v>
      </x:c>
      <x:c r="CD106" s="348" t="n">
        <x:f>SUM(IF($B$8=2,CD30,0),IF($B$36=2,CD58,0),IF($B$64=2,CD86,0))</x:f>
        <x:v>0</x:v>
      </x:c>
      <x:c r="CE106" s="348" t="n">
        <x:f>SUM(IF($B$8=2,CE30,0),IF($B$36=2,CE58,0),IF($B$64=2,CE86,0))</x:f>
        <x:v>0</x:v>
      </x:c>
      <x:c r="CF106" s="348" t="n">
        <x:f>SUM(IF($B$8=2,CF30,0),IF($B$36=2,CF58,0),IF($B$64=2,CF86,0))</x:f>
        <x:v>0</x:v>
      </x:c>
      <x:c r="CG106" s="348" t="n">
        <x:f>SUM(IF($B$8=2,CG30,0),IF($B$36=2,CG58,0),IF($B$64=2,CG86,0))</x:f>
        <x:v>0</x:v>
      </x:c>
      <x:c r="CH106" s="348" t="n">
        <x:f>SUM(IF($B$8=2,CH30,0),IF($B$36=2,CH58,0),IF($B$64=2,CH86,0))</x:f>
        <x:v>0</x:v>
      </x:c>
      <x:c r="CI106" s="348" t="n">
        <x:f>SUM(IF($B$8=2,CI30,0),IF($B$36=2,CI58,0),IF($B$64=2,CI86,0))</x:f>
        <x:v>0</x:v>
      </x:c>
      <x:c r="CJ106" s="348" t="n">
        <x:f>SUM(IF($B$8=2,CJ30,0),IF($B$36=2,CJ58,0),IF($B$64=2,CJ86,0))</x:f>
        <x:v>0</x:v>
      </x:c>
      <x:c r="CK106" s="348" t="n">
        <x:f>SUM(IF($B$8=2,CK30,0),IF($B$36=2,CK58,0),IF($B$64=2,CK86,0))</x:f>
        <x:v>0</x:v>
      </x:c>
      <x:c r="CL106" s="348" t="n">
        <x:f>SUM(IF($B$8=2,CL30,0),IF($B$36=2,CL58,0),IF($B$64=2,CL86,0))</x:f>
        <x:v>0</x:v>
      </x:c>
      <x:c r="CM106" s="348" t="n">
        <x:f>SUM(IF($B$8=2,CM30,0),IF($B$36=2,CM58,0),IF($B$64=2,CM86,0))</x:f>
        <x:v>0</x:v>
      </x:c>
      <x:c r="CN106" s="348" t="n">
        <x:f>SUM(IF($B$8=2,CN30,0),IF($B$36=2,CN58,0),IF($B$64=2,CN86,0))</x:f>
        <x:v>0</x:v>
      </x:c>
      <x:c r="CO106" s="348" t="n">
        <x:f>SUM(IF($B$8=2,CO30,0),IF($B$36=2,CO58,0),IF($B$64=2,CO86,0))</x:f>
        <x:v>0</x:v>
      </x:c>
      <x:c r="CP106" s="348" t="n">
        <x:f>SUM(IF($B$8=2,CP30,0),IF($B$36=2,CP58,0),IF($B$64=2,CP86,0))</x:f>
        <x:v>0</x:v>
      </x:c>
      <x:c r="CQ106" s="348" t="n">
        <x:f>SUM(IF($B$8=2,CQ30,0),IF($B$36=2,CQ58,0),IF($B$64=2,CQ86,0))</x:f>
        <x:v>0</x:v>
      </x:c>
      <x:c r="CR106" s="348" t="n">
        <x:f>SUM(IF($B$8=2,CR30,0),IF($B$36=2,CR58,0),IF($B$64=2,CR86,0))</x:f>
        <x:v>0</x:v>
      </x:c>
      <x:c r="CS106" s="348" t="n">
        <x:f>SUM(IF($B$8=2,CS30,0),IF($B$36=2,CS58,0),IF($B$64=2,CS86,0))</x:f>
        <x:v>0</x:v>
      </x:c>
      <x:c r="CT106" s="348" t="n">
        <x:f>SUM(IF($B$8=2,CT30,0),IF($B$36=2,CT58,0),IF($B$64=2,CT86,0))</x:f>
        <x:v>0</x:v>
      </x:c>
      <x:c r="CU106" s="348" t="n">
        <x:f>SUM(IF($B$8=2,CU30,0),IF($B$36=2,CU58,0),IF($B$64=2,CU86,0))</x:f>
        <x:v>0</x:v>
      </x:c>
      <x:c r="CV106" s="348" t="n">
        <x:f>SUM(IF($B$8=2,CV30,0),IF($B$36=2,CV58,0),IF($B$64=2,CV86,0))</x:f>
        <x:v>0</x:v>
      </x:c>
      <x:c r="CW106" s="348" t="n">
        <x:f>SUM(IF($B$8=2,CW30,0),IF($B$36=2,CW58,0),IF($B$64=2,CW86,0))</x:f>
        <x:v>0</x:v>
      </x:c>
      <x:c r="CX106" s="348" t="n">
        <x:f>SUM(IF($B$8=2,CX30,0),IF($B$36=2,CX58,0),IF($B$64=2,CX86,0))</x:f>
        <x:v>0</x:v>
      </x:c>
      <x:c r="CY106" s="348" t="n">
        <x:f>SUM(IF($B$8=2,CY30,0),IF($B$36=2,CY58,0),IF($B$64=2,CY86,0))</x:f>
        <x:v>0</x:v>
      </x:c>
      <x:c r="CZ106" s="348" t="n">
        <x:f>SUM(IF($B$8=2,CZ30,0),IF($B$36=2,CZ58,0),IF($B$64=2,CZ86,0))</x:f>
        <x:v>0</x:v>
      </x:c>
      <x:c r="DA106" s="348" t="n">
        <x:f>SUM(IF($B$8=2,DA30,0),IF($B$36=2,DA58,0),IF($B$64=2,DA86,0))</x:f>
        <x:v>0</x:v>
      </x:c>
      <x:c r="DB106" s="348" t="n">
        <x:f>SUM(IF($B$8=2,DB30,0),IF($B$36=2,DB58,0),IF($B$64=2,DB86,0))</x:f>
        <x:v>0</x:v>
      </x:c>
      <x:c r="DC106" s="348" t="n">
        <x:f>SUM(IF($B$8=2,DC30,0),IF($B$36=2,DC58,0),IF($B$64=2,DC86,0))</x:f>
        <x:v>0</x:v>
      </x:c>
      <x:c r="DD106" s="348" t="n">
        <x:f>SUM(IF($B$8=2,DD30,0),IF($B$36=2,DD58,0),IF($B$64=2,DD86,0))</x:f>
        <x:v>0</x:v>
      </x:c>
      <x:c r="DE106" s="348" t="n">
        <x:f>SUM(IF($B$8=2,DE30,0),IF($B$36=2,DE58,0),IF($B$64=2,DE86,0))</x:f>
        <x:v>0</x:v>
      </x:c>
      <x:c r="DF106" s="348" t="n">
        <x:f>SUM(IF($B$8=2,DF30,0),IF($B$36=2,DF58,0),IF($B$64=2,DF86,0))</x:f>
        <x:v>0</x:v>
      </x:c>
      <x:c r="DG106" s="348" t="n">
        <x:f>SUM(IF($B$8=2,DG30,0),IF($B$36=2,DG58,0),IF($B$64=2,DG86,0))</x:f>
        <x:v>0</x:v>
      </x:c>
      <x:c r="DH106" s="348" t="n">
        <x:f>SUM(IF($B$8=2,DH30,0),IF($B$36=2,DH58,0),IF($B$64=2,DH86,0))</x:f>
        <x:v>0</x:v>
      </x:c>
      <x:c r="DI106" s="348" t="n">
        <x:f>SUM(IF($B$8=2,DI30,0),IF($B$36=2,DI58,0),IF($B$64=2,DI86,0))</x:f>
        <x:v>0</x:v>
      </x:c>
      <x:c r="DJ106" s="348" t="n">
        <x:f>SUM(IF($B$8=2,DJ30,0),IF($B$36=2,DJ58,0),IF($B$64=2,DJ86,0))</x:f>
        <x:v>0</x:v>
      </x:c>
      <x:c r="DK106" s="348" t="n">
        <x:f>SUM(IF($B$8=2,DK30,0),IF($B$36=2,DK58,0),IF($B$64=2,DK86,0))</x:f>
        <x:v>0</x:v>
      </x:c>
      <x:c r="DL106" s="348" t="n">
        <x:f>SUM(IF($B$8=2,DL30,0),IF($B$36=2,DL58,0),IF($B$64=2,DL86,0))</x:f>
        <x:v>0</x:v>
      </x:c>
      <x:c r="DM106" s="348" t="n">
        <x:f>SUM(IF($B$8=2,DM30,0),IF($B$36=2,DM58,0),IF($B$64=2,DM86,0))</x:f>
        <x:v>0</x:v>
      </x:c>
      <x:c r="DN106" s="348" t="n">
        <x:f>SUM(IF($B$8=2,DN30,0),IF($B$36=2,DN58,0),IF($B$64=2,DN86,0))</x:f>
        <x:v>0</x:v>
      </x:c>
      <x:c r="DO106" s="348" t="n">
        <x:f>SUM(IF($B$8=2,DO30,0),IF($B$36=2,DO58,0),IF($B$64=2,DO86,0))</x:f>
        <x:v>0</x:v>
      </x:c>
      <x:c r="DP106" s="348" t="n">
        <x:f>SUM(IF($B$8=2,DP30,0),IF($B$36=2,DP58,0),IF($B$64=2,DP86,0))</x:f>
        <x:v>0</x:v>
      </x:c>
      <x:c r="DQ106" s="348" t="n">
        <x:f>SUM(IF($B$8=2,DQ30,0),IF($B$36=2,DQ58,0),IF($B$64=2,DQ86,0))</x:f>
        <x:v>0</x:v>
      </x:c>
      <x:c r="DR106" s="348" t="n">
        <x:f>SUM(IF($B$8=2,DR30,0),IF($B$36=2,DR58,0),IF($B$64=2,DR86,0))</x:f>
        <x:v>0</x:v>
      </x:c>
      <x:c r="DS106" s="348" t="n">
        <x:f>SUM(IF($B$8=2,DS30,0),IF($B$36=2,DS58,0),IF($B$64=2,DS86,0))</x:f>
        <x:v>0</x:v>
      </x:c>
    </x:row>
    <x:row r="108">
      <x:c r="A108" t="str">
        <x:v>Очередь 3 — Выручка объектов</x:v>
      </x:c>
      <x:c r="B108" s="107" t="n">
        <x:f>SUM(D108:DS108)</x:f>
        <x:v>0</x:v>
      </x:c>
      <x:c r="C108" t="str">
        <x:v>млн ₽</x:v>
      </x:c>
      <x:c r="D108" s="107" t="n">
        <x:f>SUM(IF($B$8=3,D24,0),IF($B$36=3,D52,0),IF($B$64=3,D80,0))</x:f>
        <x:v>0</x:v>
      </x:c>
      <x:c r="E108" s="107" t="n">
        <x:f>SUM(IF($B$8=3,E24,0),IF($B$36=3,E52,0),IF($B$64=3,E80,0))</x:f>
        <x:v>0</x:v>
      </x:c>
      <x:c r="F108" s="107" t="n">
        <x:f>SUM(IF($B$8=3,F24,0),IF($B$36=3,F52,0),IF($B$64=3,F80,0))</x:f>
        <x:v>0</x:v>
      </x:c>
      <x:c r="G108" s="107" t="n">
        <x:f>SUM(IF($B$8=3,G24,0),IF($B$36=3,G52,0),IF($B$64=3,G80,0))</x:f>
        <x:v>0</x:v>
      </x:c>
      <x:c r="H108" s="107" t="n">
        <x:f>SUM(IF($B$8=3,H24,0),IF($B$36=3,H52,0),IF($B$64=3,H80,0))</x:f>
        <x:v>0</x:v>
      </x:c>
      <x:c r="I108" s="107" t="n">
        <x:f>SUM(IF($B$8=3,I24,0),IF($B$36=3,I52,0),IF($B$64=3,I80,0))</x:f>
        <x:v>0</x:v>
      </x:c>
      <x:c r="J108" s="107" t="n">
        <x:f>SUM(IF($B$8=3,J24,0),IF($B$36=3,J52,0),IF($B$64=3,J80,0))</x:f>
        <x:v>0</x:v>
      </x:c>
      <x:c r="K108" s="107" t="n">
        <x:f>SUM(IF($B$8=3,K24,0),IF($B$36=3,K52,0),IF($B$64=3,K80,0))</x:f>
        <x:v>0</x:v>
      </x:c>
      <x:c r="L108" s="107" t="n">
        <x:f>SUM(IF($B$8=3,L24,0),IF($B$36=3,L52,0),IF($B$64=3,L80,0))</x:f>
        <x:v>0</x:v>
      </x:c>
      <x:c r="M108" s="107" t="n">
        <x:f>SUM(IF($B$8=3,M24,0),IF($B$36=3,M52,0),IF($B$64=3,M80,0))</x:f>
        <x:v>0</x:v>
      </x:c>
      <x:c r="N108" s="107" t="n">
        <x:f>SUM(IF($B$8=3,N24,0),IF($B$36=3,N52,0),IF($B$64=3,N80,0))</x:f>
        <x:v>0</x:v>
      </x:c>
      <x:c r="O108" s="107" t="n">
        <x:f>SUM(IF($B$8=3,O24,0),IF($B$36=3,O52,0),IF($B$64=3,O80,0))</x:f>
        <x:v>0</x:v>
      </x:c>
      <x:c r="P108" s="107" t="n">
        <x:f>SUM(IF($B$8=3,P24,0),IF($B$36=3,P52,0),IF($B$64=3,P80,0))</x:f>
        <x:v>0</x:v>
      </x:c>
      <x:c r="Q108" s="107" t="n">
        <x:f>SUM(IF($B$8=3,Q24,0),IF($B$36=3,Q52,0),IF($B$64=3,Q80,0))</x:f>
        <x:v>0</x:v>
      </x:c>
      <x:c r="R108" s="107" t="n">
        <x:f>SUM(IF($B$8=3,R24,0),IF($B$36=3,R52,0),IF($B$64=3,R80,0))</x:f>
        <x:v>0</x:v>
      </x:c>
      <x:c r="S108" s="107" t="n">
        <x:f>SUM(IF($B$8=3,S24,0),IF($B$36=3,S52,0),IF($B$64=3,S80,0))</x:f>
        <x:v>0</x:v>
      </x:c>
      <x:c r="T108" s="107" t="n">
        <x:f>SUM(IF($B$8=3,T24,0),IF($B$36=3,T52,0),IF($B$64=3,T80,0))</x:f>
        <x:v>0</x:v>
      </x:c>
      <x:c r="U108" s="107" t="n">
        <x:f>SUM(IF($B$8=3,U24,0),IF($B$36=3,U52,0),IF($B$64=3,U80,0))</x:f>
        <x:v>0</x:v>
      </x:c>
      <x:c r="V108" s="107" t="n">
        <x:f>SUM(IF($B$8=3,V24,0),IF($B$36=3,V52,0),IF($B$64=3,V80,0))</x:f>
        <x:v>0</x:v>
      </x:c>
      <x:c r="W108" s="107" t="n">
        <x:f>SUM(IF($B$8=3,W24,0),IF($B$36=3,W52,0),IF($B$64=3,W80,0))</x:f>
        <x:v>0</x:v>
      </x:c>
      <x:c r="X108" s="107" t="n">
        <x:f>SUM(IF($B$8=3,X24,0),IF($B$36=3,X52,0),IF($B$64=3,X80,0))</x:f>
        <x:v>0</x:v>
      </x:c>
      <x:c r="Y108" s="107" t="n">
        <x:f>SUM(IF($B$8=3,Y24,0),IF($B$36=3,Y52,0),IF($B$64=3,Y80,0))</x:f>
        <x:v>0</x:v>
      </x:c>
      <x:c r="Z108" s="107" t="n">
        <x:f>SUM(IF($B$8=3,Z24,0),IF($B$36=3,Z52,0),IF($B$64=3,Z80,0))</x:f>
        <x:v>0</x:v>
      </x:c>
      <x:c r="AA108" s="107" t="n">
        <x:f>SUM(IF($B$8=3,AA24,0),IF($B$36=3,AA52,0),IF($B$64=3,AA80,0))</x:f>
        <x:v>0</x:v>
      </x:c>
      <x:c r="AB108" s="107" t="n">
        <x:f>SUM(IF($B$8=3,AB24,0),IF($B$36=3,AB52,0),IF($B$64=3,AB80,0))</x:f>
        <x:v>0</x:v>
      </x:c>
      <x:c r="AC108" s="107" t="n">
        <x:f>SUM(IF($B$8=3,AC24,0),IF($B$36=3,AC52,0),IF($B$64=3,AC80,0))</x:f>
        <x:v>0</x:v>
      </x:c>
      <x:c r="AD108" s="107" t="n">
        <x:f>SUM(IF($B$8=3,AD24,0),IF($B$36=3,AD52,0),IF($B$64=3,AD80,0))</x:f>
        <x:v>0</x:v>
      </x:c>
      <x:c r="AE108" s="107" t="n">
        <x:f>SUM(IF($B$8=3,AE24,0),IF($B$36=3,AE52,0),IF($B$64=3,AE80,0))</x:f>
        <x:v>0</x:v>
      </x:c>
      <x:c r="AF108" s="107" t="n">
        <x:f>SUM(IF($B$8=3,AF24,0),IF($B$36=3,AF52,0),IF($B$64=3,AF80,0))</x:f>
        <x:v>0</x:v>
      </x:c>
      <x:c r="AG108" s="107" t="n">
        <x:f>SUM(IF($B$8=3,AG24,0),IF($B$36=3,AG52,0),IF($B$64=3,AG80,0))</x:f>
        <x:v>0</x:v>
      </x:c>
      <x:c r="AH108" s="107" t="n">
        <x:f>SUM(IF($B$8=3,AH24,0),IF($B$36=3,AH52,0),IF($B$64=3,AH80,0))</x:f>
        <x:v>0</x:v>
      </x:c>
      <x:c r="AI108" s="107" t="n">
        <x:f>SUM(IF($B$8=3,AI24,0),IF($B$36=3,AI52,0),IF($B$64=3,AI80,0))</x:f>
        <x:v>0</x:v>
      </x:c>
      <x:c r="AJ108" s="107" t="n">
        <x:f>SUM(IF($B$8=3,AJ24,0),IF($B$36=3,AJ52,0),IF($B$64=3,AJ80,0))</x:f>
        <x:v>0</x:v>
      </x:c>
      <x:c r="AK108" s="107" t="n">
        <x:f>SUM(IF($B$8=3,AK24,0),IF($B$36=3,AK52,0),IF($B$64=3,AK80,0))</x:f>
        <x:v>0</x:v>
      </x:c>
      <x:c r="AL108" s="107" t="n">
        <x:f>SUM(IF($B$8=3,AL24,0),IF($B$36=3,AL52,0),IF($B$64=3,AL80,0))</x:f>
        <x:v>0</x:v>
      </x:c>
      <x:c r="AM108" s="107" t="n">
        <x:f>SUM(IF($B$8=3,AM24,0),IF($B$36=3,AM52,0),IF($B$64=3,AM80,0))</x:f>
        <x:v>0</x:v>
      </x:c>
      <x:c r="AN108" s="107" t="n">
        <x:f>SUM(IF($B$8=3,AN24,0),IF($B$36=3,AN52,0),IF($B$64=3,AN80,0))</x:f>
        <x:v>0</x:v>
      </x:c>
      <x:c r="AO108" s="107" t="n">
        <x:f>SUM(IF($B$8=3,AO24,0),IF($B$36=3,AO52,0),IF($B$64=3,AO80,0))</x:f>
        <x:v>0</x:v>
      </x:c>
      <x:c r="AP108" s="107" t="n">
        <x:f>SUM(IF($B$8=3,AP24,0),IF($B$36=3,AP52,0),IF($B$64=3,AP80,0))</x:f>
        <x:v>0</x:v>
      </x:c>
      <x:c r="AQ108" s="107" t="n">
        <x:f>SUM(IF($B$8=3,AQ24,0),IF($B$36=3,AQ52,0),IF($B$64=3,AQ80,0))</x:f>
        <x:v>0</x:v>
      </x:c>
      <x:c r="AR108" s="107" t="n">
        <x:f>SUM(IF($B$8=3,AR24,0),IF($B$36=3,AR52,0),IF($B$64=3,AR80,0))</x:f>
        <x:v>0</x:v>
      </x:c>
      <x:c r="AS108" s="107" t="n">
        <x:f>SUM(IF($B$8=3,AS24,0),IF($B$36=3,AS52,0),IF($B$64=3,AS80,0))</x:f>
        <x:v>0</x:v>
      </x:c>
      <x:c r="AT108" s="107" t="n">
        <x:f>SUM(IF($B$8=3,AT24,0),IF($B$36=3,AT52,0),IF($B$64=3,AT80,0))</x:f>
        <x:v>0</x:v>
      </x:c>
      <x:c r="AU108" s="107" t="n">
        <x:f>SUM(IF($B$8=3,AU24,0),IF($B$36=3,AU52,0),IF($B$64=3,AU80,0))</x:f>
        <x:v>0</x:v>
      </x:c>
      <x:c r="AV108" s="107" t="n">
        <x:f>SUM(IF($B$8=3,AV24,0),IF($B$36=3,AV52,0),IF($B$64=3,AV80,0))</x:f>
        <x:v>0</x:v>
      </x:c>
      <x:c r="AW108" s="107" t="n">
        <x:f>SUM(IF($B$8=3,AW24,0),IF($B$36=3,AW52,0),IF($B$64=3,AW80,0))</x:f>
        <x:v>0</x:v>
      </x:c>
      <x:c r="AX108" s="107" t="n">
        <x:f>SUM(IF($B$8=3,AX24,0),IF($B$36=3,AX52,0),IF($B$64=3,AX80,0))</x:f>
        <x:v>0</x:v>
      </x:c>
      <x:c r="AY108" s="107" t="n">
        <x:f>SUM(IF($B$8=3,AY24,0),IF($B$36=3,AY52,0),IF($B$64=3,AY80,0))</x:f>
        <x:v>0</x:v>
      </x:c>
      <x:c r="AZ108" s="107" t="n">
        <x:f>SUM(IF($B$8=3,AZ24,0),IF($B$36=3,AZ52,0),IF($B$64=3,AZ80,0))</x:f>
        <x:v>0</x:v>
      </x:c>
      <x:c r="BA108" s="107" t="n">
        <x:f>SUM(IF($B$8=3,BA24,0),IF($B$36=3,BA52,0),IF($B$64=3,BA80,0))</x:f>
        <x:v>0</x:v>
      </x:c>
      <x:c r="BB108" s="107" t="n">
        <x:f>SUM(IF($B$8=3,BB24,0),IF($B$36=3,BB52,0),IF($B$64=3,BB80,0))</x:f>
        <x:v>0</x:v>
      </x:c>
      <x:c r="BC108" s="107" t="n">
        <x:f>SUM(IF($B$8=3,BC24,0),IF($B$36=3,BC52,0),IF($B$64=3,BC80,0))</x:f>
        <x:v>0</x:v>
      </x:c>
      <x:c r="BD108" s="107" t="n">
        <x:f>SUM(IF($B$8=3,BD24,0),IF($B$36=3,BD52,0),IF($B$64=3,BD80,0))</x:f>
        <x:v>0</x:v>
      </x:c>
      <x:c r="BE108" s="107" t="n">
        <x:f>SUM(IF($B$8=3,BE24,0),IF($B$36=3,BE52,0),IF($B$64=3,BE80,0))</x:f>
        <x:v>0</x:v>
      </x:c>
      <x:c r="BF108" s="107" t="n">
        <x:f>SUM(IF($B$8=3,BF24,0),IF($B$36=3,BF52,0),IF($B$64=3,BF80,0))</x:f>
        <x:v>0</x:v>
      </x:c>
      <x:c r="BG108" s="107" t="n">
        <x:f>SUM(IF($B$8=3,BG24,0),IF($B$36=3,BG52,0),IF($B$64=3,BG80,0))</x:f>
        <x:v>0</x:v>
      </x:c>
      <x:c r="BH108" s="107" t="n">
        <x:f>SUM(IF($B$8=3,BH24,0),IF($B$36=3,BH52,0),IF($B$64=3,BH80,0))</x:f>
        <x:v>0</x:v>
      </x:c>
      <x:c r="BI108" s="107" t="n">
        <x:f>SUM(IF($B$8=3,BI24,0),IF($B$36=3,BI52,0),IF($B$64=3,BI80,0))</x:f>
        <x:v>0</x:v>
      </x:c>
      <x:c r="BJ108" s="107" t="n">
        <x:f>SUM(IF($B$8=3,BJ24,0),IF($B$36=3,BJ52,0),IF($B$64=3,BJ80,0))</x:f>
        <x:v>0</x:v>
      </x:c>
      <x:c r="BK108" s="107" t="n">
        <x:f>SUM(IF($B$8=3,BK24,0),IF($B$36=3,BK52,0),IF($B$64=3,BK80,0))</x:f>
        <x:v>0</x:v>
      </x:c>
      <x:c r="BL108" s="107" t="n">
        <x:f>SUM(IF($B$8=3,BL24,0),IF($B$36=3,BL52,0),IF($B$64=3,BL80,0))</x:f>
        <x:v>0</x:v>
      </x:c>
      <x:c r="BM108" s="107" t="n">
        <x:f>SUM(IF($B$8=3,BM24,0),IF($B$36=3,BM52,0),IF($B$64=3,BM80,0))</x:f>
        <x:v>0</x:v>
      </x:c>
      <x:c r="BN108" s="107" t="n">
        <x:f>SUM(IF($B$8=3,BN24,0),IF($B$36=3,BN52,0),IF($B$64=3,BN80,0))</x:f>
        <x:v>0</x:v>
      </x:c>
      <x:c r="BO108" s="107" t="n">
        <x:f>SUM(IF($B$8=3,BO24,0),IF($B$36=3,BO52,0),IF($B$64=3,BO80,0))</x:f>
        <x:v>0</x:v>
      </x:c>
      <x:c r="BP108" s="107" t="n">
        <x:f>SUM(IF($B$8=3,BP24,0),IF($B$36=3,BP52,0),IF($B$64=3,BP80,0))</x:f>
        <x:v>0</x:v>
      </x:c>
      <x:c r="BQ108" s="107" t="n">
        <x:f>SUM(IF($B$8=3,BQ24,0),IF($B$36=3,BQ52,0),IF($B$64=3,BQ80,0))</x:f>
        <x:v>0</x:v>
      </x:c>
      <x:c r="BR108" s="107" t="n">
        <x:f>SUM(IF($B$8=3,BR24,0),IF($B$36=3,BR52,0),IF($B$64=3,BR80,0))</x:f>
        <x:v>0</x:v>
      </x:c>
      <x:c r="BS108" s="107" t="n">
        <x:f>SUM(IF($B$8=3,BS24,0),IF($B$36=3,BS52,0),IF($B$64=3,BS80,0))</x:f>
        <x:v>0</x:v>
      </x:c>
      <x:c r="BT108" s="107" t="n">
        <x:f>SUM(IF($B$8=3,BT24,0),IF($B$36=3,BT52,0),IF($B$64=3,BT80,0))</x:f>
        <x:v>0</x:v>
      </x:c>
      <x:c r="BU108" s="107" t="n">
        <x:f>SUM(IF($B$8=3,BU24,0),IF($B$36=3,BU52,0),IF($B$64=3,BU80,0))</x:f>
        <x:v>0</x:v>
      </x:c>
      <x:c r="BV108" s="107" t="n">
        <x:f>SUM(IF($B$8=3,BV24,0),IF($B$36=3,BV52,0),IF($B$64=3,BV80,0))</x:f>
        <x:v>0</x:v>
      </x:c>
      <x:c r="BW108" s="107" t="n">
        <x:f>SUM(IF($B$8=3,BW24,0),IF($B$36=3,BW52,0),IF($B$64=3,BW80,0))</x:f>
        <x:v>0</x:v>
      </x:c>
      <x:c r="BX108" s="107" t="n">
        <x:f>SUM(IF($B$8=3,BX24,0),IF($B$36=3,BX52,0),IF($B$64=3,BX80,0))</x:f>
        <x:v>0</x:v>
      </x:c>
      <x:c r="BY108" s="107" t="n">
        <x:f>SUM(IF($B$8=3,BY24,0),IF($B$36=3,BY52,0),IF($B$64=3,BY80,0))</x:f>
        <x:v>0</x:v>
      </x:c>
      <x:c r="BZ108" s="107" t="n">
        <x:f>SUM(IF($B$8=3,BZ24,0),IF($B$36=3,BZ52,0),IF($B$64=3,BZ80,0))</x:f>
        <x:v>0</x:v>
      </x:c>
      <x:c r="CA108" s="107" t="n">
        <x:f>SUM(IF($B$8=3,CA24,0),IF($B$36=3,CA52,0),IF($B$64=3,CA80,0))</x:f>
        <x:v>0</x:v>
      </x:c>
      <x:c r="CB108" s="107" t="n">
        <x:f>SUM(IF($B$8=3,CB24,0),IF($B$36=3,CB52,0),IF($B$64=3,CB80,0))</x:f>
        <x:v>0</x:v>
      </x:c>
      <x:c r="CC108" s="107" t="n">
        <x:f>SUM(IF($B$8=3,CC24,0),IF($B$36=3,CC52,0),IF($B$64=3,CC80,0))</x:f>
        <x:v>0</x:v>
      </x:c>
      <x:c r="CD108" s="107" t="n">
        <x:f>SUM(IF($B$8=3,CD24,0),IF($B$36=3,CD52,0),IF($B$64=3,CD80,0))</x:f>
        <x:v>0</x:v>
      </x:c>
      <x:c r="CE108" s="107" t="n">
        <x:f>SUM(IF($B$8=3,CE24,0),IF($B$36=3,CE52,0),IF($B$64=3,CE80,0))</x:f>
        <x:v>0</x:v>
      </x:c>
      <x:c r="CF108" s="107" t="n">
        <x:f>SUM(IF($B$8=3,CF24,0),IF($B$36=3,CF52,0),IF($B$64=3,CF80,0))</x:f>
        <x:v>0</x:v>
      </x:c>
      <x:c r="CG108" s="107" t="n">
        <x:f>SUM(IF($B$8=3,CG24,0),IF($B$36=3,CG52,0),IF($B$64=3,CG80,0))</x:f>
        <x:v>0</x:v>
      </x:c>
      <x:c r="CH108" s="107" t="n">
        <x:f>SUM(IF($B$8=3,CH24,0),IF($B$36=3,CH52,0),IF($B$64=3,CH80,0))</x:f>
        <x:v>0</x:v>
      </x:c>
      <x:c r="CI108" s="107" t="n">
        <x:f>SUM(IF($B$8=3,CI24,0),IF($B$36=3,CI52,0),IF($B$64=3,CI80,0))</x:f>
        <x:v>0</x:v>
      </x:c>
      <x:c r="CJ108" s="107" t="n">
        <x:f>SUM(IF($B$8=3,CJ24,0),IF($B$36=3,CJ52,0),IF($B$64=3,CJ80,0))</x:f>
        <x:v>0</x:v>
      </x:c>
      <x:c r="CK108" s="107" t="n">
        <x:f>SUM(IF($B$8=3,CK24,0),IF($B$36=3,CK52,0),IF($B$64=3,CK80,0))</x:f>
        <x:v>0</x:v>
      </x:c>
      <x:c r="CL108" s="107" t="n">
        <x:f>SUM(IF($B$8=3,CL24,0),IF($B$36=3,CL52,0),IF($B$64=3,CL80,0))</x:f>
        <x:v>0</x:v>
      </x:c>
      <x:c r="CM108" s="107" t="n">
        <x:f>SUM(IF($B$8=3,CM24,0),IF($B$36=3,CM52,0),IF($B$64=3,CM80,0))</x:f>
        <x:v>0</x:v>
      </x:c>
      <x:c r="CN108" s="107" t="n">
        <x:f>SUM(IF($B$8=3,CN24,0),IF($B$36=3,CN52,0),IF($B$64=3,CN80,0))</x:f>
        <x:v>0</x:v>
      </x:c>
      <x:c r="CO108" s="107" t="n">
        <x:f>SUM(IF($B$8=3,CO24,0),IF($B$36=3,CO52,0),IF($B$64=3,CO80,0))</x:f>
        <x:v>0</x:v>
      </x:c>
      <x:c r="CP108" s="107" t="n">
        <x:f>SUM(IF($B$8=3,CP24,0),IF($B$36=3,CP52,0),IF($B$64=3,CP80,0))</x:f>
        <x:v>0</x:v>
      </x:c>
      <x:c r="CQ108" s="107" t="n">
        <x:f>SUM(IF($B$8=3,CQ24,0),IF($B$36=3,CQ52,0),IF($B$64=3,CQ80,0))</x:f>
        <x:v>0</x:v>
      </x:c>
      <x:c r="CR108" s="107" t="n">
        <x:f>SUM(IF($B$8=3,CR24,0),IF($B$36=3,CR52,0),IF($B$64=3,CR80,0))</x:f>
        <x:v>0</x:v>
      </x:c>
      <x:c r="CS108" s="107" t="n">
        <x:f>SUM(IF($B$8=3,CS24,0),IF($B$36=3,CS52,0),IF($B$64=3,CS80,0))</x:f>
        <x:v>0</x:v>
      </x:c>
      <x:c r="CT108" s="107" t="n">
        <x:f>SUM(IF($B$8=3,CT24,0),IF($B$36=3,CT52,0),IF($B$64=3,CT80,0))</x:f>
        <x:v>0</x:v>
      </x:c>
      <x:c r="CU108" s="107" t="n">
        <x:f>SUM(IF($B$8=3,CU24,0),IF($B$36=3,CU52,0),IF($B$64=3,CU80,0))</x:f>
        <x:v>0</x:v>
      </x:c>
      <x:c r="CV108" s="107" t="n">
        <x:f>SUM(IF($B$8=3,CV24,0),IF($B$36=3,CV52,0),IF($B$64=3,CV80,0))</x:f>
        <x:v>0</x:v>
      </x:c>
      <x:c r="CW108" s="107" t="n">
        <x:f>SUM(IF($B$8=3,CW24,0),IF($B$36=3,CW52,0),IF($B$64=3,CW80,0))</x:f>
        <x:v>0</x:v>
      </x:c>
      <x:c r="CX108" s="107" t="n">
        <x:f>SUM(IF($B$8=3,CX24,0),IF($B$36=3,CX52,0),IF($B$64=3,CX80,0))</x:f>
        <x:v>0</x:v>
      </x:c>
      <x:c r="CY108" s="107" t="n">
        <x:f>SUM(IF($B$8=3,CY24,0),IF($B$36=3,CY52,0),IF($B$64=3,CY80,0))</x:f>
        <x:v>0</x:v>
      </x:c>
      <x:c r="CZ108" s="107" t="n">
        <x:f>SUM(IF($B$8=3,CZ24,0),IF($B$36=3,CZ52,0),IF($B$64=3,CZ80,0))</x:f>
        <x:v>0</x:v>
      </x:c>
      <x:c r="DA108" s="107" t="n">
        <x:f>SUM(IF($B$8=3,DA24,0),IF($B$36=3,DA52,0),IF($B$64=3,DA80,0))</x:f>
        <x:v>0</x:v>
      </x:c>
      <x:c r="DB108" s="107" t="n">
        <x:f>SUM(IF($B$8=3,DB24,0),IF($B$36=3,DB52,0),IF($B$64=3,DB80,0))</x:f>
        <x:v>0</x:v>
      </x:c>
      <x:c r="DC108" s="107" t="n">
        <x:f>SUM(IF($B$8=3,DC24,0),IF($B$36=3,DC52,0),IF($B$64=3,DC80,0))</x:f>
        <x:v>0</x:v>
      </x:c>
      <x:c r="DD108" s="107" t="n">
        <x:f>SUM(IF($B$8=3,DD24,0),IF($B$36=3,DD52,0),IF($B$64=3,DD80,0))</x:f>
        <x:v>0</x:v>
      </x:c>
      <x:c r="DE108" s="107" t="n">
        <x:f>SUM(IF($B$8=3,DE24,0),IF($B$36=3,DE52,0),IF($B$64=3,DE80,0))</x:f>
        <x:v>0</x:v>
      </x:c>
      <x:c r="DF108" s="107" t="n">
        <x:f>SUM(IF($B$8=3,DF24,0),IF($B$36=3,DF52,0),IF($B$64=3,DF80,0))</x:f>
        <x:v>0</x:v>
      </x:c>
      <x:c r="DG108" s="107" t="n">
        <x:f>SUM(IF($B$8=3,DG24,0),IF($B$36=3,DG52,0),IF($B$64=3,DG80,0))</x:f>
        <x:v>0</x:v>
      </x:c>
      <x:c r="DH108" s="107" t="n">
        <x:f>SUM(IF($B$8=3,DH24,0),IF($B$36=3,DH52,0),IF($B$64=3,DH80,0))</x:f>
        <x:v>0</x:v>
      </x:c>
      <x:c r="DI108" s="107" t="n">
        <x:f>SUM(IF($B$8=3,DI24,0),IF($B$36=3,DI52,0),IF($B$64=3,DI80,0))</x:f>
        <x:v>0</x:v>
      </x:c>
      <x:c r="DJ108" s="107" t="n">
        <x:f>SUM(IF($B$8=3,DJ24,0),IF($B$36=3,DJ52,0),IF($B$64=3,DJ80,0))</x:f>
        <x:v>0</x:v>
      </x:c>
      <x:c r="DK108" s="107" t="n">
        <x:f>SUM(IF($B$8=3,DK24,0),IF($B$36=3,DK52,0),IF($B$64=3,DK80,0))</x:f>
        <x:v>0</x:v>
      </x:c>
      <x:c r="DL108" s="107" t="n">
        <x:f>SUM(IF($B$8=3,DL24,0),IF($B$36=3,DL52,0),IF($B$64=3,DL80,0))</x:f>
        <x:v>0</x:v>
      </x:c>
      <x:c r="DM108" s="107" t="n">
        <x:f>SUM(IF($B$8=3,DM24,0),IF($B$36=3,DM52,0),IF($B$64=3,DM80,0))</x:f>
        <x:v>0</x:v>
      </x:c>
      <x:c r="DN108" s="107" t="n">
        <x:f>SUM(IF($B$8=3,DN24,0),IF($B$36=3,DN52,0),IF($B$64=3,DN80,0))</x:f>
        <x:v>0</x:v>
      </x:c>
      <x:c r="DO108" s="107" t="n">
        <x:f>SUM(IF($B$8=3,DO24,0),IF($B$36=3,DO52,0),IF($B$64=3,DO80,0))</x:f>
        <x:v>0</x:v>
      </x:c>
      <x:c r="DP108" s="107" t="n">
        <x:f>SUM(IF($B$8=3,DP24,0),IF($B$36=3,DP52,0),IF($B$64=3,DP80,0))</x:f>
        <x:v>0</x:v>
      </x:c>
      <x:c r="DQ108" s="107" t="n">
        <x:f>SUM(IF($B$8=3,DQ24,0),IF($B$36=3,DQ52,0),IF($B$64=3,DQ80,0))</x:f>
        <x:v>0</x:v>
      </x:c>
      <x:c r="DR108" s="107" t="n">
        <x:f>SUM(IF($B$8=3,DR24,0),IF($B$36=3,DR52,0),IF($B$64=3,DR80,0))</x:f>
        <x:v>0</x:v>
      </x:c>
      <x:c r="DS108" s="107" t="n">
        <x:f>SUM(IF($B$8=3,DS24,0),IF($B$36=3,DS52,0),IF($B$64=3,DS80,0))</x:f>
        <x:v>0</x:v>
      </x:c>
    </x:row>
    <x:row r="109">
      <x:c r="A109" t="str">
        <x:v>Очередь 3 — Поступления объектов на эскроу</x:v>
      </x:c>
      <x:c r="B109" s="107" t="n">
        <x:f>SUM(D109:DS109)</x:f>
        <x:v>0</x:v>
      </x:c>
      <x:c r="C109" t="str">
        <x:v>млн ₽</x:v>
      </x:c>
      <x:c r="D109" s="107" t="n">
        <x:f>SUM(IF($B$8=3,D25,0),IF($B$36=3,D53,0),IF($B$64=3,D81,0))</x:f>
        <x:v>0</x:v>
      </x:c>
      <x:c r="E109" s="107" t="n">
        <x:f>SUM(IF($B$8=3,E25,0),IF($B$36=3,E53,0),IF($B$64=3,E81,0))</x:f>
        <x:v>0</x:v>
      </x:c>
      <x:c r="F109" s="107" t="n">
        <x:f>SUM(IF($B$8=3,F25,0),IF($B$36=3,F53,0),IF($B$64=3,F81,0))</x:f>
        <x:v>0</x:v>
      </x:c>
      <x:c r="G109" s="107" t="n">
        <x:f>SUM(IF($B$8=3,G25,0),IF($B$36=3,G53,0),IF($B$64=3,G81,0))</x:f>
        <x:v>0</x:v>
      </x:c>
      <x:c r="H109" s="107" t="n">
        <x:f>SUM(IF($B$8=3,H25,0),IF($B$36=3,H53,0),IF($B$64=3,H81,0))</x:f>
        <x:v>0</x:v>
      </x:c>
      <x:c r="I109" s="107" t="n">
        <x:f>SUM(IF($B$8=3,I25,0),IF($B$36=3,I53,0),IF($B$64=3,I81,0))</x:f>
        <x:v>0</x:v>
      </x:c>
      <x:c r="J109" s="107" t="n">
        <x:f>SUM(IF($B$8=3,J25,0),IF($B$36=3,J53,0),IF($B$64=3,J81,0))</x:f>
        <x:v>0</x:v>
      </x:c>
      <x:c r="K109" s="107" t="n">
        <x:f>SUM(IF($B$8=3,K25,0),IF($B$36=3,K53,0),IF($B$64=3,K81,0))</x:f>
        <x:v>0</x:v>
      </x:c>
      <x:c r="L109" s="107" t="n">
        <x:f>SUM(IF($B$8=3,L25,0),IF($B$36=3,L53,0),IF($B$64=3,L81,0))</x:f>
        <x:v>0</x:v>
      </x:c>
      <x:c r="M109" s="107" t="n">
        <x:f>SUM(IF($B$8=3,M25,0),IF($B$36=3,M53,0),IF($B$64=3,M81,0))</x:f>
        <x:v>0</x:v>
      </x:c>
      <x:c r="N109" s="107" t="n">
        <x:f>SUM(IF($B$8=3,N25,0),IF($B$36=3,N53,0),IF($B$64=3,N81,0))</x:f>
        <x:v>0</x:v>
      </x:c>
      <x:c r="O109" s="107" t="n">
        <x:f>SUM(IF($B$8=3,O25,0),IF($B$36=3,O53,0),IF($B$64=3,O81,0))</x:f>
        <x:v>0</x:v>
      </x:c>
      <x:c r="P109" s="107" t="n">
        <x:f>SUM(IF($B$8=3,P25,0),IF($B$36=3,P53,0),IF($B$64=3,P81,0))</x:f>
        <x:v>0</x:v>
      </x:c>
      <x:c r="Q109" s="107" t="n">
        <x:f>SUM(IF($B$8=3,Q25,0),IF($B$36=3,Q53,0),IF($B$64=3,Q81,0))</x:f>
        <x:v>0</x:v>
      </x:c>
      <x:c r="R109" s="107" t="n">
        <x:f>SUM(IF($B$8=3,R25,0),IF($B$36=3,R53,0),IF($B$64=3,R81,0))</x:f>
        <x:v>0</x:v>
      </x:c>
      <x:c r="S109" s="107" t="n">
        <x:f>SUM(IF($B$8=3,S25,0),IF($B$36=3,S53,0),IF($B$64=3,S81,0))</x:f>
        <x:v>0</x:v>
      </x:c>
      <x:c r="T109" s="107" t="n">
        <x:f>SUM(IF($B$8=3,T25,0),IF($B$36=3,T53,0),IF($B$64=3,T81,0))</x:f>
        <x:v>0</x:v>
      </x:c>
      <x:c r="U109" s="107" t="n">
        <x:f>SUM(IF($B$8=3,U25,0),IF($B$36=3,U53,0),IF($B$64=3,U81,0))</x:f>
        <x:v>0</x:v>
      </x:c>
      <x:c r="V109" s="107" t="n">
        <x:f>SUM(IF($B$8=3,V25,0),IF($B$36=3,V53,0),IF($B$64=3,V81,0))</x:f>
        <x:v>0</x:v>
      </x:c>
      <x:c r="W109" s="107" t="n">
        <x:f>SUM(IF($B$8=3,W25,0),IF($B$36=3,W53,0),IF($B$64=3,W81,0))</x:f>
        <x:v>0</x:v>
      </x:c>
      <x:c r="X109" s="107" t="n">
        <x:f>SUM(IF($B$8=3,X25,0),IF($B$36=3,X53,0),IF($B$64=3,X81,0))</x:f>
        <x:v>0</x:v>
      </x:c>
      <x:c r="Y109" s="107" t="n">
        <x:f>SUM(IF($B$8=3,Y25,0),IF($B$36=3,Y53,0),IF($B$64=3,Y81,0))</x:f>
        <x:v>0</x:v>
      </x:c>
      <x:c r="Z109" s="107" t="n">
        <x:f>SUM(IF($B$8=3,Z25,0),IF($B$36=3,Z53,0),IF($B$64=3,Z81,0))</x:f>
        <x:v>0</x:v>
      </x:c>
      <x:c r="AA109" s="107" t="n">
        <x:f>SUM(IF($B$8=3,AA25,0),IF($B$36=3,AA53,0),IF($B$64=3,AA81,0))</x:f>
        <x:v>0</x:v>
      </x:c>
      <x:c r="AB109" s="107" t="n">
        <x:f>SUM(IF($B$8=3,AB25,0),IF($B$36=3,AB53,0),IF($B$64=3,AB81,0))</x:f>
        <x:v>0</x:v>
      </x:c>
      <x:c r="AC109" s="107" t="n">
        <x:f>SUM(IF($B$8=3,AC25,0),IF($B$36=3,AC53,0),IF($B$64=3,AC81,0))</x:f>
        <x:v>0</x:v>
      </x:c>
      <x:c r="AD109" s="107" t="n">
        <x:f>SUM(IF($B$8=3,AD25,0),IF($B$36=3,AD53,0),IF($B$64=3,AD81,0))</x:f>
        <x:v>0</x:v>
      </x:c>
      <x:c r="AE109" s="107" t="n">
        <x:f>SUM(IF($B$8=3,AE25,0),IF($B$36=3,AE53,0),IF($B$64=3,AE81,0))</x:f>
        <x:v>0</x:v>
      </x:c>
      <x:c r="AF109" s="107" t="n">
        <x:f>SUM(IF($B$8=3,AF25,0),IF($B$36=3,AF53,0),IF($B$64=3,AF81,0))</x:f>
        <x:v>0</x:v>
      </x:c>
      <x:c r="AG109" s="107" t="n">
        <x:f>SUM(IF($B$8=3,AG25,0),IF($B$36=3,AG53,0),IF($B$64=3,AG81,0))</x:f>
        <x:v>0</x:v>
      </x:c>
      <x:c r="AH109" s="107" t="n">
        <x:f>SUM(IF($B$8=3,AH25,0),IF($B$36=3,AH53,0),IF($B$64=3,AH81,0))</x:f>
        <x:v>0</x:v>
      </x:c>
      <x:c r="AI109" s="107" t="n">
        <x:f>SUM(IF($B$8=3,AI25,0),IF($B$36=3,AI53,0),IF($B$64=3,AI81,0))</x:f>
        <x:v>0</x:v>
      </x:c>
      <x:c r="AJ109" s="107" t="n">
        <x:f>SUM(IF($B$8=3,AJ25,0),IF($B$36=3,AJ53,0),IF($B$64=3,AJ81,0))</x:f>
        <x:v>0</x:v>
      </x:c>
      <x:c r="AK109" s="107" t="n">
        <x:f>SUM(IF($B$8=3,AK25,0),IF($B$36=3,AK53,0),IF($B$64=3,AK81,0))</x:f>
        <x:v>0</x:v>
      </x:c>
      <x:c r="AL109" s="107" t="n">
        <x:f>SUM(IF($B$8=3,AL25,0),IF($B$36=3,AL53,0),IF($B$64=3,AL81,0))</x:f>
        <x:v>0</x:v>
      </x:c>
      <x:c r="AM109" s="107" t="n">
        <x:f>SUM(IF($B$8=3,AM25,0),IF($B$36=3,AM53,0),IF($B$64=3,AM81,0))</x:f>
        <x:v>0</x:v>
      </x:c>
      <x:c r="AN109" s="107" t="n">
        <x:f>SUM(IF($B$8=3,AN25,0),IF($B$36=3,AN53,0),IF($B$64=3,AN81,0))</x:f>
        <x:v>0</x:v>
      </x:c>
      <x:c r="AO109" s="107" t="n">
        <x:f>SUM(IF($B$8=3,AO25,0),IF($B$36=3,AO53,0),IF($B$64=3,AO81,0))</x:f>
        <x:v>0</x:v>
      </x:c>
      <x:c r="AP109" s="107" t="n">
        <x:f>SUM(IF($B$8=3,AP25,0),IF($B$36=3,AP53,0),IF($B$64=3,AP81,0))</x:f>
        <x:v>0</x:v>
      </x:c>
      <x:c r="AQ109" s="107" t="n">
        <x:f>SUM(IF($B$8=3,AQ25,0),IF($B$36=3,AQ53,0),IF($B$64=3,AQ81,0))</x:f>
        <x:v>0</x:v>
      </x:c>
      <x:c r="AR109" s="107" t="n">
        <x:f>SUM(IF($B$8=3,AR25,0),IF($B$36=3,AR53,0),IF($B$64=3,AR81,0))</x:f>
        <x:v>0</x:v>
      </x:c>
      <x:c r="AS109" s="107" t="n">
        <x:f>SUM(IF($B$8=3,AS25,0),IF($B$36=3,AS53,0),IF($B$64=3,AS81,0))</x:f>
        <x:v>0</x:v>
      </x:c>
      <x:c r="AT109" s="107" t="n">
        <x:f>SUM(IF($B$8=3,AT25,0),IF($B$36=3,AT53,0),IF($B$64=3,AT81,0))</x:f>
        <x:v>0</x:v>
      </x:c>
      <x:c r="AU109" s="107" t="n">
        <x:f>SUM(IF($B$8=3,AU25,0),IF($B$36=3,AU53,0),IF($B$64=3,AU81,0))</x:f>
        <x:v>0</x:v>
      </x:c>
      <x:c r="AV109" s="107" t="n">
        <x:f>SUM(IF($B$8=3,AV25,0),IF($B$36=3,AV53,0),IF($B$64=3,AV81,0))</x:f>
        <x:v>0</x:v>
      </x:c>
      <x:c r="AW109" s="107" t="n">
        <x:f>SUM(IF($B$8=3,AW25,0),IF($B$36=3,AW53,0),IF($B$64=3,AW81,0))</x:f>
        <x:v>0</x:v>
      </x:c>
      <x:c r="AX109" s="107" t="n">
        <x:f>SUM(IF($B$8=3,AX25,0),IF($B$36=3,AX53,0),IF($B$64=3,AX81,0))</x:f>
        <x:v>0</x:v>
      </x:c>
      <x:c r="AY109" s="107" t="n">
        <x:f>SUM(IF($B$8=3,AY25,0),IF($B$36=3,AY53,0),IF($B$64=3,AY81,0))</x:f>
        <x:v>0</x:v>
      </x:c>
      <x:c r="AZ109" s="107" t="n">
        <x:f>SUM(IF($B$8=3,AZ25,0),IF($B$36=3,AZ53,0),IF($B$64=3,AZ81,0))</x:f>
        <x:v>0</x:v>
      </x:c>
      <x:c r="BA109" s="107" t="n">
        <x:f>SUM(IF($B$8=3,BA25,0),IF($B$36=3,BA53,0),IF($B$64=3,BA81,0))</x:f>
        <x:v>0</x:v>
      </x:c>
      <x:c r="BB109" s="107" t="n">
        <x:f>SUM(IF($B$8=3,BB25,0),IF($B$36=3,BB53,0),IF($B$64=3,BB81,0))</x:f>
        <x:v>0</x:v>
      </x:c>
      <x:c r="BC109" s="107" t="n">
        <x:f>SUM(IF($B$8=3,BC25,0),IF($B$36=3,BC53,0),IF($B$64=3,BC81,0))</x:f>
        <x:v>0</x:v>
      </x:c>
      <x:c r="BD109" s="107" t="n">
        <x:f>SUM(IF($B$8=3,BD25,0),IF($B$36=3,BD53,0),IF($B$64=3,BD81,0))</x:f>
        <x:v>0</x:v>
      </x:c>
      <x:c r="BE109" s="107" t="n">
        <x:f>SUM(IF($B$8=3,BE25,0),IF($B$36=3,BE53,0),IF($B$64=3,BE81,0))</x:f>
        <x:v>0</x:v>
      </x:c>
      <x:c r="BF109" s="107" t="n">
        <x:f>SUM(IF($B$8=3,BF25,0),IF($B$36=3,BF53,0),IF($B$64=3,BF81,0))</x:f>
        <x:v>0</x:v>
      </x:c>
      <x:c r="BG109" s="107" t="n">
        <x:f>SUM(IF($B$8=3,BG25,0),IF($B$36=3,BG53,0),IF($B$64=3,BG81,0))</x:f>
        <x:v>0</x:v>
      </x:c>
      <x:c r="BH109" s="107" t="n">
        <x:f>SUM(IF($B$8=3,BH25,0),IF($B$36=3,BH53,0),IF($B$64=3,BH81,0))</x:f>
        <x:v>0</x:v>
      </x:c>
      <x:c r="BI109" s="107" t="n">
        <x:f>SUM(IF($B$8=3,BI25,0),IF($B$36=3,BI53,0),IF($B$64=3,BI81,0))</x:f>
        <x:v>0</x:v>
      </x:c>
      <x:c r="BJ109" s="107" t="n">
        <x:f>SUM(IF($B$8=3,BJ25,0),IF($B$36=3,BJ53,0),IF($B$64=3,BJ81,0))</x:f>
        <x:v>0</x:v>
      </x:c>
      <x:c r="BK109" s="107" t="n">
        <x:f>SUM(IF($B$8=3,BK25,0),IF($B$36=3,BK53,0),IF($B$64=3,BK81,0))</x:f>
        <x:v>0</x:v>
      </x:c>
      <x:c r="BL109" s="107" t="n">
        <x:f>SUM(IF($B$8=3,BL25,0),IF($B$36=3,BL53,0),IF($B$64=3,BL81,0))</x:f>
        <x:v>0</x:v>
      </x:c>
      <x:c r="BM109" s="107" t="n">
        <x:f>SUM(IF($B$8=3,BM25,0),IF($B$36=3,BM53,0),IF($B$64=3,BM81,0))</x:f>
        <x:v>0</x:v>
      </x:c>
      <x:c r="BN109" s="107" t="n">
        <x:f>SUM(IF($B$8=3,BN25,0),IF($B$36=3,BN53,0),IF($B$64=3,BN81,0))</x:f>
        <x:v>0</x:v>
      </x:c>
      <x:c r="BO109" s="107" t="n">
        <x:f>SUM(IF($B$8=3,BO25,0),IF($B$36=3,BO53,0),IF($B$64=3,BO81,0))</x:f>
        <x:v>0</x:v>
      </x:c>
      <x:c r="BP109" s="107" t="n">
        <x:f>SUM(IF($B$8=3,BP25,0),IF($B$36=3,BP53,0),IF($B$64=3,BP81,0))</x:f>
        <x:v>0</x:v>
      </x:c>
      <x:c r="BQ109" s="107" t="n">
        <x:f>SUM(IF($B$8=3,BQ25,0),IF($B$36=3,BQ53,0),IF($B$64=3,BQ81,0))</x:f>
        <x:v>0</x:v>
      </x:c>
      <x:c r="BR109" s="107" t="n">
        <x:f>SUM(IF($B$8=3,BR25,0),IF($B$36=3,BR53,0),IF($B$64=3,BR81,0))</x:f>
        <x:v>0</x:v>
      </x:c>
      <x:c r="BS109" s="107" t="n">
        <x:f>SUM(IF($B$8=3,BS25,0),IF($B$36=3,BS53,0),IF($B$64=3,BS81,0))</x:f>
        <x:v>0</x:v>
      </x:c>
      <x:c r="BT109" s="107" t="n">
        <x:f>SUM(IF($B$8=3,BT25,0),IF($B$36=3,BT53,0),IF($B$64=3,BT81,0))</x:f>
        <x:v>0</x:v>
      </x:c>
      <x:c r="BU109" s="107" t="n">
        <x:f>SUM(IF($B$8=3,BU25,0),IF($B$36=3,BU53,0),IF($B$64=3,BU81,0))</x:f>
        <x:v>0</x:v>
      </x:c>
      <x:c r="BV109" s="107" t="n">
        <x:f>SUM(IF($B$8=3,BV25,0),IF($B$36=3,BV53,0),IF($B$64=3,BV81,0))</x:f>
        <x:v>0</x:v>
      </x:c>
      <x:c r="BW109" s="107" t="n">
        <x:f>SUM(IF($B$8=3,BW25,0),IF($B$36=3,BW53,0),IF($B$64=3,BW81,0))</x:f>
        <x:v>0</x:v>
      </x:c>
      <x:c r="BX109" s="107" t="n">
        <x:f>SUM(IF($B$8=3,BX25,0),IF($B$36=3,BX53,0),IF($B$64=3,BX81,0))</x:f>
        <x:v>0</x:v>
      </x:c>
      <x:c r="BY109" s="107" t="n">
        <x:f>SUM(IF($B$8=3,BY25,0),IF($B$36=3,BY53,0),IF($B$64=3,BY81,0))</x:f>
        <x:v>0</x:v>
      </x:c>
      <x:c r="BZ109" s="107" t="n">
        <x:f>SUM(IF($B$8=3,BZ25,0),IF($B$36=3,BZ53,0),IF($B$64=3,BZ81,0))</x:f>
        <x:v>0</x:v>
      </x:c>
      <x:c r="CA109" s="107" t="n">
        <x:f>SUM(IF($B$8=3,CA25,0),IF($B$36=3,CA53,0),IF($B$64=3,CA81,0))</x:f>
        <x:v>0</x:v>
      </x:c>
      <x:c r="CB109" s="107" t="n">
        <x:f>SUM(IF($B$8=3,CB25,0),IF($B$36=3,CB53,0),IF($B$64=3,CB81,0))</x:f>
        <x:v>0</x:v>
      </x:c>
      <x:c r="CC109" s="107" t="n">
        <x:f>SUM(IF($B$8=3,CC25,0),IF($B$36=3,CC53,0),IF($B$64=3,CC81,0))</x:f>
        <x:v>0</x:v>
      </x:c>
      <x:c r="CD109" s="107" t="n">
        <x:f>SUM(IF($B$8=3,CD25,0),IF($B$36=3,CD53,0),IF($B$64=3,CD81,0))</x:f>
        <x:v>0</x:v>
      </x:c>
      <x:c r="CE109" s="107" t="n">
        <x:f>SUM(IF($B$8=3,CE25,0),IF($B$36=3,CE53,0),IF($B$64=3,CE81,0))</x:f>
        <x:v>0</x:v>
      </x:c>
      <x:c r="CF109" s="107" t="n">
        <x:f>SUM(IF($B$8=3,CF25,0),IF($B$36=3,CF53,0),IF($B$64=3,CF81,0))</x:f>
        <x:v>0</x:v>
      </x:c>
      <x:c r="CG109" s="107" t="n">
        <x:f>SUM(IF($B$8=3,CG25,0),IF($B$36=3,CG53,0),IF($B$64=3,CG81,0))</x:f>
        <x:v>0</x:v>
      </x:c>
      <x:c r="CH109" s="107" t="n">
        <x:f>SUM(IF($B$8=3,CH25,0),IF($B$36=3,CH53,0),IF($B$64=3,CH81,0))</x:f>
        <x:v>0</x:v>
      </x:c>
      <x:c r="CI109" s="107" t="n">
        <x:f>SUM(IF($B$8=3,CI25,0),IF($B$36=3,CI53,0),IF($B$64=3,CI81,0))</x:f>
        <x:v>0</x:v>
      </x:c>
      <x:c r="CJ109" s="107" t="n">
        <x:f>SUM(IF($B$8=3,CJ25,0),IF($B$36=3,CJ53,0),IF($B$64=3,CJ81,0))</x:f>
        <x:v>0</x:v>
      </x:c>
      <x:c r="CK109" s="107" t="n">
        <x:f>SUM(IF($B$8=3,CK25,0),IF($B$36=3,CK53,0),IF($B$64=3,CK81,0))</x:f>
        <x:v>0</x:v>
      </x:c>
      <x:c r="CL109" s="107" t="n">
        <x:f>SUM(IF($B$8=3,CL25,0),IF($B$36=3,CL53,0),IF($B$64=3,CL81,0))</x:f>
        <x:v>0</x:v>
      </x:c>
      <x:c r="CM109" s="107" t="n">
        <x:f>SUM(IF($B$8=3,CM25,0),IF($B$36=3,CM53,0),IF($B$64=3,CM81,0))</x:f>
        <x:v>0</x:v>
      </x:c>
      <x:c r="CN109" s="107" t="n">
        <x:f>SUM(IF($B$8=3,CN25,0),IF($B$36=3,CN53,0),IF($B$64=3,CN81,0))</x:f>
        <x:v>0</x:v>
      </x:c>
      <x:c r="CO109" s="107" t="n">
        <x:f>SUM(IF($B$8=3,CO25,0),IF($B$36=3,CO53,0),IF($B$64=3,CO81,0))</x:f>
        <x:v>0</x:v>
      </x:c>
      <x:c r="CP109" s="107" t="n">
        <x:f>SUM(IF($B$8=3,CP25,0),IF($B$36=3,CP53,0),IF($B$64=3,CP81,0))</x:f>
        <x:v>0</x:v>
      </x:c>
      <x:c r="CQ109" s="107" t="n">
        <x:f>SUM(IF($B$8=3,CQ25,0),IF($B$36=3,CQ53,0),IF($B$64=3,CQ81,0))</x:f>
        <x:v>0</x:v>
      </x:c>
      <x:c r="CR109" s="107" t="n">
        <x:f>SUM(IF($B$8=3,CR25,0),IF($B$36=3,CR53,0),IF($B$64=3,CR81,0))</x:f>
        <x:v>0</x:v>
      </x:c>
      <x:c r="CS109" s="107" t="n">
        <x:f>SUM(IF($B$8=3,CS25,0),IF($B$36=3,CS53,0),IF($B$64=3,CS81,0))</x:f>
        <x:v>0</x:v>
      </x:c>
      <x:c r="CT109" s="107" t="n">
        <x:f>SUM(IF($B$8=3,CT25,0),IF($B$36=3,CT53,0),IF($B$64=3,CT81,0))</x:f>
        <x:v>0</x:v>
      </x:c>
      <x:c r="CU109" s="107" t="n">
        <x:f>SUM(IF($B$8=3,CU25,0),IF($B$36=3,CU53,0),IF($B$64=3,CU81,0))</x:f>
        <x:v>0</x:v>
      </x:c>
      <x:c r="CV109" s="107" t="n">
        <x:f>SUM(IF($B$8=3,CV25,0),IF($B$36=3,CV53,0),IF($B$64=3,CV81,0))</x:f>
        <x:v>0</x:v>
      </x:c>
      <x:c r="CW109" s="107" t="n">
        <x:f>SUM(IF($B$8=3,CW25,0),IF($B$36=3,CW53,0),IF($B$64=3,CW81,0))</x:f>
        <x:v>0</x:v>
      </x:c>
      <x:c r="CX109" s="107" t="n">
        <x:f>SUM(IF($B$8=3,CX25,0),IF($B$36=3,CX53,0),IF($B$64=3,CX81,0))</x:f>
        <x:v>0</x:v>
      </x:c>
      <x:c r="CY109" s="107" t="n">
        <x:f>SUM(IF($B$8=3,CY25,0),IF($B$36=3,CY53,0),IF($B$64=3,CY81,0))</x:f>
        <x:v>0</x:v>
      </x:c>
      <x:c r="CZ109" s="107" t="n">
        <x:f>SUM(IF($B$8=3,CZ25,0),IF($B$36=3,CZ53,0),IF($B$64=3,CZ81,0))</x:f>
        <x:v>0</x:v>
      </x:c>
      <x:c r="DA109" s="107" t="n">
        <x:f>SUM(IF($B$8=3,DA25,0),IF($B$36=3,DA53,0),IF($B$64=3,DA81,0))</x:f>
        <x:v>0</x:v>
      </x:c>
      <x:c r="DB109" s="107" t="n">
        <x:f>SUM(IF($B$8=3,DB25,0),IF($B$36=3,DB53,0),IF($B$64=3,DB81,0))</x:f>
        <x:v>0</x:v>
      </x:c>
      <x:c r="DC109" s="107" t="n">
        <x:f>SUM(IF($B$8=3,DC25,0),IF($B$36=3,DC53,0),IF($B$64=3,DC81,0))</x:f>
        <x:v>0</x:v>
      </x:c>
      <x:c r="DD109" s="107" t="n">
        <x:f>SUM(IF($B$8=3,DD25,0),IF($B$36=3,DD53,0),IF($B$64=3,DD81,0))</x:f>
        <x:v>0</x:v>
      </x:c>
      <x:c r="DE109" s="107" t="n">
        <x:f>SUM(IF($B$8=3,DE25,0),IF($B$36=3,DE53,0),IF($B$64=3,DE81,0))</x:f>
        <x:v>0</x:v>
      </x:c>
      <x:c r="DF109" s="107" t="n">
        <x:f>SUM(IF($B$8=3,DF25,0),IF($B$36=3,DF53,0),IF($B$64=3,DF81,0))</x:f>
        <x:v>0</x:v>
      </x:c>
      <x:c r="DG109" s="107" t="n">
        <x:f>SUM(IF($B$8=3,DG25,0),IF($B$36=3,DG53,0),IF($B$64=3,DG81,0))</x:f>
        <x:v>0</x:v>
      </x:c>
      <x:c r="DH109" s="107" t="n">
        <x:f>SUM(IF($B$8=3,DH25,0),IF($B$36=3,DH53,0),IF($B$64=3,DH81,0))</x:f>
        <x:v>0</x:v>
      </x:c>
      <x:c r="DI109" s="107" t="n">
        <x:f>SUM(IF($B$8=3,DI25,0),IF($B$36=3,DI53,0),IF($B$64=3,DI81,0))</x:f>
        <x:v>0</x:v>
      </x:c>
      <x:c r="DJ109" s="107" t="n">
        <x:f>SUM(IF($B$8=3,DJ25,0),IF($B$36=3,DJ53,0),IF($B$64=3,DJ81,0))</x:f>
        <x:v>0</x:v>
      </x:c>
      <x:c r="DK109" s="107" t="n">
        <x:f>SUM(IF($B$8=3,DK25,0),IF($B$36=3,DK53,0),IF($B$64=3,DK81,0))</x:f>
        <x:v>0</x:v>
      </x:c>
      <x:c r="DL109" s="107" t="n">
        <x:f>SUM(IF($B$8=3,DL25,0),IF($B$36=3,DL53,0),IF($B$64=3,DL81,0))</x:f>
        <x:v>0</x:v>
      </x:c>
      <x:c r="DM109" s="107" t="n">
        <x:f>SUM(IF($B$8=3,DM25,0),IF($B$36=3,DM53,0),IF($B$64=3,DM81,0))</x:f>
        <x:v>0</x:v>
      </x:c>
      <x:c r="DN109" s="107" t="n">
        <x:f>SUM(IF($B$8=3,DN25,0),IF($B$36=3,DN53,0),IF($B$64=3,DN81,0))</x:f>
        <x:v>0</x:v>
      </x:c>
      <x:c r="DO109" s="107" t="n">
        <x:f>SUM(IF($B$8=3,DO25,0),IF($B$36=3,DO53,0),IF($B$64=3,DO81,0))</x:f>
        <x:v>0</x:v>
      </x:c>
      <x:c r="DP109" s="107" t="n">
        <x:f>SUM(IF($B$8=3,DP25,0),IF($B$36=3,DP53,0),IF($B$64=3,DP81,0))</x:f>
        <x:v>0</x:v>
      </x:c>
      <x:c r="DQ109" s="107" t="n">
        <x:f>SUM(IF($B$8=3,DQ25,0),IF($B$36=3,DQ53,0),IF($B$64=3,DQ81,0))</x:f>
        <x:v>0</x:v>
      </x:c>
      <x:c r="DR109" s="107" t="n">
        <x:f>SUM(IF($B$8=3,DR25,0),IF($B$36=3,DR53,0),IF($B$64=3,DR81,0))</x:f>
        <x:v>0</x:v>
      </x:c>
      <x:c r="DS109" s="107" t="n">
        <x:f>SUM(IF($B$8=3,DS25,0),IF($B$36=3,DS53,0),IF($B$64=3,DS81,0))</x:f>
        <x:v>0</x:v>
      </x:c>
    </x:row>
    <x:row r="110">
      <x:c r="A110" t="str">
        <x:v>Очередь 3 — Прямые поступления объектов</x:v>
      </x:c>
      <x:c r="B110" s="107" t="n">
        <x:f>SUM(D110:DS110)</x:f>
        <x:v>0</x:v>
      </x:c>
      <x:c r="C110" t="str">
        <x:v>млн ₽</x:v>
      </x:c>
      <x:c r="D110" s="107" t="n">
        <x:f>SUM(IF($B$8=3,D26,0),IF($B$36=3,D54,0),IF($B$64=3,D82,0))</x:f>
        <x:v>0</x:v>
      </x:c>
      <x:c r="E110" s="107" t="n">
        <x:f>SUM(IF($B$8=3,E26,0),IF($B$36=3,E54,0),IF($B$64=3,E82,0))</x:f>
        <x:v>0</x:v>
      </x:c>
      <x:c r="F110" s="107" t="n">
        <x:f>SUM(IF($B$8=3,F26,0),IF($B$36=3,F54,0),IF($B$64=3,F82,0))</x:f>
        <x:v>0</x:v>
      </x:c>
      <x:c r="G110" s="107" t="n">
        <x:f>SUM(IF($B$8=3,G26,0),IF($B$36=3,G54,0),IF($B$64=3,G82,0))</x:f>
        <x:v>0</x:v>
      </x:c>
      <x:c r="H110" s="107" t="n">
        <x:f>SUM(IF($B$8=3,H26,0),IF($B$36=3,H54,0),IF($B$64=3,H82,0))</x:f>
        <x:v>0</x:v>
      </x:c>
      <x:c r="I110" s="107" t="n">
        <x:f>SUM(IF($B$8=3,I26,0),IF($B$36=3,I54,0),IF($B$64=3,I82,0))</x:f>
        <x:v>0</x:v>
      </x:c>
      <x:c r="J110" s="107" t="n">
        <x:f>SUM(IF($B$8=3,J26,0),IF($B$36=3,J54,0),IF($B$64=3,J82,0))</x:f>
        <x:v>0</x:v>
      </x:c>
      <x:c r="K110" s="107" t="n">
        <x:f>SUM(IF($B$8=3,K26,0),IF($B$36=3,K54,0),IF($B$64=3,K82,0))</x:f>
        <x:v>0</x:v>
      </x:c>
      <x:c r="L110" s="107" t="n">
        <x:f>SUM(IF($B$8=3,L26,0),IF($B$36=3,L54,0),IF($B$64=3,L82,0))</x:f>
        <x:v>0</x:v>
      </x:c>
      <x:c r="M110" s="107" t="n">
        <x:f>SUM(IF($B$8=3,M26,0),IF($B$36=3,M54,0),IF($B$64=3,M82,0))</x:f>
        <x:v>0</x:v>
      </x:c>
      <x:c r="N110" s="107" t="n">
        <x:f>SUM(IF($B$8=3,N26,0),IF($B$36=3,N54,0),IF($B$64=3,N82,0))</x:f>
        <x:v>0</x:v>
      </x:c>
      <x:c r="O110" s="107" t="n">
        <x:f>SUM(IF($B$8=3,O26,0),IF($B$36=3,O54,0),IF($B$64=3,O82,0))</x:f>
        <x:v>0</x:v>
      </x:c>
      <x:c r="P110" s="107" t="n">
        <x:f>SUM(IF($B$8=3,P26,0),IF($B$36=3,P54,0),IF($B$64=3,P82,0))</x:f>
        <x:v>0</x:v>
      </x:c>
      <x:c r="Q110" s="107" t="n">
        <x:f>SUM(IF($B$8=3,Q26,0),IF($B$36=3,Q54,0),IF($B$64=3,Q82,0))</x:f>
        <x:v>0</x:v>
      </x:c>
      <x:c r="R110" s="107" t="n">
        <x:f>SUM(IF($B$8=3,R26,0),IF($B$36=3,R54,0),IF($B$64=3,R82,0))</x:f>
        <x:v>0</x:v>
      </x:c>
      <x:c r="S110" s="107" t="n">
        <x:f>SUM(IF($B$8=3,S26,0),IF($B$36=3,S54,0),IF($B$64=3,S82,0))</x:f>
        <x:v>0</x:v>
      </x:c>
      <x:c r="T110" s="107" t="n">
        <x:f>SUM(IF($B$8=3,T26,0),IF($B$36=3,T54,0),IF($B$64=3,T82,0))</x:f>
        <x:v>0</x:v>
      </x:c>
      <x:c r="U110" s="107" t="n">
        <x:f>SUM(IF($B$8=3,U26,0),IF($B$36=3,U54,0),IF($B$64=3,U82,0))</x:f>
        <x:v>0</x:v>
      </x:c>
      <x:c r="V110" s="107" t="n">
        <x:f>SUM(IF($B$8=3,V26,0),IF($B$36=3,V54,0),IF($B$64=3,V82,0))</x:f>
        <x:v>0</x:v>
      </x:c>
      <x:c r="W110" s="107" t="n">
        <x:f>SUM(IF($B$8=3,W26,0),IF($B$36=3,W54,0),IF($B$64=3,W82,0))</x:f>
        <x:v>0</x:v>
      </x:c>
      <x:c r="X110" s="107" t="n">
        <x:f>SUM(IF($B$8=3,X26,0),IF($B$36=3,X54,0),IF($B$64=3,X82,0))</x:f>
        <x:v>0</x:v>
      </x:c>
      <x:c r="Y110" s="107" t="n">
        <x:f>SUM(IF($B$8=3,Y26,0),IF($B$36=3,Y54,0),IF($B$64=3,Y82,0))</x:f>
        <x:v>0</x:v>
      </x:c>
      <x:c r="Z110" s="107" t="n">
        <x:f>SUM(IF($B$8=3,Z26,0),IF($B$36=3,Z54,0),IF($B$64=3,Z82,0))</x:f>
        <x:v>0</x:v>
      </x:c>
      <x:c r="AA110" s="107" t="n">
        <x:f>SUM(IF($B$8=3,AA26,0),IF($B$36=3,AA54,0),IF($B$64=3,AA82,0))</x:f>
        <x:v>0</x:v>
      </x:c>
      <x:c r="AB110" s="107" t="n">
        <x:f>SUM(IF($B$8=3,AB26,0),IF($B$36=3,AB54,0),IF($B$64=3,AB82,0))</x:f>
        <x:v>0</x:v>
      </x:c>
      <x:c r="AC110" s="107" t="n">
        <x:f>SUM(IF($B$8=3,AC26,0),IF($B$36=3,AC54,0),IF($B$64=3,AC82,0))</x:f>
        <x:v>0</x:v>
      </x:c>
      <x:c r="AD110" s="107" t="n">
        <x:f>SUM(IF($B$8=3,AD26,0),IF($B$36=3,AD54,0),IF($B$64=3,AD82,0))</x:f>
        <x:v>0</x:v>
      </x:c>
      <x:c r="AE110" s="107" t="n">
        <x:f>SUM(IF($B$8=3,AE26,0),IF($B$36=3,AE54,0),IF($B$64=3,AE82,0))</x:f>
        <x:v>0</x:v>
      </x:c>
      <x:c r="AF110" s="107" t="n">
        <x:f>SUM(IF($B$8=3,AF26,0),IF($B$36=3,AF54,0),IF($B$64=3,AF82,0))</x:f>
        <x:v>0</x:v>
      </x:c>
      <x:c r="AG110" s="107" t="n">
        <x:f>SUM(IF($B$8=3,AG26,0),IF($B$36=3,AG54,0),IF($B$64=3,AG82,0))</x:f>
        <x:v>0</x:v>
      </x:c>
      <x:c r="AH110" s="107" t="n">
        <x:f>SUM(IF($B$8=3,AH26,0),IF($B$36=3,AH54,0),IF($B$64=3,AH82,0))</x:f>
        <x:v>0</x:v>
      </x:c>
      <x:c r="AI110" s="107" t="n">
        <x:f>SUM(IF($B$8=3,AI26,0),IF($B$36=3,AI54,0),IF($B$64=3,AI82,0))</x:f>
        <x:v>0</x:v>
      </x:c>
      <x:c r="AJ110" s="107" t="n">
        <x:f>SUM(IF($B$8=3,AJ26,0),IF($B$36=3,AJ54,0),IF($B$64=3,AJ82,0))</x:f>
        <x:v>0</x:v>
      </x:c>
      <x:c r="AK110" s="107" t="n">
        <x:f>SUM(IF($B$8=3,AK26,0),IF($B$36=3,AK54,0),IF($B$64=3,AK82,0))</x:f>
        <x:v>0</x:v>
      </x:c>
      <x:c r="AL110" s="107" t="n">
        <x:f>SUM(IF($B$8=3,AL26,0),IF($B$36=3,AL54,0),IF($B$64=3,AL82,0))</x:f>
        <x:v>0</x:v>
      </x:c>
      <x:c r="AM110" s="107" t="n">
        <x:f>SUM(IF($B$8=3,AM26,0),IF($B$36=3,AM54,0),IF($B$64=3,AM82,0))</x:f>
        <x:v>0</x:v>
      </x:c>
      <x:c r="AN110" s="107" t="n">
        <x:f>SUM(IF($B$8=3,AN26,0),IF($B$36=3,AN54,0),IF($B$64=3,AN82,0))</x:f>
        <x:v>0</x:v>
      </x:c>
      <x:c r="AO110" s="107" t="n">
        <x:f>SUM(IF($B$8=3,AO26,0),IF($B$36=3,AO54,0),IF($B$64=3,AO82,0))</x:f>
        <x:v>0</x:v>
      </x:c>
      <x:c r="AP110" s="107" t="n">
        <x:f>SUM(IF($B$8=3,AP26,0),IF($B$36=3,AP54,0),IF($B$64=3,AP82,0))</x:f>
        <x:v>0</x:v>
      </x:c>
      <x:c r="AQ110" s="107" t="n">
        <x:f>SUM(IF($B$8=3,AQ26,0),IF($B$36=3,AQ54,0),IF($B$64=3,AQ82,0))</x:f>
        <x:v>0</x:v>
      </x:c>
      <x:c r="AR110" s="107" t="n">
        <x:f>SUM(IF($B$8=3,AR26,0),IF($B$36=3,AR54,0),IF($B$64=3,AR82,0))</x:f>
        <x:v>0</x:v>
      </x:c>
      <x:c r="AS110" s="107" t="n">
        <x:f>SUM(IF($B$8=3,AS26,0),IF($B$36=3,AS54,0),IF($B$64=3,AS82,0))</x:f>
        <x:v>0</x:v>
      </x:c>
      <x:c r="AT110" s="107" t="n">
        <x:f>SUM(IF($B$8=3,AT26,0),IF($B$36=3,AT54,0),IF($B$64=3,AT82,0))</x:f>
        <x:v>0</x:v>
      </x:c>
      <x:c r="AU110" s="107" t="n">
        <x:f>SUM(IF($B$8=3,AU26,0),IF($B$36=3,AU54,0),IF($B$64=3,AU82,0))</x:f>
        <x:v>0</x:v>
      </x:c>
      <x:c r="AV110" s="107" t="n">
        <x:f>SUM(IF($B$8=3,AV26,0),IF($B$36=3,AV54,0),IF($B$64=3,AV82,0))</x:f>
        <x:v>0</x:v>
      </x:c>
      <x:c r="AW110" s="107" t="n">
        <x:f>SUM(IF($B$8=3,AW26,0),IF($B$36=3,AW54,0),IF($B$64=3,AW82,0))</x:f>
        <x:v>0</x:v>
      </x:c>
      <x:c r="AX110" s="107" t="n">
        <x:f>SUM(IF($B$8=3,AX26,0),IF($B$36=3,AX54,0),IF($B$64=3,AX82,0))</x:f>
        <x:v>0</x:v>
      </x:c>
      <x:c r="AY110" s="107" t="n">
        <x:f>SUM(IF($B$8=3,AY26,0),IF($B$36=3,AY54,0),IF($B$64=3,AY82,0))</x:f>
        <x:v>0</x:v>
      </x:c>
      <x:c r="AZ110" s="107" t="n">
        <x:f>SUM(IF($B$8=3,AZ26,0),IF($B$36=3,AZ54,0),IF($B$64=3,AZ82,0))</x:f>
        <x:v>0</x:v>
      </x:c>
      <x:c r="BA110" s="107" t="n">
        <x:f>SUM(IF($B$8=3,BA26,0),IF($B$36=3,BA54,0),IF($B$64=3,BA82,0))</x:f>
        <x:v>0</x:v>
      </x:c>
      <x:c r="BB110" s="107" t="n">
        <x:f>SUM(IF($B$8=3,BB26,0),IF($B$36=3,BB54,0),IF($B$64=3,BB82,0))</x:f>
        <x:v>0</x:v>
      </x:c>
      <x:c r="BC110" s="107" t="n">
        <x:f>SUM(IF($B$8=3,BC26,0),IF($B$36=3,BC54,0),IF($B$64=3,BC82,0))</x:f>
        <x:v>0</x:v>
      </x:c>
      <x:c r="BD110" s="107" t="n">
        <x:f>SUM(IF($B$8=3,BD26,0),IF($B$36=3,BD54,0),IF($B$64=3,BD82,0))</x:f>
        <x:v>0</x:v>
      </x:c>
      <x:c r="BE110" s="107" t="n">
        <x:f>SUM(IF($B$8=3,BE26,0),IF($B$36=3,BE54,0),IF($B$64=3,BE82,0))</x:f>
        <x:v>0</x:v>
      </x:c>
      <x:c r="BF110" s="107" t="n">
        <x:f>SUM(IF($B$8=3,BF26,0),IF($B$36=3,BF54,0),IF($B$64=3,BF82,0))</x:f>
        <x:v>0</x:v>
      </x:c>
      <x:c r="BG110" s="107" t="n">
        <x:f>SUM(IF($B$8=3,BG26,0),IF($B$36=3,BG54,0),IF($B$64=3,BG82,0))</x:f>
        <x:v>0</x:v>
      </x:c>
      <x:c r="BH110" s="107" t="n">
        <x:f>SUM(IF($B$8=3,BH26,0),IF($B$36=3,BH54,0),IF($B$64=3,BH82,0))</x:f>
        <x:v>0</x:v>
      </x:c>
      <x:c r="BI110" s="107" t="n">
        <x:f>SUM(IF($B$8=3,BI26,0),IF($B$36=3,BI54,0),IF($B$64=3,BI82,0))</x:f>
        <x:v>0</x:v>
      </x:c>
      <x:c r="BJ110" s="107" t="n">
        <x:f>SUM(IF($B$8=3,BJ26,0),IF($B$36=3,BJ54,0),IF($B$64=3,BJ82,0))</x:f>
        <x:v>0</x:v>
      </x:c>
      <x:c r="BK110" s="107" t="n">
        <x:f>SUM(IF($B$8=3,BK26,0),IF($B$36=3,BK54,0),IF($B$64=3,BK82,0))</x:f>
        <x:v>0</x:v>
      </x:c>
      <x:c r="BL110" s="107" t="n">
        <x:f>SUM(IF($B$8=3,BL26,0),IF($B$36=3,BL54,0),IF($B$64=3,BL82,0))</x:f>
        <x:v>0</x:v>
      </x:c>
      <x:c r="BM110" s="107" t="n">
        <x:f>SUM(IF($B$8=3,BM26,0),IF($B$36=3,BM54,0),IF($B$64=3,BM82,0))</x:f>
        <x:v>0</x:v>
      </x:c>
      <x:c r="BN110" s="107" t="n">
        <x:f>SUM(IF($B$8=3,BN26,0),IF($B$36=3,BN54,0),IF($B$64=3,BN82,0))</x:f>
        <x:v>0</x:v>
      </x:c>
      <x:c r="BO110" s="107" t="n">
        <x:f>SUM(IF($B$8=3,BO26,0),IF($B$36=3,BO54,0),IF($B$64=3,BO82,0))</x:f>
        <x:v>0</x:v>
      </x:c>
      <x:c r="BP110" s="107" t="n">
        <x:f>SUM(IF($B$8=3,BP26,0),IF($B$36=3,BP54,0),IF($B$64=3,BP82,0))</x:f>
        <x:v>0</x:v>
      </x:c>
      <x:c r="BQ110" s="107" t="n">
        <x:f>SUM(IF($B$8=3,BQ26,0),IF($B$36=3,BQ54,0),IF($B$64=3,BQ82,0))</x:f>
        <x:v>0</x:v>
      </x:c>
      <x:c r="BR110" s="107" t="n">
        <x:f>SUM(IF($B$8=3,BR26,0),IF($B$36=3,BR54,0),IF($B$64=3,BR82,0))</x:f>
        <x:v>0</x:v>
      </x:c>
      <x:c r="BS110" s="107" t="n">
        <x:f>SUM(IF($B$8=3,BS26,0),IF($B$36=3,BS54,0),IF($B$64=3,BS82,0))</x:f>
        <x:v>0</x:v>
      </x:c>
      <x:c r="BT110" s="107" t="n">
        <x:f>SUM(IF($B$8=3,BT26,0),IF($B$36=3,BT54,0),IF($B$64=3,BT82,0))</x:f>
        <x:v>0</x:v>
      </x:c>
      <x:c r="BU110" s="107" t="n">
        <x:f>SUM(IF($B$8=3,BU26,0),IF($B$36=3,BU54,0),IF($B$64=3,BU82,0))</x:f>
        <x:v>0</x:v>
      </x:c>
      <x:c r="BV110" s="107" t="n">
        <x:f>SUM(IF($B$8=3,BV26,0),IF($B$36=3,BV54,0),IF($B$64=3,BV82,0))</x:f>
        <x:v>0</x:v>
      </x:c>
      <x:c r="BW110" s="107" t="n">
        <x:f>SUM(IF($B$8=3,BW26,0),IF($B$36=3,BW54,0),IF($B$64=3,BW82,0))</x:f>
        <x:v>0</x:v>
      </x:c>
      <x:c r="BX110" s="107" t="n">
        <x:f>SUM(IF($B$8=3,BX26,0),IF($B$36=3,BX54,0),IF($B$64=3,BX82,0))</x:f>
        <x:v>0</x:v>
      </x:c>
      <x:c r="BY110" s="107" t="n">
        <x:f>SUM(IF($B$8=3,BY26,0),IF($B$36=3,BY54,0),IF($B$64=3,BY82,0))</x:f>
        <x:v>0</x:v>
      </x:c>
      <x:c r="BZ110" s="107" t="n">
        <x:f>SUM(IF($B$8=3,BZ26,0),IF($B$36=3,BZ54,0),IF($B$64=3,BZ82,0))</x:f>
        <x:v>0</x:v>
      </x:c>
      <x:c r="CA110" s="107" t="n">
        <x:f>SUM(IF($B$8=3,CA26,0),IF($B$36=3,CA54,0),IF($B$64=3,CA82,0))</x:f>
        <x:v>0</x:v>
      </x:c>
      <x:c r="CB110" s="107" t="n">
        <x:f>SUM(IF($B$8=3,CB26,0),IF($B$36=3,CB54,0),IF($B$64=3,CB82,0))</x:f>
        <x:v>0</x:v>
      </x:c>
      <x:c r="CC110" s="107" t="n">
        <x:f>SUM(IF($B$8=3,CC26,0),IF($B$36=3,CC54,0),IF($B$64=3,CC82,0))</x:f>
        <x:v>0</x:v>
      </x:c>
      <x:c r="CD110" s="107" t="n">
        <x:f>SUM(IF($B$8=3,CD26,0),IF($B$36=3,CD54,0),IF($B$64=3,CD82,0))</x:f>
        <x:v>0</x:v>
      </x:c>
      <x:c r="CE110" s="107" t="n">
        <x:f>SUM(IF($B$8=3,CE26,0),IF($B$36=3,CE54,0),IF($B$64=3,CE82,0))</x:f>
        <x:v>0</x:v>
      </x:c>
      <x:c r="CF110" s="107" t="n">
        <x:f>SUM(IF($B$8=3,CF26,0),IF($B$36=3,CF54,0),IF($B$64=3,CF82,0))</x:f>
        <x:v>0</x:v>
      </x:c>
      <x:c r="CG110" s="107" t="n">
        <x:f>SUM(IF($B$8=3,CG26,0),IF($B$36=3,CG54,0),IF($B$64=3,CG82,0))</x:f>
        <x:v>0</x:v>
      </x:c>
      <x:c r="CH110" s="107" t="n">
        <x:f>SUM(IF($B$8=3,CH26,0),IF($B$36=3,CH54,0),IF($B$64=3,CH82,0))</x:f>
        <x:v>0</x:v>
      </x:c>
      <x:c r="CI110" s="107" t="n">
        <x:f>SUM(IF($B$8=3,CI26,0),IF($B$36=3,CI54,0),IF($B$64=3,CI82,0))</x:f>
        <x:v>0</x:v>
      </x:c>
      <x:c r="CJ110" s="107" t="n">
        <x:f>SUM(IF($B$8=3,CJ26,0),IF($B$36=3,CJ54,0),IF($B$64=3,CJ82,0))</x:f>
        <x:v>0</x:v>
      </x:c>
      <x:c r="CK110" s="107" t="n">
        <x:f>SUM(IF($B$8=3,CK26,0),IF($B$36=3,CK54,0),IF($B$64=3,CK82,0))</x:f>
        <x:v>0</x:v>
      </x:c>
      <x:c r="CL110" s="107" t="n">
        <x:f>SUM(IF($B$8=3,CL26,0),IF($B$36=3,CL54,0),IF($B$64=3,CL82,0))</x:f>
        <x:v>0</x:v>
      </x:c>
      <x:c r="CM110" s="107" t="n">
        <x:f>SUM(IF($B$8=3,CM26,0),IF($B$36=3,CM54,0),IF($B$64=3,CM82,0))</x:f>
        <x:v>0</x:v>
      </x:c>
      <x:c r="CN110" s="107" t="n">
        <x:f>SUM(IF($B$8=3,CN26,0),IF($B$36=3,CN54,0),IF($B$64=3,CN82,0))</x:f>
        <x:v>0</x:v>
      </x:c>
      <x:c r="CO110" s="107" t="n">
        <x:f>SUM(IF($B$8=3,CO26,0),IF($B$36=3,CO54,0),IF($B$64=3,CO82,0))</x:f>
        <x:v>0</x:v>
      </x:c>
      <x:c r="CP110" s="107" t="n">
        <x:f>SUM(IF($B$8=3,CP26,0),IF($B$36=3,CP54,0),IF($B$64=3,CP82,0))</x:f>
        <x:v>0</x:v>
      </x:c>
      <x:c r="CQ110" s="107" t="n">
        <x:f>SUM(IF($B$8=3,CQ26,0),IF($B$36=3,CQ54,0),IF($B$64=3,CQ82,0))</x:f>
        <x:v>0</x:v>
      </x:c>
      <x:c r="CR110" s="107" t="n">
        <x:f>SUM(IF($B$8=3,CR26,0),IF($B$36=3,CR54,0),IF($B$64=3,CR82,0))</x:f>
        <x:v>0</x:v>
      </x:c>
      <x:c r="CS110" s="107" t="n">
        <x:f>SUM(IF($B$8=3,CS26,0),IF($B$36=3,CS54,0),IF($B$64=3,CS82,0))</x:f>
        <x:v>0</x:v>
      </x:c>
      <x:c r="CT110" s="107" t="n">
        <x:f>SUM(IF($B$8=3,CT26,0),IF($B$36=3,CT54,0),IF($B$64=3,CT82,0))</x:f>
        <x:v>0</x:v>
      </x:c>
      <x:c r="CU110" s="107" t="n">
        <x:f>SUM(IF($B$8=3,CU26,0),IF($B$36=3,CU54,0),IF($B$64=3,CU82,0))</x:f>
        <x:v>0</x:v>
      </x:c>
      <x:c r="CV110" s="107" t="n">
        <x:f>SUM(IF($B$8=3,CV26,0),IF($B$36=3,CV54,0),IF($B$64=3,CV82,0))</x:f>
        <x:v>0</x:v>
      </x:c>
      <x:c r="CW110" s="107" t="n">
        <x:f>SUM(IF($B$8=3,CW26,0),IF($B$36=3,CW54,0),IF($B$64=3,CW82,0))</x:f>
        <x:v>0</x:v>
      </x:c>
      <x:c r="CX110" s="107" t="n">
        <x:f>SUM(IF($B$8=3,CX26,0),IF($B$36=3,CX54,0),IF($B$64=3,CX82,0))</x:f>
        <x:v>0</x:v>
      </x:c>
      <x:c r="CY110" s="107" t="n">
        <x:f>SUM(IF($B$8=3,CY26,0),IF($B$36=3,CY54,0),IF($B$64=3,CY82,0))</x:f>
        <x:v>0</x:v>
      </x:c>
      <x:c r="CZ110" s="107" t="n">
        <x:f>SUM(IF($B$8=3,CZ26,0),IF($B$36=3,CZ54,0),IF($B$64=3,CZ82,0))</x:f>
        <x:v>0</x:v>
      </x:c>
      <x:c r="DA110" s="107" t="n">
        <x:f>SUM(IF($B$8=3,DA26,0),IF($B$36=3,DA54,0),IF($B$64=3,DA82,0))</x:f>
        <x:v>0</x:v>
      </x:c>
      <x:c r="DB110" s="107" t="n">
        <x:f>SUM(IF($B$8=3,DB26,0),IF($B$36=3,DB54,0),IF($B$64=3,DB82,0))</x:f>
        <x:v>0</x:v>
      </x:c>
      <x:c r="DC110" s="107" t="n">
        <x:f>SUM(IF($B$8=3,DC26,0),IF($B$36=3,DC54,0),IF($B$64=3,DC82,0))</x:f>
        <x:v>0</x:v>
      </x:c>
      <x:c r="DD110" s="107" t="n">
        <x:f>SUM(IF($B$8=3,DD26,0),IF($B$36=3,DD54,0),IF($B$64=3,DD82,0))</x:f>
        <x:v>0</x:v>
      </x:c>
      <x:c r="DE110" s="107" t="n">
        <x:f>SUM(IF($B$8=3,DE26,0),IF($B$36=3,DE54,0),IF($B$64=3,DE82,0))</x:f>
        <x:v>0</x:v>
      </x:c>
      <x:c r="DF110" s="107" t="n">
        <x:f>SUM(IF($B$8=3,DF26,0),IF($B$36=3,DF54,0),IF($B$64=3,DF82,0))</x:f>
        <x:v>0</x:v>
      </x:c>
      <x:c r="DG110" s="107" t="n">
        <x:f>SUM(IF($B$8=3,DG26,0),IF($B$36=3,DG54,0),IF($B$64=3,DG82,0))</x:f>
        <x:v>0</x:v>
      </x:c>
      <x:c r="DH110" s="107" t="n">
        <x:f>SUM(IF($B$8=3,DH26,0),IF($B$36=3,DH54,0),IF($B$64=3,DH82,0))</x:f>
        <x:v>0</x:v>
      </x:c>
      <x:c r="DI110" s="107" t="n">
        <x:f>SUM(IF($B$8=3,DI26,0),IF($B$36=3,DI54,0),IF($B$64=3,DI82,0))</x:f>
        <x:v>0</x:v>
      </x:c>
      <x:c r="DJ110" s="107" t="n">
        <x:f>SUM(IF($B$8=3,DJ26,0),IF($B$36=3,DJ54,0),IF($B$64=3,DJ82,0))</x:f>
        <x:v>0</x:v>
      </x:c>
      <x:c r="DK110" s="107" t="n">
        <x:f>SUM(IF($B$8=3,DK26,0),IF($B$36=3,DK54,0),IF($B$64=3,DK82,0))</x:f>
        <x:v>0</x:v>
      </x:c>
      <x:c r="DL110" s="107" t="n">
        <x:f>SUM(IF($B$8=3,DL26,0),IF($B$36=3,DL54,0),IF($B$64=3,DL82,0))</x:f>
        <x:v>0</x:v>
      </x:c>
      <x:c r="DM110" s="107" t="n">
        <x:f>SUM(IF($B$8=3,DM26,0),IF($B$36=3,DM54,0),IF($B$64=3,DM82,0))</x:f>
        <x:v>0</x:v>
      </x:c>
      <x:c r="DN110" s="107" t="n">
        <x:f>SUM(IF($B$8=3,DN26,0),IF($B$36=3,DN54,0),IF($B$64=3,DN82,0))</x:f>
        <x:v>0</x:v>
      </x:c>
      <x:c r="DO110" s="107" t="n">
        <x:f>SUM(IF($B$8=3,DO26,0),IF($B$36=3,DO54,0),IF($B$64=3,DO82,0))</x:f>
        <x:v>0</x:v>
      </x:c>
      <x:c r="DP110" s="107" t="n">
        <x:f>SUM(IF($B$8=3,DP26,0),IF($B$36=3,DP54,0),IF($B$64=3,DP82,0))</x:f>
        <x:v>0</x:v>
      </x:c>
      <x:c r="DQ110" s="107" t="n">
        <x:f>SUM(IF($B$8=3,DQ26,0),IF($B$36=3,DQ54,0),IF($B$64=3,DQ82,0))</x:f>
        <x:v>0</x:v>
      </x:c>
      <x:c r="DR110" s="107" t="n">
        <x:f>SUM(IF($B$8=3,DR26,0),IF($B$36=3,DR54,0),IF($B$64=3,DR82,0))</x:f>
        <x:v>0</x:v>
      </x:c>
      <x:c r="DS110" s="107" t="n">
        <x:f>SUM(IF($B$8=3,DS26,0),IF($B$36=3,DS54,0),IF($B$64=3,DS82,0))</x:f>
        <x:v>0</x:v>
      </x:c>
    </x:row>
    <x:row r="111">
      <x:c r="A111" t="str">
        <x:v>Очередь 3 — Раскрытие эскроу объектов</x:v>
      </x:c>
      <x:c r="B111" s="107" t="n">
        <x:f>SUM(D111:DS111)</x:f>
        <x:v>0</x:v>
      </x:c>
      <x:c r="C111" t="str">
        <x:v>млн ₽</x:v>
      </x:c>
      <x:c r="D111" s="107" t="n">
        <x:f>SUM(IF($B$8=3,D27,0),IF($B$36=3,D55,0),IF($B$64=3,D83,0))</x:f>
        <x:v>0</x:v>
      </x:c>
      <x:c r="E111" s="107" t="n">
        <x:f>SUM(IF($B$8=3,E27,0),IF($B$36=3,E55,0),IF($B$64=3,E83,0))</x:f>
        <x:v>0</x:v>
      </x:c>
      <x:c r="F111" s="107" t="n">
        <x:f>SUM(IF($B$8=3,F27,0),IF($B$36=3,F55,0),IF($B$64=3,F83,0))</x:f>
        <x:v>0</x:v>
      </x:c>
      <x:c r="G111" s="107" t="n">
        <x:f>SUM(IF($B$8=3,G27,0),IF($B$36=3,G55,0),IF($B$64=3,G83,0))</x:f>
        <x:v>0</x:v>
      </x:c>
      <x:c r="H111" s="107" t="n">
        <x:f>SUM(IF($B$8=3,H27,0),IF($B$36=3,H55,0),IF($B$64=3,H83,0))</x:f>
        <x:v>0</x:v>
      </x:c>
      <x:c r="I111" s="107" t="n">
        <x:f>SUM(IF($B$8=3,I27,0),IF($B$36=3,I55,0),IF($B$64=3,I83,0))</x:f>
        <x:v>0</x:v>
      </x:c>
      <x:c r="J111" s="107" t="n">
        <x:f>SUM(IF($B$8=3,J27,0),IF($B$36=3,J55,0),IF($B$64=3,J83,0))</x:f>
        <x:v>0</x:v>
      </x:c>
      <x:c r="K111" s="107" t="n">
        <x:f>SUM(IF($B$8=3,K27,0),IF($B$36=3,K55,0),IF($B$64=3,K83,0))</x:f>
        <x:v>0</x:v>
      </x:c>
      <x:c r="L111" s="107" t="n">
        <x:f>SUM(IF($B$8=3,L27,0),IF($B$36=3,L55,0),IF($B$64=3,L83,0))</x:f>
        <x:v>0</x:v>
      </x:c>
      <x:c r="M111" s="107" t="n">
        <x:f>SUM(IF($B$8=3,M27,0),IF($B$36=3,M55,0),IF($B$64=3,M83,0))</x:f>
        <x:v>0</x:v>
      </x:c>
      <x:c r="N111" s="107" t="n">
        <x:f>SUM(IF($B$8=3,N27,0),IF($B$36=3,N55,0),IF($B$64=3,N83,0))</x:f>
        <x:v>0</x:v>
      </x:c>
      <x:c r="O111" s="107" t="n">
        <x:f>SUM(IF($B$8=3,O27,0),IF($B$36=3,O55,0),IF($B$64=3,O83,0))</x:f>
        <x:v>0</x:v>
      </x:c>
      <x:c r="P111" s="107" t="n">
        <x:f>SUM(IF($B$8=3,P27,0),IF($B$36=3,P55,0),IF($B$64=3,P83,0))</x:f>
        <x:v>0</x:v>
      </x:c>
      <x:c r="Q111" s="107" t="n">
        <x:f>SUM(IF($B$8=3,Q27,0),IF($B$36=3,Q55,0),IF($B$64=3,Q83,0))</x:f>
        <x:v>0</x:v>
      </x:c>
      <x:c r="R111" s="107" t="n">
        <x:f>SUM(IF($B$8=3,R27,0),IF($B$36=3,R55,0),IF($B$64=3,R83,0))</x:f>
        <x:v>0</x:v>
      </x:c>
      <x:c r="S111" s="107" t="n">
        <x:f>SUM(IF($B$8=3,S27,0),IF($B$36=3,S55,0),IF($B$64=3,S83,0))</x:f>
        <x:v>0</x:v>
      </x:c>
      <x:c r="T111" s="107" t="n">
        <x:f>SUM(IF($B$8=3,T27,0),IF($B$36=3,T55,0),IF($B$64=3,T83,0))</x:f>
        <x:v>0</x:v>
      </x:c>
      <x:c r="U111" s="107" t="n">
        <x:f>SUM(IF($B$8=3,U27,0),IF($B$36=3,U55,0),IF($B$64=3,U83,0))</x:f>
        <x:v>0</x:v>
      </x:c>
      <x:c r="V111" s="107" t="n">
        <x:f>SUM(IF($B$8=3,V27,0),IF($B$36=3,V55,0),IF($B$64=3,V83,0))</x:f>
        <x:v>0</x:v>
      </x:c>
      <x:c r="W111" s="107" t="n">
        <x:f>SUM(IF($B$8=3,W27,0),IF($B$36=3,W55,0),IF($B$64=3,W83,0))</x:f>
        <x:v>0</x:v>
      </x:c>
      <x:c r="X111" s="107" t="n">
        <x:f>SUM(IF($B$8=3,X27,0),IF($B$36=3,X55,0),IF($B$64=3,X83,0))</x:f>
        <x:v>0</x:v>
      </x:c>
      <x:c r="Y111" s="107" t="n">
        <x:f>SUM(IF($B$8=3,Y27,0),IF($B$36=3,Y55,0),IF($B$64=3,Y83,0))</x:f>
        <x:v>0</x:v>
      </x:c>
      <x:c r="Z111" s="107" t="n">
        <x:f>SUM(IF($B$8=3,Z27,0),IF($B$36=3,Z55,0),IF($B$64=3,Z83,0))</x:f>
        <x:v>0</x:v>
      </x:c>
      <x:c r="AA111" s="107" t="n">
        <x:f>SUM(IF($B$8=3,AA27,0),IF($B$36=3,AA55,0),IF($B$64=3,AA83,0))</x:f>
        <x:v>0</x:v>
      </x:c>
      <x:c r="AB111" s="107" t="n">
        <x:f>SUM(IF($B$8=3,AB27,0),IF($B$36=3,AB55,0),IF($B$64=3,AB83,0))</x:f>
        <x:v>0</x:v>
      </x:c>
      <x:c r="AC111" s="107" t="n">
        <x:f>SUM(IF($B$8=3,AC27,0),IF($B$36=3,AC55,0),IF($B$64=3,AC83,0))</x:f>
        <x:v>0</x:v>
      </x:c>
      <x:c r="AD111" s="107" t="n">
        <x:f>SUM(IF($B$8=3,AD27,0),IF($B$36=3,AD55,0),IF($B$64=3,AD83,0))</x:f>
        <x:v>0</x:v>
      </x:c>
      <x:c r="AE111" s="107" t="n">
        <x:f>SUM(IF($B$8=3,AE27,0),IF($B$36=3,AE55,0),IF($B$64=3,AE83,0))</x:f>
        <x:v>0</x:v>
      </x:c>
      <x:c r="AF111" s="107" t="n">
        <x:f>SUM(IF($B$8=3,AF27,0),IF($B$36=3,AF55,0),IF($B$64=3,AF83,0))</x:f>
        <x:v>0</x:v>
      </x:c>
      <x:c r="AG111" s="107" t="n">
        <x:f>SUM(IF($B$8=3,AG27,0),IF($B$36=3,AG55,0),IF($B$64=3,AG83,0))</x:f>
        <x:v>0</x:v>
      </x:c>
      <x:c r="AH111" s="107" t="n">
        <x:f>SUM(IF($B$8=3,AH27,0),IF($B$36=3,AH55,0),IF($B$64=3,AH83,0))</x:f>
        <x:v>0</x:v>
      </x:c>
      <x:c r="AI111" s="107" t="n">
        <x:f>SUM(IF($B$8=3,AI27,0),IF($B$36=3,AI55,0),IF($B$64=3,AI83,0))</x:f>
        <x:v>0</x:v>
      </x:c>
      <x:c r="AJ111" s="107" t="n">
        <x:f>SUM(IF($B$8=3,AJ27,0),IF($B$36=3,AJ55,0),IF($B$64=3,AJ83,0))</x:f>
        <x:v>0</x:v>
      </x:c>
      <x:c r="AK111" s="107" t="n">
        <x:f>SUM(IF($B$8=3,AK27,0),IF($B$36=3,AK55,0),IF($B$64=3,AK83,0))</x:f>
        <x:v>0</x:v>
      </x:c>
      <x:c r="AL111" s="107" t="n">
        <x:f>SUM(IF($B$8=3,AL27,0),IF($B$36=3,AL55,0),IF($B$64=3,AL83,0))</x:f>
        <x:v>0</x:v>
      </x:c>
      <x:c r="AM111" s="107" t="n">
        <x:f>SUM(IF($B$8=3,AM27,0),IF($B$36=3,AM55,0),IF($B$64=3,AM83,0))</x:f>
        <x:v>0</x:v>
      </x:c>
      <x:c r="AN111" s="107" t="n">
        <x:f>SUM(IF($B$8=3,AN27,0),IF($B$36=3,AN55,0),IF($B$64=3,AN83,0))</x:f>
        <x:v>0</x:v>
      </x:c>
      <x:c r="AO111" s="107" t="n">
        <x:f>SUM(IF($B$8=3,AO27,0),IF($B$36=3,AO55,0),IF($B$64=3,AO83,0))</x:f>
        <x:v>0</x:v>
      </x:c>
      <x:c r="AP111" s="107" t="n">
        <x:f>SUM(IF($B$8=3,AP27,0),IF($B$36=3,AP55,0),IF($B$64=3,AP83,0))</x:f>
        <x:v>0</x:v>
      </x:c>
      <x:c r="AQ111" s="107" t="n">
        <x:f>SUM(IF($B$8=3,AQ27,0),IF($B$36=3,AQ55,0),IF($B$64=3,AQ83,0))</x:f>
        <x:v>0</x:v>
      </x:c>
      <x:c r="AR111" s="107" t="n">
        <x:f>SUM(IF($B$8=3,AR27,0),IF($B$36=3,AR55,0),IF($B$64=3,AR83,0))</x:f>
        <x:v>0</x:v>
      </x:c>
      <x:c r="AS111" s="107" t="n">
        <x:f>SUM(IF($B$8=3,AS27,0),IF($B$36=3,AS55,0),IF($B$64=3,AS83,0))</x:f>
        <x:v>0</x:v>
      </x:c>
      <x:c r="AT111" s="107" t="n">
        <x:f>SUM(IF($B$8=3,AT27,0),IF($B$36=3,AT55,0),IF($B$64=3,AT83,0))</x:f>
        <x:v>0</x:v>
      </x:c>
      <x:c r="AU111" s="107" t="n">
        <x:f>SUM(IF($B$8=3,AU27,0),IF($B$36=3,AU55,0),IF($B$64=3,AU83,0))</x:f>
        <x:v>0</x:v>
      </x:c>
      <x:c r="AV111" s="107" t="n">
        <x:f>SUM(IF($B$8=3,AV27,0),IF($B$36=3,AV55,0),IF($B$64=3,AV83,0))</x:f>
        <x:v>0</x:v>
      </x:c>
      <x:c r="AW111" s="107" t="n">
        <x:f>SUM(IF($B$8=3,AW27,0),IF($B$36=3,AW55,0),IF($B$64=3,AW83,0))</x:f>
        <x:v>0</x:v>
      </x:c>
      <x:c r="AX111" s="107" t="n">
        <x:f>SUM(IF($B$8=3,AX27,0),IF($B$36=3,AX55,0),IF($B$64=3,AX83,0))</x:f>
        <x:v>0</x:v>
      </x:c>
      <x:c r="AY111" s="107" t="n">
        <x:f>SUM(IF($B$8=3,AY27,0),IF($B$36=3,AY55,0),IF($B$64=3,AY83,0))</x:f>
        <x:v>0</x:v>
      </x:c>
      <x:c r="AZ111" s="107" t="n">
        <x:f>SUM(IF($B$8=3,AZ27,0),IF($B$36=3,AZ55,0),IF($B$64=3,AZ83,0))</x:f>
        <x:v>0</x:v>
      </x:c>
      <x:c r="BA111" s="107" t="n">
        <x:f>SUM(IF($B$8=3,BA27,0),IF($B$36=3,BA55,0),IF($B$64=3,BA83,0))</x:f>
        <x:v>0</x:v>
      </x:c>
      <x:c r="BB111" s="107" t="n">
        <x:f>SUM(IF($B$8=3,BB27,0),IF($B$36=3,BB55,0),IF($B$64=3,BB83,0))</x:f>
        <x:v>0</x:v>
      </x:c>
      <x:c r="BC111" s="107" t="n">
        <x:f>SUM(IF($B$8=3,BC27,0),IF($B$36=3,BC55,0),IF($B$64=3,BC83,0))</x:f>
        <x:v>0</x:v>
      </x:c>
      <x:c r="BD111" s="107" t="n">
        <x:f>SUM(IF($B$8=3,BD27,0),IF($B$36=3,BD55,0),IF($B$64=3,BD83,0))</x:f>
        <x:v>0</x:v>
      </x:c>
      <x:c r="BE111" s="107" t="n">
        <x:f>SUM(IF($B$8=3,BE27,0),IF($B$36=3,BE55,0),IF($B$64=3,BE83,0))</x:f>
        <x:v>0</x:v>
      </x:c>
      <x:c r="BF111" s="107" t="n">
        <x:f>SUM(IF($B$8=3,BF27,0),IF($B$36=3,BF55,0),IF($B$64=3,BF83,0))</x:f>
        <x:v>0</x:v>
      </x:c>
      <x:c r="BG111" s="107" t="n">
        <x:f>SUM(IF($B$8=3,BG27,0),IF($B$36=3,BG55,0),IF($B$64=3,BG83,0))</x:f>
        <x:v>0</x:v>
      </x:c>
      <x:c r="BH111" s="107" t="n">
        <x:f>SUM(IF($B$8=3,BH27,0),IF($B$36=3,BH55,0),IF($B$64=3,BH83,0))</x:f>
        <x:v>0</x:v>
      </x:c>
      <x:c r="BI111" s="107" t="n">
        <x:f>SUM(IF($B$8=3,BI27,0),IF($B$36=3,BI55,0),IF($B$64=3,BI83,0))</x:f>
        <x:v>0</x:v>
      </x:c>
      <x:c r="BJ111" s="107" t="n">
        <x:f>SUM(IF($B$8=3,BJ27,0),IF($B$36=3,BJ55,0),IF($B$64=3,BJ83,0))</x:f>
        <x:v>0</x:v>
      </x:c>
      <x:c r="BK111" s="107" t="n">
        <x:f>SUM(IF($B$8=3,BK27,0),IF($B$36=3,BK55,0),IF($B$64=3,BK83,0))</x:f>
        <x:v>0</x:v>
      </x:c>
      <x:c r="BL111" s="107" t="n">
        <x:f>SUM(IF($B$8=3,BL27,0),IF($B$36=3,BL55,0),IF($B$64=3,BL83,0))</x:f>
        <x:v>0</x:v>
      </x:c>
      <x:c r="BM111" s="107" t="n">
        <x:f>SUM(IF($B$8=3,BM27,0),IF($B$36=3,BM55,0),IF($B$64=3,BM83,0))</x:f>
        <x:v>0</x:v>
      </x:c>
      <x:c r="BN111" s="107" t="n">
        <x:f>SUM(IF($B$8=3,BN27,0),IF($B$36=3,BN55,0),IF($B$64=3,BN83,0))</x:f>
        <x:v>0</x:v>
      </x:c>
      <x:c r="BO111" s="107" t="n">
        <x:f>SUM(IF($B$8=3,BO27,0),IF($B$36=3,BO55,0),IF($B$64=3,BO83,0))</x:f>
        <x:v>0</x:v>
      </x:c>
      <x:c r="BP111" s="107" t="n">
        <x:f>SUM(IF($B$8=3,BP27,0),IF($B$36=3,BP55,0),IF($B$64=3,BP83,0))</x:f>
        <x:v>0</x:v>
      </x:c>
      <x:c r="BQ111" s="107" t="n">
        <x:f>SUM(IF($B$8=3,BQ27,0),IF($B$36=3,BQ55,0),IF($B$64=3,BQ83,0))</x:f>
        <x:v>0</x:v>
      </x:c>
      <x:c r="BR111" s="107" t="n">
        <x:f>SUM(IF($B$8=3,BR27,0),IF($B$36=3,BR55,0),IF($B$64=3,BR83,0))</x:f>
        <x:v>0</x:v>
      </x:c>
      <x:c r="BS111" s="107" t="n">
        <x:f>SUM(IF($B$8=3,BS27,0),IF($B$36=3,BS55,0),IF($B$64=3,BS83,0))</x:f>
        <x:v>0</x:v>
      </x:c>
      <x:c r="BT111" s="107" t="n">
        <x:f>SUM(IF($B$8=3,BT27,0),IF($B$36=3,BT55,0),IF($B$64=3,BT83,0))</x:f>
        <x:v>0</x:v>
      </x:c>
      <x:c r="BU111" s="107" t="n">
        <x:f>SUM(IF($B$8=3,BU27,0),IF($B$36=3,BU55,0),IF($B$64=3,BU83,0))</x:f>
        <x:v>0</x:v>
      </x:c>
      <x:c r="BV111" s="107" t="n">
        <x:f>SUM(IF($B$8=3,BV27,0),IF($B$36=3,BV55,0),IF($B$64=3,BV83,0))</x:f>
        <x:v>0</x:v>
      </x:c>
      <x:c r="BW111" s="107" t="n">
        <x:f>SUM(IF($B$8=3,BW27,0),IF($B$36=3,BW55,0),IF($B$64=3,BW83,0))</x:f>
        <x:v>0</x:v>
      </x:c>
      <x:c r="BX111" s="107" t="n">
        <x:f>SUM(IF($B$8=3,BX27,0),IF($B$36=3,BX55,0),IF($B$64=3,BX83,0))</x:f>
        <x:v>0</x:v>
      </x:c>
      <x:c r="BY111" s="107" t="n">
        <x:f>SUM(IF($B$8=3,BY27,0),IF($B$36=3,BY55,0),IF($B$64=3,BY83,0))</x:f>
        <x:v>0</x:v>
      </x:c>
      <x:c r="BZ111" s="107" t="n">
        <x:f>SUM(IF($B$8=3,BZ27,0),IF($B$36=3,BZ55,0),IF($B$64=3,BZ83,0))</x:f>
        <x:v>0</x:v>
      </x:c>
      <x:c r="CA111" s="107" t="n">
        <x:f>SUM(IF($B$8=3,CA27,0),IF($B$36=3,CA55,0),IF($B$64=3,CA83,0))</x:f>
        <x:v>0</x:v>
      </x:c>
      <x:c r="CB111" s="107" t="n">
        <x:f>SUM(IF($B$8=3,CB27,0),IF($B$36=3,CB55,0),IF($B$64=3,CB83,0))</x:f>
        <x:v>0</x:v>
      </x:c>
      <x:c r="CC111" s="107" t="n">
        <x:f>SUM(IF($B$8=3,CC27,0),IF($B$36=3,CC55,0),IF($B$64=3,CC83,0))</x:f>
        <x:v>0</x:v>
      </x:c>
      <x:c r="CD111" s="107" t="n">
        <x:f>SUM(IF($B$8=3,CD27,0),IF($B$36=3,CD55,0),IF($B$64=3,CD83,0))</x:f>
        <x:v>0</x:v>
      </x:c>
      <x:c r="CE111" s="107" t="n">
        <x:f>SUM(IF($B$8=3,CE27,0),IF($B$36=3,CE55,0),IF($B$64=3,CE83,0))</x:f>
        <x:v>0</x:v>
      </x:c>
      <x:c r="CF111" s="107" t="n">
        <x:f>SUM(IF($B$8=3,CF27,0),IF($B$36=3,CF55,0),IF($B$64=3,CF83,0))</x:f>
        <x:v>0</x:v>
      </x:c>
      <x:c r="CG111" s="107" t="n">
        <x:f>SUM(IF($B$8=3,CG27,0),IF($B$36=3,CG55,0),IF($B$64=3,CG83,0))</x:f>
        <x:v>0</x:v>
      </x:c>
      <x:c r="CH111" s="107" t="n">
        <x:f>SUM(IF($B$8=3,CH27,0),IF($B$36=3,CH55,0),IF($B$64=3,CH83,0))</x:f>
        <x:v>0</x:v>
      </x:c>
      <x:c r="CI111" s="107" t="n">
        <x:f>SUM(IF($B$8=3,CI27,0),IF($B$36=3,CI55,0),IF($B$64=3,CI83,0))</x:f>
        <x:v>0</x:v>
      </x:c>
      <x:c r="CJ111" s="107" t="n">
        <x:f>SUM(IF($B$8=3,CJ27,0),IF($B$36=3,CJ55,0),IF($B$64=3,CJ83,0))</x:f>
        <x:v>0</x:v>
      </x:c>
      <x:c r="CK111" s="107" t="n">
        <x:f>SUM(IF($B$8=3,CK27,0),IF($B$36=3,CK55,0),IF($B$64=3,CK83,0))</x:f>
        <x:v>0</x:v>
      </x:c>
      <x:c r="CL111" s="107" t="n">
        <x:f>SUM(IF($B$8=3,CL27,0),IF($B$36=3,CL55,0),IF($B$64=3,CL83,0))</x:f>
        <x:v>0</x:v>
      </x:c>
      <x:c r="CM111" s="107" t="n">
        <x:f>SUM(IF($B$8=3,CM27,0),IF($B$36=3,CM55,0),IF($B$64=3,CM83,0))</x:f>
        <x:v>0</x:v>
      </x:c>
      <x:c r="CN111" s="107" t="n">
        <x:f>SUM(IF($B$8=3,CN27,0),IF($B$36=3,CN55,0),IF($B$64=3,CN83,0))</x:f>
        <x:v>0</x:v>
      </x:c>
      <x:c r="CO111" s="107" t="n">
        <x:f>SUM(IF($B$8=3,CO27,0),IF($B$36=3,CO55,0),IF($B$64=3,CO83,0))</x:f>
        <x:v>0</x:v>
      </x:c>
      <x:c r="CP111" s="107" t="n">
        <x:f>SUM(IF($B$8=3,CP27,0),IF($B$36=3,CP55,0),IF($B$64=3,CP83,0))</x:f>
        <x:v>0</x:v>
      </x:c>
      <x:c r="CQ111" s="107" t="n">
        <x:f>SUM(IF($B$8=3,CQ27,0),IF($B$36=3,CQ55,0),IF($B$64=3,CQ83,0))</x:f>
        <x:v>0</x:v>
      </x:c>
      <x:c r="CR111" s="107" t="n">
        <x:f>SUM(IF($B$8=3,CR27,0),IF($B$36=3,CR55,0),IF($B$64=3,CR83,0))</x:f>
        <x:v>0</x:v>
      </x:c>
      <x:c r="CS111" s="107" t="n">
        <x:f>SUM(IF($B$8=3,CS27,0),IF($B$36=3,CS55,0),IF($B$64=3,CS83,0))</x:f>
        <x:v>0</x:v>
      </x:c>
      <x:c r="CT111" s="107" t="n">
        <x:f>SUM(IF($B$8=3,CT27,0),IF($B$36=3,CT55,0),IF($B$64=3,CT83,0))</x:f>
        <x:v>0</x:v>
      </x:c>
      <x:c r="CU111" s="107" t="n">
        <x:f>SUM(IF($B$8=3,CU27,0),IF($B$36=3,CU55,0),IF($B$64=3,CU83,0))</x:f>
        <x:v>0</x:v>
      </x:c>
      <x:c r="CV111" s="107" t="n">
        <x:f>SUM(IF($B$8=3,CV27,0),IF($B$36=3,CV55,0),IF($B$64=3,CV83,0))</x:f>
        <x:v>0</x:v>
      </x:c>
      <x:c r="CW111" s="107" t="n">
        <x:f>SUM(IF($B$8=3,CW27,0),IF($B$36=3,CW55,0),IF($B$64=3,CW83,0))</x:f>
        <x:v>0</x:v>
      </x:c>
      <x:c r="CX111" s="107" t="n">
        <x:f>SUM(IF($B$8=3,CX27,0),IF($B$36=3,CX55,0),IF($B$64=3,CX83,0))</x:f>
        <x:v>0</x:v>
      </x:c>
      <x:c r="CY111" s="107" t="n">
        <x:f>SUM(IF($B$8=3,CY27,0),IF($B$36=3,CY55,0),IF($B$64=3,CY83,0))</x:f>
        <x:v>0</x:v>
      </x:c>
      <x:c r="CZ111" s="107" t="n">
        <x:f>SUM(IF($B$8=3,CZ27,0),IF($B$36=3,CZ55,0),IF($B$64=3,CZ83,0))</x:f>
        <x:v>0</x:v>
      </x:c>
      <x:c r="DA111" s="107" t="n">
        <x:f>SUM(IF($B$8=3,DA27,0),IF($B$36=3,DA55,0),IF($B$64=3,DA83,0))</x:f>
        <x:v>0</x:v>
      </x:c>
      <x:c r="DB111" s="107" t="n">
        <x:f>SUM(IF($B$8=3,DB27,0),IF($B$36=3,DB55,0),IF($B$64=3,DB83,0))</x:f>
        <x:v>0</x:v>
      </x:c>
      <x:c r="DC111" s="107" t="n">
        <x:f>SUM(IF($B$8=3,DC27,0),IF($B$36=3,DC55,0),IF($B$64=3,DC83,0))</x:f>
        <x:v>0</x:v>
      </x:c>
      <x:c r="DD111" s="107" t="n">
        <x:f>SUM(IF($B$8=3,DD27,0),IF($B$36=3,DD55,0),IF($B$64=3,DD83,0))</x:f>
        <x:v>0</x:v>
      </x:c>
      <x:c r="DE111" s="107" t="n">
        <x:f>SUM(IF($B$8=3,DE27,0),IF($B$36=3,DE55,0),IF($B$64=3,DE83,0))</x:f>
        <x:v>0</x:v>
      </x:c>
      <x:c r="DF111" s="107" t="n">
        <x:f>SUM(IF($B$8=3,DF27,0),IF($B$36=3,DF55,0),IF($B$64=3,DF83,0))</x:f>
        <x:v>0</x:v>
      </x:c>
      <x:c r="DG111" s="107" t="n">
        <x:f>SUM(IF($B$8=3,DG27,0),IF($B$36=3,DG55,0),IF($B$64=3,DG83,0))</x:f>
        <x:v>0</x:v>
      </x:c>
      <x:c r="DH111" s="107" t="n">
        <x:f>SUM(IF($B$8=3,DH27,0),IF($B$36=3,DH55,0),IF($B$64=3,DH83,0))</x:f>
        <x:v>0</x:v>
      </x:c>
      <x:c r="DI111" s="107" t="n">
        <x:f>SUM(IF($B$8=3,DI27,0),IF($B$36=3,DI55,0),IF($B$64=3,DI83,0))</x:f>
        <x:v>0</x:v>
      </x:c>
      <x:c r="DJ111" s="107" t="n">
        <x:f>SUM(IF($B$8=3,DJ27,0),IF($B$36=3,DJ55,0),IF($B$64=3,DJ83,0))</x:f>
        <x:v>0</x:v>
      </x:c>
      <x:c r="DK111" s="107" t="n">
        <x:f>SUM(IF($B$8=3,DK27,0),IF($B$36=3,DK55,0),IF($B$64=3,DK83,0))</x:f>
        <x:v>0</x:v>
      </x:c>
      <x:c r="DL111" s="107" t="n">
        <x:f>SUM(IF($B$8=3,DL27,0),IF($B$36=3,DL55,0),IF($B$64=3,DL83,0))</x:f>
        <x:v>0</x:v>
      </x:c>
      <x:c r="DM111" s="107" t="n">
        <x:f>SUM(IF($B$8=3,DM27,0),IF($B$36=3,DM55,0),IF($B$64=3,DM83,0))</x:f>
        <x:v>0</x:v>
      </x:c>
      <x:c r="DN111" s="107" t="n">
        <x:f>SUM(IF($B$8=3,DN27,0),IF($B$36=3,DN55,0),IF($B$64=3,DN83,0))</x:f>
        <x:v>0</x:v>
      </x:c>
      <x:c r="DO111" s="107" t="n">
        <x:f>SUM(IF($B$8=3,DO27,0),IF($B$36=3,DO55,0),IF($B$64=3,DO83,0))</x:f>
        <x:v>0</x:v>
      </x:c>
      <x:c r="DP111" s="107" t="n">
        <x:f>SUM(IF($B$8=3,DP27,0),IF($B$36=3,DP55,0),IF($B$64=3,DP83,0))</x:f>
        <x:v>0</x:v>
      </x:c>
      <x:c r="DQ111" s="107" t="n">
        <x:f>SUM(IF($B$8=3,DQ27,0),IF($B$36=3,DQ55,0),IF($B$64=3,DQ83,0))</x:f>
        <x:v>0</x:v>
      </x:c>
      <x:c r="DR111" s="107" t="n">
        <x:f>SUM(IF($B$8=3,DR27,0),IF($B$36=3,DR55,0),IF($B$64=3,DR83,0))</x:f>
        <x:v>0</x:v>
      </x:c>
      <x:c r="DS111" s="107" t="n">
        <x:f>SUM(IF($B$8=3,DS27,0),IF($B$36=3,DS55,0),IF($B$64=3,DS83,0))</x:f>
        <x:v>0</x:v>
      </x:c>
    </x:row>
    <x:row r="112">
      <x:c r="A112" t="str">
        <x:v>Очередь 3 — CAPEX объектов</x:v>
      </x:c>
      <x:c r="B112" s="107" t="n">
        <x:f>SUM(D112:DS112)</x:f>
        <x:v>0</x:v>
      </x:c>
      <x:c r="C112" t="str">
        <x:v>млн ₽</x:v>
      </x:c>
      <x:c r="D112" s="107" t="n">
        <x:f>SUM(IF($B$8=3,D28,0),IF($B$36=3,D56,0),IF($B$64=3,D84,0))</x:f>
        <x:v>0</x:v>
      </x:c>
      <x:c r="E112" s="107" t="n">
        <x:f>SUM(IF($B$8=3,E28,0),IF($B$36=3,E56,0),IF($B$64=3,E84,0))</x:f>
        <x:v>0</x:v>
      </x:c>
      <x:c r="F112" s="107" t="n">
        <x:f>SUM(IF($B$8=3,F28,0),IF($B$36=3,F56,0),IF($B$64=3,F84,0))</x:f>
        <x:v>0</x:v>
      </x:c>
      <x:c r="G112" s="107" t="n">
        <x:f>SUM(IF($B$8=3,G28,0),IF($B$36=3,G56,0),IF($B$64=3,G84,0))</x:f>
        <x:v>0</x:v>
      </x:c>
      <x:c r="H112" s="107" t="n">
        <x:f>SUM(IF($B$8=3,H28,0),IF($B$36=3,H56,0),IF($B$64=3,H84,0))</x:f>
        <x:v>0</x:v>
      </x:c>
      <x:c r="I112" s="107" t="n">
        <x:f>SUM(IF($B$8=3,I28,0),IF($B$36=3,I56,0),IF($B$64=3,I84,0))</x:f>
        <x:v>0</x:v>
      </x:c>
      <x:c r="J112" s="107" t="n">
        <x:f>SUM(IF($B$8=3,J28,0),IF($B$36=3,J56,0),IF($B$64=3,J84,0))</x:f>
        <x:v>0</x:v>
      </x:c>
      <x:c r="K112" s="107" t="n">
        <x:f>SUM(IF($B$8=3,K28,0),IF($B$36=3,K56,0),IF($B$64=3,K84,0))</x:f>
        <x:v>0</x:v>
      </x:c>
      <x:c r="L112" s="107" t="n">
        <x:f>SUM(IF($B$8=3,L28,0),IF($B$36=3,L56,0),IF($B$64=3,L84,0))</x:f>
        <x:v>0</x:v>
      </x:c>
      <x:c r="M112" s="107" t="n">
        <x:f>SUM(IF($B$8=3,M28,0),IF($B$36=3,M56,0),IF($B$64=3,M84,0))</x:f>
        <x:v>0</x:v>
      </x:c>
      <x:c r="N112" s="107" t="n">
        <x:f>SUM(IF($B$8=3,N28,0),IF($B$36=3,N56,0),IF($B$64=3,N84,0))</x:f>
        <x:v>0</x:v>
      </x:c>
      <x:c r="O112" s="107" t="n">
        <x:f>SUM(IF($B$8=3,O28,0),IF($B$36=3,O56,0),IF($B$64=3,O84,0))</x:f>
        <x:v>0</x:v>
      </x:c>
      <x:c r="P112" s="107" t="n">
        <x:f>SUM(IF($B$8=3,P28,0),IF($B$36=3,P56,0),IF($B$64=3,P84,0))</x:f>
        <x:v>0</x:v>
      </x:c>
      <x:c r="Q112" s="107" t="n">
        <x:f>SUM(IF($B$8=3,Q28,0),IF($B$36=3,Q56,0),IF($B$64=3,Q84,0))</x:f>
        <x:v>0</x:v>
      </x:c>
      <x:c r="R112" s="107" t="n">
        <x:f>SUM(IF($B$8=3,R28,0),IF($B$36=3,R56,0),IF($B$64=3,R84,0))</x:f>
        <x:v>0</x:v>
      </x:c>
      <x:c r="S112" s="107" t="n">
        <x:f>SUM(IF($B$8=3,S28,0),IF($B$36=3,S56,0),IF($B$64=3,S84,0))</x:f>
        <x:v>0</x:v>
      </x:c>
      <x:c r="T112" s="107" t="n">
        <x:f>SUM(IF($B$8=3,T28,0),IF($B$36=3,T56,0),IF($B$64=3,T84,0))</x:f>
        <x:v>0</x:v>
      </x:c>
      <x:c r="U112" s="107" t="n">
        <x:f>SUM(IF($B$8=3,U28,0),IF($B$36=3,U56,0),IF($B$64=3,U84,0))</x:f>
        <x:v>0</x:v>
      </x:c>
      <x:c r="V112" s="107" t="n">
        <x:f>SUM(IF($B$8=3,V28,0),IF($B$36=3,V56,0),IF($B$64=3,V84,0))</x:f>
        <x:v>0</x:v>
      </x:c>
      <x:c r="W112" s="107" t="n">
        <x:f>SUM(IF($B$8=3,W28,0),IF($B$36=3,W56,0),IF($B$64=3,W84,0))</x:f>
        <x:v>0</x:v>
      </x:c>
      <x:c r="X112" s="107" t="n">
        <x:f>SUM(IF($B$8=3,X28,0),IF($B$36=3,X56,0),IF($B$64=3,X84,0))</x:f>
        <x:v>0</x:v>
      </x:c>
      <x:c r="Y112" s="107" t="n">
        <x:f>SUM(IF($B$8=3,Y28,0),IF($B$36=3,Y56,0),IF($B$64=3,Y84,0))</x:f>
        <x:v>0</x:v>
      </x:c>
      <x:c r="Z112" s="107" t="n">
        <x:f>SUM(IF($B$8=3,Z28,0),IF($B$36=3,Z56,0),IF($B$64=3,Z84,0))</x:f>
        <x:v>0</x:v>
      </x:c>
      <x:c r="AA112" s="107" t="n">
        <x:f>SUM(IF($B$8=3,AA28,0),IF($B$36=3,AA56,0),IF($B$64=3,AA84,0))</x:f>
        <x:v>0</x:v>
      </x:c>
      <x:c r="AB112" s="107" t="n">
        <x:f>SUM(IF($B$8=3,AB28,0),IF($B$36=3,AB56,0),IF($B$64=3,AB84,0))</x:f>
        <x:v>0</x:v>
      </x:c>
      <x:c r="AC112" s="107" t="n">
        <x:f>SUM(IF($B$8=3,AC28,0),IF($B$36=3,AC56,0),IF($B$64=3,AC84,0))</x:f>
        <x:v>0</x:v>
      </x:c>
      <x:c r="AD112" s="107" t="n">
        <x:f>SUM(IF($B$8=3,AD28,0),IF($B$36=3,AD56,0),IF($B$64=3,AD84,0))</x:f>
        <x:v>0</x:v>
      </x:c>
      <x:c r="AE112" s="107" t="n">
        <x:f>SUM(IF($B$8=3,AE28,0),IF($B$36=3,AE56,0),IF($B$64=3,AE84,0))</x:f>
        <x:v>0</x:v>
      </x:c>
      <x:c r="AF112" s="107" t="n">
        <x:f>SUM(IF($B$8=3,AF28,0),IF($B$36=3,AF56,0),IF($B$64=3,AF84,0))</x:f>
        <x:v>0</x:v>
      </x:c>
      <x:c r="AG112" s="107" t="n">
        <x:f>SUM(IF($B$8=3,AG28,0),IF($B$36=3,AG56,0),IF($B$64=3,AG84,0))</x:f>
        <x:v>0</x:v>
      </x:c>
      <x:c r="AH112" s="107" t="n">
        <x:f>SUM(IF($B$8=3,AH28,0),IF($B$36=3,AH56,0),IF($B$64=3,AH84,0))</x:f>
        <x:v>0</x:v>
      </x:c>
      <x:c r="AI112" s="107" t="n">
        <x:f>SUM(IF($B$8=3,AI28,0),IF($B$36=3,AI56,0),IF($B$64=3,AI84,0))</x:f>
        <x:v>0</x:v>
      </x:c>
      <x:c r="AJ112" s="107" t="n">
        <x:f>SUM(IF($B$8=3,AJ28,0),IF($B$36=3,AJ56,0),IF($B$64=3,AJ84,0))</x:f>
        <x:v>0</x:v>
      </x:c>
      <x:c r="AK112" s="107" t="n">
        <x:f>SUM(IF($B$8=3,AK28,0),IF($B$36=3,AK56,0),IF($B$64=3,AK84,0))</x:f>
        <x:v>0</x:v>
      </x:c>
      <x:c r="AL112" s="107" t="n">
        <x:f>SUM(IF($B$8=3,AL28,0),IF($B$36=3,AL56,0),IF($B$64=3,AL84,0))</x:f>
        <x:v>0</x:v>
      </x:c>
      <x:c r="AM112" s="107" t="n">
        <x:f>SUM(IF($B$8=3,AM28,0),IF($B$36=3,AM56,0),IF($B$64=3,AM84,0))</x:f>
        <x:v>0</x:v>
      </x:c>
      <x:c r="AN112" s="107" t="n">
        <x:f>SUM(IF($B$8=3,AN28,0),IF($B$36=3,AN56,0),IF($B$64=3,AN84,0))</x:f>
        <x:v>0</x:v>
      </x:c>
      <x:c r="AO112" s="107" t="n">
        <x:f>SUM(IF($B$8=3,AO28,0),IF($B$36=3,AO56,0),IF($B$64=3,AO84,0))</x:f>
        <x:v>0</x:v>
      </x:c>
      <x:c r="AP112" s="107" t="n">
        <x:f>SUM(IF($B$8=3,AP28,0),IF($B$36=3,AP56,0),IF($B$64=3,AP84,0))</x:f>
        <x:v>0</x:v>
      </x:c>
      <x:c r="AQ112" s="107" t="n">
        <x:f>SUM(IF($B$8=3,AQ28,0),IF($B$36=3,AQ56,0),IF($B$64=3,AQ84,0))</x:f>
        <x:v>0</x:v>
      </x:c>
      <x:c r="AR112" s="107" t="n">
        <x:f>SUM(IF($B$8=3,AR28,0),IF($B$36=3,AR56,0),IF($B$64=3,AR84,0))</x:f>
        <x:v>0</x:v>
      </x:c>
      <x:c r="AS112" s="107" t="n">
        <x:f>SUM(IF($B$8=3,AS28,0),IF($B$36=3,AS56,0),IF($B$64=3,AS84,0))</x:f>
        <x:v>0</x:v>
      </x:c>
      <x:c r="AT112" s="107" t="n">
        <x:f>SUM(IF($B$8=3,AT28,0),IF($B$36=3,AT56,0),IF($B$64=3,AT84,0))</x:f>
        <x:v>0</x:v>
      </x:c>
      <x:c r="AU112" s="107" t="n">
        <x:f>SUM(IF($B$8=3,AU28,0),IF($B$36=3,AU56,0),IF($B$64=3,AU84,0))</x:f>
        <x:v>0</x:v>
      </x:c>
      <x:c r="AV112" s="107" t="n">
        <x:f>SUM(IF($B$8=3,AV28,0),IF($B$36=3,AV56,0),IF($B$64=3,AV84,0))</x:f>
        <x:v>0</x:v>
      </x:c>
      <x:c r="AW112" s="107" t="n">
        <x:f>SUM(IF($B$8=3,AW28,0),IF($B$36=3,AW56,0),IF($B$64=3,AW84,0))</x:f>
        <x:v>0</x:v>
      </x:c>
      <x:c r="AX112" s="107" t="n">
        <x:f>SUM(IF($B$8=3,AX28,0),IF($B$36=3,AX56,0),IF($B$64=3,AX84,0))</x:f>
        <x:v>0</x:v>
      </x:c>
      <x:c r="AY112" s="107" t="n">
        <x:f>SUM(IF($B$8=3,AY28,0),IF($B$36=3,AY56,0),IF($B$64=3,AY84,0))</x:f>
        <x:v>0</x:v>
      </x:c>
      <x:c r="AZ112" s="107" t="n">
        <x:f>SUM(IF($B$8=3,AZ28,0),IF($B$36=3,AZ56,0),IF($B$64=3,AZ84,0))</x:f>
        <x:v>0</x:v>
      </x:c>
      <x:c r="BA112" s="107" t="n">
        <x:f>SUM(IF($B$8=3,BA28,0),IF($B$36=3,BA56,0),IF($B$64=3,BA84,0))</x:f>
        <x:v>0</x:v>
      </x:c>
      <x:c r="BB112" s="107" t="n">
        <x:f>SUM(IF($B$8=3,BB28,0),IF($B$36=3,BB56,0),IF($B$64=3,BB84,0))</x:f>
        <x:v>0</x:v>
      </x:c>
      <x:c r="BC112" s="107" t="n">
        <x:f>SUM(IF($B$8=3,BC28,0),IF($B$36=3,BC56,0),IF($B$64=3,BC84,0))</x:f>
        <x:v>0</x:v>
      </x:c>
      <x:c r="BD112" s="107" t="n">
        <x:f>SUM(IF($B$8=3,BD28,0),IF($B$36=3,BD56,0),IF($B$64=3,BD84,0))</x:f>
        <x:v>0</x:v>
      </x:c>
      <x:c r="BE112" s="107" t="n">
        <x:f>SUM(IF($B$8=3,BE28,0),IF($B$36=3,BE56,0),IF($B$64=3,BE84,0))</x:f>
        <x:v>0</x:v>
      </x:c>
      <x:c r="BF112" s="107" t="n">
        <x:f>SUM(IF($B$8=3,BF28,0),IF($B$36=3,BF56,0),IF($B$64=3,BF84,0))</x:f>
        <x:v>0</x:v>
      </x:c>
      <x:c r="BG112" s="107" t="n">
        <x:f>SUM(IF($B$8=3,BG28,0),IF($B$36=3,BG56,0),IF($B$64=3,BG84,0))</x:f>
        <x:v>0</x:v>
      </x:c>
      <x:c r="BH112" s="107" t="n">
        <x:f>SUM(IF($B$8=3,BH28,0),IF($B$36=3,BH56,0),IF($B$64=3,BH84,0))</x:f>
        <x:v>0</x:v>
      </x:c>
      <x:c r="BI112" s="107" t="n">
        <x:f>SUM(IF($B$8=3,BI28,0),IF($B$36=3,BI56,0),IF($B$64=3,BI84,0))</x:f>
        <x:v>0</x:v>
      </x:c>
      <x:c r="BJ112" s="107" t="n">
        <x:f>SUM(IF($B$8=3,BJ28,0),IF($B$36=3,BJ56,0),IF($B$64=3,BJ84,0))</x:f>
        <x:v>0</x:v>
      </x:c>
      <x:c r="BK112" s="107" t="n">
        <x:f>SUM(IF($B$8=3,BK28,0),IF($B$36=3,BK56,0),IF($B$64=3,BK84,0))</x:f>
        <x:v>0</x:v>
      </x:c>
      <x:c r="BL112" s="107" t="n">
        <x:f>SUM(IF($B$8=3,BL28,0),IF($B$36=3,BL56,0),IF($B$64=3,BL84,0))</x:f>
        <x:v>0</x:v>
      </x:c>
      <x:c r="BM112" s="107" t="n">
        <x:f>SUM(IF($B$8=3,BM28,0),IF($B$36=3,BM56,0),IF($B$64=3,BM84,0))</x:f>
        <x:v>0</x:v>
      </x:c>
      <x:c r="BN112" s="107" t="n">
        <x:f>SUM(IF($B$8=3,BN28,0),IF($B$36=3,BN56,0),IF($B$64=3,BN84,0))</x:f>
        <x:v>0</x:v>
      </x:c>
      <x:c r="BO112" s="107" t="n">
        <x:f>SUM(IF($B$8=3,BO28,0),IF($B$36=3,BO56,0),IF($B$64=3,BO84,0))</x:f>
        <x:v>0</x:v>
      </x:c>
      <x:c r="BP112" s="107" t="n">
        <x:f>SUM(IF($B$8=3,BP28,0),IF($B$36=3,BP56,0),IF($B$64=3,BP84,0))</x:f>
        <x:v>0</x:v>
      </x:c>
      <x:c r="BQ112" s="107" t="n">
        <x:f>SUM(IF($B$8=3,BQ28,0),IF($B$36=3,BQ56,0),IF($B$64=3,BQ84,0))</x:f>
        <x:v>0</x:v>
      </x:c>
      <x:c r="BR112" s="107" t="n">
        <x:f>SUM(IF($B$8=3,BR28,0),IF($B$36=3,BR56,0),IF($B$64=3,BR84,0))</x:f>
        <x:v>0</x:v>
      </x:c>
      <x:c r="BS112" s="107" t="n">
        <x:f>SUM(IF($B$8=3,BS28,0),IF($B$36=3,BS56,0),IF($B$64=3,BS84,0))</x:f>
        <x:v>0</x:v>
      </x:c>
      <x:c r="BT112" s="107" t="n">
        <x:f>SUM(IF($B$8=3,BT28,0),IF($B$36=3,BT56,0),IF($B$64=3,BT84,0))</x:f>
        <x:v>0</x:v>
      </x:c>
      <x:c r="BU112" s="107" t="n">
        <x:f>SUM(IF($B$8=3,BU28,0),IF($B$36=3,BU56,0),IF($B$64=3,BU84,0))</x:f>
        <x:v>0</x:v>
      </x:c>
      <x:c r="BV112" s="107" t="n">
        <x:f>SUM(IF($B$8=3,BV28,0),IF($B$36=3,BV56,0),IF($B$64=3,BV84,0))</x:f>
        <x:v>0</x:v>
      </x:c>
      <x:c r="BW112" s="107" t="n">
        <x:f>SUM(IF($B$8=3,BW28,0),IF($B$36=3,BW56,0),IF($B$64=3,BW84,0))</x:f>
        <x:v>0</x:v>
      </x:c>
      <x:c r="BX112" s="107" t="n">
        <x:f>SUM(IF($B$8=3,BX28,0),IF($B$36=3,BX56,0),IF($B$64=3,BX84,0))</x:f>
        <x:v>0</x:v>
      </x:c>
      <x:c r="BY112" s="107" t="n">
        <x:f>SUM(IF($B$8=3,BY28,0),IF($B$36=3,BY56,0),IF($B$64=3,BY84,0))</x:f>
        <x:v>0</x:v>
      </x:c>
      <x:c r="BZ112" s="107" t="n">
        <x:f>SUM(IF($B$8=3,BZ28,0),IF($B$36=3,BZ56,0),IF($B$64=3,BZ84,0))</x:f>
        <x:v>0</x:v>
      </x:c>
      <x:c r="CA112" s="107" t="n">
        <x:f>SUM(IF($B$8=3,CA28,0),IF($B$36=3,CA56,0),IF($B$64=3,CA84,0))</x:f>
        <x:v>0</x:v>
      </x:c>
      <x:c r="CB112" s="107" t="n">
        <x:f>SUM(IF($B$8=3,CB28,0),IF($B$36=3,CB56,0),IF($B$64=3,CB84,0))</x:f>
        <x:v>0</x:v>
      </x:c>
      <x:c r="CC112" s="107" t="n">
        <x:f>SUM(IF($B$8=3,CC28,0),IF($B$36=3,CC56,0),IF($B$64=3,CC84,0))</x:f>
        <x:v>0</x:v>
      </x:c>
      <x:c r="CD112" s="107" t="n">
        <x:f>SUM(IF($B$8=3,CD28,0),IF($B$36=3,CD56,0),IF($B$64=3,CD84,0))</x:f>
        <x:v>0</x:v>
      </x:c>
      <x:c r="CE112" s="107" t="n">
        <x:f>SUM(IF($B$8=3,CE28,0),IF($B$36=3,CE56,0),IF($B$64=3,CE84,0))</x:f>
        <x:v>0</x:v>
      </x:c>
      <x:c r="CF112" s="107" t="n">
        <x:f>SUM(IF($B$8=3,CF28,0),IF($B$36=3,CF56,0),IF($B$64=3,CF84,0))</x:f>
        <x:v>0</x:v>
      </x:c>
      <x:c r="CG112" s="107" t="n">
        <x:f>SUM(IF($B$8=3,CG28,0),IF($B$36=3,CG56,0),IF($B$64=3,CG84,0))</x:f>
        <x:v>0</x:v>
      </x:c>
      <x:c r="CH112" s="107" t="n">
        <x:f>SUM(IF($B$8=3,CH28,0),IF($B$36=3,CH56,0),IF($B$64=3,CH84,0))</x:f>
        <x:v>0</x:v>
      </x:c>
      <x:c r="CI112" s="107" t="n">
        <x:f>SUM(IF($B$8=3,CI28,0),IF($B$36=3,CI56,0),IF($B$64=3,CI84,0))</x:f>
        <x:v>0</x:v>
      </x:c>
      <x:c r="CJ112" s="107" t="n">
        <x:f>SUM(IF($B$8=3,CJ28,0),IF($B$36=3,CJ56,0),IF($B$64=3,CJ84,0))</x:f>
        <x:v>0</x:v>
      </x:c>
      <x:c r="CK112" s="107" t="n">
        <x:f>SUM(IF($B$8=3,CK28,0),IF($B$36=3,CK56,0),IF($B$64=3,CK84,0))</x:f>
        <x:v>0</x:v>
      </x:c>
      <x:c r="CL112" s="107" t="n">
        <x:f>SUM(IF($B$8=3,CL28,0),IF($B$36=3,CL56,0),IF($B$64=3,CL84,0))</x:f>
        <x:v>0</x:v>
      </x:c>
      <x:c r="CM112" s="107" t="n">
        <x:f>SUM(IF($B$8=3,CM28,0),IF($B$36=3,CM56,0),IF($B$64=3,CM84,0))</x:f>
        <x:v>0</x:v>
      </x:c>
      <x:c r="CN112" s="107" t="n">
        <x:f>SUM(IF($B$8=3,CN28,0),IF($B$36=3,CN56,0),IF($B$64=3,CN84,0))</x:f>
        <x:v>0</x:v>
      </x:c>
      <x:c r="CO112" s="107" t="n">
        <x:f>SUM(IF($B$8=3,CO28,0),IF($B$36=3,CO56,0),IF($B$64=3,CO84,0))</x:f>
        <x:v>0</x:v>
      </x:c>
      <x:c r="CP112" s="107" t="n">
        <x:f>SUM(IF($B$8=3,CP28,0),IF($B$36=3,CP56,0),IF($B$64=3,CP84,0))</x:f>
        <x:v>0</x:v>
      </x:c>
      <x:c r="CQ112" s="107" t="n">
        <x:f>SUM(IF($B$8=3,CQ28,0),IF($B$36=3,CQ56,0),IF($B$64=3,CQ84,0))</x:f>
        <x:v>0</x:v>
      </x:c>
      <x:c r="CR112" s="107" t="n">
        <x:f>SUM(IF($B$8=3,CR28,0),IF($B$36=3,CR56,0),IF($B$64=3,CR84,0))</x:f>
        <x:v>0</x:v>
      </x:c>
      <x:c r="CS112" s="107" t="n">
        <x:f>SUM(IF($B$8=3,CS28,0),IF($B$36=3,CS56,0),IF($B$64=3,CS84,0))</x:f>
        <x:v>0</x:v>
      </x:c>
      <x:c r="CT112" s="107" t="n">
        <x:f>SUM(IF($B$8=3,CT28,0),IF($B$36=3,CT56,0),IF($B$64=3,CT84,0))</x:f>
        <x:v>0</x:v>
      </x:c>
      <x:c r="CU112" s="107" t="n">
        <x:f>SUM(IF($B$8=3,CU28,0),IF($B$36=3,CU56,0),IF($B$64=3,CU84,0))</x:f>
        <x:v>0</x:v>
      </x:c>
      <x:c r="CV112" s="107" t="n">
        <x:f>SUM(IF($B$8=3,CV28,0),IF($B$36=3,CV56,0),IF($B$64=3,CV84,0))</x:f>
        <x:v>0</x:v>
      </x:c>
      <x:c r="CW112" s="107" t="n">
        <x:f>SUM(IF($B$8=3,CW28,0),IF($B$36=3,CW56,0),IF($B$64=3,CW84,0))</x:f>
        <x:v>0</x:v>
      </x:c>
      <x:c r="CX112" s="107" t="n">
        <x:f>SUM(IF($B$8=3,CX28,0),IF($B$36=3,CX56,0),IF($B$64=3,CX84,0))</x:f>
        <x:v>0</x:v>
      </x:c>
      <x:c r="CY112" s="107" t="n">
        <x:f>SUM(IF($B$8=3,CY28,0),IF($B$36=3,CY56,0),IF($B$64=3,CY84,0))</x:f>
        <x:v>0</x:v>
      </x:c>
      <x:c r="CZ112" s="107" t="n">
        <x:f>SUM(IF($B$8=3,CZ28,0),IF($B$36=3,CZ56,0),IF($B$64=3,CZ84,0))</x:f>
        <x:v>0</x:v>
      </x:c>
      <x:c r="DA112" s="107" t="n">
        <x:f>SUM(IF($B$8=3,DA28,0),IF($B$36=3,DA56,0),IF($B$64=3,DA84,0))</x:f>
        <x:v>0</x:v>
      </x:c>
      <x:c r="DB112" s="107" t="n">
        <x:f>SUM(IF($B$8=3,DB28,0),IF($B$36=3,DB56,0),IF($B$64=3,DB84,0))</x:f>
        <x:v>0</x:v>
      </x:c>
      <x:c r="DC112" s="107" t="n">
        <x:f>SUM(IF($B$8=3,DC28,0),IF($B$36=3,DC56,0),IF($B$64=3,DC84,0))</x:f>
        <x:v>0</x:v>
      </x:c>
      <x:c r="DD112" s="107" t="n">
        <x:f>SUM(IF($B$8=3,DD28,0),IF($B$36=3,DD56,0),IF($B$64=3,DD84,0))</x:f>
        <x:v>0</x:v>
      </x:c>
      <x:c r="DE112" s="107" t="n">
        <x:f>SUM(IF($B$8=3,DE28,0),IF($B$36=3,DE56,0),IF($B$64=3,DE84,0))</x:f>
        <x:v>0</x:v>
      </x:c>
      <x:c r="DF112" s="107" t="n">
        <x:f>SUM(IF($B$8=3,DF28,0),IF($B$36=3,DF56,0),IF($B$64=3,DF84,0))</x:f>
        <x:v>0</x:v>
      </x:c>
      <x:c r="DG112" s="107" t="n">
        <x:f>SUM(IF($B$8=3,DG28,0),IF($B$36=3,DG56,0),IF($B$64=3,DG84,0))</x:f>
        <x:v>0</x:v>
      </x:c>
      <x:c r="DH112" s="107" t="n">
        <x:f>SUM(IF($B$8=3,DH28,0),IF($B$36=3,DH56,0),IF($B$64=3,DH84,0))</x:f>
        <x:v>0</x:v>
      </x:c>
      <x:c r="DI112" s="107" t="n">
        <x:f>SUM(IF($B$8=3,DI28,0),IF($B$36=3,DI56,0),IF($B$64=3,DI84,0))</x:f>
        <x:v>0</x:v>
      </x:c>
      <x:c r="DJ112" s="107" t="n">
        <x:f>SUM(IF($B$8=3,DJ28,0),IF($B$36=3,DJ56,0),IF($B$64=3,DJ84,0))</x:f>
        <x:v>0</x:v>
      </x:c>
      <x:c r="DK112" s="107" t="n">
        <x:f>SUM(IF($B$8=3,DK28,0),IF($B$36=3,DK56,0),IF($B$64=3,DK84,0))</x:f>
        <x:v>0</x:v>
      </x:c>
      <x:c r="DL112" s="107" t="n">
        <x:f>SUM(IF($B$8=3,DL28,0),IF($B$36=3,DL56,0),IF($B$64=3,DL84,0))</x:f>
        <x:v>0</x:v>
      </x:c>
      <x:c r="DM112" s="107" t="n">
        <x:f>SUM(IF($B$8=3,DM28,0),IF($B$36=3,DM56,0),IF($B$64=3,DM84,0))</x:f>
        <x:v>0</x:v>
      </x:c>
      <x:c r="DN112" s="107" t="n">
        <x:f>SUM(IF($B$8=3,DN28,0),IF($B$36=3,DN56,0),IF($B$64=3,DN84,0))</x:f>
        <x:v>0</x:v>
      </x:c>
      <x:c r="DO112" s="107" t="n">
        <x:f>SUM(IF($B$8=3,DO28,0),IF($B$36=3,DO56,0),IF($B$64=3,DO84,0))</x:f>
        <x:v>0</x:v>
      </x:c>
      <x:c r="DP112" s="107" t="n">
        <x:f>SUM(IF($B$8=3,DP28,0),IF($B$36=3,DP56,0),IF($B$64=3,DP84,0))</x:f>
        <x:v>0</x:v>
      </x:c>
      <x:c r="DQ112" s="107" t="n">
        <x:f>SUM(IF($B$8=3,DQ28,0),IF($B$36=3,DQ56,0),IF($B$64=3,DQ84,0))</x:f>
        <x:v>0</x:v>
      </x:c>
      <x:c r="DR112" s="107" t="n">
        <x:f>SUM(IF($B$8=3,DR28,0),IF($B$36=3,DR56,0),IF($B$64=3,DR84,0))</x:f>
        <x:v>0</x:v>
      </x:c>
      <x:c r="DS112" s="107" t="n">
        <x:f>SUM(IF($B$8=3,DS28,0),IF($B$36=3,DS56,0),IF($B$64=3,DS84,0))</x:f>
        <x:v>0</x:v>
      </x:c>
    </x:row>
    <x:row r="113">
      <x:c r="A113" t="str">
        <x:v>Очередь 3 — Маркетинг объектов</x:v>
      </x:c>
      <x:c r="B113" s="107" t="n">
        <x:f>SUM(D113:DS113)</x:f>
        <x:v>0</x:v>
      </x:c>
      <x:c r="C113" t="str">
        <x:v>млн ₽</x:v>
      </x:c>
      <x:c r="D113" s="107" t="n">
        <x:f>SUM(IF($B$8=3,D29,0),IF($B$36=3,D57,0),IF($B$64=3,D85,0))</x:f>
        <x:v>0</x:v>
      </x:c>
      <x:c r="E113" s="107" t="n">
        <x:f>SUM(IF($B$8=3,E29,0),IF($B$36=3,E57,0),IF($B$64=3,E85,0))</x:f>
        <x:v>0</x:v>
      </x:c>
      <x:c r="F113" s="107" t="n">
        <x:f>SUM(IF($B$8=3,F29,0),IF($B$36=3,F57,0),IF($B$64=3,F85,0))</x:f>
        <x:v>0</x:v>
      </x:c>
      <x:c r="G113" s="107" t="n">
        <x:f>SUM(IF($B$8=3,G29,0),IF($B$36=3,G57,0),IF($B$64=3,G85,0))</x:f>
        <x:v>0</x:v>
      </x:c>
      <x:c r="H113" s="107" t="n">
        <x:f>SUM(IF($B$8=3,H29,0),IF($B$36=3,H57,0),IF($B$64=3,H85,0))</x:f>
        <x:v>0</x:v>
      </x:c>
      <x:c r="I113" s="107" t="n">
        <x:f>SUM(IF($B$8=3,I29,0),IF($B$36=3,I57,0),IF($B$64=3,I85,0))</x:f>
        <x:v>0</x:v>
      </x:c>
      <x:c r="J113" s="107" t="n">
        <x:f>SUM(IF($B$8=3,J29,0),IF($B$36=3,J57,0),IF($B$64=3,J85,0))</x:f>
        <x:v>0</x:v>
      </x:c>
      <x:c r="K113" s="107" t="n">
        <x:f>SUM(IF($B$8=3,K29,0),IF($B$36=3,K57,0),IF($B$64=3,K85,0))</x:f>
        <x:v>0</x:v>
      </x:c>
      <x:c r="L113" s="107" t="n">
        <x:f>SUM(IF($B$8=3,L29,0),IF($B$36=3,L57,0),IF($B$64=3,L85,0))</x:f>
        <x:v>0</x:v>
      </x:c>
      <x:c r="M113" s="107" t="n">
        <x:f>SUM(IF($B$8=3,M29,0),IF($B$36=3,M57,0),IF($B$64=3,M85,0))</x:f>
        <x:v>0</x:v>
      </x:c>
      <x:c r="N113" s="107" t="n">
        <x:f>SUM(IF($B$8=3,N29,0),IF($B$36=3,N57,0),IF($B$64=3,N85,0))</x:f>
        <x:v>0</x:v>
      </x:c>
      <x:c r="O113" s="107" t="n">
        <x:f>SUM(IF($B$8=3,O29,0),IF($B$36=3,O57,0),IF($B$64=3,O85,0))</x:f>
        <x:v>0</x:v>
      </x:c>
      <x:c r="P113" s="107" t="n">
        <x:f>SUM(IF($B$8=3,P29,0),IF($B$36=3,P57,0),IF($B$64=3,P85,0))</x:f>
        <x:v>0</x:v>
      </x:c>
      <x:c r="Q113" s="107" t="n">
        <x:f>SUM(IF($B$8=3,Q29,0),IF($B$36=3,Q57,0),IF($B$64=3,Q85,0))</x:f>
        <x:v>0</x:v>
      </x:c>
      <x:c r="R113" s="107" t="n">
        <x:f>SUM(IF($B$8=3,R29,0),IF($B$36=3,R57,0),IF($B$64=3,R85,0))</x:f>
        <x:v>0</x:v>
      </x:c>
      <x:c r="S113" s="107" t="n">
        <x:f>SUM(IF($B$8=3,S29,0),IF($B$36=3,S57,0),IF($B$64=3,S85,0))</x:f>
        <x:v>0</x:v>
      </x:c>
      <x:c r="T113" s="107" t="n">
        <x:f>SUM(IF($B$8=3,T29,0),IF($B$36=3,T57,0),IF($B$64=3,T85,0))</x:f>
        <x:v>0</x:v>
      </x:c>
      <x:c r="U113" s="107" t="n">
        <x:f>SUM(IF($B$8=3,U29,0),IF($B$36=3,U57,0),IF($B$64=3,U85,0))</x:f>
        <x:v>0</x:v>
      </x:c>
      <x:c r="V113" s="107" t="n">
        <x:f>SUM(IF($B$8=3,V29,0),IF($B$36=3,V57,0),IF($B$64=3,V85,0))</x:f>
        <x:v>0</x:v>
      </x:c>
      <x:c r="W113" s="107" t="n">
        <x:f>SUM(IF($B$8=3,W29,0),IF($B$36=3,W57,0),IF($B$64=3,W85,0))</x:f>
        <x:v>0</x:v>
      </x:c>
      <x:c r="X113" s="107" t="n">
        <x:f>SUM(IF($B$8=3,X29,0),IF($B$36=3,X57,0),IF($B$64=3,X85,0))</x:f>
        <x:v>0</x:v>
      </x:c>
      <x:c r="Y113" s="107" t="n">
        <x:f>SUM(IF($B$8=3,Y29,0),IF($B$36=3,Y57,0),IF($B$64=3,Y85,0))</x:f>
        <x:v>0</x:v>
      </x:c>
      <x:c r="Z113" s="107" t="n">
        <x:f>SUM(IF($B$8=3,Z29,0),IF($B$36=3,Z57,0),IF($B$64=3,Z85,0))</x:f>
        <x:v>0</x:v>
      </x:c>
      <x:c r="AA113" s="107" t="n">
        <x:f>SUM(IF($B$8=3,AA29,0),IF($B$36=3,AA57,0),IF($B$64=3,AA85,0))</x:f>
        <x:v>0</x:v>
      </x:c>
      <x:c r="AB113" s="107" t="n">
        <x:f>SUM(IF($B$8=3,AB29,0),IF($B$36=3,AB57,0),IF($B$64=3,AB85,0))</x:f>
        <x:v>0</x:v>
      </x:c>
      <x:c r="AC113" s="107" t="n">
        <x:f>SUM(IF($B$8=3,AC29,0),IF($B$36=3,AC57,0),IF($B$64=3,AC85,0))</x:f>
        <x:v>0</x:v>
      </x:c>
      <x:c r="AD113" s="107" t="n">
        <x:f>SUM(IF($B$8=3,AD29,0),IF($B$36=3,AD57,0),IF($B$64=3,AD85,0))</x:f>
        <x:v>0</x:v>
      </x:c>
      <x:c r="AE113" s="107" t="n">
        <x:f>SUM(IF($B$8=3,AE29,0),IF($B$36=3,AE57,0),IF($B$64=3,AE85,0))</x:f>
        <x:v>0</x:v>
      </x:c>
      <x:c r="AF113" s="107" t="n">
        <x:f>SUM(IF($B$8=3,AF29,0),IF($B$36=3,AF57,0),IF($B$64=3,AF85,0))</x:f>
        <x:v>0</x:v>
      </x:c>
      <x:c r="AG113" s="107" t="n">
        <x:f>SUM(IF($B$8=3,AG29,0),IF($B$36=3,AG57,0),IF($B$64=3,AG85,0))</x:f>
        <x:v>0</x:v>
      </x:c>
      <x:c r="AH113" s="107" t="n">
        <x:f>SUM(IF($B$8=3,AH29,0),IF($B$36=3,AH57,0),IF($B$64=3,AH85,0))</x:f>
        <x:v>0</x:v>
      </x:c>
      <x:c r="AI113" s="107" t="n">
        <x:f>SUM(IF($B$8=3,AI29,0),IF($B$36=3,AI57,0),IF($B$64=3,AI85,0))</x:f>
        <x:v>0</x:v>
      </x:c>
      <x:c r="AJ113" s="107" t="n">
        <x:f>SUM(IF($B$8=3,AJ29,0),IF($B$36=3,AJ57,0),IF($B$64=3,AJ85,0))</x:f>
        <x:v>0</x:v>
      </x:c>
      <x:c r="AK113" s="107" t="n">
        <x:f>SUM(IF($B$8=3,AK29,0),IF($B$36=3,AK57,0),IF($B$64=3,AK85,0))</x:f>
        <x:v>0</x:v>
      </x:c>
      <x:c r="AL113" s="107" t="n">
        <x:f>SUM(IF($B$8=3,AL29,0),IF($B$36=3,AL57,0),IF($B$64=3,AL85,0))</x:f>
        <x:v>0</x:v>
      </x:c>
      <x:c r="AM113" s="107" t="n">
        <x:f>SUM(IF($B$8=3,AM29,0),IF($B$36=3,AM57,0),IF($B$64=3,AM85,0))</x:f>
        <x:v>0</x:v>
      </x:c>
      <x:c r="AN113" s="107" t="n">
        <x:f>SUM(IF($B$8=3,AN29,0),IF($B$36=3,AN57,0),IF($B$64=3,AN85,0))</x:f>
        <x:v>0</x:v>
      </x:c>
      <x:c r="AO113" s="107" t="n">
        <x:f>SUM(IF($B$8=3,AO29,0),IF($B$36=3,AO57,0),IF($B$64=3,AO85,0))</x:f>
        <x:v>0</x:v>
      </x:c>
      <x:c r="AP113" s="107" t="n">
        <x:f>SUM(IF($B$8=3,AP29,0),IF($B$36=3,AP57,0),IF($B$64=3,AP85,0))</x:f>
        <x:v>0</x:v>
      </x:c>
      <x:c r="AQ113" s="107" t="n">
        <x:f>SUM(IF($B$8=3,AQ29,0),IF($B$36=3,AQ57,0),IF($B$64=3,AQ85,0))</x:f>
        <x:v>0</x:v>
      </x:c>
      <x:c r="AR113" s="107" t="n">
        <x:f>SUM(IF($B$8=3,AR29,0),IF($B$36=3,AR57,0),IF($B$64=3,AR85,0))</x:f>
        <x:v>0</x:v>
      </x:c>
      <x:c r="AS113" s="107" t="n">
        <x:f>SUM(IF($B$8=3,AS29,0),IF($B$36=3,AS57,0),IF($B$64=3,AS85,0))</x:f>
        <x:v>0</x:v>
      </x:c>
      <x:c r="AT113" s="107" t="n">
        <x:f>SUM(IF($B$8=3,AT29,0),IF($B$36=3,AT57,0),IF($B$64=3,AT85,0))</x:f>
        <x:v>0</x:v>
      </x:c>
      <x:c r="AU113" s="107" t="n">
        <x:f>SUM(IF($B$8=3,AU29,0),IF($B$36=3,AU57,0),IF($B$64=3,AU85,0))</x:f>
        <x:v>0</x:v>
      </x:c>
      <x:c r="AV113" s="107" t="n">
        <x:f>SUM(IF($B$8=3,AV29,0),IF($B$36=3,AV57,0),IF($B$64=3,AV85,0))</x:f>
        <x:v>0</x:v>
      </x:c>
      <x:c r="AW113" s="107" t="n">
        <x:f>SUM(IF($B$8=3,AW29,0),IF($B$36=3,AW57,0),IF($B$64=3,AW85,0))</x:f>
        <x:v>0</x:v>
      </x:c>
      <x:c r="AX113" s="107" t="n">
        <x:f>SUM(IF($B$8=3,AX29,0),IF($B$36=3,AX57,0),IF($B$64=3,AX85,0))</x:f>
        <x:v>0</x:v>
      </x:c>
      <x:c r="AY113" s="107" t="n">
        <x:f>SUM(IF($B$8=3,AY29,0),IF($B$36=3,AY57,0),IF($B$64=3,AY85,0))</x:f>
        <x:v>0</x:v>
      </x:c>
      <x:c r="AZ113" s="107" t="n">
        <x:f>SUM(IF($B$8=3,AZ29,0),IF($B$36=3,AZ57,0),IF($B$64=3,AZ85,0))</x:f>
        <x:v>0</x:v>
      </x:c>
      <x:c r="BA113" s="107" t="n">
        <x:f>SUM(IF($B$8=3,BA29,0),IF($B$36=3,BA57,0),IF($B$64=3,BA85,0))</x:f>
        <x:v>0</x:v>
      </x:c>
      <x:c r="BB113" s="107" t="n">
        <x:f>SUM(IF($B$8=3,BB29,0),IF($B$36=3,BB57,0),IF($B$64=3,BB85,0))</x:f>
        <x:v>0</x:v>
      </x:c>
      <x:c r="BC113" s="107" t="n">
        <x:f>SUM(IF($B$8=3,BC29,0),IF($B$36=3,BC57,0),IF($B$64=3,BC85,0))</x:f>
        <x:v>0</x:v>
      </x:c>
      <x:c r="BD113" s="107" t="n">
        <x:f>SUM(IF($B$8=3,BD29,0),IF($B$36=3,BD57,0),IF($B$64=3,BD85,0))</x:f>
        <x:v>0</x:v>
      </x:c>
      <x:c r="BE113" s="107" t="n">
        <x:f>SUM(IF($B$8=3,BE29,0),IF($B$36=3,BE57,0),IF($B$64=3,BE85,0))</x:f>
        <x:v>0</x:v>
      </x:c>
      <x:c r="BF113" s="107" t="n">
        <x:f>SUM(IF($B$8=3,BF29,0),IF($B$36=3,BF57,0),IF($B$64=3,BF85,0))</x:f>
        <x:v>0</x:v>
      </x:c>
      <x:c r="BG113" s="107" t="n">
        <x:f>SUM(IF($B$8=3,BG29,0),IF($B$36=3,BG57,0),IF($B$64=3,BG85,0))</x:f>
        <x:v>0</x:v>
      </x:c>
      <x:c r="BH113" s="107" t="n">
        <x:f>SUM(IF($B$8=3,BH29,0),IF($B$36=3,BH57,0),IF($B$64=3,BH85,0))</x:f>
        <x:v>0</x:v>
      </x:c>
      <x:c r="BI113" s="107" t="n">
        <x:f>SUM(IF($B$8=3,BI29,0),IF($B$36=3,BI57,0),IF($B$64=3,BI85,0))</x:f>
        <x:v>0</x:v>
      </x:c>
      <x:c r="BJ113" s="107" t="n">
        <x:f>SUM(IF($B$8=3,BJ29,0),IF($B$36=3,BJ57,0),IF($B$64=3,BJ85,0))</x:f>
        <x:v>0</x:v>
      </x:c>
      <x:c r="BK113" s="107" t="n">
        <x:f>SUM(IF($B$8=3,BK29,0),IF($B$36=3,BK57,0),IF($B$64=3,BK85,0))</x:f>
        <x:v>0</x:v>
      </x:c>
      <x:c r="BL113" s="107" t="n">
        <x:f>SUM(IF($B$8=3,BL29,0),IF($B$36=3,BL57,0),IF($B$64=3,BL85,0))</x:f>
        <x:v>0</x:v>
      </x:c>
      <x:c r="BM113" s="107" t="n">
        <x:f>SUM(IF($B$8=3,BM29,0),IF($B$36=3,BM57,0),IF($B$64=3,BM85,0))</x:f>
        <x:v>0</x:v>
      </x:c>
      <x:c r="BN113" s="107" t="n">
        <x:f>SUM(IF($B$8=3,BN29,0),IF($B$36=3,BN57,0),IF($B$64=3,BN85,0))</x:f>
        <x:v>0</x:v>
      </x:c>
      <x:c r="BO113" s="107" t="n">
        <x:f>SUM(IF($B$8=3,BO29,0),IF($B$36=3,BO57,0),IF($B$64=3,BO85,0))</x:f>
        <x:v>0</x:v>
      </x:c>
      <x:c r="BP113" s="107" t="n">
        <x:f>SUM(IF($B$8=3,BP29,0),IF($B$36=3,BP57,0),IF($B$64=3,BP85,0))</x:f>
        <x:v>0</x:v>
      </x:c>
      <x:c r="BQ113" s="107" t="n">
        <x:f>SUM(IF($B$8=3,BQ29,0),IF($B$36=3,BQ57,0),IF($B$64=3,BQ85,0))</x:f>
        <x:v>0</x:v>
      </x:c>
      <x:c r="BR113" s="107" t="n">
        <x:f>SUM(IF($B$8=3,BR29,0),IF($B$36=3,BR57,0),IF($B$64=3,BR85,0))</x:f>
        <x:v>0</x:v>
      </x:c>
      <x:c r="BS113" s="107" t="n">
        <x:f>SUM(IF($B$8=3,BS29,0),IF($B$36=3,BS57,0),IF($B$64=3,BS85,0))</x:f>
        <x:v>0</x:v>
      </x:c>
      <x:c r="BT113" s="107" t="n">
        <x:f>SUM(IF($B$8=3,BT29,0),IF($B$36=3,BT57,0),IF($B$64=3,BT85,0))</x:f>
        <x:v>0</x:v>
      </x:c>
      <x:c r="BU113" s="107" t="n">
        <x:f>SUM(IF($B$8=3,BU29,0),IF($B$36=3,BU57,0),IF($B$64=3,BU85,0))</x:f>
        <x:v>0</x:v>
      </x:c>
      <x:c r="BV113" s="107" t="n">
        <x:f>SUM(IF($B$8=3,BV29,0),IF($B$36=3,BV57,0),IF($B$64=3,BV85,0))</x:f>
        <x:v>0</x:v>
      </x:c>
      <x:c r="BW113" s="107" t="n">
        <x:f>SUM(IF($B$8=3,BW29,0),IF($B$36=3,BW57,0),IF($B$64=3,BW85,0))</x:f>
        <x:v>0</x:v>
      </x:c>
      <x:c r="BX113" s="107" t="n">
        <x:f>SUM(IF($B$8=3,BX29,0),IF($B$36=3,BX57,0),IF($B$64=3,BX85,0))</x:f>
        <x:v>0</x:v>
      </x:c>
      <x:c r="BY113" s="107" t="n">
        <x:f>SUM(IF($B$8=3,BY29,0),IF($B$36=3,BY57,0),IF($B$64=3,BY85,0))</x:f>
        <x:v>0</x:v>
      </x:c>
      <x:c r="BZ113" s="107" t="n">
        <x:f>SUM(IF($B$8=3,BZ29,0),IF($B$36=3,BZ57,0),IF($B$64=3,BZ85,0))</x:f>
        <x:v>0</x:v>
      </x:c>
      <x:c r="CA113" s="107" t="n">
        <x:f>SUM(IF($B$8=3,CA29,0),IF($B$36=3,CA57,0),IF($B$64=3,CA85,0))</x:f>
        <x:v>0</x:v>
      </x:c>
      <x:c r="CB113" s="107" t="n">
        <x:f>SUM(IF($B$8=3,CB29,0),IF($B$36=3,CB57,0),IF($B$64=3,CB85,0))</x:f>
        <x:v>0</x:v>
      </x:c>
      <x:c r="CC113" s="107" t="n">
        <x:f>SUM(IF($B$8=3,CC29,0),IF($B$36=3,CC57,0),IF($B$64=3,CC85,0))</x:f>
        <x:v>0</x:v>
      </x:c>
      <x:c r="CD113" s="107" t="n">
        <x:f>SUM(IF($B$8=3,CD29,0),IF($B$36=3,CD57,0),IF($B$64=3,CD85,0))</x:f>
        <x:v>0</x:v>
      </x:c>
      <x:c r="CE113" s="107" t="n">
        <x:f>SUM(IF($B$8=3,CE29,0),IF($B$36=3,CE57,0),IF($B$64=3,CE85,0))</x:f>
        <x:v>0</x:v>
      </x:c>
      <x:c r="CF113" s="107" t="n">
        <x:f>SUM(IF($B$8=3,CF29,0),IF($B$36=3,CF57,0),IF($B$64=3,CF85,0))</x:f>
        <x:v>0</x:v>
      </x:c>
      <x:c r="CG113" s="107" t="n">
        <x:f>SUM(IF($B$8=3,CG29,0),IF($B$36=3,CG57,0),IF($B$64=3,CG85,0))</x:f>
        <x:v>0</x:v>
      </x:c>
      <x:c r="CH113" s="107" t="n">
        <x:f>SUM(IF($B$8=3,CH29,0),IF($B$36=3,CH57,0),IF($B$64=3,CH85,0))</x:f>
        <x:v>0</x:v>
      </x:c>
      <x:c r="CI113" s="107" t="n">
        <x:f>SUM(IF($B$8=3,CI29,0),IF($B$36=3,CI57,0),IF($B$64=3,CI85,0))</x:f>
        <x:v>0</x:v>
      </x:c>
      <x:c r="CJ113" s="107" t="n">
        <x:f>SUM(IF($B$8=3,CJ29,0),IF($B$36=3,CJ57,0),IF($B$64=3,CJ85,0))</x:f>
        <x:v>0</x:v>
      </x:c>
      <x:c r="CK113" s="107" t="n">
        <x:f>SUM(IF($B$8=3,CK29,0),IF($B$36=3,CK57,0),IF($B$64=3,CK85,0))</x:f>
        <x:v>0</x:v>
      </x:c>
      <x:c r="CL113" s="107" t="n">
        <x:f>SUM(IF($B$8=3,CL29,0),IF($B$36=3,CL57,0),IF($B$64=3,CL85,0))</x:f>
        <x:v>0</x:v>
      </x:c>
      <x:c r="CM113" s="107" t="n">
        <x:f>SUM(IF($B$8=3,CM29,0),IF($B$36=3,CM57,0),IF($B$64=3,CM85,0))</x:f>
        <x:v>0</x:v>
      </x:c>
      <x:c r="CN113" s="107" t="n">
        <x:f>SUM(IF($B$8=3,CN29,0),IF($B$36=3,CN57,0),IF($B$64=3,CN85,0))</x:f>
        <x:v>0</x:v>
      </x:c>
      <x:c r="CO113" s="107" t="n">
        <x:f>SUM(IF($B$8=3,CO29,0),IF($B$36=3,CO57,0),IF($B$64=3,CO85,0))</x:f>
        <x:v>0</x:v>
      </x:c>
      <x:c r="CP113" s="107" t="n">
        <x:f>SUM(IF($B$8=3,CP29,0),IF($B$36=3,CP57,0),IF($B$64=3,CP85,0))</x:f>
        <x:v>0</x:v>
      </x:c>
      <x:c r="CQ113" s="107" t="n">
        <x:f>SUM(IF($B$8=3,CQ29,0),IF($B$36=3,CQ57,0),IF($B$64=3,CQ85,0))</x:f>
        <x:v>0</x:v>
      </x:c>
      <x:c r="CR113" s="107" t="n">
        <x:f>SUM(IF($B$8=3,CR29,0),IF($B$36=3,CR57,0),IF($B$64=3,CR85,0))</x:f>
        <x:v>0</x:v>
      </x:c>
      <x:c r="CS113" s="107" t="n">
        <x:f>SUM(IF($B$8=3,CS29,0),IF($B$36=3,CS57,0),IF($B$64=3,CS85,0))</x:f>
        <x:v>0</x:v>
      </x:c>
      <x:c r="CT113" s="107" t="n">
        <x:f>SUM(IF($B$8=3,CT29,0),IF($B$36=3,CT57,0),IF($B$64=3,CT85,0))</x:f>
        <x:v>0</x:v>
      </x:c>
      <x:c r="CU113" s="107" t="n">
        <x:f>SUM(IF($B$8=3,CU29,0),IF($B$36=3,CU57,0),IF($B$64=3,CU85,0))</x:f>
        <x:v>0</x:v>
      </x:c>
      <x:c r="CV113" s="107" t="n">
        <x:f>SUM(IF($B$8=3,CV29,0),IF($B$36=3,CV57,0),IF($B$64=3,CV85,0))</x:f>
        <x:v>0</x:v>
      </x:c>
      <x:c r="CW113" s="107" t="n">
        <x:f>SUM(IF($B$8=3,CW29,0),IF($B$36=3,CW57,0),IF($B$64=3,CW85,0))</x:f>
        <x:v>0</x:v>
      </x:c>
      <x:c r="CX113" s="107" t="n">
        <x:f>SUM(IF($B$8=3,CX29,0),IF($B$36=3,CX57,0),IF($B$64=3,CX85,0))</x:f>
        <x:v>0</x:v>
      </x:c>
      <x:c r="CY113" s="107" t="n">
        <x:f>SUM(IF($B$8=3,CY29,0),IF($B$36=3,CY57,0),IF($B$64=3,CY85,0))</x:f>
        <x:v>0</x:v>
      </x:c>
      <x:c r="CZ113" s="107" t="n">
        <x:f>SUM(IF($B$8=3,CZ29,0),IF($B$36=3,CZ57,0),IF($B$64=3,CZ85,0))</x:f>
        <x:v>0</x:v>
      </x:c>
      <x:c r="DA113" s="107" t="n">
        <x:f>SUM(IF($B$8=3,DA29,0),IF($B$36=3,DA57,0),IF($B$64=3,DA85,0))</x:f>
        <x:v>0</x:v>
      </x:c>
      <x:c r="DB113" s="107" t="n">
        <x:f>SUM(IF($B$8=3,DB29,0),IF($B$36=3,DB57,0),IF($B$64=3,DB85,0))</x:f>
        <x:v>0</x:v>
      </x:c>
      <x:c r="DC113" s="107" t="n">
        <x:f>SUM(IF($B$8=3,DC29,0),IF($B$36=3,DC57,0),IF($B$64=3,DC85,0))</x:f>
        <x:v>0</x:v>
      </x:c>
      <x:c r="DD113" s="107" t="n">
        <x:f>SUM(IF($B$8=3,DD29,0),IF($B$36=3,DD57,0),IF($B$64=3,DD85,0))</x:f>
        <x:v>0</x:v>
      </x:c>
      <x:c r="DE113" s="107" t="n">
        <x:f>SUM(IF($B$8=3,DE29,0),IF($B$36=3,DE57,0),IF($B$64=3,DE85,0))</x:f>
        <x:v>0</x:v>
      </x:c>
      <x:c r="DF113" s="107" t="n">
        <x:f>SUM(IF($B$8=3,DF29,0),IF($B$36=3,DF57,0),IF($B$64=3,DF85,0))</x:f>
        <x:v>0</x:v>
      </x:c>
      <x:c r="DG113" s="107" t="n">
        <x:f>SUM(IF($B$8=3,DG29,0),IF($B$36=3,DG57,0),IF($B$64=3,DG85,0))</x:f>
        <x:v>0</x:v>
      </x:c>
      <x:c r="DH113" s="107" t="n">
        <x:f>SUM(IF($B$8=3,DH29,0),IF($B$36=3,DH57,0),IF($B$64=3,DH85,0))</x:f>
        <x:v>0</x:v>
      </x:c>
      <x:c r="DI113" s="107" t="n">
        <x:f>SUM(IF($B$8=3,DI29,0),IF($B$36=3,DI57,0),IF($B$64=3,DI85,0))</x:f>
        <x:v>0</x:v>
      </x:c>
      <x:c r="DJ113" s="107" t="n">
        <x:f>SUM(IF($B$8=3,DJ29,0),IF($B$36=3,DJ57,0),IF($B$64=3,DJ85,0))</x:f>
        <x:v>0</x:v>
      </x:c>
      <x:c r="DK113" s="107" t="n">
        <x:f>SUM(IF($B$8=3,DK29,0),IF($B$36=3,DK57,0),IF($B$64=3,DK85,0))</x:f>
        <x:v>0</x:v>
      </x:c>
      <x:c r="DL113" s="107" t="n">
        <x:f>SUM(IF($B$8=3,DL29,0),IF($B$36=3,DL57,0),IF($B$64=3,DL85,0))</x:f>
        <x:v>0</x:v>
      </x:c>
      <x:c r="DM113" s="107" t="n">
        <x:f>SUM(IF($B$8=3,DM29,0),IF($B$36=3,DM57,0),IF($B$64=3,DM85,0))</x:f>
        <x:v>0</x:v>
      </x:c>
      <x:c r="DN113" s="107" t="n">
        <x:f>SUM(IF($B$8=3,DN29,0),IF($B$36=3,DN57,0),IF($B$64=3,DN85,0))</x:f>
        <x:v>0</x:v>
      </x:c>
      <x:c r="DO113" s="107" t="n">
        <x:f>SUM(IF($B$8=3,DO29,0),IF($B$36=3,DO57,0),IF($B$64=3,DO85,0))</x:f>
        <x:v>0</x:v>
      </x:c>
      <x:c r="DP113" s="107" t="n">
        <x:f>SUM(IF($B$8=3,DP29,0),IF($B$36=3,DP57,0),IF($B$64=3,DP85,0))</x:f>
        <x:v>0</x:v>
      </x:c>
      <x:c r="DQ113" s="107" t="n">
        <x:f>SUM(IF($B$8=3,DQ29,0),IF($B$36=3,DQ57,0),IF($B$64=3,DQ85,0))</x:f>
        <x:v>0</x:v>
      </x:c>
      <x:c r="DR113" s="107" t="n">
        <x:f>SUM(IF($B$8=3,DR29,0),IF($B$36=3,DR57,0),IF($B$64=3,DR85,0))</x:f>
        <x:v>0</x:v>
      </x:c>
      <x:c r="DS113" s="107" t="n">
        <x:f>SUM(IF($B$8=3,DS29,0),IF($B$36=3,DS57,0),IF($B$64=3,DS85,0))</x:f>
        <x:v>0</x:v>
      </x:c>
    </x:row>
    <x:row r="114">
      <x:c r="A114" s="348" t="str">
        <x:v>Очередь 3 — Расходы на продажи объектов</x:v>
      </x:c>
      <x:c r="B114" s="348" t="n">
        <x:f>SUM(D114:DS114)</x:f>
        <x:v>0</x:v>
      </x:c>
      <x:c r="C114" s="348" t="str">
        <x:v>млн ₽</x:v>
      </x:c>
      <x:c r="D114" s="348" t="n">
        <x:f>SUM(IF($B$8=3,D30,0),IF($B$36=3,D58,0),IF($B$64=3,D86,0))</x:f>
        <x:v>0</x:v>
      </x:c>
      <x:c r="E114" s="348" t="n">
        <x:f>SUM(IF($B$8=3,E30,0),IF($B$36=3,E58,0),IF($B$64=3,E86,0))</x:f>
        <x:v>0</x:v>
      </x:c>
      <x:c r="F114" s="348" t="n">
        <x:f>SUM(IF($B$8=3,F30,0),IF($B$36=3,F58,0),IF($B$64=3,F86,0))</x:f>
        <x:v>0</x:v>
      </x:c>
      <x:c r="G114" s="348" t="n">
        <x:f>SUM(IF($B$8=3,G30,0),IF($B$36=3,G58,0),IF($B$64=3,G86,0))</x:f>
        <x:v>0</x:v>
      </x:c>
      <x:c r="H114" s="348" t="n">
        <x:f>SUM(IF($B$8=3,H30,0),IF($B$36=3,H58,0),IF($B$64=3,H86,0))</x:f>
        <x:v>0</x:v>
      </x:c>
      <x:c r="I114" s="348" t="n">
        <x:f>SUM(IF($B$8=3,I30,0),IF($B$36=3,I58,0),IF($B$64=3,I86,0))</x:f>
        <x:v>0</x:v>
      </x:c>
      <x:c r="J114" s="348" t="n">
        <x:f>SUM(IF($B$8=3,J30,0),IF($B$36=3,J58,0),IF($B$64=3,J86,0))</x:f>
        <x:v>0</x:v>
      </x:c>
      <x:c r="K114" s="348" t="n">
        <x:f>SUM(IF($B$8=3,K30,0),IF($B$36=3,K58,0),IF($B$64=3,K86,0))</x:f>
        <x:v>0</x:v>
      </x:c>
      <x:c r="L114" s="348" t="n">
        <x:f>SUM(IF($B$8=3,L30,0),IF($B$36=3,L58,0),IF($B$64=3,L86,0))</x:f>
        <x:v>0</x:v>
      </x:c>
      <x:c r="M114" s="348" t="n">
        <x:f>SUM(IF($B$8=3,M30,0),IF($B$36=3,M58,0),IF($B$64=3,M86,0))</x:f>
        <x:v>0</x:v>
      </x:c>
      <x:c r="N114" s="348" t="n">
        <x:f>SUM(IF($B$8=3,N30,0),IF($B$36=3,N58,0),IF($B$64=3,N86,0))</x:f>
        <x:v>0</x:v>
      </x:c>
      <x:c r="O114" s="348" t="n">
        <x:f>SUM(IF($B$8=3,O30,0),IF($B$36=3,O58,0),IF($B$64=3,O86,0))</x:f>
        <x:v>0</x:v>
      </x:c>
      <x:c r="P114" s="348" t="n">
        <x:f>SUM(IF($B$8=3,P30,0),IF($B$36=3,P58,0),IF($B$64=3,P86,0))</x:f>
        <x:v>0</x:v>
      </x:c>
      <x:c r="Q114" s="348" t="n">
        <x:f>SUM(IF($B$8=3,Q30,0),IF($B$36=3,Q58,0),IF($B$64=3,Q86,0))</x:f>
        <x:v>0</x:v>
      </x:c>
      <x:c r="R114" s="348" t="n">
        <x:f>SUM(IF($B$8=3,R30,0),IF($B$36=3,R58,0),IF($B$64=3,R86,0))</x:f>
        <x:v>0</x:v>
      </x:c>
      <x:c r="S114" s="348" t="n">
        <x:f>SUM(IF($B$8=3,S30,0),IF($B$36=3,S58,0),IF($B$64=3,S86,0))</x:f>
        <x:v>0</x:v>
      </x:c>
      <x:c r="T114" s="348" t="n">
        <x:f>SUM(IF($B$8=3,T30,0),IF($B$36=3,T58,0),IF($B$64=3,T86,0))</x:f>
        <x:v>0</x:v>
      </x:c>
      <x:c r="U114" s="348" t="n">
        <x:f>SUM(IF($B$8=3,U30,0),IF($B$36=3,U58,0),IF($B$64=3,U86,0))</x:f>
        <x:v>0</x:v>
      </x:c>
      <x:c r="V114" s="348" t="n">
        <x:f>SUM(IF($B$8=3,V30,0),IF($B$36=3,V58,0),IF($B$64=3,V86,0))</x:f>
        <x:v>0</x:v>
      </x:c>
      <x:c r="W114" s="348" t="n">
        <x:f>SUM(IF($B$8=3,W30,0),IF($B$36=3,W58,0),IF($B$64=3,W86,0))</x:f>
        <x:v>0</x:v>
      </x:c>
      <x:c r="X114" s="348" t="n">
        <x:f>SUM(IF($B$8=3,X30,0),IF($B$36=3,X58,0),IF($B$64=3,X86,0))</x:f>
        <x:v>0</x:v>
      </x:c>
      <x:c r="Y114" s="348" t="n">
        <x:f>SUM(IF($B$8=3,Y30,0),IF($B$36=3,Y58,0),IF($B$64=3,Y86,0))</x:f>
        <x:v>0</x:v>
      </x:c>
      <x:c r="Z114" s="348" t="n">
        <x:f>SUM(IF($B$8=3,Z30,0),IF($B$36=3,Z58,0),IF($B$64=3,Z86,0))</x:f>
        <x:v>0</x:v>
      </x:c>
      <x:c r="AA114" s="348" t="n">
        <x:f>SUM(IF($B$8=3,AA30,0),IF($B$36=3,AA58,0),IF($B$64=3,AA86,0))</x:f>
        <x:v>0</x:v>
      </x:c>
      <x:c r="AB114" s="348" t="n">
        <x:f>SUM(IF($B$8=3,AB30,0),IF($B$36=3,AB58,0),IF($B$64=3,AB86,0))</x:f>
        <x:v>0</x:v>
      </x:c>
      <x:c r="AC114" s="348" t="n">
        <x:f>SUM(IF($B$8=3,AC30,0),IF($B$36=3,AC58,0),IF($B$64=3,AC86,0))</x:f>
        <x:v>0</x:v>
      </x:c>
      <x:c r="AD114" s="348" t="n">
        <x:f>SUM(IF($B$8=3,AD30,0),IF($B$36=3,AD58,0),IF($B$64=3,AD86,0))</x:f>
        <x:v>0</x:v>
      </x:c>
      <x:c r="AE114" s="348" t="n">
        <x:f>SUM(IF($B$8=3,AE30,0),IF($B$36=3,AE58,0),IF($B$64=3,AE86,0))</x:f>
        <x:v>0</x:v>
      </x:c>
      <x:c r="AF114" s="348" t="n">
        <x:f>SUM(IF($B$8=3,AF30,0),IF($B$36=3,AF58,0),IF($B$64=3,AF86,0))</x:f>
        <x:v>0</x:v>
      </x:c>
      <x:c r="AG114" s="348" t="n">
        <x:f>SUM(IF($B$8=3,AG30,0),IF($B$36=3,AG58,0),IF($B$64=3,AG86,0))</x:f>
        <x:v>0</x:v>
      </x:c>
      <x:c r="AH114" s="348" t="n">
        <x:f>SUM(IF($B$8=3,AH30,0),IF($B$36=3,AH58,0),IF($B$64=3,AH86,0))</x:f>
        <x:v>0</x:v>
      </x:c>
      <x:c r="AI114" s="348" t="n">
        <x:f>SUM(IF($B$8=3,AI30,0),IF($B$36=3,AI58,0),IF($B$64=3,AI86,0))</x:f>
        <x:v>0</x:v>
      </x:c>
      <x:c r="AJ114" s="348" t="n">
        <x:f>SUM(IF($B$8=3,AJ30,0),IF($B$36=3,AJ58,0),IF($B$64=3,AJ86,0))</x:f>
        <x:v>0</x:v>
      </x:c>
      <x:c r="AK114" s="348" t="n">
        <x:f>SUM(IF($B$8=3,AK30,0),IF($B$36=3,AK58,0),IF($B$64=3,AK86,0))</x:f>
        <x:v>0</x:v>
      </x:c>
      <x:c r="AL114" s="348" t="n">
        <x:f>SUM(IF($B$8=3,AL30,0),IF($B$36=3,AL58,0),IF($B$64=3,AL86,0))</x:f>
        <x:v>0</x:v>
      </x:c>
      <x:c r="AM114" s="348" t="n">
        <x:f>SUM(IF($B$8=3,AM30,0),IF($B$36=3,AM58,0),IF($B$64=3,AM86,0))</x:f>
        <x:v>0</x:v>
      </x:c>
      <x:c r="AN114" s="348" t="n">
        <x:f>SUM(IF($B$8=3,AN30,0),IF($B$36=3,AN58,0),IF($B$64=3,AN86,0))</x:f>
        <x:v>0</x:v>
      </x:c>
      <x:c r="AO114" s="348" t="n">
        <x:f>SUM(IF($B$8=3,AO30,0),IF($B$36=3,AO58,0),IF($B$64=3,AO86,0))</x:f>
        <x:v>0</x:v>
      </x:c>
      <x:c r="AP114" s="348" t="n">
        <x:f>SUM(IF($B$8=3,AP30,0),IF($B$36=3,AP58,0),IF($B$64=3,AP86,0))</x:f>
        <x:v>0</x:v>
      </x:c>
      <x:c r="AQ114" s="348" t="n">
        <x:f>SUM(IF($B$8=3,AQ30,0),IF($B$36=3,AQ58,0),IF($B$64=3,AQ86,0))</x:f>
        <x:v>0</x:v>
      </x:c>
      <x:c r="AR114" s="348" t="n">
        <x:f>SUM(IF($B$8=3,AR30,0),IF($B$36=3,AR58,0),IF($B$64=3,AR86,0))</x:f>
        <x:v>0</x:v>
      </x:c>
      <x:c r="AS114" s="348" t="n">
        <x:f>SUM(IF($B$8=3,AS30,0),IF($B$36=3,AS58,0),IF($B$64=3,AS86,0))</x:f>
        <x:v>0</x:v>
      </x:c>
      <x:c r="AT114" s="348" t="n">
        <x:f>SUM(IF($B$8=3,AT30,0),IF($B$36=3,AT58,0),IF($B$64=3,AT86,0))</x:f>
        <x:v>0</x:v>
      </x:c>
      <x:c r="AU114" s="348" t="n">
        <x:f>SUM(IF($B$8=3,AU30,0),IF($B$36=3,AU58,0),IF($B$64=3,AU86,0))</x:f>
        <x:v>0</x:v>
      </x:c>
      <x:c r="AV114" s="348" t="n">
        <x:f>SUM(IF($B$8=3,AV30,0),IF($B$36=3,AV58,0),IF($B$64=3,AV86,0))</x:f>
        <x:v>0</x:v>
      </x:c>
      <x:c r="AW114" s="348" t="n">
        <x:f>SUM(IF($B$8=3,AW30,0),IF($B$36=3,AW58,0),IF($B$64=3,AW86,0))</x:f>
        <x:v>0</x:v>
      </x:c>
      <x:c r="AX114" s="348" t="n">
        <x:f>SUM(IF($B$8=3,AX30,0),IF($B$36=3,AX58,0),IF($B$64=3,AX86,0))</x:f>
        <x:v>0</x:v>
      </x:c>
      <x:c r="AY114" s="348" t="n">
        <x:f>SUM(IF($B$8=3,AY30,0),IF($B$36=3,AY58,0),IF($B$64=3,AY86,0))</x:f>
        <x:v>0</x:v>
      </x:c>
      <x:c r="AZ114" s="348" t="n">
        <x:f>SUM(IF($B$8=3,AZ30,0),IF($B$36=3,AZ58,0),IF($B$64=3,AZ86,0))</x:f>
        <x:v>0</x:v>
      </x:c>
      <x:c r="BA114" s="348" t="n">
        <x:f>SUM(IF($B$8=3,BA30,0),IF($B$36=3,BA58,0),IF($B$64=3,BA86,0))</x:f>
        <x:v>0</x:v>
      </x:c>
      <x:c r="BB114" s="348" t="n">
        <x:f>SUM(IF($B$8=3,BB30,0),IF($B$36=3,BB58,0),IF($B$64=3,BB86,0))</x:f>
        <x:v>0</x:v>
      </x:c>
      <x:c r="BC114" s="348" t="n">
        <x:f>SUM(IF($B$8=3,BC30,0),IF($B$36=3,BC58,0),IF($B$64=3,BC86,0))</x:f>
        <x:v>0</x:v>
      </x:c>
      <x:c r="BD114" s="348" t="n">
        <x:f>SUM(IF($B$8=3,BD30,0),IF($B$36=3,BD58,0),IF($B$64=3,BD86,0))</x:f>
        <x:v>0</x:v>
      </x:c>
      <x:c r="BE114" s="348" t="n">
        <x:f>SUM(IF($B$8=3,BE30,0),IF($B$36=3,BE58,0),IF($B$64=3,BE86,0))</x:f>
        <x:v>0</x:v>
      </x:c>
      <x:c r="BF114" s="348" t="n">
        <x:f>SUM(IF($B$8=3,BF30,0),IF($B$36=3,BF58,0),IF($B$64=3,BF86,0))</x:f>
        <x:v>0</x:v>
      </x:c>
      <x:c r="BG114" s="348" t="n">
        <x:f>SUM(IF($B$8=3,BG30,0),IF($B$36=3,BG58,0),IF($B$64=3,BG86,0))</x:f>
        <x:v>0</x:v>
      </x:c>
      <x:c r="BH114" s="348" t="n">
        <x:f>SUM(IF($B$8=3,BH30,0),IF($B$36=3,BH58,0),IF($B$64=3,BH86,0))</x:f>
        <x:v>0</x:v>
      </x:c>
      <x:c r="BI114" s="348" t="n">
        <x:f>SUM(IF($B$8=3,BI30,0),IF($B$36=3,BI58,0),IF($B$64=3,BI86,0))</x:f>
        <x:v>0</x:v>
      </x:c>
      <x:c r="BJ114" s="348" t="n">
        <x:f>SUM(IF($B$8=3,BJ30,0),IF($B$36=3,BJ58,0),IF($B$64=3,BJ86,0))</x:f>
        <x:v>0</x:v>
      </x:c>
      <x:c r="BK114" s="348" t="n">
        <x:f>SUM(IF($B$8=3,BK30,0),IF($B$36=3,BK58,0),IF($B$64=3,BK86,0))</x:f>
        <x:v>0</x:v>
      </x:c>
      <x:c r="BL114" s="348" t="n">
        <x:f>SUM(IF($B$8=3,BL30,0),IF($B$36=3,BL58,0),IF($B$64=3,BL86,0))</x:f>
        <x:v>0</x:v>
      </x:c>
      <x:c r="BM114" s="348" t="n">
        <x:f>SUM(IF($B$8=3,BM30,0),IF($B$36=3,BM58,0),IF($B$64=3,BM86,0))</x:f>
        <x:v>0</x:v>
      </x:c>
      <x:c r="BN114" s="348" t="n">
        <x:f>SUM(IF($B$8=3,BN30,0),IF($B$36=3,BN58,0),IF($B$64=3,BN86,0))</x:f>
        <x:v>0</x:v>
      </x:c>
      <x:c r="BO114" s="348" t="n">
        <x:f>SUM(IF($B$8=3,BO30,0),IF($B$36=3,BO58,0),IF($B$64=3,BO86,0))</x:f>
        <x:v>0</x:v>
      </x:c>
      <x:c r="BP114" s="348" t="n">
        <x:f>SUM(IF($B$8=3,BP30,0),IF($B$36=3,BP58,0),IF($B$64=3,BP86,0))</x:f>
        <x:v>0</x:v>
      </x:c>
      <x:c r="BQ114" s="348" t="n">
        <x:f>SUM(IF($B$8=3,BQ30,0),IF($B$36=3,BQ58,0),IF($B$64=3,BQ86,0))</x:f>
        <x:v>0</x:v>
      </x:c>
      <x:c r="BR114" s="348" t="n">
        <x:f>SUM(IF($B$8=3,BR30,0),IF($B$36=3,BR58,0),IF($B$64=3,BR86,0))</x:f>
        <x:v>0</x:v>
      </x:c>
      <x:c r="BS114" s="348" t="n">
        <x:f>SUM(IF($B$8=3,BS30,0),IF($B$36=3,BS58,0),IF($B$64=3,BS86,0))</x:f>
        <x:v>0</x:v>
      </x:c>
      <x:c r="BT114" s="348" t="n">
        <x:f>SUM(IF($B$8=3,BT30,0),IF($B$36=3,BT58,0),IF($B$64=3,BT86,0))</x:f>
        <x:v>0</x:v>
      </x:c>
      <x:c r="BU114" s="348" t="n">
        <x:f>SUM(IF($B$8=3,BU30,0),IF($B$36=3,BU58,0),IF($B$64=3,BU86,0))</x:f>
        <x:v>0</x:v>
      </x:c>
      <x:c r="BV114" s="348" t="n">
        <x:f>SUM(IF($B$8=3,BV30,0),IF($B$36=3,BV58,0),IF($B$64=3,BV86,0))</x:f>
        <x:v>0</x:v>
      </x:c>
      <x:c r="BW114" s="348" t="n">
        <x:f>SUM(IF($B$8=3,BW30,0),IF($B$36=3,BW58,0),IF($B$64=3,BW86,0))</x:f>
        <x:v>0</x:v>
      </x:c>
      <x:c r="BX114" s="348" t="n">
        <x:f>SUM(IF($B$8=3,BX30,0),IF($B$36=3,BX58,0),IF($B$64=3,BX86,0))</x:f>
        <x:v>0</x:v>
      </x:c>
      <x:c r="BY114" s="348" t="n">
        <x:f>SUM(IF($B$8=3,BY30,0),IF($B$36=3,BY58,0),IF($B$64=3,BY86,0))</x:f>
        <x:v>0</x:v>
      </x:c>
      <x:c r="BZ114" s="348" t="n">
        <x:f>SUM(IF($B$8=3,BZ30,0),IF($B$36=3,BZ58,0),IF($B$64=3,BZ86,0))</x:f>
        <x:v>0</x:v>
      </x:c>
      <x:c r="CA114" s="348" t="n">
        <x:f>SUM(IF($B$8=3,CA30,0),IF($B$36=3,CA58,0),IF($B$64=3,CA86,0))</x:f>
        <x:v>0</x:v>
      </x:c>
      <x:c r="CB114" s="348" t="n">
        <x:f>SUM(IF($B$8=3,CB30,0),IF($B$36=3,CB58,0),IF($B$64=3,CB86,0))</x:f>
        <x:v>0</x:v>
      </x:c>
      <x:c r="CC114" s="348" t="n">
        <x:f>SUM(IF($B$8=3,CC30,0),IF($B$36=3,CC58,0),IF($B$64=3,CC86,0))</x:f>
        <x:v>0</x:v>
      </x:c>
      <x:c r="CD114" s="348" t="n">
        <x:f>SUM(IF($B$8=3,CD30,0),IF($B$36=3,CD58,0),IF($B$64=3,CD86,0))</x:f>
        <x:v>0</x:v>
      </x:c>
      <x:c r="CE114" s="348" t="n">
        <x:f>SUM(IF($B$8=3,CE30,0),IF($B$36=3,CE58,0),IF($B$64=3,CE86,0))</x:f>
        <x:v>0</x:v>
      </x:c>
      <x:c r="CF114" s="348" t="n">
        <x:f>SUM(IF($B$8=3,CF30,0),IF($B$36=3,CF58,0),IF($B$64=3,CF86,0))</x:f>
        <x:v>0</x:v>
      </x:c>
      <x:c r="CG114" s="348" t="n">
        <x:f>SUM(IF($B$8=3,CG30,0),IF($B$36=3,CG58,0),IF($B$64=3,CG86,0))</x:f>
        <x:v>0</x:v>
      </x:c>
      <x:c r="CH114" s="348" t="n">
        <x:f>SUM(IF($B$8=3,CH30,0),IF($B$36=3,CH58,0),IF($B$64=3,CH86,0))</x:f>
        <x:v>0</x:v>
      </x:c>
      <x:c r="CI114" s="348" t="n">
        <x:f>SUM(IF($B$8=3,CI30,0),IF($B$36=3,CI58,0),IF($B$64=3,CI86,0))</x:f>
        <x:v>0</x:v>
      </x:c>
      <x:c r="CJ114" s="348" t="n">
        <x:f>SUM(IF($B$8=3,CJ30,0),IF($B$36=3,CJ58,0),IF($B$64=3,CJ86,0))</x:f>
        <x:v>0</x:v>
      </x:c>
      <x:c r="CK114" s="348" t="n">
        <x:f>SUM(IF($B$8=3,CK30,0),IF($B$36=3,CK58,0),IF($B$64=3,CK86,0))</x:f>
        <x:v>0</x:v>
      </x:c>
      <x:c r="CL114" s="348" t="n">
        <x:f>SUM(IF($B$8=3,CL30,0),IF($B$36=3,CL58,0),IF($B$64=3,CL86,0))</x:f>
        <x:v>0</x:v>
      </x:c>
      <x:c r="CM114" s="348" t="n">
        <x:f>SUM(IF($B$8=3,CM30,0),IF($B$36=3,CM58,0),IF($B$64=3,CM86,0))</x:f>
        <x:v>0</x:v>
      </x:c>
      <x:c r="CN114" s="348" t="n">
        <x:f>SUM(IF($B$8=3,CN30,0),IF($B$36=3,CN58,0),IF($B$64=3,CN86,0))</x:f>
        <x:v>0</x:v>
      </x:c>
      <x:c r="CO114" s="348" t="n">
        <x:f>SUM(IF($B$8=3,CO30,0),IF($B$36=3,CO58,0),IF($B$64=3,CO86,0))</x:f>
        <x:v>0</x:v>
      </x:c>
      <x:c r="CP114" s="348" t="n">
        <x:f>SUM(IF($B$8=3,CP30,0),IF($B$36=3,CP58,0),IF($B$64=3,CP86,0))</x:f>
        <x:v>0</x:v>
      </x:c>
      <x:c r="CQ114" s="348" t="n">
        <x:f>SUM(IF($B$8=3,CQ30,0),IF($B$36=3,CQ58,0),IF($B$64=3,CQ86,0))</x:f>
        <x:v>0</x:v>
      </x:c>
      <x:c r="CR114" s="348" t="n">
        <x:f>SUM(IF($B$8=3,CR30,0),IF($B$36=3,CR58,0),IF($B$64=3,CR86,0))</x:f>
        <x:v>0</x:v>
      </x:c>
      <x:c r="CS114" s="348" t="n">
        <x:f>SUM(IF($B$8=3,CS30,0),IF($B$36=3,CS58,0),IF($B$64=3,CS86,0))</x:f>
        <x:v>0</x:v>
      </x:c>
      <x:c r="CT114" s="348" t="n">
        <x:f>SUM(IF($B$8=3,CT30,0),IF($B$36=3,CT58,0),IF($B$64=3,CT86,0))</x:f>
        <x:v>0</x:v>
      </x:c>
      <x:c r="CU114" s="348" t="n">
        <x:f>SUM(IF($B$8=3,CU30,0),IF($B$36=3,CU58,0),IF($B$64=3,CU86,0))</x:f>
        <x:v>0</x:v>
      </x:c>
      <x:c r="CV114" s="348" t="n">
        <x:f>SUM(IF($B$8=3,CV30,0),IF($B$36=3,CV58,0),IF($B$64=3,CV86,0))</x:f>
        <x:v>0</x:v>
      </x:c>
      <x:c r="CW114" s="348" t="n">
        <x:f>SUM(IF($B$8=3,CW30,0),IF($B$36=3,CW58,0),IF($B$64=3,CW86,0))</x:f>
        <x:v>0</x:v>
      </x:c>
      <x:c r="CX114" s="348" t="n">
        <x:f>SUM(IF($B$8=3,CX30,0),IF($B$36=3,CX58,0),IF($B$64=3,CX86,0))</x:f>
        <x:v>0</x:v>
      </x:c>
      <x:c r="CY114" s="348" t="n">
        <x:f>SUM(IF($B$8=3,CY30,0),IF($B$36=3,CY58,0),IF($B$64=3,CY86,0))</x:f>
        <x:v>0</x:v>
      </x:c>
      <x:c r="CZ114" s="348" t="n">
        <x:f>SUM(IF($B$8=3,CZ30,0),IF($B$36=3,CZ58,0),IF($B$64=3,CZ86,0))</x:f>
        <x:v>0</x:v>
      </x:c>
      <x:c r="DA114" s="348" t="n">
        <x:f>SUM(IF($B$8=3,DA30,0),IF($B$36=3,DA58,0),IF($B$64=3,DA86,0))</x:f>
        <x:v>0</x:v>
      </x:c>
      <x:c r="DB114" s="348" t="n">
        <x:f>SUM(IF($B$8=3,DB30,0),IF($B$36=3,DB58,0),IF($B$64=3,DB86,0))</x:f>
        <x:v>0</x:v>
      </x:c>
      <x:c r="DC114" s="348" t="n">
        <x:f>SUM(IF($B$8=3,DC30,0),IF($B$36=3,DC58,0),IF($B$64=3,DC86,0))</x:f>
        <x:v>0</x:v>
      </x:c>
      <x:c r="DD114" s="348" t="n">
        <x:f>SUM(IF($B$8=3,DD30,0),IF($B$36=3,DD58,0),IF($B$64=3,DD86,0))</x:f>
        <x:v>0</x:v>
      </x:c>
      <x:c r="DE114" s="348" t="n">
        <x:f>SUM(IF($B$8=3,DE30,0),IF($B$36=3,DE58,0),IF($B$64=3,DE86,0))</x:f>
        <x:v>0</x:v>
      </x:c>
      <x:c r="DF114" s="348" t="n">
        <x:f>SUM(IF($B$8=3,DF30,0),IF($B$36=3,DF58,0),IF($B$64=3,DF86,0))</x:f>
        <x:v>0</x:v>
      </x:c>
      <x:c r="DG114" s="348" t="n">
        <x:f>SUM(IF($B$8=3,DG30,0),IF($B$36=3,DG58,0),IF($B$64=3,DG86,0))</x:f>
        <x:v>0</x:v>
      </x:c>
      <x:c r="DH114" s="348" t="n">
        <x:f>SUM(IF($B$8=3,DH30,0),IF($B$36=3,DH58,0),IF($B$64=3,DH86,0))</x:f>
        <x:v>0</x:v>
      </x:c>
      <x:c r="DI114" s="348" t="n">
        <x:f>SUM(IF($B$8=3,DI30,0),IF($B$36=3,DI58,0),IF($B$64=3,DI86,0))</x:f>
        <x:v>0</x:v>
      </x:c>
      <x:c r="DJ114" s="348" t="n">
        <x:f>SUM(IF($B$8=3,DJ30,0),IF($B$36=3,DJ58,0),IF($B$64=3,DJ86,0))</x:f>
        <x:v>0</x:v>
      </x:c>
      <x:c r="DK114" s="348" t="n">
        <x:f>SUM(IF($B$8=3,DK30,0),IF($B$36=3,DK58,0),IF($B$64=3,DK86,0))</x:f>
        <x:v>0</x:v>
      </x:c>
      <x:c r="DL114" s="348" t="n">
        <x:f>SUM(IF($B$8=3,DL30,0),IF($B$36=3,DL58,0),IF($B$64=3,DL86,0))</x:f>
        <x:v>0</x:v>
      </x:c>
      <x:c r="DM114" s="348" t="n">
        <x:f>SUM(IF($B$8=3,DM30,0),IF($B$36=3,DM58,0),IF($B$64=3,DM86,0))</x:f>
        <x:v>0</x:v>
      </x:c>
      <x:c r="DN114" s="348" t="n">
        <x:f>SUM(IF($B$8=3,DN30,0),IF($B$36=3,DN58,0),IF($B$64=3,DN86,0))</x:f>
        <x:v>0</x:v>
      </x:c>
      <x:c r="DO114" s="348" t="n">
        <x:f>SUM(IF($B$8=3,DO30,0),IF($B$36=3,DO58,0),IF($B$64=3,DO86,0))</x:f>
        <x:v>0</x:v>
      </x:c>
      <x:c r="DP114" s="348" t="n">
        <x:f>SUM(IF($B$8=3,DP30,0),IF($B$36=3,DP58,0),IF($B$64=3,DP86,0))</x:f>
        <x:v>0</x:v>
      </x:c>
      <x:c r="DQ114" s="348" t="n">
        <x:f>SUM(IF($B$8=3,DQ30,0),IF($B$36=3,DQ58,0),IF($B$64=3,DQ86,0))</x:f>
        <x:v>0</x:v>
      </x:c>
      <x:c r="DR114" s="348" t="n">
        <x:f>SUM(IF($B$8=3,DR30,0),IF($B$36=3,DR58,0),IF($B$64=3,DR86,0))</x:f>
        <x:v>0</x:v>
      </x:c>
      <x:c r="DS114" s="348" t="n">
        <x:f>SUM(IF($B$8=3,DS30,0),IF($B$36=3,DS58,0),IF($B$64=3,DS86,0))</x:f>
        <x:v>0</x:v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