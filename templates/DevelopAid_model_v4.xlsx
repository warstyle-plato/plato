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 (денежная компенсация; стройка идёт по календарям очередей)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Оценка потребности в финансировании (справочно, лимитом не является)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7">
      <x:c r="A37" t="str">
        <x:v>Форма исполнения соцнагрузки</x:v>
      </x:c>
      <x:c r="B37" s="11" t="str">
        <x:v>Строительство</x:v>
      </x:c>
      <x:c r="C37" t="str">
        <x:v>режим</x:v>
      </x:c>
      <x:c r="D37" t="str">
        <x:v>social_mode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6">
      <x:c r="A56" t="str">
        <x:v>Денежная часть соцнагрузки (для лимита БРИДЖ)</x:v>
      </x:c>
      <x:c r="B56" s="12">
        <x:v>0</x:v>
      </x:c>
      <x:c r="C56" t="str">
        <x:v>млн ₽</x:v>
      </x:c>
      <x:c r="D56" t="str">
        <x:v>social_cash_part_mln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A71" t="str">
        <x:v>Конец горизонта расчёта (движок)</x:v>
      </x:c>
      <x:c r="B71" s="12">
        <x:v>0</x:v>
      </x:c>
      <x:c r="C71" t="str">
        <x:v>дата</x:v>
      </x:c>
      <x:c r="D71" t="str">
        <x:v>engine_horizon_end</x:v>
      </x:c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5">
      <x:c r="A85" t="str">
        <x:v>Собственные средства до открытия ПФ</x:v>
      </x:c>
      <x:c r="B85" s="12">
        <x:v>0</x:v>
      </x:c>
      <x:c r="C85" t="str">
        <x:v>млн ₽</x:v>
      </x:c>
      <x:c r="D85" t="str">
        <x:v>pre_pf_own_funds_mln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  <x:c r="AI87" t="str">
        <x:v>Доля собств. средств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Z88*$K$15</x:f>
      </x:c>
      <x:c r="M88" s="83" t="n">
        <x:f>AA88*$K$15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  <x:c r="AI88">
        <x:v>1</x:v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Z89*$K$15</x:f>
      </x:c>
      <x:c r="M89" s="83" t="n">
        <x:f>AA89*$K$15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  <x:c r="AI89">
        <x:v>0</x:v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Z90*$K$15</x:f>
      </x:c>
      <x:c r="M90" s="83" t="n">
        <x:f>AA90*$K$15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  <x:c r="AI90">
        <x:v>0</x:v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Z91*$K$15</x:f>
      </x:c>
      <x:c r="M91" s="83" t="n">
        <x:f>AA91*$K$15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  <x:c r="AI91">
        <x:v>0</x:v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*MIN(1,(12*(YEAR(D$3)-YEAR($B$7))+MONTH(D$3)-MONTH($B$7))/MAX(1,12*(YEAR($B$8)-YEAR($B$7))+MONTH($B$8)-MONTH($B$7)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*MIN(1,(12*(YEAR(E$3)-YEAR($B$7))+MONTH(E$3)-MONTH($B$7))/MAX(1,12*(YEAR($B$8)-YEAR($B$7))+MONTH($B$8)-MONTH($B$7)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*MIN(1,(12*(YEAR(F$3)-YEAR($B$7))+MONTH(F$3)-MONTH($B$7))/MAX(1,12*(YEAR($B$8)-YEAR($B$7))+MONTH($B$8)-MONTH($B$7)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*MIN(1,(12*(YEAR(G$3)-YEAR($B$7))+MONTH(G$3)-MONTH($B$7))/MAX(1,12*(YEAR($B$8)-YEAR($B$7))+MONTH($B$8)-MONTH($B$7)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*MIN(1,(12*(YEAR(H$3)-YEAR($B$7))+MONTH(H$3)-MONTH($B$7))/MAX(1,12*(YEAR($B$8)-YEAR($B$7))+MONTH($B$8)-MONTH($B$7)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*MIN(1,(12*(YEAR(I$3)-YEAR($B$7))+MONTH(I$3)-MONTH($B$7))/MAX(1,12*(YEAR($B$8)-YEAR($B$7))+MONTH($B$8)-MONTH($B$7)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*MIN(1,(12*(YEAR(J$3)-YEAR($B$7))+MONTH(J$3)-MONTH($B$7))/MAX(1,12*(YEAR($B$8)-YEAR($B$7))+MONTH($B$8)-MONTH($B$7)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*MIN(1,(12*(YEAR(K$3)-YEAR($B$7))+MONTH(K$3)-MONTH($B$7))/MAX(1,12*(YEAR($B$8)-YEAR($B$7))+MONTH($B$8)-MONTH($B$7)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*MIN(1,(12*(YEAR(L$3)-YEAR($B$7))+MONTH(L$3)-MONTH($B$7))/MAX(1,12*(YEAR($B$8)-YEAR($B$7))+MONTH($B$8)-MONTH($B$7)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*MIN(1,(12*(YEAR(M$3)-YEAR($B$7))+MONTH(M$3)-MONTH($B$7))/MAX(1,12*(YEAR($B$8)-YEAR($B$7))+MONTH($B$8)-MONTH($B$7)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*MIN(1,(12*(YEAR(N$3)-YEAR($B$7))+MONTH(N$3)-MONTH($B$7))/MAX(1,12*(YEAR($B$8)-YEAR($B$7))+MONTH($B$8)-MONTH($B$7)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*MIN(1,(12*(YEAR(O$3)-YEAR($B$7))+MONTH(O$3)-MONTH($B$7))/MAX(1,12*(YEAR($B$8)-YEAR($B$7))+MONTH($B$8)-MONTH($B$7)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*MIN(1,(12*(YEAR(P$3)-YEAR($B$7))+MONTH(P$3)-MONTH($B$7))/MAX(1,12*(YEAR($B$8)-YEAR($B$7))+MONTH($B$8)-MONTH($B$7)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*MIN(1,(12*(YEAR(Q$3)-YEAR($B$7))+MONTH(Q$3)-MONTH($B$7))/MAX(1,12*(YEAR($B$8)-YEAR($B$7))+MONTH($B$8)-MONTH($B$7)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*MIN(1,(12*(YEAR(R$3)-YEAR($B$7))+MONTH(R$3)-MONTH($B$7))/MAX(1,12*(YEAR($B$8)-YEAR($B$7))+MONTH($B$8)-MONTH($B$7)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*MIN(1,(12*(YEAR(S$3)-YEAR($B$7))+MONTH(S$3)-MONTH($B$7))/MAX(1,12*(YEAR($B$8)-YEAR($B$7))+MONTH($B$8)-MONTH($B$7)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*MIN(1,(12*(YEAR(T$3)-YEAR($B$7))+MONTH(T$3)-MONTH($B$7))/MAX(1,12*(YEAR($B$8)-YEAR($B$7))+MONTH($B$8)-MONTH($B$7)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*MIN(1,(12*(YEAR(U$3)-YEAR($B$7))+MONTH(U$3)-MONTH($B$7))/MAX(1,12*(YEAR($B$8)-YEAR($B$7))+MONTH($B$8)-MONTH($B$7)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*MIN(1,(12*(YEAR(V$3)-YEAR($B$7))+MONTH(V$3)-MONTH($B$7))/MAX(1,12*(YEAR($B$8)-YEAR($B$7))+MONTH($B$8)-MONTH($B$7)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*MIN(1,(12*(YEAR(W$3)-YEAR($B$7))+MONTH(W$3)-MONTH($B$7))/MAX(1,12*(YEAR($B$8)-YEAR($B$7))+MONTH($B$8)-MONTH($B$7)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*MIN(1,(12*(YEAR(X$3)-YEAR($B$7))+MONTH(X$3)-MONTH($B$7))/MAX(1,12*(YEAR($B$8)-YEAR($B$7))+MONTH($B$8)-MONTH($B$7)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*MIN(1,(12*(YEAR(Y$3)-YEAR($B$7))+MONTH(Y$3)-MONTH($B$7))/MAX(1,12*(YEAR($B$8)-YEAR($B$7))+MONTH($B$8)-MONTH($B$7)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*MIN(1,(12*(YEAR(Z$3)-YEAR($B$7))+MONTH(Z$3)-MONTH($B$7))/MAX(1,12*(YEAR($B$8)-YEAR($B$7))+MONTH($B$8)-MONTH($B$7)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*MIN(1,(12*(YEAR(AA$3)-YEAR($B$7))+MONTH(AA$3)-MONTH($B$7))/MAX(1,12*(YEAR($B$8)-YEAR($B$7))+MONTH($B$8)-MONTH($B$7)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*MIN(1,(12*(YEAR(AB$3)-YEAR($B$7))+MONTH(AB$3)-MONTH($B$7))/MAX(1,12*(YEAR($B$8)-YEAR($B$7))+MONTH($B$8)-MONTH($B$7)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*MIN(1,(12*(YEAR(AC$3)-YEAR($B$7))+MONTH(AC$3)-MONTH($B$7))/MAX(1,12*(YEAR($B$8)-YEAR($B$7))+MONTH($B$8)-MONTH($B$7)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*MIN(1,(12*(YEAR(AD$3)-YEAR($B$7))+MONTH(AD$3)-MONTH($B$7))/MAX(1,12*(YEAR($B$8)-YEAR($B$7))+MONTH($B$8)-MONTH($B$7)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*MIN(1,(12*(YEAR(AE$3)-YEAR($B$7))+MONTH(AE$3)-MONTH($B$7))/MAX(1,12*(YEAR($B$8)-YEAR($B$7))+MONTH($B$8)-MONTH($B$7)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*MIN(1,(12*(YEAR(AF$3)-YEAR($B$7))+MONTH(AF$3)-MONTH($B$7))/MAX(1,12*(YEAR($B$8)-YEAR($B$7))+MONTH($B$8)-MONTH($B$7)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*MIN(1,(12*(YEAR(AG$3)-YEAR($B$7))+MONTH(AG$3)-MONTH($B$7))/MAX(1,12*(YEAR($B$8)-YEAR($B$7))+MONTH($B$8)-MONTH($B$7)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*MIN(1,(12*(YEAR(AH$3)-YEAR($B$7))+MONTH(AH$3)-MONTH($B$7))/MAX(1,12*(YEAR($B$8)-YEAR($B$7))+MONTH($B$8)-MONTH($B$7)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*MIN(1,(12*(YEAR(AI$3)-YEAR($B$7))+MONTH(AI$3)-MONTH($B$7))/MAX(1,12*(YEAR($B$8)-YEAR($B$7))+MONTH($B$8)-MONTH($B$7)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*MIN(1,(12*(YEAR(AJ$3)-YEAR($B$7))+MONTH(AJ$3)-MONTH($B$7))/MAX(1,12*(YEAR($B$8)-YEAR($B$7))+MONTH($B$8)-MONTH($B$7)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*MIN(1,(12*(YEAR(AK$3)-YEAR($B$7))+MONTH(AK$3)-MONTH($B$7))/MAX(1,12*(YEAR($B$8)-YEAR($B$7))+MONTH($B$8)-MONTH($B$7)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*MIN(1,(12*(YEAR(AL$3)-YEAR($B$7))+MONTH(AL$3)-MONTH($B$7))/MAX(1,12*(YEAR($B$8)-YEAR($B$7))+MONTH($B$8)-MONTH($B$7)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*MIN(1,(12*(YEAR(AM$3)-YEAR($B$7))+MONTH(AM$3)-MONTH($B$7))/MAX(1,12*(YEAR($B$8)-YEAR($B$7))+MONTH($B$8)-MONTH($B$7)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*MIN(1,(12*(YEAR(AN$3)-YEAR($B$7))+MONTH(AN$3)-MONTH($B$7))/MAX(1,12*(YEAR($B$8)-YEAR($B$7))+MONTH($B$8)-MONTH($B$7)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*MIN(1,(12*(YEAR(AO$3)-YEAR($B$7))+MONTH(AO$3)-MONTH($B$7))/MAX(1,12*(YEAR($B$8)-YEAR($B$7))+MONTH($B$8)-MONTH($B$7)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*MIN(1,(12*(YEAR(AP$3)-YEAR($B$7))+MONTH(AP$3)-MONTH($B$7))/MAX(1,12*(YEAR($B$8)-YEAR($B$7))+MONTH($B$8)-MONTH($B$7)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*MIN(1,(12*(YEAR(AQ$3)-YEAR($B$7))+MONTH(AQ$3)-MONTH($B$7))/MAX(1,12*(YEAR($B$8)-YEAR($B$7))+MONTH($B$8)-MONTH($B$7)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*MIN(1,(12*(YEAR(AR$3)-YEAR($B$7))+MONTH(AR$3)-MONTH($B$7))/MAX(1,12*(YEAR($B$8)-YEAR($B$7))+MONTH($B$8)-MONTH($B$7)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*MIN(1,(12*(YEAR(AS$3)-YEAR($B$7))+MONTH(AS$3)-MONTH($B$7))/MAX(1,12*(YEAR($B$8)-YEAR($B$7))+MONTH($B$8)-MONTH($B$7)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*MIN(1,(12*(YEAR(AT$3)-YEAR($B$7))+MONTH(AT$3)-MONTH($B$7))/MAX(1,12*(YEAR($B$8)-YEAR($B$7))+MONTH($B$8)-MONTH($B$7)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*MIN(1,(12*(YEAR(AU$3)-YEAR($B$7))+MONTH(AU$3)-MONTH($B$7))/MAX(1,12*(YEAR($B$8)-YEAR($B$7))+MONTH($B$8)-MONTH($B$7)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*MIN(1,(12*(YEAR(AV$3)-YEAR($B$7))+MONTH(AV$3)-MONTH($B$7))/MAX(1,12*(YEAR($B$8)-YEAR($B$7))+MONTH($B$8)-MONTH($B$7)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*MIN(1,(12*(YEAR(AW$3)-YEAR($B$7))+MONTH(AW$3)-MONTH($B$7))/MAX(1,12*(YEAR($B$8)-YEAR($B$7))+MONTH($B$8)-MONTH($B$7)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*MIN(1,(12*(YEAR(AX$3)-YEAR($B$7))+MONTH(AX$3)-MONTH($B$7))/MAX(1,12*(YEAR($B$8)-YEAR($B$7))+MONTH($B$8)-MONTH($B$7)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*MIN(1,(12*(YEAR(AY$3)-YEAR($B$7))+MONTH(AY$3)-MONTH($B$7))/MAX(1,12*(YEAR($B$8)-YEAR($B$7))+MONTH($B$8)-MONTH($B$7)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*MIN(1,(12*(YEAR(AZ$3)-YEAR($B$7))+MONTH(AZ$3)-MONTH($B$7))/MAX(1,12*(YEAR($B$8)-YEAR($B$7))+MONTH($B$8)-MONTH($B$7)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*MIN(1,(12*(YEAR(BA$3)-YEAR($B$7))+MONTH(BA$3)-MONTH($B$7))/MAX(1,12*(YEAR($B$8)-YEAR($B$7))+MONTH($B$8)-MONTH($B$7)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*MIN(1,(12*(YEAR(BB$3)-YEAR($B$7))+MONTH(BB$3)-MONTH($B$7))/MAX(1,12*(YEAR($B$8)-YEAR($B$7))+MONTH($B$8)-MONTH($B$7)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*MIN(1,(12*(YEAR(BC$3)-YEAR($B$7))+MONTH(BC$3)-MONTH($B$7))/MAX(1,12*(YEAR($B$8)-YEAR($B$7))+MONTH($B$8)-MONTH($B$7)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*MIN(1,(12*(YEAR(BD$3)-YEAR($B$7))+MONTH(BD$3)-MONTH($B$7))/MAX(1,12*(YEAR($B$8)-YEAR($B$7))+MONTH($B$8)-MONTH($B$7)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*MIN(1,(12*(YEAR(BE$3)-YEAR($B$7))+MONTH(BE$3)-MONTH($B$7))/MAX(1,12*(YEAR($B$8)-YEAR($B$7))+MONTH($B$8)-MONTH($B$7)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*MIN(1,(12*(YEAR(BF$3)-YEAR($B$7))+MONTH(BF$3)-MONTH($B$7))/MAX(1,12*(YEAR($B$8)-YEAR($B$7))+MONTH($B$8)-MONTH($B$7)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*MIN(1,(12*(YEAR(BG$3)-YEAR($B$7))+MONTH(BG$3)-MONTH($B$7))/MAX(1,12*(YEAR($B$8)-YEAR($B$7))+MONTH($B$8)-MONTH($B$7)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*MIN(1,(12*(YEAR(BH$3)-YEAR($B$7))+MONTH(BH$3)-MONTH($B$7))/MAX(1,12*(YEAR($B$8)-YEAR($B$7))+MONTH($B$8)-MONTH($B$7)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*MIN(1,(12*(YEAR(BI$3)-YEAR($B$7))+MONTH(BI$3)-MONTH($B$7))/MAX(1,12*(YEAR($B$8)-YEAR($B$7))+MONTH($B$8)-MONTH($B$7)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*MIN(1,(12*(YEAR(BJ$3)-YEAR($B$7))+MONTH(BJ$3)-MONTH($B$7))/MAX(1,12*(YEAR($B$8)-YEAR($B$7))+MONTH($B$8)-MONTH($B$7)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*MIN(1,(12*(YEAR(BK$3)-YEAR($B$7))+MONTH(BK$3)-MONTH($B$7))/MAX(1,12*(YEAR($B$8)-YEAR($B$7))+MONTH($B$8)-MONTH($B$7)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*MIN(1,(12*(YEAR(BL$3)-YEAR($B$7))+MONTH(BL$3)-MONTH($B$7))/MAX(1,12*(YEAR($B$8)-YEAR($B$7))+MONTH($B$8)-MONTH($B$7)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*MIN(1,(12*(YEAR(BM$3)-YEAR($B$7))+MONTH(BM$3)-MONTH($B$7))/MAX(1,12*(YEAR($B$8)-YEAR($B$7))+MONTH($B$8)-MONTH($B$7)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*MIN(1,(12*(YEAR(BN$3)-YEAR($B$7))+MONTH(BN$3)-MONTH($B$7))/MAX(1,12*(YEAR($B$8)-YEAR($B$7))+MONTH($B$8)-MONTH($B$7)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*MIN(1,(12*(YEAR(BO$3)-YEAR($B$7))+MONTH(BO$3)-MONTH($B$7))/MAX(1,12*(YEAR($B$8)-YEAR($B$7))+MONTH($B$8)-MONTH($B$7)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*MIN(1,(12*(YEAR(BP$3)-YEAR($B$7))+MONTH(BP$3)-MONTH($B$7))/MAX(1,12*(YEAR($B$8)-YEAR($B$7))+MONTH($B$8)-MONTH($B$7)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*MIN(1,(12*(YEAR(BQ$3)-YEAR($B$7))+MONTH(BQ$3)-MONTH($B$7))/MAX(1,12*(YEAR($B$8)-YEAR($B$7))+MONTH($B$8)-MONTH($B$7)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*MIN(1,(12*(YEAR(BR$3)-YEAR($B$7))+MONTH(BR$3)-MONTH($B$7))/MAX(1,12*(YEAR($B$8)-YEAR($B$7))+MONTH($B$8)-MONTH($B$7)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*MIN(1,(12*(YEAR(BS$3)-YEAR($B$7))+MONTH(BS$3)-MONTH($B$7))/MAX(1,12*(YEAR($B$8)-YEAR($B$7))+MONTH($B$8)-MONTH($B$7)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*MIN(1,(12*(YEAR(BT$3)-YEAR($B$7))+MONTH(BT$3)-MONTH($B$7))/MAX(1,12*(YEAR($B$8)-YEAR($B$7))+MONTH($B$8)-MONTH($B$7)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*MIN(1,(12*(YEAR(BU$3)-YEAR($B$7))+MONTH(BU$3)-MONTH($B$7))/MAX(1,12*(YEAR($B$8)-YEAR($B$7))+MONTH($B$8)-MONTH($B$7)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*MIN(1,(12*(YEAR(BV$3)-YEAR($B$7))+MONTH(BV$3)-MONTH($B$7))/MAX(1,12*(YEAR($B$8)-YEAR($B$7))+MONTH($B$8)-MONTH($B$7)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*MIN(1,(12*(YEAR(BW$3)-YEAR($B$7))+MONTH(BW$3)-MONTH($B$7))/MAX(1,12*(YEAR($B$8)-YEAR($B$7))+MONTH($B$8)-MONTH($B$7)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*MIN(1,(12*(YEAR(BX$3)-YEAR($B$7))+MONTH(BX$3)-MONTH($B$7))/MAX(1,12*(YEAR($B$8)-YEAR($B$7))+MONTH($B$8)-MONTH($B$7)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*MIN(1,(12*(YEAR(BY$3)-YEAR($B$7))+MONTH(BY$3)-MONTH($B$7))/MAX(1,12*(YEAR($B$8)-YEAR($B$7))+MONTH($B$8)-MONTH($B$7)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*MIN(1,(12*(YEAR(BZ$3)-YEAR($B$7))+MONTH(BZ$3)-MONTH($B$7))/MAX(1,12*(YEAR($B$8)-YEAR($B$7))+MONTH($B$8)-MONTH($B$7)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*MIN(1,(12*(YEAR(CA$3)-YEAR($B$7))+MONTH(CA$3)-MONTH($B$7))/MAX(1,12*(YEAR($B$8)-YEAR($B$7))+MONTH($B$8)-MONTH($B$7)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*MIN(1,(12*(YEAR(CB$3)-YEAR($B$7))+MONTH(CB$3)-MONTH($B$7))/MAX(1,12*(YEAR($B$8)-YEAR($B$7))+MONTH($B$8)-MONTH($B$7)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*MIN(1,(12*(YEAR(CC$3)-YEAR($B$7))+MONTH(CC$3)-MONTH($B$7))/MAX(1,12*(YEAR($B$8)-YEAR($B$7))+MONTH($B$8)-MONTH($B$7)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*MIN(1,(12*(YEAR(CD$3)-YEAR($B$7))+MONTH(CD$3)-MONTH($B$7))/MAX(1,12*(YEAR($B$8)-YEAR($B$7))+MONTH($B$8)-MONTH($B$7)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*MIN(1,(12*(YEAR(CE$3)-YEAR($B$7))+MONTH(CE$3)-MONTH($B$7))/MAX(1,12*(YEAR($B$8)-YEAR($B$7))+MONTH($B$8)-MONTH($B$7)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*MIN(1,(12*(YEAR(CF$3)-YEAR($B$7))+MONTH(CF$3)-MONTH($B$7))/MAX(1,12*(YEAR($B$8)-YEAR($B$7))+MONTH($B$8)-MONTH($B$7)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*MIN(1,(12*(YEAR(CG$3)-YEAR($B$7))+MONTH(CG$3)-MONTH($B$7))/MAX(1,12*(YEAR($B$8)-YEAR($B$7))+MONTH($B$8)-MONTH($B$7)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*MIN(1,(12*(YEAR(CH$3)-YEAR($B$7))+MONTH(CH$3)-MONTH($B$7))/MAX(1,12*(YEAR($B$8)-YEAR($B$7))+MONTH($B$8)-MONTH($B$7)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*MIN(1,(12*(YEAR(CI$3)-YEAR($B$7))+MONTH(CI$3)-MONTH($B$7))/MAX(1,12*(YEAR($B$8)-YEAR($B$7))+MONTH($B$8)-MONTH($B$7)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*MIN(1,(12*(YEAR(CJ$3)-YEAR($B$7))+MONTH(CJ$3)-MONTH($B$7))/MAX(1,12*(YEAR($B$8)-YEAR($B$7))+MONTH($B$8)-MONTH($B$7)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*MIN(1,(12*(YEAR(CK$3)-YEAR($B$7))+MONTH(CK$3)-MONTH($B$7))/MAX(1,12*(YEAR($B$8)-YEAR($B$7))+MONTH($B$8)-MONTH($B$7)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*MIN(1,(12*(YEAR(CL$3)-YEAR($B$7))+MONTH(CL$3)-MONTH($B$7))/MAX(1,12*(YEAR($B$8)-YEAR($B$7))+MONTH($B$8)-MONTH($B$7)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*MIN(1,(12*(YEAR(CM$3)-YEAR($B$7))+MONTH(CM$3)-MONTH($B$7))/MAX(1,12*(YEAR($B$8)-YEAR($B$7))+MONTH($B$8)-MONTH($B$7)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*MIN(1,(12*(YEAR(CN$3)-YEAR($B$7))+MONTH(CN$3)-MONTH($B$7))/MAX(1,12*(YEAR($B$8)-YEAR($B$7))+MONTH($B$8)-MONTH($B$7)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*MIN(1,(12*(YEAR(CO$3)-YEAR($B$7))+MONTH(CO$3)-MONTH($B$7))/MAX(1,12*(YEAR($B$8)-YEAR($B$7))+MONTH($B$8)-MONTH($B$7)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*MIN(1,(12*(YEAR(CP$3)-YEAR($B$7))+MONTH(CP$3)-MONTH($B$7))/MAX(1,12*(YEAR($B$8)-YEAR($B$7))+MONTH($B$8)-MONTH($B$7)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*MIN(1,(12*(YEAR(CQ$3)-YEAR($B$7))+MONTH(CQ$3)-MONTH($B$7))/MAX(1,12*(YEAR($B$8)-YEAR($B$7))+MONTH($B$8)-MONTH($B$7)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*MIN(1,(12*(YEAR(CR$3)-YEAR($B$7))+MONTH(CR$3)-MONTH($B$7))/MAX(1,12*(YEAR($B$8)-YEAR($B$7))+MONTH($B$8)-MONTH($B$7)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*MIN(1,(12*(YEAR(CS$3)-YEAR($B$7))+MONTH(CS$3)-MONTH($B$7))/MAX(1,12*(YEAR($B$8)-YEAR($B$7))+MONTH($B$8)-MONTH($B$7)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*MIN(1,(12*(YEAR(CT$3)-YEAR($B$7))+MONTH(CT$3)-MONTH($B$7))/MAX(1,12*(YEAR($B$8)-YEAR($B$7))+MONTH($B$8)-MONTH($B$7)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*MIN(1,(12*(YEAR(CU$3)-YEAR($B$7))+MONTH(CU$3)-MONTH($B$7))/MAX(1,12*(YEAR($B$8)-YEAR($B$7))+MONTH($B$8)-MONTH($B$7)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*MIN(1,(12*(YEAR(CV$3)-YEAR($B$7))+MONTH(CV$3)-MONTH($B$7))/MAX(1,12*(YEAR($B$8)-YEAR($B$7))+MONTH($B$8)-MONTH($B$7)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*MIN(1,(12*(YEAR(CW$3)-YEAR($B$7))+MONTH(CW$3)-MONTH($B$7))/MAX(1,12*(YEAR($B$8)-YEAR($B$7))+MONTH($B$8)-MONTH($B$7)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*MIN(1,(12*(YEAR(CX$3)-YEAR($B$7))+MONTH(CX$3)-MONTH($B$7))/MAX(1,12*(YEAR($B$8)-YEAR($B$7))+MONTH($B$8)-MONTH($B$7)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*MIN(1,(12*(YEAR(CY$3)-YEAR($B$7))+MONTH(CY$3)-MONTH($B$7))/MAX(1,12*(YEAR($B$8)-YEAR($B$7))+MONTH($B$8)-MONTH($B$7)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*MIN(1,(12*(YEAR(CZ$3)-YEAR($B$7))+MONTH(CZ$3)-MONTH($B$7))/MAX(1,12*(YEAR($B$8)-YEAR($B$7))+MONTH($B$8)-MONTH($B$7)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*MIN(1,(12*(YEAR(DA$3)-YEAR($B$7))+MONTH(DA$3)-MONTH($B$7))/MAX(1,12*(YEAR($B$8)-YEAR($B$7))+MONTH($B$8)-MONTH($B$7)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*MIN(1,(12*(YEAR(DB$3)-YEAR($B$7))+MONTH(DB$3)-MONTH($B$7))/MAX(1,12*(YEAR($B$8)-YEAR($B$7))+MONTH($B$8)-MONTH($B$7)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*MIN(1,(12*(YEAR(DC$3)-YEAR($B$7))+MONTH(DC$3)-MONTH($B$7))/MAX(1,12*(YEAR($B$8)-YEAR($B$7))+MONTH($B$8)-MONTH($B$7)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*MIN(1,(12*(YEAR(DD$3)-YEAR($B$7))+MONTH(DD$3)-MONTH($B$7))/MAX(1,12*(YEAR($B$8)-YEAR($B$7))+MONTH($B$8)-MONTH($B$7)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*MIN(1,(12*(YEAR(DE$3)-YEAR($B$7))+MONTH(DE$3)-MONTH($B$7))/MAX(1,12*(YEAR($B$8)-YEAR($B$7))+MONTH($B$8)-MONTH($B$7)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*MIN(1,(12*(YEAR(DF$3)-YEAR($B$7))+MONTH(DF$3)-MONTH($B$7))/MAX(1,12*(YEAR($B$8)-YEAR($B$7))+MONTH($B$8)-MONTH($B$7)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*MIN(1,(12*(YEAR(DG$3)-YEAR($B$7))+MONTH(DG$3)-MONTH($B$7))/MAX(1,12*(YEAR($B$8)-YEAR($B$7))+MONTH($B$8)-MONTH($B$7)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*MIN(1,(12*(YEAR(DH$3)-YEAR($B$7))+MONTH(DH$3)-MONTH($B$7))/MAX(1,12*(YEAR($B$8)-YEAR($B$7))+MONTH($B$8)-MONTH($B$7)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*MIN(1,(12*(YEAR(DI$3)-YEAR($B$7))+MONTH(DI$3)-MONTH($B$7))/MAX(1,12*(YEAR($B$8)-YEAR($B$7))+MONTH($B$8)-MONTH($B$7)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*MIN(1,(12*(YEAR(DJ$3)-YEAR($B$7))+MONTH(DJ$3)-MONTH($B$7))/MAX(1,12*(YEAR($B$8)-YEAR($B$7))+MONTH($B$8)-MONTH($B$7)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*MIN(1,(12*(YEAR(DK$3)-YEAR($B$7))+MONTH(DK$3)-MONTH($B$7))/MAX(1,12*(YEAR($B$8)-YEAR($B$7))+MONTH($B$8)-MONTH($B$7)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*MIN(1,(12*(YEAR(DL$3)-YEAR($B$7))+MONTH(DL$3)-MONTH($B$7))/MAX(1,12*(YEAR($B$8)-YEAR($B$7))+MONTH($B$8)-MONTH($B$7)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*MIN(1,(12*(YEAR(DM$3)-YEAR($B$7))+MONTH(DM$3)-MONTH($B$7))/MAX(1,12*(YEAR($B$8)-YEAR($B$7))+MONTH($B$8)-MONTH($B$7)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*MIN(1,(12*(YEAR(DN$3)-YEAR($B$7))+MONTH(DN$3)-MONTH($B$7))/MAX(1,12*(YEAR($B$8)-YEAR($B$7))+MONTH($B$8)-MONTH($B$7)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*MIN(1,(12*(YEAR(DO$3)-YEAR($B$7))+MONTH(DO$3)-MONTH($B$7))/MAX(1,12*(YEAR($B$8)-YEAR($B$7))+MONTH($B$8)-MONTH($B$7)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*MIN(1,(12*(YEAR(DP$3)-YEAR($B$7))+MONTH(DP$3)-MONTH($B$7))/MAX(1,12*(YEAR($B$8)-YEAR($B$7))+MONTH($B$8)-MONTH($B$7)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*MIN(1,(12*(YEAR(DQ$3)-YEAR($B$7))+MONTH(DQ$3)-MONTH($B$7))/MAX(1,12*(YEAR($B$8)-YEAR($B$7))+MONTH($B$8)-MONTH($B$7)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*MIN(1,(12*(YEAR(DR$3)-YEAR($B$7))+MONTH(DR$3)-MONTH($B$7))/MAX(1,12*(YEAR($B$8)-YEAR($B$7))+MONTH($B$8)-MONTH($B$7)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*MIN(1,(12*(YEAR(DS$3)-YEAR($B$7))+MONTH(DS$3)-MONTH($B$7))/MAX(1,12*(YEAR($B$8)-YEAR($B$7))+MONTH($B$8)-MONTH($B$7)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*MIN(1,(12*(YEAR(D$3)-YEAR($B$30))+MONTH(D$3)-MONTH($B$30))/MAX(1,12*(YEAR($B$31)-YEAR($B$30))+MONTH($B$31)-MONTH($B$30)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*MIN(1,(12*(YEAR(E$3)-YEAR($B$30))+MONTH(E$3)-MONTH($B$30))/MAX(1,12*(YEAR($B$31)-YEAR($B$30))+MONTH($B$31)-MONTH($B$30)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*MIN(1,(12*(YEAR(F$3)-YEAR($B$30))+MONTH(F$3)-MONTH($B$30))/MAX(1,12*(YEAR($B$31)-YEAR($B$30))+MONTH($B$31)-MONTH($B$30)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*MIN(1,(12*(YEAR(G$3)-YEAR($B$30))+MONTH(G$3)-MONTH($B$30))/MAX(1,12*(YEAR($B$31)-YEAR($B$30))+MONTH($B$31)-MONTH($B$30)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*MIN(1,(12*(YEAR(H$3)-YEAR($B$30))+MONTH(H$3)-MONTH($B$30))/MAX(1,12*(YEAR($B$31)-YEAR($B$30))+MONTH($B$31)-MONTH($B$30)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*MIN(1,(12*(YEAR(I$3)-YEAR($B$30))+MONTH(I$3)-MONTH($B$30))/MAX(1,12*(YEAR($B$31)-YEAR($B$30))+MONTH($B$31)-MONTH($B$30)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*MIN(1,(12*(YEAR(J$3)-YEAR($B$30))+MONTH(J$3)-MONTH($B$30))/MAX(1,12*(YEAR($B$31)-YEAR($B$30))+MONTH($B$31)-MONTH($B$30)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*MIN(1,(12*(YEAR(K$3)-YEAR($B$30))+MONTH(K$3)-MONTH($B$30))/MAX(1,12*(YEAR($B$31)-YEAR($B$30))+MONTH($B$31)-MONTH($B$30)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*MIN(1,(12*(YEAR(L$3)-YEAR($B$30))+MONTH(L$3)-MONTH($B$30))/MAX(1,12*(YEAR($B$31)-YEAR($B$30))+MONTH($B$31)-MONTH($B$30)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*MIN(1,(12*(YEAR(M$3)-YEAR($B$30))+MONTH(M$3)-MONTH($B$30))/MAX(1,12*(YEAR($B$31)-YEAR($B$30))+MONTH($B$31)-MONTH($B$30)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*MIN(1,(12*(YEAR(N$3)-YEAR($B$30))+MONTH(N$3)-MONTH($B$30))/MAX(1,12*(YEAR($B$31)-YEAR($B$30))+MONTH($B$31)-MONTH($B$30)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*MIN(1,(12*(YEAR(O$3)-YEAR($B$30))+MONTH(O$3)-MONTH($B$30))/MAX(1,12*(YEAR($B$31)-YEAR($B$30))+MONTH($B$31)-MONTH($B$30)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*MIN(1,(12*(YEAR(P$3)-YEAR($B$30))+MONTH(P$3)-MONTH($B$30))/MAX(1,12*(YEAR($B$31)-YEAR($B$30))+MONTH($B$31)-MONTH($B$30)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*MIN(1,(12*(YEAR(Q$3)-YEAR($B$30))+MONTH(Q$3)-MONTH($B$30))/MAX(1,12*(YEAR($B$31)-YEAR($B$30))+MONTH($B$31)-MONTH($B$30)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*MIN(1,(12*(YEAR(R$3)-YEAR($B$30))+MONTH(R$3)-MONTH($B$30))/MAX(1,12*(YEAR($B$31)-YEAR($B$30))+MONTH($B$31)-MONTH($B$30)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*MIN(1,(12*(YEAR(S$3)-YEAR($B$30))+MONTH(S$3)-MONTH($B$30))/MAX(1,12*(YEAR($B$31)-YEAR($B$30))+MONTH($B$31)-MONTH($B$30)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*MIN(1,(12*(YEAR(T$3)-YEAR($B$30))+MONTH(T$3)-MONTH($B$30))/MAX(1,12*(YEAR($B$31)-YEAR($B$30))+MONTH($B$31)-MONTH($B$30)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*MIN(1,(12*(YEAR(U$3)-YEAR($B$30))+MONTH(U$3)-MONTH($B$30))/MAX(1,12*(YEAR($B$31)-YEAR($B$30))+MONTH($B$31)-MONTH($B$30)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*MIN(1,(12*(YEAR(V$3)-YEAR($B$30))+MONTH(V$3)-MONTH($B$30))/MAX(1,12*(YEAR($B$31)-YEAR($B$30))+MONTH($B$31)-MONTH($B$30)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*MIN(1,(12*(YEAR(W$3)-YEAR($B$30))+MONTH(W$3)-MONTH($B$30))/MAX(1,12*(YEAR($B$31)-YEAR($B$30))+MONTH($B$31)-MONTH($B$30)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*MIN(1,(12*(YEAR(X$3)-YEAR($B$30))+MONTH(X$3)-MONTH($B$30))/MAX(1,12*(YEAR($B$31)-YEAR($B$30))+MONTH($B$31)-MONTH($B$30)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*MIN(1,(12*(YEAR(Y$3)-YEAR($B$30))+MONTH(Y$3)-MONTH($B$30))/MAX(1,12*(YEAR($B$31)-YEAR($B$30))+MONTH($B$31)-MONTH($B$30)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*MIN(1,(12*(YEAR(Z$3)-YEAR($B$30))+MONTH(Z$3)-MONTH($B$30))/MAX(1,12*(YEAR($B$31)-YEAR($B$30))+MONTH($B$31)-MONTH($B$30)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*MIN(1,(12*(YEAR(AA$3)-YEAR($B$30))+MONTH(AA$3)-MONTH($B$30))/MAX(1,12*(YEAR($B$31)-YEAR($B$30))+MONTH($B$31)-MONTH($B$30)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*MIN(1,(12*(YEAR(AB$3)-YEAR($B$30))+MONTH(AB$3)-MONTH($B$30))/MAX(1,12*(YEAR($B$31)-YEAR($B$30))+MONTH($B$31)-MONTH($B$30)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*MIN(1,(12*(YEAR(AC$3)-YEAR($B$30))+MONTH(AC$3)-MONTH($B$30))/MAX(1,12*(YEAR($B$31)-YEAR($B$30))+MONTH($B$31)-MONTH($B$30)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*MIN(1,(12*(YEAR(AD$3)-YEAR($B$30))+MONTH(AD$3)-MONTH($B$30))/MAX(1,12*(YEAR($B$31)-YEAR($B$30))+MONTH($B$31)-MONTH($B$30)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*MIN(1,(12*(YEAR(AE$3)-YEAR($B$30))+MONTH(AE$3)-MONTH($B$30))/MAX(1,12*(YEAR($B$31)-YEAR($B$30))+MONTH($B$31)-MONTH($B$30)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*MIN(1,(12*(YEAR(AF$3)-YEAR($B$30))+MONTH(AF$3)-MONTH($B$30))/MAX(1,12*(YEAR($B$31)-YEAR($B$30))+MONTH($B$31)-MONTH($B$30)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*MIN(1,(12*(YEAR(AG$3)-YEAR($B$30))+MONTH(AG$3)-MONTH($B$30))/MAX(1,12*(YEAR($B$31)-YEAR($B$30))+MONTH($B$31)-MONTH($B$30)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*MIN(1,(12*(YEAR(AH$3)-YEAR($B$30))+MONTH(AH$3)-MONTH($B$30))/MAX(1,12*(YEAR($B$31)-YEAR($B$30))+MONTH($B$31)-MONTH($B$30)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*MIN(1,(12*(YEAR(AI$3)-YEAR($B$30))+MONTH(AI$3)-MONTH($B$30))/MAX(1,12*(YEAR($B$31)-YEAR($B$30))+MONTH($B$31)-MONTH($B$30)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*MIN(1,(12*(YEAR(AJ$3)-YEAR($B$30))+MONTH(AJ$3)-MONTH($B$30))/MAX(1,12*(YEAR($B$31)-YEAR($B$30))+MONTH($B$31)-MONTH($B$30)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*MIN(1,(12*(YEAR(AK$3)-YEAR($B$30))+MONTH(AK$3)-MONTH($B$30))/MAX(1,12*(YEAR($B$31)-YEAR($B$30))+MONTH($B$31)-MONTH($B$30)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*MIN(1,(12*(YEAR(AL$3)-YEAR($B$30))+MONTH(AL$3)-MONTH($B$30))/MAX(1,12*(YEAR($B$31)-YEAR($B$30))+MONTH($B$31)-MONTH($B$30)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*MIN(1,(12*(YEAR(AM$3)-YEAR($B$30))+MONTH(AM$3)-MONTH($B$30))/MAX(1,12*(YEAR($B$31)-YEAR($B$30))+MONTH($B$31)-MONTH($B$30)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*MIN(1,(12*(YEAR(AN$3)-YEAR($B$30))+MONTH(AN$3)-MONTH($B$30))/MAX(1,12*(YEAR($B$31)-YEAR($B$30))+MONTH($B$31)-MONTH($B$30)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*MIN(1,(12*(YEAR(AO$3)-YEAR($B$30))+MONTH(AO$3)-MONTH($B$30))/MAX(1,12*(YEAR($B$31)-YEAR($B$30))+MONTH($B$31)-MONTH($B$30)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*MIN(1,(12*(YEAR(AP$3)-YEAR($B$30))+MONTH(AP$3)-MONTH($B$30))/MAX(1,12*(YEAR($B$31)-YEAR($B$30))+MONTH($B$31)-MONTH($B$30)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*MIN(1,(12*(YEAR(AQ$3)-YEAR($B$30))+MONTH(AQ$3)-MONTH($B$30))/MAX(1,12*(YEAR($B$31)-YEAR($B$30))+MONTH($B$31)-MONTH($B$30)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*MIN(1,(12*(YEAR(AR$3)-YEAR($B$30))+MONTH(AR$3)-MONTH($B$30))/MAX(1,12*(YEAR($B$31)-YEAR($B$30))+MONTH($B$31)-MONTH($B$30)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*MIN(1,(12*(YEAR(AS$3)-YEAR($B$30))+MONTH(AS$3)-MONTH($B$30))/MAX(1,12*(YEAR($B$31)-YEAR($B$30))+MONTH($B$31)-MONTH($B$30)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*MIN(1,(12*(YEAR(AT$3)-YEAR($B$30))+MONTH(AT$3)-MONTH($B$30))/MAX(1,12*(YEAR($B$31)-YEAR($B$30))+MONTH($B$31)-MONTH($B$30)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*MIN(1,(12*(YEAR(AU$3)-YEAR($B$30))+MONTH(AU$3)-MONTH($B$30))/MAX(1,12*(YEAR($B$31)-YEAR($B$30))+MONTH($B$31)-MONTH($B$30)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*MIN(1,(12*(YEAR(AV$3)-YEAR($B$30))+MONTH(AV$3)-MONTH($B$30))/MAX(1,12*(YEAR($B$31)-YEAR($B$30))+MONTH($B$31)-MONTH($B$30)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*MIN(1,(12*(YEAR(AW$3)-YEAR($B$30))+MONTH(AW$3)-MONTH($B$30))/MAX(1,12*(YEAR($B$31)-YEAR($B$30))+MONTH($B$31)-MONTH($B$30)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*MIN(1,(12*(YEAR(AX$3)-YEAR($B$30))+MONTH(AX$3)-MONTH($B$30))/MAX(1,12*(YEAR($B$31)-YEAR($B$30))+MONTH($B$31)-MONTH($B$30)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*MIN(1,(12*(YEAR(AY$3)-YEAR($B$30))+MONTH(AY$3)-MONTH($B$30))/MAX(1,12*(YEAR($B$31)-YEAR($B$30))+MONTH($B$31)-MONTH($B$30)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*MIN(1,(12*(YEAR(AZ$3)-YEAR($B$30))+MONTH(AZ$3)-MONTH($B$30))/MAX(1,12*(YEAR($B$31)-YEAR($B$30))+MONTH($B$31)-MONTH($B$30)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*MIN(1,(12*(YEAR(BA$3)-YEAR($B$30))+MONTH(BA$3)-MONTH($B$30))/MAX(1,12*(YEAR($B$31)-YEAR($B$30))+MONTH($B$31)-MONTH($B$30)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*MIN(1,(12*(YEAR(BB$3)-YEAR($B$30))+MONTH(BB$3)-MONTH($B$30))/MAX(1,12*(YEAR($B$31)-YEAR($B$30))+MONTH($B$31)-MONTH($B$30)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*MIN(1,(12*(YEAR(BC$3)-YEAR($B$30))+MONTH(BC$3)-MONTH($B$30))/MAX(1,12*(YEAR($B$31)-YEAR($B$30))+MONTH($B$31)-MONTH($B$30)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*MIN(1,(12*(YEAR(BD$3)-YEAR($B$30))+MONTH(BD$3)-MONTH($B$30))/MAX(1,12*(YEAR($B$31)-YEAR($B$30))+MONTH($B$31)-MONTH($B$30)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*MIN(1,(12*(YEAR(BE$3)-YEAR($B$30))+MONTH(BE$3)-MONTH($B$30))/MAX(1,12*(YEAR($B$31)-YEAR($B$30))+MONTH($B$31)-MONTH($B$30)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*MIN(1,(12*(YEAR(BF$3)-YEAR($B$30))+MONTH(BF$3)-MONTH($B$30))/MAX(1,12*(YEAR($B$31)-YEAR($B$30))+MONTH($B$31)-MONTH($B$30)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*MIN(1,(12*(YEAR(BG$3)-YEAR($B$30))+MONTH(BG$3)-MONTH($B$30))/MAX(1,12*(YEAR($B$31)-YEAR($B$30))+MONTH($B$31)-MONTH($B$30)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*MIN(1,(12*(YEAR(BH$3)-YEAR($B$30))+MONTH(BH$3)-MONTH($B$30))/MAX(1,12*(YEAR($B$31)-YEAR($B$30))+MONTH($B$31)-MONTH($B$30)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*MIN(1,(12*(YEAR(BI$3)-YEAR($B$30))+MONTH(BI$3)-MONTH($B$30))/MAX(1,12*(YEAR($B$31)-YEAR($B$30))+MONTH($B$31)-MONTH($B$30)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*MIN(1,(12*(YEAR(BJ$3)-YEAR($B$30))+MONTH(BJ$3)-MONTH($B$30))/MAX(1,12*(YEAR($B$31)-YEAR($B$30))+MONTH($B$31)-MONTH($B$30)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*MIN(1,(12*(YEAR(BK$3)-YEAR($B$30))+MONTH(BK$3)-MONTH($B$30))/MAX(1,12*(YEAR($B$31)-YEAR($B$30))+MONTH($B$31)-MONTH($B$30)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*MIN(1,(12*(YEAR(BL$3)-YEAR($B$30))+MONTH(BL$3)-MONTH($B$30))/MAX(1,12*(YEAR($B$31)-YEAR($B$30))+MONTH($B$31)-MONTH($B$30)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*MIN(1,(12*(YEAR(BM$3)-YEAR($B$30))+MONTH(BM$3)-MONTH($B$30))/MAX(1,12*(YEAR($B$31)-YEAR($B$30))+MONTH($B$31)-MONTH($B$30)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*MIN(1,(12*(YEAR(BN$3)-YEAR($B$30))+MONTH(BN$3)-MONTH($B$30))/MAX(1,12*(YEAR($B$31)-YEAR($B$30))+MONTH($B$31)-MONTH($B$30)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*MIN(1,(12*(YEAR(BO$3)-YEAR($B$30))+MONTH(BO$3)-MONTH($B$30))/MAX(1,12*(YEAR($B$31)-YEAR($B$30))+MONTH($B$31)-MONTH($B$30)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*MIN(1,(12*(YEAR(BP$3)-YEAR($B$30))+MONTH(BP$3)-MONTH($B$30))/MAX(1,12*(YEAR($B$31)-YEAR($B$30))+MONTH($B$31)-MONTH($B$30)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*MIN(1,(12*(YEAR(BQ$3)-YEAR($B$30))+MONTH(BQ$3)-MONTH($B$30))/MAX(1,12*(YEAR($B$31)-YEAR($B$30))+MONTH($B$31)-MONTH($B$30)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*MIN(1,(12*(YEAR(BR$3)-YEAR($B$30))+MONTH(BR$3)-MONTH($B$30))/MAX(1,12*(YEAR($B$31)-YEAR($B$30))+MONTH($B$31)-MONTH($B$30)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*MIN(1,(12*(YEAR(BS$3)-YEAR($B$30))+MONTH(BS$3)-MONTH($B$30))/MAX(1,12*(YEAR($B$31)-YEAR($B$30))+MONTH($B$31)-MONTH($B$30)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*MIN(1,(12*(YEAR(BT$3)-YEAR($B$30))+MONTH(BT$3)-MONTH($B$30))/MAX(1,12*(YEAR($B$31)-YEAR($B$30))+MONTH($B$31)-MONTH($B$30)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*MIN(1,(12*(YEAR(BU$3)-YEAR($B$30))+MONTH(BU$3)-MONTH($B$30))/MAX(1,12*(YEAR($B$31)-YEAR($B$30))+MONTH($B$31)-MONTH($B$30)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*MIN(1,(12*(YEAR(BV$3)-YEAR($B$30))+MONTH(BV$3)-MONTH($B$30))/MAX(1,12*(YEAR($B$31)-YEAR($B$30))+MONTH($B$31)-MONTH($B$30)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*MIN(1,(12*(YEAR(BW$3)-YEAR($B$30))+MONTH(BW$3)-MONTH($B$30))/MAX(1,12*(YEAR($B$31)-YEAR($B$30))+MONTH($B$31)-MONTH($B$30)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*MIN(1,(12*(YEAR(BX$3)-YEAR($B$30))+MONTH(BX$3)-MONTH($B$30))/MAX(1,12*(YEAR($B$31)-YEAR($B$30))+MONTH($B$31)-MONTH($B$30)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*MIN(1,(12*(YEAR(BY$3)-YEAR($B$30))+MONTH(BY$3)-MONTH($B$30))/MAX(1,12*(YEAR($B$31)-YEAR($B$30))+MONTH($B$31)-MONTH($B$30)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*MIN(1,(12*(YEAR(BZ$3)-YEAR($B$30))+MONTH(BZ$3)-MONTH($B$30))/MAX(1,12*(YEAR($B$31)-YEAR($B$30))+MONTH($B$31)-MONTH($B$30)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*MIN(1,(12*(YEAR(CA$3)-YEAR($B$30))+MONTH(CA$3)-MONTH($B$30))/MAX(1,12*(YEAR($B$31)-YEAR($B$30))+MONTH($B$31)-MONTH($B$30)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*MIN(1,(12*(YEAR(CB$3)-YEAR($B$30))+MONTH(CB$3)-MONTH($B$30))/MAX(1,12*(YEAR($B$31)-YEAR($B$30))+MONTH($B$31)-MONTH($B$30)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*MIN(1,(12*(YEAR(CC$3)-YEAR($B$30))+MONTH(CC$3)-MONTH($B$30))/MAX(1,12*(YEAR($B$31)-YEAR($B$30))+MONTH($B$31)-MONTH($B$30)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*MIN(1,(12*(YEAR(CD$3)-YEAR($B$30))+MONTH(CD$3)-MONTH($B$30))/MAX(1,12*(YEAR($B$31)-YEAR($B$30))+MONTH($B$31)-MONTH($B$30)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*MIN(1,(12*(YEAR(CE$3)-YEAR($B$30))+MONTH(CE$3)-MONTH($B$30))/MAX(1,12*(YEAR($B$31)-YEAR($B$30))+MONTH($B$31)-MONTH($B$30)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*MIN(1,(12*(YEAR(CF$3)-YEAR($B$30))+MONTH(CF$3)-MONTH($B$30))/MAX(1,12*(YEAR($B$31)-YEAR($B$30))+MONTH($B$31)-MONTH($B$30)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*MIN(1,(12*(YEAR(CG$3)-YEAR($B$30))+MONTH(CG$3)-MONTH($B$30))/MAX(1,12*(YEAR($B$31)-YEAR($B$30))+MONTH($B$31)-MONTH($B$30)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*MIN(1,(12*(YEAR(CH$3)-YEAR($B$30))+MONTH(CH$3)-MONTH($B$30))/MAX(1,12*(YEAR($B$31)-YEAR($B$30))+MONTH($B$31)-MONTH($B$30)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*MIN(1,(12*(YEAR(CI$3)-YEAR($B$30))+MONTH(CI$3)-MONTH($B$30))/MAX(1,12*(YEAR($B$31)-YEAR($B$30))+MONTH($B$31)-MONTH($B$30)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*MIN(1,(12*(YEAR(CJ$3)-YEAR($B$30))+MONTH(CJ$3)-MONTH($B$30))/MAX(1,12*(YEAR($B$31)-YEAR($B$30))+MONTH($B$31)-MONTH($B$30)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*MIN(1,(12*(YEAR(CK$3)-YEAR($B$30))+MONTH(CK$3)-MONTH($B$30))/MAX(1,12*(YEAR($B$31)-YEAR($B$30))+MONTH($B$31)-MONTH($B$30)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*MIN(1,(12*(YEAR(CL$3)-YEAR($B$30))+MONTH(CL$3)-MONTH($B$30))/MAX(1,12*(YEAR($B$31)-YEAR($B$30))+MONTH($B$31)-MONTH($B$30)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*MIN(1,(12*(YEAR(CM$3)-YEAR($B$30))+MONTH(CM$3)-MONTH($B$30))/MAX(1,12*(YEAR($B$31)-YEAR($B$30))+MONTH($B$31)-MONTH($B$30)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*MIN(1,(12*(YEAR(CN$3)-YEAR($B$30))+MONTH(CN$3)-MONTH($B$30))/MAX(1,12*(YEAR($B$31)-YEAR($B$30))+MONTH($B$31)-MONTH($B$30)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*MIN(1,(12*(YEAR(CO$3)-YEAR($B$30))+MONTH(CO$3)-MONTH($B$30))/MAX(1,12*(YEAR($B$31)-YEAR($B$30))+MONTH($B$31)-MONTH($B$30)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*MIN(1,(12*(YEAR(CP$3)-YEAR($B$30))+MONTH(CP$3)-MONTH($B$30))/MAX(1,12*(YEAR($B$31)-YEAR($B$30))+MONTH($B$31)-MONTH($B$30)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*MIN(1,(12*(YEAR(CQ$3)-YEAR($B$30))+MONTH(CQ$3)-MONTH($B$30))/MAX(1,12*(YEAR($B$31)-YEAR($B$30))+MONTH($B$31)-MONTH($B$30)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*MIN(1,(12*(YEAR(CR$3)-YEAR($B$30))+MONTH(CR$3)-MONTH($B$30))/MAX(1,12*(YEAR($B$31)-YEAR($B$30))+MONTH($B$31)-MONTH($B$30)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*MIN(1,(12*(YEAR(CS$3)-YEAR($B$30))+MONTH(CS$3)-MONTH($B$30))/MAX(1,12*(YEAR($B$31)-YEAR($B$30))+MONTH($B$31)-MONTH($B$30)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*MIN(1,(12*(YEAR(CT$3)-YEAR($B$30))+MONTH(CT$3)-MONTH($B$30))/MAX(1,12*(YEAR($B$31)-YEAR($B$30))+MONTH($B$31)-MONTH($B$30)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*MIN(1,(12*(YEAR(CU$3)-YEAR($B$30))+MONTH(CU$3)-MONTH($B$30))/MAX(1,12*(YEAR($B$31)-YEAR($B$30))+MONTH($B$31)-MONTH($B$30)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*MIN(1,(12*(YEAR(CV$3)-YEAR($B$30))+MONTH(CV$3)-MONTH($B$30))/MAX(1,12*(YEAR($B$31)-YEAR($B$30))+MONTH($B$31)-MONTH($B$30)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*MIN(1,(12*(YEAR(CW$3)-YEAR($B$30))+MONTH(CW$3)-MONTH($B$30))/MAX(1,12*(YEAR($B$31)-YEAR($B$30))+MONTH($B$31)-MONTH($B$30)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*MIN(1,(12*(YEAR(CX$3)-YEAR($B$30))+MONTH(CX$3)-MONTH($B$30))/MAX(1,12*(YEAR($B$31)-YEAR($B$30))+MONTH($B$31)-MONTH($B$30)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*MIN(1,(12*(YEAR(CY$3)-YEAR($B$30))+MONTH(CY$3)-MONTH($B$30))/MAX(1,12*(YEAR($B$31)-YEAR($B$30))+MONTH($B$31)-MONTH($B$30)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*MIN(1,(12*(YEAR(CZ$3)-YEAR($B$30))+MONTH(CZ$3)-MONTH($B$30))/MAX(1,12*(YEAR($B$31)-YEAR($B$30))+MONTH($B$31)-MONTH($B$30)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*MIN(1,(12*(YEAR(DA$3)-YEAR($B$30))+MONTH(DA$3)-MONTH($B$30))/MAX(1,12*(YEAR($B$31)-YEAR($B$30))+MONTH($B$31)-MONTH($B$30)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*MIN(1,(12*(YEAR(DB$3)-YEAR($B$30))+MONTH(DB$3)-MONTH($B$30))/MAX(1,12*(YEAR($B$31)-YEAR($B$30))+MONTH($B$31)-MONTH($B$30)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*MIN(1,(12*(YEAR(DC$3)-YEAR($B$30))+MONTH(DC$3)-MONTH($B$30))/MAX(1,12*(YEAR($B$31)-YEAR($B$30))+MONTH($B$31)-MONTH($B$30)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*MIN(1,(12*(YEAR(DD$3)-YEAR($B$30))+MONTH(DD$3)-MONTH($B$30))/MAX(1,12*(YEAR($B$31)-YEAR($B$30))+MONTH($B$31)-MONTH($B$30)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*MIN(1,(12*(YEAR(DE$3)-YEAR($B$30))+MONTH(DE$3)-MONTH($B$30))/MAX(1,12*(YEAR($B$31)-YEAR($B$30))+MONTH($B$31)-MONTH($B$30)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*MIN(1,(12*(YEAR(DF$3)-YEAR($B$30))+MONTH(DF$3)-MONTH($B$30))/MAX(1,12*(YEAR($B$31)-YEAR($B$30))+MONTH($B$31)-MONTH($B$30)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*MIN(1,(12*(YEAR(DG$3)-YEAR($B$30))+MONTH(DG$3)-MONTH($B$30))/MAX(1,12*(YEAR($B$31)-YEAR($B$30))+MONTH($B$31)-MONTH($B$30)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*MIN(1,(12*(YEAR(DH$3)-YEAR($B$30))+MONTH(DH$3)-MONTH($B$30))/MAX(1,12*(YEAR($B$31)-YEAR($B$30))+MONTH($B$31)-MONTH($B$30)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*MIN(1,(12*(YEAR(DI$3)-YEAR($B$30))+MONTH(DI$3)-MONTH($B$30))/MAX(1,12*(YEAR($B$31)-YEAR($B$30))+MONTH($B$31)-MONTH($B$30)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*MIN(1,(12*(YEAR(DJ$3)-YEAR($B$30))+MONTH(DJ$3)-MONTH($B$30))/MAX(1,12*(YEAR($B$31)-YEAR($B$30))+MONTH($B$31)-MONTH($B$30)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*MIN(1,(12*(YEAR(DK$3)-YEAR($B$30))+MONTH(DK$3)-MONTH($B$30))/MAX(1,12*(YEAR($B$31)-YEAR($B$30))+MONTH($B$31)-MONTH($B$30)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*MIN(1,(12*(YEAR(DL$3)-YEAR($B$30))+MONTH(DL$3)-MONTH($B$30))/MAX(1,12*(YEAR($B$31)-YEAR($B$30))+MONTH($B$31)-MONTH($B$30)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*MIN(1,(12*(YEAR(DM$3)-YEAR($B$30))+MONTH(DM$3)-MONTH($B$30))/MAX(1,12*(YEAR($B$31)-YEAR($B$30))+MONTH($B$31)-MONTH($B$30)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*MIN(1,(12*(YEAR(DN$3)-YEAR($B$30))+MONTH(DN$3)-MONTH($B$30))/MAX(1,12*(YEAR($B$31)-YEAR($B$30))+MONTH($B$31)-MONTH($B$30)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*MIN(1,(12*(YEAR(DO$3)-YEAR($B$30))+MONTH(DO$3)-MONTH($B$30))/MAX(1,12*(YEAR($B$31)-YEAR($B$30))+MONTH($B$31)-MONTH($B$30)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*MIN(1,(12*(YEAR(DP$3)-YEAR($B$30))+MONTH(DP$3)-MONTH($B$30))/MAX(1,12*(YEAR($B$31)-YEAR($B$30))+MONTH($B$31)-MONTH($B$30)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*MIN(1,(12*(YEAR(DQ$3)-YEAR($B$30))+MONTH(DQ$3)-MONTH($B$30))/MAX(1,12*(YEAR($B$31)-YEAR($B$30))+MONTH($B$31)-MONTH($B$30)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*MIN(1,(12*(YEAR(DR$3)-YEAR($B$30))+MONTH(DR$3)-MONTH($B$30))/MAX(1,12*(YEAR($B$31)-YEAR($B$30))+MONTH($B$31)-MONTH($B$30)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*MIN(1,(12*(YEAR(DS$3)-YEAR($B$30))+MONTH(DS$3)-MONTH($B$30))/MAX(1,12*(YEAR($B$31)-YEAR($B$30))+MONTH($B$31)-MONTH($B$30)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*MIN(1,(12*(YEAR(D$3)-YEAR($B$53))+MONTH(D$3)-MONTH($B$53))/MAX(1,12*(YEAR($B$54)-YEAR($B$53))+MONTH($B$54)-MONTH($B$53)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*MIN(1,(12*(YEAR(E$3)-YEAR($B$53))+MONTH(E$3)-MONTH($B$53))/MAX(1,12*(YEAR($B$54)-YEAR($B$53))+MONTH($B$54)-MONTH($B$53)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*MIN(1,(12*(YEAR(F$3)-YEAR($B$53))+MONTH(F$3)-MONTH($B$53))/MAX(1,12*(YEAR($B$54)-YEAR($B$53))+MONTH($B$54)-MONTH($B$53)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*MIN(1,(12*(YEAR(G$3)-YEAR($B$53))+MONTH(G$3)-MONTH($B$53))/MAX(1,12*(YEAR($B$54)-YEAR($B$53))+MONTH($B$54)-MONTH($B$53)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*MIN(1,(12*(YEAR(H$3)-YEAR($B$53))+MONTH(H$3)-MONTH($B$53))/MAX(1,12*(YEAR($B$54)-YEAR($B$53))+MONTH($B$54)-MONTH($B$53)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*MIN(1,(12*(YEAR(I$3)-YEAR($B$53))+MONTH(I$3)-MONTH($B$53))/MAX(1,12*(YEAR($B$54)-YEAR($B$53))+MONTH($B$54)-MONTH($B$53)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*MIN(1,(12*(YEAR(J$3)-YEAR($B$53))+MONTH(J$3)-MONTH($B$53))/MAX(1,12*(YEAR($B$54)-YEAR($B$53))+MONTH($B$54)-MONTH($B$53)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*MIN(1,(12*(YEAR(K$3)-YEAR($B$53))+MONTH(K$3)-MONTH($B$53))/MAX(1,12*(YEAR($B$54)-YEAR($B$53))+MONTH($B$54)-MONTH($B$53)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*MIN(1,(12*(YEAR(L$3)-YEAR($B$53))+MONTH(L$3)-MONTH($B$53))/MAX(1,12*(YEAR($B$54)-YEAR($B$53))+MONTH($B$54)-MONTH($B$53)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*MIN(1,(12*(YEAR(M$3)-YEAR($B$53))+MONTH(M$3)-MONTH($B$53))/MAX(1,12*(YEAR($B$54)-YEAR($B$53))+MONTH($B$54)-MONTH($B$53)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*MIN(1,(12*(YEAR(N$3)-YEAR($B$53))+MONTH(N$3)-MONTH($B$53))/MAX(1,12*(YEAR($B$54)-YEAR($B$53))+MONTH($B$54)-MONTH($B$53)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*MIN(1,(12*(YEAR(O$3)-YEAR($B$53))+MONTH(O$3)-MONTH($B$53))/MAX(1,12*(YEAR($B$54)-YEAR($B$53))+MONTH($B$54)-MONTH($B$53)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*MIN(1,(12*(YEAR(P$3)-YEAR($B$53))+MONTH(P$3)-MONTH($B$53))/MAX(1,12*(YEAR($B$54)-YEAR($B$53))+MONTH($B$54)-MONTH($B$53)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*MIN(1,(12*(YEAR(Q$3)-YEAR($B$53))+MONTH(Q$3)-MONTH($B$53))/MAX(1,12*(YEAR($B$54)-YEAR($B$53))+MONTH($B$54)-MONTH($B$53)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*MIN(1,(12*(YEAR(R$3)-YEAR($B$53))+MONTH(R$3)-MONTH($B$53))/MAX(1,12*(YEAR($B$54)-YEAR($B$53))+MONTH($B$54)-MONTH($B$53)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*MIN(1,(12*(YEAR(S$3)-YEAR($B$53))+MONTH(S$3)-MONTH($B$53))/MAX(1,12*(YEAR($B$54)-YEAR($B$53))+MONTH($B$54)-MONTH($B$53)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*MIN(1,(12*(YEAR(T$3)-YEAR($B$53))+MONTH(T$3)-MONTH($B$53))/MAX(1,12*(YEAR($B$54)-YEAR($B$53))+MONTH($B$54)-MONTH($B$53)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*MIN(1,(12*(YEAR(U$3)-YEAR($B$53))+MONTH(U$3)-MONTH($B$53))/MAX(1,12*(YEAR($B$54)-YEAR($B$53))+MONTH($B$54)-MONTH($B$53)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*MIN(1,(12*(YEAR(V$3)-YEAR($B$53))+MONTH(V$3)-MONTH($B$53))/MAX(1,12*(YEAR($B$54)-YEAR($B$53))+MONTH($B$54)-MONTH($B$53)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*MIN(1,(12*(YEAR(W$3)-YEAR($B$53))+MONTH(W$3)-MONTH($B$53))/MAX(1,12*(YEAR($B$54)-YEAR($B$53))+MONTH($B$54)-MONTH($B$53)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*MIN(1,(12*(YEAR(X$3)-YEAR($B$53))+MONTH(X$3)-MONTH($B$53))/MAX(1,12*(YEAR($B$54)-YEAR($B$53))+MONTH($B$54)-MONTH($B$53)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*MIN(1,(12*(YEAR(Y$3)-YEAR($B$53))+MONTH(Y$3)-MONTH($B$53))/MAX(1,12*(YEAR($B$54)-YEAR($B$53))+MONTH($B$54)-MONTH($B$53)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*MIN(1,(12*(YEAR(Z$3)-YEAR($B$53))+MONTH(Z$3)-MONTH($B$53))/MAX(1,12*(YEAR($B$54)-YEAR($B$53))+MONTH($B$54)-MONTH($B$53)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*MIN(1,(12*(YEAR(AA$3)-YEAR($B$53))+MONTH(AA$3)-MONTH($B$53))/MAX(1,12*(YEAR($B$54)-YEAR($B$53))+MONTH($B$54)-MONTH($B$53)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*MIN(1,(12*(YEAR(AB$3)-YEAR($B$53))+MONTH(AB$3)-MONTH($B$53))/MAX(1,12*(YEAR($B$54)-YEAR($B$53))+MONTH($B$54)-MONTH($B$53)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*MIN(1,(12*(YEAR(AC$3)-YEAR($B$53))+MONTH(AC$3)-MONTH($B$53))/MAX(1,12*(YEAR($B$54)-YEAR($B$53))+MONTH($B$54)-MONTH($B$53)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*MIN(1,(12*(YEAR(AD$3)-YEAR($B$53))+MONTH(AD$3)-MONTH($B$53))/MAX(1,12*(YEAR($B$54)-YEAR($B$53))+MONTH($B$54)-MONTH($B$53)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*MIN(1,(12*(YEAR(AE$3)-YEAR($B$53))+MONTH(AE$3)-MONTH($B$53))/MAX(1,12*(YEAR($B$54)-YEAR($B$53))+MONTH($B$54)-MONTH($B$53)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*MIN(1,(12*(YEAR(AF$3)-YEAR($B$53))+MONTH(AF$3)-MONTH($B$53))/MAX(1,12*(YEAR($B$54)-YEAR($B$53))+MONTH($B$54)-MONTH($B$53)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*MIN(1,(12*(YEAR(AG$3)-YEAR($B$53))+MONTH(AG$3)-MONTH($B$53))/MAX(1,12*(YEAR($B$54)-YEAR($B$53))+MONTH($B$54)-MONTH($B$53)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*MIN(1,(12*(YEAR(AH$3)-YEAR($B$53))+MONTH(AH$3)-MONTH($B$53))/MAX(1,12*(YEAR($B$54)-YEAR($B$53))+MONTH($B$54)-MONTH($B$53)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*MIN(1,(12*(YEAR(AI$3)-YEAR($B$53))+MONTH(AI$3)-MONTH($B$53))/MAX(1,12*(YEAR($B$54)-YEAR($B$53))+MONTH($B$54)-MONTH($B$53)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*MIN(1,(12*(YEAR(AJ$3)-YEAR($B$53))+MONTH(AJ$3)-MONTH($B$53))/MAX(1,12*(YEAR($B$54)-YEAR($B$53))+MONTH($B$54)-MONTH($B$53)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*MIN(1,(12*(YEAR(AK$3)-YEAR($B$53))+MONTH(AK$3)-MONTH($B$53))/MAX(1,12*(YEAR($B$54)-YEAR($B$53))+MONTH($B$54)-MONTH($B$53)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*MIN(1,(12*(YEAR(AL$3)-YEAR($B$53))+MONTH(AL$3)-MONTH($B$53))/MAX(1,12*(YEAR($B$54)-YEAR($B$53))+MONTH($B$54)-MONTH($B$53)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*MIN(1,(12*(YEAR(AM$3)-YEAR($B$53))+MONTH(AM$3)-MONTH($B$53))/MAX(1,12*(YEAR($B$54)-YEAR($B$53))+MONTH($B$54)-MONTH($B$53)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*MIN(1,(12*(YEAR(AN$3)-YEAR($B$53))+MONTH(AN$3)-MONTH($B$53))/MAX(1,12*(YEAR($B$54)-YEAR($B$53))+MONTH($B$54)-MONTH($B$53)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*MIN(1,(12*(YEAR(AO$3)-YEAR($B$53))+MONTH(AO$3)-MONTH($B$53))/MAX(1,12*(YEAR($B$54)-YEAR($B$53))+MONTH($B$54)-MONTH($B$53)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*MIN(1,(12*(YEAR(AP$3)-YEAR($B$53))+MONTH(AP$3)-MONTH($B$53))/MAX(1,12*(YEAR($B$54)-YEAR($B$53))+MONTH($B$54)-MONTH($B$53)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*MIN(1,(12*(YEAR(AQ$3)-YEAR($B$53))+MONTH(AQ$3)-MONTH($B$53))/MAX(1,12*(YEAR($B$54)-YEAR($B$53))+MONTH($B$54)-MONTH($B$53)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*MIN(1,(12*(YEAR(AR$3)-YEAR($B$53))+MONTH(AR$3)-MONTH($B$53))/MAX(1,12*(YEAR($B$54)-YEAR($B$53))+MONTH($B$54)-MONTH($B$53)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*MIN(1,(12*(YEAR(AS$3)-YEAR($B$53))+MONTH(AS$3)-MONTH($B$53))/MAX(1,12*(YEAR($B$54)-YEAR($B$53))+MONTH($B$54)-MONTH($B$53)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*MIN(1,(12*(YEAR(AT$3)-YEAR($B$53))+MONTH(AT$3)-MONTH($B$53))/MAX(1,12*(YEAR($B$54)-YEAR($B$53))+MONTH($B$54)-MONTH($B$53)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*MIN(1,(12*(YEAR(AU$3)-YEAR($B$53))+MONTH(AU$3)-MONTH($B$53))/MAX(1,12*(YEAR($B$54)-YEAR($B$53))+MONTH($B$54)-MONTH($B$53)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*MIN(1,(12*(YEAR(AV$3)-YEAR($B$53))+MONTH(AV$3)-MONTH($B$53))/MAX(1,12*(YEAR($B$54)-YEAR($B$53))+MONTH($B$54)-MONTH($B$53)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*MIN(1,(12*(YEAR(AW$3)-YEAR($B$53))+MONTH(AW$3)-MONTH($B$53))/MAX(1,12*(YEAR($B$54)-YEAR($B$53))+MONTH($B$54)-MONTH($B$53)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*MIN(1,(12*(YEAR(AX$3)-YEAR($B$53))+MONTH(AX$3)-MONTH($B$53))/MAX(1,12*(YEAR($B$54)-YEAR($B$53))+MONTH($B$54)-MONTH($B$53)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*MIN(1,(12*(YEAR(AY$3)-YEAR($B$53))+MONTH(AY$3)-MONTH($B$53))/MAX(1,12*(YEAR($B$54)-YEAR($B$53))+MONTH($B$54)-MONTH($B$53)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*MIN(1,(12*(YEAR(AZ$3)-YEAR($B$53))+MONTH(AZ$3)-MONTH($B$53))/MAX(1,12*(YEAR($B$54)-YEAR($B$53))+MONTH($B$54)-MONTH($B$53)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*MIN(1,(12*(YEAR(BA$3)-YEAR($B$53))+MONTH(BA$3)-MONTH($B$53))/MAX(1,12*(YEAR($B$54)-YEAR($B$53))+MONTH($B$54)-MONTH($B$53)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*MIN(1,(12*(YEAR(BB$3)-YEAR($B$53))+MONTH(BB$3)-MONTH($B$53))/MAX(1,12*(YEAR($B$54)-YEAR($B$53))+MONTH($B$54)-MONTH($B$53)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*MIN(1,(12*(YEAR(BC$3)-YEAR($B$53))+MONTH(BC$3)-MONTH($B$53))/MAX(1,12*(YEAR($B$54)-YEAR($B$53))+MONTH($B$54)-MONTH($B$53)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*MIN(1,(12*(YEAR(BD$3)-YEAR($B$53))+MONTH(BD$3)-MONTH($B$53))/MAX(1,12*(YEAR($B$54)-YEAR($B$53))+MONTH($B$54)-MONTH($B$53)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*MIN(1,(12*(YEAR(BE$3)-YEAR($B$53))+MONTH(BE$3)-MONTH($B$53))/MAX(1,12*(YEAR($B$54)-YEAR($B$53))+MONTH($B$54)-MONTH($B$53)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*MIN(1,(12*(YEAR(BF$3)-YEAR($B$53))+MONTH(BF$3)-MONTH($B$53))/MAX(1,12*(YEAR($B$54)-YEAR($B$53))+MONTH($B$54)-MONTH($B$53)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*MIN(1,(12*(YEAR(BG$3)-YEAR($B$53))+MONTH(BG$3)-MONTH($B$53))/MAX(1,12*(YEAR($B$54)-YEAR($B$53))+MONTH($B$54)-MONTH($B$53)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*MIN(1,(12*(YEAR(BH$3)-YEAR($B$53))+MONTH(BH$3)-MONTH($B$53))/MAX(1,12*(YEAR($B$54)-YEAR($B$53))+MONTH($B$54)-MONTH($B$53)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*MIN(1,(12*(YEAR(BI$3)-YEAR($B$53))+MONTH(BI$3)-MONTH($B$53))/MAX(1,12*(YEAR($B$54)-YEAR($B$53))+MONTH($B$54)-MONTH($B$53)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*MIN(1,(12*(YEAR(BJ$3)-YEAR($B$53))+MONTH(BJ$3)-MONTH($B$53))/MAX(1,12*(YEAR($B$54)-YEAR($B$53))+MONTH($B$54)-MONTH($B$53)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*MIN(1,(12*(YEAR(BK$3)-YEAR($B$53))+MONTH(BK$3)-MONTH($B$53))/MAX(1,12*(YEAR($B$54)-YEAR($B$53))+MONTH($B$54)-MONTH($B$53)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*MIN(1,(12*(YEAR(BL$3)-YEAR($B$53))+MONTH(BL$3)-MONTH($B$53))/MAX(1,12*(YEAR($B$54)-YEAR($B$53))+MONTH($B$54)-MONTH($B$53)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*MIN(1,(12*(YEAR(BM$3)-YEAR($B$53))+MONTH(BM$3)-MONTH($B$53))/MAX(1,12*(YEAR($B$54)-YEAR($B$53))+MONTH($B$54)-MONTH($B$53)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*MIN(1,(12*(YEAR(BN$3)-YEAR($B$53))+MONTH(BN$3)-MONTH($B$53))/MAX(1,12*(YEAR($B$54)-YEAR($B$53))+MONTH($B$54)-MONTH($B$53)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*MIN(1,(12*(YEAR(BO$3)-YEAR($B$53))+MONTH(BO$3)-MONTH($B$53))/MAX(1,12*(YEAR($B$54)-YEAR($B$53))+MONTH($B$54)-MONTH($B$53)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*MIN(1,(12*(YEAR(BP$3)-YEAR($B$53))+MONTH(BP$3)-MONTH($B$53))/MAX(1,12*(YEAR($B$54)-YEAR($B$53))+MONTH($B$54)-MONTH($B$53)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*MIN(1,(12*(YEAR(BQ$3)-YEAR($B$53))+MONTH(BQ$3)-MONTH($B$53))/MAX(1,12*(YEAR($B$54)-YEAR($B$53))+MONTH($B$54)-MONTH($B$53)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*MIN(1,(12*(YEAR(BR$3)-YEAR($B$53))+MONTH(BR$3)-MONTH($B$53))/MAX(1,12*(YEAR($B$54)-YEAR($B$53))+MONTH($B$54)-MONTH($B$53)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*MIN(1,(12*(YEAR(BS$3)-YEAR($B$53))+MONTH(BS$3)-MONTH($B$53))/MAX(1,12*(YEAR($B$54)-YEAR($B$53))+MONTH($B$54)-MONTH($B$53)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*MIN(1,(12*(YEAR(BT$3)-YEAR($B$53))+MONTH(BT$3)-MONTH($B$53))/MAX(1,12*(YEAR($B$54)-YEAR($B$53))+MONTH($B$54)-MONTH($B$53)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*MIN(1,(12*(YEAR(BU$3)-YEAR($B$53))+MONTH(BU$3)-MONTH($B$53))/MAX(1,12*(YEAR($B$54)-YEAR($B$53))+MONTH($B$54)-MONTH($B$53)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*MIN(1,(12*(YEAR(BV$3)-YEAR($B$53))+MONTH(BV$3)-MONTH($B$53))/MAX(1,12*(YEAR($B$54)-YEAR($B$53))+MONTH($B$54)-MONTH($B$53)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*MIN(1,(12*(YEAR(BW$3)-YEAR($B$53))+MONTH(BW$3)-MONTH($B$53))/MAX(1,12*(YEAR($B$54)-YEAR($B$53))+MONTH($B$54)-MONTH($B$53)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*MIN(1,(12*(YEAR(BX$3)-YEAR($B$53))+MONTH(BX$3)-MONTH($B$53))/MAX(1,12*(YEAR($B$54)-YEAR($B$53))+MONTH($B$54)-MONTH($B$53)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*MIN(1,(12*(YEAR(BY$3)-YEAR($B$53))+MONTH(BY$3)-MONTH($B$53))/MAX(1,12*(YEAR($B$54)-YEAR($B$53))+MONTH($B$54)-MONTH($B$53)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*MIN(1,(12*(YEAR(BZ$3)-YEAR($B$53))+MONTH(BZ$3)-MONTH($B$53))/MAX(1,12*(YEAR($B$54)-YEAR($B$53))+MONTH($B$54)-MONTH($B$53)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*MIN(1,(12*(YEAR(CA$3)-YEAR($B$53))+MONTH(CA$3)-MONTH($B$53))/MAX(1,12*(YEAR($B$54)-YEAR($B$53))+MONTH($B$54)-MONTH($B$53)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*MIN(1,(12*(YEAR(CB$3)-YEAR($B$53))+MONTH(CB$3)-MONTH($B$53))/MAX(1,12*(YEAR($B$54)-YEAR($B$53))+MONTH($B$54)-MONTH($B$53)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*MIN(1,(12*(YEAR(CC$3)-YEAR($B$53))+MONTH(CC$3)-MONTH($B$53))/MAX(1,12*(YEAR($B$54)-YEAR($B$53))+MONTH($B$54)-MONTH($B$53)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*MIN(1,(12*(YEAR(CD$3)-YEAR($B$53))+MONTH(CD$3)-MONTH($B$53))/MAX(1,12*(YEAR($B$54)-YEAR($B$53))+MONTH($B$54)-MONTH($B$53)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*MIN(1,(12*(YEAR(CE$3)-YEAR($B$53))+MONTH(CE$3)-MONTH($B$53))/MAX(1,12*(YEAR($B$54)-YEAR($B$53))+MONTH($B$54)-MONTH($B$53)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*MIN(1,(12*(YEAR(CF$3)-YEAR($B$53))+MONTH(CF$3)-MONTH($B$53))/MAX(1,12*(YEAR($B$54)-YEAR($B$53))+MONTH($B$54)-MONTH($B$53)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*MIN(1,(12*(YEAR(CG$3)-YEAR($B$53))+MONTH(CG$3)-MONTH($B$53))/MAX(1,12*(YEAR($B$54)-YEAR($B$53))+MONTH($B$54)-MONTH($B$53)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*MIN(1,(12*(YEAR(CH$3)-YEAR($B$53))+MONTH(CH$3)-MONTH($B$53))/MAX(1,12*(YEAR($B$54)-YEAR($B$53))+MONTH($B$54)-MONTH($B$53)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*MIN(1,(12*(YEAR(CI$3)-YEAR($B$53))+MONTH(CI$3)-MONTH($B$53))/MAX(1,12*(YEAR($B$54)-YEAR($B$53))+MONTH($B$54)-MONTH($B$53)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*MIN(1,(12*(YEAR(CJ$3)-YEAR($B$53))+MONTH(CJ$3)-MONTH($B$53))/MAX(1,12*(YEAR($B$54)-YEAR($B$53))+MONTH($B$54)-MONTH($B$53)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*MIN(1,(12*(YEAR(CK$3)-YEAR($B$53))+MONTH(CK$3)-MONTH($B$53))/MAX(1,12*(YEAR($B$54)-YEAR($B$53))+MONTH($B$54)-MONTH($B$53)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*MIN(1,(12*(YEAR(CL$3)-YEAR($B$53))+MONTH(CL$3)-MONTH($B$53))/MAX(1,12*(YEAR($B$54)-YEAR($B$53))+MONTH($B$54)-MONTH($B$53)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*MIN(1,(12*(YEAR(CM$3)-YEAR($B$53))+MONTH(CM$3)-MONTH($B$53))/MAX(1,12*(YEAR($B$54)-YEAR($B$53))+MONTH($B$54)-MONTH($B$53)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*MIN(1,(12*(YEAR(CN$3)-YEAR($B$53))+MONTH(CN$3)-MONTH($B$53))/MAX(1,12*(YEAR($B$54)-YEAR($B$53))+MONTH($B$54)-MONTH($B$53)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*MIN(1,(12*(YEAR(CO$3)-YEAR($B$53))+MONTH(CO$3)-MONTH($B$53))/MAX(1,12*(YEAR($B$54)-YEAR($B$53))+MONTH($B$54)-MONTH($B$53)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*MIN(1,(12*(YEAR(CP$3)-YEAR($B$53))+MONTH(CP$3)-MONTH($B$53))/MAX(1,12*(YEAR($B$54)-YEAR($B$53))+MONTH($B$54)-MONTH($B$53)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*MIN(1,(12*(YEAR(CQ$3)-YEAR($B$53))+MONTH(CQ$3)-MONTH($B$53))/MAX(1,12*(YEAR($B$54)-YEAR($B$53))+MONTH($B$54)-MONTH($B$53)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*MIN(1,(12*(YEAR(CR$3)-YEAR($B$53))+MONTH(CR$3)-MONTH($B$53))/MAX(1,12*(YEAR($B$54)-YEAR($B$53))+MONTH($B$54)-MONTH($B$53)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*MIN(1,(12*(YEAR(CS$3)-YEAR($B$53))+MONTH(CS$3)-MONTH($B$53))/MAX(1,12*(YEAR($B$54)-YEAR($B$53))+MONTH($B$54)-MONTH($B$53)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*MIN(1,(12*(YEAR(CT$3)-YEAR($B$53))+MONTH(CT$3)-MONTH($B$53))/MAX(1,12*(YEAR($B$54)-YEAR($B$53))+MONTH($B$54)-MONTH($B$53)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*MIN(1,(12*(YEAR(CU$3)-YEAR($B$53))+MONTH(CU$3)-MONTH($B$53))/MAX(1,12*(YEAR($B$54)-YEAR($B$53))+MONTH($B$54)-MONTH($B$53)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*MIN(1,(12*(YEAR(CV$3)-YEAR($B$53))+MONTH(CV$3)-MONTH($B$53))/MAX(1,12*(YEAR($B$54)-YEAR($B$53))+MONTH($B$54)-MONTH($B$53)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*MIN(1,(12*(YEAR(CW$3)-YEAR($B$53))+MONTH(CW$3)-MONTH($B$53))/MAX(1,12*(YEAR($B$54)-YEAR($B$53))+MONTH($B$54)-MONTH($B$53)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*MIN(1,(12*(YEAR(CX$3)-YEAR($B$53))+MONTH(CX$3)-MONTH($B$53))/MAX(1,12*(YEAR($B$54)-YEAR($B$53))+MONTH($B$54)-MONTH($B$53)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*MIN(1,(12*(YEAR(CY$3)-YEAR($B$53))+MONTH(CY$3)-MONTH($B$53))/MAX(1,12*(YEAR($B$54)-YEAR($B$53))+MONTH($B$54)-MONTH($B$53)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*MIN(1,(12*(YEAR(CZ$3)-YEAR($B$53))+MONTH(CZ$3)-MONTH($B$53))/MAX(1,12*(YEAR($B$54)-YEAR($B$53))+MONTH($B$54)-MONTH($B$53)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*MIN(1,(12*(YEAR(DA$3)-YEAR($B$53))+MONTH(DA$3)-MONTH($B$53))/MAX(1,12*(YEAR($B$54)-YEAR($B$53))+MONTH($B$54)-MONTH($B$53)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*MIN(1,(12*(YEAR(DB$3)-YEAR($B$53))+MONTH(DB$3)-MONTH($B$53))/MAX(1,12*(YEAR($B$54)-YEAR($B$53))+MONTH($B$54)-MONTH($B$53)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*MIN(1,(12*(YEAR(DC$3)-YEAR($B$53))+MONTH(DC$3)-MONTH($B$53))/MAX(1,12*(YEAR($B$54)-YEAR($B$53))+MONTH($B$54)-MONTH($B$53)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*MIN(1,(12*(YEAR(DD$3)-YEAR($B$53))+MONTH(DD$3)-MONTH($B$53))/MAX(1,12*(YEAR($B$54)-YEAR($B$53))+MONTH($B$54)-MONTH($B$53)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*MIN(1,(12*(YEAR(DE$3)-YEAR($B$53))+MONTH(DE$3)-MONTH($B$53))/MAX(1,12*(YEAR($B$54)-YEAR($B$53))+MONTH($B$54)-MONTH($B$53)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*MIN(1,(12*(YEAR(DF$3)-YEAR($B$53))+MONTH(DF$3)-MONTH($B$53))/MAX(1,12*(YEAR($B$54)-YEAR($B$53))+MONTH($B$54)-MONTH($B$53)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*MIN(1,(12*(YEAR(DG$3)-YEAR($B$53))+MONTH(DG$3)-MONTH($B$53))/MAX(1,12*(YEAR($B$54)-YEAR($B$53))+MONTH($B$54)-MONTH($B$53)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*MIN(1,(12*(YEAR(DH$3)-YEAR($B$53))+MONTH(DH$3)-MONTH($B$53))/MAX(1,12*(YEAR($B$54)-YEAR($B$53))+MONTH($B$54)-MONTH($B$53)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*MIN(1,(12*(YEAR(DI$3)-YEAR($B$53))+MONTH(DI$3)-MONTH($B$53))/MAX(1,12*(YEAR($B$54)-YEAR($B$53))+MONTH($B$54)-MONTH($B$53)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*MIN(1,(12*(YEAR(DJ$3)-YEAR($B$53))+MONTH(DJ$3)-MONTH($B$53))/MAX(1,12*(YEAR($B$54)-YEAR($B$53))+MONTH($B$54)-MONTH($B$53)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*MIN(1,(12*(YEAR(DK$3)-YEAR($B$53))+MONTH(DK$3)-MONTH($B$53))/MAX(1,12*(YEAR($B$54)-YEAR($B$53))+MONTH($B$54)-MONTH($B$53)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*MIN(1,(12*(YEAR(DL$3)-YEAR($B$53))+MONTH(DL$3)-MONTH($B$53))/MAX(1,12*(YEAR($B$54)-YEAR($B$53))+MONTH($B$54)-MONTH($B$53)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*MIN(1,(12*(YEAR(DM$3)-YEAR($B$53))+MONTH(DM$3)-MONTH($B$53))/MAX(1,12*(YEAR($B$54)-YEAR($B$53))+MONTH($B$54)-MONTH($B$53)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*MIN(1,(12*(YEAR(DN$3)-YEAR($B$53))+MONTH(DN$3)-MONTH($B$53))/MAX(1,12*(YEAR($B$54)-YEAR($B$53))+MONTH($B$54)-MONTH($B$53)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*MIN(1,(12*(YEAR(DO$3)-YEAR($B$53))+MONTH(DO$3)-MONTH($B$53))/MAX(1,12*(YEAR($B$54)-YEAR($B$53))+MONTH($B$54)-MONTH($B$53)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*MIN(1,(12*(YEAR(DP$3)-YEAR($B$53))+MONTH(DP$3)-MONTH($B$53))/MAX(1,12*(YEAR($B$54)-YEAR($B$53))+MONTH($B$54)-MONTH($B$53)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*MIN(1,(12*(YEAR(DQ$3)-YEAR($B$53))+MONTH(DQ$3)-MONTH($B$53))/MAX(1,12*(YEAR($B$54)-YEAR($B$53))+MONTH($B$54)-MONTH($B$53)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*MIN(1,(12*(YEAR(DR$3)-YEAR($B$53))+MONTH(DR$3)-MONTH($B$53))/MAX(1,12*(YEAR($B$54)-YEAR($B$53))+MONTH($B$54)-MONTH($B$53)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*MIN(1,(12*(YEAR(DS$3)-YEAR($B$53))+MONTH(DS$3)-MONTH($B$53))/MAX(1,12*(YEAR($B$54)-YEAR($B$53))+MONTH($B$54)-MONTH($B$53)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*MIN(1,(12*(YEAR(D$3)-YEAR($B$76))+MONTH(D$3)-MONTH($B$76))/MAX(1,12*(YEAR($B$77)-YEAR($B$76))+MONTH($B$77)-MONTH($B$76)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*MIN(1,(12*(YEAR(E$3)-YEAR($B$76))+MONTH(E$3)-MONTH($B$76))/MAX(1,12*(YEAR($B$77)-YEAR($B$76))+MONTH($B$77)-MONTH($B$76)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*MIN(1,(12*(YEAR(F$3)-YEAR($B$76))+MONTH(F$3)-MONTH($B$76))/MAX(1,12*(YEAR($B$77)-YEAR($B$76))+MONTH($B$77)-MONTH($B$76)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*MIN(1,(12*(YEAR(G$3)-YEAR($B$76))+MONTH(G$3)-MONTH($B$76))/MAX(1,12*(YEAR($B$77)-YEAR($B$76))+MONTH($B$77)-MONTH($B$76)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*MIN(1,(12*(YEAR(H$3)-YEAR($B$76))+MONTH(H$3)-MONTH($B$76))/MAX(1,12*(YEAR($B$77)-YEAR($B$76))+MONTH($B$77)-MONTH($B$76)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*MIN(1,(12*(YEAR(I$3)-YEAR($B$76))+MONTH(I$3)-MONTH($B$76))/MAX(1,12*(YEAR($B$77)-YEAR($B$76))+MONTH($B$77)-MONTH($B$76)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*MIN(1,(12*(YEAR(J$3)-YEAR($B$76))+MONTH(J$3)-MONTH($B$76))/MAX(1,12*(YEAR($B$77)-YEAR($B$76))+MONTH($B$77)-MONTH($B$76)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*MIN(1,(12*(YEAR(K$3)-YEAR($B$76))+MONTH(K$3)-MONTH($B$76))/MAX(1,12*(YEAR($B$77)-YEAR($B$76))+MONTH($B$77)-MONTH($B$76)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*MIN(1,(12*(YEAR(L$3)-YEAR($B$76))+MONTH(L$3)-MONTH($B$76))/MAX(1,12*(YEAR($B$77)-YEAR($B$76))+MONTH($B$77)-MONTH($B$76)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*MIN(1,(12*(YEAR(M$3)-YEAR($B$76))+MONTH(M$3)-MONTH($B$76))/MAX(1,12*(YEAR($B$77)-YEAR($B$76))+MONTH($B$77)-MONTH($B$76)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*MIN(1,(12*(YEAR(N$3)-YEAR($B$76))+MONTH(N$3)-MONTH($B$76))/MAX(1,12*(YEAR($B$77)-YEAR($B$76))+MONTH($B$77)-MONTH($B$76)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*MIN(1,(12*(YEAR(O$3)-YEAR($B$76))+MONTH(O$3)-MONTH($B$76))/MAX(1,12*(YEAR($B$77)-YEAR($B$76))+MONTH($B$77)-MONTH($B$76)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*MIN(1,(12*(YEAR(P$3)-YEAR($B$76))+MONTH(P$3)-MONTH($B$76))/MAX(1,12*(YEAR($B$77)-YEAR($B$76))+MONTH($B$77)-MONTH($B$76)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*MIN(1,(12*(YEAR(Q$3)-YEAR($B$76))+MONTH(Q$3)-MONTH($B$76))/MAX(1,12*(YEAR($B$77)-YEAR($B$76))+MONTH($B$77)-MONTH($B$76)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*MIN(1,(12*(YEAR(R$3)-YEAR($B$76))+MONTH(R$3)-MONTH($B$76))/MAX(1,12*(YEAR($B$77)-YEAR($B$76))+MONTH($B$77)-MONTH($B$76)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*MIN(1,(12*(YEAR(S$3)-YEAR($B$76))+MONTH(S$3)-MONTH($B$76))/MAX(1,12*(YEAR($B$77)-YEAR($B$76))+MONTH($B$77)-MONTH($B$76)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*MIN(1,(12*(YEAR(T$3)-YEAR($B$76))+MONTH(T$3)-MONTH($B$76))/MAX(1,12*(YEAR($B$77)-YEAR($B$76))+MONTH($B$77)-MONTH($B$76)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*MIN(1,(12*(YEAR(U$3)-YEAR($B$76))+MONTH(U$3)-MONTH($B$76))/MAX(1,12*(YEAR($B$77)-YEAR($B$76))+MONTH($B$77)-MONTH($B$76)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*MIN(1,(12*(YEAR(V$3)-YEAR($B$76))+MONTH(V$3)-MONTH($B$76))/MAX(1,12*(YEAR($B$77)-YEAR($B$76))+MONTH($B$77)-MONTH($B$76)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*MIN(1,(12*(YEAR(W$3)-YEAR($B$76))+MONTH(W$3)-MONTH($B$76))/MAX(1,12*(YEAR($B$77)-YEAR($B$76))+MONTH($B$77)-MONTH($B$76)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*MIN(1,(12*(YEAR(X$3)-YEAR($B$76))+MONTH(X$3)-MONTH($B$76))/MAX(1,12*(YEAR($B$77)-YEAR($B$76))+MONTH($B$77)-MONTH($B$76)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*MIN(1,(12*(YEAR(Y$3)-YEAR($B$76))+MONTH(Y$3)-MONTH($B$76))/MAX(1,12*(YEAR($B$77)-YEAR($B$76))+MONTH($B$77)-MONTH($B$76)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*MIN(1,(12*(YEAR(Z$3)-YEAR($B$76))+MONTH(Z$3)-MONTH($B$76))/MAX(1,12*(YEAR($B$77)-YEAR($B$76))+MONTH($B$77)-MONTH($B$76)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*MIN(1,(12*(YEAR(AA$3)-YEAR($B$76))+MONTH(AA$3)-MONTH($B$76))/MAX(1,12*(YEAR($B$77)-YEAR($B$76))+MONTH($B$77)-MONTH($B$76)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*MIN(1,(12*(YEAR(AB$3)-YEAR($B$76))+MONTH(AB$3)-MONTH($B$76))/MAX(1,12*(YEAR($B$77)-YEAR($B$76))+MONTH($B$77)-MONTH($B$76)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*MIN(1,(12*(YEAR(AC$3)-YEAR($B$76))+MONTH(AC$3)-MONTH($B$76))/MAX(1,12*(YEAR($B$77)-YEAR($B$76))+MONTH($B$77)-MONTH($B$76)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*MIN(1,(12*(YEAR(AD$3)-YEAR($B$76))+MONTH(AD$3)-MONTH($B$76))/MAX(1,12*(YEAR($B$77)-YEAR($B$76))+MONTH($B$77)-MONTH($B$76)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*MIN(1,(12*(YEAR(AE$3)-YEAR($B$76))+MONTH(AE$3)-MONTH($B$76))/MAX(1,12*(YEAR($B$77)-YEAR($B$76))+MONTH($B$77)-MONTH($B$76)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*MIN(1,(12*(YEAR(AF$3)-YEAR($B$76))+MONTH(AF$3)-MONTH($B$76))/MAX(1,12*(YEAR($B$77)-YEAR($B$76))+MONTH($B$77)-MONTH($B$76)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*MIN(1,(12*(YEAR(AG$3)-YEAR($B$76))+MONTH(AG$3)-MONTH($B$76))/MAX(1,12*(YEAR($B$77)-YEAR($B$76))+MONTH($B$77)-MONTH($B$76)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*MIN(1,(12*(YEAR(AH$3)-YEAR($B$76))+MONTH(AH$3)-MONTH($B$76))/MAX(1,12*(YEAR($B$77)-YEAR($B$76))+MONTH($B$77)-MONTH($B$76)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*MIN(1,(12*(YEAR(AI$3)-YEAR($B$76))+MONTH(AI$3)-MONTH($B$76))/MAX(1,12*(YEAR($B$77)-YEAR($B$76))+MONTH($B$77)-MONTH($B$76)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*MIN(1,(12*(YEAR(AJ$3)-YEAR($B$76))+MONTH(AJ$3)-MONTH($B$76))/MAX(1,12*(YEAR($B$77)-YEAR($B$76))+MONTH($B$77)-MONTH($B$76)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*MIN(1,(12*(YEAR(AK$3)-YEAR($B$76))+MONTH(AK$3)-MONTH($B$76))/MAX(1,12*(YEAR($B$77)-YEAR($B$76))+MONTH($B$77)-MONTH($B$76)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*MIN(1,(12*(YEAR(AL$3)-YEAR($B$76))+MONTH(AL$3)-MONTH($B$76))/MAX(1,12*(YEAR($B$77)-YEAR($B$76))+MONTH($B$77)-MONTH($B$76)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*MIN(1,(12*(YEAR(AM$3)-YEAR($B$76))+MONTH(AM$3)-MONTH($B$76))/MAX(1,12*(YEAR($B$77)-YEAR($B$76))+MONTH($B$77)-MONTH($B$76)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*MIN(1,(12*(YEAR(AN$3)-YEAR($B$76))+MONTH(AN$3)-MONTH($B$76))/MAX(1,12*(YEAR($B$77)-YEAR($B$76))+MONTH($B$77)-MONTH($B$76)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*MIN(1,(12*(YEAR(AO$3)-YEAR($B$76))+MONTH(AO$3)-MONTH($B$76))/MAX(1,12*(YEAR($B$77)-YEAR($B$76))+MONTH($B$77)-MONTH($B$76)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*MIN(1,(12*(YEAR(AP$3)-YEAR($B$76))+MONTH(AP$3)-MONTH($B$76))/MAX(1,12*(YEAR($B$77)-YEAR($B$76))+MONTH($B$77)-MONTH($B$76)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*MIN(1,(12*(YEAR(AQ$3)-YEAR($B$76))+MONTH(AQ$3)-MONTH($B$76))/MAX(1,12*(YEAR($B$77)-YEAR($B$76))+MONTH($B$77)-MONTH($B$76)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*MIN(1,(12*(YEAR(AR$3)-YEAR($B$76))+MONTH(AR$3)-MONTH($B$76))/MAX(1,12*(YEAR($B$77)-YEAR($B$76))+MONTH($B$77)-MONTH($B$76)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*MIN(1,(12*(YEAR(AS$3)-YEAR($B$76))+MONTH(AS$3)-MONTH($B$76))/MAX(1,12*(YEAR($B$77)-YEAR($B$76))+MONTH($B$77)-MONTH($B$76)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*MIN(1,(12*(YEAR(AT$3)-YEAR($B$76))+MONTH(AT$3)-MONTH($B$76))/MAX(1,12*(YEAR($B$77)-YEAR($B$76))+MONTH($B$77)-MONTH($B$76)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*MIN(1,(12*(YEAR(AU$3)-YEAR($B$76))+MONTH(AU$3)-MONTH($B$76))/MAX(1,12*(YEAR($B$77)-YEAR($B$76))+MONTH($B$77)-MONTH($B$76)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*MIN(1,(12*(YEAR(AV$3)-YEAR($B$76))+MONTH(AV$3)-MONTH($B$76))/MAX(1,12*(YEAR($B$77)-YEAR($B$76))+MONTH($B$77)-MONTH($B$76)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*MIN(1,(12*(YEAR(AW$3)-YEAR($B$76))+MONTH(AW$3)-MONTH($B$76))/MAX(1,12*(YEAR($B$77)-YEAR($B$76))+MONTH($B$77)-MONTH($B$76)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*MIN(1,(12*(YEAR(AX$3)-YEAR($B$76))+MONTH(AX$3)-MONTH($B$76))/MAX(1,12*(YEAR($B$77)-YEAR($B$76))+MONTH($B$77)-MONTH($B$76)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*MIN(1,(12*(YEAR(AY$3)-YEAR($B$76))+MONTH(AY$3)-MONTH($B$76))/MAX(1,12*(YEAR($B$77)-YEAR($B$76))+MONTH($B$77)-MONTH($B$76)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*MIN(1,(12*(YEAR(AZ$3)-YEAR($B$76))+MONTH(AZ$3)-MONTH($B$76))/MAX(1,12*(YEAR($B$77)-YEAR($B$76))+MONTH($B$77)-MONTH($B$76)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*MIN(1,(12*(YEAR(BA$3)-YEAR($B$76))+MONTH(BA$3)-MONTH($B$76))/MAX(1,12*(YEAR($B$77)-YEAR($B$76))+MONTH($B$77)-MONTH($B$76)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*MIN(1,(12*(YEAR(BB$3)-YEAR($B$76))+MONTH(BB$3)-MONTH($B$76))/MAX(1,12*(YEAR($B$77)-YEAR($B$76))+MONTH($B$77)-MONTH($B$76)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*MIN(1,(12*(YEAR(BC$3)-YEAR($B$76))+MONTH(BC$3)-MONTH($B$76))/MAX(1,12*(YEAR($B$77)-YEAR($B$76))+MONTH($B$77)-MONTH($B$76)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*MIN(1,(12*(YEAR(BD$3)-YEAR($B$76))+MONTH(BD$3)-MONTH($B$76))/MAX(1,12*(YEAR($B$77)-YEAR($B$76))+MONTH($B$77)-MONTH($B$76)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*MIN(1,(12*(YEAR(BE$3)-YEAR($B$76))+MONTH(BE$3)-MONTH($B$76))/MAX(1,12*(YEAR($B$77)-YEAR($B$76))+MONTH($B$77)-MONTH($B$76)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*MIN(1,(12*(YEAR(BF$3)-YEAR($B$76))+MONTH(BF$3)-MONTH($B$76))/MAX(1,12*(YEAR($B$77)-YEAR($B$76))+MONTH($B$77)-MONTH($B$76)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*MIN(1,(12*(YEAR(BG$3)-YEAR($B$76))+MONTH(BG$3)-MONTH($B$76))/MAX(1,12*(YEAR($B$77)-YEAR($B$76))+MONTH($B$77)-MONTH($B$76)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*MIN(1,(12*(YEAR(BH$3)-YEAR($B$76))+MONTH(BH$3)-MONTH($B$76))/MAX(1,12*(YEAR($B$77)-YEAR($B$76))+MONTH($B$77)-MONTH($B$76)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*MIN(1,(12*(YEAR(BI$3)-YEAR($B$76))+MONTH(BI$3)-MONTH($B$76))/MAX(1,12*(YEAR($B$77)-YEAR($B$76))+MONTH($B$77)-MONTH($B$76)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*MIN(1,(12*(YEAR(BJ$3)-YEAR($B$76))+MONTH(BJ$3)-MONTH($B$76))/MAX(1,12*(YEAR($B$77)-YEAR($B$76))+MONTH($B$77)-MONTH($B$76)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*MIN(1,(12*(YEAR(BK$3)-YEAR($B$76))+MONTH(BK$3)-MONTH($B$76))/MAX(1,12*(YEAR($B$77)-YEAR($B$76))+MONTH($B$77)-MONTH($B$76)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*MIN(1,(12*(YEAR(BL$3)-YEAR($B$76))+MONTH(BL$3)-MONTH($B$76))/MAX(1,12*(YEAR($B$77)-YEAR($B$76))+MONTH($B$77)-MONTH($B$76)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*MIN(1,(12*(YEAR(BM$3)-YEAR($B$76))+MONTH(BM$3)-MONTH($B$76))/MAX(1,12*(YEAR($B$77)-YEAR($B$76))+MONTH($B$77)-MONTH($B$76)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*MIN(1,(12*(YEAR(BN$3)-YEAR($B$76))+MONTH(BN$3)-MONTH($B$76))/MAX(1,12*(YEAR($B$77)-YEAR($B$76))+MONTH($B$77)-MONTH($B$76)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*MIN(1,(12*(YEAR(BO$3)-YEAR($B$76))+MONTH(BO$3)-MONTH($B$76))/MAX(1,12*(YEAR($B$77)-YEAR($B$76))+MONTH($B$77)-MONTH($B$76)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*MIN(1,(12*(YEAR(BP$3)-YEAR($B$76))+MONTH(BP$3)-MONTH($B$76))/MAX(1,12*(YEAR($B$77)-YEAR($B$76))+MONTH($B$77)-MONTH($B$76)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*MIN(1,(12*(YEAR(BQ$3)-YEAR($B$76))+MONTH(BQ$3)-MONTH($B$76))/MAX(1,12*(YEAR($B$77)-YEAR($B$76))+MONTH($B$77)-MONTH($B$76)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*MIN(1,(12*(YEAR(BR$3)-YEAR($B$76))+MONTH(BR$3)-MONTH($B$76))/MAX(1,12*(YEAR($B$77)-YEAR($B$76))+MONTH($B$77)-MONTH($B$76)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*MIN(1,(12*(YEAR(BS$3)-YEAR($B$76))+MONTH(BS$3)-MONTH($B$76))/MAX(1,12*(YEAR($B$77)-YEAR($B$76))+MONTH($B$77)-MONTH($B$76)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*MIN(1,(12*(YEAR(BT$3)-YEAR($B$76))+MONTH(BT$3)-MONTH($B$76))/MAX(1,12*(YEAR($B$77)-YEAR($B$76))+MONTH($B$77)-MONTH($B$76)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*MIN(1,(12*(YEAR(BU$3)-YEAR($B$76))+MONTH(BU$3)-MONTH($B$76))/MAX(1,12*(YEAR($B$77)-YEAR($B$76))+MONTH($B$77)-MONTH($B$76)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*MIN(1,(12*(YEAR(BV$3)-YEAR($B$76))+MONTH(BV$3)-MONTH($B$76))/MAX(1,12*(YEAR($B$77)-YEAR($B$76))+MONTH($B$77)-MONTH($B$76)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*MIN(1,(12*(YEAR(BW$3)-YEAR($B$76))+MONTH(BW$3)-MONTH($B$76))/MAX(1,12*(YEAR($B$77)-YEAR($B$76))+MONTH($B$77)-MONTH($B$76)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*MIN(1,(12*(YEAR(BX$3)-YEAR($B$76))+MONTH(BX$3)-MONTH($B$76))/MAX(1,12*(YEAR($B$77)-YEAR($B$76))+MONTH($B$77)-MONTH($B$76)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*MIN(1,(12*(YEAR(BY$3)-YEAR($B$76))+MONTH(BY$3)-MONTH($B$76))/MAX(1,12*(YEAR($B$77)-YEAR($B$76))+MONTH($B$77)-MONTH($B$76)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*MIN(1,(12*(YEAR(BZ$3)-YEAR($B$76))+MONTH(BZ$3)-MONTH($B$76))/MAX(1,12*(YEAR($B$77)-YEAR($B$76))+MONTH($B$77)-MONTH($B$76)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*MIN(1,(12*(YEAR(CA$3)-YEAR($B$76))+MONTH(CA$3)-MONTH($B$76))/MAX(1,12*(YEAR($B$77)-YEAR($B$76))+MONTH($B$77)-MONTH($B$76)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*MIN(1,(12*(YEAR(CB$3)-YEAR($B$76))+MONTH(CB$3)-MONTH($B$76))/MAX(1,12*(YEAR($B$77)-YEAR($B$76))+MONTH($B$77)-MONTH($B$76)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*MIN(1,(12*(YEAR(CC$3)-YEAR($B$76))+MONTH(CC$3)-MONTH($B$76))/MAX(1,12*(YEAR($B$77)-YEAR($B$76))+MONTH($B$77)-MONTH($B$76)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*MIN(1,(12*(YEAR(CD$3)-YEAR($B$76))+MONTH(CD$3)-MONTH($B$76))/MAX(1,12*(YEAR($B$77)-YEAR($B$76))+MONTH($B$77)-MONTH($B$76)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*MIN(1,(12*(YEAR(CE$3)-YEAR($B$76))+MONTH(CE$3)-MONTH($B$76))/MAX(1,12*(YEAR($B$77)-YEAR($B$76))+MONTH($B$77)-MONTH($B$76)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*MIN(1,(12*(YEAR(CF$3)-YEAR($B$76))+MONTH(CF$3)-MONTH($B$76))/MAX(1,12*(YEAR($B$77)-YEAR($B$76))+MONTH($B$77)-MONTH($B$76)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*MIN(1,(12*(YEAR(CG$3)-YEAR($B$76))+MONTH(CG$3)-MONTH($B$76))/MAX(1,12*(YEAR($B$77)-YEAR($B$76))+MONTH($B$77)-MONTH($B$76)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*MIN(1,(12*(YEAR(CH$3)-YEAR($B$76))+MONTH(CH$3)-MONTH($B$76))/MAX(1,12*(YEAR($B$77)-YEAR($B$76))+MONTH($B$77)-MONTH($B$76)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*MIN(1,(12*(YEAR(CI$3)-YEAR($B$76))+MONTH(CI$3)-MONTH($B$76))/MAX(1,12*(YEAR($B$77)-YEAR($B$76))+MONTH($B$77)-MONTH($B$76)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*MIN(1,(12*(YEAR(CJ$3)-YEAR($B$76))+MONTH(CJ$3)-MONTH($B$76))/MAX(1,12*(YEAR($B$77)-YEAR($B$76))+MONTH($B$77)-MONTH($B$76)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*MIN(1,(12*(YEAR(CK$3)-YEAR($B$76))+MONTH(CK$3)-MONTH($B$76))/MAX(1,12*(YEAR($B$77)-YEAR($B$76))+MONTH($B$77)-MONTH($B$76)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*MIN(1,(12*(YEAR(CL$3)-YEAR($B$76))+MONTH(CL$3)-MONTH($B$76))/MAX(1,12*(YEAR($B$77)-YEAR($B$76))+MONTH($B$77)-MONTH($B$76)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*MIN(1,(12*(YEAR(CM$3)-YEAR($B$76))+MONTH(CM$3)-MONTH($B$76))/MAX(1,12*(YEAR($B$77)-YEAR($B$76))+MONTH($B$77)-MONTH($B$76)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*MIN(1,(12*(YEAR(CN$3)-YEAR($B$76))+MONTH(CN$3)-MONTH($B$76))/MAX(1,12*(YEAR($B$77)-YEAR($B$76))+MONTH($B$77)-MONTH($B$76)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*MIN(1,(12*(YEAR(CO$3)-YEAR($B$76))+MONTH(CO$3)-MONTH($B$76))/MAX(1,12*(YEAR($B$77)-YEAR($B$76))+MONTH($B$77)-MONTH($B$76)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*MIN(1,(12*(YEAR(CP$3)-YEAR($B$76))+MONTH(CP$3)-MONTH($B$76))/MAX(1,12*(YEAR($B$77)-YEAR($B$76))+MONTH($B$77)-MONTH($B$76)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*MIN(1,(12*(YEAR(CQ$3)-YEAR($B$76))+MONTH(CQ$3)-MONTH($B$76))/MAX(1,12*(YEAR($B$77)-YEAR($B$76))+MONTH($B$77)-MONTH($B$76)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*MIN(1,(12*(YEAR(CR$3)-YEAR($B$76))+MONTH(CR$3)-MONTH($B$76))/MAX(1,12*(YEAR($B$77)-YEAR($B$76))+MONTH($B$77)-MONTH($B$76)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*MIN(1,(12*(YEAR(CS$3)-YEAR($B$76))+MONTH(CS$3)-MONTH($B$76))/MAX(1,12*(YEAR($B$77)-YEAR($B$76))+MONTH($B$77)-MONTH($B$76)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*MIN(1,(12*(YEAR(CT$3)-YEAR($B$76))+MONTH(CT$3)-MONTH($B$76))/MAX(1,12*(YEAR($B$77)-YEAR($B$76))+MONTH($B$77)-MONTH($B$76)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*MIN(1,(12*(YEAR(CU$3)-YEAR($B$76))+MONTH(CU$3)-MONTH($B$76))/MAX(1,12*(YEAR($B$77)-YEAR($B$76))+MONTH($B$77)-MONTH($B$76)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*MIN(1,(12*(YEAR(CV$3)-YEAR($B$76))+MONTH(CV$3)-MONTH($B$76))/MAX(1,12*(YEAR($B$77)-YEAR($B$76))+MONTH($B$77)-MONTH($B$76)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*MIN(1,(12*(YEAR(CW$3)-YEAR($B$76))+MONTH(CW$3)-MONTH($B$76))/MAX(1,12*(YEAR($B$77)-YEAR($B$76))+MONTH($B$77)-MONTH($B$76)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*MIN(1,(12*(YEAR(CX$3)-YEAR($B$76))+MONTH(CX$3)-MONTH($B$76))/MAX(1,12*(YEAR($B$77)-YEAR($B$76))+MONTH($B$77)-MONTH($B$76)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*MIN(1,(12*(YEAR(CY$3)-YEAR($B$76))+MONTH(CY$3)-MONTH($B$76))/MAX(1,12*(YEAR($B$77)-YEAR($B$76))+MONTH($B$77)-MONTH($B$76)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*MIN(1,(12*(YEAR(CZ$3)-YEAR($B$76))+MONTH(CZ$3)-MONTH($B$76))/MAX(1,12*(YEAR($B$77)-YEAR($B$76))+MONTH($B$77)-MONTH($B$76)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*MIN(1,(12*(YEAR(DA$3)-YEAR($B$76))+MONTH(DA$3)-MONTH($B$76))/MAX(1,12*(YEAR($B$77)-YEAR($B$76))+MONTH($B$77)-MONTH($B$76)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*MIN(1,(12*(YEAR(DB$3)-YEAR($B$76))+MONTH(DB$3)-MONTH($B$76))/MAX(1,12*(YEAR($B$77)-YEAR($B$76))+MONTH($B$77)-MONTH($B$76)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*MIN(1,(12*(YEAR(DC$3)-YEAR($B$76))+MONTH(DC$3)-MONTH($B$76))/MAX(1,12*(YEAR($B$77)-YEAR($B$76))+MONTH($B$77)-MONTH($B$76)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*MIN(1,(12*(YEAR(DD$3)-YEAR($B$76))+MONTH(DD$3)-MONTH($B$76))/MAX(1,12*(YEAR($B$77)-YEAR($B$76))+MONTH($B$77)-MONTH($B$76)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*MIN(1,(12*(YEAR(DE$3)-YEAR($B$76))+MONTH(DE$3)-MONTH($B$76))/MAX(1,12*(YEAR($B$77)-YEAR($B$76))+MONTH($B$77)-MONTH($B$76)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*MIN(1,(12*(YEAR(DF$3)-YEAR($B$76))+MONTH(DF$3)-MONTH($B$76))/MAX(1,12*(YEAR($B$77)-YEAR($B$76))+MONTH($B$77)-MONTH($B$76)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*MIN(1,(12*(YEAR(DG$3)-YEAR($B$76))+MONTH(DG$3)-MONTH($B$76))/MAX(1,12*(YEAR($B$77)-YEAR($B$76))+MONTH($B$77)-MONTH($B$76)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*MIN(1,(12*(YEAR(DH$3)-YEAR($B$76))+MONTH(DH$3)-MONTH($B$76))/MAX(1,12*(YEAR($B$77)-YEAR($B$76))+MONTH($B$77)-MONTH($B$76)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*MIN(1,(12*(YEAR(DI$3)-YEAR($B$76))+MONTH(DI$3)-MONTH($B$76))/MAX(1,12*(YEAR($B$77)-YEAR($B$76))+MONTH($B$77)-MONTH($B$76)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*MIN(1,(12*(YEAR(DJ$3)-YEAR($B$76))+MONTH(DJ$3)-MONTH($B$76))/MAX(1,12*(YEAR($B$77)-YEAR($B$76))+MONTH($B$77)-MONTH($B$76)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*MIN(1,(12*(YEAR(DK$3)-YEAR($B$76))+MONTH(DK$3)-MONTH($B$76))/MAX(1,12*(YEAR($B$77)-YEAR($B$76))+MONTH($B$77)-MONTH($B$76)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*MIN(1,(12*(YEAR(DL$3)-YEAR($B$76))+MONTH(DL$3)-MONTH($B$76))/MAX(1,12*(YEAR($B$77)-YEAR($B$76))+MONTH($B$77)-MONTH($B$76)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*MIN(1,(12*(YEAR(DM$3)-YEAR($B$76))+MONTH(DM$3)-MONTH($B$76))/MAX(1,12*(YEAR($B$77)-YEAR($B$76))+MONTH($B$77)-MONTH($B$76)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*MIN(1,(12*(YEAR(DN$3)-YEAR($B$76))+MONTH(DN$3)-MONTH($B$76))/MAX(1,12*(YEAR($B$77)-YEAR($B$76))+MONTH($B$77)-MONTH($B$76)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*MIN(1,(12*(YEAR(DO$3)-YEAR($B$76))+MONTH(DO$3)-MONTH($B$76))/MAX(1,12*(YEAR($B$77)-YEAR($B$76))+MONTH($B$77)-MONTH($B$76)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*MIN(1,(12*(YEAR(DP$3)-YEAR($B$76))+MONTH(DP$3)-MONTH($B$76))/MAX(1,12*(YEAR($B$77)-YEAR($B$76))+MONTH($B$77)-MONTH($B$76)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*MIN(1,(12*(YEAR(DQ$3)-YEAR($B$76))+MONTH(DQ$3)-MONTH($B$76))/MAX(1,12*(YEAR($B$77)-YEAR($B$76))+MONTH($B$77)-MONTH($B$76)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*MIN(1,(12*(YEAR(DR$3)-YEAR($B$76))+MONTH(DR$3)-MONTH($B$76))/MAX(1,12*(YEAR($B$77)-YEAR($B$76))+MONTH($B$77)-MONTH($B$76)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*MIN(1,(12*(YEAR(DS$3)-YEAR($B$76))+MONTH(DS$3)-MONTH($B$76))/MAX(1,12*(YEAR($B$77)-YEAR($B$76))+MONTH($B$77)-MONTH($B$76)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(B21+B22+B31+'ОБЪЕКТЫ'!$B$96)*'Вводные'!$B$53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(SUM(B16:B24)+B26)*'Вводные'!$B$52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(B21+B22+B31+'ОБЪЕКТЫ'!$B$96)*'Вводные'!$B$50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(SUM(B15:B29)+B31+'ОБЪЕКТЫ'!$B$96)*'Вводные'!$B$54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(B55+B56+B65+'ОБЪЕКТЫ'!$B$104)*'Вводные'!$B$53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(SUM(B50:B58)+B60)*'Вводные'!$B$52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(B55+B56+B65+'ОБЪЕКТЫ'!$B$104)*'Вводные'!$B$50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(SUM(B49:B63)+B65+'ОБЪЕКТЫ'!$B$104)*'Вводные'!$B$54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(B89+B90+B99+'ОБЪЕКТЫ'!$B$112)*'Вводные'!$B$53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(SUM(B84:B92)+B94)*'Вводные'!$B$52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(B89+B90+B99+'ОБЪЕКТЫ'!$B$112)*'Вводные'!$B$50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(SUM(B83:B97)+B99+'ОБЪЕКТЫ'!$B$112)*'Вводные'!$B$54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(B123+B124+B133+'ОБЪЕКТЫ'!$B$120)*'Вводные'!$B$53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(SUM(B118:B126)+B128)*'Вводные'!$B$52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(B123+B124+B133+'ОБЪЕКТЫ'!$B$120)*'Вводные'!$B$50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(SUM(B117:B131)+B133+'ОБЪЕКТЫ'!$B$120)*'Вводные'!$B$54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E21" s="117" t="n">
        <x:f>IF(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F21" s="117" t="n">
        <x:f>IF(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G21" s="117" t="n">
        <x:f>IF(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H21" s="117" t="n">
        <x:f>IF(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I21" s="117" t="n">
        <x:f>IF(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J21" s="117" t="n">
        <x:f>IF(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K21" s="117" t="n">
        <x:f>IF(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L21" s="117" t="n">
        <x:f>IF(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M21" s="117" t="n">
        <x:f>IF(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N21" s="117" t="n">
        <x:f>IF(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O21" s="117" t="n">
        <x:f>IF(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P21" s="117" t="n">
        <x:f>IF(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Q21" s="117" t="n">
        <x:f>IF(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R21" s="117" t="n">
        <x:f>IF(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S21" s="117" t="n">
        <x:f>IF(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T21" s="117" t="n">
        <x:f>IF(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U21" s="117" t="n">
        <x:f>IF(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V21" s="117" t="n">
        <x:f>IF(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W21" s="117" t="n">
        <x:f>IF(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X21" s="117" t="n">
        <x:f>IF(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Y21" s="117" t="n">
        <x:f>IF(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Z21" s="117" t="n">
        <x:f>IF(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A21" s="117" t="n">
        <x:f>IF(A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B21" s="117" t="n">
        <x:f>IF(A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C21" s="117" t="n">
        <x:f>IF(A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D21" s="117" t="n">
        <x:f>IF(A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E21" s="117" t="n">
        <x:f>IF(A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F21" s="117" t="n">
        <x:f>IF(A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G21" s="117" t="n">
        <x:f>IF(A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H21" s="117" t="n">
        <x:f>IF(A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I21" s="117" t="n">
        <x:f>IF(A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J21" s="117" t="n">
        <x:f>IF(A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K21" s="117" t="n">
        <x:f>IF(A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L21" s="117" t="n">
        <x:f>IF(A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M21" s="117" t="n">
        <x:f>IF(A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N21" s="117" t="n">
        <x:f>IF(A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O21" s="117" t="n">
        <x:f>IF(A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P21" s="117" t="n">
        <x:f>IF(A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Q21" s="117" t="n">
        <x:f>IF(A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R21" s="117" t="n">
        <x:f>IF(A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S21" s="117" t="n">
        <x:f>IF(A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T21" s="117" t="n">
        <x:f>IF(A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U21" s="117" t="n">
        <x:f>IF(A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V21" s="117" t="n">
        <x:f>IF(A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W21" s="117" t="n">
        <x:f>IF(A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X21" s="117" t="n">
        <x:f>IF(A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Y21" s="117" t="n">
        <x:f>IF(A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AZ21" s="117" t="n">
        <x:f>IF(A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A21" s="117" t="n">
        <x:f>IF(B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B21" s="117" t="n">
        <x:f>IF(B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C21" s="117" t="n">
        <x:f>IF(B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D21" s="117" t="n">
        <x:f>IF(B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E21" s="117" t="n">
        <x:f>IF(B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F21" s="117" t="n">
        <x:f>IF(B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G21" s="117" t="n">
        <x:f>IF(B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H21" s="117" t="n">
        <x:f>IF(B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I21" s="117" t="n">
        <x:f>IF(B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J21" s="117" t="n">
        <x:f>IF(B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K21" s="117" t="n">
        <x:f>IF(B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L21" s="117" t="n">
        <x:f>IF(B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M21" s="117" t="n">
        <x:f>IF(B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N21" s="117" t="n">
        <x:f>IF(B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O21" s="117" t="n">
        <x:f>IF(B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P21" s="117" t="n">
        <x:f>IF(B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Q21" s="117" t="n">
        <x:f>IF(B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R21" s="117" t="n">
        <x:f>IF(B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S21" s="117" t="n">
        <x:f>IF(B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T21" s="117" t="n">
        <x:f>IF(B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U21" s="117" t="n">
        <x:f>IF(B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V21" s="117" t="n">
        <x:f>IF(B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W21" s="117" t="n">
        <x:f>IF(B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X21" s="117" t="n">
        <x:f>IF(B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Y21" s="117" t="n">
        <x:f>IF(B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BZ21" s="117" t="n">
        <x:f>IF(B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A21" s="117" t="n">
        <x:f>IF(C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B21" s="117" t="n">
        <x:f>IF(C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C21" s="117" t="n">
        <x:f>IF(C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D21" s="117" t="n">
        <x:f>IF(C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E21" s="117" t="n">
        <x:f>IF(C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F21" s="117" t="n">
        <x:f>IF(C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G21" s="117" t="n">
        <x:f>IF(C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H21" s="117" t="n">
        <x:f>IF(C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I21" s="117" t="n">
        <x:f>IF(C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J21" s="117" t="n">
        <x:f>IF(C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K21" s="117" t="n">
        <x:f>IF(C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L21" s="117" t="n">
        <x:f>IF(C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M21" s="117" t="n">
        <x:f>IF(C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N21" s="117" t="n">
        <x:f>IF(C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O21" s="117" t="n">
        <x:f>IF(C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P21" s="117" t="n">
        <x:f>IF(C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Q21" s="117" t="n">
        <x:f>IF(C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R21" s="117" t="n">
        <x:f>IF(C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S21" s="117" t="n">
        <x:f>IF(C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T21" s="117" t="n">
        <x:f>IF(CT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U21" s="117" t="n">
        <x:f>IF(CU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V21" s="117" t="n">
        <x:f>IF(CV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W21" s="117" t="n">
        <x:f>IF(CW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X21" s="117" t="n">
        <x:f>IF(CX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Y21" s="117" t="n">
        <x:f>IF(CY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CZ21" s="117" t="n">
        <x:f>IF(CZ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A21" s="117" t="n">
        <x:f>IF(DA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B21" s="117" t="n">
        <x:f>IF(DB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C21" s="117" t="n">
        <x:f>IF(DC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D21" s="117" t="n">
        <x:f>IF(DD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E21" s="117" t="n">
        <x:f>IF(DE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F21" s="117" t="n">
        <x:f>IF(DF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G21" s="117" t="n">
        <x:f>IF(DG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H21" s="117" t="n">
        <x:f>IF(DH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I21" s="117" t="n">
        <x:f>IF(DI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J21" s="117" t="n">
        <x:f>IF(DJ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K21" s="117" t="n">
        <x:f>IF(DK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L21" s="117" t="n">
        <x:f>IF(DL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M21" s="117" t="n">
        <x:f>IF(DM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N21" s="117" t="n">
        <x:f>IF(DN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O21" s="117" t="n">
        <x:f>IF(DO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P21" s="117" t="n">
        <x:f>IF(DP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Q21" s="117" t="n">
        <x:f>IF(DQ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R21" s="117" t="n">
        <x:f>IF(DR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  <x:c r="DS21" s="117" t="n">
        <x:f>IF(DS$3=$B$8,MAX(0,(SUM($D$10:$DS$10)-SUM('Продажи'!$D$16:$DS$16))*('Вводные'!$B$22/(1+'Вводные'!$B$22))-(SUM($D$20:$DS$20)-'Вводные'!$B$15*'Вводные'!$P$88-'Вводные'!$B$16*'Вводные'!$Q$88)*('Вводные'!$B$22/(1+'Вводные'!$B$22))*IFERROR((SUM($D$10:$DS$10)-SUM('Продажи'!$D$16:$DS$16)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$96)*('Продажи'!D14+'Продажи'!D17+'Продажи'!D20+'Продажи'!D23)/(SUM('Продажи'!$D$14:$DS$14)+SUM('Продажи'!$D$17:$DS$17)+SUM('Продажи'!$D$20:$DS$20)+SUM('Продажи'!$D$23:$DS$23)),0)-IF('ОБЪЕКТЫ'!$B$8=1,IFERROR('ОБЪЕКТЫ'!$B$28*'ОБЪЕКТЫ'!D22/'ОБЪЕКТЫ'!$B$22,0),0)-IF('ОБЪЕКТЫ'!$B$36=1,IFERROR('ОБЪЕКТЫ'!$B$56*'ОБЪЕКТЫ'!D50/'ОБЪЕКТЫ'!$B$50,0),0)-IF('ОБЪЕКТЫ'!$B$64=1,IFERROR('ОБЪЕКТЫ'!$B$84*'ОБЪЕКТЫ'!D78/'ОБЪЕКТЫ'!$B$78,0),0)-D53-D57-D21</x:f>
      </x:c>
      <x:c r="E22" s="117">
        <x:f>E10-IFERROR((SUM($D$20:$DS$20)-'ОБЪЕКТЫ'!$B$96)*('Продажи'!E14+'Продажи'!E17+'Продажи'!E20+'Продажи'!E23)/(SUM('Продажи'!$D$14:$DS$14)+SUM('Продажи'!$D$17:$DS$17)+SUM('Продажи'!$D$20:$DS$20)+SUM('Продажи'!$D$23:$DS$23)),0)-IF('ОБЪЕКТЫ'!$B$8=1,IFERROR('ОБЪЕКТЫ'!$B$28*'ОБЪЕКТЫ'!E22/'ОБЪЕКТЫ'!$B$22,0),0)-IF('ОБЪЕКТЫ'!$B$36=1,IFERROR('ОБЪЕКТЫ'!$B$56*'ОБЪЕКТЫ'!E50/'ОБЪЕКТЫ'!$B$50,0),0)-IF('ОБЪЕКТЫ'!$B$64=1,IFERROR('ОБЪЕКТЫ'!$B$84*'ОБЪЕКТЫ'!E78/'ОБЪЕКТЫ'!$B$78,0),0)-E53-E57-E21</x:f>
      </x:c>
      <x:c r="F22" s="117">
        <x:f>F10-IFERROR((SUM($D$20:$DS$20)-'ОБЪЕКТЫ'!$B$96)*('Продажи'!F14+'Продажи'!F17+'Продажи'!F20+'Продажи'!F23)/(SUM('Продажи'!$D$14:$DS$14)+SUM('Продажи'!$D$17:$DS$17)+SUM('Продажи'!$D$20:$DS$20)+SUM('Продажи'!$D$23:$DS$23)),0)-IF('ОБЪЕКТЫ'!$B$8=1,IFERROR('ОБЪЕКТЫ'!$B$28*'ОБЪЕКТЫ'!F22/'ОБЪЕКТЫ'!$B$22,0),0)-IF('ОБЪЕКТЫ'!$B$36=1,IFERROR('ОБЪЕКТЫ'!$B$56*'ОБЪЕКТЫ'!F50/'ОБЪЕКТЫ'!$B$50,0),0)-IF('ОБЪЕКТЫ'!$B$64=1,IFERROR('ОБЪЕКТЫ'!$B$84*'ОБЪЕКТЫ'!F78/'ОБЪЕКТЫ'!$B$78,0),0)-F53-F57-F21</x:f>
      </x:c>
      <x:c r="G22" s="117">
        <x:f>G10-IFERROR((SUM($D$20:$DS$20)-'ОБЪЕКТЫ'!$B$96)*('Продажи'!G14+'Продажи'!G17+'Продажи'!G20+'Продажи'!G23)/(SUM('Продажи'!$D$14:$DS$14)+SUM('Продажи'!$D$17:$DS$17)+SUM('Продажи'!$D$20:$DS$20)+SUM('Продажи'!$D$23:$DS$23)),0)-IF('ОБЪЕКТЫ'!$B$8=1,IFERROR('ОБЪЕКТЫ'!$B$28*'ОБЪЕКТЫ'!G22/'ОБЪЕКТЫ'!$B$22,0),0)-IF('ОБЪЕКТЫ'!$B$36=1,IFERROR('ОБЪЕКТЫ'!$B$56*'ОБЪЕКТЫ'!G50/'ОБЪЕКТЫ'!$B$50,0),0)-IF('ОБЪЕКТЫ'!$B$64=1,IFERROR('ОБЪЕКТЫ'!$B$84*'ОБЪЕКТЫ'!G78/'ОБЪЕКТЫ'!$B$78,0),0)-G53-G57-G21</x:f>
      </x:c>
      <x:c r="H22" s="117">
        <x:f>H10-IFERROR((SUM($D$20:$DS$20)-'ОБЪЕКТЫ'!$B$96)*('Продажи'!H14+'Продажи'!H17+'Продажи'!H20+'Продажи'!H23)/(SUM('Продажи'!$D$14:$DS$14)+SUM('Продажи'!$D$17:$DS$17)+SUM('Продажи'!$D$20:$DS$20)+SUM('Продажи'!$D$23:$DS$23)),0)-IF('ОБЪЕКТЫ'!$B$8=1,IFERROR('ОБЪЕКТЫ'!$B$28*'ОБЪЕКТЫ'!H22/'ОБЪЕКТЫ'!$B$22,0),0)-IF('ОБЪЕКТЫ'!$B$36=1,IFERROR('ОБЪЕКТЫ'!$B$56*'ОБЪЕКТЫ'!H50/'ОБЪЕКТЫ'!$B$50,0),0)-IF('ОБЪЕКТЫ'!$B$64=1,IFERROR('ОБЪЕКТЫ'!$B$84*'ОБЪЕКТЫ'!H78/'ОБЪЕКТЫ'!$B$78,0),0)-H53-H57-H21</x:f>
      </x:c>
      <x:c r="I22" s="117">
        <x:f>I10-IFERROR((SUM($D$20:$DS$20)-'ОБЪЕКТЫ'!$B$96)*('Продажи'!I14+'Продажи'!I17+'Продажи'!I20+'Продажи'!I23)/(SUM('Продажи'!$D$14:$DS$14)+SUM('Продажи'!$D$17:$DS$17)+SUM('Продажи'!$D$20:$DS$20)+SUM('Продажи'!$D$23:$DS$23)),0)-IF('ОБЪЕКТЫ'!$B$8=1,IFERROR('ОБЪЕКТЫ'!$B$28*'ОБЪЕКТЫ'!I22/'ОБЪЕКТЫ'!$B$22,0),0)-IF('ОБЪЕКТЫ'!$B$36=1,IFERROR('ОБЪЕКТЫ'!$B$56*'ОБЪЕКТЫ'!I50/'ОБЪЕКТЫ'!$B$50,0),0)-IF('ОБЪЕКТЫ'!$B$64=1,IFERROR('ОБЪЕКТЫ'!$B$84*'ОБЪЕКТЫ'!I78/'ОБЪЕКТЫ'!$B$78,0),0)-I53-I57-I21</x:f>
      </x:c>
      <x:c r="J22" s="117">
        <x:f>J10-IFERROR((SUM($D$20:$DS$20)-'ОБЪЕКТЫ'!$B$96)*('Продажи'!J14+'Продажи'!J17+'Продажи'!J20+'Продажи'!J23)/(SUM('Продажи'!$D$14:$DS$14)+SUM('Продажи'!$D$17:$DS$17)+SUM('Продажи'!$D$20:$DS$20)+SUM('Продажи'!$D$23:$DS$23)),0)-IF('ОБЪЕКТЫ'!$B$8=1,IFERROR('ОБЪЕКТЫ'!$B$28*'ОБЪЕКТЫ'!J22/'ОБЪЕКТЫ'!$B$22,0),0)-IF('ОБЪЕКТЫ'!$B$36=1,IFERROR('ОБЪЕКТЫ'!$B$56*'ОБЪЕКТЫ'!J50/'ОБЪЕКТЫ'!$B$50,0),0)-IF('ОБЪЕКТЫ'!$B$64=1,IFERROR('ОБЪЕКТЫ'!$B$84*'ОБЪЕКТЫ'!J78/'ОБЪЕКТЫ'!$B$78,0),0)-J53-J57-J21</x:f>
      </x:c>
      <x:c r="K22" s="117">
        <x:f>K10-IFERROR((SUM($D$20:$DS$20)-'ОБЪЕКТЫ'!$B$96)*('Продажи'!K14+'Продажи'!K17+'Продажи'!K20+'Продажи'!K23)/(SUM('Продажи'!$D$14:$DS$14)+SUM('Продажи'!$D$17:$DS$17)+SUM('Продажи'!$D$20:$DS$20)+SUM('Продажи'!$D$23:$DS$23)),0)-IF('ОБЪЕКТЫ'!$B$8=1,IFERROR('ОБЪЕКТЫ'!$B$28*'ОБЪЕКТЫ'!K22/'ОБЪЕКТЫ'!$B$22,0),0)-IF('ОБЪЕКТЫ'!$B$36=1,IFERROR('ОБЪЕКТЫ'!$B$56*'ОБЪЕКТЫ'!K50/'ОБЪЕКТЫ'!$B$50,0),0)-IF('ОБЪЕКТЫ'!$B$64=1,IFERROR('ОБЪЕКТЫ'!$B$84*'ОБЪЕКТЫ'!K78/'ОБЪЕКТЫ'!$B$78,0),0)-K53-K57-K21</x:f>
      </x:c>
      <x:c r="L22" s="117">
        <x:f>L10-IFERROR((SUM($D$20:$DS$20)-'ОБЪЕКТЫ'!$B$96)*('Продажи'!L14+'Продажи'!L17+'Продажи'!L20+'Продажи'!L23)/(SUM('Продажи'!$D$14:$DS$14)+SUM('Продажи'!$D$17:$DS$17)+SUM('Продажи'!$D$20:$DS$20)+SUM('Продажи'!$D$23:$DS$23)),0)-IF('ОБЪЕКТЫ'!$B$8=1,IFERROR('ОБЪЕКТЫ'!$B$28*'ОБЪЕКТЫ'!L22/'ОБЪЕКТЫ'!$B$22,0),0)-IF('ОБЪЕКТЫ'!$B$36=1,IFERROR('ОБЪЕКТЫ'!$B$56*'ОБЪЕКТЫ'!L50/'ОБЪЕКТЫ'!$B$50,0),0)-IF('ОБЪЕКТЫ'!$B$64=1,IFERROR('ОБЪЕКТЫ'!$B$84*'ОБЪЕКТЫ'!L78/'ОБЪЕКТЫ'!$B$78,0),0)-L53-L57-L21</x:f>
      </x:c>
      <x:c r="M22" s="117">
        <x:f>M10-IFERROR((SUM($D$20:$DS$20)-'ОБЪЕКТЫ'!$B$96)*('Продажи'!M14+'Продажи'!M17+'Продажи'!M20+'Продажи'!M23)/(SUM('Продажи'!$D$14:$DS$14)+SUM('Продажи'!$D$17:$DS$17)+SUM('Продажи'!$D$20:$DS$20)+SUM('Продажи'!$D$23:$DS$23)),0)-IF('ОБЪЕКТЫ'!$B$8=1,IFERROR('ОБЪЕКТЫ'!$B$28*'ОБЪЕКТЫ'!M22/'ОБЪЕКТЫ'!$B$22,0),0)-IF('ОБЪЕКТЫ'!$B$36=1,IFERROR('ОБЪЕКТЫ'!$B$56*'ОБЪЕКТЫ'!M50/'ОБЪЕКТЫ'!$B$50,0),0)-IF('ОБЪЕКТЫ'!$B$64=1,IFERROR('ОБЪЕКТЫ'!$B$84*'ОБЪЕКТЫ'!M78/'ОБЪЕКТЫ'!$B$78,0),0)-M53-M57-M21</x:f>
      </x:c>
      <x:c r="N22" s="117">
        <x:f>N10-IFERROR((SUM($D$20:$DS$20)-'ОБЪЕКТЫ'!$B$96)*('Продажи'!N14+'Продажи'!N17+'Продажи'!N20+'Продажи'!N23)/(SUM('Продажи'!$D$14:$DS$14)+SUM('Продажи'!$D$17:$DS$17)+SUM('Продажи'!$D$20:$DS$20)+SUM('Продажи'!$D$23:$DS$23)),0)-IF('ОБЪЕКТЫ'!$B$8=1,IFERROR('ОБЪЕКТЫ'!$B$28*'ОБЪЕКТЫ'!N22/'ОБЪЕКТЫ'!$B$22,0),0)-IF('ОБЪЕКТЫ'!$B$36=1,IFERROR('ОБЪЕКТЫ'!$B$56*'ОБЪЕКТЫ'!N50/'ОБЪЕКТЫ'!$B$50,0),0)-IF('ОБЪЕКТЫ'!$B$64=1,IFERROR('ОБЪЕКТЫ'!$B$84*'ОБЪЕКТЫ'!N78/'ОБЪЕКТЫ'!$B$78,0),0)-N53-N57-N21</x:f>
      </x:c>
      <x:c r="O22" s="117">
        <x:f>O10-IFERROR((SUM($D$20:$DS$20)-'ОБЪЕКТЫ'!$B$96)*('Продажи'!O14+'Продажи'!O17+'Продажи'!O20+'Продажи'!O23)/(SUM('Продажи'!$D$14:$DS$14)+SUM('Продажи'!$D$17:$DS$17)+SUM('Продажи'!$D$20:$DS$20)+SUM('Продажи'!$D$23:$DS$23)),0)-IF('ОБЪЕКТЫ'!$B$8=1,IFERROR('ОБЪЕКТЫ'!$B$28*'ОБЪЕКТЫ'!O22/'ОБЪЕКТЫ'!$B$22,0),0)-IF('ОБЪЕКТЫ'!$B$36=1,IFERROR('ОБЪЕКТЫ'!$B$56*'ОБЪЕКТЫ'!O50/'ОБЪЕКТЫ'!$B$50,0),0)-IF('ОБЪЕКТЫ'!$B$64=1,IFERROR('ОБЪЕКТЫ'!$B$84*'ОБЪЕКТЫ'!O78/'ОБЪЕКТЫ'!$B$78,0),0)-O53-O57-O21</x:f>
      </x:c>
      <x:c r="P22" s="117">
        <x:f>P10-IFERROR((SUM($D$20:$DS$20)-'ОБЪЕКТЫ'!$B$96)*('Продажи'!P14+'Продажи'!P17+'Продажи'!P20+'Продажи'!P23)/(SUM('Продажи'!$D$14:$DS$14)+SUM('Продажи'!$D$17:$DS$17)+SUM('Продажи'!$D$20:$DS$20)+SUM('Продажи'!$D$23:$DS$23)),0)-IF('ОБЪЕКТЫ'!$B$8=1,IFERROR('ОБЪЕКТЫ'!$B$28*'ОБЪЕКТЫ'!P22/'ОБЪЕКТЫ'!$B$22,0),0)-IF('ОБЪЕКТЫ'!$B$36=1,IFERROR('ОБЪЕКТЫ'!$B$56*'ОБЪЕКТЫ'!P50/'ОБЪЕКТЫ'!$B$50,0),0)-IF('ОБЪЕКТЫ'!$B$64=1,IFERROR('ОБЪЕКТЫ'!$B$84*'ОБЪЕКТЫ'!P78/'ОБЪЕКТЫ'!$B$78,0),0)-P53-P57-P21</x:f>
      </x:c>
      <x:c r="Q22" s="117">
        <x:f>Q10-IFERROR((SUM($D$20:$DS$20)-'ОБЪЕКТЫ'!$B$96)*('Продажи'!Q14+'Продажи'!Q17+'Продажи'!Q20+'Продажи'!Q23)/(SUM('Продажи'!$D$14:$DS$14)+SUM('Продажи'!$D$17:$DS$17)+SUM('Продажи'!$D$20:$DS$20)+SUM('Продажи'!$D$23:$DS$23)),0)-IF('ОБЪЕКТЫ'!$B$8=1,IFERROR('ОБЪЕКТЫ'!$B$28*'ОБЪЕКТЫ'!Q22/'ОБЪЕКТЫ'!$B$22,0),0)-IF('ОБЪЕКТЫ'!$B$36=1,IFERROR('ОБЪЕКТЫ'!$B$56*'ОБЪЕКТЫ'!Q50/'ОБЪЕКТЫ'!$B$50,0),0)-IF('ОБЪЕКТЫ'!$B$64=1,IFERROR('ОБЪЕКТЫ'!$B$84*'ОБЪЕКТЫ'!Q78/'ОБЪЕКТЫ'!$B$78,0),0)-Q53-Q57-Q21</x:f>
      </x:c>
      <x:c r="R22" s="117">
        <x:f>R10-IFERROR((SUM($D$20:$DS$20)-'ОБЪЕКТЫ'!$B$96)*('Продажи'!R14+'Продажи'!R17+'Продажи'!R20+'Продажи'!R23)/(SUM('Продажи'!$D$14:$DS$14)+SUM('Продажи'!$D$17:$DS$17)+SUM('Продажи'!$D$20:$DS$20)+SUM('Продажи'!$D$23:$DS$23)),0)-IF('ОБЪЕКТЫ'!$B$8=1,IFERROR('ОБЪЕКТЫ'!$B$28*'ОБЪЕКТЫ'!R22/'ОБЪЕКТЫ'!$B$22,0),0)-IF('ОБЪЕКТЫ'!$B$36=1,IFERROR('ОБЪЕКТЫ'!$B$56*'ОБЪЕКТЫ'!R50/'ОБЪЕКТЫ'!$B$50,0),0)-IF('ОБЪЕКТЫ'!$B$64=1,IFERROR('ОБЪЕКТЫ'!$B$84*'ОБЪЕКТЫ'!R78/'ОБЪЕКТЫ'!$B$78,0),0)-R53-R57-R21</x:f>
      </x:c>
      <x:c r="S22" s="117">
        <x:f>S10-IFERROR((SUM($D$20:$DS$20)-'ОБЪЕКТЫ'!$B$96)*('Продажи'!S14+'Продажи'!S17+'Продажи'!S20+'Продажи'!S23)/(SUM('Продажи'!$D$14:$DS$14)+SUM('Продажи'!$D$17:$DS$17)+SUM('Продажи'!$D$20:$DS$20)+SUM('Продажи'!$D$23:$DS$23)),0)-IF('ОБЪЕКТЫ'!$B$8=1,IFERROR('ОБЪЕКТЫ'!$B$28*'ОБЪЕКТЫ'!S22/'ОБЪЕКТЫ'!$B$22,0),0)-IF('ОБЪЕКТЫ'!$B$36=1,IFERROR('ОБЪЕКТЫ'!$B$56*'ОБЪЕКТЫ'!S50/'ОБЪЕКТЫ'!$B$50,0),0)-IF('ОБЪЕКТЫ'!$B$64=1,IFERROR('ОБЪЕКТЫ'!$B$84*'ОБЪЕКТЫ'!S78/'ОБЪЕКТЫ'!$B$78,0),0)-S53-S57-S21</x:f>
      </x:c>
      <x:c r="T22" s="117">
        <x:f>T10-IFERROR((SUM($D$20:$DS$20)-'ОБЪЕКТЫ'!$B$96)*('Продажи'!T14+'Продажи'!T17+'Продажи'!T20+'Продажи'!T23)/(SUM('Продажи'!$D$14:$DS$14)+SUM('Продажи'!$D$17:$DS$17)+SUM('Продажи'!$D$20:$DS$20)+SUM('Продажи'!$D$23:$DS$23)),0)-IF('ОБЪЕКТЫ'!$B$8=1,IFERROR('ОБЪЕКТЫ'!$B$28*'ОБЪЕКТЫ'!T22/'ОБЪЕКТЫ'!$B$22,0),0)-IF('ОБЪЕКТЫ'!$B$36=1,IFERROR('ОБЪЕКТЫ'!$B$56*'ОБЪЕКТЫ'!T50/'ОБЪЕКТЫ'!$B$50,0),0)-IF('ОБЪЕКТЫ'!$B$64=1,IFERROR('ОБЪЕКТЫ'!$B$84*'ОБЪЕКТЫ'!T78/'ОБЪЕКТЫ'!$B$78,0),0)-T53-T57-T21</x:f>
      </x:c>
      <x:c r="U22" s="117">
        <x:f>U10-IFERROR((SUM($D$20:$DS$20)-'ОБЪЕКТЫ'!$B$96)*('Продажи'!U14+'Продажи'!U17+'Продажи'!U20+'Продажи'!U23)/(SUM('Продажи'!$D$14:$DS$14)+SUM('Продажи'!$D$17:$DS$17)+SUM('Продажи'!$D$20:$DS$20)+SUM('Продажи'!$D$23:$DS$23)),0)-IF('ОБЪЕКТЫ'!$B$8=1,IFERROR('ОБЪЕКТЫ'!$B$28*'ОБЪЕКТЫ'!U22/'ОБЪЕКТЫ'!$B$22,0),0)-IF('ОБЪЕКТЫ'!$B$36=1,IFERROR('ОБЪЕКТЫ'!$B$56*'ОБЪЕКТЫ'!U50/'ОБЪЕКТЫ'!$B$50,0),0)-IF('ОБЪЕКТЫ'!$B$64=1,IFERROR('ОБЪЕКТЫ'!$B$84*'ОБЪЕКТЫ'!U78/'ОБЪЕКТЫ'!$B$78,0),0)-U53-U57-U21</x:f>
      </x:c>
      <x:c r="V22" s="117">
        <x:f>V10-IFERROR((SUM($D$20:$DS$20)-'ОБЪЕКТЫ'!$B$96)*('Продажи'!V14+'Продажи'!V17+'Продажи'!V20+'Продажи'!V23)/(SUM('Продажи'!$D$14:$DS$14)+SUM('Продажи'!$D$17:$DS$17)+SUM('Продажи'!$D$20:$DS$20)+SUM('Продажи'!$D$23:$DS$23)),0)-IF('ОБЪЕКТЫ'!$B$8=1,IFERROR('ОБЪЕКТЫ'!$B$28*'ОБЪЕКТЫ'!V22/'ОБЪЕКТЫ'!$B$22,0),0)-IF('ОБЪЕКТЫ'!$B$36=1,IFERROR('ОБЪЕКТЫ'!$B$56*'ОБЪЕКТЫ'!V50/'ОБЪЕКТЫ'!$B$50,0),0)-IF('ОБЪЕКТЫ'!$B$64=1,IFERROR('ОБЪЕКТЫ'!$B$84*'ОБЪЕКТЫ'!V78/'ОБЪЕКТЫ'!$B$78,0),0)-V53-V57-V21</x:f>
      </x:c>
      <x:c r="W22" s="117">
        <x:f>W10-IFERROR((SUM($D$20:$DS$20)-'ОБЪЕКТЫ'!$B$96)*('Продажи'!W14+'Продажи'!W17+'Продажи'!W20+'Продажи'!W23)/(SUM('Продажи'!$D$14:$DS$14)+SUM('Продажи'!$D$17:$DS$17)+SUM('Продажи'!$D$20:$DS$20)+SUM('Продажи'!$D$23:$DS$23)),0)-IF('ОБЪЕКТЫ'!$B$8=1,IFERROR('ОБЪЕКТЫ'!$B$28*'ОБЪЕКТЫ'!W22/'ОБЪЕКТЫ'!$B$22,0),0)-IF('ОБЪЕКТЫ'!$B$36=1,IFERROR('ОБЪЕКТЫ'!$B$56*'ОБЪЕКТЫ'!W50/'ОБЪЕКТЫ'!$B$50,0),0)-IF('ОБЪЕКТЫ'!$B$64=1,IFERROR('ОБЪЕКТЫ'!$B$84*'ОБЪЕКТЫ'!W78/'ОБЪЕКТЫ'!$B$78,0),0)-W53-W57-W21</x:f>
      </x:c>
      <x:c r="X22" s="117">
        <x:f>X10-IFERROR((SUM($D$20:$DS$20)-'ОБЪЕКТЫ'!$B$96)*('Продажи'!X14+'Продажи'!X17+'Продажи'!X20+'Продажи'!X23)/(SUM('Продажи'!$D$14:$DS$14)+SUM('Продажи'!$D$17:$DS$17)+SUM('Продажи'!$D$20:$DS$20)+SUM('Продажи'!$D$23:$DS$23)),0)-IF('ОБЪЕКТЫ'!$B$8=1,IFERROR('ОБЪЕКТЫ'!$B$28*'ОБЪЕКТЫ'!X22/'ОБЪЕКТЫ'!$B$22,0),0)-IF('ОБЪЕКТЫ'!$B$36=1,IFERROR('ОБЪЕКТЫ'!$B$56*'ОБЪЕКТЫ'!X50/'ОБЪЕКТЫ'!$B$50,0),0)-IF('ОБЪЕКТЫ'!$B$64=1,IFERROR('ОБЪЕКТЫ'!$B$84*'ОБЪЕКТЫ'!X78/'ОБЪЕКТЫ'!$B$78,0),0)-X53-X57-X21</x:f>
      </x:c>
      <x:c r="Y22" s="117">
        <x:f>Y10-IFERROR((SUM($D$20:$DS$20)-'ОБЪЕКТЫ'!$B$96)*('Продажи'!Y14+'Продажи'!Y17+'Продажи'!Y20+'Продажи'!Y23)/(SUM('Продажи'!$D$14:$DS$14)+SUM('Продажи'!$D$17:$DS$17)+SUM('Продажи'!$D$20:$DS$20)+SUM('Продажи'!$D$23:$DS$23)),0)-IF('ОБЪЕКТЫ'!$B$8=1,IFERROR('ОБЪЕКТЫ'!$B$28*'ОБЪЕКТЫ'!Y22/'ОБЪЕКТЫ'!$B$22,0),0)-IF('ОБЪЕКТЫ'!$B$36=1,IFERROR('ОБЪЕКТЫ'!$B$56*'ОБЪЕКТЫ'!Y50/'ОБЪЕКТЫ'!$B$50,0),0)-IF('ОБЪЕКТЫ'!$B$64=1,IFERROR('ОБЪЕКТЫ'!$B$84*'ОБЪЕКТЫ'!Y78/'ОБЪЕКТЫ'!$B$78,0),0)-Y53-Y57-Y21</x:f>
      </x:c>
      <x:c r="Z22" s="117">
        <x:f>Z10-IFERROR((SUM($D$20:$DS$20)-'ОБЪЕКТЫ'!$B$96)*('Продажи'!Z14+'Продажи'!Z17+'Продажи'!Z20+'Продажи'!Z23)/(SUM('Продажи'!$D$14:$DS$14)+SUM('Продажи'!$D$17:$DS$17)+SUM('Продажи'!$D$20:$DS$20)+SUM('Продажи'!$D$23:$DS$23)),0)-IF('ОБЪЕКТЫ'!$B$8=1,IFERROR('ОБЪЕКТЫ'!$B$28*'ОБЪЕКТЫ'!Z22/'ОБЪЕКТЫ'!$B$22,0),0)-IF('ОБЪЕКТЫ'!$B$36=1,IFERROR('ОБЪЕКТЫ'!$B$56*'ОБЪЕКТЫ'!Z50/'ОБЪЕКТЫ'!$B$50,0),0)-IF('ОБЪЕКТЫ'!$B$64=1,IFERROR('ОБЪЕКТЫ'!$B$84*'ОБЪЕКТЫ'!Z78/'ОБЪЕКТЫ'!$B$78,0),0)-Z53-Z57-Z21</x:f>
      </x:c>
      <x:c r="AA22" s="117">
        <x:f>AA10-IFERROR((SUM($D$20:$DS$20)-'ОБЪЕКТЫ'!$B$96)*('Продажи'!AA14+'Продажи'!AA17+'Продажи'!AA20+'Продажи'!AA23)/(SUM('Продажи'!$D$14:$DS$14)+SUM('Продажи'!$D$17:$DS$17)+SUM('Продажи'!$D$20:$DS$20)+SUM('Продажи'!$D$23:$DS$23)),0)-IF('ОБЪЕКТЫ'!$B$8=1,IFERROR('ОБЪЕКТЫ'!$B$28*'ОБЪЕКТЫ'!AA22/'ОБЪЕКТЫ'!$B$22,0),0)-IF('ОБЪЕКТЫ'!$B$36=1,IFERROR('ОБЪЕКТЫ'!$B$56*'ОБЪЕКТЫ'!AA50/'ОБЪЕКТЫ'!$B$50,0),0)-IF('ОБЪЕКТЫ'!$B$64=1,IFERROR('ОБЪЕКТЫ'!$B$84*'ОБЪЕКТЫ'!AA78/'ОБЪЕКТЫ'!$B$78,0),0)-AA53-AA57-AA21</x:f>
      </x:c>
      <x:c r="AB22" s="117">
        <x:f>AB10-IFERROR((SUM($D$20:$DS$20)-'ОБЪЕКТЫ'!$B$96)*('Продажи'!AB14+'Продажи'!AB17+'Продажи'!AB20+'Продажи'!AB23)/(SUM('Продажи'!$D$14:$DS$14)+SUM('Продажи'!$D$17:$DS$17)+SUM('Продажи'!$D$20:$DS$20)+SUM('Продажи'!$D$23:$DS$23)),0)-IF('ОБЪЕКТЫ'!$B$8=1,IFERROR('ОБЪЕКТЫ'!$B$28*'ОБЪЕКТЫ'!AB22/'ОБЪЕКТЫ'!$B$22,0),0)-IF('ОБЪЕКТЫ'!$B$36=1,IFERROR('ОБЪЕКТЫ'!$B$56*'ОБЪЕКТЫ'!AB50/'ОБЪЕКТЫ'!$B$50,0),0)-IF('ОБЪЕКТЫ'!$B$64=1,IFERROR('ОБЪЕКТЫ'!$B$84*'ОБЪЕКТЫ'!AB78/'ОБЪЕКТЫ'!$B$78,0),0)-AB53-AB57-AB21</x:f>
      </x:c>
      <x:c r="AC22" s="117">
        <x:f>AC10-IFERROR((SUM($D$20:$DS$20)-'ОБЪЕКТЫ'!$B$96)*('Продажи'!AC14+'Продажи'!AC17+'Продажи'!AC20+'Продажи'!AC23)/(SUM('Продажи'!$D$14:$DS$14)+SUM('Продажи'!$D$17:$DS$17)+SUM('Продажи'!$D$20:$DS$20)+SUM('Продажи'!$D$23:$DS$23)),0)-IF('ОБЪЕКТЫ'!$B$8=1,IFERROR('ОБЪЕКТЫ'!$B$28*'ОБЪЕКТЫ'!AC22/'ОБЪЕКТЫ'!$B$22,0),0)-IF('ОБЪЕКТЫ'!$B$36=1,IFERROR('ОБЪЕКТЫ'!$B$56*'ОБЪЕКТЫ'!AC50/'ОБЪЕКТЫ'!$B$50,0),0)-IF('ОБЪЕКТЫ'!$B$64=1,IFERROR('ОБЪЕКТЫ'!$B$84*'ОБЪЕКТЫ'!AC78/'ОБЪЕКТЫ'!$B$78,0),0)-AC53-AC57-AC21</x:f>
      </x:c>
      <x:c r="AD22" s="117">
        <x:f>AD10-IFERROR((SUM($D$20:$DS$20)-'ОБЪЕКТЫ'!$B$96)*('Продажи'!AD14+'Продажи'!AD17+'Продажи'!AD20+'Продажи'!AD23)/(SUM('Продажи'!$D$14:$DS$14)+SUM('Продажи'!$D$17:$DS$17)+SUM('Продажи'!$D$20:$DS$20)+SUM('Продажи'!$D$23:$DS$23)),0)-IF('ОБЪЕКТЫ'!$B$8=1,IFERROR('ОБЪЕКТЫ'!$B$28*'ОБЪЕКТЫ'!AD22/'ОБЪЕКТЫ'!$B$22,0),0)-IF('ОБЪЕКТЫ'!$B$36=1,IFERROR('ОБЪЕКТЫ'!$B$56*'ОБЪЕКТЫ'!AD50/'ОБЪЕКТЫ'!$B$50,0),0)-IF('ОБЪЕКТЫ'!$B$64=1,IFERROR('ОБЪЕКТЫ'!$B$84*'ОБЪЕКТЫ'!AD78/'ОБЪЕКТЫ'!$B$78,0),0)-AD53-AD57-AD21</x:f>
      </x:c>
      <x:c r="AE22" s="117">
        <x:f>AE10-IFERROR((SUM($D$20:$DS$20)-'ОБЪЕКТЫ'!$B$96)*('Продажи'!AE14+'Продажи'!AE17+'Продажи'!AE20+'Продажи'!AE23)/(SUM('Продажи'!$D$14:$DS$14)+SUM('Продажи'!$D$17:$DS$17)+SUM('Продажи'!$D$20:$DS$20)+SUM('Продажи'!$D$23:$DS$23)),0)-IF('ОБЪЕКТЫ'!$B$8=1,IFERROR('ОБЪЕКТЫ'!$B$28*'ОБЪЕКТЫ'!AE22/'ОБЪЕКТЫ'!$B$22,0),0)-IF('ОБЪЕКТЫ'!$B$36=1,IFERROR('ОБЪЕКТЫ'!$B$56*'ОБЪЕКТЫ'!AE50/'ОБЪЕКТЫ'!$B$50,0),0)-IF('ОБЪЕКТЫ'!$B$64=1,IFERROR('ОБЪЕКТЫ'!$B$84*'ОБЪЕКТЫ'!AE78/'ОБЪЕКТЫ'!$B$78,0),0)-AE53-AE57-AE21</x:f>
      </x:c>
      <x:c r="AF22" s="117">
        <x:f>AF10-IFERROR((SUM($D$20:$DS$20)-'ОБЪЕКТЫ'!$B$96)*('Продажи'!AF14+'Продажи'!AF17+'Продажи'!AF20+'Продажи'!AF23)/(SUM('Продажи'!$D$14:$DS$14)+SUM('Продажи'!$D$17:$DS$17)+SUM('Продажи'!$D$20:$DS$20)+SUM('Продажи'!$D$23:$DS$23)),0)-IF('ОБЪЕКТЫ'!$B$8=1,IFERROR('ОБЪЕКТЫ'!$B$28*'ОБЪЕКТЫ'!AF22/'ОБЪЕКТЫ'!$B$22,0),0)-IF('ОБЪЕКТЫ'!$B$36=1,IFERROR('ОБЪЕКТЫ'!$B$56*'ОБЪЕКТЫ'!AF50/'ОБЪЕКТЫ'!$B$50,0),0)-IF('ОБЪЕКТЫ'!$B$64=1,IFERROR('ОБЪЕКТЫ'!$B$84*'ОБЪЕКТЫ'!AF78/'ОБЪЕКТЫ'!$B$78,0),0)-AF53-AF57-AF21</x:f>
      </x:c>
      <x:c r="AG22" s="117">
        <x:f>AG10-IFERROR((SUM($D$20:$DS$20)-'ОБЪЕКТЫ'!$B$96)*('Продажи'!AG14+'Продажи'!AG17+'Продажи'!AG20+'Продажи'!AG23)/(SUM('Продажи'!$D$14:$DS$14)+SUM('Продажи'!$D$17:$DS$17)+SUM('Продажи'!$D$20:$DS$20)+SUM('Продажи'!$D$23:$DS$23)),0)-IF('ОБЪЕКТЫ'!$B$8=1,IFERROR('ОБЪЕКТЫ'!$B$28*'ОБЪЕКТЫ'!AG22/'ОБЪЕКТЫ'!$B$22,0),0)-IF('ОБЪЕКТЫ'!$B$36=1,IFERROR('ОБЪЕКТЫ'!$B$56*'ОБЪЕКТЫ'!AG50/'ОБЪЕКТЫ'!$B$50,0),0)-IF('ОБЪЕКТЫ'!$B$64=1,IFERROR('ОБЪЕКТЫ'!$B$84*'ОБЪЕКТЫ'!AG78/'ОБЪЕКТЫ'!$B$78,0),0)-AG53-AG57-AG21</x:f>
      </x:c>
      <x:c r="AH22" s="117">
        <x:f>AH10-IFERROR((SUM($D$20:$DS$20)-'ОБЪЕКТЫ'!$B$96)*('Продажи'!AH14+'Продажи'!AH17+'Продажи'!AH20+'Продажи'!AH23)/(SUM('Продажи'!$D$14:$DS$14)+SUM('Продажи'!$D$17:$DS$17)+SUM('Продажи'!$D$20:$DS$20)+SUM('Продажи'!$D$23:$DS$23)),0)-IF('ОБЪЕКТЫ'!$B$8=1,IFERROR('ОБЪЕКТЫ'!$B$28*'ОБЪЕКТЫ'!AH22/'ОБЪЕКТЫ'!$B$22,0),0)-IF('ОБЪЕКТЫ'!$B$36=1,IFERROR('ОБЪЕКТЫ'!$B$56*'ОБЪЕКТЫ'!AH50/'ОБЪЕКТЫ'!$B$50,0),0)-IF('ОБЪЕКТЫ'!$B$64=1,IFERROR('ОБЪЕКТЫ'!$B$84*'ОБЪЕКТЫ'!AH78/'ОБЪЕКТЫ'!$B$78,0),0)-AH53-AH57-AH21</x:f>
      </x:c>
      <x:c r="AI22" s="117">
        <x:f>AI10-IFERROR((SUM($D$20:$DS$20)-'ОБЪЕКТЫ'!$B$96)*('Продажи'!AI14+'Продажи'!AI17+'Продажи'!AI20+'Продажи'!AI23)/(SUM('Продажи'!$D$14:$DS$14)+SUM('Продажи'!$D$17:$DS$17)+SUM('Продажи'!$D$20:$DS$20)+SUM('Продажи'!$D$23:$DS$23)),0)-IF('ОБЪЕКТЫ'!$B$8=1,IFERROR('ОБЪЕКТЫ'!$B$28*'ОБЪЕКТЫ'!AI22/'ОБЪЕКТЫ'!$B$22,0),0)-IF('ОБЪЕКТЫ'!$B$36=1,IFERROR('ОБЪЕКТЫ'!$B$56*'ОБЪЕКТЫ'!AI50/'ОБЪЕКТЫ'!$B$50,0),0)-IF('ОБЪЕКТЫ'!$B$64=1,IFERROR('ОБЪЕКТЫ'!$B$84*'ОБЪЕКТЫ'!AI78/'ОБЪЕКТЫ'!$B$78,0),0)-AI53-AI57-AI21</x:f>
      </x:c>
      <x:c r="AJ22" s="117">
        <x:f>AJ10-IFERROR((SUM($D$20:$DS$20)-'ОБЪЕКТЫ'!$B$96)*('Продажи'!AJ14+'Продажи'!AJ17+'Продажи'!AJ20+'Продажи'!AJ23)/(SUM('Продажи'!$D$14:$DS$14)+SUM('Продажи'!$D$17:$DS$17)+SUM('Продажи'!$D$20:$DS$20)+SUM('Продажи'!$D$23:$DS$23)),0)-IF('ОБЪЕКТЫ'!$B$8=1,IFERROR('ОБЪЕКТЫ'!$B$28*'ОБЪЕКТЫ'!AJ22/'ОБЪЕКТЫ'!$B$22,0),0)-IF('ОБЪЕКТЫ'!$B$36=1,IFERROR('ОБЪЕКТЫ'!$B$56*'ОБЪЕКТЫ'!AJ50/'ОБЪЕКТЫ'!$B$50,0),0)-IF('ОБЪЕКТЫ'!$B$64=1,IFERROR('ОБЪЕКТЫ'!$B$84*'ОБЪЕКТЫ'!AJ78/'ОБЪЕКТЫ'!$B$78,0),0)-AJ53-AJ57-AJ21</x:f>
      </x:c>
      <x:c r="AK22" s="117">
        <x:f>AK10-IFERROR((SUM($D$20:$DS$20)-'ОБЪЕКТЫ'!$B$96)*('Продажи'!AK14+'Продажи'!AK17+'Продажи'!AK20+'Продажи'!AK23)/(SUM('Продажи'!$D$14:$DS$14)+SUM('Продажи'!$D$17:$DS$17)+SUM('Продажи'!$D$20:$DS$20)+SUM('Продажи'!$D$23:$DS$23)),0)-IF('ОБЪЕКТЫ'!$B$8=1,IFERROR('ОБЪЕКТЫ'!$B$28*'ОБЪЕКТЫ'!AK22/'ОБЪЕКТЫ'!$B$22,0),0)-IF('ОБЪЕКТЫ'!$B$36=1,IFERROR('ОБЪЕКТЫ'!$B$56*'ОБЪЕКТЫ'!AK50/'ОБЪЕКТЫ'!$B$50,0),0)-IF('ОБЪЕКТЫ'!$B$64=1,IFERROR('ОБЪЕКТЫ'!$B$84*'ОБЪЕКТЫ'!AK78/'ОБЪЕКТЫ'!$B$78,0),0)-AK53-AK57-AK21</x:f>
      </x:c>
      <x:c r="AL22" s="117">
        <x:f>AL10-IFERROR((SUM($D$20:$DS$20)-'ОБЪЕКТЫ'!$B$96)*('Продажи'!AL14+'Продажи'!AL17+'Продажи'!AL20+'Продажи'!AL23)/(SUM('Продажи'!$D$14:$DS$14)+SUM('Продажи'!$D$17:$DS$17)+SUM('Продажи'!$D$20:$DS$20)+SUM('Продажи'!$D$23:$DS$23)),0)-IF('ОБЪЕКТЫ'!$B$8=1,IFERROR('ОБЪЕКТЫ'!$B$28*'ОБЪЕКТЫ'!AL22/'ОБЪЕКТЫ'!$B$22,0),0)-IF('ОБЪЕКТЫ'!$B$36=1,IFERROR('ОБЪЕКТЫ'!$B$56*'ОБЪЕКТЫ'!AL50/'ОБЪЕКТЫ'!$B$50,0),0)-IF('ОБЪЕКТЫ'!$B$64=1,IFERROR('ОБЪЕКТЫ'!$B$84*'ОБЪЕКТЫ'!AL78/'ОБЪЕКТЫ'!$B$78,0),0)-AL53-AL57-AL21</x:f>
      </x:c>
      <x:c r="AM22" s="117">
        <x:f>AM10-IFERROR((SUM($D$20:$DS$20)-'ОБЪЕКТЫ'!$B$96)*('Продажи'!AM14+'Продажи'!AM17+'Продажи'!AM20+'Продажи'!AM23)/(SUM('Продажи'!$D$14:$DS$14)+SUM('Продажи'!$D$17:$DS$17)+SUM('Продажи'!$D$20:$DS$20)+SUM('Продажи'!$D$23:$DS$23)),0)-IF('ОБЪЕКТЫ'!$B$8=1,IFERROR('ОБЪЕКТЫ'!$B$28*'ОБЪЕКТЫ'!AM22/'ОБЪЕКТЫ'!$B$22,0),0)-IF('ОБЪЕКТЫ'!$B$36=1,IFERROR('ОБЪЕКТЫ'!$B$56*'ОБЪЕКТЫ'!AM50/'ОБЪЕКТЫ'!$B$50,0),0)-IF('ОБЪЕКТЫ'!$B$64=1,IFERROR('ОБЪЕКТЫ'!$B$84*'ОБЪЕКТЫ'!AM78/'ОБЪЕКТЫ'!$B$78,0),0)-AM53-AM57-AM21</x:f>
      </x:c>
      <x:c r="AN22" s="117">
        <x:f>AN10-IFERROR((SUM($D$20:$DS$20)-'ОБЪЕКТЫ'!$B$96)*('Продажи'!AN14+'Продажи'!AN17+'Продажи'!AN20+'Продажи'!AN23)/(SUM('Продажи'!$D$14:$DS$14)+SUM('Продажи'!$D$17:$DS$17)+SUM('Продажи'!$D$20:$DS$20)+SUM('Продажи'!$D$23:$DS$23)),0)-IF('ОБЪЕКТЫ'!$B$8=1,IFERROR('ОБЪЕКТЫ'!$B$28*'ОБЪЕКТЫ'!AN22/'ОБЪЕКТЫ'!$B$22,0),0)-IF('ОБЪЕКТЫ'!$B$36=1,IFERROR('ОБЪЕКТЫ'!$B$56*'ОБЪЕКТЫ'!AN50/'ОБЪЕКТЫ'!$B$50,0),0)-IF('ОБЪЕКТЫ'!$B$64=1,IFERROR('ОБЪЕКТЫ'!$B$84*'ОБЪЕКТЫ'!AN78/'ОБЪЕКТЫ'!$B$78,0),0)-AN53-AN57-AN21</x:f>
      </x:c>
      <x:c r="AO22" s="117">
        <x:f>AO10-IFERROR((SUM($D$20:$DS$20)-'ОБЪЕКТЫ'!$B$96)*('Продажи'!AO14+'Продажи'!AO17+'Продажи'!AO20+'Продажи'!AO23)/(SUM('Продажи'!$D$14:$DS$14)+SUM('Продажи'!$D$17:$DS$17)+SUM('Продажи'!$D$20:$DS$20)+SUM('Продажи'!$D$23:$DS$23)),0)-IF('ОБЪЕКТЫ'!$B$8=1,IFERROR('ОБЪЕКТЫ'!$B$28*'ОБЪЕКТЫ'!AO22/'ОБЪЕКТЫ'!$B$22,0),0)-IF('ОБЪЕКТЫ'!$B$36=1,IFERROR('ОБЪЕКТЫ'!$B$56*'ОБЪЕКТЫ'!AO50/'ОБЪЕКТЫ'!$B$50,0),0)-IF('ОБЪЕКТЫ'!$B$64=1,IFERROR('ОБЪЕКТЫ'!$B$84*'ОБЪЕКТЫ'!AO78/'ОБЪЕКТЫ'!$B$78,0),0)-AO53-AO57-AO21</x:f>
      </x:c>
      <x:c r="AP22" s="117">
        <x:f>AP10-IFERROR((SUM($D$20:$DS$20)-'ОБЪЕКТЫ'!$B$96)*('Продажи'!AP14+'Продажи'!AP17+'Продажи'!AP20+'Продажи'!AP23)/(SUM('Продажи'!$D$14:$DS$14)+SUM('Продажи'!$D$17:$DS$17)+SUM('Продажи'!$D$20:$DS$20)+SUM('Продажи'!$D$23:$DS$23)),0)-IF('ОБЪЕКТЫ'!$B$8=1,IFERROR('ОБЪЕКТЫ'!$B$28*'ОБЪЕКТЫ'!AP22/'ОБЪЕКТЫ'!$B$22,0),0)-IF('ОБЪЕКТЫ'!$B$36=1,IFERROR('ОБЪЕКТЫ'!$B$56*'ОБЪЕКТЫ'!AP50/'ОБЪЕКТЫ'!$B$50,0),0)-IF('ОБЪЕКТЫ'!$B$64=1,IFERROR('ОБЪЕКТЫ'!$B$84*'ОБЪЕКТЫ'!AP78/'ОБЪЕКТЫ'!$B$78,0),0)-AP53-AP57-AP21</x:f>
      </x:c>
      <x:c r="AQ22" s="117">
        <x:f>AQ10-IFERROR((SUM($D$20:$DS$20)-'ОБЪЕКТЫ'!$B$96)*('Продажи'!AQ14+'Продажи'!AQ17+'Продажи'!AQ20+'Продажи'!AQ23)/(SUM('Продажи'!$D$14:$DS$14)+SUM('Продажи'!$D$17:$DS$17)+SUM('Продажи'!$D$20:$DS$20)+SUM('Продажи'!$D$23:$DS$23)),0)-IF('ОБЪЕКТЫ'!$B$8=1,IFERROR('ОБЪЕКТЫ'!$B$28*'ОБЪЕКТЫ'!AQ22/'ОБЪЕКТЫ'!$B$22,0),0)-IF('ОБЪЕКТЫ'!$B$36=1,IFERROR('ОБЪЕКТЫ'!$B$56*'ОБЪЕКТЫ'!AQ50/'ОБЪЕКТЫ'!$B$50,0),0)-IF('ОБЪЕКТЫ'!$B$64=1,IFERROR('ОБЪЕКТЫ'!$B$84*'ОБЪЕКТЫ'!AQ78/'ОБЪЕКТЫ'!$B$78,0),0)-AQ53-AQ57-AQ21</x:f>
      </x:c>
      <x:c r="AR22" s="117">
        <x:f>AR10-IFERROR((SUM($D$20:$DS$20)-'ОБЪЕКТЫ'!$B$96)*('Продажи'!AR14+'Продажи'!AR17+'Продажи'!AR20+'Продажи'!AR23)/(SUM('Продажи'!$D$14:$DS$14)+SUM('Продажи'!$D$17:$DS$17)+SUM('Продажи'!$D$20:$DS$20)+SUM('Продажи'!$D$23:$DS$23)),0)-IF('ОБЪЕКТЫ'!$B$8=1,IFERROR('ОБЪЕКТЫ'!$B$28*'ОБЪЕКТЫ'!AR22/'ОБЪЕКТЫ'!$B$22,0),0)-IF('ОБЪЕКТЫ'!$B$36=1,IFERROR('ОБЪЕКТЫ'!$B$56*'ОБЪЕКТЫ'!AR50/'ОБЪЕКТЫ'!$B$50,0),0)-IF('ОБЪЕКТЫ'!$B$64=1,IFERROR('ОБЪЕКТЫ'!$B$84*'ОБЪЕКТЫ'!AR78/'ОБЪЕКТЫ'!$B$78,0),0)-AR53-AR57-AR21</x:f>
      </x:c>
      <x:c r="AS22" s="117">
        <x:f>AS10-IFERROR((SUM($D$20:$DS$20)-'ОБЪЕКТЫ'!$B$96)*('Продажи'!AS14+'Продажи'!AS17+'Продажи'!AS20+'Продажи'!AS23)/(SUM('Продажи'!$D$14:$DS$14)+SUM('Продажи'!$D$17:$DS$17)+SUM('Продажи'!$D$20:$DS$20)+SUM('Продажи'!$D$23:$DS$23)),0)-IF('ОБЪЕКТЫ'!$B$8=1,IFERROR('ОБЪЕКТЫ'!$B$28*'ОБЪЕКТЫ'!AS22/'ОБЪЕКТЫ'!$B$22,0),0)-IF('ОБЪЕКТЫ'!$B$36=1,IFERROR('ОБЪЕКТЫ'!$B$56*'ОБЪЕКТЫ'!AS50/'ОБЪЕКТЫ'!$B$50,0),0)-IF('ОБЪЕКТЫ'!$B$64=1,IFERROR('ОБЪЕКТЫ'!$B$84*'ОБЪЕКТЫ'!AS78/'ОБЪЕКТЫ'!$B$78,0),0)-AS53-AS57-AS21</x:f>
      </x:c>
      <x:c r="AT22" s="117">
        <x:f>AT10-IFERROR((SUM($D$20:$DS$20)-'ОБЪЕКТЫ'!$B$96)*('Продажи'!AT14+'Продажи'!AT17+'Продажи'!AT20+'Продажи'!AT23)/(SUM('Продажи'!$D$14:$DS$14)+SUM('Продажи'!$D$17:$DS$17)+SUM('Продажи'!$D$20:$DS$20)+SUM('Продажи'!$D$23:$DS$23)),0)-IF('ОБЪЕКТЫ'!$B$8=1,IFERROR('ОБЪЕКТЫ'!$B$28*'ОБЪЕКТЫ'!AT22/'ОБЪЕКТЫ'!$B$22,0),0)-IF('ОБЪЕКТЫ'!$B$36=1,IFERROR('ОБЪЕКТЫ'!$B$56*'ОБЪЕКТЫ'!AT50/'ОБЪЕКТЫ'!$B$50,0),0)-IF('ОБЪЕКТЫ'!$B$64=1,IFERROR('ОБЪЕКТЫ'!$B$84*'ОБЪЕКТЫ'!AT78/'ОБЪЕКТЫ'!$B$78,0),0)-AT53-AT57-AT21</x:f>
      </x:c>
      <x:c r="AU22" s="117">
        <x:f>AU10-IFERROR((SUM($D$20:$DS$20)-'ОБЪЕКТЫ'!$B$96)*('Продажи'!AU14+'Продажи'!AU17+'Продажи'!AU20+'Продажи'!AU23)/(SUM('Продажи'!$D$14:$DS$14)+SUM('Продажи'!$D$17:$DS$17)+SUM('Продажи'!$D$20:$DS$20)+SUM('Продажи'!$D$23:$DS$23)),0)-IF('ОБЪЕКТЫ'!$B$8=1,IFERROR('ОБЪЕКТЫ'!$B$28*'ОБЪЕКТЫ'!AU22/'ОБЪЕКТЫ'!$B$22,0),0)-IF('ОБЪЕКТЫ'!$B$36=1,IFERROR('ОБЪЕКТЫ'!$B$56*'ОБЪЕКТЫ'!AU50/'ОБЪЕКТЫ'!$B$50,0),0)-IF('ОБЪЕКТЫ'!$B$64=1,IFERROR('ОБЪЕКТЫ'!$B$84*'ОБЪЕКТЫ'!AU78/'ОБЪЕКТЫ'!$B$78,0),0)-AU53-AU57-AU21</x:f>
      </x:c>
      <x:c r="AV22" s="117">
        <x:f>AV10-IFERROR((SUM($D$20:$DS$20)-'ОБЪЕКТЫ'!$B$96)*('Продажи'!AV14+'Продажи'!AV17+'Продажи'!AV20+'Продажи'!AV23)/(SUM('Продажи'!$D$14:$DS$14)+SUM('Продажи'!$D$17:$DS$17)+SUM('Продажи'!$D$20:$DS$20)+SUM('Продажи'!$D$23:$DS$23)),0)-IF('ОБЪЕКТЫ'!$B$8=1,IFERROR('ОБЪЕКТЫ'!$B$28*'ОБЪЕКТЫ'!AV22/'ОБЪЕКТЫ'!$B$22,0),0)-IF('ОБЪЕКТЫ'!$B$36=1,IFERROR('ОБЪЕКТЫ'!$B$56*'ОБЪЕКТЫ'!AV50/'ОБЪЕКТЫ'!$B$50,0),0)-IF('ОБЪЕКТЫ'!$B$64=1,IFERROR('ОБЪЕКТЫ'!$B$84*'ОБЪЕКТЫ'!AV78/'ОБЪЕКТЫ'!$B$78,0),0)-AV53-AV57-AV21</x:f>
      </x:c>
      <x:c r="AW22" s="117">
        <x:f>AW10-IFERROR((SUM($D$20:$DS$20)-'ОБЪЕКТЫ'!$B$96)*('Продажи'!AW14+'Продажи'!AW17+'Продажи'!AW20+'Продажи'!AW23)/(SUM('Продажи'!$D$14:$DS$14)+SUM('Продажи'!$D$17:$DS$17)+SUM('Продажи'!$D$20:$DS$20)+SUM('Продажи'!$D$23:$DS$23)),0)-IF('ОБЪЕКТЫ'!$B$8=1,IFERROR('ОБЪЕКТЫ'!$B$28*'ОБЪЕКТЫ'!AW22/'ОБЪЕКТЫ'!$B$22,0),0)-IF('ОБЪЕКТЫ'!$B$36=1,IFERROR('ОБЪЕКТЫ'!$B$56*'ОБЪЕКТЫ'!AW50/'ОБЪЕКТЫ'!$B$50,0),0)-IF('ОБЪЕКТЫ'!$B$64=1,IFERROR('ОБЪЕКТЫ'!$B$84*'ОБЪЕКТЫ'!AW78/'ОБЪЕКТЫ'!$B$78,0),0)-AW53-AW57-AW21</x:f>
      </x:c>
      <x:c r="AX22" s="117">
        <x:f>AX10-IFERROR((SUM($D$20:$DS$20)-'ОБЪЕКТЫ'!$B$96)*('Продажи'!AX14+'Продажи'!AX17+'Продажи'!AX20+'Продажи'!AX23)/(SUM('Продажи'!$D$14:$DS$14)+SUM('Продажи'!$D$17:$DS$17)+SUM('Продажи'!$D$20:$DS$20)+SUM('Продажи'!$D$23:$DS$23)),0)-IF('ОБЪЕКТЫ'!$B$8=1,IFERROR('ОБЪЕКТЫ'!$B$28*'ОБЪЕКТЫ'!AX22/'ОБЪЕКТЫ'!$B$22,0),0)-IF('ОБЪЕКТЫ'!$B$36=1,IFERROR('ОБЪЕКТЫ'!$B$56*'ОБЪЕКТЫ'!AX50/'ОБЪЕКТЫ'!$B$50,0),0)-IF('ОБЪЕКТЫ'!$B$64=1,IFERROR('ОБЪЕКТЫ'!$B$84*'ОБЪЕКТЫ'!AX78/'ОБЪЕКТЫ'!$B$78,0),0)-AX53-AX57-AX21</x:f>
      </x:c>
      <x:c r="AY22" s="117">
        <x:f>AY10-IFERROR((SUM($D$20:$DS$20)-'ОБЪЕКТЫ'!$B$96)*('Продажи'!AY14+'Продажи'!AY17+'Продажи'!AY20+'Продажи'!AY23)/(SUM('Продажи'!$D$14:$DS$14)+SUM('Продажи'!$D$17:$DS$17)+SUM('Продажи'!$D$20:$DS$20)+SUM('Продажи'!$D$23:$DS$23)),0)-IF('ОБЪЕКТЫ'!$B$8=1,IFERROR('ОБЪЕКТЫ'!$B$28*'ОБЪЕКТЫ'!AY22/'ОБЪЕКТЫ'!$B$22,0),0)-IF('ОБЪЕКТЫ'!$B$36=1,IFERROR('ОБЪЕКТЫ'!$B$56*'ОБЪЕКТЫ'!AY50/'ОБЪЕКТЫ'!$B$50,0),0)-IF('ОБЪЕКТЫ'!$B$64=1,IFERROR('ОБЪЕКТЫ'!$B$84*'ОБЪЕКТЫ'!AY78/'ОБЪЕКТЫ'!$B$78,0),0)-AY53-AY57-AY21</x:f>
      </x:c>
      <x:c r="AZ22" s="117">
        <x:f>AZ10-IFERROR((SUM($D$20:$DS$20)-'ОБЪЕКТЫ'!$B$96)*('Продажи'!AZ14+'Продажи'!AZ17+'Продажи'!AZ20+'Продажи'!AZ23)/(SUM('Продажи'!$D$14:$DS$14)+SUM('Продажи'!$D$17:$DS$17)+SUM('Продажи'!$D$20:$DS$20)+SUM('Продажи'!$D$23:$DS$23)),0)-IF('ОБЪЕКТЫ'!$B$8=1,IFERROR('ОБЪЕКТЫ'!$B$28*'ОБЪЕКТЫ'!AZ22/'ОБЪЕКТЫ'!$B$22,0),0)-IF('ОБЪЕКТЫ'!$B$36=1,IFERROR('ОБЪЕКТЫ'!$B$56*'ОБЪЕКТЫ'!AZ50/'ОБЪЕКТЫ'!$B$50,0),0)-IF('ОБЪЕКТЫ'!$B$64=1,IFERROR('ОБЪЕКТЫ'!$B$84*'ОБЪЕКТЫ'!AZ78/'ОБЪЕКТЫ'!$B$78,0),0)-AZ53-AZ57-AZ21</x:f>
      </x:c>
      <x:c r="BA22" s="117">
        <x:f>BA10-IFERROR((SUM($D$20:$DS$20)-'ОБЪЕКТЫ'!$B$96)*('Продажи'!BA14+'Продажи'!BA17+'Продажи'!BA20+'Продажи'!BA23)/(SUM('Продажи'!$D$14:$DS$14)+SUM('Продажи'!$D$17:$DS$17)+SUM('Продажи'!$D$20:$DS$20)+SUM('Продажи'!$D$23:$DS$23)),0)-IF('ОБЪЕКТЫ'!$B$8=1,IFERROR('ОБЪЕКТЫ'!$B$28*'ОБЪЕКТЫ'!BA22/'ОБЪЕКТЫ'!$B$22,0),0)-IF('ОБЪЕКТЫ'!$B$36=1,IFERROR('ОБЪЕКТЫ'!$B$56*'ОБЪЕКТЫ'!BA50/'ОБЪЕКТЫ'!$B$50,0),0)-IF('ОБЪЕКТЫ'!$B$64=1,IFERROR('ОБЪЕКТЫ'!$B$84*'ОБЪЕКТЫ'!BA78/'ОБЪЕКТЫ'!$B$78,0),0)-BA53-BA57-BA21</x:f>
      </x:c>
      <x:c r="BB22" s="117">
        <x:f>BB10-IFERROR((SUM($D$20:$DS$20)-'ОБЪЕКТЫ'!$B$96)*('Продажи'!BB14+'Продажи'!BB17+'Продажи'!BB20+'Продажи'!BB23)/(SUM('Продажи'!$D$14:$DS$14)+SUM('Продажи'!$D$17:$DS$17)+SUM('Продажи'!$D$20:$DS$20)+SUM('Продажи'!$D$23:$DS$23)),0)-IF('ОБЪЕКТЫ'!$B$8=1,IFERROR('ОБЪЕКТЫ'!$B$28*'ОБЪЕКТЫ'!BB22/'ОБЪЕКТЫ'!$B$22,0),0)-IF('ОБЪЕКТЫ'!$B$36=1,IFERROR('ОБЪЕКТЫ'!$B$56*'ОБЪЕКТЫ'!BB50/'ОБЪЕКТЫ'!$B$50,0),0)-IF('ОБЪЕКТЫ'!$B$64=1,IFERROR('ОБЪЕКТЫ'!$B$84*'ОБЪЕКТЫ'!BB78/'ОБЪЕКТЫ'!$B$78,0),0)-BB53-BB57-BB21</x:f>
      </x:c>
      <x:c r="BC22" s="117">
        <x:f>BC10-IFERROR((SUM($D$20:$DS$20)-'ОБЪЕКТЫ'!$B$96)*('Продажи'!BC14+'Продажи'!BC17+'Продажи'!BC20+'Продажи'!BC23)/(SUM('Продажи'!$D$14:$DS$14)+SUM('Продажи'!$D$17:$DS$17)+SUM('Продажи'!$D$20:$DS$20)+SUM('Продажи'!$D$23:$DS$23)),0)-IF('ОБЪЕКТЫ'!$B$8=1,IFERROR('ОБЪЕКТЫ'!$B$28*'ОБЪЕКТЫ'!BC22/'ОБЪЕКТЫ'!$B$22,0),0)-IF('ОБЪЕКТЫ'!$B$36=1,IFERROR('ОБЪЕКТЫ'!$B$56*'ОБЪЕКТЫ'!BC50/'ОБЪЕКТЫ'!$B$50,0),0)-IF('ОБЪЕКТЫ'!$B$64=1,IFERROR('ОБЪЕКТЫ'!$B$84*'ОБЪЕКТЫ'!BC78/'ОБЪЕКТЫ'!$B$78,0),0)-BC53-BC57-BC21</x:f>
      </x:c>
      <x:c r="BD22" s="117">
        <x:f>BD10-IFERROR((SUM($D$20:$DS$20)-'ОБЪЕКТЫ'!$B$96)*('Продажи'!BD14+'Продажи'!BD17+'Продажи'!BD20+'Продажи'!BD23)/(SUM('Продажи'!$D$14:$DS$14)+SUM('Продажи'!$D$17:$DS$17)+SUM('Продажи'!$D$20:$DS$20)+SUM('Продажи'!$D$23:$DS$23)),0)-IF('ОБЪЕКТЫ'!$B$8=1,IFERROR('ОБЪЕКТЫ'!$B$28*'ОБЪЕКТЫ'!BD22/'ОБЪЕКТЫ'!$B$22,0),0)-IF('ОБЪЕКТЫ'!$B$36=1,IFERROR('ОБЪЕКТЫ'!$B$56*'ОБЪЕКТЫ'!BD50/'ОБЪЕКТЫ'!$B$50,0),0)-IF('ОБЪЕКТЫ'!$B$64=1,IFERROR('ОБЪЕКТЫ'!$B$84*'ОБЪЕКТЫ'!BD78/'ОБЪЕКТЫ'!$B$78,0),0)-BD53-BD57-BD21</x:f>
      </x:c>
      <x:c r="BE22" s="117">
        <x:f>BE10-IFERROR((SUM($D$20:$DS$20)-'ОБЪЕКТЫ'!$B$96)*('Продажи'!BE14+'Продажи'!BE17+'Продажи'!BE20+'Продажи'!BE23)/(SUM('Продажи'!$D$14:$DS$14)+SUM('Продажи'!$D$17:$DS$17)+SUM('Продажи'!$D$20:$DS$20)+SUM('Продажи'!$D$23:$DS$23)),0)-IF('ОБЪЕКТЫ'!$B$8=1,IFERROR('ОБЪЕКТЫ'!$B$28*'ОБЪЕКТЫ'!BE22/'ОБЪЕКТЫ'!$B$22,0),0)-IF('ОБЪЕКТЫ'!$B$36=1,IFERROR('ОБЪЕКТЫ'!$B$56*'ОБЪЕКТЫ'!BE50/'ОБЪЕКТЫ'!$B$50,0),0)-IF('ОБЪЕКТЫ'!$B$64=1,IFERROR('ОБЪЕКТЫ'!$B$84*'ОБЪЕКТЫ'!BE78/'ОБЪЕКТЫ'!$B$78,0),0)-BE53-BE57-BE21</x:f>
      </x:c>
      <x:c r="BF22" s="117">
        <x:f>BF10-IFERROR((SUM($D$20:$DS$20)-'ОБЪЕКТЫ'!$B$96)*('Продажи'!BF14+'Продажи'!BF17+'Продажи'!BF20+'Продажи'!BF23)/(SUM('Продажи'!$D$14:$DS$14)+SUM('Продажи'!$D$17:$DS$17)+SUM('Продажи'!$D$20:$DS$20)+SUM('Продажи'!$D$23:$DS$23)),0)-IF('ОБЪЕКТЫ'!$B$8=1,IFERROR('ОБЪЕКТЫ'!$B$28*'ОБЪЕКТЫ'!BF22/'ОБЪЕКТЫ'!$B$22,0),0)-IF('ОБЪЕКТЫ'!$B$36=1,IFERROR('ОБЪЕКТЫ'!$B$56*'ОБЪЕКТЫ'!BF50/'ОБЪЕКТЫ'!$B$50,0),0)-IF('ОБЪЕКТЫ'!$B$64=1,IFERROR('ОБЪЕКТЫ'!$B$84*'ОБЪЕКТЫ'!BF78/'ОБЪЕКТЫ'!$B$78,0),0)-BF53-BF57-BF21</x:f>
      </x:c>
      <x:c r="BG22" s="117">
        <x:f>BG10-IFERROR((SUM($D$20:$DS$20)-'ОБЪЕКТЫ'!$B$96)*('Продажи'!BG14+'Продажи'!BG17+'Продажи'!BG20+'Продажи'!BG23)/(SUM('Продажи'!$D$14:$DS$14)+SUM('Продажи'!$D$17:$DS$17)+SUM('Продажи'!$D$20:$DS$20)+SUM('Продажи'!$D$23:$DS$23)),0)-IF('ОБЪЕКТЫ'!$B$8=1,IFERROR('ОБЪЕКТЫ'!$B$28*'ОБЪЕКТЫ'!BG22/'ОБЪЕКТЫ'!$B$22,0),0)-IF('ОБЪЕКТЫ'!$B$36=1,IFERROR('ОБЪЕКТЫ'!$B$56*'ОБЪЕКТЫ'!BG50/'ОБЪЕКТЫ'!$B$50,0),0)-IF('ОБЪЕКТЫ'!$B$64=1,IFERROR('ОБЪЕКТЫ'!$B$84*'ОБЪЕКТЫ'!BG78/'ОБЪЕКТЫ'!$B$78,0),0)-BG53-BG57-BG21</x:f>
      </x:c>
      <x:c r="BH22" s="117">
        <x:f>BH10-IFERROR((SUM($D$20:$DS$20)-'ОБЪЕКТЫ'!$B$96)*('Продажи'!BH14+'Продажи'!BH17+'Продажи'!BH20+'Продажи'!BH23)/(SUM('Продажи'!$D$14:$DS$14)+SUM('Продажи'!$D$17:$DS$17)+SUM('Продажи'!$D$20:$DS$20)+SUM('Продажи'!$D$23:$DS$23)),0)-IF('ОБЪЕКТЫ'!$B$8=1,IFERROR('ОБЪЕКТЫ'!$B$28*'ОБЪЕКТЫ'!BH22/'ОБЪЕКТЫ'!$B$22,0),0)-IF('ОБЪЕКТЫ'!$B$36=1,IFERROR('ОБЪЕКТЫ'!$B$56*'ОБЪЕКТЫ'!BH50/'ОБЪЕКТЫ'!$B$50,0),0)-IF('ОБЪЕКТЫ'!$B$64=1,IFERROR('ОБЪЕКТЫ'!$B$84*'ОБЪЕКТЫ'!BH78/'ОБЪЕКТЫ'!$B$78,0),0)-BH53-BH57-BH21</x:f>
      </x:c>
      <x:c r="BI22" s="117">
        <x:f>BI10-IFERROR((SUM($D$20:$DS$20)-'ОБЪЕКТЫ'!$B$96)*('Продажи'!BI14+'Продажи'!BI17+'Продажи'!BI20+'Продажи'!BI23)/(SUM('Продажи'!$D$14:$DS$14)+SUM('Продажи'!$D$17:$DS$17)+SUM('Продажи'!$D$20:$DS$20)+SUM('Продажи'!$D$23:$DS$23)),0)-IF('ОБЪЕКТЫ'!$B$8=1,IFERROR('ОБЪЕКТЫ'!$B$28*'ОБЪЕКТЫ'!BI22/'ОБЪЕКТЫ'!$B$22,0),0)-IF('ОБЪЕКТЫ'!$B$36=1,IFERROR('ОБЪЕКТЫ'!$B$56*'ОБЪЕКТЫ'!BI50/'ОБЪЕКТЫ'!$B$50,0),0)-IF('ОБЪЕКТЫ'!$B$64=1,IFERROR('ОБЪЕКТЫ'!$B$84*'ОБЪЕКТЫ'!BI78/'ОБЪЕКТЫ'!$B$78,0),0)-BI53-BI57-BI21</x:f>
      </x:c>
      <x:c r="BJ22" s="117">
        <x:f>BJ10-IFERROR((SUM($D$20:$DS$20)-'ОБЪЕКТЫ'!$B$96)*('Продажи'!BJ14+'Продажи'!BJ17+'Продажи'!BJ20+'Продажи'!BJ23)/(SUM('Продажи'!$D$14:$DS$14)+SUM('Продажи'!$D$17:$DS$17)+SUM('Продажи'!$D$20:$DS$20)+SUM('Продажи'!$D$23:$DS$23)),0)-IF('ОБЪЕКТЫ'!$B$8=1,IFERROR('ОБЪЕКТЫ'!$B$28*'ОБЪЕКТЫ'!BJ22/'ОБЪЕКТЫ'!$B$22,0),0)-IF('ОБЪЕКТЫ'!$B$36=1,IFERROR('ОБЪЕКТЫ'!$B$56*'ОБЪЕКТЫ'!BJ50/'ОБЪЕКТЫ'!$B$50,0),0)-IF('ОБЪЕКТЫ'!$B$64=1,IFERROR('ОБЪЕКТЫ'!$B$84*'ОБЪЕКТЫ'!BJ78/'ОБЪЕКТЫ'!$B$78,0),0)-BJ53-BJ57-BJ21</x:f>
      </x:c>
      <x:c r="BK22" s="117">
        <x:f>BK10-IFERROR((SUM($D$20:$DS$20)-'ОБЪЕКТЫ'!$B$96)*('Продажи'!BK14+'Продажи'!BK17+'Продажи'!BK20+'Продажи'!BK23)/(SUM('Продажи'!$D$14:$DS$14)+SUM('Продажи'!$D$17:$DS$17)+SUM('Продажи'!$D$20:$DS$20)+SUM('Продажи'!$D$23:$DS$23)),0)-IF('ОБЪЕКТЫ'!$B$8=1,IFERROR('ОБЪЕКТЫ'!$B$28*'ОБЪЕКТЫ'!BK22/'ОБЪЕКТЫ'!$B$22,0),0)-IF('ОБЪЕКТЫ'!$B$36=1,IFERROR('ОБЪЕКТЫ'!$B$56*'ОБЪЕКТЫ'!BK50/'ОБЪЕКТЫ'!$B$50,0),0)-IF('ОБЪЕКТЫ'!$B$64=1,IFERROR('ОБЪЕКТЫ'!$B$84*'ОБЪЕКТЫ'!BK78/'ОБЪЕКТЫ'!$B$78,0),0)-BK53-BK57-BK21</x:f>
      </x:c>
      <x:c r="BL22" s="117">
        <x:f>BL10-IFERROR((SUM($D$20:$DS$20)-'ОБЪЕКТЫ'!$B$96)*('Продажи'!BL14+'Продажи'!BL17+'Продажи'!BL20+'Продажи'!BL23)/(SUM('Продажи'!$D$14:$DS$14)+SUM('Продажи'!$D$17:$DS$17)+SUM('Продажи'!$D$20:$DS$20)+SUM('Продажи'!$D$23:$DS$23)),0)-IF('ОБЪЕКТЫ'!$B$8=1,IFERROR('ОБЪЕКТЫ'!$B$28*'ОБЪЕКТЫ'!BL22/'ОБЪЕКТЫ'!$B$22,0),0)-IF('ОБЪЕКТЫ'!$B$36=1,IFERROR('ОБЪЕКТЫ'!$B$56*'ОБЪЕКТЫ'!BL50/'ОБЪЕКТЫ'!$B$50,0),0)-IF('ОБЪЕКТЫ'!$B$64=1,IFERROR('ОБЪЕКТЫ'!$B$84*'ОБЪЕКТЫ'!BL78/'ОБЪЕКТЫ'!$B$78,0),0)-BL53-BL57-BL21</x:f>
      </x:c>
      <x:c r="BM22" s="117">
        <x:f>BM10-IFERROR((SUM($D$20:$DS$20)-'ОБЪЕКТЫ'!$B$96)*('Продажи'!BM14+'Продажи'!BM17+'Продажи'!BM20+'Продажи'!BM23)/(SUM('Продажи'!$D$14:$DS$14)+SUM('Продажи'!$D$17:$DS$17)+SUM('Продажи'!$D$20:$DS$20)+SUM('Продажи'!$D$23:$DS$23)),0)-IF('ОБЪЕКТЫ'!$B$8=1,IFERROR('ОБЪЕКТЫ'!$B$28*'ОБЪЕКТЫ'!BM22/'ОБЪЕКТЫ'!$B$22,0),0)-IF('ОБЪЕКТЫ'!$B$36=1,IFERROR('ОБЪЕКТЫ'!$B$56*'ОБЪЕКТЫ'!BM50/'ОБЪЕКТЫ'!$B$50,0),0)-IF('ОБЪЕКТЫ'!$B$64=1,IFERROR('ОБЪЕКТЫ'!$B$84*'ОБЪЕКТЫ'!BM78/'ОБЪЕКТЫ'!$B$78,0),0)-BM53-BM57-BM21</x:f>
      </x:c>
      <x:c r="BN22" s="117">
        <x:f>BN10-IFERROR((SUM($D$20:$DS$20)-'ОБЪЕКТЫ'!$B$96)*('Продажи'!BN14+'Продажи'!BN17+'Продажи'!BN20+'Продажи'!BN23)/(SUM('Продажи'!$D$14:$DS$14)+SUM('Продажи'!$D$17:$DS$17)+SUM('Продажи'!$D$20:$DS$20)+SUM('Продажи'!$D$23:$DS$23)),0)-IF('ОБЪЕКТЫ'!$B$8=1,IFERROR('ОБЪЕКТЫ'!$B$28*'ОБЪЕКТЫ'!BN22/'ОБЪЕКТЫ'!$B$22,0),0)-IF('ОБЪЕКТЫ'!$B$36=1,IFERROR('ОБЪЕКТЫ'!$B$56*'ОБЪЕКТЫ'!BN50/'ОБЪЕКТЫ'!$B$50,0),0)-IF('ОБЪЕКТЫ'!$B$64=1,IFERROR('ОБЪЕКТЫ'!$B$84*'ОБЪЕКТЫ'!BN78/'ОБЪЕКТЫ'!$B$78,0),0)-BN53-BN57-BN21</x:f>
      </x:c>
      <x:c r="BO22" s="117">
        <x:f>BO10-IFERROR((SUM($D$20:$DS$20)-'ОБЪЕКТЫ'!$B$96)*('Продажи'!BO14+'Продажи'!BO17+'Продажи'!BO20+'Продажи'!BO23)/(SUM('Продажи'!$D$14:$DS$14)+SUM('Продажи'!$D$17:$DS$17)+SUM('Продажи'!$D$20:$DS$20)+SUM('Продажи'!$D$23:$DS$23)),0)-IF('ОБЪЕКТЫ'!$B$8=1,IFERROR('ОБЪЕКТЫ'!$B$28*'ОБЪЕКТЫ'!BO22/'ОБЪЕКТЫ'!$B$22,0),0)-IF('ОБЪЕКТЫ'!$B$36=1,IFERROR('ОБЪЕКТЫ'!$B$56*'ОБЪЕКТЫ'!BO50/'ОБЪЕКТЫ'!$B$50,0),0)-IF('ОБЪЕКТЫ'!$B$64=1,IFERROR('ОБЪЕКТЫ'!$B$84*'ОБЪЕКТЫ'!BO78/'ОБЪЕКТЫ'!$B$78,0),0)-BO53-BO57-BO21</x:f>
      </x:c>
      <x:c r="BP22" s="117">
        <x:f>BP10-IFERROR((SUM($D$20:$DS$20)-'ОБЪЕКТЫ'!$B$96)*('Продажи'!BP14+'Продажи'!BP17+'Продажи'!BP20+'Продажи'!BP23)/(SUM('Продажи'!$D$14:$DS$14)+SUM('Продажи'!$D$17:$DS$17)+SUM('Продажи'!$D$20:$DS$20)+SUM('Продажи'!$D$23:$DS$23)),0)-IF('ОБЪЕКТЫ'!$B$8=1,IFERROR('ОБЪЕКТЫ'!$B$28*'ОБЪЕКТЫ'!BP22/'ОБЪЕКТЫ'!$B$22,0),0)-IF('ОБЪЕКТЫ'!$B$36=1,IFERROR('ОБЪЕКТЫ'!$B$56*'ОБЪЕКТЫ'!BP50/'ОБЪЕКТЫ'!$B$50,0),0)-IF('ОБЪЕКТЫ'!$B$64=1,IFERROR('ОБЪЕКТЫ'!$B$84*'ОБЪЕКТЫ'!BP78/'ОБЪЕКТЫ'!$B$78,0),0)-BP53-BP57-BP21</x:f>
      </x:c>
      <x:c r="BQ22" s="117">
        <x:f>BQ10-IFERROR((SUM($D$20:$DS$20)-'ОБЪЕКТЫ'!$B$96)*('Продажи'!BQ14+'Продажи'!BQ17+'Продажи'!BQ20+'Продажи'!BQ23)/(SUM('Продажи'!$D$14:$DS$14)+SUM('Продажи'!$D$17:$DS$17)+SUM('Продажи'!$D$20:$DS$20)+SUM('Продажи'!$D$23:$DS$23)),0)-IF('ОБЪЕКТЫ'!$B$8=1,IFERROR('ОБЪЕКТЫ'!$B$28*'ОБЪЕКТЫ'!BQ22/'ОБЪЕКТЫ'!$B$22,0),0)-IF('ОБЪЕКТЫ'!$B$36=1,IFERROR('ОБЪЕКТЫ'!$B$56*'ОБЪЕКТЫ'!BQ50/'ОБЪЕКТЫ'!$B$50,0),0)-IF('ОБЪЕКТЫ'!$B$64=1,IFERROR('ОБЪЕКТЫ'!$B$84*'ОБЪЕКТЫ'!BQ78/'ОБЪЕКТЫ'!$B$78,0),0)-BQ53-BQ57-BQ21</x:f>
      </x:c>
      <x:c r="BR22" s="117">
        <x:f>BR10-IFERROR((SUM($D$20:$DS$20)-'ОБЪЕКТЫ'!$B$96)*('Продажи'!BR14+'Продажи'!BR17+'Продажи'!BR20+'Продажи'!BR23)/(SUM('Продажи'!$D$14:$DS$14)+SUM('Продажи'!$D$17:$DS$17)+SUM('Продажи'!$D$20:$DS$20)+SUM('Продажи'!$D$23:$DS$23)),0)-IF('ОБЪЕКТЫ'!$B$8=1,IFERROR('ОБЪЕКТЫ'!$B$28*'ОБЪЕКТЫ'!BR22/'ОБЪЕКТЫ'!$B$22,0),0)-IF('ОБЪЕКТЫ'!$B$36=1,IFERROR('ОБЪЕКТЫ'!$B$56*'ОБЪЕКТЫ'!BR50/'ОБЪЕКТЫ'!$B$50,0),0)-IF('ОБЪЕКТЫ'!$B$64=1,IFERROR('ОБЪЕКТЫ'!$B$84*'ОБЪЕКТЫ'!BR78/'ОБЪЕКТЫ'!$B$78,0),0)-BR53-BR57-BR21</x:f>
      </x:c>
      <x:c r="BS22" s="117">
        <x:f>BS10-IFERROR((SUM($D$20:$DS$20)-'ОБЪЕКТЫ'!$B$96)*('Продажи'!BS14+'Продажи'!BS17+'Продажи'!BS20+'Продажи'!BS23)/(SUM('Продажи'!$D$14:$DS$14)+SUM('Продажи'!$D$17:$DS$17)+SUM('Продажи'!$D$20:$DS$20)+SUM('Продажи'!$D$23:$DS$23)),0)-IF('ОБЪЕКТЫ'!$B$8=1,IFERROR('ОБЪЕКТЫ'!$B$28*'ОБЪЕКТЫ'!BS22/'ОБЪЕКТЫ'!$B$22,0),0)-IF('ОБЪЕКТЫ'!$B$36=1,IFERROR('ОБЪЕКТЫ'!$B$56*'ОБЪЕКТЫ'!BS50/'ОБЪЕКТЫ'!$B$50,0),0)-IF('ОБЪЕКТЫ'!$B$64=1,IFERROR('ОБЪЕКТЫ'!$B$84*'ОБЪЕКТЫ'!BS78/'ОБЪЕКТЫ'!$B$78,0),0)-BS53-BS57-BS21</x:f>
      </x:c>
      <x:c r="BT22" s="117">
        <x:f>BT10-IFERROR((SUM($D$20:$DS$20)-'ОБЪЕКТЫ'!$B$96)*('Продажи'!BT14+'Продажи'!BT17+'Продажи'!BT20+'Продажи'!BT23)/(SUM('Продажи'!$D$14:$DS$14)+SUM('Продажи'!$D$17:$DS$17)+SUM('Продажи'!$D$20:$DS$20)+SUM('Продажи'!$D$23:$DS$23)),0)-IF('ОБЪЕКТЫ'!$B$8=1,IFERROR('ОБЪЕКТЫ'!$B$28*'ОБЪЕКТЫ'!BT22/'ОБЪЕКТЫ'!$B$22,0),0)-IF('ОБЪЕКТЫ'!$B$36=1,IFERROR('ОБЪЕКТЫ'!$B$56*'ОБЪЕКТЫ'!BT50/'ОБЪЕКТЫ'!$B$50,0),0)-IF('ОБЪЕКТЫ'!$B$64=1,IFERROR('ОБЪЕКТЫ'!$B$84*'ОБЪЕКТЫ'!BT78/'ОБЪЕКТЫ'!$B$78,0),0)-BT53-BT57-BT21</x:f>
      </x:c>
      <x:c r="BU22" s="117">
        <x:f>BU10-IFERROR((SUM($D$20:$DS$20)-'ОБЪЕКТЫ'!$B$96)*('Продажи'!BU14+'Продажи'!BU17+'Продажи'!BU20+'Продажи'!BU23)/(SUM('Продажи'!$D$14:$DS$14)+SUM('Продажи'!$D$17:$DS$17)+SUM('Продажи'!$D$20:$DS$20)+SUM('Продажи'!$D$23:$DS$23)),0)-IF('ОБЪЕКТЫ'!$B$8=1,IFERROR('ОБЪЕКТЫ'!$B$28*'ОБЪЕКТЫ'!BU22/'ОБЪЕКТЫ'!$B$22,0),0)-IF('ОБЪЕКТЫ'!$B$36=1,IFERROR('ОБЪЕКТЫ'!$B$56*'ОБЪЕКТЫ'!BU50/'ОБЪЕКТЫ'!$B$50,0),0)-IF('ОБЪЕКТЫ'!$B$64=1,IFERROR('ОБЪЕКТЫ'!$B$84*'ОБЪЕКТЫ'!BU78/'ОБЪЕКТЫ'!$B$78,0),0)-BU53-BU57-BU21</x:f>
      </x:c>
      <x:c r="BV22" s="117">
        <x:f>BV10-IFERROR((SUM($D$20:$DS$20)-'ОБЪЕКТЫ'!$B$96)*('Продажи'!BV14+'Продажи'!BV17+'Продажи'!BV20+'Продажи'!BV23)/(SUM('Продажи'!$D$14:$DS$14)+SUM('Продажи'!$D$17:$DS$17)+SUM('Продажи'!$D$20:$DS$20)+SUM('Продажи'!$D$23:$DS$23)),0)-IF('ОБЪЕКТЫ'!$B$8=1,IFERROR('ОБЪЕКТЫ'!$B$28*'ОБЪЕКТЫ'!BV22/'ОБЪЕКТЫ'!$B$22,0),0)-IF('ОБЪЕКТЫ'!$B$36=1,IFERROR('ОБЪЕКТЫ'!$B$56*'ОБЪЕКТЫ'!BV50/'ОБЪЕКТЫ'!$B$50,0),0)-IF('ОБЪЕКТЫ'!$B$64=1,IFERROR('ОБЪЕКТЫ'!$B$84*'ОБЪЕКТЫ'!BV78/'ОБЪЕКТЫ'!$B$78,0),0)-BV53-BV57-BV21</x:f>
      </x:c>
      <x:c r="BW22" s="117">
        <x:f>BW10-IFERROR((SUM($D$20:$DS$20)-'ОБЪЕКТЫ'!$B$96)*('Продажи'!BW14+'Продажи'!BW17+'Продажи'!BW20+'Продажи'!BW23)/(SUM('Продажи'!$D$14:$DS$14)+SUM('Продажи'!$D$17:$DS$17)+SUM('Продажи'!$D$20:$DS$20)+SUM('Продажи'!$D$23:$DS$23)),0)-IF('ОБЪЕКТЫ'!$B$8=1,IFERROR('ОБЪЕКТЫ'!$B$28*'ОБЪЕКТЫ'!BW22/'ОБЪЕКТЫ'!$B$22,0),0)-IF('ОБЪЕКТЫ'!$B$36=1,IFERROR('ОБЪЕКТЫ'!$B$56*'ОБЪЕКТЫ'!BW50/'ОБЪЕКТЫ'!$B$50,0),0)-IF('ОБЪЕКТЫ'!$B$64=1,IFERROR('ОБЪЕКТЫ'!$B$84*'ОБЪЕКТЫ'!BW78/'ОБЪЕКТЫ'!$B$78,0),0)-BW53-BW57-BW21</x:f>
      </x:c>
      <x:c r="BX22" s="117">
        <x:f>BX10-IFERROR((SUM($D$20:$DS$20)-'ОБЪЕКТЫ'!$B$96)*('Продажи'!BX14+'Продажи'!BX17+'Продажи'!BX20+'Продажи'!BX23)/(SUM('Продажи'!$D$14:$DS$14)+SUM('Продажи'!$D$17:$DS$17)+SUM('Продажи'!$D$20:$DS$20)+SUM('Продажи'!$D$23:$DS$23)),0)-IF('ОБЪЕКТЫ'!$B$8=1,IFERROR('ОБЪЕКТЫ'!$B$28*'ОБЪЕКТЫ'!BX22/'ОБЪЕКТЫ'!$B$22,0),0)-IF('ОБЪЕКТЫ'!$B$36=1,IFERROR('ОБЪЕКТЫ'!$B$56*'ОБЪЕКТЫ'!BX50/'ОБЪЕКТЫ'!$B$50,0),0)-IF('ОБЪЕКТЫ'!$B$64=1,IFERROR('ОБЪЕКТЫ'!$B$84*'ОБЪЕКТЫ'!BX78/'ОБЪЕКТЫ'!$B$78,0),0)-BX53-BX57-BX21</x:f>
      </x:c>
      <x:c r="BY22" s="117">
        <x:f>BY10-IFERROR((SUM($D$20:$DS$20)-'ОБЪЕКТЫ'!$B$96)*('Продажи'!BY14+'Продажи'!BY17+'Продажи'!BY20+'Продажи'!BY23)/(SUM('Продажи'!$D$14:$DS$14)+SUM('Продажи'!$D$17:$DS$17)+SUM('Продажи'!$D$20:$DS$20)+SUM('Продажи'!$D$23:$DS$23)),0)-IF('ОБЪЕКТЫ'!$B$8=1,IFERROR('ОБЪЕКТЫ'!$B$28*'ОБЪЕКТЫ'!BY22/'ОБЪЕКТЫ'!$B$22,0),0)-IF('ОБЪЕКТЫ'!$B$36=1,IFERROR('ОБЪЕКТЫ'!$B$56*'ОБЪЕКТЫ'!BY50/'ОБЪЕКТЫ'!$B$50,0),0)-IF('ОБЪЕКТЫ'!$B$64=1,IFERROR('ОБЪЕКТЫ'!$B$84*'ОБЪЕКТЫ'!BY78/'ОБЪЕКТЫ'!$B$78,0),0)-BY53-BY57-BY21</x:f>
      </x:c>
      <x:c r="BZ22" s="117">
        <x:f>BZ10-IFERROR((SUM($D$20:$DS$20)-'ОБЪЕКТЫ'!$B$96)*('Продажи'!BZ14+'Продажи'!BZ17+'Продажи'!BZ20+'Продажи'!BZ23)/(SUM('Продажи'!$D$14:$DS$14)+SUM('Продажи'!$D$17:$DS$17)+SUM('Продажи'!$D$20:$DS$20)+SUM('Продажи'!$D$23:$DS$23)),0)-IF('ОБЪЕКТЫ'!$B$8=1,IFERROR('ОБЪЕКТЫ'!$B$28*'ОБЪЕКТЫ'!BZ22/'ОБЪЕКТЫ'!$B$22,0),0)-IF('ОБЪЕКТЫ'!$B$36=1,IFERROR('ОБЪЕКТЫ'!$B$56*'ОБЪЕКТЫ'!BZ50/'ОБЪЕКТЫ'!$B$50,0),0)-IF('ОБЪЕКТЫ'!$B$64=1,IFERROR('ОБЪЕКТЫ'!$B$84*'ОБЪЕКТЫ'!BZ78/'ОБЪЕКТЫ'!$B$78,0),0)-BZ53-BZ57-BZ21</x:f>
      </x:c>
      <x:c r="CA22" s="117">
        <x:f>CA10-IFERROR((SUM($D$20:$DS$20)-'ОБЪЕКТЫ'!$B$96)*('Продажи'!CA14+'Продажи'!CA17+'Продажи'!CA20+'Продажи'!CA23)/(SUM('Продажи'!$D$14:$DS$14)+SUM('Продажи'!$D$17:$DS$17)+SUM('Продажи'!$D$20:$DS$20)+SUM('Продажи'!$D$23:$DS$23)),0)-IF('ОБЪЕКТЫ'!$B$8=1,IFERROR('ОБЪЕКТЫ'!$B$28*'ОБЪЕКТЫ'!CA22/'ОБЪЕКТЫ'!$B$22,0),0)-IF('ОБЪЕКТЫ'!$B$36=1,IFERROR('ОБЪЕКТЫ'!$B$56*'ОБЪЕКТЫ'!CA50/'ОБЪЕКТЫ'!$B$50,0),0)-IF('ОБЪЕКТЫ'!$B$64=1,IFERROR('ОБЪЕКТЫ'!$B$84*'ОБЪЕКТЫ'!CA78/'ОБЪЕКТЫ'!$B$78,0),0)-CA53-CA57-CA21</x:f>
      </x:c>
      <x:c r="CB22" s="117">
        <x:f>CB10-IFERROR((SUM($D$20:$DS$20)-'ОБЪЕКТЫ'!$B$96)*('Продажи'!CB14+'Продажи'!CB17+'Продажи'!CB20+'Продажи'!CB23)/(SUM('Продажи'!$D$14:$DS$14)+SUM('Продажи'!$D$17:$DS$17)+SUM('Продажи'!$D$20:$DS$20)+SUM('Продажи'!$D$23:$DS$23)),0)-IF('ОБЪЕКТЫ'!$B$8=1,IFERROR('ОБЪЕКТЫ'!$B$28*'ОБЪЕКТЫ'!CB22/'ОБЪЕКТЫ'!$B$22,0),0)-IF('ОБЪЕКТЫ'!$B$36=1,IFERROR('ОБЪЕКТЫ'!$B$56*'ОБЪЕКТЫ'!CB50/'ОБЪЕКТЫ'!$B$50,0),0)-IF('ОБЪЕКТЫ'!$B$64=1,IFERROR('ОБЪЕКТЫ'!$B$84*'ОБЪЕКТЫ'!CB78/'ОБЪЕКТЫ'!$B$78,0),0)-CB53-CB57-CB21</x:f>
      </x:c>
      <x:c r="CC22" s="117">
        <x:f>CC10-IFERROR((SUM($D$20:$DS$20)-'ОБЪЕКТЫ'!$B$96)*('Продажи'!CC14+'Продажи'!CC17+'Продажи'!CC20+'Продажи'!CC23)/(SUM('Продажи'!$D$14:$DS$14)+SUM('Продажи'!$D$17:$DS$17)+SUM('Продажи'!$D$20:$DS$20)+SUM('Продажи'!$D$23:$DS$23)),0)-IF('ОБЪЕКТЫ'!$B$8=1,IFERROR('ОБЪЕКТЫ'!$B$28*'ОБЪЕКТЫ'!CC22/'ОБЪЕКТЫ'!$B$22,0),0)-IF('ОБЪЕКТЫ'!$B$36=1,IFERROR('ОБЪЕКТЫ'!$B$56*'ОБЪЕКТЫ'!CC50/'ОБЪЕКТЫ'!$B$50,0),0)-IF('ОБЪЕКТЫ'!$B$64=1,IFERROR('ОБЪЕКТЫ'!$B$84*'ОБЪЕКТЫ'!CC78/'ОБЪЕКТЫ'!$B$78,0),0)-CC53-CC57-CC21</x:f>
      </x:c>
      <x:c r="CD22" s="117">
        <x:f>CD10-IFERROR((SUM($D$20:$DS$20)-'ОБЪЕКТЫ'!$B$96)*('Продажи'!CD14+'Продажи'!CD17+'Продажи'!CD20+'Продажи'!CD23)/(SUM('Продажи'!$D$14:$DS$14)+SUM('Продажи'!$D$17:$DS$17)+SUM('Продажи'!$D$20:$DS$20)+SUM('Продажи'!$D$23:$DS$23)),0)-IF('ОБЪЕКТЫ'!$B$8=1,IFERROR('ОБЪЕКТЫ'!$B$28*'ОБЪЕКТЫ'!CD22/'ОБЪЕКТЫ'!$B$22,0),0)-IF('ОБЪЕКТЫ'!$B$36=1,IFERROR('ОБЪЕКТЫ'!$B$56*'ОБЪЕКТЫ'!CD50/'ОБЪЕКТЫ'!$B$50,0),0)-IF('ОБЪЕКТЫ'!$B$64=1,IFERROR('ОБЪЕКТЫ'!$B$84*'ОБЪЕКТЫ'!CD78/'ОБЪЕКТЫ'!$B$78,0),0)-CD53-CD57-CD21</x:f>
      </x:c>
      <x:c r="CE22" s="117">
        <x:f>CE10-IFERROR((SUM($D$20:$DS$20)-'ОБЪЕКТЫ'!$B$96)*('Продажи'!CE14+'Продажи'!CE17+'Продажи'!CE20+'Продажи'!CE23)/(SUM('Продажи'!$D$14:$DS$14)+SUM('Продажи'!$D$17:$DS$17)+SUM('Продажи'!$D$20:$DS$20)+SUM('Продажи'!$D$23:$DS$23)),0)-IF('ОБЪЕКТЫ'!$B$8=1,IFERROR('ОБЪЕКТЫ'!$B$28*'ОБЪЕКТЫ'!CE22/'ОБЪЕКТЫ'!$B$22,0),0)-IF('ОБЪЕКТЫ'!$B$36=1,IFERROR('ОБЪЕКТЫ'!$B$56*'ОБЪЕКТЫ'!CE50/'ОБЪЕКТЫ'!$B$50,0),0)-IF('ОБЪЕКТЫ'!$B$64=1,IFERROR('ОБЪЕКТЫ'!$B$84*'ОБЪЕКТЫ'!CE78/'ОБЪЕКТЫ'!$B$78,0),0)-CE53-CE57-CE21</x:f>
      </x:c>
      <x:c r="CF22" s="117">
        <x:f>CF10-IFERROR((SUM($D$20:$DS$20)-'ОБЪЕКТЫ'!$B$96)*('Продажи'!CF14+'Продажи'!CF17+'Продажи'!CF20+'Продажи'!CF23)/(SUM('Продажи'!$D$14:$DS$14)+SUM('Продажи'!$D$17:$DS$17)+SUM('Продажи'!$D$20:$DS$20)+SUM('Продажи'!$D$23:$DS$23)),0)-IF('ОБЪЕКТЫ'!$B$8=1,IFERROR('ОБЪЕКТЫ'!$B$28*'ОБЪЕКТЫ'!CF22/'ОБЪЕКТЫ'!$B$22,0),0)-IF('ОБЪЕКТЫ'!$B$36=1,IFERROR('ОБЪЕКТЫ'!$B$56*'ОБЪЕКТЫ'!CF50/'ОБЪЕКТЫ'!$B$50,0),0)-IF('ОБЪЕКТЫ'!$B$64=1,IFERROR('ОБЪЕКТЫ'!$B$84*'ОБЪЕКТЫ'!CF78/'ОБЪЕКТЫ'!$B$78,0),0)-CF53-CF57-CF21</x:f>
      </x:c>
      <x:c r="CG22" s="117">
        <x:f>CG10-IFERROR((SUM($D$20:$DS$20)-'ОБЪЕКТЫ'!$B$96)*('Продажи'!CG14+'Продажи'!CG17+'Продажи'!CG20+'Продажи'!CG23)/(SUM('Продажи'!$D$14:$DS$14)+SUM('Продажи'!$D$17:$DS$17)+SUM('Продажи'!$D$20:$DS$20)+SUM('Продажи'!$D$23:$DS$23)),0)-IF('ОБЪЕКТЫ'!$B$8=1,IFERROR('ОБЪЕКТЫ'!$B$28*'ОБЪЕКТЫ'!CG22/'ОБЪЕКТЫ'!$B$22,0),0)-IF('ОБЪЕКТЫ'!$B$36=1,IFERROR('ОБЪЕКТЫ'!$B$56*'ОБЪЕКТЫ'!CG50/'ОБЪЕКТЫ'!$B$50,0),0)-IF('ОБЪЕКТЫ'!$B$64=1,IFERROR('ОБЪЕКТЫ'!$B$84*'ОБЪЕКТЫ'!CG78/'ОБЪЕКТЫ'!$B$78,0),0)-CG53-CG57-CG21</x:f>
      </x:c>
      <x:c r="CH22" s="117">
        <x:f>CH10-IFERROR((SUM($D$20:$DS$20)-'ОБЪЕКТЫ'!$B$96)*('Продажи'!CH14+'Продажи'!CH17+'Продажи'!CH20+'Продажи'!CH23)/(SUM('Продажи'!$D$14:$DS$14)+SUM('Продажи'!$D$17:$DS$17)+SUM('Продажи'!$D$20:$DS$20)+SUM('Продажи'!$D$23:$DS$23)),0)-IF('ОБЪЕКТЫ'!$B$8=1,IFERROR('ОБЪЕКТЫ'!$B$28*'ОБЪЕКТЫ'!CH22/'ОБЪЕКТЫ'!$B$22,0),0)-IF('ОБЪЕКТЫ'!$B$36=1,IFERROR('ОБЪЕКТЫ'!$B$56*'ОБЪЕКТЫ'!CH50/'ОБЪЕКТЫ'!$B$50,0),0)-IF('ОБЪЕКТЫ'!$B$64=1,IFERROR('ОБЪЕКТЫ'!$B$84*'ОБЪЕКТЫ'!CH78/'ОБЪЕКТЫ'!$B$78,0),0)-CH53-CH57-CH21</x:f>
      </x:c>
      <x:c r="CI22" s="117">
        <x:f>CI10-IFERROR((SUM($D$20:$DS$20)-'ОБЪЕКТЫ'!$B$96)*('Продажи'!CI14+'Продажи'!CI17+'Продажи'!CI20+'Продажи'!CI23)/(SUM('Продажи'!$D$14:$DS$14)+SUM('Продажи'!$D$17:$DS$17)+SUM('Продажи'!$D$20:$DS$20)+SUM('Продажи'!$D$23:$DS$23)),0)-IF('ОБЪЕКТЫ'!$B$8=1,IFERROR('ОБЪЕКТЫ'!$B$28*'ОБЪЕКТЫ'!CI22/'ОБЪЕКТЫ'!$B$22,0),0)-IF('ОБЪЕКТЫ'!$B$36=1,IFERROR('ОБЪЕКТЫ'!$B$56*'ОБЪЕКТЫ'!CI50/'ОБЪЕКТЫ'!$B$50,0),0)-IF('ОБЪЕКТЫ'!$B$64=1,IFERROR('ОБЪЕКТЫ'!$B$84*'ОБЪЕКТЫ'!CI78/'ОБЪЕКТЫ'!$B$78,0),0)-CI53-CI57-CI21</x:f>
      </x:c>
      <x:c r="CJ22" s="117">
        <x:f>CJ10-IFERROR((SUM($D$20:$DS$20)-'ОБЪЕКТЫ'!$B$96)*('Продажи'!CJ14+'Продажи'!CJ17+'Продажи'!CJ20+'Продажи'!CJ23)/(SUM('Продажи'!$D$14:$DS$14)+SUM('Продажи'!$D$17:$DS$17)+SUM('Продажи'!$D$20:$DS$20)+SUM('Продажи'!$D$23:$DS$23)),0)-IF('ОБЪЕКТЫ'!$B$8=1,IFERROR('ОБЪЕКТЫ'!$B$28*'ОБЪЕКТЫ'!CJ22/'ОБЪЕКТЫ'!$B$22,0),0)-IF('ОБЪЕКТЫ'!$B$36=1,IFERROR('ОБЪЕКТЫ'!$B$56*'ОБЪЕКТЫ'!CJ50/'ОБЪЕКТЫ'!$B$50,0),0)-IF('ОБЪЕКТЫ'!$B$64=1,IFERROR('ОБЪЕКТЫ'!$B$84*'ОБЪЕКТЫ'!CJ78/'ОБЪЕКТЫ'!$B$78,0),0)-CJ53-CJ57-CJ21</x:f>
      </x:c>
      <x:c r="CK22" s="117">
        <x:f>CK10-IFERROR((SUM($D$20:$DS$20)-'ОБЪЕКТЫ'!$B$96)*('Продажи'!CK14+'Продажи'!CK17+'Продажи'!CK20+'Продажи'!CK23)/(SUM('Продажи'!$D$14:$DS$14)+SUM('Продажи'!$D$17:$DS$17)+SUM('Продажи'!$D$20:$DS$20)+SUM('Продажи'!$D$23:$DS$23)),0)-IF('ОБЪЕКТЫ'!$B$8=1,IFERROR('ОБЪЕКТЫ'!$B$28*'ОБЪЕКТЫ'!CK22/'ОБЪЕКТЫ'!$B$22,0),0)-IF('ОБЪЕКТЫ'!$B$36=1,IFERROR('ОБЪЕКТЫ'!$B$56*'ОБЪЕКТЫ'!CK50/'ОБЪЕКТЫ'!$B$50,0),0)-IF('ОБЪЕКТЫ'!$B$64=1,IFERROR('ОБЪЕКТЫ'!$B$84*'ОБЪЕКТЫ'!CK78/'ОБЪЕКТЫ'!$B$78,0),0)-CK53-CK57-CK21</x:f>
      </x:c>
      <x:c r="CL22" s="117">
        <x:f>CL10-IFERROR((SUM($D$20:$DS$20)-'ОБЪЕКТЫ'!$B$96)*('Продажи'!CL14+'Продажи'!CL17+'Продажи'!CL20+'Продажи'!CL23)/(SUM('Продажи'!$D$14:$DS$14)+SUM('Продажи'!$D$17:$DS$17)+SUM('Продажи'!$D$20:$DS$20)+SUM('Продажи'!$D$23:$DS$23)),0)-IF('ОБЪЕКТЫ'!$B$8=1,IFERROR('ОБЪЕКТЫ'!$B$28*'ОБЪЕКТЫ'!CL22/'ОБЪЕКТЫ'!$B$22,0),0)-IF('ОБЪЕКТЫ'!$B$36=1,IFERROR('ОБЪЕКТЫ'!$B$56*'ОБЪЕКТЫ'!CL50/'ОБЪЕКТЫ'!$B$50,0),0)-IF('ОБЪЕКТЫ'!$B$64=1,IFERROR('ОБЪЕКТЫ'!$B$84*'ОБЪЕКТЫ'!CL78/'ОБЪЕКТЫ'!$B$78,0),0)-CL53-CL57-CL21</x:f>
      </x:c>
      <x:c r="CM22" s="117">
        <x:f>CM10-IFERROR((SUM($D$20:$DS$20)-'ОБЪЕКТЫ'!$B$96)*('Продажи'!CM14+'Продажи'!CM17+'Продажи'!CM20+'Продажи'!CM23)/(SUM('Продажи'!$D$14:$DS$14)+SUM('Продажи'!$D$17:$DS$17)+SUM('Продажи'!$D$20:$DS$20)+SUM('Продажи'!$D$23:$DS$23)),0)-IF('ОБЪЕКТЫ'!$B$8=1,IFERROR('ОБЪЕКТЫ'!$B$28*'ОБЪЕКТЫ'!CM22/'ОБЪЕКТЫ'!$B$22,0),0)-IF('ОБЪЕКТЫ'!$B$36=1,IFERROR('ОБЪЕКТЫ'!$B$56*'ОБЪЕКТЫ'!CM50/'ОБЪЕКТЫ'!$B$50,0),0)-IF('ОБЪЕКТЫ'!$B$64=1,IFERROR('ОБЪЕКТЫ'!$B$84*'ОБЪЕКТЫ'!CM78/'ОБЪЕКТЫ'!$B$78,0),0)-CM53-CM57-CM21</x:f>
      </x:c>
      <x:c r="CN22" s="117">
        <x:f>CN10-IFERROR((SUM($D$20:$DS$20)-'ОБЪЕКТЫ'!$B$96)*('Продажи'!CN14+'Продажи'!CN17+'Продажи'!CN20+'Продажи'!CN23)/(SUM('Продажи'!$D$14:$DS$14)+SUM('Продажи'!$D$17:$DS$17)+SUM('Продажи'!$D$20:$DS$20)+SUM('Продажи'!$D$23:$DS$23)),0)-IF('ОБЪЕКТЫ'!$B$8=1,IFERROR('ОБЪЕКТЫ'!$B$28*'ОБЪЕКТЫ'!CN22/'ОБЪЕКТЫ'!$B$22,0),0)-IF('ОБЪЕКТЫ'!$B$36=1,IFERROR('ОБЪЕКТЫ'!$B$56*'ОБЪЕКТЫ'!CN50/'ОБЪЕКТЫ'!$B$50,0),0)-IF('ОБЪЕКТЫ'!$B$64=1,IFERROR('ОБЪЕКТЫ'!$B$84*'ОБЪЕКТЫ'!CN78/'ОБЪЕКТЫ'!$B$78,0),0)-CN53-CN57-CN21</x:f>
      </x:c>
      <x:c r="CO22" s="117">
        <x:f>CO10-IFERROR((SUM($D$20:$DS$20)-'ОБЪЕКТЫ'!$B$96)*('Продажи'!CO14+'Продажи'!CO17+'Продажи'!CO20+'Продажи'!CO23)/(SUM('Продажи'!$D$14:$DS$14)+SUM('Продажи'!$D$17:$DS$17)+SUM('Продажи'!$D$20:$DS$20)+SUM('Продажи'!$D$23:$DS$23)),0)-IF('ОБЪЕКТЫ'!$B$8=1,IFERROR('ОБЪЕКТЫ'!$B$28*'ОБЪЕКТЫ'!CO22/'ОБЪЕКТЫ'!$B$22,0),0)-IF('ОБЪЕКТЫ'!$B$36=1,IFERROR('ОБЪЕКТЫ'!$B$56*'ОБЪЕКТЫ'!CO50/'ОБЪЕКТЫ'!$B$50,0),0)-IF('ОБЪЕКТЫ'!$B$64=1,IFERROR('ОБЪЕКТЫ'!$B$84*'ОБЪЕКТЫ'!CO78/'ОБЪЕКТЫ'!$B$78,0),0)-CO53-CO57-CO21</x:f>
      </x:c>
      <x:c r="CP22" s="117">
        <x:f>CP10-IFERROR((SUM($D$20:$DS$20)-'ОБЪЕКТЫ'!$B$96)*('Продажи'!CP14+'Продажи'!CP17+'Продажи'!CP20+'Продажи'!CP23)/(SUM('Продажи'!$D$14:$DS$14)+SUM('Продажи'!$D$17:$DS$17)+SUM('Продажи'!$D$20:$DS$20)+SUM('Продажи'!$D$23:$DS$23)),0)-IF('ОБЪЕКТЫ'!$B$8=1,IFERROR('ОБЪЕКТЫ'!$B$28*'ОБЪЕКТЫ'!CP22/'ОБЪЕКТЫ'!$B$22,0),0)-IF('ОБЪЕКТЫ'!$B$36=1,IFERROR('ОБЪЕКТЫ'!$B$56*'ОБЪЕКТЫ'!CP50/'ОБЪЕКТЫ'!$B$50,0),0)-IF('ОБЪЕКТЫ'!$B$64=1,IFERROR('ОБЪЕКТЫ'!$B$84*'ОБЪЕКТЫ'!CP78/'ОБЪЕКТЫ'!$B$78,0),0)-CP53-CP57-CP21</x:f>
      </x:c>
      <x:c r="CQ22" s="117">
        <x:f>CQ10-IFERROR((SUM($D$20:$DS$20)-'ОБЪЕКТЫ'!$B$96)*('Продажи'!CQ14+'Продажи'!CQ17+'Продажи'!CQ20+'Продажи'!CQ23)/(SUM('Продажи'!$D$14:$DS$14)+SUM('Продажи'!$D$17:$DS$17)+SUM('Продажи'!$D$20:$DS$20)+SUM('Продажи'!$D$23:$DS$23)),0)-IF('ОБЪЕКТЫ'!$B$8=1,IFERROR('ОБЪЕКТЫ'!$B$28*'ОБЪЕКТЫ'!CQ22/'ОБЪЕКТЫ'!$B$22,0),0)-IF('ОБЪЕКТЫ'!$B$36=1,IFERROR('ОБЪЕКТЫ'!$B$56*'ОБЪЕКТЫ'!CQ50/'ОБЪЕКТЫ'!$B$50,0),0)-IF('ОБЪЕКТЫ'!$B$64=1,IFERROR('ОБЪЕКТЫ'!$B$84*'ОБЪЕКТЫ'!CQ78/'ОБЪЕКТЫ'!$B$78,0),0)-CQ53-CQ57-CQ21</x:f>
      </x:c>
      <x:c r="CR22" s="117">
        <x:f>CR10-IFERROR((SUM($D$20:$DS$20)-'ОБЪЕКТЫ'!$B$96)*('Продажи'!CR14+'Продажи'!CR17+'Продажи'!CR20+'Продажи'!CR23)/(SUM('Продажи'!$D$14:$DS$14)+SUM('Продажи'!$D$17:$DS$17)+SUM('Продажи'!$D$20:$DS$20)+SUM('Продажи'!$D$23:$DS$23)),0)-IF('ОБЪЕКТЫ'!$B$8=1,IFERROR('ОБЪЕКТЫ'!$B$28*'ОБЪЕКТЫ'!CR22/'ОБЪЕКТЫ'!$B$22,0),0)-IF('ОБЪЕКТЫ'!$B$36=1,IFERROR('ОБЪЕКТЫ'!$B$56*'ОБЪЕКТЫ'!CR50/'ОБЪЕКТЫ'!$B$50,0),0)-IF('ОБЪЕКТЫ'!$B$64=1,IFERROR('ОБЪЕКТЫ'!$B$84*'ОБЪЕКТЫ'!CR78/'ОБЪЕКТЫ'!$B$78,0),0)-CR53-CR57-CR21</x:f>
      </x:c>
      <x:c r="CS22" s="117">
        <x:f>CS10-IFERROR((SUM($D$20:$DS$20)-'ОБЪЕКТЫ'!$B$96)*('Продажи'!CS14+'Продажи'!CS17+'Продажи'!CS20+'Продажи'!CS23)/(SUM('Продажи'!$D$14:$DS$14)+SUM('Продажи'!$D$17:$DS$17)+SUM('Продажи'!$D$20:$DS$20)+SUM('Продажи'!$D$23:$DS$23)),0)-IF('ОБЪЕКТЫ'!$B$8=1,IFERROR('ОБЪЕКТЫ'!$B$28*'ОБЪЕКТЫ'!CS22/'ОБЪЕКТЫ'!$B$22,0),0)-IF('ОБЪЕКТЫ'!$B$36=1,IFERROR('ОБЪЕКТЫ'!$B$56*'ОБЪЕКТЫ'!CS50/'ОБЪЕКТЫ'!$B$50,0),0)-IF('ОБЪЕКТЫ'!$B$64=1,IFERROR('ОБЪЕКТЫ'!$B$84*'ОБЪЕКТЫ'!CS78/'ОБЪЕКТЫ'!$B$78,0),0)-CS53-CS57-CS21</x:f>
      </x:c>
      <x:c r="CT22" s="117">
        <x:f>CT10-IFERROR((SUM($D$20:$DS$20)-'ОБЪЕКТЫ'!$B$96)*('Продажи'!CT14+'Продажи'!CT17+'Продажи'!CT20+'Продажи'!CT23)/(SUM('Продажи'!$D$14:$DS$14)+SUM('Продажи'!$D$17:$DS$17)+SUM('Продажи'!$D$20:$DS$20)+SUM('Продажи'!$D$23:$DS$23)),0)-IF('ОБЪЕКТЫ'!$B$8=1,IFERROR('ОБЪЕКТЫ'!$B$28*'ОБЪЕКТЫ'!CT22/'ОБЪЕКТЫ'!$B$22,0),0)-IF('ОБЪЕКТЫ'!$B$36=1,IFERROR('ОБЪЕКТЫ'!$B$56*'ОБЪЕКТЫ'!CT50/'ОБЪЕКТЫ'!$B$50,0),0)-IF('ОБЪЕКТЫ'!$B$64=1,IFERROR('ОБЪЕКТЫ'!$B$84*'ОБЪЕКТЫ'!CT78/'ОБЪЕКТЫ'!$B$78,0),0)-CT53-CT57-CT21</x:f>
      </x:c>
      <x:c r="CU22" s="117">
        <x:f>CU10-IFERROR((SUM($D$20:$DS$20)-'ОБЪЕКТЫ'!$B$96)*('Продажи'!CU14+'Продажи'!CU17+'Продажи'!CU20+'Продажи'!CU23)/(SUM('Продажи'!$D$14:$DS$14)+SUM('Продажи'!$D$17:$DS$17)+SUM('Продажи'!$D$20:$DS$20)+SUM('Продажи'!$D$23:$DS$23)),0)-IF('ОБЪЕКТЫ'!$B$8=1,IFERROR('ОБЪЕКТЫ'!$B$28*'ОБЪЕКТЫ'!CU22/'ОБЪЕКТЫ'!$B$22,0),0)-IF('ОБЪЕКТЫ'!$B$36=1,IFERROR('ОБЪЕКТЫ'!$B$56*'ОБЪЕКТЫ'!CU50/'ОБЪЕКТЫ'!$B$50,0),0)-IF('ОБЪЕКТЫ'!$B$64=1,IFERROR('ОБЪЕКТЫ'!$B$84*'ОБЪЕКТЫ'!CU78/'ОБЪЕКТЫ'!$B$78,0),0)-CU53-CU57-CU21</x:f>
      </x:c>
      <x:c r="CV22" s="117">
        <x:f>CV10-IFERROR((SUM($D$20:$DS$20)-'ОБЪЕКТЫ'!$B$96)*('Продажи'!CV14+'Продажи'!CV17+'Продажи'!CV20+'Продажи'!CV23)/(SUM('Продажи'!$D$14:$DS$14)+SUM('Продажи'!$D$17:$DS$17)+SUM('Продажи'!$D$20:$DS$20)+SUM('Продажи'!$D$23:$DS$23)),0)-IF('ОБЪЕКТЫ'!$B$8=1,IFERROR('ОБЪЕКТЫ'!$B$28*'ОБЪЕКТЫ'!CV22/'ОБЪЕКТЫ'!$B$22,0),0)-IF('ОБЪЕКТЫ'!$B$36=1,IFERROR('ОБЪЕКТЫ'!$B$56*'ОБЪЕКТЫ'!CV50/'ОБЪЕКТЫ'!$B$50,0),0)-IF('ОБЪЕКТЫ'!$B$64=1,IFERROR('ОБЪЕКТЫ'!$B$84*'ОБЪЕКТЫ'!CV78/'ОБЪЕКТЫ'!$B$78,0),0)-CV53-CV57-CV21</x:f>
      </x:c>
      <x:c r="CW22" s="117">
        <x:f>CW10-IFERROR((SUM($D$20:$DS$20)-'ОБЪЕКТЫ'!$B$96)*('Продажи'!CW14+'Продажи'!CW17+'Продажи'!CW20+'Продажи'!CW23)/(SUM('Продажи'!$D$14:$DS$14)+SUM('Продажи'!$D$17:$DS$17)+SUM('Продажи'!$D$20:$DS$20)+SUM('Продажи'!$D$23:$DS$23)),0)-IF('ОБЪЕКТЫ'!$B$8=1,IFERROR('ОБЪЕКТЫ'!$B$28*'ОБЪЕКТЫ'!CW22/'ОБЪЕКТЫ'!$B$22,0),0)-IF('ОБЪЕКТЫ'!$B$36=1,IFERROR('ОБЪЕКТЫ'!$B$56*'ОБЪЕКТЫ'!CW50/'ОБЪЕКТЫ'!$B$50,0),0)-IF('ОБЪЕКТЫ'!$B$64=1,IFERROR('ОБЪЕКТЫ'!$B$84*'ОБЪЕКТЫ'!CW78/'ОБЪЕКТЫ'!$B$78,0),0)-CW53-CW57-CW21</x:f>
      </x:c>
      <x:c r="CX22" s="117">
        <x:f>CX10-IFERROR((SUM($D$20:$DS$20)-'ОБЪЕКТЫ'!$B$96)*('Продажи'!CX14+'Продажи'!CX17+'Продажи'!CX20+'Продажи'!CX23)/(SUM('Продажи'!$D$14:$DS$14)+SUM('Продажи'!$D$17:$DS$17)+SUM('Продажи'!$D$20:$DS$20)+SUM('Продажи'!$D$23:$DS$23)),0)-IF('ОБЪЕКТЫ'!$B$8=1,IFERROR('ОБЪЕКТЫ'!$B$28*'ОБЪЕКТЫ'!CX22/'ОБЪЕКТЫ'!$B$22,0),0)-IF('ОБЪЕКТЫ'!$B$36=1,IFERROR('ОБЪЕКТЫ'!$B$56*'ОБЪЕКТЫ'!CX50/'ОБЪЕКТЫ'!$B$50,0),0)-IF('ОБЪЕКТЫ'!$B$64=1,IFERROR('ОБЪЕКТЫ'!$B$84*'ОБЪЕКТЫ'!CX78/'ОБЪЕКТЫ'!$B$78,0),0)-CX53-CX57-CX21</x:f>
      </x:c>
      <x:c r="CY22" s="117">
        <x:f>CY10-IFERROR((SUM($D$20:$DS$20)-'ОБЪЕКТЫ'!$B$96)*('Продажи'!CY14+'Продажи'!CY17+'Продажи'!CY20+'Продажи'!CY23)/(SUM('Продажи'!$D$14:$DS$14)+SUM('Продажи'!$D$17:$DS$17)+SUM('Продажи'!$D$20:$DS$20)+SUM('Продажи'!$D$23:$DS$23)),0)-IF('ОБЪЕКТЫ'!$B$8=1,IFERROR('ОБЪЕКТЫ'!$B$28*'ОБЪЕКТЫ'!CY22/'ОБЪЕКТЫ'!$B$22,0),0)-IF('ОБЪЕКТЫ'!$B$36=1,IFERROR('ОБЪЕКТЫ'!$B$56*'ОБЪЕКТЫ'!CY50/'ОБЪЕКТЫ'!$B$50,0),0)-IF('ОБЪЕКТЫ'!$B$64=1,IFERROR('ОБЪЕКТЫ'!$B$84*'ОБЪЕКТЫ'!CY78/'ОБЪЕКТЫ'!$B$78,0),0)-CY53-CY57-CY21</x:f>
      </x:c>
      <x:c r="CZ22" s="117">
        <x:f>CZ10-IFERROR((SUM($D$20:$DS$20)-'ОБЪЕКТЫ'!$B$96)*('Продажи'!CZ14+'Продажи'!CZ17+'Продажи'!CZ20+'Продажи'!CZ23)/(SUM('Продажи'!$D$14:$DS$14)+SUM('Продажи'!$D$17:$DS$17)+SUM('Продажи'!$D$20:$DS$20)+SUM('Продажи'!$D$23:$DS$23)),0)-IF('ОБЪЕКТЫ'!$B$8=1,IFERROR('ОБЪЕКТЫ'!$B$28*'ОБЪЕКТЫ'!CZ22/'ОБЪЕКТЫ'!$B$22,0),0)-IF('ОБЪЕКТЫ'!$B$36=1,IFERROR('ОБЪЕКТЫ'!$B$56*'ОБЪЕКТЫ'!CZ50/'ОБЪЕКТЫ'!$B$50,0),0)-IF('ОБЪЕКТЫ'!$B$64=1,IFERROR('ОБЪЕКТЫ'!$B$84*'ОБЪЕКТЫ'!CZ78/'ОБЪЕКТЫ'!$B$78,0),0)-CZ53-CZ57-CZ21</x:f>
      </x:c>
      <x:c r="DA22" s="117">
        <x:f>DA10-IFERROR((SUM($D$20:$DS$20)-'ОБЪЕКТЫ'!$B$96)*('Продажи'!DA14+'Продажи'!DA17+'Продажи'!DA20+'Продажи'!DA23)/(SUM('Продажи'!$D$14:$DS$14)+SUM('Продажи'!$D$17:$DS$17)+SUM('Продажи'!$D$20:$DS$20)+SUM('Продажи'!$D$23:$DS$23)),0)-IF('ОБЪЕКТЫ'!$B$8=1,IFERROR('ОБЪЕКТЫ'!$B$28*'ОБЪЕКТЫ'!DA22/'ОБЪЕКТЫ'!$B$22,0),0)-IF('ОБЪЕКТЫ'!$B$36=1,IFERROR('ОБЪЕКТЫ'!$B$56*'ОБЪЕКТЫ'!DA50/'ОБЪЕКТЫ'!$B$50,0),0)-IF('ОБЪЕКТЫ'!$B$64=1,IFERROR('ОБЪЕКТЫ'!$B$84*'ОБЪЕКТЫ'!DA78/'ОБЪЕКТЫ'!$B$78,0),0)-DA53-DA57-DA21</x:f>
      </x:c>
      <x:c r="DB22" s="117">
        <x:f>DB10-IFERROR((SUM($D$20:$DS$20)-'ОБЪЕКТЫ'!$B$96)*('Продажи'!DB14+'Продажи'!DB17+'Продажи'!DB20+'Продажи'!DB23)/(SUM('Продажи'!$D$14:$DS$14)+SUM('Продажи'!$D$17:$DS$17)+SUM('Продажи'!$D$20:$DS$20)+SUM('Продажи'!$D$23:$DS$23)),0)-IF('ОБЪЕКТЫ'!$B$8=1,IFERROR('ОБЪЕКТЫ'!$B$28*'ОБЪЕКТЫ'!DB22/'ОБЪЕКТЫ'!$B$22,0),0)-IF('ОБЪЕКТЫ'!$B$36=1,IFERROR('ОБЪЕКТЫ'!$B$56*'ОБЪЕКТЫ'!DB50/'ОБЪЕКТЫ'!$B$50,0),0)-IF('ОБЪЕКТЫ'!$B$64=1,IFERROR('ОБЪЕКТЫ'!$B$84*'ОБЪЕКТЫ'!DB78/'ОБЪЕКТЫ'!$B$78,0),0)-DB53-DB57-DB21</x:f>
      </x:c>
      <x:c r="DC22" s="117">
        <x:f>DC10-IFERROR((SUM($D$20:$DS$20)-'ОБЪЕКТЫ'!$B$96)*('Продажи'!DC14+'Продажи'!DC17+'Продажи'!DC20+'Продажи'!DC23)/(SUM('Продажи'!$D$14:$DS$14)+SUM('Продажи'!$D$17:$DS$17)+SUM('Продажи'!$D$20:$DS$20)+SUM('Продажи'!$D$23:$DS$23)),0)-IF('ОБЪЕКТЫ'!$B$8=1,IFERROR('ОБЪЕКТЫ'!$B$28*'ОБЪЕКТЫ'!DC22/'ОБЪЕКТЫ'!$B$22,0),0)-IF('ОБЪЕКТЫ'!$B$36=1,IFERROR('ОБЪЕКТЫ'!$B$56*'ОБЪЕКТЫ'!DC50/'ОБЪЕКТЫ'!$B$50,0),0)-IF('ОБЪЕКТЫ'!$B$64=1,IFERROR('ОБЪЕКТЫ'!$B$84*'ОБЪЕКТЫ'!DC78/'ОБЪЕКТЫ'!$B$78,0),0)-DC53-DC57-DC21</x:f>
      </x:c>
      <x:c r="DD22" s="117">
        <x:f>DD10-IFERROR((SUM($D$20:$DS$20)-'ОБЪЕКТЫ'!$B$96)*('Продажи'!DD14+'Продажи'!DD17+'Продажи'!DD20+'Продажи'!DD23)/(SUM('Продажи'!$D$14:$DS$14)+SUM('Продажи'!$D$17:$DS$17)+SUM('Продажи'!$D$20:$DS$20)+SUM('Продажи'!$D$23:$DS$23)),0)-IF('ОБЪЕКТЫ'!$B$8=1,IFERROR('ОБЪЕКТЫ'!$B$28*'ОБЪЕКТЫ'!DD22/'ОБЪЕКТЫ'!$B$22,0),0)-IF('ОБЪЕКТЫ'!$B$36=1,IFERROR('ОБЪЕКТЫ'!$B$56*'ОБЪЕКТЫ'!DD50/'ОБЪЕКТЫ'!$B$50,0),0)-IF('ОБЪЕКТЫ'!$B$64=1,IFERROR('ОБЪЕКТЫ'!$B$84*'ОБЪЕКТЫ'!DD78/'ОБЪЕКТЫ'!$B$78,0),0)-DD53-DD57-DD21</x:f>
      </x:c>
      <x:c r="DE22" s="117">
        <x:f>DE10-IFERROR((SUM($D$20:$DS$20)-'ОБЪЕКТЫ'!$B$96)*('Продажи'!DE14+'Продажи'!DE17+'Продажи'!DE20+'Продажи'!DE23)/(SUM('Продажи'!$D$14:$DS$14)+SUM('Продажи'!$D$17:$DS$17)+SUM('Продажи'!$D$20:$DS$20)+SUM('Продажи'!$D$23:$DS$23)),0)-IF('ОБЪЕКТЫ'!$B$8=1,IFERROR('ОБЪЕКТЫ'!$B$28*'ОБЪЕКТЫ'!DE22/'ОБЪЕКТЫ'!$B$22,0),0)-IF('ОБЪЕКТЫ'!$B$36=1,IFERROR('ОБЪЕКТЫ'!$B$56*'ОБЪЕКТЫ'!DE50/'ОБЪЕКТЫ'!$B$50,0),0)-IF('ОБЪЕКТЫ'!$B$64=1,IFERROR('ОБЪЕКТЫ'!$B$84*'ОБЪЕКТЫ'!DE78/'ОБЪЕКТЫ'!$B$78,0),0)-DE53-DE57-DE21</x:f>
      </x:c>
      <x:c r="DF22" s="117">
        <x:f>DF10-IFERROR((SUM($D$20:$DS$20)-'ОБЪЕКТЫ'!$B$96)*('Продажи'!DF14+'Продажи'!DF17+'Продажи'!DF20+'Продажи'!DF23)/(SUM('Продажи'!$D$14:$DS$14)+SUM('Продажи'!$D$17:$DS$17)+SUM('Продажи'!$D$20:$DS$20)+SUM('Продажи'!$D$23:$DS$23)),0)-IF('ОБЪЕКТЫ'!$B$8=1,IFERROR('ОБЪЕКТЫ'!$B$28*'ОБЪЕКТЫ'!DF22/'ОБЪЕКТЫ'!$B$22,0),0)-IF('ОБЪЕКТЫ'!$B$36=1,IFERROR('ОБЪЕКТЫ'!$B$56*'ОБЪЕКТЫ'!DF50/'ОБЪЕКТЫ'!$B$50,0),0)-IF('ОБЪЕКТЫ'!$B$64=1,IFERROR('ОБЪЕКТЫ'!$B$84*'ОБЪЕКТЫ'!DF78/'ОБЪЕКТЫ'!$B$78,0),0)-DF53-DF57-DF21</x:f>
      </x:c>
      <x:c r="DG22" s="117">
        <x:f>DG10-IFERROR((SUM($D$20:$DS$20)-'ОБЪЕКТЫ'!$B$96)*('Продажи'!DG14+'Продажи'!DG17+'Продажи'!DG20+'Продажи'!DG23)/(SUM('Продажи'!$D$14:$DS$14)+SUM('Продажи'!$D$17:$DS$17)+SUM('Продажи'!$D$20:$DS$20)+SUM('Продажи'!$D$23:$DS$23)),0)-IF('ОБЪЕКТЫ'!$B$8=1,IFERROR('ОБЪЕКТЫ'!$B$28*'ОБЪЕКТЫ'!DG22/'ОБЪЕКТЫ'!$B$22,0),0)-IF('ОБЪЕКТЫ'!$B$36=1,IFERROR('ОБЪЕКТЫ'!$B$56*'ОБЪЕКТЫ'!DG50/'ОБЪЕКТЫ'!$B$50,0),0)-IF('ОБЪЕКТЫ'!$B$64=1,IFERROR('ОБЪЕКТЫ'!$B$84*'ОБЪЕКТЫ'!DG78/'ОБЪЕКТЫ'!$B$78,0),0)-DG53-DG57-DG21</x:f>
      </x:c>
      <x:c r="DH22" s="117">
        <x:f>DH10-IFERROR((SUM($D$20:$DS$20)-'ОБЪЕКТЫ'!$B$96)*('Продажи'!DH14+'Продажи'!DH17+'Продажи'!DH20+'Продажи'!DH23)/(SUM('Продажи'!$D$14:$DS$14)+SUM('Продажи'!$D$17:$DS$17)+SUM('Продажи'!$D$20:$DS$20)+SUM('Продажи'!$D$23:$DS$23)),0)-IF('ОБЪЕКТЫ'!$B$8=1,IFERROR('ОБЪЕКТЫ'!$B$28*'ОБЪЕКТЫ'!DH22/'ОБЪЕКТЫ'!$B$22,0),0)-IF('ОБЪЕКТЫ'!$B$36=1,IFERROR('ОБЪЕКТЫ'!$B$56*'ОБЪЕКТЫ'!DH50/'ОБЪЕКТЫ'!$B$50,0),0)-IF('ОБЪЕКТЫ'!$B$64=1,IFERROR('ОБЪЕКТЫ'!$B$84*'ОБЪЕКТЫ'!DH78/'ОБЪЕКТЫ'!$B$78,0),0)-DH53-DH57-DH21</x:f>
      </x:c>
      <x:c r="DI22" s="117">
        <x:f>DI10-IFERROR((SUM($D$20:$DS$20)-'ОБЪЕКТЫ'!$B$96)*('Продажи'!DI14+'Продажи'!DI17+'Продажи'!DI20+'Продажи'!DI23)/(SUM('Продажи'!$D$14:$DS$14)+SUM('Продажи'!$D$17:$DS$17)+SUM('Продажи'!$D$20:$DS$20)+SUM('Продажи'!$D$23:$DS$23)),0)-IF('ОБЪЕКТЫ'!$B$8=1,IFERROR('ОБЪЕКТЫ'!$B$28*'ОБЪЕКТЫ'!DI22/'ОБЪЕКТЫ'!$B$22,0),0)-IF('ОБЪЕКТЫ'!$B$36=1,IFERROR('ОБЪЕКТЫ'!$B$56*'ОБЪЕКТЫ'!DI50/'ОБЪЕКТЫ'!$B$50,0),0)-IF('ОБЪЕКТЫ'!$B$64=1,IFERROR('ОБЪЕКТЫ'!$B$84*'ОБЪЕКТЫ'!DI78/'ОБЪЕКТЫ'!$B$78,0),0)-DI53-DI57-DI21</x:f>
      </x:c>
      <x:c r="DJ22" s="117">
        <x:f>DJ10-IFERROR((SUM($D$20:$DS$20)-'ОБЪЕКТЫ'!$B$96)*('Продажи'!DJ14+'Продажи'!DJ17+'Продажи'!DJ20+'Продажи'!DJ23)/(SUM('Продажи'!$D$14:$DS$14)+SUM('Продажи'!$D$17:$DS$17)+SUM('Продажи'!$D$20:$DS$20)+SUM('Продажи'!$D$23:$DS$23)),0)-IF('ОБЪЕКТЫ'!$B$8=1,IFERROR('ОБЪЕКТЫ'!$B$28*'ОБЪЕКТЫ'!DJ22/'ОБЪЕКТЫ'!$B$22,0),0)-IF('ОБЪЕКТЫ'!$B$36=1,IFERROR('ОБЪЕКТЫ'!$B$56*'ОБЪЕКТЫ'!DJ50/'ОБЪЕКТЫ'!$B$50,0),0)-IF('ОБЪЕКТЫ'!$B$64=1,IFERROR('ОБЪЕКТЫ'!$B$84*'ОБЪЕКТЫ'!DJ78/'ОБЪЕКТЫ'!$B$78,0),0)-DJ53-DJ57-DJ21</x:f>
      </x:c>
      <x:c r="DK22" s="117">
        <x:f>DK10-IFERROR((SUM($D$20:$DS$20)-'ОБЪЕКТЫ'!$B$96)*('Продажи'!DK14+'Продажи'!DK17+'Продажи'!DK20+'Продажи'!DK23)/(SUM('Продажи'!$D$14:$DS$14)+SUM('Продажи'!$D$17:$DS$17)+SUM('Продажи'!$D$20:$DS$20)+SUM('Продажи'!$D$23:$DS$23)),0)-IF('ОБЪЕКТЫ'!$B$8=1,IFERROR('ОБЪЕКТЫ'!$B$28*'ОБЪЕКТЫ'!DK22/'ОБЪЕКТЫ'!$B$22,0),0)-IF('ОБЪЕКТЫ'!$B$36=1,IFERROR('ОБЪЕКТЫ'!$B$56*'ОБЪЕКТЫ'!DK50/'ОБЪЕКТЫ'!$B$50,0),0)-IF('ОБЪЕКТЫ'!$B$64=1,IFERROR('ОБЪЕКТЫ'!$B$84*'ОБЪЕКТЫ'!DK78/'ОБЪЕКТЫ'!$B$78,0),0)-DK53-DK57-DK21</x:f>
      </x:c>
      <x:c r="DL22" s="117">
        <x:f>DL10-IFERROR((SUM($D$20:$DS$20)-'ОБЪЕКТЫ'!$B$96)*('Продажи'!DL14+'Продажи'!DL17+'Продажи'!DL20+'Продажи'!DL23)/(SUM('Продажи'!$D$14:$DS$14)+SUM('Продажи'!$D$17:$DS$17)+SUM('Продажи'!$D$20:$DS$20)+SUM('Продажи'!$D$23:$DS$23)),0)-IF('ОБЪЕКТЫ'!$B$8=1,IFERROR('ОБЪЕКТЫ'!$B$28*'ОБЪЕКТЫ'!DL22/'ОБЪЕКТЫ'!$B$22,0),0)-IF('ОБЪЕКТЫ'!$B$36=1,IFERROR('ОБЪЕКТЫ'!$B$56*'ОБЪЕКТЫ'!DL50/'ОБЪЕКТЫ'!$B$50,0),0)-IF('ОБЪЕКТЫ'!$B$64=1,IFERROR('ОБЪЕКТЫ'!$B$84*'ОБЪЕКТЫ'!DL78/'ОБЪЕКТЫ'!$B$78,0),0)-DL53-DL57-DL21</x:f>
      </x:c>
      <x:c r="DM22" s="117">
        <x:f>DM10-IFERROR((SUM($D$20:$DS$20)-'ОБЪЕКТЫ'!$B$96)*('Продажи'!DM14+'Продажи'!DM17+'Продажи'!DM20+'Продажи'!DM23)/(SUM('Продажи'!$D$14:$DS$14)+SUM('Продажи'!$D$17:$DS$17)+SUM('Продажи'!$D$20:$DS$20)+SUM('Продажи'!$D$23:$DS$23)),0)-IF('ОБЪЕКТЫ'!$B$8=1,IFERROR('ОБЪЕКТЫ'!$B$28*'ОБЪЕКТЫ'!DM22/'ОБЪЕКТЫ'!$B$22,0),0)-IF('ОБЪЕКТЫ'!$B$36=1,IFERROR('ОБЪЕКТЫ'!$B$56*'ОБЪЕКТЫ'!DM50/'ОБЪЕКТЫ'!$B$50,0),0)-IF('ОБЪЕКТЫ'!$B$64=1,IFERROR('ОБЪЕКТЫ'!$B$84*'ОБЪЕКТЫ'!DM78/'ОБЪЕКТЫ'!$B$78,0),0)-DM53-DM57-DM21</x:f>
      </x:c>
      <x:c r="DN22" s="117">
        <x:f>DN10-IFERROR((SUM($D$20:$DS$20)-'ОБЪЕКТЫ'!$B$96)*('Продажи'!DN14+'Продажи'!DN17+'Продажи'!DN20+'Продажи'!DN23)/(SUM('Продажи'!$D$14:$DS$14)+SUM('Продажи'!$D$17:$DS$17)+SUM('Продажи'!$D$20:$DS$20)+SUM('Продажи'!$D$23:$DS$23)),0)-IF('ОБЪЕКТЫ'!$B$8=1,IFERROR('ОБЪЕКТЫ'!$B$28*'ОБЪЕКТЫ'!DN22/'ОБЪЕКТЫ'!$B$22,0),0)-IF('ОБЪЕКТЫ'!$B$36=1,IFERROR('ОБЪЕКТЫ'!$B$56*'ОБЪЕКТЫ'!DN50/'ОБЪЕКТЫ'!$B$50,0),0)-IF('ОБЪЕКТЫ'!$B$64=1,IFERROR('ОБЪЕКТЫ'!$B$84*'ОБЪЕКТЫ'!DN78/'ОБЪЕКТЫ'!$B$78,0),0)-DN53-DN57-DN21</x:f>
      </x:c>
      <x:c r="DO22" s="117">
        <x:f>DO10-IFERROR((SUM($D$20:$DS$20)-'ОБЪЕКТЫ'!$B$96)*('Продажи'!DO14+'Продажи'!DO17+'Продажи'!DO20+'Продажи'!DO23)/(SUM('Продажи'!$D$14:$DS$14)+SUM('Продажи'!$D$17:$DS$17)+SUM('Продажи'!$D$20:$DS$20)+SUM('Продажи'!$D$23:$DS$23)),0)-IF('ОБЪЕКТЫ'!$B$8=1,IFERROR('ОБЪЕКТЫ'!$B$28*'ОБЪЕКТЫ'!DO22/'ОБЪЕКТЫ'!$B$22,0),0)-IF('ОБЪЕКТЫ'!$B$36=1,IFERROR('ОБЪЕКТЫ'!$B$56*'ОБЪЕКТЫ'!DO50/'ОБЪЕКТЫ'!$B$50,0),0)-IF('ОБЪЕКТЫ'!$B$64=1,IFERROR('ОБЪЕКТЫ'!$B$84*'ОБЪЕКТЫ'!DO78/'ОБЪЕКТЫ'!$B$78,0),0)-DO53-DO57-DO21</x:f>
      </x:c>
      <x:c r="DP22" s="117">
        <x:f>DP10-IFERROR((SUM($D$20:$DS$20)-'ОБЪЕКТЫ'!$B$96)*('Продажи'!DP14+'Продажи'!DP17+'Продажи'!DP20+'Продажи'!DP23)/(SUM('Продажи'!$D$14:$DS$14)+SUM('Продажи'!$D$17:$DS$17)+SUM('Продажи'!$D$20:$DS$20)+SUM('Продажи'!$D$23:$DS$23)),0)-IF('ОБЪЕКТЫ'!$B$8=1,IFERROR('ОБЪЕКТЫ'!$B$28*'ОБЪЕКТЫ'!DP22/'ОБЪЕКТЫ'!$B$22,0),0)-IF('ОБЪЕКТЫ'!$B$36=1,IFERROR('ОБЪЕКТЫ'!$B$56*'ОБЪЕКТЫ'!DP50/'ОБЪЕКТЫ'!$B$50,0),0)-IF('ОБЪЕКТЫ'!$B$64=1,IFERROR('ОБЪЕКТЫ'!$B$84*'ОБЪЕКТЫ'!DP78/'ОБЪЕКТЫ'!$B$78,0),0)-DP53-DP57-DP21</x:f>
      </x:c>
      <x:c r="DQ22" s="117">
        <x:f>DQ10-IFERROR((SUM($D$20:$DS$20)-'ОБЪЕКТЫ'!$B$96)*('Продажи'!DQ14+'Продажи'!DQ17+'Продажи'!DQ20+'Продажи'!DQ23)/(SUM('Продажи'!$D$14:$DS$14)+SUM('Продажи'!$D$17:$DS$17)+SUM('Продажи'!$D$20:$DS$20)+SUM('Продажи'!$D$23:$DS$23)),0)-IF('ОБЪЕКТЫ'!$B$8=1,IFERROR('ОБЪЕКТЫ'!$B$28*'ОБЪЕКТЫ'!DQ22/'ОБЪЕКТЫ'!$B$22,0),0)-IF('ОБЪЕКТЫ'!$B$36=1,IFERROR('ОБЪЕКТЫ'!$B$56*'ОБЪЕКТЫ'!DQ50/'ОБЪЕКТЫ'!$B$50,0),0)-IF('ОБЪЕКТЫ'!$B$64=1,IFERROR('ОБЪЕКТЫ'!$B$84*'ОБЪЕКТЫ'!DQ78/'ОБЪЕКТЫ'!$B$78,0),0)-DQ53-DQ57-DQ21</x:f>
      </x:c>
      <x:c r="DR22" s="117">
        <x:f>DR10-IFERROR((SUM($D$20:$DS$20)-'ОБЪЕКТЫ'!$B$96)*('Продажи'!DR14+'Продажи'!DR17+'Продажи'!DR20+'Продажи'!DR23)/(SUM('Продажи'!$D$14:$DS$14)+SUM('Продажи'!$D$17:$DS$17)+SUM('Продажи'!$D$20:$DS$20)+SUM('Продажи'!$D$23:$DS$23)),0)-IF('ОБЪЕКТЫ'!$B$8=1,IFERROR('ОБЪЕКТЫ'!$B$28*'ОБЪЕКТЫ'!DR22/'ОБЪЕКТЫ'!$B$22,0),0)-IF('ОБЪЕКТЫ'!$B$36=1,IFERROR('ОБЪЕКТЫ'!$B$56*'ОБЪЕКТЫ'!DR50/'ОБЪЕКТЫ'!$B$50,0),0)-IF('ОБЪЕКТЫ'!$B$64=1,IFERROR('ОБЪЕКТЫ'!$B$84*'ОБЪЕКТЫ'!DR78/'ОБЪЕКТЫ'!$B$78,0),0)-DR53-DR57-DR21</x:f>
      </x:c>
      <x:c r="DS22" s="117">
        <x:f>DS10-IFERROR((SUM($D$20:$DS$20)-'ОБЪЕКТЫ'!$B$96)*('Продажи'!DS14+'Продажи'!DS17+'Продажи'!DS20+'Продажи'!DS23)/(SUM('Продажи'!$D$14:$DS$14)+SUM('Продажи'!$D$17:$DS$17)+SUM('Продажи'!$D$20:$DS$20)+SUM('Продажи'!$D$23:$DS$23)),0)-IF('ОБЪЕКТЫ'!$B$8=1,IFERROR('ОБЪЕКТЫ'!$B$28*'ОБЪЕКТЫ'!DS22/'ОБЪЕКТЫ'!$B$22,0),0)-IF('ОБЪЕКТЫ'!$B$36=1,IFERROR('ОБЪЕКТЫ'!$B$56*'ОБЪЕКТЫ'!DS50/'ОБЪЕКТЫ'!$B$50,0),0)-IF('ОБЪЕКТЫ'!$B$64=1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IF(AND(D$3&gt;=$B$7,D$3&lt;$B$8),MAX(0,'Вводные'!$B$26*'Вводные'!$V$88-(D38+D45))*'Вводные'!$B$29/12,0)</x:f>
      </x:c>
      <x:c r="E43" s="117">
        <x:f>IF(AND(E$3&gt;=$B$7,E$3&lt;$B$8),MAX(0,'Вводные'!$B$26*'Вводные'!$V$88-(E38+E45))*'Вводные'!$B$29/12,0)</x:f>
      </x:c>
      <x:c r="F43" s="117">
        <x:f>IF(AND(F$3&gt;=$B$7,F$3&lt;$B$8),MAX(0,'Вводные'!$B$26*'Вводные'!$V$88-(F38+F45))*'Вводные'!$B$29/12,0)</x:f>
      </x:c>
      <x:c r="G43" s="117">
        <x:f>IF(AND(G$3&gt;=$B$7,G$3&lt;$B$8),MAX(0,'Вводные'!$B$26*'Вводные'!$V$88-(G38+G45))*'Вводные'!$B$29/12,0)</x:f>
      </x:c>
      <x:c r="H43" s="117">
        <x:f>IF(AND(H$3&gt;=$B$7,H$3&lt;$B$8),MAX(0,'Вводные'!$B$26*'Вводные'!$V$88-(H38+H45))*'Вводные'!$B$29/12,0)</x:f>
      </x:c>
      <x:c r="I43" s="117">
        <x:f>IF(AND(I$3&gt;=$B$7,I$3&lt;$B$8),MAX(0,'Вводные'!$B$26*'Вводные'!$V$88-(I38+I45))*'Вводные'!$B$29/12,0)</x:f>
      </x:c>
      <x:c r="J43" s="117">
        <x:f>IF(AND(J$3&gt;=$B$7,J$3&lt;$B$8),MAX(0,'Вводные'!$B$26*'Вводные'!$V$88-(J38+J45))*'Вводные'!$B$29/12,0)</x:f>
      </x:c>
      <x:c r="K43" s="117">
        <x:f>IF(AND(K$3&gt;=$B$7,K$3&lt;$B$8),MAX(0,'Вводные'!$B$26*'Вводные'!$V$88-(K38+K45))*'Вводные'!$B$29/12,0)</x:f>
      </x:c>
      <x:c r="L43" s="117">
        <x:f>IF(AND(L$3&gt;=$B$7,L$3&lt;$B$8),MAX(0,'Вводные'!$B$26*'Вводные'!$V$88-(L38+L45))*'Вводные'!$B$29/12,0)</x:f>
      </x:c>
      <x:c r="M43" s="117">
        <x:f>IF(AND(M$3&gt;=$B$7,M$3&lt;$B$8),MAX(0,'Вводные'!$B$26*'Вводные'!$V$88-(M38+M45))*'Вводные'!$B$29/12,0)</x:f>
      </x:c>
      <x:c r="N43" s="117">
        <x:f>IF(AND(N$3&gt;=$B$7,N$3&lt;$B$8),MAX(0,'Вводные'!$B$26*'Вводные'!$V$88-(N38+N45))*'Вводные'!$B$29/12,0)</x:f>
      </x:c>
      <x:c r="O43" s="117">
        <x:f>IF(AND(O$3&gt;=$B$7,O$3&lt;$B$8),MAX(0,'Вводные'!$B$26*'Вводные'!$V$88-(O38+O45))*'Вводные'!$B$29/12,0)</x:f>
      </x:c>
      <x:c r="P43" s="117">
        <x:f>IF(AND(P$3&gt;=$B$7,P$3&lt;$B$8),MAX(0,'Вводные'!$B$26*'Вводные'!$V$88-(P38+P45))*'Вводные'!$B$29/12,0)</x:f>
      </x:c>
      <x:c r="Q43" s="117">
        <x:f>IF(AND(Q$3&gt;=$B$7,Q$3&lt;$B$8),MAX(0,'Вводные'!$B$26*'Вводные'!$V$88-(Q38+Q45))*'Вводные'!$B$29/12,0)</x:f>
      </x:c>
      <x:c r="R43" s="117">
        <x:f>IF(AND(R$3&gt;=$B$7,R$3&lt;$B$8),MAX(0,'Вводные'!$B$26*'Вводные'!$V$88-(R38+R45))*'Вводные'!$B$29/12,0)</x:f>
      </x:c>
      <x:c r="S43" s="117">
        <x:f>IF(AND(S$3&gt;=$B$7,S$3&lt;$B$8),MAX(0,'Вводные'!$B$26*'Вводные'!$V$88-(S38+S45))*'Вводные'!$B$29/12,0)</x:f>
      </x:c>
      <x:c r="T43" s="117">
        <x:f>IF(AND(T$3&gt;=$B$7,T$3&lt;$B$8),MAX(0,'Вводные'!$B$26*'Вводные'!$V$88-(T38+T45))*'Вводные'!$B$29/12,0)</x:f>
      </x:c>
      <x:c r="U43" s="117">
        <x:f>IF(AND(U$3&gt;=$B$7,U$3&lt;$B$8),MAX(0,'Вводные'!$B$26*'Вводные'!$V$88-(U38+U45))*'Вводные'!$B$29/12,0)</x:f>
      </x:c>
      <x:c r="V43" s="117">
        <x:f>IF(AND(V$3&gt;=$B$7,V$3&lt;$B$8),MAX(0,'Вводные'!$B$26*'Вводные'!$V$88-(V38+V45))*'Вводные'!$B$29/12,0)</x:f>
      </x:c>
      <x:c r="W43" s="117">
        <x:f>IF(AND(W$3&gt;=$B$7,W$3&lt;$B$8),MAX(0,'Вводные'!$B$26*'Вводные'!$V$88-(W38+W45))*'Вводные'!$B$29/12,0)</x:f>
      </x:c>
      <x:c r="X43" s="117">
        <x:f>IF(AND(X$3&gt;=$B$7,X$3&lt;$B$8),MAX(0,'Вводные'!$B$26*'Вводные'!$V$88-(X38+X45))*'Вводные'!$B$29/12,0)</x:f>
      </x:c>
      <x:c r="Y43" s="117">
        <x:f>IF(AND(Y$3&gt;=$B$7,Y$3&lt;$B$8),MAX(0,'Вводные'!$B$26*'Вводные'!$V$88-(Y38+Y45))*'Вводные'!$B$29/12,0)</x:f>
      </x:c>
      <x:c r="Z43" s="117">
        <x:f>IF(AND(Z$3&gt;=$B$7,Z$3&lt;$B$8),MAX(0,'Вводные'!$B$26*'Вводные'!$V$88-(Z38+Z45))*'Вводные'!$B$29/12,0)</x:f>
      </x:c>
      <x:c r="AA43" s="117">
        <x:f>IF(AND(AA$3&gt;=$B$7,AA$3&lt;$B$8),MAX(0,'Вводные'!$B$26*'Вводные'!$V$88-(AA38+AA45))*'Вводные'!$B$29/12,0)</x:f>
      </x:c>
      <x:c r="AB43" s="117">
        <x:f>IF(AND(AB$3&gt;=$B$7,AB$3&lt;$B$8),MAX(0,'Вводные'!$B$26*'Вводные'!$V$88-(AB38+AB45))*'Вводные'!$B$29/12,0)</x:f>
      </x:c>
      <x:c r="AC43" s="117">
        <x:f>IF(AND(AC$3&gt;=$B$7,AC$3&lt;$B$8),MAX(0,'Вводные'!$B$26*'Вводные'!$V$88-(AC38+AC45))*'Вводные'!$B$29/12,0)</x:f>
      </x:c>
      <x:c r="AD43" s="117">
        <x:f>IF(AND(AD$3&gt;=$B$7,AD$3&lt;$B$8),MAX(0,'Вводные'!$B$26*'Вводные'!$V$88-(AD38+AD45))*'Вводные'!$B$29/12,0)</x:f>
      </x:c>
      <x:c r="AE43" s="117">
        <x:f>IF(AND(AE$3&gt;=$B$7,AE$3&lt;$B$8),MAX(0,'Вводные'!$B$26*'Вводные'!$V$88-(AE38+AE45))*'Вводные'!$B$29/12,0)</x:f>
      </x:c>
      <x:c r="AF43" s="117">
        <x:f>IF(AND(AF$3&gt;=$B$7,AF$3&lt;$B$8),MAX(0,'Вводные'!$B$26*'Вводные'!$V$88-(AF38+AF45))*'Вводные'!$B$29/12,0)</x:f>
      </x:c>
      <x:c r="AG43" s="117">
        <x:f>IF(AND(AG$3&gt;=$B$7,AG$3&lt;$B$8),MAX(0,'Вводные'!$B$26*'Вводные'!$V$88-(AG38+AG45))*'Вводные'!$B$29/12,0)</x:f>
      </x:c>
      <x:c r="AH43" s="117">
        <x:f>IF(AND(AH$3&gt;=$B$7,AH$3&lt;$B$8),MAX(0,'Вводные'!$B$26*'Вводные'!$V$88-(AH38+AH45))*'Вводные'!$B$29/12,0)</x:f>
      </x:c>
      <x:c r="AI43" s="117">
        <x:f>IF(AND(AI$3&gt;=$B$7,AI$3&lt;$B$8),MAX(0,'Вводные'!$B$26*'Вводные'!$V$88-(AI38+AI45))*'Вводные'!$B$29/12,0)</x:f>
      </x:c>
      <x:c r="AJ43" s="117">
        <x:f>IF(AND(AJ$3&gt;=$B$7,AJ$3&lt;$B$8),MAX(0,'Вводные'!$B$26*'Вводные'!$V$88-(AJ38+AJ45))*'Вводные'!$B$29/12,0)</x:f>
      </x:c>
      <x:c r="AK43" s="117">
        <x:f>IF(AND(AK$3&gt;=$B$7,AK$3&lt;$B$8),MAX(0,'Вводные'!$B$26*'Вводные'!$V$88-(AK38+AK45))*'Вводные'!$B$29/12,0)</x:f>
      </x:c>
      <x:c r="AL43" s="117">
        <x:f>IF(AND(AL$3&gt;=$B$7,AL$3&lt;$B$8),MAX(0,'Вводные'!$B$26*'Вводные'!$V$88-(AL38+AL45))*'Вводные'!$B$29/12,0)</x:f>
      </x:c>
      <x:c r="AM43" s="117">
        <x:f>IF(AND(AM$3&gt;=$B$7,AM$3&lt;$B$8),MAX(0,'Вводные'!$B$26*'Вводные'!$V$88-(AM38+AM45))*'Вводные'!$B$29/12,0)</x:f>
      </x:c>
      <x:c r="AN43" s="117">
        <x:f>IF(AND(AN$3&gt;=$B$7,AN$3&lt;$B$8),MAX(0,'Вводные'!$B$26*'Вводные'!$V$88-(AN38+AN45))*'Вводные'!$B$29/12,0)</x:f>
      </x:c>
      <x:c r="AO43" s="117">
        <x:f>IF(AND(AO$3&gt;=$B$7,AO$3&lt;$B$8),MAX(0,'Вводные'!$B$26*'Вводные'!$V$88-(AO38+AO45))*'Вводные'!$B$29/12,0)</x:f>
      </x:c>
      <x:c r="AP43" s="117">
        <x:f>IF(AND(AP$3&gt;=$B$7,AP$3&lt;$B$8),MAX(0,'Вводные'!$B$26*'Вводные'!$V$88-(AP38+AP45))*'Вводные'!$B$29/12,0)</x:f>
      </x:c>
      <x:c r="AQ43" s="117">
        <x:f>IF(AND(AQ$3&gt;=$B$7,AQ$3&lt;$B$8),MAX(0,'Вводные'!$B$26*'Вводные'!$V$88-(AQ38+AQ45))*'Вводные'!$B$29/12,0)</x:f>
      </x:c>
      <x:c r="AR43" s="117">
        <x:f>IF(AND(AR$3&gt;=$B$7,AR$3&lt;$B$8),MAX(0,'Вводные'!$B$26*'Вводные'!$V$88-(AR38+AR45))*'Вводные'!$B$29/12,0)</x:f>
      </x:c>
      <x:c r="AS43" s="117">
        <x:f>IF(AND(AS$3&gt;=$B$7,AS$3&lt;$B$8),MAX(0,'Вводные'!$B$26*'Вводные'!$V$88-(AS38+AS45))*'Вводные'!$B$29/12,0)</x:f>
      </x:c>
      <x:c r="AT43" s="117">
        <x:f>IF(AND(AT$3&gt;=$B$7,AT$3&lt;$B$8),MAX(0,'Вводные'!$B$26*'Вводные'!$V$88-(AT38+AT45))*'Вводные'!$B$29/12,0)</x:f>
      </x:c>
      <x:c r="AU43" s="117">
        <x:f>IF(AND(AU$3&gt;=$B$7,AU$3&lt;$B$8),MAX(0,'Вводные'!$B$26*'Вводные'!$V$88-(AU38+AU45))*'Вводные'!$B$29/12,0)</x:f>
      </x:c>
      <x:c r="AV43" s="117">
        <x:f>IF(AND(AV$3&gt;=$B$7,AV$3&lt;$B$8),MAX(0,'Вводные'!$B$26*'Вводные'!$V$88-(AV38+AV45))*'Вводные'!$B$29/12,0)</x:f>
      </x:c>
      <x:c r="AW43" s="117">
        <x:f>IF(AND(AW$3&gt;=$B$7,AW$3&lt;$B$8),MAX(0,'Вводные'!$B$26*'Вводные'!$V$88-(AW38+AW45))*'Вводные'!$B$29/12,0)</x:f>
      </x:c>
      <x:c r="AX43" s="117">
        <x:f>IF(AND(AX$3&gt;=$B$7,AX$3&lt;$B$8),MAX(0,'Вводные'!$B$26*'Вводные'!$V$88-(AX38+AX45))*'Вводные'!$B$29/12,0)</x:f>
      </x:c>
      <x:c r="AY43" s="117">
        <x:f>IF(AND(AY$3&gt;=$B$7,AY$3&lt;$B$8),MAX(0,'Вводные'!$B$26*'Вводные'!$V$88-(AY38+AY45))*'Вводные'!$B$29/12,0)</x:f>
      </x:c>
      <x:c r="AZ43" s="117">
        <x:f>IF(AND(AZ$3&gt;=$B$7,AZ$3&lt;$B$8),MAX(0,'Вводные'!$B$26*'Вводные'!$V$88-(AZ38+AZ45))*'Вводные'!$B$29/12,0)</x:f>
      </x:c>
      <x:c r="BA43" s="117">
        <x:f>IF(AND(BA$3&gt;=$B$7,BA$3&lt;$B$8),MAX(0,'Вводные'!$B$26*'Вводные'!$V$88-(BA38+BA45))*'Вводные'!$B$29/12,0)</x:f>
      </x:c>
      <x:c r="BB43" s="117">
        <x:f>IF(AND(BB$3&gt;=$B$7,BB$3&lt;$B$8),MAX(0,'Вводные'!$B$26*'Вводные'!$V$88-(BB38+BB45))*'Вводные'!$B$29/12,0)</x:f>
      </x:c>
      <x:c r="BC43" s="117">
        <x:f>IF(AND(BC$3&gt;=$B$7,BC$3&lt;$B$8),MAX(0,'Вводные'!$B$26*'Вводные'!$V$88-(BC38+BC45))*'Вводные'!$B$29/12,0)</x:f>
      </x:c>
      <x:c r="BD43" s="117">
        <x:f>IF(AND(BD$3&gt;=$B$7,BD$3&lt;$B$8),MAX(0,'Вводные'!$B$26*'Вводные'!$V$88-(BD38+BD45))*'Вводные'!$B$29/12,0)</x:f>
      </x:c>
      <x:c r="BE43" s="117">
        <x:f>IF(AND(BE$3&gt;=$B$7,BE$3&lt;$B$8),MAX(0,'Вводные'!$B$26*'Вводные'!$V$88-(BE38+BE45))*'Вводные'!$B$29/12,0)</x:f>
      </x:c>
      <x:c r="BF43" s="117">
        <x:f>IF(AND(BF$3&gt;=$B$7,BF$3&lt;$B$8),MAX(0,'Вводные'!$B$26*'Вводные'!$V$88-(BF38+BF45))*'Вводные'!$B$29/12,0)</x:f>
      </x:c>
      <x:c r="BG43" s="117">
        <x:f>IF(AND(BG$3&gt;=$B$7,BG$3&lt;$B$8),MAX(0,'Вводные'!$B$26*'Вводные'!$V$88-(BG38+BG45))*'Вводные'!$B$29/12,0)</x:f>
      </x:c>
      <x:c r="BH43" s="117">
        <x:f>IF(AND(BH$3&gt;=$B$7,BH$3&lt;$B$8),MAX(0,'Вводные'!$B$26*'Вводные'!$V$88-(BH38+BH45))*'Вводные'!$B$29/12,0)</x:f>
      </x:c>
      <x:c r="BI43" s="117">
        <x:f>IF(AND(BI$3&gt;=$B$7,BI$3&lt;$B$8),MAX(0,'Вводные'!$B$26*'Вводные'!$V$88-(BI38+BI45))*'Вводные'!$B$29/12,0)</x:f>
      </x:c>
      <x:c r="BJ43" s="117">
        <x:f>IF(AND(BJ$3&gt;=$B$7,BJ$3&lt;$B$8),MAX(0,'Вводные'!$B$26*'Вводные'!$V$88-(BJ38+BJ45))*'Вводные'!$B$29/12,0)</x:f>
      </x:c>
      <x:c r="BK43" s="117">
        <x:f>IF(AND(BK$3&gt;=$B$7,BK$3&lt;$B$8),MAX(0,'Вводные'!$B$26*'Вводные'!$V$88-(BK38+BK45))*'Вводные'!$B$29/12,0)</x:f>
      </x:c>
      <x:c r="BL43" s="117">
        <x:f>IF(AND(BL$3&gt;=$B$7,BL$3&lt;$B$8),MAX(0,'Вводные'!$B$26*'Вводные'!$V$88-(BL38+BL45))*'Вводные'!$B$29/12,0)</x:f>
      </x:c>
      <x:c r="BM43" s="117">
        <x:f>IF(AND(BM$3&gt;=$B$7,BM$3&lt;$B$8),MAX(0,'Вводные'!$B$26*'Вводные'!$V$88-(BM38+BM45))*'Вводные'!$B$29/12,0)</x:f>
      </x:c>
      <x:c r="BN43" s="117">
        <x:f>IF(AND(BN$3&gt;=$B$7,BN$3&lt;$B$8),MAX(0,'Вводные'!$B$26*'Вводные'!$V$88-(BN38+BN45))*'Вводные'!$B$29/12,0)</x:f>
      </x:c>
      <x:c r="BO43" s="117">
        <x:f>IF(AND(BO$3&gt;=$B$7,BO$3&lt;$B$8),MAX(0,'Вводные'!$B$26*'Вводные'!$V$88-(BO38+BO45))*'Вводные'!$B$29/12,0)</x:f>
      </x:c>
      <x:c r="BP43" s="117">
        <x:f>IF(AND(BP$3&gt;=$B$7,BP$3&lt;$B$8),MAX(0,'Вводные'!$B$26*'Вводные'!$V$88-(BP38+BP45))*'Вводные'!$B$29/12,0)</x:f>
      </x:c>
      <x:c r="BQ43" s="117">
        <x:f>IF(AND(BQ$3&gt;=$B$7,BQ$3&lt;$B$8),MAX(0,'Вводные'!$B$26*'Вводные'!$V$88-(BQ38+BQ45))*'Вводные'!$B$29/12,0)</x:f>
      </x:c>
      <x:c r="BR43" s="117">
        <x:f>IF(AND(BR$3&gt;=$B$7,BR$3&lt;$B$8),MAX(0,'Вводные'!$B$26*'Вводные'!$V$88-(BR38+BR45))*'Вводные'!$B$29/12,0)</x:f>
      </x:c>
      <x:c r="BS43" s="117">
        <x:f>IF(AND(BS$3&gt;=$B$7,BS$3&lt;$B$8),MAX(0,'Вводные'!$B$26*'Вводные'!$V$88-(BS38+BS45))*'Вводные'!$B$29/12,0)</x:f>
      </x:c>
      <x:c r="BT43" s="117">
        <x:f>IF(AND(BT$3&gt;=$B$7,BT$3&lt;$B$8),MAX(0,'Вводные'!$B$26*'Вводные'!$V$88-(BT38+BT45))*'Вводные'!$B$29/12,0)</x:f>
      </x:c>
      <x:c r="BU43" s="117">
        <x:f>IF(AND(BU$3&gt;=$B$7,BU$3&lt;$B$8),MAX(0,'Вводные'!$B$26*'Вводные'!$V$88-(BU38+BU45))*'Вводные'!$B$29/12,0)</x:f>
      </x:c>
      <x:c r="BV43" s="117">
        <x:f>IF(AND(BV$3&gt;=$B$7,BV$3&lt;$B$8),MAX(0,'Вводные'!$B$26*'Вводные'!$V$88-(BV38+BV45))*'Вводные'!$B$29/12,0)</x:f>
      </x:c>
      <x:c r="BW43" s="117">
        <x:f>IF(AND(BW$3&gt;=$B$7,BW$3&lt;$B$8),MAX(0,'Вводные'!$B$26*'Вводные'!$V$88-(BW38+BW45))*'Вводные'!$B$29/12,0)</x:f>
      </x:c>
      <x:c r="BX43" s="117">
        <x:f>IF(AND(BX$3&gt;=$B$7,BX$3&lt;$B$8),MAX(0,'Вводные'!$B$26*'Вводные'!$V$88-(BX38+BX45))*'Вводные'!$B$29/12,0)</x:f>
      </x:c>
      <x:c r="BY43" s="117">
        <x:f>IF(AND(BY$3&gt;=$B$7,BY$3&lt;$B$8),MAX(0,'Вводные'!$B$26*'Вводные'!$V$88-(BY38+BY45))*'Вводные'!$B$29/12,0)</x:f>
      </x:c>
      <x:c r="BZ43" s="117">
        <x:f>IF(AND(BZ$3&gt;=$B$7,BZ$3&lt;$B$8),MAX(0,'Вводные'!$B$26*'Вводные'!$V$88-(BZ38+BZ45))*'Вводные'!$B$29/12,0)</x:f>
      </x:c>
      <x:c r="CA43" s="117">
        <x:f>IF(AND(CA$3&gt;=$B$7,CA$3&lt;$B$8),MAX(0,'Вводные'!$B$26*'Вводные'!$V$88-(CA38+CA45))*'Вводные'!$B$29/12,0)</x:f>
      </x:c>
      <x:c r="CB43" s="117">
        <x:f>IF(AND(CB$3&gt;=$B$7,CB$3&lt;$B$8),MAX(0,'Вводные'!$B$26*'Вводные'!$V$88-(CB38+CB45))*'Вводные'!$B$29/12,0)</x:f>
      </x:c>
      <x:c r="CC43" s="117">
        <x:f>IF(AND(CC$3&gt;=$B$7,CC$3&lt;$B$8),MAX(0,'Вводные'!$B$26*'Вводные'!$V$88-(CC38+CC45))*'Вводные'!$B$29/12,0)</x:f>
      </x:c>
      <x:c r="CD43" s="117">
        <x:f>IF(AND(CD$3&gt;=$B$7,CD$3&lt;$B$8),MAX(0,'Вводные'!$B$26*'Вводные'!$V$88-(CD38+CD45))*'Вводные'!$B$29/12,0)</x:f>
      </x:c>
      <x:c r="CE43" s="117">
        <x:f>IF(AND(CE$3&gt;=$B$7,CE$3&lt;$B$8),MAX(0,'Вводные'!$B$26*'Вводные'!$V$88-(CE38+CE45))*'Вводные'!$B$29/12,0)</x:f>
      </x:c>
      <x:c r="CF43" s="117">
        <x:f>IF(AND(CF$3&gt;=$B$7,CF$3&lt;$B$8),MAX(0,'Вводные'!$B$26*'Вводные'!$V$88-(CF38+CF45))*'Вводные'!$B$29/12,0)</x:f>
      </x:c>
      <x:c r="CG43" s="117">
        <x:f>IF(AND(CG$3&gt;=$B$7,CG$3&lt;$B$8),MAX(0,'Вводные'!$B$26*'Вводные'!$V$88-(CG38+CG45))*'Вводные'!$B$29/12,0)</x:f>
      </x:c>
      <x:c r="CH43" s="117">
        <x:f>IF(AND(CH$3&gt;=$B$7,CH$3&lt;$B$8),MAX(0,'Вводные'!$B$26*'Вводные'!$V$88-(CH38+CH45))*'Вводные'!$B$29/12,0)</x:f>
      </x:c>
      <x:c r="CI43" s="117">
        <x:f>IF(AND(CI$3&gt;=$B$7,CI$3&lt;$B$8),MAX(0,'Вводные'!$B$26*'Вводные'!$V$88-(CI38+CI45))*'Вводные'!$B$29/12,0)</x:f>
      </x:c>
      <x:c r="CJ43" s="117">
        <x:f>IF(AND(CJ$3&gt;=$B$7,CJ$3&lt;$B$8),MAX(0,'Вводные'!$B$26*'Вводные'!$V$88-(CJ38+CJ45))*'Вводные'!$B$29/12,0)</x:f>
      </x:c>
      <x:c r="CK43" s="117">
        <x:f>IF(AND(CK$3&gt;=$B$7,CK$3&lt;$B$8),MAX(0,'Вводные'!$B$26*'Вводные'!$V$88-(CK38+CK45))*'Вводные'!$B$29/12,0)</x:f>
      </x:c>
      <x:c r="CL43" s="117">
        <x:f>IF(AND(CL$3&gt;=$B$7,CL$3&lt;$B$8),MAX(0,'Вводные'!$B$26*'Вводные'!$V$88-(CL38+CL45))*'Вводные'!$B$29/12,0)</x:f>
      </x:c>
      <x:c r="CM43" s="117">
        <x:f>IF(AND(CM$3&gt;=$B$7,CM$3&lt;$B$8),MAX(0,'Вводные'!$B$26*'Вводные'!$V$88-(CM38+CM45))*'Вводные'!$B$29/12,0)</x:f>
      </x:c>
      <x:c r="CN43" s="117">
        <x:f>IF(AND(CN$3&gt;=$B$7,CN$3&lt;$B$8),MAX(0,'Вводные'!$B$26*'Вводные'!$V$88-(CN38+CN45))*'Вводные'!$B$29/12,0)</x:f>
      </x:c>
      <x:c r="CO43" s="117">
        <x:f>IF(AND(CO$3&gt;=$B$7,CO$3&lt;$B$8),MAX(0,'Вводные'!$B$26*'Вводные'!$V$88-(CO38+CO45))*'Вводные'!$B$29/12,0)</x:f>
      </x:c>
      <x:c r="CP43" s="117">
        <x:f>IF(AND(CP$3&gt;=$B$7,CP$3&lt;$B$8),MAX(0,'Вводные'!$B$26*'Вводные'!$V$88-(CP38+CP45))*'Вводные'!$B$29/12,0)</x:f>
      </x:c>
      <x:c r="CQ43" s="117">
        <x:f>IF(AND(CQ$3&gt;=$B$7,CQ$3&lt;$B$8),MAX(0,'Вводные'!$B$26*'Вводные'!$V$88-(CQ38+CQ45))*'Вводные'!$B$29/12,0)</x:f>
      </x:c>
      <x:c r="CR43" s="117">
        <x:f>IF(AND(CR$3&gt;=$B$7,CR$3&lt;$B$8),MAX(0,'Вводные'!$B$26*'Вводные'!$V$88-(CR38+CR45))*'Вводные'!$B$29/12,0)</x:f>
      </x:c>
      <x:c r="CS43" s="117">
        <x:f>IF(AND(CS$3&gt;=$B$7,CS$3&lt;$B$8),MAX(0,'Вводные'!$B$26*'Вводные'!$V$88-(CS38+CS45))*'Вводные'!$B$29/12,0)</x:f>
      </x:c>
      <x:c r="CT43" s="117">
        <x:f>IF(AND(CT$3&gt;=$B$7,CT$3&lt;$B$8),MAX(0,'Вводные'!$B$26*'Вводные'!$V$88-(CT38+CT45))*'Вводные'!$B$29/12,0)</x:f>
      </x:c>
      <x:c r="CU43" s="117">
        <x:f>IF(AND(CU$3&gt;=$B$7,CU$3&lt;$B$8),MAX(0,'Вводные'!$B$26*'Вводные'!$V$88-(CU38+CU45))*'Вводные'!$B$29/12,0)</x:f>
      </x:c>
      <x:c r="CV43" s="117">
        <x:f>IF(AND(CV$3&gt;=$B$7,CV$3&lt;$B$8),MAX(0,'Вводные'!$B$26*'Вводные'!$V$88-(CV38+CV45))*'Вводные'!$B$29/12,0)</x:f>
      </x:c>
      <x:c r="CW43" s="117">
        <x:f>IF(AND(CW$3&gt;=$B$7,CW$3&lt;$B$8),MAX(0,'Вводные'!$B$26*'Вводные'!$V$88-(CW38+CW45))*'Вводные'!$B$29/12,0)</x:f>
      </x:c>
      <x:c r="CX43" s="117">
        <x:f>IF(AND(CX$3&gt;=$B$7,CX$3&lt;$B$8),MAX(0,'Вводные'!$B$26*'Вводные'!$V$88-(CX38+CX45))*'Вводные'!$B$29/12,0)</x:f>
      </x:c>
      <x:c r="CY43" s="117">
        <x:f>IF(AND(CY$3&gt;=$B$7,CY$3&lt;$B$8),MAX(0,'Вводные'!$B$26*'Вводные'!$V$88-(CY38+CY45))*'Вводные'!$B$29/12,0)</x:f>
      </x:c>
      <x:c r="CZ43" s="117">
        <x:f>IF(AND(CZ$3&gt;=$B$7,CZ$3&lt;$B$8),MAX(0,'Вводные'!$B$26*'Вводные'!$V$88-(CZ38+CZ45))*'Вводные'!$B$29/12,0)</x:f>
      </x:c>
      <x:c r="DA43" s="117">
        <x:f>IF(AND(DA$3&gt;=$B$7,DA$3&lt;$B$8),MAX(0,'Вводные'!$B$26*'Вводные'!$V$88-(DA38+DA45))*'Вводные'!$B$29/12,0)</x:f>
      </x:c>
      <x:c r="DB43" s="117">
        <x:f>IF(AND(DB$3&gt;=$B$7,DB$3&lt;$B$8),MAX(0,'Вводные'!$B$26*'Вводные'!$V$88-(DB38+DB45))*'Вводные'!$B$29/12,0)</x:f>
      </x:c>
      <x:c r="DC43" s="117">
        <x:f>IF(AND(DC$3&gt;=$B$7,DC$3&lt;$B$8),MAX(0,'Вводные'!$B$26*'Вводные'!$V$88-(DC38+DC45))*'Вводные'!$B$29/12,0)</x:f>
      </x:c>
      <x:c r="DD43" s="117">
        <x:f>IF(AND(DD$3&gt;=$B$7,DD$3&lt;$B$8),MAX(0,'Вводные'!$B$26*'Вводные'!$V$88-(DD38+DD45))*'Вводные'!$B$29/12,0)</x:f>
      </x:c>
      <x:c r="DE43" s="117">
        <x:f>IF(AND(DE$3&gt;=$B$7,DE$3&lt;$B$8),MAX(0,'Вводные'!$B$26*'Вводные'!$V$88-(DE38+DE45))*'Вводные'!$B$29/12,0)</x:f>
      </x:c>
      <x:c r="DF43" s="117">
        <x:f>IF(AND(DF$3&gt;=$B$7,DF$3&lt;$B$8),MAX(0,'Вводные'!$B$26*'Вводные'!$V$88-(DF38+DF45))*'Вводные'!$B$29/12,0)</x:f>
      </x:c>
      <x:c r="DG43" s="117">
        <x:f>IF(AND(DG$3&gt;=$B$7,DG$3&lt;$B$8),MAX(0,'Вводные'!$B$26*'Вводные'!$V$88-(DG38+DG45))*'Вводные'!$B$29/12,0)</x:f>
      </x:c>
      <x:c r="DH43" s="117">
        <x:f>IF(AND(DH$3&gt;=$B$7,DH$3&lt;$B$8),MAX(0,'Вводные'!$B$26*'Вводные'!$V$88-(DH38+DH45))*'Вводные'!$B$29/12,0)</x:f>
      </x:c>
      <x:c r="DI43" s="117">
        <x:f>IF(AND(DI$3&gt;=$B$7,DI$3&lt;$B$8),MAX(0,'Вводные'!$B$26*'Вводные'!$V$88-(DI38+DI45))*'Вводные'!$B$29/12,0)</x:f>
      </x:c>
      <x:c r="DJ43" s="117">
        <x:f>IF(AND(DJ$3&gt;=$B$7,DJ$3&lt;$B$8),MAX(0,'Вводные'!$B$26*'Вводные'!$V$88-(DJ38+DJ45))*'Вводные'!$B$29/12,0)</x:f>
      </x:c>
      <x:c r="DK43" s="117">
        <x:f>IF(AND(DK$3&gt;=$B$7,DK$3&lt;$B$8),MAX(0,'Вводные'!$B$26*'Вводные'!$V$88-(DK38+DK45))*'Вводные'!$B$29/12,0)</x:f>
      </x:c>
      <x:c r="DL43" s="117">
        <x:f>IF(AND(DL$3&gt;=$B$7,DL$3&lt;$B$8),MAX(0,'Вводные'!$B$26*'Вводные'!$V$88-(DL38+DL45))*'Вводные'!$B$29/12,0)</x:f>
      </x:c>
      <x:c r="DM43" s="117">
        <x:f>IF(AND(DM$3&gt;=$B$7,DM$3&lt;$B$8),MAX(0,'Вводные'!$B$26*'Вводные'!$V$88-(DM38+DM45))*'Вводные'!$B$29/12,0)</x:f>
      </x:c>
      <x:c r="DN43" s="117">
        <x:f>IF(AND(DN$3&gt;=$B$7,DN$3&lt;$B$8),MAX(0,'Вводные'!$B$26*'Вводные'!$V$88-(DN38+DN45))*'Вводные'!$B$29/12,0)</x:f>
      </x:c>
      <x:c r="DO43" s="117">
        <x:f>IF(AND(DO$3&gt;=$B$7,DO$3&lt;$B$8),MAX(0,'Вводные'!$B$26*'Вводные'!$V$88-(DO38+DO45))*'Вводные'!$B$29/12,0)</x:f>
      </x:c>
      <x:c r="DP43" s="117">
        <x:f>IF(AND(DP$3&gt;=$B$7,DP$3&lt;$B$8),MAX(0,'Вводные'!$B$26*'Вводные'!$V$88-(DP38+DP45))*'Вводные'!$B$29/12,0)</x:f>
      </x:c>
      <x:c r="DQ43" s="117">
        <x:f>IF(AND(DQ$3&gt;=$B$7,DQ$3&lt;$B$8),MAX(0,'Вводные'!$B$26*'Вводные'!$V$88-(DQ38+DQ45))*'Вводные'!$B$29/12,0)</x:f>
      </x:c>
      <x:c r="DR43" s="117">
        <x:f>IF(AND(DR$3&gt;=$B$7,DR$3&lt;$B$8),MAX(0,'Вводные'!$B$26*'Вводные'!$V$88-(DR38+DR45))*'Вводные'!$B$29/12,0)</x:f>
      </x:c>
      <x:c r="DS43" s="117">
        <x:f>IF(AND(DS$3&gt;=$B$7,DS$3&lt;$B$8),MAX(0,'Вводные'!$B$26*'Вводные'!$V$88-(DS38+DS45))*'Вводные'!$B$29/12,0)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MIN(MAX(0,'Вводные'!$B$85*'Вводные'!$AI$88),D33)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компенсация",'Вводные'!$B$56*'Вводные'!$R$88*'Вводные'!$H$6,0)))*'Вводные'!$B$30,0)+IF(AND(YEAR(D$3)=YEAR($B$7),MONTH(D$3)=MONTH($B$7),$B$5=1),'Вводные'!$B$26*'Вводные'!$V$88*'Вводные'!$B$30,0)</x:f>
      </x:c>
      <x:c r="E57" s="117">
        <x:f>IF(AND(YEAR(E$3)=YEAR($B$6),MONTH(E$3)=MONTH($B$6),$B$5=1),('CAPEX'!$B$14+'CAPEX'!$B$17+'CAPEX'!$B$18+IF('Вводные'!$B$37="Денежная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компенсация",'Вводные'!$B$56*'Вводные'!$R$88*'Вводные'!$H$6,0)))*'Вводные'!$B$30,0)+IF(AND(YEAR(E$3)=YEAR($B$7),MONTH(E$3)=MONTH($B$7),$B$5=1),'Вводные'!$B$26*'Вводные'!$V$88*'Вводные'!$B$30,0)</x:f>
      </x:c>
      <x:c r="F57" s="117">
        <x:f>IF(AND(YEAR(F$3)=YEAR($B$6),MONTH(F$3)=MONTH($B$6),$B$5=1),('CAPEX'!$B$14+'CAPEX'!$B$17+'CAPEX'!$B$18+IF('Вводные'!$B$37="Денежная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компенсация",'Вводные'!$B$56*'Вводные'!$R$88*'Вводные'!$H$6,0)))*'Вводные'!$B$30,0)+IF(AND(YEAR(F$3)=YEAR($B$7),MONTH(F$3)=MONTH($B$7),$B$5=1),'Вводные'!$B$26*'Вводные'!$V$88*'Вводные'!$B$30,0)</x:f>
      </x:c>
      <x:c r="G57" s="117">
        <x:f>IF(AND(YEAR(G$3)=YEAR($B$6),MONTH(G$3)=MONTH($B$6),$B$5=1),('CAPEX'!$B$14+'CAPEX'!$B$17+'CAPEX'!$B$18+IF('Вводные'!$B$37="Денежная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компенсация",'Вводные'!$B$56*'Вводные'!$R$88*'Вводные'!$H$6,0)))*'Вводные'!$B$30,0)+IF(AND(YEAR(G$3)=YEAR($B$7),MONTH(G$3)=MONTH($B$7),$B$5=1),'Вводные'!$B$26*'Вводные'!$V$88*'Вводные'!$B$30,0)</x:f>
      </x:c>
      <x:c r="H57" s="117">
        <x:f>IF(AND(YEAR(H$3)=YEAR($B$6),MONTH(H$3)=MONTH($B$6),$B$5=1),('CAPEX'!$B$14+'CAPEX'!$B$17+'CAPEX'!$B$18+IF('Вводные'!$B$37="Денежная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компенсация",'Вводные'!$B$56*'Вводные'!$R$88*'Вводные'!$H$6,0)))*'Вводные'!$B$30,0)+IF(AND(YEAR(H$3)=YEAR($B$7),MONTH(H$3)=MONTH($B$7),$B$5=1),'Вводные'!$B$26*'Вводные'!$V$88*'Вводные'!$B$30,0)</x:f>
      </x:c>
      <x:c r="I57" s="117">
        <x:f>IF(AND(YEAR(I$3)=YEAR($B$6),MONTH(I$3)=MONTH($B$6),$B$5=1),('CAPEX'!$B$14+'CAPEX'!$B$17+'CAPEX'!$B$18+IF('Вводные'!$B$37="Денежная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компенсация",'Вводные'!$B$56*'Вводные'!$R$88*'Вводные'!$H$6,0)))*'Вводные'!$B$30,0)+IF(AND(YEAR(I$3)=YEAR($B$7),MONTH(I$3)=MONTH($B$7),$B$5=1),'Вводные'!$B$26*'Вводные'!$V$88*'Вводные'!$B$30,0)</x:f>
      </x:c>
      <x:c r="J57" s="117">
        <x:f>IF(AND(YEAR(J$3)=YEAR($B$6),MONTH(J$3)=MONTH($B$6),$B$5=1),('CAPEX'!$B$14+'CAPEX'!$B$17+'CAPEX'!$B$18+IF('Вводные'!$B$37="Денежная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компенсация",'Вводные'!$B$56*'Вводные'!$R$88*'Вводные'!$H$6,0)))*'Вводные'!$B$30,0)+IF(AND(YEAR(J$3)=YEAR($B$7),MONTH(J$3)=MONTH($B$7),$B$5=1),'Вводные'!$B$26*'Вводные'!$V$88*'Вводные'!$B$30,0)</x:f>
      </x:c>
      <x:c r="K57" s="117">
        <x:f>IF(AND(YEAR(K$3)=YEAR($B$6),MONTH(K$3)=MONTH($B$6),$B$5=1),('CAPEX'!$B$14+'CAPEX'!$B$17+'CAPEX'!$B$18+IF('Вводные'!$B$37="Денежная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компенсация",'Вводные'!$B$56*'Вводные'!$R$88*'Вводные'!$H$6,0)))*'Вводные'!$B$30,0)+IF(AND(YEAR(K$3)=YEAR($B$7),MONTH(K$3)=MONTH($B$7),$B$5=1),'Вводные'!$B$26*'Вводные'!$V$88*'Вводные'!$B$30,0)</x:f>
      </x:c>
      <x:c r="L57" s="117">
        <x:f>IF(AND(YEAR(L$3)=YEAR($B$6),MONTH(L$3)=MONTH($B$6),$B$5=1),('CAPEX'!$B$14+'CAPEX'!$B$17+'CAPEX'!$B$18+IF('Вводные'!$B$37="Денежная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компенсация",'Вводные'!$B$56*'Вводные'!$R$88*'Вводные'!$H$6,0)))*'Вводные'!$B$30,0)+IF(AND(YEAR(L$3)=YEAR($B$7),MONTH(L$3)=MONTH($B$7),$B$5=1),'Вводные'!$B$26*'Вводные'!$V$88*'Вводные'!$B$30,0)</x:f>
      </x:c>
      <x:c r="M57" s="117">
        <x:f>IF(AND(YEAR(M$3)=YEAR($B$6),MONTH(M$3)=MONTH($B$6),$B$5=1),('CAPEX'!$B$14+'CAPEX'!$B$17+'CAPEX'!$B$18+IF('Вводные'!$B$37="Денежная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компенсация",'Вводные'!$B$56*'Вводные'!$R$88*'Вводные'!$H$6,0)))*'Вводные'!$B$30,0)+IF(AND(YEAR(M$3)=YEAR($B$7),MONTH(M$3)=MONTH($B$7),$B$5=1),'Вводные'!$B$26*'Вводные'!$V$88*'Вводные'!$B$30,0)</x:f>
      </x:c>
      <x:c r="N57" s="117">
        <x:f>IF(AND(YEAR(N$3)=YEAR($B$6),MONTH(N$3)=MONTH($B$6),$B$5=1),('CAPEX'!$B$14+'CAPEX'!$B$17+'CAPEX'!$B$18+IF('Вводные'!$B$37="Денежная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компенсация",'Вводные'!$B$56*'Вводные'!$R$88*'Вводные'!$H$6,0)))*'Вводные'!$B$30,0)+IF(AND(YEAR(N$3)=YEAR($B$7),MONTH(N$3)=MONTH($B$7),$B$5=1),'Вводные'!$B$26*'Вводные'!$V$88*'Вводные'!$B$30,0)</x:f>
      </x:c>
      <x:c r="O57" s="117">
        <x:f>IF(AND(YEAR(O$3)=YEAR($B$6),MONTH(O$3)=MONTH($B$6),$B$5=1),('CAPEX'!$B$14+'CAPEX'!$B$17+'CAPEX'!$B$18+IF('Вводные'!$B$37="Денежная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компенсация",'Вводные'!$B$56*'Вводные'!$R$88*'Вводные'!$H$6,0)))*'Вводные'!$B$30,0)+IF(AND(YEAR(O$3)=YEAR($B$7),MONTH(O$3)=MONTH($B$7),$B$5=1),'Вводные'!$B$26*'Вводные'!$V$88*'Вводные'!$B$30,0)</x:f>
      </x:c>
      <x:c r="P57" s="117">
        <x:f>IF(AND(YEAR(P$3)=YEAR($B$6),MONTH(P$3)=MONTH($B$6),$B$5=1),('CAPEX'!$B$14+'CAPEX'!$B$17+'CAPEX'!$B$18+IF('Вводные'!$B$37="Денежная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компенсация",'Вводные'!$B$56*'Вводные'!$R$88*'Вводные'!$H$6,0)))*'Вводные'!$B$30,0)+IF(AND(YEAR(P$3)=YEAR($B$7),MONTH(P$3)=MONTH($B$7),$B$5=1),'Вводные'!$B$26*'Вводные'!$V$88*'Вводные'!$B$30,0)</x:f>
      </x:c>
      <x:c r="Q57" s="117">
        <x:f>IF(AND(YEAR(Q$3)=YEAR($B$6),MONTH(Q$3)=MONTH($B$6),$B$5=1),('CAPEX'!$B$14+'CAPEX'!$B$17+'CAPEX'!$B$18+IF('Вводные'!$B$37="Денежная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компенсация",'Вводные'!$B$56*'Вводные'!$R$88*'Вводные'!$H$6,0)))*'Вводные'!$B$30,0)+IF(AND(YEAR(Q$3)=YEAR($B$7),MONTH(Q$3)=MONTH($B$7),$B$5=1),'Вводные'!$B$26*'Вводные'!$V$88*'Вводные'!$B$30,0)</x:f>
      </x:c>
      <x:c r="R57" s="117">
        <x:f>IF(AND(YEAR(R$3)=YEAR($B$6),MONTH(R$3)=MONTH($B$6),$B$5=1),('CAPEX'!$B$14+'CAPEX'!$B$17+'CAPEX'!$B$18+IF('Вводные'!$B$37="Денежная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компенсация",'Вводные'!$B$56*'Вводные'!$R$88*'Вводные'!$H$6,0)))*'Вводные'!$B$30,0)+IF(AND(YEAR(R$3)=YEAR($B$7),MONTH(R$3)=MONTH($B$7),$B$5=1),'Вводные'!$B$26*'Вводные'!$V$88*'Вводные'!$B$30,0)</x:f>
      </x:c>
      <x:c r="S57" s="117">
        <x:f>IF(AND(YEAR(S$3)=YEAR($B$6),MONTH(S$3)=MONTH($B$6),$B$5=1),('CAPEX'!$B$14+'CAPEX'!$B$17+'CAPEX'!$B$18+IF('Вводные'!$B$37="Денежная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компенсация",'Вводные'!$B$56*'Вводные'!$R$88*'Вводные'!$H$6,0)))*'Вводные'!$B$30,0)+IF(AND(YEAR(S$3)=YEAR($B$7),MONTH(S$3)=MONTH($B$7),$B$5=1),'Вводные'!$B$26*'Вводные'!$V$88*'Вводные'!$B$30,0)</x:f>
      </x:c>
      <x:c r="T57" s="117">
        <x:f>IF(AND(YEAR(T$3)=YEAR($B$6),MONTH(T$3)=MONTH($B$6),$B$5=1),('CAPEX'!$B$14+'CAPEX'!$B$17+'CAPEX'!$B$18+IF('Вводные'!$B$37="Денежная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компенсация",'Вводные'!$B$56*'Вводные'!$R$88*'Вводные'!$H$6,0)))*'Вводные'!$B$30,0)+IF(AND(YEAR(T$3)=YEAR($B$7),MONTH(T$3)=MONTH($B$7),$B$5=1),'Вводные'!$B$26*'Вводные'!$V$88*'Вводные'!$B$30,0)</x:f>
      </x:c>
      <x:c r="U57" s="117">
        <x:f>IF(AND(YEAR(U$3)=YEAR($B$6),MONTH(U$3)=MONTH($B$6),$B$5=1),('CAPEX'!$B$14+'CAPEX'!$B$17+'CAPEX'!$B$18+IF('Вводные'!$B$37="Денежная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компенсация",'Вводные'!$B$56*'Вводные'!$R$88*'Вводные'!$H$6,0)))*'Вводные'!$B$30,0)+IF(AND(YEAR(U$3)=YEAR($B$7),MONTH(U$3)=MONTH($B$7),$B$5=1),'Вводные'!$B$26*'Вводные'!$V$88*'Вводные'!$B$30,0)</x:f>
      </x:c>
      <x:c r="V57" s="117">
        <x:f>IF(AND(YEAR(V$3)=YEAR($B$6),MONTH(V$3)=MONTH($B$6),$B$5=1),('CAPEX'!$B$14+'CAPEX'!$B$17+'CAPEX'!$B$18+IF('Вводные'!$B$37="Денежная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компенсация",'Вводные'!$B$56*'Вводные'!$R$88*'Вводные'!$H$6,0)))*'Вводные'!$B$30,0)+IF(AND(YEAR(V$3)=YEAR($B$7),MONTH(V$3)=MONTH($B$7),$B$5=1),'Вводные'!$B$26*'Вводные'!$V$88*'Вводные'!$B$30,0)</x:f>
      </x:c>
      <x:c r="W57" s="117">
        <x:f>IF(AND(YEAR(W$3)=YEAR($B$6),MONTH(W$3)=MONTH($B$6),$B$5=1),('CAPEX'!$B$14+'CAPEX'!$B$17+'CAPEX'!$B$18+IF('Вводные'!$B$37="Денежная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компенсация",'Вводные'!$B$56*'Вводные'!$R$88*'Вводные'!$H$6,0)))*'Вводные'!$B$30,0)+IF(AND(YEAR(W$3)=YEAR($B$7),MONTH(W$3)=MONTH($B$7),$B$5=1),'Вводные'!$B$26*'Вводные'!$V$88*'Вводные'!$B$30,0)</x:f>
      </x:c>
      <x:c r="X57" s="117">
        <x:f>IF(AND(YEAR(X$3)=YEAR($B$6),MONTH(X$3)=MONTH($B$6),$B$5=1),('CAPEX'!$B$14+'CAPEX'!$B$17+'CAPEX'!$B$18+IF('Вводные'!$B$37="Денежная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компенсация",'Вводные'!$B$56*'Вводные'!$R$88*'Вводные'!$H$6,0)))*'Вводные'!$B$30,0)+IF(AND(YEAR(X$3)=YEAR($B$7),MONTH(X$3)=MONTH($B$7),$B$5=1),'Вводные'!$B$26*'Вводные'!$V$88*'Вводные'!$B$30,0)</x:f>
      </x:c>
      <x:c r="Y57" s="117">
        <x:f>IF(AND(YEAR(Y$3)=YEAR($B$6),MONTH(Y$3)=MONTH($B$6),$B$5=1),('CAPEX'!$B$14+'CAPEX'!$B$17+'CAPEX'!$B$18+IF('Вводные'!$B$37="Денежная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компенсация",'Вводные'!$B$56*'Вводные'!$R$88*'Вводные'!$H$6,0)))*'Вводные'!$B$30,0)+IF(AND(YEAR(Y$3)=YEAR($B$7),MONTH(Y$3)=MONTH($B$7),$B$5=1),'Вводные'!$B$26*'Вводные'!$V$88*'Вводные'!$B$30,0)</x:f>
      </x:c>
      <x:c r="Z57" s="117">
        <x:f>IF(AND(YEAR(Z$3)=YEAR($B$6),MONTH(Z$3)=MONTH($B$6),$B$5=1),('CAPEX'!$B$14+'CAPEX'!$B$17+'CAPEX'!$B$18+IF('Вводные'!$B$37="Денежная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компенсация",'Вводные'!$B$56*'Вводные'!$R$88*'Вводные'!$H$6,0)))*'Вводные'!$B$30,0)+IF(AND(YEAR(Z$3)=YEAR($B$7),MONTH(Z$3)=MONTH($B$7),$B$5=1),'Вводные'!$B$26*'Вводные'!$V$88*'Вводные'!$B$30,0)</x:f>
      </x:c>
      <x:c r="AA57" s="117">
        <x:f>IF(AND(YEAR(AA$3)=YEAR($B$6),MONTH(AA$3)=MONTH($B$6),$B$5=1),('CAPEX'!$B$14+'CAPEX'!$B$17+'CAPEX'!$B$18+IF('Вводные'!$B$37="Денежная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компенсация",'Вводные'!$B$56*'Вводные'!$R$88*'Вводные'!$H$6,0)))*'Вводные'!$B$30,0)+IF(AND(YEAR(AA$3)=YEAR($B$7),MONTH(AA$3)=MONTH($B$7),$B$5=1),'Вводные'!$B$26*'Вводные'!$V$88*'Вводные'!$B$30,0)</x:f>
      </x:c>
      <x:c r="AB57" s="117">
        <x:f>IF(AND(YEAR(AB$3)=YEAR($B$6),MONTH(AB$3)=MONTH($B$6),$B$5=1),('CAPEX'!$B$14+'CAPEX'!$B$17+'CAPEX'!$B$18+IF('Вводные'!$B$37="Денежная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компенсация",'Вводные'!$B$56*'Вводные'!$R$88*'Вводные'!$H$6,0)))*'Вводные'!$B$30,0)+IF(AND(YEAR(AB$3)=YEAR($B$7),MONTH(AB$3)=MONTH($B$7),$B$5=1),'Вводные'!$B$26*'Вводные'!$V$88*'Вводные'!$B$30,0)</x:f>
      </x:c>
      <x:c r="AC57" s="117">
        <x:f>IF(AND(YEAR(AC$3)=YEAR($B$6),MONTH(AC$3)=MONTH($B$6),$B$5=1),('CAPEX'!$B$14+'CAPEX'!$B$17+'CAPEX'!$B$18+IF('Вводные'!$B$37="Денежная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компенсация",'Вводные'!$B$56*'Вводные'!$R$88*'Вводные'!$H$6,0)))*'Вводные'!$B$30,0)+IF(AND(YEAR(AC$3)=YEAR($B$7),MONTH(AC$3)=MONTH($B$7),$B$5=1),'Вводные'!$B$26*'Вводные'!$V$88*'Вводные'!$B$30,0)</x:f>
      </x:c>
      <x:c r="AD57" s="117">
        <x:f>IF(AND(YEAR(AD$3)=YEAR($B$6),MONTH(AD$3)=MONTH($B$6),$B$5=1),('CAPEX'!$B$14+'CAPEX'!$B$17+'CAPEX'!$B$18+IF('Вводные'!$B$37="Денежная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компенсация",'Вводные'!$B$56*'Вводные'!$R$88*'Вводные'!$H$6,0)))*'Вводные'!$B$30,0)+IF(AND(YEAR(AD$3)=YEAR($B$7),MONTH(AD$3)=MONTH($B$7),$B$5=1),'Вводные'!$B$26*'Вводные'!$V$88*'Вводные'!$B$30,0)</x:f>
      </x:c>
      <x:c r="AE57" s="117">
        <x:f>IF(AND(YEAR(AE$3)=YEAR($B$6),MONTH(AE$3)=MONTH($B$6),$B$5=1),('CAPEX'!$B$14+'CAPEX'!$B$17+'CAPEX'!$B$18+IF('Вводные'!$B$37="Денежная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компенсация",'Вводные'!$B$56*'Вводные'!$R$88*'Вводные'!$H$6,0)))*'Вводные'!$B$30,0)+IF(AND(YEAR(AE$3)=YEAR($B$7),MONTH(AE$3)=MONTH($B$7),$B$5=1),'Вводные'!$B$26*'Вводные'!$V$88*'Вводные'!$B$30,0)</x:f>
      </x:c>
      <x:c r="AF57" s="117">
        <x:f>IF(AND(YEAR(AF$3)=YEAR($B$6),MONTH(AF$3)=MONTH($B$6),$B$5=1),('CAPEX'!$B$14+'CAPEX'!$B$17+'CAPEX'!$B$18+IF('Вводные'!$B$37="Денежная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компенсация",'Вводные'!$B$56*'Вводные'!$R$88*'Вводные'!$H$6,0)))*'Вводные'!$B$30,0)+IF(AND(YEAR(AF$3)=YEAR($B$7),MONTH(AF$3)=MONTH($B$7),$B$5=1),'Вводные'!$B$26*'Вводные'!$V$88*'Вводные'!$B$30,0)</x:f>
      </x:c>
      <x:c r="AG57" s="117">
        <x:f>IF(AND(YEAR(AG$3)=YEAR($B$6),MONTH(AG$3)=MONTH($B$6),$B$5=1),('CAPEX'!$B$14+'CAPEX'!$B$17+'CAPEX'!$B$18+IF('Вводные'!$B$37="Денежная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компенсация",'Вводные'!$B$56*'Вводные'!$R$88*'Вводные'!$H$6,0)))*'Вводные'!$B$30,0)+IF(AND(YEAR(AG$3)=YEAR($B$7),MONTH(AG$3)=MONTH($B$7),$B$5=1),'Вводные'!$B$26*'Вводные'!$V$88*'Вводные'!$B$30,0)</x:f>
      </x:c>
      <x:c r="AH57" s="117">
        <x:f>IF(AND(YEAR(AH$3)=YEAR($B$6),MONTH(AH$3)=MONTH($B$6),$B$5=1),('CAPEX'!$B$14+'CAPEX'!$B$17+'CAPEX'!$B$18+IF('Вводные'!$B$37="Денежная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компенсация",'Вводные'!$B$56*'Вводные'!$R$88*'Вводные'!$H$6,0)))*'Вводные'!$B$30,0)+IF(AND(YEAR(AH$3)=YEAR($B$7),MONTH(AH$3)=MONTH($B$7),$B$5=1),'Вводные'!$B$26*'Вводные'!$V$88*'Вводные'!$B$30,0)</x:f>
      </x:c>
      <x:c r="AI57" s="117">
        <x:f>IF(AND(YEAR(AI$3)=YEAR($B$6),MONTH(AI$3)=MONTH($B$6),$B$5=1),('CAPEX'!$B$14+'CAPEX'!$B$17+'CAPEX'!$B$18+IF('Вводные'!$B$37="Денежная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компенсация",'Вводные'!$B$56*'Вводные'!$R$88*'Вводные'!$H$6,0)))*'Вводные'!$B$30,0)+IF(AND(YEAR(AI$3)=YEAR($B$7),MONTH(AI$3)=MONTH($B$7),$B$5=1),'Вводные'!$B$26*'Вводные'!$V$88*'Вводные'!$B$30,0)</x:f>
      </x:c>
      <x:c r="AJ57" s="117">
        <x:f>IF(AND(YEAR(AJ$3)=YEAR($B$6),MONTH(AJ$3)=MONTH($B$6),$B$5=1),('CAPEX'!$B$14+'CAPEX'!$B$17+'CAPEX'!$B$18+IF('Вводные'!$B$37="Денежная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компенсация",'Вводные'!$B$56*'Вводные'!$R$88*'Вводные'!$H$6,0)))*'Вводные'!$B$30,0)+IF(AND(YEAR(AJ$3)=YEAR($B$7),MONTH(AJ$3)=MONTH($B$7),$B$5=1),'Вводные'!$B$26*'Вводные'!$V$88*'Вводные'!$B$30,0)</x:f>
      </x:c>
      <x:c r="AK57" s="117">
        <x:f>IF(AND(YEAR(AK$3)=YEAR($B$6),MONTH(AK$3)=MONTH($B$6),$B$5=1),('CAPEX'!$B$14+'CAPEX'!$B$17+'CAPEX'!$B$18+IF('Вводные'!$B$37="Денежная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компенсация",'Вводные'!$B$56*'Вводные'!$R$88*'Вводные'!$H$6,0)))*'Вводные'!$B$30,0)+IF(AND(YEAR(AK$3)=YEAR($B$7),MONTH(AK$3)=MONTH($B$7),$B$5=1),'Вводные'!$B$26*'Вводные'!$V$88*'Вводные'!$B$30,0)</x:f>
      </x:c>
      <x:c r="AL57" s="117">
        <x:f>IF(AND(YEAR(AL$3)=YEAR($B$6),MONTH(AL$3)=MONTH($B$6),$B$5=1),('CAPEX'!$B$14+'CAPEX'!$B$17+'CAPEX'!$B$18+IF('Вводные'!$B$37="Денежная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компенсация",'Вводные'!$B$56*'Вводные'!$R$88*'Вводные'!$H$6,0)))*'Вводные'!$B$30,0)+IF(AND(YEAR(AL$3)=YEAR($B$7),MONTH(AL$3)=MONTH($B$7),$B$5=1),'Вводные'!$B$26*'Вводные'!$V$88*'Вводные'!$B$30,0)</x:f>
      </x:c>
      <x:c r="AM57" s="117">
        <x:f>IF(AND(YEAR(AM$3)=YEAR($B$6),MONTH(AM$3)=MONTH($B$6),$B$5=1),('CAPEX'!$B$14+'CAPEX'!$B$17+'CAPEX'!$B$18+IF('Вводные'!$B$37="Денежная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компенсация",'Вводные'!$B$56*'Вводные'!$R$88*'Вводные'!$H$6,0)))*'Вводные'!$B$30,0)+IF(AND(YEAR(AM$3)=YEAR($B$7),MONTH(AM$3)=MONTH($B$7),$B$5=1),'Вводные'!$B$26*'Вводные'!$V$88*'Вводные'!$B$30,0)</x:f>
      </x:c>
      <x:c r="AN57" s="117">
        <x:f>IF(AND(YEAR(AN$3)=YEAR($B$6),MONTH(AN$3)=MONTH($B$6),$B$5=1),('CAPEX'!$B$14+'CAPEX'!$B$17+'CAPEX'!$B$18+IF('Вводные'!$B$37="Денежная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компенсация",'Вводные'!$B$56*'Вводные'!$R$88*'Вводные'!$H$6,0)))*'Вводные'!$B$30,0)+IF(AND(YEAR(AN$3)=YEAR($B$7),MONTH(AN$3)=MONTH($B$7),$B$5=1),'Вводные'!$B$26*'Вводные'!$V$88*'Вводные'!$B$30,0)</x:f>
      </x:c>
      <x:c r="AO57" s="117">
        <x:f>IF(AND(YEAR(AO$3)=YEAR($B$6),MONTH(AO$3)=MONTH($B$6),$B$5=1),('CAPEX'!$B$14+'CAPEX'!$B$17+'CAPEX'!$B$18+IF('Вводные'!$B$37="Денежная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компенсация",'Вводные'!$B$56*'Вводные'!$R$88*'Вводные'!$H$6,0)))*'Вводные'!$B$30,0)+IF(AND(YEAR(AO$3)=YEAR($B$7),MONTH(AO$3)=MONTH($B$7),$B$5=1),'Вводные'!$B$26*'Вводные'!$V$88*'Вводные'!$B$30,0)</x:f>
      </x:c>
      <x:c r="AP57" s="117">
        <x:f>IF(AND(YEAR(AP$3)=YEAR($B$6),MONTH(AP$3)=MONTH($B$6),$B$5=1),('CAPEX'!$B$14+'CAPEX'!$B$17+'CAPEX'!$B$18+IF('Вводные'!$B$37="Денежная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компенсация",'Вводные'!$B$56*'Вводные'!$R$88*'Вводные'!$H$6,0)))*'Вводные'!$B$30,0)+IF(AND(YEAR(AP$3)=YEAR($B$7),MONTH(AP$3)=MONTH($B$7),$B$5=1),'Вводные'!$B$26*'Вводные'!$V$88*'Вводные'!$B$30,0)</x:f>
      </x:c>
      <x:c r="AQ57" s="117">
        <x:f>IF(AND(YEAR(AQ$3)=YEAR($B$6),MONTH(AQ$3)=MONTH($B$6),$B$5=1),('CAPEX'!$B$14+'CAPEX'!$B$17+'CAPEX'!$B$18+IF('Вводные'!$B$37="Денежная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компенсация",'Вводные'!$B$56*'Вводные'!$R$88*'Вводные'!$H$6,0)))*'Вводные'!$B$30,0)+IF(AND(YEAR(AQ$3)=YEAR($B$7),MONTH(AQ$3)=MONTH($B$7),$B$5=1),'Вводные'!$B$26*'Вводные'!$V$88*'Вводные'!$B$30,0)</x:f>
      </x:c>
      <x:c r="AR57" s="117">
        <x:f>IF(AND(YEAR(AR$3)=YEAR($B$6),MONTH(AR$3)=MONTH($B$6),$B$5=1),('CAPEX'!$B$14+'CAPEX'!$B$17+'CAPEX'!$B$18+IF('Вводные'!$B$37="Денежная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компенсация",'Вводные'!$B$56*'Вводные'!$R$88*'Вводные'!$H$6,0)))*'Вводные'!$B$30,0)+IF(AND(YEAR(AR$3)=YEAR($B$7),MONTH(AR$3)=MONTH($B$7),$B$5=1),'Вводные'!$B$26*'Вводные'!$V$88*'Вводные'!$B$30,0)</x:f>
      </x:c>
      <x:c r="AS57" s="117">
        <x:f>IF(AND(YEAR(AS$3)=YEAR($B$6),MONTH(AS$3)=MONTH($B$6),$B$5=1),('CAPEX'!$B$14+'CAPEX'!$B$17+'CAPEX'!$B$18+IF('Вводные'!$B$37="Денежная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компенсация",'Вводные'!$B$56*'Вводные'!$R$88*'Вводные'!$H$6,0)))*'Вводные'!$B$30,0)+IF(AND(YEAR(AS$3)=YEAR($B$7),MONTH(AS$3)=MONTH($B$7),$B$5=1),'Вводные'!$B$26*'Вводные'!$V$88*'Вводные'!$B$30,0)</x:f>
      </x:c>
      <x:c r="AT57" s="117">
        <x:f>IF(AND(YEAR(AT$3)=YEAR($B$6),MONTH(AT$3)=MONTH($B$6),$B$5=1),('CAPEX'!$B$14+'CAPEX'!$B$17+'CAPEX'!$B$18+IF('Вводные'!$B$37="Денежная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компенсация",'Вводные'!$B$56*'Вводные'!$R$88*'Вводные'!$H$6,0)))*'Вводные'!$B$30,0)+IF(AND(YEAR(AT$3)=YEAR($B$7),MONTH(AT$3)=MONTH($B$7),$B$5=1),'Вводные'!$B$26*'Вводные'!$V$88*'Вводные'!$B$30,0)</x:f>
      </x:c>
      <x:c r="AU57" s="117">
        <x:f>IF(AND(YEAR(AU$3)=YEAR($B$6),MONTH(AU$3)=MONTH($B$6),$B$5=1),('CAPEX'!$B$14+'CAPEX'!$B$17+'CAPEX'!$B$18+IF('Вводные'!$B$37="Денежная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компенсация",'Вводные'!$B$56*'Вводные'!$R$88*'Вводные'!$H$6,0)))*'Вводные'!$B$30,0)+IF(AND(YEAR(AU$3)=YEAR($B$7),MONTH(AU$3)=MONTH($B$7),$B$5=1),'Вводные'!$B$26*'Вводные'!$V$88*'Вводные'!$B$30,0)</x:f>
      </x:c>
      <x:c r="AV57" s="117">
        <x:f>IF(AND(YEAR(AV$3)=YEAR($B$6),MONTH(AV$3)=MONTH($B$6),$B$5=1),('CAPEX'!$B$14+'CAPEX'!$B$17+'CAPEX'!$B$18+IF('Вводные'!$B$37="Денежная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компенсация",'Вводные'!$B$56*'Вводные'!$R$88*'Вводные'!$H$6,0)))*'Вводные'!$B$30,0)+IF(AND(YEAR(AV$3)=YEAR($B$7),MONTH(AV$3)=MONTH($B$7),$B$5=1),'Вводные'!$B$26*'Вводные'!$V$88*'Вводные'!$B$30,0)</x:f>
      </x:c>
      <x:c r="AW57" s="117">
        <x:f>IF(AND(YEAR(AW$3)=YEAR($B$6),MONTH(AW$3)=MONTH($B$6),$B$5=1),('CAPEX'!$B$14+'CAPEX'!$B$17+'CAPEX'!$B$18+IF('Вводные'!$B$37="Денежная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компенсация",'Вводные'!$B$56*'Вводные'!$R$88*'Вводные'!$H$6,0)))*'Вводные'!$B$30,0)+IF(AND(YEAR(AW$3)=YEAR($B$7),MONTH(AW$3)=MONTH($B$7),$B$5=1),'Вводные'!$B$26*'Вводные'!$V$88*'Вводные'!$B$30,0)</x:f>
      </x:c>
      <x:c r="AX57" s="117">
        <x:f>IF(AND(YEAR(AX$3)=YEAR($B$6),MONTH(AX$3)=MONTH($B$6),$B$5=1),('CAPEX'!$B$14+'CAPEX'!$B$17+'CAPEX'!$B$18+IF('Вводные'!$B$37="Денежная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компенсация",'Вводные'!$B$56*'Вводные'!$R$88*'Вводные'!$H$6,0)))*'Вводные'!$B$30,0)+IF(AND(YEAR(AX$3)=YEAR($B$7),MONTH(AX$3)=MONTH($B$7),$B$5=1),'Вводные'!$B$26*'Вводные'!$V$88*'Вводные'!$B$30,0)</x:f>
      </x:c>
      <x:c r="AY57" s="117">
        <x:f>IF(AND(YEAR(AY$3)=YEAR($B$6),MONTH(AY$3)=MONTH($B$6),$B$5=1),('CAPEX'!$B$14+'CAPEX'!$B$17+'CAPEX'!$B$18+IF('Вводные'!$B$37="Денежная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компенсация",'Вводные'!$B$56*'Вводные'!$R$88*'Вводные'!$H$6,0)))*'Вводные'!$B$30,0)+IF(AND(YEAR(AY$3)=YEAR($B$7),MONTH(AY$3)=MONTH($B$7),$B$5=1),'Вводные'!$B$26*'Вводные'!$V$88*'Вводные'!$B$30,0)</x:f>
      </x:c>
      <x:c r="AZ57" s="117">
        <x:f>IF(AND(YEAR(AZ$3)=YEAR($B$6),MONTH(AZ$3)=MONTH($B$6),$B$5=1),('CAPEX'!$B$14+'CAPEX'!$B$17+'CAPEX'!$B$18+IF('Вводные'!$B$37="Денежная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компенсация",'Вводные'!$B$56*'Вводные'!$R$88*'Вводные'!$H$6,0)))*'Вводные'!$B$30,0)+IF(AND(YEAR(AZ$3)=YEAR($B$7),MONTH(AZ$3)=MONTH($B$7),$B$5=1),'Вводные'!$B$26*'Вводные'!$V$88*'Вводные'!$B$30,0)</x:f>
      </x:c>
      <x:c r="BA57" s="117">
        <x:f>IF(AND(YEAR(BA$3)=YEAR($B$6),MONTH(BA$3)=MONTH($B$6),$B$5=1),('CAPEX'!$B$14+'CAPEX'!$B$17+'CAPEX'!$B$18+IF('Вводные'!$B$37="Денежная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компенсация",'Вводные'!$B$56*'Вводные'!$R$88*'Вводные'!$H$6,0)))*'Вводные'!$B$30,0)+IF(AND(YEAR(BA$3)=YEAR($B$7),MONTH(BA$3)=MONTH($B$7),$B$5=1),'Вводные'!$B$26*'Вводные'!$V$88*'Вводные'!$B$30,0)</x:f>
      </x:c>
      <x:c r="BB57" s="117">
        <x:f>IF(AND(YEAR(BB$3)=YEAR($B$6),MONTH(BB$3)=MONTH($B$6),$B$5=1),('CAPEX'!$B$14+'CAPEX'!$B$17+'CAPEX'!$B$18+IF('Вводные'!$B$37="Денежная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компенсация",'Вводные'!$B$56*'Вводные'!$R$88*'Вводные'!$H$6,0)))*'Вводные'!$B$30,0)+IF(AND(YEAR(BB$3)=YEAR($B$7),MONTH(BB$3)=MONTH($B$7),$B$5=1),'Вводные'!$B$26*'Вводные'!$V$88*'Вводные'!$B$30,0)</x:f>
      </x:c>
      <x:c r="BC57" s="117">
        <x:f>IF(AND(YEAR(BC$3)=YEAR($B$6),MONTH(BC$3)=MONTH($B$6),$B$5=1),('CAPEX'!$B$14+'CAPEX'!$B$17+'CAPEX'!$B$18+IF('Вводные'!$B$37="Денежная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компенсация",'Вводные'!$B$56*'Вводные'!$R$88*'Вводные'!$H$6,0)))*'Вводные'!$B$30,0)+IF(AND(YEAR(BC$3)=YEAR($B$7),MONTH(BC$3)=MONTH($B$7),$B$5=1),'Вводные'!$B$26*'Вводные'!$V$88*'Вводные'!$B$30,0)</x:f>
      </x:c>
      <x:c r="BD57" s="117">
        <x:f>IF(AND(YEAR(BD$3)=YEAR($B$6),MONTH(BD$3)=MONTH($B$6),$B$5=1),('CAPEX'!$B$14+'CAPEX'!$B$17+'CAPEX'!$B$18+IF('Вводные'!$B$37="Денежная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компенсация",'Вводные'!$B$56*'Вводные'!$R$88*'Вводные'!$H$6,0)))*'Вводные'!$B$30,0)+IF(AND(YEAR(BD$3)=YEAR($B$7),MONTH(BD$3)=MONTH($B$7),$B$5=1),'Вводные'!$B$26*'Вводные'!$V$88*'Вводные'!$B$30,0)</x:f>
      </x:c>
      <x:c r="BE57" s="117">
        <x:f>IF(AND(YEAR(BE$3)=YEAR($B$6),MONTH(BE$3)=MONTH($B$6),$B$5=1),('CAPEX'!$B$14+'CAPEX'!$B$17+'CAPEX'!$B$18+IF('Вводные'!$B$37="Денежная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компенсация",'Вводные'!$B$56*'Вводные'!$R$88*'Вводные'!$H$6,0)))*'Вводные'!$B$30,0)+IF(AND(YEAR(BE$3)=YEAR($B$7),MONTH(BE$3)=MONTH($B$7),$B$5=1),'Вводные'!$B$26*'Вводные'!$V$88*'Вводные'!$B$30,0)</x:f>
      </x:c>
      <x:c r="BF57" s="117">
        <x:f>IF(AND(YEAR(BF$3)=YEAR($B$6),MONTH(BF$3)=MONTH($B$6),$B$5=1),('CAPEX'!$B$14+'CAPEX'!$B$17+'CAPEX'!$B$18+IF('Вводные'!$B$37="Денежная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компенсация",'Вводные'!$B$56*'Вводные'!$R$88*'Вводные'!$H$6,0)))*'Вводные'!$B$30,0)+IF(AND(YEAR(BF$3)=YEAR($B$7),MONTH(BF$3)=MONTH($B$7),$B$5=1),'Вводные'!$B$26*'Вводные'!$V$88*'Вводные'!$B$30,0)</x:f>
      </x:c>
      <x:c r="BG57" s="117">
        <x:f>IF(AND(YEAR(BG$3)=YEAR($B$6),MONTH(BG$3)=MONTH($B$6),$B$5=1),('CAPEX'!$B$14+'CAPEX'!$B$17+'CAPEX'!$B$18+IF('Вводные'!$B$37="Денежная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компенсация",'Вводные'!$B$56*'Вводные'!$R$88*'Вводные'!$H$6,0)))*'Вводные'!$B$30,0)+IF(AND(YEAR(BG$3)=YEAR($B$7),MONTH(BG$3)=MONTH($B$7),$B$5=1),'Вводные'!$B$26*'Вводные'!$V$88*'Вводные'!$B$30,0)</x:f>
      </x:c>
      <x:c r="BH57" s="117">
        <x:f>IF(AND(YEAR(BH$3)=YEAR($B$6),MONTH(BH$3)=MONTH($B$6),$B$5=1),('CAPEX'!$B$14+'CAPEX'!$B$17+'CAPEX'!$B$18+IF('Вводные'!$B$37="Денежная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компенсация",'Вводные'!$B$56*'Вводные'!$R$88*'Вводные'!$H$6,0)))*'Вводные'!$B$30,0)+IF(AND(YEAR(BH$3)=YEAR($B$7),MONTH(BH$3)=MONTH($B$7),$B$5=1),'Вводные'!$B$26*'Вводные'!$V$88*'Вводные'!$B$30,0)</x:f>
      </x:c>
      <x:c r="BI57" s="117">
        <x:f>IF(AND(YEAR(BI$3)=YEAR($B$6),MONTH(BI$3)=MONTH($B$6),$B$5=1),('CAPEX'!$B$14+'CAPEX'!$B$17+'CAPEX'!$B$18+IF('Вводные'!$B$37="Денежная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компенсация",'Вводные'!$B$56*'Вводные'!$R$88*'Вводные'!$H$6,0)))*'Вводные'!$B$30,0)+IF(AND(YEAR(BI$3)=YEAR($B$7),MONTH(BI$3)=MONTH($B$7),$B$5=1),'Вводные'!$B$26*'Вводные'!$V$88*'Вводные'!$B$30,0)</x:f>
      </x:c>
      <x:c r="BJ57" s="117">
        <x:f>IF(AND(YEAR(BJ$3)=YEAR($B$6),MONTH(BJ$3)=MONTH($B$6),$B$5=1),('CAPEX'!$B$14+'CAPEX'!$B$17+'CAPEX'!$B$18+IF('Вводные'!$B$37="Денежная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компенсация",'Вводные'!$B$56*'Вводные'!$R$88*'Вводные'!$H$6,0)))*'Вводные'!$B$30,0)+IF(AND(YEAR(BJ$3)=YEAR($B$7),MONTH(BJ$3)=MONTH($B$7),$B$5=1),'Вводные'!$B$26*'Вводные'!$V$88*'Вводные'!$B$30,0)</x:f>
      </x:c>
      <x:c r="BK57" s="117">
        <x:f>IF(AND(YEAR(BK$3)=YEAR($B$6),MONTH(BK$3)=MONTH($B$6),$B$5=1),('CAPEX'!$B$14+'CAPEX'!$B$17+'CAPEX'!$B$18+IF('Вводные'!$B$37="Денежная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компенсация",'Вводные'!$B$56*'Вводные'!$R$88*'Вводные'!$H$6,0)))*'Вводные'!$B$30,0)+IF(AND(YEAR(BK$3)=YEAR($B$7),MONTH(BK$3)=MONTH($B$7),$B$5=1),'Вводные'!$B$26*'Вводные'!$V$88*'Вводные'!$B$30,0)</x:f>
      </x:c>
      <x:c r="BL57" s="117">
        <x:f>IF(AND(YEAR(BL$3)=YEAR($B$6),MONTH(BL$3)=MONTH($B$6),$B$5=1),('CAPEX'!$B$14+'CAPEX'!$B$17+'CAPEX'!$B$18+IF('Вводные'!$B$37="Денежная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компенсация",'Вводные'!$B$56*'Вводные'!$R$88*'Вводные'!$H$6,0)))*'Вводные'!$B$30,0)+IF(AND(YEAR(BL$3)=YEAR($B$7),MONTH(BL$3)=MONTH($B$7),$B$5=1),'Вводные'!$B$26*'Вводные'!$V$88*'Вводные'!$B$30,0)</x:f>
      </x:c>
      <x:c r="BM57" s="117">
        <x:f>IF(AND(YEAR(BM$3)=YEAR($B$6),MONTH(BM$3)=MONTH($B$6),$B$5=1),('CAPEX'!$B$14+'CAPEX'!$B$17+'CAPEX'!$B$18+IF('Вводные'!$B$37="Денежная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компенсация",'Вводные'!$B$56*'Вводные'!$R$88*'Вводные'!$H$6,0)))*'Вводные'!$B$30,0)+IF(AND(YEAR(BM$3)=YEAR($B$7),MONTH(BM$3)=MONTH($B$7),$B$5=1),'Вводные'!$B$26*'Вводные'!$V$88*'Вводные'!$B$30,0)</x:f>
      </x:c>
      <x:c r="BN57" s="117">
        <x:f>IF(AND(YEAR(BN$3)=YEAR($B$6),MONTH(BN$3)=MONTH($B$6),$B$5=1),('CAPEX'!$B$14+'CAPEX'!$B$17+'CAPEX'!$B$18+IF('Вводные'!$B$37="Денежная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компенсация",'Вводные'!$B$56*'Вводные'!$R$88*'Вводные'!$H$6,0)))*'Вводные'!$B$30,0)+IF(AND(YEAR(BN$3)=YEAR($B$7),MONTH(BN$3)=MONTH($B$7),$B$5=1),'Вводные'!$B$26*'Вводные'!$V$88*'Вводные'!$B$30,0)</x:f>
      </x:c>
      <x:c r="BO57" s="117">
        <x:f>IF(AND(YEAR(BO$3)=YEAR($B$6),MONTH(BO$3)=MONTH($B$6),$B$5=1),('CAPEX'!$B$14+'CAPEX'!$B$17+'CAPEX'!$B$18+IF('Вводные'!$B$37="Денежная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компенсация",'Вводные'!$B$56*'Вводные'!$R$88*'Вводные'!$H$6,0)))*'Вводные'!$B$30,0)+IF(AND(YEAR(BO$3)=YEAR($B$7),MONTH(BO$3)=MONTH($B$7),$B$5=1),'Вводные'!$B$26*'Вводные'!$V$88*'Вводные'!$B$30,0)</x:f>
      </x:c>
      <x:c r="BP57" s="117">
        <x:f>IF(AND(YEAR(BP$3)=YEAR($B$6),MONTH(BP$3)=MONTH($B$6),$B$5=1),('CAPEX'!$B$14+'CAPEX'!$B$17+'CAPEX'!$B$18+IF('Вводные'!$B$37="Денежная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компенсация",'Вводные'!$B$56*'Вводные'!$R$88*'Вводные'!$H$6,0)))*'Вводные'!$B$30,0)+IF(AND(YEAR(BP$3)=YEAR($B$7),MONTH(BP$3)=MONTH($B$7),$B$5=1),'Вводные'!$B$26*'Вводные'!$V$88*'Вводные'!$B$30,0)</x:f>
      </x:c>
      <x:c r="BQ57" s="117">
        <x:f>IF(AND(YEAR(BQ$3)=YEAR($B$6),MONTH(BQ$3)=MONTH($B$6),$B$5=1),('CAPEX'!$B$14+'CAPEX'!$B$17+'CAPEX'!$B$18+IF('Вводные'!$B$37="Денежная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компенсация",'Вводные'!$B$56*'Вводные'!$R$88*'Вводные'!$H$6,0)))*'Вводные'!$B$30,0)+IF(AND(YEAR(BQ$3)=YEAR($B$7),MONTH(BQ$3)=MONTH($B$7),$B$5=1),'Вводные'!$B$26*'Вводные'!$V$88*'Вводные'!$B$30,0)</x:f>
      </x:c>
      <x:c r="BR57" s="117">
        <x:f>IF(AND(YEAR(BR$3)=YEAR($B$6),MONTH(BR$3)=MONTH($B$6),$B$5=1),('CAPEX'!$B$14+'CAPEX'!$B$17+'CAPEX'!$B$18+IF('Вводные'!$B$37="Денежная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компенсация",'Вводные'!$B$56*'Вводные'!$R$88*'Вводные'!$H$6,0)))*'Вводные'!$B$30,0)+IF(AND(YEAR(BR$3)=YEAR($B$7),MONTH(BR$3)=MONTH($B$7),$B$5=1),'Вводные'!$B$26*'Вводные'!$V$88*'Вводные'!$B$30,0)</x:f>
      </x:c>
      <x:c r="BS57" s="117">
        <x:f>IF(AND(YEAR(BS$3)=YEAR($B$6),MONTH(BS$3)=MONTH($B$6),$B$5=1),('CAPEX'!$B$14+'CAPEX'!$B$17+'CAPEX'!$B$18+IF('Вводные'!$B$37="Денежная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компенсация",'Вводные'!$B$56*'Вводные'!$R$88*'Вводные'!$H$6,0)))*'Вводные'!$B$30,0)+IF(AND(YEAR(BS$3)=YEAR($B$7),MONTH(BS$3)=MONTH($B$7),$B$5=1),'Вводные'!$B$26*'Вводные'!$V$88*'Вводные'!$B$30,0)</x:f>
      </x:c>
      <x:c r="BT57" s="117">
        <x:f>IF(AND(YEAR(BT$3)=YEAR($B$6),MONTH(BT$3)=MONTH($B$6),$B$5=1),('CAPEX'!$B$14+'CAPEX'!$B$17+'CAPEX'!$B$18+IF('Вводные'!$B$37="Денежная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компенсация",'Вводные'!$B$56*'Вводные'!$R$88*'Вводные'!$H$6,0)))*'Вводные'!$B$30,0)+IF(AND(YEAR(BT$3)=YEAR($B$7),MONTH(BT$3)=MONTH($B$7),$B$5=1),'Вводные'!$B$26*'Вводные'!$V$88*'Вводные'!$B$30,0)</x:f>
      </x:c>
      <x:c r="BU57" s="117">
        <x:f>IF(AND(YEAR(BU$3)=YEAR($B$6),MONTH(BU$3)=MONTH($B$6),$B$5=1),('CAPEX'!$B$14+'CAPEX'!$B$17+'CAPEX'!$B$18+IF('Вводные'!$B$37="Денежная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компенсация",'Вводные'!$B$56*'Вводные'!$R$88*'Вводные'!$H$6,0)))*'Вводные'!$B$30,0)+IF(AND(YEAR(BU$3)=YEAR($B$7),MONTH(BU$3)=MONTH($B$7),$B$5=1),'Вводные'!$B$26*'Вводные'!$V$88*'Вводные'!$B$30,0)</x:f>
      </x:c>
      <x:c r="BV57" s="117">
        <x:f>IF(AND(YEAR(BV$3)=YEAR($B$6),MONTH(BV$3)=MONTH($B$6),$B$5=1),('CAPEX'!$B$14+'CAPEX'!$B$17+'CAPEX'!$B$18+IF('Вводные'!$B$37="Денежная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компенсация",'Вводные'!$B$56*'Вводные'!$R$88*'Вводные'!$H$6,0)))*'Вводные'!$B$30,0)+IF(AND(YEAR(BV$3)=YEAR($B$7),MONTH(BV$3)=MONTH($B$7),$B$5=1),'Вводные'!$B$26*'Вводные'!$V$88*'Вводные'!$B$30,0)</x:f>
      </x:c>
      <x:c r="BW57" s="117">
        <x:f>IF(AND(YEAR(BW$3)=YEAR($B$6),MONTH(BW$3)=MONTH($B$6),$B$5=1),('CAPEX'!$B$14+'CAPEX'!$B$17+'CAPEX'!$B$18+IF('Вводные'!$B$37="Денежная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компенсация",'Вводные'!$B$56*'Вводные'!$R$88*'Вводные'!$H$6,0)))*'Вводные'!$B$30,0)+IF(AND(YEAR(BW$3)=YEAR($B$7),MONTH(BW$3)=MONTH($B$7),$B$5=1),'Вводные'!$B$26*'Вводные'!$V$88*'Вводные'!$B$30,0)</x:f>
      </x:c>
      <x:c r="BX57" s="117">
        <x:f>IF(AND(YEAR(BX$3)=YEAR($B$6),MONTH(BX$3)=MONTH($B$6),$B$5=1),('CAPEX'!$B$14+'CAPEX'!$B$17+'CAPEX'!$B$18+IF('Вводные'!$B$37="Денежная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компенсация",'Вводные'!$B$56*'Вводные'!$R$88*'Вводные'!$H$6,0)))*'Вводные'!$B$30,0)+IF(AND(YEAR(BX$3)=YEAR($B$7),MONTH(BX$3)=MONTH($B$7),$B$5=1),'Вводные'!$B$26*'Вводные'!$V$88*'Вводные'!$B$30,0)</x:f>
      </x:c>
      <x:c r="BY57" s="117">
        <x:f>IF(AND(YEAR(BY$3)=YEAR($B$6),MONTH(BY$3)=MONTH($B$6),$B$5=1),('CAPEX'!$B$14+'CAPEX'!$B$17+'CAPEX'!$B$18+IF('Вводные'!$B$37="Денежная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компенсация",'Вводные'!$B$56*'Вводные'!$R$88*'Вводные'!$H$6,0)))*'Вводные'!$B$30,0)+IF(AND(YEAR(BY$3)=YEAR($B$7),MONTH(BY$3)=MONTH($B$7),$B$5=1),'Вводные'!$B$26*'Вводные'!$V$88*'Вводные'!$B$30,0)</x:f>
      </x:c>
      <x:c r="BZ57" s="117">
        <x:f>IF(AND(YEAR(BZ$3)=YEAR($B$6),MONTH(BZ$3)=MONTH($B$6),$B$5=1),('CAPEX'!$B$14+'CAPEX'!$B$17+'CAPEX'!$B$18+IF('Вводные'!$B$37="Денежная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компенсация",'Вводные'!$B$56*'Вводные'!$R$88*'Вводные'!$H$6,0)))*'Вводные'!$B$30,0)+IF(AND(YEAR(BZ$3)=YEAR($B$7),MONTH(BZ$3)=MONTH($B$7),$B$5=1),'Вводные'!$B$26*'Вводные'!$V$88*'Вводные'!$B$30,0)</x:f>
      </x:c>
      <x:c r="CA57" s="117">
        <x:f>IF(AND(YEAR(CA$3)=YEAR($B$6),MONTH(CA$3)=MONTH($B$6),$B$5=1),('CAPEX'!$B$14+'CAPEX'!$B$17+'CAPEX'!$B$18+IF('Вводные'!$B$37="Денежная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компенсация",'Вводные'!$B$56*'Вводные'!$R$88*'Вводные'!$H$6,0)))*'Вводные'!$B$30,0)+IF(AND(YEAR(CA$3)=YEAR($B$7),MONTH(CA$3)=MONTH($B$7),$B$5=1),'Вводные'!$B$26*'Вводные'!$V$88*'Вводные'!$B$30,0)</x:f>
      </x:c>
      <x:c r="CB57" s="117">
        <x:f>IF(AND(YEAR(CB$3)=YEAR($B$6),MONTH(CB$3)=MONTH($B$6),$B$5=1),('CAPEX'!$B$14+'CAPEX'!$B$17+'CAPEX'!$B$18+IF('Вводные'!$B$37="Денежная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компенсация",'Вводные'!$B$56*'Вводные'!$R$88*'Вводные'!$H$6,0)))*'Вводные'!$B$30,0)+IF(AND(YEAR(CB$3)=YEAR($B$7),MONTH(CB$3)=MONTH($B$7),$B$5=1),'Вводные'!$B$26*'Вводные'!$V$88*'Вводные'!$B$30,0)</x:f>
      </x:c>
      <x:c r="CC57" s="117">
        <x:f>IF(AND(YEAR(CC$3)=YEAR($B$6),MONTH(CC$3)=MONTH($B$6),$B$5=1),('CAPEX'!$B$14+'CAPEX'!$B$17+'CAPEX'!$B$18+IF('Вводные'!$B$37="Денежная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компенсация",'Вводные'!$B$56*'Вводные'!$R$88*'Вводные'!$H$6,0)))*'Вводные'!$B$30,0)+IF(AND(YEAR(CC$3)=YEAR($B$7),MONTH(CC$3)=MONTH($B$7),$B$5=1),'Вводные'!$B$26*'Вводные'!$V$88*'Вводные'!$B$30,0)</x:f>
      </x:c>
      <x:c r="CD57" s="117">
        <x:f>IF(AND(YEAR(CD$3)=YEAR($B$6),MONTH(CD$3)=MONTH($B$6),$B$5=1),('CAPEX'!$B$14+'CAPEX'!$B$17+'CAPEX'!$B$18+IF('Вводные'!$B$37="Денежная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компенсация",'Вводные'!$B$56*'Вводные'!$R$88*'Вводные'!$H$6,0)))*'Вводные'!$B$30,0)+IF(AND(YEAR(CD$3)=YEAR($B$7),MONTH(CD$3)=MONTH($B$7),$B$5=1),'Вводные'!$B$26*'Вводные'!$V$88*'Вводные'!$B$30,0)</x:f>
      </x:c>
      <x:c r="CE57" s="117">
        <x:f>IF(AND(YEAR(CE$3)=YEAR($B$6),MONTH(CE$3)=MONTH($B$6),$B$5=1),('CAPEX'!$B$14+'CAPEX'!$B$17+'CAPEX'!$B$18+IF('Вводные'!$B$37="Денежная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компенсация",'Вводные'!$B$56*'Вводные'!$R$88*'Вводные'!$H$6,0)))*'Вводные'!$B$30,0)+IF(AND(YEAR(CE$3)=YEAR($B$7),MONTH(CE$3)=MONTH($B$7),$B$5=1),'Вводные'!$B$26*'Вводные'!$V$88*'Вводные'!$B$30,0)</x:f>
      </x:c>
      <x:c r="CF57" s="117">
        <x:f>IF(AND(YEAR(CF$3)=YEAR($B$6),MONTH(CF$3)=MONTH($B$6),$B$5=1),('CAPEX'!$B$14+'CAPEX'!$B$17+'CAPEX'!$B$18+IF('Вводные'!$B$37="Денежная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компенсация",'Вводные'!$B$56*'Вводные'!$R$88*'Вводные'!$H$6,0)))*'Вводные'!$B$30,0)+IF(AND(YEAR(CF$3)=YEAR($B$7),MONTH(CF$3)=MONTH($B$7),$B$5=1),'Вводные'!$B$26*'Вводные'!$V$88*'Вводные'!$B$30,0)</x:f>
      </x:c>
      <x:c r="CG57" s="117">
        <x:f>IF(AND(YEAR(CG$3)=YEAR($B$6),MONTH(CG$3)=MONTH($B$6),$B$5=1),('CAPEX'!$B$14+'CAPEX'!$B$17+'CAPEX'!$B$18+IF('Вводные'!$B$37="Денежная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компенсация",'Вводные'!$B$56*'Вводные'!$R$88*'Вводные'!$H$6,0)))*'Вводные'!$B$30,0)+IF(AND(YEAR(CG$3)=YEAR($B$7),MONTH(CG$3)=MONTH($B$7),$B$5=1),'Вводные'!$B$26*'Вводные'!$V$88*'Вводные'!$B$30,0)</x:f>
      </x:c>
      <x:c r="CH57" s="117">
        <x:f>IF(AND(YEAR(CH$3)=YEAR($B$6),MONTH(CH$3)=MONTH($B$6),$B$5=1),('CAPEX'!$B$14+'CAPEX'!$B$17+'CAPEX'!$B$18+IF('Вводные'!$B$37="Денежная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компенсация",'Вводные'!$B$56*'Вводные'!$R$88*'Вводные'!$H$6,0)))*'Вводные'!$B$30,0)+IF(AND(YEAR(CH$3)=YEAR($B$7),MONTH(CH$3)=MONTH($B$7),$B$5=1),'Вводные'!$B$26*'Вводные'!$V$88*'Вводные'!$B$30,0)</x:f>
      </x:c>
      <x:c r="CI57" s="117">
        <x:f>IF(AND(YEAR(CI$3)=YEAR($B$6),MONTH(CI$3)=MONTH($B$6),$B$5=1),('CAPEX'!$B$14+'CAPEX'!$B$17+'CAPEX'!$B$18+IF('Вводные'!$B$37="Денежная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компенсация",'Вводные'!$B$56*'Вводные'!$R$88*'Вводные'!$H$6,0)))*'Вводные'!$B$30,0)+IF(AND(YEAR(CI$3)=YEAR($B$7),MONTH(CI$3)=MONTH($B$7),$B$5=1),'Вводные'!$B$26*'Вводные'!$V$88*'Вводные'!$B$30,0)</x:f>
      </x:c>
      <x:c r="CJ57" s="117">
        <x:f>IF(AND(YEAR(CJ$3)=YEAR($B$6),MONTH(CJ$3)=MONTH($B$6),$B$5=1),('CAPEX'!$B$14+'CAPEX'!$B$17+'CAPEX'!$B$18+IF('Вводные'!$B$37="Денежная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компенсация",'Вводные'!$B$56*'Вводные'!$R$88*'Вводные'!$H$6,0)))*'Вводные'!$B$30,0)+IF(AND(YEAR(CJ$3)=YEAR($B$7),MONTH(CJ$3)=MONTH($B$7),$B$5=1),'Вводные'!$B$26*'Вводные'!$V$88*'Вводные'!$B$30,0)</x:f>
      </x:c>
      <x:c r="CK57" s="117">
        <x:f>IF(AND(YEAR(CK$3)=YEAR($B$6),MONTH(CK$3)=MONTH($B$6),$B$5=1),('CAPEX'!$B$14+'CAPEX'!$B$17+'CAPEX'!$B$18+IF('Вводные'!$B$37="Денежная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компенсация",'Вводные'!$B$56*'Вводные'!$R$88*'Вводные'!$H$6,0)))*'Вводные'!$B$30,0)+IF(AND(YEAR(CK$3)=YEAR($B$7),MONTH(CK$3)=MONTH($B$7),$B$5=1),'Вводные'!$B$26*'Вводные'!$V$88*'Вводные'!$B$30,0)</x:f>
      </x:c>
      <x:c r="CL57" s="117">
        <x:f>IF(AND(YEAR(CL$3)=YEAR($B$6),MONTH(CL$3)=MONTH($B$6),$B$5=1),('CAPEX'!$B$14+'CAPEX'!$B$17+'CAPEX'!$B$18+IF('Вводные'!$B$37="Денежная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компенсация",'Вводные'!$B$56*'Вводные'!$R$88*'Вводные'!$H$6,0)))*'Вводные'!$B$30,0)+IF(AND(YEAR(CL$3)=YEAR($B$7),MONTH(CL$3)=MONTH($B$7),$B$5=1),'Вводные'!$B$26*'Вводные'!$V$88*'Вводные'!$B$30,0)</x:f>
      </x:c>
      <x:c r="CM57" s="117">
        <x:f>IF(AND(YEAR(CM$3)=YEAR($B$6),MONTH(CM$3)=MONTH($B$6),$B$5=1),('CAPEX'!$B$14+'CAPEX'!$B$17+'CAPEX'!$B$18+IF('Вводные'!$B$37="Денежная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компенсация",'Вводные'!$B$56*'Вводные'!$R$88*'Вводные'!$H$6,0)))*'Вводные'!$B$30,0)+IF(AND(YEAR(CM$3)=YEAR($B$7),MONTH(CM$3)=MONTH($B$7),$B$5=1),'Вводные'!$B$26*'Вводные'!$V$88*'Вводные'!$B$30,0)</x:f>
      </x:c>
      <x:c r="CN57" s="117">
        <x:f>IF(AND(YEAR(CN$3)=YEAR($B$6),MONTH(CN$3)=MONTH($B$6),$B$5=1),('CAPEX'!$B$14+'CAPEX'!$B$17+'CAPEX'!$B$18+IF('Вводные'!$B$37="Денежная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компенсация",'Вводные'!$B$56*'Вводные'!$R$88*'Вводные'!$H$6,0)))*'Вводные'!$B$30,0)+IF(AND(YEAR(CN$3)=YEAR($B$7),MONTH(CN$3)=MONTH($B$7),$B$5=1),'Вводные'!$B$26*'Вводные'!$V$88*'Вводные'!$B$30,0)</x:f>
      </x:c>
      <x:c r="CO57" s="117">
        <x:f>IF(AND(YEAR(CO$3)=YEAR($B$6),MONTH(CO$3)=MONTH($B$6),$B$5=1),('CAPEX'!$B$14+'CAPEX'!$B$17+'CAPEX'!$B$18+IF('Вводные'!$B$37="Денежная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компенсация",'Вводные'!$B$56*'Вводные'!$R$88*'Вводные'!$H$6,0)))*'Вводные'!$B$30,0)+IF(AND(YEAR(CO$3)=YEAR($B$7),MONTH(CO$3)=MONTH($B$7),$B$5=1),'Вводные'!$B$26*'Вводные'!$V$88*'Вводные'!$B$30,0)</x:f>
      </x:c>
      <x:c r="CP57" s="117">
        <x:f>IF(AND(YEAR(CP$3)=YEAR($B$6),MONTH(CP$3)=MONTH($B$6),$B$5=1),('CAPEX'!$B$14+'CAPEX'!$B$17+'CAPEX'!$B$18+IF('Вводные'!$B$37="Денежная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компенсация",'Вводные'!$B$56*'Вводные'!$R$88*'Вводные'!$H$6,0)))*'Вводные'!$B$30,0)+IF(AND(YEAR(CP$3)=YEAR($B$7),MONTH(CP$3)=MONTH($B$7),$B$5=1),'Вводные'!$B$26*'Вводные'!$V$88*'Вводные'!$B$30,0)</x:f>
      </x:c>
      <x:c r="CQ57" s="117">
        <x:f>IF(AND(YEAR(CQ$3)=YEAR($B$6),MONTH(CQ$3)=MONTH($B$6),$B$5=1),('CAPEX'!$B$14+'CAPEX'!$B$17+'CAPEX'!$B$18+IF('Вводные'!$B$37="Денежная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компенсация",'Вводные'!$B$56*'Вводные'!$R$88*'Вводные'!$H$6,0)))*'Вводные'!$B$30,0)+IF(AND(YEAR(CQ$3)=YEAR($B$7),MONTH(CQ$3)=MONTH($B$7),$B$5=1),'Вводные'!$B$26*'Вводные'!$V$88*'Вводные'!$B$30,0)</x:f>
      </x:c>
      <x:c r="CR57" s="117">
        <x:f>IF(AND(YEAR(CR$3)=YEAR($B$6),MONTH(CR$3)=MONTH($B$6),$B$5=1),('CAPEX'!$B$14+'CAPEX'!$B$17+'CAPEX'!$B$18+IF('Вводные'!$B$37="Денежная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компенсация",'Вводные'!$B$56*'Вводные'!$R$88*'Вводные'!$H$6,0)))*'Вводные'!$B$30,0)+IF(AND(YEAR(CR$3)=YEAR($B$7),MONTH(CR$3)=MONTH($B$7),$B$5=1),'Вводные'!$B$26*'Вводные'!$V$88*'Вводные'!$B$30,0)</x:f>
      </x:c>
      <x:c r="CS57" s="117">
        <x:f>IF(AND(YEAR(CS$3)=YEAR($B$6),MONTH(CS$3)=MONTH($B$6),$B$5=1),('CAPEX'!$B$14+'CAPEX'!$B$17+'CAPEX'!$B$18+IF('Вводные'!$B$37="Денежная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компенсация",'Вводные'!$B$56*'Вводные'!$R$88*'Вводные'!$H$6,0)))*'Вводные'!$B$30,0)+IF(AND(YEAR(CS$3)=YEAR($B$7),MONTH(CS$3)=MONTH($B$7),$B$5=1),'Вводные'!$B$26*'Вводные'!$V$88*'Вводные'!$B$30,0)</x:f>
      </x:c>
      <x:c r="CT57" s="117">
        <x:f>IF(AND(YEAR(CT$3)=YEAR($B$6),MONTH(CT$3)=MONTH($B$6),$B$5=1),('CAPEX'!$B$14+'CAPEX'!$B$17+'CAPEX'!$B$18+IF('Вводные'!$B$37="Денежная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компенсация",'Вводные'!$B$56*'Вводные'!$R$88*'Вводные'!$H$6,0)))*'Вводные'!$B$30,0)+IF(AND(YEAR(CT$3)=YEAR($B$7),MONTH(CT$3)=MONTH($B$7),$B$5=1),'Вводные'!$B$26*'Вводные'!$V$88*'Вводные'!$B$30,0)</x:f>
      </x:c>
      <x:c r="CU57" s="117">
        <x:f>IF(AND(YEAR(CU$3)=YEAR($B$6),MONTH(CU$3)=MONTH($B$6),$B$5=1),('CAPEX'!$B$14+'CAPEX'!$B$17+'CAPEX'!$B$18+IF('Вводные'!$B$37="Денежная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компенсация",'Вводные'!$B$56*'Вводные'!$R$88*'Вводные'!$H$6,0)))*'Вводные'!$B$30,0)+IF(AND(YEAR(CU$3)=YEAR($B$7),MONTH(CU$3)=MONTH($B$7),$B$5=1),'Вводные'!$B$26*'Вводные'!$V$88*'Вводные'!$B$30,0)</x:f>
      </x:c>
      <x:c r="CV57" s="117">
        <x:f>IF(AND(YEAR(CV$3)=YEAR($B$6),MONTH(CV$3)=MONTH($B$6),$B$5=1),('CAPEX'!$B$14+'CAPEX'!$B$17+'CAPEX'!$B$18+IF('Вводные'!$B$37="Денежная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компенсация",'Вводные'!$B$56*'Вводные'!$R$88*'Вводные'!$H$6,0)))*'Вводные'!$B$30,0)+IF(AND(YEAR(CV$3)=YEAR($B$7),MONTH(CV$3)=MONTH($B$7),$B$5=1),'Вводные'!$B$26*'Вводные'!$V$88*'Вводные'!$B$30,0)</x:f>
      </x:c>
      <x:c r="CW57" s="117">
        <x:f>IF(AND(YEAR(CW$3)=YEAR($B$6),MONTH(CW$3)=MONTH($B$6),$B$5=1),('CAPEX'!$B$14+'CAPEX'!$B$17+'CAPEX'!$B$18+IF('Вводные'!$B$37="Денежная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компенсация",'Вводные'!$B$56*'Вводные'!$R$88*'Вводные'!$H$6,0)))*'Вводные'!$B$30,0)+IF(AND(YEAR(CW$3)=YEAR($B$7),MONTH(CW$3)=MONTH($B$7),$B$5=1),'Вводные'!$B$26*'Вводные'!$V$88*'Вводные'!$B$30,0)</x:f>
      </x:c>
      <x:c r="CX57" s="117">
        <x:f>IF(AND(YEAR(CX$3)=YEAR($B$6),MONTH(CX$3)=MONTH($B$6),$B$5=1),('CAPEX'!$B$14+'CAPEX'!$B$17+'CAPEX'!$B$18+IF('Вводные'!$B$37="Денежная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компенсация",'Вводные'!$B$56*'Вводные'!$R$88*'Вводные'!$H$6,0)))*'Вводные'!$B$30,0)+IF(AND(YEAR(CX$3)=YEAR($B$7),MONTH(CX$3)=MONTH($B$7),$B$5=1),'Вводные'!$B$26*'Вводные'!$V$88*'Вводные'!$B$30,0)</x:f>
      </x:c>
      <x:c r="CY57" s="117">
        <x:f>IF(AND(YEAR(CY$3)=YEAR($B$6),MONTH(CY$3)=MONTH($B$6),$B$5=1),('CAPEX'!$B$14+'CAPEX'!$B$17+'CAPEX'!$B$18+IF('Вводные'!$B$37="Денежная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компенсация",'Вводные'!$B$56*'Вводные'!$R$88*'Вводные'!$H$6,0)))*'Вводные'!$B$30,0)+IF(AND(YEAR(CY$3)=YEAR($B$7),MONTH(CY$3)=MONTH($B$7),$B$5=1),'Вводные'!$B$26*'Вводные'!$V$88*'Вводные'!$B$30,0)</x:f>
      </x:c>
      <x:c r="CZ57" s="117">
        <x:f>IF(AND(YEAR(CZ$3)=YEAR($B$6),MONTH(CZ$3)=MONTH($B$6),$B$5=1),('CAPEX'!$B$14+'CAPEX'!$B$17+'CAPEX'!$B$18+IF('Вводные'!$B$37="Денежная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компенсация",'Вводные'!$B$56*'Вводные'!$R$88*'Вводные'!$H$6,0)))*'Вводные'!$B$30,0)+IF(AND(YEAR(CZ$3)=YEAR($B$7),MONTH(CZ$3)=MONTH($B$7),$B$5=1),'Вводные'!$B$26*'Вводные'!$V$88*'Вводные'!$B$30,0)</x:f>
      </x:c>
      <x:c r="DA57" s="117">
        <x:f>IF(AND(YEAR(DA$3)=YEAR($B$6),MONTH(DA$3)=MONTH($B$6),$B$5=1),('CAPEX'!$B$14+'CAPEX'!$B$17+'CAPEX'!$B$18+IF('Вводные'!$B$37="Денежная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компенсация",'Вводные'!$B$56*'Вводные'!$R$88*'Вводные'!$H$6,0)))*'Вводные'!$B$30,0)+IF(AND(YEAR(DA$3)=YEAR($B$7),MONTH(DA$3)=MONTH($B$7),$B$5=1),'Вводные'!$B$26*'Вводные'!$V$88*'Вводные'!$B$30,0)</x:f>
      </x:c>
      <x:c r="DB57" s="117">
        <x:f>IF(AND(YEAR(DB$3)=YEAR($B$6),MONTH(DB$3)=MONTH($B$6),$B$5=1),('CAPEX'!$B$14+'CAPEX'!$B$17+'CAPEX'!$B$18+IF('Вводные'!$B$37="Денежная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компенсация",'Вводные'!$B$56*'Вводные'!$R$88*'Вводные'!$H$6,0)))*'Вводные'!$B$30,0)+IF(AND(YEAR(DB$3)=YEAR($B$7),MONTH(DB$3)=MONTH($B$7),$B$5=1),'Вводные'!$B$26*'Вводные'!$V$88*'Вводные'!$B$30,0)</x:f>
      </x:c>
      <x:c r="DC57" s="117">
        <x:f>IF(AND(YEAR(DC$3)=YEAR($B$6),MONTH(DC$3)=MONTH($B$6),$B$5=1),('CAPEX'!$B$14+'CAPEX'!$B$17+'CAPEX'!$B$18+IF('Вводные'!$B$37="Денежная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компенсация",'Вводные'!$B$56*'Вводные'!$R$88*'Вводные'!$H$6,0)))*'Вводные'!$B$30,0)+IF(AND(YEAR(DC$3)=YEAR($B$7),MONTH(DC$3)=MONTH($B$7),$B$5=1),'Вводные'!$B$26*'Вводные'!$V$88*'Вводные'!$B$30,0)</x:f>
      </x:c>
      <x:c r="DD57" s="117">
        <x:f>IF(AND(YEAR(DD$3)=YEAR($B$6),MONTH(DD$3)=MONTH($B$6),$B$5=1),('CAPEX'!$B$14+'CAPEX'!$B$17+'CAPEX'!$B$18+IF('Вводные'!$B$37="Денежная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компенсация",'Вводные'!$B$56*'Вводные'!$R$88*'Вводные'!$H$6,0)))*'Вводные'!$B$30,0)+IF(AND(YEAR(DD$3)=YEAR($B$7),MONTH(DD$3)=MONTH($B$7),$B$5=1),'Вводные'!$B$26*'Вводные'!$V$88*'Вводные'!$B$30,0)</x:f>
      </x:c>
      <x:c r="DE57" s="117">
        <x:f>IF(AND(YEAR(DE$3)=YEAR($B$6),MONTH(DE$3)=MONTH($B$6),$B$5=1),('CAPEX'!$B$14+'CAPEX'!$B$17+'CAPEX'!$B$18+IF('Вводные'!$B$37="Денежная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компенсация",'Вводные'!$B$56*'Вводные'!$R$88*'Вводные'!$H$6,0)))*'Вводные'!$B$30,0)+IF(AND(YEAR(DE$3)=YEAR($B$7),MONTH(DE$3)=MONTH($B$7),$B$5=1),'Вводные'!$B$26*'Вводные'!$V$88*'Вводные'!$B$30,0)</x:f>
      </x:c>
      <x:c r="DF57" s="117">
        <x:f>IF(AND(YEAR(DF$3)=YEAR($B$6),MONTH(DF$3)=MONTH($B$6),$B$5=1),('CAPEX'!$B$14+'CAPEX'!$B$17+'CAPEX'!$B$18+IF('Вводные'!$B$37="Денежная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компенсация",'Вводные'!$B$56*'Вводные'!$R$88*'Вводные'!$H$6,0)))*'Вводные'!$B$30,0)+IF(AND(YEAR(DF$3)=YEAR($B$7),MONTH(DF$3)=MONTH($B$7),$B$5=1),'Вводные'!$B$26*'Вводные'!$V$88*'Вводные'!$B$30,0)</x:f>
      </x:c>
      <x:c r="DG57" s="117">
        <x:f>IF(AND(YEAR(DG$3)=YEAR($B$6),MONTH(DG$3)=MONTH($B$6),$B$5=1),('CAPEX'!$B$14+'CAPEX'!$B$17+'CAPEX'!$B$18+IF('Вводные'!$B$37="Денежная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компенсация",'Вводные'!$B$56*'Вводные'!$R$88*'Вводные'!$H$6,0)))*'Вводные'!$B$30,0)+IF(AND(YEAR(DG$3)=YEAR($B$7),MONTH(DG$3)=MONTH($B$7),$B$5=1),'Вводные'!$B$26*'Вводные'!$V$88*'Вводные'!$B$30,0)</x:f>
      </x:c>
      <x:c r="DH57" s="117">
        <x:f>IF(AND(YEAR(DH$3)=YEAR($B$6),MONTH(DH$3)=MONTH($B$6),$B$5=1),('CAPEX'!$B$14+'CAPEX'!$B$17+'CAPEX'!$B$18+IF('Вводные'!$B$37="Денежная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компенсация",'Вводные'!$B$56*'Вводные'!$R$88*'Вводные'!$H$6,0)))*'Вводные'!$B$30,0)+IF(AND(YEAR(DH$3)=YEAR($B$7),MONTH(DH$3)=MONTH($B$7),$B$5=1),'Вводные'!$B$26*'Вводные'!$V$88*'Вводные'!$B$30,0)</x:f>
      </x:c>
      <x:c r="DI57" s="117">
        <x:f>IF(AND(YEAR(DI$3)=YEAR($B$6),MONTH(DI$3)=MONTH($B$6),$B$5=1),('CAPEX'!$B$14+'CAPEX'!$B$17+'CAPEX'!$B$18+IF('Вводные'!$B$37="Денежная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компенсация",'Вводные'!$B$56*'Вводные'!$R$88*'Вводные'!$H$6,0)))*'Вводные'!$B$30,0)+IF(AND(YEAR(DI$3)=YEAR($B$7),MONTH(DI$3)=MONTH($B$7),$B$5=1),'Вводные'!$B$26*'Вводные'!$V$88*'Вводные'!$B$30,0)</x:f>
      </x:c>
      <x:c r="DJ57" s="117">
        <x:f>IF(AND(YEAR(DJ$3)=YEAR($B$6),MONTH(DJ$3)=MONTH($B$6),$B$5=1),('CAPEX'!$B$14+'CAPEX'!$B$17+'CAPEX'!$B$18+IF('Вводные'!$B$37="Денежная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компенсация",'Вводные'!$B$56*'Вводные'!$R$88*'Вводные'!$H$6,0)))*'Вводные'!$B$30,0)+IF(AND(YEAR(DJ$3)=YEAR($B$7),MONTH(DJ$3)=MONTH($B$7),$B$5=1),'Вводные'!$B$26*'Вводные'!$V$88*'Вводные'!$B$30,0)</x:f>
      </x:c>
      <x:c r="DK57" s="117">
        <x:f>IF(AND(YEAR(DK$3)=YEAR($B$6),MONTH(DK$3)=MONTH($B$6),$B$5=1),('CAPEX'!$B$14+'CAPEX'!$B$17+'CAPEX'!$B$18+IF('Вводные'!$B$37="Денежная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компенсация",'Вводные'!$B$56*'Вводные'!$R$88*'Вводные'!$H$6,0)))*'Вводные'!$B$30,0)+IF(AND(YEAR(DK$3)=YEAR($B$7),MONTH(DK$3)=MONTH($B$7),$B$5=1),'Вводные'!$B$26*'Вводные'!$V$88*'Вводные'!$B$30,0)</x:f>
      </x:c>
      <x:c r="DL57" s="117">
        <x:f>IF(AND(YEAR(DL$3)=YEAR($B$6),MONTH(DL$3)=MONTH($B$6),$B$5=1),('CAPEX'!$B$14+'CAPEX'!$B$17+'CAPEX'!$B$18+IF('Вводные'!$B$37="Денежная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компенсация",'Вводные'!$B$56*'Вводные'!$R$88*'Вводные'!$H$6,0)))*'Вводные'!$B$30,0)+IF(AND(YEAR(DL$3)=YEAR($B$7),MONTH(DL$3)=MONTH($B$7),$B$5=1),'Вводные'!$B$26*'Вводные'!$V$88*'Вводные'!$B$30,0)</x:f>
      </x:c>
      <x:c r="DM57" s="117">
        <x:f>IF(AND(YEAR(DM$3)=YEAR($B$6),MONTH(DM$3)=MONTH($B$6),$B$5=1),('CAPEX'!$B$14+'CAPEX'!$B$17+'CAPEX'!$B$18+IF('Вводные'!$B$37="Денежная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компенсация",'Вводные'!$B$56*'Вводные'!$R$88*'Вводные'!$H$6,0)))*'Вводные'!$B$30,0)+IF(AND(YEAR(DM$3)=YEAR($B$7),MONTH(DM$3)=MONTH($B$7),$B$5=1),'Вводные'!$B$26*'Вводные'!$V$88*'Вводные'!$B$30,0)</x:f>
      </x:c>
      <x:c r="DN57" s="117">
        <x:f>IF(AND(YEAR(DN$3)=YEAR($B$6),MONTH(DN$3)=MONTH($B$6),$B$5=1),('CAPEX'!$B$14+'CAPEX'!$B$17+'CAPEX'!$B$18+IF('Вводные'!$B$37="Денежная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компенсация",'Вводные'!$B$56*'Вводные'!$R$88*'Вводные'!$H$6,0)))*'Вводные'!$B$30,0)+IF(AND(YEAR(DN$3)=YEAR($B$7),MONTH(DN$3)=MONTH($B$7),$B$5=1),'Вводные'!$B$26*'Вводные'!$V$88*'Вводные'!$B$30,0)</x:f>
      </x:c>
      <x:c r="DO57" s="117">
        <x:f>IF(AND(YEAR(DO$3)=YEAR($B$6),MONTH(DO$3)=MONTH($B$6),$B$5=1),('CAPEX'!$B$14+'CAPEX'!$B$17+'CAPEX'!$B$18+IF('Вводные'!$B$37="Денежная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компенсация",'Вводные'!$B$56*'Вводные'!$R$88*'Вводные'!$H$6,0)))*'Вводные'!$B$30,0)+IF(AND(YEAR(DO$3)=YEAR($B$7),MONTH(DO$3)=MONTH($B$7),$B$5=1),'Вводные'!$B$26*'Вводные'!$V$88*'Вводные'!$B$30,0)</x:f>
      </x:c>
      <x:c r="DP57" s="117">
        <x:f>IF(AND(YEAR(DP$3)=YEAR($B$6),MONTH(DP$3)=MONTH($B$6),$B$5=1),('CAPEX'!$B$14+'CAPEX'!$B$17+'CAPEX'!$B$18+IF('Вводные'!$B$37="Денежная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компенсация",'Вводные'!$B$56*'Вводные'!$R$88*'Вводные'!$H$6,0)))*'Вводные'!$B$30,0)+IF(AND(YEAR(DP$3)=YEAR($B$7),MONTH(DP$3)=MONTH($B$7),$B$5=1),'Вводные'!$B$26*'Вводные'!$V$88*'Вводные'!$B$30,0)</x:f>
      </x:c>
      <x:c r="DQ57" s="117">
        <x:f>IF(AND(YEAR(DQ$3)=YEAR($B$6),MONTH(DQ$3)=MONTH($B$6),$B$5=1),('CAPEX'!$B$14+'CAPEX'!$B$17+'CAPEX'!$B$18+IF('Вводные'!$B$37="Денежная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компенсация",'Вводные'!$B$56*'Вводные'!$R$88*'Вводные'!$H$6,0)))*'Вводные'!$B$30,0)+IF(AND(YEAR(DQ$3)=YEAR($B$7),MONTH(DQ$3)=MONTH($B$7),$B$5=1),'Вводные'!$B$26*'Вводные'!$V$88*'Вводные'!$B$30,0)</x:f>
      </x:c>
      <x:c r="DR57" s="117">
        <x:f>IF(AND(YEAR(DR$3)=YEAR($B$6),MONTH(DR$3)=MONTH($B$6),$B$5=1),('CAPEX'!$B$14+'CAPEX'!$B$17+'CAPEX'!$B$18+IF('Вводные'!$B$37="Денежная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компенсация",'Вводные'!$B$56*'Вводные'!$R$88*'Вводные'!$H$6,0)))*'Вводные'!$B$30,0)+IF(AND(YEAR(DR$3)=YEAR($B$7),MONTH(DR$3)=MONTH($B$7),$B$5=1),'Вводные'!$B$26*'Вводные'!$V$88*'Вводные'!$B$30,0)</x:f>
      </x:c>
      <x:c r="DS57" s="117">
        <x:f>IF(AND(YEAR(DS$3)=YEAR($B$6),MONTH(DS$3)=MONTH($B$6),$B$5=1),('CAPEX'!$B$14+'CAPEX'!$B$17+'CAPEX'!$B$18+IF('Вводные'!$B$37="Денежная компенсация",'CAPEX'!$B$31,IF('Вводные'!$B$37="Строительство и компенсация",'Вводные'!$B$56*'Вводные'!$R$88*'Вводные'!$H$6,0)))*'Вводные'!$B$30,0)+IF(AND(YEAR(DS$3)=YEAR($B$7),MONTH(DS$3)=MONTH($B$7),$B$5=1),'Вводные'!$B$26*'Вводные'!$V$88*'Вводные'!$B$30,0)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MAX(0,'Вводные'!$B$85*'Вводные'!$AI$88-D56)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E21" s="117" t="n">
        <x:f>IF(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F21" s="117" t="n">
        <x:f>IF(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G21" s="117" t="n">
        <x:f>IF(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H21" s="117" t="n">
        <x:f>IF(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I21" s="117" t="n">
        <x:f>IF(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J21" s="117" t="n">
        <x:f>IF(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K21" s="117" t="n">
        <x:f>IF(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L21" s="117" t="n">
        <x:f>IF(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M21" s="117" t="n">
        <x:f>IF(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N21" s="117" t="n">
        <x:f>IF(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O21" s="117" t="n">
        <x:f>IF(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P21" s="117" t="n">
        <x:f>IF(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Q21" s="117" t="n">
        <x:f>IF(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R21" s="117" t="n">
        <x:f>IF(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S21" s="117" t="n">
        <x:f>IF(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T21" s="117" t="n">
        <x:f>IF(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U21" s="117" t="n">
        <x:f>IF(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V21" s="117" t="n">
        <x:f>IF(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W21" s="117" t="n">
        <x:f>IF(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X21" s="117" t="n">
        <x:f>IF(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Y21" s="117" t="n">
        <x:f>IF(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Z21" s="117" t="n">
        <x:f>IF(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A21" s="117" t="n">
        <x:f>IF(A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B21" s="117" t="n">
        <x:f>IF(A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C21" s="117" t="n">
        <x:f>IF(A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D21" s="117" t="n">
        <x:f>IF(A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E21" s="117" t="n">
        <x:f>IF(A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F21" s="117" t="n">
        <x:f>IF(A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G21" s="117" t="n">
        <x:f>IF(A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H21" s="117" t="n">
        <x:f>IF(A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I21" s="117" t="n">
        <x:f>IF(A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J21" s="117" t="n">
        <x:f>IF(A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K21" s="117" t="n">
        <x:f>IF(A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L21" s="117" t="n">
        <x:f>IF(A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M21" s="117" t="n">
        <x:f>IF(A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N21" s="117" t="n">
        <x:f>IF(A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O21" s="117" t="n">
        <x:f>IF(A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P21" s="117" t="n">
        <x:f>IF(A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Q21" s="117" t="n">
        <x:f>IF(A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R21" s="117" t="n">
        <x:f>IF(A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S21" s="117" t="n">
        <x:f>IF(A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T21" s="117" t="n">
        <x:f>IF(A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U21" s="117" t="n">
        <x:f>IF(A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V21" s="117" t="n">
        <x:f>IF(A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W21" s="117" t="n">
        <x:f>IF(A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X21" s="117" t="n">
        <x:f>IF(A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Y21" s="117" t="n">
        <x:f>IF(A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AZ21" s="117" t="n">
        <x:f>IF(A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A21" s="117" t="n">
        <x:f>IF(B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B21" s="117" t="n">
        <x:f>IF(B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C21" s="117" t="n">
        <x:f>IF(B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D21" s="117" t="n">
        <x:f>IF(B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E21" s="117" t="n">
        <x:f>IF(B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F21" s="117" t="n">
        <x:f>IF(B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G21" s="117" t="n">
        <x:f>IF(B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H21" s="117" t="n">
        <x:f>IF(B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I21" s="117" t="n">
        <x:f>IF(B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J21" s="117" t="n">
        <x:f>IF(B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K21" s="117" t="n">
        <x:f>IF(B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L21" s="117" t="n">
        <x:f>IF(B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M21" s="117" t="n">
        <x:f>IF(B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N21" s="117" t="n">
        <x:f>IF(B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O21" s="117" t="n">
        <x:f>IF(B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P21" s="117" t="n">
        <x:f>IF(B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Q21" s="117" t="n">
        <x:f>IF(B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R21" s="117" t="n">
        <x:f>IF(B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S21" s="117" t="n">
        <x:f>IF(B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T21" s="117" t="n">
        <x:f>IF(B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U21" s="117" t="n">
        <x:f>IF(B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V21" s="117" t="n">
        <x:f>IF(B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W21" s="117" t="n">
        <x:f>IF(B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X21" s="117" t="n">
        <x:f>IF(B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Y21" s="117" t="n">
        <x:f>IF(B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BZ21" s="117" t="n">
        <x:f>IF(B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A21" s="117" t="n">
        <x:f>IF(C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B21" s="117" t="n">
        <x:f>IF(C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C21" s="117" t="n">
        <x:f>IF(C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D21" s="117" t="n">
        <x:f>IF(C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E21" s="117" t="n">
        <x:f>IF(C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F21" s="117" t="n">
        <x:f>IF(C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G21" s="117" t="n">
        <x:f>IF(C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H21" s="117" t="n">
        <x:f>IF(C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I21" s="117" t="n">
        <x:f>IF(C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J21" s="117" t="n">
        <x:f>IF(C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K21" s="117" t="n">
        <x:f>IF(C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L21" s="117" t="n">
        <x:f>IF(C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M21" s="117" t="n">
        <x:f>IF(C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N21" s="117" t="n">
        <x:f>IF(C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O21" s="117" t="n">
        <x:f>IF(C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P21" s="117" t="n">
        <x:f>IF(C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Q21" s="117" t="n">
        <x:f>IF(C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R21" s="117" t="n">
        <x:f>IF(C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S21" s="117" t="n">
        <x:f>IF(C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T21" s="117" t="n">
        <x:f>IF(CT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U21" s="117" t="n">
        <x:f>IF(CU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V21" s="117" t="n">
        <x:f>IF(CV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W21" s="117" t="n">
        <x:f>IF(CW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X21" s="117" t="n">
        <x:f>IF(CX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Y21" s="117" t="n">
        <x:f>IF(CY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CZ21" s="117" t="n">
        <x:f>IF(CZ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A21" s="117" t="n">
        <x:f>IF(DA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B21" s="117" t="n">
        <x:f>IF(DB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C21" s="117" t="n">
        <x:f>IF(DC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D21" s="117" t="n">
        <x:f>IF(DD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E21" s="117" t="n">
        <x:f>IF(DE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F21" s="117" t="n">
        <x:f>IF(DF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G21" s="117" t="n">
        <x:f>IF(DG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H21" s="117" t="n">
        <x:f>IF(DH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I21" s="117" t="n">
        <x:f>IF(DI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J21" s="117" t="n">
        <x:f>IF(DJ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K21" s="117" t="n">
        <x:f>IF(DK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L21" s="117" t="n">
        <x:f>IF(DL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M21" s="117" t="n">
        <x:f>IF(DM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N21" s="117" t="n">
        <x:f>IF(DN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O21" s="117" t="n">
        <x:f>IF(DO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P21" s="117" t="n">
        <x:f>IF(DP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Q21" s="117" t="n">
        <x:f>IF(DQ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R21" s="117" t="n">
        <x:f>IF(DR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  <x:c r="DS21" s="117" t="n">
        <x:f>IF(DS$3=$B$8,MAX(0,(SUM($D$10:$DS$10)-SUM('Продажи'!$D$39:$DS$39))*('Вводные'!$B$22/(1+'Вводные'!$B$22))-(SUM($D$20:$DS$20)-'Вводные'!$B$15*'Вводные'!$P$89-'Вводные'!$B$16*'Вводные'!$Q$89)*('Вводные'!$B$22/(1+'Вводные'!$B$22))*IFERROR((SUM($D$10:$DS$10)-SUM('Продажи'!$D$39:$DS$39)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$104)*('Продажи'!D37+'Продажи'!D40+'Продажи'!D43+'Продажи'!D46)/(SUM('Продажи'!$D$37:$DS$37)+SUM('Продажи'!$D$40:$DS$40)+SUM('Продажи'!$D$43:$DS$43)+SUM('Продажи'!$D$46:$DS$46)),0)-IF('ОБЪЕКТЫ'!$B$8=2,IFERROR('ОБЪЕКТЫ'!$B$28*'ОБЪЕКТЫ'!D22/'ОБЪЕКТЫ'!$B$22,0),0)-IF('ОБЪЕКТЫ'!$B$36=2,IFERROR('ОБЪЕКТЫ'!$B$56*'ОБЪЕКТЫ'!D50/'ОБЪЕКТЫ'!$B$50,0),0)-IF('ОБЪЕКТЫ'!$B$64=2,IFERROR('ОБЪЕКТЫ'!$B$84*'ОБЪЕКТЫ'!D78/'ОБЪЕКТЫ'!$B$78,0),0)-D53-D57-D21</x:f>
      </x:c>
      <x:c r="E22" s="117">
        <x:f>E10-IFERROR((SUM($D$20:$DS$20)-'ОБЪЕКТЫ'!$B$104)*('Продажи'!E37+'Продажи'!E40+'Продажи'!E43+'Продажи'!E46)/(SUM('Продажи'!$D$37:$DS$37)+SUM('Продажи'!$D$40:$DS$40)+SUM('Продажи'!$D$43:$DS$43)+SUM('Продажи'!$D$46:$DS$46)),0)-IF('ОБЪЕКТЫ'!$B$8=2,IFERROR('ОБЪЕКТЫ'!$B$28*'ОБЪЕКТЫ'!E22/'ОБЪЕКТЫ'!$B$22,0),0)-IF('ОБЪЕКТЫ'!$B$36=2,IFERROR('ОБЪЕКТЫ'!$B$56*'ОБЪЕКТЫ'!E50/'ОБЪЕКТЫ'!$B$50,0),0)-IF('ОБЪЕКТЫ'!$B$64=2,IFERROR('ОБЪЕКТЫ'!$B$84*'ОБЪЕКТЫ'!E78/'ОБЪЕКТЫ'!$B$78,0),0)-E53-E57-E21</x:f>
      </x:c>
      <x:c r="F22" s="117">
        <x:f>F10-IFERROR((SUM($D$20:$DS$20)-'ОБЪЕКТЫ'!$B$104)*('Продажи'!F37+'Продажи'!F40+'Продажи'!F43+'Продажи'!F46)/(SUM('Продажи'!$D$37:$DS$37)+SUM('Продажи'!$D$40:$DS$40)+SUM('Продажи'!$D$43:$DS$43)+SUM('Продажи'!$D$46:$DS$46)),0)-IF('ОБЪЕКТЫ'!$B$8=2,IFERROR('ОБЪЕКТЫ'!$B$28*'ОБЪЕКТЫ'!F22/'ОБЪЕКТЫ'!$B$22,0),0)-IF('ОБЪЕКТЫ'!$B$36=2,IFERROR('ОБЪЕКТЫ'!$B$56*'ОБЪЕКТЫ'!F50/'ОБЪЕКТЫ'!$B$50,0),0)-IF('ОБЪЕКТЫ'!$B$64=2,IFERROR('ОБЪЕКТЫ'!$B$84*'ОБЪЕКТЫ'!F78/'ОБЪЕКТЫ'!$B$78,0),0)-F53-F57-F21</x:f>
      </x:c>
      <x:c r="G22" s="117">
        <x:f>G10-IFERROR((SUM($D$20:$DS$20)-'ОБЪЕКТЫ'!$B$104)*('Продажи'!G37+'Продажи'!G40+'Продажи'!G43+'Продажи'!G46)/(SUM('Продажи'!$D$37:$DS$37)+SUM('Продажи'!$D$40:$DS$40)+SUM('Продажи'!$D$43:$DS$43)+SUM('Продажи'!$D$46:$DS$46)),0)-IF('ОБЪЕКТЫ'!$B$8=2,IFERROR('ОБЪЕКТЫ'!$B$28*'ОБЪЕКТЫ'!G22/'ОБЪЕКТЫ'!$B$22,0),0)-IF('ОБЪЕКТЫ'!$B$36=2,IFERROR('ОБЪЕКТЫ'!$B$56*'ОБЪЕКТЫ'!G50/'ОБЪЕКТЫ'!$B$50,0),0)-IF('ОБЪЕКТЫ'!$B$64=2,IFERROR('ОБЪЕКТЫ'!$B$84*'ОБЪЕКТЫ'!G78/'ОБЪЕКТЫ'!$B$78,0),0)-G53-G57-G21</x:f>
      </x:c>
      <x:c r="H22" s="117">
        <x:f>H10-IFERROR((SUM($D$20:$DS$20)-'ОБЪЕКТЫ'!$B$104)*('Продажи'!H37+'Продажи'!H40+'Продажи'!H43+'Продажи'!H46)/(SUM('Продажи'!$D$37:$DS$37)+SUM('Продажи'!$D$40:$DS$40)+SUM('Продажи'!$D$43:$DS$43)+SUM('Продажи'!$D$46:$DS$46)),0)-IF('ОБЪЕКТЫ'!$B$8=2,IFERROR('ОБЪЕКТЫ'!$B$28*'ОБЪЕКТЫ'!H22/'ОБЪЕКТЫ'!$B$22,0),0)-IF('ОБЪЕКТЫ'!$B$36=2,IFERROR('ОБЪЕКТЫ'!$B$56*'ОБЪЕКТЫ'!H50/'ОБЪЕКТЫ'!$B$50,0),0)-IF('ОБЪЕКТЫ'!$B$64=2,IFERROR('ОБЪЕКТЫ'!$B$84*'ОБЪЕКТЫ'!H78/'ОБЪЕКТЫ'!$B$78,0),0)-H53-H57-H21</x:f>
      </x:c>
      <x:c r="I22" s="117">
        <x:f>I10-IFERROR((SUM($D$20:$DS$20)-'ОБЪЕКТЫ'!$B$104)*('Продажи'!I37+'Продажи'!I40+'Продажи'!I43+'Продажи'!I46)/(SUM('Продажи'!$D$37:$DS$37)+SUM('Продажи'!$D$40:$DS$40)+SUM('Продажи'!$D$43:$DS$43)+SUM('Продажи'!$D$46:$DS$46)),0)-IF('ОБЪЕКТЫ'!$B$8=2,IFERROR('ОБЪЕКТЫ'!$B$28*'ОБЪЕКТЫ'!I22/'ОБЪЕКТЫ'!$B$22,0),0)-IF('ОБЪЕКТЫ'!$B$36=2,IFERROR('ОБЪЕКТЫ'!$B$56*'ОБЪЕКТЫ'!I50/'ОБЪЕКТЫ'!$B$50,0),0)-IF('ОБЪЕКТЫ'!$B$64=2,IFERROR('ОБЪЕКТЫ'!$B$84*'ОБЪЕКТЫ'!I78/'ОБЪЕКТЫ'!$B$78,0),0)-I53-I57-I21</x:f>
      </x:c>
      <x:c r="J22" s="117">
        <x:f>J10-IFERROR((SUM($D$20:$DS$20)-'ОБЪЕКТЫ'!$B$104)*('Продажи'!J37+'Продажи'!J40+'Продажи'!J43+'Продажи'!J46)/(SUM('Продажи'!$D$37:$DS$37)+SUM('Продажи'!$D$40:$DS$40)+SUM('Продажи'!$D$43:$DS$43)+SUM('Продажи'!$D$46:$DS$46)),0)-IF('ОБЪЕКТЫ'!$B$8=2,IFERROR('ОБЪЕКТЫ'!$B$28*'ОБЪЕКТЫ'!J22/'ОБЪЕКТЫ'!$B$22,0),0)-IF('ОБЪЕКТЫ'!$B$36=2,IFERROR('ОБЪЕКТЫ'!$B$56*'ОБЪЕКТЫ'!J50/'ОБЪЕКТЫ'!$B$50,0),0)-IF('ОБЪЕКТЫ'!$B$64=2,IFERROR('ОБЪЕКТЫ'!$B$84*'ОБЪЕКТЫ'!J78/'ОБЪЕКТЫ'!$B$78,0),0)-J53-J57-J21</x:f>
      </x:c>
      <x:c r="K22" s="117">
        <x:f>K10-IFERROR((SUM($D$20:$DS$20)-'ОБЪЕКТЫ'!$B$104)*('Продажи'!K37+'Продажи'!K40+'Продажи'!K43+'Продажи'!K46)/(SUM('Продажи'!$D$37:$DS$37)+SUM('Продажи'!$D$40:$DS$40)+SUM('Продажи'!$D$43:$DS$43)+SUM('Продажи'!$D$46:$DS$46)),0)-IF('ОБЪЕКТЫ'!$B$8=2,IFERROR('ОБЪЕКТЫ'!$B$28*'ОБЪЕКТЫ'!K22/'ОБЪЕКТЫ'!$B$22,0),0)-IF('ОБЪЕКТЫ'!$B$36=2,IFERROR('ОБЪЕКТЫ'!$B$56*'ОБЪЕКТЫ'!K50/'ОБЪЕКТЫ'!$B$50,0),0)-IF('ОБЪЕКТЫ'!$B$64=2,IFERROR('ОБЪЕКТЫ'!$B$84*'ОБЪЕКТЫ'!K78/'ОБЪЕКТЫ'!$B$78,0),0)-K53-K57-K21</x:f>
      </x:c>
      <x:c r="L22" s="117">
        <x:f>L10-IFERROR((SUM($D$20:$DS$20)-'ОБЪЕКТЫ'!$B$104)*('Продажи'!L37+'Продажи'!L40+'Продажи'!L43+'Продажи'!L46)/(SUM('Продажи'!$D$37:$DS$37)+SUM('Продажи'!$D$40:$DS$40)+SUM('Продажи'!$D$43:$DS$43)+SUM('Продажи'!$D$46:$DS$46)),0)-IF('ОБЪЕКТЫ'!$B$8=2,IFERROR('ОБЪЕКТЫ'!$B$28*'ОБЪЕКТЫ'!L22/'ОБЪЕКТЫ'!$B$22,0),0)-IF('ОБЪЕКТЫ'!$B$36=2,IFERROR('ОБЪЕКТЫ'!$B$56*'ОБЪЕКТЫ'!L50/'ОБЪЕКТЫ'!$B$50,0),0)-IF('ОБЪЕКТЫ'!$B$64=2,IFERROR('ОБЪЕКТЫ'!$B$84*'ОБЪЕКТЫ'!L78/'ОБЪЕКТЫ'!$B$78,0),0)-L53-L57-L21</x:f>
      </x:c>
      <x:c r="M22" s="117">
        <x:f>M10-IFERROR((SUM($D$20:$DS$20)-'ОБЪЕКТЫ'!$B$104)*('Продажи'!M37+'Продажи'!M40+'Продажи'!M43+'Продажи'!M46)/(SUM('Продажи'!$D$37:$DS$37)+SUM('Продажи'!$D$40:$DS$40)+SUM('Продажи'!$D$43:$DS$43)+SUM('Продажи'!$D$46:$DS$46)),0)-IF('ОБЪЕКТЫ'!$B$8=2,IFERROR('ОБЪЕКТЫ'!$B$28*'ОБЪЕКТЫ'!M22/'ОБЪЕКТЫ'!$B$22,0),0)-IF('ОБЪЕКТЫ'!$B$36=2,IFERROR('ОБЪЕКТЫ'!$B$56*'ОБЪЕКТЫ'!M50/'ОБЪЕКТЫ'!$B$50,0),0)-IF('ОБЪЕКТЫ'!$B$64=2,IFERROR('ОБЪЕКТЫ'!$B$84*'ОБЪЕКТЫ'!M78/'ОБЪЕКТЫ'!$B$78,0),0)-M53-M57-M21</x:f>
      </x:c>
      <x:c r="N22" s="117">
        <x:f>N10-IFERROR((SUM($D$20:$DS$20)-'ОБЪЕКТЫ'!$B$104)*('Продажи'!N37+'Продажи'!N40+'Продажи'!N43+'Продажи'!N46)/(SUM('Продажи'!$D$37:$DS$37)+SUM('Продажи'!$D$40:$DS$40)+SUM('Продажи'!$D$43:$DS$43)+SUM('Продажи'!$D$46:$DS$46)),0)-IF('ОБЪЕКТЫ'!$B$8=2,IFERROR('ОБЪЕКТЫ'!$B$28*'ОБЪЕКТЫ'!N22/'ОБЪЕКТЫ'!$B$22,0),0)-IF('ОБЪЕКТЫ'!$B$36=2,IFERROR('ОБЪЕКТЫ'!$B$56*'ОБЪЕКТЫ'!N50/'ОБЪЕКТЫ'!$B$50,0),0)-IF('ОБЪЕКТЫ'!$B$64=2,IFERROR('ОБЪЕКТЫ'!$B$84*'ОБЪЕКТЫ'!N78/'ОБЪЕКТЫ'!$B$78,0),0)-N53-N57-N21</x:f>
      </x:c>
      <x:c r="O22" s="117">
        <x:f>O10-IFERROR((SUM($D$20:$DS$20)-'ОБЪЕКТЫ'!$B$104)*('Продажи'!O37+'Продажи'!O40+'Продажи'!O43+'Продажи'!O46)/(SUM('Продажи'!$D$37:$DS$37)+SUM('Продажи'!$D$40:$DS$40)+SUM('Продажи'!$D$43:$DS$43)+SUM('Продажи'!$D$46:$DS$46)),0)-IF('ОБЪЕКТЫ'!$B$8=2,IFERROR('ОБЪЕКТЫ'!$B$28*'ОБЪЕКТЫ'!O22/'ОБЪЕКТЫ'!$B$22,0),0)-IF('ОБЪЕКТЫ'!$B$36=2,IFERROR('ОБЪЕКТЫ'!$B$56*'ОБЪЕКТЫ'!O50/'ОБЪЕКТЫ'!$B$50,0),0)-IF('ОБЪЕКТЫ'!$B$64=2,IFERROR('ОБЪЕКТЫ'!$B$84*'ОБЪЕКТЫ'!O78/'ОБЪЕКТЫ'!$B$78,0),0)-O53-O57-O21</x:f>
      </x:c>
      <x:c r="P22" s="117">
        <x:f>P10-IFERROR((SUM($D$20:$DS$20)-'ОБЪЕКТЫ'!$B$104)*('Продажи'!P37+'Продажи'!P40+'Продажи'!P43+'Продажи'!P46)/(SUM('Продажи'!$D$37:$DS$37)+SUM('Продажи'!$D$40:$DS$40)+SUM('Продажи'!$D$43:$DS$43)+SUM('Продажи'!$D$46:$DS$46)),0)-IF('ОБЪЕКТЫ'!$B$8=2,IFERROR('ОБЪЕКТЫ'!$B$28*'ОБЪЕКТЫ'!P22/'ОБЪЕКТЫ'!$B$22,0),0)-IF('ОБЪЕКТЫ'!$B$36=2,IFERROR('ОБЪЕКТЫ'!$B$56*'ОБЪЕКТЫ'!P50/'ОБЪЕКТЫ'!$B$50,0),0)-IF('ОБЪЕКТЫ'!$B$64=2,IFERROR('ОБЪЕКТЫ'!$B$84*'ОБЪЕКТЫ'!P78/'ОБЪЕКТЫ'!$B$78,0),0)-P53-P57-P21</x:f>
      </x:c>
      <x:c r="Q22" s="117">
        <x:f>Q10-IFERROR((SUM($D$20:$DS$20)-'ОБЪЕКТЫ'!$B$104)*('Продажи'!Q37+'Продажи'!Q40+'Продажи'!Q43+'Продажи'!Q46)/(SUM('Продажи'!$D$37:$DS$37)+SUM('Продажи'!$D$40:$DS$40)+SUM('Продажи'!$D$43:$DS$43)+SUM('Продажи'!$D$46:$DS$46)),0)-IF('ОБЪЕКТЫ'!$B$8=2,IFERROR('ОБЪЕКТЫ'!$B$28*'ОБЪЕКТЫ'!Q22/'ОБЪЕКТЫ'!$B$22,0),0)-IF('ОБЪЕКТЫ'!$B$36=2,IFERROR('ОБЪЕКТЫ'!$B$56*'ОБЪЕКТЫ'!Q50/'ОБЪЕКТЫ'!$B$50,0),0)-IF('ОБЪЕКТЫ'!$B$64=2,IFERROR('ОБЪЕКТЫ'!$B$84*'ОБЪЕКТЫ'!Q78/'ОБЪЕКТЫ'!$B$78,0),0)-Q53-Q57-Q21</x:f>
      </x:c>
      <x:c r="R22" s="117">
        <x:f>R10-IFERROR((SUM($D$20:$DS$20)-'ОБЪЕКТЫ'!$B$104)*('Продажи'!R37+'Продажи'!R40+'Продажи'!R43+'Продажи'!R46)/(SUM('Продажи'!$D$37:$DS$37)+SUM('Продажи'!$D$40:$DS$40)+SUM('Продажи'!$D$43:$DS$43)+SUM('Продажи'!$D$46:$DS$46)),0)-IF('ОБЪЕКТЫ'!$B$8=2,IFERROR('ОБЪЕКТЫ'!$B$28*'ОБЪЕКТЫ'!R22/'ОБЪЕКТЫ'!$B$22,0),0)-IF('ОБЪЕКТЫ'!$B$36=2,IFERROR('ОБЪЕКТЫ'!$B$56*'ОБЪЕКТЫ'!R50/'ОБЪЕКТЫ'!$B$50,0),0)-IF('ОБЪЕКТЫ'!$B$64=2,IFERROR('ОБЪЕКТЫ'!$B$84*'ОБЪЕКТЫ'!R78/'ОБЪЕКТЫ'!$B$78,0),0)-R53-R57-R21</x:f>
      </x:c>
      <x:c r="S22" s="117">
        <x:f>S10-IFERROR((SUM($D$20:$DS$20)-'ОБЪЕКТЫ'!$B$104)*('Продажи'!S37+'Продажи'!S40+'Продажи'!S43+'Продажи'!S46)/(SUM('Продажи'!$D$37:$DS$37)+SUM('Продажи'!$D$40:$DS$40)+SUM('Продажи'!$D$43:$DS$43)+SUM('Продажи'!$D$46:$DS$46)),0)-IF('ОБЪЕКТЫ'!$B$8=2,IFERROR('ОБЪЕКТЫ'!$B$28*'ОБЪЕКТЫ'!S22/'ОБЪЕКТЫ'!$B$22,0),0)-IF('ОБЪЕКТЫ'!$B$36=2,IFERROR('ОБЪЕКТЫ'!$B$56*'ОБЪЕКТЫ'!S50/'ОБЪЕКТЫ'!$B$50,0),0)-IF('ОБЪЕКТЫ'!$B$64=2,IFERROR('ОБЪЕКТЫ'!$B$84*'ОБЪЕКТЫ'!S78/'ОБЪЕКТЫ'!$B$78,0),0)-S53-S57-S21</x:f>
      </x:c>
      <x:c r="T22" s="117">
        <x:f>T10-IFERROR((SUM($D$20:$DS$20)-'ОБЪЕКТЫ'!$B$104)*('Продажи'!T37+'Продажи'!T40+'Продажи'!T43+'Продажи'!T46)/(SUM('Продажи'!$D$37:$DS$37)+SUM('Продажи'!$D$40:$DS$40)+SUM('Продажи'!$D$43:$DS$43)+SUM('Продажи'!$D$46:$DS$46)),0)-IF('ОБЪЕКТЫ'!$B$8=2,IFERROR('ОБЪЕКТЫ'!$B$28*'ОБЪЕКТЫ'!T22/'ОБЪЕКТЫ'!$B$22,0),0)-IF('ОБЪЕКТЫ'!$B$36=2,IFERROR('ОБЪЕКТЫ'!$B$56*'ОБЪЕКТЫ'!T50/'ОБЪЕКТЫ'!$B$50,0),0)-IF('ОБЪЕКТЫ'!$B$64=2,IFERROR('ОБЪЕКТЫ'!$B$84*'ОБЪЕКТЫ'!T78/'ОБЪЕКТЫ'!$B$78,0),0)-T53-T57-T21</x:f>
      </x:c>
      <x:c r="U22" s="117">
        <x:f>U10-IFERROR((SUM($D$20:$DS$20)-'ОБЪЕКТЫ'!$B$104)*('Продажи'!U37+'Продажи'!U40+'Продажи'!U43+'Продажи'!U46)/(SUM('Продажи'!$D$37:$DS$37)+SUM('Продажи'!$D$40:$DS$40)+SUM('Продажи'!$D$43:$DS$43)+SUM('Продажи'!$D$46:$DS$46)),0)-IF('ОБЪЕКТЫ'!$B$8=2,IFERROR('ОБЪЕКТЫ'!$B$28*'ОБЪЕКТЫ'!U22/'ОБЪЕКТЫ'!$B$22,0),0)-IF('ОБЪЕКТЫ'!$B$36=2,IFERROR('ОБЪЕКТЫ'!$B$56*'ОБЪЕКТЫ'!U50/'ОБЪЕКТЫ'!$B$50,0),0)-IF('ОБЪЕКТЫ'!$B$64=2,IFERROR('ОБЪЕКТЫ'!$B$84*'ОБЪЕКТЫ'!U78/'ОБЪЕКТЫ'!$B$78,0),0)-U53-U57-U21</x:f>
      </x:c>
      <x:c r="V22" s="117">
        <x:f>V10-IFERROR((SUM($D$20:$DS$20)-'ОБЪЕКТЫ'!$B$104)*('Продажи'!V37+'Продажи'!V40+'Продажи'!V43+'Продажи'!V46)/(SUM('Продажи'!$D$37:$DS$37)+SUM('Продажи'!$D$40:$DS$40)+SUM('Продажи'!$D$43:$DS$43)+SUM('Продажи'!$D$46:$DS$46)),0)-IF('ОБЪЕКТЫ'!$B$8=2,IFERROR('ОБЪЕКТЫ'!$B$28*'ОБЪЕКТЫ'!V22/'ОБЪЕКТЫ'!$B$22,0),0)-IF('ОБЪЕКТЫ'!$B$36=2,IFERROR('ОБЪЕКТЫ'!$B$56*'ОБЪЕКТЫ'!V50/'ОБЪЕКТЫ'!$B$50,0),0)-IF('ОБЪЕКТЫ'!$B$64=2,IFERROR('ОБЪЕКТЫ'!$B$84*'ОБЪЕКТЫ'!V78/'ОБЪЕКТЫ'!$B$78,0),0)-V53-V57-V21</x:f>
      </x:c>
      <x:c r="W22" s="117">
        <x:f>W10-IFERROR((SUM($D$20:$DS$20)-'ОБЪЕКТЫ'!$B$104)*('Продажи'!W37+'Продажи'!W40+'Продажи'!W43+'Продажи'!W46)/(SUM('Продажи'!$D$37:$DS$37)+SUM('Продажи'!$D$40:$DS$40)+SUM('Продажи'!$D$43:$DS$43)+SUM('Продажи'!$D$46:$DS$46)),0)-IF('ОБЪЕКТЫ'!$B$8=2,IFERROR('ОБЪЕКТЫ'!$B$28*'ОБЪЕКТЫ'!W22/'ОБЪЕКТЫ'!$B$22,0),0)-IF('ОБЪЕКТЫ'!$B$36=2,IFERROR('ОБЪЕКТЫ'!$B$56*'ОБЪЕКТЫ'!W50/'ОБЪЕКТЫ'!$B$50,0),0)-IF('ОБЪЕКТЫ'!$B$64=2,IFERROR('ОБЪЕКТЫ'!$B$84*'ОБЪЕКТЫ'!W78/'ОБЪЕКТЫ'!$B$78,0),0)-W53-W57-W21</x:f>
      </x:c>
      <x:c r="X22" s="117">
        <x:f>X10-IFERROR((SUM($D$20:$DS$20)-'ОБЪЕКТЫ'!$B$104)*('Продажи'!X37+'Продажи'!X40+'Продажи'!X43+'Продажи'!X46)/(SUM('Продажи'!$D$37:$DS$37)+SUM('Продажи'!$D$40:$DS$40)+SUM('Продажи'!$D$43:$DS$43)+SUM('Продажи'!$D$46:$DS$46)),0)-IF('ОБЪЕКТЫ'!$B$8=2,IFERROR('ОБЪЕКТЫ'!$B$28*'ОБЪЕКТЫ'!X22/'ОБЪЕКТЫ'!$B$22,0),0)-IF('ОБЪЕКТЫ'!$B$36=2,IFERROR('ОБЪЕКТЫ'!$B$56*'ОБЪЕКТЫ'!X50/'ОБЪЕКТЫ'!$B$50,0),0)-IF('ОБЪЕКТЫ'!$B$64=2,IFERROR('ОБЪЕКТЫ'!$B$84*'ОБЪЕКТЫ'!X78/'ОБЪЕКТЫ'!$B$78,0),0)-X53-X57-X21</x:f>
      </x:c>
      <x:c r="Y22" s="117">
        <x:f>Y10-IFERROR((SUM($D$20:$DS$20)-'ОБЪЕКТЫ'!$B$104)*('Продажи'!Y37+'Продажи'!Y40+'Продажи'!Y43+'Продажи'!Y46)/(SUM('Продажи'!$D$37:$DS$37)+SUM('Продажи'!$D$40:$DS$40)+SUM('Продажи'!$D$43:$DS$43)+SUM('Продажи'!$D$46:$DS$46)),0)-IF('ОБЪЕКТЫ'!$B$8=2,IFERROR('ОБЪЕКТЫ'!$B$28*'ОБЪЕКТЫ'!Y22/'ОБЪЕКТЫ'!$B$22,0),0)-IF('ОБЪЕКТЫ'!$B$36=2,IFERROR('ОБЪЕКТЫ'!$B$56*'ОБЪЕКТЫ'!Y50/'ОБЪЕКТЫ'!$B$50,0),0)-IF('ОБЪЕКТЫ'!$B$64=2,IFERROR('ОБЪЕКТЫ'!$B$84*'ОБЪЕКТЫ'!Y78/'ОБЪЕКТЫ'!$B$78,0),0)-Y53-Y57-Y21</x:f>
      </x:c>
      <x:c r="Z22" s="117">
        <x:f>Z10-IFERROR((SUM($D$20:$DS$20)-'ОБЪЕКТЫ'!$B$104)*('Продажи'!Z37+'Продажи'!Z40+'Продажи'!Z43+'Продажи'!Z46)/(SUM('Продажи'!$D$37:$DS$37)+SUM('Продажи'!$D$40:$DS$40)+SUM('Продажи'!$D$43:$DS$43)+SUM('Продажи'!$D$46:$DS$46)),0)-IF('ОБЪЕКТЫ'!$B$8=2,IFERROR('ОБЪЕКТЫ'!$B$28*'ОБЪЕКТЫ'!Z22/'ОБЪЕКТЫ'!$B$22,0),0)-IF('ОБЪЕКТЫ'!$B$36=2,IFERROR('ОБЪЕКТЫ'!$B$56*'ОБЪЕКТЫ'!Z50/'ОБЪЕКТЫ'!$B$50,0),0)-IF('ОБЪЕКТЫ'!$B$64=2,IFERROR('ОБЪЕКТЫ'!$B$84*'ОБЪЕКТЫ'!Z78/'ОБЪЕКТЫ'!$B$78,0),0)-Z53-Z57-Z21</x:f>
      </x:c>
      <x:c r="AA22" s="117">
        <x:f>AA10-IFERROR((SUM($D$20:$DS$20)-'ОБЪЕКТЫ'!$B$104)*('Продажи'!AA37+'Продажи'!AA40+'Продажи'!AA43+'Продажи'!AA46)/(SUM('Продажи'!$D$37:$DS$37)+SUM('Продажи'!$D$40:$DS$40)+SUM('Продажи'!$D$43:$DS$43)+SUM('Продажи'!$D$46:$DS$46)),0)-IF('ОБЪЕКТЫ'!$B$8=2,IFERROR('ОБЪЕКТЫ'!$B$28*'ОБЪЕКТЫ'!AA22/'ОБЪЕКТЫ'!$B$22,0),0)-IF('ОБЪЕКТЫ'!$B$36=2,IFERROR('ОБЪЕКТЫ'!$B$56*'ОБЪЕКТЫ'!AA50/'ОБЪЕКТЫ'!$B$50,0),0)-IF('ОБЪЕКТЫ'!$B$64=2,IFERROR('ОБЪЕКТЫ'!$B$84*'ОБЪЕКТЫ'!AA78/'ОБЪЕКТЫ'!$B$78,0),0)-AA53-AA57-AA21</x:f>
      </x:c>
      <x:c r="AB22" s="117">
        <x:f>AB10-IFERROR((SUM($D$20:$DS$20)-'ОБЪЕКТЫ'!$B$104)*('Продажи'!AB37+'Продажи'!AB40+'Продажи'!AB43+'Продажи'!AB46)/(SUM('Продажи'!$D$37:$DS$37)+SUM('Продажи'!$D$40:$DS$40)+SUM('Продажи'!$D$43:$DS$43)+SUM('Продажи'!$D$46:$DS$46)),0)-IF('ОБЪЕКТЫ'!$B$8=2,IFERROR('ОБЪЕКТЫ'!$B$28*'ОБЪЕКТЫ'!AB22/'ОБЪЕКТЫ'!$B$22,0),0)-IF('ОБЪЕКТЫ'!$B$36=2,IFERROR('ОБЪЕКТЫ'!$B$56*'ОБЪЕКТЫ'!AB50/'ОБЪЕКТЫ'!$B$50,0),0)-IF('ОБЪЕКТЫ'!$B$64=2,IFERROR('ОБЪЕКТЫ'!$B$84*'ОБЪЕКТЫ'!AB78/'ОБЪЕКТЫ'!$B$78,0),0)-AB53-AB57-AB21</x:f>
      </x:c>
      <x:c r="AC22" s="117">
        <x:f>AC10-IFERROR((SUM($D$20:$DS$20)-'ОБЪЕКТЫ'!$B$104)*('Продажи'!AC37+'Продажи'!AC40+'Продажи'!AC43+'Продажи'!AC46)/(SUM('Продажи'!$D$37:$DS$37)+SUM('Продажи'!$D$40:$DS$40)+SUM('Продажи'!$D$43:$DS$43)+SUM('Продажи'!$D$46:$DS$46)),0)-IF('ОБЪЕКТЫ'!$B$8=2,IFERROR('ОБЪЕКТЫ'!$B$28*'ОБЪЕКТЫ'!AC22/'ОБЪЕКТЫ'!$B$22,0),0)-IF('ОБЪЕКТЫ'!$B$36=2,IFERROR('ОБЪЕКТЫ'!$B$56*'ОБЪЕКТЫ'!AC50/'ОБЪЕКТЫ'!$B$50,0),0)-IF('ОБЪЕКТЫ'!$B$64=2,IFERROR('ОБЪЕКТЫ'!$B$84*'ОБЪЕКТЫ'!AC78/'ОБЪЕКТЫ'!$B$78,0),0)-AC53-AC57-AC21</x:f>
      </x:c>
      <x:c r="AD22" s="117">
        <x:f>AD10-IFERROR((SUM($D$20:$DS$20)-'ОБЪЕКТЫ'!$B$104)*('Продажи'!AD37+'Продажи'!AD40+'Продажи'!AD43+'Продажи'!AD46)/(SUM('Продажи'!$D$37:$DS$37)+SUM('Продажи'!$D$40:$DS$40)+SUM('Продажи'!$D$43:$DS$43)+SUM('Продажи'!$D$46:$DS$46)),0)-IF('ОБЪЕКТЫ'!$B$8=2,IFERROR('ОБЪЕКТЫ'!$B$28*'ОБЪЕКТЫ'!AD22/'ОБЪЕКТЫ'!$B$22,0),0)-IF('ОБЪЕКТЫ'!$B$36=2,IFERROR('ОБЪЕКТЫ'!$B$56*'ОБЪЕКТЫ'!AD50/'ОБЪЕКТЫ'!$B$50,0),0)-IF('ОБЪЕКТЫ'!$B$64=2,IFERROR('ОБЪЕКТЫ'!$B$84*'ОБЪЕКТЫ'!AD78/'ОБЪЕКТЫ'!$B$78,0),0)-AD53-AD57-AD21</x:f>
      </x:c>
      <x:c r="AE22" s="117">
        <x:f>AE10-IFERROR((SUM($D$20:$DS$20)-'ОБЪЕКТЫ'!$B$104)*('Продажи'!AE37+'Продажи'!AE40+'Продажи'!AE43+'Продажи'!AE46)/(SUM('Продажи'!$D$37:$DS$37)+SUM('Продажи'!$D$40:$DS$40)+SUM('Продажи'!$D$43:$DS$43)+SUM('Продажи'!$D$46:$DS$46)),0)-IF('ОБЪЕКТЫ'!$B$8=2,IFERROR('ОБЪЕКТЫ'!$B$28*'ОБЪЕКТЫ'!AE22/'ОБЪЕКТЫ'!$B$22,0),0)-IF('ОБЪЕКТЫ'!$B$36=2,IFERROR('ОБЪЕКТЫ'!$B$56*'ОБЪЕКТЫ'!AE50/'ОБЪЕКТЫ'!$B$50,0),0)-IF('ОБЪЕКТЫ'!$B$64=2,IFERROR('ОБЪЕКТЫ'!$B$84*'ОБЪЕКТЫ'!AE78/'ОБЪЕКТЫ'!$B$78,0),0)-AE53-AE57-AE21</x:f>
      </x:c>
      <x:c r="AF22" s="117">
        <x:f>AF10-IFERROR((SUM($D$20:$DS$20)-'ОБЪЕКТЫ'!$B$104)*('Продажи'!AF37+'Продажи'!AF40+'Продажи'!AF43+'Продажи'!AF46)/(SUM('Продажи'!$D$37:$DS$37)+SUM('Продажи'!$D$40:$DS$40)+SUM('Продажи'!$D$43:$DS$43)+SUM('Продажи'!$D$46:$DS$46)),0)-IF('ОБЪЕКТЫ'!$B$8=2,IFERROR('ОБЪЕКТЫ'!$B$28*'ОБЪЕКТЫ'!AF22/'ОБЪЕКТЫ'!$B$22,0),0)-IF('ОБЪЕКТЫ'!$B$36=2,IFERROR('ОБЪЕКТЫ'!$B$56*'ОБЪЕКТЫ'!AF50/'ОБЪЕКТЫ'!$B$50,0),0)-IF('ОБЪЕКТЫ'!$B$64=2,IFERROR('ОБЪЕКТЫ'!$B$84*'ОБЪЕКТЫ'!AF78/'ОБЪЕКТЫ'!$B$78,0),0)-AF53-AF57-AF21</x:f>
      </x:c>
      <x:c r="AG22" s="117">
        <x:f>AG10-IFERROR((SUM($D$20:$DS$20)-'ОБЪЕКТЫ'!$B$104)*('Продажи'!AG37+'Продажи'!AG40+'Продажи'!AG43+'Продажи'!AG46)/(SUM('Продажи'!$D$37:$DS$37)+SUM('Продажи'!$D$40:$DS$40)+SUM('Продажи'!$D$43:$DS$43)+SUM('Продажи'!$D$46:$DS$46)),0)-IF('ОБЪЕКТЫ'!$B$8=2,IFERROR('ОБЪЕКТЫ'!$B$28*'ОБЪЕКТЫ'!AG22/'ОБЪЕКТЫ'!$B$22,0),0)-IF('ОБЪЕКТЫ'!$B$36=2,IFERROR('ОБЪЕКТЫ'!$B$56*'ОБЪЕКТЫ'!AG50/'ОБЪЕКТЫ'!$B$50,0),0)-IF('ОБЪЕКТЫ'!$B$64=2,IFERROR('ОБЪЕКТЫ'!$B$84*'ОБЪЕКТЫ'!AG78/'ОБЪЕКТЫ'!$B$78,0),0)-AG53-AG57-AG21</x:f>
      </x:c>
      <x:c r="AH22" s="117">
        <x:f>AH10-IFERROR((SUM($D$20:$DS$20)-'ОБЪЕКТЫ'!$B$104)*('Продажи'!AH37+'Продажи'!AH40+'Продажи'!AH43+'Продажи'!AH46)/(SUM('Продажи'!$D$37:$DS$37)+SUM('Продажи'!$D$40:$DS$40)+SUM('Продажи'!$D$43:$DS$43)+SUM('Продажи'!$D$46:$DS$46)),0)-IF('ОБЪЕКТЫ'!$B$8=2,IFERROR('ОБЪЕКТЫ'!$B$28*'ОБЪЕКТЫ'!AH22/'ОБЪЕКТЫ'!$B$22,0),0)-IF('ОБЪЕКТЫ'!$B$36=2,IFERROR('ОБЪЕКТЫ'!$B$56*'ОБЪЕКТЫ'!AH50/'ОБЪЕКТЫ'!$B$50,0),0)-IF('ОБЪЕКТЫ'!$B$64=2,IFERROR('ОБЪЕКТЫ'!$B$84*'ОБЪЕКТЫ'!AH78/'ОБЪЕКТЫ'!$B$78,0),0)-AH53-AH57-AH21</x:f>
      </x:c>
      <x:c r="AI22" s="117">
        <x:f>AI10-IFERROR((SUM($D$20:$DS$20)-'ОБЪЕКТЫ'!$B$104)*('Продажи'!AI37+'Продажи'!AI40+'Продажи'!AI43+'Продажи'!AI46)/(SUM('Продажи'!$D$37:$DS$37)+SUM('Продажи'!$D$40:$DS$40)+SUM('Продажи'!$D$43:$DS$43)+SUM('Продажи'!$D$46:$DS$46)),0)-IF('ОБЪЕКТЫ'!$B$8=2,IFERROR('ОБЪЕКТЫ'!$B$28*'ОБЪЕКТЫ'!AI22/'ОБЪЕКТЫ'!$B$22,0),0)-IF('ОБЪЕКТЫ'!$B$36=2,IFERROR('ОБЪЕКТЫ'!$B$56*'ОБЪЕКТЫ'!AI50/'ОБЪЕКТЫ'!$B$50,0),0)-IF('ОБЪЕКТЫ'!$B$64=2,IFERROR('ОБЪЕКТЫ'!$B$84*'ОБЪЕКТЫ'!AI78/'ОБЪЕКТЫ'!$B$78,0),0)-AI53-AI57-AI21</x:f>
      </x:c>
      <x:c r="AJ22" s="117">
        <x:f>AJ10-IFERROR((SUM($D$20:$DS$20)-'ОБЪЕКТЫ'!$B$104)*('Продажи'!AJ37+'Продажи'!AJ40+'Продажи'!AJ43+'Продажи'!AJ46)/(SUM('Продажи'!$D$37:$DS$37)+SUM('Продажи'!$D$40:$DS$40)+SUM('Продажи'!$D$43:$DS$43)+SUM('Продажи'!$D$46:$DS$46)),0)-IF('ОБЪЕКТЫ'!$B$8=2,IFERROR('ОБЪЕКТЫ'!$B$28*'ОБЪЕКТЫ'!AJ22/'ОБЪЕКТЫ'!$B$22,0),0)-IF('ОБЪЕКТЫ'!$B$36=2,IFERROR('ОБЪЕКТЫ'!$B$56*'ОБЪЕКТЫ'!AJ50/'ОБЪЕКТЫ'!$B$50,0),0)-IF('ОБЪЕКТЫ'!$B$64=2,IFERROR('ОБЪЕКТЫ'!$B$84*'ОБЪЕКТЫ'!AJ78/'ОБЪЕКТЫ'!$B$78,0),0)-AJ53-AJ57-AJ21</x:f>
      </x:c>
      <x:c r="AK22" s="117">
        <x:f>AK10-IFERROR((SUM($D$20:$DS$20)-'ОБЪЕКТЫ'!$B$104)*('Продажи'!AK37+'Продажи'!AK40+'Продажи'!AK43+'Продажи'!AK46)/(SUM('Продажи'!$D$37:$DS$37)+SUM('Продажи'!$D$40:$DS$40)+SUM('Продажи'!$D$43:$DS$43)+SUM('Продажи'!$D$46:$DS$46)),0)-IF('ОБЪЕКТЫ'!$B$8=2,IFERROR('ОБЪЕКТЫ'!$B$28*'ОБЪЕКТЫ'!AK22/'ОБЪЕКТЫ'!$B$22,0),0)-IF('ОБЪЕКТЫ'!$B$36=2,IFERROR('ОБЪЕКТЫ'!$B$56*'ОБЪЕКТЫ'!AK50/'ОБЪЕКТЫ'!$B$50,0),0)-IF('ОБЪЕКТЫ'!$B$64=2,IFERROR('ОБЪЕКТЫ'!$B$84*'ОБЪЕКТЫ'!AK78/'ОБЪЕКТЫ'!$B$78,0),0)-AK53-AK57-AK21</x:f>
      </x:c>
      <x:c r="AL22" s="117">
        <x:f>AL10-IFERROR((SUM($D$20:$DS$20)-'ОБЪЕКТЫ'!$B$104)*('Продажи'!AL37+'Продажи'!AL40+'Продажи'!AL43+'Продажи'!AL46)/(SUM('Продажи'!$D$37:$DS$37)+SUM('Продажи'!$D$40:$DS$40)+SUM('Продажи'!$D$43:$DS$43)+SUM('Продажи'!$D$46:$DS$46)),0)-IF('ОБЪЕКТЫ'!$B$8=2,IFERROR('ОБЪЕКТЫ'!$B$28*'ОБЪЕКТЫ'!AL22/'ОБЪЕКТЫ'!$B$22,0),0)-IF('ОБЪЕКТЫ'!$B$36=2,IFERROR('ОБЪЕКТЫ'!$B$56*'ОБЪЕКТЫ'!AL50/'ОБЪЕКТЫ'!$B$50,0),0)-IF('ОБЪЕКТЫ'!$B$64=2,IFERROR('ОБЪЕКТЫ'!$B$84*'ОБЪЕКТЫ'!AL78/'ОБЪЕКТЫ'!$B$78,0),0)-AL53-AL57-AL21</x:f>
      </x:c>
      <x:c r="AM22" s="117">
        <x:f>AM10-IFERROR((SUM($D$20:$DS$20)-'ОБЪЕКТЫ'!$B$104)*('Продажи'!AM37+'Продажи'!AM40+'Продажи'!AM43+'Продажи'!AM46)/(SUM('Продажи'!$D$37:$DS$37)+SUM('Продажи'!$D$40:$DS$40)+SUM('Продажи'!$D$43:$DS$43)+SUM('Продажи'!$D$46:$DS$46)),0)-IF('ОБЪЕКТЫ'!$B$8=2,IFERROR('ОБЪЕКТЫ'!$B$28*'ОБЪЕКТЫ'!AM22/'ОБЪЕКТЫ'!$B$22,0),0)-IF('ОБЪЕКТЫ'!$B$36=2,IFERROR('ОБЪЕКТЫ'!$B$56*'ОБЪЕКТЫ'!AM50/'ОБЪЕКТЫ'!$B$50,0),0)-IF('ОБЪЕКТЫ'!$B$64=2,IFERROR('ОБЪЕКТЫ'!$B$84*'ОБЪЕКТЫ'!AM78/'ОБЪЕКТЫ'!$B$78,0),0)-AM53-AM57-AM21</x:f>
      </x:c>
      <x:c r="AN22" s="117">
        <x:f>AN10-IFERROR((SUM($D$20:$DS$20)-'ОБЪЕКТЫ'!$B$104)*('Продажи'!AN37+'Продажи'!AN40+'Продажи'!AN43+'Продажи'!AN46)/(SUM('Продажи'!$D$37:$DS$37)+SUM('Продажи'!$D$40:$DS$40)+SUM('Продажи'!$D$43:$DS$43)+SUM('Продажи'!$D$46:$DS$46)),0)-IF('ОБЪЕКТЫ'!$B$8=2,IFERROR('ОБЪЕКТЫ'!$B$28*'ОБЪЕКТЫ'!AN22/'ОБЪЕКТЫ'!$B$22,0),0)-IF('ОБЪЕКТЫ'!$B$36=2,IFERROR('ОБЪЕКТЫ'!$B$56*'ОБЪЕКТЫ'!AN50/'ОБЪЕКТЫ'!$B$50,0),0)-IF('ОБЪЕКТЫ'!$B$64=2,IFERROR('ОБЪЕКТЫ'!$B$84*'ОБЪЕКТЫ'!AN78/'ОБЪЕКТЫ'!$B$78,0),0)-AN53-AN57-AN21</x:f>
      </x:c>
      <x:c r="AO22" s="117">
        <x:f>AO10-IFERROR((SUM($D$20:$DS$20)-'ОБЪЕКТЫ'!$B$104)*('Продажи'!AO37+'Продажи'!AO40+'Продажи'!AO43+'Продажи'!AO46)/(SUM('Продажи'!$D$37:$DS$37)+SUM('Продажи'!$D$40:$DS$40)+SUM('Продажи'!$D$43:$DS$43)+SUM('Продажи'!$D$46:$DS$46)),0)-IF('ОБЪЕКТЫ'!$B$8=2,IFERROR('ОБЪЕКТЫ'!$B$28*'ОБЪЕКТЫ'!AO22/'ОБЪЕКТЫ'!$B$22,0),0)-IF('ОБЪЕКТЫ'!$B$36=2,IFERROR('ОБЪЕКТЫ'!$B$56*'ОБЪЕКТЫ'!AO50/'ОБЪЕКТЫ'!$B$50,0),0)-IF('ОБЪЕКТЫ'!$B$64=2,IFERROR('ОБЪЕКТЫ'!$B$84*'ОБЪЕКТЫ'!AO78/'ОБЪЕКТЫ'!$B$78,0),0)-AO53-AO57-AO21</x:f>
      </x:c>
      <x:c r="AP22" s="117">
        <x:f>AP10-IFERROR((SUM($D$20:$DS$20)-'ОБЪЕКТЫ'!$B$104)*('Продажи'!AP37+'Продажи'!AP40+'Продажи'!AP43+'Продажи'!AP46)/(SUM('Продажи'!$D$37:$DS$37)+SUM('Продажи'!$D$40:$DS$40)+SUM('Продажи'!$D$43:$DS$43)+SUM('Продажи'!$D$46:$DS$46)),0)-IF('ОБЪЕКТЫ'!$B$8=2,IFERROR('ОБЪЕКТЫ'!$B$28*'ОБЪЕКТЫ'!AP22/'ОБЪЕКТЫ'!$B$22,0),0)-IF('ОБЪЕКТЫ'!$B$36=2,IFERROR('ОБЪЕКТЫ'!$B$56*'ОБЪЕКТЫ'!AP50/'ОБЪЕКТЫ'!$B$50,0),0)-IF('ОБЪЕКТЫ'!$B$64=2,IFERROR('ОБЪЕКТЫ'!$B$84*'ОБЪЕКТЫ'!AP78/'ОБЪЕКТЫ'!$B$78,0),0)-AP53-AP57-AP21</x:f>
      </x:c>
      <x:c r="AQ22" s="117">
        <x:f>AQ10-IFERROR((SUM($D$20:$DS$20)-'ОБЪЕКТЫ'!$B$104)*('Продажи'!AQ37+'Продажи'!AQ40+'Продажи'!AQ43+'Продажи'!AQ46)/(SUM('Продажи'!$D$37:$DS$37)+SUM('Продажи'!$D$40:$DS$40)+SUM('Продажи'!$D$43:$DS$43)+SUM('Продажи'!$D$46:$DS$46)),0)-IF('ОБЪЕКТЫ'!$B$8=2,IFERROR('ОБЪЕКТЫ'!$B$28*'ОБЪЕКТЫ'!AQ22/'ОБЪЕКТЫ'!$B$22,0),0)-IF('ОБЪЕКТЫ'!$B$36=2,IFERROR('ОБЪЕКТЫ'!$B$56*'ОБЪЕКТЫ'!AQ50/'ОБЪЕКТЫ'!$B$50,0),0)-IF('ОБЪЕКТЫ'!$B$64=2,IFERROR('ОБЪЕКТЫ'!$B$84*'ОБЪЕКТЫ'!AQ78/'ОБЪЕКТЫ'!$B$78,0),0)-AQ53-AQ57-AQ21</x:f>
      </x:c>
      <x:c r="AR22" s="117">
        <x:f>AR10-IFERROR((SUM($D$20:$DS$20)-'ОБЪЕКТЫ'!$B$104)*('Продажи'!AR37+'Продажи'!AR40+'Продажи'!AR43+'Продажи'!AR46)/(SUM('Продажи'!$D$37:$DS$37)+SUM('Продажи'!$D$40:$DS$40)+SUM('Продажи'!$D$43:$DS$43)+SUM('Продажи'!$D$46:$DS$46)),0)-IF('ОБЪЕКТЫ'!$B$8=2,IFERROR('ОБЪЕКТЫ'!$B$28*'ОБЪЕКТЫ'!AR22/'ОБЪЕКТЫ'!$B$22,0),0)-IF('ОБЪЕКТЫ'!$B$36=2,IFERROR('ОБЪЕКТЫ'!$B$56*'ОБЪЕКТЫ'!AR50/'ОБЪЕКТЫ'!$B$50,0),0)-IF('ОБЪЕКТЫ'!$B$64=2,IFERROR('ОБЪЕКТЫ'!$B$84*'ОБЪЕКТЫ'!AR78/'ОБЪЕКТЫ'!$B$78,0),0)-AR53-AR57-AR21</x:f>
      </x:c>
      <x:c r="AS22" s="117">
        <x:f>AS10-IFERROR((SUM($D$20:$DS$20)-'ОБЪЕКТЫ'!$B$104)*('Продажи'!AS37+'Продажи'!AS40+'Продажи'!AS43+'Продажи'!AS46)/(SUM('Продажи'!$D$37:$DS$37)+SUM('Продажи'!$D$40:$DS$40)+SUM('Продажи'!$D$43:$DS$43)+SUM('Продажи'!$D$46:$DS$46)),0)-IF('ОБЪЕКТЫ'!$B$8=2,IFERROR('ОБЪЕКТЫ'!$B$28*'ОБЪЕКТЫ'!AS22/'ОБЪЕКТЫ'!$B$22,0),0)-IF('ОБЪЕКТЫ'!$B$36=2,IFERROR('ОБЪЕКТЫ'!$B$56*'ОБЪЕКТЫ'!AS50/'ОБЪЕКТЫ'!$B$50,0),0)-IF('ОБЪЕКТЫ'!$B$64=2,IFERROR('ОБЪЕКТЫ'!$B$84*'ОБЪЕКТЫ'!AS78/'ОБЪЕКТЫ'!$B$78,0),0)-AS53-AS57-AS21</x:f>
      </x:c>
      <x:c r="AT22" s="117">
        <x:f>AT10-IFERROR((SUM($D$20:$DS$20)-'ОБЪЕКТЫ'!$B$104)*('Продажи'!AT37+'Продажи'!AT40+'Продажи'!AT43+'Продажи'!AT46)/(SUM('Продажи'!$D$37:$DS$37)+SUM('Продажи'!$D$40:$DS$40)+SUM('Продажи'!$D$43:$DS$43)+SUM('Продажи'!$D$46:$DS$46)),0)-IF('ОБЪЕКТЫ'!$B$8=2,IFERROR('ОБЪЕКТЫ'!$B$28*'ОБЪЕКТЫ'!AT22/'ОБЪЕКТЫ'!$B$22,0),0)-IF('ОБЪЕКТЫ'!$B$36=2,IFERROR('ОБЪЕКТЫ'!$B$56*'ОБЪЕКТЫ'!AT50/'ОБЪЕКТЫ'!$B$50,0),0)-IF('ОБЪЕКТЫ'!$B$64=2,IFERROR('ОБЪЕКТЫ'!$B$84*'ОБЪЕКТЫ'!AT78/'ОБЪЕКТЫ'!$B$78,0),0)-AT53-AT57-AT21</x:f>
      </x:c>
      <x:c r="AU22" s="117">
        <x:f>AU10-IFERROR((SUM($D$20:$DS$20)-'ОБЪЕКТЫ'!$B$104)*('Продажи'!AU37+'Продажи'!AU40+'Продажи'!AU43+'Продажи'!AU46)/(SUM('Продажи'!$D$37:$DS$37)+SUM('Продажи'!$D$40:$DS$40)+SUM('Продажи'!$D$43:$DS$43)+SUM('Продажи'!$D$46:$DS$46)),0)-IF('ОБЪЕКТЫ'!$B$8=2,IFERROR('ОБЪЕКТЫ'!$B$28*'ОБЪЕКТЫ'!AU22/'ОБЪЕКТЫ'!$B$22,0),0)-IF('ОБЪЕКТЫ'!$B$36=2,IFERROR('ОБЪЕКТЫ'!$B$56*'ОБЪЕКТЫ'!AU50/'ОБЪЕКТЫ'!$B$50,0),0)-IF('ОБЪЕКТЫ'!$B$64=2,IFERROR('ОБЪЕКТЫ'!$B$84*'ОБЪЕКТЫ'!AU78/'ОБЪЕКТЫ'!$B$78,0),0)-AU53-AU57-AU21</x:f>
      </x:c>
      <x:c r="AV22" s="117">
        <x:f>AV10-IFERROR((SUM($D$20:$DS$20)-'ОБЪЕКТЫ'!$B$104)*('Продажи'!AV37+'Продажи'!AV40+'Продажи'!AV43+'Продажи'!AV46)/(SUM('Продажи'!$D$37:$DS$37)+SUM('Продажи'!$D$40:$DS$40)+SUM('Продажи'!$D$43:$DS$43)+SUM('Продажи'!$D$46:$DS$46)),0)-IF('ОБЪЕКТЫ'!$B$8=2,IFERROR('ОБЪЕКТЫ'!$B$28*'ОБЪЕКТЫ'!AV22/'ОБЪЕКТЫ'!$B$22,0),0)-IF('ОБЪЕКТЫ'!$B$36=2,IFERROR('ОБЪЕКТЫ'!$B$56*'ОБЪЕКТЫ'!AV50/'ОБЪЕКТЫ'!$B$50,0),0)-IF('ОБЪЕКТЫ'!$B$64=2,IFERROR('ОБЪЕКТЫ'!$B$84*'ОБЪЕКТЫ'!AV78/'ОБЪЕКТЫ'!$B$78,0),0)-AV53-AV57-AV21</x:f>
      </x:c>
      <x:c r="AW22" s="117">
        <x:f>AW10-IFERROR((SUM($D$20:$DS$20)-'ОБЪЕКТЫ'!$B$104)*('Продажи'!AW37+'Продажи'!AW40+'Продажи'!AW43+'Продажи'!AW46)/(SUM('Продажи'!$D$37:$DS$37)+SUM('Продажи'!$D$40:$DS$40)+SUM('Продажи'!$D$43:$DS$43)+SUM('Продажи'!$D$46:$DS$46)),0)-IF('ОБЪЕКТЫ'!$B$8=2,IFERROR('ОБЪЕКТЫ'!$B$28*'ОБЪЕКТЫ'!AW22/'ОБЪЕКТЫ'!$B$22,0),0)-IF('ОБЪЕКТЫ'!$B$36=2,IFERROR('ОБЪЕКТЫ'!$B$56*'ОБЪЕКТЫ'!AW50/'ОБЪЕКТЫ'!$B$50,0),0)-IF('ОБЪЕКТЫ'!$B$64=2,IFERROR('ОБЪЕКТЫ'!$B$84*'ОБЪЕКТЫ'!AW78/'ОБЪЕКТЫ'!$B$78,0),0)-AW53-AW57-AW21</x:f>
      </x:c>
      <x:c r="AX22" s="117">
        <x:f>AX10-IFERROR((SUM($D$20:$DS$20)-'ОБЪЕКТЫ'!$B$104)*('Продажи'!AX37+'Продажи'!AX40+'Продажи'!AX43+'Продажи'!AX46)/(SUM('Продажи'!$D$37:$DS$37)+SUM('Продажи'!$D$40:$DS$40)+SUM('Продажи'!$D$43:$DS$43)+SUM('Продажи'!$D$46:$DS$46)),0)-IF('ОБЪЕКТЫ'!$B$8=2,IFERROR('ОБЪЕКТЫ'!$B$28*'ОБЪЕКТЫ'!AX22/'ОБЪЕКТЫ'!$B$22,0),0)-IF('ОБЪЕКТЫ'!$B$36=2,IFERROR('ОБЪЕКТЫ'!$B$56*'ОБЪЕКТЫ'!AX50/'ОБЪЕКТЫ'!$B$50,0),0)-IF('ОБЪЕКТЫ'!$B$64=2,IFERROR('ОБЪЕКТЫ'!$B$84*'ОБЪЕКТЫ'!AX78/'ОБЪЕКТЫ'!$B$78,0),0)-AX53-AX57-AX21</x:f>
      </x:c>
      <x:c r="AY22" s="117">
        <x:f>AY10-IFERROR((SUM($D$20:$DS$20)-'ОБЪЕКТЫ'!$B$104)*('Продажи'!AY37+'Продажи'!AY40+'Продажи'!AY43+'Продажи'!AY46)/(SUM('Продажи'!$D$37:$DS$37)+SUM('Продажи'!$D$40:$DS$40)+SUM('Продажи'!$D$43:$DS$43)+SUM('Продажи'!$D$46:$DS$46)),0)-IF('ОБЪЕКТЫ'!$B$8=2,IFERROR('ОБЪЕКТЫ'!$B$28*'ОБЪЕКТЫ'!AY22/'ОБЪЕКТЫ'!$B$22,0),0)-IF('ОБЪЕКТЫ'!$B$36=2,IFERROR('ОБЪЕКТЫ'!$B$56*'ОБЪЕКТЫ'!AY50/'ОБЪЕКТЫ'!$B$50,0),0)-IF('ОБЪЕКТЫ'!$B$64=2,IFERROR('ОБЪЕКТЫ'!$B$84*'ОБЪЕКТЫ'!AY78/'ОБЪЕКТЫ'!$B$78,0),0)-AY53-AY57-AY21</x:f>
      </x:c>
      <x:c r="AZ22" s="117">
        <x:f>AZ10-IFERROR((SUM($D$20:$DS$20)-'ОБЪЕКТЫ'!$B$104)*('Продажи'!AZ37+'Продажи'!AZ40+'Продажи'!AZ43+'Продажи'!AZ46)/(SUM('Продажи'!$D$37:$DS$37)+SUM('Продажи'!$D$40:$DS$40)+SUM('Продажи'!$D$43:$DS$43)+SUM('Продажи'!$D$46:$DS$46)),0)-IF('ОБЪЕКТЫ'!$B$8=2,IFERROR('ОБЪЕКТЫ'!$B$28*'ОБЪЕКТЫ'!AZ22/'ОБЪЕКТЫ'!$B$22,0),0)-IF('ОБЪЕКТЫ'!$B$36=2,IFERROR('ОБЪЕКТЫ'!$B$56*'ОБЪЕКТЫ'!AZ50/'ОБЪЕКТЫ'!$B$50,0),0)-IF('ОБЪЕКТЫ'!$B$64=2,IFERROR('ОБЪЕКТЫ'!$B$84*'ОБЪЕКТЫ'!AZ78/'ОБЪЕКТЫ'!$B$78,0),0)-AZ53-AZ57-AZ21</x:f>
      </x:c>
      <x:c r="BA22" s="117">
        <x:f>BA10-IFERROR((SUM($D$20:$DS$20)-'ОБЪЕКТЫ'!$B$104)*('Продажи'!BA37+'Продажи'!BA40+'Продажи'!BA43+'Продажи'!BA46)/(SUM('Продажи'!$D$37:$DS$37)+SUM('Продажи'!$D$40:$DS$40)+SUM('Продажи'!$D$43:$DS$43)+SUM('Продажи'!$D$46:$DS$46)),0)-IF('ОБЪЕКТЫ'!$B$8=2,IFERROR('ОБЪЕКТЫ'!$B$28*'ОБЪЕКТЫ'!BA22/'ОБЪЕКТЫ'!$B$22,0),0)-IF('ОБЪЕКТЫ'!$B$36=2,IFERROR('ОБЪЕКТЫ'!$B$56*'ОБЪЕКТЫ'!BA50/'ОБЪЕКТЫ'!$B$50,0),0)-IF('ОБЪЕКТЫ'!$B$64=2,IFERROR('ОБЪЕКТЫ'!$B$84*'ОБЪЕКТЫ'!BA78/'ОБЪЕКТЫ'!$B$78,0),0)-BA53-BA57-BA21</x:f>
      </x:c>
      <x:c r="BB22" s="117">
        <x:f>BB10-IFERROR((SUM($D$20:$DS$20)-'ОБЪЕКТЫ'!$B$104)*('Продажи'!BB37+'Продажи'!BB40+'Продажи'!BB43+'Продажи'!BB46)/(SUM('Продажи'!$D$37:$DS$37)+SUM('Продажи'!$D$40:$DS$40)+SUM('Продажи'!$D$43:$DS$43)+SUM('Продажи'!$D$46:$DS$46)),0)-IF('ОБЪЕКТЫ'!$B$8=2,IFERROR('ОБЪЕКТЫ'!$B$28*'ОБЪЕКТЫ'!BB22/'ОБЪЕКТЫ'!$B$22,0),0)-IF('ОБЪЕКТЫ'!$B$36=2,IFERROR('ОБЪЕКТЫ'!$B$56*'ОБЪЕКТЫ'!BB50/'ОБЪЕКТЫ'!$B$50,0),0)-IF('ОБЪЕКТЫ'!$B$64=2,IFERROR('ОБЪЕКТЫ'!$B$84*'ОБЪЕКТЫ'!BB78/'ОБЪЕКТЫ'!$B$78,0),0)-BB53-BB57-BB21</x:f>
      </x:c>
      <x:c r="BC22" s="117">
        <x:f>BC10-IFERROR((SUM($D$20:$DS$20)-'ОБЪЕКТЫ'!$B$104)*('Продажи'!BC37+'Продажи'!BC40+'Продажи'!BC43+'Продажи'!BC46)/(SUM('Продажи'!$D$37:$DS$37)+SUM('Продажи'!$D$40:$DS$40)+SUM('Продажи'!$D$43:$DS$43)+SUM('Продажи'!$D$46:$DS$46)),0)-IF('ОБЪЕКТЫ'!$B$8=2,IFERROR('ОБЪЕКТЫ'!$B$28*'ОБЪЕКТЫ'!BC22/'ОБЪЕКТЫ'!$B$22,0),0)-IF('ОБЪЕКТЫ'!$B$36=2,IFERROR('ОБЪЕКТЫ'!$B$56*'ОБЪЕКТЫ'!BC50/'ОБЪЕКТЫ'!$B$50,0),0)-IF('ОБЪЕКТЫ'!$B$64=2,IFERROR('ОБЪЕКТЫ'!$B$84*'ОБЪЕКТЫ'!BC78/'ОБЪЕКТЫ'!$B$78,0),0)-BC53-BC57-BC21</x:f>
      </x:c>
      <x:c r="BD22" s="117">
        <x:f>BD10-IFERROR((SUM($D$20:$DS$20)-'ОБЪЕКТЫ'!$B$104)*('Продажи'!BD37+'Продажи'!BD40+'Продажи'!BD43+'Продажи'!BD46)/(SUM('Продажи'!$D$37:$DS$37)+SUM('Продажи'!$D$40:$DS$40)+SUM('Продажи'!$D$43:$DS$43)+SUM('Продажи'!$D$46:$DS$46)),0)-IF('ОБЪЕКТЫ'!$B$8=2,IFERROR('ОБЪЕКТЫ'!$B$28*'ОБЪЕКТЫ'!BD22/'ОБЪЕКТЫ'!$B$22,0),0)-IF('ОБЪЕКТЫ'!$B$36=2,IFERROR('ОБЪЕКТЫ'!$B$56*'ОБЪЕКТЫ'!BD50/'ОБЪЕКТЫ'!$B$50,0),0)-IF('ОБЪЕКТЫ'!$B$64=2,IFERROR('ОБЪЕКТЫ'!$B$84*'ОБЪЕКТЫ'!BD78/'ОБЪЕКТЫ'!$B$78,0),0)-BD53-BD57-BD21</x:f>
      </x:c>
      <x:c r="BE22" s="117">
        <x:f>BE10-IFERROR((SUM($D$20:$DS$20)-'ОБЪЕКТЫ'!$B$104)*('Продажи'!BE37+'Продажи'!BE40+'Продажи'!BE43+'Продажи'!BE46)/(SUM('Продажи'!$D$37:$DS$37)+SUM('Продажи'!$D$40:$DS$40)+SUM('Продажи'!$D$43:$DS$43)+SUM('Продажи'!$D$46:$DS$46)),0)-IF('ОБЪЕКТЫ'!$B$8=2,IFERROR('ОБЪЕКТЫ'!$B$28*'ОБЪЕКТЫ'!BE22/'ОБЪЕКТЫ'!$B$22,0),0)-IF('ОБЪЕКТЫ'!$B$36=2,IFERROR('ОБЪЕКТЫ'!$B$56*'ОБЪЕКТЫ'!BE50/'ОБЪЕКТЫ'!$B$50,0),0)-IF('ОБЪЕКТЫ'!$B$64=2,IFERROR('ОБЪЕКТЫ'!$B$84*'ОБЪЕКТЫ'!BE78/'ОБЪЕКТЫ'!$B$78,0),0)-BE53-BE57-BE21</x:f>
      </x:c>
      <x:c r="BF22" s="117">
        <x:f>BF10-IFERROR((SUM($D$20:$DS$20)-'ОБЪЕКТЫ'!$B$104)*('Продажи'!BF37+'Продажи'!BF40+'Продажи'!BF43+'Продажи'!BF46)/(SUM('Продажи'!$D$37:$DS$37)+SUM('Продажи'!$D$40:$DS$40)+SUM('Продажи'!$D$43:$DS$43)+SUM('Продажи'!$D$46:$DS$46)),0)-IF('ОБЪЕКТЫ'!$B$8=2,IFERROR('ОБЪЕКТЫ'!$B$28*'ОБЪЕКТЫ'!BF22/'ОБЪЕКТЫ'!$B$22,0),0)-IF('ОБЪЕКТЫ'!$B$36=2,IFERROR('ОБЪЕКТЫ'!$B$56*'ОБЪЕКТЫ'!BF50/'ОБЪЕКТЫ'!$B$50,0),0)-IF('ОБЪЕКТЫ'!$B$64=2,IFERROR('ОБЪЕКТЫ'!$B$84*'ОБЪЕКТЫ'!BF78/'ОБЪЕКТЫ'!$B$78,0),0)-BF53-BF57-BF21</x:f>
      </x:c>
      <x:c r="BG22" s="117">
        <x:f>BG10-IFERROR((SUM($D$20:$DS$20)-'ОБЪЕКТЫ'!$B$104)*('Продажи'!BG37+'Продажи'!BG40+'Продажи'!BG43+'Продажи'!BG46)/(SUM('Продажи'!$D$37:$DS$37)+SUM('Продажи'!$D$40:$DS$40)+SUM('Продажи'!$D$43:$DS$43)+SUM('Продажи'!$D$46:$DS$46)),0)-IF('ОБЪЕКТЫ'!$B$8=2,IFERROR('ОБЪЕКТЫ'!$B$28*'ОБЪЕКТЫ'!BG22/'ОБЪЕКТЫ'!$B$22,0),0)-IF('ОБЪЕКТЫ'!$B$36=2,IFERROR('ОБЪЕКТЫ'!$B$56*'ОБЪЕКТЫ'!BG50/'ОБЪЕКТЫ'!$B$50,0),0)-IF('ОБЪЕКТЫ'!$B$64=2,IFERROR('ОБЪЕКТЫ'!$B$84*'ОБЪЕКТЫ'!BG78/'ОБЪЕКТЫ'!$B$78,0),0)-BG53-BG57-BG21</x:f>
      </x:c>
      <x:c r="BH22" s="117">
        <x:f>BH10-IFERROR((SUM($D$20:$DS$20)-'ОБЪЕКТЫ'!$B$104)*('Продажи'!BH37+'Продажи'!BH40+'Продажи'!BH43+'Продажи'!BH46)/(SUM('Продажи'!$D$37:$DS$37)+SUM('Продажи'!$D$40:$DS$40)+SUM('Продажи'!$D$43:$DS$43)+SUM('Продажи'!$D$46:$DS$46)),0)-IF('ОБЪЕКТЫ'!$B$8=2,IFERROR('ОБЪЕКТЫ'!$B$28*'ОБЪЕКТЫ'!BH22/'ОБЪЕКТЫ'!$B$22,0),0)-IF('ОБЪЕКТЫ'!$B$36=2,IFERROR('ОБЪЕКТЫ'!$B$56*'ОБЪЕКТЫ'!BH50/'ОБЪЕКТЫ'!$B$50,0),0)-IF('ОБЪЕКТЫ'!$B$64=2,IFERROR('ОБЪЕКТЫ'!$B$84*'ОБЪЕКТЫ'!BH78/'ОБЪЕКТЫ'!$B$78,0),0)-BH53-BH57-BH21</x:f>
      </x:c>
      <x:c r="BI22" s="117">
        <x:f>BI10-IFERROR((SUM($D$20:$DS$20)-'ОБЪЕКТЫ'!$B$104)*('Продажи'!BI37+'Продажи'!BI40+'Продажи'!BI43+'Продажи'!BI46)/(SUM('Продажи'!$D$37:$DS$37)+SUM('Продажи'!$D$40:$DS$40)+SUM('Продажи'!$D$43:$DS$43)+SUM('Продажи'!$D$46:$DS$46)),0)-IF('ОБЪЕКТЫ'!$B$8=2,IFERROR('ОБЪЕКТЫ'!$B$28*'ОБЪЕКТЫ'!BI22/'ОБЪЕКТЫ'!$B$22,0),0)-IF('ОБЪЕКТЫ'!$B$36=2,IFERROR('ОБЪЕКТЫ'!$B$56*'ОБЪЕКТЫ'!BI50/'ОБЪЕКТЫ'!$B$50,0),0)-IF('ОБЪЕКТЫ'!$B$64=2,IFERROR('ОБЪЕКТЫ'!$B$84*'ОБЪЕКТЫ'!BI78/'ОБЪЕКТЫ'!$B$78,0),0)-BI53-BI57-BI21</x:f>
      </x:c>
      <x:c r="BJ22" s="117">
        <x:f>BJ10-IFERROR((SUM($D$20:$DS$20)-'ОБЪЕКТЫ'!$B$104)*('Продажи'!BJ37+'Продажи'!BJ40+'Продажи'!BJ43+'Продажи'!BJ46)/(SUM('Продажи'!$D$37:$DS$37)+SUM('Продажи'!$D$40:$DS$40)+SUM('Продажи'!$D$43:$DS$43)+SUM('Продажи'!$D$46:$DS$46)),0)-IF('ОБЪЕКТЫ'!$B$8=2,IFERROR('ОБЪЕКТЫ'!$B$28*'ОБЪЕКТЫ'!BJ22/'ОБЪЕКТЫ'!$B$22,0),0)-IF('ОБЪЕКТЫ'!$B$36=2,IFERROR('ОБЪЕКТЫ'!$B$56*'ОБЪЕКТЫ'!BJ50/'ОБЪЕКТЫ'!$B$50,0),0)-IF('ОБЪЕКТЫ'!$B$64=2,IFERROR('ОБЪЕКТЫ'!$B$84*'ОБЪЕКТЫ'!BJ78/'ОБЪЕКТЫ'!$B$78,0),0)-BJ53-BJ57-BJ21</x:f>
      </x:c>
      <x:c r="BK22" s="117">
        <x:f>BK10-IFERROR((SUM($D$20:$DS$20)-'ОБЪЕКТЫ'!$B$104)*('Продажи'!BK37+'Продажи'!BK40+'Продажи'!BK43+'Продажи'!BK46)/(SUM('Продажи'!$D$37:$DS$37)+SUM('Продажи'!$D$40:$DS$40)+SUM('Продажи'!$D$43:$DS$43)+SUM('Продажи'!$D$46:$DS$46)),0)-IF('ОБЪЕКТЫ'!$B$8=2,IFERROR('ОБЪЕКТЫ'!$B$28*'ОБЪЕКТЫ'!BK22/'ОБЪЕКТЫ'!$B$22,0),0)-IF('ОБЪЕКТЫ'!$B$36=2,IFERROR('ОБЪЕКТЫ'!$B$56*'ОБЪЕКТЫ'!BK50/'ОБЪЕКТЫ'!$B$50,0),0)-IF('ОБЪЕКТЫ'!$B$64=2,IFERROR('ОБЪЕКТЫ'!$B$84*'ОБЪЕКТЫ'!BK78/'ОБЪЕКТЫ'!$B$78,0),0)-BK53-BK57-BK21</x:f>
      </x:c>
      <x:c r="BL22" s="117">
        <x:f>BL10-IFERROR((SUM($D$20:$DS$20)-'ОБЪЕКТЫ'!$B$104)*('Продажи'!BL37+'Продажи'!BL40+'Продажи'!BL43+'Продажи'!BL46)/(SUM('Продажи'!$D$37:$DS$37)+SUM('Продажи'!$D$40:$DS$40)+SUM('Продажи'!$D$43:$DS$43)+SUM('Продажи'!$D$46:$DS$46)),0)-IF('ОБЪЕКТЫ'!$B$8=2,IFERROR('ОБЪЕКТЫ'!$B$28*'ОБЪЕКТЫ'!BL22/'ОБЪЕКТЫ'!$B$22,0),0)-IF('ОБЪЕКТЫ'!$B$36=2,IFERROR('ОБЪЕКТЫ'!$B$56*'ОБЪЕКТЫ'!BL50/'ОБЪЕКТЫ'!$B$50,0),0)-IF('ОБЪЕКТЫ'!$B$64=2,IFERROR('ОБЪЕКТЫ'!$B$84*'ОБЪЕКТЫ'!BL78/'ОБЪЕКТЫ'!$B$78,0),0)-BL53-BL57-BL21</x:f>
      </x:c>
      <x:c r="BM22" s="117">
        <x:f>BM10-IFERROR((SUM($D$20:$DS$20)-'ОБЪЕКТЫ'!$B$104)*('Продажи'!BM37+'Продажи'!BM40+'Продажи'!BM43+'Продажи'!BM46)/(SUM('Продажи'!$D$37:$DS$37)+SUM('Продажи'!$D$40:$DS$40)+SUM('Продажи'!$D$43:$DS$43)+SUM('Продажи'!$D$46:$DS$46)),0)-IF('ОБЪЕКТЫ'!$B$8=2,IFERROR('ОБЪЕКТЫ'!$B$28*'ОБЪЕКТЫ'!BM22/'ОБЪЕКТЫ'!$B$22,0),0)-IF('ОБЪЕКТЫ'!$B$36=2,IFERROR('ОБЪЕКТЫ'!$B$56*'ОБЪЕКТЫ'!BM50/'ОБЪЕКТЫ'!$B$50,0),0)-IF('ОБЪЕКТЫ'!$B$64=2,IFERROR('ОБЪЕКТЫ'!$B$84*'ОБЪЕКТЫ'!BM78/'ОБЪЕКТЫ'!$B$78,0),0)-BM53-BM57-BM21</x:f>
      </x:c>
      <x:c r="BN22" s="117">
        <x:f>BN10-IFERROR((SUM($D$20:$DS$20)-'ОБЪЕКТЫ'!$B$104)*('Продажи'!BN37+'Продажи'!BN40+'Продажи'!BN43+'Продажи'!BN46)/(SUM('Продажи'!$D$37:$DS$37)+SUM('Продажи'!$D$40:$DS$40)+SUM('Продажи'!$D$43:$DS$43)+SUM('Продажи'!$D$46:$DS$46)),0)-IF('ОБЪЕКТЫ'!$B$8=2,IFERROR('ОБЪЕКТЫ'!$B$28*'ОБЪЕКТЫ'!BN22/'ОБЪЕКТЫ'!$B$22,0),0)-IF('ОБЪЕКТЫ'!$B$36=2,IFERROR('ОБЪЕКТЫ'!$B$56*'ОБЪЕКТЫ'!BN50/'ОБЪЕКТЫ'!$B$50,0),0)-IF('ОБЪЕКТЫ'!$B$64=2,IFERROR('ОБЪЕКТЫ'!$B$84*'ОБЪЕКТЫ'!BN78/'ОБЪЕКТЫ'!$B$78,0),0)-BN53-BN57-BN21</x:f>
      </x:c>
      <x:c r="BO22" s="117">
        <x:f>BO10-IFERROR((SUM($D$20:$DS$20)-'ОБЪЕКТЫ'!$B$104)*('Продажи'!BO37+'Продажи'!BO40+'Продажи'!BO43+'Продажи'!BO46)/(SUM('Продажи'!$D$37:$DS$37)+SUM('Продажи'!$D$40:$DS$40)+SUM('Продажи'!$D$43:$DS$43)+SUM('Продажи'!$D$46:$DS$46)),0)-IF('ОБЪЕКТЫ'!$B$8=2,IFERROR('ОБЪЕКТЫ'!$B$28*'ОБЪЕКТЫ'!BO22/'ОБЪЕКТЫ'!$B$22,0),0)-IF('ОБЪЕКТЫ'!$B$36=2,IFERROR('ОБЪЕКТЫ'!$B$56*'ОБЪЕКТЫ'!BO50/'ОБЪЕКТЫ'!$B$50,0),0)-IF('ОБЪЕКТЫ'!$B$64=2,IFERROR('ОБЪЕКТЫ'!$B$84*'ОБЪЕКТЫ'!BO78/'ОБЪЕКТЫ'!$B$78,0),0)-BO53-BO57-BO21</x:f>
      </x:c>
      <x:c r="BP22" s="117">
        <x:f>BP10-IFERROR((SUM($D$20:$DS$20)-'ОБЪЕКТЫ'!$B$104)*('Продажи'!BP37+'Продажи'!BP40+'Продажи'!BP43+'Продажи'!BP46)/(SUM('Продажи'!$D$37:$DS$37)+SUM('Продажи'!$D$40:$DS$40)+SUM('Продажи'!$D$43:$DS$43)+SUM('Продажи'!$D$46:$DS$46)),0)-IF('ОБЪЕКТЫ'!$B$8=2,IFERROR('ОБЪЕКТЫ'!$B$28*'ОБЪЕКТЫ'!BP22/'ОБЪЕКТЫ'!$B$22,0),0)-IF('ОБЪЕКТЫ'!$B$36=2,IFERROR('ОБЪЕКТЫ'!$B$56*'ОБЪЕКТЫ'!BP50/'ОБЪЕКТЫ'!$B$50,0),0)-IF('ОБЪЕКТЫ'!$B$64=2,IFERROR('ОБЪЕКТЫ'!$B$84*'ОБЪЕКТЫ'!BP78/'ОБЪЕКТЫ'!$B$78,0),0)-BP53-BP57-BP21</x:f>
      </x:c>
      <x:c r="BQ22" s="117">
        <x:f>BQ10-IFERROR((SUM($D$20:$DS$20)-'ОБЪЕКТЫ'!$B$104)*('Продажи'!BQ37+'Продажи'!BQ40+'Продажи'!BQ43+'Продажи'!BQ46)/(SUM('Продажи'!$D$37:$DS$37)+SUM('Продажи'!$D$40:$DS$40)+SUM('Продажи'!$D$43:$DS$43)+SUM('Продажи'!$D$46:$DS$46)),0)-IF('ОБЪЕКТЫ'!$B$8=2,IFERROR('ОБЪЕКТЫ'!$B$28*'ОБЪЕКТЫ'!BQ22/'ОБЪЕКТЫ'!$B$22,0),0)-IF('ОБЪЕКТЫ'!$B$36=2,IFERROR('ОБЪЕКТЫ'!$B$56*'ОБЪЕКТЫ'!BQ50/'ОБЪЕКТЫ'!$B$50,0),0)-IF('ОБЪЕКТЫ'!$B$64=2,IFERROR('ОБЪЕКТЫ'!$B$84*'ОБЪЕКТЫ'!BQ78/'ОБЪЕКТЫ'!$B$78,0),0)-BQ53-BQ57-BQ21</x:f>
      </x:c>
      <x:c r="BR22" s="117">
        <x:f>BR10-IFERROR((SUM($D$20:$DS$20)-'ОБЪЕКТЫ'!$B$104)*('Продажи'!BR37+'Продажи'!BR40+'Продажи'!BR43+'Продажи'!BR46)/(SUM('Продажи'!$D$37:$DS$37)+SUM('Продажи'!$D$40:$DS$40)+SUM('Продажи'!$D$43:$DS$43)+SUM('Продажи'!$D$46:$DS$46)),0)-IF('ОБЪЕКТЫ'!$B$8=2,IFERROR('ОБЪЕКТЫ'!$B$28*'ОБЪЕКТЫ'!BR22/'ОБЪЕКТЫ'!$B$22,0),0)-IF('ОБЪЕКТЫ'!$B$36=2,IFERROR('ОБЪЕКТЫ'!$B$56*'ОБЪЕКТЫ'!BR50/'ОБЪЕКТЫ'!$B$50,0),0)-IF('ОБЪЕКТЫ'!$B$64=2,IFERROR('ОБЪЕКТЫ'!$B$84*'ОБЪЕКТЫ'!BR78/'ОБЪЕКТЫ'!$B$78,0),0)-BR53-BR57-BR21</x:f>
      </x:c>
      <x:c r="BS22" s="117">
        <x:f>BS10-IFERROR((SUM($D$20:$DS$20)-'ОБЪЕКТЫ'!$B$104)*('Продажи'!BS37+'Продажи'!BS40+'Продажи'!BS43+'Продажи'!BS46)/(SUM('Продажи'!$D$37:$DS$37)+SUM('Продажи'!$D$40:$DS$40)+SUM('Продажи'!$D$43:$DS$43)+SUM('Продажи'!$D$46:$DS$46)),0)-IF('ОБЪЕКТЫ'!$B$8=2,IFERROR('ОБЪЕКТЫ'!$B$28*'ОБЪЕКТЫ'!BS22/'ОБЪЕКТЫ'!$B$22,0),0)-IF('ОБЪЕКТЫ'!$B$36=2,IFERROR('ОБЪЕКТЫ'!$B$56*'ОБЪЕКТЫ'!BS50/'ОБЪЕКТЫ'!$B$50,0),0)-IF('ОБЪЕКТЫ'!$B$64=2,IFERROR('ОБЪЕКТЫ'!$B$84*'ОБЪЕКТЫ'!BS78/'ОБЪЕКТЫ'!$B$78,0),0)-BS53-BS57-BS21</x:f>
      </x:c>
      <x:c r="BT22" s="117">
        <x:f>BT10-IFERROR((SUM($D$20:$DS$20)-'ОБЪЕКТЫ'!$B$104)*('Продажи'!BT37+'Продажи'!BT40+'Продажи'!BT43+'Продажи'!BT46)/(SUM('Продажи'!$D$37:$DS$37)+SUM('Продажи'!$D$40:$DS$40)+SUM('Продажи'!$D$43:$DS$43)+SUM('Продажи'!$D$46:$DS$46)),0)-IF('ОБЪЕКТЫ'!$B$8=2,IFERROR('ОБЪЕКТЫ'!$B$28*'ОБЪЕКТЫ'!BT22/'ОБЪЕКТЫ'!$B$22,0),0)-IF('ОБЪЕКТЫ'!$B$36=2,IFERROR('ОБЪЕКТЫ'!$B$56*'ОБЪЕКТЫ'!BT50/'ОБЪЕКТЫ'!$B$50,0),0)-IF('ОБЪЕКТЫ'!$B$64=2,IFERROR('ОБЪЕКТЫ'!$B$84*'ОБЪЕКТЫ'!BT78/'ОБЪЕКТЫ'!$B$78,0),0)-BT53-BT57-BT21</x:f>
      </x:c>
      <x:c r="BU22" s="117">
        <x:f>BU10-IFERROR((SUM($D$20:$DS$20)-'ОБЪЕКТЫ'!$B$104)*('Продажи'!BU37+'Продажи'!BU40+'Продажи'!BU43+'Продажи'!BU46)/(SUM('Продажи'!$D$37:$DS$37)+SUM('Продажи'!$D$40:$DS$40)+SUM('Продажи'!$D$43:$DS$43)+SUM('Продажи'!$D$46:$DS$46)),0)-IF('ОБЪЕКТЫ'!$B$8=2,IFERROR('ОБЪЕКТЫ'!$B$28*'ОБЪЕКТЫ'!BU22/'ОБЪЕКТЫ'!$B$22,0),0)-IF('ОБЪЕКТЫ'!$B$36=2,IFERROR('ОБЪЕКТЫ'!$B$56*'ОБЪЕКТЫ'!BU50/'ОБЪЕКТЫ'!$B$50,0),0)-IF('ОБЪЕКТЫ'!$B$64=2,IFERROR('ОБЪЕКТЫ'!$B$84*'ОБЪЕКТЫ'!BU78/'ОБЪЕКТЫ'!$B$78,0),0)-BU53-BU57-BU21</x:f>
      </x:c>
      <x:c r="BV22" s="117">
        <x:f>BV10-IFERROR((SUM($D$20:$DS$20)-'ОБЪЕКТЫ'!$B$104)*('Продажи'!BV37+'Продажи'!BV40+'Продажи'!BV43+'Продажи'!BV46)/(SUM('Продажи'!$D$37:$DS$37)+SUM('Продажи'!$D$40:$DS$40)+SUM('Продажи'!$D$43:$DS$43)+SUM('Продажи'!$D$46:$DS$46)),0)-IF('ОБЪЕКТЫ'!$B$8=2,IFERROR('ОБЪЕКТЫ'!$B$28*'ОБЪЕКТЫ'!BV22/'ОБЪЕКТЫ'!$B$22,0),0)-IF('ОБЪЕКТЫ'!$B$36=2,IFERROR('ОБЪЕКТЫ'!$B$56*'ОБЪЕКТЫ'!BV50/'ОБЪЕКТЫ'!$B$50,0),0)-IF('ОБЪЕКТЫ'!$B$64=2,IFERROR('ОБЪЕКТЫ'!$B$84*'ОБЪЕКТЫ'!BV78/'ОБЪЕКТЫ'!$B$78,0),0)-BV53-BV57-BV21</x:f>
      </x:c>
      <x:c r="BW22" s="117">
        <x:f>BW10-IFERROR((SUM($D$20:$DS$20)-'ОБЪЕКТЫ'!$B$104)*('Продажи'!BW37+'Продажи'!BW40+'Продажи'!BW43+'Продажи'!BW46)/(SUM('Продажи'!$D$37:$DS$37)+SUM('Продажи'!$D$40:$DS$40)+SUM('Продажи'!$D$43:$DS$43)+SUM('Продажи'!$D$46:$DS$46)),0)-IF('ОБЪЕКТЫ'!$B$8=2,IFERROR('ОБЪЕКТЫ'!$B$28*'ОБЪЕКТЫ'!BW22/'ОБЪЕКТЫ'!$B$22,0),0)-IF('ОБЪЕКТЫ'!$B$36=2,IFERROR('ОБЪЕКТЫ'!$B$56*'ОБЪЕКТЫ'!BW50/'ОБЪЕКТЫ'!$B$50,0),0)-IF('ОБЪЕКТЫ'!$B$64=2,IFERROR('ОБЪЕКТЫ'!$B$84*'ОБЪЕКТЫ'!BW78/'ОБЪЕКТЫ'!$B$78,0),0)-BW53-BW57-BW21</x:f>
      </x:c>
      <x:c r="BX22" s="117">
        <x:f>BX10-IFERROR((SUM($D$20:$DS$20)-'ОБЪЕКТЫ'!$B$104)*('Продажи'!BX37+'Продажи'!BX40+'Продажи'!BX43+'Продажи'!BX46)/(SUM('Продажи'!$D$37:$DS$37)+SUM('Продажи'!$D$40:$DS$40)+SUM('Продажи'!$D$43:$DS$43)+SUM('Продажи'!$D$46:$DS$46)),0)-IF('ОБЪЕКТЫ'!$B$8=2,IFERROR('ОБЪЕКТЫ'!$B$28*'ОБЪЕКТЫ'!BX22/'ОБЪЕКТЫ'!$B$22,0),0)-IF('ОБЪЕКТЫ'!$B$36=2,IFERROR('ОБЪЕКТЫ'!$B$56*'ОБЪЕКТЫ'!BX50/'ОБЪЕКТЫ'!$B$50,0),0)-IF('ОБЪЕКТЫ'!$B$64=2,IFERROR('ОБЪЕКТЫ'!$B$84*'ОБЪЕКТЫ'!BX78/'ОБЪЕКТЫ'!$B$78,0),0)-BX53-BX57-BX21</x:f>
      </x:c>
      <x:c r="BY22" s="117">
        <x:f>BY10-IFERROR((SUM($D$20:$DS$20)-'ОБЪЕКТЫ'!$B$104)*('Продажи'!BY37+'Продажи'!BY40+'Продажи'!BY43+'Продажи'!BY46)/(SUM('Продажи'!$D$37:$DS$37)+SUM('Продажи'!$D$40:$DS$40)+SUM('Продажи'!$D$43:$DS$43)+SUM('Продажи'!$D$46:$DS$46)),0)-IF('ОБЪЕКТЫ'!$B$8=2,IFERROR('ОБЪЕКТЫ'!$B$28*'ОБЪЕКТЫ'!BY22/'ОБЪЕКТЫ'!$B$22,0),0)-IF('ОБЪЕКТЫ'!$B$36=2,IFERROR('ОБЪЕКТЫ'!$B$56*'ОБЪЕКТЫ'!BY50/'ОБЪЕКТЫ'!$B$50,0),0)-IF('ОБЪЕКТЫ'!$B$64=2,IFERROR('ОБЪЕКТЫ'!$B$84*'ОБЪЕКТЫ'!BY78/'ОБЪЕКТЫ'!$B$78,0),0)-BY53-BY57-BY21</x:f>
      </x:c>
      <x:c r="BZ22" s="117">
        <x:f>BZ10-IFERROR((SUM($D$20:$DS$20)-'ОБЪЕКТЫ'!$B$104)*('Продажи'!BZ37+'Продажи'!BZ40+'Продажи'!BZ43+'Продажи'!BZ46)/(SUM('Продажи'!$D$37:$DS$37)+SUM('Продажи'!$D$40:$DS$40)+SUM('Продажи'!$D$43:$DS$43)+SUM('Продажи'!$D$46:$DS$46)),0)-IF('ОБЪЕКТЫ'!$B$8=2,IFERROR('ОБЪЕКТЫ'!$B$28*'ОБЪЕКТЫ'!BZ22/'ОБЪЕКТЫ'!$B$22,0),0)-IF('ОБЪЕКТЫ'!$B$36=2,IFERROR('ОБЪЕКТЫ'!$B$56*'ОБЪЕКТЫ'!BZ50/'ОБЪЕКТЫ'!$B$50,0),0)-IF('ОБЪЕКТЫ'!$B$64=2,IFERROR('ОБЪЕКТЫ'!$B$84*'ОБЪЕКТЫ'!BZ78/'ОБЪЕКТЫ'!$B$78,0),0)-BZ53-BZ57-BZ21</x:f>
      </x:c>
      <x:c r="CA22" s="117">
        <x:f>CA10-IFERROR((SUM($D$20:$DS$20)-'ОБЪЕКТЫ'!$B$104)*('Продажи'!CA37+'Продажи'!CA40+'Продажи'!CA43+'Продажи'!CA46)/(SUM('Продажи'!$D$37:$DS$37)+SUM('Продажи'!$D$40:$DS$40)+SUM('Продажи'!$D$43:$DS$43)+SUM('Продажи'!$D$46:$DS$46)),0)-IF('ОБЪЕКТЫ'!$B$8=2,IFERROR('ОБЪЕКТЫ'!$B$28*'ОБЪЕКТЫ'!CA22/'ОБЪЕКТЫ'!$B$22,0),0)-IF('ОБЪЕКТЫ'!$B$36=2,IFERROR('ОБЪЕКТЫ'!$B$56*'ОБЪЕКТЫ'!CA50/'ОБЪЕКТЫ'!$B$50,0),0)-IF('ОБЪЕКТЫ'!$B$64=2,IFERROR('ОБЪЕКТЫ'!$B$84*'ОБЪЕКТЫ'!CA78/'ОБЪЕКТЫ'!$B$78,0),0)-CA53-CA57-CA21</x:f>
      </x:c>
      <x:c r="CB22" s="117">
        <x:f>CB10-IFERROR((SUM($D$20:$DS$20)-'ОБЪЕКТЫ'!$B$104)*('Продажи'!CB37+'Продажи'!CB40+'Продажи'!CB43+'Продажи'!CB46)/(SUM('Продажи'!$D$37:$DS$37)+SUM('Продажи'!$D$40:$DS$40)+SUM('Продажи'!$D$43:$DS$43)+SUM('Продажи'!$D$46:$DS$46)),0)-IF('ОБЪЕКТЫ'!$B$8=2,IFERROR('ОБЪЕКТЫ'!$B$28*'ОБЪЕКТЫ'!CB22/'ОБЪЕКТЫ'!$B$22,0),0)-IF('ОБЪЕКТЫ'!$B$36=2,IFERROR('ОБЪЕКТЫ'!$B$56*'ОБЪЕКТЫ'!CB50/'ОБЪЕКТЫ'!$B$50,0),0)-IF('ОБЪЕКТЫ'!$B$64=2,IFERROR('ОБЪЕКТЫ'!$B$84*'ОБЪЕКТЫ'!CB78/'ОБЪЕКТЫ'!$B$78,0),0)-CB53-CB57-CB21</x:f>
      </x:c>
      <x:c r="CC22" s="117">
        <x:f>CC10-IFERROR((SUM($D$20:$DS$20)-'ОБЪЕКТЫ'!$B$104)*('Продажи'!CC37+'Продажи'!CC40+'Продажи'!CC43+'Продажи'!CC46)/(SUM('Продажи'!$D$37:$DS$37)+SUM('Продажи'!$D$40:$DS$40)+SUM('Продажи'!$D$43:$DS$43)+SUM('Продажи'!$D$46:$DS$46)),0)-IF('ОБЪЕКТЫ'!$B$8=2,IFERROR('ОБЪЕКТЫ'!$B$28*'ОБЪЕКТЫ'!CC22/'ОБЪЕКТЫ'!$B$22,0),0)-IF('ОБЪЕКТЫ'!$B$36=2,IFERROR('ОБЪЕКТЫ'!$B$56*'ОБЪЕКТЫ'!CC50/'ОБЪЕКТЫ'!$B$50,0),0)-IF('ОБЪЕКТЫ'!$B$64=2,IFERROR('ОБЪЕКТЫ'!$B$84*'ОБЪЕКТЫ'!CC78/'ОБЪЕКТЫ'!$B$78,0),0)-CC53-CC57-CC21</x:f>
      </x:c>
      <x:c r="CD22" s="117">
        <x:f>CD10-IFERROR((SUM($D$20:$DS$20)-'ОБЪЕКТЫ'!$B$104)*('Продажи'!CD37+'Продажи'!CD40+'Продажи'!CD43+'Продажи'!CD46)/(SUM('Продажи'!$D$37:$DS$37)+SUM('Продажи'!$D$40:$DS$40)+SUM('Продажи'!$D$43:$DS$43)+SUM('Продажи'!$D$46:$DS$46)),0)-IF('ОБЪЕКТЫ'!$B$8=2,IFERROR('ОБЪЕКТЫ'!$B$28*'ОБЪЕКТЫ'!CD22/'ОБЪЕКТЫ'!$B$22,0),0)-IF('ОБЪЕКТЫ'!$B$36=2,IFERROR('ОБЪЕКТЫ'!$B$56*'ОБЪЕКТЫ'!CD50/'ОБЪЕКТЫ'!$B$50,0),0)-IF('ОБЪЕКТЫ'!$B$64=2,IFERROR('ОБЪЕКТЫ'!$B$84*'ОБЪЕКТЫ'!CD78/'ОБЪЕКТЫ'!$B$78,0),0)-CD53-CD57-CD21</x:f>
      </x:c>
      <x:c r="CE22" s="117">
        <x:f>CE10-IFERROR((SUM($D$20:$DS$20)-'ОБЪЕКТЫ'!$B$104)*('Продажи'!CE37+'Продажи'!CE40+'Продажи'!CE43+'Продажи'!CE46)/(SUM('Продажи'!$D$37:$DS$37)+SUM('Продажи'!$D$40:$DS$40)+SUM('Продажи'!$D$43:$DS$43)+SUM('Продажи'!$D$46:$DS$46)),0)-IF('ОБЪЕКТЫ'!$B$8=2,IFERROR('ОБЪЕКТЫ'!$B$28*'ОБЪЕКТЫ'!CE22/'ОБЪЕКТЫ'!$B$22,0),0)-IF('ОБЪЕКТЫ'!$B$36=2,IFERROR('ОБЪЕКТЫ'!$B$56*'ОБЪЕКТЫ'!CE50/'ОБЪЕКТЫ'!$B$50,0),0)-IF('ОБЪЕКТЫ'!$B$64=2,IFERROR('ОБЪЕКТЫ'!$B$84*'ОБЪЕКТЫ'!CE78/'ОБЪЕКТЫ'!$B$78,0),0)-CE53-CE57-CE21</x:f>
      </x:c>
      <x:c r="CF22" s="117">
        <x:f>CF10-IFERROR((SUM($D$20:$DS$20)-'ОБЪЕКТЫ'!$B$104)*('Продажи'!CF37+'Продажи'!CF40+'Продажи'!CF43+'Продажи'!CF46)/(SUM('Продажи'!$D$37:$DS$37)+SUM('Продажи'!$D$40:$DS$40)+SUM('Продажи'!$D$43:$DS$43)+SUM('Продажи'!$D$46:$DS$46)),0)-IF('ОБЪЕКТЫ'!$B$8=2,IFERROR('ОБЪЕКТЫ'!$B$28*'ОБЪЕКТЫ'!CF22/'ОБЪЕКТЫ'!$B$22,0),0)-IF('ОБЪЕКТЫ'!$B$36=2,IFERROR('ОБЪЕКТЫ'!$B$56*'ОБЪЕКТЫ'!CF50/'ОБЪЕКТЫ'!$B$50,0),0)-IF('ОБЪЕКТЫ'!$B$64=2,IFERROR('ОБЪЕКТЫ'!$B$84*'ОБЪЕКТЫ'!CF78/'ОБЪЕКТЫ'!$B$78,0),0)-CF53-CF57-CF21</x:f>
      </x:c>
      <x:c r="CG22" s="117">
        <x:f>CG10-IFERROR((SUM($D$20:$DS$20)-'ОБЪЕКТЫ'!$B$104)*('Продажи'!CG37+'Продажи'!CG40+'Продажи'!CG43+'Продажи'!CG46)/(SUM('Продажи'!$D$37:$DS$37)+SUM('Продажи'!$D$40:$DS$40)+SUM('Продажи'!$D$43:$DS$43)+SUM('Продажи'!$D$46:$DS$46)),0)-IF('ОБЪЕКТЫ'!$B$8=2,IFERROR('ОБЪЕКТЫ'!$B$28*'ОБЪЕКТЫ'!CG22/'ОБЪЕКТЫ'!$B$22,0),0)-IF('ОБЪЕКТЫ'!$B$36=2,IFERROR('ОБЪЕКТЫ'!$B$56*'ОБЪЕКТЫ'!CG50/'ОБЪЕКТЫ'!$B$50,0),0)-IF('ОБЪЕКТЫ'!$B$64=2,IFERROR('ОБЪЕКТЫ'!$B$84*'ОБЪЕКТЫ'!CG78/'ОБЪЕКТЫ'!$B$78,0),0)-CG53-CG57-CG21</x:f>
      </x:c>
      <x:c r="CH22" s="117">
        <x:f>CH10-IFERROR((SUM($D$20:$DS$20)-'ОБЪЕКТЫ'!$B$104)*('Продажи'!CH37+'Продажи'!CH40+'Продажи'!CH43+'Продажи'!CH46)/(SUM('Продажи'!$D$37:$DS$37)+SUM('Продажи'!$D$40:$DS$40)+SUM('Продажи'!$D$43:$DS$43)+SUM('Продажи'!$D$46:$DS$46)),0)-IF('ОБЪЕКТЫ'!$B$8=2,IFERROR('ОБЪЕКТЫ'!$B$28*'ОБЪЕКТЫ'!CH22/'ОБЪЕКТЫ'!$B$22,0),0)-IF('ОБЪЕКТЫ'!$B$36=2,IFERROR('ОБЪЕКТЫ'!$B$56*'ОБЪЕКТЫ'!CH50/'ОБЪЕКТЫ'!$B$50,0),0)-IF('ОБЪЕКТЫ'!$B$64=2,IFERROR('ОБЪЕКТЫ'!$B$84*'ОБЪЕКТЫ'!CH78/'ОБЪЕКТЫ'!$B$78,0),0)-CH53-CH57-CH21</x:f>
      </x:c>
      <x:c r="CI22" s="117">
        <x:f>CI10-IFERROR((SUM($D$20:$DS$20)-'ОБЪЕКТЫ'!$B$104)*('Продажи'!CI37+'Продажи'!CI40+'Продажи'!CI43+'Продажи'!CI46)/(SUM('Продажи'!$D$37:$DS$37)+SUM('Продажи'!$D$40:$DS$40)+SUM('Продажи'!$D$43:$DS$43)+SUM('Продажи'!$D$46:$DS$46)),0)-IF('ОБЪЕКТЫ'!$B$8=2,IFERROR('ОБЪЕКТЫ'!$B$28*'ОБЪЕКТЫ'!CI22/'ОБЪЕКТЫ'!$B$22,0),0)-IF('ОБЪЕКТЫ'!$B$36=2,IFERROR('ОБЪЕКТЫ'!$B$56*'ОБЪЕКТЫ'!CI50/'ОБЪЕКТЫ'!$B$50,0),0)-IF('ОБЪЕКТЫ'!$B$64=2,IFERROR('ОБЪЕКТЫ'!$B$84*'ОБЪЕКТЫ'!CI78/'ОБЪЕКТЫ'!$B$78,0),0)-CI53-CI57-CI21</x:f>
      </x:c>
      <x:c r="CJ22" s="117">
        <x:f>CJ10-IFERROR((SUM($D$20:$DS$20)-'ОБЪЕКТЫ'!$B$104)*('Продажи'!CJ37+'Продажи'!CJ40+'Продажи'!CJ43+'Продажи'!CJ46)/(SUM('Продажи'!$D$37:$DS$37)+SUM('Продажи'!$D$40:$DS$40)+SUM('Продажи'!$D$43:$DS$43)+SUM('Продажи'!$D$46:$DS$46)),0)-IF('ОБЪЕКТЫ'!$B$8=2,IFERROR('ОБЪЕКТЫ'!$B$28*'ОБЪЕКТЫ'!CJ22/'ОБЪЕКТЫ'!$B$22,0),0)-IF('ОБЪЕКТЫ'!$B$36=2,IFERROR('ОБЪЕКТЫ'!$B$56*'ОБЪЕКТЫ'!CJ50/'ОБЪЕКТЫ'!$B$50,0),0)-IF('ОБЪЕКТЫ'!$B$64=2,IFERROR('ОБЪЕКТЫ'!$B$84*'ОБЪЕКТЫ'!CJ78/'ОБЪЕКТЫ'!$B$78,0),0)-CJ53-CJ57-CJ21</x:f>
      </x:c>
      <x:c r="CK22" s="117">
        <x:f>CK10-IFERROR((SUM($D$20:$DS$20)-'ОБЪЕКТЫ'!$B$104)*('Продажи'!CK37+'Продажи'!CK40+'Продажи'!CK43+'Продажи'!CK46)/(SUM('Продажи'!$D$37:$DS$37)+SUM('Продажи'!$D$40:$DS$40)+SUM('Продажи'!$D$43:$DS$43)+SUM('Продажи'!$D$46:$DS$46)),0)-IF('ОБЪЕКТЫ'!$B$8=2,IFERROR('ОБЪЕКТЫ'!$B$28*'ОБЪЕКТЫ'!CK22/'ОБЪЕКТЫ'!$B$22,0),0)-IF('ОБЪЕКТЫ'!$B$36=2,IFERROR('ОБЪЕКТЫ'!$B$56*'ОБЪЕКТЫ'!CK50/'ОБЪЕКТЫ'!$B$50,0),0)-IF('ОБЪЕКТЫ'!$B$64=2,IFERROR('ОБЪЕКТЫ'!$B$84*'ОБЪЕКТЫ'!CK78/'ОБЪЕКТЫ'!$B$78,0),0)-CK53-CK57-CK21</x:f>
      </x:c>
      <x:c r="CL22" s="117">
        <x:f>CL10-IFERROR((SUM($D$20:$DS$20)-'ОБЪЕКТЫ'!$B$104)*('Продажи'!CL37+'Продажи'!CL40+'Продажи'!CL43+'Продажи'!CL46)/(SUM('Продажи'!$D$37:$DS$37)+SUM('Продажи'!$D$40:$DS$40)+SUM('Продажи'!$D$43:$DS$43)+SUM('Продажи'!$D$46:$DS$46)),0)-IF('ОБЪЕКТЫ'!$B$8=2,IFERROR('ОБЪЕКТЫ'!$B$28*'ОБЪЕКТЫ'!CL22/'ОБЪЕКТЫ'!$B$22,0),0)-IF('ОБЪЕКТЫ'!$B$36=2,IFERROR('ОБЪЕКТЫ'!$B$56*'ОБЪЕКТЫ'!CL50/'ОБЪЕКТЫ'!$B$50,0),0)-IF('ОБЪЕКТЫ'!$B$64=2,IFERROR('ОБЪЕКТЫ'!$B$84*'ОБЪЕКТЫ'!CL78/'ОБЪЕКТЫ'!$B$78,0),0)-CL53-CL57-CL21</x:f>
      </x:c>
      <x:c r="CM22" s="117">
        <x:f>CM10-IFERROR((SUM($D$20:$DS$20)-'ОБЪЕКТЫ'!$B$104)*('Продажи'!CM37+'Продажи'!CM40+'Продажи'!CM43+'Продажи'!CM46)/(SUM('Продажи'!$D$37:$DS$37)+SUM('Продажи'!$D$40:$DS$40)+SUM('Продажи'!$D$43:$DS$43)+SUM('Продажи'!$D$46:$DS$46)),0)-IF('ОБЪЕКТЫ'!$B$8=2,IFERROR('ОБЪЕКТЫ'!$B$28*'ОБЪЕКТЫ'!CM22/'ОБЪЕКТЫ'!$B$22,0),0)-IF('ОБЪЕКТЫ'!$B$36=2,IFERROR('ОБЪЕКТЫ'!$B$56*'ОБЪЕКТЫ'!CM50/'ОБЪЕКТЫ'!$B$50,0),0)-IF('ОБЪЕКТЫ'!$B$64=2,IFERROR('ОБЪЕКТЫ'!$B$84*'ОБЪЕКТЫ'!CM78/'ОБЪЕКТЫ'!$B$78,0),0)-CM53-CM57-CM21</x:f>
      </x:c>
      <x:c r="CN22" s="117">
        <x:f>CN10-IFERROR((SUM($D$20:$DS$20)-'ОБЪЕКТЫ'!$B$104)*('Продажи'!CN37+'Продажи'!CN40+'Продажи'!CN43+'Продажи'!CN46)/(SUM('Продажи'!$D$37:$DS$37)+SUM('Продажи'!$D$40:$DS$40)+SUM('Продажи'!$D$43:$DS$43)+SUM('Продажи'!$D$46:$DS$46)),0)-IF('ОБЪЕКТЫ'!$B$8=2,IFERROR('ОБЪЕКТЫ'!$B$28*'ОБЪЕКТЫ'!CN22/'ОБЪЕКТЫ'!$B$22,0),0)-IF('ОБЪЕКТЫ'!$B$36=2,IFERROR('ОБЪЕКТЫ'!$B$56*'ОБЪЕКТЫ'!CN50/'ОБЪЕКТЫ'!$B$50,0),0)-IF('ОБЪЕКТЫ'!$B$64=2,IFERROR('ОБЪЕКТЫ'!$B$84*'ОБЪЕКТЫ'!CN78/'ОБЪЕКТЫ'!$B$78,0),0)-CN53-CN57-CN21</x:f>
      </x:c>
      <x:c r="CO22" s="117">
        <x:f>CO10-IFERROR((SUM($D$20:$DS$20)-'ОБЪЕКТЫ'!$B$104)*('Продажи'!CO37+'Продажи'!CO40+'Продажи'!CO43+'Продажи'!CO46)/(SUM('Продажи'!$D$37:$DS$37)+SUM('Продажи'!$D$40:$DS$40)+SUM('Продажи'!$D$43:$DS$43)+SUM('Продажи'!$D$46:$DS$46)),0)-IF('ОБЪЕКТЫ'!$B$8=2,IFERROR('ОБЪЕКТЫ'!$B$28*'ОБЪЕКТЫ'!CO22/'ОБЪЕКТЫ'!$B$22,0),0)-IF('ОБЪЕКТЫ'!$B$36=2,IFERROR('ОБЪЕКТЫ'!$B$56*'ОБЪЕКТЫ'!CO50/'ОБЪЕКТЫ'!$B$50,0),0)-IF('ОБЪЕКТЫ'!$B$64=2,IFERROR('ОБЪЕКТЫ'!$B$84*'ОБЪЕКТЫ'!CO78/'ОБЪЕКТЫ'!$B$78,0),0)-CO53-CO57-CO21</x:f>
      </x:c>
      <x:c r="CP22" s="117">
        <x:f>CP10-IFERROR((SUM($D$20:$DS$20)-'ОБЪЕКТЫ'!$B$104)*('Продажи'!CP37+'Продажи'!CP40+'Продажи'!CP43+'Продажи'!CP46)/(SUM('Продажи'!$D$37:$DS$37)+SUM('Продажи'!$D$40:$DS$40)+SUM('Продажи'!$D$43:$DS$43)+SUM('Продажи'!$D$46:$DS$46)),0)-IF('ОБЪЕКТЫ'!$B$8=2,IFERROR('ОБЪЕКТЫ'!$B$28*'ОБЪЕКТЫ'!CP22/'ОБЪЕКТЫ'!$B$22,0),0)-IF('ОБЪЕКТЫ'!$B$36=2,IFERROR('ОБЪЕКТЫ'!$B$56*'ОБЪЕКТЫ'!CP50/'ОБЪЕКТЫ'!$B$50,0),0)-IF('ОБЪЕКТЫ'!$B$64=2,IFERROR('ОБЪЕКТЫ'!$B$84*'ОБЪЕКТЫ'!CP78/'ОБЪЕКТЫ'!$B$78,0),0)-CP53-CP57-CP21</x:f>
      </x:c>
      <x:c r="CQ22" s="117">
        <x:f>CQ10-IFERROR((SUM($D$20:$DS$20)-'ОБЪЕКТЫ'!$B$104)*('Продажи'!CQ37+'Продажи'!CQ40+'Продажи'!CQ43+'Продажи'!CQ46)/(SUM('Продажи'!$D$37:$DS$37)+SUM('Продажи'!$D$40:$DS$40)+SUM('Продажи'!$D$43:$DS$43)+SUM('Продажи'!$D$46:$DS$46)),0)-IF('ОБЪЕКТЫ'!$B$8=2,IFERROR('ОБЪЕКТЫ'!$B$28*'ОБЪЕКТЫ'!CQ22/'ОБЪЕКТЫ'!$B$22,0),0)-IF('ОБЪЕКТЫ'!$B$36=2,IFERROR('ОБЪЕКТЫ'!$B$56*'ОБЪЕКТЫ'!CQ50/'ОБЪЕКТЫ'!$B$50,0),0)-IF('ОБЪЕКТЫ'!$B$64=2,IFERROR('ОБЪЕКТЫ'!$B$84*'ОБЪЕКТЫ'!CQ78/'ОБЪЕКТЫ'!$B$78,0),0)-CQ53-CQ57-CQ21</x:f>
      </x:c>
      <x:c r="CR22" s="117">
        <x:f>CR10-IFERROR((SUM($D$20:$DS$20)-'ОБЪЕКТЫ'!$B$104)*('Продажи'!CR37+'Продажи'!CR40+'Продажи'!CR43+'Продажи'!CR46)/(SUM('Продажи'!$D$37:$DS$37)+SUM('Продажи'!$D$40:$DS$40)+SUM('Продажи'!$D$43:$DS$43)+SUM('Продажи'!$D$46:$DS$46)),0)-IF('ОБЪЕКТЫ'!$B$8=2,IFERROR('ОБЪЕКТЫ'!$B$28*'ОБЪЕКТЫ'!CR22/'ОБЪЕКТЫ'!$B$22,0),0)-IF('ОБЪЕКТЫ'!$B$36=2,IFERROR('ОБЪЕКТЫ'!$B$56*'ОБЪЕКТЫ'!CR50/'ОБЪЕКТЫ'!$B$50,0),0)-IF('ОБЪЕКТЫ'!$B$64=2,IFERROR('ОБЪЕКТЫ'!$B$84*'ОБЪЕКТЫ'!CR78/'ОБЪЕКТЫ'!$B$78,0),0)-CR53-CR57-CR21</x:f>
      </x:c>
      <x:c r="CS22" s="117">
        <x:f>CS10-IFERROR((SUM($D$20:$DS$20)-'ОБЪЕКТЫ'!$B$104)*('Продажи'!CS37+'Продажи'!CS40+'Продажи'!CS43+'Продажи'!CS46)/(SUM('Продажи'!$D$37:$DS$37)+SUM('Продажи'!$D$40:$DS$40)+SUM('Продажи'!$D$43:$DS$43)+SUM('Продажи'!$D$46:$DS$46)),0)-IF('ОБЪЕКТЫ'!$B$8=2,IFERROR('ОБЪЕКТЫ'!$B$28*'ОБЪЕКТЫ'!CS22/'ОБЪЕКТЫ'!$B$22,0),0)-IF('ОБЪЕКТЫ'!$B$36=2,IFERROR('ОБЪЕКТЫ'!$B$56*'ОБЪЕКТЫ'!CS50/'ОБЪЕКТЫ'!$B$50,0),0)-IF('ОБЪЕКТЫ'!$B$64=2,IFERROR('ОБЪЕКТЫ'!$B$84*'ОБЪЕКТЫ'!CS78/'ОБЪЕКТЫ'!$B$78,0),0)-CS53-CS57-CS21</x:f>
      </x:c>
      <x:c r="CT22" s="117">
        <x:f>CT10-IFERROR((SUM($D$20:$DS$20)-'ОБЪЕКТЫ'!$B$104)*('Продажи'!CT37+'Продажи'!CT40+'Продажи'!CT43+'Продажи'!CT46)/(SUM('Продажи'!$D$37:$DS$37)+SUM('Продажи'!$D$40:$DS$40)+SUM('Продажи'!$D$43:$DS$43)+SUM('Продажи'!$D$46:$DS$46)),0)-IF('ОБЪЕКТЫ'!$B$8=2,IFERROR('ОБЪЕКТЫ'!$B$28*'ОБЪЕКТЫ'!CT22/'ОБЪЕКТЫ'!$B$22,0),0)-IF('ОБЪЕКТЫ'!$B$36=2,IFERROR('ОБЪЕКТЫ'!$B$56*'ОБЪЕКТЫ'!CT50/'ОБЪЕКТЫ'!$B$50,0),0)-IF('ОБЪЕКТЫ'!$B$64=2,IFERROR('ОБЪЕКТЫ'!$B$84*'ОБЪЕКТЫ'!CT78/'ОБЪЕКТЫ'!$B$78,0),0)-CT53-CT57-CT21</x:f>
      </x:c>
      <x:c r="CU22" s="117">
        <x:f>CU10-IFERROR((SUM($D$20:$DS$20)-'ОБЪЕКТЫ'!$B$104)*('Продажи'!CU37+'Продажи'!CU40+'Продажи'!CU43+'Продажи'!CU46)/(SUM('Продажи'!$D$37:$DS$37)+SUM('Продажи'!$D$40:$DS$40)+SUM('Продажи'!$D$43:$DS$43)+SUM('Продажи'!$D$46:$DS$46)),0)-IF('ОБЪЕКТЫ'!$B$8=2,IFERROR('ОБЪЕКТЫ'!$B$28*'ОБЪЕКТЫ'!CU22/'ОБЪЕКТЫ'!$B$22,0),0)-IF('ОБЪЕКТЫ'!$B$36=2,IFERROR('ОБЪЕКТЫ'!$B$56*'ОБЪЕКТЫ'!CU50/'ОБЪЕКТЫ'!$B$50,0),0)-IF('ОБЪЕКТЫ'!$B$64=2,IFERROR('ОБЪЕКТЫ'!$B$84*'ОБЪЕКТЫ'!CU78/'ОБЪЕКТЫ'!$B$78,0),0)-CU53-CU57-CU21</x:f>
      </x:c>
      <x:c r="CV22" s="117">
        <x:f>CV10-IFERROR((SUM($D$20:$DS$20)-'ОБЪЕКТЫ'!$B$104)*('Продажи'!CV37+'Продажи'!CV40+'Продажи'!CV43+'Продажи'!CV46)/(SUM('Продажи'!$D$37:$DS$37)+SUM('Продажи'!$D$40:$DS$40)+SUM('Продажи'!$D$43:$DS$43)+SUM('Продажи'!$D$46:$DS$46)),0)-IF('ОБЪЕКТЫ'!$B$8=2,IFERROR('ОБЪЕКТЫ'!$B$28*'ОБЪЕКТЫ'!CV22/'ОБЪЕКТЫ'!$B$22,0),0)-IF('ОБЪЕКТЫ'!$B$36=2,IFERROR('ОБЪЕКТЫ'!$B$56*'ОБЪЕКТЫ'!CV50/'ОБЪЕКТЫ'!$B$50,0),0)-IF('ОБЪЕКТЫ'!$B$64=2,IFERROR('ОБЪЕКТЫ'!$B$84*'ОБЪЕКТЫ'!CV78/'ОБЪЕКТЫ'!$B$78,0),0)-CV53-CV57-CV21</x:f>
      </x:c>
      <x:c r="CW22" s="117">
        <x:f>CW10-IFERROR((SUM($D$20:$DS$20)-'ОБЪЕКТЫ'!$B$104)*('Продажи'!CW37+'Продажи'!CW40+'Продажи'!CW43+'Продажи'!CW46)/(SUM('Продажи'!$D$37:$DS$37)+SUM('Продажи'!$D$40:$DS$40)+SUM('Продажи'!$D$43:$DS$43)+SUM('Продажи'!$D$46:$DS$46)),0)-IF('ОБЪЕКТЫ'!$B$8=2,IFERROR('ОБЪЕКТЫ'!$B$28*'ОБЪЕКТЫ'!CW22/'ОБЪЕКТЫ'!$B$22,0),0)-IF('ОБЪЕКТЫ'!$B$36=2,IFERROR('ОБЪЕКТЫ'!$B$56*'ОБЪЕКТЫ'!CW50/'ОБЪЕКТЫ'!$B$50,0),0)-IF('ОБЪЕКТЫ'!$B$64=2,IFERROR('ОБЪЕКТЫ'!$B$84*'ОБЪЕКТЫ'!CW78/'ОБЪЕКТЫ'!$B$78,0),0)-CW53-CW57-CW21</x:f>
      </x:c>
      <x:c r="CX22" s="117">
        <x:f>CX10-IFERROR((SUM($D$20:$DS$20)-'ОБЪЕКТЫ'!$B$104)*('Продажи'!CX37+'Продажи'!CX40+'Продажи'!CX43+'Продажи'!CX46)/(SUM('Продажи'!$D$37:$DS$37)+SUM('Продажи'!$D$40:$DS$40)+SUM('Продажи'!$D$43:$DS$43)+SUM('Продажи'!$D$46:$DS$46)),0)-IF('ОБЪЕКТЫ'!$B$8=2,IFERROR('ОБЪЕКТЫ'!$B$28*'ОБЪЕКТЫ'!CX22/'ОБЪЕКТЫ'!$B$22,0),0)-IF('ОБЪЕКТЫ'!$B$36=2,IFERROR('ОБЪЕКТЫ'!$B$56*'ОБЪЕКТЫ'!CX50/'ОБЪЕКТЫ'!$B$50,0),0)-IF('ОБЪЕКТЫ'!$B$64=2,IFERROR('ОБЪЕКТЫ'!$B$84*'ОБЪЕКТЫ'!CX78/'ОБЪЕКТЫ'!$B$78,0),0)-CX53-CX57-CX21</x:f>
      </x:c>
      <x:c r="CY22" s="117">
        <x:f>CY10-IFERROR((SUM($D$20:$DS$20)-'ОБЪЕКТЫ'!$B$104)*('Продажи'!CY37+'Продажи'!CY40+'Продажи'!CY43+'Продажи'!CY46)/(SUM('Продажи'!$D$37:$DS$37)+SUM('Продажи'!$D$40:$DS$40)+SUM('Продажи'!$D$43:$DS$43)+SUM('Продажи'!$D$46:$DS$46)),0)-IF('ОБЪЕКТЫ'!$B$8=2,IFERROR('ОБЪЕКТЫ'!$B$28*'ОБЪЕКТЫ'!CY22/'ОБЪЕКТЫ'!$B$22,0),0)-IF('ОБЪЕКТЫ'!$B$36=2,IFERROR('ОБЪЕКТЫ'!$B$56*'ОБЪЕКТЫ'!CY50/'ОБЪЕКТЫ'!$B$50,0),0)-IF('ОБЪЕКТЫ'!$B$64=2,IFERROR('ОБЪЕКТЫ'!$B$84*'ОБЪЕКТЫ'!CY78/'ОБЪЕКТЫ'!$B$78,0),0)-CY53-CY57-CY21</x:f>
      </x:c>
      <x:c r="CZ22" s="117">
        <x:f>CZ10-IFERROR((SUM($D$20:$DS$20)-'ОБЪЕКТЫ'!$B$104)*('Продажи'!CZ37+'Продажи'!CZ40+'Продажи'!CZ43+'Продажи'!CZ46)/(SUM('Продажи'!$D$37:$DS$37)+SUM('Продажи'!$D$40:$DS$40)+SUM('Продажи'!$D$43:$DS$43)+SUM('Продажи'!$D$46:$DS$46)),0)-IF('ОБЪЕКТЫ'!$B$8=2,IFERROR('ОБЪЕКТЫ'!$B$28*'ОБЪЕКТЫ'!CZ22/'ОБЪЕКТЫ'!$B$22,0),0)-IF('ОБЪЕКТЫ'!$B$36=2,IFERROR('ОБЪЕКТЫ'!$B$56*'ОБЪЕКТЫ'!CZ50/'ОБЪЕКТЫ'!$B$50,0),0)-IF('ОБЪЕКТЫ'!$B$64=2,IFERROR('ОБЪЕКТЫ'!$B$84*'ОБЪЕКТЫ'!CZ78/'ОБЪЕКТЫ'!$B$78,0),0)-CZ53-CZ57-CZ21</x:f>
      </x:c>
      <x:c r="DA22" s="117">
        <x:f>DA10-IFERROR((SUM($D$20:$DS$20)-'ОБЪЕКТЫ'!$B$104)*('Продажи'!DA37+'Продажи'!DA40+'Продажи'!DA43+'Продажи'!DA46)/(SUM('Продажи'!$D$37:$DS$37)+SUM('Продажи'!$D$40:$DS$40)+SUM('Продажи'!$D$43:$DS$43)+SUM('Продажи'!$D$46:$DS$46)),0)-IF('ОБЪЕКТЫ'!$B$8=2,IFERROR('ОБЪЕКТЫ'!$B$28*'ОБЪЕКТЫ'!DA22/'ОБЪЕКТЫ'!$B$22,0),0)-IF('ОБЪЕКТЫ'!$B$36=2,IFERROR('ОБЪЕКТЫ'!$B$56*'ОБЪЕКТЫ'!DA50/'ОБЪЕКТЫ'!$B$50,0),0)-IF('ОБЪЕКТЫ'!$B$64=2,IFERROR('ОБЪЕКТЫ'!$B$84*'ОБЪЕКТЫ'!DA78/'ОБЪЕКТЫ'!$B$78,0),0)-DA53-DA57-DA21</x:f>
      </x:c>
      <x:c r="DB22" s="117">
        <x:f>DB10-IFERROR((SUM($D$20:$DS$20)-'ОБЪЕКТЫ'!$B$104)*('Продажи'!DB37+'Продажи'!DB40+'Продажи'!DB43+'Продажи'!DB46)/(SUM('Продажи'!$D$37:$DS$37)+SUM('Продажи'!$D$40:$DS$40)+SUM('Продажи'!$D$43:$DS$43)+SUM('Продажи'!$D$46:$DS$46)),0)-IF('ОБЪЕКТЫ'!$B$8=2,IFERROR('ОБЪЕКТЫ'!$B$28*'ОБЪЕКТЫ'!DB22/'ОБЪЕКТЫ'!$B$22,0),0)-IF('ОБЪЕКТЫ'!$B$36=2,IFERROR('ОБЪЕКТЫ'!$B$56*'ОБЪЕКТЫ'!DB50/'ОБЪЕКТЫ'!$B$50,0),0)-IF('ОБЪЕКТЫ'!$B$64=2,IFERROR('ОБЪЕКТЫ'!$B$84*'ОБЪЕКТЫ'!DB78/'ОБЪЕКТЫ'!$B$78,0),0)-DB53-DB57-DB21</x:f>
      </x:c>
      <x:c r="DC22" s="117">
        <x:f>DC10-IFERROR((SUM($D$20:$DS$20)-'ОБЪЕКТЫ'!$B$104)*('Продажи'!DC37+'Продажи'!DC40+'Продажи'!DC43+'Продажи'!DC46)/(SUM('Продажи'!$D$37:$DS$37)+SUM('Продажи'!$D$40:$DS$40)+SUM('Продажи'!$D$43:$DS$43)+SUM('Продажи'!$D$46:$DS$46)),0)-IF('ОБЪЕКТЫ'!$B$8=2,IFERROR('ОБЪЕКТЫ'!$B$28*'ОБЪЕКТЫ'!DC22/'ОБЪЕКТЫ'!$B$22,0),0)-IF('ОБЪЕКТЫ'!$B$36=2,IFERROR('ОБЪЕКТЫ'!$B$56*'ОБЪЕКТЫ'!DC50/'ОБЪЕКТЫ'!$B$50,0),0)-IF('ОБЪЕКТЫ'!$B$64=2,IFERROR('ОБЪЕКТЫ'!$B$84*'ОБЪЕКТЫ'!DC78/'ОБЪЕКТЫ'!$B$78,0),0)-DC53-DC57-DC21</x:f>
      </x:c>
      <x:c r="DD22" s="117">
        <x:f>DD10-IFERROR((SUM($D$20:$DS$20)-'ОБЪЕКТЫ'!$B$104)*('Продажи'!DD37+'Продажи'!DD40+'Продажи'!DD43+'Продажи'!DD46)/(SUM('Продажи'!$D$37:$DS$37)+SUM('Продажи'!$D$40:$DS$40)+SUM('Продажи'!$D$43:$DS$43)+SUM('Продажи'!$D$46:$DS$46)),0)-IF('ОБЪЕКТЫ'!$B$8=2,IFERROR('ОБЪЕКТЫ'!$B$28*'ОБЪЕКТЫ'!DD22/'ОБЪЕКТЫ'!$B$22,0),0)-IF('ОБЪЕКТЫ'!$B$36=2,IFERROR('ОБЪЕКТЫ'!$B$56*'ОБЪЕКТЫ'!DD50/'ОБЪЕКТЫ'!$B$50,0),0)-IF('ОБЪЕКТЫ'!$B$64=2,IFERROR('ОБЪЕКТЫ'!$B$84*'ОБЪЕКТЫ'!DD78/'ОБЪЕКТЫ'!$B$78,0),0)-DD53-DD57-DD21</x:f>
      </x:c>
      <x:c r="DE22" s="117">
        <x:f>DE10-IFERROR((SUM($D$20:$DS$20)-'ОБЪЕКТЫ'!$B$104)*('Продажи'!DE37+'Продажи'!DE40+'Продажи'!DE43+'Продажи'!DE46)/(SUM('Продажи'!$D$37:$DS$37)+SUM('Продажи'!$D$40:$DS$40)+SUM('Продажи'!$D$43:$DS$43)+SUM('Продажи'!$D$46:$DS$46)),0)-IF('ОБЪЕКТЫ'!$B$8=2,IFERROR('ОБЪЕКТЫ'!$B$28*'ОБЪЕКТЫ'!DE22/'ОБЪЕКТЫ'!$B$22,0),0)-IF('ОБЪЕКТЫ'!$B$36=2,IFERROR('ОБЪЕКТЫ'!$B$56*'ОБЪЕКТЫ'!DE50/'ОБЪЕКТЫ'!$B$50,0),0)-IF('ОБЪЕКТЫ'!$B$64=2,IFERROR('ОБЪЕКТЫ'!$B$84*'ОБЪЕКТЫ'!DE78/'ОБЪЕКТЫ'!$B$78,0),0)-DE53-DE57-DE21</x:f>
      </x:c>
      <x:c r="DF22" s="117">
        <x:f>DF10-IFERROR((SUM($D$20:$DS$20)-'ОБЪЕКТЫ'!$B$104)*('Продажи'!DF37+'Продажи'!DF40+'Продажи'!DF43+'Продажи'!DF46)/(SUM('Продажи'!$D$37:$DS$37)+SUM('Продажи'!$D$40:$DS$40)+SUM('Продажи'!$D$43:$DS$43)+SUM('Продажи'!$D$46:$DS$46)),0)-IF('ОБЪЕКТЫ'!$B$8=2,IFERROR('ОБЪЕКТЫ'!$B$28*'ОБЪЕКТЫ'!DF22/'ОБЪЕКТЫ'!$B$22,0),0)-IF('ОБЪЕКТЫ'!$B$36=2,IFERROR('ОБЪЕКТЫ'!$B$56*'ОБЪЕКТЫ'!DF50/'ОБЪЕКТЫ'!$B$50,0),0)-IF('ОБЪЕКТЫ'!$B$64=2,IFERROR('ОБЪЕКТЫ'!$B$84*'ОБЪЕКТЫ'!DF78/'ОБЪЕКТЫ'!$B$78,0),0)-DF53-DF57-DF21</x:f>
      </x:c>
      <x:c r="DG22" s="117">
        <x:f>DG10-IFERROR((SUM($D$20:$DS$20)-'ОБЪЕКТЫ'!$B$104)*('Продажи'!DG37+'Продажи'!DG40+'Продажи'!DG43+'Продажи'!DG46)/(SUM('Продажи'!$D$37:$DS$37)+SUM('Продажи'!$D$40:$DS$40)+SUM('Продажи'!$D$43:$DS$43)+SUM('Продажи'!$D$46:$DS$46)),0)-IF('ОБЪЕКТЫ'!$B$8=2,IFERROR('ОБЪЕКТЫ'!$B$28*'ОБЪЕКТЫ'!DG22/'ОБЪЕКТЫ'!$B$22,0),0)-IF('ОБЪЕКТЫ'!$B$36=2,IFERROR('ОБЪЕКТЫ'!$B$56*'ОБЪЕКТЫ'!DG50/'ОБЪЕКТЫ'!$B$50,0),0)-IF('ОБЪЕКТЫ'!$B$64=2,IFERROR('ОБЪЕКТЫ'!$B$84*'ОБЪЕКТЫ'!DG78/'ОБЪЕКТЫ'!$B$78,0),0)-DG53-DG57-DG21</x:f>
      </x:c>
      <x:c r="DH22" s="117">
        <x:f>DH10-IFERROR((SUM($D$20:$DS$20)-'ОБЪЕКТЫ'!$B$104)*('Продажи'!DH37+'Продажи'!DH40+'Продажи'!DH43+'Продажи'!DH46)/(SUM('Продажи'!$D$37:$DS$37)+SUM('Продажи'!$D$40:$DS$40)+SUM('Продажи'!$D$43:$DS$43)+SUM('Продажи'!$D$46:$DS$46)),0)-IF('ОБЪЕКТЫ'!$B$8=2,IFERROR('ОБЪЕКТЫ'!$B$28*'ОБЪЕКТЫ'!DH22/'ОБЪЕКТЫ'!$B$22,0),0)-IF('ОБЪЕКТЫ'!$B$36=2,IFERROR('ОБЪЕКТЫ'!$B$56*'ОБЪЕКТЫ'!DH50/'ОБЪЕКТЫ'!$B$50,0),0)-IF('ОБЪЕКТЫ'!$B$64=2,IFERROR('ОБЪЕКТЫ'!$B$84*'ОБЪЕКТЫ'!DH78/'ОБЪЕКТЫ'!$B$78,0),0)-DH53-DH57-DH21</x:f>
      </x:c>
      <x:c r="DI22" s="117">
        <x:f>DI10-IFERROR((SUM($D$20:$DS$20)-'ОБЪЕКТЫ'!$B$104)*('Продажи'!DI37+'Продажи'!DI40+'Продажи'!DI43+'Продажи'!DI46)/(SUM('Продажи'!$D$37:$DS$37)+SUM('Продажи'!$D$40:$DS$40)+SUM('Продажи'!$D$43:$DS$43)+SUM('Продажи'!$D$46:$DS$46)),0)-IF('ОБЪЕКТЫ'!$B$8=2,IFERROR('ОБЪЕКТЫ'!$B$28*'ОБЪЕКТЫ'!DI22/'ОБЪЕКТЫ'!$B$22,0),0)-IF('ОБЪЕКТЫ'!$B$36=2,IFERROR('ОБЪЕКТЫ'!$B$56*'ОБЪЕКТЫ'!DI50/'ОБЪЕКТЫ'!$B$50,0),0)-IF('ОБЪЕКТЫ'!$B$64=2,IFERROR('ОБЪЕКТЫ'!$B$84*'ОБЪЕКТЫ'!DI78/'ОБЪЕКТЫ'!$B$78,0),0)-DI53-DI57-DI21</x:f>
      </x:c>
      <x:c r="DJ22" s="117">
        <x:f>DJ10-IFERROR((SUM($D$20:$DS$20)-'ОБЪЕКТЫ'!$B$104)*('Продажи'!DJ37+'Продажи'!DJ40+'Продажи'!DJ43+'Продажи'!DJ46)/(SUM('Продажи'!$D$37:$DS$37)+SUM('Продажи'!$D$40:$DS$40)+SUM('Продажи'!$D$43:$DS$43)+SUM('Продажи'!$D$46:$DS$46)),0)-IF('ОБЪЕКТЫ'!$B$8=2,IFERROR('ОБЪЕКТЫ'!$B$28*'ОБЪЕКТЫ'!DJ22/'ОБЪЕКТЫ'!$B$22,0),0)-IF('ОБЪЕКТЫ'!$B$36=2,IFERROR('ОБЪЕКТЫ'!$B$56*'ОБЪЕКТЫ'!DJ50/'ОБЪЕКТЫ'!$B$50,0),0)-IF('ОБЪЕКТЫ'!$B$64=2,IFERROR('ОБЪЕКТЫ'!$B$84*'ОБЪЕКТЫ'!DJ78/'ОБЪЕКТЫ'!$B$78,0),0)-DJ53-DJ57-DJ21</x:f>
      </x:c>
      <x:c r="DK22" s="117">
        <x:f>DK10-IFERROR((SUM($D$20:$DS$20)-'ОБЪЕКТЫ'!$B$104)*('Продажи'!DK37+'Продажи'!DK40+'Продажи'!DK43+'Продажи'!DK46)/(SUM('Продажи'!$D$37:$DS$37)+SUM('Продажи'!$D$40:$DS$40)+SUM('Продажи'!$D$43:$DS$43)+SUM('Продажи'!$D$46:$DS$46)),0)-IF('ОБЪЕКТЫ'!$B$8=2,IFERROR('ОБЪЕКТЫ'!$B$28*'ОБЪЕКТЫ'!DK22/'ОБЪЕКТЫ'!$B$22,0),0)-IF('ОБЪЕКТЫ'!$B$36=2,IFERROR('ОБЪЕКТЫ'!$B$56*'ОБЪЕКТЫ'!DK50/'ОБЪЕКТЫ'!$B$50,0),0)-IF('ОБЪЕКТЫ'!$B$64=2,IFERROR('ОБЪЕКТЫ'!$B$84*'ОБЪЕКТЫ'!DK78/'ОБЪЕКТЫ'!$B$78,0),0)-DK53-DK57-DK21</x:f>
      </x:c>
      <x:c r="DL22" s="117">
        <x:f>DL10-IFERROR((SUM($D$20:$DS$20)-'ОБЪЕКТЫ'!$B$104)*('Продажи'!DL37+'Продажи'!DL40+'Продажи'!DL43+'Продажи'!DL46)/(SUM('Продажи'!$D$37:$DS$37)+SUM('Продажи'!$D$40:$DS$40)+SUM('Продажи'!$D$43:$DS$43)+SUM('Продажи'!$D$46:$DS$46)),0)-IF('ОБЪЕКТЫ'!$B$8=2,IFERROR('ОБЪЕКТЫ'!$B$28*'ОБЪЕКТЫ'!DL22/'ОБЪЕКТЫ'!$B$22,0),0)-IF('ОБЪЕКТЫ'!$B$36=2,IFERROR('ОБЪЕКТЫ'!$B$56*'ОБЪЕКТЫ'!DL50/'ОБЪЕКТЫ'!$B$50,0),0)-IF('ОБЪЕКТЫ'!$B$64=2,IFERROR('ОБЪЕКТЫ'!$B$84*'ОБЪЕКТЫ'!DL78/'ОБЪЕКТЫ'!$B$78,0),0)-DL53-DL57-DL21</x:f>
      </x:c>
      <x:c r="DM22" s="117">
        <x:f>DM10-IFERROR((SUM($D$20:$DS$20)-'ОБЪЕКТЫ'!$B$104)*('Продажи'!DM37+'Продажи'!DM40+'Продажи'!DM43+'Продажи'!DM46)/(SUM('Продажи'!$D$37:$DS$37)+SUM('Продажи'!$D$40:$DS$40)+SUM('Продажи'!$D$43:$DS$43)+SUM('Продажи'!$D$46:$DS$46)),0)-IF('ОБЪЕКТЫ'!$B$8=2,IFERROR('ОБЪЕКТЫ'!$B$28*'ОБЪЕКТЫ'!DM22/'ОБЪЕКТЫ'!$B$22,0),0)-IF('ОБЪЕКТЫ'!$B$36=2,IFERROR('ОБЪЕКТЫ'!$B$56*'ОБЪЕКТЫ'!DM50/'ОБЪЕКТЫ'!$B$50,0),0)-IF('ОБЪЕКТЫ'!$B$64=2,IFERROR('ОБЪЕКТЫ'!$B$84*'ОБЪЕКТЫ'!DM78/'ОБЪЕКТЫ'!$B$78,0),0)-DM53-DM57-DM21</x:f>
      </x:c>
      <x:c r="DN22" s="117">
        <x:f>DN10-IFERROR((SUM($D$20:$DS$20)-'ОБЪЕКТЫ'!$B$104)*('Продажи'!DN37+'Продажи'!DN40+'Продажи'!DN43+'Продажи'!DN46)/(SUM('Продажи'!$D$37:$DS$37)+SUM('Продажи'!$D$40:$DS$40)+SUM('Продажи'!$D$43:$DS$43)+SUM('Продажи'!$D$46:$DS$46)),0)-IF('ОБЪЕКТЫ'!$B$8=2,IFERROR('ОБЪЕКТЫ'!$B$28*'ОБЪЕКТЫ'!DN22/'ОБЪЕКТЫ'!$B$22,0),0)-IF('ОБЪЕКТЫ'!$B$36=2,IFERROR('ОБЪЕКТЫ'!$B$56*'ОБЪЕКТЫ'!DN50/'ОБЪЕКТЫ'!$B$50,0),0)-IF('ОБЪЕКТЫ'!$B$64=2,IFERROR('ОБЪЕКТЫ'!$B$84*'ОБЪЕКТЫ'!DN78/'ОБЪЕКТЫ'!$B$78,0),0)-DN53-DN57-DN21</x:f>
      </x:c>
      <x:c r="DO22" s="117">
        <x:f>DO10-IFERROR((SUM($D$20:$DS$20)-'ОБЪЕКТЫ'!$B$104)*('Продажи'!DO37+'Продажи'!DO40+'Продажи'!DO43+'Продажи'!DO46)/(SUM('Продажи'!$D$37:$DS$37)+SUM('Продажи'!$D$40:$DS$40)+SUM('Продажи'!$D$43:$DS$43)+SUM('Продажи'!$D$46:$DS$46)),0)-IF('ОБЪЕКТЫ'!$B$8=2,IFERROR('ОБЪЕКТЫ'!$B$28*'ОБЪЕКТЫ'!DO22/'ОБЪЕКТЫ'!$B$22,0),0)-IF('ОБЪЕКТЫ'!$B$36=2,IFERROR('ОБЪЕКТЫ'!$B$56*'ОБЪЕКТЫ'!DO50/'ОБЪЕКТЫ'!$B$50,0),0)-IF('ОБЪЕКТЫ'!$B$64=2,IFERROR('ОБЪЕКТЫ'!$B$84*'ОБЪЕКТЫ'!DO78/'ОБЪЕКТЫ'!$B$78,0),0)-DO53-DO57-DO21</x:f>
      </x:c>
      <x:c r="DP22" s="117">
        <x:f>DP10-IFERROR((SUM($D$20:$DS$20)-'ОБЪЕКТЫ'!$B$104)*('Продажи'!DP37+'Продажи'!DP40+'Продажи'!DP43+'Продажи'!DP46)/(SUM('Продажи'!$D$37:$DS$37)+SUM('Продажи'!$D$40:$DS$40)+SUM('Продажи'!$D$43:$DS$43)+SUM('Продажи'!$D$46:$DS$46)),0)-IF('ОБЪЕКТЫ'!$B$8=2,IFERROR('ОБЪЕКТЫ'!$B$28*'ОБЪЕКТЫ'!DP22/'ОБЪЕКТЫ'!$B$22,0),0)-IF('ОБЪЕКТЫ'!$B$36=2,IFERROR('ОБЪЕКТЫ'!$B$56*'ОБЪЕКТЫ'!DP50/'ОБЪЕКТЫ'!$B$50,0),0)-IF('ОБЪЕКТЫ'!$B$64=2,IFERROR('ОБЪЕКТЫ'!$B$84*'ОБЪЕКТЫ'!DP78/'ОБЪЕКТЫ'!$B$78,0),0)-DP53-DP57-DP21</x:f>
      </x:c>
      <x:c r="DQ22" s="117">
        <x:f>DQ10-IFERROR((SUM($D$20:$DS$20)-'ОБЪЕКТЫ'!$B$104)*('Продажи'!DQ37+'Продажи'!DQ40+'Продажи'!DQ43+'Продажи'!DQ46)/(SUM('Продажи'!$D$37:$DS$37)+SUM('Продажи'!$D$40:$DS$40)+SUM('Продажи'!$D$43:$DS$43)+SUM('Продажи'!$D$46:$DS$46)),0)-IF('ОБЪЕКТЫ'!$B$8=2,IFERROR('ОБЪЕКТЫ'!$B$28*'ОБЪЕКТЫ'!DQ22/'ОБЪЕКТЫ'!$B$22,0),0)-IF('ОБЪЕКТЫ'!$B$36=2,IFERROR('ОБЪЕКТЫ'!$B$56*'ОБЪЕКТЫ'!DQ50/'ОБЪЕКТЫ'!$B$50,0),0)-IF('ОБЪЕКТЫ'!$B$64=2,IFERROR('ОБЪЕКТЫ'!$B$84*'ОБЪЕКТЫ'!DQ78/'ОБЪЕКТЫ'!$B$78,0),0)-DQ53-DQ57-DQ21</x:f>
      </x:c>
      <x:c r="DR22" s="117">
        <x:f>DR10-IFERROR((SUM($D$20:$DS$20)-'ОБЪЕКТЫ'!$B$104)*('Продажи'!DR37+'Продажи'!DR40+'Продажи'!DR43+'Продажи'!DR46)/(SUM('Продажи'!$D$37:$DS$37)+SUM('Продажи'!$D$40:$DS$40)+SUM('Продажи'!$D$43:$DS$43)+SUM('Продажи'!$D$46:$DS$46)),0)-IF('ОБЪЕКТЫ'!$B$8=2,IFERROR('ОБЪЕКТЫ'!$B$28*'ОБЪЕКТЫ'!DR22/'ОБЪЕКТЫ'!$B$22,0),0)-IF('ОБЪЕКТЫ'!$B$36=2,IFERROR('ОБЪЕКТЫ'!$B$56*'ОБЪЕКТЫ'!DR50/'ОБЪЕКТЫ'!$B$50,0),0)-IF('ОБЪЕКТЫ'!$B$64=2,IFERROR('ОБЪЕКТЫ'!$B$84*'ОБЪЕКТЫ'!DR78/'ОБЪЕКТЫ'!$B$78,0),0)-DR53-DR57-DR21</x:f>
      </x:c>
      <x:c r="DS22" s="117">
        <x:f>DS10-IFERROR((SUM($D$20:$DS$20)-'ОБЪЕКТЫ'!$B$104)*('Продажи'!DS37+'Продажи'!DS40+'Продажи'!DS43+'Продажи'!DS46)/(SUM('Продажи'!$D$37:$DS$37)+SUM('Продажи'!$D$40:$DS$40)+SUM('Продажи'!$D$43:$DS$43)+SUM('Продажи'!$D$46:$DS$46)),0)-IF('ОБЪЕКТЫ'!$B$8=2,IFERROR('ОБЪЕКТЫ'!$B$28*'ОБЪЕКТЫ'!DS22/'ОБЪЕКТЫ'!$B$22,0),0)-IF('ОБЪЕКТЫ'!$B$36=2,IFERROR('ОБЪЕКТЫ'!$B$56*'ОБЪЕКТЫ'!DS50/'ОБЪЕКТЫ'!$B$50,0),0)-IF('ОБЪЕКТЫ'!$B$64=2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IF(AND(D$3&gt;=$B$7,D$3&lt;$B$8),MAX(0,'Вводные'!$B$26*'Вводные'!$V$89-(D38+D45))*'Вводные'!$B$29/12,0)</x:f>
      </x:c>
      <x:c r="E43" s="117">
        <x:f>IF(AND(E$3&gt;=$B$7,E$3&lt;$B$8),MAX(0,'Вводные'!$B$26*'Вводные'!$V$89-(E38+E45))*'Вводные'!$B$29/12,0)</x:f>
      </x:c>
      <x:c r="F43" s="117">
        <x:f>IF(AND(F$3&gt;=$B$7,F$3&lt;$B$8),MAX(0,'Вводные'!$B$26*'Вводные'!$V$89-(F38+F45))*'Вводные'!$B$29/12,0)</x:f>
      </x:c>
      <x:c r="G43" s="117">
        <x:f>IF(AND(G$3&gt;=$B$7,G$3&lt;$B$8),MAX(0,'Вводные'!$B$26*'Вводные'!$V$89-(G38+G45))*'Вводные'!$B$29/12,0)</x:f>
      </x:c>
      <x:c r="H43" s="117">
        <x:f>IF(AND(H$3&gt;=$B$7,H$3&lt;$B$8),MAX(0,'Вводные'!$B$26*'Вводные'!$V$89-(H38+H45))*'Вводные'!$B$29/12,0)</x:f>
      </x:c>
      <x:c r="I43" s="117">
        <x:f>IF(AND(I$3&gt;=$B$7,I$3&lt;$B$8),MAX(0,'Вводные'!$B$26*'Вводные'!$V$89-(I38+I45))*'Вводные'!$B$29/12,0)</x:f>
      </x:c>
      <x:c r="J43" s="117">
        <x:f>IF(AND(J$3&gt;=$B$7,J$3&lt;$B$8),MAX(0,'Вводные'!$B$26*'Вводные'!$V$89-(J38+J45))*'Вводные'!$B$29/12,0)</x:f>
      </x:c>
      <x:c r="K43" s="117">
        <x:f>IF(AND(K$3&gt;=$B$7,K$3&lt;$B$8),MAX(0,'Вводные'!$B$26*'Вводные'!$V$89-(K38+K45))*'Вводные'!$B$29/12,0)</x:f>
      </x:c>
      <x:c r="L43" s="117">
        <x:f>IF(AND(L$3&gt;=$B$7,L$3&lt;$B$8),MAX(0,'Вводные'!$B$26*'Вводные'!$V$89-(L38+L45))*'Вводные'!$B$29/12,0)</x:f>
      </x:c>
      <x:c r="M43" s="117">
        <x:f>IF(AND(M$3&gt;=$B$7,M$3&lt;$B$8),MAX(0,'Вводные'!$B$26*'Вводные'!$V$89-(M38+M45))*'Вводные'!$B$29/12,0)</x:f>
      </x:c>
      <x:c r="N43" s="117">
        <x:f>IF(AND(N$3&gt;=$B$7,N$3&lt;$B$8),MAX(0,'Вводные'!$B$26*'Вводные'!$V$89-(N38+N45))*'Вводные'!$B$29/12,0)</x:f>
      </x:c>
      <x:c r="O43" s="117">
        <x:f>IF(AND(O$3&gt;=$B$7,O$3&lt;$B$8),MAX(0,'Вводные'!$B$26*'Вводные'!$V$89-(O38+O45))*'Вводные'!$B$29/12,0)</x:f>
      </x:c>
      <x:c r="P43" s="117">
        <x:f>IF(AND(P$3&gt;=$B$7,P$3&lt;$B$8),MAX(0,'Вводные'!$B$26*'Вводные'!$V$89-(P38+P45))*'Вводные'!$B$29/12,0)</x:f>
      </x:c>
      <x:c r="Q43" s="117">
        <x:f>IF(AND(Q$3&gt;=$B$7,Q$3&lt;$B$8),MAX(0,'Вводные'!$B$26*'Вводные'!$V$89-(Q38+Q45))*'Вводные'!$B$29/12,0)</x:f>
      </x:c>
      <x:c r="R43" s="117">
        <x:f>IF(AND(R$3&gt;=$B$7,R$3&lt;$B$8),MAX(0,'Вводные'!$B$26*'Вводные'!$V$89-(R38+R45))*'Вводные'!$B$29/12,0)</x:f>
      </x:c>
      <x:c r="S43" s="117">
        <x:f>IF(AND(S$3&gt;=$B$7,S$3&lt;$B$8),MAX(0,'Вводные'!$B$26*'Вводные'!$V$89-(S38+S45))*'Вводные'!$B$29/12,0)</x:f>
      </x:c>
      <x:c r="T43" s="117">
        <x:f>IF(AND(T$3&gt;=$B$7,T$3&lt;$B$8),MAX(0,'Вводные'!$B$26*'Вводные'!$V$89-(T38+T45))*'Вводные'!$B$29/12,0)</x:f>
      </x:c>
      <x:c r="U43" s="117">
        <x:f>IF(AND(U$3&gt;=$B$7,U$3&lt;$B$8),MAX(0,'Вводные'!$B$26*'Вводные'!$V$89-(U38+U45))*'Вводные'!$B$29/12,0)</x:f>
      </x:c>
      <x:c r="V43" s="117">
        <x:f>IF(AND(V$3&gt;=$B$7,V$3&lt;$B$8),MAX(0,'Вводные'!$B$26*'Вводные'!$V$89-(V38+V45))*'Вводные'!$B$29/12,0)</x:f>
      </x:c>
      <x:c r="W43" s="117">
        <x:f>IF(AND(W$3&gt;=$B$7,W$3&lt;$B$8),MAX(0,'Вводные'!$B$26*'Вводные'!$V$89-(W38+W45))*'Вводные'!$B$29/12,0)</x:f>
      </x:c>
      <x:c r="X43" s="117">
        <x:f>IF(AND(X$3&gt;=$B$7,X$3&lt;$B$8),MAX(0,'Вводные'!$B$26*'Вводные'!$V$89-(X38+X45))*'Вводные'!$B$29/12,0)</x:f>
      </x:c>
      <x:c r="Y43" s="117">
        <x:f>IF(AND(Y$3&gt;=$B$7,Y$3&lt;$B$8),MAX(0,'Вводные'!$B$26*'Вводные'!$V$89-(Y38+Y45))*'Вводные'!$B$29/12,0)</x:f>
      </x:c>
      <x:c r="Z43" s="117">
        <x:f>IF(AND(Z$3&gt;=$B$7,Z$3&lt;$B$8),MAX(0,'Вводные'!$B$26*'Вводные'!$V$89-(Z38+Z45))*'Вводные'!$B$29/12,0)</x:f>
      </x:c>
      <x:c r="AA43" s="117">
        <x:f>IF(AND(AA$3&gt;=$B$7,AA$3&lt;$B$8),MAX(0,'Вводные'!$B$26*'Вводные'!$V$89-(AA38+AA45))*'Вводные'!$B$29/12,0)</x:f>
      </x:c>
      <x:c r="AB43" s="117">
        <x:f>IF(AND(AB$3&gt;=$B$7,AB$3&lt;$B$8),MAX(0,'Вводные'!$B$26*'Вводные'!$V$89-(AB38+AB45))*'Вводные'!$B$29/12,0)</x:f>
      </x:c>
      <x:c r="AC43" s="117">
        <x:f>IF(AND(AC$3&gt;=$B$7,AC$3&lt;$B$8),MAX(0,'Вводные'!$B$26*'Вводные'!$V$89-(AC38+AC45))*'Вводные'!$B$29/12,0)</x:f>
      </x:c>
      <x:c r="AD43" s="117">
        <x:f>IF(AND(AD$3&gt;=$B$7,AD$3&lt;$B$8),MAX(0,'Вводные'!$B$26*'Вводные'!$V$89-(AD38+AD45))*'Вводные'!$B$29/12,0)</x:f>
      </x:c>
      <x:c r="AE43" s="117">
        <x:f>IF(AND(AE$3&gt;=$B$7,AE$3&lt;$B$8),MAX(0,'Вводные'!$B$26*'Вводные'!$V$89-(AE38+AE45))*'Вводные'!$B$29/12,0)</x:f>
      </x:c>
      <x:c r="AF43" s="117">
        <x:f>IF(AND(AF$3&gt;=$B$7,AF$3&lt;$B$8),MAX(0,'Вводные'!$B$26*'Вводные'!$V$89-(AF38+AF45))*'Вводные'!$B$29/12,0)</x:f>
      </x:c>
      <x:c r="AG43" s="117">
        <x:f>IF(AND(AG$3&gt;=$B$7,AG$3&lt;$B$8),MAX(0,'Вводные'!$B$26*'Вводные'!$V$89-(AG38+AG45))*'Вводные'!$B$29/12,0)</x:f>
      </x:c>
      <x:c r="AH43" s="117">
        <x:f>IF(AND(AH$3&gt;=$B$7,AH$3&lt;$B$8),MAX(0,'Вводные'!$B$26*'Вводные'!$V$89-(AH38+AH45))*'Вводные'!$B$29/12,0)</x:f>
      </x:c>
      <x:c r="AI43" s="117">
        <x:f>IF(AND(AI$3&gt;=$B$7,AI$3&lt;$B$8),MAX(0,'Вводные'!$B$26*'Вводные'!$V$89-(AI38+AI45))*'Вводные'!$B$29/12,0)</x:f>
      </x:c>
      <x:c r="AJ43" s="117">
        <x:f>IF(AND(AJ$3&gt;=$B$7,AJ$3&lt;$B$8),MAX(0,'Вводные'!$B$26*'Вводные'!$V$89-(AJ38+AJ45))*'Вводные'!$B$29/12,0)</x:f>
      </x:c>
      <x:c r="AK43" s="117">
        <x:f>IF(AND(AK$3&gt;=$B$7,AK$3&lt;$B$8),MAX(0,'Вводные'!$B$26*'Вводные'!$V$89-(AK38+AK45))*'Вводные'!$B$29/12,0)</x:f>
      </x:c>
      <x:c r="AL43" s="117">
        <x:f>IF(AND(AL$3&gt;=$B$7,AL$3&lt;$B$8),MAX(0,'Вводные'!$B$26*'Вводные'!$V$89-(AL38+AL45))*'Вводные'!$B$29/12,0)</x:f>
      </x:c>
      <x:c r="AM43" s="117">
        <x:f>IF(AND(AM$3&gt;=$B$7,AM$3&lt;$B$8),MAX(0,'Вводные'!$B$26*'Вводные'!$V$89-(AM38+AM45))*'Вводные'!$B$29/12,0)</x:f>
      </x:c>
      <x:c r="AN43" s="117">
        <x:f>IF(AND(AN$3&gt;=$B$7,AN$3&lt;$B$8),MAX(0,'Вводные'!$B$26*'Вводные'!$V$89-(AN38+AN45))*'Вводные'!$B$29/12,0)</x:f>
      </x:c>
      <x:c r="AO43" s="117">
        <x:f>IF(AND(AO$3&gt;=$B$7,AO$3&lt;$B$8),MAX(0,'Вводные'!$B$26*'Вводные'!$V$89-(AO38+AO45))*'Вводные'!$B$29/12,0)</x:f>
      </x:c>
      <x:c r="AP43" s="117">
        <x:f>IF(AND(AP$3&gt;=$B$7,AP$3&lt;$B$8),MAX(0,'Вводные'!$B$26*'Вводные'!$V$89-(AP38+AP45))*'Вводные'!$B$29/12,0)</x:f>
      </x:c>
      <x:c r="AQ43" s="117">
        <x:f>IF(AND(AQ$3&gt;=$B$7,AQ$3&lt;$B$8),MAX(0,'Вводные'!$B$26*'Вводные'!$V$89-(AQ38+AQ45))*'Вводные'!$B$29/12,0)</x:f>
      </x:c>
      <x:c r="AR43" s="117">
        <x:f>IF(AND(AR$3&gt;=$B$7,AR$3&lt;$B$8),MAX(0,'Вводные'!$B$26*'Вводные'!$V$89-(AR38+AR45))*'Вводные'!$B$29/12,0)</x:f>
      </x:c>
      <x:c r="AS43" s="117">
        <x:f>IF(AND(AS$3&gt;=$B$7,AS$3&lt;$B$8),MAX(0,'Вводные'!$B$26*'Вводные'!$V$89-(AS38+AS45))*'Вводные'!$B$29/12,0)</x:f>
      </x:c>
      <x:c r="AT43" s="117">
        <x:f>IF(AND(AT$3&gt;=$B$7,AT$3&lt;$B$8),MAX(0,'Вводные'!$B$26*'Вводные'!$V$89-(AT38+AT45))*'Вводные'!$B$29/12,0)</x:f>
      </x:c>
      <x:c r="AU43" s="117">
        <x:f>IF(AND(AU$3&gt;=$B$7,AU$3&lt;$B$8),MAX(0,'Вводные'!$B$26*'Вводные'!$V$89-(AU38+AU45))*'Вводные'!$B$29/12,0)</x:f>
      </x:c>
      <x:c r="AV43" s="117">
        <x:f>IF(AND(AV$3&gt;=$B$7,AV$3&lt;$B$8),MAX(0,'Вводные'!$B$26*'Вводные'!$V$89-(AV38+AV45))*'Вводные'!$B$29/12,0)</x:f>
      </x:c>
      <x:c r="AW43" s="117">
        <x:f>IF(AND(AW$3&gt;=$B$7,AW$3&lt;$B$8),MAX(0,'Вводные'!$B$26*'Вводные'!$V$89-(AW38+AW45))*'Вводные'!$B$29/12,0)</x:f>
      </x:c>
      <x:c r="AX43" s="117">
        <x:f>IF(AND(AX$3&gt;=$B$7,AX$3&lt;$B$8),MAX(0,'Вводные'!$B$26*'Вводные'!$V$89-(AX38+AX45))*'Вводные'!$B$29/12,0)</x:f>
      </x:c>
      <x:c r="AY43" s="117">
        <x:f>IF(AND(AY$3&gt;=$B$7,AY$3&lt;$B$8),MAX(0,'Вводные'!$B$26*'Вводные'!$V$89-(AY38+AY45))*'Вводные'!$B$29/12,0)</x:f>
      </x:c>
      <x:c r="AZ43" s="117">
        <x:f>IF(AND(AZ$3&gt;=$B$7,AZ$3&lt;$B$8),MAX(0,'Вводные'!$B$26*'Вводные'!$V$89-(AZ38+AZ45))*'Вводные'!$B$29/12,0)</x:f>
      </x:c>
      <x:c r="BA43" s="117">
        <x:f>IF(AND(BA$3&gt;=$B$7,BA$3&lt;$B$8),MAX(0,'Вводные'!$B$26*'Вводные'!$V$89-(BA38+BA45))*'Вводные'!$B$29/12,0)</x:f>
      </x:c>
      <x:c r="BB43" s="117">
        <x:f>IF(AND(BB$3&gt;=$B$7,BB$3&lt;$B$8),MAX(0,'Вводные'!$B$26*'Вводные'!$V$89-(BB38+BB45))*'Вводные'!$B$29/12,0)</x:f>
      </x:c>
      <x:c r="BC43" s="117">
        <x:f>IF(AND(BC$3&gt;=$B$7,BC$3&lt;$B$8),MAX(0,'Вводные'!$B$26*'Вводные'!$V$89-(BC38+BC45))*'Вводные'!$B$29/12,0)</x:f>
      </x:c>
      <x:c r="BD43" s="117">
        <x:f>IF(AND(BD$3&gt;=$B$7,BD$3&lt;$B$8),MAX(0,'Вводные'!$B$26*'Вводные'!$V$89-(BD38+BD45))*'Вводные'!$B$29/12,0)</x:f>
      </x:c>
      <x:c r="BE43" s="117">
        <x:f>IF(AND(BE$3&gt;=$B$7,BE$3&lt;$B$8),MAX(0,'Вводные'!$B$26*'Вводные'!$V$89-(BE38+BE45))*'Вводные'!$B$29/12,0)</x:f>
      </x:c>
      <x:c r="BF43" s="117">
        <x:f>IF(AND(BF$3&gt;=$B$7,BF$3&lt;$B$8),MAX(0,'Вводные'!$B$26*'Вводные'!$V$89-(BF38+BF45))*'Вводные'!$B$29/12,0)</x:f>
      </x:c>
      <x:c r="BG43" s="117">
        <x:f>IF(AND(BG$3&gt;=$B$7,BG$3&lt;$B$8),MAX(0,'Вводные'!$B$26*'Вводные'!$V$89-(BG38+BG45))*'Вводные'!$B$29/12,0)</x:f>
      </x:c>
      <x:c r="BH43" s="117">
        <x:f>IF(AND(BH$3&gt;=$B$7,BH$3&lt;$B$8),MAX(0,'Вводные'!$B$26*'Вводные'!$V$89-(BH38+BH45))*'Вводные'!$B$29/12,0)</x:f>
      </x:c>
      <x:c r="BI43" s="117">
        <x:f>IF(AND(BI$3&gt;=$B$7,BI$3&lt;$B$8),MAX(0,'Вводные'!$B$26*'Вводные'!$V$89-(BI38+BI45))*'Вводные'!$B$29/12,0)</x:f>
      </x:c>
      <x:c r="BJ43" s="117">
        <x:f>IF(AND(BJ$3&gt;=$B$7,BJ$3&lt;$B$8),MAX(0,'Вводные'!$B$26*'Вводные'!$V$89-(BJ38+BJ45))*'Вводные'!$B$29/12,0)</x:f>
      </x:c>
      <x:c r="BK43" s="117">
        <x:f>IF(AND(BK$3&gt;=$B$7,BK$3&lt;$B$8),MAX(0,'Вводные'!$B$26*'Вводные'!$V$89-(BK38+BK45))*'Вводные'!$B$29/12,0)</x:f>
      </x:c>
      <x:c r="BL43" s="117">
        <x:f>IF(AND(BL$3&gt;=$B$7,BL$3&lt;$B$8),MAX(0,'Вводные'!$B$26*'Вводные'!$V$89-(BL38+BL45))*'Вводные'!$B$29/12,0)</x:f>
      </x:c>
      <x:c r="BM43" s="117">
        <x:f>IF(AND(BM$3&gt;=$B$7,BM$3&lt;$B$8),MAX(0,'Вводные'!$B$26*'Вводные'!$V$89-(BM38+BM45))*'Вводные'!$B$29/12,0)</x:f>
      </x:c>
      <x:c r="BN43" s="117">
        <x:f>IF(AND(BN$3&gt;=$B$7,BN$3&lt;$B$8),MAX(0,'Вводные'!$B$26*'Вводные'!$V$89-(BN38+BN45))*'Вводные'!$B$29/12,0)</x:f>
      </x:c>
      <x:c r="BO43" s="117">
        <x:f>IF(AND(BO$3&gt;=$B$7,BO$3&lt;$B$8),MAX(0,'Вводные'!$B$26*'Вводные'!$V$89-(BO38+BO45))*'Вводные'!$B$29/12,0)</x:f>
      </x:c>
      <x:c r="BP43" s="117">
        <x:f>IF(AND(BP$3&gt;=$B$7,BP$3&lt;$B$8),MAX(0,'Вводные'!$B$26*'Вводные'!$V$89-(BP38+BP45))*'Вводные'!$B$29/12,0)</x:f>
      </x:c>
      <x:c r="BQ43" s="117">
        <x:f>IF(AND(BQ$3&gt;=$B$7,BQ$3&lt;$B$8),MAX(0,'Вводные'!$B$26*'Вводные'!$V$89-(BQ38+BQ45))*'Вводные'!$B$29/12,0)</x:f>
      </x:c>
      <x:c r="BR43" s="117">
        <x:f>IF(AND(BR$3&gt;=$B$7,BR$3&lt;$B$8),MAX(0,'Вводные'!$B$26*'Вводные'!$V$89-(BR38+BR45))*'Вводные'!$B$29/12,0)</x:f>
      </x:c>
      <x:c r="BS43" s="117">
        <x:f>IF(AND(BS$3&gt;=$B$7,BS$3&lt;$B$8),MAX(0,'Вводные'!$B$26*'Вводные'!$V$89-(BS38+BS45))*'Вводные'!$B$29/12,0)</x:f>
      </x:c>
      <x:c r="BT43" s="117">
        <x:f>IF(AND(BT$3&gt;=$B$7,BT$3&lt;$B$8),MAX(0,'Вводные'!$B$26*'Вводные'!$V$89-(BT38+BT45))*'Вводные'!$B$29/12,0)</x:f>
      </x:c>
      <x:c r="BU43" s="117">
        <x:f>IF(AND(BU$3&gt;=$B$7,BU$3&lt;$B$8),MAX(0,'Вводные'!$B$26*'Вводные'!$V$89-(BU38+BU45))*'Вводные'!$B$29/12,0)</x:f>
      </x:c>
      <x:c r="BV43" s="117">
        <x:f>IF(AND(BV$3&gt;=$B$7,BV$3&lt;$B$8),MAX(0,'Вводные'!$B$26*'Вводные'!$V$89-(BV38+BV45))*'Вводные'!$B$29/12,0)</x:f>
      </x:c>
      <x:c r="BW43" s="117">
        <x:f>IF(AND(BW$3&gt;=$B$7,BW$3&lt;$B$8),MAX(0,'Вводные'!$B$26*'Вводные'!$V$89-(BW38+BW45))*'Вводные'!$B$29/12,0)</x:f>
      </x:c>
      <x:c r="BX43" s="117">
        <x:f>IF(AND(BX$3&gt;=$B$7,BX$3&lt;$B$8),MAX(0,'Вводные'!$B$26*'Вводные'!$V$89-(BX38+BX45))*'Вводные'!$B$29/12,0)</x:f>
      </x:c>
      <x:c r="BY43" s="117">
        <x:f>IF(AND(BY$3&gt;=$B$7,BY$3&lt;$B$8),MAX(0,'Вводные'!$B$26*'Вводные'!$V$89-(BY38+BY45))*'Вводные'!$B$29/12,0)</x:f>
      </x:c>
      <x:c r="BZ43" s="117">
        <x:f>IF(AND(BZ$3&gt;=$B$7,BZ$3&lt;$B$8),MAX(0,'Вводные'!$B$26*'Вводные'!$V$89-(BZ38+BZ45))*'Вводные'!$B$29/12,0)</x:f>
      </x:c>
      <x:c r="CA43" s="117">
        <x:f>IF(AND(CA$3&gt;=$B$7,CA$3&lt;$B$8),MAX(0,'Вводные'!$B$26*'Вводные'!$V$89-(CA38+CA45))*'Вводные'!$B$29/12,0)</x:f>
      </x:c>
      <x:c r="CB43" s="117">
        <x:f>IF(AND(CB$3&gt;=$B$7,CB$3&lt;$B$8),MAX(0,'Вводные'!$B$26*'Вводные'!$V$89-(CB38+CB45))*'Вводные'!$B$29/12,0)</x:f>
      </x:c>
      <x:c r="CC43" s="117">
        <x:f>IF(AND(CC$3&gt;=$B$7,CC$3&lt;$B$8),MAX(0,'Вводные'!$B$26*'Вводные'!$V$89-(CC38+CC45))*'Вводные'!$B$29/12,0)</x:f>
      </x:c>
      <x:c r="CD43" s="117">
        <x:f>IF(AND(CD$3&gt;=$B$7,CD$3&lt;$B$8),MAX(0,'Вводные'!$B$26*'Вводные'!$V$89-(CD38+CD45))*'Вводные'!$B$29/12,0)</x:f>
      </x:c>
      <x:c r="CE43" s="117">
        <x:f>IF(AND(CE$3&gt;=$B$7,CE$3&lt;$B$8),MAX(0,'Вводные'!$B$26*'Вводные'!$V$89-(CE38+CE45))*'Вводные'!$B$29/12,0)</x:f>
      </x:c>
      <x:c r="CF43" s="117">
        <x:f>IF(AND(CF$3&gt;=$B$7,CF$3&lt;$B$8),MAX(0,'Вводные'!$B$26*'Вводные'!$V$89-(CF38+CF45))*'Вводные'!$B$29/12,0)</x:f>
      </x:c>
      <x:c r="CG43" s="117">
        <x:f>IF(AND(CG$3&gt;=$B$7,CG$3&lt;$B$8),MAX(0,'Вводные'!$B$26*'Вводные'!$V$89-(CG38+CG45))*'Вводные'!$B$29/12,0)</x:f>
      </x:c>
      <x:c r="CH43" s="117">
        <x:f>IF(AND(CH$3&gt;=$B$7,CH$3&lt;$B$8),MAX(0,'Вводные'!$B$26*'Вводные'!$V$89-(CH38+CH45))*'Вводные'!$B$29/12,0)</x:f>
      </x:c>
      <x:c r="CI43" s="117">
        <x:f>IF(AND(CI$3&gt;=$B$7,CI$3&lt;$B$8),MAX(0,'Вводные'!$B$26*'Вводные'!$V$89-(CI38+CI45))*'Вводные'!$B$29/12,0)</x:f>
      </x:c>
      <x:c r="CJ43" s="117">
        <x:f>IF(AND(CJ$3&gt;=$B$7,CJ$3&lt;$B$8),MAX(0,'Вводные'!$B$26*'Вводные'!$V$89-(CJ38+CJ45))*'Вводные'!$B$29/12,0)</x:f>
      </x:c>
      <x:c r="CK43" s="117">
        <x:f>IF(AND(CK$3&gt;=$B$7,CK$3&lt;$B$8),MAX(0,'Вводные'!$B$26*'Вводные'!$V$89-(CK38+CK45))*'Вводные'!$B$29/12,0)</x:f>
      </x:c>
      <x:c r="CL43" s="117">
        <x:f>IF(AND(CL$3&gt;=$B$7,CL$3&lt;$B$8),MAX(0,'Вводные'!$B$26*'Вводные'!$V$89-(CL38+CL45))*'Вводные'!$B$29/12,0)</x:f>
      </x:c>
      <x:c r="CM43" s="117">
        <x:f>IF(AND(CM$3&gt;=$B$7,CM$3&lt;$B$8),MAX(0,'Вводные'!$B$26*'Вводные'!$V$89-(CM38+CM45))*'Вводные'!$B$29/12,0)</x:f>
      </x:c>
      <x:c r="CN43" s="117">
        <x:f>IF(AND(CN$3&gt;=$B$7,CN$3&lt;$B$8),MAX(0,'Вводные'!$B$26*'Вводные'!$V$89-(CN38+CN45))*'Вводные'!$B$29/12,0)</x:f>
      </x:c>
      <x:c r="CO43" s="117">
        <x:f>IF(AND(CO$3&gt;=$B$7,CO$3&lt;$B$8),MAX(0,'Вводные'!$B$26*'Вводные'!$V$89-(CO38+CO45))*'Вводные'!$B$29/12,0)</x:f>
      </x:c>
      <x:c r="CP43" s="117">
        <x:f>IF(AND(CP$3&gt;=$B$7,CP$3&lt;$B$8),MAX(0,'Вводные'!$B$26*'Вводные'!$V$89-(CP38+CP45))*'Вводные'!$B$29/12,0)</x:f>
      </x:c>
      <x:c r="CQ43" s="117">
        <x:f>IF(AND(CQ$3&gt;=$B$7,CQ$3&lt;$B$8),MAX(0,'Вводные'!$B$26*'Вводные'!$V$89-(CQ38+CQ45))*'Вводные'!$B$29/12,0)</x:f>
      </x:c>
      <x:c r="CR43" s="117">
        <x:f>IF(AND(CR$3&gt;=$B$7,CR$3&lt;$B$8),MAX(0,'Вводные'!$B$26*'Вводные'!$V$89-(CR38+CR45))*'Вводные'!$B$29/12,0)</x:f>
      </x:c>
      <x:c r="CS43" s="117">
        <x:f>IF(AND(CS$3&gt;=$B$7,CS$3&lt;$B$8),MAX(0,'Вводные'!$B$26*'Вводные'!$V$89-(CS38+CS45))*'Вводные'!$B$29/12,0)</x:f>
      </x:c>
      <x:c r="CT43" s="117">
        <x:f>IF(AND(CT$3&gt;=$B$7,CT$3&lt;$B$8),MAX(0,'Вводные'!$B$26*'Вводные'!$V$89-(CT38+CT45))*'Вводные'!$B$29/12,0)</x:f>
      </x:c>
      <x:c r="CU43" s="117">
        <x:f>IF(AND(CU$3&gt;=$B$7,CU$3&lt;$B$8),MAX(0,'Вводные'!$B$26*'Вводные'!$V$89-(CU38+CU45))*'Вводные'!$B$29/12,0)</x:f>
      </x:c>
      <x:c r="CV43" s="117">
        <x:f>IF(AND(CV$3&gt;=$B$7,CV$3&lt;$B$8),MAX(0,'Вводные'!$B$26*'Вводные'!$V$89-(CV38+CV45))*'Вводные'!$B$29/12,0)</x:f>
      </x:c>
      <x:c r="CW43" s="117">
        <x:f>IF(AND(CW$3&gt;=$B$7,CW$3&lt;$B$8),MAX(0,'Вводные'!$B$26*'Вводные'!$V$89-(CW38+CW45))*'Вводные'!$B$29/12,0)</x:f>
      </x:c>
      <x:c r="CX43" s="117">
        <x:f>IF(AND(CX$3&gt;=$B$7,CX$3&lt;$B$8),MAX(0,'Вводные'!$B$26*'Вводные'!$V$89-(CX38+CX45))*'Вводные'!$B$29/12,0)</x:f>
      </x:c>
      <x:c r="CY43" s="117">
        <x:f>IF(AND(CY$3&gt;=$B$7,CY$3&lt;$B$8),MAX(0,'Вводные'!$B$26*'Вводные'!$V$89-(CY38+CY45))*'Вводные'!$B$29/12,0)</x:f>
      </x:c>
      <x:c r="CZ43" s="117">
        <x:f>IF(AND(CZ$3&gt;=$B$7,CZ$3&lt;$B$8),MAX(0,'Вводные'!$B$26*'Вводные'!$V$89-(CZ38+CZ45))*'Вводные'!$B$29/12,0)</x:f>
      </x:c>
      <x:c r="DA43" s="117">
        <x:f>IF(AND(DA$3&gt;=$B$7,DA$3&lt;$B$8),MAX(0,'Вводные'!$B$26*'Вводные'!$V$89-(DA38+DA45))*'Вводные'!$B$29/12,0)</x:f>
      </x:c>
      <x:c r="DB43" s="117">
        <x:f>IF(AND(DB$3&gt;=$B$7,DB$3&lt;$B$8),MAX(0,'Вводные'!$B$26*'Вводные'!$V$89-(DB38+DB45))*'Вводные'!$B$29/12,0)</x:f>
      </x:c>
      <x:c r="DC43" s="117">
        <x:f>IF(AND(DC$3&gt;=$B$7,DC$3&lt;$B$8),MAX(0,'Вводные'!$B$26*'Вводные'!$V$89-(DC38+DC45))*'Вводные'!$B$29/12,0)</x:f>
      </x:c>
      <x:c r="DD43" s="117">
        <x:f>IF(AND(DD$3&gt;=$B$7,DD$3&lt;$B$8),MAX(0,'Вводные'!$B$26*'Вводные'!$V$89-(DD38+DD45))*'Вводные'!$B$29/12,0)</x:f>
      </x:c>
      <x:c r="DE43" s="117">
        <x:f>IF(AND(DE$3&gt;=$B$7,DE$3&lt;$B$8),MAX(0,'Вводные'!$B$26*'Вводные'!$V$89-(DE38+DE45))*'Вводные'!$B$29/12,0)</x:f>
      </x:c>
      <x:c r="DF43" s="117">
        <x:f>IF(AND(DF$3&gt;=$B$7,DF$3&lt;$B$8),MAX(0,'Вводные'!$B$26*'Вводные'!$V$89-(DF38+DF45))*'Вводные'!$B$29/12,0)</x:f>
      </x:c>
      <x:c r="DG43" s="117">
        <x:f>IF(AND(DG$3&gt;=$B$7,DG$3&lt;$B$8),MAX(0,'Вводные'!$B$26*'Вводные'!$V$89-(DG38+DG45))*'Вводные'!$B$29/12,0)</x:f>
      </x:c>
      <x:c r="DH43" s="117">
        <x:f>IF(AND(DH$3&gt;=$B$7,DH$3&lt;$B$8),MAX(0,'Вводные'!$B$26*'Вводные'!$V$89-(DH38+DH45))*'Вводные'!$B$29/12,0)</x:f>
      </x:c>
      <x:c r="DI43" s="117">
        <x:f>IF(AND(DI$3&gt;=$B$7,DI$3&lt;$B$8),MAX(0,'Вводные'!$B$26*'Вводные'!$V$89-(DI38+DI45))*'Вводные'!$B$29/12,0)</x:f>
      </x:c>
      <x:c r="DJ43" s="117">
        <x:f>IF(AND(DJ$3&gt;=$B$7,DJ$3&lt;$B$8),MAX(0,'Вводные'!$B$26*'Вводные'!$V$89-(DJ38+DJ45))*'Вводные'!$B$29/12,0)</x:f>
      </x:c>
      <x:c r="DK43" s="117">
        <x:f>IF(AND(DK$3&gt;=$B$7,DK$3&lt;$B$8),MAX(0,'Вводные'!$B$26*'Вводные'!$V$89-(DK38+DK45))*'Вводные'!$B$29/12,0)</x:f>
      </x:c>
      <x:c r="DL43" s="117">
        <x:f>IF(AND(DL$3&gt;=$B$7,DL$3&lt;$B$8),MAX(0,'Вводные'!$B$26*'Вводные'!$V$89-(DL38+DL45))*'Вводные'!$B$29/12,0)</x:f>
      </x:c>
      <x:c r="DM43" s="117">
        <x:f>IF(AND(DM$3&gt;=$B$7,DM$3&lt;$B$8),MAX(0,'Вводные'!$B$26*'Вводные'!$V$89-(DM38+DM45))*'Вводные'!$B$29/12,0)</x:f>
      </x:c>
      <x:c r="DN43" s="117">
        <x:f>IF(AND(DN$3&gt;=$B$7,DN$3&lt;$B$8),MAX(0,'Вводные'!$B$26*'Вводные'!$V$89-(DN38+DN45))*'Вводные'!$B$29/12,0)</x:f>
      </x:c>
      <x:c r="DO43" s="117">
        <x:f>IF(AND(DO$3&gt;=$B$7,DO$3&lt;$B$8),MAX(0,'Вводные'!$B$26*'Вводные'!$V$89-(DO38+DO45))*'Вводные'!$B$29/12,0)</x:f>
      </x:c>
      <x:c r="DP43" s="117">
        <x:f>IF(AND(DP$3&gt;=$B$7,DP$3&lt;$B$8),MAX(0,'Вводные'!$B$26*'Вводные'!$V$89-(DP38+DP45))*'Вводные'!$B$29/12,0)</x:f>
      </x:c>
      <x:c r="DQ43" s="117">
        <x:f>IF(AND(DQ$3&gt;=$B$7,DQ$3&lt;$B$8),MAX(0,'Вводные'!$B$26*'Вводные'!$V$89-(DQ38+DQ45))*'Вводные'!$B$29/12,0)</x:f>
      </x:c>
      <x:c r="DR43" s="117">
        <x:f>IF(AND(DR$3&gt;=$B$7,DR$3&lt;$B$8),MAX(0,'Вводные'!$B$26*'Вводные'!$V$89-(DR38+DR45))*'Вводные'!$B$29/12,0)</x:f>
      </x:c>
      <x:c r="DS43" s="117">
        <x:f>IF(AND(DS$3&gt;=$B$7,DS$3&lt;$B$8),MAX(0,'Вводные'!$B$26*'Вводные'!$V$89-(DS38+DS45))*'Вводные'!$B$29/12,0)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MIN(MAX(0,'Вводные'!$B$85*'Вводные'!$AI$89),D33)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компенсация",'Вводные'!$B$56*'Вводные'!$R$89*'Вводные'!$H$6,0)))*'Вводные'!$B$30,0)+IF(AND(YEAR(D$3)=YEAR($B$7),MONTH(D$3)=MONTH($B$7),$B$5=1),'Вводные'!$B$26*'Вводные'!$V$89*'Вводные'!$B$30,0)</x:f>
      </x:c>
      <x:c r="E57" s="117">
        <x:f>IF(AND(YEAR(E$3)=YEAR($B$6),MONTH(E$3)=MONTH($B$6),$B$5=1),('CAPEX'!$B$48+'CAPEX'!$B$51+'CAPEX'!$B$52+IF('Вводные'!$B$37="Денежная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компенсация",'Вводные'!$B$56*'Вводные'!$R$89*'Вводные'!$H$6,0)))*'Вводные'!$B$30,0)+IF(AND(YEAR(E$3)=YEAR($B$7),MONTH(E$3)=MONTH($B$7),$B$5=1),'Вводные'!$B$26*'Вводные'!$V$89*'Вводные'!$B$30,0)</x:f>
      </x:c>
      <x:c r="F57" s="117">
        <x:f>IF(AND(YEAR(F$3)=YEAR($B$6),MONTH(F$3)=MONTH($B$6),$B$5=1),('CAPEX'!$B$48+'CAPEX'!$B$51+'CAPEX'!$B$52+IF('Вводные'!$B$37="Денежная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компенсация",'Вводные'!$B$56*'Вводные'!$R$89*'Вводные'!$H$6,0)))*'Вводные'!$B$30,0)+IF(AND(YEAR(F$3)=YEAR($B$7),MONTH(F$3)=MONTH($B$7),$B$5=1),'Вводные'!$B$26*'Вводные'!$V$89*'Вводные'!$B$30,0)</x:f>
      </x:c>
      <x:c r="G57" s="117">
        <x:f>IF(AND(YEAR(G$3)=YEAR($B$6),MONTH(G$3)=MONTH($B$6),$B$5=1),('CAPEX'!$B$48+'CAPEX'!$B$51+'CAPEX'!$B$52+IF('Вводные'!$B$37="Денежная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компенсация",'Вводные'!$B$56*'Вводные'!$R$89*'Вводные'!$H$6,0)))*'Вводные'!$B$30,0)+IF(AND(YEAR(G$3)=YEAR($B$7),MONTH(G$3)=MONTH($B$7),$B$5=1),'Вводные'!$B$26*'Вводные'!$V$89*'Вводные'!$B$30,0)</x:f>
      </x:c>
      <x:c r="H57" s="117">
        <x:f>IF(AND(YEAR(H$3)=YEAR($B$6),MONTH(H$3)=MONTH($B$6),$B$5=1),('CAPEX'!$B$48+'CAPEX'!$B$51+'CAPEX'!$B$52+IF('Вводные'!$B$37="Денежная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компенсация",'Вводные'!$B$56*'Вводные'!$R$89*'Вводные'!$H$6,0)))*'Вводные'!$B$30,0)+IF(AND(YEAR(H$3)=YEAR($B$7),MONTH(H$3)=MONTH($B$7),$B$5=1),'Вводные'!$B$26*'Вводные'!$V$89*'Вводные'!$B$30,0)</x:f>
      </x:c>
      <x:c r="I57" s="117">
        <x:f>IF(AND(YEAR(I$3)=YEAR($B$6),MONTH(I$3)=MONTH($B$6),$B$5=1),('CAPEX'!$B$48+'CAPEX'!$B$51+'CAPEX'!$B$52+IF('Вводные'!$B$37="Денежная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компенсация",'Вводные'!$B$56*'Вводные'!$R$89*'Вводные'!$H$6,0)))*'Вводные'!$B$30,0)+IF(AND(YEAR(I$3)=YEAR($B$7),MONTH(I$3)=MONTH($B$7),$B$5=1),'Вводные'!$B$26*'Вводные'!$V$89*'Вводные'!$B$30,0)</x:f>
      </x:c>
      <x:c r="J57" s="117">
        <x:f>IF(AND(YEAR(J$3)=YEAR($B$6),MONTH(J$3)=MONTH($B$6),$B$5=1),('CAPEX'!$B$48+'CAPEX'!$B$51+'CAPEX'!$B$52+IF('Вводные'!$B$37="Денежная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компенсация",'Вводные'!$B$56*'Вводные'!$R$89*'Вводные'!$H$6,0)))*'Вводные'!$B$30,0)+IF(AND(YEAR(J$3)=YEAR($B$7),MONTH(J$3)=MONTH($B$7),$B$5=1),'Вводные'!$B$26*'Вводные'!$V$89*'Вводные'!$B$30,0)</x:f>
      </x:c>
      <x:c r="K57" s="117">
        <x:f>IF(AND(YEAR(K$3)=YEAR($B$6),MONTH(K$3)=MONTH($B$6),$B$5=1),('CAPEX'!$B$48+'CAPEX'!$B$51+'CAPEX'!$B$52+IF('Вводные'!$B$37="Денежная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компенсация",'Вводные'!$B$56*'Вводные'!$R$89*'Вводные'!$H$6,0)))*'Вводные'!$B$30,0)+IF(AND(YEAR(K$3)=YEAR($B$7),MONTH(K$3)=MONTH($B$7),$B$5=1),'Вводные'!$B$26*'Вводные'!$V$89*'Вводные'!$B$30,0)</x:f>
      </x:c>
      <x:c r="L57" s="117">
        <x:f>IF(AND(YEAR(L$3)=YEAR($B$6),MONTH(L$3)=MONTH($B$6),$B$5=1),('CAPEX'!$B$48+'CAPEX'!$B$51+'CAPEX'!$B$52+IF('Вводные'!$B$37="Денежная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компенсация",'Вводные'!$B$56*'Вводные'!$R$89*'Вводные'!$H$6,0)))*'Вводные'!$B$30,0)+IF(AND(YEAR(L$3)=YEAR($B$7),MONTH(L$3)=MONTH($B$7),$B$5=1),'Вводные'!$B$26*'Вводные'!$V$89*'Вводные'!$B$30,0)</x:f>
      </x:c>
      <x:c r="M57" s="117">
        <x:f>IF(AND(YEAR(M$3)=YEAR($B$6),MONTH(M$3)=MONTH($B$6),$B$5=1),('CAPEX'!$B$48+'CAPEX'!$B$51+'CAPEX'!$B$52+IF('Вводные'!$B$37="Денежная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компенсация",'Вводные'!$B$56*'Вводные'!$R$89*'Вводные'!$H$6,0)))*'Вводные'!$B$30,0)+IF(AND(YEAR(M$3)=YEAR($B$7),MONTH(M$3)=MONTH($B$7),$B$5=1),'Вводные'!$B$26*'Вводные'!$V$89*'Вводные'!$B$30,0)</x:f>
      </x:c>
      <x:c r="N57" s="117">
        <x:f>IF(AND(YEAR(N$3)=YEAR($B$6),MONTH(N$3)=MONTH($B$6),$B$5=1),('CAPEX'!$B$48+'CAPEX'!$B$51+'CAPEX'!$B$52+IF('Вводные'!$B$37="Денежная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компенсация",'Вводные'!$B$56*'Вводные'!$R$89*'Вводные'!$H$6,0)))*'Вводные'!$B$30,0)+IF(AND(YEAR(N$3)=YEAR($B$7),MONTH(N$3)=MONTH($B$7),$B$5=1),'Вводные'!$B$26*'Вводные'!$V$89*'Вводные'!$B$30,0)</x:f>
      </x:c>
      <x:c r="O57" s="117">
        <x:f>IF(AND(YEAR(O$3)=YEAR($B$6),MONTH(O$3)=MONTH($B$6),$B$5=1),('CAPEX'!$B$48+'CAPEX'!$B$51+'CAPEX'!$B$52+IF('Вводные'!$B$37="Денежная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компенсация",'Вводные'!$B$56*'Вводные'!$R$89*'Вводные'!$H$6,0)))*'Вводные'!$B$30,0)+IF(AND(YEAR(O$3)=YEAR($B$7),MONTH(O$3)=MONTH($B$7),$B$5=1),'Вводные'!$B$26*'Вводные'!$V$89*'Вводные'!$B$30,0)</x:f>
      </x:c>
      <x:c r="P57" s="117">
        <x:f>IF(AND(YEAR(P$3)=YEAR($B$6),MONTH(P$3)=MONTH($B$6),$B$5=1),('CAPEX'!$B$48+'CAPEX'!$B$51+'CAPEX'!$B$52+IF('Вводные'!$B$37="Денежная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компенсация",'Вводные'!$B$56*'Вводные'!$R$89*'Вводные'!$H$6,0)))*'Вводные'!$B$30,0)+IF(AND(YEAR(P$3)=YEAR($B$7),MONTH(P$3)=MONTH($B$7),$B$5=1),'Вводные'!$B$26*'Вводные'!$V$89*'Вводные'!$B$30,0)</x:f>
      </x:c>
      <x:c r="Q57" s="117">
        <x:f>IF(AND(YEAR(Q$3)=YEAR($B$6),MONTH(Q$3)=MONTH($B$6),$B$5=1),('CAPEX'!$B$48+'CAPEX'!$B$51+'CAPEX'!$B$52+IF('Вводные'!$B$37="Денежная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компенсация",'Вводные'!$B$56*'Вводные'!$R$89*'Вводные'!$H$6,0)))*'Вводные'!$B$30,0)+IF(AND(YEAR(Q$3)=YEAR($B$7),MONTH(Q$3)=MONTH($B$7),$B$5=1),'Вводные'!$B$26*'Вводные'!$V$89*'Вводные'!$B$30,0)</x:f>
      </x:c>
      <x:c r="R57" s="117">
        <x:f>IF(AND(YEAR(R$3)=YEAR($B$6),MONTH(R$3)=MONTH($B$6),$B$5=1),('CAPEX'!$B$48+'CAPEX'!$B$51+'CAPEX'!$B$52+IF('Вводные'!$B$37="Денежная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компенсация",'Вводные'!$B$56*'Вводные'!$R$89*'Вводные'!$H$6,0)))*'Вводные'!$B$30,0)+IF(AND(YEAR(R$3)=YEAR($B$7),MONTH(R$3)=MONTH($B$7),$B$5=1),'Вводные'!$B$26*'Вводные'!$V$89*'Вводные'!$B$30,0)</x:f>
      </x:c>
      <x:c r="S57" s="117">
        <x:f>IF(AND(YEAR(S$3)=YEAR($B$6),MONTH(S$3)=MONTH($B$6),$B$5=1),('CAPEX'!$B$48+'CAPEX'!$B$51+'CAPEX'!$B$52+IF('Вводные'!$B$37="Денежная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компенсация",'Вводные'!$B$56*'Вводные'!$R$89*'Вводные'!$H$6,0)))*'Вводные'!$B$30,0)+IF(AND(YEAR(S$3)=YEAR($B$7),MONTH(S$3)=MONTH($B$7),$B$5=1),'Вводные'!$B$26*'Вводные'!$V$89*'Вводные'!$B$30,0)</x:f>
      </x:c>
      <x:c r="T57" s="117">
        <x:f>IF(AND(YEAR(T$3)=YEAR($B$6),MONTH(T$3)=MONTH($B$6),$B$5=1),('CAPEX'!$B$48+'CAPEX'!$B$51+'CAPEX'!$B$52+IF('Вводные'!$B$37="Денежная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компенсация",'Вводные'!$B$56*'Вводные'!$R$89*'Вводные'!$H$6,0)))*'Вводные'!$B$30,0)+IF(AND(YEAR(T$3)=YEAR($B$7),MONTH(T$3)=MONTH($B$7),$B$5=1),'Вводные'!$B$26*'Вводные'!$V$89*'Вводные'!$B$30,0)</x:f>
      </x:c>
      <x:c r="U57" s="117">
        <x:f>IF(AND(YEAR(U$3)=YEAR($B$6),MONTH(U$3)=MONTH($B$6),$B$5=1),('CAPEX'!$B$48+'CAPEX'!$B$51+'CAPEX'!$B$52+IF('Вводные'!$B$37="Денежная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компенсация",'Вводные'!$B$56*'Вводные'!$R$89*'Вводные'!$H$6,0)))*'Вводные'!$B$30,0)+IF(AND(YEAR(U$3)=YEAR($B$7),MONTH(U$3)=MONTH($B$7),$B$5=1),'Вводные'!$B$26*'Вводные'!$V$89*'Вводные'!$B$30,0)</x:f>
      </x:c>
      <x:c r="V57" s="117">
        <x:f>IF(AND(YEAR(V$3)=YEAR($B$6),MONTH(V$3)=MONTH($B$6),$B$5=1),('CAPEX'!$B$48+'CAPEX'!$B$51+'CAPEX'!$B$52+IF('Вводные'!$B$37="Денежная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компенсация",'Вводные'!$B$56*'Вводные'!$R$89*'Вводные'!$H$6,0)))*'Вводные'!$B$30,0)+IF(AND(YEAR(V$3)=YEAR($B$7),MONTH(V$3)=MONTH($B$7),$B$5=1),'Вводные'!$B$26*'Вводные'!$V$89*'Вводные'!$B$30,0)</x:f>
      </x:c>
      <x:c r="W57" s="117">
        <x:f>IF(AND(YEAR(W$3)=YEAR($B$6),MONTH(W$3)=MONTH($B$6),$B$5=1),('CAPEX'!$B$48+'CAPEX'!$B$51+'CAPEX'!$B$52+IF('Вводные'!$B$37="Денежная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компенсация",'Вводные'!$B$56*'Вводные'!$R$89*'Вводные'!$H$6,0)))*'Вводные'!$B$30,0)+IF(AND(YEAR(W$3)=YEAR($B$7),MONTH(W$3)=MONTH($B$7),$B$5=1),'Вводные'!$B$26*'Вводные'!$V$89*'Вводные'!$B$30,0)</x:f>
      </x:c>
      <x:c r="X57" s="117">
        <x:f>IF(AND(YEAR(X$3)=YEAR($B$6),MONTH(X$3)=MONTH($B$6),$B$5=1),('CAPEX'!$B$48+'CAPEX'!$B$51+'CAPEX'!$B$52+IF('Вводные'!$B$37="Денежная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компенсация",'Вводные'!$B$56*'Вводные'!$R$89*'Вводные'!$H$6,0)))*'Вводные'!$B$30,0)+IF(AND(YEAR(X$3)=YEAR($B$7),MONTH(X$3)=MONTH($B$7),$B$5=1),'Вводные'!$B$26*'Вводные'!$V$89*'Вводные'!$B$30,0)</x:f>
      </x:c>
      <x:c r="Y57" s="117">
        <x:f>IF(AND(YEAR(Y$3)=YEAR($B$6),MONTH(Y$3)=MONTH($B$6),$B$5=1),('CAPEX'!$B$48+'CAPEX'!$B$51+'CAPEX'!$B$52+IF('Вводные'!$B$37="Денежная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компенсация",'Вводные'!$B$56*'Вводные'!$R$89*'Вводные'!$H$6,0)))*'Вводные'!$B$30,0)+IF(AND(YEAR(Y$3)=YEAR($B$7),MONTH(Y$3)=MONTH($B$7),$B$5=1),'Вводные'!$B$26*'Вводные'!$V$89*'Вводные'!$B$30,0)</x:f>
      </x:c>
      <x:c r="Z57" s="117">
        <x:f>IF(AND(YEAR(Z$3)=YEAR($B$6),MONTH(Z$3)=MONTH($B$6),$B$5=1),('CAPEX'!$B$48+'CAPEX'!$B$51+'CAPEX'!$B$52+IF('Вводные'!$B$37="Денежная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компенсация",'Вводные'!$B$56*'Вводные'!$R$89*'Вводные'!$H$6,0)))*'Вводные'!$B$30,0)+IF(AND(YEAR(Z$3)=YEAR($B$7),MONTH(Z$3)=MONTH($B$7),$B$5=1),'Вводные'!$B$26*'Вводные'!$V$89*'Вводные'!$B$30,0)</x:f>
      </x:c>
      <x:c r="AA57" s="117">
        <x:f>IF(AND(YEAR(AA$3)=YEAR($B$6),MONTH(AA$3)=MONTH($B$6),$B$5=1),('CAPEX'!$B$48+'CAPEX'!$B$51+'CAPEX'!$B$52+IF('Вводные'!$B$37="Денежная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компенсация",'Вводные'!$B$56*'Вводные'!$R$89*'Вводные'!$H$6,0)))*'Вводные'!$B$30,0)+IF(AND(YEAR(AA$3)=YEAR($B$7),MONTH(AA$3)=MONTH($B$7),$B$5=1),'Вводные'!$B$26*'Вводные'!$V$89*'Вводные'!$B$30,0)</x:f>
      </x:c>
      <x:c r="AB57" s="117">
        <x:f>IF(AND(YEAR(AB$3)=YEAR($B$6),MONTH(AB$3)=MONTH($B$6),$B$5=1),('CAPEX'!$B$48+'CAPEX'!$B$51+'CAPEX'!$B$52+IF('Вводные'!$B$37="Денежная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компенсация",'Вводные'!$B$56*'Вводные'!$R$89*'Вводные'!$H$6,0)))*'Вводные'!$B$30,0)+IF(AND(YEAR(AB$3)=YEAR($B$7),MONTH(AB$3)=MONTH($B$7),$B$5=1),'Вводные'!$B$26*'Вводные'!$V$89*'Вводные'!$B$30,0)</x:f>
      </x:c>
      <x:c r="AC57" s="117">
        <x:f>IF(AND(YEAR(AC$3)=YEAR($B$6),MONTH(AC$3)=MONTH($B$6),$B$5=1),('CAPEX'!$B$48+'CAPEX'!$B$51+'CAPEX'!$B$52+IF('Вводные'!$B$37="Денежная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компенсация",'Вводные'!$B$56*'Вводные'!$R$89*'Вводные'!$H$6,0)))*'Вводные'!$B$30,0)+IF(AND(YEAR(AC$3)=YEAR($B$7),MONTH(AC$3)=MONTH($B$7),$B$5=1),'Вводные'!$B$26*'Вводные'!$V$89*'Вводные'!$B$30,0)</x:f>
      </x:c>
      <x:c r="AD57" s="117">
        <x:f>IF(AND(YEAR(AD$3)=YEAR($B$6),MONTH(AD$3)=MONTH($B$6),$B$5=1),('CAPEX'!$B$48+'CAPEX'!$B$51+'CAPEX'!$B$52+IF('Вводные'!$B$37="Денежная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компенсация",'Вводные'!$B$56*'Вводные'!$R$89*'Вводные'!$H$6,0)))*'Вводные'!$B$30,0)+IF(AND(YEAR(AD$3)=YEAR($B$7),MONTH(AD$3)=MONTH($B$7),$B$5=1),'Вводные'!$B$26*'Вводные'!$V$89*'Вводные'!$B$30,0)</x:f>
      </x:c>
      <x:c r="AE57" s="117">
        <x:f>IF(AND(YEAR(AE$3)=YEAR($B$6),MONTH(AE$3)=MONTH($B$6),$B$5=1),('CAPEX'!$B$48+'CAPEX'!$B$51+'CAPEX'!$B$52+IF('Вводные'!$B$37="Денежная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компенсация",'Вводные'!$B$56*'Вводные'!$R$89*'Вводные'!$H$6,0)))*'Вводные'!$B$30,0)+IF(AND(YEAR(AE$3)=YEAR($B$7),MONTH(AE$3)=MONTH($B$7),$B$5=1),'Вводные'!$B$26*'Вводные'!$V$89*'Вводные'!$B$30,0)</x:f>
      </x:c>
      <x:c r="AF57" s="117">
        <x:f>IF(AND(YEAR(AF$3)=YEAR($B$6),MONTH(AF$3)=MONTH($B$6),$B$5=1),('CAPEX'!$B$48+'CAPEX'!$B$51+'CAPEX'!$B$52+IF('Вводные'!$B$37="Денежная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компенсация",'Вводные'!$B$56*'Вводные'!$R$89*'Вводные'!$H$6,0)))*'Вводные'!$B$30,0)+IF(AND(YEAR(AF$3)=YEAR($B$7),MONTH(AF$3)=MONTH($B$7),$B$5=1),'Вводные'!$B$26*'Вводные'!$V$89*'Вводные'!$B$30,0)</x:f>
      </x:c>
      <x:c r="AG57" s="117">
        <x:f>IF(AND(YEAR(AG$3)=YEAR($B$6),MONTH(AG$3)=MONTH($B$6),$B$5=1),('CAPEX'!$B$48+'CAPEX'!$B$51+'CAPEX'!$B$52+IF('Вводные'!$B$37="Денежная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компенсация",'Вводные'!$B$56*'Вводные'!$R$89*'Вводные'!$H$6,0)))*'Вводные'!$B$30,0)+IF(AND(YEAR(AG$3)=YEAR($B$7),MONTH(AG$3)=MONTH($B$7),$B$5=1),'Вводные'!$B$26*'Вводные'!$V$89*'Вводные'!$B$30,0)</x:f>
      </x:c>
      <x:c r="AH57" s="117">
        <x:f>IF(AND(YEAR(AH$3)=YEAR($B$6),MONTH(AH$3)=MONTH($B$6),$B$5=1),('CAPEX'!$B$48+'CAPEX'!$B$51+'CAPEX'!$B$52+IF('Вводные'!$B$37="Денежная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компенсация",'Вводные'!$B$56*'Вводные'!$R$89*'Вводные'!$H$6,0)))*'Вводные'!$B$30,0)+IF(AND(YEAR(AH$3)=YEAR($B$7),MONTH(AH$3)=MONTH($B$7),$B$5=1),'Вводные'!$B$26*'Вводные'!$V$89*'Вводные'!$B$30,0)</x:f>
      </x:c>
      <x:c r="AI57" s="117">
        <x:f>IF(AND(YEAR(AI$3)=YEAR($B$6),MONTH(AI$3)=MONTH($B$6),$B$5=1),('CAPEX'!$B$48+'CAPEX'!$B$51+'CAPEX'!$B$52+IF('Вводные'!$B$37="Денежная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компенсация",'Вводные'!$B$56*'Вводные'!$R$89*'Вводные'!$H$6,0)))*'Вводные'!$B$30,0)+IF(AND(YEAR(AI$3)=YEAR($B$7),MONTH(AI$3)=MONTH($B$7),$B$5=1),'Вводные'!$B$26*'Вводные'!$V$89*'Вводные'!$B$30,0)</x:f>
      </x:c>
      <x:c r="AJ57" s="117">
        <x:f>IF(AND(YEAR(AJ$3)=YEAR($B$6),MONTH(AJ$3)=MONTH($B$6),$B$5=1),('CAPEX'!$B$48+'CAPEX'!$B$51+'CAPEX'!$B$52+IF('Вводные'!$B$37="Денежная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компенсация",'Вводные'!$B$56*'Вводные'!$R$89*'Вводные'!$H$6,0)))*'Вводные'!$B$30,0)+IF(AND(YEAR(AJ$3)=YEAR($B$7),MONTH(AJ$3)=MONTH($B$7),$B$5=1),'Вводные'!$B$26*'Вводные'!$V$89*'Вводные'!$B$30,0)</x:f>
      </x:c>
      <x:c r="AK57" s="117">
        <x:f>IF(AND(YEAR(AK$3)=YEAR($B$6),MONTH(AK$3)=MONTH($B$6),$B$5=1),('CAPEX'!$B$48+'CAPEX'!$B$51+'CAPEX'!$B$52+IF('Вводные'!$B$37="Денежная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компенсация",'Вводные'!$B$56*'Вводные'!$R$89*'Вводные'!$H$6,0)))*'Вводные'!$B$30,0)+IF(AND(YEAR(AK$3)=YEAR($B$7),MONTH(AK$3)=MONTH($B$7),$B$5=1),'Вводные'!$B$26*'Вводные'!$V$89*'Вводные'!$B$30,0)</x:f>
      </x:c>
      <x:c r="AL57" s="117">
        <x:f>IF(AND(YEAR(AL$3)=YEAR($B$6),MONTH(AL$3)=MONTH($B$6),$B$5=1),('CAPEX'!$B$48+'CAPEX'!$B$51+'CAPEX'!$B$52+IF('Вводные'!$B$37="Денежная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компенсация",'Вводные'!$B$56*'Вводные'!$R$89*'Вводные'!$H$6,0)))*'Вводные'!$B$30,0)+IF(AND(YEAR(AL$3)=YEAR($B$7),MONTH(AL$3)=MONTH($B$7),$B$5=1),'Вводные'!$B$26*'Вводные'!$V$89*'Вводные'!$B$30,0)</x:f>
      </x:c>
      <x:c r="AM57" s="117">
        <x:f>IF(AND(YEAR(AM$3)=YEAR($B$6),MONTH(AM$3)=MONTH($B$6),$B$5=1),('CAPEX'!$B$48+'CAPEX'!$B$51+'CAPEX'!$B$52+IF('Вводные'!$B$37="Денежная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компенсация",'Вводные'!$B$56*'Вводные'!$R$89*'Вводные'!$H$6,0)))*'Вводные'!$B$30,0)+IF(AND(YEAR(AM$3)=YEAR($B$7),MONTH(AM$3)=MONTH($B$7),$B$5=1),'Вводные'!$B$26*'Вводные'!$V$89*'Вводные'!$B$30,0)</x:f>
      </x:c>
      <x:c r="AN57" s="117">
        <x:f>IF(AND(YEAR(AN$3)=YEAR($B$6),MONTH(AN$3)=MONTH($B$6),$B$5=1),('CAPEX'!$B$48+'CAPEX'!$B$51+'CAPEX'!$B$52+IF('Вводные'!$B$37="Денежная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компенсация",'Вводные'!$B$56*'Вводные'!$R$89*'Вводные'!$H$6,0)))*'Вводные'!$B$30,0)+IF(AND(YEAR(AN$3)=YEAR($B$7),MONTH(AN$3)=MONTH($B$7),$B$5=1),'Вводные'!$B$26*'Вводные'!$V$89*'Вводные'!$B$30,0)</x:f>
      </x:c>
      <x:c r="AO57" s="117">
        <x:f>IF(AND(YEAR(AO$3)=YEAR($B$6),MONTH(AO$3)=MONTH($B$6),$B$5=1),('CAPEX'!$B$48+'CAPEX'!$B$51+'CAPEX'!$B$52+IF('Вводные'!$B$37="Денежная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компенсация",'Вводные'!$B$56*'Вводные'!$R$89*'Вводные'!$H$6,0)))*'Вводные'!$B$30,0)+IF(AND(YEAR(AO$3)=YEAR($B$7),MONTH(AO$3)=MONTH($B$7),$B$5=1),'Вводные'!$B$26*'Вводные'!$V$89*'Вводные'!$B$30,0)</x:f>
      </x:c>
      <x:c r="AP57" s="117">
        <x:f>IF(AND(YEAR(AP$3)=YEAR($B$6),MONTH(AP$3)=MONTH($B$6),$B$5=1),('CAPEX'!$B$48+'CAPEX'!$B$51+'CAPEX'!$B$52+IF('Вводные'!$B$37="Денежная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компенсация",'Вводные'!$B$56*'Вводные'!$R$89*'Вводные'!$H$6,0)))*'Вводные'!$B$30,0)+IF(AND(YEAR(AP$3)=YEAR($B$7),MONTH(AP$3)=MONTH($B$7),$B$5=1),'Вводные'!$B$26*'Вводные'!$V$89*'Вводные'!$B$30,0)</x:f>
      </x:c>
      <x:c r="AQ57" s="117">
        <x:f>IF(AND(YEAR(AQ$3)=YEAR($B$6),MONTH(AQ$3)=MONTH($B$6),$B$5=1),('CAPEX'!$B$48+'CAPEX'!$B$51+'CAPEX'!$B$52+IF('Вводные'!$B$37="Денежная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компенсация",'Вводные'!$B$56*'Вводные'!$R$89*'Вводные'!$H$6,0)))*'Вводные'!$B$30,0)+IF(AND(YEAR(AQ$3)=YEAR($B$7),MONTH(AQ$3)=MONTH($B$7),$B$5=1),'Вводные'!$B$26*'Вводные'!$V$89*'Вводные'!$B$30,0)</x:f>
      </x:c>
      <x:c r="AR57" s="117">
        <x:f>IF(AND(YEAR(AR$3)=YEAR($B$6),MONTH(AR$3)=MONTH($B$6),$B$5=1),('CAPEX'!$B$48+'CAPEX'!$B$51+'CAPEX'!$B$52+IF('Вводные'!$B$37="Денежная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компенсация",'Вводные'!$B$56*'Вводные'!$R$89*'Вводные'!$H$6,0)))*'Вводные'!$B$30,0)+IF(AND(YEAR(AR$3)=YEAR($B$7),MONTH(AR$3)=MONTH($B$7),$B$5=1),'Вводные'!$B$26*'Вводные'!$V$89*'Вводные'!$B$30,0)</x:f>
      </x:c>
      <x:c r="AS57" s="117">
        <x:f>IF(AND(YEAR(AS$3)=YEAR($B$6),MONTH(AS$3)=MONTH($B$6),$B$5=1),('CAPEX'!$B$48+'CAPEX'!$B$51+'CAPEX'!$B$52+IF('Вводные'!$B$37="Денежная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компенсация",'Вводные'!$B$56*'Вводные'!$R$89*'Вводные'!$H$6,0)))*'Вводные'!$B$30,0)+IF(AND(YEAR(AS$3)=YEAR($B$7),MONTH(AS$3)=MONTH($B$7),$B$5=1),'Вводные'!$B$26*'Вводные'!$V$89*'Вводные'!$B$30,0)</x:f>
      </x:c>
      <x:c r="AT57" s="117">
        <x:f>IF(AND(YEAR(AT$3)=YEAR($B$6),MONTH(AT$3)=MONTH($B$6),$B$5=1),('CAPEX'!$B$48+'CAPEX'!$B$51+'CAPEX'!$B$52+IF('Вводные'!$B$37="Денежная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компенсация",'Вводные'!$B$56*'Вводные'!$R$89*'Вводные'!$H$6,0)))*'Вводные'!$B$30,0)+IF(AND(YEAR(AT$3)=YEAR($B$7),MONTH(AT$3)=MONTH($B$7),$B$5=1),'Вводные'!$B$26*'Вводные'!$V$89*'Вводные'!$B$30,0)</x:f>
      </x:c>
      <x:c r="AU57" s="117">
        <x:f>IF(AND(YEAR(AU$3)=YEAR($B$6),MONTH(AU$3)=MONTH($B$6),$B$5=1),('CAPEX'!$B$48+'CAPEX'!$B$51+'CAPEX'!$B$52+IF('Вводные'!$B$37="Денежная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компенсация",'Вводные'!$B$56*'Вводные'!$R$89*'Вводные'!$H$6,0)))*'Вводные'!$B$30,0)+IF(AND(YEAR(AU$3)=YEAR($B$7),MONTH(AU$3)=MONTH($B$7),$B$5=1),'Вводные'!$B$26*'Вводные'!$V$89*'Вводные'!$B$30,0)</x:f>
      </x:c>
      <x:c r="AV57" s="117">
        <x:f>IF(AND(YEAR(AV$3)=YEAR($B$6),MONTH(AV$3)=MONTH($B$6),$B$5=1),('CAPEX'!$B$48+'CAPEX'!$B$51+'CAPEX'!$B$52+IF('Вводные'!$B$37="Денежная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компенсация",'Вводные'!$B$56*'Вводные'!$R$89*'Вводные'!$H$6,0)))*'Вводные'!$B$30,0)+IF(AND(YEAR(AV$3)=YEAR($B$7),MONTH(AV$3)=MONTH($B$7),$B$5=1),'Вводные'!$B$26*'Вводные'!$V$89*'Вводные'!$B$30,0)</x:f>
      </x:c>
      <x:c r="AW57" s="117">
        <x:f>IF(AND(YEAR(AW$3)=YEAR($B$6),MONTH(AW$3)=MONTH($B$6),$B$5=1),('CAPEX'!$B$48+'CAPEX'!$B$51+'CAPEX'!$B$52+IF('Вводные'!$B$37="Денежная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компенсация",'Вводные'!$B$56*'Вводные'!$R$89*'Вводные'!$H$6,0)))*'Вводные'!$B$30,0)+IF(AND(YEAR(AW$3)=YEAR($B$7),MONTH(AW$3)=MONTH($B$7),$B$5=1),'Вводные'!$B$26*'Вводные'!$V$89*'Вводные'!$B$30,0)</x:f>
      </x:c>
      <x:c r="AX57" s="117">
        <x:f>IF(AND(YEAR(AX$3)=YEAR($B$6),MONTH(AX$3)=MONTH($B$6),$B$5=1),('CAPEX'!$B$48+'CAPEX'!$B$51+'CAPEX'!$B$52+IF('Вводные'!$B$37="Денежная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компенсация",'Вводные'!$B$56*'Вводные'!$R$89*'Вводные'!$H$6,0)))*'Вводные'!$B$30,0)+IF(AND(YEAR(AX$3)=YEAR($B$7),MONTH(AX$3)=MONTH($B$7),$B$5=1),'Вводные'!$B$26*'Вводные'!$V$89*'Вводные'!$B$30,0)</x:f>
      </x:c>
      <x:c r="AY57" s="117">
        <x:f>IF(AND(YEAR(AY$3)=YEAR($B$6),MONTH(AY$3)=MONTH($B$6),$B$5=1),('CAPEX'!$B$48+'CAPEX'!$B$51+'CAPEX'!$B$52+IF('Вводные'!$B$37="Денежная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компенсация",'Вводные'!$B$56*'Вводные'!$R$89*'Вводные'!$H$6,0)))*'Вводные'!$B$30,0)+IF(AND(YEAR(AY$3)=YEAR($B$7),MONTH(AY$3)=MONTH($B$7),$B$5=1),'Вводные'!$B$26*'Вводные'!$V$89*'Вводные'!$B$30,0)</x:f>
      </x:c>
      <x:c r="AZ57" s="117">
        <x:f>IF(AND(YEAR(AZ$3)=YEAR($B$6),MONTH(AZ$3)=MONTH($B$6),$B$5=1),('CAPEX'!$B$48+'CAPEX'!$B$51+'CAPEX'!$B$52+IF('Вводные'!$B$37="Денежная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компенсация",'Вводные'!$B$56*'Вводные'!$R$89*'Вводные'!$H$6,0)))*'Вводные'!$B$30,0)+IF(AND(YEAR(AZ$3)=YEAR($B$7),MONTH(AZ$3)=MONTH($B$7),$B$5=1),'Вводные'!$B$26*'Вводные'!$V$89*'Вводные'!$B$30,0)</x:f>
      </x:c>
      <x:c r="BA57" s="117">
        <x:f>IF(AND(YEAR(BA$3)=YEAR($B$6),MONTH(BA$3)=MONTH($B$6),$B$5=1),('CAPEX'!$B$48+'CAPEX'!$B$51+'CAPEX'!$B$52+IF('Вводные'!$B$37="Денежная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компенсация",'Вводные'!$B$56*'Вводные'!$R$89*'Вводные'!$H$6,0)))*'Вводные'!$B$30,0)+IF(AND(YEAR(BA$3)=YEAR($B$7),MONTH(BA$3)=MONTH($B$7),$B$5=1),'Вводные'!$B$26*'Вводные'!$V$89*'Вводные'!$B$30,0)</x:f>
      </x:c>
      <x:c r="BB57" s="117">
        <x:f>IF(AND(YEAR(BB$3)=YEAR($B$6),MONTH(BB$3)=MONTH($B$6),$B$5=1),('CAPEX'!$B$48+'CAPEX'!$B$51+'CAPEX'!$B$52+IF('Вводные'!$B$37="Денежная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компенсация",'Вводные'!$B$56*'Вводные'!$R$89*'Вводные'!$H$6,0)))*'Вводные'!$B$30,0)+IF(AND(YEAR(BB$3)=YEAR($B$7),MONTH(BB$3)=MONTH($B$7),$B$5=1),'Вводные'!$B$26*'Вводные'!$V$89*'Вводные'!$B$30,0)</x:f>
      </x:c>
      <x:c r="BC57" s="117">
        <x:f>IF(AND(YEAR(BC$3)=YEAR($B$6),MONTH(BC$3)=MONTH($B$6),$B$5=1),('CAPEX'!$B$48+'CAPEX'!$B$51+'CAPEX'!$B$52+IF('Вводные'!$B$37="Денежная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компенсация",'Вводные'!$B$56*'Вводные'!$R$89*'Вводные'!$H$6,0)))*'Вводные'!$B$30,0)+IF(AND(YEAR(BC$3)=YEAR($B$7),MONTH(BC$3)=MONTH($B$7),$B$5=1),'Вводные'!$B$26*'Вводные'!$V$89*'Вводные'!$B$30,0)</x:f>
      </x:c>
      <x:c r="BD57" s="117">
        <x:f>IF(AND(YEAR(BD$3)=YEAR($B$6),MONTH(BD$3)=MONTH($B$6),$B$5=1),('CAPEX'!$B$48+'CAPEX'!$B$51+'CAPEX'!$B$52+IF('Вводные'!$B$37="Денежная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компенсация",'Вводные'!$B$56*'Вводные'!$R$89*'Вводные'!$H$6,0)))*'Вводные'!$B$30,0)+IF(AND(YEAR(BD$3)=YEAR($B$7),MONTH(BD$3)=MONTH($B$7),$B$5=1),'Вводные'!$B$26*'Вводные'!$V$89*'Вводные'!$B$30,0)</x:f>
      </x:c>
      <x:c r="BE57" s="117">
        <x:f>IF(AND(YEAR(BE$3)=YEAR($B$6),MONTH(BE$3)=MONTH($B$6),$B$5=1),('CAPEX'!$B$48+'CAPEX'!$B$51+'CAPEX'!$B$52+IF('Вводные'!$B$37="Денежная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компенсация",'Вводные'!$B$56*'Вводные'!$R$89*'Вводные'!$H$6,0)))*'Вводные'!$B$30,0)+IF(AND(YEAR(BE$3)=YEAR($B$7),MONTH(BE$3)=MONTH($B$7),$B$5=1),'Вводные'!$B$26*'Вводные'!$V$89*'Вводные'!$B$30,0)</x:f>
      </x:c>
      <x:c r="BF57" s="117">
        <x:f>IF(AND(YEAR(BF$3)=YEAR($B$6),MONTH(BF$3)=MONTH($B$6),$B$5=1),('CAPEX'!$B$48+'CAPEX'!$B$51+'CAPEX'!$B$52+IF('Вводные'!$B$37="Денежная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компенсация",'Вводные'!$B$56*'Вводные'!$R$89*'Вводные'!$H$6,0)))*'Вводные'!$B$30,0)+IF(AND(YEAR(BF$3)=YEAR($B$7),MONTH(BF$3)=MONTH($B$7),$B$5=1),'Вводные'!$B$26*'Вводные'!$V$89*'Вводные'!$B$30,0)</x:f>
      </x:c>
      <x:c r="BG57" s="117">
        <x:f>IF(AND(YEAR(BG$3)=YEAR($B$6),MONTH(BG$3)=MONTH($B$6),$B$5=1),('CAPEX'!$B$48+'CAPEX'!$B$51+'CAPEX'!$B$52+IF('Вводные'!$B$37="Денежная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компенсация",'Вводные'!$B$56*'Вводные'!$R$89*'Вводные'!$H$6,0)))*'Вводные'!$B$30,0)+IF(AND(YEAR(BG$3)=YEAR($B$7),MONTH(BG$3)=MONTH($B$7),$B$5=1),'Вводные'!$B$26*'Вводные'!$V$89*'Вводные'!$B$30,0)</x:f>
      </x:c>
      <x:c r="BH57" s="117">
        <x:f>IF(AND(YEAR(BH$3)=YEAR($B$6),MONTH(BH$3)=MONTH($B$6),$B$5=1),('CAPEX'!$B$48+'CAPEX'!$B$51+'CAPEX'!$B$52+IF('Вводные'!$B$37="Денежная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компенсация",'Вводные'!$B$56*'Вводные'!$R$89*'Вводные'!$H$6,0)))*'Вводные'!$B$30,0)+IF(AND(YEAR(BH$3)=YEAR($B$7),MONTH(BH$3)=MONTH($B$7),$B$5=1),'Вводные'!$B$26*'Вводные'!$V$89*'Вводные'!$B$30,0)</x:f>
      </x:c>
      <x:c r="BI57" s="117">
        <x:f>IF(AND(YEAR(BI$3)=YEAR($B$6),MONTH(BI$3)=MONTH($B$6),$B$5=1),('CAPEX'!$B$48+'CAPEX'!$B$51+'CAPEX'!$B$52+IF('Вводные'!$B$37="Денежная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компенсация",'Вводные'!$B$56*'Вводные'!$R$89*'Вводные'!$H$6,0)))*'Вводные'!$B$30,0)+IF(AND(YEAR(BI$3)=YEAR($B$7),MONTH(BI$3)=MONTH($B$7),$B$5=1),'Вводные'!$B$26*'Вводные'!$V$89*'Вводные'!$B$30,0)</x:f>
      </x:c>
      <x:c r="BJ57" s="117">
        <x:f>IF(AND(YEAR(BJ$3)=YEAR($B$6),MONTH(BJ$3)=MONTH($B$6),$B$5=1),('CAPEX'!$B$48+'CAPEX'!$B$51+'CAPEX'!$B$52+IF('Вводные'!$B$37="Денежная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компенсация",'Вводные'!$B$56*'Вводные'!$R$89*'Вводные'!$H$6,0)))*'Вводные'!$B$30,0)+IF(AND(YEAR(BJ$3)=YEAR($B$7),MONTH(BJ$3)=MONTH($B$7),$B$5=1),'Вводные'!$B$26*'Вводные'!$V$89*'Вводные'!$B$30,0)</x:f>
      </x:c>
      <x:c r="BK57" s="117">
        <x:f>IF(AND(YEAR(BK$3)=YEAR($B$6),MONTH(BK$3)=MONTH($B$6),$B$5=1),('CAPEX'!$B$48+'CAPEX'!$B$51+'CAPEX'!$B$52+IF('Вводные'!$B$37="Денежная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компенсация",'Вводные'!$B$56*'Вводные'!$R$89*'Вводные'!$H$6,0)))*'Вводные'!$B$30,0)+IF(AND(YEAR(BK$3)=YEAR($B$7),MONTH(BK$3)=MONTH($B$7),$B$5=1),'Вводные'!$B$26*'Вводные'!$V$89*'Вводные'!$B$30,0)</x:f>
      </x:c>
      <x:c r="BL57" s="117">
        <x:f>IF(AND(YEAR(BL$3)=YEAR($B$6),MONTH(BL$3)=MONTH($B$6),$B$5=1),('CAPEX'!$B$48+'CAPEX'!$B$51+'CAPEX'!$B$52+IF('Вводные'!$B$37="Денежная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компенсация",'Вводные'!$B$56*'Вводные'!$R$89*'Вводные'!$H$6,0)))*'Вводные'!$B$30,0)+IF(AND(YEAR(BL$3)=YEAR($B$7),MONTH(BL$3)=MONTH($B$7),$B$5=1),'Вводные'!$B$26*'Вводные'!$V$89*'Вводные'!$B$30,0)</x:f>
      </x:c>
      <x:c r="BM57" s="117">
        <x:f>IF(AND(YEAR(BM$3)=YEAR($B$6),MONTH(BM$3)=MONTH($B$6),$B$5=1),('CAPEX'!$B$48+'CAPEX'!$B$51+'CAPEX'!$B$52+IF('Вводные'!$B$37="Денежная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компенсация",'Вводные'!$B$56*'Вводные'!$R$89*'Вводные'!$H$6,0)))*'Вводные'!$B$30,0)+IF(AND(YEAR(BM$3)=YEAR($B$7),MONTH(BM$3)=MONTH($B$7),$B$5=1),'Вводные'!$B$26*'Вводные'!$V$89*'Вводные'!$B$30,0)</x:f>
      </x:c>
      <x:c r="BN57" s="117">
        <x:f>IF(AND(YEAR(BN$3)=YEAR($B$6),MONTH(BN$3)=MONTH($B$6),$B$5=1),('CAPEX'!$B$48+'CAPEX'!$B$51+'CAPEX'!$B$52+IF('Вводные'!$B$37="Денежная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компенсация",'Вводные'!$B$56*'Вводные'!$R$89*'Вводные'!$H$6,0)))*'Вводные'!$B$30,0)+IF(AND(YEAR(BN$3)=YEAR($B$7),MONTH(BN$3)=MONTH($B$7),$B$5=1),'Вводные'!$B$26*'Вводные'!$V$89*'Вводные'!$B$30,0)</x:f>
      </x:c>
      <x:c r="BO57" s="117">
        <x:f>IF(AND(YEAR(BO$3)=YEAR($B$6),MONTH(BO$3)=MONTH($B$6),$B$5=1),('CAPEX'!$B$48+'CAPEX'!$B$51+'CAPEX'!$B$52+IF('Вводные'!$B$37="Денежная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компенсация",'Вводные'!$B$56*'Вводные'!$R$89*'Вводные'!$H$6,0)))*'Вводные'!$B$30,0)+IF(AND(YEAR(BO$3)=YEAR($B$7),MONTH(BO$3)=MONTH($B$7),$B$5=1),'Вводные'!$B$26*'Вводные'!$V$89*'Вводные'!$B$30,0)</x:f>
      </x:c>
      <x:c r="BP57" s="117">
        <x:f>IF(AND(YEAR(BP$3)=YEAR($B$6),MONTH(BP$3)=MONTH($B$6),$B$5=1),('CAPEX'!$B$48+'CAPEX'!$B$51+'CAPEX'!$B$52+IF('Вводные'!$B$37="Денежная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компенсация",'Вводные'!$B$56*'Вводные'!$R$89*'Вводные'!$H$6,0)))*'Вводные'!$B$30,0)+IF(AND(YEAR(BP$3)=YEAR($B$7),MONTH(BP$3)=MONTH($B$7),$B$5=1),'Вводные'!$B$26*'Вводные'!$V$89*'Вводные'!$B$30,0)</x:f>
      </x:c>
      <x:c r="BQ57" s="117">
        <x:f>IF(AND(YEAR(BQ$3)=YEAR($B$6),MONTH(BQ$3)=MONTH($B$6),$B$5=1),('CAPEX'!$B$48+'CAPEX'!$B$51+'CAPEX'!$B$52+IF('Вводные'!$B$37="Денежная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компенсация",'Вводные'!$B$56*'Вводные'!$R$89*'Вводные'!$H$6,0)))*'Вводные'!$B$30,0)+IF(AND(YEAR(BQ$3)=YEAR($B$7),MONTH(BQ$3)=MONTH($B$7),$B$5=1),'Вводные'!$B$26*'Вводные'!$V$89*'Вводные'!$B$30,0)</x:f>
      </x:c>
      <x:c r="BR57" s="117">
        <x:f>IF(AND(YEAR(BR$3)=YEAR($B$6),MONTH(BR$3)=MONTH($B$6),$B$5=1),('CAPEX'!$B$48+'CAPEX'!$B$51+'CAPEX'!$B$52+IF('Вводные'!$B$37="Денежная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компенсация",'Вводные'!$B$56*'Вводные'!$R$89*'Вводные'!$H$6,0)))*'Вводные'!$B$30,0)+IF(AND(YEAR(BR$3)=YEAR($B$7),MONTH(BR$3)=MONTH($B$7),$B$5=1),'Вводные'!$B$26*'Вводные'!$V$89*'Вводные'!$B$30,0)</x:f>
      </x:c>
      <x:c r="BS57" s="117">
        <x:f>IF(AND(YEAR(BS$3)=YEAR($B$6),MONTH(BS$3)=MONTH($B$6),$B$5=1),('CAPEX'!$B$48+'CAPEX'!$B$51+'CAPEX'!$B$52+IF('Вводные'!$B$37="Денежная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компенсация",'Вводные'!$B$56*'Вводные'!$R$89*'Вводные'!$H$6,0)))*'Вводные'!$B$30,0)+IF(AND(YEAR(BS$3)=YEAR($B$7),MONTH(BS$3)=MONTH($B$7),$B$5=1),'Вводные'!$B$26*'Вводные'!$V$89*'Вводные'!$B$30,0)</x:f>
      </x:c>
      <x:c r="BT57" s="117">
        <x:f>IF(AND(YEAR(BT$3)=YEAR($B$6),MONTH(BT$3)=MONTH($B$6),$B$5=1),('CAPEX'!$B$48+'CAPEX'!$B$51+'CAPEX'!$B$52+IF('Вводные'!$B$37="Денежная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компенсация",'Вводные'!$B$56*'Вводные'!$R$89*'Вводные'!$H$6,0)))*'Вводные'!$B$30,0)+IF(AND(YEAR(BT$3)=YEAR($B$7),MONTH(BT$3)=MONTH($B$7),$B$5=1),'Вводные'!$B$26*'Вводные'!$V$89*'Вводные'!$B$30,0)</x:f>
      </x:c>
      <x:c r="BU57" s="117">
        <x:f>IF(AND(YEAR(BU$3)=YEAR($B$6),MONTH(BU$3)=MONTH($B$6),$B$5=1),('CAPEX'!$B$48+'CAPEX'!$B$51+'CAPEX'!$B$52+IF('Вводные'!$B$37="Денежная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компенсация",'Вводные'!$B$56*'Вводные'!$R$89*'Вводные'!$H$6,0)))*'Вводные'!$B$30,0)+IF(AND(YEAR(BU$3)=YEAR($B$7),MONTH(BU$3)=MONTH($B$7),$B$5=1),'Вводные'!$B$26*'Вводные'!$V$89*'Вводные'!$B$30,0)</x:f>
      </x:c>
      <x:c r="BV57" s="117">
        <x:f>IF(AND(YEAR(BV$3)=YEAR($B$6),MONTH(BV$3)=MONTH($B$6),$B$5=1),('CAPEX'!$B$48+'CAPEX'!$B$51+'CAPEX'!$B$52+IF('Вводные'!$B$37="Денежная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компенсация",'Вводные'!$B$56*'Вводные'!$R$89*'Вводные'!$H$6,0)))*'Вводные'!$B$30,0)+IF(AND(YEAR(BV$3)=YEAR($B$7),MONTH(BV$3)=MONTH($B$7),$B$5=1),'Вводные'!$B$26*'Вводные'!$V$89*'Вводные'!$B$30,0)</x:f>
      </x:c>
      <x:c r="BW57" s="117">
        <x:f>IF(AND(YEAR(BW$3)=YEAR($B$6),MONTH(BW$3)=MONTH($B$6),$B$5=1),('CAPEX'!$B$48+'CAPEX'!$B$51+'CAPEX'!$B$52+IF('Вводные'!$B$37="Денежная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компенсация",'Вводные'!$B$56*'Вводные'!$R$89*'Вводные'!$H$6,0)))*'Вводные'!$B$30,0)+IF(AND(YEAR(BW$3)=YEAR($B$7),MONTH(BW$3)=MONTH($B$7),$B$5=1),'Вводные'!$B$26*'Вводные'!$V$89*'Вводные'!$B$30,0)</x:f>
      </x:c>
      <x:c r="BX57" s="117">
        <x:f>IF(AND(YEAR(BX$3)=YEAR($B$6),MONTH(BX$3)=MONTH($B$6),$B$5=1),('CAPEX'!$B$48+'CAPEX'!$B$51+'CAPEX'!$B$52+IF('Вводные'!$B$37="Денежная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компенсация",'Вводные'!$B$56*'Вводные'!$R$89*'Вводные'!$H$6,0)))*'Вводные'!$B$30,0)+IF(AND(YEAR(BX$3)=YEAR($B$7),MONTH(BX$3)=MONTH($B$7),$B$5=1),'Вводные'!$B$26*'Вводные'!$V$89*'Вводные'!$B$30,0)</x:f>
      </x:c>
      <x:c r="BY57" s="117">
        <x:f>IF(AND(YEAR(BY$3)=YEAR($B$6),MONTH(BY$3)=MONTH($B$6),$B$5=1),('CAPEX'!$B$48+'CAPEX'!$B$51+'CAPEX'!$B$52+IF('Вводные'!$B$37="Денежная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компенсация",'Вводные'!$B$56*'Вводные'!$R$89*'Вводные'!$H$6,0)))*'Вводные'!$B$30,0)+IF(AND(YEAR(BY$3)=YEAR($B$7),MONTH(BY$3)=MONTH($B$7),$B$5=1),'Вводные'!$B$26*'Вводные'!$V$89*'Вводные'!$B$30,0)</x:f>
      </x:c>
      <x:c r="BZ57" s="117">
        <x:f>IF(AND(YEAR(BZ$3)=YEAR($B$6),MONTH(BZ$3)=MONTH($B$6),$B$5=1),('CAPEX'!$B$48+'CAPEX'!$B$51+'CAPEX'!$B$52+IF('Вводные'!$B$37="Денежная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компенсация",'Вводные'!$B$56*'Вводные'!$R$89*'Вводные'!$H$6,0)))*'Вводные'!$B$30,0)+IF(AND(YEAR(BZ$3)=YEAR($B$7),MONTH(BZ$3)=MONTH($B$7),$B$5=1),'Вводные'!$B$26*'Вводные'!$V$89*'Вводные'!$B$30,0)</x:f>
      </x:c>
      <x:c r="CA57" s="117">
        <x:f>IF(AND(YEAR(CA$3)=YEAR($B$6),MONTH(CA$3)=MONTH($B$6),$B$5=1),('CAPEX'!$B$48+'CAPEX'!$B$51+'CAPEX'!$B$52+IF('Вводные'!$B$37="Денежная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компенсация",'Вводные'!$B$56*'Вводные'!$R$89*'Вводные'!$H$6,0)))*'Вводные'!$B$30,0)+IF(AND(YEAR(CA$3)=YEAR($B$7),MONTH(CA$3)=MONTH($B$7),$B$5=1),'Вводные'!$B$26*'Вводные'!$V$89*'Вводные'!$B$30,0)</x:f>
      </x:c>
      <x:c r="CB57" s="117">
        <x:f>IF(AND(YEAR(CB$3)=YEAR($B$6),MONTH(CB$3)=MONTH($B$6),$B$5=1),('CAPEX'!$B$48+'CAPEX'!$B$51+'CAPEX'!$B$52+IF('Вводные'!$B$37="Денежная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компенсация",'Вводные'!$B$56*'Вводные'!$R$89*'Вводные'!$H$6,0)))*'Вводные'!$B$30,0)+IF(AND(YEAR(CB$3)=YEAR($B$7),MONTH(CB$3)=MONTH($B$7),$B$5=1),'Вводные'!$B$26*'Вводные'!$V$89*'Вводные'!$B$30,0)</x:f>
      </x:c>
      <x:c r="CC57" s="117">
        <x:f>IF(AND(YEAR(CC$3)=YEAR($B$6),MONTH(CC$3)=MONTH($B$6),$B$5=1),('CAPEX'!$B$48+'CAPEX'!$B$51+'CAPEX'!$B$52+IF('Вводные'!$B$37="Денежная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компенсация",'Вводные'!$B$56*'Вводные'!$R$89*'Вводные'!$H$6,0)))*'Вводные'!$B$30,0)+IF(AND(YEAR(CC$3)=YEAR($B$7),MONTH(CC$3)=MONTH($B$7),$B$5=1),'Вводные'!$B$26*'Вводные'!$V$89*'Вводные'!$B$30,0)</x:f>
      </x:c>
      <x:c r="CD57" s="117">
        <x:f>IF(AND(YEAR(CD$3)=YEAR($B$6),MONTH(CD$3)=MONTH($B$6),$B$5=1),('CAPEX'!$B$48+'CAPEX'!$B$51+'CAPEX'!$B$52+IF('Вводные'!$B$37="Денежная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компенсация",'Вводные'!$B$56*'Вводные'!$R$89*'Вводные'!$H$6,0)))*'Вводные'!$B$30,0)+IF(AND(YEAR(CD$3)=YEAR($B$7),MONTH(CD$3)=MONTH($B$7),$B$5=1),'Вводные'!$B$26*'Вводные'!$V$89*'Вводные'!$B$30,0)</x:f>
      </x:c>
      <x:c r="CE57" s="117">
        <x:f>IF(AND(YEAR(CE$3)=YEAR($B$6),MONTH(CE$3)=MONTH($B$6),$B$5=1),('CAPEX'!$B$48+'CAPEX'!$B$51+'CAPEX'!$B$52+IF('Вводные'!$B$37="Денежная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компенсация",'Вводные'!$B$56*'Вводные'!$R$89*'Вводные'!$H$6,0)))*'Вводные'!$B$30,0)+IF(AND(YEAR(CE$3)=YEAR($B$7),MONTH(CE$3)=MONTH($B$7),$B$5=1),'Вводные'!$B$26*'Вводные'!$V$89*'Вводные'!$B$30,0)</x:f>
      </x:c>
      <x:c r="CF57" s="117">
        <x:f>IF(AND(YEAR(CF$3)=YEAR($B$6),MONTH(CF$3)=MONTH($B$6),$B$5=1),('CAPEX'!$B$48+'CAPEX'!$B$51+'CAPEX'!$B$52+IF('Вводные'!$B$37="Денежная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компенсация",'Вводные'!$B$56*'Вводные'!$R$89*'Вводные'!$H$6,0)))*'Вводные'!$B$30,0)+IF(AND(YEAR(CF$3)=YEAR($B$7),MONTH(CF$3)=MONTH($B$7),$B$5=1),'Вводные'!$B$26*'Вводные'!$V$89*'Вводные'!$B$30,0)</x:f>
      </x:c>
      <x:c r="CG57" s="117">
        <x:f>IF(AND(YEAR(CG$3)=YEAR($B$6),MONTH(CG$3)=MONTH($B$6),$B$5=1),('CAPEX'!$B$48+'CAPEX'!$B$51+'CAPEX'!$B$52+IF('Вводные'!$B$37="Денежная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компенсация",'Вводные'!$B$56*'Вводные'!$R$89*'Вводные'!$H$6,0)))*'Вводные'!$B$30,0)+IF(AND(YEAR(CG$3)=YEAR($B$7),MONTH(CG$3)=MONTH($B$7),$B$5=1),'Вводные'!$B$26*'Вводные'!$V$89*'Вводные'!$B$30,0)</x:f>
      </x:c>
      <x:c r="CH57" s="117">
        <x:f>IF(AND(YEAR(CH$3)=YEAR($B$6),MONTH(CH$3)=MONTH($B$6),$B$5=1),('CAPEX'!$B$48+'CAPEX'!$B$51+'CAPEX'!$B$52+IF('Вводные'!$B$37="Денежная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компенсация",'Вводные'!$B$56*'Вводные'!$R$89*'Вводные'!$H$6,0)))*'Вводные'!$B$30,0)+IF(AND(YEAR(CH$3)=YEAR($B$7),MONTH(CH$3)=MONTH($B$7),$B$5=1),'Вводные'!$B$26*'Вводные'!$V$89*'Вводные'!$B$30,0)</x:f>
      </x:c>
      <x:c r="CI57" s="117">
        <x:f>IF(AND(YEAR(CI$3)=YEAR($B$6),MONTH(CI$3)=MONTH($B$6),$B$5=1),('CAPEX'!$B$48+'CAPEX'!$B$51+'CAPEX'!$B$52+IF('Вводные'!$B$37="Денежная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компенсация",'Вводные'!$B$56*'Вводные'!$R$89*'Вводные'!$H$6,0)))*'Вводные'!$B$30,0)+IF(AND(YEAR(CI$3)=YEAR($B$7),MONTH(CI$3)=MONTH($B$7),$B$5=1),'Вводные'!$B$26*'Вводные'!$V$89*'Вводные'!$B$30,0)</x:f>
      </x:c>
      <x:c r="CJ57" s="117">
        <x:f>IF(AND(YEAR(CJ$3)=YEAR($B$6),MONTH(CJ$3)=MONTH($B$6),$B$5=1),('CAPEX'!$B$48+'CAPEX'!$B$51+'CAPEX'!$B$52+IF('Вводные'!$B$37="Денежная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компенсация",'Вводные'!$B$56*'Вводные'!$R$89*'Вводные'!$H$6,0)))*'Вводные'!$B$30,0)+IF(AND(YEAR(CJ$3)=YEAR($B$7),MONTH(CJ$3)=MONTH($B$7),$B$5=1),'Вводные'!$B$26*'Вводные'!$V$89*'Вводные'!$B$30,0)</x:f>
      </x:c>
      <x:c r="CK57" s="117">
        <x:f>IF(AND(YEAR(CK$3)=YEAR($B$6),MONTH(CK$3)=MONTH($B$6),$B$5=1),('CAPEX'!$B$48+'CAPEX'!$B$51+'CAPEX'!$B$52+IF('Вводные'!$B$37="Денежная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компенсация",'Вводные'!$B$56*'Вводные'!$R$89*'Вводные'!$H$6,0)))*'Вводные'!$B$30,0)+IF(AND(YEAR(CK$3)=YEAR($B$7),MONTH(CK$3)=MONTH($B$7),$B$5=1),'Вводные'!$B$26*'Вводные'!$V$89*'Вводные'!$B$30,0)</x:f>
      </x:c>
      <x:c r="CL57" s="117">
        <x:f>IF(AND(YEAR(CL$3)=YEAR($B$6),MONTH(CL$3)=MONTH($B$6),$B$5=1),('CAPEX'!$B$48+'CAPEX'!$B$51+'CAPEX'!$B$52+IF('Вводные'!$B$37="Денежная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компенсация",'Вводные'!$B$56*'Вводные'!$R$89*'Вводные'!$H$6,0)))*'Вводные'!$B$30,0)+IF(AND(YEAR(CL$3)=YEAR($B$7),MONTH(CL$3)=MONTH($B$7),$B$5=1),'Вводные'!$B$26*'Вводные'!$V$89*'Вводные'!$B$30,0)</x:f>
      </x:c>
      <x:c r="CM57" s="117">
        <x:f>IF(AND(YEAR(CM$3)=YEAR($B$6),MONTH(CM$3)=MONTH($B$6),$B$5=1),('CAPEX'!$B$48+'CAPEX'!$B$51+'CAPEX'!$B$52+IF('Вводные'!$B$37="Денежная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компенсация",'Вводные'!$B$56*'Вводные'!$R$89*'Вводные'!$H$6,0)))*'Вводные'!$B$30,0)+IF(AND(YEAR(CM$3)=YEAR($B$7),MONTH(CM$3)=MONTH($B$7),$B$5=1),'Вводные'!$B$26*'Вводные'!$V$89*'Вводные'!$B$30,0)</x:f>
      </x:c>
      <x:c r="CN57" s="117">
        <x:f>IF(AND(YEAR(CN$3)=YEAR($B$6),MONTH(CN$3)=MONTH($B$6),$B$5=1),('CAPEX'!$B$48+'CAPEX'!$B$51+'CAPEX'!$B$52+IF('Вводные'!$B$37="Денежная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компенсация",'Вводные'!$B$56*'Вводные'!$R$89*'Вводные'!$H$6,0)))*'Вводные'!$B$30,0)+IF(AND(YEAR(CN$3)=YEAR($B$7),MONTH(CN$3)=MONTH($B$7),$B$5=1),'Вводные'!$B$26*'Вводные'!$V$89*'Вводные'!$B$30,0)</x:f>
      </x:c>
      <x:c r="CO57" s="117">
        <x:f>IF(AND(YEAR(CO$3)=YEAR($B$6),MONTH(CO$3)=MONTH($B$6),$B$5=1),('CAPEX'!$B$48+'CAPEX'!$B$51+'CAPEX'!$B$52+IF('Вводные'!$B$37="Денежная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компенсация",'Вводные'!$B$56*'Вводные'!$R$89*'Вводные'!$H$6,0)))*'Вводные'!$B$30,0)+IF(AND(YEAR(CO$3)=YEAR($B$7),MONTH(CO$3)=MONTH($B$7),$B$5=1),'Вводные'!$B$26*'Вводные'!$V$89*'Вводные'!$B$30,0)</x:f>
      </x:c>
      <x:c r="CP57" s="117">
        <x:f>IF(AND(YEAR(CP$3)=YEAR($B$6),MONTH(CP$3)=MONTH($B$6),$B$5=1),('CAPEX'!$B$48+'CAPEX'!$B$51+'CAPEX'!$B$52+IF('Вводные'!$B$37="Денежная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компенсация",'Вводные'!$B$56*'Вводные'!$R$89*'Вводные'!$H$6,0)))*'Вводные'!$B$30,0)+IF(AND(YEAR(CP$3)=YEAR($B$7),MONTH(CP$3)=MONTH($B$7),$B$5=1),'Вводные'!$B$26*'Вводные'!$V$89*'Вводные'!$B$30,0)</x:f>
      </x:c>
      <x:c r="CQ57" s="117">
        <x:f>IF(AND(YEAR(CQ$3)=YEAR($B$6),MONTH(CQ$3)=MONTH($B$6),$B$5=1),('CAPEX'!$B$48+'CAPEX'!$B$51+'CAPEX'!$B$52+IF('Вводные'!$B$37="Денежная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компенсация",'Вводные'!$B$56*'Вводные'!$R$89*'Вводные'!$H$6,0)))*'Вводные'!$B$30,0)+IF(AND(YEAR(CQ$3)=YEAR($B$7),MONTH(CQ$3)=MONTH($B$7),$B$5=1),'Вводные'!$B$26*'Вводные'!$V$89*'Вводные'!$B$30,0)</x:f>
      </x:c>
      <x:c r="CR57" s="117">
        <x:f>IF(AND(YEAR(CR$3)=YEAR($B$6),MONTH(CR$3)=MONTH($B$6),$B$5=1),('CAPEX'!$B$48+'CAPEX'!$B$51+'CAPEX'!$B$52+IF('Вводные'!$B$37="Денежная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компенсация",'Вводные'!$B$56*'Вводные'!$R$89*'Вводные'!$H$6,0)))*'Вводные'!$B$30,0)+IF(AND(YEAR(CR$3)=YEAR($B$7),MONTH(CR$3)=MONTH($B$7),$B$5=1),'Вводные'!$B$26*'Вводные'!$V$89*'Вводные'!$B$30,0)</x:f>
      </x:c>
      <x:c r="CS57" s="117">
        <x:f>IF(AND(YEAR(CS$3)=YEAR($B$6),MONTH(CS$3)=MONTH($B$6),$B$5=1),('CAPEX'!$B$48+'CAPEX'!$B$51+'CAPEX'!$B$52+IF('Вводные'!$B$37="Денежная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компенсация",'Вводные'!$B$56*'Вводные'!$R$89*'Вводные'!$H$6,0)))*'Вводные'!$B$30,0)+IF(AND(YEAR(CS$3)=YEAR($B$7),MONTH(CS$3)=MONTH($B$7),$B$5=1),'Вводные'!$B$26*'Вводные'!$V$89*'Вводные'!$B$30,0)</x:f>
      </x:c>
      <x:c r="CT57" s="117">
        <x:f>IF(AND(YEAR(CT$3)=YEAR($B$6),MONTH(CT$3)=MONTH($B$6),$B$5=1),('CAPEX'!$B$48+'CAPEX'!$B$51+'CAPEX'!$B$52+IF('Вводные'!$B$37="Денежная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компенсация",'Вводные'!$B$56*'Вводные'!$R$89*'Вводные'!$H$6,0)))*'Вводные'!$B$30,0)+IF(AND(YEAR(CT$3)=YEAR($B$7),MONTH(CT$3)=MONTH($B$7),$B$5=1),'Вводные'!$B$26*'Вводные'!$V$89*'Вводные'!$B$30,0)</x:f>
      </x:c>
      <x:c r="CU57" s="117">
        <x:f>IF(AND(YEAR(CU$3)=YEAR($B$6),MONTH(CU$3)=MONTH($B$6),$B$5=1),('CAPEX'!$B$48+'CAPEX'!$B$51+'CAPEX'!$B$52+IF('Вводные'!$B$37="Денежная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компенсация",'Вводные'!$B$56*'Вводные'!$R$89*'Вводные'!$H$6,0)))*'Вводные'!$B$30,0)+IF(AND(YEAR(CU$3)=YEAR($B$7),MONTH(CU$3)=MONTH($B$7),$B$5=1),'Вводные'!$B$26*'Вводные'!$V$89*'Вводные'!$B$30,0)</x:f>
      </x:c>
      <x:c r="CV57" s="117">
        <x:f>IF(AND(YEAR(CV$3)=YEAR($B$6),MONTH(CV$3)=MONTH($B$6),$B$5=1),('CAPEX'!$B$48+'CAPEX'!$B$51+'CAPEX'!$B$52+IF('Вводные'!$B$37="Денежная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компенсация",'Вводные'!$B$56*'Вводные'!$R$89*'Вводные'!$H$6,0)))*'Вводные'!$B$30,0)+IF(AND(YEAR(CV$3)=YEAR($B$7),MONTH(CV$3)=MONTH($B$7),$B$5=1),'Вводные'!$B$26*'Вводные'!$V$89*'Вводные'!$B$30,0)</x:f>
      </x:c>
      <x:c r="CW57" s="117">
        <x:f>IF(AND(YEAR(CW$3)=YEAR($B$6),MONTH(CW$3)=MONTH($B$6),$B$5=1),('CAPEX'!$B$48+'CAPEX'!$B$51+'CAPEX'!$B$52+IF('Вводные'!$B$37="Денежная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компенсация",'Вводные'!$B$56*'Вводные'!$R$89*'Вводные'!$H$6,0)))*'Вводные'!$B$30,0)+IF(AND(YEAR(CW$3)=YEAR($B$7),MONTH(CW$3)=MONTH($B$7),$B$5=1),'Вводные'!$B$26*'Вводные'!$V$89*'Вводные'!$B$30,0)</x:f>
      </x:c>
      <x:c r="CX57" s="117">
        <x:f>IF(AND(YEAR(CX$3)=YEAR($B$6),MONTH(CX$3)=MONTH($B$6),$B$5=1),('CAPEX'!$B$48+'CAPEX'!$B$51+'CAPEX'!$B$52+IF('Вводные'!$B$37="Денежная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компенсация",'Вводные'!$B$56*'Вводные'!$R$89*'Вводные'!$H$6,0)))*'Вводные'!$B$30,0)+IF(AND(YEAR(CX$3)=YEAR($B$7),MONTH(CX$3)=MONTH($B$7),$B$5=1),'Вводные'!$B$26*'Вводные'!$V$89*'Вводные'!$B$30,0)</x:f>
      </x:c>
      <x:c r="CY57" s="117">
        <x:f>IF(AND(YEAR(CY$3)=YEAR($B$6),MONTH(CY$3)=MONTH($B$6),$B$5=1),('CAPEX'!$B$48+'CAPEX'!$B$51+'CAPEX'!$B$52+IF('Вводные'!$B$37="Денежная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компенсация",'Вводные'!$B$56*'Вводные'!$R$89*'Вводные'!$H$6,0)))*'Вводные'!$B$30,0)+IF(AND(YEAR(CY$3)=YEAR($B$7),MONTH(CY$3)=MONTH($B$7),$B$5=1),'Вводные'!$B$26*'Вводные'!$V$89*'Вводные'!$B$30,0)</x:f>
      </x:c>
      <x:c r="CZ57" s="117">
        <x:f>IF(AND(YEAR(CZ$3)=YEAR($B$6),MONTH(CZ$3)=MONTH($B$6),$B$5=1),('CAPEX'!$B$48+'CAPEX'!$B$51+'CAPEX'!$B$52+IF('Вводные'!$B$37="Денежная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компенсация",'Вводные'!$B$56*'Вводные'!$R$89*'Вводные'!$H$6,0)))*'Вводные'!$B$30,0)+IF(AND(YEAR(CZ$3)=YEAR($B$7),MONTH(CZ$3)=MONTH($B$7),$B$5=1),'Вводные'!$B$26*'Вводные'!$V$89*'Вводные'!$B$30,0)</x:f>
      </x:c>
      <x:c r="DA57" s="117">
        <x:f>IF(AND(YEAR(DA$3)=YEAR($B$6),MONTH(DA$3)=MONTH($B$6),$B$5=1),('CAPEX'!$B$48+'CAPEX'!$B$51+'CAPEX'!$B$52+IF('Вводные'!$B$37="Денежная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компенсация",'Вводные'!$B$56*'Вводные'!$R$89*'Вводные'!$H$6,0)))*'Вводные'!$B$30,0)+IF(AND(YEAR(DA$3)=YEAR($B$7),MONTH(DA$3)=MONTH($B$7),$B$5=1),'Вводные'!$B$26*'Вводные'!$V$89*'Вводные'!$B$30,0)</x:f>
      </x:c>
      <x:c r="DB57" s="117">
        <x:f>IF(AND(YEAR(DB$3)=YEAR($B$6),MONTH(DB$3)=MONTH($B$6),$B$5=1),('CAPEX'!$B$48+'CAPEX'!$B$51+'CAPEX'!$B$52+IF('Вводные'!$B$37="Денежная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компенсация",'Вводные'!$B$56*'Вводные'!$R$89*'Вводные'!$H$6,0)))*'Вводные'!$B$30,0)+IF(AND(YEAR(DB$3)=YEAR($B$7),MONTH(DB$3)=MONTH($B$7),$B$5=1),'Вводные'!$B$26*'Вводные'!$V$89*'Вводные'!$B$30,0)</x:f>
      </x:c>
      <x:c r="DC57" s="117">
        <x:f>IF(AND(YEAR(DC$3)=YEAR($B$6),MONTH(DC$3)=MONTH($B$6),$B$5=1),('CAPEX'!$B$48+'CAPEX'!$B$51+'CAPEX'!$B$52+IF('Вводные'!$B$37="Денежная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компенсация",'Вводные'!$B$56*'Вводные'!$R$89*'Вводные'!$H$6,0)))*'Вводные'!$B$30,0)+IF(AND(YEAR(DC$3)=YEAR($B$7),MONTH(DC$3)=MONTH($B$7),$B$5=1),'Вводные'!$B$26*'Вводные'!$V$89*'Вводные'!$B$30,0)</x:f>
      </x:c>
      <x:c r="DD57" s="117">
        <x:f>IF(AND(YEAR(DD$3)=YEAR($B$6),MONTH(DD$3)=MONTH($B$6),$B$5=1),('CAPEX'!$B$48+'CAPEX'!$B$51+'CAPEX'!$B$52+IF('Вводные'!$B$37="Денежная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компенсация",'Вводные'!$B$56*'Вводные'!$R$89*'Вводные'!$H$6,0)))*'Вводные'!$B$30,0)+IF(AND(YEAR(DD$3)=YEAR($B$7),MONTH(DD$3)=MONTH($B$7),$B$5=1),'Вводные'!$B$26*'Вводные'!$V$89*'Вводные'!$B$30,0)</x:f>
      </x:c>
      <x:c r="DE57" s="117">
        <x:f>IF(AND(YEAR(DE$3)=YEAR($B$6),MONTH(DE$3)=MONTH($B$6),$B$5=1),('CAPEX'!$B$48+'CAPEX'!$B$51+'CAPEX'!$B$52+IF('Вводные'!$B$37="Денежная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компенсация",'Вводные'!$B$56*'Вводные'!$R$89*'Вводные'!$H$6,0)))*'Вводные'!$B$30,0)+IF(AND(YEAR(DE$3)=YEAR($B$7),MONTH(DE$3)=MONTH($B$7),$B$5=1),'Вводные'!$B$26*'Вводные'!$V$89*'Вводные'!$B$30,0)</x:f>
      </x:c>
      <x:c r="DF57" s="117">
        <x:f>IF(AND(YEAR(DF$3)=YEAR($B$6),MONTH(DF$3)=MONTH($B$6),$B$5=1),('CAPEX'!$B$48+'CAPEX'!$B$51+'CAPEX'!$B$52+IF('Вводные'!$B$37="Денежная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компенсация",'Вводные'!$B$56*'Вводные'!$R$89*'Вводные'!$H$6,0)))*'Вводные'!$B$30,0)+IF(AND(YEAR(DF$3)=YEAR($B$7),MONTH(DF$3)=MONTH($B$7),$B$5=1),'Вводные'!$B$26*'Вводные'!$V$89*'Вводные'!$B$30,0)</x:f>
      </x:c>
      <x:c r="DG57" s="117">
        <x:f>IF(AND(YEAR(DG$3)=YEAR($B$6),MONTH(DG$3)=MONTH($B$6),$B$5=1),('CAPEX'!$B$48+'CAPEX'!$B$51+'CAPEX'!$B$52+IF('Вводные'!$B$37="Денежная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компенсация",'Вводные'!$B$56*'Вводные'!$R$89*'Вводные'!$H$6,0)))*'Вводные'!$B$30,0)+IF(AND(YEAR(DG$3)=YEAR($B$7),MONTH(DG$3)=MONTH($B$7),$B$5=1),'Вводные'!$B$26*'Вводные'!$V$89*'Вводные'!$B$30,0)</x:f>
      </x:c>
      <x:c r="DH57" s="117">
        <x:f>IF(AND(YEAR(DH$3)=YEAR($B$6),MONTH(DH$3)=MONTH($B$6),$B$5=1),('CAPEX'!$B$48+'CAPEX'!$B$51+'CAPEX'!$B$52+IF('Вводные'!$B$37="Денежная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компенсация",'Вводные'!$B$56*'Вводные'!$R$89*'Вводные'!$H$6,0)))*'Вводные'!$B$30,0)+IF(AND(YEAR(DH$3)=YEAR($B$7),MONTH(DH$3)=MONTH($B$7),$B$5=1),'Вводные'!$B$26*'Вводные'!$V$89*'Вводные'!$B$30,0)</x:f>
      </x:c>
      <x:c r="DI57" s="117">
        <x:f>IF(AND(YEAR(DI$3)=YEAR($B$6),MONTH(DI$3)=MONTH($B$6),$B$5=1),('CAPEX'!$B$48+'CAPEX'!$B$51+'CAPEX'!$B$52+IF('Вводные'!$B$37="Денежная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компенсация",'Вводные'!$B$56*'Вводные'!$R$89*'Вводные'!$H$6,0)))*'Вводные'!$B$30,0)+IF(AND(YEAR(DI$3)=YEAR($B$7),MONTH(DI$3)=MONTH($B$7),$B$5=1),'Вводные'!$B$26*'Вводные'!$V$89*'Вводные'!$B$30,0)</x:f>
      </x:c>
      <x:c r="DJ57" s="117">
        <x:f>IF(AND(YEAR(DJ$3)=YEAR($B$6),MONTH(DJ$3)=MONTH($B$6),$B$5=1),('CAPEX'!$B$48+'CAPEX'!$B$51+'CAPEX'!$B$52+IF('Вводные'!$B$37="Денежная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компенсация",'Вводные'!$B$56*'Вводные'!$R$89*'Вводные'!$H$6,0)))*'Вводные'!$B$30,0)+IF(AND(YEAR(DJ$3)=YEAR($B$7),MONTH(DJ$3)=MONTH($B$7),$B$5=1),'Вводные'!$B$26*'Вводные'!$V$89*'Вводные'!$B$30,0)</x:f>
      </x:c>
      <x:c r="DK57" s="117">
        <x:f>IF(AND(YEAR(DK$3)=YEAR($B$6),MONTH(DK$3)=MONTH($B$6),$B$5=1),('CAPEX'!$B$48+'CAPEX'!$B$51+'CAPEX'!$B$52+IF('Вводные'!$B$37="Денежная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компенсация",'Вводные'!$B$56*'Вводные'!$R$89*'Вводные'!$H$6,0)))*'Вводные'!$B$30,0)+IF(AND(YEAR(DK$3)=YEAR($B$7),MONTH(DK$3)=MONTH($B$7),$B$5=1),'Вводные'!$B$26*'Вводные'!$V$89*'Вводные'!$B$30,0)</x:f>
      </x:c>
      <x:c r="DL57" s="117">
        <x:f>IF(AND(YEAR(DL$3)=YEAR($B$6),MONTH(DL$3)=MONTH($B$6),$B$5=1),('CAPEX'!$B$48+'CAPEX'!$B$51+'CAPEX'!$B$52+IF('Вводные'!$B$37="Денежная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компенсация",'Вводные'!$B$56*'Вводные'!$R$89*'Вводные'!$H$6,0)))*'Вводные'!$B$30,0)+IF(AND(YEAR(DL$3)=YEAR($B$7),MONTH(DL$3)=MONTH($B$7),$B$5=1),'Вводные'!$B$26*'Вводные'!$V$89*'Вводные'!$B$30,0)</x:f>
      </x:c>
      <x:c r="DM57" s="117">
        <x:f>IF(AND(YEAR(DM$3)=YEAR($B$6),MONTH(DM$3)=MONTH($B$6),$B$5=1),('CAPEX'!$B$48+'CAPEX'!$B$51+'CAPEX'!$B$52+IF('Вводные'!$B$37="Денежная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компенсация",'Вводные'!$B$56*'Вводные'!$R$89*'Вводные'!$H$6,0)))*'Вводные'!$B$30,0)+IF(AND(YEAR(DM$3)=YEAR($B$7),MONTH(DM$3)=MONTH($B$7),$B$5=1),'Вводные'!$B$26*'Вводные'!$V$89*'Вводные'!$B$30,0)</x:f>
      </x:c>
      <x:c r="DN57" s="117">
        <x:f>IF(AND(YEAR(DN$3)=YEAR($B$6),MONTH(DN$3)=MONTH($B$6),$B$5=1),('CAPEX'!$B$48+'CAPEX'!$B$51+'CAPEX'!$B$52+IF('Вводные'!$B$37="Денежная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компенсация",'Вводные'!$B$56*'Вводные'!$R$89*'Вводные'!$H$6,0)))*'Вводные'!$B$30,0)+IF(AND(YEAR(DN$3)=YEAR($B$7),MONTH(DN$3)=MONTH($B$7),$B$5=1),'Вводные'!$B$26*'Вводные'!$V$89*'Вводные'!$B$30,0)</x:f>
      </x:c>
      <x:c r="DO57" s="117">
        <x:f>IF(AND(YEAR(DO$3)=YEAR($B$6),MONTH(DO$3)=MONTH($B$6),$B$5=1),('CAPEX'!$B$48+'CAPEX'!$B$51+'CAPEX'!$B$52+IF('Вводные'!$B$37="Денежная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компенсация",'Вводные'!$B$56*'Вводные'!$R$89*'Вводные'!$H$6,0)))*'Вводные'!$B$30,0)+IF(AND(YEAR(DO$3)=YEAR($B$7),MONTH(DO$3)=MONTH($B$7),$B$5=1),'Вводные'!$B$26*'Вводные'!$V$89*'Вводные'!$B$30,0)</x:f>
      </x:c>
      <x:c r="DP57" s="117">
        <x:f>IF(AND(YEAR(DP$3)=YEAR($B$6),MONTH(DP$3)=MONTH($B$6),$B$5=1),('CAPEX'!$B$48+'CAPEX'!$B$51+'CAPEX'!$B$52+IF('Вводные'!$B$37="Денежная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компенсация",'Вводные'!$B$56*'Вводные'!$R$89*'Вводные'!$H$6,0)))*'Вводные'!$B$30,0)+IF(AND(YEAR(DP$3)=YEAR($B$7),MONTH(DP$3)=MONTH($B$7),$B$5=1),'Вводные'!$B$26*'Вводные'!$V$89*'Вводные'!$B$30,0)</x:f>
      </x:c>
      <x:c r="DQ57" s="117">
        <x:f>IF(AND(YEAR(DQ$3)=YEAR($B$6),MONTH(DQ$3)=MONTH($B$6),$B$5=1),('CAPEX'!$B$48+'CAPEX'!$B$51+'CAPEX'!$B$52+IF('Вводные'!$B$37="Денежная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компенсация",'Вводные'!$B$56*'Вводные'!$R$89*'Вводные'!$H$6,0)))*'Вводные'!$B$30,0)+IF(AND(YEAR(DQ$3)=YEAR($B$7),MONTH(DQ$3)=MONTH($B$7),$B$5=1),'Вводные'!$B$26*'Вводные'!$V$89*'Вводные'!$B$30,0)</x:f>
      </x:c>
      <x:c r="DR57" s="117">
        <x:f>IF(AND(YEAR(DR$3)=YEAR($B$6),MONTH(DR$3)=MONTH($B$6),$B$5=1),('CAPEX'!$B$48+'CAPEX'!$B$51+'CAPEX'!$B$52+IF('Вводные'!$B$37="Денежная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компенсация",'Вводные'!$B$56*'Вводные'!$R$89*'Вводные'!$H$6,0)))*'Вводные'!$B$30,0)+IF(AND(YEAR(DR$3)=YEAR($B$7),MONTH(DR$3)=MONTH($B$7),$B$5=1),'Вводные'!$B$26*'Вводные'!$V$89*'Вводные'!$B$30,0)</x:f>
      </x:c>
      <x:c r="DS57" s="117">
        <x:f>IF(AND(YEAR(DS$3)=YEAR($B$6),MONTH(DS$3)=MONTH($B$6),$B$5=1),('CAPEX'!$B$48+'CAPEX'!$B$51+'CAPEX'!$B$52+IF('Вводные'!$B$37="Денежная компенсация",'CAPEX'!$B$65,IF('Вводные'!$B$37="Строительство и компенсация",'Вводные'!$B$56*'Вводные'!$R$89*'Вводные'!$H$6,0)))*'Вводные'!$B$30,0)+IF(AND(YEAR(DS$3)=YEAR($B$7),MONTH(DS$3)=MONTH($B$7),$B$5=1),'Вводные'!$B$26*'Вводные'!$V$89*'Вводные'!$B$30,0)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MAX(0,'Вводные'!$B$85*'Вводные'!$AI$89-D56)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E21" s="117" t="n">
        <x:f>IF(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F21" s="117" t="n">
        <x:f>IF(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G21" s="117" t="n">
        <x:f>IF(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H21" s="117" t="n">
        <x:f>IF(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I21" s="117" t="n">
        <x:f>IF(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J21" s="117" t="n">
        <x:f>IF(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K21" s="117" t="n">
        <x:f>IF(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L21" s="117" t="n">
        <x:f>IF(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M21" s="117" t="n">
        <x:f>IF(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N21" s="117" t="n">
        <x:f>IF(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O21" s="117" t="n">
        <x:f>IF(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P21" s="117" t="n">
        <x:f>IF(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Q21" s="117" t="n">
        <x:f>IF(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R21" s="117" t="n">
        <x:f>IF(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S21" s="117" t="n">
        <x:f>IF(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T21" s="117" t="n">
        <x:f>IF(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U21" s="117" t="n">
        <x:f>IF(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V21" s="117" t="n">
        <x:f>IF(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W21" s="117" t="n">
        <x:f>IF(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X21" s="117" t="n">
        <x:f>IF(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Y21" s="117" t="n">
        <x:f>IF(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Z21" s="117" t="n">
        <x:f>IF(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A21" s="117" t="n">
        <x:f>IF(A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B21" s="117" t="n">
        <x:f>IF(A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C21" s="117" t="n">
        <x:f>IF(A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D21" s="117" t="n">
        <x:f>IF(A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E21" s="117" t="n">
        <x:f>IF(A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F21" s="117" t="n">
        <x:f>IF(A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G21" s="117" t="n">
        <x:f>IF(A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H21" s="117" t="n">
        <x:f>IF(A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I21" s="117" t="n">
        <x:f>IF(A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J21" s="117" t="n">
        <x:f>IF(A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K21" s="117" t="n">
        <x:f>IF(A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L21" s="117" t="n">
        <x:f>IF(A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M21" s="117" t="n">
        <x:f>IF(A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N21" s="117" t="n">
        <x:f>IF(A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O21" s="117" t="n">
        <x:f>IF(A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P21" s="117" t="n">
        <x:f>IF(A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Q21" s="117" t="n">
        <x:f>IF(A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R21" s="117" t="n">
        <x:f>IF(A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S21" s="117" t="n">
        <x:f>IF(A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T21" s="117" t="n">
        <x:f>IF(A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U21" s="117" t="n">
        <x:f>IF(A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V21" s="117" t="n">
        <x:f>IF(A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W21" s="117" t="n">
        <x:f>IF(A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X21" s="117" t="n">
        <x:f>IF(A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Y21" s="117" t="n">
        <x:f>IF(A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AZ21" s="117" t="n">
        <x:f>IF(A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A21" s="117" t="n">
        <x:f>IF(B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B21" s="117" t="n">
        <x:f>IF(B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C21" s="117" t="n">
        <x:f>IF(B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D21" s="117" t="n">
        <x:f>IF(B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E21" s="117" t="n">
        <x:f>IF(B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F21" s="117" t="n">
        <x:f>IF(B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G21" s="117" t="n">
        <x:f>IF(B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H21" s="117" t="n">
        <x:f>IF(B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I21" s="117" t="n">
        <x:f>IF(B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J21" s="117" t="n">
        <x:f>IF(B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K21" s="117" t="n">
        <x:f>IF(B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L21" s="117" t="n">
        <x:f>IF(B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M21" s="117" t="n">
        <x:f>IF(B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N21" s="117" t="n">
        <x:f>IF(B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O21" s="117" t="n">
        <x:f>IF(B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P21" s="117" t="n">
        <x:f>IF(B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Q21" s="117" t="n">
        <x:f>IF(B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R21" s="117" t="n">
        <x:f>IF(B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S21" s="117" t="n">
        <x:f>IF(B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T21" s="117" t="n">
        <x:f>IF(B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U21" s="117" t="n">
        <x:f>IF(B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V21" s="117" t="n">
        <x:f>IF(B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W21" s="117" t="n">
        <x:f>IF(B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X21" s="117" t="n">
        <x:f>IF(B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Y21" s="117" t="n">
        <x:f>IF(B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BZ21" s="117" t="n">
        <x:f>IF(B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A21" s="117" t="n">
        <x:f>IF(C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B21" s="117" t="n">
        <x:f>IF(C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C21" s="117" t="n">
        <x:f>IF(C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D21" s="117" t="n">
        <x:f>IF(C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E21" s="117" t="n">
        <x:f>IF(C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F21" s="117" t="n">
        <x:f>IF(C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G21" s="117" t="n">
        <x:f>IF(C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H21" s="117" t="n">
        <x:f>IF(C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I21" s="117" t="n">
        <x:f>IF(C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J21" s="117" t="n">
        <x:f>IF(C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K21" s="117" t="n">
        <x:f>IF(C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L21" s="117" t="n">
        <x:f>IF(C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M21" s="117" t="n">
        <x:f>IF(C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N21" s="117" t="n">
        <x:f>IF(C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O21" s="117" t="n">
        <x:f>IF(C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P21" s="117" t="n">
        <x:f>IF(C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Q21" s="117" t="n">
        <x:f>IF(C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R21" s="117" t="n">
        <x:f>IF(C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S21" s="117" t="n">
        <x:f>IF(C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T21" s="117" t="n">
        <x:f>IF(CT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U21" s="117" t="n">
        <x:f>IF(CU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V21" s="117" t="n">
        <x:f>IF(CV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W21" s="117" t="n">
        <x:f>IF(CW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X21" s="117" t="n">
        <x:f>IF(CX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Y21" s="117" t="n">
        <x:f>IF(CY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CZ21" s="117" t="n">
        <x:f>IF(CZ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A21" s="117" t="n">
        <x:f>IF(DA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B21" s="117" t="n">
        <x:f>IF(DB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C21" s="117" t="n">
        <x:f>IF(DC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D21" s="117" t="n">
        <x:f>IF(DD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E21" s="117" t="n">
        <x:f>IF(DE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F21" s="117" t="n">
        <x:f>IF(DF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G21" s="117" t="n">
        <x:f>IF(DG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H21" s="117" t="n">
        <x:f>IF(DH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I21" s="117" t="n">
        <x:f>IF(DI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J21" s="117" t="n">
        <x:f>IF(DJ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K21" s="117" t="n">
        <x:f>IF(DK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L21" s="117" t="n">
        <x:f>IF(DL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M21" s="117" t="n">
        <x:f>IF(DM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N21" s="117" t="n">
        <x:f>IF(DN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O21" s="117" t="n">
        <x:f>IF(DO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P21" s="117" t="n">
        <x:f>IF(DP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Q21" s="117" t="n">
        <x:f>IF(DQ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R21" s="117" t="n">
        <x:f>IF(DR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  <x:c r="DS21" s="117" t="n">
        <x:f>IF(DS$3=$B$8,MAX(0,(SUM($D$10:$DS$10)-SUM('Продажи'!$D$62:$DS$62))*('Вводные'!$B$22/(1+'Вводные'!$B$22))-(SUM($D$20:$DS$20)-'Вводные'!$B$15*'Вводные'!$P$90-'Вводные'!$B$16*'Вводные'!$Q$90)*('Вводные'!$B$22/(1+'Вводные'!$B$22))*IFERROR((SUM($D$10:$DS$10)-SUM('Продажи'!$D$62:$DS$62)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$112)*('Продажи'!D60+'Продажи'!D63+'Продажи'!D66+'Продажи'!D69)/(SUM('Продажи'!$D$60:$DS$60)+SUM('Продажи'!$D$63:$DS$63)+SUM('Продажи'!$D$66:$DS$66)+SUM('Продажи'!$D$69:$DS$69)),0)-IF('ОБЪЕКТЫ'!$B$8=3,IFERROR('ОБЪЕКТЫ'!$B$28*'ОБЪЕКТЫ'!D22/'ОБЪЕКТЫ'!$B$22,0),0)-IF('ОБЪЕКТЫ'!$B$36=3,IFERROR('ОБЪЕКТЫ'!$B$56*'ОБЪЕКТЫ'!D50/'ОБЪЕКТЫ'!$B$50,0),0)-IF('ОБЪЕКТЫ'!$B$64=3,IFERROR('ОБЪЕКТЫ'!$B$84*'ОБЪЕКТЫ'!D78/'ОБЪЕКТЫ'!$B$78,0),0)-D53-D57-D21</x:f>
      </x:c>
      <x:c r="E22" s="117">
        <x:f>E10-IFERROR((SUM($D$20:$DS$20)-'ОБЪЕКТЫ'!$B$112)*('Продажи'!E60+'Продажи'!E63+'Продажи'!E66+'Продажи'!E69)/(SUM('Продажи'!$D$60:$DS$60)+SUM('Продажи'!$D$63:$DS$63)+SUM('Продажи'!$D$66:$DS$66)+SUM('Продажи'!$D$69:$DS$69)),0)-IF('ОБЪЕКТЫ'!$B$8=3,IFERROR('ОБЪЕКТЫ'!$B$28*'ОБЪЕКТЫ'!E22/'ОБЪЕКТЫ'!$B$22,0),0)-IF('ОБЪЕКТЫ'!$B$36=3,IFERROR('ОБЪЕКТЫ'!$B$56*'ОБЪЕКТЫ'!E50/'ОБЪЕКТЫ'!$B$50,0),0)-IF('ОБЪЕКТЫ'!$B$64=3,IFERROR('ОБЪЕКТЫ'!$B$84*'ОБЪЕКТЫ'!E78/'ОБЪЕКТЫ'!$B$78,0),0)-E53-E57-E21</x:f>
      </x:c>
      <x:c r="F22" s="117">
        <x:f>F10-IFERROR((SUM($D$20:$DS$20)-'ОБЪЕКТЫ'!$B$112)*('Продажи'!F60+'Продажи'!F63+'Продажи'!F66+'Продажи'!F69)/(SUM('Продажи'!$D$60:$DS$60)+SUM('Продажи'!$D$63:$DS$63)+SUM('Продажи'!$D$66:$DS$66)+SUM('Продажи'!$D$69:$DS$69)),0)-IF('ОБЪЕКТЫ'!$B$8=3,IFERROR('ОБЪЕКТЫ'!$B$28*'ОБЪЕКТЫ'!F22/'ОБЪЕКТЫ'!$B$22,0),0)-IF('ОБЪЕКТЫ'!$B$36=3,IFERROR('ОБЪЕКТЫ'!$B$56*'ОБЪЕКТЫ'!F50/'ОБЪЕКТЫ'!$B$50,0),0)-IF('ОБЪЕКТЫ'!$B$64=3,IFERROR('ОБЪЕКТЫ'!$B$84*'ОБЪЕКТЫ'!F78/'ОБЪЕКТЫ'!$B$78,0),0)-F53-F57-F21</x:f>
      </x:c>
      <x:c r="G22" s="117">
        <x:f>G10-IFERROR((SUM($D$20:$DS$20)-'ОБЪЕКТЫ'!$B$112)*('Продажи'!G60+'Продажи'!G63+'Продажи'!G66+'Продажи'!G69)/(SUM('Продажи'!$D$60:$DS$60)+SUM('Продажи'!$D$63:$DS$63)+SUM('Продажи'!$D$66:$DS$66)+SUM('Продажи'!$D$69:$DS$69)),0)-IF('ОБЪЕКТЫ'!$B$8=3,IFERROR('ОБЪЕКТЫ'!$B$28*'ОБЪЕКТЫ'!G22/'ОБЪЕКТЫ'!$B$22,0),0)-IF('ОБЪЕКТЫ'!$B$36=3,IFERROR('ОБЪЕКТЫ'!$B$56*'ОБЪЕКТЫ'!G50/'ОБЪЕКТЫ'!$B$50,0),0)-IF('ОБЪЕКТЫ'!$B$64=3,IFERROR('ОБЪЕКТЫ'!$B$84*'ОБЪЕКТЫ'!G78/'ОБЪЕКТЫ'!$B$78,0),0)-G53-G57-G21</x:f>
      </x:c>
      <x:c r="H22" s="117">
        <x:f>H10-IFERROR((SUM($D$20:$DS$20)-'ОБЪЕКТЫ'!$B$112)*('Продажи'!H60+'Продажи'!H63+'Продажи'!H66+'Продажи'!H69)/(SUM('Продажи'!$D$60:$DS$60)+SUM('Продажи'!$D$63:$DS$63)+SUM('Продажи'!$D$66:$DS$66)+SUM('Продажи'!$D$69:$DS$69)),0)-IF('ОБЪЕКТЫ'!$B$8=3,IFERROR('ОБЪЕКТЫ'!$B$28*'ОБЪЕКТЫ'!H22/'ОБЪЕКТЫ'!$B$22,0),0)-IF('ОБЪЕКТЫ'!$B$36=3,IFERROR('ОБЪЕКТЫ'!$B$56*'ОБЪЕКТЫ'!H50/'ОБЪЕКТЫ'!$B$50,0),0)-IF('ОБЪЕКТЫ'!$B$64=3,IFERROR('ОБЪЕКТЫ'!$B$84*'ОБЪЕКТЫ'!H78/'ОБЪЕКТЫ'!$B$78,0),0)-H53-H57-H21</x:f>
      </x:c>
      <x:c r="I22" s="117">
        <x:f>I10-IFERROR((SUM($D$20:$DS$20)-'ОБЪЕКТЫ'!$B$112)*('Продажи'!I60+'Продажи'!I63+'Продажи'!I66+'Продажи'!I69)/(SUM('Продажи'!$D$60:$DS$60)+SUM('Продажи'!$D$63:$DS$63)+SUM('Продажи'!$D$66:$DS$66)+SUM('Продажи'!$D$69:$DS$69)),0)-IF('ОБЪЕКТЫ'!$B$8=3,IFERROR('ОБЪЕКТЫ'!$B$28*'ОБЪЕКТЫ'!I22/'ОБЪЕКТЫ'!$B$22,0),0)-IF('ОБЪЕКТЫ'!$B$36=3,IFERROR('ОБЪЕКТЫ'!$B$56*'ОБЪЕКТЫ'!I50/'ОБЪЕКТЫ'!$B$50,0),0)-IF('ОБЪЕКТЫ'!$B$64=3,IFERROR('ОБЪЕКТЫ'!$B$84*'ОБЪЕКТЫ'!I78/'ОБЪЕКТЫ'!$B$78,0),0)-I53-I57-I21</x:f>
      </x:c>
      <x:c r="J22" s="117">
        <x:f>J10-IFERROR((SUM($D$20:$DS$20)-'ОБЪЕКТЫ'!$B$112)*('Продажи'!J60+'Продажи'!J63+'Продажи'!J66+'Продажи'!J69)/(SUM('Продажи'!$D$60:$DS$60)+SUM('Продажи'!$D$63:$DS$63)+SUM('Продажи'!$D$66:$DS$66)+SUM('Продажи'!$D$69:$DS$69)),0)-IF('ОБЪЕКТЫ'!$B$8=3,IFERROR('ОБЪЕКТЫ'!$B$28*'ОБЪЕКТЫ'!J22/'ОБЪЕКТЫ'!$B$22,0),0)-IF('ОБЪЕКТЫ'!$B$36=3,IFERROR('ОБЪЕКТЫ'!$B$56*'ОБЪЕКТЫ'!J50/'ОБЪЕКТЫ'!$B$50,0),0)-IF('ОБЪЕКТЫ'!$B$64=3,IFERROR('ОБЪЕКТЫ'!$B$84*'ОБЪЕКТЫ'!J78/'ОБЪЕКТЫ'!$B$78,0),0)-J53-J57-J21</x:f>
      </x:c>
      <x:c r="K22" s="117">
        <x:f>K10-IFERROR((SUM($D$20:$DS$20)-'ОБЪЕКТЫ'!$B$112)*('Продажи'!K60+'Продажи'!K63+'Продажи'!K66+'Продажи'!K69)/(SUM('Продажи'!$D$60:$DS$60)+SUM('Продажи'!$D$63:$DS$63)+SUM('Продажи'!$D$66:$DS$66)+SUM('Продажи'!$D$69:$DS$69)),0)-IF('ОБЪЕКТЫ'!$B$8=3,IFERROR('ОБЪЕКТЫ'!$B$28*'ОБЪЕКТЫ'!K22/'ОБЪЕКТЫ'!$B$22,0),0)-IF('ОБЪЕКТЫ'!$B$36=3,IFERROR('ОБЪЕКТЫ'!$B$56*'ОБЪЕКТЫ'!K50/'ОБЪЕКТЫ'!$B$50,0),0)-IF('ОБЪЕКТЫ'!$B$64=3,IFERROR('ОБЪЕКТЫ'!$B$84*'ОБЪЕКТЫ'!K78/'ОБЪЕКТЫ'!$B$78,0),0)-K53-K57-K21</x:f>
      </x:c>
      <x:c r="L22" s="117">
        <x:f>L10-IFERROR((SUM($D$20:$DS$20)-'ОБЪЕКТЫ'!$B$112)*('Продажи'!L60+'Продажи'!L63+'Продажи'!L66+'Продажи'!L69)/(SUM('Продажи'!$D$60:$DS$60)+SUM('Продажи'!$D$63:$DS$63)+SUM('Продажи'!$D$66:$DS$66)+SUM('Продажи'!$D$69:$DS$69)),0)-IF('ОБЪЕКТЫ'!$B$8=3,IFERROR('ОБЪЕКТЫ'!$B$28*'ОБЪЕКТЫ'!L22/'ОБЪЕКТЫ'!$B$22,0),0)-IF('ОБЪЕКТЫ'!$B$36=3,IFERROR('ОБЪЕКТЫ'!$B$56*'ОБЪЕКТЫ'!L50/'ОБЪЕКТЫ'!$B$50,0),0)-IF('ОБЪЕКТЫ'!$B$64=3,IFERROR('ОБЪЕКТЫ'!$B$84*'ОБЪЕКТЫ'!L78/'ОБЪЕКТЫ'!$B$78,0),0)-L53-L57-L21</x:f>
      </x:c>
      <x:c r="M22" s="117">
        <x:f>M10-IFERROR((SUM($D$20:$DS$20)-'ОБЪЕКТЫ'!$B$112)*('Продажи'!M60+'Продажи'!M63+'Продажи'!M66+'Продажи'!M69)/(SUM('Продажи'!$D$60:$DS$60)+SUM('Продажи'!$D$63:$DS$63)+SUM('Продажи'!$D$66:$DS$66)+SUM('Продажи'!$D$69:$DS$69)),0)-IF('ОБЪЕКТЫ'!$B$8=3,IFERROR('ОБЪЕКТЫ'!$B$28*'ОБЪЕКТЫ'!M22/'ОБЪЕКТЫ'!$B$22,0),0)-IF('ОБЪЕКТЫ'!$B$36=3,IFERROR('ОБЪЕКТЫ'!$B$56*'ОБЪЕКТЫ'!M50/'ОБЪЕКТЫ'!$B$50,0),0)-IF('ОБЪЕКТЫ'!$B$64=3,IFERROR('ОБЪЕКТЫ'!$B$84*'ОБЪЕКТЫ'!M78/'ОБЪЕКТЫ'!$B$78,0),0)-M53-M57-M21</x:f>
      </x:c>
      <x:c r="N22" s="117">
        <x:f>N10-IFERROR((SUM($D$20:$DS$20)-'ОБЪЕКТЫ'!$B$112)*('Продажи'!N60+'Продажи'!N63+'Продажи'!N66+'Продажи'!N69)/(SUM('Продажи'!$D$60:$DS$60)+SUM('Продажи'!$D$63:$DS$63)+SUM('Продажи'!$D$66:$DS$66)+SUM('Продажи'!$D$69:$DS$69)),0)-IF('ОБЪЕКТЫ'!$B$8=3,IFERROR('ОБЪЕКТЫ'!$B$28*'ОБЪЕКТЫ'!N22/'ОБЪЕКТЫ'!$B$22,0),0)-IF('ОБЪЕКТЫ'!$B$36=3,IFERROR('ОБЪЕКТЫ'!$B$56*'ОБЪЕКТЫ'!N50/'ОБЪЕКТЫ'!$B$50,0),0)-IF('ОБЪЕКТЫ'!$B$64=3,IFERROR('ОБЪЕКТЫ'!$B$84*'ОБЪЕКТЫ'!N78/'ОБЪЕКТЫ'!$B$78,0),0)-N53-N57-N21</x:f>
      </x:c>
      <x:c r="O22" s="117">
        <x:f>O10-IFERROR((SUM($D$20:$DS$20)-'ОБЪЕКТЫ'!$B$112)*('Продажи'!O60+'Продажи'!O63+'Продажи'!O66+'Продажи'!O69)/(SUM('Продажи'!$D$60:$DS$60)+SUM('Продажи'!$D$63:$DS$63)+SUM('Продажи'!$D$66:$DS$66)+SUM('Продажи'!$D$69:$DS$69)),0)-IF('ОБЪЕКТЫ'!$B$8=3,IFERROR('ОБЪЕКТЫ'!$B$28*'ОБЪЕКТЫ'!O22/'ОБЪЕКТЫ'!$B$22,0),0)-IF('ОБЪЕКТЫ'!$B$36=3,IFERROR('ОБЪЕКТЫ'!$B$56*'ОБЪЕКТЫ'!O50/'ОБЪЕКТЫ'!$B$50,0),0)-IF('ОБЪЕКТЫ'!$B$64=3,IFERROR('ОБЪЕКТЫ'!$B$84*'ОБЪЕКТЫ'!O78/'ОБЪЕКТЫ'!$B$78,0),0)-O53-O57-O21</x:f>
      </x:c>
      <x:c r="P22" s="117">
        <x:f>P10-IFERROR((SUM($D$20:$DS$20)-'ОБЪЕКТЫ'!$B$112)*('Продажи'!P60+'Продажи'!P63+'Продажи'!P66+'Продажи'!P69)/(SUM('Продажи'!$D$60:$DS$60)+SUM('Продажи'!$D$63:$DS$63)+SUM('Продажи'!$D$66:$DS$66)+SUM('Продажи'!$D$69:$DS$69)),0)-IF('ОБЪЕКТЫ'!$B$8=3,IFERROR('ОБЪЕКТЫ'!$B$28*'ОБЪЕКТЫ'!P22/'ОБЪЕКТЫ'!$B$22,0),0)-IF('ОБЪЕКТЫ'!$B$36=3,IFERROR('ОБЪЕКТЫ'!$B$56*'ОБЪЕКТЫ'!P50/'ОБЪЕКТЫ'!$B$50,0),0)-IF('ОБЪЕКТЫ'!$B$64=3,IFERROR('ОБЪЕКТЫ'!$B$84*'ОБЪЕКТЫ'!P78/'ОБЪЕКТЫ'!$B$78,0),0)-P53-P57-P21</x:f>
      </x:c>
      <x:c r="Q22" s="117">
        <x:f>Q10-IFERROR((SUM($D$20:$DS$20)-'ОБЪЕКТЫ'!$B$112)*('Продажи'!Q60+'Продажи'!Q63+'Продажи'!Q66+'Продажи'!Q69)/(SUM('Продажи'!$D$60:$DS$60)+SUM('Продажи'!$D$63:$DS$63)+SUM('Продажи'!$D$66:$DS$66)+SUM('Продажи'!$D$69:$DS$69)),0)-IF('ОБЪЕКТЫ'!$B$8=3,IFERROR('ОБЪЕКТЫ'!$B$28*'ОБЪЕКТЫ'!Q22/'ОБЪЕКТЫ'!$B$22,0),0)-IF('ОБЪЕКТЫ'!$B$36=3,IFERROR('ОБЪЕКТЫ'!$B$56*'ОБЪЕКТЫ'!Q50/'ОБЪЕКТЫ'!$B$50,0),0)-IF('ОБЪЕКТЫ'!$B$64=3,IFERROR('ОБЪЕКТЫ'!$B$84*'ОБЪЕКТЫ'!Q78/'ОБЪЕКТЫ'!$B$78,0),0)-Q53-Q57-Q21</x:f>
      </x:c>
      <x:c r="R22" s="117">
        <x:f>R10-IFERROR((SUM($D$20:$DS$20)-'ОБЪЕКТЫ'!$B$112)*('Продажи'!R60+'Продажи'!R63+'Продажи'!R66+'Продажи'!R69)/(SUM('Продажи'!$D$60:$DS$60)+SUM('Продажи'!$D$63:$DS$63)+SUM('Продажи'!$D$66:$DS$66)+SUM('Продажи'!$D$69:$DS$69)),0)-IF('ОБЪЕКТЫ'!$B$8=3,IFERROR('ОБЪЕКТЫ'!$B$28*'ОБЪЕКТЫ'!R22/'ОБЪЕКТЫ'!$B$22,0),0)-IF('ОБЪЕКТЫ'!$B$36=3,IFERROR('ОБЪЕКТЫ'!$B$56*'ОБЪЕКТЫ'!R50/'ОБЪЕКТЫ'!$B$50,0),0)-IF('ОБЪЕКТЫ'!$B$64=3,IFERROR('ОБЪЕКТЫ'!$B$84*'ОБЪЕКТЫ'!R78/'ОБЪЕКТЫ'!$B$78,0),0)-R53-R57-R21</x:f>
      </x:c>
      <x:c r="S22" s="117">
        <x:f>S10-IFERROR((SUM($D$20:$DS$20)-'ОБЪЕКТЫ'!$B$112)*('Продажи'!S60+'Продажи'!S63+'Продажи'!S66+'Продажи'!S69)/(SUM('Продажи'!$D$60:$DS$60)+SUM('Продажи'!$D$63:$DS$63)+SUM('Продажи'!$D$66:$DS$66)+SUM('Продажи'!$D$69:$DS$69)),0)-IF('ОБЪЕКТЫ'!$B$8=3,IFERROR('ОБЪЕКТЫ'!$B$28*'ОБЪЕКТЫ'!S22/'ОБЪЕКТЫ'!$B$22,0),0)-IF('ОБЪЕКТЫ'!$B$36=3,IFERROR('ОБЪЕКТЫ'!$B$56*'ОБЪЕКТЫ'!S50/'ОБЪЕКТЫ'!$B$50,0),0)-IF('ОБЪЕКТЫ'!$B$64=3,IFERROR('ОБЪЕКТЫ'!$B$84*'ОБЪЕКТЫ'!S78/'ОБЪЕКТЫ'!$B$78,0),0)-S53-S57-S21</x:f>
      </x:c>
      <x:c r="T22" s="117">
        <x:f>T10-IFERROR((SUM($D$20:$DS$20)-'ОБЪЕКТЫ'!$B$112)*('Продажи'!T60+'Продажи'!T63+'Продажи'!T66+'Продажи'!T69)/(SUM('Продажи'!$D$60:$DS$60)+SUM('Продажи'!$D$63:$DS$63)+SUM('Продажи'!$D$66:$DS$66)+SUM('Продажи'!$D$69:$DS$69)),0)-IF('ОБЪЕКТЫ'!$B$8=3,IFERROR('ОБЪЕКТЫ'!$B$28*'ОБЪЕКТЫ'!T22/'ОБЪЕКТЫ'!$B$22,0),0)-IF('ОБЪЕКТЫ'!$B$36=3,IFERROR('ОБЪЕКТЫ'!$B$56*'ОБЪЕКТЫ'!T50/'ОБЪЕКТЫ'!$B$50,0),0)-IF('ОБЪЕКТЫ'!$B$64=3,IFERROR('ОБЪЕКТЫ'!$B$84*'ОБЪЕКТЫ'!T78/'ОБЪЕКТЫ'!$B$78,0),0)-T53-T57-T21</x:f>
      </x:c>
      <x:c r="U22" s="117">
        <x:f>U10-IFERROR((SUM($D$20:$DS$20)-'ОБЪЕКТЫ'!$B$112)*('Продажи'!U60+'Продажи'!U63+'Продажи'!U66+'Продажи'!U69)/(SUM('Продажи'!$D$60:$DS$60)+SUM('Продажи'!$D$63:$DS$63)+SUM('Продажи'!$D$66:$DS$66)+SUM('Продажи'!$D$69:$DS$69)),0)-IF('ОБЪЕКТЫ'!$B$8=3,IFERROR('ОБЪЕКТЫ'!$B$28*'ОБЪЕКТЫ'!U22/'ОБЪЕКТЫ'!$B$22,0),0)-IF('ОБЪЕКТЫ'!$B$36=3,IFERROR('ОБЪЕКТЫ'!$B$56*'ОБЪЕКТЫ'!U50/'ОБЪЕКТЫ'!$B$50,0),0)-IF('ОБЪЕКТЫ'!$B$64=3,IFERROR('ОБЪЕКТЫ'!$B$84*'ОБЪЕКТЫ'!U78/'ОБЪЕКТЫ'!$B$78,0),0)-U53-U57-U21</x:f>
      </x:c>
      <x:c r="V22" s="117">
        <x:f>V10-IFERROR((SUM($D$20:$DS$20)-'ОБЪЕКТЫ'!$B$112)*('Продажи'!V60+'Продажи'!V63+'Продажи'!V66+'Продажи'!V69)/(SUM('Продажи'!$D$60:$DS$60)+SUM('Продажи'!$D$63:$DS$63)+SUM('Продажи'!$D$66:$DS$66)+SUM('Продажи'!$D$69:$DS$69)),0)-IF('ОБЪЕКТЫ'!$B$8=3,IFERROR('ОБЪЕКТЫ'!$B$28*'ОБЪЕКТЫ'!V22/'ОБЪЕКТЫ'!$B$22,0),0)-IF('ОБЪЕКТЫ'!$B$36=3,IFERROR('ОБЪЕКТЫ'!$B$56*'ОБЪЕКТЫ'!V50/'ОБЪЕКТЫ'!$B$50,0),0)-IF('ОБЪЕКТЫ'!$B$64=3,IFERROR('ОБЪЕКТЫ'!$B$84*'ОБЪЕКТЫ'!V78/'ОБЪЕКТЫ'!$B$78,0),0)-V53-V57-V21</x:f>
      </x:c>
      <x:c r="W22" s="117">
        <x:f>W10-IFERROR((SUM($D$20:$DS$20)-'ОБЪЕКТЫ'!$B$112)*('Продажи'!W60+'Продажи'!W63+'Продажи'!W66+'Продажи'!W69)/(SUM('Продажи'!$D$60:$DS$60)+SUM('Продажи'!$D$63:$DS$63)+SUM('Продажи'!$D$66:$DS$66)+SUM('Продажи'!$D$69:$DS$69)),0)-IF('ОБЪЕКТЫ'!$B$8=3,IFERROR('ОБЪЕКТЫ'!$B$28*'ОБЪЕКТЫ'!W22/'ОБЪЕКТЫ'!$B$22,0),0)-IF('ОБЪЕКТЫ'!$B$36=3,IFERROR('ОБЪЕКТЫ'!$B$56*'ОБЪЕКТЫ'!W50/'ОБЪЕКТЫ'!$B$50,0),0)-IF('ОБЪЕКТЫ'!$B$64=3,IFERROR('ОБЪЕКТЫ'!$B$84*'ОБЪЕКТЫ'!W78/'ОБЪЕКТЫ'!$B$78,0),0)-W53-W57-W21</x:f>
      </x:c>
      <x:c r="X22" s="117">
        <x:f>X10-IFERROR((SUM($D$20:$DS$20)-'ОБЪЕКТЫ'!$B$112)*('Продажи'!X60+'Продажи'!X63+'Продажи'!X66+'Продажи'!X69)/(SUM('Продажи'!$D$60:$DS$60)+SUM('Продажи'!$D$63:$DS$63)+SUM('Продажи'!$D$66:$DS$66)+SUM('Продажи'!$D$69:$DS$69)),0)-IF('ОБЪЕКТЫ'!$B$8=3,IFERROR('ОБЪЕКТЫ'!$B$28*'ОБЪЕКТЫ'!X22/'ОБЪЕКТЫ'!$B$22,0),0)-IF('ОБЪЕКТЫ'!$B$36=3,IFERROR('ОБЪЕКТЫ'!$B$56*'ОБЪЕКТЫ'!X50/'ОБЪЕКТЫ'!$B$50,0),0)-IF('ОБЪЕКТЫ'!$B$64=3,IFERROR('ОБЪЕКТЫ'!$B$84*'ОБЪЕКТЫ'!X78/'ОБЪЕКТЫ'!$B$78,0),0)-X53-X57-X21</x:f>
      </x:c>
      <x:c r="Y22" s="117">
        <x:f>Y10-IFERROR((SUM($D$20:$DS$20)-'ОБЪЕКТЫ'!$B$112)*('Продажи'!Y60+'Продажи'!Y63+'Продажи'!Y66+'Продажи'!Y69)/(SUM('Продажи'!$D$60:$DS$60)+SUM('Продажи'!$D$63:$DS$63)+SUM('Продажи'!$D$66:$DS$66)+SUM('Продажи'!$D$69:$DS$69)),0)-IF('ОБЪЕКТЫ'!$B$8=3,IFERROR('ОБЪЕКТЫ'!$B$28*'ОБЪЕКТЫ'!Y22/'ОБЪЕКТЫ'!$B$22,0),0)-IF('ОБЪЕКТЫ'!$B$36=3,IFERROR('ОБЪЕКТЫ'!$B$56*'ОБЪЕКТЫ'!Y50/'ОБЪЕКТЫ'!$B$50,0),0)-IF('ОБЪЕКТЫ'!$B$64=3,IFERROR('ОБЪЕКТЫ'!$B$84*'ОБЪЕКТЫ'!Y78/'ОБЪЕКТЫ'!$B$78,0),0)-Y53-Y57-Y21</x:f>
      </x:c>
      <x:c r="Z22" s="117">
        <x:f>Z10-IFERROR((SUM($D$20:$DS$20)-'ОБЪЕКТЫ'!$B$112)*('Продажи'!Z60+'Продажи'!Z63+'Продажи'!Z66+'Продажи'!Z69)/(SUM('Продажи'!$D$60:$DS$60)+SUM('Продажи'!$D$63:$DS$63)+SUM('Продажи'!$D$66:$DS$66)+SUM('Продажи'!$D$69:$DS$69)),0)-IF('ОБЪЕКТЫ'!$B$8=3,IFERROR('ОБЪЕКТЫ'!$B$28*'ОБЪЕКТЫ'!Z22/'ОБЪЕКТЫ'!$B$22,0),0)-IF('ОБЪЕКТЫ'!$B$36=3,IFERROR('ОБЪЕКТЫ'!$B$56*'ОБЪЕКТЫ'!Z50/'ОБЪЕКТЫ'!$B$50,0),0)-IF('ОБЪЕКТЫ'!$B$64=3,IFERROR('ОБЪЕКТЫ'!$B$84*'ОБЪЕКТЫ'!Z78/'ОБЪЕКТЫ'!$B$78,0),0)-Z53-Z57-Z21</x:f>
      </x:c>
      <x:c r="AA22" s="117">
        <x:f>AA10-IFERROR((SUM($D$20:$DS$20)-'ОБЪЕКТЫ'!$B$112)*('Продажи'!AA60+'Продажи'!AA63+'Продажи'!AA66+'Продажи'!AA69)/(SUM('Продажи'!$D$60:$DS$60)+SUM('Продажи'!$D$63:$DS$63)+SUM('Продажи'!$D$66:$DS$66)+SUM('Продажи'!$D$69:$DS$69)),0)-IF('ОБЪЕКТЫ'!$B$8=3,IFERROR('ОБЪЕКТЫ'!$B$28*'ОБЪЕКТЫ'!AA22/'ОБЪЕКТЫ'!$B$22,0),0)-IF('ОБЪЕКТЫ'!$B$36=3,IFERROR('ОБЪЕКТЫ'!$B$56*'ОБЪЕКТЫ'!AA50/'ОБЪЕКТЫ'!$B$50,0),0)-IF('ОБЪЕКТЫ'!$B$64=3,IFERROR('ОБЪЕКТЫ'!$B$84*'ОБЪЕКТЫ'!AA78/'ОБЪЕКТЫ'!$B$78,0),0)-AA53-AA57-AA21</x:f>
      </x:c>
      <x:c r="AB22" s="117">
        <x:f>AB10-IFERROR((SUM($D$20:$DS$20)-'ОБЪЕКТЫ'!$B$112)*('Продажи'!AB60+'Продажи'!AB63+'Продажи'!AB66+'Продажи'!AB69)/(SUM('Продажи'!$D$60:$DS$60)+SUM('Продажи'!$D$63:$DS$63)+SUM('Продажи'!$D$66:$DS$66)+SUM('Продажи'!$D$69:$DS$69)),0)-IF('ОБЪЕКТЫ'!$B$8=3,IFERROR('ОБЪЕКТЫ'!$B$28*'ОБЪЕКТЫ'!AB22/'ОБЪЕКТЫ'!$B$22,0),0)-IF('ОБЪЕКТЫ'!$B$36=3,IFERROR('ОБЪЕКТЫ'!$B$56*'ОБЪЕКТЫ'!AB50/'ОБЪЕКТЫ'!$B$50,0),0)-IF('ОБЪЕКТЫ'!$B$64=3,IFERROR('ОБЪЕКТЫ'!$B$84*'ОБЪЕКТЫ'!AB78/'ОБЪЕКТЫ'!$B$78,0),0)-AB53-AB57-AB21</x:f>
      </x:c>
      <x:c r="AC22" s="117">
        <x:f>AC10-IFERROR((SUM($D$20:$DS$20)-'ОБЪЕКТЫ'!$B$112)*('Продажи'!AC60+'Продажи'!AC63+'Продажи'!AC66+'Продажи'!AC69)/(SUM('Продажи'!$D$60:$DS$60)+SUM('Продажи'!$D$63:$DS$63)+SUM('Продажи'!$D$66:$DS$66)+SUM('Продажи'!$D$69:$DS$69)),0)-IF('ОБЪЕКТЫ'!$B$8=3,IFERROR('ОБЪЕКТЫ'!$B$28*'ОБЪЕКТЫ'!AC22/'ОБЪЕКТЫ'!$B$22,0),0)-IF('ОБЪЕКТЫ'!$B$36=3,IFERROR('ОБЪЕКТЫ'!$B$56*'ОБЪЕКТЫ'!AC50/'ОБЪЕКТЫ'!$B$50,0),0)-IF('ОБЪЕКТЫ'!$B$64=3,IFERROR('ОБЪЕКТЫ'!$B$84*'ОБЪЕКТЫ'!AC78/'ОБЪЕКТЫ'!$B$78,0),0)-AC53-AC57-AC21</x:f>
      </x:c>
      <x:c r="AD22" s="117">
        <x:f>AD10-IFERROR((SUM($D$20:$DS$20)-'ОБЪЕКТЫ'!$B$112)*('Продажи'!AD60+'Продажи'!AD63+'Продажи'!AD66+'Продажи'!AD69)/(SUM('Продажи'!$D$60:$DS$60)+SUM('Продажи'!$D$63:$DS$63)+SUM('Продажи'!$D$66:$DS$66)+SUM('Продажи'!$D$69:$DS$69)),0)-IF('ОБЪЕКТЫ'!$B$8=3,IFERROR('ОБЪЕКТЫ'!$B$28*'ОБЪЕКТЫ'!AD22/'ОБЪЕКТЫ'!$B$22,0),0)-IF('ОБЪЕКТЫ'!$B$36=3,IFERROR('ОБЪЕКТЫ'!$B$56*'ОБЪЕКТЫ'!AD50/'ОБЪЕКТЫ'!$B$50,0),0)-IF('ОБЪЕКТЫ'!$B$64=3,IFERROR('ОБЪЕКТЫ'!$B$84*'ОБЪЕКТЫ'!AD78/'ОБЪЕКТЫ'!$B$78,0),0)-AD53-AD57-AD21</x:f>
      </x:c>
      <x:c r="AE22" s="117">
        <x:f>AE10-IFERROR((SUM($D$20:$DS$20)-'ОБЪЕКТЫ'!$B$112)*('Продажи'!AE60+'Продажи'!AE63+'Продажи'!AE66+'Продажи'!AE69)/(SUM('Продажи'!$D$60:$DS$60)+SUM('Продажи'!$D$63:$DS$63)+SUM('Продажи'!$D$66:$DS$66)+SUM('Продажи'!$D$69:$DS$69)),0)-IF('ОБЪЕКТЫ'!$B$8=3,IFERROR('ОБЪЕКТЫ'!$B$28*'ОБЪЕКТЫ'!AE22/'ОБЪЕКТЫ'!$B$22,0),0)-IF('ОБЪЕКТЫ'!$B$36=3,IFERROR('ОБЪЕКТЫ'!$B$56*'ОБЪЕКТЫ'!AE50/'ОБЪЕКТЫ'!$B$50,0),0)-IF('ОБЪЕКТЫ'!$B$64=3,IFERROR('ОБЪЕКТЫ'!$B$84*'ОБЪЕКТЫ'!AE78/'ОБЪЕКТЫ'!$B$78,0),0)-AE53-AE57-AE21</x:f>
      </x:c>
      <x:c r="AF22" s="117">
        <x:f>AF10-IFERROR((SUM($D$20:$DS$20)-'ОБЪЕКТЫ'!$B$112)*('Продажи'!AF60+'Продажи'!AF63+'Продажи'!AF66+'Продажи'!AF69)/(SUM('Продажи'!$D$60:$DS$60)+SUM('Продажи'!$D$63:$DS$63)+SUM('Продажи'!$D$66:$DS$66)+SUM('Продажи'!$D$69:$DS$69)),0)-IF('ОБЪЕКТЫ'!$B$8=3,IFERROR('ОБЪЕКТЫ'!$B$28*'ОБЪЕКТЫ'!AF22/'ОБЪЕКТЫ'!$B$22,0),0)-IF('ОБЪЕКТЫ'!$B$36=3,IFERROR('ОБЪЕКТЫ'!$B$56*'ОБЪЕКТЫ'!AF50/'ОБЪЕКТЫ'!$B$50,0),0)-IF('ОБЪЕКТЫ'!$B$64=3,IFERROR('ОБЪЕКТЫ'!$B$84*'ОБЪЕКТЫ'!AF78/'ОБЪЕКТЫ'!$B$78,0),0)-AF53-AF57-AF21</x:f>
      </x:c>
      <x:c r="AG22" s="117">
        <x:f>AG10-IFERROR((SUM($D$20:$DS$20)-'ОБЪЕКТЫ'!$B$112)*('Продажи'!AG60+'Продажи'!AG63+'Продажи'!AG66+'Продажи'!AG69)/(SUM('Продажи'!$D$60:$DS$60)+SUM('Продажи'!$D$63:$DS$63)+SUM('Продажи'!$D$66:$DS$66)+SUM('Продажи'!$D$69:$DS$69)),0)-IF('ОБЪЕКТЫ'!$B$8=3,IFERROR('ОБЪЕКТЫ'!$B$28*'ОБЪЕКТЫ'!AG22/'ОБЪЕКТЫ'!$B$22,0),0)-IF('ОБЪЕКТЫ'!$B$36=3,IFERROR('ОБЪЕКТЫ'!$B$56*'ОБЪЕКТЫ'!AG50/'ОБЪЕКТЫ'!$B$50,0),0)-IF('ОБЪЕКТЫ'!$B$64=3,IFERROR('ОБЪЕКТЫ'!$B$84*'ОБЪЕКТЫ'!AG78/'ОБЪЕКТЫ'!$B$78,0),0)-AG53-AG57-AG21</x:f>
      </x:c>
      <x:c r="AH22" s="117">
        <x:f>AH10-IFERROR((SUM($D$20:$DS$20)-'ОБЪЕКТЫ'!$B$112)*('Продажи'!AH60+'Продажи'!AH63+'Продажи'!AH66+'Продажи'!AH69)/(SUM('Продажи'!$D$60:$DS$60)+SUM('Продажи'!$D$63:$DS$63)+SUM('Продажи'!$D$66:$DS$66)+SUM('Продажи'!$D$69:$DS$69)),0)-IF('ОБЪЕКТЫ'!$B$8=3,IFERROR('ОБЪЕКТЫ'!$B$28*'ОБЪЕКТЫ'!AH22/'ОБЪЕКТЫ'!$B$22,0),0)-IF('ОБЪЕКТЫ'!$B$36=3,IFERROR('ОБЪЕКТЫ'!$B$56*'ОБЪЕКТЫ'!AH50/'ОБЪЕКТЫ'!$B$50,0),0)-IF('ОБЪЕКТЫ'!$B$64=3,IFERROR('ОБЪЕКТЫ'!$B$84*'ОБЪЕКТЫ'!AH78/'ОБЪЕКТЫ'!$B$78,0),0)-AH53-AH57-AH21</x:f>
      </x:c>
      <x:c r="AI22" s="117">
        <x:f>AI10-IFERROR((SUM($D$20:$DS$20)-'ОБЪЕКТЫ'!$B$112)*('Продажи'!AI60+'Продажи'!AI63+'Продажи'!AI66+'Продажи'!AI69)/(SUM('Продажи'!$D$60:$DS$60)+SUM('Продажи'!$D$63:$DS$63)+SUM('Продажи'!$D$66:$DS$66)+SUM('Продажи'!$D$69:$DS$69)),0)-IF('ОБЪЕКТЫ'!$B$8=3,IFERROR('ОБЪЕКТЫ'!$B$28*'ОБЪЕКТЫ'!AI22/'ОБЪЕКТЫ'!$B$22,0),0)-IF('ОБЪЕКТЫ'!$B$36=3,IFERROR('ОБЪЕКТЫ'!$B$56*'ОБЪЕКТЫ'!AI50/'ОБЪЕКТЫ'!$B$50,0),0)-IF('ОБЪЕКТЫ'!$B$64=3,IFERROR('ОБЪЕКТЫ'!$B$84*'ОБЪЕКТЫ'!AI78/'ОБЪЕКТЫ'!$B$78,0),0)-AI53-AI57-AI21</x:f>
      </x:c>
      <x:c r="AJ22" s="117">
        <x:f>AJ10-IFERROR((SUM($D$20:$DS$20)-'ОБЪЕКТЫ'!$B$112)*('Продажи'!AJ60+'Продажи'!AJ63+'Продажи'!AJ66+'Продажи'!AJ69)/(SUM('Продажи'!$D$60:$DS$60)+SUM('Продажи'!$D$63:$DS$63)+SUM('Продажи'!$D$66:$DS$66)+SUM('Продажи'!$D$69:$DS$69)),0)-IF('ОБЪЕКТЫ'!$B$8=3,IFERROR('ОБЪЕКТЫ'!$B$28*'ОБЪЕКТЫ'!AJ22/'ОБЪЕКТЫ'!$B$22,0),0)-IF('ОБЪЕКТЫ'!$B$36=3,IFERROR('ОБЪЕКТЫ'!$B$56*'ОБЪЕКТЫ'!AJ50/'ОБЪЕКТЫ'!$B$50,0),0)-IF('ОБЪЕКТЫ'!$B$64=3,IFERROR('ОБЪЕКТЫ'!$B$84*'ОБЪЕКТЫ'!AJ78/'ОБЪЕКТЫ'!$B$78,0),0)-AJ53-AJ57-AJ21</x:f>
      </x:c>
      <x:c r="AK22" s="117">
        <x:f>AK10-IFERROR((SUM($D$20:$DS$20)-'ОБЪЕКТЫ'!$B$112)*('Продажи'!AK60+'Продажи'!AK63+'Продажи'!AK66+'Продажи'!AK69)/(SUM('Продажи'!$D$60:$DS$60)+SUM('Продажи'!$D$63:$DS$63)+SUM('Продажи'!$D$66:$DS$66)+SUM('Продажи'!$D$69:$DS$69)),0)-IF('ОБЪЕКТЫ'!$B$8=3,IFERROR('ОБЪЕКТЫ'!$B$28*'ОБЪЕКТЫ'!AK22/'ОБЪЕКТЫ'!$B$22,0),0)-IF('ОБЪЕКТЫ'!$B$36=3,IFERROR('ОБЪЕКТЫ'!$B$56*'ОБЪЕКТЫ'!AK50/'ОБЪЕКТЫ'!$B$50,0),0)-IF('ОБЪЕКТЫ'!$B$64=3,IFERROR('ОБЪЕКТЫ'!$B$84*'ОБЪЕКТЫ'!AK78/'ОБЪЕКТЫ'!$B$78,0),0)-AK53-AK57-AK21</x:f>
      </x:c>
      <x:c r="AL22" s="117">
        <x:f>AL10-IFERROR((SUM($D$20:$DS$20)-'ОБЪЕКТЫ'!$B$112)*('Продажи'!AL60+'Продажи'!AL63+'Продажи'!AL66+'Продажи'!AL69)/(SUM('Продажи'!$D$60:$DS$60)+SUM('Продажи'!$D$63:$DS$63)+SUM('Продажи'!$D$66:$DS$66)+SUM('Продажи'!$D$69:$DS$69)),0)-IF('ОБЪЕКТЫ'!$B$8=3,IFERROR('ОБЪЕКТЫ'!$B$28*'ОБЪЕКТЫ'!AL22/'ОБЪЕКТЫ'!$B$22,0),0)-IF('ОБЪЕКТЫ'!$B$36=3,IFERROR('ОБЪЕКТЫ'!$B$56*'ОБЪЕКТЫ'!AL50/'ОБЪЕКТЫ'!$B$50,0),0)-IF('ОБЪЕКТЫ'!$B$64=3,IFERROR('ОБЪЕКТЫ'!$B$84*'ОБЪЕКТЫ'!AL78/'ОБЪЕКТЫ'!$B$78,0),0)-AL53-AL57-AL21</x:f>
      </x:c>
      <x:c r="AM22" s="117">
        <x:f>AM10-IFERROR((SUM($D$20:$DS$20)-'ОБЪЕКТЫ'!$B$112)*('Продажи'!AM60+'Продажи'!AM63+'Продажи'!AM66+'Продажи'!AM69)/(SUM('Продажи'!$D$60:$DS$60)+SUM('Продажи'!$D$63:$DS$63)+SUM('Продажи'!$D$66:$DS$66)+SUM('Продажи'!$D$69:$DS$69)),0)-IF('ОБЪЕКТЫ'!$B$8=3,IFERROR('ОБЪЕКТЫ'!$B$28*'ОБЪЕКТЫ'!AM22/'ОБЪЕКТЫ'!$B$22,0),0)-IF('ОБЪЕКТЫ'!$B$36=3,IFERROR('ОБЪЕКТЫ'!$B$56*'ОБЪЕКТЫ'!AM50/'ОБЪЕКТЫ'!$B$50,0),0)-IF('ОБЪЕКТЫ'!$B$64=3,IFERROR('ОБЪЕКТЫ'!$B$84*'ОБЪЕКТЫ'!AM78/'ОБЪЕКТЫ'!$B$78,0),0)-AM53-AM57-AM21</x:f>
      </x:c>
      <x:c r="AN22" s="117">
        <x:f>AN10-IFERROR((SUM($D$20:$DS$20)-'ОБЪЕКТЫ'!$B$112)*('Продажи'!AN60+'Продажи'!AN63+'Продажи'!AN66+'Продажи'!AN69)/(SUM('Продажи'!$D$60:$DS$60)+SUM('Продажи'!$D$63:$DS$63)+SUM('Продажи'!$D$66:$DS$66)+SUM('Продажи'!$D$69:$DS$69)),0)-IF('ОБЪЕКТЫ'!$B$8=3,IFERROR('ОБЪЕКТЫ'!$B$28*'ОБЪЕКТЫ'!AN22/'ОБЪЕКТЫ'!$B$22,0),0)-IF('ОБЪЕКТЫ'!$B$36=3,IFERROR('ОБЪЕКТЫ'!$B$56*'ОБЪЕКТЫ'!AN50/'ОБЪЕКТЫ'!$B$50,0),0)-IF('ОБЪЕКТЫ'!$B$64=3,IFERROR('ОБЪЕКТЫ'!$B$84*'ОБЪЕКТЫ'!AN78/'ОБЪЕКТЫ'!$B$78,0),0)-AN53-AN57-AN21</x:f>
      </x:c>
      <x:c r="AO22" s="117">
        <x:f>AO10-IFERROR((SUM($D$20:$DS$20)-'ОБЪЕКТЫ'!$B$112)*('Продажи'!AO60+'Продажи'!AO63+'Продажи'!AO66+'Продажи'!AO69)/(SUM('Продажи'!$D$60:$DS$60)+SUM('Продажи'!$D$63:$DS$63)+SUM('Продажи'!$D$66:$DS$66)+SUM('Продажи'!$D$69:$DS$69)),0)-IF('ОБЪЕКТЫ'!$B$8=3,IFERROR('ОБЪЕКТЫ'!$B$28*'ОБЪЕКТЫ'!AO22/'ОБЪЕКТЫ'!$B$22,0),0)-IF('ОБЪЕКТЫ'!$B$36=3,IFERROR('ОБЪЕКТЫ'!$B$56*'ОБЪЕКТЫ'!AO50/'ОБЪЕКТЫ'!$B$50,0),0)-IF('ОБЪЕКТЫ'!$B$64=3,IFERROR('ОБЪЕКТЫ'!$B$84*'ОБЪЕКТЫ'!AO78/'ОБЪЕКТЫ'!$B$78,0),0)-AO53-AO57-AO21</x:f>
      </x:c>
      <x:c r="AP22" s="117">
        <x:f>AP10-IFERROR((SUM($D$20:$DS$20)-'ОБЪЕКТЫ'!$B$112)*('Продажи'!AP60+'Продажи'!AP63+'Продажи'!AP66+'Продажи'!AP69)/(SUM('Продажи'!$D$60:$DS$60)+SUM('Продажи'!$D$63:$DS$63)+SUM('Продажи'!$D$66:$DS$66)+SUM('Продажи'!$D$69:$DS$69)),0)-IF('ОБЪЕКТЫ'!$B$8=3,IFERROR('ОБЪЕКТЫ'!$B$28*'ОБЪЕКТЫ'!AP22/'ОБЪЕКТЫ'!$B$22,0),0)-IF('ОБЪЕКТЫ'!$B$36=3,IFERROR('ОБЪЕКТЫ'!$B$56*'ОБЪЕКТЫ'!AP50/'ОБЪЕКТЫ'!$B$50,0),0)-IF('ОБЪЕКТЫ'!$B$64=3,IFERROR('ОБЪЕКТЫ'!$B$84*'ОБЪЕКТЫ'!AP78/'ОБЪЕКТЫ'!$B$78,0),0)-AP53-AP57-AP21</x:f>
      </x:c>
      <x:c r="AQ22" s="117">
        <x:f>AQ10-IFERROR((SUM($D$20:$DS$20)-'ОБЪЕКТЫ'!$B$112)*('Продажи'!AQ60+'Продажи'!AQ63+'Продажи'!AQ66+'Продажи'!AQ69)/(SUM('Продажи'!$D$60:$DS$60)+SUM('Продажи'!$D$63:$DS$63)+SUM('Продажи'!$D$66:$DS$66)+SUM('Продажи'!$D$69:$DS$69)),0)-IF('ОБЪЕКТЫ'!$B$8=3,IFERROR('ОБЪЕКТЫ'!$B$28*'ОБЪЕКТЫ'!AQ22/'ОБЪЕКТЫ'!$B$22,0),0)-IF('ОБЪЕКТЫ'!$B$36=3,IFERROR('ОБЪЕКТЫ'!$B$56*'ОБЪЕКТЫ'!AQ50/'ОБЪЕКТЫ'!$B$50,0),0)-IF('ОБЪЕКТЫ'!$B$64=3,IFERROR('ОБЪЕКТЫ'!$B$84*'ОБЪЕКТЫ'!AQ78/'ОБЪЕКТЫ'!$B$78,0),0)-AQ53-AQ57-AQ21</x:f>
      </x:c>
      <x:c r="AR22" s="117">
        <x:f>AR10-IFERROR((SUM($D$20:$DS$20)-'ОБЪЕКТЫ'!$B$112)*('Продажи'!AR60+'Продажи'!AR63+'Продажи'!AR66+'Продажи'!AR69)/(SUM('Продажи'!$D$60:$DS$60)+SUM('Продажи'!$D$63:$DS$63)+SUM('Продажи'!$D$66:$DS$66)+SUM('Продажи'!$D$69:$DS$69)),0)-IF('ОБЪЕКТЫ'!$B$8=3,IFERROR('ОБЪЕКТЫ'!$B$28*'ОБЪЕКТЫ'!AR22/'ОБЪЕКТЫ'!$B$22,0),0)-IF('ОБЪЕКТЫ'!$B$36=3,IFERROR('ОБЪЕКТЫ'!$B$56*'ОБЪЕКТЫ'!AR50/'ОБЪЕКТЫ'!$B$50,0),0)-IF('ОБЪЕКТЫ'!$B$64=3,IFERROR('ОБЪЕКТЫ'!$B$84*'ОБЪЕКТЫ'!AR78/'ОБЪЕКТЫ'!$B$78,0),0)-AR53-AR57-AR21</x:f>
      </x:c>
      <x:c r="AS22" s="117">
        <x:f>AS10-IFERROR((SUM($D$20:$DS$20)-'ОБЪЕКТЫ'!$B$112)*('Продажи'!AS60+'Продажи'!AS63+'Продажи'!AS66+'Продажи'!AS69)/(SUM('Продажи'!$D$60:$DS$60)+SUM('Продажи'!$D$63:$DS$63)+SUM('Продажи'!$D$66:$DS$66)+SUM('Продажи'!$D$69:$DS$69)),0)-IF('ОБЪЕКТЫ'!$B$8=3,IFERROR('ОБЪЕКТЫ'!$B$28*'ОБЪЕКТЫ'!AS22/'ОБЪЕКТЫ'!$B$22,0),0)-IF('ОБЪЕКТЫ'!$B$36=3,IFERROR('ОБЪЕКТЫ'!$B$56*'ОБЪЕКТЫ'!AS50/'ОБЪЕКТЫ'!$B$50,0),0)-IF('ОБЪЕКТЫ'!$B$64=3,IFERROR('ОБЪЕКТЫ'!$B$84*'ОБЪЕКТЫ'!AS78/'ОБЪЕКТЫ'!$B$78,0),0)-AS53-AS57-AS21</x:f>
      </x:c>
      <x:c r="AT22" s="117">
        <x:f>AT10-IFERROR((SUM($D$20:$DS$20)-'ОБЪЕКТЫ'!$B$112)*('Продажи'!AT60+'Продажи'!AT63+'Продажи'!AT66+'Продажи'!AT69)/(SUM('Продажи'!$D$60:$DS$60)+SUM('Продажи'!$D$63:$DS$63)+SUM('Продажи'!$D$66:$DS$66)+SUM('Продажи'!$D$69:$DS$69)),0)-IF('ОБЪЕКТЫ'!$B$8=3,IFERROR('ОБЪЕКТЫ'!$B$28*'ОБЪЕКТЫ'!AT22/'ОБЪЕКТЫ'!$B$22,0),0)-IF('ОБЪЕКТЫ'!$B$36=3,IFERROR('ОБЪЕКТЫ'!$B$56*'ОБЪЕКТЫ'!AT50/'ОБЪЕКТЫ'!$B$50,0),0)-IF('ОБЪЕКТЫ'!$B$64=3,IFERROR('ОБЪЕКТЫ'!$B$84*'ОБЪЕКТЫ'!AT78/'ОБЪЕКТЫ'!$B$78,0),0)-AT53-AT57-AT21</x:f>
      </x:c>
      <x:c r="AU22" s="117">
        <x:f>AU10-IFERROR((SUM($D$20:$DS$20)-'ОБЪЕКТЫ'!$B$112)*('Продажи'!AU60+'Продажи'!AU63+'Продажи'!AU66+'Продажи'!AU69)/(SUM('Продажи'!$D$60:$DS$60)+SUM('Продажи'!$D$63:$DS$63)+SUM('Продажи'!$D$66:$DS$66)+SUM('Продажи'!$D$69:$DS$69)),0)-IF('ОБЪЕКТЫ'!$B$8=3,IFERROR('ОБЪЕКТЫ'!$B$28*'ОБЪЕКТЫ'!AU22/'ОБЪЕКТЫ'!$B$22,0),0)-IF('ОБЪЕКТЫ'!$B$36=3,IFERROR('ОБЪЕКТЫ'!$B$56*'ОБЪЕКТЫ'!AU50/'ОБЪЕКТЫ'!$B$50,0),0)-IF('ОБЪЕКТЫ'!$B$64=3,IFERROR('ОБЪЕКТЫ'!$B$84*'ОБЪЕКТЫ'!AU78/'ОБЪЕКТЫ'!$B$78,0),0)-AU53-AU57-AU21</x:f>
      </x:c>
      <x:c r="AV22" s="117">
        <x:f>AV10-IFERROR((SUM($D$20:$DS$20)-'ОБЪЕКТЫ'!$B$112)*('Продажи'!AV60+'Продажи'!AV63+'Продажи'!AV66+'Продажи'!AV69)/(SUM('Продажи'!$D$60:$DS$60)+SUM('Продажи'!$D$63:$DS$63)+SUM('Продажи'!$D$66:$DS$66)+SUM('Продажи'!$D$69:$DS$69)),0)-IF('ОБЪЕКТЫ'!$B$8=3,IFERROR('ОБЪЕКТЫ'!$B$28*'ОБЪЕКТЫ'!AV22/'ОБЪЕКТЫ'!$B$22,0),0)-IF('ОБЪЕКТЫ'!$B$36=3,IFERROR('ОБЪЕКТЫ'!$B$56*'ОБЪЕКТЫ'!AV50/'ОБЪЕКТЫ'!$B$50,0),0)-IF('ОБЪЕКТЫ'!$B$64=3,IFERROR('ОБЪЕКТЫ'!$B$84*'ОБЪЕКТЫ'!AV78/'ОБЪЕКТЫ'!$B$78,0),0)-AV53-AV57-AV21</x:f>
      </x:c>
      <x:c r="AW22" s="117">
        <x:f>AW10-IFERROR((SUM($D$20:$DS$20)-'ОБЪЕКТЫ'!$B$112)*('Продажи'!AW60+'Продажи'!AW63+'Продажи'!AW66+'Продажи'!AW69)/(SUM('Продажи'!$D$60:$DS$60)+SUM('Продажи'!$D$63:$DS$63)+SUM('Продажи'!$D$66:$DS$66)+SUM('Продажи'!$D$69:$DS$69)),0)-IF('ОБЪЕКТЫ'!$B$8=3,IFERROR('ОБЪЕКТЫ'!$B$28*'ОБЪЕКТЫ'!AW22/'ОБЪЕКТЫ'!$B$22,0),0)-IF('ОБЪЕКТЫ'!$B$36=3,IFERROR('ОБЪЕКТЫ'!$B$56*'ОБЪЕКТЫ'!AW50/'ОБЪЕКТЫ'!$B$50,0),0)-IF('ОБЪЕКТЫ'!$B$64=3,IFERROR('ОБЪЕКТЫ'!$B$84*'ОБЪЕКТЫ'!AW78/'ОБЪЕКТЫ'!$B$78,0),0)-AW53-AW57-AW21</x:f>
      </x:c>
      <x:c r="AX22" s="117">
        <x:f>AX10-IFERROR((SUM($D$20:$DS$20)-'ОБЪЕКТЫ'!$B$112)*('Продажи'!AX60+'Продажи'!AX63+'Продажи'!AX66+'Продажи'!AX69)/(SUM('Продажи'!$D$60:$DS$60)+SUM('Продажи'!$D$63:$DS$63)+SUM('Продажи'!$D$66:$DS$66)+SUM('Продажи'!$D$69:$DS$69)),0)-IF('ОБЪЕКТЫ'!$B$8=3,IFERROR('ОБЪЕКТЫ'!$B$28*'ОБЪЕКТЫ'!AX22/'ОБЪЕКТЫ'!$B$22,0),0)-IF('ОБЪЕКТЫ'!$B$36=3,IFERROR('ОБЪЕКТЫ'!$B$56*'ОБЪЕКТЫ'!AX50/'ОБЪЕКТЫ'!$B$50,0),0)-IF('ОБЪЕКТЫ'!$B$64=3,IFERROR('ОБЪЕКТЫ'!$B$84*'ОБЪЕКТЫ'!AX78/'ОБЪЕКТЫ'!$B$78,0),0)-AX53-AX57-AX21</x:f>
      </x:c>
      <x:c r="AY22" s="117">
        <x:f>AY10-IFERROR((SUM($D$20:$DS$20)-'ОБЪЕКТЫ'!$B$112)*('Продажи'!AY60+'Продажи'!AY63+'Продажи'!AY66+'Продажи'!AY69)/(SUM('Продажи'!$D$60:$DS$60)+SUM('Продажи'!$D$63:$DS$63)+SUM('Продажи'!$D$66:$DS$66)+SUM('Продажи'!$D$69:$DS$69)),0)-IF('ОБЪЕКТЫ'!$B$8=3,IFERROR('ОБЪЕКТЫ'!$B$28*'ОБЪЕКТЫ'!AY22/'ОБЪЕКТЫ'!$B$22,0),0)-IF('ОБЪЕКТЫ'!$B$36=3,IFERROR('ОБЪЕКТЫ'!$B$56*'ОБЪЕКТЫ'!AY50/'ОБЪЕКТЫ'!$B$50,0),0)-IF('ОБЪЕКТЫ'!$B$64=3,IFERROR('ОБЪЕКТЫ'!$B$84*'ОБЪЕКТЫ'!AY78/'ОБЪЕКТЫ'!$B$78,0),0)-AY53-AY57-AY21</x:f>
      </x:c>
      <x:c r="AZ22" s="117">
        <x:f>AZ10-IFERROR((SUM($D$20:$DS$20)-'ОБЪЕКТЫ'!$B$112)*('Продажи'!AZ60+'Продажи'!AZ63+'Продажи'!AZ66+'Продажи'!AZ69)/(SUM('Продажи'!$D$60:$DS$60)+SUM('Продажи'!$D$63:$DS$63)+SUM('Продажи'!$D$66:$DS$66)+SUM('Продажи'!$D$69:$DS$69)),0)-IF('ОБЪЕКТЫ'!$B$8=3,IFERROR('ОБЪЕКТЫ'!$B$28*'ОБЪЕКТЫ'!AZ22/'ОБЪЕКТЫ'!$B$22,0),0)-IF('ОБЪЕКТЫ'!$B$36=3,IFERROR('ОБЪЕКТЫ'!$B$56*'ОБЪЕКТЫ'!AZ50/'ОБЪЕКТЫ'!$B$50,0),0)-IF('ОБЪЕКТЫ'!$B$64=3,IFERROR('ОБЪЕКТЫ'!$B$84*'ОБЪЕКТЫ'!AZ78/'ОБЪЕКТЫ'!$B$78,0),0)-AZ53-AZ57-AZ21</x:f>
      </x:c>
      <x:c r="BA22" s="117">
        <x:f>BA10-IFERROR((SUM($D$20:$DS$20)-'ОБЪЕКТЫ'!$B$112)*('Продажи'!BA60+'Продажи'!BA63+'Продажи'!BA66+'Продажи'!BA69)/(SUM('Продажи'!$D$60:$DS$60)+SUM('Продажи'!$D$63:$DS$63)+SUM('Продажи'!$D$66:$DS$66)+SUM('Продажи'!$D$69:$DS$69)),0)-IF('ОБЪЕКТЫ'!$B$8=3,IFERROR('ОБЪЕКТЫ'!$B$28*'ОБЪЕКТЫ'!BA22/'ОБЪЕКТЫ'!$B$22,0),0)-IF('ОБЪЕКТЫ'!$B$36=3,IFERROR('ОБЪЕКТЫ'!$B$56*'ОБЪЕКТЫ'!BA50/'ОБЪЕКТЫ'!$B$50,0),0)-IF('ОБЪЕКТЫ'!$B$64=3,IFERROR('ОБЪЕКТЫ'!$B$84*'ОБЪЕКТЫ'!BA78/'ОБЪЕКТЫ'!$B$78,0),0)-BA53-BA57-BA21</x:f>
      </x:c>
      <x:c r="BB22" s="117">
        <x:f>BB10-IFERROR((SUM($D$20:$DS$20)-'ОБЪЕКТЫ'!$B$112)*('Продажи'!BB60+'Продажи'!BB63+'Продажи'!BB66+'Продажи'!BB69)/(SUM('Продажи'!$D$60:$DS$60)+SUM('Продажи'!$D$63:$DS$63)+SUM('Продажи'!$D$66:$DS$66)+SUM('Продажи'!$D$69:$DS$69)),0)-IF('ОБЪЕКТЫ'!$B$8=3,IFERROR('ОБЪЕКТЫ'!$B$28*'ОБЪЕКТЫ'!BB22/'ОБЪЕКТЫ'!$B$22,0),0)-IF('ОБЪЕКТЫ'!$B$36=3,IFERROR('ОБЪЕКТЫ'!$B$56*'ОБЪЕКТЫ'!BB50/'ОБЪЕКТЫ'!$B$50,0),0)-IF('ОБЪЕКТЫ'!$B$64=3,IFERROR('ОБЪЕКТЫ'!$B$84*'ОБЪЕКТЫ'!BB78/'ОБЪЕКТЫ'!$B$78,0),0)-BB53-BB57-BB21</x:f>
      </x:c>
      <x:c r="BC22" s="117">
        <x:f>BC10-IFERROR((SUM($D$20:$DS$20)-'ОБЪЕКТЫ'!$B$112)*('Продажи'!BC60+'Продажи'!BC63+'Продажи'!BC66+'Продажи'!BC69)/(SUM('Продажи'!$D$60:$DS$60)+SUM('Продажи'!$D$63:$DS$63)+SUM('Продажи'!$D$66:$DS$66)+SUM('Продажи'!$D$69:$DS$69)),0)-IF('ОБЪЕКТЫ'!$B$8=3,IFERROR('ОБЪЕКТЫ'!$B$28*'ОБЪЕКТЫ'!BC22/'ОБЪЕКТЫ'!$B$22,0),0)-IF('ОБЪЕКТЫ'!$B$36=3,IFERROR('ОБЪЕКТЫ'!$B$56*'ОБЪЕКТЫ'!BC50/'ОБЪЕКТЫ'!$B$50,0),0)-IF('ОБЪЕКТЫ'!$B$64=3,IFERROR('ОБЪЕКТЫ'!$B$84*'ОБЪЕКТЫ'!BC78/'ОБЪЕКТЫ'!$B$78,0),0)-BC53-BC57-BC21</x:f>
      </x:c>
      <x:c r="BD22" s="117">
        <x:f>BD10-IFERROR((SUM($D$20:$DS$20)-'ОБЪЕКТЫ'!$B$112)*('Продажи'!BD60+'Продажи'!BD63+'Продажи'!BD66+'Продажи'!BD69)/(SUM('Продажи'!$D$60:$DS$60)+SUM('Продажи'!$D$63:$DS$63)+SUM('Продажи'!$D$66:$DS$66)+SUM('Продажи'!$D$69:$DS$69)),0)-IF('ОБЪЕКТЫ'!$B$8=3,IFERROR('ОБЪЕКТЫ'!$B$28*'ОБЪЕКТЫ'!BD22/'ОБЪЕКТЫ'!$B$22,0),0)-IF('ОБЪЕКТЫ'!$B$36=3,IFERROR('ОБЪЕКТЫ'!$B$56*'ОБЪЕКТЫ'!BD50/'ОБЪЕКТЫ'!$B$50,0),0)-IF('ОБЪЕКТЫ'!$B$64=3,IFERROR('ОБЪЕКТЫ'!$B$84*'ОБЪЕКТЫ'!BD78/'ОБЪЕКТЫ'!$B$78,0),0)-BD53-BD57-BD21</x:f>
      </x:c>
      <x:c r="BE22" s="117">
        <x:f>BE10-IFERROR((SUM($D$20:$DS$20)-'ОБЪЕКТЫ'!$B$112)*('Продажи'!BE60+'Продажи'!BE63+'Продажи'!BE66+'Продажи'!BE69)/(SUM('Продажи'!$D$60:$DS$60)+SUM('Продажи'!$D$63:$DS$63)+SUM('Продажи'!$D$66:$DS$66)+SUM('Продажи'!$D$69:$DS$69)),0)-IF('ОБЪЕКТЫ'!$B$8=3,IFERROR('ОБЪЕКТЫ'!$B$28*'ОБЪЕКТЫ'!BE22/'ОБЪЕКТЫ'!$B$22,0),0)-IF('ОБЪЕКТЫ'!$B$36=3,IFERROR('ОБЪЕКТЫ'!$B$56*'ОБЪЕКТЫ'!BE50/'ОБЪЕКТЫ'!$B$50,0),0)-IF('ОБЪЕКТЫ'!$B$64=3,IFERROR('ОБЪЕКТЫ'!$B$84*'ОБЪЕКТЫ'!BE78/'ОБЪЕКТЫ'!$B$78,0),0)-BE53-BE57-BE21</x:f>
      </x:c>
      <x:c r="BF22" s="117">
        <x:f>BF10-IFERROR((SUM($D$20:$DS$20)-'ОБЪЕКТЫ'!$B$112)*('Продажи'!BF60+'Продажи'!BF63+'Продажи'!BF66+'Продажи'!BF69)/(SUM('Продажи'!$D$60:$DS$60)+SUM('Продажи'!$D$63:$DS$63)+SUM('Продажи'!$D$66:$DS$66)+SUM('Продажи'!$D$69:$DS$69)),0)-IF('ОБЪЕКТЫ'!$B$8=3,IFERROR('ОБЪЕКТЫ'!$B$28*'ОБЪЕКТЫ'!BF22/'ОБЪЕКТЫ'!$B$22,0),0)-IF('ОБЪЕКТЫ'!$B$36=3,IFERROR('ОБЪЕКТЫ'!$B$56*'ОБЪЕКТЫ'!BF50/'ОБЪЕКТЫ'!$B$50,0),0)-IF('ОБЪЕКТЫ'!$B$64=3,IFERROR('ОБЪЕКТЫ'!$B$84*'ОБЪЕКТЫ'!BF78/'ОБЪЕКТЫ'!$B$78,0),0)-BF53-BF57-BF21</x:f>
      </x:c>
      <x:c r="BG22" s="117">
        <x:f>BG10-IFERROR((SUM($D$20:$DS$20)-'ОБЪЕКТЫ'!$B$112)*('Продажи'!BG60+'Продажи'!BG63+'Продажи'!BG66+'Продажи'!BG69)/(SUM('Продажи'!$D$60:$DS$60)+SUM('Продажи'!$D$63:$DS$63)+SUM('Продажи'!$D$66:$DS$66)+SUM('Продажи'!$D$69:$DS$69)),0)-IF('ОБЪЕКТЫ'!$B$8=3,IFERROR('ОБЪЕКТЫ'!$B$28*'ОБЪЕКТЫ'!BG22/'ОБЪЕКТЫ'!$B$22,0),0)-IF('ОБЪЕКТЫ'!$B$36=3,IFERROR('ОБЪЕКТЫ'!$B$56*'ОБЪЕКТЫ'!BG50/'ОБЪЕКТЫ'!$B$50,0),0)-IF('ОБЪЕКТЫ'!$B$64=3,IFERROR('ОБЪЕКТЫ'!$B$84*'ОБЪЕКТЫ'!BG78/'ОБЪЕКТЫ'!$B$78,0),0)-BG53-BG57-BG21</x:f>
      </x:c>
      <x:c r="BH22" s="117">
        <x:f>BH10-IFERROR((SUM($D$20:$DS$20)-'ОБЪЕКТЫ'!$B$112)*('Продажи'!BH60+'Продажи'!BH63+'Продажи'!BH66+'Продажи'!BH69)/(SUM('Продажи'!$D$60:$DS$60)+SUM('Продажи'!$D$63:$DS$63)+SUM('Продажи'!$D$66:$DS$66)+SUM('Продажи'!$D$69:$DS$69)),0)-IF('ОБЪЕКТЫ'!$B$8=3,IFERROR('ОБЪЕКТЫ'!$B$28*'ОБЪЕКТЫ'!BH22/'ОБЪЕКТЫ'!$B$22,0),0)-IF('ОБЪЕКТЫ'!$B$36=3,IFERROR('ОБЪЕКТЫ'!$B$56*'ОБЪЕКТЫ'!BH50/'ОБЪЕКТЫ'!$B$50,0),0)-IF('ОБЪЕКТЫ'!$B$64=3,IFERROR('ОБЪЕКТЫ'!$B$84*'ОБЪЕКТЫ'!BH78/'ОБЪЕКТЫ'!$B$78,0),0)-BH53-BH57-BH21</x:f>
      </x:c>
      <x:c r="BI22" s="117">
        <x:f>BI10-IFERROR((SUM($D$20:$DS$20)-'ОБЪЕКТЫ'!$B$112)*('Продажи'!BI60+'Продажи'!BI63+'Продажи'!BI66+'Продажи'!BI69)/(SUM('Продажи'!$D$60:$DS$60)+SUM('Продажи'!$D$63:$DS$63)+SUM('Продажи'!$D$66:$DS$66)+SUM('Продажи'!$D$69:$DS$69)),0)-IF('ОБЪЕКТЫ'!$B$8=3,IFERROR('ОБЪЕКТЫ'!$B$28*'ОБЪЕКТЫ'!BI22/'ОБЪЕКТЫ'!$B$22,0),0)-IF('ОБЪЕКТЫ'!$B$36=3,IFERROR('ОБЪЕКТЫ'!$B$56*'ОБЪЕКТЫ'!BI50/'ОБЪЕКТЫ'!$B$50,0),0)-IF('ОБЪЕКТЫ'!$B$64=3,IFERROR('ОБЪЕКТЫ'!$B$84*'ОБЪЕКТЫ'!BI78/'ОБЪЕКТЫ'!$B$78,0),0)-BI53-BI57-BI21</x:f>
      </x:c>
      <x:c r="BJ22" s="117">
        <x:f>BJ10-IFERROR((SUM($D$20:$DS$20)-'ОБЪЕКТЫ'!$B$112)*('Продажи'!BJ60+'Продажи'!BJ63+'Продажи'!BJ66+'Продажи'!BJ69)/(SUM('Продажи'!$D$60:$DS$60)+SUM('Продажи'!$D$63:$DS$63)+SUM('Продажи'!$D$66:$DS$66)+SUM('Продажи'!$D$69:$DS$69)),0)-IF('ОБЪЕКТЫ'!$B$8=3,IFERROR('ОБЪЕКТЫ'!$B$28*'ОБЪЕКТЫ'!BJ22/'ОБЪЕКТЫ'!$B$22,0),0)-IF('ОБЪЕКТЫ'!$B$36=3,IFERROR('ОБЪЕКТЫ'!$B$56*'ОБЪЕКТЫ'!BJ50/'ОБЪЕКТЫ'!$B$50,0),0)-IF('ОБЪЕКТЫ'!$B$64=3,IFERROR('ОБЪЕКТЫ'!$B$84*'ОБЪЕКТЫ'!BJ78/'ОБЪЕКТЫ'!$B$78,0),0)-BJ53-BJ57-BJ21</x:f>
      </x:c>
      <x:c r="BK22" s="117">
        <x:f>BK10-IFERROR((SUM($D$20:$DS$20)-'ОБЪЕКТЫ'!$B$112)*('Продажи'!BK60+'Продажи'!BK63+'Продажи'!BK66+'Продажи'!BK69)/(SUM('Продажи'!$D$60:$DS$60)+SUM('Продажи'!$D$63:$DS$63)+SUM('Продажи'!$D$66:$DS$66)+SUM('Продажи'!$D$69:$DS$69)),0)-IF('ОБЪЕКТЫ'!$B$8=3,IFERROR('ОБЪЕКТЫ'!$B$28*'ОБЪЕКТЫ'!BK22/'ОБЪЕКТЫ'!$B$22,0),0)-IF('ОБЪЕКТЫ'!$B$36=3,IFERROR('ОБЪЕКТЫ'!$B$56*'ОБЪЕКТЫ'!BK50/'ОБЪЕКТЫ'!$B$50,0),0)-IF('ОБЪЕКТЫ'!$B$64=3,IFERROR('ОБЪЕКТЫ'!$B$84*'ОБЪЕКТЫ'!BK78/'ОБЪЕКТЫ'!$B$78,0),0)-BK53-BK57-BK21</x:f>
      </x:c>
      <x:c r="BL22" s="117">
        <x:f>BL10-IFERROR((SUM($D$20:$DS$20)-'ОБЪЕКТЫ'!$B$112)*('Продажи'!BL60+'Продажи'!BL63+'Продажи'!BL66+'Продажи'!BL69)/(SUM('Продажи'!$D$60:$DS$60)+SUM('Продажи'!$D$63:$DS$63)+SUM('Продажи'!$D$66:$DS$66)+SUM('Продажи'!$D$69:$DS$69)),0)-IF('ОБЪЕКТЫ'!$B$8=3,IFERROR('ОБЪЕКТЫ'!$B$28*'ОБЪЕКТЫ'!BL22/'ОБЪЕКТЫ'!$B$22,0),0)-IF('ОБЪЕКТЫ'!$B$36=3,IFERROR('ОБЪЕКТЫ'!$B$56*'ОБЪЕКТЫ'!BL50/'ОБЪЕКТЫ'!$B$50,0),0)-IF('ОБЪЕКТЫ'!$B$64=3,IFERROR('ОБЪЕКТЫ'!$B$84*'ОБЪЕКТЫ'!BL78/'ОБЪЕКТЫ'!$B$78,0),0)-BL53-BL57-BL21</x:f>
      </x:c>
      <x:c r="BM22" s="117">
        <x:f>BM10-IFERROR((SUM($D$20:$DS$20)-'ОБЪЕКТЫ'!$B$112)*('Продажи'!BM60+'Продажи'!BM63+'Продажи'!BM66+'Продажи'!BM69)/(SUM('Продажи'!$D$60:$DS$60)+SUM('Продажи'!$D$63:$DS$63)+SUM('Продажи'!$D$66:$DS$66)+SUM('Продажи'!$D$69:$DS$69)),0)-IF('ОБЪЕКТЫ'!$B$8=3,IFERROR('ОБЪЕКТЫ'!$B$28*'ОБЪЕКТЫ'!BM22/'ОБЪЕКТЫ'!$B$22,0),0)-IF('ОБЪЕКТЫ'!$B$36=3,IFERROR('ОБЪЕКТЫ'!$B$56*'ОБЪЕКТЫ'!BM50/'ОБЪЕКТЫ'!$B$50,0),0)-IF('ОБЪЕКТЫ'!$B$64=3,IFERROR('ОБЪЕКТЫ'!$B$84*'ОБЪЕКТЫ'!BM78/'ОБЪЕКТЫ'!$B$78,0),0)-BM53-BM57-BM21</x:f>
      </x:c>
      <x:c r="BN22" s="117">
        <x:f>BN10-IFERROR((SUM($D$20:$DS$20)-'ОБЪЕКТЫ'!$B$112)*('Продажи'!BN60+'Продажи'!BN63+'Продажи'!BN66+'Продажи'!BN69)/(SUM('Продажи'!$D$60:$DS$60)+SUM('Продажи'!$D$63:$DS$63)+SUM('Продажи'!$D$66:$DS$66)+SUM('Продажи'!$D$69:$DS$69)),0)-IF('ОБЪЕКТЫ'!$B$8=3,IFERROR('ОБЪЕКТЫ'!$B$28*'ОБЪЕКТЫ'!BN22/'ОБЪЕКТЫ'!$B$22,0),0)-IF('ОБЪЕКТЫ'!$B$36=3,IFERROR('ОБЪЕКТЫ'!$B$56*'ОБЪЕКТЫ'!BN50/'ОБЪЕКТЫ'!$B$50,0),0)-IF('ОБЪЕКТЫ'!$B$64=3,IFERROR('ОБЪЕКТЫ'!$B$84*'ОБЪЕКТЫ'!BN78/'ОБЪЕКТЫ'!$B$78,0),0)-BN53-BN57-BN21</x:f>
      </x:c>
      <x:c r="BO22" s="117">
        <x:f>BO10-IFERROR((SUM($D$20:$DS$20)-'ОБЪЕКТЫ'!$B$112)*('Продажи'!BO60+'Продажи'!BO63+'Продажи'!BO66+'Продажи'!BO69)/(SUM('Продажи'!$D$60:$DS$60)+SUM('Продажи'!$D$63:$DS$63)+SUM('Продажи'!$D$66:$DS$66)+SUM('Продажи'!$D$69:$DS$69)),0)-IF('ОБЪЕКТЫ'!$B$8=3,IFERROR('ОБЪЕКТЫ'!$B$28*'ОБЪЕКТЫ'!BO22/'ОБЪЕКТЫ'!$B$22,0),0)-IF('ОБЪЕКТЫ'!$B$36=3,IFERROR('ОБЪЕКТЫ'!$B$56*'ОБЪЕКТЫ'!BO50/'ОБЪЕКТЫ'!$B$50,0),0)-IF('ОБЪЕКТЫ'!$B$64=3,IFERROR('ОБЪЕКТЫ'!$B$84*'ОБЪЕКТЫ'!BO78/'ОБЪЕКТЫ'!$B$78,0),0)-BO53-BO57-BO21</x:f>
      </x:c>
      <x:c r="BP22" s="117">
        <x:f>BP10-IFERROR((SUM($D$20:$DS$20)-'ОБЪЕКТЫ'!$B$112)*('Продажи'!BP60+'Продажи'!BP63+'Продажи'!BP66+'Продажи'!BP69)/(SUM('Продажи'!$D$60:$DS$60)+SUM('Продажи'!$D$63:$DS$63)+SUM('Продажи'!$D$66:$DS$66)+SUM('Продажи'!$D$69:$DS$69)),0)-IF('ОБЪЕКТЫ'!$B$8=3,IFERROR('ОБЪЕКТЫ'!$B$28*'ОБЪЕКТЫ'!BP22/'ОБЪЕКТЫ'!$B$22,0),0)-IF('ОБЪЕКТЫ'!$B$36=3,IFERROR('ОБЪЕКТЫ'!$B$56*'ОБЪЕКТЫ'!BP50/'ОБЪЕКТЫ'!$B$50,0),0)-IF('ОБЪЕКТЫ'!$B$64=3,IFERROR('ОБЪЕКТЫ'!$B$84*'ОБЪЕКТЫ'!BP78/'ОБЪЕКТЫ'!$B$78,0),0)-BP53-BP57-BP21</x:f>
      </x:c>
      <x:c r="BQ22" s="117">
        <x:f>BQ10-IFERROR((SUM($D$20:$DS$20)-'ОБЪЕКТЫ'!$B$112)*('Продажи'!BQ60+'Продажи'!BQ63+'Продажи'!BQ66+'Продажи'!BQ69)/(SUM('Продажи'!$D$60:$DS$60)+SUM('Продажи'!$D$63:$DS$63)+SUM('Продажи'!$D$66:$DS$66)+SUM('Продажи'!$D$69:$DS$69)),0)-IF('ОБЪЕКТЫ'!$B$8=3,IFERROR('ОБЪЕКТЫ'!$B$28*'ОБЪЕКТЫ'!BQ22/'ОБЪЕКТЫ'!$B$22,0),0)-IF('ОБЪЕКТЫ'!$B$36=3,IFERROR('ОБЪЕКТЫ'!$B$56*'ОБЪЕКТЫ'!BQ50/'ОБЪЕКТЫ'!$B$50,0),0)-IF('ОБЪЕКТЫ'!$B$64=3,IFERROR('ОБЪЕКТЫ'!$B$84*'ОБЪЕКТЫ'!BQ78/'ОБЪЕКТЫ'!$B$78,0),0)-BQ53-BQ57-BQ21</x:f>
      </x:c>
      <x:c r="BR22" s="117">
        <x:f>BR10-IFERROR((SUM($D$20:$DS$20)-'ОБЪЕКТЫ'!$B$112)*('Продажи'!BR60+'Продажи'!BR63+'Продажи'!BR66+'Продажи'!BR69)/(SUM('Продажи'!$D$60:$DS$60)+SUM('Продажи'!$D$63:$DS$63)+SUM('Продажи'!$D$66:$DS$66)+SUM('Продажи'!$D$69:$DS$69)),0)-IF('ОБЪЕКТЫ'!$B$8=3,IFERROR('ОБЪЕКТЫ'!$B$28*'ОБЪЕКТЫ'!BR22/'ОБЪЕКТЫ'!$B$22,0),0)-IF('ОБЪЕКТЫ'!$B$36=3,IFERROR('ОБЪЕКТЫ'!$B$56*'ОБЪЕКТЫ'!BR50/'ОБЪЕКТЫ'!$B$50,0),0)-IF('ОБЪЕКТЫ'!$B$64=3,IFERROR('ОБЪЕКТЫ'!$B$84*'ОБЪЕКТЫ'!BR78/'ОБЪЕКТЫ'!$B$78,0),0)-BR53-BR57-BR21</x:f>
      </x:c>
      <x:c r="BS22" s="117">
        <x:f>BS10-IFERROR((SUM($D$20:$DS$20)-'ОБЪЕКТЫ'!$B$112)*('Продажи'!BS60+'Продажи'!BS63+'Продажи'!BS66+'Продажи'!BS69)/(SUM('Продажи'!$D$60:$DS$60)+SUM('Продажи'!$D$63:$DS$63)+SUM('Продажи'!$D$66:$DS$66)+SUM('Продажи'!$D$69:$DS$69)),0)-IF('ОБЪЕКТЫ'!$B$8=3,IFERROR('ОБЪЕКТЫ'!$B$28*'ОБЪЕКТЫ'!BS22/'ОБЪЕКТЫ'!$B$22,0),0)-IF('ОБЪЕКТЫ'!$B$36=3,IFERROR('ОБЪЕКТЫ'!$B$56*'ОБЪЕКТЫ'!BS50/'ОБЪЕКТЫ'!$B$50,0),0)-IF('ОБЪЕКТЫ'!$B$64=3,IFERROR('ОБЪЕКТЫ'!$B$84*'ОБЪЕКТЫ'!BS78/'ОБЪЕКТЫ'!$B$78,0),0)-BS53-BS57-BS21</x:f>
      </x:c>
      <x:c r="BT22" s="117">
        <x:f>BT10-IFERROR((SUM($D$20:$DS$20)-'ОБЪЕКТЫ'!$B$112)*('Продажи'!BT60+'Продажи'!BT63+'Продажи'!BT66+'Продажи'!BT69)/(SUM('Продажи'!$D$60:$DS$60)+SUM('Продажи'!$D$63:$DS$63)+SUM('Продажи'!$D$66:$DS$66)+SUM('Продажи'!$D$69:$DS$69)),0)-IF('ОБЪЕКТЫ'!$B$8=3,IFERROR('ОБЪЕКТЫ'!$B$28*'ОБЪЕКТЫ'!BT22/'ОБЪЕКТЫ'!$B$22,0),0)-IF('ОБЪЕКТЫ'!$B$36=3,IFERROR('ОБЪЕКТЫ'!$B$56*'ОБЪЕКТЫ'!BT50/'ОБЪЕКТЫ'!$B$50,0),0)-IF('ОБЪЕКТЫ'!$B$64=3,IFERROR('ОБЪЕКТЫ'!$B$84*'ОБЪЕКТЫ'!BT78/'ОБЪЕКТЫ'!$B$78,0),0)-BT53-BT57-BT21</x:f>
      </x:c>
      <x:c r="BU22" s="117">
        <x:f>BU10-IFERROR((SUM($D$20:$DS$20)-'ОБЪЕКТЫ'!$B$112)*('Продажи'!BU60+'Продажи'!BU63+'Продажи'!BU66+'Продажи'!BU69)/(SUM('Продажи'!$D$60:$DS$60)+SUM('Продажи'!$D$63:$DS$63)+SUM('Продажи'!$D$66:$DS$66)+SUM('Продажи'!$D$69:$DS$69)),0)-IF('ОБЪЕКТЫ'!$B$8=3,IFERROR('ОБЪЕКТЫ'!$B$28*'ОБЪЕКТЫ'!BU22/'ОБЪЕКТЫ'!$B$22,0),0)-IF('ОБЪЕКТЫ'!$B$36=3,IFERROR('ОБЪЕКТЫ'!$B$56*'ОБЪЕКТЫ'!BU50/'ОБЪЕКТЫ'!$B$50,0),0)-IF('ОБЪЕКТЫ'!$B$64=3,IFERROR('ОБЪЕКТЫ'!$B$84*'ОБЪЕКТЫ'!BU78/'ОБЪЕКТЫ'!$B$78,0),0)-BU53-BU57-BU21</x:f>
      </x:c>
      <x:c r="BV22" s="117">
        <x:f>BV10-IFERROR((SUM($D$20:$DS$20)-'ОБЪЕКТЫ'!$B$112)*('Продажи'!BV60+'Продажи'!BV63+'Продажи'!BV66+'Продажи'!BV69)/(SUM('Продажи'!$D$60:$DS$60)+SUM('Продажи'!$D$63:$DS$63)+SUM('Продажи'!$D$66:$DS$66)+SUM('Продажи'!$D$69:$DS$69)),0)-IF('ОБЪЕКТЫ'!$B$8=3,IFERROR('ОБЪЕКТЫ'!$B$28*'ОБЪЕКТЫ'!BV22/'ОБЪЕКТЫ'!$B$22,0),0)-IF('ОБЪЕКТЫ'!$B$36=3,IFERROR('ОБЪЕКТЫ'!$B$56*'ОБЪЕКТЫ'!BV50/'ОБЪЕКТЫ'!$B$50,0),0)-IF('ОБЪЕКТЫ'!$B$64=3,IFERROR('ОБЪЕКТЫ'!$B$84*'ОБЪЕКТЫ'!BV78/'ОБЪЕКТЫ'!$B$78,0),0)-BV53-BV57-BV21</x:f>
      </x:c>
      <x:c r="BW22" s="117">
        <x:f>BW10-IFERROR((SUM($D$20:$DS$20)-'ОБЪЕКТЫ'!$B$112)*('Продажи'!BW60+'Продажи'!BW63+'Продажи'!BW66+'Продажи'!BW69)/(SUM('Продажи'!$D$60:$DS$60)+SUM('Продажи'!$D$63:$DS$63)+SUM('Продажи'!$D$66:$DS$66)+SUM('Продажи'!$D$69:$DS$69)),0)-IF('ОБЪЕКТЫ'!$B$8=3,IFERROR('ОБЪЕКТЫ'!$B$28*'ОБЪЕКТЫ'!BW22/'ОБЪЕКТЫ'!$B$22,0),0)-IF('ОБЪЕКТЫ'!$B$36=3,IFERROR('ОБЪЕКТЫ'!$B$56*'ОБЪЕКТЫ'!BW50/'ОБЪЕКТЫ'!$B$50,0),0)-IF('ОБЪЕКТЫ'!$B$64=3,IFERROR('ОБЪЕКТЫ'!$B$84*'ОБЪЕКТЫ'!BW78/'ОБЪЕКТЫ'!$B$78,0),0)-BW53-BW57-BW21</x:f>
      </x:c>
      <x:c r="BX22" s="117">
        <x:f>BX10-IFERROR((SUM($D$20:$DS$20)-'ОБЪЕКТЫ'!$B$112)*('Продажи'!BX60+'Продажи'!BX63+'Продажи'!BX66+'Продажи'!BX69)/(SUM('Продажи'!$D$60:$DS$60)+SUM('Продажи'!$D$63:$DS$63)+SUM('Продажи'!$D$66:$DS$66)+SUM('Продажи'!$D$69:$DS$69)),0)-IF('ОБЪЕКТЫ'!$B$8=3,IFERROR('ОБЪЕКТЫ'!$B$28*'ОБЪЕКТЫ'!BX22/'ОБЪЕКТЫ'!$B$22,0),0)-IF('ОБЪЕКТЫ'!$B$36=3,IFERROR('ОБЪЕКТЫ'!$B$56*'ОБЪЕКТЫ'!BX50/'ОБЪЕКТЫ'!$B$50,0),0)-IF('ОБЪЕКТЫ'!$B$64=3,IFERROR('ОБЪЕКТЫ'!$B$84*'ОБЪЕКТЫ'!BX78/'ОБЪЕКТЫ'!$B$78,0),0)-BX53-BX57-BX21</x:f>
      </x:c>
      <x:c r="BY22" s="117">
        <x:f>BY10-IFERROR((SUM($D$20:$DS$20)-'ОБЪЕКТЫ'!$B$112)*('Продажи'!BY60+'Продажи'!BY63+'Продажи'!BY66+'Продажи'!BY69)/(SUM('Продажи'!$D$60:$DS$60)+SUM('Продажи'!$D$63:$DS$63)+SUM('Продажи'!$D$66:$DS$66)+SUM('Продажи'!$D$69:$DS$69)),0)-IF('ОБЪЕКТЫ'!$B$8=3,IFERROR('ОБЪЕКТЫ'!$B$28*'ОБЪЕКТЫ'!BY22/'ОБЪЕКТЫ'!$B$22,0),0)-IF('ОБЪЕКТЫ'!$B$36=3,IFERROR('ОБЪЕКТЫ'!$B$56*'ОБЪЕКТЫ'!BY50/'ОБЪЕКТЫ'!$B$50,0),0)-IF('ОБЪЕКТЫ'!$B$64=3,IFERROR('ОБЪЕКТЫ'!$B$84*'ОБЪЕКТЫ'!BY78/'ОБЪЕКТЫ'!$B$78,0),0)-BY53-BY57-BY21</x:f>
      </x:c>
      <x:c r="BZ22" s="117">
        <x:f>BZ10-IFERROR((SUM($D$20:$DS$20)-'ОБЪЕКТЫ'!$B$112)*('Продажи'!BZ60+'Продажи'!BZ63+'Продажи'!BZ66+'Продажи'!BZ69)/(SUM('Продажи'!$D$60:$DS$60)+SUM('Продажи'!$D$63:$DS$63)+SUM('Продажи'!$D$66:$DS$66)+SUM('Продажи'!$D$69:$DS$69)),0)-IF('ОБЪЕКТЫ'!$B$8=3,IFERROR('ОБЪЕКТЫ'!$B$28*'ОБЪЕКТЫ'!BZ22/'ОБЪЕКТЫ'!$B$22,0),0)-IF('ОБЪЕКТЫ'!$B$36=3,IFERROR('ОБЪЕКТЫ'!$B$56*'ОБЪЕКТЫ'!BZ50/'ОБЪЕКТЫ'!$B$50,0),0)-IF('ОБЪЕКТЫ'!$B$64=3,IFERROR('ОБЪЕКТЫ'!$B$84*'ОБЪЕКТЫ'!BZ78/'ОБЪЕКТЫ'!$B$78,0),0)-BZ53-BZ57-BZ21</x:f>
      </x:c>
      <x:c r="CA22" s="117">
        <x:f>CA10-IFERROR((SUM($D$20:$DS$20)-'ОБЪЕКТЫ'!$B$112)*('Продажи'!CA60+'Продажи'!CA63+'Продажи'!CA66+'Продажи'!CA69)/(SUM('Продажи'!$D$60:$DS$60)+SUM('Продажи'!$D$63:$DS$63)+SUM('Продажи'!$D$66:$DS$66)+SUM('Продажи'!$D$69:$DS$69)),0)-IF('ОБЪЕКТЫ'!$B$8=3,IFERROR('ОБЪЕКТЫ'!$B$28*'ОБЪЕКТЫ'!CA22/'ОБЪЕКТЫ'!$B$22,0),0)-IF('ОБЪЕКТЫ'!$B$36=3,IFERROR('ОБЪЕКТЫ'!$B$56*'ОБЪЕКТЫ'!CA50/'ОБЪЕКТЫ'!$B$50,0),0)-IF('ОБЪЕКТЫ'!$B$64=3,IFERROR('ОБЪЕКТЫ'!$B$84*'ОБЪЕКТЫ'!CA78/'ОБЪЕКТЫ'!$B$78,0),0)-CA53-CA57-CA21</x:f>
      </x:c>
      <x:c r="CB22" s="117">
        <x:f>CB10-IFERROR((SUM($D$20:$DS$20)-'ОБЪЕКТЫ'!$B$112)*('Продажи'!CB60+'Продажи'!CB63+'Продажи'!CB66+'Продажи'!CB69)/(SUM('Продажи'!$D$60:$DS$60)+SUM('Продажи'!$D$63:$DS$63)+SUM('Продажи'!$D$66:$DS$66)+SUM('Продажи'!$D$69:$DS$69)),0)-IF('ОБЪЕКТЫ'!$B$8=3,IFERROR('ОБЪЕКТЫ'!$B$28*'ОБЪЕКТЫ'!CB22/'ОБЪЕКТЫ'!$B$22,0),0)-IF('ОБЪЕКТЫ'!$B$36=3,IFERROR('ОБЪЕКТЫ'!$B$56*'ОБЪЕКТЫ'!CB50/'ОБЪЕКТЫ'!$B$50,0),0)-IF('ОБЪЕКТЫ'!$B$64=3,IFERROR('ОБЪЕКТЫ'!$B$84*'ОБЪЕКТЫ'!CB78/'ОБЪЕКТЫ'!$B$78,0),0)-CB53-CB57-CB21</x:f>
      </x:c>
      <x:c r="CC22" s="117">
        <x:f>CC10-IFERROR((SUM($D$20:$DS$20)-'ОБЪЕКТЫ'!$B$112)*('Продажи'!CC60+'Продажи'!CC63+'Продажи'!CC66+'Продажи'!CC69)/(SUM('Продажи'!$D$60:$DS$60)+SUM('Продажи'!$D$63:$DS$63)+SUM('Продажи'!$D$66:$DS$66)+SUM('Продажи'!$D$69:$DS$69)),0)-IF('ОБЪЕКТЫ'!$B$8=3,IFERROR('ОБЪЕКТЫ'!$B$28*'ОБЪЕКТЫ'!CC22/'ОБЪЕКТЫ'!$B$22,0),0)-IF('ОБЪЕКТЫ'!$B$36=3,IFERROR('ОБЪЕКТЫ'!$B$56*'ОБЪЕКТЫ'!CC50/'ОБЪЕКТЫ'!$B$50,0),0)-IF('ОБЪЕКТЫ'!$B$64=3,IFERROR('ОБЪЕКТЫ'!$B$84*'ОБЪЕКТЫ'!CC78/'ОБЪЕКТЫ'!$B$78,0),0)-CC53-CC57-CC21</x:f>
      </x:c>
      <x:c r="CD22" s="117">
        <x:f>CD10-IFERROR((SUM($D$20:$DS$20)-'ОБЪЕКТЫ'!$B$112)*('Продажи'!CD60+'Продажи'!CD63+'Продажи'!CD66+'Продажи'!CD69)/(SUM('Продажи'!$D$60:$DS$60)+SUM('Продажи'!$D$63:$DS$63)+SUM('Продажи'!$D$66:$DS$66)+SUM('Продажи'!$D$69:$DS$69)),0)-IF('ОБЪЕКТЫ'!$B$8=3,IFERROR('ОБЪЕКТЫ'!$B$28*'ОБЪЕКТЫ'!CD22/'ОБЪЕКТЫ'!$B$22,0),0)-IF('ОБЪЕКТЫ'!$B$36=3,IFERROR('ОБЪЕКТЫ'!$B$56*'ОБЪЕКТЫ'!CD50/'ОБЪЕКТЫ'!$B$50,0),0)-IF('ОБЪЕКТЫ'!$B$64=3,IFERROR('ОБЪЕКТЫ'!$B$84*'ОБЪЕКТЫ'!CD78/'ОБЪЕКТЫ'!$B$78,0),0)-CD53-CD57-CD21</x:f>
      </x:c>
      <x:c r="CE22" s="117">
        <x:f>CE10-IFERROR((SUM($D$20:$DS$20)-'ОБЪЕКТЫ'!$B$112)*('Продажи'!CE60+'Продажи'!CE63+'Продажи'!CE66+'Продажи'!CE69)/(SUM('Продажи'!$D$60:$DS$60)+SUM('Продажи'!$D$63:$DS$63)+SUM('Продажи'!$D$66:$DS$66)+SUM('Продажи'!$D$69:$DS$69)),0)-IF('ОБЪЕКТЫ'!$B$8=3,IFERROR('ОБЪЕКТЫ'!$B$28*'ОБЪЕКТЫ'!CE22/'ОБЪЕКТЫ'!$B$22,0),0)-IF('ОБЪЕКТЫ'!$B$36=3,IFERROR('ОБЪЕКТЫ'!$B$56*'ОБЪЕКТЫ'!CE50/'ОБЪЕКТЫ'!$B$50,0),0)-IF('ОБЪЕКТЫ'!$B$64=3,IFERROR('ОБЪЕКТЫ'!$B$84*'ОБЪЕКТЫ'!CE78/'ОБЪЕКТЫ'!$B$78,0),0)-CE53-CE57-CE21</x:f>
      </x:c>
      <x:c r="CF22" s="117">
        <x:f>CF10-IFERROR((SUM($D$20:$DS$20)-'ОБЪЕКТЫ'!$B$112)*('Продажи'!CF60+'Продажи'!CF63+'Продажи'!CF66+'Продажи'!CF69)/(SUM('Продажи'!$D$60:$DS$60)+SUM('Продажи'!$D$63:$DS$63)+SUM('Продажи'!$D$66:$DS$66)+SUM('Продажи'!$D$69:$DS$69)),0)-IF('ОБЪЕКТЫ'!$B$8=3,IFERROR('ОБЪЕКТЫ'!$B$28*'ОБЪЕКТЫ'!CF22/'ОБЪЕКТЫ'!$B$22,0),0)-IF('ОБЪЕКТЫ'!$B$36=3,IFERROR('ОБЪЕКТЫ'!$B$56*'ОБЪЕКТЫ'!CF50/'ОБЪЕКТЫ'!$B$50,0),0)-IF('ОБЪЕКТЫ'!$B$64=3,IFERROR('ОБЪЕКТЫ'!$B$84*'ОБЪЕКТЫ'!CF78/'ОБЪЕКТЫ'!$B$78,0),0)-CF53-CF57-CF21</x:f>
      </x:c>
      <x:c r="CG22" s="117">
        <x:f>CG10-IFERROR((SUM($D$20:$DS$20)-'ОБЪЕКТЫ'!$B$112)*('Продажи'!CG60+'Продажи'!CG63+'Продажи'!CG66+'Продажи'!CG69)/(SUM('Продажи'!$D$60:$DS$60)+SUM('Продажи'!$D$63:$DS$63)+SUM('Продажи'!$D$66:$DS$66)+SUM('Продажи'!$D$69:$DS$69)),0)-IF('ОБЪЕКТЫ'!$B$8=3,IFERROR('ОБЪЕКТЫ'!$B$28*'ОБЪЕКТЫ'!CG22/'ОБЪЕКТЫ'!$B$22,0),0)-IF('ОБЪЕКТЫ'!$B$36=3,IFERROR('ОБЪЕКТЫ'!$B$56*'ОБЪЕКТЫ'!CG50/'ОБЪЕКТЫ'!$B$50,0),0)-IF('ОБЪЕКТЫ'!$B$64=3,IFERROR('ОБЪЕКТЫ'!$B$84*'ОБЪЕКТЫ'!CG78/'ОБЪЕКТЫ'!$B$78,0),0)-CG53-CG57-CG21</x:f>
      </x:c>
      <x:c r="CH22" s="117">
        <x:f>CH10-IFERROR((SUM($D$20:$DS$20)-'ОБЪЕКТЫ'!$B$112)*('Продажи'!CH60+'Продажи'!CH63+'Продажи'!CH66+'Продажи'!CH69)/(SUM('Продажи'!$D$60:$DS$60)+SUM('Продажи'!$D$63:$DS$63)+SUM('Продажи'!$D$66:$DS$66)+SUM('Продажи'!$D$69:$DS$69)),0)-IF('ОБЪЕКТЫ'!$B$8=3,IFERROR('ОБЪЕКТЫ'!$B$28*'ОБЪЕКТЫ'!CH22/'ОБЪЕКТЫ'!$B$22,0),0)-IF('ОБЪЕКТЫ'!$B$36=3,IFERROR('ОБЪЕКТЫ'!$B$56*'ОБЪЕКТЫ'!CH50/'ОБЪЕКТЫ'!$B$50,0),0)-IF('ОБЪЕКТЫ'!$B$64=3,IFERROR('ОБЪЕКТЫ'!$B$84*'ОБЪЕКТЫ'!CH78/'ОБЪЕКТЫ'!$B$78,0),0)-CH53-CH57-CH21</x:f>
      </x:c>
      <x:c r="CI22" s="117">
        <x:f>CI10-IFERROR((SUM($D$20:$DS$20)-'ОБЪЕКТЫ'!$B$112)*('Продажи'!CI60+'Продажи'!CI63+'Продажи'!CI66+'Продажи'!CI69)/(SUM('Продажи'!$D$60:$DS$60)+SUM('Продажи'!$D$63:$DS$63)+SUM('Продажи'!$D$66:$DS$66)+SUM('Продажи'!$D$69:$DS$69)),0)-IF('ОБЪЕКТЫ'!$B$8=3,IFERROR('ОБЪЕКТЫ'!$B$28*'ОБЪЕКТЫ'!CI22/'ОБЪЕКТЫ'!$B$22,0),0)-IF('ОБЪЕКТЫ'!$B$36=3,IFERROR('ОБЪЕКТЫ'!$B$56*'ОБЪЕКТЫ'!CI50/'ОБЪЕКТЫ'!$B$50,0),0)-IF('ОБЪЕКТЫ'!$B$64=3,IFERROR('ОБЪЕКТЫ'!$B$84*'ОБЪЕКТЫ'!CI78/'ОБЪЕКТЫ'!$B$78,0),0)-CI53-CI57-CI21</x:f>
      </x:c>
      <x:c r="CJ22" s="117">
        <x:f>CJ10-IFERROR((SUM($D$20:$DS$20)-'ОБЪЕКТЫ'!$B$112)*('Продажи'!CJ60+'Продажи'!CJ63+'Продажи'!CJ66+'Продажи'!CJ69)/(SUM('Продажи'!$D$60:$DS$60)+SUM('Продажи'!$D$63:$DS$63)+SUM('Продажи'!$D$66:$DS$66)+SUM('Продажи'!$D$69:$DS$69)),0)-IF('ОБЪЕКТЫ'!$B$8=3,IFERROR('ОБЪЕКТЫ'!$B$28*'ОБЪЕКТЫ'!CJ22/'ОБЪЕКТЫ'!$B$22,0),0)-IF('ОБЪЕКТЫ'!$B$36=3,IFERROR('ОБЪЕКТЫ'!$B$56*'ОБЪЕКТЫ'!CJ50/'ОБЪЕКТЫ'!$B$50,0),0)-IF('ОБЪЕКТЫ'!$B$64=3,IFERROR('ОБЪЕКТЫ'!$B$84*'ОБЪЕКТЫ'!CJ78/'ОБЪЕКТЫ'!$B$78,0),0)-CJ53-CJ57-CJ21</x:f>
      </x:c>
      <x:c r="CK22" s="117">
        <x:f>CK10-IFERROR((SUM($D$20:$DS$20)-'ОБЪЕКТЫ'!$B$112)*('Продажи'!CK60+'Продажи'!CK63+'Продажи'!CK66+'Продажи'!CK69)/(SUM('Продажи'!$D$60:$DS$60)+SUM('Продажи'!$D$63:$DS$63)+SUM('Продажи'!$D$66:$DS$66)+SUM('Продажи'!$D$69:$DS$69)),0)-IF('ОБЪЕКТЫ'!$B$8=3,IFERROR('ОБЪЕКТЫ'!$B$28*'ОБЪЕКТЫ'!CK22/'ОБЪЕКТЫ'!$B$22,0),0)-IF('ОБЪЕКТЫ'!$B$36=3,IFERROR('ОБЪЕКТЫ'!$B$56*'ОБЪЕКТЫ'!CK50/'ОБЪЕКТЫ'!$B$50,0),0)-IF('ОБЪЕКТЫ'!$B$64=3,IFERROR('ОБЪЕКТЫ'!$B$84*'ОБЪЕКТЫ'!CK78/'ОБЪЕКТЫ'!$B$78,0),0)-CK53-CK57-CK21</x:f>
      </x:c>
      <x:c r="CL22" s="117">
        <x:f>CL10-IFERROR((SUM($D$20:$DS$20)-'ОБЪЕКТЫ'!$B$112)*('Продажи'!CL60+'Продажи'!CL63+'Продажи'!CL66+'Продажи'!CL69)/(SUM('Продажи'!$D$60:$DS$60)+SUM('Продажи'!$D$63:$DS$63)+SUM('Продажи'!$D$66:$DS$66)+SUM('Продажи'!$D$69:$DS$69)),0)-IF('ОБЪЕКТЫ'!$B$8=3,IFERROR('ОБЪЕКТЫ'!$B$28*'ОБЪЕКТЫ'!CL22/'ОБЪЕКТЫ'!$B$22,0),0)-IF('ОБЪЕКТЫ'!$B$36=3,IFERROR('ОБЪЕКТЫ'!$B$56*'ОБЪЕКТЫ'!CL50/'ОБЪЕКТЫ'!$B$50,0),0)-IF('ОБЪЕКТЫ'!$B$64=3,IFERROR('ОБЪЕКТЫ'!$B$84*'ОБЪЕКТЫ'!CL78/'ОБЪЕКТЫ'!$B$78,0),0)-CL53-CL57-CL21</x:f>
      </x:c>
      <x:c r="CM22" s="117">
        <x:f>CM10-IFERROR((SUM($D$20:$DS$20)-'ОБЪЕКТЫ'!$B$112)*('Продажи'!CM60+'Продажи'!CM63+'Продажи'!CM66+'Продажи'!CM69)/(SUM('Продажи'!$D$60:$DS$60)+SUM('Продажи'!$D$63:$DS$63)+SUM('Продажи'!$D$66:$DS$66)+SUM('Продажи'!$D$69:$DS$69)),0)-IF('ОБЪЕКТЫ'!$B$8=3,IFERROR('ОБЪЕКТЫ'!$B$28*'ОБЪЕКТЫ'!CM22/'ОБЪЕКТЫ'!$B$22,0),0)-IF('ОБЪЕКТЫ'!$B$36=3,IFERROR('ОБЪЕКТЫ'!$B$56*'ОБЪЕКТЫ'!CM50/'ОБЪЕКТЫ'!$B$50,0),0)-IF('ОБЪЕКТЫ'!$B$64=3,IFERROR('ОБЪЕКТЫ'!$B$84*'ОБЪЕКТЫ'!CM78/'ОБЪЕКТЫ'!$B$78,0),0)-CM53-CM57-CM21</x:f>
      </x:c>
      <x:c r="CN22" s="117">
        <x:f>CN10-IFERROR((SUM($D$20:$DS$20)-'ОБЪЕКТЫ'!$B$112)*('Продажи'!CN60+'Продажи'!CN63+'Продажи'!CN66+'Продажи'!CN69)/(SUM('Продажи'!$D$60:$DS$60)+SUM('Продажи'!$D$63:$DS$63)+SUM('Продажи'!$D$66:$DS$66)+SUM('Продажи'!$D$69:$DS$69)),0)-IF('ОБЪЕКТЫ'!$B$8=3,IFERROR('ОБЪЕКТЫ'!$B$28*'ОБЪЕКТЫ'!CN22/'ОБЪЕКТЫ'!$B$22,0),0)-IF('ОБЪЕКТЫ'!$B$36=3,IFERROR('ОБЪЕКТЫ'!$B$56*'ОБЪЕКТЫ'!CN50/'ОБЪЕКТЫ'!$B$50,0),0)-IF('ОБЪЕКТЫ'!$B$64=3,IFERROR('ОБЪЕКТЫ'!$B$84*'ОБЪЕКТЫ'!CN78/'ОБЪЕКТЫ'!$B$78,0),0)-CN53-CN57-CN21</x:f>
      </x:c>
      <x:c r="CO22" s="117">
        <x:f>CO10-IFERROR((SUM($D$20:$DS$20)-'ОБЪЕКТЫ'!$B$112)*('Продажи'!CO60+'Продажи'!CO63+'Продажи'!CO66+'Продажи'!CO69)/(SUM('Продажи'!$D$60:$DS$60)+SUM('Продажи'!$D$63:$DS$63)+SUM('Продажи'!$D$66:$DS$66)+SUM('Продажи'!$D$69:$DS$69)),0)-IF('ОБЪЕКТЫ'!$B$8=3,IFERROR('ОБЪЕКТЫ'!$B$28*'ОБЪЕКТЫ'!CO22/'ОБЪЕКТЫ'!$B$22,0),0)-IF('ОБЪЕКТЫ'!$B$36=3,IFERROR('ОБЪЕКТЫ'!$B$56*'ОБЪЕКТЫ'!CO50/'ОБЪЕКТЫ'!$B$50,0),0)-IF('ОБЪЕКТЫ'!$B$64=3,IFERROR('ОБЪЕКТЫ'!$B$84*'ОБЪЕКТЫ'!CO78/'ОБЪЕКТЫ'!$B$78,0),0)-CO53-CO57-CO21</x:f>
      </x:c>
      <x:c r="CP22" s="117">
        <x:f>CP10-IFERROR((SUM($D$20:$DS$20)-'ОБЪЕКТЫ'!$B$112)*('Продажи'!CP60+'Продажи'!CP63+'Продажи'!CP66+'Продажи'!CP69)/(SUM('Продажи'!$D$60:$DS$60)+SUM('Продажи'!$D$63:$DS$63)+SUM('Продажи'!$D$66:$DS$66)+SUM('Продажи'!$D$69:$DS$69)),0)-IF('ОБЪЕКТЫ'!$B$8=3,IFERROR('ОБЪЕКТЫ'!$B$28*'ОБЪЕКТЫ'!CP22/'ОБЪЕКТЫ'!$B$22,0),0)-IF('ОБЪЕКТЫ'!$B$36=3,IFERROR('ОБЪЕКТЫ'!$B$56*'ОБЪЕКТЫ'!CP50/'ОБЪЕКТЫ'!$B$50,0),0)-IF('ОБЪЕКТЫ'!$B$64=3,IFERROR('ОБЪЕКТЫ'!$B$84*'ОБЪЕКТЫ'!CP78/'ОБЪЕКТЫ'!$B$78,0),0)-CP53-CP57-CP21</x:f>
      </x:c>
      <x:c r="CQ22" s="117">
        <x:f>CQ10-IFERROR((SUM($D$20:$DS$20)-'ОБЪЕКТЫ'!$B$112)*('Продажи'!CQ60+'Продажи'!CQ63+'Продажи'!CQ66+'Продажи'!CQ69)/(SUM('Продажи'!$D$60:$DS$60)+SUM('Продажи'!$D$63:$DS$63)+SUM('Продажи'!$D$66:$DS$66)+SUM('Продажи'!$D$69:$DS$69)),0)-IF('ОБЪЕКТЫ'!$B$8=3,IFERROR('ОБЪЕКТЫ'!$B$28*'ОБЪЕКТЫ'!CQ22/'ОБЪЕКТЫ'!$B$22,0),0)-IF('ОБЪЕКТЫ'!$B$36=3,IFERROR('ОБЪЕКТЫ'!$B$56*'ОБЪЕКТЫ'!CQ50/'ОБЪЕКТЫ'!$B$50,0),0)-IF('ОБЪЕКТЫ'!$B$64=3,IFERROR('ОБЪЕКТЫ'!$B$84*'ОБЪЕКТЫ'!CQ78/'ОБЪЕКТЫ'!$B$78,0),0)-CQ53-CQ57-CQ21</x:f>
      </x:c>
      <x:c r="CR22" s="117">
        <x:f>CR10-IFERROR((SUM($D$20:$DS$20)-'ОБЪЕКТЫ'!$B$112)*('Продажи'!CR60+'Продажи'!CR63+'Продажи'!CR66+'Продажи'!CR69)/(SUM('Продажи'!$D$60:$DS$60)+SUM('Продажи'!$D$63:$DS$63)+SUM('Продажи'!$D$66:$DS$66)+SUM('Продажи'!$D$69:$DS$69)),0)-IF('ОБЪЕКТЫ'!$B$8=3,IFERROR('ОБЪЕКТЫ'!$B$28*'ОБЪЕКТЫ'!CR22/'ОБЪЕКТЫ'!$B$22,0),0)-IF('ОБЪЕКТЫ'!$B$36=3,IFERROR('ОБЪЕКТЫ'!$B$56*'ОБЪЕКТЫ'!CR50/'ОБЪЕКТЫ'!$B$50,0),0)-IF('ОБЪЕКТЫ'!$B$64=3,IFERROR('ОБЪЕКТЫ'!$B$84*'ОБЪЕКТЫ'!CR78/'ОБЪЕКТЫ'!$B$78,0),0)-CR53-CR57-CR21</x:f>
      </x:c>
      <x:c r="CS22" s="117">
        <x:f>CS10-IFERROR((SUM($D$20:$DS$20)-'ОБЪЕКТЫ'!$B$112)*('Продажи'!CS60+'Продажи'!CS63+'Продажи'!CS66+'Продажи'!CS69)/(SUM('Продажи'!$D$60:$DS$60)+SUM('Продажи'!$D$63:$DS$63)+SUM('Продажи'!$D$66:$DS$66)+SUM('Продажи'!$D$69:$DS$69)),0)-IF('ОБЪЕКТЫ'!$B$8=3,IFERROR('ОБЪЕКТЫ'!$B$28*'ОБЪЕКТЫ'!CS22/'ОБЪЕКТЫ'!$B$22,0),0)-IF('ОБЪЕКТЫ'!$B$36=3,IFERROR('ОБЪЕКТЫ'!$B$56*'ОБЪЕКТЫ'!CS50/'ОБЪЕКТЫ'!$B$50,0),0)-IF('ОБЪЕКТЫ'!$B$64=3,IFERROR('ОБЪЕКТЫ'!$B$84*'ОБЪЕКТЫ'!CS78/'ОБЪЕКТЫ'!$B$78,0),0)-CS53-CS57-CS21</x:f>
      </x:c>
      <x:c r="CT22" s="117">
        <x:f>CT10-IFERROR((SUM($D$20:$DS$20)-'ОБЪЕКТЫ'!$B$112)*('Продажи'!CT60+'Продажи'!CT63+'Продажи'!CT66+'Продажи'!CT69)/(SUM('Продажи'!$D$60:$DS$60)+SUM('Продажи'!$D$63:$DS$63)+SUM('Продажи'!$D$66:$DS$66)+SUM('Продажи'!$D$69:$DS$69)),0)-IF('ОБЪЕКТЫ'!$B$8=3,IFERROR('ОБЪЕКТЫ'!$B$28*'ОБЪЕКТЫ'!CT22/'ОБЪЕКТЫ'!$B$22,0),0)-IF('ОБЪЕКТЫ'!$B$36=3,IFERROR('ОБЪЕКТЫ'!$B$56*'ОБЪЕКТЫ'!CT50/'ОБЪЕКТЫ'!$B$50,0),0)-IF('ОБЪЕКТЫ'!$B$64=3,IFERROR('ОБЪЕКТЫ'!$B$84*'ОБЪЕКТЫ'!CT78/'ОБЪЕКТЫ'!$B$78,0),0)-CT53-CT57-CT21</x:f>
      </x:c>
      <x:c r="CU22" s="117">
        <x:f>CU10-IFERROR((SUM($D$20:$DS$20)-'ОБЪЕКТЫ'!$B$112)*('Продажи'!CU60+'Продажи'!CU63+'Продажи'!CU66+'Продажи'!CU69)/(SUM('Продажи'!$D$60:$DS$60)+SUM('Продажи'!$D$63:$DS$63)+SUM('Продажи'!$D$66:$DS$66)+SUM('Продажи'!$D$69:$DS$69)),0)-IF('ОБЪЕКТЫ'!$B$8=3,IFERROR('ОБЪЕКТЫ'!$B$28*'ОБЪЕКТЫ'!CU22/'ОБЪЕКТЫ'!$B$22,0),0)-IF('ОБЪЕКТЫ'!$B$36=3,IFERROR('ОБЪЕКТЫ'!$B$56*'ОБЪЕКТЫ'!CU50/'ОБЪЕКТЫ'!$B$50,0),0)-IF('ОБЪЕКТЫ'!$B$64=3,IFERROR('ОБЪЕКТЫ'!$B$84*'ОБЪЕКТЫ'!CU78/'ОБЪЕКТЫ'!$B$78,0),0)-CU53-CU57-CU21</x:f>
      </x:c>
      <x:c r="CV22" s="117">
        <x:f>CV10-IFERROR((SUM($D$20:$DS$20)-'ОБЪЕКТЫ'!$B$112)*('Продажи'!CV60+'Продажи'!CV63+'Продажи'!CV66+'Продажи'!CV69)/(SUM('Продажи'!$D$60:$DS$60)+SUM('Продажи'!$D$63:$DS$63)+SUM('Продажи'!$D$66:$DS$66)+SUM('Продажи'!$D$69:$DS$69)),0)-IF('ОБЪЕКТЫ'!$B$8=3,IFERROR('ОБЪЕКТЫ'!$B$28*'ОБЪЕКТЫ'!CV22/'ОБЪЕКТЫ'!$B$22,0),0)-IF('ОБЪЕКТЫ'!$B$36=3,IFERROR('ОБЪЕКТЫ'!$B$56*'ОБЪЕКТЫ'!CV50/'ОБЪЕКТЫ'!$B$50,0),0)-IF('ОБЪЕКТЫ'!$B$64=3,IFERROR('ОБЪЕКТЫ'!$B$84*'ОБЪЕКТЫ'!CV78/'ОБЪЕКТЫ'!$B$78,0),0)-CV53-CV57-CV21</x:f>
      </x:c>
      <x:c r="CW22" s="117">
        <x:f>CW10-IFERROR((SUM($D$20:$DS$20)-'ОБЪЕКТЫ'!$B$112)*('Продажи'!CW60+'Продажи'!CW63+'Продажи'!CW66+'Продажи'!CW69)/(SUM('Продажи'!$D$60:$DS$60)+SUM('Продажи'!$D$63:$DS$63)+SUM('Продажи'!$D$66:$DS$66)+SUM('Продажи'!$D$69:$DS$69)),0)-IF('ОБЪЕКТЫ'!$B$8=3,IFERROR('ОБЪЕКТЫ'!$B$28*'ОБЪЕКТЫ'!CW22/'ОБЪЕКТЫ'!$B$22,0),0)-IF('ОБЪЕКТЫ'!$B$36=3,IFERROR('ОБЪЕКТЫ'!$B$56*'ОБЪЕКТЫ'!CW50/'ОБЪЕКТЫ'!$B$50,0),0)-IF('ОБЪЕКТЫ'!$B$64=3,IFERROR('ОБЪЕКТЫ'!$B$84*'ОБЪЕКТЫ'!CW78/'ОБЪЕКТЫ'!$B$78,0),0)-CW53-CW57-CW21</x:f>
      </x:c>
      <x:c r="CX22" s="117">
        <x:f>CX10-IFERROR((SUM($D$20:$DS$20)-'ОБЪЕКТЫ'!$B$112)*('Продажи'!CX60+'Продажи'!CX63+'Продажи'!CX66+'Продажи'!CX69)/(SUM('Продажи'!$D$60:$DS$60)+SUM('Продажи'!$D$63:$DS$63)+SUM('Продажи'!$D$66:$DS$66)+SUM('Продажи'!$D$69:$DS$69)),0)-IF('ОБЪЕКТЫ'!$B$8=3,IFERROR('ОБЪЕКТЫ'!$B$28*'ОБЪЕКТЫ'!CX22/'ОБЪЕКТЫ'!$B$22,0),0)-IF('ОБЪЕКТЫ'!$B$36=3,IFERROR('ОБЪЕКТЫ'!$B$56*'ОБЪЕКТЫ'!CX50/'ОБЪЕКТЫ'!$B$50,0),0)-IF('ОБЪЕКТЫ'!$B$64=3,IFERROR('ОБЪЕКТЫ'!$B$84*'ОБЪЕКТЫ'!CX78/'ОБЪЕКТЫ'!$B$78,0),0)-CX53-CX57-CX21</x:f>
      </x:c>
      <x:c r="CY22" s="117">
        <x:f>CY10-IFERROR((SUM($D$20:$DS$20)-'ОБЪЕКТЫ'!$B$112)*('Продажи'!CY60+'Продажи'!CY63+'Продажи'!CY66+'Продажи'!CY69)/(SUM('Продажи'!$D$60:$DS$60)+SUM('Продажи'!$D$63:$DS$63)+SUM('Продажи'!$D$66:$DS$66)+SUM('Продажи'!$D$69:$DS$69)),0)-IF('ОБЪЕКТЫ'!$B$8=3,IFERROR('ОБЪЕКТЫ'!$B$28*'ОБЪЕКТЫ'!CY22/'ОБЪЕКТЫ'!$B$22,0),0)-IF('ОБЪЕКТЫ'!$B$36=3,IFERROR('ОБЪЕКТЫ'!$B$56*'ОБЪЕКТЫ'!CY50/'ОБЪЕКТЫ'!$B$50,0),0)-IF('ОБЪЕКТЫ'!$B$64=3,IFERROR('ОБЪЕКТЫ'!$B$84*'ОБЪЕКТЫ'!CY78/'ОБЪЕКТЫ'!$B$78,0),0)-CY53-CY57-CY21</x:f>
      </x:c>
      <x:c r="CZ22" s="117">
        <x:f>CZ10-IFERROR((SUM($D$20:$DS$20)-'ОБЪЕКТЫ'!$B$112)*('Продажи'!CZ60+'Продажи'!CZ63+'Продажи'!CZ66+'Продажи'!CZ69)/(SUM('Продажи'!$D$60:$DS$60)+SUM('Продажи'!$D$63:$DS$63)+SUM('Продажи'!$D$66:$DS$66)+SUM('Продажи'!$D$69:$DS$69)),0)-IF('ОБЪЕКТЫ'!$B$8=3,IFERROR('ОБЪЕКТЫ'!$B$28*'ОБЪЕКТЫ'!CZ22/'ОБЪЕКТЫ'!$B$22,0),0)-IF('ОБЪЕКТЫ'!$B$36=3,IFERROR('ОБЪЕКТЫ'!$B$56*'ОБЪЕКТЫ'!CZ50/'ОБЪЕКТЫ'!$B$50,0),0)-IF('ОБЪЕКТЫ'!$B$64=3,IFERROR('ОБЪЕКТЫ'!$B$84*'ОБЪЕКТЫ'!CZ78/'ОБЪЕКТЫ'!$B$78,0),0)-CZ53-CZ57-CZ21</x:f>
      </x:c>
      <x:c r="DA22" s="117">
        <x:f>DA10-IFERROR((SUM($D$20:$DS$20)-'ОБЪЕКТЫ'!$B$112)*('Продажи'!DA60+'Продажи'!DA63+'Продажи'!DA66+'Продажи'!DA69)/(SUM('Продажи'!$D$60:$DS$60)+SUM('Продажи'!$D$63:$DS$63)+SUM('Продажи'!$D$66:$DS$66)+SUM('Продажи'!$D$69:$DS$69)),0)-IF('ОБЪЕКТЫ'!$B$8=3,IFERROR('ОБЪЕКТЫ'!$B$28*'ОБЪЕКТЫ'!DA22/'ОБЪЕКТЫ'!$B$22,0),0)-IF('ОБЪЕКТЫ'!$B$36=3,IFERROR('ОБЪЕКТЫ'!$B$56*'ОБЪЕКТЫ'!DA50/'ОБЪЕКТЫ'!$B$50,0),0)-IF('ОБЪЕКТЫ'!$B$64=3,IFERROR('ОБЪЕКТЫ'!$B$84*'ОБЪЕКТЫ'!DA78/'ОБЪЕКТЫ'!$B$78,0),0)-DA53-DA57-DA21</x:f>
      </x:c>
      <x:c r="DB22" s="117">
        <x:f>DB10-IFERROR((SUM($D$20:$DS$20)-'ОБЪЕКТЫ'!$B$112)*('Продажи'!DB60+'Продажи'!DB63+'Продажи'!DB66+'Продажи'!DB69)/(SUM('Продажи'!$D$60:$DS$60)+SUM('Продажи'!$D$63:$DS$63)+SUM('Продажи'!$D$66:$DS$66)+SUM('Продажи'!$D$69:$DS$69)),0)-IF('ОБЪЕКТЫ'!$B$8=3,IFERROR('ОБЪЕКТЫ'!$B$28*'ОБЪЕКТЫ'!DB22/'ОБЪЕКТЫ'!$B$22,0),0)-IF('ОБЪЕКТЫ'!$B$36=3,IFERROR('ОБЪЕКТЫ'!$B$56*'ОБЪЕКТЫ'!DB50/'ОБЪЕКТЫ'!$B$50,0),0)-IF('ОБЪЕКТЫ'!$B$64=3,IFERROR('ОБЪЕКТЫ'!$B$84*'ОБЪЕКТЫ'!DB78/'ОБЪЕКТЫ'!$B$78,0),0)-DB53-DB57-DB21</x:f>
      </x:c>
      <x:c r="DC22" s="117">
        <x:f>DC10-IFERROR((SUM($D$20:$DS$20)-'ОБЪЕКТЫ'!$B$112)*('Продажи'!DC60+'Продажи'!DC63+'Продажи'!DC66+'Продажи'!DC69)/(SUM('Продажи'!$D$60:$DS$60)+SUM('Продажи'!$D$63:$DS$63)+SUM('Продажи'!$D$66:$DS$66)+SUM('Продажи'!$D$69:$DS$69)),0)-IF('ОБЪЕКТЫ'!$B$8=3,IFERROR('ОБЪЕКТЫ'!$B$28*'ОБЪЕКТЫ'!DC22/'ОБЪЕКТЫ'!$B$22,0),0)-IF('ОБЪЕКТЫ'!$B$36=3,IFERROR('ОБЪЕКТЫ'!$B$56*'ОБЪЕКТЫ'!DC50/'ОБЪЕКТЫ'!$B$50,0),0)-IF('ОБЪЕКТЫ'!$B$64=3,IFERROR('ОБЪЕКТЫ'!$B$84*'ОБЪЕКТЫ'!DC78/'ОБЪЕКТЫ'!$B$78,0),0)-DC53-DC57-DC21</x:f>
      </x:c>
      <x:c r="DD22" s="117">
        <x:f>DD10-IFERROR((SUM($D$20:$DS$20)-'ОБЪЕКТЫ'!$B$112)*('Продажи'!DD60+'Продажи'!DD63+'Продажи'!DD66+'Продажи'!DD69)/(SUM('Продажи'!$D$60:$DS$60)+SUM('Продажи'!$D$63:$DS$63)+SUM('Продажи'!$D$66:$DS$66)+SUM('Продажи'!$D$69:$DS$69)),0)-IF('ОБЪЕКТЫ'!$B$8=3,IFERROR('ОБЪЕКТЫ'!$B$28*'ОБЪЕКТЫ'!DD22/'ОБЪЕКТЫ'!$B$22,0),0)-IF('ОБЪЕКТЫ'!$B$36=3,IFERROR('ОБЪЕКТЫ'!$B$56*'ОБЪЕКТЫ'!DD50/'ОБЪЕКТЫ'!$B$50,0),0)-IF('ОБЪЕКТЫ'!$B$64=3,IFERROR('ОБЪЕКТЫ'!$B$84*'ОБЪЕКТЫ'!DD78/'ОБЪЕКТЫ'!$B$78,0),0)-DD53-DD57-DD21</x:f>
      </x:c>
      <x:c r="DE22" s="117">
        <x:f>DE10-IFERROR((SUM($D$20:$DS$20)-'ОБЪЕКТЫ'!$B$112)*('Продажи'!DE60+'Продажи'!DE63+'Продажи'!DE66+'Продажи'!DE69)/(SUM('Продажи'!$D$60:$DS$60)+SUM('Продажи'!$D$63:$DS$63)+SUM('Продажи'!$D$66:$DS$66)+SUM('Продажи'!$D$69:$DS$69)),0)-IF('ОБЪЕКТЫ'!$B$8=3,IFERROR('ОБЪЕКТЫ'!$B$28*'ОБЪЕКТЫ'!DE22/'ОБЪЕКТЫ'!$B$22,0),0)-IF('ОБЪЕКТЫ'!$B$36=3,IFERROR('ОБЪЕКТЫ'!$B$56*'ОБЪЕКТЫ'!DE50/'ОБЪЕКТЫ'!$B$50,0),0)-IF('ОБЪЕКТЫ'!$B$64=3,IFERROR('ОБЪЕКТЫ'!$B$84*'ОБЪЕКТЫ'!DE78/'ОБЪЕКТЫ'!$B$78,0),0)-DE53-DE57-DE21</x:f>
      </x:c>
      <x:c r="DF22" s="117">
        <x:f>DF10-IFERROR((SUM($D$20:$DS$20)-'ОБЪЕКТЫ'!$B$112)*('Продажи'!DF60+'Продажи'!DF63+'Продажи'!DF66+'Продажи'!DF69)/(SUM('Продажи'!$D$60:$DS$60)+SUM('Продажи'!$D$63:$DS$63)+SUM('Продажи'!$D$66:$DS$66)+SUM('Продажи'!$D$69:$DS$69)),0)-IF('ОБЪЕКТЫ'!$B$8=3,IFERROR('ОБЪЕКТЫ'!$B$28*'ОБЪЕКТЫ'!DF22/'ОБЪЕКТЫ'!$B$22,0),0)-IF('ОБЪЕКТЫ'!$B$36=3,IFERROR('ОБЪЕКТЫ'!$B$56*'ОБЪЕКТЫ'!DF50/'ОБЪЕКТЫ'!$B$50,0),0)-IF('ОБЪЕКТЫ'!$B$64=3,IFERROR('ОБЪЕКТЫ'!$B$84*'ОБЪЕКТЫ'!DF78/'ОБЪЕКТЫ'!$B$78,0),0)-DF53-DF57-DF21</x:f>
      </x:c>
      <x:c r="DG22" s="117">
        <x:f>DG10-IFERROR((SUM($D$20:$DS$20)-'ОБЪЕКТЫ'!$B$112)*('Продажи'!DG60+'Продажи'!DG63+'Продажи'!DG66+'Продажи'!DG69)/(SUM('Продажи'!$D$60:$DS$60)+SUM('Продажи'!$D$63:$DS$63)+SUM('Продажи'!$D$66:$DS$66)+SUM('Продажи'!$D$69:$DS$69)),0)-IF('ОБЪЕКТЫ'!$B$8=3,IFERROR('ОБЪЕКТЫ'!$B$28*'ОБЪЕКТЫ'!DG22/'ОБЪЕКТЫ'!$B$22,0),0)-IF('ОБЪЕКТЫ'!$B$36=3,IFERROR('ОБЪЕКТЫ'!$B$56*'ОБЪЕКТЫ'!DG50/'ОБЪЕКТЫ'!$B$50,0),0)-IF('ОБЪЕКТЫ'!$B$64=3,IFERROR('ОБЪЕКТЫ'!$B$84*'ОБЪЕКТЫ'!DG78/'ОБЪЕКТЫ'!$B$78,0),0)-DG53-DG57-DG21</x:f>
      </x:c>
      <x:c r="DH22" s="117">
        <x:f>DH10-IFERROR((SUM($D$20:$DS$20)-'ОБЪЕКТЫ'!$B$112)*('Продажи'!DH60+'Продажи'!DH63+'Продажи'!DH66+'Продажи'!DH69)/(SUM('Продажи'!$D$60:$DS$60)+SUM('Продажи'!$D$63:$DS$63)+SUM('Продажи'!$D$66:$DS$66)+SUM('Продажи'!$D$69:$DS$69)),0)-IF('ОБЪЕКТЫ'!$B$8=3,IFERROR('ОБЪЕКТЫ'!$B$28*'ОБЪЕКТЫ'!DH22/'ОБЪЕКТЫ'!$B$22,0),0)-IF('ОБЪЕКТЫ'!$B$36=3,IFERROR('ОБЪЕКТЫ'!$B$56*'ОБЪЕКТЫ'!DH50/'ОБЪЕКТЫ'!$B$50,0),0)-IF('ОБЪЕКТЫ'!$B$64=3,IFERROR('ОБЪЕКТЫ'!$B$84*'ОБЪЕКТЫ'!DH78/'ОБЪЕКТЫ'!$B$78,0),0)-DH53-DH57-DH21</x:f>
      </x:c>
      <x:c r="DI22" s="117">
        <x:f>DI10-IFERROR((SUM($D$20:$DS$20)-'ОБЪЕКТЫ'!$B$112)*('Продажи'!DI60+'Продажи'!DI63+'Продажи'!DI66+'Продажи'!DI69)/(SUM('Продажи'!$D$60:$DS$60)+SUM('Продажи'!$D$63:$DS$63)+SUM('Продажи'!$D$66:$DS$66)+SUM('Продажи'!$D$69:$DS$69)),0)-IF('ОБЪЕКТЫ'!$B$8=3,IFERROR('ОБЪЕКТЫ'!$B$28*'ОБЪЕКТЫ'!DI22/'ОБЪЕКТЫ'!$B$22,0),0)-IF('ОБЪЕКТЫ'!$B$36=3,IFERROR('ОБЪЕКТЫ'!$B$56*'ОБЪЕКТЫ'!DI50/'ОБЪЕКТЫ'!$B$50,0),0)-IF('ОБЪЕКТЫ'!$B$64=3,IFERROR('ОБЪЕКТЫ'!$B$84*'ОБЪЕКТЫ'!DI78/'ОБЪЕКТЫ'!$B$78,0),0)-DI53-DI57-DI21</x:f>
      </x:c>
      <x:c r="DJ22" s="117">
        <x:f>DJ10-IFERROR((SUM($D$20:$DS$20)-'ОБЪЕКТЫ'!$B$112)*('Продажи'!DJ60+'Продажи'!DJ63+'Продажи'!DJ66+'Продажи'!DJ69)/(SUM('Продажи'!$D$60:$DS$60)+SUM('Продажи'!$D$63:$DS$63)+SUM('Продажи'!$D$66:$DS$66)+SUM('Продажи'!$D$69:$DS$69)),0)-IF('ОБЪЕКТЫ'!$B$8=3,IFERROR('ОБЪЕКТЫ'!$B$28*'ОБЪЕКТЫ'!DJ22/'ОБЪЕКТЫ'!$B$22,0),0)-IF('ОБЪЕКТЫ'!$B$36=3,IFERROR('ОБЪЕКТЫ'!$B$56*'ОБЪЕКТЫ'!DJ50/'ОБЪЕКТЫ'!$B$50,0),0)-IF('ОБЪЕКТЫ'!$B$64=3,IFERROR('ОБЪЕКТЫ'!$B$84*'ОБЪЕКТЫ'!DJ78/'ОБЪЕКТЫ'!$B$78,0),0)-DJ53-DJ57-DJ21</x:f>
      </x:c>
      <x:c r="DK22" s="117">
        <x:f>DK10-IFERROR((SUM($D$20:$DS$20)-'ОБЪЕКТЫ'!$B$112)*('Продажи'!DK60+'Продажи'!DK63+'Продажи'!DK66+'Продажи'!DK69)/(SUM('Продажи'!$D$60:$DS$60)+SUM('Продажи'!$D$63:$DS$63)+SUM('Продажи'!$D$66:$DS$66)+SUM('Продажи'!$D$69:$DS$69)),0)-IF('ОБЪЕКТЫ'!$B$8=3,IFERROR('ОБЪЕКТЫ'!$B$28*'ОБЪЕКТЫ'!DK22/'ОБЪЕКТЫ'!$B$22,0),0)-IF('ОБЪЕКТЫ'!$B$36=3,IFERROR('ОБЪЕКТЫ'!$B$56*'ОБЪЕКТЫ'!DK50/'ОБЪЕКТЫ'!$B$50,0),0)-IF('ОБЪЕКТЫ'!$B$64=3,IFERROR('ОБЪЕКТЫ'!$B$84*'ОБЪЕКТЫ'!DK78/'ОБЪЕКТЫ'!$B$78,0),0)-DK53-DK57-DK21</x:f>
      </x:c>
      <x:c r="DL22" s="117">
        <x:f>DL10-IFERROR((SUM($D$20:$DS$20)-'ОБЪЕКТЫ'!$B$112)*('Продажи'!DL60+'Продажи'!DL63+'Продажи'!DL66+'Продажи'!DL69)/(SUM('Продажи'!$D$60:$DS$60)+SUM('Продажи'!$D$63:$DS$63)+SUM('Продажи'!$D$66:$DS$66)+SUM('Продажи'!$D$69:$DS$69)),0)-IF('ОБЪЕКТЫ'!$B$8=3,IFERROR('ОБЪЕКТЫ'!$B$28*'ОБЪЕКТЫ'!DL22/'ОБЪЕКТЫ'!$B$22,0),0)-IF('ОБЪЕКТЫ'!$B$36=3,IFERROR('ОБЪЕКТЫ'!$B$56*'ОБЪЕКТЫ'!DL50/'ОБЪЕКТЫ'!$B$50,0),0)-IF('ОБЪЕКТЫ'!$B$64=3,IFERROR('ОБЪЕКТЫ'!$B$84*'ОБЪЕКТЫ'!DL78/'ОБЪЕКТЫ'!$B$78,0),0)-DL53-DL57-DL21</x:f>
      </x:c>
      <x:c r="DM22" s="117">
        <x:f>DM10-IFERROR((SUM($D$20:$DS$20)-'ОБЪЕКТЫ'!$B$112)*('Продажи'!DM60+'Продажи'!DM63+'Продажи'!DM66+'Продажи'!DM69)/(SUM('Продажи'!$D$60:$DS$60)+SUM('Продажи'!$D$63:$DS$63)+SUM('Продажи'!$D$66:$DS$66)+SUM('Продажи'!$D$69:$DS$69)),0)-IF('ОБЪЕКТЫ'!$B$8=3,IFERROR('ОБЪЕКТЫ'!$B$28*'ОБЪЕКТЫ'!DM22/'ОБЪЕКТЫ'!$B$22,0),0)-IF('ОБЪЕКТЫ'!$B$36=3,IFERROR('ОБЪЕКТЫ'!$B$56*'ОБЪЕКТЫ'!DM50/'ОБЪЕКТЫ'!$B$50,0),0)-IF('ОБЪЕКТЫ'!$B$64=3,IFERROR('ОБЪЕКТЫ'!$B$84*'ОБЪЕКТЫ'!DM78/'ОБЪЕКТЫ'!$B$78,0),0)-DM53-DM57-DM21</x:f>
      </x:c>
      <x:c r="DN22" s="117">
        <x:f>DN10-IFERROR((SUM($D$20:$DS$20)-'ОБЪЕКТЫ'!$B$112)*('Продажи'!DN60+'Продажи'!DN63+'Продажи'!DN66+'Продажи'!DN69)/(SUM('Продажи'!$D$60:$DS$60)+SUM('Продажи'!$D$63:$DS$63)+SUM('Продажи'!$D$66:$DS$66)+SUM('Продажи'!$D$69:$DS$69)),0)-IF('ОБЪЕКТЫ'!$B$8=3,IFERROR('ОБЪЕКТЫ'!$B$28*'ОБЪЕКТЫ'!DN22/'ОБЪЕКТЫ'!$B$22,0),0)-IF('ОБЪЕКТЫ'!$B$36=3,IFERROR('ОБЪЕКТЫ'!$B$56*'ОБЪЕКТЫ'!DN50/'ОБЪЕКТЫ'!$B$50,0),0)-IF('ОБЪЕКТЫ'!$B$64=3,IFERROR('ОБЪЕКТЫ'!$B$84*'ОБЪЕКТЫ'!DN78/'ОБЪЕКТЫ'!$B$78,0),0)-DN53-DN57-DN21</x:f>
      </x:c>
      <x:c r="DO22" s="117">
        <x:f>DO10-IFERROR((SUM($D$20:$DS$20)-'ОБЪЕКТЫ'!$B$112)*('Продажи'!DO60+'Продажи'!DO63+'Продажи'!DO66+'Продажи'!DO69)/(SUM('Продажи'!$D$60:$DS$60)+SUM('Продажи'!$D$63:$DS$63)+SUM('Продажи'!$D$66:$DS$66)+SUM('Продажи'!$D$69:$DS$69)),0)-IF('ОБЪЕКТЫ'!$B$8=3,IFERROR('ОБЪЕКТЫ'!$B$28*'ОБЪЕКТЫ'!DO22/'ОБЪЕКТЫ'!$B$22,0),0)-IF('ОБЪЕКТЫ'!$B$36=3,IFERROR('ОБЪЕКТЫ'!$B$56*'ОБЪЕКТЫ'!DO50/'ОБЪЕКТЫ'!$B$50,0),0)-IF('ОБЪЕКТЫ'!$B$64=3,IFERROR('ОБЪЕКТЫ'!$B$84*'ОБЪЕКТЫ'!DO78/'ОБЪЕКТЫ'!$B$78,0),0)-DO53-DO57-DO21</x:f>
      </x:c>
      <x:c r="DP22" s="117">
        <x:f>DP10-IFERROR((SUM($D$20:$DS$20)-'ОБЪЕКТЫ'!$B$112)*('Продажи'!DP60+'Продажи'!DP63+'Продажи'!DP66+'Продажи'!DP69)/(SUM('Продажи'!$D$60:$DS$60)+SUM('Продажи'!$D$63:$DS$63)+SUM('Продажи'!$D$66:$DS$66)+SUM('Продажи'!$D$69:$DS$69)),0)-IF('ОБЪЕКТЫ'!$B$8=3,IFERROR('ОБЪЕКТЫ'!$B$28*'ОБЪЕКТЫ'!DP22/'ОБЪЕКТЫ'!$B$22,0),0)-IF('ОБЪЕКТЫ'!$B$36=3,IFERROR('ОБЪЕКТЫ'!$B$56*'ОБЪЕКТЫ'!DP50/'ОБЪЕКТЫ'!$B$50,0),0)-IF('ОБЪЕКТЫ'!$B$64=3,IFERROR('ОБЪЕКТЫ'!$B$84*'ОБЪЕКТЫ'!DP78/'ОБЪЕКТЫ'!$B$78,0),0)-DP53-DP57-DP21</x:f>
      </x:c>
      <x:c r="DQ22" s="117">
        <x:f>DQ10-IFERROR((SUM($D$20:$DS$20)-'ОБЪЕКТЫ'!$B$112)*('Продажи'!DQ60+'Продажи'!DQ63+'Продажи'!DQ66+'Продажи'!DQ69)/(SUM('Продажи'!$D$60:$DS$60)+SUM('Продажи'!$D$63:$DS$63)+SUM('Продажи'!$D$66:$DS$66)+SUM('Продажи'!$D$69:$DS$69)),0)-IF('ОБЪЕКТЫ'!$B$8=3,IFERROR('ОБЪЕКТЫ'!$B$28*'ОБЪЕКТЫ'!DQ22/'ОБЪЕКТЫ'!$B$22,0),0)-IF('ОБЪЕКТЫ'!$B$36=3,IFERROR('ОБЪЕКТЫ'!$B$56*'ОБЪЕКТЫ'!DQ50/'ОБЪЕКТЫ'!$B$50,0),0)-IF('ОБЪЕКТЫ'!$B$64=3,IFERROR('ОБЪЕКТЫ'!$B$84*'ОБЪЕКТЫ'!DQ78/'ОБЪЕКТЫ'!$B$78,0),0)-DQ53-DQ57-DQ21</x:f>
      </x:c>
      <x:c r="DR22" s="117">
        <x:f>DR10-IFERROR((SUM($D$20:$DS$20)-'ОБЪЕКТЫ'!$B$112)*('Продажи'!DR60+'Продажи'!DR63+'Продажи'!DR66+'Продажи'!DR69)/(SUM('Продажи'!$D$60:$DS$60)+SUM('Продажи'!$D$63:$DS$63)+SUM('Продажи'!$D$66:$DS$66)+SUM('Продажи'!$D$69:$DS$69)),0)-IF('ОБЪЕКТЫ'!$B$8=3,IFERROR('ОБЪЕКТЫ'!$B$28*'ОБЪЕКТЫ'!DR22/'ОБЪЕКТЫ'!$B$22,0),0)-IF('ОБЪЕКТЫ'!$B$36=3,IFERROR('ОБЪЕКТЫ'!$B$56*'ОБЪЕКТЫ'!DR50/'ОБЪЕКТЫ'!$B$50,0),0)-IF('ОБЪЕКТЫ'!$B$64=3,IFERROR('ОБЪЕКТЫ'!$B$84*'ОБЪЕКТЫ'!DR78/'ОБЪЕКТЫ'!$B$78,0),0)-DR53-DR57-DR21</x:f>
      </x:c>
      <x:c r="DS22" s="117">
        <x:f>DS10-IFERROR((SUM($D$20:$DS$20)-'ОБЪЕКТЫ'!$B$112)*('Продажи'!DS60+'Продажи'!DS63+'Продажи'!DS66+'Продажи'!DS69)/(SUM('Продажи'!$D$60:$DS$60)+SUM('Продажи'!$D$63:$DS$63)+SUM('Продажи'!$D$66:$DS$66)+SUM('Продажи'!$D$69:$DS$69)),0)-IF('ОБЪЕКТЫ'!$B$8=3,IFERROR('ОБЪЕКТЫ'!$B$28*'ОБЪЕКТЫ'!DS22/'ОБЪЕКТЫ'!$B$22,0),0)-IF('ОБЪЕКТЫ'!$B$36=3,IFERROR('ОБЪЕКТЫ'!$B$56*'ОБЪЕКТЫ'!DS50/'ОБЪЕКТЫ'!$B$50,0),0)-IF('ОБЪЕКТЫ'!$B$64=3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IF(AND(D$3&gt;=$B$7,D$3&lt;$B$8),MAX(0,'Вводные'!$B$26*'Вводные'!$V$90-(D38+D45))*'Вводные'!$B$29/12,0)</x:f>
      </x:c>
      <x:c r="E43" s="117">
        <x:f>IF(AND(E$3&gt;=$B$7,E$3&lt;$B$8),MAX(0,'Вводные'!$B$26*'Вводные'!$V$90-(E38+E45))*'Вводные'!$B$29/12,0)</x:f>
      </x:c>
      <x:c r="F43" s="117">
        <x:f>IF(AND(F$3&gt;=$B$7,F$3&lt;$B$8),MAX(0,'Вводные'!$B$26*'Вводные'!$V$90-(F38+F45))*'Вводные'!$B$29/12,0)</x:f>
      </x:c>
      <x:c r="G43" s="117">
        <x:f>IF(AND(G$3&gt;=$B$7,G$3&lt;$B$8),MAX(0,'Вводные'!$B$26*'Вводные'!$V$90-(G38+G45))*'Вводные'!$B$29/12,0)</x:f>
      </x:c>
      <x:c r="H43" s="117">
        <x:f>IF(AND(H$3&gt;=$B$7,H$3&lt;$B$8),MAX(0,'Вводные'!$B$26*'Вводные'!$V$90-(H38+H45))*'Вводные'!$B$29/12,0)</x:f>
      </x:c>
      <x:c r="I43" s="117">
        <x:f>IF(AND(I$3&gt;=$B$7,I$3&lt;$B$8),MAX(0,'Вводные'!$B$26*'Вводные'!$V$90-(I38+I45))*'Вводные'!$B$29/12,0)</x:f>
      </x:c>
      <x:c r="J43" s="117">
        <x:f>IF(AND(J$3&gt;=$B$7,J$3&lt;$B$8),MAX(0,'Вводные'!$B$26*'Вводные'!$V$90-(J38+J45))*'Вводные'!$B$29/12,0)</x:f>
      </x:c>
      <x:c r="K43" s="117">
        <x:f>IF(AND(K$3&gt;=$B$7,K$3&lt;$B$8),MAX(0,'Вводные'!$B$26*'Вводные'!$V$90-(K38+K45))*'Вводные'!$B$29/12,0)</x:f>
      </x:c>
      <x:c r="L43" s="117">
        <x:f>IF(AND(L$3&gt;=$B$7,L$3&lt;$B$8),MAX(0,'Вводные'!$B$26*'Вводные'!$V$90-(L38+L45))*'Вводные'!$B$29/12,0)</x:f>
      </x:c>
      <x:c r="M43" s="117">
        <x:f>IF(AND(M$3&gt;=$B$7,M$3&lt;$B$8),MAX(0,'Вводные'!$B$26*'Вводные'!$V$90-(M38+M45))*'Вводные'!$B$29/12,0)</x:f>
      </x:c>
      <x:c r="N43" s="117">
        <x:f>IF(AND(N$3&gt;=$B$7,N$3&lt;$B$8),MAX(0,'Вводные'!$B$26*'Вводные'!$V$90-(N38+N45))*'Вводные'!$B$29/12,0)</x:f>
      </x:c>
      <x:c r="O43" s="117">
        <x:f>IF(AND(O$3&gt;=$B$7,O$3&lt;$B$8),MAX(0,'Вводные'!$B$26*'Вводные'!$V$90-(O38+O45))*'Вводные'!$B$29/12,0)</x:f>
      </x:c>
      <x:c r="P43" s="117">
        <x:f>IF(AND(P$3&gt;=$B$7,P$3&lt;$B$8),MAX(0,'Вводные'!$B$26*'Вводные'!$V$90-(P38+P45))*'Вводные'!$B$29/12,0)</x:f>
      </x:c>
      <x:c r="Q43" s="117">
        <x:f>IF(AND(Q$3&gt;=$B$7,Q$3&lt;$B$8),MAX(0,'Вводные'!$B$26*'Вводные'!$V$90-(Q38+Q45))*'Вводные'!$B$29/12,0)</x:f>
      </x:c>
      <x:c r="R43" s="117">
        <x:f>IF(AND(R$3&gt;=$B$7,R$3&lt;$B$8),MAX(0,'Вводные'!$B$26*'Вводные'!$V$90-(R38+R45))*'Вводные'!$B$29/12,0)</x:f>
      </x:c>
      <x:c r="S43" s="117">
        <x:f>IF(AND(S$3&gt;=$B$7,S$3&lt;$B$8),MAX(0,'Вводные'!$B$26*'Вводные'!$V$90-(S38+S45))*'Вводные'!$B$29/12,0)</x:f>
      </x:c>
      <x:c r="T43" s="117">
        <x:f>IF(AND(T$3&gt;=$B$7,T$3&lt;$B$8),MAX(0,'Вводные'!$B$26*'Вводные'!$V$90-(T38+T45))*'Вводные'!$B$29/12,0)</x:f>
      </x:c>
      <x:c r="U43" s="117">
        <x:f>IF(AND(U$3&gt;=$B$7,U$3&lt;$B$8),MAX(0,'Вводные'!$B$26*'Вводные'!$V$90-(U38+U45))*'Вводные'!$B$29/12,0)</x:f>
      </x:c>
      <x:c r="V43" s="117">
        <x:f>IF(AND(V$3&gt;=$B$7,V$3&lt;$B$8),MAX(0,'Вводные'!$B$26*'Вводные'!$V$90-(V38+V45))*'Вводные'!$B$29/12,0)</x:f>
      </x:c>
      <x:c r="W43" s="117">
        <x:f>IF(AND(W$3&gt;=$B$7,W$3&lt;$B$8),MAX(0,'Вводные'!$B$26*'Вводные'!$V$90-(W38+W45))*'Вводные'!$B$29/12,0)</x:f>
      </x:c>
      <x:c r="X43" s="117">
        <x:f>IF(AND(X$3&gt;=$B$7,X$3&lt;$B$8),MAX(0,'Вводные'!$B$26*'Вводные'!$V$90-(X38+X45))*'Вводные'!$B$29/12,0)</x:f>
      </x:c>
      <x:c r="Y43" s="117">
        <x:f>IF(AND(Y$3&gt;=$B$7,Y$3&lt;$B$8),MAX(0,'Вводные'!$B$26*'Вводные'!$V$90-(Y38+Y45))*'Вводные'!$B$29/12,0)</x:f>
      </x:c>
      <x:c r="Z43" s="117">
        <x:f>IF(AND(Z$3&gt;=$B$7,Z$3&lt;$B$8),MAX(0,'Вводные'!$B$26*'Вводные'!$V$90-(Z38+Z45))*'Вводные'!$B$29/12,0)</x:f>
      </x:c>
      <x:c r="AA43" s="117">
        <x:f>IF(AND(AA$3&gt;=$B$7,AA$3&lt;$B$8),MAX(0,'Вводные'!$B$26*'Вводные'!$V$90-(AA38+AA45))*'Вводные'!$B$29/12,0)</x:f>
      </x:c>
      <x:c r="AB43" s="117">
        <x:f>IF(AND(AB$3&gt;=$B$7,AB$3&lt;$B$8),MAX(0,'Вводные'!$B$26*'Вводные'!$V$90-(AB38+AB45))*'Вводные'!$B$29/12,0)</x:f>
      </x:c>
      <x:c r="AC43" s="117">
        <x:f>IF(AND(AC$3&gt;=$B$7,AC$3&lt;$B$8),MAX(0,'Вводные'!$B$26*'Вводные'!$V$90-(AC38+AC45))*'Вводные'!$B$29/12,0)</x:f>
      </x:c>
      <x:c r="AD43" s="117">
        <x:f>IF(AND(AD$3&gt;=$B$7,AD$3&lt;$B$8),MAX(0,'Вводные'!$B$26*'Вводные'!$V$90-(AD38+AD45))*'Вводные'!$B$29/12,0)</x:f>
      </x:c>
      <x:c r="AE43" s="117">
        <x:f>IF(AND(AE$3&gt;=$B$7,AE$3&lt;$B$8),MAX(0,'Вводные'!$B$26*'Вводные'!$V$90-(AE38+AE45))*'Вводные'!$B$29/12,0)</x:f>
      </x:c>
      <x:c r="AF43" s="117">
        <x:f>IF(AND(AF$3&gt;=$B$7,AF$3&lt;$B$8),MAX(0,'Вводные'!$B$26*'Вводные'!$V$90-(AF38+AF45))*'Вводные'!$B$29/12,0)</x:f>
      </x:c>
      <x:c r="AG43" s="117">
        <x:f>IF(AND(AG$3&gt;=$B$7,AG$3&lt;$B$8),MAX(0,'Вводные'!$B$26*'Вводные'!$V$90-(AG38+AG45))*'Вводные'!$B$29/12,0)</x:f>
      </x:c>
      <x:c r="AH43" s="117">
        <x:f>IF(AND(AH$3&gt;=$B$7,AH$3&lt;$B$8),MAX(0,'Вводные'!$B$26*'Вводные'!$V$90-(AH38+AH45))*'Вводные'!$B$29/12,0)</x:f>
      </x:c>
      <x:c r="AI43" s="117">
        <x:f>IF(AND(AI$3&gt;=$B$7,AI$3&lt;$B$8),MAX(0,'Вводные'!$B$26*'Вводные'!$V$90-(AI38+AI45))*'Вводные'!$B$29/12,0)</x:f>
      </x:c>
      <x:c r="AJ43" s="117">
        <x:f>IF(AND(AJ$3&gt;=$B$7,AJ$3&lt;$B$8),MAX(0,'Вводные'!$B$26*'Вводные'!$V$90-(AJ38+AJ45))*'Вводные'!$B$29/12,0)</x:f>
      </x:c>
      <x:c r="AK43" s="117">
        <x:f>IF(AND(AK$3&gt;=$B$7,AK$3&lt;$B$8),MAX(0,'Вводные'!$B$26*'Вводные'!$V$90-(AK38+AK45))*'Вводные'!$B$29/12,0)</x:f>
      </x:c>
      <x:c r="AL43" s="117">
        <x:f>IF(AND(AL$3&gt;=$B$7,AL$3&lt;$B$8),MAX(0,'Вводные'!$B$26*'Вводные'!$V$90-(AL38+AL45))*'Вводные'!$B$29/12,0)</x:f>
      </x:c>
      <x:c r="AM43" s="117">
        <x:f>IF(AND(AM$3&gt;=$B$7,AM$3&lt;$B$8),MAX(0,'Вводные'!$B$26*'Вводные'!$V$90-(AM38+AM45))*'Вводные'!$B$29/12,0)</x:f>
      </x:c>
      <x:c r="AN43" s="117">
        <x:f>IF(AND(AN$3&gt;=$B$7,AN$3&lt;$B$8),MAX(0,'Вводные'!$B$26*'Вводные'!$V$90-(AN38+AN45))*'Вводные'!$B$29/12,0)</x:f>
      </x:c>
      <x:c r="AO43" s="117">
        <x:f>IF(AND(AO$3&gt;=$B$7,AO$3&lt;$B$8),MAX(0,'Вводные'!$B$26*'Вводные'!$V$90-(AO38+AO45))*'Вводные'!$B$29/12,0)</x:f>
      </x:c>
      <x:c r="AP43" s="117">
        <x:f>IF(AND(AP$3&gt;=$B$7,AP$3&lt;$B$8),MAX(0,'Вводные'!$B$26*'Вводные'!$V$90-(AP38+AP45))*'Вводные'!$B$29/12,0)</x:f>
      </x:c>
      <x:c r="AQ43" s="117">
        <x:f>IF(AND(AQ$3&gt;=$B$7,AQ$3&lt;$B$8),MAX(0,'Вводные'!$B$26*'Вводные'!$V$90-(AQ38+AQ45))*'Вводные'!$B$29/12,0)</x:f>
      </x:c>
      <x:c r="AR43" s="117">
        <x:f>IF(AND(AR$3&gt;=$B$7,AR$3&lt;$B$8),MAX(0,'Вводные'!$B$26*'Вводные'!$V$90-(AR38+AR45))*'Вводные'!$B$29/12,0)</x:f>
      </x:c>
      <x:c r="AS43" s="117">
        <x:f>IF(AND(AS$3&gt;=$B$7,AS$3&lt;$B$8),MAX(0,'Вводные'!$B$26*'Вводные'!$V$90-(AS38+AS45))*'Вводные'!$B$29/12,0)</x:f>
      </x:c>
      <x:c r="AT43" s="117">
        <x:f>IF(AND(AT$3&gt;=$B$7,AT$3&lt;$B$8),MAX(0,'Вводные'!$B$26*'Вводные'!$V$90-(AT38+AT45))*'Вводные'!$B$29/12,0)</x:f>
      </x:c>
      <x:c r="AU43" s="117">
        <x:f>IF(AND(AU$3&gt;=$B$7,AU$3&lt;$B$8),MAX(0,'Вводные'!$B$26*'Вводные'!$V$90-(AU38+AU45))*'Вводные'!$B$29/12,0)</x:f>
      </x:c>
      <x:c r="AV43" s="117">
        <x:f>IF(AND(AV$3&gt;=$B$7,AV$3&lt;$B$8),MAX(0,'Вводные'!$B$26*'Вводные'!$V$90-(AV38+AV45))*'Вводные'!$B$29/12,0)</x:f>
      </x:c>
      <x:c r="AW43" s="117">
        <x:f>IF(AND(AW$3&gt;=$B$7,AW$3&lt;$B$8),MAX(0,'Вводные'!$B$26*'Вводные'!$V$90-(AW38+AW45))*'Вводные'!$B$29/12,0)</x:f>
      </x:c>
      <x:c r="AX43" s="117">
        <x:f>IF(AND(AX$3&gt;=$B$7,AX$3&lt;$B$8),MAX(0,'Вводные'!$B$26*'Вводные'!$V$90-(AX38+AX45))*'Вводные'!$B$29/12,0)</x:f>
      </x:c>
      <x:c r="AY43" s="117">
        <x:f>IF(AND(AY$3&gt;=$B$7,AY$3&lt;$B$8),MAX(0,'Вводные'!$B$26*'Вводные'!$V$90-(AY38+AY45))*'Вводные'!$B$29/12,0)</x:f>
      </x:c>
      <x:c r="AZ43" s="117">
        <x:f>IF(AND(AZ$3&gt;=$B$7,AZ$3&lt;$B$8),MAX(0,'Вводные'!$B$26*'Вводные'!$V$90-(AZ38+AZ45))*'Вводные'!$B$29/12,0)</x:f>
      </x:c>
      <x:c r="BA43" s="117">
        <x:f>IF(AND(BA$3&gt;=$B$7,BA$3&lt;$B$8),MAX(0,'Вводные'!$B$26*'Вводные'!$V$90-(BA38+BA45))*'Вводные'!$B$29/12,0)</x:f>
      </x:c>
      <x:c r="BB43" s="117">
        <x:f>IF(AND(BB$3&gt;=$B$7,BB$3&lt;$B$8),MAX(0,'Вводные'!$B$26*'Вводные'!$V$90-(BB38+BB45))*'Вводные'!$B$29/12,0)</x:f>
      </x:c>
      <x:c r="BC43" s="117">
        <x:f>IF(AND(BC$3&gt;=$B$7,BC$3&lt;$B$8),MAX(0,'Вводные'!$B$26*'Вводные'!$V$90-(BC38+BC45))*'Вводные'!$B$29/12,0)</x:f>
      </x:c>
      <x:c r="BD43" s="117">
        <x:f>IF(AND(BD$3&gt;=$B$7,BD$3&lt;$B$8),MAX(0,'Вводные'!$B$26*'Вводные'!$V$90-(BD38+BD45))*'Вводные'!$B$29/12,0)</x:f>
      </x:c>
      <x:c r="BE43" s="117">
        <x:f>IF(AND(BE$3&gt;=$B$7,BE$3&lt;$B$8),MAX(0,'Вводные'!$B$26*'Вводные'!$V$90-(BE38+BE45))*'Вводные'!$B$29/12,0)</x:f>
      </x:c>
      <x:c r="BF43" s="117">
        <x:f>IF(AND(BF$3&gt;=$B$7,BF$3&lt;$B$8),MAX(0,'Вводные'!$B$26*'Вводные'!$V$90-(BF38+BF45))*'Вводные'!$B$29/12,0)</x:f>
      </x:c>
      <x:c r="BG43" s="117">
        <x:f>IF(AND(BG$3&gt;=$B$7,BG$3&lt;$B$8),MAX(0,'Вводные'!$B$26*'Вводные'!$V$90-(BG38+BG45))*'Вводные'!$B$29/12,0)</x:f>
      </x:c>
      <x:c r="BH43" s="117">
        <x:f>IF(AND(BH$3&gt;=$B$7,BH$3&lt;$B$8),MAX(0,'Вводные'!$B$26*'Вводные'!$V$90-(BH38+BH45))*'Вводные'!$B$29/12,0)</x:f>
      </x:c>
      <x:c r="BI43" s="117">
        <x:f>IF(AND(BI$3&gt;=$B$7,BI$3&lt;$B$8),MAX(0,'Вводные'!$B$26*'Вводные'!$V$90-(BI38+BI45))*'Вводные'!$B$29/12,0)</x:f>
      </x:c>
      <x:c r="BJ43" s="117">
        <x:f>IF(AND(BJ$3&gt;=$B$7,BJ$3&lt;$B$8),MAX(0,'Вводные'!$B$26*'Вводные'!$V$90-(BJ38+BJ45))*'Вводные'!$B$29/12,0)</x:f>
      </x:c>
      <x:c r="BK43" s="117">
        <x:f>IF(AND(BK$3&gt;=$B$7,BK$3&lt;$B$8),MAX(0,'Вводные'!$B$26*'Вводные'!$V$90-(BK38+BK45))*'Вводные'!$B$29/12,0)</x:f>
      </x:c>
      <x:c r="BL43" s="117">
        <x:f>IF(AND(BL$3&gt;=$B$7,BL$3&lt;$B$8),MAX(0,'Вводные'!$B$26*'Вводные'!$V$90-(BL38+BL45))*'Вводные'!$B$29/12,0)</x:f>
      </x:c>
      <x:c r="BM43" s="117">
        <x:f>IF(AND(BM$3&gt;=$B$7,BM$3&lt;$B$8),MAX(0,'Вводные'!$B$26*'Вводные'!$V$90-(BM38+BM45))*'Вводные'!$B$29/12,0)</x:f>
      </x:c>
      <x:c r="BN43" s="117">
        <x:f>IF(AND(BN$3&gt;=$B$7,BN$3&lt;$B$8),MAX(0,'Вводные'!$B$26*'Вводные'!$V$90-(BN38+BN45))*'Вводные'!$B$29/12,0)</x:f>
      </x:c>
      <x:c r="BO43" s="117">
        <x:f>IF(AND(BO$3&gt;=$B$7,BO$3&lt;$B$8),MAX(0,'Вводные'!$B$26*'Вводные'!$V$90-(BO38+BO45))*'Вводные'!$B$29/12,0)</x:f>
      </x:c>
      <x:c r="BP43" s="117">
        <x:f>IF(AND(BP$3&gt;=$B$7,BP$3&lt;$B$8),MAX(0,'Вводные'!$B$26*'Вводные'!$V$90-(BP38+BP45))*'Вводные'!$B$29/12,0)</x:f>
      </x:c>
      <x:c r="BQ43" s="117">
        <x:f>IF(AND(BQ$3&gt;=$B$7,BQ$3&lt;$B$8),MAX(0,'Вводные'!$B$26*'Вводные'!$V$90-(BQ38+BQ45))*'Вводные'!$B$29/12,0)</x:f>
      </x:c>
      <x:c r="BR43" s="117">
        <x:f>IF(AND(BR$3&gt;=$B$7,BR$3&lt;$B$8),MAX(0,'Вводные'!$B$26*'Вводные'!$V$90-(BR38+BR45))*'Вводные'!$B$29/12,0)</x:f>
      </x:c>
      <x:c r="BS43" s="117">
        <x:f>IF(AND(BS$3&gt;=$B$7,BS$3&lt;$B$8),MAX(0,'Вводные'!$B$26*'Вводные'!$V$90-(BS38+BS45))*'Вводные'!$B$29/12,0)</x:f>
      </x:c>
      <x:c r="BT43" s="117">
        <x:f>IF(AND(BT$3&gt;=$B$7,BT$3&lt;$B$8),MAX(0,'Вводные'!$B$26*'Вводные'!$V$90-(BT38+BT45))*'Вводные'!$B$29/12,0)</x:f>
      </x:c>
      <x:c r="BU43" s="117">
        <x:f>IF(AND(BU$3&gt;=$B$7,BU$3&lt;$B$8),MAX(0,'Вводные'!$B$26*'Вводные'!$V$90-(BU38+BU45))*'Вводные'!$B$29/12,0)</x:f>
      </x:c>
      <x:c r="BV43" s="117">
        <x:f>IF(AND(BV$3&gt;=$B$7,BV$3&lt;$B$8),MAX(0,'Вводные'!$B$26*'Вводные'!$V$90-(BV38+BV45))*'Вводные'!$B$29/12,0)</x:f>
      </x:c>
      <x:c r="BW43" s="117">
        <x:f>IF(AND(BW$3&gt;=$B$7,BW$3&lt;$B$8),MAX(0,'Вводные'!$B$26*'Вводные'!$V$90-(BW38+BW45))*'Вводные'!$B$29/12,0)</x:f>
      </x:c>
      <x:c r="BX43" s="117">
        <x:f>IF(AND(BX$3&gt;=$B$7,BX$3&lt;$B$8),MAX(0,'Вводные'!$B$26*'Вводные'!$V$90-(BX38+BX45))*'Вводные'!$B$29/12,0)</x:f>
      </x:c>
      <x:c r="BY43" s="117">
        <x:f>IF(AND(BY$3&gt;=$B$7,BY$3&lt;$B$8),MAX(0,'Вводные'!$B$26*'Вводные'!$V$90-(BY38+BY45))*'Вводные'!$B$29/12,0)</x:f>
      </x:c>
      <x:c r="BZ43" s="117">
        <x:f>IF(AND(BZ$3&gt;=$B$7,BZ$3&lt;$B$8),MAX(0,'Вводные'!$B$26*'Вводные'!$V$90-(BZ38+BZ45))*'Вводные'!$B$29/12,0)</x:f>
      </x:c>
      <x:c r="CA43" s="117">
        <x:f>IF(AND(CA$3&gt;=$B$7,CA$3&lt;$B$8),MAX(0,'Вводные'!$B$26*'Вводные'!$V$90-(CA38+CA45))*'Вводные'!$B$29/12,0)</x:f>
      </x:c>
      <x:c r="CB43" s="117">
        <x:f>IF(AND(CB$3&gt;=$B$7,CB$3&lt;$B$8),MAX(0,'Вводные'!$B$26*'Вводные'!$V$90-(CB38+CB45))*'Вводные'!$B$29/12,0)</x:f>
      </x:c>
      <x:c r="CC43" s="117">
        <x:f>IF(AND(CC$3&gt;=$B$7,CC$3&lt;$B$8),MAX(0,'Вводные'!$B$26*'Вводные'!$V$90-(CC38+CC45))*'Вводные'!$B$29/12,0)</x:f>
      </x:c>
      <x:c r="CD43" s="117">
        <x:f>IF(AND(CD$3&gt;=$B$7,CD$3&lt;$B$8),MAX(0,'Вводные'!$B$26*'Вводные'!$V$90-(CD38+CD45))*'Вводные'!$B$29/12,0)</x:f>
      </x:c>
      <x:c r="CE43" s="117">
        <x:f>IF(AND(CE$3&gt;=$B$7,CE$3&lt;$B$8),MAX(0,'Вводные'!$B$26*'Вводные'!$V$90-(CE38+CE45))*'Вводные'!$B$29/12,0)</x:f>
      </x:c>
      <x:c r="CF43" s="117">
        <x:f>IF(AND(CF$3&gt;=$B$7,CF$3&lt;$B$8),MAX(0,'Вводные'!$B$26*'Вводные'!$V$90-(CF38+CF45))*'Вводные'!$B$29/12,0)</x:f>
      </x:c>
      <x:c r="CG43" s="117">
        <x:f>IF(AND(CG$3&gt;=$B$7,CG$3&lt;$B$8),MAX(0,'Вводные'!$B$26*'Вводные'!$V$90-(CG38+CG45))*'Вводные'!$B$29/12,0)</x:f>
      </x:c>
      <x:c r="CH43" s="117">
        <x:f>IF(AND(CH$3&gt;=$B$7,CH$3&lt;$B$8),MAX(0,'Вводные'!$B$26*'Вводные'!$V$90-(CH38+CH45))*'Вводные'!$B$29/12,0)</x:f>
      </x:c>
      <x:c r="CI43" s="117">
        <x:f>IF(AND(CI$3&gt;=$B$7,CI$3&lt;$B$8),MAX(0,'Вводные'!$B$26*'Вводные'!$V$90-(CI38+CI45))*'Вводные'!$B$29/12,0)</x:f>
      </x:c>
      <x:c r="CJ43" s="117">
        <x:f>IF(AND(CJ$3&gt;=$B$7,CJ$3&lt;$B$8),MAX(0,'Вводные'!$B$26*'Вводные'!$V$90-(CJ38+CJ45))*'Вводные'!$B$29/12,0)</x:f>
      </x:c>
      <x:c r="CK43" s="117">
        <x:f>IF(AND(CK$3&gt;=$B$7,CK$3&lt;$B$8),MAX(0,'Вводные'!$B$26*'Вводные'!$V$90-(CK38+CK45))*'Вводные'!$B$29/12,0)</x:f>
      </x:c>
      <x:c r="CL43" s="117">
        <x:f>IF(AND(CL$3&gt;=$B$7,CL$3&lt;$B$8),MAX(0,'Вводные'!$B$26*'Вводные'!$V$90-(CL38+CL45))*'Вводные'!$B$29/12,0)</x:f>
      </x:c>
      <x:c r="CM43" s="117">
        <x:f>IF(AND(CM$3&gt;=$B$7,CM$3&lt;$B$8),MAX(0,'Вводные'!$B$26*'Вводные'!$V$90-(CM38+CM45))*'Вводные'!$B$29/12,0)</x:f>
      </x:c>
      <x:c r="CN43" s="117">
        <x:f>IF(AND(CN$3&gt;=$B$7,CN$3&lt;$B$8),MAX(0,'Вводные'!$B$26*'Вводные'!$V$90-(CN38+CN45))*'Вводные'!$B$29/12,0)</x:f>
      </x:c>
      <x:c r="CO43" s="117">
        <x:f>IF(AND(CO$3&gt;=$B$7,CO$3&lt;$B$8),MAX(0,'Вводные'!$B$26*'Вводные'!$V$90-(CO38+CO45))*'Вводные'!$B$29/12,0)</x:f>
      </x:c>
      <x:c r="CP43" s="117">
        <x:f>IF(AND(CP$3&gt;=$B$7,CP$3&lt;$B$8),MAX(0,'Вводные'!$B$26*'Вводные'!$V$90-(CP38+CP45))*'Вводные'!$B$29/12,0)</x:f>
      </x:c>
      <x:c r="CQ43" s="117">
        <x:f>IF(AND(CQ$3&gt;=$B$7,CQ$3&lt;$B$8),MAX(0,'Вводные'!$B$26*'Вводные'!$V$90-(CQ38+CQ45))*'Вводные'!$B$29/12,0)</x:f>
      </x:c>
      <x:c r="CR43" s="117">
        <x:f>IF(AND(CR$3&gt;=$B$7,CR$3&lt;$B$8),MAX(0,'Вводные'!$B$26*'Вводные'!$V$90-(CR38+CR45))*'Вводные'!$B$29/12,0)</x:f>
      </x:c>
      <x:c r="CS43" s="117">
        <x:f>IF(AND(CS$3&gt;=$B$7,CS$3&lt;$B$8),MAX(0,'Вводные'!$B$26*'Вводные'!$V$90-(CS38+CS45))*'Вводные'!$B$29/12,0)</x:f>
      </x:c>
      <x:c r="CT43" s="117">
        <x:f>IF(AND(CT$3&gt;=$B$7,CT$3&lt;$B$8),MAX(0,'Вводные'!$B$26*'Вводные'!$V$90-(CT38+CT45))*'Вводные'!$B$29/12,0)</x:f>
      </x:c>
      <x:c r="CU43" s="117">
        <x:f>IF(AND(CU$3&gt;=$B$7,CU$3&lt;$B$8),MAX(0,'Вводные'!$B$26*'Вводные'!$V$90-(CU38+CU45))*'Вводные'!$B$29/12,0)</x:f>
      </x:c>
      <x:c r="CV43" s="117">
        <x:f>IF(AND(CV$3&gt;=$B$7,CV$3&lt;$B$8),MAX(0,'Вводные'!$B$26*'Вводные'!$V$90-(CV38+CV45))*'Вводные'!$B$29/12,0)</x:f>
      </x:c>
      <x:c r="CW43" s="117">
        <x:f>IF(AND(CW$3&gt;=$B$7,CW$3&lt;$B$8),MAX(0,'Вводные'!$B$26*'Вводные'!$V$90-(CW38+CW45))*'Вводные'!$B$29/12,0)</x:f>
      </x:c>
      <x:c r="CX43" s="117">
        <x:f>IF(AND(CX$3&gt;=$B$7,CX$3&lt;$B$8),MAX(0,'Вводные'!$B$26*'Вводные'!$V$90-(CX38+CX45))*'Вводные'!$B$29/12,0)</x:f>
      </x:c>
      <x:c r="CY43" s="117">
        <x:f>IF(AND(CY$3&gt;=$B$7,CY$3&lt;$B$8),MAX(0,'Вводные'!$B$26*'Вводные'!$V$90-(CY38+CY45))*'Вводные'!$B$29/12,0)</x:f>
      </x:c>
      <x:c r="CZ43" s="117">
        <x:f>IF(AND(CZ$3&gt;=$B$7,CZ$3&lt;$B$8),MAX(0,'Вводные'!$B$26*'Вводные'!$V$90-(CZ38+CZ45))*'Вводные'!$B$29/12,0)</x:f>
      </x:c>
      <x:c r="DA43" s="117">
        <x:f>IF(AND(DA$3&gt;=$B$7,DA$3&lt;$B$8),MAX(0,'Вводные'!$B$26*'Вводные'!$V$90-(DA38+DA45))*'Вводные'!$B$29/12,0)</x:f>
      </x:c>
      <x:c r="DB43" s="117">
        <x:f>IF(AND(DB$3&gt;=$B$7,DB$3&lt;$B$8),MAX(0,'Вводные'!$B$26*'Вводные'!$V$90-(DB38+DB45))*'Вводные'!$B$29/12,0)</x:f>
      </x:c>
      <x:c r="DC43" s="117">
        <x:f>IF(AND(DC$3&gt;=$B$7,DC$3&lt;$B$8),MAX(0,'Вводные'!$B$26*'Вводные'!$V$90-(DC38+DC45))*'Вводные'!$B$29/12,0)</x:f>
      </x:c>
      <x:c r="DD43" s="117">
        <x:f>IF(AND(DD$3&gt;=$B$7,DD$3&lt;$B$8),MAX(0,'Вводные'!$B$26*'Вводные'!$V$90-(DD38+DD45))*'Вводные'!$B$29/12,0)</x:f>
      </x:c>
      <x:c r="DE43" s="117">
        <x:f>IF(AND(DE$3&gt;=$B$7,DE$3&lt;$B$8),MAX(0,'Вводные'!$B$26*'Вводные'!$V$90-(DE38+DE45))*'Вводные'!$B$29/12,0)</x:f>
      </x:c>
      <x:c r="DF43" s="117">
        <x:f>IF(AND(DF$3&gt;=$B$7,DF$3&lt;$B$8),MAX(0,'Вводные'!$B$26*'Вводные'!$V$90-(DF38+DF45))*'Вводные'!$B$29/12,0)</x:f>
      </x:c>
      <x:c r="DG43" s="117">
        <x:f>IF(AND(DG$3&gt;=$B$7,DG$3&lt;$B$8),MAX(0,'Вводные'!$B$26*'Вводные'!$V$90-(DG38+DG45))*'Вводные'!$B$29/12,0)</x:f>
      </x:c>
      <x:c r="DH43" s="117">
        <x:f>IF(AND(DH$3&gt;=$B$7,DH$3&lt;$B$8),MAX(0,'Вводные'!$B$26*'Вводные'!$V$90-(DH38+DH45))*'Вводные'!$B$29/12,0)</x:f>
      </x:c>
      <x:c r="DI43" s="117">
        <x:f>IF(AND(DI$3&gt;=$B$7,DI$3&lt;$B$8),MAX(0,'Вводные'!$B$26*'Вводные'!$V$90-(DI38+DI45))*'Вводные'!$B$29/12,0)</x:f>
      </x:c>
      <x:c r="DJ43" s="117">
        <x:f>IF(AND(DJ$3&gt;=$B$7,DJ$3&lt;$B$8),MAX(0,'Вводные'!$B$26*'Вводные'!$V$90-(DJ38+DJ45))*'Вводные'!$B$29/12,0)</x:f>
      </x:c>
      <x:c r="DK43" s="117">
        <x:f>IF(AND(DK$3&gt;=$B$7,DK$3&lt;$B$8),MAX(0,'Вводные'!$B$26*'Вводные'!$V$90-(DK38+DK45))*'Вводные'!$B$29/12,0)</x:f>
      </x:c>
      <x:c r="DL43" s="117">
        <x:f>IF(AND(DL$3&gt;=$B$7,DL$3&lt;$B$8),MAX(0,'Вводные'!$B$26*'Вводные'!$V$90-(DL38+DL45))*'Вводные'!$B$29/12,0)</x:f>
      </x:c>
      <x:c r="DM43" s="117">
        <x:f>IF(AND(DM$3&gt;=$B$7,DM$3&lt;$B$8),MAX(0,'Вводные'!$B$26*'Вводные'!$V$90-(DM38+DM45))*'Вводные'!$B$29/12,0)</x:f>
      </x:c>
      <x:c r="DN43" s="117">
        <x:f>IF(AND(DN$3&gt;=$B$7,DN$3&lt;$B$8),MAX(0,'Вводные'!$B$26*'Вводные'!$V$90-(DN38+DN45))*'Вводные'!$B$29/12,0)</x:f>
      </x:c>
      <x:c r="DO43" s="117">
        <x:f>IF(AND(DO$3&gt;=$B$7,DO$3&lt;$B$8),MAX(0,'Вводные'!$B$26*'Вводные'!$V$90-(DO38+DO45))*'Вводные'!$B$29/12,0)</x:f>
      </x:c>
      <x:c r="DP43" s="117">
        <x:f>IF(AND(DP$3&gt;=$B$7,DP$3&lt;$B$8),MAX(0,'Вводные'!$B$26*'Вводные'!$V$90-(DP38+DP45))*'Вводные'!$B$29/12,0)</x:f>
      </x:c>
      <x:c r="DQ43" s="117">
        <x:f>IF(AND(DQ$3&gt;=$B$7,DQ$3&lt;$B$8),MAX(0,'Вводные'!$B$26*'Вводные'!$V$90-(DQ38+DQ45))*'Вводные'!$B$29/12,0)</x:f>
      </x:c>
      <x:c r="DR43" s="117">
        <x:f>IF(AND(DR$3&gt;=$B$7,DR$3&lt;$B$8),MAX(0,'Вводные'!$B$26*'Вводные'!$V$90-(DR38+DR45))*'Вводные'!$B$29/12,0)</x:f>
      </x:c>
      <x:c r="DS43" s="117">
        <x:f>IF(AND(DS$3&gt;=$B$7,DS$3&lt;$B$8),MAX(0,'Вводные'!$B$26*'Вводные'!$V$90-(DS38+DS45))*'Вводные'!$B$29/12,0)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MIN(MAX(0,'Вводные'!$B$85*'Вводные'!$AI$90),D33)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компенсация",'Вводные'!$B$56*'Вводные'!$R$90*'Вводные'!$H$6,0)))*'Вводные'!$B$30,0)+IF(AND(YEAR(D$3)=YEAR($B$7),MONTH(D$3)=MONTH($B$7),$B$5=1),'Вводные'!$B$26*'Вводные'!$V$90*'Вводные'!$B$30,0)</x:f>
      </x:c>
      <x:c r="E57" s="117">
        <x:f>IF(AND(YEAR(E$3)=YEAR($B$6),MONTH(E$3)=MONTH($B$6),$B$5=1),('CAPEX'!$B$82+'CAPEX'!$B$85+'CAPEX'!$B$86+IF('Вводные'!$B$37="Денежная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компенсация",'Вводные'!$B$56*'Вводные'!$R$90*'Вводные'!$H$6,0)))*'Вводные'!$B$30,0)+IF(AND(YEAR(E$3)=YEAR($B$7),MONTH(E$3)=MONTH($B$7),$B$5=1),'Вводные'!$B$26*'Вводные'!$V$90*'Вводные'!$B$30,0)</x:f>
      </x:c>
      <x:c r="F57" s="117">
        <x:f>IF(AND(YEAR(F$3)=YEAR($B$6),MONTH(F$3)=MONTH($B$6),$B$5=1),('CAPEX'!$B$82+'CAPEX'!$B$85+'CAPEX'!$B$86+IF('Вводные'!$B$37="Денежная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компенсация",'Вводные'!$B$56*'Вводные'!$R$90*'Вводные'!$H$6,0)))*'Вводные'!$B$30,0)+IF(AND(YEAR(F$3)=YEAR($B$7),MONTH(F$3)=MONTH($B$7),$B$5=1),'Вводные'!$B$26*'Вводные'!$V$90*'Вводные'!$B$30,0)</x:f>
      </x:c>
      <x:c r="G57" s="117">
        <x:f>IF(AND(YEAR(G$3)=YEAR($B$6),MONTH(G$3)=MONTH($B$6),$B$5=1),('CAPEX'!$B$82+'CAPEX'!$B$85+'CAPEX'!$B$86+IF('Вводные'!$B$37="Денежная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компенсация",'Вводные'!$B$56*'Вводные'!$R$90*'Вводные'!$H$6,0)))*'Вводные'!$B$30,0)+IF(AND(YEAR(G$3)=YEAR($B$7),MONTH(G$3)=MONTH($B$7),$B$5=1),'Вводные'!$B$26*'Вводные'!$V$90*'Вводные'!$B$30,0)</x:f>
      </x:c>
      <x:c r="H57" s="117">
        <x:f>IF(AND(YEAR(H$3)=YEAR($B$6),MONTH(H$3)=MONTH($B$6),$B$5=1),('CAPEX'!$B$82+'CAPEX'!$B$85+'CAPEX'!$B$86+IF('Вводные'!$B$37="Денежная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компенсация",'Вводные'!$B$56*'Вводные'!$R$90*'Вводные'!$H$6,0)))*'Вводные'!$B$30,0)+IF(AND(YEAR(H$3)=YEAR($B$7),MONTH(H$3)=MONTH($B$7),$B$5=1),'Вводные'!$B$26*'Вводные'!$V$90*'Вводные'!$B$30,0)</x:f>
      </x:c>
      <x:c r="I57" s="117">
        <x:f>IF(AND(YEAR(I$3)=YEAR($B$6),MONTH(I$3)=MONTH($B$6),$B$5=1),('CAPEX'!$B$82+'CAPEX'!$B$85+'CAPEX'!$B$86+IF('Вводные'!$B$37="Денежная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компенсация",'Вводные'!$B$56*'Вводные'!$R$90*'Вводные'!$H$6,0)))*'Вводные'!$B$30,0)+IF(AND(YEAR(I$3)=YEAR($B$7),MONTH(I$3)=MONTH($B$7),$B$5=1),'Вводные'!$B$26*'Вводные'!$V$90*'Вводные'!$B$30,0)</x:f>
      </x:c>
      <x:c r="J57" s="117">
        <x:f>IF(AND(YEAR(J$3)=YEAR($B$6),MONTH(J$3)=MONTH($B$6),$B$5=1),('CAPEX'!$B$82+'CAPEX'!$B$85+'CAPEX'!$B$86+IF('Вводные'!$B$37="Денежная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компенсация",'Вводные'!$B$56*'Вводные'!$R$90*'Вводные'!$H$6,0)))*'Вводные'!$B$30,0)+IF(AND(YEAR(J$3)=YEAR($B$7),MONTH(J$3)=MONTH($B$7),$B$5=1),'Вводные'!$B$26*'Вводные'!$V$90*'Вводные'!$B$30,0)</x:f>
      </x:c>
      <x:c r="K57" s="117">
        <x:f>IF(AND(YEAR(K$3)=YEAR($B$6),MONTH(K$3)=MONTH($B$6),$B$5=1),('CAPEX'!$B$82+'CAPEX'!$B$85+'CAPEX'!$B$86+IF('Вводные'!$B$37="Денежная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компенсация",'Вводные'!$B$56*'Вводные'!$R$90*'Вводные'!$H$6,0)))*'Вводные'!$B$30,0)+IF(AND(YEAR(K$3)=YEAR($B$7),MONTH(K$3)=MONTH($B$7),$B$5=1),'Вводные'!$B$26*'Вводные'!$V$90*'Вводные'!$B$30,0)</x:f>
      </x:c>
      <x:c r="L57" s="117">
        <x:f>IF(AND(YEAR(L$3)=YEAR($B$6),MONTH(L$3)=MONTH($B$6),$B$5=1),('CAPEX'!$B$82+'CAPEX'!$B$85+'CAPEX'!$B$86+IF('Вводные'!$B$37="Денежная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компенсация",'Вводные'!$B$56*'Вводные'!$R$90*'Вводные'!$H$6,0)))*'Вводные'!$B$30,0)+IF(AND(YEAR(L$3)=YEAR($B$7),MONTH(L$3)=MONTH($B$7),$B$5=1),'Вводные'!$B$26*'Вводные'!$V$90*'Вводные'!$B$30,0)</x:f>
      </x:c>
      <x:c r="M57" s="117">
        <x:f>IF(AND(YEAR(M$3)=YEAR($B$6),MONTH(M$3)=MONTH($B$6),$B$5=1),('CAPEX'!$B$82+'CAPEX'!$B$85+'CAPEX'!$B$86+IF('Вводные'!$B$37="Денежная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компенсация",'Вводные'!$B$56*'Вводные'!$R$90*'Вводные'!$H$6,0)))*'Вводные'!$B$30,0)+IF(AND(YEAR(M$3)=YEAR($B$7),MONTH(M$3)=MONTH($B$7),$B$5=1),'Вводные'!$B$26*'Вводные'!$V$90*'Вводные'!$B$30,0)</x:f>
      </x:c>
      <x:c r="N57" s="117">
        <x:f>IF(AND(YEAR(N$3)=YEAR($B$6),MONTH(N$3)=MONTH($B$6),$B$5=1),('CAPEX'!$B$82+'CAPEX'!$B$85+'CAPEX'!$B$86+IF('Вводные'!$B$37="Денежная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компенсация",'Вводные'!$B$56*'Вводные'!$R$90*'Вводные'!$H$6,0)))*'Вводные'!$B$30,0)+IF(AND(YEAR(N$3)=YEAR($B$7),MONTH(N$3)=MONTH($B$7),$B$5=1),'Вводные'!$B$26*'Вводные'!$V$90*'Вводные'!$B$30,0)</x:f>
      </x:c>
      <x:c r="O57" s="117">
        <x:f>IF(AND(YEAR(O$3)=YEAR($B$6),MONTH(O$3)=MONTH($B$6),$B$5=1),('CAPEX'!$B$82+'CAPEX'!$B$85+'CAPEX'!$B$86+IF('Вводные'!$B$37="Денежная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компенсация",'Вводные'!$B$56*'Вводные'!$R$90*'Вводные'!$H$6,0)))*'Вводные'!$B$30,0)+IF(AND(YEAR(O$3)=YEAR($B$7),MONTH(O$3)=MONTH($B$7),$B$5=1),'Вводные'!$B$26*'Вводные'!$V$90*'Вводные'!$B$30,0)</x:f>
      </x:c>
      <x:c r="P57" s="117">
        <x:f>IF(AND(YEAR(P$3)=YEAR($B$6),MONTH(P$3)=MONTH($B$6),$B$5=1),('CAPEX'!$B$82+'CAPEX'!$B$85+'CAPEX'!$B$86+IF('Вводные'!$B$37="Денежная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компенсация",'Вводные'!$B$56*'Вводные'!$R$90*'Вводные'!$H$6,0)))*'Вводные'!$B$30,0)+IF(AND(YEAR(P$3)=YEAR($B$7),MONTH(P$3)=MONTH($B$7),$B$5=1),'Вводные'!$B$26*'Вводные'!$V$90*'Вводные'!$B$30,0)</x:f>
      </x:c>
      <x:c r="Q57" s="117">
        <x:f>IF(AND(YEAR(Q$3)=YEAR($B$6),MONTH(Q$3)=MONTH($B$6),$B$5=1),('CAPEX'!$B$82+'CAPEX'!$B$85+'CAPEX'!$B$86+IF('Вводные'!$B$37="Денежная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компенсация",'Вводные'!$B$56*'Вводные'!$R$90*'Вводные'!$H$6,0)))*'Вводные'!$B$30,0)+IF(AND(YEAR(Q$3)=YEAR($B$7),MONTH(Q$3)=MONTH($B$7),$B$5=1),'Вводные'!$B$26*'Вводные'!$V$90*'Вводные'!$B$30,0)</x:f>
      </x:c>
      <x:c r="R57" s="117">
        <x:f>IF(AND(YEAR(R$3)=YEAR($B$6),MONTH(R$3)=MONTH($B$6),$B$5=1),('CAPEX'!$B$82+'CAPEX'!$B$85+'CAPEX'!$B$86+IF('Вводные'!$B$37="Денежная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компенсация",'Вводные'!$B$56*'Вводные'!$R$90*'Вводные'!$H$6,0)))*'Вводные'!$B$30,0)+IF(AND(YEAR(R$3)=YEAR($B$7),MONTH(R$3)=MONTH($B$7),$B$5=1),'Вводные'!$B$26*'Вводные'!$V$90*'Вводные'!$B$30,0)</x:f>
      </x:c>
      <x:c r="S57" s="117">
        <x:f>IF(AND(YEAR(S$3)=YEAR($B$6),MONTH(S$3)=MONTH($B$6),$B$5=1),('CAPEX'!$B$82+'CAPEX'!$B$85+'CAPEX'!$B$86+IF('Вводные'!$B$37="Денежная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компенсация",'Вводные'!$B$56*'Вводные'!$R$90*'Вводные'!$H$6,0)))*'Вводные'!$B$30,0)+IF(AND(YEAR(S$3)=YEAR($B$7),MONTH(S$3)=MONTH($B$7),$B$5=1),'Вводные'!$B$26*'Вводные'!$V$90*'Вводные'!$B$30,0)</x:f>
      </x:c>
      <x:c r="T57" s="117">
        <x:f>IF(AND(YEAR(T$3)=YEAR($B$6),MONTH(T$3)=MONTH($B$6),$B$5=1),('CAPEX'!$B$82+'CAPEX'!$B$85+'CAPEX'!$B$86+IF('Вводные'!$B$37="Денежная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компенсация",'Вводные'!$B$56*'Вводные'!$R$90*'Вводные'!$H$6,0)))*'Вводные'!$B$30,0)+IF(AND(YEAR(T$3)=YEAR($B$7),MONTH(T$3)=MONTH($B$7),$B$5=1),'Вводные'!$B$26*'Вводные'!$V$90*'Вводные'!$B$30,0)</x:f>
      </x:c>
      <x:c r="U57" s="117">
        <x:f>IF(AND(YEAR(U$3)=YEAR($B$6),MONTH(U$3)=MONTH($B$6),$B$5=1),('CAPEX'!$B$82+'CAPEX'!$B$85+'CAPEX'!$B$86+IF('Вводные'!$B$37="Денежная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компенсация",'Вводные'!$B$56*'Вводные'!$R$90*'Вводные'!$H$6,0)))*'Вводные'!$B$30,0)+IF(AND(YEAR(U$3)=YEAR($B$7),MONTH(U$3)=MONTH($B$7),$B$5=1),'Вводные'!$B$26*'Вводные'!$V$90*'Вводные'!$B$30,0)</x:f>
      </x:c>
      <x:c r="V57" s="117">
        <x:f>IF(AND(YEAR(V$3)=YEAR($B$6),MONTH(V$3)=MONTH($B$6),$B$5=1),('CAPEX'!$B$82+'CAPEX'!$B$85+'CAPEX'!$B$86+IF('Вводные'!$B$37="Денежная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компенсация",'Вводные'!$B$56*'Вводные'!$R$90*'Вводные'!$H$6,0)))*'Вводные'!$B$30,0)+IF(AND(YEAR(V$3)=YEAR($B$7),MONTH(V$3)=MONTH($B$7),$B$5=1),'Вводные'!$B$26*'Вводные'!$V$90*'Вводные'!$B$30,0)</x:f>
      </x:c>
      <x:c r="W57" s="117">
        <x:f>IF(AND(YEAR(W$3)=YEAR($B$6),MONTH(W$3)=MONTH($B$6),$B$5=1),('CAPEX'!$B$82+'CAPEX'!$B$85+'CAPEX'!$B$86+IF('Вводные'!$B$37="Денежная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компенсация",'Вводные'!$B$56*'Вводные'!$R$90*'Вводные'!$H$6,0)))*'Вводные'!$B$30,0)+IF(AND(YEAR(W$3)=YEAR($B$7),MONTH(W$3)=MONTH($B$7),$B$5=1),'Вводные'!$B$26*'Вводные'!$V$90*'Вводные'!$B$30,0)</x:f>
      </x:c>
      <x:c r="X57" s="117">
        <x:f>IF(AND(YEAR(X$3)=YEAR($B$6),MONTH(X$3)=MONTH($B$6),$B$5=1),('CAPEX'!$B$82+'CAPEX'!$B$85+'CAPEX'!$B$86+IF('Вводные'!$B$37="Денежная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компенсация",'Вводные'!$B$56*'Вводные'!$R$90*'Вводные'!$H$6,0)))*'Вводные'!$B$30,0)+IF(AND(YEAR(X$3)=YEAR($B$7),MONTH(X$3)=MONTH($B$7),$B$5=1),'Вводные'!$B$26*'Вводные'!$V$90*'Вводные'!$B$30,0)</x:f>
      </x:c>
      <x:c r="Y57" s="117">
        <x:f>IF(AND(YEAR(Y$3)=YEAR($B$6),MONTH(Y$3)=MONTH($B$6),$B$5=1),('CAPEX'!$B$82+'CAPEX'!$B$85+'CAPEX'!$B$86+IF('Вводные'!$B$37="Денежная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компенсация",'Вводные'!$B$56*'Вводные'!$R$90*'Вводные'!$H$6,0)))*'Вводные'!$B$30,0)+IF(AND(YEAR(Y$3)=YEAR($B$7),MONTH(Y$3)=MONTH($B$7),$B$5=1),'Вводные'!$B$26*'Вводные'!$V$90*'Вводные'!$B$30,0)</x:f>
      </x:c>
      <x:c r="Z57" s="117">
        <x:f>IF(AND(YEAR(Z$3)=YEAR($B$6),MONTH(Z$3)=MONTH($B$6),$B$5=1),('CAPEX'!$B$82+'CAPEX'!$B$85+'CAPEX'!$B$86+IF('Вводные'!$B$37="Денежная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компенсация",'Вводные'!$B$56*'Вводные'!$R$90*'Вводные'!$H$6,0)))*'Вводные'!$B$30,0)+IF(AND(YEAR(Z$3)=YEAR($B$7),MONTH(Z$3)=MONTH($B$7),$B$5=1),'Вводные'!$B$26*'Вводные'!$V$90*'Вводные'!$B$30,0)</x:f>
      </x:c>
      <x:c r="AA57" s="117">
        <x:f>IF(AND(YEAR(AA$3)=YEAR($B$6),MONTH(AA$3)=MONTH($B$6),$B$5=1),('CAPEX'!$B$82+'CAPEX'!$B$85+'CAPEX'!$B$86+IF('Вводные'!$B$37="Денежная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компенсация",'Вводные'!$B$56*'Вводные'!$R$90*'Вводные'!$H$6,0)))*'Вводные'!$B$30,0)+IF(AND(YEAR(AA$3)=YEAR($B$7),MONTH(AA$3)=MONTH($B$7),$B$5=1),'Вводные'!$B$26*'Вводные'!$V$90*'Вводные'!$B$30,0)</x:f>
      </x:c>
      <x:c r="AB57" s="117">
        <x:f>IF(AND(YEAR(AB$3)=YEAR($B$6),MONTH(AB$3)=MONTH($B$6),$B$5=1),('CAPEX'!$B$82+'CAPEX'!$B$85+'CAPEX'!$B$86+IF('Вводные'!$B$37="Денежная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компенсация",'Вводные'!$B$56*'Вводные'!$R$90*'Вводные'!$H$6,0)))*'Вводные'!$B$30,0)+IF(AND(YEAR(AB$3)=YEAR($B$7),MONTH(AB$3)=MONTH($B$7),$B$5=1),'Вводные'!$B$26*'Вводные'!$V$90*'Вводные'!$B$30,0)</x:f>
      </x:c>
      <x:c r="AC57" s="117">
        <x:f>IF(AND(YEAR(AC$3)=YEAR($B$6),MONTH(AC$3)=MONTH($B$6),$B$5=1),('CAPEX'!$B$82+'CAPEX'!$B$85+'CAPEX'!$B$86+IF('Вводные'!$B$37="Денежная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компенсация",'Вводные'!$B$56*'Вводные'!$R$90*'Вводные'!$H$6,0)))*'Вводные'!$B$30,0)+IF(AND(YEAR(AC$3)=YEAR($B$7),MONTH(AC$3)=MONTH($B$7),$B$5=1),'Вводные'!$B$26*'Вводные'!$V$90*'Вводные'!$B$30,0)</x:f>
      </x:c>
      <x:c r="AD57" s="117">
        <x:f>IF(AND(YEAR(AD$3)=YEAR($B$6),MONTH(AD$3)=MONTH($B$6),$B$5=1),('CAPEX'!$B$82+'CAPEX'!$B$85+'CAPEX'!$B$86+IF('Вводные'!$B$37="Денежная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компенсация",'Вводные'!$B$56*'Вводные'!$R$90*'Вводные'!$H$6,0)))*'Вводные'!$B$30,0)+IF(AND(YEAR(AD$3)=YEAR($B$7),MONTH(AD$3)=MONTH($B$7),$B$5=1),'Вводные'!$B$26*'Вводные'!$V$90*'Вводные'!$B$30,0)</x:f>
      </x:c>
      <x:c r="AE57" s="117">
        <x:f>IF(AND(YEAR(AE$3)=YEAR($B$6),MONTH(AE$3)=MONTH($B$6),$B$5=1),('CAPEX'!$B$82+'CAPEX'!$B$85+'CAPEX'!$B$86+IF('Вводные'!$B$37="Денежная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компенсация",'Вводные'!$B$56*'Вводные'!$R$90*'Вводные'!$H$6,0)))*'Вводные'!$B$30,0)+IF(AND(YEAR(AE$3)=YEAR($B$7),MONTH(AE$3)=MONTH($B$7),$B$5=1),'Вводные'!$B$26*'Вводные'!$V$90*'Вводные'!$B$30,0)</x:f>
      </x:c>
      <x:c r="AF57" s="117">
        <x:f>IF(AND(YEAR(AF$3)=YEAR($B$6),MONTH(AF$3)=MONTH($B$6),$B$5=1),('CAPEX'!$B$82+'CAPEX'!$B$85+'CAPEX'!$B$86+IF('Вводные'!$B$37="Денежная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компенсация",'Вводные'!$B$56*'Вводные'!$R$90*'Вводные'!$H$6,0)))*'Вводные'!$B$30,0)+IF(AND(YEAR(AF$3)=YEAR($B$7),MONTH(AF$3)=MONTH($B$7),$B$5=1),'Вводные'!$B$26*'Вводные'!$V$90*'Вводные'!$B$30,0)</x:f>
      </x:c>
      <x:c r="AG57" s="117">
        <x:f>IF(AND(YEAR(AG$3)=YEAR($B$6),MONTH(AG$3)=MONTH($B$6),$B$5=1),('CAPEX'!$B$82+'CAPEX'!$B$85+'CAPEX'!$B$86+IF('Вводные'!$B$37="Денежная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компенсация",'Вводные'!$B$56*'Вводные'!$R$90*'Вводные'!$H$6,0)))*'Вводные'!$B$30,0)+IF(AND(YEAR(AG$3)=YEAR($B$7),MONTH(AG$3)=MONTH($B$7),$B$5=1),'Вводные'!$B$26*'Вводные'!$V$90*'Вводные'!$B$30,0)</x:f>
      </x:c>
      <x:c r="AH57" s="117">
        <x:f>IF(AND(YEAR(AH$3)=YEAR($B$6),MONTH(AH$3)=MONTH($B$6),$B$5=1),('CAPEX'!$B$82+'CAPEX'!$B$85+'CAPEX'!$B$86+IF('Вводные'!$B$37="Денежная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компенсация",'Вводные'!$B$56*'Вводные'!$R$90*'Вводные'!$H$6,0)))*'Вводные'!$B$30,0)+IF(AND(YEAR(AH$3)=YEAR($B$7),MONTH(AH$3)=MONTH($B$7),$B$5=1),'Вводные'!$B$26*'Вводные'!$V$90*'Вводные'!$B$30,0)</x:f>
      </x:c>
      <x:c r="AI57" s="117">
        <x:f>IF(AND(YEAR(AI$3)=YEAR($B$6),MONTH(AI$3)=MONTH($B$6),$B$5=1),('CAPEX'!$B$82+'CAPEX'!$B$85+'CAPEX'!$B$86+IF('Вводные'!$B$37="Денежная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компенсация",'Вводные'!$B$56*'Вводные'!$R$90*'Вводные'!$H$6,0)))*'Вводные'!$B$30,0)+IF(AND(YEAR(AI$3)=YEAR($B$7),MONTH(AI$3)=MONTH($B$7),$B$5=1),'Вводные'!$B$26*'Вводные'!$V$90*'Вводные'!$B$30,0)</x:f>
      </x:c>
      <x:c r="AJ57" s="117">
        <x:f>IF(AND(YEAR(AJ$3)=YEAR($B$6),MONTH(AJ$3)=MONTH($B$6),$B$5=1),('CAPEX'!$B$82+'CAPEX'!$B$85+'CAPEX'!$B$86+IF('Вводные'!$B$37="Денежная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компенсация",'Вводные'!$B$56*'Вводные'!$R$90*'Вводные'!$H$6,0)))*'Вводные'!$B$30,0)+IF(AND(YEAR(AJ$3)=YEAR($B$7),MONTH(AJ$3)=MONTH($B$7),$B$5=1),'Вводные'!$B$26*'Вводные'!$V$90*'Вводные'!$B$30,0)</x:f>
      </x:c>
      <x:c r="AK57" s="117">
        <x:f>IF(AND(YEAR(AK$3)=YEAR($B$6),MONTH(AK$3)=MONTH($B$6),$B$5=1),('CAPEX'!$B$82+'CAPEX'!$B$85+'CAPEX'!$B$86+IF('Вводные'!$B$37="Денежная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компенсация",'Вводные'!$B$56*'Вводные'!$R$90*'Вводные'!$H$6,0)))*'Вводные'!$B$30,0)+IF(AND(YEAR(AK$3)=YEAR($B$7),MONTH(AK$3)=MONTH($B$7),$B$5=1),'Вводные'!$B$26*'Вводные'!$V$90*'Вводные'!$B$30,0)</x:f>
      </x:c>
      <x:c r="AL57" s="117">
        <x:f>IF(AND(YEAR(AL$3)=YEAR($B$6),MONTH(AL$3)=MONTH($B$6),$B$5=1),('CAPEX'!$B$82+'CAPEX'!$B$85+'CAPEX'!$B$86+IF('Вводные'!$B$37="Денежная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компенсация",'Вводные'!$B$56*'Вводные'!$R$90*'Вводные'!$H$6,0)))*'Вводные'!$B$30,0)+IF(AND(YEAR(AL$3)=YEAR($B$7),MONTH(AL$3)=MONTH($B$7),$B$5=1),'Вводные'!$B$26*'Вводные'!$V$90*'Вводные'!$B$30,0)</x:f>
      </x:c>
      <x:c r="AM57" s="117">
        <x:f>IF(AND(YEAR(AM$3)=YEAR($B$6),MONTH(AM$3)=MONTH($B$6),$B$5=1),('CAPEX'!$B$82+'CAPEX'!$B$85+'CAPEX'!$B$86+IF('Вводные'!$B$37="Денежная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компенсация",'Вводные'!$B$56*'Вводные'!$R$90*'Вводные'!$H$6,0)))*'Вводные'!$B$30,0)+IF(AND(YEAR(AM$3)=YEAR($B$7),MONTH(AM$3)=MONTH($B$7),$B$5=1),'Вводные'!$B$26*'Вводные'!$V$90*'Вводные'!$B$30,0)</x:f>
      </x:c>
      <x:c r="AN57" s="117">
        <x:f>IF(AND(YEAR(AN$3)=YEAR($B$6),MONTH(AN$3)=MONTH($B$6),$B$5=1),('CAPEX'!$B$82+'CAPEX'!$B$85+'CAPEX'!$B$86+IF('Вводные'!$B$37="Денежная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компенсация",'Вводные'!$B$56*'Вводные'!$R$90*'Вводные'!$H$6,0)))*'Вводные'!$B$30,0)+IF(AND(YEAR(AN$3)=YEAR($B$7),MONTH(AN$3)=MONTH($B$7),$B$5=1),'Вводные'!$B$26*'Вводные'!$V$90*'Вводные'!$B$30,0)</x:f>
      </x:c>
      <x:c r="AO57" s="117">
        <x:f>IF(AND(YEAR(AO$3)=YEAR($B$6),MONTH(AO$3)=MONTH($B$6),$B$5=1),('CAPEX'!$B$82+'CAPEX'!$B$85+'CAPEX'!$B$86+IF('Вводные'!$B$37="Денежная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компенсация",'Вводные'!$B$56*'Вводные'!$R$90*'Вводные'!$H$6,0)))*'Вводные'!$B$30,0)+IF(AND(YEAR(AO$3)=YEAR($B$7),MONTH(AO$3)=MONTH($B$7),$B$5=1),'Вводные'!$B$26*'Вводные'!$V$90*'Вводные'!$B$30,0)</x:f>
      </x:c>
      <x:c r="AP57" s="117">
        <x:f>IF(AND(YEAR(AP$3)=YEAR($B$6),MONTH(AP$3)=MONTH($B$6),$B$5=1),('CAPEX'!$B$82+'CAPEX'!$B$85+'CAPEX'!$B$86+IF('Вводные'!$B$37="Денежная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компенсация",'Вводные'!$B$56*'Вводные'!$R$90*'Вводные'!$H$6,0)))*'Вводные'!$B$30,0)+IF(AND(YEAR(AP$3)=YEAR($B$7),MONTH(AP$3)=MONTH($B$7),$B$5=1),'Вводные'!$B$26*'Вводные'!$V$90*'Вводные'!$B$30,0)</x:f>
      </x:c>
      <x:c r="AQ57" s="117">
        <x:f>IF(AND(YEAR(AQ$3)=YEAR($B$6),MONTH(AQ$3)=MONTH($B$6),$B$5=1),('CAPEX'!$B$82+'CAPEX'!$B$85+'CAPEX'!$B$86+IF('Вводные'!$B$37="Денежная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компенсация",'Вводные'!$B$56*'Вводные'!$R$90*'Вводные'!$H$6,0)))*'Вводные'!$B$30,0)+IF(AND(YEAR(AQ$3)=YEAR($B$7),MONTH(AQ$3)=MONTH($B$7),$B$5=1),'Вводные'!$B$26*'Вводные'!$V$90*'Вводные'!$B$30,0)</x:f>
      </x:c>
      <x:c r="AR57" s="117">
        <x:f>IF(AND(YEAR(AR$3)=YEAR($B$6),MONTH(AR$3)=MONTH($B$6),$B$5=1),('CAPEX'!$B$82+'CAPEX'!$B$85+'CAPEX'!$B$86+IF('Вводные'!$B$37="Денежная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компенсация",'Вводные'!$B$56*'Вводные'!$R$90*'Вводные'!$H$6,0)))*'Вводные'!$B$30,0)+IF(AND(YEAR(AR$3)=YEAR($B$7),MONTH(AR$3)=MONTH($B$7),$B$5=1),'Вводные'!$B$26*'Вводные'!$V$90*'Вводные'!$B$30,0)</x:f>
      </x:c>
      <x:c r="AS57" s="117">
        <x:f>IF(AND(YEAR(AS$3)=YEAR($B$6),MONTH(AS$3)=MONTH($B$6),$B$5=1),('CAPEX'!$B$82+'CAPEX'!$B$85+'CAPEX'!$B$86+IF('Вводные'!$B$37="Денежная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компенсация",'Вводные'!$B$56*'Вводные'!$R$90*'Вводные'!$H$6,0)))*'Вводные'!$B$30,0)+IF(AND(YEAR(AS$3)=YEAR($B$7),MONTH(AS$3)=MONTH($B$7),$B$5=1),'Вводные'!$B$26*'Вводные'!$V$90*'Вводные'!$B$30,0)</x:f>
      </x:c>
      <x:c r="AT57" s="117">
        <x:f>IF(AND(YEAR(AT$3)=YEAR($B$6),MONTH(AT$3)=MONTH($B$6),$B$5=1),('CAPEX'!$B$82+'CAPEX'!$B$85+'CAPEX'!$B$86+IF('Вводные'!$B$37="Денежная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компенсация",'Вводные'!$B$56*'Вводные'!$R$90*'Вводные'!$H$6,0)))*'Вводные'!$B$30,0)+IF(AND(YEAR(AT$3)=YEAR($B$7),MONTH(AT$3)=MONTH($B$7),$B$5=1),'Вводные'!$B$26*'Вводные'!$V$90*'Вводные'!$B$30,0)</x:f>
      </x:c>
      <x:c r="AU57" s="117">
        <x:f>IF(AND(YEAR(AU$3)=YEAR($B$6),MONTH(AU$3)=MONTH($B$6),$B$5=1),('CAPEX'!$B$82+'CAPEX'!$B$85+'CAPEX'!$B$86+IF('Вводные'!$B$37="Денежная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компенсация",'Вводные'!$B$56*'Вводные'!$R$90*'Вводные'!$H$6,0)))*'Вводные'!$B$30,0)+IF(AND(YEAR(AU$3)=YEAR($B$7),MONTH(AU$3)=MONTH($B$7),$B$5=1),'Вводные'!$B$26*'Вводные'!$V$90*'Вводные'!$B$30,0)</x:f>
      </x:c>
      <x:c r="AV57" s="117">
        <x:f>IF(AND(YEAR(AV$3)=YEAR($B$6),MONTH(AV$3)=MONTH($B$6),$B$5=1),('CAPEX'!$B$82+'CAPEX'!$B$85+'CAPEX'!$B$86+IF('Вводные'!$B$37="Денежная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компенсация",'Вводные'!$B$56*'Вводные'!$R$90*'Вводные'!$H$6,0)))*'Вводные'!$B$30,0)+IF(AND(YEAR(AV$3)=YEAR($B$7),MONTH(AV$3)=MONTH($B$7),$B$5=1),'Вводные'!$B$26*'Вводные'!$V$90*'Вводные'!$B$30,0)</x:f>
      </x:c>
      <x:c r="AW57" s="117">
        <x:f>IF(AND(YEAR(AW$3)=YEAR($B$6),MONTH(AW$3)=MONTH($B$6),$B$5=1),('CAPEX'!$B$82+'CAPEX'!$B$85+'CAPEX'!$B$86+IF('Вводные'!$B$37="Денежная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компенсация",'Вводные'!$B$56*'Вводные'!$R$90*'Вводные'!$H$6,0)))*'Вводные'!$B$30,0)+IF(AND(YEAR(AW$3)=YEAR($B$7),MONTH(AW$3)=MONTH($B$7),$B$5=1),'Вводные'!$B$26*'Вводные'!$V$90*'Вводные'!$B$30,0)</x:f>
      </x:c>
      <x:c r="AX57" s="117">
        <x:f>IF(AND(YEAR(AX$3)=YEAR($B$6),MONTH(AX$3)=MONTH($B$6),$B$5=1),('CAPEX'!$B$82+'CAPEX'!$B$85+'CAPEX'!$B$86+IF('Вводные'!$B$37="Денежная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компенсация",'Вводные'!$B$56*'Вводные'!$R$90*'Вводные'!$H$6,0)))*'Вводные'!$B$30,0)+IF(AND(YEAR(AX$3)=YEAR($B$7),MONTH(AX$3)=MONTH($B$7),$B$5=1),'Вводные'!$B$26*'Вводные'!$V$90*'Вводные'!$B$30,0)</x:f>
      </x:c>
      <x:c r="AY57" s="117">
        <x:f>IF(AND(YEAR(AY$3)=YEAR($B$6),MONTH(AY$3)=MONTH($B$6),$B$5=1),('CAPEX'!$B$82+'CAPEX'!$B$85+'CAPEX'!$B$86+IF('Вводные'!$B$37="Денежная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компенсация",'Вводные'!$B$56*'Вводные'!$R$90*'Вводные'!$H$6,0)))*'Вводные'!$B$30,0)+IF(AND(YEAR(AY$3)=YEAR($B$7),MONTH(AY$3)=MONTH($B$7),$B$5=1),'Вводные'!$B$26*'Вводные'!$V$90*'Вводные'!$B$30,0)</x:f>
      </x:c>
      <x:c r="AZ57" s="117">
        <x:f>IF(AND(YEAR(AZ$3)=YEAR($B$6),MONTH(AZ$3)=MONTH($B$6),$B$5=1),('CAPEX'!$B$82+'CAPEX'!$B$85+'CAPEX'!$B$86+IF('Вводные'!$B$37="Денежная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компенсация",'Вводные'!$B$56*'Вводные'!$R$90*'Вводные'!$H$6,0)))*'Вводные'!$B$30,0)+IF(AND(YEAR(AZ$3)=YEAR($B$7),MONTH(AZ$3)=MONTH($B$7),$B$5=1),'Вводные'!$B$26*'Вводные'!$V$90*'Вводные'!$B$30,0)</x:f>
      </x:c>
      <x:c r="BA57" s="117">
        <x:f>IF(AND(YEAR(BA$3)=YEAR($B$6),MONTH(BA$3)=MONTH($B$6),$B$5=1),('CAPEX'!$B$82+'CAPEX'!$B$85+'CAPEX'!$B$86+IF('Вводные'!$B$37="Денежная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компенсация",'Вводные'!$B$56*'Вводные'!$R$90*'Вводные'!$H$6,0)))*'Вводные'!$B$30,0)+IF(AND(YEAR(BA$3)=YEAR($B$7),MONTH(BA$3)=MONTH($B$7),$B$5=1),'Вводные'!$B$26*'Вводные'!$V$90*'Вводные'!$B$30,0)</x:f>
      </x:c>
      <x:c r="BB57" s="117">
        <x:f>IF(AND(YEAR(BB$3)=YEAR($B$6),MONTH(BB$3)=MONTH($B$6),$B$5=1),('CAPEX'!$B$82+'CAPEX'!$B$85+'CAPEX'!$B$86+IF('Вводные'!$B$37="Денежная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компенсация",'Вводные'!$B$56*'Вводные'!$R$90*'Вводные'!$H$6,0)))*'Вводные'!$B$30,0)+IF(AND(YEAR(BB$3)=YEAR($B$7),MONTH(BB$3)=MONTH($B$7),$B$5=1),'Вводные'!$B$26*'Вводные'!$V$90*'Вводные'!$B$30,0)</x:f>
      </x:c>
      <x:c r="BC57" s="117">
        <x:f>IF(AND(YEAR(BC$3)=YEAR($B$6),MONTH(BC$3)=MONTH($B$6),$B$5=1),('CAPEX'!$B$82+'CAPEX'!$B$85+'CAPEX'!$B$86+IF('Вводные'!$B$37="Денежная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компенсация",'Вводные'!$B$56*'Вводные'!$R$90*'Вводные'!$H$6,0)))*'Вводные'!$B$30,0)+IF(AND(YEAR(BC$3)=YEAR($B$7),MONTH(BC$3)=MONTH($B$7),$B$5=1),'Вводные'!$B$26*'Вводные'!$V$90*'Вводные'!$B$30,0)</x:f>
      </x:c>
      <x:c r="BD57" s="117">
        <x:f>IF(AND(YEAR(BD$3)=YEAR($B$6),MONTH(BD$3)=MONTH($B$6),$B$5=1),('CAPEX'!$B$82+'CAPEX'!$B$85+'CAPEX'!$B$86+IF('Вводные'!$B$37="Денежная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компенсация",'Вводные'!$B$56*'Вводные'!$R$90*'Вводные'!$H$6,0)))*'Вводные'!$B$30,0)+IF(AND(YEAR(BD$3)=YEAR($B$7),MONTH(BD$3)=MONTH($B$7),$B$5=1),'Вводные'!$B$26*'Вводные'!$V$90*'Вводные'!$B$30,0)</x:f>
      </x:c>
      <x:c r="BE57" s="117">
        <x:f>IF(AND(YEAR(BE$3)=YEAR($B$6),MONTH(BE$3)=MONTH($B$6),$B$5=1),('CAPEX'!$B$82+'CAPEX'!$B$85+'CAPEX'!$B$86+IF('Вводные'!$B$37="Денежная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компенсация",'Вводные'!$B$56*'Вводные'!$R$90*'Вводные'!$H$6,0)))*'Вводные'!$B$30,0)+IF(AND(YEAR(BE$3)=YEAR($B$7),MONTH(BE$3)=MONTH($B$7),$B$5=1),'Вводные'!$B$26*'Вводные'!$V$90*'Вводные'!$B$30,0)</x:f>
      </x:c>
      <x:c r="BF57" s="117">
        <x:f>IF(AND(YEAR(BF$3)=YEAR($B$6),MONTH(BF$3)=MONTH($B$6),$B$5=1),('CAPEX'!$B$82+'CAPEX'!$B$85+'CAPEX'!$B$86+IF('Вводные'!$B$37="Денежная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компенсация",'Вводные'!$B$56*'Вводные'!$R$90*'Вводные'!$H$6,0)))*'Вводные'!$B$30,0)+IF(AND(YEAR(BF$3)=YEAR($B$7),MONTH(BF$3)=MONTH($B$7),$B$5=1),'Вводные'!$B$26*'Вводные'!$V$90*'Вводные'!$B$30,0)</x:f>
      </x:c>
      <x:c r="BG57" s="117">
        <x:f>IF(AND(YEAR(BG$3)=YEAR($B$6),MONTH(BG$3)=MONTH($B$6),$B$5=1),('CAPEX'!$B$82+'CAPEX'!$B$85+'CAPEX'!$B$86+IF('Вводные'!$B$37="Денежная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компенсация",'Вводные'!$B$56*'Вводные'!$R$90*'Вводные'!$H$6,0)))*'Вводные'!$B$30,0)+IF(AND(YEAR(BG$3)=YEAR($B$7),MONTH(BG$3)=MONTH($B$7),$B$5=1),'Вводные'!$B$26*'Вводные'!$V$90*'Вводные'!$B$30,0)</x:f>
      </x:c>
      <x:c r="BH57" s="117">
        <x:f>IF(AND(YEAR(BH$3)=YEAR($B$6),MONTH(BH$3)=MONTH($B$6),$B$5=1),('CAPEX'!$B$82+'CAPEX'!$B$85+'CAPEX'!$B$86+IF('Вводные'!$B$37="Денежная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компенсация",'Вводные'!$B$56*'Вводные'!$R$90*'Вводные'!$H$6,0)))*'Вводные'!$B$30,0)+IF(AND(YEAR(BH$3)=YEAR($B$7),MONTH(BH$3)=MONTH($B$7),$B$5=1),'Вводные'!$B$26*'Вводные'!$V$90*'Вводные'!$B$30,0)</x:f>
      </x:c>
      <x:c r="BI57" s="117">
        <x:f>IF(AND(YEAR(BI$3)=YEAR($B$6),MONTH(BI$3)=MONTH($B$6),$B$5=1),('CAPEX'!$B$82+'CAPEX'!$B$85+'CAPEX'!$B$86+IF('Вводные'!$B$37="Денежная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компенсация",'Вводные'!$B$56*'Вводные'!$R$90*'Вводные'!$H$6,0)))*'Вводные'!$B$30,0)+IF(AND(YEAR(BI$3)=YEAR($B$7),MONTH(BI$3)=MONTH($B$7),$B$5=1),'Вводные'!$B$26*'Вводные'!$V$90*'Вводные'!$B$30,0)</x:f>
      </x:c>
      <x:c r="BJ57" s="117">
        <x:f>IF(AND(YEAR(BJ$3)=YEAR($B$6),MONTH(BJ$3)=MONTH($B$6),$B$5=1),('CAPEX'!$B$82+'CAPEX'!$B$85+'CAPEX'!$B$86+IF('Вводные'!$B$37="Денежная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компенсация",'Вводные'!$B$56*'Вводные'!$R$90*'Вводные'!$H$6,0)))*'Вводные'!$B$30,0)+IF(AND(YEAR(BJ$3)=YEAR($B$7),MONTH(BJ$3)=MONTH($B$7),$B$5=1),'Вводные'!$B$26*'Вводные'!$V$90*'Вводные'!$B$30,0)</x:f>
      </x:c>
      <x:c r="BK57" s="117">
        <x:f>IF(AND(YEAR(BK$3)=YEAR($B$6),MONTH(BK$3)=MONTH($B$6),$B$5=1),('CAPEX'!$B$82+'CAPEX'!$B$85+'CAPEX'!$B$86+IF('Вводные'!$B$37="Денежная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компенсация",'Вводные'!$B$56*'Вводные'!$R$90*'Вводные'!$H$6,0)))*'Вводные'!$B$30,0)+IF(AND(YEAR(BK$3)=YEAR($B$7),MONTH(BK$3)=MONTH($B$7),$B$5=1),'Вводные'!$B$26*'Вводные'!$V$90*'Вводные'!$B$30,0)</x:f>
      </x:c>
      <x:c r="BL57" s="117">
        <x:f>IF(AND(YEAR(BL$3)=YEAR($B$6),MONTH(BL$3)=MONTH($B$6),$B$5=1),('CAPEX'!$B$82+'CAPEX'!$B$85+'CAPEX'!$B$86+IF('Вводные'!$B$37="Денежная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компенсация",'Вводные'!$B$56*'Вводные'!$R$90*'Вводные'!$H$6,0)))*'Вводные'!$B$30,0)+IF(AND(YEAR(BL$3)=YEAR($B$7),MONTH(BL$3)=MONTH($B$7),$B$5=1),'Вводные'!$B$26*'Вводные'!$V$90*'Вводные'!$B$30,0)</x:f>
      </x:c>
      <x:c r="BM57" s="117">
        <x:f>IF(AND(YEAR(BM$3)=YEAR($B$6),MONTH(BM$3)=MONTH($B$6),$B$5=1),('CAPEX'!$B$82+'CAPEX'!$B$85+'CAPEX'!$B$86+IF('Вводные'!$B$37="Денежная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компенсация",'Вводные'!$B$56*'Вводные'!$R$90*'Вводные'!$H$6,0)))*'Вводные'!$B$30,0)+IF(AND(YEAR(BM$3)=YEAR($B$7),MONTH(BM$3)=MONTH($B$7),$B$5=1),'Вводные'!$B$26*'Вводные'!$V$90*'Вводные'!$B$30,0)</x:f>
      </x:c>
      <x:c r="BN57" s="117">
        <x:f>IF(AND(YEAR(BN$3)=YEAR($B$6),MONTH(BN$3)=MONTH($B$6),$B$5=1),('CAPEX'!$B$82+'CAPEX'!$B$85+'CAPEX'!$B$86+IF('Вводные'!$B$37="Денежная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компенсация",'Вводные'!$B$56*'Вводные'!$R$90*'Вводные'!$H$6,0)))*'Вводные'!$B$30,0)+IF(AND(YEAR(BN$3)=YEAR($B$7),MONTH(BN$3)=MONTH($B$7),$B$5=1),'Вводные'!$B$26*'Вводные'!$V$90*'Вводные'!$B$30,0)</x:f>
      </x:c>
      <x:c r="BO57" s="117">
        <x:f>IF(AND(YEAR(BO$3)=YEAR($B$6),MONTH(BO$3)=MONTH($B$6),$B$5=1),('CAPEX'!$B$82+'CAPEX'!$B$85+'CAPEX'!$B$86+IF('Вводные'!$B$37="Денежная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компенсация",'Вводные'!$B$56*'Вводные'!$R$90*'Вводные'!$H$6,0)))*'Вводные'!$B$30,0)+IF(AND(YEAR(BO$3)=YEAR($B$7),MONTH(BO$3)=MONTH($B$7),$B$5=1),'Вводные'!$B$26*'Вводные'!$V$90*'Вводные'!$B$30,0)</x:f>
      </x:c>
      <x:c r="BP57" s="117">
        <x:f>IF(AND(YEAR(BP$3)=YEAR($B$6),MONTH(BP$3)=MONTH($B$6),$B$5=1),('CAPEX'!$B$82+'CAPEX'!$B$85+'CAPEX'!$B$86+IF('Вводные'!$B$37="Денежная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компенсация",'Вводные'!$B$56*'Вводные'!$R$90*'Вводные'!$H$6,0)))*'Вводные'!$B$30,0)+IF(AND(YEAR(BP$3)=YEAR($B$7),MONTH(BP$3)=MONTH($B$7),$B$5=1),'Вводные'!$B$26*'Вводные'!$V$90*'Вводные'!$B$30,0)</x:f>
      </x:c>
      <x:c r="BQ57" s="117">
        <x:f>IF(AND(YEAR(BQ$3)=YEAR($B$6),MONTH(BQ$3)=MONTH($B$6),$B$5=1),('CAPEX'!$B$82+'CAPEX'!$B$85+'CAPEX'!$B$86+IF('Вводные'!$B$37="Денежная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компенсация",'Вводные'!$B$56*'Вводные'!$R$90*'Вводные'!$H$6,0)))*'Вводные'!$B$30,0)+IF(AND(YEAR(BQ$3)=YEAR($B$7),MONTH(BQ$3)=MONTH($B$7),$B$5=1),'Вводные'!$B$26*'Вводные'!$V$90*'Вводные'!$B$30,0)</x:f>
      </x:c>
      <x:c r="BR57" s="117">
        <x:f>IF(AND(YEAR(BR$3)=YEAR($B$6),MONTH(BR$3)=MONTH($B$6),$B$5=1),('CAPEX'!$B$82+'CAPEX'!$B$85+'CAPEX'!$B$86+IF('Вводные'!$B$37="Денежная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компенсация",'Вводные'!$B$56*'Вводные'!$R$90*'Вводные'!$H$6,0)))*'Вводные'!$B$30,0)+IF(AND(YEAR(BR$3)=YEAR($B$7),MONTH(BR$3)=MONTH($B$7),$B$5=1),'Вводные'!$B$26*'Вводные'!$V$90*'Вводные'!$B$30,0)</x:f>
      </x:c>
      <x:c r="BS57" s="117">
        <x:f>IF(AND(YEAR(BS$3)=YEAR($B$6),MONTH(BS$3)=MONTH($B$6),$B$5=1),('CAPEX'!$B$82+'CAPEX'!$B$85+'CAPEX'!$B$86+IF('Вводные'!$B$37="Денежная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компенсация",'Вводные'!$B$56*'Вводные'!$R$90*'Вводные'!$H$6,0)))*'Вводные'!$B$30,0)+IF(AND(YEAR(BS$3)=YEAR($B$7),MONTH(BS$3)=MONTH($B$7),$B$5=1),'Вводные'!$B$26*'Вводные'!$V$90*'Вводные'!$B$30,0)</x:f>
      </x:c>
      <x:c r="BT57" s="117">
        <x:f>IF(AND(YEAR(BT$3)=YEAR($B$6),MONTH(BT$3)=MONTH($B$6),$B$5=1),('CAPEX'!$B$82+'CAPEX'!$B$85+'CAPEX'!$B$86+IF('Вводные'!$B$37="Денежная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компенсация",'Вводные'!$B$56*'Вводные'!$R$90*'Вводные'!$H$6,0)))*'Вводные'!$B$30,0)+IF(AND(YEAR(BT$3)=YEAR($B$7),MONTH(BT$3)=MONTH($B$7),$B$5=1),'Вводные'!$B$26*'Вводные'!$V$90*'Вводные'!$B$30,0)</x:f>
      </x:c>
      <x:c r="BU57" s="117">
        <x:f>IF(AND(YEAR(BU$3)=YEAR($B$6),MONTH(BU$3)=MONTH($B$6),$B$5=1),('CAPEX'!$B$82+'CAPEX'!$B$85+'CAPEX'!$B$86+IF('Вводные'!$B$37="Денежная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компенсация",'Вводные'!$B$56*'Вводные'!$R$90*'Вводные'!$H$6,0)))*'Вводные'!$B$30,0)+IF(AND(YEAR(BU$3)=YEAR($B$7),MONTH(BU$3)=MONTH($B$7),$B$5=1),'Вводные'!$B$26*'Вводные'!$V$90*'Вводные'!$B$30,0)</x:f>
      </x:c>
      <x:c r="BV57" s="117">
        <x:f>IF(AND(YEAR(BV$3)=YEAR($B$6),MONTH(BV$3)=MONTH($B$6),$B$5=1),('CAPEX'!$B$82+'CAPEX'!$B$85+'CAPEX'!$B$86+IF('Вводные'!$B$37="Денежная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компенсация",'Вводные'!$B$56*'Вводные'!$R$90*'Вводные'!$H$6,0)))*'Вводные'!$B$30,0)+IF(AND(YEAR(BV$3)=YEAR($B$7),MONTH(BV$3)=MONTH($B$7),$B$5=1),'Вводные'!$B$26*'Вводные'!$V$90*'Вводные'!$B$30,0)</x:f>
      </x:c>
      <x:c r="BW57" s="117">
        <x:f>IF(AND(YEAR(BW$3)=YEAR($B$6),MONTH(BW$3)=MONTH($B$6),$B$5=1),('CAPEX'!$B$82+'CAPEX'!$B$85+'CAPEX'!$B$86+IF('Вводные'!$B$37="Денежная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компенсация",'Вводные'!$B$56*'Вводные'!$R$90*'Вводные'!$H$6,0)))*'Вводные'!$B$30,0)+IF(AND(YEAR(BW$3)=YEAR($B$7),MONTH(BW$3)=MONTH($B$7),$B$5=1),'Вводные'!$B$26*'Вводные'!$V$90*'Вводные'!$B$30,0)</x:f>
      </x:c>
      <x:c r="BX57" s="117">
        <x:f>IF(AND(YEAR(BX$3)=YEAR($B$6),MONTH(BX$3)=MONTH($B$6),$B$5=1),('CAPEX'!$B$82+'CAPEX'!$B$85+'CAPEX'!$B$86+IF('Вводные'!$B$37="Денежная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компенсация",'Вводные'!$B$56*'Вводные'!$R$90*'Вводные'!$H$6,0)))*'Вводные'!$B$30,0)+IF(AND(YEAR(BX$3)=YEAR($B$7),MONTH(BX$3)=MONTH($B$7),$B$5=1),'Вводные'!$B$26*'Вводные'!$V$90*'Вводные'!$B$30,0)</x:f>
      </x:c>
      <x:c r="BY57" s="117">
        <x:f>IF(AND(YEAR(BY$3)=YEAR($B$6),MONTH(BY$3)=MONTH($B$6),$B$5=1),('CAPEX'!$B$82+'CAPEX'!$B$85+'CAPEX'!$B$86+IF('Вводные'!$B$37="Денежная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компенсация",'Вводные'!$B$56*'Вводные'!$R$90*'Вводные'!$H$6,0)))*'Вводные'!$B$30,0)+IF(AND(YEAR(BY$3)=YEAR($B$7),MONTH(BY$3)=MONTH($B$7),$B$5=1),'Вводные'!$B$26*'Вводные'!$V$90*'Вводные'!$B$30,0)</x:f>
      </x:c>
      <x:c r="BZ57" s="117">
        <x:f>IF(AND(YEAR(BZ$3)=YEAR($B$6),MONTH(BZ$3)=MONTH($B$6),$B$5=1),('CAPEX'!$B$82+'CAPEX'!$B$85+'CAPEX'!$B$86+IF('Вводные'!$B$37="Денежная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компенсация",'Вводные'!$B$56*'Вводные'!$R$90*'Вводные'!$H$6,0)))*'Вводные'!$B$30,0)+IF(AND(YEAR(BZ$3)=YEAR($B$7),MONTH(BZ$3)=MONTH($B$7),$B$5=1),'Вводные'!$B$26*'Вводные'!$V$90*'Вводные'!$B$30,0)</x:f>
      </x:c>
      <x:c r="CA57" s="117">
        <x:f>IF(AND(YEAR(CA$3)=YEAR($B$6),MONTH(CA$3)=MONTH($B$6),$B$5=1),('CAPEX'!$B$82+'CAPEX'!$B$85+'CAPEX'!$B$86+IF('Вводные'!$B$37="Денежная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компенсация",'Вводные'!$B$56*'Вводные'!$R$90*'Вводные'!$H$6,0)))*'Вводные'!$B$30,0)+IF(AND(YEAR(CA$3)=YEAR($B$7),MONTH(CA$3)=MONTH($B$7),$B$5=1),'Вводные'!$B$26*'Вводные'!$V$90*'Вводные'!$B$30,0)</x:f>
      </x:c>
      <x:c r="CB57" s="117">
        <x:f>IF(AND(YEAR(CB$3)=YEAR($B$6),MONTH(CB$3)=MONTH($B$6),$B$5=1),('CAPEX'!$B$82+'CAPEX'!$B$85+'CAPEX'!$B$86+IF('Вводные'!$B$37="Денежная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компенсация",'Вводные'!$B$56*'Вводные'!$R$90*'Вводные'!$H$6,0)))*'Вводные'!$B$30,0)+IF(AND(YEAR(CB$3)=YEAR($B$7),MONTH(CB$3)=MONTH($B$7),$B$5=1),'Вводные'!$B$26*'Вводные'!$V$90*'Вводные'!$B$30,0)</x:f>
      </x:c>
      <x:c r="CC57" s="117">
        <x:f>IF(AND(YEAR(CC$3)=YEAR($B$6),MONTH(CC$3)=MONTH($B$6),$B$5=1),('CAPEX'!$B$82+'CAPEX'!$B$85+'CAPEX'!$B$86+IF('Вводные'!$B$37="Денежная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компенсация",'Вводные'!$B$56*'Вводные'!$R$90*'Вводные'!$H$6,0)))*'Вводные'!$B$30,0)+IF(AND(YEAR(CC$3)=YEAR($B$7),MONTH(CC$3)=MONTH($B$7),$B$5=1),'Вводные'!$B$26*'Вводные'!$V$90*'Вводные'!$B$30,0)</x:f>
      </x:c>
      <x:c r="CD57" s="117">
        <x:f>IF(AND(YEAR(CD$3)=YEAR($B$6),MONTH(CD$3)=MONTH($B$6),$B$5=1),('CAPEX'!$B$82+'CAPEX'!$B$85+'CAPEX'!$B$86+IF('Вводные'!$B$37="Денежная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компенсация",'Вводные'!$B$56*'Вводные'!$R$90*'Вводные'!$H$6,0)))*'Вводные'!$B$30,0)+IF(AND(YEAR(CD$3)=YEAR($B$7),MONTH(CD$3)=MONTH($B$7),$B$5=1),'Вводные'!$B$26*'Вводные'!$V$90*'Вводные'!$B$30,0)</x:f>
      </x:c>
      <x:c r="CE57" s="117">
        <x:f>IF(AND(YEAR(CE$3)=YEAR($B$6),MONTH(CE$3)=MONTH($B$6),$B$5=1),('CAPEX'!$B$82+'CAPEX'!$B$85+'CAPEX'!$B$86+IF('Вводные'!$B$37="Денежная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компенсация",'Вводные'!$B$56*'Вводные'!$R$90*'Вводные'!$H$6,0)))*'Вводные'!$B$30,0)+IF(AND(YEAR(CE$3)=YEAR($B$7),MONTH(CE$3)=MONTH($B$7),$B$5=1),'Вводные'!$B$26*'Вводные'!$V$90*'Вводные'!$B$30,0)</x:f>
      </x:c>
      <x:c r="CF57" s="117">
        <x:f>IF(AND(YEAR(CF$3)=YEAR($B$6),MONTH(CF$3)=MONTH($B$6),$B$5=1),('CAPEX'!$B$82+'CAPEX'!$B$85+'CAPEX'!$B$86+IF('Вводные'!$B$37="Денежная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компенсация",'Вводные'!$B$56*'Вводные'!$R$90*'Вводные'!$H$6,0)))*'Вводные'!$B$30,0)+IF(AND(YEAR(CF$3)=YEAR($B$7),MONTH(CF$3)=MONTH($B$7),$B$5=1),'Вводные'!$B$26*'Вводные'!$V$90*'Вводные'!$B$30,0)</x:f>
      </x:c>
      <x:c r="CG57" s="117">
        <x:f>IF(AND(YEAR(CG$3)=YEAR($B$6),MONTH(CG$3)=MONTH($B$6),$B$5=1),('CAPEX'!$B$82+'CAPEX'!$B$85+'CAPEX'!$B$86+IF('Вводные'!$B$37="Денежная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компенсация",'Вводные'!$B$56*'Вводные'!$R$90*'Вводные'!$H$6,0)))*'Вводные'!$B$30,0)+IF(AND(YEAR(CG$3)=YEAR($B$7),MONTH(CG$3)=MONTH($B$7),$B$5=1),'Вводные'!$B$26*'Вводные'!$V$90*'Вводные'!$B$30,0)</x:f>
      </x:c>
      <x:c r="CH57" s="117">
        <x:f>IF(AND(YEAR(CH$3)=YEAR($B$6),MONTH(CH$3)=MONTH($B$6),$B$5=1),('CAPEX'!$B$82+'CAPEX'!$B$85+'CAPEX'!$B$86+IF('Вводные'!$B$37="Денежная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компенсация",'Вводные'!$B$56*'Вводные'!$R$90*'Вводные'!$H$6,0)))*'Вводные'!$B$30,0)+IF(AND(YEAR(CH$3)=YEAR($B$7),MONTH(CH$3)=MONTH($B$7),$B$5=1),'Вводные'!$B$26*'Вводные'!$V$90*'Вводные'!$B$30,0)</x:f>
      </x:c>
      <x:c r="CI57" s="117">
        <x:f>IF(AND(YEAR(CI$3)=YEAR($B$6),MONTH(CI$3)=MONTH($B$6),$B$5=1),('CAPEX'!$B$82+'CAPEX'!$B$85+'CAPEX'!$B$86+IF('Вводные'!$B$37="Денежная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компенсация",'Вводные'!$B$56*'Вводные'!$R$90*'Вводные'!$H$6,0)))*'Вводные'!$B$30,0)+IF(AND(YEAR(CI$3)=YEAR($B$7),MONTH(CI$3)=MONTH($B$7),$B$5=1),'Вводные'!$B$26*'Вводные'!$V$90*'Вводные'!$B$30,0)</x:f>
      </x:c>
      <x:c r="CJ57" s="117">
        <x:f>IF(AND(YEAR(CJ$3)=YEAR($B$6),MONTH(CJ$3)=MONTH($B$6),$B$5=1),('CAPEX'!$B$82+'CAPEX'!$B$85+'CAPEX'!$B$86+IF('Вводные'!$B$37="Денежная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компенсация",'Вводные'!$B$56*'Вводные'!$R$90*'Вводные'!$H$6,0)))*'Вводные'!$B$30,0)+IF(AND(YEAR(CJ$3)=YEAR($B$7),MONTH(CJ$3)=MONTH($B$7),$B$5=1),'Вводные'!$B$26*'Вводные'!$V$90*'Вводные'!$B$30,0)</x:f>
      </x:c>
      <x:c r="CK57" s="117">
        <x:f>IF(AND(YEAR(CK$3)=YEAR($B$6),MONTH(CK$3)=MONTH($B$6),$B$5=1),('CAPEX'!$B$82+'CAPEX'!$B$85+'CAPEX'!$B$86+IF('Вводные'!$B$37="Денежная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компенсация",'Вводные'!$B$56*'Вводные'!$R$90*'Вводные'!$H$6,0)))*'Вводные'!$B$30,0)+IF(AND(YEAR(CK$3)=YEAR($B$7),MONTH(CK$3)=MONTH($B$7),$B$5=1),'Вводные'!$B$26*'Вводные'!$V$90*'Вводные'!$B$30,0)</x:f>
      </x:c>
      <x:c r="CL57" s="117">
        <x:f>IF(AND(YEAR(CL$3)=YEAR($B$6),MONTH(CL$3)=MONTH($B$6),$B$5=1),('CAPEX'!$B$82+'CAPEX'!$B$85+'CAPEX'!$B$86+IF('Вводные'!$B$37="Денежная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компенсация",'Вводные'!$B$56*'Вводные'!$R$90*'Вводные'!$H$6,0)))*'Вводные'!$B$30,0)+IF(AND(YEAR(CL$3)=YEAR($B$7),MONTH(CL$3)=MONTH($B$7),$B$5=1),'Вводные'!$B$26*'Вводные'!$V$90*'Вводные'!$B$30,0)</x:f>
      </x:c>
      <x:c r="CM57" s="117">
        <x:f>IF(AND(YEAR(CM$3)=YEAR($B$6),MONTH(CM$3)=MONTH($B$6),$B$5=1),('CAPEX'!$B$82+'CAPEX'!$B$85+'CAPEX'!$B$86+IF('Вводные'!$B$37="Денежная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компенсация",'Вводные'!$B$56*'Вводные'!$R$90*'Вводные'!$H$6,0)))*'Вводные'!$B$30,0)+IF(AND(YEAR(CM$3)=YEAR($B$7),MONTH(CM$3)=MONTH($B$7),$B$5=1),'Вводные'!$B$26*'Вводные'!$V$90*'Вводные'!$B$30,0)</x:f>
      </x:c>
      <x:c r="CN57" s="117">
        <x:f>IF(AND(YEAR(CN$3)=YEAR($B$6),MONTH(CN$3)=MONTH($B$6),$B$5=1),('CAPEX'!$B$82+'CAPEX'!$B$85+'CAPEX'!$B$86+IF('Вводные'!$B$37="Денежная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компенсация",'Вводные'!$B$56*'Вводные'!$R$90*'Вводные'!$H$6,0)))*'Вводные'!$B$30,0)+IF(AND(YEAR(CN$3)=YEAR($B$7),MONTH(CN$3)=MONTH($B$7),$B$5=1),'Вводные'!$B$26*'Вводные'!$V$90*'Вводные'!$B$30,0)</x:f>
      </x:c>
      <x:c r="CO57" s="117">
        <x:f>IF(AND(YEAR(CO$3)=YEAR($B$6),MONTH(CO$3)=MONTH($B$6),$B$5=1),('CAPEX'!$B$82+'CAPEX'!$B$85+'CAPEX'!$B$86+IF('Вводные'!$B$37="Денежная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компенсация",'Вводные'!$B$56*'Вводные'!$R$90*'Вводные'!$H$6,0)))*'Вводные'!$B$30,0)+IF(AND(YEAR(CO$3)=YEAR($B$7),MONTH(CO$3)=MONTH($B$7),$B$5=1),'Вводные'!$B$26*'Вводные'!$V$90*'Вводные'!$B$30,0)</x:f>
      </x:c>
      <x:c r="CP57" s="117">
        <x:f>IF(AND(YEAR(CP$3)=YEAR($B$6),MONTH(CP$3)=MONTH($B$6),$B$5=1),('CAPEX'!$B$82+'CAPEX'!$B$85+'CAPEX'!$B$86+IF('Вводные'!$B$37="Денежная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компенсация",'Вводные'!$B$56*'Вводные'!$R$90*'Вводные'!$H$6,0)))*'Вводные'!$B$30,0)+IF(AND(YEAR(CP$3)=YEAR($B$7),MONTH(CP$3)=MONTH($B$7),$B$5=1),'Вводные'!$B$26*'Вводные'!$V$90*'Вводные'!$B$30,0)</x:f>
      </x:c>
      <x:c r="CQ57" s="117">
        <x:f>IF(AND(YEAR(CQ$3)=YEAR($B$6),MONTH(CQ$3)=MONTH($B$6),$B$5=1),('CAPEX'!$B$82+'CAPEX'!$B$85+'CAPEX'!$B$86+IF('Вводные'!$B$37="Денежная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компенсация",'Вводные'!$B$56*'Вводные'!$R$90*'Вводные'!$H$6,0)))*'Вводные'!$B$30,0)+IF(AND(YEAR(CQ$3)=YEAR($B$7),MONTH(CQ$3)=MONTH($B$7),$B$5=1),'Вводные'!$B$26*'Вводные'!$V$90*'Вводные'!$B$30,0)</x:f>
      </x:c>
      <x:c r="CR57" s="117">
        <x:f>IF(AND(YEAR(CR$3)=YEAR($B$6),MONTH(CR$3)=MONTH($B$6),$B$5=1),('CAPEX'!$B$82+'CAPEX'!$B$85+'CAPEX'!$B$86+IF('Вводные'!$B$37="Денежная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компенсация",'Вводные'!$B$56*'Вводные'!$R$90*'Вводные'!$H$6,0)))*'Вводные'!$B$30,0)+IF(AND(YEAR(CR$3)=YEAR($B$7),MONTH(CR$3)=MONTH($B$7),$B$5=1),'Вводные'!$B$26*'Вводные'!$V$90*'Вводные'!$B$30,0)</x:f>
      </x:c>
      <x:c r="CS57" s="117">
        <x:f>IF(AND(YEAR(CS$3)=YEAR($B$6),MONTH(CS$3)=MONTH($B$6),$B$5=1),('CAPEX'!$B$82+'CAPEX'!$B$85+'CAPEX'!$B$86+IF('Вводные'!$B$37="Денежная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компенсация",'Вводные'!$B$56*'Вводные'!$R$90*'Вводные'!$H$6,0)))*'Вводные'!$B$30,0)+IF(AND(YEAR(CS$3)=YEAR($B$7),MONTH(CS$3)=MONTH($B$7),$B$5=1),'Вводные'!$B$26*'Вводные'!$V$90*'Вводные'!$B$30,0)</x:f>
      </x:c>
      <x:c r="CT57" s="117">
        <x:f>IF(AND(YEAR(CT$3)=YEAR($B$6),MONTH(CT$3)=MONTH($B$6),$B$5=1),('CAPEX'!$B$82+'CAPEX'!$B$85+'CAPEX'!$B$86+IF('Вводные'!$B$37="Денежная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компенсация",'Вводные'!$B$56*'Вводные'!$R$90*'Вводные'!$H$6,0)))*'Вводные'!$B$30,0)+IF(AND(YEAR(CT$3)=YEAR($B$7),MONTH(CT$3)=MONTH($B$7),$B$5=1),'Вводные'!$B$26*'Вводные'!$V$90*'Вводные'!$B$30,0)</x:f>
      </x:c>
      <x:c r="CU57" s="117">
        <x:f>IF(AND(YEAR(CU$3)=YEAR($B$6),MONTH(CU$3)=MONTH($B$6),$B$5=1),('CAPEX'!$B$82+'CAPEX'!$B$85+'CAPEX'!$B$86+IF('Вводные'!$B$37="Денежная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компенсация",'Вводные'!$B$56*'Вводные'!$R$90*'Вводные'!$H$6,0)))*'Вводные'!$B$30,0)+IF(AND(YEAR(CU$3)=YEAR($B$7),MONTH(CU$3)=MONTH($B$7),$B$5=1),'Вводные'!$B$26*'Вводные'!$V$90*'Вводные'!$B$30,0)</x:f>
      </x:c>
      <x:c r="CV57" s="117">
        <x:f>IF(AND(YEAR(CV$3)=YEAR($B$6),MONTH(CV$3)=MONTH($B$6),$B$5=1),('CAPEX'!$B$82+'CAPEX'!$B$85+'CAPEX'!$B$86+IF('Вводные'!$B$37="Денежная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компенсация",'Вводные'!$B$56*'Вводные'!$R$90*'Вводные'!$H$6,0)))*'Вводные'!$B$30,0)+IF(AND(YEAR(CV$3)=YEAR($B$7),MONTH(CV$3)=MONTH($B$7),$B$5=1),'Вводные'!$B$26*'Вводные'!$V$90*'Вводные'!$B$30,0)</x:f>
      </x:c>
      <x:c r="CW57" s="117">
        <x:f>IF(AND(YEAR(CW$3)=YEAR($B$6),MONTH(CW$3)=MONTH($B$6),$B$5=1),('CAPEX'!$B$82+'CAPEX'!$B$85+'CAPEX'!$B$86+IF('Вводные'!$B$37="Денежная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компенсация",'Вводные'!$B$56*'Вводные'!$R$90*'Вводные'!$H$6,0)))*'Вводные'!$B$30,0)+IF(AND(YEAR(CW$3)=YEAR($B$7),MONTH(CW$3)=MONTH($B$7),$B$5=1),'Вводные'!$B$26*'Вводные'!$V$90*'Вводные'!$B$30,0)</x:f>
      </x:c>
      <x:c r="CX57" s="117">
        <x:f>IF(AND(YEAR(CX$3)=YEAR($B$6),MONTH(CX$3)=MONTH($B$6),$B$5=1),('CAPEX'!$B$82+'CAPEX'!$B$85+'CAPEX'!$B$86+IF('Вводные'!$B$37="Денежная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компенсация",'Вводные'!$B$56*'Вводные'!$R$90*'Вводные'!$H$6,0)))*'Вводные'!$B$30,0)+IF(AND(YEAR(CX$3)=YEAR($B$7),MONTH(CX$3)=MONTH($B$7),$B$5=1),'Вводные'!$B$26*'Вводные'!$V$90*'Вводные'!$B$30,0)</x:f>
      </x:c>
      <x:c r="CY57" s="117">
        <x:f>IF(AND(YEAR(CY$3)=YEAR($B$6),MONTH(CY$3)=MONTH($B$6),$B$5=1),('CAPEX'!$B$82+'CAPEX'!$B$85+'CAPEX'!$B$86+IF('Вводные'!$B$37="Денежная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компенсация",'Вводные'!$B$56*'Вводные'!$R$90*'Вводные'!$H$6,0)))*'Вводные'!$B$30,0)+IF(AND(YEAR(CY$3)=YEAR($B$7),MONTH(CY$3)=MONTH($B$7),$B$5=1),'Вводные'!$B$26*'Вводные'!$V$90*'Вводные'!$B$30,0)</x:f>
      </x:c>
      <x:c r="CZ57" s="117">
        <x:f>IF(AND(YEAR(CZ$3)=YEAR($B$6),MONTH(CZ$3)=MONTH($B$6),$B$5=1),('CAPEX'!$B$82+'CAPEX'!$B$85+'CAPEX'!$B$86+IF('Вводные'!$B$37="Денежная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компенсация",'Вводные'!$B$56*'Вводные'!$R$90*'Вводные'!$H$6,0)))*'Вводные'!$B$30,0)+IF(AND(YEAR(CZ$3)=YEAR($B$7),MONTH(CZ$3)=MONTH($B$7),$B$5=1),'Вводные'!$B$26*'Вводные'!$V$90*'Вводные'!$B$30,0)</x:f>
      </x:c>
      <x:c r="DA57" s="117">
        <x:f>IF(AND(YEAR(DA$3)=YEAR($B$6),MONTH(DA$3)=MONTH($B$6),$B$5=1),('CAPEX'!$B$82+'CAPEX'!$B$85+'CAPEX'!$B$86+IF('Вводные'!$B$37="Денежная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компенсация",'Вводные'!$B$56*'Вводные'!$R$90*'Вводные'!$H$6,0)))*'Вводные'!$B$30,0)+IF(AND(YEAR(DA$3)=YEAR($B$7),MONTH(DA$3)=MONTH($B$7),$B$5=1),'Вводные'!$B$26*'Вводные'!$V$90*'Вводные'!$B$30,0)</x:f>
      </x:c>
      <x:c r="DB57" s="117">
        <x:f>IF(AND(YEAR(DB$3)=YEAR($B$6),MONTH(DB$3)=MONTH($B$6),$B$5=1),('CAPEX'!$B$82+'CAPEX'!$B$85+'CAPEX'!$B$86+IF('Вводные'!$B$37="Денежная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компенсация",'Вводные'!$B$56*'Вводные'!$R$90*'Вводные'!$H$6,0)))*'Вводные'!$B$30,0)+IF(AND(YEAR(DB$3)=YEAR($B$7),MONTH(DB$3)=MONTH($B$7),$B$5=1),'Вводные'!$B$26*'Вводные'!$V$90*'Вводные'!$B$30,0)</x:f>
      </x:c>
      <x:c r="DC57" s="117">
        <x:f>IF(AND(YEAR(DC$3)=YEAR($B$6),MONTH(DC$3)=MONTH($B$6),$B$5=1),('CAPEX'!$B$82+'CAPEX'!$B$85+'CAPEX'!$B$86+IF('Вводные'!$B$37="Денежная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компенсация",'Вводные'!$B$56*'Вводные'!$R$90*'Вводные'!$H$6,0)))*'Вводные'!$B$30,0)+IF(AND(YEAR(DC$3)=YEAR($B$7),MONTH(DC$3)=MONTH($B$7),$B$5=1),'Вводные'!$B$26*'Вводные'!$V$90*'Вводные'!$B$30,0)</x:f>
      </x:c>
      <x:c r="DD57" s="117">
        <x:f>IF(AND(YEAR(DD$3)=YEAR($B$6),MONTH(DD$3)=MONTH($B$6),$B$5=1),('CAPEX'!$B$82+'CAPEX'!$B$85+'CAPEX'!$B$86+IF('Вводные'!$B$37="Денежная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компенсация",'Вводные'!$B$56*'Вводные'!$R$90*'Вводные'!$H$6,0)))*'Вводные'!$B$30,0)+IF(AND(YEAR(DD$3)=YEAR($B$7),MONTH(DD$3)=MONTH($B$7),$B$5=1),'Вводные'!$B$26*'Вводные'!$V$90*'Вводные'!$B$30,0)</x:f>
      </x:c>
      <x:c r="DE57" s="117">
        <x:f>IF(AND(YEAR(DE$3)=YEAR($B$6),MONTH(DE$3)=MONTH($B$6),$B$5=1),('CAPEX'!$B$82+'CAPEX'!$B$85+'CAPEX'!$B$86+IF('Вводные'!$B$37="Денежная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компенсация",'Вводные'!$B$56*'Вводные'!$R$90*'Вводные'!$H$6,0)))*'Вводные'!$B$30,0)+IF(AND(YEAR(DE$3)=YEAR($B$7),MONTH(DE$3)=MONTH($B$7),$B$5=1),'Вводные'!$B$26*'Вводные'!$V$90*'Вводные'!$B$30,0)</x:f>
      </x:c>
      <x:c r="DF57" s="117">
        <x:f>IF(AND(YEAR(DF$3)=YEAR($B$6),MONTH(DF$3)=MONTH($B$6),$B$5=1),('CAPEX'!$B$82+'CAPEX'!$B$85+'CAPEX'!$B$86+IF('Вводные'!$B$37="Денежная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компенсация",'Вводные'!$B$56*'Вводные'!$R$90*'Вводные'!$H$6,0)))*'Вводные'!$B$30,0)+IF(AND(YEAR(DF$3)=YEAR($B$7),MONTH(DF$3)=MONTH($B$7),$B$5=1),'Вводные'!$B$26*'Вводные'!$V$90*'Вводные'!$B$30,0)</x:f>
      </x:c>
      <x:c r="DG57" s="117">
        <x:f>IF(AND(YEAR(DG$3)=YEAR($B$6),MONTH(DG$3)=MONTH($B$6),$B$5=1),('CAPEX'!$B$82+'CAPEX'!$B$85+'CAPEX'!$B$86+IF('Вводные'!$B$37="Денежная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компенсация",'Вводные'!$B$56*'Вводные'!$R$90*'Вводные'!$H$6,0)))*'Вводные'!$B$30,0)+IF(AND(YEAR(DG$3)=YEAR($B$7),MONTH(DG$3)=MONTH($B$7),$B$5=1),'Вводные'!$B$26*'Вводные'!$V$90*'Вводные'!$B$30,0)</x:f>
      </x:c>
      <x:c r="DH57" s="117">
        <x:f>IF(AND(YEAR(DH$3)=YEAR($B$6),MONTH(DH$3)=MONTH($B$6),$B$5=1),('CAPEX'!$B$82+'CAPEX'!$B$85+'CAPEX'!$B$86+IF('Вводные'!$B$37="Денежная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компенсация",'Вводные'!$B$56*'Вводные'!$R$90*'Вводные'!$H$6,0)))*'Вводные'!$B$30,0)+IF(AND(YEAR(DH$3)=YEAR($B$7),MONTH(DH$3)=MONTH($B$7),$B$5=1),'Вводные'!$B$26*'Вводные'!$V$90*'Вводные'!$B$30,0)</x:f>
      </x:c>
      <x:c r="DI57" s="117">
        <x:f>IF(AND(YEAR(DI$3)=YEAR($B$6),MONTH(DI$3)=MONTH($B$6),$B$5=1),('CAPEX'!$B$82+'CAPEX'!$B$85+'CAPEX'!$B$86+IF('Вводные'!$B$37="Денежная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компенсация",'Вводные'!$B$56*'Вводные'!$R$90*'Вводные'!$H$6,0)))*'Вводные'!$B$30,0)+IF(AND(YEAR(DI$3)=YEAR($B$7),MONTH(DI$3)=MONTH($B$7),$B$5=1),'Вводные'!$B$26*'Вводные'!$V$90*'Вводные'!$B$30,0)</x:f>
      </x:c>
      <x:c r="DJ57" s="117">
        <x:f>IF(AND(YEAR(DJ$3)=YEAR($B$6),MONTH(DJ$3)=MONTH($B$6),$B$5=1),('CAPEX'!$B$82+'CAPEX'!$B$85+'CAPEX'!$B$86+IF('Вводные'!$B$37="Денежная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компенсация",'Вводные'!$B$56*'Вводные'!$R$90*'Вводные'!$H$6,0)))*'Вводные'!$B$30,0)+IF(AND(YEAR(DJ$3)=YEAR($B$7),MONTH(DJ$3)=MONTH($B$7),$B$5=1),'Вводные'!$B$26*'Вводные'!$V$90*'Вводные'!$B$30,0)</x:f>
      </x:c>
      <x:c r="DK57" s="117">
        <x:f>IF(AND(YEAR(DK$3)=YEAR($B$6),MONTH(DK$3)=MONTH($B$6),$B$5=1),('CAPEX'!$B$82+'CAPEX'!$B$85+'CAPEX'!$B$86+IF('Вводные'!$B$37="Денежная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компенсация",'Вводные'!$B$56*'Вводные'!$R$90*'Вводные'!$H$6,0)))*'Вводные'!$B$30,0)+IF(AND(YEAR(DK$3)=YEAR($B$7),MONTH(DK$3)=MONTH($B$7),$B$5=1),'Вводные'!$B$26*'Вводные'!$V$90*'Вводные'!$B$30,0)</x:f>
      </x:c>
      <x:c r="DL57" s="117">
        <x:f>IF(AND(YEAR(DL$3)=YEAR($B$6),MONTH(DL$3)=MONTH($B$6),$B$5=1),('CAPEX'!$B$82+'CAPEX'!$B$85+'CAPEX'!$B$86+IF('Вводные'!$B$37="Денежная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компенсация",'Вводные'!$B$56*'Вводные'!$R$90*'Вводные'!$H$6,0)))*'Вводные'!$B$30,0)+IF(AND(YEAR(DL$3)=YEAR($B$7),MONTH(DL$3)=MONTH($B$7),$B$5=1),'Вводные'!$B$26*'Вводные'!$V$90*'Вводные'!$B$30,0)</x:f>
      </x:c>
      <x:c r="DM57" s="117">
        <x:f>IF(AND(YEAR(DM$3)=YEAR($B$6),MONTH(DM$3)=MONTH($B$6),$B$5=1),('CAPEX'!$B$82+'CAPEX'!$B$85+'CAPEX'!$B$86+IF('Вводные'!$B$37="Денежная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компенсация",'Вводные'!$B$56*'Вводные'!$R$90*'Вводные'!$H$6,0)))*'Вводные'!$B$30,0)+IF(AND(YEAR(DM$3)=YEAR($B$7),MONTH(DM$3)=MONTH($B$7),$B$5=1),'Вводные'!$B$26*'Вводные'!$V$90*'Вводные'!$B$30,0)</x:f>
      </x:c>
      <x:c r="DN57" s="117">
        <x:f>IF(AND(YEAR(DN$3)=YEAR($B$6),MONTH(DN$3)=MONTH($B$6),$B$5=1),('CAPEX'!$B$82+'CAPEX'!$B$85+'CAPEX'!$B$86+IF('Вводные'!$B$37="Денежная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компенсация",'Вводные'!$B$56*'Вводные'!$R$90*'Вводные'!$H$6,0)))*'Вводные'!$B$30,0)+IF(AND(YEAR(DN$3)=YEAR($B$7),MONTH(DN$3)=MONTH($B$7),$B$5=1),'Вводные'!$B$26*'Вводные'!$V$90*'Вводные'!$B$30,0)</x:f>
      </x:c>
      <x:c r="DO57" s="117">
        <x:f>IF(AND(YEAR(DO$3)=YEAR($B$6),MONTH(DO$3)=MONTH($B$6),$B$5=1),('CAPEX'!$B$82+'CAPEX'!$B$85+'CAPEX'!$B$86+IF('Вводные'!$B$37="Денежная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компенсация",'Вводные'!$B$56*'Вводные'!$R$90*'Вводные'!$H$6,0)))*'Вводные'!$B$30,0)+IF(AND(YEAR(DO$3)=YEAR($B$7),MONTH(DO$3)=MONTH($B$7),$B$5=1),'Вводные'!$B$26*'Вводные'!$V$90*'Вводные'!$B$30,0)</x:f>
      </x:c>
      <x:c r="DP57" s="117">
        <x:f>IF(AND(YEAR(DP$3)=YEAR($B$6),MONTH(DP$3)=MONTH($B$6),$B$5=1),('CAPEX'!$B$82+'CAPEX'!$B$85+'CAPEX'!$B$86+IF('Вводные'!$B$37="Денежная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компенсация",'Вводные'!$B$56*'Вводные'!$R$90*'Вводные'!$H$6,0)))*'Вводные'!$B$30,0)+IF(AND(YEAR(DP$3)=YEAR($B$7),MONTH(DP$3)=MONTH($B$7),$B$5=1),'Вводные'!$B$26*'Вводные'!$V$90*'Вводные'!$B$30,0)</x:f>
      </x:c>
      <x:c r="DQ57" s="117">
        <x:f>IF(AND(YEAR(DQ$3)=YEAR($B$6),MONTH(DQ$3)=MONTH($B$6),$B$5=1),('CAPEX'!$B$82+'CAPEX'!$B$85+'CAPEX'!$B$86+IF('Вводные'!$B$37="Денежная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компенсация",'Вводные'!$B$56*'Вводные'!$R$90*'Вводные'!$H$6,0)))*'Вводные'!$B$30,0)+IF(AND(YEAR(DQ$3)=YEAR($B$7),MONTH(DQ$3)=MONTH($B$7),$B$5=1),'Вводные'!$B$26*'Вводные'!$V$90*'Вводные'!$B$30,0)</x:f>
      </x:c>
      <x:c r="DR57" s="117">
        <x:f>IF(AND(YEAR(DR$3)=YEAR($B$6),MONTH(DR$3)=MONTH($B$6),$B$5=1),('CAPEX'!$B$82+'CAPEX'!$B$85+'CAPEX'!$B$86+IF('Вводные'!$B$37="Денежная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компенсация",'Вводные'!$B$56*'Вводные'!$R$90*'Вводные'!$H$6,0)))*'Вводные'!$B$30,0)+IF(AND(YEAR(DR$3)=YEAR($B$7),MONTH(DR$3)=MONTH($B$7),$B$5=1),'Вводные'!$B$26*'Вводные'!$V$90*'Вводные'!$B$30,0)</x:f>
      </x:c>
      <x:c r="DS57" s="117">
        <x:f>IF(AND(YEAR(DS$3)=YEAR($B$6),MONTH(DS$3)=MONTH($B$6),$B$5=1),('CAPEX'!$B$82+'CAPEX'!$B$85+'CAPEX'!$B$86+IF('Вводные'!$B$37="Денежная компенсация",'CAPEX'!$B$99,IF('Вводные'!$B$37="Строительство и компенсация",'Вводные'!$B$56*'Вводные'!$R$90*'Вводные'!$H$6,0)))*'Вводные'!$B$30,0)+IF(AND(YEAR(DS$3)=YEAR($B$7),MONTH(DS$3)=MONTH($B$7),$B$5=1),'Вводные'!$B$26*'Вводные'!$V$90*'Вводные'!$B$30,0)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MAX(0,'Вводные'!$B$85*'Вводные'!$AI$90-D56)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SUM('CF_1'!D43,'CF_2'!D43,'CF_3'!D43,'CF_4'!D43,'CF_1'!D57,'CF_2'!D57,'CF_3'!D57,'CF_4'!D57)</x:f>
      </x:c>
      <x:c r="E21" s="117" t="n">
        <x:f>SUM('CF_1'!E43,'CF_2'!E43,'CF_3'!E43,'CF_4'!E43,'CF_1'!E57,'CF_2'!E57,'CF_3'!E57,'CF_4'!E57)</x:f>
      </x:c>
      <x:c r="F21" s="117" t="n">
        <x:f>SUM('CF_1'!F43,'CF_2'!F43,'CF_3'!F43,'CF_4'!F43,'CF_1'!F57,'CF_2'!F57,'CF_3'!F57,'CF_4'!F57)</x:f>
      </x:c>
      <x:c r="G21" s="117" t="n">
        <x:f>SUM('CF_1'!G43,'CF_2'!G43,'CF_3'!G43,'CF_4'!G43,'CF_1'!G57,'CF_2'!G57,'CF_3'!G57,'CF_4'!G57)</x:f>
      </x:c>
      <x:c r="H21" s="117" t="n">
        <x:f>SUM('CF_1'!H43,'CF_2'!H43,'CF_3'!H43,'CF_4'!H43,'CF_1'!H57,'CF_2'!H57,'CF_3'!H57,'CF_4'!H57)</x:f>
      </x:c>
      <x:c r="I21" s="117" t="n">
        <x:f>SUM('CF_1'!I43,'CF_2'!I43,'CF_3'!I43,'CF_4'!I43,'CF_1'!I57,'CF_2'!I57,'CF_3'!I57,'CF_4'!I57)</x:f>
      </x:c>
      <x:c r="J21" s="117" t="n">
        <x:f>SUM('CF_1'!J43,'CF_2'!J43,'CF_3'!J43,'CF_4'!J43,'CF_1'!J57,'CF_2'!J57,'CF_3'!J57,'CF_4'!J57)</x:f>
      </x:c>
      <x:c r="K21" s="117" t="n">
        <x:f>SUM('CF_1'!K43,'CF_2'!K43,'CF_3'!K43,'CF_4'!K43,'CF_1'!K57,'CF_2'!K57,'CF_3'!K57,'CF_4'!K57)</x:f>
      </x:c>
      <x:c r="L21" s="117" t="n">
        <x:f>SUM('CF_1'!L43,'CF_2'!L43,'CF_3'!L43,'CF_4'!L43,'CF_1'!L57,'CF_2'!L57,'CF_3'!L57,'CF_4'!L57)</x:f>
      </x:c>
      <x:c r="M21" s="117" t="n">
        <x:f>SUM('CF_1'!M43,'CF_2'!M43,'CF_3'!M43,'CF_4'!M43,'CF_1'!M57,'CF_2'!M57,'CF_3'!M57,'CF_4'!M57)</x:f>
      </x:c>
      <x:c r="N21" s="117" t="n">
        <x:f>SUM('CF_1'!N43,'CF_2'!N43,'CF_3'!N43,'CF_4'!N43,'CF_1'!N57,'CF_2'!N57,'CF_3'!N57,'CF_4'!N57)</x:f>
      </x:c>
      <x:c r="O21" s="117" t="n">
        <x:f>SUM('CF_1'!O43,'CF_2'!O43,'CF_3'!O43,'CF_4'!O43,'CF_1'!O57,'CF_2'!O57,'CF_3'!O57,'CF_4'!O57)</x:f>
      </x:c>
      <x:c r="P21" s="117" t="n">
        <x:f>SUM('CF_1'!P43,'CF_2'!P43,'CF_3'!P43,'CF_4'!P43,'CF_1'!P57,'CF_2'!P57,'CF_3'!P57,'CF_4'!P57)</x:f>
      </x:c>
      <x:c r="Q21" s="117" t="n">
        <x:f>SUM('CF_1'!Q43,'CF_2'!Q43,'CF_3'!Q43,'CF_4'!Q43,'CF_1'!Q57,'CF_2'!Q57,'CF_3'!Q57,'CF_4'!Q57)</x:f>
      </x:c>
      <x:c r="R21" s="117" t="n">
        <x:f>SUM('CF_1'!R43,'CF_2'!R43,'CF_3'!R43,'CF_4'!R43,'CF_1'!R57,'CF_2'!R57,'CF_3'!R57,'CF_4'!R57)</x:f>
      </x:c>
      <x:c r="S21" s="117" t="n">
        <x:f>SUM('CF_1'!S43,'CF_2'!S43,'CF_3'!S43,'CF_4'!S43,'CF_1'!S57,'CF_2'!S57,'CF_3'!S57,'CF_4'!S57)</x:f>
      </x:c>
      <x:c r="T21" s="117" t="n">
        <x:f>SUM('CF_1'!T43,'CF_2'!T43,'CF_3'!T43,'CF_4'!T43,'CF_1'!T57,'CF_2'!T57,'CF_3'!T57,'CF_4'!T57)</x:f>
      </x:c>
      <x:c r="U21" s="117" t="n">
        <x:f>SUM('CF_1'!U43,'CF_2'!U43,'CF_3'!U43,'CF_4'!U43,'CF_1'!U57,'CF_2'!U57,'CF_3'!U57,'CF_4'!U57)</x:f>
      </x:c>
      <x:c r="V21" s="117" t="n">
        <x:f>SUM('CF_1'!V43,'CF_2'!V43,'CF_3'!V43,'CF_4'!V43,'CF_1'!V57,'CF_2'!V57,'CF_3'!V57,'CF_4'!V57)</x:f>
      </x:c>
      <x:c r="W21" s="117" t="n">
        <x:f>SUM('CF_1'!W43,'CF_2'!W43,'CF_3'!W43,'CF_4'!W43,'CF_1'!W57,'CF_2'!W57,'CF_3'!W57,'CF_4'!W57)</x:f>
      </x:c>
      <x:c r="X21" s="117" t="n">
        <x:f>SUM('CF_1'!X43,'CF_2'!X43,'CF_3'!X43,'CF_4'!X43,'CF_1'!X57,'CF_2'!X57,'CF_3'!X57,'CF_4'!X57)</x:f>
      </x:c>
      <x:c r="Y21" s="117" t="n">
        <x:f>SUM('CF_1'!Y43,'CF_2'!Y43,'CF_3'!Y43,'CF_4'!Y43,'CF_1'!Y57,'CF_2'!Y57,'CF_3'!Y57,'CF_4'!Y57)</x:f>
      </x:c>
      <x:c r="Z21" s="117" t="n">
        <x:f>SUM('CF_1'!Z43,'CF_2'!Z43,'CF_3'!Z43,'CF_4'!Z43,'CF_1'!Z57,'CF_2'!Z57,'CF_3'!Z57,'CF_4'!Z57)</x:f>
      </x:c>
      <x:c r="AA21" s="117" t="n">
        <x:f>SUM('CF_1'!AA43,'CF_2'!AA43,'CF_3'!AA43,'CF_4'!AA43,'CF_1'!AA57,'CF_2'!AA57,'CF_3'!AA57,'CF_4'!AA57)</x:f>
      </x:c>
      <x:c r="AB21" s="117" t="n">
        <x:f>SUM('CF_1'!AB43,'CF_2'!AB43,'CF_3'!AB43,'CF_4'!AB43,'CF_1'!AB57,'CF_2'!AB57,'CF_3'!AB57,'CF_4'!AB57)</x:f>
      </x:c>
      <x:c r="AC21" s="117" t="n">
        <x:f>SUM('CF_1'!AC43,'CF_2'!AC43,'CF_3'!AC43,'CF_4'!AC43,'CF_1'!AC57,'CF_2'!AC57,'CF_3'!AC57,'CF_4'!AC57)</x:f>
      </x:c>
      <x:c r="AD21" s="117" t="n">
        <x:f>SUM('CF_1'!AD43,'CF_2'!AD43,'CF_3'!AD43,'CF_4'!AD43,'CF_1'!AD57,'CF_2'!AD57,'CF_3'!AD57,'CF_4'!AD57)</x:f>
      </x:c>
      <x:c r="AE21" s="117" t="n">
        <x:f>SUM('CF_1'!AE43,'CF_2'!AE43,'CF_3'!AE43,'CF_4'!AE43,'CF_1'!AE57,'CF_2'!AE57,'CF_3'!AE57,'CF_4'!AE57)</x:f>
      </x:c>
      <x:c r="AF21" s="117" t="n">
        <x:f>SUM('CF_1'!AF43,'CF_2'!AF43,'CF_3'!AF43,'CF_4'!AF43,'CF_1'!AF57,'CF_2'!AF57,'CF_3'!AF57,'CF_4'!AF57)</x:f>
      </x:c>
      <x:c r="AG21" s="117" t="n">
        <x:f>SUM('CF_1'!AG43,'CF_2'!AG43,'CF_3'!AG43,'CF_4'!AG43,'CF_1'!AG57,'CF_2'!AG57,'CF_3'!AG57,'CF_4'!AG57)</x:f>
      </x:c>
      <x:c r="AH21" s="117" t="n">
        <x:f>SUM('CF_1'!AH43,'CF_2'!AH43,'CF_3'!AH43,'CF_4'!AH43,'CF_1'!AH57,'CF_2'!AH57,'CF_3'!AH57,'CF_4'!AH57)</x:f>
      </x:c>
      <x:c r="AI21" s="117" t="n">
        <x:f>SUM('CF_1'!AI43,'CF_2'!AI43,'CF_3'!AI43,'CF_4'!AI43,'CF_1'!AI57,'CF_2'!AI57,'CF_3'!AI57,'CF_4'!AI57)</x:f>
      </x:c>
      <x:c r="AJ21" s="117" t="n">
        <x:f>SUM('CF_1'!AJ43,'CF_2'!AJ43,'CF_3'!AJ43,'CF_4'!AJ43,'CF_1'!AJ57,'CF_2'!AJ57,'CF_3'!AJ57,'CF_4'!AJ57)</x:f>
      </x:c>
      <x:c r="AK21" s="117" t="n">
        <x:f>SUM('CF_1'!AK43,'CF_2'!AK43,'CF_3'!AK43,'CF_4'!AK43,'CF_1'!AK57,'CF_2'!AK57,'CF_3'!AK57,'CF_4'!AK57)</x:f>
      </x:c>
      <x:c r="AL21" s="117" t="n">
        <x:f>SUM('CF_1'!AL43,'CF_2'!AL43,'CF_3'!AL43,'CF_4'!AL43,'CF_1'!AL57,'CF_2'!AL57,'CF_3'!AL57,'CF_4'!AL57)</x:f>
      </x:c>
      <x:c r="AM21" s="117" t="n">
        <x:f>SUM('CF_1'!AM43,'CF_2'!AM43,'CF_3'!AM43,'CF_4'!AM43,'CF_1'!AM57,'CF_2'!AM57,'CF_3'!AM57,'CF_4'!AM57)</x:f>
      </x:c>
      <x:c r="AN21" s="117" t="n">
        <x:f>SUM('CF_1'!AN43,'CF_2'!AN43,'CF_3'!AN43,'CF_4'!AN43,'CF_1'!AN57,'CF_2'!AN57,'CF_3'!AN57,'CF_4'!AN57)</x:f>
      </x:c>
      <x:c r="AO21" s="117" t="n">
        <x:f>SUM('CF_1'!AO43,'CF_2'!AO43,'CF_3'!AO43,'CF_4'!AO43,'CF_1'!AO57,'CF_2'!AO57,'CF_3'!AO57,'CF_4'!AO57)</x:f>
      </x:c>
      <x:c r="AP21" s="117" t="n">
        <x:f>SUM('CF_1'!AP43,'CF_2'!AP43,'CF_3'!AP43,'CF_4'!AP43,'CF_1'!AP57,'CF_2'!AP57,'CF_3'!AP57,'CF_4'!AP57)</x:f>
      </x:c>
      <x:c r="AQ21" s="117" t="n">
        <x:f>SUM('CF_1'!AQ43,'CF_2'!AQ43,'CF_3'!AQ43,'CF_4'!AQ43,'CF_1'!AQ57,'CF_2'!AQ57,'CF_3'!AQ57,'CF_4'!AQ57)</x:f>
      </x:c>
      <x:c r="AR21" s="117" t="n">
        <x:f>SUM('CF_1'!AR43,'CF_2'!AR43,'CF_3'!AR43,'CF_4'!AR43,'CF_1'!AR57,'CF_2'!AR57,'CF_3'!AR57,'CF_4'!AR57)</x:f>
      </x:c>
      <x:c r="AS21" s="117" t="n">
        <x:f>SUM('CF_1'!AS43,'CF_2'!AS43,'CF_3'!AS43,'CF_4'!AS43,'CF_1'!AS57,'CF_2'!AS57,'CF_3'!AS57,'CF_4'!AS57)</x:f>
      </x:c>
      <x:c r="AT21" s="117" t="n">
        <x:f>SUM('CF_1'!AT43,'CF_2'!AT43,'CF_3'!AT43,'CF_4'!AT43,'CF_1'!AT57,'CF_2'!AT57,'CF_3'!AT57,'CF_4'!AT57)</x:f>
      </x:c>
      <x:c r="AU21" s="117" t="n">
        <x:f>SUM('CF_1'!AU43,'CF_2'!AU43,'CF_3'!AU43,'CF_4'!AU43,'CF_1'!AU57,'CF_2'!AU57,'CF_3'!AU57,'CF_4'!AU57)</x:f>
      </x:c>
      <x:c r="AV21" s="117" t="n">
        <x:f>SUM('CF_1'!AV43,'CF_2'!AV43,'CF_3'!AV43,'CF_4'!AV43,'CF_1'!AV57,'CF_2'!AV57,'CF_3'!AV57,'CF_4'!AV57)</x:f>
      </x:c>
      <x:c r="AW21" s="117" t="n">
        <x:f>SUM('CF_1'!AW43,'CF_2'!AW43,'CF_3'!AW43,'CF_4'!AW43,'CF_1'!AW57,'CF_2'!AW57,'CF_3'!AW57,'CF_4'!AW57)</x:f>
      </x:c>
      <x:c r="AX21" s="117" t="n">
        <x:f>SUM('CF_1'!AX43,'CF_2'!AX43,'CF_3'!AX43,'CF_4'!AX43,'CF_1'!AX57,'CF_2'!AX57,'CF_3'!AX57,'CF_4'!AX57)</x:f>
      </x:c>
      <x:c r="AY21" s="117" t="n">
        <x:f>SUM('CF_1'!AY43,'CF_2'!AY43,'CF_3'!AY43,'CF_4'!AY43,'CF_1'!AY57,'CF_2'!AY57,'CF_3'!AY57,'CF_4'!AY57)</x:f>
      </x:c>
      <x:c r="AZ21" s="117" t="n">
        <x:f>SUM('CF_1'!AZ43,'CF_2'!AZ43,'CF_3'!AZ43,'CF_4'!AZ43,'CF_1'!AZ57,'CF_2'!AZ57,'CF_3'!AZ57,'CF_4'!AZ57)</x:f>
      </x:c>
      <x:c r="BA21" s="117" t="n">
        <x:f>SUM('CF_1'!BA43,'CF_2'!BA43,'CF_3'!BA43,'CF_4'!BA43,'CF_1'!BA57,'CF_2'!BA57,'CF_3'!BA57,'CF_4'!BA57)</x:f>
      </x:c>
      <x:c r="BB21" s="117" t="n">
        <x:f>SUM('CF_1'!BB43,'CF_2'!BB43,'CF_3'!BB43,'CF_4'!BB43,'CF_1'!BB57,'CF_2'!BB57,'CF_3'!BB57,'CF_4'!BB57)</x:f>
      </x:c>
      <x:c r="BC21" s="117" t="n">
        <x:f>SUM('CF_1'!BC43,'CF_2'!BC43,'CF_3'!BC43,'CF_4'!BC43,'CF_1'!BC57,'CF_2'!BC57,'CF_3'!BC57,'CF_4'!BC57)</x:f>
      </x:c>
      <x:c r="BD21" s="117" t="n">
        <x:f>SUM('CF_1'!BD43,'CF_2'!BD43,'CF_3'!BD43,'CF_4'!BD43,'CF_1'!BD57,'CF_2'!BD57,'CF_3'!BD57,'CF_4'!BD57)</x:f>
      </x:c>
      <x:c r="BE21" s="117" t="n">
        <x:f>SUM('CF_1'!BE43,'CF_2'!BE43,'CF_3'!BE43,'CF_4'!BE43,'CF_1'!BE57,'CF_2'!BE57,'CF_3'!BE57,'CF_4'!BE57)</x:f>
      </x:c>
      <x:c r="BF21" s="117" t="n">
        <x:f>SUM('CF_1'!BF43,'CF_2'!BF43,'CF_3'!BF43,'CF_4'!BF43,'CF_1'!BF57,'CF_2'!BF57,'CF_3'!BF57,'CF_4'!BF57)</x:f>
      </x:c>
      <x:c r="BG21" s="117" t="n">
        <x:f>SUM('CF_1'!BG43,'CF_2'!BG43,'CF_3'!BG43,'CF_4'!BG43,'CF_1'!BG57,'CF_2'!BG57,'CF_3'!BG57,'CF_4'!BG57)</x:f>
      </x:c>
      <x:c r="BH21" s="117" t="n">
        <x:f>SUM('CF_1'!BH43,'CF_2'!BH43,'CF_3'!BH43,'CF_4'!BH43,'CF_1'!BH57,'CF_2'!BH57,'CF_3'!BH57,'CF_4'!BH57)</x:f>
      </x:c>
      <x:c r="BI21" s="117" t="n">
        <x:f>SUM('CF_1'!BI43,'CF_2'!BI43,'CF_3'!BI43,'CF_4'!BI43,'CF_1'!BI57,'CF_2'!BI57,'CF_3'!BI57,'CF_4'!BI57)</x:f>
      </x:c>
      <x:c r="BJ21" s="117" t="n">
        <x:f>SUM('CF_1'!BJ43,'CF_2'!BJ43,'CF_3'!BJ43,'CF_4'!BJ43,'CF_1'!BJ57,'CF_2'!BJ57,'CF_3'!BJ57,'CF_4'!BJ57)</x:f>
      </x:c>
      <x:c r="BK21" s="117" t="n">
        <x:f>SUM('CF_1'!BK43,'CF_2'!BK43,'CF_3'!BK43,'CF_4'!BK43,'CF_1'!BK57,'CF_2'!BK57,'CF_3'!BK57,'CF_4'!BK57)</x:f>
      </x:c>
      <x:c r="BL21" s="117" t="n">
        <x:f>SUM('CF_1'!BL43,'CF_2'!BL43,'CF_3'!BL43,'CF_4'!BL43,'CF_1'!BL57,'CF_2'!BL57,'CF_3'!BL57,'CF_4'!BL57)</x:f>
      </x:c>
      <x:c r="BM21" s="117" t="n">
        <x:f>SUM('CF_1'!BM43,'CF_2'!BM43,'CF_3'!BM43,'CF_4'!BM43,'CF_1'!BM57,'CF_2'!BM57,'CF_3'!BM57,'CF_4'!BM57)</x:f>
      </x:c>
      <x:c r="BN21" s="117" t="n">
        <x:f>SUM('CF_1'!BN43,'CF_2'!BN43,'CF_3'!BN43,'CF_4'!BN43,'CF_1'!BN57,'CF_2'!BN57,'CF_3'!BN57,'CF_4'!BN57)</x:f>
      </x:c>
      <x:c r="BO21" s="117" t="n">
        <x:f>SUM('CF_1'!BO43,'CF_2'!BO43,'CF_3'!BO43,'CF_4'!BO43,'CF_1'!BO57,'CF_2'!BO57,'CF_3'!BO57,'CF_4'!BO57)</x:f>
      </x:c>
      <x:c r="BP21" s="117" t="n">
        <x:f>SUM('CF_1'!BP43,'CF_2'!BP43,'CF_3'!BP43,'CF_4'!BP43,'CF_1'!BP57,'CF_2'!BP57,'CF_3'!BP57,'CF_4'!BP57)</x:f>
      </x:c>
      <x:c r="BQ21" s="117" t="n">
        <x:f>SUM('CF_1'!BQ43,'CF_2'!BQ43,'CF_3'!BQ43,'CF_4'!BQ43,'CF_1'!BQ57,'CF_2'!BQ57,'CF_3'!BQ57,'CF_4'!BQ57)</x:f>
      </x:c>
      <x:c r="BR21" s="117" t="n">
        <x:f>SUM('CF_1'!BR43,'CF_2'!BR43,'CF_3'!BR43,'CF_4'!BR43,'CF_1'!BR57,'CF_2'!BR57,'CF_3'!BR57,'CF_4'!BR57)</x:f>
      </x:c>
      <x:c r="BS21" s="117" t="n">
        <x:f>SUM('CF_1'!BS43,'CF_2'!BS43,'CF_3'!BS43,'CF_4'!BS43,'CF_1'!BS57,'CF_2'!BS57,'CF_3'!BS57,'CF_4'!BS57)</x:f>
      </x:c>
      <x:c r="BT21" s="117" t="n">
        <x:f>SUM('CF_1'!BT43,'CF_2'!BT43,'CF_3'!BT43,'CF_4'!BT43,'CF_1'!BT57,'CF_2'!BT57,'CF_3'!BT57,'CF_4'!BT57)</x:f>
      </x:c>
      <x:c r="BU21" s="117" t="n">
        <x:f>SUM('CF_1'!BU43,'CF_2'!BU43,'CF_3'!BU43,'CF_4'!BU43,'CF_1'!BU57,'CF_2'!BU57,'CF_3'!BU57,'CF_4'!BU57)</x:f>
      </x:c>
      <x:c r="BV21" s="117" t="n">
        <x:f>SUM('CF_1'!BV43,'CF_2'!BV43,'CF_3'!BV43,'CF_4'!BV43,'CF_1'!BV57,'CF_2'!BV57,'CF_3'!BV57,'CF_4'!BV57)</x:f>
      </x:c>
      <x:c r="BW21" s="117" t="n">
        <x:f>SUM('CF_1'!BW43,'CF_2'!BW43,'CF_3'!BW43,'CF_4'!BW43,'CF_1'!BW57,'CF_2'!BW57,'CF_3'!BW57,'CF_4'!BW57)</x:f>
      </x:c>
      <x:c r="BX21" s="117" t="n">
        <x:f>SUM('CF_1'!BX43,'CF_2'!BX43,'CF_3'!BX43,'CF_4'!BX43,'CF_1'!BX57,'CF_2'!BX57,'CF_3'!BX57,'CF_4'!BX57)</x:f>
      </x:c>
      <x:c r="BY21" s="117" t="n">
        <x:f>SUM('CF_1'!BY43,'CF_2'!BY43,'CF_3'!BY43,'CF_4'!BY43,'CF_1'!BY57,'CF_2'!BY57,'CF_3'!BY57,'CF_4'!BY57)</x:f>
      </x:c>
      <x:c r="BZ21" s="117" t="n">
        <x:f>SUM('CF_1'!BZ43,'CF_2'!BZ43,'CF_3'!BZ43,'CF_4'!BZ43,'CF_1'!BZ57,'CF_2'!BZ57,'CF_3'!BZ57,'CF_4'!BZ57)</x:f>
      </x:c>
      <x:c r="CA21" s="117" t="n">
        <x:f>SUM('CF_1'!CA43,'CF_2'!CA43,'CF_3'!CA43,'CF_4'!CA43,'CF_1'!CA57,'CF_2'!CA57,'CF_3'!CA57,'CF_4'!CA57)</x:f>
      </x:c>
      <x:c r="CB21" s="117" t="n">
        <x:f>SUM('CF_1'!CB43,'CF_2'!CB43,'CF_3'!CB43,'CF_4'!CB43,'CF_1'!CB57,'CF_2'!CB57,'CF_3'!CB57,'CF_4'!CB57)</x:f>
      </x:c>
      <x:c r="CC21" s="117" t="n">
        <x:f>SUM('CF_1'!CC43,'CF_2'!CC43,'CF_3'!CC43,'CF_4'!CC43,'CF_1'!CC57,'CF_2'!CC57,'CF_3'!CC57,'CF_4'!CC57)</x:f>
      </x:c>
      <x:c r="CD21" s="117" t="n">
        <x:f>SUM('CF_1'!CD43,'CF_2'!CD43,'CF_3'!CD43,'CF_4'!CD43,'CF_1'!CD57,'CF_2'!CD57,'CF_3'!CD57,'CF_4'!CD57)</x:f>
      </x:c>
      <x:c r="CE21" s="117" t="n">
        <x:f>SUM('CF_1'!CE43,'CF_2'!CE43,'CF_3'!CE43,'CF_4'!CE43,'CF_1'!CE57,'CF_2'!CE57,'CF_3'!CE57,'CF_4'!CE57)</x:f>
      </x:c>
      <x:c r="CF21" s="117" t="n">
        <x:f>SUM('CF_1'!CF43,'CF_2'!CF43,'CF_3'!CF43,'CF_4'!CF43,'CF_1'!CF57,'CF_2'!CF57,'CF_3'!CF57,'CF_4'!CF57)</x:f>
      </x:c>
      <x:c r="CG21" s="117" t="n">
        <x:f>SUM('CF_1'!CG43,'CF_2'!CG43,'CF_3'!CG43,'CF_4'!CG43,'CF_1'!CG57,'CF_2'!CG57,'CF_3'!CG57,'CF_4'!CG57)</x:f>
      </x:c>
      <x:c r="CH21" s="117" t="n">
        <x:f>SUM('CF_1'!CH43,'CF_2'!CH43,'CF_3'!CH43,'CF_4'!CH43,'CF_1'!CH57,'CF_2'!CH57,'CF_3'!CH57,'CF_4'!CH57)</x:f>
      </x:c>
      <x:c r="CI21" s="117" t="n">
        <x:f>SUM('CF_1'!CI43,'CF_2'!CI43,'CF_3'!CI43,'CF_4'!CI43,'CF_1'!CI57,'CF_2'!CI57,'CF_3'!CI57,'CF_4'!CI57)</x:f>
      </x:c>
      <x:c r="CJ21" s="117" t="n">
        <x:f>SUM('CF_1'!CJ43,'CF_2'!CJ43,'CF_3'!CJ43,'CF_4'!CJ43,'CF_1'!CJ57,'CF_2'!CJ57,'CF_3'!CJ57,'CF_4'!CJ57)</x:f>
      </x:c>
      <x:c r="CK21" s="117" t="n">
        <x:f>SUM('CF_1'!CK43,'CF_2'!CK43,'CF_3'!CK43,'CF_4'!CK43,'CF_1'!CK57,'CF_2'!CK57,'CF_3'!CK57,'CF_4'!CK57)</x:f>
      </x:c>
      <x:c r="CL21" s="117" t="n">
        <x:f>SUM('CF_1'!CL43,'CF_2'!CL43,'CF_3'!CL43,'CF_4'!CL43,'CF_1'!CL57,'CF_2'!CL57,'CF_3'!CL57,'CF_4'!CL57)</x:f>
      </x:c>
      <x:c r="CM21" s="117" t="n">
        <x:f>SUM('CF_1'!CM43,'CF_2'!CM43,'CF_3'!CM43,'CF_4'!CM43,'CF_1'!CM57,'CF_2'!CM57,'CF_3'!CM57,'CF_4'!CM57)</x:f>
      </x:c>
      <x:c r="CN21" s="117" t="n">
        <x:f>SUM('CF_1'!CN43,'CF_2'!CN43,'CF_3'!CN43,'CF_4'!CN43,'CF_1'!CN57,'CF_2'!CN57,'CF_3'!CN57,'CF_4'!CN57)</x:f>
      </x:c>
      <x:c r="CO21" s="117" t="n">
        <x:f>SUM('CF_1'!CO43,'CF_2'!CO43,'CF_3'!CO43,'CF_4'!CO43,'CF_1'!CO57,'CF_2'!CO57,'CF_3'!CO57,'CF_4'!CO57)</x:f>
      </x:c>
      <x:c r="CP21" s="117" t="n">
        <x:f>SUM('CF_1'!CP43,'CF_2'!CP43,'CF_3'!CP43,'CF_4'!CP43,'CF_1'!CP57,'CF_2'!CP57,'CF_3'!CP57,'CF_4'!CP57)</x:f>
      </x:c>
      <x:c r="CQ21" s="117" t="n">
        <x:f>SUM('CF_1'!CQ43,'CF_2'!CQ43,'CF_3'!CQ43,'CF_4'!CQ43,'CF_1'!CQ57,'CF_2'!CQ57,'CF_3'!CQ57,'CF_4'!CQ57)</x:f>
      </x:c>
      <x:c r="CR21" s="117" t="n">
        <x:f>SUM('CF_1'!CR43,'CF_2'!CR43,'CF_3'!CR43,'CF_4'!CR43,'CF_1'!CR57,'CF_2'!CR57,'CF_3'!CR57,'CF_4'!CR57)</x:f>
      </x:c>
      <x:c r="CS21" s="117" t="n">
        <x:f>SUM('CF_1'!CS43,'CF_2'!CS43,'CF_3'!CS43,'CF_4'!CS43,'CF_1'!CS57,'CF_2'!CS57,'CF_3'!CS57,'CF_4'!CS57)</x:f>
      </x:c>
      <x:c r="CT21" s="117" t="n">
        <x:f>SUM('CF_1'!CT43,'CF_2'!CT43,'CF_3'!CT43,'CF_4'!CT43,'CF_1'!CT57,'CF_2'!CT57,'CF_3'!CT57,'CF_4'!CT57)</x:f>
      </x:c>
      <x:c r="CU21" s="117" t="n">
        <x:f>SUM('CF_1'!CU43,'CF_2'!CU43,'CF_3'!CU43,'CF_4'!CU43,'CF_1'!CU57,'CF_2'!CU57,'CF_3'!CU57,'CF_4'!CU57)</x:f>
      </x:c>
      <x:c r="CV21" s="117" t="n">
        <x:f>SUM('CF_1'!CV43,'CF_2'!CV43,'CF_3'!CV43,'CF_4'!CV43,'CF_1'!CV57,'CF_2'!CV57,'CF_3'!CV57,'CF_4'!CV57)</x:f>
      </x:c>
      <x:c r="CW21" s="117" t="n">
        <x:f>SUM('CF_1'!CW43,'CF_2'!CW43,'CF_3'!CW43,'CF_4'!CW43,'CF_1'!CW57,'CF_2'!CW57,'CF_3'!CW57,'CF_4'!CW57)</x:f>
      </x:c>
      <x:c r="CX21" s="117" t="n">
        <x:f>SUM('CF_1'!CX43,'CF_2'!CX43,'CF_3'!CX43,'CF_4'!CX43,'CF_1'!CX57,'CF_2'!CX57,'CF_3'!CX57,'CF_4'!CX57)</x:f>
      </x:c>
      <x:c r="CY21" s="117" t="n">
        <x:f>SUM('CF_1'!CY43,'CF_2'!CY43,'CF_3'!CY43,'CF_4'!CY43,'CF_1'!CY57,'CF_2'!CY57,'CF_3'!CY57,'CF_4'!CY57)</x:f>
      </x:c>
      <x:c r="CZ21" s="117" t="n">
        <x:f>SUM('CF_1'!CZ43,'CF_2'!CZ43,'CF_3'!CZ43,'CF_4'!CZ43,'CF_1'!CZ57,'CF_2'!CZ57,'CF_3'!CZ57,'CF_4'!CZ57)</x:f>
      </x:c>
      <x:c r="DA21" s="117" t="n">
        <x:f>SUM('CF_1'!DA43,'CF_2'!DA43,'CF_3'!DA43,'CF_4'!DA43,'CF_1'!DA57,'CF_2'!DA57,'CF_3'!DA57,'CF_4'!DA57)</x:f>
      </x:c>
      <x:c r="DB21" s="117" t="n">
        <x:f>SUM('CF_1'!DB43,'CF_2'!DB43,'CF_3'!DB43,'CF_4'!DB43,'CF_1'!DB57,'CF_2'!DB57,'CF_3'!DB57,'CF_4'!DB57)</x:f>
      </x:c>
      <x:c r="DC21" s="117" t="n">
        <x:f>SUM('CF_1'!DC43,'CF_2'!DC43,'CF_3'!DC43,'CF_4'!DC43,'CF_1'!DC57,'CF_2'!DC57,'CF_3'!DC57,'CF_4'!DC57)</x:f>
      </x:c>
      <x:c r="DD21" s="117" t="n">
        <x:f>SUM('CF_1'!DD43,'CF_2'!DD43,'CF_3'!DD43,'CF_4'!DD43,'CF_1'!DD57,'CF_2'!DD57,'CF_3'!DD57,'CF_4'!DD57)</x:f>
      </x:c>
      <x:c r="DE21" s="117" t="n">
        <x:f>SUM('CF_1'!DE43,'CF_2'!DE43,'CF_3'!DE43,'CF_4'!DE43,'CF_1'!DE57,'CF_2'!DE57,'CF_3'!DE57,'CF_4'!DE57)</x:f>
      </x:c>
      <x:c r="DF21" s="117" t="n">
        <x:f>SUM('CF_1'!DF43,'CF_2'!DF43,'CF_3'!DF43,'CF_4'!DF43,'CF_1'!DF57,'CF_2'!DF57,'CF_3'!DF57,'CF_4'!DF57)</x:f>
      </x:c>
      <x:c r="DG21" s="117" t="n">
        <x:f>SUM('CF_1'!DG43,'CF_2'!DG43,'CF_3'!DG43,'CF_4'!DG43,'CF_1'!DG57,'CF_2'!DG57,'CF_3'!DG57,'CF_4'!DG57)</x:f>
      </x:c>
      <x:c r="DH21" s="117" t="n">
        <x:f>SUM('CF_1'!DH43,'CF_2'!DH43,'CF_3'!DH43,'CF_4'!DH43,'CF_1'!DH57,'CF_2'!DH57,'CF_3'!DH57,'CF_4'!DH57)</x:f>
      </x:c>
      <x:c r="DI21" s="117" t="n">
        <x:f>SUM('CF_1'!DI43,'CF_2'!DI43,'CF_3'!DI43,'CF_4'!DI43,'CF_1'!DI57,'CF_2'!DI57,'CF_3'!DI57,'CF_4'!DI57)</x:f>
      </x:c>
      <x:c r="DJ21" s="117" t="n">
        <x:f>SUM('CF_1'!DJ43,'CF_2'!DJ43,'CF_3'!DJ43,'CF_4'!DJ43,'CF_1'!DJ57,'CF_2'!DJ57,'CF_3'!DJ57,'CF_4'!DJ57)</x:f>
      </x:c>
      <x:c r="DK21" s="117" t="n">
        <x:f>SUM('CF_1'!DK43,'CF_2'!DK43,'CF_3'!DK43,'CF_4'!DK43,'CF_1'!DK57,'CF_2'!DK57,'CF_3'!DK57,'CF_4'!DK57)</x:f>
      </x:c>
      <x:c r="DL21" s="117" t="n">
        <x:f>SUM('CF_1'!DL43,'CF_2'!DL43,'CF_3'!DL43,'CF_4'!DL43,'CF_1'!DL57,'CF_2'!DL57,'CF_3'!DL57,'CF_4'!DL57)</x:f>
      </x:c>
      <x:c r="DM21" s="117" t="n">
        <x:f>SUM('CF_1'!DM43,'CF_2'!DM43,'CF_3'!DM43,'CF_4'!DM43,'CF_1'!DM57,'CF_2'!DM57,'CF_3'!DM57,'CF_4'!DM57)</x:f>
      </x:c>
      <x:c r="DN21" s="117" t="n">
        <x:f>SUM('CF_1'!DN43,'CF_2'!DN43,'CF_3'!DN43,'CF_4'!DN43,'CF_1'!DN57,'CF_2'!DN57,'CF_3'!DN57,'CF_4'!DN57)</x:f>
      </x:c>
      <x:c r="DO21" s="117" t="n">
        <x:f>SUM('CF_1'!DO43,'CF_2'!DO43,'CF_3'!DO43,'CF_4'!DO43,'CF_1'!DO57,'CF_2'!DO57,'CF_3'!DO57,'CF_4'!DO57)</x:f>
      </x:c>
      <x:c r="DP21" s="117" t="n">
        <x:f>SUM('CF_1'!DP43,'CF_2'!DP43,'CF_3'!DP43,'CF_4'!DP43,'CF_1'!DP57,'CF_2'!DP57,'CF_3'!DP57,'CF_4'!DP57)</x:f>
      </x:c>
      <x:c r="DQ21" s="117" t="n">
        <x:f>SUM('CF_1'!DQ43,'CF_2'!DQ43,'CF_3'!DQ43,'CF_4'!DQ43,'CF_1'!DQ57,'CF_2'!DQ57,'CF_3'!DQ57,'CF_4'!DQ57)</x:f>
      </x:c>
      <x:c r="DR21" s="117" t="n">
        <x:f>SUM('CF_1'!DR43,'CF_2'!DR43,'CF_3'!DR43,'CF_4'!DR43,'CF_1'!DR57,'CF_2'!DR57,'CF_3'!DR57,'CF_4'!DR57)</x:f>
      </x:c>
      <x:c r="DS21" s="117" t="n">
        <x:f>SUM('CF_1'!DS43,'CF_2'!DS43,'CF_3'!DS43,'CF_4'!DS43,'CF_1'!DS57,'CF_2'!DS57,'CF_3'!DS57,'CF_4'!DS57)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-SUM('CF_1'!D21:DS21,'CF_2'!D21:DS21,'CF_3'!D21:DS21,'CF_4'!D21:DS21)+SUM('CF_1'!D45:DS45,'CF_2'!D45:DS45,'CF_3'!D45:DS45,'CF_4'!D45:DS45))/(SUM('CF_1'!D45:DS45,'CF_2'!D45:DS45,'CF_3'!D45:DS45,'CF_4'!D45:DS45)+SUM('CF_1'!B74,'CF_2'!B74,'CF_3'!B74,'CF_4'!B74)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  <x:row r="31">
      <x:c r="A31" t="inlineStr">
        <x:is>
          <x:t>Первый облагаемый месяц (самый ранний РВЭ)</x:t>
        </x:is>
      </x:c>
      <x:c r="B31">
        <x:f>MIN(IF('Вводные'!$B$88="Да",'CF_1'!$B$8,99999),IF('Вводные'!$B$89="Да",'CF_2'!$B$8,99999),IF('Вводные'!$B$90="Да",'CF_3'!$B$8,99999),IF('Вводные'!$B$91="Да",'CF_4'!$B$8,99999))</x:f>
      </x:c>
    </x:row>
    <x:row r="32">
      <x:c r="A32" t="inlineStr">
        <x:is>
          <x:t>Налоговый результат месяца (свод)</x:t>
        </x:is>
      </x:c>
      <x:c r="B32">
        <x:f>SUM(D32:DS32)</x:f>
      </x:c>
      <x:c r="D32">
        <x:f>SUM('CF_1'!D22,'CF_2'!D22,'CF_3'!D22,'CF_4'!D22)</x:f>
      </x:c>
      <x:c r="E32">
        <x:f>SUM('CF_1'!E22,'CF_2'!E22,'CF_3'!E22,'CF_4'!E22)</x:f>
      </x:c>
      <x:c r="F32">
        <x:f>SUM('CF_1'!F22,'CF_2'!F22,'CF_3'!F22,'CF_4'!F22)</x:f>
      </x:c>
      <x:c r="G32">
        <x:f>SUM('CF_1'!G22,'CF_2'!G22,'CF_3'!G22,'CF_4'!G22)</x:f>
      </x:c>
      <x:c r="H32">
        <x:f>SUM('CF_1'!H22,'CF_2'!H22,'CF_3'!H22,'CF_4'!H22)</x:f>
      </x:c>
      <x:c r="I32">
        <x:f>SUM('CF_1'!I22,'CF_2'!I22,'CF_3'!I22,'CF_4'!I22)</x:f>
      </x:c>
      <x:c r="J32">
        <x:f>SUM('CF_1'!J22,'CF_2'!J22,'CF_3'!J22,'CF_4'!J22)</x:f>
      </x:c>
      <x:c r="K32">
        <x:f>SUM('CF_1'!K22,'CF_2'!K22,'CF_3'!K22,'CF_4'!K22)</x:f>
      </x:c>
      <x:c r="L32">
        <x:f>SUM('CF_1'!L22,'CF_2'!L22,'CF_3'!L22,'CF_4'!L22)</x:f>
      </x:c>
      <x:c r="M32">
        <x:f>SUM('CF_1'!M22,'CF_2'!M22,'CF_3'!M22,'CF_4'!M22)</x:f>
      </x:c>
      <x:c r="N32">
        <x:f>SUM('CF_1'!N22,'CF_2'!N22,'CF_3'!N22,'CF_4'!N22)</x:f>
      </x:c>
      <x:c r="O32">
        <x:f>SUM('CF_1'!O22,'CF_2'!O22,'CF_3'!O22,'CF_4'!O22)</x:f>
      </x:c>
      <x:c r="P32">
        <x:f>SUM('CF_1'!P22,'CF_2'!P22,'CF_3'!P22,'CF_4'!P22)</x:f>
      </x:c>
      <x:c r="Q32">
        <x:f>SUM('CF_1'!Q22,'CF_2'!Q22,'CF_3'!Q22,'CF_4'!Q22)</x:f>
      </x:c>
      <x:c r="R32">
        <x:f>SUM('CF_1'!R22,'CF_2'!R22,'CF_3'!R22,'CF_4'!R22)</x:f>
      </x:c>
      <x:c r="S32">
        <x:f>SUM('CF_1'!S22,'CF_2'!S22,'CF_3'!S22,'CF_4'!S22)</x:f>
      </x:c>
      <x:c r="T32">
        <x:f>SUM('CF_1'!T22,'CF_2'!T22,'CF_3'!T22,'CF_4'!T22)</x:f>
      </x:c>
      <x:c r="U32">
        <x:f>SUM('CF_1'!U22,'CF_2'!U22,'CF_3'!U22,'CF_4'!U22)</x:f>
      </x:c>
      <x:c r="V32">
        <x:f>SUM('CF_1'!V22,'CF_2'!V22,'CF_3'!V22,'CF_4'!V22)</x:f>
      </x:c>
      <x:c r="W32">
        <x:f>SUM('CF_1'!W22,'CF_2'!W22,'CF_3'!W22,'CF_4'!W22)</x:f>
      </x:c>
      <x:c r="X32">
        <x:f>SUM('CF_1'!X22,'CF_2'!X22,'CF_3'!X22,'CF_4'!X22)</x:f>
      </x:c>
      <x:c r="Y32">
        <x:f>SUM('CF_1'!Y22,'CF_2'!Y22,'CF_3'!Y22,'CF_4'!Y22)</x:f>
      </x:c>
      <x:c r="Z32">
        <x:f>SUM('CF_1'!Z22,'CF_2'!Z22,'CF_3'!Z22,'CF_4'!Z22)</x:f>
      </x:c>
      <x:c r="AA32">
        <x:f>SUM('CF_1'!AA22,'CF_2'!AA22,'CF_3'!AA22,'CF_4'!AA22)</x:f>
      </x:c>
      <x:c r="AB32">
        <x:f>SUM('CF_1'!AB22,'CF_2'!AB22,'CF_3'!AB22,'CF_4'!AB22)</x:f>
      </x:c>
      <x:c r="AC32">
        <x:f>SUM('CF_1'!AC22,'CF_2'!AC22,'CF_3'!AC22,'CF_4'!AC22)</x:f>
      </x:c>
      <x:c r="AD32">
        <x:f>SUM('CF_1'!AD22,'CF_2'!AD22,'CF_3'!AD22,'CF_4'!AD22)</x:f>
      </x:c>
      <x:c r="AE32">
        <x:f>SUM('CF_1'!AE22,'CF_2'!AE22,'CF_3'!AE22,'CF_4'!AE22)</x:f>
      </x:c>
      <x:c r="AF32">
        <x:f>SUM('CF_1'!AF22,'CF_2'!AF22,'CF_3'!AF22,'CF_4'!AF22)</x:f>
      </x:c>
      <x:c r="AG32">
        <x:f>SUM('CF_1'!AG22,'CF_2'!AG22,'CF_3'!AG22,'CF_4'!AG22)</x:f>
      </x:c>
      <x:c r="AH32">
        <x:f>SUM('CF_1'!AH22,'CF_2'!AH22,'CF_3'!AH22,'CF_4'!AH22)</x:f>
      </x:c>
      <x:c r="AI32">
        <x:f>SUM('CF_1'!AI22,'CF_2'!AI22,'CF_3'!AI22,'CF_4'!AI22)</x:f>
      </x:c>
      <x:c r="AJ32">
        <x:f>SUM('CF_1'!AJ22,'CF_2'!AJ22,'CF_3'!AJ22,'CF_4'!AJ22)</x:f>
      </x:c>
      <x:c r="AK32">
        <x:f>SUM('CF_1'!AK22,'CF_2'!AK22,'CF_3'!AK22,'CF_4'!AK22)</x:f>
      </x:c>
      <x:c r="AL32">
        <x:f>SUM('CF_1'!AL22,'CF_2'!AL22,'CF_3'!AL22,'CF_4'!AL22)</x:f>
      </x:c>
      <x:c r="AM32">
        <x:f>SUM('CF_1'!AM22,'CF_2'!AM22,'CF_3'!AM22,'CF_4'!AM22)</x:f>
      </x:c>
      <x:c r="AN32">
        <x:f>SUM('CF_1'!AN22,'CF_2'!AN22,'CF_3'!AN22,'CF_4'!AN22)</x:f>
      </x:c>
      <x:c r="AO32">
        <x:f>SUM('CF_1'!AO22,'CF_2'!AO22,'CF_3'!AO22,'CF_4'!AO22)</x:f>
      </x:c>
      <x:c r="AP32">
        <x:f>SUM('CF_1'!AP22,'CF_2'!AP22,'CF_3'!AP22,'CF_4'!AP22)</x:f>
      </x:c>
      <x:c r="AQ32">
        <x:f>SUM('CF_1'!AQ22,'CF_2'!AQ22,'CF_3'!AQ22,'CF_4'!AQ22)</x:f>
      </x:c>
      <x:c r="AR32">
        <x:f>SUM('CF_1'!AR22,'CF_2'!AR22,'CF_3'!AR22,'CF_4'!AR22)</x:f>
      </x:c>
      <x:c r="AS32">
        <x:f>SUM('CF_1'!AS22,'CF_2'!AS22,'CF_3'!AS22,'CF_4'!AS22)</x:f>
      </x:c>
      <x:c r="AT32">
        <x:f>SUM('CF_1'!AT22,'CF_2'!AT22,'CF_3'!AT22,'CF_4'!AT22)</x:f>
      </x:c>
      <x:c r="AU32">
        <x:f>SUM('CF_1'!AU22,'CF_2'!AU22,'CF_3'!AU22,'CF_4'!AU22)</x:f>
      </x:c>
      <x:c r="AV32">
        <x:f>SUM('CF_1'!AV22,'CF_2'!AV22,'CF_3'!AV22,'CF_4'!AV22)</x:f>
      </x:c>
      <x:c r="AW32">
        <x:f>SUM('CF_1'!AW22,'CF_2'!AW22,'CF_3'!AW22,'CF_4'!AW22)</x:f>
      </x:c>
      <x:c r="AX32">
        <x:f>SUM('CF_1'!AX22,'CF_2'!AX22,'CF_3'!AX22,'CF_4'!AX22)</x:f>
      </x:c>
      <x:c r="AY32">
        <x:f>SUM('CF_1'!AY22,'CF_2'!AY22,'CF_3'!AY22,'CF_4'!AY22)</x:f>
      </x:c>
      <x:c r="AZ32">
        <x:f>SUM('CF_1'!AZ22,'CF_2'!AZ22,'CF_3'!AZ22,'CF_4'!AZ22)</x:f>
      </x:c>
      <x:c r="BA32">
        <x:f>SUM('CF_1'!BA22,'CF_2'!BA22,'CF_3'!BA22,'CF_4'!BA22)</x:f>
      </x:c>
      <x:c r="BB32">
        <x:f>SUM('CF_1'!BB22,'CF_2'!BB22,'CF_3'!BB22,'CF_4'!BB22)</x:f>
      </x:c>
      <x:c r="BC32">
        <x:f>SUM('CF_1'!BC22,'CF_2'!BC22,'CF_3'!BC22,'CF_4'!BC22)</x:f>
      </x:c>
      <x:c r="BD32">
        <x:f>SUM('CF_1'!BD22,'CF_2'!BD22,'CF_3'!BD22,'CF_4'!BD22)</x:f>
      </x:c>
      <x:c r="BE32">
        <x:f>SUM('CF_1'!BE22,'CF_2'!BE22,'CF_3'!BE22,'CF_4'!BE22)</x:f>
      </x:c>
      <x:c r="BF32">
        <x:f>SUM('CF_1'!BF22,'CF_2'!BF22,'CF_3'!BF22,'CF_4'!BF22)</x:f>
      </x:c>
      <x:c r="BG32">
        <x:f>SUM('CF_1'!BG22,'CF_2'!BG22,'CF_3'!BG22,'CF_4'!BG22)</x:f>
      </x:c>
      <x:c r="BH32">
        <x:f>SUM('CF_1'!BH22,'CF_2'!BH22,'CF_3'!BH22,'CF_4'!BH22)</x:f>
      </x:c>
      <x:c r="BI32">
        <x:f>SUM('CF_1'!BI22,'CF_2'!BI22,'CF_3'!BI22,'CF_4'!BI22)</x:f>
      </x:c>
      <x:c r="BJ32">
        <x:f>SUM('CF_1'!BJ22,'CF_2'!BJ22,'CF_3'!BJ22,'CF_4'!BJ22)</x:f>
      </x:c>
      <x:c r="BK32">
        <x:f>SUM('CF_1'!BK22,'CF_2'!BK22,'CF_3'!BK22,'CF_4'!BK22)</x:f>
      </x:c>
      <x:c r="BL32">
        <x:f>SUM('CF_1'!BL22,'CF_2'!BL22,'CF_3'!BL22,'CF_4'!BL22)</x:f>
      </x:c>
      <x:c r="BM32">
        <x:f>SUM('CF_1'!BM22,'CF_2'!BM22,'CF_3'!BM22,'CF_4'!BM22)</x:f>
      </x:c>
      <x:c r="BN32">
        <x:f>SUM('CF_1'!BN22,'CF_2'!BN22,'CF_3'!BN22,'CF_4'!BN22)</x:f>
      </x:c>
      <x:c r="BO32">
        <x:f>SUM('CF_1'!BO22,'CF_2'!BO22,'CF_3'!BO22,'CF_4'!BO22)</x:f>
      </x:c>
      <x:c r="BP32">
        <x:f>SUM('CF_1'!BP22,'CF_2'!BP22,'CF_3'!BP22,'CF_4'!BP22)</x:f>
      </x:c>
      <x:c r="BQ32">
        <x:f>SUM('CF_1'!BQ22,'CF_2'!BQ22,'CF_3'!BQ22,'CF_4'!BQ22)</x:f>
      </x:c>
      <x:c r="BR32">
        <x:f>SUM('CF_1'!BR22,'CF_2'!BR22,'CF_3'!BR22,'CF_4'!BR22)</x:f>
      </x:c>
      <x:c r="BS32">
        <x:f>SUM('CF_1'!BS22,'CF_2'!BS22,'CF_3'!BS22,'CF_4'!BS22)</x:f>
      </x:c>
      <x:c r="BT32">
        <x:f>SUM('CF_1'!BT22,'CF_2'!BT22,'CF_3'!BT22,'CF_4'!BT22)</x:f>
      </x:c>
      <x:c r="BU32">
        <x:f>SUM('CF_1'!BU22,'CF_2'!BU22,'CF_3'!BU22,'CF_4'!BU22)</x:f>
      </x:c>
      <x:c r="BV32">
        <x:f>SUM('CF_1'!BV22,'CF_2'!BV22,'CF_3'!BV22,'CF_4'!BV22)</x:f>
      </x:c>
      <x:c r="BW32">
        <x:f>SUM('CF_1'!BW22,'CF_2'!BW22,'CF_3'!BW22,'CF_4'!BW22)</x:f>
      </x:c>
      <x:c r="BX32">
        <x:f>SUM('CF_1'!BX22,'CF_2'!BX22,'CF_3'!BX22,'CF_4'!BX22)</x:f>
      </x:c>
      <x:c r="BY32">
        <x:f>SUM('CF_1'!BY22,'CF_2'!BY22,'CF_3'!BY22,'CF_4'!BY22)</x:f>
      </x:c>
      <x:c r="BZ32">
        <x:f>SUM('CF_1'!BZ22,'CF_2'!BZ22,'CF_3'!BZ22,'CF_4'!BZ22)</x:f>
      </x:c>
      <x:c r="CA32">
        <x:f>SUM('CF_1'!CA22,'CF_2'!CA22,'CF_3'!CA22,'CF_4'!CA22)</x:f>
      </x:c>
      <x:c r="CB32">
        <x:f>SUM('CF_1'!CB22,'CF_2'!CB22,'CF_3'!CB22,'CF_4'!CB22)</x:f>
      </x:c>
      <x:c r="CC32">
        <x:f>SUM('CF_1'!CC22,'CF_2'!CC22,'CF_3'!CC22,'CF_4'!CC22)</x:f>
      </x:c>
      <x:c r="CD32">
        <x:f>SUM('CF_1'!CD22,'CF_2'!CD22,'CF_3'!CD22,'CF_4'!CD22)</x:f>
      </x:c>
      <x:c r="CE32">
        <x:f>SUM('CF_1'!CE22,'CF_2'!CE22,'CF_3'!CE22,'CF_4'!CE22)</x:f>
      </x:c>
      <x:c r="CF32">
        <x:f>SUM('CF_1'!CF22,'CF_2'!CF22,'CF_3'!CF22,'CF_4'!CF22)</x:f>
      </x:c>
      <x:c r="CG32">
        <x:f>SUM('CF_1'!CG22,'CF_2'!CG22,'CF_3'!CG22,'CF_4'!CG22)</x:f>
      </x:c>
      <x:c r="CH32">
        <x:f>SUM('CF_1'!CH22,'CF_2'!CH22,'CF_3'!CH22,'CF_4'!CH22)</x:f>
      </x:c>
      <x:c r="CI32">
        <x:f>SUM('CF_1'!CI22,'CF_2'!CI22,'CF_3'!CI22,'CF_4'!CI22)</x:f>
      </x:c>
      <x:c r="CJ32">
        <x:f>SUM('CF_1'!CJ22,'CF_2'!CJ22,'CF_3'!CJ22,'CF_4'!CJ22)</x:f>
      </x:c>
      <x:c r="CK32">
        <x:f>SUM('CF_1'!CK22,'CF_2'!CK22,'CF_3'!CK22,'CF_4'!CK22)</x:f>
      </x:c>
      <x:c r="CL32">
        <x:f>SUM('CF_1'!CL22,'CF_2'!CL22,'CF_3'!CL22,'CF_4'!CL22)</x:f>
      </x:c>
      <x:c r="CM32">
        <x:f>SUM('CF_1'!CM22,'CF_2'!CM22,'CF_3'!CM22,'CF_4'!CM22)</x:f>
      </x:c>
      <x:c r="CN32">
        <x:f>SUM('CF_1'!CN22,'CF_2'!CN22,'CF_3'!CN22,'CF_4'!CN22)</x:f>
      </x:c>
      <x:c r="CO32">
        <x:f>SUM('CF_1'!CO22,'CF_2'!CO22,'CF_3'!CO22,'CF_4'!CO22)</x:f>
      </x:c>
      <x:c r="CP32">
        <x:f>SUM('CF_1'!CP22,'CF_2'!CP22,'CF_3'!CP22,'CF_4'!CP22)</x:f>
      </x:c>
      <x:c r="CQ32">
        <x:f>SUM('CF_1'!CQ22,'CF_2'!CQ22,'CF_3'!CQ22,'CF_4'!CQ22)</x:f>
      </x:c>
      <x:c r="CR32">
        <x:f>SUM('CF_1'!CR22,'CF_2'!CR22,'CF_3'!CR22,'CF_4'!CR22)</x:f>
      </x:c>
      <x:c r="CS32">
        <x:f>SUM('CF_1'!CS22,'CF_2'!CS22,'CF_3'!CS22,'CF_4'!CS22)</x:f>
      </x:c>
      <x:c r="CT32">
        <x:f>SUM('CF_1'!CT22,'CF_2'!CT22,'CF_3'!CT22,'CF_4'!CT22)</x:f>
      </x:c>
      <x:c r="CU32">
        <x:f>SUM('CF_1'!CU22,'CF_2'!CU22,'CF_3'!CU22,'CF_4'!CU22)</x:f>
      </x:c>
      <x:c r="CV32">
        <x:f>SUM('CF_1'!CV22,'CF_2'!CV22,'CF_3'!CV22,'CF_4'!CV22)</x:f>
      </x:c>
      <x:c r="CW32">
        <x:f>SUM('CF_1'!CW22,'CF_2'!CW22,'CF_3'!CW22,'CF_4'!CW22)</x:f>
      </x:c>
      <x:c r="CX32">
        <x:f>SUM('CF_1'!CX22,'CF_2'!CX22,'CF_3'!CX22,'CF_4'!CX22)</x:f>
      </x:c>
      <x:c r="CY32">
        <x:f>SUM('CF_1'!CY22,'CF_2'!CY22,'CF_3'!CY22,'CF_4'!CY22)</x:f>
      </x:c>
      <x:c r="CZ32">
        <x:f>SUM('CF_1'!CZ22,'CF_2'!CZ22,'CF_3'!CZ22,'CF_4'!CZ22)</x:f>
      </x:c>
      <x:c r="DA32">
        <x:f>SUM('CF_1'!DA22,'CF_2'!DA22,'CF_3'!DA22,'CF_4'!DA22)</x:f>
      </x:c>
      <x:c r="DB32">
        <x:f>SUM('CF_1'!DB22,'CF_2'!DB22,'CF_3'!DB22,'CF_4'!DB22)</x:f>
      </x:c>
      <x:c r="DC32">
        <x:f>SUM('CF_1'!DC22,'CF_2'!DC22,'CF_3'!DC22,'CF_4'!DC22)</x:f>
      </x:c>
      <x:c r="DD32">
        <x:f>SUM('CF_1'!DD22,'CF_2'!DD22,'CF_3'!DD22,'CF_4'!DD22)</x:f>
      </x:c>
      <x:c r="DE32">
        <x:f>SUM('CF_1'!DE22,'CF_2'!DE22,'CF_3'!DE22,'CF_4'!DE22)</x:f>
      </x:c>
      <x:c r="DF32">
        <x:f>SUM('CF_1'!DF22,'CF_2'!DF22,'CF_3'!DF22,'CF_4'!DF22)</x:f>
      </x:c>
      <x:c r="DG32">
        <x:f>SUM('CF_1'!DG22,'CF_2'!DG22,'CF_3'!DG22,'CF_4'!DG22)</x:f>
      </x:c>
      <x:c r="DH32">
        <x:f>SUM('CF_1'!DH22,'CF_2'!DH22,'CF_3'!DH22,'CF_4'!DH22)</x:f>
      </x:c>
      <x:c r="DI32">
        <x:f>SUM('CF_1'!DI22,'CF_2'!DI22,'CF_3'!DI22,'CF_4'!DI22)</x:f>
      </x:c>
      <x:c r="DJ32">
        <x:f>SUM('CF_1'!DJ22,'CF_2'!DJ22,'CF_3'!DJ22,'CF_4'!DJ22)</x:f>
      </x:c>
      <x:c r="DK32">
        <x:f>SUM('CF_1'!DK22,'CF_2'!DK22,'CF_3'!DK22,'CF_4'!DK22)</x:f>
      </x:c>
      <x:c r="DL32">
        <x:f>SUM('CF_1'!DL22,'CF_2'!DL22,'CF_3'!DL22,'CF_4'!DL22)</x:f>
      </x:c>
      <x:c r="DM32">
        <x:f>SUM('CF_1'!DM22,'CF_2'!DM22,'CF_3'!DM22,'CF_4'!DM22)</x:f>
      </x:c>
      <x:c r="DN32">
        <x:f>SUM('CF_1'!DN22,'CF_2'!DN22,'CF_3'!DN22,'CF_4'!DN22)</x:f>
      </x:c>
      <x:c r="DO32">
        <x:f>SUM('CF_1'!DO22,'CF_2'!DO22,'CF_3'!DO22,'CF_4'!DO22)</x:f>
      </x:c>
      <x:c r="DP32">
        <x:f>SUM('CF_1'!DP22,'CF_2'!DP22,'CF_3'!DP22,'CF_4'!DP22)</x:f>
      </x:c>
      <x:c r="DQ32">
        <x:f>SUM('CF_1'!DQ22,'CF_2'!DQ22,'CF_3'!DQ22,'CF_4'!DQ22)</x:f>
      </x:c>
      <x:c r="DR32">
        <x:f>SUM('CF_1'!DR22,'CF_2'!DR22,'CF_3'!DR22,'CF_4'!DR22)</x:f>
      </x:c>
      <x:c r="DS32">
        <x:f>SUM('CF_1'!DS22,'CF_2'!DS22,'CF_3'!DS22,'CF_4'!DS22)</x:f>
      </x:c>
    </x:row>
    <x:row r="33">
      <x:c r="A33" t="inlineStr">
        <x:is>
          <x:t>Результат года нарастающим</x:t>
        </x:is>
      </x:c>
      <x:c r="D33">
        <x:f>D32</x:f>
      </x:c>
      <x:c r="E33">
        <x:f>IF(AND(E$3&gt;=$B$31,D$3&gt;=$B$31),IF(YEAR(E$3)=YEAR(D$3),D33+E32,E32),D33+E32)</x:f>
      </x:c>
      <x:c r="F33">
        <x:f>IF(AND(F$3&gt;=$B$31,E$3&gt;=$B$31),IF(YEAR(F$3)=YEAR(E$3),E33+F32,F32),E33+F32)</x:f>
      </x:c>
      <x:c r="G33">
        <x:f>IF(AND(G$3&gt;=$B$31,F$3&gt;=$B$31),IF(YEAR(G$3)=YEAR(F$3),F33+G32,G32),F33+G32)</x:f>
      </x:c>
      <x:c r="H33">
        <x:f>IF(AND(H$3&gt;=$B$31,G$3&gt;=$B$31),IF(YEAR(H$3)=YEAR(G$3),G33+H32,H32),G33+H32)</x:f>
      </x:c>
      <x:c r="I33">
        <x:f>IF(AND(I$3&gt;=$B$31,H$3&gt;=$B$31),IF(YEAR(I$3)=YEAR(H$3),H33+I32,I32),H33+I32)</x:f>
      </x:c>
      <x:c r="J33">
        <x:f>IF(AND(J$3&gt;=$B$31,I$3&gt;=$B$31),IF(YEAR(J$3)=YEAR(I$3),I33+J32,J32),I33+J32)</x:f>
      </x:c>
      <x:c r="K33">
        <x:f>IF(AND(K$3&gt;=$B$31,J$3&gt;=$B$31),IF(YEAR(K$3)=YEAR(J$3),J33+K32,K32),J33+K32)</x:f>
      </x:c>
      <x:c r="L33">
        <x:f>IF(AND(L$3&gt;=$B$31,K$3&gt;=$B$31),IF(YEAR(L$3)=YEAR(K$3),K33+L32,L32),K33+L32)</x:f>
      </x:c>
      <x:c r="M33">
        <x:f>IF(AND(M$3&gt;=$B$31,L$3&gt;=$B$31),IF(YEAR(M$3)=YEAR(L$3),L33+M32,M32),L33+M32)</x:f>
      </x:c>
      <x:c r="N33">
        <x:f>IF(AND(N$3&gt;=$B$31,M$3&gt;=$B$31),IF(YEAR(N$3)=YEAR(M$3),M33+N32,N32),M33+N32)</x:f>
      </x:c>
      <x:c r="O33">
        <x:f>IF(AND(O$3&gt;=$B$31,N$3&gt;=$B$31),IF(YEAR(O$3)=YEAR(N$3),N33+O32,O32),N33+O32)</x:f>
      </x:c>
      <x:c r="P33">
        <x:f>IF(AND(P$3&gt;=$B$31,O$3&gt;=$B$31),IF(YEAR(P$3)=YEAR(O$3),O33+P32,P32),O33+P32)</x:f>
      </x:c>
      <x:c r="Q33">
        <x:f>IF(AND(Q$3&gt;=$B$31,P$3&gt;=$B$31),IF(YEAR(Q$3)=YEAR(P$3),P33+Q32,Q32),P33+Q32)</x:f>
      </x:c>
      <x:c r="R33">
        <x:f>IF(AND(R$3&gt;=$B$31,Q$3&gt;=$B$31),IF(YEAR(R$3)=YEAR(Q$3),Q33+R32,R32),Q33+R32)</x:f>
      </x:c>
      <x:c r="S33">
        <x:f>IF(AND(S$3&gt;=$B$31,R$3&gt;=$B$31),IF(YEAR(S$3)=YEAR(R$3),R33+S32,S32),R33+S32)</x:f>
      </x:c>
      <x:c r="T33">
        <x:f>IF(AND(T$3&gt;=$B$31,S$3&gt;=$B$31),IF(YEAR(T$3)=YEAR(S$3),S33+T32,T32),S33+T32)</x:f>
      </x:c>
      <x:c r="U33">
        <x:f>IF(AND(U$3&gt;=$B$31,T$3&gt;=$B$31),IF(YEAR(U$3)=YEAR(T$3),T33+U32,U32),T33+U32)</x:f>
      </x:c>
      <x:c r="V33">
        <x:f>IF(AND(V$3&gt;=$B$31,U$3&gt;=$B$31),IF(YEAR(V$3)=YEAR(U$3),U33+V32,V32),U33+V32)</x:f>
      </x:c>
      <x:c r="W33">
        <x:f>IF(AND(W$3&gt;=$B$31,V$3&gt;=$B$31),IF(YEAR(W$3)=YEAR(V$3),V33+W32,W32),V33+W32)</x:f>
      </x:c>
      <x:c r="X33">
        <x:f>IF(AND(X$3&gt;=$B$31,W$3&gt;=$B$31),IF(YEAR(X$3)=YEAR(W$3),W33+X32,X32),W33+X32)</x:f>
      </x:c>
      <x:c r="Y33">
        <x:f>IF(AND(Y$3&gt;=$B$31,X$3&gt;=$B$31),IF(YEAR(Y$3)=YEAR(X$3),X33+Y32,Y32),X33+Y32)</x:f>
      </x:c>
      <x:c r="Z33">
        <x:f>IF(AND(Z$3&gt;=$B$31,Y$3&gt;=$B$31),IF(YEAR(Z$3)=YEAR(Y$3),Y33+Z32,Z32),Y33+Z32)</x:f>
      </x:c>
      <x:c r="AA33">
        <x:f>IF(AND(AA$3&gt;=$B$31,Z$3&gt;=$B$31),IF(YEAR(AA$3)=YEAR(Z$3),Z33+AA32,AA32),Z33+AA32)</x:f>
      </x:c>
      <x:c r="AB33">
        <x:f>IF(AND(AB$3&gt;=$B$31,AA$3&gt;=$B$31),IF(YEAR(AB$3)=YEAR(AA$3),AA33+AB32,AB32),AA33+AB32)</x:f>
      </x:c>
      <x:c r="AC33">
        <x:f>IF(AND(AC$3&gt;=$B$31,AB$3&gt;=$B$31),IF(YEAR(AC$3)=YEAR(AB$3),AB33+AC32,AC32),AB33+AC32)</x:f>
      </x:c>
      <x:c r="AD33">
        <x:f>IF(AND(AD$3&gt;=$B$31,AC$3&gt;=$B$31),IF(YEAR(AD$3)=YEAR(AC$3),AC33+AD32,AD32),AC33+AD32)</x:f>
      </x:c>
      <x:c r="AE33">
        <x:f>IF(AND(AE$3&gt;=$B$31,AD$3&gt;=$B$31),IF(YEAR(AE$3)=YEAR(AD$3),AD33+AE32,AE32),AD33+AE32)</x:f>
      </x:c>
      <x:c r="AF33">
        <x:f>IF(AND(AF$3&gt;=$B$31,AE$3&gt;=$B$31),IF(YEAR(AF$3)=YEAR(AE$3),AE33+AF32,AF32),AE33+AF32)</x:f>
      </x:c>
      <x:c r="AG33">
        <x:f>IF(AND(AG$3&gt;=$B$31,AF$3&gt;=$B$31),IF(YEAR(AG$3)=YEAR(AF$3),AF33+AG32,AG32),AF33+AG32)</x:f>
      </x:c>
      <x:c r="AH33">
        <x:f>IF(AND(AH$3&gt;=$B$31,AG$3&gt;=$B$31),IF(YEAR(AH$3)=YEAR(AG$3),AG33+AH32,AH32),AG33+AH32)</x:f>
      </x:c>
      <x:c r="AI33">
        <x:f>IF(AND(AI$3&gt;=$B$31,AH$3&gt;=$B$31),IF(YEAR(AI$3)=YEAR(AH$3),AH33+AI32,AI32),AH33+AI32)</x:f>
      </x:c>
      <x:c r="AJ33">
        <x:f>IF(AND(AJ$3&gt;=$B$31,AI$3&gt;=$B$31),IF(YEAR(AJ$3)=YEAR(AI$3),AI33+AJ32,AJ32),AI33+AJ32)</x:f>
      </x:c>
      <x:c r="AK33">
        <x:f>IF(AND(AK$3&gt;=$B$31,AJ$3&gt;=$B$31),IF(YEAR(AK$3)=YEAR(AJ$3),AJ33+AK32,AK32),AJ33+AK32)</x:f>
      </x:c>
      <x:c r="AL33">
        <x:f>IF(AND(AL$3&gt;=$B$31,AK$3&gt;=$B$31),IF(YEAR(AL$3)=YEAR(AK$3),AK33+AL32,AL32),AK33+AL32)</x:f>
      </x:c>
      <x:c r="AM33">
        <x:f>IF(AND(AM$3&gt;=$B$31,AL$3&gt;=$B$31),IF(YEAR(AM$3)=YEAR(AL$3),AL33+AM32,AM32),AL33+AM32)</x:f>
      </x:c>
      <x:c r="AN33">
        <x:f>IF(AND(AN$3&gt;=$B$31,AM$3&gt;=$B$31),IF(YEAR(AN$3)=YEAR(AM$3),AM33+AN32,AN32),AM33+AN32)</x:f>
      </x:c>
      <x:c r="AO33">
        <x:f>IF(AND(AO$3&gt;=$B$31,AN$3&gt;=$B$31),IF(YEAR(AO$3)=YEAR(AN$3),AN33+AO32,AO32),AN33+AO32)</x:f>
      </x:c>
      <x:c r="AP33">
        <x:f>IF(AND(AP$3&gt;=$B$31,AO$3&gt;=$B$31),IF(YEAR(AP$3)=YEAR(AO$3),AO33+AP32,AP32),AO33+AP32)</x:f>
      </x:c>
      <x:c r="AQ33">
        <x:f>IF(AND(AQ$3&gt;=$B$31,AP$3&gt;=$B$31),IF(YEAR(AQ$3)=YEAR(AP$3),AP33+AQ32,AQ32),AP33+AQ32)</x:f>
      </x:c>
      <x:c r="AR33">
        <x:f>IF(AND(AR$3&gt;=$B$31,AQ$3&gt;=$B$31),IF(YEAR(AR$3)=YEAR(AQ$3),AQ33+AR32,AR32),AQ33+AR32)</x:f>
      </x:c>
      <x:c r="AS33">
        <x:f>IF(AND(AS$3&gt;=$B$31,AR$3&gt;=$B$31),IF(YEAR(AS$3)=YEAR(AR$3),AR33+AS32,AS32),AR33+AS32)</x:f>
      </x:c>
      <x:c r="AT33">
        <x:f>IF(AND(AT$3&gt;=$B$31,AS$3&gt;=$B$31),IF(YEAR(AT$3)=YEAR(AS$3),AS33+AT32,AT32),AS33+AT32)</x:f>
      </x:c>
      <x:c r="AU33">
        <x:f>IF(AND(AU$3&gt;=$B$31,AT$3&gt;=$B$31),IF(YEAR(AU$3)=YEAR(AT$3),AT33+AU32,AU32),AT33+AU32)</x:f>
      </x:c>
      <x:c r="AV33">
        <x:f>IF(AND(AV$3&gt;=$B$31,AU$3&gt;=$B$31),IF(YEAR(AV$3)=YEAR(AU$3),AU33+AV32,AV32),AU33+AV32)</x:f>
      </x:c>
      <x:c r="AW33">
        <x:f>IF(AND(AW$3&gt;=$B$31,AV$3&gt;=$B$31),IF(YEAR(AW$3)=YEAR(AV$3),AV33+AW32,AW32),AV33+AW32)</x:f>
      </x:c>
      <x:c r="AX33">
        <x:f>IF(AND(AX$3&gt;=$B$31,AW$3&gt;=$B$31),IF(YEAR(AX$3)=YEAR(AW$3),AW33+AX32,AX32),AW33+AX32)</x:f>
      </x:c>
      <x:c r="AY33">
        <x:f>IF(AND(AY$3&gt;=$B$31,AX$3&gt;=$B$31),IF(YEAR(AY$3)=YEAR(AX$3),AX33+AY32,AY32),AX33+AY32)</x:f>
      </x:c>
      <x:c r="AZ33">
        <x:f>IF(AND(AZ$3&gt;=$B$31,AY$3&gt;=$B$31),IF(YEAR(AZ$3)=YEAR(AY$3),AY33+AZ32,AZ32),AY33+AZ32)</x:f>
      </x:c>
      <x:c r="BA33">
        <x:f>IF(AND(BA$3&gt;=$B$31,AZ$3&gt;=$B$31),IF(YEAR(BA$3)=YEAR(AZ$3),AZ33+BA32,BA32),AZ33+BA32)</x:f>
      </x:c>
      <x:c r="BB33">
        <x:f>IF(AND(BB$3&gt;=$B$31,BA$3&gt;=$B$31),IF(YEAR(BB$3)=YEAR(BA$3),BA33+BB32,BB32),BA33+BB32)</x:f>
      </x:c>
      <x:c r="BC33">
        <x:f>IF(AND(BC$3&gt;=$B$31,BB$3&gt;=$B$31),IF(YEAR(BC$3)=YEAR(BB$3),BB33+BC32,BC32),BB33+BC32)</x:f>
      </x:c>
      <x:c r="BD33">
        <x:f>IF(AND(BD$3&gt;=$B$31,BC$3&gt;=$B$31),IF(YEAR(BD$3)=YEAR(BC$3),BC33+BD32,BD32),BC33+BD32)</x:f>
      </x:c>
      <x:c r="BE33">
        <x:f>IF(AND(BE$3&gt;=$B$31,BD$3&gt;=$B$31),IF(YEAR(BE$3)=YEAR(BD$3),BD33+BE32,BE32),BD33+BE32)</x:f>
      </x:c>
      <x:c r="BF33">
        <x:f>IF(AND(BF$3&gt;=$B$31,BE$3&gt;=$B$31),IF(YEAR(BF$3)=YEAR(BE$3),BE33+BF32,BF32),BE33+BF32)</x:f>
      </x:c>
      <x:c r="BG33">
        <x:f>IF(AND(BG$3&gt;=$B$31,BF$3&gt;=$B$31),IF(YEAR(BG$3)=YEAR(BF$3),BF33+BG32,BG32),BF33+BG32)</x:f>
      </x:c>
      <x:c r="BH33">
        <x:f>IF(AND(BH$3&gt;=$B$31,BG$3&gt;=$B$31),IF(YEAR(BH$3)=YEAR(BG$3),BG33+BH32,BH32),BG33+BH32)</x:f>
      </x:c>
      <x:c r="BI33">
        <x:f>IF(AND(BI$3&gt;=$B$31,BH$3&gt;=$B$31),IF(YEAR(BI$3)=YEAR(BH$3),BH33+BI32,BI32),BH33+BI32)</x:f>
      </x:c>
      <x:c r="BJ33">
        <x:f>IF(AND(BJ$3&gt;=$B$31,BI$3&gt;=$B$31),IF(YEAR(BJ$3)=YEAR(BI$3),BI33+BJ32,BJ32),BI33+BJ32)</x:f>
      </x:c>
      <x:c r="BK33">
        <x:f>IF(AND(BK$3&gt;=$B$31,BJ$3&gt;=$B$31),IF(YEAR(BK$3)=YEAR(BJ$3),BJ33+BK32,BK32),BJ33+BK32)</x:f>
      </x:c>
      <x:c r="BL33">
        <x:f>IF(AND(BL$3&gt;=$B$31,BK$3&gt;=$B$31),IF(YEAR(BL$3)=YEAR(BK$3),BK33+BL32,BL32),BK33+BL32)</x:f>
      </x:c>
      <x:c r="BM33">
        <x:f>IF(AND(BM$3&gt;=$B$31,BL$3&gt;=$B$31),IF(YEAR(BM$3)=YEAR(BL$3),BL33+BM32,BM32),BL33+BM32)</x:f>
      </x:c>
      <x:c r="BN33">
        <x:f>IF(AND(BN$3&gt;=$B$31,BM$3&gt;=$B$31),IF(YEAR(BN$3)=YEAR(BM$3),BM33+BN32,BN32),BM33+BN32)</x:f>
      </x:c>
      <x:c r="BO33">
        <x:f>IF(AND(BO$3&gt;=$B$31,BN$3&gt;=$B$31),IF(YEAR(BO$3)=YEAR(BN$3),BN33+BO32,BO32),BN33+BO32)</x:f>
      </x:c>
      <x:c r="BP33">
        <x:f>IF(AND(BP$3&gt;=$B$31,BO$3&gt;=$B$31),IF(YEAR(BP$3)=YEAR(BO$3),BO33+BP32,BP32),BO33+BP32)</x:f>
      </x:c>
      <x:c r="BQ33">
        <x:f>IF(AND(BQ$3&gt;=$B$31,BP$3&gt;=$B$31),IF(YEAR(BQ$3)=YEAR(BP$3),BP33+BQ32,BQ32),BP33+BQ32)</x:f>
      </x:c>
      <x:c r="BR33">
        <x:f>IF(AND(BR$3&gt;=$B$31,BQ$3&gt;=$B$31),IF(YEAR(BR$3)=YEAR(BQ$3),BQ33+BR32,BR32),BQ33+BR32)</x:f>
      </x:c>
      <x:c r="BS33">
        <x:f>IF(AND(BS$3&gt;=$B$31,BR$3&gt;=$B$31),IF(YEAR(BS$3)=YEAR(BR$3),BR33+BS32,BS32),BR33+BS32)</x:f>
      </x:c>
      <x:c r="BT33">
        <x:f>IF(AND(BT$3&gt;=$B$31,BS$3&gt;=$B$31),IF(YEAR(BT$3)=YEAR(BS$3),BS33+BT32,BT32),BS33+BT32)</x:f>
      </x:c>
      <x:c r="BU33">
        <x:f>IF(AND(BU$3&gt;=$B$31,BT$3&gt;=$B$31),IF(YEAR(BU$3)=YEAR(BT$3),BT33+BU32,BU32),BT33+BU32)</x:f>
      </x:c>
      <x:c r="BV33">
        <x:f>IF(AND(BV$3&gt;=$B$31,BU$3&gt;=$B$31),IF(YEAR(BV$3)=YEAR(BU$3),BU33+BV32,BV32),BU33+BV32)</x:f>
      </x:c>
      <x:c r="BW33">
        <x:f>IF(AND(BW$3&gt;=$B$31,BV$3&gt;=$B$31),IF(YEAR(BW$3)=YEAR(BV$3),BV33+BW32,BW32),BV33+BW32)</x:f>
      </x:c>
      <x:c r="BX33">
        <x:f>IF(AND(BX$3&gt;=$B$31,BW$3&gt;=$B$31),IF(YEAR(BX$3)=YEAR(BW$3),BW33+BX32,BX32),BW33+BX32)</x:f>
      </x:c>
      <x:c r="BY33">
        <x:f>IF(AND(BY$3&gt;=$B$31,BX$3&gt;=$B$31),IF(YEAR(BY$3)=YEAR(BX$3),BX33+BY32,BY32),BX33+BY32)</x:f>
      </x:c>
      <x:c r="BZ33">
        <x:f>IF(AND(BZ$3&gt;=$B$31,BY$3&gt;=$B$31),IF(YEAR(BZ$3)=YEAR(BY$3),BY33+BZ32,BZ32),BY33+BZ32)</x:f>
      </x:c>
      <x:c r="CA33">
        <x:f>IF(AND(CA$3&gt;=$B$31,BZ$3&gt;=$B$31),IF(YEAR(CA$3)=YEAR(BZ$3),BZ33+CA32,CA32),BZ33+CA32)</x:f>
      </x:c>
      <x:c r="CB33">
        <x:f>IF(AND(CB$3&gt;=$B$31,CA$3&gt;=$B$31),IF(YEAR(CB$3)=YEAR(CA$3),CA33+CB32,CB32),CA33+CB32)</x:f>
      </x:c>
      <x:c r="CC33">
        <x:f>IF(AND(CC$3&gt;=$B$31,CB$3&gt;=$B$31),IF(YEAR(CC$3)=YEAR(CB$3),CB33+CC32,CC32),CB33+CC32)</x:f>
      </x:c>
      <x:c r="CD33">
        <x:f>IF(AND(CD$3&gt;=$B$31,CC$3&gt;=$B$31),IF(YEAR(CD$3)=YEAR(CC$3),CC33+CD32,CD32),CC33+CD32)</x:f>
      </x:c>
      <x:c r="CE33">
        <x:f>IF(AND(CE$3&gt;=$B$31,CD$3&gt;=$B$31),IF(YEAR(CE$3)=YEAR(CD$3),CD33+CE32,CE32),CD33+CE32)</x:f>
      </x:c>
      <x:c r="CF33">
        <x:f>IF(AND(CF$3&gt;=$B$31,CE$3&gt;=$B$31),IF(YEAR(CF$3)=YEAR(CE$3),CE33+CF32,CF32),CE33+CF32)</x:f>
      </x:c>
      <x:c r="CG33">
        <x:f>IF(AND(CG$3&gt;=$B$31,CF$3&gt;=$B$31),IF(YEAR(CG$3)=YEAR(CF$3),CF33+CG32,CG32),CF33+CG32)</x:f>
      </x:c>
      <x:c r="CH33">
        <x:f>IF(AND(CH$3&gt;=$B$31,CG$3&gt;=$B$31),IF(YEAR(CH$3)=YEAR(CG$3),CG33+CH32,CH32),CG33+CH32)</x:f>
      </x:c>
      <x:c r="CI33">
        <x:f>IF(AND(CI$3&gt;=$B$31,CH$3&gt;=$B$31),IF(YEAR(CI$3)=YEAR(CH$3),CH33+CI32,CI32),CH33+CI32)</x:f>
      </x:c>
      <x:c r="CJ33">
        <x:f>IF(AND(CJ$3&gt;=$B$31,CI$3&gt;=$B$31),IF(YEAR(CJ$3)=YEAR(CI$3),CI33+CJ32,CJ32),CI33+CJ32)</x:f>
      </x:c>
      <x:c r="CK33">
        <x:f>IF(AND(CK$3&gt;=$B$31,CJ$3&gt;=$B$31),IF(YEAR(CK$3)=YEAR(CJ$3),CJ33+CK32,CK32),CJ33+CK32)</x:f>
      </x:c>
      <x:c r="CL33">
        <x:f>IF(AND(CL$3&gt;=$B$31,CK$3&gt;=$B$31),IF(YEAR(CL$3)=YEAR(CK$3),CK33+CL32,CL32),CK33+CL32)</x:f>
      </x:c>
      <x:c r="CM33">
        <x:f>IF(AND(CM$3&gt;=$B$31,CL$3&gt;=$B$31),IF(YEAR(CM$3)=YEAR(CL$3),CL33+CM32,CM32),CL33+CM32)</x:f>
      </x:c>
      <x:c r="CN33">
        <x:f>IF(AND(CN$3&gt;=$B$31,CM$3&gt;=$B$31),IF(YEAR(CN$3)=YEAR(CM$3),CM33+CN32,CN32),CM33+CN32)</x:f>
      </x:c>
      <x:c r="CO33">
        <x:f>IF(AND(CO$3&gt;=$B$31,CN$3&gt;=$B$31),IF(YEAR(CO$3)=YEAR(CN$3),CN33+CO32,CO32),CN33+CO32)</x:f>
      </x:c>
      <x:c r="CP33">
        <x:f>IF(AND(CP$3&gt;=$B$31,CO$3&gt;=$B$31),IF(YEAR(CP$3)=YEAR(CO$3),CO33+CP32,CP32),CO33+CP32)</x:f>
      </x:c>
      <x:c r="CQ33">
        <x:f>IF(AND(CQ$3&gt;=$B$31,CP$3&gt;=$B$31),IF(YEAR(CQ$3)=YEAR(CP$3),CP33+CQ32,CQ32),CP33+CQ32)</x:f>
      </x:c>
      <x:c r="CR33">
        <x:f>IF(AND(CR$3&gt;=$B$31,CQ$3&gt;=$B$31),IF(YEAR(CR$3)=YEAR(CQ$3),CQ33+CR32,CR32),CQ33+CR32)</x:f>
      </x:c>
      <x:c r="CS33">
        <x:f>IF(AND(CS$3&gt;=$B$31,CR$3&gt;=$B$31),IF(YEAR(CS$3)=YEAR(CR$3),CR33+CS32,CS32),CR33+CS32)</x:f>
      </x:c>
      <x:c r="CT33">
        <x:f>IF(AND(CT$3&gt;=$B$31,CS$3&gt;=$B$31),IF(YEAR(CT$3)=YEAR(CS$3),CS33+CT32,CT32),CS33+CT32)</x:f>
      </x:c>
      <x:c r="CU33">
        <x:f>IF(AND(CU$3&gt;=$B$31,CT$3&gt;=$B$31),IF(YEAR(CU$3)=YEAR(CT$3),CT33+CU32,CU32),CT33+CU32)</x:f>
      </x:c>
      <x:c r="CV33">
        <x:f>IF(AND(CV$3&gt;=$B$31,CU$3&gt;=$B$31),IF(YEAR(CV$3)=YEAR(CU$3),CU33+CV32,CV32),CU33+CV32)</x:f>
      </x:c>
      <x:c r="CW33">
        <x:f>IF(AND(CW$3&gt;=$B$31,CV$3&gt;=$B$31),IF(YEAR(CW$3)=YEAR(CV$3),CV33+CW32,CW32),CV33+CW32)</x:f>
      </x:c>
      <x:c r="CX33">
        <x:f>IF(AND(CX$3&gt;=$B$31,CW$3&gt;=$B$31),IF(YEAR(CX$3)=YEAR(CW$3),CW33+CX32,CX32),CW33+CX32)</x:f>
      </x:c>
      <x:c r="CY33">
        <x:f>IF(AND(CY$3&gt;=$B$31,CX$3&gt;=$B$31),IF(YEAR(CY$3)=YEAR(CX$3),CX33+CY32,CY32),CX33+CY32)</x:f>
      </x:c>
      <x:c r="CZ33">
        <x:f>IF(AND(CZ$3&gt;=$B$31,CY$3&gt;=$B$31),IF(YEAR(CZ$3)=YEAR(CY$3),CY33+CZ32,CZ32),CY33+CZ32)</x:f>
      </x:c>
      <x:c r="DA33">
        <x:f>IF(AND(DA$3&gt;=$B$31,CZ$3&gt;=$B$31),IF(YEAR(DA$3)=YEAR(CZ$3),CZ33+DA32,DA32),CZ33+DA32)</x:f>
      </x:c>
      <x:c r="DB33">
        <x:f>IF(AND(DB$3&gt;=$B$31,DA$3&gt;=$B$31),IF(YEAR(DB$3)=YEAR(DA$3),DA33+DB32,DB32),DA33+DB32)</x:f>
      </x:c>
      <x:c r="DC33">
        <x:f>IF(AND(DC$3&gt;=$B$31,DB$3&gt;=$B$31),IF(YEAR(DC$3)=YEAR(DB$3),DB33+DC32,DC32),DB33+DC32)</x:f>
      </x:c>
      <x:c r="DD33">
        <x:f>IF(AND(DD$3&gt;=$B$31,DC$3&gt;=$B$31),IF(YEAR(DD$3)=YEAR(DC$3),DC33+DD32,DD32),DC33+DD32)</x:f>
      </x:c>
      <x:c r="DE33">
        <x:f>IF(AND(DE$3&gt;=$B$31,DD$3&gt;=$B$31),IF(YEAR(DE$3)=YEAR(DD$3),DD33+DE32,DE32),DD33+DE32)</x:f>
      </x:c>
      <x:c r="DF33">
        <x:f>IF(AND(DF$3&gt;=$B$31,DE$3&gt;=$B$31),IF(YEAR(DF$3)=YEAR(DE$3),DE33+DF32,DF32),DE33+DF32)</x:f>
      </x:c>
      <x:c r="DG33">
        <x:f>IF(AND(DG$3&gt;=$B$31,DF$3&gt;=$B$31),IF(YEAR(DG$3)=YEAR(DF$3),DF33+DG32,DG32),DF33+DG32)</x:f>
      </x:c>
      <x:c r="DH33">
        <x:f>IF(AND(DH$3&gt;=$B$31,DG$3&gt;=$B$31),IF(YEAR(DH$3)=YEAR(DG$3),DG33+DH32,DH32),DG33+DH32)</x:f>
      </x:c>
      <x:c r="DI33">
        <x:f>IF(AND(DI$3&gt;=$B$31,DH$3&gt;=$B$31),IF(YEAR(DI$3)=YEAR(DH$3),DH33+DI32,DI32),DH33+DI32)</x:f>
      </x:c>
      <x:c r="DJ33">
        <x:f>IF(AND(DJ$3&gt;=$B$31,DI$3&gt;=$B$31),IF(YEAR(DJ$3)=YEAR(DI$3),DI33+DJ32,DJ32),DI33+DJ32)</x:f>
      </x:c>
      <x:c r="DK33">
        <x:f>IF(AND(DK$3&gt;=$B$31,DJ$3&gt;=$B$31),IF(YEAR(DK$3)=YEAR(DJ$3),DJ33+DK32,DK32),DJ33+DK32)</x:f>
      </x:c>
      <x:c r="DL33">
        <x:f>IF(AND(DL$3&gt;=$B$31,DK$3&gt;=$B$31),IF(YEAR(DL$3)=YEAR(DK$3),DK33+DL32,DL32),DK33+DL32)</x:f>
      </x:c>
      <x:c r="DM33">
        <x:f>IF(AND(DM$3&gt;=$B$31,DL$3&gt;=$B$31),IF(YEAR(DM$3)=YEAR(DL$3),DL33+DM32,DM32),DL33+DM32)</x:f>
      </x:c>
      <x:c r="DN33">
        <x:f>IF(AND(DN$3&gt;=$B$31,DM$3&gt;=$B$31),IF(YEAR(DN$3)=YEAR(DM$3),DM33+DN32,DN32),DM33+DN32)</x:f>
      </x:c>
      <x:c r="DO33">
        <x:f>IF(AND(DO$3&gt;=$B$31,DN$3&gt;=$B$31),IF(YEAR(DO$3)=YEAR(DN$3),DN33+DO32,DO32),DN33+DO32)</x:f>
      </x:c>
      <x:c r="DP33">
        <x:f>IF(AND(DP$3&gt;=$B$31,DO$3&gt;=$B$31),IF(YEAR(DP$3)=YEAR(DO$3),DO33+DP32,DP32),DO33+DP32)</x:f>
      </x:c>
      <x:c r="DQ33">
        <x:f>IF(AND(DQ$3&gt;=$B$31,DP$3&gt;=$B$31),IF(YEAR(DQ$3)=YEAR(DP$3),DP33+DQ32,DQ32),DP33+DQ32)</x:f>
      </x:c>
      <x:c r="DR33">
        <x:f>IF(AND(DR$3&gt;=$B$31,DQ$3&gt;=$B$31),IF(YEAR(DR$3)=YEAR(DQ$3),DQ33+DR32,DR32),DQ33+DR32)</x:f>
      </x:c>
      <x:c r="DS33">
        <x:f>IF(AND(DS$3&gt;=$B$31,DR$3&gt;=$B$31),IF(YEAR(DS$3)=YEAR(DR$3),DR33+DS32,DS32),DR33+DS32)</x:f>
      </x:c>
    </x:row>
    <x:row r="34">
      <x:c r="A34" t="inlineStr">
        <x:is>
          <x:t>Убыток прошлых лет к зачёту</x:t>
        </x:is>
      </x:c>
      <x:c r="D34">
        <x:v>0</x:v>
      </x:c>
      <x:c r="E34">
        <x:f>IF(AND(E$3&gt;=$B$31,D$3&gt;=$B$31),IF(YEAR(E$3)=YEAR(D$3),D34,D34+MAX(-D33,0)-IF(D33&gt;0,D35,0)),D34)</x:f>
      </x:c>
      <x:c r="F34">
        <x:f>IF(AND(F$3&gt;=$B$31,E$3&gt;=$B$31),IF(YEAR(F$3)=YEAR(E$3),E34,E34+MAX(-E33,0)-IF(E33&gt;0,E35,0)),E34)</x:f>
      </x:c>
      <x:c r="G34">
        <x:f>IF(AND(G$3&gt;=$B$31,F$3&gt;=$B$31),IF(YEAR(G$3)=YEAR(F$3),F34,F34+MAX(-F33,0)-IF(F33&gt;0,F35,0)),F34)</x:f>
      </x:c>
      <x:c r="H34">
        <x:f>IF(AND(H$3&gt;=$B$31,G$3&gt;=$B$31),IF(YEAR(H$3)=YEAR(G$3),G34,G34+MAX(-G33,0)-IF(G33&gt;0,G35,0)),G34)</x:f>
      </x:c>
      <x:c r="I34">
        <x:f>IF(AND(I$3&gt;=$B$31,H$3&gt;=$B$31),IF(YEAR(I$3)=YEAR(H$3),H34,H34+MAX(-H33,0)-IF(H33&gt;0,H35,0)),H34)</x:f>
      </x:c>
      <x:c r="J34">
        <x:f>IF(AND(J$3&gt;=$B$31,I$3&gt;=$B$31),IF(YEAR(J$3)=YEAR(I$3),I34,I34+MAX(-I33,0)-IF(I33&gt;0,I35,0)),I34)</x:f>
      </x:c>
      <x:c r="K34">
        <x:f>IF(AND(K$3&gt;=$B$31,J$3&gt;=$B$31),IF(YEAR(K$3)=YEAR(J$3),J34,J34+MAX(-J33,0)-IF(J33&gt;0,J35,0)),J34)</x:f>
      </x:c>
      <x:c r="L34">
        <x:f>IF(AND(L$3&gt;=$B$31,K$3&gt;=$B$31),IF(YEAR(L$3)=YEAR(K$3),K34,K34+MAX(-K33,0)-IF(K33&gt;0,K35,0)),K34)</x:f>
      </x:c>
      <x:c r="M34">
        <x:f>IF(AND(M$3&gt;=$B$31,L$3&gt;=$B$31),IF(YEAR(M$3)=YEAR(L$3),L34,L34+MAX(-L33,0)-IF(L33&gt;0,L35,0)),L34)</x:f>
      </x:c>
      <x:c r="N34">
        <x:f>IF(AND(N$3&gt;=$B$31,M$3&gt;=$B$31),IF(YEAR(N$3)=YEAR(M$3),M34,M34+MAX(-M33,0)-IF(M33&gt;0,M35,0)),M34)</x:f>
      </x:c>
      <x:c r="O34">
        <x:f>IF(AND(O$3&gt;=$B$31,N$3&gt;=$B$31),IF(YEAR(O$3)=YEAR(N$3),N34,N34+MAX(-N33,0)-IF(N33&gt;0,N35,0)),N34)</x:f>
      </x:c>
      <x:c r="P34">
        <x:f>IF(AND(P$3&gt;=$B$31,O$3&gt;=$B$31),IF(YEAR(P$3)=YEAR(O$3),O34,O34+MAX(-O33,0)-IF(O33&gt;0,O35,0)),O34)</x:f>
      </x:c>
      <x:c r="Q34">
        <x:f>IF(AND(Q$3&gt;=$B$31,P$3&gt;=$B$31),IF(YEAR(Q$3)=YEAR(P$3),P34,P34+MAX(-P33,0)-IF(P33&gt;0,P35,0)),P34)</x:f>
      </x:c>
      <x:c r="R34">
        <x:f>IF(AND(R$3&gt;=$B$31,Q$3&gt;=$B$31),IF(YEAR(R$3)=YEAR(Q$3),Q34,Q34+MAX(-Q33,0)-IF(Q33&gt;0,Q35,0)),Q34)</x:f>
      </x:c>
      <x:c r="S34">
        <x:f>IF(AND(S$3&gt;=$B$31,R$3&gt;=$B$31),IF(YEAR(S$3)=YEAR(R$3),R34,R34+MAX(-R33,0)-IF(R33&gt;0,R35,0)),R34)</x:f>
      </x:c>
      <x:c r="T34">
        <x:f>IF(AND(T$3&gt;=$B$31,S$3&gt;=$B$31),IF(YEAR(T$3)=YEAR(S$3),S34,S34+MAX(-S33,0)-IF(S33&gt;0,S35,0)),S34)</x:f>
      </x:c>
      <x:c r="U34">
        <x:f>IF(AND(U$3&gt;=$B$31,T$3&gt;=$B$31),IF(YEAR(U$3)=YEAR(T$3),T34,T34+MAX(-T33,0)-IF(T33&gt;0,T35,0)),T34)</x:f>
      </x:c>
      <x:c r="V34">
        <x:f>IF(AND(V$3&gt;=$B$31,U$3&gt;=$B$31),IF(YEAR(V$3)=YEAR(U$3),U34,U34+MAX(-U33,0)-IF(U33&gt;0,U35,0)),U34)</x:f>
      </x:c>
      <x:c r="W34">
        <x:f>IF(AND(W$3&gt;=$B$31,V$3&gt;=$B$31),IF(YEAR(W$3)=YEAR(V$3),V34,V34+MAX(-V33,0)-IF(V33&gt;0,V35,0)),V34)</x:f>
      </x:c>
      <x:c r="X34">
        <x:f>IF(AND(X$3&gt;=$B$31,W$3&gt;=$B$31),IF(YEAR(X$3)=YEAR(W$3),W34,W34+MAX(-W33,0)-IF(W33&gt;0,W35,0)),W34)</x:f>
      </x:c>
      <x:c r="Y34">
        <x:f>IF(AND(Y$3&gt;=$B$31,X$3&gt;=$B$31),IF(YEAR(Y$3)=YEAR(X$3),X34,X34+MAX(-X33,0)-IF(X33&gt;0,X35,0)),X34)</x:f>
      </x:c>
      <x:c r="Z34">
        <x:f>IF(AND(Z$3&gt;=$B$31,Y$3&gt;=$B$31),IF(YEAR(Z$3)=YEAR(Y$3),Y34,Y34+MAX(-Y33,0)-IF(Y33&gt;0,Y35,0)),Y34)</x:f>
      </x:c>
      <x:c r="AA34">
        <x:f>IF(AND(AA$3&gt;=$B$31,Z$3&gt;=$B$31),IF(YEAR(AA$3)=YEAR(Z$3),Z34,Z34+MAX(-Z33,0)-IF(Z33&gt;0,Z35,0)),Z34)</x:f>
      </x:c>
      <x:c r="AB34">
        <x:f>IF(AND(AB$3&gt;=$B$31,AA$3&gt;=$B$31),IF(YEAR(AB$3)=YEAR(AA$3),AA34,AA34+MAX(-AA33,0)-IF(AA33&gt;0,AA35,0)),AA34)</x:f>
      </x:c>
      <x:c r="AC34">
        <x:f>IF(AND(AC$3&gt;=$B$31,AB$3&gt;=$B$31),IF(YEAR(AC$3)=YEAR(AB$3),AB34,AB34+MAX(-AB33,0)-IF(AB33&gt;0,AB35,0)),AB34)</x:f>
      </x:c>
      <x:c r="AD34">
        <x:f>IF(AND(AD$3&gt;=$B$31,AC$3&gt;=$B$31),IF(YEAR(AD$3)=YEAR(AC$3),AC34,AC34+MAX(-AC33,0)-IF(AC33&gt;0,AC35,0)),AC34)</x:f>
      </x:c>
      <x:c r="AE34">
        <x:f>IF(AND(AE$3&gt;=$B$31,AD$3&gt;=$B$31),IF(YEAR(AE$3)=YEAR(AD$3),AD34,AD34+MAX(-AD33,0)-IF(AD33&gt;0,AD35,0)),AD34)</x:f>
      </x:c>
      <x:c r="AF34">
        <x:f>IF(AND(AF$3&gt;=$B$31,AE$3&gt;=$B$31),IF(YEAR(AF$3)=YEAR(AE$3),AE34,AE34+MAX(-AE33,0)-IF(AE33&gt;0,AE35,0)),AE34)</x:f>
      </x:c>
      <x:c r="AG34">
        <x:f>IF(AND(AG$3&gt;=$B$31,AF$3&gt;=$B$31),IF(YEAR(AG$3)=YEAR(AF$3),AF34,AF34+MAX(-AF33,0)-IF(AF33&gt;0,AF35,0)),AF34)</x:f>
      </x:c>
      <x:c r="AH34">
        <x:f>IF(AND(AH$3&gt;=$B$31,AG$3&gt;=$B$31),IF(YEAR(AH$3)=YEAR(AG$3),AG34,AG34+MAX(-AG33,0)-IF(AG33&gt;0,AG35,0)),AG34)</x:f>
      </x:c>
      <x:c r="AI34">
        <x:f>IF(AND(AI$3&gt;=$B$31,AH$3&gt;=$B$31),IF(YEAR(AI$3)=YEAR(AH$3),AH34,AH34+MAX(-AH33,0)-IF(AH33&gt;0,AH35,0)),AH34)</x:f>
      </x:c>
      <x:c r="AJ34">
        <x:f>IF(AND(AJ$3&gt;=$B$31,AI$3&gt;=$B$31),IF(YEAR(AJ$3)=YEAR(AI$3),AI34,AI34+MAX(-AI33,0)-IF(AI33&gt;0,AI35,0)),AI34)</x:f>
      </x:c>
      <x:c r="AK34">
        <x:f>IF(AND(AK$3&gt;=$B$31,AJ$3&gt;=$B$31),IF(YEAR(AK$3)=YEAR(AJ$3),AJ34,AJ34+MAX(-AJ33,0)-IF(AJ33&gt;0,AJ35,0)),AJ34)</x:f>
      </x:c>
      <x:c r="AL34">
        <x:f>IF(AND(AL$3&gt;=$B$31,AK$3&gt;=$B$31),IF(YEAR(AL$3)=YEAR(AK$3),AK34,AK34+MAX(-AK33,0)-IF(AK33&gt;0,AK35,0)),AK34)</x:f>
      </x:c>
      <x:c r="AM34">
        <x:f>IF(AND(AM$3&gt;=$B$31,AL$3&gt;=$B$31),IF(YEAR(AM$3)=YEAR(AL$3),AL34,AL34+MAX(-AL33,0)-IF(AL33&gt;0,AL35,0)),AL34)</x:f>
      </x:c>
      <x:c r="AN34">
        <x:f>IF(AND(AN$3&gt;=$B$31,AM$3&gt;=$B$31),IF(YEAR(AN$3)=YEAR(AM$3),AM34,AM34+MAX(-AM33,0)-IF(AM33&gt;0,AM35,0)),AM34)</x:f>
      </x:c>
      <x:c r="AO34">
        <x:f>IF(AND(AO$3&gt;=$B$31,AN$3&gt;=$B$31),IF(YEAR(AO$3)=YEAR(AN$3),AN34,AN34+MAX(-AN33,0)-IF(AN33&gt;0,AN35,0)),AN34)</x:f>
      </x:c>
      <x:c r="AP34">
        <x:f>IF(AND(AP$3&gt;=$B$31,AO$3&gt;=$B$31),IF(YEAR(AP$3)=YEAR(AO$3),AO34,AO34+MAX(-AO33,0)-IF(AO33&gt;0,AO35,0)),AO34)</x:f>
      </x:c>
      <x:c r="AQ34">
        <x:f>IF(AND(AQ$3&gt;=$B$31,AP$3&gt;=$B$31),IF(YEAR(AQ$3)=YEAR(AP$3),AP34,AP34+MAX(-AP33,0)-IF(AP33&gt;0,AP35,0)),AP34)</x:f>
      </x:c>
      <x:c r="AR34">
        <x:f>IF(AND(AR$3&gt;=$B$31,AQ$3&gt;=$B$31),IF(YEAR(AR$3)=YEAR(AQ$3),AQ34,AQ34+MAX(-AQ33,0)-IF(AQ33&gt;0,AQ35,0)),AQ34)</x:f>
      </x:c>
      <x:c r="AS34">
        <x:f>IF(AND(AS$3&gt;=$B$31,AR$3&gt;=$B$31),IF(YEAR(AS$3)=YEAR(AR$3),AR34,AR34+MAX(-AR33,0)-IF(AR33&gt;0,AR35,0)),AR34)</x:f>
      </x:c>
      <x:c r="AT34">
        <x:f>IF(AND(AT$3&gt;=$B$31,AS$3&gt;=$B$31),IF(YEAR(AT$3)=YEAR(AS$3),AS34,AS34+MAX(-AS33,0)-IF(AS33&gt;0,AS35,0)),AS34)</x:f>
      </x:c>
      <x:c r="AU34">
        <x:f>IF(AND(AU$3&gt;=$B$31,AT$3&gt;=$B$31),IF(YEAR(AU$3)=YEAR(AT$3),AT34,AT34+MAX(-AT33,0)-IF(AT33&gt;0,AT35,0)),AT34)</x:f>
      </x:c>
      <x:c r="AV34">
        <x:f>IF(AND(AV$3&gt;=$B$31,AU$3&gt;=$B$31),IF(YEAR(AV$3)=YEAR(AU$3),AU34,AU34+MAX(-AU33,0)-IF(AU33&gt;0,AU35,0)),AU34)</x:f>
      </x:c>
      <x:c r="AW34">
        <x:f>IF(AND(AW$3&gt;=$B$31,AV$3&gt;=$B$31),IF(YEAR(AW$3)=YEAR(AV$3),AV34,AV34+MAX(-AV33,0)-IF(AV33&gt;0,AV35,0)),AV34)</x:f>
      </x:c>
      <x:c r="AX34">
        <x:f>IF(AND(AX$3&gt;=$B$31,AW$3&gt;=$B$31),IF(YEAR(AX$3)=YEAR(AW$3),AW34,AW34+MAX(-AW33,0)-IF(AW33&gt;0,AW35,0)),AW34)</x:f>
      </x:c>
      <x:c r="AY34">
        <x:f>IF(AND(AY$3&gt;=$B$31,AX$3&gt;=$B$31),IF(YEAR(AY$3)=YEAR(AX$3),AX34,AX34+MAX(-AX33,0)-IF(AX33&gt;0,AX35,0)),AX34)</x:f>
      </x:c>
      <x:c r="AZ34">
        <x:f>IF(AND(AZ$3&gt;=$B$31,AY$3&gt;=$B$31),IF(YEAR(AZ$3)=YEAR(AY$3),AY34,AY34+MAX(-AY33,0)-IF(AY33&gt;0,AY35,0)),AY34)</x:f>
      </x:c>
      <x:c r="BA34">
        <x:f>IF(AND(BA$3&gt;=$B$31,AZ$3&gt;=$B$31),IF(YEAR(BA$3)=YEAR(AZ$3),AZ34,AZ34+MAX(-AZ33,0)-IF(AZ33&gt;0,AZ35,0)),AZ34)</x:f>
      </x:c>
      <x:c r="BB34">
        <x:f>IF(AND(BB$3&gt;=$B$31,BA$3&gt;=$B$31),IF(YEAR(BB$3)=YEAR(BA$3),BA34,BA34+MAX(-BA33,0)-IF(BA33&gt;0,BA35,0)),BA34)</x:f>
      </x:c>
      <x:c r="BC34">
        <x:f>IF(AND(BC$3&gt;=$B$31,BB$3&gt;=$B$31),IF(YEAR(BC$3)=YEAR(BB$3),BB34,BB34+MAX(-BB33,0)-IF(BB33&gt;0,BB35,0)),BB34)</x:f>
      </x:c>
      <x:c r="BD34">
        <x:f>IF(AND(BD$3&gt;=$B$31,BC$3&gt;=$B$31),IF(YEAR(BD$3)=YEAR(BC$3),BC34,BC34+MAX(-BC33,0)-IF(BC33&gt;0,BC35,0)),BC34)</x:f>
      </x:c>
      <x:c r="BE34">
        <x:f>IF(AND(BE$3&gt;=$B$31,BD$3&gt;=$B$31),IF(YEAR(BE$3)=YEAR(BD$3),BD34,BD34+MAX(-BD33,0)-IF(BD33&gt;0,BD35,0)),BD34)</x:f>
      </x:c>
      <x:c r="BF34">
        <x:f>IF(AND(BF$3&gt;=$B$31,BE$3&gt;=$B$31),IF(YEAR(BF$3)=YEAR(BE$3),BE34,BE34+MAX(-BE33,0)-IF(BE33&gt;0,BE35,0)),BE34)</x:f>
      </x:c>
      <x:c r="BG34">
        <x:f>IF(AND(BG$3&gt;=$B$31,BF$3&gt;=$B$31),IF(YEAR(BG$3)=YEAR(BF$3),BF34,BF34+MAX(-BF33,0)-IF(BF33&gt;0,BF35,0)),BF34)</x:f>
      </x:c>
      <x:c r="BH34">
        <x:f>IF(AND(BH$3&gt;=$B$31,BG$3&gt;=$B$31),IF(YEAR(BH$3)=YEAR(BG$3),BG34,BG34+MAX(-BG33,0)-IF(BG33&gt;0,BG35,0)),BG34)</x:f>
      </x:c>
      <x:c r="BI34">
        <x:f>IF(AND(BI$3&gt;=$B$31,BH$3&gt;=$B$31),IF(YEAR(BI$3)=YEAR(BH$3),BH34,BH34+MAX(-BH33,0)-IF(BH33&gt;0,BH35,0)),BH34)</x:f>
      </x:c>
      <x:c r="BJ34">
        <x:f>IF(AND(BJ$3&gt;=$B$31,BI$3&gt;=$B$31),IF(YEAR(BJ$3)=YEAR(BI$3),BI34,BI34+MAX(-BI33,0)-IF(BI33&gt;0,BI35,0)),BI34)</x:f>
      </x:c>
      <x:c r="BK34">
        <x:f>IF(AND(BK$3&gt;=$B$31,BJ$3&gt;=$B$31),IF(YEAR(BK$3)=YEAR(BJ$3),BJ34,BJ34+MAX(-BJ33,0)-IF(BJ33&gt;0,BJ35,0)),BJ34)</x:f>
      </x:c>
      <x:c r="BL34">
        <x:f>IF(AND(BL$3&gt;=$B$31,BK$3&gt;=$B$31),IF(YEAR(BL$3)=YEAR(BK$3),BK34,BK34+MAX(-BK33,0)-IF(BK33&gt;0,BK35,0)),BK34)</x:f>
      </x:c>
      <x:c r="BM34">
        <x:f>IF(AND(BM$3&gt;=$B$31,BL$3&gt;=$B$31),IF(YEAR(BM$3)=YEAR(BL$3),BL34,BL34+MAX(-BL33,0)-IF(BL33&gt;0,BL35,0)),BL34)</x:f>
      </x:c>
      <x:c r="BN34">
        <x:f>IF(AND(BN$3&gt;=$B$31,BM$3&gt;=$B$31),IF(YEAR(BN$3)=YEAR(BM$3),BM34,BM34+MAX(-BM33,0)-IF(BM33&gt;0,BM35,0)),BM34)</x:f>
      </x:c>
      <x:c r="BO34">
        <x:f>IF(AND(BO$3&gt;=$B$31,BN$3&gt;=$B$31),IF(YEAR(BO$3)=YEAR(BN$3),BN34,BN34+MAX(-BN33,0)-IF(BN33&gt;0,BN35,0)),BN34)</x:f>
      </x:c>
      <x:c r="BP34">
        <x:f>IF(AND(BP$3&gt;=$B$31,BO$3&gt;=$B$31),IF(YEAR(BP$3)=YEAR(BO$3),BO34,BO34+MAX(-BO33,0)-IF(BO33&gt;0,BO35,0)),BO34)</x:f>
      </x:c>
      <x:c r="BQ34">
        <x:f>IF(AND(BQ$3&gt;=$B$31,BP$3&gt;=$B$31),IF(YEAR(BQ$3)=YEAR(BP$3),BP34,BP34+MAX(-BP33,0)-IF(BP33&gt;0,BP35,0)),BP34)</x:f>
      </x:c>
      <x:c r="BR34">
        <x:f>IF(AND(BR$3&gt;=$B$31,BQ$3&gt;=$B$31),IF(YEAR(BR$3)=YEAR(BQ$3),BQ34,BQ34+MAX(-BQ33,0)-IF(BQ33&gt;0,BQ35,0)),BQ34)</x:f>
      </x:c>
      <x:c r="BS34">
        <x:f>IF(AND(BS$3&gt;=$B$31,BR$3&gt;=$B$31),IF(YEAR(BS$3)=YEAR(BR$3),BR34,BR34+MAX(-BR33,0)-IF(BR33&gt;0,BR35,0)),BR34)</x:f>
      </x:c>
      <x:c r="BT34">
        <x:f>IF(AND(BT$3&gt;=$B$31,BS$3&gt;=$B$31),IF(YEAR(BT$3)=YEAR(BS$3),BS34,BS34+MAX(-BS33,0)-IF(BS33&gt;0,BS35,0)),BS34)</x:f>
      </x:c>
      <x:c r="BU34">
        <x:f>IF(AND(BU$3&gt;=$B$31,BT$3&gt;=$B$31),IF(YEAR(BU$3)=YEAR(BT$3),BT34,BT34+MAX(-BT33,0)-IF(BT33&gt;0,BT35,0)),BT34)</x:f>
      </x:c>
      <x:c r="BV34">
        <x:f>IF(AND(BV$3&gt;=$B$31,BU$3&gt;=$B$31),IF(YEAR(BV$3)=YEAR(BU$3),BU34,BU34+MAX(-BU33,0)-IF(BU33&gt;0,BU35,0)),BU34)</x:f>
      </x:c>
      <x:c r="BW34">
        <x:f>IF(AND(BW$3&gt;=$B$31,BV$3&gt;=$B$31),IF(YEAR(BW$3)=YEAR(BV$3),BV34,BV34+MAX(-BV33,0)-IF(BV33&gt;0,BV35,0)),BV34)</x:f>
      </x:c>
      <x:c r="BX34">
        <x:f>IF(AND(BX$3&gt;=$B$31,BW$3&gt;=$B$31),IF(YEAR(BX$3)=YEAR(BW$3),BW34,BW34+MAX(-BW33,0)-IF(BW33&gt;0,BW35,0)),BW34)</x:f>
      </x:c>
      <x:c r="BY34">
        <x:f>IF(AND(BY$3&gt;=$B$31,BX$3&gt;=$B$31),IF(YEAR(BY$3)=YEAR(BX$3),BX34,BX34+MAX(-BX33,0)-IF(BX33&gt;0,BX35,0)),BX34)</x:f>
      </x:c>
      <x:c r="BZ34">
        <x:f>IF(AND(BZ$3&gt;=$B$31,BY$3&gt;=$B$31),IF(YEAR(BZ$3)=YEAR(BY$3),BY34,BY34+MAX(-BY33,0)-IF(BY33&gt;0,BY35,0)),BY34)</x:f>
      </x:c>
      <x:c r="CA34">
        <x:f>IF(AND(CA$3&gt;=$B$31,BZ$3&gt;=$B$31),IF(YEAR(CA$3)=YEAR(BZ$3),BZ34,BZ34+MAX(-BZ33,0)-IF(BZ33&gt;0,BZ35,0)),BZ34)</x:f>
      </x:c>
      <x:c r="CB34">
        <x:f>IF(AND(CB$3&gt;=$B$31,CA$3&gt;=$B$31),IF(YEAR(CB$3)=YEAR(CA$3),CA34,CA34+MAX(-CA33,0)-IF(CA33&gt;0,CA35,0)),CA34)</x:f>
      </x:c>
      <x:c r="CC34">
        <x:f>IF(AND(CC$3&gt;=$B$31,CB$3&gt;=$B$31),IF(YEAR(CC$3)=YEAR(CB$3),CB34,CB34+MAX(-CB33,0)-IF(CB33&gt;0,CB35,0)),CB34)</x:f>
      </x:c>
      <x:c r="CD34">
        <x:f>IF(AND(CD$3&gt;=$B$31,CC$3&gt;=$B$31),IF(YEAR(CD$3)=YEAR(CC$3),CC34,CC34+MAX(-CC33,0)-IF(CC33&gt;0,CC35,0)),CC34)</x:f>
      </x:c>
      <x:c r="CE34">
        <x:f>IF(AND(CE$3&gt;=$B$31,CD$3&gt;=$B$31),IF(YEAR(CE$3)=YEAR(CD$3),CD34,CD34+MAX(-CD33,0)-IF(CD33&gt;0,CD35,0)),CD34)</x:f>
      </x:c>
      <x:c r="CF34">
        <x:f>IF(AND(CF$3&gt;=$B$31,CE$3&gt;=$B$31),IF(YEAR(CF$3)=YEAR(CE$3),CE34,CE34+MAX(-CE33,0)-IF(CE33&gt;0,CE35,0)),CE34)</x:f>
      </x:c>
      <x:c r="CG34">
        <x:f>IF(AND(CG$3&gt;=$B$31,CF$3&gt;=$B$31),IF(YEAR(CG$3)=YEAR(CF$3),CF34,CF34+MAX(-CF33,0)-IF(CF33&gt;0,CF35,0)),CF34)</x:f>
      </x:c>
      <x:c r="CH34">
        <x:f>IF(AND(CH$3&gt;=$B$31,CG$3&gt;=$B$31),IF(YEAR(CH$3)=YEAR(CG$3),CG34,CG34+MAX(-CG33,0)-IF(CG33&gt;0,CG35,0)),CG34)</x:f>
      </x:c>
      <x:c r="CI34">
        <x:f>IF(AND(CI$3&gt;=$B$31,CH$3&gt;=$B$31),IF(YEAR(CI$3)=YEAR(CH$3),CH34,CH34+MAX(-CH33,0)-IF(CH33&gt;0,CH35,0)),CH34)</x:f>
      </x:c>
      <x:c r="CJ34">
        <x:f>IF(AND(CJ$3&gt;=$B$31,CI$3&gt;=$B$31),IF(YEAR(CJ$3)=YEAR(CI$3),CI34,CI34+MAX(-CI33,0)-IF(CI33&gt;0,CI35,0)),CI34)</x:f>
      </x:c>
      <x:c r="CK34">
        <x:f>IF(AND(CK$3&gt;=$B$31,CJ$3&gt;=$B$31),IF(YEAR(CK$3)=YEAR(CJ$3),CJ34,CJ34+MAX(-CJ33,0)-IF(CJ33&gt;0,CJ35,0)),CJ34)</x:f>
      </x:c>
      <x:c r="CL34">
        <x:f>IF(AND(CL$3&gt;=$B$31,CK$3&gt;=$B$31),IF(YEAR(CL$3)=YEAR(CK$3),CK34,CK34+MAX(-CK33,0)-IF(CK33&gt;0,CK35,0)),CK34)</x:f>
      </x:c>
      <x:c r="CM34">
        <x:f>IF(AND(CM$3&gt;=$B$31,CL$3&gt;=$B$31),IF(YEAR(CM$3)=YEAR(CL$3),CL34,CL34+MAX(-CL33,0)-IF(CL33&gt;0,CL35,0)),CL34)</x:f>
      </x:c>
      <x:c r="CN34">
        <x:f>IF(AND(CN$3&gt;=$B$31,CM$3&gt;=$B$31),IF(YEAR(CN$3)=YEAR(CM$3),CM34,CM34+MAX(-CM33,0)-IF(CM33&gt;0,CM35,0)),CM34)</x:f>
      </x:c>
      <x:c r="CO34">
        <x:f>IF(AND(CO$3&gt;=$B$31,CN$3&gt;=$B$31),IF(YEAR(CO$3)=YEAR(CN$3),CN34,CN34+MAX(-CN33,0)-IF(CN33&gt;0,CN35,0)),CN34)</x:f>
      </x:c>
      <x:c r="CP34">
        <x:f>IF(AND(CP$3&gt;=$B$31,CO$3&gt;=$B$31),IF(YEAR(CP$3)=YEAR(CO$3),CO34,CO34+MAX(-CO33,0)-IF(CO33&gt;0,CO35,0)),CO34)</x:f>
      </x:c>
      <x:c r="CQ34">
        <x:f>IF(AND(CQ$3&gt;=$B$31,CP$3&gt;=$B$31),IF(YEAR(CQ$3)=YEAR(CP$3),CP34,CP34+MAX(-CP33,0)-IF(CP33&gt;0,CP35,0)),CP34)</x:f>
      </x:c>
      <x:c r="CR34">
        <x:f>IF(AND(CR$3&gt;=$B$31,CQ$3&gt;=$B$31),IF(YEAR(CR$3)=YEAR(CQ$3),CQ34,CQ34+MAX(-CQ33,0)-IF(CQ33&gt;0,CQ35,0)),CQ34)</x:f>
      </x:c>
      <x:c r="CS34">
        <x:f>IF(AND(CS$3&gt;=$B$31,CR$3&gt;=$B$31),IF(YEAR(CS$3)=YEAR(CR$3),CR34,CR34+MAX(-CR33,0)-IF(CR33&gt;0,CR35,0)),CR34)</x:f>
      </x:c>
      <x:c r="CT34">
        <x:f>IF(AND(CT$3&gt;=$B$31,CS$3&gt;=$B$31),IF(YEAR(CT$3)=YEAR(CS$3),CS34,CS34+MAX(-CS33,0)-IF(CS33&gt;0,CS35,0)),CS34)</x:f>
      </x:c>
      <x:c r="CU34">
        <x:f>IF(AND(CU$3&gt;=$B$31,CT$3&gt;=$B$31),IF(YEAR(CU$3)=YEAR(CT$3),CT34,CT34+MAX(-CT33,0)-IF(CT33&gt;0,CT35,0)),CT34)</x:f>
      </x:c>
      <x:c r="CV34">
        <x:f>IF(AND(CV$3&gt;=$B$31,CU$3&gt;=$B$31),IF(YEAR(CV$3)=YEAR(CU$3),CU34,CU34+MAX(-CU33,0)-IF(CU33&gt;0,CU35,0)),CU34)</x:f>
      </x:c>
      <x:c r="CW34">
        <x:f>IF(AND(CW$3&gt;=$B$31,CV$3&gt;=$B$31),IF(YEAR(CW$3)=YEAR(CV$3),CV34,CV34+MAX(-CV33,0)-IF(CV33&gt;0,CV35,0)),CV34)</x:f>
      </x:c>
      <x:c r="CX34">
        <x:f>IF(AND(CX$3&gt;=$B$31,CW$3&gt;=$B$31),IF(YEAR(CX$3)=YEAR(CW$3),CW34,CW34+MAX(-CW33,0)-IF(CW33&gt;0,CW35,0)),CW34)</x:f>
      </x:c>
      <x:c r="CY34">
        <x:f>IF(AND(CY$3&gt;=$B$31,CX$3&gt;=$B$31),IF(YEAR(CY$3)=YEAR(CX$3),CX34,CX34+MAX(-CX33,0)-IF(CX33&gt;0,CX35,0)),CX34)</x:f>
      </x:c>
      <x:c r="CZ34">
        <x:f>IF(AND(CZ$3&gt;=$B$31,CY$3&gt;=$B$31),IF(YEAR(CZ$3)=YEAR(CY$3),CY34,CY34+MAX(-CY33,0)-IF(CY33&gt;0,CY35,0)),CY34)</x:f>
      </x:c>
      <x:c r="DA34">
        <x:f>IF(AND(DA$3&gt;=$B$31,CZ$3&gt;=$B$31),IF(YEAR(DA$3)=YEAR(CZ$3),CZ34,CZ34+MAX(-CZ33,0)-IF(CZ33&gt;0,CZ35,0)),CZ34)</x:f>
      </x:c>
      <x:c r="DB34">
        <x:f>IF(AND(DB$3&gt;=$B$31,DA$3&gt;=$B$31),IF(YEAR(DB$3)=YEAR(DA$3),DA34,DA34+MAX(-DA33,0)-IF(DA33&gt;0,DA35,0)),DA34)</x:f>
      </x:c>
      <x:c r="DC34">
        <x:f>IF(AND(DC$3&gt;=$B$31,DB$3&gt;=$B$31),IF(YEAR(DC$3)=YEAR(DB$3),DB34,DB34+MAX(-DB33,0)-IF(DB33&gt;0,DB35,0)),DB34)</x:f>
      </x:c>
      <x:c r="DD34">
        <x:f>IF(AND(DD$3&gt;=$B$31,DC$3&gt;=$B$31),IF(YEAR(DD$3)=YEAR(DC$3),DC34,DC34+MAX(-DC33,0)-IF(DC33&gt;0,DC35,0)),DC34)</x:f>
      </x:c>
      <x:c r="DE34">
        <x:f>IF(AND(DE$3&gt;=$B$31,DD$3&gt;=$B$31),IF(YEAR(DE$3)=YEAR(DD$3),DD34,DD34+MAX(-DD33,0)-IF(DD33&gt;0,DD35,0)),DD34)</x:f>
      </x:c>
      <x:c r="DF34">
        <x:f>IF(AND(DF$3&gt;=$B$31,DE$3&gt;=$B$31),IF(YEAR(DF$3)=YEAR(DE$3),DE34,DE34+MAX(-DE33,0)-IF(DE33&gt;0,DE35,0)),DE34)</x:f>
      </x:c>
      <x:c r="DG34">
        <x:f>IF(AND(DG$3&gt;=$B$31,DF$3&gt;=$B$31),IF(YEAR(DG$3)=YEAR(DF$3),DF34,DF34+MAX(-DF33,0)-IF(DF33&gt;0,DF35,0)),DF34)</x:f>
      </x:c>
      <x:c r="DH34">
        <x:f>IF(AND(DH$3&gt;=$B$31,DG$3&gt;=$B$31),IF(YEAR(DH$3)=YEAR(DG$3),DG34,DG34+MAX(-DG33,0)-IF(DG33&gt;0,DG35,0)),DG34)</x:f>
      </x:c>
      <x:c r="DI34">
        <x:f>IF(AND(DI$3&gt;=$B$31,DH$3&gt;=$B$31),IF(YEAR(DI$3)=YEAR(DH$3),DH34,DH34+MAX(-DH33,0)-IF(DH33&gt;0,DH35,0)),DH34)</x:f>
      </x:c>
      <x:c r="DJ34">
        <x:f>IF(AND(DJ$3&gt;=$B$31,DI$3&gt;=$B$31),IF(YEAR(DJ$3)=YEAR(DI$3),DI34,DI34+MAX(-DI33,0)-IF(DI33&gt;0,DI35,0)),DI34)</x:f>
      </x:c>
      <x:c r="DK34">
        <x:f>IF(AND(DK$3&gt;=$B$31,DJ$3&gt;=$B$31),IF(YEAR(DK$3)=YEAR(DJ$3),DJ34,DJ34+MAX(-DJ33,0)-IF(DJ33&gt;0,DJ35,0)),DJ34)</x:f>
      </x:c>
      <x:c r="DL34">
        <x:f>IF(AND(DL$3&gt;=$B$31,DK$3&gt;=$B$31),IF(YEAR(DL$3)=YEAR(DK$3),DK34,DK34+MAX(-DK33,0)-IF(DK33&gt;0,DK35,0)),DK34)</x:f>
      </x:c>
      <x:c r="DM34">
        <x:f>IF(AND(DM$3&gt;=$B$31,DL$3&gt;=$B$31),IF(YEAR(DM$3)=YEAR(DL$3),DL34,DL34+MAX(-DL33,0)-IF(DL33&gt;0,DL35,0)),DL34)</x:f>
      </x:c>
      <x:c r="DN34">
        <x:f>IF(AND(DN$3&gt;=$B$31,DM$3&gt;=$B$31),IF(YEAR(DN$3)=YEAR(DM$3),DM34,DM34+MAX(-DM33,0)-IF(DM33&gt;0,DM35,0)),DM34)</x:f>
      </x:c>
      <x:c r="DO34">
        <x:f>IF(AND(DO$3&gt;=$B$31,DN$3&gt;=$B$31),IF(YEAR(DO$3)=YEAR(DN$3),DN34,DN34+MAX(-DN33,0)-IF(DN33&gt;0,DN35,0)),DN34)</x:f>
      </x:c>
      <x:c r="DP34">
        <x:f>IF(AND(DP$3&gt;=$B$31,DO$3&gt;=$B$31),IF(YEAR(DP$3)=YEAR(DO$3),DO34,DO34+MAX(-DO33,0)-IF(DO33&gt;0,DO35,0)),DO34)</x:f>
      </x:c>
      <x:c r="DQ34">
        <x:f>IF(AND(DQ$3&gt;=$B$31,DP$3&gt;=$B$31),IF(YEAR(DQ$3)=YEAR(DP$3),DP34,DP34+MAX(-DP33,0)-IF(DP33&gt;0,DP35,0)),DP34)</x:f>
      </x:c>
      <x:c r="DR34">
        <x:f>IF(AND(DR$3&gt;=$B$31,DQ$3&gt;=$B$31),IF(YEAR(DR$3)=YEAR(DQ$3),DQ34,DQ34+MAX(-DQ33,0)-IF(DQ33&gt;0,DQ35,0)),DQ34)</x:f>
      </x:c>
      <x:c r="DS34">
        <x:f>IF(AND(DS$3&gt;=$B$31,DR$3&gt;=$B$31),IF(YEAR(DS$3)=YEAR(DR$3),DR34,DR34+MAX(-DR33,0)-IF(DR33&gt;0,DR35,0)),DR34)</x:f>
      </x:c>
    </x:row>
    <x:row r="35">
      <x:c r="A35" t="inlineStr">
        <x:is>
          <x:t>Зачтено убытка в этом году</x:t>
        </x:is>
      </x:c>
      <x:c r="D35">
        <x:f>IF(AND(D$3&gt;=$B$31,D33&gt;0,D34&gt;0),MIN(D34,D33*0.5),0)</x:f>
      </x:c>
      <x:c r="E35">
        <x:f>IF(AND(E$3&gt;=$B$31,E33&gt;0,E34&gt;0),MIN(E34,E33*0.5),0)</x:f>
      </x:c>
      <x:c r="F35">
        <x:f>IF(AND(F$3&gt;=$B$31,F33&gt;0,F34&gt;0),MIN(F34,F33*0.5),0)</x:f>
      </x:c>
      <x:c r="G35">
        <x:f>IF(AND(G$3&gt;=$B$31,G33&gt;0,G34&gt;0),MIN(G34,G33*0.5),0)</x:f>
      </x:c>
      <x:c r="H35">
        <x:f>IF(AND(H$3&gt;=$B$31,H33&gt;0,H34&gt;0),MIN(H34,H33*0.5),0)</x:f>
      </x:c>
      <x:c r="I35">
        <x:f>IF(AND(I$3&gt;=$B$31,I33&gt;0,I34&gt;0),MIN(I34,I33*0.5),0)</x:f>
      </x:c>
      <x:c r="J35">
        <x:f>IF(AND(J$3&gt;=$B$31,J33&gt;0,J34&gt;0),MIN(J34,J33*0.5),0)</x:f>
      </x:c>
      <x:c r="K35">
        <x:f>IF(AND(K$3&gt;=$B$31,K33&gt;0,K34&gt;0),MIN(K34,K33*0.5),0)</x:f>
      </x:c>
      <x:c r="L35">
        <x:f>IF(AND(L$3&gt;=$B$31,L33&gt;0,L34&gt;0),MIN(L34,L33*0.5),0)</x:f>
      </x:c>
      <x:c r="M35">
        <x:f>IF(AND(M$3&gt;=$B$31,M33&gt;0,M34&gt;0),MIN(M34,M33*0.5),0)</x:f>
      </x:c>
      <x:c r="N35">
        <x:f>IF(AND(N$3&gt;=$B$31,N33&gt;0,N34&gt;0),MIN(N34,N33*0.5),0)</x:f>
      </x:c>
      <x:c r="O35">
        <x:f>IF(AND(O$3&gt;=$B$31,O33&gt;0,O34&gt;0),MIN(O34,O33*0.5),0)</x:f>
      </x:c>
      <x:c r="P35">
        <x:f>IF(AND(P$3&gt;=$B$31,P33&gt;0,P34&gt;0),MIN(P34,P33*0.5),0)</x:f>
      </x:c>
      <x:c r="Q35">
        <x:f>IF(AND(Q$3&gt;=$B$31,Q33&gt;0,Q34&gt;0),MIN(Q34,Q33*0.5),0)</x:f>
      </x:c>
      <x:c r="R35">
        <x:f>IF(AND(R$3&gt;=$B$31,R33&gt;0,R34&gt;0),MIN(R34,R33*0.5),0)</x:f>
      </x:c>
      <x:c r="S35">
        <x:f>IF(AND(S$3&gt;=$B$31,S33&gt;0,S34&gt;0),MIN(S34,S33*0.5),0)</x:f>
      </x:c>
      <x:c r="T35">
        <x:f>IF(AND(T$3&gt;=$B$31,T33&gt;0,T34&gt;0),MIN(T34,T33*0.5),0)</x:f>
      </x:c>
      <x:c r="U35">
        <x:f>IF(AND(U$3&gt;=$B$31,U33&gt;0,U34&gt;0),MIN(U34,U33*0.5),0)</x:f>
      </x:c>
      <x:c r="V35">
        <x:f>IF(AND(V$3&gt;=$B$31,V33&gt;0,V34&gt;0),MIN(V34,V33*0.5),0)</x:f>
      </x:c>
      <x:c r="W35">
        <x:f>IF(AND(W$3&gt;=$B$31,W33&gt;0,W34&gt;0),MIN(W34,W33*0.5),0)</x:f>
      </x:c>
      <x:c r="X35">
        <x:f>IF(AND(X$3&gt;=$B$31,X33&gt;0,X34&gt;0),MIN(X34,X33*0.5),0)</x:f>
      </x:c>
      <x:c r="Y35">
        <x:f>IF(AND(Y$3&gt;=$B$31,Y33&gt;0,Y34&gt;0),MIN(Y34,Y33*0.5),0)</x:f>
      </x:c>
      <x:c r="Z35">
        <x:f>IF(AND(Z$3&gt;=$B$31,Z33&gt;0,Z34&gt;0),MIN(Z34,Z33*0.5),0)</x:f>
      </x:c>
      <x:c r="AA35">
        <x:f>IF(AND(AA$3&gt;=$B$31,AA33&gt;0,AA34&gt;0),MIN(AA34,AA33*0.5),0)</x:f>
      </x:c>
      <x:c r="AB35">
        <x:f>IF(AND(AB$3&gt;=$B$31,AB33&gt;0,AB34&gt;0),MIN(AB34,AB33*0.5),0)</x:f>
      </x:c>
      <x:c r="AC35">
        <x:f>IF(AND(AC$3&gt;=$B$31,AC33&gt;0,AC34&gt;0),MIN(AC34,AC33*0.5),0)</x:f>
      </x:c>
      <x:c r="AD35">
        <x:f>IF(AND(AD$3&gt;=$B$31,AD33&gt;0,AD34&gt;0),MIN(AD34,AD33*0.5),0)</x:f>
      </x:c>
      <x:c r="AE35">
        <x:f>IF(AND(AE$3&gt;=$B$31,AE33&gt;0,AE34&gt;0),MIN(AE34,AE33*0.5),0)</x:f>
      </x:c>
      <x:c r="AF35">
        <x:f>IF(AND(AF$3&gt;=$B$31,AF33&gt;0,AF34&gt;0),MIN(AF34,AF33*0.5),0)</x:f>
      </x:c>
      <x:c r="AG35">
        <x:f>IF(AND(AG$3&gt;=$B$31,AG33&gt;0,AG34&gt;0),MIN(AG34,AG33*0.5),0)</x:f>
      </x:c>
      <x:c r="AH35">
        <x:f>IF(AND(AH$3&gt;=$B$31,AH33&gt;0,AH34&gt;0),MIN(AH34,AH33*0.5),0)</x:f>
      </x:c>
      <x:c r="AI35">
        <x:f>IF(AND(AI$3&gt;=$B$31,AI33&gt;0,AI34&gt;0),MIN(AI34,AI33*0.5),0)</x:f>
      </x:c>
      <x:c r="AJ35">
        <x:f>IF(AND(AJ$3&gt;=$B$31,AJ33&gt;0,AJ34&gt;0),MIN(AJ34,AJ33*0.5),0)</x:f>
      </x:c>
      <x:c r="AK35">
        <x:f>IF(AND(AK$3&gt;=$B$31,AK33&gt;0,AK34&gt;0),MIN(AK34,AK33*0.5),0)</x:f>
      </x:c>
      <x:c r="AL35">
        <x:f>IF(AND(AL$3&gt;=$B$31,AL33&gt;0,AL34&gt;0),MIN(AL34,AL33*0.5),0)</x:f>
      </x:c>
      <x:c r="AM35">
        <x:f>IF(AND(AM$3&gt;=$B$31,AM33&gt;0,AM34&gt;0),MIN(AM34,AM33*0.5),0)</x:f>
      </x:c>
      <x:c r="AN35">
        <x:f>IF(AND(AN$3&gt;=$B$31,AN33&gt;0,AN34&gt;0),MIN(AN34,AN33*0.5),0)</x:f>
      </x:c>
      <x:c r="AO35">
        <x:f>IF(AND(AO$3&gt;=$B$31,AO33&gt;0,AO34&gt;0),MIN(AO34,AO33*0.5),0)</x:f>
      </x:c>
      <x:c r="AP35">
        <x:f>IF(AND(AP$3&gt;=$B$31,AP33&gt;0,AP34&gt;0),MIN(AP34,AP33*0.5),0)</x:f>
      </x:c>
      <x:c r="AQ35">
        <x:f>IF(AND(AQ$3&gt;=$B$31,AQ33&gt;0,AQ34&gt;0),MIN(AQ34,AQ33*0.5),0)</x:f>
      </x:c>
      <x:c r="AR35">
        <x:f>IF(AND(AR$3&gt;=$B$31,AR33&gt;0,AR34&gt;0),MIN(AR34,AR33*0.5),0)</x:f>
      </x:c>
      <x:c r="AS35">
        <x:f>IF(AND(AS$3&gt;=$B$31,AS33&gt;0,AS34&gt;0),MIN(AS34,AS33*0.5),0)</x:f>
      </x:c>
      <x:c r="AT35">
        <x:f>IF(AND(AT$3&gt;=$B$31,AT33&gt;0,AT34&gt;0),MIN(AT34,AT33*0.5),0)</x:f>
      </x:c>
      <x:c r="AU35">
        <x:f>IF(AND(AU$3&gt;=$B$31,AU33&gt;0,AU34&gt;0),MIN(AU34,AU33*0.5),0)</x:f>
      </x:c>
      <x:c r="AV35">
        <x:f>IF(AND(AV$3&gt;=$B$31,AV33&gt;0,AV34&gt;0),MIN(AV34,AV33*0.5),0)</x:f>
      </x:c>
      <x:c r="AW35">
        <x:f>IF(AND(AW$3&gt;=$B$31,AW33&gt;0,AW34&gt;0),MIN(AW34,AW33*0.5),0)</x:f>
      </x:c>
      <x:c r="AX35">
        <x:f>IF(AND(AX$3&gt;=$B$31,AX33&gt;0,AX34&gt;0),MIN(AX34,AX33*0.5),0)</x:f>
      </x:c>
      <x:c r="AY35">
        <x:f>IF(AND(AY$3&gt;=$B$31,AY33&gt;0,AY34&gt;0),MIN(AY34,AY33*0.5),0)</x:f>
      </x:c>
      <x:c r="AZ35">
        <x:f>IF(AND(AZ$3&gt;=$B$31,AZ33&gt;0,AZ34&gt;0),MIN(AZ34,AZ33*0.5),0)</x:f>
      </x:c>
      <x:c r="BA35">
        <x:f>IF(AND(BA$3&gt;=$B$31,BA33&gt;0,BA34&gt;0),MIN(BA34,BA33*0.5),0)</x:f>
      </x:c>
      <x:c r="BB35">
        <x:f>IF(AND(BB$3&gt;=$B$31,BB33&gt;0,BB34&gt;0),MIN(BB34,BB33*0.5),0)</x:f>
      </x:c>
      <x:c r="BC35">
        <x:f>IF(AND(BC$3&gt;=$B$31,BC33&gt;0,BC34&gt;0),MIN(BC34,BC33*0.5),0)</x:f>
      </x:c>
      <x:c r="BD35">
        <x:f>IF(AND(BD$3&gt;=$B$31,BD33&gt;0,BD34&gt;0),MIN(BD34,BD33*0.5),0)</x:f>
      </x:c>
      <x:c r="BE35">
        <x:f>IF(AND(BE$3&gt;=$B$31,BE33&gt;0,BE34&gt;0),MIN(BE34,BE33*0.5),0)</x:f>
      </x:c>
      <x:c r="BF35">
        <x:f>IF(AND(BF$3&gt;=$B$31,BF33&gt;0,BF34&gt;0),MIN(BF34,BF33*0.5),0)</x:f>
      </x:c>
      <x:c r="BG35">
        <x:f>IF(AND(BG$3&gt;=$B$31,BG33&gt;0,BG34&gt;0),MIN(BG34,BG33*0.5),0)</x:f>
      </x:c>
      <x:c r="BH35">
        <x:f>IF(AND(BH$3&gt;=$B$31,BH33&gt;0,BH34&gt;0),MIN(BH34,BH33*0.5),0)</x:f>
      </x:c>
      <x:c r="BI35">
        <x:f>IF(AND(BI$3&gt;=$B$31,BI33&gt;0,BI34&gt;0),MIN(BI34,BI33*0.5),0)</x:f>
      </x:c>
      <x:c r="BJ35">
        <x:f>IF(AND(BJ$3&gt;=$B$31,BJ33&gt;0,BJ34&gt;0),MIN(BJ34,BJ33*0.5),0)</x:f>
      </x:c>
      <x:c r="BK35">
        <x:f>IF(AND(BK$3&gt;=$B$31,BK33&gt;0,BK34&gt;0),MIN(BK34,BK33*0.5),0)</x:f>
      </x:c>
      <x:c r="BL35">
        <x:f>IF(AND(BL$3&gt;=$B$31,BL33&gt;0,BL34&gt;0),MIN(BL34,BL33*0.5),0)</x:f>
      </x:c>
      <x:c r="BM35">
        <x:f>IF(AND(BM$3&gt;=$B$31,BM33&gt;0,BM34&gt;0),MIN(BM34,BM33*0.5),0)</x:f>
      </x:c>
      <x:c r="BN35">
        <x:f>IF(AND(BN$3&gt;=$B$31,BN33&gt;0,BN34&gt;0),MIN(BN34,BN33*0.5),0)</x:f>
      </x:c>
      <x:c r="BO35">
        <x:f>IF(AND(BO$3&gt;=$B$31,BO33&gt;0,BO34&gt;0),MIN(BO34,BO33*0.5),0)</x:f>
      </x:c>
      <x:c r="BP35">
        <x:f>IF(AND(BP$3&gt;=$B$31,BP33&gt;0,BP34&gt;0),MIN(BP34,BP33*0.5),0)</x:f>
      </x:c>
      <x:c r="BQ35">
        <x:f>IF(AND(BQ$3&gt;=$B$31,BQ33&gt;0,BQ34&gt;0),MIN(BQ34,BQ33*0.5),0)</x:f>
      </x:c>
      <x:c r="BR35">
        <x:f>IF(AND(BR$3&gt;=$B$31,BR33&gt;0,BR34&gt;0),MIN(BR34,BR33*0.5),0)</x:f>
      </x:c>
      <x:c r="BS35">
        <x:f>IF(AND(BS$3&gt;=$B$31,BS33&gt;0,BS34&gt;0),MIN(BS34,BS33*0.5),0)</x:f>
      </x:c>
      <x:c r="BT35">
        <x:f>IF(AND(BT$3&gt;=$B$31,BT33&gt;0,BT34&gt;0),MIN(BT34,BT33*0.5),0)</x:f>
      </x:c>
      <x:c r="BU35">
        <x:f>IF(AND(BU$3&gt;=$B$31,BU33&gt;0,BU34&gt;0),MIN(BU34,BU33*0.5),0)</x:f>
      </x:c>
      <x:c r="BV35">
        <x:f>IF(AND(BV$3&gt;=$B$31,BV33&gt;0,BV34&gt;0),MIN(BV34,BV33*0.5),0)</x:f>
      </x:c>
      <x:c r="BW35">
        <x:f>IF(AND(BW$3&gt;=$B$31,BW33&gt;0,BW34&gt;0),MIN(BW34,BW33*0.5),0)</x:f>
      </x:c>
      <x:c r="BX35">
        <x:f>IF(AND(BX$3&gt;=$B$31,BX33&gt;0,BX34&gt;0),MIN(BX34,BX33*0.5),0)</x:f>
      </x:c>
      <x:c r="BY35">
        <x:f>IF(AND(BY$3&gt;=$B$31,BY33&gt;0,BY34&gt;0),MIN(BY34,BY33*0.5),0)</x:f>
      </x:c>
      <x:c r="BZ35">
        <x:f>IF(AND(BZ$3&gt;=$B$31,BZ33&gt;0,BZ34&gt;0),MIN(BZ34,BZ33*0.5),0)</x:f>
      </x:c>
      <x:c r="CA35">
        <x:f>IF(AND(CA$3&gt;=$B$31,CA33&gt;0,CA34&gt;0),MIN(CA34,CA33*0.5),0)</x:f>
      </x:c>
      <x:c r="CB35">
        <x:f>IF(AND(CB$3&gt;=$B$31,CB33&gt;0,CB34&gt;0),MIN(CB34,CB33*0.5),0)</x:f>
      </x:c>
      <x:c r="CC35">
        <x:f>IF(AND(CC$3&gt;=$B$31,CC33&gt;0,CC34&gt;0),MIN(CC34,CC33*0.5),0)</x:f>
      </x:c>
      <x:c r="CD35">
        <x:f>IF(AND(CD$3&gt;=$B$31,CD33&gt;0,CD34&gt;0),MIN(CD34,CD33*0.5),0)</x:f>
      </x:c>
      <x:c r="CE35">
        <x:f>IF(AND(CE$3&gt;=$B$31,CE33&gt;0,CE34&gt;0),MIN(CE34,CE33*0.5),0)</x:f>
      </x:c>
      <x:c r="CF35">
        <x:f>IF(AND(CF$3&gt;=$B$31,CF33&gt;0,CF34&gt;0),MIN(CF34,CF33*0.5),0)</x:f>
      </x:c>
      <x:c r="CG35">
        <x:f>IF(AND(CG$3&gt;=$B$31,CG33&gt;0,CG34&gt;0),MIN(CG34,CG33*0.5),0)</x:f>
      </x:c>
      <x:c r="CH35">
        <x:f>IF(AND(CH$3&gt;=$B$31,CH33&gt;0,CH34&gt;0),MIN(CH34,CH33*0.5),0)</x:f>
      </x:c>
      <x:c r="CI35">
        <x:f>IF(AND(CI$3&gt;=$B$31,CI33&gt;0,CI34&gt;0),MIN(CI34,CI33*0.5),0)</x:f>
      </x:c>
      <x:c r="CJ35">
        <x:f>IF(AND(CJ$3&gt;=$B$31,CJ33&gt;0,CJ34&gt;0),MIN(CJ34,CJ33*0.5),0)</x:f>
      </x:c>
      <x:c r="CK35">
        <x:f>IF(AND(CK$3&gt;=$B$31,CK33&gt;0,CK34&gt;0),MIN(CK34,CK33*0.5),0)</x:f>
      </x:c>
      <x:c r="CL35">
        <x:f>IF(AND(CL$3&gt;=$B$31,CL33&gt;0,CL34&gt;0),MIN(CL34,CL33*0.5),0)</x:f>
      </x:c>
      <x:c r="CM35">
        <x:f>IF(AND(CM$3&gt;=$B$31,CM33&gt;0,CM34&gt;0),MIN(CM34,CM33*0.5),0)</x:f>
      </x:c>
      <x:c r="CN35">
        <x:f>IF(AND(CN$3&gt;=$B$31,CN33&gt;0,CN34&gt;0),MIN(CN34,CN33*0.5),0)</x:f>
      </x:c>
      <x:c r="CO35">
        <x:f>IF(AND(CO$3&gt;=$B$31,CO33&gt;0,CO34&gt;0),MIN(CO34,CO33*0.5),0)</x:f>
      </x:c>
      <x:c r="CP35">
        <x:f>IF(AND(CP$3&gt;=$B$31,CP33&gt;0,CP34&gt;0),MIN(CP34,CP33*0.5),0)</x:f>
      </x:c>
      <x:c r="CQ35">
        <x:f>IF(AND(CQ$3&gt;=$B$31,CQ33&gt;0,CQ34&gt;0),MIN(CQ34,CQ33*0.5),0)</x:f>
      </x:c>
      <x:c r="CR35">
        <x:f>IF(AND(CR$3&gt;=$B$31,CR33&gt;0,CR34&gt;0),MIN(CR34,CR33*0.5),0)</x:f>
      </x:c>
      <x:c r="CS35">
        <x:f>IF(AND(CS$3&gt;=$B$31,CS33&gt;0,CS34&gt;0),MIN(CS34,CS33*0.5),0)</x:f>
      </x:c>
      <x:c r="CT35">
        <x:f>IF(AND(CT$3&gt;=$B$31,CT33&gt;0,CT34&gt;0),MIN(CT34,CT33*0.5),0)</x:f>
      </x:c>
      <x:c r="CU35">
        <x:f>IF(AND(CU$3&gt;=$B$31,CU33&gt;0,CU34&gt;0),MIN(CU34,CU33*0.5),0)</x:f>
      </x:c>
      <x:c r="CV35">
        <x:f>IF(AND(CV$3&gt;=$B$31,CV33&gt;0,CV34&gt;0),MIN(CV34,CV33*0.5),0)</x:f>
      </x:c>
      <x:c r="CW35">
        <x:f>IF(AND(CW$3&gt;=$B$31,CW33&gt;0,CW34&gt;0),MIN(CW34,CW33*0.5),0)</x:f>
      </x:c>
      <x:c r="CX35">
        <x:f>IF(AND(CX$3&gt;=$B$31,CX33&gt;0,CX34&gt;0),MIN(CX34,CX33*0.5),0)</x:f>
      </x:c>
      <x:c r="CY35">
        <x:f>IF(AND(CY$3&gt;=$B$31,CY33&gt;0,CY34&gt;0),MIN(CY34,CY33*0.5),0)</x:f>
      </x:c>
      <x:c r="CZ35">
        <x:f>IF(AND(CZ$3&gt;=$B$31,CZ33&gt;0,CZ34&gt;0),MIN(CZ34,CZ33*0.5),0)</x:f>
      </x:c>
      <x:c r="DA35">
        <x:f>IF(AND(DA$3&gt;=$B$31,DA33&gt;0,DA34&gt;0),MIN(DA34,DA33*0.5),0)</x:f>
      </x:c>
      <x:c r="DB35">
        <x:f>IF(AND(DB$3&gt;=$B$31,DB33&gt;0,DB34&gt;0),MIN(DB34,DB33*0.5),0)</x:f>
      </x:c>
      <x:c r="DC35">
        <x:f>IF(AND(DC$3&gt;=$B$31,DC33&gt;0,DC34&gt;0),MIN(DC34,DC33*0.5),0)</x:f>
      </x:c>
      <x:c r="DD35">
        <x:f>IF(AND(DD$3&gt;=$B$31,DD33&gt;0,DD34&gt;0),MIN(DD34,DD33*0.5),0)</x:f>
      </x:c>
      <x:c r="DE35">
        <x:f>IF(AND(DE$3&gt;=$B$31,DE33&gt;0,DE34&gt;0),MIN(DE34,DE33*0.5),0)</x:f>
      </x:c>
      <x:c r="DF35">
        <x:f>IF(AND(DF$3&gt;=$B$31,DF33&gt;0,DF34&gt;0),MIN(DF34,DF33*0.5),0)</x:f>
      </x:c>
      <x:c r="DG35">
        <x:f>IF(AND(DG$3&gt;=$B$31,DG33&gt;0,DG34&gt;0),MIN(DG34,DG33*0.5),0)</x:f>
      </x:c>
      <x:c r="DH35">
        <x:f>IF(AND(DH$3&gt;=$B$31,DH33&gt;0,DH34&gt;0),MIN(DH34,DH33*0.5),0)</x:f>
      </x:c>
      <x:c r="DI35">
        <x:f>IF(AND(DI$3&gt;=$B$31,DI33&gt;0,DI34&gt;0),MIN(DI34,DI33*0.5),0)</x:f>
      </x:c>
      <x:c r="DJ35">
        <x:f>IF(AND(DJ$3&gt;=$B$31,DJ33&gt;0,DJ34&gt;0),MIN(DJ34,DJ33*0.5),0)</x:f>
      </x:c>
      <x:c r="DK35">
        <x:f>IF(AND(DK$3&gt;=$B$31,DK33&gt;0,DK34&gt;0),MIN(DK34,DK33*0.5),0)</x:f>
      </x:c>
      <x:c r="DL35">
        <x:f>IF(AND(DL$3&gt;=$B$31,DL33&gt;0,DL34&gt;0),MIN(DL34,DL33*0.5),0)</x:f>
      </x:c>
      <x:c r="DM35">
        <x:f>IF(AND(DM$3&gt;=$B$31,DM33&gt;0,DM34&gt;0),MIN(DM34,DM33*0.5),0)</x:f>
      </x:c>
      <x:c r="DN35">
        <x:f>IF(AND(DN$3&gt;=$B$31,DN33&gt;0,DN34&gt;0),MIN(DN34,DN33*0.5),0)</x:f>
      </x:c>
      <x:c r="DO35">
        <x:f>IF(AND(DO$3&gt;=$B$31,DO33&gt;0,DO34&gt;0),MIN(DO34,DO33*0.5),0)</x:f>
      </x:c>
      <x:c r="DP35">
        <x:f>IF(AND(DP$3&gt;=$B$31,DP33&gt;0,DP34&gt;0),MIN(DP34,DP33*0.5),0)</x:f>
      </x:c>
      <x:c r="DQ35">
        <x:f>IF(AND(DQ$3&gt;=$B$31,DQ33&gt;0,DQ34&gt;0),MIN(DQ34,DQ33*0.5),0)</x:f>
      </x:c>
      <x:c r="DR35">
        <x:f>IF(AND(DR$3&gt;=$B$31,DR33&gt;0,DR34&gt;0),MIN(DR34,DR33*0.5),0)</x:f>
      </x:c>
      <x:c r="DS35">
        <x:f>IF(AND(DS$3&gt;=$B$31,DS33&gt;0,DS34&gt;0),MIN(DS34,DS33*0.5),0)</x:f>
      </x:c>
    </x:row>
    <x:row r="36">
      <x:c r="A36" t="inlineStr">
        <x:is>
          <x:t>Налог года нарастающим</x:t>
        </x:is>
      </x:c>
      <x:c r="D36">
        <x:f>D37</x:f>
      </x:c>
      <x:c r="E36">
        <x:f>IF(AND(E$3&gt;=$B$31,D$3&gt;=$B$31),IF(YEAR(E$3)=YEAR(D$3),D36+E37,E37),E37)</x:f>
      </x:c>
      <x:c r="F36">
        <x:f>IF(AND(F$3&gt;=$B$31,E$3&gt;=$B$31),IF(YEAR(F$3)=YEAR(E$3),E36+F37,F37),F37)</x:f>
      </x:c>
      <x:c r="G36">
        <x:f>IF(AND(G$3&gt;=$B$31,F$3&gt;=$B$31),IF(YEAR(G$3)=YEAR(F$3),F36+G37,G37),G37)</x:f>
      </x:c>
      <x:c r="H36">
        <x:f>IF(AND(H$3&gt;=$B$31,G$3&gt;=$B$31),IF(YEAR(H$3)=YEAR(G$3),G36+H37,H37),H37)</x:f>
      </x:c>
      <x:c r="I36">
        <x:f>IF(AND(I$3&gt;=$B$31,H$3&gt;=$B$31),IF(YEAR(I$3)=YEAR(H$3),H36+I37,I37),I37)</x:f>
      </x:c>
      <x:c r="J36">
        <x:f>IF(AND(J$3&gt;=$B$31,I$3&gt;=$B$31),IF(YEAR(J$3)=YEAR(I$3),I36+J37,J37),J37)</x:f>
      </x:c>
      <x:c r="K36">
        <x:f>IF(AND(K$3&gt;=$B$31,J$3&gt;=$B$31),IF(YEAR(K$3)=YEAR(J$3),J36+K37,K37),K37)</x:f>
      </x:c>
      <x:c r="L36">
        <x:f>IF(AND(L$3&gt;=$B$31,K$3&gt;=$B$31),IF(YEAR(L$3)=YEAR(K$3),K36+L37,L37),L37)</x:f>
      </x:c>
      <x:c r="M36">
        <x:f>IF(AND(M$3&gt;=$B$31,L$3&gt;=$B$31),IF(YEAR(M$3)=YEAR(L$3),L36+M37,M37),M37)</x:f>
      </x:c>
      <x:c r="N36">
        <x:f>IF(AND(N$3&gt;=$B$31,M$3&gt;=$B$31),IF(YEAR(N$3)=YEAR(M$3),M36+N37,N37),N37)</x:f>
      </x:c>
      <x:c r="O36">
        <x:f>IF(AND(O$3&gt;=$B$31,N$3&gt;=$B$31),IF(YEAR(O$3)=YEAR(N$3),N36+O37,O37),O37)</x:f>
      </x:c>
      <x:c r="P36">
        <x:f>IF(AND(P$3&gt;=$B$31,O$3&gt;=$B$31),IF(YEAR(P$3)=YEAR(O$3),O36+P37,P37),P37)</x:f>
      </x:c>
      <x:c r="Q36">
        <x:f>IF(AND(Q$3&gt;=$B$31,P$3&gt;=$B$31),IF(YEAR(Q$3)=YEAR(P$3),P36+Q37,Q37),Q37)</x:f>
      </x:c>
      <x:c r="R36">
        <x:f>IF(AND(R$3&gt;=$B$31,Q$3&gt;=$B$31),IF(YEAR(R$3)=YEAR(Q$3),Q36+R37,R37),R37)</x:f>
      </x:c>
      <x:c r="S36">
        <x:f>IF(AND(S$3&gt;=$B$31,R$3&gt;=$B$31),IF(YEAR(S$3)=YEAR(R$3),R36+S37,S37),S37)</x:f>
      </x:c>
      <x:c r="T36">
        <x:f>IF(AND(T$3&gt;=$B$31,S$3&gt;=$B$31),IF(YEAR(T$3)=YEAR(S$3),S36+T37,T37),T37)</x:f>
      </x:c>
      <x:c r="U36">
        <x:f>IF(AND(U$3&gt;=$B$31,T$3&gt;=$B$31),IF(YEAR(U$3)=YEAR(T$3),T36+U37,U37),U37)</x:f>
      </x:c>
      <x:c r="V36">
        <x:f>IF(AND(V$3&gt;=$B$31,U$3&gt;=$B$31),IF(YEAR(V$3)=YEAR(U$3),U36+V37,V37),V37)</x:f>
      </x:c>
      <x:c r="W36">
        <x:f>IF(AND(W$3&gt;=$B$31,V$3&gt;=$B$31),IF(YEAR(W$3)=YEAR(V$3),V36+W37,W37),W37)</x:f>
      </x:c>
      <x:c r="X36">
        <x:f>IF(AND(X$3&gt;=$B$31,W$3&gt;=$B$31),IF(YEAR(X$3)=YEAR(W$3),W36+X37,X37),X37)</x:f>
      </x:c>
      <x:c r="Y36">
        <x:f>IF(AND(Y$3&gt;=$B$31,X$3&gt;=$B$31),IF(YEAR(Y$3)=YEAR(X$3),X36+Y37,Y37),Y37)</x:f>
      </x:c>
      <x:c r="Z36">
        <x:f>IF(AND(Z$3&gt;=$B$31,Y$3&gt;=$B$31),IF(YEAR(Z$3)=YEAR(Y$3),Y36+Z37,Z37),Z37)</x:f>
      </x:c>
      <x:c r="AA36">
        <x:f>IF(AND(AA$3&gt;=$B$31,Z$3&gt;=$B$31),IF(YEAR(AA$3)=YEAR(Z$3),Z36+AA37,AA37),AA37)</x:f>
      </x:c>
      <x:c r="AB36">
        <x:f>IF(AND(AB$3&gt;=$B$31,AA$3&gt;=$B$31),IF(YEAR(AB$3)=YEAR(AA$3),AA36+AB37,AB37),AB37)</x:f>
      </x:c>
      <x:c r="AC36">
        <x:f>IF(AND(AC$3&gt;=$B$31,AB$3&gt;=$B$31),IF(YEAR(AC$3)=YEAR(AB$3),AB36+AC37,AC37),AC37)</x:f>
      </x:c>
      <x:c r="AD36">
        <x:f>IF(AND(AD$3&gt;=$B$31,AC$3&gt;=$B$31),IF(YEAR(AD$3)=YEAR(AC$3),AC36+AD37,AD37),AD37)</x:f>
      </x:c>
      <x:c r="AE36">
        <x:f>IF(AND(AE$3&gt;=$B$31,AD$3&gt;=$B$31),IF(YEAR(AE$3)=YEAR(AD$3),AD36+AE37,AE37),AE37)</x:f>
      </x:c>
      <x:c r="AF36">
        <x:f>IF(AND(AF$3&gt;=$B$31,AE$3&gt;=$B$31),IF(YEAR(AF$3)=YEAR(AE$3),AE36+AF37,AF37),AF37)</x:f>
      </x:c>
      <x:c r="AG36">
        <x:f>IF(AND(AG$3&gt;=$B$31,AF$3&gt;=$B$31),IF(YEAR(AG$3)=YEAR(AF$3),AF36+AG37,AG37),AG37)</x:f>
      </x:c>
      <x:c r="AH36">
        <x:f>IF(AND(AH$3&gt;=$B$31,AG$3&gt;=$B$31),IF(YEAR(AH$3)=YEAR(AG$3),AG36+AH37,AH37),AH37)</x:f>
      </x:c>
      <x:c r="AI36">
        <x:f>IF(AND(AI$3&gt;=$B$31,AH$3&gt;=$B$31),IF(YEAR(AI$3)=YEAR(AH$3),AH36+AI37,AI37),AI37)</x:f>
      </x:c>
      <x:c r="AJ36">
        <x:f>IF(AND(AJ$3&gt;=$B$31,AI$3&gt;=$B$31),IF(YEAR(AJ$3)=YEAR(AI$3),AI36+AJ37,AJ37),AJ37)</x:f>
      </x:c>
      <x:c r="AK36">
        <x:f>IF(AND(AK$3&gt;=$B$31,AJ$3&gt;=$B$31),IF(YEAR(AK$3)=YEAR(AJ$3),AJ36+AK37,AK37),AK37)</x:f>
      </x:c>
      <x:c r="AL36">
        <x:f>IF(AND(AL$3&gt;=$B$31,AK$3&gt;=$B$31),IF(YEAR(AL$3)=YEAR(AK$3),AK36+AL37,AL37),AL37)</x:f>
      </x:c>
      <x:c r="AM36">
        <x:f>IF(AND(AM$3&gt;=$B$31,AL$3&gt;=$B$31),IF(YEAR(AM$3)=YEAR(AL$3),AL36+AM37,AM37),AM37)</x:f>
      </x:c>
      <x:c r="AN36">
        <x:f>IF(AND(AN$3&gt;=$B$31,AM$3&gt;=$B$31),IF(YEAR(AN$3)=YEAR(AM$3),AM36+AN37,AN37),AN37)</x:f>
      </x:c>
      <x:c r="AO36">
        <x:f>IF(AND(AO$3&gt;=$B$31,AN$3&gt;=$B$31),IF(YEAR(AO$3)=YEAR(AN$3),AN36+AO37,AO37),AO37)</x:f>
      </x:c>
      <x:c r="AP36">
        <x:f>IF(AND(AP$3&gt;=$B$31,AO$3&gt;=$B$31),IF(YEAR(AP$3)=YEAR(AO$3),AO36+AP37,AP37),AP37)</x:f>
      </x:c>
      <x:c r="AQ36">
        <x:f>IF(AND(AQ$3&gt;=$B$31,AP$3&gt;=$B$31),IF(YEAR(AQ$3)=YEAR(AP$3),AP36+AQ37,AQ37),AQ37)</x:f>
      </x:c>
      <x:c r="AR36">
        <x:f>IF(AND(AR$3&gt;=$B$31,AQ$3&gt;=$B$31),IF(YEAR(AR$3)=YEAR(AQ$3),AQ36+AR37,AR37),AR37)</x:f>
      </x:c>
      <x:c r="AS36">
        <x:f>IF(AND(AS$3&gt;=$B$31,AR$3&gt;=$B$31),IF(YEAR(AS$3)=YEAR(AR$3),AR36+AS37,AS37),AS37)</x:f>
      </x:c>
      <x:c r="AT36">
        <x:f>IF(AND(AT$3&gt;=$B$31,AS$3&gt;=$B$31),IF(YEAR(AT$3)=YEAR(AS$3),AS36+AT37,AT37),AT37)</x:f>
      </x:c>
      <x:c r="AU36">
        <x:f>IF(AND(AU$3&gt;=$B$31,AT$3&gt;=$B$31),IF(YEAR(AU$3)=YEAR(AT$3),AT36+AU37,AU37),AU37)</x:f>
      </x:c>
      <x:c r="AV36">
        <x:f>IF(AND(AV$3&gt;=$B$31,AU$3&gt;=$B$31),IF(YEAR(AV$3)=YEAR(AU$3),AU36+AV37,AV37),AV37)</x:f>
      </x:c>
      <x:c r="AW36">
        <x:f>IF(AND(AW$3&gt;=$B$31,AV$3&gt;=$B$31),IF(YEAR(AW$3)=YEAR(AV$3),AV36+AW37,AW37),AW37)</x:f>
      </x:c>
      <x:c r="AX36">
        <x:f>IF(AND(AX$3&gt;=$B$31,AW$3&gt;=$B$31),IF(YEAR(AX$3)=YEAR(AW$3),AW36+AX37,AX37),AX37)</x:f>
      </x:c>
      <x:c r="AY36">
        <x:f>IF(AND(AY$3&gt;=$B$31,AX$3&gt;=$B$31),IF(YEAR(AY$3)=YEAR(AX$3),AX36+AY37,AY37),AY37)</x:f>
      </x:c>
      <x:c r="AZ36">
        <x:f>IF(AND(AZ$3&gt;=$B$31,AY$3&gt;=$B$31),IF(YEAR(AZ$3)=YEAR(AY$3),AY36+AZ37,AZ37),AZ37)</x:f>
      </x:c>
      <x:c r="BA36">
        <x:f>IF(AND(BA$3&gt;=$B$31,AZ$3&gt;=$B$31),IF(YEAR(BA$3)=YEAR(AZ$3),AZ36+BA37,BA37),BA37)</x:f>
      </x:c>
      <x:c r="BB36">
        <x:f>IF(AND(BB$3&gt;=$B$31,BA$3&gt;=$B$31),IF(YEAR(BB$3)=YEAR(BA$3),BA36+BB37,BB37),BB37)</x:f>
      </x:c>
      <x:c r="BC36">
        <x:f>IF(AND(BC$3&gt;=$B$31,BB$3&gt;=$B$31),IF(YEAR(BC$3)=YEAR(BB$3),BB36+BC37,BC37),BC37)</x:f>
      </x:c>
      <x:c r="BD36">
        <x:f>IF(AND(BD$3&gt;=$B$31,BC$3&gt;=$B$31),IF(YEAR(BD$3)=YEAR(BC$3),BC36+BD37,BD37),BD37)</x:f>
      </x:c>
      <x:c r="BE36">
        <x:f>IF(AND(BE$3&gt;=$B$31,BD$3&gt;=$B$31),IF(YEAR(BE$3)=YEAR(BD$3),BD36+BE37,BE37),BE37)</x:f>
      </x:c>
      <x:c r="BF36">
        <x:f>IF(AND(BF$3&gt;=$B$31,BE$3&gt;=$B$31),IF(YEAR(BF$3)=YEAR(BE$3),BE36+BF37,BF37),BF37)</x:f>
      </x:c>
      <x:c r="BG36">
        <x:f>IF(AND(BG$3&gt;=$B$31,BF$3&gt;=$B$31),IF(YEAR(BG$3)=YEAR(BF$3),BF36+BG37,BG37),BG37)</x:f>
      </x:c>
      <x:c r="BH36">
        <x:f>IF(AND(BH$3&gt;=$B$31,BG$3&gt;=$B$31),IF(YEAR(BH$3)=YEAR(BG$3),BG36+BH37,BH37),BH37)</x:f>
      </x:c>
      <x:c r="BI36">
        <x:f>IF(AND(BI$3&gt;=$B$31,BH$3&gt;=$B$31),IF(YEAR(BI$3)=YEAR(BH$3),BH36+BI37,BI37),BI37)</x:f>
      </x:c>
      <x:c r="BJ36">
        <x:f>IF(AND(BJ$3&gt;=$B$31,BI$3&gt;=$B$31),IF(YEAR(BJ$3)=YEAR(BI$3),BI36+BJ37,BJ37),BJ37)</x:f>
      </x:c>
      <x:c r="BK36">
        <x:f>IF(AND(BK$3&gt;=$B$31,BJ$3&gt;=$B$31),IF(YEAR(BK$3)=YEAR(BJ$3),BJ36+BK37,BK37),BK37)</x:f>
      </x:c>
      <x:c r="BL36">
        <x:f>IF(AND(BL$3&gt;=$B$31,BK$3&gt;=$B$31),IF(YEAR(BL$3)=YEAR(BK$3),BK36+BL37,BL37),BL37)</x:f>
      </x:c>
      <x:c r="BM36">
        <x:f>IF(AND(BM$3&gt;=$B$31,BL$3&gt;=$B$31),IF(YEAR(BM$3)=YEAR(BL$3),BL36+BM37,BM37),BM37)</x:f>
      </x:c>
      <x:c r="BN36">
        <x:f>IF(AND(BN$3&gt;=$B$31,BM$3&gt;=$B$31),IF(YEAR(BN$3)=YEAR(BM$3),BM36+BN37,BN37),BN37)</x:f>
      </x:c>
      <x:c r="BO36">
        <x:f>IF(AND(BO$3&gt;=$B$31,BN$3&gt;=$B$31),IF(YEAR(BO$3)=YEAR(BN$3),BN36+BO37,BO37),BO37)</x:f>
      </x:c>
      <x:c r="BP36">
        <x:f>IF(AND(BP$3&gt;=$B$31,BO$3&gt;=$B$31),IF(YEAR(BP$3)=YEAR(BO$3),BO36+BP37,BP37),BP37)</x:f>
      </x:c>
      <x:c r="BQ36">
        <x:f>IF(AND(BQ$3&gt;=$B$31,BP$3&gt;=$B$31),IF(YEAR(BQ$3)=YEAR(BP$3),BP36+BQ37,BQ37),BQ37)</x:f>
      </x:c>
      <x:c r="BR36">
        <x:f>IF(AND(BR$3&gt;=$B$31,BQ$3&gt;=$B$31),IF(YEAR(BR$3)=YEAR(BQ$3),BQ36+BR37,BR37),BR37)</x:f>
      </x:c>
      <x:c r="BS36">
        <x:f>IF(AND(BS$3&gt;=$B$31,BR$3&gt;=$B$31),IF(YEAR(BS$3)=YEAR(BR$3),BR36+BS37,BS37),BS37)</x:f>
      </x:c>
      <x:c r="BT36">
        <x:f>IF(AND(BT$3&gt;=$B$31,BS$3&gt;=$B$31),IF(YEAR(BT$3)=YEAR(BS$3),BS36+BT37,BT37),BT37)</x:f>
      </x:c>
      <x:c r="BU36">
        <x:f>IF(AND(BU$3&gt;=$B$31,BT$3&gt;=$B$31),IF(YEAR(BU$3)=YEAR(BT$3),BT36+BU37,BU37),BU37)</x:f>
      </x:c>
      <x:c r="BV36">
        <x:f>IF(AND(BV$3&gt;=$B$31,BU$3&gt;=$B$31),IF(YEAR(BV$3)=YEAR(BU$3),BU36+BV37,BV37),BV37)</x:f>
      </x:c>
      <x:c r="BW36">
        <x:f>IF(AND(BW$3&gt;=$B$31,BV$3&gt;=$B$31),IF(YEAR(BW$3)=YEAR(BV$3),BV36+BW37,BW37),BW37)</x:f>
      </x:c>
      <x:c r="BX36">
        <x:f>IF(AND(BX$3&gt;=$B$31,BW$3&gt;=$B$31),IF(YEAR(BX$3)=YEAR(BW$3),BW36+BX37,BX37),BX37)</x:f>
      </x:c>
      <x:c r="BY36">
        <x:f>IF(AND(BY$3&gt;=$B$31,BX$3&gt;=$B$31),IF(YEAR(BY$3)=YEAR(BX$3),BX36+BY37,BY37),BY37)</x:f>
      </x:c>
      <x:c r="BZ36">
        <x:f>IF(AND(BZ$3&gt;=$B$31,BY$3&gt;=$B$31),IF(YEAR(BZ$3)=YEAR(BY$3),BY36+BZ37,BZ37),BZ37)</x:f>
      </x:c>
      <x:c r="CA36">
        <x:f>IF(AND(CA$3&gt;=$B$31,BZ$3&gt;=$B$31),IF(YEAR(CA$3)=YEAR(BZ$3),BZ36+CA37,CA37),CA37)</x:f>
      </x:c>
      <x:c r="CB36">
        <x:f>IF(AND(CB$3&gt;=$B$31,CA$3&gt;=$B$31),IF(YEAR(CB$3)=YEAR(CA$3),CA36+CB37,CB37),CB37)</x:f>
      </x:c>
      <x:c r="CC36">
        <x:f>IF(AND(CC$3&gt;=$B$31,CB$3&gt;=$B$31),IF(YEAR(CC$3)=YEAR(CB$3),CB36+CC37,CC37),CC37)</x:f>
      </x:c>
      <x:c r="CD36">
        <x:f>IF(AND(CD$3&gt;=$B$31,CC$3&gt;=$B$31),IF(YEAR(CD$3)=YEAR(CC$3),CC36+CD37,CD37),CD37)</x:f>
      </x:c>
      <x:c r="CE36">
        <x:f>IF(AND(CE$3&gt;=$B$31,CD$3&gt;=$B$31),IF(YEAR(CE$3)=YEAR(CD$3),CD36+CE37,CE37),CE37)</x:f>
      </x:c>
      <x:c r="CF36">
        <x:f>IF(AND(CF$3&gt;=$B$31,CE$3&gt;=$B$31),IF(YEAR(CF$3)=YEAR(CE$3),CE36+CF37,CF37),CF37)</x:f>
      </x:c>
      <x:c r="CG36">
        <x:f>IF(AND(CG$3&gt;=$B$31,CF$3&gt;=$B$31),IF(YEAR(CG$3)=YEAR(CF$3),CF36+CG37,CG37),CG37)</x:f>
      </x:c>
      <x:c r="CH36">
        <x:f>IF(AND(CH$3&gt;=$B$31,CG$3&gt;=$B$31),IF(YEAR(CH$3)=YEAR(CG$3),CG36+CH37,CH37),CH37)</x:f>
      </x:c>
      <x:c r="CI36">
        <x:f>IF(AND(CI$3&gt;=$B$31,CH$3&gt;=$B$31),IF(YEAR(CI$3)=YEAR(CH$3),CH36+CI37,CI37),CI37)</x:f>
      </x:c>
      <x:c r="CJ36">
        <x:f>IF(AND(CJ$3&gt;=$B$31,CI$3&gt;=$B$31),IF(YEAR(CJ$3)=YEAR(CI$3),CI36+CJ37,CJ37),CJ37)</x:f>
      </x:c>
      <x:c r="CK36">
        <x:f>IF(AND(CK$3&gt;=$B$31,CJ$3&gt;=$B$31),IF(YEAR(CK$3)=YEAR(CJ$3),CJ36+CK37,CK37),CK37)</x:f>
      </x:c>
      <x:c r="CL36">
        <x:f>IF(AND(CL$3&gt;=$B$31,CK$3&gt;=$B$31),IF(YEAR(CL$3)=YEAR(CK$3),CK36+CL37,CL37),CL37)</x:f>
      </x:c>
      <x:c r="CM36">
        <x:f>IF(AND(CM$3&gt;=$B$31,CL$3&gt;=$B$31),IF(YEAR(CM$3)=YEAR(CL$3),CL36+CM37,CM37),CM37)</x:f>
      </x:c>
      <x:c r="CN36">
        <x:f>IF(AND(CN$3&gt;=$B$31,CM$3&gt;=$B$31),IF(YEAR(CN$3)=YEAR(CM$3),CM36+CN37,CN37),CN37)</x:f>
      </x:c>
      <x:c r="CO36">
        <x:f>IF(AND(CO$3&gt;=$B$31,CN$3&gt;=$B$31),IF(YEAR(CO$3)=YEAR(CN$3),CN36+CO37,CO37),CO37)</x:f>
      </x:c>
      <x:c r="CP36">
        <x:f>IF(AND(CP$3&gt;=$B$31,CO$3&gt;=$B$31),IF(YEAR(CP$3)=YEAR(CO$3),CO36+CP37,CP37),CP37)</x:f>
      </x:c>
      <x:c r="CQ36">
        <x:f>IF(AND(CQ$3&gt;=$B$31,CP$3&gt;=$B$31),IF(YEAR(CQ$3)=YEAR(CP$3),CP36+CQ37,CQ37),CQ37)</x:f>
      </x:c>
      <x:c r="CR36">
        <x:f>IF(AND(CR$3&gt;=$B$31,CQ$3&gt;=$B$31),IF(YEAR(CR$3)=YEAR(CQ$3),CQ36+CR37,CR37),CR37)</x:f>
      </x:c>
      <x:c r="CS36">
        <x:f>IF(AND(CS$3&gt;=$B$31,CR$3&gt;=$B$31),IF(YEAR(CS$3)=YEAR(CR$3),CR36+CS37,CS37),CS37)</x:f>
      </x:c>
      <x:c r="CT36">
        <x:f>IF(AND(CT$3&gt;=$B$31,CS$3&gt;=$B$31),IF(YEAR(CT$3)=YEAR(CS$3),CS36+CT37,CT37),CT37)</x:f>
      </x:c>
      <x:c r="CU36">
        <x:f>IF(AND(CU$3&gt;=$B$31,CT$3&gt;=$B$31),IF(YEAR(CU$3)=YEAR(CT$3),CT36+CU37,CU37),CU37)</x:f>
      </x:c>
      <x:c r="CV36">
        <x:f>IF(AND(CV$3&gt;=$B$31,CU$3&gt;=$B$31),IF(YEAR(CV$3)=YEAR(CU$3),CU36+CV37,CV37),CV37)</x:f>
      </x:c>
      <x:c r="CW36">
        <x:f>IF(AND(CW$3&gt;=$B$31,CV$3&gt;=$B$31),IF(YEAR(CW$3)=YEAR(CV$3),CV36+CW37,CW37),CW37)</x:f>
      </x:c>
      <x:c r="CX36">
        <x:f>IF(AND(CX$3&gt;=$B$31,CW$3&gt;=$B$31),IF(YEAR(CX$3)=YEAR(CW$3),CW36+CX37,CX37),CX37)</x:f>
      </x:c>
      <x:c r="CY36">
        <x:f>IF(AND(CY$3&gt;=$B$31,CX$3&gt;=$B$31),IF(YEAR(CY$3)=YEAR(CX$3),CX36+CY37,CY37),CY37)</x:f>
      </x:c>
      <x:c r="CZ36">
        <x:f>IF(AND(CZ$3&gt;=$B$31,CY$3&gt;=$B$31),IF(YEAR(CZ$3)=YEAR(CY$3),CY36+CZ37,CZ37),CZ37)</x:f>
      </x:c>
      <x:c r="DA36">
        <x:f>IF(AND(DA$3&gt;=$B$31,CZ$3&gt;=$B$31),IF(YEAR(DA$3)=YEAR(CZ$3),CZ36+DA37,DA37),DA37)</x:f>
      </x:c>
      <x:c r="DB36">
        <x:f>IF(AND(DB$3&gt;=$B$31,DA$3&gt;=$B$31),IF(YEAR(DB$3)=YEAR(DA$3),DA36+DB37,DB37),DB37)</x:f>
      </x:c>
      <x:c r="DC36">
        <x:f>IF(AND(DC$3&gt;=$B$31,DB$3&gt;=$B$31),IF(YEAR(DC$3)=YEAR(DB$3),DB36+DC37,DC37),DC37)</x:f>
      </x:c>
      <x:c r="DD36">
        <x:f>IF(AND(DD$3&gt;=$B$31,DC$3&gt;=$B$31),IF(YEAR(DD$3)=YEAR(DC$3),DC36+DD37,DD37),DD37)</x:f>
      </x:c>
      <x:c r="DE36">
        <x:f>IF(AND(DE$3&gt;=$B$31,DD$3&gt;=$B$31),IF(YEAR(DE$3)=YEAR(DD$3),DD36+DE37,DE37),DE37)</x:f>
      </x:c>
      <x:c r="DF36">
        <x:f>IF(AND(DF$3&gt;=$B$31,DE$3&gt;=$B$31),IF(YEAR(DF$3)=YEAR(DE$3),DE36+DF37,DF37),DF37)</x:f>
      </x:c>
      <x:c r="DG36">
        <x:f>IF(AND(DG$3&gt;=$B$31,DF$3&gt;=$B$31),IF(YEAR(DG$3)=YEAR(DF$3),DF36+DG37,DG37),DG37)</x:f>
      </x:c>
      <x:c r="DH36">
        <x:f>IF(AND(DH$3&gt;=$B$31,DG$3&gt;=$B$31),IF(YEAR(DH$3)=YEAR(DG$3),DG36+DH37,DH37),DH37)</x:f>
      </x:c>
      <x:c r="DI36">
        <x:f>IF(AND(DI$3&gt;=$B$31,DH$3&gt;=$B$31),IF(YEAR(DI$3)=YEAR(DH$3),DH36+DI37,DI37),DI37)</x:f>
      </x:c>
      <x:c r="DJ36">
        <x:f>IF(AND(DJ$3&gt;=$B$31,DI$3&gt;=$B$31),IF(YEAR(DJ$3)=YEAR(DI$3),DI36+DJ37,DJ37),DJ37)</x:f>
      </x:c>
      <x:c r="DK36">
        <x:f>IF(AND(DK$3&gt;=$B$31,DJ$3&gt;=$B$31),IF(YEAR(DK$3)=YEAR(DJ$3),DJ36+DK37,DK37),DK37)</x:f>
      </x:c>
      <x:c r="DL36">
        <x:f>IF(AND(DL$3&gt;=$B$31,DK$3&gt;=$B$31),IF(YEAR(DL$3)=YEAR(DK$3),DK36+DL37,DL37),DL37)</x:f>
      </x:c>
      <x:c r="DM36">
        <x:f>IF(AND(DM$3&gt;=$B$31,DL$3&gt;=$B$31),IF(YEAR(DM$3)=YEAR(DL$3),DL36+DM37,DM37),DM37)</x:f>
      </x:c>
      <x:c r="DN36">
        <x:f>IF(AND(DN$3&gt;=$B$31,DM$3&gt;=$B$31),IF(YEAR(DN$3)=YEAR(DM$3),DM36+DN37,DN37),DN37)</x:f>
      </x:c>
      <x:c r="DO36">
        <x:f>IF(AND(DO$3&gt;=$B$31,DN$3&gt;=$B$31),IF(YEAR(DO$3)=YEAR(DN$3),DN36+DO37,DO37),DO37)</x:f>
      </x:c>
      <x:c r="DP36">
        <x:f>IF(AND(DP$3&gt;=$B$31,DO$3&gt;=$B$31),IF(YEAR(DP$3)=YEAR(DO$3),DO36+DP37,DP37),DP37)</x:f>
      </x:c>
      <x:c r="DQ36">
        <x:f>IF(AND(DQ$3&gt;=$B$31,DP$3&gt;=$B$31),IF(YEAR(DQ$3)=YEAR(DP$3),DP36+DQ37,DQ37),DQ37)</x:f>
      </x:c>
      <x:c r="DR36">
        <x:f>IF(AND(DR$3&gt;=$B$31,DQ$3&gt;=$B$31),IF(YEAR(DR$3)=YEAR(DQ$3),DQ36+DR37,DR37),DR37)</x:f>
      </x:c>
      <x:c r="DS36">
        <x:f>IF(AND(DS$3&gt;=$B$31,DR$3&gt;=$B$31),IF(YEAR(DS$3)=YEAR(DR$3),DR36+DS37,DS37),DS37)</x:f>
      </x:c>
    </x:row>
    <x:row r="37">
      <x:c r="A37" t="inlineStr">
        <x:is>
          <x:t>Налог на прибыль (свод)</x:t>
        </x:is>
      </x:c>
      <x:c r="B37">
        <x:f>SUM(D37:DS37)</x:f>
      </x:c>
      <x:c r="D37">
        <x:f>IF(D$3&gt;=$B$31,MAX(0,MAX(D33-D35,0)*'Вводные'!$B$21),0)</x:f>
      </x:c>
      <x:c r="E37">
        <x:f>IF(E$3&gt;=$B$31,MAX(0,MAX(E33-E35,0)*'Вводные'!$B$21-IF(AND(D$3&gt;=$B$31,YEAR(E$3)=YEAR(D$3)),D36,0)),0)</x:f>
      </x:c>
      <x:c r="F37">
        <x:f>IF(F$3&gt;=$B$31,MAX(0,MAX(F33-F35,0)*'Вводные'!$B$21-IF(AND(E$3&gt;=$B$31,YEAR(F$3)=YEAR(E$3)),E36,0)),0)</x:f>
      </x:c>
      <x:c r="G37">
        <x:f>IF(G$3&gt;=$B$31,MAX(0,MAX(G33-G35,0)*'Вводные'!$B$21-IF(AND(F$3&gt;=$B$31,YEAR(G$3)=YEAR(F$3)),F36,0)),0)</x:f>
      </x:c>
      <x:c r="H37">
        <x:f>IF(H$3&gt;=$B$31,MAX(0,MAX(H33-H35,0)*'Вводные'!$B$21-IF(AND(G$3&gt;=$B$31,YEAR(H$3)=YEAR(G$3)),G36,0)),0)</x:f>
      </x:c>
      <x:c r="I37">
        <x:f>IF(I$3&gt;=$B$31,MAX(0,MAX(I33-I35,0)*'Вводные'!$B$21-IF(AND(H$3&gt;=$B$31,YEAR(I$3)=YEAR(H$3)),H36,0)),0)</x:f>
      </x:c>
      <x:c r="J37">
        <x:f>IF(J$3&gt;=$B$31,MAX(0,MAX(J33-J35,0)*'Вводные'!$B$21-IF(AND(I$3&gt;=$B$31,YEAR(J$3)=YEAR(I$3)),I36,0)),0)</x:f>
      </x:c>
      <x:c r="K37">
        <x:f>IF(K$3&gt;=$B$31,MAX(0,MAX(K33-K35,0)*'Вводные'!$B$21-IF(AND(J$3&gt;=$B$31,YEAR(K$3)=YEAR(J$3)),J36,0)),0)</x:f>
      </x:c>
      <x:c r="L37">
        <x:f>IF(L$3&gt;=$B$31,MAX(0,MAX(L33-L35,0)*'Вводные'!$B$21-IF(AND(K$3&gt;=$B$31,YEAR(L$3)=YEAR(K$3)),K36,0)),0)</x:f>
      </x:c>
      <x:c r="M37">
        <x:f>IF(M$3&gt;=$B$31,MAX(0,MAX(M33-M35,0)*'Вводные'!$B$21-IF(AND(L$3&gt;=$B$31,YEAR(M$3)=YEAR(L$3)),L36,0)),0)</x:f>
      </x:c>
      <x:c r="N37">
        <x:f>IF(N$3&gt;=$B$31,MAX(0,MAX(N33-N35,0)*'Вводные'!$B$21-IF(AND(M$3&gt;=$B$31,YEAR(N$3)=YEAR(M$3)),M36,0)),0)</x:f>
      </x:c>
      <x:c r="O37">
        <x:f>IF(O$3&gt;=$B$31,MAX(0,MAX(O33-O35,0)*'Вводные'!$B$21-IF(AND(N$3&gt;=$B$31,YEAR(O$3)=YEAR(N$3)),N36,0)),0)</x:f>
      </x:c>
      <x:c r="P37">
        <x:f>IF(P$3&gt;=$B$31,MAX(0,MAX(P33-P35,0)*'Вводные'!$B$21-IF(AND(O$3&gt;=$B$31,YEAR(P$3)=YEAR(O$3)),O36,0)),0)</x:f>
      </x:c>
      <x:c r="Q37">
        <x:f>IF(Q$3&gt;=$B$31,MAX(0,MAX(Q33-Q35,0)*'Вводные'!$B$21-IF(AND(P$3&gt;=$B$31,YEAR(Q$3)=YEAR(P$3)),P36,0)),0)</x:f>
      </x:c>
      <x:c r="R37">
        <x:f>IF(R$3&gt;=$B$31,MAX(0,MAX(R33-R35,0)*'Вводные'!$B$21-IF(AND(Q$3&gt;=$B$31,YEAR(R$3)=YEAR(Q$3)),Q36,0)),0)</x:f>
      </x:c>
      <x:c r="S37">
        <x:f>IF(S$3&gt;=$B$31,MAX(0,MAX(S33-S35,0)*'Вводные'!$B$21-IF(AND(R$3&gt;=$B$31,YEAR(S$3)=YEAR(R$3)),R36,0)),0)</x:f>
      </x:c>
      <x:c r="T37">
        <x:f>IF(T$3&gt;=$B$31,MAX(0,MAX(T33-T35,0)*'Вводные'!$B$21-IF(AND(S$3&gt;=$B$31,YEAR(T$3)=YEAR(S$3)),S36,0)),0)</x:f>
      </x:c>
      <x:c r="U37">
        <x:f>IF(U$3&gt;=$B$31,MAX(0,MAX(U33-U35,0)*'Вводные'!$B$21-IF(AND(T$3&gt;=$B$31,YEAR(U$3)=YEAR(T$3)),T36,0)),0)</x:f>
      </x:c>
      <x:c r="V37">
        <x:f>IF(V$3&gt;=$B$31,MAX(0,MAX(V33-V35,0)*'Вводные'!$B$21-IF(AND(U$3&gt;=$B$31,YEAR(V$3)=YEAR(U$3)),U36,0)),0)</x:f>
      </x:c>
      <x:c r="W37">
        <x:f>IF(W$3&gt;=$B$31,MAX(0,MAX(W33-W35,0)*'Вводные'!$B$21-IF(AND(V$3&gt;=$B$31,YEAR(W$3)=YEAR(V$3)),V36,0)),0)</x:f>
      </x:c>
      <x:c r="X37">
        <x:f>IF(X$3&gt;=$B$31,MAX(0,MAX(X33-X35,0)*'Вводные'!$B$21-IF(AND(W$3&gt;=$B$31,YEAR(X$3)=YEAR(W$3)),W36,0)),0)</x:f>
      </x:c>
      <x:c r="Y37">
        <x:f>IF(Y$3&gt;=$B$31,MAX(0,MAX(Y33-Y35,0)*'Вводные'!$B$21-IF(AND(X$3&gt;=$B$31,YEAR(Y$3)=YEAR(X$3)),X36,0)),0)</x:f>
      </x:c>
      <x:c r="Z37">
        <x:f>IF(Z$3&gt;=$B$31,MAX(0,MAX(Z33-Z35,0)*'Вводные'!$B$21-IF(AND(Y$3&gt;=$B$31,YEAR(Z$3)=YEAR(Y$3)),Y36,0)),0)</x:f>
      </x:c>
      <x:c r="AA37">
        <x:f>IF(AA$3&gt;=$B$31,MAX(0,MAX(AA33-AA35,0)*'Вводные'!$B$21-IF(AND(Z$3&gt;=$B$31,YEAR(AA$3)=YEAR(Z$3)),Z36,0)),0)</x:f>
      </x:c>
      <x:c r="AB37">
        <x:f>IF(AB$3&gt;=$B$31,MAX(0,MAX(AB33-AB35,0)*'Вводные'!$B$21-IF(AND(AA$3&gt;=$B$31,YEAR(AB$3)=YEAR(AA$3)),AA36,0)),0)</x:f>
      </x:c>
      <x:c r="AC37">
        <x:f>IF(AC$3&gt;=$B$31,MAX(0,MAX(AC33-AC35,0)*'Вводные'!$B$21-IF(AND(AB$3&gt;=$B$31,YEAR(AC$3)=YEAR(AB$3)),AB36,0)),0)</x:f>
      </x:c>
      <x:c r="AD37">
        <x:f>IF(AD$3&gt;=$B$31,MAX(0,MAX(AD33-AD35,0)*'Вводные'!$B$21-IF(AND(AC$3&gt;=$B$31,YEAR(AD$3)=YEAR(AC$3)),AC36,0)),0)</x:f>
      </x:c>
      <x:c r="AE37">
        <x:f>IF(AE$3&gt;=$B$31,MAX(0,MAX(AE33-AE35,0)*'Вводные'!$B$21-IF(AND(AD$3&gt;=$B$31,YEAR(AE$3)=YEAR(AD$3)),AD36,0)),0)</x:f>
      </x:c>
      <x:c r="AF37">
        <x:f>IF(AF$3&gt;=$B$31,MAX(0,MAX(AF33-AF35,0)*'Вводные'!$B$21-IF(AND(AE$3&gt;=$B$31,YEAR(AF$3)=YEAR(AE$3)),AE36,0)),0)</x:f>
      </x:c>
      <x:c r="AG37">
        <x:f>IF(AG$3&gt;=$B$31,MAX(0,MAX(AG33-AG35,0)*'Вводные'!$B$21-IF(AND(AF$3&gt;=$B$31,YEAR(AG$3)=YEAR(AF$3)),AF36,0)),0)</x:f>
      </x:c>
      <x:c r="AH37">
        <x:f>IF(AH$3&gt;=$B$31,MAX(0,MAX(AH33-AH35,0)*'Вводные'!$B$21-IF(AND(AG$3&gt;=$B$31,YEAR(AH$3)=YEAR(AG$3)),AG36,0)),0)</x:f>
      </x:c>
      <x:c r="AI37">
        <x:f>IF(AI$3&gt;=$B$31,MAX(0,MAX(AI33-AI35,0)*'Вводные'!$B$21-IF(AND(AH$3&gt;=$B$31,YEAR(AI$3)=YEAR(AH$3)),AH36,0)),0)</x:f>
      </x:c>
      <x:c r="AJ37">
        <x:f>IF(AJ$3&gt;=$B$31,MAX(0,MAX(AJ33-AJ35,0)*'Вводные'!$B$21-IF(AND(AI$3&gt;=$B$31,YEAR(AJ$3)=YEAR(AI$3)),AI36,0)),0)</x:f>
      </x:c>
      <x:c r="AK37">
        <x:f>IF(AK$3&gt;=$B$31,MAX(0,MAX(AK33-AK35,0)*'Вводные'!$B$21-IF(AND(AJ$3&gt;=$B$31,YEAR(AK$3)=YEAR(AJ$3)),AJ36,0)),0)</x:f>
      </x:c>
      <x:c r="AL37">
        <x:f>IF(AL$3&gt;=$B$31,MAX(0,MAX(AL33-AL35,0)*'Вводные'!$B$21-IF(AND(AK$3&gt;=$B$31,YEAR(AL$3)=YEAR(AK$3)),AK36,0)),0)</x:f>
      </x:c>
      <x:c r="AM37">
        <x:f>IF(AM$3&gt;=$B$31,MAX(0,MAX(AM33-AM35,0)*'Вводные'!$B$21-IF(AND(AL$3&gt;=$B$31,YEAR(AM$3)=YEAR(AL$3)),AL36,0)),0)</x:f>
      </x:c>
      <x:c r="AN37">
        <x:f>IF(AN$3&gt;=$B$31,MAX(0,MAX(AN33-AN35,0)*'Вводные'!$B$21-IF(AND(AM$3&gt;=$B$31,YEAR(AN$3)=YEAR(AM$3)),AM36,0)),0)</x:f>
      </x:c>
      <x:c r="AO37">
        <x:f>IF(AO$3&gt;=$B$31,MAX(0,MAX(AO33-AO35,0)*'Вводные'!$B$21-IF(AND(AN$3&gt;=$B$31,YEAR(AO$3)=YEAR(AN$3)),AN36,0)),0)</x:f>
      </x:c>
      <x:c r="AP37">
        <x:f>IF(AP$3&gt;=$B$31,MAX(0,MAX(AP33-AP35,0)*'Вводные'!$B$21-IF(AND(AO$3&gt;=$B$31,YEAR(AP$3)=YEAR(AO$3)),AO36,0)),0)</x:f>
      </x:c>
      <x:c r="AQ37">
        <x:f>IF(AQ$3&gt;=$B$31,MAX(0,MAX(AQ33-AQ35,0)*'Вводные'!$B$21-IF(AND(AP$3&gt;=$B$31,YEAR(AQ$3)=YEAR(AP$3)),AP36,0)),0)</x:f>
      </x:c>
      <x:c r="AR37">
        <x:f>IF(AR$3&gt;=$B$31,MAX(0,MAX(AR33-AR35,0)*'Вводные'!$B$21-IF(AND(AQ$3&gt;=$B$31,YEAR(AR$3)=YEAR(AQ$3)),AQ36,0)),0)</x:f>
      </x:c>
      <x:c r="AS37">
        <x:f>IF(AS$3&gt;=$B$31,MAX(0,MAX(AS33-AS35,0)*'Вводные'!$B$21-IF(AND(AR$3&gt;=$B$31,YEAR(AS$3)=YEAR(AR$3)),AR36,0)),0)</x:f>
      </x:c>
      <x:c r="AT37">
        <x:f>IF(AT$3&gt;=$B$31,MAX(0,MAX(AT33-AT35,0)*'Вводные'!$B$21-IF(AND(AS$3&gt;=$B$31,YEAR(AT$3)=YEAR(AS$3)),AS36,0)),0)</x:f>
      </x:c>
      <x:c r="AU37">
        <x:f>IF(AU$3&gt;=$B$31,MAX(0,MAX(AU33-AU35,0)*'Вводные'!$B$21-IF(AND(AT$3&gt;=$B$31,YEAR(AU$3)=YEAR(AT$3)),AT36,0)),0)</x:f>
      </x:c>
      <x:c r="AV37">
        <x:f>IF(AV$3&gt;=$B$31,MAX(0,MAX(AV33-AV35,0)*'Вводные'!$B$21-IF(AND(AU$3&gt;=$B$31,YEAR(AV$3)=YEAR(AU$3)),AU36,0)),0)</x:f>
      </x:c>
      <x:c r="AW37">
        <x:f>IF(AW$3&gt;=$B$31,MAX(0,MAX(AW33-AW35,0)*'Вводные'!$B$21-IF(AND(AV$3&gt;=$B$31,YEAR(AW$3)=YEAR(AV$3)),AV36,0)),0)</x:f>
      </x:c>
      <x:c r="AX37">
        <x:f>IF(AX$3&gt;=$B$31,MAX(0,MAX(AX33-AX35,0)*'Вводные'!$B$21-IF(AND(AW$3&gt;=$B$31,YEAR(AX$3)=YEAR(AW$3)),AW36,0)),0)</x:f>
      </x:c>
      <x:c r="AY37">
        <x:f>IF(AY$3&gt;=$B$31,MAX(0,MAX(AY33-AY35,0)*'Вводные'!$B$21-IF(AND(AX$3&gt;=$B$31,YEAR(AY$3)=YEAR(AX$3)),AX36,0)),0)</x:f>
      </x:c>
      <x:c r="AZ37">
        <x:f>IF(AZ$3&gt;=$B$31,MAX(0,MAX(AZ33-AZ35,0)*'Вводные'!$B$21-IF(AND(AY$3&gt;=$B$31,YEAR(AZ$3)=YEAR(AY$3)),AY36,0)),0)</x:f>
      </x:c>
      <x:c r="BA37">
        <x:f>IF(BA$3&gt;=$B$31,MAX(0,MAX(BA33-BA35,0)*'Вводные'!$B$21-IF(AND(AZ$3&gt;=$B$31,YEAR(BA$3)=YEAR(AZ$3)),AZ36,0)),0)</x:f>
      </x:c>
      <x:c r="BB37">
        <x:f>IF(BB$3&gt;=$B$31,MAX(0,MAX(BB33-BB35,0)*'Вводные'!$B$21-IF(AND(BA$3&gt;=$B$31,YEAR(BB$3)=YEAR(BA$3)),BA36,0)),0)</x:f>
      </x:c>
      <x:c r="BC37">
        <x:f>IF(BC$3&gt;=$B$31,MAX(0,MAX(BC33-BC35,0)*'Вводные'!$B$21-IF(AND(BB$3&gt;=$B$31,YEAR(BC$3)=YEAR(BB$3)),BB36,0)),0)</x:f>
      </x:c>
      <x:c r="BD37">
        <x:f>IF(BD$3&gt;=$B$31,MAX(0,MAX(BD33-BD35,0)*'Вводные'!$B$21-IF(AND(BC$3&gt;=$B$31,YEAR(BD$3)=YEAR(BC$3)),BC36,0)),0)</x:f>
      </x:c>
      <x:c r="BE37">
        <x:f>IF(BE$3&gt;=$B$31,MAX(0,MAX(BE33-BE35,0)*'Вводные'!$B$21-IF(AND(BD$3&gt;=$B$31,YEAR(BE$3)=YEAR(BD$3)),BD36,0)),0)</x:f>
      </x:c>
      <x:c r="BF37">
        <x:f>IF(BF$3&gt;=$B$31,MAX(0,MAX(BF33-BF35,0)*'Вводные'!$B$21-IF(AND(BE$3&gt;=$B$31,YEAR(BF$3)=YEAR(BE$3)),BE36,0)),0)</x:f>
      </x:c>
      <x:c r="BG37">
        <x:f>IF(BG$3&gt;=$B$31,MAX(0,MAX(BG33-BG35,0)*'Вводные'!$B$21-IF(AND(BF$3&gt;=$B$31,YEAR(BG$3)=YEAR(BF$3)),BF36,0)),0)</x:f>
      </x:c>
      <x:c r="BH37">
        <x:f>IF(BH$3&gt;=$B$31,MAX(0,MAX(BH33-BH35,0)*'Вводные'!$B$21-IF(AND(BG$3&gt;=$B$31,YEAR(BH$3)=YEAR(BG$3)),BG36,0)),0)</x:f>
      </x:c>
      <x:c r="BI37">
        <x:f>IF(BI$3&gt;=$B$31,MAX(0,MAX(BI33-BI35,0)*'Вводные'!$B$21-IF(AND(BH$3&gt;=$B$31,YEAR(BI$3)=YEAR(BH$3)),BH36,0)),0)</x:f>
      </x:c>
      <x:c r="BJ37">
        <x:f>IF(BJ$3&gt;=$B$31,MAX(0,MAX(BJ33-BJ35,0)*'Вводные'!$B$21-IF(AND(BI$3&gt;=$B$31,YEAR(BJ$3)=YEAR(BI$3)),BI36,0)),0)</x:f>
      </x:c>
      <x:c r="BK37">
        <x:f>IF(BK$3&gt;=$B$31,MAX(0,MAX(BK33-BK35,0)*'Вводные'!$B$21-IF(AND(BJ$3&gt;=$B$31,YEAR(BK$3)=YEAR(BJ$3)),BJ36,0)),0)</x:f>
      </x:c>
      <x:c r="BL37">
        <x:f>IF(BL$3&gt;=$B$31,MAX(0,MAX(BL33-BL35,0)*'Вводные'!$B$21-IF(AND(BK$3&gt;=$B$31,YEAR(BL$3)=YEAR(BK$3)),BK36,0)),0)</x:f>
      </x:c>
      <x:c r="BM37">
        <x:f>IF(BM$3&gt;=$B$31,MAX(0,MAX(BM33-BM35,0)*'Вводные'!$B$21-IF(AND(BL$3&gt;=$B$31,YEAR(BM$3)=YEAR(BL$3)),BL36,0)),0)</x:f>
      </x:c>
      <x:c r="BN37">
        <x:f>IF(BN$3&gt;=$B$31,MAX(0,MAX(BN33-BN35,0)*'Вводные'!$B$21-IF(AND(BM$3&gt;=$B$31,YEAR(BN$3)=YEAR(BM$3)),BM36,0)),0)</x:f>
      </x:c>
      <x:c r="BO37">
        <x:f>IF(BO$3&gt;=$B$31,MAX(0,MAX(BO33-BO35,0)*'Вводные'!$B$21-IF(AND(BN$3&gt;=$B$31,YEAR(BO$3)=YEAR(BN$3)),BN36,0)),0)</x:f>
      </x:c>
      <x:c r="BP37">
        <x:f>IF(BP$3&gt;=$B$31,MAX(0,MAX(BP33-BP35,0)*'Вводные'!$B$21-IF(AND(BO$3&gt;=$B$31,YEAR(BP$3)=YEAR(BO$3)),BO36,0)),0)</x:f>
      </x:c>
      <x:c r="BQ37">
        <x:f>IF(BQ$3&gt;=$B$31,MAX(0,MAX(BQ33-BQ35,0)*'Вводные'!$B$21-IF(AND(BP$3&gt;=$B$31,YEAR(BQ$3)=YEAR(BP$3)),BP36,0)),0)</x:f>
      </x:c>
      <x:c r="BR37">
        <x:f>IF(BR$3&gt;=$B$31,MAX(0,MAX(BR33-BR35,0)*'Вводные'!$B$21-IF(AND(BQ$3&gt;=$B$31,YEAR(BR$3)=YEAR(BQ$3)),BQ36,0)),0)</x:f>
      </x:c>
      <x:c r="BS37">
        <x:f>IF(BS$3&gt;=$B$31,MAX(0,MAX(BS33-BS35,0)*'Вводные'!$B$21-IF(AND(BR$3&gt;=$B$31,YEAR(BS$3)=YEAR(BR$3)),BR36,0)),0)</x:f>
      </x:c>
      <x:c r="BT37">
        <x:f>IF(BT$3&gt;=$B$31,MAX(0,MAX(BT33-BT35,0)*'Вводные'!$B$21-IF(AND(BS$3&gt;=$B$31,YEAR(BT$3)=YEAR(BS$3)),BS36,0)),0)</x:f>
      </x:c>
      <x:c r="BU37">
        <x:f>IF(BU$3&gt;=$B$31,MAX(0,MAX(BU33-BU35,0)*'Вводные'!$B$21-IF(AND(BT$3&gt;=$B$31,YEAR(BU$3)=YEAR(BT$3)),BT36,0)),0)</x:f>
      </x:c>
      <x:c r="BV37">
        <x:f>IF(BV$3&gt;=$B$31,MAX(0,MAX(BV33-BV35,0)*'Вводные'!$B$21-IF(AND(BU$3&gt;=$B$31,YEAR(BV$3)=YEAR(BU$3)),BU36,0)),0)</x:f>
      </x:c>
      <x:c r="BW37">
        <x:f>IF(BW$3&gt;=$B$31,MAX(0,MAX(BW33-BW35,0)*'Вводные'!$B$21-IF(AND(BV$3&gt;=$B$31,YEAR(BW$3)=YEAR(BV$3)),BV36,0)),0)</x:f>
      </x:c>
      <x:c r="BX37">
        <x:f>IF(BX$3&gt;=$B$31,MAX(0,MAX(BX33-BX35,0)*'Вводные'!$B$21-IF(AND(BW$3&gt;=$B$31,YEAR(BX$3)=YEAR(BW$3)),BW36,0)),0)</x:f>
      </x:c>
      <x:c r="BY37">
        <x:f>IF(BY$3&gt;=$B$31,MAX(0,MAX(BY33-BY35,0)*'Вводные'!$B$21-IF(AND(BX$3&gt;=$B$31,YEAR(BY$3)=YEAR(BX$3)),BX36,0)),0)</x:f>
      </x:c>
      <x:c r="BZ37">
        <x:f>IF(BZ$3&gt;=$B$31,MAX(0,MAX(BZ33-BZ35,0)*'Вводные'!$B$21-IF(AND(BY$3&gt;=$B$31,YEAR(BZ$3)=YEAR(BY$3)),BY36,0)),0)</x:f>
      </x:c>
      <x:c r="CA37">
        <x:f>IF(CA$3&gt;=$B$31,MAX(0,MAX(CA33-CA35,0)*'Вводные'!$B$21-IF(AND(BZ$3&gt;=$B$31,YEAR(CA$3)=YEAR(BZ$3)),BZ36,0)),0)</x:f>
      </x:c>
      <x:c r="CB37">
        <x:f>IF(CB$3&gt;=$B$31,MAX(0,MAX(CB33-CB35,0)*'Вводные'!$B$21-IF(AND(CA$3&gt;=$B$31,YEAR(CB$3)=YEAR(CA$3)),CA36,0)),0)</x:f>
      </x:c>
      <x:c r="CC37">
        <x:f>IF(CC$3&gt;=$B$31,MAX(0,MAX(CC33-CC35,0)*'Вводные'!$B$21-IF(AND(CB$3&gt;=$B$31,YEAR(CC$3)=YEAR(CB$3)),CB36,0)),0)</x:f>
      </x:c>
      <x:c r="CD37">
        <x:f>IF(CD$3&gt;=$B$31,MAX(0,MAX(CD33-CD35,0)*'Вводные'!$B$21-IF(AND(CC$3&gt;=$B$31,YEAR(CD$3)=YEAR(CC$3)),CC36,0)),0)</x:f>
      </x:c>
      <x:c r="CE37">
        <x:f>IF(CE$3&gt;=$B$31,MAX(0,MAX(CE33-CE35,0)*'Вводные'!$B$21-IF(AND(CD$3&gt;=$B$31,YEAR(CE$3)=YEAR(CD$3)),CD36,0)),0)</x:f>
      </x:c>
      <x:c r="CF37">
        <x:f>IF(CF$3&gt;=$B$31,MAX(0,MAX(CF33-CF35,0)*'Вводные'!$B$21-IF(AND(CE$3&gt;=$B$31,YEAR(CF$3)=YEAR(CE$3)),CE36,0)),0)</x:f>
      </x:c>
      <x:c r="CG37">
        <x:f>IF(CG$3&gt;=$B$31,MAX(0,MAX(CG33-CG35,0)*'Вводные'!$B$21-IF(AND(CF$3&gt;=$B$31,YEAR(CG$3)=YEAR(CF$3)),CF36,0)),0)</x:f>
      </x:c>
      <x:c r="CH37">
        <x:f>IF(CH$3&gt;=$B$31,MAX(0,MAX(CH33-CH35,0)*'Вводные'!$B$21-IF(AND(CG$3&gt;=$B$31,YEAR(CH$3)=YEAR(CG$3)),CG36,0)),0)</x:f>
      </x:c>
      <x:c r="CI37">
        <x:f>IF(CI$3&gt;=$B$31,MAX(0,MAX(CI33-CI35,0)*'Вводные'!$B$21-IF(AND(CH$3&gt;=$B$31,YEAR(CI$3)=YEAR(CH$3)),CH36,0)),0)</x:f>
      </x:c>
      <x:c r="CJ37">
        <x:f>IF(CJ$3&gt;=$B$31,MAX(0,MAX(CJ33-CJ35,0)*'Вводные'!$B$21-IF(AND(CI$3&gt;=$B$31,YEAR(CJ$3)=YEAR(CI$3)),CI36,0)),0)</x:f>
      </x:c>
      <x:c r="CK37">
        <x:f>IF(CK$3&gt;=$B$31,MAX(0,MAX(CK33-CK35,0)*'Вводные'!$B$21-IF(AND(CJ$3&gt;=$B$31,YEAR(CK$3)=YEAR(CJ$3)),CJ36,0)),0)</x:f>
      </x:c>
      <x:c r="CL37">
        <x:f>IF(CL$3&gt;=$B$31,MAX(0,MAX(CL33-CL35,0)*'Вводные'!$B$21-IF(AND(CK$3&gt;=$B$31,YEAR(CL$3)=YEAR(CK$3)),CK36,0)),0)</x:f>
      </x:c>
      <x:c r="CM37">
        <x:f>IF(CM$3&gt;=$B$31,MAX(0,MAX(CM33-CM35,0)*'Вводные'!$B$21-IF(AND(CL$3&gt;=$B$31,YEAR(CM$3)=YEAR(CL$3)),CL36,0)),0)</x:f>
      </x:c>
      <x:c r="CN37">
        <x:f>IF(CN$3&gt;=$B$31,MAX(0,MAX(CN33-CN35,0)*'Вводные'!$B$21-IF(AND(CM$3&gt;=$B$31,YEAR(CN$3)=YEAR(CM$3)),CM36,0)),0)</x:f>
      </x:c>
      <x:c r="CO37">
        <x:f>IF(CO$3&gt;=$B$31,MAX(0,MAX(CO33-CO35,0)*'Вводные'!$B$21-IF(AND(CN$3&gt;=$B$31,YEAR(CO$3)=YEAR(CN$3)),CN36,0)),0)</x:f>
      </x:c>
      <x:c r="CP37">
        <x:f>IF(CP$3&gt;=$B$31,MAX(0,MAX(CP33-CP35,0)*'Вводные'!$B$21-IF(AND(CO$3&gt;=$B$31,YEAR(CP$3)=YEAR(CO$3)),CO36,0)),0)</x:f>
      </x:c>
      <x:c r="CQ37">
        <x:f>IF(CQ$3&gt;=$B$31,MAX(0,MAX(CQ33-CQ35,0)*'Вводные'!$B$21-IF(AND(CP$3&gt;=$B$31,YEAR(CQ$3)=YEAR(CP$3)),CP36,0)),0)</x:f>
      </x:c>
      <x:c r="CR37">
        <x:f>IF(CR$3&gt;=$B$31,MAX(0,MAX(CR33-CR35,0)*'Вводные'!$B$21-IF(AND(CQ$3&gt;=$B$31,YEAR(CR$3)=YEAR(CQ$3)),CQ36,0)),0)</x:f>
      </x:c>
      <x:c r="CS37">
        <x:f>IF(CS$3&gt;=$B$31,MAX(0,MAX(CS33-CS35,0)*'Вводные'!$B$21-IF(AND(CR$3&gt;=$B$31,YEAR(CS$3)=YEAR(CR$3)),CR36,0)),0)</x:f>
      </x:c>
      <x:c r="CT37">
        <x:f>IF(CT$3&gt;=$B$31,MAX(0,MAX(CT33-CT35,0)*'Вводные'!$B$21-IF(AND(CS$3&gt;=$B$31,YEAR(CT$3)=YEAR(CS$3)),CS36,0)),0)</x:f>
      </x:c>
      <x:c r="CU37">
        <x:f>IF(CU$3&gt;=$B$31,MAX(0,MAX(CU33-CU35,0)*'Вводные'!$B$21-IF(AND(CT$3&gt;=$B$31,YEAR(CU$3)=YEAR(CT$3)),CT36,0)),0)</x:f>
      </x:c>
      <x:c r="CV37">
        <x:f>IF(CV$3&gt;=$B$31,MAX(0,MAX(CV33-CV35,0)*'Вводные'!$B$21-IF(AND(CU$3&gt;=$B$31,YEAR(CV$3)=YEAR(CU$3)),CU36,0)),0)</x:f>
      </x:c>
      <x:c r="CW37">
        <x:f>IF(CW$3&gt;=$B$31,MAX(0,MAX(CW33-CW35,0)*'Вводные'!$B$21-IF(AND(CV$3&gt;=$B$31,YEAR(CW$3)=YEAR(CV$3)),CV36,0)),0)</x:f>
      </x:c>
      <x:c r="CX37">
        <x:f>IF(CX$3&gt;=$B$31,MAX(0,MAX(CX33-CX35,0)*'Вводные'!$B$21-IF(AND(CW$3&gt;=$B$31,YEAR(CX$3)=YEAR(CW$3)),CW36,0)),0)</x:f>
      </x:c>
      <x:c r="CY37">
        <x:f>IF(CY$3&gt;=$B$31,MAX(0,MAX(CY33-CY35,0)*'Вводные'!$B$21-IF(AND(CX$3&gt;=$B$31,YEAR(CY$3)=YEAR(CX$3)),CX36,0)),0)</x:f>
      </x:c>
      <x:c r="CZ37">
        <x:f>IF(CZ$3&gt;=$B$31,MAX(0,MAX(CZ33-CZ35,0)*'Вводные'!$B$21-IF(AND(CY$3&gt;=$B$31,YEAR(CZ$3)=YEAR(CY$3)),CY36,0)),0)</x:f>
      </x:c>
      <x:c r="DA37">
        <x:f>IF(DA$3&gt;=$B$31,MAX(0,MAX(DA33-DA35,0)*'Вводные'!$B$21-IF(AND(CZ$3&gt;=$B$31,YEAR(DA$3)=YEAR(CZ$3)),CZ36,0)),0)</x:f>
      </x:c>
      <x:c r="DB37">
        <x:f>IF(DB$3&gt;=$B$31,MAX(0,MAX(DB33-DB35,0)*'Вводные'!$B$21-IF(AND(DA$3&gt;=$B$31,YEAR(DB$3)=YEAR(DA$3)),DA36,0)),0)</x:f>
      </x:c>
      <x:c r="DC37">
        <x:f>IF(DC$3&gt;=$B$31,MAX(0,MAX(DC33-DC35,0)*'Вводные'!$B$21-IF(AND(DB$3&gt;=$B$31,YEAR(DC$3)=YEAR(DB$3)),DB36,0)),0)</x:f>
      </x:c>
      <x:c r="DD37">
        <x:f>IF(DD$3&gt;=$B$31,MAX(0,MAX(DD33-DD35,0)*'Вводные'!$B$21-IF(AND(DC$3&gt;=$B$31,YEAR(DD$3)=YEAR(DC$3)),DC36,0)),0)</x:f>
      </x:c>
      <x:c r="DE37">
        <x:f>IF(DE$3&gt;=$B$31,MAX(0,MAX(DE33-DE35,0)*'Вводные'!$B$21-IF(AND(DD$3&gt;=$B$31,YEAR(DE$3)=YEAR(DD$3)),DD36,0)),0)</x:f>
      </x:c>
      <x:c r="DF37">
        <x:f>IF(DF$3&gt;=$B$31,MAX(0,MAX(DF33-DF35,0)*'Вводные'!$B$21-IF(AND(DE$3&gt;=$B$31,YEAR(DF$3)=YEAR(DE$3)),DE36,0)),0)</x:f>
      </x:c>
      <x:c r="DG37">
        <x:f>IF(DG$3&gt;=$B$31,MAX(0,MAX(DG33-DG35,0)*'Вводные'!$B$21-IF(AND(DF$3&gt;=$B$31,YEAR(DG$3)=YEAR(DF$3)),DF36,0)),0)</x:f>
      </x:c>
      <x:c r="DH37">
        <x:f>IF(DH$3&gt;=$B$31,MAX(0,MAX(DH33-DH35,0)*'Вводные'!$B$21-IF(AND(DG$3&gt;=$B$31,YEAR(DH$3)=YEAR(DG$3)),DG36,0)),0)</x:f>
      </x:c>
      <x:c r="DI37">
        <x:f>IF(DI$3&gt;=$B$31,MAX(0,MAX(DI33-DI35,0)*'Вводные'!$B$21-IF(AND(DH$3&gt;=$B$31,YEAR(DI$3)=YEAR(DH$3)),DH36,0)),0)</x:f>
      </x:c>
      <x:c r="DJ37">
        <x:f>IF(DJ$3&gt;=$B$31,MAX(0,MAX(DJ33-DJ35,0)*'Вводные'!$B$21-IF(AND(DI$3&gt;=$B$31,YEAR(DJ$3)=YEAR(DI$3)),DI36,0)),0)</x:f>
      </x:c>
      <x:c r="DK37">
        <x:f>IF(DK$3&gt;=$B$31,MAX(0,MAX(DK33-DK35,0)*'Вводные'!$B$21-IF(AND(DJ$3&gt;=$B$31,YEAR(DK$3)=YEAR(DJ$3)),DJ36,0)),0)</x:f>
      </x:c>
      <x:c r="DL37">
        <x:f>IF(DL$3&gt;=$B$31,MAX(0,MAX(DL33-DL35,0)*'Вводные'!$B$21-IF(AND(DK$3&gt;=$B$31,YEAR(DL$3)=YEAR(DK$3)),DK36,0)),0)</x:f>
      </x:c>
      <x:c r="DM37">
        <x:f>IF(DM$3&gt;=$B$31,MAX(0,MAX(DM33-DM35,0)*'Вводные'!$B$21-IF(AND(DL$3&gt;=$B$31,YEAR(DM$3)=YEAR(DL$3)),DL36,0)),0)</x:f>
      </x:c>
      <x:c r="DN37">
        <x:f>IF(DN$3&gt;=$B$31,MAX(0,MAX(DN33-DN35,0)*'Вводные'!$B$21-IF(AND(DM$3&gt;=$B$31,YEAR(DN$3)=YEAR(DM$3)),DM36,0)),0)</x:f>
      </x:c>
      <x:c r="DO37">
        <x:f>IF(DO$3&gt;=$B$31,MAX(0,MAX(DO33-DO35,0)*'Вводные'!$B$21-IF(AND(DN$3&gt;=$B$31,YEAR(DO$3)=YEAR(DN$3)),DN36,0)),0)</x:f>
      </x:c>
      <x:c r="DP37">
        <x:f>IF(DP$3&gt;=$B$31,MAX(0,MAX(DP33-DP35,0)*'Вводные'!$B$21-IF(AND(DO$3&gt;=$B$31,YEAR(DP$3)=YEAR(DO$3)),DO36,0)),0)</x:f>
      </x:c>
      <x:c r="DQ37">
        <x:f>IF(DQ$3&gt;=$B$31,MAX(0,MAX(DQ33-DQ35,0)*'Вводные'!$B$21-IF(AND(DP$3&gt;=$B$31,YEAR(DQ$3)=YEAR(DP$3)),DP36,0)),0)</x:f>
      </x:c>
      <x:c r="DR37">
        <x:f>IF(DR$3&gt;=$B$31,MAX(0,MAX(DR33-DR35,0)*'Вводные'!$B$21-IF(AND(DQ$3&gt;=$B$31,YEAR(DR$3)=YEAR(DQ$3)),DQ36,0)),0)</x:f>
      </x:c>
      <x:c r="DS37">
        <x:f>IF(DS$3&gt;=$B$31,MAX(0,MAX(DS33-DS35,0)*'Вводные'!$B$21-IF(AND(DR$3&gt;=$B$31,YEAR(DS$3)=YEAR(DR$3)),DR36,0)),0)</x:f>
      </x:c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 (кассовая)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$K$8*$C$30</x:f>
      </x:c>
      <x:c r="L4" s="107" t="n">
        <x:f>'CF_1'!B77+'CF_1'!B76-K4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$K$8*$C$31</x:f>
      </x:c>
      <x:c r="L5" s="107" t="n">
        <x:f>'CF_2'!B77+'CF_2'!B76-K5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$K$8*$C$32</x:f>
      </x:c>
      <x:c r="L6" s="107" t="n">
        <x:f>'CF_3'!B77+'CF_3'!B76-K6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$K$8*$C$33</x:f>
      </x:c>
      <x:c r="L7" s="107" t="n">
        <x:f>'CF_4'!B77+'CF_4'!B76-K7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SUM('CF'!$D$37:$DS$37)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  <x:row r="28">
      <x:c r="A28" t="inlineStr">
        <x:is>
          <x:t>РАЗДАЧА СВОДНОГО НАЛОГА ПО ОЧЕРЕДЯМ</x:t>
        </x:is>
      </x:c>
    </x:row>
    <x:row r="29">
      <x:c r="A29" t="inlineStr">
        <x:is>
          <x:t>Очередь</x:t>
        </x:is>
      </x:c>
      <x:c r="B29" t="inlineStr">
        <x:is>
          <x:t>Положительная база</x:t>
        </x:is>
      </x:c>
      <x:c r="C29" t="inlineStr">
        <x:is>
          <x:t>Доля</x:t>
        </x:is>
      </x:c>
    </x:row>
    <x:row r="30">
      <x:c r="A30" t="inlineStr">
        <x:is>
          <x:t>Очередь 1</x:t>
        </x:is>
      </x:c>
      <x:c r="B30">
        <x:f>MAX(SUM('CF_1'!$D$22:$DS$22),0)</x:f>
      </x:c>
      <x:c r="C30">
        <x:f>IF($B$34=0,0,B30/$B$34)</x:f>
      </x:c>
    </x:row>
    <x:row r="31">
      <x:c r="A31" t="inlineStr">
        <x:is>
          <x:t>Очередь 2</x:t>
        </x:is>
      </x:c>
      <x:c r="B31">
        <x:f>MAX(SUM('CF_2'!$D$22:$DS$22),0)</x:f>
      </x:c>
      <x:c r="C31">
        <x:f>IF($B$34=0,0,B31/$B$34)</x:f>
      </x:c>
    </x:row>
    <x:row r="32">
      <x:c r="A32" t="inlineStr">
        <x:is>
          <x:t>Очередь 3</x:t>
        </x:is>
      </x:c>
      <x:c r="B32">
        <x:f>MAX(SUM('CF_3'!$D$22:$DS$22),0)</x:f>
      </x:c>
      <x:c r="C32">
        <x:f>IF($B$34=0,0,B32/$B$34)</x:f>
      </x:c>
    </x:row>
    <x:row r="33">
      <x:c r="A33" t="inlineStr">
        <x:is>
          <x:t>Очередь 4</x:t>
        </x:is>
      </x:c>
      <x:c r="B33">
        <x:f>MAX(SUM('CF_4'!$D$22:$DS$22),0)</x:f>
      </x:c>
      <x:c r="C33">
        <x:f>IF($B$34=0,0,B33/$B$34)</x:f>
      </x:c>
    </x:row>
    <x:row r="34">
      <x:c r="A34" t="inlineStr">
        <x:is>
          <x:t>Итого</x:t>
        </x:is>
      </x:c>
      <x:c r="B34">
        <x:f>SUM(B30:B33)</x:f>
      </x:c>
      <x:c r="C34">
        <x:f>SUM(C30:C33)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IF(COUNTIF(F6:F84,"FAIL")&gt;0,"СБОЙ",IF(COUNTIF(F6:F84,"WARN")&gt;0,"ПРОЙДЕНО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  <x:row r="76">
      <x:c r="A76" t="inlineStr">
        <x:is>
          <x:t>ПАРИТЕТ С ДВИЖКОМ: выручка, млн</x:t>
        </x:is>
      </x:c>
      <x:c r="B76">
        <x:f>'ОТЧЕТ'!B5</x:f>
      </x:c>
      <x:c r="C76"/>
      <x:c r="D76">
        <x:f>IF(C76="","",B76-C76)</x:f>
      </x:c>
      <x:c r="E76"/>
      <x:c r="F76">
        <x:f>IF(C76="","",IF(ABS(D76)&lt;=E76,"OK","FAIL"))</x:f>
      </x:c>
    </x:row>
    <x:row r="77">
      <x:c r="A77" t="inlineStr">
        <x:is>
          <x:t>Паритет: CAPEX, млн</x:t>
        </x:is>
      </x:c>
      <x:c r="B77">
        <x:f>'ОТЧЕТ'!B6</x:f>
      </x:c>
      <x:c r="C77"/>
      <x:c r="D77">
        <x:f>IF(C77="","",B77-C77)</x:f>
      </x:c>
      <x:c r="E77"/>
      <x:c r="F77">
        <x:f>IF(C77="","",IF(ABS(D77)&lt;=E77,"OK","FAIL"))</x:f>
      </x:c>
    </x:row>
    <x:row r="78">
      <x:c r="A78" t="inlineStr">
        <x:is>
          <x:t>Паритет: EBITDA, млн</x:t>
        </x:is>
      </x:c>
      <x:c r="B78">
        <x:f>'ОТЧЕТ'!B8</x:f>
      </x:c>
      <x:c r="C78"/>
      <x:c r="D78">
        <x:f>IF(C78="","",B78-C78)</x:f>
      </x:c>
      <x:c r="E78"/>
      <x:c r="F78">
        <x:f>IF(C78="","",IF(ABS(D78)&lt;=E78,"OK","FAIL"))</x:f>
      </x:c>
    </x:row>
    <x:row r="79">
      <x:c r="A79" t="inlineStr">
        <x:is>
          <x:t>Паритет: стоимость финансирования, млн</x:t>
        </x:is>
      </x:c>
      <x:c r="B79">
        <x:f>'ОТЧЕТ'!B9</x:f>
      </x:c>
      <x:c r="C79"/>
      <x:c r="D79">
        <x:f>IF(C79="","",B79-C79)</x:f>
      </x:c>
      <x:c r="E79"/>
      <x:c r="F79">
        <x:f>IF(C79="","",IF(ABS(D79)&lt;=E79,"OK","FAIL"))</x:f>
      </x:c>
    </x:row>
    <x:row r="80">
      <x:c r="A80" t="inlineStr">
        <x:is>
          <x:t>Паритет: налог на прибыль, млн</x:t>
        </x:is>
      </x:c>
      <x:c r="B80">
        <x:f>'ОТЧЕТ'!B11</x:f>
      </x:c>
      <x:c r="C80"/>
      <x:c r="D80">
        <x:f>IF(C80="","",B80-C80)</x:f>
      </x:c>
      <x:c r="E80"/>
      <x:c r="F80">
        <x:f>IF(C80="","",IF(ABS(D80)&lt;=E80,"OK","FAIL"))</x:f>
      </x:c>
    </x:row>
    <x:row r="81">
      <x:c r="A81" t="inlineStr">
        <x:is>
          <x:t>Паритет: чистая прибыль, млн</x:t>
        </x:is>
      </x:c>
      <x:c r="B81">
        <x:f>'ОТЧЕТ'!B12</x:f>
      </x:c>
      <x:c r="C81"/>
      <x:c r="D81">
        <x:f>IF(C81="","",B81-C81)</x:f>
      </x:c>
      <x:c r="E81"/>
      <x:c r="F81">
        <x:f>IF(C81="","",IF(ABS(D81)&lt;=E81,"OK","FAIL"))</x:f>
      </x:c>
    </x:row>
    <x:row r="82">
      <x:c r="A82" t="inlineStr">
        <x:is>
          <x:t>Паритет: LLCR</x:t>
        </x:is>
      </x:c>
      <x:c r="B82">
        <x:f>'ОТЧЕТ'!B19</x:f>
      </x:c>
      <x:c r="C82"/>
      <x:c r="D82">
        <x:f>IF(C82="","",B82-C82)</x:f>
      </x:c>
      <x:c r="E82"/>
      <x:c r="F82">
        <x:f>IF(C82="","",IF(ABS(D82)&lt;=E82,"OK","FAIL"))</x:f>
      </x:c>
    </x:row>
    <x:row r="83">
      <x:c r="A83" t="inlineStr">
        <x:is>
          <x:t>Паритет: пик БРИДЖ (тело), млн</x:t>
        </x:is>
      </x:c>
      <x:c r="B83">
        <x:f>MAX('CF'!D17:DS17)</x:f>
      </x:c>
      <x:c r="C83"/>
      <x:c r="D83">
        <x:f>IF(C83="","",B83-C83)</x:f>
      </x:c>
      <x:c r="E83"/>
      <x:c r="F83">
        <x:f>IF(C83="","",IF(ABS(D83)&lt;=E83,"OK","FAIL"))</x:f>
      </x:c>
    </x:row>
    <x:row r="84">
      <x:c r="A84" t="inlineStr">
        <x:is>
          <x:t>Паритет: пик ПФ, млн</x:t>
        </x:is>
      </x:c>
      <x:c r="B84">
        <x:f>MAX('CF'!D18:DS18)</x:f>
      </x:c>
      <x:c r="C84"/>
      <x:c r="D84">
        <x:f>IF(C84="","",B84-C84)</x:f>
      </x:c>
      <x:c r="E84"/>
      <x:c r="F84">
        <x:f>IF(C84="","",IF(ABS(D84)&lt;=E84,"OK","FAIL"))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IF(AND(D$3&gt;=$B$11,D$3&lt;EDATE($B$11,MAX(1,'Вводные'!$K$33)),AND($B$7="Да",IFERROR(INDEX('Вводные'!$B$88:$B$91,$B$8),"Нет")="Да")),1,0)</x:f>
      </x:c>
      <x:c r="E18" s="35" t="n">
        <x:f>IF(AND(E$3&gt;=$B$11,E$3&lt;EDATE($B$11,MAX(1,'Вводные'!$K$33)),AND($B$7="Да",IFERROR(INDEX('Вводные'!$B$88:$B$91,$B$8),"Нет")="Да")),1,0)</x:f>
      </x:c>
      <x:c r="F18" s="35" t="n">
        <x:f>IF(AND(F$3&gt;=$B$11,F$3&lt;EDATE($B$11,MAX(1,'Вводные'!$K$33)),AND($B$7="Да",IFERROR(INDEX('Вводные'!$B$88:$B$91,$B$8),"Нет")="Да")),1,0)</x:f>
      </x:c>
      <x:c r="G18" s="35" t="n">
        <x:f>IF(AND(G$3&gt;=$B$11,G$3&lt;EDATE($B$11,MAX(1,'Вводные'!$K$33)),AND($B$7="Да",IFERROR(INDEX('Вводные'!$B$88:$B$91,$B$8),"Нет")="Да")),1,0)</x:f>
      </x:c>
      <x:c r="H18" s="35" t="n">
        <x:f>IF(AND(H$3&gt;=$B$11,H$3&lt;EDATE($B$11,MAX(1,'Вводные'!$K$33)),AND($B$7="Да",IFERROR(INDEX('Вводные'!$B$88:$B$91,$B$8),"Нет")="Да")),1,0)</x:f>
      </x:c>
      <x:c r="I18" s="35" t="n">
        <x:f>IF(AND(I$3&gt;=$B$11,I$3&lt;EDATE($B$11,MAX(1,'Вводные'!$K$33)),AND($B$7="Да",IFERROR(INDEX('Вводные'!$B$88:$B$91,$B$8),"Нет")="Да")),1,0)</x:f>
      </x:c>
      <x:c r="J18" s="35" t="n">
        <x:f>IF(AND(J$3&gt;=$B$11,J$3&lt;EDATE($B$11,MAX(1,'Вводные'!$K$33)),AND($B$7="Да",IFERROR(INDEX('Вводные'!$B$88:$B$91,$B$8),"Нет")="Да")),1,0)</x:f>
      </x:c>
      <x:c r="K18" s="35" t="n">
        <x:f>IF(AND(K$3&gt;=$B$11,K$3&lt;EDATE($B$11,MAX(1,'Вводные'!$K$33)),AND($B$7="Да",IFERROR(INDEX('Вводные'!$B$88:$B$91,$B$8),"Нет")="Да")),1,0)</x:f>
      </x:c>
      <x:c r="L18" s="35" t="n">
        <x:f>IF(AND(L$3&gt;=$B$11,L$3&lt;EDATE($B$11,MAX(1,'Вводные'!$K$33)),AND($B$7="Да",IFERROR(INDEX('Вводные'!$B$88:$B$91,$B$8),"Нет")="Да")),1,0)</x:f>
      </x:c>
      <x:c r="M18" s="35" t="n">
        <x:f>IF(AND(M$3&gt;=$B$11,M$3&lt;EDATE($B$11,MAX(1,'Вводные'!$K$33)),AND($B$7="Да",IFERROR(INDEX('Вводные'!$B$88:$B$91,$B$8),"Нет")="Да")),1,0)</x:f>
      </x:c>
      <x:c r="N18" s="35" t="n">
        <x:f>IF(AND(N$3&gt;=$B$11,N$3&lt;EDATE($B$11,MAX(1,'Вводные'!$K$33)),AND($B$7="Да",IFERROR(INDEX('Вводные'!$B$88:$B$91,$B$8),"Нет")="Да")),1,0)</x:f>
      </x:c>
      <x:c r="O18" s="35" t="n">
        <x:f>IF(AND(O$3&gt;=$B$11,O$3&lt;EDATE($B$11,MAX(1,'Вводные'!$K$33)),AND($B$7="Да",IFERROR(INDEX('Вводные'!$B$88:$B$91,$B$8),"Нет")="Да")),1,0)</x:f>
      </x:c>
      <x:c r="P18" s="35" t="n">
        <x:f>IF(AND(P$3&gt;=$B$11,P$3&lt;EDATE($B$11,MAX(1,'Вводные'!$K$33)),AND($B$7="Да",IFERROR(INDEX('Вводные'!$B$88:$B$91,$B$8),"Нет")="Да")),1,0)</x:f>
      </x:c>
      <x:c r="Q18" s="35" t="n">
        <x:f>IF(AND(Q$3&gt;=$B$11,Q$3&lt;EDATE($B$11,MAX(1,'Вводные'!$K$33)),AND($B$7="Да",IFERROR(INDEX('Вводные'!$B$88:$B$91,$B$8),"Нет")="Да")),1,0)</x:f>
      </x:c>
      <x:c r="R18" s="35" t="n">
        <x:f>IF(AND(R$3&gt;=$B$11,R$3&lt;EDATE($B$11,MAX(1,'Вводные'!$K$33)),AND($B$7="Да",IFERROR(INDEX('Вводные'!$B$88:$B$91,$B$8),"Нет")="Да")),1,0)</x:f>
      </x:c>
      <x:c r="S18" s="35" t="n">
        <x:f>IF(AND(S$3&gt;=$B$11,S$3&lt;EDATE($B$11,MAX(1,'Вводные'!$K$33)),AND($B$7="Да",IFERROR(INDEX('Вводные'!$B$88:$B$91,$B$8),"Нет")="Да")),1,0)</x:f>
      </x:c>
      <x:c r="T18" s="35" t="n">
        <x:f>IF(AND(T$3&gt;=$B$11,T$3&lt;EDATE($B$11,MAX(1,'Вводные'!$K$33)),AND($B$7="Да",IFERROR(INDEX('Вводные'!$B$88:$B$91,$B$8),"Нет")="Да")),1,0)</x:f>
      </x:c>
      <x:c r="U18" s="35" t="n">
        <x:f>IF(AND(U$3&gt;=$B$11,U$3&lt;EDATE($B$11,MAX(1,'Вводные'!$K$33)),AND($B$7="Да",IFERROR(INDEX('Вводные'!$B$88:$B$91,$B$8),"Нет")="Да")),1,0)</x:f>
      </x:c>
      <x:c r="V18" s="35" t="n">
        <x:f>IF(AND(V$3&gt;=$B$11,V$3&lt;EDATE($B$11,MAX(1,'Вводные'!$K$33)),AND($B$7="Да",IFERROR(INDEX('Вводные'!$B$88:$B$91,$B$8),"Нет")="Да")),1,0)</x:f>
      </x:c>
      <x:c r="W18" s="35" t="n">
        <x:f>IF(AND(W$3&gt;=$B$11,W$3&lt;EDATE($B$11,MAX(1,'Вводные'!$K$33)),AND($B$7="Да",IFERROR(INDEX('Вводные'!$B$88:$B$91,$B$8),"Нет")="Да")),1,0)</x:f>
      </x:c>
      <x:c r="X18" s="35" t="n">
        <x:f>IF(AND(X$3&gt;=$B$11,X$3&lt;EDATE($B$11,MAX(1,'Вводные'!$K$33)),AND($B$7="Да",IFERROR(INDEX('Вводные'!$B$88:$B$91,$B$8),"Нет")="Да")),1,0)</x:f>
      </x:c>
      <x:c r="Y18" s="35" t="n">
        <x:f>IF(AND(Y$3&gt;=$B$11,Y$3&lt;EDATE($B$11,MAX(1,'Вводные'!$K$33)),AND($B$7="Да",IFERROR(INDEX('Вводные'!$B$88:$B$91,$B$8),"Нет")="Да")),1,0)</x:f>
      </x:c>
      <x:c r="Z18" s="35" t="n">
        <x:f>IF(AND(Z$3&gt;=$B$11,Z$3&lt;EDATE($B$11,MAX(1,'Вводные'!$K$33)),AND($B$7="Да",IFERROR(INDEX('Вводные'!$B$88:$B$91,$B$8),"Нет")="Да")),1,0)</x:f>
      </x:c>
      <x:c r="AA18" s="35" t="n">
        <x:f>IF(AND(AA$3&gt;=$B$11,AA$3&lt;EDATE($B$11,MAX(1,'Вводные'!$K$33)),AND($B$7="Да",IFERROR(INDEX('Вводные'!$B$88:$B$91,$B$8),"Нет")="Да")),1,0)</x:f>
      </x:c>
      <x:c r="AB18" s="35" t="n">
        <x:f>IF(AND(AB$3&gt;=$B$11,AB$3&lt;EDATE($B$11,MAX(1,'Вводные'!$K$33)),AND($B$7="Да",IFERROR(INDEX('Вводные'!$B$88:$B$91,$B$8),"Нет")="Да")),1,0)</x:f>
      </x:c>
      <x:c r="AC18" s="35" t="n">
        <x:f>IF(AND(AC$3&gt;=$B$11,AC$3&lt;EDATE($B$11,MAX(1,'Вводные'!$K$33)),AND($B$7="Да",IFERROR(INDEX('Вводные'!$B$88:$B$91,$B$8),"Нет")="Да")),1,0)</x:f>
      </x:c>
      <x:c r="AD18" s="35" t="n">
        <x:f>IF(AND(AD$3&gt;=$B$11,AD$3&lt;EDATE($B$11,MAX(1,'Вводные'!$K$33)),AND($B$7="Да",IFERROR(INDEX('Вводные'!$B$88:$B$91,$B$8),"Нет")="Да")),1,0)</x:f>
      </x:c>
      <x:c r="AE18" s="35" t="n">
        <x:f>IF(AND(AE$3&gt;=$B$11,AE$3&lt;EDATE($B$11,MAX(1,'Вводные'!$K$33)),AND($B$7="Да",IFERROR(INDEX('Вводные'!$B$88:$B$91,$B$8),"Нет")="Да")),1,0)</x:f>
      </x:c>
      <x:c r="AF18" s="35" t="n">
        <x:f>IF(AND(AF$3&gt;=$B$11,AF$3&lt;EDATE($B$11,MAX(1,'Вводные'!$K$33)),AND($B$7="Да",IFERROR(INDEX('Вводные'!$B$88:$B$91,$B$8),"Нет")="Да")),1,0)</x:f>
      </x:c>
      <x:c r="AG18" s="35" t="n">
        <x:f>IF(AND(AG$3&gt;=$B$11,AG$3&lt;EDATE($B$11,MAX(1,'Вводные'!$K$33)),AND($B$7="Да",IFERROR(INDEX('Вводные'!$B$88:$B$91,$B$8),"Нет")="Да")),1,0)</x:f>
      </x:c>
      <x:c r="AH18" s="35" t="n">
        <x:f>IF(AND(AH$3&gt;=$B$11,AH$3&lt;EDATE($B$11,MAX(1,'Вводные'!$K$33)),AND($B$7="Да",IFERROR(INDEX('Вводные'!$B$88:$B$91,$B$8),"Нет")="Да")),1,0)</x:f>
      </x:c>
      <x:c r="AI18" s="35" t="n">
        <x:f>IF(AND(AI$3&gt;=$B$11,AI$3&lt;EDATE($B$11,MAX(1,'Вводные'!$K$33)),AND($B$7="Да",IFERROR(INDEX('Вводные'!$B$88:$B$91,$B$8),"Нет")="Да")),1,0)</x:f>
      </x:c>
      <x:c r="AJ18" s="35" t="n">
        <x:f>IF(AND(AJ$3&gt;=$B$11,AJ$3&lt;EDATE($B$11,MAX(1,'Вводные'!$K$33)),AND($B$7="Да",IFERROR(INDEX('Вводные'!$B$88:$B$91,$B$8),"Нет")="Да")),1,0)</x:f>
      </x:c>
      <x:c r="AK18" s="35" t="n">
        <x:f>IF(AND(AK$3&gt;=$B$11,AK$3&lt;EDATE($B$11,MAX(1,'Вводные'!$K$33)),AND($B$7="Да",IFERROR(INDEX('Вводные'!$B$88:$B$91,$B$8),"Нет")="Да")),1,0)</x:f>
      </x:c>
      <x:c r="AL18" s="35" t="n">
        <x:f>IF(AND(AL$3&gt;=$B$11,AL$3&lt;EDATE($B$11,MAX(1,'Вводные'!$K$33)),AND($B$7="Да",IFERROR(INDEX('Вводные'!$B$88:$B$91,$B$8),"Нет")="Да")),1,0)</x:f>
      </x:c>
      <x:c r="AM18" s="35" t="n">
        <x:f>IF(AND(AM$3&gt;=$B$11,AM$3&lt;EDATE($B$11,MAX(1,'Вводные'!$K$33)),AND($B$7="Да",IFERROR(INDEX('Вводные'!$B$88:$B$91,$B$8),"Нет")="Да")),1,0)</x:f>
      </x:c>
      <x:c r="AN18" s="35" t="n">
        <x:f>IF(AND(AN$3&gt;=$B$11,AN$3&lt;EDATE($B$11,MAX(1,'Вводные'!$K$33)),AND($B$7="Да",IFERROR(INDEX('Вводные'!$B$88:$B$91,$B$8),"Нет")="Да")),1,0)</x:f>
      </x:c>
      <x:c r="AO18" s="35" t="n">
        <x:f>IF(AND(AO$3&gt;=$B$11,AO$3&lt;EDATE($B$11,MAX(1,'Вводные'!$K$33)),AND($B$7="Да",IFERROR(INDEX('Вводные'!$B$88:$B$91,$B$8),"Нет")="Да")),1,0)</x:f>
      </x:c>
      <x:c r="AP18" s="35" t="n">
        <x:f>IF(AND(AP$3&gt;=$B$11,AP$3&lt;EDATE($B$11,MAX(1,'Вводные'!$K$33)),AND($B$7="Да",IFERROR(INDEX('Вводные'!$B$88:$B$91,$B$8),"Нет")="Да")),1,0)</x:f>
      </x:c>
      <x:c r="AQ18" s="35" t="n">
        <x:f>IF(AND(AQ$3&gt;=$B$11,AQ$3&lt;EDATE($B$11,MAX(1,'Вводные'!$K$33)),AND($B$7="Да",IFERROR(INDEX('Вводные'!$B$88:$B$91,$B$8),"Нет")="Да")),1,0)</x:f>
      </x:c>
      <x:c r="AR18" s="35" t="n">
        <x:f>IF(AND(AR$3&gt;=$B$11,AR$3&lt;EDATE($B$11,MAX(1,'Вводные'!$K$33)),AND($B$7="Да",IFERROR(INDEX('Вводные'!$B$88:$B$91,$B$8),"Нет")="Да")),1,0)</x:f>
      </x:c>
      <x:c r="AS18" s="35" t="n">
        <x:f>IF(AND(AS$3&gt;=$B$11,AS$3&lt;EDATE($B$11,MAX(1,'Вводные'!$K$33)),AND($B$7="Да",IFERROR(INDEX('Вводные'!$B$88:$B$91,$B$8),"Нет")="Да")),1,0)</x:f>
      </x:c>
      <x:c r="AT18" s="35" t="n">
        <x:f>IF(AND(AT$3&gt;=$B$11,AT$3&lt;EDATE($B$11,MAX(1,'Вводные'!$K$33)),AND($B$7="Да",IFERROR(INDEX('Вводные'!$B$88:$B$91,$B$8),"Нет")="Да")),1,0)</x:f>
      </x:c>
      <x:c r="AU18" s="35" t="n">
        <x:f>IF(AND(AU$3&gt;=$B$11,AU$3&lt;EDATE($B$11,MAX(1,'Вводные'!$K$33)),AND($B$7="Да",IFERROR(INDEX('Вводные'!$B$88:$B$91,$B$8),"Нет")="Да")),1,0)</x:f>
      </x:c>
      <x:c r="AV18" s="35" t="n">
        <x:f>IF(AND(AV$3&gt;=$B$11,AV$3&lt;EDATE($B$11,MAX(1,'Вводные'!$K$33)),AND($B$7="Да",IFERROR(INDEX('Вводные'!$B$88:$B$91,$B$8),"Нет")="Да")),1,0)</x:f>
      </x:c>
      <x:c r="AW18" s="35" t="n">
        <x:f>IF(AND(AW$3&gt;=$B$11,AW$3&lt;EDATE($B$11,MAX(1,'Вводные'!$K$33)),AND($B$7="Да",IFERROR(INDEX('Вводные'!$B$88:$B$91,$B$8),"Нет")="Да")),1,0)</x:f>
      </x:c>
      <x:c r="AX18" s="35" t="n">
        <x:f>IF(AND(AX$3&gt;=$B$11,AX$3&lt;EDATE($B$11,MAX(1,'Вводные'!$K$33)),AND($B$7="Да",IFERROR(INDEX('Вводные'!$B$88:$B$91,$B$8),"Нет")="Да")),1,0)</x:f>
      </x:c>
      <x:c r="AY18" s="35" t="n">
        <x:f>IF(AND(AY$3&gt;=$B$11,AY$3&lt;EDATE($B$11,MAX(1,'Вводные'!$K$33)),AND($B$7="Да",IFERROR(INDEX('Вводные'!$B$88:$B$91,$B$8),"Нет")="Да")),1,0)</x:f>
      </x:c>
      <x:c r="AZ18" s="35" t="n">
        <x:f>IF(AND(AZ$3&gt;=$B$11,AZ$3&lt;EDATE($B$11,MAX(1,'Вводные'!$K$33)),AND($B$7="Да",IFERROR(INDEX('Вводные'!$B$88:$B$91,$B$8),"Нет")="Да")),1,0)</x:f>
      </x:c>
      <x:c r="BA18" s="35" t="n">
        <x:f>IF(AND(BA$3&gt;=$B$11,BA$3&lt;EDATE($B$11,MAX(1,'Вводные'!$K$33)),AND($B$7="Да",IFERROR(INDEX('Вводные'!$B$88:$B$91,$B$8),"Нет")="Да")),1,0)</x:f>
      </x:c>
      <x:c r="BB18" s="35" t="n">
        <x:f>IF(AND(BB$3&gt;=$B$11,BB$3&lt;EDATE($B$11,MAX(1,'Вводные'!$K$33)),AND($B$7="Да",IFERROR(INDEX('Вводные'!$B$88:$B$91,$B$8),"Нет")="Да")),1,0)</x:f>
      </x:c>
      <x:c r="BC18" s="35" t="n">
        <x:f>IF(AND(BC$3&gt;=$B$11,BC$3&lt;EDATE($B$11,MAX(1,'Вводные'!$K$33)),AND($B$7="Да",IFERROR(INDEX('Вводные'!$B$88:$B$91,$B$8),"Нет")="Да")),1,0)</x:f>
      </x:c>
      <x:c r="BD18" s="35" t="n">
        <x:f>IF(AND(BD$3&gt;=$B$11,BD$3&lt;EDATE($B$11,MAX(1,'Вводные'!$K$33)),AND($B$7="Да",IFERROR(INDEX('Вводные'!$B$88:$B$91,$B$8),"Нет")="Да")),1,0)</x:f>
      </x:c>
      <x:c r="BE18" s="35" t="n">
        <x:f>IF(AND(BE$3&gt;=$B$11,BE$3&lt;EDATE($B$11,MAX(1,'Вводные'!$K$33)),AND($B$7="Да",IFERROR(INDEX('Вводные'!$B$88:$B$91,$B$8),"Нет")="Да")),1,0)</x:f>
      </x:c>
      <x:c r="BF18" s="35" t="n">
        <x:f>IF(AND(BF$3&gt;=$B$11,BF$3&lt;EDATE($B$11,MAX(1,'Вводные'!$K$33)),AND($B$7="Да",IFERROR(INDEX('Вводные'!$B$88:$B$91,$B$8),"Нет")="Да")),1,0)</x:f>
      </x:c>
      <x:c r="BG18" s="35" t="n">
        <x:f>IF(AND(BG$3&gt;=$B$11,BG$3&lt;EDATE($B$11,MAX(1,'Вводные'!$K$33)),AND($B$7="Да",IFERROR(INDEX('Вводные'!$B$88:$B$91,$B$8),"Нет")="Да")),1,0)</x:f>
      </x:c>
      <x:c r="BH18" s="35" t="n">
        <x:f>IF(AND(BH$3&gt;=$B$11,BH$3&lt;EDATE($B$11,MAX(1,'Вводные'!$K$33)),AND($B$7="Да",IFERROR(INDEX('Вводные'!$B$88:$B$91,$B$8),"Нет")="Да")),1,0)</x:f>
      </x:c>
      <x:c r="BI18" s="35" t="n">
        <x:f>IF(AND(BI$3&gt;=$B$11,BI$3&lt;EDATE($B$11,MAX(1,'Вводные'!$K$33)),AND($B$7="Да",IFERROR(INDEX('Вводные'!$B$88:$B$91,$B$8),"Нет")="Да")),1,0)</x:f>
      </x:c>
      <x:c r="BJ18" s="35" t="n">
        <x:f>IF(AND(BJ$3&gt;=$B$11,BJ$3&lt;EDATE($B$11,MAX(1,'Вводные'!$K$33)),AND($B$7="Да",IFERROR(INDEX('Вводные'!$B$88:$B$91,$B$8),"Нет")="Да")),1,0)</x:f>
      </x:c>
      <x:c r="BK18" s="35" t="n">
        <x:f>IF(AND(BK$3&gt;=$B$11,BK$3&lt;EDATE($B$11,MAX(1,'Вводные'!$K$33)),AND($B$7="Да",IFERROR(INDEX('Вводные'!$B$88:$B$91,$B$8),"Нет")="Да")),1,0)</x:f>
      </x:c>
      <x:c r="BL18" s="35" t="n">
        <x:f>IF(AND(BL$3&gt;=$B$11,BL$3&lt;EDATE($B$11,MAX(1,'Вводные'!$K$33)),AND($B$7="Да",IFERROR(INDEX('Вводные'!$B$88:$B$91,$B$8),"Нет")="Да")),1,0)</x:f>
      </x:c>
      <x:c r="BM18" s="35" t="n">
        <x:f>IF(AND(BM$3&gt;=$B$11,BM$3&lt;EDATE($B$11,MAX(1,'Вводные'!$K$33)),AND($B$7="Да",IFERROR(INDEX('Вводные'!$B$88:$B$91,$B$8),"Нет")="Да")),1,0)</x:f>
      </x:c>
      <x:c r="BN18" s="35" t="n">
        <x:f>IF(AND(BN$3&gt;=$B$11,BN$3&lt;EDATE($B$11,MAX(1,'Вводные'!$K$33)),AND($B$7="Да",IFERROR(INDEX('Вводные'!$B$88:$B$91,$B$8),"Нет")="Да")),1,0)</x:f>
      </x:c>
      <x:c r="BO18" s="35" t="n">
        <x:f>IF(AND(BO$3&gt;=$B$11,BO$3&lt;EDATE($B$11,MAX(1,'Вводные'!$K$33)),AND($B$7="Да",IFERROR(INDEX('Вводные'!$B$88:$B$91,$B$8),"Нет")="Да")),1,0)</x:f>
      </x:c>
      <x:c r="BP18" s="35" t="n">
        <x:f>IF(AND(BP$3&gt;=$B$11,BP$3&lt;EDATE($B$11,MAX(1,'Вводные'!$K$33)),AND($B$7="Да",IFERROR(INDEX('Вводные'!$B$88:$B$91,$B$8),"Нет")="Да")),1,0)</x:f>
      </x:c>
      <x:c r="BQ18" s="35" t="n">
        <x:f>IF(AND(BQ$3&gt;=$B$11,BQ$3&lt;EDATE($B$11,MAX(1,'Вводные'!$K$33)),AND($B$7="Да",IFERROR(INDEX('Вводные'!$B$88:$B$91,$B$8),"Нет")="Да")),1,0)</x:f>
      </x:c>
      <x:c r="BR18" s="35" t="n">
        <x:f>IF(AND(BR$3&gt;=$B$11,BR$3&lt;EDATE($B$11,MAX(1,'Вводные'!$K$33)),AND($B$7="Да",IFERROR(INDEX('Вводные'!$B$88:$B$91,$B$8),"Нет")="Да")),1,0)</x:f>
      </x:c>
      <x:c r="BS18" s="35" t="n">
        <x:f>IF(AND(BS$3&gt;=$B$11,BS$3&lt;EDATE($B$11,MAX(1,'Вводные'!$K$33)),AND($B$7="Да",IFERROR(INDEX('Вводные'!$B$88:$B$91,$B$8),"Нет")="Да")),1,0)</x:f>
      </x:c>
      <x:c r="BT18" s="35" t="n">
        <x:f>IF(AND(BT$3&gt;=$B$11,BT$3&lt;EDATE($B$11,MAX(1,'Вводные'!$K$33)),AND($B$7="Да",IFERROR(INDEX('Вводные'!$B$88:$B$91,$B$8),"Нет")="Да")),1,0)</x:f>
      </x:c>
      <x:c r="BU18" s="35" t="n">
        <x:f>IF(AND(BU$3&gt;=$B$11,BU$3&lt;EDATE($B$11,MAX(1,'Вводные'!$K$33)),AND($B$7="Да",IFERROR(INDEX('Вводные'!$B$88:$B$91,$B$8),"Нет")="Да")),1,0)</x:f>
      </x:c>
      <x:c r="BV18" s="35" t="n">
        <x:f>IF(AND(BV$3&gt;=$B$11,BV$3&lt;EDATE($B$11,MAX(1,'Вводные'!$K$33)),AND($B$7="Да",IFERROR(INDEX('Вводные'!$B$88:$B$91,$B$8),"Нет")="Да")),1,0)</x:f>
      </x:c>
      <x:c r="BW18" s="35" t="n">
        <x:f>IF(AND(BW$3&gt;=$B$11,BW$3&lt;EDATE($B$11,MAX(1,'Вводные'!$K$33)),AND($B$7="Да",IFERROR(INDEX('Вводные'!$B$88:$B$91,$B$8),"Нет")="Да")),1,0)</x:f>
      </x:c>
      <x:c r="BX18" s="35" t="n">
        <x:f>IF(AND(BX$3&gt;=$B$11,BX$3&lt;EDATE($B$11,MAX(1,'Вводные'!$K$33)),AND($B$7="Да",IFERROR(INDEX('Вводные'!$B$88:$B$91,$B$8),"Нет")="Да")),1,0)</x:f>
      </x:c>
      <x:c r="BY18" s="35" t="n">
        <x:f>IF(AND(BY$3&gt;=$B$11,BY$3&lt;EDATE($B$11,MAX(1,'Вводные'!$K$33)),AND($B$7="Да",IFERROR(INDEX('Вводные'!$B$88:$B$91,$B$8),"Нет")="Да")),1,0)</x:f>
      </x:c>
      <x:c r="BZ18" s="35" t="n">
        <x:f>IF(AND(BZ$3&gt;=$B$11,BZ$3&lt;EDATE($B$11,MAX(1,'Вводные'!$K$33)),AND($B$7="Да",IFERROR(INDEX('Вводные'!$B$88:$B$91,$B$8),"Нет")="Да")),1,0)</x:f>
      </x:c>
      <x:c r="CA18" s="35" t="n">
        <x:f>IF(AND(CA$3&gt;=$B$11,CA$3&lt;EDATE($B$11,MAX(1,'Вводные'!$K$33)),AND($B$7="Да",IFERROR(INDEX('Вводные'!$B$88:$B$91,$B$8),"Нет")="Да")),1,0)</x:f>
      </x:c>
      <x:c r="CB18" s="35" t="n">
        <x:f>IF(AND(CB$3&gt;=$B$11,CB$3&lt;EDATE($B$11,MAX(1,'Вводные'!$K$33)),AND($B$7="Да",IFERROR(INDEX('Вводные'!$B$88:$B$91,$B$8),"Нет")="Да")),1,0)</x:f>
      </x:c>
      <x:c r="CC18" s="35" t="n">
        <x:f>IF(AND(CC$3&gt;=$B$11,CC$3&lt;EDATE($B$11,MAX(1,'Вводные'!$K$33)),AND($B$7="Да",IFERROR(INDEX('Вводные'!$B$88:$B$91,$B$8),"Нет")="Да")),1,0)</x:f>
      </x:c>
      <x:c r="CD18" s="35" t="n">
        <x:f>IF(AND(CD$3&gt;=$B$11,CD$3&lt;EDATE($B$11,MAX(1,'Вводные'!$K$33)),AND($B$7="Да",IFERROR(INDEX('Вводные'!$B$88:$B$91,$B$8),"Нет")="Да")),1,0)</x:f>
      </x:c>
      <x:c r="CE18" s="35" t="n">
        <x:f>IF(AND(CE$3&gt;=$B$11,CE$3&lt;EDATE($B$11,MAX(1,'Вводные'!$K$33)),AND($B$7="Да",IFERROR(INDEX('Вводные'!$B$88:$B$91,$B$8),"Нет")="Да")),1,0)</x:f>
      </x:c>
      <x:c r="CF18" s="35" t="n">
        <x:f>IF(AND(CF$3&gt;=$B$11,CF$3&lt;EDATE($B$11,MAX(1,'Вводные'!$K$33)),AND($B$7="Да",IFERROR(INDEX('Вводные'!$B$88:$B$91,$B$8),"Нет")="Да")),1,0)</x:f>
      </x:c>
      <x:c r="CG18" s="35" t="n">
        <x:f>IF(AND(CG$3&gt;=$B$11,CG$3&lt;EDATE($B$11,MAX(1,'Вводные'!$K$33)),AND($B$7="Да",IFERROR(INDEX('Вводные'!$B$88:$B$91,$B$8),"Нет")="Да")),1,0)</x:f>
      </x:c>
      <x:c r="CH18" s="35" t="n">
        <x:f>IF(AND(CH$3&gt;=$B$11,CH$3&lt;EDATE($B$11,MAX(1,'Вводные'!$K$33)),AND($B$7="Да",IFERROR(INDEX('Вводные'!$B$88:$B$91,$B$8),"Нет")="Да")),1,0)</x:f>
      </x:c>
      <x:c r="CI18" s="35" t="n">
        <x:f>IF(AND(CI$3&gt;=$B$11,CI$3&lt;EDATE($B$11,MAX(1,'Вводные'!$K$33)),AND($B$7="Да",IFERROR(INDEX('Вводные'!$B$88:$B$91,$B$8),"Нет")="Да")),1,0)</x:f>
      </x:c>
      <x:c r="CJ18" s="35" t="n">
        <x:f>IF(AND(CJ$3&gt;=$B$11,CJ$3&lt;EDATE($B$11,MAX(1,'Вводные'!$K$33)),AND($B$7="Да",IFERROR(INDEX('Вводные'!$B$88:$B$91,$B$8),"Нет")="Да")),1,0)</x:f>
      </x:c>
      <x:c r="CK18" s="35" t="n">
        <x:f>IF(AND(CK$3&gt;=$B$11,CK$3&lt;EDATE($B$11,MAX(1,'Вводные'!$K$33)),AND($B$7="Да",IFERROR(INDEX('Вводные'!$B$88:$B$91,$B$8),"Нет")="Да")),1,0)</x:f>
      </x:c>
      <x:c r="CL18" s="35" t="n">
        <x:f>IF(AND(CL$3&gt;=$B$11,CL$3&lt;EDATE($B$11,MAX(1,'Вводные'!$K$33)),AND($B$7="Да",IFERROR(INDEX('Вводные'!$B$88:$B$91,$B$8),"Нет")="Да")),1,0)</x:f>
      </x:c>
      <x:c r="CM18" s="35" t="n">
        <x:f>IF(AND(CM$3&gt;=$B$11,CM$3&lt;EDATE($B$11,MAX(1,'Вводные'!$K$33)),AND($B$7="Да",IFERROR(INDEX('Вводные'!$B$88:$B$91,$B$8),"Нет")="Да")),1,0)</x:f>
      </x:c>
      <x:c r="CN18" s="35" t="n">
        <x:f>IF(AND(CN$3&gt;=$B$11,CN$3&lt;EDATE($B$11,MAX(1,'Вводные'!$K$33)),AND($B$7="Да",IFERROR(INDEX('Вводные'!$B$88:$B$91,$B$8),"Нет")="Да")),1,0)</x:f>
      </x:c>
      <x:c r="CO18" s="35" t="n">
        <x:f>IF(AND(CO$3&gt;=$B$11,CO$3&lt;EDATE($B$11,MAX(1,'Вводные'!$K$33)),AND($B$7="Да",IFERROR(INDEX('Вводные'!$B$88:$B$91,$B$8),"Нет")="Да")),1,0)</x:f>
      </x:c>
      <x:c r="CP18" s="35" t="n">
        <x:f>IF(AND(CP$3&gt;=$B$11,CP$3&lt;EDATE($B$11,MAX(1,'Вводные'!$K$33)),AND($B$7="Да",IFERROR(INDEX('Вводные'!$B$88:$B$91,$B$8),"Нет")="Да")),1,0)</x:f>
      </x:c>
      <x:c r="CQ18" s="35" t="n">
        <x:f>IF(AND(CQ$3&gt;=$B$11,CQ$3&lt;EDATE($B$11,MAX(1,'Вводные'!$K$33)),AND($B$7="Да",IFERROR(INDEX('Вводные'!$B$88:$B$91,$B$8),"Нет")="Да")),1,0)</x:f>
      </x:c>
      <x:c r="CR18" s="35" t="n">
        <x:f>IF(AND(CR$3&gt;=$B$11,CR$3&lt;EDATE($B$11,MAX(1,'Вводные'!$K$33)),AND($B$7="Да",IFERROR(INDEX('Вводные'!$B$88:$B$91,$B$8),"Нет")="Да")),1,0)</x:f>
      </x:c>
      <x:c r="CS18" s="35" t="n">
        <x:f>IF(AND(CS$3&gt;=$B$11,CS$3&lt;EDATE($B$11,MAX(1,'Вводные'!$K$33)),AND($B$7="Да",IFERROR(INDEX('Вводные'!$B$88:$B$91,$B$8),"Нет")="Да")),1,0)</x:f>
      </x:c>
      <x:c r="CT18" s="35" t="n">
        <x:f>IF(AND(CT$3&gt;=$B$11,CT$3&lt;EDATE($B$11,MAX(1,'Вводные'!$K$33)),AND($B$7="Да",IFERROR(INDEX('Вводные'!$B$88:$B$91,$B$8),"Нет")="Да")),1,0)</x:f>
      </x:c>
      <x:c r="CU18" s="35" t="n">
        <x:f>IF(AND(CU$3&gt;=$B$11,CU$3&lt;EDATE($B$11,MAX(1,'Вводные'!$K$33)),AND($B$7="Да",IFERROR(INDEX('Вводные'!$B$88:$B$91,$B$8),"Нет")="Да")),1,0)</x:f>
      </x:c>
      <x:c r="CV18" s="35" t="n">
        <x:f>IF(AND(CV$3&gt;=$B$11,CV$3&lt;EDATE($B$11,MAX(1,'Вводные'!$K$33)),AND($B$7="Да",IFERROR(INDEX('Вводные'!$B$88:$B$91,$B$8),"Нет")="Да")),1,0)</x:f>
      </x:c>
      <x:c r="CW18" s="35" t="n">
        <x:f>IF(AND(CW$3&gt;=$B$11,CW$3&lt;EDATE($B$11,MAX(1,'Вводные'!$K$33)),AND($B$7="Да",IFERROR(INDEX('Вводные'!$B$88:$B$91,$B$8),"Нет")="Да")),1,0)</x:f>
      </x:c>
      <x:c r="CX18" s="35" t="n">
        <x:f>IF(AND(CX$3&gt;=$B$11,CX$3&lt;EDATE($B$11,MAX(1,'Вводные'!$K$33)),AND($B$7="Да",IFERROR(INDEX('Вводные'!$B$88:$B$91,$B$8),"Нет")="Да")),1,0)</x:f>
      </x:c>
      <x:c r="CY18" s="35" t="n">
        <x:f>IF(AND(CY$3&gt;=$B$11,CY$3&lt;EDATE($B$11,MAX(1,'Вводные'!$K$33)),AND($B$7="Да",IFERROR(INDEX('Вводные'!$B$88:$B$91,$B$8),"Нет")="Да")),1,0)</x:f>
      </x:c>
      <x:c r="CZ18" s="35" t="n">
        <x:f>IF(AND(CZ$3&gt;=$B$11,CZ$3&lt;EDATE($B$11,MAX(1,'Вводные'!$K$33)),AND($B$7="Да",IFERROR(INDEX('Вводные'!$B$88:$B$91,$B$8),"Нет")="Да")),1,0)</x:f>
      </x:c>
      <x:c r="DA18" s="35" t="n">
        <x:f>IF(AND(DA$3&gt;=$B$11,DA$3&lt;EDATE($B$11,MAX(1,'Вводные'!$K$33)),AND($B$7="Да",IFERROR(INDEX('Вводные'!$B$88:$B$91,$B$8),"Нет")="Да")),1,0)</x:f>
      </x:c>
      <x:c r="DB18" s="35" t="n">
        <x:f>IF(AND(DB$3&gt;=$B$11,DB$3&lt;EDATE($B$11,MAX(1,'Вводные'!$K$33)),AND($B$7="Да",IFERROR(INDEX('Вводные'!$B$88:$B$91,$B$8),"Нет")="Да")),1,0)</x:f>
      </x:c>
      <x:c r="DC18" s="35" t="n">
        <x:f>IF(AND(DC$3&gt;=$B$11,DC$3&lt;EDATE($B$11,MAX(1,'Вводные'!$K$33)),AND($B$7="Да",IFERROR(INDEX('Вводные'!$B$88:$B$91,$B$8),"Нет")="Да")),1,0)</x:f>
      </x:c>
      <x:c r="DD18" s="35" t="n">
        <x:f>IF(AND(DD$3&gt;=$B$11,DD$3&lt;EDATE($B$11,MAX(1,'Вводные'!$K$33)),AND($B$7="Да",IFERROR(INDEX('Вводные'!$B$88:$B$91,$B$8),"Нет")="Да")),1,0)</x:f>
      </x:c>
      <x:c r="DE18" s="35" t="n">
        <x:f>IF(AND(DE$3&gt;=$B$11,DE$3&lt;EDATE($B$11,MAX(1,'Вводные'!$K$33)),AND($B$7="Да",IFERROR(INDEX('Вводные'!$B$88:$B$91,$B$8),"Нет")="Да")),1,0)</x:f>
      </x:c>
      <x:c r="DF18" s="35" t="n">
        <x:f>IF(AND(DF$3&gt;=$B$11,DF$3&lt;EDATE($B$11,MAX(1,'Вводные'!$K$33)),AND($B$7="Да",IFERROR(INDEX('Вводные'!$B$88:$B$91,$B$8),"Нет")="Да")),1,0)</x:f>
      </x:c>
      <x:c r="DG18" s="35" t="n">
        <x:f>IF(AND(DG$3&gt;=$B$11,DG$3&lt;EDATE($B$11,MAX(1,'Вводные'!$K$33)),AND($B$7="Да",IFERROR(INDEX('Вводные'!$B$88:$B$91,$B$8),"Нет")="Да")),1,0)</x:f>
      </x:c>
      <x:c r="DH18" s="35" t="n">
        <x:f>IF(AND(DH$3&gt;=$B$11,DH$3&lt;EDATE($B$11,MAX(1,'Вводные'!$K$33)),AND($B$7="Да",IFERROR(INDEX('Вводные'!$B$88:$B$91,$B$8),"Нет")="Да")),1,0)</x:f>
      </x:c>
      <x:c r="DI18" s="35" t="n">
        <x:f>IF(AND(DI$3&gt;=$B$11,DI$3&lt;EDATE($B$11,MAX(1,'Вводные'!$K$33)),AND($B$7="Да",IFERROR(INDEX('Вводные'!$B$88:$B$91,$B$8),"Нет")="Да")),1,0)</x:f>
      </x:c>
      <x:c r="DJ18" s="35" t="n">
        <x:f>IF(AND(DJ$3&gt;=$B$11,DJ$3&lt;EDATE($B$11,MAX(1,'Вводные'!$K$33)),AND($B$7="Да",IFERROR(INDEX('Вводные'!$B$88:$B$91,$B$8),"Нет")="Да")),1,0)</x:f>
      </x:c>
      <x:c r="DK18" s="35" t="n">
        <x:f>IF(AND(DK$3&gt;=$B$11,DK$3&lt;EDATE($B$11,MAX(1,'Вводные'!$K$33)),AND($B$7="Да",IFERROR(INDEX('Вводные'!$B$88:$B$91,$B$8),"Нет")="Да")),1,0)</x:f>
      </x:c>
      <x:c r="DL18" s="35" t="n">
        <x:f>IF(AND(DL$3&gt;=$B$11,DL$3&lt;EDATE($B$11,MAX(1,'Вводные'!$K$33)),AND($B$7="Да",IFERROR(INDEX('Вводные'!$B$88:$B$91,$B$8),"Нет")="Да")),1,0)</x:f>
      </x:c>
      <x:c r="DM18" s="35" t="n">
        <x:f>IF(AND(DM$3&gt;=$B$11,DM$3&lt;EDATE($B$11,MAX(1,'Вводные'!$K$33)),AND($B$7="Да",IFERROR(INDEX('Вводные'!$B$88:$B$91,$B$8),"Нет")="Да")),1,0)</x:f>
      </x:c>
      <x:c r="DN18" s="35" t="n">
        <x:f>IF(AND(DN$3&gt;=$B$11,DN$3&lt;EDATE($B$11,MAX(1,'Вводные'!$K$33)),AND($B$7="Да",IFERROR(INDEX('Вводные'!$B$88:$B$91,$B$8),"Нет")="Да")),1,0)</x:f>
      </x:c>
      <x:c r="DO18" s="35" t="n">
        <x:f>IF(AND(DO$3&gt;=$B$11,DO$3&lt;EDATE($B$11,MAX(1,'Вводные'!$K$33)),AND($B$7="Да",IFERROR(INDEX('Вводные'!$B$88:$B$91,$B$8),"Нет")="Да")),1,0)</x:f>
      </x:c>
      <x:c r="DP18" s="35" t="n">
        <x:f>IF(AND(DP$3&gt;=$B$11,DP$3&lt;EDATE($B$11,MAX(1,'Вводные'!$K$33)),AND($B$7="Да",IFERROR(INDEX('Вводные'!$B$88:$B$91,$B$8),"Нет")="Да")),1,0)</x:f>
      </x:c>
      <x:c r="DQ18" s="35" t="n">
        <x:f>IF(AND(DQ$3&gt;=$B$11,DQ$3&lt;EDATE($B$11,MAX(1,'Вводные'!$K$33)),AND($B$7="Да",IFERROR(INDEX('Вводные'!$B$88:$B$91,$B$8),"Нет")="Да")),1,0)</x:f>
      </x:c>
      <x:c r="DR18" s="35" t="n">
        <x:f>IF(AND(DR$3&gt;=$B$11,DR$3&lt;EDATE($B$11,MAX(1,'Вводные'!$K$33)),AND($B$7="Да",IFERROR(INDEX('Вводные'!$B$88:$B$91,$B$8),"Нет")="Да")),1,0)</x:f>
      </x:c>
      <x:c r="DS18" s="35" t="n">
        <x:f>IF(AND(DS$3&gt;=$B$11,DS$3&lt;EDATE($B$11,MAX(1,'Вводные'!$K$33)),AND($B$7="Да",IFERROR(INDEX('Вводные'!$B$88:$B$91,$B$8),"Нет")="Да")),1,0)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IF(D$3&lt;EDATE(INDEX('Вводные'!$D$88:$D$91,$B$8),INDEX('Вводные'!$E$88:$E$91,$B$8)+INDEX('Вводные'!$F$88:$F$91,$B$8)+'Вводные'!$H$9),D24,0)</x:f>
      </x:c>
      <x:c r="E25" s="107" t="n">
        <x:f>IF(E$3&lt;EDATE(INDEX('Вводные'!$D$88:$D$91,$B$8),INDEX('Вводные'!$E$88:$E$91,$B$8)+INDEX('Вводные'!$F$88:$F$91,$B$8)+'Вводные'!$H$9),E24,0)</x:f>
      </x:c>
      <x:c r="F25" s="107" t="n">
        <x:f>IF(F$3&lt;EDATE(INDEX('Вводные'!$D$88:$D$91,$B$8),INDEX('Вводные'!$E$88:$E$91,$B$8)+INDEX('Вводные'!$F$88:$F$91,$B$8)+'Вводные'!$H$9),F24,0)</x:f>
      </x:c>
      <x:c r="G25" s="107" t="n">
        <x:f>IF(G$3&lt;EDATE(INDEX('Вводные'!$D$88:$D$91,$B$8),INDEX('Вводные'!$E$88:$E$91,$B$8)+INDEX('Вводные'!$F$88:$F$91,$B$8)+'Вводные'!$H$9),G24,0)</x:f>
      </x:c>
      <x:c r="H25" s="107" t="n">
        <x:f>IF(H$3&lt;EDATE(INDEX('Вводные'!$D$88:$D$91,$B$8),INDEX('Вводные'!$E$88:$E$91,$B$8)+INDEX('Вводные'!$F$88:$F$91,$B$8)+'Вводные'!$H$9),H24,0)</x:f>
      </x:c>
      <x:c r="I25" s="107" t="n">
        <x:f>IF(I$3&lt;EDATE(INDEX('Вводные'!$D$88:$D$91,$B$8),INDEX('Вводные'!$E$88:$E$91,$B$8)+INDEX('Вводные'!$F$88:$F$91,$B$8)+'Вводные'!$H$9),I24,0)</x:f>
      </x:c>
      <x:c r="J25" s="107" t="n">
        <x:f>IF(J$3&lt;EDATE(INDEX('Вводные'!$D$88:$D$91,$B$8),INDEX('Вводные'!$E$88:$E$91,$B$8)+INDEX('Вводные'!$F$88:$F$91,$B$8)+'Вводные'!$H$9),J24,0)</x:f>
      </x:c>
      <x:c r="K25" s="107" t="n">
        <x:f>IF(K$3&lt;EDATE(INDEX('Вводные'!$D$88:$D$91,$B$8),INDEX('Вводные'!$E$88:$E$91,$B$8)+INDEX('Вводные'!$F$88:$F$91,$B$8)+'Вводные'!$H$9),K24,0)</x:f>
      </x:c>
      <x:c r="L25" s="107" t="n">
        <x:f>IF(L$3&lt;EDATE(INDEX('Вводные'!$D$88:$D$91,$B$8),INDEX('Вводные'!$E$88:$E$91,$B$8)+INDEX('Вводные'!$F$88:$F$91,$B$8)+'Вводные'!$H$9),L24,0)</x:f>
      </x:c>
      <x:c r="M25" s="107" t="n">
        <x:f>IF(M$3&lt;EDATE(INDEX('Вводные'!$D$88:$D$91,$B$8),INDEX('Вводные'!$E$88:$E$91,$B$8)+INDEX('Вводные'!$F$88:$F$91,$B$8)+'Вводные'!$H$9),M24,0)</x:f>
      </x:c>
      <x:c r="N25" s="107" t="n">
        <x:f>IF(N$3&lt;EDATE(INDEX('Вводные'!$D$88:$D$91,$B$8),INDEX('Вводные'!$E$88:$E$91,$B$8)+INDEX('Вводные'!$F$88:$F$91,$B$8)+'Вводные'!$H$9),N24,0)</x:f>
      </x:c>
      <x:c r="O25" s="107" t="n">
        <x:f>IF(O$3&lt;EDATE(INDEX('Вводные'!$D$88:$D$91,$B$8),INDEX('Вводные'!$E$88:$E$91,$B$8)+INDEX('Вводные'!$F$88:$F$91,$B$8)+'Вводные'!$H$9),O24,0)</x:f>
      </x:c>
      <x:c r="P25" s="107" t="n">
        <x:f>IF(P$3&lt;EDATE(INDEX('Вводные'!$D$88:$D$91,$B$8),INDEX('Вводные'!$E$88:$E$91,$B$8)+INDEX('Вводные'!$F$88:$F$91,$B$8)+'Вводные'!$H$9),P24,0)</x:f>
      </x:c>
      <x:c r="Q25" s="107" t="n">
        <x:f>IF(Q$3&lt;EDATE(INDEX('Вводные'!$D$88:$D$91,$B$8),INDEX('Вводные'!$E$88:$E$91,$B$8)+INDEX('Вводные'!$F$88:$F$91,$B$8)+'Вводные'!$H$9),Q24,0)</x:f>
      </x:c>
      <x:c r="R25" s="107" t="n">
        <x:f>IF(R$3&lt;EDATE(INDEX('Вводные'!$D$88:$D$91,$B$8),INDEX('Вводные'!$E$88:$E$91,$B$8)+INDEX('Вводные'!$F$88:$F$91,$B$8)+'Вводные'!$H$9),R24,0)</x:f>
      </x:c>
      <x:c r="S25" s="107" t="n">
        <x:f>IF(S$3&lt;EDATE(INDEX('Вводные'!$D$88:$D$91,$B$8),INDEX('Вводные'!$E$88:$E$91,$B$8)+INDEX('Вводные'!$F$88:$F$91,$B$8)+'Вводные'!$H$9),S24,0)</x:f>
      </x:c>
      <x:c r="T25" s="107" t="n">
        <x:f>IF(T$3&lt;EDATE(INDEX('Вводные'!$D$88:$D$91,$B$8),INDEX('Вводные'!$E$88:$E$91,$B$8)+INDEX('Вводные'!$F$88:$F$91,$B$8)+'Вводные'!$H$9),T24,0)</x:f>
      </x:c>
      <x:c r="U25" s="107" t="n">
        <x:f>IF(U$3&lt;EDATE(INDEX('Вводные'!$D$88:$D$91,$B$8),INDEX('Вводные'!$E$88:$E$91,$B$8)+INDEX('Вводные'!$F$88:$F$91,$B$8)+'Вводные'!$H$9),U24,0)</x:f>
      </x:c>
      <x:c r="V25" s="107" t="n">
        <x:f>IF(V$3&lt;EDATE(INDEX('Вводные'!$D$88:$D$91,$B$8),INDEX('Вводные'!$E$88:$E$91,$B$8)+INDEX('Вводные'!$F$88:$F$91,$B$8)+'Вводные'!$H$9),V24,0)</x:f>
      </x:c>
      <x:c r="W25" s="107" t="n">
        <x:f>IF(W$3&lt;EDATE(INDEX('Вводные'!$D$88:$D$91,$B$8),INDEX('Вводные'!$E$88:$E$91,$B$8)+INDEX('Вводные'!$F$88:$F$91,$B$8)+'Вводные'!$H$9),W24,0)</x:f>
      </x:c>
      <x:c r="X25" s="107" t="n">
        <x:f>IF(X$3&lt;EDATE(INDEX('Вводные'!$D$88:$D$91,$B$8),INDEX('Вводные'!$E$88:$E$91,$B$8)+INDEX('Вводные'!$F$88:$F$91,$B$8)+'Вводные'!$H$9),X24,0)</x:f>
      </x:c>
      <x:c r="Y25" s="107" t="n">
        <x:f>IF(Y$3&lt;EDATE(INDEX('Вводные'!$D$88:$D$91,$B$8),INDEX('Вводные'!$E$88:$E$91,$B$8)+INDEX('Вводные'!$F$88:$F$91,$B$8)+'Вводные'!$H$9),Y24,0)</x:f>
      </x:c>
      <x:c r="Z25" s="107" t="n">
        <x:f>IF(Z$3&lt;EDATE(INDEX('Вводные'!$D$88:$D$91,$B$8),INDEX('Вводные'!$E$88:$E$91,$B$8)+INDEX('Вводные'!$F$88:$F$91,$B$8)+'Вводные'!$H$9),Z24,0)</x:f>
      </x:c>
      <x:c r="AA25" s="107" t="n">
        <x:f>IF(AA$3&lt;EDATE(INDEX('Вводные'!$D$88:$D$91,$B$8),INDEX('Вводные'!$E$88:$E$91,$B$8)+INDEX('Вводные'!$F$88:$F$91,$B$8)+'Вводные'!$H$9),AA24,0)</x:f>
      </x:c>
      <x:c r="AB25" s="107" t="n">
        <x:f>IF(AB$3&lt;EDATE(INDEX('Вводные'!$D$88:$D$91,$B$8),INDEX('Вводные'!$E$88:$E$91,$B$8)+INDEX('Вводные'!$F$88:$F$91,$B$8)+'Вводные'!$H$9),AB24,0)</x:f>
      </x:c>
      <x:c r="AC25" s="107" t="n">
        <x:f>IF(AC$3&lt;EDATE(INDEX('Вводные'!$D$88:$D$91,$B$8),INDEX('Вводные'!$E$88:$E$91,$B$8)+INDEX('Вводные'!$F$88:$F$91,$B$8)+'Вводные'!$H$9),AC24,0)</x:f>
      </x:c>
      <x:c r="AD25" s="107" t="n">
        <x:f>IF(AD$3&lt;EDATE(INDEX('Вводные'!$D$88:$D$91,$B$8),INDEX('Вводные'!$E$88:$E$91,$B$8)+INDEX('Вводные'!$F$88:$F$91,$B$8)+'Вводные'!$H$9),AD24,0)</x:f>
      </x:c>
      <x:c r="AE25" s="107" t="n">
        <x:f>IF(AE$3&lt;EDATE(INDEX('Вводные'!$D$88:$D$91,$B$8),INDEX('Вводные'!$E$88:$E$91,$B$8)+INDEX('Вводные'!$F$88:$F$91,$B$8)+'Вводные'!$H$9),AE24,0)</x:f>
      </x:c>
      <x:c r="AF25" s="107" t="n">
        <x:f>IF(AF$3&lt;EDATE(INDEX('Вводные'!$D$88:$D$91,$B$8),INDEX('Вводные'!$E$88:$E$91,$B$8)+INDEX('Вводные'!$F$88:$F$91,$B$8)+'Вводные'!$H$9),AF24,0)</x:f>
      </x:c>
      <x:c r="AG25" s="107" t="n">
        <x:f>IF(AG$3&lt;EDATE(INDEX('Вводные'!$D$88:$D$91,$B$8),INDEX('Вводные'!$E$88:$E$91,$B$8)+INDEX('Вводные'!$F$88:$F$91,$B$8)+'Вводные'!$H$9),AG24,0)</x:f>
      </x:c>
      <x:c r="AH25" s="107" t="n">
        <x:f>IF(AH$3&lt;EDATE(INDEX('Вводные'!$D$88:$D$91,$B$8),INDEX('Вводные'!$E$88:$E$91,$B$8)+INDEX('Вводные'!$F$88:$F$91,$B$8)+'Вводные'!$H$9),AH24,0)</x:f>
      </x:c>
      <x:c r="AI25" s="107" t="n">
        <x:f>IF(AI$3&lt;EDATE(INDEX('Вводные'!$D$88:$D$91,$B$8),INDEX('Вводные'!$E$88:$E$91,$B$8)+INDEX('Вводные'!$F$88:$F$91,$B$8)+'Вводные'!$H$9),AI24,0)</x:f>
      </x:c>
      <x:c r="AJ25" s="107" t="n">
        <x:f>IF(AJ$3&lt;EDATE(INDEX('Вводные'!$D$88:$D$91,$B$8),INDEX('Вводные'!$E$88:$E$91,$B$8)+INDEX('Вводные'!$F$88:$F$91,$B$8)+'Вводные'!$H$9),AJ24,0)</x:f>
      </x:c>
      <x:c r="AK25" s="107" t="n">
        <x:f>IF(AK$3&lt;EDATE(INDEX('Вводные'!$D$88:$D$91,$B$8),INDEX('Вводные'!$E$88:$E$91,$B$8)+INDEX('Вводные'!$F$88:$F$91,$B$8)+'Вводные'!$H$9),AK24,0)</x:f>
      </x:c>
      <x:c r="AL25" s="107" t="n">
        <x:f>IF(AL$3&lt;EDATE(INDEX('Вводные'!$D$88:$D$91,$B$8),INDEX('Вводные'!$E$88:$E$91,$B$8)+INDEX('Вводные'!$F$88:$F$91,$B$8)+'Вводные'!$H$9),AL24,0)</x:f>
      </x:c>
      <x:c r="AM25" s="107" t="n">
        <x:f>IF(AM$3&lt;EDATE(INDEX('Вводные'!$D$88:$D$91,$B$8),INDEX('Вводные'!$E$88:$E$91,$B$8)+INDEX('Вводные'!$F$88:$F$91,$B$8)+'Вводные'!$H$9),AM24,0)</x:f>
      </x:c>
      <x:c r="AN25" s="107" t="n">
        <x:f>IF(AN$3&lt;EDATE(INDEX('Вводные'!$D$88:$D$91,$B$8),INDEX('Вводные'!$E$88:$E$91,$B$8)+INDEX('Вводные'!$F$88:$F$91,$B$8)+'Вводные'!$H$9),AN24,0)</x:f>
      </x:c>
      <x:c r="AO25" s="107" t="n">
        <x:f>IF(AO$3&lt;EDATE(INDEX('Вводные'!$D$88:$D$91,$B$8),INDEX('Вводные'!$E$88:$E$91,$B$8)+INDEX('Вводные'!$F$88:$F$91,$B$8)+'Вводные'!$H$9),AO24,0)</x:f>
      </x:c>
      <x:c r="AP25" s="107" t="n">
        <x:f>IF(AP$3&lt;EDATE(INDEX('Вводные'!$D$88:$D$91,$B$8),INDEX('Вводные'!$E$88:$E$91,$B$8)+INDEX('Вводные'!$F$88:$F$91,$B$8)+'Вводные'!$H$9),AP24,0)</x:f>
      </x:c>
      <x:c r="AQ25" s="107" t="n">
        <x:f>IF(AQ$3&lt;EDATE(INDEX('Вводные'!$D$88:$D$91,$B$8),INDEX('Вводные'!$E$88:$E$91,$B$8)+INDEX('Вводные'!$F$88:$F$91,$B$8)+'Вводные'!$H$9),AQ24,0)</x:f>
      </x:c>
      <x:c r="AR25" s="107" t="n">
        <x:f>IF(AR$3&lt;EDATE(INDEX('Вводные'!$D$88:$D$91,$B$8),INDEX('Вводные'!$E$88:$E$91,$B$8)+INDEX('Вводные'!$F$88:$F$91,$B$8)+'Вводные'!$H$9),AR24,0)</x:f>
      </x:c>
      <x:c r="AS25" s="107" t="n">
        <x:f>IF(AS$3&lt;EDATE(INDEX('Вводные'!$D$88:$D$91,$B$8),INDEX('Вводные'!$E$88:$E$91,$B$8)+INDEX('Вводные'!$F$88:$F$91,$B$8)+'Вводные'!$H$9),AS24,0)</x:f>
      </x:c>
      <x:c r="AT25" s="107" t="n">
        <x:f>IF(AT$3&lt;EDATE(INDEX('Вводные'!$D$88:$D$91,$B$8),INDEX('Вводные'!$E$88:$E$91,$B$8)+INDEX('Вводные'!$F$88:$F$91,$B$8)+'Вводные'!$H$9),AT24,0)</x:f>
      </x:c>
      <x:c r="AU25" s="107" t="n">
        <x:f>IF(AU$3&lt;EDATE(INDEX('Вводные'!$D$88:$D$91,$B$8),INDEX('Вводные'!$E$88:$E$91,$B$8)+INDEX('Вводные'!$F$88:$F$91,$B$8)+'Вводные'!$H$9),AU24,0)</x:f>
      </x:c>
      <x:c r="AV25" s="107" t="n">
        <x:f>IF(AV$3&lt;EDATE(INDEX('Вводные'!$D$88:$D$91,$B$8),INDEX('Вводные'!$E$88:$E$91,$B$8)+INDEX('Вводные'!$F$88:$F$91,$B$8)+'Вводные'!$H$9),AV24,0)</x:f>
      </x:c>
      <x:c r="AW25" s="107" t="n">
        <x:f>IF(AW$3&lt;EDATE(INDEX('Вводные'!$D$88:$D$91,$B$8),INDEX('Вводные'!$E$88:$E$91,$B$8)+INDEX('Вводные'!$F$88:$F$91,$B$8)+'Вводные'!$H$9),AW24,0)</x:f>
      </x:c>
      <x:c r="AX25" s="107" t="n">
        <x:f>IF(AX$3&lt;EDATE(INDEX('Вводные'!$D$88:$D$91,$B$8),INDEX('Вводные'!$E$88:$E$91,$B$8)+INDEX('Вводные'!$F$88:$F$91,$B$8)+'Вводные'!$H$9),AX24,0)</x:f>
      </x:c>
      <x:c r="AY25" s="107" t="n">
        <x:f>IF(AY$3&lt;EDATE(INDEX('Вводные'!$D$88:$D$91,$B$8),INDEX('Вводные'!$E$88:$E$91,$B$8)+INDEX('Вводные'!$F$88:$F$91,$B$8)+'Вводные'!$H$9),AY24,0)</x:f>
      </x:c>
      <x:c r="AZ25" s="107" t="n">
        <x:f>IF(AZ$3&lt;EDATE(INDEX('Вводные'!$D$88:$D$91,$B$8),INDEX('Вводные'!$E$88:$E$91,$B$8)+INDEX('Вводные'!$F$88:$F$91,$B$8)+'Вводные'!$H$9),AZ24,0)</x:f>
      </x:c>
      <x:c r="BA25" s="107" t="n">
        <x:f>IF(BA$3&lt;EDATE(INDEX('Вводные'!$D$88:$D$91,$B$8),INDEX('Вводные'!$E$88:$E$91,$B$8)+INDEX('Вводные'!$F$88:$F$91,$B$8)+'Вводные'!$H$9),BA24,0)</x:f>
      </x:c>
      <x:c r="BB25" s="107" t="n">
        <x:f>IF(BB$3&lt;EDATE(INDEX('Вводные'!$D$88:$D$91,$B$8),INDEX('Вводные'!$E$88:$E$91,$B$8)+INDEX('Вводные'!$F$88:$F$91,$B$8)+'Вводные'!$H$9),BB24,0)</x:f>
      </x:c>
      <x:c r="BC25" s="107" t="n">
        <x:f>IF(BC$3&lt;EDATE(INDEX('Вводные'!$D$88:$D$91,$B$8),INDEX('Вводные'!$E$88:$E$91,$B$8)+INDEX('Вводные'!$F$88:$F$91,$B$8)+'Вводные'!$H$9),BC24,0)</x:f>
      </x:c>
      <x:c r="BD25" s="107" t="n">
        <x:f>IF(BD$3&lt;EDATE(INDEX('Вводные'!$D$88:$D$91,$B$8),INDEX('Вводные'!$E$88:$E$91,$B$8)+INDEX('Вводные'!$F$88:$F$91,$B$8)+'Вводные'!$H$9),BD24,0)</x:f>
      </x:c>
      <x:c r="BE25" s="107" t="n">
        <x:f>IF(BE$3&lt;EDATE(INDEX('Вводные'!$D$88:$D$91,$B$8),INDEX('Вводные'!$E$88:$E$91,$B$8)+INDEX('Вводные'!$F$88:$F$91,$B$8)+'Вводные'!$H$9),BE24,0)</x:f>
      </x:c>
      <x:c r="BF25" s="107" t="n">
        <x:f>IF(BF$3&lt;EDATE(INDEX('Вводные'!$D$88:$D$91,$B$8),INDEX('Вводные'!$E$88:$E$91,$B$8)+INDEX('Вводные'!$F$88:$F$91,$B$8)+'Вводные'!$H$9),BF24,0)</x:f>
      </x:c>
      <x:c r="BG25" s="107" t="n">
        <x:f>IF(BG$3&lt;EDATE(INDEX('Вводные'!$D$88:$D$91,$B$8),INDEX('Вводные'!$E$88:$E$91,$B$8)+INDEX('Вводные'!$F$88:$F$91,$B$8)+'Вводные'!$H$9),BG24,0)</x:f>
      </x:c>
      <x:c r="BH25" s="107" t="n">
        <x:f>IF(BH$3&lt;EDATE(INDEX('Вводные'!$D$88:$D$91,$B$8),INDEX('Вводные'!$E$88:$E$91,$B$8)+INDEX('Вводные'!$F$88:$F$91,$B$8)+'Вводные'!$H$9),BH24,0)</x:f>
      </x:c>
      <x:c r="BI25" s="107" t="n">
        <x:f>IF(BI$3&lt;EDATE(INDEX('Вводные'!$D$88:$D$91,$B$8),INDEX('Вводные'!$E$88:$E$91,$B$8)+INDEX('Вводные'!$F$88:$F$91,$B$8)+'Вводные'!$H$9),BI24,0)</x:f>
      </x:c>
      <x:c r="BJ25" s="107" t="n">
        <x:f>IF(BJ$3&lt;EDATE(INDEX('Вводные'!$D$88:$D$91,$B$8),INDEX('Вводные'!$E$88:$E$91,$B$8)+INDEX('Вводные'!$F$88:$F$91,$B$8)+'Вводные'!$H$9),BJ24,0)</x:f>
      </x:c>
      <x:c r="BK25" s="107" t="n">
        <x:f>IF(BK$3&lt;EDATE(INDEX('Вводные'!$D$88:$D$91,$B$8),INDEX('Вводные'!$E$88:$E$91,$B$8)+INDEX('Вводные'!$F$88:$F$91,$B$8)+'Вводные'!$H$9),BK24,0)</x:f>
      </x:c>
      <x:c r="BL25" s="107" t="n">
        <x:f>IF(BL$3&lt;EDATE(INDEX('Вводные'!$D$88:$D$91,$B$8),INDEX('Вводные'!$E$88:$E$91,$B$8)+INDEX('Вводные'!$F$88:$F$91,$B$8)+'Вводные'!$H$9),BL24,0)</x:f>
      </x:c>
      <x:c r="BM25" s="107" t="n">
        <x:f>IF(BM$3&lt;EDATE(INDEX('Вводные'!$D$88:$D$91,$B$8),INDEX('Вводные'!$E$88:$E$91,$B$8)+INDEX('Вводные'!$F$88:$F$91,$B$8)+'Вводные'!$H$9),BM24,0)</x:f>
      </x:c>
      <x:c r="BN25" s="107" t="n">
        <x:f>IF(BN$3&lt;EDATE(INDEX('Вводные'!$D$88:$D$91,$B$8),INDEX('Вводные'!$E$88:$E$91,$B$8)+INDEX('Вводные'!$F$88:$F$91,$B$8)+'Вводные'!$H$9),BN24,0)</x:f>
      </x:c>
      <x:c r="BO25" s="107" t="n">
        <x:f>IF(BO$3&lt;EDATE(INDEX('Вводные'!$D$88:$D$91,$B$8),INDEX('Вводные'!$E$88:$E$91,$B$8)+INDEX('Вводные'!$F$88:$F$91,$B$8)+'Вводные'!$H$9),BO24,0)</x:f>
      </x:c>
      <x:c r="BP25" s="107" t="n">
        <x:f>IF(BP$3&lt;EDATE(INDEX('Вводные'!$D$88:$D$91,$B$8),INDEX('Вводные'!$E$88:$E$91,$B$8)+INDEX('Вводные'!$F$88:$F$91,$B$8)+'Вводные'!$H$9),BP24,0)</x:f>
      </x:c>
      <x:c r="BQ25" s="107" t="n">
        <x:f>IF(BQ$3&lt;EDATE(INDEX('Вводные'!$D$88:$D$91,$B$8),INDEX('Вводные'!$E$88:$E$91,$B$8)+INDEX('Вводные'!$F$88:$F$91,$B$8)+'Вводные'!$H$9),BQ24,0)</x:f>
      </x:c>
      <x:c r="BR25" s="107" t="n">
        <x:f>IF(BR$3&lt;EDATE(INDEX('Вводные'!$D$88:$D$91,$B$8),INDEX('Вводные'!$E$88:$E$91,$B$8)+INDEX('Вводные'!$F$88:$F$91,$B$8)+'Вводные'!$H$9),BR24,0)</x:f>
      </x:c>
      <x:c r="BS25" s="107" t="n">
        <x:f>IF(BS$3&lt;EDATE(INDEX('Вводные'!$D$88:$D$91,$B$8),INDEX('Вводные'!$E$88:$E$91,$B$8)+INDEX('Вводные'!$F$88:$F$91,$B$8)+'Вводные'!$H$9),BS24,0)</x:f>
      </x:c>
      <x:c r="BT25" s="107" t="n">
        <x:f>IF(BT$3&lt;EDATE(INDEX('Вводные'!$D$88:$D$91,$B$8),INDEX('Вводные'!$E$88:$E$91,$B$8)+INDEX('Вводные'!$F$88:$F$91,$B$8)+'Вводные'!$H$9),BT24,0)</x:f>
      </x:c>
      <x:c r="BU25" s="107" t="n">
        <x:f>IF(BU$3&lt;EDATE(INDEX('Вводные'!$D$88:$D$91,$B$8),INDEX('Вводные'!$E$88:$E$91,$B$8)+INDEX('Вводные'!$F$88:$F$91,$B$8)+'Вводные'!$H$9),BU24,0)</x:f>
      </x:c>
      <x:c r="BV25" s="107" t="n">
        <x:f>IF(BV$3&lt;EDATE(INDEX('Вводные'!$D$88:$D$91,$B$8),INDEX('Вводные'!$E$88:$E$91,$B$8)+INDEX('Вводные'!$F$88:$F$91,$B$8)+'Вводные'!$H$9),BV24,0)</x:f>
      </x:c>
      <x:c r="BW25" s="107" t="n">
        <x:f>IF(BW$3&lt;EDATE(INDEX('Вводные'!$D$88:$D$91,$B$8),INDEX('Вводные'!$E$88:$E$91,$B$8)+INDEX('Вводные'!$F$88:$F$91,$B$8)+'Вводные'!$H$9),BW24,0)</x:f>
      </x:c>
      <x:c r="BX25" s="107" t="n">
        <x:f>IF(BX$3&lt;EDATE(INDEX('Вводные'!$D$88:$D$91,$B$8),INDEX('Вводные'!$E$88:$E$91,$B$8)+INDEX('Вводные'!$F$88:$F$91,$B$8)+'Вводные'!$H$9),BX24,0)</x:f>
      </x:c>
      <x:c r="BY25" s="107" t="n">
        <x:f>IF(BY$3&lt;EDATE(INDEX('Вводные'!$D$88:$D$91,$B$8),INDEX('Вводные'!$E$88:$E$91,$B$8)+INDEX('Вводные'!$F$88:$F$91,$B$8)+'Вводные'!$H$9),BY24,0)</x:f>
      </x:c>
      <x:c r="BZ25" s="107" t="n">
        <x:f>IF(BZ$3&lt;EDATE(INDEX('Вводные'!$D$88:$D$91,$B$8),INDEX('Вводные'!$E$88:$E$91,$B$8)+INDEX('Вводные'!$F$88:$F$91,$B$8)+'Вводные'!$H$9),BZ24,0)</x:f>
      </x:c>
      <x:c r="CA25" s="107" t="n">
        <x:f>IF(CA$3&lt;EDATE(INDEX('Вводные'!$D$88:$D$91,$B$8),INDEX('Вводные'!$E$88:$E$91,$B$8)+INDEX('Вводные'!$F$88:$F$91,$B$8)+'Вводные'!$H$9),CA24,0)</x:f>
      </x:c>
      <x:c r="CB25" s="107" t="n">
        <x:f>IF(CB$3&lt;EDATE(INDEX('Вводные'!$D$88:$D$91,$B$8),INDEX('Вводные'!$E$88:$E$91,$B$8)+INDEX('Вводные'!$F$88:$F$91,$B$8)+'Вводные'!$H$9),CB24,0)</x:f>
      </x:c>
      <x:c r="CC25" s="107" t="n">
        <x:f>IF(CC$3&lt;EDATE(INDEX('Вводные'!$D$88:$D$91,$B$8),INDEX('Вводные'!$E$88:$E$91,$B$8)+INDEX('Вводные'!$F$88:$F$91,$B$8)+'Вводные'!$H$9),CC24,0)</x:f>
      </x:c>
      <x:c r="CD25" s="107" t="n">
        <x:f>IF(CD$3&lt;EDATE(INDEX('Вводные'!$D$88:$D$91,$B$8),INDEX('Вводные'!$E$88:$E$91,$B$8)+INDEX('Вводные'!$F$88:$F$91,$B$8)+'Вводные'!$H$9),CD24,0)</x:f>
      </x:c>
      <x:c r="CE25" s="107" t="n">
        <x:f>IF(CE$3&lt;EDATE(INDEX('Вводные'!$D$88:$D$91,$B$8),INDEX('Вводные'!$E$88:$E$91,$B$8)+INDEX('Вводные'!$F$88:$F$91,$B$8)+'Вводные'!$H$9),CE24,0)</x:f>
      </x:c>
      <x:c r="CF25" s="107" t="n">
        <x:f>IF(CF$3&lt;EDATE(INDEX('Вводные'!$D$88:$D$91,$B$8),INDEX('Вводные'!$E$88:$E$91,$B$8)+INDEX('Вводные'!$F$88:$F$91,$B$8)+'Вводные'!$H$9),CF24,0)</x:f>
      </x:c>
      <x:c r="CG25" s="107" t="n">
        <x:f>IF(CG$3&lt;EDATE(INDEX('Вводные'!$D$88:$D$91,$B$8),INDEX('Вводные'!$E$88:$E$91,$B$8)+INDEX('Вводные'!$F$88:$F$91,$B$8)+'Вводные'!$H$9),CG24,0)</x:f>
      </x:c>
      <x:c r="CH25" s="107" t="n">
        <x:f>IF(CH$3&lt;EDATE(INDEX('Вводные'!$D$88:$D$91,$B$8),INDEX('Вводные'!$E$88:$E$91,$B$8)+INDEX('Вводные'!$F$88:$F$91,$B$8)+'Вводные'!$H$9),CH24,0)</x:f>
      </x:c>
      <x:c r="CI25" s="107" t="n">
        <x:f>IF(CI$3&lt;EDATE(INDEX('Вводные'!$D$88:$D$91,$B$8),INDEX('Вводные'!$E$88:$E$91,$B$8)+INDEX('Вводные'!$F$88:$F$91,$B$8)+'Вводные'!$H$9),CI24,0)</x:f>
      </x:c>
      <x:c r="CJ25" s="107" t="n">
        <x:f>IF(CJ$3&lt;EDATE(INDEX('Вводные'!$D$88:$D$91,$B$8),INDEX('Вводные'!$E$88:$E$91,$B$8)+INDEX('Вводные'!$F$88:$F$91,$B$8)+'Вводные'!$H$9),CJ24,0)</x:f>
      </x:c>
      <x:c r="CK25" s="107" t="n">
        <x:f>IF(CK$3&lt;EDATE(INDEX('Вводные'!$D$88:$D$91,$B$8),INDEX('Вводные'!$E$88:$E$91,$B$8)+INDEX('Вводные'!$F$88:$F$91,$B$8)+'Вводные'!$H$9),CK24,0)</x:f>
      </x:c>
      <x:c r="CL25" s="107" t="n">
        <x:f>IF(CL$3&lt;EDATE(INDEX('Вводные'!$D$88:$D$91,$B$8),INDEX('Вводные'!$E$88:$E$91,$B$8)+INDEX('Вводные'!$F$88:$F$91,$B$8)+'Вводные'!$H$9),CL24,0)</x:f>
      </x:c>
      <x:c r="CM25" s="107" t="n">
        <x:f>IF(CM$3&lt;EDATE(INDEX('Вводные'!$D$88:$D$91,$B$8),INDEX('Вводные'!$E$88:$E$91,$B$8)+INDEX('Вводные'!$F$88:$F$91,$B$8)+'Вводные'!$H$9),CM24,0)</x:f>
      </x:c>
      <x:c r="CN25" s="107" t="n">
        <x:f>IF(CN$3&lt;EDATE(INDEX('Вводные'!$D$88:$D$91,$B$8),INDEX('Вводные'!$E$88:$E$91,$B$8)+INDEX('Вводные'!$F$88:$F$91,$B$8)+'Вводные'!$H$9),CN24,0)</x:f>
      </x:c>
      <x:c r="CO25" s="107" t="n">
        <x:f>IF(CO$3&lt;EDATE(INDEX('Вводные'!$D$88:$D$91,$B$8),INDEX('Вводные'!$E$88:$E$91,$B$8)+INDEX('Вводные'!$F$88:$F$91,$B$8)+'Вводные'!$H$9),CO24,0)</x:f>
      </x:c>
      <x:c r="CP25" s="107" t="n">
        <x:f>IF(CP$3&lt;EDATE(INDEX('Вводные'!$D$88:$D$91,$B$8),INDEX('Вводные'!$E$88:$E$91,$B$8)+INDEX('Вводные'!$F$88:$F$91,$B$8)+'Вводные'!$H$9),CP24,0)</x:f>
      </x:c>
      <x:c r="CQ25" s="107" t="n">
        <x:f>IF(CQ$3&lt;EDATE(INDEX('Вводные'!$D$88:$D$91,$B$8),INDEX('Вводные'!$E$88:$E$91,$B$8)+INDEX('Вводные'!$F$88:$F$91,$B$8)+'Вводные'!$H$9),CQ24,0)</x:f>
      </x:c>
      <x:c r="CR25" s="107" t="n">
        <x:f>IF(CR$3&lt;EDATE(INDEX('Вводные'!$D$88:$D$91,$B$8),INDEX('Вводные'!$E$88:$E$91,$B$8)+INDEX('Вводные'!$F$88:$F$91,$B$8)+'Вводные'!$H$9),CR24,0)</x:f>
      </x:c>
      <x:c r="CS25" s="107" t="n">
        <x:f>IF(CS$3&lt;EDATE(INDEX('Вводные'!$D$88:$D$91,$B$8),INDEX('Вводные'!$E$88:$E$91,$B$8)+INDEX('Вводные'!$F$88:$F$91,$B$8)+'Вводные'!$H$9),CS24,0)</x:f>
      </x:c>
      <x:c r="CT25" s="107" t="n">
        <x:f>IF(CT$3&lt;EDATE(INDEX('Вводные'!$D$88:$D$91,$B$8),INDEX('Вводные'!$E$88:$E$91,$B$8)+INDEX('Вводные'!$F$88:$F$91,$B$8)+'Вводные'!$H$9),CT24,0)</x:f>
      </x:c>
      <x:c r="CU25" s="107" t="n">
        <x:f>IF(CU$3&lt;EDATE(INDEX('Вводные'!$D$88:$D$91,$B$8),INDEX('Вводные'!$E$88:$E$91,$B$8)+INDEX('Вводные'!$F$88:$F$91,$B$8)+'Вводные'!$H$9),CU24,0)</x:f>
      </x:c>
      <x:c r="CV25" s="107" t="n">
        <x:f>IF(CV$3&lt;EDATE(INDEX('Вводные'!$D$88:$D$91,$B$8),INDEX('Вводные'!$E$88:$E$91,$B$8)+INDEX('Вводные'!$F$88:$F$91,$B$8)+'Вводные'!$H$9),CV24,0)</x:f>
      </x:c>
      <x:c r="CW25" s="107" t="n">
        <x:f>IF(CW$3&lt;EDATE(INDEX('Вводные'!$D$88:$D$91,$B$8),INDEX('Вводные'!$E$88:$E$91,$B$8)+INDEX('Вводные'!$F$88:$F$91,$B$8)+'Вводные'!$H$9),CW24,0)</x:f>
      </x:c>
      <x:c r="CX25" s="107" t="n">
        <x:f>IF(CX$3&lt;EDATE(INDEX('Вводные'!$D$88:$D$91,$B$8),INDEX('Вводные'!$E$88:$E$91,$B$8)+INDEX('Вводные'!$F$88:$F$91,$B$8)+'Вводные'!$H$9),CX24,0)</x:f>
      </x:c>
      <x:c r="CY25" s="107" t="n">
        <x:f>IF(CY$3&lt;EDATE(INDEX('Вводные'!$D$88:$D$91,$B$8),INDEX('Вводные'!$E$88:$E$91,$B$8)+INDEX('Вводные'!$F$88:$F$91,$B$8)+'Вводные'!$H$9),CY24,0)</x:f>
      </x:c>
      <x:c r="CZ25" s="107" t="n">
        <x:f>IF(CZ$3&lt;EDATE(INDEX('Вводные'!$D$88:$D$91,$B$8),INDEX('Вводные'!$E$88:$E$91,$B$8)+INDEX('Вводные'!$F$88:$F$91,$B$8)+'Вводные'!$H$9),CZ24,0)</x:f>
      </x:c>
      <x:c r="DA25" s="107" t="n">
        <x:f>IF(DA$3&lt;EDATE(INDEX('Вводные'!$D$88:$D$91,$B$8),INDEX('Вводные'!$E$88:$E$91,$B$8)+INDEX('Вводные'!$F$88:$F$91,$B$8)+'Вводные'!$H$9),DA24,0)</x:f>
      </x:c>
      <x:c r="DB25" s="107" t="n">
        <x:f>IF(DB$3&lt;EDATE(INDEX('Вводные'!$D$88:$D$91,$B$8),INDEX('Вводные'!$E$88:$E$91,$B$8)+INDEX('Вводные'!$F$88:$F$91,$B$8)+'Вводные'!$H$9),DB24,0)</x:f>
      </x:c>
      <x:c r="DC25" s="107" t="n">
        <x:f>IF(DC$3&lt;EDATE(INDEX('Вводные'!$D$88:$D$91,$B$8),INDEX('Вводные'!$E$88:$E$91,$B$8)+INDEX('Вводные'!$F$88:$F$91,$B$8)+'Вводные'!$H$9),DC24,0)</x:f>
      </x:c>
      <x:c r="DD25" s="107" t="n">
        <x:f>IF(DD$3&lt;EDATE(INDEX('Вводные'!$D$88:$D$91,$B$8),INDEX('Вводные'!$E$88:$E$91,$B$8)+INDEX('Вводные'!$F$88:$F$91,$B$8)+'Вводные'!$H$9),DD24,0)</x:f>
      </x:c>
      <x:c r="DE25" s="107" t="n">
        <x:f>IF(DE$3&lt;EDATE(INDEX('Вводные'!$D$88:$D$91,$B$8),INDEX('Вводные'!$E$88:$E$91,$B$8)+INDEX('Вводные'!$F$88:$F$91,$B$8)+'Вводные'!$H$9),DE24,0)</x:f>
      </x:c>
      <x:c r="DF25" s="107" t="n">
        <x:f>IF(DF$3&lt;EDATE(INDEX('Вводные'!$D$88:$D$91,$B$8),INDEX('Вводные'!$E$88:$E$91,$B$8)+INDEX('Вводные'!$F$88:$F$91,$B$8)+'Вводные'!$H$9),DF24,0)</x:f>
      </x:c>
      <x:c r="DG25" s="107" t="n">
        <x:f>IF(DG$3&lt;EDATE(INDEX('Вводные'!$D$88:$D$91,$B$8),INDEX('Вводные'!$E$88:$E$91,$B$8)+INDEX('Вводные'!$F$88:$F$91,$B$8)+'Вводные'!$H$9),DG24,0)</x:f>
      </x:c>
      <x:c r="DH25" s="107" t="n">
        <x:f>IF(DH$3&lt;EDATE(INDEX('Вводные'!$D$88:$D$91,$B$8),INDEX('Вводные'!$E$88:$E$91,$B$8)+INDEX('Вводные'!$F$88:$F$91,$B$8)+'Вводные'!$H$9),DH24,0)</x:f>
      </x:c>
      <x:c r="DI25" s="107" t="n">
        <x:f>IF(DI$3&lt;EDATE(INDEX('Вводные'!$D$88:$D$91,$B$8),INDEX('Вводные'!$E$88:$E$91,$B$8)+INDEX('Вводные'!$F$88:$F$91,$B$8)+'Вводные'!$H$9),DI24,0)</x:f>
      </x:c>
      <x:c r="DJ25" s="107" t="n">
        <x:f>IF(DJ$3&lt;EDATE(INDEX('Вводные'!$D$88:$D$91,$B$8),INDEX('Вводные'!$E$88:$E$91,$B$8)+INDEX('Вводные'!$F$88:$F$91,$B$8)+'Вводные'!$H$9),DJ24,0)</x:f>
      </x:c>
      <x:c r="DK25" s="107" t="n">
        <x:f>IF(DK$3&lt;EDATE(INDEX('Вводные'!$D$88:$D$91,$B$8),INDEX('Вводные'!$E$88:$E$91,$B$8)+INDEX('Вводные'!$F$88:$F$91,$B$8)+'Вводные'!$H$9),DK24,0)</x:f>
      </x:c>
      <x:c r="DL25" s="107" t="n">
        <x:f>IF(DL$3&lt;EDATE(INDEX('Вводные'!$D$88:$D$91,$B$8),INDEX('Вводные'!$E$88:$E$91,$B$8)+INDEX('Вводные'!$F$88:$F$91,$B$8)+'Вводные'!$H$9),DL24,0)</x:f>
      </x:c>
      <x:c r="DM25" s="107" t="n">
        <x:f>IF(DM$3&lt;EDATE(INDEX('Вводные'!$D$88:$D$91,$B$8),INDEX('Вводные'!$E$88:$E$91,$B$8)+INDEX('Вводные'!$F$88:$F$91,$B$8)+'Вводные'!$H$9),DM24,0)</x:f>
      </x:c>
      <x:c r="DN25" s="107" t="n">
        <x:f>IF(DN$3&lt;EDATE(INDEX('Вводные'!$D$88:$D$91,$B$8),INDEX('Вводные'!$E$88:$E$91,$B$8)+INDEX('Вводные'!$F$88:$F$91,$B$8)+'Вводные'!$H$9),DN24,0)</x:f>
      </x:c>
      <x:c r="DO25" s="107" t="n">
        <x:f>IF(DO$3&lt;EDATE(INDEX('Вводные'!$D$88:$D$91,$B$8),INDEX('Вводные'!$E$88:$E$91,$B$8)+INDEX('Вводные'!$F$88:$F$91,$B$8)+'Вводные'!$H$9),DO24,0)</x:f>
      </x:c>
      <x:c r="DP25" s="107" t="n">
        <x:f>IF(DP$3&lt;EDATE(INDEX('Вводные'!$D$88:$D$91,$B$8),INDEX('Вводные'!$E$88:$E$91,$B$8)+INDEX('Вводные'!$F$88:$F$91,$B$8)+'Вводные'!$H$9),DP24,0)</x:f>
      </x:c>
      <x:c r="DQ25" s="107" t="n">
        <x:f>IF(DQ$3&lt;EDATE(INDEX('Вводные'!$D$88:$D$91,$B$8),INDEX('Вводные'!$E$88:$E$91,$B$8)+INDEX('Вводные'!$F$88:$F$91,$B$8)+'Вводные'!$H$9),DQ24,0)</x:f>
      </x:c>
      <x:c r="DR25" s="107" t="n">
        <x:f>IF(DR$3&lt;EDATE(INDEX('Вводные'!$D$88:$D$91,$B$8),INDEX('Вводные'!$E$88:$E$91,$B$8)+INDEX('Вводные'!$F$88:$F$91,$B$8)+'Вводные'!$H$9),DR24,0)</x:f>
      </x:c>
      <x:c r="DS25" s="107" t="n">
        <x:f>IF(DS$3&lt;EDATE(INDEX('Вводные'!$D$88:$D$91,$B$8),INDEX('Вводные'!$E$88:$E$91,$B$8)+INDEX('Вводные'!$F$88:$F$91,$B$8)+'Вводные'!$H$9),DS24,0)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IF(D$3&gt;=EDATE(INDEX('Вводные'!$D$88:$D$91,$B$8),INDEX('Вводные'!$E$88:$E$91,$B$8)+INDEX('Вводные'!$F$88:$F$91,$B$8)+'Вводные'!$H$9),D24,0)</x:f>
      </x:c>
      <x:c r="E26" s="107" t="n">
        <x:f>IF(E$3&gt;=EDATE(INDEX('Вводные'!$D$88:$D$91,$B$8),INDEX('Вводные'!$E$88:$E$91,$B$8)+INDEX('Вводные'!$F$88:$F$91,$B$8)+'Вводные'!$H$9),E24,0)</x:f>
      </x:c>
      <x:c r="F26" s="107" t="n">
        <x:f>IF(F$3&gt;=EDATE(INDEX('Вводные'!$D$88:$D$91,$B$8),INDEX('Вводные'!$E$88:$E$91,$B$8)+INDEX('Вводные'!$F$88:$F$91,$B$8)+'Вводные'!$H$9),F24,0)</x:f>
      </x:c>
      <x:c r="G26" s="107" t="n">
        <x:f>IF(G$3&gt;=EDATE(INDEX('Вводные'!$D$88:$D$91,$B$8),INDEX('Вводные'!$E$88:$E$91,$B$8)+INDEX('Вводные'!$F$88:$F$91,$B$8)+'Вводные'!$H$9),G24,0)</x:f>
      </x:c>
      <x:c r="H26" s="107" t="n">
        <x:f>IF(H$3&gt;=EDATE(INDEX('Вводные'!$D$88:$D$91,$B$8),INDEX('Вводные'!$E$88:$E$91,$B$8)+INDEX('Вводные'!$F$88:$F$91,$B$8)+'Вводные'!$H$9),H24,0)</x:f>
      </x:c>
      <x:c r="I26" s="107" t="n">
        <x:f>IF(I$3&gt;=EDATE(INDEX('Вводные'!$D$88:$D$91,$B$8),INDEX('Вводные'!$E$88:$E$91,$B$8)+INDEX('Вводные'!$F$88:$F$91,$B$8)+'Вводные'!$H$9),I24,0)</x:f>
      </x:c>
      <x:c r="J26" s="107" t="n">
        <x:f>IF(J$3&gt;=EDATE(INDEX('Вводные'!$D$88:$D$91,$B$8),INDEX('Вводные'!$E$88:$E$91,$B$8)+INDEX('Вводные'!$F$88:$F$91,$B$8)+'Вводные'!$H$9),J24,0)</x:f>
      </x:c>
      <x:c r="K26" s="107" t="n">
        <x:f>IF(K$3&gt;=EDATE(INDEX('Вводные'!$D$88:$D$91,$B$8),INDEX('Вводные'!$E$88:$E$91,$B$8)+INDEX('Вводные'!$F$88:$F$91,$B$8)+'Вводные'!$H$9),K24,0)</x:f>
      </x:c>
      <x:c r="L26" s="107" t="n">
        <x:f>IF(L$3&gt;=EDATE(INDEX('Вводные'!$D$88:$D$91,$B$8),INDEX('Вводные'!$E$88:$E$91,$B$8)+INDEX('Вводные'!$F$88:$F$91,$B$8)+'Вводные'!$H$9),L24,0)</x:f>
      </x:c>
      <x:c r="M26" s="107" t="n">
        <x:f>IF(M$3&gt;=EDATE(INDEX('Вводные'!$D$88:$D$91,$B$8),INDEX('Вводные'!$E$88:$E$91,$B$8)+INDEX('Вводные'!$F$88:$F$91,$B$8)+'Вводные'!$H$9),M24,0)</x:f>
      </x:c>
      <x:c r="N26" s="107" t="n">
        <x:f>IF(N$3&gt;=EDATE(INDEX('Вводные'!$D$88:$D$91,$B$8),INDEX('Вводные'!$E$88:$E$91,$B$8)+INDEX('Вводные'!$F$88:$F$91,$B$8)+'Вводные'!$H$9),N24,0)</x:f>
      </x:c>
      <x:c r="O26" s="107" t="n">
        <x:f>IF(O$3&gt;=EDATE(INDEX('Вводные'!$D$88:$D$91,$B$8),INDEX('Вводные'!$E$88:$E$91,$B$8)+INDEX('Вводные'!$F$88:$F$91,$B$8)+'Вводные'!$H$9),O24,0)</x:f>
      </x:c>
      <x:c r="P26" s="107" t="n">
        <x:f>IF(P$3&gt;=EDATE(INDEX('Вводные'!$D$88:$D$91,$B$8),INDEX('Вводные'!$E$88:$E$91,$B$8)+INDEX('Вводные'!$F$88:$F$91,$B$8)+'Вводные'!$H$9),P24,0)</x:f>
      </x:c>
      <x:c r="Q26" s="107" t="n">
        <x:f>IF(Q$3&gt;=EDATE(INDEX('Вводные'!$D$88:$D$91,$B$8),INDEX('Вводные'!$E$88:$E$91,$B$8)+INDEX('Вводные'!$F$88:$F$91,$B$8)+'Вводные'!$H$9),Q24,0)</x:f>
      </x:c>
      <x:c r="R26" s="107" t="n">
        <x:f>IF(R$3&gt;=EDATE(INDEX('Вводные'!$D$88:$D$91,$B$8),INDEX('Вводные'!$E$88:$E$91,$B$8)+INDEX('Вводные'!$F$88:$F$91,$B$8)+'Вводные'!$H$9),R24,0)</x:f>
      </x:c>
      <x:c r="S26" s="107" t="n">
        <x:f>IF(S$3&gt;=EDATE(INDEX('Вводные'!$D$88:$D$91,$B$8),INDEX('Вводные'!$E$88:$E$91,$B$8)+INDEX('Вводные'!$F$88:$F$91,$B$8)+'Вводные'!$H$9),S24,0)</x:f>
      </x:c>
      <x:c r="T26" s="107" t="n">
        <x:f>IF(T$3&gt;=EDATE(INDEX('Вводные'!$D$88:$D$91,$B$8),INDEX('Вводные'!$E$88:$E$91,$B$8)+INDEX('Вводные'!$F$88:$F$91,$B$8)+'Вводные'!$H$9),T24,0)</x:f>
      </x:c>
      <x:c r="U26" s="107" t="n">
        <x:f>IF(U$3&gt;=EDATE(INDEX('Вводные'!$D$88:$D$91,$B$8),INDEX('Вводные'!$E$88:$E$91,$B$8)+INDEX('Вводные'!$F$88:$F$91,$B$8)+'Вводные'!$H$9),U24,0)</x:f>
      </x:c>
      <x:c r="V26" s="107" t="n">
        <x:f>IF(V$3&gt;=EDATE(INDEX('Вводные'!$D$88:$D$91,$B$8),INDEX('Вводные'!$E$88:$E$91,$B$8)+INDEX('Вводные'!$F$88:$F$91,$B$8)+'Вводные'!$H$9),V24,0)</x:f>
      </x:c>
      <x:c r="W26" s="107" t="n">
        <x:f>IF(W$3&gt;=EDATE(INDEX('Вводные'!$D$88:$D$91,$B$8),INDEX('Вводные'!$E$88:$E$91,$B$8)+INDEX('Вводные'!$F$88:$F$91,$B$8)+'Вводные'!$H$9),W24,0)</x:f>
      </x:c>
      <x:c r="X26" s="107" t="n">
        <x:f>IF(X$3&gt;=EDATE(INDEX('Вводные'!$D$88:$D$91,$B$8),INDEX('Вводные'!$E$88:$E$91,$B$8)+INDEX('Вводные'!$F$88:$F$91,$B$8)+'Вводные'!$H$9),X24,0)</x:f>
      </x:c>
      <x:c r="Y26" s="107" t="n">
        <x:f>IF(Y$3&gt;=EDATE(INDEX('Вводные'!$D$88:$D$91,$B$8),INDEX('Вводные'!$E$88:$E$91,$B$8)+INDEX('Вводные'!$F$88:$F$91,$B$8)+'Вводные'!$H$9),Y24,0)</x:f>
      </x:c>
      <x:c r="Z26" s="107" t="n">
        <x:f>IF(Z$3&gt;=EDATE(INDEX('Вводные'!$D$88:$D$91,$B$8),INDEX('Вводные'!$E$88:$E$91,$B$8)+INDEX('Вводные'!$F$88:$F$91,$B$8)+'Вводные'!$H$9),Z24,0)</x:f>
      </x:c>
      <x:c r="AA26" s="107" t="n">
        <x:f>IF(AA$3&gt;=EDATE(INDEX('Вводные'!$D$88:$D$91,$B$8),INDEX('Вводные'!$E$88:$E$91,$B$8)+INDEX('Вводные'!$F$88:$F$91,$B$8)+'Вводные'!$H$9),AA24,0)</x:f>
      </x:c>
      <x:c r="AB26" s="107" t="n">
        <x:f>IF(AB$3&gt;=EDATE(INDEX('Вводные'!$D$88:$D$91,$B$8),INDEX('Вводные'!$E$88:$E$91,$B$8)+INDEX('Вводные'!$F$88:$F$91,$B$8)+'Вводные'!$H$9),AB24,0)</x:f>
      </x:c>
      <x:c r="AC26" s="107" t="n">
        <x:f>IF(AC$3&gt;=EDATE(INDEX('Вводные'!$D$88:$D$91,$B$8),INDEX('Вводные'!$E$88:$E$91,$B$8)+INDEX('Вводные'!$F$88:$F$91,$B$8)+'Вводные'!$H$9),AC24,0)</x:f>
      </x:c>
      <x:c r="AD26" s="107" t="n">
        <x:f>IF(AD$3&gt;=EDATE(INDEX('Вводные'!$D$88:$D$91,$B$8),INDEX('Вводные'!$E$88:$E$91,$B$8)+INDEX('Вводные'!$F$88:$F$91,$B$8)+'Вводные'!$H$9),AD24,0)</x:f>
      </x:c>
      <x:c r="AE26" s="107" t="n">
        <x:f>IF(AE$3&gt;=EDATE(INDEX('Вводные'!$D$88:$D$91,$B$8),INDEX('Вводные'!$E$88:$E$91,$B$8)+INDEX('Вводные'!$F$88:$F$91,$B$8)+'Вводные'!$H$9),AE24,0)</x:f>
      </x:c>
      <x:c r="AF26" s="107" t="n">
        <x:f>IF(AF$3&gt;=EDATE(INDEX('Вводные'!$D$88:$D$91,$B$8),INDEX('Вводные'!$E$88:$E$91,$B$8)+INDEX('Вводные'!$F$88:$F$91,$B$8)+'Вводные'!$H$9),AF24,0)</x:f>
      </x:c>
      <x:c r="AG26" s="107" t="n">
        <x:f>IF(AG$3&gt;=EDATE(INDEX('Вводные'!$D$88:$D$91,$B$8),INDEX('Вводные'!$E$88:$E$91,$B$8)+INDEX('Вводные'!$F$88:$F$91,$B$8)+'Вводные'!$H$9),AG24,0)</x:f>
      </x:c>
      <x:c r="AH26" s="107" t="n">
        <x:f>IF(AH$3&gt;=EDATE(INDEX('Вводные'!$D$88:$D$91,$B$8),INDEX('Вводные'!$E$88:$E$91,$B$8)+INDEX('Вводные'!$F$88:$F$91,$B$8)+'Вводные'!$H$9),AH24,0)</x:f>
      </x:c>
      <x:c r="AI26" s="107" t="n">
        <x:f>IF(AI$3&gt;=EDATE(INDEX('Вводные'!$D$88:$D$91,$B$8),INDEX('Вводные'!$E$88:$E$91,$B$8)+INDEX('Вводные'!$F$88:$F$91,$B$8)+'Вводные'!$H$9),AI24,0)</x:f>
      </x:c>
      <x:c r="AJ26" s="107" t="n">
        <x:f>IF(AJ$3&gt;=EDATE(INDEX('Вводные'!$D$88:$D$91,$B$8),INDEX('Вводные'!$E$88:$E$91,$B$8)+INDEX('Вводные'!$F$88:$F$91,$B$8)+'Вводные'!$H$9),AJ24,0)</x:f>
      </x:c>
      <x:c r="AK26" s="107" t="n">
        <x:f>IF(AK$3&gt;=EDATE(INDEX('Вводные'!$D$88:$D$91,$B$8),INDEX('Вводные'!$E$88:$E$91,$B$8)+INDEX('Вводные'!$F$88:$F$91,$B$8)+'Вводные'!$H$9),AK24,0)</x:f>
      </x:c>
      <x:c r="AL26" s="107" t="n">
        <x:f>IF(AL$3&gt;=EDATE(INDEX('Вводные'!$D$88:$D$91,$B$8),INDEX('Вводные'!$E$88:$E$91,$B$8)+INDEX('Вводные'!$F$88:$F$91,$B$8)+'Вводные'!$H$9),AL24,0)</x:f>
      </x:c>
      <x:c r="AM26" s="107" t="n">
        <x:f>IF(AM$3&gt;=EDATE(INDEX('Вводные'!$D$88:$D$91,$B$8),INDEX('Вводные'!$E$88:$E$91,$B$8)+INDEX('Вводные'!$F$88:$F$91,$B$8)+'Вводные'!$H$9),AM24,0)</x:f>
      </x:c>
      <x:c r="AN26" s="107" t="n">
        <x:f>IF(AN$3&gt;=EDATE(INDEX('Вводные'!$D$88:$D$91,$B$8),INDEX('Вводные'!$E$88:$E$91,$B$8)+INDEX('Вводные'!$F$88:$F$91,$B$8)+'Вводные'!$H$9),AN24,0)</x:f>
      </x:c>
      <x:c r="AO26" s="107" t="n">
        <x:f>IF(AO$3&gt;=EDATE(INDEX('Вводные'!$D$88:$D$91,$B$8),INDEX('Вводные'!$E$88:$E$91,$B$8)+INDEX('Вводные'!$F$88:$F$91,$B$8)+'Вводные'!$H$9),AO24,0)</x:f>
      </x:c>
      <x:c r="AP26" s="107" t="n">
        <x:f>IF(AP$3&gt;=EDATE(INDEX('Вводные'!$D$88:$D$91,$B$8),INDEX('Вводные'!$E$88:$E$91,$B$8)+INDEX('Вводные'!$F$88:$F$91,$B$8)+'Вводные'!$H$9),AP24,0)</x:f>
      </x:c>
      <x:c r="AQ26" s="107" t="n">
        <x:f>IF(AQ$3&gt;=EDATE(INDEX('Вводные'!$D$88:$D$91,$B$8),INDEX('Вводные'!$E$88:$E$91,$B$8)+INDEX('Вводные'!$F$88:$F$91,$B$8)+'Вводные'!$H$9),AQ24,0)</x:f>
      </x:c>
      <x:c r="AR26" s="107" t="n">
        <x:f>IF(AR$3&gt;=EDATE(INDEX('Вводные'!$D$88:$D$91,$B$8),INDEX('Вводные'!$E$88:$E$91,$B$8)+INDEX('Вводные'!$F$88:$F$91,$B$8)+'Вводные'!$H$9),AR24,0)</x:f>
      </x:c>
      <x:c r="AS26" s="107" t="n">
        <x:f>IF(AS$3&gt;=EDATE(INDEX('Вводные'!$D$88:$D$91,$B$8),INDEX('Вводные'!$E$88:$E$91,$B$8)+INDEX('Вводные'!$F$88:$F$91,$B$8)+'Вводные'!$H$9),AS24,0)</x:f>
      </x:c>
      <x:c r="AT26" s="107" t="n">
        <x:f>IF(AT$3&gt;=EDATE(INDEX('Вводные'!$D$88:$D$91,$B$8),INDEX('Вводные'!$E$88:$E$91,$B$8)+INDEX('Вводные'!$F$88:$F$91,$B$8)+'Вводные'!$H$9),AT24,0)</x:f>
      </x:c>
      <x:c r="AU26" s="107" t="n">
        <x:f>IF(AU$3&gt;=EDATE(INDEX('Вводные'!$D$88:$D$91,$B$8),INDEX('Вводные'!$E$88:$E$91,$B$8)+INDEX('Вводные'!$F$88:$F$91,$B$8)+'Вводные'!$H$9),AU24,0)</x:f>
      </x:c>
      <x:c r="AV26" s="107" t="n">
        <x:f>IF(AV$3&gt;=EDATE(INDEX('Вводные'!$D$88:$D$91,$B$8),INDEX('Вводные'!$E$88:$E$91,$B$8)+INDEX('Вводные'!$F$88:$F$91,$B$8)+'Вводные'!$H$9),AV24,0)</x:f>
      </x:c>
      <x:c r="AW26" s="107" t="n">
        <x:f>IF(AW$3&gt;=EDATE(INDEX('Вводные'!$D$88:$D$91,$B$8),INDEX('Вводные'!$E$88:$E$91,$B$8)+INDEX('Вводные'!$F$88:$F$91,$B$8)+'Вводные'!$H$9),AW24,0)</x:f>
      </x:c>
      <x:c r="AX26" s="107" t="n">
        <x:f>IF(AX$3&gt;=EDATE(INDEX('Вводные'!$D$88:$D$91,$B$8),INDEX('Вводные'!$E$88:$E$91,$B$8)+INDEX('Вводные'!$F$88:$F$91,$B$8)+'Вводные'!$H$9),AX24,0)</x:f>
      </x:c>
      <x:c r="AY26" s="107" t="n">
        <x:f>IF(AY$3&gt;=EDATE(INDEX('Вводные'!$D$88:$D$91,$B$8),INDEX('Вводные'!$E$88:$E$91,$B$8)+INDEX('Вводные'!$F$88:$F$91,$B$8)+'Вводные'!$H$9),AY24,0)</x:f>
      </x:c>
      <x:c r="AZ26" s="107" t="n">
        <x:f>IF(AZ$3&gt;=EDATE(INDEX('Вводные'!$D$88:$D$91,$B$8),INDEX('Вводные'!$E$88:$E$91,$B$8)+INDEX('Вводные'!$F$88:$F$91,$B$8)+'Вводные'!$H$9),AZ24,0)</x:f>
      </x:c>
      <x:c r="BA26" s="107" t="n">
        <x:f>IF(BA$3&gt;=EDATE(INDEX('Вводные'!$D$88:$D$91,$B$8),INDEX('Вводные'!$E$88:$E$91,$B$8)+INDEX('Вводные'!$F$88:$F$91,$B$8)+'Вводные'!$H$9),BA24,0)</x:f>
      </x:c>
      <x:c r="BB26" s="107" t="n">
        <x:f>IF(BB$3&gt;=EDATE(INDEX('Вводные'!$D$88:$D$91,$B$8),INDEX('Вводные'!$E$88:$E$91,$B$8)+INDEX('Вводные'!$F$88:$F$91,$B$8)+'Вводные'!$H$9),BB24,0)</x:f>
      </x:c>
      <x:c r="BC26" s="107" t="n">
        <x:f>IF(BC$3&gt;=EDATE(INDEX('Вводные'!$D$88:$D$91,$B$8),INDEX('Вводные'!$E$88:$E$91,$B$8)+INDEX('Вводные'!$F$88:$F$91,$B$8)+'Вводные'!$H$9),BC24,0)</x:f>
      </x:c>
      <x:c r="BD26" s="107" t="n">
        <x:f>IF(BD$3&gt;=EDATE(INDEX('Вводные'!$D$88:$D$91,$B$8),INDEX('Вводные'!$E$88:$E$91,$B$8)+INDEX('Вводные'!$F$88:$F$91,$B$8)+'Вводные'!$H$9),BD24,0)</x:f>
      </x:c>
      <x:c r="BE26" s="107" t="n">
        <x:f>IF(BE$3&gt;=EDATE(INDEX('Вводные'!$D$88:$D$91,$B$8),INDEX('Вводные'!$E$88:$E$91,$B$8)+INDEX('Вводные'!$F$88:$F$91,$B$8)+'Вводные'!$H$9),BE24,0)</x:f>
      </x:c>
      <x:c r="BF26" s="107" t="n">
        <x:f>IF(BF$3&gt;=EDATE(INDEX('Вводные'!$D$88:$D$91,$B$8),INDEX('Вводные'!$E$88:$E$91,$B$8)+INDEX('Вводные'!$F$88:$F$91,$B$8)+'Вводные'!$H$9),BF24,0)</x:f>
      </x:c>
      <x:c r="BG26" s="107" t="n">
        <x:f>IF(BG$3&gt;=EDATE(INDEX('Вводные'!$D$88:$D$91,$B$8),INDEX('Вводные'!$E$88:$E$91,$B$8)+INDEX('Вводные'!$F$88:$F$91,$B$8)+'Вводные'!$H$9),BG24,0)</x:f>
      </x:c>
      <x:c r="BH26" s="107" t="n">
        <x:f>IF(BH$3&gt;=EDATE(INDEX('Вводные'!$D$88:$D$91,$B$8),INDEX('Вводные'!$E$88:$E$91,$B$8)+INDEX('Вводные'!$F$88:$F$91,$B$8)+'Вводные'!$H$9),BH24,0)</x:f>
      </x:c>
      <x:c r="BI26" s="107" t="n">
        <x:f>IF(BI$3&gt;=EDATE(INDEX('Вводные'!$D$88:$D$91,$B$8),INDEX('Вводные'!$E$88:$E$91,$B$8)+INDEX('Вводные'!$F$88:$F$91,$B$8)+'Вводные'!$H$9),BI24,0)</x:f>
      </x:c>
      <x:c r="BJ26" s="107" t="n">
        <x:f>IF(BJ$3&gt;=EDATE(INDEX('Вводные'!$D$88:$D$91,$B$8),INDEX('Вводные'!$E$88:$E$91,$B$8)+INDEX('Вводные'!$F$88:$F$91,$B$8)+'Вводные'!$H$9),BJ24,0)</x:f>
      </x:c>
      <x:c r="BK26" s="107" t="n">
        <x:f>IF(BK$3&gt;=EDATE(INDEX('Вводные'!$D$88:$D$91,$B$8),INDEX('Вводные'!$E$88:$E$91,$B$8)+INDEX('Вводные'!$F$88:$F$91,$B$8)+'Вводные'!$H$9),BK24,0)</x:f>
      </x:c>
      <x:c r="BL26" s="107" t="n">
        <x:f>IF(BL$3&gt;=EDATE(INDEX('Вводные'!$D$88:$D$91,$B$8),INDEX('Вводные'!$E$88:$E$91,$B$8)+INDEX('Вводные'!$F$88:$F$91,$B$8)+'Вводные'!$H$9),BL24,0)</x:f>
      </x:c>
      <x:c r="BM26" s="107" t="n">
        <x:f>IF(BM$3&gt;=EDATE(INDEX('Вводные'!$D$88:$D$91,$B$8),INDEX('Вводные'!$E$88:$E$91,$B$8)+INDEX('Вводные'!$F$88:$F$91,$B$8)+'Вводные'!$H$9),BM24,0)</x:f>
      </x:c>
      <x:c r="BN26" s="107" t="n">
        <x:f>IF(BN$3&gt;=EDATE(INDEX('Вводные'!$D$88:$D$91,$B$8),INDEX('Вводные'!$E$88:$E$91,$B$8)+INDEX('Вводные'!$F$88:$F$91,$B$8)+'Вводные'!$H$9),BN24,0)</x:f>
      </x:c>
      <x:c r="BO26" s="107" t="n">
        <x:f>IF(BO$3&gt;=EDATE(INDEX('Вводные'!$D$88:$D$91,$B$8),INDEX('Вводные'!$E$88:$E$91,$B$8)+INDEX('Вводные'!$F$88:$F$91,$B$8)+'Вводные'!$H$9),BO24,0)</x:f>
      </x:c>
      <x:c r="BP26" s="107" t="n">
        <x:f>IF(BP$3&gt;=EDATE(INDEX('Вводные'!$D$88:$D$91,$B$8),INDEX('Вводные'!$E$88:$E$91,$B$8)+INDEX('Вводные'!$F$88:$F$91,$B$8)+'Вводные'!$H$9),BP24,0)</x:f>
      </x:c>
      <x:c r="BQ26" s="107" t="n">
        <x:f>IF(BQ$3&gt;=EDATE(INDEX('Вводные'!$D$88:$D$91,$B$8),INDEX('Вводные'!$E$88:$E$91,$B$8)+INDEX('Вводные'!$F$88:$F$91,$B$8)+'Вводные'!$H$9),BQ24,0)</x:f>
      </x:c>
      <x:c r="BR26" s="107" t="n">
        <x:f>IF(BR$3&gt;=EDATE(INDEX('Вводные'!$D$88:$D$91,$B$8),INDEX('Вводные'!$E$88:$E$91,$B$8)+INDEX('Вводные'!$F$88:$F$91,$B$8)+'Вводные'!$H$9),BR24,0)</x:f>
      </x:c>
      <x:c r="BS26" s="107" t="n">
        <x:f>IF(BS$3&gt;=EDATE(INDEX('Вводные'!$D$88:$D$91,$B$8),INDEX('Вводные'!$E$88:$E$91,$B$8)+INDEX('Вводные'!$F$88:$F$91,$B$8)+'Вводные'!$H$9),BS24,0)</x:f>
      </x:c>
      <x:c r="BT26" s="107" t="n">
        <x:f>IF(BT$3&gt;=EDATE(INDEX('Вводные'!$D$88:$D$91,$B$8),INDEX('Вводные'!$E$88:$E$91,$B$8)+INDEX('Вводные'!$F$88:$F$91,$B$8)+'Вводные'!$H$9),BT24,0)</x:f>
      </x:c>
      <x:c r="BU26" s="107" t="n">
        <x:f>IF(BU$3&gt;=EDATE(INDEX('Вводные'!$D$88:$D$91,$B$8),INDEX('Вводные'!$E$88:$E$91,$B$8)+INDEX('Вводные'!$F$88:$F$91,$B$8)+'Вводные'!$H$9),BU24,0)</x:f>
      </x:c>
      <x:c r="BV26" s="107" t="n">
        <x:f>IF(BV$3&gt;=EDATE(INDEX('Вводные'!$D$88:$D$91,$B$8),INDEX('Вводные'!$E$88:$E$91,$B$8)+INDEX('Вводные'!$F$88:$F$91,$B$8)+'Вводные'!$H$9),BV24,0)</x:f>
      </x:c>
      <x:c r="BW26" s="107" t="n">
        <x:f>IF(BW$3&gt;=EDATE(INDEX('Вводные'!$D$88:$D$91,$B$8),INDEX('Вводные'!$E$88:$E$91,$B$8)+INDEX('Вводные'!$F$88:$F$91,$B$8)+'Вводные'!$H$9),BW24,0)</x:f>
      </x:c>
      <x:c r="BX26" s="107" t="n">
        <x:f>IF(BX$3&gt;=EDATE(INDEX('Вводные'!$D$88:$D$91,$B$8),INDEX('Вводные'!$E$88:$E$91,$B$8)+INDEX('Вводные'!$F$88:$F$91,$B$8)+'Вводные'!$H$9),BX24,0)</x:f>
      </x:c>
      <x:c r="BY26" s="107" t="n">
        <x:f>IF(BY$3&gt;=EDATE(INDEX('Вводные'!$D$88:$D$91,$B$8),INDEX('Вводные'!$E$88:$E$91,$B$8)+INDEX('Вводные'!$F$88:$F$91,$B$8)+'Вводные'!$H$9),BY24,0)</x:f>
      </x:c>
      <x:c r="BZ26" s="107" t="n">
        <x:f>IF(BZ$3&gt;=EDATE(INDEX('Вводные'!$D$88:$D$91,$B$8),INDEX('Вводные'!$E$88:$E$91,$B$8)+INDEX('Вводные'!$F$88:$F$91,$B$8)+'Вводные'!$H$9),BZ24,0)</x:f>
      </x:c>
      <x:c r="CA26" s="107" t="n">
        <x:f>IF(CA$3&gt;=EDATE(INDEX('Вводные'!$D$88:$D$91,$B$8),INDEX('Вводные'!$E$88:$E$91,$B$8)+INDEX('Вводные'!$F$88:$F$91,$B$8)+'Вводные'!$H$9),CA24,0)</x:f>
      </x:c>
      <x:c r="CB26" s="107" t="n">
        <x:f>IF(CB$3&gt;=EDATE(INDEX('Вводные'!$D$88:$D$91,$B$8),INDEX('Вводные'!$E$88:$E$91,$B$8)+INDEX('Вводные'!$F$88:$F$91,$B$8)+'Вводные'!$H$9),CB24,0)</x:f>
      </x:c>
      <x:c r="CC26" s="107" t="n">
        <x:f>IF(CC$3&gt;=EDATE(INDEX('Вводные'!$D$88:$D$91,$B$8),INDEX('Вводные'!$E$88:$E$91,$B$8)+INDEX('Вводные'!$F$88:$F$91,$B$8)+'Вводные'!$H$9),CC24,0)</x:f>
      </x:c>
      <x:c r="CD26" s="107" t="n">
        <x:f>IF(CD$3&gt;=EDATE(INDEX('Вводные'!$D$88:$D$91,$B$8),INDEX('Вводные'!$E$88:$E$91,$B$8)+INDEX('Вводные'!$F$88:$F$91,$B$8)+'Вводные'!$H$9),CD24,0)</x:f>
      </x:c>
      <x:c r="CE26" s="107" t="n">
        <x:f>IF(CE$3&gt;=EDATE(INDEX('Вводные'!$D$88:$D$91,$B$8),INDEX('Вводные'!$E$88:$E$91,$B$8)+INDEX('Вводные'!$F$88:$F$91,$B$8)+'Вводные'!$H$9),CE24,0)</x:f>
      </x:c>
      <x:c r="CF26" s="107" t="n">
        <x:f>IF(CF$3&gt;=EDATE(INDEX('Вводные'!$D$88:$D$91,$B$8),INDEX('Вводные'!$E$88:$E$91,$B$8)+INDEX('Вводные'!$F$88:$F$91,$B$8)+'Вводные'!$H$9),CF24,0)</x:f>
      </x:c>
      <x:c r="CG26" s="107" t="n">
        <x:f>IF(CG$3&gt;=EDATE(INDEX('Вводные'!$D$88:$D$91,$B$8),INDEX('Вводные'!$E$88:$E$91,$B$8)+INDEX('Вводные'!$F$88:$F$91,$B$8)+'Вводные'!$H$9),CG24,0)</x:f>
      </x:c>
      <x:c r="CH26" s="107" t="n">
        <x:f>IF(CH$3&gt;=EDATE(INDEX('Вводные'!$D$88:$D$91,$B$8),INDEX('Вводные'!$E$88:$E$91,$B$8)+INDEX('Вводные'!$F$88:$F$91,$B$8)+'Вводные'!$H$9),CH24,0)</x:f>
      </x:c>
      <x:c r="CI26" s="107" t="n">
        <x:f>IF(CI$3&gt;=EDATE(INDEX('Вводные'!$D$88:$D$91,$B$8),INDEX('Вводные'!$E$88:$E$91,$B$8)+INDEX('Вводные'!$F$88:$F$91,$B$8)+'Вводные'!$H$9),CI24,0)</x:f>
      </x:c>
      <x:c r="CJ26" s="107" t="n">
        <x:f>IF(CJ$3&gt;=EDATE(INDEX('Вводные'!$D$88:$D$91,$B$8),INDEX('Вводные'!$E$88:$E$91,$B$8)+INDEX('Вводные'!$F$88:$F$91,$B$8)+'Вводные'!$H$9),CJ24,0)</x:f>
      </x:c>
      <x:c r="CK26" s="107" t="n">
        <x:f>IF(CK$3&gt;=EDATE(INDEX('Вводные'!$D$88:$D$91,$B$8),INDEX('Вводные'!$E$88:$E$91,$B$8)+INDEX('Вводные'!$F$88:$F$91,$B$8)+'Вводные'!$H$9),CK24,0)</x:f>
      </x:c>
      <x:c r="CL26" s="107" t="n">
        <x:f>IF(CL$3&gt;=EDATE(INDEX('Вводные'!$D$88:$D$91,$B$8),INDEX('Вводные'!$E$88:$E$91,$B$8)+INDEX('Вводные'!$F$88:$F$91,$B$8)+'Вводные'!$H$9),CL24,0)</x:f>
      </x:c>
      <x:c r="CM26" s="107" t="n">
        <x:f>IF(CM$3&gt;=EDATE(INDEX('Вводные'!$D$88:$D$91,$B$8),INDEX('Вводные'!$E$88:$E$91,$B$8)+INDEX('Вводные'!$F$88:$F$91,$B$8)+'Вводные'!$H$9),CM24,0)</x:f>
      </x:c>
      <x:c r="CN26" s="107" t="n">
        <x:f>IF(CN$3&gt;=EDATE(INDEX('Вводные'!$D$88:$D$91,$B$8),INDEX('Вводные'!$E$88:$E$91,$B$8)+INDEX('Вводные'!$F$88:$F$91,$B$8)+'Вводные'!$H$9),CN24,0)</x:f>
      </x:c>
      <x:c r="CO26" s="107" t="n">
        <x:f>IF(CO$3&gt;=EDATE(INDEX('Вводные'!$D$88:$D$91,$B$8),INDEX('Вводные'!$E$88:$E$91,$B$8)+INDEX('Вводные'!$F$88:$F$91,$B$8)+'Вводные'!$H$9),CO24,0)</x:f>
      </x:c>
      <x:c r="CP26" s="107" t="n">
        <x:f>IF(CP$3&gt;=EDATE(INDEX('Вводные'!$D$88:$D$91,$B$8),INDEX('Вводные'!$E$88:$E$91,$B$8)+INDEX('Вводные'!$F$88:$F$91,$B$8)+'Вводные'!$H$9),CP24,0)</x:f>
      </x:c>
      <x:c r="CQ26" s="107" t="n">
        <x:f>IF(CQ$3&gt;=EDATE(INDEX('Вводные'!$D$88:$D$91,$B$8),INDEX('Вводные'!$E$88:$E$91,$B$8)+INDEX('Вводные'!$F$88:$F$91,$B$8)+'Вводные'!$H$9),CQ24,0)</x:f>
      </x:c>
      <x:c r="CR26" s="107" t="n">
        <x:f>IF(CR$3&gt;=EDATE(INDEX('Вводные'!$D$88:$D$91,$B$8),INDEX('Вводные'!$E$88:$E$91,$B$8)+INDEX('Вводные'!$F$88:$F$91,$B$8)+'Вводные'!$H$9),CR24,0)</x:f>
      </x:c>
      <x:c r="CS26" s="107" t="n">
        <x:f>IF(CS$3&gt;=EDATE(INDEX('Вводные'!$D$88:$D$91,$B$8),INDEX('Вводные'!$E$88:$E$91,$B$8)+INDEX('Вводные'!$F$88:$F$91,$B$8)+'Вводные'!$H$9),CS24,0)</x:f>
      </x:c>
      <x:c r="CT26" s="107" t="n">
        <x:f>IF(CT$3&gt;=EDATE(INDEX('Вводные'!$D$88:$D$91,$B$8),INDEX('Вводные'!$E$88:$E$91,$B$8)+INDEX('Вводные'!$F$88:$F$91,$B$8)+'Вводные'!$H$9),CT24,0)</x:f>
      </x:c>
      <x:c r="CU26" s="107" t="n">
        <x:f>IF(CU$3&gt;=EDATE(INDEX('Вводные'!$D$88:$D$91,$B$8),INDEX('Вводные'!$E$88:$E$91,$B$8)+INDEX('Вводные'!$F$88:$F$91,$B$8)+'Вводные'!$H$9),CU24,0)</x:f>
      </x:c>
      <x:c r="CV26" s="107" t="n">
        <x:f>IF(CV$3&gt;=EDATE(INDEX('Вводные'!$D$88:$D$91,$B$8),INDEX('Вводные'!$E$88:$E$91,$B$8)+INDEX('Вводные'!$F$88:$F$91,$B$8)+'Вводные'!$H$9),CV24,0)</x:f>
      </x:c>
      <x:c r="CW26" s="107" t="n">
        <x:f>IF(CW$3&gt;=EDATE(INDEX('Вводные'!$D$88:$D$91,$B$8),INDEX('Вводные'!$E$88:$E$91,$B$8)+INDEX('Вводные'!$F$88:$F$91,$B$8)+'Вводные'!$H$9),CW24,0)</x:f>
      </x:c>
      <x:c r="CX26" s="107" t="n">
        <x:f>IF(CX$3&gt;=EDATE(INDEX('Вводные'!$D$88:$D$91,$B$8),INDEX('Вводные'!$E$88:$E$91,$B$8)+INDEX('Вводные'!$F$88:$F$91,$B$8)+'Вводные'!$H$9),CX24,0)</x:f>
      </x:c>
      <x:c r="CY26" s="107" t="n">
        <x:f>IF(CY$3&gt;=EDATE(INDEX('Вводные'!$D$88:$D$91,$B$8),INDEX('Вводные'!$E$88:$E$91,$B$8)+INDEX('Вводные'!$F$88:$F$91,$B$8)+'Вводные'!$H$9),CY24,0)</x:f>
      </x:c>
      <x:c r="CZ26" s="107" t="n">
        <x:f>IF(CZ$3&gt;=EDATE(INDEX('Вводные'!$D$88:$D$91,$B$8),INDEX('Вводные'!$E$88:$E$91,$B$8)+INDEX('Вводные'!$F$88:$F$91,$B$8)+'Вводные'!$H$9),CZ24,0)</x:f>
      </x:c>
      <x:c r="DA26" s="107" t="n">
        <x:f>IF(DA$3&gt;=EDATE(INDEX('Вводные'!$D$88:$D$91,$B$8),INDEX('Вводные'!$E$88:$E$91,$B$8)+INDEX('Вводные'!$F$88:$F$91,$B$8)+'Вводные'!$H$9),DA24,0)</x:f>
      </x:c>
      <x:c r="DB26" s="107" t="n">
        <x:f>IF(DB$3&gt;=EDATE(INDEX('Вводные'!$D$88:$D$91,$B$8),INDEX('Вводные'!$E$88:$E$91,$B$8)+INDEX('Вводные'!$F$88:$F$91,$B$8)+'Вводные'!$H$9),DB24,0)</x:f>
      </x:c>
      <x:c r="DC26" s="107" t="n">
        <x:f>IF(DC$3&gt;=EDATE(INDEX('Вводные'!$D$88:$D$91,$B$8),INDEX('Вводные'!$E$88:$E$91,$B$8)+INDEX('Вводные'!$F$88:$F$91,$B$8)+'Вводные'!$H$9),DC24,0)</x:f>
      </x:c>
      <x:c r="DD26" s="107" t="n">
        <x:f>IF(DD$3&gt;=EDATE(INDEX('Вводные'!$D$88:$D$91,$B$8),INDEX('Вводные'!$E$88:$E$91,$B$8)+INDEX('Вводные'!$F$88:$F$91,$B$8)+'Вводные'!$H$9),DD24,0)</x:f>
      </x:c>
      <x:c r="DE26" s="107" t="n">
        <x:f>IF(DE$3&gt;=EDATE(INDEX('Вводные'!$D$88:$D$91,$B$8),INDEX('Вводные'!$E$88:$E$91,$B$8)+INDEX('Вводные'!$F$88:$F$91,$B$8)+'Вводные'!$H$9),DE24,0)</x:f>
      </x:c>
      <x:c r="DF26" s="107" t="n">
        <x:f>IF(DF$3&gt;=EDATE(INDEX('Вводные'!$D$88:$D$91,$B$8),INDEX('Вводные'!$E$88:$E$91,$B$8)+INDEX('Вводные'!$F$88:$F$91,$B$8)+'Вводные'!$H$9),DF24,0)</x:f>
      </x:c>
      <x:c r="DG26" s="107" t="n">
        <x:f>IF(DG$3&gt;=EDATE(INDEX('Вводные'!$D$88:$D$91,$B$8),INDEX('Вводные'!$E$88:$E$91,$B$8)+INDEX('Вводные'!$F$88:$F$91,$B$8)+'Вводные'!$H$9),DG24,0)</x:f>
      </x:c>
      <x:c r="DH26" s="107" t="n">
        <x:f>IF(DH$3&gt;=EDATE(INDEX('Вводные'!$D$88:$D$91,$B$8),INDEX('Вводные'!$E$88:$E$91,$B$8)+INDEX('Вводные'!$F$88:$F$91,$B$8)+'Вводные'!$H$9),DH24,0)</x:f>
      </x:c>
      <x:c r="DI26" s="107" t="n">
        <x:f>IF(DI$3&gt;=EDATE(INDEX('Вводные'!$D$88:$D$91,$B$8),INDEX('Вводные'!$E$88:$E$91,$B$8)+INDEX('Вводные'!$F$88:$F$91,$B$8)+'Вводные'!$H$9),DI24,0)</x:f>
      </x:c>
      <x:c r="DJ26" s="107" t="n">
        <x:f>IF(DJ$3&gt;=EDATE(INDEX('Вводные'!$D$88:$D$91,$B$8),INDEX('Вводные'!$E$88:$E$91,$B$8)+INDEX('Вводные'!$F$88:$F$91,$B$8)+'Вводные'!$H$9),DJ24,0)</x:f>
      </x:c>
      <x:c r="DK26" s="107" t="n">
        <x:f>IF(DK$3&gt;=EDATE(INDEX('Вводные'!$D$88:$D$91,$B$8),INDEX('Вводные'!$E$88:$E$91,$B$8)+INDEX('Вводные'!$F$88:$F$91,$B$8)+'Вводные'!$H$9),DK24,0)</x:f>
      </x:c>
      <x:c r="DL26" s="107" t="n">
        <x:f>IF(DL$3&gt;=EDATE(INDEX('Вводные'!$D$88:$D$91,$B$8),INDEX('Вводные'!$E$88:$E$91,$B$8)+INDEX('Вводные'!$F$88:$F$91,$B$8)+'Вводные'!$H$9),DL24,0)</x:f>
      </x:c>
      <x:c r="DM26" s="107" t="n">
        <x:f>IF(DM$3&gt;=EDATE(INDEX('Вводные'!$D$88:$D$91,$B$8),INDEX('Вводные'!$E$88:$E$91,$B$8)+INDEX('Вводные'!$F$88:$F$91,$B$8)+'Вводные'!$H$9),DM24,0)</x:f>
      </x:c>
      <x:c r="DN26" s="107" t="n">
        <x:f>IF(DN$3&gt;=EDATE(INDEX('Вводные'!$D$88:$D$91,$B$8),INDEX('Вводные'!$E$88:$E$91,$B$8)+INDEX('Вводные'!$F$88:$F$91,$B$8)+'Вводные'!$H$9),DN24,0)</x:f>
      </x:c>
      <x:c r="DO26" s="107" t="n">
        <x:f>IF(DO$3&gt;=EDATE(INDEX('Вводные'!$D$88:$D$91,$B$8),INDEX('Вводные'!$E$88:$E$91,$B$8)+INDEX('Вводные'!$F$88:$F$91,$B$8)+'Вводные'!$H$9),DO24,0)</x:f>
      </x:c>
      <x:c r="DP26" s="107" t="n">
        <x:f>IF(DP$3&gt;=EDATE(INDEX('Вводные'!$D$88:$D$91,$B$8),INDEX('Вводные'!$E$88:$E$91,$B$8)+INDEX('Вводные'!$F$88:$F$91,$B$8)+'Вводные'!$H$9),DP24,0)</x:f>
      </x:c>
      <x:c r="DQ26" s="107" t="n">
        <x:f>IF(DQ$3&gt;=EDATE(INDEX('Вводные'!$D$88:$D$91,$B$8),INDEX('Вводные'!$E$88:$E$91,$B$8)+INDEX('Вводные'!$F$88:$F$91,$B$8)+'Вводные'!$H$9),DQ24,0)</x:f>
      </x:c>
      <x:c r="DR26" s="107" t="n">
        <x:f>IF(DR$3&gt;=EDATE(INDEX('Вводные'!$D$88:$D$91,$B$8),INDEX('Вводные'!$E$88:$E$91,$B$8)+INDEX('Вводные'!$F$88:$F$91,$B$8)+'Вводные'!$H$9),DR24,0)</x:f>
      </x:c>
      <x:c r="DS26" s="107" t="n">
        <x:f>IF(DS$3&gt;=EDATE(INDEX('Вводные'!$D$88:$D$91,$B$8),INDEX('Вводные'!$E$88:$E$91,$B$8)+INDEX('Вводные'!$F$88:$F$91,$B$8)+'Вводные'!$H$9),DS24,0)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EDATE(INDEX('Вводные'!$D$88:$D$91,$B$8),INDEX('Вводные'!$E$88:$E$91,$B$8)+INDEX('Вводные'!$F$88:$F$91,$B$8)+'Вводные'!$H$9)),MONTH(D$3)=MONTH(EDATE(INDEX('Вводные'!$D$88:$D$91,$B$8),INDEX('Вводные'!$E$88:$E$91,$B$8)+INDEX('Вводные'!$F$88:$F$91,$B$8)+'Вводные'!$H$9)),AND($B$7="Да",IFERROR(INDEX('Вводные'!$B$88:$B$91,$B$8),"Нет")="Да")),MAX(0,SUM($D25:D25)-D25),0)</x:f>
      </x:c>
      <x:c r="E27" s="107" t="n">
        <x:f>IF(AND(YEAR(E$3)=YEAR(EDATE(INDEX('Вводные'!$D$88:$D$91,$B$8),INDEX('Вводные'!$E$88:$E$91,$B$8)+INDEX('Вводные'!$F$88:$F$91,$B$8)+'Вводные'!$H$9)),MONTH(E$3)=MONTH(EDATE(INDEX('Вводные'!$D$88:$D$91,$B$8),INDEX('Вводные'!$E$88:$E$91,$B$8)+INDEX('Вводные'!$F$88:$F$91,$B$8)+'Вводные'!$H$9)),AND($B$7="Да",IFERROR(INDEX('Вводные'!$B$88:$B$91,$B$8),"Нет")="Да")),MAX(0,SUM($D25:E25)-E25),0)</x:f>
      </x:c>
      <x:c r="F27" s="107" t="n">
        <x:f>IF(AND(YEAR(F$3)=YEAR(EDATE(INDEX('Вводные'!$D$88:$D$91,$B$8),INDEX('Вводные'!$E$88:$E$91,$B$8)+INDEX('Вводные'!$F$88:$F$91,$B$8)+'Вводные'!$H$9)),MONTH(F$3)=MONTH(EDATE(INDEX('Вводные'!$D$88:$D$91,$B$8),INDEX('Вводные'!$E$88:$E$91,$B$8)+INDEX('Вводные'!$F$88:$F$91,$B$8)+'Вводные'!$H$9)),AND($B$7="Да",IFERROR(INDEX('Вводные'!$B$88:$B$91,$B$8),"Нет")="Да")),MAX(0,SUM($D25:F25)-F25),0)</x:f>
      </x:c>
      <x:c r="G27" s="107" t="n">
        <x:f>IF(AND(YEAR(G$3)=YEAR(EDATE(INDEX('Вводные'!$D$88:$D$91,$B$8),INDEX('Вводные'!$E$88:$E$91,$B$8)+INDEX('Вводные'!$F$88:$F$91,$B$8)+'Вводные'!$H$9)),MONTH(G$3)=MONTH(EDATE(INDEX('Вводные'!$D$88:$D$91,$B$8),INDEX('Вводные'!$E$88:$E$91,$B$8)+INDEX('Вводные'!$F$88:$F$91,$B$8)+'Вводные'!$H$9)),AND($B$7="Да",IFERROR(INDEX('Вводные'!$B$88:$B$91,$B$8),"Нет")="Да")),MAX(0,SUM($D25:G25)-G25),0)</x:f>
      </x:c>
      <x:c r="H27" s="107" t="n">
        <x:f>IF(AND(YEAR(H$3)=YEAR(EDATE(INDEX('Вводные'!$D$88:$D$91,$B$8),INDEX('Вводные'!$E$88:$E$91,$B$8)+INDEX('Вводные'!$F$88:$F$91,$B$8)+'Вводные'!$H$9)),MONTH(H$3)=MONTH(EDATE(INDEX('Вводные'!$D$88:$D$91,$B$8),INDEX('Вводные'!$E$88:$E$91,$B$8)+INDEX('Вводные'!$F$88:$F$91,$B$8)+'Вводные'!$H$9)),AND($B$7="Да",IFERROR(INDEX('Вводные'!$B$88:$B$91,$B$8),"Нет")="Да")),MAX(0,SUM($D25:H25)-H25),0)</x:f>
      </x:c>
      <x:c r="I27" s="107" t="n">
        <x:f>IF(AND(YEAR(I$3)=YEAR(EDATE(INDEX('Вводные'!$D$88:$D$91,$B$8),INDEX('Вводные'!$E$88:$E$91,$B$8)+INDEX('Вводные'!$F$88:$F$91,$B$8)+'Вводные'!$H$9)),MONTH(I$3)=MONTH(EDATE(INDEX('Вводные'!$D$88:$D$91,$B$8),INDEX('Вводные'!$E$88:$E$91,$B$8)+INDEX('Вводные'!$F$88:$F$91,$B$8)+'Вводные'!$H$9)),AND($B$7="Да",IFERROR(INDEX('Вводные'!$B$88:$B$91,$B$8),"Нет")="Да")),MAX(0,SUM($D25:I25)-I25),0)</x:f>
      </x:c>
      <x:c r="J27" s="107" t="n">
        <x:f>IF(AND(YEAR(J$3)=YEAR(EDATE(INDEX('Вводные'!$D$88:$D$91,$B$8),INDEX('Вводные'!$E$88:$E$91,$B$8)+INDEX('Вводные'!$F$88:$F$91,$B$8)+'Вводные'!$H$9)),MONTH(J$3)=MONTH(EDATE(INDEX('Вводные'!$D$88:$D$91,$B$8),INDEX('Вводные'!$E$88:$E$91,$B$8)+INDEX('Вводные'!$F$88:$F$91,$B$8)+'Вводные'!$H$9)),AND($B$7="Да",IFERROR(INDEX('Вводные'!$B$88:$B$91,$B$8),"Нет")="Да")),MAX(0,SUM($D25:J25)-J25),0)</x:f>
      </x:c>
      <x:c r="K27" s="107" t="n">
        <x:f>IF(AND(YEAR(K$3)=YEAR(EDATE(INDEX('Вводные'!$D$88:$D$91,$B$8),INDEX('Вводные'!$E$88:$E$91,$B$8)+INDEX('Вводные'!$F$88:$F$91,$B$8)+'Вводные'!$H$9)),MONTH(K$3)=MONTH(EDATE(INDEX('Вводные'!$D$88:$D$91,$B$8),INDEX('Вводные'!$E$88:$E$91,$B$8)+INDEX('Вводные'!$F$88:$F$91,$B$8)+'Вводные'!$H$9)),AND($B$7="Да",IFERROR(INDEX('Вводные'!$B$88:$B$91,$B$8),"Нет")="Да")),MAX(0,SUM($D25:K25)-K25),0)</x:f>
      </x:c>
      <x:c r="L27" s="107" t="n">
        <x:f>IF(AND(YEAR(L$3)=YEAR(EDATE(INDEX('Вводные'!$D$88:$D$91,$B$8),INDEX('Вводные'!$E$88:$E$91,$B$8)+INDEX('Вводные'!$F$88:$F$91,$B$8)+'Вводные'!$H$9)),MONTH(L$3)=MONTH(EDATE(INDEX('Вводные'!$D$88:$D$91,$B$8),INDEX('Вводные'!$E$88:$E$91,$B$8)+INDEX('Вводные'!$F$88:$F$91,$B$8)+'Вводные'!$H$9)),AND($B$7="Да",IFERROR(INDEX('Вводные'!$B$88:$B$91,$B$8),"Нет")="Да")),MAX(0,SUM($D25:L25)-L25),0)</x:f>
      </x:c>
      <x:c r="M27" s="107" t="n">
        <x:f>IF(AND(YEAR(M$3)=YEAR(EDATE(INDEX('Вводные'!$D$88:$D$91,$B$8),INDEX('Вводные'!$E$88:$E$91,$B$8)+INDEX('Вводные'!$F$88:$F$91,$B$8)+'Вводные'!$H$9)),MONTH(M$3)=MONTH(EDATE(INDEX('Вводные'!$D$88:$D$91,$B$8),INDEX('Вводные'!$E$88:$E$91,$B$8)+INDEX('Вводные'!$F$88:$F$91,$B$8)+'Вводные'!$H$9)),AND($B$7="Да",IFERROR(INDEX('Вводные'!$B$88:$B$91,$B$8),"Нет")="Да")),MAX(0,SUM($D25:M25)-M25),0)</x:f>
      </x:c>
      <x:c r="N27" s="107" t="n">
        <x:f>IF(AND(YEAR(N$3)=YEAR(EDATE(INDEX('Вводные'!$D$88:$D$91,$B$8),INDEX('Вводные'!$E$88:$E$91,$B$8)+INDEX('Вводные'!$F$88:$F$91,$B$8)+'Вводные'!$H$9)),MONTH(N$3)=MONTH(EDATE(INDEX('Вводные'!$D$88:$D$91,$B$8),INDEX('Вводные'!$E$88:$E$91,$B$8)+INDEX('Вводные'!$F$88:$F$91,$B$8)+'Вводные'!$H$9)),AND($B$7="Да",IFERROR(INDEX('Вводные'!$B$88:$B$91,$B$8),"Нет")="Да")),MAX(0,SUM($D25:N25)-N25),0)</x:f>
      </x:c>
      <x:c r="O27" s="107" t="n">
        <x:f>IF(AND(YEAR(O$3)=YEAR(EDATE(INDEX('Вводные'!$D$88:$D$91,$B$8),INDEX('Вводные'!$E$88:$E$91,$B$8)+INDEX('Вводные'!$F$88:$F$91,$B$8)+'Вводные'!$H$9)),MONTH(O$3)=MONTH(EDATE(INDEX('Вводные'!$D$88:$D$91,$B$8),INDEX('Вводные'!$E$88:$E$91,$B$8)+INDEX('Вводные'!$F$88:$F$91,$B$8)+'Вводные'!$H$9)),AND($B$7="Да",IFERROR(INDEX('Вводные'!$B$88:$B$91,$B$8),"Нет")="Да")),MAX(0,SUM($D25:O25)-O25),0)</x:f>
      </x:c>
      <x:c r="P27" s="107" t="n">
        <x:f>IF(AND(YEAR(P$3)=YEAR(EDATE(INDEX('Вводные'!$D$88:$D$91,$B$8),INDEX('Вводные'!$E$88:$E$91,$B$8)+INDEX('Вводные'!$F$88:$F$91,$B$8)+'Вводные'!$H$9)),MONTH(P$3)=MONTH(EDATE(INDEX('Вводные'!$D$88:$D$91,$B$8),INDEX('Вводные'!$E$88:$E$91,$B$8)+INDEX('Вводные'!$F$88:$F$91,$B$8)+'Вводные'!$H$9)),AND($B$7="Да",IFERROR(INDEX('Вводные'!$B$88:$B$91,$B$8),"Нет")="Да")),MAX(0,SUM($D25:P25)-P25),0)</x:f>
      </x:c>
      <x:c r="Q27" s="107" t="n">
        <x:f>IF(AND(YEAR(Q$3)=YEAR(EDATE(INDEX('Вводные'!$D$88:$D$91,$B$8),INDEX('Вводные'!$E$88:$E$91,$B$8)+INDEX('Вводные'!$F$88:$F$91,$B$8)+'Вводные'!$H$9)),MONTH(Q$3)=MONTH(EDATE(INDEX('Вводные'!$D$88:$D$91,$B$8),INDEX('Вводные'!$E$88:$E$91,$B$8)+INDEX('Вводные'!$F$88:$F$91,$B$8)+'Вводные'!$H$9)),AND($B$7="Да",IFERROR(INDEX('Вводные'!$B$88:$B$91,$B$8),"Нет")="Да")),MAX(0,SUM($D25:Q25)-Q25),0)</x:f>
      </x:c>
      <x:c r="R27" s="107" t="n">
        <x:f>IF(AND(YEAR(R$3)=YEAR(EDATE(INDEX('Вводные'!$D$88:$D$91,$B$8),INDEX('Вводные'!$E$88:$E$91,$B$8)+INDEX('Вводные'!$F$88:$F$91,$B$8)+'Вводные'!$H$9)),MONTH(R$3)=MONTH(EDATE(INDEX('Вводные'!$D$88:$D$91,$B$8),INDEX('Вводные'!$E$88:$E$91,$B$8)+INDEX('Вводные'!$F$88:$F$91,$B$8)+'Вводные'!$H$9)),AND($B$7="Да",IFERROR(INDEX('Вводные'!$B$88:$B$91,$B$8),"Нет")="Да")),MAX(0,SUM($D25:R25)-R25),0)</x:f>
      </x:c>
      <x:c r="S27" s="107" t="n">
        <x:f>IF(AND(YEAR(S$3)=YEAR(EDATE(INDEX('Вводные'!$D$88:$D$91,$B$8),INDEX('Вводные'!$E$88:$E$91,$B$8)+INDEX('Вводные'!$F$88:$F$91,$B$8)+'Вводные'!$H$9)),MONTH(S$3)=MONTH(EDATE(INDEX('Вводные'!$D$88:$D$91,$B$8),INDEX('Вводные'!$E$88:$E$91,$B$8)+INDEX('Вводные'!$F$88:$F$91,$B$8)+'Вводные'!$H$9)),AND($B$7="Да",IFERROR(INDEX('Вводные'!$B$88:$B$91,$B$8),"Нет")="Да")),MAX(0,SUM($D25:S25)-S25),0)</x:f>
      </x:c>
      <x:c r="T27" s="107" t="n">
        <x:f>IF(AND(YEAR(T$3)=YEAR(EDATE(INDEX('Вводные'!$D$88:$D$91,$B$8),INDEX('Вводные'!$E$88:$E$91,$B$8)+INDEX('Вводные'!$F$88:$F$91,$B$8)+'Вводные'!$H$9)),MONTH(T$3)=MONTH(EDATE(INDEX('Вводные'!$D$88:$D$91,$B$8),INDEX('Вводные'!$E$88:$E$91,$B$8)+INDEX('Вводные'!$F$88:$F$91,$B$8)+'Вводные'!$H$9)),AND($B$7="Да",IFERROR(INDEX('Вводные'!$B$88:$B$91,$B$8),"Нет")="Да")),MAX(0,SUM($D25:T25)-T25),0)</x:f>
      </x:c>
      <x:c r="U27" s="107" t="n">
        <x:f>IF(AND(YEAR(U$3)=YEAR(EDATE(INDEX('Вводные'!$D$88:$D$91,$B$8),INDEX('Вводные'!$E$88:$E$91,$B$8)+INDEX('Вводные'!$F$88:$F$91,$B$8)+'Вводные'!$H$9)),MONTH(U$3)=MONTH(EDATE(INDEX('Вводные'!$D$88:$D$91,$B$8),INDEX('Вводные'!$E$88:$E$91,$B$8)+INDEX('Вводные'!$F$88:$F$91,$B$8)+'Вводные'!$H$9)),AND($B$7="Да",IFERROR(INDEX('Вводные'!$B$88:$B$91,$B$8),"Нет")="Да")),MAX(0,SUM($D25:U25)-U25),0)</x:f>
      </x:c>
      <x:c r="V27" s="107" t="n">
        <x:f>IF(AND(YEAR(V$3)=YEAR(EDATE(INDEX('Вводные'!$D$88:$D$91,$B$8),INDEX('Вводные'!$E$88:$E$91,$B$8)+INDEX('Вводные'!$F$88:$F$91,$B$8)+'Вводные'!$H$9)),MONTH(V$3)=MONTH(EDATE(INDEX('Вводные'!$D$88:$D$91,$B$8),INDEX('Вводные'!$E$88:$E$91,$B$8)+INDEX('Вводные'!$F$88:$F$91,$B$8)+'Вводные'!$H$9)),AND($B$7="Да",IFERROR(INDEX('Вводные'!$B$88:$B$91,$B$8),"Нет")="Да")),MAX(0,SUM($D25:V25)-V25),0)</x:f>
      </x:c>
      <x:c r="W27" s="107" t="n">
        <x:f>IF(AND(YEAR(W$3)=YEAR(EDATE(INDEX('Вводные'!$D$88:$D$91,$B$8),INDEX('Вводные'!$E$88:$E$91,$B$8)+INDEX('Вводные'!$F$88:$F$91,$B$8)+'Вводные'!$H$9)),MONTH(W$3)=MONTH(EDATE(INDEX('Вводные'!$D$88:$D$91,$B$8),INDEX('Вводные'!$E$88:$E$91,$B$8)+INDEX('Вводные'!$F$88:$F$91,$B$8)+'Вводные'!$H$9)),AND($B$7="Да",IFERROR(INDEX('Вводные'!$B$88:$B$91,$B$8),"Нет")="Да")),MAX(0,SUM($D25:W25)-W25),0)</x:f>
      </x:c>
      <x:c r="X27" s="107" t="n">
        <x:f>IF(AND(YEAR(X$3)=YEAR(EDATE(INDEX('Вводные'!$D$88:$D$91,$B$8),INDEX('Вводные'!$E$88:$E$91,$B$8)+INDEX('Вводные'!$F$88:$F$91,$B$8)+'Вводные'!$H$9)),MONTH(X$3)=MONTH(EDATE(INDEX('Вводные'!$D$88:$D$91,$B$8),INDEX('Вводные'!$E$88:$E$91,$B$8)+INDEX('Вводные'!$F$88:$F$91,$B$8)+'Вводные'!$H$9)),AND($B$7="Да",IFERROR(INDEX('Вводные'!$B$88:$B$91,$B$8),"Нет")="Да")),MAX(0,SUM($D25:X25)-X25),0)</x:f>
      </x:c>
      <x:c r="Y27" s="107" t="n">
        <x:f>IF(AND(YEAR(Y$3)=YEAR(EDATE(INDEX('Вводные'!$D$88:$D$91,$B$8),INDEX('Вводные'!$E$88:$E$91,$B$8)+INDEX('Вводные'!$F$88:$F$91,$B$8)+'Вводные'!$H$9)),MONTH(Y$3)=MONTH(EDATE(INDEX('Вводные'!$D$88:$D$91,$B$8),INDEX('Вводные'!$E$88:$E$91,$B$8)+INDEX('Вводные'!$F$88:$F$91,$B$8)+'Вводные'!$H$9)),AND($B$7="Да",IFERROR(INDEX('Вводные'!$B$88:$B$91,$B$8),"Нет")="Да")),MAX(0,SUM($D25:Y25)-Y25),0)</x:f>
      </x:c>
      <x:c r="Z27" s="107" t="n">
        <x:f>IF(AND(YEAR(Z$3)=YEAR(EDATE(INDEX('Вводные'!$D$88:$D$91,$B$8),INDEX('Вводные'!$E$88:$E$91,$B$8)+INDEX('Вводные'!$F$88:$F$91,$B$8)+'Вводные'!$H$9)),MONTH(Z$3)=MONTH(EDATE(INDEX('Вводные'!$D$88:$D$91,$B$8),INDEX('Вводные'!$E$88:$E$91,$B$8)+INDEX('Вводные'!$F$88:$F$91,$B$8)+'Вводные'!$H$9)),AND($B$7="Да",IFERROR(INDEX('Вводные'!$B$88:$B$91,$B$8),"Нет")="Да")),MAX(0,SUM($D25:Z25)-Z25),0)</x:f>
      </x:c>
      <x:c r="AA27" s="107" t="n">
        <x:f>IF(AND(YEAR(AA$3)=YEAR(EDATE(INDEX('Вводные'!$D$88:$D$91,$B$8),INDEX('Вводные'!$E$88:$E$91,$B$8)+INDEX('Вводные'!$F$88:$F$91,$B$8)+'Вводные'!$H$9)),MONTH(AA$3)=MONTH(EDATE(INDEX('Вводные'!$D$88:$D$91,$B$8),INDEX('Вводные'!$E$88:$E$91,$B$8)+INDEX('Вводные'!$F$88:$F$91,$B$8)+'Вводные'!$H$9)),AND($B$7="Да",IFERROR(INDEX('Вводные'!$B$88:$B$91,$B$8),"Нет")="Да")),MAX(0,SUM($D25:AA25)-AA25),0)</x:f>
      </x:c>
      <x:c r="AB27" s="107" t="n">
        <x:f>IF(AND(YEAR(AB$3)=YEAR(EDATE(INDEX('Вводные'!$D$88:$D$91,$B$8),INDEX('Вводные'!$E$88:$E$91,$B$8)+INDEX('Вводные'!$F$88:$F$91,$B$8)+'Вводные'!$H$9)),MONTH(AB$3)=MONTH(EDATE(INDEX('Вводные'!$D$88:$D$91,$B$8),INDEX('Вводные'!$E$88:$E$91,$B$8)+INDEX('Вводные'!$F$88:$F$91,$B$8)+'Вводные'!$H$9)),AND($B$7="Да",IFERROR(INDEX('Вводные'!$B$88:$B$91,$B$8),"Нет")="Да")),MAX(0,SUM($D25:AB25)-AB25),0)</x:f>
      </x:c>
      <x:c r="AC27" s="107" t="n">
        <x:f>IF(AND(YEAR(AC$3)=YEAR(EDATE(INDEX('Вводные'!$D$88:$D$91,$B$8),INDEX('Вводные'!$E$88:$E$91,$B$8)+INDEX('Вводные'!$F$88:$F$91,$B$8)+'Вводные'!$H$9)),MONTH(AC$3)=MONTH(EDATE(INDEX('Вводные'!$D$88:$D$91,$B$8),INDEX('Вводные'!$E$88:$E$91,$B$8)+INDEX('Вводные'!$F$88:$F$91,$B$8)+'Вводные'!$H$9)),AND($B$7="Да",IFERROR(INDEX('Вводные'!$B$88:$B$91,$B$8),"Нет")="Да")),MAX(0,SUM($D25:AC25)-AC25),0)</x:f>
      </x:c>
      <x:c r="AD27" s="107" t="n">
        <x:f>IF(AND(YEAR(AD$3)=YEAR(EDATE(INDEX('Вводные'!$D$88:$D$91,$B$8),INDEX('Вводные'!$E$88:$E$91,$B$8)+INDEX('Вводные'!$F$88:$F$91,$B$8)+'Вводные'!$H$9)),MONTH(AD$3)=MONTH(EDATE(INDEX('Вводные'!$D$88:$D$91,$B$8),INDEX('Вводные'!$E$88:$E$91,$B$8)+INDEX('Вводные'!$F$88:$F$91,$B$8)+'Вводные'!$H$9)),AND($B$7="Да",IFERROR(INDEX('Вводные'!$B$88:$B$91,$B$8),"Нет")="Да")),MAX(0,SUM($D25:AD25)-AD25),0)</x:f>
      </x:c>
      <x:c r="AE27" s="107" t="n">
        <x:f>IF(AND(YEAR(AE$3)=YEAR(EDATE(INDEX('Вводные'!$D$88:$D$91,$B$8),INDEX('Вводные'!$E$88:$E$91,$B$8)+INDEX('Вводные'!$F$88:$F$91,$B$8)+'Вводные'!$H$9)),MONTH(AE$3)=MONTH(EDATE(INDEX('Вводные'!$D$88:$D$91,$B$8),INDEX('Вводные'!$E$88:$E$91,$B$8)+INDEX('Вводные'!$F$88:$F$91,$B$8)+'Вводные'!$H$9)),AND($B$7="Да",IFERROR(INDEX('Вводные'!$B$88:$B$91,$B$8),"Нет")="Да")),MAX(0,SUM($D25:AE25)-AE25),0)</x:f>
      </x:c>
      <x:c r="AF27" s="107" t="n">
        <x:f>IF(AND(YEAR(AF$3)=YEAR(EDATE(INDEX('Вводные'!$D$88:$D$91,$B$8),INDEX('Вводные'!$E$88:$E$91,$B$8)+INDEX('Вводные'!$F$88:$F$91,$B$8)+'Вводные'!$H$9)),MONTH(AF$3)=MONTH(EDATE(INDEX('Вводные'!$D$88:$D$91,$B$8),INDEX('Вводные'!$E$88:$E$91,$B$8)+INDEX('Вводные'!$F$88:$F$91,$B$8)+'Вводные'!$H$9)),AND($B$7="Да",IFERROR(INDEX('Вводные'!$B$88:$B$91,$B$8),"Нет")="Да")),MAX(0,SUM($D25:AF25)-AF25),0)</x:f>
      </x:c>
      <x:c r="AG27" s="107" t="n">
        <x:f>IF(AND(YEAR(AG$3)=YEAR(EDATE(INDEX('Вводные'!$D$88:$D$91,$B$8),INDEX('Вводные'!$E$88:$E$91,$B$8)+INDEX('Вводные'!$F$88:$F$91,$B$8)+'Вводные'!$H$9)),MONTH(AG$3)=MONTH(EDATE(INDEX('Вводные'!$D$88:$D$91,$B$8),INDEX('Вводные'!$E$88:$E$91,$B$8)+INDEX('Вводные'!$F$88:$F$91,$B$8)+'Вводные'!$H$9)),AND($B$7="Да",IFERROR(INDEX('Вводные'!$B$88:$B$91,$B$8),"Нет")="Да")),MAX(0,SUM($D25:AG25)-AG25),0)</x:f>
      </x:c>
      <x:c r="AH27" s="107" t="n">
        <x:f>IF(AND(YEAR(AH$3)=YEAR(EDATE(INDEX('Вводные'!$D$88:$D$91,$B$8),INDEX('Вводные'!$E$88:$E$91,$B$8)+INDEX('Вводные'!$F$88:$F$91,$B$8)+'Вводные'!$H$9)),MONTH(AH$3)=MONTH(EDATE(INDEX('Вводные'!$D$88:$D$91,$B$8),INDEX('Вводные'!$E$88:$E$91,$B$8)+INDEX('Вводные'!$F$88:$F$91,$B$8)+'Вводные'!$H$9)),AND($B$7="Да",IFERROR(INDEX('Вводные'!$B$88:$B$91,$B$8),"Нет")="Да")),MAX(0,SUM($D25:AH25)-AH25),0)</x:f>
      </x:c>
      <x:c r="AI27" s="107" t="n">
        <x:f>IF(AND(YEAR(AI$3)=YEAR(EDATE(INDEX('Вводные'!$D$88:$D$91,$B$8),INDEX('Вводные'!$E$88:$E$91,$B$8)+INDEX('Вводные'!$F$88:$F$91,$B$8)+'Вводные'!$H$9)),MONTH(AI$3)=MONTH(EDATE(INDEX('Вводные'!$D$88:$D$91,$B$8),INDEX('Вводные'!$E$88:$E$91,$B$8)+INDEX('Вводные'!$F$88:$F$91,$B$8)+'Вводные'!$H$9)),AND($B$7="Да",IFERROR(INDEX('Вводные'!$B$88:$B$91,$B$8),"Нет")="Да")),MAX(0,SUM($D25:AI25)-AI25),0)</x:f>
      </x:c>
      <x:c r="AJ27" s="107" t="n">
        <x:f>IF(AND(YEAR(AJ$3)=YEAR(EDATE(INDEX('Вводные'!$D$88:$D$91,$B$8),INDEX('Вводные'!$E$88:$E$91,$B$8)+INDEX('Вводные'!$F$88:$F$91,$B$8)+'Вводные'!$H$9)),MONTH(AJ$3)=MONTH(EDATE(INDEX('Вводные'!$D$88:$D$91,$B$8),INDEX('Вводные'!$E$88:$E$91,$B$8)+INDEX('Вводные'!$F$88:$F$91,$B$8)+'Вводные'!$H$9)),AND($B$7="Да",IFERROR(INDEX('Вводные'!$B$88:$B$91,$B$8),"Нет")="Да")),MAX(0,SUM($D25:AJ25)-AJ25),0)</x:f>
      </x:c>
      <x:c r="AK27" s="107" t="n">
        <x:f>IF(AND(YEAR(AK$3)=YEAR(EDATE(INDEX('Вводные'!$D$88:$D$91,$B$8),INDEX('Вводные'!$E$88:$E$91,$B$8)+INDEX('Вводные'!$F$88:$F$91,$B$8)+'Вводные'!$H$9)),MONTH(AK$3)=MONTH(EDATE(INDEX('Вводные'!$D$88:$D$91,$B$8),INDEX('Вводные'!$E$88:$E$91,$B$8)+INDEX('Вводные'!$F$88:$F$91,$B$8)+'Вводные'!$H$9)),AND($B$7="Да",IFERROR(INDEX('Вводные'!$B$88:$B$91,$B$8),"Нет")="Да")),MAX(0,SUM($D25:AK25)-AK25),0)</x:f>
      </x:c>
      <x:c r="AL27" s="107" t="n">
        <x:f>IF(AND(YEAR(AL$3)=YEAR(EDATE(INDEX('Вводные'!$D$88:$D$91,$B$8),INDEX('Вводные'!$E$88:$E$91,$B$8)+INDEX('Вводные'!$F$88:$F$91,$B$8)+'Вводные'!$H$9)),MONTH(AL$3)=MONTH(EDATE(INDEX('Вводные'!$D$88:$D$91,$B$8),INDEX('Вводные'!$E$88:$E$91,$B$8)+INDEX('Вводные'!$F$88:$F$91,$B$8)+'Вводные'!$H$9)),AND($B$7="Да",IFERROR(INDEX('Вводные'!$B$88:$B$91,$B$8),"Нет")="Да")),MAX(0,SUM($D25:AL25)-AL25),0)</x:f>
      </x:c>
      <x:c r="AM27" s="107" t="n">
        <x:f>IF(AND(YEAR(AM$3)=YEAR(EDATE(INDEX('Вводные'!$D$88:$D$91,$B$8),INDEX('Вводные'!$E$88:$E$91,$B$8)+INDEX('Вводные'!$F$88:$F$91,$B$8)+'Вводные'!$H$9)),MONTH(AM$3)=MONTH(EDATE(INDEX('Вводные'!$D$88:$D$91,$B$8),INDEX('Вводные'!$E$88:$E$91,$B$8)+INDEX('Вводные'!$F$88:$F$91,$B$8)+'Вводные'!$H$9)),AND($B$7="Да",IFERROR(INDEX('Вводные'!$B$88:$B$91,$B$8),"Нет")="Да")),MAX(0,SUM($D25:AM25)-AM25),0)</x:f>
      </x:c>
      <x:c r="AN27" s="107" t="n">
        <x:f>IF(AND(YEAR(AN$3)=YEAR(EDATE(INDEX('Вводные'!$D$88:$D$91,$B$8),INDEX('Вводные'!$E$88:$E$91,$B$8)+INDEX('Вводные'!$F$88:$F$91,$B$8)+'Вводные'!$H$9)),MONTH(AN$3)=MONTH(EDATE(INDEX('Вводные'!$D$88:$D$91,$B$8),INDEX('Вводные'!$E$88:$E$91,$B$8)+INDEX('Вводные'!$F$88:$F$91,$B$8)+'Вводные'!$H$9)),AND($B$7="Да",IFERROR(INDEX('Вводные'!$B$88:$B$91,$B$8),"Нет")="Да")),MAX(0,SUM($D25:AN25)-AN25),0)</x:f>
      </x:c>
      <x:c r="AO27" s="107" t="n">
        <x:f>IF(AND(YEAR(AO$3)=YEAR(EDATE(INDEX('Вводные'!$D$88:$D$91,$B$8),INDEX('Вводные'!$E$88:$E$91,$B$8)+INDEX('Вводные'!$F$88:$F$91,$B$8)+'Вводные'!$H$9)),MONTH(AO$3)=MONTH(EDATE(INDEX('Вводные'!$D$88:$D$91,$B$8),INDEX('Вводные'!$E$88:$E$91,$B$8)+INDEX('Вводные'!$F$88:$F$91,$B$8)+'Вводные'!$H$9)),AND($B$7="Да",IFERROR(INDEX('Вводные'!$B$88:$B$91,$B$8),"Нет")="Да")),MAX(0,SUM($D25:AO25)-AO25),0)</x:f>
      </x:c>
      <x:c r="AP27" s="107" t="n">
        <x:f>IF(AND(YEAR(AP$3)=YEAR(EDATE(INDEX('Вводные'!$D$88:$D$91,$B$8),INDEX('Вводные'!$E$88:$E$91,$B$8)+INDEX('Вводные'!$F$88:$F$91,$B$8)+'Вводные'!$H$9)),MONTH(AP$3)=MONTH(EDATE(INDEX('Вводные'!$D$88:$D$91,$B$8),INDEX('Вводные'!$E$88:$E$91,$B$8)+INDEX('Вводные'!$F$88:$F$91,$B$8)+'Вводные'!$H$9)),AND($B$7="Да",IFERROR(INDEX('Вводные'!$B$88:$B$91,$B$8),"Нет")="Да")),MAX(0,SUM($D25:AP25)-AP25),0)</x:f>
      </x:c>
      <x:c r="AQ27" s="107" t="n">
        <x:f>IF(AND(YEAR(AQ$3)=YEAR(EDATE(INDEX('Вводные'!$D$88:$D$91,$B$8),INDEX('Вводные'!$E$88:$E$91,$B$8)+INDEX('Вводные'!$F$88:$F$91,$B$8)+'Вводные'!$H$9)),MONTH(AQ$3)=MONTH(EDATE(INDEX('Вводные'!$D$88:$D$91,$B$8),INDEX('Вводные'!$E$88:$E$91,$B$8)+INDEX('Вводные'!$F$88:$F$91,$B$8)+'Вводные'!$H$9)),AND($B$7="Да",IFERROR(INDEX('Вводные'!$B$88:$B$91,$B$8),"Нет")="Да")),MAX(0,SUM($D25:AQ25)-AQ25),0)</x:f>
      </x:c>
      <x:c r="AR27" s="107" t="n">
        <x:f>IF(AND(YEAR(AR$3)=YEAR(EDATE(INDEX('Вводные'!$D$88:$D$91,$B$8),INDEX('Вводные'!$E$88:$E$91,$B$8)+INDEX('Вводные'!$F$88:$F$91,$B$8)+'Вводные'!$H$9)),MONTH(AR$3)=MONTH(EDATE(INDEX('Вводные'!$D$88:$D$91,$B$8),INDEX('Вводные'!$E$88:$E$91,$B$8)+INDEX('Вводные'!$F$88:$F$91,$B$8)+'Вводные'!$H$9)),AND($B$7="Да",IFERROR(INDEX('Вводные'!$B$88:$B$91,$B$8),"Нет")="Да")),MAX(0,SUM($D25:AR25)-AR25),0)</x:f>
      </x:c>
      <x:c r="AS27" s="107" t="n">
        <x:f>IF(AND(YEAR(AS$3)=YEAR(EDATE(INDEX('Вводные'!$D$88:$D$91,$B$8),INDEX('Вводные'!$E$88:$E$91,$B$8)+INDEX('Вводные'!$F$88:$F$91,$B$8)+'Вводные'!$H$9)),MONTH(AS$3)=MONTH(EDATE(INDEX('Вводные'!$D$88:$D$91,$B$8),INDEX('Вводные'!$E$88:$E$91,$B$8)+INDEX('Вводные'!$F$88:$F$91,$B$8)+'Вводные'!$H$9)),AND($B$7="Да",IFERROR(INDEX('Вводные'!$B$88:$B$91,$B$8),"Нет")="Да")),MAX(0,SUM($D25:AS25)-AS25),0)</x:f>
      </x:c>
      <x:c r="AT27" s="107" t="n">
        <x:f>IF(AND(YEAR(AT$3)=YEAR(EDATE(INDEX('Вводные'!$D$88:$D$91,$B$8),INDEX('Вводные'!$E$88:$E$91,$B$8)+INDEX('Вводные'!$F$88:$F$91,$B$8)+'Вводные'!$H$9)),MONTH(AT$3)=MONTH(EDATE(INDEX('Вводные'!$D$88:$D$91,$B$8),INDEX('Вводные'!$E$88:$E$91,$B$8)+INDEX('Вводные'!$F$88:$F$91,$B$8)+'Вводные'!$H$9)),AND($B$7="Да",IFERROR(INDEX('Вводные'!$B$88:$B$91,$B$8),"Нет")="Да")),MAX(0,SUM($D25:AT25)-AT25),0)</x:f>
      </x:c>
      <x:c r="AU27" s="107" t="n">
        <x:f>IF(AND(YEAR(AU$3)=YEAR(EDATE(INDEX('Вводные'!$D$88:$D$91,$B$8),INDEX('Вводные'!$E$88:$E$91,$B$8)+INDEX('Вводные'!$F$88:$F$91,$B$8)+'Вводные'!$H$9)),MONTH(AU$3)=MONTH(EDATE(INDEX('Вводные'!$D$88:$D$91,$B$8),INDEX('Вводные'!$E$88:$E$91,$B$8)+INDEX('Вводные'!$F$88:$F$91,$B$8)+'Вводные'!$H$9)),AND($B$7="Да",IFERROR(INDEX('Вводные'!$B$88:$B$91,$B$8),"Нет")="Да")),MAX(0,SUM($D25:AU25)-AU25),0)</x:f>
      </x:c>
      <x:c r="AV27" s="107" t="n">
        <x:f>IF(AND(YEAR(AV$3)=YEAR(EDATE(INDEX('Вводные'!$D$88:$D$91,$B$8),INDEX('Вводные'!$E$88:$E$91,$B$8)+INDEX('Вводные'!$F$88:$F$91,$B$8)+'Вводные'!$H$9)),MONTH(AV$3)=MONTH(EDATE(INDEX('Вводные'!$D$88:$D$91,$B$8),INDEX('Вводные'!$E$88:$E$91,$B$8)+INDEX('Вводные'!$F$88:$F$91,$B$8)+'Вводные'!$H$9)),AND($B$7="Да",IFERROR(INDEX('Вводные'!$B$88:$B$91,$B$8),"Нет")="Да")),MAX(0,SUM($D25:AV25)-AV25),0)</x:f>
      </x:c>
      <x:c r="AW27" s="107" t="n">
        <x:f>IF(AND(YEAR(AW$3)=YEAR(EDATE(INDEX('Вводные'!$D$88:$D$91,$B$8),INDEX('Вводные'!$E$88:$E$91,$B$8)+INDEX('Вводные'!$F$88:$F$91,$B$8)+'Вводные'!$H$9)),MONTH(AW$3)=MONTH(EDATE(INDEX('Вводные'!$D$88:$D$91,$B$8),INDEX('Вводные'!$E$88:$E$91,$B$8)+INDEX('Вводные'!$F$88:$F$91,$B$8)+'Вводные'!$H$9)),AND($B$7="Да",IFERROR(INDEX('Вводные'!$B$88:$B$91,$B$8),"Нет")="Да")),MAX(0,SUM($D25:AW25)-AW25),0)</x:f>
      </x:c>
      <x:c r="AX27" s="107" t="n">
        <x:f>IF(AND(YEAR(AX$3)=YEAR(EDATE(INDEX('Вводные'!$D$88:$D$91,$B$8),INDEX('Вводные'!$E$88:$E$91,$B$8)+INDEX('Вводные'!$F$88:$F$91,$B$8)+'Вводные'!$H$9)),MONTH(AX$3)=MONTH(EDATE(INDEX('Вводные'!$D$88:$D$91,$B$8),INDEX('Вводные'!$E$88:$E$91,$B$8)+INDEX('Вводные'!$F$88:$F$91,$B$8)+'Вводные'!$H$9)),AND($B$7="Да",IFERROR(INDEX('Вводные'!$B$88:$B$91,$B$8),"Нет")="Да")),MAX(0,SUM($D25:AX25)-AX25),0)</x:f>
      </x:c>
      <x:c r="AY27" s="107" t="n">
        <x:f>IF(AND(YEAR(AY$3)=YEAR(EDATE(INDEX('Вводные'!$D$88:$D$91,$B$8),INDEX('Вводные'!$E$88:$E$91,$B$8)+INDEX('Вводные'!$F$88:$F$91,$B$8)+'Вводные'!$H$9)),MONTH(AY$3)=MONTH(EDATE(INDEX('Вводные'!$D$88:$D$91,$B$8),INDEX('Вводные'!$E$88:$E$91,$B$8)+INDEX('Вводные'!$F$88:$F$91,$B$8)+'Вводные'!$H$9)),AND($B$7="Да",IFERROR(INDEX('Вводные'!$B$88:$B$91,$B$8),"Нет")="Да")),MAX(0,SUM($D25:AY25)-AY25),0)</x:f>
      </x:c>
      <x:c r="AZ27" s="107" t="n">
        <x:f>IF(AND(YEAR(AZ$3)=YEAR(EDATE(INDEX('Вводные'!$D$88:$D$91,$B$8),INDEX('Вводные'!$E$88:$E$91,$B$8)+INDEX('Вводные'!$F$88:$F$91,$B$8)+'Вводные'!$H$9)),MONTH(AZ$3)=MONTH(EDATE(INDEX('Вводные'!$D$88:$D$91,$B$8),INDEX('Вводные'!$E$88:$E$91,$B$8)+INDEX('Вводные'!$F$88:$F$91,$B$8)+'Вводные'!$H$9)),AND($B$7="Да",IFERROR(INDEX('Вводные'!$B$88:$B$91,$B$8),"Нет")="Да")),MAX(0,SUM($D25:AZ25)-AZ25),0)</x:f>
      </x:c>
      <x:c r="BA27" s="107" t="n">
        <x:f>IF(AND(YEAR(BA$3)=YEAR(EDATE(INDEX('Вводные'!$D$88:$D$91,$B$8),INDEX('Вводные'!$E$88:$E$91,$B$8)+INDEX('Вводные'!$F$88:$F$91,$B$8)+'Вводные'!$H$9)),MONTH(BA$3)=MONTH(EDATE(INDEX('Вводные'!$D$88:$D$91,$B$8),INDEX('Вводные'!$E$88:$E$91,$B$8)+INDEX('Вводные'!$F$88:$F$91,$B$8)+'Вводные'!$H$9)),AND($B$7="Да",IFERROR(INDEX('Вводные'!$B$88:$B$91,$B$8),"Нет")="Да")),MAX(0,SUM($D25:BA25)-BA25),0)</x:f>
      </x:c>
      <x:c r="BB27" s="107" t="n">
        <x:f>IF(AND(YEAR(BB$3)=YEAR(EDATE(INDEX('Вводные'!$D$88:$D$91,$B$8),INDEX('Вводные'!$E$88:$E$91,$B$8)+INDEX('Вводные'!$F$88:$F$91,$B$8)+'Вводные'!$H$9)),MONTH(BB$3)=MONTH(EDATE(INDEX('Вводные'!$D$88:$D$91,$B$8),INDEX('Вводные'!$E$88:$E$91,$B$8)+INDEX('Вводные'!$F$88:$F$91,$B$8)+'Вводные'!$H$9)),AND($B$7="Да",IFERROR(INDEX('Вводные'!$B$88:$B$91,$B$8),"Нет")="Да")),MAX(0,SUM($D25:BB25)-BB25),0)</x:f>
      </x:c>
      <x:c r="BC27" s="107" t="n">
        <x:f>IF(AND(YEAR(BC$3)=YEAR(EDATE(INDEX('Вводные'!$D$88:$D$91,$B$8),INDEX('Вводные'!$E$88:$E$91,$B$8)+INDEX('Вводные'!$F$88:$F$91,$B$8)+'Вводные'!$H$9)),MONTH(BC$3)=MONTH(EDATE(INDEX('Вводные'!$D$88:$D$91,$B$8),INDEX('Вводные'!$E$88:$E$91,$B$8)+INDEX('Вводные'!$F$88:$F$91,$B$8)+'Вводные'!$H$9)),AND($B$7="Да",IFERROR(INDEX('Вводные'!$B$88:$B$91,$B$8),"Нет")="Да")),MAX(0,SUM($D25:BC25)-BC25),0)</x:f>
      </x:c>
      <x:c r="BD27" s="107" t="n">
        <x:f>IF(AND(YEAR(BD$3)=YEAR(EDATE(INDEX('Вводные'!$D$88:$D$91,$B$8),INDEX('Вводные'!$E$88:$E$91,$B$8)+INDEX('Вводные'!$F$88:$F$91,$B$8)+'Вводные'!$H$9)),MONTH(BD$3)=MONTH(EDATE(INDEX('Вводные'!$D$88:$D$91,$B$8),INDEX('Вводные'!$E$88:$E$91,$B$8)+INDEX('Вводные'!$F$88:$F$91,$B$8)+'Вводные'!$H$9)),AND($B$7="Да",IFERROR(INDEX('Вводные'!$B$88:$B$91,$B$8),"Нет")="Да")),MAX(0,SUM($D25:BD25)-BD25),0)</x:f>
      </x:c>
      <x:c r="BE27" s="107" t="n">
        <x:f>IF(AND(YEAR(BE$3)=YEAR(EDATE(INDEX('Вводные'!$D$88:$D$91,$B$8),INDEX('Вводные'!$E$88:$E$91,$B$8)+INDEX('Вводные'!$F$88:$F$91,$B$8)+'Вводные'!$H$9)),MONTH(BE$3)=MONTH(EDATE(INDEX('Вводные'!$D$88:$D$91,$B$8),INDEX('Вводные'!$E$88:$E$91,$B$8)+INDEX('Вводные'!$F$88:$F$91,$B$8)+'Вводные'!$H$9)),AND($B$7="Да",IFERROR(INDEX('Вводные'!$B$88:$B$91,$B$8),"Нет")="Да")),MAX(0,SUM($D25:BE25)-BE25),0)</x:f>
      </x:c>
      <x:c r="BF27" s="107" t="n">
        <x:f>IF(AND(YEAR(BF$3)=YEAR(EDATE(INDEX('Вводные'!$D$88:$D$91,$B$8),INDEX('Вводные'!$E$88:$E$91,$B$8)+INDEX('Вводные'!$F$88:$F$91,$B$8)+'Вводные'!$H$9)),MONTH(BF$3)=MONTH(EDATE(INDEX('Вводные'!$D$88:$D$91,$B$8),INDEX('Вводные'!$E$88:$E$91,$B$8)+INDEX('Вводные'!$F$88:$F$91,$B$8)+'Вводные'!$H$9)),AND($B$7="Да",IFERROR(INDEX('Вводные'!$B$88:$B$91,$B$8),"Нет")="Да")),MAX(0,SUM($D25:BF25)-BF25),0)</x:f>
      </x:c>
      <x:c r="BG27" s="107" t="n">
        <x:f>IF(AND(YEAR(BG$3)=YEAR(EDATE(INDEX('Вводные'!$D$88:$D$91,$B$8),INDEX('Вводные'!$E$88:$E$91,$B$8)+INDEX('Вводные'!$F$88:$F$91,$B$8)+'Вводные'!$H$9)),MONTH(BG$3)=MONTH(EDATE(INDEX('Вводные'!$D$88:$D$91,$B$8),INDEX('Вводные'!$E$88:$E$91,$B$8)+INDEX('Вводные'!$F$88:$F$91,$B$8)+'Вводные'!$H$9)),AND($B$7="Да",IFERROR(INDEX('Вводные'!$B$88:$B$91,$B$8),"Нет")="Да")),MAX(0,SUM($D25:BG25)-BG25),0)</x:f>
      </x:c>
      <x:c r="BH27" s="107" t="n">
        <x:f>IF(AND(YEAR(BH$3)=YEAR(EDATE(INDEX('Вводные'!$D$88:$D$91,$B$8),INDEX('Вводные'!$E$88:$E$91,$B$8)+INDEX('Вводные'!$F$88:$F$91,$B$8)+'Вводные'!$H$9)),MONTH(BH$3)=MONTH(EDATE(INDEX('Вводные'!$D$88:$D$91,$B$8),INDEX('Вводные'!$E$88:$E$91,$B$8)+INDEX('Вводные'!$F$88:$F$91,$B$8)+'Вводные'!$H$9)),AND($B$7="Да",IFERROR(INDEX('Вводные'!$B$88:$B$91,$B$8),"Нет")="Да")),MAX(0,SUM($D25:BH25)-BH25),0)</x:f>
      </x:c>
      <x:c r="BI27" s="107" t="n">
        <x:f>IF(AND(YEAR(BI$3)=YEAR(EDATE(INDEX('Вводные'!$D$88:$D$91,$B$8),INDEX('Вводные'!$E$88:$E$91,$B$8)+INDEX('Вводные'!$F$88:$F$91,$B$8)+'Вводные'!$H$9)),MONTH(BI$3)=MONTH(EDATE(INDEX('Вводные'!$D$88:$D$91,$B$8),INDEX('Вводные'!$E$88:$E$91,$B$8)+INDEX('Вводные'!$F$88:$F$91,$B$8)+'Вводные'!$H$9)),AND($B$7="Да",IFERROR(INDEX('Вводные'!$B$88:$B$91,$B$8),"Нет")="Да")),MAX(0,SUM($D25:BI25)-BI25),0)</x:f>
      </x:c>
      <x:c r="BJ27" s="107" t="n">
        <x:f>IF(AND(YEAR(BJ$3)=YEAR(EDATE(INDEX('Вводные'!$D$88:$D$91,$B$8),INDEX('Вводные'!$E$88:$E$91,$B$8)+INDEX('Вводные'!$F$88:$F$91,$B$8)+'Вводные'!$H$9)),MONTH(BJ$3)=MONTH(EDATE(INDEX('Вводные'!$D$88:$D$91,$B$8),INDEX('Вводные'!$E$88:$E$91,$B$8)+INDEX('Вводные'!$F$88:$F$91,$B$8)+'Вводные'!$H$9)),AND($B$7="Да",IFERROR(INDEX('Вводные'!$B$88:$B$91,$B$8),"Нет")="Да")),MAX(0,SUM($D25:BJ25)-BJ25),0)</x:f>
      </x:c>
      <x:c r="BK27" s="107" t="n">
        <x:f>IF(AND(YEAR(BK$3)=YEAR(EDATE(INDEX('Вводные'!$D$88:$D$91,$B$8),INDEX('Вводные'!$E$88:$E$91,$B$8)+INDEX('Вводные'!$F$88:$F$91,$B$8)+'Вводные'!$H$9)),MONTH(BK$3)=MONTH(EDATE(INDEX('Вводные'!$D$88:$D$91,$B$8),INDEX('Вводные'!$E$88:$E$91,$B$8)+INDEX('Вводные'!$F$88:$F$91,$B$8)+'Вводные'!$H$9)),AND($B$7="Да",IFERROR(INDEX('Вводные'!$B$88:$B$91,$B$8),"Нет")="Да")),MAX(0,SUM($D25:BK25)-BK25),0)</x:f>
      </x:c>
      <x:c r="BL27" s="107" t="n">
        <x:f>IF(AND(YEAR(BL$3)=YEAR(EDATE(INDEX('Вводные'!$D$88:$D$91,$B$8),INDEX('Вводные'!$E$88:$E$91,$B$8)+INDEX('Вводные'!$F$88:$F$91,$B$8)+'Вводные'!$H$9)),MONTH(BL$3)=MONTH(EDATE(INDEX('Вводные'!$D$88:$D$91,$B$8),INDEX('Вводные'!$E$88:$E$91,$B$8)+INDEX('Вводные'!$F$88:$F$91,$B$8)+'Вводные'!$H$9)),AND($B$7="Да",IFERROR(INDEX('Вводные'!$B$88:$B$91,$B$8),"Нет")="Да")),MAX(0,SUM($D25:BL25)-BL25),0)</x:f>
      </x:c>
      <x:c r="BM27" s="107" t="n">
        <x:f>IF(AND(YEAR(BM$3)=YEAR(EDATE(INDEX('Вводные'!$D$88:$D$91,$B$8),INDEX('Вводные'!$E$88:$E$91,$B$8)+INDEX('Вводные'!$F$88:$F$91,$B$8)+'Вводные'!$H$9)),MONTH(BM$3)=MONTH(EDATE(INDEX('Вводные'!$D$88:$D$91,$B$8),INDEX('Вводные'!$E$88:$E$91,$B$8)+INDEX('Вводные'!$F$88:$F$91,$B$8)+'Вводные'!$H$9)),AND($B$7="Да",IFERROR(INDEX('Вводные'!$B$88:$B$91,$B$8),"Нет")="Да")),MAX(0,SUM($D25:BM25)-BM25),0)</x:f>
      </x:c>
      <x:c r="BN27" s="107" t="n">
        <x:f>IF(AND(YEAR(BN$3)=YEAR(EDATE(INDEX('Вводные'!$D$88:$D$91,$B$8),INDEX('Вводные'!$E$88:$E$91,$B$8)+INDEX('Вводные'!$F$88:$F$91,$B$8)+'Вводные'!$H$9)),MONTH(BN$3)=MONTH(EDATE(INDEX('Вводные'!$D$88:$D$91,$B$8),INDEX('Вводные'!$E$88:$E$91,$B$8)+INDEX('Вводные'!$F$88:$F$91,$B$8)+'Вводные'!$H$9)),AND($B$7="Да",IFERROR(INDEX('Вводные'!$B$88:$B$91,$B$8),"Нет")="Да")),MAX(0,SUM($D25:BN25)-BN25),0)</x:f>
      </x:c>
      <x:c r="BO27" s="107" t="n">
        <x:f>IF(AND(YEAR(BO$3)=YEAR(EDATE(INDEX('Вводные'!$D$88:$D$91,$B$8),INDEX('Вводные'!$E$88:$E$91,$B$8)+INDEX('Вводные'!$F$88:$F$91,$B$8)+'Вводные'!$H$9)),MONTH(BO$3)=MONTH(EDATE(INDEX('Вводные'!$D$88:$D$91,$B$8),INDEX('Вводные'!$E$88:$E$91,$B$8)+INDEX('Вводные'!$F$88:$F$91,$B$8)+'Вводные'!$H$9)),AND($B$7="Да",IFERROR(INDEX('Вводные'!$B$88:$B$91,$B$8),"Нет")="Да")),MAX(0,SUM($D25:BO25)-BO25),0)</x:f>
      </x:c>
      <x:c r="BP27" s="107" t="n">
        <x:f>IF(AND(YEAR(BP$3)=YEAR(EDATE(INDEX('Вводные'!$D$88:$D$91,$B$8),INDEX('Вводные'!$E$88:$E$91,$B$8)+INDEX('Вводные'!$F$88:$F$91,$B$8)+'Вводные'!$H$9)),MONTH(BP$3)=MONTH(EDATE(INDEX('Вводные'!$D$88:$D$91,$B$8),INDEX('Вводные'!$E$88:$E$91,$B$8)+INDEX('Вводные'!$F$88:$F$91,$B$8)+'Вводные'!$H$9)),AND($B$7="Да",IFERROR(INDEX('Вводные'!$B$88:$B$91,$B$8),"Нет")="Да")),MAX(0,SUM($D25:BP25)-BP25),0)</x:f>
      </x:c>
      <x:c r="BQ27" s="107" t="n">
        <x:f>IF(AND(YEAR(BQ$3)=YEAR(EDATE(INDEX('Вводные'!$D$88:$D$91,$B$8),INDEX('Вводные'!$E$88:$E$91,$B$8)+INDEX('Вводные'!$F$88:$F$91,$B$8)+'Вводные'!$H$9)),MONTH(BQ$3)=MONTH(EDATE(INDEX('Вводные'!$D$88:$D$91,$B$8),INDEX('Вводные'!$E$88:$E$91,$B$8)+INDEX('Вводные'!$F$88:$F$91,$B$8)+'Вводные'!$H$9)),AND($B$7="Да",IFERROR(INDEX('Вводные'!$B$88:$B$91,$B$8),"Нет")="Да")),MAX(0,SUM($D25:BQ25)-BQ25),0)</x:f>
      </x:c>
      <x:c r="BR27" s="107" t="n">
        <x:f>IF(AND(YEAR(BR$3)=YEAR(EDATE(INDEX('Вводные'!$D$88:$D$91,$B$8),INDEX('Вводные'!$E$88:$E$91,$B$8)+INDEX('Вводные'!$F$88:$F$91,$B$8)+'Вводные'!$H$9)),MONTH(BR$3)=MONTH(EDATE(INDEX('Вводные'!$D$88:$D$91,$B$8),INDEX('Вводные'!$E$88:$E$91,$B$8)+INDEX('Вводные'!$F$88:$F$91,$B$8)+'Вводные'!$H$9)),AND($B$7="Да",IFERROR(INDEX('Вводные'!$B$88:$B$91,$B$8),"Нет")="Да")),MAX(0,SUM($D25:BR25)-BR25),0)</x:f>
      </x:c>
      <x:c r="BS27" s="107" t="n">
        <x:f>IF(AND(YEAR(BS$3)=YEAR(EDATE(INDEX('Вводные'!$D$88:$D$91,$B$8),INDEX('Вводные'!$E$88:$E$91,$B$8)+INDEX('Вводные'!$F$88:$F$91,$B$8)+'Вводные'!$H$9)),MONTH(BS$3)=MONTH(EDATE(INDEX('Вводные'!$D$88:$D$91,$B$8),INDEX('Вводные'!$E$88:$E$91,$B$8)+INDEX('Вводные'!$F$88:$F$91,$B$8)+'Вводные'!$H$9)),AND($B$7="Да",IFERROR(INDEX('Вводные'!$B$88:$B$91,$B$8),"Нет")="Да")),MAX(0,SUM($D25:BS25)-BS25),0)</x:f>
      </x:c>
      <x:c r="BT27" s="107" t="n">
        <x:f>IF(AND(YEAR(BT$3)=YEAR(EDATE(INDEX('Вводные'!$D$88:$D$91,$B$8),INDEX('Вводные'!$E$88:$E$91,$B$8)+INDEX('Вводные'!$F$88:$F$91,$B$8)+'Вводные'!$H$9)),MONTH(BT$3)=MONTH(EDATE(INDEX('Вводные'!$D$88:$D$91,$B$8),INDEX('Вводные'!$E$88:$E$91,$B$8)+INDEX('Вводные'!$F$88:$F$91,$B$8)+'Вводные'!$H$9)),AND($B$7="Да",IFERROR(INDEX('Вводные'!$B$88:$B$91,$B$8),"Нет")="Да")),MAX(0,SUM($D25:BT25)-BT25),0)</x:f>
      </x:c>
      <x:c r="BU27" s="107" t="n">
        <x:f>IF(AND(YEAR(BU$3)=YEAR(EDATE(INDEX('Вводные'!$D$88:$D$91,$B$8),INDEX('Вводные'!$E$88:$E$91,$B$8)+INDEX('Вводные'!$F$88:$F$91,$B$8)+'Вводные'!$H$9)),MONTH(BU$3)=MONTH(EDATE(INDEX('Вводные'!$D$88:$D$91,$B$8),INDEX('Вводные'!$E$88:$E$91,$B$8)+INDEX('Вводные'!$F$88:$F$91,$B$8)+'Вводные'!$H$9)),AND($B$7="Да",IFERROR(INDEX('Вводные'!$B$88:$B$91,$B$8),"Нет")="Да")),MAX(0,SUM($D25:BU25)-BU25),0)</x:f>
      </x:c>
      <x:c r="BV27" s="107" t="n">
        <x:f>IF(AND(YEAR(BV$3)=YEAR(EDATE(INDEX('Вводные'!$D$88:$D$91,$B$8),INDEX('Вводные'!$E$88:$E$91,$B$8)+INDEX('Вводные'!$F$88:$F$91,$B$8)+'Вводные'!$H$9)),MONTH(BV$3)=MONTH(EDATE(INDEX('Вводные'!$D$88:$D$91,$B$8),INDEX('Вводные'!$E$88:$E$91,$B$8)+INDEX('Вводные'!$F$88:$F$91,$B$8)+'Вводные'!$H$9)),AND($B$7="Да",IFERROR(INDEX('Вводные'!$B$88:$B$91,$B$8),"Нет")="Да")),MAX(0,SUM($D25:BV25)-BV25),0)</x:f>
      </x:c>
      <x:c r="BW27" s="107" t="n">
        <x:f>IF(AND(YEAR(BW$3)=YEAR(EDATE(INDEX('Вводные'!$D$88:$D$91,$B$8),INDEX('Вводные'!$E$88:$E$91,$B$8)+INDEX('Вводные'!$F$88:$F$91,$B$8)+'Вводные'!$H$9)),MONTH(BW$3)=MONTH(EDATE(INDEX('Вводные'!$D$88:$D$91,$B$8),INDEX('Вводные'!$E$88:$E$91,$B$8)+INDEX('Вводные'!$F$88:$F$91,$B$8)+'Вводные'!$H$9)),AND($B$7="Да",IFERROR(INDEX('Вводные'!$B$88:$B$91,$B$8),"Нет")="Да")),MAX(0,SUM($D25:BW25)-BW25),0)</x:f>
      </x:c>
      <x:c r="BX27" s="107" t="n">
        <x:f>IF(AND(YEAR(BX$3)=YEAR(EDATE(INDEX('Вводные'!$D$88:$D$91,$B$8),INDEX('Вводные'!$E$88:$E$91,$B$8)+INDEX('Вводные'!$F$88:$F$91,$B$8)+'Вводные'!$H$9)),MONTH(BX$3)=MONTH(EDATE(INDEX('Вводные'!$D$88:$D$91,$B$8),INDEX('Вводные'!$E$88:$E$91,$B$8)+INDEX('Вводные'!$F$88:$F$91,$B$8)+'Вводные'!$H$9)),AND($B$7="Да",IFERROR(INDEX('Вводные'!$B$88:$B$91,$B$8),"Нет")="Да")),MAX(0,SUM($D25:BX25)-BX25),0)</x:f>
      </x:c>
      <x:c r="BY27" s="107" t="n">
        <x:f>IF(AND(YEAR(BY$3)=YEAR(EDATE(INDEX('Вводные'!$D$88:$D$91,$B$8),INDEX('Вводные'!$E$88:$E$91,$B$8)+INDEX('Вводные'!$F$88:$F$91,$B$8)+'Вводные'!$H$9)),MONTH(BY$3)=MONTH(EDATE(INDEX('Вводные'!$D$88:$D$91,$B$8),INDEX('Вводные'!$E$88:$E$91,$B$8)+INDEX('Вводные'!$F$88:$F$91,$B$8)+'Вводные'!$H$9)),AND($B$7="Да",IFERROR(INDEX('Вводные'!$B$88:$B$91,$B$8),"Нет")="Да")),MAX(0,SUM($D25:BY25)-BY25),0)</x:f>
      </x:c>
      <x:c r="BZ27" s="107" t="n">
        <x:f>IF(AND(YEAR(BZ$3)=YEAR(EDATE(INDEX('Вводные'!$D$88:$D$91,$B$8),INDEX('Вводные'!$E$88:$E$91,$B$8)+INDEX('Вводные'!$F$88:$F$91,$B$8)+'Вводные'!$H$9)),MONTH(BZ$3)=MONTH(EDATE(INDEX('Вводные'!$D$88:$D$91,$B$8),INDEX('Вводные'!$E$88:$E$91,$B$8)+INDEX('Вводные'!$F$88:$F$91,$B$8)+'Вводные'!$H$9)),AND($B$7="Да",IFERROR(INDEX('Вводные'!$B$88:$B$91,$B$8),"Нет")="Да")),MAX(0,SUM($D25:BZ25)-BZ25),0)</x:f>
      </x:c>
      <x:c r="CA27" s="107" t="n">
        <x:f>IF(AND(YEAR(CA$3)=YEAR(EDATE(INDEX('Вводные'!$D$88:$D$91,$B$8),INDEX('Вводные'!$E$88:$E$91,$B$8)+INDEX('Вводные'!$F$88:$F$91,$B$8)+'Вводные'!$H$9)),MONTH(CA$3)=MONTH(EDATE(INDEX('Вводные'!$D$88:$D$91,$B$8),INDEX('Вводные'!$E$88:$E$91,$B$8)+INDEX('Вводные'!$F$88:$F$91,$B$8)+'Вводные'!$H$9)),AND($B$7="Да",IFERROR(INDEX('Вводные'!$B$88:$B$91,$B$8),"Нет")="Да")),MAX(0,SUM($D25:CA25)-CA25),0)</x:f>
      </x:c>
      <x:c r="CB27" s="107" t="n">
        <x:f>IF(AND(YEAR(CB$3)=YEAR(EDATE(INDEX('Вводные'!$D$88:$D$91,$B$8),INDEX('Вводные'!$E$88:$E$91,$B$8)+INDEX('Вводные'!$F$88:$F$91,$B$8)+'Вводные'!$H$9)),MONTH(CB$3)=MONTH(EDATE(INDEX('Вводные'!$D$88:$D$91,$B$8),INDEX('Вводные'!$E$88:$E$91,$B$8)+INDEX('Вводные'!$F$88:$F$91,$B$8)+'Вводные'!$H$9)),AND($B$7="Да",IFERROR(INDEX('Вводные'!$B$88:$B$91,$B$8),"Нет")="Да")),MAX(0,SUM($D25:CB25)-CB25),0)</x:f>
      </x:c>
      <x:c r="CC27" s="107" t="n">
        <x:f>IF(AND(YEAR(CC$3)=YEAR(EDATE(INDEX('Вводные'!$D$88:$D$91,$B$8),INDEX('Вводные'!$E$88:$E$91,$B$8)+INDEX('Вводные'!$F$88:$F$91,$B$8)+'Вводные'!$H$9)),MONTH(CC$3)=MONTH(EDATE(INDEX('Вводные'!$D$88:$D$91,$B$8),INDEX('Вводные'!$E$88:$E$91,$B$8)+INDEX('Вводные'!$F$88:$F$91,$B$8)+'Вводные'!$H$9)),AND($B$7="Да",IFERROR(INDEX('Вводные'!$B$88:$B$91,$B$8),"Нет")="Да")),MAX(0,SUM($D25:CC25)-CC25),0)</x:f>
      </x:c>
      <x:c r="CD27" s="107" t="n">
        <x:f>IF(AND(YEAR(CD$3)=YEAR(EDATE(INDEX('Вводные'!$D$88:$D$91,$B$8),INDEX('Вводные'!$E$88:$E$91,$B$8)+INDEX('Вводные'!$F$88:$F$91,$B$8)+'Вводные'!$H$9)),MONTH(CD$3)=MONTH(EDATE(INDEX('Вводные'!$D$88:$D$91,$B$8),INDEX('Вводные'!$E$88:$E$91,$B$8)+INDEX('Вводные'!$F$88:$F$91,$B$8)+'Вводные'!$H$9)),AND($B$7="Да",IFERROR(INDEX('Вводные'!$B$88:$B$91,$B$8),"Нет")="Да")),MAX(0,SUM($D25:CD25)-CD25),0)</x:f>
      </x:c>
      <x:c r="CE27" s="107" t="n">
        <x:f>IF(AND(YEAR(CE$3)=YEAR(EDATE(INDEX('Вводные'!$D$88:$D$91,$B$8),INDEX('Вводные'!$E$88:$E$91,$B$8)+INDEX('Вводные'!$F$88:$F$91,$B$8)+'Вводные'!$H$9)),MONTH(CE$3)=MONTH(EDATE(INDEX('Вводные'!$D$88:$D$91,$B$8),INDEX('Вводные'!$E$88:$E$91,$B$8)+INDEX('Вводные'!$F$88:$F$91,$B$8)+'Вводные'!$H$9)),AND($B$7="Да",IFERROR(INDEX('Вводные'!$B$88:$B$91,$B$8),"Нет")="Да")),MAX(0,SUM($D25:CE25)-CE25),0)</x:f>
      </x:c>
      <x:c r="CF27" s="107" t="n">
        <x:f>IF(AND(YEAR(CF$3)=YEAR(EDATE(INDEX('Вводные'!$D$88:$D$91,$B$8),INDEX('Вводные'!$E$88:$E$91,$B$8)+INDEX('Вводные'!$F$88:$F$91,$B$8)+'Вводные'!$H$9)),MONTH(CF$3)=MONTH(EDATE(INDEX('Вводные'!$D$88:$D$91,$B$8),INDEX('Вводные'!$E$88:$E$91,$B$8)+INDEX('Вводные'!$F$88:$F$91,$B$8)+'Вводные'!$H$9)),AND($B$7="Да",IFERROR(INDEX('Вводные'!$B$88:$B$91,$B$8),"Нет")="Да")),MAX(0,SUM($D25:CF25)-CF25),0)</x:f>
      </x:c>
      <x:c r="CG27" s="107" t="n">
        <x:f>IF(AND(YEAR(CG$3)=YEAR(EDATE(INDEX('Вводные'!$D$88:$D$91,$B$8),INDEX('Вводные'!$E$88:$E$91,$B$8)+INDEX('Вводные'!$F$88:$F$91,$B$8)+'Вводные'!$H$9)),MONTH(CG$3)=MONTH(EDATE(INDEX('Вводные'!$D$88:$D$91,$B$8),INDEX('Вводные'!$E$88:$E$91,$B$8)+INDEX('Вводные'!$F$88:$F$91,$B$8)+'Вводные'!$H$9)),AND($B$7="Да",IFERROR(INDEX('Вводные'!$B$88:$B$91,$B$8),"Нет")="Да")),MAX(0,SUM($D25:CG25)-CG25),0)</x:f>
      </x:c>
      <x:c r="CH27" s="107" t="n">
        <x:f>IF(AND(YEAR(CH$3)=YEAR(EDATE(INDEX('Вводные'!$D$88:$D$91,$B$8),INDEX('Вводные'!$E$88:$E$91,$B$8)+INDEX('Вводные'!$F$88:$F$91,$B$8)+'Вводные'!$H$9)),MONTH(CH$3)=MONTH(EDATE(INDEX('Вводные'!$D$88:$D$91,$B$8),INDEX('Вводные'!$E$88:$E$91,$B$8)+INDEX('Вводные'!$F$88:$F$91,$B$8)+'Вводные'!$H$9)),AND($B$7="Да",IFERROR(INDEX('Вводные'!$B$88:$B$91,$B$8),"Нет")="Да")),MAX(0,SUM($D25:CH25)-CH25),0)</x:f>
      </x:c>
      <x:c r="CI27" s="107" t="n">
        <x:f>IF(AND(YEAR(CI$3)=YEAR(EDATE(INDEX('Вводные'!$D$88:$D$91,$B$8),INDEX('Вводные'!$E$88:$E$91,$B$8)+INDEX('Вводные'!$F$88:$F$91,$B$8)+'Вводные'!$H$9)),MONTH(CI$3)=MONTH(EDATE(INDEX('Вводные'!$D$88:$D$91,$B$8),INDEX('Вводные'!$E$88:$E$91,$B$8)+INDEX('Вводные'!$F$88:$F$91,$B$8)+'Вводные'!$H$9)),AND($B$7="Да",IFERROR(INDEX('Вводные'!$B$88:$B$91,$B$8),"Нет")="Да")),MAX(0,SUM($D25:CI25)-CI25),0)</x:f>
      </x:c>
      <x:c r="CJ27" s="107" t="n">
        <x:f>IF(AND(YEAR(CJ$3)=YEAR(EDATE(INDEX('Вводные'!$D$88:$D$91,$B$8),INDEX('Вводные'!$E$88:$E$91,$B$8)+INDEX('Вводные'!$F$88:$F$91,$B$8)+'Вводные'!$H$9)),MONTH(CJ$3)=MONTH(EDATE(INDEX('Вводные'!$D$88:$D$91,$B$8),INDEX('Вводные'!$E$88:$E$91,$B$8)+INDEX('Вводные'!$F$88:$F$91,$B$8)+'Вводные'!$H$9)),AND($B$7="Да",IFERROR(INDEX('Вводные'!$B$88:$B$91,$B$8),"Нет")="Да")),MAX(0,SUM($D25:CJ25)-CJ25),0)</x:f>
      </x:c>
      <x:c r="CK27" s="107" t="n">
        <x:f>IF(AND(YEAR(CK$3)=YEAR(EDATE(INDEX('Вводные'!$D$88:$D$91,$B$8),INDEX('Вводные'!$E$88:$E$91,$B$8)+INDEX('Вводные'!$F$88:$F$91,$B$8)+'Вводные'!$H$9)),MONTH(CK$3)=MONTH(EDATE(INDEX('Вводные'!$D$88:$D$91,$B$8),INDEX('Вводные'!$E$88:$E$91,$B$8)+INDEX('Вводные'!$F$88:$F$91,$B$8)+'Вводные'!$H$9)),AND($B$7="Да",IFERROR(INDEX('Вводные'!$B$88:$B$91,$B$8),"Нет")="Да")),MAX(0,SUM($D25:CK25)-CK25),0)</x:f>
      </x:c>
      <x:c r="CL27" s="107" t="n">
        <x:f>IF(AND(YEAR(CL$3)=YEAR(EDATE(INDEX('Вводные'!$D$88:$D$91,$B$8),INDEX('Вводные'!$E$88:$E$91,$B$8)+INDEX('Вводные'!$F$88:$F$91,$B$8)+'Вводные'!$H$9)),MONTH(CL$3)=MONTH(EDATE(INDEX('Вводные'!$D$88:$D$91,$B$8),INDEX('Вводные'!$E$88:$E$91,$B$8)+INDEX('Вводные'!$F$88:$F$91,$B$8)+'Вводные'!$H$9)),AND($B$7="Да",IFERROR(INDEX('Вводные'!$B$88:$B$91,$B$8),"Нет")="Да")),MAX(0,SUM($D25:CL25)-CL25),0)</x:f>
      </x:c>
      <x:c r="CM27" s="107" t="n">
        <x:f>IF(AND(YEAR(CM$3)=YEAR(EDATE(INDEX('Вводные'!$D$88:$D$91,$B$8),INDEX('Вводные'!$E$88:$E$91,$B$8)+INDEX('Вводные'!$F$88:$F$91,$B$8)+'Вводные'!$H$9)),MONTH(CM$3)=MONTH(EDATE(INDEX('Вводные'!$D$88:$D$91,$B$8),INDEX('Вводные'!$E$88:$E$91,$B$8)+INDEX('Вводные'!$F$88:$F$91,$B$8)+'Вводные'!$H$9)),AND($B$7="Да",IFERROR(INDEX('Вводные'!$B$88:$B$91,$B$8),"Нет")="Да")),MAX(0,SUM($D25:CM25)-CM25),0)</x:f>
      </x:c>
      <x:c r="CN27" s="107" t="n">
        <x:f>IF(AND(YEAR(CN$3)=YEAR(EDATE(INDEX('Вводные'!$D$88:$D$91,$B$8),INDEX('Вводные'!$E$88:$E$91,$B$8)+INDEX('Вводные'!$F$88:$F$91,$B$8)+'Вводные'!$H$9)),MONTH(CN$3)=MONTH(EDATE(INDEX('Вводные'!$D$88:$D$91,$B$8),INDEX('Вводные'!$E$88:$E$91,$B$8)+INDEX('Вводные'!$F$88:$F$91,$B$8)+'Вводные'!$H$9)),AND($B$7="Да",IFERROR(INDEX('Вводные'!$B$88:$B$91,$B$8),"Нет")="Да")),MAX(0,SUM($D25:CN25)-CN25),0)</x:f>
      </x:c>
      <x:c r="CO27" s="107" t="n">
        <x:f>IF(AND(YEAR(CO$3)=YEAR(EDATE(INDEX('Вводные'!$D$88:$D$91,$B$8),INDEX('Вводные'!$E$88:$E$91,$B$8)+INDEX('Вводные'!$F$88:$F$91,$B$8)+'Вводные'!$H$9)),MONTH(CO$3)=MONTH(EDATE(INDEX('Вводные'!$D$88:$D$91,$B$8),INDEX('Вводные'!$E$88:$E$91,$B$8)+INDEX('Вводные'!$F$88:$F$91,$B$8)+'Вводные'!$H$9)),AND($B$7="Да",IFERROR(INDEX('Вводные'!$B$88:$B$91,$B$8),"Нет")="Да")),MAX(0,SUM($D25:CO25)-CO25),0)</x:f>
      </x:c>
      <x:c r="CP27" s="107" t="n">
        <x:f>IF(AND(YEAR(CP$3)=YEAR(EDATE(INDEX('Вводные'!$D$88:$D$91,$B$8),INDEX('Вводные'!$E$88:$E$91,$B$8)+INDEX('Вводные'!$F$88:$F$91,$B$8)+'Вводные'!$H$9)),MONTH(CP$3)=MONTH(EDATE(INDEX('Вводные'!$D$88:$D$91,$B$8),INDEX('Вводные'!$E$88:$E$91,$B$8)+INDEX('Вводные'!$F$88:$F$91,$B$8)+'Вводные'!$H$9)),AND($B$7="Да",IFERROR(INDEX('Вводные'!$B$88:$B$91,$B$8),"Нет")="Да")),MAX(0,SUM($D25:CP25)-CP25),0)</x:f>
      </x:c>
      <x:c r="CQ27" s="107" t="n">
        <x:f>IF(AND(YEAR(CQ$3)=YEAR(EDATE(INDEX('Вводные'!$D$88:$D$91,$B$8),INDEX('Вводные'!$E$88:$E$91,$B$8)+INDEX('Вводные'!$F$88:$F$91,$B$8)+'Вводные'!$H$9)),MONTH(CQ$3)=MONTH(EDATE(INDEX('Вводные'!$D$88:$D$91,$B$8),INDEX('Вводные'!$E$88:$E$91,$B$8)+INDEX('Вводные'!$F$88:$F$91,$B$8)+'Вводные'!$H$9)),AND($B$7="Да",IFERROR(INDEX('Вводные'!$B$88:$B$91,$B$8),"Нет")="Да")),MAX(0,SUM($D25:CQ25)-CQ25),0)</x:f>
      </x:c>
      <x:c r="CR27" s="107" t="n">
        <x:f>IF(AND(YEAR(CR$3)=YEAR(EDATE(INDEX('Вводные'!$D$88:$D$91,$B$8),INDEX('Вводные'!$E$88:$E$91,$B$8)+INDEX('Вводные'!$F$88:$F$91,$B$8)+'Вводные'!$H$9)),MONTH(CR$3)=MONTH(EDATE(INDEX('Вводные'!$D$88:$D$91,$B$8),INDEX('Вводные'!$E$88:$E$91,$B$8)+INDEX('Вводные'!$F$88:$F$91,$B$8)+'Вводные'!$H$9)),AND($B$7="Да",IFERROR(INDEX('Вводные'!$B$88:$B$91,$B$8),"Нет")="Да")),MAX(0,SUM($D25:CR25)-CR25),0)</x:f>
      </x:c>
      <x:c r="CS27" s="107" t="n">
        <x:f>IF(AND(YEAR(CS$3)=YEAR(EDATE(INDEX('Вводные'!$D$88:$D$91,$B$8),INDEX('Вводные'!$E$88:$E$91,$B$8)+INDEX('Вводные'!$F$88:$F$91,$B$8)+'Вводные'!$H$9)),MONTH(CS$3)=MONTH(EDATE(INDEX('Вводные'!$D$88:$D$91,$B$8),INDEX('Вводные'!$E$88:$E$91,$B$8)+INDEX('Вводные'!$F$88:$F$91,$B$8)+'Вводные'!$H$9)),AND($B$7="Да",IFERROR(INDEX('Вводные'!$B$88:$B$91,$B$8),"Нет")="Да")),MAX(0,SUM($D25:CS25)-CS25),0)</x:f>
      </x:c>
      <x:c r="CT27" s="107" t="n">
        <x:f>IF(AND(YEAR(CT$3)=YEAR(EDATE(INDEX('Вводные'!$D$88:$D$91,$B$8),INDEX('Вводные'!$E$88:$E$91,$B$8)+INDEX('Вводные'!$F$88:$F$91,$B$8)+'Вводные'!$H$9)),MONTH(CT$3)=MONTH(EDATE(INDEX('Вводные'!$D$88:$D$91,$B$8),INDEX('Вводные'!$E$88:$E$91,$B$8)+INDEX('Вводные'!$F$88:$F$91,$B$8)+'Вводные'!$H$9)),AND($B$7="Да",IFERROR(INDEX('Вводные'!$B$88:$B$91,$B$8),"Нет")="Да")),MAX(0,SUM($D25:CT25)-CT25),0)</x:f>
      </x:c>
      <x:c r="CU27" s="107" t="n">
        <x:f>IF(AND(YEAR(CU$3)=YEAR(EDATE(INDEX('Вводные'!$D$88:$D$91,$B$8),INDEX('Вводные'!$E$88:$E$91,$B$8)+INDEX('Вводные'!$F$88:$F$91,$B$8)+'Вводные'!$H$9)),MONTH(CU$3)=MONTH(EDATE(INDEX('Вводные'!$D$88:$D$91,$B$8),INDEX('Вводные'!$E$88:$E$91,$B$8)+INDEX('Вводные'!$F$88:$F$91,$B$8)+'Вводные'!$H$9)),AND($B$7="Да",IFERROR(INDEX('Вводные'!$B$88:$B$91,$B$8),"Нет")="Да")),MAX(0,SUM($D25:CU25)-CU25),0)</x:f>
      </x:c>
      <x:c r="CV27" s="107" t="n">
        <x:f>IF(AND(YEAR(CV$3)=YEAR(EDATE(INDEX('Вводные'!$D$88:$D$91,$B$8),INDEX('Вводные'!$E$88:$E$91,$B$8)+INDEX('Вводные'!$F$88:$F$91,$B$8)+'Вводные'!$H$9)),MONTH(CV$3)=MONTH(EDATE(INDEX('Вводные'!$D$88:$D$91,$B$8),INDEX('Вводные'!$E$88:$E$91,$B$8)+INDEX('Вводные'!$F$88:$F$91,$B$8)+'Вводные'!$H$9)),AND($B$7="Да",IFERROR(INDEX('Вводные'!$B$88:$B$91,$B$8),"Нет")="Да")),MAX(0,SUM($D25:CV25)-CV25),0)</x:f>
      </x:c>
      <x:c r="CW27" s="107" t="n">
        <x:f>IF(AND(YEAR(CW$3)=YEAR(EDATE(INDEX('Вводные'!$D$88:$D$91,$B$8),INDEX('Вводные'!$E$88:$E$91,$B$8)+INDEX('Вводные'!$F$88:$F$91,$B$8)+'Вводные'!$H$9)),MONTH(CW$3)=MONTH(EDATE(INDEX('Вводные'!$D$88:$D$91,$B$8),INDEX('Вводные'!$E$88:$E$91,$B$8)+INDEX('Вводные'!$F$88:$F$91,$B$8)+'Вводные'!$H$9)),AND($B$7="Да",IFERROR(INDEX('Вводные'!$B$88:$B$91,$B$8),"Нет")="Да")),MAX(0,SUM($D25:CW25)-CW25),0)</x:f>
      </x:c>
      <x:c r="CX27" s="107" t="n">
        <x:f>IF(AND(YEAR(CX$3)=YEAR(EDATE(INDEX('Вводные'!$D$88:$D$91,$B$8),INDEX('Вводные'!$E$88:$E$91,$B$8)+INDEX('Вводные'!$F$88:$F$91,$B$8)+'Вводные'!$H$9)),MONTH(CX$3)=MONTH(EDATE(INDEX('Вводные'!$D$88:$D$91,$B$8),INDEX('Вводные'!$E$88:$E$91,$B$8)+INDEX('Вводные'!$F$88:$F$91,$B$8)+'Вводные'!$H$9)),AND($B$7="Да",IFERROR(INDEX('Вводные'!$B$88:$B$91,$B$8),"Нет")="Да")),MAX(0,SUM($D25:CX25)-CX25),0)</x:f>
      </x:c>
      <x:c r="CY27" s="107" t="n">
        <x:f>IF(AND(YEAR(CY$3)=YEAR(EDATE(INDEX('Вводные'!$D$88:$D$91,$B$8),INDEX('Вводные'!$E$88:$E$91,$B$8)+INDEX('Вводные'!$F$88:$F$91,$B$8)+'Вводные'!$H$9)),MONTH(CY$3)=MONTH(EDATE(INDEX('Вводные'!$D$88:$D$91,$B$8),INDEX('Вводные'!$E$88:$E$91,$B$8)+INDEX('Вводные'!$F$88:$F$91,$B$8)+'Вводные'!$H$9)),AND($B$7="Да",IFERROR(INDEX('Вводные'!$B$88:$B$91,$B$8),"Нет")="Да")),MAX(0,SUM($D25:CY25)-CY25),0)</x:f>
      </x:c>
      <x:c r="CZ27" s="107" t="n">
        <x:f>IF(AND(YEAR(CZ$3)=YEAR(EDATE(INDEX('Вводные'!$D$88:$D$91,$B$8),INDEX('Вводные'!$E$88:$E$91,$B$8)+INDEX('Вводные'!$F$88:$F$91,$B$8)+'Вводные'!$H$9)),MONTH(CZ$3)=MONTH(EDATE(INDEX('Вводные'!$D$88:$D$91,$B$8),INDEX('Вводные'!$E$88:$E$91,$B$8)+INDEX('Вводные'!$F$88:$F$91,$B$8)+'Вводные'!$H$9)),AND($B$7="Да",IFERROR(INDEX('Вводные'!$B$88:$B$91,$B$8),"Нет")="Да")),MAX(0,SUM($D25:CZ25)-CZ25),0)</x:f>
      </x:c>
      <x:c r="DA27" s="107" t="n">
        <x:f>IF(AND(YEAR(DA$3)=YEAR(EDATE(INDEX('Вводные'!$D$88:$D$91,$B$8),INDEX('Вводные'!$E$88:$E$91,$B$8)+INDEX('Вводные'!$F$88:$F$91,$B$8)+'Вводные'!$H$9)),MONTH(DA$3)=MONTH(EDATE(INDEX('Вводные'!$D$88:$D$91,$B$8),INDEX('Вводные'!$E$88:$E$91,$B$8)+INDEX('Вводные'!$F$88:$F$91,$B$8)+'Вводные'!$H$9)),AND($B$7="Да",IFERROR(INDEX('Вводные'!$B$88:$B$91,$B$8),"Нет")="Да")),MAX(0,SUM($D25:DA25)-DA25),0)</x:f>
      </x:c>
      <x:c r="DB27" s="107" t="n">
        <x:f>IF(AND(YEAR(DB$3)=YEAR(EDATE(INDEX('Вводные'!$D$88:$D$91,$B$8),INDEX('Вводные'!$E$88:$E$91,$B$8)+INDEX('Вводные'!$F$88:$F$91,$B$8)+'Вводные'!$H$9)),MONTH(DB$3)=MONTH(EDATE(INDEX('Вводные'!$D$88:$D$91,$B$8),INDEX('Вводные'!$E$88:$E$91,$B$8)+INDEX('Вводные'!$F$88:$F$91,$B$8)+'Вводные'!$H$9)),AND($B$7="Да",IFERROR(INDEX('Вводные'!$B$88:$B$91,$B$8),"Нет")="Да")),MAX(0,SUM($D25:DB25)-DB25),0)</x:f>
      </x:c>
      <x:c r="DC27" s="107" t="n">
        <x:f>IF(AND(YEAR(DC$3)=YEAR(EDATE(INDEX('Вводные'!$D$88:$D$91,$B$8),INDEX('Вводные'!$E$88:$E$91,$B$8)+INDEX('Вводные'!$F$88:$F$91,$B$8)+'Вводные'!$H$9)),MONTH(DC$3)=MONTH(EDATE(INDEX('Вводные'!$D$88:$D$91,$B$8),INDEX('Вводные'!$E$88:$E$91,$B$8)+INDEX('Вводные'!$F$88:$F$91,$B$8)+'Вводные'!$H$9)),AND($B$7="Да",IFERROR(INDEX('Вводные'!$B$88:$B$91,$B$8),"Нет")="Да")),MAX(0,SUM($D25:DC25)-DC25),0)</x:f>
      </x:c>
      <x:c r="DD27" s="107" t="n">
        <x:f>IF(AND(YEAR(DD$3)=YEAR(EDATE(INDEX('Вводные'!$D$88:$D$91,$B$8),INDEX('Вводные'!$E$88:$E$91,$B$8)+INDEX('Вводные'!$F$88:$F$91,$B$8)+'Вводные'!$H$9)),MONTH(DD$3)=MONTH(EDATE(INDEX('Вводные'!$D$88:$D$91,$B$8),INDEX('Вводные'!$E$88:$E$91,$B$8)+INDEX('Вводные'!$F$88:$F$91,$B$8)+'Вводные'!$H$9)),AND($B$7="Да",IFERROR(INDEX('Вводные'!$B$88:$B$91,$B$8),"Нет")="Да")),MAX(0,SUM($D25:DD25)-DD25),0)</x:f>
      </x:c>
      <x:c r="DE27" s="107" t="n">
        <x:f>IF(AND(YEAR(DE$3)=YEAR(EDATE(INDEX('Вводные'!$D$88:$D$91,$B$8),INDEX('Вводные'!$E$88:$E$91,$B$8)+INDEX('Вводные'!$F$88:$F$91,$B$8)+'Вводные'!$H$9)),MONTH(DE$3)=MONTH(EDATE(INDEX('Вводные'!$D$88:$D$91,$B$8),INDEX('Вводные'!$E$88:$E$91,$B$8)+INDEX('Вводные'!$F$88:$F$91,$B$8)+'Вводные'!$H$9)),AND($B$7="Да",IFERROR(INDEX('Вводные'!$B$88:$B$91,$B$8),"Нет")="Да")),MAX(0,SUM($D25:DE25)-DE25),0)</x:f>
      </x:c>
      <x:c r="DF27" s="107" t="n">
        <x:f>IF(AND(YEAR(DF$3)=YEAR(EDATE(INDEX('Вводные'!$D$88:$D$91,$B$8),INDEX('Вводные'!$E$88:$E$91,$B$8)+INDEX('Вводные'!$F$88:$F$91,$B$8)+'Вводные'!$H$9)),MONTH(DF$3)=MONTH(EDATE(INDEX('Вводные'!$D$88:$D$91,$B$8),INDEX('Вводные'!$E$88:$E$91,$B$8)+INDEX('Вводные'!$F$88:$F$91,$B$8)+'Вводные'!$H$9)),AND($B$7="Да",IFERROR(INDEX('Вводные'!$B$88:$B$91,$B$8),"Нет")="Да")),MAX(0,SUM($D25:DF25)-DF25),0)</x:f>
      </x:c>
      <x:c r="DG27" s="107" t="n">
        <x:f>IF(AND(YEAR(DG$3)=YEAR(EDATE(INDEX('Вводные'!$D$88:$D$91,$B$8),INDEX('Вводные'!$E$88:$E$91,$B$8)+INDEX('Вводные'!$F$88:$F$91,$B$8)+'Вводные'!$H$9)),MONTH(DG$3)=MONTH(EDATE(INDEX('Вводные'!$D$88:$D$91,$B$8),INDEX('Вводные'!$E$88:$E$91,$B$8)+INDEX('Вводные'!$F$88:$F$91,$B$8)+'Вводные'!$H$9)),AND($B$7="Да",IFERROR(INDEX('Вводные'!$B$88:$B$91,$B$8),"Нет")="Да")),MAX(0,SUM($D25:DG25)-DG25),0)</x:f>
      </x:c>
      <x:c r="DH27" s="107" t="n">
        <x:f>IF(AND(YEAR(DH$3)=YEAR(EDATE(INDEX('Вводные'!$D$88:$D$91,$B$8),INDEX('Вводные'!$E$88:$E$91,$B$8)+INDEX('Вводные'!$F$88:$F$91,$B$8)+'Вводные'!$H$9)),MONTH(DH$3)=MONTH(EDATE(INDEX('Вводные'!$D$88:$D$91,$B$8),INDEX('Вводные'!$E$88:$E$91,$B$8)+INDEX('Вводные'!$F$88:$F$91,$B$8)+'Вводные'!$H$9)),AND($B$7="Да",IFERROR(INDEX('Вводные'!$B$88:$B$91,$B$8),"Нет")="Да")),MAX(0,SUM($D25:DH25)-DH25),0)</x:f>
      </x:c>
      <x:c r="DI27" s="107" t="n">
        <x:f>IF(AND(YEAR(DI$3)=YEAR(EDATE(INDEX('Вводные'!$D$88:$D$91,$B$8),INDEX('Вводные'!$E$88:$E$91,$B$8)+INDEX('Вводные'!$F$88:$F$91,$B$8)+'Вводные'!$H$9)),MONTH(DI$3)=MONTH(EDATE(INDEX('Вводные'!$D$88:$D$91,$B$8),INDEX('Вводные'!$E$88:$E$91,$B$8)+INDEX('Вводные'!$F$88:$F$91,$B$8)+'Вводные'!$H$9)),AND($B$7="Да",IFERROR(INDEX('Вводные'!$B$88:$B$91,$B$8),"Нет")="Да")),MAX(0,SUM($D25:DI25)-DI25),0)</x:f>
      </x:c>
      <x:c r="DJ27" s="107" t="n">
        <x:f>IF(AND(YEAR(DJ$3)=YEAR(EDATE(INDEX('Вводные'!$D$88:$D$91,$B$8),INDEX('Вводные'!$E$88:$E$91,$B$8)+INDEX('Вводные'!$F$88:$F$91,$B$8)+'Вводные'!$H$9)),MONTH(DJ$3)=MONTH(EDATE(INDEX('Вводные'!$D$88:$D$91,$B$8),INDEX('Вводные'!$E$88:$E$91,$B$8)+INDEX('Вводные'!$F$88:$F$91,$B$8)+'Вводные'!$H$9)),AND($B$7="Да",IFERROR(INDEX('Вводные'!$B$88:$B$91,$B$8),"Нет")="Да")),MAX(0,SUM($D25:DJ25)-DJ25),0)</x:f>
      </x:c>
      <x:c r="DK27" s="107" t="n">
        <x:f>IF(AND(YEAR(DK$3)=YEAR(EDATE(INDEX('Вводные'!$D$88:$D$91,$B$8),INDEX('Вводные'!$E$88:$E$91,$B$8)+INDEX('Вводные'!$F$88:$F$91,$B$8)+'Вводные'!$H$9)),MONTH(DK$3)=MONTH(EDATE(INDEX('Вводные'!$D$88:$D$91,$B$8),INDEX('Вводные'!$E$88:$E$91,$B$8)+INDEX('Вводные'!$F$88:$F$91,$B$8)+'Вводные'!$H$9)),AND($B$7="Да",IFERROR(INDEX('Вводные'!$B$88:$B$91,$B$8),"Нет")="Да")),MAX(0,SUM($D25:DK25)-DK25),0)</x:f>
      </x:c>
      <x:c r="DL27" s="107" t="n">
        <x:f>IF(AND(YEAR(DL$3)=YEAR(EDATE(INDEX('Вводные'!$D$88:$D$91,$B$8),INDEX('Вводные'!$E$88:$E$91,$B$8)+INDEX('Вводные'!$F$88:$F$91,$B$8)+'Вводные'!$H$9)),MONTH(DL$3)=MONTH(EDATE(INDEX('Вводные'!$D$88:$D$91,$B$8),INDEX('Вводные'!$E$88:$E$91,$B$8)+INDEX('Вводные'!$F$88:$F$91,$B$8)+'Вводные'!$H$9)),AND($B$7="Да",IFERROR(INDEX('Вводные'!$B$88:$B$91,$B$8),"Нет")="Да")),MAX(0,SUM($D25:DL25)-DL25),0)</x:f>
      </x:c>
      <x:c r="DM27" s="107" t="n">
        <x:f>IF(AND(YEAR(DM$3)=YEAR(EDATE(INDEX('Вводные'!$D$88:$D$91,$B$8),INDEX('Вводные'!$E$88:$E$91,$B$8)+INDEX('Вводные'!$F$88:$F$91,$B$8)+'Вводные'!$H$9)),MONTH(DM$3)=MONTH(EDATE(INDEX('Вводные'!$D$88:$D$91,$B$8),INDEX('Вводные'!$E$88:$E$91,$B$8)+INDEX('Вводные'!$F$88:$F$91,$B$8)+'Вводные'!$H$9)),AND($B$7="Да",IFERROR(INDEX('Вводные'!$B$88:$B$91,$B$8),"Нет")="Да")),MAX(0,SUM($D25:DM25)-DM25),0)</x:f>
      </x:c>
      <x:c r="DN27" s="107" t="n">
        <x:f>IF(AND(YEAR(DN$3)=YEAR(EDATE(INDEX('Вводные'!$D$88:$D$91,$B$8),INDEX('Вводные'!$E$88:$E$91,$B$8)+INDEX('Вводные'!$F$88:$F$91,$B$8)+'Вводные'!$H$9)),MONTH(DN$3)=MONTH(EDATE(INDEX('Вводные'!$D$88:$D$91,$B$8),INDEX('Вводные'!$E$88:$E$91,$B$8)+INDEX('Вводные'!$F$88:$F$91,$B$8)+'Вводные'!$H$9)),AND($B$7="Да",IFERROR(INDEX('Вводные'!$B$88:$B$91,$B$8),"Нет")="Да")),MAX(0,SUM($D25:DN25)-DN25),0)</x:f>
      </x:c>
      <x:c r="DO27" s="107" t="n">
        <x:f>IF(AND(YEAR(DO$3)=YEAR(EDATE(INDEX('Вводные'!$D$88:$D$91,$B$8),INDEX('Вводные'!$E$88:$E$91,$B$8)+INDEX('Вводные'!$F$88:$F$91,$B$8)+'Вводные'!$H$9)),MONTH(DO$3)=MONTH(EDATE(INDEX('Вводные'!$D$88:$D$91,$B$8),INDEX('Вводные'!$E$88:$E$91,$B$8)+INDEX('Вводные'!$F$88:$F$91,$B$8)+'Вводные'!$H$9)),AND($B$7="Да",IFERROR(INDEX('Вводные'!$B$88:$B$91,$B$8),"Нет")="Да")),MAX(0,SUM($D25:DO25)-DO25),0)</x:f>
      </x:c>
      <x:c r="DP27" s="107" t="n">
        <x:f>IF(AND(YEAR(DP$3)=YEAR(EDATE(INDEX('Вводные'!$D$88:$D$91,$B$8),INDEX('Вводные'!$E$88:$E$91,$B$8)+INDEX('Вводные'!$F$88:$F$91,$B$8)+'Вводные'!$H$9)),MONTH(DP$3)=MONTH(EDATE(INDEX('Вводные'!$D$88:$D$91,$B$8),INDEX('Вводные'!$E$88:$E$91,$B$8)+INDEX('Вводные'!$F$88:$F$91,$B$8)+'Вводные'!$H$9)),AND($B$7="Да",IFERROR(INDEX('Вводные'!$B$88:$B$91,$B$8),"Нет")="Да")),MAX(0,SUM($D25:DP25)-DP25),0)</x:f>
      </x:c>
      <x:c r="DQ27" s="107" t="n">
        <x:f>IF(AND(YEAR(DQ$3)=YEAR(EDATE(INDEX('Вводные'!$D$88:$D$91,$B$8),INDEX('Вводные'!$E$88:$E$91,$B$8)+INDEX('Вводные'!$F$88:$F$91,$B$8)+'Вводные'!$H$9)),MONTH(DQ$3)=MONTH(EDATE(INDEX('Вводные'!$D$88:$D$91,$B$8),INDEX('Вводные'!$E$88:$E$91,$B$8)+INDEX('Вводные'!$F$88:$F$91,$B$8)+'Вводные'!$H$9)),AND($B$7="Да",IFERROR(INDEX('Вводные'!$B$88:$B$91,$B$8),"Нет")="Да")),MAX(0,SUM($D25:DQ25)-DQ25),0)</x:f>
      </x:c>
      <x:c r="DR27" s="107" t="n">
        <x:f>IF(AND(YEAR(DR$3)=YEAR(EDATE(INDEX('Вводные'!$D$88:$D$91,$B$8),INDEX('Вводные'!$E$88:$E$91,$B$8)+INDEX('Вводные'!$F$88:$F$91,$B$8)+'Вводные'!$H$9)),MONTH(DR$3)=MONTH(EDATE(INDEX('Вводные'!$D$88:$D$91,$B$8),INDEX('Вводные'!$E$88:$E$91,$B$8)+INDEX('Вводные'!$F$88:$F$91,$B$8)+'Вводные'!$H$9)),AND($B$7="Да",IFERROR(INDEX('Вводные'!$B$88:$B$91,$B$8),"Нет")="Да")),MAX(0,SUM($D25:DR25)-DR25),0)</x:f>
      </x:c>
      <x:c r="DS27" s="107" t="n">
        <x:f>IF(AND(YEAR(DS$3)=YEAR(EDATE(INDEX('Вводные'!$D$88:$D$91,$B$8),INDEX('Вводные'!$E$88:$E$91,$B$8)+INDEX('Вводные'!$F$88:$F$91,$B$8)+'Вводные'!$H$9)),MONTH(DS$3)=MONTH(EDATE(INDEX('Вводные'!$D$88:$D$91,$B$8),INDEX('Вводные'!$E$88:$E$91,$B$8)+INDEX('Вводные'!$F$88:$F$91,$B$8)+'Вводные'!$H$9)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IF(AND(D$3&gt;=$B$39,D$3&lt;EDATE($B$39,MAX(1,'Вводные'!$K$53)),AND($B$35="Да",IFERROR(INDEX('Вводные'!$B$88:$B$91,$B$36),"Нет")="Да")),1,0)</x:f>
      </x:c>
      <x:c r="E46" s="35" t="n">
        <x:f>IF(AND(E$3&gt;=$B$39,E$3&lt;EDATE($B$39,MAX(1,'Вводные'!$K$53)),AND($B$35="Да",IFERROR(INDEX('Вводные'!$B$88:$B$91,$B$36),"Нет")="Да")),1,0)</x:f>
      </x:c>
      <x:c r="F46" s="35" t="n">
        <x:f>IF(AND(F$3&gt;=$B$39,F$3&lt;EDATE($B$39,MAX(1,'Вводные'!$K$53)),AND($B$35="Да",IFERROR(INDEX('Вводные'!$B$88:$B$91,$B$36),"Нет")="Да")),1,0)</x:f>
      </x:c>
      <x:c r="G46" s="35" t="n">
        <x:f>IF(AND(G$3&gt;=$B$39,G$3&lt;EDATE($B$39,MAX(1,'Вводные'!$K$53)),AND($B$35="Да",IFERROR(INDEX('Вводные'!$B$88:$B$91,$B$36),"Нет")="Да")),1,0)</x:f>
      </x:c>
      <x:c r="H46" s="35" t="n">
        <x:f>IF(AND(H$3&gt;=$B$39,H$3&lt;EDATE($B$39,MAX(1,'Вводные'!$K$53)),AND($B$35="Да",IFERROR(INDEX('Вводные'!$B$88:$B$91,$B$36),"Нет")="Да")),1,0)</x:f>
      </x:c>
      <x:c r="I46" s="35" t="n">
        <x:f>IF(AND(I$3&gt;=$B$39,I$3&lt;EDATE($B$39,MAX(1,'Вводные'!$K$53)),AND($B$35="Да",IFERROR(INDEX('Вводные'!$B$88:$B$91,$B$36),"Нет")="Да")),1,0)</x:f>
      </x:c>
      <x:c r="J46" s="35" t="n">
        <x:f>IF(AND(J$3&gt;=$B$39,J$3&lt;EDATE($B$39,MAX(1,'Вводные'!$K$53)),AND($B$35="Да",IFERROR(INDEX('Вводные'!$B$88:$B$91,$B$36),"Нет")="Да")),1,0)</x:f>
      </x:c>
      <x:c r="K46" s="35" t="n">
        <x:f>IF(AND(K$3&gt;=$B$39,K$3&lt;EDATE($B$39,MAX(1,'Вводные'!$K$53)),AND($B$35="Да",IFERROR(INDEX('Вводные'!$B$88:$B$91,$B$36),"Нет")="Да")),1,0)</x:f>
      </x:c>
      <x:c r="L46" s="35" t="n">
        <x:f>IF(AND(L$3&gt;=$B$39,L$3&lt;EDATE($B$39,MAX(1,'Вводные'!$K$53)),AND($B$35="Да",IFERROR(INDEX('Вводные'!$B$88:$B$91,$B$36),"Нет")="Да")),1,0)</x:f>
      </x:c>
      <x:c r="M46" s="35" t="n">
        <x:f>IF(AND(M$3&gt;=$B$39,M$3&lt;EDATE($B$39,MAX(1,'Вводные'!$K$53)),AND($B$35="Да",IFERROR(INDEX('Вводные'!$B$88:$B$91,$B$36),"Нет")="Да")),1,0)</x:f>
      </x:c>
      <x:c r="N46" s="35" t="n">
        <x:f>IF(AND(N$3&gt;=$B$39,N$3&lt;EDATE($B$39,MAX(1,'Вводные'!$K$53)),AND($B$35="Да",IFERROR(INDEX('Вводные'!$B$88:$B$91,$B$36),"Нет")="Да")),1,0)</x:f>
      </x:c>
      <x:c r="O46" s="35" t="n">
        <x:f>IF(AND(O$3&gt;=$B$39,O$3&lt;EDATE($B$39,MAX(1,'Вводные'!$K$53)),AND($B$35="Да",IFERROR(INDEX('Вводные'!$B$88:$B$91,$B$36),"Нет")="Да")),1,0)</x:f>
      </x:c>
      <x:c r="P46" s="35" t="n">
        <x:f>IF(AND(P$3&gt;=$B$39,P$3&lt;EDATE($B$39,MAX(1,'Вводные'!$K$53)),AND($B$35="Да",IFERROR(INDEX('Вводные'!$B$88:$B$91,$B$36),"Нет")="Да")),1,0)</x:f>
      </x:c>
      <x:c r="Q46" s="35" t="n">
        <x:f>IF(AND(Q$3&gt;=$B$39,Q$3&lt;EDATE($B$39,MAX(1,'Вводные'!$K$53)),AND($B$35="Да",IFERROR(INDEX('Вводные'!$B$88:$B$91,$B$36),"Нет")="Да")),1,0)</x:f>
      </x:c>
      <x:c r="R46" s="35" t="n">
        <x:f>IF(AND(R$3&gt;=$B$39,R$3&lt;EDATE($B$39,MAX(1,'Вводные'!$K$53)),AND($B$35="Да",IFERROR(INDEX('Вводные'!$B$88:$B$91,$B$36),"Нет")="Да")),1,0)</x:f>
      </x:c>
      <x:c r="S46" s="35" t="n">
        <x:f>IF(AND(S$3&gt;=$B$39,S$3&lt;EDATE($B$39,MAX(1,'Вводные'!$K$53)),AND($B$35="Да",IFERROR(INDEX('Вводные'!$B$88:$B$91,$B$36),"Нет")="Да")),1,0)</x:f>
      </x:c>
      <x:c r="T46" s="35" t="n">
        <x:f>IF(AND(T$3&gt;=$B$39,T$3&lt;EDATE($B$39,MAX(1,'Вводные'!$K$53)),AND($B$35="Да",IFERROR(INDEX('Вводные'!$B$88:$B$91,$B$36),"Нет")="Да")),1,0)</x:f>
      </x:c>
      <x:c r="U46" s="35" t="n">
        <x:f>IF(AND(U$3&gt;=$B$39,U$3&lt;EDATE($B$39,MAX(1,'Вводные'!$K$53)),AND($B$35="Да",IFERROR(INDEX('Вводные'!$B$88:$B$91,$B$36),"Нет")="Да")),1,0)</x:f>
      </x:c>
      <x:c r="V46" s="35" t="n">
        <x:f>IF(AND(V$3&gt;=$B$39,V$3&lt;EDATE($B$39,MAX(1,'Вводные'!$K$53)),AND($B$35="Да",IFERROR(INDEX('Вводные'!$B$88:$B$91,$B$36),"Нет")="Да")),1,0)</x:f>
      </x:c>
      <x:c r="W46" s="35" t="n">
        <x:f>IF(AND(W$3&gt;=$B$39,W$3&lt;EDATE($B$39,MAX(1,'Вводные'!$K$53)),AND($B$35="Да",IFERROR(INDEX('Вводные'!$B$88:$B$91,$B$36),"Нет")="Да")),1,0)</x:f>
      </x:c>
      <x:c r="X46" s="35" t="n">
        <x:f>IF(AND(X$3&gt;=$B$39,X$3&lt;EDATE($B$39,MAX(1,'Вводные'!$K$53)),AND($B$35="Да",IFERROR(INDEX('Вводные'!$B$88:$B$91,$B$36),"Нет")="Да")),1,0)</x:f>
      </x:c>
      <x:c r="Y46" s="35" t="n">
        <x:f>IF(AND(Y$3&gt;=$B$39,Y$3&lt;EDATE($B$39,MAX(1,'Вводные'!$K$53)),AND($B$35="Да",IFERROR(INDEX('Вводные'!$B$88:$B$91,$B$36),"Нет")="Да")),1,0)</x:f>
      </x:c>
      <x:c r="Z46" s="35" t="n">
        <x:f>IF(AND(Z$3&gt;=$B$39,Z$3&lt;EDATE($B$39,MAX(1,'Вводные'!$K$53)),AND($B$35="Да",IFERROR(INDEX('Вводные'!$B$88:$B$91,$B$36),"Нет")="Да")),1,0)</x:f>
      </x:c>
      <x:c r="AA46" s="35" t="n">
        <x:f>IF(AND(AA$3&gt;=$B$39,AA$3&lt;EDATE($B$39,MAX(1,'Вводные'!$K$53)),AND($B$35="Да",IFERROR(INDEX('Вводные'!$B$88:$B$91,$B$36),"Нет")="Да")),1,0)</x:f>
      </x:c>
      <x:c r="AB46" s="35" t="n">
        <x:f>IF(AND(AB$3&gt;=$B$39,AB$3&lt;EDATE($B$39,MAX(1,'Вводные'!$K$53)),AND($B$35="Да",IFERROR(INDEX('Вводные'!$B$88:$B$91,$B$36),"Нет")="Да")),1,0)</x:f>
      </x:c>
      <x:c r="AC46" s="35" t="n">
        <x:f>IF(AND(AC$3&gt;=$B$39,AC$3&lt;EDATE($B$39,MAX(1,'Вводные'!$K$53)),AND($B$35="Да",IFERROR(INDEX('Вводные'!$B$88:$B$91,$B$36),"Нет")="Да")),1,0)</x:f>
      </x:c>
      <x:c r="AD46" s="35" t="n">
        <x:f>IF(AND(AD$3&gt;=$B$39,AD$3&lt;EDATE($B$39,MAX(1,'Вводные'!$K$53)),AND($B$35="Да",IFERROR(INDEX('Вводные'!$B$88:$B$91,$B$36),"Нет")="Да")),1,0)</x:f>
      </x:c>
      <x:c r="AE46" s="35" t="n">
        <x:f>IF(AND(AE$3&gt;=$B$39,AE$3&lt;EDATE($B$39,MAX(1,'Вводные'!$K$53)),AND($B$35="Да",IFERROR(INDEX('Вводные'!$B$88:$B$91,$B$36),"Нет")="Да")),1,0)</x:f>
      </x:c>
      <x:c r="AF46" s="35" t="n">
        <x:f>IF(AND(AF$3&gt;=$B$39,AF$3&lt;EDATE($B$39,MAX(1,'Вводные'!$K$53)),AND($B$35="Да",IFERROR(INDEX('Вводные'!$B$88:$B$91,$B$36),"Нет")="Да")),1,0)</x:f>
      </x:c>
      <x:c r="AG46" s="35" t="n">
        <x:f>IF(AND(AG$3&gt;=$B$39,AG$3&lt;EDATE($B$39,MAX(1,'Вводные'!$K$53)),AND($B$35="Да",IFERROR(INDEX('Вводные'!$B$88:$B$91,$B$36),"Нет")="Да")),1,0)</x:f>
      </x:c>
      <x:c r="AH46" s="35" t="n">
        <x:f>IF(AND(AH$3&gt;=$B$39,AH$3&lt;EDATE($B$39,MAX(1,'Вводные'!$K$53)),AND($B$35="Да",IFERROR(INDEX('Вводные'!$B$88:$B$91,$B$36),"Нет")="Да")),1,0)</x:f>
      </x:c>
      <x:c r="AI46" s="35" t="n">
        <x:f>IF(AND(AI$3&gt;=$B$39,AI$3&lt;EDATE($B$39,MAX(1,'Вводные'!$K$53)),AND($B$35="Да",IFERROR(INDEX('Вводные'!$B$88:$B$91,$B$36),"Нет")="Да")),1,0)</x:f>
      </x:c>
      <x:c r="AJ46" s="35" t="n">
        <x:f>IF(AND(AJ$3&gt;=$B$39,AJ$3&lt;EDATE($B$39,MAX(1,'Вводные'!$K$53)),AND($B$35="Да",IFERROR(INDEX('Вводные'!$B$88:$B$91,$B$36),"Нет")="Да")),1,0)</x:f>
      </x:c>
      <x:c r="AK46" s="35" t="n">
        <x:f>IF(AND(AK$3&gt;=$B$39,AK$3&lt;EDATE($B$39,MAX(1,'Вводные'!$K$53)),AND($B$35="Да",IFERROR(INDEX('Вводные'!$B$88:$B$91,$B$36),"Нет")="Да")),1,0)</x:f>
      </x:c>
      <x:c r="AL46" s="35" t="n">
        <x:f>IF(AND(AL$3&gt;=$B$39,AL$3&lt;EDATE($B$39,MAX(1,'Вводные'!$K$53)),AND($B$35="Да",IFERROR(INDEX('Вводные'!$B$88:$B$91,$B$36),"Нет")="Да")),1,0)</x:f>
      </x:c>
      <x:c r="AM46" s="35" t="n">
        <x:f>IF(AND(AM$3&gt;=$B$39,AM$3&lt;EDATE($B$39,MAX(1,'Вводные'!$K$53)),AND($B$35="Да",IFERROR(INDEX('Вводные'!$B$88:$B$91,$B$36),"Нет")="Да")),1,0)</x:f>
      </x:c>
      <x:c r="AN46" s="35" t="n">
        <x:f>IF(AND(AN$3&gt;=$B$39,AN$3&lt;EDATE($B$39,MAX(1,'Вводные'!$K$53)),AND($B$35="Да",IFERROR(INDEX('Вводные'!$B$88:$B$91,$B$36),"Нет")="Да")),1,0)</x:f>
      </x:c>
      <x:c r="AO46" s="35" t="n">
        <x:f>IF(AND(AO$3&gt;=$B$39,AO$3&lt;EDATE($B$39,MAX(1,'Вводные'!$K$53)),AND($B$35="Да",IFERROR(INDEX('Вводные'!$B$88:$B$91,$B$36),"Нет")="Да")),1,0)</x:f>
      </x:c>
      <x:c r="AP46" s="35" t="n">
        <x:f>IF(AND(AP$3&gt;=$B$39,AP$3&lt;EDATE($B$39,MAX(1,'Вводные'!$K$53)),AND($B$35="Да",IFERROR(INDEX('Вводные'!$B$88:$B$91,$B$36),"Нет")="Да")),1,0)</x:f>
      </x:c>
      <x:c r="AQ46" s="35" t="n">
        <x:f>IF(AND(AQ$3&gt;=$B$39,AQ$3&lt;EDATE($B$39,MAX(1,'Вводные'!$K$53)),AND($B$35="Да",IFERROR(INDEX('Вводные'!$B$88:$B$91,$B$36),"Нет")="Да")),1,0)</x:f>
      </x:c>
      <x:c r="AR46" s="35" t="n">
        <x:f>IF(AND(AR$3&gt;=$B$39,AR$3&lt;EDATE($B$39,MAX(1,'Вводные'!$K$53)),AND($B$35="Да",IFERROR(INDEX('Вводные'!$B$88:$B$91,$B$36),"Нет")="Да")),1,0)</x:f>
      </x:c>
      <x:c r="AS46" s="35" t="n">
        <x:f>IF(AND(AS$3&gt;=$B$39,AS$3&lt;EDATE($B$39,MAX(1,'Вводные'!$K$53)),AND($B$35="Да",IFERROR(INDEX('Вводные'!$B$88:$B$91,$B$36),"Нет")="Да")),1,0)</x:f>
      </x:c>
      <x:c r="AT46" s="35" t="n">
        <x:f>IF(AND(AT$3&gt;=$B$39,AT$3&lt;EDATE($B$39,MAX(1,'Вводные'!$K$53)),AND($B$35="Да",IFERROR(INDEX('Вводные'!$B$88:$B$91,$B$36),"Нет")="Да")),1,0)</x:f>
      </x:c>
      <x:c r="AU46" s="35" t="n">
        <x:f>IF(AND(AU$3&gt;=$B$39,AU$3&lt;EDATE($B$39,MAX(1,'Вводные'!$K$53)),AND($B$35="Да",IFERROR(INDEX('Вводные'!$B$88:$B$91,$B$36),"Нет")="Да")),1,0)</x:f>
      </x:c>
      <x:c r="AV46" s="35" t="n">
        <x:f>IF(AND(AV$3&gt;=$B$39,AV$3&lt;EDATE($B$39,MAX(1,'Вводные'!$K$53)),AND($B$35="Да",IFERROR(INDEX('Вводные'!$B$88:$B$91,$B$36),"Нет")="Да")),1,0)</x:f>
      </x:c>
      <x:c r="AW46" s="35" t="n">
        <x:f>IF(AND(AW$3&gt;=$B$39,AW$3&lt;EDATE($B$39,MAX(1,'Вводные'!$K$53)),AND($B$35="Да",IFERROR(INDEX('Вводные'!$B$88:$B$91,$B$36),"Нет")="Да")),1,0)</x:f>
      </x:c>
      <x:c r="AX46" s="35" t="n">
        <x:f>IF(AND(AX$3&gt;=$B$39,AX$3&lt;EDATE($B$39,MAX(1,'Вводные'!$K$53)),AND($B$35="Да",IFERROR(INDEX('Вводные'!$B$88:$B$91,$B$36),"Нет")="Да")),1,0)</x:f>
      </x:c>
      <x:c r="AY46" s="35" t="n">
        <x:f>IF(AND(AY$3&gt;=$B$39,AY$3&lt;EDATE($B$39,MAX(1,'Вводные'!$K$53)),AND($B$35="Да",IFERROR(INDEX('Вводные'!$B$88:$B$91,$B$36),"Нет")="Да")),1,0)</x:f>
      </x:c>
      <x:c r="AZ46" s="35" t="n">
        <x:f>IF(AND(AZ$3&gt;=$B$39,AZ$3&lt;EDATE($B$39,MAX(1,'Вводные'!$K$53)),AND($B$35="Да",IFERROR(INDEX('Вводные'!$B$88:$B$91,$B$36),"Нет")="Да")),1,0)</x:f>
      </x:c>
      <x:c r="BA46" s="35" t="n">
        <x:f>IF(AND(BA$3&gt;=$B$39,BA$3&lt;EDATE($B$39,MAX(1,'Вводные'!$K$53)),AND($B$35="Да",IFERROR(INDEX('Вводные'!$B$88:$B$91,$B$36),"Нет")="Да")),1,0)</x:f>
      </x:c>
      <x:c r="BB46" s="35" t="n">
        <x:f>IF(AND(BB$3&gt;=$B$39,BB$3&lt;EDATE($B$39,MAX(1,'Вводные'!$K$53)),AND($B$35="Да",IFERROR(INDEX('Вводные'!$B$88:$B$91,$B$36),"Нет")="Да")),1,0)</x:f>
      </x:c>
      <x:c r="BC46" s="35" t="n">
        <x:f>IF(AND(BC$3&gt;=$B$39,BC$3&lt;EDATE($B$39,MAX(1,'Вводные'!$K$53)),AND($B$35="Да",IFERROR(INDEX('Вводные'!$B$88:$B$91,$B$36),"Нет")="Да")),1,0)</x:f>
      </x:c>
      <x:c r="BD46" s="35" t="n">
        <x:f>IF(AND(BD$3&gt;=$B$39,BD$3&lt;EDATE($B$39,MAX(1,'Вводные'!$K$53)),AND($B$35="Да",IFERROR(INDEX('Вводные'!$B$88:$B$91,$B$36),"Нет")="Да")),1,0)</x:f>
      </x:c>
      <x:c r="BE46" s="35" t="n">
        <x:f>IF(AND(BE$3&gt;=$B$39,BE$3&lt;EDATE($B$39,MAX(1,'Вводные'!$K$53)),AND($B$35="Да",IFERROR(INDEX('Вводные'!$B$88:$B$91,$B$36),"Нет")="Да")),1,0)</x:f>
      </x:c>
      <x:c r="BF46" s="35" t="n">
        <x:f>IF(AND(BF$3&gt;=$B$39,BF$3&lt;EDATE($B$39,MAX(1,'Вводные'!$K$53)),AND($B$35="Да",IFERROR(INDEX('Вводные'!$B$88:$B$91,$B$36),"Нет")="Да")),1,0)</x:f>
      </x:c>
      <x:c r="BG46" s="35" t="n">
        <x:f>IF(AND(BG$3&gt;=$B$39,BG$3&lt;EDATE($B$39,MAX(1,'Вводные'!$K$53)),AND($B$35="Да",IFERROR(INDEX('Вводные'!$B$88:$B$91,$B$36),"Нет")="Да")),1,0)</x:f>
      </x:c>
      <x:c r="BH46" s="35" t="n">
        <x:f>IF(AND(BH$3&gt;=$B$39,BH$3&lt;EDATE($B$39,MAX(1,'Вводные'!$K$53)),AND($B$35="Да",IFERROR(INDEX('Вводные'!$B$88:$B$91,$B$36),"Нет")="Да")),1,0)</x:f>
      </x:c>
      <x:c r="BI46" s="35" t="n">
        <x:f>IF(AND(BI$3&gt;=$B$39,BI$3&lt;EDATE($B$39,MAX(1,'Вводные'!$K$53)),AND($B$35="Да",IFERROR(INDEX('Вводные'!$B$88:$B$91,$B$36),"Нет")="Да")),1,0)</x:f>
      </x:c>
      <x:c r="BJ46" s="35" t="n">
        <x:f>IF(AND(BJ$3&gt;=$B$39,BJ$3&lt;EDATE($B$39,MAX(1,'Вводные'!$K$53)),AND($B$35="Да",IFERROR(INDEX('Вводные'!$B$88:$B$91,$B$36),"Нет")="Да")),1,0)</x:f>
      </x:c>
      <x:c r="BK46" s="35" t="n">
        <x:f>IF(AND(BK$3&gt;=$B$39,BK$3&lt;EDATE($B$39,MAX(1,'Вводные'!$K$53)),AND($B$35="Да",IFERROR(INDEX('Вводные'!$B$88:$B$91,$B$36),"Нет")="Да")),1,0)</x:f>
      </x:c>
      <x:c r="BL46" s="35" t="n">
        <x:f>IF(AND(BL$3&gt;=$B$39,BL$3&lt;EDATE($B$39,MAX(1,'Вводные'!$K$53)),AND($B$35="Да",IFERROR(INDEX('Вводные'!$B$88:$B$91,$B$36),"Нет")="Да")),1,0)</x:f>
      </x:c>
      <x:c r="BM46" s="35" t="n">
        <x:f>IF(AND(BM$3&gt;=$B$39,BM$3&lt;EDATE($B$39,MAX(1,'Вводные'!$K$53)),AND($B$35="Да",IFERROR(INDEX('Вводные'!$B$88:$B$91,$B$36),"Нет")="Да")),1,0)</x:f>
      </x:c>
      <x:c r="BN46" s="35" t="n">
        <x:f>IF(AND(BN$3&gt;=$B$39,BN$3&lt;EDATE($B$39,MAX(1,'Вводные'!$K$53)),AND($B$35="Да",IFERROR(INDEX('Вводные'!$B$88:$B$91,$B$36),"Нет")="Да")),1,0)</x:f>
      </x:c>
      <x:c r="BO46" s="35" t="n">
        <x:f>IF(AND(BO$3&gt;=$B$39,BO$3&lt;EDATE($B$39,MAX(1,'Вводные'!$K$53)),AND($B$35="Да",IFERROR(INDEX('Вводные'!$B$88:$B$91,$B$36),"Нет")="Да")),1,0)</x:f>
      </x:c>
      <x:c r="BP46" s="35" t="n">
        <x:f>IF(AND(BP$3&gt;=$B$39,BP$3&lt;EDATE($B$39,MAX(1,'Вводные'!$K$53)),AND($B$35="Да",IFERROR(INDEX('Вводные'!$B$88:$B$91,$B$36),"Нет")="Да")),1,0)</x:f>
      </x:c>
      <x:c r="BQ46" s="35" t="n">
        <x:f>IF(AND(BQ$3&gt;=$B$39,BQ$3&lt;EDATE($B$39,MAX(1,'Вводные'!$K$53)),AND($B$35="Да",IFERROR(INDEX('Вводные'!$B$88:$B$91,$B$36),"Нет")="Да")),1,0)</x:f>
      </x:c>
      <x:c r="BR46" s="35" t="n">
        <x:f>IF(AND(BR$3&gt;=$B$39,BR$3&lt;EDATE($B$39,MAX(1,'Вводные'!$K$53)),AND($B$35="Да",IFERROR(INDEX('Вводные'!$B$88:$B$91,$B$36),"Нет")="Да")),1,0)</x:f>
      </x:c>
      <x:c r="BS46" s="35" t="n">
        <x:f>IF(AND(BS$3&gt;=$B$39,BS$3&lt;EDATE($B$39,MAX(1,'Вводные'!$K$53)),AND($B$35="Да",IFERROR(INDEX('Вводные'!$B$88:$B$91,$B$36),"Нет")="Да")),1,0)</x:f>
      </x:c>
      <x:c r="BT46" s="35" t="n">
        <x:f>IF(AND(BT$3&gt;=$B$39,BT$3&lt;EDATE($B$39,MAX(1,'Вводные'!$K$53)),AND($B$35="Да",IFERROR(INDEX('Вводные'!$B$88:$B$91,$B$36),"Нет")="Да")),1,0)</x:f>
      </x:c>
      <x:c r="BU46" s="35" t="n">
        <x:f>IF(AND(BU$3&gt;=$B$39,BU$3&lt;EDATE($B$39,MAX(1,'Вводные'!$K$53)),AND($B$35="Да",IFERROR(INDEX('Вводные'!$B$88:$B$91,$B$36),"Нет")="Да")),1,0)</x:f>
      </x:c>
      <x:c r="BV46" s="35" t="n">
        <x:f>IF(AND(BV$3&gt;=$B$39,BV$3&lt;EDATE($B$39,MAX(1,'Вводные'!$K$53)),AND($B$35="Да",IFERROR(INDEX('Вводные'!$B$88:$B$91,$B$36),"Нет")="Да")),1,0)</x:f>
      </x:c>
      <x:c r="BW46" s="35" t="n">
        <x:f>IF(AND(BW$3&gt;=$B$39,BW$3&lt;EDATE($B$39,MAX(1,'Вводные'!$K$53)),AND($B$35="Да",IFERROR(INDEX('Вводные'!$B$88:$B$91,$B$36),"Нет")="Да")),1,0)</x:f>
      </x:c>
      <x:c r="BX46" s="35" t="n">
        <x:f>IF(AND(BX$3&gt;=$B$39,BX$3&lt;EDATE($B$39,MAX(1,'Вводные'!$K$53)),AND($B$35="Да",IFERROR(INDEX('Вводные'!$B$88:$B$91,$B$36),"Нет")="Да")),1,0)</x:f>
      </x:c>
      <x:c r="BY46" s="35" t="n">
        <x:f>IF(AND(BY$3&gt;=$B$39,BY$3&lt;EDATE($B$39,MAX(1,'Вводные'!$K$53)),AND($B$35="Да",IFERROR(INDEX('Вводные'!$B$88:$B$91,$B$36),"Нет")="Да")),1,0)</x:f>
      </x:c>
      <x:c r="BZ46" s="35" t="n">
        <x:f>IF(AND(BZ$3&gt;=$B$39,BZ$3&lt;EDATE($B$39,MAX(1,'Вводные'!$K$53)),AND($B$35="Да",IFERROR(INDEX('Вводные'!$B$88:$B$91,$B$36),"Нет")="Да")),1,0)</x:f>
      </x:c>
      <x:c r="CA46" s="35" t="n">
        <x:f>IF(AND(CA$3&gt;=$B$39,CA$3&lt;EDATE($B$39,MAX(1,'Вводные'!$K$53)),AND($B$35="Да",IFERROR(INDEX('Вводные'!$B$88:$B$91,$B$36),"Нет")="Да")),1,0)</x:f>
      </x:c>
      <x:c r="CB46" s="35" t="n">
        <x:f>IF(AND(CB$3&gt;=$B$39,CB$3&lt;EDATE($B$39,MAX(1,'Вводные'!$K$53)),AND($B$35="Да",IFERROR(INDEX('Вводные'!$B$88:$B$91,$B$36),"Нет")="Да")),1,0)</x:f>
      </x:c>
      <x:c r="CC46" s="35" t="n">
        <x:f>IF(AND(CC$3&gt;=$B$39,CC$3&lt;EDATE($B$39,MAX(1,'Вводные'!$K$53)),AND($B$35="Да",IFERROR(INDEX('Вводные'!$B$88:$B$91,$B$36),"Нет")="Да")),1,0)</x:f>
      </x:c>
      <x:c r="CD46" s="35" t="n">
        <x:f>IF(AND(CD$3&gt;=$B$39,CD$3&lt;EDATE($B$39,MAX(1,'Вводные'!$K$53)),AND($B$35="Да",IFERROR(INDEX('Вводные'!$B$88:$B$91,$B$36),"Нет")="Да")),1,0)</x:f>
      </x:c>
      <x:c r="CE46" s="35" t="n">
        <x:f>IF(AND(CE$3&gt;=$B$39,CE$3&lt;EDATE($B$39,MAX(1,'Вводные'!$K$53)),AND($B$35="Да",IFERROR(INDEX('Вводные'!$B$88:$B$91,$B$36),"Нет")="Да")),1,0)</x:f>
      </x:c>
      <x:c r="CF46" s="35" t="n">
        <x:f>IF(AND(CF$3&gt;=$B$39,CF$3&lt;EDATE($B$39,MAX(1,'Вводные'!$K$53)),AND($B$35="Да",IFERROR(INDEX('Вводные'!$B$88:$B$91,$B$36),"Нет")="Да")),1,0)</x:f>
      </x:c>
      <x:c r="CG46" s="35" t="n">
        <x:f>IF(AND(CG$3&gt;=$B$39,CG$3&lt;EDATE($B$39,MAX(1,'Вводные'!$K$53)),AND($B$35="Да",IFERROR(INDEX('Вводные'!$B$88:$B$91,$B$36),"Нет")="Да")),1,0)</x:f>
      </x:c>
      <x:c r="CH46" s="35" t="n">
        <x:f>IF(AND(CH$3&gt;=$B$39,CH$3&lt;EDATE($B$39,MAX(1,'Вводные'!$K$53)),AND($B$35="Да",IFERROR(INDEX('Вводные'!$B$88:$B$91,$B$36),"Нет")="Да")),1,0)</x:f>
      </x:c>
      <x:c r="CI46" s="35" t="n">
        <x:f>IF(AND(CI$3&gt;=$B$39,CI$3&lt;EDATE($B$39,MAX(1,'Вводные'!$K$53)),AND($B$35="Да",IFERROR(INDEX('Вводные'!$B$88:$B$91,$B$36),"Нет")="Да")),1,0)</x:f>
      </x:c>
      <x:c r="CJ46" s="35" t="n">
        <x:f>IF(AND(CJ$3&gt;=$B$39,CJ$3&lt;EDATE($B$39,MAX(1,'Вводные'!$K$53)),AND($B$35="Да",IFERROR(INDEX('Вводные'!$B$88:$B$91,$B$36),"Нет")="Да")),1,0)</x:f>
      </x:c>
      <x:c r="CK46" s="35" t="n">
        <x:f>IF(AND(CK$3&gt;=$B$39,CK$3&lt;EDATE($B$39,MAX(1,'Вводные'!$K$53)),AND($B$35="Да",IFERROR(INDEX('Вводные'!$B$88:$B$91,$B$36),"Нет")="Да")),1,0)</x:f>
      </x:c>
      <x:c r="CL46" s="35" t="n">
        <x:f>IF(AND(CL$3&gt;=$B$39,CL$3&lt;EDATE($B$39,MAX(1,'Вводные'!$K$53)),AND($B$35="Да",IFERROR(INDEX('Вводные'!$B$88:$B$91,$B$36),"Нет")="Да")),1,0)</x:f>
      </x:c>
      <x:c r="CM46" s="35" t="n">
        <x:f>IF(AND(CM$3&gt;=$B$39,CM$3&lt;EDATE($B$39,MAX(1,'Вводные'!$K$53)),AND($B$35="Да",IFERROR(INDEX('Вводные'!$B$88:$B$91,$B$36),"Нет")="Да")),1,0)</x:f>
      </x:c>
      <x:c r="CN46" s="35" t="n">
        <x:f>IF(AND(CN$3&gt;=$B$39,CN$3&lt;EDATE($B$39,MAX(1,'Вводные'!$K$53)),AND($B$35="Да",IFERROR(INDEX('Вводные'!$B$88:$B$91,$B$36),"Нет")="Да")),1,0)</x:f>
      </x:c>
      <x:c r="CO46" s="35" t="n">
        <x:f>IF(AND(CO$3&gt;=$B$39,CO$3&lt;EDATE($B$39,MAX(1,'Вводные'!$K$53)),AND($B$35="Да",IFERROR(INDEX('Вводные'!$B$88:$B$91,$B$36),"Нет")="Да")),1,0)</x:f>
      </x:c>
      <x:c r="CP46" s="35" t="n">
        <x:f>IF(AND(CP$3&gt;=$B$39,CP$3&lt;EDATE($B$39,MAX(1,'Вводные'!$K$53)),AND($B$35="Да",IFERROR(INDEX('Вводные'!$B$88:$B$91,$B$36),"Нет")="Да")),1,0)</x:f>
      </x:c>
      <x:c r="CQ46" s="35" t="n">
        <x:f>IF(AND(CQ$3&gt;=$B$39,CQ$3&lt;EDATE($B$39,MAX(1,'Вводные'!$K$53)),AND($B$35="Да",IFERROR(INDEX('Вводные'!$B$88:$B$91,$B$36),"Нет")="Да")),1,0)</x:f>
      </x:c>
      <x:c r="CR46" s="35" t="n">
        <x:f>IF(AND(CR$3&gt;=$B$39,CR$3&lt;EDATE($B$39,MAX(1,'Вводные'!$K$53)),AND($B$35="Да",IFERROR(INDEX('Вводные'!$B$88:$B$91,$B$36),"Нет")="Да")),1,0)</x:f>
      </x:c>
      <x:c r="CS46" s="35" t="n">
        <x:f>IF(AND(CS$3&gt;=$B$39,CS$3&lt;EDATE($B$39,MAX(1,'Вводные'!$K$53)),AND($B$35="Да",IFERROR(INDEX('Вводные'!$B$88:$B$91,$B$36),"Нет")="Да")),1,0)</x:f>
      </x:c>
      <x:c r="CT46" s="35" t="n">
        <x:f>IF(AND(CT$3&gt;=$B$39,CT$3&lt;EDATE($B$39,MAX(1,'Вводные'!$K$53)),AND($B$35="Да",IFERROR(INDEX('Вводные'!$B$88:$B$91,$B$36),"Нет")="Да")),1,0)</x:f>
      </x:c>
      <x:c r="CU46" s="35" t="n">
        <x:f>IF(AND(CU$3&gt;=$B$39,CU$3&lt;EDATE($B$39,MAX(1,'Вводные'!$K$53)),AND($B$35="Да",IFERROR(INDEX('Вводные'!$B$88:$B$91,$B$36),"Нет")="Да")),1,0)</x:f>
      </x:c>
      <x:c r="CV46" s="35" t="n">
        <x:f>IF(AND(CV$3&gt;=$B$39,CV$3&lt;EDATE($B$39,MAX(1,'Вводные'!$K$53)),AND($B$35="Да",IFERROR(INDEX('Вводные'!$B$88:$B$91,$B$36),"Нет")="Да")),1,0)</x:f>
      </x:c>
      <x:c r="CW46" s="35" t="n">
        <x:f>IF(AND(CW$3&gt;=$B$39,CW$3&lt;EDATE($B$39,MAX(1,'Вводные'!$K$53)),AND($B$35="Да",IFERROR(INDEX('Вводные'!$B$88:$B$91,$B$36),"Нет")="Да")),1,0)</x:f>
      </x:c>
      <x:c r="CX46" s="35" t="n">
        <x:f>IF(AND(CX$3&gt;=$B$39,CX$3&lt;EDATE($B$39,MAX(1,'Вводные'!$K$53)),AND($B$35="Да",IFERROR(INDEX('Вводные'!$B$88:$B$91,$B$36),"Нет")="Да")),1,0)</x:f>
      </x:c>
      <x:c r="CY46" s="35" t="n">
        <x:f>IF(AND(CY$3&gt;=$B$39,CY$3&lt;EDATE($B$39,MAX(1,'Вводные'!$K$53)),AND($B$35="Да",IFERROR(INDEX('Вводные'!$B$88:$B$91,$B$36),"Нет")="Да")),1,0)</x:f>
      </x:c>
      <x:c r="CZ46" s="35" t="n">
        <x:f>IF(AND(CZ$3&gt;=$B$39,CZ$3&lt;EDATE($B$39,MAX(1,'Вводные'!$K$53)),AND($B$35="Да",IFERROR(INDEX('Вводные'!$B$88:$B$91,$B$36),"Нет")="Да")),1,0)</x:f>
      </x:c>
      <x:c r="DA46" s="35" t="n">
        <x:f>IF(AND(DA$3&gt;=$B$39,DA$3&lt;EDATE($B$39,MAX(1,'Вводные'!$K$53)),AND($B$35="Да",IFERROR(INDEX('Вводные'!$B$88:$B$91,$B$36),"Нет")="Да")),1,0)</x:f>
      </x:c>
      <x:c r="DB46" s="35" t="n">
        <x:f>IF(AND(DB$3&gt;=$B$39,DB$3&lt;EDATE($B$39,MAX(1,'Вводные'!$K$53)),AND($B$35="Да",IFERROR(INDEX('Вводные'!$B$88:$B$91,$B$36),"Нет")="Да")),1,0)</x:f>
      </x:c>
      <x:c r="DC46" s="35" t="n">
        <x:f>IF(AND(DC$3&gt;=$B$39,DC$3&lt;EDATE($B$39,MAX(1,'Вводные'!$K$53)),AND($B$35="Да",IFERROR(INDEX('Вводные'!$B$88:$B$91,$B$36),"Нет")="Да")),1,0)</x:f>
      </x:c>
      <x:c r="DD46" s="35" t="n">
        <x:f>IF(AND(DD$3&gt;=$B$39,DD$3&lt;EDATE($B$39,MAX(1,'Вводные'!$K$53)),AND($B$35="Да",IFERROR(INDEX('Вводные'!$B$88:$B$91,$B$36),"Нет")="Да")),1,0)</x:f>
      </x:c>
      <x:c r="DE46" s="35" t="n">
        <x:f>IF(AND(DE$3&gt;=$B$39,DE$3&lt;EDATE($B$39,MAX(1,'Вводные'!$K$53)),AND($B$35="Да",IFERROR(INDEX('Вводные'!$B$88:$B$91,$B$36),"Нет")="Да")),1,0)</x:f>
      </x:c>
      <x:c r="DF46" s="35" t="n">
        <x:f>IF(AND(DF$3&gt;=$B$39,DF$3&lt;EDATE($B$39,MAX(1,'Вводные'!$K$53)),AND($B$35="Да",IFERROR(INDEX('Вводные'!$B$88:$B$91,$B$36),"Нет")="Да")),1,0)</x:f>
      </x:c>
      <x:c r="DG46" s="35" t="n">
        <x:f>IF(AND(DG$3&gt;=$B$39,DG$3&lt;EDATE($B$39,MAX(1,'Вводные'!$K$53)),AND($B$35="Да",IFERROR(INDEX('Вводные'!$B$88:$B$91,$B$36),"Нет")="Да")),1,0)</x:f>
      </x:c>
      <x:c r="DH46" s="35" t="n">
        <x:f>IF(AND(DH$3&gt;=$B$39,DH$3&lt;EDATE($B$39,MAX(1,'Вводные'!$K$53)),AND($B$35="Да",IFERROR(INDEX('Вводные'!$B$88:$B$91,$B$36),"Нет")="Да")),1,0)</x:f>
      </x:c>
      <x:c r="DI46" s="35" t="n">
        <x:f>IF(AND(DI$3&gt;=$B$39,DI$3&lt;EDATE($B$39,MAX(1,'Вводные'!$K$53)),AND($B$35="Да",IFERROR(INDEX('Вводные'!$B$88:$B$91,$B$36),"Нет")="Да")),1,0)</x:f>
      </x:c>
      <x:c r="DJ46" s="35" t="n">
        <x:f>IF(AND(DJ$3&gt;=$B$39,DJ$3&lt;EDATE($B$39,MAX(1,'Вводные'!$K$53)),AND($B$35="Да",IFERROR(INDEX('Вводные'!$B$88:$B$91,$B$36),"Нет")="Да")),1,0)</x:f>
      </x:c>
      <x:c r="DK46" s="35" t="n">
        <x:f>IF(AND(DK$3&gt;=$B$39,DK$3&lt;EDATE($B$39,MAX(1,'Вводные'!$K$53)),AND($B$35="Да",IFERROR(INDEX('Вводные'!$B$88:$B$91,$B$36),"Нет")="Да")),1,0)</x:f>
      </x:c>
      <x:c r="DL46" s="35" t="n">
        <x:f>IF(AND(DL$3&gt;=$B$39,DL$3&lt;EDATE($B$39,MAX(1,'Вводные'!$K$53)),AND($B$35="Да",IFERROR(INDEX('Вводные'!$B$88:$B$91,$B$36),"Нет")="Да")),1,0)</x:f>
      </x:c>
      <x:c r="DM46" s="35" t="n">
        <x:f>IF(AND(DM$3&gt;=$B$39,DM$3&lt;EDATE($B$39,MAX(1,'Вводные'!$K$53)),AND($B$35="Да",IFERROR(INDEX('Вводные'!$B$88:$B$91,$B$36),"Нет")="Да")),1,0)</x:f>
      </x:c>
      <x:c r="DN46" s="35" t="n">
        <x:f>IF(AND(DN$3&gt;=$B$39,DN$3&lt;EDATE($B$39,MAX(1,'Вводные'!$K$53)),AND($B$35="Да",IFERROR(INDEX('Вводные'!$B$88:$B$91,$B$36),"Нет")="Да")),1,0)</x:f>
      </x:c>
      <x:c r="DO46" s="35" t="n">
        <x:f>IF(AND(DO$3&gt;=$B$39,DO$3&lt;EDATE($B$39,MAX(1,'Вводные'!$K$53)),AND($B$35="Да",IFERROR(INDEX('Вводные'!$B$88:$B$91,$B$36),"Нет")="Да")),1,0)</x:f>
      </x:c>
      <x:c r="DP46" s="35" t="n">
        <x:f>IF(AND(DP$3&gt;=$B$39,DP$3&lt;EDATE($B$39,MAX(1,'Вводные'!$K$53)),AND($B$35="Да",IFERROR(INDEX('Вводные'!$B$88:$B$91,$B$36),"Нет")="Да")),1,0)</x:f>
      </x:c>
      <x:c r="DQ46" s="35" t="n">
        <x:f>IF(AND(DQ$3&gt;=$B$39,DQ$3&lt;EDATE($B$39,MAX(1,'Вводные'!$K$53)),AND($B$35="Да",IFERROR(INDEX('Вводные'!$B$88:$B$91,$B$36),"Нет")="Да")),1,0)</x:f>
      </x:c>
      <x:c r="DR46" s="35" t="n">
        <x:f>IF(AND(DR$3&gt;=$B$39,DR$3&lt;EDATE($B$39,MAX(1,'Вводные'!$K$53)),AND($B$35="Да",IFERROR(INDEX('Вводные'!$B$88:$B$91,$B$36),"Нет")="Да")),1,0)</x:f>
      </x:c>
      <x:c r="DS46" s="35" t="n">
        <x:f>IF(AND(DS$3&gt;=$B$39,DS$3&lt;EDATE($B$39,MAX(1,'Вводные'!$K$53)),AND($B$35="Да",IFERROR(INDEX('Вводные'!$B$88:$B$91,$B$36),"Нет")="Да")),1,0)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IF(D$3&lt;EDATE(INDEX('Вводные'!$D$88:$D$91,$B$36),INDEX('Вводные'!$E$88:$E$91,$B$36)+INDEX('Вводные'!$F$88:$F$91,$B$36)+'Вводные'!$H$9),D52,0)</x:f>
      </x:c>
      <x:c r="E53" s="107" t="n">
        <x:f>IF(E$3&lt;EDATE(INDEX('Вводные'!$D$88:$D$91,$B$36),INDEX('Вводные'!$E$88:$E$91,$B$36)+INDEX('Вводные'!$F$88:$F$91,$B$36)+'Вводные'!$H$9),E52,0)</x:f>
      </x:c>
      <x:c r="F53" s="107" t="n">
        <x:f>IF(F$3&lt;EDATE(INDEX('Вводные'!$D$88:$D$91,$B$36),INDEX('Вводные'!$E$88:$E$91,$B$36)+INDEX('Вводные'!$F$88:$F$91,$B$36)+'Вводные'!$H$9),F52,0)</x:f>
      </x:c>
      <x:c r="G53" s="107" t="n">
        <x:f>IF(G$3&lt;EDATE(INDEX('Вводные'!$D$88:$D$91,$B$36),INDEX('Вводные'!$E$88:$E$91,$B$36)+INDEX('Вводные'!$F$88:$F$91,$B$36)+'Вводные'!$H$9),G52,0)</x:f>
      </x:c>
      <x:c r="H53" s="107" t="n">
        <x:f>IF(H$3&lt;EDATE(INDEX('Вводные'!$D$88:$D$91,$B$36),INDEX('Вводные'!$E$88:$E$91,$B$36)+INDEX('Вводные'!$F$88:$F$91,$B$36)+'Вводные'!$H$9),H52,0)</x:f>
      </x:c>
      <x:c r="I53" s="107" t="n">
        <x:f>IF(I$3&lt;EDATE(INDEX('Вводные'!$D$88:$D$91,$B$36),INDEX('Вводные'!$E$88:$E$91,$B$36)+INDEX('Вводные'!$F$88:$F$91,$B$36)+'Вводные'!$H$9),I52,0)</x:f>
      </x:c>
      <x:c r="J53" s="107" t="n">
        <x:f>IF(J$3&lt;EDATE(INDEX('Вводные'!$D$88:$D$91,$B$36),INDEX('Вводные'!$E$88:$E$91,$B$36)+INDEX('Вводные'!$F$88:$F$91,$B$36)+'Вводные'!$H$9),J52,0)</x:f>
      </x:c>
      <x:c r="K53" s="107" t="n">
        <x:f>IF(K$3&lt;EDATE(INDEX('Вводные'!$D$88:$D$91,$B$36),INDEX('Вводные'!$E$88:$E$91,$B$36)+INDEX('Вводные'!$F$88:$F$91,$B$36)+'Вводные'!$H$9),K52,0)</x:f>
      </x:c>
      <x:c r="L53" s="107" t="n">
        <x:f>IF(L$3&lt;EDATE(INDEX('Вводные'!$D$88:$D$91,$B$36),INDEX('Вводные'!$E$88:$E$91,$B$36)+INDEX('Вводные'!$F$88:$F$91,$B$36)+'Вводные'!$H$9),L52,0)</x:f>
      </x:c>
      <x:c r="M53" s="107" t="n">
        <x:f>IF(M$3&lt;EDATE(INDEX('Вводные'!$D$88:$D$91,$B$36),INDEX('Вводные'!$E$88:$E$91,$B$36)+INDEX('Вводные'!$F$88:$F$91,$B$36)+'Вводные'!$H$9),M52,0)</x:f>
      </x:c>
      <x:c r="N53" s="107" t="n">
        <x:f>IF(N$3&lt;EDATE(INDEX('Вводные'!$D$88:$D$91,$B$36),INDEX('Вводные'!$E$88:$E$91,$B$36)+INDEX('Вводные'!$F$88:$F$91,$B$36)+'Вводные'!$H$9),N52,0)</x:f>
      </x:c>
      <x:c r="O53" s="107" t="n">
        <x:f>IF(O$3&lt;EDATE(INDEX('Вводные'!$D$88:$D$91,$B$36),INDEX('Вводные'!$E$88:$E$91,$B$36)+INDEX('Вводные'!$F$88:$F$91,$B$36)+'Вводные'!$H$9),O52,0)</x:f>
      </x:c>
      <x:c r="P53" s="107" t="n">
        <x:f>IF(P$3&lt;EDATE(INDEX('Вводные'!$D$88:$D$91,$B$36),INDEX('Вводные'!$E$88:$E$91,$B$36)+INDEX('Вводные'!$F$88:$F$91,$B$36)+'Вводные'!$H$9),P52,0)</x:f>
      </x:c>
      <x:c r="Q53" s="107" t="n">
        <x:f>IF(Q$3&lt;EDATE(INDEX('Вводные'!$D$88:$D$91,$B$36),INDEX('Вводные'!$E$88:$E$91,$B$36)+INDEX('Вводные'!$F$88:$F$91,$B$36)+'Вводные'!$H$9),Q52,0)</x:f>
      </x:c>
      <x:c r="R53" s="107" t="n">
        <x:f>IF(R$3&lt;EDATE(INDEX('Вводные'!$D$88:$D$91,$B$36),INDEX('Вводные'!$E$88:$E$91,$B$36)+INDEX('Вводные'!$F$88:$F$91,$B$36)+'Вводные'!$H$9),R52,0)</x:f>
      </x:c>
      <x:c r="S53" s="107" t="n">
        <x:f>IF(S$3&lt;EDATE(INDEX('Вводные'!$D$88:$D$91,$B$36),INDEX('Вводные'!$E$88:$E$91,$B$36)+INDEX('Вводные'!$F$88:$F$91,$B$36)+'Вводные'!$H$9),S52,0)</x:f>
      </x:c>
      <x:c r="T53" s="107" t="n">
        <x:f>IF(T$3&lt;EDATE(INDEX('Вводные'!$D$88:$D$91,$B$36),INDEX('Вводные'!$E$88:$E$91,$B$36)+INDEX('Вводные'!$F$88:$F$91,$B$36)+'Вводные'!$H$9),T52,0)</x:f>
      </x:c>
      <x:c r="U53" s="107" t="n">
        <x:f>IF(U$3&lt;EDATE(INDEX('Вводные'!$D$88:$D$91,$B$36),INDEX('Вводные'!$E$88:$E$91,$B$36)+INDEX('Вводные'!$F$88:$F$91,$B$36)+'Вводные'!$H$9),U52,0)</x:f>
      </x:c>
      <x:c r="V53" s="107" t="n">
        <x:f>IF(V$3&lt;EDATE(INDEX('Вводные'!$D$88:$D$91,$B$36),INDEX('Вводные'!$E$88:$E$91,$B$36)+INDEX('Вводные'!$F$88:$F$91,$B$36)+'Вводные'!$H$9),V52,0)</x:f>
      </x:c>
      <x:c r="W53" s="107" t="n">
        <x:f>IF(W$3&lt;EDATE(INDEX('Вводные'!$D$88:$D$91,$B$36),INDEX('Вводные'!$E$88:$E$91,$B$36)+INDEX('Вводные'!$F$88:$F$91,$B$36)+'Вводные'!$H$9),W52,0)</x:f>
      </x:c>
      <x:c r="X53" s="107" t="n">
        <x:f>IF(X$3&lt;EDATE(INDEX('Вводные'!$D$88:$D$91,$B$36),INDEX('Вводные'!$E$88:$E$91,$B$36)+INDEX('Вводные'!$F$88:$F$91,$B$36)+'Вводные'!$H$9),X52,0)</x:f>
      </x:c>
      <x:c r="Y53" s="107" t="n">
        <x:f>IF(Y$3&lt;EDATE(INDEX('Вводные'!$D$88:$D$91,$B$36),INDEX('Вводные'!$E$88:$E$91,$B$36)+INDEX('Вводные'!$F$88:$F$91,$B$36)+'Вводные'!$H$9),Y52,0)</x:f>
      </x:c>
      <x:c r="Z53" s="107" t="n">
        <x:f>IF(Z$3&lt;EDATE(INDEX('Вводные'!$D$88:$D$91,$B$36),INDEX('Вводные'!$E$88:$E$91,$B$36)+INDEX('Вводные'!$F$88:$F$91,$B$36)+'Вводные'!$H$9),Z52,0)</x:f>
      </x:c>
      <x:c r="AA53" s="107" t="n">
        <x:f>IF(AA$3&lt;EDATE(INDEX('Вводные'!$D$88:$D$91,$B$36),INDEX('Вводные'!$E$88:$E$91,$B$36)+INDEX('Вводные'!$F$88:$F$91,$B$36)+'Вводные'!$H$9),AA52,0)</x:f>
      </x:c>
      <x:c r="AB53" s="107" t="n">
        <x:f>IF(AB$3&lt;EDATE(INDEX('Вводные'!$D$88:$D$91,$B$36),INDEX('Вводные'!$E$88:$E$91,$B$36)+INDEX('Вводные'!$F$88:$F$91,$B$36)+'Вводные'!$H$9),AB52,0)</x:f>
      </x:c>
      <x:c r="AC53" s="107" t="n">
        <x:f>IF(AC$3&lt;EDATE(INDEX('Вводные'!$D$88:$D$91,$B$36),INDEX('Вводные'!$E$88:$E$91,$B$36)+INDEX('Вводные'!$F$88:$F$91,$B$36)+'Вводные'!$H$9),AC52,0)</x:f>
      </x:c>
      <x:c r="AD53" s="107" t="n">
        <x:f>IF(AD$3&lt;EDATE(INDEX('Вводные'!$D$88:$D$91,$B$36),INDEX('Вводные'!$E$88:$E$91,$B$36)+INDEX('Вводные'!$F$88:$F$91,$B$36)+'Вводные'!$H$9),AD52,0)</x:f>
      </x:c>
      <x:c r="AE53" s="107" t="n">
        <x:f>IF(AE$3&lt;EDATE(INDEX('Вводные'!$D$88:$D$91,$B$36),INDEX('Вводные'!$E$88:$E$91,$B$36)+INDEX('Вводные'!$F$88:$F$91,$B$36)+'Вводные'!$H$9),AE52,0)</x:f>
      </x:c>
      <x:c r="AF53" s="107" t="n">
        <x:f>IF(AF$3&lt;EDATE(INDEX('Вводные'!$D$88:$D$91,$B$36),INDEX('Вводные'!$E$88:$E$91,$B$36)+INDEX('Вводные'!$F$88:$F$91,$B$36)+'Вводные'!$H$9),AF52,0)</x:f>
      </x:c>
      <x:c r="AG53" s="107" t="n">
        <x:f>IF(AG$3&lt;EDATE(INDEX('Вводные'!$D$88:$D$91,$B$36),INDEX('Вводные'!$E$88:$E$91,$B$36)+INDEX('Вводные'!$F$88:$F$91,$B$36)+'Вводные'!$H$9),AG52,0)</x:f>
      </x:c>
      <x:c r="AH53" s="107" t="n">
        <x:f>IF(AH$3&lt;EDATE(INDEX('Вводные'!$D$88:$D$91,$B$36),INDEX('Вводные'!$E$88:$E$91,$B$36)+INDEX('Вводные'!$F$88:$F$91,$B$36)+'Вводные'!$H$9),AH52,0)</x:f>
      </x:c>
      <x:c r="AI53" s="107" t="n">
        <x:f>IF(AI$3&lt;EDATE(INDEX('Вводные'!$D$88:$D$91,$B$36),INDEX('Вводные'!$E$88:$E$91,$B$36)+INDEX('Вводные'!$F$88:$F$91,$B$36)+'Вводные'!$H$9),AI52,0)</x:f>
      </x:c>
      <x:c r="AJ53" s="107" t="n">
        <x:f>IF(AJ$3&lt;EDATE(INDEX('Вводные'!$D$88:$D$91,$B$36),INDEX('Вводные'!$E$88:$E$91,$B$36)+INDEX('Вводные'!$F$88:$F$91,$B$36)+'Вводные'!$H$9),AJ52,0)</x:f>
      </x:c>
      <x:c r="AK53" s="107" t="n">
        <x:f>IF(AK$3&lt;EDATE(INDEX('Вводные'!$D$88:$D$91,$B$36),INDEX('Вводные'!$E$88:$E$91,$B$36)+INDEX('Вводные'!$F$88:$F$91,$B$36)+'Вводные'!$H$9),AK52,0)</x:f>
      </x:c>
      <x:c r="AL53" s="107" t="n">
        <x:f>IF(AL$3&lt;EDATE(INDEX('Вводные'!$D$88:$D$91,$B$36),INDEX('Вводные'!$E$88:$E$91,$B$36)+INDEX('Вводные'!$F$88:$F$91,$B$36)+'Вводные'!$H$9),AL52,0)</x:f>
      </x:c>
      <x:c r="AM53" s="107" t="n">
        <x:f>IF(AM$3&lt;EDATE(INDEX('Вводные'!$D$88:$D$91,$B$36),INDEX('Вводные'!$E$88:$E$91,$B$36)+INDEX('Вводные'!$F$88:$F$91,$B$36)+'Вводные'!$H$9),AM52,0)</x:f>
      </x:c>
      <x:c r="AN53" s="107" t="n">
        <x:f>IF(AN$3&lt;EDATE(INDEX('Вводные'!$D$88:$D$91,$B$36),INDEX('Вводные'!$E$88:$E$91,$B$36)+INDEX('Вводные'!$F$88:$F$91,$B$36)+'Вводные'!$H$9),AN52,0)</x:f>
      </x:c>
      <x:c r="AO53" s="107" t="n">
        <x:f>IF(AO$3&lt;EDATE(INDEX('Вводные'!$D$88:$D$91,$B$36),INDEX('Вводные'!$E$88:$E$91,$B$36)+INDEX('Вводные'!$F$88:$F$91,$B$36)+'Вводные'!$H$9),AO52,0)</x:f>
      </x:c>
      <x:c r="AP53" s="107" t="n">
        <x:f>IF(AP$3&lt;EDATE(INDEX('Вводные'!$D$88:$D$91,$B$36),INDEX('Вводные'!$E$88:$E$91,$B$36)+INDEX('Вводные'!$F$88:$F$91,$B$36)+'Вводные'!$H$9),AP52,0)</x:f>
      </x:c>
      <x:c r="AQ53" s="107" t="n">
        <x:f>IF(AQ$3&lt;EDATE(INDEX('Вводные'!$D$88:$D$91,$B$36),INDEX('Вводные'!$E$88:$E$91,$B$36)+INDEX('Вводные'!$F$88:$F$91,$B$36)+'Вводные'!$H$9),AQ52,0)</x:f>
      </x:c>
      <x:c r="AR53" s="107" t="n">
        <x:f>IF(AR$3&lt;EDATE(INDEX('Вводные'!$D$88:$D$91,$B$36),INDEX('Вводные'!$E$88:$E$91,$B$36)+INDEX('Вводные'!$F$88:$F$91,$B$36)+'Вводные'!$H$9),AR52,0)</x:f>
      </x:c>
      <x:c r="AS53" s="107" t="n">
        <x:f>IF(AS$3&lt;EDATE(INDEX('Вводные'!$D$88:$D$91,$B$36),INDEX('Вводные'!$E$88:$E$91,$B$36)+INDEX('Вводные'!$F$88:$F$91,$B$36)+'Вводные'!$H$9),AS52,0)</x:f>
      </x:c>
      <x:c r="AT53" s="107" t="n">
        <x:f>IF(AT$3&lt;EDATE(INDEX('Вводные'!$D$88:$D$91,$B$36),INDEX('Вводные'!$E$88:$E$91,$B$36)+INDEX('Вводные'!$F$88:$F$91,$B$36)+'Вводные'!$H$9),AT52,0)</x:f>
      </x:c>
      <x:c r="AU53" s="107" t="n">
        <x:f>IF(AU$3&lt;EDATE(INDEX('Вводные'!$D$88:$D$91,$B$36),INDEX('Вводные'!$E$88:$E$91,$B$36)+INDEX('Вводные'!$F$88:$F$91,$B$36)+'Вводные'!$H$9),AU52,0)</x:f>
      </x:c>
      <x:c r="AV53" s="107" t="n">
        <x:f>IF(AV$3&lt;EDATE(INDEX('Вводные'!$D$88:$D$91,$B$36),INDEX('Вводные'!$E$88:$E$91,$B$36)+INDEX('Вводные'!$F$88:$F$91,$B$36)+'Вводные'!$H$9),AV52,0)</x:f>
      </x:c>
      <x:c r="AW53" s="107" t="n">
        <x:f>IF(AW$3&lt;EDATE(INDEX('Вводные'!$D$88:$D$91,$B$36),INDEX('Вводные'!$E$88:$E$91,$B$36)+INDEX('Вводные'!$F$88:$F$91,$B$36)+'Вводные'!$H$9),AW52,0)</x:f>
      </x:c>
      <x:c r="AX53" s="107" t="n">
        <x:f>IF(AX$3&lt;EDATE(INDEX('Вводные'!$D$88:$D$91,$B$36),INDEX('Вводные'!$E$88:$E$91,$B$36)+INDEX('Вводные'!$F$88:$F$91,$B$36)+'Вводные'!$H$9),AX52,0)</x:f>
      </x:c>
      <x:c r="AY53" s="107" t="n">
        <x:f>IF(AY$3&lt;EDATE(INDEX('Вводные'!$D$88:$D$91,$B$36),INDEX('Вводные'!$E$88:$E$91,$B$36)+INDEX('Вводные'!$F$88:$F$91,$B$36)+'Вводные'!$H$9),AY52,0)</x:f>
      </x:c>
      <x:c r="AZ53" s="107" t="n">
        <x:f>IF(AZ$3&lt;EDATE(INDEX('Вводные'!$D$88:$D$91,$B$36),INDEX('Вводные'!$E$88:$E$91,$B$36)+INDEX('Вводные'!$F$88:$F$91,$B$36)+'Вводные'!$H$9),AZ52,0)</x:f>
      </x:c>
      <x:c r="BA53" s="107" t="n">
        <x:f>IF(BA$3&lt;EDATE(INDEX('Вводные'!$D$88:$D$91,$B$36),INDEX('Вводные'!$E$88:$E$91,$B$36)+INDEX('Вводные'!$F$88:$F$91,$B$36)+'Вводные'!$H$9),BA52,0)</x:f>
      </x:c>
      <x:c r="BB53" s="107" t="n">
        <x:f>IF(BB$3&lt;EDATE(INDEX('Вводные'!$D$88:$D$91,$B$36),INDEX('Вводные'!$E$88:$E$91,$B$36)+INDEX('Вводные'!$F$88:$F$91,$B$36)+'Вводные'!$H$9),BB52,0)</x:f>
      </x:c>
      <x:c r="BC53" s="107" t="n">
        <x:f>IF(BC$3&lt;EDATE(INDEX('Вводные'!$D$88:$D$91,$B$36),INDEX('Вводные'!$E$88:$E$91,$B$36)+INDEX('Вводные'!$F$88:$F$91,$B$36)+'Вводные'!$H$9),BC52,0)</x:f>
      </x:c>
      <x:c r="BD53" s="107" t="n">
        <x:f>IF(BD$3&lt;EDATE(INDEX('Вводные'!$D$88:$D$91,$B$36),INDEX('Вводные'!$E$88:$E$91,$B$36)+INDEX('Вводные'!$F$88:$F$91,$B$36)+'Вводные'!$H$9),BD52,0)</x:f>
      </x:c>
      <x:c r="BE53" s="107" t="n">
        <x:f>IF(BE$3&lt;EDATE(INDEX('Вводные'!$D$88:$D$91,$B$36),INDEX('Вводные'!$E$88:$E$91,$B$36)+INDEX('Вводные'!$F$88:$F$91,$B$36)+'Вводные'!$H$9),BE52,0)</x:f>
      </x:c>
      <x:c r="BF53" s="107" t="n">
        <x:f>IF(BF$3&lt;EDATE(INDEX('Вводные'!$D$88:$D$91,$B$36),INDEX('Вводные'!$E$88:$E$91,$B$36)+INDEX('Вводные'!$F$88:$F$91,$B$36)+'Вводные'!$H$9),BF52,0)</x:f>
      </x:c>
      <x:c r="BG53" s="107" t="n">
        <x:f>IF(BG$3&lt;EDATE(INDEX('Вводные'!$D$88:$D$91,$B$36),INDEX('Вводные'!$E$88:$E$91,$B$36)+INDEX('Вводные'!$F$88:$F$91,$B$36)+'Вводные'!$H$9),BG52,0)</x:f>
      </x:c>
      <x:c r="BH53" s="107" t="n">
        <x:f>IF(BH$3&lt;EDATE(INDEX('Вводные'!$D$88:$D$91,$B$36),INDEX('Вводные'!$E$88:$E$91,$B$36)+INDEX('Вводные'!$F$88:$F$91,$B$36)+'Вводные'!$H$9),BH52,0)</x:f>
      </x:c>
      <x:c r="BI53" s="107" t="n">
        <x:f>IF(BI$3&lt;EDATE(INDEX('Вводные'!$D$88:$D$91,$B$36),INDEX('Вводные'!$E$88:$E$91,$B$36)+INDEX('Вводные'!$F$88:$F$91,$B$36)+'Вводные'!$H$9),BI52,0)</x:f>
      </x:c>
      <x:c r="BJ53" s="107" t="n">
        <x:f>IF(BJ$3&lt;EDATE(INDEX('Вводные'!$D$88:$D$91,$B$36),INDEX('Вводные'!$E$88:$E$91,$B$36)+INDEX('Вводные'!$F$88:$F$91,$B$36)+'Вводные'!$H$9),BJ52,0)</x:f>
      </x:c>
      <x:c r="BK53" s="107" t="n">
        <x:f>IF(BK$3&lt;EDATE(INDEX('Вводные'!$D$88:$D$91,$B$36),INDEX('Вводные'!$E$88:$E$91,$B$36)+INDEX('Вводные'!$F$88:$F$91,$B$36)+'Вводные'!$H$9),BK52,0)</x:f>
      </x:c>
      <x:c r="BL53" s="107" t="n">
        <x:f>IF(BL$3&lt;EDATE(INDEX('Вводные'!$D$88:$D$91,$B$36),INDEX('Вводные'!$E$88:$E$91,$B$36)+INDEX('Вводные'!$F$88:$F$91,$B$36)+'Вводные'!$H$9),BL52,0)</x:f>
      </x:c>
      <x:c r="BM53" s="107" t="n">
        <x:f>IF(BM$3&lt;EDATE(INDEX('Вводные'!$D$88:$D$91,$B$36),INDEX('Вводные'!$E$88:$E$91,$B$36)+INDEX('Вводные'!$F$88:$F$91,$B$36)+'Вводные'!$H$9),BM52,0)</x:f>
      </x:c>
      <x:c r="BN53" s="107" t="n">
        <x:f>IF(BN$3&lt;EDATE(INDEX('Вводные'!$D$88:$D$91,$B$36),INDEX('Вводные'!$E$88:$E$91,$B$36)+INDEX('Вводные'!$F$88:$F$91,$B$36)+'Вводные'!$H$9),BN52,0)</x:f>
      </x:c>
      <x:c r="BO53" s="107" t="n">
        <x:f>IF(BO$3&lt;EDATE(INDEX('Вводные'!$D$88:$D$91,$B$36),INDEX('Вводные'!$E$88:$E$91,$B$36)+INDEX('Вводные'!$F$88:$F$91,$B$36)+'Вводные'!$H$9),BO52,0)</x:f>
      </x:c>
      <x:c r="BP53" s="107" t="n">
        <x:f>IF(BP$3&lt;EDATE(INDEX('Вводные'!$D$88:$D$91,$B$36),INDEX('Вводные'!$E$88:$E$91,$B$36)+INDEX('Вводные'!$F$88:$F$91,$B$36)+'Вводные'!$H$9),BP52,0)</x:f>
      </x:c>
      <x:c r="BQ53" s="107" t="n">
        <x:f>IF(BQ$3&lt;EDATE(INDEX('Вводные'!$D$88:$D$91,$B$36),INDEX('Вводные'!$E$88:$E$91,$B$36)+INDEX('Вводные'!$F$88:$F$91,$B$36)+'Вводные'!$H$9),BQ52,0)</x:f>
      </x:c>
      <x:c r="BR53" s="107" t="n">
        <x:f>IF(BR$3&lt;EDATE(INDEX('Вводные'!$D$88:$D$91,$B$36),INDEX('Вводные'!$E$88:$E$91,$B$36)+INDEX('Вводные'!$F$88:$F$91,$B$36)+'Вводные'!$H$9),BR52,0)</x:f>
      </x:c>
      <x:c r="BS53" s="107" t="n">
        <x:f>IF(BS$3&lt;EDATE(INDEX('Вводные'!$D$88:$D$91,$B$36),INDEX('Вводные'!$E$88:$E$91,$B$36)+INDEX('Вводные'!$F$88:$F$91,$B$36)+'Вводные'!$H$9),BS52,0)</x:f>
      </x:c>
      <x:c r="BT53" s="107" t="n">
        <x:f>IF(BT$3&lt;EDATE(INDEX('Вводные'!$D$88:$D$91,$B$36),INDEX('Вводные'!$E$88:$E$91,$B$36)+INDEX('Вводные'!$F$88:$F$91,$B$36)+'Вводные'!$H$9),BT52,0)</x:f>
      </x:c>
      <x:c r="BU53" s="107" t="n">
        <x:f>IF(BU$3&lt;EDATE(INDEX('Вводные'!$D$88:$D$91,$B$36),INDEX('Вводные'!$E$88:$E$91,$B$36)+INDEX('Вводные'!$F$88:$F$91,$B$36)+'Вводные'!$H$9),BU52,0)</x:f>
      </x:c>
      <x:c r="BV53" s="107" t="n">
        <x:f>IF(BV$3&lt;EDATE(INDEX('Вводные'!$D$88:$D$91,$B$36),INDEX('Вводные'!$E$88:$E$91,$B$36)+INDEX('Вводные'!$F$88:$F$91,$B$36)+'Вводные'!$H$9),BV52,0)</x:f>
      </x:c>
      <x:c r="BW53" s="107" t="n">
        <x:f>IF(BW$3&lt;EDATE(INDEX('Вводные'!$D$88:$D$91,$B$36),INDEX('Вводные'!$E$88:$E$91,$B$36)+INDEX('Вводные'!$F$88:$F$91,$B$36)+'Вводные'!$H$9),BW52,0)</x:f>
      </x:c>
      <x:c r="BX53" s="107" t="n">
        <x:f>IF(BX$3&lt;EDATE(INDEX('Вводные'!$D$88:$D$91,$B$36),INDEX('Вводные'!$E$88:$E$91,$B$36)+INDEX('Вводные'!$F$88:$F$91,$B$36)+'Вводные'!$H$9),BX52,0)</x:f>
      </x:c>
      <x:c r="BY53" s="107" t="n">
        <x:f>IF(BY$3&lt;EDATE(INDEX('Вводные'!$D$88:$D$91,$B$36),INDEX('Вводные'!$E$88:$E$91,$B$36)+INDEX('Вводные'!$F$88:$F$91,$B$36)+'Вводные'!$H$9),BY52,0)</x:f>
      </x:c>
      <x:c r="BZ53" s="107" t="n">
        <x:f>IF(BZ$3&lt;EDATE(INDEX('Вводные'!$D$88:$D$91,$B$36),INDEX('Вводные'!$E$88:$E$91,$B$36)+INDEX('Вводные'!$F$88:$F$91,$B$36)+'Вводные'!$H$9),BZ52,0)</x:f>
      </x:c>
      <x:c r="CA53" s="107" t="n">
        <x:f>IF(CA$3&lt;EDATE(INDEX('Вводные'!$D$88:$D$91,$B$36),INDEX('Вводные'!$E$88:$E$91,$B$36)+INDEX('Вводные'!$F$88:$F$91,$B$36)+'Вводные'!$H$9),CA52,0)</x:f>
      </x:c>
      <x:c r="CB53" s="107" t="n">
        <x:f>IF(CB$3&lt;EDATE(INDEX('Вводные'!$D$88:$D$91,$B$36),INDEX('Вводные'!$E$88:$E$91,$B$36)+INDEX('Вводные'!$F$88:$F$91,$B$36)+'Вводные'!$H$9),CB52,0)</x:f>
      </x:c>
      <x:c r="CC53" s="107" t="n">
        <x:f>IF(CC$3&lt;EDATE(INDEX('Вводные'!$D$88:$D$91,$B$36),INDEX('Вводные'!$E$88:$E$91,$B$36)+INDEX('Вводные'!$F$88:$F$91,$B$36)+'Вводные'!$H$9),CC52,0)</x:f>
      </x:c>
      <x:c r="CD53" s="107" t="n">
        <x:f>IF(CD$3&lt;EDATE(INDEX('Вводные'!$D$88:$D$91,$B$36),INDEX('Вводные'!$E$88:$E$91,$B$36)+INDEX('Вводные'!$F$88:$F$91,$B$36)+'Вводные'!$H$9),CD52,0)</x:f>
      </x:c>
      <x:c r="CE53" s="107" t="n">
        <x:f>IF(CE$3&lt;EDATE(INDEX('Вводные'!$D$88:$D$91,$B$36),INDEX('Вводные'!$E$88:$E$91,$B$36)+INDEX('Вводные'!$F$88:$F$91,$B$36)+'Вводные'!$H$9),CE52,0)</x:f>
      </x:c>
      <x:c r="CF53" s="107" t="n">
        <x:f>IF(CF$3&lt;EDATE(INDEX('Вводные'!$D$88:$D$91,$B$36),INDEX('Вводные'!$E$88:$E$91,$B$36)+INDEX('Вводные'!$F$88:$F$91,$B$36)+'Вводные'!$H$9),CF52,0)</x:f>
      </x:c>
      <x:c r="CG53" s="107" t="n">
        <x:f>IF(CG$3&lt;EDATE(INDEX('Вводные'!$D$88:$D$91,$B$36),INDEX('Вводные'!$E$88:$E$91,$B$36)+INDEX('Вводные'!$F$88:$F$91,$B$36)+'Вводные'!$H$9),CG52,0)</x:f>
      </x:c>
      <x:c r="CH53" s="107" t="n">
        <x:f>IF(CH$3&lt;EDATE(INDEX('Вводные'!$D$88:$D$91,$B$36),INDEX('Вводные'!$E$88:$E$91,$B$36)+INDEX('Вводные'!$F$88:$F$91,$B$36)+'Вводные'!$H$9),CH52,0)</x:f>
      </x:c>
      <x:c r="CI53" s="107" t="n">
        <x:f>IF(CI$3&lt;EDATE(INDEX('Вводные'!$D$88:$D$91,$B$36),INDEX('Вводные'!$E$88:$E$91,$B$36)+INDEX('Вводные'!$F$88:$F$91,$B$36)+'Вводные'!$H$9),CI52,0)</x:f>
      </x:c>
      <x:c r="CJ53" s="107" t="n">
        <x:f>IF(CJ$3&lt;EDATE(INDEX('Вводные'!$D$88:$D$91,$B$36),INDEX('Вводные'!$E$88:$E$91,$B$36)+INDEX('Вводные'!$F$88:$F$91,$B$36)+'Вводные'!$H$9),CJ52,0)</x:f>
      </x:c>
      <x:c r="CK53" s="107" t="n">
        <x:f>IF(CK$3&lt;EDATE(INDEX('Вводные'!$D$88:$D$91,$B$36),INDEX('Вводные'!$E$88:$E$91,$B$36)+INDEX('Вводные'!$F$88:$F$91,$B$36)+'Вводные'!$H$9),CK52,0)</x:f>
      </x:c>
      <x:c r="CL53" s="107" t="n">
        <x:f>IF(CL$3&lt;EDATE(INDEX('Вводные'!$D$88:$D$91,$B$36),INDEX('Вводные'!$E$88:$E$91,$B$36)+INDEX('Вводные'!$F$88:$F$91,$B$36)+'Вводные'!$H$9),CL52,0)</x:f>
      </x:c>
      <x:c r="CM53" s="107" t="n">
        <x:f>IF(CM$3&lt;EDATE(INDEX('Вводные'!$D$88:$D$91,$B$36),INDEX('Вводные'!$E$88:$E$91,$B$36)+INDEX('Вводные'!$F$88:$F$91,$B$36)+'Вводные'!$H$9),CM52,0)</x:f>
      </x:c>
      <x:c r="CN53" s="107" t="n">
        <x:f>IF(CN$3&lt;EDATE(INDEX('Вводные'!$D$88:$D$91,$B$36),INDEX('Вводные'!$E$88:$E$91,$B$36)+INDEX('Вводные'!$F$88:$F$91,$B$36)+'Вводные'!$H$9),CN52,0)</x:f>
      </x:c>
      <x:c r="CO53" s="107" t="n">
        <x:f>IF(CO$3&lt;EDATE(INDEX('Вводные'!$D$88:$D$91,$B$36),INDEX('Вводные'!$E$88:$E$91,$B$36)+INDEX('Вводные'!$F$88:$F$91,$B$36)+'Вводные'!$H$9),CO52,0)</x:f>
      </x:c>
      <x:c r="CP53" s="107" t="n">
        <x:f>IF(CP$3&lt;EDATE(INDEX('Вводные'!$D$88:$D$91,$B$36),INDEX('Вводные'!$E$88:$E$91,$B$36)+INDEX('Вводные'!$F$88:$F$91,$B$36)+'Вводные'!$H$9),CP52,0)</x:f>
      </x:c>
      <x:c r="CQ53" s="107" t="n">
        <x:f>IF(CQ$3&lt;EDATE(INDEX('Вводные'!$D$88:$D$91,$B$36),INDEX('Вводные'!$E$88:$E$91,$B$36)+INDEX('Вводные'!$F$88:$F$91,$B$36)+'Вводные'!$H$9),CQ52,0)</x:f>
      </x:c>
      <x:c r="CR53" s="107" t="n">
        <x:f>IF(CR$3&lt;EDATE(INDEX('Вводные'!$D$88:$D$91,$B$36),INDEX('Вводные'!$E$88:$E$91,$B$36)+INDEX('Вводные'!$F$88:$F$91,$B$36)+'Вводные'!$H$9),CR52,0)</x:f>
      </x:c>
      <x:c r="CS53" s="107" t="n">
        <x:f>IF(CS$3&lt;EDATE(INDEX('Вводные'!$D$88:$D$91,$B$36),INDEX('Вводные'!$E$88:$E$91,$B$36)+INDEX('Вводные'!$F$88:$F$91,$B$36)+'Вводные'!$H$9),CS52,0)</x:f>
      </x:c>
      <x:c r="CT53" s="107" t="n">
        <x:f>IF(CT$3&lt;EDATE(INDEX('Вводные'!$D$88:$D$91,$B$36),INDEX('Вводные'!$E$88:$E$91,$B$36)+INDEX('Вводные'!$F$88:$F$91,$B$36)+'Вводные'!$H$9),CT52,0)</x:f>
      </x:c>
      <x:c r="CU53" s="107" t="n">
        <x:f>IF(CU$3&lt;EDATE(INDEX('Вводные'!$D$88:$D$91,$B$36),INDEX('Вводные'!$E$88:$E$91,$B$36)+INDEX('Вводные'!$F$88:$F$91,$B$36)+'Вводные'!$H$9),CU52,0)</x:f>
      </x:c>
      <x:c r="CV53" s="107" t="n">
        <x:f>IF(CV$3&lt;EDATE(INDEX('Вводные'!$D$88:$D$91,$B$36),INDEX('Вводные'!$E$88:$E$91,$B$36)+INDEX('Вводные'!$F$88:$F$91,$B$36)+'Вводные'!$H$9),CV52,0)</x:f>
      </x:c>
      <x:c r="CW53" s="107" t="n">
        <x:f>IF(CW$3&lt;EDATE(INDEX('Вводные'!$D$88:$D$91,$B$36),INDEX('Вводные'!$E$88:$E$91,$B$36)+INDEX('Вводные'!$F$88:$F$91,$B$36)+'Вводные'!$H$9),CW52,0)</x:f>
      </x:c>
      <x:c r="CX53" s="107" t="n">
        <x:f>IF(CX$3&lt;EDATE(INDEX('Вводные'!$D$88:$D$91,$B$36),INDEX('Вводные'!$E$88:$E$91,$B$36)+INDEX('Вводные'!$F$88:$F$91,$B$36)+'Вводные'!$H$9),CX52,0)</x:f>
      </x:c>
      <x:c r="CY53" s="107" t="n">
        <x:f>IF(CY$3&lt;EDATE(INDEX('Вводные'!$D$88:$D$91,$B$36),INDEX('Вводные'!$E$88:$E$91,$B$36)+INDEX('Вводные'!$F$88:$F$91,$B$36)+'Вводные'!$H$9),CY52,0)</x:f>
      </x:c>
      <x:c r="CZ53" s="107" t="n">
        <x:f>IF(CZ$3&lt;EDATE(INDEX('Вводные'!$D$88:$D$91,$B$36),INDEX('Вводные'!$E$88:$E$91,$B$36)+INDEX('Вводные'!$F$88:$F$91,$B$36)+'Вводные'!$H$9),CZ52,0)</x:f>
      </x:c>
      <x:c r="DA53" s="107" t="n">
        <x:f>IF(DA$3&lt;EDATE(INDEX('Вводные'!$D$88:$D$91,$B$36),INDEX('Вводные'!$E$88:$E$91,$B$36)+INDEX('Вводные'!$F$88:$F$91,$B$36)+'Вводные'!$H$9),DA52,0)</x:f>
      </x:c>
      <x:c r="DB53" s="107" t="n">
        <x:f>IF(DB$3&lt;EDATE(INDEX('Вводные'!$D$88:$D$91,$B$36),INDEX('Вводные'!$E$88:$E$91,$B$36)+INDEX('Вводные'!$F$88:$F$91,$B$36)+'Вводные'!$H$9),DB52,0)</x:f>
      </x:c>
      <x:c r="DC53" s="107" t="n">
        <x:f>IF(DC$3&lt;EDATE(INDEX('Вводные'!$D$88:$D$91,$B$36),INDEX('Вводные'!$E$88:$E$91,$B$36)+INDEX('Вводные'!$F$88:$F$91,$B$36)+'Вводные'!$H$9),DC52,0)</x:f>
      </x:c>
      <x:c r="DD53" s="107" t="n">
        <x:f>IF(DD$3&lt;EDATE(INDEX('Вводные'!$D$88:$D$91,$B$36),INDEX('Вводные'!$E$88:$E$91,$B$36)+INDEX('Вводные'!$F$88:$F$91,$B$36)+'Вводные'!$H$9),DD52,0)</x:f>
      </x:c>
      <x:c r="DE53" s="107" t="n">
        <x:f>IF(DE$3&lt;EDATE(INDEX('Вводные'!$D$88:$D$91,$B$36),INDEX('Вводные'!$E$88:$E$91,$B$36)+INDEX('Вводные'!$F$88:$F$91,$B$36)+'Вводные'!$H$9),DE52,0)</x:f>
      </x:c>
      <x:c r="DF53" s="107" t="n">
        <x:f>IF(DF$3&lt;EDATE(INDEX('Вводные'!$D$88:$D$91,$B$36),INDEX('Вводные'!$E$88:$E$91,$B$36)+INDEX('Вводные'!$F$88:$F$91,$B$36)+'Вводные'!$H$9),DF52,0)</x:f>
      </x:c>
      <x:c r="DG53" s="107" t="n">
        <x:f>IF(DG$3&lt;EDATE(INDEX('Вводные'!$D$88:$D$91,$B$36),INDEX('Вводные'!$E$88:$E$91,$B$36)+INDEX('Вводные'!$F$88:$F$91,$B$36)+'Вводные'!$H$9),DG52,0)</x:f>
      </x:c>
      <x:c r="DH53" s="107" t="n">
        <x:f>IF(DH$3&lt;EDATE(INDEX('Вводные'!$D$88:$D$91,$B$36),INDEX('Вводные'!$E$88:$E$91,$B$36)+INDEX('Вводные'!$F$88:$F$91,$B$36)+'Вводные'!$H$9),DH52,0)</x:f>
      </x:c>
      <x:c r="DI53" s="107" t="n">
        <x:f>IF(DI$3&lt;EDATE(INDEX('Вводные'!$D$88:$D$91,$B$36),INDEX('Вводные'!$E$88:$E$91,$B$36)+INDEX('Вводные'!$F$88:$F$91,$B$36)+'Вводные'!$H$9),DI52,0)</x:f>
      </x:c>
      <x:c r="DJ53" s="107" t="n">
        <x:f>IF(DJ$3&lt;EDATE(INDEX('Вводные'!$D$88:$D$91,$B$36),INDEX('Вводные'!$E$88:$E$91,$B$36)+INDEX('Вводные'!$F$88:$F$91,$B$36)+'Вводные'!$H$9),DJ52,0)</x:f>
      </x:c>
      <x:c r="DK53" s="107" t="n">
        <x:f>IF(DK$3&lt;EDATE(INDEX('Вводные'!$D$88:$D$91,$B$36),INDEX('Вводные'!$E$88:$E$91,$B$36)+INDEX('Вводные'!$F$88:$F$91,$B$36)+'Вводные'!$H$9),DK52,0)</x:f>
      </x:c>
      <x:c r="DL53" s="107" t="n">
        <x:f>IF(DL$3&lt;EDATE(INDEX('Вводные'!$D$88:$D$91,$B$36),INDEX('Вводные'!$E$88:$E$91,$B$36)+INDEX('Вводные'!$F$88:$F$91,$B$36)+'Вводные'!$H$9),DL52,0)</x:f>
      </x:c>
      <x:c r="DM53" s="107" t="n">
        <x:f>IF(DM$3&lt;EDATE(INDEX('Вводные'!$D$88:$D$91,$B$36),INDEX('Вводные'!$E$88:$E$91,$B$36)+INDEX('Вводные'!$F$88:$F$91,$B$36)+'Вводные'!$H$9),DM52,0)</x:f>
      </x:c>
      <x:c r="DN53" s="107" t="n">
        <x:f>IF(DN$3&lt;EDATE(INDEX('Вводные'!$D$88:$D$91,$B$36),INDEX('Вводные'!$E$88:$E$91,$B$36)+INDEX('Вводные'!$F$88:$F$91,$B$36)+'Вводные'!$H$9),DN52,0)</x:f>
      </x:c>
      <x:c r="DO53" s="107" t="n">
        <x:f>IF(DO$3&lt;EDATE(INDEX('Вводные'!$D$88:$D$91,$B$36),INDEX('Вводные'!$E$88:$E$91,$B$36)+INDEX('Вводные'!$F$88:$F$91,$B$36)+'Вводные'!$H$9),DO52,0)</x:f>
      </x:c>
      <x:c r="DP53" s="107" t="n">
        <x:f>IF(DP$3&lt;EDATE(INDEX('Вводные'!$D$88:$D$91,$B$36),INDEX('Вводные'!$E$88:$E$91,$B$36)+INDEX('Вводные'!$F$88:$F$91,$B$36)+'Вводные'!$H$9),DP52,0)</x:f>
      </x:c>
      <x:c r="DQ53" s="107" t="n">
        <x:f>IF(DQ$3&lt;EDATE(INDEX('Вводные'!$D$88:$D$91,$B$36),INDEX('Вводные'!$E$88:$E$91,$B$36)+INDEX('Вводные'!$F$88:$F$91,$B$36)+'Вводные'!$H$9),DQ52,0)</x:f>
      </x:c>
      <x:c r="DR53" s="107" t="n">
        <x:f>IF(DR$3&lt;EDATE(INDEX('Вводные'!$D$88:$D$91,$B$36),INDEX('Вводные'!$E$88:$E$91,$B$36)+INDEX('Вводные'!$F$88:$F$91,$B$36)+'Вводные'!$H$9),DR52,0)</x:f>
      </x:c>
      <x:c r="DS53" s="107" t="n">
        <x:f>IF(DS$3&lt;EDATE(INDEX('Вводные'!$D$88:$D$91,$B$36),INDEX('Вводные'!$E$88:$E$91,$B$36)+INDEX('Вводные'!$F$88:$F$91,$B$36)+'Вводные'!$H$9),DS52,0)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IF(D$3&gt;=EDATE(INDEX('Вводные'!$D$88:$D$91,$B$36),INDEX('Вводные'!$E$88:$E$91,$B$36)+INDEX('Вводные'!$F$88:$F$91,$B$36)+'Вводные'!$H$9),D52,0)</x:f>
      </x:c>
      <x:c r="E54" s="107" t="n">
        <x:f>IF(E$3&gt;=EDATE(INDEX('Вводные'!$D$88:$D$91,$B$36),INDEX('Вводные'!$E$88:$E$91,$B$36)+INDEX('Вводные'!$F$88:$F$91,$B$36)+'Вводные'!$H$9),E52,0)</x:f>
      </x:c>
      <x:c r="F54" s="107" t="n">
        <x:f>IF(F$3&gt;=EDATE(INDEX('Вводные'!$D$88:$D$91,$B$36),INDEX('Вводные'!$E$88:$E$91,$B$36)+INDEX('Вводные'!$F$88:$F$91,$B$36)+'Вводные'!$H$9),F52,0)</x:f>
      </x:c>
      <x:c r="G54" s="107" t="n">
        <x:f>IF(G$3&gt;=EDATE(INDEX('Вводные'!$D$88:$D$91,$B$36),INDEX('Вводные'!$E$88:$E$91,$B$36)+INDEX('Вводные'!$F$88:$F$91,$B$36)+'Вводные'!$H$9),G52,0)</x:f>
      </x:c>
      <x:c r="H54" s="107" t="n">
        <x:f>IF(H$3&gt;=EDATE(INDEX('Вводные'!$D$88:$D$91,$B$36),INDEX('Вводные'!$E$88:$E$91,$B$36)+INDEX('Вводные'!$F$88:$F$91,$B$36)+'Вводные'!$H$9),H52,0)</x:f>
      </x:c>
      <x:c r="I54" s="107" t="n">
        <x:f>IF(I$3&gt;=EDATE(INDEX('Вводные'!$D$88:$D$91,$B$36),INDEX('Вводные'!$E$88:$E$91,$B$36)+INDEX('Вводные'!$F$88:$F$91,$B$36)+'Вводные'!$H$9),I52,0)</x:f>
      </x:c>
      <x:c r="J54" s="107" t="n">
        <x:f>IF(J$3&gt;=EDATE(INDEX('Вводные'!$D$88:$D$91,$B$36),INDEX('Вводные'!$E$88:$E$91,$B$36)+INDEX('Вводные'!$F$88:$F$91,$B$36)+'Вводные'!$H$9),J52,0)</x:f>
      </x:c>
      <x:c r="K54" s="107" t="n">
        <x:f>IF(K$3&gt;=EDATE(INDEX('Вводные'!$D$88:$D$91,$B$36),INDEX('Вводные'!$E$88:$E$91,$B$36)+INDEX('Вводные'!$F$88:$F$91,$B$36)+'Вводные'!$H$9),K52,0)</x:f>
      </x:c>
      <x:c r="L54" s="107" t="n">
        <x:f>IF(L$3&gt;=EDATE(INDEX('Вводные'!$D$88:$D$91,$B$36),INDEX('Вводные'!$E$88:$E$91,$B$36)+INDEX('Вводные'!$F$88:$F$91,$B$36)+'Вводные'!$H$9),L52,0)</x:f>
      </x:c>
      <x:c r="M54" s="107" t="n">
        <x:f>IF(M$3&gt;=EDATE(INDEX('Вводные'!$D$88:$D$91,$B$36),INDEX('Вводные'!$E$88:$E$91,$B$36)+INDEX('Вводные'!$F$88:$F$91,$B$36)+'Вводные'!$H$9),M52,0)</x:f>
      </x:c>
      <x:c r="N54" s="107" t="n">
        <x:f>IF(N$3&gt;=EDATE(INDEX('Вводные'!$D$88:$D$91,$B$36),INDEX('Вводные'!$E$88:$E$91,$B$36)+INDEX('Вводные'!$F$88:$F$91,$B$36)+'Вводные'!$H$9),N52,0)</x:f>
      </x:c>
      <x:c r="O54" s="107" t="n">
        <x:f>IF(O$3&gt;=EDATE(INDEX('Вводные'!$D$88:$D$91,$B$36),INDEX('Вводные'!$E$88:$E$91,$B$36)+INDEX('Вводные'!$F$88:$F$91,$B$36)+'Вводные'!$H$9),O52,0)</x:f>
      </x:c>
      <x:c r="P54" s="107" t="n">
        <x:f>IF(P$3&gt;=EDATE(INDEX('Вводные'!$D$88:$D$91,$B$36),INDEX('Вводные'!$E$88:$E$91,$B$36)+INDEX('Вводные'!$F$88:$F$91,$B$36)+'Вводные'!$H$9),P52,0)</x:f>
      </x:c>
      <x:c r="Q54" s="107" t="n">
        <x:f>IF(Q$3&gt;=EDATE(INDEX('Вводные'!$D$88:$D$91,$B$36),INDEX('Вводные'!$E$88:$E$91,$B$36)+INDEX('Вводные'!$F$88:$F$91,$B$36)+'Вводные'!$H$9),Q52,0)</x:f>
      </x:c>
      <x:c r="R54" s="107" t="n">
        <x:f>IF(R$3&gt;=EDATE(INDEX('Вводные'!$D$88:$D$91,$B$36),INDEX('Вводные'!$E$88:$E$91,$B$36)+INDEX('Вводные'!$F$88:$F$91,$B$36)+'Вводные'!$H$9),R52,0)</x:f>
      </x:c>
      <x:c r="S54" s="107" t="n">
        <x:f>IF(S$3&gt;=EDATE(INDEX('Вводные'!$D$88:$D$91,$B$36),INDEX('Вводные'!$E$88:$E$91,$B$36)+INDEX('Вводные'!$F$88:$F$91,$B$36)+'Вводные'!$H$9),S52,0)</x:f>
      </x:c>
      <x:c r="T54" s="107" t="n">
        <x:f>IF(T$3&gt;=EDATE(INDEX('Вводные'!$D$88:$D$91,$B$36),INDEX('Вводные'!$E$88:$E$91,$B$36)+INDEX('Вводные'!$F$88:$F$91,$B$36)+'Вводные'!$H$9),T52,0)</x:f>
      </x:c>
      <x:c r="U54" s="107" t="n">
        <x:f>IF(U$3&gt;=EDATE(INDEX('Вводные'!$D$88:$D$91,$B$36),INDEX('Вводные'!$E$88:$E$91,$B$36)+INDEX('Вводные'!$F$88:$F$91,$B$36)+'Вводные'!$H$9),U52,0)</x:f>
      </x:c>
      <x:c r="V54" s="107" t="n">
        <x:f>IF(V$3&gt;=EDATE(INDEX('Вводные'!$D$88:$D$91,$B$36),INDEX('Вводные'!$E$88:$E$91,$B$36)+INDEX('Вводные'!$F$88:$F$91,$B$36)+'Вводные'!$H$9),V52,0)</x:f>
      </x:c>
      <x:c r="W54" s="107" t="n">
        <x:f>IF(W$3&gt;=EDATE(INDEX('Вводные'!$D$88:$D$91,$B$36),INDEX('Вводные'!$E$88:$E$91,$B$36)+INDEX('Вводные'!$F$88:$F$91,$B$36)+'Вводные'!$H$9),W52,0)</x:f>
      </x:c>
      <x:c r="X54" s="107" t="n">
        <x:f>IF(X$3&gt;=EDATE(INDEX('Вводные'!$D$88:$D$91,$B$36),INDEX('Вводные'!$E$88:$E$91,$B$36)+INDEX('Вводные'!$F$88:$F$91,$B$36)+'Вводные'!$H$9),X52,0)</x:f>
      </x:c>
      <x:c r="Y54" s="107" t="n">
        <x:f>IF(Y$3&gt;=EDATE(INDEX('Вводные'!$D$88:$D$91,$B$36),INDEX('Вводные'!$E$88:$E$91,$B$36)+INDEX('Вводные'!$F$88:$F$91,$B$36)+'Вводные'!$H$9),Y52,0)</x:f>
      </x:c>
      <x:c r="Z54" s="107" t="n">
        <x:f>IF(Z$3&gt;=EDATE(INDEX('Вводные'!$D$88:$D$91,$B$36),INDEX('Вводные'!$E$88:$E$91,$B$36)+INDEX('Вводные'!$F$88:$F$91,$B$36)+'Вводные'!$H$9),Z52,0)</x:f>
      </x:c>
      <x:c r="AA54" s="107" t="n">
        <x:f>IF(AA$3&gt;=EDATE(INDEX('Вводные'!$D$88:$D$91,$B$36),INDEX('Вводные'!$E$88:$E$91,$B$36)+INDEX('Вводные'!$F$88:$F$91,$B$36)+'Вводные'!$H$9),AA52,0)</x:f>
      </x:c>
      <x:c r="AB54" s="107" t="n">
        <x:f>IF(AB$3&gt;=EDATE(INDEX('Вводные'!$D$88:$D$91,$B$36),INDEX('Вводные'!$E$88:$E$91,$B$36)+INDEX('Вводные'!$F$88:$F$91,$B$36)+'Вводные'!$H$9),AB52,0)</x:f>
      </x:c>
      <x:c r="AC54" s="107" t="n">
        <x:f>IF(AC$3&gt;=EDATE(INDEX('Вводные'!$D$88:$D$91,$B$36),INDEX('Вводные'!$E$88:$E$91,$B$36)+INDEX('Вводные'!$F$88:$F$91,$B$36)+'Вводные'!$H$9),AC52,0)</x:f>
      </x:c>
      <x:c r="AD54" s="107" t="n">
        <x:f>IF(AD$3&gt;=EDATE(INDEX('Вводные'!$D$88:$D$91,$B$36),INDEX('Вводные'!$E$88:$E$91,$B$36)+INDEX('Вводные'!$F$88:$F$91,$B$36)+'Вводные'!$H$9),AD52,0)</x:f>
      </x:c>
      <x:c r="AE54" s="107" t="n">
        <x:f>IF(AE$3&gt;=EDATE(INDEX('Вводные'!$D$88:$D$91,$B$36),INDEX('Вводные'!$E$88:$E$91,$B$36)+INDEX('Вводные'!$F$88:$F$91,$B$36)+'Вводные'!$H$9),AE52,0)</x:f>
      </x:c>
      <x:c r="AF54" s="107" t="n">
        <x:f>IF(AF$3&gt;=EDATE(INDEX('Вводные'!$D$88:$D$91,$B$36),INDEX('Вводные'!$E$88:$E$91,$B$36)+INDEX('Вводные'!$F$88:$F$91,$B$36)+'Вводные'!$H$9),AF52,0)</x:f>
      </x:c>
      <x:c r="AG54" s="107" t="n">
        <x:f>IF(AG$3&gt;=EDATE(INDEX('Вводные'!$D$88:$D$91,$B$36),INDEX('Вводные'!$E$88:$E$91,$B$36)+INDEX('Вводные'!$F$88:$F$91,$B$36)+'Вводные'!$H$9),AG52,0)</x:f>
      </x:c>
      <x:c r="AH54" s="107" t="n">
        <x:f>IF(AH$3&gt;=EDATE(INDEX('Вводные'!$D$88:$D$91,$B$36),INDEX('Вводные'!$E$88:$E$91,$B$36)+INDEX('Вводные'!$F$88:$F$91,$B$36)+'Вводные'!$H$9),AH52,0)</x:f>
      </x:c>
      <x:c r="AI54" s="107" t="n">
        <x:f>IF(AI$3&gt;=EDATE(INDEX('Вводные'!$D$88:$D$91,$B$36),INDEX('Вводные'!$E$88:$E$91,$B$36)+INDEX('Вводные'!$F$88:$F$91,$B$36)+'Вводные'!$H$9),AI52,0)</x:f>
      </x:c>
      <x:c r="AJ54" s="107" t="n">
        <x:f>IF(AJ$3&gt;=EDATE(INDEX('Вводные'!$D$88:$D$91,$B$36),INDEX('Вводные'!$E$88:$E$91,$B$36)+INDEX('Вводные'!$F$88:$F$91,$B$36)+'Вводные'!$H$9),AJ52,0)</x:f>
      </x:c>
      <x:c r="AK54" s="107" t="n">
        <x:f>IF(AK$3&gt;=EDATE(INDEX('Вводные'!$D$88:$D$91,$B$36),INDEX('Вводные'!$E$88:$E$91,$B$36)+INDEX('Вводные'!$F$88:$F$91,$B$36)+'Вводные'!$H$9),AK52,0)</x:f>
      </x:c>
      <x:c r="AL54" s="107" t="n">
        <x:f>IF(AL$3&gt;=EDATE(INDEX('Вводные'!$D$88:$D$91,$B$36),INDEX('Вводные'!$E$88:$E$91,$B$36)+INDEX('Вводные'!$F$88:$F$91,$B$36)+'Вводные'!$H$9),AL52,0)</x:f>
      </x:c>
      <x:c r="AM54" s="107" t="n">
        <x:f>IF(AM$3&gt;=EDATE(INDEX('Вводные'!$D$88:$D$91,$B$36),INDEX('Вводные'!$E$88:$E$91,$B$36)+INDEX('Вводные'!$F$88:$F$91,$B$36)+'Вводные'!$H$9),AM52,0)</x:f>
      </x:c>
      <x:c r="AN54" s="107" t="n">
        <x:f>IF(AN$3&gt;=EDATE(INDEX('Вводные'!$D$88:$D$91,$B$36),INDEX('Вводные'!$E$88:$E$91,$B$36)+INDEX('Вводные'!$F$88:$F$91,$B$36)+'Вводные'!$H$9),AN52,0)</x:f>
      </x:c>
      <x:c r="AO54" s="107" t="n">
        <x:f>IF(AO$3&gt;=EDATE(INDEX('Вводные'!$D$88:$D$91,$B$36),INDEX('Вводные'!$E$88:$E$91,$B$36)+INDEX('Вводные'!$F$88:$F$91,$B$36)+'Вводные'!$H$9),AO52,0)</x:f>
      </x:c>
      <x:c r="AP54" s="107" t="n">
        <x:f>IF(AP$3&gt;=EDATE(INDEX('Вводные'!$D$88:$D$91,$B$36),INDEX('Вводные'!$E$88:$E$91,$B$36)+INDEX('Вводные'!$F$88:$F$91,$B$36)+'Вводные'!$H$9),AP52,0)</x:f>
      </x:c>
      <x:c r="AQ54" s="107" t="n">
        <x:f>IF(AQ$3&gt;=EDATE(INDEX('Вводные'!$D$88:$D$91,$B$36),INDEX('Вводные'!$E$88:$E$91,$B$36)+INDEX('Вводные'!$F$88:$F$91,$B$36)+'Вводные'!$H$9),AQ52,0)</x:f>
      </x:c>
      <x:c r="AR54" s="107" t="n">
        <x:f>IF(AR$3&gt;=EDATE(INDEX('Вводные'!$D$88:$D$91,$B$36),INDEX('Вводные'!$E$88:$E$91,$B$36)+INDEX('Вводные'!$F$88:$F$91,$B$36)+'Вводные'!$H$9),AR52,0)</x:f>
      </x:c>
      <x:c r="AS54" s="107" t="n">
        <x:f>IF(AS$3&gt;=EDATE(INDEX('Вводные'!$D$88:$D$91,$B$36),INDEX('Вводные'!$E$88:$E$91,$B$36)+INDEX('Вводные'!$F$88:$F$91,$B$36)+'Вводные'!$H$9),AS52,0)</x:f>
      </x:c>
      <x:c r="AT54" s="107" t="n">
        <x:f>IF(AT$3&gt;=EDATE(INDEX('Вводные'!$D$88:$D$91,$B$36),INDEX('Вводные'!$E$88:$E$91,$B$36)+INDEX('Вводные'!$F$88:$F$91,$B$36)+'Вводные'!$H$9),AT52,0)</x:f>
      </x:c>
      <x:c r="AU54" s="107" t="n">
        <x:f>IF(AU$3&gt;=EDATE(INDEX('Вводные'!$D$88:$D$91,$B$36),INDEX('Вводные'!$E$88:$E$91,$B$36)+INDEX('Вводные'!$F$88:$F$91,$B$36)+'Вводные'!$H$9),AU52,0)</x:f>
      </x:c>
      <x:c r="AV54" s="107" t="n">
        <x:f>IF(AV$3&gt;=EDATE(INDEX('Вводные'!$D$88:$D$91,$B$36),INDEX('Вводные'!$E$88:$E$91,$B$36)+INDEX('Вводные'!$F$88:$F$91,$B$36)+'Вводные'!$H$9),AV52,0)</x:f>
      </x:c>
      <x:c r="AW54" s="107" t="n">
        <x:f>IF(AW$3&gt;=EDATE(INDEX('Вводные'!$D$88:$D$91,$B$36),INDEX('Вводные'!$E$88:$E$91,$B$36)+INDEX('Вводные'!$F$88:$F$91,$B$36)+'Вводные'!$H$9),AW52,0)</x:f>
      </x:c>
      <x:c r="AX54" s="107" t="n">
        <x:f>IF(AX$3&gt;=EDATE(INDEX('Вводные'!$D$88:$D$91,$B$36),INDEX('Вводные'!$E$88:$E$91,$B$36)+INDEX('Вводные'!$F$88:$F$91,$B$36)+'Вводные'!$H$9),AX52,0)</x:f>
      </x:c>
      <x:c r="AY54" s="107" t="n">
        <x:f>IF(AY$3&gt;=EDATE(INDEX('Вводные'!$D$88:$D$91,$B$36),INDEX('Вводные'!$E$88:$E$91,$B$36)+INDEX('Вводные'!$F$88:$F$91,$B$36)+'Вводные'!$H$9),AY52,0)</x:f>
      </x:c>
      <x:c r="AZ54" s="107" t="n">
        <x:f>IF(AZ$3&gt;=EDATE(INDEX('Вводные'!$D$88:$D$91,$B$36),INDEX('Вводные'!$E$88:$E$91,$B$36)+INDEX('Вводные'!$F$88:$F$91,$B$36)+'Вводные'!$H$9),AZ52,0)</x:f>
      </x:c>
      <x:c r="BA54" s="107" t="n">
        <x:f>IF(BA$3&gt;=EDATE(INDEX('Вводные'!$D$88:$D$91,$B$36),INDEX('Вводные'!$E$88:$E$91,$B$36)+INDEX('Вводные'!$F$88:$F$91,$B$36)+'Вводные'!$H$9),BA52,0)</x:f>
      </x:c>
      <x:c r="BB54" s="107" t="n">
        <x:f>IF(BB$3&gt;=EDATE(INDEX('Вводные'!$D$88:$D$91,$B$36),INDEX('Вводные'!$E$88:$E$91,$B$36)+INDEX('Вводные'!$F$88:$F$91,$B$36)+'Вводные'!$H$9),BB52,0)</x:f>
      </x:c>
      <x:c r="BC54" s="107" t="n">
        <x:f>IF(BC$3&gt;=EDATE(INDEX('Вводные'!$D$88:$D$91,$B$36),INDEX('Вводные'!$E$88:$E$91,$B$36)+INDEX('Вводные'!$F$88:$F$91,$B$36)+'Вводные'!$H$9),BC52,0)</x:f>
      </x:c>
      <x:c r="BD54" s="107" t="n">
        <x:f>IF(BD$3&gt;=EDATE(INDEX('Вводные'!$D$88:$D$91,$B$36),INDEX('Вводные'!$E$88:$E$91,$B$36)+INDEX('Вводные'!$F$88:$F$91,$B$36)+'Вводные'!$H$9),BD52,0)</x:f>
      </x:c>
      <x:c r="BE54" s="107" t="n">
        <x:f>IF(BE$3&gt;=EDATE(INDEX('Вводные'!$D$88:$D$91,$B$36),INDEX('Вводные'!$E$88:$E$91,$B$36)+INDEX('Вводные'!$F$88:$F$91,$B$36)+'Вводные'!$H$9),BE52,0)</x:f>
      </x:c>
      <x:c r="BF54" s="107" t="n">
        <x:f>IF(BF$3&gt;=EDATE(INDEX('Вводные'!$D$88:$D$91,$B$36),INDEX('Вводные'!$E$88:$E$91,$B$36)+INDEX('Вводные'!$F$88:$F$91,$B$36)+'Вводные'!$H$9),BF52,0)</x:f>
      </x:c>
      <x:c r="BG54" s="107" t="n">
        <x:f>IF(BG$3&gt;=EDATE(INDEX('Вводные'!$D$88:$D$91,$B$36),INDEX('Вводные'!$E$88:$E$91,$B$36)+INDEX('Вводные'!$F$88:$F$91,$B$36)+'Вводные'!$H$9),BG52,0)</x:f>
      </x:c>
      <x:c r="BH54" s="107" t="n">
        <x:f>IF(BH$3&gt;=EDATE(INDEX('Вводные'!$D$88:$D$91,$B$36),INDEX('Вводные'!$E$88:$E$91,$B$36)+INDEX('Вводные'!$F$88:$F$91,$B$36)+'Вводные'!$H$9),BH52,0)</x:f>
      </x:c>
      <x:c r="BI54" s="107" t="n">
        <x:f>IF(BI$3&gt;=EDATE(INDEX('Вводные'!$D$88:$D$91,$B$36),INDEX('Вводные'!$E$88:$E$91,$B$36)+INDEX('Вводные'!$F$88:$F$91,$B$36)+'Вводные'!$H$9),BI52,0)</x:f>
      </x:c>
      <x:c r="BJ54" s="107" t="n">
        <x:f>IF(BJ$3&gt;=EDATE(INDEX('Вводные'!$D$88:$D$91,$B$36),INDEX('Вводные'!$E$88:$E$91,$B$36)+INDEX('Вводные'!$F$88:$F$91,$B$36)+'Вводные'!$H$9),BJ52,0)</x:f>
      </x:c>
      <x:c r="BK54" s="107" t="n">
        <x:f>IF(BK$3&gt;=EDATE(INDEX('Вводные'!$D$88:$D$91,$B$36),INDEX('Вводные'!$E$88:$E$91,$B$36)+INDEX('Вводные'!$F$88:$F$91,$B$36)+'Вводные'!$H$9),BK52,0)</x:f>
      </x:c>
      <x:c r="BL54" s="107" t="n">
        <x:f>IF(BL$3&gt;=EDATE(INDEX('Вводные'!$D$88:$D$91,$B$36),INDEX('Вводные'!$E$88:$E$91,$B$36)+INDEX('Вводные'!$F$88:$F$91,$B$36)+'Вводные'!$H$9),BL52,0)</x:f>
      </x:c>
      <x:c r="BM54" s="107" t="n">
        <x:f>IF(BM$3&gt;=EDATE(INDEX('Вводные'!$D$88:$D$91,$B$36),INDEX('Вводные'!$E$88:$E$91,$B$36)+INDEX('Вводные'!$F$88:$F$91,$B$36)+'Вводные'!$H$9),BM52,0)</x:f>
      </x:c>
      <x:c r="BN54" s="107" t="n">
        <x:f>IF(BN$3&gt;=EDATE(INDEX('Вводные'!$D$88:$D$91,$B$36),INDEX('Вводные'!$E$88:$E$91,$B$36)+INDEX('Вводные'!$F$88:$F$91,$B$36)+'Вводные'!$H$9),BN52,0)</x:f>
      </x:c>
      <x:c r="BO54" s="107" t="n">
        <x:f>IF(BO$3&gt;=EDATE(INDEX('Вводные'!$D$88:$D$91,$B$36),INDEX('Вводные'!$E$88:$E$91,$B$36)+INDEX('Вводные'!$F$88:$F$91,$B$36)+'Вводные'!$H$9),BO52,0)</x:f>
      </x:c>
      <x:c r="BP54" s="107" t="n">
        <x:f>IF(BP$3&gt;=EDATE(INDEX('Вводные'!$D$88:$D$91,$B$36),INDEX('Вводные'!$E$88:$E$91,$B$36)+INDEX('Вводные'!$F$88:$F$91,$B$36)+'Вводные'!$H$9),BP52,0)</x:f>
      </x:c>
      <x:c r="BQ54" s="107" t="n">
        <x:f>IF(BQ$3&gt;=EDATE(INDEX('Вводные'!$D$88:$D$91,$B$36),INDEX('Вводные'!$E$88:$E$91,$B$36)+INDEX('Вводные'!$F$88:$F$91,$B$36)+'Вводные'!$H$9),BQ52,0)</x:f>
      </x:c>
      <x:c r="BR54" s="107" t="n">
        <x:f>IF(BR$3&gt;=EDATE(INDEX('Вводные'!$D$88:$D$91,$B$36),INDEX('Вводные'!$E$88:$E$91,$B$36)+INDEX('Вводные'!$F$88:$F$91,$B$36)+'Вводные'!$H$9),BR52,0)</x:f>
      </x:c>
      <x:c r="BS54" s="107" t="n">
        <x:f>IF(BS$3&gt;=EDATE(INDEX('Вводные'!$D$88:$D$91,$B$36),INDEX('Вводные'!$E$88:$E$91,$B$36)+INDEX('Вводные'!$F$88:$F$91,$B$36)+'Вводные'!$H$9),BS52,0)</x:f>
      </x:c>
      <x:c r="BT54" s="107" t="n">
        <x:f>IF(BT$3&gt;=EDATE(INDEX('Вводные'!$D$88:$D$91,$B$36),INDEX('Вводные'!$E$88:$E$91,$B$36)+INDEX('Вводные'!$F$88:$F$91,$B$36)+'Вводные'!$H$9),BT52,0)</x:f>
      </x:c>
      <x:c r="BU54" s="107" t="n">
        <x:f>IF(BU$3&gt;=EDATE(INDEX('Вводные'!$D$88:$D$91,$B$36),INDEX('Вводные'!$E$88:$E$91,$B$36)+INDEX('Вводные'!$F$88:$F$91,$B$36)+'Вводные'!$H$9),BU52,0)</x:f>
      </x:c>
      <x:c r="BV54" s="107" t="n">
        <x:f>IF(BV$3&gt;=EDATE(INDEX('Вводные'!$D$88:$D$91,$B$36),INDEX('Вводные'!$E$88:$E$91,$B$36)+INDEX('Вводные'!$F$88:$F$91,$B$36)+'Вводные'!$H$9),BV52,0)</x:f>
      </x:c>
      <x:c r="BW54" s="107" t="n">
        <x:f>IF(BW$3&gt;=EDATE(INDEX('Вводные'!$D$88:$D$91,$B$36),INDEX('Вводные'!$E$88:$E$91,$B$36)+INDEX('Вводные'!$F$88:$F$91,$B$36)+'Вводные'!$H$9),BW52,0)</x:f>
      </x:c>
      <x:c r="BX54" s="107" t="n">
        <x:f>IF(BX$3&gt;=EDATE(INDEX('Вводные'!$D$88:$D$91,$B$36),INDEX('Вводные'!$E$88:$E$91,$B$36)+INDEX('Вводные'!$F$88:$F$91,$B$36)+'Вводные'!$H$9),BX52,0)</x:f>
      </x:c>
      <x:c r="BY54" s="107" t="n">
        <x:f>IF(BY$3&gt;=EDATE(INDEX('Вводные'!$D$88:$D$91,$B$36),INDEX('Вводные'!$E$88:$E$91,$B$36)+INDEX('Вводные'!$F$88:$F$91,$B$36)+'Вводные'!$H$9),BY52,0)</x:f>
      </x:c>
      <x:c r="BZ54" s="107" t="n">
        <x:f>IF(BZ$3&gt;=EDATE(INDEX('Вводные'!$D$88:$D$91,$B$36),INDEX('Вводные'!$E$88:$E$91,$B$36)+INDEX('Вводные'!$F$88:$F$91,$B$36)+'Вводные'!$H$9),BZ52,0)</x:f>
      </x:c>
      <x:c r="CA54" s="107" t="n">
        <x:f>IF(CA$3&gt;=EDATE(INDEX('Вводные'!$D$88:$D$91,$B$36),INDEX('Вводные'!$E$88:$E$91,$B$36)+INDEX('Вводные'!$F$88:$F$91,$B$36)+'Вводные'!$H$9),CA52,0)</x:f>
      </x:c>
      <x:c r="CB54" s="107" t="n">
        <x:f>IF(CB$3&gt;=EDATE(INDEX('Вводные'!$D$88:$D$91,$B$36),INDEX('Вводные'!$E$88:$E$91,$B$36)+INDEX('Вводные'!$F$88:$F$91,$B$36)+'Вводные'!$H$9),CB52,0)</x:f>
      </x:c>
      <x:c r="CC54" s="107" t="n">
        <x:f>IF(CC$3&gt;=EDATE(INDEX('Вводные'!$D$88:$D$91,$B$36),INDEX('Вводные'!$E$88:$E$91,$B$36)+INDEX('Вводные'!$F$88:$F$91,$B$36)+'Вводные'!$H$9),CC52,0)</x:f>
      </x:c>
      <x:c r="CD54" s="107" t="n">
        <x:f>IF(CD$3&gt;=EDATE(INDEX('Вводные'!$D$88:$D$91,$B$36),INDEX('Вводные'!$E$88:$E$91,$B$36)+INDEX('Вводные'!$F$88:$F$91,$B$36)+'Вводные'!$H$9),CD52,0)</x:f>
      </x:c>
      <x:c r="CE54" s="107" t="n">
        <x:f>IF(CE$3&gt;=EDATE(INDEX('Вводные'!$D$88:$D$91,$B$36),INDEX('Вводные'!$E$88:$E$91,$B$36)+INDEX('Вводные'!$F$88:$F$91,$B$36)+'Вводные'!$H$9),CE52,0)</x:f>
      </x:c>
      <x:c r="CF54" s="107" t="n">
        <x:f>IF(CF$3&gt;=EDATE(INDEX('Вводные'!$D$88:$D$91,$B$36),INDEX('Вводные'!$E$88:$E$91,$B$36)+INDEX('Вводные'!$F$88:$F$91,$B$36)+'Вводные'!$H$9),CF52,0)</x:f>
      </x:c>
      <x:c r="CG54" s="107" t="n">
        <x:f>IF(CG$3&gt;=EDATE(INDEX('Вводные'!$D$88:$D$91,$B$36),INDEX('Вводные'!$E$88:$E$91,$B$36)+INDEX('Вводные'!$F$88:$F$91,$B$36)+'Вводные'!$H$9),CG52,0)</x:f>
      </x:c>
      <x:c r="CH54" s="107" t="n">
        <x:f>IF(CH$3&gt;=EDATE(INDEX('Вводные'!$D$88:$D$91,$B$36),INDEX('Вводные'!$E$88:$E$91,$B$36)+INDEX('Вводные'!$F$88:$F$91,$B$36)+'Вводные'!$H$9),CH52,0)</x:f>
      </x:c>
      <x:c r="CI54" s="107" t="n">
        <x:f>IF(CI$3&gt;=EDATE(INDEX('Вводные'!$D$88:$D$91,$B$36),INDEX('Вводные'!$E$88:$E$91,$B$36)+INDEX('Вводные'!$F$88:$F$91,$B$36)+'Вводные'!$H$9),CI52,0)</x:f>
      </x:c>
      <x:c r="CJ54" s="107" t="n">
        <x:f>IF(CJ$3&gt;=EDATE(INDEX('Вводные'!$D$88:$D$91,$B$36),INDEX('Вводные'!$E$88:$E$91,$B$36)+INDEX('Вводные'!$F$88:$F$91,$B$36)+'Вводные'!$H$9),CJ52,0)</x:f>
      </x:c>
      <x:c r="CK54" s="107" t="n">
        <x:f>IF(CK$3&gt;=EDATE(INDEX('Вводные'!$D$88:$D$91,$B$36),INDEX('Вводные'!$E$88:$E$91,$B$36)+INDEX('Вводные'!$F$88:$F$91,$B$36)+'Вводные'!$H$9),CK52,0)</x:f>
      </x:c>
      <x:c r="CL54" s="107" t="n">
        <x:f>IF(CL$3&gt;=EDATE(INDEX('Вводные'!$D$88:$D$91,$B$36),INDEX('Вводные'!$E$88:$E$91,$B$36)+INDEX('Вводные'!$F$88:$F$91,$B$36)+'Вводные'!$H$9),CL52,0)</x:f>
      </x:c>
      <x:c r="CM54" s="107" t="n">
        <x:f>IF(CM$3&gt;=EDATE(INDEX('Вводные'!$D$88:$D$91,$B$36),INDEX('Вводные'!$E$88:$E$91,$B$36)+INDEX('Вводные'!$F$88:$F$91,$B$36)+'Вводные'!$H$9),CM52,0)</x:f>
      </x:c>
      <x:c r="CN54" s="107" t="n">
        <x:f>IF(CN$3&gt;=EDATE(INDEX('Вводные'!$D$88:$D$91,$B$36),INDEX('Вводные'!$E$88:$E$91,$B$36)+INDEX('Вводные'!$F$88:$F$91,$B$36)+'Вводные'!$H$9),CN52,0)</x:f>
      </x:c>
      <x:c r="CO54" s="107" t="n">
        <x:f>IF(CO$3&gt;=EDATE(INDEX('Вводные'!$D$88:$D$91,$B$36),INDEX('Вводные'!$E$88:$E$91,$B$36)+INDEX('Вводные'!$F$88:$F$91,$B$36)+'Вводные'!$H$9),CO52,0)</x:f>
      </x:c>
      <x:c r="CP54" s="107" t="n">
        <x:f>IF(CP$3&gt;=EDATE(INDEX('Вводные'!$D$88:$D$91,$B$36),INDEX('Вводные'!$E$88:$E$91,$B$36)+INDEX('Вводные'!$F$88:$F$91,$B$36)+'Вводные'!$H$9),CP52,0)</x:f>
      </x:c>
      <x:c r="CQ54" s="107" t="n">
        <x:f>IF(CQ$3&gt;=EDATE(INDEX('Вводные'!$D$88:$D$91,$B$36),INDEX('Вводные'!$E$88:$E$91,$B$36)+INDEX('Вводные'!$F$88:$F$91,$B$36)+'Вводные'!$H$9),CQ52,0)</x:f>
      </x:c>
      <x:c r="CR54" s="107" t="n">
        <x:f>IF(CR$3&gt;=EDATE(INDEX('Вводные'!$D$88:$D$91,$B$36),INDEX('Вводные'!$E$88:$E$91,$B$36)+INDEX('Вводные'!$F$88:$F$91,$B$36)+'Вводные'!$H$9),CR52,0)</x:f>
      </x:c>
      <x:c r="CS54" s="107" t="n">
        <x:f>IF(CS$3&gt;=EDATE(INDEX('Вводные'!$D$88:$D$91,$B$36),INDEX('Вводные'!$E$88:$E$91,$B$36)+INDEX('Вводные'!$F$88:$F$91,$B$36)+'Вводные'!$H$9),CS52,0)</x:f>
      </x:c>
      <x:c r="CT54" s="107" t="n">
        <x:f>IF(CT$3&gt;=EDATE(INDEX('Вводные'!$D$88:$D$91,$B$36),INDEX('Вводные'!$E$88:$E$91,$B$36)+INDEX('Вводные'!$F$88:$F$91,$B$36)+'Вводные'!$H$9),CT52,0)</x:f>
      </x:c>
      <x:c r="CU54" s="107" t="n">
        <x:f>IF(CU$3&gt;=EDATE(INDEX('Вводные'!$D$88:$D$91,$B$36),INDEX('Вводные'!$E$88:$E$91,$B$36)+INDEX('Вводные'!$F$88:$F$91,$B$36)+'Вводные'!$H$9),CU52,0)</x:f>
      </x:c>
      <x:c r="CV54" s="107" t="n">
        <x:f>IF(CV$3&gt;=EDATE(INDEX('Вводные'!$D$88:$D$91,$B$36),INDEX('Вводные'!$E$88:$E$91,$B$36)+INDEX('Вводные'!$F$88:$F$91,$B$36)+'Вводные'!$H$9),CV52,0)</x:f>
      </x:c>
      <x:c r="CW54" s="107" t="n">
        <x:f>IF(CW$3&gt;=EDATE(INDEX('Вводные'!$D$88:$D$91,$B$36),INDEX('Вводные'!$E$88:$E$91,$B$36)+INDEX('Вводные'!$F$88:$F$91,$B$36)+'Вводные'!$H$9),CW52,0)</x:f>
      </x:c>
      <x:c r="CX54" s="107" t="n">
        <x:f>IF(CX$3&gt;=EDATE(INDEX('Вводные'!$D$88:$D$91,$B$36),INDEX('Вводные'!$E$88:$E$91,$B$36)+INDEX('Вводные'!$F$88:$F$91,$B$36)+'Вводные'!$H$9),CX52,0)</x:f>
      </x:c>
      <x:c r="CY54" s="107" t="n">
        <x:f>IF(CY$3&gt;=EDATE(INDEX('Вводные'!$D$88:$D$91,$B$36),INDEX('Вводные'!$E$88:$E$91,$B$36)+INDEX('Вводные'!$F$88:$F$91,$B$36)+'Вводные'!$H$9),CY52,0)</x:f>
      </x:c>
      <x:c r="CZ54" s="107" t="n">
        <x:f>IF(CZ$3&gt;=EDATE(INDEX('Вводные'!$D$88:$D$91,$B$36),INDEX('Вводные'!$E$88:$E$91,$B$36)+INDEX('Вводные'!$F$88:$F$91,$B$36)+'Вводные'!$H$9),CZ52,0)</x:f>
      </x:c>
      <x:c r="DA54" s="107" t="n">
        <x:f>IF(DA$3&gt;=EDATE(INDEX('Вводные'!$D$88:$D$91,$B$36),INDEX('Вводные'!$E$88:$E$91,$B$36)+INDEX('Вводные'!$F$88:$F$91,$B$36)+'Вводные'!$H$9),DA52,0)</x:f>
      </x:c>
      <x:c r="DB54" s="107" t="n">
        <x:f>IF(DB$3&gt;=EDATE(INDEX('Вводные'!$D$88:$D$91,$B$36),INDEX('Вводные'!$E$88:$E$91,$B$36)+INDEX('Вводные'!$F$88:$F$91,$B$36)+'Вводные'!$H$9),DB52,0)</x:f>
      </x:c>
      <x:c r="DC54" s="107" t="n">
        <x:f>IF(DC$3&gt;=EDATE(INDEX('Вводные'!$D$88:$D$91,$B$36),INDEX('Вводные'!$E$88:$E$91,$B$36)+INDEX('Вводные'!$F$88:$F$91,$B$36)+'Вводные'!$H$9),DC52,0)</x:f>
      </x:c>
      <x:c r="DD54" s="107" t="n">
        <x:f>IF(DD$3&gt;=EDATE(INDEX('Вводные'!$D$88:$D$91,$B$36),INDEX('Вводные'!$E$88:$E$91,$B$36)+INDEX('Вводные'!$F$88:$F$91,$B$36)+'Вводные'!$H$9),DD52,0)</x:f>
      </x:c>
      <x:c r="DE54" s="107" t="n">
        <x:f>IF(DE$3&gt;=EDATE(INDEX('Вводные'!$D$88:$D$91,$B$36),INDEX('Вводные'!$E$88:$E$91,$B$36)+INDEX('Вводные'!$F$88:$F$91,$B$36)+'Вводные'!$H$9),DE52,0)</x:f>
      </x:c>
      <x:c r="DF54" s="107" t="n">
        <x:f>IF(DF$3&gt;=EDATE(INDEX('Вводные'!$D$88:$D$91,$B$36),INDEX('Вводные'!$E$88:$E$91,$B$36)+INDEX('Вводные'!$F$88:$F$91,$B$36)+'Вводные'!$H$9),DF52,0)</x:f>
      </x:c>
      <x:c r="DG54" s="107" t="n">
        <x:f>IF(DG$3&gt;=EDATE(INDEX('Вводные'!$D$88:$D$91,$B$36),INDEX('Вводные'!$E$88:$E$91,$B$36)+INDEX('Вводные'!$F$88:$F$91,$B$36)+'Вводные'!$H$9),DG52,0)</x:f>
      </x:c>
      <x:c r="DH54" s="107" t="n">
        <x:f>IF(DH$3&gt;=EDATE(INDEX('Вводные'!$D$88:$D$91,$B$36),INDEX('Вводные'!$E$88:$E$91,$B$36)+INDEX('Вводные'!$F$88:$F$91,$B$36)+'Вводные'!$H$9),DH52,0)</x:f>
      </x:c>
      <x:c r="DI54" s="107" t="n">
        <x:f>IF(DI$3&gt;=EDATE(INDEX('Вводные'!$D$88:$D$91,$B$36),INDEX('Вводные'!$E$88:$E$91,$B$36)+INDEX('Вводные'!$F$88:$F$91,$B$36)+'Вводные'!$H$9),DI52,0)</x:f>
      </x:c>
      <x:c r="DJ54" s="107" t="n">
        <x:f>IF(DJ$3&gt;=EDATE(INDEX('Вводные'!$D$88:$D$91,$B$36),INDEX('Вводные'!$E$88:$E$91,$B$36)+INDEX('Вводные'!$F$88:$F$91,$B$36)+'Вводные'!$H$9),DJ52,0)</x:f>
      </x:c>
      <x:c r="DK54" s="107" t="n">
        <x:f>IF(DK$3&gt;=EDATE(INDEX('Вводные'!$D$88:$D$91,$B$36),INDEX('Вводные'!$E$88:$E$91,$B$36)+INDEX('Вводные'!$F$88:$F$91,$B$36)+'Вводные'!$H$9),DK52,0)</x:f>
      </x:c>
      <x:c r="DL54" s="107" t="n">
        <x:f>IF(DL$3&gt;=EDATE(INDEX('Вводные'!$D$88:$D$91,$B$36),INDEX('Вводные'!$E$88:$E$91,$B$36)+INDEX('Вводные'!$F$88:$F$91,$B$36)+'Вводные'!$H$9),DL52,0)</x:f>
      </x:c>
      <x:c r="DM54" s="107" t="n">
        <x:f>IF(DM$3&gt;=EDATE(INDEX('Вводные'!$D$88:$D$91,$B$36),INDEX('Вводные'!$E$88:$E$91,$B$36)+INDEX('Вводные'!$F$88:$F$91,$B$36)+'Вводные'!$H$9),DM52,0)</x:f>
      </x:c>
      <x:c r="DN54" s="107" t="n">
        <x:f>IF(DN$3&gt;=EDATE(INDEX('Вводные'!$D$88:$D$91,$B$36),INDEX('Вводные'!$E$88:$E$91,$B$36)+INDEX('Вводные'!$F$88:$F$91,$B$36)+'Вводные'!$H$9),DN52,0)</x:f>
      </x:c>
      <x:c r="DO54" s="107" t="n">
        <x:f>IF(DO$3&gt;=EDATE(INDEX('Вводные'!$D$88:$D$91,$B$36),INDEX('Вводные'!$E$88:$E$91,$B$36)+INDEX('Вводные'!$F$88:$F$91,$B$36)+'Вводные'!$H$9),DO52,0)</x:f>
      </x:c>
      <x:c r="DP54" s="107" t="n">
        <x:f>IF(DP$3&gt;=EDATE(INDEX('Вводные'!$D$88:$D$91,$B$36),INDEX('Вводные'!$E$88:$E$91,$B$36)+INDEX('Вводные'!$F$88:$F$91,$B$36)+'Вводные'!$H$9),DP52,0)</x:f>
      </x:c>
      <x:c r="DQ54" s="107" t="n">
        <x:f>IF(DQ$3&gt;=EDATE(INDEX('Вводные'!$D$88:$D$91,$B$36),INDEX('Вводные'!$E$88:$E$91,$B$36)+INDEX('Вводные'!$F$88:$F$91,$B$36)+'Вводные'!$H$9),DQ52,0)</x:f>
      </x:c>
      <x:c r="DR54" s="107" t="n">
        <x:f>IF(DR$3&gt;=EDATE(INDEX('Вводные'!$D$88:$D$91,$B$36),INDEX('Вводные'!$E$88:$E$91,$B$36)+INDEX('Вводные'!$F$88:$F$91,$B$36)+'Вводные'!$H$9),DR52,0)</x:f>
      </x:c>
      <x:c r="DS54" s="107" t="n">
        <x:f>IF(DS$3&gt;=EDATE(INDEX('Вводные'!$D$88:$D$91,$B$36),INDEX('Вводные'!$E$88:$E$91,$B$36)+INDEX('Вводные'!$F$88:$F$91,$B$36)+'Вводные'!$H$9),DS52,0)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EDATE(INDEX('Вводные'!$D$88:$D$91,$B$36),INDEX('Вводные'!$E$88:$E$91,$B$36)+INDEX('Вводные'!$F$88:$F$91,$B$36)+'Вводные'!$H$9)),MONTH(D$3)=MONTH(EDATE(INDEX('Вводные'!$D$88:$D$91,$B$36),INDEX('Вводные'!$E$88:$E$91,$B$36)+INDEX('Вводные'!$F$88:$F$91,$B$36)+'Вводные'!$H$9)),AND($B$35="Да",IFERROR(INDEX('Вводные'!$B$88:$B$91,$B$36),"Нет")="Да")),MAX(0,SUM($D53:D53)-D53),0)</x:f>
      </x:c>
      <x:c r="E55" s="107" t="n">
        <x:f>IF(AND(YEAR(E$3)=YEAR(EDATE(INDEX('Вводные'!$D$88:$D$91,$B$36),INDEX('Вводные'!$E$88:$E$91,$B$36)+INDEX('Вводные'!$F$88:$F$91,$B$36)+'Вводные'!$H$9)),MONTH(E$3)=MONTH(EDATE(INDEX('Вводные'!$D$88:$D$91,$B$36),INDEX('Вводные'!$E$88:$E$91,$B$36)+INDEX('Вводные'!$F$88:$F$91,$B$36)+'Вводные'!$H$9)),AND($B$35="Да",IFERROR(INDEX('Вводные'!$B$88:$B$91,$B$36),"Нет")="Да")),MAX(0,SUM($D53:E53)-E53),0)</x:f>
      </x:c>
      <x:c r="F55" s="107" t="n">
        <x:f>IF(AND(YEAR(F$3)=YEAR(EDATE(INDEX('Вводные'!$D$88:$D$91,$B$36),INDEX('Вводные'!$E$88:$E$91,$B$36)+INDEX('Вводные'!$F$88:$F$91,$B$36)+'Вводные'!$H$9)),MONTH(F$3)=MONTH(EDATE(INDEX('Вводные'!$D$88:$D$91,$B$36),INDEX('Вводные'!$E$88:$E$91,$B$36)+INDEX('Вводные'!$F$88:$F$91,$B$36)+'Вводные'!$H$9)),AND($B$35="Да",IFERROR(INDEX('Вводные'!$B$88:$B$91,$B$36),"Нет")="Да")),MAX(0,SUM($D53:F53)-F53),0)</x:f>
      </x:c>
      <x:c r="G55" s="107" t="n">
        <x:f>IF(AND(YEAR(G$3)=YEAR(EDATE(INDEX('Вводные'!$D$88:$D$91,$B$36),INDEX('Вводные'!$E$88:$E$91,$B$36)+INDEX('Вводные'!$F$88:$F$91,$B$36)+'Вводные'!$H$9)),MONTH(G$3)=MONTH(EDATE(INDEX('Вводные'!$D$88:$D$91,$B$36),INDEX('Вводные'!$E$88:$E$91,$B$36)+INDEX('Вводные'!$F$88:$F$91,$B$36)+'Вводные'!$H$9)),AND($B$35="Да",IFERROR(INDEX('Вводные'!$B$88:$B$91,$B$36),"Нет")="Да")),MAX(0,SUM($D53:G53)-G53),0)</x:f>
      </x:c>
      <x:c r="H55" s="107" t="n">
        <x:f>IF(AND(YEAR(H$3)=YEAR(EDATE(INDEX('Вводные'!$D$88:$D$91,$B$36),INDEX('Вводные'!$E$88:$E$91,$B$36)+INDEX('Вводные'!$F$88:$F$91,$B$36)+'Вводные'!$H$9)),MONTH(H$3)=MONTH(EDATE(INDEX('Вводные'!$D$88:$D$91,$B$36),INDEX('Вводные'!$E$88:$E$91,$B$36)+INDEX('Вводные'!$F$88:$F$91,$B$36)+'Вводные'!$H$9)),AND($B$35="Да",IFERROR(INDEX('Вводные'!$B$88:$B$91,$B$36),"Нет")="Да")),MAX(0,SUM($D53:H53)-H53),0)</x:f>
      </x:c>
      <x:c r="I55" s="107" t="n">
        <x:f>IF(AND(YEAR(I$3)=YEAR(EDATE(INDEX('Вводные'!$D$88:$D$91,$B$36),INDEX('Вводные'!$E$88:$E$91,$B$36)+INDEX('Вводные'!$F$88:$F$91,$B$36)+'Вводные'!$H$9)),MONTH(I$3)=MONTH(EDATE(INDEX('Вводные'!$D$88:$D$91,$B$36),INDEX('Вводные'!$E$88:$E$91,$B$36)+INDEX('Вводные'!$F$88:$F$91,$B$36)+'Вводные'!$H$9)),AND($B$35="Да",IFERROR(INDEX('Вводные'!$B$88:$B$91,$B$36),"Нет")="Да")),MAX(0,SUM($D53:I53)-I53),0)</x:f>
      </x:c>
      <x:c r="J55" s="107" t="n">
        <x:f>IF(AND(YEAR(J$3)=YEAR(EDATE(INDEX('Вводные'!$D$88:$D$91,$B$36),INDEX('Вводные'!$E$88:$E$91,$B$36)+INDEX('Вводные'!$F$88:$F$91,$B$36)+'Вводные'!$H$9)),MONTH(J$3)=MONTH(EDATE(INDEX('Вводные'!$D$88:$D$91,$B$36),INDEX('Вводные'!$E$88:$E$91,$B$36)+INDEX('Вводные'!$F$88:$F$91,$B$36)+'Вводные'!$H$9)),AND($B$35="Да",IFERROR(INDEX('Вводные'!$B$88:$B$91,$B$36),"Нет")="Да")),MAX(0,SUM($D53:J53)-J53),0)</x:f>
      </x:c>
      <x:c r="K55" s="107" t="n">
        <x:f>IF(AND(YEAR(K$3)=YEAR(EDATE(INDEX('Вводные'!$D$88:$D$91,$B$36),INDEX('Вводные'!$E$88:$E$91,$B$36)+INDEX('Вводные'!$F$88:$F$91,$B$36)+'Вводные'!$H$9)),MONTH(K$3)=MONTH(EDATE(INDEX('Вводные'!$D$88:$D$91,$B$36),INDEX('Вводные'!$E$88:$E$91,$B$36)+INDEX('Вводные'!$F$88:$F$91,$B$36)+'Вводные'!$H$9)),AND($B$35="Да",IFERROR(INDEX('Вводные'!$B$88:$B$91,$B$36),"Нет")="Да")),MAX(0,SUM($D53:K53)-K53),0)</x:f>
      </x:c>
      <x:c r="L55" s="107" t="n">
        <x:f>IF(AND(YEAR(L$3)=YEAR(EDATE(INDEX('Вводные'!$D$88:$D$91,$B$36),INDEX('Вводные'!$E$88:$E$91,$B$36)+INDEX('Вводные'!$F$88:$F$91,$B$36)+'Вводные'!$H$9)),MONTH(L$3)=MONTH(EDATE(INDEX('Вводные'!$D$88:$D$91,$B$36),INDEX('Вводные'!$E$88:$E$91,$B$36)+INDEX('Вводные'!$F$88:$F$91,$B$36)+'Вводные'!$H$9)),AND($B$35="Да",IFERROR(INDEX('Вводные'!$B$88:$B$91,$B$36),"Нет")="Да")),MAX(0,SUM($D53:L53)-L53),0)</x:f>
      </x:c>
      <x:c r="M55" s="107" t="n">
        <x:f>IF(AND(YEAR(M$3)=YEAR(EDATE(INDEX('Вводные'!$D$88:$D$91,$B$36),INDEX('Вводные'!$E$88:$E$91,$B$36)+INDEX('Вводные'!$F$88:$F$91,$B$36)+'Вводные'!$H$9)),MONTH(M$3)=MONTH(EDATE(INDEX('Вводные'!$D$88:$D$91,$B$36),INDEX('Вводные'!$E$88:$E$91,$B$36)+INDEX('Вводные'!$F$88:$F$91,$B$36)+'Вводные'!$H$9)),AND($B$35="Да",IFERROR(INDEX('Вводные'!$B$88:$B$91,$B$36),"Нет")="Да")),MAX(0,SUM($D53:M53)-M53),0)</x:f>
      </x:c>
      <x:c r="N55" s="107" t="n">
        <x:f>IF(AND(YEAR(N$3)=YEAR(EDATE(INDEX('Вводные'!$D$88:$D$91,$B$36),INDEX('Вводные'!$E$88:$E$91,$B$36)+INDEX('Вводные'!$F$88:$F$91,$B$36)+'Вводные'!$H$9)),MONTH(N$3)=MONTH(EDATE(INDEX('Вводные'!$D$88:$D$91,$B$36),INDEX('Вводные'!$E$88:$E$91,$B$36)+INDEX('Вводные'!$F$88:$F$91,$B$36)+'Вводные'!$H$9)),AND($B$35="Да",IFERROR(INDEX('Вводные'!$B$88:$B$91,$B$36),"Нет")="Да")),MAX(0,SUM($D53:N53)-N53),0)</x:f>
      </x:c>
      <x:c r="O55" s="107" t="n">
        <x:f>IF(AND(YEAR(O$3)=YEAR(EDATE(INDEX('Вводные'!$D$88:$D$91,$B$36),INDEX('Вводные'!$E$88:$E$91,$B$36)+INDEX('Вводные'!$F$88:$F$91,$B$36)+'Вводные'!$H$9)),MONTH(O$3)=MONTH(EDATE(INDEX('Вводные'!$D$88:$D$91,$B$36),INDEX('Вводные'!$E$88:$E$91,$B$36)+INDEX('Вводные'!$F$88:$F$91,$B$36)+'Вводные'!$H$9)),AND($B$35="Да",IFERROR(INDEX('Вводные'!$B$88:$B$91,$B$36),"Нет")="Да")),MAX(0,SUM($D53:O53)-O53),0)</x:f>
      </x:c>
      <x:c r="P55" s="107" t="n">
        <x:f>IF(AND(YEAR(P$3)=YEAR(EDATE(INDEX('Вводные'!$D$88:$D$91,$B$36),INDEX('Вводные'!$E$88:$E$91,$B$36)+INDEX('Вводные'!$F$88:$F$91,$B$36)+'Вводные'!$H$9)),MONTH(P$3)=MONTH(EDATE(INDEX('Вводные'!$D$88:$D$91,$B$36),INDEX('Вводные'!$E$88:$E$91,$B$36)+INDEX('Вводные'!$F$88:$F$91,$B$36)+'Вводные'!$H$9)),AND($B$35="Да",IFERROR(INDEX('Вводные'!$B$88:$B$91,$B$36),"Нет")="Да")),MAX(0,SUM($D53:P53)-P53),0)</x:f>
      </x:c>
      <x:c r="Q55" s="107" t="n">
        <x:f>IF(AND(YEAR(Q$3)=YEAR(EDATE(INDEX('Вводные'!$D$88:$D$91,$B$36),INDEX('Вводные'!$E$88:$E$91,$B$36)+INDEX('Вводные'!$F$88:$F$91,$B$36)+'Вводные'!$H$9)),MONTH(Q$3)=MONTH(EDATE(INDEX('Вводные'!$D$88:$D$91,$B$36),INDEX('Вводные'!$E$88:$E$91,$B$36)+INDEX('Вводные'!$F$88:$F$91,$B$36)+'Вводные'!$H$9)),AND($B$35="Да",IFERROR(INDEX('Вводные'!$B$88:$B$91,$B$36),"Нет")="Да")),MAX(0,SUM($D53:Q53)-Q53),0)</x:f>
      </x:c>
      <x:c r="R55" s="107" t="n">
        <x:f>IF(AND(YEAR(R$3)=YEAR(EDATE(INDEX('Вводные'!$D$88:$D$91,$B$36),INDEX('Вводные'!$E$88:$E$91,$B$36)+INDEX('Вводные'!$F$88:$F$91,$B$36)+'Вводные'!$H$9)),MONTH(R$3)=MONTH(EDATE(INDEX('Вводные'!$D$88:$D$91,$B$36),INDEX('Вводные'!$E$88:$E$91,$B$36)+INDEX('Вводные'!$F$88:$F$91,$B$36)+'Вводные'!$H$9)),AND($B$35="Да",IFERROR(INDEX('Вводные'!$B$88:$B$91,$B$36),"Нет")="Да")),MAX(0,SUM($D53:R53)-R53),0)</x:f>
      </x:c>
      <x:c r="S55" s="107" t="n">
        <x:f>IF(AND(YEAR(S$3)=YEAR(EDATE(INDEX('Вводные'!$D$88:$D$91,$B$36),INDEX('Вводные'!$E$88:$E$91,$B$36)+INDEX('Вводные'!$F$88:$F$91,$B$36)+'Вводные'!$H$9)),MONTH(S$3)=MONTH(EDATE(INDEX('Вводные'!$D$88:$D$91,$B$36),INDEX('Вводные'!$E$88:$E$91,$B$36)+INDEX('Вводные'!$F$88:$F$91,$B$36)+'Вводные'!$H$9)),AND($B$35="Да",IFERROR(INDEX('Вводные'!$B$88:$B$91,$B$36),"Нет")="Да")),MAX(0,SUM($D53:S53)-S53),0)</x:f>
      </x:c>
      <x:c r="T55" s="107" t="n">
        <x:f>IF(AND(YEAR(T$3)=YEAR(EDATE(INDEX('Вводные'!$D$88:$D$91,$B$36),INDEX('Вводные'!$E$88:$E$91,$B$36)+INDEX('Вводные'!$F$88:$F$91,$B$36)+'Вводные'!$H$9)),MONTH(T$3)=MONTH(EDATE(INDEX('Вводные'!$D$88:$D$91,$B$36),INDEX('Вводные'!$E$88:$E$91,$B$36)+INDEX('Вводные'!$F$88:$F$91,$B$36)+'Вводные'!$H$9)),AND($B$35="Да",IFERROR(INDEX('Вводные'!$B$88:$B$91,$B$36),"Нет")="Да")),MAX(0,SUM($D53:T53)-T53),0)</x:f>
      </x:c>
      <x:c r="U55" s="107" t="n">
        <x:f>IF(AND(YEAR(U$3)=YEAR(EDATE(INDEX('Вводные'!$D$88:$D$91,$B$36),INDEX('Вводные'!$E$88:$E$91,$B$36)+INDEX('Вводные'!$F$88:$F$91,$B$36)+'Вводные'!$H$9)),MONTH(U$3)=MONTH(EDATE(INDEX('Вводные'!$D$88:$D$91,$B$36),INDEX('Вводные'!$E$88:$E$91,$B$36)+INDEX('Вводные'!$F$88:$F$91,$B$36)+'Вводные'!$H$9)),AND($B$35="Да",IFERROR(INDEX('Вводные'!$B$88:$B$91,$B$36),"Нет")="Да")),MAX(0,SUM($D53:U53)-U53),0)</x:f>
      </x:c>
      <x:c r="V55" s="107" t="n">
        <x:f>IF(AND(YEAR(V$3)=YEAR(EDATE(INDEX('Вводные'!$D$88:$D$91,$B$36),INDEX('Вводные'!$E$88:$E$91,$B$36)+INDEX('Вводные'!$F$88:$F$91,$B$36)+'Вводные'!$H$9)),MONTH(V$3)=MONTH(EDATE(INDEX('Вводные'!$D$88:$D$91,$B$36),INDEX('Вводные'!$E$88:$E$91,$B$36)+INDEX('Вводные'!$F$88:$F$91,$B$36)+'Вводные'!$H$9)),AND($B$35="Да",IFERROR(INDEX('Вводные'!$B$88:$B$91,$B$36),"Нет")="Да")),MAX(0,SUM($D53:V53)-V53),0)</x:f>
      </x:c>
      <x:c r="W55" s="107" t="n">
        <x:f>IF(AND(YEAR(W$3)=YEAR(EDATE(INDEX('Вводные'!$D$88:$D$91,$B$36),INDEX('Вводные'!$E$88:$E$91,$B$36)+INDEX('Вводные'!$F$88:$F$91,$B$36)+'Вводные'!$H$9)),MONTH(W$3)=MONTH(EDATE(INDEX('Вводные'!$D$88:$D$91,$B$36),INDEX('Вводные'!$E$88:$E$91,$B$36)+INDEX('Вводные'!$F$88:$F$91,$B$36)+'Вводные'!$H$9)),AND($B$35="Да",IFERROR(INDEX('Вводные'!$B$88:$B$91,$B$36),"Нет")="Да")),MAX(0,SUM($D53:W53)-W53),0)</x:f>
      </x:c>
      <x:c r="X55" s="107" t="n">
        <x:f>IF(AND(YEAR(X$3)=YEAR(EDATE(INDEX('Вводные'!$D$88:$D$91,$B$36),INDEX('Вводные'!$E$88:$E$91,$B$36)+INDEX('Вводные'!$F$88:$F$91,$B$36)+'Вводные'!$H$9)),MONTH(X$3)=MONTH(EDATE(INDEX('Вводные'!$D$88:$D$91,$B$36),INDEX('Вводные'!$E$88:$E$91,$B$36)+INDEX('Вводные'!$F$88:$F$91,$B$36)+'Вводные'!$H$9)),AND($B$35="Да",IFERROR(INDEX('Вводные'!$B$88:$B$91,$B$36),"Нет")="Да")),MAX(0,SUM($D53:X53)-X53),0)</x:f>
      </x:c>
      <x:c r="Y55" s="107" t="n">
        <x:f>IF(AND(YEAR(Y$3)=YEAR(EDATE(INDEX('Вводные'!$D$88:$D$91,$B$36),INDEX('Вводные'!$E$88:$E$91,$B$36)+INDEX('Вводные'!$F$88:$F$91,$B$36)+'Вводные'!$H$9)),MONTH(Y$3)=MONTH(EDATE(INDEX('Вводные'!$D$88:$D$91,$B$36),INDEX('Вводные'!$E$88:$E$91,$B$36)+INDEX('Вводные'!$F$88:$F$91,$B$36)+'Вводные'!$H$9)),AND($B$35="Да",IFERROR(INDEX('Вводные'!$B$88:$B$91,$B$36),"Нет")="Да")),MAX(0,SUM($D53:Y53)-Y53),0)</x:f>
      </x:c>
      <x:c r="Z55" s="107" t="n">
        <x:f>IF(AND(YEAR(Z$3)=YEAR(EDATE(INDEX('Вводные'!$D$88:$D$91,$B$36),INDEX('Вводные'!$E$88:$E$91,$B$36)+INDEX('Вводные'!$F$88:$F$91,$B$36)+'Вводные'!$H$9)),MONTH(Z$3)=MONTH(EDATE(INDEX('Вводные'!$D$88:$D$91,$B$36),INDEX('Вводные'!$E$88:$E$91,$B$36)+INDEX('Вводные'!$F$88:$F$91,$B$36)+'Вводные'!$H$9)),AND($B$35="Да",IFERROR(INDEX('Вводные'!$B$88:$B$91,$B$36),"Нет")="Да")),MAX(0,SUM($D53:Z53)-Z53),0)</x:f>
      </x:c>
      <x:c r="AA55" s="107" t="n">
        <x:f>IF(AND(YEAR(AA$3)=YEAR(EDATE(INDEX('Вводные'!$D$88:$D$91,$B$36),INDEX('Вводные'!$E$88:$E$91,$B$36)+INDEX('Вводные'!$F$88:$F$91,$B$36)+'Вводные'!$H$9)),MONTH(AA$3)=MONTH(EDATE(INDEX('Вводные'!$D$88:$D$91,$B$36),INDEX('Вводные'!$E$88:$E$91,$B$36)+INDEX('Вводные'!$F$88:$F$91,$B$36)+'Вводные'!$H$9)),AND($B$35="Да",IFERROR(INDEX('Вводные'!$B$88:$B$91,$B$36),"Нет")="Да")),MAX(0,SUM($D53:AA53)-AA53),0)</x:f>
      </x:c>
      <x:c r="AB55" s="107" t="n">
        <x:f>IF(AND(YEAR(AB$3)=YEAR(EDATE(INDEX('Вводные'!$D$88:$D$91,$B$36),INDEX('Вводные'!$E$88:$E$91,$B$36)+INDEX('Вводные'!$F$88:$F$91,$B$36)+'Вводные'!$H$9)),MONTH(AB$3)=MONTH(EDATE(INDEX('Вводные'!$D$88:$D$91,$B$36),INDEX('Вводные'!$E$88:$E$91,$B$36)+INDEX('Вводные'!$F$88:$F$91,$B$36)+'Вводные'!$H$9)),AND($B$35="Да",IFERROR(INDEX('Вводные'!$B$88:$B$91,$B$36),"Нет")="Да")),MAX(0,SUM($D53:AB53)-AB53),0)</x:f>
      </x:c>
      <x:c r="AC55" s="107" t="n">
        <x:f>IF(AND(YEAR(AC$3)=YEAR(EDATE(INDEX('Вводные'!$D$88:$D$91,$B$36),INDEX('Вводные'!$E$88:$E$91,$B$36)+INDEX('Вводные'!$F$88:$F$91,$B$36)+'Вводные'!$H$9)),MONTH(AC$3)=MONTH(EDATE(INDEX('Вводные'!$D$88:$D$91,$B$36),INDEX('Вводные'!$E$88:$E$91,$B$36)+INDEX('Вводные'!$F$88:$F$91,$B$36)+'Вводные'!$H$9)),AND($B$35="Да",IFERROR(INDEX('Вводные'!$B$88:$B$91,$B$36),"Нет")="Да")),MAX(0,SUM($D53:AC53)-AC53),0)</x:f>
      </x:c>
      <x:c r="AD55" s="107" t="n">
        <x:f>IF(AND(YEAR(AD$3)=YEAR(EDATE(INDEX('Вводные'!$D$88:$D$91,$B$36),INDEX('Вводные'!$E$88:$E$91,$B$36)+INDEX('Вводные'!$F$88:$F$91,$B$36)+'Вводные'!$H$9)),MONTH(AD$3)=MONTH(EDATE(INDEX('Вводные'!$D$88:$D$91,$B$36),INDEX('Вводные'!$E$88:$E$91,$B$36)+INDEX('Вводные'!$F$88:$F$91,$B$36)+'Вводные'!$H$9)),AND($B$35="Да",IFERROR(INDEX('Вводные'!$B$88:$B$91,$B$36),"Нет")="Да")),MAX(0,SUM($D53:AD53)-AD53),0)</x:f>
      </x:c>
      <x:c r="AE55" s="107" t="n">
        <x:f>IF(AND(YEAR(AE$3)=YEAR(EDATE(INDEX('Вводные'!$D$88:$D$91,$B$36),INDEX('Вводные'!$E$88:$E$91,$B$36)+INDEX('Вводные'!$F$88:$F$91,$B$36)+'Вводные'!$H$9)),MONTH(AE$3)=MONTH(EDATE(INDEX('Вводные'!$D$88:$D$91,$B$36),INDEX('Вводные'!$E$88:$E$91,$B$36)+INDEX('Вводные'!$F$88:$F$91,$B$36)+'Вводные'!$H$9)),AND($B$35="Да",IFERROR(INDEX('Вводные'!$B$88:$B$91,$B$36),"Нет")="Да")),MAX(0,SUM($D53:AE53)-AE53),0)</x:f>
      </x:c>
      <x:c r="AF55" s="107" t="n">
        <x:f>IF(AND(YEAR(AF$3)=YEAR(EDATE(INDEX('Вводные'!$D$88:$D$91,$B$36),INDEX('Вводные'!$E$88:$E$91,$B$36)+INDEX('Вводные'!$F$88:$F$91,$B$36)+'Вводные'!$H$9)),MONTH(AF$3)=MONTH(EDATE(INDEX('Вводные'!$D$88:$D$91,$B$36),INDEX('Вводные'!$E$88:$E$91,$B$36)+INDEX('Вводные'!$F$88:$F$91,$B$36)+'Вводные'!$H$9)),AND($B$35="Да",IFERROR(INDEX('Вводные'!$B$88:$B$91,$B$36),"Нет")="Да")),MAX(0,SUM($D53:AF53)-AF53),0)</x:f>
      </x:c>
      <x:c r="AG55" s="107" t="n">
        <x:f>IF(AND(YEAR(AG$3)=YEAR(EDATE(INDEX('Вводные'!$D$88:$D$91,$B$36),INDEX('Вводные'!$E$88:$E$91,$B$36)+INDEX('Вводные'!$F$88:$F$91,$B$36)+'Вводные'!$H$9)),MONTH(AG$3)=MONTH(EDATE(INDEX('Вводные'!$D$88:$D$91,$B$36),INDEX('Вводные'!$E$88:$E$91,$B$36)+INDEX('Вводные'!$F$88:$F$91,$B$36)+'Вводные'!$H$9)),AND($B$35="Да",IFERROR(INDEX('Вводные'!$B$88:$B$91,$B$36),"Нет")="Да")),MAX(0,SUM($D53:AG53)-AG53),0)</x:f>
      </x:c>
      <x:c r="AH55" s="107" t="n">
        <x:f>IF(AND(YEAR(AH$3)=YEAR(EDATE(INDEX('Вводные'!$D$88:$D$91,$B$36),INDEX('Вводные'!$E$88:$E$91,$B$36)+INDEX('Вводные'!$F$88:$F$91,$B$36)+'Вводные'!$H$9)),MONTH(AH$3)=MONTH(EDATE(INDEX('Вводные'!$D$88:$D$91,$B$36),INDEX('Вводные'!$E$88:$E$91,$B$36)+INDEX('Вводные'!$F$88:$F$91,$B$36)+'Вводные'!$H$9)),AND($B$35="Да",IFERROR(INDEX('Вводные'!$B$88:$B$91,$B$36),"Нет")="Да")),MAX(0,SUM($D53:AH53)-AH53),0)</x:f>
      </x:c>
      <x:c r="AI55" s="107" t="n">
        <x:f>IF(AND(YEAR(AI$3)=YEAR(EDATE(INDEX('Вводные'!$D$88:$D$91,$B$36),INDEX('Вводные'!$E$88:$E$91,$B$36)+INDEX('Вводные'!$F$88:$F$91,$B$36)+'Вводные'!$H$9)),MONTH(AI$3)=MONTH(EDATE(INDEX('Вводные'!$D$88:$D$91,$B$36),INDEX('Вводные'!$E$88:$E$91,$B$36)+INDEX('Вводные'!$F$88:$F$91,$B$36)+'Вводные'!$H$9)),AND($B$35="Да",IFERROR(INDEX('Вводные'!$B$88:$B$91,$B$36),"Нет")="Да")),MAX(0,SUM($D53:AI53)-AI53),0)</x:f>
      </x:c>
      <x:c r="AJ55" s="107" t="n">
        <x:f>IF(AND(YEAR(AJ$3)=YEAR(EDATE(INDEX('Вводные'!$D$88:$D$91,$B$36),INDEX('Вводные'!$E$88:$E$91,$B$36)+INDEX('Вводные'!$F$88:$F$91,$B$36)+'Вводные'!$H$9)),MONTH(AJ$3)=MONTH(EDATE(INDEX('Вводные'!$D$88:$D$91,$B$36),INDEX('Вводные'!$E$88:$E$91,$B$36)+INDEX('Вводные'!$F$88:$F$91,$B$36)+'Вводные'!$H$9)),AND($B$35="Да",IFERROR(INDEX('Вводные'!$B$88:$B$91,$B$36),"Нет")="Да")),MAX(0,SUM($D53:AJ53)-AJ53),0)</x:f>
      </x:c>
      <x:c r="AK55" s="107" t="n">
        <x:f>IF(AND(YEAR(AK$3)=YEAR(EDATE(INDEX('Вводные'!$D$88:$D$91,$B$36),INDEX('Вводные'!$E$88:$E$91,$B$36)+INDEX('Вводные'!$F$88:$F$91,$B$36)+'Вводные'!$H$9)),MONTH(AK$3)=MONTH(EDATE(INDEX('Вводные'!$D$88:$D$91,$B$36),INDEX('Вводные'!$E$88:$E$91,$B$36)+INDEX('Вводные'!$F$88:$F$91,$B$36)+'Вводные'!$H$9)),AND($B$35="Да",IFERROR(INDEX('Вводные'!$B$88:$B$91,$B$36),"Нет")="Да")),MAX(0,SUM($D53:AK53)-AK53),0)</x:f>
      </x:c>
      <x:c r="AL55" s="107" t="n">
        <x:f>IF(AND(YEAR(AL$3)=YEAR(EDATE(INDEX('Вводные'!$D$88:$D$91,$B$36),INDEX('Вводные'!$E$88:$E$91,$B$36)+INDEX('Вводные'!$F$88:$F$91,$B$36)+'Вводные'!$H$9)),MONTH(AL$3)=MONTH(EDATE(INDEX('Вводные'!$D$88:$D$91,$B$36),INDEX('Вводные'!$E$88:$E$91,$B$36)+INDEX('Вводные'!$F$88:$F$91,$B$36)+'Вводные'!$H$9)),AND($B$35="Да",IFERROR(INDEX('Вводные'!$B$88:$B$91,$B$36),"Нет")="Да")),MAX(0,SUM($D53:AL53)-AL53),0)</x:f>
      </x:c>
      <x:c r="AM55" s="107" t="n">
        <x:f>IF(AND(YEAR(AM$3)=YEAR(EDATE(INDEX('Вводные'!$D$88:$D$91,$B$36),INDEX('Вводные'!$E$88:$E$91,$B$36)+INDEX('Вводные'!$F$88:$F$91,$B$36)+'Вводные'!$H$9)),MONTH(AM$3)=MONTH(EDATE(INDEX('Вводные'!$D$88:$D$91,$B$36),INDEX('Вводные'!$E$88:$E$91,$B$36)+INDEX('Вводные'!$F$88:$F$91,$B$36)+'Вводные'!$H$9)),AND($B$35="Да",IFERROR(INDEX('Вводные'!$B$88:$B$91,$B$36),"Нет")="Да")),MAX(0,SUM($D53:AM53)-AM53),0)</x:f>
      </x:c>
      <x:c r="AN55" s="107" t="n">
        <x:f>IF(AND(YEAR(AN$3)=YEAR(EDATE(INDEX('Вводные'!$D$88:$D$91,$B$36),INDEX('Вводные'!$E$88:$E$91,$B$36)+INDEX('Вводные'!$F$88:$F$91,$B$36)+'Вводные'!$H$9)),MONTH(AN$3)=MONTH(EDATE(INDEX('Вводные'!$D$88:$D$91,$B$36),INDEX('Вводные'!$E$88:$E$91,$B$36)+INDEX('Вводные'!$F$88:$F$91,$B$36)+'Вводные'!$H$9)),AND($B$35="Да",IFERROR(INDEX('Вводные'!$B$88:$B$91,$B$36),"Нет")="Да")),MAX(0,SUM($D53:AN53)-AN53),0)</x:f>
      </x:c>
      <x:c r="AO55" s="107" t="n">
        <x:f>IF(AND(YEAR(AO$3)=YEAR(EDATE(INDEX('Вводные'!$D$88:$D$91,$B$36),INDEX('Вводные'!$E$88:$E$91,$B$36)+INDEX('Вводные'!$F$88:$F$91,$B$36)+'Вводные'!$H$9)),MONTH(AO$3)=MONTH(EDATE(INDEX('Вводные'!$D$88:$D$91,$B$36),INDEX('Вводные'!$E$88:$E$91,$B$36)+INDEX('Вводные'!$F$88:$F$91,$B$36)+'Вводные'!$H$9)),AND($B$35="Да",IFERROR(INDEX('Вводные'!$B$88:$B$91,$B$36),"Нет")="Да")),MAX(0,SUM($D53:AO53)-AO53),0)</x:f>
      </x:c>
      <x:c r="AP55" s="107" t="n">
        <x:f>IF(AND(YEAR(AP$3)=YEAR(EDATE(INDEX('Вводные'!$D$88:$D$91,$B$36),INDEX('Вводные'!$E$88:$E$91,$B$36)+INDEX('Вводные'!$F$88:$F$91,$B$36)+'Вводные'!$H$9)),MONTH(AP$3)=MONTH(EDATE(INDEX('Вводные'!$D$88:$D$91,$B$36),INDEX('Вводные'!$E$88:$E$91,$B$36)+INDEX('Вводные'!$F$88:$F$91,$B$36)+'Вводные'!$H$9)),AND($B$35="Да",IFERROR(INDEX('Вводные'!$B$88:$B$91,$B$36),"Нет")="Да")),MAX(0,SUM($D53:AP53)-AP53),0)</x:f>
      </x:c>
      <x:c r="AQ55" s="107" t="n">
        <x:f>IF(AND(YEAR(AQ$3)=YEAR(EDATE(INDEX('Вводные'!$D$88:$D$91,$B$36),INDEX('Вводные'!$E$88:$E$91,$B$36)+INDEX('Вводные'!$F$88:$F$91,$B$36)+'Вводные'!$H$9)),MONTH(AQ$3)=MONTH(EDATE(INDEX('Вводные'!$D$88:$D$91,$B$36),INDEX('Вводные'!$E$88:$E$91,$B$36)+INDEX('Вводные'!$F$88:$F$91,$B$36)+'Вводные'!$H$9)),AND($B$35="Да",IFERROR(INDEX('Вводные'!$B$88:$B$91,$B$36),"Нет")="Да")),MAX(0,SUM($D53:AQ53)-AQ53),0)</x:f>
      </x:c>
      <x:c r="AR55" s="107" t="n">
        <x:f>IF(AND(YEAR(AR$3)=YEAR(EDATE(INDEX('Вводные'!$D$88:$D$91,$B$36),INDEX('Вводные'!$E$88:$E$91,$B$36)+INDEX('Вводные'!$F$88:$F$91,$B$36)+'Вводные'!$H$9)),MONTH(AR$3)=MONTH(EDATE(INDEX('Вводные'!$D$88:$D$91,$B$36),INDEX('Вводные'!$E$88:$E$91,$B$36)+INDEX('Вводные'!$F$88:$F$91,$B$36)+'Вводные'!$H$9)),AND($B$35="Да",IFERROR(INDEX('Вводные'!$B$88:$B$91,$B$36),"Нет")="Да")),MAX(0,SUM($D53:AR53)-AR53),0)</x:f>
      </x:c>
      <x:c r="AS55" s="107" t="n">
        <x:f>IF(AND(YEAR(AS$3)=YEAR(EDATE(INDEX('Вводные'!$D$88:$D$91,$B$36),INDEX('Вводные'!$E$88:$E$91,$B$36)+INDEX('Вводные'!$F$88:$F$91,$B$36)+'Вводные'!$H$9)),MONTH(AS$3)=MONTH(EDATE(INDEX('Вводные'!$D$88:$D$91,$B$36),INDEX('Вводные'!$E$88:$E$91,$B$36)+INDEX('Вводные'!$F$88:$F$91,$B$36)+'Вводные'!$H$9)),AND($B$35="Да",IFERROR(INDEX('Вводные'!$B$88:$B$91,$B$36),"Нет")="Да")),MAX(0,SUM($D53:AS53)-AS53),0)</x:f>
      </x:c>
      <x:c r="AT55" s="107" t="n">
        <x:f>IF(AND(YEAR(AT$3)=YEAR(EDATE(INDEX('Вводные'!$D$88:$D$91,$B$36),INDEX('Вводные'!$E$88:$E$91,$B$36)+INDEX('Вводные'!$F$88:$F$91,$B$36)+'Вводные'!$H$9)),MONTH(AT$3)=MONTH(EDATE(INDEX('Вводные'!$D$88:$D$91,$B$36),INDEX('Вводные'!$E$88:$E$91,$B$36)+INDEX('Вводные'!$F$88:$F$91,$B$36)+'Вводные'!$H$9)),AND($B$35="Да",IFERROR(INDEX('Вводные'!$B$88:$B$91,$B$36),"Нет")="Да")),MAX(0,SUM($D53:AT53)-AT53),0)</x:f>
      </x:c>
      <x:c r="AU55" s="107" t="n">
        <x:f>IF(AND(YEAR(AU$3)=YEAR(EDATE(INDEX('Вводные'!$D$88:$D$91,$B$36),INDEX('Вводные'!$E$88:$E$91,$B$36)+INDEX('Вводные'!$F$88:$F$91,$B$36)+'Вводные'!$H$9)),MONTH(AU$3)=MONTH(EDATE(INDEX('Вводные'!$D$88:$D$91,$B$36),INDEX('Вводные'!$E$88:$E$91,$B$36)+INDEX('Вводные'!$F$88:$F$91,$B$36)+'Вводные'!$H$9)),AND($B$35="Да",IFERROR(INDEX('Вводные'!$B$88:$B$91,$B$36),"Нет")="Да")),MAX(0,SUM($D53:AU53)-AU53),0)</x:f>
      </x:c>
      <x:c r="AV55" s="107" t="n">
        <x:f>IF(AND(YEAR(AV$3)=YEAR(EDATE(INDEX('Вводные'!$D$88:$D$91,$B$36),INDEX('Вводные'!$E$88:$E$91,$B$36)+INDEX('Вводные'!$F$88:$F$91,$B$36)+'Вводные'!$H$9)),MONTH(AV$3)=MONTH(EDATE(INDEX('Вводные'!$D$88:$D$91,$B$36),INDEX('Вводные'!$E$88:$E$91,$B$36)+INDEX('Вводные'!$F$88:$F$91,$B$36)+'Вводные'!$H$9)),AND($B$35="Да",IFERROR(INDEX('Вводные'!$B$88:$B$91,$B$36),"Нет")="Да")),MAX(0,SUM($D53:AV53)-AV53),0)</x:f>
      </x:c>
      <x:c r="AW55" s="107" t="n">
        <x:f>IF(AND(YEAR(AW$3)=YEAR(EDATE(INDEX('Вводные'!$D$88:$D$91,$B$36),INDEX('Вводные'!$E$88:$E$91,$B$36)+INDEX('Вводные'!$F$88:$F$91,$B$36)+'Вводные'!$H$9)),MONTH(AW$3)=MONTH(EDATE(INDEX('Вводные'!$D$88:$D$91,$B$36),INDEX('Вводные'!$E$88:$E$91,$B$36)+INDEX('Вводные'!$F$88:$F$91,$B$36)+'Вводные'!$H$9)),AND($B$35="Да",IFERROR(INDEX('Вводные'!$B$88:$B$91,$B$36),"Нет")="Да")),MAX(0,SUM($D53:AW53)-AW53),0)</x:f>
      </x:c>
      <x:c r="AX55" s="107" t="n">
        <x:f>IF(AND(YEAR(AX$3)=YEAR(EDATE(INDEX('Вводные'!$D$88:$D$91,$B$36),INDEX('Вводные'!$E$88:$E$91,$B$36)+INDEX('Вводные'!$F$88:$F$91,$B$36)+'Вводные'!$H$9)),MONTH(AX$3)=MONTH(EDATE(INDEX('Вводные'!$D$88:$D$91,$B$36),INDEX('Вводные'!$E$88:$E$91,$B$36)+INDEX('Вводные'!$F$88:$F$91,$B$36)+'Вводные'!$H$9)),AND($B$35="Да",IFERROR(INDEX('Вводные'!$B$88:$B$91,$B$36),"Нет")="Да")),MAX(0,SUM($D53:AX53)-AX53),0)</x:f>
      </x:c>
      <x:c r="AY55" s="107" t="n">
        <x:f>IF(AND(YEAR(AY$3)=YEAR(EDATE(INDEX('Вводные'!$D$88:$D$91,$B$36),INDEX('Вводные'!$E$88:$E$91,$B$36)+INDEX('Вводные'!$F$88:$F$91,$B$36)+'Вводные'!$H$9)),MONTH(AY$3)=MONTH(EDATE(INDEX('Вводные'!$D$88:$D$91,$B$36),INDEX('Вводные'!$E$88:$E$91,$B$36)+INDEX('Вводные'!$F$88:$F$91,$B$36)+'Вводные'!$H$9)),AND($B$35="Да",IFERROR(INDEX('Вводные'!$B$88:$B$91,$B$36),"Нет")="Да")),MAX(0,SUM($D53:AY53)-AY53),0)</x:f>
      </x:c>
      <x:c r="AZ55" s="107" t="n">
        <x:f>IF(AND(YEAR(AZ$3)=YEAR(EDATE(INDEX('Вводные'!$D$88:$D$91,$B$36),INDEX('Вводные'!$E$88:$E$91,$B$36)+INDEX('Вводные'!$F$88:$F$91,$B$36)+'Вводные'!$H$9)),MONTH(AZ$3)=MONTH(EDATE(INDEX('Вводные'!$D$88:$D$91,$B$36),INDEX('Вводные'!$E$88:$E$91,$B$36)+INDEX('Вводные'!$F$88:$F$91,$B$36)+'Вводные'!$H$9)),AND($B$35="Да",IFERROR(INDEX('Вводные'!$B$88:$B$91,$B$36),"Нет")="Да")),MAX(0,SUM($D53:AZ53)-AZ53),0)</x:f>
      </x:c>
      <x:c r="BA55" s="107" t="n">
        <x:f>IF(AND(YEAR(BA$3)=YEAR(EDATE(INDEX('Вводные'!$D$88:$D$91,$B$36),INDEX('Вводные'!$E$88:$E$91,$B$36)+INDEX('Вводные'!$F$88:$F$91,$B$36)+'Вводные'!$H$9)),MONTH(BA$3)=MONTH(EDATE(INDEX('Вводные'!$D$88:$D$91,$B$36),INDEX('Вводные'!$E$88:$E$91,$B$36)+INDEX('Вводные'!$F$88:$F$91,$B$36)+'Вводные'!$H$9)),AND($B$35="Да",IFERROR(INDEX('Вводные'!$B$88:$B$91,$B$36),"Нет")="Да")),MAX(0,SUM($D53:BA53)-BA53),0)</x:f>
      </x:c>
      <x:c r="BB55" s="107" t="n">
        <x:f>IF(AND(YEAR(BB$3)=YEAR(EDATE(INDEX('Вводные'!$D$88:$D$91,$B$36),INDEX('Вводные'!$E$88:$E$91,$B$36)+INDEX('Вводные'!$F$88:$F$91,$B$36)+'Вводные'!$H$9)),MONTH(BB$3)=MONTH(EDATE(INDEX('Вводные'!$D$88:$D$91,$B$36),INDEX('Вводные'!$E$88:$E$91,$B$36)+INDEX('Вводные'!$F$88:$F$91,$B$36)+'Вводные'!$H$9)),AND($B$35="Да",IFERROR(INDEX('Вводные'!$B$88:$B$91,$B$36),"Нет")="Да")),MAX(0,SUM($D53:BB53)-BB53),0)</x:f>
      </x:c>
      <x:c r="BC55" s="107" t="n">
        <x:f>IF(AND(YEAR(BC$3)=YEAR(EDATE(INDEX('Вводные'!$D$88:$D$91,$B$36),INDEX('Вводные'!$E$88:$E$91,$B$36)+INDEX('Вводные'!$F$88:$F$91,$B$36)+'Вводные'!$H$9)),MONTH(BC$3)=MONTH(EDATE(INDEX('Вводные'!$D$88:$D$91,$B$36),INDEX('Вводные'!$E$88:$E$91,$B$36)+INDEX('Вводные'!$F$88:$F$91,$B$36)+'Вводные'!$H$9)),AND($B$35="Да",IFERROR(INDEX('Вводные'!$B$88:$B$91,$B$36),"Нет")="Да")),MAX(0,SUM($D53:BC53)-BC53),0)</x:f>
      </x:c>
      <x:c r="BD55" s="107" t="n">
        <x:f>IF(AND(YEAR(BD$3)=YEAR(EDATE(INDEX('Вводные'!$D$88:$D$91,$B$36),INDEX('Вводные'!$E$88:$E$91,$B$36)+INDEX('Вводные'!$F$88:$F$91,$B$36)+'Вводные'!$H$9)),MONTH(BD$3)=MONTH(EDATE(INDEX('Вводные'!$D$88:$D$91,$B$36),INDEX('Вводные'!$E$88:$E$91,$B$36)+INDEX('Вводные'!$F$88:$F$91,$B$36)+'Вводные'!$H$9)),AND($B$35="Да",IFERROR(INDEX('Вводные'!$B$88:$B$91,$B$36),"Нет")="Да")),MAX(0,SUM($D53:BD53)-BD53),0)</x:f>
      </x:c>
      <x:c r="BE55" s="107" t="n">
        <x:f>IF(AND(YEAR(BE$3)=YEAR(EDATE(INDEX('Вводные'!$D$88:$D$91,$B$36),INDEX('Вводные'!$E$88:$E$91,$B$36)+INDEX('Вводные'!$F$88:$F$91,$B$36)+'Вводные'!$H$9)),MONTH(BE$3)=MONTH(EDATE(INDEX('Вводные'!$D$88:$D$91,$B$36),INDEX('Вводные'!$E$88:$E$91,$B$36)+INDEX('Вводные'!$F$88:$F$91,$B$36)+'Вводные'!$H$9)),AND($B$35="Да",IFERROR(INDEX('Вводные'!$B$88:$B$91,$B$36),"Нет")="Да")),MAX(0,SUM($D53:BE53)-BE53),0)</x:f>
      </x:c>
      <x:c r="BF55" s="107" t="n">
        <x:f>IF(AND(YEAR(BF$3)=YEAR(EDATE(INDEX('Вводные'!$D$88:$D$91,$B$36),INDEX('Вводные'!$E$88:$E$91,$B$36)+INDEX('Вводные'!$F$88:$F$91,$B$36)+'Вводные'!$H$9)),MONTH(BF$3)=MONTH(EDATE(INDEX('Вводные'!$D$88:$D$91,$B$36),INDEX('Вводные'!$E$88:$E$91,$B$36)+INDEX('Вводные'!$F$88:$F$91,$B$36)+'Вводные'!$H$9)),AND($B$35="Да",IFERROR(INDEX('Вводные'!$B$88:$B$91,$B$36),"Нет")="Да")),MAX(0,SUM($D53:BF53)-BF53),0)</x:f>
      </x:c>
      <x:c r="BG55" s="107" t="n">
        <x:f>IF(AND(YEAR(BG$3)=YEAR(EDATE(INDEX('Вводные'!$D$88:$D$91,$B$36),INDEX('Вводные'!$E$88:$E$91,$B$36)+INDEX('Вводные'!$F$88:$F$91,$B$36)+'Вводные'!$H$9)),MONTH(BG$3)=MONTH(EDATE(INDEX('Вводные'!$D$88:$D$91,$B$36),INDEX('Вводные'!$E$88:$E$91,$B$36)+INDEX('Вводные'!$F$88:$F$91,$B$36)+'Вводные'!$H$9)),AND($B$35="Да",IFERROR(INDEX('Вводные'!$B$88:$B$91,$B$36),"Нет")="Да")),MAX(0,SUM($D53:BG53)-BG53),0)</x:f>
      </x:c>
      <x:c r="BH55" s="107" t="n">
        <x:f>IF(AND(YEAR(BH$3)=YEAR(EDATE(INDEX('Вводные'!$D$88:$D$91,$B$36),INDEX('Вводные'!$E$88:$E$91,$B$36)+INDEX('Вводные'!$F$88:$F$91,$B$36)+'Вводные'!$H$9)),MONTH(BH$3)=MONTH(EDATE(INDEX('Вводные'!$D$88:$D$91,$B$36),INDEX('Вводные'!$E$88:$E$91,$B$36)+INDEX('Вводные'!$F$88:$F$91,$B$36)+'Вводные'!$H$9)),AND($B$35="Да",IFERROR(INDEX('Вводные'!$B$88:$B$91,$B$36),"Нет")="Да")),MAX(0,SUM($D53:BH53)-BH53),0)</x:f>
      </x:c>
      <x:c r="BI55" s="107" t="n">
        <x:f>IF(AND(YEAR(BI$3)=YEAR(EDATE(INDEX('Вводные'!$D$88:$D$91,$B$36),INDEX('Вводные'!$E$88:$E$91,$B$36)+INDEX('Вводные'!$F$88:$F$91,$B$36)+'Вводные'!$H$9)),MONTH(BI$3)=MONTH(EDATE(INDEX('Вводные'!$D$88:$D$91,$B$36),INDEX('Вводные'!$E$88:$E$91,$B$36)+INDEX('Вводные'!$F$88:$F$91,$B$36)+'Вводные'!$H$9)),AND($B$35="Да",IFERROR(INDEX('Вводные'!$B$88:$B$91,$B$36),"Нет")="Да")),MAX(0,SUM($D53:BI53)-BI53),0)</x:f>
      </x:c>
      <x:c r="BJ55" s="107" t="n">
        <x:f>IF(AND(YEAR(BJ$3)=YEAR(EDATE(INDEX('Вводные'!$D$88:$D$91,$B$36),INDEX('Вводные'!$E$88:$E$91,$B$36)+INDEX('Вводные'!$F$88:$F$91,$B$36)+'Вводные'!$H$9)),MONTH(BJ$3)=MONTH(EDATE(INDEX('Вводные'!$D$88:$D$91,$B$36),INDEX('Вводные'!$E$88:$E$91,$B$36)+INDEX('Вводные'!$F$88:$F$91,$B$36)+'Вводные'!$H$9)),AND($B$35="Да",IFERROR(INDEX('Вводные'!$B$88:$B$91,$B$36),"Нет")="Да")),MAX(0,SUM($D53:BJ53)-BJ53),0)</x:f>
      </x:c>
      <x:c r="BK55" s="107" t="n">
        <x:f>IF(AND(YEAR(BK$3)=YEAR(EDATE(INDEX('Вводные'!$D$88:$D$91,$B$36),INDEX('Вводные'!$E$88:$E$91,$B$36)+INDEX('Вводные'!$F$88:$F$91,$B$36)+'Вводные'!$H$9)),MONTH(BK$3)=MONTH(EDATE(INDEX('Вводные'!$D$88:$D$91,$B$36),INDEX('Вводные'!$E$88:$E$91,$B$36)+INDEX('Вводные'!$F$88:$F$91,$B$36)+'Вводные'!$H$9)),AND($B$35="Да",IFERROR(INDEX('Вводные'!$B$88:$B$91,$B$36),"Нет")="Да")),MAX(0,SUM($D53:BK53)-BK53),0)</x:f>
      </x:c>
      <x:c r="BL55" s="107" t="n">
        <x:f>IF(AND(YEAR(BL$3)=YEAR(EDATE(INDEX('Вводные'!$D$88:$D$91,$B$36),INDEX('Вводные'!$E$88:$E$91,$B$36)+INDEX('Вводные'!$F$88:$F$91,$B$36)+'Вводные'!$H$9)),MONTH(BL$3)=MONTH(EDATE(INDEX('Вводные'!$D$88:$D$91,$B$36),INDEX('Вводные'!$E$88:$E$91,$B$36)+INDEX('Вводные'!$F$88:$F$91,$B$36)+'Вводные'!$H$9)),AND($B$35="Да",IFERROR(INDEX('Вводные'!$B$88:$B$91,$B$36),"Нет")="Да")),MAX(0,SUM($D53:BL53)-BL53),0)</x:f>
      </x:c>
      <x:c r="BM55" s="107" t="n">
        <x:f>IF(AND(YEAR(BM$3)=YEAR(EDATE(INDEX('Вводные'!$D$88:$D$91,$B$36),INDEX('Вводные'!$E$88:$E$91,$B$36)+INDEX('Вводные'!$F$88:$F$91,$B$36)+'Вводные'!$H$9)),MONTH(BM$3)=MONTH(EDATE(INDEX('Вводные'!$D$88:$D$91,$B$36),INDEX('Вводные'!$E$88:$E$91,$B$36)+INDEX('Вводные'!$F$88:$F$91,$B$36)+'Вводные'!$H$9)),AND($B$35="Да",IFERROR(INDEX('Вводные'!$B$88:$B$91,$B$36),"Нет")="Да")),MAX(0,SUM($D53:BM53)-BM53),0)</x:f>
      </x:c>
      <x:c r="BN55" s="107" t="n">
        <x:f>IF(AND(YEAR(BN$3)=YEAR(EDATE(INDEX('Вводные'!$D$88:$D$91,$B$36),INDEX('Вводные'!$E$88:$E$91,$B$36)+INDEX('Вводные'!$F$88:$F$91,$B$36)+'Вводные'!$H$9)),MONTH(BN$3)=MONTH(EDATE(INDEX('Вводные'!$D$88:$D$91,$B$36),INDEX('Вводные'!$E$88:$E$91,$B$36)+INDEX('Вводные'!$F$88:$F$91,$B$36)+'Вводные'!$H$9)),AND($B$35="Да",IFERROR(INDEX('Вводные'!$B$88:$B$91,$B$36),"Нет")="Да")),MAX(0,SUM($D53:BN53)-BN53),0)</x:f>
      </x:c>
      <x:c r="BO55" s="107" t="n">
        <x:f>IF(AND(YEAR(BO$3)=YEAR(EDATE(INDEX('Вводные'!$D$88:$D$91,$B$36),INDEX('Вводные'!$E$88:$E$91,$B$36)+INDEX('Вводные'!$F$88:$F$91,$B$36)+'Вводные'!$H$9)),MONTH(BO$3)=MONTH(EDATE(INDEX('Вводные'!$D$88:$D$91,$B$36),INDEX('Вводные'!$E$88:$E$91,$B$36)+INDEX('Вводные'!$F$88:$F$91,$B$36)+'Вводные'!$H$9)),AND($B$35="Да",IFERROR(INDEX('Вводные'!$B$88:$B$91,$B$36),"Нет")="Да")),MAX(0,SUM($D53:BO53)-BO53),0)</x:f>
      </x:c>
      <x:c r="BP55" s="107" t="n">
        <x:f>IF(AND(YEAR(BP$3)=YEAR(EDATE(INDEX('Вводные'!$D$88:$D$91,$B$36),INDEX('Вводные'!$E$88:$E$91,$B$36)+INDEX('Вводные'!$F$88:$F$91,$B$36)+'Вводные'!$H$9)),MONTH(BP$3)=MONTH(EDATE(INDEX('Вводные'!$D$88:$D$91,$B$36),INDEX('Вводные'!$E$88:$E$91,$B$36)+INDEX('Вводные'!$F$88:$F$91,$B$36)+'Вводные'!$H$9)),AND($B$35="Да",IFERROR(INDEX('Вводные'!$B$88:$B$91,$B$36),"Нет")="Да")),MAX(0,SUM($D53:BP53)-BP53),0)</x:f>
      </x:c>
      <x:c r="BQ55" s="107" t="n">
        <x:f>IF(AND(YEAR(BQ$3)=YEAR(EDATE(INDEX('Вводные'!$D$88:$D$91,$B$36),INDEX('Вводные'!$E$88:$E$91,$B$36)+INDEX('Вводные'!$F$88:$F$91,$B$36)+'Вводные'!$H$9)),MONTH(BQ$3)=MONTH(EDATE(INDEX('Вводные'!$D$88:$D$91,$B$36),INDEX('Вводные'!$E$88:$E$91,$B$36)+INDEX('Вводные'!$F$88:$F$91,$B$36)+'Вводные'!$H$9)),AND($B$35="Да",IFERROR(INDEX('Вводные'!$B$88:$B$91,$B$36),"Нет")="Да")),MAX(0,SUM($D53:BQ53)-BQ53),0)</x:f>
      </x:c>
      <x:c r="BR55" s="107" t="n">
        <x:f>IF(AND(YEAR(BR$3)=YEAR(EDATE(INDEX('Вводные'!$D$88:$D$91,$B$36),INDEX('Вводные'!$E$88:$E$91,$B$36)+INDEX('Вводные'!$F$88:$F$91,$B$36)+'Вводные'!$H$9)),MONTH(BR$3)=MONTH(EDATE(INDEX('Вводные'!$D$88:$D$91,$B$36),INDEX('Вводные'!$E$88:$E$91,$B$36)+INDEX('Вводные'!$F$88:$F$91,$B$36)+'Вводные'!$H$9)),AND($B$35="Да",IFERROR(INDEX('Вводные'!$B$88:$B$91,$B$36),"Нет")="Да")),MAX(0,SUM($D53:BR53)-BR53),0)</x:f>
      </x:c>
      <x:c r="BS55" s="107" t="n">
        <x:f>IF(AND(YEAR(BS$3)=YEAR(EDATE(INDEX('Вводные'!$D$88:$D$91,$B$36),INDEX('Вводные'!$E$88:$E$91,$B$36)+INDEX('Вводные'!$F$88:$F$91,$B$36)+'Вводные'!$H$9)),MONTH(BS$3)=MONTH(EDATE(INDEX('Вводные'!$D$88:$D$91,$B$36),INDEX('Вводные'!$E$88:$E$91,$B$36)+INDEX('Вводные'!$F$88:$F$91,$B$36)+'Вводные'!$H$9)),AND($B$35="Да",IFERROR(INDEX('Вводные'!$B$88:$B$91,$B$36),"Нет")="Да")),MAX(0,SUM($D53:BS53)-BS53),0)</x:f>
      </x:c>
      <x:c r="BT55" s="107" t="n">
        <x:f>IF(AND(YEAR(BT$3)=YEAR(EDATE(INDEX('Вводные'!$D$88:$D$91,$B$36),INDEX('Вводные'!$E$88:$E$91,$B$36)+INDEX('Вводные'!$F$88:$F$91,$B$36)+'Вводные'!$H$9)),MONTH(BT$3)=MONTH(EDATE(INDEX('Вводные'!$D$88:$D$91,$B$36),INDEX('Вводные'!$E$88:$E$91,$B$36)+INDEX('Вводные'!$F$88:$F$91,$B$36)+'Вводные'!$H$9)),AND($B$35="Да",IFERROR(INDEX('Вводные'!$B$88:$B$91,$B$36),"Нет")="Да")),MAX(0,SUM($D53:BT53)-BT53),0)</x:f>
      </x:c>
      <x:c r="BU55" s="107" t="n">
        <x:f>IF(AND(YEAR(BU$3)=YEAR(EDATE(INDEX('Вводные'!$D$88:$D$91,$B$36),INDEX('Вводные'!$E$88:$E$91,$B$36)+INDEX('Вводные'!$F$88:$F$91,$B$36)+'Вводные'!$H$9)),MONTH(BU$3)=MONTH(EDATE(INDEX('Вводные'!$D$88:$D$91,$B$36),INDEX('Вводные'!$E$88:$E$91,$B$36)+INDEX('Вводные'!$F$88:$F$91,$B$36)+'Вводные'!$H$9)),AND($B$35="Да",IFERROR(INDEX('Вводные'!$B$88:$B$91,$B$36),"Нет")="Да")),MAX(0,SUM($D53:BU53)-BU53),0)</x:f>
      </x:c>
      <x:c r="BV55" s="107" t="n">
        <x:f>IF(AND(YEAR(BV$3)=YEAR(EDATE(INDEX('Вводные'!$D$88:$D$91,$B$36),INDEX('Вводные'!$E$88:$E$91,$B$36)+INDEX('Вводные'!$F$88:$F$91,$B$36)+'Вводные'!$H$9)),MONTH(BV$3)=MONTH(EDATE(INDEX('Вводные'!$D$88:$D$91,$B$36),INDEX('Вводные'!$E$88:$E$91,$B$36)+INDEX('Вводные'!$F$88:$F$91,$B$36)+'Вводные'!$H$9)),AND($B$35="Да",IFERROR(INDEX('Вводные'!$B$88:$B$91,$B$36),"Нет")="Да")),MAX(0,SUM($D53:BV53)-BV53),0)</x:f>
      </x:c>
      <x:c r="BW55" s="107" t="n">
        <x:f>IF(AND(YEAR(BW$3)=YEAR(EDATE(INDEX('Вводные'!$D$88:$D$91,$B$36),INDEX('Вводные'!$E$88:$E$91,$B$36)+INDEX('Вводные'!$F$88:$F$91,$B$36)+'Вводные'!$H$9)),MONTH(BW$3)=MONTH(EDATE(INDEX('Вводные'!$D$88:$D$91,$B$36),INDEX('Вводные'!$E$88:$E$91,$B$36)+INDEX('Вводные'!$F$88:$F$91,$B$36)+'Вводные'!$H$9)),AND($B$35="Да",IFERROR(INDEX('Вводные'!$B$88:$B$91,$B$36),"Нет")="Да")),MAX(0,SUM($D53:BW53)-BW53),0)</x:f>
      </x:c>
      <x:c r="BX55" s="107" t="n">
        <x:f>IF(AND(YEAR(BX$3)=YEAR(EDATE(INDEX('Вводные'!$D$88:$D$91,$B$36),INDEX('Вводные'!$E$88:$E$91,$B$36)+INDEX('Вводные'!$F$88:$F$91,$B$36)+'Вводные'!$H$9)),MONTH(BX$3)=MONTH(EDATE(INDEX('Вводные'!$D$88:$D$91,$B$36),INDEX('Вводные'!$E$88:$E$91,$B$36)+INDEX('Вводные'!$F$88:$F$91,$B$36)+'Вводные'!$H$9)),AND($B$35="Да",IFERROR(INDEX('Вводные'!$B$88:$B$91,$B$36),"Нет")="Да")),MAX(0,SUM($D53:BX53)-BX53),0)</x:f>
      </x:c>
      <x:c r="BY55" s="107" t="n">
        <x:f>IF(AND(YEAR(BY$3)=YEAR(EDATE(INDEX('Вводные'!$D$88:$D$91,$B$36),INDEX('Вводные'!$E$88:$E$91,$B$36)+INDEX('Вводные'!$F$88:$F$91,$B$36)+'Вводные'!$H$9)),MONTH(BY$3)=MONTH(EDATE(INDEX('Вводные'!$D$88:$D$91,$B$36),INDEX('Вводные'!$E$88:$E$91,$B$36)+INDEX('Вводные'!$F$88:$F$91,$B$36)+'Вводные'!$H$9)),AND($B$35="Да",IFERROR(INDEX('Вводные'!$B$88:$B$91,$B$36),"Нет")="Да")),MAX(0,SUM($D53:BY53)-BY53),0)</x:f>
      </x:c>
      <x:c r="BZ55" s="107" t="n">
        <x:f>IF(AND(YEAR(BZ$3)=YEAR(EDATE(INDEX('Вводные'!$D$88:$D$91,$B$36),INDEX('Вводные'!$E$88:$E$91,$B$36)+INDEX('Вводные'!$F$88:$F$91,$B$36)+'Вводные'!$H$9)),MONTH(BZ$3)=MONTH(EDATE(INDEX('Вводные'!$D$88:$D$91,$B$36),INDEX('Вводные'!$E$88:$E$91,$B$36)+INDEX('Вводные'!$F$88:$F$91,$B$36)+'Вводные'!$H$9)),AND($B$35="Да",IFERROR(INDEX('Вводные'!$B$88:$B$91,$B$36),"Нет")="Да")),MAX(0,SUM($D53:BZ53)-BZ53),0)</x:f>
      </x:c>
      <x:c r="CA55" s="107" t="n">
        <x:f>IF(AND(YEAR(CA$3)=YEAR(EDATE(INDEX('Вводные'!$D$88:$D$91,$B$36),INDEX('Вводные'!$E$88:$E$91,$B$36)+INDEX('Вводные'!$F$88:$F$91,$B$36)+'Вводные'!$H$9)),MONTH(CA$3)=MONTH(EDATE(INDEX('Вводные'!$D$88:$D$91,$B$36),INDEX('Вводные'!$E$88:$E$91,$B$36)+INDEX('Вводные'!$F$88:$F$91,$B$36)+'Вводные'!$H$9)),AND($B$35="Да",IFERROR(INDEX('Вводные'!$B$88:$B$91,$B$36),"Нет")="Да")),MAX(0,SUM($D53:CA53)-CA53),0)</x:f>
      </x:c>
      <x:c r="CB55" s="107" t="n">
        <x:f>IF(AND(YEAR(CB$3)=YEAR(EDATE(INDEX('Вводные'!$D$88:$D$91,$B$36),INDEX('Вводные'!$E$88:$E$91,$B$36)+INDEX('Вводные'!$F$88:$F$91,$B$36)+'Вводные'!$H$9)),MONTH(CB$3)=MONTH(EDATE(INDEX('Вводные'!$D$88:$D$91,$B$36),INDEX('Вводные'!$E$88:$E$91,$B$36)+INDEX('Вводные'!$F$88:$F$91,$B$36)+'Вводные'!$H$9)),AND($B$35="Да",IFERROR(INDEX('Вводные'!$B$88:$B$91,$B$36),"Нет")="Да")),MAX(0,SUM($D53:CB53)-CB53),0)</x:f>
      </x:c>
      <x:c r="CC55" s="107" t="n">
        <x:f>IF(AND(YEAR(CC$3)=YEAR(EDATE(INDEX('Вводные'!$D$88:$D$91,$B$36),INDEX('Вводные'!$E$88:$E$91,$B$36)+INDEX('Вводные'!$F$88:$F$91,$B$36)+'Вводные'!$H$9)),MONTH(CC$3)=MONTH(EDATE(INDEX('Вводные'!$D$88:$D$91,$B$36),INDEX('Вводные'!$E$88:$E$91,$B$36)+INDEX('Вводные'!$F$88:$F$91,$B$36)+'Вводные'!$H$9)),AND($B$35="Да",IFERROR(INDEX('Вводные'!$B$88:$B$91,$B$36),"Нет")="Да")),MAX(0,SUM($D53:CC53)-CC53),0)</x:f>
      </x:c>
      <x:c r="CD55" s="107" t="n">
        <x:f>IF(AND(YEAR(CD$3)=YEAR(EDATE(INDEX('Вводные'!$D$88:$D$91,$B$36),INDEX('Вводные'!$E$88:$E$91,$B$36)+INDEX('Вводные'!$F$88:$F$91,$B$36)+'Вводные'!$H$9)),MONTH(CD$3)=MONTH(EDATE(INDEX('Вводные'!$D$88:$D$91,$B$36),INDEX('Вводные'!$E$88:$E$91,$B$36)+INDEX('Вводные'!$F$88:$F$91,$B$36)+'Вводные'!$H$9)),AND($B$35="Да",IFERROR(INDEX('Вводные'!$B$88:$B$91,$B$36),"Нет")="Да")),MAX(0,SUM($D53:CD53)-CD53),0)</x:f>
      </x:c>
      <x:c r="CE55" s="107" t="n">
        <x:f>IF(AND(YEAR(CE$3)=YEAR(EDATE(INDEX('Вводные'!$D$88:$D$91,$B$36),INDEX('Вводные'!$E$88:$E$91,$B$36)+INDEX('Вводные'!$F$88:$F$91,$B$36)+'Вводные'!$H$9)),MONTH(CE$3)=MONTH(EDATE(INDEX('Вводные'!$D$88:$D$91,$B$36),INDEX('Вводные'!$E$88:$E$91,$B$36)+INDEX('Вводные'!$F$88:$F$91,$B$36)+'Вводные'!$H$9)),AND($B$35="Да",IFERROR(INDEX('Вводные'!$B$88:$B$91,$B$36),"Нет")="Да")),MAX(0,SUM($D53:CE53)-CE53),0)</x:f>
      </x:c>
      <x:c r="CF55" s="107" t="n">
        <x:f>IF(AND(YEAR(CF$3)=YEAR(EDATE(INDEX('Вводные'!$D$88:$D$91,$B$36),INDEX('Вводные'!$E$88:$E$91,$B$36)+INDEX('Вводные'!$F$88:$F$91,$B$36)+'Вводные'!$H$9)),MONTH(CF$3)=MONTH(EDATE(INDEX('Вводные'!$D$88:$D$91,$B$36),INDEX('Вводные'!$E$88:$E$91,$B$36)+INDEX('Вводные'!$F$88:$F$91,$B$36)+'Вводные'!$H$9)),AND($B$35="Да",IFERROR(INDEX('Вводные'!$B$88:$B$91,$B$36),"Нет")="Да")),MAX(0,SUM($D53:CF53)-CF53),0)</x:f>
      </x:c>
      <x:c r="CG55" s="107" t="n">
        <x:f>IF(AND(YEAR(CG$3)=YEAR(EDATE(INDEX('Вводные'!$D$88:$D$91,$B$36),INDEX('Вводные'!$E$88:$E$91,$B$36)+INDEX('Вводные'!$F$88:$F$91,$B$36)+'Вводные'!$H$9)),MONTH(CG$3)=MONTH(EDATE(INDEX('Вводные'!$D$88:$D$91,$B$36),INDEX('Вводные'!$E$88:$E$91,$B$36)+INDEX('Вводные'!$F$88:$F$91,$B$36)+'Вводные'!$H$9)),AND($B$35="Да",IFERROR(INDEX('Вводные'!$B$88:$B$91,$B$36),"Нет")="Да")),MAX(0,SUM($D53:CG53)-CG53),0)</x:f>
      </x:c>
      <x:c r="CH55" s="107" t="n">
        <x:f>IF(AND(YEAR(CH$3)=YEAR(EDATE(INDEX('Вводные'!$D$88:$D$91,$B$36),INDEX('Вводные'!$E$88:$E$91,$B$36)+INDEX('Вводные'!$F$88:$F$91,$B$36)+'Вводные'!$H$9)),MONTH(CH$3)=MONTH(EDATE(INDEX('Вводные'!$D$88:$D$91,$B$36),INDEX('Вводные'!$E$88:$E$91,$B$36)+INDEX('Вводные'!$F$88:$F$91,$B$36)+'Вводные'!$H$9)),AND($B$35="Да",IFERROR(INDEX('Вводные'!$B$88:$B$91,$B$36),"Нет")="Да")),MAX(0,SUM($D53:CH53)-CH53),0)</x:f>
      </x:c>
      <x:c r="CI55" s="107" t="n">
        <x:f>IF(AND(YEAR(CI$3)=YEAR(EDATE(INDEX('Вводные'!$D$88:$D$91,$B$36),INDEX('Вводные'!$E$88:$E$91,$B$36)+INDEX('Вводные'!$F$88:$F$91,$B$36)+'Вводные'!$H$9)),MONTH(CI$3)=MONTH(EDATE(INDEX('Вводные'!$D$88:$D$91,$B$36),INDEX('Вводные'!$E$88:$E$91,$B$36)+INDEX('Вводные'!$F$88:$F$91,$B$36)+'Вводные'!$H$9)),AND($B$35="Да",IFERROR(INDEX('Вводные'!$B$88:$B$91,$B$36),"Нет")="Да")),MAX(0,SUM($D53:CI53)-CI53),0)</x:f>
      </x:c>
      <x:c r="CJ55" s="107" t="n">
        <x:f>IF(AND(YEAR(CJ$3)=YEAR(EDATE(INDEX('Вводные'!$D$88:$D$91,$B$36),INDEX('Вводные'!$E$88:$E$91,$B$36)+INDEX('Вводные'!$F$88:$F$91,$B$36)+'Вводные'!$H$9)),MONTH(CJ$3)=MONTH(EDATE(INDEX('Вводные'!$D$88:$D$91,$B$36),INDEX('Вводные'!$E$88:$E$91,$B$36)+INDEX('Вводные'!$F$88:$F$91,$B$36)+'Вводные'!$H$9)),AND($B$35="Да",IFERROR(INDEX('Вводные'!$B$88:$B$91,$B$36),"Нет")="Да")),MAX(0,SUM($D53:CJ53)-CJ53),0)</x:f>
      </x:c>
      <x:c r="CK55" s="107" t="n">
        <x:f>IF(AND(YEAR(CK$3)=YEAR(EDATE(INDEX('Вводные'!$D$88:$D$91,$B$36),INDEX('Вводные'!$E$88:$E$91,$B$36)+INDEX('Вводные'!$F$88:$F$91,$B$36)+'Вводные'!$H$9)),MONTH(CK$3)=MONTH(EDATE(INDEX('Вводные'!$D$88:$D$91,$B$36),INDEX('Вводные'!$E$88:$E$91,$B$36)+INDEX('Вводные'!$F$88:$F$91,$B$36)+'Вводные'!$H$9)),AND($B$35="Да",IFERROR(INDEX('Вводные'!$B$88:$B$91,$B$36),"Нет")="Да")),MAX(0,SUM($D53:CK53)-CK53),0)</x:f>
      </x:c>
      <x:c r="CL55" s="107" t="n">
        <x:f>IF(AND(YEAR(CL$3)=YEAR(EDATE(INDEX('Вводные'!$D$88:$D$91,$B$36),INDEX('Вводные'!$E$88:$E$91,$B$36)+INDEX('Вводные'!$F$88:$F$91,$B$36)+'Вводные'!$H$9)),MONTH(CL$3)=MONTH(EDATE(INDEX('Вводные'!$D$88:$D$91,$B$36),INDEX('Вводные'!$E$88:$E$91,$B$36)+INDEX('Вводные'!$F$88:$F$91,$B$36)+'Вводные'!$H$9)),AND($B$35="Да",IFERROR(INDEX('Вводные'!$B$88:$B$91,$B$36),"Нет")="Да")),MAX(0,SUM($D53:CL53)-CL53),0)</x:f>
      </x:c>
      <x:c r="CM55" s="107" t="n">
        <x:f>IF(AND(YEAR(CM$3)=YEAR(EDATE(INDEX('Вводные'!$D$88:$D$91,$B$36),INDEX('Вводные'!$E$88:$E$91,$B$36)+INDEX('Вводные'!$F$88:$F$91,$B$36)+'Вводные'!$H$9)),MONTH(CM$3)=MONTH(EDATE(INDEX('Вводные'!$D$88:$D$91,$B$36),INDEX('Вводные'!$E$88:$E$91,$B$36)+INDEX('Вводные'!$F$88:$F$91,$B$36)+'Вводные'!$H$9)),AND($B$35="Да",IFERROR(INDEX('Вводные'!$B$88:$B$91,$B$36),"Нет")="Да")),MAX(0,SUM($D53:CM53)-CM53),0)</x:f>
      </x:c>
      <x:c r="CN55" s="107" t="n">
        <x:f>IF(AND(YEAR(CN$3)=YEAR(EDATE(INDEX('Вводные'!$D$88:$D$91,$B$36),INDEX('Вводные'!$E$88:$E$91,$B$36)+INDEX('Вводные'!$F$88:$F$91,$B$36)+'Вводные'!$H$9)),MONTH(CN$3)=MONTH(EDATE(INDEX('Вводные'!$D$88:$D$91,$B$36),INDEX('Вводные'!$E$88:$E$91,$B$36)+INDEX('Вводные'!$F$88:$F$91,$B$36)+'Вводные'!$H$9)),AND($B$35="Да",IFERROR(INDEX('Вводные'!$B$88:$B$91,$B$36),"Нет")="Да")),MAX(0,SUM($D53:CN53)-CN53),0)</x:f>
      </x:c>
      <x:c r="CO55" s="107" t="n">
        <x:f>IF(AND(YEAR(CO$3)=YEAR(EDATE(INDEX('Вводные'!$D$88:$D$91,$B$36),INDEX('Вводные'!$E$88:$E$91,$B$36)+INDEX('Вводные'!$F$88:$F$91,$B$36)+'Вводные'!$H$9)),MONTH(CO$3)=MONTH(EDATE(INDEX('Вводные'!$D$88:$D$91,$B$36),INDEX('Вводные'!$E$88:$E$91,$B$36)+INDEX('Вводные'!$F$88:$F$91,$B$36)+'Вводные'!$H$9)),AND($B$35="Да",IFERROR(INDEX('Вводные'!$B$88:$B$91,$B$36),"Нет")="Да")),MAX(0,SUM($D53:CO53)-CO53),0)</x:f>
      </x:c>
      <x:c r="CP55" s="107" t="n">
        <x:f>IF(AND(YEAR(CP$3)=YEAR(EDATE(INDEX('Вводные'!$D$88:$D$91,$B$36),INDEX('Вводные'!$E$88:$E$91,$B$36)+INDEX('Вводные'!$F$88:$F$91,$B$36)+'Вводные'!$H$9)),MONTH(CP$3)=MONTH(EDATE(INDEX('Вводные'!$D$88:$D$91,$B$36),INDEX('Вводные'!$E$88:$E$91,$B$36)+INDEX('Вводные'!$F$88:$F$91,$B$36)+'Вводные'!$H$9)),AND($B$35="Да",IFERROR(INDEX('Вводные'!$B$88:$B$91,$B$36),"Нет")="Да")),MAX(0,SUM($D53:CP53)-CP53),0)</x:f>
      </x:c>
      <x:c r="CQ55" s="107" t="n">
        <x:f>IF(AND(YEAR(CQ$3)=YEAR(EDATE(INDEX('Вводные'!$D$88:$D$91,$B$36),INDEX('Вводные'!$E$88:$E$91,$B$36)+INDEX('Вводные'!$F$88:$F$91,$B$36)+'Вводные'!$H$9)),MONTH(CQ$3)=MONTH(EDATE(INDEX('Вводные'!$D$88:$D$91,$B$36),INDEX('Вводные'!$E$88:$E$91,$B$36)+INDEX('Вводные'!$F$88:$F$91,$B$36)+'Вводные'!$H$9)),AND($B$35="Да",IFERROR(INDEX('Вводные'!$B$88:$B$91,$B$36),"Нет")="Да")),MAX(0,SUM($D53:CQ53)-CQ53),0)</x:f>
      </x:c>
      <x:c r="CR55" s="107" t="n">
        <x:f>IF(AND(YEAR(CR$3)=YEAR(EDATE(INDEX('Вводные'!$D$88:$D$91,$B$36),INDEX('Вводные'!$E$88:$E$91,$B$36)+INDEX('Вводные'!$F$88:$F$91,$B$36)+'Вводные'!$H$9)),MONTH(CR$3)=MONTH(EDATE(INDEX('Вводные'!$D$88:$D$91,$B$36),INDEX('Вводные'!$E$88:$E$91,$B$36)+INDEX('Вводные'!$F$88:$F$91,$B$36)+'Вводные'!$H$9)),AND($B$35="Да",IFERROR(INDEX('Вводные'!$B$88:$B$91,$B$36),"Нет")="Да")),MAX(0,SUM($D53:CR53)-CR53),0)</x:f>
      </x:c>
      <x:c r="CS55" s="107" t="n">
        <x:f>IF(AND(YEAR(CS$3)=YEAR(EDATE(INDEX('Вводные'!$D$88:$D$91,$B$36),INDEX('Вводные'!$E$88:$E$91,$B$36)+INDEX('Вводные'!$F$88:$F$91,$B$36)+'Вводные'!$H$9)),MONTH(CS$3)=MONTH(EDATE(INDEX('Вводные'!$D$88:$D$91,$B$36),INDEX('Вводные'!$E$88:$E$91,$B$36)+INDEX('Вводные'!$F$88:$F$91,$B$36)+'Вводные'!$H$9)),AND($B$35="Да",IFERROR(INDEX('Вводные'!$B$88:$B$91,$B$36),"Нет")="Да")),MAX(0,SUM($D53:CS53)-CS53),0)</x:f>
      </x:c>
      <x:c r="CT55" s="107" t="n">
        <x:f>IF(AND(YEAR(CT$3)=YEAR(EDATE(INDEX('Вводные'!$D$88:$D$91,$B$36),INDEX('Вводные'!$E$88:$E$91,$B$36)+INDEX('Вводные'!$F$88:$F$91,$B$36)+'Вводные'!$H$9)),MONTH(CT$3)=MONTH(EDATE(INDEX('Вводные'!$D$88:$D$91,$B$36),INDEX('Вводные'!$E$88:$E$91,$B$36)+INDEX('Вводные'!$F$88:$F$91,$B$36)+'Вводные'!$H$9)),AND($B$35="Да",IFERROR(INDEX('Вводные'!$B$88:$B$91,$B$36),"Нет")="Да")),MAX(0,SUM($D53:CT53)-CT53),0)</x:f>
      </x:c>
      <x:c r="CU55" s="107" t="n">
        <x:f>IF(AND(YEAR(CU$3)=YEAR(EDATE(INDEX('Вводные'!$D$88:$D$91,$B$36),INDEX('Вводные'!$E$88:$E$91,$B$36)+INDEX('Вводные'!$F$88:$F$91,$B$36)+'Вводные'!$H$9)),MONTH(CU$3)=MONTH(EDATE(INDEX('Вводные'!$D$88:$D$91,$B$36),INDEX('Вводные'!$E$88:$E$91,$B$36)+INDEX('Вводные'!$F$88:$F$91,$B$36)+'Вводные'!$H$9)),AND($B$35="Да",IFERROR(INDEX('Вводные'!$B$88:$B$91,$B$36),"Нет")="Да")),MAX(0,SUM($D53:CU53)-CU53),0)</x:f>
      </x:c>
      <x:c r="CV55" s="107" t="n">
        <x:f>IF(AND(YEAR(CV$3)=YEAR(EDATE(INDEX('Вводные'!$D$88:$D$91,$B$36),INDEX('Вводные'!$E$88:$E$91,$B$36)+INDEX('Вводные'!$F$88:$F$91,$B$36)+'Вводные'!$H$9)),MONTH(CV$3)=MONTH(EDATE(INDEX('Вводные'!$D$88:$D$91,$B$36),INDEX('Вводные'!$E$88:$E$91,$B$36)+INDEX('Вводные'!$F$88:$F$91,$B$36)+'Вводные'!$H$9)),AND($B$35="Да",IFERROR(INDEX('Вводные'!$B$88:$B$91,$B$36),"Нет")="Да")),MAX(0,SUM($D53:CV53)-CV53),0)</x:f>
      </x:c>
      <x:c r="CW55" s="107" t="n">
        <x:f>IF(AND(YEAR(CW$3)=YEAR(EDATE(INDEX('Вводные'!$D$88:$D$91,$B$36),INDEX('Вводные'!$E$88:$E$91,$B$36)+INDEX('Вводные'!$F$88:$F$91,$B$36)+'Вводные'!$H$9)),MONTH(CW$3)=MONTH(EDATE(INDEX('Вводные'!$D$88:$D$91,$B$36),INDEX('Вводные'!$E$88:$E$91,$B$36)+INDEX('Вводные'!$F$88:$F$91,$B$36)+'Вводные'!$H$9)),AND($B$35="Да",IFERROR(INDEX('Вводные'!$B$88:$B$91,$B$36),"Нет")="Да")),MAX(0,SUM($D53:CW53)-CW53),0)</x:f>
      </x:c>
      <x:c r="CX55" s="107" t="n">
        <x:f>IF(AND(YEAR(CX$3)=YEAR(EDATE(INDEX('Вводные'!$D$88:$D$91,$B$36),INDEX('Вводные'!$E$88:$E$91,$B$36)+INDEX('Вводные'!$F$88:$F$91,$B$36)+'Вводные'!$H$9)),MONTH(CX$3)=MONTH(EDATE(INDEX('Вводные'!$D$88:$D$91,$B$36),INDEX('Вводные'!$E$88:$E$91,$B$36)+INDEX('Вводные'!$F$88:$F$91,$B$36)+'Вводные'!$H$9)),AND($B$35="Да",IFERROR(INDEX('Вводные'!$B$88:$B$91,$B$36),"Нет")="Да")),MAX(0,SUM($D53:CX53)-CX53),0)</x:f>
      </x:c>
      <x:c r="CY55" s="107" t="n">
        <x:f>IF(AND(YEAR(CY$3)=YEAR(EDATE(INDEX('Вводные'!$D$88:$D$91,$B$36),INDEX('Вводные'!$E$88:$E$91,$B$36)+INDEX('Вводные'!$F$88:$F$91,$B$36)+'Вводные'!$H$9)),MONTH(CY$3)=MONTH(EDATE(INDEX('Вводные'!$D$88:$D$91,$B$36),INDEX('Вводные'!$E$88:$E$91,$B$36)+INDEX('Вводные'!$F$88:$F$91,$B$36)+'Вводные'!$H$9)),AND($B$35="Да",IFERROR(INDEX('Вводные'!$B$88:$B$91,$B$36),"Нет")="Да")),MAX(0,SUM($D53:CY53)-CY53),0)</x:f>
      </x:c>
      <x:c r="CZ55" s="107" t="n">
        <x:f>IF(AND(YEAR(CZ$3)=YEAR(EDATE(INDEX('Вводные'!$D$88:$D$91,$B$36),INDEX('Вводные'!$E$88:$E$91,$B$36)+INDEX('Вводные'!$F$88:$F$91,$B$36)+'Вводные'!$H$9)),MONTH(CZ$3)=MONTH(EDATE(INDEX('Вводные'!$D$88:$D$91,$B$36),INDEX('Вводные'!$E$88:$E$91,$B$36)+INDEX('Вводные'!$F$88:$F$91,$B$36)+'Вводные'!$H$9)),AND($B$35="Да",IFERROR(INDEX('Вводные'!$B$88:$B$91,$B$36),"Нет")="Да")),MAX(0,SUM($D53:CZ53)-CZ53),0)</x:f>
      </x:c>
      <x:c r="DA55" s="107" t="n">
        <x:f>IF(AND(YEAR(DA$3)=YEAR(EDATE(INDEX('Вводные'!$D$88:$D$91,$B$36),INDEX('Вводные'!$E$88:$E$91,$B$36)+INDEX('Вводные'!$F$88:$F$91,$B$36)+'Вводные'!$H$9)),MONTH(DA$3)=MONTH(EDATE(INDEX('Вводные'!$D$88:$D$91,$B$36),INDEX('Вводные'!$E$88:$E$91,$B$36)+INDEX('Вводные'!$F$88:$F$91,$B$36)+'Вводные'!$H$9)),AND($B$35="Да",IFERROR(INDEX('Вводные'!$B$88:$B$91,$B$36),"Нет")="Да")),MAX(0,SUM($D53:DA53)-DA53),0)</x:f>
      </x:c>
      <x:c r="DB55" s="107" t="n">
        <x:f>IF(AND(YEAR(DB$3)=YEAR(EDATE(INDEX('Вводные'!$D$88:$D$91,$B$36),INDEX('Вводные'!$E$88:$E$91,$B$36)+INDEX('Вводные'!$F$88:$F$91,$B$36)+'Вводные'!$H$9)),MONTH(DB$3)=MONTH(EDATE(INDEX('Вводные'!$D$88:$D$91,$B$36),INDEX('Вводные'!$E$88:$E$91,$B$36)+INDEX('Вводные'!$F$88:$F$91,$B$36)+'Вводные'!$H$9)),AND($B$35="Да",IFERROR(INDEX('Вводные'!$B$88:$B$91,$B$36),"Нет")="Да")),MAX(0,SUM($D53:DB53)-DB53),0)</x:f>
      </x:c>
      <x:c r="DC55" s="107" t="n">
        <x:f>IF(AND(YEAR(DC$3)=YEAR(EDATE(INDEX('Вводные'!$D$88:$D$91,$B$36),INDEX('Вводные'!$E$88:$E$91,$B$36)+INDEX('Вводные'!$F$88:$F$91,$B$36)+'Вводные'!$H$9)),MONTH(DC$3)=MONTH(EDATE(INDEX('Вводные'!$D$88:$D$91,$B$36),INDEX('Вводные'!$E$88:$E$91,$B$36)+INDEX('Вводные'!$F$88:$F$91,$B$36)+'Вводные'!$H$9)),AND($B$35="Да",IFERROR(INDEX('Вводные'!$B$88:$B$91,$B$36),"Нет")="Да")),MAX(0,SUM($D53:DC53)-DC53),0)</x:f>
      </x:c>
      <x:c r="DD55" s="107" t="n">
        <x:f>IF(AND(YEAR(DD$3)=YEAR(EDATE(INDEX('Вводные'!$D$88:$D$91,$B$36),INDEX('Вводные'!$E$88:$E$91,$B$36)+INDEX('Вводные'!$F$88:$F$91,$B$36)+'Вводные'!$H$9)),MONTH(DD$3)=MONTH(EDATE(INDEX('Вводные'!$D$88:$D$91,$B$36),INDEX('Вводные'!$E$88:$E$91,$B$36)+INDEX('Вводные'!$F$88:$F$91,$B$36)+'Вводные'!$H$9)),AND($B$35="Да",IFERROR(INDEX('Вводные'!$B$88:$B$91,$B$36),"Нет")="Да")),MAX(0,SUM($D53:DD53)-DD53),0)</x:f>
      </x:c>
      <x:c r="DE55" s="107" t="n">
        <x:f>IF(AND(YEAR(DE$3)=YEAR(EDATE(INDEX('Вводные'!$D$88:$D$91,$B$36),INDEX('Вводные'!$E$88:$E$91,$B$36)+INDEX('Вводные'!$F$88:$F$91,$B$36)+'Вводные'!$H$9)),MONTH(DE$3)=MONTH(EDATE(INDEX('Вводные'!$D$88:$D$91,$B$36),INDEX('Вводные'!$E$88:$E$91,$B$36)+INDEX('Вводные'!$F$88:$F$91,$B$36)+'Вводные'!$H$9)),AND($B$35="Да",IFERROR(INDEX('Вводные'!$B$88:$B$91,$B$36),"Нет")="Да")),MAX(0,SUM($D53:DE53)-DE53),0)</x:f>
      </x:c>
      <x:c r="DF55" s="107" t="n">
        <x:f>IF(AND(YEAR(DF$3)=YEAR(EDATE(INDEX('Вводные'!$D$88:$D$91,$B$36),INDEX('Вводные'!$E$88:$E$91,$B$36)+INDEX('Вводные'!$F$88:$F$91,$B$36)+'Вводные'!$H$9)),MONTH(DF$3)=MONTH(EDATE(INDEX('Вводные'!$D$88:$D$91,$B$36),INDEX('Вводные'!$E$88:$E$91,$B$36)+INDEX('Вводные'!$F$88:$F$91,$B$36)+'Вводные'!$H$9)),AND($B$35="Да",IFERROR(INDEX('Вводные'!$B$88:$B$91,$B$36),"Нет")="Да")),MAX(0,SUM($D53:DF53)-DF53),0)</x:f>
      </x:c>
      <x:c r="DG55" s="107" t="n">
        <x:f>IF(AND(YEAR(DG$3)=YEAR(EDATE(INDEX('Вводные'!$D$88:$D$91,$B$36),INDEX('Вводные'!$E$88:$E$91,$B$36)+INDEX('Вводные'!$F$88:$F$91,$B$36)+'Вводные'!$H$9)),MONTH(DG$3)=MONTH(EDATE(INDEX('Вводные'!$D$88:$D$91,$B$36),INDEX('Вводные'!$E$88:$E$91,$B$36)+INDEX('Вводные'!$F$88:$F$91,$B$36)+'Вводные'!$H$9)),AND($B$35="Да",IFERROR(INDEX('Вводные'!$B$88:$B$91,$B$36),"Нет")="Да")),MAX(0,SUM($D53:DG53)-DG53),0)</x:f>
      </x:c>
      <x:c r="DH55" s="107" t="n">
        <x:f>IF(AND(YEAR(DH$3)=YEAR(EDATE(INDEX('Вводные'!$D$88:$D$91,$B$36),INDEX('Вводные'!$E$88:$E$91,$B$36)+INDEX('Вводные'!$F$88:$F$91,$B$36)+'Вводные'!$H$9)),MONTH(DH$3)=MONTH(EDATE(INDEX('Вводные'!$D$88:$D$91,$B$36),INDEX('Вводные'!$E$88:$E$91,$B$36)+INDEX('Вводные'!$F$88:$F$91,$B$36)+'Вводные'!$H$9)),AND($B$35="Да",IFERROR(INDEX('Вводные'!$B$88:$B$91,$B$36),"Нет")="Да")),MAX(0,SUM($D53:DH53)-DH53),0)</x:f>
      </x:c>
      <x:c r="DI55" s="107" t="n">
        <x:f>IF(AND(YEAR(DI$3)=YEAR(EDATE(INDEX('Вводные'!$D$88:$D$91,$B$36),INDEX('Вводные'!$E$88:$E$91,$B$36)+INDEX('Вводные'!$F$88:$F$91,$B$36)+'Вводные'!$H$9)),MONTH(DI$3)=MONTH(EDATE(INDEX('Вводные'!$D$88:$D$91,$B$36),INDEX('Вводные'!$E$88:$E$91,$B$36)+INDEX('Вводные'!$F$88:$F$91,$B$36)+'Вводные'!$H$9)),AND($B$35="Да",IFERROR(INDEX('Вводные'!$B$88:$B$91,$B$36),"Нет")="Да")),MAX(0,SUM($D53:DI53)-DI53),0)</x:f>
      </x:c>
      <x:c r="DJ55" s="107" t="n">
        <x:f>IF(AND(YEAR(DJ$3)=YEAR(EDATE(INDEX('Вводные'!$D$88:$D$91,$B$36),INDEX('Вводные'!$E$88:$E$91,$B$36)+INDEX('Вводные'!$F$88:$F$91,$B$36)+'Вводные'!$H$9)),MONTH(DJ$3)=MONTH(EDATE(INDEX('Вводные'!$D$88:$D$91,$B$36),INDEX('Вводные'!$E$88:$E$91,$B$36)+INDEX('Вводные'!$F$88:$F$91,$B$36)+'Вводные'!$H$9)),AND($B$35="Да",IFERROR(INDEX('Вводные'!$B$88:$B$91,$B$36),"Нет")="Да")),MAX(0,SUM($D53:DJ53)-DJ53),0)</x:f>
      </x:c>
      <x:c r="DK55" s="107" t="n">
        <x:f>IF(AND(YEAR(DK$3)=YEAR(EDATE(INDEX('Вводные'!$D$88:$D$91,$B$36),INDEX('Вводные'!$E$88:$E$91,$B$36)+INDEX('Вводные'!$F$88:$F$91,$B$36)+'Вводные'!$H$9)),MONTH(DK$3)=MONTH(EDATE(INDEX('Вводные'!$D$88:$D$91,$B$36),INDEX('Вводные'!$E$88:$E$91,$B$36)+INDEX('Вводные'!$F$88:$F$91,$B$36)+'Вводные'!$H$9)),AND($B$35="Да",IFERROR(INDEX('Вводные'!$B$88:$B$91,$B$36),"Нет")="Да")),MAX(0,SUM($D53:DK53)-DK53),0)</x:f>
      </x:c>
      <x:c r="DL55" s="107" t="n">
        <x:f>IF(AND(YEAR(DL$3)=YEAR(EDATE(INDEX('Вводные'!$D$88:$D$91,$B$36),INDEX('Вводные'!$E$88:$E$91,$B$36)+INDEX('Вводные'!$F$88:$F$91,$B$36)+'Вводные'!$H$9)),MONTH(DL$3)=MONTH(EDATE(INDEX('Вводные'!$D$88:$D$91,$B$36),INDEX('Вводные'!$E$88:$E$91,$B$36)+INDEX('Вводные'!$F$88:$F$91,$B$36)+'Вводные'!$H$9)),AND($B$35="Да",IFERROR(INDEX('Вводные'!$B$88:$B$91,$B$36),"Нет")="Да")),MAX(0,SUM($D53:DL53)-DL53),0)</x:f>
      </x:c>
      <x:c r="DM55" s="107" t="n">
        <x:f>IF(AND(YEAR(DM$3)=YEAR(EDATE(INDEX('Вводные'!$D$88:$D$91,$B$36),INDEX('Вводные'!$E$88:$E$91,$B$36)+INDEX('Вводные'!$F$88:$F$91,$B$36)+'Вводные'!$H$9)),MONTH(DM$3)=MONTH(EDATE(INDEX('Вводные'!$D$88:$D$91,$B$36),INDEX('Вводные'!$E$88:$E$91,$B$36)+INDEX('Вводные'!$F$88:$F$91,$B$36)+'Вводные'!$H$9)),AND($B$35="Да",IFERROR(INDEX('Вводные'!$B$88:$B$91,$B$36),"Нет")="Да")),MAX(0,SUM($D53:DM53)-DM53),0)</x:f>
      </x:c>
      <x:c r="DN55" s="107" t="n">
        <x:f>IF(AND(YEAR(DN$3)=YEAR(EDATE(INDEX('Вводные'!$D$88:$D$91,$B$36),INDEX('Вводные'!$E$88:$E$91,$B$36)+INDEX('Вводные'!$F$88:$F$91,$B$36)+'Вводные'!$H$9)),MONTH(DN$3)=MONTH(EDATE(INDEX('Вводные'!$D$88:$D$91,$B$36),INDEX('Вводные'!$E$88:$E$91,$B$36)+INDEX('Вводные'!$F$88:$F$91,$B$36)+'Вводные'!$H$9)),AND($B$35="Да",IFERROR(INDEX('Вводные'!$B$88:$B$91,$B$36),"Нет")="Да")),MAX(0,SUM($D53:DN53)-DN53),0)</x:f>
      </x:c>
      <x:c r="DO55" s="107" t="n">
        <x:f>IF(AND(YEAR(DO$3)=YEAR(EDATE(INDEX('Вводные'!$D$88:$D$91,$B$36),INDEX('Вводные'!$E$88:$E$91,$B$36)+INDEX('Вводные'!$F$88:$F$91,$B$36)+'Вводные'!$H$9)),MONTH(DO$3)=MONTH(EDATE(INDEX('Вводные'!$D$88:$D$91,$B$36),INDEX('Вводные'!$E$88:$E$91,$B$36)+INDEX('Вводные'!$F$88:$F$91,$B$36)+'Вводные'!$H$9)),AND($B$35="Да",IFERROR(INDEX('Вводные'!$B$88:$B$91,$B$36),"Нет")="Да")),MAX(0,SUM($D53:DO53)-DO53),0)</x:f>
      </x:c>
      <x:c r="DP55" s="107" t="n">
        <x:f>IF(AND(YEAR(DP$3)=YEAR(EDATE(INDEX('Вводные'!$D$88:$D$91,$B$36),INDEX('Вводные'!$E$88:$E$91,$B$36)+INDEX('Вводные'!$F$88:$F$91,$B$36)+'Вводные'!$H$9)),MONTH(DP$3)=MONTH(EDATE(INDEX('Вводные'!$D$88:$D$91,$B$36),INDEX('Вводные'!$E$88:$E$91,$B$36)+INDEX('Вводные'!$F$88:$F$91,$B$36)+'Вводные'!$H$9)),AND($B$35="Да",IFERROR(INDEX('Вводные'!$B$88:$B$91,$B$36),"Нет")="Да")),MAX(0,SUM($D53:DP53)-DP53),0)</x:f>
      </x:c>
      <x:c r="DQ55" s="107" t="n">
        <x:f>IF(AND(YEAR(DQ$3)=YEAR(EDATE(INDEX('Вводные'!$D$88:$D$91,$B$36),INDEX('Вводные'!$E$88:$E$91,$B$36)+INDEX('Вводные'!$F$88:$F$91,$B$36)+'Вводные'!$H$9)),MONTH(DQ$3)=MONTH(EDATE(INDEX('Вводные'!$D$88:$D$91,$B$36),INDEX('Вводные'!$E$88:$E$91,$B$36)+INDEX('Вводные'!$F$88:$F$91,$B$36)+'Вводные'!$H$9)),AND($B$35="Да",IFERROR(INDEX('Вводные'!$B$88:$B$91,$B$36),"Нет")="Да")),MAX(0,SUM($D53:DQ53)-DQ53),0)</x:f>
      </x:c>
      <x:c r="DR55" s="107" t="n">
        <x:f>IF(AND(YEAR(DR$3)=YEAR(EDATE(INDEX('Вводные'!$D$88:$D$91,$B$36),INDEX('Вводные'!$E$88:$E$91,$B$36)+INDEX('Вводные'!$F$88:$F$91,$B$36)+'Вводные'!$H$9)),MONTH(DR$3)=MONTH(EDATE(INDEX('Вводные'!$D$88:$D$91,$B$36),INDEX('Вводные'!$E$88:$E$91,$B$36)+INDEX('Вводные'!$F$88:$F$91,$B$36)+'Вводные'!$H$9)),AND($B$35="Да",IFERROR(INDEX('Вводные'!$B$88:$B$91,$B$36),"Нет")="Да")),MAX(0,SUM($D53:DR53)-DR53),0)</x:f>
      </x:c>
      <x:c r="DS55" s="107" t="n">
        <x:f>IF(AND(YEAR(DS$3)=YEAR(EDATE(INDEX('Вводные'!$D$88:$D$91,$B$36),INDEX('Вводные'!$E$88:$E$91,$B$36)+INDEX('Вводные'!$F$88:$F$91,$B$36)+'Вводные'!$H$9)),MONTH(DS$3)=MONTH(EDATE(INDEX('Вводные'!$D$88:$D$91,$B$36),INDEX('Вводные'!$E$88:$E$91,$B$36)+INDEX('Вводные'!$F$88:$F$91,$B$36)+'Вводные'!$H$9)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IF(AND(D$3&gt;=$B$67,D$3&lt;EDATE($B$67,MAX(1,'Вводные'!$K$73)),AND($B$63="Да",IFERROR(INDEX('Вводные'!$B$88:$B$91,$B$64),"Нет")="Да")),1,0)</x:f>
      </x:c>
      <x:c r="E74" s="35" t="n">
        <x:f>IF(AND(E$3&gt;=$B$67,E$3&lt;EDATE($B$67,MAX(1,'Вводные'!$K$73)),AND($B$63="Да",IFERROR(INDEX('Вводные'!$B$88:$B$91,$B$64),"Нет")="Да")),1,0)</x:f>
      </x:c>
      <x:c r="F74" s="35" t="n">
        <x:f>IF(AND(F$3&gt;=$B$67,F$3&lt;EDATE($B$67,MAX(1,'Вводные'!$K$73)),AND($B$63="Да",IFERROR(INDEX('Вводные'!$B$88:$B$91,$B$64),"Нет")="Да")),1,0)</x:f>
      </x:c>
      <x:c r="G74" s="35" t="n">
        <x:f>IF(AND(G$3&gt;=$B$67,G$3&lt;EDATE($B$67,MAX(1,'Вводные'!$K$73)),AND($B$63="Да",IFERROR(INDEX('Вводные'!$B$88:$B$91,$B$64),"Нет")="Да")),1,0)</x:f>
      </x:c>
      <x:c r="H74" s="35" t="n">
        <x:f>IF(AND(H$3&gt;=$B$67,H$3&lt;EDATE($B$67,MAX(1,'Вводные'!$K$73)),AND($B$63="Да",IFERROR(INDEX('Вводные'!$B$88:$B$91,$B$64),"Нет")="Да")),1,0)</x:f>
      </x:c>
      <x:c r="I74" s="35" t="n">
        <x:f>IF(AND(I$3&gt;=$B$67,I$3&lt;EDATE($B$67,MAX(1,'Вводные'!$K$73)),AND($B$63="Да",IFERROR(INDEX('Вводные'!$B$88:$B$91,$B$64),"Нет")="Да")),1,0)</x:f>
      </x:c>
      <x:c r="J74" s="35" t="n">
        <x:f>IF(AND(J$3&gt;=$B$67,J$3&lt;EDATE($B$67,MAX(1,'Вводные'!$K$73)),AND($B$63="Да",IFERROR(INDEX('Вводные'!$B$88:$B$91,$B$64),"Нет")="Да")),1,0)</x:f>
      </x:c>
      <x:c r="K74" s="35" t="n">
        <x:f>IF(AND(K$3&gt;=$B$67,K$3&lt;EDATE($B$67,MAX(1,'Вводные'!$K$73)),AND($B$63="Да",IFERROR(INDEX('Вводные'!$B$88:$B$91,$B$64),"Нет")="Да")),1,0)</x:f>
      </x:c>
      <x:c r="L74" s="35" t="n">
        <x:f>IF(AND(L$3&gt;=$B$67,L$3&lt;EDATE($B$67,MAX(1,'Вводные'!$K$73)),AND($B$63="Да",IFERROR(INDEX('Вводные'!$B$88:$B$91,$B$64),"Нет")="Да")),1,0)</x:f>
      </x:c>
      <x:c r="M74" s="35" t="n">
        <x:f>IF(AND(M$3&gt;=$B$67,M$3&lt;EDATE($B$67,MAX(1,'Вводные'!$K$73)),AND($B$63="Да",IFERROR(INDEX('Вводные'!$B$88:$B$91,$B$64),"Нет")="Да")),1,0)</x:f>
      </x:c>
      <x:c r="N74" s="35" t="n">
        <x:f>IF(AND(N$3&gt;=$B$67,N$3&lt;EDATE($B$67,MAX(1,'Вводные'!$K$73)),AND($B$63="Да",IFERROR(INDEX('Вводные'!$B$88:$B$91,$B$64),"Нет")="Да")),1,0)</x:f>
      </x:c>
      <x:c r="O74" s="35" t="n">
        <x:f>IF(AND(O$3&gt;=$B$67,O$3&lt;EDATE($B$67,MAX(1,'Вводные'!$K$73)),AND($B$63="Да",IFERROR(INDEX('Вводные'!$B$88:$B$91,$B$64),"Нет")="Да")),1,0)</x:f>
      </x:c>
      <x:c r="P74" s="35" t="n">
        <x:f>IF(AND(P$3&gt;=$B$67,P$3&lt;EDATE($B$67,MAX(1,'Вводные'!$K$73)),AND($B$63="Да",IFERROR(INDEX('Вводные'!$B$88:$B$91,$B$64),"Нет")="Да")),1,0)</x:f>
      </x:c>
      <x:c r="Q74" s="35" t="n">
        <x:f>IF(AND(Q$3&gt;=$B$67,Q$3&lt;EDATE($B$67,MAX(1,'Вводные'!$K$73)),AND($B$63="Да",IFERROR(INDEX('Вводные'!$B$88:$B$91,$B$64),"Нет")="Да")),1,0)</x:f>
      </x:c>
      <x:c r="R74" s="35" t="n">
        <x:f>IF(AND(R$3&gt;=$B$67,R$3&lt;EDATE($B$67,MAX(1,'Вводные'!$K$73)),AND($B$63="Да",IFERROR(INDEX('Вводные'!$B$88:$B$91,$B$64),"Нет")="Да")),1,0)</x:f>
      </x:c>
      <x:c r="S74" s="35" t="n">
        <x:f>IF(AND(S$3&gt;=$B$67,S$3&lt;EDATE($B$67,MAX(1,'Вводные'!$K$73)),AND($B$63="Да",IFERROR(INDEX('Вводные'!$B$88:$B$91,$B$64),"Нет")="Да")),1,0)</x:f>
      </x:c>
      <x:c r="T74" s="35" t="n">
        <x:f>IF(AND(T$3&gt;=$B$67,T$3&lt;EDATE($B$67,MAX(1,'Вводные'!$K$73)),AND($B$63="Да",IFERROR(INDEX('Вводные'!$B$88:$B$91,$B$64),"Нет")="Да")),1,0)</x:f>
      </x:c>
      <x:c r="U74" s="35" t="n">
        <x:f>IF(AND(U$3&gt;=$B$67,U$3&lt;EDATE($B$67,MAX(1,'Вводные'!$K$73)),AND($B$63="Да",IFERROR(INDEX('Вводные'!$B$88:$B$91,$B$64),"Нет")="Да")),1,0)</x:f>
      </x:c>
      <x:c r="V74" s="35" t="n">
        <x:f>IF(AND(V$3&gt;=$B$67,V$3&lt;EDATE($B$67,MAX(1,'Вводные'!$K$73)),AND($B$63="Да",IFERROR(INDEX('Вводные'!$B$88:$B$91,$B$64),"Нет")="Да")),1,0)</x:f>
      </x:c>
      <x:c r="W74" s="35" t="n">
        <x:f>IF(AND(W$3&gt;=$B$67,W$3&lt;EDATE($B$67,MAX(1,'Вводные'!$K$73)),AND($B$63="Да",IFERROR(INDEX('Вводные'!$B$88:$B$91,$B$64),"Нет")="Да")),1,0)</x:f>
      </x:c>
      <x:c r="X74" s="35" t="n">
        <x:f>IF(AND(X$3&gt;=$B$67,X$3&lt;EDATE($B$67,MAX(1,'Вводные'!$K$73)),AND($B$63="Да",IFERROR(INDEX('Вводные'!$B$88:$B$91,$B$64),"Нет")="Да")),1,0)</x:f>
      </x:c>
      <x:c r="Y74" s="35" t="n">
        <x:f>IF(AND(Y$3&gt;=$B$67,Y$3&lt;EDATE($B$67,MAX(1,'Вводные'!$K$73)),AND($B$63="Да",IFERROR(INDEX('Вводные'!$B$88:$B$91,$B$64),"Нет")="Да")),1,0)</x:f>
      </x:c>
      <x:c r="Z74" s="35" t="n">
        <x:f>IF(AND(Z$3&gt;=$B$67,Z$3&lt;EDATE($B$67,MAX(1,'Вводные'!$K$73)),AND($B$63="Да",IFERROR(INDEX('Вводные'!$B$88:$B$91,$B$64),"Нет")="Да")),1,0)</x:f>
      </x:c>
      <x:c r="AA74" s="35" t="n">
        <x:f>IF(AND(AA$3&gt;=$B$67,AA$3&lt;EDATE($B$67,MAX(1,'Вводные'!$K$73)),AND($B$63="Да",IFERROR(INDEX('Вводные'!$B$88:$B$91,$B$64),"Нет")="Да")),1,0)</x:f>
      </x:c>
      <x:c r="AB74" s="35" t="n">
        <x:f>IF(AND(AB$3&gt;=$B$67,AB$3&lt;EDATE($B$67,MAX(1,'Вводные'!$K$73)),AND($B$63="Да",IFERROR(INDEX('Вводные'!$B$88:$B$91,$B$64),"Нет")="Да")),1,0)</x:f>
      </x:c>
      <x:c r="AC74" s="35" t="n">
        <x:f>IF(AND(AC$3&gt;=$B$67,AC$3&lt;EDATE($B$67,MAX(1,'Вводные'!$K$73)),AND($B$63="Да",IFERROR(INDEX('Вводные'!$B$88:$B$91,$B$64),"Нет")="Да")),1,0)</x:f>
      </x:c>
      <x:c r="AD74" s="35" t="n">
        <x:f>IF(AND(AD$3&gt;=$B$67,AD$3&lt;EDATE($B$67,MAX(1,'Вводные'!$K$73)),AND($B$63="Да",IFERROR(INDEX('Вводные'!$B$88:$B$91,$B$64),"Нет")="Да")),1,0)</x:f>
      </x:c>
      <x:c r="AE74" s="35" t="n">
        <x:f>IF(AND(AE$3&gt;=$B$67,AE$3&lt;EDATE($B$67,MAX(1,'Вводные'!$K$73)),AND($B$63="Да",IFERROR(INDEX('Вводные'!$B$88:$B$91,$B$64),"Нет")="Да")),1,0)</x:f>
      </x:c>
      <x:c r="AF74" s="35" t="n">
        <x:f>IF(AND(AF$3&gt;=$B$67,AF$3&lt;EDATE($B$67,MAX(1,'Вводные'!$K$73)),AND($B$63="Да",IFERROR(INDEX('Вводные'!$B$88:$B$91,$B$64),"Нет")="Да")),1,0)</x:f>
      </x:c>
      <x:c r="AG74" s="35" t="n">
        <x:f>IF(AND(AG$3&gt;=$B$67,AG$3&lt;EDATE($B$67,MAX(1,'Вводные'!$K$73)),AND($B$63="Да",IFERROR(INDEX('Вводные'!$B$88:$B$91,$B$64),"Нет")="Да")),1,0)</x:f>
      </x:c>
      <x:c r="AH74" s="35" t="n">
        <x:f>IF(AND(AH$3&gt;=$B$67,AH$3&lt;EDATE($B$67,MAX(1,'Вводные'!$K$73)),AND($B$63="Да",IFERROR(INDEX('Вводные'!$B$88:$B$91,$B$64),"Нет")="Да")),1,0)</x:f>
      </x:c>
      <x:c r="AI74" s="35" t="n">
        <x:f>IF(AND(AI$3&gt;=$B$67,AI$3&lt;EDATE($B$67,MAX(1,'Вводные'!$K$73)),AND($B$63="Да",IFERROR(INDEX('Вводные'!$B$88:$B$91,$B$64),"Нет")="Да")),1,0)</x:f>
      </x:c>
      <x:c r="AJ74" s="35" t="n">
        <x:f>IF(AND(AJ$3&gt;=$B$67,AJ$3&lt;EDATE($B$67,MAX(1,'Вводные'!$K$73)),AND($B$63="Да",IFERROR(INDEX('Вводные'!$B$88:$B$91,$B$64),"Нет")="Да")),1,0)</x:f>
      </x:c>
      <x:c r="AK74" s="35" t="n">
        <x:f>IF(AND(AK$3&gt;=$B$67,AK$3&lt;EDATE($B$67,MAX(1,'Вводные'!$K$73)),AND($B$63="Да",IFERROR(INDEX('Вводные'!$B$88:$B$91,$B$64),"Нет")="Да")),1,0)</x:f>
      </x:c>
      <x:c r="AL74" s="35" t="n">
        <x:f>IF(AND(AL$3&gt;=$B$67,AL$3&lt;EDATE($B$67,MAX(1,'Вводные'!$K$73)),AND($B$63="Да",IFERROR(INDEX('Вводные'!$B$88:$B$91,$B$64),"Нет")="Да")),1,0)</x:f>
      </x:c>
      <x:c r="AM74" s="35" t="n">
        <x:f>IF(AND(AM$3&gt;=$B$67,AM$3&lt;EDATE($B$67,MAX(1,'Вводные'!$K$73)),AND($B$63="Да",IFERROR(INDEX('Вводные'!$B$88:$B$91,$B$64),"Нет")="Да")),1,0)</x:f>
      </x:c>
      <x:c r="AN74" s="35" t="n">
        <x:f>IF(AND(AN$3&gt;=$B$67,AN$3&lt;EDATE($B$67,MAX(1,'Вводные'!$K$73)),AND($B$63="Да",IFERROR(INDEX('Вводные'!$B$88:$B$91,$B$64),"Нет")="Да")),1,0)</x:f>
      </x:c>
      <x:c r="AO74" s="35" t="n">
        <x:f>IF(AND(AO$3&gt;=$B$67,AO$3&lt;EDATE($B$67,MAX(1,'Вводные'!$K$73)),AND($B$63="Да",IFERROR(INDEX('Вводные'!$B$88:$B$91,$B$64),"Нет")="Да")),1,0)</x:f>
      </x:c>
      <x:c r="AP74" s="35" t="n">
        <x:f>IF(AND(AP$3&gt;=$B$67,AP$3&lt;EDATE($B$67,MAX(1,'Вводные'!$K$73)),AND($B$63="Да",IFERROR(INDEX('Вводные'!$B$88:$B$91,$B$64),"Нет")="Да")),1,0)</x:f>
      </x:c>
      <x:c r="AQ74" s="35" t="n">
        <x:f>IF(AND(AQ$3&gt;=$B$67,AQ$3&lt;EDATE($B$67,MAX(1,'Вводные'!$K$73)),AND($B$63="Да",IFERROR(INDEX('Вводные'!$B$88:$B$91,$B$64),"Нет")="Да")),1,0)</x:f>
      </x:c>
      <x:c r="AR74" s="35" t="n">
        <x:f>IF(AND(AR$3&gt;=$B$67,AR$3&lt;EDATE($B$67,MAX(1,'Вводные'!$K$73)),AND($B$63="Да",IFERROR(INDEX('Вводные'!$B$88:$B$91,$B$64),"Нет")="Да")),1,0)</x:f>
      </x:c>
      <x:c r="AS74" s="35" t="n">
        <x:f>IF(AND(AS$3&gt;=$B$67,AS$3&lt;EDATE($B$67,MAX(1,'Вводные'!$K$73)),AND($B$63="Да",IFERROR(INDEX('Вводные'!$B$88:$B$91,$B$64),"Нет")="Да")),1,0)</x:f>
      </x:c>
      <x:c r="AT74" s="35" t="n">
        <x:f>IF(AND(AT$3&gt;=$B$67,AT$3&lt;EDATE($B$67,MAX(1,'Вводные'!$K$73)),AND($B$63="Да",IFERROR(INDEX('Вводные'!$B$88:$B$91,$B$64),"Нет")="Да")),1,0)</x:f>
      </x:c>
      <x:c r="AU74" s="35" t="n">
        <x:f>IF(AND(AU$3&gt;=$B$67,AU$3&lt;EDATE($B$67,MAX(1,'Вводные'!$K$73)),AND($B$63="Да",IFERROR(INDEX('Вводные'!$B$88:$B$91,$B$64),"Нет")="Да")),1,0)</x:f>
      </x:c>
      <x:c r="AV74" s="35" t="n">
        <x:f>IF(AND(AV$3&gt;=$B$67,AV$3&lt;EDATE($B$67,MAX(1,'Вводные'!$K$73)),AND($B$63="Да",IFERROR(INDEX('Вводные'!$B$88:$B$91,$B$64),"Нет")="Да")),1,0)</x:f>
      </x:c>
      <x:c r="AW74" s="35" t="n">
        <x:f>IF(AND(AW$3&gt;=$B$67,AW$3&lt;EDATE($B$67,MAX(1,'Вводные'!$K$73)),AND($B$63="Да",IFERROR(INDEX('Вводные'!$B$88:$B$91,$B$64),"Нет")="Да")),1,0)</x:f>
      </x:c>
      <x:c r="AX74" s="35" t="n">
        <x:f>IF(AND(AX$3&gt;=$B$67,AX$3&lt;EDATE($B$67,MAX(1,'Вводные'!$K$73)),AND($B$63="Да",IFERROR(INDEX('Вводные'!$B$88:$B$91,$B$64),"Нет")="Да")),1,0)</x:f>
      </x:c>
      <x:c r="AY74" s="35" t="n">
        <x:f>IF(AND(AY$3&gt;=$B$67,AY$3&lt;EDATE($B$67,MAX(1,'Вводные'!$K$73)),AND($B$63="Да",IFERROR(INDEX('Вводные'!$B$88:$B$91,$B$64),"Нет")="Да")),1,0)</x:f>
      </x:c>
      <x:c r="AZ74" s="35" t="n">
        <x:f>IF(AND(AZ$3&gt;=$B$67,AZ$3&lt;EDATE($B$67,MAX(1,'Вводные'!$K$73)),AND($B$63="Да",IFERROR(INDEX('Вводные'!$B$88:$B$91,$B$64),"Нет")="Да")),1,0)</x:f>
      </x:c>
      <x:c r="BA74" s="35" t="n">
        <x:f>IF(AND(BA$3&gt;=$B$67,BA$3&lt;EDATE($B$67,MAX(1,'Вводные'!$K$73)),AND($B$63="Да",IFERROR(INDEX('Вводные'!$B$88:$B$91,$B$64),"Нет")="Да")),1,0)</x:f>
      </x:c>
      <x:c r="BB74" s="35" t="n">
        <x:f>IF(AND(BB$3&gt;=$B$67,BB$3&lt;EDATE($B$67,MAX(1,'Вводные'!$K$73)),AND($B$63="Да",IFERROR(INDEX('Вводные'!$B$88:$B$91,$B$64),"Нет")="Да")),1,0)</x:f>
      </x:c>
      <x:c r="BC74" s="35" t="n">
        <x:f>IF(AND(BC$3&gt;=$B$67,BC$3&lt;EDATE($B$67,MAX(1,'Вводные'!$K$73)),AND($B$63="Да",IFERROR(INDEX('Вводные'!$B$88:$B$91,$B$64),"Нет")="Да")),1,0)</x:f>
      </x:c>
      <x:c r="BD74" s="35" t="n">
        <x:f>IF(AND(BD$3&gt;=$B$67,BD$3&lt;EDATE($B$67,MAX(1,'Вводные'!$K$73)),AND($B$63="Да",IFERROR(INDEX('Вводные'!$B$88:$B$91,$B$64),"Нет")="Да")),1,0)</x:f>
      </x:c>
      <x:c r="BE74" s="35" t="n">
        <x:f>IF(AND(BE$3&gt;=$B$67,BE$3&lt;EDATE($B$67,MAX(1,'Вводные'!$K$73)),AND($B$63="Да",IFERROR(INDEX('Вводные'!$B$88:$B$91,$B$64),"Нет")="Да")),1,0)</x:f>
      </x:c>
      <x:c r="BF74" s="35" t="n">
        <x:f>IF(AND(BF$3&gt;=$B$67,BF$3&lt;EDATE($B$67,MAX(1,'Вводные'!$K$73)),AND($B$63="Да",IFERROR(INDEX('Вводные'!$B$88:$B$91,$B$64),"Нет")="Да")),1,0)</x:f>
      </x:c>
      <x:c r="BG74" s="35" t="n">
        <x:f>IF(AND(BG$3&gt;=$B$67,BG$3&lt;EDATE($B$67,MAX(1,'Вводные'!$K$73)),AND($B$63="Да",IFERROR(INDEX('Вводные'!$B$88:$B$91,$B$64),"Нет")="Да")),1,0)</x:f>
      </x:c>
      <x:c r="BH74" s="35" t="n">
        <x:f>IF(AND(BH$3&gt;=$B$67,BH$3&lt;EDATE($B$67,MAX(1,'Вводные'!$K$73)),AND($B$63="Да",IFERROR(INDEX('Вводные'!$B$88:$B$91,$B$64),"Нет")="Да")),1,0)</x:f>
      </x:c>
      <x:c r="BI74" s="35" t="n">
        <x:f>IF(AND(BI$3&gt;=$B$67,BI$3&lt;EDATE($B$67,MAX(1,'Вводные'!$K$73)),AND($B$63="Да",IFERROR(INDEX('Вводные'!$B$88:$B$91,$B$64),"Нет")="Да")),1,0)</x:f>
      </x:c>
      <x:c r="BJ74" s="35" t="n">
        <x:f>IF(AND(BJ$3&gt;=$B$67,BJ$3&lt;EDATE($B$67,MAX(1,'Вводные'!$K$73)),AND($B$63="Да",IFERROR(INDEX('Вводные'!$B$88:$B$91,$B$64),"Нет")="Да")),1,0)</x:f>
      </x:c>
      <x:c r="BK74" s="35" t="n">
        <x:f>IF(AND(BK$3&gt;=$B$67,BK$3&lt;EDATE($B$67,MAX(1,'Вводные'!$K$73)),AND($B$63="Да",IFERROR(INDEX('Вводные'!$B$88:$B$91,$B$64),"Нет")="Да")),1,0)</x:f>
      </x:c>
      <x:c r="BL74" s="35" t="n">
        <x:f>IF(AND(BL$3&gt;=$B$67,BL$3&lt;EDATE($B$67,MAX(1,'Вводные'!$K$73)),AND($B$63="Да",IFERROR(INDEX('Вводные'!$B$88:$B$91,$B$64),"Нет")="Да")),1,0)</x:f>
      </x:c>
      <x:c r="BM74" s="35" t="n">
        <x:f>IF(AND(BM$3&gt;=$B$67,BM$3&lt;EDATE($B$67,MAX(1,'Вводные'!$K$73)),AND($B$63="Да",IFERROR(INDEX('Вводные'!$B$88:$B$91,$B$64),"Нет")="Да")),1,0)</x:f>
      </x:c>
      <x:c r="BN74" s="35" t="n">
        <x:f>IF(AND(BN$3&gt;=$B$67,BN$3&lt;EDATE($B$67,MAX(1,'Вводные'!$K$73)),AND($B$63="Да",IFERROR(INDEX('Вводные'!$B$88:$B$91,$B$64),"Нет")="Да")),1,0)</x:f>
      </x:c>
      <x:c r="BO74" s="35" t="n">
        <x:f>IF(AND(BO$3&gt;=$B$67,BO$3&lt;EDATE($B$67,MAX(1,'Вводные'!$K$73)),AND($B$63="Да",IFERROR(INDEX('Вводные'!$B$88:$B$91,$B$64),"Нет")="Да")),1,0)</x:f>
      </x:c>
      <x:c r="BP74" s="35" t="n">
        <x:f>IF(AND(BP$3&gt;=$B$67,BP$3&lt;EDATE($B$67,MAX(1,'Вводные'!$K$73)),AND($B$63="Да",IFERROR(INDEX('Вводные'!$B$88:$B$91,$B$64),"Нет")="Да")),1,0)</x:f>
      </x:c>
      <x:c r="BQ74" s="35" t="n">
        <x:f>IF(AND(BQ$3&gt;=$B$67,BQ$3&lt;EDATE($B$67,MAX(1,'Вводные'!$K$73)),AND($B$63="Да",IFERROR(INDEX('Вводные'!$B$88:$B$91,$B$64),"Нет")="Да")),1,0)</x:f>
      </x:c>
      <x:c r="BR74" s="35" t="n">
        <x:f>IF(AND(BR$3&gt;=$B$67,BR$3&lt;EDATE($B$67,MAX(1,'Вводные'!$K$73)),AND($B$63="Да",IFERROR(INDEX('Вводные'!$B$88:$B$91,$B$64),"Нет")="Да")),1,0)</x:f>
      </x:c>
      <x:c r="BS74" s="35" t="n">
        <x:f>IF(AND(BS$3&gt;=$B$67,BS$3&lt;EDATE($B$67,MAX(1,'Вводные'!$K$73)),AND($B$63="Да",IFERROR(INDEX('Вводные'!$B$88:$B$91,$B$64),"Нет")="Да")),1,0)</x:f>
      </x:c>
      <x:c r="BT74" s="35" t="n">
        <x:f>IF(AND(BT$3&gt;=$B$67,BT$3&lt;EDATE($B$67,MAX(1,'Вводные'!$K$73)),AND($B$63="Да",IFERROR(INDEX('Вводные'!$B$88:$B$91,$B$64),"Нет")="Да")),1,0)</x:f>
      </x:c>
      <x:c r="BU74" s="35" t="n">
        <x:f>IF(AND(BU$3&gt;=$B$67,BU$3&lt;EDATE($B$67,MAX(1,'Вводные'!$K$73)),AND($B$63="Да",IFERROR(INDEX('Вводные'!$B$88:$B$91,$B$64),"Нет")="Да")),1,0)</x:f>
      </x:c>
      <x:c r="BV74" s="35" t="n">
        <x:f>IF(AND(BV$3&gt;=$B$67,BV$3&lt;EDATE($B$67,MAX(1,'Вводные'!$K$73)),AND($B$63="Да",IFERROR(INDEX('Вводные'!$B$88:$B$91,$B$64),"Нет")="Да")),1,0)</x:f>
      </x:c>
      <x:c r="BW74" s="35" t="n">
        <x:f>IF(AND(BW$3&gt;=$B$67,BW$3&lt;EDATE($B$67,MAX(1,'Вводные'!$K$73)),AND($B$63="Да",IFERROR(INDEX('Вводные'!$B$88:$B$91,$B$64),"Нет")="Да")),1,0)</x:f>
      </x:c>
      <x:c r="BX74" s="35" t="n">
        <x:f>IF(AND(BX$3&gt;=$B$67,BX$3&lt;EDATE($B$67,MAX(1,'Вводные'!$K$73)),AND($B$63="Да",IFERROR(INDEX('Вводные'!$B$88:$B$91,$B$64),"Нет")="Да")),1,0)</x:f>
      </x:c>
      <x:c r="BY74" s="35" t="n">
        <x:f>IF(AND(BY$3&gt;=$B$67,BY$3&lt;EDATE($B$67,MAX(1,'Вводные'!$K$73)),AND($B$63="Да",IFERROR(INDEX('Вводные'!$B$88:$B$91,$B$64),"Нет")="Да")),1,0)</x:f>
      </x:c>
      <x:c r="BZ74" s="35" t="n">
        <x:f>IF(AND(BZ$3&gt;=$B$67,BZ$3&lt;EDATE($B$67,MAX(1,'Вводные'!$K$73)),AND($B$63="Да",IFERROR(INDEX('Вводные'!$B$88:$B$91,$B$64),"Нет")="Да")),1,0)</x:f>
      </x:c>
      <x:c r="CA74" s="35" t="n">
        <x:f>IF(AND(CA$3&gt;=$B$67,CA$3&lt;EDATE($B$67,MAX(1,'Вводные'!$K$73)),AND($B$63="Да",IFERROR(INDEX('Вводные'!$B$88:$B$91,$B$64),"Нет")="Да")),1,0)</x:f>
      </x:c>
      <x:c r="CB74" s="35" t="n">
        <x:f>IF(AND(CB$3&gt;=$B$67,CB$3&lt;EDATE($B$67,MAX(1,'Вводные'!$K$73)),AND($B$63="Да",IFERROR(INDEX('Вводные'!$B$88:$B$91,$B$64),"Нет")="Да")),1,0)</x:f>
      </x:c>
      <x:c r="CC74" s="35" t="n">
        <x:f>IF(AND(CC$3&gt;=$B$67,CC$3&lt;EDATE($B$67,MAX(1,'Вводные'!$K$73)),AND($B$63="Да",IFERROR(INDEX('Вводные'!$B$88:$B$91,$B$64),"Нет")="Да")),1,0)</x:f>
      </x:c>
      <x:c r="CD74" s="35" t="n">
        <x:f>IF(AND(CD$3&gt;=$B$67,CD$3&lt;EDATE($B$67,MAX(1,'Вводные'!$K$73)),AND($B$63="Да",IFERROR(INDEX('Вводные'!$B$88:$B$91,$B$64),"Нет")="Да")),1,0)</x:f>
      </x:c>
      <x:c r="CE74" s="35" t="n">
        <x:f>IF(AND(CE$3&gt;=$B$67,CE$3&lt;EDATE($B$67,MAX(1,'Вводные'!$K$73)),AND($B$63="Да",IFERROR(INDEX('Вводные'!$B$88:$B$91,$B$64),"Нет")="Да")),1,0)</x:f>
      </x:c>
      <x:c r="CF74" s="35" t="n">
        <x:f>IF(AND(CF$3&gt;=$B$67,CF$3&lt;EDATE($B$67,MAX(1,'Вводные'!$K$73)),AND($B$63="Да",IFERROR(INDEX('Вводные'!$B$88:$B$91,$B$64),"Нет")="Да")),1,0)</x:f>
      </x:c>
      <x:c r="CG74" s="35" t="n">
        <x:f>IF(AND(CG$3&gt;=$B$67,CG$3&lt;EDATE($B$67,MAX(1,'Вводные'!$K$73)),AND($B$63="Да",IFERROR(INDEX('Вводные'!$B$88:$B$91,$B$64),"Нет")="Да")),1,0)</x:f>
      </x:c>
      <x:c r="CH74" s="35" t="n">
        <x:f>IF(AND(CH$3&gt;=$B$67,CH$3&lt;EDATE($B$67,MAX(1,'Вводные'!$K$73)),AND($B$63="Да",IFERROR(INDEX('Вводные'!$B$88:$B$91,$B$64),"Нет")="Да")),1,0)</x:f>
      </x:c>
      <x:c r="CI74" s="35" t="n">
        <x:f>IF(AND(CI$3&gt;=$B$67,CI$3&lt;EDATE($B$67,MAX(1,'Вводные'!$K$73)),AND($B$63="Да",IFERROR(INDEX('Вводные'!$B$88:$B$91,$B$64),"Нет")="Да")),1,0)</x:f>
      </x:c>
      <x:c r="CJ74" s="35" t="n">
        <x:f>IF(AND(CJ$3&gt;=$B$67,CJ$3&lt;EDATE($B$67,MAX(1,'Вводные'!$K$73)),AND($B$63="Да",IFERROR(INDEX('Вводные'!$B$88:$B$91,$B$64),"Нет")="Да")),1,0)</x:f>
      </x:c>
      <x:c r="CK74" s="35" t="n">
        <x:f>IF(AND(CK$3&gt;=$B$67,CK$3&lt;EDATE($B$67,MAX(1,'Вводные'!$K$73)),AND($B$63="Да",IFERROR(INDEX('Вводные'!$B$88:$B$91,$B$64),"Нет")="Да")),1,0)</x:f>
      </x:c>
      <x:c r="CL74" s="35" t="n">
        <x:f>IF(AND(CL$3&gt;=$B$67,CL$3&lt;EDATE($B$67,MAX(1,'Вводные'!$K$73)),AND($B$63="Да",IFERROR(INDEX('Вводные'!$B$88:$B$91,$B$64),"Нет")="Да")),1,0)</x:f>
      </x:c>
      <x:c r="CM74" s="35" t="n">
        <x:f>IF(AND(CM$3&gt;=$B$67,CM$3&lt;EDATE($B$67,MAX(1,'Вводные'!$K$73)),AND($B$63="Да",IFERROR(INDEX('Вводные'!$B$88:$B$91,$B$64),"Нет")="Да")),1,0)</x:f>
      </x:c>
      <x:c r="CN74" s="35" t="n">
        <x:f>IF(AND(CN$3&gt;=$B$67,CN$3&lt;EDATE($B$67,MAX(1,'Вводные'!$K$73)),AND($B$63="Да",IFERROR(INDEX('Вводные'!$B$88:$B$91,$B$64),"Нет")="Да")),1,0)</x:f>
      </x:c>
      <x:c r="CO74" s="35" t="n">
        <x:f>IF(AND(CO$3&gt;=$B$67,CO$3&lt;EDATE($B$67,MAX(1,'Вводные'!$K$73)),AND($B$63="Да",IFERROR(INDEX('Вводные'!$B$88:$B$91,$B$64),"Нет")="Да")),1,0)</x:f>
      </x:c>
      <x:c r="CP74" s="35" t="n">
        <x:f>IF(AND(CP$3&gt;=$B$67,CP$3&lt;EDATE($B$67,MAX(1,'Вводные'!$K$73)),AND($B$63="Да",IFERROR(INDEX('Вводные'!$B$88:$B$91,$B$64),"Нет")="Да")),1,0)</x:f>
      </x:c>
      <x:c r="CQ74" s="35" t="n">
        <x:f>IF(AND(CQ$3&gt;=$B$67,CQ$3&lt;EDATE($B$67,MAX(1,'Вводные'!$K$73)),AND($B$63="Да",IFERROR(INDEX('Вводные'!$B$88:$B$91,$B$64),"Нет")="Да")),1,0)</x:f>
      </x:c>
      <x:c r="CR74" s="35" t="n">
        <x:f>IF(AND(CR$3&gt;=$B$67,CR$3&lt;EDATE($B$67,MAX(1,'Вводные'!$K$73)),AND($B$63="Да",IFERROR(INDEX('Вводные'!$B$88:$B$91,$B$64),"Нет")="Да")),1,0)</x:f>
      </x:c>
      <x:c r="CS74" s="35" t="n">
        <x:f>IF(AND(CS$3&gt;=$B$67,CS$3&lt;EDATE($B$67,MAX(1,'Вводные'!$K$73)),AND($B$63="Да",IFERROR(INDEX('Вводные'!$B$88:$B$91,$B$64),"Нет")="Да")),1,0)</x:f>
      </x:c>
      <x:c r="CT74" s="35" t="n">
        <x:f>IF(AND(CT$3&gt;=$B$67,CT$3&lt;EDATE($B$67,MAX(1,'Вводные'!$K$73)),AND($B$63="Да",IFERROR(INDEX('Вводные'!$B$88:$B$91,$B$64),"Нет")="Да")),1,0)</x:f>
      </x:c>
      <x:c r="CU74" s="35" t="n">
        <x:f>IF(AND(CU$3&gt;=$B$67,CU$3&lt;EDATE($B$67,MAX(1,'Вводные'!$K$73)),AND($B$63="Да",IFERROR(INDEX('Вводные'!$B$88:$B$91,$B$64),"Нет")="Да")),1,0)</x:f>
      </x:c>
      <x:c r="CV74" s="35" t="n">
        <x:f>IF(AND(CV$3&gt;=$B$67,CV$3&lt;EDATE($B$67,MAX(1,'Вводные'!$K$73)),AND($B$63="Да",IFERROR(INDEX('Вводные'!$B$88:$B$91,$B$64),"Нет")="Да")),1,0)</x:f>
      </x:c>
      <x:c r="CW74" s="35" t="n">
        <x:f>IF(AND(CW$3&gt;=$B$67,CW$3&lt;EDATE($B$67,MAX(1,'Вводные'!$K$73)),AND($B$63="Да",IFERROR(INDEX('Вводные'!$B$88:$B$91,$B$64),"Нет")="Да")),1,0)</x:f>
      </x:c>
      <x:c r="CX74" s="35" t="n">
        <x:f>IF(AND(CX$3&gt;=$B$67,CX$3&lt;EDATE($B$67,MAX(1,'Вводные'!$K$73)),AND($B$63="Да",IFERROR(INDEX('Вводные'!$B$88:$B$91,$B$64),"Нет")="Да")),1,0)</x:f>
      </x:c>
      <x:c r="CY74" s="35" t="n">
        <x:f>IF(AND(CY$3&gt;=$B$67,CY$3&lt;EDATE($B$67,MAX(1,'Вводные'!$K$73)),AND($B$63="Да",IFERROR(INDEX('Вводные'!$B$88:$B$91,$B$64),"Нет")="Да")),1,0)</x:f>
      </x:c>
      <x:c r="CZ74" s="35" t="n">
        <x:f>IF(AND(CZ$3&gt;=$B$67,CZ$3&lt;EDATE($B$67,MAX(1,'Вводные'!$K$73)),AND($B$63="Да",IFERROR(INDEX('Вводные'!$B$88:$B$91,$B$64),"Нет")="Да")),1,0)</x:f>
      </x:c>
      <x:c r="DA74" s="35" t="n">
        <x:f>IF(AND(DA$3&gt;=$B$67,DA$3&lt;EDATE($B$67,MAX(1,'Вводные'!$K$73)),AND($B$63="Да",IFERROR(INDEX('Вводные'!$B$88:$B$91,$B$64),"Нет")="Да")),1,0)</x:f>
      </x:c>
      <x:c r="DB74" s="35" t="n">
        <x:f>IF(AND(DB$3&gt;=$B$67,DB$3&lt;EDATE($B$67,MAX(1,'Вводные'!$K$73)),AND($B$63="Да",IFERROR(INDEX('Вводные'!$B$88:$B$91,$B$64),"Нет")="Да")),1,0)</x:f>
      </x:c>
      <x:c r="DC74" s="35" t="n">
        <x:f>IF(AND(DC$3&gt;=$B$67,DC$3&lt;EDATE($B$67,MAX(1,'Вводные'!$K$73)),AND($B$63="Да",IFERROR(INDEX('Вводные'!$B$88:$B$91,$B$64),"Нет")="Да")),1,0)</x:f>
      </x:c>
      <x:c r="DD74" s="35" t="n">
        <x:f>IF(AND(DD$3&gt;=$B$67,DD$3&lt;EDATE($B$67,MAX(1,'Вводные'!$K$73)),AND($B$63="Да",IFERROR(INDEX('Вводные'!$B$88:$B$91,$B$64),"Нет")="Да")),1,0)</x:f>
      </x:c>
      <x:c r="DE74" s="35" t="n">
        <x:f>IF(AND(DE$3&gt;=$B$67,DE$3&lt;EDATE($B$67,MAX(1,'Вводные'!$K$73)),AND($B$63="Да",IFERROR(INDEX('Вводные'!$B$88:$B$91,$B$64),"Нет")="Да")),1,0)</x:f>
      </x:c>
      <x:c r="DF74" s="35" t="n">
        <x:f>IF(AND(DF$3&gt;=$B$67,DF$3&lt;EDATE($B$67,MAX(1,'Вводные'!$K$73)),AND($B$63="Да",IFERROR(INDEX('Вводные'!$B$88:$B$91,$B$64),"Нет")="Да")),1,0)</x:f>
      </x:c>
      <x:c r="DG74" s="35" t="n">
        <x:f>IF(AND(DG$3&gt;=$B$67,DG$3&lt;EDATE($B$67,MAX(1,'Вводные'!$K$73)),AND($B$63="Да",IFERROR(INDEX('Вводные'!$B$88:$B$91,$B$64),"Нет")="Да")),1,0)</x:f>
      </x:c>
      <x:c r="DH74" s="35" t="n">
        <x:f>IF(AND(DH$3&gt;=$B$67,DH$3&lt;EDATE($B$67,MAX(1,'Вводные'!$K$73)),AND($B$63="Да",IFERROR(INDEX('Вводные'!$B$88:$B$91,$B$64),"Нет")="Да")),1,0)</x:f>
      </x:c>
      <x:c r="DI74" s="35" t="n">
        <x:f>IF(AND(DI$3&gt;=$B$67,DI$3&lt;EDATE($B$67,MAX(1,'Вводные'!$K$73)),AND($B$63="Да",IFERROR(INDEX('Вводные'!$B$88:$B$91,$B$64),"Нет")="Да")),1,0)</x:f>
      </x:c>
      <x:c r="DJ74" s="35" t="n">
        <x:f>IF(AND(DJ$3&gt;=$B$67,DJ$3&lt;EDATE($B$67,MAX(1,'Вводные'!$K$73)),AND($B$63="Да",IFERROR(INDEX('Вводные'!$B$88:$B$91,$B$64),"Нет")="Да")),1,0)</x:f>
      </x:c>
      <x:c r="DK74" s="35" t="n">
        <x:f>IF(AND(DK$3&gt;=$B$67,DK$3&lt;EDATE($B$67,MAX(1,'Вводные'!$K$73)),AND($B$63="Да",IFERROR(INDEX('Вводные'!$B$88:$B$91,$B$64),"Нет")="Да")),1,0)</x:f>
      </x:c>
      <x:c r="DL74" s="35" t="n">
        <x:f>IF(AND(DL$3&gt;=$B$67,DL$3&lt;EDATE($B$67,MAX(1,'Вводные'!$K$73)),AND($B$63="Да",IFERROR(INDEX('Вводные'!$B$88:$B$91,$B$64),"Нет")="Да")),1,0)</x:f>
      </x:c>
      <x:c r="DM74" s="35" t="n">
        <x:f>IF(AND(DM$3&gt;=$B$67,DM$3&lt;EDATE($B$67,MAX(1,'Вводные'!$K$73)),AND($B$63="Да",IFERROR(INDEX('Вводные'!$B$88:$B$91,$B$64),"Нет")="Да")),1,0)</x:f>
      </x:c>
      <x:c r="DN74" s="35" t="n">
        <x:f>IF(AND(DN$3&gt;=$B$67,DN$3&lt;EDATE($B$67,MAX(1,'Вводные'!$K$73)),AND($B$63="Да",IFERROR(INDEX('Вводные'!$B$88:$B$91,$B$64),"Нет")="Да")),1,0)</x:f>
      </x:c>
      <x:c r="DO74" s="35" t="n">
        <x:f>IF(AND(DO$3&gt;=$B$67,DO$3&lt;EDATE($B$67,MAX(1,'Вводные'!$K$73)),AND($B$63="Да",IFERROR(INDEX('Вводные'!$B$88:$B$91,$B$64),"Нет")="Да")),1,0)</x:f>
      </x:c>
      <x:c r="DP74" s="35" t="n">
        <x:f>IF(AND(DP$3&gt;=$B$67,DP$3&lt;EDATE($B$67,MAX(1,'Вводные'!$K$73)),AND($B$63="Да",IFERROR(INDEX('Вводные'!$B$88:$B$91,$B$64),"Нет")="Да")),1,0)</x:f>
      </x:c>
      <x:c r="DQ74" s="35" t="n">
        <x:f>IF(AND(DQ$3&gt;=$B$67,DQ$3&lt;EDATE($B$67,MAX(1,'Вводные'!$K$73)),AND($B$63="Да",IFERROR(INDEX('Вводные'!$B$88:$B$91,$B$64),"Нет")="Да")),1,0)</x:f>
      </x:c>
      <x:c r="DR74" s="35" t="n">
        <x:f>IF(AND(DR$3&gt;=$B$67,DR$3&lt;EDATE($B$67,MAX(1,'Вводные'!$K$73)),AND($B$63="Да",IFERROR(INDEX('Вводные'!$B$88:$B$91,$B$64),"Нет")="Да")),1,0)</x:f>
      </x:c>
      <x:c r="DS74" s="35" t="n">
        <x:f>IF(AND(DS$3&gt;=$B$67,DS$3&lt;EDATE($B$67,MAX(1,'Вводные'!$K$73)),AND($B$63="Да",IFERROR(INDEX('Вводные'!$B$88:$B$91,$B$64),"Нет")="Да")),1,0)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IF(D$3&lt;EDATE(INDEX('Вводные'!$D$88:$D$91,$B$64),INDEX('Вводные'!$E$88:$E$91,$B$64)+INDEX('Вводные'!$F$88:$F$91,$B$64)+'Вводные'!$H$9),D80,0)</x:f>
      </x:c>
      <x:c r="E81" s="107" t="n">
        <x:f>IF(E$3&lt;EDATE(INDEX('Вводные'!$D$88:$D$91,$B$64),INDEX('Вводные'!$E$88:$E$91,$B$64)+INDEX('Вводные'!$F$88:$F$91,$B$64)+'Вводные'!$H$9),E80,0)</x:f>
      </x:c>
      <x:c r="F81" s="107" t="n">
        <x:f>IF(F$3&lt;EDATE(INDEX('Вводные'!$D$88:$D$91,$B$64),INDEX('Вводные'!$E$88:$E$91,$B$64)+INDEX('Вводные'!$F$88:$F$91,$B$64)+'Вводные'!$H$9),F80,0)</x:f>
      </x:c>
      <x:c r="G81" s="107" t="n">
        <x:f>IF(G$3&lt;EDATE(INDEX('Вводные'!$D$88:$D$91,$B$64),INDEX('Вводные'!$E$88:$E$91,$B$64)+INDEX('Вводные'!$F$88:$F$91,$B$64)+'Вводные'!$H$9),G80,0)</x:f>
      </x:c>
      <x:c r="H81" s="107" t="n">
        <x:f>IF(H$3&lt;EDATE(INDEX('Вводные'!$D$88:$D$91,$B$64),INDEX('Вводные'!$E$88:$E$91,$B$64)+INDEX('Вводные'!$F$88:$F$91,$B$64)+'Вводные'!$H$9),H80,0)</x:f>
      </x:c>
      <x:c r="I81" s="107" t="n">
        <x:f>IF(I$3&lt;EDATE(INDEX('Вводные'!$D$88:$D$91,$B$64),INDEX('Вводные'!$E$88:$E$91,$B$64)+INDEX('Вводные'!$F$88:$F$91,$B$64)+'Вводные'!$H$9),I80,0)</x:f>
      </x:c>
      <x:c r="J81" s="107" t="n">
        <x:f>IF(J$3&lt;EDATE(INDEX('Вводные'!$D$88:$D$91,$B$64),INDEX('Вводные'!$E$88:$E$91,$B$64)+INDEX('Вводные'!$F$88:$F$91,$B$64)+'Вводные'!$H$9),J80,0)</x:f>
      </x:c>
      <x:c r="K81" s="107" t="n">
        <x:f>IF(K$3&lt;EDATE(INDEX('Вводные'!$D$88:$D$91,$B$64),INDEX('Вводные'!$E$88:$E$91,$B$64)+INDEX('Вводные'!$F$88:$F$91,$B$64)+'Вводные'!$H$9),K80,0)</x:f>
      </x:c>
      <x:c r="L81" s="107" t="n">
        <x:f>IF(L$3&lt;EDATE(INDEX('Вводные'!$D$88:$D$91,$B$64),INDEX('Вводные'!$E$88:$E$91,$B$64)+INDEX('Вводные'!$F$88:$F$91,$B$64)+'Вводные'!$H$9),L80,0)</x:f>
      </x:c>
      <x:c r="M81" s="107" t="n">
        <x:f>IF(M$3&lt;EDATE(INDEX('Вводные'!$D$88:$D$91,$B$64),INDEX('Вводные'!$E$88:$E$91,$B$64)+INDEX('Вводные'!$F$88:$F$91,$B$64)+'Вводные'!$H$9),M80,0)</x:f>
      </x:c>
      <x:c r="N81" s="107" t="n">
        <x:f>IF(N$3&lt;EDATE(INDEX('Вводные'!$D$88:$D$91,$B$64),INDEX('Вводные'!$E$88:$E$91,$B$64)+INDEX('Вводные'!$F$88:$F$91,$B$64)+'Вводные'!$H$9),N80,0)</x:f>
      </x:c>
      <x:c r="O81" s="107" t="n">
        <x:f>IF(O$3&lt;EDATE(INDEX('Вводные'!$D$88:$D$91,$B$64),INDEX('Вводные'!$E$88:$E$91,$B$64)+INDEX('Вводные'!$F$88:$F$91,$B$64)+'Вводные'!$H$9),O80,0)</x:f>
      </x:c>
      <x:c r="P81" s="107" t="n">
        <x:f>IF(P$3&lt;EDATE(INDEX('Вводные'!$D$88:$D$91,$B$64),INDEX('Вводные'!$E$88:$E$91,$B$64)+INDEX('Вводные'!$F$88:$F$91,$B$64)+'Вводные'!$H$9),P80,0)</x:f>
      </x:c>
      <x:c r="Q81" s="107" t="n">
        <x:f>IF(Q$3&lt;EDATE(INDEX('Вводные'!$D$88:$D$91,$B$64),INDEX('Вводные'!$E$88:$E$91,$B$64)+INDEX('Вводные'!$F$88:$F$91,$B$64)+'Вводные'!$H$9),Q80,0)</x:f>
      </x:c>
      <x:c r="R81" s="107" t="n">
        <x:f>IF(R$3&lt;EDATE(INDEX('Вводные'!$D$88:$D$91,$B$64),INDEX('Вводные'!$E$88:$E$91,$B$64)+INDEX('Вводные'!$F$88:$F$91,$B$64)+'Вводные'!$H$9),R80,0)</x:f>
      </x:c>
      <x:c r="S81" s="107" t="n">
        <x:f>IF(S$3&lt;EDATE(INDEX('Вводные'!$D$88:$D$91,$B$64),INDEX('Вводные'!$E$88:$E$91,$B$64)+INDEX('Вводные'!$F$88:$F$91,$B$64)+'Вводные'!$H$9),S80,0)</x:f>
      </x:c>
      <x:c r="T81" s="107" t="n">
        <x:f>IF(T$3&lt;EDATE(INDEX('Вводные'!$D$88:$D$91,$B$64),INDEX('Вводные'!$E$88:$E$91,$B$64)+INDEX('Вводные'!$F$88:$F$91,$B$64)+'Вводные'!$H$9),T80,0)</x:f>
      </x:c>
      <x:c r="U81" s="107" t="n">
        <x:f>IF(U$3&lt;EDATE(INDEX('Вводные'!$D$88:$D$91,$B$64),INDEX('Вводные'!$E$88:$E$91,$B$64)+INDEX('Вводные'!$F$88:$F$91,$B$64)+'Вводные'!$H$9),U80,0)</x:f>
      </x:c>
      <x:c r="V81" s="107" t="n">
        <x:f>IF(V$3&lt;EDATE(INDEX('Вводные'!$D$88:$D$91,$B$64),INDEX('Вводные'!$E$88:$E$91,$B$64)+INDEX('Вводные'!$F$88:$F$91,$B$64)+'Вводные'!$H$9),V80,0)</x:f>
      </x:c>
      <x:c r="W81" s="107" t="n">
        <x:f>IF(W$3&lt;EDATE(INDEX('Вводные'!$D$88:$D$91,$B$64),INDEX('Вводные'!$E$88:$E$91,$B$64)+INDEX('Вводные'!$F$88:$F$91,$B$64)+'Вводные'!$H$9),W80,0)</x:f>
      </x:c>
      <x:c r="X81" s="107" t="n">
        <x:f>IF(X$3&lt;EDATE(INDEX('Вводные'!$D$88:$D$91,$B$64),INDEX('Вводные'!$E$88:$E$91,$B$64)+INDEX('Вводные'!$F$88:$F$91,$B$64)+'Вводные'!$H$9),X80,0)</x:f>
      </x:c>
      <x:c r="Y81" s="107" t="n">
        <x:f>IF(Y$3&lt;EDATE(INDEX('Вводные'!$D$88:$D$91,$B$64),INDEX('Вводные'!$E$88:$E$91,$B$64)+INDEX('Вводные'!$F$88:$F$91,$B$64)+'Вводные'!$H$9),Y80,0)</x:f>
      </x:c>
      <x:c r="Z81" s="107" t="n">
        <x:f>IF(Z$3&lt;EDATE(INDEX('Вводные'!$D$88:$D$91,$B$64),INDEX('Вводные'!$E$88:$E$91,$B$64)+INDEX('Вводные'!$F$88:$F$91,$B$64)+'Вводные'!$H$9),Z80,0)</x:f>
      </x:c>
      <x:c r="AA81" s="107" t="n">
        <x:f>IF(AA$3&lt;EDATE(INDEX('Вводные'!$D$88:$D$91,$B$64),INDEX('Вводные'!$E$88:$E$91,$B$64)+INDEX('Вводные'!$F$88:$F$91,$B$64)+'Вводные'!$H$9),AA80,0)</x:f>
      </x:c>
      <x:c r="AB81" s="107" t="n">
        <x:f>IF(AB$3&lt;EDATE(INDEX('Вводные'!$D$88:$D$91,$B$64),INDEX('Вводные'!$E$88:$E$91,$B$64)+INDEX('Вводные'!$F$88:$F$91,$B$64)+'Вводные'!$H$9),AB80,0)</x:f>
      </x:c>
      <x:c r="AC81" s="107" t="n">
        <x:f>IF(AC$3&lt;EDATE(INDEX('Вводные'!$D$88:$D$91,$B$64),INDEX('Вводные'!$E$88:$E$91,$B$64)+INDEX('Вводные'!$F$88:$F$91,$B$64)+'Вводные'!$H$9),AC80,0)</x:f>
      </x:c>
      <x:c r="AD81" s="107" t="n">
        <x:f>IF(AD$3&lt;EDATE(INDEX('Вводные'!$D$88:$D$91,$B$64),INDEX('Вводные'!$E$88:$E$91,$B$64)+INDEX('Вводные'!$F$88:$F$91,$B$64)+'Вводные'!$H$9),AD80,0)</x:f>
      </x:c>
      <x:c r="AE81" s="107" t="n">
        <x:f>IF(AE$3&lt;EDATE(INDEX('Вводные'!$D$88:$D$91,$B$64),INDEX('Вводные'!$E$88:$E$91,$B$64)+INDEX('Вводные'!$F$88:$F$91,$B$64)+'Вводные'!$H$9),AE80,0)</x:f>
      </x:c>
      <x:c r="AF81" s="107" t="n">
        <x:f>IF(AF$3&lt;EDATE(INDEX('Вводные'!$D$88:$D$91,$B$64),INDEX('Вводные'!$E$88:$E$91,$B$64)+INDEX('Вводные'!$F$88:$F$91,$B$64)+'Вводные'!$H$9),AF80,0)</x:f>
      </x:c>
      <x:c r="AG81" s="107" t="n">
        <x:f>IF(AG$3&lt;EDATE(INDEX('Вводные'!$D$88:$D$91,$B$64),INDEX('Вводные'!$E$88:$E$91,$B$64)+INDEX('Вводные'!$F$88:$F$91,$B$64)+'Вводные'!$H$9),AG80,0)</x:f>
      </x:c>
      <x:c r="AH81" s="107" t="n">
        <x:f>IF(AH$3&lt;EDATE(INDEX('Вводные'!$D$88:$D$91,$B$64),INDEX('Вводные'!$E$88:$E$91,$B$64)+INDEX('Вводные'!$F$88:$F$91,$B$64)+'Вводные'!$H$9),AH80,0)</x:f>
      </x:c>
      <x:c r="AI81" s="107" t="n">
        <x:f>IF(AI$3&lt;EDATE(INDEX('Вводные'!$D$88:$D$91,$B$64),INDEX('Вводные'!$E$88:$E$91,$B$64)+INDEX('Вводные'!$F$88:$F$91,$B$64)+'Вводные'!$H$9),AI80,0)</x:f>
      </x:c>
      <x:c r="AJ81" s="107" t="n">
        <x:f>IF(AJ$3&lt;EDATE(INDEX('Вводные'!$D$88:$D$91,$B$64),INDEX('Вводные'!$E$88:$E$91,$B$64)+INDEX('Вводные'!$F$88:$F$91,$B$64)+'Вводные'!$H$9),AJ80,0)</x:f>
      </x:c>
      <x:c r="AK81" s="107" t="n">
        <x:f>IF(AK$3&lt;EDATE(INDEX('Вводные'!$D$88:$D$91,$B$64),INDEX('Вводные'!$E$88:$E$91,$B$64)+INDEX('Вводные'!$F$88:$F$91,$B$64)+'Вводные'!$H$9),AK80,0)</x:f>
      </x:c>
      <x:c r="AL81" s="107" t="n">
        <x:f>IF(AL$3&lt;EDATE(INDEX('Вводные'!$D$88:$D$91,$B$64),INDEX('Вводные'!$E$88:$E$91,$B$64)+INDEX('Вводные'!$F$88:$F$91,$B$64)+'Вводные'!$H$9),AL80,0)</x:f>
      </x:c>
      <x:c r="AM81" s="107" t="n">
        <x:f>IF(AM$3&lt;EDATE(INDEX('Вводные'!$D$88:$D$91,$B$64),INDEX('Вводные'!$E$88:$E$91,$B$64)+INDEX('Вводные'!$F$88:$F$91,$B$64)+'Вводные'!$H$9),AM80,0)</x:f>
      </x:c>
      <x:c r="AN81" s="107" t="n">
        <x:f>IF(AN$3&lt;EDATE(INDEX('Вводные'!$D$88:$D$91,$B$64),INDEX('Вводные'!$E$88:$E$91,$B$64)+INDEX('Вводные'!$F$88:$F$91,$B$64)+'Вводные'!$H$9),AN80,0)</x:f>
      </x:c>
      <x:c r="AO81" s="107" t="n">
        <x:f>IF(AO$3&lt;EDATE(INDEX('Вводные'!$D$88:$D$91,$B$64),INDEX('Вводные'!$E$88:$E$91,$B$64)+INDEX('Вводные'!$F$88:$F$91,$B$64)+'Вводные'!$H$9),AO80,0)</x:f>
      </x:c>
      <x:c r="AP81" s="107" t="n">
        <x:f>IF(AP$3&lt;EDATE(INDEX('Вводные'!$D$88:$D$91,$B$64),INDEX('Вводные'!$E$88:$E$91,$B$64)+INDEX('Вводные'!$F$88:$F$91,$B$64)+'Вводные'!$H$9),AP80,0)</x:f>
      </x:c>
      <x:c r="AQ81" s="107" t="n">
        <x:f>IF(AQ$3&lt;EDATE(INDEX('Вводные'!$D$88:$D$91,$B$64),INDEX('Вводные'!$E$88:$E$91,$B$64)+INDEX('Вводные'!$F$88:$F$91,$B$64)+'Вводные'!$H$9),AQ80,0)</x:f>
      </x:c>
      <x:c r="AR81" s="107" t="n">
        <x:f>IF(AR$3&lt;EDATE(INDEX('Вводные'!$D$88:$D$91,$B$64),INDEX('Вводные'!$E$88:$E$91,$B$64)+INDEX('Вводные'!$F$88:$F$91,$B$64)+'Вводные'!$H$9),AR80,0)</x:f>
      </x:c>
      <x:c r="AS81" s="107" t="n">
        <x:f>IF(AS$3&lt;EDATE(INDEX('Вводные'!$D$88:$D$91,$B$64),INDEX('Вводные'!$E$88:$E$91,$B$64)+INDEX('Вводные'!$F$88:$F$91,$B$64)+'Вводные'!$H$9),AS80,0)</x:f>
      </x:c>
      <x:c r="AT81" s="107" t="n">
        <x:f>IF(AT$3&lt;EDATE(INDEX('Вводные'!$D$88:$D$91,$B$64),INDEX('Вводные'!$E$88:$E$91,$B$64)+INDEX('Вводные'!$F$88:$F$91,$B$64)+'Вводные'!$H$9),AT80,0)</x:f>
      </x:c>
      <x:c r="AU81" s="107" t="n">
        <x:f>IF(AU$3&lt;EDATE(INDEX('Вводные'!$D$88:$D$91,$B$64),INDEX('Вводные'!$E$88:$E$91,$B$64)+INDEX('Вводные'!$F$88:$F$91,$B$64)+'Вводные'!$H$9),AU80,0)</x:f>
      </x:c>
      <x:c r="AV81" s="107" t="n">
        <x:f>IF(AV$3&lt;EDATE(INDEX('Вводные'!$D$88:$D$91,$B$64),INDEX('Вводные'!$E$88:$E$91,$B$64)+INDEX('Вводные'!$F$88:$F$91,$B$64)+'Вводные'!$H$9),AV80,0)</x:f>
      </x:c>
      <x:c r="AW81" s="107" t="n">
        <x:f>IF(AW$3&lt;EDATE(INDEX('Вводные'!$D$88:$D$91,$B$64),INDEX('Вводные'!$E$88:$E$91,$B$64)+INDEX('Вводные'!$F$88:$F$91,$B$64)+'Вводные'!$H$9),AW80,0)</x:f>
      </x:c>
      <x:c r="AX81" s="107" t="n">
        <x:f>IF(AX$3&lt;EDATE(INDEX('Вводные'!$D$88:$D$91,$B$64),INDEX('Вводные'!$E$88:$E$91,$B$64)+INDEX('Вводные'!$F$88:$F$91,$B$64)+'Вводные'!$H$9),AX80,0)</x:f>
      </x:c>
      <x:c r="AY81" s="107" t="n">
        <x:f>IF(AY$3&lt;EDATE(INDEX('Вводные'!$D$88:$D$91,$B$64),INDEX('Вводные'!$E$88:$E$91,$B$64)+INDEX('Вводные'!$F$88:$F$91,$B$64)+'Вводные'!$H$9),AY80,0)</x:f>
      </x:c>
      <x:c r="AZ81" s="107" t="n">
        <x:f>IF(AZ$3&lt;EDATE(INDEX('Вводные'!$D$88:$D$91,$B$64),INDEX('Вводные'!$E$88:$E$91,$B$64)+INDEX('Вводные'!$F$88:$F$91,$B$64)+'Вводные'!$H$9),AZ80,0)</x:f>
      </x:c>
      <x:c r="BA81" s="107" t="n">
        <x:f>IF(BA$3&lt;EDATE(INDEX('Вводные'!$D$88:$D$91,$B$64),INDEX('Вводные'!$E$88:$E$91,$B$64)+INDEX('Вводные'!$F$88:$F$91,$B$64)+'Вводные'!$H$9),BA80,0)</x:f>
      </x:c>
      <x:c r="BB81" s="107" t="n">
        <x:f>IF(BB$3&lt;EDATE(INDEX('Вводные'!$D$88:$D$91,$B$64),INDEX('Вводные'!$E$88:$E$91,$B$64)+INDEX('Вводные'!$F$88:$F$91,$B$64)+'Вводные'!$H$9),BB80,0)</x:f>
      </x:c>
      <x:c r="BC81" s="107" t="n">
        <x:f>IF(BC$3&lt;EDATE(INDEX('Вводные'!$D$88:$D$91,$B$64),INDEX('Вводные'!$E$88:$E$91,$B$64)+INDEX('Вводные'!$F$88:$F$91,$B$64)+'Вводные'!$H$9),BC80,0)</x:f>
      </x:c>
      <x:c r="BD81" s="107" t="n">
        <x:f>IF(BD$3&lt;EDATE(INDEX('Вводные'!$D$88:$D$91,$B$64),INDEX('Вводные'!$E$88:$E$91,$B$64)+INDEX('Вводные'!$F$88:$F$91,$B$64)+'Вводные'!$H$9),BD80,0)</x:f>
      </x:c>
      <x:c r="BE81" s="107" t="n">
        <x:f>IF(BE$3&lt;EDATE(INDEX('Вводные'!$D$88:$D$91,$B$64),INDEX('Вводные'!$E$88:$E$91,$B$64)+INDEX('Вводные'!$F$88:$F$91,$B$64)+'Вводные'!$H$9),BE80,0)</x:f>
      </x:c>
      <x:c r="BF81" s="107" t="n">
        <x:f>IF(BF$3&lt;EDATE(INDEX('Вводные'!$D$88:$D$91,$B$64),INDEX('Вводные'!$E$88:$E$91,$B$64)+INDEX('Вводные'!$F$88:$F$91,$B$64)+'Вводные'!$H$9),BF80,0)</x:f>
      </x:c>
      <x:c r="BG81" s="107" t="n">
        <x:f>IF(BG$3&lt;EDATE(INDEX('Вводные'!$D$88:$D$91,$B$64),INDEX('Вводные'!$E$88:$E$91,$B$64)+INDEX('Вводные'!$F$88:$F$91,$B$64)+'Вводные'!$H$9),BG80,0)</x:f>
      </x:c>
      <x:c r="BH81" s="107" t="n">
        <x:f>IF(BH$3&lt;EDATE(INDEX('Вводные'!$D$88:$D$91,$B$64),INDEX('Вводные'!$E$88:$E$91,$B$64)+INDEX('Вводные'!$F$88:$F$91,$B$64)+'Вводные'!$H$9),BH80,0)</x:f>
      </x:c>
      <x:c r="BI81" s="107" t="n">
        <x:f>IF(BI$3&lt;EDATE(INDEX('Вводные'!$D$88:$D$91,$B$64),INDEX('Вводные'!$E$88:$E$91,$B$64)+INDEX('Вводные'!$F$88:$F$91,$B$64)+'Вводные'!$H$9),BI80,0)</x:f>
      </x:c>
      <x:c r="BJ81" s="107" t="n">
        <x:f>IF(BJ$3&lt;EDATE(INDEX('Вводные'!$D$88:$D$91,$B$64),INDEX('Вводные'!$E$88:$E$91,$B$64)+INDEX('Вводные'!$F$88:$F$91,$B$64)+'Вводные'!$H$9),BJ80,0)</x:f>
      </x:c>
      <x:c r="BK81" s="107" t="n">
        <x:f>IF(BK$3&lt;EDATE(INDEX('Вводные'!$D$88:$D$91,$B$64),INDEX('Вводные'!$E$88:$E$91,$B$64)+INDEX('Вводные'!$F$88:$F$91,$B$64)+'Вводные'!$H$9),BK80,0)</x:f>
      </x:c>
      <x:c r="BL81" s="107" t="n">
        <x:f>IF(BL$3&lt;EDATE(INDEX('Вводные'!$D$88:$D$91,$B$64),INDEX('Вводные'!$E$88:$E$91,$B$64)+INDEX('Вводные'!$F$88:$F$91,$B$64)+'Вводные'!$H$9),BL80,0)</x:f>
      </x:c>
      <x:c r="BM81" s="107" t="n">
        <x:f>IF(BM$3&lt;EDATE(INDEX('Вводные'!$D$88:$D$91,$B$64),INDEX('Вводные'!$E$88:$E$91,$B$64)+INDEX('Вводные'!$F$88:$F$91,$B$64)+'Вводные'!$H$9),BM80,0)</x:f>
      </x:c>
      <x:c r="BN81" s="107" t="n">
        <x:f>IF(BN$3&lt;EDATE(INDEX('Вводные'!$D$88:$D$91,$B$64),INDEX('Вводные'!$E$88:$E$91,$B$64)+INDEX('Вводные'!$F$88:$F$91,$B$64)+'Вводные'!$H$9),BN80,0)</x:f>
      </x:c>
      <x:c r="BO81" s="107" t="n">
        <x:f>IF(BO$3&lt;EDATE(INDEX('Вводные'!$D$88:$D$91,$B$64),INDEX('Вводные'!$E$88:$E$91,$B$64)+INDEX('Вводные'!$F$88:$F$91,$B$64)+'Вводные'!$H$9),BO80,0)</x:f>
      </x:c>
      <x:c r="BP81" s="107" t="n">
        <x:f>IF(BP$3&lt;EDATE(INDEX('Вводные'!$D$88:$D$91,$B$64),INDEX('Вводные'!$E$88:$E$91,$B$64)+INDEX('Вводные'!$F$88:$F$91,$B$64)+'Вводные'!$H$9),BP80,0)</x:f>
      </x:c>
      <x:c r="BQ81" s="107" t="n">
        <x:f>IF(BQ$3&lt;EDATE(INDEX('Вводные'!$D$88:$D$91,$B$64),INDEX('Вводные'!$E$88:$E$91,$B$64)+INDEX('Вводные'!$F$88:$F$91,$B$64)+'Вводные'!$H$9),BQ80,0)</x:f>
      </x:c>
      <x:c r="BR81" s="107" t="n">
        <x:f>IF(BR$3&lt;EDATE(INDEX('Вводные'!$D$88:$D$91,$B$64),INDEX('Вводные'!$E$88:$E$91,$B$64)+INDEX('Вводные'!$F$88:$F$91,$B$64)+'Вводные'!$H$9),BR80,0)</x:f>
      </x:c>
      <x:c r="BS81" s="107" t="n">
        <x:f>IF(BS$3&lt;EDATE(INDEX('Вводные'!$D$88:$D$91,$B$64),INDEX('Вводные'!$E$88:$E$91,$B$64)+INDEX('Вводные'!$F$88:$F$91,$B$64)+'Вводные'!$H$9),BS80,0)</x:f>
      </x:c>
      <x:c r="BT81" s="107" t="n">
        <x:f>IF(BT$3&lt;EDATE(INDEX('Вводные'!$D$88:$D$91,$B$64),INDEX('Вводные'!$E$88:$E$91,$B$64)+INDEX('Вводные'!$F$88:$F$91,$B$64)+'Вводные'!$H$9),BT80,0)</x:f>
      </x:c>
      <x:c r="BU81" s="107" t="n">
        <x:f>IF(BU$3&lt;EDATE(INDEX('Вводные'!$D$88:$D$91,$B$64),INDEX('Вводные'!$E$88:$E$91,$B$64)+INDEX('Вводные'!$F$88:$F$91,$B$64)+'Вводные'!$H$9),BU80,0)</x:f>
      </x:c>
      <x:c r="BV81" s="107" t="n">
        <x:f>IF(BV$3&lt;EDATE(INDEX('Вводные'!$D$88:$D$91,$B$64),INDEX('Вводные'!$E$88:$E$91,$B$64)+INDEX('Вводные'!$F$88:$F$91,$B$64)+'Вводные'!$H$9),BV80,0)</x:f>
      </x:c>
      <x:c r="BW81" s="107" t="n">
        <x:f>IF(BW$3&lt;EDATE(INDEX('Вводные'!$D$88:$D$91,$B$64),INDEX('Вводные'!$E$88:$E$91,$B$64)+INDEX('Вводные'!$F$88:$F$91,$B$64)+'Вводные'!$H$9),BW80,0)</x:f>
      </x:c>
      <x:c r="BX81" s="107" t="n">
        <x:f>IF(BX$3&lt;EDATE(INDEX('Вводные'!$D$88:$D$91,$B$64),INDEX('Вводные'!$E$88:$E$91,$B$64)+INDEX('Вводные'!$F$88:$F$91,$B$64)+'Вводные'!$H$9),BX80,0)</x:f>
      </x:c>
      <x:c r="BY81" s="107" t="n">
        <x:f>IF(BY$3&lt;EDATE(INDEX('Вводные'!$D$88:$D$91,$B$64),INDEX('Вводные'!$E$88:$E$91,$B$64)+INDEX('Вводные'!$F$88:$F$91,$B$64)+'Вводные'!$H$9),BY80,0)</x:f>
      </x:c>
      <x:c r="BZ81" s="107" t="n">
        <x:f>IF(BZ$3&lt;EDATE(INDEX('Вводные'!$D$88:$D$91,$B$64),INDEX('Вводные'!$E$88:$E$91,$B$64)+INDEX('Вводные'!$F$88:$F$91,$B$64)+'Вводные'!$H$9),BZ80,0)</x:f>
      </x:c>
      <x:c r="CA81" s="107" t="n">
        <x:f>IF(CA$3&lt;EDATE(INDEX('Вводные'!$D$88:$D$91,$B$64),INDEX('Вводные'!$E$88:$E$91,$B$64)+INDEX('Вводные'!$F$88:$F$91,$B$64)+'Вводные'!$H$9),CA80,0)</x:f>
      </x:c>
      <x:c r="CB81" s="107" t="n">
        <x:f>IF(CB$3&lt;EDATE(INDEX('Вводные'!$D$88:$D$91,$B$64),INDEX('Вводные'!$E$88:$E$91,$B$64)+INDEX('Вводные'!$F$88:$F$91,$B$64)+'Вводные'!$H$9),CB80,0)</x:f>
      </x:c>
      <x:c r="CC81" s="107" t="n">
        <x:f>IF(CC$3&lt;EDATE(INDEX('Вводные'!$D$88:$D$91,$B$64),INDEX('Вводные'!$E$88:$E$91,$B$64)+INDEX('Вводные'!$F$88:$F$91,$B$64)+'Вводные'!$H$9),CC80,0)</x:f>
      </x:c>
      <x:c r="CD81" s="107" t="n">
        <x:f>IF(CD$3&lt;EDATE(INDEX('Вводные'!$D$88:$D$91,$B$64),INDEX('Вводные'!$E$88:$E$91,$B$64)+INDEX('Вводные'!$F$88:$F$91,$B$64)+'Вводные'!$H$9),CD80,0)</x:f>
      </x:c>
      <x:c r="CE81" s="107" t="n">
        <x:f>IF(CE$3&lt;EDATE(INDEX('Вводные'!$D$88:$D$91,$B$64),INDEX('Вводные'!$E$88:$E$91,$B$64)+INDEX('Вводные'!$F$88:$F$91,$B$64)+'Вводные'!$H$9),CE80,0)</x:f>
      </x:c>
      <x:c r="CF81" s="107" t="n">
        <x:f>IF(CF$3&lt;EDATE(INDEX('Вводные'!$D$88:$D$91,$B$64),INDEX('Вводные'!$E$88:$E$91,$B$64)+INDEX('Вводные'!$F$88:$F$91,$B$64)+'Вводные'!$H$9),CF80,0)</x:f>
      </x:c>
      <x:c r="CG81" s="107" t="n">
        <x:f>IF(CG$3&lt;EDATE(INDEX('Вводные'!$D$88:$D$91,$B$64),INDEX('Вводные'!$E$88:$E$91,$B$64)+INDEX('Вводные'!$F$88:$F$91,$B$64)+'Вводные'!$H$9),CG80,0)</x:f>
      </x:c>
      <x:c r="CH81" s="107" t="n">
        <x:f>IF(CH$3&lt;EDATE(INDEX('Вводные'!$D$88:$D$91,$B$64),INDEX('Вводные'!$E$88:$E$91,$B$64)+INDEX('Вводные'!$F$88:$F$91,$B$64)+'Вводные'!$H$9),CH80,0)</x:f>
      </x:c>
      <x:c r="CI81" s="107" t="n">
        <x:f>IF(CI$3&lt;EDATE(INDEX('Вводные'!$D$88:$D$91,$B$64),INDEX('Вводные'!$E$88:$E$91,$B$64)+INDEX('Вводные'!$F$88:$F$91,$B$64)+'Вводные'!$H$9),CI80,0)</x:f>
      </x:c>
      <x:c r="CJ81" s="107" t="n">
        <x:f>IF(CJ$3&lt;EDATE(INDEX('Вводные'!$D$88:$D$91,$B$64),INDEX('Вводные'!$E$88:$E$91,$B$64)+INDEX('Вводные'!$F$88:$F$91,$B$64)+'Вводные'!$H$9),CJ80,0)</x:f>
      </x:c>
      <x:c r="CK81" s="107" t="n">
        <x:f>IF(CK$3&lt;EDATE(INDEX('Вводные'!$D$88:$D$91,$B$64),INDEX('Вводные'!$E$88:$E$91,$B$64)+INDEX('Вводные'!$F$88:$F$91,$B$64)+'Вводные'!$H$9),CK80,0)</x:f>
      </x:c>
      <x:c r="CL81" s="107" t="n">
        <x:f>IF(CL$3&lt;EDATE(INDEX('Вводные'!$D$88:$D$91,$B$64),INDEX('Вводные'!$E$88:$E$91,$B$64)+INDEX('Вводные'!$F$88:$F$91,$B$64)+'Вводные'!$H$9),CL80,0)</x:f>
      </x:c>
      <x:c r="CM81" s="107" t="n">
        <x:f>IF(CM$3&lt;EDATE(INDEX('Вводные'!$D$88:$D$91,$B$64),INDEX('Вводные'!$E$88:$E$91,$B$64)+INDEX('Вводные'!$F$88:$F$91,$B$64)+'Вводные'!$H$9),CM80,0)</x:f>
      </x:c>
      <x:c r="CN81" s="107" t="n">
        <x:f>IF(CN$3&lt;EDATE(INDEX('Вводные'!$D$88:$D$91,$B$64),INDEX('Вводные'!$E$88:$E$91,$B$64)+INDEX('Вводные'!$F$88:$F$91,$B$64)+'Вводные'!$H$9),CN80,0)</x:f>
      </x:c>
      <x:c r="CO81" s="107" t="n">
        <x:f>IF(CO$3&lt;EDATE(INDEX('Вводные'!$D$88:$D$91,$B$64),INDEX('Вводные'!$E$88:$E$91,$B$64)+INDEX('Вводные'!$F$88:$F$91,$B$64)+'Вводные'!$H$9),CO80,0)</x:f>
      </x:c>
      <x:c r="CP81" s="107" t="n">
        <x:f>IF(CP$3&lt;EDATE(INDEX('Вводные'!$D$88:$D$91,$B$64),INDEX('Вводные'!$E$88:$E$91,$B$64)+INDEX('Вводные'!$F$88:$F$91,$B$64)+'Вводные'!$H$9),CP80,0)</x:f>
      </x:c>
      <x:c r="CQ81" s="107" t="n">
        <x:f>IF(CQ$3&lt;EDATE(INDEX('Вводные'!$D$88:$D$91,$B$64),INDEX('Вводные'!$E$88:$E$91,$B$64)+INDEX('Вводные'!$F$88:$F$91,$B$64)+'Вводные'!$H$9),CQ80,0)</x:f>
      </x:c>
      <x:c r="CR81" s="107" t="n">
        <x:f>IF(CR$3&lt;EDATE(INDEX('Вводные'!$D$88:$D$91,$B$64),INDEX('Вводные'!$E$88:$E$91,$B$64)+INDEX('Вводные'!$F$88:$F$91,$B$64)+'Вводные'!$H$9),CR80,0)</x:f>
      </x:c>
      <x:c r="CS81" s="107" t="n">
        <x:f>IF(CS$3&lt;EDATE(INDEX('Вводные'!$D$88:$D$91,$B$64),INDEX('Вводные'!$E$88:$E$91,$B$64)+INDEX('Вводные'!$F$88:$F$91,$B$64)+'Вводные'!$H$9),CS80,0)</x:f>
      </x:c>
      <x:c r="CT81" s="107" t="n">
        <x:f>IF(CT$3&lt;EDATE(INDEX('Вводные'!$D$88:$D$91,$B$64),INDEX('Вводные'!$E$88:$E$91,$B$64)+INDEX('Вводные'!$F$88:$F$91,$B$64)+'Вводные'!$H$9),CT80,0)</x:f>
      </x:c>
      <x:c r="CU81" s="107" t="n">
        <x:f>IF(CU$3&lt;EDATE(INDEX('Вводные'!$D$88:$D$91,$B$64),INDEX('Вводные'!$E$88:$E$91,$B$64)+INDEX('Вводные'!$F$88:$F$91,$B$64)+'Вводные'!$H$9),CU80,0)</x:f>
      </x:c>
      <x:c r="CV81" s="107" t="n">
        <x:f>IF(CV$3&lt;EDATE(INDEX('Вводные'!$D$88:$D$91,$B$64),INDEX('Вводные'!$E$88:$E$91,$B$64)+INDEX('Вводные'!$F$88:$F$91,$B$64)+'Вводные'!$H$9),CV80,0)</x:f>
      </x:c>
      <x:c r="CW81" s="107" t="n">
        <x:f>IF(CW$3&lt;EDATE(INDEX('Вводные'!$D$88:$D$91,$B$64),INDEX('Вводные'!$E$88:$E$91,$B$64)+INDEX('Вводные'!$F$88:$F$91,$B$64)+'Вводные'!$H$9),CW80,0)</x:f>
      </x:c>
      <x:c r="CX81" s="107" t="n">
        <x:f>IF(CX$3&lt;EDATE(INDEX('Вводные'!$D$88:$D$91,$B$64),INDEX('Вводные'!$E$88:$E$91,$B$64)+INDEX('Вводные'!$F$88:$F$91,$B$64)+'Вводные'!$H$9),CX80,0)</x:f>
      </x:c>
      <x:c r="CY81" s="107" t="n">
        <x:f>IF(CY$3&lt;EDATE(INDEX('Вводные'!$D$88:$D$91,$B$64),INDEX('Вводные'!$E$88:$E$91,$B$64)+INDEX('Вводные'!$F$88:$F$91,$B$64)+'Вводные'!$H$9),CY80,0)</x:f>
      </x:c>
      <x:c r="CZ81" s="107" t="n">
        <x:f>IF(CZ$3&lt;EDATE(INDEX('Вводные'!$D$88:$D$91,$B$64),INDEX('Вводные'!$E$88:$E$91,$B$64)+INDEX('Вводные'!$F$88:$F$91,$B$64)+'Вводные'!$H$9),CZ80,0)</x:f>
      </x:c>
      <x:c r="DA81" s="107" t="n">
        <x:f>IF(DA$3&lt;EDATE(INDEX('Вводные'!$D$88:$D$91,$B$64),INDEX('Вводные'!$E$88:$E$91,$B$64)+INDEX('Вводные'!$F$88:$F$91,$B$64)+'Вводные'!$H$9),DA80,0)</x:f>
      </x:c>
      <x:c r="DB81" s="107" t="n">
        <x:f>IF(DB$3&lt;EDATE(INDEX('Вводные'!$D$88:$D$91,$B$64),INDEX('Вводные'!$E$88:$E$91,$B$64)+INDEX('Вводные'!$F$88:$F$91,$B$64)+'Вводные'!$H$9),DB80,0)</x:f>
      </x:c>
      <x:c r="DC81" s="107" t="n">
        <x:f>IF(DC$3&lt;EDATE(INDEX('Вводные'!$D$88:$D$91,$B$64),INDEX('Вводные'!$E$88:$E$91,$B$64)+INDEX('Вводные'!$F$88:$F$91,$B$64)+'Вводные'!$H$9),DC80,0)</x:f>
      </x:c>
      <x:c r="DD81" s="107" t="n">
        <x:f>IF(DD$3&lt;EDATE(INDEX('Вводные'!$D$88:$D$91,$B$64),INDEX('Вводные'!$E$88:$E$91,$B$64)+INDEX('Вводные'!$F$88:$F$91,$B$64)+'Вводные'!$H$9),DD80,0)</x:f>
      </x:c>
      <x:c r="DE81" s="107" t="n">
        <x:f>IF(DE$3&lt;EDATE(INDEX('Вводные'!$D$88:$D$91,$B$64),INDEX('Вводные'!$E$88:$E$91,$B$64)+INDEX('Вводные'!$F$88:$F$91,$B$64)+'Вводные'!$H$9),DE80,0)</x:f>
      </x:c>
      <x:c r="DF81" s="107" t="n">
        <x:f>IF(DF$3&lt;EDATE(INDEX('Вводные'!$D$88:$D$91,$B$64),INDEX('Вводные'!$E$88:$E$91,$B$64)+INDEX('Вводные'!$F$88:$F$91,$B$64)+'Вводные'!$H$9),DF80,0)</x:f>
      </x:c>
      <x:c r="DG81" s="107" t="n">
        <x:f>IF(DG$3&lt;EDATE(INDEX('Вводные'!$D$88:$D$91,$B$64),INDEX('Вводные'!$E$88:$E$91,$B$64)+INDEX('Вводные'!$F$88:$F$91,$B$64)+'Вводные'!$H$9),DG80,0)</x:f>
      </x:c>
      <x:c r="DH81" s="107" t="n">
        <x:f>IF(DH$3&lt;EDATE(INDEX('Вводные'!$D$88:$D$91,$B$64),INDEX('Вводные'!$E$88:$E$91,$B$64)+INDEX('Вводные'!$F$88:$F$91,$B$64)+'Вводные'!$H$9),DH80,0)</x:f>
      </x:c>
      <x:c r="DI81" s="107" t="n">
        <x:f>IF(DI$3&lt;EDATE(INDEX('Вводные'!$D$88:$D$91,$B$64),INDEX('Вводные'!$E$88:$E$91,$B$64)+INDEX('Вводные'!$F$88:$F$91,$B$64)+'Вводные'!$H$9),DI80,0)</x:f>
      </x:c>
      <x:c r="DJ81" s="107" t="n">
        <x:f>IF(DJ$3&lt;EDATE(INDEX('Вводные'!$D$88:$D$91,$B$64),INDEX('Вводные'!$E$88:$E$91,$B$64)+INDEX('Вводные'!$F$88:$F$91,$B$64)+'Вводные'!$H$9),DJ80,0)</x:f>
      </x:c>
      <x:c r="DK81" s="107" t="n">
        <x:f>IF(DK$3&lt;EDATE(INDEX('Вводные'!$D$88:$D$91,$B$64),INDEX('Вводные'!$E$88:$E$91,$B$64)+INDEX('Вводные'!$F$88:$F$91,$B$64)+'Вводные'!$H$9),DK80,0)</x:f>
      </x:c>
      <x:c r="DL81" s="107" t="n">
        <x:f>IF(DL$3&lt;EDATE(INDEX('Вводные'!$D$88:$D$91,$B$64),INDEX('Вводные'!$E$88:$E$91,$B$64)+INDEX('Вводные'!$F$88:$F$91,$B$64)+'Вводные'!$H$9),DL80,0)</x:f>
      </x:c>
      <x:c r="DM81" s="107" t="n">
        <x:f>IF(DM$3&lt;EDATE(INDEX('Вводные'!$D$88:$D$91,$B$64),INDEX('Вводные'!$E$88:$E$91,$B$64)+INDEX('Вводные'!$F$88:$F$91,$B$64)+'Вводные'!$H$9),DM80,0)</x:f>
      </x:c>
      <x:c r="DN81" s="107" t="n">
        <x:f>IF(DN$3&lt;EDATE(INDEX('Вводные'!$D$88:$D$91,$B$64),INDEX('Вводные'!$E$88:$E$91,$B$64)+INDEX('Вводные'!$F$88:$F$91,$B$64)+'Вводные'!$H$9),DN80,0)</x:f>
      </x:c>
      <x:c r="DO81" s="107" t="n">
        <x:f>IF(DO$3&lt;EDATE(INDEX('Вводные'!$D$88:$D$91,$B$64),INDEX('Вводные'!$E$88:$E$91,$B$64)+INDEX('Вводные'!$F$88:$F$91,$B$64)+'Вводные'!$H$9),DO80,0)</x:f>
      </x:c>
      <x:c r="DP81" s="107" t="n">
        <x:f>IF(DP$3&lt;EDATE(INDEX('Вводные'!$D$88:$D$91,$B$64),INDEX('Вводные'!$E$88:$E$91,$B$64)+INDEX('Вводные'!$F$88:$F$91,$B$64)+'Вводные'!$H$9),DP80,0)</x:f>
      </x:c>
      <x:c r="DQ81" s="107" t="n">
        <x:f>IF(DQ$3&lt;EDATE(INDEX('Вводные'!$D$88:$D$91,$B$64),INDEX('Вводные'!$E$88:$E$91,$B$64)+INDEX('Вводные'!$F$88:$F$91,$B$64)+'Вводные'!$H$9),DQ80,0)</x:f>
      </x:c>
      <x:c r="DR81" s="107" t="n">
        <x:f>IF(DR$3&lt;EDATE(INDEX('Вводные'!$D$88:$D$91,$B$64),INDEX('Вводные'!$E$88:$E$91,$B$64)+INDEX('Вводные'!$F$88:$F$91,$B$64)+'Вводные'!$H$9),DR80,0)</x:f>
      </x:c>
      <x:c r="DS81" s="107" t="n">
        <x:f>IF(DS$3&lt;EDATE(INDEX('Вводные'!$D$88:$D$91,$B$64),INDEX('Вводные'!$E$88:$E$91,$B$64)+INDEX('Вводные'!$F$88:$F$91,$B$64)+'Вводные'!$H$9),DS80,0)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IF(D$3&gt;=EDATE(INDEX('Вводные'!$D$88:$D$91,$B$64),INDEX('Вводные'!$E$88:$E$91,$B$64)+INDEX('Вводные'!$F$88:$F$91,$B$64)+'Вводные'!$H$9),D80,0)</x:f>
      </x:c>
      <x:c r="E82" s="107" t="n">
        <x:f>IF(E$3&gt;=EDATE(INDEX('Вводные'!$D$88:$D$91,$B$64),INDEX('Вводные'!$E$88:$E$91,$B$64)+INDEX('Вводные'!$F$88:$F$91,$B$64)+'Вводные'!$H$9),E80,0)</x:f>
      </x:c>
      <x:c r="F82" s="107" t="n">
        <x:f>IF(F$3&gt;=EDATE(INDEX('Вводные'!$D$88:$D$91,$B$64),INDEX('Вводные'!$E$88:$E$91,$B$64)+INDEX('Вводные'!$F$88:$F$91,$B$64)+'Вводные'!$H$9),F80,0)</x:f>
      </x:c>
      <x:c r="G82" s="107" t="n">
        <x:f>IF(G$3&gt;=EDATE(INDEX('Вводные'!$D$88:$D$91,$B$64),INDEX('Вводные'!$E$88:$E$91,$B$64)+INDEX('Вводные'!$F$88:$F$91,$B$64)+'Вводные'!$H$9),G80,0)</x:f>
      </x:c>
      <x:c r="H82" s="107" t="n">
        <x:f>IF(H$3&gt;=EDATE(INDEX('Вводные'!$D$88:$D$91,$B$64),INDEX('Вводные'!$E$88:$E$91,$B$64)+INDEX('Вводные'!$F$88:$F$91,$B$64)+'Вводные'!$H$9),H80,0)</x:f>
      </x:c>
      <x:c r="I82" s="107" t="n">
        <x:f>IF(I$3&gt;=EDATE(INDEX('Вводные'!$D$88:$D$91,$B$64),INDEX('Вводные'!$E$88:$E$91,$B$64)+INDEX('Вводные'!$F$88:$F$91,$B$64)+'Вводные'!$H$9),I80,0)</x:f>
      </x:c>
      <x:c r="J82" s="107" t="n">
        <x:f>IF(J$3&gt;=EDATE(INDEX('Вводные'!$D$88:$D$91,$B$64),INDEX('Вводные'!$E$88:$E$91,$B$64)+INDEX('Вводные'!$F$88:$F$91,$B$64)+'Вводные'!$H$9),J80,0)</x:f>
      </x:c>
      <x:c r="K82" s="107" t="n">
        <x:f>IF(K$3&gt;=EDATE(INDEX('Вводные'!$D$88:$D$91,$B$64),INDEX('Вводные'!$E$88:$E$91,$B$64)+INDEX('Вводные'!$F$88:$F$91,$B$64)+'Вводные'!$H$9),K80,0)</x:f>
      </x:c>
      <x:c r="L82" s="107" t="n">
        <x:f>IF(L$3&gt;=EDATE(INDEX('Вводные'!$D$88:$D$91,$B$64),INDEX('Вводные'!$E$88:$E$91,$B$64)+INDEX('Вводные'!$F$88:$F$91,$B$64)+'Вводные'!$H$9),L80,0)</x:f>
      </x:c>
      <x:c r="M82" s="107" t="n">
        <x:f>IF(M$3&gt;=EDATE(INDEX('Вводные'!$D$88:$D$91,$B$64),INDEX('Вводные'!$E$88:$E$91,$B$64)+INDEX('Вводные'!$F$88:$F$91,$B$64)+'Вводные'!$H$9),M80,0)</x:f>
      </x:c>
      <x:c r="N82" s="107" t="n">
        <x:f>IF(N$3&gt;=EDATE(INDEX('Вводные'!$D$88:$D$91,$B$64),INDEX('Вводные'!$E$88:$E$91,$B$64)+INDEX('Вводные'!$F$88:$F$91,$B$64)+'Вводные'!$H$9),N80,0)</x:f>
      </x:c>
      <x:c r="O82" s="107" t="n">
        <x:f>IF(O$3&gt;=EDATE(INDEX('Вводные'!$D$88:$D$91,$B$64),INDEX('Вводные'!$E$88:$E$91,$B$64)+INDEX('Вводные'!$F$88:$F$91,$B$64)+'Вводные'!$H$9),O80,0)</x:f>
      </x:c>
      <x:c r="P82" s="107" t="n">
        <x:f>IF(P$3&gt;=EDATE(INDEX('Вводные'!$D$88:$D$91,$B$64),INDEX('Вводные'!$E$88:$E$91,$B$64)+INDEX('Вводные'!$F$88:$F$91,$B$64)+'Вводные'!$H$9),P80,0)</x:f>
      </x:c>
      <x:c r="Q82" s="107" t="n">
        <x:f>IF(Q$3&gt;=EDATE(INDEX('Вводные'!$D$88:$D$91,$B$64),INDEX('Вводные'!$E$88:$E$91,$B$64)+INDEX('Вводные'!$F$88:$F$91,$B$64)+'Вводные'!$H$9),Q80,0)</x:f>
      </x:c>
      <x:c r="R82" s="107" t="n">
        <x:f>IF(R$3&gt;=EDATE(INDEX('Вводные'!$D$88:$D$91,$B$64),INDEX('Вводные'!$E$88:$E$91,$B$64)+INDEX('Вводные'!$F$88:$F$91,$B$64)+'Вводные'!$H$9),R80,0)</x:f>
      </x:c>
      <x:c r="S82" s="107" t="n">
        <x:f>IF(S$3&gt;=EDATE(INDEX('Вводные'!$D$88:$D$91,$B$64),INDEX('Вводные'!$E$88:$E$91,$B$64)+INDEX('Вводные'!$F$88:$F$91,$B$64)+'Вводные'!$H$9),S80,0)</x:f>
      </x:c>
      <x:c r="T82" s="107" t="n">
        <x:f>IF(T$3&gt;=EDATE(INDEX('Вводные'!$D$88:$D$91,$B$64),INDEX('Вводные'!$E$88:$E$91,$B$64)+INDEX('Вводные'!$F$88:$F$91,$B$64)+'Вводные'!$H$9),T80,0)</x:f>
      </x:c>
      <x:c r="U82" s="107" t="n">
        <x:f>IF(U$3&gt;=EDATE(INDEX('Вводные'!$D$88:$D$91,$B$64),INDEX('Вводные'!$E$88:$E$91,$B$64)+INDEX('Вводные'!$F$88:$F$91,$B$64)+'Вводные'!$H$9),U80,0)</x:f>
      </x:c>
      <x:c r="V82" s="107" t="n">
        <x:f>IF(V$3&gt;=EDATE(INDEX('Вводные'!$D$88:$D$91,$B$64),INDEX('Вводные'!$E$88:$E$91,$B$64)+INDEX('Вводные'!$F$88:$F$91,$B$64)+'Вводные'!$H$9),V80,0)</x:f>
      </x:c>
      <x:c r="W82" s="107" t="n">
        <x:f>IF(W$3&gt;=EDATE(INDEX('Вводные'!$D$88:$D$91,$B$64),INDEX('Вводные'!$E$88:$E$91,$B$64)+INDEX('Вводные'!$F$88:$F$91,$B$64)+'Вводные'!$H$9),W80,0)</x:f>
      </x:c>
      <x:c r="X82" s="107" t="n">
        <x:f>IF(X$3&gt;=EDATE(INDEX('Вводные'!$D$88:$D$91,$B$64),INDEX('Вводные'!$E$88:$E$91,$B$64)+INDEX('Вводные'!$F$88:$F$91,$B$64)+'Вводные'!$H$9),X80,0)</x:f>
      </x:c>
      <x:c r="Y82" s="107" t="n">
        <x:f>IF(Y$3&gt;=EDATE(INDEX('Вводные'!$D$88:$D$91,$B$64),INDEX('Вводные'!$E$88:$E$91,$B$64)+INDEX('Вводные'!$F$88:$F$91,$B$64)+'Вводные'!$H$9),Y80,0)</x:f>
      </x:c>
      <x:c r="Z82" s="107" t="n">
        <x:f>IF(Z$3&gt;=EDATE(INDEX('Вводные'!$D$88:$D$91,$B$64),INDEX('Вводные'!$E$88:$E$91,$B$64)+INDEX('Вводные'!$F$88:$F$91,$B$64)+'Вводные'!$H$9),Z80,0)</x:f>
      </x:c>
      <x:c r="AA82" s="107" t="n">
        <x:f>IF(AA$3&gt;=EDATE(INDEX('Вводные'!$D$88:$D$91,$B$64),INDEX('Вводные'!$E$88:$E$91,$B$64)+INDEX('Вводные'!$F$88:$F$91,$B$64)+'Вводные'!$H$9),AA80,0)</x:f>
      </x:c>
      <x:c r="AB82" s="107" t="n">
        <x:f>IF(AB$3&gt;=EDATE(INDEX('Вводные'!$D$88:$D$91,$B$64),INDEX('Вводные'!$E$88:$E$91,$B$64)+INDEX('Вводные'!$F$88:$F$91,$B$64)+'Вводные'!$H$9),AB80,0)</x:f>
      </x:c>
      <x:c r="AC82" s="107" t="n">
        <x:f>IF(AC$3&gt;=EDATE(INDEX('Вводные'!$D$88:$D$91,$B$64),INDEX('Вводные'!$E$88:$E$91,$B$64)+INDEX('Вводные'!$F$88:$F$91,$B$64)+'Вводные'!$H$9),AC80,0)</x:f>
      </x:c>
      <x:c r="AD82" s="107" t="n">
        <x:f>IF(AD$3&gt;=EDATE(INDEX('Вводные'!$D$88:$D$91,$B$64),INDEX('Вводные'!$E$88:$E$91,$B$64)+INDEX('Вводные'!$F$88:$F$91,$B$64)+'Вводные'!$H$9),AD80,0)</x:f>
      </x:c>
      <x:c r="AE82" s="107" t="n">
        <x:f>IF(AE$3&gt;=EDATE(INDEX('Вводные'!$D$88:$D$91,$B$64),INDEX('Вводные'!$E$88:$E$91,$B$64)+INDEX('Вводные'!$F$88:$F$91,$B$64)+'Вводные'!$H$9),AE80,0)</x:f>
      </x:c>
      <x:c r="AF82" s="107" t="n">
        <x:f>IF(AF$3&gt;=EDATE(INDEX('Вводные'!$D$88:$D$91,$B$64),INDEX('Вводные'!$E$88:$E$91,$B$64)+INDEX('Вводные'!$F$88:$F$91,$B$64)+'Вводные'!$H$9),AF80,0)</x:f>
      </x:c>
      <x:c r="AG82" s="107" t="n">
        <x:f>IF(AG$3&gt;=EDATE(INDEX('Вводные'!$D$88:$D$91,$B$64),INDEX('Вводные'!$E$88:$E$91,$B$64)+INDEX('Вводные'!$F$88:$F$91,$B$64)+'Вводные'!$H$9),AG80,0)</x:f>
      </x:c>
      <x:c r="AH82" s="107" t="n">
        <x:f>IF(AH$3&gt;=EDATE(INDEX('Вводные'!$D$88:$D$91,$B$64),INDEX('Вводные'!$E$88:$E$91,$B$64)+INDEX('Вводные'!$F$88:$F$91,$B$64)+'Вводные'!$H$9),AH80,0)</x:f>
      </x:c>
      <x:c r="AI82" s="107" t="n">
        <x:f>IF(AI$3&gt;=EDATE(INDEX('Вводные'!$D$88:$D$91,$B$64),INDEX('Вводные'!$E$88:$E$91,$B$64)+INDEX('Вводные'!$F$88:$F$91,$B$64)+'Вводные'!$H$9),AI80,0)</x:f>
      </x:c>
      <x:c r="AJ82" s="107" t="n">
        <x:f>IF(AJ$3&gt;=EDATE(INDEX('Вводные'!$D$88:$D$91,$B$64),INDEX('Вводные'!$E$88:$E$91,$B$64)+INDEX('Вводные'!$F$88:$F$91,$B$64)+'Вводные'!$H$9),AJ80,0)</x:f>
      </x:c>
      <x:c r="AK82" s="107" t="n">
        <x:f>IF(AK$3&gt;=EDATE(INDEX('Вводные'!$D$88:$D$91,$B$64),INDEX('Вводные'!$E$88:$E$91,$B$64)+INDEX('Вводные'!$F$88:$F$91,$B$64)+'Вводные'!$H$9),AK80,0)</x:f>
      </x:c>
      <x:c r="AL82" s="107" t="n">
        <x:f>IF(AL$3&gt;=EDATE(INDEX('Вводные'!$D$88:$D$91,$B$64),INDEX('Вводные'!$E$88:$E$91,$B$64)+INDEX('Вводные'!$F$88:$F$91,$B$64)+'Вводные'!$H$9),AL80,0)</x:f>
      </x:c>
      <x:c r="AM82" s="107" t="n">
        <x:f>IF(AM$3&gt;=EDATE(INDEX('Вводные'!$D$88:$D$91,$B$64),INDEX('Вводные'!$E$88:$E$91,$B$64)+INDEX('Вводные'!$F$88:$F$91,$B$64)+'Вводные'!$H$9),AM80,0)</x:f>
      </x:c>
      <x:c r="AN82" s="107" t="n">
        <x:f>IF(AN$3&gt;=EDATE(INDEX('Вводные'!$D$88:$D$91,$B$64),INDEX('Вводные'!$E$88:$E$91,$B$64)+INDEX('Вводные'!$F$88:$F$91,$B$64)+'Вводные'!$H$9),AN80,0)</x:f>
      </x:c>
      <x:c r="AO82" s="107" t="n">
        <x:f>IF(AO$3&gt;=EDATE(INDEX('Вводные'!$D$88:$D$91,$B$64),INDEX('Вводные'!$E$88:$E$91,$B$64)+INDEX('Вводные'!$F$88:$F$91,$B$64)+'Вводные'!$H$9),AO80,0)</x:f>
      </x:c>
      <x:c r="AP82" s="107" t="n">
        <x:f>IF(AP$3&gt;=EDATE(INDEX('Вводные'!$D$88:$D$91,$B$64),INDEX('Вводные'!$E$88:$E$91,$B$64)+INDEX('Вводные'!$F$88:$F$91,$B$64)+'Вводные'!$H$9),AP80,0)</x:f>
      </x:c>
      <x:c r="AQ82" s="107" t="n">
        <x:f>IF(AQ$3&gt;=EDATE(INDEX('Вводные'!$D$88:$D$91,$B$64),INDEX('Вводные'!$E$88:$E$91,$B$64)+INDEX('Вводные'!$F$88:$F$91,$B$64)+'Вводные'!$H$9),AQ80,0)</x:f>
      </x:c>
      <x:c r="AR82" s="107" t="n">
        <x:f>IF(AR$3&gt;=EDATE(INDEX('Вводные'!$D$88:$D$91,$B$64),INDEX('Вводные'!$E$88:$E$91,$B$64)+INDEX('Вводные'!$F$88:$F$91,$B$64)+'Вводные'!$H$9),AR80,0)</x:f>
      </x:c>
      <x:c r="AS82" s="107" t="n">
        <x:f>IF(AS$3&gt;=EDATE(INDEX('Вводные'!$D$88:$D$91,$B$64),INDEX('Вводные'!$E$88:$E$91,$B$64)+INDEX('Вводные'!$F$88:$F$91,$B$64)+'Вводные'!$H$9),AS80,0)</x:f>
      </x:c>
      <x:c r="AT82" s="107" t="n">
        <x:f>IF(AT$3&gt;=EDATE(INDEX('Вводные'!$D$88:$D$91,$B$64),INDEX('Вводные'!$E$88:$E$91,$B$64)+INDEX('Вводные'!$F$88:$F$91,$B$64)+'Вводные'!$H$9),AT80,0)</x:f>
      </x:c>
      <x:c r="AU82" s="107" t="n">
        <x:f>IF(AU$3&gt;=EDATE(INDEX('Вводные'!$D$88:$D$91,$B$64),INDEX('Вводные'!$E$88:$E$91,$B$64)+INDEX('Вводные'!$F$88:$F$91,$B$64)+'Вводные'!$H$9),AU80,0)</x:f>
      </x:c>
      <x:c r="AV82" s="107" t="n">
        <x:f>IF(AV$3&gt;=EDATE(INDEX('Вводные'!$D$88:$D$91,$B$64),INDEX('Вводные'!$E$88:$E$91,$B$64)+INDEX('Вводные'!$F$88:$F$91,$B$64)+'Вводные'!$H$9),AV80,0)</x:f>
      </x:c>
      <x:c r="AW82" s="107" t="n">
        <x:f>IF(AW$3&gt;=EDATE(INDEX('Вводные'!$D$88:$D$91,$B$64),INDEX('Вводные'!$E$88:$E$91,$B$64)+INDEX('Вводные'!$F$88:$F$91,$B$64)+'Вводные'!$H$9),AW80,0)</x:f>
      </x:c>
      <x:c r="AX82" s="107" t="n">
        <x:f>IF(AX$3&gt;=EDATE(INDEX('Вводные'!$D$88:$D$91,$B$64),INDEX('Вводные'!$E$88:$E$91,$B$64)+INDEX('Вводные'!$F$88:$F$91,$B$64)+'Вводные'!$H$9),AX80,0)</x:f>
      </x:c>
      <x:c r="AY82" s="107" t="n">
        <x:f>IF(AY$3&gt;=EDATE(INDEX('Вводные'!$D$88:$D$91,$B$64),INDEX('Вводные'!$E$88:$E$91,$B$64)+INDEX('Вводные'!$F$88:$F$91,$B$64)+'Вводные'!$H$9),AY80,0)</x:f>
      </x:c>
      <x:c r="AZ82" s="107" t="n">
        <x:f>IF(AZ$3&gt;=EDATE(INDEX('Вводные'!$D$88:$D$91,$B$64),INDEX('Вводные'!$E$88:$E$91,$B$64)+INDEX('Вводные'!$F$88:$F$91,$B$64)+'Вводные'!$H$9),AZ80,0)</x:f>
      </x:c>
      <x:c r="BA82" s="107" t="n">
        <x:f>IF(BA$3&gt;=EDATE(INDEX('Вводные'!$D$88:$D$91,$B$64),INDEX('Вводные'!$E$88:$E$91,$B$64)+INDEX('Вводные'!$F$88:$F$91,$B$64)+'Вводные'!$H$9),BA80,0)</x:f>
      </x:c>
      <x:c r="BB82" s="107" t="n">
        <x:f>IF(BB$3&gt;=EDATE(INDEX('Вводные'!$D$88:$D$91,$B$64),INDEX('Вводные'!$E$88:$E$91,$B$64)+INDEX('Вводные'!$F$88:$F$91,$B$64)+'Вводные'!$H$9),BB80,0)</x:f>
      </x:c>
      <x:c r="BC82" s="107" t="n">
        <x:f>IF(BC$3&gt;=EDATE(INDEX('Вводные'!$D$88:$D$91,$B$64),INDEX('Вводные'!$E$88:$E$91,$B$64)+INDEX('Вводные'!$F$88:$F$91,$B$64)+'Вводные'!$H$9),BC80,0)</x:f>
      </x:c>
      <x:c r="BD82" s="107" t="n">
        <x:f>IF(BD$3&gt;=EDATE(INDEX('Вводные'!$D$88:$D$91,$B$64),INDEX('Вводные'!$E$88:$E$91,$B$64)+INDEX('Вводные'!$F$88:$F$91,$B$64)+'Вводные'!$H$9),BD80,0)</x:f>
      </x:c>
      <x:c r="BE82" s="107" t="n">
        <x:f>IF(BE$3&gt;=EDATE(INDEX('Вводные'!$D$88:$D$91,$B$64),INDEX('Вводные'!$E$88:$E$91,$B$64)+INDEX('Вводные'!$F$88:$F$91,$B$64)+'Вводные'!$H$9),BE80,0)</x:f>
      </x:c>
      <x:c r="BF82" s="107" t="n">
        <x:f>IF(BF$3&gt;=EDATE(INDEX('Вводные'!$D$88:$D$91,$B$64),INDEX('Вводные'!$E$88:$E$91,$B$64)+INDEX('Вводные'!$F$88:$F$91,$B$64)+'Вводные'!$H$9),BF80,0)</x:f>
      </x:c>
      <x:c r="BG82" s="107" t="n">
        <x:f>IF(BG$3&gt;=EDATE(INDEX('Вводные'!$D$88:$D$91,$B$64),INDEX('Вводные'!$E$88:$E$91,$B$64)+INDEX('Вводные'!$F$88:$F$91,$B$64)+'Вводные'!$H$9),BG80,0)</x:f>
      </x:c>
      <x:c r="BH82" s="107" t="n">
        <x:f>IF(BH$3&gt;=EDATE(INDEX('Вводные'!$D$88:$D$91,$B$64),INDEX('Вводные'!$E$88:$E$91,$B$64)+INDEX('Вводные'!$F$88:$F$91,$B$64)+'Вводные'!$H$9),BH80,0)</x:f>
      </x:c>
      <x:c r="BI82" s="107" t="n">
        <x:f>IF(BI$3&gt;=EDATE(INDEX('Вводные'!$D$88:$D$91,$B$64),INDEX('Вводные'!$E$88:$E$91,$B$64)+INDEX('Вводные'!$F$88:$F$91,$B$64)+'Вводные'!$H$9),BI80,0)</x:f>
      </x:c>
      <x:c r="BJ82" s="107" t="n">
        <x:f>IF(BJ$3&gt;=EDATE(INDEX('Вводные'!$D$88:$D$91,$B$64),INDEX('Вводные'!$E$88:$E$91,$B$64)+INDEX('Вводные'!$F$88:$F$91,$B$64)+'Вводные'!$H$9),BJ80,0)</x:f>
      </x:c>
      <x:c r="BK82" s="107" t="n">
        <x:f>IF(BK$3&gt;=EDATE(INDEX('Вводные'!$D$88:$D$91,$B$64),INDEX('Вводные'!$E$88:$E$91,$B$64)+INDEX('Вводные'!$F$88:$F$91,$B$64)+'Вводные'!$H$9),BK80,0)</x:f>
      </x:c>
      <x:c r="BL82" s="107" t="n">
        <x:f>IF(BL$3&gt;=EDATE(INDEX('Вводные'!$D$88:$D$91,$B$64),INDEX('Вводные'!$E$88:$E$91,$B$64)+INDEX('Вводные'!$F$88:$F$91,$B$64)+'Вводные'!$H$9),BL80,0)</x:f>
      </x:c>
      <x:c r="BM82" s="107" t="n">
        <x:f>IF(BM$3&gt;=EDATE(INDEX('Вводные'!$D$88:$D$91,$B$64),INDEX('Вводные'!$E$88:$E$91,$B$64)+INDEX('Вводные'!$F$88:$F$91,$B$64)+'Вводные'!$H$9),BM80,0)</x:f>
      </x:c>
      <x:c r="BN82" s="107" t="n">
        <x:f>IF(BN$3&gt;=EDATE(INDEX('Вводные'!$D$88:$D$91,$B$64),INDEX('Вводные'!$E$88:$E$91,$B$64)+INDEX('Вводные'!$F$88:$F$91,$B$64)+'Вводные'!$H$9),BN80,0)</x:f>
      </x:c>
      <x:c r="BO82" s="107" t="n">
        <x:f>IF(BO$3&gt;=EDATE(INDEX('Вводные'!$D$88:$D$91,$B$64),INDEX('Вводные'!$E$88:$E$91,$B$64)+INDEX('Вводные'!$F$88:$F$91,$B$64)+'Вводные'!$H$9),BO80,0)</x:f>
      </x:c>
      <x:c r="BP82" s="107" t="n">
        <x:f>IF(BP$3&gt;=EDATE(INDEX('Вводные'!$D$88:$D$91,$B$64),INDEX('Вводные'!$E$88:$E$91,$B$64)+INDEX('Вводные'!$F$88:$F$91,$B$64)+'Вводные'!$H$9),BP80,0)</x:f>
      </x:c>
      <x:c r="BQ82" s="107" t="n">
        <x:f>IF(BQ$3&gt;=EDATE(INDEX('Вводные'!$D$88:$D$91,$B$64),INDEX('Вводные'!$E$88:$E$91,$B$64)+INDEX('Вводные'!$F$88:$F$91,$B$64)+'Вводные'!$H$9),BQ80,0)</x:f>
      </x:c>
      <x:c r="BR82" s="107" t="n">
        <x:f>IF(BR$3&gt;=EDATE(INDEX('Вводные'!$D$88:$D$91,$B$64),INDEX('Вводные'!$E$88:$E$91,$B$64)+INDEX('Вводные'!$F$88:$F$91,$B$64)+'Вводные'!$H$9),BR80,0)</x:f>
      </x:c>
      <x:c r="BS82" s="107" t="n">
        <x:f>IF(BS$3&gt;=EDATE(INDEX('Вводные'!$D$88:$D$91,$B$64),INDEX('Вводные'!$E$88:$E$91,$B$64)+INDEX('Вводные'!$F$88:$F$91,$B$64)+'Вводные'!$H$9),BS80,0)</x:f>
      </x:c>
      <x:c r="BT82" s="107" t="n">
        <x:f>IF(BT$3&gt;=EDATE(INDEX('Вводные'!$D$88:$D$91,$B$64),INDEX('Вводные'!$E$88:$E$91,$B$64)+INDEX('Вводные'!$F$88:$F$91,$B$64)+'Вводные'!$H$9),BT80,0)</x:f>
      </x:c>
      <x:c r="BU82" s="107" t="n">
        <x:f>IF(BU$3&gt;=EDATE(INDEX('Вводные'!$D$88:$D$91,$B$64),INDEX('Вводные'!$E$88:$E$91,$B$64)+INDEX('Вводные'!$F$88:$F$91,$B$64)+'Вводные'!$H$9),BU80,0)</x:f>
      </x:c>
      <x:c r="BV82" s="107" t="n">
        <x:f>IF(BV$3&gt;=EDATE(INDEX('Вводные'!$D$88:$D$91,$B$64),INDEX('Вводные'!$E$88:$E$91,$B$64)+INDEX('Вводные'!$F$88:$F$91,$B$64)+'Вводные'!$H$9),BV80,0)</x:f>
      </x:c>
      <x:c r="BW82" s="107" t="n">
        <x:f>IF(BW$3&gt;=EDATE(INDEX('Вводные'!$D$88:$D$91,$B$64),INDEX('Вводные'!$E$88:$E$91,$B$64)+INDEX('Вводные'!$F$88:$F$91,$B$64)+'Вводные'!$H$9),BW80,0)</x:f>
      </x:c>
      <x:c r="BX82" s="107" t="n">
        <x:f>IF(BX$3&gt;=EDATE(INDEX('Вводные'!$D$88:$D$91,$B$64),INDEX('Вводные'!$E$88:$E$91,$B$64)+INDEX('Вводные'!$F$88:$F$91,$B$64)+'Вводные'!$H$9),BX80,0)</x:f>
      </x:c>
      <x:c r="BY82" s="107" t="n">
        <x:f>IF(BY$3&gt;=EDATE(INDEX('Вводные'!$D$88:$D$91,$B$64),INDEX('Вводные'!$E$88:$E$91,$B$64)+INDEX('Вводные'!$F$88:$F$91,$B$64)+'Вводные'!$H$9),BY80,0)</x:f>
      </x:c>
      <x:c r="BZ82" s="107" t="n">
        <x:f>IF(BZ$3&gt;=EDATE(INDEX('Вводные'!$D$88:$D$91,$B$64),INDEX('Вводные'!$E$88:$E$91,$B$64)+INDEX('Вводные'!$F$88:$F$91,$B$64)+'Вводные'!$H$9),BZ80,0)</x:f>
      </x:c>
      <x:c r="CA82" s="107" t="n">
        <x:f>IF(CA$3&gt;=EDATE(INDEX('Вводные'!$D$88:$D$91,$B$64),INDEX('Вводные'!$E$88:$E$91,$B$64)+INDEX('Вводные'!$F$88:$F$91,$B$64)+'Вводные'!$H$9),CA80,0)</x:f>
      </x:c>
      <x:c r="CB82" s="107" t="n">
        <x:f>IF(CB$3&gt;=EDATE(INDEX('Вводные'!$D$88:$D$91,$B$64),INDEX('Вводные'!$E$88:$E$91,$B$64)+INDEX('Вводные'!$F$88:$F$91,$B$64)+'Вводные'!$H$9),CB80,0)</x:f>
      </x:c>
      <x:c r="CC82" s="107" t="n">
        <x:f>IF(CC$3&gt;=EDATE(INDEX('Вводные'!$D$88:$D$91,$B$64),INDEX('Вводные'!$E$88:$E$91,$B$64)+INDEX('Вводные'!$F$88:$F$91,$B$64)+'Вводные'!$H$9),CC80,0)</x:f>
      </x:c>
      <x:c r="CD82" s="107" t="n">
        <x:f>IF(CD$3&gt;=EDATE(INDEX('Вводные'!$D$88:$D$91,$B$64),INDEX('Вводные'!$E$88:$E$91,$B$64)+INDEX('Вводные'!$F$88:$F$91,$B$64)+'Вводные'!$H$9),CD80,0)</x:f>
      </x:c>
      <x:c r="CE82" s="107" t="n">
        <x:f>IF(CE$3&gt;=EDATE(INDEX('Вводные'!$D$88:$D$91,$B$64),INDEX('Вводные'!$E$88:$E$91,$B$64)+INDEX('Вводные'!$F$88:$F$91,$B$64)+'Вводные'!$H$9),CE80,0)</x:f>
      </x:c>
      <x:c r="CF82" s="107" t="n">
        <x:f>IF(CF$3&gt;=EDATE(INDEX('Вводные'!$D$88:$D$91,$B$64),INDEX('Вводные'!$E$88:$E$91,$B$64)+INDEX('Вводные'!$F$88:$F$91,$B$64)+'Вводные'!$H$9),CF80,0)</x:f>
      </x:c>
      <x:c r="CG82" s="107" t="n">
        <x:f>IF(CG$3&gt;=EDATE(INDEX('Вводные'!$D$88:$D$91,$B$64),INDEX('Вводные'!$E$88:$E$91,$B$64)+INDEX('Вводные'!$F$88:$F$91,$B$64)+'Вводные'!$H$9),CG80,0)</x:f>
      </x:c>
      <x:c r="CH82" s="107" t="n">
        <x:f>IF(CH$3&gt;=EDATE(INDEX('Вводные'!$D$88:$D$91,$B$64),INDEX('Вводные'!$E$88:$E$91,$B$64)+INDEX('Вводные'!$F$88:$F$91,$B$64)+'Вводные'!$H$9),CH80,0)</x:f>
      </x:c>
      <x:c r="CI82" s="107" t="n">
        <x:f>IF(CI$3&gt;=EDATE(INDEX('Вводные'!$D$88:$D$91,$B$64),INDEX('Вводные'!$E$88:$E$91,$B$64)+INDEX('Вводные'!$F$88:$F$91,$B$64)+'Вводные'!$H$9),CI80,0)</x:f>
      </x:c>
      <x:c r="CJ82" s="107" t="n">
        <x:f>IF(CJ$3&gt;=EDATE(INDEX('Вводные'!$D$88:$D$91,$B$64),INDEX('Вводные'!$E$88:$E$91,$B$64)+INDEX('Вводные'!$F$88:$F$91,$B$64)+'Вводные'!$H$9),CJ80,0)</x:f>
      </x:c>
      <x:c r="CK82" s="107" t="n">
        <x:f>IF(CK$3&gt;=EDATE(INDEX('Вводные'!$D$88:$D$91,$B$64),INDEX('Вводные'!$E$88:$E$91,$B$64)+INDEX('Вводные'!$F$88:$F$91,$B$64)+'Вводные'!$H$9),CK80,0)</x:f>
      </x:c>
      <x:c r="CL82" s="107" t="n">
        <x:f>IF(CL$3&gt;=EDATE(INDEX('Вводные'!$D$88:$D$91,$B$64),INDEX('Вводные'!$E$88:$E$91,$B$64)+INDEX('Вводные'!$F$88:$F$91,$B$64)+'Вводные'!$H$9),CL80,0)</x:f>
      </x:c>
      <x:c r="CM82" s="107" t="n">
        <x:f>IF(CM$3&gt;=EDATE(INDEX('Вводные'!$D$88:$D$91,$B$64),INDEX('Вводные'!$E$88:$E$91,$B$64)+INDEX('Вводные'!$F$88:$F$91,$B$64)+'Вводные'!$H$9),CM80,0)</x:f>
      </x:c>
      <x:c r="CN82" s="107" t="n">
        <x:f>IF(CN$3&gt;=EDATE(INDEX('Вводные'!$D$88:$D$91,$B$64),INDEX('Вводные'!$E$88:$E$91,$B$64)+INDEX('Вводные'!$F$88:$F$91,$B$64)+'Вводные'!$H$9),CN80,0)</x:f>
      </x:c>
      <x:c r="CO82" s="107" t="n">
        <x:f>IF(CO$3&gt;=EDATE(INDEX('Вводные'!$D$88:$D$91,$B$64),INDEX('Вводные'!$E$88:$E$91,$B$64)+INDEX('Вводные'!$F$88:$F$91,$B$64)+'Вводные'!$H$9),CO80,0)</x:f>
      </x:c>
      <x:c r="CP82" s="107" t="n">
        <x:f>IF(CP$3&gt;=EDATE(INDEX('Вводные'!$D$88:$D$91,$B$64),INDEX('Вводные'!$E$88:$E$91,$B$64)+INDEX('Вводные'!$F$88:$F$91,$B$64)+'Вводные'!$H$9),CP80,0)</x:f>
      </x:c>
      <x:c r="CQ82" s="107" t="n">
        <x:f>IF(CQ$3&gt;=EDATE(INDEX('Вводные'!$D$88:$D$91,$B$64),INDEX('Вводные'!$E$88:$E$91,$B$64)+INDEX('Вводные'!$F$88:$F$91,$B$64)+'Вводные'!$H$9),CQ80,0)</x:f>
      </x:c>
      <x:c r="CR82" s="107" t="n">
        <x:f>IF(CR$3&gt;=EDATE(INDEX('Вводные'!$D$88:$D$91,$B$64),INDEX('Вводные'!$E$88:$E$91,$B$64)+INDEX('Вводные'!$F$88:$F$91,$B$64)+'Вводные'!$H$9),CR80,0)</x:f>
      </x:c>
      <x:c r="CS82" s="107" t="n">
        <x:f>IF(CS$3&gt;=EDATE(INDEX('Вводные'!$D$88:$D$91,$B$64),INDEX('Вводные'!$E$88:$E$91,$B$64)+INDEX('Вводные'!$F$88:$F$91,$B$64)+'Вводные'!$H$9),CS80,0)</x:f>
      </x:c>
      <x:c r="CT82" s="107" t="n">
        <x:f>IF(CT$3&gt;=EDATE(INDEX('Вводные'!$D$88:$D$91,$B$64),INDEX('Вводные'!$E$88:$E$91,$B$64)+INDEX('Вводные'!$F$88:$F$91,$B$64)+'Вводные'!$H$9),CT80,0)</x:f>
      </x:c>
      <x:c r="CU82" s="107" t="n">
        <x:f>IF(CU$3&gt;=EDATE(INDEX('Вводные'!$D$88:$D$91,$B$64),INDEX('Вводные'!$E$88:$E$91,$B$64)+INDEX('Вводные'!$F$88:$F$91,$B$64)+'Вводные'!$H$9),CU80,0)</x:f>
      </x:c>
      <x:c r="CV82" s="107" t="n">
        <x:f>IF(CV$3&gt;=EDATE(INDEX('Вводные'!$D$88:$D$91,$B$64),INDEX('Вводные'!$E$88:$E$91,$B$64)+INDEX('Вводные'!$F$88:$F$91,$B$64)+'Вводные'!$H$9),CV80,0)</x:f>
      </x:c>
      <x:c r="CW82" s="107" t="n">
        <x:f>IF(CW$3&gt;=EDATE(INDEX('Вводные'!$D$88:$D$91,$B$64),INDEX('Вводные'!$E$88:$E$91,$B$64)+INDEX('Вводные'!$F$88:$F$91,$B$64)+'Вводные'!$H$9),CW80,0)</x:f>
      </x:c>
      <x:c r="CX82" s="107" t="n">
        <x:f>IF(CX$3&gt;=EDATE(INDEX('Вводные'!$D$88:$D$91,$B$64),INDEX('Вводные'!$E$88:$E$91,$B$64)+INDEX('Вводные'!$F$88:$F$91,$B$64)+'Вводные'!$H$9),CX80,0)</x:f>
      </x:c>
      <x:c r="CY82" s="107" t="n">
        <x:f>IF(CY$3&gt;=EDATE(INDEX('Вводные'!$D$88:$D$91,$B$64),INDEX('Вводные'!$E$88:$E$91,$B$64)+INDEX('Вводные'!$F$88:$F$91,$B$64)+'Вводные'!$H$9),CY80,0)</x:f>
      </x:c>
      <x:c r="CZ82" s="107" t="n">
        <x:f>IF(CZ$3&gt;=EDATE(INDEX('Вводные'!$D$88:$D$91,$B$64),INDEX('Вводные'!$E$88:$E$91,$B$64)+INDEX('Вводные'!$F$88:$F$91,$B$64)+'Вводные'!$H$9),CZ80,0)</x:f>
      </x:c>
      <x:c r="DA82" s="107" t="n">
        <x:f>IF(DA$3&gt;=EDATE(INDEX('Вводные'!$D$88:$D$91,$B$64),INDEX('Вводные'!$E$88:$E$91,$B$64)+INDEX('Вводные'!$F$88:$F$91,$B$64)+'Вводные'!$H$9),DA80,0)</x:f>
      </x:c>
      <x:c r="DB82" s="107" t="n">
        <x:f>IF(DB$3&gt;=EDATE(INDEX('Вводные'!$D$88:$D$91,$B$64),INDEX('Вводные'!$E$88:$E$91,$B$64)+INDEX('Вводные'!$F$88:$F$91,$B$64)+'Вводные'!$H$9),DB80,0)</x:f>
      </x:c>
      <x:c r="DC82" s="107" t="n">
        <x:f>IF(DC$3&gt;=EDATE(INDEX('Вводные'!$D$88:$D$91,$B$64),INDEX('Вводные'!$E$88:$E$91,$B$64)+INDEX('Вводные'!$F$88:$F$91,$B$64)+'Вводные'!$H$9),DC80,0)</x:f>
      </x:c>
      <x:c r="DD82" s="107" t="n">
        <x:f>IF(DD$3&gt;=EDATE(INDEX('Вводные'!$D$88:$D$91,$B$64),INDEX('Вводные'!$E$88:$E$91,$B$64)+INDEX('Вводные'!$F$88:$F$91,$B$64)+'Вводные'!$H$9),DD80,0)</x:f>
      </x:c>
      <x:c r="DE82" s="107" t="n">
        <x:f>IF(DE$3&gt;=EDATE(INDEX('Вводные'!$D$88:$D$91,$B$64),INDEX('Вводные'!$E$88:$E$91,$B$64)+INDEX('Вводные'!$F$88:$F$91,$B$64)+'Вводные'!$H$9),DE80,0)</x:f>
      </x:c>
      <x:c r="DF82" s="107" t="n">
        <x:f>IF(DF$3&gt;=EDATE(INDEX('Вводные'!$D$88:$D$91,$B$64),INDEX('Вводные'!$E$88:$E$91,$B$64)+INDEX('Вводные'!$F$88:$F$91,$B$64)+'Вводные'!$H$9),DF80,0)</x:f>
      </x:c>
      <x:c r="DG82" s="107" t="n">
        <x:f>IF(DG$3&gt;=EDATE(INDEX('Вводные'!$D$88:$D$91,$B$64),INDEX('Вводные'!$E$88:$E$91,$B$64)+INDEX('Вводные'!$F$88:$F$91,$B$64)+'Вводные'!$H$9),DG80,0)</x:f>
      </x:c>
      <x:c r="DH82" s="107" t="n">
        <x:f>IF(DH$3&gt;=EDATE(INDEX('Вводные'!$D$88:$D$91,$B$64),INDEX('Вводные'!$E$88:$E$91,$B$64)+INDEX('Вводные'!$F$88:$F$91,$B$64)+'Вводные'!$H$9),DH80,0)</x:f>
      </x:c>
      <x:c r="DI82" s="107" t="n">
        <x:f>IF(DI$3&gt;=EDATE(INDEX('Вводные'!$D$88:$D$91,$B$64),INDEX('Вводные'!$E$88:$E$91,$B$64)+INDEX('Вводные'!$F$88:$F$91,$B$64)+'Вводные'!$H$9),DI80,0)</x:f>
      </x:c>
      <x:c r="DJ82" s="107" t="n">
        <x:f>IF(DJ$3&gt;=EDATE(INDEX('Вводные'!$D$88:$D$91,$B$64),INDEX('Вводные'!$E$88:$E$91,$B$64)+INDEX('Вводные'!$F$88:$F$91,$B$64)+'Вводные'!$H$9),DJ80,0)</x:f>
      </x:c>
      <x:c r="DK82" s="107" t="n">
        <x:f>IF(DK$3&gt;=EDATE(INDEX('Вводные'!$D$88:$D$91,$B$64),INDEX('Вводные'!$E$88:$E$91,$B$64)+INDEX('Вводные'!$F$88:$F$91,$B$64)+'Вводные'!$H$9),DK80,0)</x:f>
      </x:c>
      <x:c r="DL82" s="107" t="n">
        <x:f>IF(DL$3&gt;=EDATE(INDEX('Вводные'!$D$88:$D$91,$B$64),INDEX('Вводные'!$E$88:$E$91,$B$64)+INDEX('Вводные'!$F$88:$F$91,$B$64)+'Вводные'!$H$9),DL80,0)</x:f>
      </x:c>
      <x:c r="DM82" s="107" t="n">
        <x:f>IF(DM$3&gt;=EDATE(INDEX('Вводные'!$D$88:$D$91,$B$64),INDEX('Вводные'!$E$88:$E$91,$B$64)+INDEX('Вводные'!$F$88:$F$91,$B$64)+'Вводные'!$H$9),DM80,0)</x:f>
      </x:c>
      <x:c r="DN82" s="107" t="n">
        <x:f>IF(DN$3&gt;=EDATE(INDEX('Вводные'!$D$88:$D$91,$B$64),INDEX('Вводные'!$E$88:$E$91,$B$64)+INDEX('Вводные'!$F$88:$F$91,$B$64)+'Вводные'!$H$9),DN80,0)</x:f>
      </x:c>
      <x:c r="DO82" s="107" t="n">
        <x:f>IF(DO$3&gt;=EDATE(INDEX('Вводные'!$D$88:$D$91,$B$64),INDEX('Вводные'!$E$88:$E$91,$B$64)+INDEX('Вводные'!$F$88:$F$91,$B$64)+'Вводные'!$H$9),DO80,0)</x:f>
      </x:c>
      <x:c r="DP82" s="107" t="n">
        <x:f>IF(DP$3&gt;=EDATE(INDEX('Вводные'!$D$88:$D$91,$B$64),INDEX('Вводные'!$E$88:$E$91,$B$64)+INDEX('Вводные'!$F$88:$F$91,$B$64)+'Вводные'!$H$9),DP80,0)</x:f>
      </x:c>
      <x:c r="DQ82" s="107" t="n">
        <x:f>IF(DQ$3&gt;=EDATE(INDEX('Вводные'!$D$88:$D$91,$B$64),INDEX('Вводные'!$E$88:$E$91,$B$64)+INDEX('Вводные'!$F$88:$F$91,$B$64)+'Вводные'!$H$9),DQ80,0)</x:f>
      </x:c>
      <x:c r="DR82" s="107" t="n">
        <x:f>IF(DR$3&gt;=EDATE(INDEX('Вводные'!$D$88:$D$91,$B$64),INDEX('Вводные'!$E$88:$E$91,$B$64)+INDEX('Вводные'!$F$88:$F$91,$B$64)+'Вводные'!$H$9),DR80,0)</x:f>
      </x:c>
      <x:c r="DS82" s="107" t="n">
        <x:f>IF(DS$3&gt;=EDATE(INDEX('Вводные'!$D$88:$D$91,$B$64),INDEX('Вводные'!$E$88:$E$91,$B$64)+INDEX('Вводные'!$F$88:$F$91,$B$64)+'Вводные'!$H$9),DS80,0)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EDATE(INDEX('Вводные'!$D$88:$D$91,$B$64),INDEX('Вводные'!$E$88:$E$91,$B$64)+INDEX('Вводные'!$F$88:$F$91,$B$64)+'Вводные'!$H$9)),MONTH(D$3)=MONTH(EDATE(INDEX('Вводные'!$D$88:$D$91,$B$64),INDEX('Вводные'!$E$88:$E$91,$B$64)+INDEX('Вводные'!$F$88:$F$91,$B$64)+'Вводные'!$H$9)),AND($B$63="Да",IFERROR(INDEX('Вводные'!$B$88:$B$91,$B$64),"Нет")="Да")),MAX(0,SUM($D81:D81)-D81),0)</x:f>
      </x:c>
      <x:c r="E83" s="107" t="n">
        <x:f>IF(AND(YEAR(E$3)=YEAR(EDATE(INDEX('Вводные'!$D$88:$D$91,$B$64),INDEX('Вводные'!$E$88:$E$91,$B$64)+INDEX('Вводные'!$F$88:$F$91,$B$64)+'Вводные'!$H$9)),MONTH(E$3)=MONTH(EDATE(INDEX('Вводные'!$D$88:$D$91,$B$64),INDEX('Вводные'!$E$88:$E$91,$B$64)+INDEX('Вводные'!$F$88:$F$91,$B$64)+'Вводные'!$H$9)),AND($B$63="Да",IFERROR(INDEX('Вводные'!$B$88:$B$91,$B$64),"Нет")="Да")),MAX(0,SUM($D81:E81)-E81),0)</x:f>
      </x:c>
      <x:c r="F83" s="107" t="n">
        <x:f>IF(AND(YEAR(F$3)=YEAR(EDATE(INDEX('Вводные'!$D$88:$D$91,$B$64),INDEX('Вводные'!$E$88:$E$91,$B$64)+INDEX('Вводные'!$F$88:$F$91,$B$64)+'Вводные'!$H$9)),MONTH(F$3)=MONTH(EDATE(INDEX('Вводные'!$D$88:$D$91,$B$64),INDEX('Вводные'!$E$88:$E$91,$B$64)+INDEX('Вводные'!$F$88:$F$91,$B$64)+'Вводные'!$H$9)),AND($B$63="Да",IFERROR(INDEX('Вводные'!$B$88:$B$91,$B$64),"Нет")="Да")),MAX(0,SUM($D81:F81)-F81),0)</x:f>
      </x:c>
      <x:c r="G83" s="107" t="n">
        <x:f>IF(AND(YEAR(G$3)=YEAR(EDATE(INDEX('Вводные'!$D$88:$D$91,$B$64),INDEX('Вводные'!$E$88:$E$91,$B$64)+INDEX('Вводные'!$F$88:$F$91,$B$64)+'Вводные'!$H$9)),MONTH(G$3)=MONTH(EDATE(INDEX('Вводные'!$D$88:$D$91,$B$64),INDEX('Вводные'!$E$88:$E$91,$B$64)+INDEX('Вводные'!$F$88:$F$91,$B$64)+'Вводные'!$H$9)),AND($B$63="Да",IFERROR(INDEX('Вводные'!$B$88:$B$91,$B$64),"Нет")="Да")),MAX(0,SUM($D81:G81)-G81),0)</x:f>
      </x:c>
      <x:c r="H83" s="107" t="n">
        <x:f>IF(AND(YEAR(H$3)=YEAR(EDATE(INDEX('Вводные'!$D$88:$D$91,$B$64),INDEX('Вводные'!$E$88:$E$91,$B$64)+INDEX('Вводные'!$F$88:$F$91,$B$64)+'Вводные'!$H$9)),MONTH(H$3)=MONTH(EDATE(INDEX('Вводные'!$D$88:$D$91,$B$64),INDEX('Вводные'!$E$88:$E$91,$B$64)+INDEX('Вводные'!$F$88:$F$91,$B$64)+'Вводные'!$H$9)),AND($B$63="Да",IFERROR(INDEX('Вводные'!$B$88:$B$91,$B$64),"Нет")="Да")),MAX(0,SUM($D81:H81)-H81),0)</x:f>
      </x:c>
      <x:c r="I83" s="107" t="n">
        <x:f>IF(AND(YEAR(I$3)=YEAR(EDATE(INDEX('Вводные'!$D$88:$D$91,$B$64),INDEX('Вводные'!$E$88:$E$91,$B$64)+INDEX('Вводные'!$F$88:$F$91,$B$64)+'Вводные'!$H$9)),MONTH(I$3)=MONTH(EDATE(INDEX('Вводные'!$D$88:$D$91,$B$64),INDEX('Вводные'!$E$88:$E$91,$B$64)+INDEX('Вводные'!$F$88:$F$91,$B$64)+'Вводные'!$H$9)),AND($B$63="Да",IFERROR(INDEX('Вводные'!$B$88:$B$91,$B$64),"Нет")="Да")),MAX(0,SUM($D81:I81)-I81),0)</x:f>
      </x:c>
      <x:c r="J83" s="107" t="n">
        <x:f>IF(AND(YEAR(J$3)=YEAR(EDATE(INDEX('Вводные'!$D$88:$D$91,$B$64),INDEX('Вводные'!$E$88:$E$91,$B$64)+INDEX('Вводные'!$F$88:$F$91,$B$64)+'Вводные'!$H$9)),MONTH(J$3)=MONTH(EDATE(INDEX('Вводные'!$D$88:$D$91,$B$64),INDEX('Вводные'!$E$88:$E$91,$B$64)+INDEX('Вводные'!$F$88:$F$91,$B$64)+'Вводные'!$H$9)),AND($B$63="Да",IFERROR(INDEX('Вводные'!$B$88:$B$91,$B$64),"Нет")="Да")),MAX(0,SUM($D81:J81)-J81),0)</x:f>
      </x:c>
      <x:c r="K83" s="107" t="n">
        <x:f>IF(AND(YEAR(K$3)=YEAR(EDATE(INDEX('Вводные'!$D$88:$D$91,$B$64),INDEX('Вводные'!$E$88:$E$91,$B$64)+INDEX('Вводные'!$F$88:$F$91,$B$64)+'Вводные'!$H$9)),MONTH(K$3)=MONTH(EDATE(INDEX('Вводные'!$D$88:$D$91,$B$64),INDEX('Вводные'!$E$88:$E$91,$B$64)+INDEX('Вводные'!$F$88:$F$91,$B$64)+'Вводные'!$H$9)),AND($B$63="Да",IFERROR(INDEX('Вводные'!$B$88:$B$91,$B$64),"Нет")="Да")),MAX(0,SUM($D81:K81)-K81),0)</x:f>
      </x:c>
      <x:c r="L83" s="107" t="n">
        <x:f>IF(AND(YEAR(L$3)=YEAR(EDATE(INDEX('Вводные'!$D$88:$D$91,$B$64),INDEX('Вводные'!$E$88:$E$91,$B$64)+INDEX('Вводные'!$F$88:$F$91,$B$64)+'Вводные'!$H$9)),MONTH(L$3)=MONTH(EDATE(INDEX('Вводные'!$D$88:$D$91,$B$64),INDEX('Вводные'!$E$88:$E$91,$B$64)+INDEX('Вводные'!$F$88:$F$91,$B$64)+'Вводные'!$H$9)),AND($B$63="Да",IFERROR(INDEX('Вводные'!$B$88:$B$91,$B$64),"Нет")="Да")),MAX(0,SUM($D81:L81)-L81),0)</x:f>
      </x:c>
      <x:c r="M83" s="107" t="n">
        <x:f>IF(AND(YEAR(M$3)=YEAR(EDATE(INDEX('Вводные'!$D$88:$D$91,$B$64),INDEX('Вводные'!$E$88:$E$91,$B$64)+INDEX('Вводные'!$F$88:$F$91,$B$64)+'Вводные'!$H$9)),MONTH(M$3)=MONTH(EDATE(INDEX('Вводные'!$D$88:$D$91,$B$64),INDEX('Вводные'!$E$88:$E$91,$B$64)+INDEX('Вводные'!$F$88:$F$91,$B$64)+'Вводные'!$H$9)),AND($B$63="Да",IFERROR(INDEX('Вводные'!$B$88:$B$91,$B$64),"Нет")="Да")),MAX(0,SUM($D81:M81)-M81),0)</x:f>
      </x:c>
      <x:c r="N83" s="107" t="n">
        <x:f>IF(AND(YEAR(N$3)=YEAR(EDATE(INDEX('Вводные'!$D$88:$D$91,$B$64),INDEX('Вводные'!$E$88:$E$91,$B$64)+INDEX('Вводные'!$F$88:$F$91,$B$64)+'Вводные'!$H$9)),MONTH(N$3)=MONTH(EDATE(INDEX('Вводные'!$D$88:$D$91,$B$64),INDEX('Вводные'!$E$88:$E$91,$B$64)+INDEX('Вводные'!$F$88:$F$91,$B$64)+'Вводные'!$H$9)),AND($B$63="Да",IFERROR(INDEX('Вводные'!$B$88:$B$91,$B$64),"Нет")="Да")),MAX(0,SUM($D81:N81)-N81),0)</x:f>
      </x:c>
      <x:c r="O83" s="107" t="n">
        <x:f>IF(AND(YEAR(O$3)=YEAR(EDATE(INDEX('Вводные'!$D$88:$D$91,$B$64),INDEX('Вводные'!$E$88:$E$91,$B$64)+INDEX('Вводные'!$F$88:$F$91,$B$64)+'Вводные'!$H$9)),MONTH(O$3)=MONTH(EDATE(INDEX('Вводные'!$D$88:$D$91,$B$64),INDEX('Вводные'!$E$88:$E$91,$B$64)+INDEX('Вводные'!$F$88:$F$91,$B$64)+'Вводные'!$H$9)),AND($B$63="Да",IFERROR(INDEX('Вводные'!$B$88:$B$91,$B$64),"Нет")="Да")),MAX(0,SUM($D81:O81)-O81),0)</x:f>
      </x:c>
      <x:c r="P83" s="107" t="n">
        <x:f>IF(AND(YEAR(P$3)=YEAR(EDATE(INDEX('Вводные'!$D$88:$D$91,$B$64),INDEX('Вводные'!$E$88:$E$91,$B$64)+INDEX('Вводные'!$F$88:$F$91,$B$64)+'Вводные'!$H$9)),MONTH(P$3)=MONTH(EDATE(INDEX('Вводные'!$D$88:$D$91,$B$64),INDEX('Вводные'!$E$88:$E$91,$B$64)+INDEX('Вводные'!$F$88:$F$91,$B$64)+'Вводные'!$H$9)),AND($B$63="Да",IFERROR(INDEX('Вводные'!$B$88:$B$91,$B$64),"Нет")="Да")),MAX(0,SUM($D81:P81)-P81),0)</x:f>
      </x:c>
      <x:c r="Q83" s="107" t="n">
        <x:f>IF(AND(YEAR(Q$3)=YEAR(EDATE(INDEX('Вводные'!$D$88:$D$91,$B$64),INDEX('Вводные'!$E$88:$E$91,$B$64)+INDEX('Вводные'!$F$88:$F$91,$B$64)+'Вводные'!$H$9)),MONTH(Q$3)=MONTH(EDATE(INDEX('Вводные'!$D$88:$D$91,$B$64),INDEX('Вводные'!$E$88:$E$91,$B$64)+INDEX('Вводные'!$F$88:$F$91,$B$64)+'Вводные'!$H$9)),AND($B$63="Да",IFERROR(INDEX('Вводные'!$B$88:$B$91,$B$64),"Нет")="Да")),MAX(0,SUM($D81:Q81)-Q81),0)</x:f>
      </x:c>
      <x:c r="R83" s="107" t="n">
        <x:f>IF(AND(YEAR(R$3)=YEAR(EDATE(INDEX('Вводные'!$D$88:$D$91,$B$64),INDEX('Вводные'!$E$88:$E$91,$B$64)+INDEX('Вводные'!$F$88:$F$91,$B$64)+'Вводные'!$H$9)),MONTH(R$3)=MONTH(EDATE(INDEX('Вводные'!$D$88:$D$91,$B$64),INDEX('Вводные'!$E$88:$E$91,$B$64)+INDEX('Вводные'!$F$88:$F$91,$B$64)+'Вводные'!$H$9)),AND($B$63="Да",IFERROR(INDEX('Вводные'!$B$88:$B$91,$B$64),"Нет")="Да")),MAX(0,SUM($D81:R81)-R81),0)</x:f>
      </x:c>
      <x:c r="S83" s="107" t="n">
        <x:f>IF(AND(YEAR(S$3)=YEAR(EDATE(INDEX('Вводные'!$D$88:$D$91,$B$64),INDEX('Вводные'!$E$88:$E$91,$B$64)+INDEX('Вводные'!$F$88:$F$91,$B$64)+'Вводные'!$H$9)),MONTH(S$3)=MONTH(EDATE(INDEX('Вводные'!$D$88:$D$91,$B$64),INDEX('Вводные'!$E$88:$E$91,$B$64)+INDEX('Вводные'!$F$88:$F$91,$B$64)+'Вводные'!$H$9)),AND($B$63="Да",IFERROR(INDEX('Вводные'!$B$88:$B$91,$B$64),"Нет")="Да")),MAX(0,SUM($D81:S81)-S81),0)</x:f>
      </x:c>
      <x:c r="T83" s="107" t="n">
        <x:f>IF(AND(YEAR(T$3)=YEAR(EDATE(INDEX('Вводные'!$D$88:$D$91,$B$64),INDEX('Вводные'!$E$88:$E$91,$B$64)+INDEX('Вводные'!$F$88:$F$91,$B$64)+'Вводные'!$H$9)),MONTH(T$3)=MONTH(EDATE(INDEX('Вводные'!$D$88:$D$91,$B$64),INDEX('Вводные'!$E$88:$E$91,$B$64)+INDEX('Вводные'!$F$88:$F$91,$B$64)+'Вводные'!$H$9)),AND($B$63="Да",IFERROR(INDEX('Вводные'!$B$88:$B$91,$B$64),"Нет")="Да")),MAX(0,SUM($D81:T81)-T81),0)</x:f>
      </x:c>
      <x:c r="U83" s="107" t="n">
        <x:f>IF(AND(YEAR(U$3)=YEAR(EDATE(INDEX('Вводные'!$D$88:$D$91,$B$64),INDEX('Вводные'!$E$88:$E$91,$B$64)+INDEX('Вводные'!$F$88:$F$91,$B$64)+'Вводные'!$H$9)),MONTH(U$3)=MONTH(EDATE(INDEX('Вводные'!$D$88:$D$91,$B$64),INDEX('Вводные'!$E$88:$E$91,$B$64)+INDEX('Вводные'!$F$88:$F$91,$B$64)+'Вводные'!$H$9)),AND($B$63="Да",IFERROR(INDEX('Вводные'!$B$88:$B$91,$B$64),"Нет")="Да")),MAX(0,SUM($D81:U81)-U81),0)</x:f>
      </x:c>
      <x:c r="V83" s="107" t="n">
        <x:f>IF(AND(YEAR(V$3)=YEAR(EDATE(INDEX('Вводные'!$D$88:$D$91,$B$64),INDEX('Вводные'!$E$88:$E$91,$B$64)+INDEX('Вводные'!$F$88:$F$91,$B$64)+'Вводные'!$H$9)),MONTH(V$3)=MONTH(EDATE(INDEX('Вводные'!$D$88:$D$91,$B$64),INDEX('Вводные'!$E$88:$E$91,$B$64)+INDEX('Вводные'!$F$88:$F$91,$B$64)+'Вводные'!$H$9)),AND($B$63="Да",IFERROR(INDEX('Вводные'!$B$88:$B$91,$B$64),"Нет")="Да")),MAX(0,SUM($D81:V81)-V81),0)</x:f>
      </x:c>
      <x:c r="W83" s="107" t="n">
        <x:f>IF(AND(YEAR(W$3)=YEAR(EDATE(INDEX('Вводные'!$D$88:$D$91,$B$64),INDEX('Вводные'!$E$88:$E$91,$B$64)+INDEX('Вводные'!$F$88:$F$91,$B$64)+'Вводные'!$H$9)),MONTH(W$3)=MONTH(EDATE(INDEX('Вводные'!$D$88:$D$91,$B$64),INDEX('Вводные'!$E$88:$E$91,$B$64)+INDEX('Вводные'!$F$88:$F$91,$B$64)+'Вводные'!$H$9)),AND($B$63="Да",IFERROR(INDEX('Вводные'!$B$88:$B$91,$B$64),"Нет")="Да")),MAX(0,SUM($D81:W81)-W81),0)</x:f>
      </x:c>
      <x:c r="X83" s="107" t="n">
        <x:f>IF(AND(YEAR(X$3)=YEAR(EDATE(INDEX('Вводные'!$D$88:$D$91,$B$64),INDEX('Вводные'!$E$88:$E$91,$B$64)+INDEX('Вводные'!$F$88:$F$91,$B$64)+'Вводные'!$H$9)),MONTH(X$3)=MONTH(EDATE(INDEX('Вводные'!$D$88:$D$91,$B$64),INDEX('Вводные'!$E$88:$E$91,$B$64)+INDEX('Вводные'!$F$88:$F$91,$B$64)+'Вводные'!$H$9)),AND($B$63="Да",IFERROR(INDEX('Вводные'!$B$88:$B$91,$B$64),"Нет")="Да")),MAX(0,SUM($D81:X81)-X81),0)</x:f>
      </x:c>
      <x:c r="Y83" s="107" t="n">
        <x:f>IF(AND(YEAR(Y$3)=YEAR(EDATE(INDEX('Вводные'!$D$88:$D$91,$B$64),INDEX('Вводные'!$E$88:$E$91,$B$64)+INDEX('Вводные'!$F$88:$F$91,$B$64)+'Вводные'!$H$9)),MONTH(Y$3)=MONTH(EDATE(INDEX('Вводные'!$D$88:$D$91,$B$64),INDEX('Вводные'!$E$88:$E$91,$B$64)+INDEX('Вводные'!$F$88:$F$91,$B$64)+'Вводные'!$H$9)),AND($B$63="Да",IFERROR(INDEX('Вводные'!$B$88:$B$91,$B$64),"Нет")="Да")),MAX(0,SUM($D81:Y81)-Y81),0)</x:f>
      </x:c>
      <x:c r="Z83" s="107" t="n">
        <x:f>IF(AND(YEAR(Z$3)=YEAR(EDATE(INDEX('Вводные'!$D$88:$D$91,$B$64),INDEX('Вводные'!$E$88:$E$91,$B$64)+INDEX('Вводные'!$F$88:$F$91,$B$64)+'Вводные'!$H$9)),MONTH(Z$3)=MONTH(EDATE(INDEX('Вводные'!$D$88:$D$91,$B$64),INDEX('Вводные'!$E$88:$E$91,$B$64)+INDEX('Вводные'!$F$88:$F$91,$B$64)+'Вводные'!$H$9)),AND($B$63="Да",IFERROR(INDEX('Вводные'!$B$88:$B$91,$B$64),"Нет")="Да")),MAX(0,SUM($D81:Z81)-Z81),0)</x:f>
      </x:c>
      <x:c r="AA83" s="107" t="n">
        <x:f>IF(AND(YEAR(AA$3)=YEAR(EDATE(INDEX('Вводные'!$D$88:$D$91,$B$64),INDEX('Вводные'!$E$88:$E$91,$B$64)+INDEX('Вводные'!$F$88:$F$91,$B$64)+'Вводные'!$H$9)),MONTH(AA$3)=MONTH(EDATE(INDEX('Вводные'!$D$88:$D$91,$B$64),INDEX('Вводные'!$E$88:$E$91,$B$64)+INDEX('Вводные'!$F$88:$F$91,$B$64)+'Вводные'!$H$9)),AND($B$63="Да",IFERROR(INDEX('Вводные'!$B$88:$B$91,$B$64),"Нет")="Да")),MAX(0,SUM($D81:AA81)-AA81),0)</x:f>
      </x:c>
      <x:c r="AB83" s="107" t="n">
        <x:f>IF(AND(YEAR(AB$3)=YEAR(EDATE(INDEX('Вводные'!$D$88:$D$91,$B$64),INDEX('Вводные'!$E$88:$E$91,$B$64)+INDEX('Вводные'!$F$88:$F$91,$B$64)+'Вводные'!$H$9)),MONTH(AB$3)=MONTH(EDATE(INDEX('Вводные'!$D$88:$D$91,$B$64),INDEX('Вводные'!$E$88:$E$91,$B$64)+INDEX('Вводные'!$F$88:$F$91,$B$64)+'Вводные'!$H$9)),AND($B$63="Да",IFERROR(INDEX('Вводные'!$B$88:$B$91,$B$64),"Нет")="Да")),MAX(0,SUM($D81:AB81)-AB81),0)</x:f>
      </x:c>
      <x:c r="AC83" s="107" t="n">
        <x:f>IF(AND(YEAR(AC$3)=YEAR(EDATE(INDEX('Вводные'!$D$88:$D$91,$B$64),INDEX('Вводные'!$E$88:$E$91,$B$64)+INDEX('Вводные'!$F$88:$F$91,$B$64)+'Вводные'!$H$9)),MONTH(AC$3)=MONTH(EDATE(INDEX('Вводные'!$D$88:$D$91,$B$64),INDEX('Вводные'!$E$88:$E$91,$B$64)+INDEX('Вводные'!$F$88:$F$91,$B$64)+'Вводные'!$H$9)),AND($B$63="Да",IFERROR(INDEX('Вводные'!$B$88:$B$91,$B$64),"Нет")="Да")),MAX(0,SUM($D81:AC81)-AC81),0)</x:f>
      </x:c>
      <x:c r="AD83" s="107" t="n">
        <x:f>IF(AND(YEAR(AD$3)=YEAR(EDATE(INDEX('Вводные'!$D$88:$D$91,$B$64),INDEX('Вводные'!$E$88:$E$91,$B$64)+INDEX('Вводные'!$F$88:$F$91,$B$64)+'Вводные'!$H$9)),MONTH(AD$3)=MONTH(EDATE(INDEX('Вводные'!$D$88:$D$91,$B$64),INDEX('Вводные'!$E$88:$E$91,$B$64)+INDEX('Вводные'!$F$88:$F$91,$B$64)+'Вводные'!$H$9)),AND($B$63="Да",IFERROR(INDEX('Вводные'!$B$88:$B$91,$B$64),"Нет")="Да")),MAX(0,SUM($D81:AD81)-AD81),0)</x:f>
      </x:c>
      <x:c r="AE83" s="107" t="n">
        <x:f>IF(AND(YEAR(AE$3)=YEAR(EDATE(INDEX('Вводные'!$D$88:$D$91,$B$64),INDEX('Вводные'!$E$88:$E$91,$B$64)+INDEX('Вводные'!$F$88:$F$91,$B$64)+'Вводные'!$H$9)),MONTH(AE$3)=MONTH(EDATE(INDEX('Вводные'!$D$88:$D$91,$B$64),INDEX('Вводные'!$E$88:$E$91,$B$64)+INDEX('Вводные'!$F$88:$F$91,$B$64)+'Вводные'!$H$9)),AND($B$63="Да",IFERROR(INDEX('Вводные'!$B$88:$B$91,$B$64),"Нет")="Да")),MAX(0,SUM($D81:AE81)-AE81),0)</x:f>
      </x:c>
      <x:c r="AF83" s="107" t="n">
        <x:f>IF(AND(YEAR(AF$3)=YEAR(EDATE(INDEX('Вводные'!$D$88:$D$91,$B$64),INDEX('Вводные'!$E$88:$E$91,$B$64)+INDEX('Вводные'!$F$88:$F$91,$B$64)+'Вводные'!$H$9)),MONTH(AF$3)=MONTH(EDATE(INDEX('Вводные'!$D$88:$D$91,$B$64),INDEX('Вводные'!$E$88:$E$91,$B$64)+INDEX('Вводные'!$F$88:$F$91,$B$64)+'Вводные'!$H$9)),AND($B$63="Да",IFERROR(INDEX('Вводные'!$B$88:$B$91,$B$64),"Нет")="Да")),MAX(0,SUM($D81:AF81)-AF81),0)</x:f>
      </x:c>
      <x:c r="AG83" s="107" t="n">
        <x:f>IF(AND(YEAR(AG$3)=YEAR(EDATE(INDEX('Вводные'!$D$88:$D$91,$B$64),INDEX('Вводные'!$E$88:$E$91,$B$64)+INDEX('Вводные'!$F$88:$F$91,$B$64)+'Вводные'!$H$9)),MONTH(AG$3)=MONTH(EDATE(INDEX('Вводные'!$D$88:$D$91,$B$64),INDEX('Вводные'!$E$88:$E$91,$B$64)+INDEX('Вводные'!$F$88:$F$91,$B$64)+'Вводные'!$H$9)),AND($B$63="Да",IFERROR(INDEX('Вводные'!$B$88:$B$91,$B$64),"Нет")="Да")),MAX(0,SUM($D81:AG81)-AG81),0)</x:f>
      </x:c>
      <x:c r="AH83" s="107" t="n">
        <x:f>IF(AND(YEAR(AH$3)=YEAR(EDATE(INDEX('Вводные'!$D$88:$D$91,$B$64),INDEX('Вводные'!$E$88:$E$91,$B$64)+INDEX('Вводные'!$F$88:$F$91,$B$64)+'Вводные'!$H$9)),MONTH(AH$3)=MONTH(EDATE(INDEX('Вводные'!$D$88:$D$91,$B$64),INDEX('Вводные'!$E$88:$E$91,$B$64)+INDEX('Вводные'!$F$88:$F$91,$B$64)+'Вводные'!$H$9)),AND($B$63="Да",IFERROR(INDEX('Вводные'!$B$88:$B$91,$B$64),"Нет")="Да")),MAX(0,SUM($D81:AH81)-AH81),0)</x:f>
      </x:c>
      <x:c r="AI83" s="107" t="n">
        <x:f>IF(AND(YEAR(AI$3)=YEAR(EDATE(INDEX('Вводные'!$D$88:$D$91,$B$64),INDEX('Вводные'!$E$88:$E$91,$B$64)+INDEX('Вводные'!$F$88:$F$91,$B$64)+'Вводные'!$H$9)),MONTH(AI$3)=MONTH(EDATE(INDEX('Вводные'!$D$88:$D$91,$B$64),INDEX('Вводные'!$E$88:$E$91,$B$64)+INDEX('Вводные'!$F$88:$F$91,$B$64)+'Вводные'!$H$9)),AND($B$63="Да",IFERROR(INDEX('Вводные'!$B$88:$B$91,$B$64),"Нет")="Да")),MAX(0,SUM($D81:AI81)-AI81),0)</x:f>
      </x:c>
      <x:c r="AJ83" s="107" t="n">
        <x:f>IF(AND(YEAR(AJ$3)=YEAR(EDATE(INDEX('Вводные'!$D$88:$D$91,$B$64),INDEX('Вводные'!$E$88:$E$91,$B$64)+INDEX('Вводные'!$F$88:$F$91,$B$64)+'Вводные'!$H$9)),MONTH(AJ$3)=MONTH(EDATE(INDEX('Вводные'!$D$88:$D$91,$B$64),INDEX('Вводные'!$E$88:$E$91,$B$64)+INDEX('Вводные'!$F$88:$F$91,$B$64)+'Вводные'!$H$9)),AND($B$63="Да",IFERROR(INDEX('Вводные'!$B$88:$B$91,$B$64),"Нет")="Да")),MAX(0,SUM($D81:AJ81)-AJ81),0)</x:f>
      </x:c>
      <x:c r="AK83" s="107" t="n">
        <x:f>IF(AND(YEAR(AK$3)=YEAR(EDATE(INDEX('Вводные'!$D$88:$D$91,$B$64),INDEX('Вводные'!$E$88:$E$91,$B$64)+INDEX('Вводные'!$F$88:$F$91,$B$64)+'Вводные'!$H$9)),MONTH(AK$3)=MONTH(EDATE(INDEX('Вводные'!$D$88:$D$91,$B$64),INDEX('Вводные'!$E$88:$E$91,$B$64)+INDEX('Вводные'!$F$88:$F$91,$B$64)+'Вводные'!$H$9)),AND($B$63="Да",IFERROR(INDEX('Вводные'!$B$88:$B$91,$B$64),"Нет")="Да")),MAX(0,SUM($D81:AK81)-AK81),0)</x:f>
      </x:c>
      <x:c r="AL83" s="107" t="n">
        <x:f>IF(AND(YEAR(AL$3)=YEAR(EDATE(INDEX('Вводные'!$D$88:$D$91,$B$64),INDEX('Вводные'!$E$88:$E$91,$B$64)+INDEX('Вводные'!$F$88:$F$91,$B$64)+'Вводные'!$H$9)),MONTH(AL$3)=MONTH(EDATE(INDEX('Вводные'!$D$88:$D$91,$B$64),INDEX('Вводные'!$E$88:$E$91,$B$64)+INDEX('Вводные'!$F$88:$F$91,$B$64)+'Вводные'!$H$9)),AND($B$63="Да",IFERROR(INDEX('Вводные'!$B$88:$B$91,$B$64),"Нет")="Да")),MAX(0,SUM($D81:AL81)-AL81),0)</x:f>
      </x:c>
      <x:c r="AM83" s="107" t="n">
        <x:f>IF(AND(YEAR(AM$3)=YEAR(EDATE(INDEX('Вводные'!$D$88:$D$91,$B$64),INDEX('Вводные'!$E$88:$E$91,$B$64)+INDEX('Вводные'!$F$88:$F$91,$B$64)+'Вводные'!$H$9)),MONTH(AM$3)=MONTH(EDATE(INDEX('Вводные'!$D$88:$D$91,$B$64),INDEX('Вводные'!$E$88:$E$91,$B$64)+INDEX('Вводные'!$F$88:$F$91,$B$64)+'Вводные'!$H$9)),AND($B$63="Да",IFERROR(INDEX('Вводные'!$B$88:$B$91,$B$64),"Нет")="Да")),MAX(0,SUM($D81:AM81)-AM81),0)</x:f>
      </x:c>
      <x:c r="AN83" s="107" t="n">
        <x:f>IF(AND(YEAR(AN$3)=YEAR(EDATE(INDEX('Вводные'!$D$88:$D$91,$B$64),INDEX('Вводные'!$E$88:$E$91,$B$64)+INDEX('Вводные'!$F$88:$F$91,$B$64)+'Вводные'!$H$9)),MONTH(AN$3)=MONTH(EDATE(INDEX('Вводные'!$D$88:$D$91,$B$64),INDEX('Вводные'!$E$88:$E$91,$B$64)+INDEX('Вводные'!$F$88:$F$91,$B$64)+'Вводные'!$H$9)),AND($B$63="Да",IFERROR(INDEX('Вводные'!$B$88:$B$91,$B$64),"Нет")="Да")),MAX(0,SUM($D81:AN81)-AN81),0)</x:f>
      </x:c>
      <x:c r="AO83" s="107" t="n">
        <x:f>IF(AND(YEAR(AO$3)=YEAR(EDATE(INDEX('Вводные'!$D$88:$D$91,$B$64),INDEX('Вводные'!$E$88:$E$91,$B$64)+INDEX('Вводные'!$F$88:$F$91,$B$64)+'Вводные'!$H$9)),MONTH(AO$3)=MONTH(EDATE(INDEX('Вводные'!$D$88:$D$91,$B$64),INDEX('Вводные'!$E$88:$E$91,$B$64)+INDEX('Вводные'!$F$88:$F$91,$B$64)+'Вводные'!$H$9)),AND($B$63="Да",IFERROR(INDEX('Вводные'!$B$88:$B$91,$B$64),"Нет")="Да")),MAX(0,SUM($D81:AO81)-AO81),0)</x:f>
      </x:c>
      <x:c r="AP83" s="107" t="n">
        <x:f>IF(AND(YEAR(AP$3)=YEAR(EDATE(INDEX('Вводные'!$D$88:$D$91,$B$64),INDEX('Вводные'!$E$88:$E$91,$B$64)+INDEX('Вводные'!$F$88:$F$91,$B$64)+'Вводные'!$H$9)),MONTH(AP$3)=MONTH(EDATE(INDEX('Вводные'!$D$88:$D$91,$B$64),INDEX('Вводные'!$E$88:$E$91,$B$64)+INDEX('Вводные'!$F$88:$F$91,$B$64)+'Вводные'!$H$9)),AND($B$63="Да",IFERROR(INDEX('Вводные'!$B$88:$B$91,$B$64),"Нет")="Да")),MAX(0,SUM($D81:AP81)-AP81),0)</x:f>
      </x:c>
      <x:c r="AQ83" s="107" t="n">
        <x:f>IF(AND(YEAR(AQ$3)=YEAR(EDATE(INDEX('Вводные'!$D$88:$D$91,$B$64),INDEX('Вводные'!$E$88:$E$91,$B$64)+INDEX('Вводные'!$F$88:$F$91,$B$64)+'Вводные'!$H$9)),MONTH(AQ$3)=MONTH(EDATE(INDEX('Вводные'!$D$88:$D$91,$B$64),INDEX('Вводные'!$E$88:$E$91,$B$64)+INDEX('Вводные'!$F$88:$F$91,$B$64)+'Вводные'!$H$9)),AND($B$63="Да",IFERROR(INDEX('Вводные'!$B$88:$B$91,$B$64),"Нет")="Да")),MAX(0,SUM($D81:AQ81)-AQ81),0)</x:f>
      </x:c>
      <x:c r="AR83" s="107" t="n">
        <x:f>IF(AND(YEAR(AR$3)=YEAR(EDATE(INDEX('Вводные'!$D$88:$D$91,$B$64),INDEX('Вводные'!$E$88:$E$91,$B$64)+INDEX('Вводные'!$F$88:$F$91,$B$64)+'Вводные'!$H$9)),MONTH(AR$3)=MONTH(EDATE(INDEX('Вводные'!$D$88:$D$91,$B$64),INDEX('Вводные'!$E$88:$E$91,$B$64)+INDEX('Вводные'!$F$88:$F$91,$B$64)+'Вводные'!$H$9)),AND($B$63="Да",IFERROR(INDEX('Вводные'!$B$88:$B$91,$B$64),"Нет")="Да")),MAX(0,SUM($D81:AR81)-AR81),0)</x:f>
      </x:c>
      <x:c r="AS83" s="107" t="n">
        <x:f>IF(AND(YEAR(AS$3)=YEAR(EDATE(INDEX('Вводные'!$D$88:$D$91,$B$64),INDEX('Вводные'!$E$88:$E$91,$B$64)+INDEX('Вводные'!$F$88:$F$91,$B$64)+'Вводные'!$H$9)),MONTH(AS$3)=MONTH(EDATE(INDEX('Вводные'!$D$88:$D$91,$B$64),INDEX('Вводные'!$E$88:$E$91,$B$64)+INDEX('Вводные'!$F$88:$F$91,$B$64)+'Вводные'!$H$9)),AND($B$63="Да",IFERROR(INDEX('Вводные'!$B$88:$B$91,$B$64),"Нет")="Да")),MAX(0,SUM($D81:AS81)-AS81),0)</x:f>
      </x:c>
      <x:c r="AT83" s="107" t="n">
        <x:f>IF(AND(YEAR(AT$3)=YEAR(EDATE(INDEX('Вводные'!$D$88:$D$91,$B$64),INDEX('Вводные'!$E$88:$E$91,$B$64)+INDEX('Вводные'!$F$88:$F$91,$B$64)+'Вводные'!$H$9)),MONTH(AT$3)=MONTH(EDATE(INDEX('Вводные'!$D$88:$D$91,$B$64),INDEX('Вводные'!$E$88:$E$91,$B$64)+INDEX('Вводные'!$F$88:$F$91,$B$64)+'Вводные'!$H$9)),AND($B$63="Да",IFERROR(INDEX('Вводные'!$B$88:$B$91,$B$64),"Нет")="Да")),MAX(0,SUM($D81:AT81)-AT81),0)</x:f>
      </x:c>
      <x:c r="AU83" s="107" t="n">
        <x:f>IF(AND(YEAR(AU$3)=YEAR(EDATE(INDEX('Вводные'!$D$88:$D$91,$B$64),INDEX('Вводные'!$E$88:$E$91,$B$64)+INDEX('Вводные'!$F$88:$F$91,$B$64)+'Вводные'!$H$9)),MONTH(AU$3)=MONTH(EDATE(INDEX('Вводные'!$D$88:$D$91,$B$64),INDEX('Вводные'!$E$88:$E$91,$B$64)+INDEX('Вводные'!$F$88:$F$91,$B$64)+'Вводные'!$H$9)),AND($B$63="Да",IFERROR(INDEX('Вводные'!$B$88:$B$91,$B$64),"Нет")="Да")),MAX(0,SUM($D81:AU81)-AU81),0)</x:f>
      </x:c>
      <x:c r="AV83" s="107" t="n">
        <x:f>IF(AND(YEAR(AV$3)=YEAR(EDATE(INDEX('Вводные'!$D$88:$D$91,$B$64),INDEX('Вводные'!$E$88:$E$91,$B$64)+INDEX('Вводные'!$F$88:$F$91,$B$64)+'Вводные'!$H$9)),MONTH(AV$3)=MONTH(EDATE(INDEX('Вводные'!$D$88:$D$91,$B$64),INDEX('Вводные'!$E$88:$E$91,$B$64)+INDEX('Вводные'!$F$88:$F$91,$B$64)+'Вводные'!$H$9)),AND($B$63="Да",IFERROR(INDEX('Вводные'!$B$88:$B$91,$B$64),"Нет")="Да")),MAX(0,SUM($D81:AV81)-AV81),0)</x:f>
      </x:c>
      <x:c r="AW83" s="107" t="n">
        <x:f>IF(AND(YEAR(AW$3)=YEAR(EDATE(INDEX('Вводные'!$D$88:$D$91,$B$64),INDEX('Вводные'!$E$88:$E$91,$B$64)+INDEX('Вводные'!$F$88:$F$91,$B$64)+'Вводные'!$H$9)),MONTH(AW$3)=MONTH(EDATE(INDEX('Вводные'!$D$88:$D$91,$B$64),INDEX('Вводные'!$E$88:$E$91,$B$64)+INDEX('Вводные'!$F$88:$F$91,$B$64)+'Вводные'!$H$9)),AND($B$63="Да",IFERROR(INDEX('Вводные'!$B$88:$B$91,$B$64),"Нет")="Да")),MAX(0,SUM($D81:AW81)-AW81),0)</x:f>
      </x:c>
      <x:c r="AX83" s="107" t="n">
        <x:f>IF(AND(YEAR(AX$3)=YEAR(EDATE(INDEX('Вводные'!$D$88:$D$91,$B$64),INDEX('Вводные'!$E$88:$E$91,$B$64)+INDEX('Вводные'!$F$88:$F$91,$B$64)+'Вводные'!$H$9)),MONTH(AX$3)=MONTH(EDATE(INDEX('Вводные'!$D$88:$D$91,$B$64),INDEX('Вводные'!$E$88:$E$91,$B$64)+INDEX('Вводные'!$F$88:$F$91,$B$64)+'Вводные'!$H$9)),AND($B$63="Да",IFERROR(INDEX('Вводные'!$B$88:$B$91,$B$64),"Нет")="Да")),MAX(0,SUM($D81:AX81)-AX81),0)</x:f>
      </x:c>
      <x:c r="AY83" s="107" t="n">
        <x:f>IF(AND(YEAR(AY$3)=YEAR(EDATE(INDEX('Вводные'!$D$88:$D$91,$B$64),INDEX('Вводные'!$E$88:$E$91,$B$64)+INDEX('Вводные'!$F$88:$F$91,$B$64)+'Вводные'!$H$9)),MONTH(AY$3)=MONTH(EDATE(INDEX('Вводные'!$D$88:$D$91,$B$64),INDEX('Вводные'!$E$88:$E$91,$B$64)+INDEX('Вводные'!$F$88:$F$91,$B$64)+'Вводные'!$H$9)),AND($B$63="Да",IFERROR(INDEX('Вводные'!$B$88:$B$91,$B$64),"Нет")="Да")),MAX(0,SUM($D81:AY81)-AY81),0)</x:f>
      </x:c>
      <x:c r="AZ83" s="107" t="n">
        <x:f>IF(AND(YEAR(AZ$3)=YEAR(EDATE(INDEX('Вводные'!$D$88:$D$91,$B$64),INDEX('Вводные'!$E$88:$E$91,$B$64)+INDEX('Вводные'!$F$88:$F$91,$B$64)+'Вводные'!$H$9)),MONTH(AZ$3)=MONTH(EDATE(INDEX('Вводные'!$D$88:$D$91,$B$64),INDEX('Вводные'!$E$88:$E$91,$B$64)+INDEX('Вводные'!$F$88:$F$91,$B$64)+'Вводные'!$H$9)),AND($B$63="Да",IFERROR(INDEX('Вводные'!$B$88:$B$91,$B$64),"Нет")="Да")),MAX(0,SUM($D81:AZ81)-AZ81),0)</x:f>
      </x:c>
      <x:c r="BA83" s="107" t="n">
        <x:f>IF(AND(YEAR(BA$3)=YEAR(EDATE(INDEX('Вводные'!$D$88:$D$91,$B$64),INDEX('Вводные'!$E$88:$E$91,$B$64)+INDEX('Вводные'!$F$88:$F$91,$B$64)+'Вводные'!$H$9)),MONTH(BA$3)=MONTH(EDATE(INDEX('Вводные'!$D$88:$D$91,$B$64),INDEX('Вводные'!$E$88:$E$91,$B$64)+INDEX('Вводные'!$F$88:$F$91,$B$64)+'Вводные'!$H$9)),AND($B$63="Да",IFERROR(INDEX('Вводные'!$B$88:$B$91,$B$64),"Нет")="Да")),MAX(0,SUM($D81:BA81)-BA81),0)</x:f>
      </x:c>
      <x:c r="BB83" s="107" t="n">
        <x:f>IF(AND(YEAR(BB$3)=YEAR(EDATE(INDEX('Вводные'!$D$88:$D$91,$B$64),INDEX('Вводные'!$E$88:$E$91,$B$64)+INDEX('Вводные'!$F$88:$F$91,$B$64)+'Вводные'!$H$9)),MONTH(BB$3)=MONTH(EDATE(INDEX('Вводные'!$D$88:$D$91,$B$64),INDEX('Вводные'!$E$88:$E$91,$B$64)+INDEX('Вводные'!$F$88:$F$91,$B$64)+'Вводные'!$H$9)),AND($B$63="Да",IFERROR(INDEX('Вводные'!$B$88:$B$91,$B$64),"Нет")="Да")),MAX(0,SUM($D81:BB81)-BB81),0)</x:f>
      </x:c>
      <x:c r="BC83" s="107" t="n">
        <x:f>IF(AND(YEAR(BC$3)=YEAR(EDATE(INDEX('Вводные'!$D$88:$D$91,$B$64),INDEX('Вводные'!$E$88:$E$91,$B$64)+INDEX('Вводные'!$F$88:$F$91,$B$64)+'Вводные'!$H$9)),MONTH(BC$3)=MONTH(EDATE(INDEX('Вводные'!$D$88:$D$91,$B$64),INDEX('Вводные'!$E$88:$E$91,$B$64)+INDEX('Вводные'!$F$88:$F$91,$B$64)+'Вводные'!$H$9)),AND($B$63="Да",IFERROR(INDEX('Вводные'!$B$88:$B$91,$B$64),"Нет")="Да")),MAX(0,SUM($D81:BC81)-BC81),0)</x:f>
      </x:c>
      <x:c r="BD83" s="107" t="n">
        <x:f>IF(AND(YEAR(BD$3)=YEAR(EDATE(INDEX('Вводные'!$D$88:$D$91,$B$64),INDEX('Вводные'!$E$88:$E$91,$B$64)+INDEX('Вводные'!$F$88:$F$91,$B$64)+'Вводные'!$H$9)),MONTH(BD$3)=MONTH(EDATE(INDEX('Вводные'!$D$88:$D$91,$B$64),INDEX('Вводные'!$E$88:$E$91,$B$64)+INDEX('Вводные'!$F$88:$F$91,$B$64)+'Вводные'!$H$9)),AND($B$63="Да",IFERROR(INDEX('Вводные'!$B$88:$B$91,$B$64),"Нет")="Да")),MAX(0,SUM($D81:BD81)-BD81),0)</x:f>
      </x:c>
      <x:c r="BE83" s="107" t="n">
        <x:f>IF(AND(YEAR(BE$3)=YEAR(EDATE(INDEX('Вводные'!$D$88:$D$91,$B$64),INDEX('Вводные'!$E$88:$E$91,$B$64)+INDEX('Вводные'!$F$88:$F$91,$B$64)+'Вводные'!$H$9)),MONTH(BE$3)=MONTH(EDATE(INDEX('Вводные'!$D$88:$D$91,$B$64),INDEX('Вводные'!$E$88:$E$91,$B$64)+INDEX('Вводные'!$F$88:$F$91,$B$64)+'Вводные'!$H$9)),AND($B$63="Да",IFERROR(INDEX('Вводные'!$B$88:$B$91,$B$64),"Нет")="Да")),MAX(0,SUM($D81:BE81)-BE81),0)</x:f>
      </x:c>
      <x:c r="BF83" s="107" t="n">
        <x:f>IF(AND(YEAR(BF$3)=YEAR(EDATE(INDEX('Вводные'!$D$88:$D$91,$B$64),INDEX('Вводные'!$E$88:$E$91,$B$64)+INDEX('Вводные'!$F$88:$F$91,$B$64)+'Вводные'!$H$9)),MONTH(BF$3)=MONTH(EDATE(INDEX('Вводные'!$D$88:$D$91,$B$64),INDEX('Вводные'!$E$88:$E$91,$B$64)+INDEX('Вводные'!$F$88:$F$91,$B$64)+'Вводные'!$H$9)),AND($B$63="Да",IFERROR(INDEX('Вводные'!$B$88:$B$91,$B$64),"Нет")="Да")),MAX(0,SUM($D81:BF81)-BF81),0)</x:f>
      </x:c>
      <x:c r="BG83" s="107" t="n">
        <x:f>IF(AND(YEAR(BG$3)=YEAR(EDATE(INDEX('Вводные'!$D$88:$D$91,$B$64),INDEX('Вводные'!$E$88:$E$91,$B$64)+INDEX('Вводные'!$F$88:$F$91,$B$64)+'Вводные'!$H$9)),MONTH(BG$3)=MONTH(EDATE(INDEX('Вводные'!$D$88:$D$91,$B$64),INDEX('Вводные'!$E$88:$E$91,$B$64)+INDEX('Вводные'!$F$88:$F$91,$B$64)+'Вводные'!$H$9)),AND($B$63="Да",IFERROR(INDEX('Вводные'!$B$88:$B$91,$B$64),"Нет")="Да")),MAX(0,SUM($D81:BG81)-BG81),0)</x:f>
      </x:c>
      <x:c r="BH83" s="107" t="n">
        <x:f>IF(AND(YEAR(BH$3)=YEAR(EDATE(INDEX('Вводные'!$D$88:$D$91,$B$64),INDEX('Вводные'!$E$88:$E$91,$B$64)+INDEX('Вводные'!$F$88:$F$91,$B$64)+'Вводные'!$H$9)),MONTH(BH$3)=MONTH(EDATE(INDEX('Вводные'!$D$88:$D$91,$B$64),INDEX('Вводные'!$E$88:$E$91,$B$64)+INDEX('Вводные'!$F$88:$F$91,$B$64)+'Вводные'!$H$9)),AND($B$63="Да",IFERROR(INDEX('Вводные'!$B$88:$B$91,$B$64),"Нет")="Да")),MAX(0,SUM($D81:BH81)-BH81),0)</x:f>
      </x:c>
      <x:c r="BI83" s="107" t="n">
        <x:f>IF(AND(YEAR(BI$3)=YEAR(EDATE(INDEX('Вводные'!$D$88:$D$91,$B$64),INDEX('Вводные'!$E$88:$E$91,$B$64)+INDEX('Вводные'!$F$88:$F$91,$B$64)+'Вводные'!$H$9)),MONTH(BI$3)=MONTH(EDATE(INDEX('Вводные'!$D$88:$D$91,$B$64),INDEX('Вводные'!$E$88:$E$91,$B$64)+INDEX('Вводные'!$F$88:$F$91,$B$64)+'Вводные'!$H$9)),AND($B$63="Да",IFERROR(INDEX('Вводные'!$B$88:$B$91,$B$64),"Нет")="Да")),MAX(0,SUM($D81:BI81)-BI81),0)</x:f>
      </x:c>
      <x:c r="BJ83" s="107" t="n">
        <x:f>IF(AND(YEAR(BJ$3)=YEAR(EDATE(INDEX('Вводные'!$D$88:$D$91,$B$64),INDEX('Вводные'!$E$88:$E$91,$B$64)+INDEX('Вводные'!$F$88:$F$91,$B$64)+'Вводные'!$H$9)),MONTH(BJ$3)=MONTH(EDATE(INDEX('Вводные'!$D$88:$D$91,$B$64),INDEX('Вводные'!$E$88:$E$91,$B$64)+INDEX('Вводные'!$F$88:$F$91,$B$64)+'Вводные'!$H$9)),AND($B$63="Да",IFERROR(INDEX('Вводные'!$B$88:$B$91,$B$64),"Нет")="Да")),MAX(0,SUM($D81:BJ81)-BJ81),0)</x:f>
      </x:c>
      <x:c r="BK83" s="107" t="n">
        <x:f>IF(AND(YEAR(BK$3)=YEAR(EDATE(INDEX('Вводные'!$D$88:$D$91,$B$64),INDEX('Вводные'!$E$88:$E$91,$B$64)+INDEX('Вводные'!$F$88:$F$91,$B$64)+'Вводные'!$H$9)),MONTH(BK$3)=MONTH(EDATE(INDEX('Вводные'!$D$88:$D$91,$B$64),INDEX('Вводные'!$E$88:$E$91,$B$64)+INDEX('Вводные'!$F$88:$F$91,$B$64)+'Вводные'!$H$9)),AND($B$63="Да",IFERROR(INDEX('Вводные'!$B$88:$B$91,$B$64),"Нет")="Да")),MAX(0,SUM($D81:BK81)-BK81),0)</x:f>
      </x:c>
      <x:c r="BL83" s="107" t="n">
        <x:f>IF(AND(YEAR(BL$3)=YEAR(EDATE(INDEX('Вводные'!$D$88:$D$91,$B$64),INDEX('Вводные'!$E$88:$E$91,$B$64)+INDEX('Вводные'!$F$88:$F$91,$B$64)+'Вводные'!$H$9)),MONTH(BL$3)=MONTH(EDATE(INDEX('Вводные'!$D$88:$D$91,$B$64),INDEX('Вводные'!$E$88:$E$91,$B$64)+INDEX('Вводные'!$F$88:$F$91,$B$64)+'Вводные'!$H$9)),AND($B$63="Да",IFERROR(INDEX('Вводные'!$B$88:$B$91,$B$64),"Нет")="Да")),MAX(0,SUM($D81:BL81)-BL81),0)</x:f>
      </x:c>
      <x:c r="BM83" s="107" t="n">
        <x:f>IF(AND(YEAR(BM$3)=YEAR(EDATE(INDEX('Вводные'!$D$88:$D$91,$B$64),INDEX('Вводные'!$E$88:$E$91,$B$64)+INDEX('Вводные'!$F$88:$F$91,$B$64)+'Вводные'!$H$9)),MONTH(BM$3)=MONTH(EDATE(INDEX('Вводные'!$D$88:$D$91,$B$64),INDEX('Вводные'!$E$88:$E$91,$B$64)+INDEX('Вводные'!$F$88:$F$91,$B$64)+'Вводные'!$H$9)),AND($B$63="Да",IFERROR(INDEX('Вводные'!$B$88:$B$91,$B$64),"Нет")="Да")),MAX(0,SUM($D81:BM81)-BM81),0)</x:f>
      </x:c>
      <x:c r="BN83" s="107" t="n">
        <x:f>IF(AND(YEAR(BN$3)=YEAR(EDATE(INDEX('Вводные'!$D$88:$D$91,$B$64),INDEX('Вводные'!$E$88:$E$91,$B$64)+INDEX('Вводные'!$F$88:$F$91,$B$64)+'Вводные'!$H$9)),MONTH(BN$3)=MONTH(EDATE(INDEX('Вводные'!$D$88:$D$91,$B$64),INDEX('Вводные'!$E$88:$E$91,$B$64)+INDEX('Вводные'!$F$88:$F$91,$B$64)+'Вводные'!$H$9)),AND($B$63="Да",IFERROR(INDEX('Вводные'!$B$88:$B$91,$B$64),"Нет")="Да")),MAX(0,SUM($D81:BN81)-BN81),0)</x:f>
      </x:c>
      <x:c r="BO83" s="107" t="n">
        <x:f>IF(AND(YEAR(BO$3)=YEAR(EDATE(INDEX('Вводные'!$D$88:$D$91,$B$64),INDEX('Вводные'!$E$88:$E$91,$B$64)+INDEX('Вводные'!$F$88:$F$91,$B$64)+'Вводные'!$H$9)),MONTH(BO$3)=MONTH(EDATE(INDEX('Вводные'!$D$88:$D$91,$B$64),INDEX('Вводные'!$E$88:$E$91,$B$64)+INDEX('Вводные'!$F$88:$F$91,$B$64)+'Вводные'!$H$9)),AND($B$63="Да",IFERROR(INDEX('Вводные'!$B$88:$B$91,$B$64),"Нет")="Да")),MAX(0,SUM($D81:BO81)-BO81),0)</x:f>
      </x:c>
      <x:c r="BP83" s="107" t="n">
        <x:f>IF(AND(YEAR(BP$3)=YEAR(EDATE(INDEX('Вводные'!$D$88:$D$91,$B$64),INDEX('Вводные'!$E$88:$E$91,$B$64)+INDEX('Вводные'!$F$88:$F$91,$B$64)+'Вводные'!$H$9)),MONTH(BP$3)=MONTH(EDATE(INDEX('Вводные'!$D$88:$D$91,$B$64),INDEX('Вводные'!$E$88:$E$91,$B$64)+INDEX('Вводные'!$F$88:$F$91,$B$64)+'Вводные'!$H$9)),AND($B$63="Да",IFERROR(INDEX('Вводные'!$B$88:$B$91,$B$64),"Нет")="Да")),MAX(0,SUM($D81:BP81)-BP81),0)</x:f>
      </x:c>
      <x:c r="BQ83" s="107" t="n">
        <x:f>IF(AND(YEAR(BQ$3)=YEAR(EDATE(INDEX('Вводные'!$D$88:$D$91,$B$64),INDEX('Вводные'!$E$88:$E$91,$B$64)+INDEX('Вводные'!$F$88:$F$91,$B$64)+'Вводные'!$H$9)),MONTH(BQ$3)=MONTH(EDATE(INDEX('Вводные'!$D$88:$D$91,$B$64),INDEX('Вводные'!$E$88:$E$91,$B$64)+INDEX('Вводные'!$F$88:$F$91,$B$64)+'Вводные'!$H$9)),AND($B$63="Да",IFERROR(INDEX('Вводные'!$B$88:$B$91,$B$64),"Нет")="Да")),MAX(0,SUM($D81:BQ81)-BQ81),0)</x:f>
      </x:c>
      <x:c r="BR83" s="107" t="n">
        <x:f>IF(AND(YEAR(BR$3)=YEAR(EDATE(INDEX('Вводные'!$D$88:$D$91,$B$64),INDEX('Вводные'!$E$88:$E$91,$B$64)+INDEX('Вводные'!$F$88:$F$91,$B$64)+'Вводные'!$H$9)),MONTH(BR$3)=MONTH(EDATE(INDEX('Вводные'!$D$88:$D$91,$B$64),INDEX('Вводные'!$E$88:$E$91,$B$64)+INDEX('Вводные'!$F$88:$F$91,$B$64)+'Вводные'!$H$9)),AND($B$63="Да",IFERROR(INDEX('Вводные'!$B$88:$B$91,$B$64),"Нет")="Да")),MAX(0,SUM($D81:BR81)-BR81),0)</x:f>
      </x:c>
      <x:c r="BS83" s="107" t="n">
        <x:f>IF(AND(YEAR(BS$3)=YEAR(EDATE(INDEX('Вводные'!$D$88:$D$91,$B$64),INDEX('Вводные'!$E$88:$E$91,$B$64)+INDEX('Вводные'!$F$88:$F$91,$B$64)+'Вводные'!$H$9)),MONTH(BS$3)=MONTH(EDATE(INDEX('Вводные'!$D$88:$D$91,$B$64),INDEX('Вводные'!$E$88:$E$91,$B$64)+INDEX('Вводные'!$F$88:$F$91,$B$64)+'Вводные'!$H$9)),AND($B$63="Да",IFERROR(INDEX('Вводные'!$B$88:$B$91,$B$64),"Нет")="Да")),MAX(0,SUM($D81:BS81)-BS81),0)</x:f>
      </x:c>
      <x:c r="BT83" s="107" t="n">
        <x:f>IF(AND(YEAR(BT$3)=YEAR(EDATE(INDEX('Вводные'!$D$88:$D$91,$B$64),INDEX('Вводные'!$E$88:$E$91,$B$64)+INDEX('Вводные'!$F$88:$F$91,$B$64)+'Вводные'!$H$9)),MONTH(BT$3)=MONTH(EDATE(INDEX('Вводные'!$D$88:$D$91,$B$64),INDEX('Вводные'!$E$88:$E$91,$B$64)+INDEX('Вводные'!$F$88:$F$91,$B$64)+'Вводные'!$H$9)),AND($B$63="Да",IFERROR(INDEX('Вводные'!$B$88:$B$91,$B$64),"Нет")="Да")),MAX(0,SUM($D81:BT81)-BT81),0)</x:f>
      </x:c>
      <x:c r="BU83" s="107" t="n">
        <x:f>IF(AND(YEAR(BU$3)=YEAR(EDATE(INDEX('Вводные'!$D$88:$D$91,$B$64),INDEX('Вводные'!$E$88:$E$91,$B$64)+INDEX('Вводные'!$F$88:$F$91,$B$64)+'Вводные'!$H$9)),MONTH(BU$3)=MONTH(EDATE(INDEX('Вводные'!$D$88:$D$91,$B$64),INDEX('Вводные'!$E$88:$E$91,$B$64)+INDEX('Вводные'!$F$88:$F$91,$B$64)+'Вводные'!$H$9)),AND($B$63="Да",IFERROR(INDEX('Вводные'!$B$88:$B$91,$B$64),"Нет")="Да")),MAX(0,SUM($D81:BU81)-BU81),0)</x:f>
      </x:c>
      <x:c r="BV83" s="107" t="n">
        <x:f>IF(AND(YEAR(BV$3)=YEAR(EDATE(INDEX('Вводные'!$D$88:$D$91,$B$64),INDEX('Вводные'!$E$88:$E$91,$B$64)+INDEX('Вводные'!$F$88:$F$91,$B$64)+'Вводные'!$H$9)),MONTH(BV$3)=MONTH(EDATE(INDEX('Вводные'!$D$88:$D$91,$B$64),INDEX('Вводные'!$E$88:$E$91,$B$64)+INDEX('Вводные'!$F$88:$F$91,$B$64)+'Вводные'!$H$9)),AND($B$63="Да",IFERROR(INDEX('Вводные'!$B$88:$B$91,$B$64),"Нет")="Да")),MAX(0,SUM($D81:BV81)-BV81),0)</x:f>
      </x:c>
      <x:c r="BW83" s="107" t="n">
        <x:f>IF(AND(YEAR(BW$3)=YEAR(EDATE(INDEX('Вводные'!$D$88:$D$91,$B$64),INDEX('Вводные'!$E$88:$E$91,$B$64)+INDEX('Вводные'!$F$88:$F$91,$B$64)+'Вводные'!$H$9)),MONTH(BW$3)=MONTH(EDATE(INDEX('Вводные'!$D$88:$D$91,$B$64),INDEX('Вводные'!$E$88:$E$91,$B$64)+INDEX('Вводные'!$F$88:$F$91,$B$64)+'Вводные'!$H$9)),AND($B$63="Да",IFERROR(INDEX('Вводные'!$B$88:$B$91,$B$64),"Нет")="Да")),MAX(0,SUM($D81:BW81)-BW81),0)</x:f>
      </x:c>
      <x:c r="BX83" s="107" t="n">
        <x:f>IF(AND(YEAR(BX$3)=YEAR(EDATE(INDEX('Вводные'!$D$88:$D$91,$B$64),INDEX('Вводные'!$E$88:$E$91,$B$64)+INDEX('Вводные'!$F$88:$F$91,$B$64)+'Вводные'!$H$9)),MONTH(BX$3)=MONTH(EDATE(INDEX('Вводные'!$D$88:$D$91,$B$64),INDEX('Вводные'!$E$88:$E$91,$B$64)+INDEX('Вводные'!$F$88:$F$91,$B$64)+'Вводные'!$H$9)),AND($B$63="Да",IFERROR(INDEX('Вводные'!$B$88:$B$91,$B$64),"Нет")="Да")),MAX(0,SUM($D81:BX81)-BX81),0)</x:f>
      </x:c>
      <x:c r="BY83" s="107" t="n">
        <x:f>IF(AND(YEAR(BY$3)=YEAR(EDATE(INDEX('Вводные'!$D$88:$D$91,$B$64),INDEX('Вводные'!$E$88:$E$91,$B$64)+INDEX('Вводные'!$F$88:$F$91,$B$64)+'Вводные'!$H$9)),MONTH(BY$3)=MONTH(EDATE(INDEX('Вводные'!$D$88:$D$91,$B$64),INDEX('Вводные'!$E$88:$E$91,$B$64)+INDEX('Вводные'!$F$88:$F$91,$B$64)+'Вводные'!$H$9)),AND($B$63="Да",IFERROR(INDEX('Вводные'!$B$88:$B$91,$B$64),"Нет")="Да")),MAX(0,SUM($D81:BY81)-BY81),0)</x:f>
      </x:c>
      <x:c r="BZ83" s="107" t="n">
        <x:f>IF(AND(YEAR(BZ$3)=YEAR(EDATE(INDEX('Вводные'!$D$88:$D$91,$B$64),INDEX('Вводные'!$E$88:$E$91,$B$64)+INDEX('Вводные'!$F$88:$F$91,$B$64)+'Вводные'!$H$9)),MONTH(BZ$3)=MONTH(EDATE(INDEX('Вводные'!$D$88:$D$91,$B$64),INDEX('Вводные'!$E$88:$E$91,$B$64)+INDEX('Вводные'!$F$88:$F$91,$B$64)+'Вводные'!$H$9)),AND($B$63="Да",IFERROR(INDEX('Вводные'!$B$88:$B$91,$B$64),"Нет")="Да")),MAX(0,SUM($D81:BZ81)-BZ81),0)</x:f>
      </x:c>
      <x:c r="CA83" s="107" t="n">
        <x:f>IF(AND(YEAR(CA$3)=YEAR(EDATE(INDEX('Вводные'!$D$88:$D$91,$B$64),INDEX('Вводные'!$E$88:$E$91,$B$64)+INDEX('Вводные'!$F$88:$F$91,$B$64)+'Вводные'!$H$9)),MONTH(CA$3)=MONTH(EDATE(INDEX('Вводные'!$D$88:$D$91,$B$64),INDEX('Вводные'!$E$88:$E$91,$B$64)+INDEX('Вводные'!$F$88:$F$91,$B$64)+'Вводные'!$H$9)),AND($B$63="Да",IFERROR(INDEX('Вводные'!$B$88:$B$91,$B$64),"Нет")="Да")),MAX(0,SUM($D81:CA81)-CA81),0)</x:f>
      </x:c>
      <x:c r="CB83" s="107" t="n">
        <x:f>IF(AND(YEAR(CB$3)=YEAR(EDATE(INDEX('Вводные'!$D$88:$D$91,$B$64),INDEX('Вводные'!$E$88:$E$91,$B$64)+INDEX('Вводные'!$F$88:$F$91,$B$64)+'Вводные'!$H$9)),MONTH(CB$3)=MONTH(EDATE(INDEX('Вводные'!$D$88:$D$91,$B$64),INDEX('Вводные'!$E$88:$E$91,$B$64)+INDEX('Вводные'!$F$88:$F$91,$B$64)+'Вводные'!$H$9)),AND($B$63="Да",IFERROR(INDEX('Вводные'!$B$88:$B$91,$B$64),"Нет")="Да")),MAX(0,SUM($D81:CB81)-CB81),0)</x:f>
      </x:c>
      <x:c r="CC83" s="107" t="n">
        <x:f>IF(AND(YEAR(CC$3)=YEAR(EDATE(INDEX('Вводные'!$D$88:$D$91,$B$64),INDEX('Вводные'!$E$88:$E$91,$B$64)+INDEX('Вводные'!$F$88:$F$91,$B$64)+'Вводные'!$H$9)),MONTH(CC$3)=MONTH(EDATE(INDEX('Вводные'!$D$88:$D$91,$B$64),INDEX('Вводные'!$E$88:$E$91,$B$64)+INDEX('Вводные'!$F$88:$F$91,$B$64)+'Вводные'!$H$9)),AND($B$63="Да",IFERROR(INDEX('Вводные'!$B$88:$B$91,$B$64),"Нет")="Да")),MAX(0,SUM($D81:CC81)-CC81),0)</x:f>
      </x:c>
      <x:c r="CD83" s="107" t="n">
        <x:f>IF(AND(YEAR(CD$3)=YEAR(EDATE(INDEX('Вводные'!$D$88:$D$91,$B$64),INDEX('Вводные'!$E$88:$E$91,$B$64)+INDEX('Вводные'!$F$88:$F$91,$B$64)+'Вводные'!$H$9)),MONTH(CD$3)=MONTH(EDATE(INDEX('Вводные'!$D$88:$D$91,$B$64),INDEX('Вводные'!$E$88:$E$91,$B$64)+INDEX('Вводные'!$F$88:$F$91,$B$64)+'Вводные'!$H$9)),AND($B$63="Да",IFERROR(INDEX('Вводные'!$B$88:$B$91,$B$64),"Нет")="Да")),MAX(0,SUM($D81:CD81)-CD81),0)</x:f>
      </x:c>
      <x:c r="CE83" s="107" t="n">
        <x:f>IF(AND(YEAR(CE$3)=YEAR(EDATE(INDEX('Вводные'!$D$88:$D$91,$B$64),INDEX('Вводные'!$E$88:$E$91,$B$64)+INDEX('Вводные'!$F$88:$F$91,$B$64)+'Вводные'!$H$9)),MONTH(CE$3)=MONTH(EDATE(INDEX('Вводные'!$D$88:$D$91,$B$64),INDEX('Вводные'!$E$88:$E$91,$B$64)+INDEX('Вводные'!$F$88:$F$91,$B$64)+'Вводные'!$H$9)),AND($B$63="Да",IFERROR(INDEX('Вводные'!$B$88:$B$91,$B$64),"Нет")="Да")),MAX(0,SUM($D81:CE81)-CE81),0)</x:f>
      </x:c>
      <x:c r="CF83" s="107" t="n">
        <x:f>IF(AND(YEAR(CF$3)=YEAR(EDATE(INDEX('Вводные'!$D$88:$D$91,$B$64),INDEX('Вводные'!$E$88:$E$91,$B$64)+INDEX('Вводные'!$F$88:$F$91,$B$64)+'Вводные'!$H$9)),MONTH(CF$3)=MONTH(EDATE(INDEX('Вводные'!$D$88:$D$91,$B$64),INDEX('Вводные'!$E$88:$E$91,$B$64)+INDEX('Вводные'!$F$88:$F$91,$B$64)+'Вводные'!$H$9)),AND($B$63="Да",IFERROR(INDEX('Вводные'!$B$88:$B$91,$B$64),"Нет")="Да")),MAX(0,SUM($D81:CF81)-CF81),0)</x:f>
      </x:c>
      <x:c r="CG83" s="107" t="n">
        <x:f>IF(AND(YEAR(CG$3)=YEAR(EDATE(INDEX('Вводные'!$D$88:$D$91,$B$64),INDEX('Вводные'!$E$88:$E$91,$B$64)+INDEX('Вводные'!$F$88:$F$91,$B$64)+'Вводные'!$H$9)),MONTH(CG$3)=MONTH(EDATE(INDEX('Вводные'!$D$88:$D$91,$B$64),INDEX('Вводные'!$E$88:$E$91,$B$64)+INDEX('Вводные'!$F$88:$F$91,$B$64)+'Вводные'!$H$9)),AND($B$63="Да",IFERROR(INDEX('Вводные'!$B$88:$B$91,$B$64),"Нет")="Да")),MAX(0,SUM($D81:CG81)-CG81),0)</x:f>
      </x:c>
      <x:c r="CH83" s="107" t="n">
        <x:f>IF(AND(YEAR(CH$3)=YEAR(EDATE(INDEX('Вводные'!$D$88:$D$91,$B$64),INDEX('Вводные'!$E$88:$E$91,$B$64)+INDEX('Вводные'!$F$88:$F$91,$B$64)+'Вводные'!$H$9)),MONTH(CH$3)=MONTH(EDATE(INDEX('Вводные'!$D$88:$D$91,$B$64),INDEX('Вводные'!$E$88:$E$91,$B$64)+INDEX('Вводные'!$F$88:$F$91,$B$64)+'Вводные'!$H$9)),AND($B$63="Да",IFERROR(INDEX('Вводные'!$B$88:$B$91,$B$64),"Нет")="Да")),MAX(0,SUM($D81:CH81)-CH81),0)</x:f>
      </x:c>
      <x:c r="CI83" s="107" t="n">
        <x:f>IF(AND(YEAR(CI$3)=YEAR(EDATE(INDEX('Вводные'!$D$88:$D$91,$B$64),INDEX('Вводные'!$E$88:$E$91,$B$64)+INDEX('Вводные'!$F$88:$F$91,$B$64)+'Вводные'!$H$9)),MONTH(CI$3)=MONTH(EDATE(INDEX('Вводные'!$D$88:$D$91,$B$64),INDEX('Вводные'!$E$88:$E$91,$B$64)+INDEX('Вводные'!$F$88:$F$91,$B$64)+'Вводные'!$H$9)),AND($B$63="Да",IFERROR(INDEX('Вводные'!$B$88:$B$91,$B$64),"Нет")="Да")),MAX(0,SUM($D81:CI81)-CI81),0)</x:f>
      </x:c>
      <x:c r="CJ83" s="107" t="n">
        <x:f>IF(AND(YEAR(CJ$3)=YEAR(EDATE(INDEX('Вводные'!$D$88:$D$91,$B$64),INDEX('Вводные'!$E$88:$E$91,$B$64)+INDEX('Вводные'!$F$88:$F$91,$B$64)+'Вводные'!$H$9)),MONTH(CJ$3)=MONTH(EDATE(INDEX('Вводные'!$D$88:$D$91,$B$64),INDEX('Вводные'!$E$88:$E$91,$B$64)+INDEX('Вводные'!$F$88:$F$91,$B$64)+'Вводные'!$H$9)),AND($B$63="Да",IFERROR(INDEX('Вводные'!$B$88:$B$91,$B$64),"Нет")="Да")),MAX(0,SUM($D81:CJ81)-CJ81),0)</x:f>
      </x:c>
      <x:c r="CK83" s="107" t="n">
        <x:f>IF(AND(YEAR(CK$3)=YEAR(EDATE(INDEX('Вводные'!$D$88:$D$91,$B$64),INDEX('Вводные'!$E$88:$E$91,$B$64)+INDEX('Вводные'!$F$88:$F$91,$B$64)+'Вводные'!$H$9)),MONTH(CK$3)=MONTH(EDATE(INDEX('Вводные'!$D$88:$D$91,$B$64),INDEX('Вводные'!$E$88:$E$91,$B$64)+INDEX('Вводные'!$F$88:$F$91,$B$64)+'Вводные'!$H$9)),AND($B$63="Да",IFERROR(INDEX('Вводные'!$B$88:$B$91,$B$64),"Нет")="Да")),MAX(0,SUM($D81:CK81)-CK81),0)</x:f>
      </x:c>
      <x:c r="CL83" s="107" t="n">
        <x:f>IF(AND(YEAR(CL$3)=YEAR(EDATE(INDEX('Вводные'!$D$88:$D$91,$B$64),INDEX('Вводные'!$E$88:$E$91,$B$64)+INDEX('Вводные'!$F$88:$F$91,$B$64)+'Вводные'!$H$9)),MONTH(CL$3)=MONTH(EDATE(INDEX('Вводные'!$D$88:$D$91,$B$64),INDEX('Вводные'!$E$88:$E$91,$B$64)+INDEX('Вводные'!$F$88:$F$91,$B$64)+'Вводные'!$H$9)),AND($B$63="Да",IFERROR(INDEX('Вводные'!$B$88:$B$91,$B$64),"Нет")="Да")),MAX(0,SUM($D81:CL81)-CL81),0)</x:f>
      </x:c>
      <x:c r="CM83" s="107" t="n">
        <x:f>IF(AND(YEAR(CM$3)=YEAR(EDATE(INDEX('Вводные'!$D$88:$D$91,$B$64),INDEX('Вводные'!$E$88:$E$91,$B$64)+INDEX('Вводные'!$F$88:$F$91,$B$64)+'Вводные'!$H$9)),MONTH(CM$3)=MONTH(EDATE(INDEX('Вводные'!$D$88:$D$91,$B$64),INDEX('Вводные'!$E$88:$E$91,$B$64)+INDEX('Вводные'!$F$88:$F$91,$B$64)+'Вводные'!$H$9)),AND($B$63="Да",IFERROR(INDEX('Вводные'!$B$88:$B$91,$B$64),"Нет")="Да")),MAX(0,SUM($D81:CM81)-CM81),0)</x:f>
      </x:c>
      <x:c r="CN83" s="107" t="n">
        <x:f>IF(AND(YEAR(CN$3)=YEAR(EDATE(INDEX('Вводные'!$D$88:$D$91,$B$64),INDEX('Вводные'!$E$88:$E$91,$B$64)+INDEX('Вводные'!$F$88:$F$91,$B$64)+'Вводные'!$H$9)),MONTH(CN$3)=MONTH(EDATE(INDEX('Вводные'!$D$88:$D$91,$B$64),INDEX('Вводные'!$E$88:$E$91,$B$64)+INDEX('Вводные'!$F$88:$F$91,$B$64)+'Вводные'!$H$9)),AND($B$63="Да",IFERROR(INDEX('Вводные'!$B$88:$B$91,$B$64),"Нет")="Да")),MAX(0,SUM($D81:CN81)-CN81),0)</x:f>
      </x:c>
      <x:c r="CO83" s="107" t="n">
        <x:f>IF(AND(YEAR(CO$3)=YEAR(EDATE(INDEX('Вводные'!$D$88:$D$91,$B$64),INDEX('Вводные'!$E$88:$E$91,$B$64)+INDEX('Вводные'!$F$88:$F$91,$B$64)+'Вводные'!$H$9)),MONTH(CO$3)=MONTH(EDATE(INDEX('Вводные'!$D$88:$D$91,$B$64),INDEX('Вводные'!$E$88:$E$91,$B$64)+INDEX('Вводные'!$F$88:$F$91,$B$64)+'Вводные'!$H$9)),AND($B$63="Да",IFERROR(INDEX('Вводные'!$B$88:$B$91,$B$64),"Нет")="Да")),MAX(0,SUM($D81:CO81)-CO81),0)</x:f>
      </x:c>
      <x:c r="CP83" s="107" t="n">
        <x:f>IF(AND(YEAR(CP$3)=YEAR(EDATE(INDEX('Вводные'!$D$88:$D$91,$B$64),INDEX('Вводные'!$E$88:$E$91,$B$64)+INDEX('Вводные'!$F$88:$F$91,$B$64)+'Вводные'!$H$9)),MONTH(CP$3)=MONTH(EDATE(INDEX('Вводные'!$D$88:$D$91,$B$64),INDEX('Вводные'!$E$88:$E$91,$B$64)+INDEX('Вводные'!$F$88:$F$91,$B$64)+'Вводные'!$H$9)),AND($B$63="Да",IFERROR(INDEX('Вводные'!$B$88:$B$91,$B$64),"Нет")="Да")),MAX(0,SUM($D81:CP81)-CP81),0)</x:f>
      </x:c>
      <x:c r="CQ83" s="107" t="n">
        <x:f>IF(AND(YEAR(CQ$3)=YEAR(EDATE(INDEX('Вводные'!$D$88:$D$91,$B$64),INDEX('Вводные'!$E$88:$E$91,$B$64)+INDEX('Вводные'!$F$88:$F$91,$B$64)+'Вводные'!$H$9)),MONTH(CQ$3)=MONTH(EDATE(INDEX('Вводные'!$D$88:$D$91,$B$64),INDEX('Вводные'!$E$88:$E$91,$B$64)+INDEX('Вводные'!$F$88:$F$91,$B$64)+'Вводные'!$H$9)),AND($B$63="Да",IFERROR(INDEX('Вводные'!$B$88:$B$91,$B$64),"Нет")="Да")),MAX(0,SUM($D81:CQ81)-CQ81),0)</x:f>
      </x:c>
      <x:c r="CR83" s="107" t="n">
        <x:f>IF(AND(YEAR(CR$3)=YEAR(EDATE(INDEX('Вводные'!$D$88:$D$91,$B$64),INDEX('Вводные'!$E$88:$E$91,$B$64)+INDEX('Вводные'!$F$88:$F$91,$B$64)+'Вводные'!$H$9)),MONTH(CR$3)=MONTH(EDATE(INDEX('Вводные'!$D$88:$D$91,$B$64),INDEX('Вводные'!$E$88:$E$91,$B$64)+INDEX('Вводные'!$F$88:$F$91,$B$64)+'Вводные'!$H$9)),AND($B$63="Да",IFERROR(INDEX('Вводные'!$B$88:$B$91,$B$64),"Нет")="Да")),MAX(0,SUM($D81:CR81)-CR81),0)</x:f>
      </x:c>
      <x:c r="CS83" s="107" t="n">
        <x:f>IF(AND(YEAR(CS$3)=YEAR(EDATE(INDEX('Вводные'!$D$88:$D$91,$B$64),INDEX('Вводные'!$E$88:$E$91,$B$64)+INDEX('Вводные'!$F$88:$F$91,$B$64)+'Вводные'!$H$9)),MONTH(CS$3)=MONTH(EDATE(INDEX('Вводные'!$D$88:$D$91,$B$64),INDEX('Вводные'!$E$88:$E$91,$B$64)+INDEX('Вводные'!$F$88:$F$91,$B$64)+'Вводные'!$H$9)),AND($B$63="Да",IFERROR(INDEX('Вводные'!$B$88:$B$91,$B$64),"Нет")="Да")),MAX(0,SUM($D81:CS81)-CS81),0)</x:f>
      </x:c>
      <x:c r="CT83" s="107" t="n">
        <x:f>IF(AND(YEAR(CT$3)=YEAR(EDATE(INDEX('Вводные'!$D$88:$D$91,$B$64),INDEX('Вводные'!$E$88:$E$91,$B$64)+INDEX('Вводные'!$F$88:$F$91,$B$64)+'Вводные'!$H$9)),MONTH(CT$3)=MONTH(EDATE(INDEX('Вводные'!$D$88:$D$91,$B$64),INDEX('Вводные'!$E$88:$E$91,$B$64)+INDEX('Вводные'!$F$88:$F$91,$B$64)+'Вводные'!$H$9)),AND($B$63="Да",IFERROR(INDEX('Вводные'!$B$88:$B$91,$B$64),"Нет")="Да")),MAX(0,SUM($D81:CT81)-CT81),0)</x:f>
      </x:c>
      <x:c r="CU83" s="107" t="n">
        <x:f>IF(AND(YEAR(CU$3)=YEAR(EDATE(INDEX('Вводные'!$D$88:$D$91,$B$64),INDEX('Вводные'!$E$88:$E$91,$B$64)+INDEX('Вводные'!$F$88:$F$91,$B$64)+'Вводные'!$H$9)),MONTH(CU$3)=MONTH(EDATE(INDEX('Вводные'!$D$88:$D$91,$B$64),INDEX('Вводные'!$E$88:$E$91,$B$64)+INDEX('Вводные'!$F$88:$F$91,$B$64)+'Вводные'!$H$9)),AND($B$63="Да",IFERROR(INDEX('Вводные'!$B$88:$B$91,$B$64),"Нет")="Да")),MAX(0,SUM($D81:CU81)-CU81),0)</x:f>
      </x:c>
      <x:c r="CV83" s="107" t="n">
        <x:f>IF(AND(YEAR(CV$3)=YEAR(EDATE(INDEX('Вводные'!$D$88:$D$91,$B$64),INDEX('Вводные'!$E$88:$E$91,$B$64)+INDEX('Вводные'!$F$88:$F$91,$B$64)+'Вводные'!$H$9)),MONTH(CV$3)=MONTH(EDATE(INDEX('Вводные'!$D$88:$D$91,$B$64),INDEX('Вводные'!$E$88:$E$91,$B$64)+INDEX('Вводные'!$F$88:$F$91,$B$64)+'Вводные'!$H$9)),AND($B$63="Да",IFERROR(INDEX('Вводные'!$B$88:$B$91,$B$64),"Нет")="Да")),MAX(0,SUM($D81:CV81)-CV81),0)</x:f>
      </x:c>
      <x:c r="CW83" s="107" t="n">
        <x:f>IF(AND(YEAR(CW$3)=YEAR(EDATE(INDEX('Вводные'!$D$88:$D$91,$B$64),INDEX('Вводные'!$E$88:$E$91,$B$64)+INDEX('Вводные'!$F$88:$F$91,$B$64)+'Вводные'!$H$9)),MONTH(CW$3)=MONTH(EDATE(INDEX('Вводные'!$D$88:$D$91,$B$64),INDEX('Вводные'!$E$88:$E$91,$B$64)+INDEX('Вводные'!$F$88:$F$91,$B$64)+'Вводные'!$H$9)),AND($B$63="Да",IFERROR(INDEX('Вводные'!$B$88:$B$91,$B$64),"Нет")="Да")),MAX(0,SUM($D81:CW81)-CW81),0)</x:f>
      </x:c>
      <x:c r="CX83" s="107" t="n">
        <x:f>IF(AND(YEAR(CX$3)=YEAR(EDATE(INDEX('Вводные'!$D$88:$D$91,$B$64),INDEX('Вводные'!$E$88:$E$91,$B$64)+INDEX('Вводные'!$F$88:$F$91,$B$64)+'Вводные'!$H$9)),MONTH(CX$3)=MONTH(EDATE(INDEX('Вводные'!$D$88:$D$91,$B$64),INDEX('Вводные'!$E$88:$E$91,$B$64)+INDEX('Вводные'!$F$88:$F$91,$B$64)+'Вводные'!$H$9)),AND($B$63="Да",IFERROR(INDEX('Вводные'!$B$88:$B$91,$B$64),"Нет")="Да")),MAX(0,SUM($D81:CX81)-CX81),0)</x:f>
      </x:c>
      <x:c r="CY83" s="107" t="n">
        <x:f>IF(AND(YEAR(CY$3)=YEAR(EDATE(INDEX('Вводные'!$D$88:$D$91,$B$64),INDEX('Вводные'!$E$88:$E$91,$B$64)+INDEX('Вводные'!$F$88:$F$91,$B$64)+'Вводные'!$H$9)),MONTH(CY$3)=MONTH(EDATE(INDEX('Вводные'!$D$88:$D$91,$B$64),INDEX('Вводные'!$E$88:$E$91,$B$64)+INDEX('Вводные'!$F$88:$F$91,$B$64)+'Вводные'!$H$9)),AND($B$63="Да",IFERROR(INDEX('Вводные'!$B$88:$B$91,$B$64),"Нет")="Да")),MAX(0,SUM($D81:CY81)-CY81),0)</x:f>
      </x:c>
      <x:c r="CZ83" s="107" t="n">
        <x:f>IF(AND(YEAR(CZ$3)=YEAR(EDATE(INDEX('Вводные'!$D$88:$D$91,$B$64),INDEX('Вводные'!$E$88:$E$91,$B$64)+INDEX('Вводные'!$F$88:$F$91,$B$64)+'Вводные'!$H$9)),MONTH(CZ$3)=MONTH(EDATE(INDEX('Вводные'!$D$88:$D$91,$B$64),INDEX('Вводные'!$E$88:$E$91,$B$64)+INDEX('Вводные'!$F$88:$F$91,$B$64)+'Вводные'!$H$9)),AND($B$63="Да",IFERROR(INDEX('Вводные'!$B$88:$B$91,$B$64),"Нет")="Да")),MAX(0,SUM($D81:CZ81)-CZ81),0)</x:f>
      </x:c>
      <x:c r="DA83" s="107" t="n">
        <x:f>IF(AND(YEAR(DA$3)=YEAR(EDATE(INDEX('Вводные'!$D$88:$D$91,$B$64),INDEX('Вводные'!$E$88:$E$91,$B$64)+INDEX('Вводные'!$F$88:$F$91,$B$64)+'Вводные'!$H$9)),MONTH(DA$3)=MONTH(EDATE(INDEX('Вводные'!$D$88:$D$91,$B$64),INDEX('Вводные'!$E$88:$E$91,$B$64)+INDEX('Вводные'!$F$88:$F$91,$B$64)+'Вводные'!$H$9)),AND($B$63="Да",IFERROR(INDEX('Вводные'!$B$88:$B$91,$B$64),"Нет")="Да")),MAX(0,SUM($D81:DA81)-DA81),0)</x:f>
      </x:c>
      <x:c r="DB83" s="107" t="n">
        <x:f>IF(AND(YEAR(DB$3)=YEAR(EDATE(INDEX('Вводные'!$D$88:$D$91,$B$64),INDEX('Вводные'!$E$88:$E$91,$B$64)+INDEX('Вводные'!$F$88:$F$91,$B$64)+'Вводные'!$H$9)),MONTH(DB$3)=MONTH(EDATE(INDEX('Вводные'!$D$88:$D$91,$B$64),INDEX('Вводные'!$E$88:$E$91,$B$64)+INDEX('Вводные'!$F$88:$F$91,$B$64)+'Вводные'!$H$9)),AND($B$63="Да",IFERROR(INDEX('Вводные'!$B$88:$B$91,$B$64),"Нет")="Да")),MAX(0,SUM($D81:DB81)-DB81),0)</x:f>
      </x:c>
      <x:c r="DC83" s="107" t="n">
        <x:f>IF(AND(YEAR(DC$3)=YEAR(EDATE(INDEX('Вводные'!$D$88:$D$91,$B$64),INDEX('Вводные'!$E$88:$E$91,$B$64)+INDEX('Вводные'!$F$88:$F$91,$B$64)+'Вводные'!$H$9)),MONTH(DC$3)=MONTH(EDATE(INDEX('Вводные'!$D$88:$D$91,$B$64),INDEX('Вводные'!$E$88:$E$91,$B$64)+INDEX('Вводные'!$F$88:$F$91,$B$64)+'Вводные'!$H$9)),AND($B$63="Да",IFERROR(INDEX('Вводные'!$B$88:$B$91,$B$64),"Нет")="Да")),MAX(0,SUM($D81:DC81)-DC81),0)</x:f>
      </x:c>
      <x:c r="DD83" s="107" t="n">
        <x:f>IF(AND(YEAR(DD$3)=YEAR(EDATE(INDEX('Вводные'!$D$88:$D$91,$B$64),INDEX('Вводные'!$E$88:$E$91,$B$64)+INDEX('Вводные'!$F$88:$F$91,$B$64)+'Вводные'!$H$9)),MONTH(DD$3)=MONTH(EDATE(INDEX('Вводные'!$D$88:$D$91,$B$64),INDEX('Вводные'!$E$88:$E$91,$B$64)+INDEX('Вводные'!$F$88:$F$91,$B$64)+'Вводные'!$H$9)),AND($B$63="Да",IFERROR(INDEX('Вводные'!$B$88:$B$91,$B$64),"Нет")="Да")),MAX(0,SUM($D81:DD81)-DD81),0)</x:f>
      </x:c>
      <x:c r="DE83" s="107" t="n">
        <x:f>IF(AND(YEAR(DE$3)=YEAR(EDATE(INDEX('Вводные'!$D$88:$D$91,$B$64),INDEX('Вводные'!$E$88:$E$91,$B$64)+INDEX('Вводные'!$F$88:$F$91,$B$64)+'Вводные'!$H$9)),MONTH(DE$3)=MONTH(EDATE(INDEX('Вводные'!$D$88:$D$91,$B$64),INDEX('Вводные'!$E$88:$E$91,$B$64)+INDEX('Вводные'!$F$88:$F$91,$B$64)+'Вводные'!$H$9)),AND($B$63="Да",IFERROR(INDEX('Вводные'!$B$88:$B$91,$B$64),"Нет")="Да")),MAX(0,SUM($D81:DE81)-DE81),0)</x:f>
      </x:c>
      <x:c r="DF83" s="107" t="n">
        <x:f>IF(AND(YEAR(DF$3)=YEAR(EDATE(INDEX('Вводные'!$D$88:$D$91,$B$64),INDEX('Вводные'!$E$88:$E$91,$B$64)+INDEX('Вводные'!$F$88:$F$91,$B$64)+'Вводные'!$H$9)),MONTH(DF$3)=MONTH(EDATE(INDEX('Вводные'!$D$88:$D$91,$B$64),INDEX('Вводные'!$E$88:$E$91,$B$64)+INDEX('Вводные'!$F$88:$F$91,$B$64)+'Вводные'!$H$9)),AND($B$63="Да",IFERROR(INDEX('Вводные'!$B$88:$B$91,$B$64),"Нет")="Да")),MAX(0,SUM($D81:DF81)-DF81),0)</x:f>
      </x:c>
      <x:c r="DG83" s="107" t="n">
        <x:f>IF(AND(YEAR(DG$3)=YEAR(EDATE(INDEX('Вводные'!$D$88:$D$91,$B$64),INDEX('Вводные'!$E$88:$E$91,$B$64)+INDEX('Вводные'!$F$88:$F$91,$B$64)+'Вводные'!$H$9)),MONTH(DG$3)=MONTH(EDATE(INDEX('Вводные'!$D$88:$D$91,$B$64),INDEX('Вводные'!$E$88:$E$91,$B$64)+INDEX('Вводные'!$F$88:$F$91,$B$64)+'Вводные'!$H$9)),AND($B$63="Да",IFERROR(INDEX('Вводные'!$B$88:$B$91,$B$64),"Нет")="Да")),MAX(0,SUM($D81:DG81)-DG81),0)</x:f>
      </x:c>
      <x:c r="DH83" s="107" t="n">
        <x:f>IF(AND(YEAR(DH$3)=YEAR(EDATE(INDEX('Вводные'!$D$88:$D$91,$B$64),INDEX('Вводные'!$E$88:$E$91,$B$64)+INDEX('Вводные'!$F$88:$F$91,$B$64)+'Вводные'!$H$9)),MONTH(DH$3)=MONTH(EDATE(INDEX('Вводные'!$D$88:$D$91,$B$64),INDEX('Вводные'!$E$88:$E$91,$B$64)+INDEX('Вводные'!$F$88:$F$91,$B$64)+'Вводные'!$H$9)),AND($B$63="Да",IFERROR(INDEX('Вводные'!$B$88:$B$91,$B$64),"Нет")="Да")),MAX(0,SUM($D81:DH81)-DH81),0)</x:f>
      </x:c>
      <x:c r="DI83" s="107" t="n">
        <x:f>IF(AND(YEAR(DI$3)=YEAR(EDATE(INDEX('Вводные'!$D$88:$D$91,$B$64),INDEX('Вводные'!$E$88:$E$91,$B$64)+INDEX('Вводные'!$F$88:$F$91,$B$64)+'Вводные'!$H$9)),MONTH(DI$3)=MONTH(EDATE(INDEX('Вводные'!$D$88:$D$91,$B$64),INDEX('Вводные'!$E$88:$E$91,$B$64)+INDEX('Вводные'!$F$88:$F$91,$B$64)+'Вводные'!$H$9)),AND($B$63="Да",IFERROR(INDEX('Вводные'!$B$88:$B$91,$B$64),"Нет")="Да")),MAX(0,SUM($D81:DI81)-DI81),0)</x:f>
      </x:c>
      <x:c r="DJ83" s="107" t="n">
        <x:f>IF(AND(YEAR(DJ$3)=YEAR(EDATE(INDEX('Вводные'!$D$88:$D$91,$B$64),INDEX('Вводные'!$E$88:$E$91,$B$64)+INDEX('Вводные'!$F$88:$F$91,$B$64)+'Вводные'!$H$9)),MONTH(DJ$3)=MONTH(EDATE(INDEX('Вводные'!$D$88:$D$91,$B$64),INDEX('Вводные'!$E$88:$E$91,$B$64)+INDEX('Вводные'!$F$88:$F$91,$B$64)+'Вводные'!$H$9)),AND($B$63="Да",IFERROR(INDEX('Вводные'!$B$88:$B$91,$B$64),"Нет")="Да")),MAX(0,SUM($D81:DJ81)-DJ81),0)</x:f>
      </x:c>
      <x:c r="DK83" s="107" t="n">
        <x:f>IF(AND(YEAR(DK$3)=YEAR(EDATE(INDEX('Вводные'!$D$88:$D$91,$B$64),INDEX('Вводные'!$E$88:$E$91,$B$64)+INDEX('Вводные'!$F$88:$F$91,$B$64)+'Вводные'!$H$9)),MONTH(DK$3)=MONTH(EDATE(INDEX('Вводные'!$D$88:$D$91,$B$64),INDEX('Вводные'!$E$88:$E$91,$B$64)+INDEX('Вводные'!$F$88:$F$91,$B$64)+'Вводные'!$H$9)),AND($B$63="Да",IFERROR(INDEX('Вводные'!$B$88:$B$91,$B$64),"Нет")="Да")),MAX(0,SUM($D81:DK81)-DK81),0)</x:f>
      </x:c>
      <x:c r="DL83" s="107" t="n">
        <x:f>IF(AND(YEAR(DL$3)=YEAR(EDATE(INDEX('Вводные'!$D$88:$D$91,$B$64),INDEX('Вводные'!$E$88:$E$91,$B$64)+INDEX('Вводные'!$F$88:$F$91,$B$64)+'Вводные'!$H$9)),MONTH(DL$3)=MONTH(EDATE(INDEX('Вводные'!$D$88:$D$91,$B$64),INDEX('Вводные'!$E$88:$E$91,$B$64)+INDEX('Вводные'!$F$88:$F$91,$B$64)+'Вводные'!$H$9)),AND($B$63="Да",IFERROR(INDEX('Вводные'!$B$88:$B$91,$B$64),"Нет")="Да")),MAX(0,SUM($D81:DL81)-DL81),0)</x:f>
      </x:c>
      <x:c r="DM83" s="107" t="n">
        <x:f>IF(AND(YEAR(DM$3)=YEAR(EDATE(INDEX('Вводные'!$D$88:$D$91,$B$64),INDEX('Вводные'!$E$88:$E$91,$B$64)+INDEX('Вводные'!$F$88:$F$91,$B$64)+'Вводные'!$H$9)),MONTH(DM$3)=MONTH(EDATE(INDEX('Вводные'!$D$88:$D$91,$B$64),INDEX('Вводные'!$E$88:$E$91,$B$64)+INDEX('Вводные'!$F$88:$F$91,$B$64)+'Вводные'!$H$9)),AND($B$63="Да",IFERROR(INDEX('Вводные'!$B$88:$B$91,$B$64),"Нет")="Да")),MAX(0,SUM($D81:DM81)-DM81),0)</x:f>
      </x:c>
      <x:c r="DN83" s="107" t="n">
        <x:f>IF(AND(YEAR(DN$3)=YEAR(EDATE(INDEX('Вводные'!$D$88:$D$91,$B$64),INDEX('Вводные'!$E$88:$E$91,$B$64)+INDEX('Вводные'!$F$88:$F$91,$B$64)+'Вводные'!$H$9)),MONTH(DN$3)=MONTH(EDATE(INDEX('Вводные'!$D$88:$D$91,$B$64),INDEX('Вводные'!$E$88:$E$91,$B$64)+INDEX('Вводные'!$F$88:$F$91,$B$64)+'Вводные'!$H$9)),AND($B$63="Да",IFERROR(INDEX('Вводные'!$B$88:$B$91,$B$64),"Нет")="Да")),MAX(0,SUM($D81:DN81)-DN81),0)</x:f>
      </x:c>
      <x:c r="DO83" s="107" t="n">
        <x:f>IF(AND(YEAR(DO$3)=YEAR(EDATE(INDEX('Вводные'!$D$88:$D$91,$B$64),INDEX('Вводные'!$E$88:$E$91,$B$64)+INDEX('Вводные'!$F$88:$F$91,$B$64)+'Вводные'!$H$9)),MONTH(DO$3)=MONTH(EDATE(INDEX('Вводные'!$D$88:$D$91,$B$64),INDEX('Вводные'!$E$88:$E$91,$B$64)+INDEX('Вводные'!$F$88:$F$91,$B$64)+'Вводные'!$H$9)),AND($B$63="Да",IFERROR(INDEX('Вводные'!$B$88:$B$91,$B$64),"Нет")="Да")),MAX(0,SUM($D81:DO81)-DO81),0)</x:f>
      </x:c>
      <x:c r="DP83" s="107" t="n">
        <x:f>IF(AND(YEAR(DP$3)=YEAR(EDATE(INDEX('Вводные'!$D$88:$D$91,$B$64),INDEX('Вводные'!$E$88:$E$91,$B$64)+INDEX('Вводные'!$F$88:$F$91,$B$64)+'Вводные'!$H$9)),MONTH(DP$3)=MONTH(EDATE(INDEX('Вводные'!$D$88:$D$91,$B$64),INDEX('Вводные'!$E$88:$E$91,$B$64)+INDEX('Вводные'!$F$88:$F$91,$B$64)+'Вводные'!$H$9)),AND($B$63="Да",IFERROR(INDEX('Вводные'!$B$88:$B$91,$B$64),"Нет")="Да")),MAX(0,SUM($D81:DP81)-DP81),0)</x:f>
      </x:c>
      <x:c r="DQ83" s="107" t="n">
        <x:f>IF(AND(YEAR(DQ$3)=YEAR(EDATE(INDEX('Вводные'!$D$88:$D$91,$B$64),INDEX('Вводные'!$E$88:$E$91,$B$64)+INDEX('Вводные'!$F$88:$F$91,$B$64)+'Вводные'!$H$9)),MONTH(DQ$3)=MONTH(EDATE(INDEX('Вводные'!$D$88:$D$91,$B$64),INDEX('Вводные'!$E$88:$E$91,$B$64)+INDEX('Вводные'!$F$88:$F$91,$B$64)+'Вводные'!$H$9)),AND($B$63="Да",IFERROR(INDEX('Вводные'!$B$88:$B$91,$B$64),"Нет")="Да")),MAX(0,SUM($D81:DQ81)-DQ81),0)</x:f>
      </x:c>
      <x:c r="DR83" s="107" t="n">
        <x:f>IF(AND(YEAR(DR$3)=YEAR(EDATE(INDEX('Вводные'!$D$88:$D$91,$B$64),INDEX('Вводные'!$E$88:$E$91,$B$64)+INDEX('Вводные'!$F$88:$F$91,$B$64)+'Вводные'!$H$9)),MONTH(DR$3)=MONTH(EDATE(INDEX('Вводные'!$D$88:$D$91,$B$64),INDEX('Вводные'!$E$88:$E$91,$B$64)+INDEX('Вводные'!$F$88:$F$91,$B$64)+'Вводные'!$H$9)),AND($B$63="Да",IFERROR(INDEX('Вводные'!$B$88:$B$91,$B$64),"Нет")="Да")),MAX(0,SUM($D81:DR81)-DR81),0)</x:f>
      </x:c>
      <x:c r="DS83" s="107" t="n">
        <x:f>IF(AND(YEAR(DS$3)=YEAR(EDATE(INDEX('Вводные'!$D$88:$D$91,$B$64),INDEX('Вводные'!$E$88:$E$91,$B$64)+INDEX('Вводные'!$F$88:$F$91,$B$64)+'Вводные'!$H$9)),MONTH(DS$3)=MONTH(EDATE(INDEX('Вводные'!$D$88:$D$91,$B$64),INDEX('Вводные'!$E$88:$E$91,$B$64)+INDEX('Вводные'!$F$88:$F$91,$B$64)+'Вводные'!$H$9)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 t="str">
        <x:v>НДС к уплате</x:v>
      </x:c>
      <x:c r="B21" t="n">
        <x:f>SUM(D21:DS21)</x:f>
      </x:c>
      <x:c r="C21" t="str">
        <x:v>млн ₽</x:v>
      </x:c>
      <x:c r="D21" s="117" t="n">
        <x:f>IF(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E21" s="117" t="n">
        <x:f>IF(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F21" s="117" t="n">
        <x:f>IF(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G21" s="117" t="n">
        <x:f>IF(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H21" s="117" t="n">
        <x:f>IF(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I21" s="117" t="n">
        <x:f>IF(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J21" s="117" t="n">
        <x:f>IF(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K21" s="117" t="n">
        <x:f>IF(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L21" s="117" t="n">
        <x:f>IF(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M21" s="117" t="n">
        <x:f>IF(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N21" s="117" t="n">
        <x:f>IF(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O21" s="117" t="n">
        <x:f>IF(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P21" s="117" t="n">
        <x:f>IF(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Q21" s="117" t="n">
        <x:f>IF(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R21" s="117" t="n">
        <x:f>IF(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S21" s="117" t="n">
        <x:f>IF(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T21" s="117" t="n">
        <x:f>IF(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U21" s="117" t="n">
        <x:f>IF(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V21" s="117" t="n">
        <x:f>IF(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W21" s="117" t="n">
        <x:f>IF(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X21" s="117" t="n">
        <x:f>IF(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Y21" s="117" t="n">
        <x:f>IF(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Z21" s="117" t="n">
        <x:f>IF(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A21" s="117" t="n">
        <x:f>IF(A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B21" s="117" t="n">
        <x:f>IF(A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C21" s="117" t="n">
        <x:f>IF(A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D21" s="117" t="n">
        <x:f>IF(A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E21" s="117" t="n">
        <x:f>IF(A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F21" s="117" t="n">
        <x:f>IF(A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G21" s="117" t="n">
        <x:f>IF(A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H21" s="117" t="n">
        <x:f>IF(A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I21" s="117" t="n">
        <x:f>IF(A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J21" s="117" t="n">
        <x:f>IF(A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K21" s="117" t="n">
        <x:f>IF(A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L21" s="117" t="n">
        <x:f>IF(A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M21" s="117" t="n">
        <x:f>IF(A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N21" s="117" t="n">
        <x:f>IF(A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O21" s="117" t="n">
        <x:f>IF(A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P21" s="117" t="n">
        <x:f>IF(A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Q21" s="117" t="n">
        <x:f>IF(A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R21" s="117" t="n">
        <x:f>IF(A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S21" s="117" t="n">
        <x:f>IF(A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T21" s="117" t="n">
        <x:f>IF(A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U21" s="117" t="n">
        <x:f>IF(A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V21" s="117" t="n">
        <x:f>IF(A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W21" s="117" t="n">
        <x:f>IF(A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X21" s="117" t="n">
        <x:f>IF(A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Y21" s="117" t="n">
        <x:f>IF(A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AZ21" s="117" t="n">
        <x:f>IF(A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A21" s="117" t="n">
        <x:f>IF(B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B21" s="117" t="n">
        <x:f>IF(B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C21" s="117" t="n">
        <x:f>IF(B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D21" s="117" t="n">
        <x:f>IF(B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E21" s="117" t="n">
        <x:f>IF(B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F21" s="117" t="n">
        <x:f>IF(B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G21" s="117" t="n">
        <x:f>IF(B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H21" s="117" t="n">
        <x:f>IF(B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I21" s="117" t="n">
        <x:f>IF(B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J21" s="117" t="n">
        <x:f>IF(B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K21" s="117" t="n">
        <x:f>IF(B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L21" s="117" t="n">
        <x:f>IF(B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M21" s="117" t="n">
        <x:f>IF(B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N21" s="117" t="n">
        <x:f>IF(B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O21" s="117" t="n">
        <x:f>IF(B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P21" s="117" t="n">
        <x:f>IF(B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Q21" s="117" t="n">
        <x:f>IF(B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R21" s="117" t="n">
        <x:f>IF(B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S21" s="117" t="n">
        <x:f>IF(B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T21" s="117" t="n">
        <x:f>IF(B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U21" s="117" t="n">
        <x:f>IF(B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V21" s="117" t="n">
        <x:f>IF(B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W21" s="117" t="n">
        <x:f>IF(B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X21" s="117" t="n">
        <x:f>IF(B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Y21" s="117" t="n">
        <x:f>IF(B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BZ21" s="117" t="n">
        <x:f>IF(B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A21" s="117" t="n">
        <x:f>IF(C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B21" s="117" t="n">
        <x:f>IF(C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C21" s="117" t="n">
        <x:f>IF(C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D21" s="117" t="n">
        <x:f>IF(C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E21" s="117" t="n">
        <x:f>IF(C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F21" s="117" t="n">
        <x:f>IF(C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G21" s="117" t="n">
        <x:f>IF(C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H21" s="117" t="n">
        <x:f>IF(C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I21" s="117" t="n">
        <x:f>IF(C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J21" s="117" t="n">
        <x:f>IF(C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K21" s="117" t="n">
        <x:f>IF(C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L21" s="117" t="n">
        <x:f>IF(C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M21" s="117" t="n">
        <x:f>IF(C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N21" s="117" t="n">
        <x:f>IF(C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O21" s="117" t="n">
        <x:f>IF(C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P21" s="117" t="n">
        <x:f>IF(C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Q21" s="117" t="n">
        <x:f>IF(C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R21" s="117" t="n">
        <x:f>IF(C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S21" s="117" t="n">
        <x:f>IF(C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T21" s="117" t="n">
        <x:f>IF(CT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U21" s="117" t="n">
        <x:f>IF(CU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V21" s="117" t="n">
        <x:f>IF(CV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W21" s="117" t="n">
        <x:f>IF(CW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X21" s="117" t="n">
        <x:f>IF(CX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Y21" s="117" t="n">
        <x:f>IF(CY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CZ21" s="117" t="n">
        <x:f>IF(CZ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A21" s="117" t="n">
        <x:f>IF(DA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B21" s="117" t="n">
        <x:f>IF(DB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C21" s="117" t="n">
        <x:f>IF(DC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D21" s="117" t="n">
        <x:f>IF(DD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E21" s="117" t="n">
        <x:f>IF(DE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F21" s="117" t="n">
        <x:f>IF(DF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G21" s="117" t="n">
        <x:f>IF(DG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H21" s="117" t="n">
        <x:f>IF(DH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I21" s="117" t="n">
        <x:f>IF(DI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J21" s="117" t="n">
        <x:f>IF(DJ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K21" s="117" t="n">
        <x:f>IF(DK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L21" s="117" t="n">
        <x:f>IF(DL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M21" s="117" t="n">
        <x:f>IF(DM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N21" s="117" t="n">
        <x:f>IF(DN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O21" s="117" t="n">
        <x:f>IF(DO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P21" s="117" t="n">
        <x:f>IF(DP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Q21" s="117" t="n">
        <x:f>IF(DQ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R21" s="117" t="n">
        <x:f>IF(DR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  <x:c r="DS21" s="117" t="n">
        <x:f>IF(DS$3=$B$8,MAX(0,(SUM($D$10:$DS$10)-SUM('Продажи'!$D$85:$DS$85))*('Вводные'!$B$22/(1+'Вводные'!$B$22))-(SUM($D$20:$DS$20)-'Вводные'!$B$15*'Вводные'!$P$91-'Вводные'!$B$16*'Вводные'!$Q$91)*('Вводные'!$B$22/(1+'Вводные'!$B$22))*IFERROR((SUM($D$10:$DS$10)-SUM('Продажи'!$D$85:$DS$85))/SUM($D$10:$DS$10),0)),0)</x:f>
      </x:c>
    </x:row>
    <x:row r="22">
      <x:c r="A22" t="str">
        <x:v>Налоговая прибыль текущего месяца</x:v>
      </x:c>
      <x:c r="B22"/>
      <x:c r="C22" t="str">
        <x:v>млн ₽</x:v>
      </x:c>
      <x:c r="D22" s="117">
        <x:f>D10-IFERROR((SUM($D$20:$DS$20)-'ОБЪЕКТЫ'!$B$120)*('Продажи'!D83+'Продажи'!D86+'Продажи'!D89+'Продажи'!D92)/(SUM('Продажи'!$D$83:$DS$83)+SUM('Продажи'!$D$86:$DS$86)+SUM('Продажи'!$D$89:$DS$89)+SUM('Продажи'!$D$92:$DS$92)),0)-IF('ОБЪЕКТЫ'!$B$8=4,IFERROR('ОБЪЕКТЫ'!$B$28*'ОБЪЕКТЫ'!D22/'ОБЪЕКТЫ'!$B$22,0),0)-IF('ОБЪЕКТЫ'!$B$36=4,IFERROR('ОБЪЕКТЫ'!$B$56*'ОБЪЕКТЫ'!D50/'ОБЪЕКТЫ'!$B$50,0),0)-IF('ОБЪЕКТЫ'!$B$64=4,IFERROR('ОБЪЕКТЫ'!$B$84*'ОБЪЕКТЫ'!D78/'ОБЪЕКТЫ'!$B$78,0),0)-D53-D57-D21</x:f>
      </x:c>
      <x:c r="E22" s="117">
        <x:f>E10-IFERROR((SUM($D$20:$DS$20)-'ОБЪЕКТЫ'!$B$120)*('Продажи'!E83+'Продажи'!E86+'Продажи'!E89+'Продажи'!E92)/(SUM('Продажи'!$D$83:$DS$83)+SUM('Продажи'!$D$86:$DS$86)+SUM('Продажи'!$D$89:$DS$89)+SUM('Продажи'!$D$92:$DS$92)),0)-IF('ОБЪЕКТЫ'!$B$8=4,IFERROR('ОБЪЕКТЫ'!$B$28*'ОБЪЕКТЫ'!E22/'ОБЪЕКТЫ'!$B$22,0),0)-IF('ОБЪЕКТЫ'!$B$36=4,IFERROR('ОБЪЕКТЫ'!$B$56*'ОБЪЕКТЫ'!E50/'ОБЪЕКТЫ'!$B$50,0),0)-IF('ОБЪЕКТЫ'!$B$64=4,IFERROR('ОБЪЕКТЫ'!$B$84*'ОБЪЕКТЫ'!E78/'ОБЪЕКТЫ'!$B$78,0),0)-E53-E57-E21</x:f>
      </x:c>
      <x:c r="F22" s="117">
        <x:f>F10-IFERROR((SUM($D$20:$DS$20)-'ОБЪЕКТЫ'!$B$120)*('Продажи'!F83+'Продажи'!F86+'Продажи'!F89+'Продажи'!F92)/(SUM('Продажи'!$D$83:$DS$83)+SUM('Продажи'!$D$86:$DS$86)+SUM('Продажи'!$D$89:$DS$89)+SUM('Продажи'!$D$92:$DS$92)),0)-IF('ОБЪЕКТЫ'!$B$8=4,IFERROR('ОБЪЕКТЫ'!$B$28*'ОБЪЕКТЫ'!F22/'ОБЪЕКТЫ'!$B$22,0),0)-IF('ОБЪЕКТЫ'!$B$36=4,IFERROR('ОБЪЕКТЫ'!$B$56*'ОБЪЕКТЫ'!F50/'ОБЪЕКТЫ'!$B$50,0),0)-IF('ОБЪЕКТЫ'!$B$64=4,IFERROR('ОБЪЕКТЫ'!$B$84*'ОБЪЕКТЫ'!F78/'ОБЪЕКТЫ'!$B$78,0),0)-F53-F57-F21</x:f>
      </x:c>
      <x:c r="G22" s="117">
        <x:f>G10-IFERROR((SUM($D$20:$DS$20)-'ОБЪЕКТЫ'!$B$120)*('Продажи'!G83+'Продажи'!G86+'Продажи'!G89+'Продажи'!G92)/(SUM('Продажи'!$D$83:$DS$83)+SUM('Продажи'!$D$86:$DS$86)+SUM('Продажи'!$D$89:$DS$89)+SUM('Продажи'!$D$92:$DS$92)),0)-IF('ОБЪЕКТЫ'!$B$8=4,IFERROR('ОБЪЕКТЫ'!$B$28*'ОБЪЕКТЫ'!G22/'ОБЪЕКТЫ'!$B$22,0),0)-IF('ОБЪЕКТЫ'!$B$36=4,IFERROR('ОБЪЕКТЫ'!$B$56*'ОБЪЕКТЫ'!G50/'ОБЪЕКТЫ'!$B$50,0),0)-IF('ОБЪЕКТЫ'!$B$64=4,IFERROR('ОБЪЕКТЫ'!$B$84*'ОБЪЕКТЫ'!G78/'ОБЪЕКТЫ'!$B$78,0),0)-G53-G57-G21</x:f>
      </x:c>
      <x:c r="H22" s="117">
        <x:f>H10-IFERROR((SUM($D$20:$DS$20)-'ОБЪЕКТЫ'!$B$120)*('Продажи'!H83+'Продажи'!H86+'Продажи'!H89+'Продажи'!H92)/(SUM('Продажи'!$D$83:$DS$83)+SUM('Продажи'!$D$86:$DS$86)+SUM('Продажи'!$D$89:$DS$89)+SUM('Продажи'!$D$92:$DS$92)),0)-IF('ОБЪЕКТЫ'!$B$8=4,IFERROR('ОБЪЕКТЫ'!$B$28*'ОБЪЕКТЫ'!H22/'ОБЪЕКТЫ'!$B$22,0),0)-IF('ОБЪЕКТЫ'!$B$36=4,IFERROR('ОБЪЕКТЫ'!$B$56*'ОБЪЕКТЫ'!H50/'ОБЪЕКТЫ'!$B$50,0),0)-IF('ОБЪЕКТЫ'!$B$64=4,IFERROR('ОБЪЕКТЫ'!$B$84*'ОБЪЕКТЫ'!H78/'ОБЪЕКТЫ'!$B$78,0),0)-H53-H57-H21</x:f>
      </x:c>
      <x:c r="I22" s="117">
        <x:f>I10-IFERROR((SUM($D$20:$DS$20)-'ОБЪЕКТЫ'!$B$120)*('Продажи'!I83+'Продажи'!I86+'Продажи'!I89+'Продажи'!I92)/(SUM('Продажи'!$D$83:$DS$83)+SUM('Продажи'!$D$86:$DS$86)+SUM('Продажи'!$D$89:$DS$89)+SUM('Продажи'!$D$92:$DS$92)),0)-IF('ОБЪЕКТЫ'!$B$8=4,IFERROR('ОБЪЕКТЫ'!$B$28*'ОБЪЕКТЫ'!I22/'ОБЪЕКТЫ'!$B$22,0),0)-IF('ОБЪЕКТЫ'!$B$36=4,IFERROR('ОБЪЕКТЫ'!$B$56*'ОБЪЕКТЫ'!I50/'ОБЪЕКТЫ'!$B$50,0),0)-IF('ОБЪЕКТЫ'!$B$64=4,IFERROR('ОБЪЕКТЫ'!$B$84*'ОБЪЕКТЫ'!I78/'ОБЪЕКТЫ'!$B$78,0),0)-I53-I57-I21</x:f>
      </x:c>
      <x:c r="J22" s="117">
        <x:f>J10-IFERROR((SUM($D$20:$DS$20)-'ОБЪЕКТЫ'!$B$120)*('Продажи'!J83+'Продажи'!J86+'Продажи'!J89+'Продажи'!J92)/(SUM('Продажи'!$D$83:$DS$83)+SUM('Продажи'!$D$86:$DS$86)+SUM('Продажи'!$D$89:$DS$89)+SUM('Продажи'!$D$92:$DS$92)),0)-IF('ОБЪЕКТЫ'!$B$8=4,IFERROR('ОБЪЕКТЫ'!$B$28*'ОБЪЕКТЫ'!J22/'ОБЪЕКТЫ'!$B$22,0),0)-IF('ОБЪЕКТЫ'!$B$36=4,IFERROR('ОБЪЕКТЫ'!$B$56*'ОБЪЕКТЫ'!J50/'ОБЪЕКТЫ'!$B$50,0),0)-IF('ОБЪЕКТЫ'!$B$64=4,IFERROR('ОБЪЕКТЫ'!$B$84*'ОБЪЕКТЫ'!J78/'ОБЪЕКТЫ'!$B$78,0),0)-J53-J57-J21</x:f>
      </x:c>
      <x:c r="K22" s="117">
        <x:f>K10-IFERROR((SUM($D$20:$DS$20)-'ОБЪЕКТЫ'!$B$120)*('Продажи'!K83+'Продажи'!K86+'Продажи'!K89+'Продажи'!K92)/(SUM('Продажи'!$D$83:$DS$83)+SUM('Продажи'!$D$86:$DS$86)+SUM('Продажи'!$D$89:$DS$89)+SUM('Продажи'!$D$92:$DS$92)),0)-IF('ОБЪЕКТЫ'!$B$8=4,IFERROR('ОБЪЕКТЫ'!$B$28*'ОБЪЕКТЫ'!K22/'ОБЪЕКТЫ'!$B$22,0),0)-IF('ОБЪЕКТЫ'!$B$36=4,IFERROR('ОБЪЕКТЫ'!$B$56*'ОБЪЕКТЫ'!K50/'ОБЪЕКТЫ'!$B$50,0),0)-IF('ОБЪЕКТЫ'!$B$64=4,IFERROR('ОБЪЕКТЫ'!$B$84*'ОБЪЕКТЫ'!K78/'ОБЪЕКТЫ'!$B$78,0),0)-K53-K57-K21</x:f>
      </x:c>
      <x:c r="L22" s="117">
        <x:f>L10-IFERROR((SUM($D$20:$DS$20)-'ОБЪЕКТЫ'!$B$120)*('Продажи'!L83+'Продажи'!L86+'Продажи'!L89+'Продажи'!L92)/(SUM('Продажи'!$D$83:$DS$83)+SUM('Продажи'!$D$86:$DS$86)+SUM('Продажи'!$D$89:$DS$89)+SUM('Продажи'!$D$92:$DS$92)),0)-IF('ОБЪЕКТЫ'!$B$8=4,IFERROR('ОБЪЕКТЫ'!$B$28*'ОБЪЕКТЫ'!L22/'ОБЪЕКТЫ'!$B$22,0),0)-IF('ОБЪЕКТЫ'!$B$36=4,IFERROR('ОБЪЕКТЫ'!$B$56*'ОБЪЕКТЫ'!L50/'ОБЪЕКТЫ'!$B$50,0),0)-IF('ОБЪЕКТЫ'!$B$64=4,IFERROR('ОБЪЕКТЫ'!$B$84*'ОБЪЕКТЫ'!L78/'ОБЪЕКТЫ'!$B$78,0),0)-L53-L57-L21</x:f>
      </x:c>
      <x:c r="M22" s="117">
        <x:f>M10-IFERROR((SUM($D$20:$DS$20)-'ОБЪЕКТЫ'!$B$120)*('Продажи'!M83+'Продажи'!M86+'Продажи'!M89+'Продажи'!M92)/(SUM('Продажи'!$D$83:$DS$83)+SUM('Продажи'!$D$86:$DS$86)+SUM('Продажи'!$D$89:$DS$89)+SUM('Продажи'!$D$92:$DS$92)),0)-IF('ОБЪЕКТЫ'!$B$8=4,IFERROR('ОБЪЕКТЫ'!$B$28*'ОБЪЕКТЫ'!M22/'ОБЪЕКТЫ'!$B$22,0),0)-IF('ОБЪЕКТЫ'!$B$36=4,IFERROR('ОБЪЕКТЫ'!$B$56*'ОБЪЕКТЫ'!M50/'ОБЪЕКТЫ'!$B$50,0),0)-IF('ОБЪЕКТЫ'!$B$64=4,IFERROR('ОБЪЕКТЫ'!$B$84*'ОБЪЕКТЫ'!M78/'ОБЪЕКТЫ'!$B$78,0),0)-M53-M57-M21</x:f>
      </x:c>
      <x:c r="N22" s="117">
        <x:f>N10-IFERROR((SUM($D$20:$DS$20)-'ОБЪЕКТЫ'!$B$120)*('Продажи'!N83+'Продажи'!N86+'Продажи'!N89+'Продажи'!N92)/(SUM('Продажи'!$D$83:$DS$83)+SUM('Продажи'!$D$86:$DS$86)+SUM('Продажи'!$D$89:$DS$89)+SUM('Продажи'!$D$92:$DS$92)),0)-IF('ОБЪЕКТЫ'!$B$8=4,IFERROR('ОБЪЕКТЫ'!$B$28*'ОБЪЕКТЫ'!N22/'ОБЪЕКТЫ'!$B$22,0),0)-IF('ОБЪЕКТЫ'!$B$36=4,IFERROR('ОБЪЕКТЫ'!$B$56*'ОБЪЕКТЫ'!N50/'ОБЪЕКТЫ'!$B$50,0),0)-IF('ОБЪЕКТЫ'!$B$64=4,IFERROR('ОБЪЕКТЫ'!$B$84*'ОБЪЕКТЫ'!N78/'ОБЪЕКТЫ'!$B$78,0),0)-N53-N57-N21</x:f>
      </x:c>
      <x:c r="O22" s="117">
        <x:f>O10-IFERROR((SUM($D$20:$DS$20)-'ОБЪЕКТЫ'!$B$120)*('Продажи'!O83+'Продажи'!O86+'Продажи'!O89+'Продажи'!O92)/(SUM('Продажи'!$D$83:$DS$83)+SUM('Продажи'!$D$86:$DS$86)+SUM('Продажи'!$D$89:$DS$89)+SUM('Продажи'!$D$92:$DS$92)),0)-IF('ОБЪЕКТЫ'!$B$8=4,IFERROR('ОБЪЕКТЫ'!$B$28*'ОБЪЕКТЫ'!O22/'ОБЪЕКТЫ'!$B$22,0),0)-IF('ОБЪЕКТЫ'!$B$36=4,IFERROR('ОБЪЕКТЫ'!$B$56*'ОБЪЕКТЫ'!O50/'ОБЪЕКТЫ'!$B$50,0),0)-IF('ОБЪЕКТЫ'!$B$64=4,IFERROR('ОБЪЕКТЫ'!$B$84*'ОБЪЕКТЫ'!O78/'ОБЪЕКТЫ'!$B$78,0),0)-O53-O57-O21</x:f>
      </x:c>
      <x:c r="P22" s="117">
        <x:f>P10-IFERROR((SUM($D$20:$DS$20)-'ОБЪЕКТЫ'!$B$120)*('Продажи'!P83+'Продажи'!P86+'Продажи'!P89+'Продажи'!P92)/(SUM('Продажи'!$D$83:$DS$83)+SUM('Продажи'!$D$86:$DS$86)+SUM('Продажи'!$D$89:$DS$89)+SUM('Продажи'!$D$92:$DS$92)),0)-IF('ОБЪЕКТЫ'!$B$8=4,IFERROR('ОБЪЕКТЫ'!$B$28*'ОБЪЕКТЫ'!P22/'ОБЪЕКТЫ'!$B$22,0),0)-IF('ОБЪЕКТЫ'!$B$36=4,IFERROR('ОБЪЕКТЫ'!$B$56*'ОБЪЕКТЫ'!P50/'ОБЪЕКТЫ'!$B$50,0),0)-IF('ОБЪЕКТЫ'!$B$64=4,IFERROR('ОБЪЕКТЫ'!$B$84*'ОБЪЕКТЫ'!P78/'ОБЪЕКТЫ'!$B$78,0),0)-P53-P57-P21</x:f>
      </x:c>
      <x:c r="Q22" s="117">
        <x:f>Q10-IFERROR((SUM($D$20:$DS$20)-'ОБЪЕКТЫ'!$B$120)*('Продажи'!Q83+'Продажи'!Q86+'Продажи'!Q89+'Продажи'!Q92)/(SUM('Продажи'!$D$83:$DS$83)+SUM('Продажи'!$D$86:$DS$86)+SUM('Продажи'!$D$89:$DS$89)+SUM('Продажи'!$D$92:$DS$92)),0)-IF('ОБЪЕКТЫ'!$B$8=4,IFERROR('ОБЪЕКТЫ'!$B$28*'ОБЪЕКТЫ'!Q22/'ОБЪЕКТЫ'!$B$22,0),0)-IF('ОБЪЕКТЫ'!$B$36=4,IFERROR('ОБЪЕКТЫ'!$B$56*'ОБЪЕКТЫ'!Q50/'ОБЪЕКТЫ'!$B$50,0),0)-IF('ОБЪЕКТЫ'!$B$64=4,IFERROR('ОБЪЕКТЫ'!$B$84*'ОБЪЕКТЫ'!Q78/'ОБЪЕКТЫ'!$B$78,0),0)-Q53-Q57-Q21</x:f>
      </x:c>
      <x:c r="R22" s="117">
        <x:f>R10-IFERROR((SUM($D$20:$DS$20)-'ОБЪЕКТЫ'!$B$120)*('Продажи'!R83+'Продажи'!R86+'Продажи'!R89+'Продажи'!R92)/(SUM('Продажи'!$D$83:$DS$83)+SUM('Продажи'!$D$86:$DS$86)+SUM('Продажи'!$D$89:$DS$89)+SUM('Продажи'!$D$92:$DS$92)),0)-IF('ОБЪЕКТЫ'!$B$8=4,IFERROR('ОБЪЕКТЫ'!$B$28*'ОБЪЕКТЫ'!R22/'ОБЪЕКТЫ'!$B$22,0),0)-IF('ОБЪЕКТЫ'!$B$36=4,IFERROR('ОБЪЕКТЫ'!$B$56*'ОБЪЕКТЫ'!R50/'ОБЪЕКТЫ'!$B$50,0),0)-IF('ОБЪЕКТЫ'!$B$64=4,IFERROR('ОБЪЕКТЫ'!$B$84*'ОБЪЕКТЫ'!R78/'ОБЪЕКТЫ'!$B$78,0),0)-R53-R57-R21</x:f>
      </x:c>
      <x:c r="S22" s="117">
        <x:f>S10-IFERROR((SUM($D$20:$DS$20)-'ОБЪЕКТЫ'!$B$120)*('Продажи'!S83+'Продажи'!S86+'Продажи'!S89+'Продажи'!S92)/(SUM('Продажи'!$D$83:$DS$83)+SUM('Продажи'!$D$86:$DS$86)+SUM('Продажи'!$D$89:$DS$89)+SUM('Продажи'!$D$92:$DS$92)),0)-IF('ОБЪЕКТЫ'!$B$8=4,IFERROR('ОБЪЕКТЫ'!$B$28*'ОБЪЕКТЫ'!S22/'ОБЪЕКТЫ'!$B$22,0),0)-IF('ОБЪЕКТЫ'!$B$36=4,IFERROR('ОБЪЕКТЫ'!$B$56*'ОБЪЕКТЫ'!S50/'ОБЪЕКТЫ'!$B$50,0),0)-IF('ОБЪЕКТЫ'!$B$64=4,IFERROR('ОБЪЕКТЫ'!$B$84*'ОБЪЕКТЫ'!S78/'ОБЪЕКТЫ'!$B$78,0),0)-S53-S57-S21</x:f>
      </x:c>
      <x:c r="T22" s="117">
        <x:f>T10-IFERROR((SUM($D$20:$DS$20)-'ОБЪЕКТЫ'!$B$120)*('Продажи'!T83+'Продажи'!T86+'Продажи'!T89+'Продажи'!T92)/(SUM('Продажи'!$D$83:$DS$83)+SUM('Продажи'!$D$86:$DS$86)+SUM('Продажи'!$D$89:$DS$89)+SUM('Продажи'!$D$92:$DS$92)),0)-IF('ОБЪЕКТЫ'!$B$8=4,IFERROR('ОБЪЕКТЫ'!$B$28*'ОБЪЕКТЫ'!T22/'ОБЪЕКТЫ'!$B$22,0),0)-IF('ОБЪЕКТЫ'!$B$36=4,IFERROR('ОБЪЕКТЫ'!$B$56*'ОБЪЕКТЫ'!T50/'ОБЪЕКТЫ'!$B$50,0),0)-IF('ОБЪЕКТЫ'!$B$64=4,IFERROR('ОБЪЕКТЫ'!$B$84*'ОБЪЕКТЫ'!T78/'ОБЪЕКТЫ'!$B$78,0),0)-T53-T57-T21</x:f>
      </x:c>
      <x:c r="U22" s="117">
        <x:f>U10-IFERROR((SUM($D$20:$DS$20)-'ОБЪЕКТЫ'!$B$120)*('Продажи'!U83+'Продажи'!U86+'Продажи'!U89+'Продажи'!U92)/(SUM('Продажи'!$D$83:$DS$83)+SUM('Продажи'!$D$86:$DS$86)+SUM('Продажи'!$D$89:$DS$89)+SUM('Продажи'!$D$92:$DS$92)),0)-IF('ОБЪЕКТЫ'!$B$8=4,IFERROR('ОБЪЕКТЫ'!$B$28*'ОБЪЕКТЫ'!U22/'ОБЪЕКТЫ'!$B$22,0),0)-IF('ОБЪЕКТЫ'!$B$36=4,IFERROR('ОБЪЕКТЫ'!$B$56*'ОБЪЕКТЫ'!U50/'ОБЪЕКТЫ'!$B$50,0),0)-IF('ОБЪЕКТЫ'!$B$64=4,IFERROR('ОБЪЕКТЫ'!$B$84*'ОБЪЕКТЫ'!U78/'ОБЪЕКТЫ'!$B$78,0),0)-U53-U57-U21</x:f>
      </x:c>
      <x:c r="V22" s="117">
        <x:f>V10-IFERROR((SUM($D$20:$DS$20)-'ОБЪЕКТЫ'!$B$120)*('Продажи'!V83+'Продажи'!V86+'Продажи'!V89+'Продажи'!V92)/(SUM('Продажи'!$D$83:$DS$83)+SUM('Продажи'!$D$86:$DS$86)+SUM('Продажи'!$D$89:$DS$89)+SUM('Продажи'!$D$92:$DS$92)),0)-IF('ОБЪЕКТЫ'!$B$8=4,IFERROR('ОБЪЕКТЫ'!$B$28*'ОБЪЕКТЫ'!V22/'ОБЪЕКТЫ'!$B$22,0),0)-IF('ОБЪЕКТЫ'!$B$36=4,IFERROR('ОБЪЕКТЫ'!$B$56*'ОБЪЕКТЫ'!V50/'ОБЪЕКТЫ'!$B$50,0),0)-IF('ОБЪЕКТЫ'!$B$64=4,IFERROR('ОБЪЕКТЫ'!$B$84*'ОБЪЕКТЫ'!V78/'ОБЪЕКТЫ'!$B$78,0),0)-V53-V57-V21</x:f>
      </x:c>
      <x:c r="W22" s="117">
        <x:f>W10-IFERROR((SUM($D$20:$DS$20)-'ОБЪЕКТЫ'!$B$120)*('Продажи'!W83+'Продажи'!W86+'Продажи'!W89+'Продажи'!W92)/(SUM('Продажи'!$D$83:$DS$83)+SUM('Продажи'!$D$86:$DS$86)+SUM('Продажи'!$D$89:$DS$89)+SUM('Продажи'!$D$92:$DS$92)),0)-IF('ОБЪЕКТЫ'!$B$8=4,IFERROR('ОБЪЕКТЫ'!$B$28*'ОБЪЕКТЫ'!W22/'ОБЪЕКТЫ'!$B$22,0),0)-IF('ОБЪЕКТЫ'!$B$36=4,IFERROR('ОБЪЕКТЫ'!$B$56*'ОБЪЕКТЫ'!W50/'ОБЪЕКТЫ'!$B$50,0),0)-IF('ОБЪЕКТЫ'!$B$64=4,IFERROR('ОБЪЕКТЫ'!$B$84*'ОБЪЕКТЫ'!W78/'ОБЪЕКТЫ'!$B$78,0),0)-W53-W57-W21</x:f>
      </x:c>
      <x:c r="X22" s="117">
        <x:f>X10-IFERROR((SUM($D$20:$DS$20)-'ОБЪЕКТЫ'!$B$120)*('Продажи'!X83+'Продажи'!X86+'Продажи'!X89+'Продажи'!X92)/(SUM('Продажи'!$D$83:$DS$83)+SUM('Продажи'!$D$86:$DS$86)+SUM('Продажи'!$D$89:$DS$89)+SUM('Продажи'!$D$92:$DS$92)),0)-IF('ОБЪЕКТЫ'!$B$8=4,IFERROR('ОБЪЕКТЫ'!$B$28*'ОБЪЕКТЫ'!X22/'ОБЪЕКТЫ'!$B$22,0),0)-IF('ОБЪЕКТЫ'!$B$36=4,IFERROR('ОБЪЕКТЫ'!$B$56*'ОБЪЕКТЫ'!X50/'ОБЪЕКТЫ'!$B$50,0),0)-IF('ОБЪЕКТЫ'!$B$64=4,IFERROR('ОБЪЕКТЫ'!$B$84*'ОБЪЕКТЫ'!X78/'ОБЪЕКТЫ'!$B$78,0),0)-X53-X57-X21</x:f>
      </x:c>
      <x:c r="Y22" s="117">
        <x:f>Y10-IFERROR((SUM($D$20:$DS$20)-'ОБЪЕКТЫ'!$B$120)*('Продажи'!Y83+'Продажи'!Y86+'Продажи'!Y89+'Продажи'!Y92)/(SUM('Продажи'!$D$83:$DS$83)+SUM('Продажи'!$D$86:$DS$86)+SUM('Продажи'!$D$89:$DS$89)+SUM('Продажи'!$D$92:$DS$92)),0)-IF('ОБЪЕКТЫ'!$B$8=4,IFERROR('ОБЪЕКТЫ'!$B$28*'ОБЪЕКТЫ'!Y22/'ОБЪЕКТЫ'!$B$22,0),0)-IF('ОБЪЕКТЫ'!$B$36=4,IFERROR('ОБЪЕКТЫ'!$B$56*'ОБЪЕКТЫ'!Y50/'ОБЪЕКТЫ'!$B$50,0),0)-IF('ОБЪЕКТЫ'!$B$64=4,IFERROR('ОБЪЕКТЫ'!$B$84*'ОБЪЕКТЫ'!Y78/'ОБЪЕКТЫ'!$B$78,0),0)-Y53-Y57-Y21</x:f>
      </x:c>
      <x:c r="Z22" s="117">
        <x:f>Z10-IFERROR((SUM($D$20:$DS$20)-'ОБЪЕКТЫ'!$B$120)*('Продажи'!Z83+'Продажи'!Z86+'Продажи'!Z89+'Продажи'!Z92)/(SUM('Продажи'!$D$83:$DS$83)+SUM('Продажи'!$D$86:$DS$86)+SUM('Продажи'!$D$89:$DS$89)+SUM('Продажи'!$D$92:$DS$92)),0)-IF('ОБЪЕКТЫ'!$B$8=4,IFERROR('ОБЪЕКТЫ'!$B$28*'ОБЪЕКТЫ'!Z22/'ОБЪЕКТЫ'!$B$22,0),0)-IF('ОБЪЕКТЫ'!$B$36=4,IFERROR('ОБЪЕКТЫ'!$B$56*'ОБЪЕКТЫ'!Z50/'ОБЪЕКТЫ'!$B$50,0),0)-IF('ОБЪЕКТЫ'!$B$64=4,IFERROR('ОБЪЕКТЫ'!$B$84*'ОБЪЕКТЫ'!Z78/'ОБЪЕКТЫ'!$B$78,0),0)-Z53-Z57-Z21</x:f>
      </x:c>
      <x:c r="AA22" s="117">
        <x:f>AA10-IFERROR((SUM($D$20:$DS$20)-'ОБЪЕКТЫ'!$B$120)*('Продажи'!AA83+'Продажи'!AA86+'Продажи'!AA89+'Продажи'!AA92)/(SUM('Продажи'!$D$83:$DS$83)+SUM('Продажи'!$D$86:$DS$86)+SUM('Продажи'!$D$89:$DS$89)+SUM('Продажи'!$D$92:$DS$92)),0)-IF('ОБЪЕКТЫ'!$B$8=4,IFERROR('ОБЪЕКТЫ'!$B$28*'ОБЪЕКТЫ'!AA22/'ОБЪЕКТЫ'!$B$22,0),0)-IF('ОБЪЕКТЫ'!$B$36=4,IFERROR('ОБЪЕКТЫ'!$B$56*'ОБЪЕКТЫ'!AA50/'ОБЪЕКТЫ'!$B$50,0),0)-IF('ОБЪЕКТЫ'!$B$64=4,IFERROR('ОБЪЕКТЫ'!$B$84*'ОБЪЕКТЫ'!AA78/'ОБЪЕКТЫ'!$B$78,0),0)-AA53-AA57-AA21</x:f>
      </x:c>
      <x:c r="AB22" s="117">
        <x:f>AB10-IFERROR((SUM($D$20:$DS$20)-'ОБЪЕКТЫ'!$B$120)*('Продажи'!AB83+'Продажи'!AB86+'Продажи'!AB89+'Продажи'!AB92)/(SUM('Продажи'!$D$83:$DS$83)+SUM('Продажи'!$D$86:$DS$86)+SUM('Продажи'!$D$89:$DS$89)+SUM('Продажи'!$D$92:$DS$92)),0)-IF('ОБЪЕКТЫ'!$B$8=4,IFERROR('ОБЪЕКТЫ'!$B$28*'ОБЪЕКТЫ'!AB22/'ОБЪЕКТЫ'!$B$22,0),0)-IF('ОБЪЕКТЫ'!$B$36=4,IFERROR('ОБЪЕКТЫ'!$B$56*'ОБЪЕКТЫ'!AB50/'ОБЪЕКТЫ'!$B$50,0),0)-IF('ОБЪЕКТЫ'!$B$64=4,IFERROR('ОБЪЕКТЫ'!$B$84*'ОБЪЕКТЫ'!AB78/'ОБЪЕКТЫ'!$B$78,0),0)-AB53-AB57-AB21</x:f>
      </x:c>
      <x:c r="AC22" s="117">
        <x:f>AC10-IFERROR((SUM($D$20:$DS$20)-'ОБЪЕКТЫ'!$B$120)*('Продажи'!AC83+'Продажи'!AC86+'Продажи'!AC89+'Продажи'!AC92)/(SUM('Продажи'!$D$83:$DS$83)+SUM('Продажи'!$D$86:$DS$86)+SUM('Продажи'!$D$89:$DS$89)+SUM('Продажи'!$D$92:$DS$92)),0)-IF('ОБЪЕКТЫ'!$B$8=4,IFERROR('ОБЪЕКТЫ'!$B$28*'ОБЪЕКТЫ'!AC22/'ОБЪЕКТЫ'!$B$22,0),0)-IF('ОБЪЕКТЫ'!$B$36=4,IFERROR('ОБЪЕКТЫ'!$B$56*'ОБЪЕКТЫ'!AC50/'ОБЪЕКТЫ'!$B$50,0),0)-IF('ОБЪЕКТЫ'!$B$64=4,IFERROR('ОБЪЕКТЫ'!$B$84*'ОБЪЕКТЫ'!AC78/'ОБЪЕКТЫ'!$B$78,0),0)-AC53-AC57-AC21</x:f>
      </x:c>
      <x:c r="AD22" s="117">
        <x:f>AD10-IFERROR((SUM($D$20:$DS$20)-'ОБЪЕКТЫ'!$B$120)*('Продажи'!AD83+'Продажи'!AD86+'Продажи'!AD89+'Продажи'!AD92)/(SUM('Продажи'!$D$83:$DS$83)+SUM('Продажи'!$D$86:$DS$86)+SUM('Продажи'!$D$89:$DS$89)+SUM('Продажи'!$D$92:$DS$92)),0)-IF('ОБЪЕКТЫ'!$B$8=4,IFERROR('ОБЪЕКТЫ'!$B$28*'ОБЪЕКТЫ'!AD22/'ОБЪЕКТЫ'!$B$22,0),0)-IF('ОБЪЕКТЫ'!$B$36=4,IFERROR('ОБЪЕКТЫ'!$B$56*'ОБЪЕКТЫ'!AD50/'ОБЪЕКТЫ'!$B$50,0),0)-IF('ОБЪЕКТЫ'!$B$64=4,IFERROR('ОБЪЕКТЫ'!$B$84*'ОБЪЕКТЫ'!AD78/'ОБЪЕКТЫ'!$B$78,0),0)-AD53-AD57-AD21</x:f>
      </x:c>
      <x:c r="AE22" s="117">
        <x:f>AE10-IFERROR((SUM($D$20:$DS$20)-'ОБЪЕКТЫ'!$B$120)*('Продажи'!AE83+'Продажи'!AE86+'Продажи'!AE89+'Продажи'!AE92)/(SUM('Продажи'!$D$83:$DS$83)+SUM('Продажи'!$D$86:$DS$86)+SUM('Продажи'!$D$89:$DS$89)+SUM('Продажи'!$D$92:$DS$92)),0)-IF('ОБЪЕКТЫ'!$B$8=4,IFERROR('ОБЪЕКТЫ'!$B$28*'ОБЪЕКТЫ'!AE22/'ОБЪЕКТЫ'!$B$22,0),0)-IF('ОБЪЕКТЫ'!$B$36=4,IFERROR('ОБЪЕКТЫ'!$B$56*'ОБЪЕКТЫ'!AE50/'ОБЪЕКТЫ'!$B$50,0),0)-IF('ОБЪЕКТЫ'!$B$64=4,IFERROR('ОБЪЕКТЫ'!$B$84*'ОБЪЕКТЫ'!AE78/'ОБЪЕКТЫ'!$B$78,0),0)-AE53-AE57-AE21</x:f>
      </x:c>
      <x:c r="AF22" s="117">
        <x:f>AF10-IFERROR((SUM($D$20:$DS$20)-'ОБЪЕКТЫ'!$B$120)*('Продажи'!AF83+'Продажи'!AF86+'Продажи'!AF89+'Продажи'!AF92)/(SUM('Продажи'!$D$83:$DS$83)+SUM('Продажи'!$D$86:$DS$86)+SUM('Продажи'!$D$89:$DS$89)+SUM('Продажи'!$D$92:$DS$92)),0)-IF('ОБЪЕКТЫ'!$B$8=4,IFERROR('ОБЪЕКТЫ'!$B$28*'ОБЪЕКТЫ'!AF22/'ОБЪЕКТЫ'!$B$22,0),0)-IF('ОБЪЕКТЫ'!$B$36=4,IFERROR('ОБЪЕКТЫ'!$B$56*'ОБЪЕКТЫ'!AF50/'ОБЪЕКТЫ'!$B$50,0),0)-IF('ОБЪЕКТЫ'!$B$64=4,IFERROR('ОБЪЕКТЫ'!$B$84*'ОБЪЕКТЫ'!AF78/'ОБЪЕКТЫ'!$B$78,0),0)-AF53-AF57-AF21</x:f>
      </x:c>
      <x:c r="AG22" s="117">
        <x:f>AG10-IFERROR((SUM($D$20:$DS$20)-'ОБЪЕКТЫ'!$B$120)*('Продажи'!AG83+'Продажи'!AG86+'Продажи'!AG89+'Продажи'!AG92)/(SUM('Продажи'!$D$83:$DS$83)+SUM('Продажи'!$D$86:$DS$86)+SUM('Продажи'!$D$89:$DS$89)+SUM('Продажи'!$D$92:$DS$92)),0)-IF('ОБЪЕКТЫ'!$B$8=4,IFERROR('ОБЪЕКТЫ'!$B$28*'ОБЪЕКТЫ'!AG22/'ОБЪЕКТЫ'!$B$22,0),0)-IF('ОБЪЕКТЫ'!$B$36=4,IFERROR('ОБЪЕКТЫ'!$B$56*'ОБЪЕКТЫ'!AG50/'ОБЪЕКТЫ'!$B$50,0),0)-IF('ОБЪЕКТЫ'!$B$64=4,IFERROR('ОБЪЕКТЫ'!$B$84*'ОБЪЕКТЫ'!AG78/'ОБЪЕКТЫ'!$B$78,0),0)-AG53-AG57-AG21</x:f>
      </x:c>
      <x:c r="AH22" s="117">
        <x:f>AH10-IFERROR((SUM($D$20:$DS$20)-'ОБЪЕКТЫ'!$B$120)*('Продажи'!AH83+'Продажи'!AH86+'Продажи'!AH89+'Продажи'!AH92)/(SUM('Продажи'!$D$83:$DS$83)+SUM('Продажи'!$D$86:$DS$86)+SUM('Продажи'!$D$89:$DS$89)+SUM('Продажи'!$D$92:$DS$92)),0)-IF('ОБЪЕКТЫ'!$B$8=4,IFERROR('ОБЪЕКТЫ'!$B$28*'ОБЪЕКТЫ'!AH22/'ОБЪЕКТЫ'!$B$22,0),0)-IF('ОБЪЕКТЫ'!$B$36=4,IFERROR('ОБЪЕКТЫ'!$B$56*'ОБЪЕКТЫ'!AH50/'ОБЪЕКТЫ'!$B$50,0),0)-IF('ОБЪЕКТЫ'!$B$64=4,IFERROR('ОБЪЕКТЫ'!$B$84*'ОБЪЕКТЫ'!AH78/'ОБЪЕКТЫ'!$B$78,0),0)-AH53-AH57-AH21</x:f>
      </x:c>
      <x:c r="AI22" s="117">
        <x:f>AI10-IFERROR((SUM($D$20:$DS$20)-'ОБЪЕКТЫ'!$B$120)*('Продажи'!AI83+'Продажи'!AI86+'Продажи'!AI89+'Продажи'!AI92)/(SUM('Продажи'!$D$83:$DS$83)+SUM('Продажи'!$D$86:$DS$86)+SUM('Продажи'!$D$89:$DS$89)+SUM('Продажи'!$D$92:$DS$92)),0)-IF('ОБЪЕКТЫ'!$B$8=4,IFERROR('ОБЪЕКТЫ'!$B$28*'ОБЪЕКТЫ'!AI22/'ОБЪЕКТЫ'!$B$22,0),0)-IF('ОБЪЕКТЫ'!$B$36=4,IFERROR('ОБЪЕКТЫ'!$B$56*'ОБЪЕКТЫ'!AI50/'ОБЪЕКТЫ'!$B$50,0),0)-IF('ОБЪЕКТЫ'!$B$64=4,IFERROR('ОБЪЕКТЫ'!$B$84*'ОБЪЕКТЫ'!AI78/'ОБЪЕКТЫ'!$B$78,0),0)-AI53-AI57-AI21</x:f>
      </x:c>
      <x:c r="AJ22" s="117">
        <x:f>AJ10-IFERROR((SUM($D$20:$DS$20)-'ОБЪЕКТЫ'!$B$120)*('Продажи'!AJ83+'Продажи'!AJ86+'Продажи'!AJ89+'Продажи'!AJ92)/(SUM('Продажи'!$D$83:$DS$83)+SUM('Продажи'!$D$86:$DS$86)+SUM('Продажи'!$D$89:$DS$89)+SUM('Продажи'!$D$92:$DS$92)),0)-IF('ОБЪЕКТЫ'!$B$8=4,IFERROR('ОБЪЕКТЫ'!$B$28*'ОБЪЕКТЫ'!AJ22/'ОБЪЕКТЫ'!$B$22,0),0)-IF('ОБЪЕКТЫ'!$B$36=4,IFERROR('ОБЪЕКТЫ'!$B$56*'ОБЪЕКТЫ'!AJ50/'ОБЪЕКТЫ'!$B$50,0),0)-IF('ОБЪЕКТЫ'!$B$64=4,IFERROR('ОБЪЕКТЫ'!$B$84*'ОБЪЕКТЫ'!AJ78/'ОБЪЕКТЫ'!$B$78,0),0)-AJ53-AJ57-AJ21</x:f>
      </x:c>
      <x:c r="AK22" s="117">
        <x:f>AK10-IFERROR((SUM($D$20:$DS$20)-'ОБЪЕКТЫ'!$B$120)*('Продажи'!AK83+'Продажи'!AK86+'Продажи'!AK89+'Продажи'!AK92)/(SUM('Продажи'!$D$83:$DS$83)+SUM('Продажи'!$D$86:$DS$86)+SUM('Продажи'!$D$89:$DS$89)+SUM('Продажи'!$D$92:$DS$92)),0)-IF('ОБЪЕКТЫ'!$B$8=4,IFERROR('ОБЪЕКТЫ'!$B$28*'ОБЪЕКТЫ'!AK22/'ОБЪЕКТЫ'!$B$22,0),0)-IF('ОБЪЕКТЫ'!$B$36=4,IFERROR('ОБЪЕКТЫ'!$B$56*'ОБЪЕКТЫ'!AK50/'ОБЪЕКТЫ'!$B$50,0),0)-IF('ОБЪЕКТЫ'!$B$64=4,IFERROR('ОБЪЕКТЫ'!$B$84*'ОБЪЕКТЫ'!AK78/'ОБЪЕКТЫ'!$B$78,0),0)-AK53-AK57-AK21</x:f>
      </x:c>
      <x:c r="AL22" s="117">
        <x:f>AL10-IFERROR((SUM($D$20:$DS$20)-'ОБЪЕКТЫ'!$B$120)*('Продажи'!AL83+'Продажи'!AL86+'Продажи'!AL89+'Продажи'!AL92)/(SUM('Продажи'!$D$83:$DS$83)+SUM('Продажи'!$D$86:$DS$86)+SUM('Продажи'!$D$89:$DS$89)+SUM('Продажи'!$D$92:$DS$92)),0)-IF('ОБЪЕКТЫ'!$B$8=4,IFERROR('ОБЪЕКТЫ'!$B$28*'ОБЪЕКТЫ'!AL22/'ОБЪЕКТЫ'!$B$22,0),0)-IF('ОБЪЕКТЫ'!$B$36=4,IFERROR('ОБЪЕКТЫ'!$B$56*'ОБЪЕКТЫ'!AL50/'ОБЪЕКТЫ'!$B$50,0),0)-IF('ОБЪЕКТЫ'!$B$64=4,IFERROR('ОБЪЕКТЫ'!$B$84*'ОБЪЕКТЫ'!AL78/'ОБЪЕКТЫ'!$B$78,0),0)-AL53-AL57-AL21</x:f>
      </x:c>
      <x:c r="AM22" s="117">
        <x:f>AM10-IFERROR((SUM($D$20:$DS$20)-'ОБЪЕКТЫ'!$B$120)*('Продажи'!AM83+'Продажи'!AM86+'Продажи'!AM89+'Продажи'!AM92)/(SUM('Продажи'!$D$83:$DS$83)+SUM('Продажи'!$D$86:$DS$86)+SUM('Продажи'!$D$89:$DS$89)+SUM('Продажи'!$D$92:$DS$92)),0)-IF('ОБЪЕКТЫ'!$B$8=4,IFERROR('ОБЪЕКТЫ'!$B$28*'ОБЪЕКТЫ'!AM22/'ОБЪЕКТЫ'!$B$22,0),0)-IF('ОБЪЕКТЫ'!$B$36=4,IFERROR('ОБЪЕКТЫ'!$B$56*'ОБЪЕКТЫ'!AM50/'ОБЪЕКТЫ'!$B$50,0),0)-IF('ОБЪЕКТЫ'!$B$64=4,IFERROR('ОБЪЕКТЫ'!$B$84*'ОБЪЕКТЫ'!AM78/'ОБЪЕКТЫ'!$B$78,0),0)-AM53-AM57-AM21</x:f>
      </x:c>
      <x:c r="AN22" s="117">
        <x:f>AN10-IFERROR((SUM($D$20:$DS$20)-'ОБЪЕКТЫ'!$B$120)*('Продажи'!AN83+'Продажи'!AN86+'Продажи'!AN89+'Продажи'!AN92)/(SUM('Продажи'!$D$83:$DS$83)+SUM('Продажи'!$D$86:$DS$86)+SUM('Продажи'!$D$89:$DS$89)+SUM('Продажи'!$D$92:$DS$92)),0)-IF('ОБЪЕКТЫ'!$B$8=4,IFERROR('ОБЪЕКТЫ'!$B$28*'ОБЪЕКТЫ'!AN22/'ОБЪЕКТЫ'!$B$22,0),0)-IF('ОБЪЕКТЫ'!$B$36=4,IFERROR('ОБЪЕКТЫ'!$B$56*'ОБЪЕКТЫ'!AN50/'ОБЪЕКТЫ'!$B$50,0),0)-IF('ОБЪЕКТЫ'!$B$64=4,IFERROR('ОБЪЕКТЫ'!$B$84*'ОБЪЕКТЫ'!AN78/'ОБЪЕКТЫ'!$B$78,0),0)-AN53-AN57-AN21</x:f>
      </x:c>
      <x:c r="AO22" s="117">
        <x:f>AO10-IFERROR((SUM($D$20:$DS$20)-'ОБЪЕКТЫ'!$B$120)*('Продажи'!AO83+'Продажи'!AO86+'Продажи'!AO89+'Продажи'!AO92)/(SUM('Продажи'!$D$83:$DS$83)+SUM('Продажи'!$D$86:$DS$86)+SUM('Продажи'!$D$89:$DS$89)+SUM('Продажи'!$D$92:$DS$92)),0)-IF('ОБЪЕКТЫ'!$B$8=4,IFERROR('ОБЪЕКТЫ'!$B$28*'ОБЪЕКТЫ'!AO22/'ОБЪЕКТЫ'!$B$22,0),0)-IF('ОБЪЕКТЫ'!$B$36=4,IFERROR('ОБЪЕКТЫ'!$B$56*'ОБЪЕКТЫ'!AO50/'ОБЪЕКТЫ'!$B$50,0),0)-IF('ОБЪЕКТЫ'!$B$64=4,IFERROR('ОБЪЕКТЫ'!$B$84*'ОБЪЕКТЫ'!AO78/'ОБЪЕКТЫ'!$B$78,0),0)-AO53-AO57-AO21</x:f>
      </x:c>
      <x:c r="AP22" s="117">
        <x:f>AP10-IFERROR((SUM($D$20:$DS$20)-'ОБЪЕКТЫ'!$B$120)*('Продажи'!AP83+'Продажи'!AP86+'Продажи'!AP89+'Продажи'!AP92)/(SUM('Продажи'!$D$83:$DS$83)+SUM('Продажи'!$D$86:$DS$86)+SUM('Продажи'!$D$89:$DS$89)+SUM('Продажи'!$D$92:$DS$92)),0)-IF('ОБЪЕКТЫ'!$B$8=4,IFERROR('ОБЪЕКТЫ'!$B$28*'ОБЪЕКТЫ'!AP22/'ОБЪЕКТЫ'!$B$22,0),0)-IF('ОБЪЕКТЫ'!$B$36=4,IFERROR('ОБЪЕКТЫ'!$B$56*'ОБЪЕКТЫ'!AP50/'ОБЪЕКТЫ'!$B$50,0),0)-IF('ОБЪЕКТЫ'!$B$64=4,IFERROR('ОБЪЕКТЫ'!$B$84*'ОБЪЕКТЫ'!AP78/'ОБЪЕКТЫ'!$B$78,0),0)-AP53-AP57-AP21</x:f>
      </x:c>
      <x:c r="AQ22" s="117">
        <x:f>AQ10-IFERROR((SUM($D$20:$DS$20)-'ОБЪЕКТЫ'!$B$120)*('Продажи'!AQ83+'Продажи'!AQ86+'Продажи'!AQ89+'Продажи'!AQ92)/(SUM('Продажи'!$D$83:$DS$83)+SUM('Продажи'!$D$86:$DS$86)+SUM('Продажи'!$D$89:$DS$89)+SUM('Продажи'!$D$92:$DS$92)),0)-IF('ОБЪЕКТЫ'!$B$8=4,IFERROR('ОБЪЕКТЫ'!$B$28*'ОБЪЕКТЫ'!AQ22/'ОБЪЕКТЫ'!$B$22,0),0)-IF('ОБЪЕКТЫ'!$B$36=4,IFERROR('ОБЪЕКТЫ'!$B$56*'ОБЪЕКТЫ'!AQ50/'ОБЪЕКТЫ'!$B$50,0),0)-IF('ОБЪЕКТЫ'!$B$64=4,IFERROR('ОБЪЕКТЫ'!$B$84*'ОБЪЕКТЫ'!AQ78/'ОБЪЕКТЫ'!$B$78,0),0)-AQ53-AQ57-AQ21</x:f>
      </x:c>
      <x:c r="AR22" s="117">
        <x:f>AR10-IFERROR((SUM($D$20:$DS$20)-'ОБЪЕКТЫ'!$B$120)*('Продажи'!AR83+'Продажи'!AR86+'Продажи'!AR89+'Продажи'!AR92)/(SUM('Продажи'!$D$83:$DS$83)+SUM('Продажи'!$D$86:$DS$86)+SUM('Продажи'!$D$89:$DS$89)+SUM('Продажи'!$D$92:$DS$92)),0)-IF('ОБЪЕКТЫ'!$B$8=4,IFERROR('ОБЪЕКТЫ'!$B$28*'ОБЪЕКТЫ'!AR22/'ОБЪЕКТЫ'!$B$22,0),0)-IF('ОБЪЕКТЫ'!$B$36=4,IFERROR('ОБЪЕКТЫ'!$B$56*'ОБЪЕКТЫ'!AR50/'ОБЪЕКТЫ'!$B$50,0),0)-IF('ОБЪЕКТЫ'!$B$64=4,IFERROR('ОБЪЕКТЫ'!$B$84*'ОБЪЕКТЫ'!AR78/'ОБЪЕКТЫ'!$B$78,0),0)-AR53-AR57-AR21</x:f>
      </x:c>
      <x:c r="AS22" s="117">
        <x:f>AS10-IFERROR((SUM($D$20:$DS$20)-'ОБЪЕКТЫ'!$B$120)*('Продажи'!AS83+'Продажи'!AS86+'Продажи'!AS89+'Продажи'!AS92)/(SUM('Продажи'!$D$83:$DS$83)+SUM('Продажи'!$D$86:$DS$86)+SUM('Продажи'!$D$89:$DS$89)+SUM('Продажи'!$D$92:$DS$92)),0)-IF('ОБЪЕКТЫ'!$B$8=4,IFERROR('ОБЪЕКТЫ'!$B$28*'ОБЪЕКТЫ'!AS22/'ОБЪЕКТЫ'!$B$22,0),0)-IF('ОБЪЕКТЫ'!$B$36=4,IFERROR('ОБЪЕКТЫ'!$B$56*'ОБЪЕКТЫ'!AS50/'ОБЪЕКТЫ'!$B$50,0),0)-IF('ОБЪЕКТЫ'!$B$64=4,IFERROR('ОБЪЕКТЫ'!$B$84*'ОБЪЕКТЫ'!AS78/'ОБЪЕКТЫ'!$B$78,0),0)-AS53-AS57-AS21</x:f>
      </x:c>
      <x:c r="AT22" s="117">
        <x:f>AT10-IFERROR((SUM($D$20:$DS$20)-'ОБЪЕКТЫ'!$B$120)*('Продажи'!AT83+'Продажи'!AT86+'Продажи'!AT89+'Продажи'!AT92)/(SUM('Продажи'!$D$83:$DS$83)+SUM('Продажи'!$D$86:$DS$86)+SUM('Продажи'!$D$89:$DS$89)+SUM('Продажи'!$D$92:$DS$92)),0)-IF('ОБЪЕКТЫ'!$B$8=4,IFERROR('ОБЪЕКТЫ'!$B$28*'ОБЪЕКТЫ'!AT22/'ОБЪЕКТЫ'!$B$22,0),0)-IF('ОБЪЕКТЫ'!$B$36=4,IFERROR('ОБЪЕКТЫ'!$B$56*'ОБЪЕКТЫ'!AT50/'ОБЪЕКТЫ'!$B$50,0),0)-IF('ОБЪЕКТЫ'!$B$64=4,IFERROR('ОБЪЕКТЫ'!$B$84*'ОБЪЕКТЫ'!AT78/'ОБЪЕКТЫ'!$B$78,0),0)-AT53-AT57-AT21</x:f>
      </x:c>
      <x:c r="AU22" s="117">
        <x:f>AU10-IFERROR((SUM($D$20:$DS$20)-'ОБЪЕКТЫ'!$B$120)*('Продажи'!AU83+'Продажи'!AU86+'Продажи'!AU89+'Продажи'!AU92)/(SUM('Продажи'!$D$83:$DS$83)+SUM('Продажи'!$D$86:$DS$86)+SUM('Продажи'!$D$89:$DS$89)+SUM('Продажи'!$D$92:$DS$92)),0)-IF('ОБЪЕКТЫ'!$B$8=4,IFERROR('ОБЪЕКТЫ'!$B$28*'ОБЪЕКТЫ'!AU22/'ОБЪЕКТЫ'!$B$22,0),0)-IF('ОБЪЕКТЫ'!$B$36=4,IFERROR('ОБЪЕКТЫ'!$B$56*'ОБЪЕКТЫ'!AU50/'ОБЪЕКТЫ'!$B$50,0),0)-IF('ОБЪЕКТЫ'!$B$64=4,IFERROR('ОБЪЕКТЫ'!$B$84*'ОБЪЕКТЫ'!AU78/'ОБЪЕКТЫ'!$B$78,0),0)-AU53-AU57-AU21</x:f>
      </x:c>
      <x:c r="AV22" s="117">
        <x:f>AV10-IFERROR((SUM($D$20:$DS$20)-'ОБЪЕКТЫ'!$B$120)*('Продажи'!AV83+'Продажи'!AV86+'Продажи'!AV89+'Продажи'!AV92)/(SUM('Продажи'!$D$83:$DS$83)+SUM('Продажи'!$D$86:$DS$86)+SUM('Продажи'!$D$89:$DS$89)+SUM('Продажи'!$D$92:$DS$92)),0)-IF('ОБЪЕКТЫ'!$B$8=4,IFERROR('ОБЪЕКТЫ'!$B$28*'ОБЪЕКТЫ'!AV22/'ОБЪЕКТЫ'!$B$22,0),0)-IF('ОБЪЕКТЫ'!$B$36=4,IFERROR('ОБЪЕКТЫ'!$B$56*'ОБЪЕКТЫ'!AV50/'ОБЪЕКТЫ'!$B$50,0),0)-IF('ОБЪЕКТЫ'!$B$64=4,IFERROR('ОБЪЕКТЫ'!$B$84*'ОБЪЕКТЫ'!AV78/'ОБЪЕКТЫ'!$B$78,0),0)-AV53-AV57-AV21</x:f>
      </x:c>
      <x:c r="AW22" s="117">
        <x:f>AW10-IFERROR((SUM($D$20:$DS$20)-'ОБЪЕКТЫ'!$B$120)*('Продажи'!AW83+'Продажи'!AW86+'Продажи'!AW89+'Продажи'!AW92)/(SUM('Продажи'!$D$83:$DS$83)+SUM('Продажи'!$D$86:$DS$86)+SUM('Продажи'!$D$89:$DS$89)+SUM('Продажи'!$D$92:$DS$92)),0)-IF('ОБЪЕКТЫ'!$B$8=4,IFERROR('ОБЪЕКТЫ'!$B$28*'ОБЪЕКТЫ'!AW22/'ОБЪЕКТЫ'!$B$22,0),0)-IF('ОБЪЕКТЫ'!$B$36=4,IFERROR('ОБЪЕКТЫ'!$B$56*'ОБЪЕКТЫ'!AW50/'ОБЪЕКТЫ'!$B$50,0),0)-IF('ОБЪЕКТЫ'!$B$64=4,IFERROR('ОБЪЕКТЫ'!$B$84*'ОБЪЕКТЫ'!AW78/'ОБЪЕКТЫ'!$B$78,0),0)-AW53-AW57-AW21</x:f>
      </x:c>
      <x:c r="AX22" s="117">
        <x:f>AX10-IFERROR((SUM($D$20:$DS$20)-'ОБЪЕКТЫ'!$B$120)*('Продажи'!AX83+'Продажи'!AX86+'Продажи'!AX89+'Продажи'!AX92)/(SUM('Продажи'!$D$83:$DS$83)+SUM('Продажи'!$D$86:$DS$86)+SUM('Продажи'!$D$89:$DS$89)+SUM('Продажи'!$D$92:$DS$92)),0)-IF('ОБЪЕКТЫ'!$B$8=4,IFERROR('ОБЪЕКТЫ'!$B$28*'ОБЪЕКТЫ'!AX22/'ОБЪЕКТЫ'!$B$22,0),0)-IF('ОБЪЕКТЫ'!$B$36=4,IFERROR('ОБЪЕКТЫ'!$B$56*'ОБЪЕКТЫ'!AX50/'ОБЪЕКТЫ'!$B$50,0),0)-IF('ОБЪЕКТЫ'!$B$64=4,IFERROR('ОБЪЕКТЫ'!$B$84*'ОБЪЕКТЫ'!AX78/'ОБЪЕКТЫ'!$B$78,0),0)-AX53-AX57-AX21</x:f>
      </x:c>
      <x:c r="AY22" s="117">
        <x:f>AY10-IFERROR((SUM($D$20:$DS$20)-'ОБЪЕКТЫ'!$B$120)*('Продажи'!AY83+'Продажи'!AY86+'Продажи'!AY89+'Продажи'!AY92)/(SUM('Продажи'!$D$83:$DS$83)+SUM('Продажи'!$D$86:$DS$86)+SUM('Продажи'!$D$89:$DS$89)+SUM('Продажи'!$D$92:$DS$92)),0)-IF('ОБЪЕКТЫ'!$B$8=4,IFERROR('ОБЪЕКТЫ'!$B$28*'ОБЪЕКТЫ'!AY22/'ОБЪЕКТЫ'!$B$22,0),0)-IF('ОБЪЕКТЫ'!$B$36=4,IFERROR('ОБЪЕКТЫ'!$B$56*'ОБЪЕКТЫ'!AY50/'ОБЪЕКТЫ'!$B$50,0),0)-IF('ОБЪЕКТЫ'!$B$64=4,IFERROR('ОБЪЕКТЫ'!$B$84*'ОБЪЕКТЫ'!AY78/'ОБЪЕКТЫ'!$B$78,0),0)-AY53-AY57-AY21</x:f>
      </x:c>
      <x:c r="AZ22" s="117">
        <x:f>AZ10-IFERROR((SUM($D$20:$DS$20)-'ОБЪЕКТЫ'!$B$120)*('Продажи'!AZ83+'Продажи'!AZ86+'Продажи'!AZ89+'Продажи'!AZ92)/(SUM('Продажи'!$D$83:$DS$83)+SUM('Продажи'!$D$86:$DS$86)+SUM('Продажи'!$D$89:$DS$89)+SUM('Продажи'!$D$92:$DS$92)),0)-IF('ОБЪЕКТЫ'!$B$8=4,IFERROR('ОБЪЕКТЫ'!$B$28*'ОБЪЕКТЫ'!AZ22/'ОБЪЕКТЫ'!$B$22,0),0)-IF('ОБЪЕКТЫ'!$B$36=4,IFERROR('ОБЪЕКТЫ'!$B$56*'ОБЪЕКТЫ'!AZ50/'ОБЪЕКТЫ'!$B$50,0),0)-IF('ОБЪЕКТЫ'!$B$64=4,IFERROR('ОБЪЕКТЫ'!$B$84*'ОБЪЕКТЫ'!AZ78/'ОБЪЕКТЫ'!$B$78,0),0)-AZ53-AZ57-AZ21</x:f>
      </x:c>
      <x:c r="BA22" s="117">
        <x:f>BA10-IFERROR((SUM($D$20:$DS$20)-'ОБЪЕКТЫ'!$B$120)*('Продажи'!BA83+'Продажи'!BA86+'Продажи'!BA89+'Продажи'!BA92)/(SUM('Продажи'!$D$83:$DS$83)+SUM('Продажи'!$D$86:$DS$86)+SUM('Продажи'!$D$89:$DS$89)+SUM('Продажи'!$D$92:$DS$92)),0)-IF('ОБЪЕКТЫ'!$B$8=4,IFERROR('ОБЪЕКТЫ'!$B$28*'ОБЪЕКТЫ'!BA22/'ОБЪЕКТЫ'!$B$22,0),0)-IF('ОБЪЕКТЫ'!$B$36=4,IFERROR('ОБЪЕКТЫ'!$B$56*'ОБЪЕКТЫ'!BA50/'ОБЪЕКТЫ'!$B$50,0),0)-IF('ОБЪЕКТЫ'!$B$64=4,IFERROR('ОБЪЕКТЫ'!$B$84*'ОБЪЕКТЫ'!BA78/'ОБЪЕКТЫ'!$B$78,0),0)-BA53-BA57-BA21</x:f>
      </x:c>
      <x:c r="BB22" s="117">
        <x:f>BB10-IFERROR((SUM($D$20:$DS$20)-'ОБЪЕКТЫ'!$B$120)*('Продажи'!BB83+'Продажи'!BB86+'Продажи'!BB89+'Продажи'!BB92)/(SUM('Продажи'!$D$83:$DS$83)+SUM('Продажи'!$D$86:$DS$86)+SUM('Продажи'!$D$89:$DS$89)+SUM('Продажи'!$D$92:$DS$92)),0)-IF('ОБЪЕКТЫ'!$B$8=4,IFERROR('ОБЪЕКТЫ'!$B$28*'ОБЪЕКТЫ'!BB22/'ОБЪЕКТЫ'!$B$22,0),0)-IF('ОБЪЕКТЫ'!$B$36=4,IFERROR('ОБЪЕКТЫ'!$B$56*'ОБЪЕКТЫ'!BB50/'ОБЪЕКТЫ'!$B$50,0),0)-IF('ОБЪЕКТЫ'!$B$64=4,IFERROR('ОБЪЕКТЫ'!$B$84*'ОБЪЕКТЫ'!BB78/'ОБЪЕКТЫ'!$B$78,0),0)-BB53-BB57-BB21</x:f>
      </x:c>
      <x:c r="BC22" s="117">
        <x:f>BC10-IFERROR((SUM($D$20:$DS$20)-'ОБЪЕКТЫ'!$B$120)*('Продажи'!BC83+'Продажи'!BC86+'Продажи'!BC89+'Продажи'!BC92)/(SUM('Продажи'!$D$83:$DS$83)+SUM('Продажи'!$D$86:$DS$86)+SUM('Продажи'!$D$89:$DS$89)+SUM('Продажи'!$D$92:$DS$92)),0)-IF('ОБЪЕКТЫ'!$B$8=4,IFERROR('ОБЪЕКТЫ'!$B$28*'ОБЪЕКТЫ'!BC22/'ОБЪЕКТЫ'!$B$22,0),0)-IF('ОБЪЕКТЫ'!$B$36=4,IFERROR('ОБЪЕКТЫ'!$B$56*'ОБЪЕКТЫ'!BC50/'ОБЪЕКТЫ'!$B$50,0),0)-IF('ОБЪЕКТЫ'!$B$64=4,IFERROR('ОБЪЕКТЫ'!$B$84*'ОБЪЕКТЫ'!BC78/'ОБЪЕКТЫ'!$B$78,0),0)-BC53-BC57-BC21</x:f>
      </x:c>
      <x:c r="BD22" s="117">
        <x:f>BD10-IFERROR((SUM($D$20:$DS$20)-'ОБЪЕКТЫ'!$B$120)*('Продажи'!BD83+'Продажи'!BD86+'Продажи'!BD89+'Продажи'!BD92)/(SUM('Продажи'!$D$83:$DS$83)+SUM('Продажи'!$D$86:$DS$86)+SUM('Продажи'!$D$89:$DS$89)+SUM('Продажи'!$D$92:$DS$92)),0)-IF('ОБЪЕКТЫ'!$B$8=4,IFERROR('ОБЪЕКТЫ'!$B$28*'ОБЪЕКТЫ'!BD22/'ОБЪЕКТЫ'!$B$22,0),0)-IF('ОБЪЕКТЫ'!$B$36=4,IFERROR('ОБЪЕКТЫ'!$B$56*'ОБЪЕКТЫ'!BD50/'ОБЪЕКТЫ'!$B$50,0),0)-IF('ОБЪЕКТЫ'!$B$64=4,IFERROR('ОБЪЕКТЫ'!$B$84*'ОБЪЕКТЫ'!BD78/'ОБЪЕКТЫ'!$B$78,0),0)-BD53-BD57-BD21</x:f>
      </x:c>
      <x:c r="BE22" s="117">
        <x:f>BE10-IFERROR((SUM($D$20:$DS$20)-'ОБЪЕКТЫ'!$B$120)*('Продажи'!BE83+'Продажи'!BE86+'Продажи'!BE89+'Продажи'!BE92)/(SUM('Продажи'!$D$83:$DS$83)+SUM('Продажи'!$D$86:$DS$86)+SUM('Продажи'!$D$89:$DS$89)+SUM('Продажи'!$D$92:$DS$92)),0)-IF('ОБЪЕКТЫ'!$B$8=4,IFERROR('ОБЪЕКТЫ'!$B$28*'ОБЪЕКТЫ'!BE22/'ОБЪЕКТЫ'!$B$22,0),0)-IF('ОБЪЕКТЫ'!$B$36=4,IFERROR('ОБЪЕКТЫ'!$B$56*'ОБЪЕКТЫ'!BE50/'ОБЪЕКТЫ'!$B$50,0),0)-IF('ОБЪЕКТЫ'!$B$64=4,IFERROR('ОБЪЕКТЫ'!$B$84*'ОБЪЕКТЫ'!BE78/'ОБЪЕКТЫ'!$B$78,0),0)-BE53-BE57-BE21</x:f>
      </x:c>
      <x:c r="BF22" s="117">
        <x:f>BF10-IFERROR((SUM($D$20:$DS$20)-'ОБЪЕКТЫ'!$B$120)*('Продажи'!BF83+'Продажи'!BF86+'Продажи'!BF89+'Продажи'!BF92)/(SUM('Продажи'!$D$83:$DS$83)+SUM('Продажи'!$D$86:$DS$86)+SUM('Продажи'!$D$89:$DS$89)+SUM('Продажи'!$D$92:$DS$92)),0)-IF('ОБЪЕКТЫ'!$B$8=4,IFERROR('ОБЪЕКТЫ'!$B$28*'ОБЪЕКТЫ'!BF22/'ОБЪЕКТЫ'!$B$22,0),0)-IF('ОБЪЕКТЫ'!$B$36=4,IFERROR('ОБЪЕКТЫ'!$B$56*'ОБЪЕКТЫ'!BF50/'ОБЪЕКТЫ'!$B$50,0),0)-IF('ОБЪЕКТЫ'!$B$64=4,IFERROR('ОБЪЕКТЫ'!$B$84*'ОБЪЕКТЫ'!BF78/'ОБЪЕКТЫ'!$B$78,0),0)-BF53-BF57-BF21</x:f>
      </x:c>
      <x:c r="BG22" s="117">
        <x:f>BG10-IFERROR((SUM($D$20:$DS$20)-'ОБЪЕКТЫ'!$B$120)*('Продажи'!BG83+'Продажи'!BG86+'Продажи'!BG89+'Продажи'!BG92)/(SUM('Продажи'!$D$83:$DS$83)+SUM('Продажи'!$D$86:$DS$86)+SUM('Продажи'!$D$89:$DS$89)+SUM('Продажи'!$D$92:$DS$92)),0)-IF('ОБЪЕКТЫ'!$B$8=4,IFERROR('ОБЪЕКТЫ'!$B$28*'ОБЪЕКТЫ'!BG22/'ОБЪЕКТЫ'!$B$22,0),0)-IF('ОБЪЕКТЫ'!$B$36=4,IFERROR('ОБЪЕКТЫ'!$B$56*'ОБЪЕКТЫ'!BG50/'ОБЪЕКТЫ'!$B$50,0),0)-IF('ОБЪЕКТЫ'!$B$64=4,IFERROR('ОБЪЕКТЫ'!$B$84*'ОБЪЕКТЫ'!BG78/'ОБЪЕКТЫ'!$B$78,0),0)-BG53-BG57-BG21</x:f>
      </x:c>
      <x:c r="BH22" s="117">
        <x:f>BH10-IFERROR((SUM($D$20:$DS$20)-'ОБЪЕКТЫ'!$B$120)*('Продажи'!BH83+'Продажи'!BH86+'Продажи'!BH89+'Продажи'!BH92)/(SUM('Продажи'!$D$83:$DS$83)+SUM('Продажи'!$D$86:$DS$86)+SUM('Продажи'!$D$89:$DS$89)+SUM('Продажи'!$D$92:$DS$92)),0)-IF('ОБЪЕКТЫ'!$B$8=4,IFERROR('ОБЪЕКТЫ'!$B$28*'ОБЪЕКТЫ'!BH22/'ОБЪЕКТЫ'!$B$22,0),0)-IF('ОБЪЕКТЫ'!$B$36=4,IFERROR('ОБЪЕКТЫ'!$B$56*'ОБЪЕКТЫ'!BH50/'ОБЪЕКТЫ'!$B$50,0),0)-IF('ОБЪЕКТЫ'!$B$64=4,IFERROR('ОБЪЕКТЫ'!$B$84*'ОБЪЕКТЫ'!BH78/'ОБЪЕКТЫ'!$B$78,0),0)-BH53-BH57-BH21</x:f>
      </x:c>
      <x:c r="BI22" s="117">
        <x:f>BI10-IFERROR((SUM($D$20:$DS$20)-'ОБЪЕКТЫ'!$B$120)*('Продажи'!BI83+'Продажи'!BI86+'Продажи'!BI89+'Продажи'!BI92)/(SUM('Продажи'!$D$83:$DS$83)+SUM('Продажи'!$D$86:$DS$86)+SUM('Продажи'!$D$89:$DS$89)+SUM('Продажи'!$D$92:$DS$92)),0)-IF('ОБЪЕКТЫ'!$B$8=4,IFERROR('ОБЪЕКТЫ'!$B$28*'ОБЪЕКТЫ'!BI22/'ОБЪЕКТЫ'!$B$22,0),0)-IF('ОБЪЕКТЫ'!$B$36=4,IFERROR('ОБЪЕКТЫ'!$B$56*'ОБЪЕКТЫ'!BI50/'ОБЪЕКТЫ'!$B$50,0),0)-IF('ОБЪЕКТЫ'!$B$64=4,IFERROR('ОБЪЕКТЫ'!$B$84*'ОБЪЕКТЫ'!BI78/'ОБЪЕКТЫ'!$B$78,0),0)-BI53-BI57-BI21</x:f>
      </x:c>
      <x:c r="BJ22" s="117">
        <x:f>BJ10-IFERROR((SUM($D$20:$DS$20)-'ОБЪЕКТЫ'!$B$120)*('Продажи'!BJ83+'Продажи'!BJ86+'Продажи'!BJ89+'Продажи'!BJ92)/(SUM('Продажи'!$D$83:$DS$83)+SUM('Продажи'!$D$86:$DS$86)+SUM('Продажи'!$D$89:$DS$89)+SUM('Продажи'!$D$92:$DS$92)),0)-IF('ОБЪЕКТЫ'!$B$8=4,IFERROR('ОБЪЕКТЫ'!$B$28*'ОБЪЕКТЫ'!BJ22/'ОБЪЕКТЫ'!$B$22,0),0)-IF('ОБЪЕКТЫ'!$B$36=4,IFERROR('ОБЪЕКТЫ'!$B$56*'ОБЪЕКТЫ'!BJ50/'ОБЪЕКТЫ'!$B$50,0),0)-IF('ОБЪЕКТЫ'!$B$64=4,IFERROR('ОБЪЕКТЫ'!$B$84*'ОБЪЕКТЫ'!BJ78/'ОБЪЕКТЫ'!$B$78,0),0)-BJ53-BJ57-BJ21</x:f>
      </x:c>
      <x:c r="BK22" s="117">
        <x:f>BK10-IFERROR((SUM($D$20:$DS$20)-'ОБЪЕКТЫ'!$B$120)*('Продажи'!BK83+'Продажи'!BK86+'Продажи'!BK89+'Продажи'!BK92)/(SUM('Продажи'!$D$83:$DS$83)+SUM('Продажи'!$D$86:$DS$86)+SUM('Продажи'!$D$89:$DS$89)+SUM('Продажи'!$D$92:$DS$92)),0)-IF('ОБЪЕКТЫ'!$B$8=4,IFERROR('ОБЪЕКТЫ'!$B$28*'ОБЪЕКТЫ'!BK22/'ОБЪЕКТЫ'!$B$22,0),0)-IF('ОБЪЕКТЫ'!$B$36=4,IFERROR('ОБЪЕКТЫ'!$B$56*'ОБЪЕКТЫ'!BK50/'ОБЪЕКТЫ'!$B$50,0),0)-IF('ОБЪЕКТЫ'!$B$64=4,IFERROR('ОБЪЕКТЫ'!$B$84*'ОБЪЕКТЫ'!BK78/'ОБЪЕКТЫ'!$B$78,0),0)-BK53-BK57-BK21</x:f>
      </x:c>
      <x:c r="BL22" s="117">
        <x:f>BL10-IFERROR((SUM($D$20:$DS$20)-'ОБЪЕКТЫ'!$B$120)*('Продажи'!BL83+'Продажи'!BL86+'Продажи'!BL89+'Продажи'!BL92)/(SUM('Продажи'!$D$83:$DS$83)+SUM('Продажи'!$D$86:$DS$86)+SUM('Продажи'!$D$89:$DS$89)+SUM('Продажи'!$D$92:$DS$92)),0)-IF('ОБЪЕКТЫ'!$B$8=4,IFERROR('ОБЪЕКТЫ'!$B$28*'ОБЪЕКТЫ'!BL22/'ОБЪЕКТЫ'!$B$22,0),0)-IF('ОБЪЕКТЫ'!$B$36=4,IFERROR('ОБЪЕКТЫ'!$B$56*'ОБЪЕКТЫ'!BL50/'ОБЪЕКТЫ'!$B$50,0),0)-IF('ОБЪЕКТЫ'!$B$64=4,IFERROR('ОБЪЕКТЫ'!$B$84*'ОБЪЕКТЫ'!BL78/'ОБЪЕКТЫ'!$B$78,0),0)-BL53-BL57-BL21</x:f>
      </x:c>
      <x:c r="BM22" s="117">
        <x:f>BM10-IFERROR((SUM($D$20:$DS$20)-'ОБЪЕКТЫ'!$B$120)*('Продажи'!BM83+'Продажи'!BM86+'Продажи'!BM89+'Продажи'!BM92)/(SUM('Продажи'!$D$83:$DS$83)+SUM('Продажи'!$D$86:$DS$86)+SUM('Продажи'!$D$89:$DS$89)+SUM('Продажи'!$D$92:$DS$92)),0)-IF('ОБЪЕКТЫ'!$B$8=4,IFERROR('ОБЪЕКТЫ'!$B$28*'ОБЪЕКТЫ'!BM22/'ОБЪЕКТЫ'!$B$22,0),0)-IF('ОБЪЕКТЫ'!$B$36=4,IFERROR('ОБЪЕКТЫ'!$B$56*'ОБЪЕКТЫ'!BM50/'ОБЪЕКТЫ'!$B$50,0),0)-IF('ОБЪЕКТЫ'!$B$64=4,IFERROR('ОБЪЕКТЫ'!$B$84*'ОБЪЕКТЫ'!BM78/'ОБЪЕКТЫ'!$B$78,0),0)-BM53-BM57-BM21</x:f>
      </x:c>
      <x:c r="BN22" s="117">
        <x:f>BN10-IFERROR((SUM($D$20:$DS$20)-'ОБЪЕКТЫ'!$B$120)*('Продажи'!BN83+'Продажи'!BN86+'Продажи'!BN89+'Продажи'!BN92)/(SUM('Продажи'!$D$83:$DS$83)+SUM('Продажи'!$D$86:$DS$86)+SUM('Продажи'!$D$89:$DS$89)+SUM('Продажи'!$D$92:$DS$92)),0)-IF('ОБЪЕКТЫ'!$B$8=4,IFERROR('ОБЪЕКТЫ'!$B$28*'ОБЪЕКТЫ'!BN22/'ОБЪЕКТЫ'!$B$22,0),0)-IF('ОБЪЕКТЫ'!$B$36=4,IFERROR('ОБЪЕКТЫ'!$B$56*'ОБЪЕКТЫ'!BN50/'ОБЪЕКТЫ'!$B$50,0),0)-IF('ОБЪЕКТЫ'!$B$64=4,IFERROR('ОБЪЕКТЫ'!$B$84*'ОБЪЕКТЫ'!BN78/'ОБЪЕКТЫ'!$B$78,0),0)-BN53-BN57-BN21</x:f>
      </x:c>
      <x:c r="BO22" s="117">
        <x:f>BO10-IFERROR((SUM($D$20:$DS$20)-'ОБЪЕКТЫ'!$B$120)*('Продажи'!BO83+'Продажи'!BO86+'Продажи'!BO89+'Продажи'!BO92)/(SUM('Продажи'!$D$83:$DS$83)+SUM('Продажи'!$D$86:$DS$86)+SUM('Продажи'!$D$89:$DS$89)+SUM('Продажи'!$D$92:$DS$92)),0)-IF('ОБЪЕКТЫ'!$B$8=4,IFERROR('ОБЪЕКТЫ'!$B$28*'ОБЪЕКТЫ'!BO22/'ОБЪЕКТЫ'!$B$22,0),0)-IF('ОБЪЕКТЫ'!$B$36=4,IFERROR('ОБЪЕКТЫ'!$B$56*'ОБЪЕКТЫ'!BO50/'ОБЪЕКТЫ'!$B$50,0),0)-IF('ОБЪЕКТЫ'!$B$64=4,IFERROR('ОБЪЕКТЫ'!$B$84*'ОБЪЕКТЫ'!BO78/'ОБЪЕКТЫ'!$B$78,0),0)-BO53-BO57-BO21</x:f>
      </x:c>
      <x:c r="BP22" s="117">
        <x:f>BP10-IFERROR((SUM($D$20:$DS$20)-'ОБЪЕКТЫ'!$B$120)*('Продажи'!BP83+'Продажи'!BP86+'Продажи'!BP89+'Продажи'!BP92)/(SUM('Продажи'!$D$83:$DS$83)+SUM('Продажи'!$D$86:$DS$86)+SUM('Продажи'!$D$89:$DS$89)+SUM('Продажи'!$D$92:$DS$92)),0)-IF('ОБЪЕКТЫ'!$B$8=4,IFERROR('ОБЪЕКТЫ'!$B$28*'ОБЪЕКТЫ'!BP22/'ОБЪЕКТЫ'!$B$22,0),0)-IF('ОБЪЕКТЫ'!$B$36=4,IFERROR('ОБЪЕКТЫ'!$B$56*'ОБЪЕКТЫ'!BP50/'ОБЪЕКТЫ'!$B$50,0),0)-IF('ОБЪЕКТЫ'!$B$64=4,IFERROR('ОБЪЕКТЫ'!$B$84*'ОБЪЕКТЫ'!BP78/'ОБЪЕКТЫ'!$B$78,0),0)-BP53-BP57-BP21</x:f>
      </x:c>
      <x:c r="BQ22" s="117">
        <x:f>BQ10-IFERROR((SUM($D$20:$DS$20)-'ОБЪЕКТЫ'!$B$120)*('Продажи'!BQ83+'Продажи'!BQ86+'Продажи'!BQ89+'Продажи'!BQ92)/(SUM('Продажи'!$D$83:$DS$83)+SUM('Продажи'!$D$86:$DS$86)+SUM('Продажи'!$D$89:$DS$89)+SUM('Продажи'!$D$92:$DS$92)),0)-IF('ОБЪЕКТЫ'!$B$8=4,IFERROR('ОБЪЕКТЫ'!$B$28*'ОБЪЕКТЫ'!BQ22/'ОБЪЕКТЫ'!$B$22,0),0)-IF('ОБЪЕКТЫ'!$B$36=4,IFERROR('ОБЪЕКТЫ'!$B$56*'ОБЪЕКТЫ'!BQ50/'ОБЪЕКТЫ'!$B$50,0),0)-IF('ОБЪЕКТЫ'!$B$64=4,IFERROR('ОБЪЕКТЫ'!$B$84*'ОБЪЕКТЫ'!BQ78/'ОБЪЕКТЫ'!$B$78,0),0)-BQ53-BQ57-BQ21</x:f>
      </x:c>
      <x:c r="BR22" s="117">
        <x:f>BR10-IFERROR((SUM($D$20:$DS$20)-'ОБЪЕКТЫ'!$B$120)*('Продажи'!BR83+'Продажи'!BR86+'Продажи'!BR89+'Продажи'!BR92)/(SUM('Продажи'!$D$83:$DS$83)+SUM('Продажи'!$D$86:$DS$86)+SUM('Продажи'!$D$89:$DS$89)+SUM('Продажи'!$D$92:$DS$92)),0)-IF('ОБЪЕКТЫ'!$B$8=4,IFERROR('ОБЪЕКТЫ'!$B$28*'ОБЪЕКТЫ'!BR22/'ОБЪЕКТЫ'!$B$22,0),0)-IF('ОБЪЕКТЫ'!$B$36=4,IFERROR('ОБЪЕКТЫ'!$B$56*'ОБЪЕКТЫ'!BR50/'ОБЪЕКТЫ'!$B$50,0),0)-IF('ОБЪЕКТЫ'!$B$64=4,IFERROR('ОБЪЕКТЫ'!$B$84*'ОБЪЕКТЫ'!BR78/'ОБЪЕКТЫ'!$B$78,0),0)-BR53-BR57-BR21</x:f>
      </x:c>
      <x:c r="BS22" s="117">
        <x:f>BS10-IFERROR((SUM($D$20:$DS$20)-'ОБЪЕКТЫ'!$B$120)*('Продажи'!BS83+'Продажи'!BS86+'Продажи'!BS89+'Продажи'!BS92)/(SUM('Продажи'!$D$83:$DS$83)+SUM('Продажи'!$D$86:$DS$86)+SUM('Продажи'!$D$89:$DS$89)+SUM('Продажи'!$D$92:$DS$92)),0)-IF('ОБЪЕКТЫ'!$B$8=4,IFERROR('ОБЪЕКТЫ'!$B$28*'ОБЪЕКТЫ'!BS22/'ОБЪЕКТЫ'!$B$22,0),0)-IF('ОБЪЕКТЫ'!$B$36=4,IFERROR('ОБЪЕКТЫ'!$B$56*'ОБЪЕКТЫ'!BS50/'ОБЪЕКТЫ'!$B$50,0),0)-IF('ОБЪЕКТЫ'!$B$64=4,IFERROR('ОБЪЕКТЫ'!$B$84*'ОБЪЕКТЫ'!BS78/'ОБЪЕКТЫ'!$B$78,0),0)-BS53-BS57-BS21</x:f>
      </x:c>
      <x:c r="BT22" s="117">
        <x:f>BT10-IFERROR((SUM($D$20:$DS$20)-'ОБЪЕКТЫ'!$B$120)*('Продажи'!BT83+'Продажи'!BT86+'Продажи'!BT89+'Продажи'!BT92)/(SUM('Продажи'!$D$83:$DS$83)+SUM('Продажи'!$D$86:$DS$86)+SUM('Продажи'!$D$89:$DS$89)+SUM('Продажи'!$D$92:$DS$92)),0)-IF('ОБЪЕКТЫ'!$B$8=4,IFERROR('ОБЪЕКТЫ'!$B$28*'ОБЪЕКТЫ'!BT22/'ОБЪЕКТЫ'!$B$22,0),0)-IF('ОБЪЕКТЫ'!$B$36=4,IFERROR('ОБЪЕКТЫ'!$B$56*'ОБЪЕКТЫ'!BT50/'ОБЪЕКТЫ'!$B$50,0),0)-IF('ОБЪЕКТЫ'!$B$64=4,IFERROR('ОБЪЕКТЫ'!$B$84*'ОБЪЕКТЫ'!BT78/'ОБЪЕКТЫ'!$B$78,0),0)-BT53-BT57-BT21</x:f>
      </x:c>
      <x:c r="BU22" s="117">
        <x:f>BU10-IFERROR((SUM($D$20:$DS$20)-'ОБЪЕКТЫ'!$B$120)*('Продажи'!BU83+'Продажи'!BU86+'Продажи'!BU89+'Продажи'!BU92)/(SUM('Продажи'!$D$83:$DS$83)+SUM('Продажи'!$D$86:$DS$86)+SUM('Продажи'!$D$89:$DS$89)+SUM('Продажи'!$D$92:$DS$92)),0)-IF('ОБЪЕКТЫ'!$B$8=4,IFERROR('ОБЪЕКТЫ'!$B$28*'ОБЪЕКТЫ'!BU22/'ОБЪЕКТЫ'!$B$22,0),0)-IF('ОБЪЕКТЫ'!$B$36=4,IFERROR('ОБЪЕКТЫ'!$B$56*'ОБЪЕКТЫ'!BU50/'ОБЪЕКТЫ'!$B$50,0),0)-IF('ОБЪЕКТЫ'!$B$64=4,IFERROR('ОБЪЕКТЫ'!$B$84*'ОБЪЕКТЫ'!BU78/'ОБЪЕКТЫ'!$B$78,0),0)-BU53-BU57-BU21</x:f>
      </x:c>
      <x:c r="BV22" s="117">
        <x:f>BV10-IFERROR((SUM($D$20:$DS$20)-'ОБЪЕКТЫ'!$B$120)*('Продажи'!BV83+'Продажи'!BV86+'Продажи'!BV89+'Продажи'!BV92)/(SUM('Продажи'!$D$83:$DS$83)+SUM('Продажи'!$D$86:$DS$86)+SUM('Продажи'!$D$89:$DS$89)+SUM('Продажи'!$D$92:$DS$92)),0)-IF('ОБЪЕКТЫ'!$B$8=4,IFERROR('ОБЪЕКТЫ'!$B$28*'ОБЪЕКТЫ'!BV22/'ОБЪЕКТЫ'!$B$22,0),0)-IF('ОБЪЕКТЫ'!$B$36=4,IFERROR('ОБЪЕКТЫ'!$B$56*'ОБЪЕКТЫ'!BV50/'ОБЪЕКТЫ'!$B$50,0),0)-IF('ОБЪЕКТЫ'!$B$64=4,IFERROR('ОБЪЕКТЫ'!$B$84*'ОБЪЕКТЫ'!BV78/'ОБЪЕКТЫ'!$B$78,0),0)-BV53-BV57-BV21</x:f>
      </x:c>
      <x:c r="BW22" s="117">
        <x:f>BW10-IFERROR((SUM($D$20:$DS$20)-'ОБЪЕКТЫ'!$B$120)*('Продажи'!BW83+'Продажи'!BW86+'Продажи'!BW89+'Продажи'!BW92)/(SUM('Продажи'!$D$83:$DS$83)+SUM('Продажи'!$D$86:$DS$86)+SUM('Продажи'!$D$89:$DS$89)+SUM('Продажи'!$D$92:$DS$92)),0)-IF('ОБЪЕКТЫ'!$B$8=4,IFERROR('ОБЪЕКТЫ'!$B$28*'ОБЪЕКТЫ'!BW22/'ОБЪЕКТЫ'!$B$22,0),0)-IF('ОБЪЕКТЫ'!$B$36=4,IFERROR('ОБЪЕКТЫ'!$B$56*'ОБЪЕКТЫ'!BW50/'ОБЪЕКТЫ'!$B$50,0),0)-IF('ОБЪЕКТЫ'!$B$64=4,IFERROR('ОБЪЕКТЫ'!$B$84*'ОБЪЕКТЫ'!BW78/'ОБЪЕКТЫ'!$B$78,0),0)-BW53-BW57-BW21</x:f>
      </x:c>
      <x:c r="BX22" s="117">
        <x:f>BX10-IFERROR((SUM($D$20:$DS$20)-'ОБЪЕКТЫ'!$B$120)*('Продажи'!BX83+'Продажи'!BX86+'Продажи'!BX89+'Продажи'!BX92)/(SUM('Продажи'!$D$83:$DS$83)+SUM('Продажи'!$D$86:$DS$86)+SUM('Продажи'!$D$89:$DS$89)+SUM('Продажи'!$D$92:$DS$92)),0)-IF('ОБЪЕКТЫ'!$B$8=4,IFERROR('ОБЪЕКТЫ'!$B$28*'ОБЪЕКТЫ'!BX22/'ОБЪЕКТЫ'!$B$22,0),0)-IF('ОБЪЕКТЫ'!$B$36=4,IFERROR('ОБЪЕКТЫ'!$B$56*'ОБЪЕКТЫ'!BX50/'ОБЪЕКТЫ'!$B$50,0),0)-IF('ОБЪЕКТЫ'!$B$64=4,IFERROR('ОБЪЕКТЫ'!$B$84*'ОБЪЕКТЫ'!BX78/'ОБЪЕКТЫ'!$B$78,0),0)-BX53-BX57-BX21</x:f>
      </x:c>
      <x:c r="BY22" s="117">
        <x:f>BY10-IFERROR((SUM($D$20:$DS$20)-'ОБЪЕКТЫ'!$B$120)*('Продажи'!BY83+'Продажи'!BY86+'Продажи'!BY89+'Продажи'!BY92)/(SUM('Продажи'!$D$83:$DS$83)+SUM('Продажи'!$D$86:$DS$86)+SUM('Продажи'!$D$89:$DS$89)+SUM('Продажи'!$D$92:$DS$92)),0)-IF('ОБЪЕКТЫ'!$B$8=4,IFERROR('ОБЪЕКТЫ'!$B$28*'ОБЪЕКТЫ'!BY22/'ОБЪЕКТЫ'!$B$22,0),0)-IF('ОБЪЕКТЫ'!$B$36=4,IFERROR('ОБЪЕКТЫ'!$B$56*'ОБЪЕКТЫ'!BY50/'ОБЪЕКТЫ'!$B$50,0),0)-IF('ОБЪЕКТЫ'!$B$64=4,IFERROR('ОБЪЕКТЫ'!$B$84*'ОБЪЕКТЫ'!BY78/'ОБЪЕКТЫ'!$B$78,0),0)-BY53-BY57-BY21</x:f>
      </x:c>
      <x:c r="BZ22" s="117">
        <x:f>BZ10-IFERROR((SUM($D$20:$DS$20)-'ОБЪЕКТЫ'!$B$120)*('Продажи'!BZ83+'Продажи'!BZ86+'Продажи'!BZ89+'Продажи'!BZ92)/(SUM('Продажи'!$D$83:$DS$83)+SUM('Продажи'!$D$86:$DS$86)+SUM('Продажи'!$D$89:$DS$89)+SUM('Продажи'!$D$92:$DS$92)),0)-IF('ОБЪЕКТЫ'!$B$8=4,IFERROR('ОБЪЕКТЫ'!$B$28*'ОБЪЕКТЫ'!BZ22/'ОБЪЕКТЫ'!$B$22,0),0)-IF('ОБЪЕКТЫ'!$B$36=4,IFERROR('ОБЪЕКТЫ'!$B$56*'ОБЪЕКТЫ'!BZ50/'ОБЪЕКТЫ'!$B$50,0),0)-IF('ОБЪЕКТЫ'!$B$64=4,IFERROR('ОБЪЕКТЫ'!$B$84*'ОБЪЕКТЫ'!BZ78/'ОБЪЕКТЫ'!$B$78,0),0)-BZ53-BZ57-BZ21</x:f>
      </x:c>
      <x:c r="CA22" s="117">
        <x:f>CA10-IFERROR((SUM($D$20:$DS$20)-'ОБЪЕКТЫ'!$B$120)*('Продажи'!CA83+'Продажи'!CA86+'Продажи'!CA89+'Продажи'!CA92)/(SUM('Продажи'!$D$83:$DS$83)+SUM('Продажи'!$D$86:$DS$86)+SUM('Продажи'!$D$89:$DS$89)+SUM('Продажи'!$D$92:$DS$92)),0)-IF('ОБЪЕКТЫ'!$B$8=4,IFERROR('ОБЪЕКТЫ'!$B$28*'ОБЪЕКТЫ'!CA22/'ОБЪЕКТЫ'!$B$22,0),0)-IF('ОБЪЕКТЫ'!$B$36=4,IFERROR('ОБЪЕКТЫ'!$B$56*'ОБЪЕКТЫ'!CA50/'ОБЪЕКТЫ'!$B$50,0),0)-IF('ОБЪЕКТЫ'!$B$64=4,IFERROR('ОБЪЕКТЫ'!$B$84*'ОБЪЕКТЫ'!CA78/'ОБЪЕКТЫ'!$B$78,0),0)-CA53-CA57-CA21</x:f>
      </x:c>
      <x:c r="CB22" s="117">
        <x:f>CB10-IFERROR((SUM($D$20:$DS$20)-'ОБЪЕКТЫ'!$B$120)*('Продажи'!CB83+'Продажи'!CB86+'Продажи'!CB89+'Продажи'!CB92)/(SUM('Продажи'!$D$83:$DS$83)+SUM('Продажи'!$D$86:$DS$86)+SUM('Продажи'!$D$89:$DS$89)+SUM('Продажи'!$D$92:$DS$92)),0)-IF('ОБЪЕКТЫ'!$B$8=4,IFERROR('ОБЪЕКТЫ'!$B$28*'ОБЪЕКТЫ'!CB22/'ОБЪЕКТЫ'!$B$22,0),0)-IF('ОБЪЕКТЫ'!$B$36=4,IFERROR('ОБЪЕКТЫ'!$B$56*'ОБЪЕКТЫ'!CB50/'ОБЪЕКТЫ'!$B$50,0),0)-IF('ОБЪЕКТЫ'!$B$64=4,IFERROR('ОБЪЕКТЫ'!$B$84*'ОБЪЕКТЫ'!CB78/'ОБЪЕКТЫ'!$B$78,0),0)-CB53-CB57-CB21</x:f>
      </x:c>
      <x:c r="CC22" s="117">
        <x:f>CC10-IFERROR((SUM($D$20:$DS$20)-'ОБЪЕКТЫ'!$B$120)*('Продажи'!CC83+'Продажи'!CC86+'Продажи'!CC89+'Продажи'!CC92)/(SUM('Продажи'!$D$83:$DS$83)+SUM('Продажи'!$D$86:$DS$86)+SUM('Продажи'!$D$89:$DS$89)+SUM('Продажи'!$D$92:$DS$92)),0)-IF('ОБЪЕКТЫ'!$B$8=4,IFERROR('ОБЪЕКТЫ'!$B$28*'ОБЪЕКТЫ'!CC22/'ОБЪЕКТЫ'!$B$22,0),0)-IF('ОБЪЕКТЫ'!$B$36=4,IFERROR('ОБЪЕКТЫ'!$B$56*'ОБЪЕКТЫ'!CC50/'ОБЪЕКТЫ'!$B$50,0),0)-IF('ОБЪЕКТЫ'!$B$64=4,IFERROR('ОБЪЕКТЫ'!$B$84*'ОБЪЕКТЫ'!CC78/'ОБЪЕКТЫ'!$B$78,0),0)-CC53-CC57-CC21</x:f>
      </x:c>
      <x:c r="CD22" s="117">
        <x:f>CD10-IFERROR((SUM($D$20:$DS$20)-'ОБЪЕКТЫ'!$B$120)*('Продажи'!CD83+'Продажи'!CD86+'Продажи'!CD89+'Продажи'!CD92)/(SUM('Продажи'!$D$83:$DS$83)+SUM('Продажи'!$D$86:$DS$86)+SUM('Продажи'!$D$89:$DS$89)+SUM('Продажи'!$D$92:$DS$92)),0)-IF('ОБЪЕКТЫ'!$B$8=4,IFERROR('ОБЪЕКТЫ'!$B$28*'ОБЪЕКТЫ'!CD22/'ОБЪЕКТЫ'!$B$22,0),0)-IF('ОБЪЕКТЫ'!$B$36=4,IFERROR('ОБЪЕКТЫ'!$B$56*'ОБЪЕКТЫ'!CD50/'ОБЪЕКТЫ'!$B$50,0),0)-IF('ОБЪЕКТЫ'!$B$64=4,IFERROR('ОБЪЕКТЫ'!$B$84*'ОБЪЕКТЫ'!CD78/'ОБЪЕКТЫ'!$B$78,0),0)-CD53-CD57-CD21</x:f>
      </x:c>
      <x:c r="CE22" s="117">
        <x:f>CE10-IFERROR((SUM($D$20:$DS$20)-'ОБЪЕКТЫ'!$B$120)*('Продажи'!CE83+'Продажи'!CE86+'Продажи'!CE89+'Продажи'!CE92)/(SUM('Продажи'!$D$83:$DS$83)+SUM('Продажи'!$D$86:$DS$86)+SUM('Продажи'!$D$89:$DS$89)+SUM('Продажи'!$D$92:$DS$92)),0)-IF('ОБЪЕКТЫ'!$B$8=4,IFERROR('ОБЪЕКТЫ'!$B$28*'ОБЪЕКТЫ'!CE22/'ОБЪЕКТЫ'!$B$22,0),0)-IF('ОБЪЕКТЫ'!$B$36=4,IFERROR('ОБЪЕКТЫ'!$B$56*'ОБЪЕКТЫ'!CE50/'ОБЪЕКТЫ'!$B$50,0),0)-IF('ОБЪЕКТЫ'!$B$64=4,IFERROR('ОБЪЕКТЫ'!$B$84*'ОБЪЕКТЫ'!CE78/'ОБЪЕКТЫ'!$B$78,0),0)-CE53-CE57-CE21</x:f>
      </x:c>
      <x:c r="CF22" s="117">
        <x:f>CF10-IFERROR((SUM($D$20:$DS$20)-'ОБЪЕКТЫ'!$B$120)*('Продажи'!CF83+'Продажи'!CF86+'Продажи'!CF89+'Продажи'!CF92)/(SUM('Продажи'!$D$83:$DS$83)+SUM('Продажи'!$D$86:$DS$86)+SUM('Продажи'!$D$89:$DS$89)+SUM('Продажи'!$D$92:$DS$92)),0)-IF('ОБЪЕКТЫ'!$B$8=4,IFERROR('ОБЪЕКТЫ'!$B$28*'ОБЪЕКТЫ'!CF22/'ОБЪЕКТЫ'!$B$22,0),0)-IF('ОБЪЕКТЫ'!$B$36=4,IFERROR('ОБЪЕКТЫ'!$B$56*'ОБЪЕКТЫ'!CF50/'ОБЪЕКТЫ'!$B$50,0),0)-IF('ОБЪЕКТЫ'!$B$64=4,IFERROR('ОБЪЕКТЫ'!$B$84*'ОБЪЕКТЫ'!CF78/'ОБЪЕКТЫ'!$B$78,0),0)-CF53-CF57-CF21</x:f>
      </x:c>
      <x:c r="CG22" s="117">
        <x:f>CG10-IFERROR((SUM($D$20:$DS$20)-'ОБЪЕКТЫ'!$B$120)*('Продажи'!CG83+'Продажи'!CG86+'Продажи'!CG89+'Продажи'!CG92)/(SUM('Продажи'!$D$83:$DS$83)+SUM('Продажи'!$D$86:$DS$86)+SUM('Продажи'!$D$89:$DS$89)+SUM('Продажи'!$D$92:$DS$92)),0)-IF('ОБЪЕКТЫ'!$B$8=4,IFERROR('ОБЪЕКТЫ'!$B$28*'ОБЪЕКТЫ'!CG22/'ОБЪЕКТЫ'!$B$22,0),0)-IF('ОБЪЕКТЫ'!$B$36=4,IFERROR('ОБЪЕКТЫ'!$B$56*'ОБЪЕКТЫ'!CG50/'ОБЪЕКТЫ'!$B$50,0),0)-IF('ОБЪЕКТЫ'!$B$64=4,IFERROR('ОБЪЕКТЫ'!$B$84*'ОБЪЕКТЫ'!CG78/'ОБЪЕКТЫ'!$B$78,0),0)-CG53-CG57-CG21</x:f>
      </x:c>
      <x:c r="CH22" s="117">
        <x:f>CH10-IFERROR((SUM($D$20:$DS$20)-'ОБЪЕКТЫ'!$B$120)*('Продажи'!CH83+'Продажи'!CH86+'Продажи'!CH89+'Продажи'!CH92)/(SUM('Продажи'!$D$83:$DS$83)+SUM('Продажи'!$D$86:$DS$86)+SUM('Продажи'!$D$89:$DS$89)+SUM('Продажи'!$D$92:$DS$92)),0)-IF('ОБЪЕКТЫ'!$B$8=4,IFERROR('ОБЪЕКТЫ'!$B$28*'ОБЪЕКТЫ'!CH22/'ОБЪЕКТЫ'!$B$22,0),0)-IF('ОБЪЕКТЫ'!$B$36=4,IFERROR('ОБЪЕКТЫ'!$B$56*'ОБЪЕКТЫ'!CH50/'ОБЪЕКТЫ'!$B$50,0),0)-IF('ОБЪЕКТЫ'!$B$64=4,IFERROR('ОБЪЕКТЫ'!$B$84*'ОБЪЕКТЫ'!CH78/'ОБЪЕКТЫ'!$B$78,0),0)-CH53-CH57-CH21</x:f>
      </x:c>
      <x:c r="CI22" s="117">
        <x:f>CI10-IFERROR((SUM($D$20:$DS$20)-'ОБЪЕКТЫ'!$B$120)*('Продажи'!CI83+'Продажи'!CI86+'Продажи'!CI89+'Продажи'!CI92)/(SUM('Продажи'!$D$83:$DS$83)+SUM('Продажи'!$D$86:$DS$86)+SUM('Продажи'!$D$89:$DS$89)+SUM('Продажи'!$D$92:$DS$92)),0)-IF('ОБЪЕКТЫ'!$B$8=4,IFERROR('ОБЪЕКТЫ'!$B$28*'ОБЪЕКТЫ'!CI22/'ОБЪЕКТЫ'!$B$22,0),0)-IF('ОБЪЕКТЫ'!$B$36=4,IFERROR('ОБЪЕКТЫ'!$B$56*'ОБЪЕКТЫ'!CI50/'ОБЪЕКТЫ'!$B$50,0),0)-IF('ОБЪЕКТЫ'!$B$64=4,IFERROR('ОБЪЕКТЫ'!$B$84*'ОБЪЕКТЫ'!CI78/'ОБЪЕКТЫ'!$B$78,0),0)-CI53-CI57-CI21</x:f>
      </x:c>
      <x:c r="CJ22" s="117">
        <x:f>CJ10-IFERROR((SUM($D$20:$DS$20)-'ОБЪЕКТЫ'!$B$120)*('Продажи'!CJ83+'Продажи'!CJ86+'Продажи'!CJ89+'Продажи'!CJ92)/(SUM('Продажи'!$D$83:$DS$83)+SUM('Продажи'!$D$86:$DS$86)+SUM('Продажи'!$D$89:$DS$89)+SUM('Продажи'!$D$92:$DS$92)),0)-IF('ОБЪЕКТЫ'!$B$8=4,IFERROR('ОБЪЕКТЫ'!$B$28*'ОБЪЕКТЫ'!CJ22/'ОБЪЕКТЫ'!$B$22,0),0)-IF('ОБЪЕКТЫ'!$B$36=4,IFERROR('ОБЪЕКТЫ'!$B$56*'ОБЪЕКТЫ'!CJ50/'ОБЪЕКТЫ'!$B$50,0),0)-IF('ОБЪЕКТЫ'!$B$64=4,IFERROR('ОБЪЕКТЫ'!$B$84*'ОБЪЕКТЫ'!CJ78/'ОБЪЕКТЫ'!$B$78,0),0)-CJ53-CJ57-CJ21</x:f>
      </x:c>
      <x:c r="CK22" s="117">
        <x:f>CK10-IFERROR((SUM($D$20:$DS$20)-'ОБЪЕКТЫ'!$B$120)*('Продажи'!CK83+'Продажи'!CK86+'Продажи'!CK89+'Продажи'!CK92)/(SUM('Продажи'!$D$83:$DS$83)+SUM('Продажи'!$D$86:$DS$86)+SUM('Продажи'!$D$89:$DS$89)+SUM('Продажи'!$D$92:$DS$92)),0)-IF('ОБЪЕКТЫ'!$B$8=4,IFERROR('ОБЪЕКТЫ'!$B$28*'ОБЪЕКТЫ'!CK22/'ОБЪЕКТЫ'!$B$22,0),0)-IF('ОБЪЕКТЫ'!$B$36=4,IFERROR('ОБЪЕКТЫ'!$B$56*'ОБЪЕКТЫ'!CK50/'ОБЪЕКТЫ'!$B$50,0),0)-IF('ОБЪЕКТЫ'!$B$64=4,IFERROR('ОБЪЕКТЫ'!$B$84*'ОБЪЕКТЫ'!CK78/'ОБЪЕКТЫ'!$B$78,0),0)-CK53-CK57-CK21</x:f>
      </x:c>
      <x:c r="CL22" s="117">
        <x:f>CL10-IFERROR((SUM($D$20:$DS$20)-'ОБЪЕКТЫ'!$B$120)*('Продажи'!CL83+'Продажи'!CL86+'Продажи'!CL89+'Продажи'!CL92)/(SUM('Продажи'!$D$83:$DS$83)+SUM('Продажи'!$D$86:$DS$86)+SUM('Продажи'!$D$89:$DS$89)+SUM('Продажи'!$D$92:$DS$92)),0)-IF('ОБЪЕКТЫ'!$B$8=4,IFERROR('ОБЪЕКТЫ'!$B$28*'ОБЪЕКТЫ'!CL22/'ОБЪЕКТЫ'!$B$22,0),0)-IF('ОБЪЕКТЫ'!$B$36=4,IFERROR('ОБЪЕКТЫ'!$B$56*'ОБЪЕКТЫ'!CL50/'ОБЪЕКТЫ'!$B$50,0),0)-IF('ОБЪЕКТЫ'!$B$64=4,IFERROR('ОБЪЕКТЫ'!$B$84*'ОБЪЕКТЫ'!CL78/'ОБЪЕКТЫ'!$B$78,0),0)-CL53-CL57-CL21</x:f>
      </x:c>
      <x:c r="CM22" s="117">
        <x:f>CM10-IFERROR((SUM($D$20:$DS$20)-'ОБЪЕКТЫ'!$B$120)*('Продажи'!CM83+'Продажи'!CM86+'Продажи'!CM89+'Продажи'!CM92)/(SUM('Продажи'!$D$83:$DS$83)+SUM('Продажи'!$D$86:$DS$86)+SUM('Продажи'!$D$89:$DS$89)+SUM('Продажи'!$D$92:$DS$92)),0)-IF('ОБЪЕКТЫ'!$B$8=4,IFERROR('ОБЪЕКТЫ'!$B$28*'ОБЪЕКТЫ'!CM22/'ОБЪЕКТЫ'!$B$22,0),0)-IF('ОБЪЕКТЫ'!$B$36=4,IFERROR('ОБЪЕКТЫ'!$B$56*'ОБЪЕКТЫ'!CM50/'ОБЪЕКТЫ'!$B$50,0),0)-IF('ОБЪЕКТЫ'!$B$64=4,IFERROR('ОБЪЕКТЫ'!$B$84*'ОБЪЕКТЫ'!CM78/'ОБЪЕКТЫ'!$B$78,0),0)-CM53-CM57-CM21</x:f>
      </x:c>
      <x:c r="CN22" s="117">
        <x:f>CN10-IFERROR((SUM($D$20:$DS$20)-'ОБЪЕКТЫ'!$B$120)*('Продажи'!CN83+'Продажи'!CN86+'Продажи'!CN89+'Продажи'!CN92)/(SUM('Продажи'!$D$83:$DS$83)+SUM('Продажи'!$D$86:$DS$86)+SUM('Продажи'!$D$89:$DS$89)+SUM('Продажи'!$D$92:$DS$92)),0)-IF('ОБЪЕКТЫ'!$B$8=4,IFERROR('ОБЪЕКТЫ'!$B$28*'ОБЪЕКТЫ'!CN22/'ОБЪЕКТЫ'!$B$22,0),0)-IF('ОБЪЕКТЫ'!$B$36=4,IFERROR('ОБЪЕКТЫ'!$B$56*'ОБЪЕКТЫ'!CN50/'ОБЪЕКТЫ'!$B$50,0),0)-IF('ОБЪЕКТЫ'!$B$64=4,IFERROR('ОБЪЕКТЫ'!$B$84*'ОБЪЕКТЫ'!CN78/'ОБЪЕКТЫ'!$B$78,0),0)-CN53-CN57-CN21</x:f>
      </x:c>
      <x:c r="CO22" s="117">
        <x:f>CO10-IFERROR((SUM($D$20:$DS$20)-'ОБЪЕКТЫ'!$B$120)*('Продажи'!CO83+'Продажи'!CO86+'Продажи'!CO89+'Продажи'!CO92)/(SUM('Продажи'!$D$83:$DS$83)+SUM('Продажи'!$D$86:$DS$86)+SUM('Продажи'!$D$89:$DS$89)+SUM('Продажи'!$D$92:$DS$92)),0)-IF('ОБЪЕКТЫ'!$B$8=4,IFERROR('ОБЪЕКТЫ'!$B$28*'ОБЪЕКТЫ'!CO22/'ОБЪЕКТЫ'!$B$22,0),0)-IF('ОБЪЕКТЫ'!$B$36=4,IFERROR('ОБЪЕКТЫ'!$B$56*'ОБЪЕКТЫ'!CO50/'ОБЪЕКТЫ'!$B$50,0),0)-IF('ОБЪЕКТЫ'!$B$64=4,IFERROR('ОБЪЕКТЫ'!$B$84*'ОБЪЕКТЫ'!CO78/'ОБЪЕКТЫ'!$B$78,0),0)-CO53-CO57-CO21</x:f>
      </x:c>
      <x:c r="CP22" s="117">
        <x:f>CP10-IFERROR((SUM($D$20:$DS$20)-'ОБЪЕКТЫ'!$B$120)*('Продажи'!CP83+'Продажи'!CP86+'Продажи'!CP89+'Продажи'!CP92)/(SUM('Продажи'!$D$83:$DS$83)+SUM('Продажи'!$D$86:$DS$86)+SUM('Продажи'!$D$89:$DS$89)+SUM('Продажи'!$D$92:$DS$92)),0)-IF('ОБЪЕКТЫ'!$B$8=4,IFERROR('ОБЪЕКТЫ'!$B$28*'ОБЪЕКТЫ'!CP22/'ОБЪЕКТЫ'!$B$22,0),0)-IF('ОБЪЕКТЫ'!$B$36=4,IFERROR('ОБЪЕКТЫ'!$B$56*'ОБЪЕКТЫ'!CP50/'ОБЪЕКТЫ'!$B$50,0),0)-IF('ОБЪЕКТЫ'!$B$64=4,IFERROR('ОБЪЕКТЫ'!$B$84*'ОБЪЕКТЫ'!CP78/'ОБЪЕКТЫ'!$B$78,0),0)-CP53-CP57-CP21</x:f>
      </x:c>
      <x:c r="CQ22" s="117">
        <x:f>CQ10-IFERROR((SUM($D$20:$DS$20)-'ОБЪЕКТЫ'!$B$120)*('Продажи'!CQ83+'Продажи'!CQ86+'Продажи'!CQ89+'Продажи'!CQ92)/(SUM('Продажи'!$D$83:$DS$83)+SUM('Продажи'!$D$86:$DS$86)+SUM('Продажи'!$D$89:$DS$89)+SUM('Продажи'!$D$92:$DS$92)),0)-IF('ОБЪЕКТЫ'!$B$8=4,IFERROR('ОБЪЕКТЫ'!$B$28*'ОБЪЕКТЫ'!CQ22/'ОБЪЕКТЫ'!$B$22,0),0)-IF('ОБЪЕКТЫ'!$B$36=4,IFERROR('ОБЪЕКТЫ'!$B$56*'ОБЪЕКТЫ'!CQ50/'ОБЪЕКТЫ'!$B$50,0),0)-IF('ОБЪЕКТЫ'!$B$64=4,IFERROR('ОБЪЕКТЫ'!$B$84*'ОБЪЕКТЫ'!CQ78/'ОБЪЕКТЫ'!$B$78,0),0)-CQ53-CQ57-CQ21</x:f>
      </x:c>
      <x:c r="CR22" s="117">
        <x:f>CR10-IFERROR((SUM($D$20:$DS$20)-'ОБЪЕКТЫ'!$B$120)*('Продажи'!CR83+'Продажи'!CR86+'Продажи'!CR89+'Продажи'!CR92)/(SUM('Продажи'!$D$83:$DS$83)+SUM('Продажи'!$D$86:$DS$86)+SUM('Продажи'!$D$89:$DS$89)+SUM('Продажи'!$D$92:$DS$92)),0)-IF('ОБЪЕКТЫ'!$B$8=4,IFERROR('ОБЪЕКТЫ'!$B$28*'ОБЪЕКТЫ'!CR22/'ОБЪЕКТЫ'!$B$22,0),0)-IF('ОБЪЕКТЫ'!$B$36=4,IFERROR('ОБЪЕКТЫ'!$B$56*'ОБЪЕКТЫ'!CR50/'ОБЪЕКТЫ'!$B$50,0),0)-IF('ОБЪЕКТЫ'!$B$64=4,IFERROR('ОБЪЕКТЫ'!$B$84*'ОБЪЕКТЫ'!CR78/'ОБЪЕКТЫ'!$B$78,0),0)-CR53-CR57-CR21</x:f>
      </x:c>
      <x:c r="CS22" s="117">
        <x:f>CS10-IFERROR((SUM($D$20:$DS$20)-'ОБЪЕКТЫ'!$B$120)*('Продажи'!CS83+'Продажи'!CS86+'Продажи'!CS89+'Продажи'!CS92)/(SUM('Продажи'!$D$83:$DS$83)+SUM('Продажи'!$D$86:$DS$86)+SUM('Продажи'!$D$89:$DS$89)+SUM('Продажи'!$D$92:$DS$92)),0)-IF('ОБЪЕКТЫ'!$B$8=4,IFERROR('ОБЪЕКТЫ'!$B$28*'ОБЪЕКТЫ'!CS22/'ОБЪЕКТЫ'!$B$22,0),0)-IF('ОБЪЕКТЫ'!$B$36=4,IFERROR('ОБЪЕКТЫ'!$B$56*'ОБЪЕКТЫ'!CS50/'ОБЪЕКТЫ'!$B$50,0),0)-IF('ОБЪЕКТЫ'!$B$64=4,IFERROR('ОБЪЕКТЫ'!$B$84*'ОБЪЕКТЫ'!CS78/'ОБЪЕКТЫ'!$B$78,0),0)-CS53-CS57-CS21</x:f>
      </x:c>
      <x:c r="CT22" s="117">
        <x:f>CT10-IFERROR((SUM($D$20:$DS$20)-'ОБЪЕКТЫ'!$B$120)*('Продажи'!CT83+'Продажи'!CT86+'Продажи'!CT89+'Продажи'!CT92)/(SUM('Продажи'!$D$83:$DS$83)+SUM('Продажи'!$D$86:$DS$86)+SUM('Продажи'!$D$89:$DS$89)+SUM('Продажи'!$D$92:$DS$92)),0)-IF('ОБЪЕКТЫ'!$B$8=4,IFERROR('ОБЪЕКТЫ'!$B$28*'ОБЪЕКТЫ'!CT22/'ОБЪЕКТЫ'!$B$22,0),0)-IF('ОБЪЕКТЫ'!$B$36=4,IFERROR('ОБЪЕКТЫ'!$B$56*'ОБЪЕКТЫ'!CT50/'ОБЪЕКТЫ'!$B$50,0),0)-IF('ОБЪЕКТЫ'!$B$64=4,IFERROR('ОБЪЕКТЫ'!$B$84*'ОБЪЕКТЫ'!CT78/'ОБЪЕКТЫ'!$B$78,0),0)-CT53-CT57-CT21</x:f>
      </x:c>
      <x:c r="CU22" s="117">
        <x:f>CU10-IFERROR((SUM($D$20:$DS$20)-'ОБЪЕКТЫ'!$B$120)*('Продажи'!CU83+'Продажи'!CU86+'Продажи'!CU89+'Продажи'!CU92)/(SUM('Продажи'!$D$83:$DS$83)+SUM('Продажи'!$D$86:$DS$86)+SUM('Продажи'!$D$89:$DS$89)+SUM('Продажи'!$D$92:$DS$92)),0)-IF('ОБЪЕКТЫ'!$B$8=4,IFERROR('ОБЪЕКТЫ'!$B$28*'ОБЪЕКТЫ'!CU22/'ОБЪЕКТЫ'!$B$22,0),0)-IF('ОБЪЕКТЫ'!$B$36=4,IFERROR('ОБЪЕКТЫ'!$B$56*'ОБЪЕКТЫ'!CU50/'ОБЪЕКТЫ'!$B$50,0),0)-IF('ОБЪЕКТЫ'!$B$64=4,IFERROR('ОБЪЕКТЫ'!$B$84*'ОБЪЕКТЫ'!CU78/'ОБЪЕКТЫ'!$B$78,0),0)-CU53-CU57-CU21</x:f>
      </x:c>
      <x:c r="CV22" s="117">
        <x:f>CV10-IFERROR((SUM($D$20:$DS$20)-'ОБЪЕКТЫ'!$B$120)*('Продажи'!CV83+'Продажи'!CV86+'Продажи'!CV89+'Продажи'!CV92)/(SUM('Продажи'!$D$83:$DS$83)+SUM('Продажи'!$D$86:$DS$86)+SUM('Продажи'!$D$89:$DS$89)+SUM('Продажи'!$D$92:$DS$92)),0)-IF('ОБЪЕКТЫ'!$B$8=4,IFERROR('ОБЪЕКТЫ'!$B$28*'ОБЪЕКТЫ'!CV22/'ОБЪЕКТЫ'!$B$22,0),0)-IF('ОБЪЕКТЫ'!$B$36=4,IFERROR('ОБЪЕКТЫ'!$B$56*'ОБЪЕКТЫ'!CV50/'ОБЪЕКТЫ'!$B$50,0),0)-IF('ОБЪЕКТЫ'!$B$64=4,IFERROR('ОБЪЕКТЫ'!$B$84*'ОБЪЕКТЫ'!CV78/'ОБЪЕКТЫ'!$B$78,0),0)-CV53-CV57-CV21</x:f>
      </x:c>
      <x:c r="CW22" s="117">
        <x:f>CW10-IFERROR((SUM($D$20:$DS$20)-'ОБЪЕКТЫ'!$B$120)*('Продажи'!CW83+'Продажи'!CW86+'Продажи'!CW89+'Продажи'!CW92)/(SUM('Продажи'!$D$83:$DS$83)+SUM('Продажи'!$D$86:$DS$86)+SUM('Продажи'!$D$89:$DS$89)+SUM('Продажи'!$D$92:$DS$92)),0)-IF('ОБЪЕКТЫ'!$B$8=4,IFERROR('ОБЪЕКТЫ'!$B$28*'ОБЪЕКТЫ'!CW22/'ОБЪЕКТЫ'!$B$22,0),0)-IF('ОБЪЕКТЫ'!$B$36=4,IFERROR('ОБЪЕКТЫ'!$B$56*'ОБЪЕКТЫ'!CW50/'ОБЪЕКТЫ'!$B$50,0),0)-IF('ОБЪЕКТЫ'!$B$64=4,IFERROR('ОБЪЕКТЫ'!$B$84*'ОБЪЕКТЫ'!CW78/'ОБЪЕКТЫ'!$B$78,0),0)-CW53-CW57-CW21</x:f>
      </x:c>
      <x:c r="CX22" s="117">
        <x:f>CX10-IFERROR((SUM($D$20:$DS$20)-'ОБЪЕКТЫ'!$B$120)*('Продажи'!CX83+'Продажи'!CX86+'Продажи'!CX89+'Продажи'!CX92)/(SUM('Продажи'!$D$83:$DS$83)+SUM('Продажи'!$D$86:$DS$86)+SUM('Продажи'!$D$89:$DS$89)+SUM('Продажи'!$D$92:$DS$92)),0)-IF('ОБЪЕКТЫ'!$B$8=4,IFERROR('ОБЪЕКТЫ'!$B$28*'ОБЪЕКТЫ'!CX22/'ОБЪЕКТЫ'!$B$22,0),0)-IF('ОБЪЕКТЫ'!$B$36=4,IFERROR('ОБЪЕКТЫ'!$B$56*'ОБЪЕКТЫ'!CX50/'ОБЪЕКТЫ'!$B$50,0),0)-IF('ОБЪЕКТЫ'!$B$64=4,IFERROR('ОБЪЕКТЫ'!$B$84*'ОБЪЕКТЫ'!CX78/'ОБЪЕКТЫ'!$B$78,0),0)-CX53-CX57-CX21</x:f>
      </x:c>
      <x:c r="CY22" s="117">
        <x:f>CY10-IFERROR((SUM($D$20:$DS$20)-'ОБЪЕКТЫ'!$B$120)*('Продажи'!CY83+'Продажи'!CY86+'Продажи'!CY89+'Продажи'!CY92)/(SUM('Продажи'!$D$83:$DS$83)+SUM('Продажи'!$D$86:$DS$86)+SUM('Продажи'!$D$89:$DS$89)+SUM('Продажи'!$D$92:$DS$92)),0)-IF('ОБЪЕКТЫ'!$B$8=4,IFERROR('ОБЪЕКТЫ'!$B$28*'ОБЪЕКТЫ'!CY22/'ОБЪЕКТЫ'!$B$22,0),0)-IF('ОБЪЕКТЫ'!$B$36=4,IFERROR('ОБЪЕКТЫ'!$B$56*'ОБЪЕКТЫ'!CY50/'ОБЪЕКТЫ'!$B$50,0),0)-IF('ОБЪЕКТЫ'!$B$64=4,IFERROR('ОБЪЕКТЫ'!$B$84*'ОБЪЕКТЫ'!CY78/'ОБЪЕКТЫ'!$B$78,0),0)-CY53-CY57-CY21</x:f>
      </x:c>
      <x:c r="CZ22" s="117">
        <x:f>CZ10-IFERROR((SUM($D$20:$DS$20)-'ОБЪЕКТЫ'!$B$120)*('Продажи'!CZ83+'Продажи'!CZ86+'Продажи'!CZ89+'Продажи'!CZ92)/(SUM('Продажи'!$D$83:$DS$83)+SUM('Продажи'!$D$86:$DS$86)+SUM('Продажи'!$D$89:$DS$89)+SUM('Продажи'!$D$92:$DS$92)),0)-IF('ОБЪЕКТЫ'!$B$8=4,IFERROR('ОБЪЕКТЫ'!$B$28*'ОБЪЕКТЫ'!CZ22/'ОБЪЕКТЫ'!$B$22,0),0)-IF('ОБЪЕКТЫ'!$B$36=4,IFERROR('ОБЪЕКТЫ'!$B$56*'ОБЪЕКТЫ'!CZ50/'ОБЪЕКТЫ'!$B$50,0),0)-IF('ОБЪЕКТЫ'!$B$64=4,IFERROR('ОБЪЕКТЫ'!$B$84*'ОБЪЕКТЫ'!CZ78/'ОБЪЕКТЫ'!$B$78,0),0)-CZ53-CZ57-CZ21</x:f>
      </x:c>
      <x:c r="DA22" s="117">
        <x:f>DA10-IFERROR((SUM($D$20:$DS$20)-'ОБЪЕКТЫ'!$B$120)*('Продажи'!DA83+'Продажи'!DA86+'Продажи'!DA89+'Продажи'!DA92)/(SUM('Продажи'!$D$83:$DS$83)+SUM('Продажи'!$D$86:$DS$86)+SUM('Продажи'!$D$89:$DS$89)+SUM('Продажи'!$D$92:$DS$92)),0)-IF('ОБЪЕКТЫ'!$B$8=4,IFERROR('ОБЪЕКТЫ'!$B$28*'ОБЪЕКТЫ'!DA22/'ОБЪЕКТЫ'!$B$22,0),0)-IF('ОБЪЕКТЫ'!$B$36=4,IFERROR('ОБЪЕКТЫ'!$B$56*'ОБЪЕКТЫ'!DA50/'ОБЪЕКТЫ'!$B$50,0),0)-IF('ОБЪЕКТЫ'!$B$64=4,IFERROR('ОБЪЕКТЫ'!$B$84*'ОБЪЕКТЫ'!DA78/'ОБЪЕКТЫ'!$B$78,0),0)-DA53-DA57-DA21</x:f>
      </x:c>
      <x:c r="DB22" s="117">
        <x:f>DB10-IFERROR((SUM($D$20:$DS$20)-'ОБЪЕКТЫ'!$B$120)*('Продажи'!DB83+'Продажи'!DB86+'Продажи'!DB89+'Продажи'!DB92)/(SUM('Продажи'!$D$83:$DS$83)+SUM('Продажи'!$D$86:$DS$86)+SUM('Продажи'!$D$89:$DS$89)+SUM('Продажи'!$D$92:$DS$92)),0)-IF('ОБЪЕКТЫ'!$B$8=4,IFERROR('ОБЪЕКТЫ'!$B$28*'ОБЪЕКТЫ'!DB22/'ОБЪЕКТЫ'!$B$22,0),0)-IF('ОБЪЕКТЫ'!$B$36=4,IFERROR('ОБЪЕКТЫ'!$B$56*'ОБЪЕКТЫ'!DB50/'ОБЪЕКТЫ'!$B$50,0),0)-IF('ОБЪЕКТЫ'!$B$64=4,IFERROR('ОБЪЕКТЫ'!$B$84*'ОБЪЕКТЫ'!DB78/'ОБЪЕКТЫ'!$B$78,0),0)-DB53-DB57-DB21</x:f>
      </x:c>
      <x:c r="DC22" s="117">
        <x:f>DC10-IFERROR((SUM($D$20:$DS$20)-'ОБЪЕКТЫ'!$B$120)*('Продажи'!DC83+'Продажи'!DC86+'Продажи'!DC89+'Продажи'!DC92)/(SUM('Продажи'!$D$83:$DS$83)+SUM('Продажи'!$D$86:$DS$86)+SUM('Продажи'!$D$89:$DS$89)+SUM('Продажи'!$D$92:$DS$92)),0)-IF('ОБЪЕКТЫ'!$B$8=4,IFERROR('ОБЪЕКТЫ'!$B$28*'ОБЪЕКТЫ'!DC22/'ОБЪЕКТЫ'!$B$22,0),0)-IF('ОБЪЕКТЫ'!$B$36=4,IFERROR('ОБЪЕКТЫ'!$B$56*'ОБЪЕКТЫ'!DC50/'ОБЪЕКТЫ'!$B$50,0),0)-IF('ОБЪЕКТЫ'!$B$64=4,IFERROR('ОБЪЕКТЫ'!$B$84*'ОБЪЕКТЫ'!DC78/'ОБЪЕКТЫ'!$B$78,0),0)-DC53-DC57-DC21</x:f>
      </x:c>
      <x:c r="DD22" s="117">
        <x:f>DD10-IFERROR((SUM($D$20:$DS$20)-'ОБЪЕКТЫ'!$B$120)*('Продажи'!DD83+'Продажи'!DD86+'Продажи'!DD89+'Продажи'!DD92)/(SUM('Продажи'!$D$83:$DS$83)+SUM('Продажи'!$D$86:$DS$86)+SUM('Продажи'!$D$89:$DS$89)+SUM('Продажи'!$D$92:$DS$92)),0)-IF('ОБЪЕКТЫ'!$B$8=4,IFERROR('ОБЪЕКТЫ'!$B$28*'ОБЪЕКТЫ'!DD22/'ОБЪЕКТЫ'!$B$22,0),0)-IF('ОБЪЕКТЫ'!$B$36=4,IFERROR('ОБЪЕКТЫ'!$B$56*'ОБЪЕКТЫ'!DD50/'ОБЪЕКТЫ'!$B$50,0),0)-IF('ОБЪЕКТЫ'!$B$64=4,IFERROR('ОБЪЕКТЫ'!$B$84*'ОБЪЕКТЫ'!DD78/'ОБЪЕКТЫ'!$B$78,0),0)-DD53-DD57-DD21</x:f>
      </x:c>
      <x:c r="DE22" s="117">
        <x:f>DE10-IFERROR((SUM($D$20:$DS$20)-'ОБЪЕКТЫ'!$B$120)*('Продажи'!DE83+'Продажи'!DE86+'Продажи'!DE89+'Продажи'!DE92)/(SUM('Продажи'!$D$83:$DS$83)+SUM('Продажи'!$D$86:$DS$86)+SUM('Продажи'!$D$89:$DS$89)+SUM('Продажи'!$D$92:$DS$92)),0)-IF('ОБЪЕКТЫ'!$B$8=4,IFERROR('ОБЪЕКТЫ'!$B$28*'ОБЪЕКТЫ'!DE22/'ОБЪЕКТЫ'!$B$22,0),0)-IF('ОБЪЕКТЫ'!$B$36=4,IFERROR('ОБЪЕКТЫ'!$B$56*'ОБЪЕКТЫ'!DE50/'ОБЪЕКТЫ'!$B$50,0),0)-IF('ОБЪЕКТЫ'!$B$64=4,IFERROR('ОБЪЕКТЫ'!$B$84*'ОБЪЕКТЫ'!DE78/'ОБЪЕКТЫ'!$B$78,0),0)-DE53-DE57-DE21</x:f>
      </x:c>
      <x:c r="DF22" s="117">
        <x:f>DF10-IFERROR((SUM($D$20:$DS$20)-'ОБЪЕКТЫ'!$B$120)*('Продажи'!DF83+'Продажи'!DF86+'Продажи'!DF89+'Продажи'!DF92)/(SUM('Продажи'!$D$83:$DS$83)+SUM('Продажи'!$D$86:$DS$86)+SUM('Продажи'!$D$89:$DS$89)+SUM('Продажи'!$D$92:$DS$92)),0)-IF('ОБЪЕКТЫ'!$B$8=4,IFERROR('ОБЪЕКТЫ'!$B$28*'ОБЪЕКТЫ'!DF22/'ОБЪЕКТЫ'!$B$22,0),0)-IF('ОБЪЕКТЫ'!$B$36=4,IFERROR('ОБЪЕКТЫ'!$B$56*'ОБЪЕКТЫ'!DF50/'ОБЪЕКТЫ'!$B$50,0),0)-IF('ОБЪЕКТЫ'!$B$64=4,IFERROR('ОБЪЕКТЫ'!$B$84*'ОБЪЕКТЫ'!DF78/'ОБЪЕКТЫ'!$B$78,0),0)-DF53-DF57-DF21</x:f>
      </x:c>
      <x:c r="DG22" s="117">
        <x:f>DG10-IFERROR((SUM($D$20:$DS$20)-'ОБЪЕКТЫ'!$B$120)*('Продажи'!DG83+'Продажи'!DG86+'Продажи'!DG89+'Продажи'!DG92)/(SUM('Продажи'!$D$83:$DS$83)+SUM('Продажи'!$D$86:$DS$86)+SUM('Продажи'!$D$89:$DS$89)+SUM('Продажи'!$D$92:$DS$92)),0)-IF('ОБЪЕКТЫ'!$B$8=4,IFERROR('ОБЪЕКТЫ'!$B$28*'ОБЪЕКТЫ'!DG22/'ОБЪЕКТЫ'!$B$22,0),0)-IF('ОБЪЕКТЫ'!$B$36=4,IFERROR('ОБЪЕКТЫ'!$B$56*'ОБЪЕКТЫ'!DG50/'ОБЪЕКТЫ'!$B$50,0),0)-IF('ОБЪЕКТЫ'!$B$64=4,IFERROR('ОБЪЕКТЫ'!$B$84*'ОБЪЕКТЫ'!DG78/'ОБЪЕКТЫ'!$B$78,0),0)-DG53-DG57-DG21</x:f>
      </x:c>
      <x:c r="DH22" s="117">
        <x:f>DH10-IFERROR((SUM($D$20:$DS$20)-'ОБЪЕКТЫ'!$B$120)*('Продажи'!DH83+'Продажи'!DH86+'Продажи'!DH89+'Продажи'!DH92)/(SUM('Продажи'!$D$83:$DS$83)+SUM('Продажи'!$D$86:$DS$86)+SUM('Продажи'!$D$89:$DS$89)+SUM('Продажи'!$D$92:$DS$92)),0)-IF('ОБЪЕКТЫ'!$B$8=4,IFERROR('ОБЪЕКТЫ'!$B$28*'ОБЪЕКТЫ'!DH22/'ОБЪЕКТЫ'!$B$22,0),0)-IF('ОБЪЕКТЫ'!$B$36=4,IFERROR('ОБЪЕКТЫ'!$B$56*'ОБЪЕКТЫ'!DH50/'ОБЪЕКТЫ'!$B$50,0),0)-IF('ОБЪЕКТЫ'!$B$64=4,IFERROR('ОБЪЕКТЫ'!$B$84*'ОБЪЕКТЫ'!DH78/'ОБЪЕКТЫ'!$B$78,0),0)-DH53-DH57-DH21</x:f>
      </x:c>
      <x:c r="DI22" s="117">
        <x:f>DI10-IFERROR((SUM($D$20:$DS$20)-'ОБЪЕКТЫ'!$B$120)*('Продажи'!DI83+'Продажи'!DI86+'Продажи'!DI89+'Продажи'!DI92)/(SUM('Продажи'!$D$83:$DS$83)+SUM('Продажи'!$D$86:$DS$86)+SUM('Продажи'!$D$89:$DS$89)+SUM('Продажи'!$D$92:$DS$92)),0)-IF('ОБЪЕКТЫ'!$B$8=4,IFERROR('ОБЪЕКТЫ'!$B$28*'ОБЪЕКТЫ'!DI22/'ОБЪЕКТЫ'!$B$22,0),0)-IF('ОБЪЕКТЫ'!$B$36=4,IFERROR('ОБЪЕКТЫ'!$B$56*'ОБЪЕКТЫ'!DI50/'ОБЪЕКТЫ'!$B$50,0),0)-IF('ОБЪЕКТЫ'!$B$64=4,IFERROR('ОБЪЕКТЫ'!$B$84*'ОБЪЕКТЫ'!DI78/'ОБЪЕКТЫ'!$B$78,0),0)-DI53-DI57-DI21</x:f>
      </x:c>
      <x:c r="DJ22" s="117">
        <x:f>DJ10-IFERROR((SUM($D$20:$DS$20)-'ОБЪЕКТЫ'!$B$120)*('Продажи'!DJ83+'Продажи'!DJ86+'Продажи'!DJ89+'Продажи'!DJ92)/(SUM('Продажи'!$D$83:$DS$83)+SUM('Продажи'!$D$86:$DS$86)+SUM('Продажи'!$D$89:$DS$89)+SUM('Продажи'!$D$92:$DS$92)),0)-IF('ОБЪЕКТЫ'!$B$8=4,IFERROR('ОБЪЕКТЫ'!$B$28*'ОБЪЕКТЫ'!DJ22/'ОБЪЕКТЫ'!$B$22,0),0)-IF('ОБЪЕКТЫ'!$B$36=4,IFERROR('ОБЪЕКТЫ'!$B$56*'ОБЪЕКТЫ'!DJ50/'ОБЪЕКТЫ'!$B$50,0),0)-IF('ОБЪЕКТЫ'!$B$64=4,IFERROR('ОБЪЕКТЫ'!$B$84*'ОБЪЕКТЫ'!DJ78/'ОБЪЕКТЫ'!$B$78,0),0)-DJ53-DJ57-DJ21</x:f>
      </x:c>
      <x:c r="DK22" s="117">
        <x:f>DK10-IFERROR((SUM($D$20:$DS$20)-'ОБЪЕКТЫ'!$B$120)*('Продажи'!DK83+'Продажи'!DK86+'Продажи'!DK89+'Продажи'!DK92)/(SUM('Продажи'!$D$83:$DS$83)+SUM('Продажи'!$D$86:$DS$86)+SUM('Продажи'!$D$89:$DS$89)+SUM('Продажи'!$D$92:$DS$92)),0)-IF('ОБЪЕКТЫ'!$B$8=4,IFERROR('ОБЪЕКТЫ'!$B$28*'ОБЪЕКТЫ'!DK22/'ОБЪЕКТЫ'!$B$22,0),0)-IF('ОБЪЕКТЫ'!$B$36=4,IFERROR('ОБЪЕКТЫ'!$B$56*'ОБЪЕКТЫ'!DK50/'ОБЪЕКТЫ'!$B$50,0),0)-IF('ОБЪЕКТЫ'!$B$64=4,IFERROR('ОБЪЕКТЫ'!$B$84*'ОБЪЕКТЫ'!DK78/'ОБЪЕКТЫ'!$B$78,0),0)-DK53-DK57-DK21</x:f>
      </x:c>
      <x:c r="DL22" s="117">
        <x:f>DL10-IFERROR((SUM($D$20:$DS$20)-'ОБЪЕКТЫ'!$B$120)*('Продажи'!DL83+'Продажи'!DL86+'Продажи'!DL89+'Продажи'!DL92)/(SUM('Продажи'!$D$83:$DS$83)+SUM('Продажи'!$D$86:$DS$86)+SUM('Продажи'!$D$89:$DS$89)+SUM('Продажи'!$D$92:$DS$92)),0)-IF('ОБЪЕКТЫ'!$B$8=4,IFERROR('ОБЪЕКТЫ'!$B$28*'ОБЪЕКТЫ'!DL22/'ОБЪЕКТЫ'!$B$22,0),0)-IF('ОБЪЕКТЫ'!$B$36=4,IFERROR('ОБЪЕКТЫ'!$B$56*'ОБЪЕКТЫ'!DL50/'ОБЪЕКТЫ'!$B$50,0),0)-IF('ОБЪЕКТЫ'!$B$64=4,IFERROR('ОБЪЕКТЫ'!$B$84*'ОБЪЕКТЫ'!DL78/'ОБЪЕКТЫ'!$B$78,0),0)-DL53-DL57-DL21</x:f>
      </x:c>
      <x:c r="DM22" s="117">
        <x:f>DM10-IFERROR((SUM($D$20:$DS$20)-'ОБЪЕКТЫ'!$B$120)*('Продажи'!DM83+'Продажи'!DM86+'Продажи'!DM89+'Продажи'!DM92)/(SUM('Продажи'!$D$83:$DS$83)+SUM('Продажи'!$D$86:$DS$86)+SUM('Продажи'!$D$89:$DS$89)+SUM('Продажи'!$D$92:$DS$92)),0)-IF('ОБЪЕКТЫ'!$B$8=4,IFERROR('ОБЪЕКТЫ'!$B$28*'ОБЪЕКТЫ'!DM22/'ОБЪЕКТЫ'!$B$22,0),0)-IF('ОБЪЕКТЫ'!$B$36=4,IFERROR('ОБЪЕКТЫ'!$B$56*'ОБЪЕКТЫ'!DM50/'ОБЪЕКТЫ'!$B$50,0),0)-IF('ОБЪЕКТЫ'!$B$64=4,IFERROR('ОБЪЕКТЫ'!$B$84*'ОБЪЕКТЫ'!DM78/'ОБЪЕКТЫ'!$B$78,0),0)-DM53-DM57-DM21</x:f>
      </x:c>
      <x:c r="DN22" s="117">
        <x:f>DN10-IFERROR((SUM($D$20:$DS$20)-'ОБЪЕКТЫ'!$B$120)*('Продажи'!DN83+'Продажи'!DN86+'Продажи'!DN89+'Продажи'!DN92)/(SUM('Продажи'!$D$83:$DS$83)+SUM('Продажи'!$D$86:$DS$86)+SUM('Продажи'!$D$89:$DS$89)+SUM('Продажи'!$D$92:$DS$92)),0)-IF('ОБЪЕКТЫ'!$B$8=4,IFERROR('ОБЪЕКТЫ'!$B$28*'ОБЪЕКТЫ'!DN22/'ОБЪЕКТЫ'!$B$22,0),0)-IF('ОБЪЕКТЫ'!$B$36=4,IFERROR('ОБЪЕКТЫ'!$B$56*'ОБЪЕКТЫ'!DN50/'ОБЪЕКТЫ'!$B$50,0),0)-IF('ОБЪЕКТЫ'!$B$64=4,IFERROR('ОБЪЕКТЫ'!$B$84*'ОБЪЕКТЫ'!DN78/'ОБЪЕКТЫ'!$B$78,0),0)-DN53-DN57-DN21</x:f>
      </x:c>
      <x:c r="DO22" s="117">
        <x:f>DO10-IFERROR((SUM($D$20:$DS$20)-'ОБЪЕКТЫ'!$B$120)*('Продажи'!DO83+'Продажи'!DO86+'Продажи'!DO89+'Продажи'!DO92)/(SUM('Продажи'!$D$83:$DS$83)+SUM('Продажи'!$D$86:$DS$86)+SUM('Продажи'!$D$89:$DS$89)+SUM('Продажи'!$D$92:$DS$92)),0)-IF('ОБЪЕКТЫ'!$B$8=4,IFERROR('ОБЪЕКТЫ'!$B$28*'ОБЪЕКТЫ'!DO22/'ОБЪЕКТЫ'!$B$22,0),0)-IF('ОБЪЕКТЫ'!$B$36=4,IFERROR('ОБЪЕКТЫ'!$B$56*'ОБЪЕКТЫ'!DO50/'ОБЪЕКТЫ'!$B$50,0),0)-IF('ОБЪЕКТЫ'!$B$64=4,IFERROR('ОБЪЕКТЫ'!$B$84*'ОБЪЕКТЫ'!DO78/'ОБЪЕКТЫ'!$B$78,0),0)-DO53-DO57-DO21</x:f>
      </x:c>
      <x:c r="DP22" s="117">
        <x:f>DP10-IFERROR((SUM($D$20:$DS$20)-'ОБЪЕКТЫ'!$B$120)*('Продажи'!DP83+'Продажи'!DP86+'Продажи'!DP89+'Продажи'!DP92)/(SUM('Продажи'!$D$83:$DS$83)+SUM('Продажи'!$D$86:$DS$86)+SUM('Продажи'!$D$89:$DS$89)+SUM('Продажи'!$D$92:$DS$92)),0)-IF('ОБЪЕКТЫ'!$B$8=4,IFERROR('ОБЪЕКТЫ'!$B$28*'ОБЪЕКТЫ'!DP22/'ОБЪЕКТЫ'!$B$22,0),0)-IF('ОБЪЕКТЫ'!$B$36=4,IFERROR('ОБЪЕКТЫ'!$B$56*'ОБЪЕКТЫ'!DP50/'ОБЪЕКТЫ'!$B$50,0),0)-IF('ОБЪЕКТЫ'!$B$64=4,IFERROR('ОБЪЕКТЫ'!$B$84*'ОБЪЕКТЫ'!DP78/'ОБЪЕКТЫ'!$B$78,0),0)-DP53-DP57-DP21</x:f>
      </x:c>
      <x:c r="DQ22" s="117">
        <x:f>DQ10-IFERROR((SUM($D$20:$DS$20)-'ОБЪЕКТЫ'!$B$120)*('Продажи'!DQ83+'Продажи'!DQ86+'Продажи'!DQ89+'Продажи'!DQ92)/(SUM('Продажи'!$D$83:$DS$83)+SUM('Продажи'!$D$86:$DS$86)+SUM('Продажи'!$D$89:$DS$89)+SUM('Продажи'!$D$92:$DS$92)),0)-IF('ОБЪЕКТЫ'!$B$8=4,IFERROR('ОБЪЕКТЫ'!$B$28*'ОБЪЕКТЫ'!DQ22/'ОБЪЕКТЫ'!$B$22,0),0)-IF('ОБЪЕКТЫ'!$B$36=4,IFERROR('ОБЪЕКТЫ'!$B$56*'ОБЪЕКТЫ'!DQ50/'ОБЪЕКТЫ'!$B$50,0),0)-IF('ОБЪЕКТЫ'!$B$64=4,IFERROR('ОБЪЕКТЫ'!$B$84*'ОБЪЕКТЫ'!DQ78/'ОБЪЕКТЫ'!$B$78,0),0)-DQ53-DQ57-DQ21</x:f>
      </x:c>
      <x:c r="DR22" s="117">
        <x:f>DR10-IFERROR((SUM($D$20:$DS$20)-'ОБЪЕКТЫ'!$B$120)*('Продажи'!DR83+'Продажи'!DR86+'Продажи'!DR89+'Продажи'!DR92)/(SUM('Продажи'!$D$83:$DS$83)+SUM('Продажи'!$D$86:$DS$86)+SUM('Продажи'!$D$89:$DS$89)+SUM('Продажи'!$D$92:$DS$92)),0)-IF('ОБЪЕКТЫ'!$B$8=4,IFERROR('ОБЪЕКТЫ'!$B$28*'ОБЪЕКТЫ'!DR22/'ОБЪЕКТЫ'!$B$22,0),0)-IF('ОБЪЕКТЫ'!$B$36=4,IFERROR('ОБЪЕКТЫ'!$B$56*'ОБЪЕКТЫ'!DR50/'ОБЪЕКТЫ'!$B$50,0),0)-IF('ОБЪЕКТЫ'!$B$64=4,IFERROR('ОБЪЕКТЫ'!$B$84*'ОБЪЕКТЫ'!DR78/'ОБЪЕКТЫ'!$B$78,0),0)-DR53-DR57-DR21</x:f>
      </x:c>
      <x:c r="DS22" s="117">
        <x:f>DS10-IFERROR((SUM($D$20:$DS$20)-'ОБЪЕКТЫ'!$B$120)*('Продажи'!DS83+'Продажи'!DS86+'Продажи'!DS89+'Продажи'!DS92)/(SUM('Продажи'!$D$83:$DS$83)+SUM('Продажи'!$D$86:$DS$86)+SUM('Продажи'!$D$89:$DS$89)+SUM('Продажи'!$D$92:$DS$92)),0)-IF('ОБЪЕКТЫ'!$B$8=4,IFERROR('ОБЪЕКТЫ'!$B$28*'ОБЪЕКТЫ'!DS22/'ОБЪЕКТЫ'!$B$22,0),0)-IF('ОБЪЕКТЫ'!$B$36=4,IFERROR('ОБЪЕКТЫ'!$B$56*'ОБЪЕКТЫ'!DS50/'ОБЪЕКТЫ'!$B$50,0),0)-IF('ОБЪЕКТЫ'!$B$64=4,IFERROR('ОБЪЕКТЫ'!$B$84*'ОБЪЕКТЫ'!DS78/'ОБЪЕКТЫ'!$B$78,0),0)-DS53-DS57-DS21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>
        <x:f>IF(AND(D$3&lt;$B$7,$B$5=1),(D30+D34)*D31/12,0)</x:f>
      </x:c>
      <x:c r="E32" s="117">
        <x:f>IF(AND(E$3&lt;$B$7,$B$5=1),(E30+E34)*E31/12,0)</x:f>
      </x:c>
      <x:c r="F32" s="117">
        <x:f>IF(AND(F$3&lt;$B$7,$B$5=1),(F30+F34)*F31/12,0)</x:f>
      </x:c>
      <x:c r="G32" s="117">
        <x:f>IF(AND(G$3&lt;$B$7,$B$5=1),(G30+G34)*G31/12,0)</x:f>
      </x:c>
      <x:c r="H32" s="117">
        <x:f>IF(AND(H$3&lt;$B$7,$B$5=1),(H30+H34)*H31/12,0)</x:f>
      </x:c>
      <x:c r="I32" s="117">
        <x:f>IF(AND(I$3&lt;$B$7,$B$5=1),(I30+I34)*I31/12,0)</x:f>
      </x:c>
      <x:c r="J32" s="117">
        <x:f>IF(AND(J$3&lt;$B$7,$B$5=1),(J30+J34)*J31/12,0)</x:f>
      </x:c>
      <x:c r="K32" s="117">
        <x:f>IF(AND(K$3&lt;$B$7,$B$5=1),(K30+K34)*K31/12,0)</x:f>
      </x:c>
      <x:c r="L32" s="117">
        <x:f>IF(AND(L$3&lt;$B$7,$B$5=1),(L30+L34)*L31/12,0)</x:f>
      </x:c>
      <x:c r="M32" s="117">
        <x:f>IF(AND(M$3&lt;$B$7,$B$5=1),(M30+M34)*M31/12,0)</x:f>
      </x:c>
      <x:c r="N32" s="117">
        <x:f>IF(AND(N$3&lt;$B$7,$B$5=1),(N30+N34)*N31/12,0)</x:f>
      </x:c>
      <x:c r="O32" s="117">
        <x:f>IF(AND(O$3&lt;$B$7,$B$5=1),(O30+O34)*O31/12,0)</x:f>
      </x:c>
      <x:c r="P32" s="117">
        <x:f>IF(AND(P$3&lt;$B$7,$B$5=1),(P30+P34)*P31/12,0)</x:f>
      </x:c>
      <x:c r="Q32" s="117">
        <x:f>IF(AND(Q$3&lt;$B$7,$B$5=1),(Q30+Q34)*Q31/12,0)</x:f>
      </x:c>
      <x:c r="R32" s="117">
        <x:f>IF(AND(R$3&lt;$B$7,$B$5=1),(R30+R34)*R31/12,0)</x:f>
      </x:c>
      <x:c r="S32" s="117">
        <x:f>IF(AND(S$3&lt;$B$7,$B$5=1),(S30+S34)*S31/12,0)</x:f>
      </x:c>
      <x:c r="T32" s="117">
        <x:f>IF(AND(T$3&lt;$B$7,$B$5=1),(T30+T34)*T31/12,0)</x:f>
      </x:c>
      <x:c r="U32" s="117">
        <x:f>IF(AND(U$3&lt;$B$7,$B$5=1),(U30+U34)*U31/12,0)</x:f>
      </x:c>
      <x:c r="V32" s="117">
        <x:f>IF(AND(V$3&lt;$B$7,$B$5=1),(V30+V34)*V31/12,0)</x:f>
      </x:c>
      <x:c r="W32" s="117">
        <x:f>IF(AND(W$3&lt;$B$7,$B$5=1),(W30+W34)*W31/12,0)</x:f>
      </x:c>
      <x:c r="X32" s="117">
        <x:f>IF(AND(X$3&lt;$B$7,$B$5=1),(X30+X34)*X31/12,0)</x:f>
      </x:c>
      <x:c r="Y32" s="117">
        <x:f>IF(AND(Y$3&lt;$B$7,$B$5=1),(Y30+Y34)*Y31/12,0)</x:f>
      </x:c>
      <x:c r="Z32" s="117">
        <x:f>IF(AND(Z$3&lt;$B$7,$B$5=1),(Z30+Z34)*Z31/12,0)</x:f>
      </x:c>
      <x:c r="AA32" s="117">
        <x:f>IF(AND(AA$3&lt;$B$7,$B$5=1),(AA30+AA34)*AA31/12,0)</x:f>
      </x:c>
      <x:c r="AB32" s="117">
        <x:f>IF(AND(AB$3&lt;$B$7,$B$5=1),(AB30+AB34)*AB31/12,0)</x:f>
      </x:c>
      <x:c r="AC32" s="117">
        <x:f>IF(AND(AC$3&lt;$B$7,$B$5=1),(AC30+AC34)*AC31/12,0)</x:f>
      </x:c>
      <x:c r="AD32" s="117">
        <x:f>IF(AND(AD$3&lt;$B$7,$B$5=1),(AD30+AD34)*AD31/12,0)</x:f>
      </x:c>
      <x:c r="AE32" s="117">
        <x:f>IF(AND(AE$3&lt;$B$7,$B$5=1),(AE30+AE34)*AE31/12,0)</x:f>
      </x:c>
      <x:c r="AF32" s="117">
        <x:f>IF(AND(AF$3&lt;$B$7,$B$5=1),(AF30+AF34)*AF31/12,0)</x:f>
      </x:c>
      <x:c r="AG32" s="117">
        <x:f>IF(AND(AG$3&lt;$B$7,$B$5=1),(AG30+AG34)*AG31/12,0)</x:f>
      </x:c>
      <x:c r="AH32" s="117">
        <x:f>IF(AND(AH$3&lt;$B$7,$B$5=1),(AH30+AH34)*AH31/12,0)</x:f>
      </x:c>
      <x:c r="AI32" s="117">
        <x:f>IF(AND(AI$3&lt;$B$7,$B$5=1),(AI30+AI34)*AI31/12,0)</x:f>
      </x:c>
      <x:c r="AJ32" s="117">
        <x:f>IF(AND(AJ$3&lt;$B$7,$B$5=1),(AJ30+AJ34)*AJ31/12,0)</x:f>
      </x:c>
      <x:c r="AK32" s="117">
        <x:f>IF(AND(AK$3&lt;$B$7,$B$5=1),(AK30+AK34)*AK31/12,0)</x:f>
      </x:c>
      <x:c r="AL32" s="117">
        <x:f>IF(AND(AL$3&lt;$B$7,$B$5=1),(AL30+AL34)*AL31/12,0)</x:f>
      </x:c>
      <x:c r="AM32" s="117">
        <x:f>IF(AND(AM$3&lt;$B$7,$B$5=1),(AM30+AM34)*AM31/12,0)</x:f>
      </x:c>
      <x:c r="AN32" s="117">
        <x:f>IF(AND(AN$3&lt;$B$7,$B$5=1),(AN30+AN34)*AN31/12,0)</x:f>
      </x:c>
      <x:c r="AO32" s="117">
        <x:f>IF(AND(AO$3&lt;$B$7,$B$5=1),(AO30+AO34)*AO31/12,0)</x:f>
      </x:c>
      <x:c r="AP32" s="117">
        <x:f>IF(AND(AP$3&lt;$B$7,$B$5=1),(AP30+AP34)*AP31/12,0)</x:f>
      </x:c>
      <x:c r="AQ32" s="117">
        <x:f>IF(AND(AQ$3&lt;$B$7,$B$5=1),(AQ30+AQ34)*AQ31/12,0)</x:f>
      </x:c>
      <x:c r="AR32" s="117">
        <x:f>IF(AND(AR$3&lt;$B$7,$B$5=1),(AR30+AR34)*AR31/12,0)</x:f>
      </x:c>
      <x:c r="AS32" s="117">
        <x:f>IF(AND(AS$3&lt;$B$7,$B$5=1),(AS30+AS34)*AS31/12,0)</x:f>
      </x:c>
      <x:c r="AT32" s="117">
        <x:f>IF(AND(AT$3&lt;$B$7,$B$5=1),(AT30+AT34)*AT31/12,0)</x:f>
      </x:c>
      <x:c r="AU32" s="117">
        <x:f>IF(AND(AU$3&lt;$B$7,$B$5=1),(AU30+AU34)*AU31/12,0)</x:f>
      </x:c>
      <x:c r="AV32" s="117">
        <x:f>IF(AND(AV$3&lt;$B$7,$B$5=1),(AV30+AV34)*AV31/12,0)</x:f>
      </x:c>
      <x:c r="AW32" s="117">
        <x:f>IF(AND(AW$3&lt;$B$7,$B$5=1),(AW30+AW34)*AW31/12,0)</x:f>
      </x:c>
      <x:c r="AX32" s="117">
        <x:f>IF(AND(AX$3&lt;$B$7,$B$5=1),(AX30+AX34)*AX31/12,0)</x:f>
      </x:c>
      <x:c r="AY32" s="117">
        <x:f>IF(AND(AY$3&lt;$B$7,$B$5=1),(AY30+AY34)*AY31/12,0)</x:f>
      </x:c>
      <x:c r="AZ32" s="117">
        <x:f>IF(AND(AZ$3&lt;$B$7,$B$5=1),(AZ30+AZ34)*AZ31/12,0)</x:f>
      </x:c>
      <x:c r="BA32" s="117">
        <x:f>IF(AND(BA$3&lt;$B$7,$B$5=1),(BA30+BA34)*BA31/12,0)</x:f>
      </x:c>
      <x:c r="BB32" s="117">
        <x:f>IF(AND(BB$3&lt;$B$7,$B$5=1),(BB30+BB34)*BB31/12,0)</x:f>
      </x:c>
      <x:c r="BC32" s="117">
        <x:f>IF(AND(BC$3&lt;$B$7,$B$5=1),(BC30+BC34)*BC31/12,0)</x:f>
      </x:c>
      <x:c r="BD32" s="117">
        <x:f>IF(AND(BD$3&lt;$B$7,$B$5=1),(BD30+BD34)*BD31/12,0)</x:f>
      </x:c>
      <x:c r="BE32" s="117">
        <x:f>IF(AND(BE$3&lt;$B$7,$B$5=1),(BE30+BE34)*BE31/12,0)</x:f>
      </x:c>
      <x:c r="BF32" s="117">
        <x:f>IF(AND(BF$3&lt;$B$7,$B$5=1),(BF30+BF34)*BF31/12,0)</x:f>
      </x:c>
      <x:c r="BG32" s="117">
        <x:f>IF(AND(BG$3&lt;$B$7,$B$5=1),(BG30+BG34)*BG31/12,0)</x:f>
      </x:c>
      <x:c r="BH32" s="117">
        <x:f>IF(AND(BH$3&lt;$B$7,$B$5=1),(BH30+BH34)*BH31/12,0)</x:f>
      </x:c>
      <x:c r="BI32" s="117">
        <x:f>IF(AND(BI$3&lt;$B$7,$B$5=1),(BI30+BI34)*BI31/12,0)</x:f>
      </x:c>
      <x:c r="BJ32" s="117">
        <x:f>IF(AND(BJ$3&lt;$B$7,$B$5=1),(BJ30+BJ34)*BJ31/12,0)</x:f>
      </x:c>
      <x:c r="BK32" s="117">
        <x:f>IF(AND(BK$3&lt;$B$7,$B$5=1),(BK30+BK34)*BK31/12,0)</x:f>
      </x:c>
      <x:c r="BL32" s="117">
        <x:f>IF(AND(BL$3&lt;$B$7,$B$5=1),(BL30+BL34)*BL31/12,0)</x:f>
      </x:c>
      <x:c r="BM32" s="117">
        <x:f>IF(AND(BM$3&lt;$B$7,$B$5=1),(BM30+BM34)*BM31/12,0)</x:f>
      </x:c>
      <x:c r="BN32" s="117">
        <x:f>IF(AND(BN$3&lt;$B$7,$B$5=1),(BN30+BN34)*BN31/12,0)</x:f>
      </x:c>
      <x:c r="BO32" s="117">
        <x:f>IF(AND(BO$3&lt;$B$7,$B$5=1),(BO30+BO34)*BO31/12,0)</x:f>
      </x:c>
      <x:c r="BP32" s="117">
        <x:f>IF(AND(BP$3&lt;$B$7,$B$5=1),(BP30+BP34)*BP31/12,0)</x:f>
      </x:c>
      <x:c r="BQ32" s="117">
        <x:f>IF(AND(BQ$3&lt;$B$7,$B$5=1),(BQ30+BQ34)*BQ31/12,0)</x:f>
      </x:c>
      <x:c r="BR32" s="117">
        <x:f>IF(AND(BR$3&lt;$B$7,$B$5=1),(BR30+BR34)*BR31/12,0)</x:f>
      </x:c>
      <x:c r="BS32" s="117">
        <x:f>IF(AND(BS$3&lt;$B$7,$B$5=1),(BS30+BS34)*BS31/12,0)</x:f>
      </x:c>
      <x:c r="BT32" s="117">
        <x:f>IF(AND(BT$3&lt;$B$7,$B$5=1),(BT30+BT34)*BT31/12,0)</x:f>
      </x:c>
      <x:c r="BU32" s="117">
        <x:f>IF(AND(BU$3&lt;$B$7,$B$5=1),(BU30+BU34)*BU31/12,0)</x:f>
      </x:c>
      <x:c r="BV32" s="117">
        <x:f>IF(AND(BV$3&lt;$B$7,$B$5=1),(BV30+BV34)*BV31/12,0)</x:f>
      </x:c>
      <x:c r="BW32" s="117">
        <x:f>IF(AND(BW$3&lt;$B$7,$B$5=1),(BW30+BW34)*BW31/12,0)</x:f>
      </x:c>
      <x:c r="BX32" s="117">
        <x:f>IF(AND(BX$3&lt;$B$7,$B$5=1),(BX30+BX34)*BX31/12,0)</x:f>
      </x:c>
      <x:c r="BY32" s="117">
        <x:f>IF(AND(BY$3&lt;$B$7,$B$5=1),(BY30+BY34)*BY31/12,0)</x:f>
      </x:c>
      <x:c r="BZ32" s="117">
        <x:f>IF(AND(BZ$3&lt;$B$7,$B$5=1),(BZ30+BZ34)*BZ31/12,0)</x:f>
      </x:c>
      <x:c r="CA32" s="117">
        <x:f>IF(AND(CA$3&lt;$B$7,$B$5=1),(CA30+CA34)*CA31/12,0)</x:f>
      </x:c>
      <x:c r="CB32" s="117">
        <x:f>IF(AND(CB$3&lt;$B$7,$B$5=1),(CB30+CB34)*CB31/12,0)</x:f>
      </x:c>
      <x:c r="CC32" s="117">
        <x:f>IF(AND(CC$3&lt;$B$7,$B$5=1),(CC30+CC34)*CC31/12,0)</x:f>
      </x:c>
      <x:c r="CD32" s="117">
        <x:f>IF(AND(CD$3&lt;$B$7,$B$5=1),(CD30+CD34)*CD31/12,0)</x:f>
      </x:c>
      <x:c r="CE32" s="117">
        <x:f>IF(AND(CE$3&lt;$B$7,$B$5=1),(CE30+CE34)*CE31/12,0)</x:f>
      </x:c>
      <x:c r="CF32" s="117">
        <x:f>IF(AND(CF$3&lt;$B$7,$B$5=1),(CF30+CF34)*CF31/12,0)</x:f>
      </x:c>
      <x:c r="CG32" s="117">
        <x:f>IF(AND(CG$3&lt;$B$7,$B$5=1),(CG30+CG34)*CG31/12,0)</x:f>
      </x:c>
      <x:c r="CH32" s="117">
        <x:f>IF(AND(CH$3&lt;$B$7,$B$5=1),(CH30+CH34)*CH31/12,0)</x:f>
      </x:c>
      <x:c r="CI32" s="117">
        <x:f>IF(AND(CI$3&lt;$B$7,$B$5=1),(CI30+CI34)*CI31/12,0)</x:f>
      </x:c>
      <x:c r="CJ32" s="117">
        <x:f>IF(AND(CJ$3&lt;$B$7,$B$5=1),(CJ30+CJ34)*CJ31/12,0)</x:f>
      </x:c>
      <x:c r="CK32" s="117">
        <x:f>IF(AND(CK$3&lt;$B$7,$B$5=1),(CK30+CK34)*CK31/12,0)</x:f>
      </x:c>
      <x:c r="CL32" s="117">
        <x:f>IF(AND(CL$3&lt;$B$7,$B$5=1),(CL30+CL34)*CL31/12,0)</x:f>
      </x:c>
      <x:c r="CM32" s="117">
        <x:f>IF(AND(CM$3&lt;$B$7,$B$5=1),(CM30+CM34)*CM31/12,0)</x:f>
      </x:c>
      <x:c r="CN32" s="117">
        <x:f>IF(AND(CN$3&lt;$B$7,$B$5=1),(CN30+CN34)*CN31/12,0)</x:f>
      </x:c>
      <x:c r="CO32" s="117">
        <x:f>IF(AND(CO$3&lt;$B$7,$B$5=1),(CO30+CO34)*CO31/12,0)</x:f>
      </x:c>
      <x:c r="CP32" s="117">
        <x:f>IF(AND(CP$3&lt;$B$7,$B$5=1),(CP30+CP34)*CP31/12,0)</x:f>
      </x:c>
      <x:c r="CQ32" s="117">
        <x:f>IF(AND(CQ$3&lt;$B$7,$B$5=1),(CQ30+CQ34)*CQ31/12,0)</x:f>
      </x:c>
      <x:c r="CR32" s="117">
        <x:f>IF(AND(CR$3&lt;$B$7,$B$5=1),(CR30+CR34)*CR31/12,0)</x:f>
      </x:c>
      <x:c r="CS32" s="117">
        <x:f>IF(AND(CS$3&lt;$B$7,$B$5=1),(CS30+CS34)*CS31/12,0)</x:f>
      </x:c>
      <x:c r="CT32" s="117">
        <x:f>IF(AND(CT$3&lt;$B$7,$B$5=1),(CT30+CT34)*CT31/12,0)</x:f>
      </x:c>
      <x:c r="CU32" s="117">
        <x:f>IF(AND(CU$3&lt;$B$7,$B$5=1),(CU30+CU34)*CU31/12,0)</x:f>
      </x:c>
      <x:c r="CV32" s="117">
        <x:f>IF(AND(CV$3&lt;$B$7,$B$5=1),(CV30+CV34)*CV31/12,0)</x:f>
      </x:c>
      <x:c r="CW32" s="117">
        <x:f>IF(AND(CW$3&lt;$B$7,$B$5=1),(CW30+CW34)*CW31/12,0)</x:f>
      </x:c>
      <x:c r="CX32" s="117">
        <x:f>IF(AND(CX$3&lt;$B$7,$B$5=1),(CX30+CX34)*CX31/12,0)</x:f>
      </x:c>
      <x:c r="CY32" s="117">
        <x:f>IF(AND(CY$3&lt;$B$7,$B$5=1),(CY30+CY34)*CY31/12,0)</x:f>
      </x:c>
      <x:c r="CZ32" s="117">
        <x:f>IF(AND(CZ$3&lt;$B$7,$B$5=1),(CZ30+CZ34)*CZ31/12,0)</x:f>
      </x:c>
      <x:c r="DA32" s="117">
        <x:f>IF(AND(DA$3&lt;$B$7,$B$5=1),(DA30+DA34)*DA31/12,0)</x:f>
      </x:c>
      <x:c r="DB32" s="117">
        <x:f>IF(AND(DB$3&lt;$B$7,$B$5=1),(DB30+DB34)*DB31/12,0)</x:f>
      </x:c>
      <x:c r="DC32" s="117">
        <x:f>IF(AND(DC$3&lt;$B$7,$B$5=1),(DC30+DC34)*DC31/12,0)</x:f>
      </x:c>
      <x:c r="DD32" s="117">
        <x:f>IF(AND(DD$3&lt;$B$7,$B$5=1),(DD30+DD34)*DD31/12,0)</x:f>
      </x:c>
      <x:c r="DE32" s="117">
        <x:f>IF(AND(DE$3&lt;$B$7,$B$5=1),(DE30+DE34)*DE31/12,0)</x:f>
      </x:c>
      <x:c r="DF32" s="117">
        <x:f>IF(AND(DF$3&lt;$B$7,$B$5=1),(DF30+DF34)*DF31/12,0)</x:f>
      </x:c>
      <x:c r="DG32" s="117">
        <x:f>IF(AND(DG$3&lt;$B$7,$B$5=1),(DG30+DG34)*DG31/12,0)</x:f>
      </x:c>
      <x:c r="DH32" s="117">
        <x:f>IF(AND(DH$3&lt;$B$7,$B$5=1),(DH30+DH34)*DH31/12,0)</x:f>
      </x:c>
      <x:c r="DI32" s="117">
        <x:f>IF(AND(DI$3&lt;$B$7,$B$5=1),(DI30+DI34)*DI31/12,0)</x:f>
      </x:c>
      <x:c r="DJ32" s="117">
        <x:f>IF(AND(DJ$3&lt;$B$7,$B$5=1),(DJ30+DJ34)*DJ31/12,0)</x:f>
      </x:c>
      <x:c r="DK32" s="117">
        <x:f>IF(AND(DK$3&lt;$B$7,$B$5=1),(DK30+DK34)*DK31/12,0)</x:f>
      </x:c>
      <x:c r="DL32" s="117">
        <x:f>IF(AND(DL$3&lt;$B$7,$B$5=1),(DL30+DL34)*DL31/12,0)</x:f>
      </x:c>
      <x:c r="DM32" s="117">
        <x:f>IF(AND(DM$3&lt;$B$7,$B$5=1),(DM30+DM34)*DM31/12,0)</x:f>
      </x:c>
      <x:c r="DN32" s="117">
        <x:f>IF(AND(DN$3&lt;$B$7,$B$5=1),(DN30+DN34)*DN31/12,0)</x:f>
      </x:c>
      <x:c r="DO32" s="117">
        <x:f>IF(AND(DO$3&lt;$B$7,$B$5=1),(DO30+DO34)*DO31/12,0)</x:f>
      </x:c>
      <x:c r="DP32" s="117">
        <x:f>IF(AND(DP$3&lt;$B$7,$B$5=1),(DP30+DP34)*DP31/12,0)</x:f>
      </x:c>
      <x:c r="DQ32" s="117">
        <x:f>IF(AND(DQ$3&lt;$B$7,$B$5=1),(DQ30+DQ34)*DQ31/12,0)</x:f>
      </x:c>
      <x:c r="DR32" s="117">
        <x:f>IF(AND(DR$3&lt;$B$7,$B$5=1),(DR30+DR34)*DR31/12,0)</x:f>
      </x:c>
      <x:c r="DS32" s="117">
        <x:f>IF(AND(DS$3&lt;$B$7,$B$5=1),(DS30+DS34)*DS31/12,0)</x:f>
      </x:c>
    </x:row>
    <x:row r="33">
      <x:c r="A33" t="str">
        <x:v>БРИДЖ — потребность</x:v>
      </x:c>
      <x:c r="B33"/>
      <x:c r="C33" t="str">
        <x:v>млн ₽</x:v>
      </x:c>
      <x:c r="D33" s="117">
        <x:f>IF(D$3&lt;$B$7,MAX(0,D20+D24-D27),0)</x:f>
      </x:c>
      <x:c r="E33" s="117">
        <x:f>IF(E$3&lt;$B$7,MAX(0,E20+E24-E27),0)</x:f>
      </x:c>
      <x:c r="F33" s="117">
        <x:f>IF(F$3&lt;$B$7,MAX(0,F20+F24-F27),0)</x:f>
      </x:c>
      <x:c r="G33" s="117">
        <x:f>IF(G$3&lt;$B$7,MAX(0,G20+G24-G27),0)</x:f>
      </x:c>
      <x:c r="H33" s="117">
        <x:f>IF(H$3&lt;$B$7,MAX(0,H20+H24-H27),0)</x:f>
      </x:c>
      <x:c r="I33" s="117">
        <x:f>IF(I$3&lt;$B$7,MAX(0,I20+I24-I27),0)</x:f>
      </x:c>
      <x:c r="J33" s="117">
        <x:f>IF(J$3&lt;$B$7,MAX(0,J20+J24-J27),0)</x:f>
      </x:c>
      <x:c r="K33" s="117">
        <x:f>IF(K$3&lt;$B$7,MAX(0,K20+K24-K27),0)</x:f>
      </x:c>
      <x:c r="L33" s="117">
        <x:f>IF(L$3&lt;$B$7,MAX(0,L20+L24-L27),0)</x:f>
      </x:c>
      <x:c r="M33" s="117">
        <x:f>IF(M$3&lt;$B$7,MAX(0,M20+M24-M27),0)</x:f>
      </x:c>
      <x:c r="N33" s="117">
        <x:f>IF(N$3&lt;$B$7,MAX(0,N20+N24-N27),0)</x:f>
      </x:c>
      <x:c r="O33" s="117">
        <x:f>IF(O$3&lt;$B$7,MAX(0,O20+O24-O27),0)</x:f>
      </x:c>
      <x:c r="P33" s="117">
        <x:f>IF(P$3&lt;$B$7,MAX(0,P20+P24-P27),0)</x:f>
      </x:c>
      <x:c r="Q33" s="117">
        <x:f>IF(Q$3&lt;$B$7,MAX(0,Q20+Q24-Q27),0)</x:f>
      </x:c>
      <x:c r="R33" s="117">
        <x:f>IF(R$3&lt;$B$7,MAX(0,R20+R24-R27),0)</x:f>
      </x:c>
      <x:c r="S33" s="117">
        <x:f>IF(S$3&lt;$B$7,MAX(0,S20+S24-S27),0)</x:f>
      </x:c>
      <x:c r="T33" s="117">
        <x:f>IF(T$3&lt;$B$7,MAX(0,T20+T24-T27),0)</x:f>
      </x:c>
      <x:c r="U33" s="117">
        <x:f>IF(U$3&lt;$B$7,MAX(0,U20+U24-U27),0)</x:f>
      </x:c>
      <x:c r="V33" s="117">
        <x:f>IF(V$3&lt;$B$7,MAX(0,V20+V24-V27),0)</x:f>
      </x:c>
      <x:c r="W33" s="117">
        <x:f>IF(W$3&lt;$B$7,MAX(0,W20+W24-W27),0)</x:f>
      </x:c>
      <x:c r="X33" s="117">
        <x:f>IF(X$3&lt;$B$7,MAX(0,X20+X24-X27),0)</x:f>
      </x:c>
      <x:c r="Y33" s="117">
        <x:f>IF(Y$3&lt;$B$7,MAX(0,Y20+Y24-Y27),0)</x:f>
      </x:c>
      <x:c r="Z33" s="117">
        <x:f>IF(Z$3&lt;$B$7,MAX(0,Z20+Z24-Z27),0)</x:f>
      </x:c>
      <x:c r="AA33" s="117">
        <x:f>IF(AA$3&lt;$B$7,MAX(0,AA20+AA24-AA27),0)</x:f>
      </x:c>
      <x:c r="AB33" s="117">
        <x:f>IF(AB$3&lt;$B$7,MAX(0,AB20+AB24-AB27),0)</x:f>
      </x:c>
      <x:c r="AC33" s="117">
        <x:f>IF(AC$3&lt;$B$7,MAX(0,AC20+AC24-AC27),0)</x:f>
      </x:c>
      <x:c r="AD33" s="117">
        <x:f>IF(AD$3&lt;$B$7,MAX(0,AD20+AD24-AD27),0)</x:f>
      </x:c>
      <x:c r="AE33" s="117">
        <x:f>IF(AE$3&lt;$B$7,MAX(0,AE20+AE24-AE27),0)</x:f>
      </x:c>
      <x:c r="AF33" s="117">
        <x:f>IF(AF$3&lt;$B$7,MAX(0,AF20+AF24-AF27),0)</x:f>
      </x:c>
      <x:c r="AG33" s="117">
        <x:f>IF(AG$3&lt;$B$7,MAX(0,AG20+AG24-AG27),0)</x:f>
      </x:c>
      <x:c r="AH33" s="117">
        <x:f>IF(AH$3&lt;$B$7,MAX(0,AH20+AH24-AH27),0)</x:f>
      </x:c>
      <x:c r="AI33" s="117">
        <x:f>IF(AI$3&lt;$B$7,MAX(0,AI20+AI24-AI27),0)</x:f>
      </x:c>
      <x:c r="AJ33" s="117">
        <x:f>IF(AJ$3&lt;$B$7,MAX(0,AJ20+AJ24-AJ27),0)</x:f>
      </x:c>
      <x:c r="AK33" s="117">
        <x:f>IF(AK$3&lt;$B$7,MAX(0,AK20+AK24-AK27),0)</x:f>
      </x:c>
      <x:c r="AL33" s="117">
        <x:f>IF(AL$3&lt;$B$7,MAX(0,AL20+AL24-AL27),0)</x:f>
      </x:c>
      <x:c r="AM33" s="117">
        <x:f>IF(AM$3&lt;$B$7,MAX(0,AM20+AM24-AM27),0)</x:f>
      </x:c>
      <x:c r="AN33" s="117">
        <x:f>IF(AN$3&lt;$B$7,MAX(0,AN20+AN24-AN27),0)</x:f>
      </x:c>
      <x:c r="AO33" s="117">
        <x:f>IF(AO$3&lt;$B$7,MAX(0,AO20+AO24-AO27),0)</x:f>
      </x:c>
      <x:c r="AP33" s="117">
        <x:f>IF(AP$3&lt;$B$7,MAX(0,AP20+AP24-AP27),0)</x:f>
      </x:c>
      <x:c r="AQ33" s="117">
        <x:f>IF(AQ$3&lt;$B$7,MAX(0,AQ20+AQ24-AQ27),0)</x:f>
      </x:c>
      <x:c r="AR33" s="117">
        <x:f>IF(AR$3&lt;$B$7,MAX(0,AR20+AR24-AR27),0)</x:f>
      </x:c>
      <x:c r="AS33" s="117">
        <x:f>IF(AS$3&lt;$B$7,MAX(0,AS20+AS24-AS27),0)</x:f>
      </x:c>
      <x:c r="AT33" s="117">
        <x:f>IF(AT$3&lt;$B$7,MAX(0,AT20+AT24-AT27),0)</x:f>
      </x:c>
      <x:c r="AU33" s="117">
        <x:f>IF(AU$3&lt;$B$7,MAX(0,AU20+AU24-AU27),0)</x:f>
      </x:c>
      <x:c r="AV33" s="117">
        <x:f>IF(AV$3&lt;$B$7,MAX(0,AV20+AV24-AV27),0)</x:f>
      </x:c>
      <x:c r="AW33" s="117">
        <x:f>IF(AW$3&lt;$B$7,MAX(0,AW20+AW24-AW27),0)</x:f>
      </x:c>
      <x:c r="AX33" s="117">
        <x:f>IF(AX$3&lt;$B$7,MAX(0,AX20+AX24-AX27),0)</x:f>
      </x:c>
      <x:c r="AY33" s="117">
        <x:f>IF(AY$3&lt;$B$7,MAX(0,AY20+AY24-AY27),0)</x:f>
      </x:c>
      <x:c r="AZ33" s="117">
        <x:f>IF(AZ$3&lt;$B$7,MAX(0,AZ20+AZ24-AZ27),0)</x:f>
      </x:c>
      <x:c r="BA33" s="117">
        <x:f>IF(BA$3&lt;$B$7,MAX(0,BA20+BA24-BA27),0)</x:f>
      </x:c>
      <x:c r="BB33" s="117">
        <x:f>IF(BB$3&lt;$B$7,MAX(0,BB20+BB24-BB27),0)</x:f>
      </x:c>
      <x:c r="BC33" s="117">
        <x:f>IF(BC$3&lt;$B$7,MAX(0,BC20+BC24-BC27),0)</x:f>
      </x:c>
      <x:c r="BD33" s="117">
        <x:f>IF(BD$3&lt;$B$7,MAX(0,BD20+BD24-BD27),0)</x:f>
      </x:c>
      <x:c r="BE33" s="117">
        <x:f>IF(BE$3&lt;$B$7,MAX(0,BE20+BE24-BE27),0)</x:f>
      </x:c>
      <x:c r="BF33" s="117">
        <x:f>IF(BF$3&lt;$B$7,MAX(0,BF20+BF24-BF27),0)</x:f>
      </x:c>
      <x:c r="BG33" s="117">
        <x:f>IF(BG$3&lt;$B$7,MAX(0,BG20+BG24-BG27),0)</x:f>
      </x:c>
      <x:c r="BH33" s="117">
        <x:f>IF(BH$3&lt;$B$7,MAX(0,BH20+BH24-BH27),0)</x:f>
      </x:c>
      <x:c r="BI33" s="117">
        <x:f>IF(BI$3&lt;$B$7,MAX(0,BI20+BI24-BI27),0)</x:f>
      </x:c>
      <x:c r="BJ33" s="117">
        <x:f>IF(BJ$3&lt;$B$7,MAX(0,BJ20+BJ24-BJ27),0)</x:f>
      </x:c>
      <x:c r="BK33" s="117">
        <x:f>IF(BK$3&lt;$B$7,MAX(0,BK20+BK24-BK27),0)</x:f>
      </x:c>
      <x:c r="BL33" s="117">
        <x:f>IF(BL$3&lt;$B$7,MAX(0,BL20+BL24-BL27),0)</x:f>
      </x:c>
      <x:c r="BM33" s="117">
        <x:f>IF(BM$3&lt;$B$7,MAX(0,BM20+BM24-BM27),0)</x:f>
      </x:c>
      <x:c r="BN33" s="117">
        <x:f>IF(BN$3&lt;$B$7,MAX(0,BN20+BN24-BN27),0)</x:f>
      </x:c>
      <x:c r="BO33" s="117">
        <x:f>IF(BO$3&lt;$B$7,MAX(0,BO20+BO24-BO27),0)</x:f>
      </x:c>
      <x:c r="BP33" s="117">
        <x:f>IF(BP$3&lt;$B$7,MAX(0,BP20+BP24-BP27),0)</x:f>
      </x:c>
      <x:c r="BQ33" s="117">
        <x:f>IF(BQ$3&lt;$B$7,MAX(0,BQ20+BQ24-BQ27),0)</x:f>
      </x:c>
      <x:c r="BR33" s="117">
        <x:f>IF(BR$3&lt;$B$7,MAX(0,BR20+BR24-BR27),0)</x:f>
      </x:c>
      <x:c r="BS33" s="117">
        <x:f>IF(BS$3&lt;$B$7,MAX(0,BS20+BS24-BS27),0)</x:f>
      </x:c>
      <x:c r="BT33" s="117">
        <x:f>IF(BT$3&lt;$B$7,MAX(0,BT20+BT24-BT27),0)</x:f>
      </x:c>
      <x:c r="BU33" s="117">
        <x:f>IF(BU$3&lt;$B$7,MAX(0,BU20+BU24-BU27),0)</x:f>
      </x:c>
      <x:c r="BV33" s="117">
        <x:f>IF(BV$3&lt;$B$7,MAX(0,BV20+BV24-BV27),0)</x:f>
      </x:c>
      <x:c r="BW33" s="117">
        <x:f>IF(BW$3&lt;$B$7,MAX(0,BW20+BW24-BW27),0)</x:f>
      </x:c>
      <x:c r="BX33" s="117">
        <x:f>IF(BX$3&lt;$B$7,MAX(0,BX20+BX24-BX27),0)</x:f>
      </x:c>
      <x:c r="BY33" s="117">
        <x:f>IF(BY$3&lt;$B$7,MAX(0,BY20+BY24-BY27),0)</x:f>
      </x:c>
      <x:c r="BZ33" s="117">
        <x:f>IF(BZ$3&lt;$B$7,MAX(0,BZ20+BZ24-BZ27),0)</x:f>
      </x:c>
      <x:c r="CA33" s="117">
        <x:f>IF(CA$3&lt;$B$7,MAX(0,CA20+CA24-CA27),0)</x:f>
      </x:c>
      <x:c r="CB33" s="117">
        <x:f>IF(CB$3&lt;$B$7,MAX(0,CB20+CB24-CB27),0)</x:f>
      </x:c>
      <x:c r="CC33" s="117">
        <x:f>IF(CC$3&lt;$B$7,MAX(0,CC20+CC24-CC27),0)</x:f>
      </x:c>
      <x:c r="CD33" s="117">
        <x:f>IF(CD$3&lt;$B$7,MAX(0,CD20+CD24-CD27),0)</x:f>
      </x:c>
      <x:c r="CE33" s="117">
        <x:f>IF(CE$3&lt;$B$7,MAX(0,CE20+CE24-CE27),0)</x:f>
      </x:c>
      <x:c r="CF33" s="117">
        <x:f>IF(CF$3&lt;$B$7,MAX(0,CF20+CF24-CF27),0)</x:f>
      </x:c>
      <x:c r="CG33" s="117">
        <x:f>IF(CG$3&lt;$B$7,MAX(0,CG20+CG24-CG27),0)</x:f>
      </x:c>
      <x:c r="CH33" s="117">
        <x:f>IF(CH$3&lt;$B$7,MAX(0,CH20+CH24-CH27),0)</x:f>
      </x:c>
      <x:c r="CI33" s="117">
        <x:f>IF(CI$3&lt;$B$7,MAX(0,CI20+CI24-CI27),0)</x:f>
      </x:c>
      <x:c r="CJ33" s="117">
        <x:f>IF(CJ$3&lt;$B$7,MAX(0,CJ20+CJ24-CJ27),0)</x:f>
      </x:c>
      <x:c r="CK33" s="117">
        <x:f>IF(CK$3&lt;$B$7,MAX(0,CK20+CK24-CK27),0)</x:f>
      </x:c>
      <x:c r="CL33" s="117">
        <x:f>IF(CL$3&lt;$B$7,MAX(0,CL20+CL24-CL27),0)</x:f>
      </x:c>
      <x:c r="CM33" s="117">
        <x:f>IF(CM$3&lt;$B$7,MAX(0,CM20+CM24-CM27),0)</x:f>
      </x:c>
      <x:c r="CN33" s="117">
        <x:f>IF(CN$3&lt;$B$7,MAX(0,CN20+CN24-CN27),0)</x:f>
      </x:c>
      <x:c r="CO33" s="117">
        <x:f>IF(CO$3&lt;$B$7,MAX(0,CO20+CO24-CO27),0)</x:f>
      </x:c>
      <x:c r="CP33" s="117">
        <x:f>IF(CP$3&lt;$B$7,MAX(0,CP20+CP24-CP27),0)</x:f>
      </x:c>
      <x:c r="CQ33" s="117">
        <x:f>IF(CQ$3&lt;$B$7,MAX(0,CQ20+CQ24-CQ27),0)</x:f>
      </x:c>
      <x:c r="CR33" s="117">
        <x:f>IF(CR$3&lt;$B$7,MAX(0,CR20+CR24-CR27),0)</x:f>
      </x:c>
      <x:c r="CS33" s="117">
        <x:f>IF(CS$3&lt;$B$7,MAX(0,CS20+CS24-CS27),0)</x:f>
      </x:c>
      <x:c r="CT33" s="117">
        <x:f>IF(CT$3&lt;$B$7,MAX(0,CT20+CT24-CT27),0)</x:f>
      </x:c>
      <x:c r="CU33" s="117">
        <x:f>IF(CU$3&lt;$B$7,MAX(0,CU20+CU24-CU27),0)</x:f>
      </x:c>
      <x:c r="CV33" s="117">
        <x:f>IF(CV$3&lt;$B$7,MAX(0,CV20+CV24-CV27),0)</x:f>
      </x:c>
      <x:c r="CW33" s="117">
        <x:f>IF(CW$3&lt;$B$7,MAX(0,CW20+CW24-CW27),0)</x:f>
      </x:c>
      <x:c r="CX33" s="117">
        <x:f>IF(CX$3&lt;$B$7,MAX(0,CX20+CX24-CX27),0)</x:f>
      </x:c>
      <x:c r="CY33" s="117">
        <x:f>IF(CY$3&lt;$B$7,MAX(0,CY20+CY24-CY27),0)</x:f>
      </x:c>
      <x:c r="CZ33" s="117">
        <x:f>IF(CZ$3&lt;$B$7,MAX(0,CZ20+CZ24-CZ27),0)</x:f>
      </x:c>
      <x:c r="DA33" s="117">
        <x:f>IF(DA$3&lt;$B$7,MAX(0,DA20+DA24-DA27),0)</x:f>
      </x:c>
      <x:c r="DB33" s="117">
        <x:f>IF(DB$3&lt;$B$7,MAX(0,DB20+DB24-DB27),0)</x:f>
      </x:c>
      <x:c r="DC33" s="117">
        <x:f>IF(DC$3&lt;$B$7,MAX(0,DC20+DC24-DC27),0)</x:f>
      </x:c>
      <x:c r="DD33" s="117">
        <x:f>IF(DD$3&lt;$B$7,MAX(0,DD20+DD24-DD27),0)</x:f>
      </x:c>
      <x:c r="DE33" s="117">
        <x:f>IF(DE$3&lt;$B$7,MAX(0,DE20+DE24-DE27),0)</x:f>
      </x:c>
      <x:c r="DF33" s="117">
        <x:f>IF(DF$3&lt;$B$7,MAX(0,DF20+DF24-DF27),0)</x:f>
      </x:c>
      <x:c r="DG33" s="117">
        <x:f>IF(DG$3&lt;$B$7,MAX(0,DG20+DG24-DG27),0)</x:f>
      </x:c>
      <x:c r="DH33" s="117">
        <x:f>IF(DH$3&lt;$B$7,MAX(0,DH20+DH24-DH27),0)</x:f>
      </x:c>
      <x:c r="DI33" s="117">
        <x:f>IF(DI$3&lt;$B$7,MAX(0,DI20+DI24-DI27),0)</x:f>
      </x:c>
      <x:c r="DJ33" s="117">
        <x:f>IF(DJ$3&lt;$B$7,MAX(0,DJ20+DJ24-DJ27),0)</x:f>
      </x:c>
      <x:c r="DK33" s="117">
        <x:f>IF(DK$3&lt;$B$7,MAX(0,DK20+DK24-DK27),0)</x:f>
      </x:c>
      <x:c r="DL33" s="117">
        <x:f>IF(DL$3&lt;$B$7,MAX(0,DL20+DL24-DL27),0)</x:f>
      </x:c>
      <x:c r="DM33" s="117">
        <x:f>IF(DM$3&lt;$B$7,MAX(0,DM20+DM24-DM27),0)</x:f>
      </x:c>
      <x:c r="DN33" s="117">
        <x:f>IF(DN$3&lt;$B$7,MAX(0,DN20+DN24-DN27),0)</x:f>
      </x:c>
      <x:c r="DO33" s="117">
        <x:f>IF(DO$3&lt;$B$7,MAX(0,DO20+DO24-DO27),0)</x:f>
      </x:c>
      <x:c r="DP33" s="117">
        <x:f>IF(DP$3&lt;$B$7,MAX(0,DP20+DP24-DP27),0)</x:f>
      </x:c>
      <x:c r="DQ33" s="117">
        <x:f>IF(DQ$3&lt;$B$7,MAX(0,DQ20+DQ24-DQ27),0)</x:f>
      </x:c>
      <x:c r="DR33" s="117">
        <x:f>IF(DR$3&lt;$B$7,MAX(0,DR20+DR24-DR27),0)</x:f>
      </x:c>
      <x:c r="DS33" s="117">
        <x:f>IF(DS$3&lt;$B$7,MAX(0,DS20+DS24-DS27),0)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>
        <x:f>MAX(0,D33-D56)</x:f>
      </x:c>
      <x:c r="E34" s="117">
        <x:f>MAX(0,E33-E56)</x:f>
      </x:c>
      <x:c r="F34" s="117">
        <x:f>MAX(0,F33-F56)</x:f>
      </x:c>
      <x:c r="G34" s="117">
        <x:f>MAX(0,G33-G56)</x:f>
      </x:c>
      <x:c r="H34" s="117">
        <x:f>MAX(0,H33-H56)</x:f>
      </x:c>
      <x:c r="I34" s="117">
        <x:f>MAX(0,I33-I56)</x:f>
      </x:c>
      <x:c r="J34" s="117">
        <x:f>MAX(0,J33-J56)</x:f>
      </x:c>
      <x:c r="K34" s="117">
        <x:f>MAX(0,K33-K56)</x:f>
      </x:c>
      <x:c r="L34" s="117">
        <x:f>MAX(0,L33-L56)</x:f>
      </x:c>
      <x:c r="M34" s="117">
        <x:f>MAX(0,M33-M56)</x:f>
      </x:c>
      <x:c r="N34" s="117">
        <x:f>MAX(0,N33-N56)</x:f>
      </x:c>
      <x:c r="O34" s="117">
        <x:f>MAX(0,O33-O56)</x:f>
      </x:c>
      <x:c r="P34" s="117">
        <x:f>MAX(0,P33-P56)</x:f>
      </x:c>
      <x:c r="Q34" s="117">
        <x:f>MAX(0,Q33-Q56)</x:f>
      </x:c>
      <x:c r="R34" s="117">
        <x:f>MAX(0,R33-R56)</x:f>
      </x:c>
      <x:c r="S34" s="117">
        <x:f>MAX(0,S33-S56)</x:f>
      </x:c>
      <x:c r="T34" s="117">
        <x:f>MAX(0,T33-T56)</x:f>
      </x:c>
      <x:c r="U34" s="117">
        <x:f>MAX(0,U33-U56)</x:f>
      </x:c>
      <x:c r="V34" s="117">
        <x:f>MAX(0,V33-V56)</x:f>
      </x:c>
      <x:c r="W34" s="117">
        <x:f>MAX(0,W33-W56)</x:f>
      </x:c>
      <x:c r="X34" s="117">
        <x:f>MAX(0,X33-X56)</x:f>
      </x:c>
      <x:c r="Y34" s="117">
        <x:f>MAX(0,Y33-Y56)</x:f>
      </x:c>
      <x:c r="Z34" s="117">
        <x:f>MAX(0,Z33-Z56)</x:f>
      </x:c>
      <x:c r="AA34" s="117">
        <x:f>MAX(0,AA33-AA56)</x:f>
      </x:c>
      <x:c r="AB34" s="117">
        <x:f>MAX(0,AB33-AB56)</x:f>
      </x:c>
      <x:c r="AC34" s="117">
        <x:f>MAX(0,AC33-AC56)</x:f>
      </x:c>
      <x:c r="AD34" s="117">
        <x:f>MAX(0,AD33-AD56)</x:f>
      </x:c>
      <x:c r="AE34" s="117">
        <x:f>MAX(0,AE33-AE56)</x:f>
      </x:c>
      <x:c r="AF34" s="117">
        <x:f>MAX(0,AF33-AF56)</x:f>
      </x:c>
      <x:c r="AG34" s="117">
        <x:f>MAX(0,AG33-AG56)</x:f>
      </x:c>
      <x:c r="AH34" s="117">
        <x:f>MAX(0,AH33-AH56)</x:f>
      </x:c>
      <x:c r="AI34" s="117">
        <x:f>MAX(0,AI33-AI56)</x:f>
      </x:c>
      <x:c r="AJ34" s="117">
        <x:f>MAX(0,AJ33-AJ56)</x:f>
      </x:c>
      <x:c r="AK34" s="117">
        <x:f>MAX(0,AK33-AK56)</x:f>
      </x:c>
      <x:c r="AL34" s="117">
        <x:f>MAX(0,AL33-AL56)</x:f>
      </x:c>
      <x:c r="AM34" s="117">
        <x:f>MAX(0,AM33-AM56)</x:f>
      </x:c>
      <x:c r="AN34" s="117">
        <x:f>MAX(0,AN33-AN56)</x:f>
      </x:c>
      <x:c r="AO34" s="117">
        <x:f>MAX(0,AO33-AO56)</x:f>
      </x:c>
      <x:c r="AP34" s="117">
        <x:f>MAX(0,AP33-AP56)</x:f>
      </x:c>
      <x:c r="AQ34" s="117">
        <x:f>MAX(0,AQ33-AQ56)</x:f>
      </x:c>
      <x:c r="AR34" s="117">
        <x:f>MAX(0,AR33-AR56)</x:f>
      </x:c>
      <x:c r="AS34" s="117">
        <x:f>MAX(0,AS33-AS56)</x:f>
      </x:c>
      <x:c r="AT34" s="117">
        <x:f>MAX(0,AT33-AT56)</x:f>
      </x:c>
      <x:c r="AU34" s="117">
        <x:f>MAX(0,AU33-AU56)</x:f>
      </x:c>
      <x:c r="AV34" s="117">
        <x:f>MAX(0,AV33-AV56)</x:f>
      </x:c>
      <x:c r="AW34" s="117">
        <x:f>MAX(0,AW33-AW56)</x:f>
      </x:c>
      <x:c r="AX34" s="117">
        <x:f>MAX(0,AX33-AX56)</x:f>
      </x:c>
      <x:c r="AY34" s="117">
        <x:f>MAX(0,AY33-AY56)</x:f>
      </x:c>
      <x:c r="AZ34" s="117">
        <x:f>MAX(0,AZ33-AZ56)</x:f>
      </x:c>
      <x:c r="BA34" s="117">
        <x:f>MAX(0,BA33-BA56)</x:f>
      </x:c>
      <x:c r="BB34" s="117">
        <x:f>MAX(0,BB33-BB56)</x:f>
      </x:c>
      <x:c r="BC34" s="117">
        <x:f>MAX(0,BC33-BC56)</x:f>
      </x:c>
      <x:c r="BD34" s="117">
        <x:f>MAX(0,BD33-BD56)</x:f>
      </x:c>
      <x:c r="BE34" s="117">
        <x:f>MAX(0,BE33-BE56)</x:f>
      </x:c>
      <x:c r="BF34" s="117">
        <x:f>MAX(0,BF33-BF56)</x:f>
      </x:c>
      <x:c r="BG34" s="117">
        <x:f>MAX(0,BG33-BG56)</x:f>
      </x:c>
      <x:c r="BH34" s="117">
        <x:f>MAX(0,BH33-BH56)</x:f>
      </x:c>
      <x:c r="BI34" s="117">
        <x:f>MAX(0,BI33-BI56)</x:f>
      </x:c>
      <x:c r="BJ34" s="117">
        <x:f>MAX(0,BJ33-BJ56)</x:f>
      </x:c>
      <x:c r="BK34" s="117">
        <x:f>MAX(0,BK33-BK56)</x:f>
      </x:c>
      <x:c r="BL34" s="117">
        <x:f>MAX(0,BL33-BL56)</x:f>
      </x:c>
      <x:c r="BM34" s="117">
        <x:f>MAX(0,BM33-BM56)</x:f>
      </x:c>
      <x:c r="BN34" s="117">
        <x:f>MAX(0,BN33-BN56)</x:f>
      </x:c>
      <x:c r="BO34" s="117">
        <x:f>MAX(0,BO33-BO56)</x:f>
      </x:c>
      <x:c r="BP34" s="117">
        <x:f>MAX(0,BP33-BP56)</x:f>
      </x:c>
      <x:c r="BQ34" s="117">
        <x:f>MAX(0,BQ33-BQ56)</x:f>
      </x:c>
      <x:c r="BR34" s="117">
        <x:f>MAX(0,BR33-BR56)</x:f>
      </x:c>
      <x:c r="BS34" s="117">
        <x:f>MAX(0,BS33-BS56)</x:f>
      </x:c>
      <x:c r="BT34" s="117">
        <x:f>MAX(0,BT33-BT56)</x:f>
      </x:c>
      <x:c r="BU34" s="117">
        <x:f>MAX(0,BU33-BU56)</x:f>
      </x:c>
      <x:c r="BV34" s="117">
        <x:f>MAX(0,BV33-BV56)</x:f>
      </x:c>
      <x:c r="BW34" s="117">
        <x:f>MAX(0,BW33-BW56)</x:f>
      </x:c>
      <x:c r="BX34" s="117">
        <x:f>MAX(0,BX33-BX56)</x:f>
      </x:c>
      <x:c r="BY34" s="117">
        <x:f>MAX(0,BY33-BY56)</x:f>
      </x:c>
      <x:c r="BZ34" s="117">
        <x:f>MAX(0,BZ33-BZ56)</x:f>
      </x:c>
      <x:c r="CA34" s="117">
        <x:f>MAX(0,CA33-CA56)</x:f>
      </x:c>
      <x:c r="CB34" s="117">
        <x:f>MAX(0,CB33-CB56)</x:f>
      </x:c>
      <x:c r="CC34" s="117">
        <x:f>MAX(0,CC33-CC56)</x:f>
      </x:c>
      <x:c r="CD34" s="117">
        <x:f>MAX(0,CD33-CD56)</x:f>
      </x:c>
      <x:c r="CE34" s="117">
        <x:f>MAX(0,CE33-CE56)</x:f>
      </x:c>
      <x:c r="CF34" s="117">
        <x:f>MAX(0,CF33-CF56)</x:f>
      </x:c>
      <x:c r="CG34" s="117">
        <x:f>MAX(0,CG33-CG56)</x:f>
      </x:c>
      <x:c r="CH34" s="117">
        <x:f>MAX(0,CH33-CH56)</x:f>
      </x:c>
      <x:c r="CI34" s="117">
        <x:f>MAX(0,CI33-CI56)</x:f>
      </x:c>
      <x:c r="CJ34" s="117">
        <x:f>MAX(0,CJ33-CJ56)</x:f>
      </x:c>
      <x:c r="CK34" s="117">
        <x:f>MAX(0,CK33-CK56)</x:f>
      </x:c>
      <x:c r="CL34" s="117">
        <x:f>MAX(0,CL33-CL56)</x:f>
      </x:c>
      <x:c r="CM34" s="117">
        <x:f>MAX(0,CM33-CM56)</x:f>
      </x:c>
      <x:c r="CN34" s="117">
        <x:f>MAX(0,CN33-CN56)</x:f>
      </x:c>
      <x:c r="CO34" s="117">
        <x:f>MAX(0,CO33-CO56)</x:f>
      </x:c>
      <x:c r="CP34" s="117">
        <x:f>MAX(0,CP33-CP56)</x:f>
      </x:c>
      <x:c r="CQ34" s="117">
        <x:f>MAX(0,CQ33-CQ56)</x:f>
      </x:c>
      <x:c r="CR34" s="117">
        <x:f>MAX(0,CR33-CR56)</x:f>
      </x:c>
      <x:c r="CS34" s="117">
        <x:f>MAX(0,CS33-CS56)</x:f>
      </x:c>
      <x:c r="CT34" s="117">
        <x:f>MAX(0,CT33-CT56)</x:f>
      </x:c>
      <x:c r="CU34" s="117">
        <x:f>MAX(0,CU33-CU56)</x:f>
      </x:c>
      <x:c r="CV34" s="117">
        <x:f>MAX(0,CV33-CV56)</x:f>
      </x:c>
      <x:c r="CW34" s="117">
        <x:f>MAX(0,CW33-CW56)</x:f>
      </x:c>
      <x:c r="CX34" s="117">
        <x:f>MAX(0,CX33-CX56)</x:f>
      </x:c>
      <x:c r="CY34" s="117">
        <x:f>MAX(0,CY33-CY56)</x:f>
      </x:c>
      <x:c r="CZ34" s="117">
        <x:f>MAX(0,CZ33-CZ56)</x:f>
      </x:c>
      <x:c r="DA34" s="117">
        <x:f>MAX(0,DA33-DA56)</x:f>
      </x:c>
      <x:c r="DB34" s="117">
        <x:f>MAX(0,DB33-DB56)</x:f>
      </x:c>
      <x:c r="DC34" s="117">
        <x:f>MAX(0,DC33-DC56)</x:f>
      </x:c>
      <x:c r="DD34" s="117">
        <x:f>MAX(0,DD33-DD56)</x:f>
      </x:c>
      <x:c r="DE34" s="117">
        <x:f>MAX(0,DE33-DE56)</x:f>
      </x:c>
      <x:c r="DF34" s="117">
        <x:f>MAX(0,DF33-DF56)</x:f>
      </x:c>
      <x:c r="DG34" s="117">
        <x:f>MAX(0,DG33-DG56)</x:f>
      </x:c>
      <x:c r="DH34" s="117">
        <x:f>MAX(0,DH33-DH56)</x:f>
      </x:c>
      <x:c r="DI34" s="117">
        <x:f>MAX(0,DI33-DI56)</x:f>
      </x:c>
      <x:c r="DJ34" s="117">
        <x:f>MAX(0,DJ33-DJ56)</x:f>
      </x:c>
      <x:c r="DK34" s="117">
        <x:f>MAX(0,DK33-DK56)</x:f>
      </x:c>
      <x:c r="DL34" s="117">
        <x:f>MAX(0,DL33-DL56)</x:f>
      </x:c>
      <x:c r="DM34" s="117">
        <x:f>MAX(0,DM33-DM56)</x:f>
      </x:c>
      <x:c r="DN34" s="117">
        <x:f>MAX(0,DN33-DN56)</x:f>
      </x:c>
      <x:c r="DO34" s="117">
        <x:f>MAX(0,DO33-DO56)</x:f>
      </x:c>
      <x:c r="DP34" s="117">
        <x:f>MAX(0,DP33-DP56)</x:f>
      </x:c>
      <x:c r="DQ34" s="117">
        <x:f>MAX(0,DQ33-DQ56)</x:f>
      </x:c>
      <x:c r="DR34" s="117">
        <x:f>MAX(0,DR33-DR56)</x:f>
      </x:c>
      <x:c r="DS34" s="117">
        <x:f>MAX(0,DS33-DS56)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>
        <x:f>IF(AND(YEAR(D$3)=YEAR($B$7),MONTH(D$3)=MONTH($B$7)),D30,0)</x:f>
      </x:c>
      <x:c r="E35" s="117">
        <x:f>IF(AND(YEAR(E$3)=YEAR($B$7),MONTH(E$3)=MONTH($B$7)),E30,0)</x:f>
      </x:c>
      <x:c r="F35" s="117">
        <x:f>IF(AND(YEAR(F$3)=YEAR($B$7),MONTH(F$3)=MONTH($B$7)),F30,0)</x:f>
      </x:c>
      <x:c r="G35" s="117">
        <x:f>IF(AND(YEAR(G$3)=YEAR($B$7),MONTH(G$3)=MONTH($B$7)),G30,0)</x:f>
      </x:c>
      <x:c r="H35" s="117">
        <x:f>IF(AND(YEAR(H$3)=YEAR($B$7),MONTH(H$3)=MONTH($B$7)),H30,0)</x:f>
      </x:c>
      <x:c r="I35" s="117">
        <x:f>IF(AND(YEAR(I$3)=YEAR($B$7),MONTH(I$3)=MONTH($B$7)),I30,0)</x:f>
      </x:c>
      <x:c r="J35" s="117">
        <x:f>IF(AND(YEAR(J$3)=YEAR($B$7),MONTH(J$3)=MONTH($B$7)),J30,0)</x:f>
      </x:c>
      <x:c r="K35" s="117">
        <x:f>IF(AND(YEAR(K$3)=YEAR($B$7),MONTH(K$3)=MONTH($B$7)),K30,0)</x:f>
      </x:c>
      <x:c r="L35" s="117">
        <x:f>IF(AND(YEAR(L$3)=YEAR($B$7),MONTH(L$3)=MONTH($B$7)),L30,0)</x:f>
      </x:c>
      <x:c r="M35" s="117">
        <x:f>IF(AND(YEAR(M$3)=YEAR($B$7),MONTH(M$3)=MONTH($B$7)),M30,0)</x:f>
      </x:c>
      <x:c r="N35" s="117">
        <x:f>IF(AND(YEAR(N$3)=YEAR($B$7),MONTH(N$3)=MONTH($B$7)),N30,0)</x:f>
      </x:c>
      <x:c r="O35" s="117">
        <x:f>IF(AND(YEAR(O$3)=YEAR($B$7),MONTH(O$3)=MONTH($B$7)),O30,0)</x:f>
      </x:c>
      <x:c r="P35" s="117">
        <x:f>IF(AND(YEAR(P$3)=YEAR($B$7),MONTH(P$3)=MONTH($B$7)),P30,0)</x:f>
      </x:c>
      <x:c r="Q35" s="117">
        <x:f>IF(AND(YEAR(Q$3)=YEAR($B$7),MONTH(Q$3)=MONTH($B$7)),Q30,0)</x:f>
      </x:c>
      <x:c r="R35" s="117">
        <x:f>IF(AND(YEAR(R$3)=YEAR($B$7),MONTH(R$3)=MONTH($B$7)),R30,0)</x:f>
      </x:c>
      <x:c r="S35" s="117">
        <x:f>IF(AND(YEAR(S$3)=YEAR($B$7),MONTH(S$3)=MONTH($B$7)),S30,0)</x:f>
      </x:c>
      <x:c r="T35" s="117">
        <x:f>IF(AND(YEAR(T$3)=YEAR($B$7),MONTH(T$3)=MONTH($B$7)),T30,0)</x:f>
      </x:c>
      <x:c r="U35" s="117">
        <x:f>IF(AND(YEAR(U$3)=YEAR($B$7),MONTH(U$3)=MONTH($B$7)),U30,0)</x:f>
      </x:c>
      <x:c r="V35" s="117">
        <x:f>IF(AND(YEAR(V$3)=YEAR($B$7),MONTH(V$3)=MONTH($B$7)),V30,0)</x:f>
      </x:c>
      <x:c r="W35" s="117">
        <x:f>IF(AND(YEAR(W$3)=YEAR($B$7),MONTH(W$3)=MONTH($B$7)),W30,0)</x:f>
      </x:c>
      <x:c r="X35" s="117">
        <x:f>IF(AND(YEAR(X$3)=YEAR($B$7),MONTH(X$3)=MONTH($B$7)),X30,0)</x:f>
      </x:c>
      <x:c r="Y35" s="117">
        <x:f>IF(AND(YEAR(Y$3)=YEAR($B$7),MONTH(Y$3)=MONTH($B$7)),Y30,0)</x:f>
      </x:c>
      <x:c r="Z35" s="117">
        <x:f>IF(AND(YEAR(Z$3)=YEAR($B$7),MONTH(Z$3)=MONTH($B$7)),Z30,0)</x:f>
      </x:c>
      <x:c r="AA35" s="117">
        <x:f>IF(AND(YEAR(AA$3)=YEAR($B$7),MONTH(AA$3)=MONTH($B$7)),AA30,0)</x:f>
      </x:c>
      <x:c r="AB35" s="117">
        <x:f>IF(AND(YEAR(AB$3)=YEAR($B$7),MONTH(AB$3)=MONTH($B$7)),AB30,0)</x:f>
      </x:c>
      <x:c r="AC35" s="117">
        <x:f>IF(AND(YEAR(AC$3)=YEAR($B$7),MONTH(AC$3)=MONTH($B$7)),AC30,0)</x:f>
      </x:c>
      <x:c r="AD35" s="117">
        <x:f>IF(AND(YEAR(AD$3)=YEAR($B$7),MONTH(AD$3)=MONTH($B$7)),AD30,0)</x:f>
      </x:c>
      <x:c r="AE35" s="117">
        <x:f>IF(AND(YEAR(AE$3)=YEAR($B$7),MONTH(AE$3)=MONTH($B$7)),AE30,0)</x:f>
      </x:c>
      <x:c r="AF35" s="117">
        <x:f>IF(AND(YEAR(AF$3)=YEAR($B$7),MONTH(AF$3)=MONTH($B$7)),AF30,0)</x:f>
      </x:c>
      <x:c r="AG35" s="117">
        <x:f>IF(AND(YEAR(AG$3)=YEAR($B$7),MONTH(AG$3)=MONTH($B$7)),AG30,0)</x:f>
      </x:c>
      <x:c r="AH35" s="117">
        <x:f>IF(AND(YEAR(AH$3)=YEAR($B$7),MONTH(AH$3)=MONTH($B$7)),AH30,0)</x:f>
      </x:c>
      <x:c r="AI35" s="117">
        <x:f>IF(AND(YEAR(AI$3)=YEAR($B$7),MONTH(AI$3)=MONTH($B$7)),AI30,0)</x:f>
      </x:c>
      <x:c r="AJ35" s="117">
        <x:f>IF(AND(YEAR(AJ$3)=YEAR($B$7),MONTH(AJ$3)=MONTH($B$7)),AJ30,0)</x:f>
      </x:c>
      <x:c r="AK35" s="117">
        <x:f>IF(AND(YEAR(AK$3)=YEAR($B$7),MONTH(AK$3)=MONTH($B$7)),AK30,0)</x:f>
      </x:c>
      <x:c r="AL35" s="117">
        <x:f>IF(AND(YEAR(AL$3)=YEAR($B$7),MONTH(AL$3)=MONTH($B$7)),AL30,0)</x:f>
      </x:c>
      <x:c r="AM35" s="117">
        <x:f>IF(AND(YEAR(AM$3)=YEAR($B$7),MONTH(AM$3)=MONTH($B$7)),AM30,0)</x:f>
      </x:c>
      <x:c r="AN35" s="117">
        <x:f>IF(AND(YEAR(AN$3)=YEAR($B$7),MONTH(AN$3)=MONTH($B$7)),AN30,0)</x:f>
      </x:c>
      <x:c r="AO35" s="117">
        <x:f>IF(AND(YEAR(AO$3)=YEAR($B$7),MONTH(AO$3)=MONTH($B$7)),AO30,0)</x:f>
      </x:c>
      <x:c r="AP35" s="117">
        <x:f>IF(AND(YEAR(AP$3)=YEAR($B$7),MONTH(AP$3)=MONTH($B$7)),AP30,0)</x:f>
      </x:c>
      <x:c r="AQ35" s="117">
        <x:f>IF(AND(YEAR(AQ$3)=YEAR($B$7),MONTH(AQ$3)=MONTH($B$7)),AQ30,0)</x:f>
      </x:c>
      <x:c r="AR35" s="117">
        <x:f>IF(AND(YEAR(AR$3)=YEAR($B$7),MONTH(AR$3)=MONTH($B$7)),AR30,0)</x:f>
      </x:c>
      <x:c r="AS35" s="117">
        <x:f>IF(AND(YEAR(AS$3)=YEAR($B$7),MONTH(AS$3)=MONTH($B$7)),AS30,0)</x:f>
      </x:c>
      <x:c r="AT35" s="117">
        <x:f>IF(AND(YEAR(AT$3)=YEAR($B$7),MONTH(AT$3)=MONTH($B$7)),AT30,0)</x:f>
      </x:c>
      <x:c r="AU35" s="117">
        <x:f>IF(AND(YEAR(AU$3)=YEAR($B$7),MONTH(AU$3)=MONTH($B$7)),AU30,0)</x:f>
      </x:c>
      <x:c r="AV35" s="117">
        <x:f>IF(AND(YEAR(AV$3)=YEAR($B$7),MONTH(AV$3)=MONTH($B$7)),AV30,0)</x:f>
      </x:c>
      <x:c r="AW35" s="117">
        <x:f>IF(AND(YEAR(AW$3)=YEAR($B$7),MONTH(AW$3)=MONTH($B$7)),AW30,0)</x:f>
      </x:c>
      <x:c r="AX35" s="117">
        <x:f>IF(AND(YEAR(AX$3)=YEAR($B$7),MONTH(AX$3)=MONTH($B$7)),AX30,0)</x:f>
      </x:c>
      <x:c r="AY35" s="117">
        <x:f>IF(AND(YEAR(AY$3)=YEAR($B$7),MONTH(AY$3)=MONTH($B$7)),AY30,0)</x:f>
      </x:c>
      <x:c r="AZ35" s="117">
        <x:f>IF(AND(YEAR(AZ$3)=YEAR($B$7),MONTH(AZ$3)=MONTH($B$7)),AZ30,0)</x:f>
      </x:c>
      <x:c r="BA35" s="117">
        <x:f>IF(AND(YEAR(BA$3)=YEAR($B$7),MONTH(BA$3)=MONTH($B$7)),BA30,0)</x:f>
      </x:c>
      <x:c r="BB35" s="117">
        <x:f>IF(AND(YEAR(BB$3)=YEAR($B$7),MONTH(BB$3)=MONTH($B$7)),BB30,0)</x:f>
      </x:c>
      <x:c r="BC35" s="117">
        <x:f>IF(AND(YEAR(BC$3)=YEAR($B$7),MONTH(BC$3)=MONTH($B$7)),BC30,0)</x:f>
      </x:c>
      <x:c r="BD35" s="117">
        <x:f>IF(AND(YEAR(BD$3)=YEAR($B$7),MONTH(BD$3)=MONTH($B$7)),BD30,0)</x:f>
      </x:c>
      <x:c r="BE35" s="117">
        <x:f>IF(AND(YEAR(BE$3)=YEAR($B$7),MONTH(BE$3)=MONTH($B$7)),BE30,0)</x:f>
      </x:c>
      <x:c r="BF35" s="117">
        <x:f>IF(AND(YEAR(BF$3)=YEAR($B$7),MONTH(BF$3)=MONTH($B$7)),BF30,0)</x:f>
      </x:c>
      <x:c r="BG35" s="117">
        <x:f>IF(AND(YEAR(BG$3)=YEAR($B$7),MONTH(BG$3)=MONTH($B$7)),BG30,0)</x:f>
      </x:c>
      <x:c r="BH35" s="117">
        <x:f>IF(AND(YEAR(BH$3)=YEAR($B$7),MONTH(BH$3)=MONTH($B$7)),BH30,0)</x:f>
      </x:c>
      <x:c r="BI35" s="117">
        <x:f>IF(AND(YEAR(BI$3)=YEAR($B$7),MONTH(BI$3)=MONTH($B$7)),BI30,0)</x:f>
      </x:c>
      <x:c r="BJ35" s="117">
        <x:f>IF(AND(YEAR(BJ$3)=YEAR($B$7),MONTH(BJ$3)=MONTH($B$7)),BJ30,0)</x:f>
      </x:c>
      <x:c r="BK35" s="117">
        <x:f>IF(AND(YEAR(BK$3)=YEAR($B$7),MONTH(BK$3)=MONTH($B$7)),BK30,0)</x:f>
      </x:c>
      <x:c r="BL35" s="117">
        <x:f>IF(AND(YEAR(BL$3)=YEAR($B$7),MONTH(BL$3)=MONTH($B$7)),BL30,0)</x:f>
      </x:c>
      <x:c r="BM35" s="117">
        <x:f>IF(AND(YEAR(BM$3)=YEAR($B$7),MONTH(BM$3)=MONTH($B$7)),BM30,0)</x:f>
      </x:c>
      <x:c r="BN35" s="117">
        <x:f>IF(AND(YEAR(BN$3)=YEAR($B$7),MONTH(BN$3)=MONTH($B$7)),BN30,0)</x:f>
      </x:c>
      <x:c r="BO35" s="117">
        <x:f>IF(AND(YEAR(BO$3)=YEAR($B$7),MONTH(BO$3)=MONTH($B$7)),BO30,0)</x:f>
      </x:c>
      <x:c r="BP35" s="117">
        <x:f>IF(AND(YEAR(BP$3)=YEAR($B$7),MONTH(BP$3)=MONTH($B$7)),BP30,0)</x:f>
      </x:c>
      <x:c r="BQ35" s="117">
        <x:f>IF(AND(YEAR(BQ$3)=YEAR($B$7),MONTH(BQ$3)=MONTH($B$7)),BQ30,0)</x:f>
      </x:c>
      <x:c r="BR35" s="117">
        <x:f>IF(AND(YEAR(BR$3)=YEAR($B$7),MONTH(BR$3)=MONTH($B$7)),BR30,0)</x:f>
      </x:c>
      <x:c r="BS35" s="117">
        <x:f>IF(AND(YEAR(BS$3)=YEAR($B$7),MONTH(BS$3)=MONTH($B$7)),BS30,0)</x:f>
      </x:c>
      <x:c r="BT35" s="117">
        <x:f>IF(AND(YEAR(BT$3)=YEAR($B$7),MONTH(BT$3)=MONTH($B$7)),BT30,0)</x:f>
      </x:c>
      <x:c r="BU35" s="117">
        <x:f>IF(AND(YEAR(BU$3)=YEAR($B$7),MONTH(BU$3)=MONTH($B$7)),BU30,0)</x:f>
      </x:c>
      <x:c r="BV35" s="117">
        <x:f>IF(AND(YEAR(BV$3)=YEAR($B$7),MONTH(BV$3)=MONTH($B$7)),BV30,0)</x:f>
      </x:c>
      <x:c r="BW35" s="117">
        <x:f>IF(AND(YEAR(BW$3)=YEAR($B$7),MONTH(BW$3)=MONTH($B$7)),BW30,0)</x:f>
      </x:c>
      <x:c r="BX35" s="117">
        <x:f>IF(AND(YEAR(BX$3)=YEAR($B$7),MONTH(BX$3)=MONTH($B$7)),BX30,0)</x:f>
      </x:c>
      <x:c r="BY35" s="117">
        <x:f>IF(AND(YEAR(BY$3)=YEAR($B$7),MONTH(BY$3)=MONTH($B$7)),BY30,0)</x:f>
      </x:c>
      <x:c r="BZ35" s="117">
        <x:f>IF(AND(YEAR(BZ$3)=YEAR($B$7),MONTH(BZ$3)=MONTH($B$7)),BZ30,0)</x:f>
      </x:c>
      <x:c r="CA35" s="117">
        <x:f>IF(AND(YEAR(CA$3)=YEAR($B$7),MONTH(CA$3)=MONTH($B$7)),CA30,0)</x:f>
      </x:c>
      <x:c r="CB35" s="117">
        <x:f>IF(AND(YEAR(CB$3)=YEAR($B$7),MONTH(CB$3)=MONTH($B$7)),CB30,0)</x:f>
      </x:c>
      <x:c r="CC35" s="117">
        <x:f>IF(AND(YEAR(CC$3)=YEAR($B$7),MONTH(CC$3)=MONTH($B$7)),CC30,0)</x:f>
      </x:c>
      <x:c r="CD35" s="117">
        <x:f>IF(AND(YEAR(CD$3)=YEAR($B$7),MONTH(CD$3)=MONTH($B$7)),CD30,0)</x:f>
      </x:c>
      <x:c r="CE35" s="117">
        <x:f>IF(AND(YEAR(CE$3)=YEAR($B$7),MONTH(CE$3)=MONTH($B$7)),CE30,0)</x:f>
      </x:c>
      <x:c r="CF35" s="117">
        <x:f>IF(AND(YEAR(CF$3)=YEAR($B$7),MONTH(CF$3)=MONTH($B$7)),CF30,0)</x:f>
      </x:c>
      <x:c r="CG35" s="117">
        <x:f>IF(AND(YEAR(CG$3)=YEAR($B$7),MONTH(CG$3)=MONTH($B$7)),CG30,0)</x:f>
      </x:c>
      <x:c r="CH35" s="117">
        <x:f>IF(AND(YEAR(CH$3)=YEAR($B$7),MONTH(CH$3)=MONTH($B$7)),CH30,0)</x:f>
      </x:c>
      <x:c r="CI35" s="117">
        <x:f>IF(AND(YEAR(CI$3)=YEAR($B$7),MONTH(CI$3)=MONTH($B$7)),CI30,0)</x:f>
      </x:c>
      <x:c r="CJ35" s="117">
        <x:f>IF(AND(YEAR(CJ$3)=YEAR($B$7),MONTH(CJ$3)=MONTH($B$7)),CJ30,0)</x:f>
      </x:c>
      <x:c r="CK35" s="117">
        <x:f>IF(AND(YEAR(CK$3)=YEAR($B$7),MONTH(CK$3)=MONTH($B$7)),CK30,0)</x:f>
      </x:c>
      <x:c r="CL35" s="117">
        <x:f>IF(AND(YEAR(CL$3)=YEAR($B$7),MONTH(CL$3)=MONTH($B$7)),CL30,0)</x:f>
      </x:c>
      <x:c r="CM35" s="117">
        <x:f>IF(AND(YEAR(CM$3)=YEAR($B$7),MONTH(CM$3)=MONTH($B$7)),CM30,0)</x:f>
      </x:c>
      <x:c r="CN35" s="117">
        <x:f>IF(AND(YEAR(CN$3)=YEAR($B$7),MONTH(CN$3)=MONTH($B$7)),CN30,0)</x:f>
      </x:c>
      <x:c r="CO35" s="117">
        <x:f>IF(AND(YEAR(CO$3)=YEAR($B$7),MONTH(CO$3)=MONTH($B$7)),CO30,0)</x:f>
      </x:c>
      <x:c r="CP35" s="117">
        <x:f>IF(AND(YEAR(CP$3)=YEAR($B$7),MONTH(CP$3)=MONTH($B$7)),CP30,0)</x:f>
      </x:c>
      <x:c r="CQ35" s="117">
        <x:f>IF(AND(YEAR(CQ$3)=YEAR($B$7),MONTH(CQ$3)=MONTH($B$7)),CQ30,0)</x:f>
      </x:c>
      <x:c r="CR35" s="117">
        <x:f>IF(AND(YEAR(CR$3)=YEAR($B$7),MONTH(CR$3)=MONTH($B$7)),CR30,0)</x:f>
      </x:c>
      <x:c r="CS35" s="117">
        <x:f>IF(AND(YEAR(CS$3)=YEAR($B$7),MONTH(CS$3)=MONTH($B$7)),CS30,0)</x:f>
      </x:c>
      <x:c r="CT35" s="117">
        <x:f>IF(AND(YEAR(CT$3)=YEAR($B$7),MONTH(CT$3)=MONTH($B$7)),CT30,0)</x:f>
      </x:c>
      <x:c r="CU35" s="117">
        <x:f>IF(AND(YEAR(CU$3)=YEAR($B$7),MONTH(CU$3)=MONTH($B$7)),CU30,0)</x:f>
      </x:c>
      <x:c r="CV35" s="117">
        <x:f>IF(AND(YEAR(CV$3)=YEAR($B$7),MONTH(CV$3)=MONTH($B$7)),CV30,0)</x:f>
      </x:c>
      <x:c r="CW35" s="117">
        <x:f>IF(AND(YEAR(CW$3)=YEAR($B$7),MONTH(CW$3)=MONTH($B$7)),CW30,0)</x:f>
      </x:c>
      <x:c r="CX35" s="117">
        <x:f>IF(AND(YEAR(CX$3)=YEAR($B$7),MONTH(CX$3)=MONTH($B$7)),CX30,0)</x:f>
      </x:c>
      <x:c r="CY35" s="117">
        <x:f>IF(AND(YEAR(CY$3)=YEAR($B$7),MONTH(CY$3)=MONTH($B$7)),CY30,0)</x:f>
      </x:c>
      <x:c r="CZ35" s="117">
        <x:f>IF(AND(YEAR(CZ$3)=YEAR($B$7),MONTH(CZ$3)=MONTH($B$7)),CZ30,0)</x:f>
      </x:c>
      <x:c r="DA35" s="117">
        <x:f>IF(AND(YEAR(DA$3)=YEAR($B$7),MONTH(DA$3)=MONTH($B$7)),DA30,0)</x:f>
      </x:c>
      <x:c r="DB35" s="117">
        <x:f>IF(AND(YEAR(DB$3)=YEAR($B$7),MONTH(DB$3)=MONTH($B$7)),DB30,0)</x:f>
      </x:c>
      <x:c r="DC35" s="117">
        <x:f>IF(AND(YEAR(DC$3)=YEAR($B$7),MONTH(DC$3)=MONTH($B$7)),DC30,0)</x:f>
      </x:c>
      <x:c r="DD35" s="117">
        <x:f>IF(AND(YEAR(DD$3)=YEAR($B$7),MONTH(DD$3)=MONTH($B$7)),DD30,0)</x:f>
      </x:c>
      <x:c r="DE35" s="117">
        <x:f>IF(AND(YEAR(DE$3)=YEAR($B$7),MONTH(DE$3)=MONTH($B$7)),DE30,0)</x:f>
      </x:c>
      <x:c r="DF35" s="117">
        <x:f>IF(AND(YEAR(DF$3)=YEAR($B$7),MONTH(DF$3)=MONTH($B$7)),DF30,0)</x:f>
      </x:c>
      <x:c r="DG35" s="117">
        <x:f>IF(AND(YEAR(DG$3)=YEAR($B$7),MONTH(DG$3)=MONTH($B$7)),DG30,0)</x:f>
      </x:c>
      <x:c r="DH35" s="117">
        <x:f>IF(AND(YEAR(DH$3)=YEAR($B$7),MONTH(DH$3)=MONTH($B$7)),DH30,0)</x:f>
      </x:c>
      <x:c r="DI35" s="117">
        <x:f>IF(AND(YEAR(DI$3)=YEAR($B$7),MONTH(DI$3)=MONTH($B$7)),DI30,0)</x:f>
      </x:c>
      <x:c r="DJ35" s="117">
        <x:f>IF(AND(YEAR(DJ$3)=YEAR($B$7),MONTH(DJ$3)=MONTH($B$7)),DJ30,0)</x:f>
      </x:c>
      <x:c r="DK35" s="117">
        <x:f>IF(AND(YEAR(DK$3)=YEAR($B$7),MONTH(DK$3)=MONTH($B$7)),DK30,0)</x:f>
      </x:c>
      <x:c r="DL35" s="117">
        <x:f>IF(AND(YEAR(DL$3)=YEAR($B$7),MONTH(DL$3)=MONTH($B$7)),DL30,0)</x:f>
      </x:c>
      <x:c r="DM35" s="117">
        <x:f>IF(AND(YEAR(DM$3)=YEAR($B$7),MONTH(DM$3)=MONTH($B$7)),DM30,0)</x:f>
      </x:c>
      <x:c r="DN35" s="117">
        <x:f>IF(AND(YEAR(DN$3)=YEAR($B$7),MONTH(DN$3)=MONTH($B$7)),DN30,0)</x:f>
      </x:c>
      <x:c r="DO35" s="117">
        <x:f>IF(AND(YEAR(DO$3)=YEAR($B$7),MONTH(DO$3)=MONTH($B$7)),DO30,0)</x:f>
      </x:c>
      <x:c r="DP35" s="117">
        <x:f>IF(AND(YEAR(DP$3)=YEAR($B$7),MONTH(DP$3)=MONTH($B$7)),DP30,0)</x:f>
      </x:c>
      <x:c r="DQ35" s="117">
        <x:f>IF(AND(YEAR(DQ$3)=YEAR($B$7),MONTH(DQ$3)=MONTH($B$7)),DQ30,0)</x:f>
      </x:c>
      <x:c r="DR35" s="117">
        <x:f>IF(AND(YEAR(DR$3)=YEAR($B$7),MONTH(DR$3)=MONTH($B$7)),DR30,0)</x:f>
      </x:c>
      <x:c r="DS35" s="117">
        <x:f>IF(AND(YEAR(DS$3)=YEAR($B$7),MONTH(DS$3)=MONTH($B$7)),DS30,0)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>
        <x:f>MAX(0,D30+D34-D35)</x:f>
      </x:c>
      <x:c r="E36" s="120">
        <x:f>MAX(0,E30+E34-E35)</x:f>
      </x:c>
      <x:c r="F36" s="120">
        <x:f>MAX(0,F30+F34-F35)</x:f>
      </x:c>
      <x:c r="G36" s="120">
        <x:f>MAX(0,G30+G34-G35)</x:f>
      </x:c>
      <x:c r="H36" s="120">
        <x:f>MAX(0,H30+H34-H35)</x:f>
      </x:c>
      <x:c r="I36" s="120">
        <x:f>MAX(0,I30+I34-I35)</x:f>
      </x:c>
      <x:c r="J36" s="120">
        <x:f>MAX(0,J30+J34-J35)</x:f>
      </x:c>
      <x:c r="K36" s="120">
        <x:f>MAX(0,K30+K34-K35)</x:f>
      </x:c>
      <x:c r="L36" s="120">
        <x:f>MAX(0,L30+L34-L35)</x:f>
      </x:c>
      <x:c r="M36" s="120">
        <x:f>MAX(0,M30+M34-M35)</x:f>
      </x:c>
      <x:c r="N36" s="120">
        <x:f>MAX(0,N30+N34-N35)</x:f>
      </x:c>
      <x:c r="O36" s="120">
        <x:f>MAX(0,O30+O34-O35)</x:f>
      </x:c>
      <x:c r="P36" s="120">
        <x:f>MAX(0,P30+P34-P35)</x:f>
      </x:c>
      <x:c r="Q36" s="120">
        <x:f>MAX(0,Q30+Q34-Q35)</x:f>
      </x:c>
      <x:c r="R36" s="120">
        <x:f>MAX(0,R30+R34-R35)</x:f>
      </x:c>
      <x:c r="S36" s="120">
        <x:f>MAX(0,S30+S34-S35)</x:f>
      </x:c>
      <x:c r="T36" s="120">
        <x:f>MAX(0,T30+T34-T35)</x:f>
      </x:c>
      <x:c r="U36" s="120">
        <x:f>MAX(0,U30+U34-U35)</x:f>
      </x:c>
      <x:c r="V36" s="120">
        <x:f>MAX(0,V30+V34-V35)</x:f>
      </x:c>
      <x:c r="W36" s="120">
        <x:f>MAX(0,W30+W34-W35)</x:f>
      </x:c>
      <x:c r="X36" s="120">
        <x:f>MAX(0,X30+X34-X35)</x:f>
      </x:c>
      <x:c r="Y36" s="120">
        <x:f>MAX(0,Y30+Y34-Y35)</x:f>
      </x:c>
      <x:c r="Z36" s="120">
        <x:f>MAX(0,Z30+Z34-Z35)</x:f>
      </x:c>
      <x:c r="AA36" s="120">
        <x:f>MAX(0,AA30+AA34-AA35)</x:f>
      </x:c>
      <x:c r="AB36" s="120">
        <x:f>MAX(0,AB30+AB34-AB35)</x:f>
      </x:c>
      <x:c r="AC36" s="120">
        <x:f>MAX(0,AC30+AC34-AC35)</x:f>
      </x:c>
      <x:c r="AD36" s="120">
        <x:f>MAX(0,AD30+AD34-AD35)</x:f>
      </x:c>
      <x:c r="AE36" s="120">
        <x:f>MAX(0,AE30+AE34-AE35)</x:f>
      </x:c>
      <x:c r="AF36" s="120">
        <x:f>MAX(0,AF30+AF34-AF35)</x:f>
      </x:c>
      <x:c r="AG36" s="120">
        <x:f>MAX(0,AG30+AG34-AG35)</x:f>
      </x:c>
      <x:c r="AH36" s="120">
        <x:f>MAX(0,AH30+AH34-AH35)</x:f>
      </x:c>
      <x:c r="AI36" s="120">
        <x:f>MAX(0,AI30+AI34-AI35)</x:f>
      </x:c>
      <x:c r="AJ36" s="120">
        <x:f>MAX(0,AJ30+AJ34-AJ35)</x:f>
      </x:c>
      <x:c r="AK36" s="120">
        <x:f>MAX(0,AK30+AK34-AK35)</x:f>
      </x:c>
      <x:c r="AL36" s="120">
        <x:f>MAX(0,AL30+AL34-AL35)</x:f>
      </x:c>
      <x:c r="AM36" s="120">
        <x:f>MAX(0,AM30+AM34-AM35)</x:f>
      </x:c>
      <x:c r="AN36" s="120">
        <x:f>MAX(0,AN30+AN34-AN35)</x:f>
      </x:c>
      <x:c r="AO36" s="120">
        <x:f>MAX(0,AO30+AO34-AO35)</x:f>
      </x:c>
      <x:c r="AP36" s="120">
        <x:f>MAX(0,AP30+AP34-AP35)</x:f>
      </x:c>
      <x:c r="AQ36" s="120">
        <x:f>MAX(0,AQ30+AQ34-AQ35)</x:f>
      </x:c>
      <x:c r="AR36" s="120">
        <x:f>MAX(0,AR30+AR34-AR35)</x:f>
      </x:c>
      <x:c r="AS36" s="120">
        <x:f>MAX(0,AS30+AS34-AS35)</x:f>
      </x:c>
      <x:c r="AT36" s="120">
        <x:f>MAX(0,AT30+AT34-AT35)</x:f>
      </x:c>
      <x:c r="AU36" s="120">
        <x:f>MAX(0,AU30+AU34-AU35)</x:f>
      </x:c>
      <x:c r="AV36" s="120">
        <x:f>MAX(0,AV30+AV34-AV35)</x:f>
      </x:c>
      <x:c r="AW36" s="120">
        <x:f>MAX(0,AW30+AW34-AW35)</x:f>
      </x:c>
      <x:c r="AX36" s="120">
        <x:f>MAX(0,AX30+AX34-AX35)</x:f>
      </x:c>
      <x:c r="AY36" s="120">
        <x:f>MAX(0,AY30+AY34-AY35)</x:f>
      </x:c>
      <x:c r="AZ36" s="120">
        <x:f>MAX(0,AZ30+AZ34-AZ35)</x:f>
      </x:c>
      <x:c r="BA36" s="120">
        <x:f>MAX(0,BA30+BA34-BA35)</x:f>
      </x:c>
      <x:c r="BB36" s="120">
        <x:f>MAX(0,BB30+BB34-BB35)</x:f>
      </x:c>
      <x:c r="BC36" s="120">
        <x:f>MAX(0,BC30+BC34-BC35)</x:f>
      </x:c>
      <x:c r="BD36" s="120">
        <x:f>MAX(0,BD30+BD34-BD35)</x:f>
      </x:c>
      <x:c r="BE36" s="120">
        <x:f>MAX(0,BE30+BE34-BE35)</x:f>
      </x:c>
      <x:c r="BF36" s="120">
        <x:f>MAX(0,BF30+BF34-BF35)</x:f>
      </x:c>
      <x:c r="BG36" s="120">
        <x:f>MAX(0,BG30+BG34-BG35)</x:f>
      </x:c>
      <x:c r="BH36" s="120">
        <x:f>MAX(0,BH30+BH34-BH35)</x:f>
      </x:c>
      <x:c r="BI36" s="120">
        <x:f>MAX(0,BI30+BI34-BI35)</x:f>
      </x:c>
      <x:c r="BJ36" s="120">
        <x:f>MAX(0,BJ30+BJ34-BJ35)</x:f>
      </x:c>
      <x:c r="BK36" s="120">
        <x:f>MAX(0,BK30+BK34-BK35)</x:f>
      </x:c>
      <x:c r="BL36" s="120">
        <x:f>MAX(0,BL30+BL34-BL35)</x:f>
      </x:c>
      <x:c r="BM36" s="120">
        <x:f>MAX(0,BM30+BM34-BM35)</x:f>
      </x:c>
      <x:c r="BN36" s="120">
        <x:f>MAX(0,BN30+BN34-BN35)</x:f>
      </x:c>
      <x:c r="BO36" s="120">
        <x:f>MAX(0,BO30+BO34-BO35)</x:f>
      </x:c>
      <x:c r="BP36" s="120">
        <x:f>MAX(0,BP30+BP34-BP35)</x:f>
      </x:c>
      <x:c r="BQ36" s="120">
        <x:f>MAX(0,BQ30+BQ34-BQ35)</x:f>
      </x:c>
      <x:c r="BR36" s="120">
        <x:f>MAX(0,BR30+BR34-BR35)</x:f>
      </x:c>
      <x:c r="BS36" s="120">
        <x:f>MAX(0,BS30+BS34-BS35)</x:f>
      </x:c>
      <x:c r="BT36" s="120">
        <x:f>MAX(0,BT30+BT34-BT35)</x:f>
      </x:c>
      <x:c r="BU36" s="120">
        <x:f>MAX(0,BU30+BU34-BU35)</x:f>
      </x:c>
      <x:c r="BV36" s="120">
        <x:f>MAX(0,BV30+BV34-BV35)</x:f>
      </x:c>
      <x:c r="BW36" s="120">
        <x:f>MAX(0,BW30+BW34-BW35)</x:f>
      </x:c>
      <x:c r="BX36" s="120">
        <x:f>MAX(0,BX30+BX34-BX35)</x:f>
      </x:c>
      <x:c r="BY36" s="120">
        <x:f>MAX(0,BY30+BY34-BY35)</x:f>
      </x:c>
      <x:c r="BZ36" s="120">
        <x:f>MAX(0,BZ30+BZ34-BZ35)</x:f>
      </x:c>
      <x:c r="CA36" s="120">
        <x:f>MAX(0,CA30+CA34-CA35)</x:f>
      </x:c>
      <x:c r="CB36" s="120">
        <x:f>MAX(0,CB30+CB34-CB35)</x:f>
      </x:c>
      <x:c r="CC36" s="120">
        <x:f>MAX(0,CC30+CC34-CC35)</x:f>
      </x:c>
      <x:c r="CD36" s="120">
        <x:f>MAX(0,CD30+CD34-CD35)</x:f>
      </x:c>
      <x:c r="CE36" s="120">
        <x:f>MAX(0,CE30+CE34-CE35)</x:f>
      </x:c>
      <x:c r="CF36" s="120">
        <x:f>MAX(0,CF30+CF34-CF35)</x:f>
      </x:c>
      <x:c r="CG36" s="120">
        <x:f>MAX(0,CG30+CG34-CG35)</x:f>
      </x:c>
      <x:c r="CH36" s="120">
        <x:f>MAX(0,CH30+CH34-CH35)</x:f>
      </x:c>
      <x:c r="CI36" s="120">
        <x:f>MAX(0,CI30+CI34-CI35)</x:f>
      </x:c>
      <x:c r="CJ36" s="120">
        <x:f>MAX(0,CJ30+CJ34-CJ35)</x:f>
      </x:c>
      <x:c r="CK36" s="120">
        <x:f>MAX(0,CK30+CK34-CK35)</x:f>
      </x:c>
      <x:c r="CL36" s="120">
        <x:f>MAX(0,CL30+CL34-CL35)</x:f>
      </x:c>
      <x:c r="CM36" s="120">
        <x:f>MAX(0,CM30+CM34-CM35)</x:f>
      </x:c>
      <x:c r="CN36" s="120">
        <x:f>MAX(0,CN30+CN34-CN35)</x:f>
      </x:c>
      <x:c r="CO36" s="120">
        <x:f>MAX(0,CO30+CO34-CO35)</x:f>
      </x:c>
      <x:c r="CP36" s="120">
        <x:f>MAX(0,CP30+CP34-CP35)</x:f>
      </x:c>
      <x:c r="CQ36" s="120">
        <x:f>MAX(0,CQ30+CQ34-CQ35)</x:f>
      </x:c>
      <x:c r="CR36" s="120">
        <x:f>MAX(0,CR30+CR34-CR35)</x:f>
      </x:c>
      <x:c r="CS36" s="120">
        <x:f>MAX(0,CS30+CS34-CS35)</x:f>
      </x:c>
      <x:c r="CT36" s="120">
        <x:f>MAX(0,CT30+CT34-CT35)</x:f>
      </x:c>
      <x:c r="CU36" s="120">
        <x:f>MAX(0,CU30+CU34-CU35)</x:f>
      </x:c>
      <x:c r="CV36" s="120">
        <x:f>MAX(0,CV30+CV34-CV35)</x:f>
      </x:c>
      <x:c r="CW36" s="120">
        <x:f>MAX(0,CW30+CW34-CW35)</x:f>
      </x:c>
      <x:c r="CX36" s="120">
        <x:f>MAX(0,CX30+CX34-CX35)</x:f>
      </x:c>
      <x:c r="CY36" s="120">
        <x:f>MAX(0,CY30+CY34-CY35)</x:f>
      </x:c>
      <x:c r="CZ36" s="120">
        <x:f>MAX(0,CZ30+CZ34-CZ35)</x:f>
      </x:c>
      <x:c r="DA36" s="120">
        <x:f>MAX(0,DA30+DA34-DA35)</x:f>
      </x:c>
      <x:c r="DB36" s="120">
        <x:f>MAX(0,DB30+DB34-DB35)</x:f>
      </x:c>
      <x:c r="DC36" s="120">
        <x:f>MAX(0,DC30+DC34-DC35)</x:f>
      </x:c>
      <x:c r="DD36" s="120">
        <x:f>MAX(0,DD30+DD34-DD35)</x:f>
      </x:c>
      <x:c r="DE36" s="120">
        <x:f>MAX(0,DE30+DE34-DE35)</x:f>
      </x:c>
      <x:c r="DF36" s="120">
        <x:f>MAX(0,DF30+DF34-DF35)</x:f>
      </x:c>
      <x:c r="DG36" s="120">
        <x:f>MAX(0,DG30+DG34-DG35)</x:f>
      </x:c>
      <x:c r="DH36" s="120">
        <x:f>MAX(0,DH30+DH34-DH35)</x:f>
      </x:c>
      <x:c r="DI36" s="120">
        <x:f>MAX(0,DI30+DI34-DI35)</x:f>
      </x:c>
      <x:c r="DJ36" s="120">
        <x:f>MAX(0,DJ30+DJ34-DJ35)</x:f>
      </x:c>
      <x:c r="DK36" s="120">
        <x:f>MAX(0,DK30+DK34-DK35)</x:f>
      </x:c>
      <x:c r="DL36" s="120">
        <x:f>MAX(0,DL30+DL34-DL35)</x:f>
      </x:c>
      <x:c r="DM36" s="120">
        <x:f>MAX(0,DM30+DM34-DM35)</x:f>
      </x:c>
      <x:c r="DN36" s="120">
        <x:f>MAX(0,DN30+DN34-DN35)</x:f>
      </x:c>
      <x:c r="DO36" s="120">
        <x:f>MAX(0,DO30+DO34-DO35)</x:f>
      </x:c>
      <x:c r="DP36" s="120">
        <x:f>MAX(0,DP30+DP34-DP35)</x:f>
      </x:c>
      <x:c r="DQ36" s="120">
        <x:f>MAX(0,DQ30+DQ34-DQ35)</x:f>
      </x:c>
      <x:c r="DR36" s="120">
        <x:f>MAX(0,DR30+DR34-DR35)</x:f>
      </x:c>
      <x:c r="DS36" s="120">
        <x:f>MAX(0,DS30+DS34-DS35)</x:f>
      </x:c>
    </x:row>
    <x:row r="37">
      <x:c r="A37" t="inlineStr">
        <x:is>
          <x:t>БРИДЖ — проценты к уплате (накопленно)</x:t>
        </x:is>
      </x:c>
      <x:c r="B37"/>
      <x:c r="C37"/>
      <x:c r="D37" s="117">
        <x:f>IF(AND(D$3&lt;$B$7,$B$5=1),C37*(1+'Ставки'!D$6/12)+D32,0)</x:f>
      </x:c>
      <x:c r="E37" s="117">
        <x:f>IF(AND(E$3&lt;$B$7,$B$5=1),D37*(1+'Ставки'!E$6/12)+E32,0)</x:f>
      </x:c>
      <x:c r="F37" s="117">
        <x:f>IF(AND(F$3&lt;$B$7,$B$5=1),E37*(1+'Ставки'!F$6/12)+F32,0)</x:f>
      </x:c>
      <x:c r="G37" s="117">
        <x:f>IF(AND(G$3&lt;$B$7,$B$5=1),F37*(1+'Ставки'!G$6/12)+G32,0)</x:f>
      </x:c>
      <x:c r="H37" s="117">
        <x:f>IF(AND(H$3&lt;$B$7,$B$5=1),G37*(1+'Ставки'!H$6/12)+H32,0)</x:f>
      </x:c>
      <x:c r="I37" s="117">
        <x:f>IF(AND(I$3&lt;$B$7,$B$5=1),H37*(1+'Ставки'!I$6/12)+I32,0)</x:f>
      </x:c>
      <x:c r="J37" s="117">
        <x:f>IF(AND(J$3&lt;$B$7,$B$5=1),I37*(1+'Ставки'!J$6/12)+J32,0)</x:f>
      </x:c>
      <x:c r="K37" s="117">
        <x:f>IF(AND(K$3&lt;$B$7,$B$5=1),J37*(1+'Ставки'!K$6/12)+K32,0)</x:f>
      </x:c>
      <x:c r="L37" s="117">
        <x:f>IF(AND(L$3&lt;$B$7,$B$5=1),K37*(1+'Ставки'!L$6/12)+L32,0)</x:f>
      </x:c>
      <x:c r="M37" s="117">
        <x:f>IF(AND(M$3&lt;$B$7,$B$5=1),L37*(1+'Ставки'!M$6/12)+M32,0)</x:f>
      </x:c>
      <x:c r="N37" s="117">
        <x:f>IF(AND(N$3&lt;$B$7,$B$5=1),M37*(1+'Ставки'!N$6/12)+N32,0)</x:f>
      </x:c>
      <x:c r="O37" s="117">
        <x:f>IF(AND(O$3&lt;$B$7,$B$5=1),N37*(1+'Ставки'!O$6/12)+O32,0)</x:f>
      </x:c>
      <x:c r="P37" s="117">
        <x:f>IF(AND(P$3&lt;$B$7,$B$5=1),O37*(1+'Ставки'!P$6/12)+P32,0)</x:f>
      </x:c>
      <x:c r="Q37" s="117">
        <x:f>IF(AND(Q$3&lt;$B$7,$B$5=1),P37*(1+'Ставки'!Q$6/12)+Q32,0)</x:f>
      </x:c>
      <x:c r="R37" s="117">
        <x:f>IF(AND(R$3&lt;$B$7,$B$5=1),Q37*(1+'Ставки'!R$6/12)+R32,0)</x:f>
      </x:c>
      <x:c r="S37" s="117">
        <x:f>IF(AND(S$3&lt;$B$7,$B$5=1),R37*(1+'Ставки'!S$6/12)+S32,0)</x:f>
      </x:c>
      <x:c r="T37" s="117">
        <x:f>IF(AND(T$3&lt;$B$7,$B$5=1),S37*(1+'Ставки'!T$6/12)+T32,0)</x:f>
      </x:c>
      <x:c r="U37" s="117">
        <x:f>IF(AND(U$3&lt;$B$7,$B$5=1),T37*(1+'Ставки'!U$6/12)+U32,0)</x:f>
      </x:c>
      <x:c r="V37" s="117">
        <x:f>IF(AND(V$3&lt;$B$7,$B$5=1),U37*(1+'Ставки'!V$6/12)+V32,0)</x:f>
      </x:c>
      <x:c r="W37" s="117">
        <x:f>IF(AND(W$3&lt;$B$7,$B$5=1),V37*(1+'Ставки'!W$6/12)+W32,0)</x:f>
      </x:c>
      <x:c r="X37" s="117">
        <x:f>IF(AND(X$3&lt;$B$7,$B$5=1),W37*(1+'Ставки'!X$6/12)+X32,0)</x:f>
      </x:c>
      <x:c r="Y37" s="117">
        <x:f>IF(AND(Y$3&lt;$B$7,$B$5=1),X37*(1+'Ставки'!Y$6/12)+Y32,0)</x:f>
      </x:c>
      <x:c r="Z37" s="117">
        <x:f>IF(AND(Z$3&lt;$B$7,$B$5=1),Y37*(1+'Ставки'!Z$6/12)+Z32,0)</x:f>
      </x:c>
      <x:c r="AA37" s="117">
        <x:f>IF(AND(AA$3&lt;$B$7,$B$5=1),Z37*(1+'Ставки'!AA$6/12)+AA32,0)</x:f>
      </x:c>
      <x:c r="AB37" s="117">
        <x:f>IF(AND(AB$3&lt;$B$7,$B$5=1),AA37*(1+'Ставки'!AB$6/12)+AB32,0)</x:f>
      </x:c>
      <x:c r="AC37" s="117">
        <x:f>IF(AND(AC$3&lt;$B$7,$B$5=1),AB37*(1+'Ставки'!AC$6/12)+AC32,0)</x:f>
      </x:c>
      <x:c r="AD37" s="117">
        <x:f>IF(AND(AD$3&lt;$B$7,$B$5=1),AC37*(1+'Ставки'!AD$6/12)+AD32,0)</x:f>
      </x:c>
      <x:c r="AE37" s="117">
        <x:f>IF(AND(AE$3&lt;$B$7,$B$5=1),AD37*(1+'Ставки'!AE$6/12)+AE32,0)</x:f>
      </x:c>
      <x:c r="AF37" s="117">
        <x:f>IF(AND(AF$3&lt;$B$7,$B$5=1),AE37*(1+'Ставки'!AF$6/12)+AF32,0)</x:f>
      </x:c>
      <x:c r="AG37" s="117">
        <x:f>IF(AND(AG$3&lt;$B$7,$B$5=1),AF37*(1+'Ставки'!AG$6/12)+AG32,0)</x:f>
      </x:c>
      <x:c r="AH37" s="117">
        <x:f>IF(AND(AH$3&lt;$B$7,$B$5=1),AG37*(1+'Ставки'!AH$6/12)+AH32,0)</x:f>
      </x:c>
      <x:c r="AI37" s="117">
        <x:f>IF(AND(AI$3&lt;$B$7,$B$5=1),AH37*(1+'Ставки'!AI$6/12)+AI32,0)</x:f>
      </x:c>
      <x:c r="AJ37" s="117">
        <x:f>IF(AND(AJ$3&lt;$B$7,$B$5=1),AI37*(1+'Ставки'!AJ$6/12)+AJ32,0)</x:f>
      </x:c>
      <x:c r="AK37" s="117">
        <x:f>IF(AND(AK$3&lt;$B$7,$B$5=1),AJ37*(1+'Ставки'!AK$6/12)+AK32,0)</x:f>
      </x:c>
      <x:c r="AL37" s="117">
        <x:f>IF(AND(AL$3&lt;$B$7,$B$5=1),AK37*(1+'Ставки'!AL$6/12)+AL32,0)</x:f>
      </x:c>
      <x:c r="AM37" s="117">
        <x:f>IF(AND(AM$3&lt;$B$7,$B$5=1),AL37*(1+'Ставки'!AM$6/12)+AM32,0)</x:f>
      </x:c>
      <x:c r="AN37" s="117">
        <x:f>IF(AND(AN$3&lt;$B$7,$B$5=1),AM37*(1+'Ставки'!AN$6/12)+AN32,0)</x:f>
      </x:c>
      <x:c r="AO37" s="117">
        <x:f>IF(AND(AO$3&lt;$B$7,$B$5=1),AN37*(1+'Ставки'!AO$6/12)+AO32,0)</x:f>
      </x:c>
      <x:c r="AP37" s="117">
        <x:f>IF(AND(AP$3&lt;$B$7,$B$5=1),AO37*(1+'Ставки'!AP$6/12)+AP32,0)</x:f>
      </x:c>
      <x:c r="AQ37" s="117">
        <x:f>IF(AND(AQ$3&lt;$B$7,$B$5=1),AP37*(1+'Ставки'!AQ$6/12)+AQ32,0)</x:f>
      </x:c>
      <x:c r="AR37" s="117">
        <x:f>IF(AND(AR$3&lt;$B$7,$B$5=1),AQ37*(1+'Ставки'!AR$6/12)+AR32,0)</x:f>
      </x:c>
      <x:c r="AS37" s="117">
        <x:f>IF(AND(AS$3&lt;$B$7,$B$5=1),AR37*(1+'Ставки'!AS$6/12)+AS32,0)</x:f>
      </x:c>
      <x:c r="AT37" s="117">
        <x:f>IF(AND(AT$3&lt;$B$7,$B$5=1),AS37*(1+'Ставки'!AT$6/12)+AT32,0)</x:f>
      </x:c>
      <x:c r="AU37" s="117">
        <x:f>IF(AND(AU$3&lt;$B$7,$B$5=1),AT37*(1+'Ставки'!AU$6/12)+AU32,0)</x:f>
      </x:c>
      <x:c r="AV37" s="117">
        <x:f>IF(AND(AV$3&lt;$B$7,$B$5=1),AU37*(1+'Ставки'!AV$6/12)+AV32,0)</x:f>
      </x:c>
      <x:c r="AW37" s="117">
        <x:f>IF(AND(AW$3&lt;$B$7,$B$5=1),AV37*(1+'Ставки'!AW$6/12)+AW32,0)</x:f>
      </x:c>
      <x:c r="AX37" s="117">
        <x:f>IF(AND(AX$3&lt;$B$7,$B$5=1),AW37*(1+'Ставки'!AX$6/12)+AX32,0)</x:f>
      </x:c>
      <x:c r="AY37" s="117">
        <x:f>IF(AND(AY$3&lt;$B$7,$B$5=1),AX37*(1+'Ставки'!AY$6/12)+AY32,0)</x:f>
      </x:c>
      <x:c r="AZ37" s="117">
        <x:f>IF(AND(AZ$3&lt;$B$7,$B$5=1),AY37*(1+'Ставки'!AZ$6/12)+AZ32,0)</x:f>
      </x:c>
      <x:c r="BA37" s="117">
        <x:f>IF(AND(BA$3&lt;$B$7,$B$5=1),AZ37*(1+'Ставки'!BA$6/12)+BA32,0)</x:f>
      </x:c>
      <x:c r="BB37" s="117">
        <x:f>IF(AND(BB$3&lt;$B$7,$B$5=1),BA37*(1+'Ставки'!BB$6/12)+BB32,0)</x:f>
      </x:c>
      <x:c r="BC37" s="117">
        <x:f>IF(AND(BC$3&lt;$B$7,$B$5=1),BB37*(1+'Ставки'!BC$6/12)+BC32,0)</x:f>
      </x:c>
      <x:c r="BD37" s="117">
        <x:f>IF(AND(BD$3&lt;$B$7,$B$5=1),BC37*(1+'Ставки'!BD$6/12)+BD32,0)</x:f>
      </x:c>
      <x:c r="BE37" s="117">
        <x:f>IF(AND(BE$3&lt;$B$7,$B$5=1),BD37*(1+'Ставки'!BE$6/12)+BE32,0)</x:f>
      </x:c>
      <x:c r="BF37" s="117">
        <x:f>IF(AND(BF$3&lt;$B$7,$B$5=1),BE37*(1+'Ставки'!BF$6/12)+BF32,0)</x:f>
      </x:c>
      <x:c r="BG37" s="117">
        <x:f>IF(AND(BG$3&lt;$B$7,$B$5=1),BF37*(1+'Ставки'!BG$6/12)+BG32,0)</x:f>
      </x:c>
      <x:c r="BH37" s="117">
        <x:f>IF(AND(BH$3&lt;$B$7,$B$5=1),BG37*(1+'Ставки'!BH$6/12)+BH32,0)</x:f>
      </x:c>
      <x:c r="BI37" s="117">
        <x:f>IF(AND(BI$3&lt;$B$7,$B$5=1),BH37*(1+'Ставки'!BI$6/12)+BI32,0)</x:f>
      </x:c>
      <x:c r="BJ37" s="117">
        <x:f>IF(AND(BJ$3&lt;$B$7,$B$5=1),BI37*(1+'Ставки'!BJ$6/12)+BJ32,0)</x:f>
      </x:c>
      <x:c r="BK37" s="117">
        <x:f>IF(AND(BK$3&lt;$B$7,$B$5=1),BJ37*(1+'Ставки'!BK$6/12)+BK32,0)</x:f>
      </x:c>
      <x:c r="BL37" s="117">
        <x:f>IF(AND(BL$3&lt;$B$7,$B$5=1),BK37*(1+'Ставки'!BL$6/12)+BL32,0)</x:f>
      </x:c>
      <x:c r="BM37" s="117">
        <x:f>IF(AND(BM$3&lt;$B$7,$B$5=1),BL37*(1+'Ставки'!BM$6/12)+BM32,0)</x:f>
      </x:c>
      <x:c r="BN37" s="117">
        <x:f>IF(AND(BN$3&lt;$B$7,$B$5=1),BM37*(1+'Ставки'!BN$6/12)+BN32,0)</x:f>
      </x:c>
      <x:c r="BO37" s="117">
        <x:f>IF(AND(BO$3&lt;$B$7,$B$5=1),BN37*(1+'Ставки'!BO$6/12)+BO32,0)</x:f>
      </x:c>
      <x:c r="BP37" s="117">
        <x:f>IF(AND(BP$3&lt;$B$7,$B$5=1),BO37*(1+'Ставки'!BP$6/12)+BP32,0)</x:f>
      </x:c>
      <x:c r="BQ37" s="117">
        <x:f>IF(AND(BQ$3&lt;$B$7,$B$5=1),BP37*(1+'Ставки'!BQ$6/12)+BQ32,0)</x:f>
      </x:c>
      <x:c r="BR37" s="117">
        <x:f>IF(AND(BR$3&lt;$B$7,$B$5=1),BQ37*(1+'Ставки'!BR$6/12)+BR32,0)</x:f>
      </x:c>
      <x:c r="BS37" s="117">
        <x:f>IF(AND(BS$3&lt;$B$7,$B$5=1),BR37*(1+'Ставки'!BS$6/12)+BS32,0)</x:f>
      </x:c>
      <x:c r="BT37" s="117">
        <x:f>IF(AND(BT$3&lt;$B$7,$B$5=1),BS37*(1+'Ставки'!BT$6/12)+BT32,0)</x:f>
      </x:c>
      <x:c r="BU37" s="117">
        <x:f>IF(AND(BU$3&lt;$B$7,$B$5=1),BT37*(1+'Ставки'!BU$6/12)+BU32,0)</x:f>
      </x:c>
      <x:c r="BV37" s="117">
        <x:f>IF(AND(BV$3&lt;$B$7,$B$5=1),BU37*(1+'Ставки'!BV$6/12)+BV32,0)</x:f>
      </x:c>
      <x:c r="BW37" s="117">
        <x:f>IF(AND(BW$3&lt;$B$7,$B$5=1),BV37*(1+'Ставки'!BW$6/12)+BW32,0)</x:f>
      </x:c>
      <x:c r="BX37" s="117">
        <x:f>IF(AND(BX$3&lt;$B$7,$B$5=1),BW37*(1+'Ставки'!BX$6/12)+BX32,0)</x:f>
      </x:c>
      <x:c r="BY37" s="117">
        <x:f>IF(AND(BY$3&lt;$B$7,$B$5=1),BX37*(1+'Ставки'!BY$6/12)+BY32,0)</x:f>
      </x:c>
      <x:c r="BZ37" s="117">
        <x:f>IF(AND(BZ$3&lt;$B$7,$B$5=1),BY37*(1+'Ставки'!BZ$6/12)+BZ32,0)</x:f>
      </x:c>
      <x:c r="CA37" s="117">
        <x:f>IF(AND(CA$3&lt;$B$7,$B$5=1),BZ37*(1+'Ставки'!CA$6/12)+CA32,0)</x:f>
      </x:c>
      <x:c r="CB37" s="117">
        <x:f>IF(AND(CB$3&lt;$B$7,$B$5=1),CA37*(1+'Ставки'!CB$6/12)+CB32,0)</x:f>
      </x:c>
      <x:c r="CC37" s="117">
        <x:f>IF(AND(CC$3&lt;$B$7,$B$5=1),CB37*(1+'Ставки'!CC$6/12)+CC32,0)</x:f>
      </x:c>
      <x:c r="CD37" s="117">
        <x:f>IF(AND(CD$3&lt;$B$7,$B$5=1),CC37*(1+'Ставки'!CD$6/12)+CD32,0)</x:f>
      </x:c>
      <x:c r="CE37" s="117">
        <x:f>IF(AND(CE$3&lt;$B$7,$B$5=1),CD37*(1+'Ставки'!CE$6/12)+CE32,0)</x:f>
      </x:c>
      <x:c r="CF37" s="117">
        <x:f>IF(AND(CF$3&lt;$B$7,$B$5=1),CE37*(1+'Ставки'!CF$6/12)+CF32,0)</x:f>
      </x:c>
      <x:c r="CG37" s="117">
        <x:f>IF(AND(CG$3&lt;$B$7,$B$5=1),CF37*(1+'Ставки'!CG$6/12)+CG32,0)</x:f>
      </x:c>
      <x:c r="CH37" s="117">
        <x:f>IF(AND(CH$3&lt;$B$7,$B$5=1),CG37*(1+'Ставки'!CH$6/12)+CH32,0)</x:f>
      </x:c>
      <x:c r="CI37" s="117">
        <x:f>IF(AND(CI$3&lt;$B$7,$B$5=1),CH37*(1+'Ставки'!CI$6/12)+CI32,0)</x:f>
      </x:c>
      <x:c r="CJ37" s="117">
        <x:f>IF(AND(CJ$3&lt;$B$7,$B$5=1),CI37*(1+'Ставки'!CJ$6/12)+CJ32,0)</x:f>
      </x:c>
      <x:c r="CK37" s="117">
        <x:f>IF(AND(CK$3&lt;$B$7,$B$5=1),CJ37*(1+'Ставки'!CK$6/12)+CK32,0)</x:f>
      </x:c>
      <x:c r="CL37" s="117">
        <x:f>IF(AND(CL$3&lt;$B$7,$B$5=1),CK37*(1+'Ставки'!CL$6/12)+CL32,0)</x:f>
      </x:c>
      <x:c r="CM37" s="117">
        <x:f>IF(AND(CM$3&lt;$B$7,$B$5=1),CL37*(1+'Ставки'!CM$6/12)+CM32,0)</x:f>
      </x:c>
      <x:c r="CN37" s="117">
        <x:f>IF(AND(CN$3&lt;$B$7,$B$5=1),CM37*(1+'Ставки'!CN$6/12)+CN32,0)</x:f>
      </x:c>
      <x:c r="CO37" s="117">
        <x:f>IF(AND(CO$3&lt;$B$7,$B$5=1),CN37*(1+'Ставки'!CO$6/12)+CO32,0)</x:f>
      </x:c>
      <x:c r="CP37" s="117">
        <x:f>IF(AND(CP$3&lt;$B$7,$B$5=1),CO37*(1+'Ставки'!CP$6/12)+CP32,0)</x:f>
      </x:c>
      <x:c r="CQ37" s="117">
        <x:f>IF(AND(CQ$3&lt;$B$7,$B$5=1),CP37*(1+'Ставки'!CQ$6/12)+CQ32,0)</x:f>
      </x:c>
      <x:c r="CR37" s="117">
        <x:f>IF(AND(CR$3&lt;$B$7,$B$5=1),CQ37*(1+'Ставки'!CR$6/12)+CR32,0)</x:f>
      </x:c>
      <x:c r="CS37" s="117">
        <x:f>IF(AND(CS$3&lt;$B$7,$B$5=1),CR37*(1+'Ставки'!CS$6/12)+CS32,0)</x:f>
      </x:c>
      <x:c r="CT37" s="117">
        <x:f>IF(AND(CT$3&lt;$B$7,$B$5=1),CS37*(1+'Ставки'!CT$6/12)+CT32,0)</x:f>
      </x:c>
      <x:c r="CU37" s="117">
        <x:f>IF(AND(CU$3&lt;$B$7,$B$5=1),CT37*(1+'Ставки'!CU$6/12)+CU32,0)</x:f>
      </x:c>
      <x:c r="CV37" s="117">
        <x:f>IF(AND(CV$3&lt;$B$7,$B$5=1),CU37*(1+'Ставки'!CV$6/12)+CV32,0)</x:f>
      </x:c>
      <x:c r="CW37" s="117">
        <x:f>IF(AND(CW$3&lt;$B$7,$B$5=1),CV37*(1+'Ставки'!CW$6/12)+CW32,0)</x:f>
      </x:c>
      <x:c r="CX37" s="117">
        <x:f>IF(AND(CX$3&lt;$B$7,$B$5=1),CW37*(1+'Ставки'!CX$6/12)+CX32,0)</x:f>
      </x:c>
      <x:c r="CY37" s="117">
        <x:f>IF(AND(CY$3&lt;$B$7,$B$5=1),CX37*(1+'Ставки'!CY$6/12)+CY32,0)</x:f>
      </x:c>
      <x:c r="CZ37" s="117">
        <x:f>IF(AND(CZ$3&lt;$B$7,$B$5=1),CY37*(1+'Ставки'!CZ$6/12)+CZ32,0)</x:f>
      </x:c>
      <x:c r="DA37" s="117">
        <x:f>IF(AND(DA$3&lt;$B$7,$B$5=1),CZ37*(1+'Ставки'!DA$6/12)+DA32,0)</x:f>
      </x:c>
      <x:c r="DB37" s="117">
        <x:f>IF(AND(DB$3&lt;$B$7,$B$5=1),DA37*(1+'Ставки'!DB$6/12)+DB32,0)</x:f>
      </x:c>
      <x:c r="DC37" s="117">
        <x:f>IF(AND(DC$3&lt;$B$7,$B$5=1),DB37*(1+'Ставки'!DC$6/12)+DC32,0)</x:f>
      </x:c>
      <x:c r="DD37" s="117">
        <x:f>IF(AND(DD$3&lt;$B$7,$B$5=1),DC37*(1+'Ставки'!DD$6/12)+DD32,0)</x:f>
      </x:c>
      <x:c r="DE37" s="117">
        <x:f>IF(AND(DE$3&lt;$B$7,$B$5=1),DD37*(1+'Ставки'!DE$6/12)+DE32,0)</x:f>
      </x:c>
      <x:c r="DF37" s="117">
        <x:f>IF(AND(DF$3&lt;$B$7,$B$5=1),DE37*(1+'Ставки'!DF$6/12)+DF32,0)</x:f>
      </x:c>
      <x:c r="DG37" s="117">
        <x:f>IF(AND(DG$3&lt;$B$7,$B$5=1),DF37*(1+'Ставки'!DG$6/12)+DG32,0)</x:f>
      </x:c>
      <x:c r="DH37" s="117">
        <x:f>IF(AND(DH$3&lt;$B$7,$B$5=1),DG37*(1+'Ставки'!DH$6/12)+DH32,0)</x:f>
      </x:c>
      <x:c r="DI37" s="117">
        <x:f>IF(AND(DI$3&lt;$B$7,$B$5=1),DH37*(1+'Ставки'!DI$6/12)+DI32,0)</x:f>
      </x:c>
      <x:c r="DJ37" s="117">
        <x:f>IF(AND(DJ$3&lt;$B$7,$B$5=1),DI37*(1+'Ставки'!DJ$6/12)+DJ32,0)</x:f>
      </x:c>
      <x:c r="DK37" s="117">
        <x:f>IF(AND(DK$3&lt;$B$7,$B$5=1),DJ37*(1+'Ставки'!DK$6/12)+DK32,0)</x:f>
      </x:c>
      <x:c r="DL37" s="117">
        <x:f>IF(AND(DL$3&lt;$B$7,$B$5=1),DK37*(1+'Ставки'!DL$6/12)+DL32,0)</x:f>
      </x:c>
      <x:c r="DM37" s="117">
        <x:f>IF(AND(DM$3&lt;$B$7,$B$5=1),DL37*(1+'Ставки'!DM$6/12)+DM32,0)</x:f>
      </x:c>
      <x:c r="DN37" s="117">
        <x:f>IF(AND(DN$3&lt;$B$7,$B$5=1),DM37*(1+'Ставки'!DN$6/12)+DN32,0)</x:f>
      </x:c>
      <x:c r="DO37" s="117">
        <x:f>IF(AND(DO$3&lt;$B$7,$B$5=1),DN37*(1+'Ставки'!DO$6/12)+DO32,0)</x:f>
      </x:c>
      <x:c r="DP37" s="117">
        <x:f>IF(AND(DP$3&lt;$B$7,$B$5=1),DO37*(1+'Ставки'!DP$6/12)+DP32,0)</x:f>
      </x:c>
      <x:c r="DQ37" s="117">
        <x:f>IF(AND(DQ$3&lt;$B$7,$B$5=1),DP37*(1+'Ставки'!DQ$6/12)+DQ32,0)</x:f>
      </x:c>
      <x:c r="DR37" s="117">
        <x:f>IF(AND(DR$3&lt;$B$7,$B$5=1),DQ37*(1+'Ставки'!DR$6/12)+DR32,0)</x:f>
      </x:c>
      <x:c r="DS37" s="117">
        <x:f>IF(AND(DS$3&lt;$B$7,$B$5=1),DR37*(1+'Ставки'!DS$6/12)+DS32,0)</x:f>
      </x:c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>
        <x:f>IFERROR((D13+D11)/MAX(1,D38+D45),0)</x:f>
      </x:c>
      <x:c r="E40" s="122">
        <x:f>IFERROR((E13+E11)/MAX(1,E38+E45),0)</x:f>
      </x:c>
      <x:c r="F40" s="122">
        <x:f>IFERROR((F13+F11)/MAX(1,F38+F45),0)</x:f>
      </x:c>
      <x:c r="G40" s="122">
        <x:f>IFERROR((G13+G11)/MAX(1,G38+G45),0)</x:f>
      </x:c>
      <x:c r="H40" s="122">
        <x:f>IFERROR((H13+H11)/MAX(1,H38+H45),0)</x:f>
      </x:c>
      <x:c r="I40" s="122">
        <x:f>IFERROR((I13+I11)/MAX(1,I38+I45),0)</x:f>
      </x:c>
      <x:c r="J40" s="122">
        <x:f>IFERROR((J13+J11)/MAX(1,J38+J45),0)</x:f>
      </x:c>
      <x:c r="K40" s="122">
        <x:f>IFERROR((K13+K11)/MAX(1,K38+K45),0)</x:f>
      </x:c>
      <x:c r="L40" s="122">
        <x:f>IFERROR((L13+L11)/MAX(1,L38+L45),0)</x:f>
      </x:c>
      <x:c r="M40" s="122">
        <x:f>IFERROR((M13+M11)/MAX(1,M38+M45),0)</x:f>
      </x:c>
      <x:c r="N40" s="122">
        <x:f>IFERROR((N13+N11)/MAX(1,N38+N45),0)</x:f>
      </x:c>
      <x:c r="O40" s="122">
        <x:f>IFERROR((O13+O11)/MAX(1,O38+O45),0)</x:f>
      </x:c>
      <x:c r="P40" s="122">
        <x:f>IFERROR((P13+P11)/MAX(1,P38+P45),0)</x:f>
      </x:c>
      <x:c r="Q40" s="122">
        <x:f>IFERROR((Q13+Q11)/MAX(1,Q38+Q45),0)</x:f>
      </x:c>
      <x:c r="R40" s="122">
        <x:f>IFERROR((R13+R11)/MAX(1,R38+R45),0)</x:f>
      </x:c>
      <x:c r="S40" s="122">
        <x:f>IFERROR((S13+S11)/MAX(1,S38+S45),0)</x:f>
      </x:c>
      <x:c r="T40" s="122">
        <x:f>IFERROR((T13+T11)/MAX(1,T38+T45),0)</x:f>
      </x:c>
      <x:c r="U40" s="122">
        <x:f>IFERROR((U13+U11)/MAX(1,U38+U45),0)</x:f>
      </x:c>
      <x:c r="V40" s="122">
        <x:f>IFERROR((V13+V11)/MAX(1,V38+V45),0)</x:f>
      </x:c>
      <x:c r="W40" s="122">
        <x:f>IFERROR((W13+W11)/MAX(1,W38+W45),0)</x:f>
      </x:c>
      <x:c r="X40" s="122">
        <x:f>IFERROR((X13+X11)/MAX(1,X38+X45),0)</x:f>
      </x:c>
      <x:c r="Y40" s="122">
        <x:f>IFERROR((Y13+Y11)/MAX(1,Y38+Y45),0)</x:f>
      </x:c>
      <x:c r="Z40" s="122">
        <x:f>IFERROR((Z13+Z11)/MAX(1,Z38+Z45),0)</x:f>
      </x:c>
      <x:c r="AA40" s="122">
        <x:f>IFERROR((AA13+AA11)/MAX(1,AA38+AA45),0)</x:f>
      </x:c>
      <x:c r="AB40" s="122">
        <x:f>IFERROR((AB13+AB11)/MAX(1,AB38+AB45),0)</x:f>
      </x:c>
      <x:c r="AC40" s="122">
        <x:f>IFERROR((AC13+AC11)/MAX(1,AC38+AC45),0)</x:f>
      </x:c>
      <x:c r="AD40" s="122">
        <x:f>IFERROR((AD13+AD11)/MAX(1,AD38+AD45),0)</x:f>
      </x:c>
      <x:c r="AE40" s="122">
        <x:f>IFERROR((AE13+AE11)/MAX(1,AE38+AE45),0)</x:f>
      </x:c>
      <x:c r="AF40" s="122">
        <x:f>IFERROR((AF13+AF11)/MAX(1,AF38+AF45),0)</x:f>
      </x:c>
      <x:c r="AG40" s="122">
        <x:f>IFERROR((AG13+AG11)/MAX(1,AG38+AG45),0)</x:f>
      </x:c>
      <x:c r="AH40" s="122">
        <x:f>IFERROR((AH13+AH11)/MAX(1,AH38+AH45),0)</x:f>
      </x:c>
      <x:c r="AI40" s="122">
        <x:f>IFERROR((AI13+AI11)/MAX(1,AI38+AI45),0)</x:f>
      </x:c>
      <x:c r="AJ40" s="122">
        <x:f>IFERROR((AJ13+AJ11)/MAX(1,AJ38+AJ45),0)</x:f>
      </x:c>
      <x:c r="AK40" s="122">
        <x:f>IFERROR((AK13+AK11)/MAX(1,AK38+AK45),0)</x:f>
      </x:c>
      <x:c r="AL40" s="122">
        <x:f>IFERROR((AL13+AL11)/MAX(1,AL38+AL45),0)</x:f>
      </x:c>
      <x:c r="AM40" s="122">
        <x:f>IFERROR((AM13+AM11)/MAX(1,AM38+AM45),0)</x:f>
      </x:c>
      <x:c r="AN40" s="122">
        <x:f>IFERROR((AN13+AN11)/MAX(1,AN38+AN45),0)</x:f>
      </x:c>
      <x:c r="AO40" s="122">
        <x:f>IFERROR((AO13+AO11)/MAX(1,AO38+AO45),0)</x:f>
      </x:c>
      <x:c r="AP40" s="122">
        <x:f>IFERROR((AP13+AP11)/MAX(1,AP38+AP45),0)</x:f>
      </x:c>
      <x:c r="AQ40" s="122">
        <x:f>IFERROR((AQ13+AQ11)/MAX(1,AQ38+AQ45),0)</x:f>
      </x:c>
      <x:c r="AR40" s="122">
        <x:f>IFERROR((AR13+AR11)/MAX(1,AR38+AR45),0)</x:f>
      </x:c>
      <x:c r="AS40" s="122">
        <x:f>IFERROR((AS13+AS11)/MAX(1,AS38+AS45),0)</x:f>
      </x:c>
      <x:c r="AT40" s="122">
        <x:f>IFERROR((AT13+AT11)/MAX(1,AT38+AT45),0)</x:f>
      </x:c>
      <x:c r="AU40" s="122">
        <x:f>IFERROR((AU13+AU11)/MAX(1,AU38+AU45),0)</x:f>
      </x:c>
      <x:c r="AV40" s="122">
        <x:f>IFERROR((AV13+AV11)/MAX(1,AV38+AV45),0)</x:f>
      </x:c>
      <x:c r="AW40" s="122">
        <x:f>IFERROR((AW13+AW11)/MAX(1,AW38+AW45),0)</x:f>
      </x:c>
      <x:c r="AX40" s="122">
        <x:f>IFERROR((AX13+AX11)/MAX(1,AX38+AX45),0)</x:f>
      </x:c>
      <x:c r="AY40" s="122">
        <x:f>IFERROR((AY13+AY11)/MAX(1,AY38+AY45),0)</x:f>
      </x:c>
      <x:c r="AZ40" s="122">
        <x:f>IFERROR((AZ13+AZ11)/MAX(1,AZ38+AZ45),0)</x:f>
      </x:c>
      <x:c r="BA40" s="122">
        <x:f>IFERROR((BA13+BA11)/MAX(1,BA38+BA45),0)</x:f>
      </x:c>
      <x:c r="BB40" s="122">
        <x:f>IFERROR((BB13+BB11)/MAX(1,BB38+BB45),0)</x:f>
      </x:c>
      <x:c r="BC40" s="122">
        <x:f>IFERROR((BC13+BC11)/MAX(1,BC38+BC45),0)</x:f>
      </x:c>
      <x:c r="BD40" s="122">
        <x:f>IFERROR((BD13+BD11)/MAX(1,BD38+BD45),0)</x:f>
      </x:c>
      <x:c r="BE40" s="122">
        <x:f>IFERROR((BE13+BE11)/MAX(1,BE38+BE45),0)</x:f>
      </x:c>
      <x:c r="BF40" s="122">
        <x:f>IFERROR((BF13+BF11)/MAX(1,BF38+BF45),0)</x:f>
      </x:c>
      <x:c r="BG40" s="122">
        <x:f>IFERROR((BG13+BG11)/MAX(1,BG38+BG45),0)</x:f>
      </x:c>
      <x:c r="BH40" s="122">
        <x:f>IFERROR((BH13+BH11)/MAX(1,BH38+BH45),0)</x:f>
      </x:c>
      <x:c r="BI40" s="122">
        <x:f>IFERROR((BI13+BI11)/MAX(1,BI38+BI45),0)</x:f>
      </x:c>
      <x:c r="BJ40" s="122">
        <x:f>IFERROR((BJ13+BJ11)/MAX(1,BJ38+BJ45),0)</x:f>
      </x:c>
      <x:c r="BK40" s="122">
        <x:f>IFERROR((BK13+BK11)/MAX(1,BK38+BK45),0)</x:f>
      </x:c>
      <x:c r="BL40" s="122">
        <x:f>IFERROR((BL13+BL11)/MAX(1,BL38+BL45),0)</x:f>
      </x:c>
      <x:c r="BM40" s="122">
        <x:f>IFERROR((BM13+BM11)/MAX(1,BM38+BM45),0)</x:f>
      </x:c>
      <x:c r="BN40" s="122">
        <x:f>IFERROR((BN13+BN11)/MAX(1,BN38+BN45),0)</x:f>
      </x:c>
      <x:c r="BO40" s="122">
        <x:f>IFERROR((BO13+BO11)/MAX(1,BO38+BO45),0)</x:f>
      </x:c>
      <x:c r="BP40" s="122">
        <x:f>IFERROR((BP13+BP11)/MAX(1,BP38+BP45),0)</x:f>
      </x:c>
      <x:c r="BQ40" s="122">
        <x:f>IFERROR((BQ13+BQ11)/MAX(1,BQ38+BQ45),0)</x:f>
      </x:c>
      <x:c r="BR40" s="122">
        <x:f>IFERROR((BR13+BR11)/MAX(1,BR38+BR45),0)</x:f>
      </x:c>
      <x:c r="BS40" s="122">
        <x:f>IFERROR((BS13+BS11)/MAX(1,BS38+BS45),0)</x:f>
      </x:c>
      <x:c r="BT40" s="122">
        <x:f>IFERROR((BT13+BT11)/MAX(1,BT38+BT45),0)</x:f>
      </x:c>
      <x:c r="BU40" s="122">
        <x:f>IFERROR((BU13+BU11)/MAX(1,BU38+BU45),0)</x:f>
      </x:c>
      <x:c r="BV40" s="122">
        <x:f>IFERROR((BV13+BV11)/MAX(1,BV38+BV45),0)</x:f>
      </x:c>
      <x:c r="BW40" s="122">
        <x:f>IFERROR((BW13+BW11)/MAX(1,BW38+BW45),0)</x:f>
      </x:c>
      <x:c r="BX40" s="122">
        <x:f>IFERROR((BX13+BX11)/MAX(1,BX38+BX45),0)</x:f>
      </x:c>
      <x:c r="BY40" s="122">
        <x:f>IFERROR((BY13+BY11)/MAX(1,BY38+BY45),0)</x:f>
      </x:c>
      <x:c r="BZ40" s="122">
        <x:f>IFERROR((BZ13+BZ11)/MAX(1,BZ38+BZ45),0)</x:f>
      </x:c>
      <x:c r="CA40" s="122">
        <x:f>IFERROR((CA13+CA11)/MAX(1,CA38+CA45),0)</x:f>
      </x:c>
      <x:c r="CB40" s="122">
        <x:f>IFERROR((CB13+CB11)/MAX(1,CB38+CB45),0)</x:f>
      </x:c>
      <x:c r="CC40" s="122">
        <x:f>IFERROR((CC13+CC11)/MAX(1,CC38+CC45),0)</x:f>
      </x:c>
      <x:c r="CD40" s="122">
        <x:f>IFERROR((CD13+CD11)/MAX(1,CD38+CD45),0)</x:f>
      </x:c>
      <x:c r="CE40" s="122">
        <x:f>IFERROR((CE13+CE11)/MAX(1,CE38+CE45),0)</x:f>
      </x:c>
      <x:c r="CF40" s="122">
        <x:f>IFERROR((CF13+CF11)/MAX(1,CF38+CF45),0)</x:f>
      </x:c>
      <x:c r="CG40" s="122">
        <x:f>IFERROR((CG13+CG11)/MAX(1,CG38+CG45),0)</x:f>
      </x:c>
      <x:c r="CH40" s="122">
        <x:f>IFERROR((CH13+CH11)/MAX(1,CH38+CH45),0)</x:f>
      </x:c>
      <x:c r="CI40" s="122">
        <x:f>IFERROR((CI13+CI11)/MAX(1,CI38+CI45),0)</x:f>
      </x:c>
      <x:c r="CJ40" s="122">
        <x:f>IFERROR((CJ13+CJ11)/MAX(1,CJ38+CJ45),0)</x:f>
      </x:c>
      <x:c r="CK40" s="122">
        <x:f>IFERROR((CK13+CK11)/MAX(1,CK38+CK45),0)</x:f>
      </x:c>
      <x:c r="CL40" s="122">
        <x:f>IFERROR((CL13+CL11)/MAX(1,CL38+CL45),0)</x:f>
      </x:c>
      <x:c r="CM40" s="122">
        <x:f>IFERROR((CM13+CM11)/MAX(1,CM38+CM45),0)</x:f>
      </x:c>
      <x:c r="CN40" s="122">
        <x:f>IFERROR((CN13+CN11)/MAX(1,CN38+CN45),0)</x:f>
      </x:c>
      <x:c r="CO40" s="122">
        <x:f>IFERROR((CO13+CO11)/MAX(1,CO38+CO45),0)</x:f>
      </x:c>
      <x:c r="CP40" s="122">
        <x:f>IFERROR((CP13+CP11)/MAX(1,CP38+CP45),0)</x:f>
      </x:c>
      <x:c r="CQ40" s="122">
        <x:f>IFERROR((CQ13+CQ11)/MAX(1,CQ38+CQ45),0)</x:f>
      </x:c>
      <x:c r="CR40" s="122">
        <x:f>IFERROR((CR13+CR11)/MAX(1,CR38+CR45),0)</x:f>
      </x:c>
      <x:c r="CS40" s="122">
        <x:f>IFERROR((CS13+CS11)/MAX(1,CS38+CS45),0)</x:f>
      </x:c>
      <x:c r="CT40" s="122">
        <x:f>IFERROR((CT13+CT11)/MAX(1,CT38+CT45),0)</x:f>
      </x:c>
      <x:c r="CU40" s="122">
        <x:f>IFERROR((CU13+CU11)/MAX(1,CU38+CU45),0)</x:f>
      </x:c>
      <x:c r="CV40" s="122">
        <x:f>IFERROR((CV13+CV11)/MAX(1,CV38+CV45),0)</x:f>
      </x:c>
      <x:c r="CW40" s="122">
        <x:f>IFERROR((CW13+CW11)/MAX(1,CW38+CW45),0)</x:f>
      </x:c>
      <x:c r="CX40" s="122">
        <x:f>IFERROR((CX13+CX11)/MAX(1,CX38+CX45),0)</x:f>
      </x:c>
      <x:c r="CY40" s="122">
        <x:f>IFERROR((CY13+CY11)/MAX(1,CY38+CY45),0)</x:f>
      </x:c>
      <x:c r="CZ40" s="122">
        <x:f>IFERROR((CZ13+CZ11)/MAX(1,CZ38+CZ45),0)</x:f>
      </x:c>
      <x:c r="DA40" s="122">
        <x:f>IFERROR((DA13+DA11)/MAX(1,DA38+DA45),0)</x:f>
      </x:c>
      <x:c r="DB40" s="122">
        <x:f>IFERROR((DB13+DB11)/MAX(1,DB38+DB45),0)</x:f>
      </x:c>
      <x:c r="DC40" s="122">
        <x:f>IFERROR((DC13+DC11)/MAX(1,DC38+DC45),0)</x:f>
      </x:c>
      <x:c r="DD40" s="122">
        <x:f>IFERROR((DD13+DD11)/MAX(1,DD38+DD45),0)</x:f>
      </x:c>
      <x:c r="DE40" s="122">
        <x:f>IFERROR((DE13+DE11)/MAX(1,DE38+DE45),0)</x:f>
      </x:c>
      <x:c r="DF40" s="122">
        <x:f>IFERROR((DF13+DF11)/MAX(1,DF38+DF45),0)</x:f>
      </x:c>
      <x:c r="DG40" s="122">
        <x:f>IFERROR((DG13+DG11)/MAX(1,DG38+DG45),0)</x:f>
      </x:c>
      <x:c r="DH40" s="122">
        <x:f>IFERROR((DH13+DH11)/MAX(1,DH38+DH45),0)</x:f>
      </x:c>
      <x:c r="DI40" s="122">
        <x:f>IFERROR((DI13+DI11)/MAX(1,DI38+DI45),0)</x:f>
      </x:c>
      <x:c r="DJ40" s="122">
        <x:f>IFERROR((DJ13+DJ11)/MAX(1,DJ38+DJ45),0)</x:f>
      </x:c>
      <x:c r="DK40" s="122">
        <x:f>IFERROR((DK13+DK11)/MAX(1,DK38+DK45),0)</x:f>
      </x:c>
      <x:c r="DL40" s="122">
        <x:f>IFERROR((DL13+DL11)/MAX(1,DL38+DL45),0)</x:f>
      </x:c>
      <x:c r="DM40" s="122">
        <x:f>IFERROR((DM13+DM11)/MAX(1,DM38+DM45),0)</x:f>
      </x:c>
      <x:c r="DN40" s="122">
        <x:f>IFERROR((DN13+DN11)/MAX(1,DN38+DN45),0)</x:f>
      </x:c>
      <x:c r="DO40" s="122">
        <x:f>IFERROR((DO13+DO11)/MAX(1,DO38+DO45),0)</x:f>
      </x:c>
      <x:c r="DP40" s="122">
        <x:f>IFERROR((DP13+DP11)/MAX(1,DP38+DP45),0)</x:f>
      </x:c>
      <x:c r="DQ40" s="122">
        <x:f>IFERROR((DQ13+DQ11)/MAX(1,DQ38+DQ45),0)</x:f>
      </x:c>
      <x:c r="DR40" s="122">
        <x:f>IFERROR((DR13+DR11)/MAX(1,DR38+DR45),0)</x:f>
      </x:c>
      <x:c r="DS40" s="122">
        <x:f>IFERROR((DS13+DS11)/MAX(1,DS38+DS45),0)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>
        <x:f>IF(AND((D38+D45)&gt;0,$B$5=1,D$3&lt;MAX(EDATE($B$8,MAX('Вводные'!$B$69+3,12)+1),IF('Вводные'!$B$71=0,0,EDATE('Вводные'!$B$71,1)))),(D38+D45)*D41/12,0)</x:f>
      </x:c>
      <x:c r="E42" s="117">
        <x:f>IF(AND((E38+E45)&gt;0,$B$5=1,E$3&lt;MAX(EDATE($B$8,MAX('Вводные'!$B$69+3,12)+1),IF('Вводные'!$B$71=0,0,EDATE('Вводные'!$B$71,1)))),(E38+E45)*E41/12,0)</x:f>
      </x:c>
      <x:c r="F42" s="117">
        <x:f>IF(AND((F38+F45)&gt;0,$B$5=1,F$3&lt;MAX(EDATE($B$8,MAX('Вводные'!$B$69+3,12)+1),IF('Вводные'!$B$71=0,0,EDATE('Вводные'!$B$71,1)))),(F38+F45)*F41/12,0)</x:f>
      </x:c>
      <x:c r="G42" s="117">
        <x:f>IF(AND((G38+G45)&gt;0,$B$5=1,G$3&lt;MAX(EDATE($B$8,MAX('Вводные'!$B$69+3,12)+1),IF('Вводные'!$B$71=0,0,EDATE('Вводные'!$B$71,1)))),(G38+G45)*G41/12,0)</x:f>
      </x:c>
      <x:c r="H42" s="117">
        <x:f>IF(AND((H38+H45)&gt;0,$B$5=1,H$3&lt;MAX(EDATE($B$8,MAX('Вводные'!$B$69+3,12)+1),IF('Вводные'!$B$71=0,0,EDATE('Вводные'!$B$71,1)))),(H38+H45)*H41/12,0)</x:f>
      </x:c>
      <x:c r="I42" s="117">
        <x:f>IF(AND((I38+I45)&gt;0,$B$5=1,I$3&lt;MAX(EDATE($B$8,MAX('Вводные'!$B$69+3,12)+1),IF('Вводные'!$B$71=0,0,EDATE('Вводные'!$B$71,1)))),(I38+I45)*I41/12,0)</x:f>
      </x:c>
      <x:c r="J42" s="117">
        <x:f>IF(AND((J38+J45)&gt;0,$B$5=1,J$3&lt;MAX(EDATE($B$8,MAX('Вводные'!$B$69+3,12)+1),IF('Вводные'!$B$71=0,0,EDATE('Вводные'!$B$71,1)))),(J38+J45)*J41/12,0)</x:f>
      </x:c>
      <x:c r="K42" s="117">
        <x:f>IF(AND((K38+K45)&gt;0,$B$5=1,K$3&lt;MAX(EDATE($B$8,MAX('Вводные'!$B$69+3,12)+1),IF('Вводные'!$B$71=0,0,EDATE('Вводные'!$B$71,1)))),(K38+K45)*K41/12,0)</x:f>
      </x:c>
      <x:c r="L42" s="117">
        <x:f>IF(AND((L38+L45)&gt;0,$B$5=1,L$3&lt;MAX(EDATE($B$8,MAX('Вводные'!$B$69+3,12)+1),IF('Вводные'!$B$71=0,0,EDATE('Вводные'!$B$71,1)))),(L38+L45)*L41/12,0)</x:f>
      </x:c>
      <x:c r="M42" s="117">
        <x:f>IF(AND((M38+M45)&gt;0,$B$5=1,M$3&lt;MAX(EDATE($B$8,MAX('Вводные'!$B$69+3,12)+1),IF('Вводные'!$B$71=0,0,EDATE('Вводные'!$B$71,1)))),(M38+M45)*M41/12,0)</x:f>
      </x:c>
      <x:c r="N42" s="117">
        <x:f>IF(AND((N38+N45)&gt;0,$B$5=1,N$3&lt;MAX(EDATE($B$8,MAX('Вводные'!$B$69+3,12)+1),IF('Вводные'!$B$71=0,0,EDATE('Вводные'!$B$71,1)))),(N38+N45)*N41/12,0)</x:f>
      </x:c>
      <x:c r="O42" s="117">
        <x:f>IF(AND((O38+O45)&gt;0,$B$5=1,O$3&lt;MAX(EDATE($B$8,MAX('Вводные'!$B$69+3,12)+1),IF('Вводные'!$B$71=0,0,EDATE('Вводные'!$B$71,1)))),(O38+O45)*O41/12,0)</x:f>
      </x:c>
      <x:c r="P42" s="117">
        <x:f>IF(AND((P38+P45)&gt;0,$B$5=1,P$3&lt;MAX(EDATE($B$8,MAX('Вводные'!$B$69+3,12)+1),IF('Вводные'!$B$71=0,0,EDATE('Вводные'!$B$71,1)))),(P38+P45)*P41/12,0)</x:f>
      </x:c>
      <x:c r="Q42" s="117">
        <x:f>IF(AND((Q38+Q45)&gt;0,$B$5=1,Q$3&lt;MAX(EDATE($B$8,MAX('Вводные'!$B$69+3,12)+1),IF('Вводные'!$B$71=0,0,EDATE('Вводные'!$B$71,1)))),(Q38+Q45)*Q41/12,0)</x:f>
      </x:c>
      <x:c r="R42" s="117">
        <x:f>IF(AND((R38+R45)&gt;0,$B$5=1,R$3&lt;MAX(EDATE($B$8,MAX('Вводные'!$B$69+3,12)+1),IF('Вводные'!$B$71=0,0,EDATE('Вводные'!$B$71,1)))),(R38+R45)*R41/12,0)</x:f>
      </x:c>
      <x:c r="S42" s="117">
        <x:f>IF(AND((S38+S45)&gt;0,$B$5=1,S$3&lt;MAX(EDATE($B$8,MAX('Вводные'!$B$69+3,12)+1),IF('Вводные'!$B$71=0,0,EDATE('Вводные'!$B$71,1)))),(S38+S45)*S41/12,0)</x:f>
      </x:c>
      <x:c r="T42" s="117">
        <x:f>IF(AND((T38+T45)&gt;0,$B$5=1,T$3&lt;MAX(EDATE($B$8,MAX('Вводные'!$B$69+3,12)+1),IF('Вводные'!$B$71=0,0,EDATE('Вводные'!$B$71,1)))),(T38+T45)*T41/12,0)</x:f>
      </x:c>
      <x:c r="U42" s="117">
        <x:f>IF(AND((U38+U45)&gt;0,$B$5=1,U$3&lt;MAX(EDATE($B$8,MAX('Вводные'!$B$69+3,12)+1),IF('Вводные'!$B$71=0,0,EDATE('Вводные'!$B$71,1)))),(U38+U45)*U41/12,0)</x:f>
      </x:c>
      <x:c r="V42" s="117">
        <x:f>IF(AND((V38+V45)&gt;0,$B$5=1,V$3&lt;MAX(EDATE($B$8,MAX('Вводные'!$B$69+3,12)+1),IF('Вводные'!$B$71=0,0,EDATE('Вводные'!$B$71,1)))),(V38+V45)*V41/12,0)</x:f>
      </x:c>
      <x:c r="W42" s="117">
        <x:f>IF(AND((W38+W45)&gt;0,$B$5=1,W$3&lt;MAX(EDATE($B$8,MAX('Вводные'!$B$69+3,12)+1),IF('Вводные'!$B$71=0,0,EDATE('Вводные'!$B$71,1)))),(W38+W45)*W41/12,0)</x:f>
      </x:c>
      <x:c r="X42" s="117">
        <x:f>IF(AND((X38+X45)&gt;0,$B$5=1,X$3&lt;MAX(EDATE($B$8,MAX('Вводные'!$B$69+3,12)+1),IF('Вводные'!$B$71=0,0,EDATE('Вводные'!$B$71,1)))),(X38+X45)*X41/12,0)</x:f>
      </x:c>
      <x:c r="Y42" s="117">
        <x:f>IF(AND((Y38+Y45)&gt;0,$B$5=1,Y$3&lt;MAX(EDATE($B$8,MAX('Вводные'!$B$69+3,12)+1),IF('Вводные'!$B$71=0,0,EDATE('Вводные'!$B$71,1)))),(Y38+Y45)*Y41/12,0)</x:f>
      </x:c>
      <x:c r="Z42" s="117">
        <x:f>IF(AND((Z38+Z45)&gt;0,$B$5=1,Z$3&lt;MAX(EDATE($B$8,MAX('Вводные'!$B$69+3,12)+1),IF('Вводные'!$B$71=0,0,EDATE('Вводные'!$B$71,1)))),(Z38+Z45)*Z41/12,0)</x:f>
      </x:c>
      <x:c r="AA42" s="117">
        <x:f>IF(AND((AA38+AA45)&gt;0,$B$5=1,AA$3&lt;MAX(EDATE($B$8,MAX('Вводные'!$B$69+3,12)+1),IF('Вводные'!$B$71=0,0,EDATE('Вводные'!$B$71,1)))),(AA38+AA45)*AA41/12,0)</x:f>
      </x:c>
      <x:c r="AB42" s="117">
        <x:f>IF(AND((AB38+AB45)&gt;0,$B$5=1,AB$3&lt;MAX(EDATE($B$8,MAX('Вводные'!$B$69+3,12)+1),IF('Вводные'!$B$71=0,0,EDATE('Вводные'!$B$71,1)))),(AB38+AB45)*AB41/12,0)</x:f>
      </x:c>
      <x:c r="AC42" s="117">
        <x:f>IF(AND((AC38+AC45)&gt;0,$B$5=1,AC$3&lt;MAX(EDATE($B$8,MAX('Вводные'!$B$69+3,12)+1),IF('Вводные'!$B$71=0,0,EDATE('Вводные'!$B$71,1)))),(AC38+AC45)*AC41/12,0)</x:f>
      </x:c>
      <x:c r="AD42" s="117">
        <x:f>IF(AND((AD38+AD45)&gt;0,$B$5=1,AD$3&lt;MAX(EDATE($B$8,MAX('Вводные'!$B$69+3,12)+1),IF('Вводные'!$B$71=0,0,EDATE('Вводные'!$B$71,1)))),(AD38+AD45)*AD41/12,0)</x:f>
      </x:c>
      <x:c r="AE42" s="117">
        <x:f>IF(AND((AE38+AE45)&gt;0,$B$5=1,AE$3&lt;MAX(EDATE($B$8,MAX('Вводные'!$B$69+3,12)+1),IF('Вводные'!$B$71=0,0,EDATE('Вводные'!$B$71,1)))),(AE38+AE45)*AE41/12,0)</x:f>
      </x:c>
      <x:c r="AF42" s="117">
        <x:f>IF(AND((AF38+AF45)&gt;0,$B$5=1,AF$3&lt;MAX(EDATE($B$8,MAX('Вводные'!$B$69+3,12)+1),IF('Вводные'!$B$71=0,0,EDATE('Вводные'!$B$71,1)))),(AF38+AF45)*AF41/12,0)</x:f>
      </x:c>
      <x:c r="AG42" s="117">
        <x:f>IF(AND((AG38+AG45)&gt;0,$B$5=1,AG$3&lt;MAX(EDATE($B$8,MAX('Вводные'!$B$69+3,12)+1),IF('Вводные'!$B$71=0,0,EDATE('Вводные'!$B$71,1)))),(AG38+AG45)*AG41/12,0)</x:f>
      </x:c>
      <x:c r="AH42" s="117">
        <x:f>IF(AND((AH38+AH45)&gt;0,$B$5=1,AH$3&lt;MAX(EDATE($B$8,MAX('Вводные'!$B$69+3,12)+1),IF('Вводные'!$B$71=0,0,EDATE('Вводные'!$B$71,1)))),(AH38+AH45)*AH41/12,0)</x:f>
      </x:c>
      <x:c r="AI42" s="117">
        <x:f>IF(AND((AI38+AI45)&gt;0,$B$5=1,AI$3&lt;MAX(EDATE($B$8,MAX('Вводные'!$B$69+3,12)+1),IF('Вводные'!$B$71=0,0,EDATE('Вводные'!$B$71,1)))),(AI38+AI45)*AI41/12,0)</x:f>
      </x:c>
      <x:c r="AJ42" s="117">
        <x:f>IF(AND((AJ38+AJ45)&gt;0,$B$5=1,AJ$3&lt;MAX(EDATE($B$8,MAX('Вводные'!$B$69+3,12)+1),IF('Вводные'!$B$71=0,0,EDATE('Вводные'!$B$71,1)))),(AJ38+AJ45)*AJ41/12,0)</x:f>
      </x:c>
      <x:c r="AK42" s="117">
        <x:f>IF(AND((AK38+AK45)&gt;0,$B$5=1,AK$3&lt;MAX(EDATE($B$8,MAX('Вводные'!$B$69+3,12)+1),IF('Вводные'!$B$71=0,0,EDATE('Вводные'!$B$71,1)))),(AK38+AK45)*AK41/12,0)</x:f>
      </x:c>
      <x:c r="AL42" s="117">
        <x:f>IF(AND((AL38+AL45)&gt;0,$B$5=1,AL$3&lt;MAX(EDATE($B$8,MAX('Вводные'!$B$69+3,12)+1),IF('Вводные'!$B$71=0,0,EDATE('Вводные'!$B$71,1)))),(AL38+AL45)*AL41/12,0)</x:f>
      </x:c>
      <x:c r="AM42" s="117">
        <x:f>IF(AND((AM38+AM45)&gt;0,$B$5=1,AM$3&lt;MAX(EDATE($B$8,MAX('Вводные'!$B$69+3,12)+1),IF('Вводные'!$B$71=0,0,EDATE('Вводные'!$B$71,1)))),(AM38+AM45)*AM41/12,0)</x:f>
      </x:c>
      <x:c r="AN42" s="117">
        <x:f>IF(AND((AN38+AN45)&gt;0,$B$5=1,AN$3&lt;MAX(EDATE($B$8,MAX('Вводные'!$B$69+3,12)+1),IF('Вводные'!$B$71=0,0,EDATE('Вводные'!$B$71,1)))),(AN38+AN45)*AN41/12,0)</x:f>
      </x:c>
      <x:c r="AO42" s="117">
        <x:f>IF(AND((AO38+AO45)&gt;0,$B$5=1,AO$3&lt;MAX(EDATE($B$8,MAX('Вводные'!$B$69+3,12)+1),IF('Вводные'!$B$71=0,0,EDATE('Вводные'!$B$71,1)))),(AO38+AO45)*AO41/12,0)</x:f>
      </x:c>
      <x:c r="AP42" s="117">
        <x:f>IF(AND((AP38+AP45)&gt;0,$B$5=1,AP$3&lt;MAX(EDATE($B$8,MAX('Вводные'!$B$69+3,12)+1),IF('Вводные'!$B$71=0,0,EDATE('Вводные'!$B$71,1)))),(AP38+AP45)*AP41/12,0)</x:f>
      </x:c>
      <x:c r="AQ42" s="117">
        <x:f>IF(AND((AQ38+AQ45)&gt;0,$B$5=1,AQ$3&lt;MAX(EDATE($B$8,MAX('Вводные'!$B$69+3,12)+1),IF('Вводные'!$B$71=0,0,EDATE('Вводные'!$B$71,1)))),(AQ38+AQ45)*AQ41/12,0)</x:f>
      </x:c>
      <x:c r="AR42" s="117">
        <x:f>IF(AND((AR38+AR45)&gt;0,$B$5=1,AR$3&lt;MAX(EDATE($B$8,MAX('Вводные'!$B$69+3,12)+1),IF('Вводные'!$B$71=0,0,EDATE('Вводные'!$B$71,1)))),(AR38+AR45)*AR41/12,0)</x:f>
      </x:c>
      <x:c r="AS42" s="117">
        <x:f>IF(AND((AS38+AS45)&gt;0,$B$5=1,AS$3&lt;MAX(EDATE($B$8,MAX('Вводные'!$B$69+3,12)+1),IF('Вводные'!$B$71=0,0,EDATE('Вводные'!$B$71,1)))),(AS38+AS45)*AS41/12,0)</x:f>
      </x:c>
      <x:c r="AT42" s="117">
        <x:f>IF(AND((AT38+AT45)&gt;0,$B$5=1,AT$3&lt;MAX(EDATE($B$8,MAX('Вводные'!$B$69+3,12)+1),IF('Вводные'!$B$71=0,0,EDATE('Вводные'!$B$71,1)))),(AT38+AT45)*AT41/12,0)</x:f>
      </x:c>
      <x:c r="AU42" s="117">
        <x:f>IF(AND((AU38+AU45)&gt;0,$B$5=1,AU$3&lt;MAX(EDATE($B$8,MAX('Вводные'!$B$69+3,12)+1),IF('Вводные'!$B$71=0,0,EDATE('Вводные'!$B$71,1)))),(AU38+AU45)*AU41/12,0)</x:f>
      </x:c>
      <x:c r="AV42" s="117">
        <x:f>IF(AND((AV38+AV45)&gt;0,$B$5=1,AV$3&lt;MAX(EDATE($B$8,MAX('Вводные'!$B$69+3,12)+1),IF('Вводные'!$B$71=0,0,EDATE('Вводные'!$B$71,1)))),(AV38+AV45)*AV41/12,0)</x:f>
      </x:c>
      <x:c r="AW42" s="117">
        <x:f>IF(AND((AW38+AW45)&gt;0,$B$5=1,AW$3&lt;MAX(EDATE($B$8,MAX('Вводные'!$B$69+3,12)+1),IF('Вводные'!$B$71=0,0,EDATE('Вводные'!$B$71,1)))),(AW38+AW45)*AW41/12,0)</x:f>
      </x:c>
      <x:c r="AX42" s="117">
        <x:f>IF(AND((AX38+AX45)&gt;0,$B$5=1,AX$3&lt;MAX(EDATE($B$8,MAX('Вводные'!$B$69+3,12)+1),IF('Вводные'!$B$71=0,0,EDATE('Вводные'!$B$71,1)))),(AX38+AX45)*AX41/12,0)</x:f>
      </x:c>
      <x:c r="AY42" s="117">
        <x:f>IF(AND((AY38+AY45)&gt;0,$B$5=1,AY$3&lt;MAX(EDATE($B$8,MAX('Вводные'!$B$69+3,12)+1),IF('Вводные'!$B$71=0,0,EDATE('Вводные'!$B$71,1)))),(AY38+AY45)*AY41/12,0)</x:f>
      </x:c>
      <x:c r="AZ42" s="117">
        <x:f>IF(AND((AZ38+AZ45)&gt;0,$B$5=1,AZ$3&lt;MAX(EDATE($B$8,MAX('Вводные'!$B$69+3,12)+1),IF('Вводные'!$B$71=0,0,EDATE('Вводные'!$B$71,1)))),(AZ38+AZ45)*AZ41/12,0)</x:f>
      </x:c>
      <x:c r="BA42" s="117">
        <x:f>IF(AND((BA38+BA45)&gt;0,$B$5=1,BA$3&lt;MAX(EDATE($B$8,MAX('Вводные'!$B$69+3,12)+1),IF('Вводные'!$B$71=0,0,EDATE('Вводные'!$B$71,1)))),(BA38+BA45)*BA41/12,0)</x:f>
      </x:c>
      <x:c r="BB42" s="117">
        <x:f>IF(AND((BB38+BB45)&gt;0,$B$5=1,BB$3&lt;MAX(EDATE($B$8,MAX('Вводные'!$B$69+3,12)+1),IF('Вводные'!$B$71=0,0,EDATE('Вводные'!$B$71,1)))),(BB38+BB45)*BB41/12,0)</x:f>
      </x:c>
      <x:c r="BC42" s="117">
        <x:f>IF(AND((BC38+BC45)&gt;0,$B$5=1,BC$3&lt;MAX(EDATE($B$8,MAX('Вводные'!$B$69+3,12)+1),IF('Вводные'!$B$71=0,0,EDATE('Вводные'!$B$71,1)))),(BC38+BC45)*BC41/12,0)</x:f>
      </x:c>
      <x:c r="BD42" s="117">
        <x:f>IF(AND((BD38+BD45)&gt;0,$B$5=1,BD$3&lt;MAX(EDATE($B$8,MAX('Вводные'!$B$69+3,12)+1),IF('Вводные'!$B$71=0,0,EDATE('Вводные'!$B$71,1)))),(BD38+BD45)*BD41/12,0)</x:f>
      </x:c>
      <x:c r="BE42" s="117">
        <x:f>IF(AND((BE38+BE45)&gt;0,$B$5=1,BE$3&lt;MAX(EDATE($B$8,MAX('Вводные'!$B$69+3,12)+1),IF('Вводные'!$B$71=0,0,EDATE('Вводные'!$B$71,1)))),(BE38+BE45)*BE41/12,0)</x:f>
      </x:c>
      <x:c r="BF42" s="117">
        <x:f>IF(AND((BF38+BF45)&gt;0,$B$5=1,BF$3&lt;MAX(EDATE($B$8,MAX('Вводные'!$B$69+3,12)+1),IF('Вводные'!$B$71=0,0,EDATE('Вводные'!$B$71,1)))),(BF38+BF45)*BF41/12,0)</x:f>
      </x:c>
      <x:c r="BG42" s="117">
        <x:f>IF(AND((BG38+BG45)&gt;0,$B$5=1,BG$3&lt;MAX(EDATE($B$8,MAX('Вводные'!$B$69+3,12)+1),IF('Вводные'!$B$71=0,0,EDATE('Вводные'!$B$71,1)))),(BG38+BG45)*BG41/12,0)</x:f>
      </x:c>
      <x:c r="BH42" s="117">
        <x:f>IF(AND((BH38+BH45)&gt;0,$B$5=1,BH$3&lt;MAX(EDATE($B$8,MAX('Вводные'!$B$69+3,12)+1),IF('Вводные'!$B$71=0,0,EDATE('Вводные'!$B$71,1)))),(BH38+BH45)*BH41/12,0)</x:f>
      </x:c>
      <x:c r="BI42" s="117">
        <x:f>IF(AND((BI38+BI45)&gt;0,$B$5=1,BI$3&lt;MAX(EDATE($B$8,MAX('Вводные'!$B$69+3,12)+1),IF('Вводные'!$B$71=0,0,EDATE('Вводные'!$B$71,1)))),(BI38+BI45)*BI41/12,0)</x:f>
      </x:c>
      <x:c r="BJ42" s="117">
        <x:f>IF(AND((BJ38+BJ45)&gt;0,$B$5=1,BJ$3&lt;MAX(EDATE($B$8,MAX('Вводные'!$B$69+3,12)+1),IF('Вводные'!$B$71=0,0,EDATE('Вводные'!$B$71,1)))),(BJ38+BJ45)*BJ41/12,0)</x:f>
      </x:c>
      <x:c r="BK42" s="117">
        <x:f>IF(AND((BK38+BK45)&gt;0,$B$5=1,BK$3&lt;MAX(EDATE($B$8,MAX('Вводные'!$B$69+3,12)+1),IF('Вводные'!$B$71=0,0,EDATE('Вводные'!$B$71,1)))),(BK38+BK45)*BK41/12,0)</x:f>
      </x:c>
      <x:c r="BL42" s="117">
        <x:f>IF(AND((BL38+BL45)&gt;0,$B$5=1,BL$3&lt;MAX(EDATE($B$8,MAX('Вводные'!$B$69+3,12)+1),IF('Вводные'!$B$71=0,0,EDATE('Вводные'!$B$71,1)))),(BL38+BL45)*BL41/12,0)</x:f>
      </x:c>
      <x:c r="BM42" s="117">
        <x:f>IF(AND((BM38+BM45)&gt;0,$B$5=1,BM$3&lt;MAX(EDATE($B$8,MAX('Вводные'!$B$69+3,12)+1),IF('Вводные'!$B$71=0,0,EDATE('Вводные'!$B$71,1)))),(BM38+BM45)*BM41/12,0)</x:f>
      </x:c>
      <x:c r="BN42" s="117">
        <x:f>IF(AND((BN38+BN45)&gt;0,$B$5=1,BN$3&lt;MAX(EDATE($B$8,MAX('Вводные'!$B$69+3,12)+1),IF('Вводные'!$B$71=0,0,EDATE('Вводные'!$B$71,1)))),(BN38+BN45)*BN41/12,0)</x:f>
      </x:c>
      <x:c r="BO42" s="117">
        <x:f>IF(AND((BO38+BO45)&gt;0,$B$5=1,BO$3&lt;MAX(EDATE($B$8,MAX('Вводные'!$B$69+3,12)+1),IF('Вводные'!$B$71=0,0,EDATE('Вводные'!$B$71,1)))),(BO38+BO45)*BO41/12,0)</x:f>
      </x:c>
      <x:c r="BP42" s="117">
        <x:f>IF(AND((BP38+BP45)&gt;0,$B$5=1,BP$3&lt;MAX(EDATE($B$8,MAX('Вводные'!$B$69+3,12)+1),IF('Вводные'!$B$71=0,0,EDATE('Вводные'!$B$71,1)))),(BP38+BP45)*BP41/12,0)</x:f>
      </x:c>
      <x:c r="BQ42" s="117">
        <x:f>IF(AND((BQ38+BQ45)&gt;0,$B$5=1,BQ$3&lt;MAX(EDATE($B$8,MAX('Вводные'!$B$69+3,12)+1),IF('Вводные'!$B$71=0,0,EDATE('Вводные'!$B$71,1)))),(BQ38+BQ45)*BQ41/12,0)</x:f>
      </x:c>
      <x:c r="BR42" s="117">
        <x:f>IF(AND((BR38+BR45)&gt;0,$B$5=1,BR$3&lt;MAX(EDATE($B$8,MAX('Вводные'!$B$69+3,12)+1),IF('Вводные'!$B$71=0,0,EDATE('Вводные'!$B$71,1)))),(BR38+BR45)*BR41/12,0)</x:f>
      </x:c>
      <x:c r="BS42" s="117">
        <x:f>IF(AND((BS38+BS45)&gt;0,$B$5=1,BS$3&lt;MAX(EDATE($B$8,MAX('Вводные'!$B$69+3,12)+1),IF('Вводные'!$B$71=0,0,EDATE('Вводные'!$B$71,1)))),(BS38+BS45)*BS41/12,0)</x:f>
      </x:c>
      <x:c r="BT42" s="117">
        <x:f>IF(AND((BT38+BT45)&gt;0,$B$5=1,BT$3&lt;MAX(EDATE($B$8,MAX('Вводные'!$B$69+3,12)+1),IF('Вводные'!$B$71=0,0,EDATE('Вводные'!$B$71,1)))),(BT38+BT45)*BT41/12,0)</x:f>
      </x:c>
      <x:c r="BU42" s="117">
        <x:f>IF(AND((BU38+BU45)&gt;0,$B$5=1,BU$3&lt;MAX(EDATE($B$8,MAX('Вводные'!$B$69+3,12)+1),IF('Вводные'!$B$71=0,0,EDATE('Вводные'!$B$71,1)))),(BU38+BU45)*BU41/12,0)</x:f>
      </x:c>
      <x:c r="BV42" s="117">
        <x:f>IF(AND((BV38+BV45)&gt;0,$B$5=1,BV$3&lt;MAX(EDATE($B$8,MAX('Вводные'!$B$69+3,12)+1),IF('Вводные'!$B$71=0,0,EDATE('Вводные'!$B$71,1)))),(BV38+BV45)*BV41/12,0)</x:f>
      </x:c>
      <x:c r="BW42" s="117">
        <x:f>IF(AND((BW38+BW45)&gt;0,$B$5=1,BW$3&lt;MAX(EDATE($B$8,MAX('Вводные'!$B$69+3,12)+1),IF('Вводные'!$B$71=0,0,EDATE('Вводные'!$B$71,1)))),(BW38+BW45)*BW41/12,0)</x:f>
      </x:c>
      <x:c r="BX42" s="117">
        <x:f>IF(AND((BX38+BX45)&gt;0,$B$5=1,BX$3&lt;MAX(EDATE($B$8,MAX('Вводные'!$B$69+3,12)+1),IF('Вводные'!$B$71=0,0,EDATE('Вводные'!$B$71,1)))),(BX38+BX45)*BX41/12,0)</x:f>
      </x:c>
      <x:c r="BY42" s="117">
        <x:f>IF(AND((BY38+BY45)&gt;0,$B$5=1,BY$3&lt;MAX(EDATE($B$8,MAX('Вводные'!$B$69+3,12)+1),IF('Вводные'!$B$71=0,0,EDATE('Вводные'!$B$71,1)))),(BY38+BY45)*BY41/12,0)</x:f>
      </x:c>
      <x:c r="BZ42" s="117">
        <x:f>IF(AND((BZ38+BZ45)&gt;0,$B$5=1,BZ$3&lt;MAX(EDATE($B$8,MAX('Вводные'!$B$69+3,12)+1),IF('Вводные'!$B$71=0,0,EDATE('Вводные'!$B$71,1)))),(BZ38+BZ45)*BZ41/12,0)</x:f>
      </x:c>
      <x:c r="CA42" s="117">
        <x:f>IF(AND((CA38+CA45)&gt;0,$B$5=1,CA$3&lt;MAX(EDATE($B$8,MAX('Вводные'!$B$69+3,12)+1),IF('Вводные'!$B$71=0,0,EDATE('Вводные'!$B$71,1)))),(CA38+CA45)*CA41/12,0)</x:f>
      </x:c>
      <x:c r="CB42" s="117">
        <x:f>IF(AND((CB38+CB45)&gt;0,$B$5=1,CB$3&lt;MAX(EDATE($B$8,MAX('Вводные'!$B$69+3,12)+1),IF('Вводные'!$B$71=0,0,EDATE('Вводные'!$B$71,1)))),(CB38+CB45)*CB41/12,0)</x:f>
      </x:c>
      <x:c r="CC42" s="117">
        <x:f>IF(AND((CC38+CC45)&gt;0,$B$5=1,CC$3&lt;MAX(EDATE($B$8,MAX('Вводные'!$B$69+3,12)+1),IF('Вводные'!$B$71=0,0,EDATE('Вводные'!$B$71,1)))),(CC38+CC45)*CC41/12,0)</x:f>
      </x:c>
      <x:c r="CD42" s="117">
        <x:f>IF(AND((CD38+CD45)&gt;0,$B$5=1,CD$3&lt;MAX(EDATE($B$8,MAX('Вводные'!$B$69+3,12)+1),IF('Вводные'!$B$71=0,0,EDATE('Вводные'!$B$71,1)))),(CD38+CD45)*CD41/12,0)</x:f>
      </x:c>
      <x:c r="CE42" s="117">
        <x:f>IF(AND((CE38+CE45)&gt;0,$B$5=1,CE$3&lt;MAX(EDATE($B$8,MAX('Вводные'!$B$69+3,12)+1),IF('Вводные'!$B$71=0,0,EDATE('Вводные'!$B$71,1)))),(CE38+CE45)*CE41/12,0)</x:f>
      </x:c>
      <x:c r="CF42" s="117">
        <x:f>IF(AND((CF38+CF45)&gt;0,$B$5=1,CF$3&lt;MAX(EDATE($B$8,MAX('Вводные'!$B$69+3,12)+1),IF('Вводные'!$B$71=0,0,EDATE('Вводные'!$B$71,1)))),(CF38+CF45)*CF41/12,0)</x:f>
      </x:c>
      <x:c r="CG42" s="117">
        <x:f>IF(AND((CG38+CG45)&gt;0,$B$5=1,CG$3&lt;MAX(EDATE($B$8,MAX('Вводные'!$B$69+3,12)+1),IF('Вводные'!$B$71=0,0,EDATE('Вводные'!$B$71,1)))),(CG38+CG45)*CG41/12,0)</x:f>
      </x:c>
      <x:c r="CH42" s="117">
        <x:f>IF(AND((CH38+CH45)&gt;0,$B$5=1,CH$3&lt;MAX(EDATE($B$8,MAX('Вводные'!$B$69+3,12)+1),IF('Вводные'!$B$71=0,0,EDATE('Вводные'!$B$71,1)))),(CH38+CH45)*CH41/12,0)</x:f>
      </x:c>
      <x:c r="CI42" s="117">
        <x:f>IF(AND((CI38+CI45)&gt;0,$B$5=1,CI$3&lt;MAX(EDATE($B$8,MAX('Вводные'!$B$69+3,12)+1),IF('Вводные'!$B$71=0,0,EDATE('Вводные'!$B$71,1)))),(CI38+CI45)*CI41/12,0)</x:f>
      </x:c>
      <x:c r="CJ42" s="117">
        <x:f>IF(AND((CJ38+CJ45)&gt;0,$B$5=1,CJ$3&lt;MAX(EDATE($B$8,MAX('Вводные'!$B$69+3,12)+1),IF('Вводные'!$B$71=0,0,EDATE('Вводные'!$B$71,1)))),(CJ38+CJ45)*CJ41/12,0)</x:f>
      </x:c>
      <x:c r="CK42" s="117">
        <x:f>IF(AND((CK38+CK45)&gt;0,$B$5=1,CK$3&lt;MAX(EDATE($B$8,MAX('Вводные'!$B$69+3,12)+1),IF('Вводные'!$B$71=0,0,EDATE('Вводные'!$B$71,1)))),(CK38+CK45)*CK41/12,0)</x:f>
      </x:c>
      <x:c r="CL42" s="117">
        <x:f>IF(AND((CL38+CL45)&gt;0,$B$5=1,CL$3&lt;MAX(EDATE($B$8,MAX('Вводные'!$B$69+3,12)+1),IF('Вводные'!$B$71=0,0,EDATE('Вводные'!$B$71,1)))),(CL38+CL45)*CL41/12,0)</x:f>
      </x:c>
      <x:c r="CM42" s="117">
        <x:f>IF(AND((CM38+CM45)&gt;0,$B$5=1,CM$3&lt;MAX(EDATE($B$8,MAX('Вводные'!$B$69+3,12)+1),IF('Вводные'!$B$71=0,0,EDATE('Вводные'!$B$71,1)))),(CM38+CM45)*CM41/12,0)</x:f>
      </x:c>
      <x:c r="CN42" s="117">
        <x:f>IF(AND((CN38+CN45)&gt;0,$B$5=1,CN$3&lt;MAX(EDATE($B$8,MAX('Вводные'!$B$69+3,12)+1),IF('Вводные'!$B$71=0,0,EDATE('Вводные'!$B$71,1)))),(CN38+CN45)*CN41/12,0)</x:f>
      </x:c>
      <x:c r="CO42" s="117">
        <x:f>IF(AND((CO38+CO45)&gt;0,$B$5=1,CO$3&lt;MAX(EDATE($B$8,MAX('Вводные'!$B$69+3,12)+1),IF('Вводные'!$B$71=0,0,EDATE('Вводные'!$B$71,1)))),(CO38+CO45)*CO41/12,0)</x:f>
      </x:c>
      <x:c r="CP42" s="117">
        <x:f>IF(AND((CP38+CP45)&gt;0,$B$5=1,CP$3&lt;MAX(EDATE($B$8,MAX('Вводные'!$B$69+3,12)+1),IF('Вводные'!$B$71=0,0,EDATE('Вводные'!$B$71,1)))),(CP38+CP45)*CP41/12,0)</x:f>
      </x:c>
      <x:c r="CQ42" s="117">
        <x:f>IF(AND((CQ38+CQ45)&gt;0,$B$5=1,CQ$3&lt;MAX(EDATE($B$8,MAX('Вводные'!$B$69+3,12)+1),IF('Вводные'!$B$71=0,0,EDATE('Вводные'!$B$71,1)))),(CQ38+CQ45)*CQ41/12,0)</x:f>
      </x:c>
      <x:c r="CR42" s="117">
        <x:f>IF(AND((CR38+CR45)&gt;0,$B$5=1,CR$3&lt;MAX(EDATE($B$8,MAX('Вводные'!$B$69+3,12)+1),IF('Вводные'!$B$71=0,0,EDATE('Вводные'!$B$71,1)))),(CR38+CR45)*CR41/12,0)</x:f>
      </x:c>
      <x:c r="CS42" s="117">
        <x:f>IF(AND((CS38+CS45)&gt;0,$B$5=1,CS$3&lt;MAX(EDATE($B$8,MAX('Вводные'!$B$69+3,12)+1),IF('Вводные'!$B$71=0,0,EDATE('Вводные'!$B$71,1)))),(CS38+CS45)*CS41/12,0)</x:f>
      </x:c>
      <x:c r="CT42" s="117">
        <x:f>IF(AND((CT38+CT45)&gt;0,$B$5=1,CT$3&lt;MAX(EDATE($B$8,MAX('Вводные'!$B$69+3,12)+1),IF('Вводные'!$B$71=0,0,EDATE('Вводные'!$B$71,1)))),(CT38+CT45)*CT41/12,0)</x:f>
      </x:c>
      <x:c r="CU42" s="117">
        <x:f>IF(AND((CU38+CU45)&gt;0,$B$5=1,CU$3&lt;MAX(EDATE($B$8,MAX('Вводные'!$B$69+3,12)+1),IF('Вводные'!$B$71=0,0,EDATE('Вводные'!$B$71,1)))),(CU38+CU45)*CU41/12,0)</x:f>
      </x:c>
      <x:c r="CV42" s="117">
        <x:f>IF(AND((CV38+CV45)&gt;0,$B$5=1,CV$3&lt;MAX(EDATE($B$8,MAX('Вводные'!$B$69+3,12)+1),IF('Вводные'!$B$71=0,0,EDATE('Вводные'!$B$71,1)))),(CV38+CV45)*CV41/12,0)</x:f>
      </x:c>
      <x:c r="CW42" s="117">
        <x:f>IF(AND((CW38+CW45)&gt;0,$B$5=1,CW$3&lt;MAX(EDATE($B$8,MAX('Вводные'!$B$69+3,12)+1),IF('Вводные'!$B$71=0,0,EDATE('Вводные'!$B$71,1)))),(CW38+CW45)*CW41/12,0)</x:f>
      </x:c>
      <x:c r="CX42" s="117">
        <x:f>IF(AND((CX38+CX45)&gt;0,$B$5=1,CX$3&lt;MAX(EDATE($B$8,MAX('Вводные'!$B$69+3,12)+1),IF('Вводные'!$B$71=0,0,EDATE('Вводные'!$B$71,1)))),(CX38+CX45)*CX41/12,0)</x:f>
      </x:c>
      <x:c r="CY42" s="117">
        <x:f>IF(AND((CY38+CY45)&gt;0,$B$5=1,CY$3&lt;MAX(EDATE($B$8,MAX('Вводные'!$B$69+3,12)+1),IF('Вводные'!$B$71=0,0,EDATE('Вводные'!$B$71,1)))),(CY38+CY45)*CY41/12,0)</x:f>
      </x:c>
      <x:c r="CZ42" s="117">
        <x:f>IF(AND((CZ38+CZ45)&gt;0,$B$5=1,CZ$3&lt;MAX(EDATE($B$8,MAX('Вводные'!$B$69+3,12)+1),IF('Вводные'!$B$71=0,0,EDATE('Вводные'!$B$71,1)))),(CZ38+CZ45)*CZ41/12,0)</x:f>
      </x:c>
      <x:c r="DA42" s="117">
        <x:f>IF(AND((DA38+DA45)&gt;0,$B$5=1,DA$3&lt;MAX(EDATE($B$8,MAX('Вводные'!$B$69+3,12)+1),IF('Вводные'!$B$71=0,0,EDATE('Вводные'!$B$71,1)))),(DA38+DA45)*DA41/12,0)</x:f>
      </x:c>
      <x:c r="DB42" s="117">
        <x:f>IF(AND((DB38+DB45)&gt;0,$B$5=1,DB$3&lt;MAX(EDATE($B$8,MAX('Вводные'!$B$69+3,12)+1),IF('Вводные'!$B$71=0,0,EDATE('Вводные'!$B$71,1)))),(DB38+DB45)*DB41/12,0)</x:f>
      </x:c>
      <x:c r="DC42" s="117">
        <x:f>IF(AND((DC38+DC45)&gt;0,$B$5=1,DC$3&lt;MAX(EDATE($B$8,MAX('Вводные'!$B$69+3,12)+1),IF('Вводные'!$B$71=0,0,EDATE('Вводные'!$B$71,1)))),(DC38+DC45)*DC41/12,0)</x:f>
      </x:c>
      <x:c r="DD42" s="117">
        <x:f>IF(AND((DD38+DD45)&gt;0,$B$5=1,DD$3&lt;MAX(EDATE($B$8,MAX('Вводные'!$B$69+3,12)+1),IF('Вводные'!$B$71=0,0,EDATE('Вводные'!$B$71,1)))),(DD38+DD45)*DD41/12,0)</x:f>
      </x:c>
      <x:c r="DE42" s="117">
        <x:f>IF(AND((DE38+DE45)&gt;0,$B$5=1,DE$3&lt;MAX(EDATE($B$8,MAX('Вводные'!$B$69+3,12)+1),IF('Вводные'!$B$71=0,0,EDATE('Вводные'!$B$71,1)))),(DE38+DE45)*DE41/12,0)</x:f>
      </x:c>
      <x:c r="DF42" s="117">
        <x:f>IF(AND((DF38+DF45)&gt;0,$B$5=1,DF$3&lt;MAX(EDATE($B$8,MAX('Вводные'!$B$69+3,12)+1),IF('Вводные'!$B$71=0,0,EDATE('Вводные'!$B$71,1)))),(DF38+DF45)*DF41/12,0)</x:f>
      </x:c>
      <x:c r="DG42" s="117">
        <x:f>IF(AND((DG38+DG45)&gt;0,$B$5=1,DG$3&lt;MAX(EDATE($B$8,MAX('Вводные'!$B$69+3,12)+1),IF('Вводные'!$B$71=0,0,EDATE('Вводные'!$B$71,1)))),(DG38+DG45)*DG41/12,0)</x:f>
      </x:c>
      <x:c r="DH42" s="117">
        <x:f>IF(AND((DH38+DH45)&gt;0,$B$5=1,DH$3&lt;MAX(EDATE($B$8,MAX('Вводные'!$B$69+3,12)+1),IF('Вводные'!$B$71=0,0,EDATE('Вводные'!$B$71,1)))),(DH38+DH45)*DH41/12,0)</x:f>
      </x:c>
      <x:c r="DI42" s="117">
        <x:f>IF(AND((DI38+DI45)&gt;0,$B$5=1,DI$3&lt;MAX(EDATE($B$8,MAX('Вводные'!$B$69+3,12)+1),IF('Вводные'!$B$71=0,0,EDATE('Вводные'!$B$71,1)))),(DI38+DI45)*DI41/12,0)</x:f>
      </x:c>
      <x:c r="DJ42" s="117">
        <x:f>IF(AND((DJ38+DJ45)&gt;0,$B$5=1,DJ$3&lt;MAX(EDATE($B$8,MAX('Вводные'!$B$69+3,12)+1),IF('Вводные'!$B$71=0,0,EDATE('Вводные'!$B$71,1)))),(DJ38+DJ45)*DJ41/12,0)</x:f>
      </x:c>
      <x:c r="DK42" s="117">
        <x:f>IF(AND((DK38+DK45)&gt;0,$B$5=1,DK$3&lt;MAX(EDATE($B$8,MAX('Вводные'!$B$69+3,12)+1),IF('Вводные'!$B$71=0,0,EDATE('Вводные'!$B$71,1)))),(DK38+DK45)*DK41/12,0)</x:f>
      </x:c>
      <x:c r="DL42" s="117">
        <x:f>IF(AND((DL38+DL45)&gt;0,$B$5=1,DL$3&lt;MAX(EDATE($B$8,MAX('Вводные'!$B$69+3,12)+1),IF('Вводные'!$B$71=0,0,EDATE('Вводные'!$B$71,1)))),(DL38+DL45)*DL41/12,0)</x:f>
      </x:c>
      <x:c r="DM42" s="117">
        <x:f>IF(AND((DM38+DM45)&gt;0,$B$5=1,DM$3&lt;MAX(EDATE($B$8,MAX('Вводные'!$B$69+3,12)+1),IF('Вводные'!$B$71=0,0,EDATE('Вводные'!$B$71,1)))),(DM38+DM45)*DM41/12,0)</x:f>
      </x:c>
      <x:c r="DN42" s="117">
        <x:f>IF(AND((DN38+DN45)&gt;0,$B$5=1,DN$3&lt;MAX(EDATE($B$8,MAX('Вводные'!$B$69+3,12)+1),IF('Вводные'!$B$71=0,0,EDATE('Вводные'!$B$71,1)))),(DN38+DN45)*DN41/12,0)</x:f>
      </x:c>
      <x:c r="DO42" s="117">
        <x:f>IF(AND((DO38+DO45)&gt;0,$B$5=1,DO$3&lt;MAX(EDATE($B$8,MAX('Вводные'!$B$69+3,12)+1),IF('Вводные'!$B$71=0,0,EDATE('Вводные'!$B$71,1)))),(DO38+DO45)*DO41/12,0)</x:f>
      </x:c>
      <x:c r="DP42" s="117">
        <x:f>IF(AND((DP38+DP45)&gt;0,$B$5=1,DP$3&lt;MAX(EDATE($B$8,MAX('Вводные'!$B$69+3,12)+1),IF('Вводные'!$B$71=0,0,EDATE('Вводные'!$B$71,1)))),(DP38+DP45)*DP41/12,0)</x:f>
      </x:c>
      <x:c r="DQ42" s="117">
        <x:f>IF(AND((DQ38+DQ45)&gt;0,$B$5=1,DQ$3&lt;MAX(EDATE($B$8,MAX('Вводные'!$B$69+3,12)+1),IF('Вводные'!$B$71=0,0,EDATE('Вводные'!$B$71,1)))),(DQ38+DQ45)*DQ41/12,0)</x:f>
      </x:c>
      <x:c r="DR42" s="117">
        <x:f>IF(AND((DR38+DR45)&gt;0,$B$5=1,DR$3&lt;MAX(EDATE($B$8,MAX('Вводные'!$B$69+3,12)+1),IF('Вводные'!$B$71=0,0,EDATE('Вводные'!$B$71,1)))),(DR38+DR45)*DR41/12,0)</x:f>
      </x:c>
      <x:c r="DS42" s="117">
        <x:f>IF(AND((DS38+DS45)&gt;0,$B$5=1,DS$3&lt;MAX(EDATE($B$8,MAX('Вводные'!$B$69+3,12)+1),IF('Вводные'!$B$71=0,0,EDATE('Вводные'!$B$71,1)))),(DS38+DS45)*DS41/12,0)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>
        <x:f>IF(AND(D$3&gt;=$B$7,D$3&lt;$B$8),MAX(0,'Вводные'!$B$26*'Вводные'!$V$91-(D38+D45))*'Вводные'!$B$29/12,0)</x:f>
      </x:c>
      <x:c r="E43" s="117">
        <x:f>IF(AND(E$3&gt;=$B$7,E$3&lt;$B$8),MAX(0,'Вводные'!$B$26*'Вводные'!$V$91-(E38+E45))*'Вводные'!$B$29/12,0)</x:f>
      </x:c>
      <x:c r="F43" s="117">
        <x:f>IF(AND(F$3&gt;=$B$7,F$3&lt;$B$8),MAX(0,'Вводные'!$B$26*'Вводные'!$V$91-(F38+F45))*'Вводные'!$B$29/12,0)</x:f>
      </x:c>
      <x:c r="G43" s="117">
        <x:f>IF(AND(G$3&gt;=$B$7,G$3&lt;$B$8),MAX(0,'Вводные'!$B$26*'Вводные'!$V$91-(G38+G45))*'Вводные'!$B$29/12,0)</x:f>
      </x:c>
      <x:c r="H43" s="117">
        <x:f>IF(AND(H$3&gt;=$B$7,H$3&lt;$B$8),MAX(0,'Вводные'!$B$26*'Вводные'!$V$91-(H38+H45))*'Вводные'!$B$29/12,0)</x:f>
      </x:c>
      <x:c r="I43" s="117">
        <x:f>IF(AND(I$3&gt;=$B$7,I$3&lt;$B$8),MAX(0,'Вводные'!$B$26*'Вводные'!$V$91-(I38+I45))*'Вводные'!$B$29/12,0)</x:f>
      </x:c>
      <x:c r="J43" s="117">
        <x:f>IF(AND(J$3&gt;=$B$7,J$3&lt;$B$8),MAX(0,'Вводные'!$B$26*'Вводные'!$V$91-(J38+J45))*'Вводные'!$B$29/12,0)</x:f>
      </x:c>
      <x:c r="K43" s="117">
        <x:f>IF(AND(K$3&gt;=$B$7,K$3&lt;$B$8),MAX(0,'Вводные'!$B$26*'Вводные'!$V$91-(K38+K45))*'Вводные'!$B$29/12,0)</x:f>
      </x:c>
      <x:c r="L43" s="117">
        <x:f>IF(AND(L$3&gt;=$B$7,L$3&lt;$B$8),MAX(0,'Вводные'!$B$26*'Вводные'!$V$91-(L38+L45))*'Вводные'!$B$29/12,0)</x:f>
      </x:c>
      <x:c r="M43" s="117">
        <x:f>IF(AND(M$3&gt;=$B$7,M$3&lt;$B$8),MAX(0,'Вводные'!$B$26*'Вводные'!$V$91-(M38+M45))*'Вводные'!$B$29/12,0)</x:f>
      </x:c>
      <x:c r="N43" s="117">
        <x:f>IF(AND(N$3&gt;=$B$7,N$3&lt;$B$8),MAX(0,'Вводные'!$B$26*'Вводные'!$V$91-(N38+N45))*'Вводные'!$B$29/12,0)</x:f>
      </x:c>
      <x:c r="O43" s="117">
        <x:f>IF(AND(O$3&gt;=$B$7,O$3&lt;$B$8),MAX(0,'Вводные'!$B$26*'Вводные'!$V$91-(O38+O45))*'Вводные'!$B$29/12,0)</x:f>
      </x:c>
      <x:c r="P43" s="117">
        <x:f>IF(AND(P$3&gt;=$B$7,P$3&lt;$B$8),MAX(0,'Вводные'!$B$26*'Вводные'!$V$91-(P38+P45))*'Вводные'!$B$29/12,0)</x:f>
      </x:c>
      <x:c r="Q43" s="117">
        <x:f>IF(AND(Q$3&gt;=$B$7,Q$3&lt;$B$8),MAX(0,'Вводные'!$B$26*'Вводные'!$V$91-(Q38+Q45))*'Вводные'!$B$29/12,0)</x:f>
      </x:c>
      <x:c r="R43" s="117">
        <x:f>IF(AND(R$3&gt;=$B$7,R$3&lt;$B$8),MAX(0,'Вводные'!$B$26*'Вводные'!$V$91-(R38+R45))*'Вводные'!$B$29/12,0)</x:f>
      </x:c>
      <x:c r="S43" s="117">
        <x:f>IF(AND(S$3&gt;=$B$7,S$3&lt;$B$8),MAX(0,'Вводные'!$B$26*'Вводные'!$V$91-(S38+S45))*'Вводные'!$B$29/12,0)</x:f>
      </x:c>
      <x:c r="T43" s="117">
        <x:f>IF(AND(T$3&gt;=$B$7,T$3&lt;$B$8),MAX(0,'Вводные'!$B$26*'Вводные'!$V$91-(T38+T45))*'Вводные'!$B$29/12,0)</x:f>
      </x:c>
      <x:c r="U43" s="117">
        <x:f>IF(AND(U$3&gt;=$B$7,U$3&lt;$B$8),MAX(0,'Вводные'!$B$26*'Вводные'!$V$91-(U38+U45))*'Вводные'!$B$29/12,0)</x:f>
      </x:c>
      <x:c r="V43" s="117">
        <x:f>IF(AND(V$3&gt;=$B$7,V$3&lt;$B$8),MAX(0,'Вводные'!$B$26*'Вводные'!$V$91-(V38+V45))*'Вводные'!$B$29/12,0)</x:f>
      </x:c>
      <x:c r="W43" s="117">
        <x:f>IF(AND(W$3&gt;=$B$7,W$3&lt;$B$8),MAX(0,'Вводные'!$B$26*'Вводные'!$V$91-(W38+W45))*'Вводные'!$B$29/12,0)</x:f>
      </x:c>
      <x:c r="X43" s="117">
        <x:f>IF(AND(X$3&gt;=$B$7,X$3&lt;$B$8),MAX(0,'Вводные'!$B$26*'Вводные'!$V$91-(X38+X45))*'Вводные'!$B$29/12,0)</x:f>
      </x:c>
      <x:c r="Y43" s="117">
        <x:f>IF(AND(Y$3&gt;=$B$7,Y$3&lt;$B$8),MAX(0,'Вводные'!$B$26*'Вводные'!$V$91-(Y38+Y45))*'Вводные'!$B$29/12,0)</x:f>
      </x:c>
      <x:c r="Z43" s="117">
        <x:f>IF(AND(Z$3&gt;=$B$7,Z$3&lt;$B$8),MAX(0,'Вводные'!$B$26*'Вводные'!$V$91-(Z38+Z45))*'Вводные'!$B$29/12,0)</x:f>
      </x:c>
      <x:c r="AA43" s="117">
        <x:f>IF(AND(AA$3&gt;=$B$7,AA$3&lt;$B$8),MAX(0,'Вводные'!$B$26*'Вводные'!$V$91-(AA38+AA45))*'Вводные'!$B$29/12,0)</x:f>
      </x:c>
      <x:c r="AB43" s="117">
        <x:f>IF(AND(AB$3&gt;=$B$7,AB$3&lt;$B$8),MAX(0,'Вводные'!$B$26*'Вводные'!$V$91-(AB38+AB45))*'Вводные'!$B$29/12,0)</x:f>
      </x:c>
      <x:c r="AC43" s="117">
        <x:f>IF(AND(AC$3&gt;=$B$7,AC$3&lt;$B$8),MAX(0,'Вводные'!$B$26*'Вводные'!$V$91-(AC38+AC45))*'Вводные'!$B$29/12,0)</x:f>
      </x:c>
      <x:c r="AD43" s="117">
        <x:f>IF(AND(AD$3&gt;=$B$7,AD$3&lt;$B$8),MAX(0,'Вводные'!$B$26*'Вводные'!$V$91-(AD38+AD45))*'Вводные'!$B$29/12,0)</x:f>
      </x:c>
      <x:c r="AE43" s="117">
        <x:f>IF(AND(AE$3&gt;=$B$7,AE$3&lt;$B$8),MAX(0,'Вводные'!$B$26*'Вводные'!$V$91-(AE38+AE45))*'Вводные'!$B$29/12,0)</x:f>
      </x:c>
      <x:c r="AF43" s="117">
        <x:f>IF(AND(AF$3&gt;=$B$7,AF$3&lt;$B$8),MAX(0,'Вводные'!$B$26*'Вводные'!$V$91-(AF38+AF45))*'Вводные'!$B$29/12,0)</x:f>
      </x:c>
      <x:c r="AG43" s="117">
        <x:f>IF(AND(AG$3&gt;=$B$7,AG$3&lt;$B$8),MAX(0,'Вводные'!$B$26*'Вводные'!$V$91-(AG38+AG45))*'Вводные'!$B$29/12,0)</x:f>
      </x:c>
      <x:c r="AH43" s="117">
        <x:f>IF(AND(AH$3&gt;=$B$7,AH$3&lt;$B$8),MAX(0,'Вводные'!$B$26*'Вводные'!$V$91-(AH38+AH45))*'Вводные'!$B$29/12,0)</x:f>
      </x:c>
      <x:c r="AI43" s="117">
        <x:f>IF(AND(AI$3&gt;=$B$7,AI$3&lt;$B$8),MAX(0,'Вводные'!$B$26*'Вводные'!$V$91-(AI38+AI45))*'Вводные'!$B$29/12,0)</x:f>
      </x:c>
      <x:c r="AJ43" s="117">
        <x:f>IF(AND(AJ$3&gt;=$B$7,AJ$3&lt;$B$8),MAX(0,'Вводные'!$B$26*'Вводные'!$V$91-(AJ38+AJ45))*'Вводные'!$B$29/12,0)</x:f>
      </x:c>
      <x:c r="AK43" s="117">
        <x:f>IF(AND(AK$3&gt;=$B$7,AK$3&lt;$B$8),MAX(0,'Вводные'!$B$26*'Вводные'!$V$91-(AK38+AK45))*'Вводные'!$B$29/12,0)</x:f>
      </x:c>
      <x:c r="AL43" s="117">
        <x:f>IF(AND(AL$3&gt;=$B$7,AL$3&lt;$B$8),MAX(0,'Вводные'!$B$26*'Вводные'!$V$91-(AL38+AL45))*'Вводные'!$B$29/12,0)</x:f>
      </x:c>
      <x:c r="AM43" s="117">
        <x:f>IF(AND(AM$3&gt;=$B$7,AM$3&lt;$B$8),MAX(0,'Вводные'!$B$26*'Вводные'!$V$91-(AM38+AM45))*'Вводные'!$B$29/12,0)</x:f>
      </x:c>
      <x:c r="AN43" s="117">
        <x:f>IF(AND(AN$3&gt;=$B$7,AN$3&lt;$B$8),MAX(0,'Вводные'!$B$26*'Вводные'!$V$91-(AN38+AN45))*'Вводные'!$B$29/12,0)</x:f>
      </x:c>
      <x:c r="AO43" s="117">
        <x:f>IF(AND(AO$3&gt;=$B$7,AO$3&lt;$B$8),MAX(0,'Вводные'!$B$26*'Вводные'!$V$91-(AO38+AO45))*'Вводные'!$B$29/12,0)</x:f>
      </x:c>
      <x:c r="AP43" s="117">
        <x:f>IF(AND(AP$3&gt;=$B$7,AP$3&lt;$B$8),MAX(0,'Вводные'!$B$26*'Вводные'!$V$91-(AP38+AP45))*'Вводные'!$B$29/12,0)</x:f>
      </x:c>
      <x:c r="AQ43" s="117">
        <x:f>IF(AND(AQ$3&gt;=$B$7,AQ$3&lt;$B$8),MAX(0,'Вводные'!$B$26*'Вводные'!$V$91-(AQ38+AQ45))*'Вводные'!$B$29/12,0)</x:f>
      </x:c>
      <x:c r="AR43" s="117">
        <x:f>IF(AND(AR$3&gt;=$B$7,AR$3&lt;$B$8),MAX(0,'Вводные'!$B$26*'Вводные'!$V$91-(AR38+AR45))*'Вводные'!$B$29/12,0)</x:f>
      </x:c>
      <x:c r="AS43" s="117">
        <x:f>IF(AND(AS$3&gt;=$B$7,AS$3&lt;$B$8),MAX(0,'Вводные'!$B$26*'Вводные'!$V$91-(AS38+AS45))*'Вводные'!$B$29/12,0)</x:f>
      </x:c>
      <x:c r="AT43" s="117">
        <x:f>IF(AND(AT$3&gt;=$B$7,AT$3&lt;$B$8),MAX(0,'Вводные'!$B$26*'Вводные'!$V$91-(AT38+AT45))*'Вводные'!$B$29/12,0)</x:f>
      </x:c>
      <x:c r="AU43" s="117">
        <x:f>IF(AND(AU$3&gt;=$B$7,AU$3&lt;$B$8),MAX(0,'Вводные'!$B$26*'Вводные'!$V$91-(AU38+AU45))*'Вводные'!$B$29/12,0)</x:f>
      </x:c>
      <x:c r="AV43" s="117">
        <x:f>IF(AND(AV$3&gt;=$B$7,AV$3&lt;$B$8),MAX(0,'Вводные'!$B$26*'Вводные'!$V$91-(AV38+AV45))*'Вводные'!$B$29/12,0)</x:f>
      </x:c>
      <x:c r="AW43" s="117">
        <x:f>IF(AND(AW$3&gt;=$B$7,AW$3&lt;$B$8),MAX(0,'Вводные'!$B$26*'Вводные'!$V$91-(AW38+AW45))*'Вводные'!$B$29/12,0)</x:f>
      </x:c>
      <x:c r="AX43" s="117">
        <x:f>IF(AND(AX$3&gt;=$B$7,AX$3&lt;$B$8),MAX(0,'Вводные'!$B$26*'Вводные'!$V$91-(AX38+AX45))*'Вводные'!$B$29/12,0)</x:f>
      </x:c>
      <x:c r="AY43" s="117">
        <x:f>IF(AND(AY$3&gt;=$B$7,AY$3&lt;$B$8),MAX(0,'Вводные'!$B$26*'Вводные'!$V$91-(AY38+AY45))*'Вводные'!$B$29/12,0)</x:f>
      </x:c>
      <x:c r="AZ43" s="117">
        <x:f>IF(AND(AZ$3&gt;=$B$7,AZ$3&lt;$B$8),MAX(0,'Вводные'!$B$26*'Вводные'!$V$91-(AZ38+AZ45))*'Вводные'!$B$29/12,0)</x:f>
      </x:c>
      <x:c r="BA43" s="117">
        <x:f>IF(AND(BA$3&gt;=$B$7,BA$3&lt;$B$8),MAX(0,'Вводные'!$B$26*'Вводные'!$V$91-(BA38+BA45))*'Вводные'!$B$29/12,0)</x:f>
      </x:c>
      <x:c r="BB43" s="117">
        <x:f>IF(AND(BB$3&gt;=$B$7,BB$3&lt;$B$8),MAX(0,'Вводные'!$B$26*'Вводные'!$V$91-(BB38+BB45))*'Вводные'!$B$29/12,0)</x:f>
      </x:c>
      <x:c r="BC43" s="117">
        <x:f>IF(AND(BC$3&gt;=$B$7,BC$3&lt;$B$8),MAX(0,'Вводные'!$B$26*'Вводные'!$V$91-(BC38+BC45))*'Вводные'!$B$29/12,0)</x:f>
      </x:c>
      <x:c r="BD43" s="117">
        <x:f>IF(AND(BD$3&gt;=$B$7,BD$3&lt;$B$8),MAX(0,'Вводные'!$B$26*'Вводные'!$V$91-(BD38+BD45))*'Вводные'!$B$29/12,0)</x:f>
      </x:c>
      <x:c r="BE43" s="117">
        <x:f>IF(AND(BE$3&gt;=$B$7,BE$3&lt;$B$8),MAX(0,'Вводные'!$B$26*'Вводные'!$V$91-(BE38+BE45))*'Вводные'!$B$29/12,0)</x:f>
      </x:c>
      <x:c r="BF43" s="117">
        <x:f>IF(AND(BF$3&gt;=$B$7,BF$3&lt;$B$8),MAX(0,'Вводные'!$B$26*'Вводные'!$V$91-(BF38+BF45))*'Вводные'!$B$29/12,0)</x:f>
      </x:c>
      <x:c r="BG43" s="117">
        <x:f>IF(AND(BG$3&gt;=$B$7,BG$3&lt;$B$8),MAX(0,'Вводные'!$B$26*'Вводные'!$V$91-(BG38+BG45))*'Вводные'!$B$29/12,0)</x:f>
      </x:c>
      <x:c r="BH43" s="117">
        <x:f>IF(AND(BH$3&gt;=$B$7,BH$3&lt;$B$8),MAX(0,'Вводные'!$B$26*'Вводные'!$V$91-(BH38+BH45))*'Вводные'!$B$29/12,0)</x:f>
      </x:c>
      <x:c r="BI43" s="117">
        <x:f>IF(AND(BI$3&gt;=$B$7,BI$3&lt;$B$8),MAX(0,'Вводные'!$B$26*'Вводные'!$V$91-(BI38+BI45))*'Вводные'!$B$29/12,0)</x:f>
      </x:c>
      <x:c r="BJ43" s="117">
        <x:f>IF(AND(BJ$3&gt;=$B$7,BJ$3&lt;$B$8),MAX(0,'Вводные'!$B$26*'Вводные'!$V$91-(BJ38+BJ45))*'Вводные'!$B$29/12,0)</x:f>
      </x:c>
      <x:c r="BK43" s="117">
        <x:f>IF(AND(BK$3&gt;=$B$7,BK$3&lt;$B$8),MAX(0,'Вводные'!$B$26*'Вводные'!$V$91-(BK38+BK45))*'Вводные'!$B$29/12,0)</x:f>
      </x:c>
      <x:c r="BL43" s="117">
        <x:f>IF(AND(BL$3&gt;=$B$7,BL$3&lt;$B$8),MAX(0,'Вводные'!$B$26*'Вводные'!$V$91-(BL38+BL45))*'Вводные'!$B$29/12,0)</x:f>
      </x:c>
      <x:c r="BM43" s="117">
        <x:f>IF(AND(BM$3&gt;=$B$7,BM$3&lt;$B$8),MAX(0,'Вводные'!$B$26*'Вводные'!$V$91-(BM38+BM45))*'Вводные'!$B$29/12,0)</x:f>
      </x:c>
      <x:c r="BN43" s="117">
        <x:f>IF(AND(BN$3&gt;=$B$7,BN$3&lt;$B$8),MAX(0,'Вводные'!$B$26*'Вводные'!$V$91-(BN38+BN45))*'Вводные'!$B$29/12,0)</x:f>
      </x:c>
      <x:c r="BO43" s="117">
        <x:f>IF(AND(BO$3&gt;=$B$7,BO$3&lt;$B$8),MAX(0,'Вводные'!$B$26*'Вводные'!$V$91-(BO38+BO45))*'Вводные'!$B$29/12,0)</x:f>
      </x:c>
      <x:c r="BP43" s="117">
        <x:f>IF(AND(BP$3&gt;=$B$7,BP$3&lt;$B$8),MAX(0,'Вводные'!$B$26*'Вводные'!$V$91-(BP38+BP45))*'Вводные'!$B$29/12,0)</x:f>
      </x:c>
      <x:c r="BQ43" s="117">
        <x:f>IF(AND(BQ$3&gt;=$B$7,BQ$3&lt;$B$8),MAX(0,'Вводные'!$B$26*'Вводные'!$V$91-(BQ38+BQ45))*'Вводные'!$B$29/12,0)</x:f>
      </x:c>
      <x:c r="BR43" s="117">
        <x:f>IF(AND(BR$3&gt;=$B$7,BR$3&lt;$B$8),MAX(0,'Вводные'!$B$26*'Вводные'!$V$91-(BR38+BR45))*'Вводные'!$B$29/12,0)</x:f>
      </x:c>
      <x:c r="BS43" s="117">
        <x:f>IF(AND(BS$3&gt;=$B$7,BS$3&lt;$B$8),MAX(0,'Вводные'!$B$26*'Вводные'!$V$91-(BS38+BS45))*'Вводные'!$B$29/12,0)</x:f>
      </x:c>
      <x:c r="BT43" s="117">
        <x:f>IF(AND(BT$3&gt;=$B$7,BT$3&lt;$B$8),MAX(0,'Вводные'!$B$26*'Вводные'!$V$91-(BT38+BT45))*'Вводные'!$B$29/12,0)</x:f>
      </x:c>
      <x:c r="BU43" s="117">
        <x:f>IF(AND(BU$3&gt;=$B$7,BU$3&lt;$B$8),MAX(0,'Вводные'!$B$26*'Вводные'!$V$91-(BU38+BU45))*'Вводные'!$B$29/12,0)</x:f>
      </x:c>
      <x:c r="BV43" s="117">
        <x:f>IF(AND(BV$3&gt;=$B$7,BV$3&lt;$B$8),MAX(0,'Вводные'!$B$26*'Вводные'!$V$91-(BV38+BV45))*'Вводные'!$B$29/12,0)</x:f>
      </x:c>
      <x:c r="BW43" s="117">
        <x:f>IF(AND(BW$3&gt;=$B$7,BW$3&lt;$B$8),MAX(0,'Вводные'!$B$26*'Вводные'!$V$91-(BW38+BW45))*'Вводные'!$B$29/12,0)</x:f>
      </x:c>
      <x:c r="BX43" s="117">
        <x:f>IF(AND(BX$3&gt;=$B$7,BX$3&lt;$B$8),MAX(0,'Вводные'!$B$26*'Вводные'!$V$91-(BX38+BX45))*'Вводные'!$B$29/12,0)</x:f>
      </x:c>
      <x:c r="BY43" s="117">
        <x:f>IF(AND(BY$3&gt;=$B$7,BY$3&lt;$B$8),MAX(0,'Вводные'!$B$26*'Вводные'!$V$91-(BY38+BY45))*'Вводные'!$B$29/12,0)</x:f>
      </x:c>
      <x:c r="BZ43" s="117">
        <x:f>IF(AND(BZ$3&gt;=$B$7,BZ$3&lt;$B$8),MAX(0,'Вводные'!$B$26*'Вводные'!$V$91-(BZ38+BZ45))*'Вводные'!$B$29/12,0)</x:f>
      </x:c>
      <x:c r="CA43" s="117">
        <x:f>IF(AND(CA$3&gt;=$B$7,CA$3&lt;$B$8),MAX(0,'Вводные'!$B$26*'Вводные'!$V$91-(CA38+CA45))*'Вводные'!$B$29/12,0)</x:f>
      </x:c>
      <x:c r="CB43" s="117">
        <x:f>IF(AND(CB$3&gt;=$B$7,CB$3&lt;$B$8),MAX(0,'Вводные'!$B$26*'Вводные'!$V$91-(CB38+CB45))*'Вводные'!$B$29/12,0)</x:f>
      </x:c>
      <x:c r="CC43" s="117">
        <x:f>IF(AND(CC$3&gt;=$B$7,CC$3&lt;$B$8),MAX(0,'Вводные'!$B$26*'Вводные'!$V$91-(CC38+CC45))*'Вводные'!$B$29/12,0)</x:f>
      </x:c>
      <x:c r="CD43" s="117">
        <x:f>IF(AND(CD$3&gt;=$B$7,CD$3&lt;$B$8),MAX(0,'Вводные'!$B$26*'Вводные'!$V$91-(CD38+CD45))*'Вводные'!$B$29/12,0)</x:f>
      </x:c>
      <x:c r="CE43" s="117">
        <x:f>IF(AND(CE$3&gt;=$B$7,CE$3&lt;$B$8),MAX(0,'Вводные'!$B$26*'Вводные'!$V$91-(CE38+CE45))*'Вводные'!$B$29/12,0)</x:f>
      </x:c>
      <x:c r="CF43" s="117">
        <x:f>IF(AND(CF$3&gt;=$B$7,CF$3&lt;$B$8),MAX(0,'Вводные'!$B$26*'Вводные'!$V$91-(CF38+CF45))*'Вводные'!$B$29/12,0)</x:f>
      </x:c>
      <x:c r="CG43" s="117">
        <x:f>IF(AND(CG$3&gt;=$B$7,CG$3&lt;$B$8),MAX(0,'Вводные'!$B$26*'Вводные'!$V$91-(CG38+CG45))*'Вводные'!$B$29/12,0)</x:f>
      </x:c>
      <x:c r="CH43" s="117">
        <x:f>IF(AND(CH$3&gt;=$B$7,CH$3&lt;$B$8),MAX(0,'Вводные'!$B$26*'Вводные'!$V$91-(CH38+CH45))*'Вводные'!$B$29/12,0)</x:f>
      </x:c>
      <x:c r="CI43" s="117">
        <x:f>IF(AND(CI$3&gt;=$B$7,CI$3&lt;$B$8),MAX(0,'Вводные'!$B$26*'Вводные'!$V$91-(CI38+CI45))*'Вводные'!$B$29/12,0)</x:f>
      </x:c>
      <x:c r="CJ43" s="117">
        <x:f>IF(AND(CJ$3&gt;=$B$7,CJ$3&lt;$B$8),MAX(0,'Вводные'!$B$26*'Вводные'!$V$91-(CJ38+CJ45))*'Вводные'!$B$29/12,0)</x:f>
      </x:c>
      <x:c r="CK43" s="117">
        <x:f>IF(AND(CK$3&gt;=$B$7,CK$3&lt;$B$8),MAX(0,'Вводные'!$B$26*'Вводные'!$V$91-(CK38+CK45))*'Вводные'!$B$29/12,0)</x:f>
      </x:c>
      <x:c r="CL43" s="117">
        <x:f>IF(AND(CL$3&gt;=$B$7,CL$3&lt;$B$8),MAX(0,'Вводные'!$B$26*'Вводные'!$V$91-(CL38+CL45))*'Вводные'!$B$29/12,0)</x:f>
      </x:c>
      <x:c r="CM43" s="117">
        <x:f>IF(AND(CM$3&gt;=$B$7,CM$3&lt;$B$8),MAX(0,'Вводные'!$B$26*'Вводные'!$V$91-(CM38+CM45))*'Вводные'!$B$29/12,0)</x:f>
      </x:c>
      <x:c r="CN43" s="117">
        <x:f>IF(AND(CN$3&gt;=$B$7,CN$3&lt;$B$8),MAX(0,'Вводные'!$B$26*'Вводные'!$V$91-(CN38+CN45))*'Вводные'!$B$29/12,0)</x:f>
      </x:c>
      <x:c r="CO43" s="117">
        <x:f>IF(AND(CO$3&gt;=$B$7,CO$3&lt;$B$8),MAX(0,'Вводные'!$B$26*'Вводные'!$V$91-(CO38+CO45))*'Вводные'!$B$29/12,0)</x:f>
      </x:c>
      <x:c r="CP43" s="117">
        <x:f>IF(AND(CP$3&gt;=$B$7,CP$3&lt;$B$8),MAX(0,'Вводные'!$B$26*'Вводные'!$V$91-(CP38+CP45))*'Вводные'!$B$29/12,0)</x:f>
      </x:c>
      <x:c r="CQ43" s="117">
        <x:f>IF(AND(CQ$3&gt;=$B$7,CQ$3&lt;$B$8),MAX(0,'Вводные'!$B$26*'Вводные'!$V$91-(CQ38+CQ45))*'Вводные'!$B$29/12,0)</x:f>
      </x:c>
      <x:c r="CR43" s="117">
        <x:f>IF(AND(CR$3&gt;=$B$7,CR$3&lt;$B$8),MAX(0,'Вводные'!$B$26*'Вводные'!$V$91-(CR38+CR45))*'Вводные'!$B$29/12,0)</x:f>
      </x:c>
      <x:c r="CS43" s="117">
        <x:f>IF(AND(CS$3&gt;=$B$7,CS$3&lt;$B$8),MAX(0,'Вводные'!$B$26*'Вводные'!$V$91-(CS38+CS45))*'Вводные'!$B$29/12,0)</x:f>
      </x:c>
      <x:c r="CT43" s="117">
        <x:f>IF(AND(CT$3&gt;=$B$7,CT$3&lt;$B$8),MAX(0,'Вводные'!$B$26*'Вводные'!$V$91-(CT38+CT45))*'Вводные'!$B$29/12,0)</x:f>
      </x:c>
      <x:c r="CU43" s="117">
        <x:f>IF(AND(CU$3&gt;=$B$7,CU$3&lt;$B$8),MAX(0,'Вводные'!$B$26*'Вводные'!$V$91-(CU38+CU45))*'Вводные'!$B$29/12,0)</x:f>
      </x:c>
      <x:c r="CV43" s="117">
        <x:f>IF(AND(CV$3&gt;=$B$7,CV$3&lt;$B$8),MAX(0,'Вводные'!$B$26*'Вводные'!$V$91-(CV38+CV45))*'Вводные'!$B$29/12,0)</x:f>
      </x:c>
      <x:c r="CW43" s="117">
        <x:f>IF(AND(CW$3&gt;=$B$7,CW$3&lt;$B$8),MAX(0,'Вводные'!$B$26*'Вводные'!$V$91-(CW38+CW45))*'Вводные'!$B$29/12,0)</x:f>
      </x:c>
      <x:c r="CX43" s="117">
        <x:f>IF(AND(CX$3&gt;=$B$7,CX$3&lt;$B$8),MAX(0,'Вводные'!$B$26*'Вводные'!$V$91-(CX38+CX45))*'Вводные'!$B$29/12,0)</x:f>
      </x:c>
      <x:c r="CY43" s="117">
        <x:f>IF(AND(CY$3&gt;=$B$7,CY$3&lt;$B$8),MAX(0,'Вводные'!$B$26*'Вводные'!$V$91-(CY38+CY45))*'Вводные'!$B$29/12,0)</x:f>
      </x:c>
      <x:c r="CZ43" s="117">
        <x:f>IF(AND(CZ$3&gt;=$B$7,CZ$3&lt;$B$8),MAX(0,'Вводные'!$B$26*'Вводные'!$V$91-(CZ38+CZ45))*'Вводные'!$B$29/12,0)</x:f>
      </x:c>
      <x:c r="DA43" s="117">
        <x:f>IF(AND(DA$3&gt;=$B$7,DA$3&lt;$B$8),MAX(0,'Вводные'!$B$26*'Вводные'!$V$91-(DA38+DA45))*'Вводные'!$B$29/12,0)</x:f>
      </x:c>
      <x:c r="DB43" s="117">
        <x:f>IF(AND(DB$3&gt;=$B$7,DB$3&lt;$B$8),MAX(0,'Вводные'!$B$26*'Вводные'!$V$91-(DB38+DB45))*'Вводные'!$B$29/12,0)</x:f>
      </x:c>
      <x:c r="DC43" s="117">
        <x:f>IF(AND(DC$3&gt;=$B$7,DC$3&lt;$B$8),MAX(0,'Вводные'!$B$26*'Вводные'!$V$91-(DC38+DC45))*'Вводные'!$B$29/12,0)</x:f>
      </x:c>
      <x:c r="DD43" s="117">
        <x:f>IF(AND(DD$3&gt;=$B$7,DD$3&lt;$B$8),MAX(0,'Вводные'!$B$26*'Вводные'!$V$91-(DD38+DD45))*'Вводные'!$B$29/12,0)</x:f>
      </x:c>
      <x:c r="DE43" s="117">
        <x:f>IF(AND(DE$3&gt;=$B$7,DE$3&lt;$B$8),MAX(0,'Вводные'!$B$26*'Вводные'!$V$91-(DE38+DE45))*'Вводные'!$B$29/12,0)</x:f>
      </x:c>
      <x:c r="DF43" s="117">
        <x:f>IF(AND(DF$3&gt;=$B$7,DF$3&lt;$B$8),MAX(0,'Вводные'!$B$26*'Вводные'!$V$91-(DF38+DF45))*'Вводные'!$B$29/12,0)</x:f>
      </x:c>
      <x:c r="DG43" s="117">
        <x:f>IF(AND(DG$3&gt;=$B$7,DG$3&lt;$B$8),MAX(0,'Вводные'!$B$26*'Вводные'!$V$91-(DG38+DG45))*'Вводные'!$B$29/12,0)</x:f>
      </x:c>
      <x:c r="DH43" s="117">
        <x:f>IF(AND(DH$3&gt;=$B$7,DH$3&lt;$B$8),MAX(0,'Вводные'!$B$26*'Вводные'!$V$91-(DH38+DH45))*'Вводные'!$B$29/12,0)</x:f>
      </x:c>
      <x:c r="DI43" s="117">
        <x:f>IF(AND(DI$3&gt;=$B$7,DI$3&lt;$B$8),MAX(0,'Вводные'!$B$26*'Вводные'!$V$91-(DI38+DI45))*'Вводные'!$B$29/12,0)</x:f>
      </x:c>
      <x:c r="DJ43" s="117">
        <x:f>IF(AND(DJ$3&gt;=$B$7,DJ$3&lt;$B$8),MAX(0,'Вводные'!$B$26*'Вводные'!$V$91-(DJ38+DJ45))*'Вводные'!$B$29/12,0)</x:f>
      </x:c>
      <x:c r="DK43" s="117">
        <x:f>IF(AND(DK$3&gt;=$B$7,DK$3&lt;$B$8),MAX(0,'Вводные'!$B$26*'Вводные'!$V$91-(DK38+DK45))*'Вводные'!$B$29/12,0)</x:f>
      </x:c>
      <x:c r="DL43" s="117">
        <x:f>IF(AND(DL$3&gt;=$B$7,DL$3&lt;$B$8),MAX(0,'Вводные'!$B$26*'Вводные'!$V$91-(DL38+DL45))*'Вводные'!$B$29/12,0)</x:f>
      </x:c>
      <x:c r="DM43" s="117">
        <x:f>IF(AND(DM$3&gt;=$B$7,DM$3&lt;$B$8),MAX(0,'Вводные'!$B$26*'Вводные'!$V$91-(DM38+DM45))*'Вводные'!$B$29/12,0)</x:f>
      </x:c>
      <x:c r="DN43" s="117">
        <x:f>IF(AND(DN$3&gt;=$B$7,DN$3&lt;$B$8),MAX(0,'Вводные'!$B$26*'Вводные'!$V$91-(DN38+DN45))*'Вводные'!$B$29/12,0)</x:f>
      </x:c>
      <x:c r="DO43" s="117">
        <x:f>IF(AND(DO$3&gt;=$B$7,DO$3&lt;$B$8),MAX(0,'Вводные'!$B$26*'Вводные'!$V$91-(DO38+DO45))*'Вводные'!$B$29/12,0)</x:f>
      </x:c>
      <x:c r="DP43" s="117">
        <x:f>IF(AND(DP$3&gt;=$B$7,DP$3&lt;$B$8),MAX(0,'Вводные'!$B$26*'Вводные'!$V$91-(DP38+DP45))*'Вводные'!$B$29/12,0)</x:f>
      </x:c>
      <x:c r="DQ43" s="117">
        <x:f>IF(AND(DQ$3&gt;=$B$7,DQ$3&lt;$B$8),MAX(0,'Вводные'!$B$26*'Вводные'!$V$91-(DQ38+DQ45))*'Вводные'!$B$29/12,0)</x:f>
      </x:c>
      <x:c r="DR43" s="117">
        <x:f>IF(AND(DR$3&gt;=$B$7,DR$3&lt;$B$8),MAX(0,'Вводные'!$B$26*'Вводные'!$V$91-(DR38+DR45))*'Вводные'!$B$29/12,0)</x:f>
      </x:c>
      <x:c r="DS43" s="117">
        <x:f>IF(AND(DS$3&gt;=$B$7,DS$3&lt;$B$8),MAX(0,'Вводные'!$B$26*'Вводные'!$V$91-(DS38+DS45))*'Вводные'!$B$29/12,0)</x:f>
      </x:c>
    </x:row>
    <x:row r="44">
      <x:c r="A44" t="str">
        <x:v>ПФ — потребность</x:v>
      </x:c>
      <x:c r="B44"/>
      <x:c r="C44" t="str">
        <x:v>млн ₽</x:v>
      </x:c>
      <x:c r="D44" s="117">
        <x:f>IF(D$3&gt;=$B$7,MAX(0,D20)+D35+IF(AND(AND(YEAR(D$3)=YEAR($B$7),MONTH(D$3)=MONTH($B$7)),'Вводные'!$B$31="Оплата капиталом"),C37,0),0)</x:f>
      </x:c>
      <x:c r="E44" s="117">
        <x:f>IF(E$3&gt;=$B$7,MAX(0,E20)+E35+IF(AND(AND(YEAR(E$3)=YEAR($B$7),MONTH(E$3)=MONTH($B$7)),'Вводные'!$B$31="Оплата капиталом"),D37,0),0)</x:f>
      </x:c>
      <x:c r="F44" s="117">
        <x:f>IF(F$3&gt;=$B$7,MAX(0,F20)+F35+IF(AND(AND(YEAR(F$3)=YEAR($B$7),MONTH(F$3)=MONTH($B$7)),'Вводные'!$B$31="Оплата капиталом"),E37,0),0)</x:f>
      </x:c>
      <x:c r="G44" s="117">
        <x:f>IF(G$3&gt;=$B$7,MAX(0,G20)+G35+IF(AND(AND(YEAR(G$3)=YEAR($B$7),MONTH(G$3)=MONTH($B$7)),'Вводные'!$B$31="Оплата капиталом"),F37,0),0)</x:f>
      </x:c>
      <x:c r="H44" s="117">
        <x:f>IF(H$3&gt;=$B$7,MAX(0,H20)+H35+IF(AND(AND(YEAR(H$3)=YEAR($B$7),MONTH(H$3)=MONTH($B$7)),'Вводные'!$B$31="Оплата капиталом"),G37,0),0)</x:f>
      </x:c>
      <x:c r="I44" s="117">
        <x:f>IF(I$3&gt;=$B$7,MAX(0,I20)+I35+IF(AND(AND(YEAR(I$3)=YEAR($B$7),MONTH(I$3)=MONTH($B$7)),'Вводные'!$B$31="Оплата капиталом"),H37,0),0)</x:f>
      </x:c>
      <x:c r="J44" s="117">
        <x:f>IF(J$3&gt;=$B$7,MAX(0,J20)+J35+IF(AND(AND(YEAR(J$3)=YEAR($B$7),MONTH(J$3)=MONTH($B$7)),'Вводные'!$B$31="Оплата капиталом"),I37,0),0)</x:f>
      </x:c>
      <x:c r="K44" s="117">
        <x:f>IF(K$3&gt;=$B$7,MAX(0,K20)+K35+IF(AND(AND(YEAR(K$3)=YEAR($B$7),MONTH(K$3)=MONTH($B$7)),'Вводные'!$B$31="Оплата капиталом"),J37,0),0)</x:f>
      </x:c>
      <x:c r="L44" s="117">
        <x:f>IF(L$3&gt;=$B$7,MAX(0,L20)+L35+IF(AND(AND(YEAR(L$3)=YEAR($B$7),MONTH(L$3)=MONTH($B$7)),'Вводные'!$B$31="Оплата капиталом"),K37,0),0)</x:f>
      </x:c>
      <x:c r="M44" s="117">
        <x:f>IF(M$3&gt;=$B$7,MAX(0,M20)+M35+IF(AND(AND(YEAR(M$3)=YEAR($B$7),MONTH(M$3)=MONTH($B$7)),'Вводные'!$B$31="Оплата капиталом"),L37,0),0)</x:f>
      </x:c>
      <x:c r="N44" s="117">
        <x:f>IF(N$3&gt;=$B$7,MAX(0,N20)+N35+IF(AND(AND(YEAR(N$3)=YEAR($B$7),MONTH(N$3)=MONTH($B$7)),'Вводные'!$B$31="Оплата капиталом"),M37,0),0)</x:f>
      </x:c>
      <x:c r="O44" s="117">
        <x:f>IF(O$3&gt;=$B$7,MAX(0,O20)+O35+IF(AND(AND(YEAR(O$3)=YEAR($B$7),MONTH(O$3)=MONTH($B$7)),'Вводные'!$B$31="Оплата капиталом"),N37,0),0)</x:f>
      </x:c>
      <x:c r="P44" s="117">
        <x:f>IF(P$3&gt;=$B$7,MAX(0,P20)+P35+IF(AND(AND(YEAR(P$3)=YEAR($B$7),MONTH(P$3)=MONTH($B$7)),'Вводные'!$B$31="Оплата капиталом"),O37,0),0)</x:f>
      </x:c>
      <x:c r="Q44" s="117">
        <x:f>IF(Q$3&gt;=$B$7,MAX(0,Q20)+Q35+IF(AND(AND(YEAR(Q$3)=YEAR($B$7),MONTH(Q$3)=MONTH($B$7)),'Вводные'!$B$31="Оплата капиталом"),P37,0),0)</x:f>
      </x:c>
      <x:c r="R44" s="117">
        <x:f>IF(R$3&gt;=$B$7,MAX(0,R20)+R35+IF(AND(AND(YEAR(R$3)=YEAR($B$7),MONTH(R$3)=MONTH($B$7)),'Вводные'!$B$31="Оплата капиталом"),Q37,0),0)</x:f>
      </x:c>
      <x:c r="S44" s="117">
        <x:f>IF(S$3&gt;=$B$7,MAX(0,S20)+S35+IF(AND(AND(YEAR(S$3)=YEAR($B$7),MONTH(S$3)=MONTH($B$7)),'Вводные'!$B$31="Оплата капиталом"),R37,0),0)</x:f>
      </x:c>
      <x:c r="T44" s="117">
        <x:f>IF(T$3&gt;=$B$7,MAX(0,T20)+T35+IF(AND(AND(YEAR(T$3)=YEAR($B$7),MONTH(T$3)=MONTH($B$7)),'Вводные'!$B$31="Оплата капиталом"),S37,0),0)</x:f>
      </x:c>
      <x:c r="U44" s="117">
        <x:f>IF(U$3&gt;=$B$7,MAX(0,U20)+U35+IF(AND(AND(YEAR(U$3)=YEAR($B$7),MONTH(U$3)=MONTH($B$7)),'Вводные'!$B$31="Оплата капиталом"),T37,0),0)</x:f>
      </x:c>
      <x:c r="V44" s="117">
        <x:f>IF(V$3&gt;=$B$7,MAX(0,V20)+V35+IF(AND(AND(YEAR(V$3)=YEAR($B$7),MONTH(V$3)=MONTH($B$7)),'Вводные'!$B$31="Оплата капиталом"),U37,0),0)</x:f>
      </x:c>
      <x:c r="W44" s="117">
        <x:f>IF(W$3&gt;=$B$7,MAX(0,W20)+W35+IF(AND(AND(YEAR(W$3)=YEAR($B$7),MONTH(W$3)=MONTH($B$7)),'Вводные'!$B$31="Оплата капиталом"),V37,0),0)</x:f>
      </x:c>
      <x:c r="X44" s="117">
        <x:f>IF(X$3&gt;=$B$7,MAX(0,X20)+X35+IF(AND(AND(YEAR(X$3)=YEAR($B$7),MONTH(X$3)=MONTH($B$7)),'Вводные'!$B$31="Оплата капиталом"),W37,0),0)</x:f>
      </x:c>
      <x:c r="Y44" s="117">
        <x:f>IF(Y$3&gt;=$B$7,MAX(0,Y20)+Y35+IF(AND(AND(YEAR(Y$3)=YEAR($B$7),MONTH(Y$3)=MONTH($B$7)),'Вводные'!$B$31="Оплата капиталом"),X37,0),0)</x:f>
      </x:c>
      <x:c r="Z44" s="117">
        <x:f>IF(Z$3&gt;=$B$7,MAX(0,Z20)+Z35+IF(AND(AND(YEAR(Z$3)=YEAR($B$7),MONTH(Z$3)=MONTH($B$7)),'Вводные'!$B$31="Оплата капиталом"),Y37,0),0)</x:f>
      </x:c>
      <x:c r="AA44" s="117">
        <x:f>IF(AA$3&gt;=$B$7,MAX(0,AA20)+AA35+IF(AND(AND(YEAR(AA$3)=YEAR($B$7),MONTH(AA$3)=MONTH($B$7)),'Вводные'!$B$31="Оплата капиталом"),Z37,0),0)</x:f>
      </x:c>
      <x:c r="AB44" s="117">
        <x:f>IF(AB$3&gt;=$B$7,MAX(0,AB20)+AB35+IF(AND(AND(YEAR(AB$3)=YEAR($B$7),MONTH(AB$3)=MONTH($B$7)),'Вводные'!$B$31="Оплата капиталом"),AA37,0),0)</x:f>
      </x:c>
      <x:c r="AC44" s="117">
        <x:f>IF(AC$3&gt;=$B$7,MAX(0,AC20)+AC35+IF(AND(AND(YEAR(AC$3)=YEAR($B$7),MONTH(AC$3)=MONTH($B$7)),'Вводные'!$B$31="Оплата капиталом"),AB37,0),0)</x:f>
      </x:c>
      <x:c r="AD44" s="117">
        <x:f>IF(AD$3&gt;=$B$7,MAX(0,AD20)+AD35+IF(AND(AND(YEAR(AD$3)=YEAR($B$7),MONTH(AD$3)=MONTH($B$7)),'Вводные'!$B$31="Оплата капиталом"),AC37,0),0)</x:f>
      </x:c>
      <x:c r="AE44" s="117">
        <x:f>IF(AE$3&gt;=$B$7,MAX(0,AE20)+AE35+IF(AND(AND(YEAR(AE$3)=YEAR($B$7),MONTH(AE$3)=MONTH($B$7)),'Вводные'!$B$31="Оплата капиталом"),AD37,0),0)</x:f>
      </x:c>
      <x:c r="AF44" s="117">
        <x:f>IF(AF$3&gt;=$B$7,MAX(0,AF20)+AF35+IF(AND(AND(YEAR(AF$3)=YEAR($B$7),MONTH(AF$3)=MONTH($B$7)),'Вводные'!$B$31="Оплата капиталом"),AE37,0),0)</x:f>
      </x:c>
      <x:c r="AG44" s="117">
        <x:f>IF(AG$3&gt;=$B$7,MAX(0,AG20)+AG35+IF(AND(AND(YEAR(AG$3)=YEAR($B$7),MONTH(AG$3)=MONTH($B$7)),'Вводные'!$B$31="Оплата капиталом"),AF37,0),0)</x:f>
      </x:c>
      <x:c r="AH44" s="117">
        <x:f>IF(AH$3&gt;=$B$7,MAX(0,AH20)+AH35+IF(AND(AND(YEAR(AH$3)=YEAR($B$7),MONTH(AH$3)=MONTH($B$7)),'Вводные'!$B$31="Оплата капиталом"),AG37,0),0)</x:f>
      </x:c>
      <x:c r="AI44" s="117">
        <x:f>IF(AI$3&gt;=$B$7,MAX(0,AI20)+AI35+IF(AND(AND(YEAR(AI$3)=YEAR($B$7),MONTH(AI$3)=MONTH($B$7)),'Вводные'!$B$31="Оплата капиталом"),AH37,0),0)</x:f>
      </x:c>
      <x:c r="AJ44" s="117">
        <x:f>IF(AJ$3&gt;=$B$7,MAX(0,AJ20)+AJ35+IF(AND(AND(YEAR(AJ$3)=YEAR($B$7),MONTH(AJ$3)=MONTH($B$7)),'Вводные'!$B$31="Оплата капиталом"),AI37,0),0)</x:f>
      </x:c>
      <x:c r="AK44" s="117">
        <x:f>IF(AK$3&gt;=$B$7,MAX(0,AK20)+AK35+IF(AND(AND(YEAR(AK$3)=YEAR($B$7),MONTH(AK$3)=MONTH($B$7)),'Вводные'!$B$31="Оплата капиталом"),AJ37,0),0)</x:f>
      </x:c>
      <x:c r="AL44" s="117">
        <x:f>IF(AL$3&gt;=$B$7,MAX(0,AL20)+AL35+IF(AND(AND(YEAR(AL$3)=YEAR($B$7),MONTH(AL$3)=MONTH($B$7)),'Вводные'!$B$31="Оплата капиталом"),AK37,0),0)</x:f>
      </x:c>
      <x:c r="AM44" s="117">
        <x:f>IF(AM$3&gt;=$B$7,MAX(0,AM20)+AM35+IF(AND(AND(YEAR(AM$3)=YEAR($B$7),MONTH(AM$3)=MONTH($B$7)),'Вводные'!$B$31="Оплата капиталом"),AL37,0),0)</x:f>
      </x:c>
      <x:c r="AN44" s="117">
        <x:f>IF(AN$3&gt;=$B$7,MAX(0,AN20)+AN35+IF(AND(AND(YEAR(AN$3)=YEAR($B$7),MONTH(AN$3)=MONTH($B$7)),'Вводные'!$B$31="Оплата капиталом"),AM37,0),0)</x:f>
      </x:c>
      <x:c r="AO44" s="117">
        <x:f>IF(AO$3&gt;=$B$7,MAX(0,AO20)+AO35+IF(AND(AND(YEAR(AO$3)=YEAR($B$7),MONTH(AO$3)=MONTH($B$7)),'Вводные'!$B$31="Оплата капиталом"),AN37,0),0)</x:f>
      </x:c>
      <x:c r="AP44" s="117">
        <x:f>IF(AP$3&gt;=$B$7,MAX(0,AP20)+AP35+IF(AND(AND(YEAR(AP$3)=YEAR($B$7),MONTH(AP$3)=MONTH($B$7)),'Вводные'!$B$31="Оплата капиталом"),AO37,0),0)</x:f>
      </x:c>
      <x:c r="AQ44" s="117">
        <x:f>IF(AQ$3&gt;=$B$7,MAX(0,AQ20)+AQ35+IF(AND(AND(YEAR(AQ$3)=YEAR($B$7),MONTH(AQ$3)=MONTH($B$7)),'Вводные'!$B$31="Оплата капиталом"),AP37,0),0)</x:f>
      </x:c>
      <x:c r="AR44" s="117">
        <x:f>IF(AR$3&gt;=$B$7,MAX(0,AR20)+AR35+IF(AND(AND(YEAR(AR$3)=YEAR($B$7),MONTH(AR$3)=MONTH($B$7)),'Вводные'!$B$31="Оплата капиталом"),AQ37,0),0)</x:f>
      </x:c>
      <x:c r="AS44" s="117">
        <x:f>IF(AS$3&gt;=$B$7,MAX(0,AS20)+AS35+IF(AND(AND(YEAR(AS$3)=YEAR($B$7),MONTH(AS$3)=MONTH($B$7)),'Вводные'!$B$31="Оплата капиталом"),AR37,0),0)</x:f>
      </x:c>
      <x:c r="AT44" s="117">
        <x:f>IF(AT$3&gt;=$B$7,MAX(0,AT20)+AT35+IF(AND(AND(YEAR(AT$3)=YEAR($B$7),MONTH(AT$3)=MONTH($B$7)),'Вводные'!$B$31="Оплата капиталом"),AS37,0),0)</x:f>
      </x:c>
      <x:c r="AU44" s="117">
        <x:f>IF(AU$3&gt;=$B$7,MAX(0,AU20)+AU35+IF(AND(AND(YEAR(AU$3)=YEAR($B$7),MONTH(AU$3)=MONTH($B$7)),'Вводные'!$B$31="Оплата капиталом"),AT37,0),0)</x:f>
      </x:c>
      <x:c r="AV44" s="117">
        <x:f>IF(AV$3&gt;=$B$7,MAX(0,AV20)+AV35+IF(AND(AND(YEAR(AV$3)=YEAR($B$7),MONTH(AV$3)=MONTH($B$7)),'Вводные'!$B$31="Оплата капиталом"),AU37,0),0)</x:f>
      </x:c>
      <x:c r="AW44" s="117">
        <x:f>IF(AW$3&gt;=$B$7,MAX(0,AW20)+AW35+IF(AND(AND(YEAR(AW$3)=YEAR($B$7),MONTH(AW$3)=MONTH($B$7)),'Вводные'!$B$31="Оплата капиталом"),AV37,0),0)</x:f>
      </x:c>
      <x:c r="AX44" s="117">
        <x:f>IF(AX$3&gt;=$B$7,MAX(0,AX20)+AX35+IF(AND(AND(YEAR(AX$3)=YEAR($B$7),MONTH(AX$3)=MONTH($B$7)),'Вводные'!$B$31="Оплата капиталом"),AW37,0),0)</x:f>
      </x:c>
      <x:c r="AY44" s="117">
        <x:f>IF(AY$3&gt;=$B$7,MAX(0,AY20)+AY35+IF(AND(AND(YEAR(AY$3)=YEAR($B$7),MONTH(AY$3)=MONTH($B$7)),'Вводные'!$B$31="Оплата капиталом"),AX37,0),0)</x:f>
      </x:c>
      <x:c r="AZ44" s="117">
        <x:f>IF(AZ$3&gt;=$B$7,MAX(0,AZ20)+AZ35+IF(AND(AND(YEAR(AZ$3)=YEAR($B$7),MONTH(AZ$3)=MONTH($B$7)),'Вводные'!$B$31="Оплата капиталом"),AY37,0),0)</x:f>
      </x:c>
      <x:c r="BA44" s="117">
        <x:f>IF(BA$3&gt;=$B$7,MAX(0,BA20)+BA35+IF(AND(AND(YEAR(BA$3)=YEAR($B$7),MONTH(BA$3)=MONTH($B$7)),'Вводные'!$B$31="Оплата капиталом"),AZ37,0),0)</x:f>
      </x:c>
      <x:c r="BB44" s="117">
        <x:f>IF(BB$3&gt;=$B$7,MAX(0,BB20)+BB35+IF(AND(AND(YEAR(BB$3)=YEAR($B$7),MONTH(BB$3)=MONTH($B$7)),'Вводные'!$B$31="Оплата капиталом"),BA37,0),0)</x:f>
      </x:c>
      <x:c r="BC44" s="117">
        <x:f>IF(BC$3&gt;=$B$7,MAX(0,BC20)+BC35+IF(AND(AND(YEAR(BC$3)=YEAR($B$7),MONTH(BC$3)=MONTH($B$7)),'Вводные'!$B$31="Оплата капиталом"),BB37,0),0)</x:f>
      </x:c>
      <x:c r="BD44" s="117">
        <x:f>IF(BD$3&gt;=$B$7,MAX(0,BD20)+BD35+IF(AND(AND(YEAR(BD$3)=YEAR($B$7),MONTH(BD$3)=MONTH($B$7)),'Вводные'!$B$31="Оплата капиталом"),BC37,0),0)</x:f>
      </x:c>
      <x:c r="BE44" s="117">
        <x:f>IF(BE$3&gt;=$B$7,MAX(0,BE20)+BE35+IF(AND(AND(YEAR(BE$3)=YEAR($B$7),MONTH(BE$3)=MONTH($B$7)),'Вводные'!$B$31="Оплата капиталом"),BD37,0),0)</x:f>
      </x:c>
      <x:c r="BF44" s="117">
        <x:f>IF(BF$3&gt;=$B$7,MAX(0,BF20)+BF35+IF(AND(AND(YEAR(BF$3)=YEAR($B$7),MONTH(BF$3)=MONTH($B$7)),'Вводные'!$B$31="Оплата капиталом"),BE37,0),0)</x:f>
      </x:c>
      <x:c r="BG44" s="117">
        <x:f>IF(BG$3&gt;=$B$7,MAX(0,BG20)+BG35+IF(AND(AND(YEAR(BG$3)=YEAR($B$7),MONTH(BG$3)=MONTH($B$7)),'Вводные'!$B$31="Оплата капиталом"),BF37,0),0)</x:f>
      </x:c>
      <x:c r="BH44" s="117">
        <x:f>IF(BH$3&gt;=$B$7,MAX(0,BH20)+BH35+IF(AND(AND(YEAR(BH$3)=YEAR($B$7),MONTH(BH$3)=MONTH($B$7)),'Вводные'!$B$31="Оплата капиталом"),BG37,0),0)</x:f>
      </x:c>
      <x:c r="BI44" s="117">
        <x:f>IF(BI$3&gt;=$B$7,MAX(0,BI20)+BI35+IF(AND(AND(YEAR(BI$3)=YEAR($B$7),MONTH(BI$3)=MONTH($B$7)),'Вводные'!$B$31="Оплата капиталом"),BH37,0),0)</x:f>
      </x:c>
      <x:c r="BJ44" s="117">
        <x:f>IF(BJ$3&gt;=$B$7,MAX(0,BJ20)+BJ35+IF(AND(AND(YEAR(BJ$3)=YEAR($B$7),MONTH(BJ$3)=MONTH($B$7)),'Вводные'!$B$31="Оплата капиталом"),BI37,0),0)</x:f>
      </x:c>
      <x:c r="BK44" s="117">
        <x:f>IF(BK$3&gt;=$B$7,MAX(0,BK20)+BK35+IF(AND(AND(YEAR(BK$3)=YEAR($B$7),MONTH(BK$3)=MONTH($B$7)),'Вводные'!$B$31="Оплата капиталом"),BJ37,0),0)</x:f>
      </x:c>
      <x:c r="BL44" s="117">
        <x:f>IF(BL$3&gt;=$B$7,MAX(0,BL20)+BL35+IF(AND(AND(YEAR(BL$3)=YEAR($B$7),MONTH(BL$3)=MONTH($B$7)),'Вводные'!$B$31="Оплата капиталом"),BK37,0),0)</x:f>
      </x:c>
      <x:c r="BM44" s="117">
        <x:f>IF(BM$3&gt;=$B$7,MAX(0,BM20)+BM35+IF(AND(AND(YEAR(BM$3)=YEAR($B$7),MONTH(BM$3)=MONTH($B$7)),'Вводные'!$B$31="Оплата капиталом"),BL37,0),0)</x:f>
      </x:c>
      <x:c r="BN44" s="117">
        <x:f>IF(BN$3&gt;=$B$7,MAX(0,BN20)+BN35+IF(AND(AND(YEAR(BN$3)=YEAR($B$7),MONTH(BN$3)=MONTH($B$7)),'Вводные'!$B$31="Оплата капиталом"),BM37,0),0)</x:f>
      </x:c>
      <x:c r="BO44" s="117">
        <x:f>IF(BO$3&gt;=$B$7,MAX(0,BO20)+BO35+IF(AND(AND(YEAR(BO$3)=YEAR($B$7),MONTH(BO$3)=MONTH($B$7)),'Вводные'!$B$31="Оплата капиталом"),BN37,0),0)</x:f>
      </x:c>
      <x:c r="BP44" s="117">
        <x:f>IF(BP$3&gt;=$B$7,MAX(0,BP20)+BP35+IF(AND(AND(YEAR(BP$3)=YEAR($B$7),MONTH(BP$3)=MONTH($B$7)),'Вводные'!$B$31="Оплата капиталом"),BO37,0),0)</x:f>
      </x:c>
      <x:c r="BQ44" s="117">
        <x:f>IF(BQ$3&gt;=$B$7,MAX(0,BQ20)+BQ35+IF(AND(AND(YEAR(BQ$3)=YEAR($B$7),MONTH(BQ$3)=MONTH($B$7)),'Вводные'!$B$31="Оплата капиталом"),BP37,0),0)</x:f>
      </x:c>
      <x:c r="BR44" s="117">
        <x:f>IF(BR$3&gt;=$B$7,MAX(0,BR20)+BR35+IF(AND(AND(YEAR(BR$3)=YEAR($B$7),MONTH(BR$3)=MONTH($B$7)),'Вводные'!$B$31="Оплата капиталом"),BQ37,0),0)</x:f>
      </x:c>
      <x:c r="BS44" s="117">
        <x:f>IF(BS$3&gt;=$B$7,MAX(0,BS20)+BS35+IF(AND(AND(YEAR(BS$3)=YEAR($B$7),MONTH(BS$3)=MONTH($B$7)),'Вводные'!$B$31="Оплата капиталом"),BR37,0),0)</x:f>
      </x:c>
      <x:c r="BT44" s="117">
        <x:f>IF(BT$3&gt;=$B$7,MAX(0,BT20)+BT35+IF(AND(AND(YEAR(BT$3)=YEAR($B$7),MONTH(BT$3)=MONTH($B$7)),'Вводные'!$B$31="Оплата капиталом"),BS37,0),0)</x:f>
      </x:c>
      <x:c r="BU44" s="117">
        <x:f>IF(BU$3&gt;=$B$7,MAX(0,BU20)+BU35+IF(AND(AND(YEAR(BU$3)=YEAR($B$7),MONTH(BU$3)=MONTH($B$7)),'Вводные'!$B$31="Оплата капиталом"),BT37,0),0)</x:f>
      </x:c>
      <x:c r="BV44" s="117">
        <x:f>IF(BV$3&gt;=$B$7,MAX(0,BV20)+BV35+IF(AND(AND(YEAR(BV$3)=YEAR($B$7),MONTH(BV$3)=MONTH($B$7)),'Вводные'!$B$31="Оплата капиталом"),BU37,0),0)</x:f>
      </x:c>
      <x:c r="BW44" s="117">
        <x:f>IF(BW$3&gt;=$B$7,MAX(0,BW20)+BW35+IF(AND(AND(YEAR(BW$3)=YEAR($B$7),MONTH(BW$3)=MONTH($B$7)),'Вводные'!$B$31="Оплата капиталом"),BV37,0),0)</x:f>
      </x:c>
      <x:c r="BX44" s="117">
        <x:f>IF(BX$3&gt;=$B$7,MAX(0,BX20)+BX35+IF(AND(AND(YEAR(BX$3)=YEAR($B$7),MONTH(BX$3)=MONTH($B$7)),'Вводные'!$B$31="Оплата капиталом"),BW37,0),0)</x:f>
      </x:c>
      <x:c r="BY44" s="117">
        <x:f>IF(BY$3&gt;=$B$7,MAX(0,BY20)+BY35+IF(AND(AND(YEAR(BY$3)=YEAR($B$7),MONTH(BY$3)=MONTH($B$7)),'Вводные'!$B$31="Оплата капиталом"),BX37,0),0)</x:f>
      </x:c>
      <x:c r="BZ44" s="117">
        <x:f>IF(BZ$3&gt;=$B$7,MAX(0,BZ20)+BZ35+IF(AND(AND(YEAR(BZ$3)=YEAR($B$7),MONTH(BZ$3)=MONTH($B$7)),'Вводные'!$B$31="Оплата капиталом"),BY37,0),0)</x:f>
      </x:c>
      <x:c r="CA44" s="117">
        <x:f>IF(CA$3&gt;=$B$7,MAX(0,CA20)+CA35+IF(AND(AND(YEAR(CA$3)=YEAR($B$7),MONTH(CA$3)=MONTH($B$7)),'Вводные'!$B$31="Оплата капиталом"),BZ37,0),0)</x:f>
      </x:c>
      <x:c r="CB44" s="117">
        <x:f>IF(CB$3&gt;=$B$7,MAX(0,CB20)+CB35+IF(AND(AND(YEAR(CB$3)=YEAR($B$7),MONTH(CB$3)=MONTH($B$7)),'Вводные'!$B$31="Оплата капиталом"),CA37,0),0)</x:f>
      </x:c>
      <x:c r="CC44" s="117">
        <x:f>IF(CC$3&gt;=$B$7,MAX(0,CC20)+CC35+IF(AND(AND(YEAR(CC$3)=YEAR($B$7),MONTH(CC$3)=MONTH($B$7)),'Вводные'!$B$31="Оплата капиталом"),CB37,0),0)</x:f>
      </x:c>
      <x:c r="CD44" s="117">
        <x:f>IF(CD$3&gt;=$B$7,MAX(0,CD20)+CD35+IF(AND(AND(YEAR(CD$3)=YEAR($B$7),MONTH(CD$3)=MONTH($B$7)),'Вводные'!$B$31="Оплата капиталом"),CC37,0),0)</x:f>
      </x:c>
      <x:c r="CE44" s="117">
        <x:f>IF(CE$3&gt;=$B$7,MAX(0,CE20)+CE35+IF(AND(AND(YEAR(CE$3)=YEAR($B$7),MONTH(CE$3)=MONTH($B$7)),'Вводные'!$B$31="Оплата капиталом"),CD37,0),0)</x:f>
      </x:c>
      <x:c r="CF44" s="117">
        <x:f>IF(CF$3&gt;=$B$7,MAX(0,CF20)+CF35+IF(AND(AND(YEAR(CF$3)=YEAR($B$7),MONTH(CF$3)=MONTH($B$7)),'Вводные'!$B$31="Оплата капиталом"),CE37,0),0)</x:f>
      </x:c>
      <x:c r="CG44" s="117">
        <x:f>IF(CG$3&gt;=$B$7,MAX(0,CG20)+CG35+IF(AND(AND(YEAR(CG$3)=YEAR($B$7),MONTH(CG$3)=MONTH($B$7)),'Вводные'!$B$31="Оплата капиталом"),CF37,0),0)</x:f>
      </x:c>
      <x:c r="CH44" s="117">
        <x:f>IF(CH$3&gt;=$B$7,MAX(0,CH20)+CH35+IF(AND(AND(YEAR(CH$3)=YEAR($B$7),MONTH(CH$3)=MONTH($B$7)),'Вводные'!$B$31="Оплата капиталом"),CG37,0),0)</x:f>
      </x:c>
      <x:c r="CI44" s="117">
        <x:f>IF(CI$3&gt;=$B$7,MAX(0,CI20)+CI35+IF(AND(AND(YEAR(CI$3)=YEAR($B$7),MONTH(CI$3)=MONTH($B$7)),'Вводные'!$B$31="Оплата капиталом"),CH37,0),0)</x:f>
      </x:c>
      <x:c r="CJ44" s="117">
        <x:f>IF(CJ$3&gt;=$B$7,MAX(0,CJ20)+CJ35+IF(AND(AND(YEAR(CJ$3)=YEAR($B$7),MONTH(CJ$3)=MONTH($B$7)),'Вводные'!$B$31="Оплата капиталом"),CI37,0),0)</x:f>
      </x:c>
      <x:c r="CK44" s="117">
        <x:f>IF(CK$3&gt;=$B$7,MAX(0,CK20)+CK35+IF(AND(AND(YEAR(CK$3)=YEAR($B$7),MONTH(CK$3)=MONTH($B$7)),'Вводные'!$B$31="Оплата капиталом"),CJ37,0),0)</x:f>
      </x:c>
      <x:c r="CL44" s="117">
        <x:f>IF(CL$3&gt;=$B$7,MAX(0,CL20)+CL35+IF(AND(AND(YEAR(CL$3)=YEAR($B$7),MONTH(CL$3)=MONTH($B$7)),'Вводные'!$B$31="Оплата капиталом"),CK37,0),0)</x:f>
      </x:c>
      <x:c r="CM44" s="117">
        <x:f>IF(CM$3&gt;=$B$7,MAX(0,CM20)+CM35+IF(AND(AND(YEAR(CM$3)=YEAR($B$7),MONTH(CM$3)=MONTH($B$7)),'Вводные'!$B$31="Оплата капиталом"),CL37,0),0)</x:f>
      </x:c>
      <x:c r="CN44" s="117">
        <x:f>IF(CN$3&gt;=$B$7,MAX(0,CN20)+CN35+IF(AND(AND(YEAR(CN$3)=YEAR($B$7),MONTH(CN$3)=MONTH($B$7)),'Вводные'!$B$31="Оплата капиталом"),CM37,0),0)</x:f>
      </x:c>
      <x:c r="CO44" s="117">
        <x:f>IF(CO$3&gt;=$B$7,MAX(0,CO20)+CO35+IF(AND(AND(YEAR(CO$3)=YEAR($B$7),MONTH(CO$3)=MONTH($B$7)),'Вводные'!$B$31="Оплата капиталом"),CN37,0),0)</x:f>
      </x:c>
      <x:c r="CP44" s="117">
        <x:f>IF(CP$3&gt;=$B$7,MAX(0,CP20)+CP35+IF(AND(AND(YEAR(CP$3)=YEAR($B$7),MONTH(CP$3)=MONTH($B$7)),'Вводные'!$B$31="Оплата капиталом"),CO37,0),0)</x:f>
      </x:c>
      <x:c r="CQ44" s="117">
        <x:f>IF(CQ$3&gt;=$B$7,MAX(0,CQ20)+CQ35+IF(AND(AND(YEAR(CQ$3)=YEAR($B$7),MONTH(CQ$3)=MONTH($B$7)),'Вводные'!$B$31="Оплата капиталом"),CP37,0),0)</x:f>
      </x:c>
      <x:c r="CR44" s="117">
        <x:f>IF(CR$3&gt;=$B$7,MAX(0,CR20)+CR35+IF(AND(AND(YEAR(CR$3)=YEAR($B$7),MONTH(CR$3)=MONTH($B$7)),'Вводные'!$B$31="Оплата капиталом"),CQ37,0),0)</x:f>
      </x:c>
      <x:c r="CS44" s="117">
        <x:f>IF(CS$3&gt;=$B$7,MAX(0,CS20)+CS35+IF(AND(AND(YEAR(CS$3)=YEAR($B$7),MONTH(CS$3)=MONTH($B$7)),'Вводные'!$B$31="Оплата капиталом"),CR37,0),0)</x:f>
      </x:c>
      <x:c r="CT44" s="117">
        <x:f>IF(CT$3&gt;=$B$7,MAX(0,CT20)+CT35+IF(AND(AND(YEAR(CT$3)=YEAR($B$7),MONTH(CT$3)=MONTH($B$7)),'Вводные'!$B$31="Оплата капиталом"),CS37,0),0)</x:f>
      </x:c>
      <x:c r="CU44" s="117">
        <x:f>IF(CU$3&gt;=$B$7,MAX(0,CU20)+CU35+IF(AND(AND(YEAR(CU$3)=YEAR($B$7),MONTH(CU$3)=MONTH($B$7)),'Вводные'!$B$31="Оплата капиталом"),CT37,0),0)</x:f>
      </x:c>
      <x:c r="CV44" s="117">
        <x:f>IF(CV$3&gt;=$B$7,MAX(0,CV20)+CV35+IF(AND(AND(YEAR(CV$3)=YEAR($B$7),MONTH(CV$3)=MONTH($B$7)),'Вводные'!$B$31="Оплата капиталом"),CU37,0),0)</x:f>
      </x:c>
      <x:c r="CW44" s="117">
        <x:f>IF(CW$3&gt;=$B$7,MAX(0,CW20)+CW35+IF(AND(AND(YEAR(CW$3)=YEAR($B$7),MONTH(CW$3)=MONTH($B$7)),'Вводные'!$B$31="Оплата капиталом"),CV37,0),0)</x:f>
      </x:c>
      <x:c r="CX44" s="117">
        <x:f>IF(CX$3&gt;=$B$7,MAX(0,CX20)+CX35+IF(AND(AND(YEAR(CX$3)=YEAR($B$7),MONTH(CX$3)=MONTH($B$7)),'Вводные'!$B$31="Оплата капиталом"),CW37,0),0)</x:f>
      </x:c>
      <x:c r="CY44" s="117">
        <x:f>IF(CY$3&gt;=$B$7,MAX(0,CY20)+CY35+IF(AND(AND(YEAR(CY$3)=YEAR($B$7),MONTH(CY$3)=MONTH($B$7)),'Вводные'!$B$31="Оплата капиталом"),CX37,0),0)</x:f>
      </x:c>
      <x:c r="CZ44" s="117">
        <x:f>IF(CZ$3&gt;=$B$7,MAX(0,CZ20)+CZ35+IF(AND(AND(YEAR(CZ$3)=YEAR($B$7),MONTH(CZ$3)=MONTH($B$7)),'Вводные'!$B$31="Оплата капиталом"),CY37,0),0)</x:f>
      </x:c>
      <x:c r="DA44" s="117">
        <x:f>IF(DA$3&gt;=$B$7,MAX(0,DA20)+DA35+IF(AND(AND(YEAR(DA$3)=YEAR($B$7),MONTH(DA$3)=MONTH($B$7)),'Вводные'!$B$31="Оплата капиталом"),CZ37,0),0)</x:f>
      </x:c>
      <x:c r="DB44" s="117">
        <x:f>IF(DB$3&gt;=$B$7,MAX(0,DB20)+DB35+IF(AND(AND(YEAR(DB$3)=YEAR($B$7),MONTH(DB$3)=MONTH($B$7)),'Вводные'!$B$31="Оплата капиталом"),DA37,0),0)</x:f>
      </x:c>
      <x:c r="DC44" s="117">
        <x:f>IF(DC$3&gt;=$B$7,MAX(0,DC20)+DC35+IF(AND(AND(YEAR(DC$3)=YEAR($B$7),MONTH(DC$3)=MONTH($B$7)),'Вводные'!$B$31="Оплата капиталом"),DB37,0),0)</x:f>
      </x:c>
      <x:c r="DD44" s="117">
        <x:f>IF(DD$3&gt;=$B$7,MAX(0,DD20)+DD35+IF(AND(AND(YEAR(DD$3)=YEAR($B$7),MONTH(DD$3)=MONTH($B$7)),'Вводные'!$B$31="Оплата капиталом"),DC37,0),0)</x:f>
      </x:c>
      <x:c r="DE44" s="117">
        <x:f>IF(DE$3&gt;=$B$7,MAX(0,DE20)+DE35+IF(AND(AND(YEAR(DE$3)=YEAR($B$7),MONTH(DE$3)=MONTH($B$7)),'Вводные'!$B$31="Оплата капиталом"),DD37,0),0)</x:f>
      </x:c>
      <x:c r="DF44" s="117">
        <x:f>IF(DF$3&gt;=$B$7,MAX(0,DF20)+DF35+IF(AND(AND(YEAR(DF$3)=YEAR($B$7),MONTH(DF$3)=MONTH($B$7)),'Вводные'!$B$31="Оплата капиталом"),DE37,0),0)</x:f>
      </x:c>
      <x:c r="DG44" s="117">
        <x:f>IF(DG$3&gt;=$B$7,MAX(0,DG20)+DG35+IF(AND(AND(YEAR(DG$3)=YEAR($B$7),MONTH(DG$3)=MONTH($B$7)),'Вводные'!$B$31="Оплата капиталом"),DF37,0),0)</x:f>
      </x:c>
      <x:c r="DH44" s="117">
        <x:f>IF(DH$3&gt;=$B$7,MAX(0,DH20)+DH35+IF(AND(AND(YEAR(DH$3)=YEAR($B$7),MONTH(DH$3)=MONTH($B$7)),'Вводные'!$B$31="Оплата капиталом"),DG37,0),0)</x:f>
      </x:c>
      <x:c r="DI44" s="117">
        <x:f>IF(DI$3&gt;=$B$7,MAX(0,DI20)+DI35+IF(AND(AND(YEAR(DI$3)=YEAR($B$7),MONTH(DI$3)=MONTH($B$7)),'Вводные'!$B$31="Оплата капиталом"),DH37,0),0)</x:f>
      </x:c>
      <x:c r="DJ44" s="117">
        <x:f>IF(DJ$3&gt;=$B$7,MAX(0,DJ20)+DJ35+IF(AND(AND(YEAR(DJ$3)=YEAR($B$7),MONTH(DJ$3)=MONTH($B$7)),'Вводные'!$B$31="Оплата капиталом"),DI37,0),0)</x:f>
      </x:c>
      <x:c r="DK44" s="117">
        <x:f>IF(DK$3&gt;=$B$7,MAX(0,DK20)+DK35+IF(AND(AND(YEAR(DK$3)=YEAR($B$7),MONTH(DK$3)=MONTH($B$7)),'Вводные'!$B$31="Оплата капиталом"),DJ37,0),0)</x:f>
      </x:c>
      <x:c r="DL44" s="117">
        <x:f>IF(DL$3&gt;=$B$7,MAX(0,DL20)+DL35+IF(AND(AND(YEAR(DL$3)=YEAR($B$7),MONTH(DL$3)=MONTH($B$7)),'Вводные'!$B$31="Оплата капиталом"),DK37,0),0)</x:f>
      </x:c>
      <x:c r="DM44" s="117">
        <x:f>IF(DM$3&gt;=$B$7,MAX(0,DM20)+DM35+IF(AND(AND(YEAR(DM$3)=YEAR($B$7),MONTH(DM$3)=MONTH($B$7)),'Вводные'!$B$31="Оплата капиталом"),DL37,0),0)</x:f>
      </x:c>
      <x:c r="DN44" s="117">
        <x:f>IF(DN$3&gt;=$B$7,MAX(0,DN20)+DN35+IF(AND(AND(YEAR(DN$3)=YEAR($B$7),MONTH(DN$3)=MONTH($B$7)),'Вводные'!$B$31="Оплата капиталом"),DM37,0),0)</x:f>
      </x:c>
      <x:c r="DO44" s="117">
        <x:f>IF(DO$3&gt;=$B$7,MAX(0,DO20)+DO35+IF(AND(AND(YEAR(DO$3)=YEAR($B$7),MONTH(DO$3)=MONTH($B$7)),'Вводные'!$B$31="Оплата капиталом"),DN37,0),0)</x:f>
      </x:c>
      <x:c r="DP44" s="117">
        <x:f>IF(DP$3&gt;=$B$7,MAX(0,DP20)+DP35+IF(AND(AND(YEAR(DP$3)=YEAR($B$7),MONTH(DP$3)=MONTH($B$7)),'Вводные'!$B$31="Оплата капиталом"),DO37,0),0)</x:f>
      </x:c>
      <x:c r="DQ44" s="117">
        <x:f>IF(DQ$3&gt;=$B$7,MAX(0,DQ20)+DQ35+IF(AND(AND(YEAR(DQ$3)=YEAR($B$7),MONTH(DQ$3)=MONTH($B$7)),'Вводные'!$B$31="Оплата капиталом"),DP37,0),0)</x:f>
      </x:c>
      <x:c r="DR44" s="117">
        <x:f>IF(DR$3&gt;=$B$7,MAX(0,DR20)+DR35+IF(AND(AND(YEAR(DR$3)=YEAR($B$7),MONTH(DR$3)=MONTH($B$7)),'Вводные'!$B$31="Оплата капиталом"),DQ37,0),0)</x:f>
      </x:c>
      <x:c r="DS44" s="117">
        <x:f>IF(DS$3&gt;=$B$7,MAX(0,DS20)+DS35+IF(AND(AND(YEAR(DS$3)=YEAR($B$7),MONTH(DS$3)=MONTH($B$7)),'Вводные'!$B$31="Оплата капиталом"),DR37,0),0)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>
        <x:f>MIN(D38+D45,IF(AND(YEAR(D$3)=YEAR($B$8),MONTH(D$3)=MONTH($B$8)),D14,IF(D$3&gt;$B$8,D12,0)))</x:f>
      </x:c>
      <x:c r="E46" s="117">
        <x:f>MIN(E38+E45,IF(AND(YEAR(E$3)=YEAR($B$8),MONTH(E$3)=MONTH($B$8)),E14,IF(E$3&gt;$B$8,E12,0)))</x:f>
      </x:c>
      <x:c r="F46" s="117">
        <x:f>MIN(F38+F45,IF(AND(YEAR(F$3)=YEAR($B$8),MONTH(F$3)=MONTH($B$8)),F14,IF(F$3&gt;$B$8,F12,0)))</x:f>
      </x:c>
      <x:c r="G46" s="117">
        <x:f>MIN(G38+G45,IF(AND(YEAR(G$3)=YEAR($B$8),MONTH(G$3)=MONTH($B$8)),G14,IF(G$3&gt;$B$8,G12,0)))</x:f>
      </x:c>
      <x:c r="H46" s="117">
        <x:f>MIN(H38+H45,IF(AND(YEAR(H$3)=YEAR($B$8),MONTH(H$3)=MONTH($B$8)),H14,IF(H$3&gt;$B$8,H12,0)))</x:f>
      </x:c>
      <x:c r="I46" s="117">
        <x:f>MIN(I38+I45,IF(AND(YEAR(I$3)=YEAR($B$8),MONTH(I$3)=MONTH($B$8)),I14,IF(I$3&gt;$B$8,I12,0)))</x:f>
      </x:c>
      <x:c r="J46" s="117">
        <x:f>MIN(J38+J45,IF(AND(YEAR(J$3)=YEAR($B$8),MONTH(J$3)=MONTH($B$8)),J14,IF(J$3&gt;$B$8,J12,0)))</x:f>
      </x:c>
      <x:c r="K46" s="117">
        <x:f>MIN(K38+K45,IF(AND(YEAR(K$3)=YEAR($B$8),MONTH(K$3)=MONTH($B$8)),K14,IF(K$3&gt;$B$8,K12,0)))</x:f>
      </x:c>
      <x:c r="L46" s="117">
        <x:f>MIN(L38+L45,IF(AND(YEAR(L$3)=YEAR($B$8),MONTH(L$3)=MONTH($B$8)),L14,IF(L$3&gt;$B$8,L12,0)))</x:f>
      </x:c>
      <x:c r="M46" s="117">
        <x:f>MIN(M38+M45,IF(AND(YEAR(M$3)=YEAR($B$8),MONTH(M$3)=MONTH($B$8)),M14,IF(M$3&gt;$B$8,M12,0)))</x:f>
      </x:c>
      <x:c r="N46" s="117">
        <x:f>MIN(N38+N45,IF(AND(YEAR(N$3)=YEAR($B$8),MONTH(N$3)=MONTH($B$8)),N14,IF(N$3&gt;$B$8,N12,0)))</x:f>
      </x:c>
      <x:c r="O46" s="117">
        <x:f>MIN(O38+O45,IF(AND(YEAR(O$3)=YEAR($B$8),MONTH(O$3)=MONTH($B$8)),O14,IF(O$3&gt;$B$8,O12,0)))</x:f>
      </x:c>
      <x:c r="P46" s="117">
        <x:f>MIN(P38+P45,IF(AND(YEAR(P$3)=YEAR($B$8),MONTH(P$3)=MONTH($B$8)),P14,IF(P$3&gt;$B$8,P12,0)))</x:f>
      </x:c>
      <x:c r="Q46" s="117">
        <x:f>MIN(Q38+Q45,IF(AND(YEAR(Q$3)=YEAR($B$8),MONTH(Q$3)=MONTH($B$8)),Q14,IF(Q$3&gt;$B$8,Q12,0)))</x:f>
      </x:c>
      <x:c r="R46" s="117">
        <x:f>MIN(R38+R45,IF(AND(YEAR(R$3)=YEAR($B$8),MONTH(R$3)=MONTH($B$8)),R14,IF(R$3&gt;$B$8,R12,0)))</x:f>
      </x:c>
      <x:c r="S46" s="117">
        <x:f>MIN(S38+S45,IF(AND(YEAR(S$3)=YEAR($B$8),MONTH(S$3)=MONTH($B$8)),S14,IF(S$3&gt;$B$8,S12,0)))</x:f>
      </x:c>
      <x:c r="T46" s="117">
        <x:f>MIN(T38+T45,IF(AND(YEAR(T$3)=YEAR($B$8),MONTH(T$3)=MONTH($B$8)),T14,IF(T$3&gt;$B$8,T12,0)))</x:f>
      </x:c>
      <x:c r="U46" s="117">
        <x:f>MIN(U38+U45,IF(AND(YEAR(U$3)=YEAR($B$8),MONTH(U$3)=MONTH($B$8)),U14,IF(U$3&gt;$B$8,U12,0)))</x:f>
      </x:c>
      <x:c r="V46" s="117">
        <x:f>MIN(V38+V45,IF(AND(YEAR(V$3)=YEAR($B$8),MONTH(V$3)=MONTH($B$8)),V14,IF(V$3&gt;$B$8,V12,0)))</x:f>
      </x:c>
      <x:c r="W46" s="117">
        <x:f>MIN(W38+W45,IF(AND(YEAR(W$3)=YEAR($B$8),MONTH(W$3)=MONTH($B$8)),W14,IF(W$3&gt;$B$8,W12,0)))</x:f>
      </x:c>
      <x:c r="X46" s="117">
        <x:f>MIN(X38+X45,IF(AND(YEAR(X$3)=YEAR($B$8),MONTH(X$3)=MONTH($B$8)),X14,IF(X$3&gt;$B$8,X12,0)))</x:f>
      </x:c>
      <x:c r="Y46" s="117">
        <x:f>MIN(Y38+Y45,IF(AND(YEAR(Y$3)=YEAR($B$8),MONTH(Y$3)=MONTH($B$8)),Y14,IF(Y$3&gt;$B$8,Y12,0)))</x:f>
      </x:c>
      <x:c r="Z46" s="117">
        <x:f>MIN(Z38+Z45,IF(AND(YEAR(Z$3)=YEAR($B$8),MONTH(Z$3)=MONTH($B$8)),Z14,IF(Z$3&gt;$B$8,Z12,0)))</x:f>
      </x:c>
      <x:c r="AA46" s="117">
        <x:f>MIN(AA38+AA45,IF(AND(YEAR(AA$3)=YEAR($B$8),MONTH(AA$3)=MONTH($B$8)),AA14,IF(AA$3&gt;$B$8,AA12,0)))</x:f>
      </x:c>
      <x:c r="AB46" s="117">
        <x:f>MIN(AB38+AB45,IF(AND(YEAR(AB$3)=YEAR($B$8),MONTH(AB$3)=MONTH($B$8)),AB14,IF(AB$3&gt;$B$8,AB12,0)))</x:f>
      </x:c>
      <x:c r="AC46" s="117">
        <x:f>MIN(AC38+AC45,IF(AND(YEAR(AC$3)=YEAR($B$8),MONTH(AC$3)=MONTH($B$8)),AC14,IF(AC$3&gt;$B$8,AC12,0)))</x:f>
      </x:c>
      <x:c r="AD46" s="117">
        <x:f>MIN(AD38+AD45,IF(AND(YEAR(AD$3)=YEAR($B$8),MONTH(AD$3)=MONTH($B$8)),AD14,IF(AD$3&gt;$B$8,AD12,0)))</x:f>
      </x:c>
      <x:c r="AE46" s="117">
        <x:f>MIN(AE38+AE45,IF(AND(YEAR(AE$3)=YEAR($B$8),MONTH(AE$3)=MONTH($B$8)),AE14,IF(AE$3&gt;$B$8,AE12,0)))</x:f>
      </x:c>
      <x:c r="AF46" s="117">
        <x:f>MIN(AF38+AF45,IF(AND(YEAR(AF$3)=YEAR($B$8),MONTH(AF$3)=MONTH($B$8)),AF14,IF(AF$3&gt;$B$8,AF12,0)))</x:f>
      </x:c>
      <x:c r="AG46" s="117">
        <x:f>MIN(AG38+AG45,IF(AND(YEAR(AG$3)=YEAR($B$8),MONTH(AG$3)=MONTH($B$8)),AG14,IF(AG$3&gt;$B$8,AG12,0)))</x:f>
      </x:c>
      <x:c r="AH46" s="117">
        <x:f>MIN(AH38+AH45,IF(AND(YEAR(AH$3)=YEAR($B$8),MONTH(AH$3)=MONTH($B$8)),AH14,IF(AH$3&gt;$B$8,AH12,0)))</x:f>
      </x:c>
      <x:c r="AI46" s="117">
        <x:f>MIN(AI38+AI45,IF(AND(YEAR(AI$3)=YEAR($B$8),MONTH(AI$3)=MONTH($B$8)),AI14,IF(AI$3&gt;$B$8,AI12,0)))</x:f>
      </x:c>
      <x:c r="AJ46" s="117">
        <x:f>MIN(AJ38+AJ45,IF(AND(YEAR(AJ$3)=YEAR($B$8),MONTH(AJ$3)=MONTH($B$8)),AJ14,IF(AJ$3&gt;$B$8,AJ12,0)))</x:f>
      </x:c>
      <x:c r="AK46" s="117">
        <x:f>MIN(AK38+AK45,IF(AND(YEAR(AK$3)=YEAR($B$8),MONTH(AK$3)=MONTH($B$8)),AK14,IF(AK$3&gt;$B$8,AK12,0)))</x:f>
      </x:c>
      <x:c r="AL46" s="117">
        <x:f>MIN(AL38+AL45,IF(AND(YEAR(AL$3)=YEAR($B$8),MONTH(AL$3)=MONTH($B$8)),AL14,IF(AL$3&gt;$B$8,AL12,0)))</x:f>
      </x:c>
      <x:c r="AM46" s="117">
        <x:f>MIN(AM38+AM45,IF(AND(YEAR(AM$3)=YEAR($B$8),MONTH(AM$3)=MONTH($B$8)),AM14,IF(AM$3&gt;$B$8,AM12,0)))</x:f>
      </x:c>
      <x:c r="AN46" s="117">
        <x:f>MIN(AN38+AN45,IF(AND(YEAR(AN$3)=YEAR($B$8),MONTH(AN$3)=MONTH($B$8)),AN14,IF(AN$3&gt;$B$8,AN12,0)))</x:f>
      </x:c>
      <x:c r="AO46" s="117">
        <x:f>MIN(AO38+AO45,IF(AND(YEAR(AO$3)=YEAR($B$8),MONTH(AO$3)=MONTH($B$8)),AO14,IF(AO$3&gt;$B$8,AO12,0)))</x:f>
      </x:c>
      <x:c r="AP46" s="117">
        <x:f>MIN(AP38+AP45,IF(AND(YEAR(AP$3)=YEAR($B$8),MONTH(AP$3)=MONTH($B$8)),AP14,IF(AP$3&gt;$B$8,AP12,0)))</x:f>
      </x:c>
      <x:c r="AQ46" s="117">
        <x:f>MIN(AQ38+AQ45,IF(AND(YEAR(AQ$3)=YEAR($B$8),MONTH(AQ$3)=MONTH($B$8)),AQ14,IF(AQ$3&gt;$B$8,AQ12,0)))</x:f>
      </x:c>
      <x:c r="AR46" s="117">
        <x:f>MIN(AR38+AR45,IF(AND(YEAR(AR$3)=YEAR($B$8),MONTH(AR$3)=MONTH($B$8)),AR14,IF(AR$3&gt;$B$8,AR12,0)))</x:f>
      </x:c>
      <x:c r="AS46" s="117">
        <x:f>MIN(AS38+AS45,IF(AND(YEAR(AS$3)=YEAR($B$8),MONTH(AS$3)=MONTH($B$8)),AS14,IF(AS$3&gt;$B$8,AS12,0)))</x:f>
      </x:c>
      <x:c r="AT46" s="117">
        <x:f>MIN(AT38+AT45,IF(AND(YEAR(AT$3)=YEAR($B$8),MONTH(AT$3)=MONTH($B$8)),AT14,IF(AT$3&gt;$B$8,AT12,0)))</x:f>
      </x:c>
      <x:c r="AU46" s="117">
        <x:f>MIN(AU38+AU45,IF(AND(YEAR(AU$3)=YEAR($B$8),MONTH(AU$3)=MONTH($B$8)),AU14,IF(AU$3&gt;$B$8,AU12,0)))</x:f>
      </x:c>
      <x:c r="AV46" s="117">
        <x:f>MIN(AV38+AV45,IF(AND(YEAR(AV$3)=YEAR($B$8),MONTH(AV$3)=MONTH($B$8)),AV14,IF(AV$3&gt;$B$8,AV12,0)))</x:f>
      </x:c>
      <x:c r="AW46" s="117">
        <x:f>MIN(AW38+AW45,IF(AND(YEAR(AW$3)=YEAR($B$8),MONTH(AW$3)=MONTH($B$8)),AW14,IF(AW$3&gt;$B$8,AW12,0)))</x:f>
      </x:c>
      <x:c r="AX46" s="117">
        <x:f>MIN(AX38+AX45,IF(AND(YEAR(AX$3)=YEAR($B$8),MONTH(AX$3)=MONTH($B$8)),AX14,IF(AX$3&gt;$B$8,AX12,0)))</x:f>
      </x:c>
      <x:c r="AY46" s="117">
        <x:f>MIN(AY38+AY45,IF(AND(YEAR(AY$3)=YEAR($B$8),MONTH(AY$3)=MONTH($B$8)),AY14,IF(AY$3&gt;$B$8,AY12,0)))</x:f>
      </x:c>
      <x:c r="AZ46" s="117">
        <x:f>MIN(AZ38+AZ45,IF(AND(YEAR(AZ$3)=YEAR($B$8),MONTH(AZ$3)=MONTH($B$8)),AZ14,IF(AZ$3&gt;$B$8,AZ12,0)))</x:f>
      </x:c>
      <x:c r="BA46" s="117">
        <x:f>MIN(BA38+BA45,IF(AND(YEAR(BA$3)=YEAR($B$8),MONTH(BA$3)=MONTH($B$8)),BA14,IF(BA$3&gt;$B$8,BA12,0)))</x:f>
      </x:c>
      <x:c r="BB46" s="117">
        <x:f>MIN(BB38+BB45,IF(AND(YEAR(BB$3)=YEAR($B$8),MONTH(BB$3)=MONTH($B$8)),BB14,IF(BB$3&gt;$B$8,BB12,0)))</x:f>
      </x:c>
      <x:c r="BC46" s="117">
        <x:f>MIN(BC38+BC45,IF(AND(YEAR(BC$3)=YEAR($B$8),MONTH(BC$3)=MONTH($B$8)),BC14,IF(BC$3&gt;$B$8,BC12,0)))</x:f>
      </x:c>
      <x:c r="BD46" s="117">
        <x:f>MIN(BD38+BD45,IF(AND(YEAR(BD$3)=YEAR($B$8),MONTH(BD$3)=MONTH($B$8)),BD14,IF(BD$3&gt;$B$8,BD12,0)))</x:f>
      </x:c>
      <x:c r="BE46" s="117">
        <x:f>MIN(BE38+BE45,IF(AND(YEAR(BE$3)=YEAR($B$8),MONTH(BE$3)=MONTH($B$8)),BE14,IF(BE$3&gt;$B$8,BE12,0)))</x:f>
      </x:c>
      <x:c r="BF46" s="117">
        <x:f>MIN(BF38+BF45,IF(AND(YEAR(BF$3)=YEAR($B$8),MONTH(BF$3)=MONTH($B$8)),BF14,IF(BF$3&gt;$B$8,BF12,0)))</x:f>
      </x:c>
      <x:c r="BG46" s="117">
        <x:f>MIN(BG38+BG45,IF(AND(YEAR(BG$3)=YEAR($B$8),MONTH(BG$3)=MONTH($B$8)),BG14,IF(BG$3&gt;$B$8,BG12,0)))</x:f>
      </x:c>
      <x:c r="BH46" s="117">
        <x:f>MIN(BH38+BH45,IF(AND(YEAR(BH$3)=YEAR($B$8),MONTH(BH$3)=MONTH($B$8)),BH14,IF(BH$3&gt;$B$8,BH12,0)))</x:f>
      </x:c>
      <x:c r="BI46" s="117">
        <x:f>MIN(BI38+BI45,IF(AND(YEAR(BI$3)=YEAR($B$8),MONTH(BI$3)=MONTH($B$8)),BI14,IF(BI$3&gt;$B$8,BI12,0)))</x:f>
      </x:c>
      <x:c r="BJ46" s="117">
        <x:f>MIN(BJ38+BJ45,IF(AND(YEAR(BJ$3)=YEAR($B$8),MONTH(BJ$3)=MONTH($B$8)),BJ14,IF(BJ$3&gt;$B$8,BJ12,0)))</x:f>
      </x:c>
      <x:c r="BK46" s="117">
        <x:f>MIN(BK38+BK45,IF(AND(YEAR(BK$3)=YEAR($B$8),MONTH(BK$3)=MONTH($B$8)),BK14,IF(BK$3&gt;$B$8,BK12,0)))</x:f>
      </x:c>
      <x:c r="BL46" s="117">
        <x:f>MIN(BL38+BL45,IF(AND(YEAR(BL$3)=YEAR($B$8),MONTH(BL$3)=MONTH($B$8)),BL14,IF(BL$3&gt;$B$8,BL12,0)))</x:f>
      </x:c>
      <x:c r="BM46" s="117">
        <x:f>MIN(BM38+BM45,IF(AND(YEAR(BM$3)=YEAR($B$8),MONTH(BM$3)=MONTH($B$8)),BM14,IF(BM$3&gt;$B$8,BM12,0)))</x:f>
      </x:c>
      <x:c r="BN46" s="117">
        <x:f>MIN(BN38+BN45,IF(AND(YEAR(BN$3)=YEAR($B$8),MONTH(BN$3)=MONTH($B$8)),BN14,IF(BN$3&gt;$B$8,BN12,0)))</x:f>
      </x:c>
      <x:c r="BO46" s="117">
        <x:f>MIN(BO38+BO45,IF(AND(YEAR(BO$3)=YEAR($B$8),MONTH(BO$3)=MONTH($B$8)),BO14,IF(BO$3&gt;$B$8,BO12,0)))</x:f>
      </x:c>
      <x:c r="BP46" s="117">
        <x:f>MIN(BP38+BP45,IF(AND(YEAR(BP$3)=YEAR($B$8),MONTH(BP$3)=MONTH($B$8)),BP14,IF(BP$3&gt;$B$8,BP12,0)))</x:f>
      </x:c>
      <x:c r="BQ46" s="117">
        <x:f>MIN(BQ38+BQ45,IF(AND(YEAR(BQ$3)=YEAR($B$8),MONTH(BQ$3)=MONTH($B$8)),BQ14,IF(BQ$3&gt;$B$8,BQ12,0)))</x:f>
      </x:c>
      <x:c r="BR46" s="117">
        <x:f>MIN(BR38+BR45,IF(AND(YEAR(BR$3)=YEAR($B$8),MONTH(BR$3)=MONTH($B$8)),BR14,IF(BR$3&gt;$B$8,BR12,0)))</x:f>
      </x:c>
      <x:c r="BS46" s="117">
        <x:f>MIN(BS38+BS45,IF(AND(YEAR(BS$3)=YEAR($B$8),MONTH(BS$3)=MONTH($B$8)),BS14,IF(BS$3&gt;$B$8,BS12,0)))</x:f>
      </x:c>
      <x:c r="BT46" s="117">
        <x:f>MIN(BT38+BT45,IF(AND(YEAR(BT$3)=YEAR($B$8),MONTH(BT$3)=MONTH($B$8)),BT14,IF(BT$3&gt;$B$8,BT12,0)))</x:f>
      </x:c>
      <x:c r="BU46" s="117">
        <x:f>MIN(BU38+BU45,IF(AND(YEAR(BU$3)=YEAR($B$8),MONTH(BU$3)=MONTH($B$8)),BU14,IF(BU$3&gt;$B$8,BU12,0)))</x:f>
      </x:c>
      <x:c r="BV46" s="117">
        <x:f>MIN(BV38+BV45,IF(AND(YEAR(BV$3)=YEAR($B$8),MONTH(BV$3)=MONTH($B$8)),BV14,IF(BV$3&gt;$B$8,BV12,0)))</x:f>
      </x:c>
      <x:c r="BW46" s="117">
        <x:f>MIN(BW38+BW45,IF(AND(YEAR(BW$3)=YEAR($B$8),MONTH(BW$3)=MONTH($B$8)),BW14,IF(BW$3&gt;$B$8,BW12,0)))</x:f>
      </x:c>
      <x:c r="BX46" s="117">
        <x:f>MIN(BX38+BX45,IF(AND(YEAR(BX$3)=YEAR($B$8),MONTH(BX$3)=MONTH($B$8)),BX14,IF(BX$3&gt;$B$8,BX12,0)))</x:f>
      </x:c>
      <x:c r="BY46" s="117">
        <x:f>MIN(BY38+BY45,IF(AND(YEAR(BY$3)=YEAR($B$8),MONTH(BY$3)=MONTH($B$8)),BY14,IF(BY$3&gt;$B$8,BY12,0)))</x:f>
      </x:c>
      <x:c r="BZ46" s="117">
        <x:f>MIN(BZ38+BZ45,IF(AND(YEAR(BZ$3)=YEAR($B$8),MONTH(BZ$3)=MONTH($B$8)),BZ14,IF(BZ$3&gt;$B$8,BZ12,0)))</x:f>
      </x:c>
      <x:c r="CA46" s="117">
        <x:f>MIN(CA38+CA45,IF(AND(YEAR(CA$3)=YEAR($B$8),MONTH(CA$3)=MONTH($B$8)),CA14,IF(CA$3&gt;$B$8,CA12,0)))</x:f>
      </x:c>
      <x:c r="CB46" s="117">
        <x:f>MIN(CB38+CB45,IF(AND(YEAR(CB$3)=YEAR($B$8),MONTH(CB$3)=MONTH($B$8)),CB14,IF(CB$3&gt;$B$8,CB12,0)))</x:f>
      </x:c>
      <x:c r="CC46" s="117">
        <x:f>MIN(CC38+CC45,IF(AND(YEAR(CC$3)=YEAR($B$8),MONTH(CC$3)=MONTH($B$8)),CC14,IF(CC$3&gt;$B$8,CC12,0)))</x:f>
      </x:c>
      <x:c r="CD46" s="117">
        <x:f>MIN(CD38+CD45,IF(AND(YEAR(CD$3)=YEAR($B$8),MONTH(CD$3)=MONTH($B$8)),CD14,IF(CD$3&gt;$B$8,CD12,0)))</x:f>
      </x:c>
      <x:c r="CE46" s="117">
        <x:f>MIN(CE38+CE45,IF(AND(YEAR(CE$3)=YEAR($B$8),MONTH(CE$3)=MONTH($B$8)),CE14,IF(CE$3&gt;$B$8,CE12,0)))</x:f>
      </x:c>
      <x:c r="CF46" s="117">
        <x:f>MIN(CF38+CF45,IF(AND(YEAR(CF$3)=YEAR($B$8),MONTH(CF$3)=MONTH($B$8)),CF14,IF(CF$3&gt;$B$8,CF12,0)))</x:f>
      </x:c>
      <x:c r="CG46" s="117">
        <x:f>MIN(CG38+CG45,IF(AND(YEAR(CG$3)=YEAR($B$8),MONTH(CG$3)=MONTH($B$8)),CG14,IF(CG$3&gt;$B$8,CG12,0)))</x:f>
      </x:c>
      <x:c r="CH46" s="117">
        <x:f>MIN(CH38+CH45,IF(AND(YEAR(CH$3)=YEAR($B$8),MONTH(CH$3)=MONTH($B$8)),CH14,IF(CH$3&gt;$B$8,CH12,0)))</x:f>
      </x:c>
      <x:c r="CI46" s="117">
        <x:f>MIN(CI38+CI45,IF(AND(YEAR(CI$3)=YEAR($B$8),MONTH(CI$3)=MONTH($B$8)),CI14,IF(CI$3&gt;$B$8,CI12,0)))</x:f>
      </x:c>
      <x:c r="CJ46" s="117">
        <x:f>MIN(CJ38+CJ45,IF(AND(YEAR(CJ$3)=YEAR($B$8),MONTH(CJ$3)=MONTH($B$8)),CJ14,IF(CJ$3&gt;$B$8,CJ12,0)))</x:f>
      </x:c>
      <x:c r="CK46" s="117">
        <x:f>MIN(CK38+CK45,IF(AND(YEAR(CK$3)=YEAR($B$8),MONTH(CK$3)=MONTH($B$8)),CK14,IF(CK$3&gt;$B$8,CK12,0)))</x:f>
      </x:c>
      <x:c r="CL46" s="117">
        <x:f>MIN(CL38+CL45,IF(AND(YEAR(CL$3)=YEAR($B$8),MONTH(CL$3)=MONTH($B$8)),CL14,IF(CL$3&gt;$B$8,CL12,0)))</x:f>
      </x:c>
      <x:c r="CM46" s="117">
        <x:f>MIN(CM38+CM45,IF(AND(YEAR(CM$3)=YEAR($B$8),MONTH(CM$3)=MONTH($B$8)),CM14,IF(CM$3&gt;$B$8,CM12,0)))</x:f>
      </x:c>
      <x:c r="CN46" s="117">
        <x:f>MIN(CN38+CN45,IF(AND(YEAR(CN$3)=YEAR($B$8),MONTH(CN$3)=MONTH($B$8)),CN14,IF(CN$3&gt;$B$8,CN12,0)))</x:f>
      </x:c>
      <x:c r="CO46" s="117">
        <x:f>MIN(CO38+CO45,IF(AND(YEAR(CO$3)=YEAR($B$8),MONTH(CO$3)=MONTH($B$8)),CO14,IF(CO$3&gt;$B$8,CO12,0)))</x:f>
      </x:c>
      <x:c r="CP46" s="117">
        <x:f>MIN(CP38+CP45,IF(AND(YEAR(CP$3)=YEAR($B$8),MONTH(CP$3)=MONTH($B$8)),CP14,IF(CP$3&gt;$B$8,CP12,0)))</x:f>
      </x:c>
      <x:c r="CQ46" s="117">
        <x:f>MIN(CQ38+CQ45,IF(AND(YEAR(CQ$3)=YEAR($B$8),MONTH(CQ$3)=MONTH($B$8)),CQ14,IF(CQ$3&gt;$B$8,CQ12,0)))</x:f>
      </x:c>
      <x:c r="CR46" s="117">
        <x:f>MIN(CR38+CR45,IF(AND(YEAR(CR$3)=YEAR($B$8),MONTH(CR$3)=MONTH($B$8)),CR14,IF(CR$3&gt;$B$8,CR12,0)))</x:f>
      </x:c>
      <x:c r="CS46" s="117">
        <x:f>MIN(CS38+CS45,IF(AND(YEAR(CS$3)=YEAR($B$8),MONTH(CS$3)=MONTH($B$8)),CS14,IF(CS$3&gt;$B$8,CS12,0)))</x:f>
      </x:c>
      <x:c r="CT46" s="117">
        <x:f>MIN(CT38+CT45,IF(AND(YEAR(CT$3)=YEAR($B$8),MONTH(CT$3)=MONTH($B$8)),CT14,IF(CT$3&gt;$B$8,CT12,0)))</x:f>
      </x:c>
      <x:c r="CU46" s="117">
        <x:f>MIN(CU38+CU45,IF(AND(YEAR(CU$3)=YEAR($B$8),MONTH(CU$3)=MONTH($B$8)),CU14,IF(CU$3&gt;$B$8,CU12,0)))</x:f>
      </x:c>
      <x:c r="CV46" s="117">
        <x:f>MIN(CV38+CV45,IF(AND(YEAR(CV$3)=YEAR($B$8),MONTH(CV$3)=MONTH($B$8)),CV14,IF(CV$3&gt;$B$8,CV12,0)))</x:f>
      </x:c>
      <x:c r="CW46" s="117">
        <x:f>MIN(CW38+CW45,IF(AND(YEAR(CW$3)=YEAR($B$8),MONTH(CW$3)=MONTH($B$8)),CW14,IF(CW$3&gt;$B$8,CW12,0)))</x:f>
      </x:c>
      <x:c r="CX46" s="117">
        <x:f>MIN(CX38+CX45,IF(AND(YEAR(CX$3)=YEAR($B$8),MONTH(CX$3)=MONTH($B$8)),CX14,IF(CX$3&gt;$B$8,CX12,0)))</x:f>
      </x:c>
      <x:c r="CY46" s="117">
        <x:f>MIN(CY38+CY45,IF(AND(YEAR(CY$3)=YEAR($B$8),MONTH(CY$3)=MONTH($B$8)),CY14,IF(CY$3&gt;$B$8,CY12,0)))</x:f>
      </x:c>
      <x:c r="CZ46" s="117">
        <x:f>MIN(CZ38+CZ45,IF(AND(YEAR(CZ$3)=YEAR($B$8),MONTH(CZ$3)=MONTH($B$8)),CZ14,IF(CZ$3&gt;$B$8,CZ12,0)))</x:f>
      </x:c>
      <x:c r="DA46" s="117">
        <x:f>MIN(DA38+DA45,IF(AND(YEAR(DA$3)=YEAR($B$8),MONTH(DA$3)=MONTH($B$8)),DA14,IF(DA$3&gt;$B$8,DA12,0)))</x:f>
      </x:c>
      <x:c r="DB46" s="117">
        <x:f>MIN(DB38+DB45,IF(AND(YEAR(DB$3)=YEAR($B$8),MONTH(DB$3)=MONTH($B$8)),DB14,IF(DB$3&gt;$B$8,DB12,0)))</x:f>
      </x:c>
      <x:c r="DC46" s="117">
        <x:f>MIN(DC38+DC45,IF(AND(YEAR(DC$3)=YEAR($B$8),MONTH(DC$3)=MONTH($B$8)),DC14,IF(DC$3&gt;$B$8,DC12,0)))</x:f>
      </x:c>
      <x:c r="DD46" s="117">
        <x:f>MIN(DD38+DD45,IF(AND(YEAR(DD$3)=YEAR($B$8),MONTH(DD$3)=MONTH($B$8)),DD14,IF(DD$3&gt;$B$8,DD12,0)))</x:f>
      </x:c>
      <x:c r="DE46" s="117">
        <x:f>MIN(DE38+DE45,IF(AND(YEAR(DE$3)=YEAR($B$8),MONTH(DE$3)=MONTH($B$8)),DE14,IF(DE$3&gt;$B$8,DE12,0)))</x:f>
      </x:c>
      <x:c r="DF46" s="117">
        <x:f>MIN(DF38+DF45,IF(AND(YEAR(DF$3)=YEAR($B$8),MONTH(DF$3)=MONTH($B$8)),DF14,IF(DF$3&gt;$B$8,DF12,0)))</x:f>
      </x:c>
      <x:c r="DG46" s="117">
        <x:f>MIN(DG38+DG45,IF(AND(YEAR(DG$3)=YEAR($B$8),MONTH(DG$3)=MONTH($B$8)),DG14,IF(DG$3&gt;$B$8,DG12,0)))</x:f>
      </x:c>
      <x:c r="DH46" s="117">
        <x:f>MIN(DH38+DH45,IF(AND(YEAR(DH$3)=YEAR($B$8),MONTH(DH$3)=MONTH($B$8)),DH14,IF(DH$3&gt;$B$8,DH12,0)))</x:f>
      </x:c>
      <x:c r="DI46" s="117">
        <x:f>MIN(DI38+DI45,IF(AND(YEAR(DI$3)=YEAR($B$8),MONTH(DI$3)=MONTH($B$8)),DI14,IF(DI$3&gt;$B$8,DI12,0)))</x:f>
      </x:c>
      <x:c r="DJ46" s="117">
        <x:f>MIN(DJ38+DJ45,IF(AND(YEAR(DJ$3)=YEAR($B$8),MONTH(DJ$3)=MONTH($B$8)),DJ14,IF(DJ$3&gt;$B$8,DJ12,0)))</x:f>
      </x:c>
      <x:c r="DK46" s="117">
        <x:f>MIN(DK38+DK45,IF(AND(YEAR(DK$3)=YEAR($B$8),MONTH(DK$3)=MONTH($B$8)),DK14,IF(DK$3&gt;$B$8,DK12,0)))</x:f>
      </x:c>
      <x:c r="DL46" s="117">
        <x:f>MIN(DL38+DL45,IF(AND(YEAR(DL$3)=YEAR($B$8),MONTH(DL$3)=MONTH($B$8)),DL14,IF(DL$3&gt;$B$8,DL12,0)))</x:f>
      </x:c>
      <x:c r="DM46" s="117">
        <x:f>MIN(DM38+DM45,IF(AND(YEAR(DM$3)=YEAR($B$8),MONTH(DM$3)=MONTH($B$8)),DM14,IF(DM$3&gt;$B$8,DM12,0)))</x:f>
      </x:c>
      <x:c r="DN46" s="117">
        <x:f>MIN(DN38+DN45,IF(AND(YEAR(DN$3)=YEAR($B$8),MONTH(DN$3)=MONTH($B$8)),DN14,IF(DN$3&gt;$B$8,DN12,0)))</x:f>
      </x:c>
      <x:c r="DO46" s="117">
        <x:f>MIN(DO38+DO45,IF(AND(YEAR(DO$3)=YEAR($B$8),MONTH(DO$3)=MONTH($B$8)),DO14,IF(DO$3&gt;$B$8,DO12,0)))</x:f>
      </x:c>
      <x:c r="DP46" s="117">
        <x:f>MIN(DP38+DP45,IF(AND(YEAR(DP$3)=YEAR($B$8),MONTH(DP$3)=MONTH($B$8)),DP14,IF(DP$3&gt;$B$8,DP12,0)))</x:f>
      </x:c>
      <x:c r="DQ46" s="117">
        <x:f>MIN(DQ38+DQ45,IF(AND(YEAR(DQ$3)=YEAR($B$8),MONTH(DQ$3)=MONTH($B$8)),DQ14,IF(DQ$3&gt;$B$8,DQ12,0)))</x:f>
      </x:c>
      <x:c r="DR46" s="117">
        <x:f>MIN(DR38+DR45,IF(AND(YEAR(DR$3)=YEAR($B$8),MONTH(DR$3)=MONTH($B$8)),DR14,IF(DR$3&gt;$B$8,DR12,0)))</x:f>
      </x:c>
      <x:c r="DS46" s="117">
        <x:f>MIN(DS38+DS45,IF(AND(YEAR(DS$3)=YEAR($B$8),MONTH(DS$3)=MONTH($B$8)),DS14,IF(DS$3&gt;$B$8,DS12,0)))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>
        <x:f>MAX(0,D38+D45-D46)</x:f>
      </x:c>
      <x:c r="E47" s="120">
        <x:f>MAX(0,E38+E45-E46)</x:f>
      </x:c>
      <x:c r="F47" s="120">
        <x:f>MAX(0,F38+F45-F46)</x:f>
      </x:c>
      <x:c r="G47" s="120">
        <x:f>MAX(0,G38+G45-G46)</x:f>
      </x:c>
      <x:c r="H47" s="120">
        <x:f>MAX(0,H38+H45-H46)</x:f>
      </x:c>
      <x:c r="I47" s="120">
        <x:f>MAX(0,I38+I45-I46)</x:f>
      </x:c>
      <x:c r="J47" s="120">
        <x:f>MAX(0,J38+J45-J46)</x:f>
      </x:c>
      <x:c r="K47" s="120">
        <x:f>MAX(0,K38+K45-K46)</x:f>
      </x:c>
      <x:c r="L47" s="120">
        <x:f>MAX(0,L38+L45-L46)</x:f>
      </x:c>
      <x:c r="M47" s="120">
        <x:f>MAX(0,M38+M45-M46)</x:f>
      </x:c>
      <x:c r="N47" s="120">
        <x:f>MAX(0,N38+N45-N46)</x:f>
      </x:c>
      <x:c r="O47" s="120">
        <x:f>MAX(0,O38+O45-O46)</x:f>
      </x:c>
      <x:c r="P47" s="120">
        <x:f>MAX(0,P38+P45-P46)</x:f>
      </x:c>
      <x:c r="Q47" s="120">
        <x:f>MAX(0,Q38+Q45-Q46)</x:f>
      </x:c>
      <x:c r="R47" s="120">
        <x:f>MAX(0,R38+R45-R46)</x:f>
      </x:c>
      <x:c r="S47" s="120">
        <x:f>MAX(0,S38+S45-S46)</x:f>
      </x:c>
      <x:c r="T47" s="120">
        <x:f>MAX(0,T38+T45-T46)</x:f>
      </x:c>
      <x:c r="U47" s="120">
        <x:f>MAX(0,U38+U45-U46)</x:f>
      </x:c>
      <x:c r="V47" s="120">
        <x:f>MAX(0,V38+V45-V46)</x:f>
      </x:c>
      <x:c r="W47" s="120">
        <x:f>MAX(0,W38+W45-W46)</x:f>
      </x:c>
      <x:c r="X47" s="120">
        <x:f>MAX(0,X38+X45-X46)</x:f>
      </x:c>
      <x:c r="Y47" s="120">
        <x:f>MAX(0,Y38+Y45-Y46)</x:f>
      </x:c>
      <x:c r="Z47" s="120">
        <x:f>MAX(0,Z38+Z45-Z46)</x:f>
      </x:c>
      <x:c r="AA47" s="120">
        <x:f>MAX(0,AA38+AA45-AA46)</x:f>
      </x:c>
      <x:c r="AB47" s="120">
        <x:f>MAX(0,AB38+AB45-AB46)</x:f>
      </x:c>
      <x:c r="AC47" s="120">
        <x:f>MAX(0,AC38+AC45-AC46)</x:f>
      </x:c>
      <x:c r="AD47" s="120">
        <x:f>MAX(0,AD38+AD45-AD46)</x:f>
      </x:c>
      <x:c r="AE47" s="120">
        <x:f>MAX(0,AE38+AE45-AE46)</x:f>
      </x:c>
      <x:c r="AF47" s="120">
        <x:f>MAX(0,AF38+AF45-AF46)</x:f>
      </x:c>
      <x:c r="AG47" s="120">
        <x:f>MAX(0,AG38+AG45-AG46)</x:f>
      </x:c>
      <x:c r="AH47" s="120">
        <x:f>MAX(0,AH38+AH45-AH46)</x:f>
      </x:c>
      <x:c r="AI47" s="120">
        <x:f>MAX(0,AI38+AI45-AI46)</x:f>
      </x:c>
      <x:c r="AJ47" s="120">
        <x:f>MAX(0,AJ38+AJ45-AJ46)</x:f>
      </x:c>
      <x:c r="AK47" s="120">
        <x:f>MAX(0,AK38+AK45-AK46)</x:f>
      </x:c>
      <x:c r="AL47" s="120">
        <x:f>MAX(0,AL38+AL45-AL46)</x:f>
      </x:c>
      <x:c r="AM47" s="120">
        <x:f>MAX(0,AM38+AM45-AM46)</x:f>
      </x:c>
      <x:c r="AN47" s="120">
        <x:f>MAX(0,AN38+AN45-AN46)</x:f>
      </x:c>
      <x:c r="AO47" s="120">
        <x:f>MAX(0,AO38+AO45-AO46)</x:f>
      </x:c>
      <x:c r="AP47" s="120">
        <x:f>MAX(0,AP38+AP45-AP46)</x:f>
      </x:c>
      <x:c r="AQ47" s="120">
        <x:f>MAX(0,AQ38+AQ45-AQ46)</x:f>
      </x:c>
      <x:c r="AR47" s="120">
        <x:f>MAX(0,AR38+AR45-AR46)</x:f>
      </x:c>
      <x:c r="AS47" s="120">
        <x:f>MAX(0,AS38+AS45-AS46)</x:f>
      </x:c>
      <x:c r="AT47" s="120">
        <x:f>MAX(0,AT38+AT45-AT46)</x:f>
      </x:c>
      <x:c r="AU47" s="120">
        <x:f>MAX(0,AU38+AU45-AU46)</x:f>
      </x:c>
      <x:c r="AV47" s="120">
        <x:f>MAX(0,AV38+AV45-AV46)</x:f>
      </x:c>
      <x:c r="AW47" s="120">
        <x:f>MAX(0,AW38+AW45-AW46)</x:f>
      </x:c>
      <x:c r="AX47" s="120">
        <x:f>MAX(0,AX38+AX45-AX46)</x:f>
      </x:c>
      <x:c r="AY47" s="120">
        <x:f>MAX(0,AY38+AY45-AY46)</x:f>
      </x:c>
      <x:c r="AZ47" s="120">
        <x:f>MAX(0,AZ38+AZ45-AZ46)</x:f>
      </x:c>
      <x:c r="BA47" s="120">
        <x:f>MAX(0,BA38+BA45-BA46)</x:f>
      </x:c>
      <x:c r="BB47" s="120">
        <x:f>MAX(0,BB38+BB45-BB46)</x:f>
      </x:c>
      <x:c r="BC47" s="120">
        <x:f>MAX(0,BC38+BC45-BC46)</x:f>
      </x:c>
      <x:c r="BD47" s="120">
        <x:f>MAX(0,BD38+BD45-BD46)</x:f>
      </x:c>
      <x:c r="BE47" s="120">
        <x:f>MAX(0,BE38+BE45-BE46)</x:f>
      </x:c>
      <x:c r="BF47" s="120">
        <x:f>MAX(0,BF38+BF45-BF46)</x:f>
      </x:c>
      <x:c r="BG47" s="120">
        <x:f>MAX(0,BG38+BG45-BG46)</x:f>
      </x:c>
      <x:c r="BH47" s="120">
        <x:f>MAX(0,BH38+BH45-BH46)</x:f>
      </x:c>
      <x:c r="BI47" s="120">
        <x:f>MAX(0,BI38+BI45-BI46)</x:f>
      </x:c>
      <x:c r="BJ47" s="120">
        <x:f>MAX(0,BJ38+BJ45-BJ46)</x:f>
      </x:c>
      <x:c r="BK47" s="120">
        <x:f>MAX(0,BK38+BK45-BK46)</x:f>
      </x:c>
      <x:c r="BL47" s="120">
        <x:f>MAX(0,BL38+BL45-BL46)</x:f>
      </x:c>
      <x:c r="BM47" s="120">
        <x:f>MAX(0,BM38+BM45-BM46)</x:f>
      </x:c>
      <x:c r="BN47" s="120">
        <x:f>MAX(0,BN38+BN45-BN46)</x:f>
      </x:c>
      <x:c r="BO47" s="120">
        <x:f>MAX(0,BO38+BO45-BO46)</x:f>
      </x:c>
      <x:c r="BP47" s="120">
        <x:f>MAX(0,BP38+BP45-BP46)</x:f>
      </x:c>
      <x:c r="BQ47" s="120">
        <x:f>MAX(0,BQ38+BQ45-BQ46)</x:f>
      </x:c>
      <x:c r="BR47" s="120">
        <x:f>MAX(0,BR38+BR45-BR46)</x:f>
      </x:c>
      <x:c r="BS47" s="120">
        <x:f>MAX(0,BS38+BS45-BS46)</x:f>
      </x:c>
      <x:c r="BT47" s="120">
        <x:f>MAX(0,BT38+BT45-BT46)</x:f>
      </x:c>
      <x:c r="BU47" s="120">
        <x:f>MAX(0,BU38+BU45-BU46)</x:f>
      </x:c>
      <x:c r="BV47" s="120">
        <x:f>MAX(0,BV38+BV45-BV46)</x:f>
      </x:c>
      <x:c r="BW47" s="120">
        <x:f>MAX(0,BW38+BW45-BW46)</x:f>
      </x:c>
      <x:c r="BX47" s="120">
        <x:f>MAX(0,BX38+BX45-BX46)</x:f>
      </x:c>
      <x:c r="BY47" s="120">
        <x:f>MAX(0,BY38+BY45-BY46)</x:f>
      </x:c>
      <x:c r="BZ47" s="120">
        <x:f>MAX(0,BZ38+BZ45-BZ46)</x:f>
      </x:c>
      <x:c r="CA47" s="120">
        <x:f>MAX(0,CA38+CA45-CA46)</x:f>
      </x:c>
      <x:c r="CB47" s="120">
        <x:f>MAX(0,CB38+CB45-CB46)</x:f>
      </x:c>
      <x:c r="CC47" s="120">
        <x:f>MAX(0,CC38+CC45-CC46)</x:f>
      </x:c>
      <x:c r="CD47" s="120">
        <x:f>MAX(0,CD38+CD45-CD46)</x:f>
      </x:c>
      <x:c r="CE47" s="120">
        <x:f>MAX(0,CE38+CE45-CE46)</x:f>
      </x:c>
      <x:c r="CF47" s="120">
        <x:f>MAX(0,CF38+CF45-CF46)</x:f>
      </x:c>
      <x:c r="CG47" s="120">
        <x:f>MAX(0,CG38+CG45-CG46)</x:f>
      </x:c>
      <x:c r="CH47" s="120">
        <x:f>MAX(0,CH38+CH45-CH46)</x:f>
      </x:c>
      <x:c r="CI47" s="120">
        <x:f>MAX(0,CI38+CI45-CI46)</x:f>
      </x:c>
      <x:c r="CJ47" s="120">
        <x:f>MAX(0,CJ38+CJ45-CJ46)</x:f>
      </x:c>
      <x:c r="CK47" s="120">
        <x:f>MAX(0,CK38+CK45-CK46)</x:f>
      </x:c>
      <x:c r="CL47" s="120">
        <x:f>MAX(0,CL38+CL45-CL46)</x:f>
      </x:c>
      <x:c r="CM47" s="120">
        <x:f>MAX(0,CM38+CM45-CM46)</x:f>
      </x:c>
      <x:c r="CN47" s="120">
        <x:f>MAX(0,CN38+CN45-CN46)</x:f>
      </x:c>
      <x:c r="CO47" s="120">
        <x:f>MAX(0,CO38+CO45-CO46)</x:f>
      </x:c>
      <x:c r="CP47" s="120">
        <x:f>MAX(0,CP38+CP45-CP46)</x:f>
      </x:c>
      <x:c r="CQ47" s="120">
        <x:f>MAX(0,CQ38+CQ45-CQ46)</x:f>
      </x:c>
      <x:c r="CR47" s="120">
        <x:f>MAX(0,CR38+CR45-CR46)</x:f>
      </x:c>
      <x:c r="CS47" s="120">
        <x:f>MAX(0,CS38+CS45-CS46)</x:f>
      </x:c>
      <x:c r="CT47" s="120">
        <x:f>MAX(0,CT38+CT45-CT46)</x:f>
      </x:c>
      <x:c r="CU47" s="120">
        <x:f>MAX(0,CU38+CU45-CU46)</x:f>
      </x:c>
      <x:c r="CV47" s="120">
        <x:f>MAX(0,CV38+CV45-CV46)</x:f>
      </x:c>
      <x:c r="CW47" s="120">
        <x:f>MAX(0,CW38+CW45-CW46)</x:f>
      </x:c>
      <x:c r="CX47" s="120">
        <x:f>MAX(0,CX38+CX45-CX46)</x:f>
      </x:c>
      <x:c r="CY47" s="120">
        <x:f>MAX(0,CY38+CY45-CY46)</x:f>
      </x:c>
      <x:c r="CZ47" s="120">
        <x:f>MAX(0,CZ38+CZ45-CZ46)</x:f>
      </x:c>
      <x:c r="DA47" s="120">
        <x:f>MAX(0,DA38+DA45-DA46)</x:f>
      </x:c>
      <x:c r="DB47" s="120">
        <x:f>MAX(0,DB38+DB45-DB46)</x:f>
      </x:c>
      <x:c r="DC47" s="120">
        <x:f>MAX(0,DC38+DC45-DC46)</x:f>
      </x:c>
      <x:c r="DD47" s="120">
        <x:f>MAX(0,DD38+DD45-DD46)</x:f>
      </x:c>
      <x:c r="DE47" s="120">
        <x:f>MAX(0,DE38+DE45-DE46)</x:f>
      </x:c>
      <x:c r="DF47" s="120">
        <x:f>MAX(0,DF38+DF45-DF46)</x:f>
      </x:c>
      <x:c r="DG47" s="120">
        <x:f>MAX(0,DG38+DG45-DG46)</x:f>
      </x:c>
      <x:c r="DH47" s="120">
        <x:f>MAX(0,DH38+DH45-DH46)</x:f>
      </x:c>
      <x:c r="DI47" s="120">
        <x:f>MAX(0,DI38+DI45-DI46)</x:f>
      </x:c>
      <x:c r="DJ47" s="120">
        <x:f>MAX(0,DJ38+DJ45-DJ46)</x:f>
      </x:c>
      <x:c r="DK47" s="120">
        <x:f>MAX(0,DK38+DK45-DK46)</x:f>
      </x:c>
      <x:c r="DL47" s="120">
        <x:f>MAX(0,DL38+DL45-DL46)</x:f>
      </x:c>
      <x:c r="DM47" s="120">
        <x:f>MAX(0,DM38+DM45-DM46)</x:f>
      </x:c>
      <x:c r="DN47" s="120">
        <x:f>MAX(0,DN38+DN45-DN46)</x:f>
      </x:c>
      <x:c r="DO47" s="120">
        <x:f>MAX(0,DO38+DO45-DO46)</x:f>
      </x:c>
      <x:c r="DP47" s="120">
        <x:f>MAX(0,DP38+DP45-DP46)</x:f>
      </x:c>
      <x:c r="DQ47" s="120">
        <x:f>MAX(0,DQ38+DQ45-DQ46)</x:f>
      </x:c>
      <x:c r="DR47" s="120">
        <x:f>MAX(0,DR38+DR45-DR46)</x:f>
      </x:c>
      <x:c r="DS47" s="120">
        <x:f>MAX(0,DS38+DS45-DS46)</x:f>
      </x:c>
    </x:row>
    <x:row r="48">
      <x:c r="A48" t="inlineStr">
        <x:is>
          <x:t>ПФ — проценты к уплате (накопленно)</x:t>
        </x:is>
      </x:c>
      <x:c r="B48"/>
      <x:c r="C48"/>
      <x:c r="D48" s="117">
        <x:f>IF(AND(D$3&gt;=$B$7,D$3&lt;$B$8),C48*(1+D41/12)+D42+D43+IF(AND(AND(YEAR(D$3)=YEAR($B$7),MONTH(D$3)=MONTH($B$7)),'Вводные'!$B$31="Капитализация в ПФ"),C37,0),0)</x:f>
      </x:c>
      <x:c r="E48" s="117">
        <x:f>IF(AND(E$3&gt;=$B$7,E$3&lt;$B$8),D48*(1+E41/12)+E42+E43+IF(AND(AND(YEAR(E$3)=YEAR($B$7),MONTH(E$3)=MONTH($B$7)),'Вводные'!$B$31="Капитализация в ПФ"),D37,0),0)</x:f>
      </x:c>
      <x:c r="F48" s="117">
        <x:f>IF(AND(F$3&gt;=$B$7,F$3&lt;$B$8),E48*(1+F41/12)+F42+F43+IF(AND(AND(YEAR(F$3)=YEAR($B$7),MONTH(F$3)=MONTH($B$7)),'Вводные'!$B$31="Капитализация в ПФ"),E37,0),0)</x:f>
      </x:c>
      <x:c r="G48" s="117">
        <x:f>IF(AND(G$3&gt;=$B$7,G$3&lt;$B$8),F48*(1+G41/12)+G42+G43+IF(AND(AND(YEAR(G$3)=YEAR($B$7),MONTH(G$3)=MONTH($B$7)),'Вводные'!$B$31="Капитализация в ПФ"),F37,0),0)</x:f>
      </x:c>
      <x:c r="H48" s="117">
        <x:f>IF(AND(H$3&gt;=$B$7,H$3&lt;$B$8),G48*(1+H41/12)+H42+H43+IF(AND(AND(YEAR(H$3)=YEAR($B$7),MONTH(H$3)=MONTH($B$7)),'Вводные'!$B$31="Капитализация в ПФ"),G37,0),0)</x:f>
      </x:c>
      <x:c r="I48" s="117">
        <x:f>IF(AND(I$3&gt;=$B$7,I$3&lt;$B$8),H48*(1+I41/12)+I42+I43+IF(AND(AND(YEAR(I$3)=YEAR($B$7),MONTH(I$3)=MONTH($B$7)),'Вводные'!$B$31="Капитализация в ПФ"),H37,0),0)</x:f>
      </x:c>
      <x:c r="J48" s="117">
        <x:f>IF(AND(J$3&gt;=$B$7,J$3&lt;$B$8),I48*(1+J41/12)+J42+J43+IF(AND(AND(YEAR(J$3)=YEAR($B$7),MONTH(J$3)=MONTH($B$7)),'Вводные'!$B$31="Капитализация в ПФ"),I37,0),0)</x:f>
      </x:c>
      <x:c r="K48" s="117">
        <x:f>IF(AND(K$3&gt;=$B$7,K$3&lt;$B$8),J48*(1+K41/12)+K42+K43+IF(AND(AND(YEAR(K$3)=YEAR($B$7),MONTH(K$3)=MONTH($B$7)),'Вводные'!$B$31="Капитализация в ПФ"),J37,0),0)</x:f>
      </x:c>
      <x:c r="L48" s="117">
        <x:f>IF(AND(L$3&gt;=$B$7,L$3&lt;$B$8),K48*(1+L41/12)+L42+L43+IF(AND(AND(YEAR(L$3)=YEAR($B$7),MONTH(L$3)=MONTH($B$7)),'Вводные'!$B$31="Капитализация в ПФ"),K37,0),0)</x:f>
      </x:c>
      <x:c r="M48" s="117">
        <x:f>IF(AND(M$3&gt;=$B$7,M$3&lt;$B$8),L48*(1+M41/12)+M42+M43+IF(AND(AND(YEAR(M$3)=YEAR($B$7),MONTH(M$3)=MONTH($B$7)),'Вводные'!$B$31="Капитализация в ПФ"),L37,0),0)</x:f>
      </x:c>
      <x:c r="N48" s="117">
        <x:f>IF(AND(N$3&gt;=$B$7,N$3&lt;$B$8),M48*(1+N41/12)+N42+N43+IF(AND(AND(YEAR(N$3)=YEAR($B$7),MONTH(N$3)=MONTH($B$7)),'Вводные'!$B$31="Капитализация в ПФ"),M37,0),0)</x:f>
      </x:c>
      <x:c r="O48" s="117">
        <x:f>IF(AND(O$3&gt;=$B$7,O$3&lt;$B$8),N48*(1+O41/12)+O42+O43+IF(AND(AND(YEAR(O$3)=YEAR($B$7),MONTH(O$3)=MONTH($B$7)),'Вводные'!$B$31="Капитализация в ПФ"),N37,0),0)</x:f>
      </x:c>
      <x:c r="P48" s="117">
        <x:f>IF(AND(P$3&gt;=$B$7,P$3&lt;$B$8),O48*(1+P41/12)+P42+P43+IF(AND(AND(YEAR(P$3)=YEAR($B$7),MONTH(P$3)=MONTH($B$7)),'Вводные'!$B$31="Капитализация в ПФ"),O37,0),0)</x:f>
      </x:c>
      <x:c r="Q48" s="117">
        <x:f>IF(AND(Q$3&gt;=$B$7,Q$3&lt;$B$8),P48*(1+Q41/12)+Q42+Q43+IF(AND(AND(YEAR(Q$3)=YEAR($B$7),MONTH(Q$3)=MONTH($B$7)),'Вводные'!$B$31="Капитализация в ПФ"),P37,0),0)</x:f>
      </x:c>
      <x:c r="R48" s="117">
        <x:f>IF(AND(R$3&gt;=$B$7,R$3&lt;$B$8),Q48*(1+R41/12)+R42+R43+IF(AND(AND(YEAR(R$3)=YEAR($B$7),MONTH(R$3)=MONTH($B$7)),'Вводные'!$B$31="Капитализация в ПФ"),Q37,0),0)</x:f>
      </x:c>
      <x:c r="S48" s="117">
        <x:f>IF(AND(S$3&gt;=$B$7,S$3&lt;$B$8),R48*(1+S41/12)+S42+S43+IF(AND(AND(YEAR(S$3)=YEAR($B$7),MONTH(S$3)=MONTH($B$7)),'Вводные'!$B$31="Капитализация в ПФ"),R37,0),0)</x:f>
      </x:c>
      <x:c r="T48" s="117">
        <x:f>IF(AND(T$3&gt;=$B$7,T$3&lt;$B$8),S48*(1+T41/12)+T42+T43+IF(AND(AND(YEAR(T$3)=YEAR($B$7),MONTH(T$3)=MONTH($B$7)),'Вводные'!$B$31="Капитализация в ПФ"),S37,0),0)</x:f>
      </x:c>
      <x:c r="U48" s="117">
        <x:f>IF(AND(U$3&gt;=$B$7,U$3&lt;$B$8),T48*(1+U41/12)+U42+U43+IF(AND(AND(YEAR(U$3)=YEAR($B$7),MONTH(U$3)=MONTH($B$7)),'Вводные'!$B$31="Капитализация в ПФ"),T37,0),0)</x:f>
      </x:c>
      <x:c r="V48" s="117">
        <x:f>IF(AND(V$3&gt;=$B$7,V$3&lt;$B$8),U48*(1+V41/12)+V42+V43+IF(AND(AND(YEAR(V$3)=YEAR($B$7),MONTH(V$3)=MONTH($B$7)),'Вводные'!$B$31="Капитализация в ПФ"),U37,0),0)</x:f>
      </x:c>
      <x:c r="W48" s="117">
        <x:f>IF(AND(W$3&gt;=$B$7,W$3&lt;$B$8),V48*(1+W41/12)+W42+W43+IF(AND(AND(YEAR(W$3)=YEAR($B$7),MONTH(W$3)=MONTH($B$7)),'Вводные'!$B$31="Капитализация в ПФ"),V37,0),0)</x:f>
      </x:c>
      <x:c r="X48" s="117">
        <x:f>IF(AND(X$3&gt;=$B$7,X$3&lt;$B$8),W48*(1+X41/12)+X42+X43+IF(AND(AND(YEAR(X$3)=YEAR($B$7),MONTH(X$3)=MONTH($B$7)),'Вводные'!$B$31="Капитализация в ПФ"),W37,0),0)</x:f>
      </x:c>
      <x:c r="Y48" s="117">
        <x:f>IF(AND(Y$3&gt;=$B$7,Y$3&lt;$B$8),X48*(1+Y41/12)+Y42+Y43+IF(AND(AND(YEAR(Y$3)=YEAR($B$7),MONTH(Y$3)=MONTH($B$7)),'Вводные'!$B$31="Капитализация в ПФ"),X37,0),0)</x:f>
      </x:c>
      <x:c r="Z48" s="117">
        <x:f>IF(AND(Z$3&gt;=$B$7,Z$3&lt;$B$8),Y48*(1+Z41/12)+Z42+Z43+IF(AND(AND(YEAR(Z$3)=YEAR($B$7),MONTH(Z$3)=MONTH($B$7)),'Вводные'!$B$31="Капитализация в ПФ"),Y37,0),0)</x:f>
      </x:c>
      <x:c r="AA48" s="117">
        <x:f>IF(AND(AA$3&gt;=$B$7,AA$3&lt;$B$8),Z48*(1+AA41/12)+AA42+AA43+IF(AND(AND(YEAR(AA$3)=YEAR($B$7),MONTH(AA$3)=MONTH($B$7)),'Вводные'!$B$31="Капитализация в ПФ"),Z37,0),0)</x:f>
      </x:c>
      <x:c r="AB48" s="117">
        <x:f>IF(AND(AB$3&gt;=$B$7,AB$3&lt;$B$8),AA48*(1+AB41/12)+AB42+AB43+IF(AND(AND(YEAR(AB$3)=YEAR($B$7),MONTH(AB$3)=MONTH($B$7)),'Вводные'!$B$31="Капитализация в ПФ"),AA37,0),0)</x:f>
      </x:c>
      <x:c r="AC48" s="117">
        <x:f>IF(AND(AC$3&gt;=$B$7,AC$3&lt;$B$8),AB48*(1+AC41/12)+AC42+AC43+IF(AND(AND(YEAR(AC$3)=YEAR($B$7),MONTH(AC$3)=MONTH($B$7)),'Вводные'!$B$31="Капитализация в ПФ"),AB37,0),0)</x:f>
      </x:c>
      <x:c r="AD48" s="117">
        <x:f>IF(AND(AD$3&gt;=$B$7,AD$3&lt;$B$8),AC48*(1+AD41/12)+AD42+AD43+IF(AND(AND(YEAR(AD$3)=YEAR($B$7),MONTH(AD$3)=MONTH($B$7)),'Вводные'!$B$31="Капитализация в ПФ"),AC37,0),0)</x:f>
      </x:c>
      <x:c r="AE48" s="117">
        <x:f>IF(AND(AE$3&gt;=$B$7,AE$3&lt;$B$8),AD48*(1+AE41/12)+AE42+AE43+IF(AND(AND(YEAR(AE$3)=YEAR($B$7),MONTH(AE$3)=MONTH($B$7)),'Вводные'!$B$31="Капитализация в ПФ"),AD37,0),0)</x:f>
      </x:c>
      <x:c r="AF48" s="117">
        <x:f>IF(AND(AF$3&gt;=$B$7,AF$3&lt;$B$8),AE48*(1+AF41/12)+AF42+AF43+IF(AND(AND(YEAR(AF$3)=YEAR($B$7),MONTH(AF$3)=MONTH($B$7)),'Вводные'!$B$31="Капитализация в ПФ"),AE37,0),0)</x:f>
      </x:c>
      <x:c r="AG48" s="117">
        <x:f>IF(AND(AG$3&gt;=$B$7,AG$3&lt;$B$8),AF48*(1+AG41/12)+AG42+AG43+IF(AND(AND(YEAR(AG$3)=YEAR($B$7),MONTH(AG$3)=MONTH($B$7)),'Вводные'!$B$31="Капитализация в ПФ"),AF37,0),0)</x:f>
      </x:c>
      <x:c r="AH48" s="117">
        <x:f>IF(AND(AH$3&gt;=$B$7,AH$3&lt;$B$8),AG48*(1+AH41/12)+AH42+AH43+IF(AND(AND(YEAR(AH$3)=YEAR($B$7),MONTH(AH$3)=MONTH($B$7)),'Вводные'!$B$31="Капитализация в ПФ"),AG37,0),0)</x:f>
      </x:c>
      <x:c r="AI48" s="117">
        <x:f>IF(AND(AI$3&gt;=$B$7,AI$3&lt;$B$8),AH48*(1+AI41/12)+AI42+AI43+IF(AND(AND(YEAR(AI$3)=YEAR($B$7),MONTH(AI$3)=MONTH($B$7)),'Вводные'!$B$31="Капитализация в ПФ"),AH37,0),0)</x:f>
      </x:c>
      <x:c r="AJ48" s="117">
        <x:f>IF(AND(AJ$3&gt;=$B$7,AJ$3&lt;$B$8),AI48*(1+AJ41/12)+AJ42+AJ43+IF(AND(AND(YEAR(AJ$3)=YEAR($B$7),MONTH(AJ$3)=MONTH($B$7)),'Вводные'!$B$31="Капитализация в ПФ"),AI37,0),0)</x:f>
      </x:c>
      <x:c r="AK48" s="117">
        <x:f>IF(AND(AK$3&gt;=$B$7,AK$3&lt;$B$8),AJ48*(1+AK41/12)+AK42+AK43+IF(AND(AND(YEAR(AK$3)=YEAR($B$7),MONTH(AK$3)=MONTH($B$7)),'Вводные'!$B$31="Капитализация в ПФ"),AJ37,0),0)</x:f>
      </x:c>
      <x:c r="AL48" s="117">
        <x:f>IF(AND(AL$3&gt;=$B$7,AL$3&lt;$B$8),AK48*(1+AL41/12)+AL42+AL43+IF(AND(AND(YEAR(AL$3)=YEAR($B$7),MONTH(AL$3)=MONTH($B$7)),'Вводные'!$B$31="Капитализация в ПФ"),AK37,0),0)</x:f>
      </x:c>
      <x:c r="AM48" s="117">
        <x:f>IF(AND(AM$3&gt;=$B$7,AM$3&lt;$B$8),AL48*(1+AM41/12)+AM42+AM43+IF(AND(AND(YEAR(AM$3)=YEAR($B$7),MONTH(AM$3)=MONTH($B$7)),'Вводные'!$B$31="Капитализация в ПФ"),AL37,0),0)</x:f>
      </x:c>
      <x:c r="AN48" s="117">
        <x:f>IF(AND(AN$3&gt;=$B$7,AN$3&lt;$B$8),AM48*(1+AN41/12)+AN42+AN43+IF(AND(AND(YEAR(AN$3)=YEAR($B$7),MONTH(AN$3)=MONTH($B$7)),'Вводные'!$B$31="Капитализация в ПФ"),AM37,0),0)</x:f>
      </x:c>
      <x:c r="AO48" s="117">
        <x:f>IF(AND(AO$3&gt;=$B$7,AO$3&lt;$B$8),AN48*(1+AO41/12)+AO42+AO43+IF(AND(AND(YEAR(AO$3)=YEAR($B$7),MONTH(AO$3)=MONTH($B$7)),'Вводные'!$B$31="Капитализация в ПФ"),AN37,0),0)</x:f>
      </x:c>
      <x:c r="AP48" s="117">
        <x:f>IF(AND(AP$3&gt;=$B$7,AP$3&lt;$B$8),AO48*(1+AP41/12)+AP42+AP43+IF(AND(AND(YEAR(AP$3)=YEAR($B$7),MONTH(AP$3)=MONTH($B$7)),'Вводные'!$B$31="Капитализация в ПФ"),AO37,0),0)</x:f>
      </x:c>
      <x:c r="AQ48" s="117">
        <x:f>IF(AND(AQ$3&gt;=$B$7,AQ$3&lt;$B$8),AP48*(1+AQ41/12)+AQ42+AQ43+IF(AND(AND(YEAR(AQ$3)=YEAR($B$7),MONTH(AQ$3)=MONTH($B$7)),'Вводные'!$B$31="Капитализация в ПФ"),AP37,0),0)</x:f>
      </x:c>
      <x:c r="AR48" s="117">
        <x:f>IF(AND(AR$3&gt;=$B$7,AR$3&lt;$B$8),AQ48*(1+AR41/12)+AR42+AR43+IF(AND(AND(YEAR(AR$3)=YEAR($B$7),MONTH(AR$3)=MONTH($B$7)),'Вводные'!$B$31="Капитализация в ПФ"),AQ37,0),0)</x:f>
      </x:c>
      <x:c r="AS48" s="117">
        <x:f>IF(AND(AS$3&gt;=$B$7,AS$3&lt;$B$8),AR48*(1+AS41/12)+AS42+AS43+IF(AND(AND(YEAR(AS$3)=YEAR($B$7),MONTH(AS$3)=MONTH($B$7)),'Вводные'!$B$31="Капитализация в ПФ"),AR37,0),0)</x:f>
      </x:c>
      <x:c r="AT48" s="117">
        <x:f>IF(AND(AT$3&gt;=$B$7,AT$3&lt;$B$8),AS48*(1+AT41/12)+AT42+AT43+IF(AND(AND(YEAR(AT$3)=YEAR($B$7),MONTH(AT$3)=MONTH($B$7)),'Вводные'!$B$31="Капитализация в ПФ"),AS37,0),0)</x:f>
      </x:c>
      <x:c r="AU48" s="117">
        <x:f>IF(AND(AU$3&gt;=$B$7,AU$3&lt;$B$8),AT48*(1+AU41/12)+AU42+AU43+IF(AND(AND(YEAR(AU$3)=YEAR($B$7),MONTH(AU$3)=MONTH($B$7)),'Вводные'!$B$31="Капитализация в ПФ"),AT37,0),0)</x:f>
      </x:c>
      <x:c r="AV48" s="117">
        <x:f>IF(AND(AV$3&gt;=$B$7,AV$3&lt;$B$8),AU48*(1+AV41/12)+AV42+AV43+IF(AND(AND(YEAR(AV$3)=YEAR($B$7),MONTH(AV$3)=MONTH($B$7)),'Вводные'!$B$31="Капитализация в ПФ"),AU37,0),0)</x:f>
      </x:c>
      <x:c r="AW48" s="117">
        <x:f>IF(AND(AW$3&gt;=$B$7,AW$3&lt;$B$8),AV48*(1+AW41/12)+AW42+AW43+IF(AND(AND(YEAR(AW$3)=YEAR($B$7),MONTH(AW$3)=MONTH($B$7)),'Вводные'!$B$31="Капитализация в ПФ"),AV37,0),0)</x:f>
      </x:c>
      <x:c r="AX48" s="117">
        <x:f>IF(AND(AX$3&gt;=$B$7,AX$3&lt;$B$8),AW48*(1+AX41/12)+AX42+AX43+IF(AND(AND(YEAR(AX$3)=YEAR($B$7),MONTH(AX$3)=MONTH($B$7)),'Вводные'!$B$31="Капитализация в ПФ"),AW37,0),0)</x:f>
      </x:c>
      <x:c r="AY48" s="117">
        <x:f>IF(AND(AY$3&gt;=$B$7,AY$3&lt;$B$8),AX48*(1+AY41/12)+AY42+AY43+IF(AND(AND(YEAR(AY$3)=YEAR($B$7),MONTH(AY$3)=MONTH($B$7)),'Вводные'!$B$31="Капитализация в ПФ"),AX37,0),0)</x:f>
      </x:c>
      <x:c r="AZ48" s="117">
        <x:f>IF(AND(AZ$3&gt;=$B$7,AZ$3&lt;$B$8),AY48*(1+AZ41/12)+AZ42+AZ43+IF(AND(AND(YEAR(AZ$3)=YEAR($B$7),MONTH(AZ$3)=MONTH($B$7)),'Вводные'!$B$31="Капитализация в ПФ"),AY37,0),0)</x:f>
      </x:c>
      <x:c r="BA48" s="117">
        <x:f>IF(AND(BA$3&gt;=$B$7,BA$3&lt;$B$8),AZ48*(1+BA41/12)+BA42+BA43+IF(AND(AND(YEAR(BA$3)=YEAR($B$7),MONTH(BA$3)=MONTH($B$7)),'Вводные'!$B$31="Капитализация в ПФ"),AZ37,0),0)</x:f>
      </x:c>
      <x:c r="BB48" s="117">
        <x:f>IF(AND(BB$3&gt;=$B$7,BB$3&lt;$B$8),BA48*(1+BB41/12)+BB42+BB43+IF(AND(AND(YEAR(BB$3)=YEAR($B$7),MONTH(BB$3)=MONTH($B$7)),'Вводные'!$B$31="Капитализация в ПФ"),BA37,0),0)</x:f>
      </x:c>
      <x:c r="BC48" s="117">
        <x:f>IF(AND(BC$3&gt;=$B$7,BC$3&lt;$B$8),BB48*(1+BC41/12)+BC42+BC43+IF(AND(AND(YEAR(BC$3)=YEAR($B$7),MONTH(BC$3)=MONTH($B$7)),'Вводные'!$B$31="Капитализация в ПФ"),BB37,0),0)</x:f>
      </x:c>
      <x:c r="BD48" s="117">
        <x:f>IF(AND(BD$3&gt;=$B$7,BD$3&lt;$B$8),BC48*(1+BD41/12)+BD42+BD43+IF(AND(AND(YEAR(BD$3)=YEAR($B$7),MONTH(BD$3)=MONTH($B$7)),'Вводные'!$B$31="Капитализация в ПФ"),BC37,0),0)</x:f>
      </x:c>
      <x:c r="BE48" s="117">
        <x:f>IF(AND(BE$3&gt;=$B$7,BE$3&lt;$B$8),BD48*(1+BE41/12)+BE42+BE43+IF(AND(AND(YEAR(BE$3)=YEAR($B$7),MONTH(BE$3)=MONTH($B$7)),'Вводные'!$B$31="Капитализация в ПФ"),BD37,0),0)</x:f>
      </x:c>
      <x:c r="BF48" s="117">
        <x:f>IF(AND(BF$3&gt;=$B$7,BF$3&lt;$B$8),BE48*(1+BF41/12)+BF42+BF43+IF(AND(AND(YEAR(BF$3)=YEAR($B$7),MONTH(BF$3)=MONTH($B$7)),'Вводные'!$B$31="Капитализация в ПФ"),BE37,0),0)</x:f>
      </x:c>
      <x:c r="BG48" s="117">
        <x:f>IF(AND(BG$3&gt;=$B$7,BG$3&lt;$B$8),BF48*(1+BG41/12)+BG42+BG43+IF(AND(AND(YEAR(BG$3)=YEAR($B$7),MONTH(BG$3)=MONTH($B$7)),'Вводные'!$B$31="Капитализация в ПФ"),BF37,0),0)</x:f>
      </x:c>
      <x:c r="BH48" s="117">
        <x:f>IF(AND(BH$3&gt;=$B$7,BH$3&lt;$B$8),BG48*(1+BH41/12)+BH42+BH43+IF(AND(AND(YEAR(BH$3)=YEAR($B$7),MONTH(BH$3)=MONTH($B$7)),'Вводные'!$B$31="Капитализация в ПФ"),BG37,0),0)</x:f>
      </x:c>
      <x:c r="BI48" s="117">
        <x:f>IF(AND(BI$3&gt;=$B$7,BI$3&lt;$B$8),BH48*(1+BI41/12)+BI42+BI43+IF(AND(AND(YEAR(BI$3)=YEAR($B$7),MONTH(BI$3)=MONTH($B$7)),'Вводные'!$B$31="Капитализация в ПФ"),BH37,0),0)</x:f>
      </x:c>
      <x:c r="BJ48" s="117">
        <x:f>IF(AND(BJ$3&gt;=$B$7,BJ$3&lt;$B$8),BI48*(1+BJ41/12)+BJ42+BJ43+IF(AND(AND(YEAR(BJ$3)=YEAR($B$7),MONTH(BJ$3)=MONTH($B$7)),'Вводные'!$B$31="Капитализация в ПФ"),BI37,0),0)</x:f>
      </x:c>
      <x:c r="BK48" s="117">
        <x:f>IF(AND(BK$3&gt;=$B$7,BK$3&lt;$B$8),BJ48*(1+BK41/12)+BK42+BK43+IF(AND(AND(YEAR(BK$3)=YEAR($B$7),MONTH(BK$3)=MONTH($B$7)),'Вводные'!$B$31="Капитализация в ПФ"),BJ37,0),0)</x:f>
      </x:c>
      <x:c r="BL48" s="117">
        <x:f>IF(AND(BL$3&gt;=$B$7,BL$3&lt;$B$8),BK48*(1+BL41/12)+BL42+BL43+IF(AND(AND(YEAR(BL$3)=YEAR($B$7),MONTH(BL$3)=MONTH($B$7)),'Вводные'!$B$31="Капитализация в ПФ"),BK37,0),0)</x:f>
      </x:c>
      <x:c r="BM48" s="117">
        <x:f>IF(AND(BM$3&gt;=$B$7,BM$3&lt;$B$8),BL48*(1+BM41/12)+BM42+BM43+IF(AND(AND(YEAR(BM$3)=YEAR($B$7),MONTH(BM$3)=MONTH($B$7)),'Вводные'!$B$31="Капитализация в ПФ"),BL37,0),0)</x:f>
      </x:c>
      <x:c r="BN48" s="117">
        <x:f>IF(AND(BN$3&gt;=$B$7,BN$3&lt;$B$8),BM48*(1+BN41/12)+BN42+BN43+IF(AND(AND(YEAR(BN$3)=YEAR($B$7),MONTH(BN$3)=MONTH($B$7)),'Вводные'!$B$31="Капитализация в ПФ"),BM37,0),0)</x:f>
      </x:c>
      <x:c r="BO48" s="117">
        <x:f>IF(AND(BO$3&gt;=$B$7,BO$3&lt;$B$8),BN48*(1+BO41/12)+BO42+BO43+IF(AND(AND(YEAR(BO$3)=YEAR($B$7),MONTH(BO$3)=MONTH($B$7)),'Вводные'!$B$31="Капитализация в ПФ"),BN37,0),0)</x:f>
      </x:c>
      <x:c r="BP48" s="117">
        <x:f>IF(AND(BP$3&gt;=$B$7,BP$3&lt;$B$8),BO48*(1+BP41/12)+BP42+BP43+IF(AND(AND(YEAR(BP$3)=YEAR($B$7),MONTH(BP$3)=MONTH($B$7)),'Вводные'!$B$31="Капитализация в ПФ"),BO37,0),0)</x:f>
      </x:c>
      <x:c r="BQ48" s="117">
        <x:f>IF(AND(BQ$3&gt;=$B$7,BQ$3&lt;$B$8),BP48*(1+BQ41/12)+BQ42+BQ43+IF(AND(AND(YEAR(BQ$3)=YEAR($B$7),MONTH(BQ$3)=MONTH($B$7)),'Вводные'!$B$31="Капитализация в ПФ"),BP37,0),0)</x:f>
      </x:c>
      <x:c r="BR48" s="117">
        <x:f>IF(AND(BR$3&gt;=$B$7,BR$3&lt;$B$8),BQ48*(1+BR41/12)+BR42+BR43+IF(AND(AND(YEAR(BR$3)=YEAR($B$7),MONTH(BR$3)=MONTH($B$7)),'Вводные'!$B$31="Капитализация в ПФ"),BQ37,0),0)</x:f>
      </x:c>
      <x:c r="BS48" s="117">
        <x:f>IF(AND(BS$3&gt;=$B$7,BS$3&lt;$B$8),BR48*(1+BS41/12)+BS42+BS43+IF(AND(AND(YEAR(BS$3)=YEAR($B$7),MONTH(BS$3)=MONTH($B$7)),'Вводные'!$B$31="Капитализация в ПФ"),BR37,0),0)</x:f>
      </x:c>
      <x:c r="BT48" s="117">
        <x:f>IF(AND(BT$3&gt;=$B$7,BT$3&lt;$B$8),BS48*(1+BT41/12)+BT42+BT43+IF(AND(AND(YEAR(BT$3)=YEAR($B$7),MONTH(BT$3)=MONTH($B$7)),'Вводные'!$B$31="Капитализация в ПФ"),BS37,0),0)</x:f>
      </x:c>
      <x:c r="BU48" s="117">
        <x:f>IF(AND(BU$3&gt;=$B$7,BU$3&lt;$B$8),BT48*(1+BU41/12)+BU42+BU43+IF(AND(AND(YEAR(BU$3)=YEAR($B$7),MONTH(BU$3)=MONTH($B$7)),'Вводные'!$B$31="Капитализация в ПФ"),BT37,0),0)</x:f>
      </x:c>
      <x:c r="BV48" s="117">
        <x:f>IF(AND(BV$3&gt;=$B$7,BV$3&lt;$B$8),BU48*(1+BV41/12)+BV42+BV43+IF(AND(AND(YEAR(BV$3)=YEAR($B$7),MONTH(BV$3)=MONTH($B$7)),'Вводные'!$B$31="Капитализация в ПФ"),BU37,0),0)</x:f>
      </x:c>
      <x:c r="BW48" s="117">
        <x:f>IF(AND(BW$3&gt;=$B$7,BW$3&lt;$B$8),BV48*(1+BW41/12)+BW42+BW43+IF(AND(AND(YEAR(BW$3)=YEAR($B$7),MONTH(BW$3)=MONTH($B$7)),'Вводные'!$B$31="Капитализация в ПФ"),BV37,0),0)</x:f>
      </x:c>
      <x:c r="BX48" s="117">
        <x:f>IF(AND(BX$3&gt;=$B$7,BX$3&lt;$B$8),BW48*(1+BX41/12)+BX42+BX43+IF(AND(AND(YEAR(BX$3)=YEAR($B$7),MONTH(BX$3)=MONTH($B$7)),'Вводные'!$B$31="Капитализация в ПФ"),BW37,0),0)</x:f>
      </x:c>
      <x:c r="BY48" s="117">
        <x:f>IF(AND(BY$3&gt;=$B$7,BY$3&lt;$B$8),BX48*(1+BY41/12)+BY42+BY43+IF(AND(AND(YEAR(BY$3)=YEAR($B$7),MONTH(BY$3)=MONTH($B$7)),'Вводные'!$B$31="Капитализация в ПФ"),BX37,0),0)</x:f>
      </x:c>
      <x:c r="BZ48" s="117">
        <x:f>IF(AND(BZ$3&gt;=$B$7,BZ$3&lt;$B$8),BY48*(1+BZ41/12)+BZ42+BZ43+IF(AND(AND(YEAR(BZ$3)=YEAR($B$7),MONTH(BZ$3)=MONTH($B$7)),'Вводные'!$B$31="Капитализация в ПФ"),BY37,0),0)</x:f>
      </x:c>
      <x:c r="CA48" s="117">
        <x:f>IF(AND(CA$3&gt;=$B$7,CA$3&lt;$B$8),BZ48*(1+CA41/12)+CA42+CA43+IF(AND(AND(YEAR(CA$3)=YEAR($B$7),MONTH(CA$3)=MONTH($B$7)),'Вводные'!$B$31="Капитализация в ПФ"),BZ37,0),0)</x:f>
      </x:c>
      <x:c r="CB48" s="117">
        <x:f>IF(AND(CB$3&gt;=$B$7,CB$3&lt;$B$8),CA48*(1+CB41/12)+CB42+CB43+IF(AND(AND(YEAR(CB$3)=YEAR($B$7),MONTH(CB$3)=MONTH($B$7)),'Вводные'!$B$31="Капитализация в ПФ"),CA37,0),0)</x:f>
      </x:c>
      <x:c r="CC48" s="117">
        <x:f>IF(AND(CC$3&gt;=$B$7,CC$3&lt;$B$8),CB48*(1+CC41/12)+CC42+CC43+IF(AND(AND(YEAR(CC$3)=YEAR($B$7),MONTH(CC$3)=MONTH($B$7)),'Вводные'!$B$31="Капитализация в ПФ"),CB37,0),0)</x:f>
      </x:c>
      <x:c r="CD48" s="117">
        <x:f>IF(AND(CD$3&gt;=$B$7,CD$3&lt;$B$8),CC48*(1+CD41/12)+CD42+CD43+IF(AND(AND(YEAR(CD$3)=YEAR($B$7),MONTH(CD$3)=MONTH($B$7)),'Вводные'!$B$31="Капитализация в ПФ"),CC37,0),0)</x:f>
      </x:c>
      <x:c r="CE48" s="117">
        <x:f>IF(AND(CE$3&gt;=$B$7,CE$3&lt;$B$8),CD48*(1+CE41/12)+CE42+CE43+IF(AND(AND(YEAR(CE$3)=YEAR($B$7),MONTH(CE$3)=MONTH($B$7)),'Вводные'!$B$31="Капитализация в ПФ"),CD37,0),0)</x:f>
      </x:c>
      <x:c r="CF48" s="117">
        <x:f>IF(AND(CF$3&gt;=$B$7,CF$3&lt;$B$8),CE48*(1+CF41/12)+CF42+CF43+IF(AND(AND(YEAR(CF$3)=YEAR($B$7),MONTH(CF$3)=MONTH($B$7)),'Вводные'!$B$31="Капитализация в ПФ"),CE37,0),0)</x:f>
      </x:c>
      <x:c r="CG48" s="117">
        <x:f>IF(AND(CG$3&gt;=$B$7,CG$3&lt;$B$8),CF48*(1+CG41/12)+CG42+CG43+IF(AND(AND(YEAR(CG$3)=YEAR($B$7),MONTH(CG$3)=MONTH($B$7)),'Вводные'!$B$31="Капитализация в ПФ"),CF37,0),0)</x:f>
      </x:c>
      <x:c r="CH48" s="117">
        <x:f>IF(AND(CH$3&gt;=$B$7,CH$3&lt;$B$8),CG48*(1+CH41/12)+CH42+CH43+IF(AND(AND(YEAR(CH$3)=YEAR($B$7),MONTH(CH$3)=MONTH($B$7)),'Вводные'!$B$31="Капитализация в ПФ"),CG37,0),0)</x:f>
      </x:c>
      <x:c r="CI48" s="117">
        <x:f>IF(AND(CI$3&gt;=$B$7,CI$3&lt;$B$8),CH48*(1+CI41/12)+CI42+CI43+IF(AND(AND(YEAR(CI$3)=YEAR($B$7),MONTH(CI$3)=MONTH($B$7)),'Вводные'!$B$31="Капитализация в ПФ"),CH37,0),0)</x:f>
      </x:c>
      <x:c r="CJ48" s="117">
        <x:f>IF(AND(CJ$3&gt;=$B$7,CJ$3&lt;$B$8),CI48*(1+CJ41/12)+CJ42+CJ43+IF(AND(AND(YEAR(CJ$3)=YEAR($B$7),MONTH(CJ$3)=MONTH($B$7)),'Вводные'!$B$31="Капитализация в ПФ"),CI37,0),0)</x:f>
      </x:c>
      <x:c r="CK48" s="117">
        <x:f>IF(AND(CK$3&gt;=$B$7,CK$3&lt;$B$8),CJ48*(1+CK41/12)+CK42+CK43+IF(AND(AND(YEAR(CK$3)=YEAR($B$7),MONTH(CK$3)=MONTH($B$7)),'Вводные'!$B$31="Капитализация в ПФ"),CJ37,0),0)</x:f>
      </x:c>
      <x:c r="CL48" s="117">
        <x:f>IF(AND(CL$3&gt;=$B$7,CL$3&lt;$B$8),CK48*(1+CL41/12)+CL42+CL43+IF(AND(AND(YEAR(CL$3)=YEAR($B$7),MONTH(CL$3)=MONTH($B$7)),'Вводные'!$B$31="Капитализация в ПФ"),CK37,0),0)</x:f>
      </x:c>
      <x:c r="CM48" s="117">
        <x:f>IF(AND(CM$3&gt;=$B$7,CM$3&lt;$B$8),CL48*(1+CM41/12)+CM42+CM43+IF(AND(AND(YEAR(CM$3)=YEAR($B$7),MONTH(CM$3)=MONTH($B$7)),'Вводные'!$B$31="Капитализация в ПФ"),CL37,0),0)</x:f>
      </x:c>
      <x:c r="CN48" s="117">
        <x:f>IF(AND(CN$3&gt;=$B$7,CN$3&lt;$B$8),CM48*(1+CN41/12)+CN42+CN43+IF(AND(AND(YEAR(CN$3)=YEAR($B$7),MONTH(CN$3)=MONTH($B$7)),'Вводные'!$B$31="Капитализация в ПФ"),CM37,0),0)</x:f>
      </x:c>
      <x:c r="CO48" s="117">
        <x:f>IF(AND(CO$3&gt;=$B$7,CO$3&lt;$B$8),CN48*(1+CO41/12)+CO42+CO43+IF(AND(AND(YEAR(CO$3)=YEAR($B$7),MONTH(CO$3)=MONTH($B$7)),'Вводные'!$B$31="Капитализация в ПФ"),CN37,0),0)</x:f>
      </x:c>
      <x:c r="CP48" s="117">
        <x:f>IF(AND(CP$3&gt;=$B$7,CP$3&lt;$B$8),CO48*(1+CP41/12)+CP42+CP43+IF(AND(AND(YEAR(CP$3)=YEAR($B$7),MONTH(CP$3)=MONTH($B$7)),'Вводные'!$B$31="Капитализация в ПФ"),CO37,0),0)</x:f>
      </x:c>
      <x:c r="CQ48" s="117">
        <x:f>IF(AND(CQ$3&gt;=$B$7,CQ$3&lt;$B$8),CP48*(1+CQ41/12)+CQ42+CQ43+IF(AND(AND(YEAR(CQ$3)=YEAR($B$7),MONTH(CQ$3)=MONTH($B$7)),'Вводные'!$B$31="Капитализация в ПФ"),CP37,0),0)</x:f>
      </x:c>
      <x:c r="CR48" s="117">
        <x:f>IF(AND(CR$3&gt;=$B$7,CR$3&lt;$B$8),CQ48*(1+CR41/12)+CR42+CR43+IF(AND(AND(YEAR(CR$3)=YEAR($B$7),MONTH(CR$3)=MONTH($B$7)),'Вводные'!$B$31="Капитализация в ПФ"),CQ37,0),0)</x:f>
      </x:c>
      <x:c r="CS48" s="117">
        <x:f>IF(AND(CS$3&gt;=$B$7,CS$3&lt;$B$8),CR48*(1+CS41/12)+CS42+CS43+IF(AND(AND(YEAR(CS$3)=YEAR($B$7),MONTH(CS$3)=MONTH($B$7)),'Вводные'!$B$31="Капитализация в ПФ"),CR37,0),0)</x:f>
      </x:c>
      <x:c r="CT48" s="117">
        <x:f>IF(AND(CT$3&gt;=$B$7,CT$3&lt;$B$8),CS48*(1+CT41/12)+CT42+CT43+IF(AND(AND(YEAR(CT$3)=YEAR($B$7),MONTH(CT$3)=MONTH($B$7)),'Вводные'!$B$31="Капитализация в ПФ"),CS37,0),0)</x:f>
      </x:c>
      <x:c r="CU48" s="117">
        <x:f>IF(AND(CU$3&gt;=$B$7,CU$3&lt;$B$8),CT48*(1+CU41/12)+CU42+CU43+IF(AND(AND(YEAR(CU$3)=YEAR($B$7),MONTH(CU$3)=MONTH($B$7)),'Вводные'!$B$31="Капитализация в ПФ"),CT37,0),0)</x:f>
      </x:c>
      <x:c r="CV48" s="117">
        <x:f>IF(AND(CV$3&gt;=$B$7,CV$3&lt;$B$8),CU48*(1+CV41/12)+CV42+CV43+IF(AND(AND(YEAR(CV$3)=YEAR($B$7),MONTH(CV$3)=MONTH($B$7)),'Вводные'!$B$31="Капитализация в ПФ"),CU37,0),0)</x:f>
      </x:c>
      <x:c r="CW48" s="117">
        <x:f>IF(AND(CW$3&gt;=$B$7,CW$3&lt;$B$8),CV48*(1+CW41/12)+CW42+CW43+IF(AND(AND(YEAR(CW$3)=YEAR($B$7),MONTH(CW$3)=MONTH($B$7)),'Вводные'!$B$31="Капитализация в ПФ"),CV37,0),0)</x:f>
      </x:c>
      <x:c r="CX48" s="117">
        <x:f>IF(AND(CX$3&gt;=$B$7,CX$3&lt;$B$8),CW48*(1+CX41/12)+CX42+CX43+IF(AND(AND(YEAR(CX$3)=YEAR($B$7),MONTH(CX$3)=MONTH($B$7)),'Вводные'!$B$31="Капитализация в ПФ"),CW37,0),0)</x:f>
      </x:c>
      <x:c r="CY48" s="117">
        <x:f>IF(AND(CY$3&gt;=$B$7,CY$3&lt;$B$8),CX48*(1+CY41/12)+CY42+CY43+IF(AND(AND(YEAR(CY$3)=YEAR($B$7),MONTH(CY$3)=MONTH($B$7)),'Вводные'!$B$31="Капитализация в ПФ"),CX37,0),0)</x:f>
      </x:c>
      <x:c r="CZ48" s="117">
        <x:f>IF(AND(CZ$3&gt;=$B$7,CZ$3&lt;$B$8),CY48*(1+CZ41/12)+CZ42+CZ43+IF(AND(AND(YEAR(CZ$3)=YEAR($B$7),MONTH(CZ$3)=MONTH($B$7)),'Вводные'!$B$31="Капитализация в ПФ"),CY37,0),0)</x:f>
      </x:c>
      <x:c r="DA48" s="117">
        <x:f>IF(AND(DA$3&gt;=$B$7,DA$3&lt;$B$8),CZ48*(1+DA41/12)+DA42+DA43+IF(AND(AND(YEAR(DA$3)=YEAR($B$7),MONTH(DA$3)=MONTH($B$7)),'Вводные'!$B$31="Капитализация в ПФ"),CZ37,0),0)</x:f>
      </x:c>
      <x:c r="DB48" s="117">
        <x:f>IF(AND(DB$3&gt;=$B$7,DB$3&lt;$B$8),DA48*(1+DB41/12)+DB42+DB43+IF(AND(AND(YEAR(DB$3)=YEAR($B$7),MONTH(DB$3)=MONTH($B$7)),'Вводные'!$B$31="Капитализация в ПФ"),DA37,0),0)</x:f>
      </x:c>
      <x:c r="DC48" s="117">
        <x:f>IF(AND(DC$3&gt;=$B$7,DC$3&lt;$B$8),DB48*(1+DC41/12)+DC42+DC43+IF(AND(AND(YEAR(DC$3)=YEAR($B$7),MONTH(DC$3)=MONTH($B$7)),'Вводные'!$B$31="Капитализация в ПФ"),DB37,0),0)</x:f>
      </x:c>
      <x:c r="DD48" s="117">
        <x:f>IF(AND(DD$3&gt;=$B$7,DD$3&lt;$B$8),DC48*(1+DD41/12)+DD42+DD43+IF(AND(AND(YEAR(DD$3)=YEAR($B$7),MONTH(DD$3)=MONTH($B$7)),'Вводные'!$B$31="Капитализация в ПФ"),DC37,0),0)</x:f>
      </x:c>
      <x:c r="DE48" s="117">
        <x:f>IF(AND(DE$3&gt;=$B$7,DE$3&lt;$B$8),DD48*(1+DE41/12)+DE42+DE43+IF(AND(AND(YEAR(DE$3)=YEAR($B$7),MONTH(DE$3)=MONTH($B$7)),'Вводные'!$B$31="Капитализация в ПФ"),DD37,0),0)</x:f>
      </x:c>
      <x:c r="DF48" s="117">
        <x:f>IF(AND(DF$3&gt;=$B$7,DF$3&lt;$B$8),DE48*(1+DF41/12)+DF42+DF43+IF(AND(AND(YEAR(DF$3)=YEAR($B$7),MONTH(DF$3)=MONTH($B$7)),'Вводные'!$B$31="Капитализация в ПФ"),DE37,0),0)</x:f>
      </x:c>
      <x:c r="DG48" s="117">
        <x:f>IF(AND(DG$3&gt;=$B$7,DG$3&lt;$B$8),DF48*(1+DG41/12)+DG42+DG43+IF(AND(AND(YEAR(DG$3)=YEAR($B$7),MONTH(DG$3)=MONTH($B$7)),'Вводные'!$B$31="Капитализация в ПФ"),DF37,0),0)</x:f>
      </x:c>
      <x:c r="DH48" s="117">
        <x:f>IF(AND(DH$3&gt;=$B$7,DH$3&lt;$B$8),DG48*(1+DH41/12)+DH42+DH43+IF(AND(AND(YEAR(DH$3)=YEAR($B$7),MONTH(DH$3)=MONTH($B$7)),'Вводные'!$B$31="Капитализация в ПФ"),DG37,0),0)</x:f>
      </x:c>
      <x:c r="DI48" s="117">
        <x:f>IF(AND(DI$3&gt;=$B$7,DI$3&lt;$B$8),DH48*(1+DI41/12)+DI42+DI43+IF(AND(AND(YEAR(DI$3)=YEAR($B$7),MONTH(DI$3)=MONTH($B$7)),'Вводные'!$B$31="Капитализация в ПФ"),DH37,0),0)</x:f>
      </x:c>
      <x:c r="DJ48" s="117">
        <x:f>IF(AND(DJ$3&gt;=$B$7,DJ$3&lt;$B$8),DI48*(1+DJ41/12)+DJ42+DJ43+IF(AND(AND(YEAR(DJ$3)=YEAR($B$7),MONTH(DJ$3)=MONTH($B$7)),'Вводные'!$B$31="Капитализация в ПФ"),DI37,0),0)</x:f>
      </x:c>
      <x:c r="DK48" s="117">
        <x:f>IF(AND(DK$3&gt;=$B$7,DK$3&lt;$B$8),DJ48*(1+DK41/12)+DK42+DK43+IF(AND(AND(YEAR(DK$3)=YEAR($B$7),MONTH(DK$3)=MONTH($B$7)),'Вводные'!$B$31="Капитализация в ПФ"),DJ37,0),0)</x:f>
      </x:c>
      <x:c r="DL48" s="117">
        <x:f>IF(AND(DL$3&gt;=$B$7,DL$3&lt;$B$8),DK48*(1+DL41/12)+DL42+DL43+IF(AND(AND(YEAR(DL$3)=YEAR($B$7),MONTH(DL$3)=MONTH($B$7)),'Вводные'!$B$31="Капитализация в ПФ"),DK37,0),0)</x:f>
      </x:c>
      <x:c r="DM48" s="117">
        <x:f>IF(AND(DM$3&gt;=$B$7,DM$3&lt;$B$8),DL48*(1+DM41/12)+DM42+DM43+IF(AND(AND(YEAR(DM$3)=YEAR($B$7),MONTH(DM$3)=MONTH($B$7)),'Вводные'!$B$31="Капитализация в ПФ"),DL37,0),0)</x:f>
      </x:c>
      <x:c r="DN48" s="117">
        <x:f>IF(AND(DN$3&gt;=$B$7,DN$3&lt;$B$8),DM48*(1+DN41/12)+DN42+DN43+IF(AND(AND(YEAR(DN$3)=YEAR($B$7),MONTH(DN$3)=MONTH($B$7)),'Вводные'!$B$31="Капитализация в ПФ"),DM37,0),0)</x:f>
      </x:c>
      <x:c r="DO48" s="117">
        <x:f>IF(AND(DO$3&gt;=$B$7,DO$3&lt;$B$8),DN48*(1+DO41/12)+DO42+DO43+IF(AND(AND(YEAR(DO$3)=YEAR($B$7),MONTH(DO$3)=MONTH($B$7)),'Вводные'!$B$31="Капитализация в ПФ"),DN37,0),0)</x:f>
      </x:c>
      <x:c r="DP48" s="117">
        <x:f>IF(AND(DP$3&gt;=$B$7,DP$3&lt;$B$8),DO48*(1+DP41/12)+DP42+DP43+IF(AND(AND(YEAR(DP$3)=YEAR($B$7),MONTH(DP$3)=MONTH($B$7)),'Вводные'!$B$31="Капитализация в ПФ"),DO37,0),0)</x:f>
      </x:c>
      <x:c r="DQ48" s="117">
        <x:f>IF(AND(DQ$3&gt;=$B$7,DQ$3&lt;$B$8),DP48*(1+DQ41/12)+DQ42+DQ43+IF(AND(AND(YEAR(DQ$3)=YEAR($B$7),MONTH(DQ$3)=MONTH($B$7)),'Вводные'!$B$31="Капитализация в ПФ"),DP37,0),0)</x:f>
      </x:c>
      <x:c r="DR48" s="117">
        <x:f>IF(AND(DR$3&gt;=$B$7,DR$3&lt;$B$8),DQ48*(1+DR41/12)+DR42+DR43+IF(AND(AND(YEAR(DR$3)=YEAR($B$7),MONTH(DR$3)=MONTH($B$7)),'Вводные'!$B$31="Капитализация в ПФ"),DQ37,0),0)</x:f>
      </x:c>
      <x:c r="DS48" s="117">
        <x:f>IF(AND(DS$3&gt;=$B$7,DS$3&lt;$B$8),DR48*(1+DS41/12)+DS42+DS43+IF(AND(AND(YEAR(DS$3)=YEAR($B$7),MONTH(DS$3)=MONTH($B$7)),'Вводные'!$B$31="Капитализация в ПФ"),DR37,0),0)</x:f>
      </x:c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>
        <x:f>MAX(0,D20+D24+D53+D57+D35+D46-D27-D34-D45)</x:f>
      </x:c>
      <x:c r="E49" s="117">
        <x:f>MAX(0,E20+E24+E53+E57+E35+E46-E27-E34-E45)</x:f>
      </x:c>
      <x:c r="F49" s="117">
        <x:f>MAX(0,F20+F24+F53+F57+F35+F46-F27-F34-F45)</x:f>
      </x:c>
      <x:c r="G49" s="117">
        <x:f>MAX(0,G20+G24+G53+G57+G35+G46-G27-G34-G45)</x:f>
      </x:c>
      <x:c r="H49" s="117">
        <x:f>MAX(0,H20+H24+H53+H57+H35+H46-H27-H34-H45)</x:f>
      </x:c>
      <x:c r="I49" s="117">
        <x:f>MAX(0,I20+I24+I53+I57+I35+I46-I27-I34-I45)</x:f>
      </x:c>
      <x:c r="J49" s="117">
        <x:f>MAX(0,J20+J24+J53+J57+J35+J46-J27-J34-J45)</x:f>
      </x:c>
      <x:c r="K49" s="117">
        <x:f>MAX(0,K20+K24+K53+K57+K35+K46-K27-K34-K45)</x:f>
      </x:c>
      <x:c r="L49" s="117">
        <x:f>MAX(0,L20+L24+L53+L57+L35+L46-L27-L34-L45)</x:f>
      </x:c>
      <x:c r="M49" s="117">
        <x:f>MAX(0,M20+M24+M53+M57+M35+M46-M27-M34-M45)</x:f>
      </x:c>
      <x:c r="N49" s="117">
        <x:f>MAX(0,N20+N24+N53+N57+N35+N46-N27-N34-N45)</x:f>
      </x:c>
      <x:c r="O49" s="117">
        <x:f>MAX(0,O20+O24+O53+O57+O35+O46-O27-O34-O45)</x:f>
      </x:c>
      <x:c r="P49" s="117">
        <x:f>MAX(0,P20+P24+P53+P57+P35+P46-P27-P34-P45)</x:f>
      </x:c>
      <x:c r="Q49" s="117">
        <x:f>MAX(0,Q20+Q24+Q53+Q57+Q35+Q46-Q27-Q34-Q45)</x:f>
      </x:c>
      <x:c r="R49" s="117">
        <x:f>MAX(0,R20+R24+R53+R57+R35+R46-R27-R34-R45)</x:f>
      </x:c>
      <x:c r="S49" s="117">
        <x:f>MAX(0,S20+S24+S53+S57+S35+S46-S27-S34-S45)</x:f>
      </x:c>
      <x:c r="T49" s="117">
        <x:f>MAX(0,T20+T24+T53+T57+T35+T46-T27-T34-T45)</x:f>
      </x:c>
      <x:c r="U49" s="117">
        <x:f>MAX(0,U20+U24+U53+U57+U35+U46-U27-U34-U45)</x:f>
      </x:c>
      <x:c r="V49" s="117">
        <x:f>MAX(0,V20+V24+V53+V57+V35+V46-V27-V34-V45)</x:f>
      </x:c>
      <x:c r="W49" s="117">
        <x:f>MAX(0,W20+W24+W53+W57+W35+W46-W27-W34-W45)</x:f>
      </x:c>
      <x:c r="X49" s="117">
        <x:f>MAX(0,X20+X24+X53+X57+X35+X46-X27-X34-X45)</x:f>
      </x:c>
      <x:c r="Y49" s="117">
        <x:f>MAX(0,Y20+Y24+Y53+Y57+Y35+Y46-Y27-Y34-Y45)</x:f>
      </x:c>
      <x:c r="Z49" s="117">
        <x:f>MAX(0,Z20+Z24+Z53+Z57+Z35+Z46-Z27-Z34-Z45)</x:f>
      </x:c>
      <x:c r="AA49" s="117">
        <x:f>MAX(0,AA20+AA24+AA53+AA57+AA35+AA46-AA27-AA34-AA45)</x:f>
      </x:c>
      <x:c r="AB49" s="117">
        <x:f>MAX(0,AB20+AB24+AB53+AB57+AB35+AB46-AB27-AB34-AB45)</x:f>
      </x:c>
      <x:c r="AC49" s="117">
        <x:f>MAX(0,AC20+AC24+AC53+AC57+AC35+AC46-AC27-AC34-AC45)</x:f>
      </x:c>
      <x:c r="AD49" s="117">
        <x:f>MAX(0,AD20+AD24+AD53+AD57+AD35+AD46-AD27-AD34-AD45)</x:f>
      </x:c>
      <x:c r="AE49" s="117">
        <x:f>MAX(0,AE20+AE24+AE53+AE57+AE35+AE46-AE27-AE34-AE45)</x:f>
      </x:c>
      <x:c r="AF49" s="117">
        <x:f>MAX(0,AF20+AF24+AF53+AF57+AF35+AF46-AF27-AF34-AF45)</x:f>
      </x:c>
      <x:c r="AG49" s="117">
        <x:f>MAX(0,AG20+AG24+AG53+AG57+AG35+AG46-AG27-AG34-AG45)</x:f>
      </x:c>
      <x:c r="AH49" s="117">
        <x:f>MAX(0,AH20+AH24+AH53+AH57+AH35+AH46-AH27-AH34-AH45)</x:f>
      </x:c>
      <x:c r="AI49" s="117">
        <x:f>MAX(0,AI20+AI24+AI53+AI57+AI35+AI46-AI27-AI34-AI45)</x:f>
      </x:c>
      <x:c r="AJ49" s="117">
        <x:f>MAX(0,AJ20+AJ24+AJ53+AJ57+AJ35+AJ46-AJ27-AJ34-AJ45)</x:f>
      </x:c>
      <x:c r="AK49" s="117">
        <x:f>MAX(0,AK20+AK24+AK53+AK57+AK35+AK46-AK27-AK34-AK45)</x:f>
      </x:c>
      <x:c r="AL49" s="117">
        <x:f>MAX(0,AL20+AL24+AL53+AL57+AL35+AL46-AL27-AL34-AL45)</x:f>
      </x:c>
      <x:c r="AM49" s="117">
        <x:f>MAX(0,AM20+AM24+AM53+AM57+AM35+AM46-AM27-AM34-AM45)</x:f>
      </x:c>
      <x:c r="AN49" s="117">
        <x:f>MAX(0,AN20+AN24+AN53+AN57+AN35+AN46-AN27-AN34-AN45)</x:f>
      </x:c>
      <x:c r="AO49" s="117">
        <x:f>MAX(0,AO20+AO24+AO53+AO57+AO35+AO46-AO27-AO34-AO45)</x:f>
      </x:c>
      <x:c r="AP49" s="117">
        <x:f>MAX(0,AP20+AP24+AP53+AP57+AP35+AP46-AP27-AP34-AP45)</x:f>
      </x:c>
      <x:c r="AQ49" s="117">
        <x:f>MAX(0,AQ20+AQ24+AQ53+AQ57+AQ35+AQ46-AQ27-AQ34-AQ45)</x:f>
      </x:c>
      <x:c r="AR49" s="117">
        <x:f>MAX(0,AR20+AR24+AR53+AR57+AR35+AR46-AR27-AR34-AR45)</x:f>
      </x:c>
      <x:c r="AS49" s="117">
        <x:f>MAX(0,AS20+AS24+AS53+AS57+AS35+AS46-AS27-AS34-AS45)</x:f>
      </x:c>
      <x:c r="AT49" s="117">
        <x:f>MAX(0,AT20+AT24+AT53+AT57+AT35+AT46-AT27-AT34-AT45)</x:f>
      </x:c>
      <x:c r="AU49" s="117">
        <x:f>MAX(0,AU20+AU24+AU53+AU57+AU35+AU46-AU27-AU34-AU45)</x:f>
      </x:c>
      <x:c r="AV49" s="117">
        <x:f>MAX(0,AV20+AV24+AV53+AV57+AV35+AV46-AV27-AV34-AV45)</x:f>
      </x:c>
      <x:c r="AW49" s="117">
        <x:f>MAX(0,AW20+AW24+AW53+AW57+AW35+AW46-AW27-AW34-AW45)</x:f>
      </x:c>
      <x:c r="AX49" s="117">
        <x:f>MAX(0,AX20+AX24+AX53+AX57+AX35+AX46-AX27-AX34-AX45)</x:f>
      </x:c>
      <x:c r="AY49" s="117">
        <x:f>MAX(0,AY20+AY24+AY53+AY57+AY35+AY46-AY27-AY34-AY45)</x:f>
      </x:c>
      <x:c r="AZ49" s="117">
        <x:f>MAX(0,AZ20+AZ24+AZ53+AZ57+AZ35+AZ46-AZ27-AZ34-AZ45)</x:f>
      </x:c>
      <x:c r="BA49" s="117">
        <x:f>MAX(0,BA20+BA24+BA53+BA57+BA35+BA46-BA27-BA34-BA45)</x:f>
      </x:c>
      <x:c r="BB49" s="117">
        <x:f>MAX(0,BB20+BB24+BB53+BB57+BB35+BB46-BB27-BB34-BB45)</x:f>
      </x:c>
      <x:c r="BC49" s="117">
        <x:f>MAX(0,BC20+BC24+BC53+BC57+BC35+BC46-BC27-BC34-BC45)</x:f>
      </x:c>
      <x:c r="BD49" s="117">
        <x:f>MAX(0,BD20+BD24+BD53+BD57+BD35+BD46-BD27-BD34-BD45)</x:f>
      </x:c>
      <x:c r="BE49" s="117">
        <x:f>MAX(0,BE20+BE24+BE53+BE57+BE35+BE46-BE27-BE34-BE45)</x:f>
      </x:c>
      <x:c r="BF49" s="117">
        <x:f>MAX(0,BF20+BF24+BF53+BF57+BF35+BF46-BF27-BF34-BF45)</x:f>
      </x:c>
      <x:c r="BG49" s="117">
        <x:f>MAX(0,BG20+BG24+BG53+BG57+BG35+BG46-BG27-BG34-BG45)</x:f>
      </x:c>
      <x:c r="BH49" s="117">
        <x:f>MAX(0,BH20+BH24+BH53+BH57+BH35+BH46-BH27-BH34-BH45)</x:f>
      </x:c>
      <x:c r="BI49" s="117">
        <x:f>MAX(0,BI20+BI24+BI53+BI57+BI35+BI46-BI27-BI34-BI45)</x:f>
      </x:c>
      <x:c r="BJ49" s="117">
        <x:f>MAX(0,BJ20+BJ24+BJ53+BJ57+BJ35+BJ46-BJ27-BJ34-BJ45)</x:f>
      </x:c>
      <x:c r="BK49" s="117">
        <x:f>MAX(0,BK20+BK24+BK53+BK57+BK35+BK46-BK27-BK34-BK45)</x:f>
      </x:c>
      <x:c r="BL49" s="117">
        <x:f>MAX(0,BL20+BL24+BL53+BL57+BL35+BL46-BL27-BL34-BL45)</x:f>
      </x:c>
      <x:c r="BM49" s="117">
        <x:f>MAX(0,BM20+BM24+BM53+BM57+BM35+BM46-BM27-BM34-BM45)</x:f>
      </x:c>
      <x:c r="BN49" s="117">
        <x:f>MAX(0,BN20+BN24+BN53+BN57+BN35+BN46-BN27-BN34-BN45)</x:f>
      </x:c>
      <x:c r="BO49" s="117">
        <x:f>MAX(0,BO20+BO24+BO53+BO57+BO35+BO46-BO27-BO34-BO45)</x:f>
      </x:c>
      <x:c r="BP49" s="117">
        <x:f>MAX(0,BP20+BP24+BP53+BP57+BP35+BP46-BP27-BP34-BP45)</x:f>
      </x:c>
      <x:c r="BQ49" s="117">
        <x:f>MAX(0,BQ20+BQ24+BQ53+BQ57+BQ35+BQ46-BQ27-BQ34-BQ45)</x:f>
      </x:c>
      <x:c r="BR49" s="117">
        <x:f>MAX(0,BR20+BR24+BR53+BR57+BR35+BR46-BR27-BR34-BR45)</x:f>
      </x:c>
      <x:c r="BS49" s="117">
        <x:f>MAX(0,BS20+BS24+BS53+BS57+BS35+BS46-BS27-BS34-BS45)</x:f>
      </x:c>
      <x:c r="BT49" s="117">
        <x:f>MAX(0,BT20+BT24+BT53+BT57+BT35+BT46-BT27-BT34-BT45)</x:f>
      </x:c>
      <x:c r="BU49" s="117">
        <x:f>MAX(0,BU20+BU24+BU53+BU57+BU35+BU46-BU27-BU34-BU45)</x:f>
      </x:c>
      <x:c r="BV49" s="117">
        <x:f>MAX(0,BV20+BV24+BV53+BV57+BV35+BV46-BV27-BV34-BV45)</x:f>
      </x:c>
      <x:c r="BW49" s="117">
        <x:f>MAX(0,BW20+BW24+BW53+BW57+BW35+BW46-BW27-BW34-BW45)</x:f>
      </x:c>
      <x:c r="BX49" s="117">
        <x:f>MAX(0,BX20+BX24+BX53+BX57+BX35+BX46-BX27-BX34-BX45)</x:f>
      </x:c>
      <x:c r="BY49" s="117">
        <x:f>MAX(0,BY20+BY24+BY53+BY57+BY35+BY46-BY27-BY34-BY45)</x:f>
      </x:c>
      <x:c r="BZ49" s="117">
        <x:f>MAX(0,BZ20+BZ24+BZ53+BZ57+BZ35+BZ46-BZ27-BZ34-BZ45)</x:f>
      </x:c>
      <x:c r="CA49" s="117">
        <x:f>MAX(0,CA20+CA24+CA53+CA57+CA35+CA46-CA27-CA34-CA45)</x:f>
      </x:c>
      <x:c r="CB49" s="117">
        <x:f>MAX(0,CB20+CB24+CB53+CB57+CB35+CB46-CB27-CB34-CB45)</x:f>
      </x:c>
      <x:c r="CC49" s="117">
        <x:f>MAX(0,CC20+CC24+CC53+CC57+CC35+CC46-CC27-CC34-CC45)</x:f>
      </x:c>
      <x:c r="CD49" s="117">
        <x:f>MAX(0,CD20+CD24+CD53+CD57+CD35+CD46-CD27-CD34-CD45)</x:f>
      </x:c>
      <x:c r="CE49" s="117">
        <x:f>MAX(0,CE20+CE24+CE53+CE57+CE35+CE46-CE27-CE34-CE45)</x:f>
      </x:c>
      <x:c r="CF49" s="117">
        <x:f>MAX(0,CF20+CF24+CF53+CF57+CF35+CF46-CF27-CF34-CF45)</x:f>
      </x:c>
      <x:c r="CG49" s="117">
        <x:f>MAX(0,CG20+CG24+CG53+CG57+CG35+CG46-CG27-CG34-CG45)</x:f>
      </x:c>
      <x:c r="CH49" s="117">
        <x:f>MAX(0,CH20+CH24+CH53+CH57+CH35+CH46-CH27-CH34-CH45)</x:f>
      </x:c>
      <x:c r="CI49" s="117">
        <x:f>MAX(0,CI20+CI24+CI53+CI57+CI35+CI46-CI27-CI34-CI45)</x:f>
      </x:c>
      <x:c r="CJ49" s="117">
        <x:f>MAX(0,CJ20+CJ24+CJ53+CJ57+CJ35+CJ46-CJ27-CJ34-CJ45)</x:f>
      </x:c>
      <x:c r="CK49" s="117">
        <x:f>MAX(0,CK20+CK24+CK53+CK57+CK35+CK46-CK27-CK34-CK45)</x:f>
      </x:c>
      <x:c r="CL49" s="117">
        <x:f>MAX(0,CL20+CL24+CL53+CL57+CL35+CL46-CL27-CL34-CL45)</x:f>
      </x:c>
      <x:c r="CM49" s="117">
        <x:f>MAX(0,CM20+CM24+CM53+CM57+CM35+CM46-CM27-CM34-CM45)</x:f>
      </x:c>
      <x:c r="CN49" s="117">
        <x:f>MAX(0,CN20+CN24+CN53+CN57+CN35+CN46-CN27-CN34-CN45)</x:f>
      </x:c>
      <x:c r="CO49" s="117">
        <x:f>MAX(0,CO20+CO24+CO53+CO57+CO35+CO46-CO27-CO34-CO45)</x:f>
      </x:c>
      <x:c r="CP49" s="117">
        <x:f>MAX(0,CP20+CP24+CP53+CP57+CP35+CP46-CP27-CP34-CP45)</x:f>
      </x:c>
      <x:c r="CQ49" s="117">
        <x:f>MAX(0,CQ20+CQ24+CQ53+CQ57+CQ35+CQ46-CQ27-CQ34-CQ45)</x:f>
      </x:c>
      <x:c r="CR49" s="117">
        <x:f>MAX(0,CR20+CR24+CR53+CR57+CR35+CR46-CR27-CR34-CR45)</x:f>
      </x:c>
      <x:c r="CS49" s="117">
        <x:f>MAX(0,CS20+CS24+CS53+CS57+CS35+CS46-CS27-CS34-CS45)</x:f>
      </x:c>
      <x:c r="CT49" s="117">
        <x:f>MAX(0,CT20+CT24+CT53+CT57+CT35+CT46-CT27-CT34-CT45)</x:f>
      </x:c>
      <x:c r="CU49" s="117">
        <x:f>MAX(0,CU20+CU24+CU53+CU57+CU35+CU46-CU27-CU34-CU45)</x:f>
      </x:c>
      <x:c r="CV49" s="117">
        <x:f>MAX(0,CV20+CV24+CV53+CV57+CV35+CV46-CV27-CV34-CV45)</x:f>
      </x:c>
      <x:c r="CW49" s="117">
        <x:f>MAX(0,CW20+CW24+CW53+CW57+CW35+CW46-CW27-CW34-CW45)</x:f>
      </x:c>
      <x:c r="CX49" s="117">
        <x:f>MAX(0,CX20+CX24+CX53+CX57+CX35+CX46-CX27-CX34-CX45)</x:f>
      </x:c>
      <x:c r="CY49" s="117">
        <x:f>MAX(0,CY20+CY24+CY53+CY57+CY35+CY46-CY27-CY34-CY45)</x:f>
      </x:c>
      <x:c r="CZ49" s="117">
        <x:f>MAX(0,CZ20+CZ24+CZ53+CZ57+CZ35+CZ46-CZ27-CZ34-CZ45)</x:f>
      </x:c>
      <x:c r="DA49" s="117">
        <x:f>MAX(0,DA20+DA24+DA53+DA57+DA35+DA46-DA27-DA34-DA45)</x:f>
      </x:c>
      <x:c r="DB49" s="117">
        <x:f>MAX(0,DB20+DB24+DB53+DB57+DB35+DB46-DB27-DB34-DB45)</x:f>
      </x:c>
      <x:c r="DC49" s="117">
        <x:f>MAX(0,DC20+DC24+DC53+DC57+DC35+DC46-DC27-DC34-DC45)</x:f>
      </x:c>
      <x:c r="DD49" s="117">
        <x:f>MAX(0,DD20+DD24+DD53+DD57+DD35+DD46-DD27-DD34-DD45)</x:f>
      </x:c>
      <x:c r="DE49" s="117">
        <x:f>MAX(0,DE20+DE24+DE53+DE57+DE35+DE46-DE27-DE34-DE45)</x:f>
      </x:c>
      <x:c r="DF49" s="117">
        <x:f>MAX(0,DF20+DF24+DF53+DF57+DF35+DF46-DF27-DF34-DF45)</x:f>
      </x:c>
      <x:c r="DG49" s="117">
        <x:f>MAX(0,DG20+DG24+DG53+DG57+DG35+DG46-DG27-DG34-DG45)</x:f>
      </x:c>
      <x:c r="DH49" s="117">
        <x:f>MAX(0,DH20+DH24+DH53+DH57+DH35+DH46-DH27-DH34-DH45)</x:f>
      </x:c>
      <x:c r="DI49" s="117">
        <x:f>MAX(0,DI20+DI24+DI53+DI57+DI35+DI46-DI27-DI34-DI45)</x:f>
      </x:c>
      <x:c r="DJ49" s="117">
        <x:f>MAX(0,DJ20+DJ24+DJ53+DJ57+DJ35+DJ46-DJ27-DJ34-DJ45)</x:f>
      </x:c>
      <x:c r="DK49" s="117">
        <x:f>MAX(0,DK20+DK24+DK53+DK57+DK35+DK46-DK27-DK34-DK45)</x:f>
      </x:c>
      <x:c r="DL49" s="117">
        <x:f>MAX(0,DL20+DL24+DL53+DL57+DL35+DL46-DL27-DL34-DL45)</x:f>
      </x:c>
      <x:c r="DM49" s="117">
        <x:f>MAX(0,DM20+DM24+DM53+DM57+DM35+DM46-DM27-DM34-DM45)</x:f>
      </x:c>
      <x:c r="DN49" s="117">
        <x:f>MAX(0,DN20+DN24+DN53+DN57+DN35+DN46-DN27-DN34-DN45)</x:f>
      </x:c>
      <x:c r="DO49" s="117">
        <x:f>MAX(0,DO20+DO24+DO53+DO57+DO35+DO46-DO27-DO34-DO45)</x:f>
      </x:c>
      <x:c r="DP49" s="117">
        <x:f>MAX(0,DP20+DP24+DP53+DP57+DP35+DP46-DP27-DP34-DP45)</x:f>
      </x:c>
      <x:c r="DQ49" s="117">
        <x:f>MAX(0,DQ20+DQ24+DQ53+DQ57+DQ35+DQ46-DQ27-DQ34-DQ45)</x:f>
      </x:c>
      <x:c r="DR49" s="117">
        <x:f>MAX(0,DR20+DR24+DR53+DR57+DR35+DR46-DR27-DR34-DR45)</x:f>
      </x:c>
      <x:c r="DS49" s="117">
        <x:f>MAX(0,DS20+DS24+DS53+DS57+DS35+DS46-DS27-DS34-DS45)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>
        <x:f>MAX(0,D27+D34+D45-D20-D24-D53-D57-D35-D46)</x:f>
      </x:c>
      <x:c r="E50" s="117">
        <x:f>MAX(0,E27+E34+E45-E20-E24-E53-E57-E35-E46)</x:f>
      </x:c>
      <x:c r="F50" s="117">
        <x:f>MAX(0,F27+F34+F45-F20-F24-F53-F57-F35-F46)</x:f>
      </x:c>
      <x:c r="G50" s="117">
        <x:f>MAX(0,G27+G34+G45-G20-G24-G53-G57-G35-G46)</x:f>
      </x:c>
      <x:c r="H50" s="117">
        <x:f>MAX(0,H27+H34+H45-H20-H24-H53-H57-H35-H46)</x:f>
      </x:c>
      <x:c r="I50" s="117">
        <x:f>MAX(0,I27+I34+I45-I20-I24-I53-I57-I35-I46)</x:f>
      </x:c>
      <x:c r="J50" s="117">
        <x:f>MAX(0,J27+J34+J45-J20-J24-J53-J57-J35-J46)</x:f>
      </x:c>
      <x:c r="K50" s="117">
        <x:f>MAX(0,K27+K34+K45-K20-K24-K53-K57-K35-K46)</x:f>
      </x:c>
      <x:c r="L50" s="117">
        <x:f>MAX(0,L27+L34+L45-L20-L24-L53-L57-L35-L46)</x:f>
      </x:c>
      <x:c r="M50" s="117">
        <x:f>MAX(0,M27+M34+M45-M20-M24-M53-M57-M35-M46)</x:f>
      </x:c>
      <x:c r="N50" s="117">
        <x:f>MAX(0,N27+N34+N45-N20-N24-N53-N57-N35-N46)</x:f>
      </x:c>
      <x:c r="O50" s="117">
        <x:f>MAX(0,O27+O34+O45-O20-O24-O53-O57-O35-O46)</x:f>
      </x:c>
      <x:c r="P50" s="117">
        <x:f>MAX(0,P27+P34+P45-P20-P24-P53-P57-P35-P46)</x:f>
      </x:c>
      <x:c r="Q50" s="117">
        <x:f>MAX(0,Q27+Q34+Q45-Q20-Q24-Q53-Q57-Q35-Q46)</x:f>
      </x:c>
      <x:c r="R50" s="117">
        <x:f>MAX(0,R27+R34+R45-R20-R24-R53-R57-R35-R46)</x:f>
      </x:c>
      <x:c r="S50" s="117">
        <x:f>MAX(0,S27+S34+S45-S20-S24-S53-S57-S35-S46)</x:f>
      </x:c>
      <x:c r="T50" s="117">
        <x:f>MAX(0,T27+T34+T45-T20-T24-T53-T57-T35-T46)</x:f>
      </x:c>
      <x:c r="U50" s="117">
        <x:f>MAX(0,U27+U34+U45-U20-U24-U53-U57-U35-U46)</x:f>
      </x:c>
      <x:c r="V50" s="117">
        <x:f>MAX(0,V27+V34+V45-V20-V24-V53-V57-V35-V46)</x:f>
      </x:c>
      <x:c r="W50" s="117">
        <x:f>MAX(0,W27+W34+W45-W20-W24-W53-W57-W35-W46)</x:f>
      </x:c>
      <x:c r="X50" s="117">
        <x:f>MAX(0,X27+X34+X45-X20-X24-X53-X57-X35-X46)</x:f>
      </x:c>
      <x:c r="Y50" s="117">
        <x:f>MAX(0,Y27+Y34+Y45-Y20-Y24-Y53-Y57-Y35-Y46)</x:f>
      </x:c>
      <x:c r="Z50" s="117">
        <x:f>MAX(0,Z27+Z34+Z45-Z20-Z24-Z53-Z57-Z35-Z46)</x:f>
      </x:c>
      <x:c r="AA50" s="117">
        <x:f>MAX(0,AA27+AA34+AA45-AA20-AA24-AA53-AA57-AA35-AA46)</x:f>
      </x:c>
      <x:c r="AB50" s="117">
        <x:f>MAX(0,AB27+AB34+AB45-AB20-AB24-AB53-AB57-AB35-AB46)</x:f>
      </x:c>
      <x:c r="AC50" s="117">
        <x:f>MAX(0,AC27+AC34+AC45-AC20-AC24-AC53-AC57-AC35-AC46)</x:f>
      </x:c>
      <x:c r="AD50" s="117">
        <x:f>MAX(0,AD27+AD34+AD45-AD20-AD24-AD53-AD57-AD35-AD46)</x:f>
      </x:c>
      <x:c r="AE50" s="117">
        <x:f>MAX(0,AE27+AE34+AE45-AE20-AE24-AE53-AE57-AE35-AE46)</x:f>
      </x:c>
      <x:c r="AF50" s="117">
        <x:f>MAX(0,AF27+AF34+AF45-AF20-AF24-AF53-AF57-AF35-AF46)</x:f>
      </x:c>
      <x:c r="AG50" s="117">
        <x:f>MAX(0,AG27+AG34+AG45-AG20-AG24-AG53-AG57-AG35-AG46)</x:f>
      </x:c>
      <x:c r="AH50" s="117">
        <x:f>MAX(0,AH27+AH34+AH45-AH20-AH24-AH53-AH57-AH35-AH46)</x:f>
      </x:c>
      <x:c r="AI50" s="117">
        <x:f>MAX(0,AI27+AI34+AI45-AI20-AI24-AI53-AI57-AI35-AI46)</x:f>
      </x:c>
      <x:c r="AJ50" s="117">
        <x:f>MAX(0,AJ27+AJ34+AJ45-AJ20-AJ24-AJ53-AJ57-AJ35-AJ46)</x:f>
      </x:c>
      <x:c r="AK50" s="117">
        <x:f>MAX(0,AK27+AK34+AK45-AK20-AK24-AK53-AK57-AK35-AK46)</x:f>
      </x:c>
      <x:c r="AL50" s="117">
        <x:f>MAX(0,AL27+AL34+AL45-AL20-AL24-AL53-AL57-AL35-AL46)</x:f>
      </x:c>
      <x:c r="AM50" s="117">
        <x:f>MAX(0,AM27+AM34+AM45-AM20-AM24-AM53-AM57-AM35-AM46)</x:f>
      </x:c>
      <x:c r="AN50" s="117">
        <x:f>MAX(0,AN27+AN34+AN45-AN20-AN24-AN53-AN57-AN35-AN46)</x:f>
      </x:c>
      <x:c r="AO50" s="117">
        <x:f>MAX(0,AO27+AO34+AO45-AO20-AO24-AO53-AO57-AO35-AO46)</x:f>
      </x:c>
      <x:c r="AP50" s="117">
        <x:f>MAX(0,AP27+AP34+AP45-AP20-AP24-AP53-AP57-AP35-AP46)</x:f>
      </x:c>
      <x:c r="AQ50" s="117">
        <x:f>MAX(0,AQ27+AQ34+AQ45-AQ20-AQ24-AQ53-AQ57-AQ35-AQ46)</x:f>
      </x:c>
      <x:c r="AR50" s="117">
        <x:f>MAX(0,AR27+AR34+AR45-AR20-AR24-AR53-AR57-AR35-AR46)</x:f>
      </x:c>
      <x:c r="AS50" s="117">
        <x:f>MAX(0,AS27+AS34+AS45-AS20-AS24-AS53-AS57-AS35-AS46)</x:f>
      </x:c>
      <x:c r="AT50" s="117">
        <x:f>MAX(0,AT27+AT34+AT45-AT20-AT24-AT53-AT57-AT35-AT46)</x:f>
      </x:c>
      <x:c r="AU50" s="117">
        <x:f>MAX(0,AU27+AU34+AU45-AU20-AU24-AU53-AU57-AU35-AU46)</x:f>
      </x:c>
      <x:c r="AV50" s="117">
        <x:f>MAX(0,AV27+AV34+AV45-AV20-AV24-AV53-AV57-AV35-AV46)</x:f>
      </x:c>
      <x:c r="AW50" s="117">
        <x:f>MAX(0,AW27+AW34+AW45-AW20-AW24-AW53-AW57-AW35-AW46)</x:f>
      </x:c>
      <x:c r="AX50" s="117">
        <x:f>MAX(0,AX27+AX34+AX45-AX20-AX24-AX53-AX57-AX35-AX46)</x:f>
      </x:c>
      <x:c r="AY50" s="117">
        <x:f>MAX(0,AY27+AY34+AY45-AY20-AY24-AY53-AY57-AY35-AY46)</x:f>
      </x:c>
      <x:c r="AZ50" s="117">
        <x:f>MAX(0,AZ27+AZ34+AZ45-AZ20-AZ24-AZ53-AZ57-AZ35-AZ46)</x:f>
      </x:c>
      <x:c r="BA50" s="117">
        <x:f>MAX(0,BA27+BA34+BA45-BA20-BA24-BA53-BA57-BA35-BA46)</x:f>
      </x:c>
      <x:c r="BB50" s="117">
        <x:f>MAX(0,BB27+BB34+BB45-BB20-BB24-BB53-BB57-BB35-BB46)</x:f>
      </x:c>
      <x:c r="BC50" s="117">
        <x:f>MAX(0,BC27+BC34+BC45-BC20-BC24-BC53-BC57-BC35-BC46)</x:f>
      </x:c>
      <x:c r="BD50" s="117">
        <x:f>MAX(0,BD27+BD34+BD45-BD20-BD24-BD53-BD57-BD35-BD46)</x:f>
      </x:c>
      <x:c r="BE50" s="117">
        <x:f>MAX(0,BE27+BE34+BE45-BE20-BE24-BE53-BE57-BE35-BE46)</x:f>
      </x:c>
      <x:c r="BF50" s="117">
        <x:f>MAX(0,BF27+BF34+BF45-BF20-BF24-BF53-BF57-BF35-BF46)</x:f>
      </x:c>
      <x:c r="BG50" s="117">
        <x:f>MAX(0,BG27+BG34+BG45-BG20-BG24-BG53-BG57-BG35-BG46)</x:f>
      </x:c>
      <x:c r="BH50" s="117">
        <x:f>MAX(0,BH27+BH34+BH45-BH20-BH24-BH53-BH57-BH35-BH46)</x:f>
      </x:c>
      <x:c r="BI50" s="117">
        <x:f>MAX(0,BI27+BI34+BI45-BI20-BI24-BI53-BI57-BI35-BI46)</x:f>
      </x:c>
      <x:c r="BJ50" s="117">
        <x:f>MAX(0,BJ27+BJ34+BJ45-BJ20-BJ24-BJ53-BJ57-BJ35-BJ46)</x:f>
      </x:c>
      <x:c r="BK50" s="117">
        <x:f>MAX(0,BK27+BK34+BK45-BK20-BK24-BK53-BK57-BK35-BK46)</x:f>
      </x:c>
      <x:c r="BL50" s="117">
        <x:f>MAX(0,BL27+BL34+BL45-BL20-BL24-BL53-BL57-BL35-BL46)</x:f>
      </x:c>
      <x:c r="BM50" s="117">
        <x:f>MAX(0,BM27+BM34+BM45-BM20-BM24-BM53-BM57-BM35-BM46)</x:f>
      </x:c>
      <x:c r="BN50" s="117">
        <x:f>MAX(0,BN27+BN34+BN45-BN20-BN24-BN53-BN57-BN35-BN46)</x:f>
      </x:c>
      <x:c r="BO50" s="117">
        <x:f>MAX(0,BO27+BO34+BO45-BO20-BO24-BO53-BO57-BO35-BO46)</x:f>
      </x:c>
      <x:c r="BP50" s="117">
        <x:f>MAX(0,BP27+BP34+BP45-BP20-BP24-BP53-BP57-BP35-BP46)</x:f>
      </x:c>
      <x:c r="BQ50" s="117">
        <x:f>MAX(0,BQ27+BQ34+BQ45-BQ20-BQ24-BQ53-BQ57-BQ35-BQ46)</x:f>
      </x:c>
      <x:c r="BR50" s="117">
        <x:f>MAX(0,BR27+BR34+BR45-BR20-BR24-BR53-BR57-BR35-BR46)</x:f>
      </x:c>
      <x:c r="BS50" s="117">
        <x:f>MAX(0,BS27+BS34+BS45-BS20-BS24-BS53-BS57-BS35-BS46)</x:f>
      </x:c>
      <x:c r="BT50" s="117">
        <x:f>MAX(0,BT27+BT34+BT45-BT20-BT24-BT53-BT57-BT35-BT46)</x:f>
      </x:c>
      <x:c r="BU50" s="117">
        <x:f>MAX(0,BU27+BU34+BU45-BU20-BU24-BU53-BU57-BU35-BU46)</x:f>
      </x:c>
      <x:c r="BV50" s="117">
        <x:f>MAX(0,BV27+BV34+BV45-BV20-BV24-BV53-BV57-BV35-BV46)</x:f>
      </x:c>
      <x:c r="BW50" s="117">
        <x:f>MAX(0,BW27+BW34+BW45-BW20-BW24-BW53-BW57-BW35-BW46)</x:f>
      </x:c>
      <x:c r="BX50" s="117">
        <x:f>MAX(0,BX27+BX34+BX45-BX20-BX24-BX53-BX57-BX35-BX46)</x:f>
      </x:c>
      <x:c r="BY50" s="117">
        <x:f>MAX(0,BY27+BY34+BY45-BY20-BY24-BY53-BY57-BY35-BY46)</x:f>
      </x:c>
      <x:c r="BZ50" s="117">
        <x:f>MAX(0,BZ27+BZ34+BZ45-BZ20-BZ24-BZ53-BZ57-BZ35-BZ46)</x:f>
      </x:c>
      <x:c r="CA50" s="117">
        <x:f>MAX(0,CA27+CA34+CA45-CA20-CA24-CA53-CA57-CA35-CA46)</x:f>
      </x:c>
      <x:c r="CB50" s="117">
        <x:f>MAX(0,CB27+CB34+CB45-CB20-CB24-CB53-CB57-CB35-CB46)</x:f>
      </x:c>
      <x:c r="CC50" s="117">
        <x:f>MAX(0,CC27+CC34+CC45-CC20-CC24-CC53-CC57-CC35-CC46)</x:f>
      </x:c>
      <x:c r="CD50" s="117">
        <x:f>MAX(0,CD27+CD34+CD45-CD20-CD24-CD53-CD57-CD35-CD46)</x:f>
      </x:c>
      <x:c r="CE50" s="117">
        <x:f>MAX(0,CE27+CE34+CE45-CE20-CE24-CE53-CE57-CE35-CE46)</x:f>
      </x:c>
      <x:c r="CF50" s="117">
        <x:f>MAX(0,CF27+CF34+CF45-CF20-CF24-CF53-CF57-CF35-CF46)</x:f>
      </x:c>
      <x:c r="CG50" s="117">
        <x:f>MAX(0,CG27+CG34+CG45-CG20-CG24-CG53-CG57-CG35-CG46)</x:f>
      </x:c>
      <x:c r="CH50" s="117">
        <x:f>MAX(0,CH27+CH34+CH45-CH20-CH24-CH53-CH57-CH35-CH46)</x:f>
      </x:c>
      <x:c r="CI50" s="117">
        <x:f>MAX(0,CI27+CI34+CI45-CI20-CI24-CI53-CI57-CI35-CI46)</x:f>
      </x:c>
      <x:c r="CJ50" s="117">
        <x:f>MAX(0,CJ27+CJ34+CJ45-CJ20-CJ24-CJ53-CJ57-CJ35-CJ46)</x:f>
      </x:c>
      <x:c r="CK50" s="117">
        <x:f>MAX(0,CK27+CK34+CK45-CK20-CK24-CK53-CK57-CK35-CK46)</x:f>
      </x:c>
      <x:c r="CL50" s="117">
        <x:f>MAX(0,CL27+CL34+CL45-CL20-CL24-CL53-CL57-CL35-CL46)</x:f>
      </x:c>
      <x:c r="CM50" s="117">
        <x:f>MAX(0,CM27+CM34+CM45-CM20-CM24-CM53-CM57-CM35-CM46)</x:f>
      </x:c>
      <x:c r="CN50" s="117">
        <x:f>MAX(0,CN27+CN34+CN45-CN20-CN24-CN53-CN57-CN35-CN46)</x:f>
      </x:c>
      <x:c r="CO50" s="117">
        <x:f>MAX(0,CO27+CO34+CO45-CO20-CO24-CO53-CO57-CO35-CO46)</x:f>
      </x:c>
      <x:c r="CP50" s="117">
        <x:f>MAX(0,CP27+CP34+CP45-CP20-CP24-CP53-CP57-CP35-CP46)</x:f>
      </x:c>
      <x:c r="CQ50" s="117">
        <x:f>MAX(0,CQ27+CQ34+CQ45-CQ20-CQ24-CQ53-CQ57-CQ35-CQ46)</x:f>
      </x:c>
      <x:c r="CR50" s="117">
        <x:f>MAX(0,CR27+CR34+CR45-CR20-CR24-CR53-CR57-CR35-CR46)</x:f>
      </x:c>
      <x:c r="CS50" s="117">
        <x:f>MAX(0,CS27+CS34+CS45-CS20-CS24-CS53-CS57-CS35-CS46)</x:f>
      </x:c>
      <x:c r="CT50" s="117">
        <x:f>MAX(0,CT27+CT34+CT45-CT20-CT24-CT53-CT57-CT35-CT46)</x:f>
      </x:c>
      <x:c r="CU50" s="117">
        <x:f>MAX(0,CU27+CU34+CU45-CU20-CU24-CU53-CU57-CU35-CU46)</x:f>
      </x:c>
      <x:c r="CV50" s="117">
        <x:f>MAX(0,CV27+CV34+CV45-CV20-CV24-CV53-CV57-CV35-CV46)</x:f>
      </x:c>
      <x:c r="CW50" s="117">
        <x:f>MAX(0,CW27+CW34+CW45-CW20-CW24-CW53-CW57-CW35-CW46)</x:f>
      </x:c>
      <x:c r="CX50" s="117">
        <x:f>MAX(0,CX27+CX34+CX45-CX20-CX24-CX53-CX57-CX35-CX46)</x:f>
      </x:c>
      <x:c r="CY50" s="117">
        <x:f>MAX(0,CY27+CY34+CY45-CY20-CY24-CY53-CY57-CY35-CY46)</x:f>
      </x:c>
      <x:c r="CZ50" s="117">
        <x:f>MAX(0,CZ27+CZ34+CZ45-CZ20-CZ24-CZ53-CZ57-CZ35-CZ46)</x:f>
      </x:c>
      <x:c r="DA50" s="117">
        <x:f>MAX(0,DA27+DA34+DA45-DA20-DA24-DA53-DA57-DA35-DA46)</x:f>
      </x:c>
      <x:c r="DB50" s="117">
        <x:f>MAX(0,DB27+DB34+DB45-DB20-DB24-DB53-DB57-DB35-DB46)</x:f>
      </x:c>
      <x:c r="DC50" s="117">
        <x:f>MAX(0,DC27+DC34+DC45-DC20-DC24-DC53-DC57-DC35-DC46)</x:f>
      </x:c>
      <x:c r="DD50" s="117">
        <x:f>MAX(0,DD27+DD34+DD45-DD20-DD24-DD53-DD57-DD35-DD46)</x:f>
      </x:c>
      <x:c r="DE50" s="117">
        <x:f>MAX(0,DE27+DE34+DE45-DE20-DE24-DE53-DE57-DE35-DE46)</x:f>
      </x:c>
      <x:c r="DF50" s="117">
        <x:f>MAX(0,DF27+DF34+DF45-DF20-DF24-DF53-DF57-DF35-DF46)</x:f>
      </x:c>
      <x:c r="DG50" s="117">
        <x:f>MAX(0,DG27+DG34+DG45-DG20-DG24-DG53-DG57-DG35-DG46)</x:f>
      </x:c>
      <x:c r="DH50" s="117">
        <x:f>MAX(0,DH27+DH34+DH45-DH20-DH24-DH53-DH57-DH35-DH46)</x:f>
      </x:c>
      <x:c r="DI50" s="117">
        <x:f>MAX(0,DI27+DI34+DI45-DI20-DI24-DI53-DI57-DI35-DI46)</x:f>
      </x:c>
      <x:c r="DJ50" s="117">
        <x:f>MAX(0,DJ27+DJ34+DJ45-DJ20-DJ24-DJ53-DJ57-DJ35-DJ46)</x:f>
      </x:c>
      <x:c r="DK50" s="117">
        <x:f>MAX(0,DK27+DK34+DK45-DK20-DK24-DK53-DK57-DK35-DK46)</x:f>
      </x:c>
      <x:c r="DL50" s="117">
        <x:f>MAX(0,DL27+DL34+DL45-DL20-DL24-DL53-DL57-DL35-DL46)</x:f>
      </x:c>
      <x:c r="DM50" s="117">
        <x:f>MAX(0,DM27+DM34+DM45-DM20-DM24-DM53-DM57-DM35-DM46)</x:f>
      </x:c>
      <x:c r="DN50" s="117">
        <x:f>MAX(0,DN27+DN34+DN45-DN20-DN24-DN53-DN57-DN35-DN46)</x:f>
      </x:c>
      <x:c r="DO50" s="117">
        <x:f>MAX(0,DO27+DO34+DO45-DO20-DO24-DO53-DO57-DO35-DO46)</x:f>
      </x:c>
      <x:c r="DP50" s="117">
        <x:f>MAX(0,DP27+DP34+DP45-DP20-DP24-DP53-DP57-DP35-DP46)</x:f>
      </x:c>
      <x:c r="DQ50" s="117">
        <x:f>MAX(0,DQ27+DQ34+DQ45-DQ20-DQ24-DQ53-DQ57-DQ35-DQ46)</x:f>
      </x:c>
      <x:c r="DR50" s="117">
        <x:f>MAX(0,DR27+DR34+DR45-DR20-DR24-DR53-DR57-DR35-DR46)</x:f>
      </x:c>
      <x:c r="DS50" s="117">
        <x:f>MAX(0,DS27+DS34+DS45-DS20-DS24-DS53-DS57-DS35-DS46)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 t="inlineStr">
        <x:is>
          <x:t>ПФ — уплата процентов и комиссий</x:t>
        </x:is>
      </x:c>
      <x:c r="B53">
        <x:f>SUM(D53:DS53)</x:f>
      </x:c>
      <x:c r="C53"/>
      <x:c r="D53" s="117">
        <x:f>IF(D$3&lt;$B$8,0,IF(AND(YEAR(D$3)=YEAR($B$8),MONTH(D$3)=MONTH($B$8)),C48*(1+D41/12),0)+D42+D43)</x:f>
      </x:c>
      <x:c r="E53" s="117">
        <x:f>IF(E$3&lt;$B$8,0,IF(AND(YEAR(E$3)=YEAR($B$8),MONTH(E$3)=MONTH($B$8)),D48*(1+E41/12),0)+E42+E43)</x:f>
      </x:c>
      <x:c r="F53" s="117">
        <x:f>IF(F$3&lt;$B$8,0,IF(AND(YEAR(F$3)=YEAR($B$8),MONTH(F$3)=MONTH($B$8)),E48*(1+F41/12),0)+F42+F43)</x:f>
      </x:c>
      <x:c r="G53" s="117">
        <x:f>IF(G$3&lt;$B$8,0,IF(AND(YEAR(G$3)=YEAR($B$8),MONTH(G$3)=MONTH($B$8)),F48*(1+G41/12),0)+G42+G43)</x:f>
      </x:c>
      <x:c r="H53" s="117">
        <x:f>IF(H$3&lt;$B$8,0,IF(AND(YEAR(H$3)=YEAR($B$8),MONTH(H$3)=MONTH($B$8)),G48*(1+H41/12),0)+H42+H43)</x:f>
      </x:c>
      <x:c r="I53" s="117">
        <x:f>IF(I$3&lt;$B$8,0,IF(AND(YEAR(I$3)=YEAR($B$8),MONTH(I$3)=MONTH($B$8)),H48*(1+I41/12),0)+I42+I43)</x:f>
      </x:c>
      <x:c r="J53" s="117">
        <x:f>IF(J$3&lt;$B$8,0,IF(AND(YEAR(J$3)=YEAR($B$8),MONTH(J$3)=MONTH($B$8)),I48*(1+J41/12),0)+J42+J43)</x:f>
      </x:c>
      <x:c r="K53" s="117">
        <x:f>IF(K$3&lt;$B$8,0,IF(AND(YEAR(K$3)=YEAR($B$8),MONTH(K$3)=MONTH($B$8)),J48*(1+K41/12),0)+K42+K43)</x:f>
      </x:c>
      <x:c r="L53" s="117">
        <x:f>IF(L$3&lt;$B$8,0,IF(AND(YEAR(L$3)=YEAR($B$8),MONTH(L$3)=MONTH($B$8)),K48*(1+L41/12),0)+L42+L43)</x:f>
      </x:c>
      <x:c r="M53" s="117">
        <x:f>IF(M$3&lt;$B$8,0,IF(AND(YEAR(M$3)=YEAR($B$8),MONTH(M$3)=MONTH($B$8)),L48*(1+M41/12),0)+M42+M43)</x:f>
      </x:c>
      <x:c r="N53" s="117">
        <x:f>IF(N$3&lt;$B$8,0,IF(AND(YEAR(N$3)=YEAR($B$8),MONTH(N$3)=MONTH($B$8)),M48*(1+N41/12),0)+N42+N43)</x:f>
      </x:c>
      <x:c r="O53" s="117">
        <x:f>IF(O$3&lt;$B$8,0,IF(AND(YEAR(O$3)=YEAR($B$8),MONTH(O$3)=MONTH($B$8)),N48*(1+O41/12),0)+O42+O43)</x:f>
      </x:c>
      <x:c r="P53" s="117">
        <x:f>IF(P$3&lt;$B$8,0,IF(AND(YEAR(P$3)=YEAR($B$8),MONTH(P$3)=MONTH($B$8)),O48*(1+P41/12),0)+P42+P43)</x:f>
      </x:c>
      <x:c r="Q53" s="117">
        <x:f>IF(Q$3&lt;$B$8,0,IF(AND(YEAR(Q$3)=YEAR($B$8),MONTH(Q$3)=MONTH($B$8)),P48*(1+Q41/12),0)+Q42+Q43)</x:f>
      </x:c>
      <x:c r="R53" s="117">
        <x:f>IF(R$3&lt;$B$8,0,IF(AND(YEAR(R$3)=YEAR($B$8),MONTH(R$3)=MONTH($B$8)),Q48*(1+R41/12),0)+R42+R43)</x:f>
      </x:c>
      <x:c r="S53" s="117">
        <x:f>IF(S$3&lt;$B$8,0,IF(AND(YEAR(S$3)=YEAR($B$8),MONTH(S$3)=MONTH($B$8)),R48*(1+S41/12),0)+S42+S43)</x:f>
      </x:c>
      <x:c r="T53" s="117">
        <x:f>IF(T$3&lt;$B$8,0,IF(AND(YEAR(T$3)=YEAR($B$8),MONTH(T$3)=MONTH($B$8)),S48*(1+T41/12),0)+T42+T43)</x:f>
      </x:c>
      <x:c r="U53" s="117">
        <x:f>IF(U$3&lt;$B$8,0,IF(AND(YEAR(U$3)=YEAR($B$8),MONTH(U$3)=MONTH($B$8)),T48*(1+U41/12),0)+U42+U43)</x:f>
      </x:c>
      <x:c r="V53" s="117">
        <x:f>IF(V$3&lt;$B$8,0,IF(AND(YEAR(V$3)=YEAR($B$8),MONTH(V$3)=MONTH($B$8)),U48*(1+V41/12),0)+V42+V43)</x:f>
      </x:c>
      <x:c r="W53" s="117">
        <x:f>IF(W$3&lt;$B$8,0,IF(AND(YEAR(W$3)=YEAR($B$8),MONTH(W$3)=MONTH($B$8)),V48*(1+W41/12),0)+W42+W43)</x:f>
      </x:c>
      <x:c r="X53" s="117">
        <x:f>IF(X$3&lt;$B$8,0,IF(AND(YEAR(X$3)=YEAR($B$8),MONTH(X$3)=MONTH($B$8)),W48*(1+X41/12),0)+X42+X43)</x:f>
      </x:c>
      <x:c r="Y53" s="117">
        <x:f>IF(Y$3&lt;$B$8,0,IF(AND(YEAR(Y$3)=YEAR($B$8),MONTH(Y$3)=MONTH($B$8)),X48*(1+Y41/12),0)+Y42+Y43)</x:f>
      </x:c>
      <x:c r="Z53" s="117">
        <x:f>IF(Z$3&lt;$B$8,0,IF(AND(YEAR(Z$3)=YEAR($B$8),MONTH(Z$3)=MONTH($B$8)),Y48*(1+Z41/12),0)+Z42+Z43)</x:f>
      </x:c>
      <x:c r="AA53" s="117">
        <x:f>IF(AA$3&lt;$B$8,0,IF(AND(YEAR(AA$3)=YEAR($B$8),MONTH(AA$3)=MONTH($B$8)),Z48*(1+AA41/12),0)+AA42+AA43)</x:f>
      </x:c>
      <x:c r="AB53" s="117">
        <x:f>IF(AB$3&lt;$B$8,0,IF(AND(YEAR(AB$3)=YEAR($B$8),MONTH(AB$3)=MONTH($B$8)),AA48*(1+AB41/12),0)+AB42+AB43)</x:f>
      </x:c>
      <x:c r="AC53" s="117">
        <x:f>IF(AC$3&lt;$B$8,0,IF(AND(YEAR(AC$3)=YEAR($B$8),MONTH(AC$3)=MONTH($B$8)),AB48*(1+AC41/12),0)+AC42+AC43)</x:f>
      </x:c>
      <x:c r="AD53" s="117">
        <x:f>IF(AD$3&lt;$B$8,0,IF(AND(YEAR(AD$3)=YEAR($B$8),MONTH(AD$3)=MONTH($B$8)),AC48*(1+AD41/12),0)+AD42+AD43)</x:f>
      </x:c>
      <x:c r="AE53" s="117">
        <x:f>IF(AE$3&lt;$B$8,0,IF(AND(YEAR(AE$3)=YEAR($B$8),MONTH(AE$3)=MONTH($B$8)),AD48*(1+AE41/12),0)+AE42+AE43)</x:f>
      </x:c>
      <x:c r="AF53" s="117">
        <x:f>IF(AF$3&lt;$B$8,0,IF(AND(YEAR(AF$3)=YEAR($B$8),MONTH(AF$3)=MONTH($B$8)),AE48*(1+AF41/12),0)+AF42+AF43)</x:f>
      </x:c>
      <x:c r="AG53" s="117">
        <x:f>IF(AG$3&lt;$B$8,0,IF(AND(YEAR(AG$3)=YEAR($B$8),MONTH(AG$3)=MONTH($B$8)),AF48*(1+AG41/12),0)+AG42+AG43)</x:f>
      </x:c>
      <x:c r="AH53" s="117">
        <x:f>IF(AH$3&lt;$B$8,0,IF(AND(YEAR(AH$3)=YEAR($B$8),MONTH(AH$3)=MONTH($B$8)),AG48*(1+AH41/12),0)+AH42+AH43)</x:f>
      </x:c>
      <x:c r="AI53" s="117">
        <x:f>IF(AI$3&lt;$B$8,0,IF(AND(YEAR(AI$3)=YEAR($B$8),MONTH(AI$3)=MONTH($B$8)),AH48*(1+AI41/12),0)+AI42+AI43)</x:f>
      </x:c>
      <x:c r="AJ53" s="117">
        <x:f>IF(AJ$3&lt;$B$8,0,IF(AND(YEAR(AJ$3)=YEAR($B$8),MONTH(AJ$3)=MONTH($B$8)),AI48*(1+AJ41/12),0)+AJ42+AJ43)</x:f>
      </x:c>
      <x:c r="AK53" s="117">
        <x:f>IF(AK$3&lt;$B$8,0,IF(AND(YEAR(AK$3)=YEAR($B$8),MONTH(AK$3)=MONTH($B$8)),AJ48*(1+AK41/12),0)+AK42+AK43)</x:f>
      </x:c>
      <x:c r="AL53" s="117">
        <x:f>IF(AL$3&lt;$B$8,0,IF(AND(YEAR(AL$3)=YEAR($B$8),MONTH(AL$3)=MONTH($B$8)),AK48*(1+AL41/12),0)+AL42+AL43)</x:f>
      </x:c>
      <x:c r="AM53" s="117">
        <x:f>IF(AM$3&lt;$B$8,0,IF(AND(YEAR(AM$3)=YEAR($B$8),MONTH(AM$3)=MONTH($B$8)),AL48*(1+AM41/12),0)+AM42+AM43)</x:f>
      </x:c>
      <x:c r="AN53" s="117">
        <x:f>IF(AN$3&lt;$B$8,0,IF(AND(YEAR(AN$3)=YEAR($B$8),MONTH(AN$3)=MONTH($B$8)),AM48*(1+AN41/12),0)+AN42+AN43)</x:f>
      </x:c>
      <x:c r="AO53" s="117">
        <x:f>IF(AO$3&lt;$B$8,0,IF(AND(YEAR(AO$3)=YEAR($B$8),MONTH(AO$3)=MONTH($B$8)),AN48*(1+AO41/12),0)+AO42+AO43)</x:f>
      </x:c>
      <x:c r="AP53" s="117">
        <x:f>IF(AP$3&lt;$B$8,0,IF(AND(YEAR(AP$3)=YEAR($B$8),MONTH(AP$3)=MONTH($B$8)),AO48*(1+AP41/12),0)+AP42+AP43)</x:f>
      </x:c>
      <x:c r="AQ53" s="117">
        <x:f>IF(AQ$3&lt;$B$8,0,IF(AND(YEAR(AQ$3)=YEAR($B$8),MONTH(AQ$3)=MONTH($B$8)),AP48*(1+AQ41/12),0)+AQ42+AQ43)</x:f>
      </x:c>
      <x:c r="AR53" s="117">
        <x:f>IF(AR$3&lt;$B$8,0,IF(AND(YEAR(AR$3)=YEAR($B$8),MONTH(AR$3)=MONTH($B$8)),AQ48*(1+AR41/12),0)+AR42+AR43)</x:f>
      </x:c>
      <x:c r="AS53" s="117">
        <x:f>IF(AS$3&lt;$B$8,0,IF(AND(YEAR(AS$3)=YEAR($B$8),MONTH(AS$3)=MONTH($B$8)),AR48*(1+AS41/12),0)+AS42+AS43)</x:f>
      </x:c>
      <x:c r="AT53" s="117">
        <x:f>IF(AT$3&lt;$B$8,0,IF(AND(YEAR(AT$3)=YEAR($B$8),MONTH(AT$3)=MONTH($B$8)),AS48*(1+AT41/12),0)+AT42+AT43)</x:f>
      </x:c>
      <x:c r="AU53" s="117">
        <x:f>IF(AU$3&lt;$B$8,0,IF(AND(YEAR(AU$3)=YEAR($B$8),MONTH(AU$3)=MONTH($B$8)),AT48*(1+AU41/12),0)+AU42+AU43)</x:f>
      </x:c>
      <x:c r="AV53" s="117">
        <x:f>IF(AV$3&lt;$B$8,0,IF(AND(YEAR(AV$3)=YEAR($B$8),MONTH(AV$3)=MONTH($B$8)),AU48*(1+AV41/12),0)+AV42+AV43)</x:f>
      </x:c>
      <x:c r="AW53" s="117">
        <x:f>IF(AW$3&lt;$B$8,0,IF(AND(YEAR(AW$3)=YEAR($B$8),MONTH(AW$3)=MONTH($B$8)),AV48*(1+AW41/12),0)+AW42+AW43)</x:f>
      </x:c>
      <x:c r="AX53" s="117">
        <x:f>IF(AX$3&lt;$B$8,0,IF(AND(YEAR(AX$3)=YEAR($B$8),MONTH(AX$3)=MONTH($B$8)),AW48*(1+AX41/12),0)+AX42+AX43)</x:f>
      </x:c>
      <x:c r="AY53" s="117">
        <x:f>IF(AY$3&lt;$B$8,0,IF(AND(YEAR(AY$3)=YEAR($B$8),MONTH(AY$3)=MONTH($B$8)),AX48*(1+AY41/12),0)+AY42+AY43)</x:f>
      </x:c>
      <x:c r="AZ53" s="117">
        <x:f>IF(AZ$3&lt;$B$8,0,IF(AND(YEAR(AZ$3)=YEAR($B$8),MONTH(AZ$3)=MONTH($B$8)),AY48*(1+AZ41/12),0)+AZ42+AZ43)</x:f>
      </x:c>
      <x:c r="BA53" s="117">
        <x:f>IF(BA$3&lt;$B$8,0,IF(AND(YEAR(BA$3)=YEAR($B$8),MONTH(BA$3)=MONTH($B$8)),AZ48*(1+BA41/12),0)+BA42+BA43)</x:f>
      </x:c>
      <x:c r="BB53" s="117">
        <x:f>IF(BB$3&lt;$B$8,0,IF(AND(YEAR(BB$3)=YEAR($B$8),MONTH(BB$3)=MONTH($B$8)),BA48*(1+BB41/12),0)+BB42+BB43)</x:f>
      </x:c>
      <x:c r="BC53" s="117">
        <x:f>IF(BC$3&lt;$B$8,0,IF(AND(YEAR(BC$3)=YEAR($B$8),MONTH(BC$3)=MONTH($B$8)),BB48*(1+BC41/12),0)+BC42+BC43)</x:f>
      </x:c>
      <x:c r="BD53" s="117">
        <x:f>IF(BD$3&lt;$B$8,0,IF(AND(YEAR(BD$3)=YEAR($B$8),MONTH(BD$3)=MONTH($B$8)),BC48*(1+BD41/12),0)+BD42+BD43)</x:f>
      </x:c>
      <x:c r="BE53" s="117">
        <x:f>IF(BE$3&lt;$B$8,0,IF(AND(YEAR(BE$3)=YEAR($B$8),MONTH(BE$3)=MONTH($B$8)),BD48*(1+BE41/12),0)+BE42+BE43)</x:f>
      </x:c>
      <x:c r="BF53" s="117">
        <x:f>IF(BF$3&lt;$B$8,0,IF(AND(YEAR(BF$3)=YEAR($B$8),MONTH(BF$3)=MONTH($B$8)),BE48*(1+BF41/12),0)+BF42+BF43)</x:f>
      </x:c>
      <x:c r="BG53" s="117">
        <x:f>IF(BG$3&lt;$B$8,0,IF(AND(YEAR(BG$3)=YEAR($B$8),MONTH(BG$3)=MONTH($B$8)),BF48*(1+BG41/12),0)+BG42+BG43)</x:f>
      </x:c>
      <x:c r="BH53" s="117">
        <x:f>IF(BH$3&lt;$B$8,0,IF(AND(YEAR(BH$3)=YEAR($B$8),MONTH(BH$3)=MONTH($B$8)),BG48*(1+BH41/12),0)+BH42+BH43)</x:f>
      </x:c>
      <x:c r="BI53" s="117">
        <x:f>IF(BI$3&lt;$B$8,0,IF(AND(YEAR(BI$3)=YEAR($B$8),MONTH(BI$3)=MONTH($B$8)),BH48*(1+BI41/12),0)+BI42+BI43)</x:f>
      </x:c>
      <x:c r="BJ53" s="117">
        <x:f>IF(BJ$3&lt;$B$8,0,IF(AND(YEAR(BJ$3)=YEAR($B$8),MONTH(BJ$3)=MONTH($B$8)),BI48*(1+BJ41/12),0)+BJ42+BJ43)</x:f>
      </x:c>
      <x:c r="BK53" s="117">
        <x:f>IF(BK$3&lt;$B$8,0,IF(AND(YEAR(BK$3)=YEAR($B$8),MONTH(BK$3)=MONTH($B$8)),BJ48*(1+BK41/12),0)+BK42+BK43)</x:f>
      </x:c>
      <x:c r="BL53" s="117">
        <x:f>IF(BL$3&lt;$B$8,0,IF(AND(YEAR(BL$3)=YEAR($B$8),MONTH(BL$3)=MONTH($B$8)),BK48*(1+BL41/12),0)+BL42+BL43)</x:f>
      </x:c>
      <x:c r="BM53" s="117">
        <x:f>IF(BM$3&lt;$B$8,0,IF(AND(YEAR(BM$3)=YEAR($B$8),MONTH(BM$3)=MONTH($B$8)),BL48*(1+BM41/12),0)+BM42+BM43)</x:f>
      </x:c>
      <x:c r="BN53" s="117">
        <x:f>IF(BN$3&lt;$B$8,0,IF(AND(YEAR(BN$3)=YEAR($B$8),MONTH(BN$3)=MONTH($B$8)),BM48*(1+BN41/12),0)+BN42+BN43)</x:f>
      </x:c>
      <x:c r="BO53" s="117">
        <x:f>IF(BO$3&lt;$B$8,0,IF(AND(YEAR(BO$3)=YEAR($B$8),MONTH(BO$3)=MONTH($B$8)),BN48*(1+BO41/12),0)+BO42+BO43)</x:f>
      </x:c>
      <x:c r="BP53" s="117">
        <x:f>IF(BP$3&lt;$B$8,0,IF(AND(YEAR(BP$3)=YEAR($B$8),MONTH(BP$3)=MONTH($B$8)),BO48*(1+BP41/12),0)+BP42+BP43)</x:f>
      </x:c>
      <x:c r="BQ53" s="117">
        <x:f>IF(BQ$3&lt;$B$8,0,IF(AND(YEAR(BQ$3)=YEAR($B$8),MONTH(BQ$3)=MONTH($B$8)),BP48*(1+BQ41/12),0)+BQ42+BQ43)</x:f>
      </x:c>
      <x:c r="BR53" s="117">
        <x:f>IF(BR$3&lt;$B$8,0,IF(AND(YEAR(BR$3)=YEAR($B$8),MONTH(BR$3)=MONTH($B$8)),BQ48*(1+BR41/12),0)+BR42+BR43)</x:f>
      </x:c>
      <x:c r="BS53" s="117">
        <x:f>IF(BS$3&lt;$B$8,0,IF(AND(YEAR(BS$3)=YEAR($B$8),MONTH(BS$3)=MONTH($B$8)),BR48*(1+BS41/12),0)+BS42+BS43)</x:f>
      </x:c>
      <x:c r="BT53" s="117">
        <x:f>IF(BT$3&lt;$B$8,0,IF(AND(YEAR(BT$3)=YEAR($B$8),MONTH(BT$3)=MONTH($B$8)),BS48*(1+BT41/12),0)+BT42+BT43)</x:f>
      </x:c>
      <x:c r="BU53" s="117">
        <x:f>IF(BU$3&lt;$B$8,0,IF(AND(YEAR(BU$3)=YEAR($B$8),MONTH(BU$3)=MONTH($B$8)),BT48*(1+BU41/12),0)+BU42+BU43)</x:f>
      </x:c>
      <x:c r="BV53" s="117">
        <x:f>IF(BV$3&lt;$B$8,0,IF(AND(YEAR(BV$3)=YEAR($B$8),MONTH(BV$3)=MONTH($B$8)),BU48*(1+BV41/12),0)+BV42+BV43)</x:f>
      </x:c>
      <x:c r="BW53" s="117">
        <x:f>IF(BW$3&lt;$B$8,0,IF(AND(YEAR(BW$3)=YEAR($B$8),MONTH(BW$3)=MONTH($B$8)),BV48*(1+BW41/12),0)+BW42+BW43)</x:f>
      </x:c>
      <x:c r="BX53" s="117">
        <x:f>IF(BX$3&lt;$B$8,0,IF(AND(YEAR(BX$3)=YEAR($B$8),MONTH(BX$3)=MONTH($B$8)),BW48*(1+BX41/12),0)+BX42+BX43)</x:f>
      </x:c>
      <x:c r="BY53" s="117">
        <x:f>IF(BY$3&lt;$B$8,0,IF(AND(YEAR(BY$3)=YEAR($B$8),MONTH(BY$3)=MONTH($B$8)),BX48*(1+BY41/12),0)+BY42+BY43)</x:f>
      </x:c>
      <x:c r="BZ53" s="117">
        <x:f>IF(BZ$3&lt;$B$8,0,IF(AND(YEAR(BZ$3)=YEAR($B$8),MONTH(BZ$3)=MONTH($B$8)),BY48*(1+BZ41/12),0)+BZ42+BZ43)</x:f>
      </x:c>
      <x:c r="CA53" s="117">
        <x:f>IF(CA$3&lt;$B$8,0,IF(AND(YEAR(CA$3)=YEAR($B$8),MONTH(CA$3)=MONTH($B$8)),BZ48*(1+CA41/12),0)+CA42+CA43)</x:f>
      </x:c>
      <x:c r="CB53" s="117">
        <x:f>IF(CB$3&lt;$B$8,0,IF(AND(YEAR(CB$3)=YEAR($B$8),MONTH(CB$3)=MONTH($B$8)),CA48*(1+CB41/12),0)+CB42+CB43)</x:f>
      </x:c>
      <x:c r="CC53" s="117">
        <x:f>IF(CC$3&lt;$B$8,0,IF(AND(YEAR(CC$3)=YEAR($B$8),MONTH(CC$3)=MONTH($B$8)),CB48*(1+CC41/12),0)+CC42+CC43)</x:f>
      </x:c>
      <x:c r="CD53" s="117">
        <x:f>IF(CD$3&lt;$B$8,0,IF(AND(YEAR(CD$3)=YEAR($B$8),MONTH(CD$3)=MONTH($B$8)),CC48*(1+CD41/12),0)+CD42+CD43)</x:f>
      </x:c>
      <x:c r="CE53" s="117">
        <x:f>IF(CE$3&lt;$B$8,0,IF(AND(YEAR(CE$3)=YEAR($B$8),MONTH(CE$3)=MONTH($B$8)),CD48*(1+CE41/12),0)+CE42+CE43)</x:f>
      </x:c>
      <x:c r="CF53" s="117">
        <x:f>IF(CF$3&lt;$B$8,0,IF(AND(YEAR(CF$3)=YEAR($B$8),MONTH(CF$3)=MONTH($B$8)),CE48*(1+CF41/12),0)+CF42+CF43)</x:f>
      </x:c>
      <x:c r="CG53" s="117">
        <x:f>IF(CG$3&lt;$B$8,0,IF(AND(YEAR(CG$3)=YEAR($B$8),MONTH(CG$3)=MONTH($B$8)),CF48*(1+CG41/12),0)+CG42+CG43)</x:f>
      </x:c>
      <x:c r="CH53" s="117">
        <x:f>IF(CH$3&lt;$B$8,0,IF(AND(YEAR(CH$3)=YEAR($B$8),MONTH(CH$3)=MONTH($B$8)),CG48*(1+CH41/12),0)+CH42+CH43)</x:f>
      </x:c>
      <x:c r="CI53" s="117">
        <x:f>IF(CI$3&lt;$B$8,0,IF(AND(YEAR(CI$3)=YEAR($B$8),MONTH(CI$3)=MONTH($B$8)),CH48*(1+CI41/12),0)+CI42+CI43)</x:f>
      </x:c>
      <x:c r="CJ53" s="117">
        <x:f>IF(CJ$3&lt;$B$8,0,IF(AND(YEAR(CJ$3)=YEAR($B$8),MONTH(CJ$3)=MONTH($B$8)),CI48*(1+CJ41/12),0)+CJ42+CJ43)</x:f>
      </x:c>
      <x:c r="CK53" s="117">
        <x:f>IF(CK$3&lt;$B$8,0,IF(AND(YEAR(CK$3)=YEAR($B$8),MONTH(CK$3)=MONTH($B$8)),CJ48*(1+CK41/12),0)+CK42+CK43)</x:f>
      </x:c>
      <x:c r="CL53" s="117">
        <x:f>IF(CL$3&lt;$B$8,0,IF(AND(YEAR(CL$3)=YEAR($B$8),MONTH(CL$3)=MONTH($B$8)),CK48*(1+CL41/12),0)+CL42+CL43)</x:f>
      </x:c>
      <x:c r="CM53" s="117">
        <x:f>IF(CM$3&lt;$B$8,0,IF(AND(YEAR(CM$3)=YEAR($B$8),MONTH(CM$3)=MONTH($B$8)),CL48*(1+CM41/12),0)+CM42+CM43)</x:f>
      </x:c>
      <x:c r="CN53" s="117">
        <x:f>IF(CN$3&lt;$B$8,0,IF(AND(YEAR(CN$3)=YEAR($B$8),MONTH(CN$3)=MONTH($B$8)),CM48*(1+CN41/12),0)+CN42+CN43)</x:f>
      </x:c>
      <x:c r="CO53" s="117">
        <x:f>IF(CO$3&lt;$B$8,0,IF(AND(YEAR(CO$3)=YEAR($B$8),MONTH(CO$3)=MONTH($B$8)),CN48*(1+CO41/12),0)+CO42+CO43)</x:f>
      </x:c>
      <x:c r="CP53" s="117">
        <x:f>IF(CP$3&lt;$B$8,0,IF(AND(YEAR(CP$3)=YEAR($B$8),MONTH(CP$3)=MONTH($B$8)),CO48*(1+CP41/12),0)+CP42+CP43)</x:f>
      </x:c>
      <x:c r="CQ53" s="117">
        <x:f>IF(CQ$3&lt;$B$8,0,IF(AND(YEAR(CQ$3)=YEAR($B$8),MONTH(CQ$3)=MONTH($B$8)),CP48*(1+CQ41/12),0)+CQ42+CQ43)</x:f>
      </x:c>
      <x:c r="CR53" s="117">
        <x:f>IF(CR$3&lt;$B$8,0,IF(AND(YEAR(CR$3)=YEAR($B$8),MONTH(CR$3)=MONTH($B$8)),CQ48*(1+CR41/12),0)+CR42+CR43)</x:f>
      </x:c>
      <x:c r="CS53" s="117">
        <x:f>IF(CS$3&lt;$B$8,0,IF(AND(YEAR(CS$3)=YEAR($B$8),MONTH(CS$3)=MONTH($B$8)),CR48*(1+CS41/12),0)+CS42+CS43)</x:f>
      </x:c>
      <x:c r="CT53" s="117">
        <x:f>IF(CT$3&lt;$B$8,0,IF(AND(YEAR(CT$3)=YEAR($B$8),MONTH(CT$3)=MONTH($B$8)),CS48*(1+CT41/12),0)+CT42+CT43)</x:f>
      </x:c>
      <x:c r="CU53" s="117">
        <x:f>IF(CU$3&lt;$B$8,0,IF(AND(YEAR(CU$3)=YEAR($B$8),MONTH(CU$3)=MONTH($B$8)),CT48*(1+CU41/12),0)+CU42+CU43)</x:f>
      </x:c>
      <x:c r="CV53" s="117">
        <x:f>IF(CV$3&lt;$B$8,0,IF(AND(YEAR(CV$3)=YEAR($B$8),MONTH(CV$3)=MONTH($B$8)),CU48*(1+CV41/12),0)+CV42+CV43)</x:f>
      </x:c>
      <x:c r="CW53" s="117">
        <x:f>IF(CW$3&lt;$B$8,0,IF(AND(YEAR(CW$3)=YEAR($B$8),MONTH(CW$3)=MONTH($B$8)),CV48*(1+CW41/12),0)+CW42+CW43)</x:f>
      </x:c>
      <x:c r="CX53" s="117">
        <x:f>IF(CX$3&lt;$B$8,0,IF(AND(YEAR(CX$3)=YEAR($B$8),MONTH(CX$3)=MONTH($B$8)),CW48*(1+CX41/12),0)+CX42+CX43)</x:f>
      </x:c>
      <x:c r="CY53" s="117">
        <x:f>IF(CY$3&lt;$B$8,0,IF(AND(YEAR(CY$3)=YEAR($B$8),MONTH(CY$3)=MONTH($B$8)),CX48*(1+CY41/12),0)+CY42+CY43)</x:f>
      </x:c>
      <x:c r="CZ53" s="117">
        <x:f>IF(CZ$3&lt;$B$8,0,IF(AND(YEAR(CZ$3)=YEAR($B$8),MONTH(CZ$3)=MONTH($B$8)),CY48*(1+CZ41/12),0)+CZ42+CZ43)</x:f>
      </x:c>
      <x:c r="DA53" s="117">
        <x:f>IF(DA$3&lt;$B$8,0,IF(AND(YEAR(DA$3)=YEAR($B$8),MONTH(DA$3)=MONTH($B$8)),CZ48*(1+DA41/12),0)+DA42+DA43)</x:f>
      </x:c>
      <x:c r="DB53" s="117">
        <x:f>IF(DB$3&lt;$B$8,0,IF(AND(YEAR(DB$3)=YEAR($B$8),MONTH(DB$3)=MONTH($B$8)),DA48*(1+DB41/12),0)+DB42+DB43)</x:f>
      </x:c>
      <x:c r="DC53" s="117">
        <x:f>IF(DC$3&lt;$B$8,0,IF(AND(YEAR(DC$3)=YEAR($B$8),MONTH(DC$3)=MONTH($B$8)),DB48*(1+DC41/12),0)+DC42+DC43)</x:f>
      </x:c>
      <x:c r="DD53" s="117">
        <x:f>IF(DD$3&lt;$B$8,0,IF(AND(YEAR(DD$3)=YEAR($B$8),MONTH(DD$3)=MONTH($B$8)),DC48*(1+DD41/12),0)+DD42+DD43)</x:f>
      </x:c>
      <x:c r="DE53" s="117">
        <x:f>IF(DE$3&lt;$B$8,0,IF(AND(YEAR(DE$3)=YEAR($B$8),MONTH(DE$3)=MONTH($B$8)),DD48*(1+DE41/12),0)+DE42+DE43)</x:f>
      </x:c>
      <x:c r="DF53" s="117">
        <x:f>IF(DF$3&lt;$B$8,0,IF(AND(YEAR(DF$3)=YEAR($B$8),MONTH(DF$3)=MONTH($B$8)),DE48*(1+DF41/12),0)+DF42+DF43)</x:f>
      </x:c>
      <x:c r="DG53" s="117">
        <x:f>IF(DG$3&lt;$B$8,0,IF(AND(YEAR(DG$3)=YEAR($B$8),MONTH(DG$3)=MONTH($B$8)),DF48*(1+DG41/12),0)+DG42+DG43)</x:f>
      </x:c>
      <x:c r="DH53" s="117">
        <x:f>IF(DH$3&lt;$B$8,0,IF(AND(YEAR(DH$3)=YEAR($B$8),MONTH(DH$3)=MONTH($B$8)),DG48*(1+DH41/12),0)+DH42+DH43)</x:f>
      </x:c>
      <x:c r="DI53" s="117">
        <x:f>IF(DI$3&lt;$B$8,0,IF(AND(YEAR(DI$3)=YEAR($B$8),MONTH(DI$3)=MONTH($B$8)),DH48*(1+DI41/12),0)+DI42+DI43)</x:f>
      </x:c>
      <x:c r="DJ53" s="117">
        <x:f>IF(DJ$3&lt;$B$8,0,IF(AND(YEAR(DJ$3)=YEAR($B$8),MONTH(DJ$3)=MONTH($B$8)),DI48*(1+DJ41/12),0)+DJ42+DJ43)</x:f>
      </x:c>
      <x:c r="DK53" s="117">
        <x:f>IF(DK$3&lt;$B$8,0,IF(AND(YEAR(DK$3)=YEAR($B$8),MONTH(DK$3)=MONTH($B$8)),DJ48*(1+DK41/12),0)+DK42+DK43)</x:f>
      </x:c>
      <x:c r="DL53" s="117">
        <x:f>IF(DL$3&lt;$B$8,0,IF(AND(YEAR(DL$3)=YEAR($B$8),MONTH(DL$3)=MONTH($B$8)),DK48*(1+DL41/12),0)+DL42+DL43)</x:f>
      </x:c>
      <x:c r="DM53" s="117">
        <x:f>IF(DM$3&lt;$B$8,0,IF(AND(YEAR(DM$3)=YEAR($B$8),MONTH(DM$3)=MONTH($B$8)),DL48*(1+DM41/12),0)+DM42+DM43)</x:f>
      </x:c>
      <x:c r="DN53" s="117">
        <x:f>IF(DN$3&lt;$B$8,0,IF(AND(YEAR(DN$3)=YEAR($B$8),MONTH(DN$3)=MONTH($B$8)),DM48*(1+DN41/12),0)+DN42+DN43)</x:f>
      </x:c>
      <x:c r="DO53" s="117">
        <x:f>IF(DO$3&lt;$B$8,0,IF(AND(YEAR(DO$3)=YEAR($B$8),MONTH(DO$3)=MONTH($B$8)),DN48*(1+DO41/12),0)+DO42+DO43)</x:f>
      </x:c>
      <x:c r="DP53" s="117">
        <x:f>IF(DP$3&lt;$B$8,0,IF(AND(YEAR(DP$3)=YEAR($B$8),MONTH(DP$3)=MONTH($B$8)),DO48*(1+DP41/12),0)+DP42+DP43)</x:f>
      </x:c>
      <x:c r="DQ53" s="117">
        <x:f>IF(DQ$3&lt;$B$8,0,IF(AND(YEAR(DQ$3)=YEAR($B$8),MONTH(DQ$3)=MONTH($B$8)),DP48*(1+DQ41/12),0)+DQ42+DQ43)</x:f>
      </x:c>
      <x:c r="DR53" s="117">
        <x:f>IF(DR$3&lt;$B$8,0,IF(AND(YEAR(DR$3)=YEAR($B$8),MONTH(DR$3)=MONTH($B$8)),DQ48*(1+DR41/12),0)+DR42+DR43)</x:f>
      </x:c>
      <x:c r="DS53" s="117">
        <x:f>IF(DS$3&lt;$B$8,0,IF(AND(YEAR(DS$3)=YEAR($B$8),MONTH(DS$3)=MONTH($B$8)),DR48*(1+DS41/12),0)+DS42+DS43)</x:f>
      </x:c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 t="str">
        <x:v>Собственные средства — расход</x:v>
      </x:c>
      <x:c r="B56">
        <x:f>SUM(D56:DS56)</x:f>
      </x:c>
      <x:c r="C56" t="str">
        <x:v>млн ₽</x:v>
      </x:c>
      <x:c r="D56" s="117">
        <x:f>MIN(MAX(0,'Вводные'!$B$85*'Вводные'!$AI$91),D33)</x:f>
      </x:c>
      <x:c r="E56" s="117">
        <x:f>MIN(MAX(0,D59),E33)</x:f>
      </x:c>
      <x:c r="F56" s="117">
        <x:f>MIN(MAX(0,E59),F33)</x:f>
      </x:c>
      <x:c r="G56" s="117">
        <x:f>MIN(MAX(0,F59),G33)</x:f>
      </x:c>
      <x:c r="H56" s="117">
        <x:f>MIN(MAX(0,G59),H33)</x:f>
      </x:c>
      <x:c r="I56" s="117">
        <x:f>MIN(MAX(0,H59),I33)</x:f>
      </x:c>
      <x:c r="J56" s="117">
        <x:f>MIN(MAX(0,I59),J33)</x:f>
      </x:c>
      <x:c r="K56" s="117">
        <x:f>MIN(MAX(0,J59),K33)</x:f>
      </x:c>
      <x:c r="L56" s="117">
        <x:f>MIN(MAX(0,K59),L33)</x:f>
      </x:c>
      <x:c r="M56" s="117">
        <x:f>MIN(MAX(0,L59),M33)</x:f>
      </x:c>
      <x:c r="N56" s="117">
        <x:f>MIN(MAX(0,M59),N33)</x:f>
      </x:c>
      <x:c r="O56" s="117">
        <x:f>MIN(MAX(0,N59),O33)</x:f>
      </x:c>
      <x:c r="P56" s="117">
        <x:f>MIN(MAX(0,O59),P33)</x:f>
      </x:c>
      <x:c r="Q56" s="117">
        <x:f>MIN(MAX(0,P59),Q33)</x:f>
      </x:c>
      <x:c r="R56" s="117">
        <x:f>MIN(MAX(0,Q59),R33)</x:f>
      </x:c>
      <x:c r="S56" s="117">
        <x:f>MIN(MAX(0,R59),S33)</x:f>
      </x:c>
      <x:c r="T56" s="117">
        <x:f>MIN(MAX(0,S59),T33)</x:f>
      </x:c>
      <x:c r="U56" s="117">
        <x:f>MIN(MAX(0,T59),U33)</x:f>
      </x:c>
      <x:c r="V56" s="117">
        <x:f>MIN(MAX(0,U59),V33)</x:f>
      </x:c>
      <x:c r="W56" s="117">
        <x:f>MIN(MAX(0,V59),W33)</x:f>
      </x:c>
      <x:c r="X56" s="117">
        <x:f>MIN(MAX(0,W59),X33)</x:f>
      </x:c>
      <x:c r="Y56" s="117">
        <x:f>MIN(MAX(0,X59),Y33)</x:f>
      </x:c>
      <x:c r="Z56" s="117">
        <x:f>MIN(MAX(0,Y59),Z33)</x:f>
      </x:c>
      <x:c r="AA56" s="117">
        <x:f>MIN(MAX(0,Z59),AA33)</x:f>
      </x:c>
      <x:c r="AB56" s="117">
        <x:f>MIN(MAX(0,AA59),AB33)</x:f>
      </x:c>
      <x:c r="AC56" s="117">
        <x:f>MIN(MAX(0,AB59),AC33)</x:f>
      </x:c>
      <x:c r="AD56" s="117">
        <x:f>MIN(MAX(0,AC59),AD33)</x:f>
      </x:c>
      <x:c r="AE56" s="117">
        <x:f>MIN(MAX(0,AD59),AE33)</x:f>
      </x:c>
      <x:c r="AF56" s="117">
        <x:f>MIN(MAX(0,AE59),AF33)</x:f>
      </x:c>
      <x:c r="AG56" s="117">
        <x:f>MIN(MAX(0,AF59),AG33)</x:f>
      </x:c>
      <x:c r="AH56" s="117">
        <x:f>MIN(MAX(0,AG59),AH33)</x:f>
      </x:c>
      <x:c r="AI56" s="117">
        <x:f>MIN(MAX(0,AH59),AI33)</x:f>
      </x:c>
      <x:c r="AJ56" s="117">
        <x:f>MIN(MAX(0,AI59),AJ33)</x:f>
      </x:c>
      <x:c r="AK56" s="117">
        <x:f>MIN(MAX(0,AJ59),AK33)</x:f>
      </x:c>
      <x:c r="AL56" s="117">
        <x:f>MIN(MAX(0,AK59),AL33)</x:f>
      </x:c>
      <x:c r="AM56" s="117">
        <x:f>MIN(MAX(0,AL59),AM33)</x:f>
      </x:c>
      <x:c r="AN56" s="117">
        <x:f>MIN(MAX(0,AM59),AN33)</x:f>
      </x:c>
      <x:c r="AO56" s="117">
        <x:f>MIN(MAX(0,AN59),AO33)</x:f>
      </x:c>
      <x:c r="AP56" s="117">
        <x:f>MIN(MAX(0,AO59),AP33)</x:f>
      </x:c>
      <x:c r="AQ56" s="117">
        <x:f>MIN(MAX(0,AP59),AQ33)</x:f>
      </x:c>
      <x:c r="AR56" s="117">
        <x:f>MIN(MAX(0,AQ59),AR33)</x:f>
      </x:c>
      <x:c r="AS56" s="117">
        <x:f>MIN(MAX(0,AR59),AS33)</x:f>
      </x:c>
      <x:c r="AT56" s="117">
        <x:f>MIN(MAX(0,AS59),AT33)</x:f>
      </x:c>
      <x:c r="AU56" s="117">
        <x:f>MIN(MAX(0,AT59),AU33)</x:f>
      </x:c>
      <x:c r="AV56" s="117">
        <x:f>MIN(MAX(0,AU59),AV33)</x:f>
      </x:c>
      <x:c r="AW56" s="117">
        <x:f>MIN(MAX(0,AV59),AW33)</x:f>
      </x:c>
      <x:c r="AX56" s="117">
        <x:f>MIN(MAX(0,AW59),AX33)</x:f>
      </x:c>
      <x:c r="AY56" s="117">
        <x:f>MIN(MAX(0,AX59),AY33)</x:f>
      </x:c>
      <x:c r="AZ56" s="117">
        <x:f>MIN(MAX(0,AY59),AZ33)</x:f>
      </x:c>
      <x:c r="BA56" s="117">
        <x:f>MIN(MAX(0,AZ59),BA33)</x:f>
      </x:c>
      <x:c r="BB56" s="117">
        <x:f>MIN(MAX(0,BA59),BB33)</x:f>
      </x:c>
      <x:c r="BC56" s="117">
        <x:f>MIN(MAX(0,BB59),BC33)</x:f>
      </x:c>
      <x:c r="BD56" s="117">
        <x:f>MIN(MAX(0,BC59),BD33)</x:f>
      </x:c>
      <x:c r="BE56" s="117">
        <x:f>MIN(MAX(0,BD59),BE33)</x:f>
      </x:c>
      <x:c r="BF56" s="117">
        <x:f>MIN(MAX(0,BE59),BF33)</x:f>
      </x:c>
      <x:c r="BG56" s="117">
        <x:f>MIN(MAX(0,BF59),BG33)</x:f>
      </x:c>
      <x:c r="BH56" s="117">
        <x:f>MIN(MAX(0,BG59),BH33)</x:f>
      </x:c>
      <x:c r="BI56" s="117">
        <x:f>MIN(MAX(0,BH59),BI33)</x:f>
      </x:c>
      <x:c r="BJ56" s="117">
        <x:f>MIN(MAX(0,BI59),BJ33)</x:f>
      </x:c>
      <x:c r="BK56" s="117">
        <x:f>MIN(MAX(0,BJ59),BK33)</x:f>
      </x:c>
      <x:c r="BL56" s="117">
        <x:f>MIN(MAX(0,BK59),BL33)</x:f>
      </x:c>
      <x:c r="BM56" s="117">
        <x:f>MIN(MAX(0,BL59),BM33)</x:f>
      </x:c>
      <x:c r="BN56" s="117">
        <x:f>MIN(MAX(0,BM59),BN33)</x:f>
      </x:c>
      <x:c r="BO56" s="117">
        <x:f>MIN(MAX(0,BN59),BO33)</x:f>
      </x:c>
      <x:c r="BP56" s="117">
        <x:f>MIN(MAX(0,BO59),BP33)</x:f>
      </x:c>
      <x:c r="BQ56" s="117">
        <x:f>MIN(MAX(0,BP59),BQ33)</x:f>
      </x:c>
      <x:c r="BR56" s="117">
        <x:f>MIN(MAX(0,BQ59),BR33)</x:f>
      </x:c>
      <x:c r="BS56" s="117">
        <x:f>MIN(MAX(0,BR59),BS33)</x:f>
      </x:c>
      <x:c r="BT56" s="117">
        <x:f>MIN(MAX(0,BS59),BT33)</x:f>
      </x:c>
      <x:c r="BU56" s="117">
        <x:f>MIN(MAX(0,BT59),BU33)</x:f>
      </x:c>
      <x:c r="BV56" s="117">
        <x:f>MIN(MAX(0,BU59),BV33)</x:f>
      </x:c>
      <x:c r="BW56" s="117">
        <x:f>MIN(MAX(0,BV59),BW33)</x:f>
      </x:c>
      <x:c r="BX56" s="117">
        <x:f>MIN(MAX(0,BW59),BX33)</x:f>
      </x:c>
      <x:c r="BY56" s="117">
        <x:f>MIN(MAX(0,BX59),BY33)</x:f>
      </x:c>
      <x:c r="BZ56" s="117">
        <x:f>MIN(MAX(0,BY59),BZ33)</x:f>
      </x:c>
      <x:c r="CA56" s="117">
        <x:f>MIN(MAX(0,BZ59),CA33)</x:f>
      </x:c>
      <x:c r="CB56" s="117">
        <x:f>MIN(MAX(0,CA59),CB33)</x:f>
      </x:c>
      <x:c r="CC56" s="117">
        <x:f>MIN(MAX(0,CB59),CC33)</x:f>
      </x:c>
      <x:c r="CD56" s="117">
        <x:f>MIN(MAX(0,CC59),CD33)</x:f>
      </x:c>
      <x:c r="CE56" s="117">
        <x:f>MIN(MAX(0,CD59),CE33)</x:f>
      </x:c>
      <x:c r="CF56" s="117">
        <x:f>MIN(MAX(0,CE59),CF33)</x:f>
      </x:c>
      <x:c r="CG56" s="117">
        <x:f>MIN(MAX(0,CF59),CG33)</x:f>
      </x:c>
      <x:c r="CH56" s="117">
        <x:f>MIN(MAX(0,CG59),CH33)</x:f>
      </x:c>
      <x:c r="CI56" s="117">
        <x:f>MIN(MAX(0,CH59),CI33)</x:f>
      </x:c>
      <x:c r="CJ56" s="117">
        <x:f>MIN(MAX(0,CI59),CJ33)</x:f>
      </x:c>
      <x:c r="CK56" s="117">
        <x:f>MIN(MAX(0,CJ59),CK33)</x:f>
      </x:c>
      <x:c r="CL56" s="117">
        <x:f>MIN(MAX(0,CK59),CL33)</x:f>
      </x:c>
      <x:c r="CM56" s="117">
        <x:f>MIN(MAX(0,CL59),CM33)</x:f>
      </x:c>
      <x:c r="CN56" s="117">
        <x:f>MIN(MAX(0,CM59),CN33)</x:f>
      </x:c>
      <x:c r="CO56" s="117">
        <x:f>MIN(MAX(0,CN59),CO33)</x:f>
      </x:c>
      <x:c r="CP56" s="117">
        <x:f>MIN(MAX(0,CO59),CP33)</x:f>
      </x:c>
      <x:c r="CQ56" s="117">
        <x:f>MIN(MAX(0,CP59),CQ33)</x:f>
      </x:c>
      <x:c r="CR56" s="117">
        <x:f>MIN(MAX(0,CQ59),CR33)</x:f>
      </x:c>
      <x:c r="CS56" s="117">
        <x:f>MIN(MAX(0,CR59),CS33)</x:f>
      </x:c>
      <x:c r="CT56" s="117">
        <x:f>MIN(MAX(0,CS59),CT33)</x:f>
      </x:c>
      <x:c r="CU56" s="117">
        <x:f>MIN(MAX(0,CT59),CU33)</x:f>
      </x:c>
      <x:c r="CV56" s="117">
        <x:f>MIN(MAX(0,CU59),CV33)</x:f>
      </x:c>
      <x:c r="CW56" s="117">
        <x:f>MIN(MAX(0,CV59),CW33)</x:f>
      </x:c>
      <x:c r="CX56" s="117">
        <x:f>MIN(MAX(0,CW59),CX33)</x:f>
      </x:c>
      <x:c r="CY56" s="117">
        <x:f>MIN(MAX(0,CX59),CY33)</x:f>
      </x:c>
      <x:c r="CZ56" s="117">
        <x:f>MIN(MAX(0,CY59),CZ33)</x:f>
      </x:c>
      <x:c r="DA56" s="117">
        <x:f>MIN(MAX(0,CZ59),DA33)</x:f>
      </x:c>
      <x:c r="DB56" s="117">
        <x:f>MIN(MAX(0,DA59),DB33)</x:f>
      </x:c>
      <x:c r="DC56" s="117">
        <x:f>MIN(MAX(0,DB59),DC33)</x:f>
      </x:c>
      <x:c r="DD56" s="117">
        <x:f>MIN(MAX(0,DC59),DD33)</x:f>
      </x:c>
      <x:c r="DE56" s="117">
        <x:f>MIN(MAX(0,DD59),DE33)</x:f>
      </x:c>
      <x:c r="DF56" s="117">
        <x:f>MIN(MAX(0,DE59),DF33)</x:f>
      </x:c>
      <x:c r="DG56" s="117">
        <x:f>MIN(MAX(0,DF59),DG33)</x:f>
      </x:c>
      <x:c r="DH56" s="117">
        <x:f>MIN(MAX(0,DG59),DH33)</x:f>
      </x:c>
      <x:c r="DI56" s="117">
        <x:f>MIN(MAX(0,DH59),DI33)</x:f>
      </x:c>
      <x:c r="DJ56" s="117">
        <x:f>MIN(MAX(0,DI59),DJ33)</x:f>
      </x:c>
      <x:c r="DK56" s="117">
        <x:f>MIN(MAX(0,DJ59),DK33)</x:f>
      </x:c>
      <x:c r="DL56" s="117">
        <x:f>MIN(MAX(0,DK59),DL33)</x:f>
      </x:c>
      <x:c r="DM56" s="117">
        <x:f>MIN(MAX(0,DL59),DM33)</x:f>
      </x:c>
      <x:c r="DN56" s="117">
        <x:f>MIN(MAX(0,DM59),DN33)</x:f>
      </x:c>
      <x:c r="DO56" s="117">
        <x:f>MIN(MAX(0,DN59),DO33)</x:f>
      </x:c>
      <x:c r="DP56" s="117">
        <x:f>MIN(MAX(0,DO59),DP33)</x:f>
      </x:c>
      <x:c r="DQ56" s="117">
        <x:f>MIN(MAX(0,DP59),DQ33)</x:f>
      </x:c>
      <x:c r="DR56" s="117">
        <x:f>MIN(MAX(0,DQ59),DR33)</x:f>
      </x:c>
      <x:c r="DS56" s="117">
        <x:f>MIN(MAX(0,DR59),DS33)</x:f>
      </x:c>
    </x:row>
    <x:row r="57">
      <x:c r="A57" t="inlineStr">
        <x:is>
          <x:t>Комиссии выдачи (БРИДЖ и резервирование ПФ)</x:t>
        </x:is>
      </x:c>
      <x:c r="B57">
        <x:f>SUM(D57:DS57)</x:f>
      </x:c>
      <x:c r="C57" t="str">
        <x:v>млн ₽</x:v>
      </x:c>
      <x:c r="D57" s="117">
        <x:f>IF(AND(YEAR(D$3)=YEAR($B$6),MONTH(D$3)=MONTH($B$6),$B$5=1),('CAPEX'!$B$116+'CAPEX'!$B$119+'CAPEX'!$B$120+IF('Вводные'!$B$37="Денежная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компенсация",'Вводные'!$B$56*'Вводные'!$R$91*'Вводные'!$H$6,0)))*'Вводные'!$B$30,0)+IF(AND(YEAR(D$3)=YEAR($B$7),MONTH(D$3)=MONTH($B$7),$B$5=1),'Вводные'!$B$26*'Вводные'!$V$91*'Вводные'!$B$30,0)</x:f>
      </x:c>
      <x:c r="E57" s="117">
        <x:f>IF(AND(YEAR(E$3)=YEAR($B$6),MONTH(E$3)=MONTH($B$6),$B$5=1),('CAPEX'!$B$116+'CAPEX'!$B$119+'CAPEX'!$B$120+IF('Вводные'!$B$37="Денежная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компенсация",'Вводные'!$B$56*'Вводные'!$R$91*'Вводные'!$H$6,0)))*'Вводные'!$B$30,0)+IF(AND(YEAR(E$3)=YEAR($B$7),MONTH(E$3)=MONTH($B$7),$B$5=1),'Вводные'!$B$26*'Вводные'!$V$91*'Вводные'!$B$30,0)</x:f>
      </x:c>
      <x:c r="F57" s="117">
        <x:f>IF(AND(YEAR(F$3)=YEAR($B$6),MONTH(F$3)=MONTH($B$6),$B$5=1),('CAPEX'!$B$116+'CAPEX'!$B$119+'CAPEX'!$B$120+IF('Вводные'!$B$37="Денежная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компенсация",'Вводные'!$B$56*'Вводные'!$R$91*'Вводные'!$H$6,0)))*'Вводные'!$B$30,0)+IF(AND(YEAR(F$3)=YEAR($B$7),MONTH(F$3)=MONTH($B$7),$B$5=1),'Вводные'!$B$26*'Вводные'!$V$91*'Вводные'!$B$30,0)</x:f>
      </x:c>
      <x:c r="G57" s="117">
        <x:f>IF(AND(YEAR(G$3)=YEAR($B$6),MONTH(G$3)=MONTH($B$6),$B$5=1),('CAPEX'!$B$116+'CAPEX'!$B$119+'CAPEX'!$B$120+IF('Вводные'!$B$37="Денежная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компенсация",'Вводные'!$B$56*'Вводные'!$R$91*'Вводные'!$H$6,0)))*'Вводные'!$B$30,0)+IF(AND(YEAR(G$3)=YEAR($B$7),MONTH(G$3)=MONTH($B$7),$B$5=1),'Вводные'!$B$26*'Вводные'!$V$91*'Вводные'!$B$30,0)</x:f>
      </x:c>
      <x:c r="H57" s="117">
        <x:f>IF(AND(YEAR(H$3)=YEAR($B$6),MONTH(H$3)=MONTH($B$6),$B$5=1),('CAPEX'!$B$116+'CAPEX'!$B$119+'CAPEX'!$B$120+IF('Вводные'!$B$37="Денежная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компенсация",'Вводные'!$B$56*'Вводные'!$R$91*'Вводные'!$H$6,0)))*'Вводные'!$B$30,0)+IF(AND(YEAR(H$3)=YEAR($B$7),MONTH(H$3)=MONTH($B$7),$B$5=1),'Вводные'!$B$26*'Вводные'!$V$91*'Вводные'!$B$30,0)</x:f>
      </x:c>
      <x:c r="I57" s="117">
        <x:f>IF(AND(YEAR(I$3)=YEAR($B$6),MONTH(I$3)=MONTH($B$6),$B$5=1),('CAPEX'!$B$116+'CAPEX'!$B$119+'CAPEX'!$B$120+IF('Вводные'!$B$37="Денежная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компенсация",'Вводные'!$B$56*'Вводные'!$R$91*'Вводные'!$H$6,0)))*'Вводные'!$B$30,0)+IF(AND(YEAR(I$3)=YEAR($B$7),MONTH(I$3)=MONTH($B$7),$B$5=1),'Вводные'!$B$26*'Вводные'!$V$91*'Вводные'!$B$30,0)</x:f>
      </x:c>
      <x:c r="J57" s="117">
        <x:f>IF(AND(YEAR(J$3)=YEAR($B$6),MONTH(J$3)=MONTH($B$6),$B$5=1),('CAPEX'!$B$116+'CAPEX'!$B$119+'CAPEX'!$B$120+IF('Вводные'!$B$37="Денежная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компенсация",'Вводные'!$B$56*'Вводные'!$R$91*'Вводные'!$H$6,0)))*'Вводные'!$B$30,0)+IF(AND(YEAR(J$3)=YEAR($B$7),MONTH(J$3)=MONTH($B$7),$B$5=1),'Вводные'!$B$26*'Вводные'!$V$91*'Вводные'!$B$30,0)</x:f>
      </x:c>
      <x:c r="K57" s="117">
        <x:f>IF(AND(YEAR(K$3)=YEAR($B$6),MONTH(K$3)=MONTH($B$6),$B$5=1),('CAPEX'!$B$116+'CAPEX'!$B$119+'CAPEX'!$B$120+IF('Вводные'!$B$37="Денежная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компенсация",'Вводные'!$B$56*'Вводные'!$R$91*'Вводные'!$H$6,0)))*'Вводные'!$B$30,0)+IF(AND(YEAR(K$3)=YEAR($B$7),MONTH(K$3)=MONTH($B$7),$B$5=1),'Вводные'!$B$26*'Вводные'!$V$91*'Вводные'!$B$30,0)</x:f>
      </x:c>
      <x:c r="L57" s="117">
        <x:f>IF(AND(YEAR(L$3)=YEAR($B$6),MONTH(L$3)=MONTH($B$6),$B$5=1),('CAPEX'!$B$116+'CAPEX'!$B$119+'CAPEX'!$B$120+IF('Вводные'!$B$37="Денежная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компенсация",'Вводные'!$B$56*'Вводные'!$R$91*'Вводные'!$H$6,0)))*'Вводные'!$B$30,0)+IF(AND(YEAR(L$3)=YEAR($B$7),MONTH(L$3)=MONTH($B$7),$B$5=1),'Вводные'!$B$26*'Вводные'!$V$91*'Вводные'!$B$30,0)</x:f>
      </x:c>
      <x:c r="M57" s="117">
        <x:f>IF(AND(YEAR(M$3)=YEAR($B$6),MONTH(M$3)=MONTH($B$6),$B$5=1),('CAPEX'!$B$116+'CAPEX'!$B$119+'CAPEX'!$B$120+IF('Вводные'!$B$37="Денежная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компенсация",'Вводные'!$B$56*'Вводные'!$R$91*'Вводные'!$H$6,0)))*'Вводные'!$B$30,0)+IF(AND(YEAR(M$3)=YEAR($B$7),MONTH(M$3)=MONTH($B$7),$B$5=1),'Вводные'!$B$26*'Вводные'!$V$91*'Вводные'!$B$30,0)</x:f>
      </x:c>
      <x:c r="N57" s="117">
        <x:f>IF(AND(YEAR(N$3)=YEAR($B$6),MONTH(N$3)=MONTH($B$6),$B$5=1),('CAPEX'!$B$116+'CAPEX'!$B$119+'CAPEX'!$B$120+IF('Вводные'!$B$37="Денежная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компенсация",'Вводные'!$B$56*'Вводные'!$R$91*'Вводные'!$H$6,0)))*'Вводные'!$B$30,0)+IF(AND(YEAR(N$3)=YEAR($B$7),MONTH(N$3)=MONTH($B$7),$B$5=1),'Вводные'!$B$26*'Вводные'!$V$91*'Вводные'!$B$30,0)</x:f>
      </x:c>
      <x:c r="O57" s="117">
        <x:f>IF(AND(YEAR(O$3)=YEAR($B$6),MONTH(O$3)=MONTH($B$6),$B$5=1),('CAPEX'!$B$116+'CAPEX'!$B$119+'CAPEX'!$B$120+IF('Вводные'!$B$37="Денежная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компенсация",'Вводные'!$B$56*'Вводные'!$R$91*'Вводные'!$H$6,0)))*'Вводные'!$B$30,0)+IF(AND(YEAR(O$3)=YEAR($B$7),MONTH(O$3)=MONTH($B$7),$B$5=1),'Вводные'!$B$26*'Вводные'!$V$91*'Вводные'!$B$30,0)</x:f>
      </x:c>
      <x:c r="P57" s="117">
        <x:f>IF(AND(YEAR(P$3)=YEAR($B$6),MONTH(P$3)=MONTH($B$6),$B$5=1),('CAPEX'!$B$116+'CAPEX'!$B$119+'CAPEX'!$B$120+IF('Вводные'!$B$37="Денежная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компенсация",'Вводные'!$B$56*'Вводные'!$R$91*'Вводные'!$H$6,0)))*'Вводные'!$B$30,0)+IF(AND(YEAR(P$3)=YEAR($B$7),MONTH(P$3)=MONTH($B$7),$B$5=1),'Вводные'!$B$26*'Вводные'!$V$91*'Вводные'!$B$30,0)</x:f>
      </x:c>
      <x:c r="Q57" s="117">
        <x:f>IF(AND(YEAR(Q$3)=YEAR($B$6),MONTH(Q$3)=MONTH($B$6),$B$5=1),('CAPEX'!$B$116+'CAPEX'!$B$119+'CAPEX'!$B$120+IF('Вводные'!$B$37="Денежная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компенсация",'Вводные'!$B$56*'Вводные'!$R$91*'Вводные'!$H$6,0)))*'Вводные'!$B$30,0)+IF(AND(YEAR(Q$3)=YEAR($B$7),MONTH(Q$3)=MONTH($B$7),$B$5=1),'Вводные'!$B$26*'Вводные'!$V$91*'Вводные'!$B$30,0)</x:f>
      </x:c>
      <x:c r="R57" s="117">
        <x:f>IF(AND(YEAR(R$3)=YEAR($B$6),MONTH(R$3)=MONTH($B$6),$B$5=1),('CAPEX'!$B$116+'CAPEX'!$B$119+'CAPEX'!$B$120+IF('Вводные'!$B$37="Денежная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компенсация",'Вводные'!$B$56*'Вводные'!$R$91*'Вводные'!$H$6,0)))*'Вводные'!$B$30,0)+IF(AND(YEAR(R$3)=YEAR($B$7),MONTH(R$3)=MONTH($B$7),$B$5=1),'Вводные'!$B$26*'Вводные'!$V$91*'Вводные'!$B$30,0)</x:f>
      </x:c>
      <x:c r="S57" s="117">
        <x:f>IF(AND(YEAR(S$3)=YEAR($B$6),MONTH(S$3)=MONTH($B$6),$B$5=1),('CAPEX'!$B$116+'CAPEX'!$B$119+'CAPEX'!$B$120+IF('Вводные'!$B$37="Денежная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компенсация",'Вводные'!$B$56*'Вводные'!$R$91*'Вводные'!$H$6,0)))*'Вводные'!$B$30,0)+IF(AND(YEAR(S$3)=YEAR($B$7),MONTH(S$3)=MONTH($B$7),$B$5=1),'Вводные'!$B$26*'Вводные'!$V$91*'Вводные'!$B$30,0)</x:f>
      </x:c>
      <x:c r="T57" s="117">
        <x:f>IF(AND(YEAR(T$3)=YEAR($B$6),MONTH(T$3)=MONTH($B$6),$B$5=1),('CAPEX'!$B$116+'CAPEX'!$B$119+'CAPEX'!$B$120+IF('Вводные'!$B$37="Денежная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компенсация",'Вводные'!$B$56*'Вводные'!$R$91*'Вводные'!$H$6,0)))*'Вводные'!$B$30,0)+IF(AND(YEAR(T$3)=YEAR($B$7),MONTH(T$3)=MONTH($B$7),$B$5=1),'Вводные'!$B$26*'Вводные'!$V$91*'Вводные'!$B$30,0)</x:f>
      </x:c>
      <x:c r="U57" s="117">
        <x:f>IF(AND(YEAR(U$3)=YEAR($B$6),MONTH(U$3)=MONTH($B$6),$B$5=1),('CAPEX'!$B$116+'CAPEX'!$B$119+'CAPEX'!$B$120+IF('Вводные'!$B$37="Денежная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компенсация",'Вводные'!$B$56*'Вводные'!$R$91*'Вводные'!$H$6,0)))*'Вводные'!$B$30,0)+IF(AND(YEAR(U$3)=YEAR($B$7),MONTH(U$3)=MONTH($B$7),$B$5=1),'Вводные'!$B$26*'Вводные'!$V$91*'Вводные'!$B$30,0)</x:f>
      </x:c>
      <x:c r="V57" s="117">
        <x:f>IF(AND(YEAR(V$3)=YEAR($B$6),MONTH(V$3)=MONTH($B$6),$B$5=1),('CAPEX'!$B$116+'CAPEX'!$B$119+'CAPEX'!$B$120+IF('Вводные'!$B$37="Денежная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компенсация",'Вводные'!$B$56*'Вводные'!$R$91*'Вводные'!$H$6,0)))*'Вводные'!$B$30,0)+IF(AND(YEAR(V$3)=YEAR($B$7),MONTH(V$3)=MONTH($B$7),$B$5=1),'Вводные'!$B$26*'Вводные'!$V$91*'Вводные'!$B$30,0)</x:f>
      </x:c>
      <x:c r="W57" s="117">
        <x:f>IF(AND(YEAR(W$3)=YEAR($B$6),MONTH(W$3)=MONTH($B$6),$B$5=1),('CAPEX'!$B$116+'CAPEX'!$B$119+'CAPEX'!$B$120+IF('Вводные'!$B$37="Денежная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компенсация",'Вводные'!$B$56*'Вводные'!$R$91*'Вводные'!$H$6,0)))*'Вводные'!$B$30,0)+IF(AND(YEAR(W$3)=YEAR($B$7),MONTH(W$3)=MONTH($B$7),$B$5=1),'Вводные'!$B$26*'Вводные'!$V$91*'Вводные'!$B$30,0)</x:f>
      </x:c>
      <x:c r="X57" s="117">
        <x:f>IF(AND(YEAR(X$3)=YEAR($B$6),MONTH(X$3)=MONTH($B$6),$B$5=1),('CAPEX'!$B$116+'CAPEX'!$B$119+'CAPEX'!$B$120+IF('Вводные'!$B$37="Денежная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компенсация",'Вводные'!$B$56*'Вводные'!$R$91*'Вводные'!$H$6,0)))*'Вводные'!$B$30,0)+IF(AND(YEAR(X$3)=YEAR($B$7),MONTH(X$3)=MONTH($B$7),$B$5=1),'Вводные'!$B$26*'Вводные'!$V$91*'Вводные'!$B$30,0)</x:f>
      </x:c>
      <x:c r="Y57" s="117">
        <x:f>IF(AND(YEAR(Y$3)=YEAR($B$6),MONTH(Y$3)=MONTH($B$6),$B$5=1),('CAPEX'!$B$116+'CAPEX'!$B$119+'CAPEX'!$B$120+IF('Вводные'!$B$37="Денежная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компенсация",'Вводные'!$B$56*'Вводные'!$R$91*'Вводные'!$H$6,0)))*'Вводные'!$B$30,0)+IF(AND(YEAR(Y$3)=YEAR($B$7),MONTH(Y$3)=MONTH($B$7),$B$5=1),'Вводные'!$B$26*'Вводные'!$V$91*'Вводные'!$B$30,0)</x:f>
      </x:c>
      <x:c r="Z57" s="117">
        <x:f>IF(AND(YEAR(Z$3)=YEAR($B$6),MONTH(Z$3)=MONTH($B$6),$B$5=1),('CAPEX'!$B$116+'CAPEX'!$B$119+'CAPEX'!$B$120+IF('Вводные'!$B$37="Денежная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компенсация",'Вводные'!$B$56*'Вводные'!$R$91*'Вводные'!$H$6,0)))*'Вводные'!$B$30,0)+IF(AND(YEAR(Z$3)=YEAR($B$7),MONTH(Z$3)=MONTH($B$7),$B$5=1),'Вводные'!$B$26*'Вводные'!$V$91*'Вводные'!$B$30,0)</x:f>
      </x:c>
      <x:c r="AA57" s="117">
        <x:f>IF(AND(YEAR(AA$3)=YEAR($B$6),MONTH(AA$3)=MONTH($B$6),$B$5=1),('CAPEX'!$B$116+'CAPEX'!$B$119+'CAPEX'!$B$120+IF('Вводные'!$B$37="Денежная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компенсация",'Вводные'!$B$56*'Вводные'!$R$91*'Вводные'!$H$6,0)))*'Вводные'!$B$30,0)+IF(AND(YEAR(AA$3)=YEAR($B$7),MONTH(AA$3)=MONTH($B$7),$B$5=1),'Вводные'!$B$26*'Вводные'!$V$91*'Вводные'!$B$30,0)</x:f>
      </x:c>
      <x:c r="AB57" s="117">
        <x:f>IF(AND(YEAR(AB$3)=YEAR($B$6),MONTH(AB$3)=MONTH($B$6),$B$5=1),('CAPEX'!$B$116+'CAPEX'!$B$119+'CAPEX'!$B$120+IF('Вводные'!$B$37="Денежная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компенсация",'Вводные'!$B$56*'Вводные'!$R$91*'Вводные'!$H$6,0)))*'Вводные'!$B$30,0)+IF(AND(YEAR(AB$3)=YEAR($B$7),MONTH(AB$3)=MONTH($B$7),$B$5=1),'Вводные'!$B$26*'Вводные'!$V$91*'Вводные'!$B$30,0)</x:f>
      </x:c>
      <x:c r="AC57" s="117">
        <x:f>IF(AND(YEAR(AC$3)=YEAR($B$6),MONTH(AC$3)=MONTH($B$6),$B$5=1),('CAPEX'!$B$116+'CAPEX'!$B$119+'CAPEX'!$B$120+IF('Вводные'!$B$37="Денежная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компенсация",'Вводные'!$B$56*'Вводные'!$R$91*'Вводные'!$H$6,0)))*'Вводные'!$B$30,0)+IF(AND(YEAR(AC$3)=YEAR($B$7),MONTH(AC$3)=MONTH($B$7),$B$5=1),'Вводные'!$B$26*'Вводные'!$V$91*'Вводные'!$B$30,0)</x:f>
      </x:c>
      <x:c r="AD57" s="117">
        <x:f>IF(AND(YEAR(AD$3)=YEAR($B$6),MONTH(AD$3)=MONTH($B$6),$B$5=1),('CAPEX'!$B$116+'CAPEX'!$B$119+'CAPEX'!$B$120+IF('Вводные'!$B$37="Денежная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компенсация",'Вводные'!$B$56*'Вводные'!$R$91*'Вводные'!$H$6,0)))*'Вводные'!$B$30,0)+IF(AND(YEAR(AD$3)=YEAR($B$7),MONTH(AD$3)=MONTH($B$7),$B$5=1),'Вводные'!$B$26*'Вводные'!$V$91*'Вводные'!$B$30,0)</x:f>
      </x:c>
      <x:c r="AE57" s="117">
        <x:f>IF(AND(YEAR(AE$3)=YEAR($B$6),MONTH(AE$3)=MONTH($B$6),$B$5=1),('CAPEX'!$B$116+'CAPEX'!$B$119+'CAPEX'!$B$120+IF('Вводные'!$B$37="Денежная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компенсация",'Вводные'!$B$56*'Вводные'!$R$91*'Вводные'!$H$6,0)))*'Вводные'!$B$30,0)+IF(AND(YEAR(AE$3)=YEAR($B$7),MONTH(AE$3)=MONTH($B$7),$B$5=1),'Вводные'!$B$26*'Вводные'!$V$91*'Вводные'!$B$30,0)</x:f>
      </x:c>
      <x:c r="AF57" s="117">
        <x:f>IF(AND(YEAR(AF$3)=YEAR($B$6),MONTH(AF$3)=MONTH($B$6),$B$5=1),('CAPEX'!$B$116+'CAPEX'!$B$119+'CAPEX'!$B$120+IF('Вводные'!$B$37="Денежная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компенсация",'Вводные'!$B$56*'Вводные'!$R$91*'Вводные'!$H$6,0)))*'Вводные'!$B$30,0)+IF(AND(YEAR(AF$3)=YEAR($B$7),MONTH(AF$3)=MONTH($B$7),$B$5=1),'Вводные'!$B$26*'Вводные'!$V$91*'Вводные'!$B$30,0)</x:f>
      </x:c>
      <x:c r="AG57" s="117">
        <x:f>IF(AND(YEAR(AG$3)=YEAR($B$6),MONTH(AG$3)=MONTH($B$6),$B$5=1),('CAPEX'!$B$116+'CAPEX'!$B$119+'CAPEX'!$B$120+IF('Вводные'!$B$37="Денежная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компенсация",'Вводные'!$B$56*'Вводные'!$R$91*'Вводные'!$H$6,0)))*'Вводные'!$B$30,0)+IF(AND(YEAR(AG$3)=YEAR($B$7),MONTH(AG$3)=MONTH($B$7),$B$5=1),'Вводные'!$B$26*'Вводные'!$V$91*'Вводные'!$B$30,0)</x:f>
      </x:c>
      <x:c r="AH57" s="117">
        <x:f>IF(AND(YEAR(AH$3)=YEAR($B$6),MONTH(AH$3)=MONTH($B$6),$B$5=1),('CAPEX'!$B$116+'CAPEX'!$B$119+'CAPEX'!$B$120+IF('Вводные'!$B$37="Денежная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компенсация",'Вводные'!$B$56*'Вводные'!$R$91*'Вводные'!$H$6,0)))*'Вводные'!$B$30,0)+IF(AND(YEAR(AH$3)=YEAR($B$7),MONTH(AH$3)=MONTH($B$7),$B$5=1),'Вводные'!$B$26*'Вводные'!$V$91*'Вводные'!$B$30,0)</x:f>
      </x:c>
      <x:c r="AI57" s="117">
        <x:f>IF(AND(YEAR(AI$3)=YEAR($B$6),MONTH(AI$3)=MONTH($B$6),$B$5=1),('CAPEX'!$B$116+'CAPEX'!$B$119+'CAPEX'!$B$120+IF('Вводные'!$B$37="Денежная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компенсация",'Вводные'!$B$56*'Вводные'!$R$91*'Вводные'!$H$6,0)))*'Вводные'!$B$30,0)+IF(AND(YEAR(AI$3)=YEAR($B$7),MONTH(AI$3)=MONTH($B$7),$B$5=1),'Вводные'!$B$26*'Вводные'!$V$91*'Вводные'!$B$30,0)</x:f>
      </x:c>
      <x:c r="AJ57" s="117">
        <x:f>IF(AND(YEAR(AJ$3)=YEAR($B$6),MONTH(AJ$3)=MONTH($B$6),$B$5=1),('CAPEX'!$B$116+'CAPEX'!$B$119+'CAPEX'!$B$120+IF('Вводные'!$B$37="Денежная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компенсация",'Вводные'!$B$56*'Вводные'!$R$91*'Вводные'!$H$6,0)))*'Вводные'!$B$30,0)+IF(AND(YEAR(AJ$3)=YEAR($B$7),MONTH(AJ$3)=MONTH($B$7),$B$5=1),'Вводные'!$B$26*'Вводные'!$V$91*'Вводные'!$B$30,0)</x:f>
      </x:c>
      <x:c r="AK57" s="117">
        <x:f>IF(AND(YEAR(AK$3)=YEAR($B$6),MONTH(AK$3)=MONTH($B$6),$B$5=1),('CAPEX'!$B$116+'CAPEX'!$B$119+'CAPEX'!$B$120+IF('Вводные'!$B$37="Денежная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компенсация",'Вводные'!$B$56*'Вводные'!$R$91*'Вводные'!$H$6,0)))*'Вводные'!$B$30,0)+IF(AND(YEAR(AK$3)=YEAR($B$7),MONTH(AK$3)=MONTH($B$7),$B$5=1),'Вводные'!$B$26*'Вводные'!$V$91*'Вводные'!$B$30,0)</x:f>
      </x:c>
      <x:c r="AL57" s="117">
        <x:f>IF(AND(YEAR(AL$3)=YEAR($B$6),MONTH(AL$3)=MONTH($B$6),$B$5=1),('CAPEX'!$B$116+'CAPEX'!$B$119+'CAPEX'!$B$120+IF('Вводные'!$B$37="Денежная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компенсация",'Вводные'!$B$56*'Вводные'!$R$91*'Вводные'!$H$6,0)))*'Вводные'!$B$30,0)+IF(AND(YEAR(AL$3)=YEAR($B$7),MONTH(AL$3)=MONTH($B$7),$B$5=1),'Вводные'!$B$26*'Вводные'!$V$91*'Вводные'!$B$30,0)</x:f>
      </x:c>
      <x:c r="AM57" s="117">
        <x:f>IF(AND(YEAR(AM$3)=YEAR($B$6),MONTH(AM$3)=MONTH($B$6),$B$5=1),('CAPEX'!$B$116+'CAPEX'!$B$119+'CAPEX'!$B$120+IF('Вводные'!$B$37="Денежная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компенсация",'Вводные'!$B$56*'Вводные'!$R$91*'Вводные'!$H$6,0)))*'Вводные'!$B$30,0)+IF(AND(YEAR(AM$3)=YEAR($B$7),MONTH(AM$3)=MONTH($B$7),$B$5=1),'Вводные'!$B$26*'Вводные'!$V$91*'Вводные'!$B$30,0)</x:f>
      </x:c>
      <x:c r="AN57" s="117">
        <x:f>IF(AND(YEAR(AN$3)=YEAR($B$6),MONTH(AN$3)=MONTH($B$6),$B$5=1),('CAPEX'!$B$116+'CAPEX'!$B$119+'CAPEX'!$B$120+IF('Вводные'!$B$37="Денежная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компенсация",'Вводные'!$B$56*'Вводные'!$R$91*'Вводные'!$H$6,0)))*'Вводные'!$B$30,0)+IF(AND(YEAR(AN$3)=YEAR($B$7),MONTH(AN$3)=MONTH($B$7),$B$5=1),'Вводные'!$B$26*'Вводные'!$V$91*'Вводные'!$B$30,0)</x:f>
      </x:c>
      <x:c r="AO57" s="117">
        <x:f>IF(AND(YEAR(AO$3)=YEAR($B$6),MONTH(AO$3)=MONTH($B$6),$B$5=1),('CAPEX'!$B$116+'CAPEX'!$B$119+'CAPEX'!$B$120+IF('Вводные'!$B$37="Денежная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компенсация",'Вводные'!$B$56*'Вводные'!$R$91*'Вводные'!$H$6,0)))*'Вводные'!$B$30,0)+IF(AND(YEAR(AO$3)=YEAR($B$7),MONTH(AO$3)=MONTH($B$7),$B$5=1),'Вводные'!$B$26*'Вводные'!$V$91*'Вводные'!$B$30,0)</x:f>
      </x:c>
      <x:c r="AP57" s="117">
        <x:f>IF(AND(YEAR(AP$3)=YEAR($B$6),MONTH(AP$3)=MONTH($B$6),$B$5=1),('CAPEX'!$B$116+'CAPEX'!$B$119+'CAPEX'!$B$120+IF('Вводные'!$B$37="Денежная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компенсация",'Вводные'!$B$56*'Вводные'!$R$91*'Вводные'!$H$6,0)))*'Вводные'!$B$30,0)+IF(AND(YEAR(AP$3)=YEAR($B$7),MONTH(AP$3)=MONTH($B$7),$B$5=1),'Вводные'!$B$26*'Вводные'!$V$91*'Вводные'!$B$30,0)</x:f>
      </x:c>
      <x:c r="AQ57" s="117">
        <x:f>IF(AND(YEAR(AQ$3)=YEAR($B$6),MONTH(AQ$3)=MONTH($B$6),$B$5=1),('CAPEX'!$B$116+'CAPEX'!$B$119+'CAPEX'!$B$120+IF('Вводные'!$B$37="Денежная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компенсация",'Вводные'!$B$56*'Вводные'!$R$91*'Вводные'!$H$6,0)))*'Вводные'!$B$30,0)+IF(AND(YEAR(AQ$3)=YEAR($B$7),MONTH(AQ$3)=MONTH($B$7),$B$5=1),'Вводные'!$B$26*'Вводные'!$V$91*'Вводные'!$B$30,0)</x:f>
      </x:c>
      <x:c r="AR57" s="117">
        <x:f>IF(AND(YEAR(AR$3)=YEAR($B$6),MONTH(AR$3)=MONTH($B$6),$B$5=1),('CAPEX'!$B$116+'CAPEX'!$B$119+'CAPEX'!$B$120+IF('Вводные'!$B$37="Денежная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компенсация",'Вводные'!$B$56*'Вводные'!$R$91*'Вводные'!$H$6,0)))*'Вводные'!$B$30,0)+IF(AND(YEAR(AR$3)=YEAR($B$7),MONTH(AR$3)=MONTH($B$7),$B$5=1),'Вводные'!$B$26*'Вводные'!$V$91*'Вводные'!$B$30,0)</x:f>
      </x:c>
      <x:c r="AS57" s="117">
        <x:f>IF(AND(YEAR(AS$3)=YEAR($B$6),MONTH(AS$3)=MONTH($B$6),$B$5=1),('CAPEX'!$B$116+'CAPEX'!$B$119+'CAPEX'!$B$120+IF('Вводные'!$B$37="Денежная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компенсация",'Вводные'!$B$56*'Вводные'!$R$91*'Вводные'!$H$6,0)))*'Вводные'!$B$30,0)+IF(AND(YEAR(AS$3)=YEAR($B$7),MONTH(AS$3)=MONTH($B$7),$B$5=1),'Вводные'!$B$26*'Вводные'!$V$91*'Вводные'!$B$30,0)</x:f>
      </x:c>
      <x:c r="AT57" s="117">
        <x:f>IF(AND(YEAR(AT$3)=YEAR($B$6),MONTH(AT$3)=MONTH($B$6),$B$5=1),('CAPEX'!$B$116+'CAPEX'!$B$119+'CAPEX'!$B$120+IF('Вводные'!$B$37="Денежная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компенсация",'Вводные'!$B$56*'Вводные'!$R$91*'Вводные'!$H$6,0)))*'Вводные'!$B$30,0)+IF(AND(YEAR(AT$3)=YEAR($B$7),MONTH(AT$3)=MONTH($B$7),$B$5=1),'Вводные'!$B$26*'Вводные'!$V$91*'Вводные'!$B$30,0)</x:f>
      </x:c>
      <x:c r="AU57" s="117">
        <x:f>IF(AND(YEAR(AU$3)=YEAR($B$6),MONTH(AU$3)=MONTH($B$6),$B$5=1),('CAPEX'!$B$116+'CAPEX'!$B$119+'CAPEX'!$B$120+IF('Вводные'!$B$37="Денежная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компенсация",'Вводные'!$B$56*'Вводные'!$R$91*'Вводные'!$H$6,0)))*'Вводные'!$B$30,0)+IF(AND(YEAR(AU$3)=YEAR($B$7),MONTH(AU$3)=MONTH($B$7),$B$5=1),'Вводные'!$B$26*'Вводные'!$V$91*'Вводные'!$B$30,0)</x:f>
      </x:c>
      <x:c r="AV57" s="117">
        <x:f>IF(AND(YEAR(AV$3)=YEAR($B$6),MONTH(AV$3)=MONTH($B$6),$B$5=1),('CAPEX'!$B$116+'CAPEX'!$B$119+'CAPEX'!$B$120+IF('Вводные'!$B$37="Денежная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компенсация",'Вводные'!$B$56*'Вводные'!$R$91*'Вводные'!$H$6,0)))*'Вводные'!$B$30,0)+IF(AND(YEAR(AV$3)=YEAR($B$7),MONTH(AV$3)=MONTH($B$7),$B$5=1),'Вводные'!$B$26*'Вводные'!$V$91*'Вводные'!$B$30,0)</x:f>
      </x:c>
      <x:c r="AW57" s="117">
        <x:f>IF(AND(YEAR(AW$3)=YEAR($B$6),MONTH(AW$3)=MONTH($B$6),$B$5=1),('CAPEX'!$B$116+'CAPEX'!$B$119+'CAPEX'!$B$120+IF('Вводные'!$B$37="Денежная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компенсация",'Вводные'!$B$56*'Вводные'!$R$91*'Вводные'!$H$6,0)))*'Вводные'!$B$30,0)+IF(AND(YEAR(AW$3)=YEAR($B$7),MONTH(AW$3)=MONTH($B$7),$B$5=1),'Вводные'!$B$26*'Вводные'!$V$91*'Вводные'!$B$30,0)</x:f>
      </x:c>
      <x:c r="AX57" s="117">
        <x:f>IF(AND(YEAR(AX$3)=YEAR($B$6),MONTH(AX$3)=MONTH($B$6),$B$5=1),('CAPEX'!$B$116+'CAPEX'!$B$119+'CAPEX'!$B$120+IF('Вводные'!$B$37="Денежная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компенсация",'Вводные'!$B$56*'Вводные'!$R$91*'Вводные'!$H$6,0)))*'Вводные'!$B$30,0)+IF(AND(YEAR(AX$3)=YEAR($B$7),MONTH(AX$3)=MONTH($B$7),$B$5=1),'Вводные'!$B$26*'Вводные'!$V$91*'Вводные'!$B$30,0)</x:f>
      </x:c>
      <x:c r="AY57" s="117">
        <x:f>IF(AND(YEAR(AY$3)=YEAR($B$6),MONTH(AY$3)=MONTH($B$6),$B$5=1),('CAPEX'!$B$116+'CAPEX'!$B$119+'CAPEX'!$B$120+IF('Вводные'!$B$37="Денежная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компенсация",'Вводные'!$B$56*'Вводные'!$R$91*'Вводные'!$H$6,0)))*'Вводные'!$B$30,0)+IF(AND(YEAR(AY$3)=YEAR($B$7),MONTH(AY$3)=MONTH($B$7),$B$5=1),'Вводные'!$B$26*'Вводные'!$V$91*'Вводные'!$B$30,0)</x:f>
      </x:c>
      <x:c r="AZ57" s="117">
        <x:f>IF(AND(YEAR(AZ$3)=YEAR($B$6),MONTH(AZ$3)=MONTH($B$6),$B$5=1),('CAPEX'!$B$116+'CAPEX'!$B$119+'CAPEX'!$B$120+IF('Вводные'!$B$37="Денежная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компенсация",'Вводные'!$B$56*'Вводные'!$R$91*'Вводные'!$H$6,0)))*'Вводные'!$B$30,0)+IF(AND(YEAR(AZ$3)=YEAR($B$7),MONTH(AZ$3)=MONTH($B$7),$B$5=1),'Вводные'!$B$26*'Вводные'!$V$91*'Вводные'!$B$30,0)</x:f>
      </x:c>
      <x:c r="BA57" s="117">
        <x:f>IF(AND(YEAR(BA$3)=YEAR($B$6),MONTH(BA$3)=MONTH($B$6),$B$5=1),('CAPEX'!$B$116+'CAPEX'!$B$119+'CAPEX'!$B$120+IF('Вводные'!$B$37="Денежная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компенсация",'Вводные'!$B$56*'Вводные'!$R$91*'Вводные'!$H$6,0)))*'Вводные'!$B$30,0)+IF(AND(YEAR(BA$3)=YEAR($B$7),MONTH(BA$3)=MONTH($B$7),$B$5=1),'Вводные'!$B$26*'Вводные'!$V$91*'Вводные'!$B$30,0)</x:f>
      </x:c>
      <x:c r="BB57" s="117">
        <x:f>IF(AND(YEAR(BB$3)=YEAR($B$6),MONTH(BB$3)=MONTH($B$6),$B$5=1),('CAPEX'!$B$116+'CAPEX'!$B$119+'CAPEX'!$B$120+IF('Вводные'!$B$37="Денежная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компенсация",'Вводные'!$B$56*'Вводные'!$R$91*'Вводные'!$H$6,0)))*'Вводные'!$B$30,0)+IF(AND(YEAR(BB$3)=YEAR($B$7),MONTH(BB$3)=MONTH($B$7),$B$5=1),'Вводные'!$B$26*'Вводные'!$V$91*'Вводные'!$B$30,0)</x:f>
      </x:c>
      <x:c r="BC57" s="117">
        <x:f>IF(AND(YEAR(BC$3)=YEAR($B$6),MONTH(BC$3)=MONTH($B$6),$B$5=1),('CAPEX'!$B$116+'CAPEX'!$B$119+'CAPEX'!$B$120+IF('Вводные'!$B$37="Денежная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компенсация",'Вводные'!$B$56*'Вводные'!$R$91*'Вводные'!$H$6,0)))*'Вводные'!$B$30,0)+IF(AND(YEAR(BC$3)=YEAR($B$7),MONTH(BC$3)=MONTH($B$7),$B$5=1),'Вводные'!$B$26*'Вводные'!$V$91*'Вводные'!$B$30,0)</x:f>
      </x:c>
      <x:c r="BD57" s="117">
        <x:f>IF(AND(YEAR(BD$3)=YEAR($B$6),MONTH(BD$3)=MONTH($B$6),$B$5=1),('CAPEX'!$B$116+'CAPEX'!$B$119+'CAPEX'!$B$120+IF('Вводные'!$B$37="Денежная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компенсация",'Вводные'!$B$56*'Вводные'!$R$91*'Вводные'!$H$6,0)))*'Вводные'!$B$30,0)+IF(AND(YEAR(BD$3)=YEAR($B$7),MONTH(BD$3)=MONTH($B$7),$B$5=1),'Вводные'!$B$26*'Вводные'!$V$91*'Вводные'!$B$30,0)</x:f>
      </x:c>
      <x:c r="BE57" s="117">
        <x:f>IF(AND(YEAR(BE$3)=YEAR($B$6),MONTH(BE$3)=MONTH($B$6),$B$5=1),('CAPEX'!$B$116+'CAPEX'!$B$119+'CAPEX'!$B$120+IF('Вводные'!$B$37="Денежная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компенсация",'Вводные'!$B$56*'Вводные'!$R$91*'Вводные'!$H$6,0)))*'Вводные'!$B$30,0)+IF(AND(YEAR(BE$3)=YEAR($B$7),MONTH(BE$3)=MONTH($B$7),$B$5=1),'Вводные'!$B$26*'Вводные'!$V$91*'Вводные'!$B$30,0)</x:f>
      </x:c>
      <x:c r="BF57" s="117">
        <x:f>IF(AND(YEAR(BF$3)=YEAR($B$6),MONTH(BF$3)=MONTH($B$6),$B$5=1),('CAPEX'!$B$116+'CAPEX'!$B$119+'CAPEX'!$B$120+IF('Вводные'!$B$37="Денежная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компенсация",'Вводные'!$B$56*'Вводные'!$R$91*'Вводные'!$H$6,0)))*'Вводные'!$B$30,0)+IF(AND(YEAR(BF$3)=YEAR($B$7),MONTH(BF$3)=MONTH($B$7),$B$5=1),'Вводные'!$B$26*'Вводные'!$V$91*'Вводные'!$B$30,0)</x:f>
      </x:c>
      <x:c r="BG57" s="117">
        <x:f>IF(AND(YEAR(BG$3)=YEAR($B$6),MONTH(BG$3)=MONTH($B$6),$B$5=1),('CAPEX'!$B$116+'CAPEX'!$B$119+'CAPEX'!$B$120+IF('Вводные'!$B$37="Денежная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компенсация",'Вводные'!$B$56*'Вводные'!$R$91*'Вводные'!$H$6,0)))*'Вводные'!$B$30,0)+IF(AND(YEAR(BG$3)=YEAR($B$7),MONTH(BG$3)=MONTH($B$7),$B$5=1),'Вводные'!$B$26*'Вводные'!$V$91*'Вводные'!$B$30,0)</x:f>
      </x:c>
      <x:c r="BH57" s="117">
        <x:f>IF(AND(YEAR(BH$3)=YEAR($B$6),MONTH(BH$3)=MONTH($B$6),$B$5=1),('CAPEX'!$B$116+'CAPEX'!$B$119+'CAPEX'!$B$120+IF('Вводные'!$B$37="Денежная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компенсация",'Вводные'!$B$56*'Вводные'!$R$91*'Вводные'!$H$6,0)))*'Вводные'!$B$30,0)+IF(AND(YEAR(BH$3)=YEAR($B$7),MONTH(BH$3)=MONTH($B$7),$B$5=1),'Вводные'!$B$26*'Вводные'!$V$91*'Вводные'!$B$30,0)</x:f>
      </x:c>
      <x:c r="BI57" s="117">
        <x:f>IF(AND(YEAR(BI$3)=YEAR($B$6),MONTH(BI$3)=MONTH($B$6),$B$5=1),('CAPEX'!$B$116+'CAPEX'!$B$119+'CAPEX'!$B$120+IF('Вводные'!$B$37="Денежная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компенсация",'Вводные'!$B$56*'Вводные'!$R$91*'Вводные'!$H$6,0)))*'Вводные'!$B$30,0)+IF(AND(YEAR(BI$3)=YEAR($B$7),MONTH(BI$3)=MONTH($B$7),$B$5=1),'Вводные'!$B$26*'Вводные'!$V$91*'Вводные'!$B$30,0)</x:f>
      </x:c>
      <x:c r="BJ57" s="117">
        <x:f>IF(AND(YEAR(BJ$3)=YEAR($B$6),MONTH(BJ$3)=MONTH($B$6),$B$5=1),('CAPEX'!$B$116+'CAPEX'!$B$119+'CAPEX'!$B$120+IF('Вводные'!$B$37="Денежная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компенсация",'Вводные'!$B$56*'Вводные'!$R$91*'Вводные'!$H$6,0)))*'Вводные'!$B$30,0)+IF(AND(YEAR(BJ$3)=YEAR($B$7),MONTH(BJ$3)=MONTH($B$7),$B$5=1),'Вводные'!$B$26*'Вводные'!$V$91*'Вводные'!$B$30,0)</x:f>
      </x:c>
      <x:c r="BK57" s="117">
        <x:f>IF(AND(YEAR(BK$3)=YEAR($B$6),MONTH(BK$3)=MONTH($B$6),$B$5=1),('CAPEX'!$B$116+'CAPEX'!$B$119+'CAPEX'!$B$120+IF('Вводные'!$B$37="Денежная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компенсация",'Вводные'!$B$56*'Вводные'!$R$91*'Вводные'!$H$6,0)))*'Вводные'!$B$30,0)+IF(AND(YEAR(BK$3)=YEAR($B$7),MONTH(BK$3)=MONTH($B$7),$B$5=1),'Вводные'!$B$26*'Вводные'!$V$91*'Вводные'!$B$30,0)</x:f>
      </x:c>
      <x:c r="BL57" s="117">
        <x:f>IF(AND(YEAR(BL$3)=YEAR($B$6),MONTH(BL$3)=MONTH($B$6),$B$5=1),('CAPEX'!$B$116+'CAPEX'!$B$119+'CAPEX'!$B$120+IF('Вводные'!$B$37="Денежная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компенсация",'Вводные'!$B$56*'Вводные'!$R$91*'Вводные'!$H$6,0)))*'Вводные'!$B$30,0)+IF(AND(YEAR(BL$3)=YEAR($B$7),MONTH(BL$3)=MONTH($B$7),$B$5=1),'Вводные'!$B$26*'Вводные'!$V$91*'Вводные'!$B$30,0)</x:f>
      </x:c>
      <x:c r="BM57" s="117">
        <x:f>IF(AND(YEAR(BM$3)=YEAR($B$6),MONTH(BM$3)=MONTH($B$6),$B$5=1),('CAPEX'!$B$116+'CAPEX'!$B$119+'CAPEX'!$B$120+IF('Вводные'!$B$37="Денежная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компенсация",'Вводные'!$B$56*'Вводные'!$R$91*'Вводные'!$H$6,0)))*'Вводные'!$B$30,0)+IF(AND(YEAR(BM$3)=YEAR($B$7),MONTH(BM$3)=MONTH($B$7),$B$5=1),'Вводные'!$B$26*'Вводные'!$V$91*'Вводные'!$B$30,0)</x:f>
      </x:c>
      <x:c r="BN57" s="117">
        <x:f>IF(AND(YEAR(BN$3)=YEAR($B$6),MONTH(BN$3)=MONTH($B$6),$B$5=1),('CAPEX'!$B$116+'CAPEX'!$B$119+'CAPEX'!$B$120+IF('Вводные'!$B$37="Денежная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компенсация",'Вводные'!$B$56*'Вводные'!$R$91*'Вводные'!$H$6,0)))*'Вводные'!$B$30,0)+IF(AND(YEAR(BN$3)=YEAR($B$7),MONTH(BN$3)=MONTH($B$7),$B$5=1),'Вводные'!$B$26*'Вводные'!$V$91*'Вводные'!$B$30,0)</x:f>
      </x:c>
      <x:c r="BO57" s="117">
        <x:f>IF(AND(YEAR(BO$3)=YEAR($B$6),MONTH(BO$3)=MONTH($B$6),$B$5=1),('CAPEX'!$B$116+'CAPEX'!$B$119+'CAPEX'!$B$120+IF('Вводные'!$B$37="Денежная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компенсация",'Вводные'!$B$56*'Вводные'!$R$91*'Вводные'!$H$6,0)))*'Вводные'!$B$30,0)+IF(AND(YEAR(BO$3)=YEAR($B$7),MONTH(BO$3)=MONTH($B$7),$B$5=1),'Вводные'!$B$26*'Вводные'!$V$91*'Вводные'!$B$30,0)</x:f>
      </x:c>
      <x:c r="BP57" s="117">
        <x:f>IF(AND(YEAR(BP$3)=YEAR($B$6),MONTH(BP$3)=MONTH($B$6),$B$5=1),('CAPEX'!$B$116+'CAPEX'!$B$119+'CAPEX'!$B$120+IF('Вводные'!$B$37="Денежная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компенсация",'Вводные'!$B$56*'Вводные'!$R$91*'Вводные'!$H$6,0)))*'Вводные'!$B$30,0)+IF(AND(YEAR(BP$3)=YEAR($B$7),MONTH(BP$3)=MONTH($B$7),$B$5=1),'Вводные'!$B$26*'Вводные'!$V$91*'Вводные'!$B$30,0)</x:f>
      </x:c>
      <x:c r="BQ57" s="117">
        <x:f>IF(AND(YEAR(BQ$3)=YEAR($B$6),MONTH(BQ$3)=MONTH($B$6),$B$5=1),('CAPEX'!$B$116+'CAPEX'!$B$119+'CAPEX'!$B$120+IF('Вводные'!$B$37="Денежная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компенсация",'Вводные'!$B$56*'Вводные'!$R$91*'Вводные'!$H$6,0)))*'Вводные'!$B$30,0)+IF(AND(YEAR(BQ$3)=YEAR($B$7),MONTH(BQ$3)=MONTH($B$7),$B$5=1),'Вводные'!$B$26*'Вводные'!$V$91*'Вводные'!$B$30,0)</x:f>
      </x:c>
      <x:c r="BR57" s="117">
        <x:f>IF(AND(YEAR(BR$3)=YEAR($B$6),MONTH(BR$3)=MONTH($B$6),$B$5=1),('CAPEX'!$B$116+'CAPEX'!$B$119+'CAPEX'!$B$120+IF('Вводные'!$B$37="Денежная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компенсация",'Вводные'!$B$56*'Вводные'!$R$91*'Вводные'!$H$6,0)))*'Вводные'!$B$30,0)+IF(AND(YEAR(BR$3)=YEAR($B$7),MONTH(BR$3)=MONTH($B$7),$B$5=1),'Вводные'!$B$26*'Вводные'!$V$91*'Вводные'!$B$30,0)</x:f>
      </x:c>
      <x:c r="BS57" s="117">
        <x:f>IF(AND(YEAR(BS$3)=YEAR($B$6),MONTH(BS$3)=MONTH($B$6),$B$5=1),('CAPEX'!$B$116+'CAPEX'!$B$119+'CAPEX'!$B$120+IF('Вводные'!$B$37="Денежная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компенсация",'Вводные'!$B$56*'Вводные'!$R$91*'Вводные'!$H$6,0)))*'Вводные'!$B$30,0)+IF(AND(YEAR(BS$3)=YEAR($B$7),MONTH(BS$3)=MONTH($B$7),$B$5=1),'Вводные'!$B$26*'Вводные'!$V$91*'Вводные'!$B$30,0)</x:f>
      </x:c>
      <x:c r="BT57" s="117">
        <x:f>IF(AND(YEAR(BT$3)=YEAR($B$6),MONTH(BT$3)=MONTH($B$6),$B$5=1),('CAPEX'!$B$116+'CAPEX'!$B$119+'CAPEX'!$B$120+IF('Вводные'!$B$37="Денежная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компенсация",'Вводные'!$B$56*'Вводные'!$R$91*'Вводные'!$H$6,0)))*'Вводные'!$B$30,0)+IF(AND(YEAR(BT$3)=YEAR($B$7),MONTH(BT$3)=MONTH($B$7),$B$5=1),'Вводные'!$B$26*'Вводные'!$V$91*'Вводные'!$B$30,0)</x:f>
      </x:c>
      <x:c r="BU57" s="117">
        <x:f>IF(AND(YEAR(BU$3)=YEAR($B$6),MONTH(BU$3)=MONTH($B$6),$B$5=1),('CAPEX'!$B$116+'CAPEX'!$B$119+'CAPEX'!$B$120+IF('Вводные'!$B$37="Денежная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компенсация",'Вводные'!$B$56*'Вводные'!$R$91*'Вводные'!$H$6,0)))*'Вводные'!$B$30,0)+IF(AND(YEAR(BU$3)=YEAR($B$7),MONTH(BU$3)=MONTH($B$7),$B$5=1),'Вводные'!$B$26*'Вводные'!$V$91*'Вводные'!$B$30,0)</x:f>
      </x:c>
      <x:c r="BV57" s="117">
        <x:f>IF(AND(YEAR(BV$3)=YEAR($B$6),MONTH(BV$3)=MONTH($B$6),$B$5=1),('CAPEX'!$B$116+'CAPEX'!$B$119+'CAPEX'!$B$120+IF('Вводные'!$B$37="Денежная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компенсация",'Вводные'!$B$56*'Вводные'!$R$91*'Вводные'!$H$6,0)))*'Вводные'!$B$30,0)+IF(AND(YEAR(BV$3)=YEAR($B$7),MONTH(BV$3)=MONTH($B$7),$B$5=1),'Вводные'!$B$26*'Вводные'!$V$91*'Вводные'!$B$30,0)</x:f>
      </x:c>
      <x:c r="BW57" s="117">
        <x:f>IF(AND(YEAR(BW$3)=YEAR($B$6),MONTH(BW$3)=MONTH($B$6),$B$5=1),('CAPEX'!$B$116+'CAPEX'!$B$119+'CAPEX'!$B$120+IF('Вводные'!$B$37="Денежная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компенсация",'Вводные'!$B$56*'Вводные'!$R$91*'Вводные'!$H$6,0)))*'Вводные'!$B$30,0)+IF(AND(YEAR(BW$3)=YEAR($B$7),MONTH(BW$3)=MONTH($B$7),$B$5=1),'Вводные'!$B$26*'Вводные'!$V$91*'Вводные'!$B$30,0)</x:f>
      </x:c>
      <x:c r="BX57" s="117">
        <x:f>IF(AND(YEAR(BX$3)=YEAR($B$6),MONTH(BX$3)=MONTH($B$6),$B$5=1),('CAPEX'!$B$116+'CAPEX'!$B$119+'CAPEX'!$B$120+IF('Вводные'!$B$37="Денежная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компенсация",'Вводные'!$B$56*'Вводные'!$R$91*'Вводные'!$H$6,0)))*'Вводные'!$B$30,0)+IF(AND(YEAR(BX$3)=YEAR($B$7),MONTH(BX$3)=MONTH($B$7),$B$5=1),'Вводные'!$B$26*'Вводные'!$V$91*'Вводные'!$B$30,0)</x:f>
      </x:c>
      <x:c r="BY57" s="117">
        <x:f>IF(AND(YEAR(BY$3)=YEAR($B$6),MONTH(BY$3)=MONTH($B$6),$B$5=1),('CAPEX'!$B$116+'CAPEX'!$B$119+'CAPEX'!$B$120+IF('Вводные'!$B$37="Денежная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компенсация",'Вводные'!$B$56*'Вводные'!$R$91*'Вводные'!$H$6,0)))*'Вводные'!$B$30,0)+IF(AND(YEAR(BY$3)=YEAR($B$7),MONTH(BY$3)=MONTH($B$7),$B$5=1),'Вводные'!$B$26*'Вводные'!$V$91*'Вводные'!$B$30,0)</x:f>
      </x:c>
      <x:c r="BZ57" s="117">
        <x:f>IF(AND(YEAR(BZ$3)=YEAR($B$6),MONTH(BZ$3)=MONTH($B$6),$B$5=1),('CAPEX'!$B$116+'CAPEX'!$B$119+'CAPEX'!$B$120+IF('Вводные'!$B$37="Денежная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компенсация",'Вводные'!$B$56*'Вводные'!$R$91*'Вводные'!$H$6,0)))*'Вводные'!$B$30,0)+IF(AND(YEAR(BZ$3)=YEAR($B$7),MONTH(BZ$3)=MONTH($B$7),$B$5=1),'Вводные'!$B$26*'Вводные'!$V$91*'Вводные'!$B$30,0)</x:f>
      </x:c>
      <x:c r="CA57" s="117">
        <x:f>IF(AND(YEAR(CA$3)=YEAR($B$6),MONTH(CA$3)=MONTH($B$6),$B$5=1),('CAPEX'!$B$116+'CAPEX'!$B$119+'CAPEX'!$B$120+IF('Вводные'!$B$37="Денежная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компенсация",'Вводные'!$B$56*'Вводные'!$R$91*'Вводные'!$H$6,0)))*'Вводные'!$B$30,0)+IF(AND(YEAR(CA$3)=YEAR($B$7),MONTH(CA$3)=MONTH($B$7),$B$5=1),'Вводные'!$B$26*'Вводные'!$V$91*'Вводные'!$B$30,0)</x:f>
      </x:c>
      <x:c r="CB57" s="117">
        <x:f>IF(AND(YEAR(CB$3)=YEAR($B$6),MONTH(CB$3)=MONTH($B$6),$B$5=1),('CAPEX'!$B$116+'CAPEX'!$B$119+'CAPEX'!$B$120+IF('Вводные'!$B$37="Денежная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компенсация",'Вводные'!$B$56*'Вводные'!$R$91*'Вводные'!$H$6,0)))*'Вводные'!$B$30,0)+IF(AND(YEAR(CB$3)=YEAR($B$7),MONTH(CB$3)=MONTH($B$7),$B$5=1),'Вводные'!$B$26*'Вводные'!$V$91*'Вводные'!$B$30,0)</x:f>
      </x:c>
      <x:c r="CC57" s="117">
        <x:f>IF(AND(YEAR(CC$3)=YEAR($B$6),MONTH(CC$3)=MONTH($B$6),$B$5=1),('CAPEX'!$B$116+'CAPEX'!$B$119+'CAPEX'!$B$120+IF('Вводные'!$B$37="Денежная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компенсация",'Вводные'!$B$56*'Вводные'!$R$91*'Вводные'!$H$6,0)))*'Вводные'!$B$30,0)+IF(AND(YEAR(CC$3)=YEAR($B$7),MONTH(CC$3)=MONTH($B$7),$B$5=1),'Вводные'!$B$26*'Вводные'!$V$91*'Вводные'!$B$30,0)</x:f>
      </x:c>
      <x:c r="CD57" s="117">
        <x:f>IF(AND(YEAR(CD$3)=YEAR($B$6),MONTH(CD$3)=MONTH($B$6),$B$5=1),('CAPEX'!$B$116+'CAPEX'!$B$119+'CAPEX'!$B$120+IF('Вводные'!$B$37="Денежная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компенсация",'Вводные'!$B$56*'Вводные'!$R$91*'Вводные'!$H$6,0)))*'Вводные'!$B$30,0)+IF(AND(YEAR(CD$3)=YEAR($B$7),MONTH(CD$3)=MONTH($B$7),$B$5=1),'Вводные'!$B$26*'Вводные'!$V$91*'Вводные'!$B$30,0)</x:f>
      </x:c>
      <x:c r="CE57" s="117">
        <x:f>IF(AND(YEAR(CE$3)=YEAR($B$6),MONTH(CE$3)=MONTH($B$6),$B$5=1),('CAPEX'!$B$116+'CAPEX'!$B$119+'CAPEX'!$B$120+IF('Вводные'!$B$37="Денежная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компенсация",'Вводные'!$B$56*'Вводные'!$R$91*'Вводные'!$H$6,0)))*'Вводные'!$B$30,0)+IF(AND(YEAR(CE$3)=YEAR($B$7),MONTH(CE$3)=MONTH($B$7),$B$5=1),'Вводные'!$B$26*'Вводные'!$V$91*'Вводные'!$B$30,0)</x:f>
      </x:c>
      <x:c r="CF57" s="117">
        <x:f>IF(AND(YEAR(CF$3)=YEAR($B$6),MONTH(CF$3)=MONTH($B$6),$B$5=1),('CAPEX'!$B$116+'CAPEX'!$B$119+'CAPEX'!$B$120+IF('Вводные'!$B$37="Денежная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компенсация",'Вводные'!$B$56*'Вводные'!$R$91*'Вводные'!$H$6,0)))*'Вводные'!$B$30,0)+IF(AND(YEAR(CF$3)=YEAR($B$7),MONTH(CF$3)=MONTH($B$7),$B$5=1),'Вводные'!$B$26*'Вводные'!$V$91*'Вводные'!$B$30,0)</x:f>
      </x:c>
      <x:c r="CG57" s="117">
        <x:f>IF(AND(YEAR(CG$3)=YEAR($B$6),MONTH(CG$3)=MONTH($B$6),$B$5=1),('CAPEX'!$B$116+'CAPEX'!$B$119+'CAPEX'!$B$120+IF('Вводные'!$B$37="Денежная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компенсация",'Вводные'!$B$56*'Вводные'!$R$91*'Вводные'!$H$6,0)))*'Вводные'!$B$30,0)+IF(AND(YEAR(CG$3)=YEAR($B$7),MONTH(CG$3)=MONTH($B$7),$B$5=1),'Вводные'!$B$26*'Вводные'!$V$91*'Вводные'!$B$30,0)</x:f>
      </x:c>
      <x:c r="CH57" s="117">
        <x:f>IF(AND(YEAR(CH$3)=YEAR($B$6),MONTH(CH$3)=MONTH($B$6),$B$5=1),('CAPEX'!$B$116+'CAPEX'!$B$119+'CAPEX'!$B$120+IF('Вводные'!$B$37="Денежная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компенсация",'Вводные'!$B$56*'Вводные'!$R$91*'Вводные'!$H$6,0)))*'Вводные'!$B$30,0)+IF(AND(YEAR(CH$3)=YEAR($B$7),MONTH(CH$3)=MONTH($B$7),$B$5=1),'Вводные'!$B$26*'Вводные'!$V$91*'Вводные'!$B$30,0)</x:f>
      </x:c>
      <x:c r="CI57" s="117">
        <x:f>IF(AND(YEAR(CI$3)=YEAR($B$6),MONTH(CI$3)=MONTH($B$6),$B$5=1),('CAPEX'!$B$116+'CAPEX'!$B$119+'CAPEX'!$B$120+IF('Вводные'!$B$37="Денежная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компенсация",'Вводные'!$B$56*'Вводные'!$R$91*'Вводные'!$H$6,0)))*'Вводные'!$B$30,0)+IF(AND(YEAR(CI$3)=YEAR($B$7),MONTH(CI$3)=MONTH($B$7),$B$5=1),'Вводные'!$B$26*'Вводные'!$V$91*'Вводные'!$B$30,0)</x:f>
      </x:c>
      <x:c r="CJ57" s="117">
        <x:f>IF(AND(YEAR(CJ$3)=YEAR($B$6),MONTH(CJ$3)=MONTH($B$6),$B$5=1),('CAPEX'!$B$116+'CAPEX'!$B$119+'CAPEX'!$B$120+IF('Вводные'!$B$37="Денежная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компенсация",'Вводные'!$B$56*'Вводные'!$R$91*'Вводные'!$H$6,0)))*'Вводные'!$B$30,0)+IF(AND(YEAR(CJ$3)=YEAR($B$7),MONTH(CJ$3)=MONTH($B$7),$B$5=1),'Вводные'!$B$26*'Вводные'!$V$91*'Вводные'!$B$30,0)</x:f>
      </x:c>
      <x:c r="CK57" s="117">
        <x:f>IF(AND(YEAR(CK$3)=YEAR($B$6),MONTH(CK$3)=MONTH($B$6),$B$5=1),('CAPEX'!$B$116+'CAPEX'!$B$119+'CAPEX'!$B$120+IF('Вводные'!$B$37="Денежная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компенсация",'Вводные'!$B$56*'Вводные'!$R$91*'Вводные'!$H$6,0)))*'Вводные'!$B$30,0)+IF(AND(YEAR(CK$3)=YEAR($B$7),MONTH(CK$3)=MONTH($B$7),$B$5=1),'Вводные'!$B$26*'Вводные'!$V$91*'Вводные'!$B$30,0)</x:f>
      </x:c>
      <x:c r="CL57" s="117">
        <x:f>IF(AND(YEAR(CL$3)=YEAR($B$6),MONTH(CL$3)=MONTH($B$6),$B$5=1),('CAPEX'!$B$116+'CAPEX'!$B$119+'CAPEX'!$B$120+IF('Вводные'!$B$37="Денежная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компенсация",'Вводные'!$B$56*'Вводные'!$R$91*'Вводные'!$H$6,0)))*'Вводные'!$B$30,0)+IF(AND(YEAR(CL$3)=YEAR($B$7),MONTH(CL$3)=MONTH($B$7),$B$5=1),'Вводные'!$B$26*'Вводные'!$V$91*'Вводные'!$B$30,0)</x:f>
      </x:c>
      <x:c r="CM57" s="117">
        <x:f>IF(AND(YEAR(CM$3)=YEAR($B$6),MONTH(CM$3)=MONTH($B$6),$B$5=1),('CAPEX'!$B$116+'CAPEX'!$B$119+'CAPEX'!$B$120+IF('Вводные'!$B$37="Денежная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компенсация",'Вводные'!$B$56*'Вводные'!$R$91*'Вводные'!$H$6,0)))*'Вводные'!$B$30,0)+IF(AND(YEAR(CM$3)=YEAR($B$7),MONTH(CM$3)=MONTH($B$7),$B$5=1),'Вводные'!$B$26*'Вводные'!$V$91*'Вводные'!$B$30,0)</x:f>
      </x:c>
      <x:c r="CN57" s="117">
        <x:f>IF(AND(YEAR(CN$3)=YEAR($B$6),MONTH(CN$3)=MONTH($B$6),$B$5=1),('CAPEX'!$B$116+'CAPEX'!$B$119+'CAPEX'!$B$120+IF('Вводные'!$B$37="Денежная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компенсация",'Вводные'!$B$56*'Вводные'!$R$91*'Вводные'!$H$6,0)))*'Вводные'!$B$30,0)+IF(AND(YEAR(CN$3)=YEAR($B$7),MONTH(CN$3)=MONTH($B$7),$B$5=1),'Вводные'!$B$26*'Вводные'!$V$91*'Вводные'!$B$30,0)</x:f>
      </x:c>
      <x:c r="CO57" s="117">
        <x:f>IF(AND(YEAR(CO$3)=YEAR($B$6),MONTH(CO$3)=MONTH($B$6),$B$5=1),('CAPEX'!$B$116+'CAPEX'!$B$119+'CAPEX'!$B$120+IF('Вводные'!$B$37="Денежная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компенсация",'Вводные'!$B$56*'Вводные'!$R$91*'Вводные'!$H$6,0)))*'Вводные'!$B$30,0)+IF(AND(YEAR(CO$3)=YEAR($B$7),MONTH(CO$3)=MONTH($B$7),$B$5=1),'Вводные'!$B$26*'Вводные'!$V$91*'Вводные'!$B$30,0)</x:f>
      </x:c>
      <x:c r="CP57" s="117">
        <x:f>IF(AND(YEAR(CP$3)=YEAR($B$6),MONTH(CP$3)=MONTH($B$6),$B$5=1),('CAPEX'!$B$116+'CAPEX'!$B$119+'CAPEX'!$B$120+IF('Вводные'!$B$37="Денежная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компенсация",'Вводные'!$B$56*'Вводные'!$R$91*'Вводные'!$H$6,0)))*'Вводные'!$B$30,0)+IF(AND(YEAR(CP$3)=YEAR($B$7),MONTH(CP$3)=MONTH($B$7),$B$5=1),'Вводные'!$B$26*'Вводные'!$V$91*'Вводные'!$B$30,0)</x:f>
      </x:c>
      <x:c r="CQ57" s="117">
        <x:f>IF(AND(YEAR(CQ$3)=YEAR($B$6),MONTH(CQ$3)=MONTH($B$6),$B$5=1),('CAPEX'!$B$116+'CAPEX'!$B$119+'CAPEX'!$B$120+IF('Вводные'!$B$37="Денежная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компенсация",'Вводные'!$B$56*'Вводные'!$R$91*'Вводные'!$H$6,0)))*'Вводные'!$B$30,0)+IF(AND(YEAR(CQ$3)=YEAR($B$7),MONTH(CQ$3)=MONTH($B$7),$B$5=1),'Вводные'!$B$26*'Вводные'!$V$91*'Вводные'!$B$30,0)</x:f>
      </x:c>
      <x:c r="CR57" s="117">
        <x:f>IF(AND(YEAR(CR$3)=YEAR($B$6),MONTH(CR$3)=MONTH($B$6),$B$5=1),('CAPEX'!$B$116+'CAPEX'!$B$119+'CAPEX'!$B$120+IF('Вводные'!$B$37="Денежная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компенсация",'Вводные'!$B$56*'Вводные'!$R$91*'Вводные'!$H$6,0)))*'Вводные'!$B$30,0)+IF(AND(YEAR(CR$3)=YEAR($B$7),MONTH(CR$3)=MONTH($B$7),$B$5=1),'Вводные'!$B$26*'Вводные'!$V$91*'Вводные'!$B$30,0)</x:f>
      </x:c>
      <x:c r="CS57" s="117">
        <x:f>IF(AND(YEAR(CS$3)=YEAR($B$6),MONTH(CS$3)=MONTH($B$6),$B$5=1),('CAPEX'!$B$116+'CAPEX'!$B$119+'CAPEX'!$B$120+IF('Вводные'!$B$37="Денежная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компенсация",'Вводные'!$B$56*'Вводные'!$R$91*'Вводные'!$H$6,0)))*'Вводные'!$B$30,0)+IF(AND(YEAR(CS$3)=YEAR($B$7),MONTH(CS$3)=MONTH($B$7),$B$5=1),'Вводные'!$B$26*'Вводные'!$V$91*'Вводные'!$B$30,0)</x:f>
      </x:c>
      <x:c r="CT57" s="117">
        <x:f>IF(AND(YEAR(CT$3)=YEAR($B$6),MONTH(CT$3)=MONTH($B$6),$B$5=1),('CAPEX'!$B$116+'CAPEX'!$B$119+'CAPEX'!$B$120+IF('Вводные'!$B$37="Денежная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компенсация",'Вводные'!$B$56*'Вводные'!$R$91*'Вводные'!$H$6,0)))*'Вводные'!$B$30,0)+IF(AND(YEAR(CT$3)=YEAR($B$7),MONTH(CT$3)=MONTH($B$7),$B$5=1),'Вводные'!$B$26*'Вводные'!$V$91*'Вводные'!$B$30,0)</x:f>
      </x:c>
      <x:c r="CU57" s="117">
        <x:f>IF(AND(YEAR(CU$3)=YEAR($B$6),MONTH(CU$3)=MONTH($B$6),$B$5=1),('CAPEX'!$B$116+'CAPEX'!$B$119+'CAPEX'!$B$120+IF('Вводные'!$B$37="Денежная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компенсация",'Вводные'!$B$56*'Вводные'!$R$91*'Вводные'!$H$6,0)))*'Вводные'!$B$30,0)+IF(AND(YEAR(CU$3)=YEAR($B$7),MONTH(CU$3)=MONTH($B$7),$B$5=1),'Вводные'!$B$26*'Вводные'!$V$91*'Вводные'!$B$30,0)</x:f>
      </x:c>
      <x:c r="CV57" s="117">
        <x:f>IF(AND(YEAR(CV$3)=YEAR($B$6),MONTH(CV$3)=MONTH($B$6),$B$5=1),('CAPEX'!$B$116+'CAPEX'!$B$119+'CAPEX'!$B$120+IF('Вводные'!$B$37="Денежная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компенсация",'Вводные'!$B$56*'Вводные'!$R$91*'Вводные'!$H$6,0)))*'Вводные'!$B$30,0)+IF(AND(YEAR(CV$3)=YEAR($B$7),MONTH(CV$3)=MONTH($B$7),$B$5=1),'Вводные'!$B$26*'Вводные'!$V$91*'Вводные'!$B$30,0)</x:f>
      </x:c>
      <x:c r="CW57" s="117">
        <x:f>IF(AND(YEAR(CW$3)=YEAR($B$6),MONTH(CW$3)=MONTH($B$6),$B$5=1),('CAPEX'!$B$116+'CAPEX'!$B$119+'CAPEX'!$B$120+IF('Вводные'!$B$37="Денежная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компенсация",'Вводные'!$B$56*'Вводные'!$R$91*'Вводные'!$H$6,0)))*'Вводные'!$B$30,0)+IF(AND(YEAR(CW$3)=YEAR($B$7),MONTH(CW$3)=MONTH($B$7),$B$5=1),'Вводные'!$B$26*'Вводные'!$V$91*'Вводные'!$B$30,0)</x:f>
      </x:c>
      <x:c r="CX57" s="117">
        <x:f>IF(AND(YEAR(CX$3)=YEAR($B$6),MONTH(CX$3)=MONTH($B$6),$B$5=1),('CAPEX'!$B$116+'CAPEX'!$B$119+'CAPEX'!$B$120+IF('Вводные'!$B$37="Денежная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компенсация",'Вводные'!$B$56*'Вводные'!$R$91*'Вводные'!$H$6,0)))*'Вводные'!$B$30,0)+IF(AND(YEAR(CX$3)=YEAR($B$7),MONTH(CX$3)=MONTH($B$7),$B$5=1),'Вводные'!$B$26*'Вводные'!$V$91*'Вводные'!$B$30,0)</x:f>
      </x:c>
      <x:c r="CY57" s="117">
        <x:f>IF(AND(YEAR(CY$3)=YEAR($B$6),MONTH(CY$3)=MONTH($B$6),$B$5=1),('CAPEX'!$B$116+'CAPEX'!$B$119+'CAPEX'!$B$120+IF('Вводные'!$B$37="Денежная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компенсация",'Вводные'!$B$56*'Вводные'!$R$91*'Вводные'!$H$6,0)))*'Вводные'!$B$30,0)+IF(AND(YEAR(CY$3)=YEAR($B$7),MONTH(CY$3)=MONTH($B$7),$B$5=1),'Вводные'!$B$26*'Вводные'!$V$91*'Вводные'!$B$30,0)</x:f>
      </x:c>
      <x:c r="CZ57" s="117">
        <x:f>IF(AND(YEAR(CZ$3)=YEAR($B$6),MONTH(CZ$3)=MONTH($B$6),$B$5=1),('CAPEX'!$B$116+'CAPEX'!$B$119+'CAPEX'!$B$120+IF('Вводные'!$B$37="Денежная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компенсация",'Вводные'!$B$56*'Вводные'!$R$91*'Вводные'!$H$6,0)))*'Вводные'!$B$30,0)+IF(AND(YEAR(CZ$3)=YEAR($B$7),MONTH(CZ$3)=MONTH($B$7),$B$5=1),'Вводные'!$B$26*'Вводные'!$V$91*'Вводные'!$B$30,0)</x:f>
      </x:c>
      <x:c r="DA57" s="117">
        <x:f>IF(AND(YEAR(DA$3)=YEAR($B$6),MONTH(DA$3)=MONTH($B$6),$B$5=1),('CAPEX'!$B$116+'CAPEX'!$B$119+'CAPEX'!$B$120+IF('Вводные'!$B$37="Денежная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компенсация",'Вводные'!$B$56*'Вводные'!$R$91*'Вводные'!$H$6,0)))*'Вводные'!$B$30,0)+IF(AND(YEAR(DA$3)=YEAR($B$7),MONTH(DA$3)=MONTH($B$7),$B$5=1),'Вводные'!$B$26*'Вводные'!$V$91*'Вводные'!$B$30,0)</x:f>
      </x:c>
      <x:c r="DB57" s="117">
        <x:f>IF(AND(YEAR(DB$3)=YEAR($B$6),MONTH(DB$3)=MONTH($B$6),$B$5=1),('CAPEX'!$B$116+'CAPEX'!$B$119+'CAPEX'!$B$120+IF('Вводные'!$B$37="Денежная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компенсация",'Вводные'!$B$56*'Вводные'!$R$91*'Вводные'!$H$6,0)))*'Вводные'!$B$30,0)+IF(AND(YEAR(DB$3)=YEAR($B$7),MONTH(DB$3)=MONTH($B$7),$B$5=1),'Вводные'!$B$26*'Вводные'!$V$91*'Вводные'!$B$30,0)</x:f>
      </x:c>
      <x:c r="DC57" s="117">
        <x:f>IF(AND(YEAR(DC$3)=YEAR($B$6),MONTH(DC$3)=MONTH($B$6),$B$5=1),('CAPEX'!$B$116+'CAPEX'!$B$119+'CAPEX'!$B$120+IF('Вводные'!$B$37="Денежная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компенсация",'Вводные'!$B$56*'Вводные'!$R$91*'Вводные'!$H$6,0)))*'Вводные'!$B$30,0)+IF(AND(YEAR(DC$3)=YEAR($B$7),MONTH(DC$3)=MONTH($B$7),$B$5=1),'Вводные'!$B$26*'Вводные'!$V$91*'Вводные'!$B$30,0)</x:f>
      </x:c>
      <x:c r="DD57" s="117">
        <x:f>IF(AND(YEAR(DD$3)=YEAR($B$6),MONTH(DD$3)=MONTH($B$6),$B$5=1),('CAPEX'!$B$116+'CAPEX'!$B$119+'CAPEX'!$B$120+IF('Вводные'!$B$37="Денежная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компенсация",'Вводные'!$B$56*'Вводные'!$R$91*'Вводные'!$H$6,0)))*'Вводные'!$B$30,0)+IF(AND(YEAR(DD$3)=YEAR($B$7),MONTH(DD$3)=MONTH($B$7),$B$5=1),'Вводные'!$B$26*'Вводные'!$V$91*'Вводные'!$B$30,0)</x:f>
      </x:c>
      <x:c r="DE57" s="117">
        <x:f>IF(AND(YEAR(DE$3)=YEAR($B$6),MONTH(DE$3)=MONTH($B$6),$B$5=1),('CAPEX'!$B$116+'CAPEX'!$B$119+'CAPEX'!$B$120+IF('Вводные'!$B$37="Денежная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компенсация",'Вводные'!$B$56*'Вводные'!$R$91*'Вводные'!$H$6,0)))*'Вводные'!$B$30,0)+IF(AND(YEAR(DE$3)=YEAR($B$7),MONTH(DE$3)=MONTH($B$7),$B$5=1),'Вводные'!$B$26*'Вводные'!$V$91*'Вводные'!$B$30,0)</x:f>
      </x:c>
      <x:c r="DF57" s="117">
        <x:f>IF(AND(YEAR(DF$3)=YEAR($B$6),MONTH(DF$3)=MONTH($B$6),$B$5=1),('CAPEX'!$B$116+'CAPEX'!$B$119+'CAPEX'!$B$120+IF('Вводные'!$B$37="Денежная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компенсация",'Вводные'!$B$56*'Вводные'!$R$91*'Вводные'!$H$6,0)))*'Вводные'!$B$30,0)+IF(AND(YEAR(DF$3)=YEAR($B$7),MONTH(DF$3)=MONTH($B$7),$B$5=1),'Вводные'!$B$26*'Вводные'!$V$91*'Вводные'!$B$30,0)</x:f>
      </x:c>
      <x:c r="DG57" s="117">
        <x:f>IF(AND(YEAR(DG$3)=YEAR($B$6),MONTH(DG$3)=MONTH($B$6),$B$5=1),('CAPEX'!$B$116+'CAPEX'!$B$119+'CAPEX'!$B$120+IF('Вводные'!$B$37="Денежная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компенсация",'Вводные'!$B$56*'Вводные'!$R$91*'Вводные'!$H$6,0)))*'Вводные'!$B$30,0)+IF(AND(YEAR(DG$3)=YEAR($B$7),MONTH(DG$3)=MONTH($B$7),$B$5=1),'Вводные'!$B$26*'Вводные'!$V$91*'Вводные'!$B$30,0)</x:f>
      </x:c>
      <x:c r="DH57" s="117">
        <x:f>IF(AND(YEAR(DH$3)=YEAR($B$6),MONTH(DH$3)=MONTH($B$6),$B$5=1),('CAPEX'!$B$116+'CAPEX'!$B$119+'CAPEX'!$B$120+IF('Вводные'!$B$37="Денежная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компенсация",'Вводные'!$B$56*'Вводные'!$R$91*'Вводные'!$H$6,0)))*'Вводные'!$B$30,0)+IF(AND(YEAR(DH$3)=YEAR($B$7),MONTH(DH$3)=MONTH($B$7),$B$5=1),'Вводные'!$B$26*'Вводные'!$V$91*'Вводные'!$B$30,0)</x:f>
      </x:c>
      <x:c r="DI57" s="117">
        <x:f>IF(AND(YEAR(DI$3)=YEAR($B$6),MONTH(DI$3)=MONTH($B$6),$B$5=1),('CAPEX'!$B$116+'CAPEX'!$B$119+'CAPEX'!$B$120+IF('Вводные'!$B$37="Денежная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компенсация",'Вводные'!$B$56*'Вводные'!$R$91*'Вводные'!$H$6,0)))*'Вводные'!$B$30,0)+IF(AND(YEAR(DI$3)=YEAR($B$7),MONTH(DI$3)=MONTH($B$7),$B$5=1),'Вводные'!$B$26*'Вводные'!$V$91*'Вводные'!$B$30,0)</x:f>
      </x:c>
      <x:c r="DJ57" s="117">
        <x:f>IF(AND(YEAR(DJ$3)=YEAR($B$6),MONTH(DJ$3)=MONTH($B$6),$B$5=1),('CAPEX'!$B$116+'CAPEX'!$B$119+'CAPEX'!$B$120+IF('Вводные'!$B$37="Денежная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компенсация",'Вводные'!$B$56*'Вводные'!$R$91*'Вводные'!$H$6,0)))*'Вводные'!$B$30,0)+IF(AND(YEAR(DJ$3)=YEAR($B$7),MONTH(DJ$3)=MONTH($B$7),$B$5=1),'Вводные'!$B$26*'Вводные'!$V$91*'Вводные'!$B$30,0)</x:f>
      </x:c>
      <x:c r="DK57" s="117">
        <x:f>IF(AND(YEAR(DK$3)=YEAR($B$6),MONTH(DK$3)=MONTH($B$6),$B$5=1),('CAPEX'!$B$116+'CAPEX'!$B$119+'CAPEX'!$B$120+IF('Вводные'!$B$37="Денежная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компенсация",'Вводные'!$B$56*'Вводные'!$R$91*'Вводные'!$H$6,0)))*'Вводные'!$B$30,0)+IF(AND(YEAR(DK$3)=YEAR($B$7),MONTH(DK$3)=MONTH($B$7),$B$5=1),'Вводные'!$B$26*'Вводные'!$V$91*'Вводные'!$B$30,0)</x:f>
      </x:c>
      <x:c r="DL57" s="117">
        <x:f>IF(AND(YEAR(DL$3)=YEAR($B$6),MONTH(DL$3)=MONTH($B$6),$B$5=1),('CAPEX'!$B$116+'CAPEX'!$B$119+'CAPEX'!$B$120+IF('Вводные'!$B$37="Денежная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компенсация",'Вводные'!$B$56*'Вводные'!$R$91*'Вводные'!$H$6,0)))*'Вводные'!$B$30,0)+IF(AND(YEAR(DL$3)=YEAR($B$7),MONTH(DL$3)=MONTH($B$7),$B$5=1),'Вводные'!$B$26*'Вводные'!$V$91*'Вводные'!$B$30,0)</x:f>
      </x:c>
      <x:c r="DM57" s="117">
        <x:f>IF(AND(YEAR(DM$3)=YEAR($B$6),MONTH(DM$3)=MONTH($B$6),$B$5=1),('CAPEX'!$B$116+'CAPEX'!$B$119+'CAPEX'!$B$120+IF('Вводные'!$B$37="Денежная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компенсация",'Вводные'!$B$56*'Вводные'!$R$91*'Вводные'!$H$6,0)))*'Вводные'!$B$30,0)+IF(AND(YEAR(DM$3)=YEAR($B$7),MONTH(DM$3)=MONTH($B$7),$B$5=1),'Вводные'!$B$26*'Вводные'!$V$91*'Вводные'!$B$30,0)</x:f>
      </x:c>
      <x:c r="DN57" s="117">
        <x:f>IF(AND(YEAR(DN$3)=YEAR($B$6),MONTH(DN$3)=MONTH($B$6),$B$5=1),('CAPEX'!$B$116+'CAPEX'!$B$119+'CAPEX'!$B$120+IF('Вводные'!$B$37="Денежная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компенсация",'Вводные'!$B$56*'Вводные'!$R$91*'Вводные'!$H$6,0)))*'Вводные'!$B$30,0)+IF(AND(YEAR(DN$3)=YEAR($B$7),MONTH(DN$3)=MONTH($B$7),$B$5=1),'Вводные'!$B$26*'Вводные'!$V$91*'Вводные'!$B$30,0)</x:f>
      </x:c>
      <x:c r="DO57" s="117">
        <x:f>IF(AND(YEAR(DO$3)=YEAR($B$6),MONTH(DO$3)=MONTH($B$6),$B$5=1),('CAPEX'!$B$116+'CAPEX'!$B$119+'CAPEX'!$B$120+IF('Вводные'!$B$37="Денежная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компенсация",'Вводные'!$B$56*'Вводные'!$R$91*'Вводные'!$H$6,0)))*'Вводные'!$B$30,0)+IF(AND(YEAR(DO$3)=YEAR($B$7),MONTH(DO$3)=MONTH($B$7),$B$5=1),'Вводные'!$B$26*'Вводные'!$V$91*'Вводные'!$B$30,0)</x:f>
      </x:c>
      <x:c r="DP57" s="117">
        <x:f>IF(AND(YEAR(DP$3)=YEAR($B$6),MONTH(DP$3)=MONTH($B$6),$B$5=1),('CAPEX'!$B$116+'CAPEX'!$B$119+'CAPEX'!$B$120+IF('Вводные'!$B$37="Денежная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компенсация",'Вводные'!$B$56*'Вводные'!$R$91*'Вводные'!$H$6,0)))*'Вводные'!$B$30,0)+IF(AND(YEAR(DP$3)=YEAR($B$7),MONTH(DP$3)=MONTH($B$7),$B$5=1),'Вводные'!$B$26*'Вводные'!$V$91*'Вводные'!$B$30,0)</x:f>
      </x:c>
      <x:c r="DQ57" s="117">
        <x:f>IF(AND(YEAR(DQ$3)=YEAR($B$6),MONTH(DQ$3)=MONTH($B$6),$B$5=1),('CAPEX'!$B$116+'CAPEX'!$B$119+'CAPEX'!$B$120+IF('Вводные'!$B$37="Денежная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компенсация",'Вводные'!$B$56*'Вводные'!$R$91*'Вводные'!$H$6,0)))*'Вводные'!$B$30,0)+IF(AND(YEAR(DQ$3)=YEAR($B$7),MONTH(DQ$3)=MONTH($B$7),$B$5=1),'Вводные'!$B$26*'Вводные'!$V$91*'Вводные'!$B$30,0)</x:f>
      </x:c>
      <x:c r="DR57" s="117">
        <x:f>IF(AND(YEAR(DR$3)=YEAR($B$6),MONTH(DR$3)=MONTH($B$6),$B$5=1),('CAPEX'!$B$116+'CAPEX'!$B$119+'CAPEX'!$B$120+IF('Вводные'!$B$37="Денежная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компенсация",'Вводные'!$B$56*'Вводные'!$R$91*'Вводные'!$H$6,0)))*'Вводные'!$B$30,0)+IF(AND(YEAR(DR$3)=YEAR($B$7),MONTH(DR$3)=MONTH($B$7),$B$5=1),'Вводные'!$B$26*'Вводные'!$V$91*'Вводные'!$B$30,0)</x:f>
      </x:c>
      <x:c r="DS57" s="117">
        <x:f>IF(AND(YEAR(DS$3)=YEAR($B$6),MONTH(DS$3)=MONTH($B$6),$B$5=1),('CAPEX'!$B$116+'CAPEX'!$B$119+'CAPEX'!$B$120+IF('Вводные'!$B$37="Денежная компенсация",'CAPEX'!$B$133,IF('Вводные'!$B$37="Строительство и компенсация",'Вводные'!$B$56*'Вводные'!$R$91*'Вводные'!$H$6,0)))*'Вводные'!$B$30,0)+IF(AND(YEAR(DS$3)=YEAR($B$7),MONTH(DS$3)=MONTH($B$7),$B$5=1),'Вводные'!$B$26*'Вводные'!$V$91*'Вводные'!$B$30,0)</x:f>
      </x:c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 t="str">
        <x:v>Собственные средства — остаток</x:v>
      </x:c>
      <x:c r="B59">
        <x:f>DS59</x:f>
      </x:c>
      <x:c r="C59" t="str">
        <x:v>млн ₽</x:v>
      </x:c>
      <x:c r="D59" s="117">
        <x:f>MAX(0,'Вводные'!$B$85*'Вводные'!$AI$91-D56)</x:f>
      </x:c>
      <x:c r="E59" s="117">
        <x:f>MAX(0,D59-E56)</x:f>
      </x:c>
      <x:c r="F59" s="117">
        <x:f>MAX(0,E59-F56)</x:f>
      </x:c>
      <x:c r="G59" s="117">
        <x:f>MAX(0,F59-G56)</x:f>
      </x:c>
      <x:c r="H59" s="117">
        <x:f>MAX(0,G59-H56)</x:f>
      </x:c>
      <x:c r="I59" s="117">
        <x:f>MAX(0,H59-I56)</x:f>
      </x:c>
      <x:c r="J59" s="117">
        <x:f>MAX(0,I59-J56)</x:f>
      </x:c>
      <x:c r="K59" s="117">
        <x:f>MAX(0,J59-K56)</x:f>
      </x:c>
      <x:c r="L59" s="117">
        <x:f>MAX(0,K59-L56)</x:f>
      </x:c>
      <x:c r="M59" s="117">
        <x:f>MAX(0,L59-M56)</x:f>
      </x:c>
      <x:c r="N59" s="117">
        <x:f>MAX(0,M59-N56)</x:f>
      </x:c>
      <x:c r="O59" s="117">
        <x:f>MAX(0,N59-O56)</x:f>
      </x:c>
      <x:c r="P59" s="117">
        <x:f>MAX(0,O59-P56)</x:f>
      </x:c>
      <x:c r="Q59" s="117">
        <x:f>MAX(0,P59-Q56)</x:f>
      </x:c>
      <x:c r="R59" s="117">
        <x:f>MAX(0,Q59-R56)</x:f>
      </x:c>
      <x:c r="S59" s="117">
        <x:f>MAX(0,R59-S56)</x:f>
      </x:c>
      <x:c r="T59" s="117">
        <x:f>MAX(0,S59-T56)</x:f>
      </x:c>
      <x:c r="U59" s="117">
        <x:f>MAX(0,T59-U56)</x:f>
      </x:c>
      <x:c r="V59" s="117">
        <x:f>MAX(0,U59-V56)</x:f>
      </x:c>
      <x:c r="W59" s="117">
        <x:f>MAX(0,V59-W56)</x:f>
      </x:c>
      <x:c r="X59" s="117">
        <x:f>MAX(0,W59-X56)</x:f>
      </x:c>
      <x:c r="Y59" s="117">
        <x:f>MAX(0,X59-Y56)</x:f>
      </x:c>
      <x:c r="Z59" s="117">
        <x:f>MAX(0,Y59-Z56)</x:f>
      </x:c>
      <x:c r="AA59" s="117">
        <x:f>MAX(0,Z59-AA56)</x:f>
      </x:c>
      <x:c r="AB59" s="117">
        <x:f>MAX(0,AA59-AB56)</x:f>
      </x:c>
      <x:c r="AC59" s="117">
        <x:f>MAX(0,AB59-AC56)</x:f>
      </x:c>
      <x:c r="AD59" s="117">
        <x:f>MAX(0,AC59-AD56)</x:f>
      </x:c>
      <x:c r="AE59" s="117">
        <x:f>MAX(0,AD59-AE56)</x:f>
      </x:c>
      <x:c r="AF59" s="117">
        <x:f>MAX(0,AE59-AF56)</x:f>
      </x:c>
      <x:c r="AG59" s="117">
        <x:f>MAX(0,AF59-AG56)</x:f>
      </x:c>
      <x:c r="AH59" s="117">
        <x:f>MAX(0,AG59-AH56)</x:f>
      </x:c>
      <x:c r="AI59" s="117">
        <x:f>MAX(0,AH59-AI56)</x:f>
      </x:c>
      <x:c r="AJ59" s="117">
        <x:f>MAX(0,AI59-AJ56)</x:f>
      </x:c>
      <x:c r="AK59" s="117">
        <x:f>MAX(0,AJ59-AK56)</x:f>
      </x:c>
      <x:c r="AL59" s="117">
        <x:f>MAX(0,AK59-AL56)</x:f>
      </x:c>
      <x:c r="AM59" s="117">
        <x:f>MAX(0,AL59-AM56)</x:f>
      </x:c>
      <x:c r="AN59" s="117">
        <x:f>MAX(0,AM59-AN56)</x:f>
      </x:c>
      <x:c r="AO59" s="117">
        <x:f>MAX(0,AN59-AO56)</x:f>
      </x:c>
      <x:c r="AP59" s="117">
        <x:f>MAX(0,AO59-AP56)</x:f>
      </x:c>
      <x:c r="AQ59" s="117">
        <x:f>MAX(0,AP59-AQ56)</x:f>
      </x:c>
      <x:c r="AR59" s="117">
        <x:f>MAX(0,AQ59-AR56)</x:f>
      </x:c>
      <x:c r="AS59" s="117">
        <x:f>MAX(0,AR59-AS56)</x:f>
      </x:c>
      <x:c r="AT59" s="117">
        <x:f>MAX(0,AS59-AT56)</x:f>
      </x:c>
      <x:c r="AU59" s="117">
        <x:f>MAX(0,AT59-AU56)</x:f>
      </x:c>
      <x:c r="AV59" s="117">
        <x:f>MAX(0,AU59-AV56)</x:f>
      </x:c>
      <x:c r="AW59" s="117">
        <x:f>MAX(0,AV59-AW56)</x:f>
      </x:c>
      <x:c r="AX59" s="117">
        <x:f>MAX(0,AW59-AX56)</x:f>
      </x:c>
      <x:c r="AY59" s="117">
        <x:f>MAX(0,AX59-AY56)</x:f>
      </x:c>
      <x:c r="AZ59" s="117">
        <x:f>MAX(0,AY59-AZ56)</x:f>
      </x:c>
      <x:c r="BA59" s="117">
        <x:f>MAX(0,AZ59-BA56)</x:f>
      </x:c>
      <x:c r="BB59" s="117">
        <x:f>MAX(0,BA59-BB56)</x:f>
      </x:c>
      <x:c r="BC59" s="117">
        <x:f>MAX(0,BB59-BC56)</x:f>
      </x:c>
      <x:c r="BD59" s="117">
        <x:f>MAX(0,BC59-BD56)</x:f>
      </x:c>
      <x:c r="BE59" s="117">
        <x:f>MAX(0,BD59-BE56)</x:f>
      </x:c>
      <x:c r="BF59" s="117">
        <x:f>MAX(0,BE59-BF56)</x:f>
      </x:c>
      <x:c r="BG59" s="117">
        <x:f>MAX(0,BF59-BG56)</x:f>
      </x:c>
      <x:c r="BH59" s="117">
        <x:f>MAX(0,BG59-BH56)</x:f>
      </x:c>
      <x:c r="BI59" s="117">
        <x:f>MAX(0,BH59-BI56)</x:f>
      </x:c>
      <x:c r="BJ59" s="117">
        <x:f>MAX(0,BI59-BJ56)</x:f>
      </x:c>
      <x:c r="BK59" s="117">
        <x:f>MAX(0,BJ59-BK56)</x:f>
      </x:c>
      <x:c r="BL59" s="117">
        <x:f>MAX(0,BK59-BL56)</x:f>
      </x:c>
      <x:c r="BM59" s="117">
        <x:f>MAX(0,BL59-BM56)</x:f>
      </x:c>
      <x:c r="BN59" s="117">
        <x:f>MAX(0,BM59-BN56)</x:f>
      </x:c>
      <x:c r="BO59" s="117">
        <x:f>MAX(0,BN59-BO56)</x:f>
      </x:c>
      <x:c r="BP59" s="117">
        <x:f>MAX(0,BO59-BP56)</x:f>
      </x:c>
      <x:c r="BQ59" s="117">
        <x:f>MAX(0,BP59-BQ56)</x:f>
      </x:c>
      <x:c r="BR59" s="117">
        <x:f>MAX(0,BQ59-BR56)</x:f>
      </x:c>
      <x:c r="BS59" s="117">
        <x:f>MAX(0,BR59-BS56)</x:f>
      </x:c>
      <x:c r="BT59" s="117">
        <x:f>MAX(0,BS59-BT56)</x:f>
      </x:c>
      <x:c r="BU59" s="117">
        <x:f>MAX(0,BT59-BU56)</x:f>
      </x:c>
      <x:c r="BV59" s="117">
        <x:f>MAX(0,BU59-BV56)</x:f>
      </x:c>
      <x:c r="BW59" s="117">
        <x:f>MAX(0,BV59-BW56)</x:f>
      </x:c>
      <x:c r="BX59" s="117">
        <x:f>MAX(0,BW59-BX56)</x:f>
      </x:c>
      <x:c r="BY59" s="117">
        <x:f>MAX(0,BX59-BY56)</x:f>
      </x:c>
      <x:c r="BZ59" s="117">
        <x:f>MAX(0,BY59-BZ56)</x:f>
      </x:c>
      <x:c r="CA59" s="117">
        <x:f>MAX(0,BZ59-CA56)</x:f>
      </x:c>
      <x:c r="CB59" s="117">
        <x:f>MAX(0,CA59-CB56)</x:f>
      </x:c>
      <x:c r="CC59" s="117">
        <x:f>MAX(0,CB59-CC56)</x:f>
      </x:c>
      <x:c r="CD59" s="117">
        <x:f>MAX(0,CC59-CD56)</x:f>
      </x:c>
      <x:c r="CE59" s="117">
        <x:f>MAX(0,CD59-CE56)</x:f>
      </x:c>
      <x:c r="CF59" s="117">
        <x:f>MAX(0,CE59-CF56)</x:f>
      </x:c>
      <x:c r="CG59" s="117">
        <x:f>MAX(0,CF59-CG56)</x:f>
      </x:c>
      <x:c r="CH59" s="117">
        <x:f>MAX(0,CG59-CH56)</x:f>
      </x:c>
      <x:c r="CI59" s="117">
        <x:f>MAX(0,CH59-CI56)</x:f>
      </x:c>
      <x:c r="CJ59" s="117">
        <x:f>MAX(0,CI59-CJ56)</x:f>
      </x:c>
      <x:c r="CK59" s="117">
        <x:f>MAX(0,CJ59-CK56)</x:f>
      </x:c>
      <x:c r="CL59" s="117">
        <x:f>MAX(0,CK59-CL56)</x:f>
      </x:c>
      <x:c r="CM59" s="117">
        <x:f>MAX(0,CL59-CM56)</x:f>
      </x:c>
      <x:c r="CN59" s="117">
        <x:f>MAX(0,CM59-CN56)</x:f>
      </x:c>
      <x:c r="CO59" s="117">
        <x:f>MAX(0,CN59-CO56)</x:f>
      </x:c>
      <x:c r="CP59" s="117">
        <x:f>MAX(0,CO59-CP56)</x:f>
      </x:c>
      <x:c r="CQ59" s="117">
        <x:f>MAX(0,CP59-CQ56)</x:f>
      </x:c>
      <x:c r="CR59" s="117">
        <x:f>MAX(0,CQ59-CR56)</x:f>
      </x:c>
      <x:c r="CS59" s="117">
        <x:f>MAX(0,CR59-CS56)</x:f>
      </x:c>
      <x:c r="CT59" s="117">
        <x:f>MAX(0,CS59-CT56)</x:f>
      </x:c>
      <x:c r="CU59" s="117">
        <x:f>MAX(0,CT59-CU56)</x:f>
      </x:c>
      <x:c r="CV59" s="117">
        <x:f>MAX(0,CU59-CV56)</x:f>
      </x:c>
      <x:c r="CW59" s="117">
        <x:f>MAX(0,CV59-CW56)</x:f>
      </x:c>
      <x:c r="CX59" s="117">
        <x:f>MAX(0,CW59-CX56)</x:f>
      </x:c>
      <x:c r="CY59" s="117">
        <x:f>MAX(0,CX59-CY56)</x:f>
      </x:c>
      <x:c r="CZ59" s="117">
        <x:f>MAX(0,CY59-CZ56)</x:f>
      </x:c>
      <x:c r="DA59" s="117">
        <x:f>MAX(0,CZ59-DA56)</x:f>
      </x:c>
      <x:c r="DB59" s="117">
        <x:f>MAX(0,DA59-DB56)</x:f>
      </x:c>
      <x:c r="DC59" s="117">
        <x:f>MAX(0,DB59-DC56)</x:f>
      </x:c>
      <x:c r="DD59" s="117">
        <x:f>MAX(0,DC59-DD56)</x:f>
      </x:c>
      <x:c r="DE59" s="117">
        <x:f>MAX(0,DD59-DE56)</x:f>
      </x:c>
      <x:c r="DF59" s="117">
        <x:f>MAX(0,DE59-DF56)</x:f>
      </x:c>
      <x:c r="DG59" s="117">
        <x:f>MAX(0,DF59-DG56)</x:f>
      </x:c>
      <x:c r="DH59" s="117">
        <x:f>MAX(0,DG59-DH56)</x:f>
      </x:c>
      <x:c r="DI59" s="117">
        <x:f>MAX(0,DH59-DI56)</x:f>
      </x:c>
      <x:c r="DJ59" s="117">
        <x:f>MAX(0,DI59-DJ56)</x:f>
      </x:c>
      <x:c r="DK59" s="117">
        <x:f>MAX(0,DJ59-DK56)</x:f>
      </x:c>
      <x:c r="DL59" s="117">
        <x:f>MAX(0,DK59-DL56)</x:f>
      </x:c>
      <x:c r="DM59" s="117">
        <x:f>MAX(0,DL59-DM56)</x:f>
      </x:c>
      <x:c r="DN59" s="117">
        <x:f>MAX(0,DM59-DN56)</x:f>
      </x:c>
      <x:c r="DO59" s="117">
        <x:f>MAX(0,DN59-DO56)</x:f>
      </x:c>
      <x:c r="DP59" s="117">
        <x:f>MAX(0,DO59-DP56)</x:f>
      </x:c>
      <x:c r="DQ59" s="117">
        <x:f>MAX(0,DP59-DQ56)</x:f>
      </x:c>
      <x:c r="DR59" s="117">
        <x:f>MAX(0,DQ59-DR56)</x:f>
      </x:c>
      <x:c r="DS59" s="117">
        <x:f>MAX(0,DR59-DS56)</x:f>
      </x:c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>
        <x:f>D36-(D30+D34-D35)</x:f>
      </x:c>
      <x:c r="E60" s="118">
        <x:f>E36-(E30+E34-E35)</x:f>
      </x:c>
      <x:c r="F60" s="118">
        <x:f>F36-(F30+F34-F35)</x:f>
      </x:c>
      <x:c r="G60" s="118">
        <x:f>G36-(G30+G34-G35)</x:f>
      </x:c>
      <x:c r="H60" s="118">
        <x:f>H36-(H30+H34-H35)</x:f>
      </x:c>
      <x:c r="I60" s="118">
        <x:f>I36-(I30+I34-I35)</x:f>
      </x:c>
      <x:c r="J60" s="118">
        <x:f>J36-(J30+J34-J35)</x:f>
      </x:c>
      <x:c r="K60" s="118">
        <x:f>K36-(K30+K34-K35)</x:f>
      </x:c>
      <x:c r="L60" s="118">
        <x:f>L36-(L30+L34-L35)</x:f>
      </x:c>
      <x:c r="M60" s="118">
        <x:f>M36-(M30+M34-M35)</x:f>
      </x:c>
      <x:c r="N60" s="118">
        <x:f>N36-(N30+N34-N35)</x:f>
      </x:c>
      <x:c r="O60" s="118">
        <x:f>O36-(O30+O34-O35)</x:f>
      </x:c>
      <x:c r="P60" s="118">
        <x:f>P36-(P30+P34-P35)</x:f>
      </x:c>
      <x:c r="Q60" s="118">
        <x:f>Q36-(Q30+Q34-Q35)</x:f>
      </x:c>
      <x:c r="R60" s="118">
        <x:f>R36-(R30+R34-R35)</x:f>
      </x:c>
      <x:c r="S60" s="118">
        <x:f>S36-(S30+S34-S35)</x:f>
      </x:c>
      <x:c r="T60" s="118">
        <x:f>T36-(T30+T34-T35)</x:f>
      </x:c>
      <x:c r="U60" s="118">
        <x:f>U36-(U30+U34-U35)</x:f>
      </x:c>
      <x:c r="V60" s="118">
        <x:f>V36-(V30+V34-V35)</x:f>
      </x:c>
      <x:c r="W60" s="118">
        <x:f>W36-(W30+W34-W35)</x:f>
      </x:c>
      <x:c r="X60" s="118">
        <x:f>X36-(X30+X34-X35)</x:f>
      </x:c>
      <x:c r="Y60" s="118">
        <x:f>Y36-(Y30+Y34-Y35)</x:f>
      </x:c>
      <x:c r="Z60" s="118">
        <x:f>Z36-(Z30+Z34-Z35)</x:f>
      </x:c>
      <x:c r="AA60" s="118">
        <x:f>AA36-(AA30+AA34-AA35)</x:f>
      </x:c>
      <x:c r="AB60" s="118">
        <x:f>AB36-(AB30+AB34-AB35)</x:f>
      </x:c>
      <x:c r="AC60" s="118">
        <x:f>AC36-(AC30+AC34-AC35)</x:f>
      </x:c>
      <x:c r="AD60" s="118">
        <x:f>AD36-(AD30+AD34-AD35)</x:f>
      </x:c>
      <x:c r="AE60" s="118">
        <x:f>AE36-(AE30+AE34-AE35)</x:f>
      </x:c>
      <x:c r="AF60" s="118">
        <x:f>AF36-(AF30+AF34-AF35)</x:f>
      </x:c>
      <x:c r="AG60" s="118">
        <x:f>AG36-(AG30+AG34-AG35)</x:f>
      </x:c>
      <x:c r="AH60" s="118">
        <x:f>AH36-(AH30+AH34-AH35)</x:f>
      </x:c>
      <x:c r="AI60" s="118">
        <x:f>AI36-(AI30+AI34-AI35)</x:f>
      </x:c>
      <x:c r="AJ60" s="118">
        <x:f>AJ36-(AJ30+AJ34-AJ35)</x:f>
      </x:c>
      <x:c r="AK60" s="118">
        <x:f>AK36-(AK30+AK34-AK35)</x:f>
      </x:c>
      <x:c r="AL60" s="118">
        <x:f>AL36-(AL30+AL34-AL35)</x:f>
      </x:c>
      <x:c r="AM60" s="118">
        <x:f>AM36-(AM30+AM34-AM35)</x:f>
      </x:c>
      <x:c r="AN60" s="118">
        <x:f>AN36-(AN30+AN34-AN35)</x:f>
      </x:c>
      <x:c r="AO60" s="118">
        <x:f>AO36-(AO30+AO34-AO35)</x:f>
      </x:c>
      <x:c r="AP60" s="118">
        <x:f>AP36-(AP30+AP34-AP35)</x:f>
      </x:c>
      <x:c r="AQ60" s="118">
        <x:f>AQ36-(AQ30+AQ34-AQ35)</x:f>
      </x:c>
      <x:c r="AR60" s="118">
        <x:f>AR36-(AR30+AR34-AR35)</x:f>
      </x:c>
      <x:c r="AS60" s="118">
        <x:f>AS36-(AS30+AS34-AS35)</x:f>
      </x:c>
      <x:c r="AT60" s="118">
        <x:f>AT36-(AT30+AT34-AT35)</x:f>
      </x:c>
      <x:c r="AU60" s="118">
        <x:f>AU36-(AU30+AU34-AU35)</x:f>
      </x:c>
      <x:c r="AV60" s="118">
        <x:f>AV36-(AV30+AV34-AV35)</x:f>
      </x:c>
      <x:c r="AW60" s="118">
        <x:f>AW36-(AW30+AW34-AW35)</x:f>
      </x:c>
      <x:c r="AX60" s="118">
        <x:f>AX36-(AX30+AX34-AX35)</x:f>
      </x:c>
      <x:c r="AY60" s="118">
        <x:f>AY36-(AY30+AY34-AY35)</x:f>
      </x:c>
      <x:c r="AZ60" s="118">
        <x:f>AZ36-(AZ30+AZ34-AZ35)</x:f>
      </x:c>
      <x:c r="BA60" s="118">
        <x:f>BA36-(BA30+BA34-BA35)</x:f>
      </x:c>
      <x:c r="BB60" s="118">
        <x:f>BB36-(BB30+BB34-BB35)</x:f>
      </x:c>
      <x:c r="BC60" s="118">
        <x:f>BC36-(BC30+BC34-BC35)</x:f>
      </x:c>
      <x:c r="BD60" s="118">
        <x:f>BD36-(BD30+BD34-BD35)</x:f>
      </x:c>
      <x:c r="BE60" s="118">
        <x:f>BE36-(BE30+BE34-BE35)</x:f>
      </x:c>
      <x:c r="BF60" s="118">
        <x:f>BF36-(BF30+BF34-BF35)</x:f>
      </x:c>
      <x:c r="BG60" s="118">
        <x:f>BG36-(BG30+BG34-BG35)</x:f>
      </x:c>
      <x:c r="BH60" s="118">
        <x:f>BH36-(BH30+BH34-BH35)</x:f>
      </x:c>
      <x:c r="BI60" s="118">
        <x:f>BI36-(BI30+BI34-BI35)</x:f>
      </x:c>
      <x:c r="BJ60" s="118">
        <x:f>BJ36-(BJ30+BJ34-BJ35)</x:f>
      </x:c>
      <x:c r="BK60" s="118">
        <x:f>BK36-(BK30+BK34-BK35)</x:f>
      </x:c>
      <x:c r="BL60" s="118">
        <x:f>BL36-(BL30+BL34-BL35)</x:f>
      </x:c>
      <x:c r="BM60" s="118">
        <x:f>BM36-(BM30+BM34-BM35)</x:f>
      </x:c>
      <x:c r="BN60" s="118">
        <x:f>BN36-(BN30+BN34-BN35)</x:f>
      </x:c>
      <x:c r="BO60" s="118">
        <x:f>BO36-(BO30+BO34-BO35)</x:f>
      </x:c>
      <x:c r="BP60" s="118">
        <x:f>BP36-(BP30+BP34-BP35)</x:f>
      </x:c>
      <x:c r="BQ60" s="118">
        <x:f>BQ36-(BQ30+BQ34-BQ35)</x:f>
      </x:c>
      <x:c r="BR60" s="118">
        <x:f>BR36-(BR30+BR34-BR35)</x:f>
      </x:c>
      <x:c r="BS60" s="118">
        <x:f>BS36-(BS30+BS34-BS35)</x:f>
      </x:c>
      <x:c r="BT60" s="118">
        <x:f>BT36-(BT30+BT34-BT35)</x:f>
      </x:c>
      <x:c r="BU60" s="118">
        <x:f>BU36-(BU30+BU34-BU35)</x:f>
      </x:c>
      <x:c r="BV60" s="118">
        <x:f>BV36-(BV30+BV34-BV35)</x:f>
      </x:c>
      <x:c r="BW60" s="118">
        <x:f>BW36-(BW30+BW34-BW35)</x:f>
      </x:c>
      <x:c r="BX60" s="118">
        <x:f>BX36-(BX30+BX34-BX35)</x:f>
      </x:c>
      <x:c r="BY60" s="118">
        <x:f>BY36-(BY30+BY34-BY35)</x:f>
      </x:c>
      <x:c r="BZ60" s="118">
        <x:f>BZ36-(BZ30+BZ34-BZ35)</x:f>
      </x:c>
      <x:c r="CA60" s="118">
        <x:f>CA36-(CA30+CA34-CA35)</x:f>
      </x:c>
      <x:c r="CB60" s="118">
        <x:f>CB36-(CB30+CB34-CB35)</x:f>
      </x:c>
      <x:c r="CC60" s="118">
        <x:f>CC36-(CC30+CC34-CC35)</x:f>
      </x:c>
      <x:c r="CD60" s="118">
        <x:f>CD36-(CD30+CD34-CD35)</x:f>
      </x:c>
      <x:c r="CE60" s="118">
        <x:f>CE36-(CE30+CE34-CE35)</x:f>
      </x:c>
      <x:c r="CF60" s="118">
        <x:f>CF36-(CF30+CF34-CF35)</x:f>
      </x:c>
      <x:c r="CG60" s="118">
        <x:f>CG36-(CG30+CG34-CG35)</x:f>
      </x:c>
      <x:c r="CH60" s="118">
        <x:f>CH36-(CH30+CH34-CH35)</x:f>
      </x:c>
      <x:c r="CI60" s="118">
        <x:f>CI36-(CI30+CI34-CI35)</x:f>
      </x:c>
      <x:c r="CJ60" s="118">
        <x:f>CJ36-(CJ30+CJ34-CJ35)</x:f>
      </x:c>
      <x:c r="CK60" s="118">
        <x:f>CK36-(CK30+CK34-CK35)</x:f>
      </x:c>
      <x:c r="CL60" s="118">
        <x:f>CL36-(CL30+CL34-CL35)</x:f>
      </x:c>
      <x:c r="CM60" s="118">
        <x:f>CM36-(CM30+CM34-CM35)</x:f>
      </x:c>
      <x:c r="CN60" s="118">
        <x:f>CN36-(CN30+CN34-CN35)</x:f>
      </x:c>
      <x:c r="CO60" s="118">
        <x:f>CO36-(CO30+CO34-CO35)</x:f>
      </x:c>
      <x:c r="CP60" s="118">
        <x:f>CP36-(CP30+CP34-CP35)</x:f>
      </x:c>
      <x:c r="CQ60" s="118">
        <x:f>CQ36-(CQ30+CQ34-CQ35)</x:f>
      </x:c>
      <x:c r="CR60" s="118">
        <x:f>CR36-(CR30+CR34-CR35)</x:f>
      </x:c>
      <x:c r="CS60" s="118">
        <x:f>CS36-(CS30+CS34-CS35)</x:f>
      </x:c>
      <x:c r="CT60" s="118">
        <x:f>CT36-(CT30+CT34-CT35)</x:f>
      </x:c>
      <x:c r="CU60" s="118">
        <x:f>CU36-(CU30+CU34-CU35)</x:f>
      </x:c>
      <x:c r="CV60" s="118">
        <x:f>CV36-(CV30+CV34-CV35)</x:f>
      </x:c>
      <x:c r="CW60" s="118">
        <x:f>CW36-(CW30+CW34-CW35)</x:f>
      </x:c>
      <x:c r="CX60" s="118">
        <x:f>CX36-(CX30+CX34-CX35)</x:f>
      </x:c>
      <x:c r="CY60" s="118">
        <x:f>CY36-(CY30+CY34-CY35)</x:f>
      </x:c>
      <x:c r="CZ60" s="118">
        <x:f>CZ36-(CZ30+CZ34-CZ35)</x:f>
      </x:c>
      <x:c r="DA60" s="118">
        <x:f>DA36-(DA30+DA34-DA35)</x:f>
      </x:c>
      <x:c r="DB60" s="118">
        <x:f>DB36-(DB30+DB34-DB35)</x:f>
      </x:c>
      <x:c r="DC60" s="118">
        <x:f>DC36-(DC30+DC34-DC35)</x:f>
      </x:c>
      <x:c r="DD60" s="118">
        <x:f>DD36-(DD30+DD34-DD35)</x:f>
      </x:c>
      <x:c r="DE60" s="118">
        <x:f>DE36-(DE30+DE34-DE35)</x:f>
      </x:c>
      <x:c r="DF60" s="118">
        <x:f>DF36-(DF30+DF34-DF35)</x:f>
      </x:c>
      <x:c r="DG60" s="118">
        <x:f>DG36-(DG30+DG34-DG35)</x:f>
      </x:c>
      <x:c r="DH60" s="118">
        <x:f>DH36-(DH30+DH34-DH35)</x:f>
      </x:c>
      <x:c r="DI60" s="118">
        <x:f>DI36-(DI30+DI34-DI35)</x:f>
      </x:c>
      <x:c r="DJ60" s="118">
        <x:f>DJ36-(DJ30+DJ34-DJ35)</x:f>
      </x:c>
      <x:c r="DK60" s="118">
        <x:f>DK36-(DK30+DK34-DK35)</x:f>
      </x:c>
      <x:c r="DL60" s="118">
        <x:f>DL36-(DL30+DL34-DL35)</x:f>
      </x:c>
      <x:c r="DM60" s="118">
        <x:f>DM36-(DM30+DM34-DM35)</x:f>
      </x:c>
      <x:c r="DN60" s="118">
        <x:f>DN36-(DN30+DN34-DN35)</x:f>
      </x:c>
      <x:c r="DO60" s="118">
        <x:f>DO36-(DO30+DO34-DO35)</x:f>
      </x:c>
      <x:c r="DP60" s="118">
        <x:f>DP36-(DP30+DP34-DP35)</x:f>
      </x:c>
      <x:c r="DQ60" s="118">
        <x:f>DQ36-(DQ30+DQ34-DQ35)</x:f>
      </x:c>
      <x:c r="DR60" s="118">
        <x:f>DR36-(DR30+DR34-DR35)</x:f>
      </x:c>
      <x:c r="DS60" s="118">
        <x:f>DS36-(DS30+DS34-DS35)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>
        <x:f>D47-(D38+D45-D46)</x:f>
      </x:c>
      <x:c r="E61" s="118">
        <x:f>E47-(E38+E45-E46)</x:f>
      </x:c>
      <x:c r="F61" s="118">
        <x:f>F47-(F38+F45-F46)</x:f>
      </x:c>
      <x:c r="G61" s="118">
        <x:f>G47-(G38+G45-G46)</x:f>
      </x:c>
      <x:c r="H61" s="118">
        <x:f>H47-(H38+H45-H46)</x:f>
      </x:c>
      <x:c r="I61" s="118">
        <x:f>I47-(I38+I45-I46)</x:f>
      </x:c>
      <x:c r="J61" s="118">
        <x:f>J47-(J38+J45-J46)</x:f>
      </x:c>
      <x:c r="K61" s="118">
        <x:f>K47-(K38+K45-K46)</x:f>
      </x:c>
      <x:c r="L61" s="118">
        <x:f>L47-(L38+L45-L46)</x:f>
      </x:c>
      <x:c r="M61" s="118">
        <x:f>M47-(M38+M45-M46)</x:f>
      </x:c>
      <x:c r="N61" s="118">
        <x:f>N47-(N38+N45-N46)</x:f>
      </x:c>
      <x:c r="O61" s="118">
        <x:f>O47-(O38+O45-O46)</x:f>
      </x:c>
      <x:c r="P61" s="118">
        <x:f>P47-(P38+P45-P46)</x:f>
      </x:c>
      <x:c r="Q61" s="118">
        <x:f>Q47-(Q38+Q45-Q46)</x:f>
      </x:c>
      <x:c r="R61" s="118">
        <x:f>R47-(R38+R45-R46)</x:f>
      </x:c>
      <x:c r="S61" s="118">
        <x:f>S47-(S38+S45-S46)</x:f>
      </x:c>
      <x:c r="T61" s="118">
        <x:f>T47-(T38+T45-T46)</x:f>
      </x:c>
      <x:c r="U61" s="118">
        <x:f>U47-(U38+U45-U46)</x:f>
      </x:c>
      <x:c r="V61" s="118">
        <x:f>V47-(V38+V45-V46)</x:f>
      </x:c>
      <x:c r="W61" s="118">
        <x:f>W47-(W38+W45-W46)</x:f>
      </x:c>
      <x:c r="X61" s="118">
        <x:f>X47-(X38+X45-X46)</x:f>
      </x:c>
      <x:c r="Y61" s="118">
        <x:f>Y47-(Y38+Y45-Y46)</x:f>
      </x:c>
      <x:c r="Z61" s="118">
        <x:f>Z47-(Z38+Z45-Z46)</x:f>
      </x:c>
      <x:c r="AA61" s="118">
        <x:f>AA47-(AA38+AA45-AA46)</x:f>
      </x:c>
      <x:c r="AB61" s="118">
        <x:f>AB47-(AB38+AB45-AB46)</x:f>
      </x:c>
      <x:c r="AC61" s="118">
        <x:f>AC47-(AC38+AC45-AC46)</x:f>
      </x:c>
      <x:c r="AD61" s="118">
        <x:f>AD47-(AD38+AD45-AD46)</x:f>
      </x:c>
      <x:c r="AE61" s="118">
        <x:f>AE47-(AE38+AE45-AE46)</x:f>
      </x:c>
      <x:c r="AF61" s="118">
        <x:f>AF47-(AF38+AF45-AF46)</x:f>
      </x:c>
      <x:c r="AG61" s="118">
        <x:f>AG47-(AG38+AG45-AG46)</x:f>
      </x:c>
      <x:c r="AH61" s="118">
        <x:f>AH47-(AH38+AH45-AH46)</x:f>
      </x:c>
      <x:c r="AI61" s="118">
        <x:f>AI47-(AI38+AI45-AI46)</x:f>
      </x:c>
      <x:c r="AJ61" s="118">
        <x:f>AJ47-(AJ38+AJ45-AJ46)</x:f>
      </x:c>
      <x:c r="AK61" s="118">
        <x:f>AK47-(AK38+AK45-AK46)</x:f>
      </x:c>
      <x:c r="AL61" s="118">
        <x:f>AL47-(AL38+AL45-AL46)</x:f>
      </x:c>
      <x:c r="AM61" s="118">
        <x:f>AM47-(AM38+AM45-AM46)</x:f>
      </x:c>
      <x:c r="AN61" s="118">
        <x:f>AN47-(AN38+AN45-AN46)</x:f>
      </x:c>
      <x:c r="AO61" s="118">
        <x:f>AO47-(AO38+AO45-AO46)</x:f>
      </x:c>
      <x:c r="AP61" s="118">
        <x:f>AP47-(AP38+AP45-AP46)</x:f>
      </x:c>
      <x:c r="AQ61" s="118">
        <x:f>AQ47-(AQ38+AQ45-AQ46)</x:f>
      </x:c>
      <x:c r="AR61" s="118">
        <x:f>AR47-(AR38+AR45-AR46)</x:f>
      </x:c>
      <x:c r="AS61" s="118">
        <x:f>AS47-(AS38+AS45-AS46)</x:f>
      </x:c>
      <x:c r="AT61" s="118">
        <x:f>AT47-(AT38+AT45-AT46)</x:f>
      </x:c>
      <x:c r="AU61" s="118">
        <x:f>AU47-(AU38+AU45-AU46)</x:f>
      </x:c>
      <x:c r="AV61" s="118">
        <x:f>AV47-(AV38+AV45-AV46)</x:f>
      </x:c>
      <x:c r="AW61" s="118">
        <x:f>AW47-(AW38+AW45-AW46)</x:f>
      </x:c>
      <x:c r="AX61" s="118">
        <x:f>AX47-(AX38+AX45-AX46)</x:f>
      </x:c>
      <x:c r="AY61" s="118">
        <x:f>AY47-(AY38+AY45-AY46)</x:f>
      </x:c>
      <x:c r="AZ61" s="118">
        <x:f>AZ47-(AZ38+AZ45-AZ46)</x:f>
      </x:c>
      <x:c r="BA61" s="118">
        <x:f>BA47-(BA38+BA45-BA46)</x:f>
      </x:c>
      <x:c r="BB61" s="118">
        <x:f>BB47-(BB38+BB45-BB46)</x:f>
      </x:c>
      <x:c r="BC61" s="118">
        <x:f>BC47-(BC38+BC45-BC46)</x:f>
      </x:c>
      <x:c r="BD61" s="118">
        <x:f>BD47-(BD38+BD45-BD46)</x:f>
      </x:c>
      <x:c r="BE61" s="118">
        <x:f>BE47-(BE38+BE45-BE46)</x:f>
      </x:c>
      <x:c r="BF61" s="118">
        <x:f>BF47-(BF38+BF45-BF46)</x:f>
      </x:c>
      <x:c r="BG61" s="118">
        <x:f>BG47-(BG38+BG45-BG46)</x:f>
      </x:c>
      <x:c r="BH61" s="118">
        <x:f>BH47-(BH38+BH45-BH46)</x:f>
      </x:c>
      <x:c r="BI61" s="118">
        <x:f>BI47-(BI38+BI45-BI46)</x:f>
      </x:c>
      <x:c r="BJ61" s="118">
        <x:f>BJ47-(BJ38+BJ45-BJ46)</x:f>
      </x:c>
      <x:c r="BK61" s="118">
        <x:f>BK47-(BK38+BK45-BK46)</x:f>
      </x:c>
      <x:c r="BL61" s="118">
        <x:f>BL47-(BL38+BL45-BL46)</x:f>
      </x:c>
      <x:c r="BM61" s="118">
        <x:f>BM47-(BM38+BM45-BM46)</x:f>
      </x:c>
      <x:c r="BN61" s="118">
        <x:f>BN47-(BN38+BN45-BN46)</x:f>
      </x:c>
      <x:c r="BO61" s="118">
        <x:f>BO47-(BO38+BO45-BO46)</x:f>
      </x:c>
      <x:c r="BP61" s="118">
        <x:f>BP47-(BP38+BP45-BP46)</x:f>
      </x:c>
      <x:c r="BQ61" s="118">
        <x:f>BQ47-(BQ38+BQ45-BQ46)</x:f>
      </x:c>
      <x:c r="BR61" s="118">
        <x:f>BR47-(BR38+BR45-BR46)</x:f>
      </x:c>
      <x:c r="BS61" s="118">
        <x:f>BS47-(BS38+BS45-BS46)</x:f>
      </x:c>
      <x:c r="BT61" s="118">
        <x:f>BT47-(BT38+BT45-BT46)</x:f>
      </x:c>
      <x:c r="BU61" s="118">
        <x:f>BU47-(BU38+BU45-BU46)</x:f>
      </x:c>
      <x:c r="BV61" s="118">
        <x:f>BV47-(BV38+BV45-BV46)</x:f>
      </x:c>
      <x:c r="BW61" s="118">
        <x:f>BW47-(BW38+BW45-BW46)</x:f>
      </x:c>
      <x:c r="BX61" s="118">
        <x:f>BX47-(BX38+BX45-BX46)</x:f>
      </x:c>
      <x:c r="BY61" s="118">
        <x:f>BY47-(BY38+BY45-BY46)</x:f>
      </x:c>
      <x:c r="BZ61" s="118">
        <x:f>BZ47-(BZ38+BZ45-BZ46)</x:f>
      </x:c>
      <x:c r="CA61" s="118">
        <x:f>CA47-(CA38+CA45-CA46)</x:f>
      </x:c>
      <x:c r="CB61" s="118">
        <x:f>CB47-(CB38+CB45-CB46)</x:f>
      </x:c>
      <x:c r="CC61" s="118">
        <x:f>CC47-(CC38+CC45-CC46)</x:f>
      </x:c>
      <x:c r="CD61" s="118">
        <x:f>CD47-(CD38+CD45-CD46)</x:f>
      </x:c>
      <x:c r="CE61" s="118">
        <x:f>CE47-(CE38+CE45-CE46)</x:f>
      </x:c>
      <x:c r="CF61" s="118">
        <x:f>CF47-(CF38+CF45-CF46)</x:f>
      </x:c>
      <x:c r="CG61" s="118">
        <x:f>CG47-(CG38+CG45-CG46)</x:f>
      </x:c>
      <x:c r="CH61" s="118">
        <x:f>CH47-(CH38+CH45-CH46)</x:f>
      </x:c>
      <x:c r="CI61" s="118">
        <x:f>CI47-(CI38+CI45-CI46)</x:f>
      </x:c>
      <x:c r="CJ61" s="118">
        <x:f>CJ47-(CJ38+CJ45-CJ46)</x:f>
      </x:c>
      <x:c r="CK61" s="118">
        <x:f>CK47-(CK38+CK45-CK46)</x:f>
      </x:c>
      <x:c r="CL61" s="118">
        <x:f>CL47-(CL38+CL45-CL46)</x:f>
      </x:c>
      <x:c r="CM61" s="118">
        <x:f>CM47-(CM38+CM45-CM46)</x:f>
      </x:c>
      <x:c r="CN61" s="118">
        <x:f>CN47-(CN38+CN45-CN46)</x:f>
      </x:c>
      <x:c r="CO61" s="118">
        <x:f>CO47-(CO38+CO45-CO46)</x:f>
      </x:c>
      <x:c r="CP61" s="118">
        <x:f>CP47-(CP38+CP45-CP46)</x:f>
      </x:c>
      <x:c r="CQ61" s="118">
        <x:f>CQ47-(CQ38+CQ45-CQ46)</x:f>
      </x:c>
      <x:c r="CR61" s="118">
        <x:f>CR47-(CR38+CR45-CR46)</x:f>
      </x:c>
      <x:c r="CS61" s="118">
        <x:f>CS47-(CS38+CS45-CS46)</x:f>
      </x:c>
      <x:c r="CT61" s="118">
        <x:f>CT47-(CT38+CT45-CT46)</x:f>
      </x:c>
      <x:c r="CU61" s="118">
        <x:f>CU47-(CU38+CU45-CU46)</x:f>
      </x:c>
      <x:c r="CV61" s="118">
        <x:f>CV47-(CV38+CV45-CV46)</x:f>
      </x:c>
      <x:c r="CW61" s="118">
        <x:f>CW47-(CW38+CW45-CW46)</x:f>
      </x:c>
      <x:c r="CX61" s="118">
        <x:f>CX47-(CX38+CX45-CX46)</x:f>
      </x:c>
      <x:c r="CY61" s="118">
        <x:f>CY47-(CY38+CY45-CY46)</x:f>
      </x:c>
      <x:c r="CZ61" s="118">
        <x:f>CZ47-(CZ38+CZ45-CZ46)</x:f>
      </x:c>
      <x:c r="DA61" s="118">
        <x:f>DA47-(DA38+DA45-DA46)</x:f>
      </x:c>
      <x:c r="DB61" s="118">
        <x:f>DB47-(DB38+DB45-DB46)</x:f>
      </x:c>
      <x:c r="DC61" s="118">
        <x:f>DC47-(DC38+DC45-DC46)</x:f>
      </x:c>
      <x:c r="DD61" s="118">
        <x:f>DD47-(DD38+DD45-DD46)</x:f>
      </x:c>
      <x:c r="DE61" s="118">
        <x:f>DE47-(DE38+DE45-DE46)</x:f>
      </x:c>
      <x:c r="DF61" s="118">
        <x:f>DF47-(DF38+DF45-DF46)</x:f>
      </x:c>
      <x:c r="DG61" s="118">
        <x:f>DG47-(DG38+DG45-DG46)</x:f>
      </x:c>
      <x:c r="DH61" s="118">
        <x:f>DH47-(DH38+DH45-DH46)</x:f>
      </x:c>
      <x:c r="DI61" s="118">
        <x:f>DI47-(DI38+DI45-DI46)</x:f>
      </x:c>
      <x:c r="DJ61" s="118">
        <x:f>DJ47-(DJ38+DJ45-DJ46)</x:f>
      </x:c>
      <x:c r="DK61" s="118">
        <x:f>DK47-(DK38+DK45-DK46)</x:f>
      </x:c>
      <x:c r="DL61" s="118">
        <x:f>DL47-(DL38+DL45-DL46)</x:f>
      </x:c>
      <x:c r="DM61" s="118">
        <x:f>DM47-(DM38+DM45-DM46)</x:f>
      </x:c>
      <x:c r="DN61" s="118">
        <x:f>DN47-(DN38+DN45-DN46)</x:f>
      </x:c>
      <x:c r="DO61" s="118">
        <x:f>DO47-(DO38+DO45-DO46)</x:f>
      </x:c>
      <x:c r="DP61" s="118">
        <x:f>DP47-(DP38+DP45-DP46)</x:f>
      </x:c>
      <x:c r="DQ61" s="118">
        <x:f>DQ47-(DQ38+DQ45-DQ46)</x:f>
      </x:c>
      <x:c r="DR61" s="118">
        <x:f>DR47-(DR38+DR45-DR46)</x:f>
      </x:c>
      <x:c r="DS61" s="118">
        <x:f>DS47-(DS38+DS45-DS46)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>
        <x:f>D27+D34+D45+D49-D20-D24-D53-D57-D35-D46-D50</x:f>
      </x:c>
      <x:c r="E63" s="118">
        <x:f>E27+E34+E45+E49-E20-E24-E53-E57-E35-E46-E50</x:f>
      </x:c>
      <x:c r="F63" s="118">
        <x:f>F27+F34+F45+F49-F20-F24-F53-F57-F35-F46-F50</x:f>
      </x:c>
      <x:c r="G63" s="118">
        <x:f>G27+G34+G45+G49-G20-G24-G53-G57-G35-G46-G50</x:f>
      </x:c>
      <x:c r="H63" s="118">
        <x:f>H27+H34+H45+H49-H20-H24-H53-H57-H35-H46-H50</x:f>
      </x:c>
      <x:c r="I63" s="118">
        <x:f>I27+I34+I45+I49-I20-I24-I53-I57-I35-I46-I50</x:f>
      </x:c>
      <x:c r="J63" s="118">
        <x:f>J27+J34+J45+J49-J20-J24-J53-J57-J35-J46-J50</x:f>
      </x:c>
      <x:c r="K63" s="118">
        <x:f>K27+K34+K45+K49-K20-K24-K53-K57-K35-K46-K50</x:f>
      </x:c>
      <x:c r="L63" s="118">
        <x:f>L27+L34+L45+L49-L20-L24-L53-L57-L35-L46-L50</x:f>
      </x:c>
      <x:c r="M63" s="118">
        <x:f>M27+M34+M45+M49-M20-M24-M53-M57-M35-M46-M50</x:f>
      </x:c>
      <x:c r="N63" s="118">
        <x:f>N27+N34+N45+N49-N20-N24-N53-N57-N35-N46-N50</x:f>
      </x:c>
      <x:c r="O63" s="118">
        <x:f>O27+O34+O45+O49-O20-O24-O53-O57-O35-O46-O50</x:f>
      </x:c>
      <x:c r="P63" s="118">
        <x:f>P27+P34+P45+P49-P20-P24-P53-P57-P35-P46-P50</x:f>
      </x:c>
      <x:c r="Q63" s="118">
        <x:f>Q27+Q34+Q45+Q49-Q20-Q24-Q53-Q57-Q35-Q46-Q50</x:f>
      </x:c>
      <x:c r="R63" s="118">
        <x:f>R27+R34+R45+R49-R20-R24-R53-R57-R35-R46-R50</x:f>
      </x:c>
      <x:c r="S63" s="118">
        <x:f>S27+S34+S45+S49-S20-S24-S53-S57-S35-S46-S50</x:f>
      </x:c>
      <x:c r="T63" s="118">
        <x:f>T27+T34+T45+T49-T20-T24-T53-T57-T35-T46-T50</x:f>
      </x:c>
      <x:c r="U63" s="118">
        <x:f>U27+U34+U45+U49-U20-U24-U53-U57-U35-U46-U50</x:f>
      </x:c>
      <x:c r="V63" s="118">
        <x:f>V27+V34+V45+V49-V20-V24-V53-V57-V35-V46-V50</x:f>
      </x:c>
      <x:c r="W63" s="118">
        <x:f>W27+W34+W45+W49-W20-W24-W53-W57-W35-W46-W50</x:f>
      </x:c>
      <x:c r="X63" s="118">
        <x:f>X27+X34+X45+X49-X20-X24-X53-X57-X35-X46-X50</x:f>
      </x:c>
      <x:c r="Y63" s="118">
        <x:f>Y27+Y34+Y45+Y49-Y20-Y24-Y53-Y57-Y35-Y46-Y50</x:f>
      </x:c>
      <x:c r="Z63" s="118">
        <x:f>Z27+Z34+Z45+Z49-Z20-Z24-Z53-Z57-Z35-Z46-Z50</x:f>
      </x:c>
      <x:c r="AA63" s="118">
        <x:f>AA27+AA34+AA45+AA49-AA20-AA24-AA53-AA57-AA35-AA46-AA50</x:f>
      </x:c>
      <x:c r="AB63" s="118">
        <x:f>AB27+AB34+AB45+AB49-AB20-AB24-AB53-AB57-AB35-AB46-AB50</x:f>
      </x:c>
      <x:c r="AC63" s="118">
        <x:f>AC27+AC34+AC45+AC49-AC20-AC24-AC53-AC57-AC35-AC46-AC50</x:f>
      </x:c>
      <x:c r="AD63" s="118">
        <x:f>AD27+AD34+AD45+AD49-AD20-AD24-AD53-AD57-AD35-AD46-AD50</x:f>
      </x:c>
      <x:c r="AE63" s="118">
        <x:f>AE27+AE34+AE45+AE49-AE20-AE24-AE53-AE57-AE35-AE46-AE50</x:f>
      </x:c>
      <x:c r="AF63" s="118">
        <x:f>AF27+AF34+AF45+AF49-AF20-AF24-AF53-AF57-AF35-AF46-AF50</x:f>
      </x:c>
      <x:c r="AG63" s="118">
        <x:f>AG27+AG34+AG45+AG49-AG20-AG24-AG53-AG57-AG35-AG46-AG50</x:f>
      </x:c>
      <x:c r="AH63" s="118">
        <x:f>AH27+AH34+AH45+AH49-AH20-AH24-AH53-AH57-AH35-AH46-AH50</x:f>
      </x:c>
      <x:c r="AI63" s="118">
        <x:f>AI27+AI34+AI45+AI49-AI20-AI24-AI53-AI57-AI35-AI46-AI50</x:f>
      </x:c>
      <x:c r="AJ63" s="118">
        <x:f>AJ27+AJ34+AJ45+AJ49-AJ20-AJ24-AJ53-AJ57-AJ35-AJ46-AJ50</x:f>
      </x:c>
      <x:c r="AK63" s="118">
        <x:f>AK27+AK34+AK45+AK49-AK20-AK24-AK53-AK57-AK35-AK46-AK50</x:f>
      </x:c>
      <x:c r="AL63" s="118">
        <x:f>AL27+AL34+AL45+AL49-AL20-AL24-AL53-AL57-AL35-AL46-AL50</x:f>
      </x:c>
      <x:c r="AM63" s="118">
        <x:f>AM27+AM34+AM45+AM49-AM20-AM24-AM53-AM57-AM35-AM46-AM50</x:f>
      </x:c>
      <x:c r="AN63" s="118">
        <x:f>AN27+AN34+AN45+AN49-AN20-AN24-AN53-AN57-AN35-AN46-AN50</x:f>
      </x:c>
      <x:c r="AO63" s="118">
        <x:f>AO27+AO34+AO45+AO49-AO20-AO24-AO53-AO57-AO35-AO46-AO50</x:f>
      </x:c>
      <x:c r="AP63" s="118">
        <x:f>AP27+AP34+AP45+AP49-AP20-AP24-AP53-AP57-AP35-AP46-AP50</x:f>
      </x:c>
      <x:c r="AQ63" s="118">
        <x:f>AQ27+AQ34+AQ45+AQ49-AQ20-AQ24-AQ53-AQ57-AQ35-AQ46-AQ50</x:f>
      </x:c>
      <x:c r="AR63" s="118">
        <x:f>AR27+AR34+AR45+AR49-AR20-AR24-AR53-AR57-AR35-AR46-AR50</x:f>
      </x:c>
      <x:c r="AS63" s="118">
        <x:f>AS27+AS34+AS45+AS49-AS20-AS24-AS53-AS57-AS35-AS46-AS50</x:f>
      </x:c>
      <x:c r="AT63" s="118">
        <x:f>AT27+AT34+AT45+AT49-AT20-AT24-AT53-AT57-AT35-AT46-AT50</x:f>
      </x:c>
      <x:c r="AU63" s="118">
        <x:f>AU27+AU34+AU45+AU49-AU20-AU24-AU53-AU57-AU35-AU46-AU50</x:f>
      </x:c>
      <x:c r="AV63" s="118">
        <x:f>AV27+AV34+AV45+AV49-AV20-AV24-AV53-AV57-AV35-AV46-AV50</x:f>
      </x:c>
      <x:c r="AW63" s="118">
        <x:f>AW27+AW34+AW45+AW49-AW20-AW24-AW53-AW57-AW35-AW46-AW50</x:f>
      </x:c>
      <x:c r="AX63" s="118">
        <x:f>AX27+AX34+AX45+AX49-AX20-AX24-AX53-AX57-AX35-AX46-AX50</x:f>
      </x:c>
      <x:c r="AY63" s="118">
        <x:f>AY27+AY34+AY45+AY49-AY20-AY24-AY53-AY57-AY35-AY46-AY50</x:f>
      </x:c>
      <x:c r="AZ63" s="118">
        <x:f>AZ27+AZ34+AZ45+AZ49-AZ20-AZ24-AZ53-AZ57-AZ35-AZ46-AZ50</x:f>
      </x:c>
      <x:c r="BA63" s="118">
        <x:f>BA27+BA34+BA45+BA49-BA20-BA24-BA53-BA57-BA35-BA46-BA50</x:f>
      </x:c>
      <x:c r="BB63" s="118">
        <x:f>BB27+BB34+BB45+BB49-BB20-BB24-BB53-BB57-BB35-BB46-BB50</x:f>
      </x:c>
      <x:c r="BC63" s="118">
        <x:f>BC27+BC34+BC45+BC49-BC20-BC24-BC53-BC57-BC35-BC46-BC50</x:f>
      </x:c>
      <x:c r="BD63" s="118">
        <x:f>BD27+BD34+BD45+BD49-BD20-BD24-BD53-BD57-BD35-BD46-BD50</x:f>
      </x:c>
      <x:c r="BE63" s="118">
        <x:f>BE27+BE34+BE45+BE49-BE20-BE24-BE53-BE57-BE35-BE46-BE50</x:f>
      </x:c>
      <x:c r="BF63" s="118">
        <x:f>BF27+BF34+BF45+BF49-BF20-BF24-BF53-BF57-BF35-BF46-BF50</x:f>
      </x:c>
      <x:c r="BG63" s="118">
        <x:f>BG27+BG34+BG45+BG49-BG20-BG24-BG53-BG57-BG35-BG46-BG50</x:f>
      </x:c>
      <x:c r="BH63" s="118">
        <x:f>BH27+BH34+BH45+BH49-BH20-BH24-BH53-BH57-BH35-BH46-BH50</x:f>
      </x:c>
      <x:c r="BI63" s="118">
        <x:f>BI27+BI34+BI45+BI49-BI20-BI24-BI53-BI57-BI35-BI46-BI50</x:f>
      </x:c>
      <x:c r="BJ63" s="118">
        <x:f>BJ27+BJ34+BJ45+BJ49-BJ20-BJ24-BJ53-BJ57-BJ35-BJ46-BJ50</x:f>
      </x:c>
      <x:c r="BK63" s="118">
        <x:f>BK27+BK34+BK45+BK49-BK20-BK24-BK53-BK57-BK35-BK46-BK50</x:f>
      </x:c>
      <x:c r="BL63" s="118">
        <x:f>BL27+BL34+BL45+BL49-BL20-BL24-BL53-BL57-BL35-BL46-BL50</x:f>
      </x:c>
      <x:c r="BM63" s="118">
        <x:f>BM27+BM34+BM45+BM49-BM20-BM24-BM53-BM57-BM35-BM46-BM50</x:f>
      </x:c>
      <x:c r="BN63" s="118">
        <x:f>BN27+BN34+BN45+BN49-BN20-BN24-BN53-BN57-BN35-BN46-BN50</x:f>
      </x:c>
      <x:c r="BO63" s="118">
        <x:f>BO27+BO34+BO45+BO49-BO20-BO24-BO53-BO57-BO35-BO46-BO50</x:f>
      </x:c>
      <x:c r="BP63" s="118">
        <x:f>BP27+BP34+BP45+BP49-BP20-BP24-BP53-BP57-BP35-BP46-BP50</x:f>
      </x:c>
      <x:c r="BQ63" s="118">
        <x:f>BQ27+BQ34+BQ45+BQ49-BQ20-BQ24-BQ53-BQ57-BQ35-BQ46-BQ50</x:f>
      </x:c>
      <x:c r="BR63" s="118">
        <x:f>BR27+BR34+BR45+BR49-BR20-BR24-BR53-BR57-BR35-BR46-BR50</x:f>
      </x:c>
      <x:c r="BS63" s="118">
        <x:f>BS27+BS34+BS45+BS49-BS20-BS24-BS53-BS57-BS35-BS46-BS50</x:f>
      </x:c>
      <x:c r="BT63" s="118">
        <x:f>BT27+BT34+BT45+BT49-BT20-BT24-BT53-BT57-BT35-BT46-BT50</x:f>
      </x:c>
      <x:c r="BU63" s="118">
        <x:f>BU27+BU34+BU45+BU49-BU20-BU24-BU53-BU57-BU35-BU46-BU50</x:f>
      </x:c>
      <x:c r="BV63" s="118">
        <x:f>BV27+BV34+BV45+BV49-BV20-BV24-BV53-BV57-BV35-BV46-BV50</x:f>
      </x:c>
      <x:c r="BW63" s="118">
        <x:f>BW27+BW34+BW45+BW49-BW20-BW24-BW53-BW57-BW35-BW46-BW50</x:f>
      </x:c>
      <x:c r="BX63" s="118">
        <x:f>BX27+BX34+BX45+BX49-BX20-BX24-BX53-BX57-BX35-BX46-BX50</x:f>
      </x:c>
      <x:c r="BY63" s="118">
        <x:f>BY27+BY34+BY45+BY49-BY20-BY24-BY53-BY57-BY35-BY46-BY50</x:f>
      </x:c>
      <x:c r="BZ63" s="118">
        <x:f>BZ27+BZ34+BZ45+BZ49-BZ20-BZ24-BZ53-BZ57-BZ35-BZ46-BZ50</x:f>
      </x:c>
      <x:c r="CA63" s="118">
        <x:f>CA27+CA34+CA45+CA49-CA20-CA24-CA53-CA57-CA35-CA46-CA50</x:f>
      </x:c>
      <x:c r="CB63" s="118">
        <x:f>CB27+CB34+CB45+CB49-CB20-CB24-CB53-CB57-CB35-CB46-CB50</x:f>
      </x:c>
      <x:c r="CC63" s="118">
        <x:f>CC27+CC34+CC45+CC49-CC20-CC24-CC53-CC57-CC35-CC46-CC50</x:f>
      </x:c>
      <x:c r="CD63" s="118">
        <x:f>CD27+CD34+CD45+CD49-CD20-CD24-CD53-CD57-CD35-CD46-CD50</x:f>
      </x:c>
      <x:c r="CE63" s="118">
        <x:f>CE27+CE34+CE45+CE49-CE20-CE24-CE53-CE57-CE35-CE46-CE50</x:f>
      </x:c>
      <x:c r="CF63" s="118">
        <x:f>CF27+CF34+CF45+CF49-CF20-CF24-CF53-CF57-CF35-CF46-CF50</x:f>
      </x:c>
      <x:c r="CG63" s="118">
        <x:f>CG27+CG34+CG45+CG49-CG20-CG24-CG53-CG57-CG35-CG46-CG50</x:f>
      </x:c>
      <x:c r="CH63" s="118">
        <x:f>CH27+CH34+CH45+CH49-CH20-CH24-CH53-CH57-CH35-CH46-CH50</x:f>
      </x:c>
      <x:c r="CI63" s="118">
        <x:f>CI27+CI34+CI45+CI49-CI20-CI24-CI53-CI57-CI35-CI46-CI50</x:f>
      </x:c>
      <x:c r="CJ63" s="118">
        <x:f>CJ27+CJ34+CJ45+CJ49-CJ20-CJ24-CJ53-CJ57-CJ35-CJ46-CJ50</x:f>
      </x:c>
      <x:c r="CK63" s="118">
        <x:f>CK27+CK34+CK45+CK49-CK20-CK24-CK53-CK57-CK35-CK46-CK50</x:f>
      </x:c>
      <x:c r="CL63" s="118">
        <x:f>CL27+CL34+CL45+CL49-CL20-CL24-CL53-CL57-CL35-CL46-CL50</x:f>
      </x:c>
      <x:c r="CM63" s="118">
        <x:f>CM27+CM34+CM45+CM49-CM20-CM24-CM53-CM57-CM35-CM46-CM50</x:f>
      </x:c>
      <x:c r="CN63" s="118">
        <x:f>CN27+CN34+CN45+CN49-CN20-CN24-CN53-CN57-CN35-CN46-CN50</x:f>
      </x:c>
      <x:c r="CO63" s="118">
        <x:f>CO27+CO34+CO45+CO49-CO20-CO24-CO53-CO57-CO35-CO46-CO50</x:f>
      </x:c>
      <x:c r="CP63" s="118">
        <x:f>CP27+CP34+CP45+CP49-CP20-CP24-CP53-CP57-CP35-CP46-CP50</x:f>
      </x:c>
      <x:c r="CQ63" s="118">
        <x:f>CQ27+CQ34+CQ45+CQ49-CQ20-CQ24-CQ53-CQ57-CQ35-CQ46-CQ50</x:f>
      </x:c>
      <x:c r="CR63" s="118">
        <x:f>CR27+CR34+CR45+CR49-CR20-CR24-CR53-CR57-CR35-CR46-CR50</x:f>
      </x:c>
      <x:c r="CS63" s="118">
        <x:f>CS27+CS34+CS45+CS49-CS20-CS24-CS53-CS57-CS35-CS46-CS50</x:f>
      </x:c>
      <x:c r="CT63" s="118">
        <x:f>CT27+CT34+CT45+CT49-CT20-CT24-CT53-CT57-CT35-CT46-CT50</x:f>
      </x:c>
      <x:c r="CU63" s="118">
        <x:f>CU27+CU34+CU45+CU49-CU20-CU24-CU53-CU57-CU35-CU46-CU50</x:f>
      </x:c>
      <x:c r="CV63" s="118">
        <x:f>CV27+CV34+CV45+CV49-CV20-CV24-CV53-CV57-CV35-CV46-CV50</x:f>
      </x:c>
      <x:c r="CW63" s="118">
        <x:f>CW27+CW34+CW45+CW49-CW20-CW24-CW53-CW57-CW35-CW46-CW50</x:f>
      </x:c>
      <x:c r="CX63" s="118">
        <x:f>CX27+CX34+CX45+CX49-CX20-CX24-CX53-CX57-CX35-CX46-CX50</x:f>
      </x:c>
      <x:c r="CY63" s="118">
        <x:f>CY27+CY34+CY45+CY49-CY20-CY24-CY53-CY57-CY35-CY46-CY50</x:f>
      </x:c>
      <x:c r="CZ63" s="118">
        <x:f>CZ27+CZ34+CZ45+CZ49-CZ20-CZ24-CZ53-CZ57-CZ35-CZ46-CZ50</x:f>
      </x:c>
      <x:c r="DA63" s="118">
        <x:f>DA27+DA34+DA45+DA49-DA20-DA24-DA53-DA57-DA35-DA46-DA50</x:f>
      </x:c>
      <x:c r="DB63" s="118">
        <x:f>DB27+DB34+DB45+DB49-DB20-DB24-DB53-DB57-DB35-DB46-DB50</x:f>
      </x:c>
      <x:c r="DC63" s="118">
        <x:f>DC27+DC34+DC45+DC49-DC20-DC24-DC53-DC57-DC35-DC46-DC50</x:f>
      </x:c>
      <x:c r="DD63" s="118">
        <x:f>DD27+DD34+DD45+DD49-DD20-DD24-DD53-DD57-DD35-DD46-DD50</x:f>
      </x:c>
      <x:c r="DE63" s="118">
        <x:f>DE27+DE34+DE45+DE49-DE20-DE24-DE53-DE57-DE35-DE46-DE50</x:f>
      </x:c>
      <x:c r="DF63" s="118">
        <x:f>DF27+DF34+DF45+DF49-DF20-DF24-DF53-DF57-DF35-DF46-DF50</x:f>
      </x:c>
      <x:c r="DG63" s="118">
        <x:f>DG27+DG34+DG45+DG49-DG20-DG24-DG53-DG57-DG35-DG46-DG50</x:f>
      </x:c>
      <x:c r="DH63" s="118">
        <x:f>DH27+DH34+DH45+DH49-DH20-DH24-DH53-DH57-DH35-DH46-DH50</x:f>
      </x:c>
      <x:c r="DI63" s="118">
        <x:f>DI27+DI34+DI45+DI49-DI20-DI24-DI53-DI57-DI35-DI46-DI50</x:f>
      </x:c>
      <x:c r="DJ63" s="118">
        <x:f>DJ27+DJ34+DJ45+DJ49-DJ20-DJ24-DJ53-DJ57-DJ35-DJ46-DJ50</x:f>
      </x:c>
      <x:c r="DK63" s="118">
        <x:f>DK27+DK34+DK45+DK49-DK20-DK24-DK53-DK57-DK35-DK46-DK50</x:f>
      </x:c>
      <x:c r="DL63" s="118">
        <x:f>DL27+DL34+DL45+DL49-DL20-DL24-DL53-DL57-DL35-DL46-DL50</x:f>
      </x:c>
      <x:c r="DM63" s="118">
        <x:f>DM27+DM34+DM45+DM49-DM20-DM24-DM53-DM57-DM35-DM46-DM50</x:f>
      </x:c>
      <x:c r="DN63" s="118">
        <x:f>DN27+DN34+DN45+DN49-DN20-DN24-DN53-DN57-DN35-DN46-DN50</x:f>
      </x:c>
      <x:c r="DO63" s="118">
        <x:f>DO27+DO34+DO45+DO49-DO20-DO24-DO53-DO57-DO35-DO46-DO50</x:f>
      </x:c>
      <x:c r="DP63" s="118">
        <x:f>DP27+DP34+DP45+DP49-DP20-DP24-DP53-DP57-DP35-DP46-DP50</x:f>
      </x:c>
      <x:c r="DQ63" s="118">
        <x:f>DQ27+DQ34+DQ45+DQ49-DQ20-DQ24-DQ53-DQ57-DQ35-DQ46-DQ50</x:f>
      </x:c>
      <x:c r="DR63" s="118">
        <x:f>DR27+DR34+DR45+DR49-DR20-DR24-DR53-DR57-DR35-DR46-DR50</x:f>
      </x:c>
      <x:c r="DS63" s="118">
        <x:f>DS27+DS34+DS45+DS49-DS20-DS24-DS53-DS57-DS35-DS46-DS50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 (кассовая)</x:v>
      </x:c>
      <x:c r="B74" s="116" t="n">
        <x:f>SUM(B53,B57)+IF('Вводные'!$B$31="Оплата капиталом",MAX(D37:DS37),0)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 (кассовая по очереди)</x:v>
      </x:c>
      <x:c r="B77" s="116" t="n">
        <x:f>B75-B76-B21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погашен)",IF(B49&lt;1,"N/A (капитал не привлекался)",IF(AND(MIN(D51:DS51)&lt;0,MAX(D51:DS51)&gt;0),IFERROR(XIRR(D51:DS51,D3:DS3,0.1),IFERROR(XIRR(D51:DS51,D3:DS3,1),IFERROR(XIRR(D51:DS51,D3:DS3,5),""))),"")))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(тело долга)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IFERROR((B67-B68-B69-B76-B21+SUM(D45:DS45))/(SUM(D45:DS45)+B74),0)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