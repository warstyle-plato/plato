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E21" s="117" t="n">
        <x:f>IF(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F21" s="117" t="n">
        <x:f>IF(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G21" s="117" t="n">
        <x:f>IF(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H21" s="117" t="n">
        <x:f>IF(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I21" s="117" t="n">
        <x:f>IF(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J21" s="117" t="n">
        <x:f>IF(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K21" s="117" t="n">
        <x:f>IF(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L21" s="117" t="n">
        <x:f>IF(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M21" s="117" t="n">
        <x:f>IF(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N21" s="117" t="n">
        <x:f>IF(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O21" s="117" t="n">
        <x:f>IF(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P21" s="117" t="n">
        <x:f>IF(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Q21" s="117" t="n">
        <x:f>IF(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R21" s="117" t="n">
        <x:f>IF(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S21" s="117" t="n">
        <x:f>IF(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T21" s="117" t="n">
        <x:f>IF(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U21" s="117" t="n">
        <x:f>IF(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V21" s="117" t="n">
        <x:f>IF(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W21" s="117" t="n">
        <x:f>IF(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X21" s="117" t="n">
        <x:f>IF(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Y21" s="117" t="n">
        <x:f>IF(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Z21" s="117" t="n">
        <x:f>IF(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A21" s="117" t="n">
        <x:f>IF(A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B21" s="117" t="n">
        <x:f>IF(A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C21" s="117" t="n">
        <x:f>IF(A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D21" s="117" t="n">
        <x:f>IF(A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E21" s="117" t="n">
        <x:f>IF(A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F21" s="117" t="n">
        <x:f>IF(A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G21" s="117" t="n">
        <x:f>IF(A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H21" s="117" t="n">
        <x:f>IF(A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I21" s="117" t="n">
        <x:f>IF(A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J21" s="117" t="n">
        <x:f>IF(A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K21" s="117" t="n">
        <x:f>IF(A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L21" s="117" t="n">
        <x:f>IF(A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M21" s="117" t="n">
        <x:f>IF(A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N21" s="117" t="n">
        <x:f>IF(A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O21" s="117" t="n">
        <x:f>IF(A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P21" s="117" t="n">
        <x:f>IF(A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Q21" s="117" t="n">
        <x:f>IF(A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R21" s="117" t="n">
        <x:f>IF(A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S21" s="117" t="n">
        <x:f>IF(A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T21" s="117" t="n">
        <x:f>IF(A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U21" s="117" t="n">
        <x:f>IF(A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V21" s="117" t="n">
        <x:f>IF(A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W21" s="117" t="n">
        <x:f>IF(A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X21" s="117" t="n">
        <x:f>IF(A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Y21" s="117" t="n">
        <x:f>IF(A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Z21" s="117" t="n">
        <x:f>IF(A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A21" s="117" t="n">
        <x:f>IF(B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B21" s="117" t="n">
        <x:f>IF(B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C21" s="117" t="n">
        <x:f>IF(B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D21" s="117" t="n">
        <x:f>IF(B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E21" s="117" t="n">
        <x:f>IF(B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F21" s="117" t="n">
        <x:f>IF(B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G21" s="117" t="n">
        <x:f>IF(B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H21" s="117" t="n">
        <x:f>IF(B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I21" s="117" t="n">
        <x:f>IF(B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J21" s="117" t="n">
        <x:f>IF(B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K21" s="117" t="n">
        <x:f>IF(B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L21" s="117" t="n">
        <x:f>IF(B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M21" s="117" t="n">
        <x:f>IF(B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N21" s="117" t="n">
        <x:f>IF(B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O21" s="117" t="n">
        <x:f>IF(B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P21" s="117" t="n">
        <x:f>IF(B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Q21" s="117" t="n">
        <x:f>IF(B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R21" s="117" t="n">
        <x:f>IF(B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S21" s="117" t="n">
        <x:f>IF(B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T21" s="117" t="n">
        <x:f>IF(B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U21" s="117" t="n">
        <x:f>IF(B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V21" s="117" t="n">
        <x:f>IF(B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W21" s="117" t="n">
        <x:f>IF(B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X21" s="117" t="n">
        <x:f>IF(B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Y21" s="117" t="n">
        <x:f>IF(B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Z21" s="117" t="n">
        <x:f>IF(B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A21" s="117" t="n">
        <x:f>IF(C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B21" s="117" t="n">
        <x:f>IF(C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C21" s="117" t="n">
        <x:f>IF(C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D21" s="117" t="n">
        <x:f>IF(C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E21" s="117" t="n">
        <x:f>IF(C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F21" s="117" t="n">
        <x:f>IF(C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G21" s="117" t="n">
        <x:f>IF(C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H21" s="117" t="n">
        <x:f>IF(C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I21" s="117" t="n">
        <x:f>IF(C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J21" s="117" t="n">
        <x:f>IF(C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K21" s="117" t="n">
        <x:f>IF(C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L21" s="117" t="n">
        <x:f>IF(C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M21" s="117" t="n">
        <x:f>IF(C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N21" s="117" t="n">
        <x:f>IF(C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O21" s="117" t="n">
        <x:f>IF(C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P21" s="117" t="n">
        <x:f>IF(C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Q21" s="117" t="n">
        <x:f>IF(C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R21" s="117" t="n">
        <x:f>IF(C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S21" s="117" t="n">
        <x:f>IF(C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T21" s="117" t="n">
        <x:f>IF(C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U21" s="117" t="n">
        <x:f>IF(C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V21" s="117" t="n">
        <x:f>IF(C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W21" s="117" t="n">
        <x:f>IF(C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X21" s="117" t="n">
        <x:f>IF(C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Y21" s="117" t="n">
        <x:f>IF(C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Z21" s="117" t="n">
        <x:f>IF(C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A21" s="117" t="n">
        <x:f>IF(D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B21" s="117" t="n">
        <x:f>IF(D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C21" s="117" t="n">
        <x:f>IF(D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D21" s="117" t="n">
        <x:f>IF(D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E21" s="117" t="n">
        <x:f>IF(D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F21" s="117" t="n">
        <x:f>IF(D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G21" s="117" t="n">
        <x:f>IF(D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H21" s="117" t="n">
        <x:f>IF(D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I21" s="117" t="n">
        <x:f>IF(D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J21" s="117" t="n">
        <x:f>IF(D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K21" s="117" t="n">
        <x:f>IF(D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L21" s="117" t="n">
        <x:f>IF(D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M21" s="117" t="n">
        <x:f>IF(D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N21" s="117" t="n">
        <x:f>IF(D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O21" s="117" t="n">
        <x:f>IF(D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P21" s="117" t="n">
        <x:f>IF(D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Q21" s="117" t="n">
        <x:f>IF(D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R21" s="117" t="n">
        <x:f>IF(D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S21" s="117" t="n">
        <x:f>IF(D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$96)*('Продажи'!D14+'Продажи'!D17+'Продажи'!D20+'Продажи'!D23)/(SUM('Продажи'!$D$14:$DS$14)+SUM('Продажи'!$D$17:$DS$17)+SUM('Продажи'!$D$20:$DS$20)+SUM('Продажи'!$D$23:$DS$23)),0)-IF('ОБЪЕКТЫ'!$B$8=1,IFERROR('ОБЪЕКТЫ'!$B$28*'ОБЪЕКТЫ'!D22/'ОБЪЕКТЫ'!$B$22,0),0)-IF('ОБЪЕКТЫ'!$B$36=1,IFERROR('ОБЪЕКТЫ'!$B$56*'ОБЪЕКТЫ'!D50/'ОБЪЕКТЫ'!$B$50,0),0)-IF('ОБЪЕКТЫ'!$B$64=1,IFERROR('ОБЪЕКТЫ'!$B$84*'ОБЪЕКТЫ'!D78/'ОБЪЕКТЫ'!$B$78,0),0)-D53-D57-D21</x:f>
      </x:c>
      <x:c r="E22" s="117">
        <x:f>E10-IFERROR((SUM($D$20:$DS$20)-'ОБЪЕКТЫ'!$B$96)*('Продажи'!E14+'Продажи'!E17+'Продажи'!E20+'Продажи'!E23)/(SUM('Продажи'!$D$14:$DS$14)+SUM('Продажи'!$D$17:$DS$17)+SUM('Продажи'!$D$20:$DS$20)+SUM('Продажи'!$D$23:$DS$23)),0)-IF('ОБЪЕКТЫ'!$B$8=1,IFERROR('ОБЪЕКТЫ'!$B$28*'ОБЪЕКТЫ'!E22/'ОБЪЕКТЫ'!$B$22,0),0)-IF('ОБЪЕКТЫ'!$B$36=1,IFERROR('ОБЪЕКТЫ'!$B$56*'ОБЪЕКТЫ'!E50/'ОБЪЕКТЫ'!$B$50,0),0)-IF('ОБЪЕКТЫ'!$B$64=1,IFERROR('ОБЪЕКТЫ'!$B$84*'ОБЪЕКТЫ'!E78/'ОБЪЕКТЫ'!$B$78,0),0)-E53-E57-E21</x:f>
      </x:c>
      <x:c r="F22" s="117">
        <x:f>F10-IFERROR((SUM($D$20:$DS$20)-'ОБЪЕКТЫ'!$B$96)*('Продажи'!F14+'Продажи'!F17+'Продажи'!F20+'Продажи'!F23)/(SUM('Продажи'!$D$14:$DS$14)+SUM('Продажи'!$D$17:$DS$17)+SUM('Продажи'!$D$20:$DS$20)+SUM('Продажи'!$D$23:$DS$23)),0)-IF('ОБЪЕКТЫ'!$B$8=1,IFERROR('ОБЪЕКТЫ'!$B$28*'ОБЪЕКТЫ'!F22/'ОБЪЕКТЫ'!$B$22,0),0)-IF('ОБЪЕКТЫ'!$B$36=1,IFERROR('ОБЪЕКТЫ'!$B$56*'ОБЪЕКТЫ'!F50/'ОБЪЕКТЫ'!$B$50,0),0)-IF('ОБЪЕКТЫ'!$B$64=1,IFERROR('ОБЪЕКТЫ'!$B$84*'ОБЪЕКТЫ'!F78/'ОБЪЕКТЫ'!$B$78,0),0)-F53-F57-F21</x:f>
      </x:c>
      <x:c r="G22" s="117">
        <x:f>G10-IFERROR((SUM($D$20:$DS$20)-'ОБЪЕКТЫ'!$B$96)*('Продажи'!G14+'Продажи'!G17+'Продажи'!G20+'Продажи'!G23)/(SUM('Продажи'!$D$14:$DS$14)+SUM('Продажи'!$D$17:$DS$17)+SUM('Продажи'!$D$20:$DS$20)+SUM('Продажи'!$D$23:$DS$23)),0)-IF('ОБЪЕКТЫ'!$B$8=1,IFERROR('ОБЪЕКТЫ'!$B$28*'ОБЪЕКТЫ'!G22/'ОБЪЕКТЫ'!$B$22,0),0)-IF('ОБЪЕКТЫ'!$B$36=1,IFERROR('ОБЪЕКТЫ'!$B$56*'ОБЪЕКТЫ'!G50/'ОБЪЕКТЫ'!$B$50,0),0)-IF('ОБЪЕКТЫ'!$B$64=1,IFERROR('ОБЪЕКТЫ'!$B$84*'ОБЪЕКТЫ'!G78/'ОБЪЕКТЫ'!$B$78,0),0)-G53-G57-G21</x:f>
      </x:c>
      <x:c r="H22" s="117">
        <x:f>H10-IFERROR((SUM($D$20:$DS$20)-'ОБЪЕКТЫ'!$B$96)*('Продажи'!H14+'Продажи'!H17+'Продажи'!H20+'Продажи'!H23)/(SUM('Продажи'!$D$14:$DS$14)+SUM('Продажи'!$D$17:$DS$17)+SUM('Продажи'!$D$20:$DS$20)+SUM('Продажи'!$D$23:$DS$23)),0)-IF('ОБЪЕКТЫ'!$B$8=1,IFERROR('ОБЪЕКТЫ'!$B$28*'ОБЪЕКТЫ'!H22/'ОБЪЕКТЫ'!$B$22,0),0)-IF('ОБЪЕКТЫ'!$B$36=1,IFERROR('ОБЪЕКТЫ'!$B$56*'ОБЪЕКТЫ'!H50/'ОБЪЕКТЫ'!$B$50,0),0)-IF('ОБЪЕКТЫ'!$B$64=1,IFERROR('ОБЪЕКТЫ'!$B$84*'ОБЪЕКТЫ'!H78/'ОБЪЕКТЫ'!$B$78,0),0)-H53-H57-H21</x:f>
      </x:c>
      <x:c r="I22" s="117">
        <x:f>I10-IFERROR((SUM($D$20:$DS$20)-'ОБЪЕКТЫ'!$B$96)*('Продажи'!I14+'Продажи'!I17+'Продажи'!I20+'Продажи'!I23)/(SUM('Продажи'!$D$14:$DS$14)+SUM('Продажи'!$D$17:$DS$17)+SUM('Продажи'!$D$20:$DS$20)+SUM('Продажи'!$D$23:$DS$23)),0)-IF('ОБЪЕКТЫ'!$B$8=1,IFERROR('ОБЪЕКТЫ'!$B$28*'ОБЪЕКТЫ'!I22/'ОБЪЕКТЫ'!$B$22,0),0)-IF('ОБЪЕКТЫ'!$B$36=1,IFERROR('ОБЪЕКТЫ'!$B$56*'ОБЪЕКТЫ'!I50/'ОБЪЕКТЫ'!$B$50,0),0)-IF('ОБЪЕКТЫ'!$B$64=1,IFERROR('ОБЪЕКТЫ'!$B$84*'ОБЪЕКТЫ'!I78/'ОБЪЕКТЫ'!$B$78,0),0)-I53-I57-I21</x:f>
      </x:c>
      <x:c r="J22" s="117">
        <x:f>J10-IFERROR((SUM($D$20:$DS$20)-'ОБЪЕКТЫ'!$B$96)*('Продажи'!J14+'Продажи'!J17+'Продажи'!J20+'Продажи'!J23)/(SUM('Продажи'!$D$14:$DS$14)+SUM('Продажи'!$D$17:$DS$17)+SUM('Продажи'!$D$20:$DS$20)+SUM('Продажи'!$D$23:$DS$23)),0)-IF('ОБЪЕКТЫ'!$B$8=1,IFERROR('ОБЪЕКТЫ'!$B$28*'ОБЪЕКТЫ'!J22/'ОБЪЕКТЫ'!$B$22,0),0)-IF('ОБЪЕКТЫ'!$B$36=1,IFERROR('ОБЪЕКТЫ'!$B$56*'ОБЪЕКТЫ'!J50/'ОБЪЕКТЫ'!$B$50,0),0)-IF('ОБЪЕКТЫ'!$B$64=1,IFERROR('ОБЪЕКТЫ'!$B$84*'ОБЪЕКТЫ'!J78/'ОБЪЕКТЫ'!$B$78,0),0)-J53-J57-J21</x:f>
      </x:c>
      <x:c r="K22" s="117">
        <x:f>K10-IFERROR((SUM($D$20:$DS$20)-'ОБЪЕКТЫ'!$B$96)*('Продажи'!K14+'Продажи'!K17+'Продажи'!K20+'Продажи'!K23)/(SUM('Продажи'!$D$14:$DS$14)+SUM('Продажи'!$D$17:$DS$17)+SUM('Продажи'!$D$20:$DS$20)+SUM('Продажи'!$D$23:$DS$23)),0)-IF('ОБЪЕКТЫ'!$B$8=1,IFERROR('ОБЪЕКТЫ'!$B$28*'ОБЪЕКТЫ'!K22/'ОБЪЕКТЫ'!$B$22,0),0)-IF('ОБЪЕКТЫ'!$B$36=1,IFERROR('ОБЪЕКТЫ'!$B$56*'ОБЪЕКТЫ'!K50/'ОБЪЕКТЫ'!$B$50,0),0)-IF('ОБЪЕКТЫ'!$B$64=1,IFERROR('ОБЪЕКТЫ'!$B$84*'ОБЪЕКТЫ'!K78/'ОБЪЕКТЫ'!$B$78,0),0)-K53-K57-K21</x:f>
      </x:c>
      <x:c r="L22" s="117">
        <x:f>L10-IFERROR((SUM($D$20:$DS$20)-'ОБЪЕКТЫ'!$B$96)*('Продажи'!L14+'Продажи'!L17+'Продажи'!L20+'Продажи'!L23)/(SUM('Продажи'!$D$14:$DS$14)+SUM('Продажи'!$D$17:$DS$17)+SUM('Продажи'!$D$20:$DS$20)+SUM('Продажи'!$D$23:$DS$23)),0)-IF('ОБЪЕКТЫ'!$B$8=1,IFERROR('ОБЪЕКТЫ'!$B$28*'ОБЪЕКТЫ'!L22/'ОБЪЕКТЫ'!$B$22,0),0)-IF('ОБЪЕКТЫ'!$B$36=1,IFERROR('ОБЪЕКТЫ'!$B$56*'ОБЪЕКТЫ'!L50/'ОБЪЕКТЫ'!$B$50,0),0)-IF('ОБЪЕКТЫ'!$B$64=1,IFERROR('ОБЪЕКТЫ'!$B$84*'ОБЪЕКТЫ'!L78/'ОБЪЕКТЫ'!$B$78,0),0)-L53-L57-L21</x:f>
      </x:c>
      <x:c r="M22" s="117">
        <x:f>M10-IFERROR((SUM($D$20:$DS$20)-'ОБЪЕКТЫ'!$B$96)*('Продажи'!M14+'Продажи'!M17+'Продажи'!M20+'Продажи'!M23)/(SUM('Продажи'!$D$14:$DS$14)+SUM('Продажи'!$D$17:$DS$17)+SUM('Продажи'!$D$20:$DS$20)+SUM('Продажи'!$D$23:$DS$23)),0)-IF('ОБЪЕКТЫ'!$B$8=1,IFERROR('ОБЪЕКТЫ'!$B$28*'ОБЪЕКТЫ'!M22/'ОБЪЕКТЫ'!$B$22,0),0)-IF('ОБЪЕКТЫ'!$B$36=1,IFERROR('ОБЪЕКТЫ'!$B$56*'ОБЪЕКТЫ'!M50/'ОБЪЕКТЫ'!$B$50,0),0)-IF('ОБЪЕКТЫ'!$B$64=1,IFERROR('ОБЪЕКТЫ'!$B$84*'ОБЪЕКТЫ'!M78/'ОБЪЕКТЫ'!$B$78,0),0)-M53-M57-M21</x:f>
      </x:c>
      <x:c r="N22" s="117">
        <x:f>N10-IFERROR((SUM($D$20:$DS$20)-'ОБЪЕКТЫ'!$B$96)*('Продажи'!N14+'Продажи'!N17+'Продажи'!N20+'Продажи'!N23)/(SUM('Продажи'!$D$14:$DS$14)+SUM('Продажи'!$D$17:$DS$17)+SUM('Продажи'!$D$20:$DS$20)+SUM('Продажи'!$D$23:$DS$23)),0)-IF('ОБЪЕКТЫ'!$B$8=1,IFERROR('ОБЪЕКТЫ'!$B$28*'ОБЪЕКТЫ'!N22/'ОБЪЕКТЫ'!$B$22,0),0)-IF('ОБЪЕКТЫ'!$B$36=1,IFERROR('ОБЪЕКТЫ'!$B$56*'ОБЪЕКТЫ'!N50/'ОБЪЕКТЫ'!$B$50,0),0)-IF('ОБЪЕКТЫ'!$B$64=1,IFERROR('ОБЪЕКТЫ'!$B$84*'ОБЪЕКТЫ'!N78/'ОБЪЕКТЫ'!$B$78,0),0)-N53-N57-N21</x:f>
      </x:c>
      <x:c r="O22" s="117">
        <x:f>O10-IFERROR((SUM($D$20:$DS$20)-'ОБЪЕКТЫ'!$B$96)*('Продажи'!O14+'Продажи'!O17+'Продажи'!O20+'Продажи'!O23)/(SUM('Продажи'!$D$14:$DS$14)+SUM('Продажи'!$D$17:$DS$17)+SUM('Продажи'!$D$20:$DS$20)+SUM('Продажи'!$D$23:$DS$23)),0)-IF('ОБЪЕКТЫ'!$B$8=1,IFERROR('ОБЪЕКТЫ'!$B$28*'ОБЪЕКТЫ'!O22/'ОБЪЕКТЫ'!$B$22,0),0)-IF('ОБЪЕКТЫ'!$B$36=1,IFERROR('ОБЪЕКТЫ'!$B$56*'ОБЪЕКТЫ'!O50/'ОБЪЕКТЫ'!$B$50,0),0)-IF('ОБЪЕКТЫ'!$B$64=1,IFERROR('ОБЪЕКТЫ'!$B$84*'ОБЪЕКТЫ'!O78/'ОБЪЕКТЫ'!$B$78,0),0)-O53-O57-O21</x:f>
      </x:c>
      <x:c r="P22" s="117">
        <x:f>P10-IFERROR((SUM($D$20:$DS$20)-'ОБЪЕКТЫ'!$B$96)*('Продажи'!P14+'Продажи'!P17+'Продажи'!P20+'Продажи'!P23)/(SUM('Продажи'!$D$14:$DS$14)+SUM('Продажи'!$D$17:$DS$17)+SUM('Продажи'!$D$20:$DS$20)+SUM('Продажи'!$D$23:$DS$23)),0)-IF('ОБЪЕКТЫ'!$B$8=1,IFERROR('ОБЪЕКТЫ'!$B$28*'ОБЪЕКТЫ'!P22/'ОБЪЕКТЫ'!$B$22,0),0)-IF('ОБЪЕКТЫ'!$B$36=1,IFERROR('ОБЪЕКТЫ'!$B$56*'ОБЪЕКТЫ'!P50/'ОБЪЕКТЫ'!$B$50,0),0)-IF('ОБЪЕКТЫ'!$B$64=1,IFERROR('ОБЪЕКТЫ'!$B$84*'ОБЪЕКТЫ'!P78/'ОБЪЕКТЫ'!$B$78,0),0)-P53-P57-P21</x:f>
      </x:c>
      <x:c r="Q22" s="117">
        <x:f>Q10-IFERROR((SUM($D$20:$DS$20)-'ОБЪЕКТЫ'!$B$96)*('Продажи'!Q14+'Продажи'!Q17+'Продажи'!Q20+'Продажи'!Q23)/(SUM('Продажи'!$D$14:$DS$14)+SUM('Продажи'!$D$17:$DS$17)+SUM('Продажи'!$D$20:$DS$20)+SUM('Продажи'!$D$23:$DS$23)),0)-IF('ОБЪЕКТЫ'!$B$8=1,IFERROR('ОБЪЕКТЫ'!$B$28*'ОБЪЕКТЫ'!Q22/'ОБЪЕКТЫ'!$B$22,0),0)-IF('ОБЪЕКТЫ'!$B$36=1,IFERROR('ОБЪЕКТЫ'!$B$56*'ОБЪЕКТЫ'!Q50/'ОБЪЕКТЫ'!$B$50,0),0)-IF('ОБЪЕКТЫ'!$B$64=1,IFERROR('ОБЪЕКТЫ'!$B$84*'ОБЪЕКТЫ'!Q78/'ОБЪЕКТЫ'!$B$78,0),0)-Q53-Q57-Q21</x:f>
      </x:c>
      <x:c r="R22" s="117">
        <x:f>R10-IFERROR((SUM($D$20:$DS$20)-'ОБЪЕКТЫ'!$B$96)*('Продажи'!R14+'Продажи'!R17+'Продажи'!R20+'Продажи'!R23)/(SUM('Продажи'!$D$14:$DS$14)+SUM('Продажи'!$D$17:$DS$17)+SUM('Продажи'!$D$20:$DS$20)+SUM('Продажи'!$D$23:$DS$23)),0)-IF('ОБЪЕКТЫ'!$B$8=1,IFERROR('ОБЪЕКТЫ'!$B$28*'ОБЪЕКТЫ'!R22/'ОБЪЕКТЫ'!$B$22,0),0)-IF('ОБЪЕКТЫ'!$B$36=1,IFERROR('ОБЪЕКТЫ'!$B$56*'ОБЪЕКТЫ'!R50/'ОБЪЕКТЫ'!$B$50,0),0)-IF('ОБЪЕКТЫ'!$B$64=1,IFERROR('ОБЪЕКТЫ'!$B$84*'ОБЪЕКТЫ'!R78/'ОБЪЕКТЫ'!$B$78,0),0)-R53-R57-R21</x:f>
      </x:c>
      <x:c r="S22" s="117">
        <x:f>S10-IFERROR((SUM($D$20:$DS$20)-'ОБЪЕКТЫ'!$B$96)*('Продажи'!S14+'Продажи'!S17+'Продажи'!S20+'Продажи'!S23)/(SUM('Продажи'!$D$14:$DS$14)+SUM('Продажи'!$D$17:$DS$17)+SUM('Продажи'!$D$20:$DS$20)+SUM('Продажи'!$D$23:$DS$23)),0)-IF('ОБЪЕКТЫ'!$B$8=1,IFERROR('ОБЪЕКТЫ'!$B$28*'ОБЪЕКТЫ'!S22/'ОБЪЕКТЫ'!$B$22,0),0)-IF('ОБЪЕКТЫ'!$B$36=1,IFERROR('ОБЪЕКТЫ'!$B$56*'ОБЪЕКТЫ'!S50/'ОБЪЕКТЫ'!$B$50,0),0)-IF('ОБЪЕКТЫ'!$B$64=1,IFERROR('ОБЪЕКТЫ'!$B$84*'ОБЪЕКТЫ'!S78/'ОБЪЕКТЫ'!$B$78,0),0)-S53-S57-S21</x:f>
      </x:c>
      <x:c r="T22" s="117">
        <x:f>T10-IFERROR((SUM($D$20:$DS$20)-'ОБЪЕКТЫ'!$B$96)*('Продажи'!T14+'Продажи'!T17+'Продажи'!T20+'Продажи'!T23)/(SUM('Продажи'!$D$14:$DS$14)+SUM('Продажи'!$D$17:$DS$17)+SUM('Продажи'!$D$20:$DS$20)+SUM('Продажи'!$D$23:$DS$23)),0)-IF('ОБЪЕКТЫ'!$B$8=1,IFERROR('ОБЪЕКТЫ'!$B$28*'ОБЪЕКТЫ'!T22/'ОБЪЕКТЫ'!$B$22,0),0)-IF('ОБЪЕКТЫ'!$B$36=1,IFERROR('ОБЪЕКТЫ'!$B$56*'ОБЪЕКТЫ'!T50/'ОБЪЕКТЫ'!$B$50,0),0)-IF('ОБЪЕКТЫ'!$B$64=1,IFERROR('ОБЪЕКТЫ'!$B$84*'ОБЪЕКТЫ'!T78/'ОБЪЕКТЫ'!$B$78,0),0)-T53-T57-T21</x:f>
      </x:c>
      <x:c r="U22" s="117">
        <x:f>U10-IFERROR((SUM($D$20:$DS$20)-'ОБЪЕКТЫ'!$B$96)*('Продажи'!U14+'Продажи'!U17+'Продажи'!U20+'Продажи'!U23)/(SUM('Продажи'!$D$14:$DS$14)+SUM('Продажи'!$D$17:$DS$17)+SUM('Продажи'!$D$20:$DS$20)+SUM('Продажи'!$D$23:$DS$23)),0)-IF('ОБЪЕКТЫ'!$B$8=1,IFERROR('ОБЪЕКТЫ'!$B$28*'ОБЪЕКТЫ'!U22/'ОБЪЕКТЫ'!$B$22,0),0)-IF('ОБЪЕКТЫ'!$B$36=1,IFERROR('ОБЪЕКТЫ'!$B$56*'ОБЪЕКТЫ'!U50/'ОБЪЕКТЫ'!$B$50,0),0)-IF('ОБЪЕКТЫ'!$B$64=1,IFERROR('ОБЪЕКТЫ'!$B$84*'ОБЪЕКТЫ'!U78/'ОБЪЕКТЫ'!$B$78,0),0)-U53-U57-U21</x:f>
      </x:c>
      <x:c r="V22" s="117">
        <x:f>V10-IFERROR((SUM($D$20:$DS$20)-'ОБЪЕКТЫ'!$B$96)*('Продажи'!V14+'Продажи'!V17+'Продажи'!V20+'Продажи'!V23)/(SUM('Продажи'!$D$14:$DS$14)+SUM('Продажи'!$D$17:$DS$17)+SUM('Продажи'!$D$20:$DS$20)+SUM('Продажи'!$D$23:$DS$23)),0)-IF('ОБЪЕКТЫ'!$B$8=1,IFERROR('ОБЪЕКТЫ'!$B$28*'ОБЪЕКТЫ'!V22/'ОБЪЕКТЫ'!$B$22,0),0)-IF('ОБЪЕКТЫ'!$B$36=1,IFERROR('ОБЪЕКТЫ'!$B$56*'ОБЪЕКТЫ'!V50/'ОБЪЕКТЫ'!$B$50,0),0)-IF('ОБЪЕКТЫ'!$B$64=1,IFERROR('ОБЪЕКТЫ'!$B$84*'ОБЪЕКТЫ'!V78/'ОБЪЕКТЫ'!$B$78,0),0)-V53-V57-V21</x:f>
      </x:c>
      <x:c r="W22" s="117">
        <x:f>W10-IFERROR((SUM($D$20:$DS$20)-'ОБЪЕКТЫ'!$B$96)*('Продажи'!W14+'Продажи'!W17+'Продажи'!W20+'Продажи'!W23)/(SUM('Продажи'!$D$14:$DS$14)+SUM('Продажи'!$D$17:$DS$17)+SUM('Продажи'!$D$20:$DS$20)+SUM('Продажи'!$D$23:$DS$23)),0)-IF('ОБЪЕКТЫ'!$B$8=1,IFERROR('ОБЪЕКТЫ'!$B$28*'ОБЪЕКТЫ'!W22/'ОБЪЕКТЫ'!$B$22,0),0)-IF('ОБЪЕКТЫ'!$B$36=1,IFERROR('ОБЪЕКТЫ'!$B$56*'ОБЪЕКТЫ'!W50/'ОБЪЕКТЫ'!$B$50,0),0)-IF('ОБЪЕКТЫ'!$B$64=1,IFERROR('ОБЪЕКТЫ'!$B$84*'ОБЪЕКТЫ'!W78/'ОБЪЕКТЫ'!$B$78,0),0)-W53-W57-W21</x:f>
      </x:c>
      <x:c r="X22" s="117">
        <x:f>X10-IFERROR((SUM($D$20:$DS$20)-'ОБЪЕКТЫ'!$B$96)*('Продажи'!X14+'Продажи'!X17+'Продажи'!X20+'Продажи'!X23)/(SUM('Продажи'!$D$14:$DS$14)+SUM('Продажи'!$D$17:$DS$17)+SUM('Продажи'!$D$20:$DS$20)+SUM('Продажи'!$D$23:$DS$23)),0)-IF('ОБЪЕКТЫ'!$B$8=1,IFERROR('ОБЪЕКТЫ'!$B$28*'ОБЪЕКТЫ'!X22/'ОБЪЕКТЫ'!$B$22,0),0)-IF('ОБЪЕКТЫ'!$B$36=1,IFERROR('ОБЪЕКТЫ'!$B$56*'ОБЪЕКТЫ'!X50/'ОБЪЕКТЫ'!$B$50,0),0)-IF('ОБЪЕКТЫ'!$B$64=1,IFERROR('ОБЪЕКТЫ'!$B$84*'ОБЪЕКТЫ'!X78/'ОБЪЕКТЫ'!$B$78,0),0)-X53-X57-X21</x:f>
      </x:c>
      <x:c r="Y22" s="117">
        <x:f>Y10-IFERROR((SUM($D$20:$DS$20)-'ОБЪЕКТЫ'!$B$96)*('Продажи'!Y14+'Продажи'!Y17+'Продажи'!Y20+'Продажи'!Y23)/(SUM('Продажи'!$D$14:$DS$14)+SUM('Продажи'!$D$17:$DS$17)+SUM('Продажи'!$D$20:$DS$20)+SUM('Продажи'!$D$23:$DS$23)),0)-IF('ОБЪЕКТЫ'!$B$8=1,IFERROR('ОБЪЕКТЫ'!$B$28*'ОБЪЕКТЫ'!Y22/'ОБЪЕКТЫ'!$B$22,0),0)-IF('ОБЪЕКТЫ'!$B$36=1,IFERROR('ОБЪЕКТЫ'!$B$56*'ОБЪЕКТЫ'!Y50/'ОБЪЕКТЫ'!$B$50,0),0)-IF('ОБЪЕКТЫ'!$B$64=1,IFERROR('ОБЪЕКТЫ'!$B$84*'ОБЪЕКТЫ'!Y78/'ОБЪЕКТЫ'!$B$78,0),0)-Y53-Y57-Y21</x:f>
      </x:c>
      <x:c r="Z22" s="117">
        <x:f>Z10-IFERROR((SUM($D$20:$DS$20)-'ОБЪЕКТЫ'!$B$96)*('Продажи'!Z14+'Продажи'!Z17+'Продажи'!Z20+'Продажи'!Z23)/(SUM('Продажи'!$D$14:$DS$14)+SUM('Продажи'!$D$17:$DS$17)+SUM('Продажи'!$D$20:$DS$20)+SUM('Продажи'!$D$23:$DS$23)),0)-IF('ОБЪЕКТЫ'!$B$8=1,IFERROR('ОБЪЕКТЫ'!$B$28*'ОБЪЕКТЫ'!Z22/'ОБЪЕКТЫ'!$B$22,0),0)-IF('ОБЪЕКТЫ'!$B$36=1,IFERROR('ОБЪЕКТЫ'!$B$56*'ОБЪЕКТЫ'!Z50/'ОБЪЕКТЫ'!$B$50,0),0)-IF('ОБЪЕКТЫ'!$B$64=1,IFERROR('ОБЪЕКТЫ'!$B$84*'ОБЪЕКТЫ'!Z78/'ОБЪЕКТЫ'!$B$78,0),0)-Z53-Z57-Z21</x:f>
      </x:c>
      <x:c r="AA22" s="117">
        <x:f>AA10-IFERROR((SUM($D$20:$DS$20)-'ОБЪЕКТЫ'!$B$96)*('Продажи'!AA14+'Продажи'!AA17+'Продажи'!AA20+'Продажи'!AA23)/(SUM('Продажи'!$D$14:$DS$14)+SUM('Продажи'!$D$17:$DS$17)+SUM('Продажи'!$D$20:$DS$20)+SUM('Продажи'!$D$23:$DS$23)),0)-IF('ОБЪЕКТЫ'!$B$8=1,IFERROR('ОБЪЕКТЫ'!$B$28*'ОБЪЕКТЫ'!AA22/'ОБЪЕКТЫ'!$B$22,0),0)-IF('ОБЪЕКТЫ'!$B$36=1,IFERROR('ОБЪЕКТЫ'!$B$56*'ОБЪЕКТЫ'!AA50/'ОБЪЕКТЫ'!$B$50,0),0)-IF('ОБЪЕКТЫ'!$B$64=1,IFERROR('ОБЪЕКТЫ'!$B$84*'ОБЪЕКТЫ'!AA78/'ОБЪЕКТЫ'!$B$78,0),0)-AA53-AA57-AA21</x:f>
      </x:c>
      <x:c r="AB22" s="117">
        <x:f>AB10-IFERROR((SUM($D$20:$DS$20)-'ОБЪЕКТЫ'!$B$96)*('Продажи'!AB14+'Продажи'!AB17+'Продажи'!AB20+'Продажи'!AB23)/(SUM('Продажи'!$D$14:$DS$14)+SUM('Продажи'!$D$17:$DS$17)+SUM('Продажи'!$D$20:$DS$20)+SUM('Продажи'!$D$23:$DS$23)),0)-IF('ОБЪЕКТЫ'!$B$8=1,IFERROR('ОБЪЕКТЫ'!$B$28*'ОБЪЕКТЫ'!AB22/'ОБЪЕКТЫ'!$B$22,0),0)-IF('ОБЪЕКТЫ'!$B$36=1,IFERROR('ОБЪЕКТЫ'!$B$56*'ОБЪЕКТЫ'!AB50/'ОБЪЕКТЫ'!$B$50,0),0)-IF('ОБЪЕКТЫ'!$B$64=1,IFERROR('ОБЪЕКТЫ'!$B$84*'ОБЪЕКТЫ'!AB78/'ОБЪЕКТЫ'!$B$78,0),0)-AB53-AB57-AB21</x:f>
      </x:c>
      <x:c r="AC22" s="117">
        <x:f>AC10-IFERROR((SUM($D$20:$DS$20)-'ОБЪЕКТЫ'!$B$96)*('Продажи'!AC14+'Продажи'!AC17+'Продажи'!AC20+'Продажи'!AC23)/(SUM('Продажи'!$D$14:$DS$14)+SUM('Продажи'!$D$17:$DS$17)+SUM('Продажи'!$D$20:$DS$20)+SUM('Продажи'!$D$23:$DS$23)),0)-IF('ОБЪЕКТЫ'!$B$8=1,IFERROR('ОБЪЕКТЫ'!$B$28*'ОБЪЕКТЫ'!AC22/'ОБЪЕКТЫ'!$B$22,0),0)-IF('ОБЪЕКТЫ'!$B$36=1,IFERROR('ОБЪЕКТЫ'!$B$56*'ОБЪЕКТЫ'!AC50/'ОБЪЕКТЫ'!$B$50,0),0)-IF('ОБЪЕКТЫ'!$B$64=1,IFERROR('ОБЪЕКТЫ'!$B$84*'ОБЪЕКТЫ'!AC78/'ОБЪЕКТЫ'!$B$78,0),0)-AC53-AC57-AC21</x:f>
      </x:c>
      <x:c r="AD22" s="117">
        <x:f>AD10-IFERROR((SUM($D$20:$DS$20)-'ОБЪЕКТЫ'!$B$96)*('Продажи'!AD14+'Продажи'!AD17+'Продажи'!AD20+'Продажи'!AD23)/(SUM('Продажи'!$D$14:$DS$14)+SUM('Продажи'!$D$17:$DS$17)+SUM('Продажи'!$D$20:$DS$20)+SUM('Продажи'!$D$23:$DS$23)),0)-IF('ОБЪЕКТЫ'!$B$8=1,IFERROR('ОБЪЕКТЫ'!$B$28*'ОБЪЕКТЫ'!AD22/'ОБЪЕКТЫ'!$B$22,0),0)-IF('ОБЪЕКТЫ'!$B$36=1,IFERROR('ОБЪЕКТЫ'!$B$56*'ОБЪЕКТЫ'!AD50/'ОБЪЕКТЫ'!$B$50,0),0)-IF('ОБЪЕКТЫ'!$B$64=1,IFERROR('ОБЪЕКТЫ'!$B$84*'ОБЪЕКТЫ'!AD78/'ОБЪЕКТЫ'!$B$78,0),0)-AD53-AD57-AD21</x:f>
      </x:c>
      <x:c r="AE22" s="117">
        <x:f>AE10-IFERROR((SUM($D$20:$DS$20)-'ОБЪЕКТЫ'!$B$96)*('Продажи'!AE14+'Продажи'!AE17+'Продажи'!AE20+'Продажи'!AE23)/(SUM('Продажи'!$D$14:$DS$14)+SUM('Продажи'!$D$17:$DS$17)+SUM('Продажи'!$D$20:$DS$20)+SUM('Продажи'!$D$23:$DS$23)),0)-IF('ОБЪЕКТЫ'!$B$8=1,IFERROR('ОБЪЕКТЫ'!$B$28*'ОБЪЕКТЫ'!AE22/'ОБЪЕКТЫ'!$B$22,0),0)-IF('ОБЪЕКТЫ'!$B$36=1,IFERROR('ОБЪЕКТЫ'!$B$56*'ОБЪЕКТЫ'!AE50/'ОБЪЕКТЫ'!$B$50,0),0)-IF('ОБЪЕКТЫ'!$B$64=1,IFERROR('ОБЪЕКТЫ'!$B$84*'ОБЪЕКТЫ'!AE78/'ОБЪЕКТЫ'!$B$78,0),0)-AE53-AE57-AE21</x:f>
      </x:c>
      <x:c r="AF22" s="117">
        <x:f>AF10-IFERROR((SUM($D$20:$DS$20)-'ОБЪЕКТЫ'!$B$96)*('Продажи'!AF14+'Продажи'!AF17+'Продажи'!AF20+'Продажи'!AF23)/(SUM('Продажи'!$D$14:$DS$14)+SUM('Продажи'!$D$17:$DS$17)+SUM('Продажи'!$D$20:$DS$20)+SUM('Продажи'!$D$23:$DS$23)),0)-IF('ОБЪЕКТЫ'!$B$8=1,IFERROR('ОБЪЕКТЫ'!$B$28*'ОБЪЕКТЫ'!AF22/'ОБЪЕКТЫ'!$B$22,0),0)-IF('ОБЪЕКТЫ'!$B$36=1,IFERROR('ОБЪЕКТЫ'!$B$56*'ОБЪЕКТЫ'!AF50/'ОБЪЕКТЫ'!$B$50,0),0)-IF('ОБЪЕКТЫ'!$B$64=1,IFERROR('ОБЪЕКТЫ'!$B$84*'ОБЪЕКТЫ'!AF78/'ОБЪЕКТЫ'!$B$78,0),0)-AF53-AF57-AF21</x:f>
      </x:c>
      <x:c r="AG22" s="117">
        <x:f>AG10-IFERROR((SUM($D$20:$DS$20)-'ОБЪЕКТЫ'!$B$96)*('Продажи'!AG14+'Продажи'!AG17+'Продажи'!AG20+'Продажи'!AG23)/(SUM('Продажи'!$D$14:$DS$14)+SUM('Продажи'!$D$17:$DS$17)+SUM('Продажи'!$D$20:$DS$20)+SUM('Продажи'!$D$23:$DS$23)),0)-IF('ОБЪЕКТЫ'!$B$8=1,IFERROR('ОБЪЕКТЫ'!$B$28*'ОБЪЕКТЫ'!AG22/'ОБЪЕКТЫ'!$B$22,0),0)-IF('ОБЪЕКТЫ'!$B$36=1,IFERROR('ОБЪЕКТЫ'!$B$56*'ОБЪЕКТЫ'!AG50/'ОБЪЕКТЫ'!$B$50,0),0)-IF('ОБЪЕКТЫ'!$B$64=1,IFERROR('ОБЪЕКТЫ'!$B$84*'ОБЪЕКТЫ'!AG78/'ОБЪЕКТЫ'!$B$78,0),0)-AG53-AG57-AG21</x:f>
      </x:c>
      <x:c r="AH22" s="117">
        <x:f>AH10-IFERROR((SUM($D$20:$DS$20)-'ОБЪЕКТЫ'!$B$96)*('Продажи'!AH14+'Продажи'!AH17+'Продажи'!AH20+'Продажи'!AH23)/(SUM('Продажи'!$D$14:$DS$14)+SUM('Продажи'!$D$17:$DS$17)+SUM('Продажи'!$D$20:$DS$20)+SUM('Продажи'!$D$23:$DS$23)),0)-IF('ОБЪЕКТЫ'!$B$8=1,IFERROR('ОБЪЕКТЫ'!$B$28*'ОБЪЕКТЫ'!AH22/'ОБЪЕКТЫ'!$B$22,0),0)-IF('ОБЪЕКТЫ'!$B$36=1,IFERROR('ОБЪЕКТЫ'!$B$56*'ОБЪЕКТЫ'!AH50/'ОБЪЕКТЫ'!$B$50,0),0)-IF('ОБЪЕКТЫ'!$B$64=1,IFERROR('ОБЪЕКТЫ'!$B$84*'ОБЪЕКТЫ'!AH78/'ОБЪЕКТЫ'!$B$78,0),0)-AH53-AH57-AH21</x:f>
      </x:c>
      <x:c r="AI22" s="117">
        <x:f>AI10-IFERROR((SUM($D$20:$DS$20)-'ОБЪЕКТЫ'!$B$96)*('Продажи'!AI14+'Продажи'!AI17+'Продажи'!AI20+'Продажи'!AI23)/(SUM('Продажи'!$D$14:$DS$14)+SUM('Продажи'!$D$17:$DS$17)+SUM('Продажи'!$D$20:$DS$20)+SUM('Продажи'!$D$23:$DS$23)),0)-IF('ОБЪЕКТЫ'!$B$8=1,IFERROR('ОБЪЕКТЫ'!$B$28*'ОБЪЕКТЫ'!AI22/'ОБЪЕКТЫ'!$B$22,0),0)-IF('ОБЪЕКТЫ'!$B$36=1,IFERROR('ОБЪЕКТЫ'!$B$56*'ОБЪЕКТЫ'!AI50/'ОБЪЕКТЫ'!$B$50,0),0)-IF('ОБЪЕКТЫ'!$B$64=1,IFERROR('ОБЪЕКТЫ'!$B$84*'ОБЪЕКТЫ'!AI78/'ОБЪЕКТЫ'!$B$78,0),0)-AI53-AI57-AI21</x:f>
      </x:c>
      <x:c r="AJ22" s="117">
        <x:f>AJ10-IFERROR((SUM($D$20:$DS$20)-'ОБЪЕКТЫ'!$B$96)*('Продажи'!AJ14+'Продажи'!AJ17+'Продажи'!AJ20+'Продажи'!AJ23)/(SUM('Продажи'!$D$14:$DS$14)+SUM('Продажи'!$D$17:$DS$17)+SUM('Продажи'!$D$20:$DS$20)+SUM('Продажи'!$D$23:$DS$23)),0)-IF('ОБЪЕКТЫ'!$B$8=1,IFERROR('ОБЪЕКТЫ'!$B$28*'ОБЪЕКТЫ'!AJ22/'ОБЪЕКТЫ'!$B$22,0),0)-IF('ОБЪЕКТЫ'!$B$36=1,IFERROR('ОБЪЕКТЫ'!$B$56*'ОБЪЕКТЫ'!AJ50/'ОБЪЕКТЫ'!$B$50,0),0)-IF('ОБЪЕКТЫ'!$B$64=1,IFERROR('ОБЪЕКТЫ'!$B$84*'ОБЪЕКТЫ'!AJ78/'ОБЪЕКТЫ'!$B$78,0),0)-AJ53-AJ57-AJ21</x:f>
      </x:c>
      <x:c r="AK22" s="117">
        <x:f>AK10-IFERROR((SUM($D$20:$DS$20)-'ОБЪЕКТЫ'!$B$96)*('Продажи'!AK14+'Продажи'!AK17+'Продажи'!AK20+'Продажи'!AK23)/(SUM('Продажи'!$D$14:$DS$14)+SUM('Продажи'!$D$17:$DS$17)+SUM('Продажи'!$D$20:$DS$20)+SUM('Продажи'!$D$23:$DS$23)),0)-IF('ОБЪЕКТЫ'!$B$8=1,IFERROR('ОБЪЕКТЫ'!$B$28*'ОБЪЕКТЫ'!AK22/'ОБЪЕКТЫ'!$B$22,0),0)-IF('ОБЪЕКТЫ'!$B$36=1,IFERROR('ОБЪЕКТЫ'!$B$56*'ОБЪЕКТЫ'!AK50/'ОБЪЕКТЫ'!$B$50,0),0)-IF('ОБЪЕКТЫ'!$B$64=1,IFERROR('ОБЪЕКТЫ'!$B$84*'ОБЪЕКТЫ'!AK78/'ОБЪЕКТЫ'!$B$78,0),0)-AK53-AK57-AK21</x:f>
      </x:c>
      <x:c r="AL22" s="117">
        <x:f>AL10-IFERROR((SUM($D$20:$DS$20)-'ОБЪЕКТЫ'!$B$96)*('Продажи'!AL14+'Продажи'!AL17+'Продажи'!AL20+'Продажи'!AL23)/(SUM('Продажи'!$D$14:$DS$14)+SUM('Продажи'!$D$17:$DS$17)+SUM('Продажи'!$D$20:$DS$20)+SUM('Продажи'!$D$23:$DS$23)),0)-IF('ОБЪЕКТЫ'!$B$8=1,IFERROR('ОБЪЕКТЫ'!$B$28*'ОБЪЕКТЫ'!AL22/'ОБЪЕКТЫ'!$B$22,0),0)-IF('ОБЪЕКТЫ'!$B$36=1,IFERROR('ОБЪЕКТЫ'!$B$56*'ОБЪЕКТЫ'!AL50/'ОБЪЕКТЫ'!$B$50,0),0)-IF('ОБЪЕКТЫ'!$B$64=1,IFERROR('ОБЪЕКТЫ'!$B$84*'ОБЪЕКТЫ'!AL78/'ОБЪЕКТЫ'!$B$78,0),0)-AL53-AL57-AL21</x:f>
      </x:c>
      <x:c r="AM22" s="117">
        <x:f>AM10-IFERROR((SUM($D$20:$DS$20)-'ОБЪЕКТЫ'!$B$96)*('Продажи'!AM14+'Продажи'!AM17+'Продажи'!AM20+'Продажи'!AM23)/(SUM('Продажи'!$D$14:$DS$14)+SUM('Продажи'!$D$17:$DS$17)+SUM('Продажи'!$D$20:$DS$20)+SUM('Продажи'!$D$23:$DS$23)),0)-IF('ОБЪЕКТЫ'!$B$8=1,IFERROR('ОБЪЕКТЫ'!$B$28*'ОБЪЕКТЫ'!AM22/'ОБЪЕКТЫ'!$B$22,0),0)-IF('ОБЪЕКТЫ'!$B$36=1,IFERROR('ОБЪЕКТЫ'!$B$56*'ОБЪЕКТЫ'!AM50/'ОБЪЕКТЫ'!$B$50,0),0)-IF('ОБЪЕКТЫ'!$B$64=1,IFERROR('ОБЪЕКТЫ'!$B$84*'ОБЪЕКТЫ'!AM78/'ОБЪЕКТЫ'!$B$78,0),0)-AM53-AM57-AM21</x:f>
      </x:c>
      <x:c r="AN22" s="117">
        <x:f>AN10-IFERROR((SUM($D$20:$DS$20)-'ОБЪЕКТЫ'!$B$96)*('Продажи'!AN14+'Продажи'!AN17+'Продажи'!AN20+'Продажи'!AN23)/(SUM('Продажи'!$D$14:$DS$14)+SUM('Продажи'!$D$17:$DS$17)+SUM('Продажи'!$D$20:$DS$20)+SUM('Продажи'!$D$23:$DS$23)),0)-IF('ОБЪЕКТЫ'!$B$8=1,IFERROR('ОБЪЕКТЫ'!$B$28*'ОБЪЕКТЫ'!AN22/'ОБЪЕКТЫ'!$B$22,0),0)-IF('ОБЪЕКТЫ'!$B$36=1,IFERROR('ОБЪЕКТЫ'!$B$56*'ОБЪЕКТЫ'!AN50/'ОБЪЕКТЫ'!$B$50,0),0)-IF('ОБЪЕКТЫ'!$B$64=1,IFERROR('ОБЪЕКТЫ'!$B$84*'ОБЪЕКТЫ'!AN78/'ОБЪЕКТЫ'!$B$78,0),0)-AN53-AN57-AN21</x:f>
      </x:c>
      <x:c r="AO22" s="117">
        <x:f>AO10-IFERROR((SUM($D$20:$DS$20)-'ОБЪЕКТЫ'!$B$96)*('Продажи'!AO14+'Продажи'!AO17+'Продажи'!AO20+'Продажи'!AO23)/(SUM('Продажи'!$D$14:$DS$14)+SUM('Продажи'!$D$17:$DS$17)+SUM('Продажи'!$D$20:$DS$20)+SUM('Продажи'!$D$23:$DS$23)),0)-IF('ОБЪЕКТЫ'!$B$8=1,IFERROR('ОБЪЕКТЫ'!$B$28*'ОБЪЕКТЫ'!AO22/'ОБЪЕКТЫ'!$B$22,0),0)-IF('ОБЪЕКТЫ'!$B$36=1,IFERROR('ОБЪЕКТЫ'!$B$56*'ОБЪЕКТЫ'!AO50/'ОБЪЕКТЫ'!$B$50,0),0)-IF('ОБЪЕКТЫ'!$B$64=1,IFERROR('ОБЪЕКТЫ'!$B$84*'ОБЪЕКТЫ'!AO78/'ОБЪЕКТЫ'!$B$78,0),0)-AO53-AO57-AO21</x:f>
      </x:c>
      <x:c r="AP22" s="117">
        <x:f>AP10-IFERROR((SUM($D$20:$DS$20)-'ОБЪЕКТЫ'!$B$96)*('Продажи'!AP14+'Продажи'!AP17+'Продажи'!AP20+'Продажи'!AP23)/(SUM('Продажи'!$D$14:$DS$14)+SUM('Продажи'!$D$17:$DS$17)+SUM('Продажи'!$D$20:$DS$20)+SUM('Продажи'!$D$23:$DS$23)),0)-IF('ОБЪЕКТЫ'!$B$8=1,IFERROR('ОБЪЕКТЫ'!$B$28*'ОБЪЕКТЫ'!AP22/'ОБЪЕКТЫ'!$B$22,0),0)-IF('ОБЪЕКТЫ'!$B$36=1,IFERROR('ОБЪЕКТЫ'!$B$56*'ОБЪЕКТЫ'!AP50/'ОБЪЕКТЫ'!$B$50,0),0)-IF('ОБЪЕКТЫ'!$B$64=1,IFERROR('ОБЪЕКТЫ'!$B$84*'ОБЪЕКТЫ'!AP78/'ОБЪЕКТЫ'!$B$78,0),0)-AP53-AP57-AP21</x:f>
      </x:c>
      <x:c r="AQ22" s="117">
        <x:f>AQ10-IFERROR((SUM($D$20:$DS$20)-'ОБЪЕКТЫ'!$B$96)*('Продажи'!AQ14+'Продажи'!AQ17+'Продажи'!AQ20+'Продажи'!AQ23)/(SUM('Продажи'!$D$14:$DS$14)+SUM('Продажи'!$D$17:$DS$17)+SUM('Продажи'!$D$20:$DS$20)+SUM('Продажи'!$D$23:$DS$23)),0)-IF('ОБЪЕКТЫ'!$B$8=1,IFERROR('ОБЪЕКТЫ'!$B$28*'ОБЪЕКТЫ'!AQ22/'ОБЪЕКТЫ'!$B$22,0),0)-IF('ОБЪЕКТЫ'!$B$36=1,IFERROR('ОБЪЕКТЫ'!$B$56*'ОБЪЕКТЫ'!AQ50/'ОБЪЕКТЫ'!$B$50,0),0)-IF('ОБЪЕКТЫ'!$B$64=1,IFERROR('ОБЪЕКТЫ'!$B$84*'ОБЪЕКТЫ'!AQ78/'ОБЪЕКТЫ'!$B$78,0),0)-AQ53-AQ57-AQ21</x:f>
      </x:c>
      <x:c r="AR22" s="117">
        <x:f>AR10-IFERROR((SUM($D$20:$DS$20)-'ОБЪЕКТЫ'!$B$96)*('Продажи'!AR14+'Продажи'!AR17+'Продажи'!AR20+'Продажи'!AR23)/(SUM('Продажи'!$D$14:$DS$14)+SUM('Продажи'!$D$17:$DS$17)+SUM('Продажи'!$D$20:$DS$20)+SUM('Продажи'!$D$23:$DS$23)),0)-IF('ОБЪЕКТЫ'!$B$8=1,IFERROR('ОБЪЕКТЫ'!$B$28*'ОБЪЕКТЫ'!AR22/'ОБЪЕКТЫ'!$B$22,0),0)-IF('ОБЪЕКТЫ'!$B$36=1,IFERROR('ОБЪЕКТЫ'!$B$56*'ОБЪЕКТЫ'!AR50/'ОБЪЕКТЫ'!$B$50,0),0)-IF('ОБЪЕКТЫ'!$B$64=1,IFERROR('ОБЪЕКТЫ'!$B$84*'ОБЪЕКТЫ'!AR78/'ОБЪЕКТЫ'!$B$78,0),0)-AR53-AR57-AR21</x:f>
      </x:c>
      <x:c r="AS22" s="117">
        <x:f>AS10-IFERROR((SUM($D$20:$DS$20)-'ОБЪЕКТЫ'!$B$96)*('Продажи'!AS14+'Продажи'!AS17+'Продажи'!AS20+'Продажи'!AS23)/(SUM('Продажи'!$D$14:$DS$14)+SUM('Продажи'!$D$17:$DS$17)+SUM('Продажи'!$D$20:$DS$20)+SUM('Продажи'!$D$23:$DS$23)),0)-IF('ОБЪЕКТЫ'!$B$8=1,IFERROR('ОБЪЕКТЫ'!$B$28*'ОБЪЕКТЫ'!AS22/'ОБЪЕКТЫ'!$B$22,0),0)-IF('ОБЪЕКТЫ'!$B$36=1,IFERROR('ОБЪЕКТЫ'!$B$56*'ОБЪЕКТЫ'!AS50/'ОБЪЕКТЫ'!$B$50,0),0)-IF('ОБЪЕКТЫ'!$B$64=1,IFERROR('ОБЪЕКТЫ'!$B$84*'ОБЪЕКТЫ'!AS78/'ОБЪЕКТЫ'!$B$78,0),0)-AS53-AS57-AS21</x:f>
      </x:c>
      <x:c r="AT22" s="117">
        <x:f>AT10-IFERROR((SUM($D$20:$DS$20)-'ОБЪЕКТЫ'!$B$96)*('Продажи'!AT14+'Продажи'!AT17+'Продажи'!AT20+'Продажи'!AT23)/(SUM('Продажи'!$D$14:$DS$14)+SUM('Продажи'!$D$17:$DS$17)+SUM('Продажи'!$D$20:$DS$20)+SUM('Продажи'!$D$23:$DS$23)),0)-IF('ОБЪЕКТЫ'!$B$8=1,IFERROR('ОБЪЕКТЫ'!$B$28*'ОБЪЕКТЫ'!AT22/'ОБЪЕКТЫ'!$B$22,0),0)-IF('ОБЪЕКТЫ'!$B$36=1,IFERROR('ОБЪЕКТЫ'!$B$56*'ОБЪЕКТЫ'!AT50/'ОБЪЕКТЫ'!$B$50,0),0)-IF('ОБЪЕКТЫ'!$B$64=1,IFERROR('ОБЪЕКТЫ'!$B$84*'ОБЪЕКТЫ'!AT78/'ОБЪЕКТЫ'!$B$78,0),0)-AT53-AT57-AT21</x:f>
      </x:c>
      <x:c r="AU22" s="117">
        <x:f>AU10-IFERROR((SUM($D$20:$DS$20)-'ОБЪЕКТЫ'!$B$96)*('Продажи'!AU14+'Продажи'!AU17+'Продажи'!AU20+'Продажи'!AU23)/(SUM('Продажи'!$D$14:$DS$14)+SUM('Продажи'!$D$17:$DS$17)+SUM('Продажи'!$D$20:$DS$20)+SUM('Продажи'!$D$23:$DS$23)),0)-IF('ОБЪЕКТЫ'!$B$8=1,IFERROR('ОБЪЕКТЫ'!$B$28*'ОБЪЕКТЫ'!AU22/'ОБЪЕКТЫ'!$B$22,0),0)-IF('ОБЪЕКТЫ'!$B$36=1,IFERROR('ОБЪЕКТЫ'!$B$56*'ОБЪЕКТЫ'!AU50/'ОБЪЕКТЫ'!$B$50,0),0)-IF('ОБЪЕКТЫ'!$B$64=1,IFERROR('ОБЪЕКТЫ'!$B$84*'ОБЪЕКТЫ'!AU78/'ОБЪЕКТЫ'!$B$78,0),0)-AU53-AU57-AU21</x:f>
      </x:c>
      <x:c r="AV22" s="117">
        <x:f>AV10-IFERROR((SUM($D$20:$DS$20)-'ОБЪЕКТЫ'!$B$96)*('Продажи'!AV14+'Продажи'!AV17+'Продажи'!AV20+'Продажи'!AV23)/(SUM('Продажи'!$D$14:$DS$14)+SUM('Продажи'!$D$17:$DS$17)+SUM('Продажи'!$D$20:$DS$20)+SUM('Продажи'!$D$23:$DS$23)),0)-IF('ОБЪЕКТЫ'!$B$8=1,IFERROR('ОБЪЕКТЫ'!$B$28*'ОБЪЕКТЫ'!AV22/'ОБЪЕКТЫ'!$B$22,0),0)-IF('ОБЪЕКТЫ'!$B$36=1,IFERROR('ОБЪЕКТЫ'!$B$56*'ОБЪЕКТЫ'!AV50/'ОБЪЕКТЫ'!$B$50,0),0)-IF('ОБЪЕКТЫ'!$B$64=1,IFERROR('ОБЪЕКТЫ'!$B$84*'ОБЪЕКТЫ'!AV78/'ОБЪЕКТЫ'!$B$78,0),0)-AV53-AV57-AV21</x:f>
      </x:c>
      <x:c r="AW22" s="117">
        <x:f>AW10-IFERROR((SUM($D$20:$DS$20)-'ОБЪЕКТЫ'!$B$96)*('Продажи'!AW14+'Продажи'!AW17+'Продажи'!AW20+'Продажи'!AW23)/(SUM('Продажи'!$D$14:$DS$14)+SUM('Продажи'!$D$17:$DS$17)+SUM('Продажи'!$D$20:$DS$20)+SUM('Продажи'!$D$23:$DS$23)),0)-IF('ОБЪЕКТЫ'!$B$8=1,IFERROR('ОБЪЕКТЫ'!$B$28*'ОБЪЕКТЫ'!AW22/'ОБЪЕКТЫ'!$B$22,0),0)-IF('ОБЪЕКТЫ'!$B$36=1,IFERROR('ОБЪЕКТЫ'!$B$56*'ОБЪЕКТЫ'!AW50/'ОБЪЕКТЫ'!$B$50,0),0)-IF('ОБЪЕКТЫ'!$B$64=1,IFERROR('ОБЪЕКТЫ'!$B$84*'ОБЪЕКТЫ'!AW78/'ОБЪЕКТЫ'!$B$78,0),0)-AW53-AW57-AW21</x:f>
      </x:c>
      <x:c r="AX22" s="117">
        <x:f>AX10-IFERROR((SUM($D$20:$DS$20)-'ОБЪЕКТЫ'!$B$96)*('Продажи'!AX14+'Продажи'!AX17+'Продажи'!AX20+'Продажи'!AX23)/(SUM('Продажи'!$D$14:$DS$14)+SUM('Продажи'!$D$17:$DS$17)+SUM('Продажи'!$D$20:$DS$20)+SUM('Продажи'!$D$23:$DS$23)),0)-IF('ОБЪЕКТЫ'!$B$8=1,IFERROR('ОБЪЕКТЫ'!$B$28*'ОБЪЕКТЫ'!AX22/'ОБЪЕКТЫ'!$B$22,0),0)-IF('ОБЪЕКТЫ'!$B$36=1,IFERROR('ОБЪЕКТЫ'!$B$56*'ОБЪЕКТЫ'!AX50/'ОБЪЕКТЫ'!$B$50,0),0)-IF('ОБЪЕКТЫ'!$B$64=1,IFERROR('ОБЪЕКТЫ'!$B$84*'ОБЪЕКТЫ'!AX78/'ОБЪЕКТЫ'!$B$78,0),0)-AX53-AX57-AX21</x:f>
      </x:c>
      <x:c r="AY22" s="117">
        <x:f>AY10-IFERROR((SUM($D$20:$DS$20)-'ОБЪЕКТЫ'!$B$96)*('Продажи'!AY14+'Продажи'!AY17+'Продажи'!AY20+'Продажи'!AY23)/(SUM('Продажи'!$D$14:$DS$14)+SUM('Продажи'!$D$17:$DS$17)+SUM('Продажи'!$D$20:$DS$20)+SUM('Продажи'!$D$23:$DS$23)),0)-IF('ОБЪЕКТЫ'!$B$8=1,IFERROR('ОБЪЕКТЫ'!$B$28*'ОБЪЕКТЫ'!AY22/'ОБЪЕКТЫ'!$B$22,0),0)-IF('ОБЪЕКТЫ'!$B$36=1,IFERROR('ОБЪЕКТЫ'!$B$56*'ОБЪЕКТЫ'!AY50/'ОБЪЕКТЫ'!$B$50,0),0)-IF('ОБЪЕКТЫ'!$B$64=1,IFERROR('ОБЪЕКТЫ'!$B$84*'ОБЪЕКТЫ'!AY78/'ОБЪЕКТЫ'!$B$78,0),0)-AY53-AY57-AY21</x:f>
      </x:c>
      <x:c r="AZ22" s="117">
        <x:f>AZ10-IFERROR((SUM($D$20:$DS$20)-'ОБЪЕКТЫ'!$B$96)*('Продажи'!AZ14+'Продажи'!AZ17+'Продажи'!AZ20+'Продажи'!AZ23)/(SUM('Продажи'!$D$14:$DS$14)+SUM('Продажи'!$D$17:$DS$17)+SUM('Продажи'!$D$20:$DS$20)+SUM('Продажи'!$D$23:$DS$23)),0)-IF('ОБЪЕКТЫ'!$B$8=1,IFERROR('ОБЪЕКТЫ'!$B$28*'ОБЪЕКТЫ'!AZ22/'ОБЪЕКТЫ'!$B$22,0),0)-IF('ОБЪЕКТЫ'!$B$36=1,IFERROR('ОБЪЕКТЫ'!$B$56*'ОБЪЕКТЫ'!AZ50/'ОБЪЕКТЫ'!$B$50,0),0)-IF('ОБЪЕКТЫ'!$B$64=1,IFERROR('ОБЪЕКТЫ'!$B$84*'ОБЪЕКТЫ'!AZ78/'ОБЪЕКТЫ'!$B$78,0),0)-AZ53-AZ57-AZ21</x:f>
      </x:c>
      <x:c r="BA22" s="117">
        <x:f>BA10-IFERROR((SUM($D$20:$DS$20)-'ОБЪЕКТЫ'!$B$96)*('Продажи'!BA14+'Продажи'!BA17+'Продажи'!BA20+'Продажи'!BA23)/(SUM('Продажи'!$D$14:$DS$14)+SUM('Продажи'!$D$17:$DS$17)+SUM('Продажи'!$D$20:$DS$20)+SUM('Продажи'!$D$23:$DS$23)),0)-IF('ОБЪЕКТЫ'!$B$8=1,IFERROR('ОБЪЕКТЫ'!$B$28*'ОБЪЕКТЫ'!BA22/'ОБЪЕКТЫ'!$B$22,0),0)-IF('ОБЪЕКТЫ'!$B$36=1,IFERROR('ОБЪЕКТЫ'!$B$56*'ОБЪЕКТЫ'!BA50/'ОБЪЕКТЫ'!$B$50,0),0)-IF('ОБЪЕКТЫ'!$B$64=1,IFERROR('ОБЪЕКТЫ'!$B$84*'ОБЪЕКТЫ'!BA78/'ОБЪЕКТЫ'!$B$78,0),0)-BA53-BA57-BA21</x:f>
      </x:c>
      <x:c r="BB22" s="117">
        <x:f>BB10-IFERROR((SUM($D$20:$DS$20)-'ОБЪЕКТЫ'!$B$96)*('Продажи'!BB14+'Продажи'!BB17+'Продажи'!BB20+'Продажи'!BB23)/(SUM('Продажи'!$D$14:$DS$14)+SUM('Продажи'!$D$17:$DS$17)+SUM('Продажи'!$D$20:$DS$20)+SUM('Продажи'!$D$23:$DS$23)),0)-IF('ОБЪЕКТЫ'!$B$8=1,IFERROR('ОБЪЕКТЫ'!$B$28*'ОБЪЕКТЫ'!BB22/'ОБЪЕКТЫ'!$B$22,0),0)-IF('ОБЪЕКТЫ'!$B$36=1,IFERROR('ОБЪЕКТЫ'!$B$56*'ОБЪЕКТЫ'!BB50/'ОБЪЕКТЫ'!$B$50,0),0)-IF('ОБЪЕКТЫ'!$B$64=1,IFERROR('ОБЪЕКТЫ'!$B$84*'ОБЪЕКТЫ'!BB78/'ОБЪЕКТЫ'!$B$78,0),0)-BB53-BB57-BB21</x:f>
      </x:c>
      <x:c r="BC22" s="117">
        <x:f>BC10-IFERROR((SUM($D$20:$DS$20)-'ОБЪЕКТЫ'!$B$96)*('Продажи'!BC14+'Продажи'!BC17+'Продажи'!BC20+'Продажи'!BC23)/(SUM('Продажи'!$D$14:$DS$14)+SUM('Продажи'!$D$17:$DS$17)+SUM('Продажи'!$D$20:$DS$20)+SUM('Продажи'!$D$23:$DS$23)),0)-IF('ОБЪЕКТЫ'!$B$8=1,IFERROR('ОБЪЕКТЫ'!$B$28*'ОБЪЕКТЫ'!BC22/'ОБЪЕКТЫ'!$B$22,0),0)-IF('ОБЪЕКТЫ'!$B$36=1,IFERROR('ОБЪЕКТЫ'!$B$56*'ОБЪЕКТЫ'!BC50/'ОБЪЕКТЫ'!$B$50,0),0)-IF('ОБЪЕКТЫ'!$B$64=1,IFERROR('ОБЪЕКТЫ'!$B$84*'ОБЪЕКТЫ'!BC78/'ОБЪЕКТЫ'!$B$78,0),0)-BC53-BC57-BC21</x:f>
      </x:c>
      <x:c r="BD22" s="117">
        <x:f>BD10-IFERROR((SUM($D$20:$DS$20)-'ОБЪЕКТЫ'!$B$96)*('Продажи'!BD14+'Продажи'!BD17+'Продажи'!BD20+'Продажи'!BD23)/(SUM('Продажи'!$D$14:$DS$14)+SUM('Продажи'!$D$17:$DS$17)+SUM('Продажи'!$D$20:$DS$20)+SUM('Продажи'!$D$23:$DS$23)),0)-IF('ОБЪЕКТЫ'!$B$8=1,IFERROR('ОБЪЕКТЫ'!$B$28*'ОБЪЕКТЫ'!BD22/'ОБЪЕКТЫ'!$B$22,0),0)-IF('ОБЪЕКТЫ'!$B$36=1,IFERROR('ОБЪЕКТЫ'!$B$56*'ОБЪЕКТЫ'!BD50/'ОБЪЕКТЫ'!$B$50,0),0)-IF('ОБЪЕКТЫ'!$B$64=1,IFERROR('ОБЪЕКТЫ'!$B$84*'ОБЪЕКТЫ'!BD78/'ОБЪЕКТЫ'!$B$78,0),0)-BD53-BD57-BD21</x:f>
      </x:c>
      <x:c r="BE22" s="117">
        <x:f>BE10-IFERROR((SUM($D$20:$DS$20)-'ОБЪЕКТЫ'!$B$96)*('Продажи'!BE14+'Продажи'!BE17+'Продажи'!BE20+'Продажи'!BE23)/(SUM('Продажи'!$D$14:$DS$14)+SUM('Продажи'!$D$17:$DS$17)+SUM('Продажи'!$D$20:$DS$20)+SUM('Продажи'!$D$23:$DS$23)),0)-IF('ОБЪЕКТЫ'!$B$8=1,IFERROR('ОБЪЕКТЫ'!$B$28*'ОБЪЕКТЫ'!BE22/'ОБЪЕКТЫ'!$B$22,0),0)-IF('ОБЪЕКТЫ'!$B$36=1,IFERROR('ОБЪЕКТЫ'!$B$56*'ОБЪЕКТЫ'!BE50/'ОБЪЕКТЫ'!$B$50,0),0)-IF('ОБЪЕКТЫ'!$B$64=1,IFERROR('ОБЪЕКТЫ'!$B$84*'ОБЪЕКТЫ'!BE78/'ОБЪЕКТЫ'!$B$78,0),0)-BE53-BE57-BE21</x:f>
      </x:c>
      <x:c r="BF22" s="117">
        <x:f>BF10-IFERROR((SUM($D$20:$DS$20)-'ОБЪЕКТЫ'!$B$96)*('Продажи'!BF14+'Продажи'!BF17+'Продажи'!BF20+'Продажи'!BF23)/(SUM('Продажи'!$D$14:$DS$14)+SUM('Продажи'!$D$17:$DS$17)+SUM('Продажи'!$D$20:$DS$20)+SUM('Продажи'!$D$23:$DS$23)),0)-IF('ОБЪЕКТЫ'!$B$8=1,IFERROR('ОБЪЕКТЫ'!$B$28*'ОБЪЕКТЫ'!BF22/'ОБЪЕКТЫ'!$B$22,0),0)-IF('ОБЪЕКТЫ'!$B$36=1,IFERROR('ОБЪЕКТЫ'!$B$56*'ОБЪЕКТЫ'!BF50/'ОБЪЕКТЫ'!$B$50,0),0)-IF('ОБЪЕКТЫ'!$B$64=1,IFERROR('ОБЪЕКТЫ'!$B$84*'ОБЪЕКТЫ'!BF78/'ОБЪЕКТЫ'!$B$78,0),0)-BF53-BF57-BF21</x:f>
      </x:c>
      <x:c r="BG22" s="117">
        <x:f>BG10-IFERROR((SUM($D$20:$DS$20)-'ОБЪЕКТЫ'!$B$96)*('Продажи'!BG14+'Продажи'!BG17+'Продажи'!BG20+'Продажи'!BG23)/(SUM('Продажи'!$D$14:$DS$14)+SUM('Продажи'!$D$17:$DS$17)+SUM('Продажи'!$D$20:$DS$20)+SUM('Продажи'!$D$23:$DS$23)),0)-IF('ОБЪЕКТЫ'!$B$8=1,IFERROR('ОБЪЕКТЫ'!$B$28*'ОБЪЕКТЫ'!BG22/'ОБЪЕКТЫ'!$B$22,0),0)-IF('ОБЪЕКТЫ'!$B$36=1,IFERROR('ОБЪЕКТЫ'!$B$56*'ОБЪЕКТЫ'!BG50/'ОБЪЕКТЫ'!$B$50,0),0)-IF('ОБЪЕКТЫ'!$B$64=1,IFERROR('ОБЪЕКТЫ'!$B$84*'ОБЪЕКТЫ'!BG78/'ОБЪЕКТЫ'!$B$78,0),0)-BG53-BG57-BG21</x:f>
      </x:c>
      <x:c r="BH22" s="117">
        <x:f>BH10-IFERROR((SUM($D$20:$DS$20)-'ОБЪЕКТЫ'!$B$96)*('Продажи'!BH14+'Продажи'!BH17+'Продажи'!BH20+'Продажи'!BH23)/(SUM('Продажи'!$D$14:$DS$14)+SUM('Продажи'!$D$17:$DS$17)+SUM('Продажи'!$D$20:$DS$20)+SUM('Продажи'!$D$23:$DS$23)),0)-IF('ОБЪЕКТЫ'!$B$8=1,IFERROR('ОБЪЕКТЫ'!$B$28*'ОБЪЕКТЫ'!BH22/'ОБЪЕКТЫ'!$B$22,0),0)-IF('ОБЪЕКТЫ'!$B$36=1,IFERROR('ОБЪЕКТЫ'!$B$56*'ОБЪЕКТЫ'!BH50/'ОБЪЕКТЫ'!$B$50,0),0)-IF('ОБЪЕКТЫ'!$B$64=1,IFERROR('ОБЪЕКТЫ'!$B$84*'ОБЪЕКТЫ'!BH78/'ОБЪЕКТЫ'!$B$78,0),0)-BH53-BH57-BH21</x:f>
      </x:c>
      <x:c r="BI22" s="117">
        <x:f>BI10-IFERROR((SUM($D$20:$DS$20)-'ОБЪЕКТЫ'!$B$96)*('Продажи'!BI14+'Продажи'!BI17+'Продажи'!BI20+'Продажи'!BI23)/(SUM('Продажи'!$D$14:$DS$14)+SUM('Продажи'!$D$17:$DS$17)+SUM('Продажи'!$D$20:$DS$20)+SUM('Продажи'!$D$23:$DS$23)),0)-IF('ОБЪЕКТЫ'!$B$8=1,IFERROR('ОБЪЕКТЫ'!$B$28*'ОБЪЕКТЫ'!BI22/'ОБЪЕКТЫ'!$B$22,0),0)-IF('ОБЪЕКТЫ'!$B$36=1,IFERROR('ОБЪЕКТЫ'!$B$56*'ОБЪЕКТЫ'!BI50/'ОБЪЕКТЫ'!$B$50,0),0)-IF('ОБЪЕКТЫ'!$B$64=1,IFERROR('ОБЪЕКТЫ'!$B$84*'ОБЪЕКТЫ'!BI78/'ОБЪЕКТЫ'!$B$78,0),0)-BI53-BI57-BI21</x:f>
      </x:c>
      <x:c r="BJ22" s="117">
        <x:f>BJ10-IFERROR((SUM($D$20:$DS$20)-'ОБЪЕКТЫ'!$B$96)*('Продажи'!BJ14+'Продажи'!BJ17+'Продажи'!BJ20+'Продажи'!BJ23)/(SUM('Продажи'!$D$14:$DS$14)+SUM('Продажи'!$D$17:$DS$17)+SUM('Продажи'!$D$20:$DS$20)+SUM('Продажи'!$D$23:$DS$23)),0)-IF('ОБЪЕКТЫ'!$B$8=1,IFERROR('ОБЪЕКТЫ'!$B$28*'ОБЪЕКТЫ'!BJ22/'ОБЪЕКТЫ'!$B$22,0),0)-IF('ОБЪЕКТЫ'!$B$36=1,IFERROR('ОБЪЕКТЫ'!$B$56*'ОБЪЕКТЫ'!BJ50/'ОБЪЕКТЫ'!$B$50,0),0)-IF('ОБЪЕКТЫ'!$B$64=1,IFERROR('ОБЪЕКТЫ'!$B$84*'ОБЪЕКТЫ'!BJ78/'ОБЪЕКТЫ'!$B$78,0),0)-BJ53-BJ57-BJ21</x:f>
      </x:c>
      <x:c r="BK22" s="117">
        <x:f>BK10-IFERROR((SUM($D$20:$DS$20)-'ОБЪЕКТЫ'!$B$96)*('Продажи'!BK14+'Продажи'!BK17+'Продажи'!BK20+'Продажи'!BK23)/(SUM('Продажи'!$D$14:$DS$14)+SUM('Продажи'!$D$17:$DS$17)+SUM('Продажи'!$D$20:$DS$20)+SUM('Продажи'!$D$23:$DS$23)),0)-IF('ОБЪЕКТЫ'!$B$8=1,IFERROR('ОБЪЕКТЫ'!$B$28*'ОБЪЕКТЫ'!BK22/'ОБЪЕКТЫ'!$B$22,0),0)-IF('ОБЪЕКТЫ'!$B$36=1,IFERROR('ОБЪЕКТЫ'!$B$56*'ОБЪЕКТЫ'!BK50/'ОБЪЕКТЫ'!$B$50,0),0)-IF('ОБЪЕКТЫ'!$B$64=1,IFERROR('ОБЪЕКТЫ'!$B$84*'ОБЪЕКТЫ'!BK78/'ОБЪЕКТЫ'!$B$78,0),0)-BK53-BK57-BK21</x:f>
      </x:c>
      <x:c r="BL22" s="117">
        <x:f>BL10-IFERROR((SUM($D$20:$DS$20)-'ОБЪЕКТЫ'!$B$96)*('Продажи'!BL14+'Продажи'!BL17+'Продажи'!BL20+'Продажи'!BL23)/(SUM('Продажи'!$D$14:$DS$14)+SUM('Продажи'!$D$17:$DS$17)+SUM('Продажи'!$D$20:$DS$20)+SUM('Продажи'!$D$23:$DS$23)),0)-IF('ОБЪЕКТЫ'!$B$8=1,IFERROR('ОБЪЕКТЫ'!$B$28*'ОБЪЕКТЫ'!BL22/'ОБЪЕКТЫ'!$B$22,0),0)-IF('ОБЪЕКТЫ'!$B$36=1,IFERROR('ОБЪЕКТЫ'!$B$56*'ОБЪЕКТЫ'!BL50/'ОБЪЕКТЫ'!$B$50,0),0)-IF('ОБЪЕКТЫ'!$B$64=1,IFERROR('ОБЪЕКТЫ'!$B$84*'ОБЪЕКТЫ'!BL78/'ОБЪЕКТЫ'!$B$78,0),0)-BL53-BL57-BL21</x:f>
      </x:c>
      <x:c r="BM22" s="117">
        <x:f>BM10-IFERROR((SUM($D$20:$DS$20)-'ОБЪЕКТЫ'!$B$96)*('Продажи'!BM14+'Продажи'!BM17+'Продажи'!BM20+'Продажи'!BM23)/(SUM('Продажи'!$D$14:$DS$14)+SUM('Продажи'!$D$17:$DS$17)+SUM('Продажи'!$D$20:$DS$20)+SUM('Продажи'!$D$23:$DS$23)),0)-IF('ОБЪЕКТЫ'!$B$8=1,IFERROR('ОБЪЕКТЫ'!$B$28*'ОБЪЕКТЫ'!BM22/'ОБЪЕКТЫ'!$B$22,0),0)-IF('ОБЪЕКТЫ'!$B$36=1,IFERROR('ОБЪЕКТЫ'!$B$56*'ОБЪЕКТЫ'!BM50/'ОБЪЕКТЫ'!$B$50,0),0)-IF('ОБЪЕКТЫ'!$B$64=1,IFERROR('ОБЪЕКТЫ'!$B$84*'ОБЪЕКТЫ'!BM78/'ОБЪЕКТЫ'!$B$78,0),0)-BM53-BM57-BM21</x:f>
      </x:c>
      <x:c r="BN22" s="117">
        <x:f>BN10-IFERROR((SUM($D$20:$DS$20)-'ОБЪЕКТЫ'!$B$96)*('Продажи'!BN14+'Продажи'!BN17+'Продажи'!BN20+'Продажи'!BN23)/(SUM('Продажи'!$D$14:$DS$14)+SUM('Продажи'!$D$17:$DS$17)+SUM('Продажи'!$D$20:$DS$20)+SUM('Продажи'!$D$23:$DS$23)),0)-IF('ОБЪЕКТЫ'!$B$8=1,IFERROR('ОБЪЕКТЫ'!$B$28*'ОБЪЕКТЫ'!BN22/'ОБЪЕКТЫ'!$B$22,0),0)-IF('ОБЪЕКТЫ'!$B$36=1,IFERROR('ОБЪЕКТЫ'!$B$56*'ОБЪЕКТЫ'!BN50/'ОБЪЕКТЫ'!$B$50,0),0)-IF('ОБЪЕКТЫ'!$B$64=1,IFERROR('ОБЪЕКТЫ'!$B$84*'ОБЪЕКТЫ'!BN78/'ОБЪЕКТЫ'!$B$78,0),0)-BN53-BN57-BN21</x:f>
      </x:c>
      <x:c r="BO22" s="117">
        <x:f>BO10-IFERROR((SUM($D$20:$DS$20)-'ОБЪЕКТЫ'!$B$96)*('Продажи'!BO14+'Продажи'!BO17+'Продажи'!BO20+'Продажи'!BO23)/(SUM('Продажи'!$D$14:$DS$14)+SUM('Продажи'!$D$17:$DS$17)+SUM('Продажи'!$D$20:$DS$20)+SUM('Продажи'!$D$23:$DS$23)),0)-IF('ОБЪЕКТЫ'!$B$8=1,IFERROR('ОБЪЕКТЫ'!$B$28*'ОБЪЕКТЫ'!BO22/'ОБЪЕКТЫ'!$B$22,0),0)-IF('ОБЪЕКТЫ'!$B$36=1,IFERROR('ОБЪЕКТЫ'!$B$56*'ОБЪЕКТЫ'!BO50/'ОБЪЕКТЫ'!$B$50,0),0)-IF('ОБЪЕКТЫ'!$B$64=1,IFERROR('ОБЪЕКТЫ'!$B$84*'ОБЪЕКТЫ'!BO78/'ОБЪЕКТЫ'!$B$78,0),0)-BO53-BO57-BO21</x:f>
      </x:c>
      <x:c r="BP22" s="117">
        <x:f>BP10-IFERROR((SUM($D$20:$DS$20)-'ОБЪЕКТЫ'!$B$96)*('Продажи'!BP14+'Продажи'!BP17+'Продажи'!BP20+'Продажи'!BP23)/(SUM('Продажи'!$D$14:$DS$14)+SUM('Продажи'!$D$17:$DS$17)+SUM('Продажи'!$D$20:$DS$20)+SUM('Продажи'!$D$23:$DS$23)),0)-IF('ОБЪЕКТЫ'!$B$8=1,IFERROR('ОБЪЕКТЫ'!$B$28*'ОБЪЕКТЫ'!BP22/'ОБЪЕКТЫ'!$B$22,0),0)-IF('ОБЪЕКТЫ'!$B$36=1,IFERROR('ОБЪЕКТЫ'!$B$56*'ОБЪЕКТЫ'!BP50/'ОБЪЕКТЫ'!$B$50,0),0)-IF('ОБЪЕКТЫ'!$B$64=1,IFERROR('ОБЪЕКТЫ'!$B$84*'ОБЪЕКТЫ'!BP78/'ОБЪЕКТЫ'!$B$78,0),0)-BP53-BP57-BP21</x:f>
      </x:c>
      <x:c r="BQ22" s="117">
        <x:f>BQ10-IFERROR((SUM($D$20:$DS$20)-'ОБЪЕКТЫ'!$B$96)*('Продажи'!BQ14+'Продажи'!BQ17+'Продажи'!BQ20+'Продажи'!BQ23)/(SUM('Продажи'!$D$14:$DS$14)+SUM('Продажи'!$D$17:$DS$17)+SUM('Продажи'!$D$20:$DS$20)+SUM('Продажи'!$D$23:$DS$23)),0)-IF('ОБЪЕКТЫ'!$B$8=1,IFERROR('ОБЪЕКТЫ'!$B$28*'ОБЪЕКТЫ'!BQ22/'ОБЪЕКТЫ'!$B$22,0),0)-IF('ОБЪЕКТЫ'!$B$36=1,IFERROR('ОБЪЕКТЫ'!$B$56*'ОБЪЕКТЫ'!BQ50/'ОБЪЕКТЫ'!$B$50,0),0)-IF('ОБЪЕКТЫ'!$B$64=1,IFERROR('ОБЪЕКТЫ'!$B$84*'ОБЪЕКТЫ'!BQ78/'ОБЪЕКТЫ'!$B$78,0),0)-BQ53-BQ57-BQ21</x:f>
      </x:c>
      <x:c r="BR22" s="117">
        <x:f>BR10-IFERROR((SUM($D$20:$DS$20)-'ОБЪЕКТЫ'!$B$96)*('Продажи'!BR14+'Продажи'!BR17+'Продажи'!BR20+'Продажи'!BR23)/(SUM('Продажи'!$D$14:$DS$14)+SUM('Продажи'!$D$17:$DS$17)+SUM('Продажи'!$D$20:$DS$20)+SUM('Продажи'!$D$23:$DS$23)),0)-IF('ОБЪЕКТЫ'!$B$8=1,IFERROR('ОБЪЕКТЫ'!$B$28*'ОБЪЕКТЫ'!BR22/'ОБЪЕКТЫ'!$B$22,0),0)-IF('ОБЪЕКТЫ'!$B$36=1,IFERROR('ОБЪЕКТЫ'!$B$56*'ОБЪЕКТЫ'!BR50/'ОБЪЕКТЫ'!$B$50,0),0)-IF('ОБЪЕКТЫ'!$B$64=1,IFERROR('ОБЪЕКТЫ'!$B$84*'ОБЪЕКТЫ'!BR78/'ОБЪЕКТЫ'!$B$78,0),0)-BR53-BR57-BR21</x:f>
      </x:c>
      <x:c r="BS22" s="117">
        <x:f>BS10-IFERROR((SUM($D$20:$DS$20)-'ОБЪЕКТЫ'!$B$96)*('Продажи'!BS14+'Продажи'!BS17+'Продажи'!BS20+'Продажи'!BS23)/(SUM('Продажи'!$D$14:$DS$14)+SUM('Продажи'!$D$17:$DS$17)+SUM('Продажи'!$D$20:$DS$20)+SUM('Продажи'!$D$23:$DS$23)),0)-IF('ОБЪЕКТЫ'!$B$8=1,IFERROR('ОБЪЕКТЫ'!$B$28*'ОБЪЕКТЫ'!BS22/'ОБЪЕКТЫ'!$B$22,0),0)-IF('ОБЪЕКТЫ'!$B$36=1,IFERROR('ОБЪЕКТЫ'!$B$56*'ОБЪЕКТЫ'!BS50/'ОБЪЕКТЫ'!$B$50,0),0)-IF('ОБЪЕКТЫ'!$B$64=1,IFERROR('ОБЪЕКТЫ'!$B$84*'ОБЪЕКТЫ'!BS78/'ОБЪЕКТЫ'!$B$78,0),0)-BS53-BS57-BS21</x:f>
      </x:c>
      <x:c r="BT22" s="117">
        <x:f>BT10-IFERROR((SUM($D$20:$DS$20)-'ОБЪЕКТЫ'!$B$96)*('Продажи'!BT14+'Продажи'!BT17+'Продажи'!BT20+'Продажи'!BT23)/(SUM('Продажи'!$D$14:$DS$14)+SUM('Продажи'!$D$17:$DS$17)+SUM('Продажи'!$D$20:$DS$20)+SUM('Продажи'!$D$23:$DS$23)),0)-IF('ОБЪЕКТЫ'!$B$8=1,IFERROR('ОБЪЕКТЫ'!$B$28*'ОБЪЕКТЫ'!BT22/'ОБЪЕКТЫ'!$B$22,0),0)-IF('ОБЪЕКТЫ'!$B$36=1,IFERROR('ОБЪЕКТЫ'!$B$56*'ОБЪЕКТЫ'!BT50/'ОБЪЕКТЫ'!$B$50,0),0)-IF('ОБЪЕКТЫ'!$B$64=1,IFERROR('ОБЪЕКТЫ'!$B$84*'ОБЪЕКТЫ'!BT78/'ОБЪЕКТЫ'!$B$78,0),0)-BT53-BT57-BT21</x:f>
      </x:c>
      <x:c r="BU22" s="117">
        <x:f>BU10-IFERROR((SUM($D$20:$DS$20)-'ОБЪЕКТЫ'!$B$96)*('Продажи'!BU14+'Продажи'!BU17+'Продажи'!BU20+'Продажи'!BU23)/(SUM('Продажи'!$D$14:$DS$14)+SUM('Продажи'!$D$17:$DS$17)+SUM('Продажи'!$D$20:$DS$20)+SUM('Продажи'!$D$23:$DS$23)),0)-IF('ОБЪЕКТЫ'!$B$8=1,IFERROR('ОБЪЕКТЫ'!$B$28*'ОБЪЕКТЫ'!BU22/'ОБЪЕКТЫ'!$B$22,0),0)-IF('ОБЪЕКТЫ'!$B$36=1,IFERROR('ОБЪЕКТЫ'!$B$56*'ОБЪЕКТЫ'!BU50/'ОБЪЕКТЫ'!$B$50,0),0)-IF('ОБЪЕКТЫ'!$B$64=1,IFERROR('ОБЪЕКТЫ'!$B$84*'ОБЪЕКТЫ'!BU78/'ОБЪЕКТЫ'!$B$78,0),0)-BU53-BU57-BU21</x:f>
      </x:c>
      <x:c r="BV22" s="117">
        <x:f>BV10-IFERROR((SUM($D$20:$DS$20)-'ОБЪЕКТЫ'!$B$96)*('Продажи'!BV14+'Продажи'!BV17+'Продажи'!BV20+'Продажи'!BV23)/(SUM('Продажи'!$D$14:$DS$14)+SUM('Продажи'!$D$17:$DS$17)+SUM('Продажи'!$D$20:$DS$20)+SUM('Продажи'!$D$23:$DS$23)),0)-IF('ОБЪЕКТЫ'!$B$8=1,IFERROR('ОБЪЕКТЫ'!$B$28*'ОБЪЕКТЫ'!BV22/'ОБЪЕКТЫ'!$B$22,0),0)-IF('ОБЪЕКТЫ'!$B$36=1,IFERROR('ОБЪЕКТЫ'!$B$56*'ОБЪЕКТЫ'!BV50/'ОБЪЕКТЫ'!$B$50,0),0)-IF('ОБЪЕКТЫ'!$B$64=1,IFERROR('ОБЪЕКТЫ'!$B$84*'ОБЪЕКТЫ'!BV78/'ОБЪЕКТЫ'!$B$78,0),0)-BV53-BV57-BV21</x:f>
      </x:c>
      <x:c r="BW22" s="117">
        <x:f>BW10-IFERROR((SUM($D$20:$DS$20)-'ОБЪЕКТЫ'!$B$96)*('Продажи'!BW14+'Продажи'!BW17+'Продажи'!BW20+'Продажи'!BW23)/(SUM('Продажи'!$D$14:$DS$14)+SUM('Продажи'!$D$17:$DS$17)+SUM('Продажи'!$D$20:$DS$20)+SUM('Продажи'!$D$23:$DS$23)),0)-IF('ОБЪЕКТЫ'!$B$8=1,IFERROR('ОБЪЕКТЫ'!$B$28*'ОБЪЕКТЫ'!BW22/'ОБЪЕКТЫ'!$B$22,0),0)-IF('ОБЪЕКТЫ'!$B$36=1,IFERROR('ОБЪЕКТЫ'!$B$56*'ОБЪЕКТЫ'!BW50/'ОБЪЕКТЫ'!$B$50,0),0)-IF('ОБЪЕКТЫ'!$B$64=1,IFERROR('ОБЪЕКТЫ'!$B$84*'ОБЪЕКТЫ'!BW78/'ОБЪЕКТЫ'!$B$78,0),0)-BW53-BW57-BW21</x:f>
      </x:c>
      <x:c r="BX22" s="117">
        <x:f>BX10-IFERROR((SUM($D$20:$DS$20)-'ОБЪЕКТЫ'!$B$96)*('Продажи'!BX14+'Продажи'!BX17+'Продажи'!BX20+'Продажи'!BX23)/(SUM('Продажи'!$D$14:$DS$14)+SUM('Продажи'!$D$17:$DS$17)+SUM('Продажи'!$D$20:$DS$20)+SUM('Продажи'!$D$23:$DS$23)),0)-IF('ОБЪЕКТЫ'!$B$8=1,IFERROR('ОБЪЕКТЫ'!$B$28*'ОБЪЕКТЫ'!BX22/'ОБЪЕКТЫ'!$B$22,0),0)-IF('ОБЪЕКТЫ'!$B$36=1,IFERROR('ОБЪЕКТЫ'!$B$56*'ОБЪЕКТЫ'!BX50/'ОБЪЕКТЫ'!$B$50,0),0)-IF('ОБЪЕКТЫ'!$B$64=1,IFERROR('ОБЪЕКТЫ'!$B$84*'ОБЪЕКТЫ'!BX78/'ОБЪЕКТЫ'!$B$78,0),0)-BX53-BX57-BX21</x:f>
      </x:c>
      <x:c r="BY22" s="117">
        <x:f>BY10-IFERROR((SUM($D$20:$DS$20)-'ОБЪЕКТЫ'!$B$96)*('Продажи'!BY14+'Продажи'!BY17+'Продажи'!BY20+'Продажи'!BY23)/(SUM('Продажи'!$D$14:$DS$14)+SUM('Продажи'!$D$17:$DS$17)+SUM('Продажи'!$D$20:$DS$20)+SUM('Продажи'!$D$23:$DS$23)),0)-IF('ОБЪЕКТЫ'!$B$8=1,IFERROR('ОБЪЕКТЫ'!$B$28*'ОБЪЕКТЫ'!BY22/'ОБЪЕКТЫ'!$B$22,0),0)-IF('ОБЪЕКТЫ'!$B$36=1,IFERROR('ОБЪЕКТЫ'!$B$56*'ОБЪЕКТЫ'!BY50/'ОБЪЕКТЫ'!$B$50,0),0)-IF('ОБЪЕКТЫ'!$B$64=1,IFERROR('ОБЪЕКТЫ'!$B$84*'ОБЪЕКТЫ'!BY78/'ОБЪЕКТЫ'!$B$78,0),0)-BY53-BY57-BY21</x:f>
      </x:c>
      <x:c r="BZ22" s="117">
        <x:f>BZ10-IFERROR((SUM($D$20:$DS$20)-'ОБЪЕКТЫ'!$B$96)*('Продажи'!BZ14+'Продажи'!BZ17+'Продажи'!BZ20+'Продажи'!BZ23)/(SUM('Продажи'!$D$14:$DS$14)+SUM('Продажи'!$D$17:$DS$17)+SUM('Продажи'!$D$20:$DS$20)+SUM('Продажи'!$D$23:$DS$23)),0)-IF('ОБЪЕКТЫ'!$B$8=1,IFERROR('ОБЪЕКТЫ'!$B$28*'ОБЪЕКТЫ'!BZ22/'ОБЪЕКТЫ'!$B$22,0),0)-IF('ОБЪЕКТЫ'!$B$36=1,IFERROR('ОБЪЕКТЫ'!$B$56*'ОБЪЕКТЫ'!BZ50/'ОБЪЕКТЫ'!$B$50,0),0)-IF('ОБЪЕКТЫ'!$B$64=1,IFERROR('ОБЪЕКТЫ'!$B$84*'ОБЪЕКТЫ'!BZ78/'ОБЪЕКТЫ'!$B$78,0),0)-BZ53-BZ57-BZ21</x:f>
      </x:c>
      <x:c r="CA22" s="117">
        <x:f>CA10-IFERROR((SUM($D$20:$DS$20)-'ОБЪЕКТЫ'!$B$96)*('Продажи'!CA14+'Продажи'!CA17+'Продажи'!CA20+'Продажи'!CA23)/(SUM('Продажи'!$D$14:$DS$14)+SUM('Продажи'!$D$17:$DS$17)+SUM('Продажи'!$D$20:$DS$20)+SUM('Продажи'!$D$23:$DS$23)),0)-IF('ОБЪЕКТЫ'!$B$8=1,IFERROR('ОБЪЕКТЫ'!$B$28*'ОБЪЕКТЫ'!CA22/'ОБЪЕКТЫ'!$B$22,0),0)-IF('ОБЪЕКТЫ'!$B$36=1,IFERROR('ОБЪЕКТЫ'!$B$56*'ОБЪЕКТЫ'!CA50/'ОБЪЕКТЫ'!$B$50,0),0)-IF('ОБЪЕКТЫ'!$B$64=1,IFERROR('ОБЪЕКТЫ'!$B$84*'ОБЪЕКТЫ'!CA78/'ОБЪЕКТЫ'!$B$78,0),0)-CA53-CA57-CA21</x:f>
      </x:c>
      <x:c r="CB22" s="117">
        <x:f>CB10-IFERROR((SUM($D$20:$DS$20)-'ОБЪЕКТЫ'!$B$96)*('Продажи'!CB14+'Продажи'!CB17+'Продажи'!CB20+'Продажи'!CB23)/(SUM('Продажи'!$D$14:$DS$14)+SUM('Продажи'!$D$17:$DS$17)+SUM('Продажи'!$D$20:$DS$20)+SUM('Продажи'!$D$23:$DS$23)),0)-IF('ОБЪЕКТЫ'!$B$8=1,IFERROR('ОБЪЕКТЫ'!$B$28*'ОБЪЕКТЫ'!CB22/'ОБЪЕКТЫ'!$B$22,0),0)-IF('ОБЪЕКТЫ'!$B$36=1,IFERROR('ОБЪЕКТЫ'!$B$56*'ОБЪЕКТЫ'!CB50/'ОБЪЕКТЫ'!$B$50,0),0)-IF('ОБЪЕКТЫ'!$B$64=1,IFERROR('ОБЪЕКТЫ'!$B$84*'ОБЪЕКТЫ'!CB78/'ОБЪЕКТЫ'!$B$78,0),0)-CB53-CB57-CB21</x:f>
      </x:c>
      <x:c r="CC22" s="117">
        <x:f>CC10-IFERROR((SUM($D$20:$DS$20)-'ОБЪЕКТЫ'!$B$96)*('Продажи'!CC14+'Продажи'!CC17+'Продажи'!CC20+'Продажи'!CC23)/(SUM('Продажи'!$D$14:$DS$14)+SUM('Продажи'!$D$17:$DS$17)+SUM('Продажи'!$D$20:$DS$20)+SUM('Продажи'!$D$23:$DS$23)),0)-IF('ОБЪЕКТЫ'!$B$8=1,IFERROR('ОБЪЕКТЫ'!$B$28*'ОБЪЕКТЫ'!CC22/'ОБЪЕКТЫ'!$B$22,0),0)-IF('ОБЪЕКТЫ'!$B$36=1,IFERROR('ОБЪЕКТЫ'!$B$56*'ОБЪЕКТЫ'!CC50/'ОБЪЕКТЫ'!$B$50,0),0)-IF('ОБЪЕКТЫ'!$B$64=1,IFERROR('ОБЪЕКТЫ'!$B$84*'ОБЪЕКТЫ'!CC78/'ОБЪЕКТЫ'!$B$78,0),0)-CC53-CC57-CC21</x:f>
      </x:c>
      <x:c r="CD22" s="117">
        <x:f>CD10-IFERROR((SUM($D$20:$DS$20)-'ОБЪЕКТЫ'!$B$96)*('Продажи'!CD14+'Продажи'!CD17+'Продажи'!CD20+'Продажи'!CD23)/(SUM('Продажи'!$D$14:$DS$14)+SUM('Продажи'!$D$17:$DS$17)+SUM('Продажи'!$D$20:$DS$20)+SUM('Продажи'!$D$23:$DS$23)),0)-IF('ОБЪЕКТЫ'!$B$8=1,IFERROR('ОБЪЕКТЫ'!$B$28*'ОБЪЕКТЫ'!CD22/'ОБЪЕКТЫ'!$B$22,0),0)-IF('ОБЪЕКТЫ'!$B$36=1,IFERROR('ОБЪЕКТЫ'!$B$56*'ОБЪЕКТЫ'!CD50/'ОБЪЕКТЫ'!$B$50,0),0)-IF('ОБЪЕКТЫ'!$B$64=1,IFERROR('ОБЪЕКТЫ'!$B$84*'ОБЪЕКТЫ'!CD78/'ОБЪЕКТЫ'!$B$78,0),0)-CD53-CD57-CD21</x:f>
      </x:c>
      <x:c r="CE22" s="117">
        <x:f>CE10-IFERROR((SUM($D$20:$DS$20)-'ОБЪЕКТЫ'!$B$96)*('Продажи'!CE14+'Продажи'!CE17+'Продажи'!CE20+'Продажи'!CE23)/(SUM('Продажи'!$D$14:$DS$14)+SUM('Продажи'!$D$17:$DS$17)+SUM('Продажи'!$D$20:$DS$20)+SUM('Продажи'!$D$23:$DS$23)),0)-IF('ОБЪЕКТЫ'!$B$8=1,IFERROR('ОБЪЕКТЫ'!$B$28*'ОБЪЕКТЫ'!CE22/'ОБЪЕКТЫ'!$B$22,0),0)-IF('ОБЪЕКТЫ'!$B$36=1,IFERROR('ОБЪЕКТЫ'!$B$56*'ОБЪЕКТЫ'!CE50/'ОБЪЕКТЫ'!$B$50,0),0)-IF('ОБЪЕКТЫ'!$B$64=1,IFERROR('ОБЪЕКТЫ'!$B$84*'ОБЪЕКТЫ'!CE78/'ОБЪЕКТЫ'!$B$78,0),0)-CE53-CE57-CE21</x:f>
      </x:c>
      <x:c r="CF22" s="117">
        <x:f>CF10-IFERROR((SUM($D$20:$DS$20)-'ОБЪЕКТЫ'!$B$96)*('Продажи'!CF14+'Продажи'!CF17+'Продажи'!CF20+'Продажи'!CF23)/(SUM('Продажи'!$D$14:$DS$14)+SUM('Продажи'!$D$17:$DS$17)+SUM('Продажи'!$D$20:$DS$20)+SUM('Продажи'!$D$23:$DS$23)),0)-IF('ОБЪЕКТЫ'!$B$8=1,IFERROR('ОБЪЕКТЫ'!$B$28*'ОБЪЕКТЫ'!CF22/'ОБЪЕКТЫ'!$B$22,0),0)-IF('ОБЪЕКТЫ'!$B$36=1,IFERROR('ОБЪЕКТЫ'!$B$56*'ОБЪЕКТЫ'!CF50/'ОБЪЕКТЫ'!$B$50,0),0)-IF('ОБЪЕКТЫ'!$B$64=1,IFERROR('ОБЪЕКТЫ'!$B$84*'ОБЪЕКТЫ'!CF78/'ОБЪЕКТЫ'!$B$78,0),0)-CF53-CF57-CF21</x:f>
      </x:c>
      <x:c r="CG22" s="117">
        <x:f>CG10-IFERROR((SUM($D$20:$DS$20)-'ОБЪЕКТЫ'!$B$96)*('Продажи'!CG14+'Продажи'!CG17+'Продажи'!CG20+'Продажи'!CG23)/(SUM('Продажи'!$D$14:$DS$14)+SUM('Продажи'!$D$17:$DS$17)+SUM('Продажи'!$D$20:$DS$20)+SUM('Продажи'!$D$23:$DS$23)),0)-IF('ОБЪЕКТЫ'!$B$8=1,IFERROR('ОБЪЕКТЫ'!$B$28*'ОБЪЕКТЫ'!CG22/'ОБЪЕКТЫ'!$B$22,0),0)-IF('ОБЪЕКТЫ'!$B$36=1,IFERROR('ОБЪЕКТЫ'!$B$56*'ОБЪЕКТЫ'!CG50/'ОБЪЕКТЫ'!$B$50,0),0)-IF('ОБЪЕКТЫ'!$B$64=1,IFERROR('ОБЪЕКТЫ'!$B$84*'ОБЪЕКТЫ'!CG78/'ОБЪЕКТЫ'!$B$78,0),0)-CG53-CG57-CG21</x:f>
      </x:c>
      <x:c r="CH22" s="117">
        <x:f>CH10-IFERROR((SUM($D$20:$DS$20)-'ОБЪЕКТЫ'!$B$96)*('Продажи'!CH14+'Продажи'!CH17+'Продажи'!CH20+'Продажи'!CH23)/(SUM('Продажи'!$D$14:$DS$14)+SUM('Продажи'!$D$17:$DS$17)+SUM('Продажи'!$D$20:$DS$20)+SUM('Продажи'!$D$23:$DS$23)),0)-IF('ОБЪЕКТЫ'!$B$8=1,IFERROR('ОБЪЕКТЫ'!$B$28*'ОБЪЕКТЫ'!CH22/'ОБЪЕКТЫ'!$B$22,0),0)-IF('ОБЪЕКТЫ'!$B$36=1,IFERROR('ОБЪЕКТЫ'!$B$56*'ОБЪЕКТЫ'!CH50/'ОБЪЕКТЫ'!$B$50,0),0)-IF('ОБЪЕКТЫ'!$B$64=1,IFERROR('ОБЪЕКТЫ'!$B$84*'ОБЪЕКТЫ'!CH78/'ОБЪЕКТЫ'!$B$78,0),0)-CH53-CH57-CH21</x:f>
      </x:c>
      <x:c r="CI22" s="117">
        <x:f>CI10-IFERROR((SUM($D$20:$DS$20)-'ОБЪЕКТЫ'!$B$96)*('Продажи'!CI14+'Продажи'!CI17+'Продажи'!CI20+'Продажи'!CI23)/(SUM('Продажи'!$D$14:$DS$14)+SUM('Продажи'!$D$17:$DS$17)+SUM('Продажи'!$D$20:$DS$20)+SUM('Продажи'!$D$23:$DS$23)),0)-IF('ОБЪЕКТЫ'!$B$8=1,IFERROR('ОБЪЕКТЫ'!$B$28*'ОБЪЕКТЫ'!CI22/'ОБЪЕКТЫ'!$B$22,0),0)-IF('ОБЪЕКТЫ'!$B$36=1,IFERROR('ОБЪЕКТЫ'!$B$56*'ОБЪЕКТЫ'!CI50/'ОБЪЕКТЫ'!$B$50,0),0)-IF('ОБЪЕКТЫ'!$B$64=1,IFERROR('ОБЪЕКТЫ'!$B$84*'ОБЪЕКТЫ'!CI78/'ОБЪЕКТЫ'!$B$78,0),0)-CI53-CI57-CI21</x:f>
      </x:c>
      <x:c r="CJ22" s="117">
        <x:f>CJ10-IFERROR((SUM($D$20:$DS$20)-'ОБЪЕКТЫ'!$B$96)*('Продажи'!CJ14+'Продажи'!CJ17+'Продажи'!CJ20+'Продажи'!CJ23)/(SUM('Продажи'!$D$14:$DS$14)+SUM('Продажи'!$D$17:$DS$17)+SUM('Продажи'!$D$20:$DS$20)+SUM('Продажи'!$D$23:$DS$23)),0)-IF('ОБЪЕКТЫ'!$B$8=1,IFERROR('ОБЪЕКТЫ'!$B$28*'ОБЪЕКТЫ'!CJ22/'ОБЪЕКТЫ'!$B$22,0),0)-IF('ОБЪЕКТЫ'!$B$36=1,IFERROR('ОБЪЕКТЫ'!$B$56*'ОБЪЕКТЫ'!CJ50/'ОБЪЕКТЫ'!$B$50,0),0)-IF('ОБЪЕКТЫ'!$B$64=1,IFERROR('ОБЪЕКТЫ'!$B$84*'ОБЪЕКТЫ'!CJ78/'ОБЪЕКТЫ'!$B$78,0),0)-CJ53-CJ57-CJ21</x:f>
      </x:c>
      <x:c r="CK22" s="117">
        <x:f>CK10-IFERROR((SUM($D$20:$DS$20)-'ОБЪЕКТЫ'!$B$96)*('Продажи'!CK14+'Продажи'!CK17+'Продажи'!CK20+'Продажи'!CK23)/(SUM('Продажи'!$D$14:$DS$14)+SUM('Продажи'!$D$17:$DS$17)+SUM('Продажи'!$D$20:$DS$20)+SUM('Продажи'!$D$23:$DS$23)),0)-IF('ОБЪЕКТЫ'!$B$8=1,IFERROR('ОБЪЕКТЫ'!$B$28*'ОБЪЕКТЫ'!CK22/'ОБЪЕКТЫ'!$B$22,0),0)-IF('ОБЪЕКТЫ'!$B$36=1,IFERROR('ОБЪЕКТЫ'!$B$56*'ОБЪЕКТЫ'!CK50/'ОБЪЕКТЫ'!$B$50,0),0)-IF('ОБЪЕКТЫ'!$B$64=1,IFERROR('ОБЪЕКТЫ'!$B$84*'ОБЪЕКТЫ'!CK78/'ОБЪЕКТЫ'!$B$78,0),0)-CK53-CK57-CK21</x:f>
      </x:c>
      <x:c r="CL22" s="117">
        <x:f>CL10-IFERROR((SUM($D$20:$DS$20)-'ОБЪЕКТЫ'!$B$96)*('Продажи'!CL14+'Продажи'!CL17+'Продажи'!CL20+'Продажи'!CL23)/(SUM('Продажи'!$D$14:$DS$14)+SUM('Продажи'!$D$17:$DS$17)+SUM('Продажи'!$D$20:$DS$20)+SUM('Продажи'!$D$23:$DS$23)),0)-IF('ОБЪЕКТЫ'!$B$8=1,IFERROR('ОБЪЕКТЫ'!$B$28*'ОБЪЕКТЫ'!CL22/'ОБЪЕКТЫ'!$B$22,0),0)-IF('ОБЪЕКТЫ'!$B$36=1,IFERROR('ОБЪЕКТЫ'!$B$56*'ОБЪЕКТЫ'!CL50/'ОБЪЕКТЫ'!$B$50,0),0)-IF('ОБЪЕКТЫ'!$B$64=1,IFERROR('ОБЪЕКТЫ'!$B$84*'ОБЪЕКТЫ'!CL78/'ОБЪЕКТЫ'!$B$78,0),0)-CL53-CL57-CL21</x:f>
      </x:c>
      <x:c r="CM22" s="117">
        <x:f>CM10-IFERROR((SUM($D$20:$DS$20)-'ОБЪЕКТЫ'!$B$96)*('Продажи'!CM14+'Продажи'!CM17+'Продажи'!CM20+'Продажи'!CM23)/(SUM('Продажи'!$D$14:$DS$14)+SUM('Продажи'!$D$17:$DS$17)+SUM('Продажи'!$D$20:$DS$20)+SUM('Продажи'!$D$23:$DS$23)),0)-IF('ОБЪЕКТЫ'!$B$8=1,IFERROR('ОБЪЕКТЫ'!$B$28*'ОБЪЕКТЫ'!CM22/'ОБЪЕКТЫ'!$B$22,0),0)-IF('ОБЪЕКТЫ'!$B$36=1,IFERROR('ОБЪЕКТЫ'!$B$56*'ОБЪЕКТЫ'!CM50/'ОБЪЕКТЫ'!$B$50,0),0)-IF('ОБЪЕКТЫ'!$B$64=1,IFERROR('ОБЪЕКТЫ'!$B$84*'ОБЪЕКТЫ'!CM78/'ОБЪЕКТЫ'!$B$78,0),0)-CM53-CM57-CM21</x:f>
      </x:c>
      <x:c r="CN22" s="117">
        <x:f>CN10-IFERROR((SUM($D$20:$DS$20)-'ОБЪЕКТЫ'!$B$96)*('Продажи'!CN14+'Продажи'!CN17+'Продажи'!CN20+'Продажи'!CN23)/(SUM('Продажи'!$D$14:$DS$14)+SUM('Продажи'!$D$17:$DS$17)+SUM('Продажи'!$D$20:$DS$20)+SUM('Продажи'!$D$23:$DS$23)),0)-IF('ОБЪЕКТЫ'!$B$8=1,IFERROR('ОБЪЕКТЫ'!$B$28*'ОБЪЕКТЫ'!CN22/'ОБЪЕКТЫ'!$B$22,0),0)-IF('ОБЪЕКТЫ'!$B$36=1,IFERROR('ОБЪЕКТЫ'!$B$56*'ОБЪЕКТЫ'!CN50/'ОБЪЕКТЫ'!$B$50,0),0)-IF('ОБЪЕКТЫ'!$B$64=1,IFERROR('ОБЪЕКТЫ'!$B$84*'ОБЪЕКТЫ'!CN78/'ОБЪЕКТЫ'!$B$78,0),0)-CN53-CN57-CN21</x:f>
      </x:c>
      <x:c r="CO22" s="117">
        <x:f>CO10-IFERROR((SUM($D$20:$DS$20)-'ОБЪЕКТЫ'!$B$96)*('Продажи'!CO14+'Продажи'!CO17+'Продажи'!CO20+'Продажи'!CO23)/(SUM('Продажи'!$D$14:$DS$14)+SUM('Продажи'!$D$17:$DS$17)+SUM('Продажи'!$D$20:$DS$20)+SUM('Продажи'!$D$23:$DS$23)),0)-IF('ОБЪЕКТЫ'!$B$8=1,IFERROR('ОБЪЕКТЫ'!$B$28*'ОБЪЕКТЫ'!CO22/'ОБЪЕКТЫ'!$B$22,0),0)-IF('ОБЪЕКТЫ'!$B$36=1,IFERROR('ОБЪЕКТЫ'!$B$56*'ОБЪЕКТЫ'!CO50/'ОБЪЕКТЫ'!$B$50,0),0)-IF('ОБЪЕКТЫ'!$B$64=1,IFERROR('ОБЪЕКТЫ'!$B$84*'ОБЪЕКТЫ'!CO78/'ОБЪЕКТЫ'!$B$78,0),0)-CO53-CO57-CO21</x:f>
      </x:c>
      <x:c r="CP22" s="117">
        <x:f>CP10-IFERROR((SUM($D$20:$DS$20)-'ОБЪЕКТЫ'!$B$96)*('Продажи'!CP14+'Продажи'!CP17+'Продажи'!CP20+'Продажи'!CP23)/(SUM('Продажи'!$D$14:$DS$14)+SUM('Продажи'!$D$17:$DS$17)+SUM('Продажи'!$D$20:$DS$20)+SUM('Продажи'!$D$23:$DS$23)),0)-IF('ОБЪЕКТЫ'!$B$8=1,IFERROR('ОБЪЕКТЫ'!$B$28*'ОБЪЕКТЫ'!CP22/'ОБЪЕКТЫ'!$B$22,0),0)-IF('ОБЪЕКТЫ'!$B$36=1,IFERROR('ОБЪЕКТЫ'!$B$56*'ОБЪЕКТЫ'!CP50/'ОБЪЕКТЫ'!$B$50,0),0)-IF('ОБЪЕКТЫ'!$B$64=1,IFERROR('ОБЪЕКТЫ'!$B$84*'ОБЪЕКТЫ'!CP78/'ОБЪЕКТЫ'!$B$78,0),0)-CP53-CP57-CP21</x:f>
      </x:c>
      <x:c r="CQ22" s="117">
        <x:f>CQ10-IFERROR((SUM($D$20:$DS$20)-'ОБЪЕКТЫ'!$B$96)*('Продажи'!CQ14+'Продажи'!CQ17+'Продажи'!CQ20+'Продажи'!CQ23)/(SUM('Продажи'!$D$14:$DS$14)+SUM('Продажи'!$D$17:$DS$17)+SUM('Продажи'!$D$20:$DS$20)+SUM('Продажи'!$D$23:$DS$23)),0)-IF('ОБЪЕКТЫ'!$B$8=1,IFERROR('ОБЪЕКТЫ'!$B$28*'ОБЪЕКТЫ'!CQ22/'ОБЪЕКТЫ'!$B$22,0),0)-IF('ОБЪЕКТЫ'!$B$36=1,IFERROR('ОБЪЕКТЫ'!$B$56*'ОБЪЕКТЫ'!CQ50/'ОБЪЕКТЫ'!$B$50,0),0)-IF('ОБЪЕКТЫ'!$B$64=1,IFERROR('ОБЪЕКТЫ'!$B$84*'ОБЪЕКТЫ'!CQ78/'ОБЪЕКТЫ'!$B$78,0),0)-CQ53-CQ57-CQ21</x:f>
      </x:c>
      <x:c r="CR22" s="117">
        <x:f>CR10-IFERROR((SUM($D$20:$DS$20)-'ОБЪЕКТЫ'!$B$96)*('Продажи'!CR14+'Продажи'!CR17+'Продажи'!CR20+'Продажи'!CR23)/(SUM('Продажи'!$D$14:$DS$14)+SUM('Продажи'!$D$17:$DS$17)+SUM('Продажи'!$D$20:$DS$20)+SUM('Продажи'!$D$23:$DS$23)),0)-IF('ОБЪЕКТЫ'!$B$8=1,IFERROR('ОБЪЕКТЫ'!$B$28*'ОБЪЕКТЫ'!CR22/'ОБЪЕКТЫ'!$B$22,0),0)-IF('ОБЪЕКТЫ'!$B$36=1,IFERROR('ОБЪЕКТЫ'!$B$56*'ОБЪЕКТЫ'!CR50/'ОБЪЕКТЫ'!$B$50,0),0)-IF('ОБЪЕКТЫ'!$B$64=1,IFERROR('ОБЪЕКТЫ'!$B$84*'ОБЪЕКТЫ'!CR78/'ОБЪЕКТЫ'!$B$78,0),0)-CR53-CR57-CR21</x:f>
      </x:c>
      <x:c r="CS22" s="117">
        <x:f>CS10-IFERROR((SUM($D$20:$DS$20)-'ОБЪЕКТЫ'!$B$96)*('Продажи'!CS14+'Продажи'!CS17+'Продажи'!CS20+'Продажи'!CS23)/(SUM('Продажи'!$D$14:$DS$14)+SUM('Продажи'!$D$17:$DS$17)+SUM('Продажи'!$D$20:$DS$20)+SUM('Продажи'!$D$23:$DS$23)),0)-IF('ОБЪЕКТЫ'!$B$8=1,IFERROR('ОБЪЕКТЫ'!$B$28*'ОБЪЕКТЫ'!CS22/'ОБЪЕКТЫ'!$B$22,0),0)-IF('ОБЪЕКТЫ'!$B$36=1,IFERROR('ОБЪЕКТЫ'!$B$56*'ОБЪЕКТЫ'!CS50/'ОБЪЕКТЫ'!$B$50,0),0)-IF('ОБЪЕКТЫ'!$B$64=1,IFERROR('ОБЪЕКТЫ'!$B$84*'ОБЪЕКТЫ'!CS78/'ОБЪЕКТЫ'!$B$78,0),0)-CS53-CS57-CS21</x:f>
      </x:c>
      <x:c r="CT22" s="117">
        <x:f>CT10-IFERROR((SUM($D$20:$DS$20)-'ОБЪЕКТЫ'!$B$96)*('Продажи'!CT14+'Продажи'!CT17+'Продажи'!CT20+'Продажи'!CT23)/(SUM('Продажи'!$D$14:$DS$14)+SUM('Продажи'!$D$17:$DS$17)+SUM('Продажи'!$D$20:$DS$20)+SUM('Продажи'!$D$23:$DS$23)),0)-IF('ОБЪЕКТЫ'!$B$8=1,IFERROR('ОБЪЕКТЫ'!$B$28*'ОБЪЕКТЫ'!CT22/'ОБЪЕКТЫ'!$B$22,0),0)-IF('ОБЪЕКТЫ'!$B$36=1,IFERROR('ОБЪЕКТЫ'!$B$56*'ОБЪЕКТЫ'!CT50/'ОБЪЕКТЫ'!$B$50,0),0)-IF('ОБЪЕКТЫ'!$B$64=1,IFERROR('ОБЪЕКТЫ'!$B$84*'ОБЪЕКТЫ'!CT78/'ОБЪЕКТЫ'!$B$78,0),0)-CT53-CT57-CT21</x:f>
      </x:c>
      <x:c r="CU22" s="117">
        <x:f>CU10-IFERROR((SUM($D$20:$DS$20)-'ОБЪЕКТЫ'!$B$96)*('Продажи'!CU14+'Продажи'!CU17+'Продажи'!CU20+'Продажи'!CU23)/(SUM('Продажи'!$D$14:$DS$14)+SUM('Продажи'!$D$17:$DS$17)+SUM('Продажи'!$D$20:$DS$20)+SUM('Продажи'!$D$23:$DS$23)),0)-IF('ОБЪЕКТЫ'!$B$8=1,IFERROR('ОБЪЕКТЫ'!$B$28*'ОБЪЕКТЫ'!CU22/'ОБЪЕКТЫ'!$B$22,0),0)-IF('ОБЪЕКТЫ'!$B$36=1,IFERROR('ОБЪЕКТЫ'!$B$56*'ОБЪЕКТЫ'!CU50/'ОБЪЕКТЫ'!$B$50,0),0)-IF('ОБЪЕКТЫ'!$B$64=1,IFERROR('ОБЪЕКТЫ'!$B$84*'ОБЪЕКТЫ'!CU78/'ОБЪЕКТЫ'!$B$78,0),0)-CU53-CU57-CU21</x:f>
      </x:c>
      <x:c r="CV22" s="117">
        <x:f>CV10-IFERROR((SUM($D$20:$DS$20)-'ОБЪЕКТЫ'!$B$96)*('Продажи'!CV14+'Продажи'!CV17+'Продажи'!CV20+'Продажи'!CV23)/(SUM('Продажи'!$D$14:$DS$14)+SUM('Продажи'!$D$17:$DS$17)+SUM('Продажи'!$D$20:$DS$20)+SUM('Продажи'!$D$23:$DS$23)),0)-IF('ОБЪЕКТЫ'!$B$8=1,IFERROR('ОБЪЕКТЫ'!$B$28*'ОБЪЕКТЫ'!CV22/'ОБЪЕКТЫ'!$B$22,0),0)-IF('ОБЪЕКТЫ'!$B$36=1,IFERROR('ОБЪЕКТЫ'!$B$56*'ОБЪЕКТЫ'!CV50/'ОБЪЕКТЫ'!$B$50,0),0)-IF('ОБЪЕКТЫ'!$B$64=1,IFERROR('ОБЪЕКТЫ'!$B$84*'ОБЪЕКТЫ'!CV78/'ОБЪЕКТЫ'!$B$78,0),0)-CV53-CV57-CV21</x:f>
      </x:c>
      <x:c r="CW22" s="117">
        <x:f>CW10-IFERROR((SUM($D$20:$DS$20)-'ОБЪЕКТЫ'!$B$96)*('Продажи'!CW14+'Продажи'!CW17+'Продажи'!CW20+'Продажи'!CW23)/(SUM('Продажи'!$D$14:$DS$14)+SUM('Продажи'!$D$17:$DS$17)+SUM('Продажи'!$D$20:$DS$20)+SUM('Продажи'!$D$23:$DS$23)),0)-IF('ОБЪЕКТЫ'!$B$8=1,IFERROR('ОБЪЕКТЫ'!$B$28*'ОБЪЕКТЫ'!CW22/'ОБЪЕКТЫ'!$B$22,0),0)-IF('ОБЪЕКТЫ'!$B$36=1,IFERROR('ОБЪЕКТЫ'!$B$56*'ОБЪЕКТЫ'!CW50/'ОБЪЕКТЫ'!$B$50,0),0)-IF('ОБЪЕКТЫ'!$B$64=1,IFERROR('ОБЪЕКТЫ'!$B$84*'ОБЪЕКТЫ'!CW78/'ОБЪЕКТЫ'!$B$78,0),0)-CW53-CW57-CW21</x:f>
      </x:c>
      <x:c r="CX22" s="117">
        <x:f>CX10-IFERROR((SUM($D$20:$DS$20)-'ОБЪЕКТЫ'!$B$96)*('Продажи'!CX14+'Продажи'!CX17+'Продажи'!CX20+'Продажи'!CX23)/(SUM('Продажи'!$D$14:$DS$14)+SUM('Продажи'!$D$17:$DS$17)+SUM('Продажи'!$D$20:$DS$20)+SUM('Продажи'!$D$23:$DS$23)),0)-IF('ОБЪЕКТЫ'!$B$8=1,IFERROR('ОБЪЕКТЫ'!$B$28*'ОБЪЕКТЫ'!CX22/'ОБЪЕКТЫ'!$B$22,0),0)-IF('ОБЪЕКТЫ'!$B$36=1,IFERROR('ОБЪЕКТЫ'!$B$56*'ОБЪЕКТЫ'!CX50/'ОБЪЕКТЫ'!$B$50,0),0)-IF('ОБЪЕКТЫ'!$B$64=1,IFERROR('ОБЪЕКТЫ'!$B$84*'ОБЪЕКТЫ'!CX78/'ОБЪЕКТЫ'!$B$78,0),0)-CX53-CX57-CX21</x:f>
      </x:c>
      <x:c r="CY22" s="117">
        <x:f>CY10-IFERROR((SUM($D$20:$DS$20)-'ОБЪЕКТЫ'!$B$96)*('Продажи'!CY14+'Продажи'!CY17+'Продажи'!CY20+'Продажи'!CY23)/(SUM('Продажи'!$D$14:$DS$14)+SUM('Продажи'!$D$17:$DS$17)+SUM('Продажи'!$D$20:$DS$20)+SUM('Продажи'!$D$23:$DS$23)),0)-IF('ОБЪЕКТЫ'!$B$8=1,IFERROR('ОБЪЕКТЫ'!$B$28*'ОБЪЕКТЫ'!CY22/'ОБЪЕКТЫ'!$B$22,0),0)-IF('ОБЪЕКТЫ'!$B$36=1,IFERROR('ОБЪЕКТЫ'!$B$56*'ОБЪЕКТЫ'!CY50/'ОБЪЕКТЫ'!$B$50,0),0)-IF('ОБЪЕКТЫ'!$B$64=1,IFERROR('ОБЪЕКТЫ'!$B$84*'ОБЪЕКТЫ'!CY78/'ОБЪЕКТЫ'!$B$78,0),0)-CY53-CY57-CY21</x:f>
      </x:c>
      <x:c r="CZ22" s="117">
        <x:f>CZ10-IFERROR((SUM($D$20:$DS$20)-'ОБЪЕКТЫ'!$B$96)*('Продажи'!CZ14+'Продажи'!CZ17+'Продажи'!CZ20+'Продажи'!CZ23)/(SUM('Продажи'!$D$14:$DS$14)+SUM('Продажи'!$D$17:$DS$17)+SUM('Продажи'!$D$20:$DS$20)+SUM('Продажи'!$D$23:$DS$23)),0)-IF('ОБЪЕКТЫ'!$B$8=1,IFERROR('ОБЪЕКТЫ'!$B$28*'ОБЪЕКТЫ'!CZ22/'ОБЪЕКТЫ'!$B$22,0),0)-IF('ОБЪЕКТЫ'!$B$36=1,IFERROR('ОБЪЕКТЫ'!$B$56*'ОБЪЕКТЫ'!CZ50/'ОБЪЕКТЫ'!$B$50,0),0)-IF('ОБЪЕКТЫ'!$B$64=1,IFERROR('ОБЪЕКТЫ'!$B$84*'ОБЪЕКТЫ'!CZ78/'ОБЪЕКТЫ'!$B$78,0),0)-CZ53-CZ57-CZ21</x:f>
      </x:c>
      <x:c r="DA22" s="117">
        <x:f>DA10-IFERROR((SUM($D$20:$DS$20)-'ОБЪЕКТЫ'!$B$96)*('Продажи'!DA14+'Продажи'!DA17+'Продажи'!DA20+'Продажи'!DA23)/(SUM('Продажи'!$D$14:$DS$14)+SUM('Продажи'!$D$17:$DS$17)+SUM('Продажи'!$D$20:$DS$20)+SUM('Продажи'!$D$23:$DS$23)),0)-IF('ОБЪЕКТЫ'!$B$8=1,IFERROR('ОБЪЕКТЫ'!$B$28*'ОБЪЕКТЫ'!DA22/'ОБЪЕКТЫ'!$B$22,0),0)-IF('ОБЪЕКТЫ'!$B$36=1,IFERROR('ОБЪЕКТЫ'!$B$56*'ОБЪЕКТЫ'!DA50/'ОБЪЕКТЫ'!$B$50,0),0)-IF('ОБЪЕКТЫ'!$B$64=1,IFERROR('ОБЪЕКТЫ'!$B$84*'ОБЪЕКТЫ'!DA78/'ОБЪЕКТЫ'!$B$78,0),0)-DA53-DA57-DA21</x:f>
      </x:c>
      <x:c r="DB22" s="117">
        <x:f>DB10-IFERROR((SUM($D$20:$DS$20)-'ОБЪЕКТЫ'!$B$96)*('Продажи'!DB14+'Продажи'!DB17+'Продажи'!DB20+'Продажи'!DB23)/(SUM('Продажи'!$D$14:$DS$14)+SUM('Продажи'!$D$17:$DS$17)+SUM('Продажи'!$D$20:$DS$20)+SUM('Продажи'!$D$23:$DS$23)),0)-IF('ОБЪЕКТЫ'!$B$8=1,IFERROR('ОБЪЕКТЫ'!$B$28*'ОБЪЕКТЫ'!DB22/'ОБЪЕКТЫ'!$B$22,0),0)-IF('ОБЪЕКТЫ'!$B$36=1,IFERROR('ОБЪЕКТЫ'!$B$56*'ОБЪЕКТЫ'!DB50/'ОБЪЕКТЫ'!$B$50,0),0)-IF('ОБЪЕКТЫ'!$B$64=1,IFERROR('ОБЪЕКТЫ'!$B$84*'ОБЪЕКТЫ'!DB78/'ОБЪЕКТЫ'!$B$78,0),0)-DB53-DB57-DB21</x:f>
      </x:c>
      <x:c r="DC22" s="117">
        <x:f>DC10-IFERROR((SUM($D$20:$DS$20)-'ОБЪЕКТЫ'!$B$96)*('Продажи'!DC14+'Продажи'!DC17+'Продажи'!DC20+'Продажи'!DC23)/(SUM('Продажи'!$D$14:$DS$14)+SUM('Продажи'!$D$17:$DS$17)+SUM('Продажи'!$D$20:$DS$20)+SUM('Продажи'!$D$23:$DS$23)),0)-IF('ОБЪЕКТЫ'!$B$8=1,IFERROR('ОБЪЕКТЫ'!$B$28*'ОБЪЕКТЫ'!DC22/'ОБЪЕКТЫ'!$B$22,0),0)-IF('ОБЪЕКТЫ'!$B$36=1,IFERROR('ОБЪЕКТЫ'!$B$56*'ОБЪЕКТЫ'!DC50/'ОБЪЕКТЫ'!$B$50,0),0)-IF('ОБЪЕКТЫ'!$B$64=1,IFERROR('ОБЪЕКТЫ'!$B$84*'ОБЪЕКТЫ'!DC78/'ОБЪЕКТЫ'!$B$78,0),0)-DC53-DC57-DC21</x:f>
      </x:c>
      <x:c r="DD22" s="117">
        <x:f>DD10-IFERROR((SUM($D$20:$DS$20)-'ОБЪЕКТЫ'!$B$96)*('Продажи'!DD14+'Продажи'!DD17+'Продажи'!DD20+'Продажи'!DD23)/(SUM('Продажи'!$D$14:$DS$14)+SUM('Продажи'!$D$17:$DS$17)+SUM('Продажи'!$D$20:$DS$20)+SUM('Продажи'!$D$23:$DS$23)),0)-IF('ОБЪЕКТЫ'!$B$8=1,IFERROR('ОБЪЕКТЫ'!$B$28*'ОБЪЕКТЫ'!DD22/'ОБЪЕКТЫ'!$B$22,0),0)-IF('ОБЪЕКТЫ'!$B$36=1,IFERROR('ОБЪЕКТЫ'!$B$56*'ОБЪЕКТЫ'!DD50/'ОБЪЕКТЫ'!$B$50,0),0)-IF('ОБЪЕКТЫ'!$B$64=1,IFERROR('ОБЪЕКТЫ'!$B$84*'ОБЪЕКТЫ'!DD78/'ОБЪЕКТЫ'!$B$78,0),0)-DD53-DD57-DD21</x:f>
      </x:c>
      <x:c r="DE22" s="117">
        <x:f>DE10-IFERROR((SUM($D$20:$DS$20)-'ОБЪЕКТЫ'!$B$96)*('Продажи'!DE14+'Продажи'!DE17+'Продажи'!DE20+'Продажи'!DE23)/(SUM('Продажи'!$D$14:$DS$14)+SUM('Продажи'!$D$17:$DS$17)+SUM('Продажи'!$D$20:$DS$20)+SUM('Продажи'!$D$23:$DS$23)),0)-IF('ОБЪЕКТЫ'!$B$8=1,IFERROR('ОБЪЕКТЫ'!$B$28*'ОБЪЕКТЫ'!DE22/'ОБЪЕКТЫ'!$B$22,0),0)-IF('ОБЪЕКТЫ'!$B$36=1,IFERROR('ОБЪЕКТЫ'!$B$56*'ОБЪЕКТЫ'!DE50/'ОБЪЕКТЫ'!$B$50,0),0)-IF('ОБЪЕКТЫ'!$B$64=1,IFERROR('ОБЪЕКТЫ'!$B$84*'ОБЪЕКТЫ'!DE78/'ОБЪЕКТЫ'!$B$78,0),0)-DE53-DE57-DE21</x:f>
      </x:c>
      <x:c r="DF22" s="117">
        <x:f>DF10-IFERROR((SUM($D$20:$DS$20)-'ОБЪЕКТЫ'!$B$96)*('Продажи'!DF14+'Продажи'!DF17+'Продажи'!DF20+'Продажи'!DF23)/(SUM('Продажи'!$D$14:$DS$14)+SUM('Продажи'!$D$17:$DS$17)+SUM('Продажи'!$D$20:$DS$20)+SUM('Продажи'!$D$23:$DS$23)),0)-IF('ОБЪЕКТЫ'!$B$8=1,IFERROR('ОБЪЕКТЫ'!$B$28*'ОБЪЕКТЫ'!DF22/'ОБЪЕКТЫ'!$B$22,0),0)-IF('ОБЪЕКТЫ'!$B$36=1,IFERROR('ОБЪЕКТЫ'!$B$56*'ОБЪЕКТЫ'!DF50/'ОБЪЕКТЫ'!$B$50,0),0)-IF('ОБЪЕКТЫ'!$B$64=1,IFERROR('ОБЪЕКТЫ'!$B$84*'ОБЪЕКТЫ'!DF78/'ОБЪЕКТЫ'!$B$78,0),0)-DF53-DF57-DF21</x:f>
      </x:c>
      <x:c r="DG22" s="117">
        <x:f>DG10-IFERROR((SUM($D$20:$DS$20)-'ОБЪЕКТЫ'!$B$96)*('Продажи'!DG14+'Продажи'!DG17+'Продажи'!DG20+'Продажи'!DG23)/(SUM('Продажи'!$D$14:$DS$14)+SUM('Продажи'!$D$17:$DS$17)+SUM('Продажи'!$D$20:$DS$20)+SUM('Продажи'!$D$23:$DS$23)),0)-IF('ОБЪЕКТЫ'!$B$8=1,IFERROR('ОБЪЕКТЫ'!$B$28*'ОБЪЕКТЫ'!DG22/'ОБЪЕКТЫ'!$B$22,0),0)-IF('ОБЪЕКТЫ'!$B$36=1,IFERROR('ОБЪЕКТЫ'!$B$56*'ОБЪЕКТЫ'!DG50/'ОБЪЕКТЫ'!$B$50,0),0)-IF('ОБЪЕКТЫ'!$B$64=1,IFERROR('ОБЪЕКТЫ'!$B$84*'ОБЪЕКТЫ'!DG78/'ОБЪЕКТЫ'!$B$78,0),0)-DG53-DG57-DG21</x:f>
      </x:c>
      <x:c r="DH22" s="117">
        <x:f>DH10-IFERROR((SUM($D$20:$DS$20)-'ОБЪЕКТЫ'!$B$96)*('Продажи'!DH14+'Продажи'!DH17+'Продажи'!DH20+'Продажи'!DH23)/(SUM('Продажи'!$D$14:$DS$14)+SUM('Продажи'!$D$17:$DS$17)+SUM('Продажи'!$D$20:$DS$20)+SUM('Продажи'!$D$23:$DS$23)),0)-IF('ОБЪЕКТЫ'!$B$8=1,IFERROR('ОБЪЕКТЫ'!$B$28*'ОБЪЕКТЫ'!DH22/'ОБЪЕКТЫ'!$B$22,0),0)-IF('ОБЪЕКТЫ'!$B$36=1,IFERROR('ОБЪЕКТЫ'!$B$56*'ОБЪЕКТЫ'!DH50/'ОБЪЕКТЫ'!$B$50,0),0)-IF('ОБЪЕКТЫ'!$B$64=1,IFERROR('ОБЪЕКТЫ'!$B$84*'ОБЪЕКТЫ'!DH78/'ОБЪЕКТЫ'!$B$78,0),0)-DH53-DH57-DH21</x:f>
      </x:c>
      <x:c r="DI22" s="117">
        <x:f>DI10-IFERROR((SUM($D$20:$DS$20)-'ОБЪЕКТЫ'!$B$96)*('Продажи'!DI14+'Продажи'!DI17+'Продажи'!DI20+'Продажи'!DI23)/(SUM('Продажи'!$D$14:$DS$14)+SUM('Продажи'!$D$17:$DS$17)+SUM('Продажи'!$D$20:$DS$20)+SUM('Продажи'!$D$23:$DS$23)),0)-IF('ОБЪЕКТЫ'!$B$8=1,IFERROR('ОБЪЕКТЫ'!$B$28*'ОБЪЕКТЫ'!DI22/'ОБЪЕКТЫ'!$B$22,0),0)-IF('ОБЪЕКТЫ'!$B$36=1,IFERROR('ОБЪЕКТЫ'!$B$56*'ОБЪЕКТЫ'!DI50/'ОБЪЕКТЫ'!$B$50,0),0)-IF('ОБЪЕКТЫ'!$B$64=1,IFERROR('ОБЪЕКТЫ'!$B$84*'ОБЪЕКТЫ'!DI78/'ОБЪЕКТЫ'!$B$78,0),0)-DI53-DI57-DI21</x:f>
      </x:c>
      <x:c r="DJ22" s="117">
        <x:f>DJ10-IFERROR((SUM($D$20:$DS$20)-'ОБЪЕКТЫ'!$B$96)*('Продажи'!DJ14+'Продажи'!DJ17+'Продажи'!DJ20+'Продажи'!DJ23)/(SUM('Продажи'!$D$14:$DS$14)+SUM('Продажи'!$D$17:$DS$17)+SUM('Продажи'!$D$20:$DS$20)+SUM('Продажи'!$D$23:$DS$23)),0)-IF('ОБЪЕКТЫ'!$B$8=1,IFERROR('ОБЪЕКТЫ'!$B$28*'ОБЪЕКТЫ'!DJ22/'ОБЪЕКТЫ'!$B$22,0),0)-IF('ОБЪЕКТЫ'!$B$36=1,IFERROR('ОБЪЕКТЫ'!$B$56*'ОБЪЕКТЫ'!DJ50/'ОБЪЕКТЫ'!$B$50,0),0)-IF('ОБЪЕКТЫ'!$B$64=1,IFERROR('ОБЪЕКТЫ'!$B$84*'ОБЪЕКТЫ'!DJ78/'ОБЪЕКТЫ'!$B$78,0),0)-DJ53-DJ57-DJ21</x:f>
      </x:c>
      <x:c r="DK22" s="117">
        <x:f>DK10-IFERROR((SUM($D$20:$DS$20)-'ОБЪЕКТЫ'!$B$96)*('Продажи'!DK14+'Продажи'!DK17+'Продажи'!DK20+'Продажи'!DK23)/(SUM('Продажи'!$D$14:$DS$14)+SUM('Продажи'!$D$17:$DS$17)+SUM('Продажи'!$D$20:$DS$20)+SUM('Продажи'!$D$23:$DS$23)),0)-IF('ОБЪЕКТЫ'!$B$8=1,IFERROR('ОБЪЕКТЫ'!$B$28*'ОБЪЕКТЫ'!DK22/'ОБЪЕКТЫ'!$B$22,0),0)-IF('ОБЪЕКТЫ'!$B$36=1,IFERROR('ОБЪЕКТЫ'!$B$56*'ОБЪЕКТЫ'!DK50/'ОБЪЕКТЫ'!$B$50,0),0)-IF('ОБЪЕКТЫ'!$B$64=1,IFERROR('ОБЪЕКТЫ'!$B$84*'ОБЪЕКТЫ'!DK78/'ОБЪЕКТЫ'!$B$78,0),0)-DK53-DK57-DK21</x:f>
      </x:c>
      <x:c r="DL22" s="117">
        <x:f>DL10-IFERROR((SUM($D$20:$DS$20)-'ОБЪЕКТЫ'!$B$96)*('Продажи'!DL14+'Продажи'!DL17+'Продажи'!DL20+'Продажи'!DL23)/(SUM('Продажи'!$D$14:$DS$14)+SUM('Продажи'!$D$17:$DS$17)+SUM('Продажи'!$D$20:$DS$20)+SUM('Продажи'!$D$23:$DS$23)),0)-IF('ОБЪЕКТЫ'!$B$8=1,IFERROR('ОБЪЕКТЫ'!$B$28*'ОБЪЕКТЫ'!DL22/'ОБЪЕКТЫ'!$B$22,0),0)-IF('ОБЪЕКТЫ'!$B$36=1,IFERROR('ОБЪЕКТЫ'!$B$56*'ОБЪЕКТЫ'!DL50/'ОБЪЕКТЫ'!$B$50,0),0)-IF('ОБЪЕКТЫ'!$B$64=1,IFERROR('ОБЪЕКТЫ'!$B$84*'ОБЪЕКТЫ'!DL78/'ОБЪЕКТЫ'!$B$78,0),0)-DL53-DL57-DL21</x:f>
      </x:c>
      <x:c r="DM22" s="117">
        <x:f>DM10-IFERROR((SUM($D$20:$DS$20)-'ОБЪЕКТЫ'!$B$96)*('Продажи'!DM14+'Продажи'!DM17+'Продажи'!DM20+'Продажи'!DM23)/(SUM('Продажи'!$D$14:$DS$14)+SUM('Продажи'!$D$17:$DS$17)+SUM('Продажи'!$D$20:$DS$20)+SUM('Продажи'!$D$23:$DS$23)),0)-IF('ОБЪЕКТЫ'!$B$8=1,IFERROR('ОБЪЕКТЫ'!$B$28*'ОБЪЕКТЫ'!DM22/'ОБЪЕКТЫ'!$B$22,0),0)-IF('ОБЪЕКТЫ'!$B$36=1,IFERROR('ОБЪЕКТЫ'!$B$56*'ОБЪЕКТЫ'!DM50/'ОБЪЕКТЫ'!$B$50,0),0)-IF('ОБЪЕКТЫ'!$B$64=1,IFERROR('ОБЪЕКТЫ'!$B$84*'ОБЪЕКТЫ'!DM78/'ОБЪЕКТЫ'!$B$78,0),0)-DM53-DM57-DM21</x:f>
      </x:c>
      <x:c r="DN22" s="117">
        <x:f>DN10-IFERROR((SUM($D$20:$DS$20)-'ОБЪЕКТЫ'!$B$96)*('Продажи'!DN14+'Продажи'!DN17+'Продажи'!DN20+'Продажи'!DN23)/(SUM('Продажи'!$D$14:$DS$14)+SUM('Продажи'!$D$17:$DS$17)+SUM('Продажи'!$D$20:$DS$20)+SUM('Продажи'!$D$23:$DS$23)),0)-IF('ОБЪЕКТЫ'!$B$8=1,IFERROR('ОБЪЕКТЫ'!$B$28*'ОБЪЕКТЫ'!DN22/'ОБЪЕКТЫ'!$B$22,0),0)-IF('ОБЪЕКТЫ'!$B$36=1,IFERROR('ОБЪЕКТЫ'!$B$56*'ОБЪЕКТЫ'!DN50/'ОБЪЕКТЫ'!$B$50,0),0)-IF('ОБЪЕКТЫ'!$B$64=1,IFERROR('ОБЪЕКТЫ'!$B$84*'ОБЪЕКТЫ'!DN78/'ОБЪЕКТЫ'!$B$78,0),0)-DN53-DN57-DN21</x:f>
      </x:c>
      <x:c r="DO22" s="117">
        <x:f>DO10-IFERROR((SUM($D$20:$DS$20)-'ОБЪЕКТЫ'!$B$96)*('Продажи'!DO14+'Продажи'!DO17+'Продажи'!DO20+'Продажи'!DO23)/(SUM('Продажи'!$D$14:$DS$14)+SUM('Продажи'!$D$17:$DS$17)+SUM('Продажи'!$D$20:$DS$20)+SUM('Продажи'!$D$23:$DS$23)),0)-IF('ОБЪЕКТЫ'!$B$8=1,IFERROR('ОБЪЕКТЫ'!$B$28*'ОБЪЕКТЫ'!DO22/'ОБЪЕКТЫ'!$B$22,0),0)-IF('ОБЪЕКТЫ'!$B$36=1,IFERROR('ОБЪЕКТЫ'!$B$56*'ОБЪЕКТЫ'!DO50/'ОБЪЕКТЫ'!$B$50,0),0)-IF('ОБЪЕКТЫ'!$B$64=1,IFERROR('ОБЪЕКТЫ'!$B$84*'ОБЪЕКТЫ'!DO78/'ОБЪЕКТЫ'!$B$78,0),0)-DO53-DO57-DO21</x:f>
      </x:c>
      <x:c r="DP22" s="117">
        <x:f>DP10-IFERROR((SUM($D$20:$DS$20)-'ОБЪЕКТЫ'!$B$96)*('Продажи'!DP14+'Продажи'!DP17+'Продажи'!DP20+'Продажи'!DP23)/(SUM('Продажи'!$D$14:$DS$14)+SUM('Продажи'!$D$17:$DS$17)+SUM('Продажи'!$D$20:$DS$20)+SUM('Продажи'!$D$23:$DS$23)),0)-IF('ОБЪЕКТЫ'!$B$8=1,IFERROR('ОБЪЕКТЫ'!$B$28*'ОБЪЕКТЫ'!DP22/'ОБЪЕКТЫ'!$B$22,0),0)-IF('ОБЪЕКТЫ'!$B$36=1,IFERROR('ОБЪЕКТЫ'!$B$56*'ОБЪЕКТЫ'!DP50/'ОБЪЕКТЫ'!$B$50,0),0)-IF('ОБЪЕКТЫ'!$B$64=1,IFERROR('ОБЪЕКТЫ'!$B$84*'ОБЪЕКТЫ'!DP78/'ОБЪЕКТЫ'!$B$78,0),0)-DP53-DP57-DP21</x:f>
      </x:c>
      <x:c r="DQ22" s="117">
        <x:f>DQ10-IFERROR((SUM($D$20:$DS$20)-'ОБЪЕКТЫ'!$B$96)*('Продажи'!DQ14+'Продажи'!DQ17+'Продажи'!DQ20+'Продажи'!DQ23)/(SUM('Продажи'!$D$14:$DS$14)+SUM('Продажи'!$D$17:$DS$17)+SUM('Продажи'!$D$20:$DS$20)+SUM('Продажи'!$D$23:$DS$23)),0)-IF('ОБЪЕКТЫ'!$B$8=1,IFERROR('ОБЪЕКТЫ'!$B$28*'ОБЪЕКТЫ'!DQ22/'ОБЪЕКТЫ'!$B$22,0),0)-IF('ОБЪЕКТЫ'!$B$36=1,IFERROR('ОБЪЕКТЫ'!$B$56*'ОБЪЕКТЫ'!DQ50/'ОБЪЕКТЫ'!$B$50,0),0)-IF('ОБЪЕКТЫ'!$B$64=1,IFERROR('ОБЪЕКТЫ'!$B$84*'ОБЪЕКТЫ'!DQ78/'ОБЪЕКТЫ'!$B$78,0),0)-DQ53-DQ57-DQ21</x:f>
      </x:c>
      <x:c r="DR22" s="117">
        <x:f>DR10-IFERROR((SUM($D$20:$DS$20)-'ОБЪЕКТЫ'!$B$96)*('Продажи'!DR14+'Продажи'!DR17+'Продажи'!DR20+'Продажи'!DR23)/(SUM('Продажи'!$D$14:$DS$14)+SUM('Продажи'!$D$17:$DS$17)+SUM('Продажи'!$D$20:$DS$20)+SUM('Продажи'!$D$23:$DS$23)),0)-IF('ОБЪЕКТЫ'!$B$8=1,IFERROR('ОБЪЕКТЫ'!$B$28*'ОБЪЕКТЫ'!DR22/'ОБЪЕКТЫ'!$B$22,0),0)-IF('ОБЪЕКТЫ'!$B$36=1,IFERROR('ОБЪЕКТЫ'!$B$56*'ОБЪЕКТЫ'!DR50/'ОБЪЕКТЫ'!$B$50,0),0)-IF('ОБЪЕКТЫ'!$B$64=1,IFERROR('ОБЪЕКТЫ'!$B$84*'ОБЪЕКТЫ'!DR78/'ОБЪЕКТЫ'!$B$78,0),0)-DR53-DR57-DR21</x:f>
      </x:c>
      <x:c r="DS22" s="117">
        <x:f>DS10-IFERROR((SUM($D$20:$DS$20)-'ОБЪЕКТЫ'!$B$96)*('Продажи'!DS14+'Продажи'!DS17+'Продажи'!DS20+'Продажи'!DS23)/(SUM('Продажи'!$D$14:$DS$14)+SUM('Продажи'!$D$17:$DS$17)+SUM('Продажи'!$D$20:$DS$20)+SUM('Продажи'!$D$23:$DS$23)),0)-IF('ОБЪЕКТЫ'!$B$8=1,IFERROR('ОБЪЕКТЫ'!$B$28*'ОБЪЕКТЫ'!DS22/'ОБЪЕКТЫ'!$B$22,0),0)-IF('ОБЪЕКТЫ'!$B$36=1,IFERROR('ОБЪЕКТЫ'!$B$56*'ОБЪЕКТЫ'!DS50/'ОБЪЕКТЫ'!$B$50,0),0)-IF('ОБЪЕКТЫ'!$B$64=1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E21" s="117" t="n">
        <x:f>IF(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F21" s="117" t="n">
        <x:f>IF(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G21" s="117" t="n">
        <x:f>IF(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H21" s="117" t="n">
        <x:f>IF(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I21" s="117" t="n">
        <x:f>IF(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J21" s="117" t="n">
        <x:f>IF(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K21" s="117" t="n">
        <x:f>IF(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L21" s="117" t="n">
        <x:f>IF(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M21" s="117" t="n">
        <x:f>IF(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N21" s="117" t="n">
        <x:f>IF(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O21" s="117" t="n">
        <x:f>IF(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P21" s="117" t="n">
        <x:f>IF(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Q21" s="117" t="n">
        <x:f>IF(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R21" s="117" t="n">
        <x:f>IF(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S21" s="117" t="n">
        <x:f>IF(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T21" s="117" t="n">
        <x:f>IF(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U21" s="117" t="n">
        <x:f>IF(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V21" s="117" t="n">
        <x:f>IF(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W21" s="117" t="n">
        <x:f>IF(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X21" s="117" t="n">
        <x:f>IF(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Y21" s="117" t="n">
        <x:f>IF(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Z21" s="117" t="n">
        <x:f>IF(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A21" s="117" t="n">
        <x:f>IF(A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B21" s="117" t="n">
        <x:f>IF(A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C21" s="117" t="n">
        <x:f>IF(A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D21" s="117" t="n">
        <x:f>IF(A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E21" s="117" t="n">
        <x:f>IF(A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F21" s="117" t="n">
        <x:f>IF(A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G21" s="117" t="n">
        <x:f>IF(A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H21" s="117" t="n">
        <x:f>IF(A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I21" s="117" t="n">
        <x:f>IF(A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J21" s="117" t="n">
        <x:f>IF(A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K21" s="117" t="n">
        <x:f>IF(A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L21" s="117" t="n">
        <x:f>IF(A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M21" s="117" t="n">
        <x:f>IF(A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N21" s="117" t="n">
        <x:f>IF(A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O21" s="117" t="n">
        <x:f>IF(A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P21" s="117" t="n">
        <x:f>IF(A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Q21" s="117" t="n">
        <x:f>IF(A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R21" s="117" t="n">
        <x:f>IF(A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S21" s="117" t="n">
        <x:f>IF(A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T21" s="117" t="n">
        <x:f>IF(A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U21" s="117" t="n">
        <x:f>IF(A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V21" s="117" t="n">
        <x:f>IF(A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W21" s="117" t="n">
        <x:f>IF(A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X21" s="117" t="n">
        <x:f>IF(A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Y21" s="117" t="n">
        <x:f>IF(A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Z21" s="117" t="n">
        <x:f>IF(A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A21" s="117" t="n">
        <x:f>IF(B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B21" s="117" t="n">
        <x:f>IF(B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C21" s="117" t="n">
        <x:f>IF(B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D21" s="117" t="n">
        <x:f>IF(B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E21" s="117" t="n">
        <x:f>IF(B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F21" s="117" t="n">
        <x:f>IF(B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G21" s="117" t="n">
        <x:f>IF(B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H21" s="117" t="n">
        <x:f>IF(B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I21" s="117" t="n">
        <x:f>IF(B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J21" s="117" t="n">
        <x:f>IF(B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K21" s="117" t="n">
        <x:f>IF(B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L21" s="117" t="n">
        <x:f>IF(B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M21" s="117" t="n">
        <x:f>IF(B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N21" s="117" t="n">
        <x:f>IF(B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O21" s="117" t="n">
        <x:f>IF(B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P21" s="117" t="n">
        <x:f>IF(B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Q21" s="117" t="n">
        <x:f>IF(B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R21" s="117" t="n">
        <x:f>IF(B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S21" s="117" t="n">
        <x:f>IF(B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T21" s="117" t="n">
        <x:f>IF(B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U21" s="117" t="n">
        <x:f>IF(B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V21" s="117" t="n">
        <x:f>IF(B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W21" s="117" t="n">
        <x:f>IF(B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X21" s="117" t="n">
        <x:f>IF(B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Y21" s="117" t="n">
        <x:f>IF(B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Z21" s="117" t="n">
        <x:f>IF(B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A21" s="117" t="n">
        <x:f>IF(C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B21" s="117" t="n">
        <x:f>IF(C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C21" s="117" t="n">
        <x:f>IF(C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D21" s="117" t="n">
        <x:f>IF(C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E21" s="117" t="n">
        <x:f>IF(C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F21" s="117" t="n">
        <x:f>IF(C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G21" s="117" t="n">
        <x:f>IF(C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H21" s="117" t="n">
        <x:f>IF(C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I21" s="117" t="n">
        <x:f>IF(C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J21" s="117" t="n">
        <x:f>IF(C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K21" s="117" t="n">
        <x:f>IF(C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L21" s="117" t="n">
        <x:f>IF(C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M21" s="117" t="n">
        <x:f>IF(C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N21" s="117" t="n">
        <x:f>IF(C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O21" s="117" t="n">
        <x:f>IF(C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P21" s="117" t="n">
        <x:f>IF(C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Q21" s="117" t="n">
        <x:f>IF(C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R21" s="117" t="n">
        <x:f>IF(C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S21" s="117" t="n">
        <x:f>IF(C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T21" s="117" t="n">
        <x:f>IF(C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U21" s="117" t="n">
        <x:f>IF(C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V21" s="117" t="n">
        <x:f>IF(C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W21" s="117" t="n">
        <x:f>IF(C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X21" s="117" t="n">
        <x:f>IF(C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Y21" s="117" t="n">
        <x:f>IF(C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Z21" s="117" t="n">
        <x:f>IF(C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A21" s="117" t="n">
        <x:f>IF(D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B21" s="117" t="n">
        <x:f>IF(D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C21" s="117" t="n">
        <x:f>IF(D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D21" s="117" t="n">
        <x:f>IF(D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E21" s="117" t="n">
        <x:f>IF(D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F21" s="117" t="n">
        <x:f>IF(D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G21" s="117" t="n">
        <x:f>IF(D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H21" s="117" t="n">
        <x:f>IF(D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I21" s="117" t="n">
        <x:f>IF(D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J21" s="117" t="n">
        <x:f>IF(D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K21" s="117" t="n">
        <x:f>IF(D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L21" s="117" t="n">
        <x:f>IF(D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M21" s="117" t="n">
        <x:f>IF(D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N21" s="117" t="n">
        <x:f>IF(D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O21" s="117" t="n">
        <x:f>IF(D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P21" s="117" t="n">
        <x:f>IF(D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Q21" s="117" t="n">
        <x:f>IF(D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R21" s="117" t="n">
        <x:f>IF(D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S21" s="117" t="n">
        <x:f>IF(D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$104)*('Продажи'!D37+'Продажи'!D40+'Продажи'!D43+'Продажи'!D46)/(SUM('Продажи'!$D$37:$DS$37)+SUM('Продажи'!$D$40:$DS$40)+SUM('Продажи'!$D$43:$DS$43)+SUM('Продажи'!$D$46:$DS$46)),0)-IF('ОБЪЕКТЫ'!$B$8=2,IFERROR('ОБЪЕКТЫ'!$B$28*'ОБЪЕКТЫ'!D22/'ОБЪЕКТЫ'!$B$22,0),0)-IF('ОБЪЕКТЫ'!$B$36=2,IFERROR('ОБЪЕКТЫ'!$B$56*'ОБЪЕКТЫ'!D50/'ОБЪЕКТЫ'!$B$50,0),0)-IF('ОБЪЕКТЫ'!$B$64=2,IFERROR('ОБЪЕКТЫ'!$B$84*'ОБЪЕКТЫ'!D78/'ОБЪЕКТЫ'!$B$78,0),0)-D53-D57-D21</x:f>
      </x:c>
      <x:c r="E22" s="117">
        <x:f>E10-IFERROR((SUM($D$20:$DS$20)-'ОБЪЕКТЫ'!$B$104)*('Продажи'!E37+'Продажи'!E40+'Продажи'!E43+'Продажи'!E46)/(SUM('Продажи'!$D$37:$DS$37)+SUM('Продажи'!$D$40:$DS$40)+SUM('Продажи'!$D$43:$DS$43)+SUM('Продажи'!$D$46:$DS$46)),0)-IF('ОБЪЕКТЫ'!$B$8=2,IFERROR('ОБЪЕКТЫ'!$B$28*'ОБЪЕКТЫ'!E22/'ОБЪЕКТЫ'!$B$22,0),0)-IF('ОБЪЕКТЫ'!$B$36=2,IFERROR('ОБЪЕКТЫ'!$B$56*'ОБЪЕКТЫ'!E50/'ОБЪЕКТЫ'!$B$50,0),0)-IF('ОБЪЕКТЫ'!$B$64=2,IFERROR('ОБЪЕКТЫ'!$B$84*'ОБЪЕКТЫ'!E78/'ОБЪЕКТЫ'!$B$78,0),0)-E53-E57-E21</x:f>
      </x:c>
      <x:c r="F22" s="117">
        <x:f>F10-IFERROR((SUM($D$20:$DS$20)-'ОБЪЕКТЫ'!$B$104)*('Продажи'!F37+'Продажи'!F40+'Продажи'!F43+'Продажи'!F46)/(SUM('Продажи'!$D$37:$DS$37)+SUM('Продажи'!$D$40:$DS$40)+SUM('Продажи'!$D$43:$DS$43)+SUM('Продажи'!$D$46:$DS$46)),0)-IF('ОБЪЕКТЫ'!$B$8=2,IFERROR('ОБЪЕКТЫ'!$B$28*'ОБЪЕКТЫ'!F22/'ОБЪЕКТЫ'!$B$22,0),0)-IF('ОБЪЕКТЫ'!$B$36=2,IFERROR('ОБЪЕКТЫ'!$B$56*'ОБЪЕКТЫ'!F50/'ОБЪЕКТЫ'!$B$50,0),0)-IF('ОБЪЕКТЫ'!$B$64=2,IFERROR('ОБЪЕКТЫ'!$B$84*'ОБЪЕКТЫ'!F78/'ОБЪЕКТЫ'!$B$78,0),0)-F53-F57-F21</x:f>
      </x:c>
      <x:c r="G22" s="117">
        <x:f>G10-IFERROR((SUM($D$20:$DS$20)-'ОБЪЕКТЫ'!$B$104)*('Продажи'!G37+'Продажи'!G40+'Продажи'!G43+'Продажи'!G46)/(SUM('Продажи'!$D$37:$DS$37)+SUM('Продажи'!$D$40:$DS$40)+SUM('Продажи'!$D$43:$DS$43)+SUM('Продажи'!$D$46:$DS$46)),0)-IF('ОБЪЕКТЫ'!$B$8=2,IFERROR('ОБЪЕКТЫ'!$B$28*'ОБЪЕКТЫ'!G22/'ОБЪЕКТЫ'!$B$22,0),0)-IF('ОБЪЕКТЫ'!$B$36=2,IFERROR('ОБЪЕКТЫ'!$B$56*'ОБЪЕКТЫ'!G50/'ОБЪЕКТЫ'!$B$50,0),0)-IF('ОБЪЕКТЫ'!$B$64=2,IFERROR('ОБЪЕКТЫ'!$B$84*'ОБЪЕКТЫ'!G78/'ОБЪЕКТЫ'!$B$78,0),0)-G53-G57-G21</x:f>
      </x:c>
      <x:c r="H22" s="117">
        <x:f>H10-IFERROR((SUM($D$20:$DS$20)-'ОБЪЕКТЫ'!$B$104)*('Продажи'!H37+'Продажи'!H40+'Продажи'!H43+'Продажи'!H46)/(SUM('Продажи'!$D$37:$DS$37)+SUM('Продажи'!$D$40:$DS$40)+SUM('Продажи'!$D$43:$DS$43)+SUM('Продажи'!$D$46:$DS$46)),0)-IF('ОБЪЕКТЫ'!$B$8=2,IFERROR('ОБЪЕКТЫ'!$B$28*'ОБЪЕКТЫ'!H22/'ОБЪЕКТЫ'!$B$22,0),0)-IF('ОБЪЕКТЫ'!$B$36=2,IFERROR('ОБЪЕКТЫ'!$B$56*'ОБЪЕКТЫ'!H50/'ОБЪЕКТЫ'!$B$50,0),0)-IF('ОБЪЕКТЫ'!$B$64=2,IFERROR('ОБЪЕКТЫ'!$B$84*'ОБЪЕКТЫ'!H78/'ОБЪЕКТЫ'!$B$78,0),0)-H53-H57-H21</x:f>
      </x:c>
      <x:c r="I22" s="117">
        <x:f>I10-IFERROR((SUM($D$20:$DS$20)-'ОБЪЕКТЫ'!$B$104)*('Продажи'!I37+'Продажи'!I40+'Продажи'!I43+'Продажи'!I46)/(SUM('Продажи'!$D$37:$DS$37)+SUM('Продажи'!$D$40:$DS$40)+SUM('Продажи'!$D$43:$DS$43)+SUM('Продажи'!$D$46:$DS$46)),0)-IF('ОБЪЕКТЫ'!$B$8=2,IFERROR('ОБЪЕКТЫ'!$B$28*'ОБЪЕКТЫ'!I22/'ОБЪЕКТЫ'!$B$22,0),0)-IF('ОБЪЕКТЫ'!$B$36=2,IFERROR('ОБЪЕКТЫ'!$B$56*'ОБЪЕКТЫ'!I50/'ОБЪЕКТЫ'!$B$50,0),0)-IF('ОБЪЕКТЫ'!$B$64=2,IFERROR('ОБЪЕКТЫ'!$B$84*'ОБЪЕКТЫ'!I78/'ОБЪЕКТЫ'!$B$78,0),0)-I53-I57-I21</x:f>
      </x:c>
      <x:c r="J22" s="117">
        <x:f>J10-IFERROR((SUM($D$20:$DS$20)-'ОБЪЕКТЫ'!$B$104)*('Продажи'!J37+'Продажи'!J40+'Продажи'!J43+'Продажи'!J46)/(SUM('Продажи'!$D$37:$DS$37)+SUM('Продажи'!$D$40:$DS$40)+SUM('Продажи'!$D$43:$DS$43)+SUM('Продажи'!$D$46:$DS$46)),0)-IF('ОБЪЕКТЫ'!$B$8=2,IFERROR('ОБЪЕКТЫ'!$B$28*'ОБЪЕКТЫ'!J22/'ОБЪЕКТЫ'!$B$22,0),0)-IF('ОБЪЕКТЫ'!$B$36=2,IFERROR('ОБЪЕКТЫ'!$B$56*'ОБЪЕКТЫ'!J50/'ОБЪЕКТЫ'!$B$50,0),0)-IF('ОБЪЕКТЫ'!$B$64=2,IFERROR('ОБЪЕКТЫ'!$B$84*'ОБЪЕКТЫ'!J78/'ОБЪЕКТЫ'!$B$78,0),0)-J53-J57-J21</x:f>
      </x:c>
      <x:c r="K22" s="117">
        <x:f>K10-IFERROR((SUM($D$20:$DS$20)-'ОБЪЕКТЫ'!$B$104)*('Продажи'!K37+'Продажи'!K40+'Продажи'!K43+'Продажи'!K46)/(SUM('Продажи'!$D$37:$DS$37)+SUM('Продажи'!$D$40:$DS$40)+SUM('Продажи'!$D$43:$DS$43)+SUM('Продажи'!$D$46:$DS$46)),0)-IF('ОБЪЕКТЫ'!$B$8=2,IFERROR('ОБЪЕКТЫ'!$B$28*'ОБЪЕКТЫ'!K22/'ОБЪЕКТЫ'!$B$22,0),0)-IF('ОБЪЕКТЫ'!$B$36=2,IFERROR('ОБЪЕКТЫ'!$B$56*'ОБЪЕКТЫ'!K50/'ОБЪЕКТЫ'!$B$50,0),0)-IF('ОБЪЕКТЫ'!$B$64=2,IFERROR('ОБЪЕКТЫ'!$B$84*'ОБЪЕКТЫ'!K78/'ОБЪЕКТЫ'!$B$78,0),0)-K53-K57-K21</x:f>
      </x:c>
      <x:c r="L22" s="117">
        <x:f>L10-IFERROR((SUM($D$20:$DS$20)-'ОБЪЕКТЫ'!$B$104)*('Продажи'!L37+'Продажи'!L40+'Продажи'!L43+'Продажи'!L46)/(SUM('Продажи'!$D$37:$DS$37)+SUM('Продажи'!$D$40:$DS$40)+SUM('Продажи'!$D$43:$DS$43)+SUM('Продажи'!$D$46:$DS$46)),0)-IF('ОБЪЕКТЫ'!$B$8=2,IFERROR('ОБЪЕКТЫ'!$B$28*'ОБЪЕКТЫ'!L22/'ОБЪЕКТЫ'!$B$22,0),0)-IF('ОБЪЕКТЫ'!$B$36=2,IFERROR('ОБЪЕКТЫ'!$B$56*'ОБЪЕКТЫ'!L50/'ОБЪЕКТЫ'!$B$50,0),0)-IF('ОБЪЕКТЫ'!$B$64=2,IFERROR('ОБЪЕКТЫ'!$B$84*'ОБЪЕКТЫ'!L78/'ОБЪЕКТЫ'!$B$78,0),0)-L53-L57-L21</x:f>
      </x:c>
      <x:c r="M22" s="117">
        <x:f>M10-IFERROR((SUM($D$20:$DS$20)-'ОБЪЕКТЫ'!$B$104)*('Продажи'!M37+'Продажи'!M40+'Продажи'!M43+'Продажи'!M46)/(SUM('Продажи'!$D$37:$DS$37)+SUM('Продажи'!$D$40:$DS$40)+SUM('Продажи'!$D$43:$DS$43)+SUM('Продажи'!$D$46:$DS$46)),0)-IF('ОБЪЕКТЫ'!$B$8=2,IFERROR('ОБЪЕКТЫ'!$B$28*'ОБЪЕКТЫ'!M22/'ОБЪЕКТЫ'!$B$22,0),0)-IF('ОБЪЕКТЫ'!$B$36=2,IFERROR('ОБЪЕКТЫ'!$B$56*'ОБЪЕКТЫ'!M50/'ОБЪЕКТЫ'!$B$50,0),0)-IF('ОБЪЕКТЫ'!$B$64=2,IFERROR('ОБЪЕКТЫ'!$B$84*'ОБЪЕКТЫ'!M78/'ОБЪЕКТЫ'!$B$78,0),0)-M53-M57-M21</x:f>
      </x:c>
      <x:c r="N22" s="117">
        <x:f>N10-IFERROR((SUM($D$20:$DS$20)-'ОБЪЕКТЫ'!$B$104)*('Продажи'!N37+'Продажи'!N40+'Продажи'!N43+'Продажи'!N46)/(SUM('Продажи'!$D$37:$DS$37)+SUM('Продажи'!$D$40:$DS$40)+SUM('Продажи'!$D$43:$DS$43)+SUM('Продажи'!$D$46:$DS$46)),0)-IF('ОБЪЕКТЫ'!$B$8=2,IFERROR('ОБЪЕКТЫ'!$B$28*'ОБЪЕКТЫ'!N22/'ОБЪЕКТЫ'!$B$22,0),0)-IF('ОБЪЕКТЫ'!$B$36=2,IFERROR('ОБЪЕКТЫ'!$B$56*'ОБЪЕКТЫ'!N50/'ОБЪЕКТЫ'!$B$50,0),0)-IF('ОБЪЕКТЫ'!$B$64=2,IFERROR('ОБЪЕКТЫ'!$B$84*'ОБЪЕКТЫ'!N78/'ОБЪЕКТЫ'!$B$78,0),0)-N53-N57-N21</x:f>
      </x:c>
      <x:c r="O22" s="117">
        <x:f>O10-IFERROR((SUM($D$20:$DS$20)-'ОБЪЕКТЫ'!$B$104)*('Продажи'!O37+'Продажи'!O40+'Продажи'!O43+'Продажи'!O46)/(SUM('Продажи'!$D$37:$DS$37)+SUM('Продажи'!$D$40:$DS$40)+SUM('Продажи'!$D$43:$DS$43)+SUM('Продажи'!$D$46:$DS$46)),0)-IF('ОБЪЕКТЫ'!$B$8=2,IFERROR('ОБЪЕКТЫ'!$B$28*'ОБЪЕКТЫ'!O22/'ОБЪЕКТЫ'!$B$22,0),0)-IF('ОБЪЕКТЫ'!$B$36=2,IFERROR('ОБЪЕКТЫ'!$B$56*'ОБЪЕКТЫ'!O50/'ОБЪЕКТЫ'!$B$50,0),0)-IF('ОБЪЕКТЫ'!$B$64=2,IFERROR('ОБЪЕКТЫ'!$B$84*'ОБЪЕКТЫ'!O78/'ОБЪЕКТЫ'!$B$78,0),0)-O53-O57-O21</x:f>
      </x:c>
      <x:c r="P22" s="117">
        <x:f>P10-IFERROR((SUM($D$20:$DS$20)-'ОБЪЕКТЫ'!$B$104)*('Продажи'!P37+'Продажи'!P40+'Продажи'!P43+'Продажи'!P46)/(SUM('Продажи'!$D$37:$DS$37)+SUM('Продажи'!$D$40:$DS$40)+SUM('Продажи'!$D$43:$DS$43)+SUM('Продажи'!$D$46:$DS$46)),0)-IF('ОБЪЕКТЫ'!$B$8=2,IFERROR('ОБЪЕКТЫ'!$B$28*'ОБЪЕКТЫ'!P22/'ОБЪЕКТЫ'!$B$22,0),0)-IF('ОБЪЕКТЫ'!$B$36=2,IFERROR('ОБЪЕКТЫ'!$B$56*'ОБЪЕКТЫ'!P50/'ОБЪЕКТЫ'!$B$50,0),0)-IF('ОБЪЕКТЫ'!$B$64=2,IFERROR('ОБЪЕКТЫ'!$B$84*'ОБЪЕКТЫ'!P78/'ОБЪЕКТЫ'!$B$78,0),0)-P53-P57-P21</x:f>
      </x:c>
      <x:c r="Q22" s="117">
        <x:f>Q10-IFERROR((SUM($D$20:$DS$20)-'ОБЪЕКТЫ'!$B$104)*('Продажи'!Q37+'Продажи'!Q40+'Продажи'!Q43+'Продажи'!Q46)/(SUM('Продажи'!$D$37:$DS$37)+SUM('Продажи'!$D$40:$DS$40)+SUM('Продажи'!$D$43:$DS$43)+SUM('Продажи'!$D$46:$DS$46)),0)-IF('ОБЪЕКТЫ'!$B$8=2,IFERROR('ОБЪЕКТЫ'!$B$28*'ОБЪЕКТЫ'!Q22/'ОБЪЕКТЫ'!$B$22,0),0)-IF('ОБЪЕКТЫ'!$B$36=2,IFERROR('ОБЪЕКТЫ'!$B$56*'ОБЪЕКТЫ'!Q50/'ОБЪЕКТЫ'!$B$50,0),0)-IF('ОБЪЕКТЫ'!$B$64=2,IFERROR('ОБЪЕКТЫ'!$B$84*'ОБЪЕКТЫ'!Q78/'ОБЪЕКТЫ'!$B$78,0),0)-Q53-Q57-Q21</x:f>
      </x:c>
      <x:c r="R22" s="117">
        <x:f>R10-IFERROR((SUM($D$20:$DS$20)-'ОБЪЕКТЫ'!$B$104)*('Продажи'!R37+'Продажи'!R40+'Продажи'!R43+'Продажи'!R46)/(SUM('Продажи'!$D$37:$DS$37)+SUM('Продажи'!$D$40:$DS$40)+SUM('Продажи'!$D$43:$DS$43)+SUM('Продажи'!$D$46:$DS$46)),0)-IF('ОБЪЕКТЫ'!$B$8=2,IFERROR('ОБЪЕКТЫ'!$B$28*'ОБЪЕКТЫ'!R22/'ОБЪЕКТЫ'!$B$22,0),0)-IF('ОБЪЕКТЫ'!$B$36=2,IFERROR('ОБЪЕКТЫ'!$B$56*'ОБЪЕКТЫ'!R50/'ОБЪЕКТЫ'!$B$50,0),0)-IF('ОБЪЕКТЫ'!$B$64=2,IFERROR('ОБЪЕКТЫ'!$B$84*'ОБЪЕКТЫ'!R78/'ОБЪЕКТЫ'!$B$78,0),0)-R53-R57-R21</x:f>
      </x:c>
      <x:c r="S22" s="117">
        <x:f>S10-IFERROR((SUM($D$20:$DS$20)-'ОБЪЕКТЫ'!$B$104)*('Продажи'!S37+'Продажи'!S40+'Продажи'!S43+'Продажи'!S46)/(SUM('Продажи'!$D$37:$DS$37)+SUM('Продажи'!$D$40:$DS$40)+SUM('Продажи'!$D$43:$DS$43)+SUM('Продажи'!$D$46:$DS$46)),0)-IF('ОБЪЕКТЫ'!$B$8=2,IFERROR('ОБЪЕКТЫ'!$B$28*'ОБЪЕКТЫ'!S22/'ОБЪЕКТЫ'!$B$22,0),0)-IF('ОБЪЕКТЫ'!$B$36=2,IFERROR('ОБЪЕКТЫ'!$B$56*'ОБЪЕКТЫ'!S50/'ОБЪЕКТЫ'!$B$50,0),0)-IF('ОБЪЕКТЫ'!$B$64=2,IFERROR('ОБЪЕКТЫ'!$B$84*'ОБЪЕКТЫ'!S78/'ОБЪЕКТЫ'!$B$78,0),0)-S53-S57-S21</x:f>
      </x:c>
      <x:c r="T22" s="117">
        <x:f>T10-IFERROR((SUM($D$20:$DS$20)-'ОБЪЕКТЫ'!$B$104)*('Продажи'!T37+'Продажи'!T40+'Продажи'!T43+'Продажи'!T46)/(SUM('Продажи'!$D$37:$DS$37)+SUM('Продажи'!$D$40:$DS$40)+SUM('Продажи'!$D$43:$DS$43)+SUM('Продажи'!$D$46:$DS$46)),0)-IF('ОБЪЕКТЫ'!$B$8=2,IFERROR('ОБЪЕКТЫ'!$B$28*'ОБЪЕКТЫ'!T22/'ОБЪЕКТЫ'!$B$22,0),0)-IF('ОБЪЕКТЫ'!$B$36=2,IFERROR('ОБЪЕКТЫ'!$B$56*'ОБЪЕКТЫ'!T50/'ОБЪЕКТЫ'!$B$50,0),0)-IF('ОБЪЕКТЫ'!$B$64=2,IFERROR('ОБЪЕКТЫ'!$B$84*'ОБЪЕКТЫ'!T78/'ОБЪЕКТЫ'!$B$78,0),0)-T53-T57-T21</x:f>
      </x:c>
      <x:c r="U22" s="117">
        <x:f>U10-IFERROR((SUM($D$20:$DS$20)-'ОБЪЕКТЫ'!$B$104)*('Продажи'!U37+'Продажи'!U40+'Продажи'!U43+'Продажи'!U46)/(SUM('Продажи'!$D$37:$DS$37)+SUM('Продажи'!$D$40:$DS$40)+SUM('Продажи'!$D$43:$DS$43)+SUM('Продажи'!$D$46:$DS$46)),0)-IF('ОБЪЕКТЫ'!$B$8=2,IFERROR('ОБЪЕКТЫ'!$B$28*'ОБЪЕКТЫ'!U22/'ОБЪЕКТЫ'!$B$22,0),0)-IF('ОБЪЕКТЫ'!$B$36=2,IFERROR('ОБЪЕКТЫ'!$B$56*'ОБЪЕКТЫ'!U50/'ОБЪЕКТЫ'!$B$50,0),0)-IF('ОБЪЕКТЫ'!$B$64=2,IFERROR('ОБЪЕКТЫ'!$B$84*'ОБЪЕКТЫ'!U78/'ОБЪЕКТЫ'!$B$78,0),0)-U53-U57-U21</x:f>
      </x:c>
      <x:c r="V22" s="117">
        <x:f>V10-IFERROR((SUM($D$20:$DS$20)-'ОБЪЕКТЫ'!$B$104)*('Продажи'!V37+'Продажи'!V40+'Продажи'!V43+'Продажи'!V46)/(SUM('Продажи'!$D$37:$DS$37)+SUM('Продажи'!$D$40:$DS$40)+SUM('Продажи'!$D$43:$DS$43)+SUM('Продажи'!$D$46:$DS$46)),0)-IF('ОБЪЕКТЫ'!$B$8=2,IFERROR('ОБЪЕКТЫ'!$B$28*'ОБЪЕКТЫ'!V22/'ОБЪЕКТЫ'!$B$22,0),0)-IF('ОБЪЕКТЫ'!$B$36=2,IFERROR('ОБЪЕКТЫ'!$B$56*'ОБЪЕКТЫ'!V50/'ОБЪЕКТЫ'!$B$50,0),0)-IF('ОБЪЕКТЫ'!$B$64=2,IFERROR('ОБЪЕКТЫ'!$B$84*'ОБЪЕКТЫ'!V78/'ОБЪЕКТЫ'!$B$78,0),0)-V53-V57-V21</x:f>
      </x:c>
      <x:c r="W22" s="117">
        <x:f>W10-IFERROR((SUM($D$20:$DS$20)-'ОБЪЕКТЫ'!$B$104)*('Продажи'!W37+'Продажи'!W40+'Продажи'!W43+'Продажи'!W46)/(SUM('Продажи'!$D$37:$DS$37)+SUM('Продажи'!$D$40:$DS$40)+SUM('Продажи'!$D$43:$DS$43)+SUM('Продажи'!$D$46:$DS$46)),0)-IF('ОБЪЕКТЫ'!$B$8=2,IFERROR('ОБЪЕКТЫ'!$B$28*'ОБЪЕКТЫ'!W22/'ОБЪЕКТЫ'!$B$22,0),0)-IF('ОБЪЕКТЫ'!$B$36=2,IFERROR('ОБЪЕКТЫ'!$B$56*'ОБЪЕКТЫ'!W50/'ОБЪЕКТЫ'!$B$50,0),0)-IF('ОБЪЕКТЫ'!$B$64=2,IFERROR('ОБЪЕКТЫ'!$B$84*'ОБЪЕКТЫ'!W78/'ОБЪЕКТЫ'!$B$78,0),0)-W53-W57-W21</x:f>
      </x:c>
      <x:c r="X22" s="117">
        <x:f>X10-IFERROR((SUM($D$20:$DS$20)-'ОБЪЕКТЫ'!$B$104)*('Продажи'!X37+'Продажи'!X40+'Продажи'!X43+'Продажи'!X46)/(SUM('Продажи'!$D$37:$DS$37)+SUM('Продажи'!$D$40:$DS$40)+SUM('Продажи'!$D$43:$DS$43)+SUM('Продажи'!$D$46:$DS$46)),0)-IF('ОБЪЕКТЫ'!$B$8=2,IFERROR('ОБЪЕКТЫ'!$B$28*'ОБЪЕКТЫ'!X22/'ОБЪЕКТЫ'!$B$22,0),0)-IF('ОБЪЕКТЫ'!$B$36=2,IFERROR('ОБЪЕКТЫ'!$B$56*'ОБЪЕКТЫ'!X50/'ОБЪЕКТЫ'!$B$50,0),0)-IF('ОБЪЕКТЫ'!$B$64=2,IFERROR('ОБЪЕКТЫ'!$B$84*'ОБЪЕКТЫ'!X78/'ОБЪЕКТЫ'!$B$78,0),0)-X53-X57-X21</x:f>
      </x:c>
      <x:c r="Y22" s="117">
        <x:f>Y10-IFERROR((SUM($D$20:$DS$20)-'ОБЪЕКТЫ'!$B$104)*('Продажи'!Y37+'Продажи'!Y40+'Продажи'!Y43+'Продажи'!Y46)/(SUM('Продажи'!$D$37:$DS$37)+SUM('Продажи'!$D$40:$DS$40)+SUM('Продажи'!$D$43:$DS$43)+SUM('Продажи'!$D$46:$DS$46)),0)-IF('ОБЪЕКТЫ'!$B$8=2,IFERROR('ОБЪЕКТЫ'!$B$28*'ОБЪЕКТЫ'!Y22/'ОБЪЕКТЫ'!$B$22,0),0)-IF('ОБЪЕКТЫ'!$B$36=2,IFERROR('ОБЪЕКТЫ'!$B$56*'ОБЪЕКТЫ'!Y50/'ОБЪЕКТЫ'!$B$50,0),0)-IF('ОБЪЕКТЫ'!$B$64=2,IFERROR('ОБЪЕКТЫ'!$B$84*'ОБЪЕКТЫ'!Y78/'ОБЪЕКТЫ'!$B$78,0),0)-Y53-Y57-Y21</x:f>
      </x:c>
      <x:c r="Z22" s="117">
        <x:f>Z10-IFERROR((SUM($D$20:$DS$20)-'ОБЪЕКТЫ'!$B$104)*('Продажи'!Z37+'Продажи'!Z40+'Продажи'!Z43+'Продажи'!Z46)/(SUM('Продажи'!$D$37:$DS$37)+SUM('Продажи'!$D$40:$DS$40)+SUM('Продажи'!$D$43:$DS$43)+SUM('Продажи'!$D$46:$DS$46)),0)-IF('ОБЪЕКТЫ'!$B$8=2,IFERROR('ОБЪЕКТЫ'!$B$28*'ОБЪЕКТЫ'!Z22/'ОБЪЕКТЫ'!$B$22,0),0)-IF('ОБЪЕКТЫ'!$B$36=2,IFERROR('ОБЪЕКТЫ'!$B$56*'ОБЪЕКТЫ'!Z50/'ОБЪЕКТЫ'!$B$50,0),0)-IF('ОБЪЕКТЫ'!$B$64=2,IFERROR('ОБЪЕКТЫ'!$B$84*'ОБЪЕКТЫ'!Z78/'ОБЪЕКТЫ'!$B$78,0),0)-Z53-Z57-Z21</x:f>
      </x:c>
      <x:c r="AA22" s="117">
        <x:f>AA10-IFERROR((SUM($D$20:$DS$20)-'ОБЪЕКТЫ'!$B$104)*('Продажи'!AA37+'Продажи'!AA40+'Продажи'!AA43+'Продажи'!AA46)/(SUM('Продажи'!$D$37:$DS$37)+SUM('Продажи'!$D$40:$DS$40)+SUM('Продажи'!$D$43:$DS$43)+SUM('Продажи'!$D$46:$DS$46)),0)-IF('ОБЪЕКТЫ'!$B$8=2,IFERROR('ОБЪЕКТЫ'!$B$28*'ОБЪЕКТЫ'!AA22/'ОБЪЕКТЫ'!$B$22,0),0)-IF('ОБЪЕКТЫ'!$B$36=2,IFERROR('ОБЪЕКТЫ'!$B$56*'ОБЪЕКТЫ'!AA50/'ОБЪЕКТЫ'!$B$50,0),0)-IF('ОБЪЕКТЫ'!$B$64=2,IFERROR('ОБЪЕКТЫ'!$B$84*'ОБЪЕКТЫ'!AA78/'ОБЪЕКТЫ'!$B$78,0),0)-AA53-AA57-AA21</x:f>
      </x:c>
      <x:c r="AB22" s="117">
        <x:f>AB10-IFERROR((SUM($D$20:$DS$20)-'ОБЪЕКТЫ'!$B$104)*('Продажи'!AB37+'Продажи'!AB40+'Продажи'!AB43+'Продажи'!AB46)/(SUM('Продажи'!$D$37:$DS$37)+SUM('Продажи'!$D$40:$DS$40)+SUM('Продажи'!$D$43:$DS$43)+SUM('Продажи'!$D$46:$DS$46)),0)-IF('ОБЪЕКТЫ'!$B$8=2,IFERROR('ОБЪЕКТЫ'!$B$28*'ОБЪЕКТЫ'!AB22/'ОБЪЕКТЫ'!$B$22,0),0)-IF('ОБЪЕКТЫ'!$B$36=2,IFERROR('ОБЪЕКТЫ'!$B$56*'ОБЪЕКТЫ'!AB50/'ОБЪЕКТЫ'!$B$50,0),0)-IF('ОБЪЕКТЫ'!$B$64=2,IFERROR('ОБЪЕКТЫ'!$B$84*'ОБЪЕКТЫ'!AB78/'ОБЪЕКТЫ'!$B$78,0),0)-AB53-AB57-AB21</x:f>
      </x:c>
      <x:c r="AC22" s="117">
        <x:f>AC10-IFERROR((SUM($D$20:$DS$20)-'ОБЪЕКТЫ'!$B$104)*('Продажи'!AC37+'Продажи'!AC40+'Продажи'!AC43+'Продажи'!AC46)/(SUM('Продажи'!$D$37:$DS$37)+SUM('Продажи'!$D$40:$DS$40)+SUM('Продажи'!$D$43:$DS$43)+SUM('Продажи'!$D$46:$DS$46)),0)-IF('ОБЪЕКТЫ'!$B$8=2,IFERROR('ОБЪЕКТЫ'!$B$28*'ОБЪЕКТЫ'!AC22/'ОБЪЕКТЫ'!$B$22,0),0)-IF('ОБЪЕКТЫ'!$B$36=2,IFERROR('ОБЪЕКТЫ'!$B$56*'ОБЪЕКТЫ'!AC50/'ОБЪЕКТЫ'!$B$50,0),0)-IF('ОБЪЕКТЫ'!$B$64=2,IFERROR('ОБЪЕКТЫ'!$B$84*'ОБЪЕКТЫ'!AC78/'ОБЪЕКТЫ'!$B$78,0),0)-AC53-AC57-AC21</x:f>
      </x:c>
      <x:c r="AD22" s="117">
        <x:f>AD10-IFERROR((SUM($D$20:$DS$20)-'ОБЪЕКТЫ'!$B$104)*('Продажи'!AD37+'Продажи'!AD40+'Продажи'!AD43+'Продажи'!AD46)/(SUM('Продажи'!$D$37:$DS$37)+SUM('Продажи'!$D$40:$DS$40)+SUM('Продажи'!$D$43:$DS$43)+SUM('Продажи'!$D$46:$DS$46)),0)-IF('ОБЪЕКТЫ'!$B$8=2,IFERROR('ОБЪЕКТЫ'!$B$28*'ОБЪЕКТЫ'!AD22/'ОБЪЕКТЫ'!$B$22,0),0)-IF('ОБЪЕКТЫ'!$B$36=2,IFERROR('ОБЪЕКТЫ'!$B$56*'ОБЪЕКТЫ'!AD50/'ОБЪЕКТЫ'!$B$50,0),0)-IF('ОБЪЕКТЫ'!$B$64=2,IFERROR('ОБЪЕКТЫ'!$B$84*'ОБЪЕКТЫ'!AD78/'ОБЪЕКТЫ'!$B$78,0),0)-AD53-AD57-AD21</x:f>
      </x:c>
      <x:c r="AE22" s="117">
        <x:f>AE10-IFERROR((SUM($D$20:$DS$20)-'ОБЪЕКТЫ'!$B$104)*('Продажи'!AE37+'Продажи'!AE40+'Продажи'!AE43+'Продажи'!AE46)/(SUM('Продажи'!$D$37:$DS$37)+SUM('Продажи'!$D$40:$DS$40)+SUM('Продажи'!$D$43:$DS$43)+SUM('Продажи'!$D$46:$DS$46)),0)-IF('ОБЪЕКТЫ'!$B$8=2,IFERROR('ОБЪЕКТЫ'!$B$28*'ОБЪЕКТЫ'!AE22/'ОБЪЕКТЫ'!$B$22,0),0)-IF('ОБЪЕКТЫ'!$B$36=2,IFERROR('ОБЪЕКТЫ'!$B$56*'ОБЪЕКТЫ'!AE50/'ОБЪЕКТЫ'!$B$50,0),0)-IF('ОБЪЕКТЫ'!$B$64=2,IFERROR('ОБЪЕКТЫ'!$B$84*'ОБЪЕКТЫ'!AE78/'ОБЪЕКТЫ'!$B$78,0),0)-AE53-AE57-AE21</x:f>
      </x:c>
      <x:c r="AF22" s="117">
        <x:f>AF10-IFERROR((SUM($D$20:$DS$20)-'ОБЪЕКТЫ'!$B$104)*('Продажи'!AF37+'Продажи'!AF40+'Продажи'!AF43+'Продажи'!AF46)/(SUM('Продажи'!$D$37:$DS$37)+SUM('Продажи'!$D$40:$DS$40)+SUM('Продажи'!$D$43:$DS$43)+SUM('Продажи'!$D$46:$DS$46)),0)-IF('ОБЪЕКТЫ'!$B$8=2,IFERROR('ОБЪЕКТЫ'!$B$28*'ОБЪЕКТЫ'!AF22/'ОБЪЕКТЫ'!$B$22,0),0)-IF('ОБЪЕКТЫ'!$B$36=2,IFERROR('ОБЪЕКТЫ'!$B$56*'ОБЪЕКТЫ'!AF50/'ОБЪЕКТЫ'!$B$50,0),0)-IF('ОБЪЕКТЫ'!$B$64=2,IFERROR('ОБЪЕКТЫ'!$B$84*'ОБЪЕКТЫ'!AF78/'ОБЪЕКТЫ'!$B$78,0),0)-AF53-AF57-AF21</x:f>
      </x:c>
      <x:c r="AG22" s="117">
        <x:f>AG10-IFERROR((SUM($D$20:$DS$20)-'ОБЪЕКТЫ'!$B$104)*('Продажи'!AG37+'Продажи'!AG40+'Продажи'!AG43+'Продажи'!AG46)/(SUM('Продажи'!$D$37:$DS$37)+SUM('Продажи'!$D$40:$DS$40)+SUM('Продажи'!$D$43:$DS$43)+SUM('Продажи'!$D$46:$DS$46)),0)-IF('ОБЪЕКТЫ'!$B$8=2,IFERROR('ОБЪЕКТЫ'!$B$28*'ОБЪЕКТЫ'!AG22/'ОБЪЕКТЫ'!$B$22,0),0)-IF('ОБЪЕКТЫ'!$B$36=2,IFERROR('ОБЪЕКТЫ'!$B$56*'ОБЪЕКТЫ'!AG50/'ОБЪЕКТЫ'!$B$50,0),0)-IF('ОБЪЕКТЫ'!$B$64=2,IFERROR('ОБЪЕКТЫ'!$B$84*'ОБЪЕКТЫ'!AG78/'ОБЪЕКТЫ'!$B$78,0),0)-AG53-AG57-AG21</x:f>
      </x:c>
      <x:c r="AH22" s="117">
        <x:f>AH10-IFERROR((SUM($D$20:$DS$20)-'ОБЪЕКТЫ'!$B$104)*('Продажи'!AH37+'Продажи'!AH40+'Продажи'!AH43+'Продажи'!AH46)/(SUM('Продажи'!$D$37:$DS$37)+SUM('Продажи'!$D$40:$DS$40)+SUM('Продажи'!$D$43:$DS$43)+SUM('Продажи'!$D$46:$DS$46)),0)-IF('ОБЪЕКТЫ'!$B$8=2,IFERROR('ОБЪЕКТЫ'!$B$28*'ОБЪЕКТЫ'!AH22/'ОБЪЕКТЫ'!$B$22,0),0)-IF('ОБЪЕКТЫ'!$B$36=2,IFERROR('ОБЪЕКТЫ'!$B$56*'ОБЪЕКТЫ'!AH50/'ОБЪЕКТЫ'!$B$50,0),0)-IF('ОБЪЕКТЫ'!$B$64=2,IFERROR('ОБЪЕКТЫ'!$B$84*'ОБЪЕКТЫ'!AH78/'ОБЪЕКТЫ'!$B$78,0),0)-AH53-AH57-AH21</x:f>
      </x:c>
      <x:c r="AI22" s="117">
        <x:f>AI10-IFERROR((SUM($D$20:$DS$20)-'ОБЪЕКТЫ'!$B$104)*('Продажи'!AI37+'Продажи'!AI40+'Продажи'!AI43+'Продажи'!AI46)/(SUM('Продажи'!$D$37:$DS$37)+SUM('Продажи'!$D$40:$DS$40)+SUM('Продажи'!$D$43:$DS$43)+SUM('Продажи'!$D$46:$DS$46)),0)-IF('ОБЪЕКТЫ'!$B$8=2,IFERROR('ОБЪЕКТЫ'!$B$28*'ОБЪЕКТЫ'!AI22/'ОБЪЕКТЫ'!$B$22,0),0)-IF('ОБЪЕКТЫ'!$B$36=2,IFERROR('ОБЪЕКТЫ'!$B$56*'ОБЪЕКТЫ'!AI50/'ОБЪЕКТЫ'!$B$50,0),0)-IF('ОБЪЕКТЫ'!$B$64=2,IFERROR('ОБЪЕКТЫ'!$B$84*'ОБЪЕКТЫ'!AI78/'ОБЪЕКТЫ'!$B$78,0),0)-AI53-AI57-AI21</x:f>
      </x:c>
      <x:c r="AJ22" s="117">
        <x:f>AJ10-IFERROR((SUM($D$20:$DS$20)-'ОБЪЕКТЫ'!$B$104)*('Продажи'!AJ37+'Продажи'!AJ40+'Продажи'!AJ43+'Продажи'!AJ46)/(SUM('Продажи'!$D$37:$DS$37)+SUM('Продажи'!$D$40:$DS$40)+SUM('Продажи'!$D$43:$DS$43)+SUM('Продажи'!$D$46:$DS$46)),0)-IF('ОБЪЕКТЫ'!$B$8=2,IFERROR('ОБЪЕКТЫ'!$B$28*'ОБЪЕКТЫ'!AJ22/'ОБЪЕКТЫ'!$B$22,0),0)-IF('ОБЪЕКТЫ'!$B$36=2,IFERROR('ОБЪЕКТЫ'!$B$56*'ОБЪЕКТЫ'!AJ50/'ОБЪЕКТЫ'!$B$50,0),0)-IF('ОБЪЕКТЫ'!$B$64=2,IFERROR('ОБЪЕКТЫ'!$B$84*'ОБЪЕКТЫ'!AJ78/'ОБЪЕКТЫ'!$B$78,0),0)-AJ53-AJ57-AJ21</x:f>
      </x:c>
      <x:c r="AK22" s="117">
        <x:f>AK10-IFERROR((SUM($D$20:$DS$20)-'ОБЪЕКТЫ'!$B$104)*('Продажи'!AK37+'Продажи'!AK40+'Продажи'!AK43+'Продажи'!AK46)/(SUM('Продажи'!$D$37:$DS$37)+SUM('Продажи'!$D$40:$DS$40)+SUM('Продажи'!$D$43:$DS$43)+SUM('Продажи'!$D$46:$DS$46)),0)-IF('ОБЪЕКТЫ'!$B$8=2,IFERROR('ОБЪЕКТЫ'!$B$28*'ОБЪЕКТЫ'!AK22/'ОБЪЕКТЫ'!$B$22,0),0)-IF('ОБЪЕКТЫ'!$B$36=2,IFERROR('ОБЪЕКТЫ'!$B$56*'ОБЪЕКТЫ'!AK50/'ОБЪЕКТЫ'!$B$50,0),0)-IF('ОБЪЕКТЫ'!$B$64=2,IFERROR('ОБЪЕКТЫ'!$B$84*'ОБЪЕКТЫ'!AK78/'ОБЪЕКТЫ'!$B$78,0),0)-AK53-AK57-AK21</x:f>
      </x:c>
      <x:c r="AL22" s="117">
        <x:f>AL10-IFERROR((SUM($D$20:$DS$20)-'ОБЪЕКТЫ'!$B$104)*('Продажи'!AL37+'Продажи'!AL40+'Продажи'!AL43+'Продажи'!AL46)/(SUM('Продажи'!$D$37:$DS$37)+SUM('Продажи'!$D$40:$DS$40)+SUM('Продажи'!$D$43:$DS$43)+SUM('Продажи'!$D$46:$DS$46)),0)-IF('ОБЪЕКТЫ'!$B$8=2,IFERROR('ОБЪЕКТЫ'!$B$28*'ОБЪЕКТЫ'!AL22/'ОБЪЕКТЫ'!$B$22,0),0)-IF('ОБЪЕКТЫ'!$B$36=2,IFERROR('ОБЪЕКТЫ'!$B$56*'ОБЪЕКТЫ'!AL50/'ОБЪЕКТЫ'!$B$50,0),0)-IF('ОБЪЕКТЫ'!$B$64=2,IFERROR('ОБЪЕКТЫ'!$B$84*'ОБЪЕКТЫ'!AL78/'ОБЪЕКТЫ'!$B$78,0),0)-AL53-AL57-AL21</x:f>
      </x:c>
      <x:c r="AM22" s="117">
        <x:f>AM10-IFERROR((SUM($D$20:$DS$20)-'ОБЪЕКТЫ'!$B$104)*('Продажи'!AM37+'Продажи'!AM40+'Продажи'!AM43+'Продажи'!AM46)/(SUM('Продажи'!$D$37:$DS$37)+SUM('Продажи'!$D$40:$DS$40)+SUM('Продажи'!$D$43:$DS$43)+SUM('Продажи'!$D$46:$DS$46)),0)-IF('ОБЪЕКТЫ'!$B$8=2,IFERROR('ОБЪЕКТЫ'!$B$28*'ОБЪЕКТЫ'!AM22/'ОБЪЕКТЫ'!$B$22,0),0)-IF('ОБЪЕКТЫ'!$B$36=2,IFERROR('ОБЪЕКТЫ'!$B$56*'ОБЪЕКТЫ'!AM50/'ОБЪЕКТЫ'!$B$50,0),0)-IF('ОБЪЕКТЫ'!$B$64=2,IFERROR('ОБЪЕКТЫ'!$B$84*'ОБЪЕКТЫ'!AM78/'ОБЪЕКТЫ'!$B$78,0),0)-AM53-AM57-AM21</x:f>
      </x:c>
      <x:c r="AN22" s="117">
        <x:f>AN10-IFERROR((SUM($D$20:$DS$20)-'ОБЪЕКТЫ'!$B$104)*('Продажи'!AN37+'Продажи'!AN40+'Продажи'!AN43+'Продажи'!AN46)/(SUM('Продажи'!$D$37:$DS$37)+SUM('Продажи'!$D$40:$DS$40)+SUM('Продажи'!$D$43:$DS$43)+SUM('Продажи'!$D$46:$DS$46)),0)-IF('ОБЪЕКТЫ'!$B$8=2,IFERROR('ОБЪЕКТЫ'!$B$28*'ОБЪЕКТЫ'!AN22/'ОБЪЕКТЫ'!$B$22,0),0)-IF('ОБЪЕКТЫ'!$B$36=2,IFERROR('ОБЪЕКТЫ'!$B$56*'ОБЪЕКТЫ'!AN50/'ОБЪЕКТЫ'!$B$50,0),0)-IF('ОБЪЕКТЫ'!$B$64=2,IFERROR('ОБЪЕКТЫ'!$B$84*'ОБЪЕКТЫ'!AN78/'ОБЪЕКТЫ'!$B$78,0),0)-AN53-AN57-AN21</x:f>
      </x:c>
      <x:c r="AO22" s="117">
        <x:f>AO10-IFERROR((SUM($D$20:$DS$20)-'ОБЪЕКТЫ'!$B$104)*('Продажи'!AO37+'Продажи'!AO40+'Продажи'!AO43+'Продажи'!AO46)/(SUM('Продажи'!$D$37:$DS$37)+SUM('Продажи'!$D$40:$DS$40)+SUM('Продажи'!$D$43:$DS$43)+SUM('Продажи'!$D$46:$DS$46)),0)-IF('ОБЪЕКТЫ'!$B$8=2,IFERROR('ОБЪЕКТЫ'!$B$28*'ОБЪЕКТЫ'!AO22/'ОБЪЕКТЫ'!$B$22,0),0)-IF('ОБЪЕКТЫ'!$B$36=2,IFERROR('ОБЪЕКТЫ'!$B$56*'ОБЪЕКТЫ'!AO50/'ОБЪЕКТЫ'!$B$50,0),0)-IF('ОБЪЕКТЫ'!$B$64=2,IFERROR('ОБЪЕКТЫ'!$B$84*'ОБЪЕКТЫ'!AO78/'ОБЪЕКТЫ'!$B$78,0),0)-AO53-AO57-AO21</x:f>
      </x:c>
      <x:c r="AP22" s="117">
        <x:f>AP10-IFERROR((SUM($D$20:$DS$20)-'ОБЪЕКТЫ'!$B$104)*('Продажи'!AP37+'Продажи'!AP40+'Продажи'!AP43+'Продажи'!AP46)/(SUM('Продажи'!$D$37:$DS$37)+SUM('Продажи'!$D$40:$DS$40)+SUM('Продажи'!$D$43:$DS$43)+SUM('Продажи'!$D$46:$DS$46)),0)-IF('ОБЪЕКТЫ'!$B$8=2,IFERROR('ОБЪЕКТЫ'!$B$28*'ОБЪЕКТЫ'!AP22/'ОБЪЕКТЫ'!$B$22,0),0)-IF('ОБЪЕКТЫ'!$B$36=2,IFERROR('ОБЪЕКТЫ'!$B$56*'ОБЪЕКТЫ'!AP50/'ОБЪЕКТЫ'!$B$50,0),0)-IF('ОБЪЕКТЫ'!$B$64=2,IFERROR('ОБЪЕКТЫ'!$B$84*'ОБЪЕКТЫ'!AP78/'ОБЪЕКТЫ'!$B$78,0),0)-AP53-AP57-AP21</x:f>
      </x:c>
      <x:c r="AQ22" s="117">
        <x:f>AQ10-IFERROR((SUM($D$20:$DS$20)-'ОБЪЕКТЫ'!$B$104)*('Продажи'!AQ37+'Продажи'!AQ40+'Продажи'!AQ43+'Продажи'!AQ46)/(SUM('Продажи'!$D$37:$DS$37)+SUM('Продажи'!$D$40:$DS$40)+SUM('Продажи'!$D$43:$DS$43)+SUM('Продажи'!$D$46:$DS$46)),0)-IF('ОБЪЕКТЫ'!$B$8=2,IFERROR('ОБЪЕКТЫ'!$B$28*'ОБЪЕКТЫ'!AQ22/'ОБЪЕКТЫ'!$B$22,0),0)-IF('ОБЪЕКТЫ'!$B$36=2,IFERROR('ОБЪЕКТЫ'!$B$56*'ОБЪЕКТЫ'!AQ50/'ОБЪЕКТЫ'!$B$50,0),0)-IF('ОБЪЕКТЫ'!$B$64=2,IFERROR('ОБЪЕКТЫ'!$B$84*'ОБЪЕКТЫ'!AQ78/'ОБЪЕКТЫ'!$B$78,0),0)-AQ53-AQ57-AQ21</x:f>
      </x:c>
      <x:c r="AR22" s="117">
        <x:f>AR10-IFERROR((SUM($D$20:$DS$20)-'ОБЪЕКТЫ'!$B$104)*('Продажи'!AR37+'Продажи'!AR40+'Продажи'!AR43+'Продажи'!AR46)/(SUM('Продажи'!$D$37:$DS$37)+SUM('Продажи'!$D$40:$DS$40)+SUM('Продажи'!$D$43:$DS$43)+SUM('Продажи'!$D$46:$DS$46)),0)-IF('ОБЪЕКТЫ'!$B$8=2,IFERROR('ОБЪЕКТЫ'!$B$28*'ОБЪЕКТЫ'!AR22/'ОБЪЕКТЫ'!$B$22,0),0)-IF('ОБЪЕКТЫ'!$B$36=2,IFERROR('ОБЪЕКТЫ'!$B$56*'ОБЪЕКТЫ'!AR50/'ОБЪЕКТЫ'!$B$50,0),0)-IF('ОБЪЕКТЫ'!$B$64=2,IFERROR('ОБЪЕКТЫ'!$B$84*'ОБЪЕКТЫ'!AR78/'ОБЪЕКТЫ'!$B$78,0),0)-AR53-AR57-AR21</x:f>
      </x:c>
      <x:c r="AS22" s="117">
        <x:f>AS10-IFERROR((SUM($D$20:$DS$20)-'ОБЪЕКТЫ'!$B$104)*('Продажи'!AS37+'Продажи'!AS40+'Продажи'!AS43+'Продажи'!AS46)/(SUM('Продажи'!$D$37:$DS$37)+SUM('Продажи'!$D$40:$DS$40)+SUM('Продажи'!$D$43:$DS$43)+SUM('Продажи'!$D$46:$DS$46)),0)-IF('ОБЪЕКТЫ'!$B$8=2,IFERROR('ОБЪЕКТЫ'!$B$28*'ОБЪЕКТЫ'!AS22/'ОБЪЕКТЫ'!$B$22,0),0)-IF('ОБЪЕКТЫ'!$B$36=2,IFERROR('ОБЪЕКТЫ'!$B$56*'ОБЪЕКТЫ'!AS50/'ОБЪЕКТЫ'!$B$50,0),0)-IF('ОБЪЕКТЫ'!$B$64=2,IFERROR('ОБЪЕКТЫ'!$B$84*'ОБЪЕКТЫ'!AS78/'ОБЪЕКТЫ'!$B$78,0),0)-AS53-AS57-AS21</x:f>
      </x:c>
      <x:c r="AT22" s="117">
        <x:f>AT10-IFERROR((SUM($D$20:$DS$20)-'ОБЪЕКТЫ'!$B$104)*('Продажи'!AT37+'Продажи'!AT40+'Продажи'!AT43+'Продажи'!AT46)/(SUM('Продажи'!$D$37:$DS$37)+SUM('Продажи'!$D$40:$DS$40)+SUM('Продажи'!$D$43:$DS$43)+SUM('Продажи'!$D$46:$DS$46)),0)-IF('ОБЪЕКТЫ'!$B$8=2,IFERROR('ОБЪЕКТЫ'!$B$28*'ОБЪЕКТЫ'!AT22/'ОБЪЕКТЫ'!$B$22,0),0)-IF('ОБЪЕКТЫ'!$B$36=2,IFERROR('ОБЪЕКТЫ'!$B$56*'ОБЪЕКТЫ'!AT50/'ОБЪЕКТЫ'!$B$50,0),0)-IF('ОБЪЕКТЫ'!$B$64=2,IFERROR('ОБЪЕКТЫ'!$B$84*'ОБЪЕКТЫ'!AT78/'ОБЪЕКТЫ'!$B$78,0),0)-AT53-AT57-AT21</x:f>
      </x:c>
      <x:c r="AU22" s="117">
        <x:f>AU10-IFERROR((SUM($D$20:$DS$20)-'ОБЪЕКТЫ'!$B$104)*('Продажи'!AU37+'Продажи'!AU40+'Продажи'!AU43+'Продажи'!AU46)/(SUM('Продажи'!$D$37:$DS$37)+SUM('Продажи'!$D$40:$DS$40)+SUM('Продажи'!$D$43:$DS$43)+SUM('Продажи'!$D$46:$DS$46)),0)-IF('ОБЪЕКТЫ'!$B$8=2,IFERROR('ОБЪЕКТЫ'!$B$28*'ОБЪЕКТЫ'!AU22/'ОБЪЕКТЫ'!$B$22,0),0)-IF('ОБЪЕКТЫ'!$B$36=2,IFERROR('ОБЪЕКТЫ'!$B$56*'ОБЪЕКТЫ'!AU50/'ОБЪЕКТЫ'!$B$50,0),0)-IF('ОБЪЕКТЫ'!$B$64=2,IFERROR('ОБЪЕКТЫ'!$B$84*'ОБЪЕКТЫ'!AU78/'ОБЪЕКТЫ'!$B$78,0),0)-AU53-AU57-AU21</x:f>
      </x:c>
      <x:c r="AV22" s="117">
        <x:f>AV10-IFERROR((SUM($D$20:$DS$20)-'ОБЪЕКТЫ'!$B$104)*('Продажи'!AV37+'Продажи'!AV40+'Продажи'!AV43+'Продажи'!AV46)/(SUM('Продажи'!$D$37:$DS$37)+SUM('Продажи'!$D$40:$DS$40)+SUM('Продажи'!$D$43:$DS$43)+SUM('Продажи'!$D$46:$DS$46)),0)-IF('ОБЪЕКТЫ'!$B$8=2,IFERROR('ОБЪЕКТЫ'!$B$28*'ОБЪЕКТЫ'!AV22/'ОБЪЕКТЫ'!$B$22,0),0)-IF('ОБЪЕКТЫ'!$B$36=2,IFERROR('ОБЪЕКТЫ'!$B$56*'ОБЪЕКТЫ'!AV50/'ОБЪЕКТЫ'!$B$50,0),0)-IF('ОБЪЕКТЫ'!$B$64=2,IFERROR('ОБЪЕКТЫ'!$B$84*'ОБЪЕКТЫ'!AV78/'ОБЪЕКТЫ'!$B$78,0),0)-AV53-AV57-AV21</x:f>
      </x:c>
      <x:c r="AW22" s="117">
        <x:f>AW10-IFERROR((SUM($D$20:$DS$20)-'ОБЪЕКТЫ'!$B$104)*('Продажи'!AW37+'Продажи'!AW40+'Продажи'!AW43+'Продажи'!AW46)/(SUM('Продажи'!$D$37:$DS$37)+SUM('Продажи'!$D$40:$DS$40)+SUM('Продажи'!$D$43:$DS$43)+SUM('Продажи'!$D$46:$DS$46)),0)-IF('ОБЪЕКТЫ'!$B$8=2,IFERROR('ОБЪЕКТЫ'!$B$28*'ОБЪЕКТЫ'!AW22/'ОБЪЕКТЫ'!$B$22,0),0)-IF('ОБЪЕКТЫ'!$B$36=2,IFERROR('ОБЪЕКТЫ'!$B$56*'ОБЪЕКТЫ'!AW50/'ОБЪЕКТЫ'!$B$50,0),0)-IF('ОБЪЕКТЫ'!$B$64=2,IFERROR('ОБЪЕКТЫ'!$B$84*'ОБЪЕКТЫ'!AW78/'ОБЪЕКТЫ'!$B$78,0),0)-AW53-AW57-AW21</x:f>
      </x:c>
      <x:c r="AX22" s="117">
        <x:f>AX10-IFERROR((SUM($D$20:$DS$20)-'ОБЪЕКТЫ'!$B$104)*('Продажи'!AX37+'Продажи'!AX40+'Продажи'!AX43+'Продажи'!AX46)/(SUM('Продажи'!$D$37:$DS$37)+SUM('Продажи'!$D$40:$DS$40)+SUM('Продажи'!$D$43:$DS$43)+SUM('Продажи'!$D$46:$DS$46)),0)-IF('ОБЪЕКТЫ'!$B$8=2,IFERROR('ОБЪЕКТЫ'!$B$28*'ОБЪЕКТЫ'!AX22/'ОБЪЕКТЫ'!$B$22,0),0)-IF('ОБЪЕКТЫ'!$B$36=2,IFERROR('ОБЪЕКТЫ'!$B$56*'ОБЪЕКТЫ'!AX50/'ОБЪЕКТЫ'!$B$50,0),0)-IF('ОБЪЕКТЫ'!$B$64=2,IFERROR('ОБЪЕКТЫ'!$B$84*'ОБЪЕКТЫ'!AX78/'ОБЪЕКТЫ'!$B$78,0),0)-AX53-AX57-AX21</x:f>
      </x:c>
      <x:c r="AY22" s="117">
        <x:f>AY10-IFERROR((SUM($D$20:$DS$20)-'ОБЪЕКТЫ'!$B$104)*('Продажи'!AY37+'Продажи'!AY40+'Продажи'!AY43+'Продажи'!AY46)/(SUM('Продажи'!$D$37:$DS$37)+SUM('Продажи'!$D$40:$DS$40)+SUM('Продажи'!$D$43:$DS$43)+SUM('Продажи'!$D$46:$DS$46)),0)-IF('ОБЪЕКТЫ'!$B$8=2,IFERROR('ОБЪЕКТЫ'!$B$28*'ОБЪЕКТЫ'!AY22/'ОБЪЕКТЫ'!$B$22,0),0)-IF('ОБЪЕКТЫ'!$B$36=2,IFERROR('ОБЪЕКТЫ'!$B$56*'ОБЪЕКТЫ'!AY50/'ОБЪЕКТЫ'!$B$50,0),0)-IF('ОБЪЕКТЫ'!$B$64=2,IFERROR('ОБЪЕКТЫ'!$B$84*'ОБЪЕКТЫ'!AY78/'ОБЪЕКТЫ'!$B$78,0),0)-AY53-AY57-AY21</x:f>
      </x:c>
      <x:c r="AZ22" s="117">
        <x:f>AZ10-IFERROR((SUM($D$20:$DS$20)-'ОБЪЕКТЫ'!$B$104)*('Продажи'!AZ37+'Продажи'!AZ40+'Продажи'!AZ43+'Продажи'!AZ46)/(SUM('Продажи'!$D$37:$DS$37)+SUM('Продажи'!$D$40:$DS$40)+SUM('Продажи'!$D$43:$DS$43)+SUM('Продажи'!$D$46:$DS$46)),0)-IF('ОБЪЕКТЫ'!$B$8=2,IFERROR('ОБЪЕКТЫ'!$B$28*'ОБЪЕКТЫ'!AZ22/'ОБЪЕКТЫ'!$B$22,0),0)-IF('ОБЪЕКТЫ'!$B$36=2,IFERROR('ОБЪЕКТЫ'!$B$56*'ОБЪЕКТЫ'!AZ50/'ОБЪЕКТЫ'!$B$50,0),0)-IF('ОБЪЕКТЫ'!$B$64=2,IFERROR('ОБЪЕКТЫ'!$B$84*'ОБЪЕКТЫ'!AZ78/'ОБЪЕКТЫ'!$B$78,0),0)-AZ53-AZ57-AZ21</x:f>
      </x:c>
      <x:c r="BA22" s="117">
        <x:f>BA10-IFERROR((SUM($D$20:$DS$20)-'ОБЪЕКТЫ'!$B$104)*('Продажи'!BA37+'Продажи'!BA40+'Продажи'!BA43+'Продажи'!BA46)/(SUM('Продажи'!$D$37:$DS$37)+SUM('Продажи'!$D$40:$DS$40)+SUM('Продажи'!$D$43:$DS$43)+SUM('Продажи'!$D$46:$DS$46)),0)-IF('ОБЪЕКТЫ'!$B$8=2,IFERROR('ОБЪЕКТЫ'!$B$28*'ОБЪЕКТЫ'!BA22/'ОБЪЕКТЫ'!$B$22,0),0)-IF('ОБЪЕКТЫ'!$B$36=2,IFERROR('ОБЪЕКТЫ'!$B$56*'ОБЪЕКТЫ'!BA50/'ОБЪЕКТЫ'!$B$50,0),0)-IF('ОБЪЕКТЫ'!$B$64=2,IFERROR('ОБЪЕКТЫ'!$B$84*'ОБЪЕКТЫ'!BA78/'ОБЪЕКТЫ'!$B$78,0),0)-BA53-BA57-BA21</x:f>
      </x:c>
      <x:c r="BB22" s="117">
        <x:f>BB10-IFERROR((SUM($D$20:$DS$20)-'ОБЪЕКТЫ'!$B$104)*('Продажи'!BB37+'Продажи'!BB40+'Продажи'!BB43+'Продажи'!BB46)/(SUM('Продажи'!$D$37:$DS$37)+SUM('Продажи'!$D$40:$DS$40)+SUM('Продажи'!$D$43:$DS$43)+SUM('Продажи'!$D$46:$DS$46)),0)-IF('ОБЪЕКТЫ'!$B$8=2,IFERROR('ОБЪЕКТЫ'!$B$28*'ОБЪЕКТЫ'!BB22/'ОБЪЕКТЫ'!$B$22,0),0)-IF('ОБЪЕКТЫ'!$B$36=2,IFERROR('ОБЪЕКТЫ'!$B$56*'ОБЪЕКТЫ'!BB50/'ОБЪЕКТЫ'!$B$50,0),0)-IF('ОБЪЕКТЫ'!$B$64=2,IFERROR('ОБЪЕКТЫ'!$B$84*'ОБЪЕКТЫ'!BB78/'ОБЪЕКТЫ'!$B$78,0),0)-BB53-BB57-BB21</x:f>
      </x:c>
      <x:c r="BC22" s="117">
        <x:f>BC10-IFERROR((SUM($D$20:$DS$20)-'ОБЪЕКТЫ'!$B$104)*('Продажи'!BC37+'Продажи'!BC40+'Продажи'!BC43+'Продажи'!BC46)/(SUM('Продажи'!$D$37:$DS$37)+SUM('Продажи'!$D$40:$DS$40)+SUM('Продажи'!$D$43:$DS$43)+SUM('Продажи'!$D$46:$DS$46)),0)-IF('ОБЪЕКТЫ'!$B$8=2,IFERROR('ОБЪЕКТЫ'!$B$28*'ОБЪЕКТЫ'!BC22/'ОБЪЕКТЫ'!$B$22,0),0)-IF('ОБЪЕКТЫ'!$B$36=2,IFERROR('ОБЪЕКТЫ'!$B$56*'ОБЪЕКТЫ'!BC50/'ОБЪЕКТЫ'!$B$50,0),0)-IF('ОБЪЕКТЫ'!$B$64=2,IFERROR('ОБЪЕКТЫ'!$B$84*'ОБЪЕКТЫ'!BC78/'ОБЪЕКТЫ'!$B$78,0),0)-BC53-BC57-BC21</x:f>
      </x:c>
      <x:c r="BD22" s="117">
        <x:f>BD10-IFERROR((SUM($D$20:$DS$20)-'ОБЪЕКТЫ'!$B$104)*('Продажи'!BD37+'Продажи'!BD40+'Продажи'!BD43+'Продажи'!BD46)/(SUM('Продажи'!$D$37:$DS$37)+SUM('Продажи'!$D$40:$DS$40)+SUM('Продажи'!$D$43:$DS$43)+SUM('Продажи'!$D$46:$DS$46)),0)-IF('ОБЪЕКТЫ'!$B$8=2,IFERROR('ОБЪЕКТЫ'!$B$28*'ОБЪЕКТЫ'!BD22/'ОБЪЕКТЫ'!$B$22,0),0)-IF('ОБЪЕКТЫ'!$B$36=2,IFERROR('ОБЪЕКТЫ'!$B$56*'ОБЪЕКТЫ'!BD50/'ОБЪЕКТЫ'!$B$50,0),0)-IF('ОБЪЕКТЫ'!$B$64=2,IFERROR('ОБЪЕКТЫ'!$B$84*'ОБЪЕКТЫ'!BD78/'ОБЪЕКТЫ'!$B$78,0),0)-BD53-BD57-BD21</x:f>
      </x:c>
      <x:c r="BE22" s="117">
        <x:f>BE10-IFERROR((SUM($D$20:$DS$20)-'ОБЪЕКТЫ'!$B$104)*('Продажи'!BE37+'Продажи'!BE40+'Продажи'!BE43+'Продажи'!BE46)/(SUM('Продажи'!$D$37:$DS$37)+SUM('Продажи'!$D$40:$DS$40)+SUM('Продажи'!$D$43:$DS$43)+SUM('Продажи'!$D$46:$DS$46)),0)-IF('ОБЪЕКТЫ'!$B$8=2,IFERROR('ОБЪЕКТЫ'!$B$28*'ОБЪЕКТЫ'!BE22/'ОБЪЕКТЫ'!$B$22,0),0)-IF('ОБЪЕКТЫ'!$B$36=2,IFERROR('ОБЪЕКТЫ'!$B$56*'ОБЪЕКТЫ'!BE50/'ОБЪЕКТЫ'!$B$50,0),0)-IF('ОБЪЕКТЫ'!$B$64=2,IFERROR('ОБЪЕКТЫ'!$B$84*'ОБЪЕКТЫ'!BE78/'ОБЪЕКТЫ'!$B$78,0),0)-BE53-BE57-BE21</x:f>
      </x:c>
      <x:c r="BF22" s="117">
        <x:f>BF10-IFERROR((SUM($D$20:$DS$20)-'ОБЪЕКТЫ'!$B$104)*('Продажи'!BF37+'Продажи'!BF40+'Продажи'!BF43+'Продажи'!BF46)/(SUM('Продажи'!$D$37:$DS$37)+SUM('Продажи'!$D$40:$DS$40)+SUM('Продажи'!$D$43:$DS$43)+SUM('Продажи'!$D$46:$DS$46)),0)-IF('ОБЪЕКТЫ'!$B$8=2,IFERROR('ОБЪЕКТЫ'!$B$28*'ОБЪЕКТЫ'!BF22/'ОБЪЕКТЫ'!$B$22,0),0)-IF('ОБЪЕКТЫ'!$B$36=2,IFERROR('ОБЪЕКТЫ'!$B$56*'ОБЪЕКТЫ'!BF50/'ОБЪЕКТЫ'!$B$50,0),0)-IF('ОБЪЕКТЫ'!$B$64=2,IFERROR('ОБЪЕКТЫ'!$B$84*'ОБЪЕКТЫ'!BF78/'ОБЪЕКТЫ'!$B$78,0),0)-BF53-BF57-BF21</x:f>
      </x:c>
      <x:c r="BG22" s="117">
        <x:f>BG10-IFERROR((SUM($D$20:$DS$20)-'ОБЪЕКТЫ'!$B$104)*('Продажи'!BG37+'Продажи'!BG40+'Продажи'!BG43+'Продажи'!BG46)/(SUM('Продажи'!$D$37:$DS$37)+SUM('Продажи'!$D$40:$DS$40)+SUM('Продажи'!$D$43:$DS$43)+SUM('Продажи'!$D$46:$DS$46)),0)-IF('ОБЪЕКТЫ'!$B$8=2,IFERROR('ОБЪЕКТЫ'!$B$28*'ОБЪЕКТЫ'!BG22/'ОБЪЕКТЫ'!$B$22,0),0)-IF('ОБЪЕКТЫ'!$B$36=2,IFERROR('ОБЪЕКТЫ'!$B$56*'ОБЪЕКТЫ'!BG50/'ОБЪЕКТЫ'!$B$50,0),0)-IF('ОБЪЕКТЫ'!$B$64=2,IFERROR('ОБЪЕКТЫ'!$B$84*'ОБЪЕКТЫ'!BG78/'ОБЪЕКТЫ'!$B$78,0),0)-BG53-BG57-BG21</x:f>
      </x:c>
      <x:c r="BH22" s="117">
        <x:f>BH10-IFERROR((SUM($D$20:$DS$20)-'ОБЪЕКТЫ'!$B$104)*('Продажи'!BH37+'Продажи'!BH40+'Продажи'!BH43+'Продажи'!BH46)/(SUM('Продажи'!$D$37:$DS$37)+SUM('Продажи'!$D$40:$DS$40)+SUM('Продажи'!$D$43:$DS$43)+SUM('Продажи'!$D$46:$DS$46)),0)-IF('ОБЪЕКТЫ'!$B$8=2,IFERROR('ОБЪЕКТЫ'!$B$28*'ОБЪЕКТЫ'!BH22/'ОБЪЕКТЫ'!$B$22,0),0)-IF('ОБЪЕКТЫ'!$B$36=2,IFERROR('ОБЪЕКТЫ'!$B$56*'ОБЪЕКТЫ'!BH50/'ОБЪЕКТЫ'!$B$50,0),0)-IF('ОБЪЕКТЫ'!$B$64=2,IFERROR('ОБЪЕКТЫ'!$B$84*'ОБЪЕКТЫ'!BH78/'ОБЪЕКТЫ'!$B$78,0),0)-BH53-BH57-BH21</x:f>
      </x:c>
      <x:c r="BI22" s="117">
        <x:f>BI10-IFERROR((SUM($D$20:$DS$20)-'ОБЪЕКТЫ'!$B$104)*('Продажи'!BI37+'Продажи'!BI40+'Продажи'!BI43+'Продажи'!BI46)/(SUM('Продажи'!$D$37:$DS$37)+SUM('Продажи'!$D$40:$DS$40)+SUM('Продажи'!$D$43:$DS$43)+SUM('Продажи'!$D$46:$DS$46)),0)-IF('ОБЪЕКТЫ'!$B$8=2,IFERROR('ОБЪЕКТЫ'!$B$28*'ОБЪЕКТЫ'!BI22/'ОБЪЕКТЫ'!$B$22,0),0)-IF('ОБЪЕКТЫ'!$B$36=2,IFERROR('ОБЪЕКТЫ'!$B$56*'ОБЪЕКТЫ'!BI50/'ОБЪЕКТЫ'!$B$50,0),0)-IF('ОБЪЕКТЫ'!$B$64=2,IFERROR('ОБЪЕКТЫ'!$B$84*'ОБЪЕКТЫ'!BI78/'ОБЪЕКТЫ'!$B$78,0),0)-BI53-BI57-BI21</x:f>
      </x:c>
      <x:c r="BJ22" s="117">
        <x:f>BJ10-IFERROR((SUM($D$20:$DS$20)-'ОБЪЕКТЫ'!$B$104)*('Продажи'!BJ37+'Продажи'!BJ40+'Продажи'!BJ43+'Продажи'!BJ46)/(SUM('Продажи'!$D$37:$DS$37)+SUM('Продажи'!$D$40:$DS$40)+SUM('Продажи'!$D$43:$DS$43)+SUM('Продажи'!$D$46:$DS$46)),0)-IF('ОБЪЕКТЫ'!$B$8=2,IFERROR('ОБЪЕКТЫ'!$B$28*'ОБЪЕКТЫ'!BJ22/'ОБЪЕКТЫ'!$B$22,0),0)-IF('ОБЪЕКТЫ'!$B$36=2,IFERROR('ОБЪЕКТЫ'!$B$56*'ОБЪЕКТЫ'!BJ50/'ОБЪЕКТЫ'!$B$50,0),0)-IF('ОБЪЕКТЫ'!$B$64=2,IFERROR('ОБЪЕКТЫ'!$B$84*'ОБЪЕКТЫ'!BJ78/'ОБЪЕКТЫ'!$B$78,0),0)-BJ53-BJ57-BJ21</x:f>
      </x:c>
      <x:c r="BK22" s="117">
        <x:f>BK10-IFERROR((SUM($D$20:$DS$20)-'ОБЪЕКТЫ'!$B$104)*('Продажи'!BK37+'Продажи'!BK40+'Продажи'!BK43+'Продажи'!BK46)/(SUM('Продажи'!$D$37:$DS$37)+SUM('Продажи'!$D$40:$DS$40)+SUM('Продажи'!$D$43:$DS$43)+SUM('Продажи'!$D$46:$DS$46)),0)-IF('ОБЪЕКТЫ'!$B$8=2,IFERROR('ОБЪЕКТЫ'!$B$28*'ОБЪЕКТЫ'!BK22/'ОБЪЕКТЫ'!$B$22,0),0)-IF('ОБЪЕКТЫ'!$B$36=2,IFERROR('ОБЪЕКТЫ'!$B$56*'ОБЪЕКТЫ'!BK50/'ОБЪЕКТЫ'!$B$50,0),0)-IF('ОБЪЕКТЫ'!$B$64=2,IFERROR('ОБЪЕКТЫ'!$B$84*'ОБЪЕКТЫ'!BK78/'ОБЪЕКТЫ'!$B$78,0),0)-BK53-BK57-BK21</x:f>
      </x:c>
      <x:c r="BL22" s="117">
        <x:f>BL10-IFERROR((SUM($D$20:$DS$20)-'ОБЪЕКТЫ'!$B$104)*('Продажи'!BL37+'Продажи'!BL40+'Продажи'!BL43+'Продажи'!BL46)/(SUM('Продажи'!$D$37:$DS$37)+SUM('Продажи'!$D$40:$DS$40)+SUM('Продажи'!$D$43:$DS$43)+SUM('Продажи'!$D$46:$DS$46)),0)-IF('ОБЪЕКТЫ'!$B$8=2,IFERROR('ОБЪЕКТЫ'!$B$28*'ОБЪЕКТЫ'!BL22/'ОБЪЕКТЫ'!$B$22,0),0)-IF('ОБЪЕКТЫ'!$B$36=2,IFERROR('ОБЪЕКТЫ'!$B$56*'ОБЪЕКТЫ'!BL50/'ОБЪЕКТЫ'!$B$50,0),0)-IF('ОБЪЕКТЫ'!$B$64=2,IFERROR('ОБЪЕКТЫ'!$B$84*'ОБЪЕКТЫ'!BL78/'ОБЪЕКТЫ'!$B$78,0),0)-BL53-BL57-BL21</x:f>
      </x:c>
      <x:c r="BM22" s="117">
        <x:f>BM10-IFERROR((SUM($D$20:$DS$20)-'ОБЪЕКТЫ'!$B$104)*('Продажи'!BM37+'Продажи'!BM40+'Продажи'!BM43+'Продажи'!BM46)/(SUM('Продажи'!$D$37:$DS$37)+SUM('Продажи'!$D$40:$DS$40)+SUM('Продажи'!$D$43:$DS$43)+SUM('Продажи'!$D$46:$DS$46)),0)-IF('ОБЪЕКТЫ'!$B$8=2,IFERROR('ОБЪЕКТЫ'!$B$28*'ОБЪЕКТЫ'!BM22/'ОБЪЕКТЫ'!$B$22,0),0)-IF('ОБЪЕКТЫ'!$B$36=2,IFERROR('ОБЪЕКТЫ'!$B$56*'ОБЪЕКТЫ'!BM50/'ОБЪЕКТЫ'!$B$50,0),0)-IF('ОБЪЕКТЫ'!$B$64=2,IFERROR('ОБЪЕКТЫ'!$B$84*'ОБЪЕКТЫ'!BM78/'ОБЪЕКТЫ'!$B$78,0),0)-BM53-BM57-BM21</x:f>
      </x:c>
      <x:c r="BN22" s="117">
        <x:f>BN10-IFERROR((SUM($D$20:$DS$20)-'ОБЪЕКТЫ'!$B$104)*('Продажи'!BN37+'Продажи'!BN40+'Продажи'!BN43+'Продажи'!BN46)/(SUM('Продажи'!$D$37:$DS$37)+SUM('Продажи'!$D$40:$DS$40)+SUM('Продажи'!$D$43:$DS$43)+SUM('Продажи'!$D$46:$DS$46)),0)-IF('ОБЪЕКТЫ'!$B$8=2,IFERROR('ОБЪЕКТЫ'!$B$28*'ОБЪЕКТЫ'!BN22/'ОБЪЕКТЫ'!$B$22,0),0)-IF('ОБЪЕКТЫ'!$B$36=2,IFERROR('ОБЪЕКТЫ'!$B$56*'ОБЪЕКТЫ'!BN50/'ОБЪЕКТЫ'!$B$50,0),0)-IF('ОБЪЕКТЫ'!$B$64=2,IFERROR('ОБЪЕКТЫ'!$B$84*'ОБЪЕКТЫ'!BN78/'ОБЪЕКТЫ'!$B$78,0),0)-BN53-BN57-BN21</x:f>
      </x:c>
      <x:c r="BO22" s="117">
        <x:f>BO10-IFERROR((SUM($D$20:$DS$20)-'ОБЪЕКТЫ'!$B$104)*('Продажи'!BO37+'Продажи'!BO40+'Продажи'!BO43+'Продажи'!BO46)/(SUM('Продажи'!$D$37:$DS$37)+SUM('Продажи'!$D$40:$DS$40)+SUM('Продажи'!$D$43:$DS$43)+SUM('Продажи'!$D$46:$DS$46)),0)-IF('ОБЪЕКТЫ'!$B$8=2,IFERROR('ОБЪЕКТЫ'!$B$28*'ОБЪЕКТЫ'!BO22/'ОБЪЕКТЫ'!$B$22,0),0)-IF('ОБЪЕКТЫ'!$B$36=2,IFERROR('ОБЪЕКТЫ'!$B$56*'ОБЪЕКТЫ'!BO50/'ОБЪЕКТЫ'!$B$50,0),0)-IF('ОБЪЕКТЫ'!$B$64=2,IFERROR('ОБЪЕКТЫ'!$B$84*'ОБЪЕКТЫ'!BO78/'ОБЪЕКТЫ'!$B$78,0),0)-BO53-BO57-BO21</x:f>
      </x:c>
      <x:c r="BP22" s="117">
        <x:f>BP10-IFERROR((SUM($D$20:$DS$20)-'ОБЪЕКТЫ'!$B$104)*('Продажи'!BP37+'Продажи'!BP40+'Продажи'!BP43+'Продажи'!BP46)/(SUM('Продажи'!$D$37:$DS$37)+SUM('Продажи'!$D$40:$DS$40)+SUM('Продажи'!$D$43:$DS$43)+SUM('Продажи'!$D$46:$DS$46)),0)-IF('ОБЪЕКТЫ'!$B$8=2,IFERROR('ОБЪЕКТЫ'!$B$28*'ОБЪЕКТЫ'!BP22/'ОБЪЕКТЫ'!$B$22,0),0)-IF('ОБЪЕКТЫ'!$B$36=2,IFERROR('ОБЪЕКТЫ'!$B$56*'ОБЪЕКТЫ'!BP50/'ОБЪЕКТЫ'!$B$50,0),0)-IF('ОБЪЕКТЫ'!$B$64=2,IFERROR('ОБЪЕКТЫ'!$B$84*'ОБЪЕКТЫ'!BP78/'ОБЪЕКТЫ'!$B$78,0),0)-BP53-BP57-BP21</x:f>
      </x:c>
      <x:c r="BQ22" s="117">
        <x:f>BQ10-IFERROR((SUM($D$20:$DS$20)-'ОБЪЕКТЫ'!$B$104)*('Продажи'!BQ37+'Продажи'!BQ40+'Продажи'!BQ43+'Продажи'!BQ46)/(SUM('Продажи'!$D$37:$DS$37)+SUM('Продажи'!$D$40:$DS$40)+SUM('Продажи'!$D$43:$DS$43)+SUM('Продажи'!$D$46:$DS$46)),0)-IF('ОБЪЕКТЫ'!$B$8=2,IFERROR('ОБЪЕКТЫ'!$B$28*'ОБЪЕКТЫ'!BQ22/'ОБЪЕКТЫ'!$B$22,0),0)-IF('ОБЪЕКТЫ'!$B$36=2,IFERROR('ОБЪЕКТЫ'!$B$56*'ОБЪЕКТЫ'!BQ50/'ОБЪЕКТЫ'!$B$50,0),0)-IF('ОБЪЕКТЫ'!$B$64=2,IFERROR('ОБЪЕКТЫ'!$B$84*'ОБЪЕКТЫ'!BQ78/'ОБЪЕКТЫ'!$B$78,0),0)-BQ53-BQ57-BQ21</x:f>
      </x:c>
      <x:c r="BR22" s="117">
        <x:f>BR10-IFERROR((SUM($D$20:$DS$20)-'ОБЪЕКТЫ'!$B$104)*('Продажи'!BR37+'Продажи'!BR40+'Продажи'!BR43+'Продажи'!BR46)/(SUM('Продажи'!$D$37:$DS$37)+SUM('Продажи'!$D$40:$DS$40)+SUM('Продажи'!$D$43:$DS$43)+SUM('Продажи'!$D$46:$DS$46)),0)-IF('ОБЪЕКТЫ'!$B$8=2,IFERROR('ОБЪЕКТЫ'!$B$28*'ОБЪЕКТЫ'!BR22/'ОБЪЕКТЫ'!$B$22,0),0)-IF('ОБЪЕКТЫ'!$B$36=2,IFERROR('ОБЪЕКТЫ'!$B$56*'ОБЪЕКТЫ'!BR50/'ОБЪЕКТЫ'!$B$50,0),0)-IF('ОБЪЕКТЫ'!$B$64=2,IFERROR('ОБЪЕКТЫ'!$B$84*'ОБЪЕКТЫ'!BR78/'ОБЪЕКТЫ'!$B$78,0),0)-BR53-BR57-BR21</x:f>
      </x:c>
      <x:c r="BS22" s="117">
        <x:f>BS10-IFERROR((SUM($D$20:$DS$20)-'ОБЪЕКТЫ'!$B$104)*('Продажи'!BS37+'Продажи'!BS40+'Продажи'!BS43+'Продажи'!BS46)/(SUM('Продажи'!$D$37:$DS$37)+SUM('Продажи'!$D$40:$DS$40)+SUM('Продажи'!$D$43:$DS$43)+SUM('Продажи'!$D$46:$DS$46)),0)-IF('ОБЪЕКТЫ'!$B$8=2,IFERROR('ОБЪЕКТЫ'!$B$28*'ОБЪЕКТЫ'!BS22/'ОБЪЕКТЫ'!$B$22,0),0)-IF('ОБЪЕКТЫ'!$B$36=2,IFERROR('ОБЪЕКТЫ'!$B$56*'ОБЪЕКТЫ'!BS50/'ОБЪЕКТЫ'!$B$50,0),0)-IF('ОБЪЕКТЫ'!$B$64=2,IFERROR('ОБЪЕКТЫ'!$B$84*'ОБЪЕКТЫ'!BS78/'ОБЪЕКТЫ'!$B$78,0),0)-BS53-BS57-BS21</x:f>
      </x:c>
      <x:c r="BT22" s="117">
        <x:f>BT10-IFERROR((SUM($D$20:$DS$20)-'ОБЪЕКТЫ'!$B$104)*('Продажи'!BT37+'Продажи'!BT40+'Продажи'!BT43+'Продажи'!BT46)/(SUM('Продажи'!$D$37:$DS$37)+SUM('Продажи'!$D$40:$DS$40)+SUM('Продажи'!$D$43:$DS$43)+SUM('Продажи'!$D$46:$DS$46)),0)-IF('ОБЪЕКТЫ'!$B$8=2,IFERROR('ОБЪЕКТЫ'!$B$28*'ОБЪЕКТЫ'!BT22/'ОБЪЕКТЫ'!$B$22,0),0)-IF('ОБЪЕКТЫ'!$B$36=2,IFERROR('ОБЪЕКТЫ'!$B$56*'ОБЪЕКТЫ'!BT50/'ОБЪЕКТЫ'!$B$50,0),0)-IF('ОБЪЕКТЫ'!$B$64=2,IFERROR('ОБЪЕКТЫ'!$B$84*'ОБЪЕКТЫ'!BT78/'ОБЪЕКТЫ'!$B$78,0),0)-BT53-BT57-BT21</x:f>
      </x:c>
      <x:c r="BU22" s="117">
        <x:f>BU10-IFERROR((SUM($D$20:$DS$20)-'ОБЪЕКТЫ'!$B$104)*('Продажи'!BU37+'Продажи'!BU40+'Продажи'!BU43+'Продажи'!BU46)/(SUM('Продажи'!$D$37:$DS$37)+SUM('Продажи'!$D$40:$DS$40)+SUM('Продажи'!$D$43:$DS$43)+SUM('Продажи'!$D$46:$DS$46)),0)-IF('ОБЪЕКТЫ'!$B$8=2,IFERROR('ОБЪЕКТЫ'!$B$28*'ОБЪЕКТЫ'!BU22/'ОБЪЕКТЫ'!$B$22,0),0)-IF('ОБЪЕКТЫ'!$B$36=2,IFERROR('ОБЪЕКТЫ'!$B$56*'ОБЪЕКТЫ'!BU50/'ОБЪЕКТЫ'!$B$50,0),0)-IF('ОБЪЕКТЫ'!$B$64=2,IFERROR('ОБЪЕКТЫ'!$B$84*'ОБЪЕКТЫ'!BU78/'ОБЪЕКТЫ'!$B$78,0),0)-BU53-BU57-BU21</x:f>
      </x:c>
      <x:c r="BV22" s="117">
        <x:f>BV10-IFERROR((SUM($D$20:$DS$20)-'ОБЪЕКТЫ'!$B$104)*('Продажи'!BV37+'Продажи'!BV40+'Продажи'!BV43+'Продажи'!BV46)/(SUM('Продажи'!$D$37:$DS$37)+SUM('Продажи'!$D$40:$DS$40)+SUM('Продажи'!$D$43:$DS$43)+SUM('Продажи'!$D$46:$DS$46)),0)-IF('ОБЪЕКТЫ'!$B$8=2,IFERROR('ОБЪЕКТЫ'!$B$28*'ОБЪЕКТЫ'!BV22/'ОБЪЕКТЫ'!$B$22,0),0)-IF('ОБЪЕКТЫ'!$B$36=2,IFERROR('ОБЪЕКТЫ'!$B$56*'ОБЪЕКТЫ'!BV50/'ОБЪЕКТЫ'!$B$50,0),0)-IF('ОБЪЕКТЫ'!$B$64=2,IFERROR('ОБЪЕКТЫ'!$B$84*'ОБЪЕКТЫ'!BV78/'ОБЪЕКТЫ'!$B$78,0),0)-BV53-BV57-BV21</x:f>
      </x:c>
      <x:c r="BW22" s="117">
        <x:f>BW10-IFERROR((SUM($D$20:$DS$20)-'ОБЪЕКТЫ'!$B$104)*('Продажи'!BW37+'Продажи'!BW40+'Продажи'!BW43+'Продажи'!BW46)/(SUM('Продажи'!$D$37:$DS$37)+SUM('Продажи'!$D$40:$DS$40)+SUM('Продажи'!$D$43:$DS$43)+SUM('Продажи'!$D$46:$DS$46)),0)-IF('ОБЪЕКТЫ'!$B$8=2,IFERROR('ОБЪЕКТЫ'!$B$28*'ОБЪЕКТЫ'!BW22/'ОБЪЕКТЫ'!$B$22,0),0)-IF('ОБЪЕКТЫ'!$B$36=2,IFERROR('ОБЪЕКТЫ'!$B$56*'ОБЪЕКТЫ'!BW50/'ОБЪЕКТЫ'!$B$50,0),0)-IF('ОБЪЕКТЫ'!$B$64=2,IFERROR('ОБЪЕКТЫ'!$B$84*'ОБЪЕКТЫ'!BW78/'ОБЪЕКТЫ'!$B$78,0),0)-BW53-BW57-BW21</x:f>
      </x:c>
      <x:c r="BX22" s="117">
        <x:f>BX10-IFERROR((SUM($D$20:$DS$20)-'ОБЪЕКТЫ'!$B$104)*('Продажи'!BX37+'Продажи'!BX40+'Продажи'!BX43+'Продажи'!BX46)/(SUM('Продажи'!$D$37:$DS$37)+SUM('Продажи'!$D$40:$DS$40)+SUM('Продажи'!$D$43:$DS$43)+SUM('Продажи'!$D$46:$DS$46)),0)-IF('ОБЪЕКТЫ'!$B$8=2,IFERROR('ОБЪЕКТЫ'!$B$28*'ОБЪЕКТЫ'!BX22/'ОБЪЕКТЫ'!$B$22,0),0)-IF('ОБЪЕКТЫ'!$B$36=2,IFERROR('ОБЪЕКТЫ'!$B$56*'ОБЪЕКТЫ'!BX50/'ОБЪЕКТЫ'!$B$50,0),0)-IF('ОБЪЕКТЫ'!$B$64=2,IFERROR('ОБЪЕКТЫ'!$B$84*'ОБЪЕКТЫ'!BX78/'ОБЪЕКТЫ'!$B$78,0),0)-BX53-BX57-BX21</x:f>
      </x:c>
      <x:c r="BY22" s="117">
        <x:f>BY10-IFERROR((SUM($D$20:$DS$20)-'ОБЪЕКТЫ'!$B$104)*('Продажи'!BY37+'Продажи'!BY40+'Продажи'!BY43+'Продажи'!BY46)/(SUM('Продажи'!$D$37:$DS$37)+SUM('Продажи'!$D$40:$DS$40)+SUM('Продажи'!$D$43:$DS$43)+SUM('Продажи'!$D$46:$DS$46)),0)-IF('ОБЪЕКТЫ'!$B$8=2,IFERROR('ОБЪЕКТЫ'!$B$28*'ОБЪЕКТЫ'!BY22/'ОБЪЕКТЫ'!$B$22,0),0)-IF('ОБЪЕКТЫ'!$B$36=2,IFERROR('ОБЪЕКТЫ'!$B$56*'ОБЪЕКТЫ'!BY50/'ОБЪЕКТЫ'!$B$50,0),0)-IF('ОБЪЕКТЫ'!$B$64=2,IFERROR('ОБЪЕКТЫ'!$B$84*'ОБЪЕКТЫ'!BY78/'ОБЪЕКТЫ'!$B$78,0),0)-BY53-BY57-BY21</x:f>
      </x:c>
      <x:c r="BZ22" s="117">
        <x:f>BZ10-IFERROR((SUM($D$20:$DS$20)-'ОБЪЕКТЫ'!$B$104)*('Продажи'!BZ37+'Продажи'!BZ40+'Продажи'!BZ43+'Продажи'!BZ46)/(SUM('Продажи'!$D$37:$DS$37)+SUM('Продажи'!$D$40:$DS$40)+SUM('Продажи'!$D$43:$DS$43)+SUM('Продажи'!$D$46:$DS$46)),0)-IF('ОБЪЕКТЫ'!$B$8=2,IFERROR('ОБЪЕКТЫ'!$B$28*'ОБЪЕКТЫ'!BZ22/'ОБЪЕКТЫ'!$B$22,0),0)-IF('ОБЪЕКТЫ'!$B$36=2,IFERROR('ОБЪЕКТЫ'!$B$56*'ОБЪЕКТЫ'!BZ50/'ОБЪЕКТЫ'!$B$50,0),0)-IF('ОБЪЕКТЫ'!$B$64=2,IFERROR('ОБЪЕКТЫ'!$B$84*'ОБЪЕКТЫ'!BZ78/'ОБЪЕКТЫ'!$B$78,0),0)-BZ53-BZ57-BZ21</x:f>
      </x:c>
      <x:c r="CA22" s="117">
        <x:f>CA10-IFERROR((SUM($D$20:$DS$20)-'ОБЪЕКТЫ'!$B$104)*('Продажи'!CA37+'Продажи'!CA40+'Продажи'!CA43+'Продажи'!CA46)/(SUM('Продажи'!$D$37:$DS$37)+SUM('Продажи'!$D$40:$DS$40)+SUM('Продажи'!$D$43:$DS$43)+SUM('Продажи'!$D$46:$DS$46)),0)-IF('ОБЪЕКТЫ'!$B$8=2,IFERROR('ОБЪЕКТЫ'!$B$28*'ОБЪЕКТЫ'!CA22/'ОБЪЕКТЫ'!$B$22,0),0)-IF('ОБЪЕКТЫ'!$B$36=2,IFERROR('ОБЪЕКТЫ'!$B$56*'ОБЪЕКТЫ'!CA50/'ОБЪЕКТЫ'!$B$50,0),0)-IF('ОБЪЕКТЫ'!$B$64=2,IFERROR('ОБЪЕКТЫ'!$B$84*'ОБЪЕКТЫ'!CA78/'ОБЪЕКТЫ'!$B$78,0),0)-CA53-CA57-CA21</x:f>
      </x:c>
      <x:c r="CB22" s="117">
        <x:f>CB10-IFERROR((SUM($D$20:$DS$20)-'ОБЪЕКТЫ'!$B$104)*('Продажи'!CB37+'Продажи'!CB40+'Продажи'!CB43+'Продажи'!CB46)/(SUM('Продажи'!$D$37:$DS$37)+SUM('Продажи'!$D$40:$DS$40)+SUM('Продажи'!$D$43:$DS$43)+SUM('Продажи'!$D$46:$DS$46)),0)-IF('ОБЪЕКТЫ'!$B$8=2,IFERROR('ОБЪЕКТЫ'!$B$28*'ОБЪЕКТЫ'!CB22/'ОБЪЕКТЫ'!$B$22,0),0)-IF('ОБЪЕКТЫ'!$B$36=2,IFERROR('ОБЪЕКТЫ'!$B$56*'ОБЪЕКТЫ'!CB50/'ОБЪЕКТЫ'!$B$50,0),0)-IF('ОБЪЕКТЫ'!$B$64=2,IFERROR('ОБЪЕКТЫ'!$B$84*'ОБЪЕКТЫ'!CB78/'ОБЪЕКТЫ'!$B$78,0),0)-CB53-CB57-CB21</x:f>
      </x:c>
      <x:c r="CC22" s="117">
        <x:f>CC10-IFERROR((SUM($D$20:$DS$20)-'ОБЪЕКТЫ'!$B$104)*('Продажи'!CC37+'Продажи'!CC40+'Продажи'!CC43+'Продажи'!CC46)/(SUM('Продажи'!$D$37:$DS$37)+SUM('Продажи'!$D$40:$DS$40)+SUM('Продажи'!$D$43:$DS$43)+SUM('Продажи'!$D$46:$DS$46)),0)-IF('ОБЪЕКТЫ'!$B$8=2,IFERROR('ОБЪЕКТЫ'!$B$28*'ОБЪЕКТЫ'!CC22/'ОБЪЕКТЫ'!$B$22,0),0)-IF('ОБЪЕКТЫ'!$B$36=2,IFERROR('ОБЪЕКТЫ'!$B$56*'ОБЪЕКТЫ'!CC50/'ОБЪЕКТЫ'!$B$50,0),0)-IF('ОБЪЕКТЫ'!$B$64=2,IFERROR('ОБЪЕКТЫ'!$B$84*'ОБЪЕКТЫ'!CC78/'ОБЪЕКТЫ'!$B$78,0),0)-CC53-CC57-CC21</x:f>
      </x:c>
      <x:c r="CD22" s="117">
        <x:f>CD10-IFERROR((SUM($D$20:$DS$20)-'ОБЪЕКТЫ'!$B$104)*('Продажи'!CD37+'Продажи'!CD40+'Продажи'!CD43+'Продажи'!CD46)/(SUM('Продажи'!$D$37:$DS$37)+SUM('Продажи'!$D$40:$DS$40)+SUM('Продажи'!$D$43:$DS$43)+SUM('Продажи'!$D$46:$DS$46)),0)-IF('ОБЪЕКТЫ'!$B$8=2,IFERROR('ОБЪЕКТЫ'!$B$28*'ОБЪЕКТЫ'!CD22/'ОБЪЕКТЫ'!$B$22,0),0)-IF('ОБЪЕКТЫ'!$B$36=2,IFERROR('ОБЪЕКТЫ'!$B$56*'ОБЪЕКТЫ'!CD50/'ОБЪЕКТЫ'!$B$50,0),0)-IF('ОБЪЕКТЫ'!$B$64=2,IFERROR('ОБЪЕКТЫ'!$B$84*'ОБЪЕКТЫ'!CD78/'ОБЪЕКТЫ'!$B$78,0),0)-CD53-CD57-CD21</x:f>
      </x:c>
      <x:c r="CE22" s="117">
        <x:f>CE10-IFERROR((SUM($D$20:$DS$20)-'ОБЪЕКТЫ'!$B$104)*('Продажи'!CE37+'Продажи'!CE40+'Продажи'!CE43+'Продажи'!CE46)/(SUM('Продажи'!$D$37:$DS$37)+SUM('Продажи'!$D$40:$DS$40)+SUM('Продажи'!$D$43:$DS$43)+SUM('Продажи'!$D$46:$DS$46)),0)-IF('ОБЪЕКТЫ'!$B$8=2,IFERROR('ОБЪЕКТЫ'!$B$28*'ОБЪЕКТЫ'!CE22/'ОБЪЕКТЫ'!$B$22,0),0)-IF('ОБЪЕКТЫ'!$B$36=2,IFERROR('ОБЪЕКТЫ'!$B$56*'ОБЪЕКТЫ'!CE50/'ОБЪЕКТЫ'!$B$50,0),0)-IF('ОБЪЕКТЫ'!$B$64=2,IFERROR('ОБЪЕКТЫ'!$B$84*'ОБЪЕКТЫ'!CE78/'ОБЪЕКТЫ'!$B$78,0),0)-CE53-CE57-CE21</x:f>
      </x:c>
      <x:c r="CF22" s="117">
        <x:f>CF10-IFERROR((SUM($D$20:$DS$20)-'ОБЪЕКТЫ'!$B$104)*('Продажи'!CF37+'Продажи'!CF40+'Продажи'!CF43+'Продажи'!CF46)/(SUM('Продажи'!$D$37:$DS$37)+SUM('Продажи'!$D$40:$DS$40)+SUM('Продажи'!$D$43:$DS$43)+SUM('Продажи'!$D$46:$DS$46)),0)-IF('ОБЪЕКТЫ'!$B$8=2,IFERROR('ОБЪЕКТЫ'!$B$28*'ОБЪЕКТЫ'!CF22/'ОБЪЕКТЫ'!$B$22,0),0)-IF('ОБЪЕКТЫ'!$B$36=2,IFERROR('ОБЪЕКТЫ'!$B$56*'ОБЪЕКТЫ'!CF50/'ОБЪЕКТЫ'!$B$50,0),0)-IF('ОБЪЕКТЫ'!$B$64=2,IFERROR('ОБЪЕКТЫ'!$B$84*'ОБЪЕКТЫ'!CF78/'ОБЪЕКТЫ'!$B$78,0),0)-CF53-CF57-CF21</x:f>
      </x:c>
      <x:c r="CG22" s="117">
        <x:f>CG10-IFERROR((SUM($D$20:$DS$20)-'ОБЪЕКТЫ'!$B$104)*('Продажи'!CG37+'Продажи'!CG40+'Продажи'!CG43+'Продажи'!CG46)/(SUM('Продажи'!$D$37:$DS$37)+SUM('Продажи'!$D$40:$DS$40)+SUM('Продажи'!$D$43:$DS$43)+SUM('Продажи'!$D$46:$DS$46)),0)-IF('ОБЪЕКТЫ'!$B$8=2,IFERROR('ОБЪЕКТЫ'!$B$28*'ОБЪЕКТЫ'!CG22/'ОБЪЕКТЫ'!$B$22,0),0)-IF('ОБЪЕКТЫ'!$B$36=2,IFERROR('ОБЪЕКТЫ'!$B$56*'ОБЪЕКТЫ'!CG50/'ОБЪЕКТЫ'!$B$50,0),0)-IF('ОБЪЕКТЫ'!$B$64=2,IFERROR('ОБЪЕКТЫ'!$B$84*'ОБЪЕКТЫ'!CG78/'ОБЪЕКТЫ'!$B$78,0),0)-CG53-CG57-CG21</x:f>
      </x:c>
      <x:c r="CH22" s="117">
        <x:f>CH10-IFERROR((SUM($D$20:$DS$20)-'ОБЪЕКТЫ'!$B$104)*('Продажи'!CH37+'Продажи'!CH40+'Продажи'!CH43+'Продажи'!CH46)/(SUM('Продажи'!$D$37:$DS$37)+SUM('Продажи'!$D$40:$DS$40)+SUM('Продажи'!$D$43:$DS$43)+SUM('Продажи'!$D$46:$DS$46)),0)-IF('ОБЪЕКТЫ'!$B$8=2,IFERROR('ОБЪЕКТЫ'!$B$28*'ОБЪЕКТЫ'!CH22/'ОБЪЕКТЫ'!$B$22,0),0)-IF('ОБЪЕКТЫ'!$B$36=2,IFERROR('ОБЪЕКТЫ'!$B$56*'ОБЪЕКТЫ'!CH50/'ОБЪЕКТЫ'!$B$50,0),0)-IF('ОБЪЕКТЫ'!$B$64=2,IFERROR('ОБЪЕКТЫ'!$B$84*'ОБЪЕКТЫ'!CH78/'ОБЪЕКТЫ'!$B$78,0),0)-CH53-CH57-CH21</x:f>
      </x:c>
      <x:c r="CI22" s="117">
        <x:f>CI10-IFERROR((SUM($D$20:$DS$20)-'ОБЪЕКТЫ'!$B$104)*('Продажи'!CI37+'Продажи'!CI40+'Продажи'!CI43+'Продажи'!CI46)/(SUM('Продажи'!$D$37:$DS$37)+SUM('Продажи'!$D$40:$DS$40)+SUM('Продажи'!$D$43:$DS$43)+SUM('Продажи'!$D$46:$DS$46)),0)-IF('ОБЪЕКТЫ'!$B$8=2,IFERROR('ОБЪЕКТЫ'!$B$28*'ОБЪЕКТЫ'!CI22/'ОБЪЕКТЫ'!$B$22,0),0)-IF('ОБЪЕКТЫ'!$B$36=2,IFERROR('ОБЪЕКТЫ'!$B$56*'ОБЪЕКТЫ'!CI50/'ОБЪЕКТЫ'!$B$50,0),0)-IF('ОБЪЕКТЫ'!$B$64=2,IFERROR('ОБЪЕКТЫ'!$B$84*'ОБЪЕКТЫ'!CI78/'ОБЪЕКТЫ'!$B$78,0),0)-CI53-CI57-CI21</x:f>
      </x:c>
      <x:c r="CJ22" s="117">
        <x:f>CJ10-IFERROR((SUM($D$20:$DS$20)-'ОБЪЕКТЫ'!$B$104)*('Продажи'!CJ37+'Продажи'!CJ40+'Продажи'!CJ43+'Продажи'!CJ46)/(SUM('Продажи'!$D$37:$DS$37)+SUM('Продажи'!$D$40:$DS$40)+SUM('Продажи'!$D$43:$DS$43)+SUM('Продажи'!$D$46:$DS$46)),0)-IF('ОБЪЕКТЫ'!$B$8=2,IFERROR('ОБЪЕКТЫ'!$B$28*'ОБЪЕКТЫ'!CJ22/'ОБЪЕКТЫ'!$B$22,0),0)-IF('ОБЪЕКТЫ'!$B$36=2,IFERROR('ОБЪЕКТЫ'!$B$56*'ОБЪЕКТЫ'!CJ50/'ОБЪЕКТЫ'!$B$50,0),0)-IF('ОБЪЕКТЫ'!$B$64=2,IFERROR('ОБЪЕКТЫ'!$B$84*'ОБЪЕКТЫ'!CJ78/'ОБЪЕКТЫ'!$B$78,0),0)-CJ53-CJ57-CJ21</x:f>
      </x:c>
      <x:c r="CK22" s="117">
        <x:f>CK10-IFERROR((SUM($D$20:$DS$20)-'ОБЪЕКТЫ'!$B$104)*('Продажи'!CK37+'Продажи'!CK40+'Продажи'!CK43+'Продажи'!CK46)/(SUM('Продажи'!$D$37:$DS$37)+SUM('Продажи'!$D$40:$DS$40)+SUM('Продажи'!$D$43:$DS$43)+SUM('Продажи'!$D$46:$DS$46)),0)-IF('ОБЪЕКТЫ'!$B$8=2,IFERROR('ОБЪЕКТЫ'!$B$28*'ОБЪЕКТЫ'!CK22/'ОБЪЕКТЫ'!$B$22,0),0)-IF('ОБЪЕКТЫ'!$B$36=2,IFERROR('ОБЪЕКТЫ'!$B$56*'ОБЪЕКТЫ'!CK50/'ОБЪЕКТЫ'!$B$50,0),0)-IF('ОБЪЕКТЫ'!$B$64=2,IFERROR('ОБЪЕКТЫ'!$B$84*'ОБЪЕКТЫ'!CK78/'ОБЪЕКТЫ'!$B$78,0),0)-CK53-CK57-CK21</x:f>
      </x:c>
      <x:c r="CL22" s="117">
        <x:f>CL10-IFERROR((SUM($D$20:$DS$20)-'ОБЪЕКТЫ'!$B$104)*('Продажи'!CL37+'Продажи'!CL40+'Продажи'!CL43+'Продажи'!CL46)/(SUM('Продажи'!$D$37:$DS$37)+SUM('Продажи'!$D$40:$DS$40)+SUM('Продажи'!$D$43:$DS$43)+SUM('Продажи'!$D$46:$DS$46)),0)-IF('ОБЪЕКТЫ'!$B$8=2,IFERROR('ОБЪЕКТЫ'!$B$28*'ОБЪЕКТЫ'!CL22/'ОБЪЕКТЫ'!$B$22,0),0)-IF('ОБЪЕКТЫ'!$B$36=2,IFERROR('ОБЪЕКТЫ'!$B$56*'ОБЪЕКТЫ'!CL50/'ОБЪЕКТЫ'!$B$50,0),0)-IF('ОБЪЕКТЫ'!$B$64=2,IFERROR('ОБЪЕКТЫ'!$B$84*'ОБЪЕКТЫ'!CL78/'ОБЪЕКТЫ'!$B$78,0),0)-CL53-CL57-CL21</x:f>
      </x:c>
      <x:c r="CM22" s="117">
        <x:f>CM10-IFERROR((SUM($D$20:$DS$20)-'ОБЪЕКТЫ'!$B$104)*('Продажи'!CM37+'Продажи'!CM40+'Продажи'!CM43+'Продажи'!CM46)/(SUM('Продажи'!$D$37:$DS$37)+SUM('Продажи'!$D$40:$DS$40)+SUM('Продажи'!$D$43:$DS$43)+SUM('Продажи'!$D$46:$DS$46)),0)-IF('ОБЪЕКТЫ'!$B$8=2,IFERROR('ОБЪЕКТЫ'!$B$28*'ОБЪЕКТЫ'!CM22/'ОБЪЕКТЫ'!$B$22,0),0)-IF('ОБЪЕКТЫ'!$B$36=2,IFERROR('ОБЪЕКТЫ'!$B$56*'ОБЪЕКТЫ'!CM50/'ОБЪЕКТЫ'!$B$50,0),0)-IF('ОБЪЕКТЫ'!$B$64=2,IFERROR('ОБЪЕКТЫ'!$B$84*'ОБЪЕКТЫ'!CM78/'ОБЪЕКТЫ'!$B$78,0),0)-CM53-CM57-CM21</x:f>
      </x:c>
      <x:c r="CN22" s="117">
        <x:f>CN10-IFERROR((SUM($D$20:$DS$20)-'ОБЪЕКТЫ'!$B$104)*('Продажи'!CN37+'Продажи'!CN40+'Продажи'!CN43+'Продажи'!CN46)/(SUM('Продажи'!$D$37:$DS$37)+SUM('Продажи'!$D$40:$DS$40)+SUM('Продажи'!$D$43:$DS$43)+SUM('Продажи'!$D$46:$DS$46)),0)-IF('ОБЪЕКТЫ'!$B$8=2,IFERROR('ОБЪЕКТЫ'!$B$28*'ОБЪЕКТЫ'!CN22/'ОБЪЕКТЫ'!$B$22,0),0)-IF('ОБЪЕКТЫ'!$B$36=2,IFERROR('ОБЪЕКТЫ'!$B$56*'ОБЪЕКТЫ'!CN50/'ОБЪЕКТЫ'!$B$50,0),0)-IF('ОБЪЕКТЫ'!$B$64=2,IFERROR('ОБЪЕКТЫ'!$B$84*'ОБЪЕКТЫ'!CN78/'ОБЪЕКТЫ'!$B$78,0),0)-CN53-CN57-CN21</x:f>
      </x:c>
      <x:c r="CO22" s="117">
        <x:f>CO10-IFERROR((SUM($D$20:$DS$20)-'ОБЪЕКТЫ'!$B$104)*('Продажи'!CO37+'Продажи'!CO40+'Продажи'!CO43+'Продажи'!CO46)/(SUM('Продажи'!$D$37:$DS$37)+SUM('Продажи'!$D$40:$DS$40)+SUM('Продажи'!$D$43:$DS$43)+SUM('Продажи'!$D$46:$DS$46)),0)-IF('ОБЪЕКТЫ'!$B$8=2,IFERROR('ОБЪЕКТЫ'!$B$28*'ОБЪЕКТЫ'!CO22/'ОБЪЕКТЫ'!$B$22,0),0)-IF('ОБЪЕКТЫ'!$B$36=2,IFERROR('ОБЪЕКТЫ'!$B$56*'ОБЪЕКТЫ'!CO50/'ОБЪЕКТЫ'!$B$50,0),0)-IF('ОБЪЕКТЫ'!$B$64=2,IFERROR('ОБЪЕКТЫ'!$B$84*'ОБЪЕКТЫ'!CO78/'ОБЪЕКТЫ'!$B$78,0),0)-CO53-CO57-CO21</x:f>
      </x:c>
      <x:c r="CP22" s="117">
        <x:f>CP10-IFERROR((SUM($D$20:$DS$20)-'ОБЪЕКТЫ'!$B$104)*('Продажи'!CP37+'Продажи'!CP40+'Продажи'!CP43+'Продажи'!CP46)/(SUM('Продажи'!$D$37:$DS$37)+SUM('Продажи'!$D$40:$DS$40)+SUM('Продажи'!$D$43:$DS$43)+SUM('Продажи'!$D$46:$DS$46)),0)-IF('ОБЪЕКТЫ'!$B$8=2,IFERROR('ОБЪЕКТЫ'!$B$28*'ОБЪЕКТЫ'!CP22/'ОБЪЕКТЫ'!$B$22,0),0)-IF('ОБЪЕКТЫ'!$B$36=2,IFERROR('ОБЪЕКТЫ'!$B$56*'ОБЪЕКТЫ'!CP50/'ОБЪЕКТЫ'!$B$50,0),0)-IF('ОБЪЕКТЫ'!$B$64=2,IFERROR('ОБЪЕКТЫ'!$B$84*'ОБЪЕКТЫ'!CP78/'ОБЪЕКТЫ'!$B$78,0),0)-CP53-CP57-CP21</x:f>
      </x:c>
      <x:c r="CQ22" s="117">
        <x:f>CQ10-IFERROR((SUM($D$20:$DS$20)-'ОБЪЕКТЫ'!$B$104)*('Продажи'!CQ37+'Продажи'!CQ40+'Продажи'!CQ43+'Продажи'!CQ46)/(SUM('Продажи'!$D$37:$DS$37)+SUM('Продажи'!$D$40:$DS$40)+SUM('Продажи'!$D$43:$DS$43)+SUM('Продажи'!$D$46:$DS$46)),0)-IF('ОБЪЕКТЫ'!$B$8=2,IFERROR('ОБЪЕКТЫ'!$B$28*'ОБЪЕКТЫ'!CQ22/'ОБЪЕКТЫ'!$B$22,0),0)-IF('ОБЪЕКТЫ'!$B$36=2,IFERROR('ОБЪЕКТЫ'!$B$56*'ОБЪЕКТЫ'!CQ50/'ОБЪЕКТЫ'!$B$50,0),0)-IF('ОБЪЕКТЫ'!$B$64=2,IFERROR('ОБЪЕКТЫ'!$B$84*'ОБЪЕКТЫ'!CQ78/'ОБЪЕКТЫ'!$B$78,0),0)-CQ53-CQ57-CQ21</x:f>
      </x:c>
      <x:c r="CR22" s="117">
        <x:f>CR10-IFERROR((SUM($D$20:$DS$20)-'ОБЪЕКТЫ'!$B$104)*('Продажи'!CR37+'Продажи'!CR40+'Продажи'!CR43+'Продажи'!CR46)/(SUM('Продажи'!$D$37:$DS$37)+SUM('Продажи'!$D$40:$DS$40)+SUM('Продажи'!$D$43:$DS$43)+SUM('Продажи'!$D$46:$DS$46)),0)-IF('ОБЪЕКТЫ'!$B$8=2,IFERROR('ОБЪЕКТЫ'!$B$28*'ОБЪЕКТЫ'!CR22/'ОБЪЕКТЫ'!$B$22,0),0)-IF('ОБЪЕКТЫ'!$B$36=2,IFERROR('ОБЪЕКТЫ'!$B$56*'ОБЪЕКТЫ'!CR50/'ОБЪЕКТЫ'!$B$50,0),0)-IF('ОБЪЕКТЫ'!$B$64=2,IFERROR('ОБЪЕКТЫ'!$B$84*'ОБЪЕКТЫ'!CR78/'ОБЪЕКТЫ'!$B$78,0),0)-CR53-CR57-CR21</x:f>
      </x:c>
      <x:c r="CS22" s="117">
        <x:f>CS10-IFERROR((SUM($D$20:$DS$20)-'ОБЪЕКТЫ'!$B$104)*('Продажи'!CS37+'Продажи'!CS40+'Продажи'!CS43+'Продажи'!CS46)/(SUM('Продажи'!$D$37:$DS$37)+SUM('Продажи'!$D$40:$DS$40)+SUM('Продажи'!$D$43:$DS$43)+SUM('Продажи'!$D$46:$DS$46)),0)-IF('ОБЪЕКТЫ'!$B$8=2,IFERROR('ОБЪЕКТЫ'!$B$28*'ОБЪЕКТЫ'!CS22/'ОБЪЕКТЫ'!$B$22,0),0)-IF('ОБЪЕКТЫ'!$B$36=2,IFERROR('ОБЪЕКТЫ'!$B$56*'ОБЪЕКТЫ'!CS50/'ОБЪЕКТЫ'!$B$50,0),0)-IF('ОБЪЕКТЫ'!$B$64=2,IFERROR('ОБЪЕКТЫ'!$B$84*'ОБЪЕКТЫ'!CS78/'ОБЪЕКТЫ'!$B$78,0),0)-CS53-CS57-CS21</x:f>
      </x:c>
      <x:c r="CT22" s="117">
        <x:f>CT10-IFERROR((SUM($D$20:$DS$20)-'ОБЪЕКТЫ'!$B$104)*('Продажи'!CT37+'Продажи'!CT40+'Продажи'!CT43+'Продажи'!CT46)/(SUM('Продажи'!$D$37:$DS$37)+SUM('Продажи'!$D$40:$DS$40)+SUM('Продажи'!$D$43:$DS$43)+SUM('Продажи'!$D$46:$DS$46)),0)-IF('ОБЪЕКТЫ'!$B$8=2,IFERROR('ОБЪЕКТЫ'!$B$28*'ОБЪЕКТЫ'!CT22/'ОБЪЕКТЫ'!$B$22,0),0)-IF('ОБЪЕКТЫ'!$B$36=2,IFERROR('ОБЪЕКТЫ'!$B$56*'ОБЪЕКТЫ'!CT50/'ОБЪЕКТЫ'!$B$50,0),0)-IF('ОБЪЕКТЫ'!$B$64=2,IFERROR('ОБЪЕКТЫ'!$B$84*'ОБЪЕКТЫ'!CT78/'ОБЪЕКТЫ'!$B$78,0),0)-CT53-CT57-CT21</x:f>
      </x:c>
      <x:c r="CU22" s="117">
        <x:f>CU10-IFERROR((SUM($D$20:$DS$20)-'ОБЪЕКТЫ'!$B$104)*('Продажи'!CU37+'Продажи'!CU40+'Продажи'!CU43+'Продажи'!CU46)/(SUM('Продажи'!$D$37:$DS$37)+SUM('Продажи'!$D$40:$DS$40)+SUM('Продажи'!$D$43:$DS$43)+SUM('Продажи'!$D$46:$DS$46)),0)-IF('ОБЪЕКТЫ'!$B$8=2,IFERROR('ОБЪЕКТЫ'!$B$28*'ОБЪЕКТЫ'!CU22/'ОБЪЕКТЫ'!$B$22,0),0)-IF('ОБЪЕКТЫ'!$B$36=2,IFERROR('ОБЪЕКТЫ'!$B$56*'ОБЪЕКТЫ'!CU50/'ОБЪЕКТЫ'!$B$50,0),0)-IF('ОБЪЕКТЫ'!$B$64=2,IFERROR('ОБЪЕКТЫ'!$B$84*'ОБЪЕКТЫ'!CU78/'ОБЪЕКТЫ'!$B$78,0),0)-CU53-CU57-CU21</x:f>
      </x:c>
      <x:c r="CV22" s="117">
        <x:f>CV10-IFERROR((SUM($D$20:$DS$20)-'ОБЪЕКТЫ'!$B$104)*('Продажи'!CV37+'Продажи'!CV40+'Продажи'!CV43+'Продажи'!CV46)/(SUM('Продажи'!$D$37:$DS$37)+SUM('Продажи'!$D$40:$DS$40)+SUM('Продажи'!$D$43:$DS$43)+SUM('Продажи'!$D$46:$DS$46)),0)-IF('ОБЪЕКТЫ'!$B$8=2,IFERROR('ОБЪЕКТЫ'!$B$28*'ОБЪЕКТЫ'!CV22/'ОБЪЕКТЫ'!$B$22,0),0)-IF('ОБЪЕКТЫ'!$B$36=2,IFERROR('ОБЪЕКТЫ'!$B$56*'ОБЪЕКТЫ'!CV50/'ОБЪЕКТЫ'!$B$50,0),0)-IF('ОБЪЕКТЫ'!$B$64=2,IFERROR('ОБЪЕКТЫ'!$B$84*'ОБЪЕКТЫ'!CV78/'ОБЪЕКТЫ'!$B$78,0),0)-CV53-CV57-CV21</x:f>
      </x:c>
      <x:c r="CW22" s="117">
        <x:f>CW10-IFERROR((SUM($D$20:$DS$20)-'ОБЪЕКТЫ'!$B$104)*('Продажи'!CW37+'Продажи'!CW40+'Продажи'!CW43+'Продажи'!CW46)/(SUM('Продажи'!$D$37:$DS$37)+SUM('Продажи'!$D$40:$DS$40)+SUM('Продажи'!$D$43:$DS$43)+SUM('Продажи'!$D$46:$DS$46)),0)-IF('ОБЪЕКТЫ'!$B$8=2,IFERROR('ОБЪЕКТЫ'!$B$28*'ОБЪЕКТЫ'!CW22/'ОБЪЕКТЫ'!$B$22,0),0)-IF('ОБЪЕКТЫ'!$B$36=2,IFERROR('ОБЪЕКТЫ'!$B$56*'ОБЪЕКТЫ'!CW50/'ОБЪЕКТЫ'!$B$50,0),0)-IF('ОБЪЕКТЫ'!$B$64=2,IFERROR('ОБЪЕКТЫ'!$B$84*'ОБЪЕКТЫ'!CW78/'ОБЪЕКТЫ'!$B$78,0),0)-CW53-CW57-CW21</x:f>
      </x:c>
      <x:c r="CX22" s="117">
        <x:f>CX10-IFERROR((SUM($D$20:$DS$20)-'ОБЪЕКТЫ'!$B$104)*('Продажи'!CX37+'Продажи'!CX40+'Продажи'!CX43+'Продажи'!CX46)/(SUM('Продажи'!$D$37:$DS$37)+SUM('Продажи'!$D$40:$DS$40)+SUM('Продажи'!$D$43:$DS$43)+SUM('Продажи'!$D$46:$DS$46)),0)-IF('ОБЪЕКТЫ'!$B$8=2,IFERROR('ОБЪЕКТЫ'!$B$28*'ОБЪЕКТЫ'!CX22/'ОБЪЕКТЫ'!$B$22,0),0)-IF('ОБЪЕКТЫ'!$B$36=2,IFERROR('ОБЪЕКТЫ'!$B$56*'ОБЪЕКТЫ'!CX50/'ОБЪЕКТЫ'!$B$50,0),0)-IF('ОБЪЕКТЫ'!$B$64=2,IFERROR('ОБЪЕКТЫ'!$B$84*'ОБЪЕКТЫ'!CX78/'ОБЪЕКТЫ'!$B$78,0),0)-CX53-CX57-CX21</x:f>
      </x:c>
      <x:c r="CY22" s="117">
        <x:f>CY10-IFERROR((SUM($D$20:$DS$20)-'ОБЪЕКТЫ'!$B$104)*('Продажи'!CY37+'Продажи'!CY40+'Продажи'!CY43+'Продажи'!CY46)/(SUM('Продажи'!$D$37:$DS$37)+SUM('Продажи'!$D$40:$DS$40)+SUM('Продажи'!$D$43:$DS$43)+SUM('Продажи'!$D$46:$DS$46)),0)-IF('ОБЪЕКТЫ'!$B$8=2,IFERROR('ОБЪЕКТЫ'!$B$28*'ОБЪЕКТЫ'!CY22/'ОБЪЕКТЫ'!$B$22,0),0)-IF('ОБЪЕКТЫ'!$B$36=2,IFERROR('ОБЪЕКТЫ'!$B$56*'ОБЪЕКТЫ'!CY50/'ОБЪЕКТЫ'!$B$50,0),0)-IF('ОБЪЕКТЫ'!$B$64=2,IFERROR('ОБЪЕКТЫ'!$B$84*'ОБЪЕКТЫ'!CY78/'ОБЪЕКТЫ'!$B$78,0),0)-CY53-CY57-CY21</x:f>
      </x:c>
      <x:c r="CZ22" s="117">
        <x:f>CZ10-IFERROR((SUM($D$20:$DS$20)-'ОБЪЕКТЫ'!$B$104)*('Продажи'!CZ37+'Продажи'!CZ40+'Продажи'!CZ43+'Продажи'!CZ46)/(SUM('Продажи'!$D$37:$DS$37)+SUM('Продажи'!$D$40:$DS$40)+SUM('Продажи'!$D$43:$DS$43)+SUM('Продажи'!$D$46:$DS$46)),0)-IF('ОБЪЕКТЫ'!$B$8=2,IFERROR('ОБЪЕКТЫ'!$B$28*'ОБЪЕКТЫ'!CZ22/'ОБЪЕКТЫ'!$B$22,0),0)-IF('ОБЪЕКТЫ'!$B$36=2,IFERROR('ОБЪЕКТЫ'!$B$56*'ОБЪЕКТЫ'!CZ50/'ОБЪЕКТЫ'!$B$50,0),0)-IF('ОБЪЕКТЫ'!$B$64=2,IFERROR('ОБЪЕКТЫ'!$B$84*'ОБЪЕКТЫ'!CZ78/'ОБЪЕКТЫ'!$B$78,0),0)-CZ53-CZ57-CZ21</x:f>
      </x:c>
      <x:c r="DA22" s="117">
        <x:f>DA10-IFERROR((SUM($D$20:$DS$20)-'ОБЪЕКТЫ'!$B$104)*('Продажи'!DA37+'Продажи'!DA40+'Продажи'!DA43+'Продажи'!DA46)/(SUM('Продажи'!$D$37:$DS$37)+SUM('Продажи'!$D$40:$DS$40)+SUM('Продажи'!$D$43:$DS$43)+SUM('Продажи'!$D$46:$DS$46)),0)-IF('ОБЪЕКТЫ'!$B$8=2,IFERROR('ОБЪЕКТЫ'!$B$28*'ОБЪЕКТЫ'!DA22/'ОБЪЕКТЫ'!$B$22,0),0)-IF('ОБЪЕКТЫ'!$B$36=2,IFERROR('ОБЪЕКТЫ'!$B$56*'ОБЪЕКТЫ'!DA50/'ОБЪЕКТЫ'!$B$50,0),0)-IF('ОБЪЕКТЫ'!$B$64=2,IFERROR('ОБЪЕКТЫ'!$B$84*'ОБЪЕКТЫ'!DA78/'ОБЪЕКТЫ'!$B$78,0),0)-DA53-DA57-DA21</x:f>
      </x:c>
      <x:c r="DB22" s="117">
        <x:f>DB10-IFERROR((SUM($D$20:$DS$20)-'ОБЪЕКТЫ'!$B$104)*('Продажи'!DB37+'Продажи'!DB40+'Продажи'!DB43+'Продажи'!DB46)/(SUM('Продажи'!$D$37:$DS$37)+SUM('Продажи'!$D$40:$DS$40)+SUM('Продажи'!$D$43:$DS$43)+SUM('Продажи'!$D$46:$DS$46)),0)-IF('ОБЪЕКТЫ'!$B$8=2,IFERROR('ОБЪЕКТЫ'!$B$28*'ОБЪЕКТЫ'!DB22/'ОБЪЕКТЫ'!$B$22,0),0)-IF('ОБЪЕКТЫ'!$B$36=2,IFERROR('ОБЪЕКТЫ'!$B$56*'ОБЪЕКТЫ'!DB50/'ОБЪЕКТЫ'!$B$50,0),0)-IF('ОБЪЕКТЫ'!$B$64=2,IFERROR('ОБЪЕКТЫ'!$B$84*'ОБЪЕКТЫ'!DB78/'ОБЪЕКТЫ'!$B$78,0),0)-DB53-DB57-DB21</x:f>
      </x:c>
      <x:c r="DC22" s="117">
        <x:f>DC10-IFERROR((SUM($D$20:$DS$20)-'ОБЪЕКТЫ'!$B$104)*('Продажи'!DC37+'Продажи'!DC40+'Продажи'!DC43+'Продажи'!DC46)/(SUM('Продажи'!$D$37:$DS$37)+SUM('Продажи'!$D$40:$DS$40)+SUM('Продажи'!$D$43:$DS$43)+SUM('Продажи'!$D$46:$DS$46)),0)-IF('ОБЪЕКТЫ'!$B$8=2,IFERROR('ОБЪЕКТЫ'!$B$28*'ОБЪЕКТЫ'!DC22/'ОБЪЕКТЫ'!$B$22,0),0)-IF('ОБЪЕКТЫ'!$B$36=2,IFERROR('ОБЪЕКТЫ'!$B$56*'ОБЪЕКТЫ'!DC50/'ОБЪЕКТЫ'!$B$50,0),0)-IF('ОБЪЕКТЫ'!$B$64=2,IFERROR('ОБЪЕКТЫ'!$B$84*'ОБЪЕКТЫ'!DC78/'ОБЪЕКТЫ'!$B$78,0),0)-DC53-DC57-DC21</x:f>
      </x:c>
      <x:c r="DD22" s="117">
        <x:f>DD10-IFERROR((SUM($D$20:$DS$20)-'ОБЪЕКТЫ'!$B$104)*('Продажи'!DD37+'Продажи'!DD40+'Продажи'!DD43+'Продажи'!DD46)/(SUM('Продажи'!$D$37:$DS$37)+SUM('Продажи'!$D$40:$DS$40)+SUM('Продажи'!$D$43:$DS$43)+SUM('Продажи'!$D$46:$DS$46)),0)-IF('ОБЪЕКТЫ'!$B$8=2,IFERROR('ОБЪЕКТЫ'!$B$28*'ОБЪЕКТЫ'!DD22/'ОБЪЕКТЫ'!$B$22,0),0)-IF('ОБЪЕКТЫ'!$B$36=2,IFERROR('ОБЪЕКТЫ'!$B$56*'ОБЪЕКТЫ'!DD50/'ОБЪЕКТЫ'!$B$50,0),0)-IF('ОБЪЕКТЫ'!$B$64=2,IFERROR('ОБЪЕКТЫ'!$B$84*'ОБЪЕКТЫ'!DD78/'ОБЪЕКТЫ'!$B$78,0),0)-DD53-DD57-DD21</x:f>
      </x:c>
      <x:c r="DE22" s="117">
        <x:f>DE10-IFERROR((SUM($D$20:$DS$20)-'ОБЪЕКТЫ'!$B$104)*('Продажи'!DE37+'Продажи'!DE40+'Продажи'!DE43+'Продажи'!DE46)/(SUM('Продажи'!$D$37:$DS$37)+SUM('Продажи'!$D$40:$DS$40)+SUM('Продажи'!$D$43:$DS$43)+SUM('Продажи'!$D$46:$DS$46)),0)-IF('ОБЪЕКТЫ'!$B$8=2,IFERROR('ОБЪЕКТЫ'!$B$28*'ОБЪЕКТЫ'!DE22/'ОБЪЕКТЫ'!$B$22,0),0)-IF('ОБЪЕКТЫ'!$B$36=2,IFERROR('ОБЪЕКТЫ'!$B$56*'ОБЪЕКТЫ'!DE50/'ОБЪЕКТЫ'!$B$50,0),0)-IF('ОБЪЕКТЫ'!$B$64=2,IFERROR('ОБЪЕКТЫ'!$B$84*'ОБЪЕКТЫ'!DE78/'ОБЪЕКТЫ'!$B$78,0),0)-DE53-DE57-DE21</x:f>
      </x:c>
      <x:c r="DF22" s="117">
        <x:f>DF10-IFERROR((SUM($D$20:$DS$20)-'ОБЪЕКТЫ'!$B$104)*('Продажи'!DF37+'Продажи'!DF40+'Продажи'!DF43+'Продажи'!DF46)/(SUM('Продажи'!$D$37:$DS$37)+SUM('Продажи'!$D$40:$DS$40)+SUM('Продажи'!$D$43:$DS$43)+SUM('Продажи'!$D$46:$DS$46)),0)-IF('ОБЪЕКТЫ'!$B$8=2,IFERROR('ОБЪЕКТЫ'!$B$28*'ОБЪЕКТЫ'!DF22/'ОБЪЕКТЫ'!$B$22,0),0)-IF('ОБЪЕКТЫ'!$B$36=2,IFERROR('ОБЪЕКТЫ'!$B$56*'ОБЪЕКТЫ'!DF50/'ОБЪЕКТЫ'!$B$50,0),0)-IF('ОБЪЕКТЫ'!$B$64=2,IFERROR('ОБЪЕКТЫ'!$B$84*'ОБЪЕКТЫ'!DF78/'ОБЪЕКТЫ'!$B$78,0),0)-DF53-DF57-DF21</x:f>
      </x:c>
      <x:c r="DG22" s="117">
        <x:f>DG10-IFERROR((SUM($D$20:$DS$20)-'ОБЪЕКТЫ'!$B$104)*('Продажи'!DG37+'Продажи'!DG40+'Продажи'!DG43+'Продажи'!DG46)/(SUM('Продажи'!$D$37:$DS$37)+SUM('Продажи'!$D$40:$DS$40)+SUM('Продажи'!$D$43:$DS$43)+SUM('Продажи'!$D$46:$DS$46)),0)-IF('ОБЪЕКТЫ'!$B$8=2,IFERROR('ОБЪЕКТЫ'!$B$28*'ОБЪЕКТЫ'!DG22/'ОБЪЕКТЫ'!$B$22,0),0)-IF('ОБЪЕКТЫ'!$B$36=2,IFERROR('ОБЪЕКТЫ'!$B$56*'ОБЪЕКТЫ'!DG50/'ОБЪЕКТЫ'!$B$50,0),0)-IF('ОБЪЕКТЫ'!$B$64=2,IFERROR('ОБЪЕКТЫ'!$B$84*'ОБЪЕКТЫ'!DG78/'ОБЪЕКТЫ'!$B$78,0),0)-DG53-DG57-DG21</x:f>
      </x:c>
      <x:c r="DH22" s="117">
        <x:f>DH10-IFERROR((SUM($D$20:$DS$20)-'ОБЪЕКТЫ'!$B$104)*('Продажи'!DH37+'Продажи'!DH40+'Продажи'!DH43+'Продажи'!DH46)/(SUM('Продажи'!$D$37:$DS$37)+SUM('Продажи'!$D$40:$DS$40)+SUM('Продажи'!$D$43:$DS$43)+SUM('Продажи'!$D$46:$DS$46)),0)-IF('ОБЪЕКТЫ'!$B$8=2,IFERROR('ОБЪЕКТЫ'!$B$28*'ОБЪЕКТЫ'!DH22/'ОБЪЕКТЫ'!$B$22,0),0)-IF('ОБЪЕКТЫ'!$B$36=2,IFERROR('ОБЪЕКТЫ'!$B$56*'ОБЪЕКТЫ'!DH50/'ОБЪЕКТЫ'!$B$50,0),0)-IF('ОБЪЕКТЫ'!$B$64=2,IFERROR('ОБЪЕКТЫ'!$B$84*'ОБЪЕКТЫ'!DH78/'ОБЪЕКТЫ'!$B$78,0),0)-DH53-DH57-DH21</x:f>
      </x:c>
      <x:c r="DI22" s="117">
        <x:f>DI10-IFERROR((SUM($D$20:$DS$20)-'ОБЪЕКТЫ'!$B$104)*('Продажи'!DI37+'Продажи'!DI40+'Продажи'!DI43+'Продажи'!DI46)/(SUM('Продажи'!$D$37:$DS$37)+SUM('Продажи'!$D$40:$DS$40)+SUM('Продажи'!$D$43:$DS$43)+SUM('Продажи'!$D$46:$DS$46)),0)-IF('ОБЪЕКТЫ'!$B$8=2,IFERROR('ОБЪЕКТЫ'!$B$28*'ОБЪЕКТЫ'!DI22/'ОБЪЕКТЫ'!$B$22,0),0)-IF('ОБЪЕКТЫ'!$B$36=2,IFERROR('ОБЪЕКТЫ'!$B$56*'ОБЪЕКТЫ'!DI50/'ОБЪЕКТЫ'!$B$50,0),0)-IF('ОБЪЕКТЫ'!$B$64=2,IFERROR('ОБЪЕКТЫ'!$B$84*'ОБЪЕКТЫ'!DI78/'ОБЪЕКТЫ'!$B$78,0),0)-DI53-DI57-DI21</x:f>
      </x:c>
      <x:c r="DJ22" s="117">
        <x:f>DJ10-IFERROR((SUM($D$20:$DS$20)-'ОБЪЕКТЫ'!$B$104)*('Продажи'!DJ37+'Продажи'!DJ40+'Продажи'!DJ43+'Продажи'!DJ46)/(SUM('Продажи'!$D$37:$DS$37)+SUM('Продажи'!$D$40:$DS$40)+SUM('Продажи'!$D$43:$DS$43)+SUM('Продажи'!$D$46:$DS$46)),0)-IF('ОБЪЕКТЫ'!$B$8=2,IFERROR('ОБЪЕКТЫ'!$B$28*'ОБЪЕКТЫ'!DJ22/'ОБЪЕКТЫ'!$B$22,0),0)-IF('ОБЪЕКТЫ'!$B$36=2,IFERROR('ОБЪЕКТЫ'!$B$56*'ОБЪЕКТЫ'!DJ50/'ОБЪЕКТЫ'!$B$50,0),0)-IF('ОБЪЕКТЫ'!$B$64=2,IFERROR('ОБЪЕКТЫ'!$B$84*'ОБЪЕКТЫ'!DJ78/'ОБЪЕКТЫ'!$B$78,0),0)-DJ53-DJ57-DJ21</x:f>
      </x:c>
      <x:c r="DK22" s="117">
        <x:f>DK10-IFERROR((SUM($D$20:$DS$20)-'ОБЪЕКТЫ'!$B$104)*('Продажи'!DK37+'Продажи'!DK40+'Продажи'!DK43+'Продажи'!DK46)/(SUM('Продажи'!$D$37:$DS$37)+SUM('Продажи'!$D$40:$DS$40)+SUM('Продажи'!$D$43:$DS$43)+SUM('Продажи'!$D$46:$DS$46)),0)-IF('ОБЪЕКТЫ'!$B$8=2,IFERROR('ОБЪЕКТЫ'!$B$28*'ОБЪЕКТЫ'!DK22/'ОБЪЕКТЫ'!$B$22,0),0)-IF('ОБЪЕКТЫ'!$B$36=2,IFERROR('ОБЪЕКТЫ'!$B$56*'ОБЪЕКТЫ'!DK50/'ОБЪЕКТЫ'!$B$50,0),0)-IF('ОБЪЕКТЫ'!$B$64=2,IFERROR('ОБЪЕКТЫ'!$B$84*'ОБЪЕКТЫ'!DK78/'ОБЪЕКТЫ'!$B$78,0),0)-DK53-DK57-DK21</x:f>
      </x:c>
      <x:c r="DL22" s="117">
        <x:f>DL10-IFERROR((SUM($D$20:$DS$20)-'ОБЪЕКТЫ'!$B$104)*('Продажи'!DL37+'Продажи'!DL40+'Продажи'!DL43+'Продажи'!DL46)/(SUM('Продажи'!$D$37:$DS$37)+SUM('Продажи'!$D$40:$DS$40)+SUM('Продажи'!$D$43:$DS$43)+SUM('Продажи'!$D$46:$DS$46)),0)-IF('ОБЪЕКТЫ'!$B$8=2,IFERROR('ОБЪЕКТЫ'!$B$28*'ОБЪЕКТЫ'!DL22/'ОБЪЕКТЫ'!$B$22,0),0)-IF('ОБЪЕКТЫ'!$B$36=2,IFERROR('ОБЪЕКТЫ'!$B$56*'ОБЪЕКТЫ'!DL50/'ОБЪЕКТЫ'!$B$50,0),0)-IF('ОБЪЕКТЫ'!$B$64=2,IFERROR('ОБЪЕКТЫ'!$B$84*'ОБЪЕКТЫ'!DL78/'ОБЪЕКТЫ'!$B$78,0),0)-DL53-DL57-DL21</x:f>
      </x:c>
      <x:c r="DM22" s="117">
        <x:f>DM10-IFERROR((SUM($D$20:$DS$20)-'ОБЪЕКТЫ'!$B$104)*('Продажи'!DM37+'Продажи'!DM40+'Продажи'!DM43+'Продажи'!DM46)/(SUM('Продажи'!$D$37:$DS$37)+SUM('Продажи'!$D$40:$DS$40)+SUM('Продажи'!$D$43:$DS$43)+SUM('Продажи'!$D$46:$DS$46)),0)-IF('ОБЪЕКТЫ'!$B$8=2,IFERROR('ОБЪЕКТЫ'!$B$28*'ОБЪЕКТЫ'!DM22/'ОБЪЕКТЫ'!$B$22,0),0)-IF('ОБЪЕКТЫ'!$B$36=2,IFERROR('ОБЪЕКТЫ'!$B$56*'ОБЪЕКТЫ'!DM50/'ОБЪЕКТЫ'!$B$50,0),0)-IF('ОБЪЕКТЫ'!$B$64=2,IFERROR('ОБЪЕКТЫ'!$B$84*'ОБЪЕКТЫ'!DM78/'ОБЪЕКТЫ'!$B$78,0),0)-DM53-DM57-DM21</x:f>
      </x:c>
      <x:c r="DN22" s="117">
        <x:f>DN10-IFERROR((SUM($D$20:$DS$20)-'ОБЪЕКТЫ'!$B$104)*('Продажи'!DN37+'Продажи'!DN40+'Продажи'!DN43+'Продажи'!DN46)/(SUM('Продажи'!$D$37:$DS$37)+SUM('Продажи'!$D$40:$DS$40)+SUM('Продажи'!$D$43:$DS$43)+SUM('Продажи'!$D$46:$DS$46)),0)-IF('ОБЪЕКТЫ'!$B$8=2,IFERROR('ОБЪЕКТЫ'!$B$28*'ОБЪЕКТЫ'!DN22/'ОБЪЕКТЫ'!$B$22,0),0)-IF('ОБЪЕКТЫ'!$B$36=2,IFERROR('ОБЪЕКТЫ'!$B$56*'ОБЪЕКТЫ'!DN50/'ОБЪЕКТЫ'!$B$50,0),0)-IF('ОБЪЕКТЫ'!$B$64=2,IFERROR('ОБЪЕКТЫ'!$B$84*'ОБЪЕКТЫ'!DN78/'ОБЪЕКТЫ'!$B$78,0),0)-DN53-DN57-DN21</x:f>
      </x:c>
      <x:c r="DO22" s="117">
        <x:f>DO10-IFERROR((SUM($D$20:$DS$20)-'ОБЪЕКТЫ'!$B$104)*('Продажи'!DO37+'Продажи'!DO40+'Продажи'!DO43+'Продажи'!DO46)/(SUM('Продажи'!$D$37:$DS$37)+SUM('Продажи'!$D$40:$DS$40)+SUM('Продажи'!$D$43:$DS$43)+SUM('Продажи'!$D$46:$DS$46)),0)-IF('ОБЪЕКТЫ'!$B$8=2,IFERROR('ОБЪЕКТЫ'!$B$28*'ОБЪЕКТЫ'!DO22/'ОБЪЕКТЫ'!$B$22,0),0)-IF('ОБЪЕКТЫ'!$B$36=2,IFERROR('ОБЪЕКТЫ'!$B$56*'ОБЪЕКТЫ'!DO50/'ОБЪЕКТЫ'!$B$50,0),0)-IF('ОБЪЕКТЫ'!$B$64=2,IFERROR('ОБЪЕКТЫ'!$B$84*'ОБЪЕКТЫ'!DO78/'ОБЪЕКТЫ'!$B$78,0),0)-DO53-DO57-DO21</x:f>
      </x:c>
      <x:c r="DP22" s="117">
        <x:f>DP10-IFERROR((SUM($D$20:$DS$20)-'ОБЪЕКТЫ'!$B$104)*('Продажи'!DP37+'Продажи'!DP40+'Продажи'!DP43+'Продажи'!DP46)/(SUM('Продажи'!$D$37:$DS$37)+SUM('Продажи'!$D$40:$DS$40)+SUM('Продажи'!$D$43:$DS$43)+SUM('Продажи'!$D$46:$DS$46)),0)-IF('ОБЪЕКТЫ'!$B$8=2,IFERROR('ОБЪЕКТЫ'!$B$28*'ОБЪЕКТЫ'!DP22/'ОБЪЕКТЫ'!$B$22,0),0)-IF('ОБЪЕКТЫ'!$B$36=2,IFERROR('ОБЪЕКТЫ'!$B$56*'ОБЪЕКТЫ'!DP50/'ОБЪЕКТЫ'!$B$50,0),0)-IF('ОБЪЕКТЫ'!$B$64=2,IFERROR('ОБЪЕКТЫ'!$B$84*'ОБЪЕКТЫ'!DP78/'ОБЪЕКТЫ'!$B$78,0),0)-DP53-DP57-DP21</x:f>
      </x:c>
      <x:c r="DQ22" s="117">
        <x:f>DQ10-IFERROR((SUM($D$20:$DS$20)-'ОБЪЕКТЫ'!$B$104)*('Продажи'!DQ37+'Продажи'!DQ40+'Продажи'!DQ43+'Продажи'!DQ46)/(SUM('Продажи'!$D$37:$DS$37)+SUM('Продажи'!$D$40:$DS$40)+SUM('Продажи'!$D$43:$DS$43)+SUM('Продажи'!$D$46:$DS$46)),0)-IF('ОБЪЕКТЫ'!$B$8=2,IFERROR('ОБЪЕКТЫ'!$B$28*'ОБЪЕКТЫ'!DQ22/'ОБЪЕКТЫ'!$B$22,0),0)-IF('ОБЪЕКТЫ'!$B$36=2,IFERROR('ОБЪЕКТЫ'!$B$56*'ОБЪЕКТЫ'!DQ50/'ОБЪЕКТЫ'!$B$50,0),0)-IF('ОБЪЕКТЫ'!$B$64=2,IFERROR('ОБЪЕКТЫ'!$B$84*'ОБЪЕКТЫ'!DQ78/'ОБЪЕКТЫ'!$B$78,0),0)-DQ53-DQ57-DQ21</x:f>
      </x:c>
      <x:c r="DR22" s="117">
        <x:f>DR10-IFERROR((SUM($D$20:$DS$20)-'ОБЪЕКТЫ'!$B$104)*('Продажи'!DR37+'Продажи'!DR40+'Продажи'!DR43+'Продажи'!DR46)/(SUM('Продажи'!$D$37:$DS$37)+SUM('Продажи'!$D$40:$DS$40)+SUM('Продажи'!$D$43:$DS$43)+SUM('Продажи'!$D$46:$DS$46)),0)-IF('ОБЪЕКТЫ'!$B$8=2,IFERROR('ОБЪЕКТЫ'!$B$28*'ОБЪЕКТЫ'!DR22/'ОБЪЕКТЫ'!$B$22,0),0)-IF('ОБЪЕКТЫ'!$B$36=2,IFERROR('ОБЪЕКТЫ'!$B$56*'ОБЪЕКТЫ'!DR50/'ОБЪЕКТЫ'!$B$50,0),0)-IF('ОБЪЕКТЫ'!$B$64=2,IFERROR('ОБЪЕКТЫ'!$B$84*'ОБЪЕКТЫ'!DR78/'ОБЪЕКТЫ'!$B$78,0),0)-DR53-DR57-DR21</x:f>
      </x:c>
      <x:c r="DS22" s="117">
        <x:f>DS10-IFERROR((SUM($D$20:$DS$20)-'ОБЪЕКТЫ'!$B$104)*('Продажи'!DS37+'Продажи'!DS40+'Продажи'!DS43+'Продажи'!DS46)/(SUM('Продажи'!$D$37:$DS$37)+SUM('Продажи'!$D$40:$DS$40)+SUM('Продажи'!$D$43:$DS$43)+SUM('Продажи'!$D$46:$DS$46)),0)-IF('ОБЪЕКТЫ'!$B$8=2,IFERROR('ОБЪЕКТЫ'!$B$28*'ОБЪЕКТЫ'!DS22/'ОБЪЕКТЫ'!$B$22,0),0)-IF('ОБЪЕКТЫ'!$B$36=2,IFERROR('ОБЪЕКТЫ'!$B$56*'ОБЪЕКТЫ'!DS50/'ОБЪЕКТЫ'!$B$50,0),0)-IF('ОБЪЕКТЫ'!$B$64=2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E21" s="117" t="n">
        <x:f>IF(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F21" s="117" t="n">
        <x:f>IF(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G21" s="117" t="n">
        <x:f>IF(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H21" s="117" t="n">
        <x:f>IF(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I21" s="117" t="n">
        <x:f>IF(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J21" s="117" t="n">
        <x:f>IF(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K21" s="117" t="n">
        <x:f>IF(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L21" s="117" t="n">
        <x:f>IF(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M21" s="117" t="n">
        <x:f>IF(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N21" s="117" t="n">
        <x:f>IF(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O21" s="117" t="n">
        <x:f>IF(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P21" s="117" t="n">
        <x:f>IF(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Q21" s="117" t="n">
        <x:f>IF(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R21" s="117" t="n">
        <x:f>IF(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S21" s="117" t="n">
        <x:f>IF(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T21" s="117" t="n">
        <x:f>IF(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U21" s="117" t="n">
        <x:f>IF(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V21" s="117" t="n">
        <x:f>IF(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W21" s="117" t="n">
        <x:f>IF(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X21" s="117" t="n">
        <x:f>IF(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Y21" s="117" t="n">
        <x:f>IF(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Z21" s="117" t="n">
        <x:f>IF(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A21" s="117" t="n">
        <x:f>IF(A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B21" s="117" t="n">
        <x:f>IF(A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C21" s="117" t="n">
        <x:f>IF(A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D21" s="117" t="n">
        <x:f>IF(A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E21" s="117" t="n">
        <x:f>IF(A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F21" s="117" t="n">
        <x:f>IF(A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G21" s="117" t="n">
        <x:f>IF(A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H21" s="117" t="n">
        <x:f>IF(A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I21" s="117" t="n">
        <x:f>IF(A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J21" s="117" t="n">
        <x:f>IF(A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K21" s="117" t="n">
        <x:f>IF(A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L21" s="117" t="n">
        <x:f>IF(A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M21" s="117" t="n">
        <x:f>IF(A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N21" s="117" t="n">
        <x:f>IF(A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O21" s="117" t="n">
        <x:f>IF(A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P21" s="117" t="n">
        <x:f>IF(A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Q21" s="117" t="n">
        <x:f>IF(A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R21" s="117" t="n">
        <x:f>IF(A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S21" s="117" t="n">
        <x:f>IF(A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T21" s="117" t="n">
        <x:f>IF(A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U21" s="117" t="n">
        <x:f>IF(A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V21" s="117" t="n">
        <x:f>IF(A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W21" s="117" t="n">
        <x:f>IF(A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X21" s="117" t="n">
        <x:f>IF(A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Y21" s="117" t="n">
        <x:f>IF(A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Z21" s="117" t="n">
        <x:f>IF(A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A21" s="117" t="n">
        <x:f>IF(B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B21" s="117" t="n">
        <x:f>IF(B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C21" s="117" t="n">
        <x:f>IF(B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D21" s="117" t="n">
        <x:f>IF(B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E21" s="117" t="n">
        <x:f>IF(B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F21" s="117" t="n">
        <x:f>IF(B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G21" s="117" t="n">
        <x:f>IF(B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H21" s="117" t="n">
        <x:f>IF(B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I21" s="117" t="n">
        <x:f>IF(B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J21" s="117" t="n">
        <x:f>IF(B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K21" s="117" t="n">
        <x:f>IF(B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L21" s="117" t="n">
        <x:f>IF(B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M21" s="117" t="n">
        <x:f>IF(B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N21" s="117" t="n">
        <x:f>IF(B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O21" s="117" t="n">
        <x:f>IF(B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P21" s="117" t="n">
        <x:f>IF(B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Q21" s="117" t="n">
        <x:f>IF(B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R21" s="117" t="n">
        <x:f>IF(B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S21" s="117" t="n">
        <x:f>IF(B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T21" s="117" t="n">
        <x:f>IF(B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U21" s="117" t="n">
        <x:f>IF(B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V21" s="117" t="n">
        <x:f>IF(B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W21" s="117" t="n">
        <x:f>IF(B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X21" s="117" t="n">
        <x:f>IF(B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Y21" s="117" t="n">
        <x:f>IF(B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Z21" s="117" t="n">
        <x:f>IF(B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A21" s="117" t="n">
        <x:f>IF(C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B21" s="117" t="n">
        <x:f>IF(C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C21" s="117" t="n">
        <x:f>IF(C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D21" s="117" t="n">
        <x:f>IF(C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E21" s="117" t="n">
        <x:f>IF(C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F21" s="117" t="n">
        <x:f>IF(C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G21" s="117" t="n">
        <x:f>IF(C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H21" s="117" t="n">
        <x:f>IF(C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I21" s="117" t="n">
        <x:f>IF(C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J21" s="117" t="n">
        <x:f>IF(C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K21" s="117" t="n">
        <x:f>IF(C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L21" s="117" t="n">
        <x:f>IF(C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M21" s="117" t="n">
        <x:f>IF(C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N21" s="117" t="n">
        <x:f>IF(C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O21" s="117" t="n">
        <x:f>IF(C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P21" s="117" t="n">
        <x:f>IF(C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Q21" s="117" t="n">
        <x:f>IF(C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R21" s="117" t="n">
        <x:f>IF(C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S21" s="117" t="n">
        <x:f>IF(C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T21" s="117" t="n">
        <x:f>IF(C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U21" s="117" t="n">
        <x:f>IF(C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V21" s="117" t="n">
        <x:f>IF(C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W21" s="117" t="n">
        <x:f>IF(C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X21" s="117" t="n">
        <x:f>IF(C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Y21" s="117" t="n">
        <x:f>IF(C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Z21" s="117" t="n">
        <x:f>IF(C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A21" s="117" t="n">
        <x:f>IF(D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B21" s="117" t="n">
        <x:f>IF(D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C21" s="117" t="n">
        <x:f>IF(D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D21" s="117" t="n">
        <x:f>IF(D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E21" s="117" t="n">
        <x:f>IF(D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F21" s="117" t="n">
        <x:f>IF(D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G21" s="117" t="n">
        <x:f>IF(D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H21" s="117" t="n">
        <x:f>IF(D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I21" s="117" t="n">
        <x:f>IF(D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J21" s="117" t="n">
        <x:f>IF(D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K21" s="117" t="n">
        <x:f>IF(D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L21" s="117" t="n">
        <x:f>IF(D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M21" s="117" t="n">
        <x:f>IF(D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N21" s="117" t="n">
        <x:f>IF(D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O21" s="117" t="n">
        <x:f>IF(D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P21" s="117" t="n">
        <x:f>IF(D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Q21" s="117" t="n">
        <x:f>IF(D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R21" s="117" t="n">
        <x:f>IF(D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S21" s="117" t="n">
        <x:f>IF(D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$112)*('Продажи'!D60+'Продажи'!D63+'Продажи'!D66+'Продажи'!D69)/(SUM('Продажи'!$D$60:$DS$60)+SUM('Продажи'!$D$63:$DS$63)+SUM('Продажи'!$D$66:$DS$66)+SUM('Продажи'!$D$69:$DS$69)),0)-IF('ОБЪЕКТЫ'!$B$8=3,IFERROR('ОБЪЕКТЫ'!$B$28*'ОБЪЕКТЫ'!D22/'ОБЪЕКТЫ'!$B$22,0),0)-IF('ОБЪЕКТЫ'!$B$36=3,IFERROR('ОБЪЕКТЫ'!$B$56*'ОБЪЕКТЫ'!D50/'ОБЪЕКТЫ'!$B$50,0),0)-IF('ОБЪЕКТЫ'!$B$64=3,IFERROR('ОБЪЕКТЫ'!$B$84*'ОБЪЕКТЫ'!D78/'ОБЪЕКТЫ'!$B$78,0),0)-D53-D57-D21</x:f>
      </x:c>
      <x:c r="E22" s="117">
        <x:f>E10-IFERROR((SUM($D$20:$DS$20)-'ОБЪЕКТЫ'!$B$112)*('Продажи'!E60+'Продажи'!E63+'Продажи'!E66+'Продажи'!E69)/(SUM('Продажи'!$D$60:$DS$60)+SUM('Продажи'!$D$63:$DS$63)+SUM('Продажи'!$D$66:$DS$66)+SUM('Продажи'!$D$69:$DS$69)),0)-IF('ОБЪЕКТЫ'!$B$8=3,IFERROR('ОБЪЕКТЫ'!$B$28*'ОБЪЕКТЫ'!E22/'ОБЪЕКТЫ'!$B$22,0),0)-IF('ОБЪЕКТЫ'!$B$36=3,IFERROR('ОБЪЕКТЫ'!$B$56*'ОБЪЕКТЫ'!E50/'ОБЪЕКТЫ'!$B$50,0),0)-IF('ОБЪЕКТЫ'!$B$64=3,IFERROR('ОБЪЕКТЫ'!$B$84*'ОБЪЕКТЫ'!E78/'ОБЪЕКТЫ'!$B$78,0),0)-E53-E57-E21</x:f>
      </x:c>
      <x:c r="F22" s="117">
        <x:f>F10-IFERROR((SUM($D$20:$DS$20)-'ОБЪЕКТЫ'!$B$112)*('Продажи'!F60+'Продажи'!F63+'Продажи'!F66+'Продажи'!F69)/(SUM('Продажи'!$D$60:$DS$60)+SUM('Продажи'!$D$63:$DS$63)+SUM('Продажи'!$D$66:$DS$66)+SUM('Продажи'!$D$69:$DS$69)),0)-IF('ОБЪЕКТЫ'!$B$8=3,IFERROR('ОБЪЕКТЫ'!$B$28*'ОБЪЕКТЫ'!F22/'ОБЪЕКТЫ'!$B$22,0),0)-IF('ОБЪЕКТЫ'!$B$36=3,IFERROR('ОБЪЕКТЫ'!$B$56*'ОБЪЕКТЫ'!F50/'ОБЪЕКТЫ'!$B$50,0),0)-IF('ОБЪЕКТЫ'!$B$64=3,IFERROR('ОБЪЕКТЫ'!$B$84*'ОБЪЕКТЫ'!F78/'ОБЪЕКТЫ'!$B$78,0),0)-F53-F57-F21</x:f>
      </x:c>
      <x:c r="G22" s="117">
        <x:f>G10-IFERROR((SUM($D$20:$DS$20)-'ОБЪЕКТЫ'!$B$112)*('Продажи'!G60+'Продажи'!G63+'Продажи'!G66+'Продажи'!G69)/(SUM('Продажи'!$D$60:$DS$60)+SUM('Продажи'!$D$63:$DS$63)+SUM('Продажи'!$D$66:$DS$66)+SUM('Продажи'!$D$69:$DS$69)),0)-IF('ОБЪЕКТЫ'!$B$8=3,IFERROR('ОБЪЕКТЫ'!$B$28*'ОБЪЕКТЫ'!G22/'ОБЪЕКТЫ'!$B$22,0),0)-IF('ОБЪЕКТЫ'!$B$36=3,IFERROR('ОБЪЕКТЫ'!$B$56*'ОБЪЕКТЫ'!G50/'ОБЪЕКТЫ'!$B$50,0),0)-IF('ОБЪЕКТЫ'!$B$64=3,IFERROR('ОБЪЕКТЫ'!$B$84*'ОБЪЕКТЫ'!G78/'ОБЪЕКТЫ'!$B$78,0),0)-G53-G57-G21</x:f>
      </x:c>
      <x:c r="H22" s="117">
        <x:f>H10-IFERROR((SUM($D$20:$DS$20)-'ОБЪЕКТЫ'!$B$112)*('Продажи'!H60+'Продажи'!H63+'Продажи'!H66+'Продажи'!H69)/(SUM('Продажи'!$D$60:$DS$60)+SUM('Продажи'!$D$63:$DS$63)+SUM('Продажи'!$D$66:$DS$66)+SUM('Продажи'!$D$69:$DS$69)),0)-IF('ОБЪЕКТЫ'!$B$8=3,IFERROR('ОБЪЕКТЫ'!$B$28*'ОБЪЕКТЫ'!H22/'ОБЪЕКТЫ'!$B$22,0),0)-IF('ОБЪЕКТЫ'!$B$36=3,IFERROR('ОБЪЕКТЫ'!$B$56*'ОБЪЕКТЫ'!H50/'ОБЪЕКТЫ'!$B$50,0),0)-IF('ОБЪЕКТЫ'!$B$64=3,IFERROR('ОБЪЕКТЫ'!$B$84*'ОБЪЕКТЫ'!H78/'ОБЪЕКТЫ'!$B$78,0),0)-H53-H57-H21</x:f>
      </x:c>
      <x:c r="I22" s="117">
        <x:f>I10-IFERROR((SUM($D$20:$DS$20)-'ОБЪЕКТЫ'!$B$112)*('Продажи'!I60+'Продажи'!I63+'Продажи'!I66+'Продажи'!I69)/(SUM('Продажи'!$D$60:$DS$60)+SUM('Продажи'!$D$63:$DS$63)+SUM('Продажи'!$D$66:$DS$66)+SUM('Продажи'!$D$69:$DS$69)),0)-IF('ОБЪЕКТЫ'!$B$8=3,IFERROR('ОБЪЕКТЫ'!$B$28*'ОБЪЕКТЫ'!I22/'ОБЪЕКТЫ'!$B$22,0),0)-IF('ОБЪЕКТЫ'!$B$36=3,IFERROR('ОБЪЕКТЫ'!$B$56*'ОБЪЕКТЫ'!I50/'ОБЪЕКТЫ'!$B$50,0),0)-IF('ОБЪЕКТЫ'!$B$64=3,IFERROR('ОБЪЕКТЫ'!$B$84*'ОБЪЕКТЫ'!I78/'ОБЪЕКТЫ'!$B$78,0),0)-I53-I57-I21</x:f>
      </x:c>
      <x:c r="J22" s="117">
        <x:f>J10-IFERROR((SUM($D$20:$DS$20)-'ОБЪЕКТЫ'!$B$112)*('Продажи'!J60+'Продажи'!J63+'Продажи'!J66+'Продажи'!J69)/(SUM('Продажи'!$D$60:$DS$60)+SUM('Продажи'!$D$63:$DS$63)+SUM('Продажи'!$D$66:$DS$66)+SUM('Продажи'!$D$69:$DS$69)),0)-IF('ОБЪЕКТЫ'!$B$8=3,IFERROR('ОБЪЕКТЫ'!$B$28*'ОБЪЕКТЫ'!J22/'ОБЪЕКТЫ'!$B$22,0),0)-IF('ОБЪЕКТЫ'!$B$36=3,IFERROR('ОБЪЕКТЫ'!$B$56*'ОБЪЕКТЫ'!J50/'ОБЪЕКТЫ'!$B$50,0),0)-IF('ОБЪЕКТЫ'!$B$64=3,IFERROR('ОБЪЕКТЫ'!$B$84*'ОБЪЕКТЫ'!J78/'ОБЪЕКТЫ'!$B$78,0),0)-J53-J57-J21</x:f>
      </x:c>
      <x:c r="K22" s="117">
        <x:f>K10-IFERROR((SUM($D$20:$DS$20)-'ОБЪЕКТЫ'!$B$112)*('Продажи'!K60+'Продажи'!K63+'Продажи'!K66+'Продажи'!K69)/(SUM('Продажи'!$D$60:$DS$60)+SUM('Продажи'!$D$63:$DS$63)+SUM('Продажи'!$D$66:$DS$66)+SUM('Продажи'!$D$69:$DS$69)),0)-IF('ОБЪЕКТЫ'!$B$8=3,IFERROR('ОБЪЕКТЫ'!$B$28*'ОБЪЕКТЫ'!K22/'ОБЪЕКТЫ'!$B$22,0),0)-IF('ОБЪЕКТЫ'!$B$36=3,IFERROR('ОБЪЕКТЫ'!$B$56*'ОБЪЕКТЫ'!K50/'ОБЪЕКТЫ'!$B$50,0),0)-IF('ОБЪЕКТЫ'!$B$64=3,IFERROR('ОБЪЕКТЫ'!$B$84*'ОБЪЕКТЫ'!K78/'ОБЪЕКТЫ'!$B$78,0),0)-K53-K57-K21</x:f>
      </x:c>
      <x:c r="L22" s="117">
        <x:f>L10-IFERROR((SUM($D$20:$DS$20)-'ОБЪЕКТЫ'!$B$112)*('Продажи'!L60+'Продажи'!L63+'Продажи'!L66+'Продажи'!L69)/(SUM('Продажи'!$D$60:$DS$60)+SUM('Продажи'!$D$63:$DS$63)+SUM('Продажи'!$D$66:$DS$66)+SUM('Продажи'!$D$69:$DS$69)),0)-IF('ОБЪЕКТЫ'!$B$8=3,IFERROR('ОБЪЕКТЫ'!$B$28*'ОБЪЕКТЫ'!L22/'ОБЪЕКТЫ'!$B$22,0),0)-IF('ОБЪЕКТЫ'!$B$36=3,IFERROR('ОБЪЕКТЫ'!$B$56*'ОБЪЕКТЫ'!L50/'ОБЪЕКТЫ'!$B$50,0),0)-IF('ОБЪЕКТЫ'!$B$64=3,IFERROR('ОБЪЕКТЫ'!$B$84*'ОБЪЕКТЫ'!L78/'ОБЪЕКТЫ'!$B$78,0),0)-L53-L57-L21</x:f>
      </x:c>
      <x:c r="M22" s="117">
        <x:f>M10-IFERROR((SUM($D$20:$DS$20)-'ОБЪЕКТЫ'!$B$112)*('Продажи'!M60+'Продажи'!M63+'Продажи'!M66+'Продажи'!M69)/(SUM('Продажи'!$D$60:$DS$60)+SUM('Продажи'!$D$63:$DS$63)+SUM('Продажи'!$D$66:$DS$66)+SUM('Продажи'!$D$69:$DS$69)),0)-IF('ОБЪЕКТЫ'!$B$8=3,IFERROR('ОБЪЕКТЫ'!$B$28*'ОБЪЕКТЫ'!M22/'ОБЪЕКТЫ'!$B$22,0),0)-IF('ОБЪЕКТЫ'!$B$36=3,IFERROR('ОБЪЕКТЫ'!$B$56*'ОБЪЕКТЫ'!M50/'ОБЪЕКТЫ'!$B$50,0),0)-IF('ОБЪЕКТЫ'!$B$64=3,IFERROR('ОБЪЕКТЫ'!$B$84*'ОБЪЕКТЫ'!M78/'ОБЪЕКТЫ'!$B$78,0),0)-M53-M57-M21</x:f>
      </x:c>
      <x:c r="N22" s="117">
        <x:f>N10-IFERROR((SUM($D$20:$DS$20)-'ОБЪЕКТЫ'!$B$112)*('Продажи'!N60+'Продажи'!N63+'Продажи'!N66+'Продажи'!N69)/(SUM('Продажи'!$D$60:$DS$60)+SUM('Продажи'!$D$63:$DS$63)+SUM('Продажи'!$D$66:$DS$66)+SUM('Продажи'!$D$69:$DS$69)),0)-IF('ОБЪЕКТЫ'!$B$8=3,IFERROR('ОБЪЕКТЫ'!$B$28*'ОБЪЕКТЫ'!N22/'ОБЪЕКТЫ'!$B$22,0),0)-IF('ОБЪЕКТЫ'!$B$36=3,IFERROR('ОБЪЕКТЫ'!$B$56*'ОБЪЕКТЫ'!N50/'ОБЪЕКТЫ'!$B$50,0),0)-IF('ОБЪЕКТЫ'!$B$64=3,IFERROR('ОБЪЕКТЫ'!$B$84*'ОБЪЕКТЫ'!N78/'ОБЪЕКТЫ'!$B$78,0),0)-N53-N57-N21</x:f>
      </x:c>
      <x:c r="O22" s="117">
        <x:f>O10-IFERROR((SUM($D$20:$DS$20)-'ОБЪЕКТЫ'!$B$112)*('Продажи'!O60+'Продажи'!O63+'Продажи'!O66+'Продажи'!O69)/(SUM('Продажи'!$D$60:$DS$60)+SUM('Продажи'!$D$63:$DS$63)+SUM('Продажи'!$D$66:$DS$66)+SUM('Продажи'!$D$69:$DS$69)),0)-IF('ОБЪЕКТЫ'!$B$8=3,IFERROR('ОБЪЕКТЫ'!$B$28*'ОБЪЕКТЫ'!O22/'ОБЪЕКТЫ'!$B$22,0),0)-IF('ОБЪЕКТЫ'!$B$36=3,IFERROR('ОБЪЕКТЫ'!$B$56*'ОБЪЕКТЫ'!O50/'ОБЪЕКТЫ'!$B$50,0),0)-IF('ОБЪЕКТЫ'!$B$64=3,IFERROR('ОБЪЕКТЫ'!$B$84*'ОБЪЕКТЫ'!O78/'ОБЪЕКТЫ'!$B$78,0),0)-O53-O57-O21</x:f>
      </x:c>
      <x:c r="P22" s="117">
        <x:f>P10-IFERROR((SUM($D$20:$DS$20)-'ОБЪЕКТЫ'!$B$112)*('Продажи'!P60+'Продажи'!P63+'Продажи'!P66+'Продажи'!P69)/(SUM('Продажи'!$D$60:$DS$60)+SUM('Продажи'!$D$63:$DS$63)+SUM('Продажи'!$D$66:$DS$66)+SUM('Продажи'!$D$69:$DS$69)),0)-IF('ОБЪЕКТЫ'!$B$8=3,IFERROR('ОБЪЕКТЫ'!$B$28*'ОБЪЕКТЫ'!P22/'ОБЪЕКТЫ'!$B$22,0),0)-IF('ОБЪЕКТЫ'!$B$36=3,IFERROR('ОБЪЕКТЫ'!$B$56*'ОБЪЕКТЫ'!P50/'ОБЪЕКТЫ'!$B$50,0),0)-IF('ОБЪЕКТЫ'!$B$64=3,IFERROR('ОБЪЕКТЫ'!$B$84*'ОБЪЕКТЫ'!P78/'ОБЪЕКТЫ'!$B$78,0),0)-P53-P57-P21</x:f>
      </x:c>
      <x:c r="Q22" s="117">
        <x:f>Q10-IFERROR((SUM($D$20:$DS$20)-'ОБЪЕКТЫ'!$B$112)*('Продажи'!Q60+'Продажи'!Q63+'Продажи'!Q66+'Продажи'!Q69)/(SUM('Продажи'!$D$60:$DS$60)+SUM('Продажи'!$D$63:$DS$63)+SUM('Продажи'!$D$66:$DS$66)+SUM('Продажи'!$D$69:$DS$69)),0)-IF('ОБЪЕКТЫ'!$B$8=3,IFERROR('ОБЪЕКТЫ'!$B$28*'ОБЪЕКТЫ'!Q22/'ОБЪЕКТЫ'!$B$22,0),0)-IF('ОБЪЕКТЫ'!$B$36=3,IFERROR('ОБЪЕКТЫ'!$B$56*'ОБЪЕКТЫ'!Q50/'ОБЪЕКТЫ'!$B$50,0),0)-IF('ОБЪЕКТЫ'!$B$64=3,IFERROR('ОБЪЕКТЫ'!$B$84*'ОБЪЕКТЫ'!Q78/'ОБЪЕКТЫ'!$B$78,0),0)-Q53-Q57-Q21</x:f>
      </x:c>
      <x:c r="R22" s="117">
        <x:f>R10-IFERROR((SUM($D$20:$DS$20)-'ОБЪЕКТЫ'!$B$112)*('Продажи'!R60+'Продажи'!R63+'Продажи'!R66+'Продажи'!R69)/(SUM('Продажи'!$D$60:$DS$60)+SUM('Продажи'!$D$63:$DS$63)+SUM('Продажи'!$D$66:$DS$66)+SUM('Продажи'!$D$69:$DS$69)),0)-IF('ОБЪЕКТЫ'!$B$8=3,IFERROR('ОБЪЕКТЫ'!$B$28*'ОБЪЕКТЫ'!R22/'ОБЪЕКТЫ'!$B$22,0),0)-IF('ОБЪЕКТЫ'!$B$36=3,IFERROR('ОБЪЕКТЫ'!$B$56*'ОБЪЕКТЫ'!R50/'ОБЪЕКТЫ'!$B$50,0),0)-IF('ОБЪЕКТЫ'!$B$64=3,IFERROR('ОБЪЕКТЫ'!$B$84*'ОБЪЕКТЫ'!R78/'ОБЪЕКТЫ'!$B$78,0),0)-R53-R57-R21</x:f>
      </x:c>
      <x:c r="S22" s="117">
        <x:f>S10-IFERROR((SUM($D$20:$DS$20)-'ОБЪЕКТЫ'!$B$112)*('Продажи'!S60+'Продажи'!S63+'Продажи'!S66+'Продажи'!S69)/(SUM('Продажи'!$D$60:$DS$60)+SUM('Продажи'!$D$63:$DS$63)+SUM('Продажи'!$D$66:$DS$66)+SUM('Продажи'!$D$69:$DS$69)),0)-IF('ОБЪЕКТЫ'!$B$8=3,IFERROR('ОБЪЕКТЫ'!$B$28*'ОБЪЕКТЫ'!S22/'ОБЪЕКТЫ'!$B$22,0),0)-IF('ОБЪЕКТЫ'!$B$36=3,IFERROR('ОБЪЕКТЫ'!$B$56*'ОБЪЕКТЫ'!S50/'ОБЪЕКТЫ'!$B$50,0),0)-IF('ОБЪЕКТЫ'!$B$64=3,IFERROR('ОБЪЕКТЫ'!$B$84*'ОБЪЕКТЫ'!S78/'ОБЪЕКТЫ'!$B$78,0),0)-S53-S57-S21</x:f>
      </x:c>
      <x:c r="T22" s="117">
        <x:f>T10-IFERROR((SUM($D$20:$DS$20)-'ОБЪЕКТЫ'!$B$112)*('Продажи'!T60+'Продажи'!T63+'Продажи'!T66+'Продажи'!T69)/(SUM('Продажи'!$D$60:$DS$60)+SUM('Продажи'!$D$63:$DS$63)+SUM('Продажи'!$D$66:$DS$66)+SUM('Продажи'!$D$69:$DS$69)),0)-IF('ОБЪЕКТЫ'!$B$8=3,IFERROR('ОБЪЕКТЫ'!$B$28*'ОБЪЕКТЫ'!T22/'ОБЪЕКТЫ'!$B$22,0),0)-IF('ОБЪЕКТЫ'!$B$36=3,IFERROR('ОБЪЕКТЫ'!$B$56*'ОБЪЕКТЫ'!T50/'ОБЪЕКТЫ'!$B$50,0),0)-IF('ОБЪЕКТЫ'!$B$64=3,IFERROR('ОБЪЕКТЫ'!$B$84*'ОБЪЕКТЫ'!T78/'ОБЪЕКТЫ'!$B$78,0),0)-T53-T57-T21</x:f>
      </x:c>
      <x:c r="U22" s="117">
        <x:f>U10-IFERROR((SUM($D$20:$DS$20)-'ОБЪЕКТЫ'!$B$112)*('Продажи'!U60+'Продажи'!U63+'Продажи'!U66+'Продажи'!U69)/(SUM('Продажи'!$D$60:$DS$60)+SUM('Продажи'!$D$63:$DS$63)+SUM('Продажи'!$D$66:$DS$66)+SUM('Продажи'!$D$69:$DS$69)),0)-IF('ОБЪЕКТЫ'!$B$8=3,IFERROR('ОБЪЕКТЫ'!$B$28*'ОБЪЕКТЫ'!U22/'ОБЪЕКТЫ'!$B$22,0),0)-IF('ОБЪЕКТЫ'!$B$36=3,IFERROR('ОБЪЕКТЫ'!$B$56*'ОБЪЕКТЫ'!U50/'ОБЪЕКТЫ'!$B$50,0),0)-IF('ОБЪЕКТЫ'!$B$64=3,IFERROR('ОБЪЕКТЫ'!$B$84*'ОБЪЕКТЫ'!U78/'ОБЪЕКТЫ'!$B$78,0),0)-U53-U57-U21</x:f>
      </x:c>
      <x:c r="V22" s="117">
        <x:f>V10-IFERROR((SUM($D$20:$DS$20)-'ОБЪЕКТЫ'!$B$112)*('Продажи'!V60+'Продажи'!V63+'Продажи'!V66+'Продажи'!V69)/(SUM('Продажи'!$D$60:$DS$60)+SUM('Продажи'!$D$63:$DS$63)+SUM('Продажи'!$D$66:$DS$66)+SUM('Продажи'!$D$69:$DS$69)),0)-IF('ОБЪЕКТЫ'!$B$8=3,IFERROR('ОБЪЕКТЫ'!$B$28*'ОБЪЕКТЫ'!V22/'ОБЪЕКТЫ'!$B$22,0),0)-IF('ОБЪЕКТЫ'!$B$36=3,IFERROR('ОБЪЕКТЫ'!$B$56*'ОБЪЕКТЫ'!V50/'ОБЪЕКТЫ'!$B$50,0),0)-IF('ОБЪЕКТЫ'!$B$64=3,IFERROR('ОБЪЕКТЫ'!$B$84*'ОБЪЕКТЫ'!V78/'ОБЪЕКТЫ'!$B$78,0),0)-V53-V57-V21</x:f>
      </x:c>
      <x:c r="W22" s="117">
        <x:f>W10-IFERROR((SUM($D$20:$DS$20)-'ОБЪЕКТЫ'!$B$112)*('Продажи'!W60+'Продажи'!W63+'Продажи'!W66+'Продажи'!W69)/(SUM('Продажи'!$D$60:$DS$60)+SUM('Продажи'!$D$63:$DS$63)+SUM('Продажи'!$D$66:$DS$66)+SUM('Продажи'!$D$69:$DS$69)),0)-IF('ОБЪЕКТЫ'!$B$8=3,IFERROR('ОБЪЕКТЫ'!$B$28*'ОБЪЕКТЫ'!W22/'ОБЪЕКТЫ'!$B$22,0),0)-IF('ОБЪЕКТЫ'!$B$36=3,IFERROR('ОБЪЕКТЫ'!$B$56*'ОБЪЕКТЫ'!W50/'ОБЪЕКТЫ'!$B$50,0),0)-IF('ОБЪЕКТЫ'!$B$64=3,IFERROR('ОБЪЕКТЫ'!$B$84*'ОБЪЕКТЫ'!W78/'ОБЪЕКТЫ'!$B$78,0),0)-W53-W57-W21</x:f>
      </x:c>
      <x:c r="X22" s="117">
        <x:f>X10-IFERROR((SUM($D$20:$DS$20)-'ОБЪЕКТЫ'!$B$112)*('Продажи'!X60+'Продажи'!X63+'Продажи'!X66+'Продажи'!X69)/(SUM('Продажи'!$D$60:$DS$60)+SUM('Продажи'!$D$63:$DS$63)+SUM('Продажи'!$D$66:$DS$66)+SUM('Продажи'!$D$69:$DS$69)),0)-IF('ОБЪЕКТЫ'!$B$8=3,IFERROR('ОБЪЕКТЫ'!$B$28*'ОБЪЕКТЫ'!X22/'ОБЪЕКТЫ'!$B$22,0),0)-IF('ОБЪЕКТЫ'!$B$36=3,IFERROR('ОБЪЕКТЫ'!$B$56*'ОБЪЕКТЫ'!X50/'ОБЪЕКТЫ'!$B$50,0),0)-IF('ОБЪЕКТЫ'!$B$64=3,IFERROR('ОБЪЕКТЫ'!$B$84*'ОБЪЕКТЫ'!X78/'ОБЪЕКТЫ'!$B$78,0),0)-X53-X57-X21</x:f>
      </x:c>
      <x:c r="Y22" s="117">
        <x:f>Y10-IFERROR((SUM($D$20:$DS$20)-'ОБЪЕКТЫ'!$B$112)*('Продажи'!Y60+'Продажи'!Y63+'Продажи'!Y66+'Продажи'!Y69)/(SUM('Продажи'!$D$60:$DS$60)+SUM('Продажи'!$D$63:$DS$63)+SUM('Продажи'!$D$66:$DS$66)+SUM('Продажи'!$D$69:$DS$69)),0)-IF('ОБЪЕКТЫ'!$B$8=3,IFERROR('ОБЪЕКТЫ'!$B$28*'ОБЪЕКТЫ'!Y22/'ОБЪЕКТЫ'!$B$22,0),0)-IF('ОБЪЕКТЫ'!$B$36=3,IFERROR('ОБЪЕКТЫ'!$B$56*'ОБЪЕКТЫ'!Y50/'ОБЪЕКТЫ'!$B$50,0),0)-IF('ОБЪЕКТЫ'!$B$64=3,IFERROR('ОБЪЕКТЫ'!$B$84*'ОБЪЕКТЫ'!Y78/'ОБЪЕКТЫ'!$B$78,0),0)-Y53-Y57-Y21</x:f>
      </x:c>
      <x:c r="Z22" s="117">
        <x:f>Z10-IFERROR((SUM($D$20:$DS$20)-'ОБЪЕКТЫ'!$B$112)*('Продажи'!Z60+'Продажи'!Z63+'Продажи'!Z66+'Продажи'!Z69)/(SUM('Продажи'!$D$60:$DS$60)+SUM('Продажи'!$D$63:$DS$63)+SUM('Продажи'!$D$66:$DS$66)+SUM('Продажи'!$D$69:$DS$69)),0)-IF('ОБЪЕКТЫ'!$B$8=3,IFERROR('ОБЪЕКТЫ'!$B$28*'ОБЪЕКТЫ'!Z22/'ОБЪЕКТЫ'!$B$22,0),0)-IF('ОБЪЕКТЫ'!$B$36=3,IFERROR('ОБЪЕКТЫ'!$B$56*'ОБЪЕКТЫ'!Z50/'ОБЪЕКТЫ'!$B$50,0),0)-IF('ОБЪЕКТЫ'!$B$64=3,IFERROR('ОБЪЕКТЫ'!$B$84*'ОБЪЕКТЫ'!Z78/'ОБЪЕКТЫ'!$B$78,0),0)-Z53-Z57-Z21</x:f>
      </x:c>
      <x:c r="AA22" s="117">
        <x:f>AA10-IFERROR((SUM($D$20:$DS$20)-'ОБЪЕКТЫ'!$B$112)*('Продажи'!AA60+'Продажи'!AA63+'Продажи'!AA66+'Продажи'!AA69)/(SUM('Продажи'!$D$60:$DS$60)+SUM('Продажи'!$D$63:$DS$63)+SUM('Продажи'!$D$66:$DS$66)+SUM('Продажи'!$D$69:$DS$69)),0)-IF('ОБЪЕКТЫ'!$B$8=3,IFERROR('ОБЪЕКТЫ'!$B$28*'ОБЪЕКТЫ'!AA22/'ОБЪЕКТЫ'!$B$22,0),0)-IF('ОБЪЕКТЫ'!$B$36=3,IFERROR('ОБЪЕКТЫ'!$B$56*'ОБЪЕКТЫ'!AA50/'ОБЪЕКТЫ'!$B$50,0),0)-IF('ОБЪЕКТЫ'!$B$64=3,IFERROR('ОБЪЕКТЫ'!$B$84*'ОБЪЕКТЫ'!AA78/'ОБЪЕКТЫ'!$B$78,0),0)-AA53-AA57-AA21</x:f>
      </x:c>
      <x:c r="AB22" s="117">
        <x:f>AB10-IFERROR((SUM($D$20:$DS$20)-'ОБЪЕКТЫ'!$B$112)*('Продажи'!AB60+'Продажи'!AB63+'Продажи'!AB66+'Продажи'!AB69)/(SUM('Продажи'!$D$60:$DS$60)+SUM('Продажи'!$D$63:$DS$63)+SUM('Продажи'!$D$66:$DS$66)+SUM('Продажи'!$D$69:$DS$69)),0)-IF('ОБЪЕКТЫ'!$B$8=3,IFERROR('ОБЪЕКТЫ'!$B$28*'ОБЪЕКТЫ'!AB22/'ОБЪЕКТЫ'!$B$22,0),0)-IF('ОБЪЕКТЫ'!$B$36=3,IFERROR('ОБЪЕКТЫ'!$B$56*'ОБЪЕКТЫ'!AB50/'ОБЪЕКТЫ'!$B$50,0),0)-IF('ОБЪЕКТЫ'!$B$64=3,IFERROR('ОБЪЕКТЫ'!$B$84*'ОБЪЕКТЫ'!AB78/'ОБЪЕКТЫ'!$B$78,0),0)-AB53-AB57-AB21</x:f>
      </x:c>
      <x:c r="AC22" s="117">
        <x:f>AC10-IFERROR((SUM($D$20:$DS$20)-'ОБЪЕКТЫ'!$B$112)*('Продажи'!AC60+'Продажи'!AC63+'Продажи'!AC66+'Продажи'!AC69)/(SUM('Продажи'!$D$60:$DS$60)+SUM('Продажи'!$D$63:$DS$63)+SUM('Продажи'!$D$66:$DS$66)+SUM('Продажи'!$D$69:$DS$69)),0)-IF('ОБЪЕКТЫ'!$B$8=3,IFERROR('ОБЪЕКТЫ'!$B$28*'ОБЪЕКТЫ'!AC22/'ОБЪЕКТЫ'!$B$22,0),0)-IF('ОБЪЕКТЫ'!$B$36=3,IFERROR('ОБЪЕКТЫ'!$B$56*'ОБЪЕКТЫ'!AC50/'ОБЪЕКТЫ'!$B$50,0),0)-IF('ОБЪЕКТЫ'!$B$64=3,IFERROR('ОБЪЕКТЫ'!$B$84*'ОБЪЕКТЫ'!AC78/'ОБЪЕКТЫ'!$B$78,0),0)-AC53-AC57-AC21</x:f>
      </x:c>
      <x:c r="AD22" s="117">
        <x:f>AD10-IFERROR((SUM($D$20:$DS$20)-'ОБЪЕКТЫ'!$B$112)*('Продажи'!AD60+'Продажи'!AD63+'Продажи'!AD66+'Продажи'!AD69)/(SUM('Продажи'!$D$60:$DS$60)+SUM('Продажи'!$D$63:$DS$63)+SUM('Продажи'!$D$66:$DS$66)+SUM('Продажи'!$D$69:$DS$69)),0)-IF('ОБЪЕКТЫ'!$B$8=3,IFERROR('ОБЪЕКТЫ'!$B$28*'ОБЪЕКТЫ'!AD22/'ОБЪЕКТЫ'!$B$22,0),0)-IF('ОБЪЕКТЫ'!$B$36=3,IFERROR('ОБЪЕКТЫ'!$B$56*'ОБЪЕКТЫ'!AD50/'ОБЪЕКТЫ'!$B$50,0),0)-IF('ОБЪЕКТЫ'!$B$64=3,IFERROR('ОБЪЕКТЫ'!$B$84*'ОБЪЕКТЫ'!AD78/'ОБЪЕКТЫ'!$B$78,0),0)-AD53-AD57-AD21</x:f>
      </x:c>
      <x:c r="AE22" s="117">
        <x:f>AE10-IFERROR((SUM($D$20:$DS$20)-'ОБЪЕКТЫ'!$B$112)*('Продажи'!AE60+'Продажи'!AE63+'Продажи'!AE66+'Продажи'!AE69)/(SUM('Продажи'!$D$60:$DS$60)+SUM('Продажи'!$D$63:$DS$63)+SUM('Продажи'!$D$66:$DS$66)+SUM('Продажи'!$D$69:$DS$69)),0)-IF('ОБЪЕКТЫ'!$B$8=3,IFERROR('ОБЪЕКТЫ'!$B$28*'ОБЪЕКТЫ'!AE22/'ОБЪЕКТЫ'!$B$22,0),0)-IF('ОБЪЕКТЫ'!$B$36=3,IFERROR('ОБЪЕКТЫ'!$B$56*'ОБЪЕКТЫ'!AE50/'ОБЪЕКТЫ'!$B$50,0),0)-IF('ОБЪЕКТЫ'!$B$64=3,IFERROR('ОБЪЕКТЫ'!$B$84*'ОБЪЕКТЫ'!AE78/'ОБЪЕКТЫ'!$B$78,0),0)-AE53-AE57-AE21</x:f>
      </x:c>
      <x:c r="AF22" s="117">
        <x:f>AF10-IFERROR((SUM($D$20:$DS$20)-'ОБЪЕКТЫ'!$B$112)*('Продажи'!AF60+'Продажи'!AF63+'Продажи'!AF66+'Продажи'!AF69)/(SUM('Продажи'!$D$60:$DS$60)+SUM('Продажи'!$D$63:$DS$63)+SUM('Продажи'!$D$66:$DS$66)+SUM('Продажи'!$D$69:$DS$69)),0)-IF('ОБЪЕКТЫ'!$B$8=3,IFERROR('ОБЪЕКТЫ'!$B$28*'ОБЪЕКТЫ'!AF22/'ОБЪЕКТЫ'!$B$22,0),0)-IF('ОБЪЕКТЫ'!$B$36=3,IFERROR('ОБЪЕКТЫ'!$B$56*'ОБЪЕКТЫ'!AF50/'ОБЪЕКТЫ'!$B$50,0),0)-IF('ОБЪЕКТЫ'!$B$64=3,IFERROR('ОБЪЕКТЫ'!$B$84*'ОБЪЕКТЫ'!AF78/'ОБЪЕКТЫ'!$B$78,0),0)-AF53-AF57-AF21</x:f>
      </x:c>
      <x:c r="AG22" s="117">
        <x:f>AG10-IFERROR((SUM($D$20:$DS$20)-'ОБЪЕКТЫ'!$B$112)*('Продажи'!AG60+'Продажи'!AG63+'Продажи'!AG66+'Продажи'!AG69)/(SUM('Продажи'!$D$60:$DS$60)+SUM('Продажи'!$D$63:$DS$63)+SUM('Продажи'!$D$66:$DS$66)+SUM('Продажи'!$D$69:$DS$69)),0)-IF('ОБЪЕКТЫ'!$B$8=3,IFERROR('ОБЪЕКТЫ'!$B$28*'ОБЪЕКТЫ'!AG22/'ОБЪЕКТЫ'!$B$22,0),0)-IF('ОБЪЕКТЫ'!$B$36=3,IFERROR('ОБЪЕКТЫ'!$B$56*'ОБЪЕКТЫ'!AG50/'ОБЪЕКТЫ'!$B$50,0),0)-IF('ОБЪЕКТЫ'!$B$64=3,IFERROR('ОБЪЕКТЫ'!$B$84*'ОБЪЕКТЫ'!AG78/'ОБЪЕКТЫ'!$B$78,0),0)-AG53-AG57-AG21</x:f>
      </x:c>
      <x:c r="AH22" s="117">
        <x:f>AH10-IFERROR((SUM($D$20:$DS$20)-'ОБЪЕКТЫ'!$B$112)*('Продажи'!AH60+'Продажи'!AH63+'Продажи'!AH66+'Продажи'!AH69)/(SUM('Продажи'!$D$60:$DS$60)+SUM('Продажи'!$D$63:$DS$63)+SUM('Продажи'!$D$66:$DS$66)+SUM('Продажи'!$D$69:$DS$69)),0)-IF('ОБЪЕКТЫ'!$B$8=3,IFERROR('ОБЪЕКТЫ'!$B$28*'ОБЪЕКТЫ'!AH22/'ОБЪЕКТЫ'!$B$22,0),0)-IF('ОБЪЕКТЫ'!$B$36=3,IFERROR('ОБЪЕКТЫ'!$B$56*'ОБЪЕКТЫ'!AH50/'ОБЪЕКТЫ'!$B$50,0),0)-IF('ОБЪЕКТЫ'!$B$64=3,IFERROR('ОБЪЕКТЫ'!$B$84*'ОБЪЕКТЫ'!AH78/'ОБЪЕКТЫ'!$B$78,0),0)-AH53-AH57-AH21</x:f>
      </x:c>
      <x:c r="AI22" s="117">
        <x:f>AI10-IFERROR((SUM($D$20:$DS$20)-'ОБЪЕКТЫ'!$B$112)*('Продажи'!AI60+'Продажи'!AI63+'Продажи'!AI66+'Продажи'!AI69)/(SUM('Продажи'!$D$60:$DS$60)+SUM('Продажи'!$D$63:$DS$63)+SUM('Продажи'!$D$66:$DS$66)+SUM('Продажи'!$D$69:$DS$69)),0)-IF('ОБЪЕКТЫ'!$B$8=3,IFERROR('ОБЪЕКТЫ'!$B$28*'ОБЪЕКТЫ'!AI22/'ОБЪЕКТЫ'!$B$22,0),0)-IF('ОБЪЕКТЫ'!$B$36=3,IFERROR('ОБЪЕКТЫ'!$B$56*'ОБЪЕКТЫ'!AI50/'ОБЪЕКТЫ'!$B$50,0),0)-IF('ОБЪЕКТЫ'!$B$64=3,IFERROR('ОБЪЕКТЫ'!$B$84*'ОБЪЕКТЫ'!AI78/'ОБЪЕКТЫ'!$B$78,0),0)-AI53-AI57-AI21</x:f>
      </x:c>
      <x:c r="AJ22" s="117">
        <x:f>AJ10-IFERROR((SUM($D$20:$DS$20)-'ОБЪЕКТЫ'!$B$112)*('Продажи'!AJ60+'Продажи'!AJ63+'Продажи'!AJ66+'Продажи'!AJ69)/(SUM('Продажи'!$D$60:$DS$60)+SUM('Продажи'!$D$63:$DS$63)+SUM('Продажи'!$D$66:$DS$66)+SUM('Продажи'!$D$69:$DS$69)),0)-IF('ОБЪЕКТЫ'!$B$8=3,IFERROR('ОБЪЕКТЫ'!$B$28*'ОБЪЕКТЫ'!AJ22/'ОБЪЕКТЫ'!$B$22,0),0)-IF('ОБЪЕКТЫ'!$B$36=3,IFERROR('ОБЪЕКТЫ'!$B$56*'ОБЪЕКТЫ'!AJ50/'ОБЪЕКТЫ'!$B$50,0),0)-IF('ОБЪЕКТЫ'!$B$64=3,IFERROR('ОБЪЕКТЫ'!$B$84*'ОБЪЕКТЫ'!AJ78/'ОБЪЕКТЫ'!$B$78,0),0)-AJ53-AJ57-AJ21</x:f>
      </x:c>
      <x:c r="AK22" s="117">
        <x:f>AK10-IFERROR((SUM($D$20:$DS$20)-'ОБЪЕКТЫ'!$B$112)*('Продажи'!AK60+'Продажи'!AK63+'Продажи'!AK66+'Продажи'!AK69)/(SUM('Продажи'!$D$60:$DS$60)+SUM('Продажи'!$D$63:$DS$63)+SUM('Продажи'!$D$66:$DS$66)+SUM('Продажи'!$D$69:$DS$69)),0)-IF('ОБЪЕКТЫ'!$B$8=3,IFERROR('ОБЪЕКТЫ'!$B$28*'ОБЪЕКТЫ'!AK22/'ОБЪЕКТЫ'!$B$22,0),0)-IF('ОБЪЕКТЫ'!$B$36=3,IFERROR('ОБЪЕКТЫ'!$B$56*'ОБЪЕКТЫ'!AK50/'ОБЪЕКТЫ'!$B$50,0),0)-IF('ОБЪЕКТЫ'!$B$64=3,IFERROR('ОБЪЕКТЫ'!$B$84*'ОБЪЕКТЫ'!AK78/'ОБЪЕКТЫ'!$B$78,0),0)-AK53-AK57-AK21</x:f>
      </x:c>
      <x:c r="AL22" s="117">
        <x:f>AL10-IFERROR((SUM($D$20:$DS$20)-'ОБЪЕКТЫ'!$B$112)*('Продажи'!AL60+'Продажи'!AL63+'Продажи'!AL66+'Продажи'!AL69)/(SUM('Продажи'!$D$60:$DS$60)+SUM('Продажи'!$D$63:$DS$63)+SUM('Продажи'!$D$66:$DS$66)+SUM('Продажи'!$D$69:$DS$69)),0)-IF('ОБЪЕКТЫ'!$B$8=3,IFERROR('ОБЪЕКТЫ'!$B$28*'ОБЪЕКТЫ'!AL22/'ОБЪЕКТЫ'!$B$22,0),0)-IF('ОБЪЕКТЫ'!$B$36=3,IFERROR('ОБЪЕКТЫ'!$B$56*'ОБЪЕКТЫ'!AL50/'ОБЪЕКТЫ'!$B$50,0),0)-IF('ОБЪЕКТЫ'!$B$64=3,IFERROR('ОБЪЕКТЫ'!$B$84*'ОБЪЕКТЫ'!AL78/'ОБЪЕКТЫ'!$B$78,0),0)-AL53-AL57-AL21</x:f>
      </x:c>
      <x:c r="AM22" s="117">
        <x:f>AM10-IFERROR((SUM($D$20:$DS$20)-'ОБЪЕКТЫ'!$B$112)*('Продажи'!AM60+'Продажи'!AM63+'Продажи'!AM66+'Продажи'!AM69)/(SUM('Продажи'!$D$60:$DS$60)+SUM('Продажи'!$D$63:$DS$63)+SUM('Продажи'!$D$66:$DS$66)+SUM('Продажи'!$D$69:$DS$69)),0)-IF('ОБЪЕКТЫ'!$B$8=3,IFERROR('ОБЪЕКТЫ'!$B$28*'ОБЪЕКТЫ'!AM22/'ОБЪЕКТЫ'!$B$22,0),0)-IF('ОБЪЕКТЫ'!$B$36=3,IFERROR('ОБЪЕКТЫ'!$B$56*'ОБЪЕКТЫ'!AM50/'ОБЪЕКТЫ'!$B$50,0),0)-IF('ОБЪЕКТЫ'!$B$64=3,IFERROR('ОБЪЕКТЫ'!$B$84*'ОБЪЕКТЫ'!AM78/'ОБЪЕКТЫ'!$B$78,0),0)-AM53-AM57-AM21</x:f>
      </x:c>
      <x:c r="AN22" s="117">
        <x:f>AN10-IFERROR((SUM($D$20:$DS$20)-'ОБЪЕКТЫ'!$B$112)*('Продажи'!AN60+'Продажи'!AN63+'Продажи'!AN66+'Продажи'!AN69)/(SUM('Продажи'!$D$60:$DS$60)+SUM('Продажи'!$D$63:$DS$63)+SUM('Продажи'!$D$66:$DS$66)+SUM('Продажи'!$D$69:$DS$69)),0)-IF('ОБЪЕКТЫ'!$B$8=3,IFERROR('ОБЪЕКТЫ'!$B$28*'ОБЪЕКТЫ'!AN22/'ОБЪЕКТЫ'!$B$22,0),0)-IF('ОБЪЕКТЫ'!$B$36=3,IFERROR('ОБЪЕКТЫ'!$B$56*'ОБЪЕКТЫ'!AN50/'ОБЪЕКТЫ'!$B$50,0),0)-IF('ОБЪЕКТЫ'!$B$64=3,IFERROR('ОБЪЕКТЫ'!$B$84*'ОБЪЕКТЫ'!AN78/'ОБЪЕКТЫ'!$B$78,0),0)-AN53-AN57-AN21</x:f>
      </x:c>
      <x:c r="AO22" s="117">
        <x:f>AO10-IFERROR((SUM($D$20:$DS$20)-'ОБЪЕКТЫ'!$B$112)*('Продажи'!AO60+'Продажи'!AO63+'Продажи'!AO66+'Продажи'!AO69)/(SUM('Продажи'!$D$60:$DS$60)+SUM('Продажи'!$D$63:$DS$63)+SUM('Продажи'!$D$66:$DS$66)+SUM('Продажи'!$D$69:$DS$69)),0)-IF('ОБЪЕКТЫ'!$B$8=3,IFERROR('ОБЪЕКТЫ'!$B$28*'ОБЪЕКТЫ'!AO22/'ОБЪЕКТЫ'!$B$22,0),0)-IF('ОБЪЕКТЫ'!$B$36=3,IFERROR('ОБЪЕКТЫ'!$B$56*'ОБЪЕКТЫ'!AO50/'ОБЪЕКТЫ'!$B$50,0),0)-IF('ОБЪЕКТЫ'!$B$64=3,IFERROR('ОБЪЕКТЫ'!$B$84*'ОБЪЕКТЫ'!AO78/'ОБЪЕКТЫ'!$B$78,0),0)-AO53-AO57-AO21</x:f>
      </x:c>
      <x:c r="AP22" s="117">
        <x:f>AP10-IFERROR((SUM($D$20:$DS$20)-'ОБЪЕКТЫ'!$B$112)*('Продажи'!AP60+'Продажи'!AP63+'Продажи'!AP66+'Продажи'!AP69)/(SUM('Продажи'!$D$60:$DS$60)+SUM('Продажи'!$D$63:$DS$63)+SUM('Продажи'!$D$66:$DS$66)+SUM('Продажи'!$D$69:$DS$69)),0)-IF('ОБЪЕКТЫ'!$B$8=3,IFERROR('ОБЪЕКТЫ'!$B$28*'ОБЪЕКТЫ'!AP22/'ОБЪЕКТЫ'!$B$22,0),0)-IF('ОБЪЕКТЫ'!$B$36=3,IFERROR('ОБЪЕКТЫ'!$B$56*'ОБЪЕКТЫ'!AP50/'ОБЪЕКТЫ'!$B$50,0),0)-IF('ОБЪЕКТЫ'!$B$64=3,IFERROR('ОБЪЕКТЫ'!$B$84*'ОБЪЕКТЫ'!AP78/'ОБЪЕКТЫ'!$B$78,0),0)-AP53-AP57-AP21</x:f>
      </x:c>
      <x:c r="AQ22" s="117">
        <x:f>AQ10-IFERROR((SUM($D$20:$DS$20)-'ОБЪЕКТЫ'!$B$112)*('Продажи'!AQ60+'Продажи'!AQ63+'Продажи'!AQ66+'Продажи'!AQ69)/(SUM('Продажи'!$D$60:$DS$60)+SUM('Продажи'!$D$63:$DS$63)+SUM('Продажи'!$D$66:$DS$66)+SUM('Продажи'!$D$69:$DS$69)),0)-IF('ОБЪЕКТЫ'!$B$8=3,IFERROR('ОБЪЕКТЫ'!$B$28*'ОБЪЕКТЫ'!AQ22/'ОБЪЕКТЫ'!$B$22,0),0)-IF('ОБЪЕКТЫ'!$B$36=3,IFERROR('ОБЪЕКТЫ'!$B$56*'ОБЪЕКТЫ'!AQ50/'ОБЪЕКТЫ'!$B$50,0),0)-IF('ОБЪЕКТЫ'!$B$64=3,IFERROR('ОБЪЕКТЫ'!$B$84*'ОБЪЕКТЫ'!AQ78/'ОБЪЕКТЫ'!$B$78,0),0)-AQ53-AQ57-AQ21</x:f>
      </x:c>
      <x:c r="AR22" s="117">
        <x:f>AR10-IFERROR((SUM($D$20:$DS$20)-'ОБЪЕКТЫ'!$B$112)*('Продажи'!AR60+'Продажи'!AR63+'Продажи'!AR66+'Продажи'!AR69)/(SUM('Продажи'!$D$60:$DS$60)+SUM('Продажи'!$D$63:$DS$63)+SUM('Продажи'!$D$66:$DS$66)+SUM('Продажи'!$D$69:$DS$69)),0)-IF('ОБЪЕКТЫ'!$B$8=3,IFERROR('ОБЪЕКТЫ'!$B$28*'ОБЪЕКТЫ'!AR22/'ОБЪЕКТЫ'!$B$22,0),0)-IF('ОБЪЕКТЫ'!$B$36=3,IFERROR('ОБЪЕКТЫ'!$B$56*'ОБЪЕКТЫ'!AR50/'ОБЪЕКТЫ'!$B$50,0),0)-IF('ОБЪЕКТЫ'!$B$64=3,IFERROR('ОБЪЕКТЫ'!$B$84*'ОБЪЕКТЫ'!AR78/'ОБЪЕКТЫ'!$B$78,0),0)-AR53-AR57-AR21</x:f>
      </x:c>
      <x:c r="AS22" s="117">
        <x:f>AS10-IFERROR((SUM($D$20:$DS$20)-'ОБЪЕКТЫ'!$B$112)*('Продажи'!AS60+'Продажи'!AS63+'Продажи'!AS66+'Продажи'!AS69)/(SUM('Продажи'!$D$60:$DS$60)+SUM('Продажи'!$D$63:$DS$63)+SUM('Продажи'!$D$66:$DS$66)+SUM('Продажи'!$D$69:$DS$69)),0)-IF('ОБЪЕКТЫ'!$B$8=3,IFERROR('ОБЪЕКТЫ'!$B$28*'ОБЪЕКТЫ'!AS22/'ОБЪЕКТЫ'!$B$22,0),0)-IF('ОБЪЕКТЫ'!$B$36=3,IFERROR('ОБЪЕКТЫ'!$B$56*'ОБЪЕКТЫ'!AS50/'ОБЪЕКТЫ'!$B$50,0),0)-IF('ОБЪЕКТЫ'!$B$64=3,IFERROR('ОБЪЕКТЫ'!$B$84*'ОБЪЕКТЫ'!AS78/'ОБЪЕКТЫ'!$B$78,0),0)-AS53-AS57-AS21</x:f>
      </x:c>
      <x:c r="AT22" s="117">
        <x:f>AT10-IFERROR((SUM($D$20:$DS$20)-'ОБЪЕКТЫ'!$B$112)*('Продажи'!AT60+'Продажи'!AT63+'Продажи'!AT66+'Продажи'!AT69)/(SUM('Продажи'!$D$60:$DS$60)+SUM('Продажи'!$D$63:$DS$63)+SUM('Продажи'!$D$66:$DS$66)+SUM('Продажи'!$D$69:$DS$69)),0)-IF('ОБЪЕКТЫ'!$B$8=3,IFERROR('ОБЪЕКТЫ'!$B$28*'ОБЪЕКТЫ'!AT22/'ОБЪЕКТЫ'!$B$22,0),0)-IF('ОБЪЕКТЫ'!$B$36=3,IFERROR('ОБЪЕКТЫ'!$B$56*'ОБЪЕКТЫ'!AT50/'ОБЪЕКТЫ'!$B$50,0),0)-IF('ОБЪЕКТЫ'!$B$64=3,IFERROR('ОБЪЕКТЫ'!$B$84*'ОБЪЕКТЫ'!AT78/'ОБЪЕКТЫ'!$B$78,0),0)-AT53-AT57-AT21</x:f>
      </x:c>
      <x:c r="AU22" s="117">
        <x:f>AU10-IFERROR((SUM($D$20:$DS$20)-'ОБЪЕКТЫ'!$B$112)*('Продажи'!AU60+'Продажи'!AU63+'Продажи'!AU66+'Продажи'!AU69)/(SUM('Продажи'!$D$60:$DS$60)+SUM('Продажи'!$D$63:$DS$63)+SUM('Продажи'!$D$66:$DS$66)+SUM('Продажи'!$D$69:$DS$69)),0)-IF('ОБЪЕКТЫ'!$B$8=3,IFERROR('ОБЪЕКТЫ'!$B$28*'ОБЪЕКТЫ'!AU22/'ОБЪЕКТЫ'!$B$22,0),0)-IF('ОБЪЕКТЫ'!$B$36=3,IFERROR('ОБЪЕКТЫ'!$B$56*'ОБЪЕКТЫ'!AU50/'ОБЪЕКТЫ'!$B$50,0),0)-IF('ОБЪЕКТЫ'!$B$64=3,IFERROR('ОБЪЕКТЫ'!$B$84*'ОБЪЕКТЫ'!AU78/'ОБЪЕКТЫ'!$B$78,0),0)-AU53-AU57-AU21</x:f>
      </x:c>
      <x:c r="AV22" s="117">
        <x:f>AV10-IFERROR((SUM($D$20:$DS$20)-'ОБЪЕКТЫ'!$B$112)*('Продажи'!AV60+'Продажи'!AV63+'Продажи'!AV66+'Продажи'!AV69)/(SUM('Продажи'!$D$60:$DS$60)+SUM('Продажи'!$D$63:$DS$63)+SUM('Продажи'!$D$66:$DS$66)+SUM('Продажи'!$D$69:$DS$69)),0)-IF('ОБЪЕКТЫ'!$B$8=3,IFERROR('ОБЪЕКТЫ'!$B$28*'ОБЪЕКТЫ'!AV22/'ОБЪЕКТЫ'!$B$22,0),0)-IF('ОБЪЕКТЫ'!$B$36=3,IFERROR('ОБЪЕКТЫ'!$B$56*'ОБЪЕКТЫ'!AV50/'ОБЪЕКТЫ'!$B$50,0),0)-IF('ОБЪЕКТЫ'!$B$64=3,IFERROR('ОБЪЕКТЫ'!$B$84*'ОБЪЕКТЫ'!AV78/'ОБЪЕКТЫ'!$B$78,0),0)-AV53-AV57-AV21</x:f>
      </x:c>
      <x:c r="AW22" s="117">
        <x:f>AW10-IFERROR((SUM($D$20:$DS$20)-'ОБЪЕКТЫ'!$B$112)*('Продажи'!AW60+'Продажи'!AW63+'Продажи'!AW66+'Продажи'!AW69)/(SUM('Продажи'!$D$60:$DS$60)+SUM('Продажи'!$D$63:$DS$63)+SUM('Продажи'!$D$66:$DS$66)+SUM('Продажи'!$D$69:$DS$69)),0)-IF('ОБЪЕКТЫ'!$B$8=3,IFERROR('ОБЪЕКТЫ'!$B$28*'ОБЪЕКТЫ'!AW22/'ОБЪЕКТЫ'!$B$22,0),0)-IF('ОБЪЕКТЫ'!$B$36=3,IFERROR('ОБЪЕКТЫ'!$B$56*'ОБЪЕКТЫ'!AW50/'ОБЪЕКТЫ'!$B$50,0),0)-IF('ОБЪЕКТЫ'!$B$64=3,IFERROR('ОБЪЕКТЫ'!$B$84*'ОБЪЕКТЫ'!AW78/'ОБЪЕКТЫ'!$B$78,0),0)-AW53-AW57-AW21</x:f>
      </x:c>
      <x:c r="AX22" s="117">
        <x:f>AX10-IFERROR((SUM($D$20:$DS$20)-'ОБЪЕКТЫ'!$B$112)*('Продажи'!AX60+'Продажи'!AX63+'Продажи'!AX66+'Продажи'!AX69)/(SUM('Продажи'!$D$60:$DS$60)+SUM('Продажи'!$D$63:$DS$63)+SUM('Продажи'!$D$66:$DS$66)+SUM('Продажи'!$D$69:$DS$69)),0)-IF('ОБЪЕКТЫ'!$B$8=3,IFERROR('ОБЪЕКТЫ'!$B$28*'ОБЪЕКТЫ'!AX22/'ОБЪЕКТЫ'!$B$22,0),0)-IF('ОБЪЕКТЫ'!$B$36=3,IFERROR('ОБЪЕКТЫ'!$B$56*'ОБЪЕКТЫ'!AX50/'ОБЪЕКТЫ'!$B$50,0),0)-IF('ОБЪЕКТЫ'!$B$64=3,IFERROR('ОБЪЕКТЫ'!$B$84*'ОБЪЕКТЫ'!AX78/'ОБЪЕКТЫ'!$B$78,0),0)-AX53-AX57-AX21</x:f>
      </x:c>
      <x:c r="AY22" s="117">
        <x:f>AY10-IFERROR((SUM($D$20:$DS$20)-'ОБЪЕКТЫ'!$B$112)*('Продажи'!AY60+'Продажи'!AY63+'Продажи'!AY66+'Продажи'!AY69)/(SUM('Продажи'!$D$60:$DS$60)+SUM('Продажи'!$D$63:$DS$63)+SUM('Продажи'!$D$66:$DS$66)+SUM('Продажи'!$D$69:$DS$69)),0)-IF('ОБЪЕКТЫ'!$B$8=3,IFERROR('ОБЪЕКТЫ'!$B$28*'ОБЪЕКТЫ'!AY22/'ОБЪЕКТЫ'!$B$22,0),0)-IF('ОБЪЕКТЫ'!$B$36=3,IFERROR('ОБЪЕКТЫ'!$B$56*'ОБЪЕКТЫ'!AY50/'ОБЪЕКТЫ'!$B$50,0),0)-IF('ОБЪЕКТЫ'!$B$64=3,IFERROR('ОБЪЕКТЫ'!$B$84*'ОБЪЕКТЫ'!AY78/'ОБЪЕКТЫ'!$B$78,0),0)-AY53-AY57-AY21</x:f>
      </x:c>
      <x:c r="AZ22" s="117">
        <x:f>AZ10-IFERROR((SUM($D$20:$DS$20)-'ОБЪЕКТЫ'!$B$112)*('Продажи'!AZ60+'Продажи'!AZ63+'Продажи'!AZ66+'Продажи'!AZ69)/(SUM('Продажи'!$D$60:$DS$60)+SUM('Продажи'!$D$63:$DS$63)+SUM('Продажи'!$D$66:$DS$66)+SUM('Продажи'!$D$69:$DS$69)),0)-IF('ОБЪЕКТЫ'!$B$8=3,IFERROR('ОБЪЕКТЫ'!$B$28*'ОБЪЕКТЫ'!AZ22/'ОБЪЕКТЫ'!$B$22,0),0)-IF('ОБЪЕКТЫ'!$B$36=3,IFERROR('ОБЪЕКТЫ'!$B$56*'ОБЪЕКТЫ'!AZ50/'ОБЪЕКТЫ'!$B$50,0),0)-IF('ОБЪЕКТЫ'!$B$64=3,IFERROR('ОБЪЕКТЫ'!$B$84*'ОБЪЕКТЫ'!AZ78/'ОБЪЕКТЫ'!$B$78,0),0)-AZ53-AZ57-AZ21</x:f>
      </x:c>
      <x:c r="BA22" s="117">
        <x:f>BA10-IFERROR((SUM($D$20:$DS$20)-'ОБЪЕКТЫ'!$B$112)*('Продажи'!BA60+'Продажи'!BA63+'Продажи'!BA66+'Продажи'!BA69)/(SUM('Продажи'!$D$60:$DS$60)+SUM('Продажи'!$D$63:$DS$63)+SUM('Продажи'!$D$66:$DS$66)+SUM('Продажи'!$D$69:$DS$69)),0)-IF('ОБЪЕКТЫ'!$B$8=3,IFERROR('ОБЪЕКТЫ'!$B$28*'ОБЪЕКТЫ'!BA22/'ОБЪЕКТЫ'!$B$22,0),0)-IF('ОБЪЕКТЫ'!$B$36=3,IFERROR('ОБЪЕКТЫ'!$B$56*'ОБЪЕКТЫ'!BA50/'ОБЪЕКТЫ'!$B$50,0),0)-IF('ОБЪЕКТЫ'!$B$64=3,IFERROR('ОБЪЕКТЫ'!$B$84*'ОБЪЕКТЫ'!BA78/'ОБЪЕКТЫ'!$B$78,0),0)-BA53-BA57-BA21</x:f>
      </x:c>
      <x:c r="BB22" s="117">
        <x:f>BB10-IFERROR((SUM($D$20:$DS$20)-'ОБЪЕКТЫ'!$B$112)*('Продажи'!BB60+'Продажи'!BB63+'Продажи'!BB66+'Продажи'!BB69)/(SUM('Продажи'!$D$60:$DS$60)+SUM('Продажи'!$D$63:$DS$63)+SUM('Продажи'!$D$66:$DS$66)+SUM('Продажи'!$D$69:$DS$69)),0)-IF('ОБЪЕКТЫ'!$B$8=3,IFERROR('ОБЪЕКТЫ'!$B$28*'ОБЪЕКТЫ'!BB22/'ОБЪЕКТЫ'!$B$22,0),0)-IF('ОБЪЕКТЫ'!$B$36=3,IFERROR('ОБЪЕКТЫ'!$B$56*'ОБЪЕКТЫ'!BB50/'ОБЪЕКТЫ'!$B$50,0),0)-IF('ОБЪЕКТЫ'!$B$64=3,IFERROR('ОБЪЕКТЫ'!$B$84*'ОБЪЕКТЫ'!BB78/'ОБЪЕКТЫ'!$B$78,0),0)-BB53-BB57-BB21</x:f>
      </x:c>
      <x:c r="BC22" s="117">
        <x:f>BC10-IFERROR((SUM($D$20:$DS$20)-'ОБЪЕКТЫ'!$B$112)*('Продажи'!BC60+'Продажи'!BC63+'Продажи'!BC66+'Продажи'!BC69)/(SUM('Продажи'!$D$60:$DS$60)+SUM('Продажи'!$D$63:$DS$63)+SUM('Продажи'!$D$66:$DS$66)+SUM('Продажи'!$D$69:$DS$69)),0)-IF('ОБЪЕКТЫ'!$B$8=3,IFERROR('ОБЪЕКТЫ'!$B$28*'ОБЪЕКТЫ'!BC22/'ОБЪЕКТЫ'!$B$22,0),0)-IF('ОБЪЕКТЫ'!$B$36=3,IFERROR('ОБЪЕКТЫ'!$B$56*'ОБЪЕКТЫ'!BC50/'ОБЪЕКТЫ'!$B$50,0),0)-IF('ОБЪЕКТЫ'!$B$64=3,IFERROR('ОБЪЕКТЫ'!$B$84*'ОБЪЕКТЫ'!BC78/'ОБЪЕКТЫ'!$B$78,0),0)-BC53-BC57-BC21</x:f>
      </x:c>
      <x:c r="BD22" s="117">
        <x:f>BD10-IFERROR((SUM($D$20:$DS$20)-'ОБЪЕКТЫ'!$B$112)*('Продажи'!BD60+'Продажи'!BD63+'Продажи'!BD66+'Продажи'!BD69)/(SUM('Продажи'!$D$60:$DS$60)+SUM('Продажи'!$D$63:$DS$63)+SUM('Продажи'!$D$66:$DS$66)+SUM('Продажи'!$D$69:$DS$69)),0)-IF('ОБЪЕКТЫ'!$B$8=3,IFERROR('ОБЪЕКТЫ'!$B$28*'ОБЪЕКТЫ'!BD22/'ОБЪЕКТЫ'!$B$22,0),0)-IF('ОБЪЕКТЫ'!$B$36=3,IFERROR('ОБЪЕКТЫ'!$B$56*'ОБЪЕКТЫ'!BD50/'ОБЪЕКТЫ'!$B$50,0),0)-IF('ОБЪЕКТЫ'!$B$64=3,IFERROR('ОБЪЕКТЫ'!$B$84*'ОБЪЕКТЫ'!BD78/'ОБЪЕКТЫ'!$B$78,0),0)-BD53-BD57-BD21</x:f>
      </x:c>
      <x:c r="BE22" s="117">
        <x:f>BE10-IFERROR((SUM($D$20:$DS$20)-'ОБЪЕКТЫ'!$B$112)*('Продажи'!BE60+'Продажи'!BE63+'Продажи'!BE66+'Продажи'!BE69)/(SUM('Продажи'!$D$60:$DS$60)+SUM('Продажи'!$D$63:$DS$63)+SUM('Продажи'!$D$66:$DS$66)+SUM('Продажи'!$D$69:$DS$69)),0)-IF('ОБЪЕКТЫ'!$B$8=3,IFERROR('ОБЪЕКТЫ'!$B$28*'ОБЪЕКТЫ'!BE22/'ОБЪЕКТЫ'!$B$22,0),0)-IF('ОБЪЕКТЫ'!$B$36=3,IFERROR('ОБЪЕКТЫ'!$B$56*'ОБЪЕКТЫ'!BE50/'ОБЪЕКТЫ'!$B$50,0),0)-IF('ОБЪЕКТЫ'!$B$64=3,IFERROR('ОБЪЕКТЫ'!$B$84*'ОБЪЕКТЫ'!BE78/'ОБЪЕКТЫ'!$B$78,0),0)-BE53-BE57-BE21</x:f>
      </x:c>
      <x:c r="BF22" s="117">
        <x:f>BF10-IFERROR((SUM($D$20:$DS$20)-'ОБЪЕКТЫ'!$B$112)*('Продажи'!BF60+'Продажи'!BF63+'Продажи'!BF66+'Продажи'!BF69)/(SUM('Продажи'!$D$60:$DS$60)+SUM('Продажи'!$D$63:$DS$63)+SUM('Продажи'!$D$66:$DS$66)+SUM('Продажи'!$D$69:$DS$69)),0)-IF('ОБЪЕКТЫ'!$B$8=3,IFERROR('ОБЪЕКТЫ'!$B$28*'ОБЪЕКТЫ'!BF22/'ОБЪЕКТЫ'!$B$22,0),0)-IF('ОБЪЕКТЫ'!$B$36=3,IFERROR('ОБЪЕКТЫ'!$B$56*'ОБЪЕКТЫ'!BF50/'ОБЪЕКТЫ'!$B$50,0),0)-IF('ОБЪЕКТЫ'!$B$64=3,IFERROR('ОБЪЕКТЫ'!$B$84*'ОБЪЕКТЫ'!BF78/'ОБЪЕКТЫ'!$B$78,0),0)-BF53-BF57-BF21</x:f>
      </x:c>
      <x:c r="BG22" s="117">
        <x:f>BG10-IFERROR((SUM($D$20:$DS$20)-'ОБЪЕКТЫ'!$B$112)*('Продажи'!BG60+'Продажи'!BG63+'Продажи'!BG66+'Продажи'!BG69)/(SUM('Продажи'!$D$60:$DS$60)+SUM('Продажи'!$D$63:$DS$63)+SUM('Продажи'!$D$66:$DS$66)+SUM('Продажи'!$D$69:$DS$69)),0)-IF('ОБЪЕКТЫ'!$B$8=3,IFERROR('ОБЪЕКТЫ'!$B$28*'ОБЪЕКТЫ'!BG22/'ОБЪЕКТЫ'!$B$22,0),0)-IF('ОБЪЕКТЫ'!$B$36=3,IFERROR('ОБЪЕКТЫ'!$B$56*'ОБЪЕКТЫ'!BG50/'ОБЪЕКТЫ'!$B$50,0),0)-IF('ОБЪЕКТЫ'!$B$64=3,IFERROR('ОБЪЕКТЫ'!$B$84*'ОБЪЕКТЫ'!BG78/'ОБЪЕКТЫ'!$B$78,0),0)-BG53-BG57-BG21</x:f>
      </x:c>
      <x:c r="BH22" s="117">
        <x:f>BH10-IFERROR((SUM($D$20:$DS$20)-'ОБЪЕКТЫ'!$B$112)*('Продажи'!BH60+'Продажи'!BH63+'Продажи'!BH66+'Продажи'!BH69)/(SUM('Продажи'!$D$60:$DS$60)+SUM('Продажи'!$D$63:$DS$63)+SUM('Продажи'!$D$66:$DS$66)+SUM('Продажи'!$D$69:$DS$69)),0)-IF('ОБЪЕКТЫ'!$B$8=3,IFERROR('ОБЪЕКТЫ'!$B$28*'ОБЪЕКТЫ'!BH22/'ОБЪЕКТЫ'!$B$22,0),0)-IF('ОБЪЕКТЫ'!$B$36=3,IFERROR('ОБЪЕКТЫ'!$B$56*'ОБЪЕКТЫ'!BH50/'ОБЪЕКТЫ'!$B$50,0),0)-IF('ОБЪЕКТЫ'!$B$64=3,IFERROR('ОБЪЕКТЫ'!$B$84*'ОБЪЕКТЫ'!BH78/'ОБЪЕКТЫ'!$B$78,0),0)-BH53-BH57-BH21</x:f>
      </x:c>
      <x:c r="BI22" s="117">
        <x:f>BI10-IFERROR((SUM($D$20:$DS$20)-'ОБЪЕКТЫ'!$B$112)*('Продажи'!BI60+'Продажи'!BI63+'Продажи'!BI66+'Продажи'!BI69)/(SUM('Продажи'!$D$60:$DS$60)+SUM('Продажи'!$D$63:$DS$63)+SUM('Продажи'!$D$66:$DS$66)+SUM('Продажи'!$D$69:$DS$69)),0)-IF('ОБЪЕКТЫ'!$B$8=3,IFERROR('ОБЪЕКТЫ'!$B$28*'ОБЪЕКТЫ'!BI22/'ОБЪЕКТЫ'!$B$22,0),0)-IF('ОБЪЕКТЫ'!$B$36=3,IFERROR('ОБЪЕКТЫ'!$B$56*'ОБЪЕКТЫ'!BI50/'ОБЪЕКТЫ'!$B$50,0),0)-IF('ОБЪЕКТЫ'!$B$64=3,IFERROR('ОБЪЕКТЫ'!$B$84*'ОБЪЕКТЫ'!BI78/'ОБЪЕКТЫ'!$B$78,0),0)-BI53-BI57-BI21</x:f>
      </x:c>
      <x:c r="BJ22" s="117">
        <x:f>BJ10-IFERROR((SUM($D$20:$DS$20)-'ОБЪЕКТЫ'!$B$112)*('Продажи'!BJ60+'Продажи'!BJ63+'Продажи'!BJ66+'Продажи'!BJ69)/(SUM('Продажи'!$D$60:$DS$60)+SUM('Продажи'!$D$63:$DS$63)+SUM('Продажи'!$D$66:$DS$66)+SUM('Продажи'!$D$69:$DS$69)),0)-IF('ОБЪЕКТЫ'!$B$8=3,IFERROR('ОБЪЕКТЫ'!$B$28*'ОБЪЕКТЫ'!BJ22/'ОБЪЕКТЫ'!$B$22,0),0)-IF('ОБЪЕКТЫ'!$B$36=3,IFERROR('ОБЪЕКТЫ'!$B$56*'ОБЪЕКТЫ'!BJ50/'ОБЪЕКТЫ'!$B$50,0),0)-IF('ОБЪЕКТЫ'!$B$64=3,IFERROR('ОБЪЕКТЫ'!$B$84*'ОБЪЕКТЫ'!BJ78/'ОБЪЕКТЫ'!$B$78,0),0)-BJ53-BJ57-BJ21</x:f>
      </x:c>
      <x:c r="BK22" s="117">
        <x:f>BK10-IFERROR((SUM($D$20:$DS$20)-'ОБЪЕКТЫ'!$B$112)*('Продажи'!BK60+'Продажи'!BK63+'Продажи'!BK66+'Продажи'!BK69)/(SUM('Продажи'!$D$60:$DS$60)+SUM('Продажи'!$D$63:$DS$63)+SUM('Продажи'!$D$66:$DS$66)+SUM('Продажи'!$D$69:$DS$69)),0)-IF('ОБЪЕКТЫ'!$B$8=3,IFERROR('ОБЪЕКТЫ'!$B$28*'ОБЪЕКТЫ'!BK22/'ОБЪЕКТЫ'!$B$22,0),0)-IF('ОБЪЕКТЫ'!$B$36=3,IFERROR('ОБЪЕКТЫ'!$B$56*'ОБЪЕКТЫ'!BK50/'ОБЪЕКТЫ'!$B$50,0),0)-IF('ОБЪЕКТЫ'!$B$64=3,IFERROR('ОБЪЕКТЫ'!$B$84*'ОБЪЕКТЫ'!BK78/'ОБЪЕКТЫ'!$B$78,0),0)-BK53-BK57-BK21</x:f>
      </x:c>
      <x:c r="BL22" s="117">
        <x:f>BL10-IFERROR((SUM($D$20:$DS$20)-'ОБЪЕКТЫ'!$B$112)*('Продажи'!BL60+'Продажи'!BL63+'Продажи'!BL66+'Продажи'!BL69)/(SUM('Продажи'!$D$60:$DS$60)+SUM('Продажи'!$D$63:$DS$63)+SUM('Продажи'!$D$66:$DS$66)+SUM('Продажи'!$D$69:$DS$69)),0)-IF('ОБЪЕКТЫ'!$B$8=3,IFERROR('ОБЪЕКТЫ'!$B$28*'ОБЪЕКТЫ'!BL22/'ОБЪЕКТЫ'!$B$22,0),0)-IF('ОБЪЕКТЫ'!$B$36=3,IFERROR('ОБЪЕКТЫ'!$B$56*'ОБЪЕКТЫ'!BL50/'ОБЪЕКТЫ'!$B$50,0),0)-IF('ОБЪЕКТЫ'!$B$64=3,IFERROR('ОБЪЕКТЫ'!$B$84*'ОБЪЕКТЫ'!BL78/'ОБЪЕКТЫ'!$B$78,0),0)-BL53-BL57-BL21</x:f>
      </x:c>
      <x:c r="BM22" s="117">
        <x:f>BM10-IFERROR((SUM($D$20:$DS$20)-'ОБЪЕКТЫ'!$B$112)*('Продажи'!BM60+'Продажи'!BM63+'Продажи'!BM66+'Продажи'!BM69)/(SUM('Продажи'!$D$60:$DS$60)+SUM('Продажи'!$D$63:$DS$63)+SUM('Продажи'!$D$66:$DS$66)+SUM('Продажи'!$D$69:$DS$69)),0)-IF('ОБЪЕКТЫ'!$B$8=3,IFERROR('ОБЪЕКТЫ'!$B$28*'ОБЪЕКТЫ'!BM22/'ОБЪЕКТЫ'!$B$22,0),0)-IF('ОБЪЕКТЫ'!$B$36=3,IFERROR('ОБЪЕКТЫ'!$B$56*'ОБЪЕКТЫ'!BM50/'ОБЪЕКТЫ'!$B$50,0),0)-IF('ОБЪЕКТЫ'!$B$64=3,IFERROR('ОБЪЕКТЫ'!$B$84*'ОБЪЕКТЫ'!BM78/'ОБЪЕКТЫ'!$B$78,0),0)-BM53-BM57-BM21</x:f>
      </x:c>
      <x:c r="BN22" s="117">
        <x:f>BN10-IFERROR((SUM($D$20:$DS$20)-'ОБЪЕКТЫ'!$B$112)*('Продажи'!BN60+'Продажи'!BN63+'Продажи'!BN66+'Продажи'!BN69)/(SUM('Продажи'!$D$60:$DS$60)+SUM('Продажи'!$D$63:$DS$63)+SUM('Продажи'!$D$66:$DS$66)+SUM('Продажи'!$D$69:$DS$69)),0)-IF('ОБЪЕКТЫ'!$B$8=3,IFERROR('ОБЪЕКТЫ'!$B$28*'ОБЪЕКТЫ'!BN22/'ОБЪЕКТЫ'!$B$22,0),0)-IF('ОБЪЕКТЫ'!$B$36=3,IFERROR('ОБЪЕКТЫ'!$B$56*'ОБЪЕКТЫ'!BN50/'ОБЪЕКТЫ'!$B$50,0),0)-IF('ОБЪЕКТЫ'!$B$64=3,IFERROR('ОБЪЕКТЫ'!$B$84*'ОБЪЕКТЫ'!BN78/'ОБЪЕКТЫ'!$B$78,0),0)-BN53-BN57-BN21</x:f>
      </x:c>
      <x:c r="BO22" s="117">
        <x:f>BO10-IFERROR((SUM($D$20:$DS$20)-'ОБЪЕКТЫ'!$B$112)*('Продажи'!BO60+'Продажи'!BO63+'Продажи'!BO66+'Продажи'!BO69)/(SUM('Продажи'!$D$60:$DS$60)+SUM('Продажи'!$D$63:$DS$63)+SUM('Продажи'!$D$66:$DS$66)+SUM('Продажи'!$D$69:$DS$69)),0)-IF('ОБЪЕКТЫ'!$B$8=3,IFERROR('ОБЪЕКТЫ'!$B$28*'ОБЪЕКТЫ'!BO22/'ОБЪЕКТЫ'!$B$22,0),0)-IF('ОБЪЕКТЫ'!$B$36=3,IFERROR('ОБЪЕКТЫ'!$B$56*'ОБЪЕКТЫ'!BO50/'ОБЪЕКТЫ'!$B$50,0),0)-IF('ОБЪЕКТЫ'!$B$64=3,IFERROR('ОБЪЕКТЫ'!$B$84*'ОБЪЕКТЫ'!BO78/'ОБЪЕКТЫ'!$B$78,0),0)-BO53-BO57-BO21</x:f>
      </x:c>
      <x:c r="BP22" s="117">
        <x:f>BP10-IFERROR((SUM($D$20:$DS$20)-'ОБЪЕКТЫ'!$B$112)*('Продажи'!BP60+'Продажи'!BP63+'Продажи'!BP66+'Продажи'!BP69)/(SUM('Продажи'!$D$60:$DS$60)+SUM('Продажи'!$D$63:$DS$63)+SUM('Продажи'!$D$66:$DS$66)+SUM('Продажи'!$D$69:$DS$69)),0)-IF('ОБЪЕКТЫ'!$B$8=3,IFERROR('ОБЪЕКТЫ'!$B$28*'ОБЪЕКТЫ'!BP22/'ОБЪЕКТЫ'!$B$22,0),0)-IF('ОБЪЕКТЫ'!$B$36=3,IFERROR('ОБЪЕКТЫ'!$B$56*'ОБЪЕКТЫ'!BP50/'ОБЪЕКТЫ'!$B$50,0),0)-IF('ОБЪЕКТЫ'!$B$64=3,IFERROR('ОБЪЕКТЫ'!$B$84*'ОБЪЕКТЫ'!BP78/'ОБЪЕКТЫ'!$B$78,0),0)-BP53-BP57-BP21</x:f>
      </x:c>
      <x:c r="BQ22" s="117">
        <x:f>BQ10-IFERROR((SUM($D$20:$DS$20)-'ОБЪЕКТЫ'!$B$112)*('Продажи'!BQ60+'Продажи'!BQ63+'Продажи'!BQ66+'Продажи'!BQ69)/(SUM('Продажи'!$D$60:$DS$60)+SUM('Продажи'!$D$63:$DS$63)+SUM('Продажи'!$D$66:$DS$66)+SUM('Продажи'!$D$69:$DS$69)),0)-IF('ОБЪЕКТЫ'!$B$8=3,IFERROR('ОБЪЕКТЫ'!$B$28*'ОБЪЕКТЫ'!BQ22/'ОБЪЕКТЫ'!$B$22,0),0)-IF('ОБЪЕКТЫ'!$B$36=3,IFERROR('ОБЪЕКТЫ'!$B$56*'ОБЪЕКТЫ'!BQ50/'ОБЪЕКТЫ'!$B$50,0),0)-IF('ОБЪЕКТЫ'!$B$64=3,IFERROR('ОБЪЕКТЫ'!$B$84*'ОБЪЕКТЫ'!BQ78/'ОБЪЕКТЫ'!$B$78,0),0)-BQ53-BQ57-BQ21</x:f>
      </x:c>
      <x:c r="BR22" s="117">
        <x:f>BR10-IFERROR((SUM($D$20:$DS$20)-'ОБЪЕКТЫ'!$B$112)*('Продажи'!BR60+'Продажи'!BR63+'Продажи'!BR66+'Продажи'!BR69)/(SUM('Продажи'!$D$60:$DS$60)+SUM('Продажи'!$D$63:$DS$63)+SUM('Продажи'!$D$66:$DS$66)+SUM('Продажи'!$D$69:$DS$69)),0)-IF('ОБЪЕКТЫ'!$B$8=3,IFERROR('ОБЪЕКТЫ'!$B$28*'ОБЪЕКТЫ'!BR22/'ОБЪЕКТЫ'!$B$22,0),0)-IF('ОБЪЕКТЫ'!$B$36=3,IFERROR('ОБЪЕКТЫ'!$B$56*'ОБЪЕКТЫ'!BR50/'ОБЪЕКТЫ'!$B$50,0),0)-IF('ОБЪЕКТЫ'!$B$64=3,IFERROR('ОБЪЕКТЫ'!$B$84*'ОБЪЕКТЫ'!BR78/'ОБЪЕКТЫ'!$B$78,0),0)-BR53-BR57-BR21</x:f>
      </x:c>
      <x:c r="BS22" s="117">
        <x:f>BS10-IFERROR((SUM($D$20:$DS$20)-'ОБЪЕКТЫ'!$B$112)*('Продажи'!BS60+'Продажи'!BS63+'Продажи'!BS66+'Продажи'!BS69)/(SUM('Продажи'!$D$60:$DS$60)+SUM('Продажи'!$D$63:$DS$63)+SUM('Продажи'!$D$66:$DS$66)+SUM('Продажи'!$D$69:$DS$69)),0)-IF('ОБЪЕКТЫ'!$B$8=3,IFERROR('ОБЪЕКТЫ'!$B$28*'ОБЪЕКТЫ'!BS22/'ОБЪЕКТЫ'!$B$22,0),0)-IF('ОБЪЕКТЫ'!$B$36=3,IFERROR('ОБЪЕКТЫ'!$B$56*'ОБЪЕКТЫ'!BS50/'ОБЪЕКТЫ'!$B$50,0),0)-IF('ОБЪЕКТЫ'!$B$64=3,IFERROR('ОБЪЕКТЫ'!$B$84*'ОБЪЕКТЫ'!BS78/'ОБЪЕКТЫ'!$B$78,0),0)-BS53-BS57-BS21</x:f>
      </x:c>
      <x:c r="BT22" s="117">
        <x:f>BT10-IFERROR((SUM($D$20:$DS$20)-'ОБЪЕКТЫ'!$B$112)*('Продажи'!BT60+'Продажи'!BT63+'Продажи'!BT66+'Продажи'!BT69)/(SUM('Продажи'!$D$60:$DS$60)+SUM('Продажи'!$D$63:$DS$63)+SUM('Продажи'!$D$66:$DS$66)+SUM('Продажи'!$D$69:$DS$69)),0)-IF('ОБЪЕКТЫ'!$B$8=3,IFERROR('ОБЪЕКТЫ'!$B$28*'ОБЪЕКТЫ'!BT22/'ОБЪЕКТЫ'!$B$22,0),0)-IF('ОБЪЕКТЫ'!$B$36=3,IFERROR('ОБЪЕКТЫ'!$B$56*'ОБЪЕКТЫ'!BT50/'ОБЪЕКТЫ'!$B$50,0),0)-IF('ОБЪЕКТЫ'!$B$64=3,IFERROR('ОБЪЕКТЫ'!$B$84*'ОБЪЕКТЫ'!BT78/'ОБЪЕКТЫ'!$B$78,0),0)-BT53-BT57-BT21</x:f>
      </x:c>
      <x:c r="BU22" s="117">
        <x:f>BU10-IFERROR((SUM($D$20:$DS$20)-'ОБЪЕКТЫ'!$B$112)*('Продажи'!BU60+'Продажи'!BU63+'Продажи'!BU66+'Продажи'!BU69)/(SUM('Продажи'!$D$60:$DS$60)+SUM('Продажи'!$D$63:$DS$63)+SUM('Продажи'!$D$66:$DS$66)+SUM('Продажи'!$D$69:$DS$69)),0)-IF('ОБЪЕКТЫ'!$B$8=3,IFERROR('ОБЪЕКТЫ'!$B$28*'ОБЪЕКТЫ'!BU22/'ОБЪЕКТЫ'!$B$22,0),0)-IF('ОБЪЕКТЫ'!$B$36=3,IFERROR('ОБЪЕКТЫ'!$B$56*'ОБЪЕКТЫ'!BU50/'ОБЪЕКТЫ'!$B$50,0),0)-IF('ОБЪЕКТЫ'!$B$64=3,IFERROR('ОБЪЕКТЫ'!$B$84*'ОБЪЕКТЫ'!BU78/'ОБЪЕКТЫ'!$B$78,0),0)-BU53-BU57-BU21</x:f>
      </x:c>
      <x:c r="BV22" s="117">
        <x:f>BV10-IFERROR((SUM($D$20:$DS$20)-'ОБЪЕКТЫ'!$B$112)*('Продажи'!BV60+'Продажи'!BV63+'Продажи'!BV66+'Продажи'!BV69)/(SUM('Продажи'!$D$60:$DS$60)+SUM('Продажи'!$D$63:$DS$63)+SUM('Продажи'!$D$66:$DS$66)+SUM('Продажи'!$D$69:$DS$69)),0)-IF('ОБЪЕКТЫ'!$B$8=3,IFERROR('ОБЪЕКТЫ'!$B$28*'ОБЪЕКТЫ'!BV22/'ОБЪЕКТЫ'!$B$22,0),0)-IF('ОБЪЕКТЫ'!$B$36=3,IFERROR('ОБЪЕКТЫ'!$B$56*'ОБЪЕКТЫ'!BV50/'ОБЪЕКТЫ'!$B$50,0),0)-IF('ОБЪЕКТЫ'!$B$64=3,IFERROR('ОБЪЕКТЫ'!$B$84*'ОБЪЕКТЫ'!BV78/'ОБЪЕКТЫ'!$B$78,0),0)-BV53-BV57-BV21</x:f>
      </x:c>
      <x:c r="BW22" s="117">
        <x:f>BW10-IFERROR((SUM($D$20:$DS$20)-'ОБЪЕКТЫ'!$B$112)*('Продажи'!BW60+'Продажи'!BW63+'Продажи'!BW66+'Продажи'!BW69)/(SUM('Продажи'!$D$60:$DS$60)+SUM('Продажи'!$D$63:$DS$63)+SUM('Продажи'!$D$66:$DS$66)+SUM('Продажи'!$D$69:$DS$69)),0)-IF('ОБЪЕКТЫ'!$B$8=3,IFERROR('ОБЪЕКТЫ'!$B$28*'ОБЪЕКТЫ'!BW22/'ОБЪЕКТЫ'!$B$22,0),0)-IF('ОБЪЕКТЫ'!$B$36=3,IFERROR('ОБЪЕКТЫ'!$B$56*'ОБЪЕКТЫ'!BW50/'ОБЪЕКТЫ'!$B$50,0),0)-IF('ОБЪЕКТЫ'!$B$64=3,IFERROR('ОБЪЕКТЫ'!$B$84*'ОБЪЕКТЫ'!BW78/'ОБЪЕКТЫ'!$B$78,0),0)-BW53-BW57-BW21</x:f>
      </x:c>
      <x:c r="BX22" s="117">
        <x:f>BX10-IFERROR((SUM($D$20:$DS$20)-'ОБЪЕКТЫ'!$B$112)*('Продажи'!BX60+'Продажи'!BX63+'Продажи'!BX66+'Продажи'!BX69)/(SUM('Продажи'!$D$60:$DS$60)+SUM('Продажи'!$D$63:$DS$63)+SUM('Продажи'!$D$66:$DS$66)+SUM('Продажи'!$D$69:$DS$69)),0)-IF('ОБЪЕКТЫ'!$B$8=3,IFERROR('ОБЪЕКТЫ'!$B$28*'ОБЪЕКТЫ'!BX22/'ОБЪЕКТЫ'!$B$22,0),0)-IF('ОБЪЕКТЫ'!$B$36=3,IFERROR('ОБЪЕКТЫ'!$B$56*'ОБЪЕКТЫ'!BX50/'ОБЪЕКТЫ'!$B$50,0),0)-IF('ОБЪЕКТЫ'!$B$64=3,IFERROR('ОБЪЕКТЫ'!$B$84*'ОБЪЕКТЫ'!BX78/'ОБЪЕКТЫ'!$B$78,0),0)-BX53-BX57-BX21</x:f>
      </x:c>
      <x:c r="BY22" s="117">
        <x:f>BY10-IFERROR((SUM($D$20:$DS$20)-'ОБЪЕКТЫ'!$B$112)*('Продажи'!BY60+'Продажи'!BY63+'Продажи'!BY66+'Продажи'!BY69)/(SUM('Продажи'!$D$60:$DS$60)+SUM('Продажи'!$D$63:$DS$63)+SUM('Продажи'!$D$66:$DS$66)+SUM('Продажи'!$D$69:$DS$69)),0)-IF('ОБЪЕКТЫ'!$B$8=3,IFERROR('ОБЪЕКТЫ'!$B$28*'ОБЪЕКТЫ'!BY22/'ОБЪЕКТЫ'!$B$22,0),0)-IF('ОБЪЕКТЫ'!$B$36=3,IFERROR('ОБЪЕКТЫ'!$B$56*'ОБЪЕКТЫ'!BY50/'ОБЪЕКТЫ'!$B$50,0),0)-IF('ОБЪЕКТЫ'!$B$64=3,IFERROR('ОБЪЕКТЫ'!$B$84*'ОБЪЕКТЫ'!BY78/'ОБЪЕКТЫ'!$B$78,0),0)-BY53-BY57-BY21</x:f>
      </x:c>
      <x:c r="BZ22" s="117">
        <x:f>BZ10-IFERROR((SUM($D$20:$DS$20)-'ОБЪЕКТЫ'!$B$112)*('Продажи'!BZ60+'Продажи'!BZ63+'Продажи'!BZ66+'Продажи'!BZ69)/(SUM('Продажи'!$D$60:$DS$60)+SUM('Продажи'!$D$63:$DS$63)+SUM('Продажи'!$D$66:$DS$66)+SUM('Продажи'!$D$69:$DS$69)),0)-IF('ОБЪЕКТЫ'!$B$8=3,IFERROR('ОБЪЕКТЫ'!$B$28*'ОБЪЕКТЫ'!BZ22/'ОБЪЕКТЫ'!$B$22,0),0)-IF('ОБЪЕКТЫ'!$B$36=3,IFERROR('ОБЪЕКТЫ'!$B$56*'ОБЪЕКТЫ'!BZ50/'ОБЪЕКТЫ'!$B$50,0),0)-IF('ОБЪЕКТЫ'!$B$64=3,IFERROR('ОБЪЕКТЫ'!$B$84*'ОБЪЕКТЫ'!BZ78/'ОБЪЕКТЫ'!$B$78,0),0)-BZ53-BZ57-BZ21</x:f>
      </x:c>
      <x:c r="CA22" s="117">
        <x:f>CA10-IFERROR((SUM($D$20:$DS$20)-'ОБЪЕКТЫ'!$B$112)*('Продажи'!CA60+'Продажи'!CA63+'Продажи'!CA66+'Продажи'!CA69)/(SUM('Продажи'!$D$60:$DS$60)+SUM('Продажи'!$D$63:$DS$63)+SUM('Продажи'!$D$66:$DS$66)+SUM('Продажи'!$D$69:$DS$69)),0)-IF('ОБЪЕКТЫ'!$B$8=3,IFERROR('ОБЪЕКТЫ'!$B$28*'ОБЪЕКТЫ'!CA22/'ОБЪЕКТЫ'!$B$22,0),0)-IF('ОБЪЕКТЫ'!$B$36=3,IFERROR('ОБЪЕКТЫ'!$B$56*'ОБЪЕКТЫ'!CA50/'ОБЪЕКТЫ'!$B$50,0),0)-IF('ОБЪЕКТЫ'!$B$64=3,IFERROR('ОБЪЕКТЫ'!$B$84*'ОБЪЕКТЫ'!CA78/'ОБЪЕКТЫ'!$B$78,0),0)-CA53-CA57-CA21</x:f>
      </x:c>
      <x:c r="CB22" s="117">
        <x:f>CB10-IFERROR((SUM($D$20:$DS$20)-'ОБЪЕКТЫ'!$B$112)*('Продажи'!CB60+'Продажи'!CB63+'Продажи'!CB66+'Продажи'!CB69)/(SUM('Продажи'!$D$60:$DS$60)+SUM('Продажи'!$D$63:$DS$63)+SUM('Продажи'!$D$66:$DS$66)+SUM('Продажи'!$D$69:$DS$69)),0)-IF('ОБЪЕКТЫ'!$B$8=3,IFERROR('ОБЪЕКТЫ'!$B$28*'ОБЪЕКТЫ'!CB22/'ОБЪЕКТЫ'!$B$22,0),0)-IF('ОБЪЕКТЫ'!$B$36=3,IFERROR('ОБЪЕКТЫ'!$B$56*'ОБЪЕКТЫ'!CB50/'ОБЪЕКТЫ'!$B$50,0),0)-IF('ОБЪЕКТЫ'!$B$64=3,IFERROR('ОБЪЕКТЫ'!$B$84*'ОБЪЕКТЫ'!CB78/'ОБЪЕКТЫ'!$B$78,0),0)-CB53-CB57-CB21</x:f>
      </x:c>
      <x:c r="CC22" s="117">
        <x:f>CC10-IFERROR((SUM($D$20:$DS$20)-'ОБЪЕКТЫ'!$B$112)*('Продажи'!CC60+'Продажи'!CC63+'Продажи'!CC66+'Продажи'!CC69)/(SUM('Продажи'!$D$60:$DS$60)+SUM('Продажи'!$D$63:$DS$63)+SUM('Продажи'!$D$66:$DS$66)+SUM('Продажи'!$D$69:$DS$69)),0)-IF('ОБЪЕКТЫ'!$B$8=3,IFERROR('ОБЪЕКТЫ'!$B$28*'ОБЪЕКТЫ'!CC22/'ОБЪЕКТЫ'!$B$22,0),0)-IF('ОБЪЕКТЫ'!$B$36=3,IFERROR('ОБЪЕКТЫ'!$B$56*'ОБЪЕКТЫ'!CC50/'ОБЪЕКТЫ'!$B$50,0),0)-IF('ОБЪЕКТЫ'!$B$64=3,IFERROR('ОБЪЕКТЫ'!$B$84*'ОБЪЕКТЫ'!CC78/'ОБЪЕКТЫ'!$B$78,0),0)-CC53-CC57-CC21</x:f>
      </x:c>
      <x:c r="CD22" s="117">
        <x:f>CD10-IFERROR((SUM($D$20:$DS$20)-'ОБЪЕКТЫ'!$B$112)*('Продажи'!CD60+'Продажи'!CD63+'Продажи'!CD66+'Продажи'!CD69)/(SUM('Продажи'!$D$60:$DS$60)+SUM('Продажи'!$D$63:$DS$63)+SUM('Продажи'!$D$66:$DS$66)+SUM('Продажи'!$D$69:$DS$69)),0)-IF('ОБЪЕКТЫ'!$B$8=3,IFERROR('ОБЪЕКТЫ'!$B$28*'ОБЪЕКТЫ'!CD22/'ОБЪЕКТЫ'!$B$22,0),0)-IF('ОБЪЕКТЫ'!$B$36=3,IFERROR('ОБЪЕКТЫ'!$B$56*'ОБЪЕКТЫ'!CD50/'ОБЪЕКТЫ'!$B$50,0),0)-IF('ОБЪЕКТЫ'!$B$64=3,IFERROR('ОБЪЕКТЫ'!$B$84*'ОБЪЕКТЫ'!CD78/'ОБЪЕКТЫ'!$B$78,0),0)-CD53-CD57-CD21</x:f>
      </x:c>
      <x:c r="CE22" s="117">
        <x:f>CE10-IFERROR((SUM($D$20:$DS$20)-'ОБЪЕКТЫ'!$B$112)*('Продажи'!CE60+'Продажи'!CE63+'Продажи'!CE66+'Продажи'!CE69)/(SUM('Продажи'!$D$60:$DS$60)+SUM('Продажи'!$D$63:$DS$63)+SUM('Продажи'!$D$66:$DS$66)+SUM('Продажи'!$D$69:$DS$69)),0)-IF('ОБЪЕКТЫ'!$B$8=3,IFERROR('ОБЪЕКТЫ'!$B$28*'ОБЪЕКТЫ'!CE22/'ОБЪЕКТЫ'!$B$22,0),0)-IF('ОБЪЕКТЫ'!$B$36=3,IFERROR('ОБЪЕКТЫ'!$B$56*'ОБЪЕКТЫ'!CE50/'ОБЪЕКТЫ'!$B$50,0),0)-IF('ОБЪЕКТЫ'!$B$64=3,IFERROR('ОБЪЕКТЫ'!$B$84*'ОБЪЕКТЫ'!CE78/'ОБЪЕКТЫ'!$B$78,0),0)-CE53-CE57-CE21</x:f>
      </x:c>
      <x:c r="CF22" s="117">
        <x:f>CF10-IFERROR((SUM($D$20:$DS$20)-'ОБЪЕКТЫ'!$B$112)*('Продажи'!CF60+'Продажи'!CF63+'Продажи'!CF66+'Продажи'!CF69)/(SUM('Продажи'!$D$60:$DS$60)+SUM('Продажи'!$D$63:$DS$63)+SUM('Продажи'!$D$66:$DS$66)+SUM('Продажи'!$D$69:$DS$69)),0)-IF('ОБЪЕКТЫ'!$B$8=3,IFERROR('ОБЪЕКТЫ'!$B$28*'ОБЪЕКТЫ'!CF22/'ОБЪЕКТЫ'!$B$22,0),0)-IF('ОБЪЕКТЫ'!$B$36=3,IFERROR('ОБЪЕКТЫ'!$B$56*'ОБЪЕКТЫ'!CF50/'ОБЪЕКТЫ'!$B$50,0),0)-IF('ОБЪЕКТЫ'!$B$64=3,IFERROR('ОБЪЕКТЫ'!$B$84*'ОБЪЕКТЫ'!CF78/'ОБЪЕКТЫ'!$B$78,0),0)-CF53-CF57-CF21</x:f>
      </x:c>
      <x:c r="CG22" s="117">
        <x:f>CG10-IFERROR((SUM($D$20:$DS$20)-'ОБЪЕКТЫ'!$B$112)*('Продажи'!CG60+'Продажи'!CG63+'Продажи'!CG66+'Продажи'!CG69)/(SUM('Продажи'!$D$60:$DS$60)+SUM('Продажи'!$D$63:$DS$63)+SUM('Продажи'!$D$66:$DS$66)+SUM('Продажи'!$D$69:$DS$69)),0)-IF('ОБЪЕКТЫ'!$B$8=3,IFERROR('ОБЪЕКТЫ'!$B$28*'ОБЪЕКТЫ'!CG22/'ОБЪЕКТЫ'!$B$22,0),0)-IF('ОБЪЕКТЫ'!$B$36=3,IFERROR('ОБЪЕКТЫ'!$B$56*'ОБЪЕКТЫ'!CG50/'ОБЪЕКТЫ'!$B$50,0),0)-IF('ОБЪЕКТЫ'!$B$64=3,IFERROR('ОБЪЕКТЫ'!$B$84*'ОБЪЕКТЫ'!CG78/'ОБЪЕКТЫ'!$B$78,0),0)-CG53-CG57-CG21</x:f>
      </x:c>
      <x:c r="CH22" s="117">
        <x:f>CH10-IFERROR((SUM($D$20:$DS$20)-'ОБЪЕКТЫ'!$B$112)*('Продажи'!CH60+'Продажи'!CH63+'Продажи'!CH66+'Продажи'!CH69)/(SUM('Продажи'!$D$60:$DS$60)+SUM('Продажи'!$D$63:$DS$63)+SUM('Продажи'!$D$66:$DS$66)+SUM('Продажи'!$D$69:$DS$69)),0)-IF('ОБЪЕКТЫ'!$B$8=3,IFERROR('ОБЪЕКТЫ'!$B$28*'ОБЪЕКТЫ'!CH22/'ОБЪЕКТЫ'!$B$22,0),0)-IF('ОБЪЕКТЫ'!$B$36=3,IFERROR('ОБЪЕКТЫ'!$B$56*'ОБЪЕКТЫ'!CH50/'ОБЪЕКТЫ'!$B$50,0),0)-IF('ОБЪЕКТЫ'!$B$64=3,IFERROR('ОБЪЕКТЫ'!$B$84*'ОБЪЕКТЫ'!CH78/'ОБЪЕКТЫ'!$B$78,0),0)-CH53-CH57-CH21</x:f>
      </x:c>
      <x:c r="CI22" s="117">
        <x:f>CI10-IFERROR((SUM($D$20:$DS$20)-'ОБЪЕКТЫ'!$B$112)*('Продажи'!CI60+'Продажи'!CI63+'Продажи'!CI66+'Продажи'!CI69)/(SUM('Продажи'!$D$60:$DS$60)+SUM('Продажи'!$D$63:$DS$63)+SUM('Продажи'!$D$66:$DS$66)+SUM('Продажи'!$D$69:$DS$69)),0)-IF('ОБЪЕКТЫ'!$B$8=3,IFERROR('ОБЪЕКТЫ'!$B$28*'ОБЪЕКТЫ'!CI22/'ОБЪЕКТЫ'!$B$22,0),0)-IF('ОБЪЕКТЫ'!$B$36=3,IFERROR('ОБЪЕКТЫ'!$B$56*'ОБЪЕКТЫ'!CI50/'ОБЪЕКТЫ'!$B$50,0),0)-IF('ОБЪЕКТЫ'!$B$64=3,IFERROR('ОБЪЕКТЫ'!$B$84*'ОБЪЕКТЫ'!CI78/'ОБЪЕКТЫ'!$B$78,0),0)-CI53-CI57-CI21</x:f>
      </x:c>
      <x:c r="CJ22" s="117">
        <x:f>CJ10-IFERROR((SUM($D$20:$DS$20)-'ОБЪЕКТЫ'!$B$112)*('Продажи'!CJ60+'Продажи'!CJ63+'Продажи'!CJ66+'Продажи'!CJ69)/(SUM('Продажи'!$D$60:$DS$60)+SUM('Продажи'!$D$63:$DS$63)+SUM('Продажи'!$D$66:$DS$66)+SUM('Продажи'!$D$69:$DS$69)),0)-IF('ОБЪЕКТЫ'!$B$8=3,IFERROR('ОБЪЕКТЫ'!$B$28*'ОБЪЕКТЫ'!CJ22/'ОБЪЕКТЫ'!$B$22,0),0)-IF('ОБЪЕКТЫ'!$B$36=3,IFERROR('ОБЪЕКТЫ'!$B$56*'ОБЪЕКТЫ'!CJ50/'ОБЪЕКТЫ'!$B$50,0),0)-IF('ОБЪЕКТЫ'!$B$64=3,IFERROR('ОБЪЕКТЫ'!$B$84*'ОБЪЕКТЫ'!CJ78/'ОБЪЕКТЫ'!$B$78,0),0)-CJ53-CJ57-CJ21</x:f>
      </x:c>
      <x:c r="CK22" s="117">
        <x:f>CK10-IFERROR((SUM($D$20:$DS$20)-'ОБЪЕКТЫ'!$B$112)*('Продажи'!CK60+'Продажи'!CK63+'Продажи'!CK66+'Продажи'!CK69)/(SUM('Продажи'!$D$60:$DS$60)+SUM('Продажи'!$D$63:$DS$63)+SUM('Продажи'!$D$66:$DS$66)+SUM('Продажи'!$D$69:$DS$69)),0)-IF('ОБЪЕКТЫ'!$B$8=3,IFERROR('ОБЪЕКТЫ'!$B$28*'ОБЪЕКТЫ'!CK22/'ОБЪЕКТЫ'!$B$22,0),0)-IF('ОБЪЕКТЫ'!$B$36=3,IFERROR('ОБЪЕКТЫ'!$B$56*'ОБЪЕКТЫ'!CK50/'ОБЪЕКТЫ'!$B$50,0),0)-IF('ОБЪЕКТЫ'!$B$64=3,IFERROR('ОБЪЕКТЫ'!$B$84*'ОБЪЕКТЫ'!CK78/'ОБЪЕКТЫ'!$B$78,0),0)-CK53-CK57-CK21</x:f>
      </x:c>
      <x:c r="CL22" s="117">
        <x:f>CL10-IFERROR((SUM($D$20:$DS$20)-'ОБЪЕКТЫ'!$B$112)*('Продажи'!CL60+'Продажи'!CL63+'Продажи'!CL66+'Продажи'!CL69)/(SUM('Продажи'!$D$60:$DS$60)+SUM('Продажи'!$D$63:$DS$63)+SUM('Продажи'!$D$66:$DS$66)+SUM('Продажи'!$D$69:$DS$69)),0)-IF('ОБЪЕКТЫ'!$B$8=3,IFERROR('ОБЪЕКТЫ'!$B$28*'ОБЪЕКТЫ'!CL22/'ОБЪЕКТЫ'!$B$22,0),0)-IF('ОБЪЕКТЫ'!$B$36=3,IFERROR('ОБЪЕКТЫ'!$B$56*'ОБЪЕКТЫ'!CL50/'ОБЪЕКТЫ'!$B$50,0),0)-IF('ОБЪЕКТЫ'!$B$64=3,IFERROR('ОБЪЕКТЫ'!$B$84*'ОБЪЕКТЫ'!CL78/'ОБЪЕКТЫ'!$B$78,0),0)-CL53-CL57-CL21</x:f>
      </x:c>
      <x:c r="CM22" s="117">
        <x:f>CM10-IFERROR((SUM($D$20:$DS$20)-'ОБЪЕКТЫ'!$B$112)*('Продажи'!CM60+'Продажи'!CM63+'Продажи'!CM66+'Продажи'!CM69)/(SUM('Продажи'!$D$60:$DS$60)+SUM('Продажи'!$D$63:$DS$63)+SUM('Продажи'!$D$66:$DS$66)+SUM('Продажи'!$D$69:$DS$69)),0)-IF('ОБЪЕКТЫ'!$B$8=3,IFERROR('ОБЪЕКТЫ'!$B$28*'ОБЪЕКТЫ'!CM22/'ОБЪЕКТЫ'!$B$22,0),0)-IF('ОБЪЕКТЫ'!$B$36=3,IFERROR('ОБЪЕКТЫ'!$B$56*'ОБЪЕКТЫ'!CM50/'ОБЪЕКТЫ'!$B$50,0),0)-IF('ОБЪЕКТЫ'!$B$64=3,IFERROR('ОБЪЕКТЫ'!$B$84*'ОБЪЕКТЫ'!CM78/'ОБЪЕКТЫ'!$B$78,0),0)-CM53-CM57-CM21</x:f>
      </x:c>
      <x:c r="CN22" s="117">
        <x:f>CN10-IFERROR((SUM($D$20:$DS$20)-'ОБЪЕКТЫ'!$B$112)*('Продажи'!CN60+'Продажи'!CN63+'Продажи'!CN66+'Продажи'!CN69)/(SUM('Продажи'!$D$60:$DS$60)+SUM('Продажи'!$D$63:$DS$63)+SUM('Продажи'!$D$66:$DS$66)+SUM('Продажи'!$D$69:$DS$69)),0)-IF('ОБЪЕКТЫ'!$B$8=3,IFERROR('ОБЪЕКТЫ'!$B$28*'ОБЪЕКТЫ'!CN22/'ОБЪЕКТЫ'!$B$22,0),0)-IF('ОБЪЕКТЫ'!$B$36=3,IFERROR('ОБЪЕКТЫ'!$B$56*'ОБЪЕКТЫ'!CN50/'ОБЪЕКТЫ'!$B$50,0),0)-IF('ОБЪЕКТЫ'!$B$64=3,IFERROR('ОБЪЕКТЫ'!$B$84*'ОБЪЕКТЫ'!CN78/'ОБЪЕКТЫ'!$B$78,0),0)-CN53-CN57-CN21</x:f>
      </x:c>
      <x:c r="CO22" s="117">
        <x:f>CO10-IFERROR((SUM($D$20:$DS$20)-'ОБЪЕКТЫ'!$B$112)*('Продажи'!CO60+'Продажи'!CO63+'Продажи'!CO66+'Продажи'!CO69)/(SUM('Продажи'!$D$60:$DS$60)+SUM('Продажи'!$D$63:$DS$63)+SUM('Продажи'!$D$66:$DS$66)+SUM('Продажи'!$D$69:$DS$69)),0)-IF('ОБЪЕКТЫ'!$B$8=3,IFERROR('ОБЪЕКТЫ'!$B$28*'ОБЪЕКТЫ'!CO22/'ОБЪЕКТЫ'!$B$22,0),0)-IF('ОБЪЕКТЫ'!$B$36=3,IFERROR('ОБЪЕКТЫ'!$B$56*'ОБЪЕКТЫ'!CO50/'ОБЪЕКТЫ'!$B$50,0),0)-IF('ОБЪЕКТЫ'!$B$64=3,IFERROR('ОБЪЕКТЫ'!$B$84*'ОБЪЕКТЫ'!CO78/'ОБЪЕКТЫ'!$B$78,0),0)-CO53-CO57-CO21</x:f>
      </x:c>
      <x:c r="CP22" s="117">
        <x:f>CP10-IFERROR((SUM($D$20:$DS$20)-'ОБЪЕКТЫ'!$B$112)*('Продажи'!CP60+'Продажи'!CP63+'Продажи'!CP66+'Продажи'!CP69)/(SUM('Продажи'!$D$60:$DS$60)+SUM('Продажи'!$D$63:$DS$63)+SUM('Продажи'!$D$66:$DS$66)+SUM('Продажи'!$D$69:$DS$69)),0)-IF('ОБЪЕКТЫ'!$B$8=3,IFERROR('ОБЪЕКТЫ'!$B$28*'ОБЪЕКТЫ'!CP22/'ОБЪЕКТЫ'!$B$22,0),0)-IF('ОБЪЕКТЫ'!$B$36=3,IFERROR('ОБЪЕКТЫ'!$B$56*'ОБЪЕКТЫ'!CP50/'ОБЪЕКТЫ'!$B$50,0),0)-IF('ОБЪЕКТЫ'!$B$64=3,IFERROR('ОБЪЕКТЫ'!$B$84*'ОБЪЕКТЫ'!CP78/'ОБЪЕКТЫ'!$B$78,0),0)-CP53-CP57-CP21</x:f>
      </x:c>
      <x:c r="CQ22" s="117">
        <x:f>CQ10-IFERROR((SUM($D$20:$DS$20)-'ОБЪЕКТЫ'!$B$112)*('Продажи'!CQ60+'Продажи'!CQ63+'Продажи'!CQ66+'Продажи'!CQ69)/(SUM('Продажи'!$D$60:$DS$60)+SUM('Продажи'!$D$63:$DS$63)+SUM('Продажи'!$D$66:$DS$66)+SUM('Продажи'!$D$69:$DS$69)),0)-IF('ОБЪЕКТЫ'!$B$8=3,IFERROR('ОБЪЕКТЫ'!$B$28*'ОБЪЕКТЫ'!CQ22/'ОБЪЕКТЫ'!$B$22,0),0)-IF('ОБЪЕКТЫ'!$B$36=3,IFERROR('ОБЪЕКТЫ'!$B$56*'ОБЪЕКТЫ'!CQ50/'ОБЪЕКТЫ'!$B$50,0),0)-IF('ОБЪЕКТЫ'!$B$64=3,IFERROR('ОБЪЕКТЫ'!$B$84*'ОБЪЕКТЫ'!CQ78/'ОБЪЕКТЫ'!$B$78,0),0)-CQ53-CQ57-CQ21</x:f>
      </x:c>
      <x:c r="CR22" s="117">
        <x:f>CR10-IFERROR((SUM($D$20:$DS$20)-'ОБЪЕКТЫ'!$B$112)*('Продажи'!CR60+'Продажи'!CR63+'Продажи'!CR66+'Продажи'!CR69)/(SUM('Продажи'!$D$60:$DS$60)+SUM('Продажи'!$D$63:$DS$63)+SUM('Продажи'!$D$66:$DS$66)+SUM('Продажи'!$D$69:$DS$69)),0)-IF('ОБЪЕКТЫ'!$B$8=3,IFERROR('ОБЪЕКТЫ'!$B$28*'ОБЪЕКТЫ'!CR22/'ОБЪЕКТЫ'!$B$22,0),0)-IF('ОБЪЕКТЫ'!$B$36=3,IFERROR('ОБЪЕКТЫ'!$B$56*'ОБЪЕКТЫ'!CR50/'ОБЪЕКТЫ'!$B$50,0),0)-IF('ОБЪЕКТЫ'!$B$64=3,IFERROR('ОБЪЕКТЫ'!$B$84*'ОБЪЕКТЫ'!CR78/'ОБЪЕКТЫ'!$B$78,0),0)-CR53-CR57-CR21</x:f>
      </x:c>
      <x:c r="CS22" s="117">
        <x:f>CS10-IFERROR((SUM($D$20:$DS$20)-'ОБЪЕКТЫ'!$B$112)*('Продажи'!CS60+'Продажи'!CS63+'Продажи'!CS66+'Продажи'!CS69)/(SUM('Продажи'!$D$60:$DS$60)+SUM('Продажи'!$D$63:$DS$63)+SUM('Продажи'!$D$66:$DS$66)+SUM('Продажи'!$D$69:$DS$69)),0)-IF('ОБЪЕКТЫ'!$B$8=3,IFERROR('ОБЪЕКТЫ'!$B$28*'ОБЪЕКТЫ'!CS22/'ОБЪЕКТЫ'!$B$22,0),0)-IF('ОБЪЕКТЫ'!$B$36=3,IFERROR('ОБЪЕКТЫ'!$B$56*'ОБЪЕКТЫ'!CS50/'ОБЪЕКТЫ'!$B$50,0),0)-IF('ОБЪЕКТЫ'!$B$64=3,IFERROR('ОБЪЕКТЫ'!$B$84*'ОБЪЕКТЫ'!CS78/'ОБЪЕКТЫ'!$B$78,0),0)-CS53-CS57-CS21</x:f>
      </x:c>
      <x:c r="CT22" s="117">
        <x:f>CT10-IFERROR((SUM($D$20:$DS$20)-'ОБЪЕКТЫ'!$B$112)*('Продажи'!CT60+'Продажи'!CT63+'Продажи'!CT66+'Продажи'!CT69)/(SUM('Продажи'!$D$60:$DS$60)+SUM('Продажи'!$D$63:$DS$63)+SUM('Продажи'!$D$66:$DS$66)+SUM('Продажи'!$D$69:$DS$69)),0)-IF('ОБЪЕКТЫ'!$B$8=3,IFERROR('ОБЪЕКТЫ'!$B$28*'ОБЪЕКТЫ'!CT22/'ОБЪЕКТЫ'!$B$22,0),0)-IF('ОБЪЕКТЫ'!$B$36=3,IFERROR('ОБЪЕКТЫ'!$B$56*'ОБЪЕКТЫ'!CT50/'ОБЪЕКТЫ'!$B$50,0),0)-IF('ОБЪЕКТЫ'!$B$64=3,IFERROR('ОБЪЕКТЫ'!$B$84*'ОБЪЕКТЫ'!CT78/'ОБЪЕКТЫ'!$B$78,0),0)-CT53-CT57-CT21</x:f>
      </x:c>
      <x:c r="CU22" s="117">
        <x:f>CU10-IFERROR((SUM($D$20:$DS$20)-'ОБЪЕКТЫ'!$B$112)*('Продажи'!CU60+'Продажи'!CU63+'Продажи'!CU66+'Продажи'!CU69)/(SUM('Продажи'!$D$60:$DS$60)+SUM('Продажи'!$D$63:$DS$63)+SUM('Продажи'!$D$66:$DS$66)+SUM('Продажи'!$D$69:$DS$69)),0)-IF('ОБЪЕКТЫ'!$B$8=3,IFERROR('ОБЪЕКТЫ'!$B$28*'ОБЪЕКТЫ'!CU22/'ОБЪЕКТЫ'!$B$22,0),0)-IF('ОБЪЕКТЫ'!$B$36=3,IFERROR('ОБЪЕКТЫ'!$B$56*'ОБЪЕКТЫ'!CU50/'ОБЪЕКТЫ'!$B$50,0),0)-IF('ОБЪЕКТЫ'!$B$64=3,IFERROR('ОБЪЕКТЫ'!$B$84*'ОБЪЕКТЫ'!CU78/'ОБЪЕКТЫ'!$B$78,0),0)-CU53-CU57-CU21</x:f>
      </x:c>
      <x:c r="CV22" s="117">
        <x:f>CV10-IFERROR((SUM($D$20:$DS$20)-'ОБЪЕКТЫ'!$B$112)*('Продажи'!CV60+'Продажи'!CV63+'Продажи'!CV66+'Продажи'!CV69)/(SUM('Продажи'!$D$60:$DS$60)+SUM('Продажи'!$D$63:$DS$63)+SUM('Продажи'!$D$66:$DS$66)+SUM('Продажи'!$D$69:$DS$69)),0)-IF('ОБЪЕКТЫ'!$B$8=3,IFERROR('ОБЪЕКТЫ'!$B$28*'ОБЪЕКТЫ'!CV22/'ОБЪЕКТЫ'!$B$22,0),0)-IF('ОБЪЕКТЫ'!$B$36=3,IFERROR('ОБЪЕКТЫ'!$B$56*'ОБЪЕКТЫ'!CV50/'ОБЪЕКТЫ'!$B$50,0),0)-IF('ОБЪЕКТЫ'!$B$64=3,IFERROR('ОБЪЕКТЫ'!$B$84*'ОБЪЕКТЫ'!CV78/'ОБЪЕКТЫ'!$B$78,0),0)-CV53-CV57-CV21</x:f>
      </x:c>
      <x:c r="CW22" s="117">
        <x:f>CW10-IFERROR((SUM($D$20:$DS$20)-'ОБЪЕКТЫ'!$B$112)*('Продажи'!CW60+'Продажи'!CW63+'Продажи'!CW66+'Продажи'!CW69)/(SUM('Продажи'!$D$60:$DS$60)+SUM('Продажи'!$D$63:$DS$63)+SUM('Продажи'!$D$66:$DS$66)+SUM('Продажи'!$D$69:$DS$69)),0)-IF('ОБЪЕКТЫ'!$B$8=3,IFERROR('ОБЪЕКТЫ'!$B$28*'ОБЪЕКТЫ'!CW22/'ОБЪЕКТЫ'!$B$22,0),0)-IF('ОБЪЕКТЫ'!$B$36=3,IFERROR('ОБЪЕКТЫ'!$B$56*'ОБЪЕКТЫ'!CW50/'ОБЪЕКТЫ'!$B$50,0),0)-IF('ОБЪЕКТЫ'!$B$64=3,IFERROR('ОБЪЕКТЫ'!$B$84*'ОБЪЕКТЫ'!CW78/'ОБЪЕКТЫ'!$B$78,0),0)-CW53-CW57-CW21</x:f>
      </x:c>
      <x:c r="CX22" s="117">
        <x:f>CX10-IFERROR((SUM($D$20:$DS$20)-'ОБЪЕКТЫ'!$B$112)*('Продажи'!CX60+'Продажи'!CX63+'Продажи'!CX66+'Продажи'!CX69)/(SUM('Продажи'!$D$60:$DS$60)+SUM('Продажи'!$D$63:$DS$63)+SUM('Продажи'!$D$66:$DS$66)+SUM('Продажи'!$D$69:$DS$69)),0)-IF('ОБЪЕКТЫ'!$B$8=3,IFERROR('ОБЪЕКТЫ'!$B$28*'ОБЪЕКТЫ'!CX22/'ОБЪЕКТЫ'!$B$22,0),0)-IF('ОБЪЕКТЫ'!$B$36=3,IFERROR('ОБЪЕКТЫ'!$B$56*'ОБЪЕКТЫ'!CX50/'ОБЪЕКТЫ'!$B$50,0),0)-IF('ОБЪЕКТЫ'!$B$64=3,IFERROR('ОБЪЕКТЫ'!$B$84*'ОБЪЕКТЫ'!CX78/'ОБЪЕКТЫ'!$B$78,0),0)-CX53-CX57-CX21</x:f>
      </x:c>
      <x:c r="CY22" s="117">
        <x:f>CY10-IFERROR((SUM($D$20:$DS$20)-'ОБЪЕКТЫ'!$B$112)*('Продажи'!CY60+'Продажи'!CY63+'Продажи'!CY66+'Продажи'!CY69)/(SUM('Продажи'!$D$60:$DS$60)+SUM('Продажи'!$D$63:$DS$63)+SUM('Продажи'!$D$66:$DS$66)+SUM('Продажи'!$D$69:$DS$69)),0)-IF('ОБЪЕКТЫ'!$B$8=3,IFERROR('ОБЪЕКТЫ'!$B$28*'ОБЪЕКТЫ'!CY22/'ОБЪЕКТЫ'!$B$22,0),0)-IF('ОБЪЕКТЫ'!$B$36=3,IFERROR('ОБЪЕКТЫ'!$B$56*'ОБЪЕКТЫ'!CY50/'ОБЪЕКТЫ'!$B$50,0),0)-IF('ОБЪЕКТЫ'!$B$64=3,IFERROR('ОБЪЕКТЫ'!$B$84*'ОБЪЕКТЫ'!CY78/'ОБЪЕКТЫ'!$B$78,0),0)-CY53-CY57-CY21</x:f>
      </x:c>
      <x:c r="CZ22" s="117">
        <x:f>CZ10-IFERROR((SUM($D$20:$DS$20)-'ОБЪЕКТЫ'!$B$112)*('Продажи'!CZ60+'Продажи'!CZ63+'Продажи'!CZ66+'Продажи'!CZ69)/(SUM('Продажи'!$D$60:$DS$60)+SUM('Продажи'!$D$63:$DS$63)+SUM('Продажи'!$D$66:$DS$66)+SUM('Продажи'!$D$69:$DS$69)),0)-IF('ОБЪЕКТЫ'!$B$8=3,IFERROR('ОБЪЕКТЫ'!$B$28*'ОБЪЕКТЫ'!CZ22/'ОБЪЕКТЫ'!$B$22,0),0)-IF('ОБЪЕКТЫ'!$B$36=3,IFERROR('ОБЪЕКТЫ'!$B$56*'ОБЪЕКТЫ'!CZ50/'ОБЪЕКТЫ'!$B$50,0),0)-IF('ОБЪЕКТЫ'!$B$64=3,IFERROR('ОБЪЕКТЫ'!$B$84*'ОБЪЕКТЫ'!CZ78/'ОБЪЕКТЫ'!$B$78,0),0)-CZ53-CZ57-CZ21</x:f>
      </x:c>
      <x:c r="DA22" s="117">
        <x:f>DA10-IFERROR((SUM($D$20:$DS$20)-'ОБЪЕКТЫ'!$B$112)*('Продажи'!DA60+'Продажи'!DA63+'Продажи'!DA66+'Продажи'!DA69)/(SUM('Продажи'!$D$60:$DS$60)+SUM('Продажи'!$D$63:$DS$63)+SUM('Продажи'!$D$66:$DS$66)+SUM('Продажи'!$D$69:$DS$69)),0)-IF('ОБЪЕКТЫ'!$B$8=3,IFERROR('ОБЪЕКТЫ'!$B$28*'ОБЪЕКТЫ'!DA22/'ОБЪЕКТЫ'!$B$22,0),0)-IF('ОБЪЕКТЫ'!$B$36=3,IFERROR('ОБЪЕКТЫ'!$B$56*'ОБЪЕКТЫ'!DA50/'ОБЪЕКТЫ'!$B$50,0),0)-IF('ОБЪЕКТЫ'!$B$64=3,IFERROR('ОБЪЕКТЫ'!$B$84*'ОБЪЕКТЫ'!DA78/'ОБЪЕКТЫ'!$B$78,0),0)-DA53-DA57-DA21</x:f>
      </x:c>
      <x:c r="DB22" s="117">
        <x:f>DB10-IFERROR((SUM($D$20:$DS$20)-'ОБЪЕКТЫ'!$B$112)*('Продажи'!DB60+'Продажи'!DB63+'Продажи'!DB66+'Продажи'!DB69)/(SUM('Продажи'!$D$60:$DS$60)+SUM('Продажи'!$D$63:$DS$63)+SUM('Продажи'!$D$66:$DS$66)+SUM('Продажи'!$D$69:$DS$69)),0)-IF('ОБЪЕКТЫ'!$B$8=3,IFERROR('ОБЪЕКТЫ'!$B$28*'ОБЪЕКТЫ'!DB22/'ОБЪЕКТЫ'!$B$22,0),0)-IF('ОБЪЕКТЫ'!$B$36=3,IFERROR('ОБЪЕКТЫ'!$B$56*'ОБЪЕКТЫ'!DB50/'ОБЪЕКТЫ'!$B$50,0),0)-IF('ОБЪЕКТЫ'!$B$64=3,IFERROR('ОБЪЕКТЫ'!$B$84*'ОБЪЕКТЫ'!DB78/'ОБЪЕКТЫ'!$B$78,0),0)-DB53-DB57-DB21</x:f>
      </x:c>
      <x:c r="DC22" s="117">
        <x:f>DC10-IFERROR((SUM($D$20:$DS$20)-'ОБЪЕКТЫ'!$B$112)*('Продажи'!DC60+'Продажи'!DC63+'Продажи'!DC66+'Продажи'!DC69)/(SUM('Продажи'!$D$60:$DS$60)+SUM('Продажи'!$D$63:$DS$63)+SUM('Продажи'!$D$66:$DS$66)+SUM('Продажи'!$D$69:$DS$69)),0)-IF('ОБЪЕКТЫ'!$B$8=3,IFERROR('ОБЪЕКТЫ'!$B$28*'ОБЪЕКТЫ'!DC22/'ОБЪЕКТЫ'!$B$22,0),0)-IF('ОБЪЕКТЫ'!$B$36=3,IFERROR('ОБЪЕКТЫ'!$B$56*'ОБЪЕКТЫ'!DC50/'ОБЪЕКТЫ'!$B$50,0),0)-IF('ОБЪЕКТЫ'!$B$64=3,IFERROR('ОБЪЕКТЫ'!$B$84*'ОБЪЕКТЫ'!DC78/'ОБЪЕКТЫ'!$B$78,0),0)-DC53-DC57-DC21</x:f>
      </x:c>
      <x:c r="DD22" s="117">
        <x:f>DD10-IFERROR((SUM($D$20:$DS$20)-'ОБЪЕКТЫ'!$B$112)*('Продажи'!DD60+'Продажи'!DD63+'Продажи'!DD66+'Продажи'!DD69)/(SUM('Продажи'!$D$60:$DS$60)+SUM('Продажи'!$D$63:$DS$63)+SUM('Продажи'!$D$66:$DS$66)+SUM('Продажи'!$D$69:$DS$69)),0)-IF('ОБЪЕКТЫ'!$B$8=3,IFERROR('ОБЪЕКТЫ'!$B$28*'ОБЪЕКТЫ'!DD22/'ОБЪЕКТЫ'!$B$22,0),0)-IF('ОБЪЕКТЫ'!$B$36=3,IFERROR('ОБЪЕКТЫ'!$B$56*'ОБЪЕКТЫ'!DD50/'ОБЪЕКТЫ'!$B$50,0),0)-IF('ОБЪЕКТЫ'!$B$64=3,IFERROR('ОБЪЕКТЫ'!$B$84*'ОБЪЕКТЫ'!DD78/'ОБЪЕКТЫ'!$B$78,0),0)-DD53-DD57-DD21</x:f>
      </x:c>
      <x:c r="DE22" s="117">
        <x:f>DE10-IFERROR((SUM($D$20:$DS$20)-'ОБЪЕКТЫ'!$B$112)*('Продажи'!DE60+'Продажи'!DE63+'Продажи'!DE66+'Продажи'!DE69)/(SUM('Продажи'!$D$60:$DS$60)+SUM('Продажи'!$D$63:$DS$63)+SUM('Продажи'!$D$66:$DS$66)+SUM('Продажи'!$D$69:$DS$69)),0)-IF('ОБЪЕКТЫ'!$B$8=3,IFERROR('ОБЪЕКТЫ'!$B$28*'ОБЪЕКТЫ'!DE22/'ОБЪЕКТЫ'!$B$22,0),0)-IF('ОБЪЕКТЫ'!$B$36=3,IFERROR('ОБЪЕКТЫ'!$B$56*'ОБЪЕКТЫ'!DE50/'ОБЪЕКТЫ'!$B$50,0),0)-IF('ОБЪЕКТЫ'!$B$64=3,IFERROR('ОБЪЕКТЫ'!$B$84*'ОБЪЕКТЫ'!DE78/'ОБЪЕКТЫ'!$B$78,0),0)-DE53-DE57-DE21</x:f>
      </x:c>
      <x:c r="DF22" s="117">
        <x:f>DF10-IFERROR((SUM($D$20:$DS$20)-'ОБЪЕКТЫ'!$B$112)*('Продажи'!DF60+'Продажи'!DF63+'Продажи'!DF66+'Продажи'!DF69)/(SUM('Продажи'!$D$60:$DS$60)+SUM('Продажи'!$D$63:$DS$63)+SUM('Продажи'!$D$66:$DS$66)+SUM('Продажи'!$D$69:$DS$69)),0)-IF('ОБЪЕКТЫ'!$B$8=3,IFERROR('ОБЪЕКТЫ'!$B$28*'ОБЪЕКТЫ'!DF22/'ОБЪЕКТЫ'!$B$22,0),0)-IF('ОБЪЕКТЫ'!$B$36=3,IFERROR('ОБЪЕКТЫ'!$B$56*'ОБЪЕКТЫ'!DF50/'ОБЪЕКТЫ'!$B$50,0),0)-IF('ОБЪЕКТЫ'!$B$64=3,IFERROR('ОБЪЕКТЫ'!$B$84*'ОБЪЕКТЫ'!DF78/'ОБЪЕКТЫ'!$B$78,0),0)-DF53-DF57-DF21</x:f>
      </x:c>
      <x:c r="DG22" s="117">
        <x:f>DG10-IFERROR((SUM($D$20:$DS$20)-'ОБЪЕКТЫ'!$B$112)*('Продажи'!DG60+'Продажи'!DG63+'Продажи'!DG66+'Продажи'!DG69)/(SUM('Продажи'!$D$60:$DS$60)+SUM('Продажи'!$D$63:$DS$63)+SUM('Продажи'!$D$66:$DS$66)+SUM('Продажи'!$D$69:$DS$69)),0)-IF('ОБЪЕКТЫ'!$B$8=3,IFERROR('ОБЪЕКТЫ'!$B$28*'ОБЪЕКТЫ'!DG22/'ОБЪЕКТЫ'!$B$22,0),0)-IF('ОБЪЕКТЫ'!$B$36=3,IFERROR('ОБЪЕКТЫ'!$B$56*'ОБЪЕКТЫ'!DG50/'ОБЪЕКТЫ'!$B$50,0),0)-IF('ОБЪЕКТЫ'!$B$64=3,IFERROR('ОБЪЕКТЫ'!$B$84*'ОБЪЕКТЫ'!DG78/'ОБЪЕКТЫ'!$B$78,0),0)-DG53-DG57-DG21</x:f>
      </x:c>
      <x:c r="DH22" s="117">
        <x:f>DH10-IFERROR((SUM($D$20:$DS$20)-'ОБЪЕКТЫ'!$B$112)*('Продажи'!DH60+'Продажи'!DH63+'Продажи'!DH66+'Продажи'!DH69)/(SUM('Продажи'!$D$60:$DS$60)+SUM('Продажи'!$D$63:$DS$63)+SUM('Продажи'!$D$66:$DS$66)+SUM('Продажи'!$D$69:$DS$69)),0)-IF('ОБЪЕКТЫ'!$B$8=3,IFERROR('ОБЪЕКТЫ'!$B$28*'ОБЪЕКТЫ'!DH22/'ОБЪЕКТЫ'!$B$22,0),0)-IF('ОБЪЕКТЫ'!$B$36=3,IFERROR('ОБЪЕКТЫ'!$B$56*'ОБЪЕКТЫ'!DH50/'ОБЪЕКТЫ'!$B$50,0),0)-IF('ОБЪЕКТЫ'!$B$64=3,IFERROR('ОБЪЕКТЫ'!$B$84*'ОБЪЕКТЫ'!DH78/'ОБЪЕКТЫ'!$B$78,0),0)-DH53-DH57-DH21</x:f>
      </x:c>
      <x:c r="DI22" s="117">
        <x:f>DI10-IFERROR((SUM($D$20:$DS$20)-'ОБЪЕКТЫ'!$B$112)*('Продажи'!DI60+'Продажи'!DI63+'Продажи'!DI66+'Продажи'!DI69)/(SUM('Продажи'!$D$60:$DS$60)+SUM('Продажи'!$D$63:$DS$63)+SUM('Продажи'!$D$66:$DS$66)+SUM('Продажи'!$D$69:$DS$69)),0)-IF('ОБЪЕКТЫ'!$B$8=3,IFERROR('ОБЪЕКТЫ'!$B$28*'ОБЪЕКТЫ'!DI22/'ОБЪЕКТЫ'!$B$22,0),0)-IF('ОБЪЕКТЫ'!$B$36=3,IFERROR('ОБЪЕКТЫ'!$B$56*'ОБЪЕКТЫ'!DI50/'ОБЪЕКТЫ'!$B$50,0),0)-IF('ОБЪЕКТЫ'!$B$64=3,IFERROR('ОБЪЕКТЫ'!$B$84*'ОБЪЕКТЫ'!DI78/'ОБЪЕКТЫ'!$B$78,0),0)-DI53-DI57-DI21</x:f>
      </x:c>
      <x:c r="DJ22" s="117">
        <x:f>DJ10-IFERROR((SUM($D$20:$DS$20)-'ОБЪЕКТЫ'!$B$112)*('Продажи'!DJ60+'Продажи'!DJ63+'Продажи'!DJ66+'Продажи'!DJ69)/(SUM('Продажи'!$D$60:$DS$60)+SUM('Продажи'!$D$63:$DS$63)+SUM('Продажи'!$D$66:$DS$66)+SUM('Продажи'!$D$69:$DS$69)),0)-IF('ОБЪЕКТЫ'!$B$8=3,IFERROR('ОБЪЕКТЫ'!$B$28*'ОБЪЕКТЫ'!DJ22/'ОБЪЕКТЫ'!$B$22,0),0)-IF('ОБЪЕКТЫ'!$B$36=3,IFERROR('ОБЪЕКТЫ'!$B$56*'ОБЪЕКТЫ'!DJ50/'ОБЪЕКТЫ'!$B$50,0),0)-IF('ОБЪЕКТЫ'!$B$64=3,IFERROR('ОБЪЕКТЫ'!$B$84*'ОБЪЕКТЫ'!DJ78/'ОБЪЕКТЫ'!$B$78,0),0)-DJ53-DJ57-DJ21</x:f>
      </x:c>
      <x:c r="DK22" s="117">
        <x:f>DK10-IFERROR((SUM($D$20:$DS$20)-'ОБЪЕКТЫ'!$B$112)*('Продажи'!DK60+'Продажи'!DK63+'Продажи'!DK66+'Продажи'!DK69)/(SUM('Продажи'!$D$60:$DS$60)+SUM('Продажи'!$D$63:$DS$63)+SUM('Продажи'!$D$66:$DS$66)+SUM('Продажи'!$D$69:$DS$69)),0)-IF('ОБЪЕКТЫ'!$B$8=3,IFERROR('ОБЪЕКТЫ'!$B$28*'ОБЪЕКТЫ'!DK22/'ОБЪЕКТЫ'!$B$22,0),0)-IF('ОБЪЕКТЫ'!$B$36=3,IFERROR('ОБЪЕКТЫ'!$B$56*'ОБЪЕКТЫ'!DK50/'ОБЪЕКТЫ'!$B$50,0),0)-IF('ОБЪЕКТЫ'!$B$64=3,IFERROR('ОБЪЕКТЫ'!$B$84*'ОБЪЕКТЫ'!DK78/'ОБЪЕКТЫ'!$B$78,0),0)-DK53-DK57-DK21</x:f>
      </x:c>
      <x:c r="DL22" s="117">
        <x:f>DL10-IFERROR((SUM($D$20:$DS$20)-'ОБЪЕКТЫ'!$B$112)*('Продажи'!DL60+'Продажи'!DL63+'Продажи'!DL66+'Продажи'!DL69)/(SUM('Продажи'!$D$60:$DS$60)+SUM('Продажи'!$D$63:$DS$63)+SUM('Продажи'!$D$66:$DS$66)+SUM('Продажи'!$D$69:$DS$69)),0)-IF('ОБЪЕКТЫ'!$B$8=3,IFERROR('ОБЪЕКТЫ'!$B$28*'ОБЪЕКТЫ'!DL22/'ОБЪЕКТЫ'!$B$22,0),0)-IF('ОБЪЕКТЫ'!$B$36=3,IFERROR('ОБЪЕКТЫ'!$B$56*'ОБЪЕКТЫ'!DL50/'ОБЪЕКТЫ'!$B$50,0),0)-IF('ОБЪЕКТЫ'!$B$64=3,IFERROR('ОБЪЕКТЫ'!$B$84*'ОБЪЕКТЫ'!DL78/'ОБЪЕКТЫ'!$B$78,0),0)-DL53-DL57-DL21</x:f>
      </x:c>
      <x:c r="DM22" s="117">
        <x:f>DM10-IFERROR((SUM($D$20:$DS$20)-'ОБЪЕКТЫ'!$B$112)*('Продажи'!DM60+'Продажи'!DM63+'Продажи'!DM66+'Продажи'!DM69)/(SUM('Продажи'!$D$60:$DS$60)+SUM('Продажи'!$D$63:$DS$63)+SUM('Продажи'!$D$66:$DS$66)+SUM('Продажи'!$D$69:$DS$69)),0)-IF('ОБЪЕКТЫ'!$B$8=3,IFERROR('ОБЪЕКТЫ'!$B$28*'ОБЪЕКТЫ'!DM22/'ОБЪЕКТЫ'!$B$22,0),0)-IF('ОБЪЕКТЫ'!$B$36=3,IFERROR('ОБЪЕКТЫ'!$B$56*'ОБЪЕКТЫ'!DM50/'ОБЪЕКТЫ'!$B$50,0),0)-IF('ОБЪЕКТЫ'!$B$64=3,IFERROR('ОБЪЕКТЫ'!$B$84*'ОБЪЕКТЫ'!DM78/'ОБЪЕКТЫ'!$B$78,0),0)-DM53-DM57-DM21</x:f>
      </x:c>
      <x:c r="DN22" s="117">
        <x:f>DN10-IFERROR((SUM($D$20:$DS$20)-'ОБЪЕКТЫ'!$B$112)*('Продажи'!DN60+'Продажи'!DN63+'Продажи'!DN66+'Продажи'!DN69)/(SUM('Продажи'!$D$60:$DS$60)+SUM('Продажи'!$D$63:$DS$63)+SUM('Продажи'!$D$66:$DS$66)+SUM('Продажи'!$D$69:$DS$69)),0)-IF('ОБЪЕКТЫ'!$B$8=3,IFERROR('ОБЪЕКТЫ'!$B$28*'ОБЪЕКТЫ'!DN22/'ОБЪЕКТЫ'!$B$22,0),0)-IF('ОБЪЕКТЫ'!$B$36=3,IFERROR('ОБЪЕКТЫ'!$B$56*'ОБЪЕКТЫ'!DN50/'ОБЪЕКТЫ'!$B$50,0),0)-IF('ОБЪЕКТЫ'!$B$64=3,IFERROR('ОБЪЕКТЫ'!$B$84*'ОБЪЕКТЫ'!DN78/'ОБЪЕКТЫ'!$B$78,0),0)-DN53-DN57-DN21</x:f>
      </x:c>
      <x:c r="DO22" s="117">
        <x:f>DO10-IFERROR((SUM($D$20:$DS$20)-'ОБЪЕКТЫ'!$B$112)*('Продажи'!DO60+'Продажи'!DO63+'Продажи'!DO66+'Продажи'!DO69)/(SUM('Продажи'!$D$60:$DS$60)+SUM('Продажи'!$D$63:$DS$63)+SUM('Продажи'!$D$66:$DS$66)+SUM('Продажи'!$D$69:$DS$69)),0)-IF('ОБЪЕКТЫ'!$B$8=3,IFERROR('ОБЪЕКТЫ'!$B$28*'ОБЪЕКТЫ'!DO22/'ОБЪЕКТЫ'!$B$22,0),0)-IF('ОБЪЕКТЫ'!$B$36=3,IFERROR('ОБЪЕКТЫ'!$B$56*'ОБЪЕКТЫ'!DO50/'ОБЪЕКТЫ'!$B$50,0),0)-IF('ОБЪЕКТЫ'!$B$64=3,IFERROR('ОБЪЕКТЫ'!$B$84*'ОБЪЕКТЫ'!DO78/'ОБЪЕКТЫ'!$B$78,0),0)-DO53-DO57-DO21</x:f>
      </x:c>
      <x:c r="DP22" s="117">
        <x:f>DP10-IFERROR((SUM($D$20:$DS$20)-'ОБЪЕКТЫ'!$B$112)*('Продажи'!DP60+'Продажи'!DP63+'Продажи'!DP66+'Продажи'!DP69)/(SUM('Продажи'!$D$60:$DS$60)+SUM('Продажи'!$D$63:$DS$63)+SUM('Продажи'!$D$66:$DS$66)+SUM('Продажи'!$D$69:$DS$69)),0)-IF('ОБЪЕКТЫ'!$B$8=3,IFERROR('ОБЪЕКТЫ'!$B$28*'ОБЪЕКТЫ'!DP22/'ОБЪЕКТЫ'!$B$22,0),0)-IF('ОБЪЕКТЫ'!$B$36=3,IFERROR('ОБЪЕКТЫ'!$B$56*'ОБЪЕКТЫ'!DP50/'ОБЪЕКТЫ'!$B$50,0),0)-IF('ОБЪЕКТЫ'!$B$64=3,IFERROR('ОБЪЕКТЫ'!$B$84*'ОБЪЕКТЫ'!DP78/'ОБЪЕКТЫ'!$B$78,0),0)-DP53-DP57-DP21</x:f>
      </x:c>
      <x:c r="DQ22" s="117">
        <x:f>DQ10-IFERROR((SUM($D$20:$DS$20)-'ОБЪЕКТЫ'!$B$112)*('Продажи'!DQ60+'Продажи'!DQ63+'Продажи'!DQ66+'Продажи'!DQ69)/(SUM('Продажи'!$D$60:$DS$60)+SUM('Продажи'!$D$63:$DS$63)+SUM('Продажи'!$D$66:$DS$66)+SUM('Продажи'!$D$69:$DS$69)),0)-IF('ОБЪЕКТЫ'!$B$8=3,IFERROR('ОБЪЕКТЫ'!$B$28*'ОБЪЕКТЫ'!DQ22/'ОБЪЕКТЫ'!$B$22,0),0)-IF('ОБЪЕКТЫ'!$B$36=3,IFERROR('ОБЪЕКТЫ'!$B$56*'ОБЪЕКТЫ'!DQ50/'ОБЪЕКТЫ'!$B$50,0),0)-IF('ОБЪЕКТЫ'!$B$64=3,IFERROR('ОБЪЕКТЫ'!$B$84*'ОБЪЕКТЫ'!DQ78/'ОБЪЕКТЫ'!$B$78,0),0)-DQ53-DQ57-DQ21</x:f>
      </x:c>
      <x:c r="DR22" s="117">
        <x:f>DR10-IFERROR((SUM($D$20:$DS$20)-'ОБЪЕКТЫ'!$B$112)*('Продажи'!DR60+'Продажи'!DR63+'Продажи'!DR66+'Продажи'!DR69)/(SUM('Продажи'!$D$60:$DS$60)+SUM('Продажи'!$D$63:$DS$63)+SUM('Продажи'!$D$66:$DS$66)+SUM('Продажи'!$D$69:$DS$69)),0)-IF('ОБЪЕКТЫ'!$B$8=3,IFERROR('ОБЪЕКТЫ'!$B$28*'ОБЪЕКТЫ'!DR22/'ОБЪЕКТЫ'!$B$22,0),0)-IF('ОБЪЕКТЫ'!$B$36=3,IFERROR('ОБЪЕКТЫ'!$B$56*'ОБЪЕКТЫ'!DR50/'ОБЪЕКТЫ'!$B$50,0),0)-IF('ОБЪЕКТЫ'!$B$64=3,IFERROR('ОБЪЕКТЫ'!$B$84*'ОБЪЕКТЫ'!DR78/'ОБЪЕКТЫ'!$B$78,0),0)-DR53-DR57-DR21</x:f>
      </x:c>
      <x:c r="DS22" s="117">
        <x:f>DS10-IFERROR((SUM($D$20:$DS$20)-'ОБЪЕКТЫ'!$B$112)*('Продажи'!DS60+'Продажи'!DS63+'Продажи'!DS66+'Продажи'!DS69)/(SUM('Продажи'!$D$60:$DS$60)+SUM('Продажи'!$D$63:$DS$63)+SUM('Продажи'!$D$66:$DS$66)+SUM('Продажи'!$D$69:$DS$69)),0)-IF('ОБЪЕКТЫ'!$B$8=3,IFERROR('ОБЪЕКТЫ'!$B$28*'ОБЪЕКТЫ'!DS22/'ОБЪЕКТЫ'!$B$22,0),0)-IF('ОБЪЕКТЫ'!$B$36=3,IFERROR('ОБЪЕКТЫ'!$B$56*'ОБЪЕКТЫ'!DS50/'ОБЪЕКТЫ'!$B$50,0),0)-IF('ОБЪЕКТЫ'!$B$64=3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-SUM('CF_1'!D21:DS21,'CF_2'!D21:DS21,'CF_3'!D21:DS21,'CF_4'!D21:DS21)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  <x:row r="31">
      <x:c r="A31" t="inlineStr">
        <x:is>
          <x:t>Первый облагаемый месяц (самый ранний РВЭ)</x:t>
        </x:is>
      </x:c>
      <x:c r="B31">
        <x:f>MIN(IF('Вводные'!$B$88="Да",'CF_1'!$B$8,99999),IF('Вводные'!$B$89="Да",'CF_2'!$B$8,99999),IF('Вводные'!$B$90="Да",'CF_3'!$B$8,99999),IF('Вводные'!$B$91="Да",'CF_4'!$B$8,99999))</x:f>
      </x:c>
    </x:row>
    <x:row r="32">
      <x:c r="A32" t="inlineStr">
        <x:is>
          <x:t>Налоговый результат месяца (свод)</x:t>
        </x:is>
      </x:c>
      <x:c r="B32">
        <x:f>SUM(D32:DS32)</x:f>
      </x:c>
      <x:c r="D32">
        <x:f>SUM('CF_1'!D22,'CF_2'!D22,'CF_3'!D22,'CF_4'!D22)</x:f>
      </x:c>
      <x:c r="E32">
        <x:f>SUM('CF_1'!E22,'CF_2'!E22,'CF_3'!E22,'CF_4'!E22)</x:f>
      </x:c>
      <x:c r="F32">
        <x:f>SUM('CF_1'!F22,'CF_2'!F22,'CF_3'!F22,'CF_4'!F22)</x:f>
      </x:c>
      <x:c r="G32">
        <x:f>SUM('CF_1'!G22,'CF_2'!G22,'CF_3'!G22,'CF_4'!G22)</x:f>
      </x:c>
      <x:c r="H32">
        <x:f>SUM('CF_1'!H22,'CF_2'!H22,'CF_3'!H22,'CF_4'!H22)</x:f>
      </x:c>
      <x:c r="I32">
        <x:f>SUM('CF_1'!I22,'CF_2'!I22,'CF_3'!I22,'CF_4'!I22)</x:f>
      </x:c>
      <x:c r="J32">
        <x:f>SUM('CF_1'!J22,'CF_2'!J22,'CF_3'!J22,'CF_4'!J22)</x:f>
      </x:c>
      <x:c r="K32">
        <x:f>SUM('CF_1'!K22,'CF_2'!K22,'CF_3'!K22,'CF_4'!K22)</x:f>
      </x:c>
      <x:c r="L32">
        <x:f>SUM('CF_1'!L22,'CF_2'!L22,'CF_3'!L22,'CF_4'!L22)</x:f>
      </x:c>
      <x:c r="M32">
        <x:f>SUM('CF_1'!M22,'CF_2'!M22,'CF_3'!M22,'CF_4'!M22)</x:f>
      </x:c>
      <x:c r="N32">
        <x:f>SUM('CF_1'!N22,'CF_2'!N22,'CF_3'!N22,'CF_4'!N22)</x:f>
      </x:c>
      <x:c r="O32">
        <x:f>SUM('CF_1'!O22,'CF_2'!O22,'CF_3'!O22,'CF_4'!O22)</x:f>
      </x:c>
      <x:c r="P32">
        <x:f>SUM('CF_1'!P22,'CF_2'!P22,'CF_3'!P22,'CF_4'!P22)</x:f>
      </x:c>
      <x:c r="Q32">
        <x:f>SUM('CF_1'!Q22,'CF_2'!Q22,'CF_3'!Q22,'CF_4'!Q22)</x:f>
      </x:c>
      <x:c r="R32">
        <x:f>SUM('CF_1'!R22,'CF_2'!R22,'CF_3'!R22,'CF_4'!R22)</x:f>
      </x:c>
      <x:c r="S32">
        <x:f>SUM('CF_1'!S22,'CF_2'!S22,'CF_3'!S22,'CF_4'!S22)</x:f>
      </x:c>
      <x:c r="T32">
        <x:f>SUM('CF_1'!T22,'CF_2'!T22,'CF_3'!T22,'CF_4'!T22)</x:f>
      </x:c>
      <x:c r="U32">
        <x:f>SUM('CF_1'!U22,'CF_2'!U22,'CF_3'!U22,'CF_4'!U22)</x:f>
      </x:c>
      <x:c r="V32">
        <x:f>SUM('CF_1'!V22,'CF_2'!V22,'CF_3'!V22,'CF_4'!V22)</x:f>
      </x:c>
      <x:c r="W32">
        <x:f>SUM('CF_1'!W22,'CF_2'!W22,'CF_3'!W22,'CF_4'!W22)</x:f>
      </x:c>
      <x:c r="X32">
        <x:f>SUM('CF_1'!X22,'CF_2'!X22,'CF_3'!X22,'CF_4'!X22)</x:f>
      </x:c>
      <x:c r="Y32">
        <x:f>SUM('CF_1'!Y22,'CF_2'!Y22,'CF_3'!Y22,'CF_4'!Y22)</x:f>
      </x:c>
      <x:c r="Z32">
        <x:f>SUM('CF_1'!Z22,'CF_2'!Z22,'CF_3'!Z22,'CF_4'!Z22)</x:f>
      </x:c>
      <x:c r="AA32">
        <x:f>SUM('CF_1'!AA22,'CF_2'!AA22,'CF_3'!AA22,'CF_4'!AA22)</x:f>
      </x:c>
      <x:c r="AB32">
        <x:f>SUM('CF_1'!AB22,'CF_2'!AB22,'CF_3'!AB22,'CF_4'!AB22)</x:f>
      </x:c>
      <x:c r="AC32">
        <x:f>SUM('CF_1'!AC22,'CF_2'!AC22,'CF_3'!AC22,'CF_4'!AC22)</x:f>
      </x:c>
      <x:c r="AD32">
        <x:f>SUM('CF_1'!AD22,'CF_2'!AD22,'CF_3'!AD22,'CF_4'!AD22)</x:f>
      </x:c>
      <x:c r="AE32">
        <x:f>SUM('CF_1'!AE22,'CF_2'!AE22,'CF_3'!AE22,'CF_4'!AE22)</x:f>
      </x:c>
      <x:c r="AF32">
        <x:f>SUM('CF_1'!AF22,'CF_2'!AF22,'CF_3'!AF22,'CF_4'!AF22)</x:f>
      </x:c>
      <x:c r="AG32">
        <x:f>SUM('CF_1'!AG22,'CF_2'!AG22,'CF_3'!AG22,'CF_4'!AG22)</x:f>
      </x:c>
      <x:c r="AH32">
        <x:f>SUM('CF_1'!AH22,'CF_2'!AH22,'CF_3'!AH22,'CF_4'!AH22)</x:f>
      </x:c>
      <x:c r="AI32">
        <x:f>SUM('CF_1'!AI22,'CF_2'!AI22,'CF_3'!AI22,'CF_4'!AI22)</x:f>
      </x:c>
      <x:c r="AJ32">
        <x:f>SUM('CF_1'!AJ22,'CF_2'!AJ22,'CF_3'!AJ22,'CF_4'!AJ22)</x:f>
      </x:c>
      <x:c r="AK32">
        <x:f>SUM('CF_1'!AK22,'CF_2'!AK22,'CF_3'!AK22,'CF_4'!AK22)</x:f>
      </x:c>
      <x:c r="AL32">
        <x:f>SUM('CF_1'!AL22,'CF_2'!AL22,'CF_3'!AL22,'CF_4'!AL22)</x:f>
      </x:c>
      <x:c r="AM32">
        <x:f>SUM('CF_1'!AM22,'CF_2'!AM22,'CF_3'!AM22,'CF_4'!AM22)</x:f>
      </x:c>
      <x:c r="AN32">
        <x:f>SUM('CF_1'!AN22,'CF_2'!AN22,'CF_3'!AN22,'CF_4'!AN22)</x:f>
      </x:c>
      <x:c r="AO32">
        <x:f>SUM('CF_1'!AO22,'CF_2'!AO22,'CF_3'!AO22,'CF_4'!AO22)</x:f>
      </x:c>
      <x:c r="AP32">
        <x:f>SUM('CF_1'!AP22,'CF_2'!AP22,'CF_3'!AP22,'CF_4'!AP22)</x:f>
      </x:c>
      <x:c r="AQ32">
        <x:f>SUM('CF_1'!AQ22,'CF_2'!AQ22,'CF_3'!AQ22,'CF_4'!AQ22)</x:f>
      </x:c>
      <x:c r="AR32">
        <x:f>SUM('CF_1'!AR22,'CF_2'!AR22,'CF_3'!AR22,'CF_4'!AR22)</x:f>
      </x:c>
      <x:c r="AS32">
        <x:f>SUM('CF_1'!AS22,'CF_2'!AS22,'CF_3'!AS22,'CF_4'!AS22)</x:f>
      </x:c>
      <x:c r="AT32">
        <x:f>SUM('CF_1'!AT22,'CF_2'!AT22,'CF_3'!AT22,'CF_4'!AT22)</x:f>
      </x:c>
      <x:c r="AU32">
        <x:f>SUM('CF_1'!AU22,'CF_2'!AU22,'CF_3'!AU22,'CF_4'!AU22)</x:f>
      </x:c>
      <x:c r="AV32">
        <x:f>SUM('CF_1'!AV22,'CF_2'!AV22,'CF_3'!AV22,'CF_4'!AV22)</x:f>
      </x:c>
      <x:c r="AW32">
        <x:f>SUM('CF_1'!AW22,'CF_2'!AW22,'CF_3'!AW22,'CF_4'!AW22)</x:f>
      </x:c>
      <x:c r="AX32">
        <x:f>SUM('CF_1'!AX22,'CF_2'!AX22,'CF_3'!AX22,'CF_4'!AX22)</x:f>
      </x:c>
      <x:c r="AY32">
        <x:f>SUM('CF_1'!AY22,'CF_2'!AY22,'CF_3'!AY22,'CF_4'!AY22)</x:f>
      </x:c>
      <x:c r="AZ32">
        <x:f>SUM('CF_1'!AZ22,'CF_2'!AZ22,'CF_3'!AZ22,'CF_4'!AZ22)</x:f>
      </x:c>
      <x:c r="BA32">
        <x:f>SUM('CF_1'!BA22,'CF_2'!BA22,'CF_3'!BA22,'CF_4'!BA22)</x:f>
      </x:c>
      <x:c r="BB32">
        <x:f>SUM('CF_1'!BB22,'CF_2'!BB22,'CF_3'!BB22,'CF_4'!BB22)</x:f>
      </x:c>
      <x:c r="BC32">
        <x:f>SUM('CF_1'!BC22,'CF_2'!BC22,'CF_3'!BC22,'CF_4'!BC22)</x:f>
      </x:c>
      <x:c r="BD32">
        <x:f>SUM('CF_1'!BD22,'CF_2'!BD22,'CF_3'!BD22,'CF_4'!BD22)</x:f>
      </x:c>
      <x:c r="BE32">
        <x:f>SUM('CF_1'!BE22,'CF_2'!BE22,'CF_3'!BE22,'CF_4'!BE22)</x:f>
      </x:c>
      <x:c r="BF32">
        <x:f>SUM('CF_1'!BF22,'CF_2'!BF22,'CF_3'!BF22,'CF_4'!BF22)</x:f>
      </x:c>
      <x:c r="BG32">
        <x:f>SUM('CF_1'!BG22,'CF_2'!BG22,'CF_3'!BG22,'CF_4'!BG22)</x:f>
      </x:c>
      <x:c r="BH32">
        <x:f>SUM('CF_1'!BH22,'CF_2'!BH22,'CF_3'!BH22,'CF_4'!BH22)</x:f>
      </x:c>
      <x:c r="BI32">
        <x:f>SUM('CF_1'!BI22,'CF_2'!BI22,'CF_3'!BI22,'CF_4'!BI22)</x:f>
      </x:c>
      <x:c r="BJ32">
        <x:f>SUM('CF_1'!BJ22,'CF_2'!BJ22,'CF_3'!BJ22,'CF_4'!BJ22)</x:f>
      </x:c>
      <x:c r="BK32">
        <x:f>SUM('CF_1'!BK22,'CF_2'!BK22,'CF_3'!BK22,'CF_4'!BK22)</x:f>
      </x:c>
      <x:c r="BL32">
        <x:f>SUM('CF_1'!BL22,'CF_2'!BL22,'CF_3'!BL22,'CF_4'!BL22)</x:f>
      </x:c>
      <x:c r="BM32">
        <x:f>SUM('CF_1'!BM22,'CF_2'!BM22,'CF_3'!BM22,'CF_4'!BM22)</x:f>
      </x:c>
      <x:c r="BN32">
        <x:f>SUM('CF_1'!BN22,'CF_2'!BN22,'CF_3'!BN22,'CF_4'!BN22)</x:f>
      </x:c>
      <x:c r="BO32">
        <x:f>SUM('CF_1'!BO22,'CF_2'!BO22,'CF_3'!BO22,'CF_4'!BO22)</x:f>
      </x:c>
      <x:c r="BP32">
        <x:f>SUM('CF_1'!BP22,'CF_2'!BP22,'CF_3'!BP22,'CF_4'!BP22)</x:f>
      </x:c>
      <x:c r="BQ32">
        <x:f>SUM('CF_1'!BQ22,'CF_2'!BQ22,'CF_3'!BQ22,'CF_4'!BQ22)</x:f>
      </x:c>
      <x:c r="BR32">
        <x:f>SUM('CF_1'!BR22,'CF_2'!BR22,'CF_3'!BR22,'CF_4'!BR22)</x:f>
      </x:c>
      <x:c r="BS32">
        <x:f>SUM('CF_1'!BS22,'CF_2'!BS22,'CF_3'!BS22,'CF_4'!BS22)</x:f>
      </x:c>
      <x:c r="BT32">
        <x:f>SUM('CF_1'!BT22,'CF_2'!BT22,'CF_3'!BT22,'CF_4'!BT22)</x:f>
      </x:c>
      <x:c r="BU32">
        <x:f>SUM('CF_1'!BU22,'CF_2'!BU22,'CF_3'!BU22,'CF_4'!BU22)</x:f>
      </x:c>
      <x:c r="BV32">
        <x:f>SUM('CF_1'!BV22,'CF_2'!BV22,'CF_3'!BV22,'CF_4'!BV22)</x:f>
      </x:c>
      <x:c r="BW32">
        <x:f>SUM('CF_1'!BW22,'CF_2'!BW22,'CF_3'!BW22,'CF_4'!BW22)</x:f>
      </x:c>
      <x:c r="BX32">
        <x:f>SUM('CF_1'!BX22,'CF_2'!BX22,'CF_3'!BX22,'CF_4'!BX22)</x:f>
      </x:c>
      <x:c r="BY32">
        <x:f>SUM('CF_1'!BY22,'CF_2'!BY22,'CF_3'!BY22,'CF_4'!BY22)</x:f>
      </x:c>
      <x:c r="BZ32">
        <x:f>SUM('CF_1'!BZ22,'CF_2'!BZ22,'CF_3'!BZ22,'CF_4'!BZ22)</x:f>
      </x:c>
      <x:c r="CA32">
        <x:f>SUM('CF_1'!CA22,'CF_2'!CA22,'CF_3'!CA22,'CF_4'!CA22)</x:f>
      </x:c>
      <x:c r="CB32">
        <x:f>SUM('CF_1'!CB22,'CF_2'!CB22,'CF_3'!CB22,'CF_4'!CB22)</x:f>
      </x:c>
      <x:c r="CC32">
        <x:f>SUM('CF_1'!CC22,'CF_2'!CC22,'CF_3'!CC22,'CF_4'!CC22)</x:f>
      </x:c>
      <x:c r="CD32">
        <x:f>SUM('CF_1'!CD22,'CF_2'!CD22,'CF_3'!CD22,'CF_4'!CD22)</x:f>
      </x:c>
      <x:c r="CE32">
        <x:f>SUM('CF_1'!CE22,'CF_2'!CE22,'CF_3'!CE22,'CF_4'!CE22)</x:f>
      </x:c>
      <x:c r="CF32">
        <x:f>SUM('CF_1'!CF22,'CF_2'!CF22,'CF_3'!CF22,'CF_4'!CF22)</x:f>
      </x:c>
      <x:c r="CG32">
        <x:f>SUM('CF_1'!CG22,'CF_2'!CG22,'CF_3'!CG22,'CF_4'!CG22)</x:f>
      </x:c>
      <x:c r="CH32">
        <x:f>SUM('CF_1'!CH22,'CF_2'!CH22,'CF_3'!CH22,'CF_4'!CH22)</x:f>
      </x:c>
      <x:c r="CI32">
        <x:f>SUM('CF_1'!CI22,'CF_2'!CI22,'CF_3'!CI22,'CF_4'!CI22)</x:f>
      </x:c>
      <x:c r="CJ32">
        <x:f>SUM('CF_1'!CJ22,'CF_2'!CJ22,'CF_3'!CJ22,'CF_4'!CJ22)</x:f>
      </x:c>
      <x:c r="CK32">
        <x:f>SUM('CF_1'!CK22,'CF_2'!CK22,'CF_3'!CK22,'CF_4'!CK22)</x:f>
      </x:c>
      <x:c r="CL32">
        <x:f>SUM('CF_1'!CL22,'CF_2'!CL22,'CF_3'!CL22,'CF_4'!CL22)</x:f>
      </x:c>
      <x:c r="CM32">
        <x:f>SUM('CF_1'!CM22,'CF_2'!CM22,'CF_3'!CM22,'CF_4'!CM22)</x:f>
      </x:c>
      <x:c r="CN32">
        <x:f>SUM('CF_1'!CN22,'CF_2'!CN22,'CF_3'!CN22,'CF_4'!CN22)</x:f>
      </x:c>
      <x:c r="CO32">
        <x:f>SUM('CF_1'!CO22,'CF_2'!CO22,'CF_3'!CO22,'CF_4'!CO22)</x:f>
      </x:c>
      <x:c r="CP32">
        <x:f>SUM('CF_1'!CP22,'CF_2'!CP22,'CF_3'!CP22,'CF_4'!CP22)</x:f>
      </x:c>
      <x:c r="CQ32">
        <x:f>SUM('CF_1'!CQ22,'CF_2'!CQ22,'CF_3'!CQ22,'CF_4'!CQ22)</x:f>
      </x:c>
      <x:c r="CR32">
        <x:f>SUM('CF_1'!CR22,'CF_2'!CR22,'CF_3'!CR22,'CF_4'!CR22)</x:f>
      </x:c>
      <x:c r="CS32">
        <x:f>SUM('CF_1'!CS22,'CF_2'!CS22,'CF_3'!CS22,'CF_4'!CS22)</x:f>
      </x:c>
      <x:c r="CT32">
        <x:f>SUM('CF_1'!CT22,'CF_2'!CT22,'CF_3'!CT22,'CF_4'!CT22)</x:f>
      </x:c>
      <x:c r="CU32">
        <x:f>SUM('CF_1'!CU22,'CF_2'!CU22,'CF_3'!CU22,'CF_4'!CU22)</x:f>
      </x:c>
      <x:c r="CV32">
        <x:f>SUM('CF_1'!CV22,'CF_2'!CV22,'CF_3'!CV22,'CF_4'!CV22)</x:f>
      </x:c>
      <x:c r="CW32">
        <x:f>SUM('CF_1'!CW22,'CF_2'!CW22,'CF_3'!CW22,'CF_4'!CW22)</x:f>
      </x:c>
      <x:c r="CX32">
        <x:f>SUM('CF_1'!CX22,'CF_2'!CX22,'CF_3'!CX22,'CF_4'!CX22)</x:f>
      </x:c>
      <x:c r="CY32">
        <x:f>SUM('CF_1'!CY22,'CF_2'!CY22,'CF_3'!CY22,'CF_4'!CY22)</x:f>
      </x:c>
      <x:c r="CZ32">
        <x:f>SUM('CF_1'!CZ22,'CF_2'!CZ22,'CF_3'!CZ22,'CF_4'!CZ22)</x:f>
      </x:c>
      <x:c r="DA32">
        <x:f>SUM('CF_1'!DA22,'CF_2'!DA22,'CF_3'!DA22,'CF_4'!DA22)</x:f>
      </x:c>
      <x:c r="DB32">
        <x:f>SUM('CF_1'!DB22,'CF_2'!DB22,'CF_3'!DB22,'CF_4'!DB22)</x:f>
      </x:c>
      <x:c r="DC32">
        <x:f>SUM('CF_1'!DC22,'CF_2'!DC22,'CF_3'!DC22,'CF_4'!DC22)</x:f>
      </x:c>
      <x:c r="DD32">
        <x:f>SUM('CF_1'!DD22,'CF_2'!DD22,'CF_3'!DD22,'CF_4'!DD22)</x:f>
      </x:c>
      <x:c r="DE32">
        <x:f>SUM('CF_1'!DE22,'CF_2'!DE22,'CF_3'!DE22,'CF_4'!DE22)</x:f>
      </x:c>
      <x:c r="DF32">
        <x:f>SUM('CF_1'!DF22,'CF_2'!DF22,'CF_3'!DF22,'CF_4'!DF22)</x:f>
      </x:c>
      <x:c r="DG32">
        <x:f>SUM('CF_1'!DG22,'CF_2'!DG22,'CF_3'!DG22,'CF_4'!DG22)</x:f>
      </x:c>
      <x:c r="DH32">
        <x:f>SUM('CF_1'!DH22,'CF_2'!DH22,'CF_3'!DH22,'CF_4'!DH22)</x:f>
      </x:c>
      <x:c r="DI32">
        <x:f>SUM('CF_1'!DI22,'CF_2'!DI22,'CF_3'!DI22,'CF_4'!DI22)</x:f>
      </x:c>
      <x:c r="DJ32">
        <x:f>SUM('CF_1'!DJ22,'CF_2'!DJ22,'CF_3'!DJ22,'CF_4'!DJ22)</x:f>
      </x:c>
      <x:c r="DK32">
        <x:f>SUM('CF_1'!DK22,'CF_2'!DK22,'CF_3'!DK22,'CF_4'!DK22)</x:f>
      </x:c>
      <x:c r="DL32">
        <x:f>SUM('CF_1'!DL22,'CF_2'!DL22,'CF_3'!DL22,'CF_4'!DL22)</x:f>
      </x:c>
      <x:c r="DM32">
        <x:f>SUM('CF_1'!DM22,'CF_2'!DM22,'CF_3'!DM22,'CF_4'!DM22)</x:f>
      </x:c>
      <x:c r="DN32">
        <x:f>SUM('CF_1'!DN22,'CF_2'!DN22,'CF_3'!DN22,'CF_4'!DN22)</x:f>
      </x:c>
      <x:c r="DO32">
        <x:f>SUM('CF_1'!DO22,'CF_2'!DO22,'CF_3'!DO22,'CF_4'!DO22)</x:f>
      </x:c>
      <x:c r="DP32">
        <x:f>SUM('CF_1'!DP22,'CF_2'!DP22,'CF_3'!DP22,'CF_4'!DP22)</x:f>
      </x:c>
      <x:c r="DQ32">
        <x:f>SUM('CF_1'!DQ22,'CF_2'!DQ22,'CF_3'!DQ22,'CF_4'!DQ22)</x:f>
      </x:c>
      <x:c r="DR32">
        <x:f>SUM('CF_1'!DR22,'CF_2'!DR22,'CF_3'!DR22,'CF_4'!DR22)</x:f>
      </x:c>
      <x:c r="DS32">
        <x:f>SUM('CF_1'!DS22,'CF_2'!DS22,'CF_3'!DS22,'CF_4'!DS22)</x:f>
      </x:c>
    </x:row>
    <x:row r="33">
      <x:c r="A33" t="inlineStr">
        <x:is>
          <x:t>Результат года нарастающим</x:t>
        </x:is>
      </x:c>
      <x:c r="D33">
        <x:f>D32</x:f>
      </x:c>
      <x:c r="E33">
        <x:f>IF(AND(E$3&gt;=$B$31,D$3&gt;=$B$31),IF(YEAR(E$3)=YEAR(D$3),D33+E32,E32),D33+E32)</x:f>
      </x:c>
      <x:c r="F33">
        <x:f>IF(AND(F$3&gt;=$B$31,E$3&gt;=$B$31),IF(YEAR(F$3)=YEAR(E$3),E33+F32,F32),E33+F32)</x:f>
      </x:c>
      <x:c r="G33">
        <x:f>IF(AND(G$3&gt;=$B$31,F$3&gt;=$B$31),IF(YEAR(G$3)=YEAR(F$3),F33+G32,G32),F33+G32)</x:f>
      </x:c>
      <x:c r="H33">
        <x:f>IF(AND(H$3&gt;=$B$31,G$3&gt;=$B$31),IF(YEAR(H$3)=YEAR(G$3),G33+H32,H32),G33+H32)</x:f>
      </x:c>
      <x:c r="I33">
        <x:f>IF(AND(I$3&gt;=$B$31,H$3&gt;=$B$31),IF(YEAR(I$3)=YEAR(H$3),H33+I32,I32),H33+I32)</x:f>
      </x:c>
      <x:c r="J33">
        <x:f>IF(AND(J$3&gt;=$B$31,I$3&gt;=$B$31),IF(YEAR(J$3)=YEAR(I$3),I33+J32,J32),I33+J32)</x:f>
      </x:c>
      <x:c r="K33">
        <x:f>IF(AND(K$3&gt;=$B$31,J$3&gt;=$B$31),IF(YEAR(K$3)=YEAR(J$3),J33+K32,K32),J33+K32)</x:f>
      </x:c>
      <x:c r="L33">
        <x:f>IF(AND(L$3&gt;=$B$31,K$3&gt;=$B$31),IF(YEAR(L$3)=YEAR(K$3),K33+L32,L32),K33+L32)</x:f>
      </x:c>
      <x:c r="M33">
        <x:f>IF(AND(M$3&gt;=$B$31,L$3&gt;=$B$31),IF(YEAR(M$3)=YEAR(L$3),L33+M32,M32),L33+M32)</x:f>
      </x:c>
      <x:c r="N33">
        <x:f>IF(AND(N$3&gt;=$B$31,M$3&gt;=$B$31),IF(YEAR(N$3)=YEAR(M$3),M33+N32,N32),M33+N32)</x:f>
      </x:c>
      <x:c r="O33">
        <x:f>IF(AND(O$3&gt;=$B$31,N$3&gt;=$B$31),IF(YEAR(O$3)=YEAR(N$3),N33+O32,O32),N33+O32)</x:f>
      </x:c>
      <x:c r="P33">
        <x:f>IF(AND(P$3&gt;=$B$31,O$3&gt;=$B$31),IF(YEAR(P$3)=YEAR(O$3),O33+P32,P32),O33+P32)</x:f>
      </x:c>
      <x:c r="Q33">
        <x:f>IF(AND(Q$3&gt;=$B$31,P$3&gt;=$B$31),IF(YEAR(Q$3)=YEAR(P$3),P33+Q32,Q32),P33+Q32)</x:f>
      </x:c>
      <x:c r="R33">
        <x:f>IF(AND(R$3&gt;=$B$31,Q$3&gt;=$B$31),IF(YEAR(R$3)=YEAR(Q$3),Q33+R32,R32),Q33+R32)</x:f>
      </x:c>
      <x:c r="S33">
        <x:f>IF(AND(S$3&gt;=$B$31,R$3&gt;=$B$31),IF(YEAR(S$3)=YEAR(R$3),R33+S32,S32),R33+S32)</x:f>
      </x:c>
      <x:c r="T33">
        <x:f>IF(AND(T$3&gt;=$B$31,S$3&gt;=$B$31),IF(YEAR(T$3)=YEAR(S$3),S33+T32,T32),S33+T32)</x:f>
      </x:c>
      <x:c r="U33">
        <x:f>IF(AND(U$3&gt;=$B$31,T$3&gt;=$B$31),IF(YEAR(U$3)=YEAR(T$3),T33+U32,U32),T33+U32)</x:f>
      </x:c>
      <x:c r="V33">
        <x:f>IF(AND(V$3&gt;=$B$31,U$3&gt;=$B$31),IF(YEAR(V$3)=YEAR(U$3),U33+V32,V32),U33+V32)</x:f>
      </x:c>
      <x:c r="W33">
        <x:f>IF(AND(W$3&gt;=$B$31,V$3&gt;=$B$31),IF(YEAR(W$3)=YEAR(V$3),V33+W32,W32),V33+W32)</x:f>
      </x:c>
      <x:c r="X33">
        <x:f>IF(AND(X$3&gt;=$B$31,W$3&gt;=$B$31),IF(YEAR(X$3)=YEAR(W$3),W33+X32,X32),W33+X32)</x:f>
      </x:c>
      <x:c r="Y33">
        <x:f>IF(AND(Y$3&gt;=$B$31,X$3&gt;=$B$31),IF(YEAR(Y$3)=YEAR(X$3),X33+Y32,Y32),X33+Y32)</x:f>
      </x:c>
      <x:c r="Z33">
        <x:f>IF(AND(Z$3&gt;=$B$31,Y$3&gt;=$B$31),IF(YEAR(Z$3)=YEAR(Y$3),Y33+Z32,Z32),Y33+Z32)</x:f>
      </x:c>
      <x:c r="AA33">
        <x:f>IF(AND(AA$3&gt;=$B$31,Z$3&gt;=$B$31),IF(YEAR(AA$3)=YEAR(Z$3),Z33+AA32,AA32),Z33+AA32)</x:f>
      </x:c>
      <x:c r="AB33">
        <x:f>IF(AND(AB$3&gt;=$B$31,AA$3&gt;=$B$31),IF(YEAR(AB$3)=YEAR(AA$3),AA33+AB32,AB32),AA33+AB32)</x:f>
      </x:c>
      <x:c r="AC33">
        <x:f>IF(AND(AC$3&gt;=$B$31,AB$3&gt;=$B$31),IF(YEAR(AC$3)=YEAR(AB$3),AB33+AC32,AC32),AB33+AC32)</x:f>
      </x:c>
      <x:c r="AD33">
        <x:f>IF(AND(AD$3&gt;=$B$31,AC$3&gt;=$B$31),IF(YEAR(AD$3)=YEAR(AC$3),AC33+AD32,AD32),AC33+AD32)</x:f>
      </x:c>
      <x:c r="AE33">
        <x:f>IF(AND(AE$3&gt;=$B$31,AD$3&gt;=$B$31),IF(YEAR(AE$3)=YEAR(AD$3),AD33+AE32,AE32),AD33+AE32)</x:f>
      </x:c>
      <x:c r="AF33">
        <x:f>IF(AND(AF$3&gt;=$B$31,AE$3&gt;=$B$31),IF(YEAR(AF$3)=YEAR(AE$3),AE33+AF32,AF32),AE33+AF32)</x:f>
      </x:c>
      <x:c r="AG33">
        <x:f>IF(AND(AG$3&gt;=$B$31,AF$3&gt;=$B$31),IF(YEAR(AG$3)=YEAR(AF$3),AF33+AG32,AG32),AF33+AG32)</x:f>
      </x:c>
      <x:c r="AH33">
        <x:f>IF(AND(AH$3&gt;=$B$31,AG$3&gt;=$B$31),IF(YEAR(AH$3)=YEAR(AG$3),AG33+AH32,AH32),AG33+AH32)</x:f>
      </x:c>
      <x:c r="AI33">
        <x:f>IF(AND(AI$3&gt;=$B$31,AH$3&gt;=$B$31),IF(YEAR(AI$3)=YEAR(AH$3),AH33+AI32,AI32),AH33+AI32)</x:f>
      </x:c>
      <x:c r="AJ33">
        <x:f>IF(AND(AJ$3&gt;=$B$31,AI$3&gt;=$B$31),IF(YEAR(AJ$3)=YEAR(AI$3),AI33+AJ32,AJ32),AI33+AJ32)</x:f>
      </x:c>
      <x:c r="AK33">
        <x:f>IF(AND(AK$3&gt;=$B$31,AJ$3&gt;=$B$31),IF(YEAR(AK$3)=YEAR(AJ$3),AJ33+AK32,AK32),AJ33+AK32)</x:f>
      </x:c>
      <x:c r="AL33">
        <x:f>IF(AND(AL$3&gt;=$B$31,AK$3&gt;=$B$31),IF(YEAR(AL$3)=YEAR(AK$3),AK33+AL32,AL32),AK33+AL32)</x:f>
      </x:c>
      <x:c r="AM33">
        <x:f>IF(AND(AM$3&gt;=$B$31,AL$3&gt;=$B$31),IF(YEAR(AM$3)=YEAR(AL$3),AL33+AM32,AM32),AL33+AM32)</x:f>
      </x:c>
      <x:c r="AN33">
        <x:f>IF(AND(AN$3&gt;=$B$31,AM$3&gt;=$B$31),IF(YEAR(AN$3)=YEAR(AM$3),AM33+AN32,AN32),AM33+AN32)</x:f>
      </x:c>
      <x:c r="AO33">
        <x:f>IF(AND(AO$3&gt;=$B$31,AN$3&gt;=$B$31),IF(YEAR(AO$3)=YEAR(AN$3),AN33+AO32,AO32),AN33+AO32)</x:f>
      </x:c>
      <x:c r="AP33">
        <x:f>IF(AND(AP$3&gt;=$B$31,AO$3&gt;=$B$31),IF(YEAR(AP$3)=YEAR(AO$3),AO33+AP32,AP32),AO33+AP32)</x:f>
      </x:c>
      <x:c r="AQ33">
        <x:f>IF(AND(AQ$3&gt;=$B$31,AP$3&gt;=$B$31),IF(YEAR(AQ$3)=YEAR(AP$3),AP33+AQ32,AQ32),AP33+AQ32)</x:f>
      </x:c>
      <x:c r="AR33">
        <x:f>IF(AND(AR$3&gt;=$B$31,AQ$3&gt;=$B$31),IF(YEAR(AR$3)=YEAR(AQ$3),AQ33+AR32,AR32),AQ33+AR32)</x:f>
      </x:c>
      <x:c r="AS33">
        <x:f>IF(AND(AS$3&gt;=$B$31,AR$3&gt;=$B$31),IF(YEAR(AS$3)=YEAR(AR$3),AR33+AS32,AS32),AR33+AS32)</x:f>
      </x:c>
      <x:c r="AT33">
        <x:f>IF(AND(AT$3&gt;=$B$31,AS$3&gt;=$B$31),IF(YEAR(AT$3)=YEAR(AS$3),AS33+AT32,AT32),AS33+AT32)</x:f>
      </x:c>
      <x:c r="AU33">
        <x:f>IF(AND(AU$3&gt;=$B$31,AT$3&gt;=$B$31),IF(YEAR(AU$3)=YEAR(AT$3),AT33+AU32,AU32),AT33+AU32)</x:f>
      </x:c>
      <x:c r="AV33">
        <x:f>IF(AND(AV$3&gt;=$B$31,AU$3&gt;=$B$31),IF(YEAR(AV$3)=YEAR(AU$3),AU33+AV32,AV32),AU33+AV32)</x:f>
      </x:c>
      <x:c r="AW33">
        <x:f>IF(AND(AW$3&gt;=$B$31,AV$3&gt;=$B$31),IF(YEAR(AW$3)=YEAR(AV$3),AV33+AW32,AW32),AV33+AW32)</x:f>
      </x:c>
      <x:c r="AX33">
        <x:f>IF(AND(AX$3&gt;=$B$31,AW$3&gt;=$B$31),IF(YEAR(AX$3)=YEAR(AW$3),AW33+AX32,AX32),AW33+AX32)</x:f>
      </x:c>
      <x:c r="AY33">
        <x:f>IF(AND(AY$3&gt;=$B$31,AX$3&gt;=$B$31),IF(YEAR(AY$3)=YEAR(AX$3),AX33+AY32,AY32),AX33+AY32)</x:f>
      </x:c>
      <x:c r="AZ33">
        <x:f>IF(AND(AZ$3&gt;=$B$31,AY$3&gt;=$B$31),IF(YEAR(AZ$3)=YEAR(AY$3),AY33+AZ32,AZ32),AY33+AZ32)</x:f>
      </x:c>
      <x:c r="BA33">
        <x:f>IF(AND(BA$3&gt;=$B$31,AZ$3&gt;=$B$31),IF(YEAR(BA$3)=YEAR(AZ$3),AZ33+BA32,BA32),AZ33+BA32)</x:f>
      </x:c>
      <x:c r="BB33">
        <x:f>IF(AND(BB$3&gt;=$B$31,BA$3&gt;=$B$31),IF(YEAR(BB$3)=YEAR(BA$3),BA33+BB32,BB32),BA33+BB32)</x:f>
      </x:c>
      <x:c r="BC33">
        <x:f>IF(AND(BC$3&gt;=$B$31,BB$3&gt;=$B$31),IF(YEAR(BC$3)=YEAR(BB$3),BB33+BC32,BC32),BB33+BC32)</x:f>
      </x:c>
      <x:c r="BD33">
        <x:f>IF(AND(BD$3&gt;=$B$31,BC$3&gt;=$B$31),IF(YEAR(BD$3)=YEAR(BC$3),BC33+BD32,BD32),BC33+BD32)</x:f>
      </x:c>
      <x:c r="BE33">
        <x:f>IF(AND(BE$3&gt;=$B$31,BD$3&gt;=$B$31),IF(YEAR(BE$3)=YEAR(BD$3),BD33+BE32,BE32),BD33+BE32)</x:f>
      </x:c>
      <x:c r="BF33">
        <x:f>IF(AND(BF$3&gt;=$B$31,BE$3&gt;=$B$31),IF(YEAR(BF$3)=YEAR(BE$3),BE33+BF32,BF32),BE33+BF32)</x:f>
      </x:c>
      <x:c r="BG33">
        <x:f>IF(AND(BG$3&gt;=$B$31,BF$3&gt;=$B$31),IF(YEAR(BG$3)=YEAR(BF$3),BF33+BG32,BG32),BF33+BG32)</x:f>
      </x:c>
      <x:c r="BH33">
        <x:f>IF(AND(BH$3&gt;=$B$31,BG$3&gt;=$B$31),IF(YEAR(BH$3)=YEAR(BG$3),BG33+BH32,BH32),BG33+BH32)</x:f>
      </x:c>
      <x:c r="BI33">
        <x:f>IF(AND(BI$3&gt;=$B$31,BH$3&gt;=$B$31),IF(YEAR(BI$3)=YEAR(BH$3),BH33+BI32,BI32),BH33+BI32)</x:f>
      </x:c>
      <x:c r="BJ33">
        <x:f>IF(AND(BJ$3&gt;=$B$31,BI$3&gt;=$B$31),IF(YEAR(BJ$3)=YEAR(BI$3),BI33+BJ32,BJ32),BI33+BJ32)</x:f>
      </x:c>
      <x:c r="BK33">
        <x:f>IF(AND(BK$3&gt;=$B$31,BJ$3&gt;=$B$31),IF(YEAR(BK$3)=YEAR(BJ$3),BJ33+BK32,BK32),BJ33+BK32)</x:f>
      </x:c>
      <x:c r="BL33">
        <x:f>IF(AND(BL$3&gt;=$B$31,BK$3&gt;=$B$31),IF(YEAR(BL$3)=YEAR(BK$3),BK33+BL32,BL32),BK33+BL32)</x:f>
      </x:c>
      <x:c r="BM33">
        <x:f>IF(AND(BM$3&gt;=$B$31,BL$3&gt;=$B$31),IF(YEAR(BM$3)=YEAR(BL$3),BL33+BM32,BM32),BL33+BM32)</x:f>
      </x:c>
      <x:c r="BN33">
        <x:f>IF(AND(BN$3&gt;=$B$31,BM$3&gt;=$B$31),IF(YEAR(BN$3)=YEAR(BM$3),BM33+BN32,BN32),BM33+BN32)</x:f>
      </x:c>
      <x:c r="BO33">
        <x:f>IF(AND(BO$3&gt;=$B$31,BN$3&gt;=$B$31),IF(YEAR(BO$3)=YEAR(BN$3),BN33+BO32,BO32),BN33+BO32)</x:f>
      </x:c>
      <x:c r="BP33">
        <x:f>IF(AND(BP$3&gt;=$B$31,BO$3&gt;=$B$31),IF(YEAR(BP$3)=YEAR(BO$3),BO33+BP32,BP32),BO33+BP32)</x:f>
      </x:c>
      <x:c r="BQ33">
        <x:f>IF(AND(BQ$3&gt;=$B$31,BP$3&gt;=$B$31),IF(YEAR(BQ$3)=YEAR(BP$3),BP33+BQ32,BQ32),BP33+BQ32)</x:f>
      </x:c>
      <x:c r="BR33">
        <x:f>IF(AND(BR$3&gt;=$B$31,BQ$3&gt;=$B$31),IF(YEAR(BR$3)=YEAR(BQ$3),BQ33+BR32,BR32),BQ33+BR32)</x:f>
      </x:c>
      <x:c r="BS33">
        <x:f>IF(AND(BS$3&gt;=$B$31,BR$3&gt;=$B$31),IF(YEAR(BS$3)=YEAR(BR$3),BR33+BS32,BS32),BR33+BS32)</x:f>
      </x:c>
      <x:c r="BT33">
        <x:f>IF(AND(BT$3&gt;=$B$31,BS$3&gt;=$B$31),IF(YEAR(BT$3)=YEAR(BS$3),BS33+BT32,BT32),BS33+BT32)</x:f>
      </x:c>
      <x:c r="BU33">
        <x:f>IF(AND(BU$3&gt;=$B$31,BT$3&gt;=$B$31),IF(YEAR(BU$3)=YEAR(BT$3),BT33+BU32,BU32),BT33+BU32)</x:f>
      </x:c>
      <x:c r="BV33">
        <x:f>IF(AND(BV$3&gt;=$B$31,BU$3&gt;=$B$31),IF(YEAR(BV$3)=YEAR(BU$3),BU33+BV32,BV32),BU33+BV32)</x:f>
      </x:c>
      <x:c r="BW33">
        <x:f>IF(AND(BW$3&gt;=$B$31,BV$3&gt;=$B$31),IF(YEAR(BW$3)=YEAR(BV$3),BV33+BW32,BW32),BV33+BW32)</x:f>
      </x:c>
      <x:c r="BX33">
        <x:f>IF(AND(BX$3&gt;=$B$31,BW$3&gt;=$B$31),IF(YEAR(BX$3)=YEAR(BW$3),BW33+BX32,BX32),BW33+BX32)</x:f>
      </x:c>
      <x:c r="BY33">
        <x:f>IF(AND(BY$3&gt;=$B$31,BX$3&gt;=$B$31),IF(YEAR(BY$3)=YEAR(BX$3),BX33+BY32,BY32),BX33+BY32)</x:f>
      </x:c>
      <x:c r="BZ33">
        <x:f>IF(AND(BZ$3&gt;=$B$31,BY$3&gt;=$B$31),IF(YEAR(BZ$3)=YEAR(BY$3),BY33+BZ32,BZ32),BY33+BZ32)</x:f>
      </x:c>
      <x:c r="CA33">
        <x:f>IF(AND(CA$3&gt;=$B$31,BZ$3&gt;=$B$31),IF(YEAR(CA$3)=YEAR(BZ$3),BZ33+CA32,CA32),BZ33+CA32)</x:f>
      </x:c>
      <x:c r="CB33">
        <x:f>IF(AND(CB$3&gt;=$B$31,CA$3&gt;=$B$31),IF(YEAR(CB$3)=YEAR(CA$3),CA33+CB32,CB32),CA33+CB32)</x:f>
      </x:c>
      <x:c r="CC33">
        <x:f>IF(AND(CC$3&gt;=$B$31,CB$3&gt;=$B$31),IF(YEAR(CC$3)=YEAR(CB$3),CB33+CC32,CC32),CB33+CC32)</x:f>
      </x:c>
      <x:c r="CD33">
        <x:f>IF(AND(CD$3&gt;=$B$31,CC$3&gt;=$B$31),IF(YEAR(CD$3)=YEAR(CC$3),CC33+CD32,CD32),CC33+CD32)</x:f>
      </x:c>
      <x:c r="CE33">
        <x:f>IF(AND(CE$3&gt;=$B$31,CD$3&gt;=$B$31),IF(YEAR(CE$3)=YEAR(CD$3),CD33+CE32,CE32),CD33+CE32)</x:f>
      </x:c>
      <x:c r="CF33">
        <x:f>IF(AND(CF$3&gt;=$B$31,CE$3&gt;=$B$31),IF(YEAR(CF$3)=YEAR(CE$3),CE33+CF32,CF32),CE33+CF32)</x:f>
      </x:c>
      <x:c r="CG33">
        <x:f>IF(AND(CG$3&gt;=$B$31,CF$3&gt;=$B$31),IF(YEAR(CG$3)=YEAR(CF$3),CF33+CG32,CG32),CF33+CG32)</x:f>
      </x:c>
      <x:c r="CH33">
        <x:f>IF(AND(CH$3&gt;=$B$31,CG$3&gt;=$B$31),IF(YEAR(CH$3)=YEAR(CG$3),CG33+CH32,CH32),CG33+CH32)</x:f>
      </x:c>
      <x:c r="CI33">
        <x:f>IF(AND(CI$3&gt;=$B$31,CH$3&gt;=$B$31),IF(YEAR(CI$3)=YEAR(CH$3),CH33+CI32,CI32),CH33+CI32)</x:f>
      </x:c>
      <x:c r="CJ33">
        <x:f>IF(AND(CJ$3&gt;=$B$31,CI$3&gt;=$B$31),IF(YEAR(CJ$3)=YEAR(CI$3),CI33+CJ32,CJ32),CI33+CJ32)</x:f>
      </x:c>
      <x:c r="CK33">
        <x:f>IF(AND(CK$3&gt;=$B$31,CJ$3&gt;=$B$31),IF(YEAR(CK$3)=YEAR(CJ$3),CJ33+CK32,CK32),CJ33+CK32)</x:f>
      </x:c>
      <x:c r="CL33">
        <x:f>IF(AND(CL$3&gt;=$B$31,CK$3&gt;=$B$31),IF(YEAR(CL$3)=YEAR(CK$3),CK33+CL32,CL32),CK33+CL32)</x:f>
      </x:c>
      <x:c r="CM33">
        <x:f>IF(AND(CM$3&gt;=$B$31,CL$3&gt;=$B$31),IF(YEAR(CM$3)=YEAR(CL$3),CL33+CM32,CM32),CL33+CM32)</x:f>
      </x:c>
      <x:c r="CN33">
        <x:f>IF(AND(CN$3&gt;=$B$31,CM$3&gt;=$B$31),IF(YEAR(CN$3)=YEAR(CM$3),CM33+CN32,CN32),CM33+CN32)</x:f>
      </x:c>
      <x:c r="CO33">
        <x:f>IF(AND(CO$3&gt;=$B$31,CN$3&gt;=$B$31),IF(YEAR(CO$3)=YEAR(CN$3),CN33+CO32,CO32),CN33+CO32)</x:f>
      </x:c>
      <x:c r="CP33">
        <x:f>IF(AND(CP$3&gt;=$B$31,CO$3&gt;=$B$31),IF(YEAR(CP$3)=YEAR(CO$3),CO33+CP32,CP32),CO33+CP32)</x:f>
      </x:c>
      <x:c r="CQ33">
        <x:f>IF(AND(CQ$3&gt;=$B$31,CP$3&gt;=$B$31),IF(YEAR(CQ$3)=YEAR(CP$3),CP33+CQ32,CQ32),CP33+CQ32)</x:f>
      </x:c>
      <x:c r="CR33">
        <x:f>IF(AND(CR$3&gt;=$B$31,CQ$3&gt;=$B$31),IF(YEAR(CR$3)=YEAR(CQ$3),CQ33+CR32,CR32),CQ33+CR32)</x:f>
      </x:c>
      <x:c r="CS33">
        <x:f>IF(AND(CS$3&gt;=$B$31,CR$3&gt;=$B$31),IF(YEAR(CS$3)=YEAR(CR$3),CR33+CS32,CS32),CR33+CS32)</x:f>
      </x:c>
      <x:c r="CT33">
        <x:f>IF(AND(CT$3&gt;=$B$31,CS$3&gt;=$B$31),IF(YEAR(CT$3)=YEAR(CS$3),CS33+CT32,CT32),CS33+CT32)</x:f>
      </x:c>
      <x:c r="CU33">
        <x:f>IF(AND(CU$3&gt;=$B$31,CT$3&gt;=$B$31),IF(YEAR(CU$3)=YEAR(CT$3),CT33+CU32,CU32),CT33+CU32)</x:f>
      </x:c>
      <x:c r="CV33">
        <x:f>IF(AND(CV$3&gt;=$B$31,CU$3&gt;=$B$31),IF(YEAR(CV$3)=YEAR(CU$3),CU33+CV32,CV32),CU33+CV32)</x:f>
      </x:c>
      <x:c r="CW33">
        <x:f>IF(AND(CW$3&gt;=$B$31,CV$3&gt;=$B$31),IF(YEAR(CW$3)=YEAR(CV$3),CV33+CW32,CW32),CV33+CW32)</x:f>
      </x:c>
      <x:c r="CX33">
        <x:f>IF(AND(CX$3&gt;=$B$31,CW$3&gt;=$B$31),IF(YEAR(CX$3)=YEAR(CW$3),CW33+CX32,CX32),CW33+CX32)</x:f>
      </x:c>
      <x:c r="CY33">
        <x:f>IF(AND(CY$3&gt;=$B$31,CX$3&gt;=$B$31),IF(YEAR(CY$3)=YEAR(CX$3),CX33+CY32,CY32),CX33+CY32)</x:f>
      </x:c>
      <x:c r="CZ33">
        <x:f>IF(AND(CZ$3&gt;=$B$31,CY$3&gt;=$B$31),IF(YEAR(CZ$3)=YEAR(CY$3),CY33+CZ32,CZ32),CY33+CZ32)</x:f>
      </x:c>
      <x:c r="DA33">
        <x:f>IF(AND(DA$3&gt;=$B$31,CZ$3&gt;=$B$31),IF(YEAR(DA$3)=YEAR(CZ$3),CZ33+DA32,DA32),CZ33+DA32)</x:f>
      </x:c>
      <x:c r="DB33">
        <x:f>IF(AND(DB$3&gt;=$B$31,DA$3&gt;=$B$31),IF(YEAR(DB$3)=YEAR(DA$3),DA33+DB32,DB32),DA33+DB32)</x:f>
      </x:c>
      <x:c r="DC33">
        <x:f>IF(AND(DC$3&gt;=$B$31,DB$3&gt;=$B$31),IF(YEAR(DC$3)=YEAR(DB$3),DB33+DC32,DC32),DB33+DC32)</x:f>
      </x:c>
      <x:c r="DD33">
        <x:f>IF(AND(DD$3&gt;=$B$31,DC$3&gt;=$B$31),IF(YEAR(DD$3)=YEAR(DC$3),DC33+DD32,DD32),DC33+DD32)</x:f>
      </x:c>
      <x:c r="DE33">
        <x:f>IF(AND(DE$3&gt;=$B$31,DD$3&gt;=$B$31),IF(YEAR(DE$3)=YEAR(DD$3),DD33+DE32,DE32),DD33+DE32)</x:f>
      </x:c>
      <x:c r="DF33">
        <x:f>IF(AND(DF$3&gt;=$B$31,DE$3&gt;=$B$31),IF(YEAR(DF$3)=YEAR(DE$3),DE33+DF32,DF32),DE33+DF32)</x:f>
      </x:c>
      <x:c r="DG33">
        <x:f>IF(AND(DG$3&gt;=$B$31,DF$3&gt;=$B$31),IF(YEAR(DG$3)=YEAR(DF$3),DF33+DG32,DG32),DF33+DG32)</x:f>
      </x:c>
      <x:c r="DH33">
        <x:f>IF(AND(DH$3&gt;=$B$31,DG$3&gt;=$B$31),IF(YEAR(DH$3)=YEAR(DG$3),DG33+DH32,DH32),DG33+DH32)</x:f>
      </x:c>
      <x:c r="DI33">
        <x:f>IF(AND(DI$3&gt;=$B$31,DH$3&gt;=$B$31),IF(YEAR(DI$3)=YEAR(DH$3),DH33+DI32,DI32),DH33+DI32)</x:f>
      </x:c>
      <x:c r="DJ33">
        <x:f>IF(AND(DJ$3&gt;=$B$31,DI$3&gt;=$B$31),IF(YEAR(DJ$3)=YEAR(DI$3),DI33+DJ32,DJ32),DI33+DJ32)</x:f>
      </x:c>
      <x:c r="DK33">
        <x:f>IF(AND(DK$3&gt;=$B$31,DJ$3&gt;=$B$31),IF(YEAR(DK$3)=YEAR(DJ$3),DJ33+DK32,DK32),DJ33+DK32)</x:f>
      </x:c>
      <x:c r="DL33">
        <x:f>IF(AND(DL$3&gt;=$B$31,DK$3&gt;=$B$31),IF(YEAR(DL$3)=YEAR(DK$3),DK33+DL32,DL32),DK33+DL32)</x:f>
      </x:c>
      <x:c r="DM33">
        <x:f>IF(AND(DM$3&gt;=$B$31,DL$3&gt;=$B$31),IF(YEAR(DM$3)=YEAR(DL$3),DL33+DM32,DM32),DL33+DM32)</x:f>
      </x:c>
      <x:c r="DN33">
        <x:f>IF(AND(DN$3&gt;=$B$31,DM$3&gt;=$B$31),IF(YEAR(DN$3)=YEAR(DM$3),DM33+DN32,DN32),DM33+DN32)</x:f>
      </x:c>
      <x:c r="DO33">
        <x:f>IF(AND(DO$3&gt;=$B$31,DN$3&gt;=$B$31),IF(YEAR(DO$3)=YEAR(DN$3),DN33+DO32,DO32),DN33+DO32)</x:f>
      </x:c>
      <x:c r="DP33">
        <x:f>IF(AND(DP$3&gt;=$B$31,DO$3&gt;=$B$31),IF(YEAR(DP$3)=YEAR(DO$3),DO33+DP32,DP32),DO33+DP32)</x:f>
      </x:c>
      <x:c r="DQ33">
        <x:f>IF(AND(DQ$3&gt;=$B$31,DP$3&gt;=$B$31),IF(YEAR(DQ$3)=YEAR(DP$3),DP33+DQ32,DQ32),DP33+DQ32)</x:f>
      </x:c>
      <x:c r="DR33">
        <x:f>IF(AND(DR$3&gt;=$B$31,DQ$3&gt;=$B$31),IF(YEAR(DR$3)=YEAR(DQ$3),DQ33+DR32,DR32),DQ33+DR32)</x:f>
      </x:c>
      <x:c r="DS33">
        <x:f>IF(AND(DS$3&gt;=$B$31,DR$3&gt;=$B$31),IF(YEAR(DS$3)=YEAR(DR$3),DR33+DS32,DS32),DR33+DS32)</x:f>
      </x:c>
    </x:row>
    <x:row r="34">
      <x:c r="A34" t="inlineStr">
        <x:is>
          <x:t>Убыток прошлых лет к зачёту</x:t>
        </x:is>
      </x:c>
      <x:c r="D34">
        <x:v>0</x:v>
      </x:c>
      <x:c r="E34">
        <x:f>IF(AND(E$3&gt;=$B$31,D$3&gt;=$B$31),IF(YEAR(E$3)=YEAR(D$3),D34,D34+MAX(-D33,0)-IF(D33&gt;0,D35,0)),D34)</x:f>
      </x:c>
      <x:c r="F34">
        <x:f>IF(AND(F$3&gt;=$B$31,E$3&gt;=$B$31),IF(YEAR(F$3)=YEAR(E$3),E34,E34+MAX(-E33,0)-IF(E33&gt;0,E35,0)),E34)</x:f>
      </x:c>
      <x:c r="G34">
        <x:f>IF(AND(G$3&gt;=$B$31,F$3&gt;=$B$31),IF(YEAR(G$3)=YEAR(F$3),F34,F34+MAX(-F33,0)-IF(F33&gt;0,F35,0)),F34)</x:f>
      </x:c>
      <x:c r="H34">
        <x:f>IF(AND(H$3&gt;=$B$31,G$3&gt;=$B$31),IF(YEAR(H$3)=YEAR(G$3),G34,G34+MAX(-G33,0)-IF(G33&gt;0,G35,0)),G34)</x:f>
      </x:c>
      <x:c r="I34">
        <x:f>IF(AND(I$3&gt;=$B$31,H$3&gt;=$B$31),IF(YEAR(I$3)=YEAR(H$3),H34,H34+MAX(-H33,0)-IF(H33&gt;0,H35,0)),H34)</x:f>
      </x:c>
      <x:c r="J34">
        <x:f>IF(AND(J$3&gt;=$B$31,I$3&gt;=$B$31),IF(YEAR(J$3)=YEAR(I$3),I34,I34+MAX(-I33,0)-IF(I33&gt;0,I35,0)),I34)</x:f>
      </x:c>
      <x:c r="K34">
        <x:f>IF(AND(K$3&gt;=$B$31,J$3&gt;=$B$31),IF(YEAR(K$3)=YEAR(J$3),J34,J34+MAX(-J33,0)-IF(J33&gt;0,J35,0)),J34)</x:f>
      </x:c>
      <x:c r="L34">
        <x:f>IF(AND(L$3&gt;=$B$31,K$3&gt;=$B$31),IF(YEAR(L$3)=YEAR(K$3),K34,K34+MAX(-K33,0)-IF(K33&gt;0,K35,0)),K34)</x:f>
      </x:c>
      <x:c r="M34">
        <x:f>IF(AND(M$3&gt;=$B$31,L$3&gt;=$B$31),IF(YEAR(M$3)=YEAR(L$3),L34,L34+MAX(-L33,0)-IF(L33&gt;0,L35,0)),L34)</x:f>
      </x:c>
      <x:c r="N34">
        <x:f>IF(AND(N$3&gt;=$B$31,M$3&gt;=$B$31),IF(YEAR(N$3)=YEAR(M$3),M34,M34+MAX(-M33,0)-IF(M33&gt;0,M35,0)),M34)</x:f>
      </x:c>
      <x:c r="O34">
        <x:f>IF(AND(O$3&gt;=$B$31,N$3&gt;=$B$31),IF(YEAR(O$3)=YEAR(N$3),N34,N34+MAX(-N33,0)-IF(N33&gt;0,N35,0)),N34)</x:f>
      </x:c>
      <x:c r="P34">
        <x:f>IF(AND(P$3&gt;=$B$31,O$3&gt;=$B$31),IF(YEAR(P$3)=YEAR(O$3),O34,O34+MAX(-O33,0)-IF(O33&gt;0,O35,0)),O34)</x:f>
      </x:c>
      <x:c r="Q34">
        <x:f>IF(AND(Q$3&gt;=$B$31,P$3&gt;=$B$31),IF(YEAR(Q$3)=YEAR(P$3),P34,P34+MAX(-P33,0)-IF(P33&gt;0,P35,0)),P34)</x:f>
      </x:c>
      <x:c r="R34">
        <x:f>IF(AND(R$3&gt;=$B$31,Q$3&gt;=$B$31),IF(YEAR(R$3)=YEAR(Q$3),Q34,Q34+MAX(-Q33,0)-IF(Q33&gt;0,Q35,0)),Q34)</x:f>
      </x:c>
      <x:c r="S34">
        <x:f>IF(AND(S$3&gt;=$B$31,R$3&gt;=$B$31),IF(YEAR(S$3)=YEAR(R$3),R34,R34+MAX(-R33,0)-IF(R33&gt;0,R35,0)),R34)</x:f>
      </x:c>
      <x:c r="T34">
        <x:f>IF(AND(T$3&gt;=$B$31,S$3&gt;=$B$31),IF(YEAR(T$3)=YEAR(S$3),S34,S34+MAX(-S33,0)-IF(S33&gt;0,S35,0)),S34)</x:f>
      </x:c>
      <x:c r="U34">
        <x:f>IF(AND(U$3&gt;=$B$31,T$3&gt;=$B$31),IF(YEAR(U$3)=YEAR(T$3),T34,T34+MAX(-T33,0)-IF(T33&gt;0,T35,0)),T34)</x:f>
      </x:c>
      <x:c r="V34">
        <x:f>IF(AND(V$3&gt;=$B$31,U$3&gt;=$B$31),IF(YEAR(V$3)=YEAR(U$3),U34,U34+MAX(-U33,0)-IF(U33&gt;0,U35,0)),U34)</x:f>
      </x:c>
      <x:c r="W34">
        <x:f>IF(AND(W$3&gt;=$B$31,V$3&gt;=$B$31),IF(YEAR(W$3)=YEAR(V$3),V34,V34+MAX(-V33,0)-IF(V33&gt;0,V35,0)),V34)</x:f>
      </x:c>
      <x:c r="X34">
        <x:f>IF(AND(X$3&gt;=$B$31,W$3&gt;=$B$31),IF(YEAR(X$3)=YEAR(W$3),W34,W34+MAX(-W33,0)-IF(W33&gt;0,W35,0)),W34)</x:f>
      </x:c>
      <x:c r="Y34">
        <x:f>IF(AND(Y$3&gt;=$B$31,X$3&gt;=$B$31),IF(YEAR(Y$3)=YEAR(X$3),X34,X34+MAX(-X33,0)-IF(X33&gt;0,X35,0)),X34)</x:f>
      </x:c>
      <x:c r="Z34">
        <x:f>IF(AND(Z$3&gt;=$B$31,Y$3&gt;=$B$31),IF(YEAR(Z$3)=YEAR(Y$3),Y34,Y34+MAX(-Y33,0)-IF(Y33&gt;0,Y35,0)),Y34)</x:f>
      </x:c>
      <x:c r="AA34">
        <x:f>IF(AND(AA$3&gt;=$B$31,Z$3&gt;=$B$31),IF(YEAR(AA$3)=YEAR(Z$3),Z34,Z34+MAX(-Z33,0)-IF(Z33&gt;0,Z35,0)),Z34)</x:f>
      </x:c>
      <x:c r="AB34">
        <x:f>IF(AND(AB$3&gt;=$B$31,AA$3&gt;=$B$31),IF(YEAR(AB$3)=YEAR(AA$3),AA34,AA34+MAX(-AA33,0)-IF(AA33&gt;0,AA35,0)),AA34)</x:f>
      </x:c>
      <x:c r="AC34">
        <x:f>IF(AND(AC$3&gt;=$B$31,AB$3&gt;=$B$31),IF(YEAR(AC$3)=YEAR(AB$3),AB34,AB34+MAX(-AB33,0)-IF(AB33&gt;0,AB35,0)),AB34)</x:f>
      </x:c>
      <x:c r="AD34">
        <x:f>IF(AND(AD$3&gt;=$B$31,AC$3&gt;=$B$31),IF(YEAR(AD$3)=YEAR(AC$3),AC34,AC34+MAX(-AC33,0)-IF(AC33&gt;0,AC35,0)),AC34)</x:f>
      </x:c>
      <x:c r="AE34">
        <x:f>IF(AND(AE$3&gt;=$B$31,AD$3&gt;=$B$31),IF(YEAR(AE$3)=YEAR(AD$3),AD34,AD34+MAX(-AD33,0)-IF(AD33&gt;0,AD35,0)),AD34)</x:f>
      </x:c>
      <x:c r="AF34">
        <x:f>IF(AND(AF$3&gt;=$B$31,AE$3&gt;=$B$31),IF(YEAR(AF$3)=YEAR(AE$3),AE34,AE34+MAX(-AE33,0)-IF(AE33&gt;0,AE35,0)),AE34)</x:f>
      </x:c>
      <x:c r="AG34">
        <x:f>IF(AND(AG$3&gt;=$B$31,AF$3&gt;=$B$31),IF(YEAR(AG$3)=YEAR(AF$3),AF34,AF34+MAX(-AF33,0)-IF(AF33&gt;0,AF35,0)),AF34)</x:f>
      </x:c>
      <x:c r="AH34">
        <x:f>IF(AND(AH$3&gt;=$B$31,AG$3&gt;=$B$31),IF(YEAR(AH$3)=YEAR(AG$3),AG34,AG34+MAX(-AG33,0)-IF(AG33&gt;0,AG35,0)),AG34)</x:f>
      </x:c>
      <x:c r="AI34">
        <x:f>IF(AND(AI$3&gt;=$B$31,AH$3&gt;=$B$31),IF(YEAR(AI$3)=YEAR(AH$3),AH34,AH34+MAX(-AH33,0)-IF(AH33&gt;0,AH35,0)),AH34)</x:f>
      </x:c>
      <x:c r="AJ34">
        <x:f>IF(AND(AJ$3&gt;=$B$31,AI$3&gt;=$B$31),IF(YEAR(AJ$3)=YEAR(AI$3),AI34,AI34+MAX(-AI33,0)-IF(AI33&gt;0,AI35,0)),AI34)</x:f>
      </x:c>
      <x:c r="AK34">
        <x:f>IF(AND(AK$3&gt;=$B$31,AJ$3&gt;=$B$31),IF(YEAR(AK$3)=YEAR(AJ$3),AJ34,AJ34+MAX(-AJ33,0)-IF(AJ33&gt;0,AJ35,0)),AJ34)</x:f>
      </x:c>
      <x:c r="AL34">
        <x:f>IF(AND(AL$3&gt;=$B$31,AK$3&gt;=$B$31),IF(YEAR(AL$3)=YEAR(AK$3),AK34,AK34+MAX(-AK33,0)-IF(AK33&gt;0,AK35,0)),AK34)</x:f>
      </x:c>
      <x:c r="AM34">
        <x:f>IF(AND(AM$3&gt;=$B$31,AL$3&gt;=$B$31),IF(YEAR(AM$3)=YEAR(AL$3),AL34,AL34+MAX(-AL33,0)-IF(AL33&gt;0,AL35,0)),AL34)</x:f>
      </x:c>
      <x:c r="AN34">
        <x:f>IF(AND(AN$3&gt;=$B$31,AM$3&gt;=$B$31),IF(YEAR(AN$3)=YEAR(AM$3),AM34,AM34+MAX(-AM33,0)-IF(AM33&gt;0,AM35,0)),AM34)</x:f>
      </x:c>
      <x:c r="AO34">
        <x:f>IF(AND(AO$3&gt;=$B$31,AN$3&gt;=$B$31),IF(YEAR(AO$3)=YEAR(AN$3),AN34,AN34+MAX(-AN33,0)-IF(AN33&gt;0,AN35,0)),AN34)</x:f>
      </x:c>
      <x:c r="AP34">
        <x:f>IF(AND(AP$3&gt;=$B$31,AO$3&gt;=$B$31),IF(YEAR(AP$3)=YEAR(AO$3),AO34,AO34+MAX(-AO33,0)-IF(AO33&gt;0,AO35,0)),AO34)</x:f>
      </x:c>
      <x:c r="AQ34">
        <x:f>IF(AND(AQ$3&gt;=$B$31,AP$3&gt;=$B$31),IF(YEAR(AQ$3)=YEAR(AP$3),AP34,AP34+MAX(-AP33,0)-IF(AP33&gt;0,AP35,0)),AP34)</x:f>
      </x:c>
      <x:c r="AR34">
        <x:f>IF(AND(AR$3&gt;=$B$31,AQ$3&gt;=$B$31),IF(YEAR(AR$3)=YEAR(AQ$3),AQ34,AQ34+MAX(-AQ33,0)-IF(AQ33&gt;0,AQ35,0)),AQ34)</x:f>
      </x:c>
      <x:c r="AS34">
        <x:f>IF(AND(AS$3&gt;=$B$31,AR$3&gt;=$B$31),IF(YEAR(AS$3)=YEAR(AR$3),AR34,AR34+MAX(-AR33,0)-IF(AR33&gt;0,AR35,0)),AR34)</x:f>
      </x:c>
      <x:c r="AT34">
        <x:f>IF(AND(AT$3&gt;=$B$31,AS$3&gt;=$B$31),IF(YEAR(AT$3)=YEAR(AS$3),AS34,AS34+MAX(-AS33,0)-IF(AS33&gt;0,AS35,0)),AS34)</x:f>
      </x:c>
      <x:c r="AU34">
        <x:f>IF(AND(AU$3&gt;=$B$31,AT$3&gt;=$B$31),IF(YEAR(AU$3)=YEAR(AT$3),AT34,AT34+MAX(-AT33,0)-IF(AT33&gt;0,AT35,0)),AT34)</x:f>
      </x:c>
      <x:c r="AV34">
        <x:f>IF(AND(AV$3&gt;=$B$31,AU$3&gt;=$B$31),IF(YEAR(AV$3)=YEAR(AU$3),AU34,AU34+MAX(-AU33,0)-IF(AU33&gt;0,AU35,0)),AU34)</x:f>
      </x:c>
      <x:c r="AW34">
        <x:f>IF(AND(AW$3&gt;=$B$31,AV$3&gt;=$B$31),IF(YEAR(AW$3)=YEAR(AV$3),AV34,AV34+MAX(-AV33,0)-IF(AV33&gt;0,AV35,0)),AV34)</x:f>
      </x:c>
      <x:c r="AX34">
        <x:f>IF(AND(AX$3&gt;=$B$31,AW$3&gt;=$B$31),IF(YEAR(AX$3)=YEAR(AW$3),AW34,AW34+MAX(-AW33,0)-IF(AW33&gt;0,AW35,0)),AW34)</x:f>
      </x:c>
      <x:c r="AY34">
        <x:f>IF(AND(AY$3&gt;=$B$31,AX$3&gt;=$B$31),IF(YEAR(AY$3)=YEAR(AX$3),AX34,AX34+MAX(-AX33,0)-IF(AX33&gt;0,AX35,0)),AX34)</x:f>
      </x:c>
      <x:c r="AZ34">
        <x:f>IF(AND(AZ$3&gt;=$B$31,AY$3&gt;=$B$31),IF(YEAR(AZ$3)=YEAR(AY$3),AY34,AY34+MAX(-AY33,0)-IF(AY33&gt;0,AY35,0)),AY34)</x:f>
      </x:c>
      <x:c r="BA34">
        <x:f>IF(AND(BA$3&gt;=$B$31,AZ$3&gt;=$B$31),IF(YEAR(BA$3)=YEAR(AZ$3),AZ34,AZ34+MAX(-AZ33,0)-IF(AZ33&gt;0,AZ35,0)),AZ34)</x:f>
      </x:c>
      <x:c r="BB34">
        <x:f>IF(AND(BB$3&gt;=$B$31,BA$3&gt;=$B$31),IF(YEAR(BB$3)=YEAR(BA$3),BA34,BA34+MAX(-BA33,0)-IF(BA33&gt;0,BA35,0)),BA34)</x:f>
      </x:c>
      <x:c r="BC34">
        <x:f>IF(AND(BC$3&gt;=$B$31,BB$3&gt;=$B$31),IF(YEAR(BC$3)=YEAR(BB$3),BB34,BB34+MAX(-BB33,0)-IF(BB33&gt;0,BB35,0)),BB34)</x:f>
      </x:c>
      <x:c r="BD34">
        <x:f>IF(AND(BD$3&gt;=$B$31,BC$3&gt;=$B$31),IF(YEAR(BD$3)=YEAR(BC$3),BC34,BC34+MAX(-BC33,0)-IF(BC33&gt;0,BC35,0)),BC34)</x:f>
      </x:c>
      <x:c r="BE34">
        <x:f>IF(AND(BE$3&gt;=$B$31,BD$3&gt;=$B$31),IF(YEAR(BE$3)=YEAR(BD$3),BD34,BD34+MAX(-BD33,0)-IF(BD33&gt;0,BD35,0)),BD34)</x:f>
      </x:c>
      <x:c r="BF34">
        <x:f>IF(AND(BF$3&gt;=$B$31,BE$3&gt;=$B$31),IF(YEAR(BF$3)=YEAR(BE$3),BE34,BE34+MAX(-BE33,0)-IF(BE33&gt;0,BE35,0)),BE34)</x:f>
      </x:c>
      <x:c r="BG34">
        <x:f>IF(AND(BG$3&gt;=$B$31,BF$3&gt;=$B$31),IF(YEAR(BG$3)=YEAR(BF$3),BF34,BF34+MAX(-BF33,0)-IF(BF33&gt;0,BF35,0)),BF34)</x:f>
      </x:c>
      <x:c r="BH34">
        <x:f>IF(AND(BH$3&gt;=$B$31,BG$3&gt;=$B$31),IF(YEAR(BH$3)=YEAR(BG$3),BG34,BG34+MAX(-BG33,0)-IF(BG33&gt;0,BG35,0)),BG34)</x:f>
      </x:c>
      <x:c r="BI34">
        <x:f>IF(AND(BI$3&gt;=$B$31,BH$3&gt;=$B$31),IF(YEAR(BI$3)=YEAR(BH$3),BH34,BH34+MAX(-BH33,0)-IF(BH33&gt;0,BH35,0)),BH34)</x:f>
      </x:c>
      <x:c r="BJ34">
        <x:f>IF(AND(BJ$3&gt;=$B$31,BI$3&gt;=$B$31),IF(YEAR(BJ$3)=YEAR(BI$3),BI34,BI34+MAX(-BI33,0)-IF(BI33&gt;0,BI35,0)),BI34)</x:f>
      </x:c>
      <x:c r="BK34">
        <x:f>IF(AND(BK$3&gt;=$B$31,BJ$3&gt;=$B$31),IF(YEAR(BK$3)=YEAR(BJ$3),BJ34,BJ34+MAX(-BJ33,0)-IF(BJ33&gt;0,BJ35,0)),BJ34)</x:f>
      </x:c>
      <x:c r="BL34">
        <x:f>IF(AND(BL$3&gt;=$B$31,BK$3&gt;=$B$31),IF(YEAR(BL$3)=YEAR(BK$3),BK34,BK34+MAX(-BK33,0)-IF(BK33&gt;0,BK35,0)),BK34)</x:f>
      </x:c>
      <x:c r="BM34">
        <x:f>IF(AND(BM$3&gt;=$B$31,BL$3&gt;=$B$31),IF(YEAR(BM$3)=YEAR(BL$3),BL34,BL34+MAX(-BL33,0)-IF(BL33&gt;0,BL35,0)),BL34)</x:f>
      </x:c>
      <x:c r="BN34">
        <x:f>IF(AND(BN$3&gt;=$B$31,BM$3&gt;=$B$31),IF(YEAR(BN$3)=YEAR(BM$3),BM34,BM34+MAX(-BM33,0)-IF(BM33&gt;0,BM35,0)),BM34)</x:f>
      </x:c>
      <x:c r="BO34">
        <x:f>IF(AND(BO$3&gt;=$B$31,BN$3&gt;=$B$31),IF(YEAR(BO$3)=YEAR(BN$3),BN34,BN34+MAX(-BN33,0)-IF(BN33&gt;0,BN35,0)),BN34)</x:f>
      </x:c>
      <x:c r="BP34">
        <x:f>IF(AND(BP$3&gt;=$B$31,BO$3&gt;=$B$31),IF(YEAR(BP$3)=YEAR(BO$3),BO34,BO34+MAX(-BO33,0)-IF(BO33&gt;0,BO35,0)),BO34)</x:f>
      </x:c>
      <x:c r="BQ34">
        <x:f>IF(AND(BQ$3&gt;=$B$31,BP$3&gt;=$B$31),IF(YEAR(BQ$3)=YEAR(BP$3),BP34,BP34+MAX(-BP33,0)-IF(BP33&gt;0,BP35,0)),BP34)</x:f>
      </x:c>
      <x:c r="BR34">
        <x:f>IF(AND(BR$3&gt;=$B$31,BQ$3&gt;=$B$31),IF(YEAR(BR$3)=YEAR(BQ$3),BQ34,BQ34+MAX(-BQ33,0)-IF(BQ33&gt;0,BQ35,0)),BQ34)</x:f>
      </x:c>
      <x:c r="BS34">
        <x:f>IF(AND(BS$3&gt;=$B$31,BR$3&gt;=$B$31),IF(YEAR(BS$3)=YEAR(BR$3),BR34,BR34+MAX(-BR33,0)-IF(BR33&gt;0,BR35,0)),BR34)</x:f>
      </x:c>
      <x:c r="BT34">
        <x:f>IF(AND(BT$3&gt;=$B$31,BS$3&gt;=$B$31),IF(YEAR(BT$3)=YEAR(BS$3),BS34,BS34+MAX(-BS33,0)-IF(BS33&gt;0,BS35,0)),BS34)</x:f>
      </x:c>
      <x:c r="BU34">
        <x:f>IF(AND(BU$3&gt;=$B$31,BT$3&gt;=$B$31),IF(YEAR(BU$3)=YEAR(BT$3),BT34,BT34+MAX(-BT33,0)-IF(BT33&gt;0,BT35,0)),BT34)</x:f>
      </x:c>
      <x:c r="BV34">
        <x:f>IF(AND(BV$3&gt;=$B$31,BU$3&gt;=$B$31),IF(YEAR(BV$3)=YEAR(BU$3),BU34,BU34+MAX(-BU33,0)-IF(BU33&gt;0,BU35,0)),BU34)</x:f>
      </x:c>
      <x:c r="BW34">
        <x:f>IF(AND(BW$3&gt;=$B$31,BV$3&gt;=$B$31),IF(YEAR(BW$3)=YEAR(BV$3),BV34,BV34+MAX(-BV33,0)-IF(BV33&gt;0,BV35,0)),BV34)</x:f>
      </x:c>
      <x:c r="BX34">
        <x:f>IF(AND(BX$3&gt;=$B$31,BW$3&gt;=$B$31),IF(YEAR(BX$3)=YEAR(BW$3),BW34,BW34+MAX(-BW33,0)-IF(BW33&gt;0,BW35,0)),BW34)</x:f>
      </x:c>
      <x:c r="BY34">
        <x:f>IF(AND(BY$3&gt;=$B$31,BX$3&gt;=$B$31),IF(YEAR(BY$3)=YEAR(BX$3),BX34,BX34+MAX(-BX33,0)-IF(BX33&gt;0,BX35,0)),BX34)</x:f>
      </x:c>
      <x:c r="BZ34">
        <x:f>IF(AND(BZ$3&gt;=$B$31,BY$3&gt;=$B$31),IF(YEAR(BZ$3)=YEAR(BY$3),BY34,BY34+MAX(-BY33,0)-IF(BY33&gt;0,BY35,0)),BY34)</x:f>
      </x:c>
      <x:c r="CA34">
        <x:f>IF(AND(CA$3&gt;=$B$31,BZ$3&gt;=$B$31),IF(YEAR(CA$3)=YEAR(BZ$3),BZ34,BZ34+MAX(-BZ33,0)-IF(BZ33&gt;0,BZ35,0)),BZ34)</x:f>
      </x:c>
      <x:c r="CB34">
        <x:f>IF(AND(CB$3&gt;=$B$31,CA$3&gt;=$B$31),IF(YEAR(CB$3)=YEAR(CA$3),CA34,CA34+MAX(-CA33,0)-IF(CA33&gt;0,CA35,0)),CA34)</x:f>
      </x:c>
      <x:c r="CC34">
        <x:f>IF(AND(CC$3&gt;=$B$31,CB$3&gt;=$B$31),IF(YEAR(CC$3)=YEAR(CB$3),CB34,CB34+MAX(-CB33,0)-IF(CB33&gt;0,CB35,0)),CB34)</x:f>
      </x:c>
      <x:c r="CD34">
        <x:f>IF(AND(CD$3&gt;=$B$31,CC$3&gt;=$B$31),IF(YEAR(CD$3)=YEAR(CC$3),CC34,CC34+MAX(-CC33,0)-IF(CC33&gt;0,CC35,0)),CC34)</x:f>
      </x:c>
      <x:c r="CE34">
        <x:f>IF(AND(CE$3&gt;=$B$31,CD$3&gt;=$B$31),IF(YEAR(CE$3)=YEAR(CD$3),CD34,CD34+MAX(-CD33,0)-IF(CD33&gt;0,CD35,0)),CD34)</x:f>
      </x:c>
      <x:c r="CF34">
        <x:f>IF(AND(CF$3&gt;=$B$31,CE$3&gt;=$B$31),IF(YEAR(CF$3)=YEAR(CE$3),CE34,CE34+MAX(-CE33,0)-IF(CE33&gt;0,CE35,0)),CE34)</x:f>
      </x:c>
      <x:c r="CG34">
        <x:f>IF(AND(CG$3&gt;=$B$31,CF$3&gt;=$B$31),IF(YEAR(CG$3)=YEAR(CF$3),CF34,CF34+MAX(-CF33,0)-IF(CF33&gt;0,CF35,0)),CF34)</x:f>
      </x:c>
      <x:c r="CH34">
        <x:f>IF(AND(CH$3&gt;=$B$31,CG$3&gt;=$B$31),IF(YEAR(CH$3)=YEAR(CG$3),CG34,CG34+MAX(-CG33,0)-IF(CG33&gt;0,CG35,0)),CG34)</x:f>
      </x:c>
      <x:c r="CI34">
        <x:f>IF(AND(CI$3&gt;=$B$31,CH$3&gt;=$B$31),IF(YEAR(CI$3)=YEAR(CH$3),CH34,CH34+MAX(-CH33,0)-IF(CH33&gt;0,CH35,0)),CH34)</x:f>
      </x:c>
      <x:c r="CJ34">
        <x:f>IF(AND(CJ$3&gt;=$B$31,CI$3&gt;=$B$31),IF(YEAR(CJ$3)=YEAR(CI$3),CI34,CI34+MAX(-CI33,0)-IF(CI33&gt;0,CI35,0)),CI34)</x:f>
      </x:c>
      <x:c r="CK34">
        <x:f>IF(AND(CK$3&gt;=$B$31,CJ$3&gt;=$B$31),IF(YEAR(CK$3)=YEAR(CJ$3),CJ34,CJ34+MAX(-CJ33,0)-IF(CJ33&gt;0,CJ35,0)),CJ34)</x:f>
      </x:c>
      <x:c r="CL34">
        <x:f>IF(AND(CL$3&gt;=$B$31,CK$3&gt;=$B$31),IF(YEAR(CL$3)=YEAR(CK$3),CK34,CK34+MAX(-CK33,0)-IF(CK33&gt;0,CK35,0)),CK34)</x:f>
      </x:c>
      <x:c r="CM34">
        <x:f>IF(AND(CM$3&gt;=$B$31,CL$3&gt;=$B$31),IF(YEAR(CM$3)=YEAR(CL$3),CL34,CL34+MAX(-CL33,0)-IF(CL33&gt;0,CL35,0)),CL34)</x:f>
      </x:c>
      <x:c r="CN34">
        <x:f>IF(AND(CN$3&gt;=$B$31,CM$3&gt;=$B$31),IF(YEAR(CN$3)=YEAR(CM$3),CM34,CM34+MAX(-CM33,0)-IF(CM33&gt;0,CM35,0)),CM34)</x:f>
      </x:c>
      <x:c r="CO34">
        <x:f>IF(AND(CO$3&gt;=$B$31,CN$3&gt;=$B$31),IF(YEAR(CO$3)=YEAR(CN$3),CN34,CN34+MAX(-CN33,0)-IF(CN33&gt;0,CN35,0)),CN34)</x:f>
      </x:c>
      <x:c r="CP34">
        <x:f>IF(AND(CP$3&gt;=$B$31,CO$3&gt;=$B$31),IF(YEAR(CP$3)=YEAR(CO$3),CO34,CO34+MAX(-CO33,0)-IF(CO33&gt;0,CO35,0)),CO34)</x:f>
      </x:c>
      <x:c r="CQ34">
        <x:f>IF(AND(CQ$3&gt;=$B$31,CP$3&gt;=$B$31),IF(YEAR(CQ$3)=YEAR(CP$3),CP34,CP34+MAX(-CP33,0)-IF(CP33&gt;0,CP35,0)),CP34)</x:f>
      </x:c>
      <x:c r="CR34">
        <x:f>IF(AND(CR$3&gt;=$B$31,CQ$3&gt;=$B$31),IF(YEAR(CR$3)=YEAR(CQ$3),CQ34,CQ34+MAX(-CQ33,0)-IF(CQ33&gt;0,CQ35,0)),CQ34)</x:f>
      </x:c>
      <x:c r="CS34">
        <x:f>IF(AND(CS$3&gt;=$B$31,CR$3&gt;=$B$31),IF(YEAR(CS$3)=YEAR(CR$3),CR34,CR34+MAX(-CR33,0)-IF(CR33&gt;0,CR35,0)),CR34)</x:f>
      </x:c>
      <x:c r="CT34">
        <x:f>IF(AND(CT$3&gt;=$B$31,CS$3&gt;=$B$31),IF(YEAR(CT$3)=YEAR(CS$3),CS34,CS34+MAX(-CS33,0)-IF(CS33&gt;0,CS35,0)),CS34)</x:f>
      </x:c>
      <x:c r="CU34">
        <x:f>IF(AND(CU$3&gt;=$B$31,CT$3&gt;=$B$31),IF(YEAR(CU$3)=YEAR(CT$3),CT34,CT34+MAX(-CT33,0)-IF(CT33&gt;0,CT35,0)),CT34)</x:f>
      </x:c>
      <x:c r="CV34">
        <x:f>IF(AND(CV$3&gt;=$B$31,CU$3&gt;=$B$31),IF(YEAR(CV$3)=YEAR(CU$3),CU34,CU34+MAX(-CU33,0)-IF(CU33&gt;0,CU35,0)),CU34)</x:f>
      </x:c>
      <x:c r="CW34">
        <x:f>IF(AND(CW$3&gt;=$B$31,CV$3&gt;=$B$31),IF(YEAR(CW$3)=YEAR(CV$3),CV34,CV34+MAX(-CV33,0)-IF(CV33&gt;0,CV35,0)),CV34)</x:f>
      </x:c>
      <x:c r="CX34">
        <x:f>IF(AND(CX$3&gt;=$B$31,CW$3&gt;=$B$31),IF(YEAR(CX$3)=YEAR(CW$3),CW34,CW34+MAX(-CW33,0)-IF(CW33&gt;0,CW35,0)),CW34)</x:f>
      </x:c>
      <x:c r="CY34">
        <x:f>IF(AND(CY$3&gt;=$B$31,CX$3&gt;=$B$31),IF(YEAR(CY$3)=YEAR(CX$3),CX34,CX34+MAX(-CX33,0)-IF(CX33&gt;0,CX35,0)),CX34)</x:f>
      </x:c>
      <x:c r="CZ34">
        <x:f>IF(AND(CZ$3&gt;=$B$31,CY$3&gt;=$B$31),IF(YEAR(CZ$3)=YEAR(CY$3),CY34,CY34+MAX(-CY33,0)-IF(CY33&gt;0,CY35,0)),CY34)</x:f>
      </x:c>
      <x:c r="DA34">
        <x:f>IF(AND(DA$3&gt;=$B$31,CZ$3&gt;=$B$31),IF(YEAR(DA$3)=YEAR(CZ$3),CZ34,CZ34+MAX(-CZ33,0)-IF(CZ33&gt;0,CZ35,0)),CZ34)</x:f>
      </x:c>
      <x:c r="DB34">
        <x:f>IF(AND(DB$3&gt;=$B$31,DA$3&gt;=$B$31),IF(YEAR(DB$3)=YEAR(DA$3),DA34,DA34+MAX(-DA33,0)-IF(DA33&gt;0,DA35,0)),DA34)</x:f>
      </x:c>
      <x:c r="DC34">
        <x:f>IF(AND(DC$3&gt;=$B$31,DB$3&gt;=$B$31),IF(YEAR(DC$3)=YEAR(DB$3),DB34,DB34+MAX(-DB33,0)-IF(DB33&gt;0,DB35,0)),DB34)</x:f>
      </x:c>
      <x:c r="DD34">
        <x:f>IF(AND(DD$3&gt;=$B$31,DC$3&gt;=$B$31),IF(YEAR(DD$3)=YEAR(DC$3),DC34,DC34+MAX(-DC33,0)-IF(DC33&gt;0,DC35,0)),DC34)</x:f>
      </x:c>
      <x:c r="DE34">
        <x:f>IF(AND(DE$3&gt;=$B$31,DD$3&gt;=$B$31),IF(YEAR(DE$3)=YEAR(DD$3),DD34,DD34+MAX(-DD33,0)-IF(DD33&gt;0,DD35,0)),DD34)</x:f>
      </x:c>
      <x:c r="DF34">
        <x:f>IF(AND(DF$3&gt;=$B$31,DE$3&gt;=$B$31),IF(YEAR(DF$3)=YEAR(DE$3),DE34,DE34+MAX(-DE33,0)-IF(DE33&gt;0,DE35,0)),DE34)</x:f>
      </x:c>
      <x:c r="DG34">
        <x:f>IF(AND(DG$3&gt;=$B$31,DF$3&gt;=$B$31),IF(YEAR(DG$3)=YEAR(DF$3),DF34,DF34+MAX(-DF33,0)-IF(DF33&gt;0,DF35,0)),DF34)</x:f>
      </x:c>
      <x:c r="DH34">
        <x:f>IF(AND(DH$3&gt;=$B$31,DG$3&gt;=$B$31),IF(YEAR(DH$3)=YEAR(DG$3),DG34,DG34+MAX(-DG33,0)-IF(DG33&gt;0,DG35,0)),DG34)</x:f>
      </x:c>
      <x:c r="DI34">
        <x:f>IF(AND(DI$3&gt;=$B$31,DH$3&gt;=$B$31),IF(YEAR(DI$3)=YEAR(DH$3),DH34,DH34+MAX(-DH33,0)-IF(DH33&gt;0,DH35,0)),DH34)</x:f>
      </x:c>
      <x:c r="DJ34">
        <x:f>IF(AND(DJ$3&gt;=$B$31,DI$3&gt;=$B$31),IF(YEAR(DJ$3)=YEAR(DI$3),DI34,DI34+MAX(-DI33,0)-IF(DI33&gt;0,DI35,0)),DI34)</x:f>
      </x:c>
      <x:c r="DK34">
        <x:f>IF(AND(DK$3&gt;=$B$31,DJ$3&gt;=$B$31),IF(YEAR(DK$3)=YEAR(DJ$3),DJ34,DJ34+MAX(-DJ33,0)-IF(DJ33&gt;0,DJ35,0)),DJ34)</x:f>
      </x:c>
      <x:c r="DL34">
        <x:f>IF(AND(DL$3&gt;=$B$31,DK$3&gt;=$B$31),IF(YEAR(DL$3)=YEAR(DK$3),DK34,DK34+MAX(-DK33,0)-IF(DK33&gt;0,DK35,0)),DK34)</x:f>
      </x:c>
      <x:c r="DM34">
        <x:f>IF(AND(DM$3&gt;=$B$31,DL$3&gt;=$B$31),IF(YEAR(DM$3)=YEAR(DL$3),DL34,DL34+MAX(-DL33,0)-IF(DL33&gt;0,DL35,0)),DL34)</x:f>
      </x:c>
      <x:c r="DN34">
        <x:f>IF(AND(DN$3&gt;=$B$31,DM$3&gt;=$B$31),IF(YEAR(DN$3)=YEAR(DM$3),DM34,DM34+MAX(-DM33,0)-IF(DM33&gt;0,DM35,0)),DM34)</x:f>
      </x:c>
      <x:c r="DO34">
        <x:f>IF(AND(DO$3&gt;=$B$31,DN$3&gt;=$B$31),IF(YEAR(DO$3)=YEAR(DN$3),DN34,DN34+MAX(-DN33,0)-IF(DN33&gt;0,DN35,0)),DN34)</x:f>
      </x:c>
      <x:c r="DP34">
        <x:f>IF(AND(DP$3&gt;=$B$31,DO$3&gt;=$B$31),IF(YEAR(DP$3)=YEAR(DO$3),DO34,DO34+MAX(-DO33,0)-IF(DO33&gt;0,DO35,0)),DO34)</x:f>
      </x:c>
      <x:c r="DQ34">
        <x:f>IF(AND(DQ$3&gt;=$B$31,DP$3&gt;=$B$31),IF(YEAR(DQ$3)=YEAR(DP$3),DP34,DP34+MAX(-DP33,0)-IF(DP33&gt;0,DP35,0)),DP34)</x:f>
      </x:c>
      <x:c r="DR34">
        <x:f>IF(AND(DR$3&gt;=$B$31,DQ$3&gt;=$B$31),IF(YEAR(DR$3)=YEAR(DQ$3),DQ34,DQ34+MAX(-DQ33,0)-IF(DQ33&gt;0,DQ35,0)),DQ34)</x:f>
      </x:c>
      <x:c r="DS34">
        <x:f>IF(AND(DS$3&gt;=$B$31,DR$3&gt;=$B$31),IF(YEAR(DS$3)=YEAR(DR$3),DR34,DR34+MAX(-DR33,0)-IF(DR33&gt;0,DR35,0)),DR34)</x:f>
      </x:c>
    </x:row>
    <x:row r="35">
      <x:c r="A35" t="inlineStr">
        <x:is>
          <x:t>Зачтено убытка в этом году</x:t>
        </x:is>
      </x:c>
      <x:c r="D35">
        <x:f>IF(AND(D$3&gt;=$B$31,D33&gt;0,D34&gt;0),MIN(D34,D33*0.5),0)</x:f>
      </x:c>
      <x:c r="E35">
        <x:f>IF(AND(E$3&gt;=$B$31,E33&gt;0,E34&gt;0),MIN(E34,E33*0.5),0)</x:f>
      </x:c>
      <x:c r="F35">
        <x:f>IF(AND(F$3&gt;=$B$31,F33&gt;0,F34&gt;0),MIN(F34,F33*0.5),0)</x:f>
      </x:c>
      <x:c r="G35">
        <x:f>IF(AND(G$3&gt;=$B$31,G33&gt;0,G34&gt;0),MIN(G34,G33*0.5),0)</x:f>
      </x:c>
      <x:c r="H35">
        <x:f>IF(AND(H$3&gt;=$B$31,H33&gt;0,H34&gt;0),MIN(H34,H33*0.5),0)</x:f>
      </x:c>
      <x:c r="I35">
        <x:f>IF(AND(I$3&gt;=$B$31,I33&gt;0,I34&gt;0),MIN(I34,I33*0.5),0)</x:f>
      </x:c>
      <x:c r="J35">
        <x:f>IF(AND(J$3&gt;=$B$31,J33&gt;0,J34&gt;0),MIN(J34,J33*0.5),0)</x:f>
      </x:c>
      <x:c r="K35">
        <x:f>IF(AND(K$3&gt;=$B$31,K33&gt;0,K34&gt;0),MIN(K34,K33*0.5),0)</x:f>
      </x:c>
      <x:c r="L35">
        <x:f>IF(AND(L$3&gt;=$B$31,L33&gt;0,L34&gt;0),MIN(L34,L33*0.5),0)</x:f>
      </x:c>
      <x:c r="M35">
        <x:f>IF(AND(M$3&gt;=$B$31,M33&gt;0,M34&gt;0),MIN(M34,M33*0.5),0)</x:f>
      </x:c>
      <x:c r="N35">
        <x:f>IF(AND(N$3&gt;=$B$31,N33&gt;0,N34&gt;0),MIN(N34,N33*0.5),0)</x:f>
      </x:c>
      <x:c r="O35">
        <x:f>IF(AND(O$3&gt;=$B$31,O33&gt;0,O34&gt;0),MIN(O34,O33*0.5),0)</x:f>
      </x:c>
      <x:c r="P35">
        <x:f>IF(AND(P$3&gt;=$B$31,P33&gt;0,P34&gt;0),MIN(P34,P33*0.5),0)</x:f>
      </x:c>
      <x:c r="Q35">
        <x:f>IF(AND(Q$3&gt;=$B$31,Q33&gt;0,Q34&gt;0),MIN(Q34,Q33*0.5),0)</x:f>
      </x:c>
      <x:c r="R35">
        <x:f>IF(AND(R$3&gt;=$B$31,R33&gt;0,R34&gt;0),MIN(R34,R33*0.5),0)</x:f>
      </x:c>
      <x:c r="S35">
        <x:f>IF(AND(S$3&gt;=$B$31,S33&gt;0,S34&gt;0),MIN(S34,S33*0.5),0)</x:f>
      </x:c>
      <x:c r="T35">
        <x:f>IF(AND(T$3&gt;=$B$31,T33&gt;0,T34&gt;0),MIN(T34,T33*0.5),0)</x:f>
      </x:c>
      <x:c r="U35">
        <x:f>IF(AND(U$3&gt;=$B$31,U33&gt;0,U34&gt;0),MIN(U34,U33*0.5),0)</x:f>
      </x:c>
      <x:c r="V35">
        <x:f>IF(AND(V$3&gt;=$B$31,V33&gt;0,V34&gt;0),MIN(V34,V33*0.5),0)</x:f>
      </x:c>
      <x:c r="W35">
        <x:f>IF(AND(W$3&gt;=$B$31,W33&gt;0,W34&gt;0),MIN(W34,W33*0.5),0)</x:f>
      </x:c>
      <x:c r="X35">
        <x:f>IF(AND(X$3&gt;=$B$31,X33&gt;0,X34&gt;0),MIN(X34,X33*0.5),0)</x:f>
      </x:c>
      <x:c r="Y35">
        <x:f>IF(AND(Y$3&gt;=$B$31,Y33&gt;0,Y34&gt;0),MIN(Y34,Y33*0.5),0)</x:f>
      </x:c>
      <x:c r="Z35">
        <x:f>IF(AND(Z$3&gt;=$B$31,Z33&gt;0,Z34&gt;0),MIN(Z34,Z33*0.5),0)</x:f>
      </x:c>
      <x:c r="AA35">
        <x:f>IF(AND(AA$3&gt;=$B$31,AA33&gt;0,AA34&gt;0),MIN(AA34,AA33*0.5),0)</x:f>
      </x:c>
      <x:c r="AB35">
        <x:f>IF(AND(AB$3&gt;=$B$31,AB33&gt;0,AB34&gt;0),MIN(AB34,AB33*0.5),0)</x:f>
      </x:c>
      <x:c r="AC35">
        <x:f>IF(AND(AC$3&gt;=$B$31,AC33&gt;0,AC34&gt;0),MIN(AC34,AC33*0.5),0)</x:f>
      </x:c>
      <x:c r="AD35">
        <x:f>IF(AND(AD$3&gt;=$B$31,AD33&gt;0,AD34&gt;0),MIN(AD34,AD33*0.5),0)</x:f>
      </x:c>
      <x:c r="AE35">
        <x:f>IF(AND(AE$3&gt;=$B$31,AE33&gt;0,AE34&gt;0),MIN(AE34,AE33*0.5),0)</x:f>
      </x:c>
      <x:c r="AF35">
        <x:f>IF(AND(AF$3&gt;=$B$31,AF33&gt;0,AF34&gt;0),MIN(AF34,AF33*0.5),0)</x:f>
      </x:c>
      <x:c r="AG35">
        <x:f>IF(AND(AG$3&gt;=$B$31,AG33&gt;0,AG34&gt;0),MIN(AG34,AG33*0.5),0)</x:f>
      </x:c>
      <x:c r="AH35">
        <x:f>IF(AND(AH$3&gt;=$B$31,AH33&gt;0,AH34&gt;0),MIN(AH34,AH33*0.5),0)</x:f>
      </x:c>
      <x:c r="AI35">
        <x:f>IF(AND(AI$3&gt;=$B$31,AI33&gt;0,AI34&gt;0),MIN(AI34,AI33*0.5),0)</x:f>
      </x:c>
      <x:c r="AJ35">
        <x:f>IF(AND(AJ$3&gt;=$B$31,AJ33&gt;0,AJ34&gt;0),MIN(AJ34,AJ33*0.5),0)</x:f>
      </x:c>
      <x:c r="AK35">
        <x:f>IF(AND(AK$3&gt;=$B$31,AK33&gt;0,AK34&gt;0),MIN(AK34,AK33*0.5),0)</x:f>
      </x:c>
      <x:c r="AL35">
        <x:f>IF(AND(AL$3&gt;=$B$31,AL33&gt;0,AL34&gt;0),MIN(AL34,AL33*0.5),0)</x:f>
      </x:c>
      <x:c r="AM35">
        <x:f>IF(AND(AM$3&gt;=$B$31,AM33&gt;0,AM34&gt;0),MIN(AM34,AM33*0.5),0)</x:f>
      </x:c>
      <x:c r="AN35">
        <x:f>IF(AND(AN$3&gt;=$B$31,AN33&gt;0,AN34&gt;0),MIN(AN34,AN33*0.5),0)</x:f>
      </x:c>
      <x:c r="AO35">
        <x:f>IF(AND(AO$3&gt;=$B$31,AO33&gt;0,AO34&gt;0),MIN(AO34,AO33*0.5),0)</x:f>
      </x:c>
      <x:c r="AP35">
        <x:f>IF(AND(AP$3&gt;=$B$31,AP33&gt;0,AP34&gt;0),MIN(AP34,AP33*0.5),0)</x:f>
      </x:c>
      <x:c r="AQ35">
        <x:f>IF(AND(AQ$3&gt;=$B$31,AQ33&gt;0,AQ34&gt;0),MIN(AQ34,AQ33*0.5),0)</x:f>
      </x:c>
      <x:c r="AR35">
        <x:f>IF(AND(AR$3&gt;=$B$31,AR33&gt;0,AR34&gt;0),MIN(AR34,AR33*0.5),0)</x:f>
      </x:c>
      <x:c r="AS35">
        <x:f>IF(AND(AS$3&gt;=$B$31,AS33&gt;0,AS34&gt;0),MIN(AS34,AS33*0.5),0)</x:f>
      </x:c>
      <x:c r="AT35">
        <x:f>IF(AND(AT$3&gt;=$B$31,AT33&gt;0,AT34&gt;0),MIN(AT34,AT33*0.5),0)</x:f>
      </x:c>
      <x:c r="AU35">
        <x:f>IF(AND(AU$3&gt;=$B$31,AU33&gt;0,AU34&gt;0),MIN(AU34,AU33*0.5),0)</x:f>
      </x:c>
      <x:c r="AV35">
        <x:f>IF(AND(AV$3&gt;=$B$31,AV33&gt;0,AV34&gt;0),MIN(AV34,AV33*0.5),0)</x:f>
      </x:c>
      <x:c r="AW35">
        <x:f>IF(AND(AW$3&gt;=$B$31,AW33&gt;0,AW34&gt;0),MIN(AW34,AW33*0.5),0)</x:f>
      </x:c>
      <x:c r="AX35">
        <x:f>IF(AND(AX$3&gt;=$B$31,AX33&gt;0,AX34&gt;0),MIN(AX34,AX33*0.5),0)</x:f>
      </x:c>
      <x:c r="AY35">
        <x:f>IF(AND(AY$3&gt;=$B$31,AY33&gt;0,AY34&gt;0),MIN(AY34,AY33*0.5),0)</x:f>
      </x:c>
      <x:c r="AZ35">
        <x:f>IF(AND(AZ$3&gt;=$B$31,AZ33&gt;0,AZ34&gt;0),MIN(AZ34,AZ33*0.5),0)</x:f>
      </x:c>
      <x:c r="BA35">
        <x:f>IF(AND(BA$3&gt;=$B$31,BA33&gt;0,BA34&gt;0),MIN(BA34,BA33*0.5),0)</x:f>
      </x:c>
      <x:c r="BB35">
        <x:f>IF(AND(BB$3&gt;=$B$31,BB33&gt;0,BB34&gt;0),MIN(BB34,BB33*0.5),0)</x:f>
      </x:c>
      <x:c r="BC35">
        <x:f>IF(AND(BC$3&gt;=$B$31,BC33&gt;0,BC34&gt;0),MIN(BC34,BC33*0.5),0)</x:f>
      </x:c>
      <x:c r="BD35">
        <x:f>IF(AND(BD$3&gt;=$B$31,BD33&gt;0,BD34&gt;0),MIN(BD34,BD33*0.5),0)</x:f>
      </x:c>
      <x:c r="BE35">
        <x:f>IF(AND(BE$3&gt;=$B$31,BE33&gt;0,BE34&gt;0),MIN(BE34,BE33*0.5),0)</x:f>
      </x:c>
      <x:c r="BF35">
        <x:f>IF(AND(BF$3&gt;=$B$31,BF33&gt;0,BF34&gt;0),MIN(BF34,BF33*0.5),0)</x:f>
      </x:c>
      <x:c r="BG35">
        <x:f>IF(AND(BG$3&gt;=$B$31,BG33&gt;0,BG34&gt;0),MIN(BG34,BG33*0.5),0)</x:f>
      </x:c>
      <x:c r="BH35">
        <x:f>IF(AND(BH$3&gt;=$B$31,BH33&gt;0,BH34&gt;0),MIN(BH34,BH33*0.5),0)</x:f>
      </x:c>
      <x:c r="BI35">
        <x:f>IF(AND(BI$3&gt;=$B$31,BI33&gt;0,BI34&gt;0),MIN(BI34,BI33*0.5),0)</x:f>
      </x:c>
      <x:c r="BJ35">
        <x:f>IF(AND(BJ$3&gt;=$B$31,BJ33&gt;0,BJ34&gt;0),MIN(BJ34,BJ33*0.5),0)</x:f>
      </x:c>
      <x:c r="BK35">
        <x:f>IF(AND(BK$3&gt;=$B$31,BK33&gt;0,BK34&gt;0),MIN(BK34,BK33*0.5),0)</x:f>
      </x:c>
      <x:c r="BL35">
        <x:f>IF(AND(BL$3&gt;=$B$31,BL33&gt;0,BL34&gt;0),MIN(BL34,BL33*0.5),0)</x:f>
      </x:c>
      <x:c r="BM35">
        <x:f>IF(AND(BM$3&gt;=$B$31,BM33&gt;0,BM34&gt;0),MIN(BM34,BM33*0.5),0)</x:f>
      </x:c>
      <x:c r="BN35">
        <x:f>IF(AND(BN$3&gt;=$B$31,BN33&gt;0,BN34&gt;0),MIN(BN34,BN33*0.5),0)</x:f>
      </x:c>
      <x:c r="BO35">
        <x:f>IF(AND(BO$3&gt;=$B$31,BO33&gt;0,BO34&gt;0),MIN(BO34,BO33*0.5),0)</x:f>
      </x:c>
      <x:c r="BP35">
        <x:f>IF(AND(BP$3&gt;=$B$31,BP33&gt;0,BP34&gt;0),MIN(BP34,BP33*0.5),0)</x:f>
      </x:c>
      <x:c r="BQ35">
        <x:f>IF(AND(BQ$3&gt;=$B$31,BQ33&gt;0,BQ34&gt;0),MIN(BQ34,BQ33*0.5),0)</x:f>
      </x:c>
      <x:c r="BR35">
        <x:f>IF(AND(BR$3&gt;=$B$31,BR33&gt;0,BR34&gt;0),MIN(BR34,BR33*0.5),0)</x:f>
      </x:c>
      <x:c r="BS35">
        <x:f>IF(AND(BS$3&gt;=$B$31,BS33&gt;0,BS34&gt;0),MIN(BS34,BS33*0.5),0)</x:f>
      </x:c>
      <x:c r="BT35">
        <x:f>IF(AND(BT$3&gt;=$B$31,BT33&gt;0,BT34&gt;0),MIN(BT34,BT33*0.5),0)</x:f>
      </x:c>
      <x:c r="BU35">
        <x:f>IF(AND(BU$3&gt;=$B$31,BU33&gt;0,BU34&gt;0),MIN(BU34,BU33*0.5),0)</x:f>
      </x:c>
      <x:c r="BV35">
        <x:f>IF(AND(BV$3&gt;=$B$31,BV33&gt;0,BV34&gt;0),MIN(BV34,BV33*0.5),0)</x:f>
      </x:c>
      <x:c r="BW35">
        <x:f>IF(AND(BW$3&gt;=$B$31,BW33&gt;0,BW34&gt;0),MIN(BW34,BW33*0.5),0)</x:f>
      </x:c>
      <x:c r="BX35">
        <x:f>IF(AND(BX$3&gt;=$B$31,BX33&gt;0,BX34&gt;0),MIN(BX34,BX33*0.5),0)</x:f>
      </x:c>
      <x:c r="BY35">
        <x:f>IF(AND(BY$3&gt;=$B$31,BY33&gt;0,BY34&gt;0),MIN(BY34,BY33*0.5),0)</x:f>
      </x:c>
      <x:c r="BZ35">
        <x:f>IF(AND(BZ$3&gt;=$B$31,BZ33&gt;0,BZ34&gt;0),MIN(BZ34,BZ33*0.5),0)</x:f>
      </x:c>
      <x:c r="CA35">
        <x:f>IF(AND(CA$3&gt;=$B$31,CA33&gt;0,CA34&gt;0),MIN(CA34,CA33*0.5),0)</x:f>
      </x:c>
      <x:c r="CB35">
        <x:f>IF(AND(CB$3&gt;=$B$31,CB33&gt;0,CB34&gt;0),MIN(CB34,CB33*0.5),0)</x:f>
      </x:c>
      <x:c r="CC35">
        <x:f>IF(AND(CC$3&gt;=$B$31,CC33&gt;0,CC34&gt;0),MIN(CC34,CC33*0.5),0)</x:f>
      </x:c>
      <x:c r="CD35">
        <x:f>IF(AND(CD$3&gt;=$B$31,CD33&gt;0,CD34&gt;0),MIN(CD34,CD33*0.5),0)</x:f>
      </x:c>
      <x:c r="CE35">
        <x:f>IF(AND(CE$3&gt;=$B$31,CE33&gt;0,CE34&gt;0),MIN(CE34,CE33*0.5),0)</x:f>
      </x:c>
      <x:c r="CF35">
        <x:f>IF(AND(CF$3&gt;=$B$31,CF33&gt;0,CF34&gt;0),MIN(CF34,CF33*0.5),0)</x:f>
      </x:c>
      <x:c r="CG35">
        <x:f>IF(AND(CG$3&gt;=$B$31,CG33&gt;0,CG34&gt;0),MIN(CG34,CG33*0.5),0)</x:f>
      </x:c>
      <x:c r="CH35">
        <x:f>IF(AND(CH$3&gt;=$B$31,CH33&gt;0,CH34&gt;0),MIN(CH34,CH33*0.5),0)</x:f>
      </x:c>
      <x:c r="CI35">
        <x:f>IF(AND(CI$3&gt;=$B$31,CI33&gt;0,CI34&gt;0),MIN(CI34,CI33*0.5),0)</x:f>
      </x:c>
      <x:c r="CJ35">
        <x:f>IF(AND(CJ$3&gt;=$B$31,CJ33&gt;0,CJ34&gt;0),MIN(CJ34,CJ33*0.5),0)</x:f>
      </x:c>
      <x:c r="CK35">
        <x:f>IF(AND(CK$3&gt;=$B$31,CK33&gt;0,CK34&gt;0),MIN(CK34,CK33*0.5),0)</x:f>
      </x:c>
      <x:c r="CL35">
        <x:f>IF(AND(CL$3&gt;=$B$31,CL33&gt;0,CL34&gt;0),MIN(CL34,CL33*0.5),0)</x:f>
      </x:c>
      <x:c r="CM35">
        <x:f>IF(AND(CM$3&gt;=$B$31,CM33&gt;0,CM34&gt;0),MIN(CM34,CM33*0.5),0)</x:f>
      </x:c>
      <x:c r="CN35">
        <x:f>IF(AND(CN$3&gt;=$B$31,CN33&gt;0,CN34&gt;0),MIN(CN34,CN33*0.5),0)</x:f>
      </x:c>
      <x:c r="CO35">
        <x:f>IF(AND(CO$3&gt;=$B$31,CO33&gt;0,CO34&gt;0),MIN(CO34,CO33*0.5),0)</x:f>
      </x:c>
      <x:c r="CP35">
        <x:f>IF(AND(CP$3&gt;=$B$31,CP33&gt;0,CP34&gt;0),MIN(CP34,CP33*0.5),0)</x:f>
      </x:c>
      <x:c r="CQ35">
        <x:f>IF(AND(CQ$3&gt;=$B$31,CQ33&gt;0,CQ34&gt;0),MIN(CQ34,CQ33*0.5),0)</x:f>
      </x:c>
      <x:c r="CR35">
        <x:f>IF(AND(CR$3&gt;=$B$31,CR33&gt;0,CR34&gt;0),MIN(CR34,CR33*0.5),0)</x:f>
      </x:c>
      <x:c r="CS35">
        <x:f>IF(AND(CS$3&gt;=$B$31,CS33&gt;0,CS34&gt;0),MIN(CS34,CS33*0.5),0)</x:f>
      </x:c>
      <x:c r="CT35">
        <x:f>IF(AND(CT$3&gt;=$B$31,CT33&gt;0,CT34&gt;0),MIN(CT34,CT33*0.5),0)</x:f>
      </x:c>
      <x:c r="CU35">
        <x:f>IF(AND(CU$3&gt;=$B$31,CU33&gt;0,CU34&gt;0),MIN(CU34,CU33*0.5),0)</x:f>
      </x:c>
      <x:c r="CV35">
        <x:f>IF(AND(CV$3&gt;=$B$31,CV33&gt;0,CV34&gt;0),MIN(CV34,CV33*0.5),0)</x:f>
      </x:c>
      <x:c r="CW35">
        <x:f>IF(AND(CW$3&gt;=$B$31,CW33&gt;0,CW34&gt;0),MIN(CW34,CW33*0.5),0)</x:f>
      </x:c>
      <x:c r="CX35">
        <x:f>IF(AND(CX$3&gt;=$B$31,CX33&gt;0,CX34&gt;0),MIN(CX34,CX33*0.5),0)</x:f>
      </x:c>
      <x:c r="CY35">
        <x:f>IF(AND(CY$3&gt;=$B$31,CY33&gt;0,CY34&gt;0),MIN(CY34,CY33*0.5),0)</x:f>
      </x:c>
      <x:c r="CZ35">
        <x:f>IF(AND(CZ$3&gt;=$B$31,CZ33&gt;0,CZ34&gt;0),MIN(CZ34,CZ33*0.5),0)</x:f>
      </x:c>
      <x:c r="DA35">
        <x:f>IF(AND(DA$3&gt;=$B$31,DA33&gt;0,DA34&gt;0),MIN(DA34,DA33*0.5),0)</x:f>
      </x:c>
      <x:c r="DB35">
        <x:f>IF(AND(DB$3&gt;=$B$31,DB33&gt;0,DB34&gt;0),MIN(DB34,DB33*0.5),0)</x:f>
      </x:c>
      <x:c r="DC35">
        <x:f>IF(AND(DC$3&gt;=$B$31,DC33&gt;0,DC34&gt;0),MIN(DC34,DC33*0.5),0)</x:f>
      </x:c>
      <x:c r="DD35">
        <x:f>IF(AND(DD$3&gt;=$B$31,DD33&gt;0,DD34&gt;0),MIN(DD34,DD33*0.5),0)</x:f>
      </x:c>
      <x:c r="DE35">
        <x:f>IF(AND(DE$3&gt;=$B$31,DE33&gt;0,DE34&gt;0),MIN(DE34,DE33*0.5),0)</x:f>
      </x:c>
      <x:c r="DF35">
        <x:f>IF(AND(DF$3&gt;=$B$31,DF33&gt;0,DF34&gt;0),MIN(DF34,DF33*0.5),0)</x:f>
      </x:c>
      <x:c r="DG35">
        <x:f>IF(AND(DG$3&gt;=$B$31,DG33&gt;0,DG34&gt;0),MIN(DG34,DG33*0.5),0)</x:f>
      </x:c>
      <x:c r="DH35">
        <x:f>IF(AND(DH$3&gt;=$B$31,DH33&gt;0,DH34&gt;0),MIN(DH34,DH33*0.5),0)</x:f>
      </x:c>
      <x:c r="DI35">
        <x:f>IF(AND(DI$3&gt;=$B$31,DI33&gt;0,DI34&gt;0),MIN(DI34,DI33*0.5),0)</x:f>
      </x:c>
      <x:c r="DJ35">
        <x:f>IF(AND(DJ$3&gt;=$B$31,DJ33&gt;0,DJ34&gt;0),MIN(DJ34,DJ33*0.5),0)</x:f>
      </x:c>
      <x:c r="DK35">
        <x:f>IF(AND(DK$3&gt;=$B$31,DK33&gt;0,DK34&gt;0),MIN(DK34,DK33*0.5),0)</x:f>
      </x:c>
      <x:c r="DL35">
        <x:f>IF(AND(DL$3&gt;=$B$31,DL33&gt;0,DL34&gt;0),MIN(DL34,DL33*0.5),0)</x:f>
      </x:c>
      <x:c r="DM35">
        <x:f>IF(AND(DM$3&gt;=$B$31,DM33&gt;0,DM34&gt;0),MIN(DM34,DM33*0.5),0)</x:f>
      </x:c>
      <x:c r="DN35">
        <x:f>IF(AND(DN$3&gt;=$B$31,DN33&gt;0,DN34&gt;0),MIN(DN34,DN33*0.5),0)</x:f>
      </x:c>
      <x:c r="DO35">
        <x:f>IF(AND(DO$3&gt;=$B$31,DO33&gt;0,DO34&gt;0),MIN(DO34,DO33*0.5),0)</x:f>
      </x:c>
      <x:c r="DP35">
        <x:f>IF(AND(DP$3&gt;=$B$31,DP33&gt;0,DP34&gt;0),MIN(DP34,DP33*0.5),0)</x:f>
      </x:c>
      <x:c r="DQ35">
        <x:f>IF(AND(DQ$3&gt;=$B$31,DQ33&gt;0,DQ34&gt;0),MIN(DQ34,DQ33*0.5),0)</x:f>
      </x:c>
      <x:c r="DR35">
        <x:f>IF(AND(DR$3&gt;=$B$31,DR33&gt;0,DR34&gt;0),MIN(DR34,DR33*0.5),0)</x:f>
      </x:c>
      <x:c r="DS35">
        <x:f>IF(AND(DS$3&gt;=$B$31,DS33&gt;0,DS34&gt;0),MIN(DS34,DS33*0.5),0)</x:f>
      </x:c>
    </x:row>
    <x:row r="36">
      <x:c r="A36" t="inlineStr">
        <x:is>
          <x:t>Налог года нарастающим</x:t>
        </x:is>
      </x:c>
      <x:c r="D36">
        <x:f>D37</x:f>
      </x:c>
      <x:c r="E36">
        <x:f>IF(AND(E$3&gt;=$B$31,D$3&gt;=$B$31),IF(YEAR(E$3)=YEAR(D$3),D36+E37,E37),E37)</x:f>
      </x:c>
      <x:c r="F36">
        <x:f>IF(AND(F$3&gt;=$B$31,E$3&gt;=$B$31),IF(YEAR(F$3)=YEAR(E$3),E36+F37,F37),F37)</x:f>
      </x:c>
      <x:c r="G36">
        <x:f>IF(AND(G$3&gt;=$B$31,F$3&gt;=$B$31),IF(YEAR(G$3)=YEAR(F$3),F36+G37,G37),G37)</x:f>
      </x:c>
      <x:c r="H36">
        <x:f>IF(AND(H$3&gt;=$B$31,G$3&gt;=$B$31),IF(YEAR(H$3)=YEAR(G$3),G36+H37,H37),H37)</x:f>
      </x:c>
      <x:c r="I36">
        <x:f>IF(AND(I$3&gt;=$B$31,H$3&gt;=$B$31),IF(YEAR(I$3)=YEAR(H$3),H36+I37,I37),I37)</x:f>
      </x:c>
      <x:c r="J36">
        <x:f>IF(AND(J$3&gt;=$B$31,I$3&gt;=$B$31),IF(YEAR(J$3)=YEAR(I$3),I36+J37,J37),J37)</x:f>
      </x:c>
      <x:c r="K36">
        <x:f>IF(AND(K$3&gt;=$B$31,J$3&gt;=$B$31),IF(YEAR(K$3)=YEAR(J$3),J36+K37,K37),K37)</x:f>
      </x:c>
      <x:c r="L36">
        <x:f>IF(AND(L$3&gt;=$B$31,K$3&gt;=$B$31),IF(YEAR(L$3)=YEAR(K$3),K36+L37,L37),L37)</x:f>
      </x:c>
      <x:c r="M36">
        <x:f>IF(AND(M$3&gt;=$B$31,L$3&gt;=$B$31),IF(YEAR(M$3)=YEAR(L$3),L36+M37,M37),M37)</x:f>
      </x:c>
      <x:c r="N36">
        <x:f>IF(AND(N$3&gt;=$B$31,M$3&gt;=$B$31),IF(YEAR(N$3)=YEAR(M$3),M36+N37,N37),N37)</x:f>
      </x:c>
      <x:c r="O36">
        <x:f>IF(AND(O$3&gt;=$B$31,N$3&gt;=$B$31),IF(YEAR(O$3)=YEAR(N$3),N36+O37,O37),O37)</x:f>
      </x:c>
      <x:c r="P36">
        <x:f>IF(AND(P$3&gt;=$B$31,O$3&gt;=$B$31),IF(YEAR(P$3)=YEAR(O$3),O36+P37,P37),P37)</x:f>
      </x:c>
      <x:c r="Q36">
        <x:f>IF(AND(Q$3&gt;=$B$31,P$3&gt;=$B$31),IF(YEAR(Q$3)=YEAR(P$3),P36+Q37,Q37),Q37)</x:f>
      </x:c>
      <x:c r="R36">
        <x:f>IF(AND(R$3&gt;=$B$31,Q$3&gt;=$B$31),IF(YEAR(R$3)=YEAR(Q$3),Q36+R37,R37),R37)</x:f>
      </x:c>
      <x:c r="S36">
        <x:f>IF(AND(S$3&gt;=$B$31,R$3&gt;=$B$31),IF(YEAR(S$3)=YEAR(R$3),R36+S37,S37),S37)</x:f>
      </x:c>
      <x:c r="T36">
        <x:f>IF(AND(T$3&gt;=$B$31,S$3&gt;=$B$31),IF(YEAR(T$3)=YEAR(S$3),S36+T37,T37),T37)</x:f>
      </x:c>
      <x:c r="U36">
        <x:f>IF(AND(U$3&gt;=$B$31,T$3&gt;=$B$31),IF(YEAR(U$3)=YEAR(T$3),T36+U37,U37),U37)</x:f>
      </x:c>
      <x:c r="V36">
        <x:f>IF(AND(V$3&gt;=$B$31,U$3&gt;=$B$31),IF(YEAR(V$3)=YEAR(U$3),U36+V37,V37),V37)</x:f>
      </x:c>
      <x:c r="W36">
        <x:f>IF(AND(W$3&gt;=$B$31,V$3&gt;=$B$31),IF(YEAR(W$3)=YEAR(V$3),V36+W37,W37),W37)</x:f>
      </x:c>
      <x:c r="X36">
        <x:f>IF(AND(X$3&gt;=$B$31,W$3&gt;=$B$31),IF(YEAR(X$3)=YEAR(W$3),W36+X37,X37),X37)</x:f>
      </x:c>
      <x:c r="Y36">
        <x:f>IF(AND(Y$3&gt;=$B$31,X$3&gt;=$B$31),IF(YEAR(Y$3)=YEAR(X$3),X36+Y37,Y37),Y37)</x:f>
      </x:c>
      <x:c r="Z36">
        <x:f>IF(AND(Z$3&gt;=$B$31,Y$3&gt;=$B$31),IF(YEAR(Z$3)=YEAR(Y$3),Y36+Z37,Z37),Z37)</x:f>
      </x:c>
      <x:c r="AA36">
        <x:f>IF(AND(AA$3&gt;=$B$31,Z$3&gt;=$B$31),IF(YEAR(AA$3)=YEAR(Z$3),Z36+AA37,AA37),AA37)</x:f>
      </x:c>
      <x:c r="AB36">
        <x:f>IF(AND(AB$3&gt;=$B$31,AA$3&gt;=$B$31),IF(YEAR(AB$3)=YEAR(AA$3),AA36+AB37,AB37),AB37)</x:f>
      </x:c>
      <x:c r="AC36">
        <x:f>IF(AND(AC$3&gt;=$B$31,AB$3&gt;=$B$31),IF(YEAR(AC$3)=YEAR(AB$3),AB36+AC37,AC37),AC37)</x:f>
      </x:c>
      <x:c r="AD36">
        <x:f>IF(AND(AD$3&gt;=$B$31,AC$3&gt;=$B$31),IF(YEAR(AD$3)=YEAR(AC$3),AC36+AD37,AD37),AD37)</x:f>
      </x:c>
      <x:c r="AE36">
        <x:f>IF(AND(AE$3&gt;=$B$31,AD$3&gt;=$B$31),IF(YEAR(AE$3)=YEAR(AD$3),AD36+AE37,AE37),AE37)</x:f>
      </x:c>
      <x:c r="AF36">
        <x:f>IF(AND(AF$3&gt;=$B$31,AE$3&gt;=$B$31),IF(YEAR(AF$3)=YEAR(AE$3),AE36+AF37,AF37),AF37)</x:f>
      </x:c>
      <x:c r="AG36">
        <x:f>IF(AND(AG$3&gt;=$B$31,AF$3&gt;=$B$31),IF(YEAR(AG$3)=YEAR(AF$3),AF36+AG37,AG37),AG37)</x:f>
      </x:c>
      <x:c r="AH36">
        <x:f>IF(AND(AH$3&gt;=$B$31,AG$3&gt;=$B$31),IF(YEAR(AH$3)=YEAR(AG$3),AG36+AH37,AH37),AH37)</x:f>
      </x:c>
      <x:c r="AI36">
        <x:f>IF(AND(AI$3&gt;=$B$31,AH$3&gt;=$B$31),IF(YEAR(AI$3)=YEAR(AH$3),AH36+AI37,AI37),AI37)</x:f>
      </x:c>
      <x:c r="AJ36">
        <x:f>IF(AND(AJ$3&gt;=$B$31,AI$3&gt;=$B$31),IF(YEAR(AJ$3)=YEAR(AI$3),AI36+AJ37,AJ37),AJ37)</x:f>
      </x:c>
      <x:c r="AK36">
        <x:f>IF(AND(AK$3&gt;=$B$31,AJ$3&gt;=$B$31),IF(YEAR(AK$3)=YEAR(AJ$3),AJ36+AK37,AK37),AK37)</x:f>
      </x:c>
      <x:c r="AL36">
        <x:f>IF(AND(AL$3&gt;=$B$31,AK$3&gt;=$B$31),IF(YEAR(AL$3)=YEAR(AK$3),AK36+AL37,AL37),AL37)</x:f>
      </x:c>
      <x:c r="AM36">
        <x:f>IF(AND(AM$3&gt;=$B$31,AL$3&gt;=$B$31),IF(YEAR(AM$3)=YEAR(AL$3),AL36+AM37,AM37),AM37)</x:f>
      </x:c>
      <x:c r="AN36">
        <x:f>IF(AND(AN$3&gt;=$B$31,AM$3&gt;=$B$31),IF(YEAR(AN$3)=YEAR(AM$3),AM36+AN37,AN37),AN37)</x:f>
      </x:c>
      <x:c r="AO36">
        <x:f>IF(AND(AO$3&gt;=$B$31,AN$3&gt;=$B$31),IF(YEAR(AO$3)=YEAR(AN$3),AN36+AO37,AO37),AO37)</x:f>
      </x:c>
      <x:c r="AP36">
        <x:f>IF(AND(AP$3&gt;=$B$31,AO$3&gt;=$B$31),IF(YEAR(AP$3)=YEAR(AO$3),AO36+AP37,AP37),AP37)</x:f>
      </x:c>
      <x:c r="AQ36">
        <x:f>IF(AND(AQ$3&gt;=$B$31,AP$3&gt;=$B$31),IF(YEAR(AQ$3)=YEAR(AP$3),AP36+AQ37,AQ37),AQ37)</x:f>
      </x:c>
      <x:c r="AR36">
        <x:f>IF(AND(AR$3&gt;=$B$31,AQ$3&gt;=$B$31),IF(YEAR(AR$3)=YEAR(AQ$3),AQ36+AR37,AR37),AR37)</x:f>
      </x:c>
      <x:c r="AS36">
        <x:f>IF(AND(AS$3&gt;=$B$31,AR$3&gt;=$B$31),IF(YEAR(AS$3)=YEAR(AR$3),AR36+AS37,AS37),AS37)</x:f>
      </x:c>
      <x:c r="AT36">
        <x:f>IF(AND(AT$3&gt;=$B$31,AS$3&gt;=$B$31),IF(YEAR(AT$3)=YEAR(AS$3),AS36+AT37,AT37),AT37)</x:f>
      </x:c>
      <x:c r="AU36">
        <x:f>IF(AND(AU$3&gt;=$B$31,AT$3&gt;=$B$31),IF(YEAR(AU$3)=YEAR(AT$3),AT36+AU37,AU37),AU37)</x:f>
      </x:c>
      <x:c r="AV36">
        <x:f>IF(AND(AV$3&gt;=$B$31,AU$3&gt;=$B$31),IF(YEAR(AV$3)=YEAR(AU$3),AU36+AV37,AV37),AV37)</x:f>
      </x:c>
      <x:c r="AW36">
        <x:f>IF(AND(AW$3&gt;=$B$31,AV$3&gt;=$B$31),IF(YEAR(AW$3)=YEAR(AV$3),AV36+AW37,AW37),AW37)</x:f>
      </x:c>
      <x:c r="AX36">
        <x:f>IF(AND(AX$3&gt;=$B$31,AW$3&gt;=$B$31),IF(YEAR(AX$3)=YEAR(AW$3),AW36+AX37,AX37),AX37)</x:f>
      </x:c>
      <x:c r="AY36">
        <x:f>IF(AND(AY$3&gt;=$B$31,AX$3&gt;=$B$31),IF(YEAR(AY$3)=YEAR(AX$3),AX36+AY37,AY37),AY37)</x:f>
      </x:c>
      <x:c r="AZ36">
        <x:f>IF(AND(AZ$3&gt;=$B$31,AY$3&gt;=$B$31),IF(YEAR(AZ$3)=YEAR(AY$3),AY36+AZ37,AZ37),AZ37)</x:f>
      </x:c>
      <x:c r="BA36">
        <x:f>IF(AND(BA$3&gt;=$B$31,AZ$3&gt;=$B$31),IF(YEAR(BA$3)=YEAR(AZ$3),AZ36+BA37,BA37),BA37)</x:f>
      </x:c>
      <x:c r="BB36">
        <x:f>IF(AND(BB$3&gt;=$B$31,BA$3&gt;=$B$31),IF(YEAR(BB$3)=YEAR(BA$3),BA36+BB37,BB37),BB37)</x:f>
      </x:c>
      <x:c r="BC36">
        <x:f>IF(AND(BC$3&gt;=$B$31,BB$3&gt;=$B$31),IF(YEAR(BC$3)=YEAR(BB$3),BB36+BC37,BC37),BC37)</x:f>
      </x:c>
      <x:c r="BD36">
        <x:f>IF(AND(BD$3&gt;=$B$31,BC$3&gt;=$B$31),IF(YEAR(BD$3)=YEAR(BC$3),BC36+BD37,BD37),BD37)</x:f>
      </x:c>
      <x:c r="BE36">
        <x:f>IF(AND(BE$3&gt;=$B$31,BD$3&gt;=$B$31),IF(YEAR(BE$3)=YEAR(BD$3),BD36+BE37,BE37),BE37)</x:f>
      </x:c>
      <x:c r="BF36">
        <x:f>IF(AND(BF$3&gt;=$B$31,BE$3&gt;=$B$31),IF(YEAR(BF$3)=YEAR(BE$3),BE36+BF37,BF37),BF37)</x:f>
      </x:c>
      <x:c r="BG36">
        <x:f>IF(AND(BG$3&gt;=$B$31,BF$3&gt;=$B$31),IF(YEAR(BG$3)=YEAR(BF$3),BF36+BG37,BG37),BG37)</x:f>
      </x:c>
      <x:c r="BH36">
        <x:f>IF(AND(BH$3&gt;=$B$31,BG$3&gt;=$B$31),IF(YEAR(BH$3)=YEAR(BG$3),BG36+BH37,BH37),BH37)</x:f>
      </x:c>
      <x:c r="BI36">
        <x:f>IF(AND(BI$3&gt;=$B$31,BH$3&gt;=$B$31),IF(YEAR(BI$3)=YEAR(BH$3),BH36+BI37,BI37),BI37)</x:f>
      </x:c>
      <x:c r="BJ36">
        <x:f>IF(AND(BJ$3&gt;=$B$31,BI$3&gt;=$B$31),IF(YEAR(BJ$3)=YEAR(BI$3),BI36+BJ37,BJ37),BJ37)</x:f>
      </x:c>
      <x:c r="BK36">
        <x:f>IF(AND(BK$3&gt;=$B$31,BJ$3&gt;=$B$31),IF(YEAR(BK$3)=YEAR(BJ$3),BJ36+BK37,BK37),BK37)</x:f>
      </x:c>
      <x:c r="BL36">
        <x:f>IF(AND(BL$3&gt;=$B$31,BK$3&gt;=$B$31),IF(YEAR(BL$3)=YEAR(BK$3),BK36+BL37,BL37),BL37)</x:f>
      </x:c>
      <x:c r="BM36">
        <x:f>IF(AND(BM$3&gt;=$B$31,BL$3&gt;=$B$31),IF(YEAR(BM$3)=YEAR(BL$3),BL36+BM37,BM37),BM37)</x:f>
      </x:c>
      <x:c r="BN36">
        <x:f>IF(AND(BN$3&gt;=$B$31,BM$3&gt;=$B$31),IF(YEAR(BN$3)=YEAR(BM$3),BM36+BN37,BN37),BN37)</x:f>
      </x:c>
      <x:c r="BO36">
        <x:f>IF(AND(BO$3&gt;=$B$31,BN$3&gt;=$B$31),IF(YEAR(BO$3)=YEAR(BN$3),BN36+BO37,BO37),BO37)</x:f>
      </x:c>
      <x:c r="BP36">
        <x:f>IF(AND(BP$3&gt;=$B$31,BO$3&gt;=$B$31),IF(YEAR(BP$3)=YEAR(BO$3),BO36+BP37,BP37),BP37)</x:f>
      </x:c>
      <x:c r="BQ36">
        <x:f>IF(AND(BQ$3&gt;=$B$31,BP$3&gt;=$B$31),IF(YEAR(BQ$3)=YEAR(BP$3),BP36+BQ37,BQ37),BQ37)</x:f>
      </x:c>
      <x:c r="BR36">
        <x:f>IF(AND(BR$3&gt;=$B$31,BQ$3&gt;=$B$31),IF(YEAR(BR$3)=YEAR(BQ$3),BQ36+BR37,BR37),BR37)</x:f>
      </x:c>
      <x:c r="BS36">
        <x:f>IF(AND(BS$3&gt;=$B$31,BR$3&gt;=$B$31),IF(YEAR(BS$3)=YEAR(BR$3),BR36+BS37,BS37),BS37)</x:f>
      </x:c>
      <x:c r="BT36">
        <x:f>IF(AND(BT$3&gt;=$B$31,BS$3&gt;=$B$31),IF(YEAR(BT$3)=YEAR(BS$3),BS36+BT37,BT37),BT37)</x:f>
      </x:c>
      <x:c r="BU36">
        <x:f>IF(AND(BU$3&gt;=$B$31,BT$3&gt;=$B$31),IF(YEAR(BU$3)=YEAR(BT$3),BT36+BU37,BU37),BU37)</x:f>
      </x:c>
      <x:c r="BV36">
        <x:f>IF(AND(BV$3&gt;=$B$31,BU$3&gt;=$B$31),IF(YEAR(BV$3)=YEAR(BU$3),BU36+BV37,BV37),BV37)</x:f>
      </x:c>
      <x:c r="BW36">
        <x:f>IF(AND(BW$3&gt;=$B$31,BV$3&gt;=$B$31),IF(YEAR(BW$3)=YEAR(BV$3),BV36+BW37,BW37),BW37)</x:f>
      </x:c>
      <x:c r="BX36">
        <x:f>IF(AND(BX$3&gt;=$B$31,BW$3&gt;=$B$31),IF(YEAR(BX$3)=YEAR(BW$3),BW36+BX37,BX37),BX37)</x:f>
      </x:c>
      <x:c r="BY36">
        <x:f>IF(AND(BY$3&gt;=$B$31,BX$3&gt;=$B$31),IF(YEAR(BY$3)=YEAR(BX$3),BX36+BY37,BY37),BY37)</x:f>
      </x:c>
      <x:c r="BZ36">
        <x:f>IF(AND(BZ$3&gt;=$B$31,BY$3&gt;=$B$31),IF(YEAR(BZ$3)=YEAR(BY$3),BY36+BZ37,BZ37),BZ37)</x:f>
      </x:c>
      <x:c r="CA36">
        <x:f>IF(AND(CA$3&gt;=$B$31,BZ$3&gt;=$B$31),IF(YEAR(CA$3)=YEAR(BZ$3),BZ36+CA37,CA37),CA37)</x:f>
      </x:c>
      <x:c r="CB36">
        <x:f>IF(AND(CB$3&gt;=$B$31,CA$3&gt;=$B$31),IF(YEAR(CB$3)=YEAR(CA$3),CA36+CB37,CB37),CB37)</x:f>
      </x:c>
      <x:c r="CC36">
        <x:f>IF(AND(CC$3&gt;=$B$31,CB$3&gt;=$B$31),IF(YEAR(CC$3)=YEAR(CB$3),CB36+CC37,CC37),CC37)</x:f>
      </x:c>
      <x:c r="CD36">
        <x:f>IF(AND(CD$3&gt;=$B$31,CC$3&gt;=$B$31),IF(YEAR(CD$3)=YEAR(CC$3),CC36+CD37,CD37),CD37)</x:f>
      </x:c>
      <x:c r="CE36">
        <x:f>IF(AND(CE$3&gt;=$B$31,CD$3&gt;=$B$31),IF(YEAR(CE$3)=YEAR(CD$3),CD36+CE37,CE37),CE37)</x:f>
      </x:c>
      <x:c r="CF36">
        <x:f>IF(AND(CF$3&gt;=$B$31,CE$3&gt;=$B$31),IF(YEAR(CF$3)=YEAR(CE$3),CE36+CF37,CF37),CF37)</x:f>
      </x:c>
      <x:c r="CG36">
        <x:f>IF(AND(CG$3&gt;=$B$31,CF$3&gt;=$B$31),IF(YEAR(CG$3)=YEAR(CF$3),CF36+CG37,CG37),CG37)</x:f>
      </x:c>
      <x:c r="CH36">
        <x:f>IF(AND(CH$3&gt;=$B$31,CG$3&gt;=$B$31),IF(YEAR(CH$3)=YEAR(CG$3),CG36+CH37,CH37),CH37)</x:f>
      </x:c>
      <x:c r="CI36">
        <x:f>IF(AND(CI$3&gt;=$B$31,CH$3&gt;=$B$31),IF(YEAR(CI$3)=YEAR(CH$3),CH36+CI37,CI37),CI37)</x:f>
      </x:c>
      <x:c r="CJ36">
        <x:f>IF(AND(CJ$3&gt;=$B$31,CI$3&gt;=$B$31),IF(YEAR(CJ$3)=YEAR(CI$3),CI36+CJ37,CJ37),CJ37)</x:f>
      </x:c>
      <x:c r="CK36">
        <x:f>IF(AND(CK$3&gt;=$B$31,CJ$3&gt;=$B$31),IF(YEAR(CK$3)=YEAR(CJ$3),CJ36+CK37,CK37),CK37)</x:f>
      </x:c>
      <x:c r="CL36">
        <x:f>IF(AND(CL$3&gt;=$B$31,CK$3&gt;=$B$31),IF(YEAR(CL$3)=YEAR(CK$3),CK36+CL37,CL37),CL37)</x:f>
      </x:c>
      <x:c r="CM36">
        <x:f>IF(AND(CM$3&gt;=$B$31,CL$3&gt;=$B$31),IF(YEAR(CM$3)=YEAR(CL$3),CL36+CM37,CM37),CM37)</x:f>
      </x:c>
      <x:c r="CN36">
        <x:f>IF(AND(CN$3&gt;=$B$31,CM$3&gt;=$B$31),IF(YEAR(CN$3)=YEAR(CM$3),CM36+CN37,CN37),CN37)</x:f>
      </x:c>
      <x:c r="CO36">
        <x:f>IF(AND(CO$3&gt;=$B$31,CN$3&gt;=$B$31),IF(YEAR(CO$3)=YEAR(CN$3),CN36+CO37,CO37),CO37)</x:f>
      </x:c>
      <x:c r="CP36">
        <x:f>IF(AND(CP$3&gt;=$B$31,CO$3&gt;=$B$31),IF(YEAR(CP$3)=YEAR(CO$3),CO36+CP37,CP37),CP37)</x:f>
      </x:c>
      <x:c r="CQ36">
        <x:f>IF(AND(CQ$3&gt;=$B$31,CP$3&gt;=$B$31),IF(YEAR(CQ$3)=YEAR(CP$3),CP36+CQ37,CQ37),CQ37)</x:f>
      </x:c>
      <x:c r="CR36">
        <x:f>IF(AND(CR$3&gt;=$B$31,CQ$3&gt;=$B$31),IF(YEAR(CR$3)=YEAR(CQ$3),CQ36+CR37,CR37),CR37)</x:f>
      </x:c>
      <x:c r="CS36">
        <x:f>IF(AND(CS$3&gt;=$B$31,CR$3&gt;=$B$31),IF(YEAR(CS$3)=YEAR(CR$3),CR36+CS37,CS37),CS37)</x:f>
      </x:c>
      <x:c r="CT36">
        <x:f>IF(AND(CT$3&gt;=$B$31,CS$3&gt;=$B$31),IF(YEAR(CT$3)=YEAR(CS$3),CS36+CT37,CT37),CT37)</x:f>
      </x:c>
      <x:c r="CU36">
        <x:f>IF(AND(CU$3&gt;=$B$31,CT$3&gt;=$B$31),IF(YEAR(CU$3)=YEAR(CT$3),CT36+CU37,CU37),CU37)</x:f>
      </x:c>
      <x:c r="CV36">
        <x:f>IF(AND(CV$3&gt;=$B$31,CU$3&gt;=$B$31),IF(YEAR(CV$3)=YEAR(CU$3),CU36+CV37,CV37),CV37)</x:f>
      </x:c>
      <x:c r="CW36">
        <x:f>IF(AND(CW$3&gt;=$B$31,CV$3&gt;=$B$31),IF(YEAR(CW$3)=YEAR(CV$3),CV36+CW37,CW37),CW37)</x:f>
      </x:c>
      <x:c r="CX36">
        <x:f>IF(AND(CX$3&gt;=$B$31,CW$3&gt;=$B$31),IF(YEAR(CX$3)=YEAR(CW$3),CW36+CX37,CX37),CX37)</x:f>
      </x:c>
      <x:c r="CY36">
        <x:f>IF(AND(CY$3&gt;=$B$31,CX$3&gt;=$B$31),IF(YEAR(CY$3)=YEAR(CX$3),CX36+CY37,CY37),CY37)</x:f>
      </x:c>
      <x:c r="CZ36">
        <x:f>IF(AND(CZ$3&gt;=$B$31,CY$3&gt;=$B$31),IF(YEAR(CZ$3)=YEAR(CY$3),CY36+CZ37,CZ37),CZ37)</x:f>
      </x:c>
      <x:c r="DA36">
        <x:f>IF(AND(DA$3&gt;=$B$31,CZ$3&gt;=$B$31),IF(YEAR(DA$3)=YEAR(CZ$3),CZ36+DA37,DA37),DA37)</x:f>
      </x:c>
      <x:c r="DB36">
        <x:f>IF(AND(DB$3&gt;=$B$31,DA$3&gt;=$B$31),IF(YEAR(DB$3)=YEAR(DA$3),DA36+DB37,DB37),DB37)</x:f>
      </x:c>
      <x:c r="DC36">
        <x:f>IF(AND(DC$3&gt;=$B$31,DB$3&gt;=$B$31),IF(YEAR(DC$3)=YEAR(DB$3),DB36+DC37,DC37),DC37)</x:f>
      </x:c>
      <x:c r="DD36">
        <x:f>IF(AND(DD$3&gt;=$B$31,DC$3&gt;=$B$31),IF(YEAR(DD$3)=YEAR(DC$3),DC36+DD37,DD37),DD37)</x:f>
      </x:c>
      <x:c r="DE36">
        <x:f>IF(AND(DE$3&gt;=$B$31,DD$3&gt;=$B$31),IF(YEAR(DE$3)=YEAR(DD$3),DD36+DE37,DE37),DE37)</x:f>
      </x:c>
      <x:c r="DF36">
        <x:f>IF(AND(DF$3&gt;=$B$31,DE$3&gt;=$B$31),IF(YEAR(DF$3)=YEAR(DE$3),DE36+DF37,DF37),DF37)</x:f>
      </x:c>
      <x:c r="DG36">
        <x:f>IF(AND(DG$3&gt;=$B$31,DF$3&gt;=$B$31),IF(YEAR(DG$3)=YEAR(DF$3),DF36+DG37,DG37),DG37)</x:f>
      </x:c>
      <x:c r="DH36">
        <x:f>IF(AND(DH$3&gt;=$B$31,DG$3&gt;=$B$31),IF(YEAR(DH$3)=YEAR(DG$3),DG36+DH37,DH37),DH37)</x:f>
      </x:c>
      <x:c r="DI36">
        <x:f>IF(AND(DI$3&gt;=$B$31,DH$3&gt;=$B$31),IF(YEAR(DI$3)=YEAR(DH$3),DH36+DI37,DI37),DI37)</x:f>
      </x:c>
      <x:c r="DJ36">
        <x:f>IF(AND(DJ$3&gt;=$B$31,DI$3&gt;=$B$31),IF(YEAR(DJ$3)=YEAR(DI$3),DI36+DJ37,DJ37),DJ37)</x:f>
      </x:c>
      <x:c r="DK36">
        <x:f>IF(AND(DK$3&gt;=$B$31,DJ$3&gt;=$B$31),IF(YEAR(DK$3)=YEAR(DJ$3),DJ36+DK37,DK37),DK37)</x:f>
      </x:c>
      <x:c r="DL36">
        <x:f>IF(AND(DL$3&gt;=$B$31,DK$3&gt;=$B$31),IF(YEAR(DL$3)=YEAR(DK$3),DK36+DL37,DL37),DL37)</x:f>
      </x:c>
      <x:c r="DM36">
        <x:f>IF(AND(DM$3&gt;=$B$31,DL$3&gt;=$B$31),IF(YEAR(DM$3)=YEAR(DL$3),DL36+DM37,DM37),DM37)</x:f>
      </x:c>
      <x:c r="DN36">
        <x:f>IF(AND(DN$3&gt;=$B$31,DM$3&gt;=$B$31),IF(YEAR(DN$3)=YEAR(DM$3),DM36+DN37,DN37),DN37)</x:f>
      </x:c>
      <x:c r="DO36">
        <x:f>IF(AND(DO$3&gt;=$B$31,DN$3&gt;=$B$31),IF(YEAR(DO$3)=YEAR(DN$3),DN36+DO37,DO37),DO37)</x:f>
      </x:c>
      <x:c r="DP36">
        <x:f>IF(AND(DP$3&gt;=$B$31,DO$3&gt;=$B$31),IF(YEAR(DP$3)=YEAR(DO$3),DO36+DP37,DP37),DP37)</x:f>
      </x:c>
      <x:c r="DQ36">
        <x:f>IF(AND(DQ$3&gt;=$B$31,DP$3&gt;=$B$31),IF(YEAR(DQ$3)=YEAR(DP$3),DP36+DQ37,DQ37),DQ37)</x:f>
      </x:c>
      <x:c r="DR36">
        <x:f>IF(AND(DR$3&gt;=$B$31,DQ$3&gt;=$B$31),IF(YEAR(DR$3)=YEAR(DQ$3),DQ36+DR37,DR37),DR37)</x:f>
      </x:c>
      <x:c r="DS36">
        <x:f>IF(AND(DS$3&gt;=$B$31,DR$3&gt;=$B$31),IF(YEAR(DS$3)=YEAR(DR$3),DR36+DS37,DS37),DS37)</x:f>
      </x:c>
    </x:row>
    <x:row r="37">
      <x:c r="A37" t="inlineStr">
        <x:is>
          <x:t>Налог на прибыль (свод)</x:t>
        </x:is>
      </x:c>
      <x:c r="B37">
        <x:f>SUM(D37:DS37)</x:f>
      </x:c>
      <x:c r="D37">
        <x:f>IF(D$3&gt;=$B$31,MAX(0,MAX(D33-D35,0)*'Вводные'!$B$21),0)</x:f>
      </x:c>
      <x:c r="E37">
        <x:f>IF(E$3&gt;=$B$31,MAX(0,MAX(E33-E35,0)*'Вводные'!$B$21-IF(AND(D$3&gt;=$B$31,YEAR(E$3)=YEAR(D$3)),D36,0)),0)</x:f>
      </x:c>
      <x:c r="F37">
        <x:f>IF(F$3&gt;=$B$31,MAX(0,MAX(F33-F35,0)*'Вводные'!$B$21-IF(AND(E$3&gt;=$B$31,YEAR(F$3)=YEAR(E$3)),E36,0)),0)</x:f>
      </x:c>
      <x:c r="G37">
        <x:f>IF(G$3&gt;=$B$31,MAX(0,MAX(G33-G35,0)*'Вводные'!$B$21-IF(AND(F$3&gt;=$B$31,YEAR(G$3)=YEAR(F$3)),F36,0)),0)</x:f>
      </x:c>
      <x:c r="H37">
        <x:f>IF(H$3&gt;=$B$31,MAX(0,MAX(H33-H35,0)*'Вводные'!$B$21-IF(AND(G$3&gt;=$B$31,YEAR(H$3)=YEAR(G$3)),G36,0)),0)</x:f>
      </x:c>
      <x:c r="I37">
        <x:f>IF(I$3&gt;=$B$31,MAX(0,MAX(I33-I35,0)*'Вводные'!$B$21-IF(AND(H$3&gt;=$B$31,YEAR(I$3)=YEAR(H$3)),H36,0)),0)</x:f>
      </x:c>
      <x:c r="J37">
        <x:f>IF(J$3&gt;=$B$31,MAX(0,MAX(J33-J35,0)*'Вводные'!$B$21-IF(AND(I$3&gt;=$B$31,YEAR(J$3)=YEAR(I$3)),I36,0)),0)</x:f>
      </x:c>
      <x:c r="K37">
        <x:f>IF(K$3&gt;=$B$31,MAX(0,MAX(K33-K35,0)*'Вводные'!$B$21-IF(AND(J$3&gt;=$B$31,YEAR(K$3)=YEAR(J$3)),J36,0)),0)</x:f>
      </x:c>
      <x:c r="L37">
        <x:f>IF(L$3&gt;=$B$31,MAX(0,MAX(L33-L35,0)*'Вводные'!$B$21-IF(AND(K$3&gt;=$B$31,YEAR(L$3)=YEAR(K$3)),K36,0)),0)</x:f>
      </x:c>
      <x:c r="M37">
        <x:f>IF(M$3&gt;=$B$31,MAX(0,MAX(M33-M35,0)*'Вводные'!$B$21-IF(AND(L$3&gt;=$B$31,YEAR(M$3)=YEAR(L$3)),L36,0)),0)</x:f>
      </x:c>
      <x:c r="N37">
        <x:f>IF(N$3&gt;=$B$31,MAX(0,MAX(N33-N35,0)*'Вводные'!$B$21-IF(AND(M$3&gt;=$B$31,YEAR(N$3)=YEAR(M$3)),M36,0)),0)</x:f>
      </x:c>
      <x:c r="O37">
        <x:f>IF(O$3&gt;=$B$31,MAX(0,MAX(O33-O35,0)*'Вводные'!$B$21-IF(AND(N$3&gt;=$B$31,YEAR(O$3)=YEAR(N$3)),N36,0)),0)</x:f>
      </x:c>
      <x:c r="P37">
        <x:f>IF(P$3&gt;=$B$31,MAX(0,MAX(P33-P35,0)*'Вводные'!$B$21-IF(AND(O$3&gt;=$B$31,YEAR(P$3)=YEAR(O$3)),O36,0)),0)</x:f>
      </x:c>
      <x:c r="Q37">
        <x:f>IF(Q$3&gt;=$B$31,MAX(0,MAX(Q33-Q35,0)*'Вводные'!$B$21-IF(AND(P$3&gt;=$B$31,YEAR(Q$3)=YEAR(P$3)),P36,0)),0)</x:f>
      </x:c>
      <x:c r="R37">
        <x:f>IF(R$3&gt;=$B$31,MAX(0,MAX(R33-R35,0)*'Вводные'!$B$21-IF(AND(Q$3&gt;=$B$31,YEAR(R$3)=YEAR(Q$3)),Q36,0)),0)</x:f>
      </x:c>
      <x:c r="S37">
        <x:f>IF(S$3&gt;=$B$31,MAX(0,MAX(S33-S35,0)*'Вводные'!$B$21-IF(AND(R$3&gt;=$B$31,YEAR(S$3)=YEAR(R$3)),R36,0)),0)</x:f>
      </x:c>
      <x:c r="T37">
        <x:f>IF(T$3&gt;=$B$31,MAX(0,MAX(T33-T35,0)*'Вводные'!$B$21-IF(AND(S$3&gt;=$B$31,YEAR(T$3)=YEAR(S$3)),S36,0)),0)</x:f>
      </x:c>
      <x:c r="U37">
        <x:f>IF(U$3&gt;=$B$31,MAX(0,MAX(U33-U35,0)*'Вводные'!$B$21-IF(AND(T$3&gt;=$B$31,YEAR(U$3)=YEAR(T$3)),T36,0)),0)</x:f>
      </x:c>
      <x:c r="V37">
        <x:f>IF(V$3&gt;=$B$31,MAX(0,MAX(V33-V35,0)*'Вводные'!$B$21-IF(AND(U$3&gt;=$B$31,YEAR(V$3)=YEAR(U$3)),U36,0)),0)</x:f>
      </x:c>
      <x:c r="W37">
        <x:f>IF(W$3&gt;=$B$31,MAX(0,MAX(W33-W35,0)*'Вводные'!$B$21-IF(AND(V$3&gt;=$B$31,YEAR(W$3)=YEAR(V$3)),V36,0)),0)</x:f>
      </x:c>
      <x:c r="X37">
        <x:f>IF(X$3&gt;=$B$31,MAX(0,MAX(X33-X35,0)*'Вводные'!$B$21-IF(AND(W$3&gt;=$B$31,YEAR(X$3)=YEAR(W$3)),W36,0)),0)</x:f>
      </x:c>
      <x:c r="Y37">
        <x:f>IF(Y$3&gt;=$B$31,MAX(0,MAX(Y33-Y35,0)*'Вводные'!$B$21-IF(AND(X$3&gt;=$B$31,YEAR(Y$3)=YEAR(X$3)),X36,0)),0)</x:f>
      </x:c>
      <x:c r="Z37">
        <x:f>IF(Z$3&gt;=$B$31,MAX(0,MAX(Z33-Z35,0)*'Вводные'!$B$21-IF(AND(Y$3&gt;=$B$31,YEAR(Z$3)=YEAR(Y$3)),Y36,0)),0)</x:f>
      </x:c>
      <x:c r="AA37">
        <x:f>IF(AA$3&gt;=$B$31,MAX(0,MAX(AA33-AA35,0)*'Вводные'!$B$21-IF(AND(Z$3&gt;=$B$31,YEAR(AA$3)=YEAR(Z$3)),Z36,0)),0)</x:f>
      </x:c>
      <x:c r="AB37">
        <x:f>IF(AB$3&gt;=$B$31,MAX(0,MAX(AB33-AB35,0)*'Вводные'!$B$21-IF(AND(AA$3&gt;=$B$31,YEAR(AB$3)=YEAR(AA$3)),AA36,0)),0)</x:f>
      </x:c>
      <x:c r="AC37">
        <x:f>IF(AC$3&gt;=$B$31,MAX(0,MAX(AC33-AC35,0)*'Вводные'!$B$21-IF(AND(AB$3&gt;=$B$31,YEAR(AC$3)=YEAR(AB$3)),AB36,0)),0)</x:f>
      </x:c>
      <x:c r="AD37">
        <x:f>IF(AD$3&gt;=$B$31,MAX(0,MAX(AD33-AD35,0)*'Вводные'!$B$21-IF(AND(AC$3&gt;=$B$31,YEAR(AD$3)=YEAR(AC$3)),AC36,0)),0)</x:f>
      </x:c>
      <x:c r="AE37">
        <x:f>IF(AE$3&gt;=$B$31,MAX(0,MAX(AE33-AE35,0)*'Вводные'!$B$21-IF(AND(AD$3&gt;=$B$31,YEAR(AE$3)=YEAR(AD$3)),AD36,0)),0)</x:f>
      </x:c>
      <x:c r="AF37">
        <x:f>IF(AF$3&gt;=$B$31,MAX(0,MAX(AF33-AF35,0)*'Вводные'!$B$21-IF(AND(AE$3&gt;=$B$31,YEAR(AF$3)=YEAR(AE$3)),AE36,0)),0)</x:f>
      </x:c>
      <x:c r="AG37">
        <x:f>IF(AG$3&gt;=$B$31,MAX(0,MAX(AG33-AG35,0)*'Вводные'!$B$21-IF(AND(AF$3&gt;=$B$31,YEAR(AG$3)=YEAR(AF$3)),AF36,0)),0)</x:f>
      </x:c>
      <x:c r="AH37">
        <x:f>IF(AH$3&gt;=$B$31,MAX(0,MAX(AH33-AH35,0)*'Вводные'!$B$21-IF(AND(AG$3&gt;=$B$31,YEAR(AH$3)=YEAR(AG$3)),AG36,0)),0)</x:f>
      </x:c>
      <x:c r="AI37">
        <x:f>IF(AI$3&gt;=$B$31,MAX(0,MAX(AI33-AI35,0)*'Вводные'!$B$21-IF(AND(AH$3&gt;=$B$31,YEAR(AI$3)=YEAR(AH$3)),AH36,0)),0)</x:f>
      </x:c>
      <x:c r="AJ37">
        <x:f>IF(AJ$3&gt;=$B$31,MAX(0,MAX(AJ33-AJ35,0)*'Вводные'!$B$21-IF(AND(AI$3&gt;=$B$31,YEAR(AJ$3)=YEAR(AI$3)),AI36,0)),0)</x:f>
      </x:c>
      <x:c r="AK37">
        <x:f>IF(AK$3&gt;=$B$31,MAX(0,MAX(AK33-AK35,0)*'Вводные'!$B$21-IF(AND(AJ$3&gt;=$B$31,YEAR(AK$3)=YEAR(AJ$3)),AJ36,0)),0)</x:f>
      </x:c>
      <x:c r="AL37">
        <x:f>IF(AL$3&gt;=$B$31,MAX(0,MAX(AL33-AL35,0)*'Вводные'!$B$21-IF(AND(AK$3&gt;=$B$31,YEAR(AL$3)=YEAR(AK$3)),AK36,0)),0)</x:f>
      </x:c>
      <x:c r="AM37">
        <x:f>IF(AM$3&gt;=$B$31,MAX(0,MAX(AM33-AM35,0)*'Вводные'!$B$21-IF(AND(AL$3&gt;=$B$31,YEAR(AM$3)=YEAR(AL$3)),AL36,0)),0)</x:f>
      </x:c>
      <x:c r="AN37">
        <x:f>IF(AN$3&gt;=$B$31,MAX(0,MAX(AN33-AN35,0)*'Вводные'!$B$21-IF(AND(AM$3&gt;=$B$31,YEAR(AN$3)=YEAR(AM$3)),AM36,0)),0)</x:f>
      </x:c>
      <x:c r="AO37">
        <x:f>IF(AO$3&gt;=$B$31,MAX(0,MAX(AO33-AO35,0)*'Вводные'!$B$21-IF(AND(AN$3&gt;=$B$31,YEAR(AO$3)=YEAR(AN$3)),AN36,0)),0)</x:f>
      </x:c>
      <x:c r="AP37">
        <x:f>IF(AP$3&gt;=$B$31,MAX(0,MAX(AP33-AP35,0)*'Вводные'!$B$21-IF(AND(AO$3&gt;=$B$31,YEAR(AP$3)=YEAR(AO$3)),AO36,0)),0)</x:f>
      </x:c>
      <x:c r="AQ37">
        <x:f>IF(AQ$3&gt;=$B$31,MAX(0,MAX(AQ33-AQ35,0)*'Вводные'!$B$21-IF(AND(AP$3&gt;=$B$31,YEAR(AQ$3)=YEAR(AP$3)),AP36,0)),0)</x:f>
      </x:c>
      <x:c r="AR37">
        <x:f>IF(AR$3&gt;=$B$31,MAX(0,MAX(AR33-AR35,0)*'Вводные'!$B$21-IF(AND(AQ$3&gt;=$B$31,YEAR(AR$3)=YEAR(AQ$3)),AQ36,0)),0)</x:f>
      </x:c>
      <x:c r="AS37">
        <x:f>IF(AS$3&gt;=$B$31,MAX(0,MAX(AS33-AS35,0)*'Вводные'!$B$21-IF(AND(AR$3&gt;=$B$31,YEAR(AS$3)=YEAR(AR$3)),AR36,0)),0)</x:f>
      </x:c>
      <x:c r="AT37">
        <x:f>IF(AT$3&gt;=$B$31,MAX(0,MAX(AT33-AT35,0)*'Вводные'!$B$21-IF(AND(AS$3&gt;=$B$31,YEAR(AT$3)=YEAR(AS$3)),AS36,0)),0)</x:f>
      </x:c>
      <x:c r="AU37">
        <x:f>IF(AU$3&gt;=$B$31,MAX(0,MAX(AU33-AU35,0)*'Вводные'!$B$21-IF(AND(AT$3&gt;=$B$31,YEAR(AU$3)=YEAR(AT$3)),AT36,0)),0)</x:f>
      </x:c>
      <x:c r="AV37">
        <x:f>IF(AV$3&gt;=$B$31,MAX(0,MAX(AV33-AV35,0)*'Вводные'!$B$21-IF(AND(AU$3&gt;=$B$31,YEAR(AV$3)=YEAR(AU$3)),AU36,0)),0)</x:f>
      </x:c>
      <x:c r="AW37">
        <x:f>IF(AW$3&gt;=$B$31,MAX(0,MAX(AW33-AW35,0)*'Вводные'!$B$21-IF(AND(AV$3&gt;=$B$31,YEAR(AW$3)=YEAR(AV$3)),AV36,0)),0)</x:f>
      </x:c>
      <x:c r="AX37">
        <x:f>IF(AX$3&gt;=$B$31,MAX(0,MAX(AX33-AX35,0)*'Вводные'!$B$21-IF(AND(AW$3&gt;=$B$31,YEAR(AX$3)=YEAR(AW$3)),AW36,0)),0)</x:f>
      </x:c>
      <x:c r="AY37">
        <x:f>IF(AY$3&gt;=$B$31,MAX(0,MAX(AY33-AY35,0)*'Вводные'!$B$21-IF(AND(AX$3&gt;=$B$31,YEAR(AY$3)=YEAR(AX$3)),AX36,0)),0)</x:f>
      </x:c>
      <x:c r="AZ37">
        <x:f>IF(AZ$3&gt;=$B$31,MAX(0,MAX(AZ33-AZ35,0)*'Вводные'!$B$21-IF(AND(AY$3&gt;=$B$31,YEAR(AZ$3)=YEAR(AY$3)),AY36,0)),0)</x:f>
      </x:c>
      <x:c r="BA37">
        <x:f>IF(BA$3&gt;=$B$31,MAX(0,MAX(BA33-BA35,0)*'Вводные'!$B$21-IF(AND(AZ$3&gt;=$B$31,YEAR(BA$3)=YEAR(AZ$3)),AZ36,0)),0)</x:f>
      </x:c>
      <x:c r="BB37">
        <x:f>IF(BB$3&gt;=$B$31,MAX(0,MAX(BB33-BB35,0)*'Вводные'!$B$21-IF(AND(BA$3&gt;=$B$31,YEAR(BB$3)=YEAR(BA$3)),BA36,0)),0)</x:f>
      </x:c>
      <x:c r="BC37">
        <x:f>IF(BC$3&gt;=$B$31,MAX(0,MAX(BC33-BC35,0)*'Вводные'!$B$21-IF(AND(BB$3&gt;=$B$31,YEAR(BC$3)=YEAR(BB$3)),BB36,0)),0)</x:f>
      </x:c>
      <x:c r="BD37">
        <x:f>IF(BD$3&gt;=$B$31,MAX(0,MAX(BD33-BD35,0)*'Вводные'!$B$21-IF(AND(BC$3&gt;=$B$31,YEAR(BD$3)=YEAR(BC$3)),BC36,0)),0)</x:f>
      </x:c>
      <x:c r="BE37">
        <x:f>IF(BE$3&gt;=$B$31,MAX(0,MAX(BE33-BE35,0)*'Вводные'!$B$21-IF(AND(BD$3&gt;=$B$31,YEAR(BE$3)=YEAR(BD$3)),BD36,0)),0)</x:f>
      </x:c>
      <x:c r="BF37">
        <x:f>IF(BF$3&gt;=$B$31,MAX(0,MAX(BF33-BF35,0)*'Вводные'!$B$21-IF(AND(BE$3&gt;=$B$31,YEAR(BF$3)=YEAR(BE$3)),BE36,0)),0)</x:f>
      </x:c>
      <x:c r="BG37">
        <x:f>IF(BG$3&gt;=$B$31,MAX(0,MAX(BG33-BG35,0)*'Вводные'!$B$21-IF(AND(BF$3&gt;=$B$31,YEAR(BG$3)=YEAR(BF$3)),BF36,0)),0)</x:f>
      </x:c>
      <x:c r="BH37">
        <x:f>IF(BH$3&gt;=$B$31,MAX(0,MAX(BH33-BH35,0)*'Вводные'!$B$21-IF(AND(BG$3&gt;=$B$31,YEAR(BH$3)=YEAR(BG$3)),BG36,0)),0)</x:f>
      </x:c>
      <x:c r="BI37">
        <x:f>IF(BI$3&gt;=$B$31,MAX(0,MAX(BI33-BI35,0)*'Вводные'!$B$21-IF(AND(BH$3&gt;=$B$31,YEAR(BI$3)=YEAR(BH$3)),BH36,0)),0)</x:f>
      </x:c>
      <x:c r="BJ37">
        <x:f>IF(BJ$3&gt;=$B$31,MAX(0,MAX(BJ33-BJ35,0)*'Вводные'!$B$21-IF(AND(BI$3&gt;=$B$31,YEAR(BJ$3)=YEAR(BI$3)),BI36,0)),0)</x:f>
      </x:c>
      <x:c r="BK37">
        <x:f>IF(BK$3&gt;=$B$31,MAX(0,MAX(BK33-BK35,0)*'Вводные'!$B$21-IF(AND(BJ$3&gt;=$B$31,YEAR(BK$3)=YEAR(BJ$3)),BJ36,0)),0)</x:f>
      </x:c>
      <x:c r="BL37">
        <x:f>IF(BL$3&gt;=$B$31,MAX(0,MAX(BL33-BL35,0)*'Вводные'!$B$21-IF(AND(BK$3&gt;=$B$31,YEAR(BL$3)=YEAR(BK$3)),BK36,0)),0)</x:f>
      </x:c>
      <x:c r="BM37">
        <x:f>IF(BM$3&gt;=$B$31,MAX(0,MAX(BM33-BM35,0)*'Вводные'!$B$21-IF(AND(BL$3&gt;=$B$31,YEAR(BM$3)=YEAR(BL$3)),BL36,0)),0)</x:f>
      </x:c>
      <x:c r="BN37">
        <x:f>IF(BN$3&gt;=$B$31,MAX(0,MAX(BN33-BN35,0)*'Вводные'!$B$21-IF(AND(BM$3&gt;=$B$31,YEAR(BN$3)=YEAR(BM$3)),BM36,0)),0)</x:f>
      </x:c>
      <x:c r="BO37">
        <x:f>IF(BO$3&gt;=$B$31,MAX(0,MAX(BO33-BO35,0)*'Вводные'!$B$21-IF(AND(BN$3&gt;=$B$31,YEAR(BO$3)=YEAR(BN$3)),BN36,0)),0)</x:f>
      </x:c>
      <x:c r="BP37">
        <x:f>IF(BP$3&gt;=$B$31,MAX(0,MAX(BP33-BP35,0)*'Вводные'!$B$21-IF(AND(BO$3&gt;=$B$31,YEAR(BP$3)=YEAR(BO$3)),BO36,0)),0)</x:f>
      </x:c>
      <x:c r="BQ37">
        <x:f>IF(BQ$3&gt;=$B$31,MAX(0,MAX(BQ33-BQ35,0)*'Вводные'!$B$21-IF(AND(BP$3&gt;=$B$31,YEAR(BQ$3)=YEAR(BP$3)),BP36,0)),0)</x:f>
      </x:c>
      <x:c r="BR37">
        <x:f>IF(BR$3&gt;=$B$31,MAX(0,MAX(BR33-BR35,0)*'Вводные'!$B$21-IF(AND(BQ$3&gt;=$B$31,YEAR(BR$3)=YEAR(BQ$3)),BQ36,0)),0)</x:f>
      </x:c>
      <x:c r="BS37">
        <x:f>IF(BS$3&gt;=$B$31,MAX(0,MAX(BS33-BS35,0)*'Вводные'!$B$21-IF(AND(BR$3&gt;=$B$31,YEAR(BS$3)=YEAR(BR$3)),BR36,0)),0)</x:f>
      </x:c>
      <x:c r="BT37">
        <x:f>IF(BT$3&gt;=$B$31,MAX(0,MAX(BT33-BT35,0)*'Вводные'!$B$21-IF(AND(BS$3&gt;=$B$31,YEAR(BT$3)=YEAR(BS$3)),BS36,0)),0)</x:f>
      </x:c>
      <x:c r="BU37">
        <x:f>IF(BU$3&gt;=$B$31,MAX(0,MAX(BU33-BU35,0)*'Вводные'!$B$21-IF(AND(BT$3&gt;=$B$31,YEAR(BU$3)=YEAR(BT$3)),BT36,0)),0)</x:f>
      </x:c>
      <x:c r="BV37">
        <x:f>IF(BV$3&gt;=$B$31,MAX(0,MAX(BV33-BV35,0)*'Вводные'!$B$21-IF(AND(BU$3&gt;=$B$31,YEAR(BV$3)=YEAR(BU$3)),BU36,0)),0)</x:f>
      </x:c>
      <x:c r="BW37">
        <x:f>IF(BW$3&gt;=$B$31,MAX(0,MAX(BW33-BW35,0)*'Вводные'!$B$21-IF(AND(BV$3&gt;=$B$31,YEAR(BW$3)=YEAR(BV$3)),BV36,0)),0)</x:f>
      </x:c>
      <x:c r="BX37">
        <x:f>IF(BX$3&gt;=$B$31,MAX(0,MAX(BX33-BX35,0)*'Вводные'!$B$21-IF(AND(BW$3&gt;=$B$31,YEAR(BX$3)=YEAR(BW$3)),BW36,0)),0)</x:f>
      </x:c>
      <x:c r="BY37">
        <x:f>IF(BY$3&gt;=$B$31,MAX(0,MAX(BY33-BY35,0)*'Вводные'!$B$21-IF(AND(BX$3&gt;=$B$31,YEAR(BY$3)=YEAR(BX$3)),BX36,0)),0)</x:f>
      </x:c>
      <x:c r="BZ37">
        <x:f>IF(BZ$3&gt;=$B$31,MAX(0,MAX(BZ33-BZ35,0)*'Вводные'!$B$21-IF(AND(BY$3&gt;=$B$31,YEAR(BZ$3)=YEAR(BY$3)),BY36,0)),0)</x:f>
      </x:c>
      <x:c r="CA37">
        <x:f>IF(CA$3&gt;=$B$31,MAX(0,MAX(CA33-CA35,0)*'Вводные'!$B$21-IF(AND(BZ$3&gt;=$B$31,YEAR(CA$3)=YEAR(BZ$3)),BZ36,0)),0)</x:f>
      </x:c>
      <x:c r="CB37">
        <x:f>IF(CB$3&gt;=$B$31,MAX(0,MAX(CB33-CB35,0)*'Вводные'!$B$21-IF(AND(CA$3&gt;=$B$31,YEAR(CB$3)=YEAR(CA$3)),CA36,0)),0)</x:f>
      </x:c>
      <x:c r="CC37">
        <x:f>IF(CC$3&gt;=$B$31,MAX(0,MAX(CC33-CC35,0)*'Вводные'!$B$21-IF(AND(CB$3&gt;=$B$31,YEAR(CC$3)=YEAR(CB$3)),CB36,0)),0)</x:f>
      </x:c>
      <x:c r="CD37">
        <x:f>IF(CD$3&gt;=$B$31,MAX(0,MAX(CD33-CD35,0)*'Вводные'!$B$21-IF(AND(CC$3&gt;=$B$31,YEAR(CD$3)=YEAR(CC$3)),CC36,0)),0)</x:f>
      </x:c>
      <x:c r="CE37">
        <x:f>IF(CE$3&gt;=$B$31,MAX(0,MAX(CE33-CE35,0)*'Вводные'!$B$21-IF(AND(CD$3&gt;=$B$31,YEAR(CE$3)=YEAR(CD$3)),CD36,0)),0)</x:f>
      </x:c>
      <x:c r="CF37">
        <x:f>IF(CF$3&gt;=$B$31,MAX(0,MAX(CF33-CF35,0)*'Вводные'!$B$21-IF(AND(CE$3&gt;=$B$31,YEAR(CF$3)=YEAR(CE$3)),CE36,0)),0)</x:f>
      </x:c>
      <x:c r="CG37">
        <x:f>IF(CG$3&gt;=$B$31,MAX(0,MAX(CG33-CG35,0)*'Вводные'!$B$21-IF(AND(CF$3&gt;=$B$31,YEAR(CG$3)=YEAR(CF$3)),CF36,0)),0)</x:f>
      </x:c>
      <x:c r="CH37">
        <x:f>IF(CH$3&gt;=$B$31,MAX(0,MAX(CH33-CH35,0)*'Вводные'!$B$21-IF(AND(CG$3&gt;=$B$31,YEAR(CH$3)=YEAR(CG$3)),CG36,0)),0)</x:f>
      </x:c>
      <x:c r="CI37">
        <x:f>IF(CI$3&gt;=$B$31,MAX(0,MAX(CI33-CI35,0)*'Вводные'!$B$21-IF(AND(CH$3&gt;=$B$31,YEAR(CI$3)=YEAR(CH$3)),CH36,0)),0)</x:f>
      </x:c>
      <x:c r="CJ37">
        <x:f>IF(CJ$3&gt;=$B$31,MAX(0,MAX(CJ33-CJ35,0)*'Вводные'!$B$21-IF(AND(CI$3&gt;=$B$31,YEAR(CJ$3)=YEAR(CI$3)),CI36,0)),0)</x:f>
      </x:c>
      <x:c r="CK37">
        <x:f>IF(CK$3&gt;=$B$31,MAX(0,MAX(CK33-CK35,0)*'Вводные'!$B$21-IF(AND(CJ$3&gt;=$B$31,YEAR(CK$3)=YEAR(CJ$3)),CJ36,0)),0)</x:f>
      </x:c>
      <x:c r="CL37">
        <x:f>IF(CL$3&gt;=$B$31,MAX(0,MAX(CL33-CL35,0)*'Вводные'!$B$21-IF(AND(CK$3&gt;=$B$31,YEAR(CL$3)=YEAR(CK$3)),CK36,0)),0)</x:f>
      </x:c>
      <x:c r="CM37">
        <x:f>IF(CM$3&gt;=$B$31,MAX(0,MAX(CM33-CM35,0)*'Вводные'!$B$21-IF(AND(CL$3&gt;=$B$31,YEAR(CM$3)=YEAR(CL$3)),CL36,0)),0)</x:f>
      </x:c>
      <x:c r="CN37">
        <x:f>IF(CN$3&gt;=$B$31,MAX(0,MAX(CN33-CN35,0)*'Вводные'!$B$21-IF(AND(CM$3&gt;=$B$31,YEAR(CN$3)=YEAR(CM$3)),CM36,0)),0)</x:f>
      </x:c>
      <x:c r="CO37">
        <x:f>IF(CO$3&gt;=$B$31,MAX(0,MAX(CO33-CO35,0)*'Вводные'!$B$21-IF(AND(CN$3&gt;=$B$31,YEAR(CO$3)=YEAR(CN$3)),CN36,0)),0)</x:f>
      </x:c>
      <x:c r="CP37">
        <x:f>IF(CP$3&gt;=$B$31,MAX(0,MAX(CP33-CP35,0)*'Вводные'!$B$21-IF(AND(CO$3&gt;=$B$31,YEAR(CP$3)=YEAR(CO$3)),CO36,0)),0)</x:f>
      </x:c>
      <x:c r="CQ37">
        <x:f>IF(CQ$3&gt;=$B$31,MAX(0,MAX(CQ33-CQ35,0)*'Вводные'!$B$21-IF(AND(CP$3&gt;=$B$31,YEAR(CQ$3)=YEAR(CP$3)),CP36,0)),0)</x:f>
      </x:c>
      <x:c r="CR37">
        <x:f>IF(CR$3&gt;=$B$31,MAX(0,MAX(CR33-CR35,0)*'Вводные'!$B$21-IF(AND(CQ$3&gt;=$B$31,YEAR(CR$3)=YEAR(CQ$3)),CQ36,0)),0)</x:f>
      </x:c>
      <x:c r="CS37">
        <x:f>IF(CS$3&gt;=$B$31,MAX(0,MAX(CS33-CS35,0)*'Вводные'!$B$21-IF(AND(CR$3&gt;=$B$31,YEAR(CS$3)=YEAR(CR$3)),CR36,0)),0)</x:f>
      </x:c>
      <x:c r="CT37">
        <x:f>IF(CT$3&gt;=$B$31,MAX(0,MAX(CT33-CT35,0)*'Вводные'!$B$21-IF(AND(CS$3&gt;=$B$31,YEAR(CT$3)=YEAR(CS$3)),CS36,0)),0)</x:f>
      </x:c>
      <x:c r="CU37">
        <x:f>IF(CU$3&gt;=$B$31,MAX(0,MAX(CU33-CU35,0)*'Вводные'!$B$21-IF(AND(CT$3&gt;=$B$31,YEAR(CU$3)=YEAR(CT$3)),CT36,0)),0)</x:f>
      </x:c>
      <x:c r="CV37">
        <x:f>IF(CV$3&gt;=$B$31,MAX(0,MAX(CV33-CV35,0)*'Вводные'!$B$21-IF(AND(CU$3&gt;=$B$31,YEAR(CV$3)=YEAR(CU$3)),CU36,0)),0)</x:f>
      </x:c>
      <x:c r="CW37">
        <x:f>IF(CW$3&gt;=$B$31,MAX(0,MAX(CW33-CW35,0)*'Вводные'!$B$21-IF(AND(CV$3&gt;=$B$31,YEAR(CW$3)=YEAR(CV$3)),CV36,0)),0)</x:f>
      </x:c>
      <x:c r="CX37">
        <x:f>IF(CX$3&gt;=$B$31,MAX(0,MAX(CX33-CX35,0)*'Вводные'!$B$21-IF(AND(CW$3&gt;=$B$31,YEAR(CX$3)=YEAR(CW$3)),CW36,0)),0)</x:f>
      </x:c>
      <x:c r="CY37">
        <x:f>IF(CY$3&gt;=$B$31,MAX(0,MAX(CY33-CY35,0)*'Вводные'!$B$21-IF(AND(CX$3&gt;=$B$31,YEAR(CY$3)=YEAR(CX$3)),CX36,0)),0)</x:f>
      </x:c>
      <x:c r="CZ37">
        <x:f>IF(CZ$3&gt;=$B$31,MAX(0,MAX(CZ33-CZ35,0)*'Вводные'!$B$21-IF(AND(CY$3&gt;=$B$31,YEAR(CZ$3)=YEAR(CY$3)),CY36,0)),0)</x:f>
      </x:c>
      <x:c r="DA37">
        <x:f>IF(DA$3&gt;=$B$31,MAX(0,MAX(DA33-DA35,0)*'Вводные'!$B$21-IF(AND(CZ$3&gt;=$B$31,YEAR(DA$3)=YEAR(CZ$3)),CZ36,0)),0)</x:f>
      </x:c>
      <x:c r="DB37">
        <x:f>IF(DB$3&gt;=$B$31,MAX(0,MAX(DB33-DB35,0)*'Вводные'!$B$21-IF(AND(DA$3&gt;=$B$31,YEAR(DB$3)=YEAR(DA$3)),DA36,0)),0)</x:f>
      </x:c>
      <x:c r="DC37">
        <x:f>IF(DC$3&gt;=$B$31,MAX(0,MAX(DC33-DC35,0)*'Вводные'!$B$21-IF(AND(DB$3&gt;=$B$31,YEAR(DC$3)=YEAR(DB$3)),DB36,0)),0)</x:f>
      </x:c>
      <x:c r="DD37">
        <x:f>IF(DD$3&gt;=$B$31,MAX(0,MAX(DD33-DD35,0)*'Вводные'!$B$21-IF(AND(DC$3&gt;=$B$31,YEAR(DD$3)=YEAR(DC$3)),DC36,0)),0)</x:f>
      </x:c>
      <x:c r="DE37">
        <x:f>IF(DE$3&gt;=$B$31,MAX(0,MAX(DE33-DE35,0)*'Вводные'!$B$21-IF(AND(DD$3&gt;=$B$31,YEAR(DE$3)=YEAR(DD$3)),DD36,0)),0)</x:f>
      </x:c>
      <x:c r="DF37">
        <x:f>IF(DF$3&gt;=$B$31,MAX(0,MAX(DF33-DF35,0)*'Вводные'!$B$21-IF(AND(DE$3&gt;=$B$31,YEAR(DF$3)=YEAR(DE$3)),DE36,0)),0)</x:f>
      </x:c>
      <x:c r="DG37">
        <x:f>IF(DG$3&gt;=$B$31,MAX(0,MAX(DG33-DG35,0)*'Вводные'!$B$21-IF(AND(DF$3&gt;=$B$31,YEAR(DG$3)=YEAR(DF$3)),DF36,0)),0)</x:f>
      </x:c>
      <x:c r="DH37">
        <x:f>IF(DH$3&gt;=$B$31,MAX(0,MAX(DH33-DH35,0)*'Вводные'!$B$21-IF(AND(DG$3&gt;=$B$31,YEAR(DH$3)=YEAR(DG$3)),DG36,0)),0)</x:f>
      </x:c>
      <x:c r="DI37">
        <x:f>IF(DI$3&gt;=$B$31,MAX(0,MAX(DI33-DI35,0)*'Вводные'!$B$21-IF(AND(DH$3&gt;=$B$31,YEAR(DI$3)=YEAR(DH$3)),DH36,0)),0)</x:f>
      </x:c>
      <x:c r="DJ37">
        <x:f>IF(DJ$3&gt;=$B$31,MAX(0,MAX(DJ33-DJ35,0)*'Вводные'!$B$21-IF(AND(DI$3&gt;=$B$31,YEAR(DJ$3)=YEAR(DI$3)),DI36,0)),0)</x:f>
      </x:c>
      <x:c r="DK37">
        <x:f>IF(DK$3&gt;=$B$31,MAX(0,MAX(DK33-DK35,0)*'Вводные'!$B$21-IF(AND(DJ$3&gt;=$B$31,YEAR(DK$3)=YEAR(DJ$3)),DJ36,0)),0)</x:f>
      </x:c>
      <x:c r="DL37">
        <x:f>IF(DL$3&gt;=$B$31,MAX(0,MAX(DL33-DL35,0)*'Вводные'!$B$21-IF(AND(DK$3&gt;=$B$31,YEAR(DL$3)=YEAR(DK$3)),DK36,0)),0)</x:f>
      </x:c>
      <x:c r="DM37">
        <x:f>IF(DM$3&gt;=$B$31,MAX(0,MAX(DM33-DM35,0)*'Вводные'!$B$21-IF(AND(DL$3&gt;=$B$31,YEAR(DM$3)=YEAR(DL$3)),DL36,0)),0)</x:f>
      </x:c>
      <x:c r="DN37">
        <x:f>IF(DN$3&gt;=$B$31,MAX(0,MAX(DN33-DN35,0)*'Вводные'!$B$21-IF(AND(DM$3&gt;=$B$31,YEAR(DN$3)=YEAR(DM$3)),DM36,0)),0)</x:f>
      </x:c>
      <x:c r="DO37">
        <x:f>IF(DO$3&gt;=$B$31,MAX(0,MAX(DO33-DO35,0)*'Вводные'!$B$21-IF(AND(DN$3&gt;=$B$31,YEAR(DO$3)=YEAR(DN$3)),DN36,0)),0)</x:f>
      </x:c>
      <x:c r="DP37">
        <x:f>IF(DP$3&gt;=$B$31,MAX(0,MAX(DP33-DP35,0)*'Вводные'!$B$21-IF(AND(DO$3&gt;=$B$31,YEAR(DP$3)=YEAR(DO$3)),DO36,0)),0)</x:f>
      </x:c>
      <x:c r="DQ37">
        <x:f>IF(DQ$3&gt;=$B$31,MAX(0,MAX(DQ33-DQ35,0)*'Вводные'!$B$21-IF(AND(DP$3&gt;=$B$31,YEAR(DQ$3)=YEAR(DP$3)),DP36,0)),0)</x:f>
      </x:c>
      <x:c r="DR37">
        <x:f>IF(DR$3&gt;=$B$31,MAX(0,MAX(DR33-DR35,0)*'Вводные'!$B$21-IF(AND(DQ$3&gt;=$B$31,YEAR(DR$3)=YEAR(DQ$3)),DQ36,0)),0)</x:f>
      </x:c>
      <x:c r="DS37">
        <x:f>IF(DS$3&gt;=$B$31,MAX(0,MAX(DS33-DS35,0)*'Вводные'!$B$21-IF(AND(DR$3&gt;=$B$31,YEAR(DS$3)=YEAR(DR$3)),DR36,0)),0)</x:f>
      </x:c>
    </x:row>
    <x:row r="31">
      <x:c r="A31" t="inlineStr">
        <x:is>
          <x:t>Первый облагаемый месяц (самый ранний РВЭ)</x:t>
        </x:is>
      </x:c>
      <x:c r="B31">
        <x:f>MIN(IF('Вводные'!$B$88="Да",'CF_1'!$B$8,99999),IF('Вводные'!$B$89="Да",'CF_2'!$B$8,99999),IF('Вводные'!$B$90="Да",'CF_3'!$B$8,99999),IF('Вводные'!$B$91="Да",'CF_4'!$B$8,99999))</x:f>
      </x:c>
    </x:row>
    <x:row r="32">
      <x:c r="A32" t="inlineStr">
        <x:is>
          <x:t>Налоговый результат месяца (свод)</x:t>
        </x:is>
      </x:c>
      <x:c r="B32">
        <x:f>SUM(D32:DS32)</x:f>
      </x:c>
      <x:c r="D32">
        <x:f>SUM('CF_1'!D22,'CF_2'!D22,'CF_3'!D22,'CF_4'!D22)</x:f>
      </x:c>
      <x:c r="E32">
        <x:f>SUM('CF_1'!E22,'CF_2'!E22,'CF_3'!E22,'CF_4'!E22)</x:f>
      </x:c>
      <x:c r="F32">
        <x:f>SUM('CF_1'!F22,'CF_2'!F22,'CF_3'!F22,'CF_4'!F22)</x:f>
      </x:c>
      <x:c r="G32">
        <x:f>SUM('CF_1'!G22,'CF_2'!G22,'CF_3'!G22,'CF_4'!G22)</x:f>
      </x:c>
      <x:c r="H32">
        <x:f>SUM('CF_1'!H22,'CF_2'!H22,'CF_3'!H22,'CF_4'!H22)</x:f>
      </x:c>
      <x:c r="I32">
        <x:f>SUM('CF_1'!I22,'CF_2'!I22,'CF_3'!I22,'CF_4'!I22)</x:f>
      </x:c>
      <x:c r="J32">
        <x:f>SUM('CF_1'!J22,'CF_2'!J22,'CF_3'!J22,'CF_4'!J22)</x:f>
      </x:c>
      <x:c r="K32">
        <x:f>SUM('CF_1'!K22,'CF_2'!K22,'CF_3'!K22,'CF_4'!K22)</x:f>
      </x:c>
      <x:c r="L32">
        <x:f>SUM('CF_1'!L22,'CF_2'!L22,'CF_3'!L22,'CF_4'!L22)</x:f>
      </x:c>
      <x:c r="M32">
        <x:f>SUM('CF_1'!M22,'CF_2'!M22,'CF_3'!M22,'CF_4'!M22)</x:f>
      </x:c>
      <x:c r="N32">
        <x:f>SUM('CF_1'!N22,'CF_2'!N22,'CF_3'!N22,'CF_4'!N22)</x:f>
      </x:c>
      <x:c r="O32">
        <x:f>SUM('CF_1'!O22,'CF_2'!O22,'CF_3'!O22,'CF_4'!O22)</x:f>
      </x:c>
      <x:c r="P32">
        <x:f>SUM('CF_1'!P22,'CF_2'!P22,'CF_3'!P22,'CF_4'!P22)</x:f>
      </x:c>
      <x:c r="Q32">
        <x:f>SUM('CF_1'!Q22,'CF_2'!Q22,'CF_3'!Q22,'CF_4'!Q22)</x:f>
      </x:c>
      <x:c r="R32">
        <x:f>SUM('CF_1'!R22,'CF_2'!R22,'CF_3'!R22,'CF_4'!R22)</x:f>
      </x:c>
      <x:c r="S32">
        <x:f>SUM('CF_1'!S22,'CF_2'!S22,'CF_3'!S22,'CF_4'!S22)</x:f>
      </x:c>
      <x:c r="T32">
        <x:f>SUM('CF_1'!T22,'CF_2'!T22,'CF_3'!T22,'CF_4'!T22)</x:f>
      </x:c>
      <x:c r="U32">
        <x:f>SUM('CF_1'!U22,'CF_2'!U22,'CF_3'!U22,'CF_4'!U22)</x:f>
      </x:c>
      <x:c r="V32">
        <x:f>SUM('CF_1'!V22,'CF_2'!V22,'CF_3'!V22,'CF_4'!V22)</x:f>
      </x:c>
      <x:c r="W32">
        <x:f>SUM('CF_1'!W22,'CF_2'!W22,'CF_3'!W22,'CF_4'!W22)</x:f>
      </x:c>
      <x:c r="X32">
        <x:f>SUM('CF_1'!X22,'CF_2'!X22,'CF_3'!X22,'CF_4'!X22)</x:f>
      </x:c>
      <x:c r="Y32">
        <x:f>SUM('CF_1'!Y22,'CF_2'!Y22,'CF_3'!Y22,'CF_4'!Y22)</x:f>
      </x:c>
      <x:c r="Z32">
        <x:f>SUM('CF_1'!Z22,'CF_2'!Z22,'CF_3'!Z22,'CF_4'!Z22)</x:f>
      </x:c>
      <x:c r="AA32">
        <x:f>SUM('CF_1'!AA22,'CF_2'!AA22,'CF_3'!AA22,'CF_4'!AA22)</x:f>
      </x:c>
      <x:c r="AB32">
        <x:f>SUM('CF_1'!AB22,'CF_2'!AB22,'CF_3'!AB22,'CF_4'!AB22)</x:f>
      </x:c>
      <x:c r="AC32">
        <x:f>SUM('CF_1'!AC22,'CF_2'!AC22,'CF_3'!AC22,'CF_4'!AC22)</x:f>
      </x:c>
      <x:c r="AD32">
        <x:f>SUM('CF_1'!AD22,'CF_2'!AD22,'CF_3'!AD22,'CF_4'!AD22)</x:f>
      </x:c>
      <x:c r="AE32">
        <x:f>SUM('CF_1'!AE22,'CF_2'!AE22,'CF_3'!AE22,'CF_4'!AE22)</x:f>
      </x:c>
      <x:c r="AF32">
        <x:f>SUM('CF_1'!AF22,'CF_2'!AF22,'CF_3'!AF22,'CF_4'!AF22)</x:f>
      </x:c>
      <x:c r="AG32">
        <x:f>SUM('CF_1'!AG22,'CF_2'!AG22,'CF_3'!AG22,'CF_4'!AG22)</x:f>
      </x:c>
      <x:c r="AH32">
        <x:f>SUM('CF_1'!AH22,'CF_2'!AH22,'CF_3'!AH22,'CF_4'!AH22)</x:f>
      </x:c>
      <x:c r="AI32">
        <x:f>SUM('CF_1'!AI22,'CF_2'!AI22,'CF_3'!AI22,'CF_4'!AI22)</x:f>
      </x:c>
      <x:c r="AJ32">
        <x:f>SUM('CF_1'!AJ22,'CF_2'!AJ22,'CF_3'!AJ22,'CF_4'!AJ22)</x:f>
      </x:c>
      <x:c r="AK32">
        <x:f>SUM('CF_1'!AK22,'CF_2'!AK22,'CF_3'!AK22,'CF_4'!AK22)</x:f>
      </x:c>
      <x:c r="AL32">
        <x:f>SUM('CF_1'!AL22,'CF_2'!AL22,'CF_3'!AL22,'CF_4'!AL22)</x:f>
      </x:c>
      <x:c r="AM32">
        <x:f>SUM('CF_1'!AM22,'CF_2'!AM22,'CF_3'!AM22,'CF_4'!AM22)</x:f>
      </x:c>
      <x:c r="AN32">
        <x:f>SUM('CF_1'!AN22,'CF_2'!AN22,'CF_3'!AN22,'CF_4'!AN22)</x:f>
      </x:c>
      <x:c r="AO32">
        <x:f>SUM('CF_1'!AO22,'CF_2'!AO22,'CF_3'!AO22,'CF_4'!AO22)</x:f>
      </x:c>
      <x:c r="AP32">
        <x:f>SUM('CF_1'!AP22,'CF_2'!AP22,'CF_3'!AP22,'CF_4'!AP22)</x:f>
      </x:c>
      <x:c r="AQ32">
        <x:f>SUM('CF_1'!AQ22,'CF_2'!AQ22,'CF_3'!AQ22,'CF_4'!AQ22)</x:f>
      </x:c>
      <x:c r="AR32">
        <x:f>SUM('CF_1'!AR22,'CF_2'!AR22,'CF_3'!AR22,'CF_4'!AR22)</x:f>
      </x:c>
      <x:c r="AS32">
        <x:f>SUM('CF_1'!AS22,'CF_2'!AS22,'CF_3'!AS22,'CF_4'!AS22)</x:f>
      </x:c>
      <x:c r="AT32">
        <x:f>SUM('CF_1'!AT22,'CF_2'!AT22,'CF_3'!AT22,'CF_4'!AT22)</x:f>
      </x:c>
      <x:c r="AU32">
        <x:f>SUM('CF_1'!AU22,'CF_2'!AU22,'CF_3'!AU22,'CF_4'!AU22)</x:f>
      </x:c>
      <x:c r="AV32">
        <x:f>SUM('CF_1'!AV22,'CF_2'!AV22,'CF_3'!AV22,'CF_4'!AV22)</x:f>
      </x:c>
      <x:c r="AW32">
        <x:f>SUM('CF_1'!AW22,'CF_2'!AW22,'CF_3'!AW22,'CF_4'!AW22)</x:f>
      </x:c>
      <x:c r="AX32">
        <x:f>SUM('CF_1'!AX22,'CF_2'!AX22,'CF_3'!AX22,'CF_4'!AX22)</x:f>
      </x:c>
      <x:c r="AY32">
        <x:f>SUM('CF_1'!AY22,'CF_2'!AY22,'CF_3'!AY22,'CF_4'!AY22)</x:f>
      </x:c>
      <x:c r="AZ32">
        <x:f>SUM('CF_1'!AZ22,'CF_2'!AZ22,'CF_3'!AZ22,'CF_4'!AZ22)</x:f>
      </x:c>
      <x:c r="BA32">
        <x:f>SUM('CF_1'!BA22,'CF_2'!BA22,'CF_3'!BA22,'CF_4'!BA22)</x:f>
      </x:c>
      <x:c r="BB32">
        <x:f>SUM('CF_1'!BB22,'CF_2'!BB22,'CF_3'!BB22,'CF_4'!BB22)</x:f>
      </x:c>
      <x:c r="BC32">
        <x:f>SUM('CF_1'!BC22,'CF_2'!BC22,'CF_3'!BC22,'CF_4'!BC22)</x:f>
      </x:c>
      <x:c r="BD32">
        <x:f>SUM('CF_1'!BD22,'CF_2'!BD22,'CF_3'!BD22,'CF_4'!BD22)</x:f>
      </x:c>
      <x:c r="BE32">
        <x:f>SUM('CF_1'!BE22,'CF_2'!BE22,'CF_3'!BE22,'CF_4'!BE22)</x:f>
      </x:c>
      <x:c r="BF32">
        <x:f>SUM('CF_1'!BF22,'CF_2'!BF22,'CF_3'!BF22,'CF_4'!BF22)</x:f>
      </x:c>
      <x:c r="BG32">
        <x:f>SUM('CF_1'!BG22,'CF_2'!BG22,'CF_3'!BG22,'CF_4'!BG22)</x:f>
      </x:c>
      <x:c r="BH32">
        <x:f>SUM('CF_1'!BH22,'CF_2'!BH22,'CF_3'!BH22,'CF_4'!BH22)</x:f>
      </x:c>
      <x:c r="BI32">
        <x:f>SUM('CF_1'!BI22,'CF_2'!BI22,'CF_3'!BI22,'CF_4'!BI22)</x:f>
      </x:c>
      <x:c r="BJ32">
        <x:f>SUM('CF_1'!BJ22,'CF_2'!BJ22,'CF_3'!BJ22,'CF_4'!BJ22)</x:f>
      </x:c>
      <x:c r="BK32">
        <x:f>SUM('CF_1'!BK22,'CF_2'!BK22,'CF_3'!BK22,'CF_4'!BK22)</x:f>
      </x:c>
      <x:c r="BL32">
        <x:f>SUM('CF_1'!BL22,'CF_2'!BL22,'CF_3'!BL22,'CF_4'!BL22)</x:f>
      </x:c>
      <x:c r="BM32">
        <x:f>SUM('CF_1'!BM22,'CF_2'!BM22,'CF_3'!BM22,'CF_4'!BM22)</x:f>
      </x:c>
      <x:c r="BN32">
        <x:f>SUM('CF_1'!BN22,'CF_2'!BN22,'CF_3'!BN22,'CF_4'!BN22)</x:f>
      </x:c>
      <x:c r="BO32">
        <x:f>SUM('CF_1'!BO22,'CF_2'!BO22,'CF_3'!BO22,'CF_4'!BO22)</x:f>
      </x:c>
      <x:c r="BP32">
        <x:f>SUM('CF_1'!BP22,'CF_2'!BP22,'CF_3'!BP22,'CF_4'!BP22)</x:f>
      </x:c>
      <x:c r="BQ32">
        <x:f>SUM('CF_1'!BQ22,'CF_2'!BQ22,'CF_3'!BQ22,'CF_4'!BQ22)</x:f>
      </x:c>
      <x:c r="BR32">
        <x:f>SUM('CF_1'!BR22,'CF_2'!BR22,'CF_3'!BR22,'CF_4'!BR22)</x:f>
      </x:c>
      <x:c r="BS32">
        <x:f>SUM('CF_1'!BS22,'CF_2'!BS22,'CF_3'!BS22,'CF_4'!BS22)</x:f>
      </x:c>
      <x:c r="BT32">
        <x:f>SUM('CF_1'!BT22,'CF_2'!BT22,'CF_3'!BT22,'CF_4'!BT22)</x:f>
      </x:c>
      <x:c r="BU32">
        <x:f>SUM('CF_1'!BU22,'CF_2'!BU22,'CF_3'!BU22,'CF_4'!BU22)</x:f>
      </x:c>
      <x:c r="BV32">
        <x:f>SUM('CF_1'!BV22,'CF_2'!BV22,'CF_3'!BV22,'CF_4'!BV22)</x:f>
      </x:c>
      <x:c r="BW32">
        <x:f>SUM('CF_1'!BW22,'CF_2'!BW22,'CF_3'!BW22,'CF_4'!BW22)</x:f>
      </x:c>
      <x:c r="BX32">
        <x:f>SUM('CF_1'!BX22,'CF_2'!BX22,'CF_3'!BX22,'CF_4'!BX22)</x:f>
      </x:c>
      <x:c r="BY32">
        <x:f>SUM('CF_1'!BY22,'CF_2'!BY22,'CF_3'!BY22,'CF_4'!BY22)</x:f>
      </x:c>
      <x:c r="BZ32">
        <x:f>SUM('CF_1'!BZ22,'CF_2'!BZ22,'CF_3'!BZ22,'CF_4'!BZ22)</x:f>
      </x:c>
      <x:c r="CA32">
        <x:f>SUM('CF_1'!CA22,'CF_2'!CA22,'CF_3'!CA22,'CF_4'!CA22)</x:f>
      </x:c>
      <x:c r="CB32">
        <x:f>SUM('CF_1'!CB22,'CF_2'!CB22,'CF_3'!CB22,'CF_4'!CB22)</x:f>
      </x:c>
      <x:c r="CC32">
        <x:f>SUM('CF_1'!CC22,'CF_2'!CC22,'CF_3'!CC22,'CF_4'!CC22)</x:f>
      </x:c>
      <x:c r="CD32">
        <x:f>SUM('CF_1'!CD22,'CF_2'!CD22,'CF_3'!CD22,'CF_4'!CD22)</x:f>
      </x:c>
      <x:c r="CE32">
        <x:f>SUM('CF_1'!CE22,'CF_2'!CE22,'CF_3'!CE22,'CF_4'!CE22)</x:f>
      </x:c>
      <x:c r="CF32">
        <x:f>SUM('CF_1'!CF22,'CF_2'!CF22,'CF_3'!CF22,'CF_4'!CF22)</x:f>
      </x:c>
      <x:c r="CG32">
        <x:f>SUM('CF_1'!CG22,'CF_2'!CG22,'CF_3'!CG22,'CF_4'!CG22)</x:f>
      </x:c>
      <x:c r="CH32">
        <x:f>SUM('CF_1'!CH22,'CF_2'!CH22,'CF_3'!CH22,'CF_4'!CH22)</x:f>
      </x:c>
      <x:c r="CI32">
        <x:f>SUM('CF_1'!CI22,'CF_2'!CI22,'CF_3'!CI22,'CF_4'!CI22)</x:f>
      </x:c>
      <x:c r="CJ32">
        <x:f>SUM('CF_1'!CJ22,'CF_2'!CJ22,'CF_3'!CJ22,'CF_4'!CJ22)</x:f>
      </x:c>
      <x:c r="CK32">
        <x:f>SUM('CF_1'!CK22,'CF_2'!CK22,'CF_3'!CK22,'CF_4'!CK22)</x:f>
      </x:c>
      <x:c r="CL32">
        <x:f>SUM('CF_1'!CL22,'CF_2'!CL22,'CF_3'!CL22,'CF_4'!CL22)</x:f>
      </x:c>
      <x:c r="CM32">
        <x:f>SUM('CF_1'!CM22,'CF_2'!CM22,'CF_3'!CM22,'CF_4'!CM22)</x:f>
      </x:c>
      <x:c r="CN32">
        <x:f>SUM('CF_1'!CN22,'CF_2'!CN22,'CF_3'!CN22,'CF_4'!CN22)</x:f>
      </x:c>
      <x:c r="CO32">
        <x:f>SUM('CF_1'!CO22,'CF_2'!CO22,'CF_3'!CO22,'CF_4'!CO22)</x:f>
      </x:c>
      <x:c r="CP32">
        <x:f>SUM('CF_1'!CP22,'CF_2'!CP22,'CF_3'!CP22,'CF_4'!CP22)</x:f>
      </x:c>
      <x:c r="CQ32">
        <x:f>SUM('CF_1'!CQ22,'CF_2'!CQ22,'CF_3'!CQ22,'CF_4'!CQ22)</x:f>
      </x:c>
      <x:c r="CR32">
        <x:f>SUM('CF_1'!CR22,'CF_2'!CR22,'CF_3'!CR22,'CF_4'!CR22)</x:f>
      </x:c>
      <x:c r="CS32">
        <x:f>SUM('CF_1'!CS22,'CF_2'!CS22,'CF_3'!CS22,'CF_4'!CS22)</x:f>
      </x:c>
      <x:c r="CT32">
        <x:f>SUM('CF_1'!CT22,'CF_2'!CT22,'CF_3'!CT22,'CF_4'!CT22)</x:f>
      </x:c>
      <x:c r="CU32">
        <x:f>SUM('CF_1'!CU22,'CF_2'!CU22,'CF_3'!CU22,'CF_4'!CU22)</x:f>
      </x:c>
      <x:c r="CV32">
        <x:f>SUM('CF_1'!CV22,'CF_2'!CV22,'CF_3'!CV22,'CF_4'!CV22)</x:f>
      </x:c>
      <x:c r="CW32">
        <x:f>SUM('CF_1'!CW22,'CF_2'!CW22,'CF_3'!CW22,'CF_4'!CW22)</x:f>
      </x:c>
      <x:c r="CX32">
        <x:f>SUM('CF_1'!CX22,'CF_2'!CX22,'CF_3'!CX22,'CF_4'!CX22)</x:f>
      </x:c>
      <x:c r="CY32">
        <x:f>SUM('CF_1'!CY22,'CF_2'!CY22,'CF_3'!CY22,'CF_4'!CY22)</x:f>
      </x:c>
      <x:c r="CZ32">
        <x:f>SUM('CF_1'!CZ22,'CF_2'!CZ22,'CF_3'!CZ22,'CF_4'!CZ22)</x:f>
      </x:c>
      <x:c r="DA32">
        <x:f>SUM('CF_1'!DA22,'CF_2'!DA22,'CF_3'!DA22,'CF_4'!DA22)</x:f>
      </x:c>
      <x:c r="DB32">
        <x:f>SUM('CF_1'!DB22,'CF_2'!DB22,'CF_3'!DB22,'CF_4'!DB22)</x:f>
      </x:c>
      <x:c r="DC32">
        <x:f>SUM('CF_1'!DC22,'CF_2'!DC22,'CF_3'!DC22,'CF_4'!DC22)</x:f>
      </x:c>
      <x:c r="DD32">
        <x:f>SUM('CF_1'!DD22,'CF_2'!DD22,'CF_3'!DD22,'CF_4'!DD22)</x:f>
      </x:c>
      <x:c r="DE32">
        <x:f>SUM('CF_1'!DE22,'CF_2'!DE22,'CF_3'!DE22,'CF_4'!DE22)</x:f>
      </x:c>
      <x:c r="DF32">
        <x:f>SUM('CF_1'!DF22,'CF_2'!DF22,'CF_3'!DF22,'CF_4'!DF22)</x:f>
      </x:c>
      <x:c r="DG32">
        <x:f>SUM('CF_1'!DG22,'CF_2'!DG22,'CF_3'!DG22,'CF_4'!DG22)</x:f>
      </x:c>
      <x:c r="DH32">
        <x:f>SUM('CF_1'!DH22,'CF_2'!DH22,'CF_3'!DH22,'CF_4'!DH22)</x:f>
      </x:c>
      <x:c r="DI32">
        <x:f>SUM('CF_1'!DI22,'CF_2'!DI22,'CF_3'!DI22,'CF_4'!DI22)</x:f>
      </x:c>
      <x:c r="DJ32">
        <x:f>SUM('CF_1'!DJ22,'CF_2'!DJ22,'CF_3'!DJ22,'CF_4'!DJ22)</x:f>
      </x:c>
      <x:c r="DK32">
        <x:f>SUM('CF_1'!DK22,'CF_2'!DK22,'CF_3'!DK22,'CF_4'!DK22)</x:f>
      </x:c>
      <x:c r="DL32">
        <x:f>SUM('CF_1'!DL22,'CF_2'!DL22,'CF_3'!DL22,'CF_4'!DL22)</x:f>
      </x:c>
      <x:c r="DM32">
        <x:f>SUM('CF_1'!DM22,'CF_2'!DM22,'CF_3'!DM22,'CF_4'!DM22)</x:f>
      </x:c>
      <x:c r="DN32">
        <x:f>SUM('CF_1'!DN22,'CF_2'!DN22,'CF_3'!DN22,'CF_4'!DN22)</x:f>
      </x:c>
      <x:c r="DO32">
        <x:f>SUM('CF_1'!DO22,'CF_2'!DO22,'CF_3'!DO22,'CF_4'!DO22)</x:f>
      </x:c>
      <x:c r="DP32">
        <x:f>SUM('CF_1'!DP22,'CF_2'!DP22,'CF_3'!DP22,'CF_4'!DP22)</x:f>
      </x:c>
      <x:c r="DQ32">
        <x:f>SUM('CF_1'!DQ22,'CF_2'!DQ22,'CF_3'!DQ22,'CF_4'!DQ22)</x:f>
      </x:c>
      <x:c r="DR32">
        <x:f>SUM('CF_1'!DR22,'CF_2'!DR22,'CF_3'!DR22,'CF_4'!DR22)</x:f>
      </x:c>
      <x:c r="DS32">
        <x:f>SUM('CF_1'!DS22,'CF_2'!DS22,'CF_3'!DS22,'CF_4'!DS22)</x:f>
      </x:c>
    </x:row>
    <x:row r="33">
      <x:c r="A33" t="inlineStr">
        <x:is>
          <x:t>Результат года нарастающим</x:t>
        </x:is>
      </x:c>
      <x:c r="D33">
        <x:f>D32</x:f>
      </x:c>
      <x:c r="E33">
        <x:f>IF(AND(E$3&gt;=$B$31,D$3&gt;=$B$31),IF(YEAR(E$3)=YEAR(D$3),D33+E32,E32),D33+E32)</x:f>
      </x:c>
      <x:c r="F33">
        <x:f>IF(AND(F$3&gt;=$B$31,E$3&gt;=$B$31),IF(YEAR(F$3)=YEAR(E$3),E33+F32,F32),E33+F32)</x:f>
      </x:c>
      <x:c r="G33">
        <x:f>IF(AND(G$3&gt;=$B$31,F$3&gt;=$B$31),IF(YEAR(G$3)=YEAR(F$3),F33+G32,G32),F33+G32)</x:f>
      </x:c>
      <x:c r="H33">
        <x:f>IF(AND(H$3&gt;=$B$31,G$3&gt;=$B$31),IF(YEAR(H$3)=YEAR(G$3),G33+H32,H32),G33+H32)</x:f>
      </x:c>
      <x:c r="I33">
        <x:f>IF(AND(I$3&gt;=$B$31,H$3&gt;=$B$31),IF(YEAR(I$3)=YEAR(H$3),H33+I32,I32),H33+I32)</x:f>
      </x:c>
      <x:c r="J33">
        <x:f>IF(AND(J$3&gt;=$B$31,I$3&gt;=$B$31),IF(YEAR(J$3)=YEAR(I$3),I33+J32,J32),I33+J32)</x:f>
      </x:c>
      <x:c r="K33">
        <x:f>IF(AND(K$3&gt;=$B$31,J$3&gt;=$B$31),IF(YEAR(K$3)=YEAR(J$3),J33+K32,K32),J33+K32)</x:f>
      </x:c>
      <x:c r="L33">
        <x:f>IF(AND(L$3&gt;=$B$31,K$3&gt;=$B$31),IF(YEAR(L$3)=YEAR(K$3),K33+L32,L32),K33+L32)</x:f>
      </x:c>
      <x:c r="M33">
        <x:f>IF(AND(M$3&gt;=$B$31,L$3&gt;=$B$31),IF(YEAR(M$3)=YEAR(L$3),L33+M32,M32),L33+M32)</x:f>
      </x:c>
      <x:c r="N33">
        <x:f>IF(AND(N$3&gt;=$B$31,M$3&gt;=$B$31),IF(YEAR(N$3)=YEAR(M$3),M33+N32,N32),M33+N32)</x:f>
      </x:c>
      <x:c r="O33">
        <x:f>IF(AND(O$3&gt;=$B$31,N$3&gt;=$B$31),IF(YEAR(O$3)=YEAR(N$3),N33+O32,O32),N33+O32)</x:f>
      </x:c>
      <x:c r="P33">
        <x:f>IF(AND(P$3&gt;=$B$31,O$3&gt;=$B$31),IF(YEAR(P$3)=YEAR(O$3),O33+P32,P32),O33+P32)</x:f>
      </x:c>
      <x:c r="Q33">
        <x:f>IF(AND(Q$3&gt;=$B$31,P$3&gt;=$B$31),IF(YEAR(Q$3)=YEAR(P$3),P33+Q32,Q32),P33+Q32)</x:f>
      </x:c>
      <x:c r="R33">
        <x:f>IF(AND(R$3&gt;=$B$31,Q$3&gt;=$B$31),IF(YEAR(R$3)=YEAR(Q$3),Q33+R32,R32),Q33+R32)</x:f>
      </x:c>
      <x:c r="S33">
        <x:f>IF(AND(S$3&gt;=$B$31,R$3&gt;=$B$31),IF(YEAR(S$3)=YEAR(R$3),R33+S32,S32),R33+S32)</x:f>
      </x:c>
      <x:c r="T33">
        <x:f>IF(AND(T$3&gt;=$B$31,S$3&gt;=$B$31),IF(YEAR(T$3)=YEAR(S$3),S33+T32,T32),S33+T32)</x:f>
      </x:c>
      <x:c r="U33">
        <x:f>IF(AND(U$3&gt;=$B$31,T$3&gt;=$B$31),IF(YEAR(U$3)=YEAR(T$3),T33+U32,U32),T33+U32)</x:f>
      </x:c>
      <x:c r="V33">
        <x:f>IF(AND(V$3&gt;=$B$31,U$3&gt;=$B$31),IF(YEAR(V$3)=YEAR(U$3),U33+V32,V32),U33+V32)</x:f>
      </x:c>
      <x:c r="W33">
        <x:f>IF(AND(W$3&gt;=$B$31,V$3&gt;=$B$31),IF(YEAR(W$3)=YEAR(V$3),V33+W32,W32),V33+W32)</x:f>
      </x:c>
      <x:c r="X33">
        <x:f>IF(AND(X$3&gt;=$B$31,W$3&gt;=$B$31),IF(YEAR(X$3)=YEAR(W$3),W33+X32,X32),W33+X32)</x:f>
      </x:c>
      <x:c r="Y33">
        <x:f>IF(AND(Y$3&gt;=$B$31,X$3&gt;=$B$31),IF(YEAR(Y$3)=YEAR(X$3),X33+Y32,Y32),X33+Y32)</x:f>
      </x:c>
      <x:c r="Z33">
        <x:f>IF(AND(Z$3&gt;=$B$31,Y$3&gt;=$B$31),IF(YEAR(Z$3)=YEAR(Y$3),Y33+Z32,Z32),Y33+Z32)</x:f>
      </x:c>
      <x:c r="AA33">
        <x:f>IF(AND(AA$3&gt;=$B$31,Z$3&gt;=$B$31),IF(YEAR(AA$3)=YEAR(Z$3),Z33+AA32,AA32),Z33+AA32)</x:f>
      </x:c>
      <x:c r="AB33">
        <x:f>IF(AND(AB$3&gt;=$B$31,AA$3&gt;=$B$31),IF(YEAR(AB$3)=YEAR(AA$3),AA33+AB32,AB32),AA33+AB32)</x:f>
      </x:c>
      <x:c r="AC33">
        <x:f>IF(AND(AC$3&gt;=$B$31,AB$3&gt;=$B$31),IF(YEAR(AC$3)=YEAR(AB$3),AB33+AC32,AC32),AB33+AC32)</x:f>
      </x:c>
      <x:c r="AD33">
        <x:f>IF(AND(AD$3&gt;=$B$31,AC$3&gt;=$B$31),IF(YEAR(AD$3)=YEAR(AC$3),AC33+AD32,AD32),AC33+AD32)</x:f>
      </x:c>
      <x:c r="AE33">
        <x:f>IF(AND(AE$3&gt;=$B$31,AD$3&gt;=$B$31),IF(YEAR(AE$3)=YEAR(AD$3),AD33+AE32,AE32),AD33+AE32)</x:f>
      </x:c>
      <x:c r="AF33">
        <x:f>IF(AND(AF$3&gt;=$B$31,AE$3&gt;=$B$31),IF(YEAR(AF$3)=YEAR(AE$3),AE33+AF32,AF32),AE33+AF32)</x:f>
      </x:c>
      <x:c r="AG33">
        <x:f>IF(AND(AG$3&gt;=$B$31,AF$3&gt;=$B$31),IF(YEAR(AG$3)=YEAR(AF$3),AF33+AG32,AG32),AF33+AG32)</x:f>
      </x:c>
      <x:c r="AH33">
        <x:f>IF(AND(AH$3&gt;=$B$31,AG$3&gt;=$B$31),IF(YEAR(AH$3)=YEAR(AG$3),AG33+AH32,AH32),AG33+AH32)</x:f>
      </x:c>
      <x:c r="AI33">
        <x:f>IF(AND(AI$3&gt;=$B$31,AH$3&gt;=$B$31),IF(YEAR(AI$3)=YEAR(AH$3),AH33+AI32,AI32),AH33+AI32)</x:f>
      </x:c>
      <x:c r="AJ33">
        <x:f>IF(AND(AJ$3&gt;=$B$31,AI$3&gt;=$B$31),IF(YEAR(AJ$3)=YEAR(AI$3),AI33+AJ32,AJ32),AI33+AJ32)</x:f>
      </x:c>
      <x:c r="AK33">
        <x:f>IF(AND(AK$3&gt;=$B$31,AJ$3&gt;=$B$31),IF(YEAR(AK$3)=YEAR(AJ$3),AJ33+AK32,AK32),AJ33+AK32)</x:f>
      </x:c>
      <x:c r="AL33">
        <x:f>IF(AND(AL$3&gt;=$B$31,AK$3&gt;=$B$31),IF(YEAR(AL$3)=YEAR(AK$3),AK33+AL32,AL32),AK33+AL32)</x:f>
      </x:c>
      <x:c r="AM33">
        <x:f>IF(AND(AM$3&gt;=$B$31,AL$3&gt;=$B$31),IF(YEAR(AM$3)=YEAR(AL$3),AL33+AM32,AM32),AL33+AM32)</x:f>
      </x:c>
      <x:c r="AN33">
        <x:f>IF(AND(AN$3&gt;=$B$31,AM$3&gt;=$B$31),IF(YEAR(AN$3)=YEAR(AM$3),AM33+AN32,AN32),AM33+AN32)</x:f>
      </x:c>
      <x:c r="AO33">
        <x:f>IF(AND(AO$3&gt;=$B$31,AN$3&gt;=$B$31),IF(YEAR(AO$3)=YEAR(AN$3),AN33+AO32,AO32),AN33+AO32)</x:f>
      </x:c>
      <x:c r="AP33">
        <x:f>IF(AND(AP$3&gt;=$B$31,AO$3&gt;=$B$31),IF(YEAR(AP$3)=YEAR(AO$3),AO33+AP32,AP32),AO33+AP32)</x:f>
      </x:c>
      <x:c r="AQ33">
        <x:f>IF(AND(AQ$3&gt;=$B$31,AP$3&gt;=$B$31),IF(YEAR(AQ$3)=YEAR(AP$3),AP33+AQ32,AQ32),AP33+AQ32)</x:f>
      </x:c>
      <x:c r="AR33">
        <x:f>IF(AND(AR$3&gt;=$B$31,AQ$3&gt;=$B$31),IF(YEAR(AR$3)=YEAR(AQ$3),AQ33+AR32,AR32),AQ33+AR32)</x:f>
      </x:c>
      <x:c r="AS33">
        <x:f>IF(AND(AS$3&gt;=$B$31,AR$3&gt;=$B$31),IF(YEAR(AS$3)=YEAR(AR$3),AR33+AS32,AS32),AR33+AS32)</x:f>
      </x:c>
      <x:c r="AT33">
        <x:f>IF(AND(AT$3&gt;=$B$31,AS$3&gt;=$B$31),IF(YEAR(AT$3)=YEAR(AS$3),AS33+AT32,AT32),AS33+AT32)</x:f>
      </x:c>
      <x:c r="AU33">
        <x:f>IF(AND(AU$3&gt;=$B$31,AT$3&gt;=$B$31),IF(YEAR(AU$3)=YEAR(AT$3),AT33+AU32,AU32),AT33+AU32)</x:f>
      </x:c>
      <x:c r="AV33">
        <x:f>IF(AND(AV$3&gt;=$B$31,AU$3&gt;=$B$31),IF(YEAR(AV$3)=YEAR(AU$3),AU33+AV32,AV32),AU33+AV32)</x:f>
      </x:c>
      <x:c r="AW33">
        <x:f>IF(AND(AW$3&gt;=$B$31,AV$3&gt;=$B$31),IF(YEAR(AW$3)=YEAR(AV$3),AV33+AW32,AW32),AV33+AW32)</x:f>
      </x:c>
      <x:c r="AX33">
        <x:f>IF(AND(AX$3&gt;=$B$31,AW$3&gt;=$B$31),IF(YEAR(AX$3)=YEAR(AW$3),AW33+AX32,AX32),AW33+AX32)</x:f>
      </x:c>
      <x:c r="AY33">
        <x:f>IF(AND(AY$3&gt;=$B$31,AX$3&gt;=$B$31),IF(YEAR(AY$3)=YEAR(AX$3),AX33+AY32,AY32),AX33+AY32)</x:f>
      </x:c>
      <x:c r="AZ33">
        <x:f>IF(AND(AZ$3&gt;=$B$31,AY$3&gt;=$B$31),IF(YEAR(AZ$3)=YEAR(AY$3),AY33+AZ32,AZ32),AY33+AZ32)</x:f>
      </x:c>
      <x:c r="BA33">
        <x:f>IF(AND(BA$3&gt;=$B$31,AZ$3&gt;=$B$31),IF(YEAR(BA$3)=YEAR(AZ$3),AZ33+BA32,BA32),AZ33+BA32)</x:f>
      </x:c>
      <x:c r="BB33">
        <x:f>IF(AND(BB$3&gt;=$B$31,BA$3&gt;=$B$31),IF(YEAR(BB$3)=YEAR(BA$3),BA33+BB32,BB32),BA33+BB32)</x:f>
      </x:c>
      <x:c r="BC33">
        <x:f>IF(AND(BC$3&gt;=$B$31,BB$3&gt;=$B$31),IF(YEAR(BC$3)=YEAR(BB$3),BB33+BC32,BC32),BB33+BC32)</x:f>
      </x:c>
      <x:c r="BD33">
        <x:f>IF(AND(BD$3&gt;=$B$31,BC$3&gt;=$B$31),IF(YEAR(BD$3)=YEAR(BC$3),BC33+BD32,BD32),BC33+BD32)</x:f>
      </x:c>
      <x:c r="BE33">
        <x:f>IF(AND(BE$3&gt;=$B$31,BD$3&gt;=$B$31),IF(YEAR(BE$3)=YEAR(BD$3),BD33+BE32,BE32),BD33+BE32)</x:f>
      </x:c>
      <x:c r="BF33">
        <x:f>IF(AND(BF$3&gt;=$B$31,BE$3&gt;=$B$31),IF(YEAR(BF$3)=YEAR(BE$3),BE33+BF32,BF32),BE33+BF32)</x:f>
      </x:c>
      <x:c r="BG33">
        <x:f>IF(AND(BG$3&gt;=$B$31,BF$3&gt;=$B$31),IF(YEAR(BG$3)=YEAR(BF$3),BF33+BG32,BG32),BF33+BG32)</x:f>
      </x:c>
      <x:c r="BH33">
        <x:f>IF(AND(BH$3&gt;=$B$31,BG$3&gt;=$B$31),IF(YEAR(BH$3)=YEAR(BG$3),BG33+BH32,BH32),BG33+BH32)</x:f>
      </x:c>
      <x:c r="BI33">
        <x:f>IF(AND(BI$3&gt;=$B$31,BH$3&gt;=$B$31),IF(YEAR(BI$3)=YEAR(BH$3),BH33+BI32,BI32),BH33+BI32)</x:f>
      </x:c>
      <x:c r="BJ33">
        <x:f>IF(AND(BJ$3&gt;=$B$31,BI$3&gt;=$B$31),IF(YEAR(BJ$3)=YEAR(BI$3),BI33+BJ32,BJ32),BI33+BJ32)</x:f>
      </x:c>
      <x:c r="BK33">
        <x:f>IF(AND(BK$3&gt;=$B$31,BJ$3&gt;=$B$31),IF(YEAR(BK$3)=YEAR(BJ$3),BJ33+BK32,BK32),BJ33+BK32)</x:f>
      </x:c>
      <x:c r="BL33">
        <x:f>IF(AND(BL$3&gt;=$B$31,BK$3&gt;=$B$31),IF(YEAR(BL$3)=YEAR(BK$3),BK33+BL32,BL32),BK33+BL32)</x:f>
      </x:c>
      <x:c r="BM33">
        <x:f>IF(AND(BM$3&gt;=$B$31,BL$3&gt;=$B$31),IF(YEAR(BM$3)=YEAR(BL$3),BL33+BM32,BM32),BL33+BM32)</x:f>
      </x:c>
      <x:c r="BN33">
        <x:f>IF(AND(BN$3&gt;=$B$31,BM$3&gt;=$B$31),IF(YEAR(BN$3)=YEAR(BM$3),BM33+BN32,BN32),BM33+BN32)</x:f>
      </x:c>
      <x:c r="BO33">
        <x:f>IF(AND(BO$3&gt;=$B$31,BN$3&gt;=$B$31),IF(YEAR(BO$3)=YEAR(BN$3),BN33+BO32,BO32),BN33+BO32)</x:f>
      </x:c>
      <x:c r="BP33">
        <x:f>IF(AND(BP$3&gt;=$B$31,BO$3&gt;=$B$31),IF(YEAR(BP$3)=YEAR(BO$3),BO33+BP32,BP32),BO33+BP32)</x:f>
      </x:c>
      <x:c r="BQ33">
        <x:f>IF(AND(BQ$3&gt;=$B$31,BP$3&gt;=$B$31),IF(YEAR(BQ$3)=YEAR(BP$3),BP33+BQ32,BQ32),BP33+BQ32)</x:f>
      </x:c>
      <x:c r="BR33">
        <x:f>IF(AND(BR$3&gt;=$B$31,BQ$3&gt;=$B$31),IF(YEAR(BR$3)=YEAR(BQ$3),BQ33+BR32,BR32),BQ33+BR32)</x:f>
      </x:c>
      <x:c r="BS33">
        <x:f>IF(AND(BS$3&gt;=$B$31,BR$3&gt;=$B$31),IF(YEAR(BS$3)=YEAR(BR$3),BR33+BS32,BS32),BR33+BS32)</x:f>
      </x:c>
      <x:c r="BT33">
        <x:f>IF(AND(BT$3&gt;=$B$31,BS$3&gt;=$B$31),IF(YEAR(BT$3)=YEAR(BS$3),BS33+BT32,BT32),BS33+BT32)</x:f>
      </x:c>
      <x:c r="BU33">
        <x:f>IF(AND(BU$3&gt;=$B$31,BT$3&gt;=$B$31),IF(YEAR(BU$3)=YEAR(BT$3),BT33+BU32,BU32),BT33+BU32)</x:f>
      </x:c>
      <x:c r="BV33">
        <x:f>IF(AND(BV$3&gt;=$B$31,BU$3&gt;=$B$31),IF(YEAR(BV$3)=YEAR(BU$3),BU33+BV32,BV32),BU33+BV32)</x:f>
      </x:c>
      <x:c r="BW33">
        <x:f>IF(AND(BW$3&gt;=$B$31,BV$3&gt;=$B$31),IF(YEAR(BW$3)=YEAR(BV$3),BV33+BW32,BW32),BV33+BW32)</x:f>
      </x:c>
      <x:c r="BX33">
        <x:f>IF(AND(BX$3&gt;=$B$31,BW$3&gt;=$B$31),IF(YEAR(BX$3)=YEAR(BW$3),BW33+BX32,BX32),BW33+BX32)</x:f>
      </x:c>
      <x:c r="BY33">
        <x:f>IF(AND(BY$3&gt;=$B$31,BX$3&gt;=$B$31),IF(YEAR(BY$3)=YEAR(BX$3),BX33+BY32,BY32),BX33+BY32)</x:f>
      </x:c>
      <x:c r="BZ33">
        <x:f>IF(AND(BZ$3&gt;=$B$31,BY$3&gt;=$B$31),IF(YEAR(BZ$3)=YEAR(BY$3),BY33+BZ32,BZ32),BY33+BZ32)</x:f>
      </x:c>
      <x:c r="CA33">
        <x:f>IF(AND(CA$3&gt;=$B$31,BZ$3&gt;=$B$31),IF(YEAR(CA$3)=YEAR(BZ$3),BZ33+CA32,CA32),BZ33+CA32)</x:f>
      </x:c>
      <x:c r="CB33">
        <x:f>IF(AND(CB$3&gt;=$B$31,CA$3&gt;=$B$31),IF(YEAR(CB$3)=YEAR(CA$3),CA33+CB32,CB32),CA33+CB32)</x:f>
      </x:c>
      <x:c r="CC33">
        <x:f>IF(AND(CC$3&gt;=$B$31,CB$3&gt;=$B$31),IF(YEAR(CC$3)=YEAR(CB$3),CB33+CC32,CC32),CB33+CC32)</x:f>
      </x:c>
      <x:c r="CD33">
        <x:f>IF(AND(CD$3&gt;=$B$31,CC$3&gt;=$B$31),IF(YEAR(CD$3)=YEAR(CC$3),CC33+CD32,CD32),CC33+CD32)</x:f>
      </x:c>
      <x:c r="CE33">
        <x:f>IF(AND(CE$3&gt;=$B$31,CD$3&gt;=$B$31),IF(YEAR(CE$3)=YEAR(CD$3),CD33+CE32,CE32),CD33+CE32)</x:f>
      </x:c>
      <x:c r="CF33">
        <x:f>IF(AND(CF$3&gt;=$B$31,CE$3&gt;=$B$31),IF(YEAR(CF$3)=YEAR(CE$3),CE33+CF32,CF32),CE33+CF32)</x:f>
      </x:c>
      <x:c r="CG33">
        <x:f>IF(AND(CG$3&gt;=$B$31,CF$3&gt;=$B$31),IF(YEAR(CG$3)=YEAR(CF$3),CF33+CG32,CG32),CF33+CG32)</x:f>
      </x:c>
      <x:c r="CH33">
        <x:f>IF(AND(CH$3&gt;=$B$31,CG$3&gt;=$B$31),IF(YEAR(CH$3)=YEAR(CG$3),CG33+CH32,CH32),CG33+CH32)</x:f>
      </x:c>
      <x:c r="CI33">
        <x:f>IF(AND(CI$3&gt;=$B$31,CH$3&gt;=$B$31),IF(YEAR(CI$3)=YEAR(CH$3),CH33+CI32,CI32),CH33+CI32)</x:f>
      </x:c>
      <x:c r="CJ33">
        <x:f>IF(AND(CJ$3&gt;=$B$31,CI$3&gt;=$B$31),IF(YEAR(CJ$3)=YEAR(CI$3),CI33+CJ32,CJ32),CI33+CJ32)</x:f>
      </x:c>
      <x:c r="CK33">
        <x:f>IF(AND(CK$3&gt;=$B$31,CJ$3&gt;=$B$31),IF(YEAR(CK$3)=YEAR(CJ$3),CJ33+CK32,CK32),CJ33+CK32)</x:f>
      </x:c>
      <x:c r="CL33">
        <x:f>IF(AND(CL$3&gt;=$B$31,CK$3&gt;=$B$31),IF(YEAR(CL$3)=YEAR(CK$3),CK33+CL32,CL32),CK33+CL32)</x:f>
      </x:c>
      <x:c r="CM33">
        <x:f>IF(AND(CM$3&gt;=$B$31,CL$3&gt;=$B$31),IF(YEAR(CM$3)=YEAR(CL$3),CL33+CM32,CM32),CL33+CM32)</x:f>
      </x:c>
      <x:c r="CN33">
        <x:f>IF(AND(CN$3&gt;=$B$31,CM$3&gt;=$B$31),IF(YEAR(CN$3)=YEAR(CM$3),CM33+CN32,CN32),CM33+CN32)</x:f>
      </x:c>
      <x:c r="CO33">
        <x:f>IF(AND(CO$3&gt;=$B$31,CN$3&gt;=$B$31),IF(YEAR(CO$3)=YEAR(CN$3),CN33+CO32,CO32),CN33+CO32)</x:f>
      </x:c>
      <x:c r="CP33">
        <x:f>IF(AND(CP$3&gt;=$B$31,CO$3&gt;=$B$31),IF(YEAR(CP$3)=YEAR(CO$3),CO33+CP32,CP32),CO33+CP32)</x:f>
      </x:c>
      <x:c r="CQ33">
        <x:f>IF(AND(CQ$3&gt;=$B$31,CP$3&gt;=$B$31),IF(YEAR(CQ$3)=YEAR(CP$3),CP33+CQ32,CQ32),CP33+CQ32)</x:f>
      </x:c>
      <x:c r="CR33">
        <x:f>IF(AND(CR$3&gt;=$B$31,CQ$3&gt;=$B$31),IF(YEAR(CR$3)=YEAR(CQ$3),CQ33+CR32,CR32),CQ33+CR32)</x:f>
      </x:c>
      <x:c r="CS33">
        <x:f>IF(AND(CS$3&gt;=$B$31,CR$3&gt;=$B$31),IF(YEAR(CS$3)=YEAR(CR$3),CR33+CS32,CS32),CR33+CS32)</x:f>
      </x:c>
      <x:c r="CT33">
        <x:f>IF(AND(CT$3&gt;=$B$31,CS$3&gt;=$B$31),IF(YEAR(CT$3)=YEAR(CS$3),CS33+CT32,CT32),CS33+CT32)</x:f>
      </x:c>
      <x:c r="CU33">
        <x:f>IF(AND(CU$3&gt;=$B$31,CT$3&gt;=$B$31),IF(YEAR(CU$3)=YEAR(CT$3),CT33+CU32,CU32),CT33+CU32)</x:f>
      </x:c>
      <x:c r="CV33">
        <x:f>IF(AND(CV$3&gt;=$B$31,CU$3&gt;=$B$31),IF(YEAR(CV$3)=YEAR(CU$3),CU33+CV32,CV32),CU33+CV32)</x:f>
      </x:c>
      <x:c r="CW33">
        <x:f>IF(AND(CW$3&gt;=$B$31,CV$3&gt;=$B$31),IF(YEAR(CW$3)=YEAR(CV$3),CV33+CW32,CW32),CV33+CW32)</x:f>
      </x:c>
      <x:c r="CX33">
        <x:f>IF(AND(CX$3&gt;=$B$31,CW$3&gt;=$B$31),IF(YEAR(CX$3)=YEAR(CW$3),CW33+CX32,CX32),CW33+CX32)</x:f>
      </x:c>
      <x:c r="CY33">
        <x:f>IF(AND(CY$3&gt;=$B$31,CX$3&gt;=$B$31),IF(YEAR(CY$3)=YEAR(CX$3),CX33+CY32,CY32),CX33+CY32)</x:f>
      </x:c>
      <x:c r="CZ33">
        <x:f>IF(AND(CZ$3&gt;=$B$31,CY$3&gt;=$B$31),IF(YEAR(CZ$3)=YEAR(CY$3),CY33+CZ32,CZ32),CY33+CZ32)</x:f>
      </x:c>
      <x:c r="DA33">
        <x:f>IF(AND(DA$3&gt;=$B$31,CZ$3&gt;=$B$31),IF(YEAR(DA$3)=YEAR(CZ$3),CZ33+DA32,DA32),CZ33+DA32)</x:f>
      </x:c>
      <x:c r="DB33">
        <x:f>IF(AND(DB$3&gt;=$B$31,DA$3&gt;=$B$31),IF(YEAR(DB$3)=YEAR(DA$3),DA33+DB32,DB32),DA33+DB32)</x:f>
      </x:c>
      <x:c r="DC33">
        <x:f>IF(AND(DC$3&gt;=$B$31,DB$3&gt;=$B$31),IF(YEAR(DC$3)=YEAR(DB$3),DB33+DC32,DC32),DB33+DC32)</x:f>
      </x:c>
      <x:c r="DD33">
        <x:f>IF(AND(DD$3&gt;=$B$31,DC$3&gt;=$B$31),IF(YEAR(DD$3)=YEAR(DC$3),DC33+DD32,DD32),DC33+DD32)</x:f>
      </x:c>
      <x:c r="DE33">
        <x:f>IF(AND(DE$3&gt;=$B$31,DD$3&gt;=$B$31),IF(YEAR(DE$3)=YEAR(DD$3),DD33+DE32,DE32),DD33+DE32)</x:f>
      </x:c>
      <x:c r="DF33">
        <x:f>IF(AND(DF$3&gt;=$B$31,DE$3&gt;=$B$31),IF(YEAR(DF$3)=YEAR(DE$3),DE33+DF32,DF32),DE33+DF32)</x:f>
      </x:c>
      <x:c r="DG33">
        <x:f>IF(AND(DG$3&gt;=$B$31,DF$3&gt;=$B$31),IF(YEAR(DG$3)=YEAR(DF$3),DF33+DG32,DG32),DF33+DG32)</x:f>
      </x:c>
      <x:c r="DH33">
        <x:f>IF(AND(DH$3&gt;=$B$31,DG$3&gt;=$B$31),IF(YEAR(DH$3)=YEAR(DG$3),DG33+DH32,DH32),DG33+DH32)</x:f>
      </x:c>
      <x:c r="DI33">
        <x:f>IF(AND(DI$3&gt;=$B$31,DH$3&gt;=$B$31),IF(YEAR(DI$3)=YEAR(DH$3),DH33+DI32,DI32),DH33+DI32)</x:f>
      </x:c>
      <x:c r="DJ33">
        <x:f>IF(AND(DJ$3&gt;=$B$31,DI$3&gt;=$B$31),IF(YEAR(DJ$3)=YEAR(DI$3),DI33+DJ32,DJ32),DI33+DJ32)</x:f>
      </x:c>
      <x:c r="DK33">
        <x:f>IF(AND(DK$3&gt;=$B$31,DJ$3&gt;=$B$31),IF(YEAR(DK$3)=YEAR(DJ$3),DJ33+DK32,DK32),DJ33+DK32)</x:f>
      </x:c>
      <x:c r="DL33">
        <x:f>IF(AND(DL$3&gt;=$B$31,DK$3&gt;=$B$31),IF(YEAR(DL$3)=YEAR(DK$3),DK33+DL32,DL32),DK33+DL32)</x:f>
      </x:c>
      <x:c r="DM33">
        <x:f>IF(AND(DM$3&gt;=$B$31,DL$3&gt;=$B$31),IF(YEAR(DM$3)=YEAR(DL$3),DL33+DM32,DM32),DL33+DM32)</x:f>
      </x:c>
      <x:c r="DN33">
        <x:f>IF(AND(DN$3&gt;=$B$31,DM$3&gt;=$B$31),IF(YEAR(DN$3)=YEAR(DM$3),DM33+DN32,DN32),DM33+DN32)</x:f>
      </x:c>
      <x:c r="DO33">
        <x:f>IF(AND(DO$3&gt;=$B$31,DN$3&gt;=$B$31),IF(YEAR(DO$3)=YEAR(DN$3),DN33+DO32,DO32),DN33+DO32)</x:f>
      </x:c>
      <x:c r="DP33">
        <x:f>IF(AND(DP$3&gt;=$B$31,DO$3&gt;=$B$31),IF(YEAR(DP$3)=YEAR(DO$3),DO33+DP32,DP32),DO33+DP32)</x:f>
      </x:c>
      <x:c r="DQ33">
        <x:f>IF(AND(DQ$3&gt;=$B$31,DP$3&gt;=$B$31),IF(YEAR(DQ$3)=YEAR(DP$3),DP33+DQ32,DQ32),DP33+DQ32)</x:f>
      </x:c>
      <x:c r="DR33">
        <x:f>IF(AND(DR$3&gt;=$B$31,DQ$3&gt;=$B$31),IF(YEAR(DR$3)=YEAR(DQ$3),DQ33+DR32,DR32),DQ33+DR32)</x:f>
      </x:c>
      <x:c r="DS33">
        <x:f>IF(AND(DS$3&gt;=$B$31,DR$3&gt;=$B$31),IF(YEAR(DS$3)=YEAR(DR$3),DR33+DS32,DS32),DR33+DS32)</x:f>
      </x:c>
    </x:row>
    <x:row r="34">
      <x:c r="A34" t="inlineStr">
        <x:is>
          <x:t>Убыток прошлых лет к зачёту</x:t>
        </x:is>
      </x:c>
      <x:c r="D34">
        <x:v>0</x:v>
      </x:c>
      <x:c r="E34">
        <x:f>IF(AND(E$3&gt;=$B$31,D$3&gt;=$B$31),IF(YEAR(E$3)=YEAR(D$3),D34,D34+MAX(-D33,0)-IF(D33&gt;0,D35,0)),D34)</x:f>
      </x:c>
      <x:c r="F34">
        <x:f>IF(AND(F$3&gt;=$B$31,E$3&gt;=$B$31),IF(YEAR(F$3)=YEAR(E$3),E34,E34+MAX(-E33,0)-IF(E33&gt;0,E35,0)),E34)</x:f>
      </x:c>
      <x:c r="G34">
        <x:f>IF(AND(G$3&gt;=$B$31,F$3&gt;=$B$31),IF(YEAR(G$3)=YEAR(F$3),F34,F34+MAX(-F33,0)-IF(F33&gt;0,F35,0)),F34)</x:f>
      </x:c>
      <x:c r="H34">
        <x:f>IF(AND(H$3&gt;=$B$31,G$3&gt;=$B$31),IF(YEAR(H$3)=YEAR(G$3),G34,G34+MAX(-G33,0)-IF(G33&gt;0,G35,0)),G34)</x:f>
      </x:c>
      <x:c r="I34">
        <x:f>IF(AND(I$3&gt;=$B$31,H$3&gt;=$B$31),IF(YEAR(I$3)=YEAR(H$3),H34,H34+MAX(-H33,0)-IF(H33&gt;0,H35,0)),H34)</x:f>
      </x:c>
      <x:c r="J34">
        <x:f>IF(AND(J$3&gt;=$B$31,I$3&gt;=$B$31),IF(YEAR(J$3)=YEAR(I$3),I34,I34+MAX(-I33,0)-IF(I33&gt;0,I35,0)),I34)</x:f>
      </x:c>
      <x:c r="K34">
        <x:f>IF(AND(K$3&gt;=$B$31,J$3&gt;=$B$31),IF(YEAR(K$3)=YEAR(J$3),J34,J34+MAX(-J33,0)-IF(J33&gt;0,J35,0)),J34)</x:f>
      </x:c>
      <x:c r="L34">
        <x:f>IF(AND(L$3&gt;=$B$31,K$3&gt;=$B$31),IF(YEAR(L$3)=YEAR(K$3),K34,K34+MAX(-K33,0)-IF(K33&gt;0,K35,0)),K34)</x:f>
      </x:c>
      <x:c r="M34">
        <x:f>IF(AND(M$3&gt;=$B$31,L$3&gt;=$B$31),IF(YEAR(M$3)=YEAR(L$3),L34,L34+MAX(-L33,0)-IF(L33&gt;0,L35,0)),L34)</x:f>
      </x:c>
      <x:c r="N34">
        <x:f>IF(AND(N$3&gt;=$B$31,M$3&gt;=$B$31),IF(YEAR(N$3)=YEAR(M$3),M34,M34+MAX(-M33,0)-IF(M33&gt;0,M35,0)),M34)</x:f>
      </x:c>
      <x:c r="O34">
        <x:f>IF(AND(O$3&gt;=$B$31,N$3&gt;=$B$31),IF(YEAR(O$3)=YEAR(N$3),N34,N34+MAX(-N33,0)-IF(N33&gt;0,N35,0)),N34)</x:f>
      </x:c>
      <x:c r="P34">
        <x:f>IF(AND(P$3&gt;=$B$31,O$3&gt;=$B$31),IF(YEAR(P$3)=YEAR(O$3),O34,O34+MAX(-O33,0)-IF(O33&gt;0,O35,0)),O34)</x:f>
      </x:c>
      <x:c r="Q34">
        <x:f>IF(AND(Q$3&gt;=$B$31,P$3&gt;=$B$31),IF(YEAR(Q$3)=YEAR(P$3),P34,P34+MAX(-P33,0)-IF(P33&gt;0,P35,0)),P34)</x:f>
      </x:c>
      <x:c r="R34">
        <x:f>IF(AND(R$3&gt;=$B$31,Q$3&gt;=$B$31),IF(YEAR(R$3)=YEAR(Q$3),Q34,Q34+MAX(-Q33,0)-IF(Q33&gt;0,Q35,0)),Q34)</x:f>
      </x:c>
      <x:c r="S34">
        <x:f>IF(AND(S$3&gt;=$B$31,R$3&gt;=$B$31),IF(YEAR(S$3)=YEAR(R$3),R34,R34+MAX(-R33,0)-IF(R33&gt;0,R35,0)),R34)</x:f>
      </x:c>
      <x:c r="T34">
        <x:f>IF(AND(T$3&gt;=$B$31,S$3&gt;=$B$31),IF(YEAR(T$3)=YEAR(S$3),S34,S34+MAX(-S33,0)-IF(S33&gt;0,S35,0)),S34)</x:f>
      </x:c>
      <x:c r="U34">
        <x:f>IF(AND(U$3&gt;=$B$31,T$3&gt;=$B$31),IF(YEAR(U$3)=YEAR(T$3),T34,T34+MAX(-T33,0)-IF(T33&gt;0,T35,0)),T34)</x:f>
      </x:c>
      <x:c r="V34">
        <x:f>IF(AND(V$3&gt;=$B$31,U$3&gt;=$B$31),IF(YEAR(V$3)=YEAR(U$3),U34,U34+MAX(-U33,0)-IF(U33&gt;0,U35,0)),U34)</x:f>
      </x:c>
      <x:c r="W34">
        <x:f>IF(AND(W$3&gt;=$B$31,V$3&gt;=$B$31),IF(YEAR(W$3)=YEAR(V$3),V34,V34+MAX(-V33,0)-IF(V33&gt;0,V35,0)),V34)</x:f>
      </x:c>
      <x:c r="X34">
        <x:f>IF(AND(X$3&gt;=$B$31,W$3&gt;=$B$31),IF(YEAR(X$3)=YEAR(W$3),W34,W34+MAX(-W33,0)-IF(W33&gt;0,W35,0)),W34)</x:f>
      </x:c>
      <x:c r="Y34">
        <x:f>IF(AND(Y$3&gt;=$B$31,X$3&gt;=$B$31),IF(YEAR(Y$3)=YEAR(X$3),X34,X34+MAX(-X33,0)-IF(X33&gt;0,X35,0)),X34)</x:f>
      </x:c>
      <x:c r="Z34">
        <x:f>IF(AND(Z$3&gt;=$B$31,Y$3&gt;=$B$31),IF(YEAR(Z$3)=YEAR(Y$3),Y34,Y34+MAX(-Y33,0)-IF(Y33&gt;0,Y35,0)),Y34)</x:f>
      </x:c>
      <x:c r="AA34">
        <x:f>IF(AND(AA$3&gt;=$B$31,Z$3&gt;=$B$31),IF(YEAR(AA$3)=YEAR(Z$3),Z34,Z34+MAX(-Z33,0)-IF(Z33&gt;0,Z35,0)),Z34)</x:f>
      </x:c>
      <x:c r="AB34">
        <x:f>IF(AND(AB$3&gt;=$B$31,AA$3&gt;=$B$31),IF(YEAR(AB$3)=YEAR(AA$3),AA34,AA34+MAX(-AA33,0)-IF(AA33&gt;0,AA35,0)),AA34)</x:f>
      </x:c>
      <x:c r="AC34">
        <x:f>IF(AND(AC$3&gt;=$B$31,AB$3&gt;=$B$31),IF(YEAR(AC$3)=YEAR(AB$3),AB34,AB34+MAX(-AB33,0)-IF(AB33&gt;0,AB35,0)),AB34)</x:f>
      </x:c>
      <x:c r="AD34">
        <x:f>IF(AND(AD$3&gt;=$B$31,AC$3&gt;=$B$31),IF(YEAR(AD$3)=YEAR(AC$3),AC34,AC34+MAX(-AC33,0)-IF(AC33&gt;0,AC35,0)),AC34)</x:f>
      </x:c>
      <x:c r="AE34">
        <x:f>IF(AND(AE$3&gt;=$B$31,AD$3&gt;=$B$31),IF(YEAR(AE$3)=YEAR(AD$3),AD34,AD34+MAX(-AD33,0)-IF(AD33&gt;0,AD35,0)),AD34)</x:f>
      </x:c>
      <x:c r="AF34">
        <x:f>IF(AND(AF$3&gt;=$B$31,AE$3&gt;=$B$31),IF(YEAR(AF$3)=YEAR(AE$3),AE34,AE34+MAX(-AE33,0)-IF(AE33&gt;0,AE35,0)),AE34)</x:f>
      </x:c>
      <x:c r="AG34">
        <x:f>IF(AND(AG$3&gt;=$B$31,AF$3&gt;=$B$31),IF(YEAR(AG$3)=YEAR(AF$3),AF34,AF34+MAX(-AF33,0)-IF(AF33&gt;0,AF35,0)),AF34)</x:f>
      </x:c>
      <x:c r="AH34">
        <x:f>IF(AND(AH$3&gt;=$B$31,AG$3&gt;=$B$31),IF(YEAR(AH$3)=YEAR(AG$3),AG34,AG34+MAX(-AG33,0)-IF(AG33&gt;0,AG35,0)),AG34)</x:f>
      </x:c>
      <x:c r="AI34">
        <x:f>IF(AND(AI$3&gt;=$B$31,AH$3&gt;=$B$31),IF(YEAR(AI$3)=YEAR(AH$3),AH34,AH34+MAX(-AH33,0)-IF(AH33&gt;0,AH35,0)),AH34)</x:f>
      </x:c>
      <x:c r="AJ34">
        <x:f>IF(AND(AJ$3&gt;=$B$31,AI$3&gt;=$B$31),IF(YEAR(AJ$3)=YEAR(AI$3),AI34,AI34+MAX(-AI33,0)-IF(AI33&gt;0,AI35,0)),AI34)</x:f>
      </x:c>
      <x:c r="AK34">
        <x:f>IF(AND(AK$3&gt;=$B$31,AJ$3&gt;=$B$31),IF(YEAR(AK$3)=YEAR(AJ$3),AJ34,AJ34+MAX(-AJ33,0)-IF(AJ33&gt;0,AJ35,0)),AJ34)</x:f>
      </x:c>
      <x:c r="AL34">
        <x:f>IF(AND(AL$3&gt;=$B$31,AK$3&gt;=$B$31),IF(YEAR(AL$3)=YEAR(AK$3),AK34,AK34+MAX(-AK33,0)-IF(AK33&gt;0,AK35,0)),AK34)</x:f>
      </x:c>
      <x:c r="AM34">
        <x:f>IF(AND(AM$3&gt;=$B$31,AL$3&gt;=$B$31),IF(YEAR(AM$3)=YEAR(AL$3),AL34,AL34+MAX(-AL33,0)-IF(AL33&gt;0,AL35,0)),AL34)</x:f>
      </x:c>
      <x:c r="AN34">
        <x:f>IF(AND(AN$3&gt;=$B$31,AM$3&gt;=$B$31),IF(YEAR(AN$3)=YEAR(AM$3),AM34,AM34+MAX(-AM33,0)-IF(AM33&gt;0,AM35,0)),AM34)</x:f>
      </x:c>
      <x:c r="AO34">
        <x:f>IF(AND(AO$3&gt;=$B$31,AN$3&gt;=$B$31),IF(YEAR(AO$3)=YEAR(AN$3),AN34,AN34+MAX(-AN33,0)-IF(AN33&gt;0,AN35,0)),AN34)</x:f>
      </x:c>
      <x:c r="AP34">
        <x:f>IF(AND(AP$3&gt;=$B$31,AO$3&gt;=$B$31),IF(YEAR(AP$3)=YEAR(AO$3),AO34,AO34+MAX(-AO33,0)-IF(AO33&gt;0,AO35,0)),AO34)</x:f>
      </x:c>
      <x:c r="AQ34">
        <x:f>IF(AND(AQ$3&gt;=$B$31,AP$3&gt;=$B$31),IF(YEAR(AQ$3)=YEAR(AP$3),AP34,AP34+MAX(-AP33,0)-IF(AP33&gt;0,AP35,0)),AP34)</x:f>
      </x:c>
      <x:c r="AR34">
        <x:f>IF(AND(AR$3&gt;=$B$31,AQ$3&gt;=$B$31),IF(YEAR(AR$3)=YEAR(AQ$3),AQ34,AQ34+MAX(-AQ33,0)-IF(AQ33&gt;0,AQ35,0)),AQ34)</x:f>
      </x:c>
      <x:c r="AS34">
        <x:f>IF(AND(AS$3&gt;=$B$31,AR$3&gt;=$B$31),IF(YEAR(AS$3)=YEAR(AR$3),AR34,AR34+MAX(-AR33,0)-IF(AR33&gt;0,AR35,0)),AR34)</x:f>
      </x:c>
      <x:c r="AT34">
        <x:f>IF(AND(AT$3&gt;=$B$31,AS$3&gt;=$B$31),IF(YEAR(AT$3)=YEAR(AS$3),AS34,AS34+MAX(-AS33,0)-IF(AS33&gt;0,AS35,0)),AS34)</x:f>
      </x:c>
      <x:c r="AU34">
        <x:f>IF(AND(AU$3&gt;=$B$31,AT$3&gt;=$B$31),IF(YEAR(AU$3)=YEAR(AT$3),AT34,AT34+MAX(-AT33,0)-IF(AT33&gt;0,AT35,0)),AT34)</x:f>
      </x:c>
      <x:c r="AV34">
        <x:f>IF(AND(AV$3&gt;=$B$31,AU$3&gt;=$B$31),IF(YEAR(AV$3)=YEAR(AU$3),AU34,AU34+MAX(-AU33,0)-IF(AU33&gt;0,AU35,0)),AU34)</x:f>
      </x:c>
      <x:c r="AW34">
        <x:f>IF(AND(AW$3&gt;=$B$31,AV$3&gt;=$B$31),IF(YEAR(AW$3)=YEAR(AV$3),AV34,AV34+MAX(-AV33,0)-IF(AV33&gt;0,AV35,0)),AV34)</x:f>
      </x:c>
      <x:c r="AX34">
        <x:f>IF(AND(AX$3&gt;=$B$31,AW$3&gt;=$B$31),IF(YEAR(AX$3)=YEAR(AW$3),AW34,AW34+MAX(-AW33,0)-IF(AW33&gt;0,AW35,0)),AW34)</x:f>
      </x:c>
      <x:c r="AY34">
        <x:f>IF(AND(AY$3&gt;=$B$31,AX$3&gt;=$B$31),IF(YEAR(AY$3)=YEAR(AX$3),AX34,AX34+MAX(-AX33,0)-IF(AX33&gt;0,AX35,0)),AX34)</x:f>
      </x:c>
      <x:c r="AZ34">
        <x:f>IF(AND(AZ$3&gt;=$B$31,AY$3&gt;=$B$31),IF(YEAR(AZ$3)=YEAR(AY$3),AY34,AY34+MAX(-AY33,0)-IF(AY33&gt;0,AY35,0)),AY34)</x:f>
      </x:c>
      <x:c r="BA34">
        <x:f>IF(AND(BA$3&gt;=$B$31,AZ$3&gt;=$B$31),IF(YEAR(BA$3)=YEAR(AZ$3),AZ34,AZ34+MAX(-AZ33,0)-IF(AZ33&gt;0,AZ35,0)),AZ34)</x:f>
      </x:c>
      <x:c r="BB34">
        <x:f>IF(AND(BB$3&gt;=$B$31,BA$3&gt;=$B$31),IF(YEAR(BB$3)=YEAR(BA$3),BA34,BA34+MAX(-BA33,0)-IF(BA33&gt;0,BA35,0)),BA34)</x:f>
      </x:c>
      <x:c r="BC34">
        <x:f>IF(AND(BC$3&gt;=$B$31,BB$3&gt;=$B$31),IF(YEAR(BC$3)=YEAR(BB$3),BB34,BB34+MAX(-BB33,0)-IF(BB33&gt;0,BB35,0)),BB34)</x:f>
      </x:c>
      <x:c r="BD34">
        <x:f>IF(AND(BD$3&gt;=$B$31,BC$3&gt;=$B$31),IF(YEAR(BD$3)=YEAR(BC$3),BC34,BC34+MAX(-BC33,0)-IF(BC33&gt;0,BC35,0)),BC34)</x:f>
      </x:c>
      <x:c r="BE34">
        <x:f>IF(AND(BE$3&gt;=$B$31,BD$3&gt;=$B$31),IF(YEAR(BE$3)=YEAR(BD$3),BD34,BD34+MAX(-BD33,0)-IF(BD33&gt;0,BD35,0)),BD34)</x:f>
      </x:c>
      <x:c r="BF34">
        <x:f>IF(AND(BF$3&gt;=$B$31,BE$3&gt;=$B$31),IF(YEAR(BF$3)=YEAR(BE$3),BE34,BE34+MAX(-BE33,0)-IF(BE33&gt;0,BE35,0)),BE34)</x:f>
      </x:c>
      <x:c r="BG34">
        <x:f>IF(AND(BG$3&gt;=$B$31,BF$3&gt;=$B$31),IF(YEAR(BG$3)=YEAR(BF$3),BF34,BF34+MAX(-BF33,0)-IF(BF33&gt;0,BF35,0)),BF34)</x:f>
      </x:c>
      <x:c r="BH34">
        <x:f>IF(AND(BH$3&gt;=$B$31,BG$3&gt;=$B$31),IF(YEAR(BH$3)=YEAR(BG$3),BG34,BG34+MAX(-BG33,0)-IF(BG33&gt;0,BG35,0)),BG34)</x:f>
      </x:c>
      <x:c r="BI34">
        <x:f>IF(AND(BI$3&gt;=$B$31,BH$3&gt;=$B$31),IF(YEAR(BI$3)=YEAR(BH$3),BH34,BH34+MAX(-BH33,0)-IF(BH33&gt;0,BH35,0)),BH34)</x:f>
      </x:c>
      <x:c r="BJ34">
        <x:f>IF(AND(BJ$3&gt;=$B$31,BI$3&gt;=$B$31),IF(YEAR(BJ$3)=YEAR(BI$3),BI34,BI34+MAX(-BI33,0)-IF(BI33&gt;0,BI35,0)),BI34)</x:f>
      </x:c>
      <x:c r="BK34">
        <x:f>IF(AND(BK$3&gt;=$B$31,BJ$3&gt;=$B$31),IF(YEAR(BK$3)=YEAR(BJ$3),BJ34,BJ34+MAX(-BJ33,0)-IF(BJ33&gt;0,BJ35,0)),BJ34)</x:f>
      </x:c>
      <x:c r="BL34">
        <x:f>IF(AND(BL$3&gt;=$B$31,BK$3&gt;=$B$31),IF(YEAR(BL$3)=YEAR(BK$3),BK34,BK34+MAX(-BK33,0)-IF(BK33&gt;0,BK35,0)),BK34)</x:f>
      </x:c>
      <x:c r="BM34">
        <x:f>IF(AND(BM$3&gt;=$B$31,BL$3&gt;=$B$31),IF(YEAR(BM$3)=YEAR(BL$3),BL34,BL34+MAX(-BL33,0)-IF(BL33&gt;0,BL35,0)),BL34)</x:f>
      </x:c>
      <x:c r="BN34">
        <x:f>IF(AND(BN$3&gt;=$B$31,BM$3&gt;=$B$31),IF(YEAR(BN$3)=YEAR(BM$3),BM34,BM34+MAX(-BM33,0)-IF(BM33&gt;0,BM35,0)),BM34)</x:f>
      </x:c>
      <x:c r="BO34">
        <x:f>IF(AND(BO$3&gt;=$B$31,BN$3&gt;=$B$31),IF(YEAR(BO$3)=YEAR(BN$3),BN34,BN34+MAX(-BN33,0)-IF(BN33&gt;0,BN35,0)),BN34)</x:f>
      </x:c>
      <x:c r="BP34">
        <x:f>IF(AND(BP$3&gt;=$B$31,BO$3&gt;=$B$31),IF(YEAR(BP$3)=YEAR(BO$3),BO34,BO34+MAX(-BO33,0)-IF(BO33&gt;0,BO35,0)),BO34)</x:f>
      </x:c>
      <x:c r="BQ34">
        <x:f>IF(AND(BQ$3&gt;=$B$31,BP$3&gt;=$B$31),IF(YEAR(BQ$3)=YEAR(BP$3),BP34,BP34+MAX(-BP33,0)-IF(BP33&gt;0,BP35,0)),BP34)</x:f>
      </x:c>
      <x:c r="BR34">
        <x:f>IF(AND(BR$3&gt;=$B$31,BQ$3&gt;=$B$31),IF(YEAR(BR$3)=YEAR(BQ$3),BQ34,BQ34+MAX(-BQ33,0)-IF(BQ33&gt;0,BQ35,0)),BQ34)</x:f>
      </x:c>
      <x:c r="BS34">
        <x:f>IF(AND(BS$3&gt;=$B$31,BR$3&gt;=$B$31),IF(YEAR(BS$3)=YEAR(BR$3),BR34,BR34+MAX(-BR33,0)-IF(BR33&gt;0,BR35,0)),BR34)</x:f>
      </x:c>
      <x:c r="BT34">
        <x:f>IF(AND(BT$3&gt;=$B$31,BS$3&gt;=$B$31),IF(YEAR(BT$3)=YEAR(BS$3),BS34,BS34+MAX(-BS33,0)-IF(BS33&gt;0,BS35,0)),BS34)</x:f>
      </x:c>
      <x:c r="BU34">
        <x:f>IF(AND(BU$3&gt;=$B$31,BT$3&gt;=$B$31),IF(YEAR(BU$3)=YEAR(BT$3),BT34,BT34+MAX(-BT33,0)-IF(BT33&gt;0,BT35,0)),BT34)</x:f>
      </x:c>
      <x:c r="BV34">
        <x:f>IF(AND(BV$3&gt;=$B$31,BU$3&gt;=$B$31),IF(YEAR(BV$3)=YEAR(BU$3),BU34,BU34+MAX(-BU33,0)-IF(BU33&gt;0,BU35,0)),BU34)</x:f>
      </x:c>
      <x:c r="BW34">
        <x:f>IF(AND(BW$3&gt;=$B$31,BV$3&gt;=$B$31),IF(YEAR(BW$3)=YEAR(BV$3),BV34,BV34+MAX(-BV33,0)-IF(BV33&gt;0,BV35,0)),BV34)</x:f>
      </x:c>
      <x:c r="BX34">
        <x:f>IF(AND(BX$3&gt;=$B$31,BW$3&gt;=$B$31),IF(YEAR(BX$3)=YEAR(BW$3),BW34,BW34+MAX(-BW33,0)-IF(BW33&gt;0,BW35,0)),BW34)</x:f>
      </x:c>
      <x:c r="BY34">
        <x:f>IF(AND(BY$3&gt;=$B$31,BX$3&gt;=$B$31),IF(YEAR(BY$3)=YEAR(BX$3),BX34,BX34+MAX(-BX33,0)-IF(BX33&gt;0,BX35,0)),BX34)</x:f>
      </x:c>
      <x:c r="BZ34">
        <x:f>IF(AND(BZ$3&gt;=$B$31,BY$3&gt;=$B$31),IF(YEAR(BZ$3)=YEAR(BY$3),BY34,BY34+MAX(-BY33,0)-IF(BY33&gt;0,BY35,0)),BY34)</x:f>
      </x:c>
      <x:c r="CA34">
        <x:f>IF(AND(CA$3&gt;=$B$31,BZ$3&gt;=$B$31),IF(YEAR(CA$3)=YEAR(BZ$3),BZ34,BZ34+MAX(-BZ33,0)-IF(BZ33&gt;0,BZ35,0)),BZ34)</x:f>
      </x:c>
      <x:c r="CB34">
        <x:f>IF(AND(CB$3&gt;=$B$31,CA$3&gt;=$B$31),IF(YEAR(CB$3)=YEAR(CA$3),CA34,CA34+MAX(-CA33,0)-IF(CA33&gt;0,CA35,0)),CA34)</x:f>
      </x:c>
      <x:c r="CC34">
        <x:f>IF(AND(CC$3&gt;=$B$31,CB$3&gt;=$B$31),IF(YEAR(CC$3)=YEAR(CB$3),CB34,CB34+MAX(-CB33,0)-IF(CB33&gt;0,CB35,0)),CB34)</x:f>
      </x:c>
      <x:c r="CD34">
        <x:f>IF(AND(CD$3&gt;=$B$31,CC$3&gt;=$B$31),IF(YEAR(CD$3)=YEAR(CC$3),CC34,CC34+MAX(-CC33,0)-IF(CC33&gt;0,CC35,0)),CC34)</x:f>
      </x:c>
      <x:c r="CE34">
        <x:f>IF(AND(CE$3&gt;=$B$31,CD$3&gt;=$B$31),IF(YEAR(CE$3)=YEAR(CD$3),CD34,CD34+MAX(-CD33,0)-IF(CD33&gt;0,CD35,0)),CD34)</x:f>
      </x:c>
      <x:c r="CF34">
        <x:f>IF(AND(CF$3&gt;=$B$31,CE$3&gt;=$B$31),IF(YEAR(CF$3)=YEAR(CE$3),CE34,CE34+MAX(-CE33,0)-IF(CE33&gt;0,CE35,0)),CE34)</x:f>
      </x:c>
      <x:c r="CG34">
        <x:f>IF(AND(CG$3&gt;=$B$31,CF$3&gt;=$B$31),IF(YEAR(CG$3)=YEAR(CF$3),CF34,CF34+MAX(-CF33,0)-IF(CF33&gt;0,CF35,0)),CF34)</x:f>
      </x:c>
      <x:c r="CH34">
        <x:f>IF(AND(CH$3&gt;=$B$31,CG$3&gt;=$B$31),IF(YEAR(CH$3)=YEAR(CG$3),CG34,CG34+MAX(-CG33,0)-IF(CG33&gt;0,CG35,0)),CG34)</x:f>
      </x:c>
      <x:c r="CI34">
        <x:f>IF(AND(CI$3&gt;=$B$31,CH$3&gt;=$B$31),IF(YEAR(CI$3)=YEAR(CH$3),CH34,CH34+MAX(-CH33,0)-IF(CH33&gt;0,CH35,0)),CH34)</x:f>
      </x:c>
      <x:c r="CJ34">
        <x:f>IF(AND(CJ$3&gt;=$B$31,CI$3&gt;=$B$31),IF(YEAR(CJ$3)=YEAR(CI$3),CI34,CI34+MAX(-CI33,0)-IF(CI33&gt;0,CI35,0)),CI34)</x:f>
      </x:c>
      <x:c r="CK34">
        <x:f>IF(AND(CK$3&gt;=$B$31,CJ$3&gt;=$B$31),IF(YEAR(CK$3)=YEAR(CJ$3),CJ34,CJ34+MAX(-CJ33,0)-IF(CJ33&gt;0,CJ35,0)),CJ34)</x:f>
      </x:c>
      <x:c r="CL34">
        <x:f>IF(AND(CL$3&gt;=$B$31,CK$3&gt;=$B$31),IF(YEAR(CL$3)=YEAR(CK$3),CK34,CK34+MAX(-CK33,0)-IF(CK33&gt;0,CK35,0)),CK34)</x:f>
      </x:c>
      <x:c r="CM34">
        <x:f>IF(AND(CM$3&gt;=$B$31,CL$3&gt;=$B$31),IF(YEAR(CM$3)=YEAR(CL$3),CL34,CL34+MAX(-CL33,0)-IF(CL33&gt;0,CL35,0)),CL34)</x:f>
      </x:c>
      <x:c r="CN34">
        <x:f>IF(AND(CN$3&gt;=$B$31,CM$3&gt;=$B$31),IF(YEAR(CN$3)=YEAR(CM$3),CM34,CM34+MAX(-CM33,0)-IF(CM33&gt;0,CM35,0)),CM34)</x:f>
      </x:c>
      <x:c r="CO34">
        <x:f>IF(AND(CO$3&gt;=$B$31,CN$3&gt;=$B$31),IF(YEAR(CO$3)=YEAR(CN$3),CN34,CN34+MAX(-CN33,0)-IF(CN33&gt;0,CN35,0)),CN34)</x:f>
      </x:c>
      <x:c r="CP34">
        <x:f>IF(AND(CP$3&gt;=$B$31,CO$3&gt;=$B$31),IF(YEAR(CP$3)=YEAR(CO$3),CO34,CO34+MAX(-CO33,0)-IF(CO33&gt;0,CO35,0)),CO34)</x:f>
      </x:c>
      <x:c r="CQ34">
        <x:f>IF(AND(CQ$3&gt;=$B$31,CP$3&gt;=$B$31),IF(YEAR(CQ$3)=YEAR(CP$3),CP34,CP34+MAX(-CP33,0)-IF(CP33&gt;0,CP35,0)),CP34)</x:f>
      </x:c>
      <x:c r="CR34">
        <x:f>IF(AND(CR$3&gt;=$B$31,CQ$3&gt;=$B$31),IF(YEAR(CR$3)=YEAR(CQ$3),CQ34,CQ34+MAX(-CQ33,0)-IF(CQ33&gt;0,CQ35,0)),CQ34)</x:f>
      </x:c>
      <x:c r="CS34">
        <x:f>IF(AND(CS$3&gt;=$B$31,CR$3&gt;=$B$31),IF(YEAR(CS$3)=YEAR(CR$3),CR34,CR34+MAX(-CR33,0)-IF(CR33&gt;0,CR35,0)),CR34)</x:f>
      </x:c>
      <x:c r="CT34">
        <x:f>IF(AND(CT$3&gt;=$B$31,CS$3&gt;=$B$31),IF(YEAR(CT$3)=YEAR(CS$3),CS34,CS34+MAX(-CS33,0)-IF(CS33&gt;0,CS35,0)),CS34)</x:f>
      </x:c>
      <x:c r="CU34">
        <x:f>IF(AND(CU$3&gt;=$B$31,CT$3&gt;=$B$31),IF(YEAR(CU$3)=YEAR(CT$3),CT34,CT34+MAX(-CT33,0)-IF(CT33&gt;0,CT35,0)),CT34)</x:f>
      </x:c>
      <x:c r="CV34">
        <x:f>IF(AND(CV$3&gt;=$B$31,CU$3&gt;=$B$31),IF(YEAR(CV$3)=YEAR(CU$3),CU34,CU34+MAX(-CU33,0)-IF(CU33&gt;0,CU35,0)),CU34)</x:f>
      </x:c>
      <x:c r="CW34">
        <x:f>IF(AND(CW$3&gt;=$B$31,CV$3&gt;=$B$31),IF(YEAR(CW$3)=YEAR(CV$3),CV34,CV34+MAX(-CV33,0)-IF(CV33&gt;0,CV35,0)),CV34)</x:f>
      </x:c>
      <x:c r="CX34">
        <x:f>IF(AND(CX$3&gt;=$B$31,CW$3&gt;=$B$31),IF(YEAR(CX$3)=YEAR(CW$3),CW34,CW34+MAX(-CW33,0)-IF(CW33&gt;0,CW35,0)),CW34)</x:f>
      </x:c>
      <x:c r="CY34">
        <x:f>IF(AND(CY$3&gt;=$B$31,CX$3&gt;=$B$31),IF(YEAR(CY$3)=YEAR(CX$3),CX34,CX34+MAX(-CX33,0)-IF(CX33&gt;0,CX35,0)),CX34)</x:f>
      </x:c>
      <x:c r="CZ34">
        <x:f>IF(AND(CZ$3&gt;=$B$31,CY$3&gt;=$B$31),IF(YEAR(CZ$3)=YEAR(CY$3),CY34,CY34+MAX(-CY33,0)-IF(CY33&gt;0,CY35,0)),CY34)</x:f>
      </x:c>
      <x:c r="DA34">
        <x:f>IF(AND(DA$3&gt;=$B$31,CZ$3&gt;=$B$31),IF(YEAR(DA$3)=YEAR(CZ$3),CZ34,CZ34+MAX(-CZ33,0)-IF(CZ33&gt;0,CZ35,0)),CZ34)</x:f>
      </x:c>
      <x:c r="DB34">
        <x:f>IF(AND(DB$3&gt;=$B$31,DA$3&gt;=$B$31),IF(YEAR(DB$3)=YEAR(DA$3),DA34,DA34+MAX(-DA33,0)-IF(DA33&gt;0,DA35,0)),DA34)</x:f>
      </x:c>
      <x:c r="DC34">
        <x:f>IF(AND(DC$3&gt;=$B$31,DB$3&gt;=$B$31),IF(YEAR(DC$3)=YEAR(DB$3),DB34,DB34+MAX(-DB33,0)-IF(DB33&gt;0,DB35,0)),DB34)</x:f>
      </x:c>
      <x:c r="DD34">
        <x:f>IF(AND(DD$3&gt;=$B$31,DC$3&gt;=$B$31),IF(YEAR(DD$3)=YEAR(DC$3),DC34,DC34+MAX(-DC33,0)-IF(DC33&gt;0,DC35,0)),DC34)</x:f>
      </x:c>
      <x:c r="DE34">
        <x:f>IF(AND(DE$3&gt;=$B$31,DD$3&gt;=$B$31),IF(YEAR(DE$3)=YEAR(DD$3),DD34,DD34+MAX(-DD33,0)-IF(DD33&gt;0,DD35,0)),DD34)</x:f>
      </x:c>
      <x:c r="DF34">
        <x:f>IF(AND(DF$3&gt;=$B$31,DE$3&gt;=$B$31),IF(YEAR(DF$3)=YEAR(DE$3),DE34,DE34+MAX(-DE33,0)-IF(DE33&gt;0,DE35,0)),DE34)</x:f>
      </x:c>
      <x:c r="DG34">
        <x:f>IF(AND(DG$3&gt;=$B$31,DF$3&gt;=$B$31),IF(YEAR(DG$3)=YEAR(DF$3),DF34,DF34+MAX(-DF33,0)-IF(DF33&gt;0,DF35,0)),DF34)</x:f>
      </x:c>
      <x:c r="DH34">
        <x:f>IF(AND(DH$3&gt;=$B$31,DG$3&gt;=$B$31),IF(YEAR(DH$3)=YEAR(DG$3),DG34,DG34+MAX(-DG33,0)-IF(DG33&gt;0,DG35,0)),DG34)</x:f>
      </x:c>
      <x:c r="DI34">
        <x:f>IF(AND(DI$3&gt;=$B$31,DH$3&gt;=$B$31),IF(YEAR(DI$3)=YEAR(DH$3),DH34,DH34+MAX(-DH33,0)-IF(DH33&gt;0,DH35,0)),DH34)</x:f>
      </x:c>
      <x:c r="DJ34">
        <x:f>IF(AND(DJ$3&gt;=$B$31,DI$3&gt;=$B$31),IF(YEAR(DJ$3)=YEAR(DI$3),DI34,DI34+MAX(-DI33,0)-IF(DI33&gt;0,DI35,0)),DI34)</x:f>
      </x:c>
      <x:c r="DK34">
        <x:f>IF(AND(DK$3&gt;=$B$31,DJ$3&gt;=$B$31),IF(YEAR(DK$3)=YEAR(DJ$3),DJ34,DJ34+MAX(-DJ33,0)-IF(DJ33&gt;0,DJ35,0)),DJ34)</x:f>
      </x:c>
      <x:c r="DL34">
        <x:f>IF(AND(DL$3&gt;=$B$31,DK$3&gt;=$B$31),IF(YEAR(DL$3)=YEAR(DK$3),DK34,DK34+MAX(-DK33,0)-IF(DK33&gt;0,DK35,0)),DK34)</x:f>
      </x:c>
      <x:c r="DM34">
        <x:f>IF(AND(DM$3&gt;=$B$31,DL$3&gt;=$B$31),IF(YEAR(DM$3)=YEAR(DL$3),DL34,DL34+MAX(-DL33,0)-IF(DL33&gt;0,DL35,0)),DL34)</x:f>
      </x:c>
      <x:c r="DN34">
        <x:f>IF(AND(DN$3&gt;=$B$31,DM$3&gt;=$B$31),IF(YEAR(DN$3)=YEAR(DM$3),DM34,DM34+MAX(-DM33,0)-IF(DM33&gt;0,DM35,0)),DM34)</x:f>
      </x:c>
      <x:c r="DO34">
        <x:f>IF(AND(DO$3&gt;=$B$31,DN$3&gt;=$B$31),IF(YEAR(DO$3)=YEAR(DN$3),DN34,DN34+MAX(-DN33,0)-IF(DN33&gt;0,DN35,0)),DN34)</x:f>
      </x:c>
      <x:c r="DP34">
        <x:f>IF(AND(DP$3&gt;=$B$31,DO$3&gt;=$B$31),IF(YEAR(DP$3)=YEAR(DO$3),DO34,DO34+MAX(-DO33,0)-IF(DO33&gt;0,DO35,0)),DO34)</x:f>
      </x:c>
      <x:c r="DQ34">
        <x:f>IF(AND(DQ$3&gt;=$B$31,DP$3&gt;=$B$31),IF(YEAR(DQ$3)=YEAR(DP$3),DP34,DP34+MAX(-DP33,0)-IF(DP33&gt;0,DP35,0)),DP34)</x:f>
      </x:c>
      <x:c r="DR34">
        <x:f>IF(AND(DR$3&gt;=$B$31,DQ$3&gt;=$B$31),IF(YEAR(DR$3)=YEAR(DQ$3),DQ34,DQ34+MAX(-DQ33,0)-IF(DQ33&gt;0,DQ35,0)),DQ34)</x:f>
      </x:c>
      <x:c r="DS34">
        <x:f>IF(AND(DS$3&gt;=$B$31,DR$3&gt;=$B$31),IF(YEAR(DS$3)=YEAR(DR$3),DR34,DR34+MAX(-DR33,0)-IF(DR33&gt;0,DR35,0)),DR34)</x:f>
      </x:c>
    </x:row>
    <x:row r="35">
      <x:c r="A35" t="inlineStr">
        <x:is>
          <x:t>Зачтено убытка в этом году</x:t>
        </x:is>
      </x:c>
      <x:c r="D35">
        <x:f>IF(AND(D$3&gt;=$B$31,D33&gt;0,D34&gt;0),MIN(D34,D33*0.5),0)</x:f>
      </x:c>
      <x:c r="E35">
        <x:f>IF(AND(E$3&gt;=$B$31,E33&gt;0,E34&gt;0),MIN(E34,E33*0.5),0)</x:f>
      </x:c>
      <x:c r="F35">
        <x:f>IF(AND(F$3&gt;=$B$31,F33&gt;0,F34&gt;0),MIN(F34,F33*0.5),0)</x:f>
      </x:c>
      <x:c r="G35">
        <x:f>IF(AND(G$3&gt;=$B$31,G33&gt;0,G34&gt;0),MIN(G34,G33*0.5),0)</x:f>
      </x:c>
      <x:c r="H35">
        <x:f>IF(AND(H$3&gt;=$B$31,H33&gt;0,H34&gt;0),MIN(H34,H33*0.5),0)</x:f>
      </x:c>
      <x:c r="I35">
        <x:f>IF(AND(I$3&gt;=$B$31,I33&gt;0,I34&gt;0),MIN(I34,I33*0.5),0)</x:f>
      </x:c>
      <x:c r="J35">
        <x:f>IF(AND(J$3&gt;=$B$31,J33&gt;0,J34&gt;0),MIN(J34,J33*0.5),0)</x:f>
      </x:c>
      <x:c r="K35">
        <x:f>IF(AND(K$3&gt;=$B$31,K33&gt;0,K34&gt;0),MIN(K34,K33*0.5),0)</x:f>
      </x:c>
      <x:c r="L35">
        <x:f>IF(AND(L$3&gt;=$B$31,L33&gt;0,L34&gt;0),MIN(L34,L33*0.5),0)</x:f>
      </x:c>
      <x:c r="M35">
        <x:f>IF(AND(M$3&gt;=$B$31,M33&gt;0,M34&gt;0),MIN(M34,M33*0.5),0)</x:f>
      </x:c>
      <x:c r="N35">
        <x:f>IF(AND(N$3&gt;=$B$31,N33&gt;0,N34&gt;0),MIN(N34,N33*0.5),0)</x:f>
      </x:c>
      <x:c r="O35">
        <x:f>IF(AND(O$3&gt;=$B$31,O33&gt;0,O34&gt;0),MIN(O34,O33*0.5),0)</x:f>
      </x:c>
      <x:c r="P35">
        <x:f>IF(AND(P$3&gt;=$B$31,P33&gt;0,P34&gt;0),MIN(P34,P33*0.5),0)</x:f>
      </x:c>
      <x:c r="Q35">
        <x:f>IF(AND(Q$3&gt;=$B$31,Q33&gt;0,Q34&gt;0),MIN(Q34,Q33*0.5),0)</x:f>
      </x:c>
      <x:c r="R35">
        <x:f>IF(AND(R$3&gt;=$B$31,R33&gt;0,R34&gt;0),MIN(R34,R33*0.5),0)</x:f>
      </x:c>
      <x:c r="S35">
        <x:f>IF(AND(S$3&gt;=$B$31,S33&gt;0,S34&gt;0),MIN(S34,S33*0.5),0)</x:f>
      </x:c>
      <x:c r="T35">
        <x:f>IF(AND(T$3&gt;=$B$31,T33&gt;0,T34&gt;0),MIN(T34,T33*0.5),0)</x:f>
      </x:c>
      <x:c r="U35">
        <x:f>IF(AND(U$3&gt;=$B$31,U33&gt;0,U34&gt;0),MIN(U34,U33*0.5),0)</x:f>
      </x:c>
      <x:c r="V35">
        <x:f>IF(AND(V$3&gt;=$B$31,V33&gt;0,V34&gt;0),MIN(V34,V33*0.5),0)</x:f>
      </x:c>
      <x:c r="W35">
        <x:f>IF(AND(W$3&gt;=$B$31,W33&gt;0,W34&gt;0),MIN(W34,W33*0.5),0)</x:f>
      </x:c>
      <x:c r="X35">
        <x:f>IF(AND(X$3&gt;=$B$31,X33&gt;0,X34&gt;0),MIN(X34,X33*0.5),0)</x:f>
      </x:c>
      <x:c r="Y35">
        <x:f>IF(AND(Y$3&gt;=$B$31,Y33&gt;0,Y34&gt;0),MIN(Y34,Y33*0.5),0)</x:f>
      </x:c>
      <x:c r="Z35">
        <x:f>IF(AND(Z$3&gt;=$B$31,Z33&gt;0,Z34&gt;0),MIN(Z34,Z33*0.5),0)</x:f>
      </x:c>
      <x:c r="AA35">
        <x:f>IF(AND(AA$3&gt;=$B$31,AA33&gt;0,AA34&gt;0),MIN(AA34,AA33*0.5),0)</x:f>
      </x:c>
      <x:c r="AB35">
        <x:f>IF(AND(AB$3&gt;=$B$31,AB33&gt;0,AB34&gt;0),MIN(AB34,AB33*0.5),0)</x:f>
      </x:c>
      <x:c r="AC35">
        <x:f>IF(AND(AC$3&gt;=$B$31,AC33&gt;0,AC34&gt;0),MIN(AC34,AC33*0.5),0)</x:f>
      </x:c>
      <x:c r="AD35">
        <x:f>IF(AND(AD$3&gt;=$B$31,AD33&gt;0,AD34&gt;0),MIN(AD34,AD33*0.5),0)</x:f>
      </x:c>
      <x:c r="AE35">
        <x:f>IF(AND(AE$3&gt;=$B$31,AE33&gt;0,AE34&gt;0),MIN(AE34,AE33*0.5),0)</x:f>
      </x:c>
      <x:c r="AF35">
        <x:f>IF(AND(AF$3&gt;=$B$31,AF33&gt;0,AF34&gt;0),MIN(AF34,AF33*0.5),0)</x:f>
      </x:c>
      <x:c r="AG35">
        <x:f>IF(AND(AG$3&gt;=$B$31,AG33&gt;0,AG34&gt;0),MIN(AG34,AG33*0.5),0)</x:f>
      </x:c>
      <x:c r="AH35">
        <x:f>IF(AND(AH$3&gt;=$B$31,AH33&gt;0,AH34&gt;0),MIN(AH34,AH33*0.5),0)</x:f>
      </x:c>
      <x:c r="AI35">
        <x:f>IF(AND(AI$3&gt;=$B$31,AI33&gt;0,AI34&gt;0),MIN(AI34,AI33*0.5),0)</x:f>
      </x:c>
      <x:c r="AJ35">
        <x:f>IF(AND(AJ$3&gt;=$B$31,AJ33&gt;0,AJ34&gt;0),MIN(AJ34,AJ33*0.5),0)</x:f>
      </x:c>
      <x:c r="AK35">
        <x:f>IF(AND(AK$3&gt;=$B$31,AK33&gt;0,AK34&gt;0),MIN(AK34,AK33*0.5),0)</x:f>
      </x:c>
      <x:c r="AL35">
        <x:f>IF(AND(AL$3&gt;=$B$31,AL33&gt;0,AL34&gt;0),MIN(AL34,AL33*0.5),0)</x:f>
      </x:c>
      <x:c r="AM35">
        <x:f>IF(AND(AM$3&gt;=$B$31,AM33&gt;0,AM34&gt;0),MIN(AM34,AM33*0.5),0)</x:f>
      </x:c>
      <x:c r="AN35">
        <x:f>IF(AND(AN$3&gt;=$B$31,AN33&gt;0,AN34&gt;0),MIN(AN34,AN33*0.5),0)</x:f>
      </x:c>
      <x:c r="AO35">
        <x:f>IF(AND(AO$3&gt;=$B$31,AO33&gt;0,AO34&gt;0),MIN(AO34,AO33*0.5),0)</x:f>
      </x:c>
      <x:c r="AP35">
        <x:f>IF(AND(AP$3&gt;=$B$31,AP33&gt;0,AP34&gt;0),MIN(AP34,AP33*0.5),0)</x:f>
      </x:c>
      <x:c r="AQ35">
        <x:f>IF(AND(AQ$3&gt;=$B$31,AQ33&gt;0,AQ34&gt;0),MIN(AQ34,AQ33*0.5),0)</x:f>
      </x:c>
      <x:c r="AR35">
        <x:f>IF(AND(AR$3&gt;=$B$31,AR33&gt;0,AR34&gt;0),MIN(AR34,AR33*0.5),0)</x:f>
      </x:c>
      <x:c r="AS35">
        <x:f>IF(AND(AS$3&gt;=$B$31,AS33&gt;0,AS34&gt;0),MIN(AS34,AS33*0.5),0)</x:f>
      </x:c>
      <x:c r="AT35">
        <x:f>IF(AND(AT$3&gt;=$B$31,AT33&gt;0,AT34&gt;0),MIN(AT34,AT33*0.5),0)</x:f>
      </x:c>
      <x:c r="AU35">
        <x:f>IF(AND(AU$3&gt;=$B$31,AU33&gt;0,AU34&gt;0),MIN(AU34,AU33*0.5),0)</x:f>
      </x:c>
      <x:c r="AV35">
        <x:f>IF(AND(AV$3&gt;=$B$31,AV33&gt;0,AV34&gt;0),MIN(AV34,AV33*0.5),0)</x:f>
      </x:c>
      <x:c r="AW35">
        <x:f>IF(AND(AW$3&gt;=$B$31,AW33&gt;0,AW34&gt;0),MIN(AW34,AW33*0.5),0)</x:f>
      </x:c>
      <x:c r="AX35">
        <x:f>IF(AND(AX$3&gt;=$B$31,AX33&gt;0,AX34&gt;0),MIN(AX34,AX33*0.5),0)</x:f>
      </x:c>
      <x:c r="AY35">
        <x:f>IF(AND(AY$3&gt;=$B$31,AY33&gt;0,AY34&gt;0),MIN(AY34,AY33*0.5),0)</x:f>
      </x:c>
      <x:c r="AZ35">
        <x:f>IF(AND(AZ$3&gt;=$B$31,AZ33&gt;0,AZ34&gt;0),MIN(AZ34,AZ33*0.5),0)</x:f>
      </x:c>
      <x:c r="BA35">
        <x:f>IF(AND(BA$3&gt;=$B$31,BA33&gt;0,BA34&gt;0),MIN(BA34,BA33*0.5),0)</x:f>
      </x:c>
      <x:c r="BB35">
        <x:f>IF(AND(BB$3&gt;=$B$31,BB33&gt;0,BB34&gt;0),MIN(BB34,BB33*0.5),0)</x:f>
      </x:c>
      <x:c r="BC35">
        <x:f>IF(AND(BC$3&gt;=$B$31,BC33&gt;0,BC34&gt;0),MIN(BC34,BC33*0.5),0)</x:f>
      </x:c>
      <x:c r="BD35">
        <x:f>IF(AND(BD$3&gt;=$B$31,BD33&gt;0,BD34&gt;0),MIN(BD34,BD33*0.5),0)</x:f>
      </x:c>
      <x:c r="BE35">
        <x:f>IF(AND(BE$3&gt;=$B$31,BE33&gt;0,BE34&gt;0),MIN(BE34,BE33*0.5),0)</x:f>
      </x:c>
      <x:c r="BF35">
        <x:f>IF(AND(BF$3&gt;=$B$31,BF33&gt;0,BF34&gt;0),MIN(BF34,BF33*0.5),0)</x:f>
      </x:c>
      <x:c r="BG35">
        <x:f>IF(AND(BG$3&gt;=$B$31,BG33&gt;0,BG34&gt;0),MIN(BG34,BG33*0.5),0)</x:f>
      </x:c>
      <x:c r="BH35">
        <x:f>IF(AND(BH$3&gt;=$B$31,BH33&gt;0,BH34&gt;0),MIN(BH34,BH33*0.5),0)</x:f>
      </x:c>
      <x:c r="BI35">
        <x:f>IF(AND(BI$3&gt;=$B$31,BI33&gt;0,BI34&gt;0),MIN(BI34,BI33*0.5),0)</x:f>
      </x:c>
      <x:c r="BJ35">
        <x:f>IF(AND(BJ$3&gt;=$B$31,BJ33&gt;0,BJ34&gt;0),MIN(BJ34,BJ33*0.5),0)</x:f>
      </x:c>
      <x:c r="BK35">
        <x:f>IF(AND(BK$3&gt;=$B$31,BK33&gt;0,BK34&gt;0),MIN(BK34,BK33*0.5),0)</x:f>
      </x:c>
      <x:c r="BL35">
        <x:f>IF(AND(BL$3&gt;=$B$31,BL33&gt;0,BL34&gt;0),MIN(BL34,BL33*0.5),0)</x:f>
      </x:c>
      <x:c r="BM35">
        <x:f>IF(AND(BM$3&gt;=$B$31,BM33&gt;0,BM34&gt;0),MIN(BM34,BM33*0.5),0)</x:f>
      </x:c>
      <x:c r="BN35">
        <x:f>IF(AND(BN$3&gt;=$B$31,BN33&gt;0,BN34&gt;0),MIN(BN34,BN33*0.5),0)</x:f>
      </x:c>
      <x:c r="BO35">
        <x:f>IF(AND(BO$3&gt;=$B$31,BO33&gt;0,BO34&gt;0),MIN(BO34,BO33*0.5),0)</x:f>
      </x:c>
      <x:c r="BP35">
        <x:f>IF(AND(BP$3&gt;=$B$31,BP33&gt;0,BP34&gt;0),MIN(BP34,BP33*0.5),0)</x:f>
      </x:c>
      <x:c r="BQ35">
        <x:f>IF(AND(BQ$3&gt;=$B$31,BQ33&gt;0,BQ34&gt;0),MIN(BQ34,BQ33*0.5),0)</x:f>
      </x:c>
      <x:c r="BR35">
        <x:f>IF(AND(BR$3&gt;=$B$31,BR33&gt;0,BR34&gt;0),MIN(BR34,BR33*0.5),0)</x:f>
      </x:c>
      <x:c r="BS35">
        <x:f>IF(AND(BS$3&gt;=$B$31,BS33&gt;0,BS34&gt;0),MIN(BS34,BS33*0.5),0)</x:f>
      </x:c>
      <x:c r="BT35">
        <x:f>IF(AND(BT$3&gt;=$B$31,BT33&gt;0,BT34&gt;0),MIN(BT34,BT33*0.5),0)</x:f>
      </x:c>
      <x:c r="BU35">
        <x:f>IF(AND(BU$3&gt;=$B$31,BU33&gt;0,BU34&gt;0),MIN(BU34,BU33*0.5),0)</x:f>
      </x:c>
      <x:c r="BV35">
        <x:f>IF(AND(BV$3&gt;=$B$31,BV33&gt;0,BV34&gt;0),MIN(BV34,BV33*0.5),0)</x:f>
      </x:c>
      <x:c r="BW35">
        <x:f>IF(AND(BW$3&gt;=$B$31,BW33&gt;0,BW34&gt;0),MIN(BW34,BW33*0.5),0)</x:f>
      </x:c>
      <x:c r="BX35">
        <x:f>IF(AND(BX$3&gt;=$B$31,BX33&gt;0,BX34&gt;0),MIN(BX34,BX33*0.5),0)</x:f>
      </x:c>
      <x:c r="BY35">
        <x:f>IF(AND(BY$3&gt;=$B$31,BY33&gt;0,BY34&gt;0),MIN(BY34,BY33*0.5),0)</x:f>
      </x:c>
      <x:c r="BZ35">
        <x:f>IF(AND(BZ$3&gt;=$B$31,BZ33&gt;0,BZ34&gt;0),MIN(BZ34,BZ33*0.5),0)</x:f>
      </x:c>
      <x:c r="CA35">
        <x:f>IF(AND(CA$3&gt;=$B$31,CA33&gt;0,CA34&gt;0),MIN(CA34,CA33*0.5),0)</x:f>
      </x:c>
      <x:c r="CB35">
        <x:f>IF(AND(CB$3&gt;=$B$31,CB33&gt;0,CB34&gt;0),MIN(CB34,CB33*0.5),0)</x:f>
      </x:c>
      <x:c r="CC35">
        <x:f>IF(AND(CC$3&gt;=$B$31,CC33&gt;0,CC34&gt;0),MIN(CC34,CC33*0.5),0)</x:f>
      </x:c>
      <x:c r="CD35">
        <x:f>IF(AND(CD$3&gt;=$B$31,CD33&gt;0,CD34&gt;0),MIN(CD34,CD33*0.5),0)</x:f>
      </x:c>
      <x:c r="CE35">
        <x:f>IF(AND(CE$3&gt;=$B$31,CE33&gt;0,CE34&gt;0),MIN(CE34,CE33*0.5),0)</x:f>
      </x:c>
      <x:c r="CF35">
        <x:f>IF(AND(CF$3&gt;=$B$31,CF33&gt;0,CF34&gt;0),MIN(CF34,CF33*0.5),0)</x:f>
      </x:c>
      <x:c r="CG35">
        <x:f>IF(AND(CG$3&gt;=$B$31,CG33&gt;0,CG34&gt;0),MIN(CG34,CG33*0.5),0)</x:f>
      </x:c>
      <x:c r="CH35">
        <x:f>IF(AND(CH$3&gt;=$B$31,CH33&gt;0,CH34&gt;0),MIN(CH34,CH33*0.5),0)</x:f>
      </x:c>
      <x:c r="CI35">
        <x:f>IF(AND(CI$3&gt;=$B$31,CI33&gt;0,CI34&gt;0),MIN(CI34,CI33*0.5),0)</x:f>
      </x:c>
      <x:c r="CJ35">
        <x:f>IF(AND(CJ$3&gt;=$B$31,CJ33&gt;0,CJ34&gt;0),MIN(CJ34,CJ33*0.5),0)</x:f>
      </x:c>
      <x:c r="CK35">
        <x:f>IF(AND(CK$3&gt;=$B$31,CK33&gt;0,CK34&gt;0),MIN(CK34,CK33*0.5),0)</x:f>
      </x:c>
      <x:c r="CL35">
        <x:f>IF(AND(CL$3&gt;=$B$31,CL33&gt;0,CL34&gt;0),MIN(CL34,CL33*0.5),0)</x:f>
      </x:c>
      <x:c r="CM35">
        <x:f>IF(AND(CM$3&gt;=$B$31,CM33&gt;0,CM34&gt;0),MIN(CM34,CM33*0.5),0)</x:f>
      </x:c>
      <x:c r="CN35">
        <x:f>IF(AND(CN$3&gt;=$B$31,CN33&gt;0,CN34&gt;0),MIN(CN34,CN33*0.5),0)</x:f>
      </x:c>
      <x:c r="CO35">
        <x:f>IF(AND(CO$3&gt;=$B$31,CO33&gt;0,CO34&gt;0),MIN(CO34,CO33*0.5),0)</x:f>
      </x:c>
      <x:c r="CP35">
        <x:f>IF(AND(CP$3&gt;=$B$31,CP33&gt;0,CP34&gt;0),MIN(CP34,CP33*0.5),0)</x:f>
      </x:c>
      <x:c r="CQ35">
        <x:f>IF(AND(CQ$3&gt;=$B$31,CQ33&gt;0,CQ34&gt;0),MIN(CQ34,CQ33*0.5),0)</x:f>
      </x:c>
      <x:c r="CR35">
        <x:f>IF(AND(CR$3&gt;=$B$31,CR33&gt;0,CR34&gt;0),MIN(CR34,CR33*0.5),0)</x:f>
      </x:c>
      <x:c r="CS35">
        <x:f>IF(AND(CS$3&gt;=$B$31,CS33&gt;0,CS34&gt;0),MIN(CS34,CS33*0.5),0)</x:f>
      </x:c>
      <x:c r="CT35">
        <x:f>IF(AND(CT$3&gt;=$B$31,CT33&gt;0,CT34&gt;0),MIN(CT34,CT33*0.5),0)</x:f>
      </x:c>
      <x:c r="CU35">
        <x:f>IF(AND(CU$3&gt;=$B$31,CU33&gt;0,CU34&gt;0),MIN(CU34,CU33*0.5),0)</x:f>
      </x:c>
      <x:c r="CV35">
        <x:f>IF(AND(CV$3&gt;=$B$31,CV33&gt;0,CV34&gt;0),MIN(CV34,CV33*0.5),0)</x:f>
      </x:c>
      <x:c r="CW35">
        <x:f>IF(AND(CW$3&gt;=$B$31,CW33&gt;0,CW34&gt;0),MIN(CW34,CW33*0.5),0)</x:f>
      </x:c>
      <x:c r="CX35">
        <x:f>IF(AND(CX$3&gt;=$B$31,CX33&gt;0,CX34&gt;0),MIN(CX34,CX33*0.5),0)</x:f>
      </x:c>
      <x:c r="CY35">
        <x:f>IF(AND(CY$3&gt;=$B$31,CY33&gt;0,CY34&gt;0),MIN(CY34,CY33*0.5),0)</x:f>
      </x:c>
      <x:c r="CZ35">
        <x:f>IF(AND(CZ$3&gt;=$B$31,CZ33&gt;0,CZ34&gt;0),MIN(CZ34,CZ33*0.5),0)</x:f>
      </x:c>
      <x:c r="DA35">
        <x:f>IF(AND(DA$3&gt;=$B$31,DA33&gt;0,DA34&gt;0),MIN(DA34,DA33*0.5),0)</x:f>
      </x:c>
      <x:c r="DB35">
        <x:f>IF(AND(DB$3&gt;=$B$31,DB33&gt;0,DB34&gt;0),MIN(DB34,DB33*0.5),0)</x:f>
      </x:c>
      <x:c r="DC35">
        <x:f>IF(AND(DC$3&gt;=$B$31,DC33&gt;0,DC34&gt;0),MIN(DC34,DC33*0.5),0)</x:f>
      </x:c>
      <x:c r="DD35">
        <x:f>IF(AND(DD$3&gt;=$B$31,DD33&gt;0,DD34&gt;0),MIN(DD34,DD33*0.5),0)</x:f>
      </x:c>
      <x:c r="DE35">
        <x:f>IF(AND(DE$3&gt;=$B$31,DE33&gt;0,DE34&gt;0),MIN(DE34,DE33*0.5),0)</x:f>
      </x:c>
      <x:c r="DF35">
        <x:f>IF(AND(DF$3&gt;=$B$31,DF33&gt;0,DF34&gt;0),MIN(DF34,DF33*0.5),0)</x:f>
      </x:c>
      <x:c r="DG35">
        <x:f>IF(AND(DG$3&gt;=$B$31,DG33&gt;0,DG34&gt;0),MIN(DG34,DG33*0.5),0)</x:f>
      </x:c>
      <x:c r="DH35">
        <x:f>IF(AND(DH$3&gt;=$B$31,DH33&gt;0,DH34&gt;0),MIN(DH34,DH33*0.5),0)</x:f>
      </x:c>
      <x:c r="DI35">
        <x:f>IF(AND(DI$3&gt;=$B$31,DI33&gt;0,DI34&gt;0),MIN(DI34,DI33*0.5),0)</x:f>
      </x:c>
      <x:c r="DJ35">
        <x:f>IF(AND(DJ$3&gt;=$B$31,DJ33&gt;0,DJ34&gt;0),MIN(DJ34,DJ33*0.5),0)</x:f>
      </x:c>
      <x:c r="DK35">
        <x:f>IF(AND(DK$3&gt;=$B$31,DK33&gt;0,DK34&gt;0),MIN(DK34,DK33*0.5),0)</x:f>
      </x:c>
      <x:c r="DL35">
        <x:f>IF(AND(DL$3&gt;=$B$31,DL33&gt;0,DL34&gt;0),MIN(DL34,DL33*0.5),0)</x:f>
      </x:c>
      <x:c r="DM35">
        <x:f>IF(AND(DM$3&gt;=$B$31,DM33&gt;0,DM34&gt;0),MIN(DM34,DM33*0.5),0)</x:f>
      </x:c>
      <x:c r="DN35">
        <x:f>IF(AND(DN$3&gt;=$B$31,DN33&gt;0,DN34&gt;0),MIN(DN34,DN33*0.5),0)</x:f>
      </x:c>
      <x:c r="DO35">
        <x:f>IF(AND(DO$3&gt;=$B$31,DO33&gt;0,DO34&gt;0),MIN(DO34,DO33*0.5),0)</x:f>
      </x:c>
      <x:c r="DP35">
        <x:f>IF(AND(DP$3&gt;=$B$31,DP33&gt;0,DP34&gt;0),MIN(DP34,DP33*0.5),0)</x:f>
      </x:c>
      <x:c r="DQ35">
        <x:f>IF(AND(DQ$3&gt;=$B$31,DQ33&gt;0,DQ34&gt;0),MIN(DQ34,DQ33*0.5),0)</x:f>
      </x:c>
      <x:c r="DR35">
        <x:f>IF(AND(DR$3&gt;=$B$31,DR33&gt;0,DR34&gt;0),MIN(DR34,DR33*0.5),0)</x:f>
      </x:c>
      <x:c r="DS35">
        <x:f>IF(AND(DS$3&gt;=$B$31,DS33&gt;0,DS34&gt;0),MIN(DS34,DS33*0.5),0)</x:f>
      </x:c>
    </x:row>
    <x:row r="36">
      <x:c r="A36" t="inlineStr">
        <x:is>
          <x:t>Налог года нарастающим</x:t>
        </x:is>
      </x:c>
      <x:c r="D36">
        <x:f>D37</x:f>
      </x:c>
      <x:c r="E36">
        <x:f>IF(AND(E$3&gt;=$B$31,D$3&gt;=$B$31),IF(YEAR(E$3)=YEAR(D$3),D36+E37,E37),E37)</x:f>
      </x:c>
      <x:c r="F36">
        <x:f>IF(AND(F$3&gt;=$B$31,E$3&gt;=$B$31),IF(YEAR(F$3)=YEAR(E$3),E36+F37,F37),F37)</x:f>
      </x:c>
      <x:c r="G36">
        <x:f>IF(AND(G$3&gt;=$B$31,F$3&gt;=$B$31),IF(YEAR(G$3)=YEAR(F$3),F36+G37,G37),G37)</x:f>
      </x:c>
      <x:c r="H36">
        <x:f>IF(AND(H$3&gt;=$B$31,G$3&gt;=$B$31),IF(YEAR(H$3)=YEAR(G$3),G36+H37,H37),H37)</x:f>
      </x:c>
      <x:c r="I36">
        <x:f>IF(AND(I$3&gt;=$B$31,H$3&gt;=$B$31),IF(YEAR(I$3)=YEAR(H$3),H36+I37,I37),I37)</x:f>
      </x:c>
      <x:c r="J36">
        <x:f>IF(AND(J$3&gt;=$B$31,I$3&gt;=$B$31),IF(YEAR(J$3)=YEAR(I$3),I36+J37,J37),J37)</x:f>
      </x:c>
      <x:c r="K36">
        <x:f>IF(AND(K$3&gt;=$B$31,J$3&gt;=$B$31),IF(YEAR(K$3)=YEAR(J$3),J36+K37,K37),K37)</x:f>
      </x:c>
      <x:c r="L36">
        <x:f>IF(AND(L$3&gt;=$B$31,K$3&gt;=$B$31),IF(YEAR(L$3)=YEAR(K$3),K36+L37,L37),L37)</x:f>
      </x:c>
      <x:c r="M36">
        <x:f>IF(AND(M$3&gt;=$B$31,L$3&gt;=$B$31),IF(YEAR(M$3)=YEAR(L$3),L36+M37,M37),M37)</x:f>
      </x:c>
      <x:c r="N36">
        <x:f>IF(AND(N$3&gt;=$B$31,M$3&gt;=$B$31),IF(YEAR(N$3)=YEAR(M$3),M36+N37,N37),N37)</x:f>
      </x:c>
      <x:c r="O36">
        <x:f>IF(AND(O$3&gt;=$B$31,N$3&gt;=$B$31),IF(YEAR(O$3)=YEAR(N$3),N36+O37,O37),O37)</x:f>
      </x:c>
      <x:c r="P36">
        <x:f>IF(AND(P$3&gt;=$B$31,O$3&gt;=$B$31),IF(YEAR(P$3)=YEAR(O$3),O36+P37,P37),P37)</x:f>
      </x:c>
      <x:c r="Q36">
        <x:f>IF(AND(Q$3&gt;=$B$31,P$3&gt;=$B$31),IF(YEAR(Q$3)=YEAR(P$3),P36+Q37,Q37),Q37)</x:f>
      </x:c>
      <x:c r="R36">
        <x:f>IF(AND(R$3&gt;=$B$31,Q$3&gt;=$B$31),IF(YEAR(R$3)=YEAR(Q$3),Q36+R37,R37),R37)</x:f>
      </x:c>
      <x:c r="S36">
        <x:f>IF(AND(S$3&gt;=$B$31,R$3&gt;=$B$31),IF(YEAR(S$3)=YEAR(R$3),R36+S37,S37),S37)</x:f>
      </x:c>
      <x:c r="T36">
        <x:f>IF(AND(T$3&gt;=$B$31,S$3&gt;=$B$31),IF(YEAR(T$3)=YEAR(S$3),S36+T37,T37),T37)</x:f>
      </x:c>
      <x:c r="U36">
        <x:f>IF(AND(U$3&gt;=$B$31,T$3&gt;=$B$31),IF(YEAR(U$3)=YEAR(T$3),T36+U37,U37),U37)</x:f>
      </x:c>
      <x:c r="V36">
        <x:f>IF(AND(V$3&gt;=$B$31,U$3&gt;=$B$31),IF(YEAR(V$3)=YEAR(U$3),U36+V37,V37),V37)</x:f>
      </x:c>
      <x:c r="W36">
        <x:f>IF(AND(W$3&gt;=$B$31,V$3&gt;=$B$31),IF(YEAR(W$3)=YEAR(V$3),V36+W37,W37),W37)</x:f>
      </x:c>
      <x:c r="X36">
        <x:f>IF(AND(X$3&gt;=$B$31,W$3&gt;=$B$31),IF(YEAR(X$3)=YEAR(W$3),W36+X37,X37),X37)</x:f>
      </x:c>
      <x:c r="Y36">
        <x:f>IF(AND(Y$3&gt;=$B$31,X$3&gt;=$B$31),IF(YEAR(Y$3)=YEAR(X$3),X36+Y37,Y37),Y37)</x:f>
      </x:c>
      <x:c r="Z36">
        <x:f>IF(AND(Z$3&gt;=$B$31,Y$3&gt;=$B$31),IF(YEAR(Z$3)=YEAR(Y$3),Y36+Z37,Z37),Z37)</x:f>
      </x:c>
      <x:c r="AA36">
        <x:f>IF(AND(AA$3&gt;=$B$31,Z$3&gt;=$B$31),IF(YEAR(AA$3)=YEAR(Z$3),Z36+AA37,AA37),AA37)</x:f>
      </x:c>
      <x:c r="AB36">
        <x:f>IF(AND(AB$3&gt;=$B$31,AA$3&gt;=$B$31),IF(YEAR(AB$3)=YEAR(AA$3),AA36+AB37,AB37),AB37)</x:f>
      </x:c>
      <x:c r="AC36">
        <x:f>IF(AND(AC$3&gt;=$B$31,AB$3&gt;=$B$31),IF(YEAR(AC$3)=YEAR(AB$3),AB36+AC37,AC37),AC37)</x:f>
      </x:c>
      <x:c r="AD36">
        <x:f>IF(AND(AD$3&gt;=$B$31,AC$3&gt;=$B$31),IF(YEAR(AD$3)=YEAR(AC$3),AC36+AD37,AD37),AD37)</x:f>
      </x:c>
      <x:c r="AE36">
        <x:f>IF(AND(AE$3&gt;=$B$31,AD$3&gt;=$B$31),IF(YEAR(AE$3)=YEAR(AD$3),AD36+AE37,AE37),AE37)</x:f>
      </x:c>
      <x:c r="AF36">
        <x:f>IF(AND(AF$3&gt;=$B$31,AE$3&gt;=$B$31),IF(YEAR(AF$3)=YEAR(AE$3),AE36+AF37,AF37),AF37)</x:f>
      </x:c>
      <x:c r="AG36">
        <x:f>IF(AND(AG$3&gt;=$B$31,AF$3&gt;=$B$31),IF(YEAR(AG$3)=YEAR(AF$3),AF36+AG37,AG37),AG37)</x:f>
      </x:c>
      <x:c r="AH36">
        <x:f>IF(AND(AH$3&gt;=$B$31,AG$3&gt;=$B$31),IF(YEAR(AH$3)=YEAR(AG$3),AG36+AH37,AH37),AH37)</x:f>
      </x:c>
      <x:c r="AI36">
        <x:f>IF(AND(AI$3&gt;=$B$31,AH$3&gt;=$B$31),IF(YEAR(AI$3)=YEAR(AH$3),AH36+AI37,AI37),AI37)</x:f>
      </x:c>
      <x:c r="AJ36">
        <x:f>IF(AND(AJ$3&gt;=$B$31,AI$3&gt;=$B$31),IF(YEAR(AJ$3)=YEAR(AI$3),AI36+AJ37,AJ37),AJ37)</x:f>
      </x:c>
      <x:c r="AK36">
        <x:f>IF(AND(AK$3&gt;=$B$31,AJ$3&gt;=$B$31),IF(YEAR(AK$3)=YEAR(AJ$3),AJ36+AK37,AK37),AK37)</x:f>
      </x:c>
      <x:c r="AL36">
        <x:f>IF(AND(AL$3&gt;=$B$31,AK$3&gt;=$B$31),IF(YEAR(AL$3)=YEAR(AK$3),AK36+AL37,AL37),AL37)</x:f>
      </x:c>
      <x:c r="AM36">
        <x:f>IF(AND(AM$3&gt;=$B$31,AL$3&gt;=$B$31),IF(YEAR(AM$3)=YEAR(AL$3),AL36+AM37,AM37),AM37)</x:f>
      </x:c>
      <x:c r="AN36">
        <x:f>IF(AND(AN$3&gt;=$B$31,AM$3&gt;=$B$31),IF(YEAR(AN$3)=YEAR(AM$3),AM36+AN37,AN37),AN37)</x:f>
      </x:c>
      <x:c r="AO36">
        <x:f>IF(AND(AO$3&gt;=$B$31,AN$3&gt;=$B$31),IF(YEAR(AO$3)=YEAR(AN$3),AN36+AO37,AO37),AO37)</x:f>
      </x:c>
      <x:c r="AP36">
        <x:f>IF(AND(AP$3&gt;=$B$31,AO$3&gt;=$B$31),IF(YEAR(AP$3)=YEAR(AO$3),AO36+AP37,AP37),AP37)</x:f>
      </x:c>
      <x:c r="AQ36">
        <x:f>IF(AND(AQ$3&gt;=$B$31,AP$3&gt;=$B$31),IF(YEAR(AQ$3)=YEAR(AP$3),AP36+AQ37,AQ37),AQ37)</x:f>
      </x:c>
      <x:c r="AR36">
        <x:f>IF(AND(AR$3&gt;=$B$31,AQ$3&gt;=$B$31),IF(YEAR(AR$3)=YEAR(AQ$3),AQ36+AR37,AR37),AR37)</x:f>
      </x:c>
      <x:c r="AS36">
        <x:f>IF(AND(AS$3&gt;=$B$31,AR$3&gt;=$B$31),IF(YEAR(AS$3)=YEAR(AR$3),AR36+AS37,AS37),AS37)</x:f>
      </x:c>
      <x:c r="AT36">
        <x:f>IF(AND(AT$3&gt;=$B$31,AS$3&gt;=$B$31),IF(YEAR(AT$3)=YEAR(AS$3),AS36+AT37,AT37),AT37)</x:f>
      </x:c>
      <x:c r="AU36">
        <x:f>IF(AND(AU$3&gt;=$B$31,AT$3&gt;=$B$31),IF(YEAR(AU$3)=YEAR(AT$3),AT36+AU37,AU37),AU37)</x:f>
      </x:c>
      <x:c r="AV36">
        <x:f>IF(AND(AV$3&gt;=$B$31,AU$3&gt;=$B$31),IF(YEAR(AV$3)=YEAR(AU$3),AU36+AV37,AV37),AV37)</x:f>
      </x:c>
      <x:c r="AW36">
        <x:f>IF(AND(AW$3&gt;=$B$31,AV$3&gt;=$B$31),IF(YEAR(AW$3)=YEAR(AV$3),AV36+AW37,AW37),AW37)</x:f>
      </x:c>
      <x:c r="AX36">
        <x:f>IF(AND(AX$3&gt;=$B$31,AW$3&gt;=$B$31),IF(YEAR(AX$3)=YEAR(AW$3),AW36+AX37,AX37),AX37)</x:f>
      </x:c>
      <x:c r="AY36">
        <x:f>IF(AND(AY$3&gt;=$B$31,AX$3&gt;=$B$31),IF(YEAR(AY$3)=YEAR(AX$3),AX36+AY37,AY37),AY37)</x:f>
      </x:c>
      <x:c r="AZ36">
        <x:f>IF(AND(AZ$3&gt;=$B$31,AY$3&gt;=$B$31),IF(YEAR(AZ$3)=YEAR(AY$3),AY36+AZ37,AZ37),AZ37)</x:f>
      </x:c>
      <x:c r="BA36">
        <x:f>IF(AND(BA$3&gt;=$B$31,AZ$3&gt;=$B$31),IF(YEAR(BA$3)=YEAR(AZ$3),AZ36+BA37,BA37),BA37)</x:f>
      </x:c>
      <x:c r="BB36">
        <x:f>IF(AND(BB$3&gt;=$B$31,BA$3&gt;=$B$31),IF(YEAR(BB$3)=YEAR(BA$3),BA36+BB37,BB37),BB37)</x:f>
      </x:c>
      <x:c r="BC36">
        <x:f>IF(AND(BC$3&gt;=$B$31,BB$3&gt;=$B$31),IF(YEAR(BC$3)=YEAR(BB$3),BB36+BC37,BC37),BC37)</x:f>
      </x:c>
      <x:c r="BD36">
        <x:f>IF(AND(BD$3&gt;=$B$31,BC$3&gt;=$B$31),IF(YEAR(BD$3)=YEAR(BC$3),BC36+BD37,BD37),BD37)</x:f>
      </x:c>
      <x:c r="BE36">
        <x:f>IF(AND(BE$3&gt;=$B$31,BD$3&gt;=$B$31),IF(YEAR(BE$3)=YEAR(BD$3),BD36+BE37,BE37),BE37)</x:f>
      </x:c>
      <x:c r="BF36">
        <x:f>IF(AND(BF$3&gt;=$B$31,BE$3&gt;=$B$31),IF(YEAR(BF$3)=YEAR(BE$3),BE36+BF37,BF37),BF37)</x:f>
      </x:c>
      <x:c r="BG36">
        <x:f>IF(AND(BG$3&gt;=$B$31,BF$3&gt;=$B$31),IF(YEAR(BG$3)=YEAR(BF$3),BF36+BG37,BG37),BG37)</x:f>
      </x:c>
      <x:c r="BH36">
        <x:f>IF(AND(BH$3&gt;=$B$31,BG$3&gt;=$B$31),IF(YEAR(BH$3)=YEAR(BG$3),BG36+BH37,BH37),BH37)</x:f>
      </x:c>
      <x:c r="BI36">
        <x:f>IF(AND(BI$3&gt;=$B$31,BH$3&gt;=$B$31),IF(YEAR(BI$3)=YEAR(BH$3),BH36+BI37,BI37),BI37)</x:f>
      </x:c>
      <x:c r="BJ36">
        <x:f>IF(AND(BJ$3&gt;=$B$31,BI$3&gt;=$B$31),IF(YEAR(BJ$3)=YEAR(BI$3),BI36+BJ37,BJ37),BJ37)</x:f>
      </x:c>
      <x:c r="BK36">
        <x:f>IF(AND(BK$3&gt;=$B$31,BJ$3&gt;=$B$31),IF(YEAR(BK$3)=YEAR(BJ$3),BJ36+BK37,BK37),BK37)</x:f>
      </x:c>
      <x:c r="BL36">
        <x:f>IF(AND(BL$3&gt;=$B$31,BK$3&gt;=$B$31),IF(YEAR(BL$3)=YEAR(BK$3),BK36+BL37,BL37),BL37)</x:f>
      </x:c>
      <x:c r="BM36">
        <x:f>IF(AND(BM$3&gt;=$B$31,BL$3&gt;=$B$31),IF(YEAR(BM$3)=YEAR(BL$3),BL36+BM37,BM37),BM37)</x:f>
      </x:c>
      <x:c r="BN36">
        <x:f>IF(AND(BN$3&gt;=$B$31,BM$3&gt;=$B$31),IF(YEAR(BN$3)=YEAR(BM$3),BM36+BN37,BN37),BN37)</x:f>
      </x:c>
      <x:c r="BO36">
        <x:f>IF(AND(BO$3&gt;=$B$31,BN$3&gt;=$B$31),IF(YEAR(BO$3)=YEAR(BN$3),BN36+BO37,BO37),BO37)</x:f>
      </x:c>
      <x:c r="BP36">
        <x:f>IF(AND(BP$3&gt;=$B$31,BO$3&gt;=$B$31),IF(YEAR(BP$3)=YEAR(BO$3),BO36+BP37,BP37),BP37)</x:f>
      </x:c>
      <x:c r="BQ36">
        <x:f>IF(AND(BQ$3&gt;=$B$31,BP$3&gt;=$B$31),IF(YEAR(BQ$3)=YEAR(BP$3),BP36+BQ37,BQ37),BQ37)</x:f>
      </x:c>
      <x:c r="BR36">
        <x:f>IF(AND(BR$3&gt;=$B$31,BQ$3&gt;=$B$31),IF(YEAR(BR$3)=YEAR(BQ$3),BQ36+BR37,BR37),BR37)</x:f>
      </x:c>
      <x:c r="BS36">
        <x:f>IF(AND(BS$3&gt;=$B$31,BR$3&gt;=$B$31),IF(YEAR(BS$3)=YEAR(BR$3),BR36+BS37,BS37),BS37)</x:f>
      </x:c>
      <x:c r="BT36">
        <x:f>IF(AND(BT$3&gt;=$B$31,BS$3&gt;=$B$31),IF(YEAR(BT$3)=YEAR(BS$3),BS36+BT37,BT37),BT37)</x:f>
      </x:c>
      <x:c r="BU36">
        <x:f>IF(AND(BU$3&gt;=$B$31,BT$3&gt;=$B$31),IF(YEAR(BU$3)=YEAR(BT$3),BT36+BU37,BU37),BU37)</x:f>
      </x:c>
      <x:c r="BV36">
        <x:f>IF(AND(BV$3&gt;=$B$31,BU$3&gt;=$B$31),IF(YEAR(BV$3)=YEAR(BU$3),BU36+BV37,BV37),BV37)</x:f>
      </x:c>
      <x:c r="BW36">
        <x:f>IF(AND(BW$3&gt;=$B$31,BV$3&gt;=$B$31),IF(YEAR(BW$3)=YEAR(BV$3),BV36+BW37,BW37),BW37)</x:f>
      </x:c>
      <x:c r="BX36">
        <x:f>IF(AND(BX$3&gt;=$B$31,BW$3&gt;=$B$31),IF(YEAR(BX$3)=YEAR(BW$3),BW36+BX37,BX37),BX37)</x:f>
      </x:c>
      <x:c r="BY36">
        <x:f>IF(AND(BY$3&gt;=$B$31,BX$3&gt;=$B$31),IF(YEAR(BY$3)=YEAR(BX$3),BX36+BY37,BY37),BY37)</x:f>
      </x:c>
      <x:c r="BZ36">
        <x:f>IF(AND(BZ$3&gt;=$B$31,BY$3&gt;=$B$31),IF(YEAR(BZ$3)=YEAR(BY$3),BY36+BZ37,BZ37),BZ37)</x:f>
      </x:c>
      <x:c r="CA36">
        <x:f>IF(AND(CA$3&gt;=$B$31,BZ$3&gt;=$B$31),IF(YEAR(CA$3)=YEAR(BZ$3),BZ36+CA37,CA37),CA37)</x:f>
      </x:c>
      <x:c r="CB36">
        <x:f>IF(AND(CB$3&gt;=$B$31,CA$3&gt;=$B$31),IF(YEAR(CB$3)=YEAR(CA$3),CA36+CB37,CB37),CB37)</x:f>
      </x:c>
      <x:c r="CC36">
        <x:f>IF(AND(CC$3&gt;=$B$31,CB$3&gt;=$B$31),IF(YEAR(CC$3)=YEAR(CB$3),CB36+CC37,CC37),CC37)</x:f>
      </x:c>
      <x:c r="CD36">
        <x:f>IF(AND(CD$3&gt;=$B$31,CC$3&gt;=$B$31),IF(YEAR(CD$3)=YEAR(CC$3),CC36+CD37,CD37),CD37)</x:f>
      </x:c>
      <x:c r="CE36">
        <x:f>IF(AND(CE$3&gt;=$B$31,CD$3&gt;=$B$31),IF(YEAR(CE$3)=YEAR(CD$3),CD36+CE37,CE37),CE37)</x:f>
      </x:c>
      <x:c r="CF36">
        <x:f>IF(AND(CF$3&gt;=$B$31,CE$3&gt;=$B$31),IF(YEAR(CF$3)=YEAR(CE$3),CE36+CF37,CF37),CF37)</x:f>
      </x:c>
      <x:c r="CG36">
        <x:f>IF(AND(CG$3&gt;=$B$31,CF$3&gt;=$B$31),IF(YEAR(CG$3)=YEAR(CF$3),CF36+CG37,CG37),CG37)</x:f>
      </x:c>
      <x:c r="CH36">
        <x:f>IF(AND(CH$3&gt;=$B$31,CG$3&gt;=$B$31),IF(YEAR(CH$3)=YEAR(CG$3),CG36+CH37,CH37),CH37)</x:f>
      </x:c>
      <x:c r="CI36">
        <x:f>IF(AND(CI$3&gt;=$B$31,CH$3&gt;=$B$31),IF(YEAR(CI$3)=YEAR(CH$3),CH36+CI37,CI37),CI37)</x:f>
      </x:c>
      <x:c r="CJ36">
        <x:f>IF(AND(CJ$3&gt;=$B$31,CI$3&gt;=$B$31),IF(YEAR(CJ$3)=YEAR(CI$3),CI36+CJ37,CJ37),CJ37)</x:f>
      </x:c>
      <x:c r="CK36">
        <x:f>IF(AND(CK$3&gt;=$B$31,CJ$3&gt;=$B$31),IF(YEAR(CK$3)=YEAR(CJ$3),CJ36+CK37,CK37),CK37)</x:f>
      </x:c>
      <x:c r="CL36">
        <x:f>IF(AND(CL$3&gt;=$B$31,CK$3&gt;=$B$31),IF(YEAR(CL$3)=YEAR(CK$3),CK36+CL37,CL37),CL37)</x:f>
      </x:c>
      <x:c r="CM36">
        <x:f>IF(AND(CM$3&gt;=$B$31,CL$3&gt;=$B$31),IF(YEAR(CM$3)=YEAR(CL$3),CL36+CM37,CM37),CM37)</x:f>
      </x:c>
      <x:c r="CN36">
        <x:f>IF(AND(CN$3&gt;=$B$31,CM$3&gt;=$B$31),IF(YEAR(CN$3)=YEAR(CM$3),CM36+CN37,CN37),CN37)</x:f>
      </x:c>
      <x:c r="CO36">
        <x:f>IF(AND(CO$3&gt;=$B$31,CN$3&gt;=$B$31),IF(YEAR(CO$3)=YEAR(CN$3),CN36+CO37,CO37),CO37)</x:f>
      </x:c>
      <x:c r="CP36">
        <x:f>IF(AND(CP$3&gt;=$B$31,CO$3&gt;=$B$31),IF(YEAR(CP$3)=YEAR(CO$3),CO36+CP37,CP37),CP37)</x:f>
      </x:c>
      <x:c r="CQ36">
        <x:f>IF(AND(CQ$3&gt;=$B$31,CP$3&gt;=$B$31),IF(YEAR(CQ$3)=YEAR(CP$3),CP36+CQ37,CQ37),CQ37)</x:f>
      </x:c>
      <x:c r="CR36">
        <x:f>IF(AND(CR$3&gt;=$B$31,CQ$3&gt;=$B$31),IF(YEAR(CR$3)=YEAR(CQ$3),CQ36+CR37,CR37),CR37)</x:f>
      </x:c>
      <x:c r="CS36">
        <x:f>IF(AND(CS$3&gt;=$B$31,CR$3&gt;=$B$31),IF(YEAR(CS$3)=YEAR(CR$3),CR36+CS37,CS37),CS37)</x:f>
      </x:c>
      <x:c r="CT36">
        <x:f>IF(AND(CT$3&gt;=$B$31,CS$3&gt;=$B$31),IF(YEAR(CT$3)=YEAR(CS$3),CS36+CT37,CT37),CT37)</x:f>
      </x:c>
      <x:c r="CU36">
        <x:f>IF(AND(CU$3&gt;=$B$31,CT$3&gt;=$B$31),IF(YEAR(CU$3)=YEAR(CT$3),CT36+CU37,CU37),CU37)</x:f>
      </x:c>
      <x:c r="CV36">
        <x:f>IF(AND(CV$3&gt;=$B$31,CU$3&gt;=$B$31),IF(YEAR(CV$3)=YEAR(CU$3),CU36+CV37,CV37),CV37)</x:f>
      </x:c>
      <x:c r="CW36">
        <x:f>IF(AND(CW$3&gt;=$B$31,CV$3&gt;=$B$31),IF(YEAR(CW$3)=YEAR(CV$3),CV36+CW37,CW37),CW37)</x:f>
      </x:c>
      <x:c r="CX36">
        <x:f>IF(AND(CX$3&gt;=$B$31,CW$3&gt;=$B$31),IF(YEAR(CX$3)=YEAR(CW$3),CW36+CX37,CX37),CX37)</x:f>
      </x:c>
      <x:c r="CY36">
        <x:f>IF(AND(CY$3&gt;=$B$31,CX$3&gt;=$B$31),IF(YEAR(CY$3)=YEAR(CX$3),CX36+CY37,CY37),CY37)</x:f>
      </x:c>
      <x:c r="CZ36">
        <x:f>IF(AND(CZ$3&gt;=$B$31,CY$3&gt;=$B$31),IF(YEAR(CZ$3)=YEAR(CY$3),CY36+CZ37,CZ37),CZ37)</x:f>
      </x:c>
      <x:c r="DA36">
        <x:f>IF(AND(DA$3&gt;=$B$31,CZ$3&gt;=$B$31),IF(YEAR(DA$3)=YEAR(CZ$3),CZ36+DA37,DA37),DA37)</x:f>
      </x:c>
      <x:c r="DB36">
        <x:f>IF(AND(DB$3&gt;=$B$31,DA$3&gt;=$B$31),IF(YEAR(DB$3)=YEAR(DA$3),DA36+DB37,DB37),DB37)</x:f>
      </x:c>
      <x:c r="DC36">
        <x:f>IF(AND(DC$3&gt;=$B$31,DB$3&gt;=$B$31),IF(YEAR(DC$3)=YEAR(DB$3),DB36+DC37,DC37),DC37)</x:f>
      </x:c>
      <x:c r="DD36">
        <x:f>IF(AND(DD$3&gt;=$B$31,DC$3&gt;=$B$31),IF(YEAR(DD$3)=YEAR(DC$3),DC36+DD37,DD37),DD37)</x:f>
      </x:c>
      <x:c r="DE36">
        <x:f>IF(AND(DE$3&gt;=$B$31,DD$3&gt;=$B$31),IF(YEAR(DE$3)=YEAR(DD$3),DD36+DE37,DE37),DE37)</x:f>
      </x:c>
      <x:c r="DF36">
        <x:f>IF(AND(DF$3&gt;=$B$31,DE$3&gt;=$B$31),IF(YEAR(DF$3)=YEAR(DE$3),DE36+DF37,DF37),DF37)</x:f>
      </x:c>
      <x:c r="DG36">
        <x:f>IF(AND(DG$3&gt;=$B$31,DF$3&gt;=$B$31),IF(YEAR(DG$3)=YEAR(DF$3),DF36+DG37,DG37),DG37)</x:f>
      </x:c>
      <x:c r="DH36">
        <x:f>IF(AND(DH$3&gt;=$B$31,DG$3&gt;=$B$31),IF(YEAR(DH$3)=YEAR(DG$3),DG36+DH37,DH37),DH37)</x:f>
      </x:c>
      <x:c r="DI36">
        <x:f>IF(AND(DI$3&gt;=$B$31,DH$3&gt;=$B$31),IF(YEAR(DI$3)=YEAR(DH$3),DH36+DI37,DI37),DI37)</x:f>
      </x:c>
      <x:c r="DJ36">
        <x:f>IF(AND(DJ$3&gt;=$B$31,DI$3&gt;=$B$31),IF(YEAR(DJ$3)=YEAR(DI$3),DI36+DJ37,DJ37),DJ37)</x:f>
      </x:c>
      <x:c r="DK36">
        <x:f>IF(AND(DK$3&gt;=$B$31,DJ$3&gt;=$B$31),IF(YEAR(DK$3)=YEAR(DJ$3),DJ36+DK37,DK37),DK37)</x:f>
      </x:c>
      <x:c r="DL36">
        <x:f>IF(AND(DL$3&gt;=$B$31,DK$3&gt;=$B$31),IF(YEAR(DL$3)=YEAR(DK$3),DK36+DL37,DL37),DL37)</x:f>
      </x:c>
      <x:c r="DM36">
        <x:f>IF(AND(DM$3&gt;=$B$31,DL$3&gt;=$B$31),IF(YEAR(DM$3)=YEAR(DL$3),DL36+DM37,DM37),DM37)</x:f>
      </x:c>
      <x:c r="DN36">
        <x:f>IF(AND(DN$3&gt;=$B$31,DM$3&gt;=$B$31),IF(YEAR(DN$3)=YEAR(DM$3),DM36+DN37,DN37),DN37)</x:f>
      </x:c>
      <x:c r="DO36">
        <x:f>IF(AND(DO$3&gt;=$B$31,DN$3&gt;=$B$31),IF(YEAR(DO$3)=YEAR(DN$3),DN36+DO37,DO37),DO37)</x:f>
      </x:c>
      <x:c r="DP36">
        <x:f>IF(AND(DP$3&gt;=$B$31,DO$3&gt;=$B$31),IF(YEAR(DP$3)=YEAR(DO$3),DO36+DP37,DP37),DP37)</x:f>
      </x:c>
      <x:c r="DQ36">
        <x:f>IF(AND(DQ$3&gt;=$B$31,DP$3&gt;=$B$31),IF(YEAR(DQ$3)=YEAR(DP$3),DP36+DQ37,DQ37),DQ37)</x:f>
      </x:c>
      <x:c r="DR36">
        <x:f>IF(AND(DR$3&gt;=$B$31,DQ$3&gt;=$B$31),IF(YEAR(DR$3)=YEAR(DQ$3),DQ36+DR37,DR37),DR37)</x:f>
      </x:c>
      <x:c r="DS36">
        <x:f>IF(AND(DS$3&gt;=$B$31,DR$3&gt;=$B$31),IF(YEAR(DS$3)=YEAR(DR$3),DR36+DS37,DS37),DS37)</x:f>
      </x:c>
    </x:row>
    <x:row r="37">
      <x:c r="A37" t="inlineStr">
        <x:is>
          <x:t>Налог на прибыль (свод)</x:t>
        </x:is>
      </x:c>
      <x:c r="B37">
        <x:f>SUM(D37:DS37)</x:f>
      </x:c>
      <x:c r="D37">
        <x:f>IF(D$3&gt;=$B$31,MAX(0,MAX(D33-D35,0)*'Вводные'!$B$21),0)</x:f>
      </x:c>
      <x:c r="E37">
        <x:f>IF(E$3&gt;=$B$31,MAX(0,MAX(E33-E35,0)*'Вводные'!$B$21-IF(AND(D$3&gt;=$B$31,YEAR(E$3)=YEAR(D$3)),D36,0)),0)</x:f>
      </x:c>
      <x:c r="F37">
        <x:f>IF(F$3&gt;=$B$31,MAX(0,MAX(F33-F35,0)*'Вводные'!$B$21-IF(AND(E$3&gt;=$B$31,YEAR(F$3)=YEAR(E$3)),E36,0)),0)</x:f>
      </x:c>
      <x:c r="G37">
        <x:f>IF(G$3&gt;=$B$31,MAX(0,MAX(G33-G35,0)*'Вводные'!$B$21-IF(AND(F$3&gt;=$B$31,YEAR(G$3)=YEAR(F$3)),F36,0)),0)</x:f>
      </x:c>
      <x:c r="H37">
        <x:f>IF(H$3&gt;=$B$31,MAX(0,MAX(H33-H35,0)*'Вводные'!$B$21-IF(AND(G$3&gt;=$B$31,YEAR(H$3)=YEAR(G$3)),G36,0)),0)</x:f>
      </x:c>
      <x:c r="I37">
        <x:f>IF(I$3&gt;=$B$31,MAX(0,MAX(I33-I35,0)*'Вводные'!$B$21-IF(AND(H$3&gt;=$B$31,YEAR(I$3)=YEAR(H$3)),H36,0)),0)</x:f>
      </x:c>
      <x:c r="J37">
        <x:f>IF(J$3&gt;=$B$31,MAX(0,MAX(J33-J35,0)*'Вводные'!$B$21-IF(AND(I$3&gt;=$B$31,YEAR(J$3)=YEAR(I$3)),I36,0)),0)</x:f>
      </x:c>
      <x:c r="K37">
        <x:f>IF(K$3&gt;=$B$31,MAX(0,MAX(K33-K35,0)*'Вводные'!$B$21-IF(AND(J$3&gt;=$B$31,YEAR(K$3)=YEAR(J$3)),J36,0)),0)</x:f>
      </x:c>
      <x:c r="L37">
        <x:f>IF(L$3&gt;=$B$31,MAX(0,MAX(L33-L35,0)*'Вводные'!$B$21-IF(AND(K$3&gt;=$B$31,YEAR(L$3)=YEAR(K$3)),K36,0)),0)</x:f>
      </x:c>
      <x:c r="M37">
        <x:f>IF(M$3&gt;=$B$31,MAX(0,MAX(M33-M35,0)*'Вводные'!$B$21-IF(AND(L$3&gt;=$B$31,YEAR(M$3)=YEAR(L$3)),L36,0)),0)</x:f>
      </x:c>
      <x:c r="N37">
        <x:f>IF(N$3&gt;=$B$31,MAX(0,MAX(N33-N35,0)*'Вводные'!$B$21-IF(AND(M$3&gt;=$B$31,YEAR(N$3)=YEAR(M$3)),M36,0)),0)</x:f>
      </x:c>
      <x:c r="O37">
        <x:f>IF(O$3&gt;=$B$31,MAX(0,MAX(O33-O35,0)*'Вводные'!$B$21-IF(AND(N$3&gt;=$B$31,YEAR(O$3)=YEAR(N$3)),N36,0)),0)</x:f>
      </x:c>
      <x:c r="P37">
        <x:f>IF(P$3&gt;=$B$31,MAX(0,MAX(P33-P35,0)*'Вводные'!$B$21-IF(AND(O$3&gt;=$B$31,YEAR(P$3)=YEAR(O$3)),O36,0)),0)</x:f>
      </x:c>
      <x:c r="Q37">
        <x:f>IF(Q$3&gt;=$B$31,MAX(0,MAX(Q33-Q35,0)*'Вводные'!$B$21-IF(AND(P$3&gt;=$B$31,YEAR(Q$3)=YEAR(P$3)),P36,0)),0)</x:f>
      </x:c>
      <x:c r="R37">
        <x:f>IF(R$3&gt;=$B$31,MAX(0,MAX(R33-R35,0)*'Вводные'!$B$21-IF(AND(Q$3&gt;=$B$31,YEAR(R$3)=YEAR(Q$3)),Q36,0)),0)</x:f>
      </x:c>
      <x:c r="S37">
        <x:f>IF(S$3&gt;=$B$31,MAX(0,MAX(S33-S35,0)*'Вводные'!$B$21-IF(AND(R$3&gt;=$B$31,YEAR(S$3)=YEAR(R$3)),R36,0)),0)</x:f>
      </x:c>
      <x:c r="T37">
        <x:f>IF(T$3&gt;=$B$31,MAX(0,MAX(T33-T35,0)*'Вводные'!$B$21-IF(AND(S$3&gt;=$B$31,YEAR(T$3)=YEAR(S$3)),S36,0)),0)</x:f>
      </x:c>
      <x:c r="U37">
        <x:f>IF(U$3&gt;=$B$31,MAX(0,MAX(U33-U35,0)*'Вводные'!$B$21-IF(AND(T$3&gt;=$B$31,YEAR(U$3)=YEAR(T$3)),T36,0)),0)</x:f>
      </x:c>
      <x:c r="V37">
        <x:f>IF(V$3&gt;=$B$31,MAX(0,MAX(V33-V35,0)*'Вводные'!$B$21-IF(AND(U$3&gt;=$B$31,YEAR(V$3)=YEAR(U$3)),U36,0)),0)</x:f>
      </x:c>
      <x:c r="W37">
        <x:f>IF(W$3&gt;=$B$31,MAX(0,MAX(W33-W35,0)*'Вводные'!$B$21-IF(AND(V$3&gt;=$B$31,YEAR(W$3)=YEAR(V$3)),V36,0)),0)</x:f>
      </x:c>
      <x:c r="X37">
        <x:f>IF(X$3&gt;=$B$31,MAX(0,MAX(X33-X35,0)*'Вводные'!$B$21-IF(AND(W$3&gt;=$B$31,YEAR(X$3)=YEAR(W$3)),W36,0)),0)</x:f>
      </x:c>
      <x:c r="Y37">
        <x:f>IF(Y$3&gt;=$B$31,MAX(0,MAX(Y33-Y35,0)*'Вводные'!$B$21-IF(AND(X$3&gt;=$B$31,YEAR(Y$3)=YEAR(X$3)),X36,0)),0)</x:f>
      </x:c>
      <x:c r="Z37">
        <x:f>IF(Z$3&gt;=$B$31,MAX(0,MAX(Z33-Z35,0)*'Вводные'!$B$21-IF(AND(Y$3&gt;=$B$31,YEAR(Z$3)=YEAR(Y$3)),Y36,0)),0)</x:f>
      </x:c>
      <x:c r="AA37">
        <x:f>IF(AA$3&gt;=$B$31,MAX(0,MAX(AA33-AA35,0)*'Вводные'!$B$21-IF(AND(Z$3&gt;=$B$31,YEAR(AA$3)=YEAR(Z$3)),Z36,0)),0)</x:f>
      </x:c>
      <x:c r="AB37">
        <x:f>IF(AB$3&gt;=$B$31,MAX(0,MAX(AB33-AB35,0)*'Вводные'!$B$21-IF(AND(AA$3&gt;=$B$31,YEAR(AB$3)=YEAR(AA$3)),AA36,0)),0)</x:f>
      </x:c>
      <x:c r="AC37">
        <x:f>IF(AC$3&gt;=$B$31,MAX(0,MAX(AC33-AC35,0)*'Вводные'!$B$21-IF(AND(AB$3&gt;=$B$31,YEAR(AC$3)=YEAR(AB$3)),AB36,0)),0)</x:f>
      </x:c>
      <x:c r="AD37">
        <x:f>IF(AD$3&gt;=$B$31,MAX(0,MAX(AD33-AD35,0)*'Вводные'!$B$21-IF(AND(AC$3&gt;=$B$31,YEAR(AD$3)=YEAR(AC$3)),AC36,0)),0)</x:f>
      </x:c>
      <x:c r="AE37">
        <x:f>IF(AE$3&gt;=$B$31,MAX(0,MAX(AE33-AE35,0)*'Вводные'!$B$21-IF(AND(AD$3&gt;=$B$31,YEAR(AE$3)=YEAR(AD$3)),AD36,0)),0)</x:f>
      </x:c>
      <x:c r="AF37">
        <x:f>IF(AF$3&gt;=$B$31,MAX(0,MAX(AF33-AF35,0)*'Вводные'!$B$21-IF(AND(AE$3&gt;=$B$31,YEAR(AF$3)=YEAR(AE$3)),AE36,0)),0)</x:f>
      </x:c>
      <x:c r="AG37">
        <x:f>IF(AG$3&gt;=$B$31,MAX(0,MAX(AG33-AG35,0)*'Вводные'!$B$21-IF(AND(AF$3&gt;=$B$31,YEAR(AG$3)=YEAR(AF$3)),AF36,0)),0)</x:f>
      </x:c>
      <x:c r="AH37">
        <x:f>IF(AH$3&gt;=$B$31,MAX(0,MAX(AH33-AH35,0)*'Вводные'!$B$21-IF(AND(AG$3&gt;=$B$31,YEAR(AH$3)=YEAR(AG$3)),AG36,0)),0)</x:f>
      </x:c>
      <x:c r="AI37">
        <x:f>IF(AI$3&gt;=$B$31,MAX(0,MAX(AI33-AI35,0)*'Вводные'!$B$21-IF(AND(AH$3&gt;=$B$31,YEAR(AI$3)=YEAR(AH$3)),AH36,0)),0)</x:f>
      </x:c>
      <x:c r="AJ37">
        <x:f>IF(AJ$3&gt;=$B$31,MAX(0,MAX(AJ33-AJ35,0)*'Вводные'!$B$21-IF(AND(AI$3&gt;=$B$31,YEAR(AJ$3)=YEAR(AI$3)),AI36,0)),0)</x:f>
      </x:c>
      <x:c r="AK37">
        <x:f>IF(AK$3&gt;=$B$31,MAX(0,MAX(AK33-AK35,0)*'Вводные'!$B$21-IF(AND(AJ$3&gt;=$B$31,YEAR(AK$3)=YEAR(AJ$3)),AJ36,0)),0)</x:f>
      </x:c>
      <x:c r="AL37">
        <x:f>IF(AL$3&gt;=$B$31,MAX(0,MAX(AL33-AL35,0)*'Вводные'!$B$21-IF(AND(AK$3&gt;=$B$31,YEAR(AL$3)=YEAR(AK$3)),AK36,0)),0)</x:f>
      </x:c>
      <x:c r="AM37">
        <x:f>IF(AM$3&gt;=$B$31,MAX(0,MAX(AM33-AM35,0)*'Вводные'!$B$21-IF(AND(AL$3&gt;=$B$31,YEAR(AM$3)=YEAR(AL$3)),AL36,0)),0)</x:f>
      </x:c>
      <x:c r="AN37">
        <x:f>IF(AN$3&gt;=$B$31,MAX(0,MAX(AN33-AN35,0)*'Вводные'!$B$21-IF(AND(AM$3&gt;=$B$31,YEAR(AN$3)=YEAR(AM$3)),AM36,0)),0)</x:f>
      </x:c>
      <x:c r="AO37">
        <x:f>IF(AO$3&gt;=$B$31,MAX(0,MAX(AO33-AO35,0)*'Вводные'!$B$21-IF(AND(AN$3&gt;=$B$31,YEAR(AO$3)=YEAR(AN$3)),AN36,0)),0)</x:f>
      </x:c>
      <x:c r="AP37">
        <x:f>IF(AP$3&gt;=$B$31,MAX(0,MAX(AP33-AP35,0)*'Вводные'!$B$21-IF(AND(AO$3&gt;=$B$31,YEAR(AP$3)=YEAR(AO$3)),AO36,0)),0)</x:f>
      </x:c>
      <x:c r="AQ37">
        <x:f>IF(AQ$3&gt;=$B$31,MAX(0,MAX(AQ33-AQ35,0)*'Вводные'!$B$21-IF(AND(AP$3&gt;=$B$31,YEAR(AQ$3)=YEAR(AP$3)),AP36,0)),0)</x:f>
      </x:c>
      <x:c r="AR37">
        <x:f>IF(AR$3&gt;=$B$31,MAX(0,MAX(AR33-AR35,0)*'Вводные'!$B$21-IF(AND(AQ$3&gt;=$B$31,YEAR(AR$3)=YEAR(AQ$3)),AQ36,0)),0)</x:f>
      </x:c>
      <x:c r="AS37">
        <x:f>IF(AS$3&gt;=$B$31,MAX(0,MAX(AS33-AS35,0)*'Вводные'!$B$21-IF(AND(AR$3&gt;=$B$31,YEAR(AS$3)=YEAR(AR$3)),AR36,0)),0)</x:f>
      </x:c>
      <x:c r="AT37">
        <x:f>IF(AT$3&gt;=$B$31,MAX(0,MAX(AT33-AT35,0)*'Вводные'!$B$21-IF(AND(AS$3&gt;=$B$31,YEAR(AT$3)=YEAR(AS$3)),AS36,0)),0)</x:f>
      </x:c>
      <x:c r="AU37">
        <x:f>IF(AU$3&gt;=$B$31,MAX(0,MAX(AU33-AU35,0)*'Вводные'!$B$21-IF(AND(AT$3&gt;=$B$31,YEAR(AU$3)=YEAR(AT$3)),AT36,0)),0)</x:f>
      </x:c>
      <x:c r="AV37">
        <x:f>IF(AV$3&gt;=$B$31,MAX(0,MAX(AV33-AV35,0)*'Вводные'!$B$21-IF(AND(AU$3&gt;=$B$31,YEAR(AV$3)=YEAR(AU$3)),AU36,0)),0)</x:f>
      </x:c>
      <x:c r="AW37">
        <x:f>IF(AW$3&gt;=$B$31,MAX(0,MAX(AW33-AW35,0)*'Вводные'!$B$21-IF(AND(AV$3&gt;=$B$31,YEAR(AW$3)=YEAR(AV$3)),AV36,0)),0)</x:f>
      </x:c>
      <x:c r="AX37">
        <x:f>IF(AX$3&gt;=$B$31,MAX(0,MAX(AX33-AX35,0)*'Вводные'!$B$21-IF(AND(AW$3&gt;=$B$31,YEAR(AX$3)=YEAR(AW$3)),AW36,0)),0)</x:f>
      </x:c>
      <x:c r="AY37">
        <x:f>IF(AY$3&gt;=$B$31,MAX(0,MAX(AY33-AY35,0)*'Вводные'!$B$21-IF(AND(AX$3&gt;=$B$31,YEAR(AY$3)=YEAR(AX$3)),AX36,0)),0)</x:f>
      </x:c>
      <x:c r="AZ37">
        <x:f>IF(AZ$3&gt;=$B$31,MAX(0,MAX(AZ33-AZ35,0)*'Вводные'!$B$21-IF(AND(AY$3&gt;=$B$31,YEAR(AZ$3)=YEAR(AY$3)),AY36,0)),0)</x:f>
      </x:c>
      <x:c r="BA37">
        <x:f>IF(BA$3&gt;=$B$31,MAX(0,MAX(BA33-BA35,0)*'Вводные'!$B$21-IF(AND(AZ$3&gt;=$B$31,YEAR(BA$3)=YEAR(AZ$3)),AZ36,0)),0)</x:f>
      </x:c>
      <x:c r="BB37">
        <x:f>IF(BB$3&gt;=$B$31,MAX(0,MAX(BB33-BB35,0)*'Вводные'!$B$21-IF(AND(BA$3&gt;=$B$31,YEAR(BB$3)=YEAR(BA$3)),BA36,0)),0)</x:f>
      </x:c>
      <x:c r="BC37">
        <x:f>IF(BC$3&gt;=$B$31,MAX(0,MAX(BC33-BC35,0)*'Вводные'!$B$21-IF(AND(BB$3&gt;=$B$31,YEAR(BC$3)=YEAR(BB$3)),BB36,0)),0)</x:f>
      </x:c>
      <x:c r="BD37">
        <x:f>IF(BD$3&gt;=$B$31,MAX(0,MAX(BD33-BD35,0)*'Вводные'!$B$21-IF(AND(BC$3&gt;=$B$31,YEAR(BD$3)=YEAR(BC$3)),BC36,0)),0)</x:f>
      </x:c>
      <x:c r="BE37">
        <x:f>IF(BE$3&gt;=$B$31,MAX(0,MAX(BE33-BE35,0)*'Вводные'!$B$21-IF(AND(BD$3&gt;=$B$31,YEAR(BE$3)=YEAR(BD$3)),BD36,0)),0)</x:f>
      </x:c>
      <x:c r="BF37">
        <x:f>IF(BF$3&gt;=$B$31,MAX(0,MAX(BF33-BF35,0)*'Вводные'!$B$21-IF(AND(BE$3&gt;=$B$31,YEAR(BF$3)=YEAR(BE$3)),BE36,0)),0)</x:f>
      </x:c>
      <x:c r="BG37">
        <x:f>IF(BG$3&gt;=$B$31,MAX(0,MAX(BG33-BG35,0)*'Вводные'!$B$21-IF(AND(BF$3&gt;=$B$31,YEAR(BG$3)=YEAR(BF$3)),BF36,0)),0)</x:f>
      </x:c>
      <x:c r="BH37">
        <x:f>IF(BH$3&gt;=$B$31,MAX(0,MAX(BH33-BH35,0)*'Вводные'!$B$21-IF(AND(BG$3&gt;=$B$31,YEAR(BH$3)=YEAR(BG$3)),BG36,0)),0)</x:f>
      </x:c>
      <x:c r="BI37">
        <x:f>IF(BI$3&gt;=$B$31,MAX(0,MAX(BI33-BI35,0)*'Вводные'!$B$21-IF(AND(BH$3&gt;=$B$31,YEAR(BI$3)=YEAR(BH$3)),BH36,0)),0)</x:f>
      </x:c>
      <x:c r="BJ37">
        <x:f>IF(BJ$3&gt;=$B$31,MAX(0,MAX(BJ33-BJ35,0)*'Вводные'!$B$21-IF(AND(BI$3&gt;=$B$31,YEAR(BJ$3)=YEAR(BI$3)),BI36,0)),0)</x:f>
      </x:c>
      <x:c r="BK37">
        <x:f>IF(BK$3&gt;=$B$31,MAX(0,MAX(BK33-BK35,0)*'Вводные'!$B$21-IF(AND(BJ$3&gt;=$B$31,YEAR(BK$3)=YEAR(BJ$3)),BJ36,0)),0)</x:f>
      </x:c>
      <x:c r="BL37">
        <x:f>IF(BL$3&gt;=$B$31,MAX(0,MAX(BL33-BL35,0)*'Вводные'!$B$21-IF(AND(BK$3&gt;=$B$31,YEAR(BL$3)=YEAR(BK$3)),BK36,0)),0)</x:f>
      </x:c>
      <x:c r="BM37">
        <x:f>IF(BM$3&gt;=$B$31,MAX(0,MAX(BM33-BM35,0)*'Вводные'!$B$21-IF(AND(BL$3&gt;=$B$31,YEAR(BM$3)=YEAR(BL$3)),BL36,0)),0)</x:f>
      </x:c>
      <x:c r="BN37">
        <x:f>IF(BN$3&gt;=$B$31,MAX(0,MAX(BN33-BN35,0)*'Вводные'!$B$21-IF(AND(BM$3&gt;=$B$31,YEAR(BN$3)=YEAR(BM$3)),BM36,0)),0)</x:f>
      </x:c>
      <x:c r="BO37">
        <x:f>IF(BO$3&gt;=$B$31,MAX(0,MAX(BO33-BO35,0)*'Вводные'!$B$21-IF(AND(BN$3&gt;=$B$31,YEAR(BO$3)=YEAR(BN$3)),BN36,0)),0)</x:f>
      </x:c>
      <x:c r="BP37">
        <x:f>IF(BP$3&gt;=$B$31,MAX(0,MAX(BP33-BP35,0)*'Вводные'!$B$21-IF(AND(BO$3&gt;=$B$31,YEAR(BP$3)=YEAR(BO$3)),BO36,0)),0)</x:f>
      </x:c>
      <x:c r="BQ37">
        <x:f>IF(BQ$3&gt;=$B$31,MAX(0,MAX(BQ33-BQ35,0)*'Вводные'!$B$21-IF(AND(BP$3&gt;=$B$31,YEAR(BQ$3)=YEAR(BP$3)),BP36,0)),0)</x:f>
      </x:c>
      <x:c r="BR37">
        <x:f>IF(BR$3&gt;=$B$31,MAX(0,MAX(BR33-BR35,0)*'Вводные'!$B$21-IF(AND(BQ$3&gt;=$B$31,YEAR(BR$3)=YEAR(BQ$3)),BQ36,0)),0)</x:f>
      </x:c>
      <x:c r="BS37">
        <x:f>IF(BS$3&gt;=$B$31,MAX(0,MAX(BS33-BS35,0)*'Вводные'!$B$21-IF(AND(BR$3&gt;=$B$31,YEAR(BS$3)=YEAR(BR$3)),BR36,0)),0)</x:f>
      </x:c>
      <x:c r="BT37">
        <x:f>IF(BT$3&gt;=$B$31,MAX(0,MAX(BT33-BT35,0)*'Вводные'!$B$21-IF(AND(BS$3&gt;=$B$31,YEAR(BT$3)=YEAR(BS$3)),BS36,0)),0)</x:f>
      </x:c>
      <x:c r="BU37">
        <x:f>IF(BU$3&gt;=$B$31,MAX(0,MAX(BU33-BU35,0)*'Вводные'!$B$21-IF(AND(BT$3&gt;=$B$31,YEAR(BU$3)=YEAR(BT$3)),BT36,0)),0)</x:f>
      </x:c>
      <x:c r="BV37">
        <x:f>IF(BV$3&gt;=$B$31,MAX(0,MAX(BV33-BV35,0)*'Вводные'!$B$21-IF(AND(BU$3&gt;=$B$31,YEAR(BV$3)=YEAR(BU$3)),BU36,0)),0)</x:f>
      </x:c>
      <x:c r="BW37">
        <x:f>IF(BW$3&gt;=$B$31,MAX(0,MAX(BW33-BW35,0)*'Вводные'!$B$21-IF(AND(BV$3&gt;=$B$31,YEAR(BW$3)=YEAR(BV$3)),BV36,0)),0)</x:f>
      </x:c>
      <x:c r="BX37">
        <x:f>IF(BX$3&gt;=$B$31,MAX(0,MAX(BX33-BX35,0)*'Вводные'!$B$21-IF(AND(BW$3&gt;=$B$31,YEAR(BX$3)=YEAR(BW$3)),BW36,0)),0)</x:f>
      </x:c>
      <x:c r="BY37">
        <x:f>IF(BY$3&gt;=$B$31,MAX(0,MAX(BY33-BY35,0)*'Вводные'!$B$21-IF(AND(BX$3&gt;=$B$31,YEAR(BY$3)=YEAR(BX$3)),BX36,0)),0)</x:f>
      </x:c>
      <x:c r="BZ37">
        <x:f>IF(BZ$3&gt;=$B$31,MAX(0,MAX(BZ33-BZ35,0)*'Вводные'!$B$21-IF(AND(BY$3&gt;=$B$31,YEAR(BZ$3)=YEAR(BY$3)),BY36,0)),0)</x:f>
      </x:c>
      <x:c r="CA37">
        <x:f>IF(CA$3&gt;=$B$31,MAX(0,MAX(CA33-CA35,0)*'Вводные'!$B$21-IF(AND(BZ$3&gt;=$B$31,YEAR(CA$3)=YEAR(BZ$3)),BZ36,0)),0)</x:f>
      </x:c>
      <x:c r="CB37">
        <x:f>IF(CB$3&gt;=$B$31,MAX(0,MAX(CB33-CB35,0)*'Вводные'!$B$21-IF(AND(CA$3&gt;=$B$31,YEAR(CB$3)=YEAR(CA$3)),CA36,0)),0)</x:f>
      </x:c>
      <x:c r="CC37">
        <x:f>IF(CC$3&gt;=$B$31,MAX(0,MAX(CC33-CC35,0)*'Вводные'!$B$21-IF(AND(CB$3&gt;=$B$31,YEAR(CC$3)=YEAR(CB$3)),CB36,0)),0)</x:f>
      </x:c>
      <x:c r="CD37">
        <x:f>IF(CD$3&gt;=$B$31,MAX(0,MAX(CD33-CD35,0)*'Вводные'!$B$21-IF(AND(CC$3&gt;=$B$31,YEAR(CD$3)=YEAR(CC$3)),CC36,0)),0)</x:f>
      </x:c>
      <x:c r="CE37">
        <x:f>IF(CE$3&gt;=$B$31,MAX(0,MAX(CE33-CE35,0)*'Вводные'!$B$21-IF(AND(CD$3&gt;=$B$31,YEAR(CE$3)=YEAR(CD$3)),CD36,0)),0)</x:f>
      </x:c>
      <x:c r="CF37">
        <x:f>IF(CF$3&gt;=$B$31,MAX(0,MAX(CF33-CF35,0)*'Вводные'!$B$21-IF(AND(CE$3&gt;=$B$31,YEAR(CF$3)=YEAR(CE$3)),CE36,0)),0)</x:f>
      </x:c>
      <x:c r="CG37">
        <x:f>IF(CG$3&gt;=$B$31,MAX(0,MAX(CG33-CG35,0)*'Вводные'!$B$21-IF(AND(CF$3&gt;=$B$31,YEAR(CG$3)=YEAR(CF$3)),CF36,0)),0)</x:f>
      </x:c>
      <x:c r="CH37">
        <x:f>IF(CH$3&gt;=$B$31,MAX(0,MAX(CH33-CH35,0)*'Вводные'!$B$21-IF(AND(CG$3&gt;=$B$31,YEAR(CH$3)=YEAR(CG$3)),CG36,0)),0)</x:f>
      </x:c>
      <x:c r="CI37">
        <x:f>IF(CI$3&gt;=$B$31,MAX(0,MAX(CI33-CI35,0)*'Вводные'!$B$21-IF(AND(CH$3&gt;=$B$31,YEAR(CI$3)=YEAR(CH$3)),CH36,0)),0)</x:f>
      </x:c>
      <x:c r="CJ37">
        <x:f>IF(CJ$3&gt;=$B$31,MAX(0,MAX(CJ33-CJ35,0)*'Вводные'!$B$21-IF(AND(CI$3&gt;=$B$31,YEAR(CJ$3)=YEAR(CI$3)),CI36,0)),0)</x:f>
      </x:c>
      <x:c r="CK37">
        <x:f>IF(CK$3&gt;=$B$31,MAX(0,MAX(CK33-CK35,0)*'Вводные'!$B$21-IF(AND(CJ$3&gt;=$B$31,YEAR(CK$3)=YEAR(CJ$3)),CJ36,0)),0)</x:f>
      </x:c>
      <x:c r="CL37">
        <x:f>IF(CL$3&gt;=$B$31,MAX(0,MAX(CL33-CL35,0)*'Вводные'!$B$21-IF(AND(CK$3&gt;=$B$31,YEAR(CL$3)=YEAR(CK$3)),CK36,0)),0)</x:f>
      </x:c>
      <x:c r="CM37">
        <x:f>IF(CM$3&gt;=$B$31,MAX(0,MAX(CM33-CM35,0)*'Вводные'!$B$21-IF(AND(CL$3&gt;=$B$31,YEAR(CM$3)=YEAR(CL$3)),CL36,0)),0)</x:f>
      </x:c>
      <x:c r="CN37">
        <x:f>IF(CN$3&gt;=$B$31,MAX(0,MAX(CN33-CN35,0)*'Вводные'!$B$21-IF(AND(CM$3&gt;=$B$31,YEAR(CN$3)=YEAR(CM$3)),CM36,0)),0)</x:f>
      </x:c>
      <x:c r="CO37">
        <x:f>IF(CO$3&gt;=$B$31,MAX(0,MAX(CO33-CO35,0)*'Вводные'!$B$21-IF(AND(CN$3&gt;=$B$31,YEAR(CO$3)=YEAR(CN$3)),CN36,0)),0)</x:f>
      </x:c>
      <x:c r="CP37">
        <x:f>IF(CP$3&gt;=$B$31,MAX(0,MAX(CP33-CP35,0)*'Вводные'!$B$21-IF(AND(CO$3&gt;=$B$31,YEAR(CP$3)=YEAR(CO$3)),CO36,0)),0)</x:f>
      </x:c>
      <x:c r="CQ37">
        <x:f>IF(CQ$3&gt;=$B$31,MAX(0,MAX(CQ33-CQ35,0)*'Вводные'!$B$21-IF(AND(CP$3&gt;=$B$31,YEAR(CQ$3)=YEAR(CP$3)),CP36,0)),0)</x:f>
      </x:c>
      <x:c r="CR37">
        <x:f>IF(CR$3&gt;=$B$31,MAX(0,MAX(CR33-CR35,0)*'Вводные'!$B$21-IF(AND(CQ$3&gt;=$B$31,YEAR(CR$3)=YEAR(CQ$3)),CQ36,0)),0)</x:f>
      </x:c>
      <x:c r="CS37">
        <x:f>IF(CS$3&gt;=$B$31,MAX(0,MAX(CS33-CS35,0)*'Вводные'!$B$21-IF(AND(CR$3&gt;=$B$31,YEAR(CS$3)=YEAR(CR$3)),CR36,0)),0)</x:f>
      </x:c>
      <x:c r="CT37">
        <x:f>IF(CT$3&gt;=$B$31,MAX(0,MAX(CT33-CT35,0)*'Вводные'!$B$21-IF(AND(CS$3&gt;=$B$31,YEAR(CT$3)=YEAR(CS$3)),CS36,0)),0)</x:f>
      </x:c>
      <x:c r="CU37">
        <x:f>IF(CU$3&gt;=$B$31,MAX(0,MAX(CU33-CU35,0)*'Вводные'!$B$21-IF(AND(CT$3&gt;=$B$31,YEAR(CU$3)=YEAR(CT$3)),CT36,0)),0)</x:f>
      </x:c>
      <x:c r="CV37">
        <x:f>IF(CV$3&gt;=$B$31,MAX(0,MAX(CV33-CV35,0)*'Вводные'!$B$21-IF(AND(CU$3&gt;=$B$31,YEAR(CV$3)=YEAR(CU$3)),CU36,0)),0)</x:f>
      </x:c>
      <x:c r="CW37">
        <x:f>IF(CW$3&gt;=$B$31,MAX(0,MAX(CW33-CW35,0)*'Вводные'!$B$21-IF(AND(CV$3&gt;=$B$31,YEAR(CW$3)=YEAR(CV$3)),CV36,0)),0)</x:f>
      </x:c>
      <x:c r="CX37">
        <x:f>IF(CX$3&gt;=$B$31,MAX(0,MAX(CX33-CX35,0)*'Вводные'!$B$21-IF(AND(CW$3&gt;=$B$31,YEAR(CX$3)=YEAR(CW$3)),CW36,0)),0)</x:f>
      </x:c>
      <x:c r="CY37">
        <x:f>IF(CY$3&gt;=$B$31,MAX(0,MAX(CY33-CY35,0)*'Вводные'!$B$21-IF(AND(CX$3&gt;=$B$31,YEAR(CY$3)=YEAR(CX$3)),CX36,0)),0)</x:f>
      </x:c>
      <x:c r="CZ37">
        <x:f>IF(CZ$3&gt;=$B$31,MAX(0,MAX(CZ33-CZ35,0)*'Вводные'!$B$21-IF(AND(CY$3&gt;=$B$31,YEAR(CZ$3)=YEAR(CY$3)),CY36,0)),0)</x:f>
      </x:c>
      <x:c r="DA37">
        <x:f>IF(DA$3&gt;=$B$31,MAX(0,MAX(DA33-DA35,0)*'Вводные'!$B$21-IF(AND(CZ$3&gt;=$B$31,YEAR(DA$3)=YEAR(CZ$3)),CZ36,0)),0)</x:f>
      </x:c>
      <x:c r="DB37">
        <x:f>IF(DB$3&gt;=$B$31,MAX(0,MAX(DB33-DB35,0)*'Вводные'!$B$21-IF(AND(DA$3&gt;=$B$31,YEAR(DB$3)=YEAR(DA$3)),DA36,0)),0)</x:f>
      </x:c>
      <x:c r="DC37">
        <x:f>IF(DC$3&gt;=$B$31,MAX(0,MAX(DC33-DC35,0)*'Вводные'!$B$21-IF(AND(DB$3&gt;=$B$31,YEAR(DC$3)=YEAR(DB$3)),DB36,0)),0)</x:f>
      </x:c>
      <x:c r="DD37">
        <x:f>IF(DD$3&gt;=$B$31,MAX(0,MAX(DD33-DD35,0)*'Вводные'!$B$21-IF(AND(DC$3&gt;=$B$31,YEAR(DD$3)=YEAR(DC$3)),DC36,0)),0)</x:f>
      </x:c>
      <x:c r="DE37">
        <x:f>IF(DE$3&gt;=$B$31,MAX(0,MAX(DE33-DE35,0)*'Вводные'!$B$21-IF(AND(DD$3&gt;=$B$31,YEAR(DE$3)=YEAR(DD$3)),DD36,0)),0)</x:f>
      </x:c>
      <x:c r="DF37">
        <x:f>IF(DF$3&gt;=$B$31,MAX(0,MAX(DF33-DF35,0)*'Вводные'!$B$21-IF(AND(DE$3&gt;=$B$31,YEAR(DF$3)=YEAR(DE$3)),DE36,0)),0)</x:f>
      </x:c>
      <x:c r="DG37">
        <x:f>IF(DG$3&gt;=$B$31,MAX(0,MAX(DG33-DG35,0)*'Вводные'!$B$21-IF(AND(DF$3&gt;=$B$31,YEAR(DG$3)=YEAR(DF$3)),DF36,0)),0)</x:f>
      </x:c>
      <x:c r="DH37">
        <x:f>IF(DH$3&gt;=$B$31,MAX(0,MAX(DH33-DH35,0)*'Вводные'!$B$21-IF(AND(DG$3&gt;=$B$31,YEAR(DH$3)=YEAR(DG$3)),DG36,0)),0)</x:f>
      </x:c>
      <x:c r="DI37">
        <x:f>IF(DI$3&gt;=$B$31,MAX(0,MAX(DI33-DI35,0)*'Вводные'!$B$21-IF(AND(DH$3&gt;=$B$31,YEAR(DI$3)=YEAR(DH$3)),DH36,0)),0)</x:f>
      </x:c>
      <x:c r="DJ37">
        <x:f>IF(DJ$3&gt;=$B$31,MAX(0,MAX(DJ33-DJ35,0)*'Вводные'!$B$21-IF(AND(DI$3&gt;=$B$31,YEAR(DJ$3)=YEAR(DI$3)),DI36,0)),0)</x:f>
      </x:c>
      <x:c r="DK37">
        <x:f>IF(DK$3&gt;=$B$31,MAX(0,MAX(DK33-DK35,0)*'Вводные'!$B$21-IF(AND(DJ$3&gt;=$B$31,YEAR(DK$3)=YEAR(DJ$3)),DJ36,0)),0)</x:f>
      </x:c>
      <x:c r="DL37">
        <x:f>IF(DL$3&gt;=$B$31,MAX(0,MAX(DL33-DL35,0)*'Вводные'!$B$21-IF(AND(DK$3&gt;=$B$31,YEAR(DL$3)=YEAR(DK$3)),DK36,0)),0)</x:f>
      </x:c>
      <x:c r="DM37">
        <x:f>IF(DM$3&gt;=$B$31,MAX(0,MAX(DM33-DM35,0)*'Вводные'!$B$21-IF(AND(DL$3&gt;=$B$31,YEAR(DM$3)=YEAR(DL$3)),DL36,0)),0)</x:f>
      </x:c>
      <x:c r="DN37">
        <x:f>IF(DN$3&gt;=$B$31,MAX(0,MAX(DN33-DN35,0)*'Вводные'!$B$21-IF(AND(DM$3&gt;=$B$31,YEAR(DN$3)=YEAR(DM$3)),DM36,0)),0)</x:f>
      </x:c>
      <x:c r="DO37">
        <x:f>IF(DO$3&gt;=$B$31,MAX(0,MAX(DO33-DO35,0)*'Вводные'!$B$21-IF(AND(DN$3&gt;=$B$31,YEAR(DO$3)=YEAR(DN$3)),DN36,0)),0)</x:f>
      </x:c>
      <x:c r="DP37">
        <x:f>IF(DP$3&gt;=$B$31,MAX(0,MAX(DP33-DP35,0)*'Вводные'!$B$21-IF(AND(DO$3&gt;=$B$31,YEAR(DP$3)=YEAR(DO$3)),DO36,0)),0)</x:f>
      </x:c>
      <x:c r="DQ37">
        <x:f>IF(DQ$3&gt;=$B$31,MAX(0,MAX(DQ33-DQ35,0)*'Вводные'!$B$21-IF(AND(DP$3&gt;=$B$31,YEAR(DQ$3)=YEAR(DP$3)),DP36,0)),0)</x:f>
      </x:c>
      <x:c r="DR37">
        <x:f>IF(DR$3&gt;=$B$31,MAX(0,MAX(DR33-DR35,0)*'Вводные'!$B$21-IF(AND(DQ$3&gt;=$B$31,YEAR(DR$3)=YEAR(DQ$3)),DQ36,0)),0)</x:f>
      </x:c>
      <x:c r="DS37">
        <x:f>IF(DS$3&gt;=$B$31,MAX(0,MAX(DS33-DS35,0)*'Вводные'!$B$21-IF(AND(DR$3&gt;=$B$31,YEAR(DS$3)=YEAR(DR$3)),DR36,0)),0)</x:f>
      </x:c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$K$8*$C$30</x:f>
      </x:c>
      <x:c r="L4" s="107" t="n">
        <x:f>'CF_1'!B77+'CF_1'!B76-K4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$K$8*$C$31</x:f>
      </x:c>
      <x:c r="L5" s="107" t="n">
        <x:f>'CF_2'!B77+'CF_2'!B76-K5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$K$8*$C$32</x:f>
      </x:c>
      <x:c r="L6" s="107" t="n">
        <x:f>'CF_3'!B77+'CF_3'!B76-K6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$K$8*$C$33</x:f>
      </x:c>
      <x:c r="L7" s="107" t="n">
        <x:f>'CF_4'!B77+'CF_4'!B76-K7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SUM('CF'!$D$37:$DS$37)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  <x:row r="28">
      <x:c r="A28" t="inlineStr">
        <x:is>
          <x:t>РАЗДАЧА СВОДНОГО НАЛОГА ПО ОЧЕРЕДЯМ</x:t>
        </x:is>
      </x:c>
    </x:row>
    <x:row r="29">
      <x:c r="A29" t="inlineStr">
        <x:is>
          <x:t>Очередь</x:t>
        </x:is>
      </x:c>
      <x:c r="B29" t="inlineStr">
        <x:is>
          <x:t>Положительная база</x:t>
        </x:is>
      </x:c>
      <x:c r="C29" t="inlineStr">
        <x:is>
          <x:t>Доля</x:t>
        </x:is>
      </x:c>
    </x:row>
    <x:row r="30">
      <x:c r="A30" t="inlineStr">
        <x:is>
          <x:t>Очередь 1</x:t>
        </x:is>
      </x:c>
      <x:c r="B30">
        <x:f>MAX(SUM('CF_1'!$D$22:$DS$22),0)</x:f>
      </x:c>
      <x:c r="C30">
        <x:f>IF($B$34=0,0,B30/$B$34)</x:f>
      </x:c>
    </x:row>
    <x:row r="31">
      <x:c r="A31" t="inlineStr">
        <x:is>
          <x:t>Очередь 2</x:t>
        </x:is>
      </x:c>
      <x:c r="B31">
        <x:f>MAX(SUM('CF_2'!$D$22:$DS$22),0)</x:f>
      </x:c>
      <x:c r="C31">
        <x:f>IF($B$34=0,0,B31/$B$34)</x:f>
      </x:c>
    </x:row>
    <x:row r="32">
      <x:c r="A32" t="inlineStr">
        <x:is>
          <x:t>Очередь 3</x:t>
        </x:is>
      </x:c>
      <x:c r="B32">
        <x:f>MAX(SUM('CF_3'!$D$22:$DS$22),0)</x:f>
      </x:c>
      <x:c r="C32">
        <x:f>IF($B$34=0,0,B32/$B$34)</x:f>
      </x:c>
    </x:row>
    <x:row r="33">
      <x:c r="A33" t="inlineStr">
        <x:is>
          <x:t>Очередь 4</x:t>
        </x:is>
      </x:c>
      <x:c r="B33">
        <x:f>MAX(SUM('CF_4'!$D$22:$DS$22),0)</x:f>
      </x:c>
      <x:c r="C33">
        <x:f>IF($B$34=0,0,B33/$B$34)</x:f>
      </x:c>
    </x:row>
    <x:row r="34">
      <x:c r="A34" t="inlineStr">
        <x:is>
          <x:t>Итого</x:t>
        </x:is>
      </x:c>
      <x:c r="B34">
        <x:f>SUM(B30:B33)</x:f>
      </x:c>
      <x:c r="C34">
        <x:f>SUM(C30:C33)</x:f>
      </x:c>
    </x:row>
    <x:row r="28">
      <x:c r="A28" t="inlineStr">
        <x:is>
          <x:t>РАЗДАЧА СВОДНОГО НАЛОГА ПО ОЧЕРЕДЯМ</x:t>
        </x:is>
      </x:c>
    </x:row>
    <x:row r="29">
      <x:c r="A29" t="inlineStr">
        <x:is>
          <x:t>Очередь</x:t>
        </x:is>
      </x:c>
      <x:c r="B29" t="inlineStr">
        <x:is>
          <x:t>Положительная база</x:t>
        </x:is>
      </x:c>
      <x:c r="C29" t="inlineStr">
        <x:is>
          <x:t>Доля</x:t>
        </x:is>
      </x:c>
    </x:row>
    <x:row r="30">
      <x:c r="A30" t="inlineStr">
        <x:is>
          <x:t>Очередь 1</x:t>
        </x:is>
      </x:c>
      <x:c r="B30">
        <x:f>MAX(SUM('CF_1'!$D$22:$DS$22),0)</x:f>
      </x:c>
      <x:c r="C30">
        <x:f>IF($B$34=0,0,B30/$B$34)</x:f>
      </x:c>
    </x:row>
    <x:row r="31">
      <x:c r="A31" t="inlineStr">
        <x:is>
          <x:t>Очередь 2</x:t>
        </x:is>
      </x:c>
      <x:c r="B31">
        <x:f>MAX(SUM('CF_2'!$D$22:$DS$22),0)</x:f>
      </x:c>
      <x:c r="C31">
        <x:f>IF($B$34=0,0,B31/$B$34)</x:f>
      </x:c>
    </x:row>
    <x:row r="32">
      <x:c r="A32" t="inlineStr">
        <x:is>
          <x:t>Очередь 3</x:t>
        </x:is>
      </x:c>
      <x:c r="B32">
        <x:f>MAX(SUM('CF_3'!$D$22:$DS$22),0)</x:f>
      </x:c>
      <x:c r="C32">
        <x:f>IF($B$34=0,0,B32/$B$34)</x:f>
      </x:c>
    </x:row>
    <x:row r="33">
      <x:c r="A33" t="inlineStr">
        <x:is>
          <x:t>Очередь 4</x:t>
        </x:is>
      </x:c>
      <x:c r="B33">
        <x:f>MAX(SUM('CF_4'!$D$22:$DS$22),0)</x:f>
      </x:c>
      <x:c r="C33">
        <x:f>IF($B$34=0,0,B33/$B$34)</x:f>
      </x:c>
    </x:row>
    <x:row r="34">
      <x:c r="A34" t="inlineStr">
        <x:is>
          <x:t>Итого</x:t>
        </x:is>
      </x:c>
      <x:c r="B34">
        <x:f>SUM(B30:B33)</x:f>
      </x:c>
      <x:c r="C34">
        <x:f>SUM(C30:C33)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E21" s="117" t="n">
        <x:f>IF(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F21" s="117" t="n">
        <x:f>IF(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G21" s="117" t="n">
        <x:f>IF(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H21" s="117" t="n">
        <x:f>IF(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I21" s="117" t="n">
        <x:f>IF(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J21" s="117" t="n">
        <x:f>IF(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K21" s="117" t="n">
        <x:f>IF(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L21" s="117" t="n">
        <x:f>IF(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M21" s="117" t="n">
        <x:f>IF(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N21" s="117" t="n">
        <x:f>IF(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O21" s="117" t="n">
        <x:f>IF(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P21" s="117" t="n">
        <x:f>IF(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Q21" s="117" t="n">
        <x:f>IF(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R21" s="117" t="n">
        <x:f>IF(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S21" s="117" t="n">
        <x:f>IF(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T21" s="117" t="n">
        <x:f>IF(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U21" s="117" t="n">
        <x:f>IF(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V21" s="117" t="n">
        <x:f>IF(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W21" s="117" t="n">
        <x:f>IF(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X21" s="117" t="n">
        <x:f>IF(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Y21" s="117" t="n">
        <x:f>IF(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Z21" s="117" t="n">
        <x:f>IF(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A21" s="117" t="n">
        <x:f>IF(A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B21" s="117" t="n">
        <x:f>IF(A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C21" s="117" t="n">
        <x:f>IF(A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D21" s="117" t="n">
        <x:f>IF(A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E21" s="117" t="n">
        <x:f>IF(A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F21" s="117" t="n">
        <x:f>IF(A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G21" s="117" t="n">
        <x:f>IF(A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H21" s="117" t="n">
        <x:f>IF(A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I21" s="117" t="n">
        <x:f>IF(A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J21" s="117" t="n">
        <x:f>IF(A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K21" s="117" t="n">
        <x:f>IF(A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L21" s="117" t="n">
        <x:f>IF(A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M21" s="117" t="n">
        <x:f>IF(A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N21" s="117" t="n">
        <x:f>IF(A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O21" s="117" t="n">
        <x:f>IF(A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P21" s="117" t="n">
        <x:f>IF(A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Q21" s="117" t="n">
        <x:f>IF(A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R21" s="117" t="n">
        <x:f>IF(A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S21" s="117" t="n">
        <x:f>IF(A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T21" s="117" t="n">
        <x:f>IF(A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U21" s="117" t="n">
        <x:f>IF(A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V21" s="117" t="n">
        <x:f>IF(A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W21" s="117" t="n">
        <x:f>IF(A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X21" s="117" t="n">
        <x:f>IF(A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Y21" s="117" t="n">
        <x:f>IF(A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Z21" s="117" t="n">
        <x:f>IF(A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A21" s="117" t="n">
        <x:f>IF(B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B21" s="117" t="n">
        <x:f>IF(B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C21" s="117" t="n">
        <x:f>IF(B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D21" s="117" t="n">
        <x:f>IF(B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E21" s="117" t="n">
        <x:f>IF(B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F21" s="117" t="n">
        <x:f>IF(B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G21" s="117" t="n">
        <x:f>IF(B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H21" s="117" t="n">
        <x:f>IF(B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I21" s="117" t="n">
        <x:f>IF(B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J21" s="117" t="n">
        <x:f>IF(B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K21" s="117" t="n">
        <x:f>IF(B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L21" s="117" t="n">
        <x:f>IF(B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M21" s="117" t="n">
        <x:f>IF(B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N21" s="117" t="n">
        <x:f>IF(B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O21" s="117" t="n">
        <x:f>IF(B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P21" s="117" t="n">
        <x:f>IF(B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Q21" s="117" t="n">
        <x:f>IF(B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R21" s="117" t="n">
        <x:f>IF(B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S21" s="117" t="n">
        <x:f>IF(B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T21" s="117" t="n">
        <x:f>IF(B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U21" s="117" t="n">
        <x:f>IF(B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V21" s="117" t="n">
        <x:f>IF(B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W21" s="117" t="n">
        <x:f>IF(B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X21" s="117" t="n">
        <x:f>IF(B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Y21" s="117" t="n">
        <x:f>IF(B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Z21" s="117" t="n">
        <x:f>IF(B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A21" s="117" t="n">
        <x:f>IF(C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B21" s="117" t="n">
        <x:f>IF(C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C21" s="117" t="n">
        <x:f>IF(C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D21" s="117" t="n">
        <x:f>IF(C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E21" s="117" t="n">
        <x:f>IF(C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F21" s="117" t="n">
        <x:f>IF(C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G21" s="117" t="n">
        <x:f>IF(C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H21" s="117" t="n">
        <x:f>IF(C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I21" s="117" t="n">
        <x:f>IF(C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J21" s="117" t="n">
        <x:f>IF(C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K21" s="117" t="n">
        <x:f>IF(C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L21" s="117" t="n">
        <x:f>IF(C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M21" s="117" t="n">
        <x:f>IF(C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N21" s="117" t="n">
        <x:f>IF(C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O21" s="117" t="n">
        <x:f>IF(C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P21" s="117" t="n">
        <x:f>IF(C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Q21" s="117" t="n">
        <x:f>IF(C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R21" s="117" t="n">
        <x:f>IF(C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S21" s="117" t="n">
        <x:f>IF(C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T21" s="117" t="n">
        <x:f>IF(C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U21" s="117" t="n">
        <x:f>IF(C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V21" s="117" t="n">
        <x:f>IF(C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W21" s="117" t="n">
        <x:f>IF(C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X21" s="117" t="n">
        <x:f>IF(C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Y21" s="117" t="n">
        <x:f>IF(C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Z21" s="117" t="n">
        <x:f>IF(C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A21" s="117" t="n">
        <x:f>IF(D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B21" s="117" t="n">
        <x:f>IF(D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C21" s="117" t="n">
        <x:f>IF(D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D21" s="117" t="n">
        <x:f>IF(D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E21" s="117" t="n">
        <x:f>IF(D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F21" s="117" t="n">
        <x:f>IF(D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G21" s="117" t="n">
        <x:f>IF(D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H21" s="117" t="n">
        <x:f>IF(D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I21" s="117" t="n">
        <x:f>IF(D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J21" s="117" t="n">
        <x:f>IF(D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K21" s="117" t="n">
        <x:f>IF(D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L21" s="117" t="n">
        <x:f>IF(D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M21" s="117" t="n">
        <x:f>IF(D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N21" s="117" t="n">
        <x:f>IF(D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O21" s="117" t="n">
        <x:f>IF(D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P21" s="117" t="n">
        <x:f>IF(D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Q21" s="117" t="n">
        <x:f>IF(D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R21" s="117" t="n">
        <x:f>IF(D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S21" s="117" t="n">
        <x:f>IF(D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$120)*('Продажи'!D83+'Продажи'!D86+'Продажи'!D89+'Продажи'!D92)/(SUM('Продажи'!$D$83:$DS$83)+SUM('Продажи'!$D$86:$DS$86)+SUM('Продажи'!$D$89:$DS$89)+SUM('Продажи'!$D$92:$DS$92)),0)-IF('ОБЪЕКТЫ'!$B$8=4,IFERROR('ОБЪЕКТЫ'!$B$28*'ОБЪЕКТЫ'!D22/'ОБЪЕКТЫ'!$B$22,0),0)-IF('ОБЪЕКТЫ'!$B$36=4,IFERROR('ОБЪЕКТЫ'!$B$56*'ОБЪЕКТЫ'!D50/'ОБЪЕКТЫ'!$B$50,0),0)-IF('ОБЪЕКТЫ'!$B$64=4,IFERROR('ОБЪЕКТЫ'!$B$84*'ОБЪЕКТЫ'!D78/'ОБЪЕКТЫ'!$B$78,0),0)-D53-D57-D21</x:f>
      </x:c>
      <x:c r="E22" s="117">
        <x:f>E10-IFERROR((SUM($D$20:$DS$20)-'ОБЪЕКТЫ'!$B$120)*('Продажи'!E83+'Продажи'!E86+'Продажи'!E89+'Продажи'!E92)/(SUM('Продажи'!$D$83:$DS$83)+SUM('Продажи'!$D$86:$DS$86)+SUM('Продажи'!$D$89:$DS$89)+SUM('Продажи'!$D$92:$DS$92)),0)-IF('ОБЪЕКТЫ'!$B$8=4,IFERROR('ОБЪЕКТЫ'!$B$28*'ОБЪЕКТЫ'!E22/'ОБЪЕКТЫ'!$B$22,0),0)-IF('ОБЪЕКТЫ'!$B$36=4,IFERROR('ОБЪЕКТЫ'!$B$56*'ОБЪЕКТЫ'!E50/'ОБЪЕКТЫ'!$B$50,0),0)-IF('ОБЪЕКТЫ'!$B$64=4,IFERROR('ОБЪЕКТЫ'!$B$84*'ОБЪЕКТЫ'!E78/'ОБЪЕКТЫ'!$B$78,0),0)-E53-E57-E21</x:f>
      </x:c>
      <x:c r="F22" s="117">
        <x:f>F10-IFERROR((SUM($D$20:$DS$20)-'ОБЪЕКТЫ'!$B$120)*('Продажи'!F83+'Продажи'!F86+'Продажи'!F89+'Продажи'!F92)/(SUM('Продажи'!$D$83:$DS$83)+SUM('Продажи'!$D$86:$DS$86)+SUM('Продажи'!$D$89:$DS$89)+SUM('Продажи'!$D$92:$DS$92)),0)-IF('ОБЪЕКТЫ'!$B$8=4,IFERROR('ОБЪЕКТЫ'!$B$28*'ОБЪЕКТЫ'!F22/'ОБЪЕКТЫ'!$B$22,0),0)-IF('ОБЪЕКТЫ'!$B$36=4,IFERROR('ОБЪЕКТЫ'!$B$56*'ОБЪЕКТЫ'!F50/'ОБЪЕКТЫ'!$B$50,0),0)-IF('ОБЪЕКТЫ'!$B$64=4,IFERROR('ОБЪЕКТЫ'!$B$84*'ОБЪЕКТЫ'!F78/'ОБЪЕКТЫ'!$B$78,0),0)-F53-F57-F21</x:f>
      </x:c>
      <x:c r="G22" s="117">
        <x:f>G10-IFERROR((SUM($D$20:$DS$20)-'ОБЪЕКТЫ'!$B$120)*('Продажи'!G83+'Продажи'!G86+'Продажи'!G89+'Продажи'!G92)/(SUM('Продажи'!$D$83:$DS$83)+SUM('Продажи'!$D$86:$DS$86)+SUM('Продажи'!$D$89:$DS$89)+SUM('Продажи'!$D$92:$DS$92)),0)-IF('ОБЪЕКТЫ'!$B$8=4,IFERROR('ОБЪЕКТЫ'!$B$28*'ОБЪЕКТЫ'!G22/'ОБЪЕКТЫ'!$B$22,0),0)-IF('ОБЪЕКТЫ'!$B$36=4,IFERROR('ОБЪЕКТЫ'!$B$56*'ОБЪЕКТЫ'!G50/'ОБЪЕКТЫ'!$B$50,0),0)-IF('ОБЪЕКТЫ'!$B$64=4,IFERROR('ОБЪЕКТЫ'!$B$84*'ОБЪЕКТЫ'!G78/'ОБЪЕКТЫ'!$B$78,0),0)-G53-G57-G21</x:f>
      </x:c>
      <x:c r="H22" s="117">
        <x:f>H10-IFERROR((SUM($D$20:$DS$20)-'ОБЪЕКТЫ'!$B$120)*('Продажи'!H83+'Продажи'!H86+'Продажи'!H89+'Продажи'!H92)/(SUM('Продажи'!$D$83:$DS$83)+SUM('Продажи'!$D$86:$DS$86)+SUM('Продажи'!$D$89:$DS$89)+SUM('Продажи'!$D$92:$DS$92)),0)-IF('ОБЪЕКТЫ'!$B$8=4,IFERROR('ОБЪЕКТЫ'!$B$28*'ОБЪЕКТЫ'!H22/'ОБЪЕКТЫ'!$B$22,0),0)-IF('ОБЪЕКТЫ'!$B$36=4,IFERROR('ОБЪЕКТЫ'!$B$56*'ОБЪЕКТЫ'!H50/'ОБЪЕКТЫ'!$B$50,0),0)-IF('ОБЪЕКТЫ'!$B$64=4,IFERROR('ОБЪЕКТЫ'!$B$84*'ОБЪЕКТЫ'!H78/'ОБЪЕКТЫ'!$B$78,0),0)-H53-H57-H21</x:f>
      </x:c>
      <x:c r="I22" s="117">
        <x:f>I10-IFERROR((SUM($D$20:$DS$20)-'ОБЪЕКТЫ'!$B$120)*('Продажи'!I83+'Продажи'!I86+'Продажи'!I89+'Продажи'!I92)/(SUM('Продажи'!$D$83:$DS$83)+SUM('Продажи'!$D$86:$DS$86)+SUM('Продажи'!$D$89:$DS$89)+SUM('Продажи'!$D$92:$DS$92)),0)-IF('ОБЪЕКТЫ'!$B$8=4,IFERROR('ОБЪЕКТЫ'!$B$28*'ОБЪЕКТЫ'!I22/'ОБЪЕКТЫ'!$B$22,0),0)-IF('ОБЪЕКТЫ'!$B$36=4,IFERROR('ОБЪЕКТЫ'!$B$56*'ОБЪЕКТЫ'!I50/'ОБЪЕКТЫ'!$B$50,0),0)-IF('ОБЪЕКТЫ'!$B$64=4,IFERROR('ОБЪЕКТЫ'!$B$84*'ОБЪЕКТЫ'!I78/'ОБЪЕКТЫ'!$B$78,0),0)-I53-I57-I21</x:f>
      </x:c>
      <x:c r="J22" s="117">
        <x:f>J10-IFERROR((SUM($D$20:$DS$20)-'ОБЪЕКТЫ'!$B$120)*('Продажи'!J83+'Продажи'!J86+'Продажи'!J89+'Продажи'!J92)/(SUM('Продажи'!$D$83:$DS$83)+SUM('Продажи'!$D$86:$DS$86)+SUM('Продажи'!$D$89:$DS$89)+SUM('Продажи'!$D$92:$DS$92)),0)-IF('ОБЪЕКТЫ'!$B$8=4,IFERROR('ОБЪЕКТЫ'!$B$28*'ОБЪЕКТЫ'!J22/'ОБЪЕКТЫ'!$B$22,0),0)-IF('ОБЪЕКТЫ'!$B$36=4,IFERROR('ОБЪЕКТЫ'!$B$56*'ОБЪЕКТЫ'!J50/'ОБЪЕКТЫ'!$B$50,0),0)-IF('ОБЪЕКТЫ'!$B$64=4,IFERROR('ОБЪЕКТЫ'!$B$84*'ОБЪЕКТЫ'!J78/'ОБЪЕКТЫ'!$B$78,0),0)-J53-J57-J21</x:f>
      </x:c>
      <x:c r="K22" s="117">
        <x:f>K10-IFERROR((SUM($D$20:$DS$20)-'ОБЪЕКТЫ'!$B$120)*('Продажи'!K83+'Продажи'!K86+'Продажи'!K89+'Продажи'!K92)/(SUM('Продажи'!$D$83:$DS$83)+SUM('Продажи'!$D$86:$DS$86)+SUM('Продажи'!$D$89:$DS$89)+SUM('Продажи'!$D$92:$DS$92)),0)-IF('ОБЪЕКТЫ'!$B$8=4,IFERROR('ОБЪЕКТЫ'!$B$28*'ОБЪЕКТЫ'!K22/'ОБЪЕКТЫ'!$B$22,0),0)-IF('ОБЪЕКТЫ'!$B$36=4,IFERROR('ОБЪЕКТЫ'!$B$56*'ОБЪЕКТЫ'!K50/'ОБЪЕКТЫ'!$B$50,0),0)-IF('ОБЪЕКТЫ'!$B$64=4,IFERROR('ОБЪЕКТЫ'!$B$84*'ОБЪЕКТЫ'!K78/'ОБЪЕКТЫ'!$B$78,0),0)-K53-K57-K21</x:f>
      </x:c>
      <x:c r="L22" s="117">
        <x:f>L10-IFERROR((SUM($D$20:$DS$20)-'ОБЪЕКТЫ'!$B$120)*('Продажи'!L83+'Продажи'!L86+'Продажи'!L89+'Продажи'!L92)/(SUM('Продажи'!$D$83:$DS$83)+SUM('Продажи'!$D$86:$DS$86)+SUM('Продажи'!$D$89:$DS$89)+SUM('Продажи'!$D$92:$DS$92)),0)-IF('ОБЪЕКТЫ'!$B$8=4,IFERROR('ОБЪЕКТЫ'!$B$28*'ОБЪЕКТЫ'!L22/'ОБЪЕКТЫ'!$B$22,0),0)-IF('ОБЪЕКТЫ'!$B$36=4,IFERROR('ОБЪЕКТЫ'!$B$56*'ОБЪЕКТЫ'!L50/'ОБЪЕКТЫ'!$B$50,0),0)-IF('ОБЪЕКТЫ'!$B$64=4,IFERROR('ОБЪЕКТЫ'!$B$84*'ОБЪЕКТЫ'!L78/'ОБЪЕКТЫ'!$B$78,0),0)-L53-L57-L21</x:f>
      </x:c>
      <x:c r="M22" s="117">
        <x:f>M10-IFERROR((SUM($D$20:$DS$20)-'ОБЪЕКТЫ'!$B$120)*('Продажи'!M83+'Продажи'!M86+'Продажи'!M89+'Продажи'!M92)/(SUM('Продажи'!$D$83:$DS$83)+SUM('Продажи'!$D$86:$DS$86)+SUM('Продажи'!$D$89:$DS$89)+SUM('Продажи'!$D$92:$DS$92)),0)-IF('ОБЪЕКТЫ'!$B$8=4,IFERROR('ОБЪЕКТЫ'!$B$28*'ОБЪЕКТЫ'!M22/'ОБЪЕКТЫ'!$B$22,0),0)-IF('ОБЪЕКТЫ'!$B$36=4,IFERROR('ОБЪЕКТЫ'!$B$56*'ОБЪЕКТЫ'!M50/'ОБЪЕКТЫ'!$B$50,0),0)-IF('ОБЪЕКТЫ'!$B$64=4,IFERROR('ОБЪЕКТЫ'!$B$84*'ОБЪЕКТЫ'!M78/'ОБЪЕКТЫ'!$B$78,0),0)-M53-M57-M21</x:f>
      </x:c>
      <x:c r="N22" s="117">
        <x:f>N10-IFERROR((SUM($D$20:$DS$20)-'ОБЪЕКТЫ'!$B$120)*('Продажи'!N83+'Продажи'!N86+'Продажи'!N89+'Продажи'!N92)/(SUM('Продажи'!$D$83:$DS$83)+SUM('Продажи'!$D$86:$DS$86)+SUM('Продажи'!$D$89:$DS$89)+SUM('Продажи'!$D$92:$DS$92)),0)-IF('ОБЪЕКТЫ'!$B$8=4,IFERROR('ОБЪЕКТЫ'!$B$28*'ОБЪЕКТЫ'!N22/'ОБЪЕКТЫ'!$B$22,0),0)-IF('ОБЪЕКТЫ'!$B$36=4,IFERROR('ОБЪЕКТЫ'!$B$56*'ОБЪЕКТЫ'!N50/'ОБЪЕКТЫ'!$B$50,0),0)-IF('ОБЪЕКТЫ'!$B$64=4,IFERROR('ОБЪЕКТЫ'!$B$84*'ОБЪЕКТЫ'!N78/'ОБЪЕКТЫ'!$B$78,0),0)-N53-N57-N21</x:f>
      </x:c>
      <x:c r="O22" s="117">
        <x:f>O10-IFERROR((SUM($D$20:$DS$20)-'ОБЪЕКТЫ'!$B$120)*('Продажи'!O83+'Продажи'!O86+'Продажи'!O89+'Продажи'!O92)/(SUM('Продажи'!$D$83:$DS$83)+SUM('Продажи'!$D$86:$DS$86)+SUM('Продажи'!$D$89:$DS$89)+SUM('Продажи'!$D$92:$DS$92)),0)-IF('ОБЪЕКТЫ'!$B$8=4,IFERROR('ОБЪЕКТЫ'!$B$28*'ОБЪЕКТЫ'!O22/'ОБЪЕКТЫ'!$B$22,0),0)-IF('ОБЪЕКТЫ'!$B$36=4,IFERROR('ОБЪЕКТЫ'!$B$56*'ОБЪЕКТЫ'!O50/'ОБЪЕКТЫ'!$B$50,0),0)-IF('ОБЪЕКТЫ'!$B$64=4,IFERROR('ОБЪЕКТЫ'!$B$84*'ОБЪЕКТЫ'!O78/'ОБЪЕКТЫ'!$B$78,0),0)-O53-O57-O21</x:f>
      </x:c>
      <x:c r="P22" s="117">
        <x:f>P10-IFERROR((SUM($D$20:$DS$20)-'ОБЪЕКТЫ'!$B$120)*('Продажи'!P83+'Продажи'!P86+'Продажи'!P89+'Продажи'!P92)/(SUM('Продажи'!$D$83:$DS$83)+SUM('Продажи'!$D$86:$DS$86)+SUM('Продажи'!$D$89:$DS$89)+SUM('Продажи'!$D$92:$DS$92)),0)-IF('ОБЪЕКТЫ'!$B$8=4,IFERROR('ОБЪЕКТЫ'!$B$28*'ОБЪЕКТЫ'!P22/'ОБЪЕКТЫ'!$B$22,0),0)-IF('ОБЪЕКТЫ'!$B$36=4,IFERROR('ОБЪЕКТЫ'!$B$56*'ОБЪЕКТЫ'!P50/'ОБЪЕКТЫ'!$B$50,0),0)-IF('ОБЪЕКТЫ'!$B$64=4,IFERROR('ОБЪЕКТЫ'!$B$84*'ОБЪЕКТЫ'!P78/'ОБЪЕКТЫ'!$B$78,0),0)-P53-P57-P21</x:f>
      </x:c>
      <x:c r="Q22" s="117">
        <x:f>Q10-IFERROR((SUM($D$20:$DS$20)-'ОБЪЕКТЫ'!$B$120)*('Продажи'!Q83+'Продажи'!Q86+'Продажи'!Q89+'Продажи'!Q92)/(SUM('Продажи'!$D$83:$DS$83)+SUM('Продажи'!$D$86:$DS$86)+SUM('Продажи'!$D$89:$DS$89)+SUM('Продажи'!$D$92:$DS$92)),0)-IF('ОБЪЕКТЫ'!$B$8=4,IFERROR('ОБЪЕКТЫ'!$B$28*'ОБЪЕКТЫ'!Q22/'ОБЪЕКТЫ'!$B$22,0),0)-IF('ОБЪЕКТЫ'!$B$36=4,IFERROR('ОБЪЕКТЫ'!$B$56*'ОБЪЕКТЫ'!Q50/'ОБЪЕКТЫ'!$B$50,0),0)-IF('ОБЪЕКТЫ'!$B$64=4,IFERROR('ОБЪЕКТЫ'!$B$84*'ОБЪЕКТЫ'!Q78/'ОБЪЕКТЫ'!$B$78,0),0)-Q53-Q57-Q21</x:f>
      </x:c>
      <x:c r="R22" s="117">
        <x:f>R10-IFERROR((SUM($D$20:$DS$20)-'ОБЪЕКТЫ'!$B$120)*('Продажи'!R83+'Продажи'!R86+'Продажи'!R89+'Продажи'!R92)/(SUM('Продажи'!$D$83:$DS$83)+SUM('Продажи'!$D$86:$DS$86)+SUM('Продажи'!$D$89:$DS$89)+SUM('Продажи'!$D$92:$DS$92)),0)-IF('ОБЪЕКТЫ'!$B$8=4,IFERROR('ОБЪЕКТЫ'!$B$28*'ОБЪЕКТЫ'!R22/'ОБЪЕКТЫ'!$B$22,0),0)-IF('ОБЪЕКТЫ'!$B$36=4,IFERROR('ОБЪЕКТЫ'!$B$56*'ОБЪЕКТЫ'!R50/'ОБЪЕКТЫ'!$B$50,0),0)-IF('ОБЪЕКТЫ'!$B$64=4,IFERROR('ОБЪЕКТЫ'!$B$84*'ОБЪЕКТЫ'!R78/'ОБЪЕКТЫ'!$B$78,0),0)-R53-R57-R21</x:f>
      </x:c>
      <x:c r="S22" s="117">
        <x:f>S10-IFERROR((SUM($D$20:$DS$20)-'ОБЪЕКТЫ'!$B$120)*('Продажи'!S83+'Продажи'!S86+'Продажи'!S89+'Продажи'!S92)/(SUM('Продажи'!$D$83:$DS$83)+SUM('Продажи'!$D$86:$DS$86)+SUM('Продажи'!$D$89:$DS$89)+SUM('Продажи'!$D$92:$DS$92)),0)-IF('ОБЪЕКТЫ'!$B$8=4,IFERROR('ОБЪЕКТЫ'!$B$28*'ОБЪЕКТЫ'!S22/'ОБЪЕКТЫ'!$B$22,0),0)-IF('ОБЪЕКТЫ'!$B$36=4,IFERROR('ОБЪЕКТЫ'!$B$56*'ОБЪЕКТЫ'!S50/'ОБЪЕКТЫ'!$B$50,0),0)-IF('ОБЪЕКТЫ'!$B$64=4,IFERROR('ОБЪЕКТЫ'!$B$84*'ОБЪЕКТЫ'!S78/'ОБЪЕКТЫ'!$B$78,0),0)-S53-S57-S21</x:f>
      </x:c>
      <x:c r="T22" s="117">
        <x:f>T10-IFERROR((SUM($D$20:$DS$20)-'ОБЪЕКТЫ'!$B$120)*('Продажи'!T83+'Продажи'!T86+'Продажи'!T89+'Продажи'!T92)/(SUM('Продажи'!$D$83:$DS$83)+SUM('Продажи'!$D$86:$DS$86)+SUM('Продажи'!$D$89:$DS$89)+SUM('Продажи'!$D$92:$DS$92)),0)-IF('ОБЪЕКТЫ'!$B$8=4,IFERROR('ОБЪЕКТЫ'!$B$28*'ОБЪЕКТЫ'!T22/'ОБЪЕКТЫ'!$B$22,0),0)-IF('ОБЪЕКТЫ'!$B$36=4,IFERROR('ОБЪЕКТЫ'!$B$56*'ОБЪЕКТЫ'!T50/'ОБЪЕКТЫ'!$B$50,0),0)-IF('ОБЪЕКТЫ'!$B$64=4,IFERROR('ОБЪЕКТЫ'!$B$84*'ОБЪЕКТЫ'!T78/'ОБЪЕКТЫ'!$B$78,0),0)-T53-T57-T21</x:f>
      </x:c>
      <x:c r="U22" s="117">
        <x:f>U10-IFERROR((SUM($D$20:$DS$20)-'ОБЪЕКТЫ'!$B$120)*('Продажи'!U83+'Продажи'!U86+'Продажи'!U89+'Продажи'!U92)/(SUM('Продажи'!$D$83:$DS$83)+SUM('Продажи'!$D$86:$DS$86)+SUM('Продажи'!$D$89:$DS$89)+SUM('Продажи'!$D$92:$DS$92)),0)-IF('ОБЪЕКТЫ'!$B$8=4,IFERROR('ОБЪЕКТЫ'!$B$28*'ОБЪЕКТЫ'!U22/'ОБЪЕКТЫ'!$B$22,0),0)-IF('ОБЪЕКТЫ'!$B$36=4,IFERROR('ОБЪЕКТЫ'!$B$56*'ОБЪЕКТЫ'!U50/'ОБЪЕКТЫ'!$B$50,0),0)-IF('ОБЪЕКТЫ'!$B$64=4,IFERROR('ОБЪЕКТЫ'!$B$84*'ОБЪЕКТЫ'!U78/'ОБЪЕКТЫ'!$B$78,0),0)-U53-U57-U21</x:f>
      </x:c>
      <x:c r="V22" s="117">
        <x:f>V10-IFERROR((SUM($D$20:$DS$20)-'ОБЪЕКТЫ'!$B$120)*('Продажи'!V83+'Продажи'!V86+'Продажи'!V89+'Продажи'!V92)/(SUM('Продажи'!$D$83:$DS$83)+SUM('Продажи'!$D$86:$DS$86)+SUM('Продажи'!$D$89:$DS$89)+SUM('Продажи'!$D$92:$DS$92)),0)-IF('ОБЪЕКТЫ'!$B$8=4,IFERROR('ОБЪЕКТЫ'!$B$28*'ОБЪЕКТЫ'!V22/'ОБЪЕКТЫ'!$B$22,0),0)-IF('ОБЪЕКТЫ'!$B$36=4,IFERROR('ОБЪЕКТЫ'!$B$56*'ОБЪЕКТЫ'!V50/'ОБЪЕКТЫ'!$B$50,0),0)-IF('ОБЪЕКТЫ'!$B$64=4,IFERROR('ОБЪЕКТЫ'!$B$84*'ОБЪЕКТЫ'!V78/'ОБЪЕКТЫ'!$B$78,0),0)-V53-V57-V21</x:f>
      </x:c>
      <x:c r="W22" s="117">
        <x:f>W10-IFERROR((SUM($D$20:$DS$20)-'ОБЪЕКТЫ'!$B$120)*('Продажи'!W83+'Продажи'!W86+'Продажи'!W89+'Продажи'!W92)/(SUM('Продажи'!$D$83:$DS$83)+SUM('Продажи'!$D$86:$DS$86)+SUM('Продажи'!$D$89:$DS$89)+SUM('Продажи'!$D$92:$DS$92)),0)-IF('ОБЪЕКТЫ'!$B$8=4,IFERROR('ОБЪЕКТЫ'!$B$28*'ОБЪЕКТЫ'!W22/'ОБЪЕКТЫ'!$B$22,0),0)-IF('ОБЪЕКТЫ'!$B$36=4,IFERROR('ОБЪЕКТЫ'!$B$56*'ОБЪЕКТЫ'!W50/'ОБЪЕКТЫ'!$B$50,0),0)-IF('ОБЪЕКТЫ'!$B$64=4,IFERROR('ОБЪЕКТЫ'!$B$84*'ОБЪЕКТЫ'!W78/'ОБЪЕКТЫ'!$B$78,0),0)-W53-W57-W21</x:f>
      </x:c>
      <x:c r="X22" s="117">
        <x:f>X10-IFERROR((SUM($D$20:$DS$20)-'ОБЪЕКТЫ'!$B$120)*('Продажи'!X83+'Продажи'!X86+'Продажи'!X89+'Продажи'!X92)/(SUM('Продажи'!$D$83:$DS$83)+SUM('Продажи'!$D$86:$DS$86)+SUM('Продажи'!$D$89:$DS$89)+SUM('Продажи'!$D$92:$DS$92)),0)-IF('ОБЪЕКТЫ'!$B$8=4,IFERROR('ОБЪЕКТЫ'!$B$28*'ОБЪЕКТЫ'!X22/'ОБЪЕКТЫ'!$B$22,0),0)-IF('ОБЪЕКТЫ'!$B$36=4,IFERROR('ОБЪЕКТЫ'!$B$56*'ОБЪЕКТЫ'!X50/'ОБЪЕКТЫ'!$B$50,0),0)-IF('ОБЪЕКТЫ'!$B$64=4,IFERROR('ОБЪЕКТЫ'!$B$84*'ОБЪЕКТЫ'!X78/'ОБЪЕКТЫ'!$B$78,0),0)-X53-X57-X21</x:f>
      </x:c>
      <x:c r="Y22" s="117">
        <x:f>Y10-IFERROR((SUM($D$20:$DS$20)-'ОБЪЕКТЫ'!$B$120)*('Продажи'!Y83+'Продажи'!Y86+'Продажи'!Y89+'Продажи'!Y92)/(SUM('Продажи'!$D$83:$DS$83)+SUM('Продажи'!$D$86:$DS$86)+SUM('Продажи'!$D$89:$DS$89)+SUM('Продажи'!$D$92:$DS$92)),0)-IF('ОБЪЕКТЫ'!$B$8=4,IFERROR('ОБЪЕКТЫ'!$B$28*'ОБЪЕКТЫ'!Y22/'ОБЪЕКТЫ'!$B$22,0),0)-IF('ОБЪЕКТЫ'!$B$36=4,IFERROR('ОБЪЕКТЫ'!$B$56*'ОБЪЕКТЫ'!Y50/'ОБЪЕКТЫ'!$B$50,0),0)-IF('ОБЪЕКТЫ'!$B$64=4,IFERROR('ОБЪЕКТЫ'!$B$84*'ОБЪЕКТЫ'!Y78/'ОБЪЕКТЫ'!$B$78,0),0)-Y53-Y57-Y21</x:f>
      </x:c>
      <x:c r="Z22" s="117">
        <x:f>Z10-IFERROR((SUM($D$20:$DS$20)-'ОБЪЕКТЫ'!$B$120)*('Продажи'!Z83+'Продажи'!Z86+'Продажи'!Z89+'Продажи'!Z92)/(SUM('Продажи'!$D$83:$DS$83)+SUM('Продажи'!$D$86:$DS$86)+SUM('Продажи'!$D$89:$DS$89)+SUM('Продажи'!$D$92:$DS$92)),0)-IF('ОБЪЕКТЫ'!$B$8=4,IFERROR('ОБЪЕКТЫ'!$B$28*'ОБЪЕКТЫ'!Z22/'ОБЪЕКТЫ'!$B$22,0),0)-IF('ОБЪЕКТЫ'!$B$36=4,IFERROR('ОБЪЕКТЫ'!$B$56*'ОБЪЕКТЫ'!Z50/'ОБЪЕКТЫ'!$B$50,0),0)-IF('ОБЪЕКТЫ'!$B$64=4,IFERROR('ОБЪЕКТЫ'!$B$84*'ОБЪЕКТЫ'!Z78/'ОБЪЕКТЫ'!$B$78,0),0)-Z53-Z57-Z21</x:f>
      </x:c>
      <x:c r="AA22" s="117">
        <x:f>AA10-IFERROR((SUM($D$20:$DS$20)-'ОБЪЕКТЫ'!$B$120)*('Продажи'!AA83+'Продажи'!AA86+'Продажи'!AA89+'Продажи'!AA92)/(SUM('Продажи'!$D$83:$DS$83)+SUM('Продажи'!$D$86:$DS$86)+SUM('Продажи'!$D$89:$DS$89)+SUM('Продажи'!$D$92:$DS$92)),0)-IF('ОБЪЕКТЫ'!$B$8=4,IFERROR('ОБЪЕКТЫ'!$B$28*'ОБЪЕКТЫ'!AA22/'ОБЪЕКТЫ'!$B$22,0),0)-IF('ОБЪЕКТЫ'!$B$36=4,IFERROR('ОБЪЕКТЫ'!$B$56*'ОБЪЕКТЫ'!AA50/'ОБЪЕКТЫ'!$B$50,0),0)-IF('ОБЪЕКТЫ'!$B$64=4,IFERROR('ОБЪЕКТЫ'!$B$84*'ОБЪЕКТЫ'!AA78/'ОБЪЕКТЫ'!$B$78,0),0)-AA53-AA57-AA21</x:f>
      </x:c>
      <x:c r="AB22" s="117">
        <x:f>AB10-IFERROR((SUM($D$20:$DS$20)-'ОБЪЕКТЫ'!$B$120)*('Продажи'!AB83+'Продажи'!AB86+'Продажи'!AB89+'Продажи'!AB92)/(SUM('Продажи'!$D$83:$DS$83)+SUM('Продажи'!$D$86:$DS$86)+SUM('Продажи'!$D$89:$DS$89)+SUM('Продажи'!$D$92:$DS$92)),0)-IF('ОБЪЕКТЫ'!$B$8=4,IFERROR('ОБЪЕКТЫ'!$B$28*'ОБЪЕКТЫ'!AB22/'ОБЪЕКТЫ'!$B$22,0),0)-IF('ОБЪЕКТЫ'!$B$36=4,IFERROR('ОБЪЕКТЫ'!$B$56*'ОБЪЕКТЫ'!AB50/'ОБЪЕКТЫ'!$B$50,0),0)-IF('ОБЪЕКТЫ'!$B$64=4,IFERROR('ОБЪЕКТЫ'!$B$84*'ОБЪЕКТЫ'!AB78/'ОБЪЕКТЫ'!$B$78,0),0)-AB53-AB57-AB21</x:f>
      </x:c>
      <x:c r="AC22" s="117">
        <x:f>AC10-IFERROR((SUM($D$20:$DS$20)-'ОБЪЕКТЫ'!$B$120)*('Продажи'!AC83+'Продажи'!AC86+'Продажи'!AC89+'Продажи'!AC92)/(SUM('Продажи'!$D$83:$DS$83)+SUM('Продажи'!$D$86:$DS$86)+SUM('Продажи'!$D$89:$DS$89)+SUM('Продажи'!$D$92:$DS$92)),0)-IF('ОБЪЕКТЫ'!$B$8=4,IFERROR('ОБЪЕКТЫ'!$B$28*'ОБЪЕКТЫ'!AC22/'ОБЪЕКТЫ'!$B$22,0),0)-IF('ОБЪЕКТЫ'!$B$36=4,IFERROR('ОБЪЕКТЫ'!$B$56*'ОБЪЕКТЫ'!AC50/'ОБЪЕКТЫ'!$B$50,0),0)-IF('ОБЪЕКТЫ'!$B$64=4,IFERROR('ОБЪЕКТЫ'!$B$84*'ОБЪЕКТЫ'!AC78/'ОБЪЕКТЫ'!$B$78,0),0)-AC53-AC57-AC21</x:f>
      </x:c>
      <x:c r="AD22" s="117">
        <x:f>AD10-IFERROR((SUM($D$20:$DS$20)-'ОБЪЕКТЫ'!$B$120)*('Продажи'!AD83+'Продажи'!AD86+'Продажи'!AD89+'Продажи'!AD92)/(SUM('Продажи'!$D$83:$DS$83)+SUM('Продажи'!$D$86:$DS$86)+SUM('Продажи'!$D$89:$DS$89)+SUM('Продажи'!$D$92:$DS$92)),0)-IF('ОБЪЕКТЫ'!$B$8=4,IFERROR('ОБЪЕКТЫ'!$B$28*'ОБЪЕКТЫ'!AD22/'ОБЪЕКТЫ'!$B$22,0),0)-IF('ОБЪЕКТЫ'!$B$36=4,IFERROR('ОБЪЕКТЫ'!$B$56*'ОБЪЕКТЫ'!AD50/'ОБЪЕКТЫ'!$B$50,0),0)-IF('ОБЪЕКТЫ'!$B$64=4,IFERROR('ОБЪЕКТЫ'!$B$84*'ОБЪЕКТЫ'!AD78/'ОБЪЕКТЫ'!$B$78,0),0)-AD53-AD57-AD21</x:f>
      </x:c>
      <x:c r="AE22" s="117">
        <x:f>AE10-IFERROR((SUM($D$20:$DS$20)-'ОБЪЕКТЫ'!$B$120)*('Продажи'!AE83+'Продажи'!AE86+'Продажи'!AE89+'Продажи'!AE92)/(SUM('Продажи'!$D$83:$DS$83)+SUM('Продажи'!$D$86:$DS$86)+SUM('Продажи'!$D$89:$DS$89)+SUM('Продажи'!$D$92:$DS$92)),0)-IF('ОБЪЕКТЫ'!$B$8=4,IFERROR('ОБЪЕКТЫ'!$B$28*'ОБЪЕКТЫ'!AE22/'ОБЪЕКТЫ'!$B$22,0),0)-IF('ОБЪЕКТЫ'!$B$36=4,IFERROR('ОБЪЕКТЫ'!$B$56*'ОБЪЕКТЫ'!AE50/'ОБЪЕКТЫ'!$B$50,0),0)-IF('ОБЪЕКТЫ'!$B$64=4,IFERROR('ОБЪЕКТЫ'!$B$84*'ОБЪЕКТЫ'!AE78/'ОБЪЕКТЫ'!$B$78,0),0)-AE53-AE57-AE21</x:f>
      </x:c>
      <x:c r="AF22" s="117">
        <x:f>AF10-IFERROR((SUM($D$20:$DS$20)-'ОБЪЕКТЫ'!$B$120)*('Продажи'!AF83+'Продажи'!AF86+'Продажи'!AF89+'Продажи'!AF92)/(SUM('Продажи'!$D$83:$DS$83)+SUM('Продажи'!$D$86:$DS$86)+SUM('Продажи'!$D$89:$DS$89)+SUM('Продажи'!$D$92:$DS$92)),0)-IF('ОБЪЕКТЫ'!$B$8=4,IFERROR('ОБЪЕКТЫ'!$B$28*'ОБЪЕКТЫ'!AF22/'ОБЪЕКТЫ'!$B$22,0),0)-IF('ОБЪЕКТЫ'!$B$36=4,IFERROR('ОБЪЕКТЫ'!$B$56*'ОБЪЕКТЫ'!AF50/'ОБЪЕКТЫ'!$B$50,0),0)-IF('ОБЪЕКТЫ'!$B$64=4,IFERROR('ОБЪЕКТЫ'!$B$84*'ОБЪЕКТЫ'!AF78/'ОБЪЕКТЫ'!$B$78,0),0)-AF53-AF57-AF21</x:f>
      </x:c>
      <x:c r="AG22" s="117">
        <x:f>AG10-IFERROR((SUM($D$20:$DS$20)-'ОБЪЕКТЫ'!$B$120)*('Продажи'!AG83+'Продажи'!AG86+'Продажи'!AG89+'Продажи'!AG92)/(SUM('Продажи'!$D$83:$DS$83)+SUM('Продажи'!$D$86:$DS$86)+SUM('Продажи'!$D$89:$DS$89)+SUM('Продажи'!$D$92:$DS$92)),0)-IF('ОБЪЕКТЫ'!$B$8=4,IFERROR('ОБЪЕКТЫ'!$B$28*'ОБЪЕКТЫ'!AG22/'ОБЪЕКТЫ'!$B$22,0),0)-IF('ОБЪЕКТЫ'!$B$36=4,IFERROR('ОБЪЕКТЫ'!$B$56*'ОБЪЕКТЫ'!AG50/'ОБЪЕКТЫ'!$B$50,0),0)-IF('ОБЪЕКТЫ'!$B$64=4,IFERROR('ОБЪЕКТЫ'!$B$84*'ОБЪЕКТЫ'!AG78/'ОБЪЕКТЫ'!$B$78,0),0)-AG53-AG57-AG21</x:f>
      </x:c>
      <x:c r="AH22" s="117">
        <x:f>AH10-IFERROR((SUM($D$20:$DS$20)-'ОБЪЕКТЫ'!$B$120)*('Продажи'!AH83+'Продажи'!AH86+'Продажи'!AH89+'Продажи'!AH92)/(SUM('Продажи'!$D$83:$DS$83)+SUM('Продажи'!$D$86:$DS$86)+SUM('Продажи'!$D$89:$DS$89)+SUM('Продажи'!$D$92:$DS$92)),0)-IF('ОБЪЕКТЫ'!$B$8=4,IFERROR('ОБЪЕКТЫ'!$B$28*'ОБЪЕКТЫ'!AH22/'ОБЪЕКТЫ'!$B$22,0),0)-IF('ОБЪЕКТЫ'!$B$36=4,IFERROR('ОБЪЕКТЫ'!$B$56*'ОБЪЕКТЫ'!AH50/'ОБЪЕКТЫ'!$B$50,0),0)-IF('ОБЪЕКТЫ'!$B$64=4,IFERROR('ОБЪЕКТЫ'!$B$84*'ОБЪЕКТЫ'!AH78/'ОБЪЕКТЫ'!$B$78,0),0)-AH53-AH57-AH21</x:f>
      </x:c>
      <x:c r="AI22" s="117">
        <x:f>AI10-IFERROR((SUM($D$20:$DS$20)-'ОБЪЕКТЫ'!$B$120)*('Продажи'!AI83+'Продажи'!AI86+'Продажи'!AI89+'Продажи'!AI92)/(SUM('Продажи'!$D$83:$DS$83)+SUM('Продажи'!$D$86:$DS$86)+SUM('Продажи'!$D$89:$DS$89)+SUM('Продажи'!$D$92:$DS$92)),0)-IF('ОБЪЕКТЫ'!$B$8=4,IFERROR('ОБЪЕКТЫ'!$B$28*'ОБЪЕКТЫ'!AI22/'ОБЪЕКТЫ'!$B$22,0),0)-IF('ОБЪЕКТЫ'!$B$36=4,IFERROR('ОБЪЕКТЫ'!$B$56*'ОБЪЕКТЫ'!AI50/'ОБЪЕКТЫ'!$B$50,0),0)-IF('ОБЪЕКТЫ'!$B$64=4,IFERROR('ОБЪЕКТЫ'!$B$84*'ОБЪЕКТЫ'!AI78/'ОБЪЕКТЫ'!$B$78,0),0)-AI53-AI57-AI21</x:f>
      </x:c>
      <x:c r="AJ22" s="117">
        <x:f>AJ10-IFERROR((SUM($D$20:$DS$20)-'ОБЪЕКТЫ'!$B$120)*('Продажи'!AJ83+'Продажи'!AJ86+'Продажи'!AJ89+'Продажи'!AJ92)/(SUM('Продажи'!$D$83:$DS$83)+SUM('Продажи'!$D$86:$DS$86)+SUM('Продажи'!$D$89:$DS$89)+SUM('Продажи'!$D$92:$DS$92)),0)-IF('ОБЪЕКТЫ'!$B$8=4,IFERROR('ОБЪЕКТЫ'!$B$28*'ОБЪЕКТЫ'!AJ22/'ОБЪЕКТЫ'!$B$22,0),0)-IF('ОБЪЕКТЫ'!$B$36=4,IFERROR('ОБЪЕКТЫ'!$B$56*'ОБЪЕКТЫ'!AJ50/'ОБЪЕКТЫ'!$B$50,0),0)-IF('ОБЪЕКТЫ'!$B$64=4,IFERROR('ОБЪЕКТЫ'!$B$84*'ОБЪЕКТЫ'!AJ78/'ОБЪЕКТЫ'!$B$78,0),0)-AJ53-AJ57-AJ21</x:f>
      </x:c>
      <x:c r="AK22" s="117">
        <x:f>AK10-IFERROR((SUM($D$20:$DS$20)-'ОБЪЕКТЫ'!$B$120)*('Продажи'!AK83+'Продажи'!AK86+'Продажи'!AK89+'Продажи'!AK92)/(SUM('Продажи'!$D$83:$DS$83)+SUM('Продажи'!$D$86:$DS$86)+SUM('Продажи'!$D$89:$DS$89)+SUM('Продажи'!$D$92:$DS$92)),0)-IF('ОБЪЕКТЫ'!$B$8=4,IFERROR('ОБЪЕКТЫ'!$B$28*'ОБЪЕКТЫ'!AK22/'ОБЪЕКТЫ'!$B$22,0),0)-IF('ОБЪЕКТЫ'!$B$36=4,IFERROR('ОБЪЕКТЫ'!$B$56*'ОБЪЕКТЫ'!AK50/'ОБЪЕКТЫ'!$B$50,0),0)-IF('ОБЪЕКТЫ'!$B$64=4,IFERROR('ОБЪЕКТЫ'!$B$84*'ОБЪЕКТЫ'!AK78/'ОБЪЕКТЫ'!$B$78,0),0)-AK53-AK57-AK21</x:f>
      </x:c>
      <x:c r="AL22" s="117">
        <x:f>AL10-IFERROR((SUM($D$20:$DS$20)-'ОБЪЕКТЫ'!$B$120)*('Продажи'!AL83+'Продажи'!AL86+'Продажи'!AL89+'Продажи'!AL92)/(SUM('Продажи'!$D$83:$DS$83)+SUM('Продажи'!$D$86:$DS$86)+SUM('Продажи'!$D$89:$DS$89)+SUM('Продажи'!$D$92:$DS$92)),0)-IF('ОБЪЕКТЫ'!$B$8=4,IFERROR('ОБЪЕКТЫ'!$B$28*'ОБЪЕКТЫ'!AL22/'ОБЪЕКТЫ'!$B$22,0),0)-IF('ОБЪЕКТЫ'!$B$36=4,IFERROR('ОБЪЕКТЫ'!$B$56*'ОБЪЕКТЫ'!AL50/'ОБЪЕКТЫ'!$B$50,0),0)-IF('ОБЪЕКТЫ'!$B$64=4,IFERROR('ОБЪЕКТЫ'!$B$84*'ОБЪЕКТЫ'!AL78/'ОБЪЕКТЫ'!$B$78,0),0)-AL53-AL57-AL21</x:f>
      </x:c>
      <x:c r="AM22" s="117">
        <x:f>AM10-IFERROR((SUM($D$20:$DS$20)-'ОБЪЕКТЫ'!$B$120)*('Продажи'!AM83+'Продажи'!AM86+'Продажи'!AM89+'Продажи'!AM92)/(SUM('Продажи'!$D$83:$DS$83)+SUM('Продажи'!$D$86:$DS$86)+SUM('Продажи'!$D$89:$DS$89)+SUM('Продажи'!$D$92:$DS$92)),0)-IF('ОБЪЕКТЫ'!$B$8=4,IFERROR('ОБЪЕКТЫ'!$B$28*'ОБЪЕКТЫ'!AM22/'ОБЪЕКТЫ'!$B$22,0),0)-IF('ОБЪЕКТЫ'!$B$36=4,IFERROR('ОБЪЕКТЫ'!$B$56*'ОБЪЕКТЫ'!AM50/'ОБЪЕКТЫ'!$B$50,0),0)-IF('ОБЪЕКТЫ'!$B$64=4,IFERROR('ОБЪЕКТЫ'!$B$84*'ОБЪЕКТЫ'!AM78/'ОБЪЕКТЫ'!$B$78,0),0)-AM53-AM57-AM21</x:f>
      </x:c>
      <x:c r="AN22" s="117">
        <x:f>AN10-IFERROR((SUM($D$20:$DS$20)-'ОБЪЕКТЫ'!$B$120)*('Продажи'!AN83+'Продажи'!AN86+'Продажи'!AN89+'Продажи'!AN92)/(SUM('Продажи'!$D$83:$DS$83)+SUM('Продажи'!$D$86:$DS$86)+SUM('Продажи'!$D$89:$DS$89)+SUM('Продажи'!$D$92:$DS$92)),0)-IF('ОБЪЕКТЫ'!$B$8=4,IFERROR('ОБЪЕКТЫ'!$B$28*'ОБЪЕКТЫ'!AN22/'ОБЪЕКТЫ'!$B$22,0),0)-IF('ОБЪЕКТЫ'!$B$36=4,IFERROR('ОБЪЕКТЫ'!$B$56*'ОБЪЕКТЫ'!AN50/'ОБЪЕКТЫ'!$B$50,0),0)-IF('ОБЪЕКТЫ'!$B$64=4,IFERROR('ОБЪЕКТЫ'!$B$84*'ОБЪЕКТЫ'!AN78/'ОБЪЕКТЫ'!$B$78,0),0)-AN53-AN57-AN21</x:f>
      </x:c>
      <x:c r="AO22" s="117">
        <x:f>AO10-IFERROR((SUM($D$20:$DS$20)-'ОБЪЕКТЫ'!$B$120)*('Продажи'!AO83+'Продажи'!AO86+'Продажи'!AO89+'Продажи'!AO92)/(SUM('Продажи'!$D$83:$DS$83)+SUM('Продажи'!$D$86:$DS$86)+SUM('Продажи'!$D$89:$DS$89)+SUM('Продажи'!$D$92:$DS$92)),0)-IF('ОБЪЕКТЫ'!$B$8=4,IFERROR('ОБЪЕКТЫ'!$B$28*'ОБЪЕКТЫ'!AO22/'ОБЪЕКТЫ'!$B$22,0),0)-IF('ОБЪЕКТЫ'!$B$36=4,IFERROR('ОБЪЕКТЫ'!$B$56*'ОБЪЕКТЫ'!AO50/'ОБЪЕКТЫ'!$B$50,0),0)-IF('ОБЪЕКТЫ'!$B$64=4,IFERROR('ОБЪЕКТЫ'!$B$84*'ОБЪЕКТЫ'!AO78/'ОБЪЕКТЫ'!$B$78,0),0)-AO53-AO57-AO21</x:f>
      </x:c>
      <x:c r="AP22" s="117">
        <x:f>AP10-IFERROR((SUM($D$20:$DS$20)-'ОБЪЕКТЫ'!$B$120)*('Продажи'!AP83+'Продажи'!AP86+'Продажи'!AP89+'Продажи'!AP92)/(SUM('Продажи'!$D$83:$DS$83)+SUM('Продажи'!$D$86:$DS$86)+SUM('Продажи'!$D$89:$DS$89)+SUM('Продажи'!$D$92:$DS$92)),0)-IF('ОБЪЕКТЫ'!$B$8=4,IFERROR('ОБЪЕКТЫ'!$B$28*'ОБЪЕКТЫ'!AP22/'ОБЪЕКТЫ'!$B$22,0),0)-IF('ОБЪЕКТЫ'!$B$36=4,IFERROR('ОБЪЕКТЫ'!$B$56*'ОБЪЕКТЫ'!AP50/'ОБЪЕКТЫ'!$B$50,0),0)-IF('ОБЪЕКТЫ'!$B$64=4,IFERROR('ОБЪЕКТЫ'!$B$84*'ОБЪЕКТЫ'!AP78/'ОБЪЕКТЫ'!$B$78,0),0)-AP53-AP57-AP21</x:f>
      </x:c>
      <x:c r="AQ22" s="117">
        <x:f>AQ10-IFERROR((SUM($D$20:$DS$20)-'ОБЪЕКТЫ'!$B$120)*('Продажи'!AQ83+'Продажи'!AQ86+'Продажи'!AQ89+'Продажи'!AQ92)/(SUM('Продажи'!$D$83:$DS$83)+SUM('Продажи'!$D$86:$DS$86)+SUM('Продажи'!$D$89:$DS$89)+SUM('Продажи'!$D$92:$DS$92)),0)-IF('ОБЪЕКТЫ'!$B$8=4,IFERROR('ОБЪЕКТЫ'!$B$28*'ОБЪЕКТЫ'!AQ22/'ОБЪЕКТЫ'!$B$22,0),0)-IF('ОБЪЕКТЫ'!$B$36=4,IFERROR('ОБЪЕКТЫ'!$B$56*'ОБЪЕКТЫ'!AQ50/'ОБЪЕКТЫ'!$B$50,0),0)-IF('ОБЪЕКТЫ'!$B$64=4,IFERROR('ОБЪЕКТЫ'!$B$84*'ОБЪЕКТЫ'!AQ78/'ОБЪЕКТЫ'!$B$78,0),0)-AQ53-AQ57-AQ21</x:f>
      </x:c>
      <x:c r="AR22" s="117">
        <x:f>AR10-IFERROR((SUM($D$20:$DS$20)-'ОБЪЕКТЫ'!$B$120)*('Продажи'!AR83+'Продажи'!AR86+'Продажи'!AR89+'Продажи'!AR92)/(SUM('Продажи'!$D$83:$DS$83)+SUM('Продажи'!$D$86:$DS$86)+SUM('Продажи'!$D$89:$DS$89)+SUM('Продажи'!$D$92:$DS$92)),0)-IF('ОБЪЕКТЫ'!$B$8=4,IFERROR('ОБЪЕКТЫ'!$B$28*'ОБЪЕКТЫ'!AR22/'ОБЪЕКТЫ'!$B$22,0),0)-IF('ОБЪЕКТЫ'!$B$36=4,IFERROR('ОБЪЕКТЫ'!$B$56*'ОБЪЕКТЫ'!AR50/'ОБЪЕКТЫ'!$B$50,0),0)-IF('ОБЪЕКТЫ'!$B$64=4,IFERROR('ОБЪЕКТЫ'!$B$84*'ОБЪЕКТЫ'!AR78/'ОБЪЕКТЫ'!$B$78,0),0)-AR53-AR57-AR21</x:f>
      </x:c>
      <x:c r="AS22" s="117">
        <x:f>AS10-IFERROR((SUM($D$20:$DS$20)-'ОБЪЕКТЫ'!$B$120)*('Продажи'!AS83+'Продажи'!AS86+'Продажи'!AS89+'Продажи'!AS92)/(SUM('Продажи'!$D$83:$DS$83)+SUM('Продажи'!$D$86:$DS$86)+SUM('Продажи'!$D$89:$DS$89)+SUM('Продажи'!$D$92:$DS$92)),0)-IF('ОБЪЕКТЫ'!$B$8=4,IFERROR('ОБЪЕКТЫ'!$B$28*'ОБЪЕКТЫ'!AS22/'ОБЪЕКТЫ'!$B$22,0),0)-IF('ОБЪЕКТЫ'!$B$36=4,IFERROR('ОБЪЕКТЫ'!$B$56*'ОБЪЕКТЫ'!AS50/'ОБЪЕКТЫ'!$B$50,0),0)-IF('ОБЪЕКТЫ'!$B$64=4,IFERROR('ОБЪЕКТЫ'!$B$84*'ОБЪЕКТЫ'!AS78/'ОБЪЕКТЫ'!$B$78,0),0)-AS53-AS57-AS21</x:f>
      </x:c>
      <x:c r="AT22" s="117">
        <x:f>AT10-IFERROR((SUM($D$20:$DS$20)-'ОБЪЕКТЫ'!$B$120)*('Продажи'!AT83+'Продажи'!AT86+'Продажи'!AT89+'Продажи'!AT92)/(SUM('Продажи'!$D$83:$DS$83)+SUM('Продажи'!$D$86:$DS$86)+SUM('Продажи'!$D$89:$DS$89)+SUM('Продажи'!$D$92:$DS$92)),0)-IF('ОБЪЕКТЫ'!$B$8=4,IFERROR('ОБЪЕКТЫ'!$B$28*'ОБЪЕКТЫ'!AT22/'ОБЪЕКТЫ'!$B$22,0),0)-IF('ОБЪЕКТЫ'!$B$36=4,IFERROR('ОБЪЕКТЫ'!$B$56*'ОБЪЕКТЫ'!AT50/'ОБЪЕКТЫ'!$B$50,0),0)-IF('ОБЪЕКТЫ'!$B$64=4,IFERROR('ОБЪЕКТЫ'!$B$84*'ОБЪЕКТЫ'!AT78/'ОБЪЕКТЫ'!$B$78,0),0)-AT53-AT57-AT21</x:f>
      </x:c>
      <x:c r="AU22" s="117">
        <x:f>AU10-IFERROR((SUM($D$20:$DS$20)-'ОБЪЕКТЫ'!$B$120)*('Продажи'!AU83+'Продажи'!AU86+'Продажи'!AU89+'Продажи'!AU92)/(SUM('Продажи'!$D$83:$DS$83)+SUM('Продажи'!$D$86:$DS$86)+SUM('Продажи'!$D$89:$DS$89)+SUM('Продажи'!$D$92:$DS$92)),0)-IF('ОБЪЕКТЫ'!$B$8=4,IFERROR('ОБЪЕКТЫ'!$B$28*'ОБЪЕКТЫ'!AU22/'ОБЪЕКТЫ'!$B$22,0),0)-IF('ОБЪЕКТЫ'!$B$36=4,IFERROR('ОБЪЕКТЫ'!$B$56*'ОБЪЕКТЫ'!AU50/'ОБЪЕКТЫ'!$B$50,0),0)-IF('ОБЪЕКТЫ'!$B$64=4,IFERROR('ОБЪЕКТЫ'!$B$84*'ОБЪЕКТЫ'!AU78/'ОБЪЕКТЫ'!$B$78,0),0)-AU53-AU57-AU21</x:f>
      </x:c>
      <x:c r="AV22" s="117">
        <x:f>AV10-IFERROR((SUM($D$20:$DS$20)-'ОБЪЕКТЫ'!$B$120)*('Продажи'!AV83+'Продажи'!AV86+'Продажи'!AV89+'Продажи'!AV92)/(SUM('Продажи'!$D$83:$DS$83)+SUM('Продажи'!$D$86:$DS$86)+SUM('Продажи'!$D$89:$DS$89)+SUM('Продажи'!$D$92:$DS$92)),0)-IF('ОБЪЕКТЫ'!$B$8=4,IFERROR('ОБЪЕКТЫ'!$B$28*'ОБЪЕКТЫ'!AV22/'ОБЪЕКТЫ'!$B$22,0),0)-IF('ОБЪЕКТЫ'!$B$36=4,IFERROR('ОБЪЕКТЫ'!$B$56*'ОБЪЕКТЫ'!AV50/'ОБЪЕКТЫ'!$B$50,0),0)-IF('ОБЪЕКТЫ'!$B$64=4,IFERROR('ОБЪЕКТЫ'!$B$84*'ОБЪЕКТЫ'!AV78/'ОБЪЕКТЫ'!$B$78,0),0)-AV53-AV57-AV21</x:f>
      </x:c>
      <x:c r="AW22" s="117">
        <x:f>AW10-IFERROR((SUM($D$20:$DS$20)-'ОБЪЕКТЫ'!$B$120)*('Продажи'!AW83+'Продажи'!AW86+'Продажи'!AW89+'Продажи'!AW92)/(SUM('Продажи'!$D$83:$DS$83)+SUM('Продажи'!$D$86:$DS$86)+SUM('Продажи'!$D$89:$DS$89)+SUM('Продажи'!$D$92:$DS$92)),0)-IF('ОБЪЕКТЫ'!$B$8=4,IFERROR('ОБЪЕКТЫ'!$B$28*'ОБЪЕКТЫ'!AW22/'ОБЪЕКТЫ'!$B$22,0),0)-IF('ОБЪЕКТЫ'!$B$36=4,IFERROR('ОБЪЕКТЫ'!$B$56*'ОБЪЕКТЫ'!AW50/'ОБЪЕКТЫ'!$B$50,0),0)-IF('ОБЪЕКТЫ'!$B$64=4,IFERROR('ОБЪЕКТЫ'!$B$84*'ОБЪЕКТЫ'!AW78/'ОБЪЕКТЫ'!$B$78,0),0)-AW53-AW57-AW21</x:f>
      </x:c>
      <x:c r="AX22" s="117">
        <x:f>AX10-IFERROR((SUM($D$20:$DS$20)-'ОБЪЕКТЫ'!$B$120)*('Продажи'!AX83+'Продажи'!AX86+'Продажи'!AX89+'Продажи'!AX92)/(SUM('Продажи'!$D$83:$DS$83)+SUM('Продажи'!$D$86:$DS$86)+SUM('Продажи'!$D$89:$DS$89)+SUM('Продажи'!$D$92:$DS$92)),0)-IF('ОБЪЕКТЫ'!$B$8=4,IFERROR('ОБЪЕКТЫ'!$B$28*'ОБЪЕКТЫ'!AX22/'ОБЪЕКТЫ'!$B$22,0),0)-IF('ОБЪЕКТЫ'!$B$36=4,IFERROR('ОБЪЕКТЫ'!$B$56*'ОБЪЕКТЫ'!AX50/'ОБЪЕКТЫ'!$B$50,0),0)-IF('ОБЪЕКТЫ'!$B$64=4,IFERROR('ОБЪЕКТЫ'!$B$84*'ОБЪЕКТЫ'!AX78/'ОБЪЕКТЫ'!$B$78,0),0)-AX53-AX57-AX21</x:f>
      </x:c>
      <x:c r="AY22" s="117">
        <x:f>AY10-IFERROR((SUM($D$20:$DS$20)-'ОБЪЕКТЫ'!$B$120)*('Продажи'!AY83+'Продажи'!AY86+'Продажи'!AY89+'Продажи'!AY92)/(SUM('Продажи'!$D$83:$DS$83)+SUM('Продажи'!$D$86:$DS$86)+SUM('Продажи'!$D$89:$DS$89)+SUM('Продажи'!$D$92:$DS$92)),0)-IF('ОБЪЕКТЫ'!$B$8=4,IFERROR('ОБЪЕКТЫ'!$B$28*'ОБЪЕКТЫ'!AY22/'ОБЪЕКТЫ'!$B$22,0),0)-IF('ОБЪЕКТЫ'!$B$36=4,IFERROR('ОБЪЕКТЫ'!$B$56*'ОБЪЕКТЫ'!AY50/'ОБЪЕКТЫ'!$B$50,0),0)-IF('ОБЪЕКТЫ'!$B$64=4,IFERROR('ОБЪЕКТЫ'!$B$84*'ОБЪЕКТЫ'!AY78/'ОБЪЕКТЫ'!$B$78,0),0)-AY53-AY57-AY21</x:f>
      </x:c>
      <x:c r="AZ22" s="117">
        <x:f>AZ10-IFERROR((SUM($D$20:$DS$20)-'ОБЪЕКТЫ'!$B$120)*('Продажи'!AZ83+'Продажи'!AZ86+'Продажи'!AZ89+'Продажи'!AZ92)/(SUM('Продажи'!$D$83:$DS$83)+SUM('Продажи'!$D$86:$DS$86)+SUM('Продажи'!$D$89:$DS$89)+SUM('Продажи'!$D$92:$DS$92)),0)-IF('ОБЪЕКТЫ'!$B$8=4,IFERROR('ОБЪЕКТЫ'!$B$28*'ОБЪЕКТЫ'!AZ22/'ОБЪЕКТЫ'!$B$22,0),0)-IF('ОБЪЕКТЫ'!$B$36=4,IFERROR('ОБЪЕКТЫ'!$B$56*'ОБЪЕКТЫ'!AZ50/'ОБЪЕКТЫ'!$B$50,0),0)-IF('ОБЪЕКТЫ'!$B$64=4,IFERROR('ОБЪЕКТЫ'!$B$84*'ОБЪЕКТЫ'!AZ78/'ОБЪЕКТЫ'!$B$78,0),0)-AZ53-AZ57-AZ21</x:f>
      </x:c>
      <x:c r="BA22" s="117">
        <x:f>BA10-IFERROR((SUM($D$20:$DS$20)-'ОБЪЕКТЫ'!$B$120)*('Продажи'!BA83+'Продажи'!BA86+'Продажи'!BA89+'Продажи'!BA92)/(SUM('Продажи'!$D$83:$DS$83)+SUM('Продажи'!$D$86:$DS$86)+SUM('Продажи'!$D$89:$DS$89)+SUM('Продажи'!$D$92:$DS$92)),0)-IF('ОБЪЕКТЫ'!$B$8=4,IFERROR('ОБЪЕКТЫ'!$B$28*'ОБЪЕКТЫ'!BA22/'ОБЪЕКТЫ'!$B$22,0),0)-IF('ОБЪЕКТЫ'!$B$36=4,IFERROR('ОБЪЕКТЫ'!$B$56*'ОБЪЕКТЫ'!BA50/'ОБЪЕКТЫ'!$B$50,0),0)-IF('ОБЪЕКТЫ'!$B$64=4,IFERROR('ОБЪЕКТЫ'!$B$84*'ОБЪЕКТЫ'!BA78/'ОБЪЕКТЫ'!$B$78,0),0)-BA53-BA57-BA21</x:f>
      </x:c>
      <x:c r="BB22" s="117">
        <x:f>BB10-IFERROR((SUM($D$20:$DS$20)-'ОБЪЕКТЫ'!$B$120)*('Продажи'!BB83+'Продажи'!BB86+'Продажи'!BB89+'Продажи'!BB92)/(SUM('Продажи'!$D$83:$DS$83)+SUM('Продажи'!$D$86:$DS$86)+SUM('Продажи'!$D$89:$DS$89)+SUM('Продажи'!$D$92:$DS$92)),0)-IF('ОБЪЕКТЫ'!$B$8=4,IFERROR('ОБЪЕКТЫ'!$B$28*'ОБЪЕКТЫ'!BB22/'ОБЪЕКТЫ'!$B$22,0),0)-IF('ОБЪЕКТЫ'!$B$36=4,IFERROR('ОБЪЕКТЫ'!$B$56*'ОБЪЕКТЫ'!BB50/'ОБЪЕКТЫ'!$B$50,0),0)-IF('ОБЪЕКТЫ'!$B$64=4,IFERROR('ОБЪЕКТЫ'!$B$84*'ОБЪЕКТЫ'!BB78/'ОБЪЕКТЫ'!$B$78,0),0)-BB53-BB57-BB21</x:f>
      </x:c>
      <x:c r="BC22" s="117">
        <x:f>BC10-IFERROR((SUM($D$20:$DS$20)-'ОБЪЕКТЫ'!$B$120)*('Продажи'!BC83+'Продажи'!BC86+'Продажи'!BC89+'Продажи'!BC92)/(SUM('Продажи'!$D$83:$DS$83)+SUM('Продажи'!$D$86:$DS$86)+SUM('Продажи'!$D$89:$DS$89)+SUM('Продажи'!$D$92:$DS$92)),0)-IF('ОБЪЕКТЫ'!$B$8=4,IFERROR('ОБЪЕКТЫ'!$B$28*'ОБЪЕКТЫ'!BC22/'ОБЪЕКТЫ'!$B$22,0),0)-IF('ОБЪЕКТЫ'!$B$36=4,IFERROR('ОБЪЕКТЫ'!$B$56*'ОБЪЕКТЫ'!BC50/'ОБЪЕКТЫ'!$B$50,0),0)-IF('ОБЪЕКТЫ'!$B$64=4,IFERROR('ОБЪЕКТЫ'!$B$84*'ОБЪЕКТЫ'!BC78/'ОБЪЕКТЫ'!$B$78,0),0)-BC53-BC57-BC21</x:f>
      </x:c>
      <x:c r="BD22" s="117">
        <x:f>BD10-IFERROR((SUM($D$20:$DS$20)-'ОБЪЕКТЫ'!$B$120)*('Продажи'!BD83+'Продажи'!BD86+'Продажи'!BD89+'Продажи'!BD92)/(SUM('Продажи'!$D$83:$DS$83)+SUM('Продажи'!$D$86:$DS$86)+SUM('Продажи'!$D$89:$DS$89)+SUM('Продажи'!$D$92:$DS$92)),0)-IF('ОБЪЕКТЫ'!$B$8=4,IFERROR('ОБЪЕКТЫ'!$B$28*'ОБЪЕКТЫ'!BD22/'ОБЪЕКТЫ'!$B$22,0),0)-IF('ОБЪЕКТЫ'!$B$36=4,IFERROR('ОБЪЕКТЫ'!$B$56*'ОБЪЕКТЫ'!BD50/'ОБЪЕКТЫ'!$B$50,0),0)-IF('ОБЪЕКТЫ'!$B$64=4,IFERROR('ОБЪЕКТЫ'!$B$84*'ОБЪЕКТЫ'!BD78/'ОБЪЕКТЫ'!$B$78,0),0)-BD53-BD57-BD21</x:f>
      </x:c>
      <x:c r="BE22" s="117">
        <x:f>BE10-IFERROR((SUM($D$20:$DS$20)-'ОБЪЕКТЫ'!$B$120)*('Продажи'!BE83+'Продажи'!BE86+'Продажи'!BE89+'Продажи'!BE92)/(SUM('Продажи'!$D$83:$DS$83)+SUM('Продажи'!$D$86:$DS$86)+SUM('Продажи'!$D$89:$DS$89)+SUM('Продажи'!$D$92:$DS$92)),0)-IF('ОБЪЕКТЫ'!$B$8=4,IFERROR('ОБЪЕКТЫ'!$B$28*'ОБЪЕКТЫ'!BE22/'ОБЪЕКТЫ'!$B$22,0),0)-IF('ОБЪЕКТЫ'!$B$36=4,IFERROR('ОБЪЕКТЫ'!$B$56*'ОБЪЕКТЫ'!BE50/'ОБЪЕКТЫ'!$B$50,0),0)-IF('ОБЪЕКТЫ'!$B$64=4,IFERROR('ОБЪЕКТЫ'!$B$84*'ОБЪЕКТЫ'!BE78/'ОБЪЕКТЫ'!$B$78,0),0)-BE53-BE57-BE21</x:f>
      </x:c>
      <x:c r="BF22" s="117">
        <x:f>BF10-IFERROR((SUM($D$20:$DS$20)-'ОБЪЕКТЫ'!$B$120)*('Продажи'!BF83+'Продажи'!BF86+'Продажи'!BF89+'Продажи'!BF92)/(SUM('Продажи'!$D$83:$DS$83)+SUM('Продажи'!$D$86:$DS$86)+SUM('Продажи'!$D$89:$DS$89)+SUM('Продажи'!$D$92:$DS$92)),0)-IF('ОБЪЕКТЫ'!$B$8=4,IFERROR('ОБЪЕКТЫ'!$B$28*'ОБЪЕКТЫ'!BF22/'ОБЪЕКТЫ'!$B$22,0),0)-IF('ОБЪЕКТЫ'!$B$36=4,IFERROR('ОБЪЕКТЫ'!$B$56*'ОБЪЕКТЫ'!BF50/'ОБЪЕКТЫ'!$B$50,0),0)-IF('ОБЪЕКТЫ'!$B$64=4,IFERROR('ОБЪЕКТЫ'!$B$84*'ОБЪЕКТЫ'!BF78/'ОБЪЕКТЫ'!$B$78,0),0)-BF53-BF57-BF21</x:f>
      </x:c>
      <x:c r="BG22" s="117">
        <x:f>BG10-IFERROR((SUM($D$20:$DS$20)-'ОБЪЕКТЫ'!$B$120)*('Продажи'!BG83+'Продажи'!BG86+'Продажи'!BG89+'Продажи'!BG92)/(SUM('Продажи'!$D$83:$DS$83)+SUM('Продажи'!$D$86:$DS$86)+SUM('Продажи'!$D$89:$DS$89)+SUM('Продажи'!$D$92:$DS$92)),0)-IF('ОБЪЕКТЫ'!$B$8=4,IFERROR('ОБЪЕКТЫ'!$B$28*'ОБЪЕКТЫ'!BG22/'ОБЪЕКТЫ'!$B$22,0),0)-IF('ОБЪЕКТЫ'!$B$36=4,IFERROR('ОБЪЕКТЫ'!$B$56*'ОБЪЕКТЫ'!BG50/'ОБЪЕКТЫ'!$B$50,0),0)-IF('ОБЪЕКТЫ'!$B$64=4,IFERROR('ОБЪЕКТЫ'!$B$84*'ОБЪЕКТЫ'!BG78/'ОБЪЕКТЫ'!$B$78,0),0)-BG53-BG57-BG21</x:f>
      </x:c>
      <x:c r="BH22" s="117">
        <x:f>BH10-IFERROR((SUM($D$20:$DS$20)-'ОБЪЕКТЫ'!$B$120)*('Продажи'!BH83+'Продажи'!BH86+'Продажи'!BH89+'Продажи'!BH92)/(SUM('Продажи'!$D$83:$DS$83)+SUM('Продажи'!$D$86:$DS$86)+SUM('Продажи'!$D$89:$DS$89)+SUM('Продажи'!$D$92:$DS$92)),0)-IF('ОБЪЕКТЫ'!$B$8=4,IFERROR('ОБЪЕКТЫ'!$B$28*'ОБЪЕКТЫ'!BH22/'ОБЪЕКТЫ'!$B$22,0),0)-IF('ОБЪЕКТЫ'!$B$36=4,IFERROR('ОБЪЕКТЫ'!$B$56*'ОБЪЕКТЫ'!BH50/'ОБЪЕКТЫ'!$B$50,0),0)-IF('ОБЪЕКТЫ'!$B$64=4,IFERROR('ОБЪЕКТЫ'!$B$84*'ОБЪЕКТЫ'!BH78/'ОБЪЕКТЫ'!$B$78,0),0)-BH53-BH57-BH21</x:f>
      </x:c>
      <x:c r="BI22" s="117">
        <x:f>BI10-IFERROR((SUM($D$20:$DS$20)-'ОБЪЕКТЫ'!$B$120)*('Продажи'!BI83+'Продажи'!BI86+'Продажи'!BI89+'Продажи'!BI92)/(SUM('Продажи'!$D$83:$DS$83)+SUM('Продажи'!$D$86:$DS$86)+SUM('Продажи'!$D$89:$DS$89)+SUM('Продажи'!$D$92:$DS$92)),0)-IF('ОБЪЕКТЫ'!$B$8=4,IFERROR('ОБЪЕКТЫ'!$B$28*'ОБЪЕКТЫ'!BI22/'ОБЪЕКТЫ'!$B$22,0),0)-IF('ОБЪЕКТЫ'!$B$36=4,IFERROR('ОБЪЕКТЫ'!$B$56*'ОБЪЕКТЫ'!BI50/'ОБЪЕКТЫ'!$B$50,0),0)-IF('ОБЪЕКТЫ'!$B$64=4,IFERROR('ОБЪЕКТЫ'!$B$84*'ОБЪЕКТЫ'!BI78/'ОБЪЕКТЫ'!$B$78,0),0)-BI53-BI57-BI21</x:f>
      </x:c>
      <x:c r="BJ22" s="117">
        <x:f>BJ10-IFERROR((SUM($D$20:$DS$20)-'ОБЪЕКТЫ'!$B$120)*('Продажи'!BJ83+'Продажи'!BJ86+'Продажи'!BJ89+'Продажи'!BJ92)/(SUM('Продажи'!$D$83:$DS$83)+SUM('Продажи'!$D$86:$DS$86)+SUM('Продажи'!$D$89:$DS$89)+SUM('Продажи'!$D$92:$DS$92)),0)-IF('ОБЪЕКТЫ'!$B$8=4,IFERROR('ОБЪЕКТЫ'!$B$28*'ОБЪЕКТЫ'!BJ22/'ОБЪЕКТЫ'!$B$22,0),0)-IF('ОБЪЕКТЫ'!$B$36=4,IFERROR('ОБЪЕКТЫ'!$B$56*'ОБЪЕКТЫ'!BJ50/'ОБЪЕКТЫ'!$B$50,0),0)-IF('ОБЪЕКТЫ'!$B$64=4,IFERROR('ОБЪЕКТЫ'!$B$84*'ОБЪЕКТЫ'!BJ78/'ОБЪЕКТЫ'!$B$78,0),0)-BJ53-BJ57-BJ21</x:f>
      </x:c>
      <x:c r="BK22" s="117">
        <x:f>BK10-IFERROR((SUM($D$20:$DS$20)-'ОБЪЕКТЫ'!$B$120)*('Продажи'!BK83+'Продажи'!BK86+'Продажи'!BK89+'Продажи'!BK92)/(SUM('Продажи'!$D$83:$DS$83)+SUM('Продажи'!$D$86:$DS$86)+SUM('Продажи'!$D$89:$DS$89)+SUM('Продажи'!$D$92:$DS$92)),0)-IF('ОБЪЕКТЫ'!$B$8=4,IFERROR('ОБЪЕКТЫ'!$B$28*'ОБЪЕКТЫ'!BK22/'ОБЪЕКТЫ'!$B$22,0),0)-IF('ОБЪЕКТЫ'!$B$36=4,IFERROR('ОБЪЕКТЫ'!$B$56*'ОБЪЕКТЫ'!BK50/'ОБЪЕКТЫ'!$B$50,0),0)-IF('ОБЪЕКТЫ'!$B$64=4,IFERROR('ОБЪЕКТЫ'!$B$84*'ОБЪЕКТЫ'!BK78/'ОБЪЕКТЫ'!$B$78,0),0)-BK53-BK57-BK21</x:f>
      </x:c>
      <x:c r="BL22" s="117">
        <x:f>BL10-IFERROR((SUM($D$20:$DS$20)-'ОБЪЕКТЫ'!$B$120)*('Продажи'!BL83+'Продажи'!BL86+'Продажи'!BL89+'Продажи'!BL92)/(SUM('Продажи'!$D$83:$DS$83)+SUM('Продажи'!$D$86:$DS$86)+SUM('Продажи'!$D$89:$DS$89)+SUM('Продажи'!$D$92:$DS$92)),0)-IF('ОБЪЕКТЫ'!$B$8=4,IFERROR('ОБЪЕКТЫ'!$B$28*'ОБЪЕКТЫ'!BL22/'ОБЪЕКТЫ'!$B$22,0),0)-IF('ОБЪЕКТЫ'!$B$36=4,IFERROR('ОБЪЕКТЫ'!$B$56*'ОБЪЕКТЫ'!BL50/'ОБЪЕКТЫ'!$B$50,0),0)-IF('ОБЪЕКТЫ'!$B$64=4,IFERROR('ОБЪЕКТЫ'!$B$84*'ОБЪЕКТЫ'!BL78/'ОБЪЕКТЫ'!$B$78,0),0)-BL53-BL57-BL21</x:f>
      </x:c>
      <x:c r="BM22" s="117">
        <x:f>BM10-IFERROR((SUM($D$20:$DS$20)-'ОБЪЕКТЫ'!$B$120)*('Продажи'!BM83+'Продажи'!BM86+'Продажи'!BM89+'Продажи'!BM92)/(SUM('Продажи'!$D$83:$DS$83)+SUM('Продажи'!$D$86:$DS$86)+SUM('Продажи'!$D$89:$DS$89)+SUM('Продажи'!$D$92:$DS$92)),0)-IF('ОБЪЕКТЫ'!$B$8=4,IFERROR('ОБЪЕКТЫ'!$B$28*'ОБЪЕКТЫ'!BM22/'ОБЪЕКТЫ'!$B$22,0),0)-IF('ОБЪЕКТЫ'!$B$36=4,IFERROR('ОБЪЕКТЫ'!$B$56*'ОБЪЕКТЫ'!BM50/'ОБЪЕКТЫ'!$B$50,0),0)-IF('ОБЪЕКТЫ'!$B$64=4,IFERROR('ОБЪЕКТЫ'!$B$84*'ОБЪЕКТЫ'!BM78/'ОБЪЕКТЫ'!$B$78,0),0)-BM53-BM57-BM21</x:f>
      </x:c>
      <x:c r="BN22" s="117">
        <x:f>BN10-IFERROR((SUM($D$20:$DS$20)-'ОБЪЕКТЫ'!$B$120)*('Продажи'!BN83+'Продажи'!BN86+'Продажи'!BN89+'Продажи'!BN92)/(SUM('Продажи'!$D$83:$DS$83)+SUM('Продажи'!$D$86:$DS$86)+SUM('Продажи'!$D$89:$DS$89)+SUM('Продажи'!$D$92:$DS$92)),0)-IF('ОБЪЕКТЫ'!$B$8=4,IFERROR('ОБЪЕКТЫ'!$B$28*'ОБЪЕКТЫ'!BN22/'ОБЪЕКТЫ'!$B$22,0),0)-IF('ОБЪЕКТЫ'!$B$36=4,IFERROR('ОБЪЕКТЫ'!$B$56*'ОБЪЕКТЫ'!BN50/'ОБЪЕКТЫ'!$B$50,0),0)-IF('ОБЪЕКТЫ'!$B$64=4,IFERROR('ОБЪЕКТЫ'!$B$84*'ОБЪЕКТЫ'!BN78/'ОБЪЕКТЫ'!$B$78,0),0)-BN53-BN57-BN21</x:f>
      </x:c>
      <x:c r="BO22" s="117">
        <x:f>BO10-IFERROR((SUM($D$20:$DS$20)-'ОБЪЕКТЫ'!$B$120)*('Продажи'!BO83+'Продажи'!BO86+'Продажи'!BO89+'Продажи'!BO92)/(SUM('Продажи'!$D$83:$DS$83)+SUM('Продажи'!$D$86:$DS$86)+SUM('Продажи'!$D$89:$DS$89)+SUM('Продажи'!$D$92:$DS$92)),0)-IF('ОБЪЕКТЫ'!$B$8=4,IFERROR('ОБЪЕКТЫ'!$B$28*'ОБЪЕКТЫ'!BO22/'ОБЪЕКТЫ'!$B$22,0),0)-IF('ОБЪЕКТЫ'!$B$36=4,IFERROR('ОБЪЕКТЫ'!$B$56*'ОБЪЕКТЫ'!BO50/'ОБЪЕКТЫ'!$B$50,0),0)-IF('ОБЪЕКТЫ'!$B$64=4,IFERROR('ОБЪЕКТЫ'!$B$84*'ОБЪЕКТЫ'!BO78/'ОБЪЕКТЫ'!$B$78,0),0)-BO53-BO57-BO21</x:f>
      </x:c>
      <x:c r="BP22" s="117">
        <x:f>BP10-IFERROR((SUM($D$20:$DS$20)-'ОБЪЕКТЫ'!$B$120)*('Продажи'!BP83+'Продажи'!BP86+'Продажи'!BP89+'Продажи'!BP92)/(SUM('Продажи'!$D$83:$DS$83)+SUM('Продажи'!$D$86:$DS$86)+SUM('Продажи'!$D$89:$DS$89)+SUM('Продажи'!$D$92:$DS$92)),0)-IF('ОБЪЕКТЫ'!$B$8=4,IFERROR('ОБЪЕКТЫ'!$B$28*'ОБЪЕКТЫ'!BP22/'ОБЪЕКТЫ'!$B$22,0),0)-IF('ОБЪЕКТЫ'!$B$36=4,IFERROR('ОБЪЕКТЫ'!$B$56*'ОБЪЕКТЫ'!BP50/'ОБЪЕКТЫ'!$B$50,0),0)-IF('ОБЪЕКТЫ'!$B$64=4,IFERROR('ОБЪЕКТЫ'!$B$84*'ОБЪЕКТЫ'!BP78/'ОБЪЕКТЫ'!$B$78,0),0)-BP53-BP57-BP21</x:f>
      </x:c>
      <x:c r="BQ22" s="117">
        <x:f>BQ10-IFERROR((SUM($D$20:$DS$20)-'ОБЪЕКТЫ'!$B$120)*('Продажи'!BQ83+'Продажи'!BQ86+'Продажи'!BQ89+'Продажи'!BQ92)/(SUM('Продажи'!$D$83:$DS$83)+SUM('Продажи'!$D$86:$DS$86)+SUM('Продажи'!$D$89:$DS$89)+SUM('Продажи'!$D$92:$DS$92)),0)-IF('ОБЪЕКТЫ'!$B$8=4,IFERROR('ОБЪЕКТЫ'!$B$28*'ОБЪЕКТЫ'!BQ22/'ОБЪЕКТЫ'!$B$22,0),0)-IF('ОБЪЕКТЫ'!$B$36=4,IFERROR('ОБЪЕКТЫ'!$B$56*'ОБЪЕКТЫ'!BQ50/'ОБЪЕКТЫ'!$B$50,0),0)-IF('ОБЪЕКТЫ'!$B$64=4,IFERROR('ОБЪЕКТЫ'!$B$84*'ОБЪЕКТЫ'!BQ78/'ОБЪЕКТЫ'!$B$78,0),0)-BQ53-BQ57-BQ21</x:f>
      </x:c>
      <x:c r="BR22" s="117">
        <x:f>BR10-IFERROR((SUM($D$20:$DS$20)-'ОБЪЕКТЫ'!$B$120)*('Продажи'!BR83+'Продажи'!BR86+'Продажи'!BR89+'Продажи'!BR92)/(SUM('Продажи'!$D$83:$DS$83)+SUM('Продажи'!$D$86:$DS$86)+SUM('Продажи'!$D$89:$DS$89)+SUM('Продажи'!$D$92:$DS$92)),0)-IF('ОБЪЕКТЫ'!$B$8=4,IFERROR('ОБЪЕКТЫ'!$B$28*'ОБЪЕКТЫ'!BR22/'ОБЪЕКТЫ'!$B$22,0),0)-IF('ОБЪЕКТЫ'!$B$36=4,IFERROR('ОБЪЕКТЫ'!$B$56*'ОБЪЕКТЫ'!BR50/'ОБЪЕКТЫ'!$B$50,0),0)-IF('ОБЪЕКТЫ'!$B$64=4,IFERROR('ОБЪЕКТЫ'!$B$84*'ОБЪЕКТЫ'!BR78/'ОБЪЕКТЫ'!$B$78,0),0)-BR53-BR57-BR21</x:f>
      </x:c>
      <x:c r="BS22" s="117">
        <x:f>BS10-IFERROR((SUM($D$20:$DS$20)-'ОБЪЕКТЫ'!$B$120)*('Продажи'!BS83+'Продажи'!BS86+'Продажи'!BS89+'Продажи'!BS92)/(SUM('Продажи'!$D$83:$DS$83)+SUM('Продажи'!$D$86:$DS$86)+SUM('Продажи'!$D$89:$DS$89)+SUM('Продажи'!$D$92:$DS$92)),0)-IF('ОБЪЕКТЫ'!$B$8=4,IFERROR('ОБЪЕКТЫ'!$B$28*'ОБЪЕКТЫ'!BS22/'ОБЪЕКТЫ'!$B$22,0),0)-IF('ОБЪЕКТЫ'!$B$36=4,IFERROR('ОБЪЕКТЫ'!$B$56*'ОБЪЕКТЫ'!BS50/'ОБЪЕКТЫ'!$B$50,0),0)-IF('ОБЪЕКТЫ'!$B$64=4,IFERROR('ОБЪЕКТЫ'!$B$84*'ОБЪЕКТЫ'!BS78/'ОБЪЕКТЫ'!$B$78,0),0)-BS53-BS57-BS21</x:f>
      </x:c>
      <x:c r="BT22" s="117">
        <x:f>BT10-IFERROR((SUM($D$20:$DS$20)-'ОБЪЕКТЫ'!$B$120)*('Продажи'!BT83+'Продажи'!BT86+'Продажи'!BT89+'Продажи'!BT92)/(SUM('Продажи'!$D$83:$DS$83)+SUM('Продажи'!$D$86:$DS$86)+SUM('Продажи'!$D$89:$DS$89)+SUM('Продажи'!$D$92:$DS$92)),0)-IF('ОБЪЕКТЫ'!$B$8=4,IFERROR('ОБЪЕКТЫ'!$B$28*'ОБЪЕКТЫ'!BT22/'ОБЪЕКТЫ'!$B$22,0),0)-IF('ОБЪЕКТЫ'!$B$36=4,IFERROR('ОБЪЕКТЫ'!$B$56*'ОБЪЕКТЫ'!BT50/'ОБЪЕКТЫ'!$B$50,0),0)-IF('ОБЪЕКТЫ'!$B$64=4,IFERROR('ОБЪЕКТЫ'!$B$84*'ОБЪЕКТЫ'!BT78/'ОБЪЕКТЫ'!$B$78,0),0)-BT53-BT57-BT21</x:f>
      </x:c>
      <x:c r="BU22" s="117">
        <x:f>BU10-IFERROR((SUM($D$20:$DS$20)-'ОБЪЕКТЫ'!$B$120)*('Продажи'!BU83+'Продажи'!BU86+'Продажи'!BU89+'Продажи'!BU92)/(SUM('Продажи'!$D$83:$DS$83)+SUM('Продажи'!$D$86:$DS$86)+SUM('Продажи'!$D$89:$DS$89)+SUM('Продажи'!$D$92:$DS$92)),0)-IF('ОБЪЕКТЫ'!$B$8=4,IFERROR('ОБЪЕКТЫ'!$B$28*'ОБЪЕКТЫ'!BU22/'ОБЪЕКТЫ'!$B$22,0),0)-IF('ОБЪЕКТЫ'!$B$36=4,IFERROR('ОБЪЕКТЫ'!$B$56*'ОБЪЕКТЫ'!BU50/'ОБЪЕКТЫ'!$B$50,0),0)-IF('ОБЪЕКТЫ'!$B$64=4,IFERROR('ОБЪЕКТЫ'!$B$84*'ОБЪЕКТЫ'!BU78/'ОБЪЕКТЫ'!$B$78,0),0)-BU53-BU57-BU21</x:f>
      </x:c>
      <x:c r="BV22" s="117">
        <x:f>BV10-IFERROR((SUM($D$20:$DS$20)-'ОБЪЕКТЫ'!$B$120)*('Продажи'!BV83+'Продажи'!BV86+'Продажи'!BV89+'Продажи'!BV92)/(SUM('Продажи'!$D$83:$DS$83)+SUM('Продажи'!$D$86:$DS$86)+SUM('Продажи'!$D$89:$DS$89)+SUM('Продажи'!$D$92:$DS$92)),0)-IF('ОБЪЕКТЫ'!$B$8=4,IFERROR('ОБЪЕКТЫ'!$B$28*'ОБЪЕКТЫ'!BV22/'ОБЪЕКТЫ'!$B$22,0),0)-IF('ОБЪЕКТЫ'!$B$36=4,IFERROR('ОБЪЕКТЫ'!$B$56*'ОБЪЕКТЫ'!BV50/'ОБЪЕКТЫ'!$B$50,0),0)-IF('ОБЪЕКТЫ'!$B$64=4,IFERROR('ОБЪЕКТЫ'!$B$84*'ОБЪЕКТЫ'!BV78/'ОБЪЕКТЫ'!$B$78,0),0)-BV53-BV57-BV21</x:f>
      </x:c>
      <x:c r="BW22" s="117">
        <x:f>BW10-IFERROR((SUM($D$20:$DS$20)-'ОБЪЕКТЫ'!$B$120)*('Продажи'!BW83+'Продажи'!BW86+'Продажи'!BW89+'Продажи'!BW92)/(SUM('Продажи'!$D$83:$DS$83)+SUM('Продажи'!$D$86:$DS$86)+SUM('Продажи'!$D$89:$DS$89)+SUM('Продажи'!$D$92:$DS$92)),0)-IF('ОБЪЕКТЫ'!$B$8=4,IFERROR('ОБЪЕКТЫ'!$B$28*'ОБЪЕКТЫ'!BW22/'ОБЪЕКТЫ'!$B$22,0),0)-IF('ОБЪЕКТЫ'!$B$36=4,IFERROR('ОБЪЕКТЫ'!$B$56*'ОБЪЕКТЫ'!BW50/'ОБЪЕКТЫ'!$B$50,0),0)-IF('ОБЪЕКТЫ'!$B$64=4,IFERROR('ОБЪЕКТЫ'!$B$84*'ОБЪЕКТЫ'!BW78/'ОБЪЕКТЫ'!$B$78,0),0)-BW53-BW57-BW21</x:f>
      </x:c>
      <x:c r="BX22" s="117">
        <x:f>BX10-IFERROR((SUM($D$20:$DS$20)-'ОБЪЕКТЫ'!$B$120)*('Продажи'!BX83+'Продажи'!BX86+'Продажи'!BX89+'Продажи'!BX92)/(SUM('Продажи'!$D$83:$DS$83)+SUM('Продажи'!$D$86:$DS$86)+SUM('Продажи'!$D$89:$DS$89)+SUM('Продажи'!$D$92:$DS$92)),0)-IF('ОБЪЕКТЫ'!$B$8=4,IFERROR('ОБЪЕКТЫ'!$B$28*'ОБЪЕКТЫ'!BX22/'ОБЪЕКТЫ'!$B$22,0),0)-IF('ОБЪЕКТЫ'!$B$36=4,IFERROR('ОБЪЕКТЫ'!$B$56*'ОБЪЕКТЫ'!BX50/'ОБЪЕКТЫ'!$B$50,0),0)-IF('ОБЪЕКТЫ'!$B$64=4,IFERROR('ОБЪЕКТЫ'!$B$84*'ОБЪЕКТЫ'!BX78/'ОБЪЕКТЫ'!$B$78,0),0)-BX53-BX57-BX21</x:f>
      </x:c>
      <x:c r="BY22" s="117">
        <x:f>BY10-IFERROR((SUM($D$20:$DS$20)-'ОБЪЕКТЫ'!$B$120)*('Продажи'!BY83+'Продажи'!BY86+'Продажи'!BY89+'Продажи'!BY92)/(SUM('Продажи'!$D$83:$DS$83)+SUM('Продажи'!$D$86:$DS$86)+SUM('Продажи'!$D$89:$DS$89)+SUM('Продажи'!$D$92:$DS$92)),0)-IF('ОБЪЕКТЫ'!$B$8=4,IFERROR('ОБЪЕКТЫ'!$B$28*'ОБЪЕКТЫ'!BY22/'ОБЪЕКТЫ'!$B$22,0),0)-IF('ОБЪЕКТЫ'!$B$36=4,IFERROR('ОБЪЕКТЫ'!$B$56*'ОБЪЕКТЫ'!BY50/'ОБЪЕКТЫ'!$B$50,0),0)-IF('ОБЪЕКТЫ'!$B$64=4,IFERROR('ОБЪЕКТЫ'!$B$84*'ОБЪЕКТЫ'!BY78/'ОБЪЕКТЫ'!$B$78,0),0)-BY53-BY57-BY21</x:f>
      </x:c>
      <x:c r="BZ22" s="117">
        <x:f>BZ10-IFERROR((SUM($D$20:$DS$20)-'ОБЪЕКТЫ'!$B$120)*('Продажи'!BZ83+'Продажи'!BZ86+'Продажи'!BZ89+'Продажи'!BZ92)/(SUM('Продажи'!$D$83:$DS$83)+SUM('Продажи'!$D$86:$DS$86)+SUM('Продажи'!$D$89:$DS$89)+SUM('Продажи'!$D$92:$DS$92)),0)-IF('ОБЪЕКТЫ'!$B$8=4,IFERROR('ОБЪЕКТЫ'!$B$28*'ОБЪЕКТЫ'!BZ22/'ОБЪЕКТЫ'!$B$22,0),0)-IF('ОБЪЕКТЫ'!$B$36=4,IFERROR('ОБЪЕКТЫ'!$B$56*'ОБЪЕКТЫ'!BZ50/'ОБЪЕКТЫ'!$B$50,0),0)-IF('ОБЪЕКТЫ'!$B$64=4,IFERROR('ОБЪЕКТЫ'!$B$84*'ОБЪЕКТЫ'!BZ78/'ОБЪЕКТЫ'!$B$78,0),0)-BZ53-BZ57-BZ21</x:f>
      </x:c>
      <x:c r="CA22" s="117">
        <x:f>CA10-IFERROR((SUM($D$20:$DS$20)-'ОБЪЕКТЫ'!$B$120)*('Продажи'!CA83+'Продажи'!CA86+'Продажи'!CA89+'Продажи'!CA92)/(SUM('Продажи'!$D$83:$DS$83)+SUM('Продажи'!$D$86:$DS$86)+SUM('Продажи'!$D$89:$DS$89)+SUM('Продажи'!$D$92:$DS$92)),0)-IF('ОБЪЕКТЫ'!$B$8=4,IFERROR('ОБЪЕКТЫ'!$B$28*'ОБЪЕКТЫ'!CA22/'ОБЪЕКТЫ'!$B$22,0),0)-IF('ОБЪЕКТЫ'!$B$36=4,IFERROR('ОБЪЕКТЫ'!$B$56*'ОБЪЕКТЫ'!CA50/'ОБЪЕКТЫ'!$B$50,0),0)-IF('ОБЪЕКТЫ'!$B$64=4,IFERROR('ОБЪЕКТЫ'!$B$84*'ОБЪЕКТЫ'!CA78/'ОБЪЕКТЫ'!$B$78,0),0)-CA53-CA57-CA21</x:f>
      </x:c>
      <x:c r="CB22" s="117">
        <x:f>CB10-IFERROR((SUM($D$20:$DS$20)-'ОБЪЕКТЫ'!$B$120)*('Продажи'!CB83+'Продажи'!CB86+'Продажи'!CB89+'Продажи'!CB92)/(SUM('Продажи'!$D$83:$DS$83)+SUM('Продажи'!$D$86:$DS$86)+SUM('Продажи'!$D$89:$DS$89)+SUM('Продажи'!$D$92:$DS$92)),0)-IF('ОБЪЕКТЫ'!$B$8=4,IFERROR('ОБЪЕКТЫ'!$B$28*'ОБЪЕКТЫ'!CB22/'ОБЪЕКТЫ'!$B$22,0),0)-IF('ОБЪЕКТЫ'!$B$36=4,IFERROR('ОБЪЕКТЫ'!$B$56*'ОБЪЕКТЫ'!CB50/'ОБЪЕКТЫ'!$B$50,0),0)-IF('ОБЪЕКТЫ'!$B$64=4,IFERROR('ОБЪЕКТЫ'!$B$84*'ОБЪЕКТЫ'!CB78/'ОБЪЕКТЫ'!$B$78,0),0)-CB53-CB57-CB21</x:f>
      </x:c>
      <x:c r="CC22" s="117">
        <x:f>CC10-IFERROR((SUM($D$20:$DS$20)-'ОБЪЕКТЫ'!$B$120)*('Продажи'!CC83+'Продажи'!CC86+'Продажи'!CC89+'Продажи'!CC92)/(SUM('Продажи'!$D$83:$DS$83)+SUM('Продажи'!$D$86:$DS$86)+SUM('Продажи'!$D$89:$DS$89)+SUM('Продажи'!$D$92:$DS$92)),0)-IF('ОБЪЕКТЫ'!$B$8=4,IFERROR('ОБЪЕКТЫ'!$B$28*'ОБЪЕКТЫ'!CC22/'ОБЪЕКТЫ'!$B$22,0),0)-IF('ОБЪЕКТЫ'!$B$36=4,IFERROR('ОБЪЕКТЫ'!$B$56*'ОБЪЕКТЫ'!CC50/'ОБЪЕКТЫ'!$B$50,0),0)-IF('ОБЪЕКТЫ'!$B$64=4,IFERROR('ОБЪЕКТЫ'!$B$84*'ОБЪЕКТЫ'!CC78/'ОБЪЕКТЫ'!$B$78,0),0)-CC53-CC57-CC21</x:f>
      </x:c>
      <x:c r="CD22" s="117">
        <x:f>CD10-IFERROR((SUM($D$20:$DS$20)-'ОБЪЕКТЫ'!$B$120)*('Продажи'!CD83+'Продажи'!CD86+'Продажи'!CD89+'Продажи'!CD92)/(SUM('Продажи'!$D$83:$DS$83)+SUM('Продажи'!$D$86:$DS$86)+SUM('Продажи'!$D$89:$DS$89)+SUM('Продажи'!$D$92:$DS$92)),0)-IF('ОБЪЕКТЫ'!$B$8=4,IFERROR('ОБЪЕКТЫ'!$B$28*'ОБЪЕКТЫ'!CD22/'ОБЪЕКТЫ'!$B$22,0),0)-IF('ОБЪЕКТЫ'!$B$36=4,IFERROR('ОБЪЕКТЫ'!$B$56*'ОБЪЕКТЫ'!CD50/'ОБЪЕКТЫ'!$B$50,0),0)-IF('ОБЪЕКТЫ'!$B$64=4,IFERROR('ОБЪЕКТЫ'!$B$84*'ОБЪЕКТЫ'!CD78/'ОБЪЕКТЫ'!$B$78,0),0)-CD53-CD57-CD21</x:f>
      </x:c>
      <x:c r="CE22" s="117">
        <x:f>CE10-IFERROR((SUM($D$20:$DS$20)-'ОБЪЕКТЫ'!$B$120)*('Продажи'!CE83+'Продажи'!CE86+'Продажи'!CE89+'Продажи'!CE92)/(SUM('Продажи'!$D$83:$DS$83)+SUM('Продажи'!$D$86:$DS$86)+SUM('Продажи'!$D$89:$DS$89)+SUM('Продажи'!$D$92:$DS$92)),0)-IF('ОБЪЕКТЫ'!$B$8=4,IFERROR('ОБЪЕКТЫ'!$B$28*'ОБЪЕКТЫ'!CE22/'ОБЪЕКТЫ'!$B$22,0),0)-IF('ОБЪЕКТЫ'!$B$36=4,IFERROR('ОБЪЕКТЫ'!$B$56*'ОБЪЕКТЫ'!CE50/'ОБЪЕКТЫ'!$B$50,0),0)-IF('ОБЪЕКТЫ'!$B$64=4,IFERROR('ОБЪЕКТЫ'!$B$84*'ОБЪЕКТЫ'!CE78/'ОБЪЕКТЫ'!$B$78,0),0)-CE53-CE57-CE21</x:f>
      </x:c>
      <x:c r="CF22" s="117">
        <x:f>CF10-IFERROR((SUM($D$20:$DS$20)-'ОБЪЕКТЫ'!$B$120)*('Продажи'!CF83+'Продажи'!CF86+'Продажи'!CF89+'Продажи'!CF92)/(SUM('Продажи'!$D$83:$DS$83)+SUM('Продажи'!$D$86:$DS$86)+SUM('Продажи'!$D$89:$DS$89)+SUM('Продажи'!$D$92:$DS$92)),0)-IF('ОБЪЕКТЫ'!$B$8=4,IFERROR('ОБЪЕКТЫ'!$B$28*'ОБЪЕКТЫ'!CF22/'ОБЪЕКТЫ'!$B$22,0),0)-IF('ОБЪЕКТЫ'!$B$36=4,IFERROR('ОБЪЕКТЫ'!$B$56*'ОБЪЕКТЫ'!CF50/'ОБЪЕКТЫ'!$B$50,0),0)-IF('ОБЪЕКТЫ'!$B$64=4,IFERROR('ОБЪЕКТЫ'!$B$84*'ОБЪЕКТЫ'!CF78/'ОБЪЕКТЫ'!$B$78,0),0)-CF53-CF57-CF21</x:f>
      </x:c>
      <x:c r="CG22" s="117">
        <x:f>CG10-IFERROR((SUM($D$20:$DS$20)-'ОБЪЕКТЫ'!$B$120)*('Продажи'!CG83+'Продажи'!CG86+'Продажи'!CG89+'Продажи'!CG92)/(SUM('Продажи'!$D$83:$DS$83)+SUM('Продажи'!$D$86:$DS$86)+SUM('Продажи'!$D$89:$DS$89)+SUM('Продажи'!$D$92:$DS$92)),0)-IF('ОБЪЕКТЫ'!$B$8=4,IFERROR('ОБЪЕКТЫ'!$B$28*'ОБЪЕКТЫ'!CG22/'ОБЪЕКТЫ'!$B$22,0),0)-IF('ОБЪЕКТЫ'!$B$36=4,IFERROR('ОБЪЕКТЫ'!$B$56*'ОБЪЕКТЫ'!CG50/'ОБЪЕКТЫ'!$B$50,0),0)-IF('ОБЪЕКТЫ'!$B$64=4,IFERROR('ОБЪЕКТЫ'!$B$84*'ОБЪЕКТЫ'!CG78/'ОБЪЕКТЫ'!$B$78,0),0)-CG53-CG57-CG21</x:f>
      </x:c>
      <x:c r="CH22" s="117">
        <x:f>CH10-IFERROR((SUM($D$20:$DS$20)-'ОБЪЕКТЫ'!$B$120)*('Продажи'!CH83+'Продажи'!CH86+'Продажи'!CH89+'Продажи'!CH92)/(SUM('Продажи'!$D$83:$DS$83)+SUM('Продажи'!$D$86:$DS$86)+SUM('Продажи'!$D$89:$DS$89)+SUM('Продажи'!$D$92:$DS$92)),0)-IF('ОБЪЕКТЫ'!$B$8=4,IFERROR('ОБЪЕКТЫ'!$B$28*'ОБЪЕКТЫ'!CH22/'ОБЪЕКТЫ'!$B$22,0),0)-IF('ОБЪЕКТЫ'!$B$36=4,IFERROR('ОБЪЕКТЫ'!$B$56*'ОБЪЕКТЫ'!CH50/'ОБЪЕКТЫ'!$B$50,0),0)-IF('ОБЪЕКТЫ'!$B$64=4,IFERROR('ОБЪЕКТЫ'!$B$84*'ОБЪЕКТЫ'!CH78/'ОБЪЕКТЫ'!$B$78,0),0)-CH53-CH57-CH21</x:f>
      </x:c>
      <x:c r="CI22" s="117">
        <x:f>CI10-IFERROR((SUM($D$20:$DS$20)-'ОБЪЕКТЫ'!$B$120)*('Продажи'!CI83+'Продажи'!CI86+'Продажи'!CI89+'Продажи'!CI92)/(SUM('Продажи'!$D$83:$DS$83)+SUM('Продажи'!$D$86:$DS$86)+SUM('Продажи'!$D$89:$DS$89)+SUM('Продажи'!$D$92:$DS$92)),0)-IF('ОБЪЕКТЫ'!$B$8=4,IFERROR('ОБЪЕКТЫ'!$B$28*'ОБЪЕКТЫ'!CI22/'ОБЪЕКТЫ'!$B$22,0),0)-IF('ОБЪЕКТЫ'!$B$36=4,IFERROR('ОБЪЕКТЫ'!$B$56*'ОБЪЕКТЫ'!CI50/'ОБЪЕКТЫ'!$B$50,0),0)-IF('ОБЪЕКТЫ'!$B$64=4,IFERROR('ОБЪЕКТЫ'!$B$84*'ОБЪЕКТЫ'!CI78/'ОБЪЕКТЫ'!$B$78,0),0)-CI53-CI57-CI21</x:f>
      </x:c>
      <x:c r="CJ22" s="117">
        <x:f>CJ10-IFERROR((SUM($D$20:$DS$20)-'ОБЪЕКТЫ'!$B$120)*('Продажи'!CJ83+'Продажи'!CJ86+'Продажи'!CJ89+'Продажи'!CJ92)/(SUM('Продажи'!$D$83:$DS$83)+SUM('Продажи'!$D$86:$DS$86)+SUM('Продажи'!$D$89:$DS$89)+SUM('Продажи'!$D$92:$DS$92)),0)-IF('ОБЪЕКТЫ'!$B$8=4,IFERROR('ОБЪЕКТЫ'!$B$28*'ОБЪЕКТЫ'!CJ22/'ОБЪЕКТЫ'!$B$22,0),0)-IF('ОБЪЕКТЫ'!$B$36=4,IFERROR('ОБЪЕКТЫ'!$B$56*'ОБЪЕКТЫ'!CJ50/'ОБЪЕКТЫ'!$B$50,0),0)-IF('ОБЪЕКТЫ'!$B$64=4,IFERROR('ОБЪЕКТЫ'!$B$84*'ОБЪЕКТЫ'!CJ78/'ОБЪЕКТЫ'!$B$78,0),0)-CJ53-CJ57-CJ21</x:f>
      </x:c>
      <x:c r="CK22" s="117">
        <x:f>CK10-IFERROR((SUM($D$20:$DS$20)-'ОБЪЕКТЫ'!$B$120)*('Продажи'!CK83+'Продажи'!CK86+'Продажи'!CK89+'Продажи'!CK92)/(SUM('Продажи'!$D$83:$DS$83)+SUM('Продажи'!$D$86:$DS$86)+SUM('Продажи'!$D$89:$DS$89)+SUM('Продажи'!$D$92:$DS$92)),0)-IF('ОБЪЕКТЫ'!$B$8=4,IFERROR('ОБЪЕКТЫ'!$B$28*'ОБЪЕКТЫ'!CK22/'ОБЪЕКТЫ'!$B$22,0),0)-IF('ОБЪЕКТЫ'!$B$36=4,IFERROR('ОБЪЕКТЫ'!$B$56*'ОБЪЕКТЫ'!CK50/'ОБЪЕКТЫ'!$B$50,0),0)-IF('ОБЪЕКТЫ'!$B$64=4,IFERROR('ОБЪЕКТЫ'!$B$84*'ОБЪЕКТЫ'!CK78/'ОБЪЕКТЫ'!$B$78,0),0)-CK53-CK57-CK21</x:f>
      </x:c>
      <x:c r="CL22" s="117">
        <x:f>CL10-IFERROR((SUM($D$20:$DS$20)-'ОБЪЕКТЫ'!$B$120)*('Продажи'!CL83+'Продажи'!CL86+'Продажи'!CL89+'Продажи'!CL92)/(SUM('Продажи'!$D$83:$DS$83)+SUM('Продажи'!$D$86:$DS$86)+SUM('Продажи'!$D$89:$DS$89)+SUM('Продажи'!$D$92:$DS$92)),0)-IF('ОБЪЕКТЫ'!$B$8=4,IFERROR('ОБЪЕКТЫ'!$B$28*'ОБЪЕКТЫ'!CL22/'ОБЪЕКТЫ'!$B$22,0),0)-IF('ОБЪЕКТЫ'!$B$36=4,IFERROR('ОБЪЕКТЫ'!$B$56*'ОБЪЕКТЫ'!CL50/'ОБЪЕКТЫ'!$B$50,0),0)-IF('ОБЪЕКТЫ'!$B$64=4,IFERROR('ОБЪЕКТЫ'!$B$84*'ОБЪЕКТЫ'!CL78/'ОБЪЕКТЫ'!$B$78,0),0)-CL53-CL57-CL21</x:f>
      </x:c>
      <x:c r="CM22" s="117">
        <x:f>CM10-IFERROR((SUM($D$20:$DS$20)-'ОБЪЕКТЫ'!$B$120)*('Продажи'!CM83+'Продажи'!CM86+'Продажи'!CM89+'Продажи'!CM92)/(SUM('Продажи'!$D$83:$DS$83)+SUM('Продажи'!$D$86:$DS$86)+SUM('Продажи'!$D$89:$DS$89)+SUM('Продажи'!$D$92:$DS$92)),0)-IF('ОБЪЕКТЫ'!$B$8=4,IFERROR('ОБЪЕКТЫ'!$B$28*'ОБЪЕКТЫ'!CM22/'ОБЪЕКТЫ'!$B$22,0),0)-IF('ОБЪЕКТЫ'!$B$36=4,IFERROR('ОБЪЕКТЫ'!$B$56*'ОБЪЕКТЫ'!CM50/'ОБЪЕКТЫ'!$B$50,0),0)-IF('ОБЪЕКТЫ'!$B$64=4,IFERROR('ОБЪЕКТЫ'!$B$84*'ОБЪЕКТЫ'!CM78/'ОБЪЕКТЫ'!$B$78,0),0)-CM53-CM57-CM21</x:f>
      </x:c>
      <x:c r="CN22" s="117">
        <x:f>CN10-IFERROR((SUM($D$20:$DS$20)-'ОБЪЕКТЫ'!$B$120)*('Продажи'!CN83+'Продажи'!CN86+'Продажи'!CN89+'Продажи'!CN92)/(SUM('Продажи'!$D$83:$DS$83)+SUM('Продажи'!$D$86:$DS$86)+SUM('Продажи'!$D$89:$DS$89)+SUM('Продажи'!$D$92:$DS$92)),0)-IF('ОБЪЕКТЫ'!$B$8=4,IFERROR('ОБЪЕКТЫ'!$B$28*'ОБЪЕКТЫ'!CN22/'ОБЪЕКТЫ'!$B$22,0),0)-IF('ОБЪЕКТЫ'!$B$36=4,IFERROR('ОБЪЕКТЫ'!$B$56*'ОБЪЕКТЫ'!CN50/'ОБЪЕКТЫ'!$B$50,0),0)-IF('ОБЪЕКТЫ'!$B$64=4,IFERROR('ОБЪЕКТЫ'!$B$84*'ОБЪЕКТЫ'!CN78/'ОБЪЕКТЫ'!$B$78,0),0)-CN53-CN57-CN21</x:f>
      </x:c>
      <x:c r="CO22" s="117">
        <x:f>CO10-IFERROR((SUM($D$20:$DS$20)-'ОБЪЕКТЫ'!$B$120)*('Продажи'!CO83+'Продажи'!CO86+'Продажи'!CO89+'Продажи'!CO92)/(SUM('Продажи'!$D$83:$DS$83)+SUM('Продажи'!$D$86:$DS$86)+SUM('Продажи'!$D$89:$DS$89)+SUM('Продажи'!$D$92:$DS$92)),0)-IF('ОБЪЕКТЫ'!$B$8=4,IFERROR('ОБЪЕКТЫ'!$B$28*'ОБЪЕКТЫ'!CO22/'ОБЪЕКТЫ'!$B$22,0),0)-IF('ОБЪЕКТЫ'!$B$36=4,IFERROR('ОБЪЕКТЫ'!$B$56*'ОБЪЕКТЫ'!CO50/'ОБЪЕКТЫ'!$B$50,0),0)-IF('ОБЪЕКТЫ'!$B$64=4,IFERROR('ОБЪЕКТЫ'!$B$84*'ОБЪЕКТЫ'!CO78/'ОБЪЕКТЫ'!$B$78,0),0)-CO53-CO57-CO21</x:f>
      </x:c>
      <x:c r="CP22" s="117">
        <x:f>CP10-IFERROR((SUM($D$20:$DS$20)-'ОБЪЕКТЫ'!$B$120)*('Продажи'!CP83+'Продажи'!CP86+'Продажи'!CP89+'Продажи'!CP92)/(SUM('Продажи'!$D$83:$DS$83)+SUM('Продажи'!$D$86:$DS$86)+SUM('Продажи'!$D$89:$DS$89)+SUM('Продажи'!$D$92:$DS$92)),0)-IF('ОБЪЕКТЫ'!$B$8=4,IFERROR('ОБЪЕКТЫ'!$B$28*'ОБЪЕКТЫ'!CP22/'ОБЪЕКТЫ'!$B$22,0),0)-IF('ОБЪЕКТЫ'!$B$36=4,IFERROR('ОБЪЕКТЫ'!$B$56*'ОБЪЕКТЫ'!CP50/'ОБЪЕКТЫ'!$B$50,0),0)-IF('ОБЪЕКТЫ'!$B$64=4,IFERROR('ОБЪЕКТЫ'!$B$84*'ОБЪЕКТЫ'!CP78/'ОБЪЕКТЫ'!$B$78,0),0)-CP53-CP57-CP21</x:f>
      </x:c>
      <x:c r="CQ22" s="117">
        <x:f>CQ10-IFERROR((SUM($D$20:$DS$20)-'ОБЪЕКТЫ'!$B$120)*('Продажи'!CQ83+'Продажи'!CQ86+'Продажи'!CQ89+'Продажи'!CQ92)/(SUM('Продажи'!$D$83:$DS$83)+SUM('Продажи'!$D$86:$DS$86)+SUM('Продажи'!$D$89:$DS$89)+SUM('Продажи'!$D$92:$DS$92)),0)-IF('ОБЪЕКТЫ'!$B$8=4,IFERROR('ОБЪЕКТЫ'!$B$28*'ОБЪЕКТЫ'!CQ22/'ОБЪЕКТЫ'!$B$22,0),0)-IF('ОБЪЕКТЫ'!$B$36=4,IFERROR('ОБЪЕКТЫ'!$B$56*'ОБЪЕКТЫ'!CQ50/'ОБЪЕКТЫ'!$B$50,0),0)-IF('ОБЪЕКТЫ'!$B$64=4,IFERROR('ОБЪЕКТЫ'!$B$84*'ОБЪЕКТЫ'!CQ78/'ОБЪЕКТЫ'!$B$78,0),0)-CQ53-CQ57-CQ21</x:f>
      </x:c>
      <x:c r="CR22" s="117">
        <x:f>CR10-IFERROR((SUM($D$20:$DS$20)-'ОБЪЕКТЫ'!$B$120)*('Продажи'!CR83+'Продажи'!CR86+'Продажи'!CR89+'Продажи'!CR92)/(SUM('Продажи'!$D$83:$DS$83)+SUM('Продажи'!$D$86:$DS$86)+SUM('Продажи'!$D$89:$DS$89)+SUM('Продажи'!$D$92:$DS$92)),0)-IF('ОБЪЕКТЫ'!$B$8=4,IFERROR('ОБЪЕКТЫ'!$B$28*'ОБЪЕКТЫ'!CR22/'ОБЪЕКТЫ'!$B$22,0),0)-IF('ОБЪЕКТЫ'!$B$36=4,IFERROR('ОБЪЕКТЫ'!$B$56*'ОБЪЕКТЫ'!CR50/'ОБЪЕКТЫ'!$B$50,0),0)-IF('ОБЪЕКТЫ'!$B$64=4,IFERROR('ОБЪЕКТЫ'!$B$84*'ОБЪЕКТЫ'!CR78/'ОБЪЕКТЫ'!$B$78,0),0)-CR53-CR57-CR21</x:f>
      </x:c>
      <x:c r="CS22" s="117">
        <x:f>CS10-IFERROR((SUM($D$20:$DS$20)-'ОБЪЕКТЫ'!$B$120)*('Продажи'!CS83+'Продажи'!CS86+'Продажи'!CS89+'Продажи'!CS92)/(SUM('Продажи'!$D$83:$DS$83)+SUM('Продажи'!$D$86:$DS$86)+SUM('Продажи'!$D$89:$DS$89)+SUM('Продажи'!$D$92:$DS$92)),0)-IF('ОБЪЕКТЫ'!$B$8=4,IFERROR('ОБЪЕКТЫ'!$B$28*'ОБЪЕКТЫ'!CS22/'ОБЪЕКТЫ'!$B$22,0),0)-IF('ОБЪЕКТЫ'!$B$36=4,IFERROR('ОБЪЕКТЫ'!$B$56*'ОБЪЕКТЫ'!CS50/'ОБЪЕКТЫ'!$B$50,0),0)-IF('ОБЪЕКТЫ'!$B$64=4,IFERROR('ОБЪЕКТЫ'!$B$84*'ОБЪЕКТЫ'!CS78/'ОБЪЕКТЫ'!$B$78,0),0)-CS53-CS57-CS21</x:f>
      </x:c>
      <x:c r="CT22" s="117">
        <x:f>CT10-IFERROR((SUM($D$20:$DS$20)-'ОБЪЕКТЫ'!$B$120)*('Продажи'!CT83+'Продажи'!CT86+'Продажи'!CT89+'Продажи'!CT92)/(SUM('Продажи'!$D$83:$DS$83)+SUM('Продажи'!$D$86:$DS$86)+SUM('Продажи'!$D$89:$DS$89)+SUM('Продажи'!$D$92:$DS$92)),0)-IF('ОБЪЕКТЫ'!$B$8=4,IFERROR('ОБЪЕКТЫ'!$B$28*'ОБЪЕКТЫ'!CT22/'ОБЪЕКТЫ'!$B$22,0),0)-IF('ОБЪЕКТЫ'!$B$36=4,IFERROR('ОБЪЕКТЫ'!$B$56*'ОБЪЕКТЫ'!CT50/'ОБЪЕКТЫ'!$B$50,0),0)-IF('ОБЪЕКТЫ'!$B$64=4,IFERROR('ОБЪЕКТЫ'!$B$84*'ОБЪЕКТЫ'!CT78/'ОБЪЕКТЫ'!$B$78,0),0)-CT53-CT57-CT21</x:f>
      </x:c>
      <x:c r="CU22" s="117">
        <x:f>CU10-IFERROR((SUM($D$20:$DS$20)-'ОБЪЕКТЫ'!$B$120)*('Продажи'!CU83+'Продажи'!CU86+'Продажи'!CU89+'Продажи'!CU92)/(SUM('Продажи'!$D$83:$DS$83)+SUM('Продажи'!$D$86:$DS$86)+SUM('Продажи'!$D$89:$DS$89)+SUM('Продажи'!$D$92:$DS$92)),0)-IF('ОБЪЕКТЫ'!$B$8=4,IFERROR('ОБЪЕКТЫ'!$B$28*'ОБЪЕКТЫ'!CU22/'ОБЪЕКТЫ'!$B$22,0),0)-IF('ОБЪЕКТЫ'!$B$36=4,IFERROR('ОБЪЕКТЫ'!$B$56*'ОБЪЕКТЫ'!CU50/'ОБЪЕКТЫ'!$B$50,0),0)-IF('ОБЪЕКТЫ'!$B$64=4,IFERROR('ОБЪЕКТЫ'!$B$84*'ОБЪЕКТЫ'!CU78/'ОБЪЕКТЫ'!$B$78,0),0)-CU53-CU57-CU21</x:f>
      </x:c>
      <x:c r="CV22" s="117">
        <x:f>CV10-IFERROR((SUM($D$20:$DS$20)-'ОБЪЕКТЫ'!$B$120)*('Продажи'!CV83+'Продажи'!CV86+'Продажи'!CV89+'Продажи'!CV92)/(SUM('Продажи'!$D$83:$DS$83)+SUM('Продажи'!$D$86:$DS$86)+SUM('Продажи'!$D$89:$DS$89)+SUM('Продажи'!$D$92:$DS$92)),0)-IF('ОБЪЕКТЫ'!$B$8=4,IFERROR('ОБЪЕКТЫ'!$B$28*'ОБЪЕКТЫ'!CV22/'ОБЪЕКТЫ'!$B$22,0),0)-IF('ОБЪЕКТЫ'!$B$36=4,IFERROR('ОБЪЕКТЫ'!$B$56*'ОБЪЕКТЫ'!CV50/'ОБЪЕКТЫ'!$B$50,0),0)-IF('ОБЪЕКТЫ'!$B$64=4,IFERROR('ОБЪЕКТЫ'!$B$84*'ОБЪЕКТЫ'!CV78/'ОБЪЕКТЫ'!$B$78,0),0)-CV53-CV57-CV21</x:f>
      </x:c>
      <x:c r="CW22" s="117">
        <x:f>CW10-IFERROR((SUM($D$20:$DS$20)-'ОБЪЕКТЫ'!$B$120)*('Продажи'!CW83+'Продажи'!CW86+'Продажи'!CW89+'Продажи'!CW92)/(SUM('Продажи'!$D$83:$DS$83)+SUM('Продажи'!$D$86:$DS$86)+SUM('Продажи'!$D$89:$DS$89)+SUM('Продажи'!$D$92:$DS$92)),0)-IF('ОБЪЕКТЫ'!$B$8=4,IFERROR('ОБЪЕКТЫ'!$B$28*'ОБЪЕКТЫ'!CW22/'ОБЪЕКТЫ'!$B$22,0),0)-IF('ОБЪЕКТЫ'!$B$36=4,IFERROR('ОБЪЕКТЫ'!$B$56*'ОБЪЕКТЫ'!CW50/'ОБЪЕКТЫ'!$B$50,0),0)-IF('ОБЪЕКТЫ'!$B$64=4,IFERROR('ОБЪЕКТЫ'!$B$84*'ОБЪЕКТЫ'!CW78/'ОБЪЕКТЫ'!$B$78,0),0)-CW53-CW57-CW21</x:f>
      </x:c>
      <x:c r="CX22" s="117">
        <x:f>CX10-IFERROR((SUM($D$20:$DS$20)-'ОБЪЕКТЫ'!$B$120)*('Продажи'!CX83+'Продажи'!CX86+'Продажи'!CX89+'Продажи'!CX92)/(SUM('Продажи'!$D$83:$DS$83)+SUM('Продажи'!$D$86:$DS$86)+SUM('Продажи'!$D$89:$DS$89)+SUM('Продажи'!$D$92:$DS$92)),0)-IF('ОБЪЕКТЫ'!$B$8=4,IFERROR('ОБЪЕКТЫ'!$B$28*'ОБЪЕКТЫ'!CX22/'ОБЪЕКТЫ'!$B$22,0),0)-IF('ОБЪЕКТЫ'!$B$36=4,IFERROR('ОБЪЕКТЫ'!$B$56*'ОБЪЕКТЫ'!CX50/'ОБЪЕКТЫ'!$B$50,0),0)-IF('ОБЪЕКТЫ'!$B$64=4,IFERROR('ОБЪЕКТЫ'!$B$84*'ОБЪЕКТЫ'!CX78/'ОБЪЕКТЫ'!$B$78,0),0)-CX53-CX57-CX21</x:f>
      </x:c>
      <x:c r="CY22" s="117">
        <x:f>CY10-IFERROR((SUM($D$20:$DS$20)-'ОБЪЕКТЫ'!$B$120)*('Продажи'!CY83+'Продажи'!CY86+'Продажи'!CY89+'Продажи'!CY92)/(SUM('Продажи'!$D$83:$DS$83)+SUM('Продажи'!$D$86:$DS$86)+SUM('Продажи'!$D$89:$DS$89)+SUM('Продажи'!$D$92:$DS$92)),0)-IF('ОБЪЕКТЫ'!$B$8=4,IFERROR('ОБЪЕКТЫ'!$B$28*'ОБЪЕКТЫ'!CY22/'ОБЪЕКТЫ'!$B$22,0),0)-IF('ОБЪЕКТЫ'!$B$36=4,IFERROR('ОБЪЕКТЫ'!$B$56*'ОБЪЕКТЫ'!CY50/'ОБЪЕКТЫ'!$B$50,0),0)-IF('ОБЪЕКТЫ'!$B$64=4,IFERROR('ОБЪЕКТЫ'!$B$84*'ОБЪЕКТЫ'!CY78/'ОБЪЕКТЫ'!$B$78,0),0)-CY53-CY57-CY21</x:f>
      </x:c>
      <x:c r="CZ22" s="117">
        <x:f>CZ10-IFERROR((SUM($D$20:$DS$20)-'ОБЪЕКТЫ'!$B$120)*('Продажи'!CZ83+'Продажи'!CZ86+'Продажи'!CZ89+'Продажи'!CZ92)/(SUM('Продажи'!$D$83:$DS$83)+SUM('Продажи'!$D$86:$DS$86)+SUM('Продажи'!$D$89:$DS$89)+SUM('Продажи'!$D$92:$DS$92)),0)-IF('ОБЪЕКТЫ'!$B$8=4,IFERROR('ОБЪЕКТЫ'!$B$28*'ОБЪЕКТЫ'!CZ22/'ОБЪЕКТЫ'!$B$22,0),0)-IF('ОБЪЕКТЫ'!$B$36=4,IFERROR('ОБЪЕКТЫ'!$B$56*'ОБЪЕКТЫ'!CZ50/'ОБЪЕКТЫ'!$B$50,0),0)-IF('ОБЪЕКТЫ'!$B$64=4,IFERROR('ОБЪЕКТЫ'!$B$84*'ОБЪЕКТЫ'!CZ78/'ОБЪЕКТЫ'!$B$78,0),0)-CZ53-CZ57-CZ21</x:f>
      </x:c>
      <x:c r="DA22" s="117">
        <x:f>DA10-IFERROR((SUM($D$20:$DS$20)-'ОБЪЕКТЫ'!$B$120)*('Продажи'!DA83+'Продажи'!DA86+'Продажи'!DA89+'Продажи'!DA92)/(SUM('Продажи'!$D$83:$DS$83)+SUM('Продажи'!$D$86:$DS$86)+SUM('Продажи'!$D$89:$DS$89)+SUM('Продажи'!$D$92:$DS$92)),0)-IF('ОБЪЕКТЫ'!$B$8=4,IFERROR('ОБЪЕКТЫ'!$B$28*'ОБЪЕКТЫ'!DA22/'ОБЪЕКТЫ'!$B$22,0),0)-IF('ОБЪЕКТЫ'!$B$36=4,IFERROR('ОБЪЕКТЫ'!$B$56*'ОБЪЕКТЫ'!DA50/'ОБЪЕКТЫ'!$B$50,0),0)-IF('ОБЪЕКТЫ'!$B$64=4,IFERROR('ОБЪЕКТЫ'!$B$84*'ОБЪЕКТЫ'!DA78/'ОБЪЕКТЫ'!$B$78,0),0)-DA53-DA57-DA21</x:f>
      </x:c>
      <x:c r="DB22" s="117">
        <x:f>DB10-IFERROR((SUM($D$20:$DS$20)-'ОБЪЕКТЫ'!$B$120)*('Продажи'!DB83+'Продажи'!DB86+'Продажи'!DB89+'Продажи'!DB92)/(SUM('Продажи'!$D$83:$DS$83)+SUM('Продажи'!$D$86:$DS$86)+SUM('Продажи'!$D$89:$DS$89)+SUM('Продажи'!$D$92:$DS$92)),0)-IF('ОБЪЕКТЫ'!$B$8=4,IFERROR('ОБЪЕКТЫ'!$B$28*'ОБЪЕКТЫ'!DB22/'ОБЪЕКТЫ'!$B$22,0),0)-IF('ОБЪЕКТЫ'!$B$36=4,IFERROR('ОБЪЕКТЫ'!$B$56*'ОБЪЕКТЫ'!DB50/'ОБЪЕКТЫ'!$B$50,0),0)-IF('ОБЪЕКТЫ'!$B$64=4,IFERROR('ОБЪЕКТЫ'!$B$84*'ОБЪЕКТЫ'!DB78/'ОБЪЕКТЫ'!$B$78,0),0)-DB53-DB57-DB21</x:f>
      </x:c>
      <x:c r="DC22" s="117">
        <x:f>DC10-IFERROR((SUM($D$20:$DS$20)-'ОБЪЕКТЫ'!$B$120)*('Продажи'!DC83+'Продажи'!DC86+'Продажи'!DC89+'Продажи'!DC92)/(SUM('Продажи'!$D$83:$DS$83)+SUM('Продажи'!$D$86:$DS$86)+SUM('Продажи'!$D$89:$DS$89)+SUM('Продажи'!$D$92:$DS$92)),0)-IF('ОБЪЕКТЫ'!$B$8=4,IFERROR('ОБЪЕКТЫ'!$B$28*'ОБЪЕКТЫ'!DC22/'ОБЪЕКТЫ'!$B$22,0),0)-IF('ОБЪЕКТЫ'!$B$36=4,IFERROR('ОБЪЕКТЫ'!$B$56*'ОБЪЕКТЫ'!DC50/'ОБЪЕКТЫ'!$B$50,0),0)-IF('ОБЪЕКТЫ'!$B$64=4,IFERROR('ОБЪЕКТЫ'!$B$84*'ОБЪЕКТЫ'!DC78/'ОБЪЕКТЫ'!$B$78,0),0)-DC53-DC57-DC21</x:f>
      </x:c>
      <x:c r="DD22" s="117">
        <x:f>DD10-IFERROR((SUM($D$20:$DS$20)-'ОБЪЕКТЫ'!$B$120)*('Продажи'!DD83+'Продажи'!DD86+'Продажи'!DD89+'Продажи'!DD92)/(SUM('Продажи'!$D$83:$DS$83)+SUM('Продажи'!$D$86:$DS$86)+SUM('Продажи'!$D$89:$DS$89)+SUM('Продажи'!$D$92:$DS$92)),0)-IF('ОБЪЕКТЫ'!$B$8=4,IFERROR('ОБЪЕКТЫ'!$B$28*'ОБЪЕКТЫ'!DD22/'ОБЪЕКТЫ'!$B$22,0),0)-IF('ОБЪЕКТЫ'!$B$36=4,IFERROR('ОБЪЕКТЫ'!$B$56*'ОБЪЕКТЫ'!DD50/'ОБЪЕКТЫ'!$B$50,0),0)-IF('ОБЪЕКТЫ'!$B$64=4,IFERROR('ОБЪЕКТЫ'!$B$84*'ОБЪЕКТЫ'!DD78/'ОБЪЕКТЫ'!$B$78,0),0)-DD53-DD57-DD21</x:f>
      </x:c>
      <x:c r="DE22" s="117">
        <x:f>DE10-IFERROR((SUM($D$20:$DS$20)-'ОБЪЕКТЫ'!$B$120)*('Продажи'!DE83+'Продажи'!DE86+'Продажи'!DE89+'Продажи'!DE92)/(SUM('Продажи'!$D$83:$DS$83)+SUM('Продажи'!$D$86:$DS$86)+SUM('Продажи'!$D$89:$DS$89)+SUM('Продажи'!$D$92:$DS$92)),0)-IF('ОБЪЕКТЫ'!$B$8=4,IFERROR('ОБЪЕКТЫ'!$B$28*'ОБЪЕКТЫ'!DE22/'ОБЪЕКТЫ'!$B$22,0),0)-IF('ОБЪЕКТЫ'!$B$36=4,IFERROR('ОБЪЕКТЫ'!$B$56*'ОБЪЕКТЫ'!DE50/'ОБЪЕКТЫ'!$B$50,0),0)-IF('ОБЪЕКТЫ'!$B$64=4,IFERROR('ОБЪЕКТЫ'!$B$84*'ОБЪЕКТЫ'!DE78/'ОБЪЕКТЫ'!$B$78,0),0)-DE53-DE57-DE21</x:f>
      </x:c>
      <x:c r="DF22" s="117">
        <x:f>DF10-IFERROR((SUM($D$20:$DS$20)-'ОБЪЕКТЫ'!$B$120)*('Продажи'!DF83+'Продажи'!DF86+'Продажи'!DF89+'Продажи'!DF92)/(SUM('Продажи'!$D$83:$DS$83)+SUM('Продажи'!$D$86:$DS$86)+SUM('Продажи'!$D$89:$DS$89)+SUM('Продажи'!$D$92:$DS$92)),0)-IF('ОБЪЕКТЫ'!$B$8=4,IFERROR('ОБЪЕКТЫ'!$B$28*'ОБЪЕКТЫ'!DF22/'ОБЪЕКТЫ'!$B$22,0),0)-IF('ОБЪЕКТЫ'!$B$36=4,IFERROR('ОБЪЕКТЫ'!$B$56*'ОБЪЕКТЫ'!DF50/'ОБЪЕКТЫ'!$B$50,0),0)-IF('ОБЪЕКТЫ'!$B$64=4,IFERROR('ОБЪЕКТЫ'!$B$84*'ОБЪЕКТЫ'!DF78/'ОБЪЕКТЫ'!$B$78,0),0)-DF53-DF57-DF21</x:f>
      </x:c>
      <x:c r="DG22" s="117">
        <x:f>DG10-IFERROR((SUM($D$20:$DS$20)-'ОБЪЕКТЫ'!$B$120)*('Продажи'!DG83+'Продажи'!DG86+'Продажи'!DG89+'Продажи'!DG92)/(SUM('Продажи'!$D$83:$DS$83)+SUM('Продажи'!$D$86:$DS$86)+SUM('Продажи'!$D$89:$DS$89)+SUM('Продажи'!$D$92:$DS$92)),0)-IF('ОБЪЕКТЫ'!$B$8=4,IFERROR('ОБЪЕКТЫ'!$B$28*'ОБЪЕКТЫ'!DG22/'ОБЪЕКТЫ'!$B$22,0),0)-IF('ОБЪЕКТЫ'!$B$36=4,IFERROR('ОБЪЕКТЫ'!$B$56*'ОБЪЕКТЫ'!DG50/'ОБЪЕКТЫ'!$B$50,0),0)-IF('ОБЪЕКТЫ'!$B$64=4,IFERROR('ОБЪЕКТЫ'!$B$84*'ОБЪЕКТЫ'!DG78/'ОБЪЕКТЫ'!$B$78,0),0)-DG53-DG57-DG21</x:f>
      </x:c>
      <x:c r="DH22" s="117">
        <x:f>DH10-IFERROR((SUM($D$20:$DS$20)-'ОБЪЕКТЫ'!$B$120)*('Продажи'!DH83+'Продажи'!DH86+'Продажи'!DH89+'Продажи'!DH92)/(SUM('Продажи'!$D$83:$DS$83)+SUM('Продажи'!$D$86:$DS$86)+SUM('Продажи'!$D$89:$DS$89)+SUM('Продажи'!$D$92:$DS$92)),0)-IF('ОБЪЕКТЫ'!$B$8=4,IFERROR('ОБЪЕКТЫ'!$B$28*'ОБЪЕКТЫ'!DH22/'ОБЪЕКТЫ'!$B$22,0),0)-IF('ОБЪЕКТЫ'!$B$36=4,IFERROR('ОБЪЕКТЫ'!$B$56*'ОБЪЕКТЫ'!DH50/'ОБЪЕКТЫ'!$B$50,0),0)-IF('ОБЪЕКТЫ'!$B$64=4,IFERROR('ОБЪЕКТЫ'!$B$84*'ОБЪЕКТЫ'!DH78/'ОБЪЕКТЫ'!$B$78,0),0)-DH53-DH57-DH21</x:f>
      </x:c>
      <x:c r="DI22" s="117">
        <x:f>DI10-IFERROR((SUM($D$20:$DS$20)-'ОБЪЕКТЫ'!$B$120)*('Продажи'!DI83+'Продажи'!DI86+'Продажи'!DI89+'Продажи'!DI92)/(SUM('Продажи'!$D$83:$DS$83)+SUM('Продажи'!$D$86:$DS$86)+SUM('Продажи'!$D$89:$DS$89)+SUM('Продажи'!$D$92:$DS$92)),0)-IF('ОБЪЕКТЫ'!$B$8=4,IFERROR('ОБЪЕКТЫ'!$B$28*'ОБЪЕКТЫ'!DI22/'ОБЪЕКТЫ'!$B$22,0),0)-IF('ОБЪЕКТЫ'!$B$36=4,IFERROR('ОБЪЕКТЫ'!$B$56*'ОБЪЕКТЫ'!DI50/'ОБЪЕКТЫ'!$B$50,0),0)-IF('ОБЪЕКТЫ'!$B$64=4,IFERROR('ОБЪЕКТЫ'!$B$84*'ОБЪЕКТЫ'!DI78/'ОБЪЕКТЫ'!$B$78,0),0)-DI53-DI57-DI21</x:f>
      </x:c>
      <x:c r="DJ22" s="117">
        <x:f>DJ10-IFERROR((SUM($D$20:$DS$20)-'ОБЪЕКТЫ'!$B$120)*('Продажи'!DJ83+'Продажи'!DJ86+'Продажи'!DJ89+'Продажи'!DJ92)/(SUM('Продажи'!$D$83:$DS$83)+SUM('Продажи'!$D$86:$DS$86)+SUM('Продажи'!$D$89:$DS$89)+SUM('Продажи'!$D$92:$DS$92)),0)-IF('ОБЪЕКТЫ'!$B$8=4,IFERROR('ОБЪЕКТЫ'!$B$28*'ОБЪЕКТЫ'!DJ22/'ОБЪЕКТЫ'!$B$22,0),0)-IF('ОБЪЕКТЫ'!$B$36=4,IFERROR('ОБЪЕКТЫ'!$B$56*'ОБЪЕКТЫ'!DJ50/'ОБЪЕКТЫ'!$B$50,0),0)-IF('ОБЪЕКТЫ'!$B$64=4,IFERROR('ОБЪЕКТЫ'!$B$84*'ОБЪЕКТЫ'!DJ78/'ОБЪЕКТЫ'!$B$78,0),0)-DJ53-DJ57-DJ21</x:f>
      </x:c>
      <x:c r="DK22" s="117">
        <x:f>DK10-IFERROR((SUM($D$20:$DS$20)-'ОБЪЕКТЫ'!$B$120)*('Продажи'!DK83+'Продажи'!DK86+'Продажи'!DK89+'Продажи'!DK92)/(SUM('Продажи'!$D$83:$DS$83)+SUM('Продажи'!$D$86:$DS$86)+SUM('Продажи'!$D$89:$DS$89)+SUM('Продажи'!$D$92:$DS$92)),0)-IF('ОБЪЕКТЫ'!$B$8=4,IFERROR('ОБЪЕКТЫ'!$B$28*'ОБЪЕКТЫ'!DK22/'ОБЪЕКТЫ'!$B$22,0),0)-IF('ОБЪЕКТЫ'!$B$36=4,IFERROR('ОБЪЕКТЫ'!$B$56*'ОБЪЕКТЫ'!DK50/'ОБЪЕКТЫ'!$B$50,0),0)-IF('ОБЪЕКТЫ'!$B$64=4,IFERROR('ОБЪЕКТЫ'!$B$84*'ОБЪЕКТЫ'!DK78/'ОБЪЕКТЫ'!$B$78,0),0)-DK53-DK57-DK21</x:f>
      </x:c>
      <x:c r="DL22" s="117">
        <x:f>DL10-IFERROR((SUM($D$20:$DS$20)-'ОБЪЕКТЫ'!$B$120)*('Продажи'!DL83+'Продажи'!DL86+'Продажи'!DL89+'Продажи'!DL92)/(SUM('Продажи'!$D$83:$DS$83)+SUM('Продажи'!$D$86:$DS$86)+SUM('Продажи'!$D$89:$DS$89)+SUM('Продажи'!$D$92:$DS$92)),0)-IF('ОБЪЕКТЫ'!$B$8=4,IFERROR('ОБЪЕКТЫ'!$B$28*'ОБЪЕКТЫ'!DL22/'ОБЪЕКТЫ'!$B$22,0),0)-IF('ОБЪЕКТЫ'!$B$36=4,IFERROR('ОБЪЕКТЫ'!$B$56*'ОБЪЕКТЫ'!DL50/'ОБЪЕКТЫ'!$B$50,0),0)-IF('ОБЪЕКТЫ'!$B$64=4,IFERROR('ОБЪЕКТЫ'!$B$84*'ОБЪЕКТЫ'!DL78/'ОБЪЕКТЫ'!$B$78,0),0)-DL53-DL57-DL21</x:f>
      </x:c>
      <x:c r="DM22" s="117">
        <x:f>DM10-IFERROR((SUM($D$20:$DS$20)-'ОБЪЕКТЫ'!$B$120)*('Продажи'!DM83+'Продажи'!DM86+'Продажи'!DM89+'Продажи'!DM92)/(SUM('Продажи'!$D$83:$DS$83)+SUM('Продажи'!$D$86:$DS$86)+SUM('Продажи'!$D$89:$DS$89)+SUM('Продажи'!$D$92:$DS$92)),0)-IF('ОБЪЕКТЫ'!$B$8=4,IFERROR('ОБЪЕКТЫ'!$B$28*'ОБЪЕКТЫ'!DM22/'ОБЪЕКТЫ'!$B$22,0),0)-IF('ОБЪЕКТЫ'!$B$36=4,IFERROR('ОБЪЕКТЫ'!$B$56*'ОБЪЕКТЫ'!DM50/'ОБЪЕКТЫ'!$B$50,0),0)-IF('ОБЪЕКТЫ'!$B$64=4,IFERROR('ОБЪЕКТЫ'!$B$84*'ОБЪЕКТЫ'!DM78/'ОБЪЕКТЫ'!$B$78,0),0)-DM53-DM57-DM21</x:f>
      </x:c>
      <x:c r="DN22" s="117">
        <x:f>DN10-IFERROR((SUM($D$20:$DS$20)-'ОБЪЕКТЫ'!$B$120)*('Продажи'!DN83+'Продажи'!DN86+'Продажи'!DN89+'Продажи'!DN92)/(SUM('Продажи'!$D$83:$DS$83)+SUM('Продажи'!$D$86:$DS$86)+SUM('Продажи'!$D$89:$DS$89)+SUM('Продажи'!$D$92:$DS$92)),0)-IF('ОБЪЕКТЫ'!$B$8=4,IFERROR('ОБЪЕКТЫ'!$B$28*'ОБЪЕКТЫ'!DN22/'ОБЪЕКТЫ'!$B$22,0),0)-IF('ОБЪЕКТЫ'!$B$36=4,IFERROR('ОБЪЕКТЫ'!$B$56*'ОБЪЕКТЫ'!DN50/'ОБЪЕКТЫ'!$B$50,0),0)-IF('ОБЪЕКТЫ'!$B$64=4,IFERROR('ОБЪЕКТЫ'!$B$84*'ОБЪЕКТЫ'!DN78/'ОБЪЕКТЫ'!$B$78,0),0)-DN53-DN57-DN21</x:f>
      </x:c>
      <x:c r="DO22" s="117">
        <x:f>DO10-IFERROR((SUM($D$20:$DS$20)-'ОБЪЕКТЫ'!$B$120)*('Продажи'!DO83+'Продажи'!DO86+'Продажи'!DO89+'Продажи'!DO92)/(SUM('Продажи'!$D$83:$DS$83)+SUM('Продажи'!$D$86:$DS$86)+SUM('Продажи'!$D$89:$DS$89)+SUM('Продажи'!$D$92:$DS$92)),0)-IF('ОБЪЕКТЫ'!$B$8=4,IFERROR('ОБЪЕКТЫ'!$B$28*'ОБЪЕКТЫ'!DO22/'ОБЪЕКТЫ'!$B$22,0),0)-IF('ОБЪЕКТЫ'!$B$36=4,IFERROR('ОБЪЕКТЫ'!$B$56*'ОБЪЕКТЫ'!DO50/'ОБЪЕКТЫ'!$B$50,0),0)-IF('ОБЪЕКТЫ'!$B$64=4,IFERROR('ОБЪЕКТЫ'!$B$84*'ОБЪЕКТЫ'!DO78/'ОБЪЕКТЫ'!$B$78,0),0)-DO53-DO57-DO21</x:f>
      </x:c>
      <x:c r="DP22" s="117">
        <x:f>DP10-IFERROR((SUM($D$20:$DS$20)-'ОБЪЕКТЫ'!$B$120)*('Продажи'!DP83+'Продажи'!DP86+'Продажи'!DP89+'Продажи'!DP92)/(SUM('Продажи'!$D$83:$DS$83)+SUM('Продажи'!$D$86:$DS$86)+SUM('Продажи'!$D$89:$DS$89)+SUM('Продажи'!$D$92:$DS$92)),0)-IF('ОБЪЕКТЫ'!$B$8=4,IFERROR('ОБЪЕКТЫ'!$B$28*'ОБЪЕКТЫ'!DP22/'ОБЪЕКТЫ'!$B$22,0),0)-IF('ОБЪЕКТЫ'!$B$36=4,IFERROR('ОБЪЕКТЫ'!$B$56*'ОБЪЕКТЫ'!DP50/'ОБЪЕКТЫ'!$B$50,0),0)-IF('ОБЪЕКТЫ'!$B$64=4,IFERROR('ОБЪЕКТЫ'!$B$84*'ОБЪЕКТЫ'!DP78/'ОБЪЕКТЫ'!$B$78,0),0)-DP53-DP57-DP21</x:f>
      </x:c>
      <x:c r="DQ22" s="117">
        <x:f>DQ10-IFERROR((SUM($D$20:$DS$20)-'ОБЪЕКТЫ'!$B$120)*('Продажи'!DQ83+'Продажи'!DQ86+'Продажи'!DQ89+'Продажи'!DQ92)/(SUM('Продажи'!$D$83:$DS$83)+SUM('Продажи'!$D$86:$DS$86)+SUM('Продажи'!$D$89:$DS$89)+SUM('Продажи'!$D$92:$DS$92)),0)-IF('ОБЪЕКТЫ'!$B$8=4,IFERROR('ОБЪЕКТЫ'!$B$28*'ОБЪЕКТЫ'!DQ22/'ОБЪЕКТЫ'!$B$22,0),0)-IF('ОБЪЕКТЫ'!$B$36=4,IFERROR('ОБЪЕКТЫ'!$B$56*'ОБЪЕКТЫ'!DQ50/'ОБЪЕКТЫ'!$B$50,0),0)-IF('ОБЪЕКТЫ'!$B$64=4,IFERROR('ОБЪЕКТЫ'!$B$84*'ОБЪЕКТЫ'!DQ78/'ОБЪЕКТЫ'!$B$78,0),0)-DQ53-DQ57-DQ21</x:f>
      </x:c>
      <x:c r="DR22" s="117">
        <x:f>DR10-IFERROR((SUM($D$20:$DS$20)-'ОБЪЕКТЫ'!$B$120)*('Продажи'!DR83+'Продажи'!DR86+'Продажи'!DR89+'Продажи'!DR92)/(SUM('Продажи'!$D$83:$DS$83)+SUM('Продажи'!$D$86:$DS$86)+SUM('Продажи'!$D$89:$DS$89)+SUM('Продажи'!$D$92:$DS$92)),0)-IF('ОБЪЕКТЫ'!$B$8=4,IFERROR('ОБЪЕКТЫ'!$B$28*'ОБЪЕКТЫ'!DR22/'ОБЪЕКТЫ'!$B$22,0),0)-IF('ОБЪЕКТЫ'!$B$36=4,IFERROR('ОБЪЕКТЫ'!$B$56*'ОБЪЕКТЫ'!DR50/'ОБЪЕКТЫ'!$B$50,0),0)-IF('ОБЪЕКТЫ'!$B$64=4,IFERROR('ОБЪЕКТЫ'!$B$84*'ОБЪЕКТЫ'!DR78/'ОБЪЕКТЫ'!$B$78,0),0)-DR53-DR57-DR21</x:f>
      </x:c>
      <x:c r="DS22" s="117">
        <x:f>DS10-IFERROR((SUM($D$20:$DS$20)-'ОБЪЕКТЫ'!$B$120)*('Продажи'!DS83+'Продажи'!DS86+'Продажи'!DS89+'Продажи'!DS92)/(SUM('Продажи'!$D$83:$DS$83)+SUM('Продажи'!$D$86:$DS$86)+SUM('Продажи'!$D$89:$DS$89)+SUM('Продажи'!$D$92:$DS$92)),0)-IF('ОБЪЕКТЫ'!$B$8=4,IFERROR('ОБЪЕКТЫ'!$B$28*'ОБЪЕКТЫ'!DS22/'ОБЪЕКТЫ'!$B$22,0),0)-IF('ОБЪЕКТЫ'!$B$36=4,IFERROR('ОБЪЕКТЫ'!$B$56*'ОБЪЕКТЫ'!DS50/'ОБЪЕКТЫ'!$B$50,0),0)-IF('ОБЪЕКТЫ'!$B$64=4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